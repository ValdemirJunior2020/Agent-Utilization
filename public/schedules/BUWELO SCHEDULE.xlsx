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oiceBreak" sheetId="1" r:id="rId5"/>
    <sheet state="visible" name="TicketsBreak" sheetId="2" r:id="rId6"/>
    <sheet state="visible" name="Sheet33" sheetId="3" r:id="rId7"/>
    <sheet state="visible" name="Sheet34" sheetId="4" r:id="rId8"/>
    <sheet state="visible" name="Sheet32" sheetId="5" r:id="rId9"/>
    <sheet state="visible" name="OperationTickets" sheetId="6" r:id="rId10"/>
    <sheet state="visible" name="OperationVoice" sheetId="7" r:id="rId11"/>
    <sheet state="visible" name="Partner_Tickets" sheetId="8" r:id="rId12"/>
    <sheet state="visible" name="Partner_Voice" sheetId="9" r:id="rId13"/>
    <sheet state="visible" name="Partner_BookInBlock" sheetId="10" r:id="rId14"/>
    <sheet state="hidden" name="JulyTL" sheetId="11" r:id="rId15"/>
    <sheet state="hidden" name="Roster" sheetId="12" r:id="rId16"/>
    <sheet state="hidden" name="BvsL" sheetId="13" r:id="rId17"/>
    <sheet state="hidden" name="Nov27Dec25Jan1" sheetId="14" r:id="rId18"/>
  </sheets>
  <definedNames>
    <definedName hidden="1" localSheetId="0" name="_xlnm._FilterDatabase">VoiceBreak!$A$2:$H$79</definedName>
    <definedName hidden="1" localSheetId="1" name="_xlnm._FilterDatabase">TicketsBreak!$A$1:$G$183</definedName>
    <definedName hidden="1" localSheetId="5" name="_xlnm._FilterDatabase">OperationTickets!$A$2:$AM$56</definedName>
    <definedName hidden="1" localSheetId="6" name="_xlnm._FilterDatabase">OperationVoice!$A$2:$AM$85</definedName>
    <definedName hidden="1" localSheetId="7" name="_xlnm._FilterDatabase">Partner_Tickets!$A$2:$AM$54</definedName>
    <definedName hidden="1" localSheetId="8" name="_xlnm._FilterDatabase">Partner_Voice!$A$2:$AM$80</definedName>
    <definedName hidden="1" localSheetId="9" name="_xlnm._FilterDatabase">Partner_BookInBlock!$A$2:$AM$9</definedName>
    <definedName hidden="1" localSheetId="11" name="_xlnm._FilterDatabase">Roster!$S$3:$AA$121</definedName>
    <definedName hidden="1" localSheetId="12" name="_xlnm._FilterDatabase">BvsL!$A$1:$S$3657</definedName>
    <definedName hidden="1" localSheetId="13" name="_xlnm._FilterDatabase">Nov27Dec25Jan1!$A$1:$F$100</definedName>
  </definedNames>
  <calcPr/>
</workbook>
</file>

<file path=xl/sharedStrings.xml><?xml version="1.0" encoding="utf-8"?>
<sst xmlns="http://schemas.openxmlformats.org/spreadsheetml/2006/main" count="5670" uniqueCount="392">
  <si>
    <t>Date &gt;&gt;</t>
  </si>
  <si>
    <t>Schedule</t>
  </si>
  <si>
    <t>EDS</t>
  </si>
  <si>
    <t>Task</t>
  </si>
  <si>
    <t>Agent</t>
  </si>
  <si>
    <t>Log In</t>
  </si>
  <si>
    <t>Break 1</t>
  </si>
  <si>
    <t>Lunch</t>
  </si>
  <si>
    <t>Break 2</t>
  </si>
  <si>
    <t>C818</t>
  </si>
  <si>
    <t>C1107</t>
  </si>
  <si>
    <t>C1570</t>
  </si>
  <si>
    <t>C1574</t>
  </si>
  <si>
    <t>C1554</t>
  </si>
  <si>
    <t>C1567</t>
  </si>
  <si>
    <t>C1348</t>
  </si>
  <si>
    <t>C1579</t>
  </si>
  <si>
    <t>C1077</t>
  </si>
  <si>
    <t>C1191</t>
  </si>
  <si>
    <t>C1526</t>
  </si>
  <si>
    <t>C1535</t>
  </si>
  <si>
    <t>C1531</t>
  </si>
  <si>
    <t>C687</t>
  </si>
  <si>
    <t>C1528</t>
  </si>
  <si>
    <t>C1510</t>
  </si>
  <si>
    <t>C1529</t>
  </si>
  <si>
    <t>C1513</t>
  </si>
  <si>
    <t>C1277</t>
  </si>
  <si>
    <t>C1573</t>
  </si>
  <si>
    <t>C713</t>
  </si>
  <si>
    <t>C1548</t>
  </si>
  <si>
    <t>C1486</t>
  </si>
  <si>
    <t>C1017</t>
  </si>
  <si>
    <t>C1541</t>
  </si>
  <si>
    <t>C1481</t>
  </si>
  <si>
    <t>C1550</t>
  </si>
  <si>
    <t>C512</t>
  </si>
  <si>
    <t>C1509</t>
  </si>
  <si>
    <t>C1515</t>
  </si>
  <si>
    <t>C1551</t>
  </si>
  <si>
    <t>C1543</t>
  </si>
  <si>
    <t>C1542</t>
  </si>
  <si>
    <t>C1569</t>
  </si>
  <si>
    <t>C1533</t>
  </si>
  <si>
    <t>C1465</t>
  </si>
  <si>
    <t>C1139</t>
  </si>
  <si>
    <t>C1566</t>
  </si>
  <si>
    <t>C1413</t>
  </si>
  <si>
    <t>C1469</t>
  </si>
  <si>
    <t>C1568</t>
  </si>
  <si>
    <t>C1427</t>
  </si>
  <si>
    <t>C1086</t>
  </si>
  <si>
    <t>C1492</t>
  </si>
  <si>
    <t>C658</t>
  </si>
  <si>
    <t>C1514</t>
  </si>
  <si>
    <t>C1571</t>
  </si>
  <si>
    <t>C1578</t>
  </si>
  <si>
    <t>C1517</t>
  </si>
  <si>
    <t>C1433</t>
  </si>
  <si>
    <t>C1534</t>
  </si>
  <si>
    <t>C1136</t>
  </si>
  <si>
    <t>C1577</t>
  </si>
  <si>
    <t>C1516</t>
  </si>
  <si>
    <t>C1536</t>
  </si>
  <si>
    <t>C1468</t>
  </si>
  <si>
    <t>C1114</t>
  </si>
  <si>
    <t>C1163</t>
  </si>
  <si>
    <t>C1507</t>
  </si>
  <si>
    <t>C1538</t>
  </si>
  <si>
    <t>C1511</t>
  </si>
  <si>
    <t>C933</t>
  </si>
  <si>
    <t>C1564</t>
  </si>
  <si>
    <t>C1406</t>
  </si>
  <si>
    <t>C1506</t>
  </si>
  <si>
    <t>C1431</t>
  </si>
  <si>
    <t>C937</t>
  </si>
  <si>
    <t>C1565</t>
  </si>
  <si>
    <t>C1483</t>
  </si>
  <si>
    <t>C1540</t>
  </si>
  <si>
    <t>C1547</t>
  </si>
  <si>
    <t>C1553</t>
  </si>
  <si>
    <t>C1552</t>
  </si>
  <si>
    <t>C1537</t>
  </si>
  <si>
    <t>C1353</t>
  </si>
  <si>
    <t>C1173</t>
  </si>
  <si>
    <t>C1539</t>
  </si>
  <si>
    <t>LogIn</t>
  </si>
  <si>
    <t>Alexa Arenas</t>
  </si>
  <si>
    <t>08:00</t>
  </si>
  <si>
    <t>Alexis Arias</t>
  </si>
  <si>
    <t>09:00</t>
  </si>
  <si>
    <t>Ana Moreno</t>
  </si>
  <si>
    <t>Ana Ruiz</t>
  </si>
  <si>
    <t>Arturo Padilla</t>
  </si>
  <si>
    <t>Braian Restrepo</t>
  </si>
  <si>
    <t>Carmen Grajales</t>
  </si>
  <si>
    <t>Dahiana Cano</t>
  </si>
  <si>
    <t>Daniel Durango</t>
  </si>
  <si>
    <t>Eliana Pena</t>
  </si>
  <si>
    <t>Gabriel Atehortua</t>
  </si>
  <si>
    <t>07:00</t>
  </si>
  <si>
    <t>Ief Fabre</t>
  </si>
  <si>
    <t>Jose Perez</t>
  </si>
  <si>
    <t>06:00</t>
  </si>
  <si>
    <t>Juan Durango</t>
  </si>
  <si>
    <t>Juan Fonnegra</t>
  </si>
  <si>
    <t>Juan Gutierrez</t>
  </si>
  <si>
    <t>Juan Suarez</t>
  </si>
  <si>
    <t>Karen Martinez</t>
  </si>
  <si>
    <t>Laura Moreno</t>
  </si>
  <si>
    <t>Leandry La Rosa</t>
  </si>
  <si>
    <t>Lina Cadena</t>
  </si>
  <si>
    <t>Mateo Agudelo</t>
  </si>
  <si>
    <t>Miguel Hoyos</t>
  </si>
  <si>
    <t>Nelson Londono</t>
  </si>
  <si>
    <t>Onel Olivera</t>
  </si>
  <si>
    <t>Santiago Garcia</t>
  </si>
  <si>
    <t>Santiago Gonzalez</t>
  </si>
  <si>
    <t>Santiago Velasquez</t>
  </si>
  <si>
    <t>Sebastiam Vallejo</t>
  </si>
  <si>
    <t>Sebastian Herrera</t>
  </si>
  <si>
    <t>Sebastian Martinez</t>
  </si>
  <si>
    <t>Sebastian Parra</t>
  </si>
  <si>
    <t>Sebastian Quiroz</t>
  </si>
  <si>
    <t>Sebastian Rodriguez</t>
  </si>
  <si>
    <t>Sebastian Torres</t>
  </si>
  <si>
    <t>VL</t>
  </si>
  <si>
    <t>Simon Atehortua</t>
  </si>
  <si>
    <t>Valery Escobar</t>
  </si>
  <si>
    <t>Wendy Navarro</t>
  </si>
  <si>
    <t>William Venner</t>
  </si>
  <si>
    <t>Yeiner Tapias</t>
  </si>
  <si>
    <t>Team Leader</t>
  </si>
  <si>
    <t>Agent Name</t>
  </si>
  <si>
    <t>C1216</t>
  </si>
  <si>
    <t>B&amp;B</t>
  </si>
  <si>
    <t>C786</t>
  </si>
  <si>
    <t>C699</t>
  </si>
  <si>
    <t>C080</t>
  </si>
  <si>
    <t>C1165</t>
  </si>
  <si>
    <t>C1289</t>
  </si>
  <si>
    <t>C1484</t>
  </si>
  <si>
    <t>C1171</t>
  </si>
  <si>
    <t>C755</t>
  </si>
  <si>
    <t>C579</t>
  </si>
  <si>
    <t>C535</t>
  </si>
  <si>
    <t>C1219</t>
  </si>
  <si>
    <t>C1180</t>
  </si>
  <si>
    <t>C1065</t>
  </si>
  <si>
    <t>C714</t>
  </si>
  <si>
    <t>C902</t>
  </si>
  <si>
    <t>C1376</t>
  </si>
  <si>
    <t>C1126</t>
  </si>
  <si>
    <t>C935</t>
  </si>
  <si>
    <t>C727</t>
  </si>
  <si>
    <t>C1504</t>
  </si>
  <si>
    <t>C673</t>
  </si>
  <si>
    <t>C1369</t>
  </si>
  <si>
    <t>C860</t>
  </si>
  <si>
    <t>C1318</t>
  </si>
  <si>
    <t>C1027</t>
  </si>
  <si>
    <t>C1426</t>
  </si>
  <si>
    <t>C720</t>
  </si>
  <si>
    <t>C1327</t>
  </si>
  <si>
    <t>C743</t>
  </si>
  <si>
    <t>C538</t>
  </si>
  <si>
    <t>C740</t>
  </si>
  <si>
    <t>C556</t>
  </si>
  <si>
    <t>C1282</t>
  </si>
  <si>
    <t>C723</t>
  </si>
  <si>
    <t>C602</t>
  </si>
  <si>
    <t>C469</t>
  </si>
  <si>
    <t>C1167</t>
  </si>
  <si>
    <t>C479</t>
  </si>
  <si>
    <t>C1325</t>
  </si>
  <si>
    <t>C1064</t>
  </si>
  <si>
    <t>C525</t>
  </si>
  <si>
    <t>C534</t>
  </si>
  <si>
    <t>C1429</t>
  </si>
  <si>
    <t>C1164</t>
  </si>
  <si>
    <t>C1168</t>
  </si>
  <si>
    <t>C1220</t>
  </si>
  <si>
    <t>C1199</t>
  </si>
  <si>
    <t>C1190</t>
  </si>
  <si>
    <t>C710</t>
  </si>
  <si>
    <t>C726</t>
  </si>
  <si>
    <t>C1478</t>
  </si>
  <si>
    <t>C1108</t>
  </si>
  <si>
    <t>FTE 6:00 - 9:00</t>
  </si>
  <si>
    <t>FTE 10:00 - 13:00</t>
  </si>
  <si>
    <t>FTE TOTAL</t>
  </si>
  <si>
    <t>AGENTS OFF</t>
  </si>
  <si>
    <t>C1597</t>
  </si>
  <si>
    <t>C1595</t>
  </si>
  <si>
    <t>C1594</t>
  </si>
  <si>
    <t>C1591</t>
  </si>
  <si>
    <t>C1593</t>
  </si>
  <si>
    <t>C1598</t>
  </si>
  <si>
    <t>C1590</t>
  </si>
  <si>
    <t>C1592</t>
  </si>
  <si>
    <t>FTE 5:00 - 9:00</t>
  </si>
  <si>
    <t>SpSCH</t>
  </si>
  <si>
    <t>Free</t>
  </si>
  <si>
    <t>Andra Daza</t>
  </si>
  <si>
    <t>FTE 6:30 - 10:00</t>
  </si>
  <si>
    <t>FTE 11:00 - 12:00</t>
  </si>
  <si>
    <t>FTE 6:00 - 7:00</t>
  </si>
  <si>
    <t>FTE 8:00 - 11:00</t>
  </si>
  <si>
    <t>TL Name</t>
  </si>
  <si>
    <t>Bryan Galvis</t>
  </si>
  <si>
    <t>Daniel Bustamante</t>
  </si>
  <si>
    <t>Pablo Ardila</t>
  </si>
  <si>
    <t>Edward Machado</t>
  </si>
  <si>
    <t>Mateo Henao</t>
  </si>
  <si>
    <t>Martin Salazar</t>
  </si>
  <si>
    <t>Id Range</t>
  </si>
  <si>
    <t>Break1</t>
  </si>
  <si>
    <t>Break2</t>
  </si>
  <si>
    <t>Rangos a partir de Junio</t>
  </si>
  <si>
    <t>Log In 06:00</t>
  </si>
  <si>
    <t>Noviembre</t>
  </si>
  <si>
    <t>07:15 - 07:30</t>
  </si>
  <si>
    <t>10:15 - 10:45</t>
  </si>
  <si>
    <t>12:45 - 13:00</t>
  </si>
  <si>
    <t>COD</t>
  </si>
  <si>
    <t>LoF Out</t>
  </si>
  <si>
    <t>Wave</t>
  </si>
  <si>
    <t>07:45 - 08:00</t>
  </si>
  <si>
    <t>10:30 - 11:00</t>
  </si>
  <si>
    <t>13:00 - 13:15</t>
  </si>
  <si>
    <t>08:00 - 08:15</t>
  </si>
  <si>
    <t>10:45 - 11:15</t>
  </si>
  <si>
    <t>13:15 - 13:30</t>
  </si>
  <si>
    <t>08:15 - 08:30</t>
  </si>
  <si>
    <t>11:00 - 11:30</t>
  </si>
  <si>
    <t>13:30 - 13:45</t>
  </si>
  <si>
    <t>08:30 - 08:45</t>
  </si>
  <si>
    <t>11:15 - 11:45</t>
  </si>
  <si>
    <t>13:45 - 14:00</t>
  </si>
  <si>
    <t>08:45 - 09:00</t>
  </si>
  <si>
    <t>11:30 - 12:00</t>
  </si>
  <si>
    <t>09:00 - 09:15</t>
  </si>
  <si>
    <t>11:45 - 12:15</t>
  </si>
  <si>
    <t>14:30 - 14:45</t>
  </si>
  <si>
    <t>09:30 - 09:45</t>
  </si>
  <si>
    <t>12:15 - 12:45</t>
  </si>
  <si>
    <t>14:45 - 15:00</t>
  </si>
  <si>
    <t>Log In 07:00</t>
  </si>
  <si>
    <t>09:45 - 10:00</t>
  </si>
  <si>
    <t>12:30 - 13:00</t>
  </si>
  <si>
    <t>C1274</t>
  </si>
  <si>
    <t>12:00 - 12:30</t>
  </si>
  <si>
    <t xml:space="preserve">10:00 - 10:15 </t>
  </si>
  <si>
    <t>13:00 - 13:30</t>
  </si>
  <si>
    <t>15:00 - 15:15</t>
  </si>
  <si>
    <t>10:15 - 10:30</t>
  </si>
  <si>
    <t>13:15 - 13:45</t>
  </si>
  <si>
    <t>15:15 - 15:30</t>
  </si>
  <si>
    <t>Log In 08:00</t>
  </si>
  <si>
    <t>Horarios Junio 2025</t>
  </si>
  <si>
    <t>09:15 - 09:30</t>
  </si>
  <si>
    <t>10:30 - 10:45</t>
  </si>
  <si>
    <t>13:30 - 14:00</t>
  </si>
  <si>
    <t>15:30 - 15:45</t>
  </si>
  <si>
    <t>10:45 - 11:00</t>
  </si>
  <si>
    <t>13:45 - 14:15</t>
  </si>
  <si>
    <t>15:45 - 16:00</t>
  </si>
  <si>
    <t xml:space="preserve">09:45 - 10:00 </t>
  </si>
  <si>
    <t>10:00 - 10:15</t>
  </si>
  <si>
    <t>14:00 - 14:30</t>
  </si>
  <si>
    <t xml:space="preserve">10:45 - 11:00 </t>
  </si>
  <si>
    <t>11:00 - 11:15</t>
  </si>
  <si>
    <t>16:00 - 16:15</t>
  </si>
  <si>
    <t>Log In 09:00</t>
  </si>
  <si>
    <t>Tener en cuenta que para ajustar los horarios de las 9:00 en el cambio de horario, debo sumar una hora a los de las 08:00 para que este horario ajuste</t>
  </si>
  <si>
    <t>11:15 - 11:30</t>
  </si>
  <si>
    <t>14:15 - 14:45</t>
  </si>
  <si>
    <t>16:15 - 16:30</t>
  </si>
  <si>
    <t xml:space="preserve">11:30 - 11:45 </t>
  </si>
  <si>
    <t>14:45 - 15:15</t>
  </si>
  <si>
    <t>16:30 - 16:45</t>
  </si>
  <si>
    <t>11:30 - 11:45</t>
  </si>
  <si>
    <t>16:45 - 17:00</t>
  </si>
  <si>
    <t>11:45 - 12:00</t>
  </si>
  <si>
    <t>17:00 - 17:15</t>
  </si>
  <si>
    <t>Log In 10:00</t>
  </si>
  <si>
    <t>12:00 - 12:15</t>
  </si>
  <si>
    <t>17:15 - 17:30</t>
  </si>
  <si>
    <t>12:15 - 12:30</t>
  </si>
  <si>
    <t>17:30 - 17:45</t>
  </si>
  <si>
    <t>12:30 - 12:45</t>
  </si>
  <si>
    <t>17:45 - 18:00</t>
  </si>
  <si>
    <t>14:30 - 15:00</t>
  </si>
  <si>
    <t>15:00 - 15:30</t>
  </si>
  <si>
    <t>15:15 - 15:45</t>
  </si>
  <si>
    <t>18:00 - 18:15</t>
  </si>
  <si>
    <t>15:45 - 16:15</t>
  </si>
  <si>
    <t>18:15 - 18:30</t>
  </si>
  <si>
    <t>16:15 - 16:45</t>
  </si>
  <si>
    <t>18:30 - 18:45</t>
  </si>
  <si>
    <t>18:00 - 18:30</t>
  </si>
  <si>
    <t>Log In 11:00</t>
  </si>
  <si>
    <t>18:30 - 19:00</t>
  </si>
  <si>
    <t>19:00 - 19:30</t>
  </si>
  <si>
    <t>14:00 - 14:15</t>
  </si>
  <si>
    <t>19:30 - 20:00</t>
  </si>
  <si>
    <t>Log In 12:00</t>
  </si>
  <si>
    <t>Date</t>
  </si>
  <si>
    <t>Day</t>
  </si>
  <si>
    <t>LOB</t>
  </si>
  <si>
    <t>Brek1Hour</t>
  </si>
  <si>
    <t>LunchHour</t>
  </si>
  <si>
    <t>Break2Hour</t>
  </si>
  <si>
    <t>C1576</t>
  </si>
  <si>
    <t>C598</t>
  </si>
  <si>
    <t>C1491</t>
  </si>
  <si>
    <t>C1502</t>
  </si>
  <si>
    <t>Team</t>
  </si>
  <si>
    <t>Noviembre 27</t>
  </si>
  <si>
    <t>Diciembre 25</t>
  </si>
  <si>
    <t>Enero 1</t>
  </si>
  <si>
    <t>Observaciones</t>
  </si>
  <si>
    <t>Angelo Zapata</t>
  </si>
  <si>
    <t>Asiste</t>
  </si>
  <si>
    <t>No Asiste</t>
  </si>
  <si>
    <t>Brayan Franco</t>
  </si>
  <si>
    <t>Por día de descanso el agente quisiera viernes o sábado</t>
  </si>
  <si>
    <t>Breitner Benitez</t>
  </si>
  <si>
    <t>Cristian Ferreira</t>
  </si>
  <si>
    <t>Karen Ducuara</t>
  </si>
  <si>
    <t>Karen Panqueva</t>
  </si>
  <si>
    <t>Maicol Vasco</t>
  </si>
  <si>
    <t>Salome Arias</t>
  </si>
  <si>
    <t>Samuel Acevedo</t>
  </si>
  <si>
    <t>Santiago Arenas</t>
  </si>
  <si>
    <t>Santiago Moreno</t>
  </si>
  <si>
    <t>Sebastian Zapata</t>
  </si>
  <si>
    <t>Adriana Moncaleano</t>
  </si>
  <si>
    <t>Carolina Rios</t>
  </si>
  <si>
    <t>LucidTravel TEAM (Pendiente confirmación LT)</t>
  </si>
  <si>
    <t>Daniel Urrego</t>
  </si>
  <si>
    <t>Edwuin Martinez</t>
  </si>
  <si>
    <t>Frank Marin</t>
  </si>
  <si>
    <t>Jeampierre Jaramillo</t>
  </si>
  <si>
    <t>Jhoam Quiroz</t>
  </si>
  <si>
    <t>Johana Villarreal</t>
  </si>
  <si>
    <t>Juan Florez</t>
  </si>
  <si>
    <t>Karen Lorena Martinez</t>
  </si>
  <si>
    <t>Luisa Gonzalez</t>
  </si>
  <si>
    <t>Mikel Bowie</t>
  </si>
  <si>
    <t>Samuel Velasquez</t>
  </si>
  <si>
    <t>Santiago Yepez</t>
  </si>
  <si>
    <t>Sergio Ordonez</t>
  </si>
  <si>
    <t>Wilson Martinez</t>
  </si>
  <si>
    <t>Angie Rua</t>
  </si>
  <si>
    <t>Thanksgiving  vacaciones</t>
  </si>
  <si>
    <t>Brayan Montoya</t>
  </si>
  <si>
    <t>25 y 1 Vacaciones</t>
  </si>
  <si>
    <t>Gabriela Jimenez</t>
  </si>
  <si>
    <t>Jose Zapata</t>
  </si>
  <si>
    <t>Juan Parra</t>
  </si>
  <si>
    <t>Juan Restrepo</t>
  </si>
  <si>
    <t>Luisa Zapata</t>
  </si>
  <si>
    <t>Madelyn Jaramillo</t>
  </si>
  <si>
    <t>Mateo Vanegas</t>
  </si>
  <si>
    <t>Santiago Gaviria</t>
  </si>
  <si>
    <t>Sebastian Torres Gomez</t>
  </si>
  <si>
    <t>Valentina Medina</t>
  </si>
  <si>
    <t>Alexander Isaza</t>
  </si>
  <si>
    <t>Andres Henao</t>
  </si>
  <si>
    <t>Brahian Prado</t>
  </si>
  <si>
    <t>Geraldine Correa</t>
  </si>
  <si>
    <t>Juan Arroyave</t>
  </si>
  <si>
    <t>Juan Largacha</t>
  </si>
  <si>
    <t>Juan Sanchez</t>
  </si>
  <si>
    <t>Kennedy Giraldo</t>
  </si>
  <si>
    <t>Luis Lopez</t>
  </si>
  <si>
    <t>Manuela Moreno</t>
  </si>
  <si>
    <t>Natalia Cardona</t>
  </si>
  <si>
    <t>Oscar Florez</t>
  </si>
  <si>
    <t>Yaidy Mosquera</t>
  </si>
  <si>
    <t>Thanksgiving vacaciones</t>
  </si>
  <si>
    <t>Grigori Castaneda</t>
  </si>
  <si>
    <t>Jhojan Higuita</t>
  </si>
  <si>
    <t>Thanksgiving es su día libre semanal</t>
  </si>
  <si>
    <t>Thanksgiving es su día libre semanal, 25 vacaciones</t>
  </si>
  <si>
    <t>Maria Jaen</t>
  </si>
  <si>
    <t>Ascendió a QA</t>
  </si>
  <si>
    <t>Nicolas Hernandez</t>
  </si>
  <si>
    <t>Luis Vidal</t>
  </si>
  <si>
    <t>Juan Salazar</t>
  </si>
  <si>
    <t>Valentina Carmona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</si>
</sst>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/d/yyyy"/>
    <numFmt numFmtId="165" formatCode="0#"/>
    <numFmt numFmtId="166" formatCode="[hh]&quot;:&quot;mm"/>
    <numFmt numFmtId="167" formatCode="d\-mmm"/>
    <numFmt numFmtId="168" formatCode="ddd"/>
    <numFmt numFmtId="169" formatCode="hh&quot;:&quot;mm"/>
    <numFmt numFmtId="170" formatCode="mm/dd/yyyy"/>
    <numFmt numFmtId="171" formatCode="mm&quot;/&quot;dd"/>
    <numFmt numFmtId="172" formatCode="m/d/yyyy"/>
    <numFmt numFmtId="173" formatCode="mm&quot;/&quot;dd&quot;/&quot;yyyy"/>
    <numFmt numFmtId="174" formatCode="dddd"/>
    <numFmt numFmtId="175" formatCode="###"/>
    <numFmt numFmtId="176" formatCode="h&quot;:&quot;mm"/>
    <numFmt numFmtId="177" formatCode="M/d/yyyy H:mm:ss"/>
  </numFmts>
  <fonts count="37">
    <font>
      <sz val="10.0"/>
      <color rgb="FF000000"/>
      <name val="Arial"/>
      <scheme val="minor"/>
    </font>
    <font>
      <b/>
      <sz val="13.0"/>
      <color rgb="FFFFFFFF"/>
      <name val="&quot;Google Sans Mono&quot;"/>
    </font>
    <font/>
    <font>
      <b/>
      <sz val="15.0"/>
      <color rgb="FFFFFFFF"/>
      <name val="Arial"/>
    </font>
    <font>
      <b/>
      <sz val="14.0"/>
      <color rgb="FFFFFFFF"/>
      <name val="&quot;Google Sans Mono&quot;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0.0"/>
      <color theme="1"/>
      <name val="Century Gothic"/>
    </font>
    <font>
      <sz val="10.0"/>
      <color theme="1"/>
      <name val="Century Gothic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Arial"/>
    </font>
    <font>
      <color rgb="FFFFFFFF"/>
      <name val="Arial"/>
      <scheme val="minor"/>
    </font>
    <font>
      <b/>
      <i/>
      <sz val="11.0"/>
      <color theme="1"/>
      <name val="Calibri"/>
    </font>
    <font>
      <sz val="11.0"/>
      <color rgb="FFFFFFFF"/>
      <name val="Calibri"/>
    </font>
    <font>
      <i/>
      <sz val="11.0"/>
      <color theme="1"/>
      <name val="Calibri"/>
    </font>
    <font>
      <sz val="11.0"/>
      <color rgb="FF000000"/>
      <name val="Calibri"/>
    </font>
    <font>
      <b/>
      <sz val="8.0"/>
      <color rgb="FF000000"/>
      <name val="Arial"/>
    </font>
    <font>
      <sz val="9.0"/>
      <color theme="1"/>
      <name val="Arial"/>
    </font>
    <font>
      <i/>
      <color theme="1"/>
      <name val="Calibri"/>
    </font>
    <font>
      <b/>
      <color theme="1"/>
      <name val="Arial"/>
    </font>
    <font>
      <b/>
      <sz val="9.0"/>
      <color theme="1"/>
      <name val="Google Sans Mono"/>
    </font>
    <font>
      <b/>
      <sz val="11.0"/>
      <color theme="1"/>
      <name val="&quot;Google Sans Mono&quot;"/>
    </font>
    <font>
      <b/>
      <sz val="11.0"/>
      <color theme="1"/>
      <name val="Arial"/>
      <scheme val="minor"/>
    </font>
    <font>
      <sz val="11.0"/>
      <color rgb="FF000000"/>
      <name val="&quot;Aptos Narrow&quot;"/>
    </font>
    <font>
      <b/>
      <sz val="12.0"/>
      <color theme="1"/>
      <name val="Arial"/>
    </font>
    <font>
      <sz val="11.0"/>
      <color rgb="FF9C0006"/>
      <name val="Calibri"/>
    </font>
    <font>
      <color theme="1"/>
      <name val="Calibri"/>
    </font>
    <font>
      <sz val="11.0"/>
      <color theme="1"/>
      <name val="Arial"/>
      <scheme val="minor"/>
    </font>
    <font>
      <sz val="10.0"/>
      <color theme="1"/>
      <name val="Calibri"/>
    </font>
    <font>
      <sz val="11.0"/>
      <color rgb="FF305496"/>
      <name val="Calibri"/>
    </font>
    <font>
      <b/>
      <sz val="14.0"/>
      <color theme="1"/>
      <name val="Arial"/>
    </font>
    <font>
      <color rgb="FF000000"/>
      <name val="Arial"/>
    </font>
    <font>
      <sz val="11.0"/>
      <color rgb="FF041523"/>
      <name val="Calibri"/>
    </font>
    <font>
      <b/>
      <sz val="11.0"/>
      <color theme="1"/>
      <name val="Century Gothic"/>
    </font>
    <font>
      <sz val="11.0"/>
      <color theme="1"/>
      <name val="Century Gothic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DF6"/>
        <bgColor rgb="FFFFFDF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1FFF3"/>
        <bgColor rgb="FFF1FFF3"/>
      </patternFill>
    </fill>
    <fill>
      <patternFill patternType="solid">
        <fgColor rgb="FFCFE2F3"/>
        <bgColor rgb="FFCFE2F3"/>
      </patternFill>
    </fill>
    <fill>
      <patternFill patternType="solid">
        <fgColor theme="1"/>
        <bgColor theme="1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B7E1CD"/>
        <bgColor rgb="FFB7E1CD"/>
      </patternFill>
    </fill>
    <fill>
      <patternFill patternType="solid">
        <fgColor rgb="FFA2C4C9"/>
        <bgColor rgb="FFA2C4C9"/>
      </patternFill>
    </fill>
    <fill>
      <patternFill patternType="solid">
        <fgColor rgb="FFC1E6B1"/>
        <bgColor rgb="FFC1E6B1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ABCBFF"/>
        <bgColor rgb="FFABCBFF"/>
      </patternFill>
    </fill>
    <fill>
      <patternFill patternType="solid">
        <fgColor rgb="FFA1CAF0"/>
        <bgColor rgb="FFA1CAF0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1F0C8"/>
        <bgColor rgb="FFC1F0C8"/>
      </patternFill>
    </fill>
    <fill>
      <patternFill patternType="solid">
        <fgColor rgb="FFE8FFE8"/>
        <bgColor rgb="FFE8FFE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2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FFFFFF"/>
      </right>
      <top style="thin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dotted">
        <color rgb="FFD9D2E9"/>
      </left>
      <right style="dotted">
        <color rgb="FFD9D2E9"/>
      </right>
      <top style="dotted">
        <color rgb="FFD9D2E9"/>
      </top>
    </border>
    <border>
      <left style="dotted">
        <color rgb="FFD9D2E9"/>
      </left>
      <right style="dotted">
        <color rgb="FFD9D2E9"/>
      </right>
      <bottom style="dotted">
        <color rgb="FFD9D2E9"/>
      </bottom>
    </border>
    <border>
      <left style="dotted">
        <color rgb="FFD9D2E9"/>
      </left>
      <right style="dotted">
        <color rgb="FFD9D2E9"/>
      </right>
      <top style="dotted">
        <color rgb="FFD9D2E9"/>
      </top>
      <bottom style="dotted">
        <color rgb="FFD9D2E9"/>
      </bottom>
    </border>
    <border>
      <right style="dotted">
        <color rgb="FFD9D2E9"/>
      </right>
      <bottom style="dotted">
        <color rgb="FFD9D2E9"/>
      </bottom>
    </border>
    <border>
      <right style="dotted">
        <color rgb="FFD9D2E9"/>
      </right>
      <top style="dotted">
        <color rgb="FFD9D2E9"/>
      </top>
      <bottom style="dotted">
        <color rgb="FFD9D2E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3" numFmtId="164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4" fillId="0" fontId="5" numFmtId="0" xfId="0" applyAlignment="1" applyBorder="1" applyFont="1">
      <alignment readingOrder="0"/>
    </xf>
    <xf borderId="4" fillId="3" fontId="6" numFmtId="0" xfId="0" applyAlignment="1" applyBorder="1" applyFill="1" applyFont="1">
      <alignment horizontal="left" readingOrder="0"/>
    </xf>
    <xf borderId="4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4" fillId="0" fontId="5" numFmtId="0" xfId="0" applyAlignment="1" applyBorder="1" applyFont="1">
      <alignment horizontal="left"/>
    </xf>
    <xf borderId="4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horizontal="center"/>
    </xf>
    <xf borderId="0" fillId="4" fontId="7" numFmtId="0" xfId="0" applyAlignment="1" applyFill="1" applyFont="1">
      <alignment horizontal="center" readingOrder="0"/>
    </xf>
    <xf borderId="6" fillId="3" fontId="8" numFmtId="0" xfId="0" applyAlignment="1" applyBorder="1" applyFont="1">
      <alignment horizontal="center" readingOrder="0" vertical="bottom"/>
    </xf>
    <xf borderId="7" fillId="3" fontId="8" numFmtId="166" xfId="0" applyAlignment="1" applyBorder="1" applyFont="1" applyNumberFormat="1">
      <alignment horizontal="center" readingOrder="0" vertical="bottom"/>
    </xf>
    <xf borderId="6" fillId="3" fontId="8" numFmtId="0" xfId="0" applyAlignment="1" applyBorder="1" applyFont="1">
      <alignment readingOrder="0" vertical="bottom"/>
    </xf>
    <xf borderId="8" fillId="3" fontId="8" numFmtId="166" xfId="0" applyAlignment="1" applyBorder="1" applyFont="1" applyNumberFormat="1">
      <alignment horizontal="center" readingOrder="0" vertical="bottom"/>
    </xf>
    <xf borderId="6" fillId="4" fontId="9" numFmtId="0" xfId="0" applyAlignment="1" applyBorder="1" applyFont="1">
      <alignment horizontal="center" readingOrder="0" vertical="bottom"/>
    </xf>
    <xf borderId="6" fillId="0" fontId="9" numFmtId="166" xfId="0" applyAlignment="1" applyBorder="1" applyFont="1" applyNumberFormat="1">
      <alignment horizontal="center" readingOrder="0" vertical="bottom"/>
    </xf>
    <xf borderId="6" fillId="4" fontId="9" numFmtId="0" xfId="0" applyAlignment="1" applyBorder="1" applyFont="1">
      <alignment readingOrder="0" vertical="bottom"/>
    </xf>
    <xf borderId="6" fillId="4" fontId="9" numFmtId="166" xfId="0" applyAlignment="1" applyBorder="1" applyFont="1" applyNumberFormat="1">
      <alignment horizontal="center" readingOrder="0" vertical="bottom"/>
    </xf>
    <xf borderId="6" fillId="5" fontId="9" numFmtId="166" xfId="0" applyAlignment="1" applyBorder="1" applyFill="1" applyFont="1" applyNumberFormat="1">
      <alignment horizontal="center" readingOrder="0" vertical="bottom"/>
    </xf>
    <xf borderId="6" fillId="6" fontId="9" numFmtId="20" xfId="0" applyAlignment="1" applyBorder="1" applyFill="1" applyFont="1" applyNumberFormat="1">
      <alignment horizontal="center" readingOrder="0" vertical="bottom"/>
    </xf>
    <xf borderId="6" fillId="5" fontId="9" numFmtId="0" xfId="0" applyAlignment="1" applyBorder="1" applyFont="1">
      <alignment readingOrder="0" vertical="bottom"/>
    </xf>
    <xf borderId="9" fillId="0" fontId="9" numFmtId="166" xfId="0" applyAlignment="1" applyBorder="1" applyFont="1" applyNumberFormat="1">
      <alignment horizontal="center" readingOrder="0" vertical="bottom"/>
    </xf>
    <xf borderId="9" fillId="6" fontId="9" numFmtId="20" xfId="0" applyAlignment="1" applyBorder="1" applyFont="1" applyNumberFormat="1">
      <alignment horizontal="center" readingOrder="0" vertical="bottom"/>
    </xf>
    <xf borderId="10" fillId="5" fontId="9" numFmtId="166" xfId="0" applyAlignment="1" applyBorder="1" applyFont="1" applyNumberFormat="1">
      <alignment horizontal="center" readingOrder="0" vertical="bottom"/>
    </xf>
    <xf borderId="11" fillId="0" fontId="9" numFmtId="166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left"/>
    </xf>
    <xf borderId="5" fillId="4" fontId="10" numFmtId="167" xfId="0" applyAlignment="1" applyBorder="1" applyFont="1" applyNumberFormat="1">
      <alignment horizontal="center" readingOrder="0"/>
    </xf>
    <xf borderId="5" fillId="2" fontId="11" numFmtId="0" xfId="0" applyAlignment="1" applyBorder="1" applyFont="1">
      <alignment horizontal="center"/>
    </xf>
    <xf borderId="5" fillId="2" fontId="11" numFmtId="0" xfId="0" applyAlignment="1" applyBorder="1" applyFont="1">
      <alignment horizontal="left"/>
    </xf>
    <xf borderId="5" fillId="2" fontId="11" numFmtId="168" xfId="0" applyAlignment="1" applyBorder="1" applyFont="1" applyNumberFormat="1">
      <alignment horizontal="center"/>
    </xf>
    <xf borderId="5" fillId="0" fontId="7" numFmtId="0" xfId="0" applyAlignment="1" applyBorder="1" applyFont="1">
      <alignment horizontal="center" readingOrder="0" vertical="bottom"/>
    </xf>
    <xf borderId="5" fillId="7" fontId="7" numFmtId="0" xfId="0" applyAlignment="1" applyBorder="1" applyFill="1" applyFont="1">
      <alignment vertical="bottom"/>
    </xf>
    <xf borderId="5" fillId="0" fontId="7" numFmtId="20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5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/>
    </xf>
    <xf borderId="5" fillId="5" fontId="12" numFmtId="20" xfId="0" applyAlignment="1" applyBorder="1" applyFont="1" applyNumberFormat="1">
      <alignment vertical="bottom"/>
    </xf>
    <xf borderId="5" fillId="5" fontId="7" numFmtId="0" xfId="0" applyAlignment="1" applyBorder="1" applyFont="1">
      <alignment horizontal="center" vertical="bottom"/>
    </xf>
    <xf borderId="5" fillId="5" fontId="12" numFmtId="0" xfId="0" applyAlignment="1" applyBorder="1" applyFont="1">
      <alignment vertical="bottom"/>
    </xf>
    <xf borderId="5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left"/>
    </xf>
    <xf borderId="12" fillId="8" fontId="7" numFmtId="1" xfId="0" applyAlignment="1" applyBorder="1" applyFill="1" applyFont="1" applyNumberFormat="1">
      <alignment horizontal="left" readingOrder="0"/>
    </xf>
    <xf borderId="5" fillId="8" fontId="7" numFmtId="1" xfId="0" applyAlignment="1" applyBorder="1" applyFont="1" applyNumberFormat="1">
      <alignment horizontal="center"/>
    </xf>
    <xf borderId="5" fillId="0" fontId="13" numFmtId="20" xfId="0" applyBorder="1" applyFont="1" applyNumberFormat="1"/>
    <xf borderId="5" fillId="9" fontId="7" numFmtId="1" xfId="0" applyAlignment="1" applyBorder="1" applyFill="1" applyFont="1" applyNumberFormat="1">
      <alignment horizontal="left" readingOrder="0"/>
    </xf>
    <xf borderId="5" fillId="9" fontId="7" numFmtId="1" xfId="0" applyAlignment="1" applyBorder="1" applyFont="1" applyNumberFormat="1">
      <alignment horizontal="center"/>
    </xf>
    <xf borderId="5" fillId="0" fontId="7" numFmtId="1" xfId="0" applyAlignment="1" applyBorder="1" applyFont="1" applyNumberFormat="1">
      <alignment horizontal="center"/>
    </xf>
    <xf borderId="5" fillId="4" fontId="7" numFmtId="0" xfId="0" applyAlignment="1" applyBorder="1" applyFont="1">
      <alignment horizontal="center"/>
    </xf>
    <xf borderId="5" fillId="4" fontId="7" numFmtId="0" xfId="0" applyAlignment="1" applyBorder="1" applyFont="1">
      <alignment horizontal="left"/>
    </xf>
    <xf borderId="5" fillId="10" fontId="11" numFmtId="0" xfId="0" applyAlignment="1" applyBorder="1" applyFill="1" applyFont="1">
      <alignment horizontal="center"/>
    </xf>
    <xf borderId="5" fillId="10" fontId="11" numFmtId="0" xfId="0" applyAlignment="1" applyBorder="1" applyFont="1">
      <alignment horizontal="left"/>
    </xf>
    <xf borderId="5" fillId="10" fontId="11" numFmtId="168" xfId="0" applyAlignment="1" applyBorder="1" applyFont="1" applyNumberFormat="1">
      <alignment horizontal="center"/>
    </xf>
    <xf borderId="5" fillId="7" fontId="7" numFmtId="0" xfId="0" applyAlignment="1" applyBorder="1" applyFont="1">
      <alignment horizontal="center" readingOrder="0"/>
    </xf>
    <xf borderId="5" fillId="7" fontId="7" numFmtId="0" xfId="0" applyAlignment="1" applyBorder="1" applyFont="1">
      <alignment horizontal="left"/>
    </xf>
    <xf borderId="5" fillId="11" fontId="7" numFmtId="20" xfId="0" applyAlignment="1" applyBorder="1" applyFill="1" applyFont="1" applyNumberFormat="1">
      <alignment horizontal="center" vertical="bottom"/>
    </xf>
    <xf borderId="13" fillId="0" fontId="5" numFmtId="20" xfId="0" applyBorder="1" applyFont="1" applyNumberFormat="1"/>
    <xf borderId="5" fillId="7" fontId="7" numFmtId="0" xfId="0" applyAlignment="1" applyBorder="1" applyFont="1">
      <alignment horizontal="center"/>
    </xf>
    <xf borderId="14" fillId="0" fontId="5" numFmtId="20" xfId="0" applyBorder="1" applyFont="1" applyNumberFormat="1"/>
    <xf borderId="5" fillId="0" fontId="7" numFmtId="3" xfId="0" applyAlignment="1" applyBorder="1" applyFont="1" applyNumberFormat="1">
      <alignment horizontal="center" vertical="bottom"/>
    </xf>
    <xf borderId="0" fillId="11" fontId="5" numFmtId="1" xfId="0" applyFont="1" applyNumberFormat="1"/>
    <xf borderId="5" fillId="11" fontId="7" numFmtId="1" xfId="0" applyAlignment="1" applyBorder="1" applyFont="1" applyNumberFormat="1">
      <alignment horizontal="center"/>
    </xf>
    <xf borderId="0" fillId="12" fontId="5" numFmtId="1" xfId="0" applyFill="1" applyFont="1" applyNumberFormat="1"/>
    <xf borderId="5" fillId="12" fontId="7" numFmtId="1" xfId="0" applyAlignment="1" applyBorder="1" applyFont="1" applyNumberFormat="1">
      <alignment horizontal="center"/>
    </xf>
    <xf borderId="5" fillId="4" fontId="7" numFmtId="1" xfId="0" applyAlignment="1" applyBorder="1" applyFont="1" applyNumberFormat="1">
      <alignment horizontal="center"/>
    </xf>
    <xf borderId="15" fillId="2" fontId="11" numFmtId="0" xfId="0" applyAlignment="1" applyBorder="1" applyFont="1">
      <alignment horizontal="center"/>
    </xf>
    <xf borderId="15" fillId="2" fontId="11" numFmtId="0" xfId="0" applyAlignment="1" applyBorder="1" applyFont="1">
      <alignment horizontal="left"/>
    </xf>
    <xf borderId="16" fillId="2" fontId="11" numFmtId="168" xfId="0" applyAlignment="1" applyBorder="1" applyFont="1" applyNumberFormat="1">
      <alignment horizontal="center"/>
    </xf>
    <xf borderId="15" fillId="5" fontId="7" numFmtId="0" xfId="0" applyAlignment="1" applyBorder="1" applyFont="1">
      <alignment horizontal="center" vertical="bottom"/>
    </xf>
    <xf borderId="15" fillId="5" fontId="7" numFmtId="0" xfId="0" applyAlignment="1" applyBorder="1" applyFont="1">
      <alignment horizontal="left" vertical="bottom"/>
    </xf>
    <xf borderId="5" fillId="5" fontId="7" numFmtId="20" xfId="0" applyAlignment="1" applyBorder="1" applyFont="1" applyNumberFormat="1">
      <alignment horizontal="center" readingOrder="0" vertical="bottom"/>
    </xf>
    <xf borderId="5" fillId="5" fontId="7" numFmtId="20" xfId="0" applyAlignment="1" applyBorder="1" applyFont="1" applyNumberFormat="1">
      <alignment horizontal="center" vertical="bottom"/>
    </xf>
    <xf borderId="5" fillId="5" fontId="12" numFmtId="20" xfId="0" applyAlignment="1" applyBorder="1" applyFont="1" applyNumberFormat="1">
      <alignment horizontal="center"/>
    </xf>
    <xf borderId="0" fillId="0" fontId="7" numFmtId="0" xfId="0" applyAlignment="1" applyFont="1">
      <alignment horizontal="center" vertical="bottom"/>
    </xf>
    <xf borderId="0" fillId="5" fontId="12" numFmtId="4" xfId="0" applyAlignment="1" applyFont="1" applyNumberFormat="1">
      <alignment horizontal="center"/>
    </xf>
    <xf borderId="5" fillId="5" fontId="7" numFmtId="0" xfId="0" applyAlignment="1" applyBorder="1" applyFont="1">
      <alignment horizontal="center"/>
    </xf>
    <xf borderId="5" fillId="5" fontId="7" numFmtId="0" xfId="0" applyAlignment="1" applyBorder="1" applyFont="1">
      <alignment horizontal="left"/>
    </xf>
    <xf borderId="15" fillId="5" fontId="7" numFmtId="0" xfId="0" applyAlignment="1" applyBorder="1" applyFont="1">
      <alignment horizontal="center" readingOrder="0" vertical="bottom"/>
    </xf>
    <xf borderId="5" fillId="5" fontId="7" numFmtId="0" xfId="0" applyAlignment="1" applyBorder="1" applyFont="1">
      <alignment horizontal="center" vertical="bottom"/>
    </xf>
    <xf borderId="5" fillId="5" fontId="12" numFmtId="0" xfId="0" applyAlignment="1" applyBorder="1" applyFont="1">
      <alignment horizontal="center" readingOrder="0"/>
    </xf>
    <xf borderId="5" fillId="5" fontId="12" numFmtId="0" xfId="0" applyAlignment="1" applyBorder="1" applyFont="1">
      <alignment horizontal="center"/>
    </xf>
    <xf borderId="5" fillId="5" fontId="7" numFmtId="0" xfId="0" applyAlignment="1" applyBorder="1" applyFont="1">
      <alignment horizontal="left" vertical="bottom"/>
    </xf>
    <xf borderId="17" fillId="5" fontId="7" numFmtId="0" xfId="0" applyAlignment="1" applyBorder="1" applyFont="1">
      <alignment horizontal="center" readingOrder="0" vertical="bottom"/>
    </xf>
    <xf borderId="18" fillId="5" fontId="7" numFmtId="0" xfId="0" applyAlignment="1" applyBorder="1" applyFont="1">
      <alignment horizontal="left" vertical="bottom"/>
    </xf>
    <xf borderId="5" fillId="13" fontId="10" numFmtId="20" xfId="0" applyAlignment="1" applyBorder="1" applyFill="1" applyFont="1" applyNumberFormat="1">
      <alignment horizontal="center" vertical="bottom"/>
    </xf>
    <xf borderId="5" fillId="7" fontId="7" numFmtId="20" xfId="0" applyAlignment="1" applyBorder="1" applyFont="1" applyNumberFormat="1">
      <alignment horizontal="center" vertical="bottom"/>
    </xf>
    <xf borderId="5" fillId="14" fontId="14" numFmtId="20" xfId="0" applyAlignment="1" applyBorder="1" applyFill="1" applyFont="1" applyNumberFormat="1">
      <alignment horizontal="center" vertical="bottom"/>
    </xf>
    <xf borderId="15" fillId="5" fontId="7" numFmtId="0" xfId="0" applyAlignment="1" applyBorder="1" applyFont="1">
      <alignment horizontal="center" readingOrder="0"/>
    </xf>
    <xf borderId="15" fillId="5" fontId="7" numFmtId="0" xfId="0" applyAlignment="1" applyBorder="1" applyFont="1">
      <alignment horizontal="center"/>
    </xf>
    <xf borderId="15" fillId="5" fontId="7" numFmtId="0" xfId="0" applyAlignment="1" applyBorder="1" applyFont="1">
      <alignment horizontal="left"/>
    </xf>
    <xf borderId="5" fillId="7" fontId="7" numFmtId="20" xfId="0" applyAlignment="1" applyBorder="1" applyFont="1" applyNumberFormat="1">
      <alignment horizontal="center" readingOrder="0" vertical="bottom"/>
    </xf>
    <xf borderId="5" fillId="14" fontId="14" numFmtId="0" xfId="0" applyAlignment="1" applyBorder="1" applyFont="1">
      <alignment horizontal="center" readingOrder="0" vertical="bottom"/>
    </xf>
    <xf borderId="0" fillId="5" fontId="7" numFmtId="0" xfId="0" applyAlignment="1" applyFont="1">
      <alignment horizontal="center" readingOrder="0" vertical="bottom"/>
    </xf>
    <xf borderId="5" fillId="7" fontId="10" numFmtId="20" xfId="0" applyAlignment="1" applyBorder="1" applyFont="1" applyNumberFormat="1">
      <alignment horizontal="center" vertical="bottom"/>
    </xf>
    <xf borderId="5" fillId="9" fontId="10" numFmtId="20" xfId="0" applyAlignment="1" applyBorder="1" applyFont="1" applyNumberFormat="1">
      <alignment horizontal="center" vertical="bottom"/>
    </xf>
    <xf borderId="5" fillId="15" fontId="14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readingOrder="0"/>
    </xf>
    <xf borderId="15" fillId="0" fontId="7" numFmtId="0" xfId="0" applyAlignment="1" applyBorder="1" applyFont="1">
      <alignment horizontal="left"/>
    </xf>
    <xf borderId="0" fillId="5" fontId="7" numFmtId="0" xfId="0" applyAlignment="1" applyFont="1">
      <alignment horizontal="center" vertical="bottom"/>
    </xf>
    <xf borderId="5" fillId="14" fontId="14" numFmtId="0" xfId="0" applyAlignment="1" applyBorder="1" applyFont="1">
      <alignment horizontal="center" vertical="bottom"/>
    </xf>
    <xf borderId="17" fillId="5" fontId="7" numFmtId="0" xfId="0" applyAlignment="1" applyBorder="1" applyFont="1">
      <alignment horizontal="left" vertical="bottom"/>
    </xf>
    <xf borderId="5" fillId="15" fontId="10" numFmtId="20" xfId="0" applyAlignment="1" applyBorder="1" applyFont="1" applyNumberFormat="1">
      <alignment horizontal="center" vertical="bottom"/>
    </xf>
    <xf borderId="5" fillId="16" fontId="7" numFmtId="20" xfId="0" applyAlignment="1" applyBorder="1" applyFill="1" applyFont="1" applyNumberFormat="1">
      <alignment horizontal="center" vertical="bottom"/>
    </xf>
    <xf borderId="5" fillId="7" fontId="7" numFmtId="0" xfId="0" applyAlignment="1" applyBorder="1" applyFont="1">
      <alignment horizontal="center" readingOrder="0" vertical="bottom"/>
    </xf>
    <xf borderId="5" fillId="14" fontId="14" numFmtId="20" xfId="0" applyAlignment="1" applyBorder="1" applyFont="1" applyNumberFormat="1">
      <alignment horizontal="center" readingOrder="0" vertical="bottom"/>
    </xf>
    <xf borderId="0" fillId="5" fontId="7" numFmtId="0" xfId="0" applyAlignment="1" applyFont="1">
      <alignment horizontal="center" readingOrder="0"/>
    </xf>
    <xf borderId="0" fillId="17" fontId="5" numFmtId="20" xfId="0" applyAlignment="1" applyFill="1" applyFont="1" applyNumberFormat="1">
      <alignment readingOrder="0"/>
    </xf>
    <xf borderId="0" fillId="17" fontId="5" numFmtId="20" xfId="0" applyFont="1" applyNumberFormat="1"/>
    <xf borderId="12" fillId="4" fontId="7" numFmtId="0" xfId="0" applyAlignment="1" applyBorder="1" applyFont="1">
      <alignment horizontal="center"/>
    </xf>
    <xf borderId="12" fillId="4" fontId="7" numFmtId="0" xfId="0" applyAlignment="1" applyBorder="1" applyFont="1">
      <alignment horizontal="left"/>
    </xf>
    <xf borderId="12" fillId="7" fontId="7" numFmtId="1" xfId="0" applyAlignment="1" applyBorder="1" applyFont="1" applyNumberFormat="1">
      <alignment horizontal="left" readingOrder="0"/>
    </xf>
    <xf borderId="5" fillId="18" fontId="7" numFmtId="1" xfId="0" applyAlignment="1" applyBorder="1" applyFill="1" applyFont="1" applyNumberFormat="1">
      <alignment horizontal="center"/>
    </xf>
    <xf borderId="5" fillId="4" fontId="7" numFmtId="0" xfId="0" applyAlignment="1" applyBorder="1" applyFont="1">
      <alignment horizontal="center"/>
    </xf>
    <xf borderId="5" fillId="4" fontId="7" numFmtId="0" xfId="0" applyAlignment="1" applyBorder="1" applyFont="1">
      <alignment horizontal="left"/>
    </xf>
    <xf borderId="5" fillId="16" fontId="7" numFmtId="1" xfId="0" applyAlignment="1" applyBorder="1" applyFont="1" applyNumberFormat="1">
      <alignment horizontal="left" readingOrder="0"/>
    </xf>
    <xf borderId="5" fillId="6" fontId="7" numFmtId="0" xfId="0" applyAlignment="1" applyBorder="1" applyFont="1">
      <alignment horizontal="left"/>
    </xf>
    <xf borderId="5" fillId="6" fontId="7" numFmtId="1" xfId="0" applyAlignment="1" applyBorder="1" applyFont="1" applyNumberFormat="1">
      <alignment horizontal="center"/>
    </xf>
    <xf borderId="5" fillId="6" fontId="7" numFmtId="0" xfId="0" applyAlignment="1" applyBorder="1" applyFont="1">
      <alignment horizontal="center"/>
    </xf>
    <xf borderId="5" fillId="2" fontId="15" numFmtId="0" xfId="0" applyAlignment="1" applyBorder="1" applyFont="1">
      <alignment horizontal="center"/>
    </xf>
    <xf borderId="5" fillId="2" fontId="15" numFmtId="0" xfId="0" applyAlignment="1" applyBorder="1" applyFont="1">
      <alignment horizontal="left"/>
    </xf>
    <xf borderId="5" fillId="2" fontId="15" numFmtId="168" xfId="0" applyAlignment="1" applyBorder="1" applyFont="1" applyNumberFormat="1">
      <alignment horizontal="center"/>
    </xf>
    <xf borderId="5" fillId="0" fontId="7" numFmtId="0" xfId="0" applyAlignment="1" applyBorder="1" applyFont="1">
      <alignment horizontal="center" vertical="bottom"/>
    </xf>
    <xf borderId="5" fillId="0" fontId="7" numFmtId="20" xfId="0" applyAlignment="1" applyBorder="1" applyFont="1" applyNumberFormat="1">
      <alignment horizontal="center" readingOrder="0" vertical="bottom"/>
    </xf>
    <xf borderId="5" fillId="0" fontId="16" numFmtId="0" xfId="0" applyAlignment="1" applyBorder="1" applyFont="1">
      <alignment horizontal="center" vertical="bottom"/>
    </xf>
    <xf borderId="5" fillId="19" fontId="7" numFmtId="20" xfId="0" applyAlignment="1" applyBorder="1" applyFill="1" applyFont="1" applyNumberFormat="1">
      <alignment horizontal="center" vertical="bottom"/>
    </xf>
    <xf borderId="5" fillId="20" fontId="7" numFmtId="20" xfId="0" applyAlignment="1" applyBorder="1" applyFill="1" applyFont="1" applyNumberFormat="1">
      <alignment horizontal="center" readingOrder="0" vertical="bottom"/>
    </xf>
    <xf borderId="5" fillId="15" fontId="16" numFmtId="20" xfId="0" applyAlignment="1" applyBorder="1" applyFont="1" applyNumberFormat="1">
      <alignment horizontal="center" readingOrder="0" vertical="bottom"/>
    </xf>
    <xf borderId="5" fillId="20" fontId="7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readingOrder="0" vertical="bottom"/>
    </xf>
    <xf borderId="5" fillId="15" fontId="16" numFmtId="20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left" readingOrder="0"/>
    </xf>
    <xf borderId="5" fillId="0" fontId="16" numFmtId="20" xfId="0" applyAlignment="1" applyBorder="1" applyFont="1" applyNumberFormat="1">
      <alignment horizontal="center" readingOrder="0" vertical="bottom"/>
    </xf>
    <xf borderId="5" fillId="0" fontId="16" numFmtId="20" xfId="0" applyAlignment="1" applyBorder="1" applyFont="1" applyNumberFormat="1">
      <alignment horizontal="center" vertical="bottom"/>
    </xf>
    <xf borderId="5" fillId="20" fontId="7" numFmtId="20" xfId="0" applyAlignment="1" applyBorder="1" applyFont="1" applyNumberFormat="1">
      <alignment horizontal="center" vertical="bottom"/>
    </xf>
    <xf borderId="5" fillId="0" fontId="14" numFmtId="20" xfId="0" applyAlignment="1" applyBorder="1" applyFont="1" applyNumberFormat="1">
      <alignment horizontal="center" vertical="bottom"/>
    </xf>
    <xf borderId="5" fillId="3" fontId="7" numFmtId="0" xfId="0" applyAlignment="1" applyBorder="1" applyFont="1">
      <alignment horizontal="center" readingOrder="0" vertical="bottom"/>
    </xf>
    <xf borderId="5" fillId="0" fontId="7" numFmtId="20" xfId="0" applyAlignment="1" applyBorder="1" applyFont="1" applyNumberFormat="1">
      <alignment horizontal="center" readingOrder="0" vertical="center"/>
    </xf>
    <xf borderId="5" fillId="4" fontId="7" numFmtId="20" xfId="0" applyAlignment="1" applyBorder="1" applyFont="1" applyNumberFormat="1">
      <alignment horizontal="center" readingOrder="0"/>
    </xf>
    <xf borderId="5" fillId="11" fontId="7" numFmtId="1" xfId="0" applyAlignment="1" applyBorder="1" applyFont="1" applyNumberFormat="1">
      <alignment horizontal="left" readingOrder="0"/>
    </xf>
    <xf borderId="5" fillId="12" fontId="7" numFmtId="1" xfId="0" applyAlignment="1" applyBorder="1" applyFont="1" applyNumberFormat="1">
      <alignment horizontal="left" readingOrder="0"/>
    </xf>
    <xf borderId="5" fillId="4" fontId="7" numFmtId="0" xfId="0" applyAlignment="1" applyBorder="1" applyFont="1">
      <alignment horizontal="center" readingOrder="0"/>
    </xf>
    <xf borderId="5" fillId="7" fontId="14" numFmtId="0" xfId="0" applyAlignment="1" applyBorder="1" applyFon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5" fillId="0" fontId="7" numFmtId="4" xfId="0" applyAlignment="1" applyBorder="1" applyFont="1" applyNumberFormat="1">
      <alignment horizontal="center" vertical="bottom"/>
    </xf>
    <xf borderId="5" fillId="7" fontId="7" numFmtId="1" xfId="0" applyAlignment="1" applyBorder="1" applyFont="1" applyNumberFormat="1">
      <alignment horizontal="left" readingOrder="0"/>
    </xf>
    <xf borderId="5" fillId="7" fontId="7" numFmtId="1" xfId="0" applyAlignment="1" applyBorder="1" applyFont="1" applyNumberFormat="1">
      <alignment horizontal="center"/>
    </xf>
    <xf borderId="5" fillId="16" fontId="7" numFmtId="1" xfId="0" applyAlignment="1" applyBorder="1" applyFont="1" applyNumberFormat="1">
      <alignment horizontal="center"/>
    </xf>
    <xf borderId="19" fillId="4" fontId="17" numFmtId="0" xfId="0" applyAlignment="1" applyBorder="1" applyFont="1">
      <alignment horizontal="center" readingOrder="0" shrinkToFit="0" vertical="center" wrapText="0"/>
    </xf>
    <xf borderId="20" fillId="0" fontId="2" numFmtId="0" xfId="0" applyBorder="1" applyFont="1"/>
    <xf borderId="21" fillId="4" fontId="18" numFmtId="168" xfId="0" applyAlignment="1" applyBorder="1" applyFont="1" applyNumberFormat="1">
      <alignment horizontal="center" readingOrder="0" vertical="bottom"/>
    </xf>
    <xf borderId="21" fillId="4" fontId="19" numFmtId="0" xfId="0" applyAlignment="1" applyBorder="1" applyFont="1">
      <alignment readingOrder="0" vertical="bottom"/>
    </xf>
    <xf borderId="21" fillId="0" fontId="12" numFmtId="20" xfId="0" applyAlignment="1" applyBorder="1" applyFont="1" applyNumberFormat="1">
      <alignment vertical="bottom"/>
    </xf>
    <xf borderId="20" fillId="21" fontId="20" numFmtId="20" xfId="0" applyAlignment="1" applyBorder="1" applyFill="1" applyFont="1" applyNumberFormat="1">
      <alignment horizontal="center" vertical="bottom"/>
    </xf>
    <xf borderId="22" fillId="21" fontId="20" numFmtId="20" xfId="0" applyAlignment="1" applyBorder="1" applyFont="1" applyNumberFormat="1">
      <alignment horizontal="center" vertical="bottom"/>
    </xf>
    <xf borderId="0" fillId="0" fontId="12" numFmtId="20" xfId="0" applyAlignment="1" applyFont="1" applyNumberFormat="1">
      <alignment vertical="bottom"/>
    </xf>
    <xf borderId="22" fillId="22" fontId="20" numFmtId="20" xfId="0" applyAlignment="1" applyBorder="1" applyFill="1" applyFont="1" applyNumberFormat="1">
      <alignment horizontal="center" vertical="bottom"/>
    </xf>
    <xf borderId="20" fillId="23" fontId="20" numFmtId="20" xfId="0" applyAlignment="1" applyBorder="1" applyFill="1" applyFont="1" applyNumberFormat="1">
      <alignment horizontal="center" vertical="bottom"/>
    </xf>
    <xf borderId="21" fillId="0" fontId="21" numFmtId="20" xfId="0" applyAlignment="1" applyBorder="1" applyFont="1" applyNumberFormat="1">
      <alignment vertical="bottom"/>
    </xf>
    <xf borderId="21" fillId="4" fontId="19" numFmtId="0" xfId="0" applyAlignment="1" applyBorder="1" applyFont="1">
      <alignment vertical="bottom"/>
    </xf>
    <xf borderId="21" fillId="9" fontId="20" numFmtId="20" xfId="0" applyAlignment="1" applyBorder="1" applyFont="1" applyNumberFormat="1">
      <alignment horizontal="center" vertical="bottom"/>
    </xf>
    <xf borderId="23" fillId="9" fontId="20" numFmtId="20" xfId="0" applyAlignment="1" applyBorder="1" applyFont="1" applyNumberFormat="1">
      <alignment horizontal="center" vertical="bottom"/>
    </xf>
    <xf borderId="21" fillId="21" fontId="20" numFmtId="20" xfId="0" applyAlignment="1" applyBorder="1" applyFont="1" applyNumberFormat="1">
      <alignment horizontal="center" vertical="bottom"/>
    </xf>
    <xf borderId="23" fillId="0" fontId="12" numFmtId="20" xfId="0" applyAlignment="1" applyBorder="1" applyFont="1" applyNumberFormat="1">
      <alignment vertical="bottom"/>
    </xf>
    <xf borderId="21" fillId="0" fontId="12" numFmtId="0" xfId="0" applyAlignment="1" applyBorder="1" applyFont="1">
      <alignment vertical="bottom"/>
    </xf>
    <xf borderId="21" fillId="16" fontId="20" numFmtId="20" xfId="0" applyAlignment="1" applyBorder="1" applyFont="1" applyNumberForma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5" fontId="22" numFmtId="0" xfId="0" applyAlignment="1" applyFont="1">
      <alignment horizontal="center" vertical="bottom"/>
    </xf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bottom"/>
    </xf>
    <xf borderId="5" fillId="0" fontId="21" numFmtId="1" xfId="0" applyAlignment="1" applyBorder="1" applyFont="1" applyNumberFormat="1">
      <alignment horizontal="center" readingOrder="0" vertical="bottom"/>
    </xf>
    <xf borderId="5" fillId="7" fontId="23" numFmtId="169" xfId="0" applyAlignment="1" applyBorder="1" applyFont="1" applyNumberFormat="1">
      <alignment horizontal="center" vertical="bottom"/>
    </xf>
    <xf borderId="5" fillId="0" fontId="23" numFmtId="0" xfId="0" applyAlignment="1" applyBorder="1" applyFont="1">
      <alignment horizontal="center" vertical="bottom"/>
    </xf>
    <xf borderId="0" fillId="0" fontId="2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24" fontId="25" numFmtId="0" xfId="0" applyAlignment="1" applyFill="1" applyFont="1">
      <alignment horizontal="center" readingOrder="0" shrinkToFit="0" vertical="bottom" wrapText="0"/>
    </xf>
    <xf borderId="0" fillId="24" fontId="25" numFmtId="0" xfId="0" applyAlignment="1" applyFont="1">
      <alignment horizontal="left" readingOrder="0" shrinkToFit="0" vertical="bottom" wrapText="0"/>
    </xf>
    <xf borderId="0" fillId="24" fontId="25" numFmtId="170" xfId="0" applyAlignment="1" applyFont="1" applyNumberFormat="1">
      <alignment horizontal="center" shrinkToFit="0" vertical="bottom" wrapText="0"/>
    </xf>
    <xf borderId="5" fillId="3" fontId="26" numFmtId="0" xfId="0" applyAlignment="1" applyBorder="1" applyFont="1">
      <alignment horizontal="center" readingOrder="0" vertical="center"/>
    </xf>
    <xf borderId="5" fillId="3" fontId="21" numFmtId="0" xfId="0" applyAlignment="1" applyBorder="1" applyFont="1">
      <alignment readingOrder="0" vertical="bottom"/>
    </xf>
    <xf borderId="5" fillId="3" fontId="10" numFmtId="1" xfId="0" applyAlignment="1" applyBorder="1" applyFont="1" applyNumberFormat="1">
      <alignment horizontal="center" readingOrder="0" vertical="bottom"/>
    </xf>
    <xf borderId="5" fillId="3" fontId="21" numFmtId="20" xfId="0" applyAlignment="1" applyBorder="1" applyFont="1" applyNumberFormat="1">
      <alignment horizontal="center" readingOrder="0" vertical="bottom"/>
    </xf>
    <xf borderId="5" fillId="3" fontId="10" numFmtId="0" xfId="0" applyAlignment="1" applyBorder="1" applyFont="1">
      <alignment horizontal="center" readingOrder="0" vertical="bottom"/>
    </xf>
    <xf borderId="0" fillId="0" fontId="27" numFmtId="0" xfId="0" applyAlignment="1" applyFont="1">
      <alignment vertical="bottom"/>
    </xf>
    <xf borderId="0" fillId="0" fontId="27" numFmtId="20" xfId="0" applyAlignment="1" applyFont="1" applyNumberFormat="1">
      <alignment readingOrder="0" vertical="bottom"/>
    </xf>
    <xf borderId="0" fillId="0" fontId="28" numFmtId="0" xfId="0" applyAlignment="1" applyFont="1">
      <alignment horizontal="center" readingOrder="0" vertical="bottom"/>
    </xf>
    <xf borderId="0" fillId="0" fontId="28" numFmtId="0" xfId="0" applyAlignment="1" applyFont="1">
      <alignment horizontal="left" readingOrder="0" vertical="bottom"/>
    </xf>
    <xf borderId="0" fillId="0" fontId="28" numFmtId="169" xfId="0" applyAlignment="1" applyFont="1" applyNumberFormat="1">
      <alignment horizontal="center" readingOrder="0" vertical="bottom"/>
    </xf>
    <xf borderId="0" fillId="0" fontId="28" numFmtId="169" xfId="0" applyAlignment="1" applyFont="1" applyNumberForma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0" fillId="0" fontId="29" numFmtId="0" xfId="0" applyAlignment="1" applyFont="1">
      <alignment horizontal="center" vertical="bottom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28" numFmtId="169" xfId="0" applyAlignment="1" applyFont="1" applyNumberFormat="1">
      <alignment horizontal="center" readingOrder="0" shrinkToFit="0" vertical="bottom" wrapText="0"/>
    </xf>
    <xf borderId="0" fillId="0" fontId="28" numFmtId="169" xfId="0" applyAlignment="1" applyFont="1" applyNumberFormat="1">
      <alignment horizontal="center"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readingOrder="0" vertical="bottom"/>
    </xf>
    <xf borderId="0" fillId="0" fontId="30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horizontal="left" readingOrder="0" shrinkToFit="0" vertical="center" wrapText="0"/>
    </xf>
    <xf borderId="0" fillId="0" fontId="30" numFmtId="169" xfId="0" applyAlignment="1" applyFont="1" applyNumberFormat="1">
      <alignment horizontal="center" readingOrder="0" shrinkToFit="0" vertical="center" wrapText="0"/>
    </xf>
    <xf borderId="0" fillId="0" fontId="30" numFmtId="20" xfId="0" applyAlignment="1" applyFont="1" applyNumberFormat="1">
      <alignment horizontal="center" readingOrder="0" shrinkToFit="0" vertical="center" wrapText="0"/>
    </xf>
    <xf borderId="0" fillId="0" fontId="30" numFmtId="3" xfId="0" applyAlignment="1" applyFont="1" applyNumberFormat="1">
      <alignment horizontal="center" readingOrder="0" shrinkToFit="0" vertical="center" wrapText="0"/>
    </xf>
    <xf borderId="0" fillId="0" fontId="27" numFmtId="4" xfId="0" applyAlignment="1" applyFont="1" applyNumberFormat="1">
      <alignment readingOrder="0" vertical="bottom"/>
    </xf>
    <xf borderId="0" fillId="0" fontId="29" numFmtId="171" xfId="0" applyAlignment="1" applyFont="1" applyNumberFormat="1">
      <alignment horizontal="center" readingOrder="0" vertical="bottom"/>
    </xf>
    <xf borderId="0" fillId="24" fontId="25" numFmtId="165" xfId="0" applyAlignment="1" applyFont="1" applyNumberFormat="1">
      <alignment horizontal="center" readingOrder="0" shrinkToFit="0" vertical="bottom" wrapText="0"/>
    </xf>
    <xf borderId="0" fillId="0" fontId="31" numFmtId="0" xfId="0" applyAlignment="1" applyFont="1">
      <alignment readingOrder="0" vertical="bottom"/>
    </xf>
    <xf borderId="5" fillId="0" fontId="26" numFmtId="0" xfId="0" applyAlignment="1" applyBorder="1" applyFont="1">
      <alignment horizontal="center" readingOrder="0" vertical="center"/>
    </xf>
    <xf borderId="5" fillId="25" fontId="21" numFmtId="0" xfId="0" applyAlignment="1" applyBorder="1" applyFill="1" applyFont="1">
      <alignment readingOrder="0" vertical="bottom"/>
    </xf>
    <xf borderId="5" fillId="25" fontId="10" numFmtId="1" xfId="0" applyAlignment="1" applyBorder="1" applyFont="1" applyNumberFormat="1">
      <alignment horizontal="center" readingOrder="0" vertical="bottom"/>
    </xf>
    <xf borderId="5" fillId="25" fontId="21" numFmtId="169" xfId="0" applyAlignment="1" applyBorder="1" applyFont="1" applyNumberFormat="1">
      <alignment horizontal="center" readingOrder="0" vertical="bottom"/>
    </xf>
    <xf borderId="5" fillId="25" fontId="10" numFmtId="0" xfId="0" applyAlignment="1" applyBorder="1" applyFont="1">
      <alignment horizontal="center" readingOrder="0" vertical="bottom"/>
    </xf>
    <xf borderId="0" fillId="0" fontId="31" numFmtId="20" xfId="0" applyAlignment="1" applyFont="1" applyNumberFormat="1">
      <alignment readingOrder="0" vertical="bottom"/>
    </xf>
    <xf borderId="5" fillId="25" fontId="10" numFmtId="0" xfId="0" applyAlignment="1" applyBorder="1" applyFont="1">
      <alignment horizontal="center" vertical="bottom"/>
    </xf>
    <xf borderId="0" fillId="0" fontId="5" numFmtId="20" xfId="0" applyAlignment="1" applyFont="1" applyNumberFormat="1">
      <alignment readingOrder="0"/>
    </xf>
    <xf borderId="5" fillId="0" fontId="21" numFmtId="0" xfId="0" applyAlignment="1" applyBorder="1" applyFont="1">
      <alignment readingOrder="0" vertical="bottom"/>
    </xf>
    <xf borderId="5" fillId="0" fontId="10" numFmtId="1" xfId="0" applyAlignment="1" applyBorder="1" applyFont="1" applyNumberFormat="1">
      <alignment horizontal="center" readingOrder="0" vertical="bottom"/>
    </xf>
    <xf borderId="5" fillId="0" fontId="21" numFmtId="169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11" fontId="26" numFmtId="0" xfId="0" applyAlignment="1" applyBorder="1" applyFont="1">
      <alignment horizontal="center" readingOrder="0" vertical="center"/>
    </xf>
    <xf borderId="5" fillId="11" fontId="21" numFmtId="0" xfId="0" applyAlignment="1" applyBorder="1" applyFont="1">
      <alignment readingOrder="0" vertical="bottom"/>
    </xf>
    <xf borderId="5" fillId="11" fontId="10" numFmtId="1" xfId="0" applyAlignment="1" applyBorder="1" applyFont="1" applyNumberFormat="1">
      <alignment horizontal="center" readingOrder="0" vertical="bottom"/>
    </xf>
    <xf borderId="5" fillId="11" fontId="21" numFmtId="169" xfId="0" applyAlignment="1" applyBorder="1" applyFont="1" applyNumberFormat="1">
      <alignment horizontal="center" vertical="bottom"/>
    </xf>
    <xf borderId="5" fillId="11" fontId="10" numFmtId="0" xfId="0" applyAlignment="1" applyBorder="1" applyFont="1">
      <alignment horizontal="center" readingOrder="0" vertical="bottom"/>
    </xf>
    <xf borderId="5" fillId="11" fontId="21" numFmtId="0" xfId="0" applyAlignment="1" applyBorder="1" applyFont="1">
      <alignment horizontal="center" readingOrder="0" vertical="bottom"/>
    </xf>
    <xf borderId="0" fillId="24" fontId="25" numFmtId="172" xfId="0" applyAlignment="1" applyFont="1" applyNumberFormat="1">
      <alignment horizontal="center" shrinkToFit="0" vertical="bottom" wrapText="0"/>
    </xf>
    <xf borderId="0" fillId="0" fontId="5" numFmtId="169" xfId="0" applyFont="1" applyNumberFormat="1"/>
    <xf borderId="0" fillId="0" fontId="31" numFmtId="169" xfId="0" applyAlignment="1" applyFont="1" applyNumberFormat="1">
      <alignment vertical="bottom"/>
    </xf>
    <xf borderId="5" fillId="0" fontId="32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bottom"/>
    </xf>
    <xf borderId="5" fillId="0" fontId="21" numFmtId="0" xfId="0" applyAlignment="1" applyBorder="1" applyFont="1">
      <alignment horizontal="center" readingOrder="0" vertical="bottom"/>
    </xf>
    <xf borderId="5" fillId="26" fontId="32" numFmtId="0" xfId="0" applyAlignment="1" applyBorder="1" applyFill="1" applyFont="1">
      <alignment horizontal="center" readingOrder="0" vertical="center"/>
    </xf>
    <xf borderId="5" fillId="26" fontId="21" numFmtId="0" xfId="0" applyAlignment="1" applyBorder="1" applyFont="1">
      <alignment readingOrder="0" vertical="bottom"/>
    </xf>
    <xf borderId="5" fillId="26" fontId="10" numFmtId="1" xfId="0" applyAlignment="1" applyBorder="1" applyFont="1" applyNumberFormat="1">
      <alignment horizontal="center" readingOrder="0" vertical="bottom"/>
    </xf>
    <xf borderId="5" fillId="26" fontId="21" numFmtId="169" xfId="0" applyAlignment="1" applyBorder="1" applyFont="1" applyNumberFormat="1">
      <alignment horizontal="center" vertical="bottom"/>
    </xf>
    <xf borderId="5" fillId="26" fontId="10" numFmtId="0" xfId="0" applyAlignment="1" applyBorder="1" applyFont="1">
      <alignment horizontal="center" readingOrder="0" vertical="bottom"/>
    </xf>
    <xf borderId="5" fillId="26" fontId="21" numFmtId="0" xfId="0" applyAlignment="1" applyBorder="1" applyFont="1">
      <alignment horizontal="center" readingOrder="0" vertical="bottom"/>
    </xf>
    <xf borderId="0" fillId="24" fontId="25" numFmtId="173" xfId="0" applyAlignment="1" applyFont="1" applyNumberFormat="1">
      <alignment horizontal="center" shrinkToFit="0" vertical="bottom" wrapText="0"/>
    </xf>
    <xf borderId="5" fillId="26" fontId="12" numFmtId="0" xfId="0" applyAlignment="1" applyBorder="1" applyFont="1">
      <alignment horizontal="center" readingOrder="0" vertical="bottom"/>
    </xf>
    <xf borderId="5" fillId="26" fontId="12" numFmtId="169" xfId="0" applyAlignment="1" applyBorder="1" applyFont="1" applyNumberFormat="1">
      <alignment horizontal="center" vertical="bottom"/>
    </xf>
    <xf borderId="5" fillId="27" fontId="32" numFmtId="0" xfId="0" applyAlignment="1" applyBorder="1" applyFill="1" applyFont="1">
      <alignment horizontal="center" readingOrder="0" vertical="center"/>
    </xf>
    <xf borderId="5" fillId="27" fontId="12" numFmtId="0" xfId="0" applyAlignment="1" applyBorder="1" applyFont="1">
      <alignment readingOrder="0" vertical="bottom"/>
    </xf>
    <xf borderId="5" fillId="27" fontId="12" numFmtId="0" xfId="0" applyAlignment="1" applyBorder="1" applyFont="1">
      <alignment horizontal="center" readingOrder="0" vertical="bottom"/>
    </xf>
    <xf borderId="5" fillId="27" fontId="12" numFmtId="169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horizontal="center" readingOrder="0" vertical="bottom"/>
    </xf>
    <xf borderId="5" fillId="0" fontId="12" numFmtId="169" xfId="0" applyAlignment="1" applyBorder="1" applyFont="1" applyNumberFormat="1">
      <alignment horizontal="center" vertical="bottom"/>
    </xf>
    <xf borderId="5" fillId="27" fontId="26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5" fillId="27" fontId="7" numFmtId="1" xfId="0" applyAlignment="1" applyBorder="1" applyFont="1" applyNumberFormat="1">
      <alignment horizontal="center" readingOrder="0" vertical="bottom"/>
    </xf>
    <xf borderId="5" fillId="27" fontId="7" numFmtId="0" xfId="0" applyAlignment="1" applyBorder="1" applyFont="1">
      <alignment horizontal="center" readingOrder="0" vertical="bottom"/>
    </xf>
    <xf borderId="0" fillId="0" fontId="31" numFmtId="0" xfId="0" applyAlignment="1" applyFont="1">
      <alignment vertical="bottom"/>
    </xf>
    <xf borderId="5" fillId="0" fontId="7" numFmtId="1" xfId="0" applyAlignment="1" applyBorder="1" applyFont="1" applyNumberFormat="1">
      <alignment horizontal="center" readingOrder="0" vertical="bottom"/>
    </xf>
    <xf borderId="5" fillId="9" fontId="26" numFmtId="0" xfId="0" applyAlignment="1" applyBorder="1" applyFont="1">
      <alignment horizontal="center" readingOrder="0" vertical="center"/>
    </xf>
    <xf borderId="5" fillId="9" fontId="12" numFmtId="0" xfId="0" applyAlignment="1" applyBorder="1" applyFont="1">
      <alignment readingOrder="0" vertical="bottom"/>
    </xf>
    <xf borderId="5" fillId="9" fontId="7" numFmtId="1" xfId="0" applyAlignment="1" applyBorder="1" applyFont="1" applyNumberFormat="1">
      <alignment horizontal="center" readingOrder="0" vertical="bottom"/>
    </xf>
    <xf borderId="5" fillId="9" fontId="12" numFmtId="169" xfId="0" applyAlignment="1" applyBorder="1" applyFont="1" applyNumberFormat="1">
      <alignment horizontal="center" vertical="bottom"/>
    </xf>
    <xf borderId="5" fillId="9" fontId="7" numFmtId="0" xfId="0" applyAlignment="1" applyBorder="1" applyFont="1">
      <alignment horizontal="center" readingOrder="0" vertical="bottom"/>
    </xf>
    <xf borderId="5" fillId="9" fontId="7" numFmtId="0" xfId="0" applyAlignment="1" applyBorder="1" applyFont="1">
      <alignment horizontal="center" vertical="bottom"/>
    </xf>
    <xf borderId="5" fillId="9" fontId="10" numFmtId="1" xfId="0" applyAlignment="1" applyBorder="1" applyFont="1" applyNumberFormat="1">
      <alignment horizontal="center" readingOrder="0" vertical="bottom"/>
    </xf>
    <xf borderId="0" fillId="0" fontId="31" numFmtId="169" xfId="0" applyAlignment="1" applyFont="1" applyNumberFormat="1">
      <alignment readingOrder="0" vertical="bottom"/>
    </xf>
    <xf borderId="24" fillId="0" fontId="26" numFmtId="0" xfId="0" applyAlignment="1" applyBorder="1" applyFont="1">
      <alignment horizontal="center" readingOrder="0" vertical="center"/>
    </xf>
    <xf borderId="25" fillId="0" fontId="2" numFmtId="0" xfId="0" applyBorder="1" applyFont="1"/>
    <xf borderId="12" fillId="0" fontId="2" numFmtId="0" xfId="0" applyBorder="1" applyFont="1"/>
    <xf borderId="0" fillId="0" fontId="30" numFmtId="0" xfId="0" applyAlignment="1" applyFont="1">
      <alignment horizontal="center" readingOrder="0" shrinkToFit="0" vertical="center" wrapText="0"/>
    </xf>
    <xf borderId="5" fillId="0" fontId="21" numFmtId="169" xfId="0" applyAlignment="1" applyBorder="1" applyFont="1" applyNumberFormat="1">
      <alignment horizontal="center" readingOrder="0" vertical="bottom"/>
    </xf>
    <xf borderId="5" fillId="7" fontId="32" numFmtId="0" xfId="0" applyAlignment="1" applyBorder="1" applyFont="1">
      <alignment horizontal="center" readingOrder="0" vertical="center"/>
    </xf>
    <xf borderId="5" fillId="7" fontId="21" numFmtId="0" xfId="0" applyAlignment="1" applyBorder="1" applyFont="1">
      <alignment readingOrder="0" vertical="bottom"/>
    </xf>
    <xf borderId="5" fillId="7" fontId="10" numFmtId="1" xfId="0" applyAlignment="1" applyBorder="1" applyFont="1" applyNumberFormat="1">
      <alignment horizontal="center" readingOrder="0" vertical="bottom"/>
    </xf>
    <xf borderId="5" fillId="7" fontId="21" numFmtId="169" xfId="0" applyAlignment="1" applyBorder="1" applyFont="1" applyNumberFormat="1">
      <alignment horizontal="center" readingOrder="0" vertical="bottom"/>
    </xf>
    <xf borderId="5" fillId="7" fontId="10" numFmtId="0" xfId="0" applyAlignment="1" applyBorder="1" applyFont="1">
      <alignment horizontal="center" readingOrder="0" vertical="bottom"/>
    </xf>
    <xf borderId="5" fillId="7" fontId="21" numFmtId="0" xfId="0" applyAlignment="1" applyBorder="1" applyFont="1">
      <alignment horizontal="center" readingOrder="0" vertical="bottom"/>
    </xf>
    <xf borderId="0" fillId="0" fontId="12" numFmtId="0" xfId="0" applyAlignment="1" applyFont="1">
      <alignment vertical="bottom"/>
    </xf>
    <xf borderId="0" fillId="0" fontId="12" numFmtId="169" xfId="0" applyAlignment="1" applyFont="1" applyNumberFormat="1">
      <alignment readingOrder="0" vertical="bottom"/>
    </xf>
    <xf borderId="0" fillId="0" fontId="5" numFmtId="0" xfId="0" applyAlignment="1" applyFont="1">
      <alignment horizontal="center" readingOrder="0" vertical="bottom"/>
    </xf>
    <xf borderId="5" fillId="22" fontId="32" numFmtId="0" xfId="0" applyAlignment="1" applyBorder="1" applyFont="1">
      <alignment horizontal="center" readingOrder="0" vertical="center"/>
    </xf>
    <xf borderId="5" fillId="22" fontId="21" numFmtId="0" xfId="0" applyAlignment="1" applyBorder="1" applyFont="1">
      <alignment readingOrder="0" vertical="bottom"/>
    </xf>
    <xf borderId="5" fillId="22" fontId="10" numFmtId="1" xfId="0" applyAlignment="1" applyBorder="1" applyFont="1" applyNumberFormat="1">
      <alignment horizontal="center" readingOrder="0" vertical="bottom"/>
    </xf>
    <xf borderId="5" fillId="22" fontId="21" numFmtId="169" xfId="0" applyAlignment="1" applyBorder="1" applyFont="1" applyNumberFormat="1">
      <alignment horizontal="center" readingOrder="0" vertical="bottom"/>
    </xf>
    <xf borderId="5" fillId="22" fontId="10" numFmtId="0" xfId="0" applyAlignment="1" applyBorder="1" applyFont="1">
      <alignment horizontal="center" readingOrder="0" vertical="bottom"/>
    </xf>
    <xf borderId="5" fillId="22" fontId="21" numFmtId="0" xfId="0" applyAlignment="1" applyBorder="1" applyFont="1">
      <alignment horizontal="center" readingOrder="0" vertical="bottom"/>
    </xf>
    <xf borderId="5" fillId="22" fontId="12" numFmtId="0" xfId="0" applyAlignment="1" applyBorder="1" applyFont="1">
      <alignment vertical="bottom"/>
    </xf>
    <xf borderId="5" fillId="22" fontId="12" numFmtId="0" xfId="0" applyAlignment="1" applyBorder="1" applyFont="1">
      <alignment horizontal="center" readingOrder="0" vertical="bottom"/>
    </xf>
    <xf borderId="0" fillId="0" fontId="29" numFmtId="170" xfId="0" applyAlignment="1" applyFont="1" applyNumberFormat="1">
      <alignment horizontal="center" readingOrder="0" vertical="bottom"/>
    </xf>
    <xf borderId="5" fillId="0" fontId="12" numFmtId="0" xfId="0" applyAlignment="1" applyBorder="1" applyFont="1">
      <alignment horizontal="center" vertical="bottom"/>
    </xf>
    <xf borderId="0" fillId="0" fontId="25" numFmtId="0" xfId="0" applyAlignment="1" applyFont="1">
      <alignment readingOrder="0" shrinkToFit="0" vertical="bottom" wrapText="0"/>
    </xf>
    <xf borderId="5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bottom"/>
    </xf>
    <xf borderId="0" fillId="0" fontId="12" numFmtId="169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30" numFmtId="0" xfId="0" applyAlignment="1" applyFont="1">
      <alignment horizontal="left" readingOrder="0" shrinkToFit="0" vertical="center" wrapText="0"/>
    </xf>
    <xf borderId="0" fillId="0" fontId="30" numFmtId="169" xfId="0" applyAlignment="1" applyFont="1" applyNumberFormat="1">
      <alignment horizontal="center" readingOrder="0" shrinkToFit="0" vertical="center" wrapText="0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5" numFmtId="169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4" xfId="0" applyAlignment="1" applyFont="1" applyNumberFormat="1">
      <alignment horizontal="center" readingOrder="0"/>
    </xf>
    <xf borderId="0" fillId="0" fontId="5" numFmtId="175" xfId="0" applyAlignment="1" applyFont="1" applyNumberFormat="1">
      <alignment horizontal="center" readingOrder="0"/>
    </xf>
    <xf borderId="0" fillId="0" fontId="12" numFmtId="0" xfId="0" applyAlignment="1" applyFont="1">
      <alignment horizontal="center" vertical="center"/>
    </xf>
    <xf borderId="0" fillId="0" fontId="33" numFmtId="170" xfId="0" applyAlignment="1" applyFont="1" applyNumberFormat="1">
      <alignment horizontal="center" readingOrder="0" shrinkToFit="0" vertical="bottom" wrapText="0"/>
    </xf>
    <xf borderId="0" fillId="0" fontId="34" numFmtId="0" xfId="0" applyAlignment="1" applyFont="1">
      <alignment horizontal="center" readingOrder="0" vertical="bottom"/>
    </xf>
    <xf borderId="0" fillId="0" fontId="33" numFmtId="176" xfId="0" applyAlignment="1" applyFont="1" applyNumberFormat="1">
      <alignment horizontal="center" shrinkToFit="0" vertical="bottom" wrapText="0"/>
    </xf>
    <xf borderId="0" fillId="0" fontId="5" numFmtId="169" xfId="0" applyAlignment="1" applyFont="1" applyNumberFormat="1">
      <alignment horizontal="center"/>
    </xf>
    <xf borderId="0" fillId="0" fontId="5" numFmtId="175" xfId="0" applyAlignment="1" applyFont="1" applyNumberFormat="1">
      <alignment horizontal="center"/>
    </xf>
    <xf borderId="0" fillId="0" fontId="5" numFmtId="177" xfId="0" applyAlignment="1" applyFont="1" applyNumberFormat="1">
      <alignment horizontal="center" vertical="center"/>
    </xf>
    <xf borderId="0" fillId="0" fontId="35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0" xfId="0" applyAlignment="1" applyFon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6" numFmtId="0" xfId="0" applyFont="1"/>
  </cellXfs>
  <cellStyles count="1">
    <cellStyle xfId="0" name="Normal" builtinId="0"/>
  </cellStyles>
  <dxfs count="42">
    <dxf>
      <font/>
      <fill>
        <patternFill patternType="solid">
          <fgColor rgb="FFF2FCEF"/>
          <bgColor rgb="FFF2FCE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6E7ED"/>
          <bgColor rgb="FFC6E7ED"/>
        </patternFill>
      </fill>
      <border/>
    </dxf>
    <dxf>
      <font/>
      <fill>
        <patternFill patternType="solid">
          <fgColor rgb="FFA5CAD1"/>
          <bgColor rgb="FFA5CAD1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3D3F0"/>
          <bgColor rgb="FFB3D3F0"/>
        </patternFill>
      </fill>
      <border/>
    </dxf>
    <dxf>
      <font/>
      <fill>
        <patternFill patternType="solid">
          <fgColor rgb="FFA1CAF0"/>
          <bgColor rgb="FFA1CAF0"/>
        </patternFill>
      </fill>
      <border/>
    </dxf>
    <dxf>
      <font>
        <b/>
        <color rgb="FFFFFFFF"/>
      </font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C1E6B1"/>
          <bgColor rgb="FFC1E6B1"/>
        </patternFill>
      </fill>
      <border/>
    </dxf>
    <dxf>
      <font>
        <i/>
      </font>
      <fill>
        <patternFill patternType="solid">
          <fgColor rgb="FFC1E6B1"/>
          <bgColor rgb="FFC1E6B1"/>
        </patternFill>
      </fill>
      <border/>
    </dxf>
    <dxf>
      <font/>
      <fill>
        <patternFill patternType="solid">
          <fgColor rgb="FFF0F9FA"/>
          <bgColor rgb="FFF0F9FA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B3D3F0"/>
          <bgColor rgb="FFB3D3F0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E2FAFF"/>
          <bgColor rgb="FFE2FAFF"/>
        </patternFill>
      </fill>
      <border/>
    </dxf>
    <dxf>
      <font/>
      <fill>
        <patternFill patternType="solid">
          <fgColor rgb="FFF1FFF3"/>
          <bgColor rgb="FFF1FFF3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E8EEF9"/>
          <bgColor rgb="FFE8EEF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ABCBFF"/>
          <bgColor rgb="FFABCBFF"/>
        </patternFill>
      </fill>
      <border/>
    </dxf>
    <dxf>
      <font>
        <b/>
        <i/>
      </font>
      <fill>
        <patternFill patternType="solid">
          <fgColor rgb="FFA2C4C9"/>
          <bgColor rgb="FFA2C4C9"/>
        </patternFill>
      </fill>
      <border/>
    </dxf>
    <dxf>
      <font>
        <b/>
        <color rgb="FF000000"/>
      </font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C1E6B1"/>
          <bgColor rgb="FFC1E6B1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000000"/>
      </font>
      <fill>
        <patternFill patternType="solid">
          <fgColor rgb="FF6D9EEB"/>
          <bgColor rgb="FF6D9EEB"/>
        </patternFill>
      </fill>
      <border/>
    </dxf>
    <dxf>
      <font>
        <b/>
        <color rgb="FFFFFFFF"/>
      </font>
      <fill>
        <patternFill patternType="solid">
          <fgColor rgb="FF0C343D"/>
          <bgColor rgb="FF0C343D"/>
        </patternFill>
      </fill>
      <border/>
    </dxf>
    <dxf>
      <font>
        <b/>
        <color rgb="FF000000"/>
      </font>
      <fill>
        <patternFill patternType="solid">
          <fgColor rgb="FF9FC5E8"/>
          <bgColor rgb="FF9FC5E8"/>
        </patternFill>
      </fill>
      <border/>
    </dxf>
    <dxf>
      <font>
        <b/>
        <color rgb="FF000000"/>
      </font>
      <fill>
        <patternFill patternType="solid">
          <fgColor rgb="FFB6D7A8"/>
          <bgColor rgb="FFB6D7A8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</dxfs>
  <tableStyles count="2">
    <tableStyle count="4" pivot="0" name="Roster-style">
      <tableStyleElement dxfId="33" type="headerRow"/>
      <tableStyleElement dxfId="34" type="firstRowStripe"/>
      <tableStyleElement dxfId="35" type="secondRowStripe"/>
      <tableStyleElement dxfId="36" size="0" type="wholeTable"/>
    </tableStyle>
    <tableStyle count="4" pivot="0" name="Nov27Dec25Jan1-style">
      <tableStyleElement dxfId="33" type="headerRow"/>
      <tableStyleElement dxfId="34" type="firstRowStripe"/>
      <tableStyleElement dxfId="35" type="secondRowStripe"/>
      <tableStyleElement dxfId="3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S3:AA121" displayName="VoiceBreak" name="VoiceBreak" id="1">
  <autoFilter ref="$S$3:$AA$121"/>
  <tableColumns count="9">
    <tableColumn name="COD" id="1"/>
    <tableColumn name="EDS" id="2"/>
    <tableColumn name="Agent Name" id="3"/>
    <tableColumn name="Log In" id="4"/>
    <tableColumn name="LoF Out" id="5"/>
    <tableColumn name="Break 1" id="6"/>
    <tableColumn name="Lunch" id="7"/>
    <tableColumn name="Break 2" id="8"/>
    <tableColumn name="Wave" id="9"/>
  </tableColumns>
  <tableStyleInfo name="Roster-style" showColumnStripes="0" showFirstColumn="1" showLastColumn="1" showRowStripes="1"/>
</table>
</file>

<file path=xl/tables/table2.xml><?xml version="1.0" encoding="utf-8"?>
<table xmlns="http://schemas.openxmlformats.org/spreadsheetml/2006/main" ref="A1:F100" displayName="Table1" name="Table1" id="2">
  <autoFilter ref="$A$1:$F$100"/>
  <tableColumns count="6">
    <tableColumn name="Team" id="1"/>
    <tableColumn name="Agent" id="2"/>
    <tableColumn name="Noviembre 27" id="3"/>
    <tableColumn name="Diciembre 25" id="4"/>
    <tableColumn name="Enero 1" id="5"/>
    <tableColumn name="Observaciones" id="6"/>
  </tableColumns>
  <tableStyleInfo name="Nov27Dec25Jan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88"/>
    <col customWidth="1" hidden="1" min="2" max="2" width="15.5"/>
    <col customWidth="1" min="3" max="3" width="22.0"/>
    <col customWidth="1" min="5" max="5" width="15.13"/>
    <col hidden="1" min="8" max="9" width="12.63"/>
  </cols>
  <sheetData>
    <row r="1">
      <c r="A1" s="1"/>
      <c r="B1" s="2"/>
      <c r="C1" s="3"/>
      <c r="D1" s="4" t="s">
        <v>0</v>
      </c>
      <c r="E1" s="5" t="str">
        <f>TEXT(NOW(),"MM/DD/YYYY")</f>
        <v>05/01/2026</v>
      </c>
      <c r="F1" s="6" t="s">
        <v>1</v>
      </c>
      <c r="G1" s="3"/>
      <c r="H1" s="7"/>
      <c r="I1" s="7"/>
    </row>
    <row r="2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/>
      <c r="I2" s="11"/>
    </row>
    <row r="3">
      <c r="A3" s="8" t="s">
        <v>9</v>
      </c>
      <c r="B3" s="12" t="str">
        <f t="array" ref="B3">XLOOKUP(A3,Roster!F:F,Roster!A:A,"",0)</f>
        <v>Mateo Henao</v>
      </c>
      <c r="C3" s="12" t="str">
        <f t="array" ref="C3">XLOOKUP(A3,Roster!F:F,Roster!B:B,"",0)</f>
        <v>Adriana Moncaleano</v>
      </c>
      <c r="D3" s="13" t="str">
        <f t="array" ref="D3">XLOOKUP(A3&amp;INT($E$1),BvsL!A:A,BvsL!F:F,"",0)</f>
        <v/>
      </c>
      <c r="E3" s="13" t="str">
        <f t="array" ref="E3">XLOOKUP(A3&amp;INT($E$1),BvsL!A:A,BvsL!H:H,"",0)</f>
        <v/>
      </c>
      <c r="F3" s="13" t="str">
        <f t="array" ref="F3">XLOOKUP(A3&amp;INT($E$1),BvsL!A:A,BvsL!I:I,"",0)</f>
        <v/>
      </c>
      <c r="G3" s="13" t="str">
        <f t="array" ref="G3">XLOOKUP(A3&amp;INT($E$1),BvsL!A:A,BvsL!J:J,"",0)</f>
        <v/>
      </c>
      <c r="H3" s="14">
        <f t="array" ref="H3">XLOOKUP(A3,Roster!F:F,Roster!D:D,"",0)</f>
        <v>23</v>
      </c>
      <c r="I3" s="14" t="str">
        <f t="array" ref="I3">XLOOKUP(A3,Roster!F:F,Roster!E:E,"",0)</f>
        <v>Voice</v>
      </c>
    </row>
    <row r="4">
      <c r="A4" s="8" t="s">
        <v>10</v>
      </c>
      <c r="B4" s="12" t="str">
        <f t="array" ref="B4">XLOOKUP(A4,Roster!F:F,Roster!A:A,"",0)</f>
        <v>Daniel Bustamante</v>
      </c>
      <c r="C4" s="12" t="str">
        <f t="array" ref="C4">XLOOKUP(A4,Roster!F:F,Roster!B:B,"",0)</f>
        <v>Alejandro Malave</v>
      </c>
      <c r="D4" s="13" t="str">
        <f t="array" ref="D4">XLOOKUP(A4&amp;INT($E$1),BvsL!A:A,BvsL!F:F,"",0)</f>
        <v/>
      </c>
      <c r="E4" s="13" t="str">
        <f t="array" ref="E4">XLOOKUP(A4&amp;INT($E$1),BvsL!A:A,BvsL!H:H,"",0)</f>
        <v/>
      </c>
      <c r="F4" s="13" t="str">
        <f t="array" ref="F4">XLOOKUP(A4&amp;INT($E$1),BvsL!A:A,BvsL!I:I,"",0)</f>
        <v/>
      </c>
      <c r="G4" s="13" t="str">
        <f t="array" ref="G4">XLOOKUP(A4&amp;INT($E$1),BvsL!A:A,BvsL!J:J,"",0)</f>
        <v/>
      </c>
      <c r="H4" s="14">
        <f t="array" ref="H4">XLOOKUP(A4,Roster!F:F,Roster!D:D,"",0)</f>
        <v>36</v>
      </c>
      <c r="I4" s="14" t="str">
        <f t="array" ref="I4">XLOOKUP(A4,Roster!F:F,Roster!E:E,"",0)</f>
        <v>Voice</v>
      </c>
    </row>
    <row r="5">
      <c r="A5" s="8" t="s">
        <v>11</v>
      </c>
      <c r="B5" s="12" t="str">
        <f t="array" ref="B5">XLOOKUP(A5,Roster!F:F,Roster!A:A,"",0)</f>
        <v>Mateo Henao</v>
      </c>
      <c r="C5" s="12" t="str">
        <f t="array" ref="C5">XLOOKUP(A5,Roster!F:F,Roster!B:B,"",0)</f>
        <v>Alexander Bartoli</v>
      </c>
      <c r="D5" s="13" t="str">
        <f t="array" ref="D5">XLOOKUP(A5&amp;INT($E$1),BvsL!A:A,BvsL!F:F,"",0)</f>
        <v/>
      </c>
      <c r="E5" s="13" t="str">
        <f t="array" ref="E5">XLOOKUP(A5&amp;INT($E$1),BvsL!A:A,BvsL!H:H,"",0)</f>
        <v/>
      </c>
      <c r="F5" s="13" t="str">
        <f t="array" ref="F5">XLOOKUP(A5&amp;INT($E$1),BvsL!A:A,BvsL!I:I,"",0)</f>
        <v/>
      </c>
      <c r="G5" s="13" t="str">
        <f t="array" ref="G5">XLOOKUP(A5&amp;INT($E$1),BvsL!A:A,BvsL!J:J,"",0)</f>
        <v/>
      </c>
      <c r="H5" s="14">
        <f t="array" ref="H5">XLOOKUP(A5,Roster!F:F,Roster!D:D,"",0)</f>
        <v>38</v>
      </c>
      <c r="I5" s="14" t="str">
        <f t="array" ref="I5">XLOOKUP(A5,Roster!F:F,Roster!E:E,"",0)</f>
        <v>Voice</v>
      </c>
    </row>
    <row r="6">
      <c r="A6" s="8" t="s">
        <v>12</v>
      </c>
      <c r="B6" s="12" t="str">
        <f t="array" ref="B6">XLOOKUP(A6,Roster!F:F,Roster!A:A,"",0)</f>
        <v>Mateo Henao</v>
      </c>
      <c r="C6" s="12" t="str">
        <f t="array" ref="C6">XLOOKUP(A6,Roster!F:F,Roster!B:B,"",0)</f>
        <v>Ana Quintero</v>
      </c>
      <c r="D6" s="13" t="str">
        <f t="array" ref="D6">XLOOKUP(A6&amp;INT($E$1),BvsL!A:A,BvsL!F:F,"",0)</f>
        <v/>
      </c>
      <c r="E6" s="13" t="str">
        <f t="array" ref="E6">XLOOKUP(A6&amp;INT($E$1),BvsL!A:A,BvsL!H:H,"",0)</f>
        <v/>
      </c>
      <c r="F6" s="13" t="str">
        <f t="array" ref="F6">XLOOKUP(A6&amp;INT($E$1),BvsL!A:A,BvsL!I:I,"",0)</f>
        <v/>
      </c>
      <c r="G6" s="13" t="str">
        <f t="array" ref="G6">XLOOKUP(A6&amp;INT($E$1),BvsL!A:A,BvsL!J:J,"",0)</f>
        <v/>
      </c>
      <c r="H6" s="14">
        <f t="array" ref="H6">XLOOKUP(A6,Roster!F:F,Roster!D:D,"",0)</f>
        <v>38</v>
      </c>
      <c r="I6" s="14" t="str">
        <f t="array" ref="I6">XLOOKUP(A6,Roster!F:F,Roster!E:E,"",0)</f>
        <v>Voice</v>
      </c>
    </row>
    <row r="7">
      <c r="A7" s="15" t="s">
        <v>13</v>
      </c>
      <c r="B7" s="12" t="str">
        <f t="array" ref="B7">XLOOKUP(A7,Roster!F:F,Roster!A:A,"",0)</f>
        <v>Mateo Henao</v>
      </c>
      <c r="C7" s="12" t="str">
        <f t="array" ref="C7">XLOOKUP(A7,Roster!F:F,Roster!B:B,"",0)</f>
        <v>Andres Lopez</v>
      </c>
      <c r="D7" s="13" t="str">
        <f t="array" ref="D7">XLOOKUP(A7&amp;INT($E$1),BvsL!A:A,BvsL!F:F,"",0)</f>
        <v/>
      </c>
      <c r="E7" s="13" t="str">
        <f t="array" ref="E7">XLOOKUP(A7&amp;INT($E$1),BvsL!A:A,BvsL!H:H,"",0)</f>
        <v/>
      </c>
      <c r="F7" s="13" t="str">
        <f t="array" ref="F7">XLOOKUP(A7&amp;INT($E$1),BvsL!A:A,BvsL!I:I,"",0)</f>
        <v/>
      </c>
      <c r="G7" s="13" t="str">
        <f t="array" ref="G7">XLOOKUP(A7&amp;INT($E$1),BvsL!A:A,BvsL!J:J,"",0)</f>
        <v/>
      </c>
      <c r="H7" s="14">
        <f t="array" ref="H7">XLOOKUP(A7,Roster!F:F,Roster!D:D,"",0)</f>
        <v>37</v>
      </c>
      <c r="I7" s="14" t="str">
        <f t="array" ref="I7">XLOOKUP(A7,Roster!F:F,Roster!E:E,"",0)</f>
        <v>Voice</v>
      </c>
    </row>
    <row r="8">
      <c r="A8" s="8" t="s">
        <v>14</v>
      </c>
      <c r="B8" s="12" t="str">
        <f t="array" ref="B8">XLOOKUP(A8,Roster!F:F,Roster!A:A,"",0)</f>
        <v>Mateo Henao</v>
      </c>
      <c r="C8" s="12" t="str">
        <f t="array" ref="C8">XLOOKUP(A8,Roster!F:F,Roster!B:B,"",0)</f>
        <v>Andres Salazar</v>
      </c>
      <c r="D8" s="13" t="str">
        <f t="array" ref="D8">XLOOKUP(A8&amp;INT($E$1),BvsL!A:A,BvsL!F:F,"",0)</f>
        <v/>
      </c>
      <c r="E8" s="13" t="str">
        <f t="array" ref="E8">XLOOKUP(A8&amp;INT($E$1),BvsL!A:A,BvsL!H:H,"",0)</f>
        <v/>
      </c>
      <c r="F8" s="13" t="str">
        <f t="array" ref="F8">XLOOKUP(A8&amp;INT($E$1),BvsL!A:A,BvsL!I:I,"",0)</f>
        <v/>
      </c>
      <c r="G8" s="13" t="str">
        <f t="array" ref="G8">XLOOKUP(A8&amp;INT($E$1),BvsL!A:A,BvsL!J:J,"",0)</f>
        <v/>
      </c>
      <c r="H8" s="14">
        <f t="array" ref="H8">XLOOKUP(A8,Roster!F:F,Roster!D:D,"",0)</f>
        <v>38</v>
      </c>
      <c r="I8" s="14" t="str">
        <f t="array" ref="I8">XLOOKUP(A8,Roster!F:F,Roster!E:E,"",0)</f>
        <v>Voice</v>
      </c>
    </row>
    <row r="9">
      <c r="A9" s="8" t="s">
        <v>15</v>
      </c>
      <c r="B9" s="12" t="str">
        <f t="array" ref="B9">XLOOKUP(A9,Roster!F:F,Roster!A:A,"",0)</f>
        <v>Mateo Henao</v>
      </c>
      <c r="C9" s="12" t="str">
        <f t="array" ref="C9">XLOOKUP(A9,Roster!F:F,Roster!B:B,"",0)</f>
        <v>Angelo Zapata</v>
      </c>
      <c r="D9" s="13" t="str">
        <f t="array" ref="D9">XLOOKUP(A9&amp;INT($E$1),BvsL!A:A,BvsL!F:F,"",0)</f>
        <v/>
      </c>
      <c r="E9" s="13" t="str">
        <f t="array" ref="E9">XLOOKUP(A9&amp;INT($E$1),BvsL!A:A,BvsL!H:H,"",0)</f>
        <v/>
      </c>
      <c r="F9" s="13" t="str">
        <f t="array" ref="F9">XLOOKUP(A9&amp;INT($E$1),BvsL!A:A,BvsL!I:I,"",0)</f>
        <v/>
      </c>
      <c r="G9" s="13" t="str">
        <f t="array" ref="G9">XLOOKUP(A9&amp;INT($E$1),BvsL!A:A,BvsL!J:J,"",0)</f>
        <v/>
      </c>
      <c r="H9" s="14">
        <f t="array" ref="H9">XLOOKUP(A9,Roster!F:F,Roster!D:D,"",0)</f>
        <v>30</v>
      </c>
      <c r="I9" s="14" t="str">
        <f t="array" ref="I9">XLOOKUP(A9,Roster!F:F,Roster!E:E,"",0)</f>
        <v>Voice</v>
      </c>
    </row>
    <row r="10">
      <c r="A10" s="8" t="s">
        <v>16</v>
      </c>
      <c r="B10" s="12" t="str">
        <f t="array" ref="B10">XLOOKUP(A10,Roster!F:F,Roster!A:A,"",0)</f>
        <v>Mateo Henao</v>
      </c>
      <c r="C10" s="12" t="str">
        <f t="array" ref="C10">XLOOKUP(A10,Roster!F:F,Roster!B:B,"",0)</f>
        <v>Anibal Munoz</v>
      </c>
      <c r="D10" s="13" t="str">
        <f t="array" ref="D10">XLOOKUP(A10&amp;INT($E$1),BvsL!A:A,BvsL!F:F,"",0)</f>
        <v/>
      </c>
      <c r="E10" s="13" t="str">
        <f t="array" ref="E10">XLOOKUP(A10&amp;INT($E$1),BvsL!A:A,BvsL!H:H,"",0)</f>
        <v/>
      </c>
      <c r="F10" s="13" t="str">
        <f t="array" ref="F10">XLOOKUP(A10&amp;INT($E$1),BvsL!A:A,BvsL!I:I,"",0)</f>
        <v/>
      </c>
      <c r="G10" s="13" t="str">
        <f t="array" ref="G10">XLOOKUP(A10&amp;INT($E$1),BvsL!A:A,BvsL!J:J,"",0)</f>
        <v/>
      </c>
      <c r="H10" s="14">
        <f t="array" ref="H10">XLOOKUP(A10,Roster!F:F,Roster!D:D,"",0)</f>
        <v>38</v>
      </c>
      <c r="I10" s="14" t="str">
        <f t="array" ref="I10">XLOOKUP(A10,Roster!F:F,Roster!E:E,"",0)</f>
        <v>Voice</v>
      </c>
    </row>
    <row r="11">
      <c r="A11" s="8" t="s">
        <v>17</v>
      </c>
      <c r="B11" s="12" t="str">
        <f t="array" ref="B11">XLOOKUP(A11,Roster!F:F,Roster!A:A,"",0)</f>
        <v>Martin Salazar</v>
      </c>
      <c r="C11" s="12" t="str">
        <f t="array" ref="C11">XLOOKUP(A11,Roster!F:F,Roster!B:B,"",0)</f>
        <v>Brahian Prado</v>
      </c>
      <c r="D11" s="13" t="str">
        <f t="array" ref="D11">XLOOKUP(A11&amp;INT($E$1),BvsL!A:A,BvsL!F:F,"",0)</f>
        <v/>
      </c>
      <c r="E11" s="13" t="str">
        <f t="array" ref="E11">XLOOKUP(A11&amp;INT($E$1),BvsL!A:A,BvsL!H:H,"",0)</f>
        <v/>
      </c>
      <c r="F11" s="13" t="str">
        <f t="array" ref="F11">XLOOKUP(A11&amp;INT($E$1),BvsL!A:A,BvsL!I:I,"",0)</f>
        <v/>
      </c>
      <c r="G11" s="13" t="str">
        <f t="array" ref="G11">XLOOKUP(A11&amp;INT($E$1),BvsL!A:A,BvsL!J:J,"",0)</f>
        <v/>
      </c>
      <c r="H11" s="14">
        <f t="array" ref="H11">XLOOKUP(A11,Roster!F:F,Roster!D:D,"",0)</f>
        <v>18</v>
      </c>
      <c r="I11" s="14" t="str">
        <f t="array" ref="I11">XLOOKUP(A11,Roster!F:F,Roster!E:E,"",0)</f>
        <v>Voice</v>
      </c>
    </row>
    <row r="12">
      <c r="A12" s="16" t="s">
        <v>18</v>
      </c>
      <c r="B12" s="12" t="str">
        <f t="array" ref="B12">XLOOKUP(A12,Roster!F:F,Roster!A:A,"",0)</f>
        <v>Mateo Henao</v>
      </c>
      <c r="C12" s="12" t="str">
        <f t="array" ref="C12">XLOOKUP(A12,Roster!F:F,Roster!B:B,"",0)</f>
        <v>Brayan Montoya</v>
      </c>
      <c r="D12" s="13" t="str">
        <f t="array" ref="D12">XLOOKUP(A12&amp;INT($E$1),BvsL!A:A,BvsL!F:F,"",0)</f>
        <v/>
      </c>
      <c r="E12" s="13" t="str">
        <f t="array" ref="E12">XLOOKUP(A12&amp;INT($E$1),BvsL!A:A,BvsL!H:H,"",0)</f>
        <v/>
      </c>
      <c r="F12" s="13" t="str">
        <f t="array" ref="F12">XLOOKUP(A12&amp;INT($E$1),BvsL!A:A,BvsL!I:I,"",0)</f>
        <v/>
      </c>
      <c r="G12" s="13" t="str">
        <f t="array" ref="G12">XLOOKUP(A12&amp;INT($E$1),BvsL!A:A,BvsL!J:J,"",0)</f>
        <v/>
      </c>
      <c r="H12" s="14">
        <f t="array" ref="H12">XLOOKUP(A12,Roster!F:F,Roster!D:D,"",0)</f>
        <v>25</v>
      </c>
      <c r="I12" s="14" t="str">
        <f t="array" ref="I12">XLOOKUP(A12,Roster!F:F,Roster!E:E,"",0)</f>
        <v>Voice</v>
      </c>
    </row>
    <row r="13">
      <c r="A13" s="16" t="s">
        <v>19</v>
      </c>
      <c r="B13" s="12" t="str">
        <f t="array" ref="B13">XLOOKUP(A13,Roster!F:F,Roster!A:A,"",0)</f>
        <v>Mateo Henao</v>
      </c>
      <c r="C13" s="12" t="str">
        <f t="array" ref="C13">XLOOKUP(A13,Roster!F:F,Roster!B:B,"",0)</f>
        <v>Breitner Benitez</v>
      </c>
      <c r="D13" s="13" t="str">
        <f t="array" ref="D13">XLOOKUP(A13&amp;INT($E$1),BvsL!A:A,BvsL!F:F,"",0)</f>
        <v/>
      </c>
      <c r="E13" s="13" t="str">
        <f t="array" ref="E13">XLOOKUP(A13&amp;INT($E$1),BvsL!A:A,BvsL!H:H,"",0)</f>
        <v/>
      </c>
      <c r="F13" s="13" t="str">
        <f t="array" ref="F13">XLOOKUP(A13&amp;INT($E$1),BvsL!A:A,BvsL!I:I,"",0)</f>
        <v/>
      </c>
      <c r="G13" s="13" t="str">
        <f t="array" ref="G13">XLOOKUP(A13&amp;INT($E$1),BvsL!A:A,BvsL!J:J,"",0)</f>
        <v/>
      </c>
      <c r="H13" s="14">
        <f t="array" ref="H13">XLOOKUP(A13,Roster!F:F,Roster!D:D,"",0)</f>
        <v>13</v>
      </c>
      <c r="I13" s="14" t="str">
        <f t="array" ref="I13">XLOOKUP(A13,Roster!F:F,Roster!E:E,"",0)</f>
        <v>Voice</v>
      </c>
    </row>
    <row r="14">
      <c r="A14" s="16" t="s">
        <v>20</v>
      </c>
      <c r="B14" s="12" t="str">
        <f t="array" ref="B14">XLOOKUP(A14,Roster!F:F,Roster!A:A,"",0)</f>
        <v>Daniel Bustamante</v>
      </c>
      <c r="C14" s="12" t="str">
        <f t="array" ref="C14">XLOOKUP(A14,Roster!F:F,Roster!B:B,"",0)</f>
        <v>Carlos Alzate</v>
      </c>
      <c r="D14" s="13" t="str">
        <f t="array" ref="D14">XLOOKUP(A14&amp;INT($E$1),BvsL!A:A,BvsL!F:F,"",0)</f>
        <v/>
      </c>
      <c r="E14" s="13" t="str">
        <f t="array" ref="E14">XLOOKUP(A14&amp;INT($E$1),BvsL!A:A,BvsL!H:H,"",0)</f>
        <v/>
      </c>
      <c r="F14" s="13" t="str">
        <f t="array" ref="F14">XLOOKUP(A14&amp;INT($E$1),BvsL!A:A,BvsL!I:I,"",0)</f>
        <v/>
      </c>
      <c r="G14" s="13" t="str">
        <f t="array" ref="G14">XLOOKUP(A14&amp;INT($E$1),BvsL!A:A,BvsL!J:J,"",0)</f>
        <v/>
      </c>
      <c r="H14" s="14">
        <f t="array" ref="H14">XLOOKUP(A14,Roster!F:F,Roster!D:D,"",0)</f>
        <v>36</v>
      </c>
      <c r="I14" s="14" t="str">
        <f t="array" ref="I14">XLOOKUP(A14,Roster!F:F,Roster!E:E,"",0)</f>
        <v>Voice</v>
      </c>
    </row>
    <row r="15">
      <c r="A15" s="16" t="s">
        <v>21</v>
      </c>
      <c r="B15" s="12" t="str">
        <f t="array" ref="B15">XLOOKUP(A15,Roster!F:F,Roster!A:A,"",0)</f>
        <v>Daniel Bustamante</v>
      </c>
      <c r="C15" s="12" t="str">
        <f t="array" ref="C15">XLOOKUP(A15,Roster!F:F,Roster!B:B,"",0)</f>
        <v>Carlos Palma</v>
      </c>
      <c r="D15" s="13" t="str">
        <f t="array" ref="D15">XLOOKUP(A15&amp;INT($E$1),BvsL!A:A,BvsL!F:F,"",0)</f>
        <v/>
      </c>
      <c r="E15" s="13" t="str">
        <f t="array" ref="E15">XLOOKUP(A15&amp;INT($E$1),BvsL!A:A,BvsL!H:H,"",0)</f>
        <v/>
      </c>
      <c r="F15" s="13" t="str">
        <f t="array" ref="F15">XLOOKUP(A15&amp;INT($E$1),BvsL!A:A,BvsL!I:I,"",0)</f>
        <v/>
      </c>
      <c r="G15" s="13" t="str">
        <f t="array" ref="G15">XLOOKUP(A15&amp;INT($E$1),BvsL!A:A,BvsL!J:J,"",0)</f>
        <v/>
      </c>
      <c r="H15" s="14">
        <f t="array" ref="H15">XLOOKUP(A15,Roster!F:F,Roster!D:D,"",0)</f>
        <v>36</v>
      </c>
      <c r="I15" s="14" t="str">
        <f t="array" ref="I15">XLOOKUP(A15,Roster!F:F,Roster!E:E,"",0)</f>
        <v>Voice</v>
      </c>
    </row>
    <row r="16">
      <c r="A16" s="16" t="s">
        <v>22</v>
      </c>
      <c r="B16" s="12" t="str">
        <f t="array" ref="B16">XLOOKUP(A16,Roster!F:F,Roster!A:A,"",0)</f>
        <v>Mateo Henao</v>
      </c>
      <c r="C16" s="12" t="str">
        <f t="array" ref="C16">XLOOKUP(A16,Roster!F:F,Roster!B:B,"",0)</f>
        <v>Carolina Rios</v>
      </c>
      <c r="D16" s="13" t="str">
        <f t="array" ref="D16">XLOOKUP(A16&amp;INT($E$1),BvsL!A:A,BvsL!F:F,"",0)</f>
        <v/>
      </c>
      <c r="E16" s="13" t="str">
        <f t="array" ref="E16">XLOOKUP(A16&amp;INT($E$1),BvsL!A:A,BvsL!H:H,"",0)</f>
        <v/>
      </c>
      <c r="F16" s="13" t="str">
        <f t="array" ref="F16">XLOOKUP(A16&amp;INT($E$1),BvsL!A:A,BvsL!I:I,"",0)</f>
        <v/>
      </c>
      <c r="G16" s="13" t="str">
        <f t="array" ref="G16">XLOOKUP(A16&amp;INT($E$1),BvsL!A:A,BvsL!J:J,"",0)</f>
        <v/>
      </c>
      <c r="H16" s="17">
        <f t="array" ref="H16">XLOOKUP(A16,Roster!F:F,Roster!D:D,"",0)</f>
        <v>5</v>
      </c>
      <c r="I16" s="14" t="str">
        <f t="array" ref="I16">XLOOKUP(A16,Roster!F:F,Roster!E:E,"",0)</f>
        <v>Voice</v>
      </c>
    </row>
    <row r="17">
      <c r="A17" s="16" t="s">
        <v>23</v>
      </c>
      <c r="B17" s="12" t="str">
        <f t="array" ref="B17">XLOOKUP(A17,Roster!F:F,Roster!A:A,"",0)</f>
        <v>Mateo Henao</v>
      </c>
      <c r="C17" s="12" t="str">
        <f t="array" ref="C17">XLOOKUP(A17,Roster!F:F,Roster!B:B,"",0)</f>
        <v>Christian Ramirez</v>
      </c>
      <c r="D17" s="13" t="str">
        <f t="array" ref="D17">XLOOKUP(A17&amp;INT($E$1),BvsL!A:A,BvsL!F:F,"",0)</f>
        <v/>
      </c>
      <c r="E17" s="13" t="str">
        <f t="array" ref="E17">XLOOKUP(A17&amp;INT($E$1),BvsL!A:A,BvsL!H:H,"",0)</f>
        <v/>
      </c>
      <c r="F17" s="13" t="str">
        <f t="array" ref="F17">XLOOKUP(A17&amp;INT($E$1),BvsL!A:A,BvsL!I:I,"",0)</f>
        <v/>
      </c>
      <c r="G17" s="13" t="str">
        <f t="array" ref="G17">XLOOKUP(A17&amp;INT($E$1),BvsL!A:A,BvsL!J:J,"",0)</f>
        <v/>
      </c>
      <c r="H17" s="14">
        <f t="array" ref="H17">XLOOKUP(A17,Roster!F:F,Roster!D:D,"",0)</f>
        <v>36</v>
      </c>
      <c r="I17" s="14" t="str">
        <f t="array" ref="I17">XLOOKUP(A17,Roster!F:F,Roster!E:E,"",0)</f>
        <v>Voice</v>
      </c>
    </row>
    <row r="18">
      <c r="A18" s="16" t="s">
        <v>24</v>
      </c>
      <c r="B18" s="12" t="str">
        <f t="array" ref="B18">XLOOKUP(A18,Roster!F:F,Roster!A:A,"",0)</f>
        <v>Andra Daza</v>
      </c>
      <c r="C18" s="12" t="str">
        <f t="array" ref="C18">XLOOKUP(A18,Roster!F:F,Roster!B:B,"",0)</f>
        <v>Cristian Gomez</v>
      </c>
      <c r="D18" s="13" t="str">
        <f t="array" ref="D18">XLOOKUP(A18&amp;INT($E$1),BvsL!A:A,BvsL!F:F,"",0)</f>
        <v/>
      </c>
      <c r="E18" s="13" t="str">
        <f t="array" ref="E18">XLOOKUP(A18&amp;INT($E$1),BvsL!A:A,BvsL!H:H,"",0)</f>
        <v/>
      </c>
      <c r="F18" s="13" t="str">
        <f t="array" ref="F18">XLOOKUP(A18&amp;INT($E$1),BvsL!A:A,BvsL!I:I,"",0)</f>
        <v/>
      </c>
      <c r="G18" s="13" t="str">
        <f t="array" ref="G18">XLOOKUP(A18&amp;INT($E$1),BvsL!A:A,BvsL!J:J,"",0)</f>
        <v/>
      </c>
      <c r="H18" s="14">
        <f t="array" ref="H18">XLOOKUP(A18,Roster!F:F,Roster!D:D,"",0)</f>
        <v>35</v>
      </c>
      <c r="I18" s="14" t="str">
        <f t="array" ref="I18">XLOOKUP(A18,Roster!F:F,Roster!E:E,"",0)</f>
        <v>Voice</v>
      </c>
    </row>
    <row r="19">
      <c r="A19" s="16" t="s">
        <v>25</v>
      </c>
      <c r="B19" s="12" t="str">
        <f t="array" ref="B19">XLOOKUP(A19,Roster!F:F,Roster!A:A,"",0)</f>
        <v>Mateo Henao</v>
      </c>
      <c r="C19" s="12" t="str">
        <f t="array" ref="C19">XLOOKUP(A19,Roster!F:F,Roster!B:B,"",0)</f>
        <v>Daniel Barrientos</v>
      </c>
      <c r="D19" s="13" t="str">
        <f t="array" ref="D19">XLOOKUP(A19&amp;INT($E$1),BvsL!A:A,BvsL!F:F,"",0)</f>
        <v/>
      </c>
      <c r="E19" s="13" t="str">
        <f t="array" ref="E19">XLOOKUP(A19&amp;INT($E$1),BvsL!A:A,BvsL!H:H,"",0)</f>
        <v/>
      </c>
      <c r="F19" s="13" t="str">
        <f t="array" ref="F19">XLOOKUP(A19&amp;INT($E$1),BvsL!A:A,BvsL!I:I,"",0)</f>
        <v/>
      </c>
      <c r="G19" s="13" t="str">
        <f t="array" ref="G19">XLOOKUP(A19&amp;INT($E$1),BvsL!A:A,BvsL!J:J,"",0)</f>
        <v/>
      </c>
      <c r="H19" s="14">
        <f t="array" ref="H19">XLOOKUP(A19,Roster!F:F,Roster!D:D,"",0)</f>
        <v>36</v>
      </c>
      <c r="I19" s="14" t="str">
        <f t="array" ref="I19">XLOOKUP(A19,Roster!F:F,Roster!E:E,"",0)</f>
        <v>Voice</v>
      </c>
    </row>
    <row r="20">
      <c r="A20" s="16" t="s">
        <v>26</v>
      </c>
      <c r="B20" s="12" t="str">
        <f t="array" ref="B20">XLOOKUP(A20,Roster!F:F,Roster!A:A,"",0)</f>
        <v>Mateo Henao</v>
      </c>
      <c r="C20" s="12" t="str">
        <f t="array" ref="C20">XLOOKUP(A20,Roster!F:F,Roster!B:B,"",0)</f>
        <v>David Patino</v>
      </c>
      <c r="D20" s="13" t="str">
        <f t="array" ref="D20">XLOOKUP(A20&amp;INT($E$1),BvsL!A:A,BvsL!F:F,"",0)</f>
        <v/>
      </c>
      <c r="E20" s="13" t="str">
        <f t="array" ref="E20">XLOOKUP(A20&amp;INT($E$1),BvsL!A:A,BvsL!H:H,"",0)</f>
        <v/>
      </c>
      <c r="F20" s="13" t="str">
        <f t="array" ref="F20">XLOOKUP(A20&amp;INT($E$1),BvsL!A:A,BvsL!I:I,"",0)</f>
        <v/>
      </c>
      <c r="G20" s="13" t="str">
        <f t="array" ref="G20">XLOOKUP(A20&amp;INT($E$1),BvsL!A:A,BvsL!J:J,"",0)</f>
        <v/>
      </c>
      <c r="H20" s="14">
        <f t="array" ref="H20">XLOOKUP(A20,Roster!F:F,Roster!D:D,"",0)</f>
        <v>35</v>
      </c>
      <c r="I20" s="14" t="str">
        <f t="array" ref="I20">XLOOKUP(A20,Roster!F:F,Roster!E:E,"",0)</f>
        <v>Voice</v>
      </c>
    </row>
    <row r="21">
      <c r="A21" s="16" t="s">
        <v>27</v>
      </c>
      <c r="B21" s="12" t="str">
        <f t="array" ref="B21">XLOOKUP(A21,Roster!F:F,Roster!A:A,"",0)</f>
        <v>Martin Salazar</v>
      </c>
      <c r="C21" s="12" t="str">
        <f t="array" ref="C21">XLOOKUP(A21,Roster!F:F,Roster!B:B,"",0)</f>
        <v>Edwuin Martinez</v>
      </c>
      <c r="D21" s="13" t="str">
        <f t="array" ref="D21">XLOOKUP(A21&amp;INT($E$1),BvsL!A:A,BvsL!F:F,"",0)</f>
        <v/>
      </c>
      <c r="E21" s="13" t="str">
        <f t="array" ref="E21">XLOOKUP(A21&amp;INT($E$1),BvsL!A:A,BvsL!H:H,"",0)</f>
        <v/>
      </c>
      <c r="F21" s="13" t="str">
        <f t="array" ref="F21">XLOOKUP(A21&amp;INT($E$1),BvsL!A:A,BvsL!I:I,"",0)</f>
        <v/>
      </c>
      <c r="G21" s="13" t="str">
        <f t="array" ref="G21">XLOOKUP(A21&amp;INT($E$1),BvsL!A:A,BvsL!J:J,"",0)</f>
        <v/>
      </c>
      <c r="H21" s="14">
        <f t="array" ref="H21">XLOOKUP(A21,Roster!F:F,Roster!D:D,"",0)</f>
        <v>27</v>
      </c>
      <c r="I21" s="14" t="str">
        <f t="array" ref="I21">XLOOKUP(A21,Roster!F:F,Roster!E:E,"",0)</f>
        <v>Voice</v>
      </c>
    </row>
    <row r="22">
      <c r="A22" s="16" t="s">
        <v>28</v>
      </c>
      <c r="B22" s="12" t="str">
        <f t="array" ref="B22">XLOOKUP(A22,Roster!F:F,Roster!A:A,"",0)</f>
        <v>Mateo Henao</v>
      </c>
      <c r="C22" s="12" t="str">
        <f t="array" ref="C22">XLOOKUP(A22,Roster!F:F,Roster!B:B,"",0)</f>
        <v>Esteban Correa</v>
      </c>
      <c r="D22" s="13" t="str">
        <f t="array" ref="D22">XLOOKUP(A22&amp;INT($E$1),BvsL!A:A,BvsL!F:F,"",0)</f>
        <v/>
      </c>
      <c r="E22" s="13" t="str">
        <f t="array" ref="E22">XLOOKUP(A22&amp;INT($E$1),BvsL!A:A,BvsL!H:H,"",0)</f>
        <v/>
      </c>
      <c r="F22" s="13" t="str">
        <f t="array" ref="F22">XLOOKUP(A22&amp;INT($E$1),BvsL!A:A,BvsL!I:I,"",0)</f>
        <v/>
      </c>
      <c r="G22" s="13" t="str">
        <f t="array" ref="G22">XLOOKUP(A22&amp;INT($E$1),BvsL!A:A,BvsL!J:J,"",0)</f>
        <v/>
      </c>
      <c r="H22" s="14">
        <f t="array" ref="H22">XLOOKUP(A22,Roster!F:F,Roster!D:D,"",0)</f>
        <v>38</v>
      </c>
      <c r="I22" s="14" t="str">
        <f t="array" ref="I22">XLOOKUP(A22,Roster!F:F,Roster!E:E,"",0)</f>
        <v>Voice</v>
      </c>
    </row>
    <row r="23">
      <c r="A23" s="16" t="s">
        <v>29</v>
      </c>
      <c r="B23" s="12" t="str">
        <f t="array" ref="B23">XLOOKUP(A23,Roster!F:F,Roster!A:A,"",0)</f>
        <v>Martin Salazar</v>
      </c>
      <c r="C23" s="12" t="str">
        <f t="array" ref="C23">XLOOKUP(A23,Roster!F:F,Roster!B:B,"",0)</f>
        <v>Frank Marin</v>
      </c>
      <c r="D23" s="13" t="str">
        <f t="array" ref="D23">XLOOKUP(A23&amp;INT($E$1),BvsL!A:A,BvsL!F:F,"",0)</f>
        <v/>
      </c>
      <c r="E23" s="13" t="str">
        <f t="array" ref="E23">XLOOKUP(A23&amp;INT($E$1),BvsL!A:A,BvsL!H:H,"",0)</f>
        <v/>
      </c>
      <c r="F23" s="13" t="str">
        <f t="array" ref="F23">XLOOKUP(A23&amp;INT($E$1),BvsL!A:A,BvsL!I:I,"",0)</f>
        <v/>
      </c>
      <c r="G23" s="13" t="str">
        <f t="array" ref="G23">XLOOKUP(A23&amp;INT($E$1),BvsL!A:A,BvsL!J:J,"",0)</f>
        <v/>
      </c>
      <c r="H23" s="14">
        <f t="array" ref="H23">XLOOKUP(A23,Roster!F:F,Roster!D:D,"",0)</f>
        <v>6</v>
      </c>
      <c r="I23" s="14" t="str">
        <f t="array" ref="I23">XLOOKUP(A23,Roster!F:F,Roster!E:E,"",0)</f>
        <v>Voice</v>
      </c>
    </row>
    <row r="24">
      <c r="A24" s="16" t="s">
        <v>30</v>
      </c>
      <c r="B24" s="12" t="str">
        <f t="array" ref="B24">XLOOKUP(A24,Roster!F:F,Roster!A:A,"",0)</f>
        <v>Daniel Bustamante</v>
      </c>
      <c r="C24" s="12" t="str">
        <f t="array" ref="C24">XLOOKUP(A24,Roster!F:F,Roster!B:B,"",0)</f>
        <v>Frey ortiz</v>
      </c>
      <c r="D24" s="13" t="str">
        <f t="array" ref="D24">XLOOKUP(A24&amp;INT($E$1),BvsL!A:A,BvsL!F:F,"",0)</f>
        <v/>
      </c>
      <c r="E24" s="13" t="str">
        <f t="array" ref="E24">XLOOKUP(A24&amp;INT($E$1),BvsL!A:A,BvsL!H:H,"",0)</f>
        <v/>
      </c>
      <c r="F24" s="13" t="str">
        <f t="array" ref="F24">XLOOKUP(A24&amp;INT($E$1),BvsL!A:A,BvsL!I:I,"",0)</f>
        <v/>
      </c>
      <c r="G24" s="13" t="str">
        <f t="array" ref="G24">XLOOKUP(A24&amp;INT($E$1),BvsL!A:A,BvsL!J:J,"",0)</f>
        <v/>
      </c>
      <c r="H24" s="14">
        <f t="array" ref="H24">XLOOKUP(A24,Roster!F:F,Roster!D:D,"",0)</f>
        <v>37</v>
      </c>
      <c r="I24" s="14" t="str">
        <f t="array" ref="I24">XLOOKUP(A24,Roster!F:F,Roster!E:E,"",0)</f>
        <v>Voice</v>
      </c>
    </row>
    <row r="25">
      <c r="A25" s="16" t="s">
        <v>31</v>
      </c>
      <c r="B25" s="12" t="str">
        <f t="array" ref="B25">XLOOKUP(A25,Roster!F:F,Roster!A:A,"",0)</f>
        <v>Daniel Bustamante</v>
      </c>
      <c r="C25" s="12" t="str">
        <f t="array" ref="C25">XLOOKUP(A25,Roster!F:F,Roster!B:B,"",0)</f>
        <v>Gabriel Gomez</v>
      </c>
      <c r="D25" s="13" t="str">
        <f t="array" ref="D25">XLOOKUP(A25&amp;INT($E$1),BvsL!A:A,BvsL!F:F,"",0)</f>
        <v/>
      </c>
      <c r="E25" s="13" t="str">
        <f t="array" ref="E25">XLOOKUP(A25&amp;INT($E$1),BvsL!A:A,BvsL!H:H,"",0)</f>
        <v/>
      </c>
      <c r="F25" s="13" t="str">
        <f t="array" ref="F25">XLOOKUP(A25&amp;INT($E$1),BvsL!A:A,BvsL!I:I,"",0)</f>
        <v/>
      </c>
      <c r="G25" s="13" t="str">
        <f t="array" ref="G25">XLOOKUP(A25&amp;INT($E$1),BvsL!A:A,BvsL!J:J,"",0)</f>
        <v/>
      </c>
      <c r="H25" s="14">
        <f t="array" ref="H25">XLOOKUP(A25,Roster!F:F,Roster!D:D,"",0)</f>
        <v>34</v>
      </c>
      <c r="I25" s="14" t="str">
        <f t="array" ref="I25">XLOOKUP(A25,Roster!F:F,Roster!E:E,"",0)</f>
        <v>Voice</v>
      </c>
    </row>
    <row r="26">
      <c r="A26" s="16" t="s">
        <v>32</v>
      </c>
      <c r="B26" s="12" t="str">
        <f t="array" ref="B26">XLOOKUP(A26,Roster!F:F,Roster!A:A,"",0)</f>
        <v>Martin Salazar</v>
      </c>
      <c r="C26" s="12" t="str">
        <f t="array" ref="C26">XLOOKUP(A26,Roster!F:F,Roster!B:B,"",0)</f>
        <v>Geraldine Correa</v>
      </c>
      <c r="D26" s="13" t="str">
        <f t="array" ref="D26">XLOOKUP(A26&amp;INT($E$1),BvsL!A:A,BvsL!F:F,"",0)</f>
        <v/>
      </c>
      <c r="E26" s="13" t="str">
        <f t="array" ref="E26">XLOOKUP(A26&amp;INT($E$1),BvsL!A:A,BvsL!H:H,"",0)</f>
        <v/>
      </c>
      <c r="F26" s="13" t="str">
        <f t="array" ref="F26">XLOOKUP(A26&amp;INT($E$1),BvsL!A:A,BvsL!I:I,"",0)</f>
        <v/>
      </c>
      <c r="G26" s="13" t="str">
        <f t="array" ref="G26">XLOOKUP(A26&amp;INT($E$1),BvsL!A:A,BvsL!J:J,"",0)</f>
        <v/>
      </c>
      <c r="H26" s="17">
        <f t="array" ref="H26">XLOOKUP(A26,Roster!F:F,Roster!D:D,"",0)</f>
        <v>23</v>
      </c>
      <c r="I26" s="14" t="str">
        <f t="array" ref="I26">XLOOKUP(A26,Roster!F:F,Roster!E:E,"",0)</f>
        <v>Voice</v>
      </c>
    </row>
    <row r="27">
      <c r="A27" s="16" t="s">
        <v>33</v>
      </c>
      <c r="B27" s="12" t="str">
        <f t="array" ref="B27">XLOOKUP(A27,Roster!F:F,Roster!A:A,"",0)</f>
        <v>Daniel Bustamante</v>
      </c>
      <c r="C27" s="12" t="str">
        <f t="array" ref="C27">XLOOKUP(A27,Roster!F:F,Roster!B:B,"",0)</f>
        <v>Gisel Moya</v>
      </c>
      <c r="D27" s="13" t="str">
        <f t="array" ref="D27">XLOOKUP(A27&amp;INT($E$1),BvsL!A:A,BvsL!F:F,"",0)</f>
        <v/>
      </c>
      <c r="E27" s="13" t="str">
        <f t="array" ref="E27">XLOOKUP(A27&amp;INT($E$1),BvsL!A:A,BvsL!H:H,"",0)</f>
        <v/>
      </c>
      <c r="F27" s="13" t="str">
        <f t="array" ref="F27">XLOOKUP(A27&amp;INT($E$1),BvsL!A:A,BvsL!I:I,"",0)</f>
        <v/>
      </c>
      <c r="G27" s="13" t="str">
        <f t="array" ref="G27">XLOOKUP(A27&amp;INT($E$1),BvsL!A:A,BvsL!J:J,"",0)</f>
        <v/>
      </c>
      <c r="H27" s="14">
        <f t="array" ref="H27">XLOOKUP(A27,Roster!F:F,Roster!D:D,"",0)</f>
        <v>36</v>
      </c>
      <c r="I27" s="14" t="str">
        <f t="array" ref="I27">XLOOKUP(A27,Roster!F:F,Roster!E:E,"",0)</f>
        <v>Voice</v>
      </c>
    </row>
    <row r="28">
      <c r="A28" s="16" t="s">
        <v>34</v>
      </c>
      <c r="B28" s="12" t="str">
        <f t="array" ref="B28">XLOOKUP(A28,Roster!F:F,Roster!A:A,"",0)</f>
        <v>Daniel Bustamante</v>
      </c>
      <c r="C28" s="12" t="str">
        <f t="array" ref="C28">XLOOKUP(A28,Roster!F:F,Roster!B:B,"",0)</f>
        <v>Jasam Mejia</v>
      </c>
      <c r="D28" s="13" t="str">
        <f t="array" ref="D28">XLOOKUP(A28&amp;INT($E$1),BvsL!A:A,BvsL!F:F,"",0)</f>
        <v/>
      </c>
      <c r="E28" s="13" t="str">
        <f t="array" ref="E28">XLOOKUP(A28&amp;INT($E$1),BvsL!A:A,BvsL!H:H,"",0)</f>
        <v/>
      </c>
      <c r="F28" s="13" t="str">
        <f t="array" ref="F28">XLOOKUP(A28&amp;INT($E$1),BvsL!A:A,BvsL!I:I,"",0)</f>
        <v/>
      </c>
      <c r="G28" s="13" t="str">
        <f t="array" ref="G28">XLOOKUP(A28&amp;INT($E$1),BvsL!A:A,BvsL!J:J,"",0)</f>
        <v/>
      </c>
      <c r="H28" s="14">
        <f t="array" ref="H28">XLOOKUP(A28,Roster!F:F,Roster!D:D,"",0)</f>
        <v>34</v>
      </c>
      <c r="I28" s="14" t="str">
        <f t="array" ref="I28">XLOOKUP(A28,Roster!F:F,Roster!E:E,"",0)</f>
        <v>Voice</v>
      </c>
    </row>
    <row r="29">
      <c r="A29" s="16" t="s">
        <v>35</v>
      </c>
      <c r="B29" s="12" t="str">
        <f t="array" ref="B29">XLOOKUP(A29,Roster!F:F,Roster!A:A,"",0)</f>
        <v>Martin Salazar</v>
      </c>
      <c r="C29" s="12" t="str">
        <f t="array" ref="C29">XLOOKUP(A29,Roster!F:F,Roster!B:B,"",0)</f>
        <v>Jeidin Vargas</v>
      </c>
      <c r="D29" s="13" t="str">
        <f t="array" ref="D29">XLOOKUP(A29&amp;INT($E$1),BvsL!A:A,BvsL!F:F,"",0)</f>
        <v/>
      </c>
      <c r="E29" s="13" t="str">
        <f t="array" ref="E29">XLOOKUP(A29&amp;INT($E$1),BvsL!A:A,BvsL!H:H,"",0)</f>
        <v/>
      </c>
      <c r="F29" s="13" t="str">
        <f t="array" ref="F29">XLOOKUP(A29&amp;INT($E$1),BvsL!A:A,BvsL!I:I,"",0)</f>
        <v/>
      </c>
      <c r="G29" s="13" t="str">
        <f t="array" ref="G29">XLOOKUP(A29&amp;INT($E$1),BvsL!A:A,BvsL!J:J,"",0)</f>
        <v/>
      </c>
      <c r="H29" s="14">
        <f t="array" ref="H29">XLOOKUP(A29,Roster!F:F,Roster!D:D,"",0)</f>
        <v>37</v>
      </c>
      <c r="I29" s="14" t="str">
        <f t="array" ref="I29">XLOOKUP(A29,Roster!F:F,Roster!E:E,"",0)</f>
        <v>Voice</v>
      </c>
    </row>
    <row r="30">
      <c r="A30" s="16" t="s">
        <v>36</v>
      </c>
      <c r="B30" s="12" t="str">
        <f t="array" ref="B30">XLOOKUP(A30,Roster!F:F,Roster!A:A,"",0)</f>
        <v>Mateo Henao</v>
      </c>
      <c r="C30" s="12" t="str">
        <f t="array" ref="C30">XLOOKUP(A30,Roster!F:F,Roster!B:B,"",0)</f>
        <v>Jhoam Quiroz</v>
      </c>
      <c r="D30" s="13" t="str">
        <f t="array" ref="D30">XLOOKUP(A30&amp;INT($E$1),BvsL!A:A,BvsL!F:F,"",0)</f>
        <v/>
      </c>
      <c r="E30" s="13" t="str">
        <f t="array" ref="E30">XLOOKUP(A30&amp;INT($E$1),BvsL!A:A,BvsL!H:H,"",0)</f>
        <v/>
      </c>
      <c r="F30" s="13" t="str">
        <f t="array" ref="F30">XLOOKUP(A30&amp;INT($E$1),BvsL!A:A,BvsL!I:I,"",0)</f>
        <v/>
      </c>
      <c r="G30" s="13" t="str">
        <f t="array" ref="G30">XLOOKUP(A30&amp;INT($E$1),BvsL!A:A,BvsL!J:J,"",0)</f>
        <v/>
      </c>
      <c r="H30" s="17">
        <f t="array" ref="H30">XLOOKUP(A30,Roster!F:F,Roster!D:D,"",0)</f>
        <v>1</v>
      </c>
      <c r="I30" s="14" t="str">
        <f t="array" ref="I30">XLOOKUP(A30,Roster!F:F,Roster!E:E,"",0)</f>
        <v>Voice</v>
      </c>
    </row>
    <row r="31">
      <c r="A31" s="16" t="s">
        <v>37</v>
      </c>
      <c r="B31" s="12" t="str">
        <f t="array" ref="B31">XLOOKUP(A31,Roster!F:F,Roster!A:A,"",0)</f>
        <v>Mateo Henao</v>
      </c>
      <c r="C31" s="12" t="str">
        <f t="array" ref="C31">XLOOKUP(A31,Roster!F:F,Roster!B:B,"",0)</f>
        <v>Jhonatan Gomez</v>
      </c>
      <c r="D31" s="13" t="str">
        <f t="array" ref="D31">XLOOKUP(A31&amp;INT($E$1),BvsL!A:A,BvsL!F:F,"",0)</f>
        <v/>
      </c>
      <c r="E31" s="13" t="str">
        <f t="array" ref="E31">XLOOKUP(A31&amp;INT($E$1),BvsL!A:A,BvsL!H:H,"",0)</f>
        <v/>
      </c>
      <c r="F31" s="13" t="str">
        <f t="array" ref="F31">XLOOKUP(A31&amp;INT($E$1),BvsL!A:A,BvsL!I:I,"",0)</f>
        <v/>
      </c>
      <c r="G31" s="13" t="str">
        <f t="array" ref="G31">XLOOKUP(A31&amp;INT($E$1),BvsL!A:A,BvsL!J:J,"",0)</f>
        <v/>
      </c>
      <c r="H31" s="14">
        <f t="array" ref="H31">XLOOKUP(A31,Roster!F:F,Roster!D:D,"",0)</f>
        <v>35</v>
      </c>
      <c r="I31" s="14" t="str">
        <f t="array" ref="I31">XLOOKUP(A31,Roster!F:F,Roster!E:E,"",0)</f>
        <v>Voice</v>
      </c>
    </row>
    <row r="32">
      <c r="A32" s="16" t="s">
        <v>38</v>
      </c>
      <c r="B32" s="12" t="str">
        <f t="array" ref="B32">XLOOKUP(A32,Roster!F:F,Roster!A:A,"",0)</f>
        <v>Daniel Bustamante</v>
      </c>
      <c r="C32" s="12" t="str">
        <f t="array" ref="C32">XLOOKUP(A32,Roster!F:F,Roster!B:B,"",0)</f>
        <v>Joan Perez</v>
      </c>
      <c r="D32" s="13" t="str">
        <f t="array" ref="D32">XLOOKUP(A32&amp;INT($E$1),BvsL!A:A,BvsL!F:F,"",0)</f>
        <v/>
      </c>
      <c r="E32" s="13" t="str">
        <f t="array" ref="E32">XLOOKUP(A32&amp;INT($E$1),BvsL!A:A,BvsL!H:H,"",0)</f>
        <v/>
      </c>
      <c r="F32" s="13" t="str">
        <f t="array" ref="F32">XLOOKUP(A32&amp;INT($E$1),BvsL!A:A,BvsL!I:I,"",0)</f>
        <v/>
      </c>
      <c r="G32" s="13" t="str">
        <f t="array" ref="G32">XLOOKUP(A32&amp;INT($E$1),BvsL!A:A,BvsL!J:J,"",0)</f>
        <v/>
      </c>
      <c r="H32" s="14">
        <f t="array" ref="H32">XLOOKUP(A32,Roster!F:F,Roster!D:D,"",0)</f>
        <v>35</v>
      </c>
      <c r="I32" s="14" t="str">
        <f t="array" ref="I32">XLOOKUP(A32,Roster!F:F,Roster!E:E,"",0)</f>
        <v>Voice</v>
      </c>
    </row>
    <row r="33">
      <c r="A33" s="16" t="s">
        <v>39</v>
      </c>
      <c r="B33" s="12" t="str">
        <f t="array" ref="B33">XLOOKUP(A33,Roster!F:F,Roster!A:A,"",0)</f>
        <v>Andra Daza</v>
      </c>
      <c r="C33" s="12" t="str">
        <f t="array" ref="C33">XLOOKUP(A33,Roster!F:F,Roster!B:B,"",0)</f>
        <v>John Atilano</v>
      </c>
      <c r="D33" s="13" t="str">
        <f t="array" ref="D33">XLOOKUP(A33&amp;INT($E$1),BvsL!A:A,BvsL!F:F,"",0)</f>
        <v/>
      </c>
      <c r="E33" s="13" t="str">
        <f t="array" ref="E33">XLOOKUP(A33&amp;INT($E$1),BvsL!A:A,BvsL!H:H,"",0)</f>
        <v/>
      </c>
      <c r="F33" s="13" t="str">
        <f t="array" ref="F33">XLOOKUP(A33&amp;INT($E$1),BvsL!A:A,BvsL!I:I,"",0)</f>
        <v/>
      </c>
      <c r="G33" s="13" t="str">
        <f t="array" ref="G33">XLOOKUP(A33&amp;INT($E$1),BvsL!A:A,BvsL!J:J,"",0)</f>
        <v/>
      </c>
      <c r="H33" s="14">
        <f t="array" ref="H33">XLOOKUP(A33,Roster!F:F,Roster!D:D,"",0)</f>
        <v>37</v>
      </c>
      <c r="I33" s="14" t="str">
        <f t="array" ref="I33">XLOOKUP(A33,Roster!F:F,Roster!E:E,"",0)</f>
        <v>Voice</v>
      </c>
    </row>
    <row r="34">
      <c r="A34" s="16" t="s">
        <v>40</v>
      </c>
      <c r="B34" s="12" t="str">
        <f t="array" ref="B34">XLOOKUP(A34,Roster!F:F,Roster!A:A,"",0)</f>
        <v>Andra Daza</v>
      </c>
      <c r="C34" s="12" t="str">
        <f t="array" ref="C34">XLOOKUP(A34,Roster!F:F,Roster!B:B,"",0)</f>
        <v>John Palacio</v>
      </c>
      <c r="D34" s="13" t="str">
        <f t="array" ref="D34">XLOOKUP(A34&amp;INT($E$1),BvsL!A:A,BvsL!F:F,"",0)</f>
        <v/>
      </c>
      <c r="E34" s="13" t="str">
        <f t="array" ref="E34">XLOOKUP(A34&amp;INT($E$1),BvsL!A:A,BvsL!H:H,"",0)</f>
        <v/>
      </c>
      <c r="F34" s="13" t="str">
        <f t="array" ref="F34">XLOOKUP(A34&amp;INT($E$1),BvsL!A:A,BvsL!I:I,"",0)</f>
        <v/>
      </c>
      <c r="G34" s="13" t="str">
        <f t="array" ref="G34">XLOOKUP(A34&amp;INT($E$1),BvsL!A:A,BvsL!J:J,"",0)</f>
        <v/>
      </c>
      <c r="H34" s="14">
        <f t="array" ref="H34">XLOOKUP(A34,Roster!F:F,Roster!D:D,"",0)</f>
        <v>36</v>
      </c>
      <c r="I34" s="14" t="str">
        <f t="array" ref="I34">XLOOKUP(A34,Roster!F:F,Roster!E:E,"",0)</f>
        <v>Voice</v>
      </c>
    </row>
    <row r="35">
      <c r="A35" s="16" t="s">
        <v>41</v>
      </c>
      <c r="B35" s="12" t="str">
        <f t="array" ref="B35">XLOOKUP(A35,Roster!F:F,Roster!A:A,"",0)</f>
        <v>Martin Salazar</v>
      </c>
      <c r="C35" s="12" t="str">
        <f t="array" ref="C35">XLOOKUP(A35,Roster!F:F,Roster!B:B,"",0)</f>
        <v>Johny Garcia</v>
      </c>
      <c r="D35" s="13" t="str">
        <f t="array" ref="D35">XLOOKUP(A35&amp;INT($E$1),BvsL!A:A,BvsL!F:F,"",0)</f>
        <v/>
      </c>
      <c r="E35" s="13" t="str">
        <f t="array" ref="E35">XLOOKUP(A35&amp;INT($E$1),BvsL!A:A,BvsL!H:H,"",0)</f>
        <v/>
      </c>
      <c r="F35" s="13" t="str">
        <f t="array" ref="F35">XLOOKUP(A35&amp;INT($E$1),BvsL!A:A,BvsL!I:I,"",0)</f>
        <v/>
      </c>
      <c r="G35" s="13" t="str">
        <f t="array" ref="G35">XLOOKUP(A35&amp;INT($E$1),BvsL!A:A,BvsL!J:J,"",0)</f>
        <v/>
      </c>
      <c r="H35" s="14">
        <f t="array" ref="H35">XLOOKUP(A35,Roster!F:F,Roster!D:D,"",0)</f>
        <v>36</v>
      </c>
      <c r="I35" s="14" t="str">
        <f t="array" ref="I35">XLOOKUP(A35,Roster!F:F,Roster!E:E,"",0)</f>
        <v>Voice</v>
      </c>
    </row>
    <row r="36">
      <c r="A36" s="16" t="s">
        <v>42</v>
      </c>
      <c r="B36" s="12" t="str">
        <f t="array" ref="B36">XLOOKUP(A36,Roster!F:F,Roster!A:A,"",0)</f>
        <v>Mateo Henao</v>
      </c>
      <c r="C36" s="12" t="str">
        <f t="array" ref="C36">XLOOKUP(A36,Roster!F:F,Roster!B:B,"",0)</f>
        <v>Jorge Orozco</v>
      </c>
      <c r="D36" s="13" t="str">
        <f t="array" ref="D36">XLOOKUP(A36&amp;INT($E$1),BvsL!A:A,BvsL!F:F,"",0)</f>
        <v/>
      </c>
      <c r="E36" s="13" t="str">
        <f t="array" ref="E36">XLOOKUP(A36&amp;INT($E$1),BvsL!A:A,BvsL!H:H,"",0)</f>
        <v/>
      </c>
      <c r="F36" s="13" t="str">
        <f t="array" ref="F36">XLOOKUP(A36&amp;INT($E$1),BvsL!A:A,BvsL!I:I,"",0)</f>
        <v/>
      </c>
      <c r="G36" s="13" t="str">
        <f t="array" ref="G36">XLOOKUP(A36&amp;INT($E$1),BvsL!A:A,BvsL!J:J,"",0)</f>
        <v/>
      </c>
      <c r="H36" s="14">
        <f t="array" ref="H36">XLOOKUP(A36,Roster!F:F,Roster!D:D,"",0)</f>
        <v>38</v>
      </c>
      <c r="I36" s="14" t="str">
        <f t="array" ref="I36">XLOOKUP(A36,Roster!F:F,Roster!E:E,"",0)</f>
        <v>Voice</v>
      </c>
    </row>
    <row r="37">
      <c r="A37" s="16" t="s">
        <v>43</v>
      </c>
      <c r="B37" s="12" t="str">
        <f t="array" ref="B37">XLOOKUP(A37,Roster!F:F,Roster!A:A,"",0)</f>
        <v>Martin Salazar</v>
      </c>
      <c r="C37" s="12" t="str">
        <f t="array" ref="C37">XLOOKUP(A37,Roster!F:F,Roster!B:B,"",0)</f>
        <v>Juan Barrera</v>
      </c>
      <c r="D37" s="13" t="str">
        <f t="array" ref="D37">XLOOKUP(A37&amp;INT($E$1),BvsL!A:A,BvsL!F:F,"",0)</f>
        <v/>
      </c>
      <c r="E37" s="13" t="str">
        <f t="array" ref="E37">XLOOKUP(A37&amp;INT($E$1),BvsL!A:A,BvsL!H:H,"",0)</f>
        <v/>
      </c>
      <c r="F37" s="13" t="str">
        <f t="array" ref="F37">XLOOKUP(A37&amp;INT($E$1),BvsL!A:A,BvsL!I:I,"",0)</f>
        <v/>
      </c>
      <c r="G37" s="13" t="str">
        <f t="array" ref="G37">XLOOKUP(A37&amp;INT($E$1),BvsL!A:A,BvsL!J:J,"",0)</f>
        <v/>
      </c>
      <c r="H37" s="14">
        <f t="array" ref="H37">XLOOKUP(A37,Roster!F:F,Roster!D:D,"",0)</f>
        <v>36</v>
      </c>
      <c r="I37" s="14" t="str">
        <f t="array" ref="I37">XLOOKUP(A37,Roster!F:F,Roster!E:E,"",0)</f>
        <v>Voice</v>
      </c>
    </row>
    <row r="38">
      <c r="A38" s="16" t="s">
        <v>44</v>
      </c>
      <c r="B38" s="12" t="str">
        <f t="array" ref="B38">XLOOKUP(A38,Roster!F:F,Roster!A:A,"",0)</f>
        <v>Andra Daza</v>
      </c>
      <c r="C38" s="12" t="str">
        <f t="array" ref="C38">XLOOKUP(A38,Roster!F:F,Roster!B:B,"",0)</f>
        <v>Juan Castilla</v>
      </c>
      <c r="D38" s="13" t="str">
        <f t="array" ref="D38">XLOOKUP(A38&amp;INT($E$1),BvsL!A:A,BvsL!F:F,"",0)</f>
        <v/>
      </c>
      <c r="E38" s="13" t="str">
        <f t="array" ref="E38">XLOOKUP(A38&amp;INT($E$1),BvsL!A:A,BvsL!H:H,"",0)</f>
        <v/>
      </c>
      <c r="F38" s="13" t="str">
        <f t="array" ref="F38">XLOOKUP(A38&amp;INT($E$1),BvsL!A:A,BvsL!I:I,"",0)</f>
        <v/>
      </c>
      <c r="G38" s="13" t="str">
        <f t="array" ref="G38">XLOOKUP(A38&amp;INT($E$1),BvsL!A:A,BvsL!J:J,"",0)</f>
        <v/>
      </c>
      <c r="H38" s="14">
        <f t="array" ref="H38">XLOOKUP(A38,Roster!F:F,Roster!D:D,"",0)</f>
        <v>33</v>
      </c>
      <c r="I38" s="14" t="str">
        <f t="array" ref="I38">XLOOKUP(A38,Roster!F:F,Roster!E:E,"",0)</f>
        <v>Voice</v>
      </c>
    </row>
    <row r="39">
      <c r="A39" s="16" t="s">
        <v>45</v>
      </c>
      <c r="B39" s="12" t="str">
        <f t="array" ref="B39">XLOOKUP(A39,Roster!F:F,Roster!A:A,"",0)</f>
        <v>Mateo Henao</v>
      </c>
      <c r="C39" s="12" t="str">
        <f t="array" ref="C39">XLOOKUP(A39,Roster!F:F,Roster!B:B,"",0)</f>
        <v>Juan Largacha</v>
      </c>
      <c r="D39" s="13" t="str">
        <f t="array" ref="D39">XLOOKUP(A39&amp;INT($E$1),BvsL!A:A,BvsL!F:F,"",0)</f>
        <v/>
      </c>
      <c r="E39" s="13" t="str">
        <f t="array" ref="E39">XLOOKUP(A39&amp;INT($E$1),BvsL!A:A,BvsL!H:H,"",0)</f>
        <v/>
      </c>
      <c r="F39" s="13" t="str">
        <f t="array" ref="F39">XLOOKUP(A39&amp;INT($E$1),BvsL!A:A,BvsL!I:I,"",0)</f>
        <v/>
      </c>
      <c r="G39" s="13" t="str">
        <f t="array" ref="G39">XLOOKUP(A39&amp;INT($E$1),BvsL!A:A,BvsL!J:J,"",0)</f>
        <v/>
      </c>
      <c r="H39" s="14">
        <f t="array" ref="H39">XLOOKUP(A39,Roster!F:F,Roster!D:D,"",0)</f>
        <v>22</v>
      </c>
      <c r="I39" s="14" t="str">
        <f t="array" ref="I39">XLOOKUP(A39,Roster!F:F,Roster!E:E,"",0)</f>
        <v>Voice</v>
      </c>
    </row>
    <row r="40">
      <c r="A40" s="16" t="s">
        <v>46</v>
      </c>
      <c r="B40" s="12" t="str">
        <f t="array" ref="B40">XLOOKUP(A40,Roster!F:F,Roster!A:A,"",0)</f>
        <v>Daniel Bustamante</v>
      </c>
      <c r="C40" s="12" t="str">
        <f t="array" ref="C40">XLOOKUP(A40,Roster!F:F,Roster!B:B,"",0)</f>
        <v>Juan Ocampo</v>
      </c>
      <c r="D40" s="13" t="str">
        <f t="array" ref="D40">XLOOKUP(A40&amp;INT($E$1),BvsL!A:A,BvsL!F:F,"",0)</f>
        <v/>
      </c>
      <c r="E40" s="13" t="str">
        <f t="array" ref="E40">XLOOKUP(A40&amp;INT($E$1),BvsL!A:A,BvsL!H:H,"",0)</f>
        <v/>
      </c>
      <c r="F40" s="13" t="str">
        <f t="array" ref="F40">XLOOKUP(A40&amp;INT($E$1),BvsL!A:A,BvsL!I:I,"",0)</f>
        <v/>
      </c>
      <c r="G40" s="13" t="str">
        <f t="array" ref="G40">XLOOKUP(A40&amp;INT($E$1),BvsL!A:A,BvsL!J:J,"",0)</f>
        <v/>
      </c>
      <c r="H40" s="14">
        <f t="array" ref="H40">XLOOKUP(A40,Roster!F:F,Roster!D:D,"",0)</f>
        <v>38</v>
      </c>
      <c r="I40" s="14" t="str">
        <f t="array" ref="I40">XLOOKUP(A40,Roster!F:F,Roster!E:E,"",0)</f>
        <v>Voice</v>
      </c>
    </row>
    <row r="41">
      <c r="A41" s="16" t="s">
        <v>47</v>
      </c>
      <c r="B41" s="12" t="str">
        <f t="array" ref="B41">XLOOKUP(A41,Roster!F:F,Roster!A:A,"",0)</f>
        <v>Mateo Henao</v>
      </c>
      <c r="C41" s="12" t="str">
        <f t="array" ref="C41">XLOOKUP(A41,Roster!F:F,Roster!B:B,"",0)</f>
        <v>Juan Parra</v>
      </c>
      <c r="D41" s="13" t="str">
        <f t="array" ref="D41">XLOOKUP(A41&amp;INT($E$1),BvsL!A:A,BvsL!F:F,"",0)</f>
        <v/>
      </c>
      <c r="E41" s="13" t="str">
        <f t="array" ref="E41">XLOOKUP(A41&amp;INT($E$1),BvsL!A:A,BvsL!H:H,"",0)</f>
        <v/>
      </c>
      <c r="F41" s="13" t="str">
        <f t="array" ref="F41">XLOOKUP(A41&amp;INT($E$1),BvsL!A:A,BvsL!I:I,"",0)</f>
        <v/>
      </c>
      <c r="G41" s="13" t="str">
        <f t="array" ref="G41">XLOOKUP(A41&amp;INT($E$1),BvsL!A:A,BvsL!J:J,"",0)</f>
        <v/>
      </c>
      <c r="H41" s="14">
        <f t="array" ref="H41">XLOOKUP(A41,Roster!F:F,Roster!D:D,"",0)</f>
        <v>32</v>
      </c>
      <c r="I41" s="14" t="str">
        <f t="array" ref="I41">XLOOKUP(A41,Roster!F:F,Roster!E:E,"",0)</f>
        <v>Voice</v>
      </c>
    </row>
    <row r="42">
      <c r="A42" s="16" t="s">
        <v>48</v>
      </c>
      <c r="B42" s="12" t="str">
        <f t="array" ref="B42">XLOOKUP(A42,Roster!F:F,Roster!A:A,"",0)</f>
        <v>Andra Daza</v>
      </c>
      <c r="C42" s="12" t="str">
        <f t="array" ref="C42">XLOOKUP(A42,Roster!F:F,Roster!B:B,"",0)</f>
        <v>Juan Restrepo Restrepo</v>
      </c>
      <c r="D42" s="13" t="str">
        <f t="array" ref="D42">XLOOKUP(A42&amp;INT($E$1),BvsL!A:A,BvsL!F:F,"",0)</f>
        <v/>
      </c>
      <c r="E42" s="13" t="str">
        <f t="array" ref="E42">XLOOKUP(A42&amp;INT($E$1),BvsL!A:A,BvsL!H:H,"",0)</f>
        <v/>
      </c>
      <c r="F42" s="13" t="str">
        <f t="array" ref="F42">XLOOKUP(A42&amp;INT($E$1),BvsL!A:A,BvsL!I:I,"",0)</f>
        <v/>
      </c>
      <c r="G42" s="13" t="str">
        <f t="array" ref="G42">XLOOKUP(A42&amp;INT($E$1),BvsL!A:A,BvsL!J:J,"",0)</f>
        <v/>
      </c>
      <c r="H42" s="14">
        <f t="array" ref="H42">XLOOKUP(A42,Roster!F:F,Roster!D:D,"",0)</f>
        <v>33</v>
      </c>
      <c r="I42" s="14" t="str">
        <f t="array" ref="I42">XLOOKUP(A42,Roster!F:F,Roster!E:E,"",0)</f>
        <v>Voice</v>
      </c>
    </row>
    <row r="43">
      <c r="A43" s="16" t="s">
        <v>49</v>
      </c>
      <c r="B43" s="12" t="str">
        <f t="array" ref="B43">XLOOKUP(A43,Roster!F:F,Roster!A:A,"",0)</f>
        <v>Mateo Henao</v>
      </c>
      <c r="C43" s="12" t="str">
        <f t="array" ref="C43">XLOOKUP(A43,Roster!F:F,Roster!B:B,"",0)</f>
        <v>Juan Zapata</v>
      </c>
      <c r="D43" s="13" t="str">
        <f t="array" ref="D43">XLOOKUP(A43&amp;INT($E$1),BvsL!A:A,BvsL!F:F,"",0)</f>
        <v/>
      </c>
      <c r="E43" s="13" t="str">
        <f t="array" ref="E43">XLOOKUP(A43&amp;INT($E$1),BvsL!A:A,BvsL!H:H,"",0)</f>
        <v/>
      </c>
      <c r="F43" s="13" t="str">
        <f t="array" ref="F43">XLOOKUP(A43&amp;INT($E$1),BvsL!A:A,BvsL!I:I,"",0)</f>
        <v/>
      </c>
      <c r="G43" s="13" t="str">
        <f t="array" ref="G43">XLOOKUP(A43&amp;INT($E$1),BvsL!A:A,BvsL!J:J,"",0)</f>
        <v/>
      </c>
      <c r="H43" s="14">
        <f t="array" ref="H43">XLOOKUP(A43,Roster!F:F,Roster!D:D,"",0)</f>
        <v>38</v>
      </c>
      <c r="I43" s="14" t="str">
        <f t="array" ref="I43">XLOOKUP(A43,Roster!F:F,Roster!E:E,"",0)</f>
        <v>Voice</v>
      </c>
    </row>
    <row r="44">
      <c r="A44" s="16" t="s">
        <v>50</v>
      </c>
      <c r="B44" s="12" t="str">
        <f t="array" ref="B44">XLOOKUP(A44,Roster!F:F,Roster!A:A,"",0)</f>
        <v>Martin Salazar</v>
      </c>
      <c r="C44" s="12" t="str">
        <f t="array" ref="C44">XLOOKUP(A44,Roster!F:F,Roster!B:B,"",0)</f>
        <v>Karen Lorena Martinez</v>
      </c>
      <c r="D44" s="13" t="str">
        <f t="array" ref="D44">XLOOKUP(A44&amp;INT($E$1),BvsL!A:A,BvsL!F:F,"",0)</f>
        <v/>
      </c>
      <c r="E44" s="13" t="str">
        <f t="array" ref="E44">XLOOKUP(A44&amp;INT($E$1),BvsL!A:A,BvsL!H:H,"",0)</f>
        <v/>
      </c>
      <c r="F44" s="13" t="str">
        <f t="array" ref="F44">XLOOKUP(A44&amp;INT($E$1),BvsL!A:A,BvsL!I:I,"",0)</f>
        <v/>
      </c>
      <c r="G44" s="13" t="str">
        <f t="array" ref="G44">XLOOKUP(A44&amp;INT($E$1),BvsL!A:A,BvsL!J:J,"",0)</f>
        <v/>
      </c>
      <c r="H44" s="14">
        <f t="array" ref="H44">XLOOKUP(A44,Roster!F:F,Roster!D:D,"",0)</f>
        <v>32</v>
      </c>
      <c r="I44" s="14" t="str">
        <f t="array" ref="I44">XLOOKUP(A44,Roster!F:F,Roster!E:E,"",0)</f>
        <v>Voice</v>
      </c>
    </row>
    <row r="45">
      <c r="A45" s="16" t="s">
        <v>51</v>
      </c>
      <c r="B45" s="12" t="str">
        <f t="array" ref="B45">XLOOKUP(A45,Roster!F:F,Roster!A:A,"",0)</f>
        <v>Mateo Henao</v>
      </c>
      <c r="C45" s="12" t="str">
        <f t="array" ref="C45">XLOOKUP(A45,Roster!F:F,Roster!B:B,"",0)</f>
        <v>Karen Panqueva</v>
      </c>
      <c r="D45" s="13" t="str">
        <f t="array" ref="D45">XLOOKUP(A45&amp;INT($E$1),BvsL!A:A,BvsL!F:F,"",0)</f>
        <v/>
      </c>
      <c r="E45" s="13" t="str">
        <f t="array" ref="E45">XLOOKUP(A45&amp;INT($E$1),BvsL!A:A,BvsL!H:H,"",0)</f>
        <v/>
      </c>
      <c r="F45" s="13" t="str">
        <f t="array" ref="F45">XLOOKUP(A45&amp;INT($E$1),BvsL!A:A,BvsL!I:I,"",0)</f>
        <v/>
      </c>
      <c r="G45" s="13" t="str">
        <f t="array" ref="G45">XLOOKUP(A45&amp;INT($E$1),BvsL!A:A,BvsL!J:J,"",0)</f>
        <v/>
      </c>
      <c r="H45" s="14">
        <f t="array" ref="H45">XLOOKUP(A45,Roster!F:F,Roster!D:D,"",0)</f>
        <v>19</v>
      </c>
      <c r="I45" s="14" t="str">
        <f t="array" ref="I45">XLOOKUP(A45,Roster!F:F,Roster!E:E,"",0)</f>
        <v>Voice</v>
      </c>
    </row>
    <row r="46">
      <c r="A46" s="16" t="s">
        <v>52</v>
      </c>
      <c r="B46" s="12" t="str">
        <f t="array" ref="B46">XLOOKUP(A46,Roster!F:F,Roster!A:A,"",0)</f>
        <v>Martin Salazar</v>
      </c>
      <c r="C46" s="12" t="str">
        <f t="array" ref="C46">XLOOKUP(A46,Roster!F:F,Roster!B:B,"",0)</f>
        <v>Karol Pineda</v>
      </c>
      <c r="D46" s="13" t="str">
        <f t="array" ref="D46">XLOOKUP(A46&amp;INT($E$1),BvsL!A:A,BvsL!F:F,"",0)</f>
        <v/>
      </c>
      <c r="E46" s="13" t="str">
        <f t="array" ref="E46">XLOOKUP(A46&amp;INT($E$1),BvsL!A:A,BvsL!H:H,"",0)</f>
        <v/>
      </c>
      <c r="F46" s="13" t="str">
        <f t="array" ref="F46">XLOOKUP(A46&amp;INT($E$1),BvsL!A:A,BvsL!I:I,"",0)</f>
        <v/>
      </c>
      <c r="G46" s="13" t="str">
        <f t="array" ref="G46">XLOOKUP(A46&amp;INT($E$1),BvsL!A:A,BvsL!J:J,"",0)</f>
        <v/>
      </c>
      <c r="H46" s="14">
        <f t="array" ref="H46">XLOOKUP(A46,Roster!F:F,Roster!D:D,"",0)</f>
        <v>34</v>
      </c>
      <c r="I46" s="14" t="str">
        <f t="array" ref="I46">XLOOKUP(A46,Roster!F:F,Roster!E:E,"",0)</f>
        <v>Voice</v>
      </c>
    </row>
    <row r="47">
      <c r="A47" s="16" t="s">
        <v>53</v>
      </c>
      <c r="B47" s="12" t="str">
        <f t="array" ref="B47">XLOOKUP(A47,Roster!F:F,Roster!A:A,"",0)</f>
        <v>Andra Daza</v>
      </c>
      <c r="C47" s="12" t="str">
        <f t="array" ref="C47">XLOOKUP(A47,Roster!F:F,Roster!B:B,"",0)</f>
        <v>Kennedy Giraldo</v>
      </c>
      <c r="D47" s="13" t="str">
        <f t="array" ref="D47">XLOOKUP(A47&amp;INT($E$1),BvsL!A:A,BvsL!F:F,"",0)</f>
        <v/>
      </c>
      <c r="E47" s="13" t="str">
        <f t="array" ref="E47">XLOOKUP(A47&amp;INT($E$1),BvsL!A:A,BvsL!H:H,"",0)</f>
        <v/>
      </c>
      <c r="F47" s="13" t="str">
        <f t="array" ref="F47">XLOOKUP(A47&amp;INT($E$1),BvsL!A:A,BvsL!I:I,"",0)</f>
        <v/>
      </c>
      <c r="G47" s="13" t="str">
        <f t="array" ref="G47">XLOOKUP(A47&amp;INT($E$1),BvsL!A:A,BvsL!J:J,"",0)</f>
        <v/>
      </c>
      <c r="H47" s="14">
        <f t="array" ref="H47">XLOOKUP(A47,Roster!F:F,Roster!D:D,"",0)</f>
        <v>2</v>
      </c>
      <c r="I47" s="14" t="str">
        <f t="array" ref="I47">XLOOKUP(A47,Roster!F:F,Roster!E:E,"",0)</f>
        <v>Voice</v>
      </c>
    </row>
    <row r="48">
      <c r="A48" s="16" t="s">
        <v>54</v>
      </c>
      <c r="B48" s="12" t="str">
        <f t="array" ref="B48">XLOOKUP(A48,Roster!F:F,Roster!A:A,"",0)</f>
        <v>Andra Daza</v>
      </c>
      <c r="C48" s="12" t="str">
        <f t="array" ref="C48">XLOOKUP(A48,Roster!F:F,Roster!B:B,"",0)</f>
        <v>Kevin Betancur</v>
      </c>
      <c r="D48" s="13" t="str">
        <f t="array" ref="D48">XLOOKUP(A48&amp;INT($E$1),BvsL!A:A,BvsL!F:F,"",0)</f>
        <v/>
      </c>
      <c r="E48" s="13" t="str">
        <f t="array" ref="E48">XLOOKUP(A48&amp;INT($E$1),BvsL!A:A,BvsL!H:H,"",0)</f>
        <v/>
      </c>
      <c r="F48" s="13" t="str">
        <f t="array" ref="F48">XLOOKUP(A48&amp;INT($E$1),BvsL!A:A,BvsL!I:I,"",0)</f>
        <v/>
      </c>
      <c r="G48" s="13" t="str">
        <f t="array" ref="G48">XLOOKUP(A48&amp;INT($E$1),BvsL!A:A,BvsL!J:J,"",0)</f>
        <v/>
      </c>
      <c r="H48" s="17">
        <f t="array" ref="H48">XLOOKUP(A48,Roster!F:F,Roster!D:D,"",0)</f>
        <v>35</v>
      </c>
      <c r="I48" s="14" t="str">
        <f t="array" ref="I48">XLOOKUP(A48,Roster!F:F,Roster!E:E,"",0)</f>
        <v>Voice</v>
      </c>
    </row>
    <row r="49">
      <c r="A49" s="16" t="s">
        <v>55</v>
      </c>
      <c r="B49" s="12" t="str">
        <f t="array" ref="B49">XLOOKUP(A49,Roster!F:F,Roster!A:A,"",0)</f>
        <v>Mateo Henao</v>
      </c>
      <c r="C49" s="12" t="str">
        <f t="array" ref="C49">XLOOKUP(A49,Roster!F:F,Roster!B:B,"",0)</f>
        <v>Laura Chamorro</v>
      </c>
      <c r="D49" s="13" t="str">
        <f t="array" ref="D49">XLOOKUP(A49&amp;INT($E$1),BvsL!A:A,BvsL!F:F,"",0)</f>
        <v/>
      </c>
      <c r="E49" s="13" t="str">
        <f t="array" ref="E49">XLOOKUP(A49&amp;INT($E$1),BvsL!A:A,BvsL!H:H,"",0)</f>
        <v/>
      </c>
      <c r="F49" s="13" t="str">
        <f t="array" ref="F49">XLOOKUP(A49&amp;INT($E$1),BvsL!A:A,BvsL!I:I,"",0)</f>
        <v/>
      </c>
      <c r="G49" s="13" t="str">
        <f t="array" ref="G49">XLOOKUP(A49&amp;INT($E$1),BvsL!A:A,BvsL!J:J,"",0)</f>
        <v/>
      </c>
      <c r="H49" s="14">
        <f t="array" ref="H49">XLOOKUP(A49,Roster!F:F,Roster!D:D,"",0)</f>
        <v>38</v>
      </c>
      <c r="I49" s="14" t="str">
        <f t="array" ref="I49">XLOOKUP(A49,Roster!F:F,Roster!E:E,"",0)</f>
        <v>Voice</v>
      </c>
    </row>
    <row r="50">
      <c r="A50" s="16" t="s">
        <v>56</v>
      </c>
      <c r="B50" s="12" t="str">
        <f t="array" ref="B50">XLOOKUP(A50,Roster!F:F,Roster!A:A,"",0)</f>
        <v>Daniel Bustamante</v>
      </c>
      <c r="C50" s="12" t="str">
        <f t="array" ref="C50">XLOOKUP(A50,Roster!F:F,Roster!B:B,"",0)</f>
        <v>Leonerrichi Caicedo</v>
      </c>
      <c r="D50" s="13" t="str">
        <f t="array" ref="D50">XLOOKUP(A50&amp;INT($E$1),BvsL!A:A,BvsL!F:F,"",0)</f>
        <v/>
      </c>
      <c r="E50" s="13" t="str">
        <f t="array" ref="E50">XLOOKUP(A50&amp;INT($E$1),BvsL!A:A,BvsL!H:H,"",0)</f>
        <v/>
      </c>
      <c r="F50" s="13" t="str">
        <f t="array" ref="F50">XLOOKUP(A50&amp;INT($E$1),BvsL!A:A,BvsL!I:I,"",0)</f>
        <v/>
      </c>
      <c r="G50" s="13" t="str">
        <f t="array" ref="G50">XLOOKUP(A50&amp;INT($E$1),BvsL!A:A,BvsL!J:J,"",0)</f>
        <v/>
      </c>
      <c r="H50" s="14">
        <f t="array" ref="H50">XLOOKUP(A50,Roster!F:F,Roster!D:D,"",0)</f>
        <v>38</v>
      </c>
      <c r="I50" s="14" t="str">
        <f t="array" ref="I50">XLOOKUP(A50,Roster!F:F,Roster!E:E,"",0)</f>
        <v>Voice</v>
      </c>
    </row>
    <row r="51">
      <c r="A51" s="16" t="s">
        <v>57</v>
      </c>
      <c r="B51" s="12" t="str">
        <f t="array" ref="B51">XLOOKUP(A51,Roster!F:F,Roster!A:A,"",0)</f>
        <v>Martin Salazar</v>
      </c>
      <c r="C51" s="12" t="str">
        <f t="array" ref="C51">XLOOKUP(A51,Roster!F:F,Roster!B:B,"",0)</f>
        <v>Lisandro Alvarado</v>
      </c>
      <c r="D51" s="13" t="str">
        <f t="array" ref="D51">XLOOKUP(A51&amp;INT($E$1),BvsL!A:A,BvsL!F:F,"",0)</f>
        <v/>
      </c>
      <c r="E51" s="13" t="str">
        <f t="array" ref="E51">XLOOKUP(A51&amp;INT($E$1),BvsL!A:A,BvsL!H:H,"",0)</f>
        <v/>
      </c>
      <c r="F51" s="13" t="str">
        <f t="array" ref="F51">XLOOKUP(A51&amp;INT($E$1),BvsL!A:A,BvsL!I:I,"",0)</f>
        <v/>
      </c>
      <c r="G51" s="13" t="str">
        <f t="array" ref="G51">XLOOKUP(A51&amp;INT($E$1),BvsL!A:A,BvsL!J:J,"",0)</f>
        <v/>
      </c>
      <c r="H51" s="14">
        <f t="array" ref="H51">XLOOKUP(A51,Roster!F:F,Roster!D:D,"",0)</f>
        <v>35</v>
      </c>
      <c r="I51" s="14" t="str">
        <f t="array" ref="I51">XLOOKUP(A51,Roster!F:F,Roster!E:E,"",0)</f>
        <v>Voice</v>
      </c>
    </row>
    <row r="52">
      <c r="A52" s="16" t="s">
        <v>58</v>
      </c>
      <c r="B52" s="12" t="str">
        <f t="array" ref="B52">XLOOKUP(A52,Roster!F:F,Roster!A:A,"",0)</f>
        <v>Andra Daza</v>
      </c>
      <c r="C52" s="12" t="str">
        <f t="array" ref="C52">XLOOKUP(A52,Roster!F:F,Roster!B:B,"",0)</f>
        <v>Luis Lopez</v>
      </c>
      <c r="D52" s="13" t="str">
        <f t="array" ref="D52">XLOOKUP(A52&amp;INT($E$1),BvsL!A:A,BvsL!F:F,"",0)</f>
        <v/>
      </c>
      <c r="E52" s="13" t="str">
        <f t="array" ref="E52">XLOOKUP(A52&amp;INT($E$1),BvsL!A:A,BvsL!H:H,"",0)</f>
        <v/>
      </c>
      <c r="F52" s="13" t="str">
        <f t="array" ref="F52">XLOOKUP(A52&amp;INT($E$1),BvsL!A:A,BvsL!I:I,"",0)</f>
        <v/>
      </c>
      <c r="G52" s="13" t="str">
        <f t="array" ref="G52">XLOOKUP(A52&amp;INT($E$1),BvsL!A:A,BvsL!J:J,"",0)</f>
        <v/>
      </c>
      <c r="H52" s="14">
        <f t="array" ref="H52">XLOOKUP(A52,Roster!F:F,Roster!D:D,"",0)</f>
        <v>32</v>
      </c>
      <c r="I52" s="14" t="str">
        <f t="array" ref="I52">XLOOKUP(A52,Roster!F:F,Roster!E:E,"",0)</f>
        <v>Voice</v>
      </c>
    </row>
    <row r="53">
      <c r="A53" s="16" t="s">
        <v>59</v>
      </c>
      <c r="B53" s="12" t="str">
        <f t="array" ref="B53">XLOOKUP(A53,Roster!F:F,Roster!A:A,"",0)</f>
        <v>Martin Salazar</v>
      </c>
      <c r="C53" s="12" t="str">
        <f t="array" ref="C53">XLOOKUP(A53,Roster!F:F,Roster!B:B,"",0)</f>
        <v>Luis Munoz</v>
      </c>
      <c r="D53" s="13" t="str">
        <f t="array" ref="D53">XLOOKUP(A53&amp;INT($E$1),BvsL!A:A,BvsL!F:F,"",0)</f>
        <v/>
      </c>
      <c r="E53" s="13" t="str">
        <f t="array" ref="E53">XLOOKUP(A53&amp;INT($E$1),BvsL!A:A,BvsL!H:H,"",0)</f>
        <v/>
      </c>
      <c r="F53" s="13" t="str">
        <f t="array" ref="F53">XLOOKUP(A53&amp;INT($E$1),BvsL!A:A,BvsL!I:I,"",0)</f>
        <v/>
      </c>
      <c r="G53" s="13" t="str">
        <f t="array" ref="G53">XLOOKUP(A53&amp;INT($E$1),BvsL!A:A,BvsL!J:J,"",0)</f>
        <v/>
      </c>
      <c r="H53" s="14">
        <f t="array" ref="H53">XLOOKUP(A53,Roster!F:F,Roster!D:D,"",0)</f>
        <v>36</v>
      </c>
      <c r="I53" s="14" t="str">
        <f t="array" ref="I53">XLOOKUP(A53,Roster!F:F,Roster!E:E,"",0)</f>
        <v>Voice</v>
      </c>
    </row>
    <row r="54">
      <c r="A54" s="16" t="s">
        <v>60</v>
      </c>
      <c r="B54" s="12" t="str">
        <f t="array" ref="B54">XLOOKUP(A54,Roster!F:F,Roster!A:A,"",0)</f>
        <v>Martin Salazar</v>
      </c>
      <c r="C54" s="12" t="str">
        <f t="array" ref="C54">XLOOKUP(A54,Roster!F:F,Roster!B:B,"",0)</f>
        <v>Luisa Gonzalez</v>
      </c>
      <c r="D54" s="13" t="str">
        <f t="array" ref="D54">XLOOKUP(A54&amp;INT($E$1),BvsL!A:A,BvsL!F:F,"",0)</f>
        <v/>
      </c>
      <c r="E54" s="13" t="str">
        <f t="array" ref="E54">XLOOKUP(A54&amp;INT($E$1),BvsL!A:A,BvsL!H:H,"",0)</f>
        <v/>
      </c>
      <c r="F54" s="13" t="str">
        <f t="array" ref="F54">XLOOKUP(A54&amp;INT($E$1),BvsL!A:A,BvsL!I:I,"",0)</f>
        <v/>
      </c>
      <c r="G54" s="13" t="str">
        <f t="array" ref="G54">XLOOKUP(A54&amp;INT($E$1),BvsL!A:A,BvsL!J:J,"",0)</f>
        <v/>
      </c>
      <c r="H54" s="14">
        <f t="array" ref="H54">XLOOKUP(A54,Roster!F:F,Roster!D:D,"",0)</f>
        <v>22</v>
      </c>
      <c r="I54" s="14" t="str">
        <f t="array" ref="I54">XLOOKUP(A54,Roster!F:F,Roster!E:E,"",0)</f>
        <v>Voice</v>
      </c>
    </row>
    <row r="55">
      <c r="A55" s="16" t="s">
        <v>61</v>
      </c>
      <c r="B55" s="12" t="str">
        <f t="array" ref="B55">XLOOKUP(A55,Roster!F:F,Roster!A:A,"",0)</f>
        <v>Daniel Bustamante</v>
      </c>
      <c r="C55" s="12" t="str">
        <f t="array" ref="C55">XLOOKUP(A55,Roster!F:F,Roster!B:B,"",0)</f>
        <v>Luna Morales</v>
      </c>
      <c r="D55" s="13" t="str">
        <f t="array" ref="D55">XLOOKUP(A55&amp;INT($E$1),BvsL!A:A,BvsL!F:F,"",0)</f>
        <v/>
      </c>
      <c r="E55" s="13" t="str">
        <f t="array" ref="E55">XLOOKUP(A55&amp;INT($E$1),BvsL!A:A,BvsL!H:H,"",0)</f>
        <v/>
      </c>
      <c r="F55" s="13" t="str">
        <f t="array" ref="F55">XLOOKUP(A55&amp;INT($E$1),BvsL!A:A,BvsL!I:I,"",0)</f>
        <v/>
      </c>
      <c r="G55" s="13" t="str">
        <f t="array" ref="G55">XLOOKUP(A55&amp;INT($E$1),BvsL!A:A,BvsL!J:J,"",0)</f>
        <v/>
      </c>
      <c r="H55" s="14">
        <f t="array" ref="H55">XLOOKUP(A55,Roster!F:F,Roster!D:D,"",0)</f>
        <v>38</v>
      </c>
      <c r="I55" s="14" t="str">
        <f t="array" ref="I55">XLOOKUP(A55,Roster!F:F,Roster!E:E,"",0)</f>
        <v>Voice</v>
      </c>
    </row>
    <row r="56">
      <c r="A56" s="16" t="s">
        <v>62</v>
      </c>
      <c r="B56" s="12" t="str">
        <f t="array" ref="B56">XLOOKUP(A56,Roster!F:F,Roster!A:A,"",0)</f>
        <v>Mateo Henao</v>
      </c>
      <c r="C56" s="12" t="str">
        <f t="array" ref="C56">XLOOKUP(A56,Roster!F:F,Roster!B:B,"",0)</f>
        <v>Magda Foronda</v>
      </c>
      <c r="D56" s="13" t="str">
        <f t="array" ref="D56">XLOOKUP(A56&amp;INT($E$1),BvsL!A:A,BvsL!F:F,"",0)</f>
        <v/>
      </c>
      <c r="E56" s="13" t="str">
        <f t="array" ref="E56">XLOOKUP(A56&amp;INT($E$1),BvsL!A:A,BvsL!H:H,"",0)</f>
        <v/>
      </c>
      <c r="F56" s="13" t="str">
        <f t="array" ref="F56">XLOOKUP(A56&amp;INT($E$1),BvsL!A:A,BvsL!I:I,"",0)</f>
        <v/>
      </c>
      <c r="G56" s="13" t="str">
        <f t="array" ref="G56">XLOOKUP(A56&amp;INT($E$1),BvsL!A:A,BvsL!J:J,"",0)</f>
        <v/>
      </c>
      <c r="H56" s="14">
        <f t="array" ref="H56">XLOOKUP(A56,Roster!F:F,Roster!D:D,"",0)</f>
        <v>35</v>
      </c>
      <c r="I56" s="14" t="str">
        <f t="array" ref="I56">XLOOKUP(A56,Roster!F:F,Roster!E:E,"",0)</f>
        <v>Voice</v>
      </c>
    </row>
    <row r="57">
      <c r="A57" s="16" t="s">
        <v>63</v>
      </c>
      <c r="B57" s="12" t="str">
        <f t="array" ref="B57">XLOOKUP(A57,Roster!F:F,Roster!A:A,"",0)</f>
        <v>Martin Salazar</v>
      </c>
      <c r="C57" s="12" t="str">
        <f t="array" ref="C57">XLOOKUP(A57,Roster!F:F,Roster!B:B,"",0)</f>
        <v>Maria Mesa</v>
      </c>
      <c r="D57" s="13" t="str">
        <f t="array" ref="D57">XLOOKUP(A57&amp;INT($E$1),BvsL!A:A,BvsL!F:F,"",0)</f>
        <v/>
      </c>
      <c r="E57" s="13" t="str">
        <f t="array" ref="E57">XLOOKUP(A57&amp;INT($E$1),BvsL!A:A,BvsL!H:H,"",0)</f>
        <v/>
      </c>
      <c r="F57" s="13" t="str">
        <f t="array" ref="F57">XLOOKUP(A57&amp;INT($E$1),BvsL!A:A,BvsL!I:I,"",0)</f>
        <v/>
      </c>
      <c r="G57" s="13" t="str">
        <f t="array" ref="G57">XLOOKUP(A57&amp;INT($E$1),BvsL!A:A,BvsL!J:J,"",0)</f>
        <v/>
      </c>
      <c r="H57" s="14">
        <f t="array" ref="H57">XLOOKUP(A57,Roster!F:F,Roster!D:D,"",0)</f>
        <v>36</v>
      </c>
      <c r="I57" s="14" t="str">
        <f t="array" ref="I57">XLOOKUP(A57,Roster!F:F,Roster!E:E,"",0)</f>
        <v>Voice</v>
      </c>
    </row>
    <row r="58">
      <c r="A58" s="16" t="s">
        <v>64</v>
      </c>
      <c r="B58" s="12" t="str">
        <f t="array" ref="B58">XLOOKUP(A58,Roster!F:F,Roster!A:A,"",0)</f>
        <v>Andra Daza</v>
      </c>
      <c r="C58" s="12" t="str">
        <f t="array" ref="C58">XLOOKUP(A58,Roster!F:F,Roster!B:B,"",0)</f>
        <v>Miguel Betancur</v>
      </c>
      <c r="D58" s="13" t="str">
        <f t="array" ref="D58">XLOOKUP(A58&amp;INT($E$1),BvsL!A:A,BvsL!F:F,"",0)</f>
        <v/>
      </c>
      <c r="E58" s="13" t="str">
        <f t="array" ref="E58">XLOOKUP(A58&amp;INT($E$1),BvsL!A:A,BvsL!H:H,"",0)</f>
        <v/>
      </c>
      <c r="F58" s="13" t="str">
        <f t="array" ref="F58">XLOOKUP(A58&amp;INT($E$1),BvsL!A:A,BvsL!I:I,"",0)</f>
        <v/>
      </c>
      <c r="G58" s="13" t="str">
        <f t="array" ref="G58">XLOOKUP(A58&amp;INT($E$1),BvsL!A:A,BvsL!J:J,"",0)</f>
        <v/>
      </c>
      <c r="H58" s="14">
        <f t="array" ref="H58">XLOOKUP(A58,Roster!F:F,Roster!D:D,"",0)</f>
        <v>33</v>
      </c>
      <c r="I58" s="14" t="str">
        <f t="array" ref="I58">XLOOKUP(A58,Roster!F:F,Roster!E:E,"",0)</f>
        <v>Voice</v>
      </c>
    </row>
    <row r="59">
      <c r="A59" s="16" t="s">
        <v>65</v>
      </c>
      <c r="B59" s="12" t="str">
        <f t="array" ref="B59">XLOOKUP(A59,Roster!F:F,Roster!A:A,"",0)</f>
        <v>Martin Salazar</v>
      </c>
      <c r="C59" s="12" t="str">
        <f t="array" ref="C59">XLOOKUP(A59,Roster!F:F,Roster!B:B,"",0)</f>
        <v>Mikel Bowie</v>
      </c>
      <c r="D59" s="13" t="str">
        <f t="array" ref="D59">XLOOKUP(A59&amp;INT($E$1),BvsL!A:A,BvsL!F:F,"",0)</f>
        <v/>
      </c>
      <c r="E59" s="13" t="str">
        <f t="array" ref="E59">XLOOKUP(A59&amp;INT($E$1),BvsL!A:A,BvsL!H:H,"",0)</f>
        <v/>
      </c>
      <c r="F59" s="13" t="str">
        <f t="array" ref="F59">XLOOKUP(A59&amp;INT($E$1),BvsL!A:A,BvsL!I:I,"",0)</f>
        <v/>
      </c>
      <c r="G59" s="13" t="str">
        <f t="array" ref="G59">XLOOKUP(A59&amp;INT($E$1),BvsL!A:A,BvsL!J:J,"",0)</f>
        <v/>
      </c>
      <c r="H59" s="14">
        <f t="array" ref="H59">XLOOKUP(A59,Roster!F:F,Roster!D:D,"",0)</f>
        <v>20</v>
      </c>
      <c r="I59" s="14" t="str">
        <f t="array" ref="I59">XLOOKUP(A59,Roster!F:F,Roster!E:E,"",0)</f>
        <v>Voice</v>
      </c>
    </row>
    <row r="60">
      <c r="A60" s="16" t="s">
        <v>66</v>
      </c>
      <c r="B60" s="12" t="str">
        <f t="array" ref="B60">XLOOKUP(A60,Roster!F:F,Roster!A:A,"",0)</f>
        <v>Martin Salazar</v>
      </c>
      <c r="C60" s="12" t="str">
        <f t="array" ref="C60">XLOOKUP(A60,Roster!F:F,Roster!B:B,"",0)</f>
        <v>Natalia Cardona</v>
      </c>
      <c r="D60" s="13" t="str">
        <f t="array" ref="D60">XLOOKUP(A60&amp;INT($E$1),BvsL!A:A,BvsL!F:F,"",0)</f>
        <v/>
      </c>
      <c r="E60" s="13" t="str">
        <f t="array" ref="E60">XLOOKUP(A60&amp;INT($E$1),BvsL!A:A,BvsL!H:H,"",0)</f>
        <v/>
      </c>
      <c r="F60" s="13" t="str">
        <f t="array" ref="F60">XLOOKUP(A60&amp;INT($E$1),BvsL!A:A,BvsL!I:I,"",0)</f>
        <v/>
      </c>
      <c r="G60" s="13" t="str">
        <f t="array" ref="G60">XLOOKUP(A60&amp;INT($E$1),BvsL!A:A,BvsL!J:J,"",0)</f>
        <v/>
      </c>
      <c r="H60" s="14">
        <f t="array" ref="H60">XLOOKUP(A60,Roster!F:F,Roster!D:D,"",0)</f>
        <v>24</v>
      </c>
      <c r="I60" s="14" t="str">
        <f t="array" ref="I60">XLOOKUP(A60,Roster!F:F,Roster!E:E,"",0)</f>
        <v>Voice</v>
      </c>
    </row>
    <row r="61">
      <c r="A61" s="16" t="s">
        <v>67</v>
      </c>
      <c r="B61" s="12" t="str">
        <f t="array" ref="B61">XLOOKUP(A61,Roster!F:F,Roster!A:A,"",0)</f>
        <v>Martin Salazar</v>
      </c>
      <c r="C61" s="12" t="str">
        <f t="array" ref="C61">XLOOKUP(A61,Roster!F:F,Roster!B:B,"",0)</f>
        <v>Nicols Quinones</v>
      </c>
      <c r="D61" s="13" t="str">
        <f t="array" ref="D61">XLOOKUP(A61&amp;INT($E$1),BvsL!A:A,BvsL!F:F,"",0)</f>
        <v/>
      </c>
      <c r="E61" s="13" t="str">
        <f t="array" ref="E61">XLOOKUP(A61&amp;INT($E$1),BvsL!A:A,BvsL!H:H,"",0)</f>
        <v/>
      </c>
      <c r="F61" s="13" t="str">
        <f t="array" ref="F61">XLOOKUP(A61&amp;INT($E$1),BvsL!A:A,BvsL!I:I,"",0)</f>
        <v/>
      </c>
      <c r="G61" s="13" t="str">
        <f t="array" ref="G61">XLOOKUP(A61&amp;INT($E$1),BvsL!A:A,BvsL!J:J,"",0)</f>
        <v/>
      </c>
      <c r="H61" s="14">
        <f t="array" ref="H61">XLOOKUP(A61,Roster!F:F,Roster!D:D,"",0)</f>
        <v>35</v>
      </c>
      <c r="I61" s="14" t="str">
        <f t="array" ref="I61">XLOOKUP(A61,Roster!F:F,Roster!E:E,"",0)</f>
        <v>Voice</v>
      </c>
    </row>
    <row r="62">
      <c r="A62" s="16" t="s">
        <v>68</v>
      </c>
      <c r="B62" s="12" t="str">
        <f t="array" ref="B62">XLOOKUP(A62,Roster!F:F,Roster!A:A,"",0)</f>
        <v>Daniel Bustamante</v>
      </c>
      <c r="C62" s="12" t="str">
        <f t="array" ref="C62">XLOOKUP(A62,Roster!F:F,Roster!B:B,"",0)</f>
        <v>Oscar Roldan</v>
      </c>
      <c r="D62" s="13" t="str">
        <f t="array" ref="D62">XLOOKUP(A62&amp;INT($E$1),BvsL!A:A,BvsL!F:F,"",0)</f>
        <v/>
      </c>
      <c r="E62" s="13" t="str">
        <f t="array" ref="E62">XLOOKUP(A62&amp;INT($E$1),BvsL!A:A,BvsL!H:H,"",0)</f>
        <v/>
      </c>
      <c r="F62" s="13" t="str">
        <f t="array" ref="F62">XLOOKUP(A62&amp;INT($E$1),BvsL!A:A,BvsL!I:I,"",0)</f>
        <v/>
      </c>
      <c r="G62" s="13" t="str">
        <f t="array" ref="G62">XLOOKUP(A62&amp;INT($E$1),BvsL!A:A,BvsL!J:J,"",0)</f>
        <v/>
      </c>
      <c r="H62" s="14">
        <f t="array" ref="H62">XLOOKUP(A62,Roster!F:F,Roster!D:D,"",0)</f>
        <v>36</v>
      </c>
      <c r="I62" s="14" t="str">
        <f t="array" ref="I62">XLOOKUP(A62,Roster!F:F,Roster!E:E,"",0)</f>
        <v>Voice</v>
      </c>
    </row>
    <row r="63">
      <c r="A63" s="16" t="s">
        <v>69</v>
      </c>
      <c r="B63" s="12" t="str">
        <f t="array" ref="B63">XLOOKUP(A63,Roster!F:F,Roster!A:A,"",0)</f>
        <v>Andra Daza</v>
      </c>
      <c r="C63" s="12" t="str">
        <f t="array" ref="C63">XLOOKUP(A63,Roster!F:F,Roster!B:B,"",0)</f>
        <v>Salma Giraldo</v>
      </c>
      <c r="D63" s="13" t="str">
        <f t="array" ref="D63">XLOOKUP(A63&amp;INT($E$1),BvsL!A:A,BvsL!F:F,"",0)</f>
        <v/>
      </c>
      <c r="E63" s="13" t="str">
        <f t="array" ref="E63">XLOOKUP(A63&amp;INT($E$1),BvsL!A:A,BvsL!H:H,"",0)</f>
        <v/>
      </c>
      <c r="F63" s="13" t="str">
        <f t="array" ref="F63">XLOOKUP(A63&amp;INT($E$1),BvsL!A:A,BvsL!I:I,"",0)</f>
        <v/>
      </c>
      <c r="G63" s="13" t="str">
        <f t="array" ref="G63">XLOOKUP(A63&amp;INT($E$1),BvsL!A:A,BvsL!J:J,"",0)</f>
        <v/>
      </c>
      <c r="H63" s="14">
        <f t="array" ref="H63">XLOOKUP(A63,Roster!F:F,Roster!D:D,"",0)</f>
        <v>35</v>
      </c>
      <c r="I63" s="14" t="str">
        <f t="array" ref="I63">XLOOKUP(A63,Roster!F:F,Roster!E:E,"",0)</f>
        <v>Voice</v>
      </c>
    </row>
    <row r="64">
      <c r="A64" s="16" t="s">
        <v>70</v>
      </c>
      <c r="B64" s="12" t="str">
        <f t="array" ref="B64">XLOOKUP(A64,Roster!F:F,Roster!A:A,"",0)</f>
        <v>Andra Daza</v>
      </c>
      <c r="C64" s="12" t="str">
        <f t="array" ref="C64">XLOOKUP(A64,Roster!F:F,Roster!B:B,"",0)</f>
        <v>Salome Arias</v>
      </c>
      <c r="D64" s="13" t="str">
        <f t="array" ref="D64">XLOOKUP(A64&amp;INT($E$1),BvsL!A:A,BvsL!F:F,"",0)</f>
        <v/>
      </c>
      <c r="E64" s="13" t="str">
        <f t="array" ref="E64">XLOOKUP(A64&amp;INT($E$1),BvsL!A:A,BvsL!H:H,"",0)</f>
        <v/>
      </c>
      <c r="F64" s="13" t="str">
        <f t="array" ref="F64">XLOOKUP(A64&amp;INT($E$1),BvsL!A:A,BvsL!I:I,"",0)</f>
        <v/>
      </c>
      <c r="G64" s="13" t="str">
        <f t="array" ref="G64">XLOOKUP(A64&amp;INT($E$1),BvsL!A:A,BvsL!J:J,"",0)</f>
        <v/>
      </c>
      <c r="H64" s="14">
        <f t="array" ref="H64">XLOOKUP(A64,Roster!F:F,Roster!D:D,"",0)</f>
        <v>12</v>
      </c>
      <c r="I64" s="14" t="str">
        <f t="array" ref="I64">XLOOKUP(A64,Roster!F:F,Roster!E:E,"",0)</f>
        <v>Voice</v>
      </c>
    </row>
    <row r="65">
      <c r="A65" s="16" t="s">
        <v>71</v>
      </c>
      <c r="B65" s="12" t="str">
        <f t="array" ref="B65">XLOOKUP(A65,Roster!F:F,Roster!A:A,"",0)</f>
        <v>Daniel Bustamante</v>
      </c>
      <c r="C65" s="12" t="str">
        <f t="array" ref="C65">XLOOKUP(A65,Roster!F:F,Roster!B:B,"",0)</f>
        <v>Samuel Acevedo Cadavid</v>
      </c>
      <c r="D65" s="13" t="str">
        <f t="array" ref="D65">XLOOKUP(A65&amp;INT($E$1),BvsL!A:A,BvsL!F:F,"",0)</f>
        <v/>
      </c>
      <c r="E65" s="13" t="str">
        <f t="array" ref="E65">XLOOKUP(A65&amp;INT($E$1),BvsL!A:A,BvsL!H:H,"",0)</f>
        <v/>
      </c>
      <c r="F65" s="13" t="str">
        <f t="array" ref="F65">XLOOKUP(A65&amp;INT($E$1),BvsL!A:A,BvsL!I:I,"",0)</f>
        <v/>
      </c>
      <c r="G65" s="13" t="str">
        <f t="array" ref="G65">XLOOKUP(A65&amp;INT($E$1),BvsL!A:A,BvsL!J:J,"",0)</f>
        <v/>
      </c>
      <c r="H65" s="14">
        <f t="array" ref="H65">XLOOKUP(A65,Roster!F:F,Roster!D:D,"",0)</f>
        <v>38</v>
      </c>
      <c r="I65" s="14" t="str">
        <f t="array" ref="I65">XLOOKUP(A65,Roster!F:F,Roster!E:E,"",0)</f>
        <v>Voice</v>
      </c>
    </row>
    <row r="66">
      <c r="A66" s="16" t="s">
        <v>72</v>
      </c>
      <c r="B66" s="12" t="str">
        <f t="array" ref="B66">XLOOKUP(A66,Roster!F:F,Roster!A:A,"",0)</f>
        <v>Daniel Bustamante</v>
      </c>
      <c r="C66" s="12" t="str">
        <f t="array" ref="C66">XLOOKUP(A66,Roster!F:F,Roster!B:B,"",0)</f>
        <v>Santiago Mora</v>
      </c>
      <c r="D66" s="13" t="str">
        <f t="array" ref="D66">XLOOKUP(A66&amp;INT($E$1),BvsL!A:A,BvsL!F:F,"",0)</f>
        <v/>
      </c>
      <c r="E66" s="13" t="str">
        <f t="array" ref="E66">XLOOKUP(A66&amp;INT($E$1),BvsL!A:A,BvsL!H:H,"",0)</f>
        <v/>
      </c>
      <c r="F66" s="13" t="str">
        <f t="array" ref="F66">XLOOKUP(A66&amp;INT($E$1),BvsL!A:A,BvsL!I:I,"",0)</f>
        <v/>
      </c>
      <c r="G66" s="13" t="str">
        <f t="array" ref="G66">XLOOKUP(A66&amp;INT($E$1),BvsL!A:A,BvsL!J:J,"",0)</f>
        <v/>
      </c>
      <c r="H66" s="14">
        <f t="array" ref="H66">XLOOKUP(A66,Roster!F:F,Roster!D:D,"",0)</f>
        <v>35</v>
      </c>
      <c r="I66" s="14" t="str">
        <f t="array" ref="I66">XLOOKUP(A66,Roster!F:F,Roster!E:E,"",0)</f>
        <v>Voice</v>
      </c>
    </row>
    <row r="67">
      <c r="A67" s="16" t="s">
        <v>73</v>
      </c>
      <c r="B67" s="12" t="str">
        <f t="array" ref="B67">XLOOKUP(A67,Roster!F:F,Roster!A:A,"",0)</f>
        <v>Daniel Bustamante</v>
      </c>
      <c r="C67" s="12" t="str">
        <f t="array" ref="C67">XLOOKUP(A67,Roster!F:F,Roster!B:B,"",0)</f>
        <v>Sebastian Agudelo Londono</v>
      </c>
      <c r="D67" s="13" t="str">
        <f t="array" ref="D67">XLOOKUP(A67&amp;INT($E$1),BvsL!A:A,BvsL!F:F,"",0)</f>
        <v/>
      </c>
      <c r="E67" s="13" t="str">
        <f t="array" ref="E67">XLOOKUP(A67&amp;INT($E$1),BvsL!A:A,BvsL!H:H,"",0)</f>
        <v/>
      </c>
      <c r="F67" s="13" t="str">
        <f t="array" ref="F67">XLOOKUP(A67&amp;INT($E$1),BvsL!A:A,BvsL!I:I,"",0)</f>
        <v/>
      </c>
      <c r="G67" s="13" t="str">
        <f t="array" ref="G67">XLOOKUP(A67&amp;INT($E$1),BvsL!A:A,BvsL!J:J,"",0)</f>
        <v/>
      </c>
      <c r="H67" s="14">
        <f t="array" ref="H67">XLOOKUP(A67,Roster!F:F,Roster!D:D,"",0)</f>
        <v>35</v>
      </c>
      <c r="I67" s="14" t="str">
        <f t="array" ref="I67">XLOOKUP(A67,Roster!F:F,Roster!E:E,"",0)</f>
        <v>Voice</v>
      </c>
    </row>
    <row r="68">
      <c r="A68" s="16" t="s">
        <v>74</v>
      </c>
      <c r="B68" s="12" t="str">
        <f t="array" ref="B68">XLOOKUP(A68,Roster!F:F,Roster!A:A,"",0)</f>
        <v>Daniel Bustamante</v>
      </c>
      <c r="C68" s="12" t="str">
        <f t="array" ref="C68">XLOOKUP(A68,Roster!F:F,Roster!B:B,"",0)</f>
        <v>Sebastian Torres Gomez</v>
      </c>
      <c r="D68" s="13" t="str">
        <f t="array" ref="D68">XLOOKUP(A68&amp;INT($E$1),BvsL!A:A,BvsL!F:F,"",0)</f>
        <v/>
      </c>
      <c r="E68" s="13" t="str">
        <f t="array" ref="E68">XLOOKUP(A68&amp;INT($E$1),BvsL!A:A,BvsL!H:H,"",0)</f>
        <v/>
      </c>
      <c r="F68" s="13" t="str">
        <f t="array" ref="F68">XLOOKUP(A68&amp;INT($E$1),BvsL!A:A,BvsL!I:I,"",0)</f>
        <v/>
      </c>
      <c r="G68" s="13" t="str">
        <f t="array" ref="G68">XLOOKUP(A68&amp;INT($E$1),BvsL!A:A,BvsL!J:J,"",0)</f>
        <v/>
      </c>
      <c r="H68" s="14">
        <f t="array" ref="H68">XLOOKUP(A68,Roster!F:F,Roster!D:D,"",0)</f>
        <v>32</v>
      </c>
      <c r="I68" s="14" t="str">
        <f t="array" ref="I68">XLOOKUP(A68,Roster!F:F,Roster!E:E,"",0)</f>
        <v>Voice</v>
      </c>
    </row>
    <row r="69">
      <c r="A69" s="16" t="s">
        <v>75</v>
      </c>
      <c r="B69" s="12" t="str">
        <f t="array" ref="B69">XLOOKUP(A69,Roster!F:F,Roster!A:A,"",0)</f>
        <v>Martin Salazar</v>
      </c>
      <c r="C69" s="12" t="str">
        <f t="array" ref="C69">XLOOKUP(A69,Roster!F:F,Roster!B:B,"",0)</f>
        <v>Sebastian Zapata</v>
      </c>
      <c r="D69" s="13" t="str">
        <f t="array" ref="D69">XLOOKUP(A69&amp;INT($E$1),BvsL!A:A,BvsL!F:F,"",0)</f>
        <v/>
      </c>
      <c r="E69" s="13" t="str">
        <f t="array" ref="E69">XLOOKUP(A69&amp;INT($E$1),BvsL!A:A,BvsL!H:H,"",0)</f>
        <v/>
      </c>
      <c r="F69" s="13" t="str">
        <f t="array" ref="F69">XLOOKUP(A69&amp;INT($E$1),BvsL!A:A,BvsL!I:I,"",0)</f>
        <v/>
      </c>
      <c r="G69" s="13" t="str">
        <f t="array" ref="G69">XLOOKUP(A69&amp;INT($E$1),BvsL!A:A,BvsL!J:J,"",0)</f>
        <v/>
      </c>
      <c r="H69" s="14">
        <f t="array" ref="H69">XLOOKUP(A69,Roster!F:F,Roster!D:D,"",0)</f>
        <v>12</v>
      </c>
      <c r="I69" s="14" t="str">
        <f t="array" ref="I69">XLOOKUP(A69,Roster!F:F,Roster!E:E,"",0)</f>
        <v>Voice</v>
      </c>
    </row>
    <row r="70">
      <c r="A70" s="16" t="s">
        <v>76</v>
      </c>
      <c r="B70" s="12" t="str">
        <f t="array" ref="B70">XLOOKUP(A70,Roster!F:F,Roster!A:A,"",0)</f>
        <v>Daniel Bustamante</v>
      </c>
      <c r="C70" s="12" t="str">
        <f t="array" ref="C70">XLOOKUP(A70,Roster!F:F,Roster!B:B,"",0)</f>
        <v>Sergio Rojas</v>
      </c>
      <c r="D70" s="13" t="str">
        <f t="array" ref="D70">XLOOKUP(A70&amp;INT($E$1),BvsL!A:A,BvsL!F:F,"",0)</f>
        <v/>
      </c>
      <c r="E70" s="13" t="str">
        <f t="array" ref="E70">XLOOKUP(A70&amp;INT($E$1),BvsL!A:A,BvsL!H:H,"",0)</f>
        <v/>
      </c>
      <c r="F70" s="13" t="str">
        <f t="array" ref="F70">XLOOKUP(A70&amp;INT($E$1),BvsL!A:A,BvsL!I:I,"",0)</f>
        <v/>
      </c>
      <c r="G70" s="13" t="str">
        <f t="array" ref="G70">XLOOKUP(A70&amp;INT($E$1),BvsL!A:A,BvsL!J:J,"",0)</f>
        <v/>
      </c>
      <c r="H70" s="14">
        <f t="array" ref="H70">XLOOKUP(A70,Roster!F:F,Roster!D:D,"",0)</f>
        <v>38</v>
      </c>
      <c r="I70" s="14" t="str">
        <f t="array" ref="I70">XLOOKUP(A70,Roster!F:F,Roster!E:E,"",0)</f>
        <v>Voice</v>
      </c>
    </row>
    <row r="71">
      <c r="A71" s="16" t="s">
        <v>77</v>
      </c>
      <c r="B71" s="12" t="str">
        <f t="array" ref="B71">XLOOKUP(A71,Roster!F:F,Roster!A:A,"",0)</f>
        <v>Daniel Bustamante</v>
      </c>
      <c r="C71" s="12" t="str">
        <f t="array" ref="C71">XLOOKUP(A71,Roster!F:F,Roster!B:B,"",0)</f>
        <v>Simon Zuluaica</v>
      </c>
      <c r="D71" s="13" t="str">
        <f t="array" ref="D71">XLOOKUP(A71&amp;INT($E$1),BvsL!A:A,BvsL!F:F,"",0)</f>
        <v/>
      </c>
      <c r="E71" s="13" t="str">
        <f t="array" ref="E71">XLOOKUP(A71&amp;INT($E$1),BvsL!A:A,BvsL!H:H,"",0)</f>
        <v/>
      </c>
      <c r="F71" s="13" t="str">
        <f t="array" ref="F71">XLOOKUP(A71&amp;INT($E$1),BvsL!A:A,BvsL!I:I,"",0)</f>
        <v/>
      </c>
      <c r="G71" s="13" t="str">
        <f t="array" ref="G71">XLOOKUP(A71&amp;INT($E$1),BvsL!A:A,BvsL!J:J,"",0)</f>
        <v/>
      </c>
      <c r="H71" s="14">
        <f t="array" ref="H71">XLOOKUP(A71,Roster!F:F,Roster!D:D,"",0)</f>
        <v>34</v>
      </c>
      <c r="I71" s="14" t="str">
        <f t="array" ref="I71">XLOOKUP(A71,Roster!F:F,Roster!E:E,"",0)</f>
        <v>Voice</v>
      </c>
    </row>
    <row r="72">
      <c r="A72" s="16" t="s">
        <v>78</v>
      </c>
      <c r="B72" s="12" t="str">
        <f t="array" ref="B72">XLOOKUP(A72,Roster!F:F,Roster!A:A,"",0)</f>
        <v>Andra Daza</v>
      </c>
      <c r="C72" s="12" t="str">
        <f t="array" ref="C72">XLOOKUP(A72,Roster!F:F,Roster!B:B,"",0)</f>
        <v>Tomas Perez</v>
      </c>
      <c r="D72" s="13" t="str">
        <f t="array" ref="D72">XLOOKUP(A72&amp;INT($E$1),BvsL!A:A,BvsL!F:F,"",0)</f>
        <v/>
      </c>
      <c r="E72" s="13" t="str">
        <f t="array" ref="E72">XLOOKUP(A72&amp;INT($E$1),BvsL!A:A,BvsL!H:H,"",0)</f>
        <v/>
      </c>
      <c r="F72" s="13" t="str">
        <f t="array" ref="F72">XLOOKUP(A72&amp;INT($E$1),BvsL!A:A,BvsL!I:I,"",0)</f>
        <v/>
      </c>
      <c r="G72" s="13" t="str">
        <f t="array" ref="G72">XLOOKUP(A72&amp;INT($E$1),BvsL!A:A,BvsL!J:J,"",0)</f>
        <v/>
      </c>
      <c r="H72" s="14">
        <f t="array" ref="H72">XLOOKUP(A72,Roster!F:F,Roster!D:D,"",0)</f>
        <v>36</v>
      </c>
      <c r="I72" s="14" t="str">
        <f t="array" ref="I72">XLOOKUP(A72,Roster!F:F,Roster!E:E,"",0)</f>
        <v>Voice</v>
      </c>
    </row>
    <row r="73">
      <c r="A73" s="16" t="s">
        <v>79</v>
      </c>
      <c r="B73" s="12" t="str">
        <f t="array" ref="B73">XLOOKUP(A73,Roster!F:F,Roster!A:A,"",0)</f>
        <v>Martin Salazar</v>
      </c>
      <c r="C73" s="12" t="str">
        <f t="array" ref="C73">XLOOKUP(A73,Roster!F:F,Roster!B:B,"",0)</f>
        <v>Valentina Barreto</v>
      </c>
      <c r="D73" s="13" t="str">
        <f t="array" ref="D73">XLOOKUP(A73&amp;INT($E$1),BvsL!A:A,BvsL!F:F,"",0)</f>
        <v/>
      </c>
      <c r="E73" s="13" t="str">
        <f t="array" ref="E73">XLOOKUP(A73&amp;INT($E$1),BvsL!A:A,BvsL!H:H,"",0)</f>
        <v/>
      </c>
      <c r="F73" s="13" t="str">
        <f t="array" ref="F73">XLOOKUP(A73&amp;INT($E$1),BvsL!A:A,BvsL!I:I,"",0)</f>
        <v/>
      </c>
      <c r="G73" s="13" t="str">
        <f t="array" ref="G73">XLOOKUP(A73&amp;INT($E$1),BvsL!A:A,BvsL!J:J,"",0)</f>
        <v/>
      </c>
      <c r="H73" s="14">
        <f t="array" ref="H73">XLOOKUP(A73,Roster!F:F,Roster!D:D,"",0)</f>
        <v>37</v>
      </c>
      <c r="I73" s="14" t="str">
        <f t="array" ref="I73">XLOOKUP(A73,Roster!F:F,Roster!E:E,"",0)</f>
        <v>Voice</v>
      </c>
    </row>
    <row r="74">
      <c r="A74" s="16" t="s">
        <v>80</v>
      </c>
      <c r="B74" s="12" t="str">
        <f t="array" ref="B74">XLOOKUP(A74,Roster!F:F,Roster!A:A,"",0)</f>
        <v>Martin Salazar</v>
      </c>
      <c r="C74" s="12" t="str">
        <f t="array" ref="C74">XLOOKUP(A74,Roster!F:F,Roster!B:B,"",0)</f>
        <v>Valentina Castro</v>
      </c>
      <c r="D74" s="13" t="str">
        <f t="array" ref="D74">XLOOKUP(A74&amp;INT($E$1),BvsL!A:A,BvsL!F:F,"",0)</f>
        <v/>
      </c>
      <c r="E74" s="13" t="str">
        <f t="array" ref="E74">XLOOKUP(A74&amp;INT($E$1),BvsL!A:A,BvsL!H:H,"",0)</f>
        <v/>
      </c>
      <c r="F74" s="13" t="str">
        <f t="array" ref="F74">XLOOKUP(A74&amp;INT($E$1),BvsL!A:A,BvsL!I:I,"",0)</f>
        <v/>
      </c>
      <c r="G74" s="13" t="str">
        <f t="array" ref="G74">XLOOKUP(A74&amp;INT($E$1),BvsL!A:A,BvsL!J:J,"",0)</f>
        <v/>
      </c>
      <c r="H74" s="14">
        <f t="array" ref="H74">XLOOKUP(A74,Roster!F:F,Roster!D:D,"",0)</f>
        <v>37</v>
      </c>
      <c r="I74" s="14" t="str">
        <f t="array" ref="I74">XLOOKUP(A74,Roster!F:F,Roster!E:E,"",0)</f>
        <v>Voice</v>
      </c>
    </row>
    <row r="75">
      <c r="A75" s="16" t="s">
        <v>81</v>
      </c>
      <c r="B75" s="12" t="str">
        <f t="array" ref="B75">XLOOKUP(A75,Roster!F:F,Roster!A:A,"",0)</f>
        <v>Andra Daza</v>
      </c>
      <c r="C75" s="12" t="str">
        <f t="array" ref="C75">XLOOKUP(A75,Roster!F:F,Roster!B:B,"",0)</f>
        <v>Wendy Machado</v>
      </c>
      <c r="D75" s="13" t="str">
        <f t="array" ref="D75">XLOOKUP(A75&amp;INT($E$1),BvsL!A:A,BvsL!F:F,"",0)</f>
        <v/>
      </c>
      <c r="E75" s="13" t="str">
        <f t="array" ref="E75">XLOOKUP(A75&amp;INT($E$1),BvsL!A:A,BvsL!H:H,"",0)</f>
        <v/>
      </c>
      <c r="F75" s="13" t="str">
        <f t="array" ref="F75">XLOOKUP(A75&amp;INT($E$1),BvsL!A:A,BvsL!I:I,"",0)</f>
        <v/>
      </c>
      <c r="G75" s="13" t="str">
        <f t="array" ref="G75">XLOOKUP(A75&amp;INT($E$1),BvsL!A:A,BvsL!J:J,"",0)</f>
        <v/>
      </c>
      <c r="H75" s="14">
        <f t="array" ref="H75">XLOOKUP(A75,Roster!F:F,Roster!D:D,"",0)</f>
        <v>37</v>
      </c>
      <c r="I75" s="14" t="str">
        <f t="array" ref="I75">XLOOKUP(A75,Roster!F:F,Roster!E:E,"",0)</f>
        <v>Voice</v>
      </c>
    </row>
    <row r="76">
      <c r="A76" s="16" t="s">
        <v>82</v>
      </c>
      <c r="B76" s="12" t="str">
        <f t="array" ref="B76">XLOOKUP(A76,Roster!F:F,Roster!A:A,"",0)</f>
        <v>Mateo Henao</v>
      </c>
      <c r="C76" s="12" t="str">
        <f t="array" ref="C76">XLOOKUP(A76,Roster!F:F,Roster!B:B,"",0)</f>
        <v>William Florez</v>
      </c>
      <c r="D76" s="13" t="str">
        <f t="array" ref="D76">XLOOKUP(A76&amp;INT($E$1),BvsL!A:A,BvsL!F:F,"",0)</f>
        <v/>
      </c>
      <c r="E76" s="13" t="str">
        <f t="array" ref="E76">XLOOKUP(A76&amp;INT($E$1),BvsL!A:A,BvsL!H:H,"",0)</f>
        <v/>
      </c>
      <c r="F76" s="13" t="str">
        <f t="array" ref="F76">XLOOKUP(A76&amp;INT($E$1),BvsL!A:A,BvsL!I:I,"",0)</f>
        <v/>
      </c>
      <c r="G76" s="13" t="str">
        <f t="array" ref="G76">XLOOKUP(A76&amp;INT($E$1),BvsL!A:A,BvsL!J:J,"",0)</f>
        <v/>
      </c>
      <c r="H76" s="14">
        <f t="array" ref="H76">XLOOKUP(A76,Roster!F:F,Roster!D:D,"",0)</f>
        <v>36</v>
      </c>
      <c r="I76" s="14" t="str">
        <f t="array" ref="I76">XLOOKUP(A76,Roster!F:F,Roster!E:E,"",0)</f>
        <v>Voice</v>
      </c>
    </row>
    <row r="77">
      <c r="A77" s="16" t="s">
        <v>83</v>
      </c>
      <c r="B77" s="12" t="str">
        <f t="array" ref="B77">XLOOKUP(A77,Roster!F:F,Roster!A:A,"",0)</f>
        <v>Mateo Henao</v>
      </c>
      <c r="C77" s="12" t="str">
        <f t="array" ref="C77">XLOOKUP(A77,Roster!F:F,Roster!B:B,"",0)</f>
        <v>Wilson Martinez</v>
      </c>
      <c r="D77" s="13" t="str">
        <f t="array" ref="D77">XLOOKUP(A77&amp;INT($E$1),BvsL!A:A,BvsL!F:F,"",0)</f>
        <v/>
      </c>
      <c r="E77" s="13" t="str">
        <f t="array" ref="E77">XLOOKUP(A77&amp;INT($E$1),BvsL!A:A,BvsL!H:H,"",0)</f>
        <v/>
      </c>
      <c r="F77" s="13" t="str">
        <f t="array" ref="F77">XLOOKUP(A77&amp;INT($E$1),BvsL!A:A,BvsL!I:I,"",0)</f>
        <v/>
      </c>
      <c r="G77" s="13" t="str">
        <f t="array" ref="G77">XLOOKUP(A77&amp;INT($E$1),BvsL!A:A,BvsL!J:J,"",0)</f>
        <v/>
      </c>
      <c r="H77" s="14">
        <f t="array" ref="H77">XLOOKUP(A77,Roster!F:F,Roster!D:D,"",0)</f>
        <v>30</v>
      </c>
      <c r="I77" s="14" t="str">
        <f t="array" ref="I77">XLOOKUP(A77,Roster!F:F,Roster!E:E,"",0)</f>
        <v>Voice</v>
      </c>
    </row>
    <row r="78">
      <c r="A78" s="16" t="s">
        <v>84</v>
      </c>
      <c r="B78" s="12" t="str">
        <f t="array" ref="B78">XLOOKUP(A78,Roster!F:F,Roster!A:A,"",0)</f>
        <v>Andra Daza</v>
      </c>
      <c r="C78" s="12" t="str">
        <f t="array" ref="C78">XLOOKUP(A78,Roster!F:F,Roster!B:B,"",0)</f>
        <v>Yaidy Mosquera</v>
      </c>
      <c r="D78" s="13" t="str">
        <f t="array" ref="D78">XLOOKUP(A78&amp;INT($E$1),BvsL!A:A,BvsL!F:F,"",0)</f>
        <v/>
      </c>
      <c r="E78" s="13" t="str">
        <f t="array" ref="E78">XLOOKUP(A78&amp;INT($E$1),BvsL!A:A,BvsL!H:H,"",0)</f>
        <v/>
      </c>
      <c r="F78" s="13" t="str">
        <f t="array" ref="F78">XLOOKUP(A78&amp;INT($E$1),BvsL!A:A,BvsL!I:I,"",0)</f>
        <v/>
      </c>
      <c r="G78" s="13" t="str">
        <f t="array" ref="G78">XLOOKUP(A78&amp;INT($E$1),BvsL!A:A,BvsL!J:J,"",0)</f>
        <v/>
      </c>
      <c r="H78" s="14">
        <f t="array" ref="H78">XLOOKUP(A78,Roster!F:F,Roster!D:D,"",0)</f>
        <v>24</v>
      </c>
      <c r="I78" s="14" t="str">
        <f t="array" ref="I78">XLOOKUP(A78,Roster!F:F,Roster!E:E,"",0)</f>
        <v>Voice</v>
      </c>
    </row>
    <row r="79">
      <c r="A79" s="18" t="s">
        <v>85</v>
      </c>
      <c r="B79" s="12" t="str">
        <f t="array" ref="B79">XLOOKUP(A79,Roster!F:F,Roster!A:A,"",0)</f>
        <v>Daniel Bustamante</v>
      </c>
      <c r="C79" s="12" t="str">
        <f t="array" ref="C79">XLOOKUP(A79,Roster!F:F,Roster!B:B,"",0)</f>
        <v>Yovanny Ceballos</v>
      </c>
      <c r="D79" s="13" t="str">
        <f t="array" ref="D79">XLOOKUP(A79&amp;INT($E$1),BvsL!A:A,BvsL!F:F,"",0)</f>
        <v/>
      </c>
      <c r="E79" s="13" t="str">
        <f t="array" ref="E79">XLOOKUP(A79&amp;INT($E$1),BvsL!A:A,BvsL!H:H,"",0)</f>
        <v/>
      </c>
      <c r="F79" s="13" t="str">
        <f t="array" ref="F79">XLOOKUP(A79&amp;INT($E$1),BvsL!A:A,BvsL!I:I,"",0)</f>
        <v/>
      </c>
      <c r="G79" s="13" t="str">
        <f t="array" ref="G79">XLOOKUP(A79&amp;INT($E$1),BvsL!A:A,BvsL!J:J,"",0)</f>
        <v/>
      </c>
      <c r="H79" s="14">
        <f t="array" ref="H79">XLOOKUP(A79,Roster!F:F,Roster!D:D,"",0)</f>
        <v>36</v>
      </c>
      <c r="I79" s="14" t="str">
        <f t="array" ref="I79">XLOOKUP(A79,Roster!F:F,Roster!E:E,"",0)</f>
        <v>Voice</v>
      </c>
    </row>
  </sheetData>
  <autoFilter ref="$A$2:$H$79">
    <sortState ref="A2:H79">
      <sortCondition ref="C2:C79"/>
    </sortState>
  </autoFilter>
  <mergeCells count="2">
    <mergeCell ref="A1:C1"/>
    <mergeCell ref="F1:G1"/>
  </mergeCells>
  <conditionalFormatting sqref="A7">
    <cfRule type="containsText" dxfId="0" priority="1" operator="containsText" text="5:00">
      <formula>NOT(ISERROR(SEARCH(("5:00"),(A7))))</formula>
    </cfRule>
  </conditionalFormatting>
  <conditionalFormatting sqref="A7">
    <cfRule type="containsText" dxfId="1" priority="2" operator="containsText" text="6:00">
      <formula>NOT(ISERROR(SEARCH(("6:00"),(A7))))</formula>
    </cfRule>
  </conditionalFormatting>
  <conditionalFormatting sqref="A7">
    <cfRule type="containsText" dxfId="2" priority="3" operator="containsText" text="7:00">
      <formula>NOT(ISERROR(SEARCH(("7:00"),(A7))))</formula>
    </cfRule>
  </conditionalFormatting>
  <conditionalFormatting sqref="A7">
    <cfRule type="containsText" dxfId="3" priority="4" operator="containsText" text="8:00">
      <formula>NOT(ISERROR(SEARCH(("8:00"),(A7))))</formula>
    </cfRule>
  </conditionalFormatting>
  <conditionalFormatting sqref="A7">
    <cfRule type="containsText" dxfId="4" priority="5" operator="containsText" text="5:30">
      <formula>NOT(ISERROR(SEARCH(("5:30"),(A7))))</formula>
    </cfRule>
  </conditionalFormatting>
  <conditionalFormatting sqref="A7">
    <cfRule type="containsText" dxfId="5" priority="6" operator="containsText" text="9:00">
      <formula>NOT(ISERROR(SEARCH(("9:00"),(A7))))</formula>
    </cfRule>
  </conditionalFormatting>
  <conditionalFormatting sqref="A7">
    <cfRule type="containsText" dxfId="6" priority="7" operator="containsText" text="10:00">
      <formula>NOT(ISERROR(SEARCH(("10:00"),(A7))))</formula>
    </cfRule>
  </conditionalFormatting>
  <conditionalFormatting sqref="A7">
    <cfRule type="containsText" dxfId="7" priority="8" operator="containsText" text="11:00">
      <formula>NOT(ISERROR(SEARCH(("11:00"),(A7))))</formula>
    </cfRule>
  </conditionalFormatting>
  <conditionalFormatting sqref="A7">
    <cfRule type="containsText" dxfId="8" priority="9" operator="containsText" text="12:00">
      <formula>NOT(ISERROR(SEARCH(("12:00"),(A7))))</formula>
    </cfRule>
  </conditionalFormatting>
  <conditionalFormatting sqref="A7">
    <cfRule type="containsText" dxfId="9" priority="10" operator="containsText" text="Free">
      <formula>NOT(ISERROR(SEARCH(("Free"),(A7))))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8.38"/>
    <col customWidth="1" min="3" max="3" width="17.38"/>
    <col customWidth="1" min="4" max="4" width="7.88"/>
    <col customWidth="1" min="5" max="7" width="10.75"/>
  </cols>
  <sheetData>
    <row r="1">
      <c r="A1" s="19" t="s">
        <v>2</v>
      </c>
      <c r="B1" s="20" t="s">
        <v>5</v>
      </c>
      <c r="C1" s="21" t="s">
        <v>4</v>
      </c>
      <c r="D1" s="19" t="s">
        <v>86</v>
      </c>
      <c r="E1" s="22" t="s">
        <v>6</v>
      </c>
      <c r="F1" s="22" t="s">
        <v>7</v>
      </c>
      <c r="G1" s="22" t="s">
        <v>8</v>
      </c>
    </row>
    <row r="2">
      <c r="A2" s="23" t="str">
        <f t="array" ref="A2">XLOOKUP(C2,BvsL!E:E,BvsL!D:D,"",0)</f>
        <v>C699</v>
      </c>
      <c r="B2" s="24" t="str">
        <f>IFERROR(__xludf.DUMMYFUNCTION("INDEX(FILTER(BvsL!F:F,BvsL!D:D=A2),1)"),"08:00")</f>
        <v>08:00</v>
      </c>
      <c r="C2" s="25" t="s">
        <v>87</v>
      </c>
      <c r="D2" s="26" t="s">
        <v>88</v>
      </c>
      <c r="E2" s="27">
        <v>0.40625</v>
      </c>
      <c r="F2" s="27">
        <v>0.5</v>
      </c>
      <c r="G2" s="24">
        <v>0.65625</v>
      </c>
    </row>
    <row r="3">
      <c r="A3" s="23" t="str">
        <f t="array" ref="A3">XLOOKUP(C3,BvsL!E:E,BvsL!D:D,"",0)</f>
        <v>C935</v>
      </c>
      <c r="B3" s="24" t="str">
        <f>IFERROR(__xludf.DUMMYFUNCTION("INDEX(FILTER(BvsL!F:F,BvsL!D:D=A3),2)"),"07:30")</f>
        <v>07:30</v>
      </c>
      <c r="C3" s="25" t="s">
        <v>89</v>
      </c>
      <c r="D3" s="26" t="s">
        <v>90</v>
      </c>
      <c r="E3" s="27">
        <v>0.4270833333333333</v>
      </c>
      <c r="F3" s="27">
        <v>0.53125</v>
      </c>
      <c r="G3" s="24">
        <v>0.6458333333333334</v>
      </c>
    </row>
    <row r="4">
      <c r="A4" s="23" t="str">
        <f t="array" ref="A4">XLOOKUP(C4,BvsL!E:E,BvsL!D:D,"",0)</f>
        <v>C727</v>
      </c>
      <c r="B4" s="24" t="str">
        <f>IFERROR(__xludf.DUMMYFUNCTION("INDEX(FILTER(BvsL!F:F,BvsL!D:D=A4),2)"),"VL")</f>
        <v>VL</v>
      </c>
      <c r="C4" s="25" t="s">
        <v>91</v>
      </c>
      <c r="D4" s="26" t="s">
        <v>90</v>
      </c>
      <c r="E4" s="27">
        <v>0.4166666666666667</v>
      </c>
      <c r="F4" s="27">
        <v>0.5208333333333334</v>
      </c>
      <c r="G4" s="24">
        <v>0.65625</v>
      </c>
    </row>
    <row r="5">
      <c r="A5" s="23" t="str">
        <f t="array" ref="A5">XLOOKUP(C5,BvsL!E:E,BvsL!D:D,"",0)</f>
        <v>C469</v>
      </c>
      <c r="B5" s="24" t="str">
        <f>IFERROR(__xludf.DUMMYFUNCTION("INDEX(FILTER(BvsL!F:F,BvsL!D:D=A5),2)"),"08:00")</f>
        <v>08:00</v>
      </c>
      <c r="C5" s="25" t="s">
        <v>92</v>
      </c>
      <c r="D5" s="26" t="s">
        <v>90</v>
      </c>
      <c r="E5" s="28">
        <v>0.3854166666666667</v>
      </c>
      <c r="F5" s="28">
        <v>0.5</v>
      </c>
      <c r="G5" s="28">
        <v>0.6041666666666666</v>
      </c>
    </row>
    <row r="6">
      <c r="A6" s="23" t="str">
        <f t="array" ref="A6">XLOOKUP(C6,BvsL!E:E,BvsL!D:D,"",0)</f>
        <v>C080</v>
      </c>
      <c r="B6" s="24" t="str">
        <f>IFERROR(__xludf.DUMMYFUNCTION("INDEX(FILTER(BvsL!F:F,BvsL!D:D=A6),1)"),"08:00")</f>
        <v>08:00</v>
      </c>
      <c r="C6" s="25" t="s">
        <v>93</v>
      </c>
      <c r="D6" s="26" t="s">
        <v>90</v>
      </c>
      <c r="E6" s="27">
        <v>0.375</v>
      </c>
      <c r="F6" s="27">
        <v>0.5</v>
      </c>
      <c r="G6" s="24">
        <v>0.6458333333333334</v>
      </c>
    </row>
    <row r="7">
      <c r="A7" s="23" t="str">
        <f t="array" ref="A7">XLOOKUP(C7,BvsL!E:E,BvsL!D:D,"",0)</f>
        <v>C1165</v>
      </c>
      <c r="B7" s="24" t="str">
        <f>IFERROR(__xludf.DUMMYFUNCTION("INDEX(FILTER(BvsL!F:F,BvsL!D:D=A7),1)"),"Free")</f>
        <v>Free</v>
      </c>
      <c r="C7" s="25" t="s">
        <v>94</v>
      </c>
      <c r="D7" s="26" t="s">
        <v>90</v>
      </c>
      <c r="E7" s="27"/>
      <c r="F7" s="27"/>
      <c r="G7" s="24"/>
    </row>
    <row r="8">
      <c r="A8" s="23" t="str">
        <f t="array" ref="A8">XLOOKUP(C8,BvsL!E:E,BvsL!D:D,"",0)</f>
        <v>C479</v>
      </c>
      <c r="B8" s="24" t="str">
        <f>IFERROR(__xludf.DUMMYFUNCTION("INDEX(FILTER(BvsL!F:F,BvsL!D:D=A8),2)"),"Free")</f>
        <v>Free</v>
      </c>
      <c r="C8" s="25" t="s">
        <v>95</v>
      </c>
      <c r="D8" s="26" t="s">
        <v>90</v>
      </c>
      <c r="E8" s="27">
        <v>0.4270833333333333</v>
      </c>
      <c r="F8" s="27">
        <v>0.53125</v>
      </c>
      <c r="G8" s="24">
        <v>0.65625</v>
      </c>
    </row>
    <row r="9">
      <c r="A9" s="23" t="str">
        <f t="array" ref="A9">XLOOKUP(C9,BvsL!E:E,BvsL!D:D,"",0)</f>
        <v>C673</v>
      </c>
      <c r="B9" s="24" t="str">
        <f>IFERROR(__xludf.DUMMYFUNCTION("INDEX(FILTER(BvsL!F:F,BvsL!D:D=A9),2)"),"Free")</f>
        <v>Free</v>
      </c>
      <c r="C9" s="25" t="s">
        <v>96</v>
      </c>
      <c r="D9" s="26" t="s">
        <v>90</v>
      </c>
      <c r="E9" s="27">
        <v>0.4583333333333333</v>
      </c>
      <c r="F9" s="27">
        <v>0.5833333333333334</v>
      </c>
      <c r="G9" s="24">
        <v>0.65625</v>
      </c>
    </row>
    <row r="10">
      <c r="A10" s="23" t="str">
        <f t="array" ref="A10">XLOOKUP(C10,BvsL!E:E,BvsL!D:D,"",0)</f>
        <v/>
      </c>
      <c r="B10" s="24" t="str">
        <f>IFERROR(__xludf.DUMMYFUNCTION("INDEX(FILTER(BvsL!F:F,BvsL!D:D=A10),1)"),"")</f>
        <v/>
      </c>
      <c r="C10" s="25" t="s">
        <v>97</v>
      </c>
      <c r="D10" s="26" t="s">
        <v>90</v>
      </c>
      <c r="E10" s="27">
        <v>0.4270833333333333</v>
      </c>
      <c r="F10" s="27">
        <v>0.53125</v>
      </c>
      <c r="G10" s="24">
        <v>0.65625</v>
      </c>
    </row>
    <row r="11">
      <c r="A11" s="23" t="str">
        <f t="array" ref="A11">XLOOKUP(C11,BvsL!E:E,BvsL!D:D,"",0)</f>
        <v>C1216</v>
      </c>
      <c r="B11" s="24" t="str">
        <f>IFERROR(__xludf.DUMMYFUNCTION("INDEX(FILTER(BvsL!F:F,BvsL!D:D=A11),1)"),"08:00")</f>
        <v>08:00</v>
      </c>
      <c r="C11" s="25" t="s">
        <v>98</v>
      </c>
      <c r="D11" s="26" t="s">
        <v>90</v>
      </c>
      <c r="E11" s="27">
        <v>0.3958333333333333</v>
      </c>
      <c r="F11" s="27">
        <v>0.5416666666666666</v>
      </c>
      <c r="G11" s="24">
        <v>0.6354166666666666</v>
      </c>
    </row>
    <row r="12">
      <c r="A12" s="23" t="str">
        <f t="array" ref="A12">XLOOKUP(C12,BvsL!E:E,BvsL!D:D,"",0)</f>
        <v/>
      </c>
      <c r="B12" s="24" t="str">
        <f>IFERROR(__xludf.DUMMYFUNCTION("INDEX(FILTER(BvsL!F:F,BvsL!D:D=A12),2)"),"")</f>
        <v/>
      </c>
      <c r="C12" s="25" t="s">
        <v>99</v>
      </c>
      <c r="D12" s="26" t="s">
        <v>100</v>
      </c>
      <c r="E12" s="27"/>
      <c r="F12" s="27"/>
      <c r="G12" s="24"/>
    </row>
    <row r="13">
      <c r="A13" s="23" t="str">
        <f t="array" ref="A13">XLOOKUP(C13,BvsL!E:E,BvsL!D:D,"",0)</f>
        <v>C860</v>
      </c>
      <c r="B13" s="24" t="str">
        <f>IFERROR(__xludf.DUMMYFUNCTION("INDEX(FILTER(BvsL!F:F,BvsL!D:D=A13),2)"),"08:00")</f>
        <v>08:00</v>
      </c>
      <c r="C13" s="25" t="s">
        <v>101</v>
      </c>
      <c r="D13" s="26" t="s">
        <v>90</v>
      </c>
      <c r="E13" s="27">
        <v>0.4166666666666667</v>
      </c>
      <c r="F13" s="27">
        <v>0.5</v>
      </c>
      <c r="G13" s="24">
        <v>0.625</v>
      </c>
    </row>
    <row r="14">
      <c r="A14" s="23" t="str">
        <f t="array" ref="A14">XLOOKUP(C14,BvsL!E:E,BvsL!D:D,"",0)</f>
        <v>C1027</v>
      </c>
      <c r="B14" s="24" t="str">
        <f>IFERROR(__xludf.DUMMYFUNCTION("INDEX(FILTER(BvsL!F:F,BvsL!D:D=A14),1)"),"VL")</f>
        <v>VL</v>
      </c>
      <c r="C14" s="25" t="s">
        <v>102</v>
      </c>
      <c r="D14" s="26" t="s">
        <v>103</v>
      </c>
      <c r="E14" s="27">
        <v>0.4166666666666667</v>
      </c>
      <c r="F14" s="27">
        <v>0.5208333333333334</v>
      </c>
      <c r="G14" s="24">
        <v>0.6354166666666666</v>
      </c>
    </row>
    <row r="15">
      <c r="A15" s="23" t="str">
        <f t="array" ref="A15">XLOOKUP(C15,BvsL!E:E,BvsL!D:D,"",0)</f>
        <v>C720</v>
      </c>
      <c r="B15" s="24" t="str">
        <f>IFERROR(__xludf.DUMMYFUNCTION("INDEX(FILTER(BvsL!F:F,BvsL!D:D=A15),2)"),"Free")</f>
        <v>Free</v>
      </c>
      <c r="C15" s="25" t="s">
        <v>104</v>
      </c>
      <c r="D15" s="26" t="s">
        <v>90</v>
      </c>
      <c r="E15" s="27">
        <v>0.40625</v>
      </c>
      <c r="F15" s="27">
        <v>0.5729166666666666</v>
      </c>
      <c r="G15" s="24">
        <v>0.65625</v>
      </c>
    </row>
    <row r="16">
      <c r="A16" s="23" t="str">
        <f t="array" ref="A16">XLOOKUP(C16,BvsL!E:E,BvsL!D:D,"",0)</f>
        <v>C598</v>
      </c>
      <c r="B16" s="24" t="str">
        <f>IFERROR(__xludf.DUMMYFUNCTION("INDEX(FILTER(BvsL!F:F,BvsL!D:D=A16),2)"),"")</f>
        <v/>
      </c>
      <c r="C16" s="25" t="s">
        <v>105</v>
      </c>
      <c r="D16" s="26" t="s">
        <v>90</v>
      </c>
      <c r="E16" s="27">
        <v>0.4166666666666667</v>
      </c>
      <c r="F16" s="27">
        <v>0.5208333333333334</v>
      </c>
      <c r="G16" s="24">
        <v>0.65625</v>
      </c>
    </row>
    <row r="17">
      <c r="A17" s="23" t="str">
        <f t="array" ref="A17">XLOOKUP(C17,BvsL!E:E,BvsL!D:D,"",0)</f>
        <v/>
      </c>
      <c r="B17" s="24" t="str">
        <f>IFERROR(__xludf.DUMMYFUNCTION("INDEX(FILTER(BvsL!F:F,BvsL!D:D=A17),2)"),"")</f>
        <v/>
      </c>
      <c r="C17" s="29" t="s">
        <v>106</v>
      </c>
      <c r="D17" s="26" t="s">
        <v>90</v>
      </c>
      <c r="E17" s="28">
        <v>0.4375</v>
      </c>
      <c r="F17" s="28">
        <v>0.5833333333333334</v>
      </c>
      <c r="G17" s="28">
        <v>0.65625</v>
      </c>
    </row>
    <row r="18">
      <c r="A18" s="23" t="str">
        <f t="array" ref="A18">XLOOKUP(C18,BvsL!E:E,BvsL!D:D,"",0)</f>
        <v>C743</v>
      </c>
      <c r="B18" s="24" t="str">
        <f>IFERROR(__xludf.DUMMYFUNCTION("INDEX(FILTER(BvsL!F:F,BvsL!D:D=A18),2)"),"08:30")</f>
        <v>08:30</v>
      </c>
      <c r="C18" s="25" t="s">
        <v>107</v>
      </c>
      <c r="D18" s="26" t="s">
        <v>90</v>
      </c>
      <c r="E18" s="28">
        <v>0.3958333333333333</v>
      </c>
      <c r="F18" s="28">
        <v>0.5208333333333334</v>
      </c>
      <c r="G18" s="28">
        <v>0.6145833333333334</v>
      </c>
    </row>
    <row r="19">
      <c r="A19" s="23" t="str">
        <f t="array" ref="A19">XLOOKUP(C19,BvsL!E:E,BvsL!D:D,"",0)</f>
        <v>C579</v>
      </c>
      <c r="B19" s="24" t="str">
        <f>IFERROR(__xludf.DUMMYFUNCTION("INDEX(FILTER(BvsL!F:F,BvsL!D:D=A19),1)"),"Free")</f>
        <v>Free</v>
      </c>
      <c r="C19" s="25" t="s">
        <v>108</v>
      </c>
      <c r="D19" s="26" t="s">
        <v>90</v>
      </c>
      <c r="E19" s="27">
        <v>0.4166666666666667</v>
      </c>
      <c r="F19" s="27">
        <v>0.5</v>
      </c>
      <c r="G19" s="24">
        <v>0.625</v>
      </c>
    </row>
    <row r="20">
      <c r="A20" s="23" t="str">
        <f t="array" ref="A20">XLOOKUP(C20,BvsL!E:E,BvsL!D:D,"",0)</f>
        <v/>
      </c>
      <c r="B20" s="24" t="str">
        <f>IFERROR(__xludf.DUMMYFUNCTION("INDEX(FILTER(BvsL!F:F,BvsL!D:D=A20),1)"),"")</f>
        <v/>
      </c>
      <c r="C20" s="25" t="s">
        <v>109</v>
      </c>
      <c r="D20" s="26" t="s">
        <v>90</v>
      </c>
      <c r="E20" s="28">
        <v>0.40625</v>
      </c>
      <c r="F20" s="28">
        <v>0.5416666666666666</v>
      </c>
      <c r="G20" s="28">
        <v>0.625</v>
      </c>
    </row>
    <row r="21">
      <c r="A21" s="23" t="str">
        <f t="array" ref="A21">XLOOKUP(C21,BvsL!E:E,BvsL!D:D,"",0)</f>
        <v>C534</v>
      </c>
      <c r="B21" s="24" t="str">
        <f>IFERROR(__xludf.DUMMYFUNCTION("INDEX(FILTER(BvsL!F:F,BvsL!D:D=A21),2)"),"08:00")</f>
        <v>08:00</v>
      </c>
      <c r="C21" s="25" t="s">
        <v>110</v>
      </c>
      <c r="D21" s="26" t="s">
        <v>90</v>
      </c>
      <c r="E21" s="27">
        <v>0.40625</v>
      </c>
      <c r="F21" s="27">
        <v>0.5416666666666666</v>
      </c>
      <c r="G21" s="24">
        <v>0.65625</v>
      </c>
    </row>
    <row r="22">
      <c r="A22" s="23" t="str">
        <f t="array" ref="A22">XLOOKUP(C22,BvsL!E:E,BvsL!D:D,"",0)</f>
        <v>C535</v>
      </c>
      <c r="B22" s="24" t="str">
        <f>IFERROR(__xludf.DUMMYFUNCTION("INDEX(FILTER(BvsL!F:F,BvsL!D:D=A22),2)"),"08:00")</f>
        <v>08:00</v>
      </c>
      <c r="C22" s="25" t="s">
        <v>111</v>
      </c>
      <c r="D22" s="26" t="s">
        <v>90</v>
      </c>
      <c r="E22" s="27">
        <v>0.3854166666666667</v>
      </c>
      <c r="F22" s="27">
        <v>0.5833333333333334</v>
      </c>
      <c r="G22" s="24">
        <v>0.6458333333333334</v>
      </c>
    </row>
    <row r="23">
      <c r="A23" s="23" t="str">
        <f t="array" ref="A23">XLOOKUP(C23,BvsL!E:E,BvsL!D:D,"",0)</f>
        <v>C740</v>
      </c>
      <c r="B23" s="24" t="str">
        <f>IFERROR(__xludf.DUMMYFUNCTION("INDEX(FILTER(BvsL!F:F,BvsL!D:D=A23),1)"),"08:00")</f>
        <v>08:00</v>
      </c>
      <c r="C23" s="25" t="s">
        <v>112</v>
      </c>
      <c r="D23" s="26" t="s">
        <v>90</v>
      </c>
      <c r="E23" s="27">
        <v>0.4166666666666667</v>
      </c>
      <c r="F23" s="27">
        <v>0.5</v>
      </c>
      <c r="G23" s="24">
        <v>0.65625</v>
      </c>
    </row>
    <row r="24">
      <c r="A24" s="23" t="str">
        <f t="array" ref="A24">XLOOKUP(C24,BvsL!E:E,BvsL!D:D,"",0)</f>
        <v>C1065</v>
      </c>
      <c r="B24" s="24" t="str">
        <f>IFERROR(__xludf.DUMMYFUNCTION("INDEX(FILTER(BvsL!F:F,BvsL!D:D=A24),1)"),"07:00")</f>
        <v>07:00</v>
      </c>
      <c r="C24" s="25" t="s">
        <v>113</v>
      </c>
      <c r="D24" s="26" t="s">
        <v>90</v>
      </c>
      <c r="E24" s="27">
        <v>0.4583333333333333</v>
      </c>
      <c r="F24" s="27">
        <v>0.5625</v>
      </c>
      <c r="G24" s="24">
        <v>0.65625</v>
      </c>
    </row>
    <row r="25">
      <c r="A25" s="23" t="str">
        <f t="array" ref="A25">XLOOKUP(C25,BvsL!E:E,BvsL!D:D,"",0)</f>
        <v>C556</v>
      </c>
      <c r="B25" s="24" t="str">
        <f>IFERROR(__xludf.DUMMYFUNCTION("INDEX(FILTER(BvsL!F:F,BvsL!D:D=A25),1)"),"08:00")</f>
        <v>08:00</v>
      </c>
      <c r="C25" s="25" t="s">
        <v>114</v>
      </c>
      <c r="D25" s="26" t="s">
        <v>90</v>
      </c>
      <c r="E25" s="27">
        <v>0.3854166666666667</v>
      </c>
      <c r="F25" s="27">
        <v>0.5833333333333334</v>
      </c>
      <c r="G25" s="24">
        <v>0.6458333333333334</v>
      </c>
    </row>
    <row r="26">
      <c r="A26" s="23" t="str">
        <f t="array" ref="A26">XLOOKUP(C26,BvsL!E:E,BvsL!D:D,"",0)</f>
        <v>C714</v>
      </c>
      <c r="B26" s="24" t="str">
        <f>IFERROR(__xludf.DUMMYFUNCTION("INDEX(FILTER(BvsL!F:F,BvsL!D:D=A26),2)"),"08:00")</f>
        <v>08:00</v>
      </c>
      <c r="C26" s="25" t="s">
        <v>115</v>
      </c>
      <c r="D26" s="26" t="s">
        <v>90</v>
      </c>
      <c r="E26" s="27">
        <v>0.4166666666666667</v>
      </c>
      <c r="F26" s="27">
        <v>0.5</v>
      </c>
      <c r="G26" s="24">
        <v>0.625</v>
      </c>
    </row>
    <row r="27">
      <c r="A27" s="23" t="str">
        <f t="array" ref="A27">XLOOKUP(C27,BvsL!E:E,BvsL!D:D,"",0)</f>
        <v/>
      </c>
      <c r="B27" s="24" t="str">
        <f>IFERROR(__xludf.DUMMYFUNCTION("INDEX(FILTER(BvsL!F:F,BvsL!D:D=A27),1)"),"")</f>
        <v/>
      </c>
      <c r="C27" s="25" t="s">
        <v>116</v>
      </c>
      <c r="D27" s="26" t="s">
        <v>90</v>
      </c>
      <c r="E27" s="28">
        <v>0.3854166666666667</v>
      </c>
      <c r="F27" s="28">
        <v>0.5</v>
      </c>
      <c r="G27" s="28">
        <v>0.6041666666666666</v>
      </c>
    </row>
    <row r="28">
      <c r="A28" s="23" t="str">
        <f t="array" ref="A28">XLOOKUP(C28,BvsL!E:E,BvsL!D:D,"",0)</f>
        <v>C1220</v>
      </c>
      <c r="B28" s="24" t="str">
        <f>IFERROR(__xludf.DUMMYFUNCTION("INDEX(FILTER(BvsL!F:F,BvsL!D:D=A28),1)"),"08:00")</f>
        <v>08:00</v>
      </c>
      <c r="C28" s="25" t="s">
        <v>117</v>
      </c>
      <c r="D28" s="26" t="s">
        <v>90</v>
      </c>
      <c r="E28" s="27"/>
      <c r="F28" s="27"/>
      <c r="G28" s="24"/>
    </row>
    <row r="29">
      <c r="A29" s="23" t="str">
        <f t="array" ref="A29">XLOOKUP(C29,BvsL!E:E,BvsL!D:D,"",0)</f>
        <v>C1199</v>
      </c>
      <c r="B29" s="24" t="str">
        <f>IFERROR(__xludf.DUMMYFUNCTION("INDEX(FILTER(BvsL!F:F,BvsL!D:D=A29),1)"),"08:00")</f>
        <v>08:00</v>
      </c>
      <c r="C29" s="25" t="s">
        <v>118</v>
      </c>
      <c r="D29" s="26" t="s">
        <v>90</v>
      </c>
      <c r="E29" s="27"/>
      <c r="F29" s="27"/>
      <c r="G29" s="24"/>
    </row>
    <row r="30">
      <c r="A30" s="23" t="str">
        <f t="array" ref="A30">XLOOKUP(C30,BvsL!E:E,BvsL!D:D,"",0)</f>
        <v>C902</v>
      </c>
      <c r="B30" s="24" t="str">
        <f>IFERROR(__xludf.DUMMYFUNCTION("INDEX(FILTER(BvsL!F:F,BvsL!D:D=A30),1)"),"08:00")</f>
        <v>08:00</v>
      </c>
      <c r="C30" s="25" t="s">
        <v>119</v>
      </c>
      <c r="D30" s="26" t="s">
        <v>90</v>
      </c>
      <c r="E30" s="27">
        <v>0.4375</v>
      </c>
      <c r="F30" s="27">
        <v>0.6041666666666666</v>
      </c>
      <c r="G30" s="24">
        <v>0.65625</v>
      </c>
    </row>
    <row r="31">
      <c r="A31" s="23" t="str">
        <f t="array" ref="A31">XLOOKUP(C31,BvsL!E:E,BvsL!D:D,"",0)</f>
        <v>C1190</v>
      </c>
      <c r="B31" s="24" t="str">
        <f>IFERROR(__xludf.DUMMYFUNCTION("INDEX(FILTER(BvsL!F:F,BvsL!D:D=A31),2)"),"07:00")</f>
        <v>07:00</v>
      </c>
      <c r="C31" s="25" t="s">
        <v>120</v>
      </c>
      <c r="D31" s="26" t="s">
        <v>100</v>
      </c>
      <c r="E31" s="28">
        <v>0.40625</v>
      </c>
      <c r="F31" s="28">
        <v>0.5416666666666666</v>
      </c>
      <c r="G31" s="28">
        <v>0.625</v>
      </c>
    </row>
    <row r="32">
      <c r="A32" s="23" t="str">
        <f t="array" ref="A32">XLOOKUP(C32,BvsL!E:E,BvsL!D:D,"",0)</f>
        <v>C710</v>
      </c>
      <c r="B32" s="24" t="str">
        <f>IFERROR(__xludf.DUMMYFUNCTION("INDEX(FILTER(BvsL!F:F,BvsL!D:D=A32),2)"),"08:00")</f>
        <v>08:00</v>
      </c>
      <c r="C32" s="25" t="s">
        <v>121</v>
      </c>
      <c r="D32" s="26" t="s">
        <v>88</v>
      </c>
      <c r="E32" s="27">
        <v>0.40625</v>
      </c>
      <c r="F32" s="27">
        <v>0.5625</v>
      </c>
      <c r="G32" s="24">
        <v>0.65625</v>
      </c>
    </row>
    <row r="33">
      <c r="A33" s="23" t="str">
        <f t="array" ref="A33">XLOOKUP(C33,BvsL!E:E,BvsL!D:D,"",0)</f>
        <v>C723</v>
      </c>
      <c r="B33" s="24" t="str">
        <f>IFERROR(__xludf.DUMMYFUNCTION("INDEX(FILTER(BvsL!F:F,BvsL!D:D=A33),1)"),"VL")</f>
        <v>VL</v>
      </c>
      <c r="C33" s="25" t="s">
        <v>122</v>
      </c>
      <c r="D33" s="26" t="s">
        <v>90</v>
      </c>
      <c r="E33" s="27">
        <v>0.4166666666666667</v>
      </c>
      <c r="F33" s="27">
        <v>0.5347222222222222</v>
      </c>
      <c r="G33" s="24">
        <v>0.65625</v>
      </c>
    </row>
    <row r="34">
      <c r="A34" s="23" t="str">
        <f t="array" ref="A34">XLOOKUP(C34,BvsL!E:E,BvsL!D:D,"",0)</f>
        <v>C1376</v>
      </c>
      <c r="B34" s="24" t="str">
        <f>IFERROR(__xludf.DUMMYFUNCTION("INDEX(FILTER(BvsL!F:F,BvsL!D:D=A34),2)"),"08:00")</f>
        <v>08:00</v>
      </c>
      <c r="C34" s="25" t="s">
        <v>123</v>
      </c>
      <c r="D34" s="26" t="s">
        <v>90</v>
      </c>
      <c r="E34" s="27"/>
      <c r="F34" s="27"/>
      <c r="G34" s="24"/>
    </row>
    <row r="35">
      <c r="A35" s="23" t="str">
        <f t="array" ref="A35">XLOOKUP(C35,BvsL!E:E,BvsL!D:D,"",0)</f>
        <v>C726</v>
      </c>
      <c r="B35" s="24" t="str">
        <f>IFERROR(__xludf.DUMMYFUNCTION("INDEX(FILTER(BvsL!F:F,BvsL!D:D=A35),1)"),"08:00")</f>
        <v>08:00</v>
      </c>
      <c r="C35" s="25" t="s">
        <v>124</v>
      </c>
      <c r="D35" s="26" t="s">
        <v>90</v>
      </c>
      <c r="E35" s="28">
        <v>0.4166666666666667</v>
      </c>
      <c r="F35" s="28">
        <v>0.5625</v>
      </c>
      <c r="G35" s="28">
        <v>0.6458333333333334</v>
      </c>
    </row>
    <row r="36">
      <c r="A36" s="23" t="str">
        <f t="array" ref="A36">XLOOKUP(C36,BvsL!E:E,BvsL!D:D,"",0)</f>
        <v>C602</v>
      </c>
      <c r="B36" s="24" t="str">
        <f>IFERROR(__xludf.DUMMYFUNCTION("INDEX(FILTER(BvsL!F:F,BvsL!D:D=A36),1)"),"08:00")</f>
        <v>08:00</v>
      </c>
      <c r="C36" s="25" t="s">
        <v>125</v>
      </c>
      <c r="D36" s="26" t="s">
        <v>126</v>
      </c>
      <c r="E36" s="27">
        <v>0.4583333333333333</v>
      </c>
      <c r="F36" s="27">
        <v>0.5833333333333334</v>
      </c>
      <c r="G36" s="30">
        <v>0.65625</v>
      </c>
    </row>
    <row r="37">
      <c r="A37" s="23" t="str">
        <f t="array" ref="A37">XLOOKUP(C37,BvsL!E:E,BvsL!D:D,"",0)</f>
        <v>C1478</v>
      </c>
      <c r="B37" s="24" t="str">
        <f>IFERROR(__xludf.DUMMYFUNCTION("INDEX(FILTER(BvsL!F:F,BvsL!D:D=A37),2)"),"07:00")</f>
        <v>07:00</v>
      </c>
      <c r="C37" s="25" t="s">
        <v>127</v>
      </c>
      <c r="D37" s="26" t="s">
        <v>88</v>
      </c>
      <c r="E37" s="27"/>
      <c r="F37" s="27"/>
      <c r="G37" s="30"/>
    </row>
    <row r="38">
      <c r="A38" s="23" t="str">
        <f t="array" ref="A38">XLOOKUP(C38,BvsL!E:E,BvsL!D:D,"",0)</f>
        <v>C1126</v>
      </c>
      <c r="B38" s="24" t="str">
        <f>IFERROR(__xludf.DUMMYFUNCTION("INDEX(FILTER(BvsL!F:F,BvsL!D:D=A38),1)"),"Free")</f>
        <v>Free</v>
      </c>
      <c r="C38" s="25" t="s">
        <v>128</v>
      </c>
      <c r="D38" s="26" t="s">
        <v>90</v>
      </c>
      <c r="E38" s="28">
        <v>0.3854166666666667</v>
      </c>
      <c r="F38" s="28">
        <v>0.5</v>
      </c>
      <c r="G38" s="31">
        <v>0.6041666666666666</v>
      </c>
    </row>
    <row r="39">
      <c r="A39" s="23" t="str">
        <f t="array" ref="A39">XLOOKUP(C39,BvsL!E:E,BvsL!D:D,"",0)</f>
        <v>C786</v>
      </c>
      <c r="B39" s="24" t="str">
        <f>IFERROR(__xludf.DUMMYFUNCTION("INDEX(FILTER(BvsL!F:F,BvsL!D:D=A39),1)"),"Free")</f>
        <v>Free</v>
      </c>
      <c r="C39" s="25" t="s">
        <v>129</v>
      </c>
      <c r="D39" s="26" t="s">
        <v>90</v>
      </c>
      <c r="E39" s="27">
        <v>0.4166666666666667</v>
      </c>
      <c r="F39" s="27">
        <v>0.5416666666666666</v>
      </c>
      <c r="G39" s="30">
        <v>0.6458333333333334</v>
      </c>
    </row>
    <row r="40">
      <c r="A40" s="23" t="str">
        <f t="array" ref="A40">XLOOKUP(C40,BvsL!E:E,BvsL!D:D,"",0)</f>
        <v/>
      </c>
      <c r="B40" s="24" t="str">
        <f>IFERROR(__xludf.DUMMYFUNCTION("INDEX(FILTER(BvsL!F:F,BvsL!D:D=A40),2)"),"")</f>
        <v/>
      </c>
      <c r="C40" s="25" t="s">
        <v>130</v>
      </c>
      <c r="D40" s="26" t="s">
        <v>90</v>
      </c>
      <c r="E40" s="27">
        <v>0.4479166666666667</v>
      </c>
      <c r="F40" s="27">
        <v>0.6041666666666666</v>
      </c>
      <c r="G40" s="30">
        <v>0.6458333333333334</v>
      </c>
    </row>
    <row r="41">
      <c r="A41" s="23" t="str">
        <f t="array" ref="A41">XLOOKUP(C41,BvsL!E:E,BvsL!D:D,"",0)</f>
        <v>C1108</v>
      </c>
      <c r="B41" s="24" t="str">
        <f>IFERROR(__xludf.DUMMYFUNCTION("INDEX(FILTER(BvsL!F:F,BvsL!D:D=A41),2)"),"08:00")</f>
        <v>08:00</v>
      </c>
      <c r="C41" s="25" t="s">
        <v>131</v>
      </c>
      <c r="D41" s="26" t="s">
        <v>90</v>
      </c>
      <c r="E41" s="28">
        <v>0.3958333333333333</v>
      </c>
      <c r="F41" s="28">
        <v>0.5208333333333334</v>
      </c>
      <c r="G41" s="31">
        <v>0.6145833333333334</v>
      </c>
    </row>
    <row r="42">
      <c r="A42" s="23" t="str">
        <f t="array" ref="A42">XLOOKUP(C42,BvsL!E:E,BvsL!D:D,"",0)</f>
        <v/>
      </c>
      <c r="B42" s="24" t="str">
        <f t="array" ref="B42">XLOOKUP(A42,BvsL!D:D,BvsL!F:F,"",0)</f>
        <v/>
      </c>
      <c r="C42" s="25"/>
      <c r="D42" s="23" t="str">
        <f t="array" ref="D42">XLOOKUP(A42,BvsL!D:D,BvsL!F:F,"",0)</f>
        <v/>
      </c>
      <c r="E42" s="27"/>
      <c r="F42" s="27"/>
      <c r="G42" s="30"/>
    </row>
    <row r="43">
      <c r="A43" s="23" t="str">
        <f t="array" ref="A43">XLOOKUP(C43,BvsL!E:E,BvsL!D:D,"",0)</f>
        <v/>
      </c>
      <c r="B43" s="24" t="str">
        <f t="array" ref="B43">XLOOKUP(A43,BvsL!D:D,BvsL!F:F,"",0)</f>
        <v/>
      </c>
      <c r="C43" s="25"/>
      <c r="D43" s="23" t="str">
        <f t="array" ref="D43">XLOOKUP(A43,BvsL!D:D,BvsL!F:F,"",0)</f>
        <v/>
      </c>
      <c r="E43" s="27"/>
      <c r="F43" s="27"/>
      <c r="G43" s="30"/>
    </row>
    <row r="44">
      <c r="A44" s="23" t="str">
        <f t="array" ref="A44">XLOOKUP(C44,BvsL!E:E,BvsL!D:D,"",0)</f>
        <v/>
      </c>
      <c r="B44" s="24" t="str">
        <f t="array" ref="B44">XLOOKUP(A44,BvsL!D:D,BvsL!F:F,"",0)</f>
        <v/>
      </c>
      <c r="C44" s="25"/>
      <c r="D44" s="23" t="str">
        <f t="array" ref="D44">XLOOKUP(A44,BvsL!D:D,BvsL!F:F,"",0)</f>
        <v/>
      </c>
      <c r="E44" s="27"/>
      <c r="F44" s="27"/>
      <c r="G44" s="30"/>
    </row>
    <row r="45">
      <c r="A45" s="23" t="str">
        <f t="array" ref="A45">XLOOKUP(C45,BvsL!E:E,BvsL!D:D,"",0)</f>
        <v/>
      </c>
      <c r="B45" s="24" t="str">
        <f t="array" ref="B45">XLOOKUP(A45,BvsL!D:D,BvsL!F:F,"",0)</f>
        <v/>
      </c>
      <c r="C45" s="25"/>
      <c r="D45" s="23" t="str">
        <f t="array" ref="D45">XLOOKUP(A45,BvsL!D:D,BvsL!F:F,"",0)</f>
        <v/>
      </c>
      <c r="E45" s="27"/>
      <c r="F45" s="27"/>
      <c r="G45" s="30"/>
    </row>
    <row r="46" hidden="1">
      <c r="A46" s="23" t="str">
        <f t="array" ref="A46">XLOOKUP(C46,BvsL!E:E,BvsL!D:D,"",0)</f>
        <v/>
      </c>
      <c r="B46" s="24" t="str">
        <f t="array" ref="B46">XLOOKUP(A46,BvsL!D:D,BvsL!F:F,"",0)</f>
        <v/>
      </c>
      <c r="C46" s="25"/>
      <c r="D46" s="23" t="str">
        <f t="array" ref="D46">XLOOKUP(A46,BvsL!D:D,BvsL!F:F,"",0)</f>
        <v/>
      </c>
      <c r="E46" s="27"/>
      <c r="F46" s="27"/>
      <c r="G46" s="30"/>
    </row>
    <row r="47" hidden="1">
      <c r="A47" s="23" t="str">
        <f t="array" ref="A47">XLOOKUP(C47,BvsL!E:E,BvsL!D:D,"",0)</f>
        <v/>
      </c>
      <c r="B47" s="24" t="str">
        <f t="array" ref="B47">XLOOKUP(A47,BvsL!D:D,BvsL!F:F,"",0)</f>
        <v/>
      </c>
      <c r="C47" s="25"/>
      <c r="D47" s="23" t="str">
        <f t="array" ref="D47">XLOOKUP(A47,BvsL!D:D,BvsL!F:F,"",0)</f>
        <v/>
      </c>
      <c r="E47" s="27"/>
      <c r="F47" s="27"/>
      <c r="G47" s="30"/>
    </row>
    <row r="48" hidden="1">
      <c r="A48" s="23" t="str">
        <f t="array" ref="A48">XLOOKUP(C48,BvsL!E:E,BvsL!D:D,"",0)</f>
        <v/>
      </c>
      <c r="B48" s="24" t="str">
        <f t="array" ref="B48">XLOOKUP(A48,BvsL!D:D,BvsL!F:F,"",0)</f>
        <v/>
      </c>
      <c r="C48" s="25"/>
      <c r="D48" s="23" t="str">
        <f t="array" ref="D48">XLOOKUP(A48,BvsL!D:D,BvsL!F:F,"",0)</f>
        <v/>
      </c>
      <c r="E48" s="27"/>
      <c r="F48" s="27"/>
      <c r="G48" s="30"/>
    </row>
    <row r="49" hidden="1">
      <c r="A49" s="23" t="str">
        <f t="array" ref="A49">XLOOKUP(C49,BvsL!E:E,BvsL!D:D,"",0)</f>
        <v/>
      </c>
      <c r="B49" s="24" t="str">
        <f t="array" ref="B49">XLOOKUP(A49,BvsL!D:D,BvsL!F:F,"",0)</f>
        <v/>
      </c>
      <c r="C49" s="25"/>
      <c r="D49" s="23" t="str">
        <f t="array" ref="D49">XLOOKUP(A49,BvsL!D:D,BvsL!F:F,"",0)</f>
        <v/>
      </c>
      <c r="E49" s="27"/>
      <c r="F49" s="27"/>
      <c r="G49" s="30"/>
    </row>
    <row r="50" hidden="1">
      <c r="A50" s="23" t="str">
        <f t="array" ref="A50">XLOOKUP(C50,BvsL!E:E,BvsL!D:D,"",0)</f>
        <v/>
      </c>
      <c r="B50" s="24" t="str">
        <f t="array" ref="B50">XLOOKUP(A50,BvsL!D:D,BvsL!F:F,"",0)</f>
        <v/>
      </c>
      <c r="C50" s="25"/>
      <c r="D50" s="23" t="str">
        <f t="array" ref="D50">XLOOKUP(A50,BvsL!D:D,BvsL!F:F,"",0)</f>
        <v/>
      </c>
      <c r="E50" s="27"/>
      <c r="F50" s="27"/>
      <c r="G50" s="30"/>
    </row>
    <row r="51" hidden="1">
      <c r="A51" s="23" t="str">
        <f t="array" ref="A51">XLOOKUP(C51,BvsL!E:E,BvsL!D:D,"",0)</f>
        <v/>
      </c>
      <c r="B51" s="24" t="str">
        <f t="array" ref="B51">XLOOKUP(A51,BvsL!D:D,BvsL!F:F,"",0)</f>
        <v/>
      </c>
      <c r="C51" s="25"/>
      <c r="D51" s="23" t="str">
        <f t="array" ref="D51">XLOOKUP(A51,BvsL!D:D,BvsL!F:F,"",0)</f>
        <v/>
      </c>
      <c r="E51" s="27"/>
      <c r="F51" s="27"/>
      <c r="G51" s="30"/>
    </row>
    <row r="52" hidden="1">
      <c r="A52" s="23" t="str">
        <f t="array" ref="A52">XLOOKUP(C52,BvsL!E:E,BvsL!D:D,"",0)</f>
        <v/>
      </c>
      <c r="B52" s="24" t="str">
        <f t="array" ref="B52">XLOOKUP(A52,BvsL!D:D,BvsL!F:F,"",0)</f>
        <v/>
      </c>
      <c r="C52" s="25"/>
      <c r="D52" s="23" t="str">
        <f t="array" ref="D52">XLOOKUP(A52,BvsL!D:D,BvsL!F:F,"",0)</f>
        <v/>
      </c>
      <c r="E52" s="27"/>
      <c r="F52" s="27"/>
      <c r="G52" s="30"/>
    </row>
    <row r="53" hidden="1">
      <c r="A53" s="23" t="str">
        <f t="array" ref="A53">XLOOKUP(C53,BvsL!E:E,BvsL!D:D,"",0)</f>
        <v/>
      </c>
      <c r="B53" s="24" t="str">
        <f t="array" ref="B53">XLOOKUP(A53,BvsL!D:D,BvsL!F:F,"",0)</f>
        <v/>
      </c>
      <c r="C53" s="25"/>
      <c r="D53" s="23" t="str">
        <f t="array" ref="D53">XLOOKUP(A53,BvsL!D:D,BvsL!F:F,"",0)</f>
        <v/>
      </c>
      <c r="E53" s="27"/>
      <c r="F53" s="27"/>
      <c r="G53" s="30"/>
    </row>
    <row r="54" hidden="1">
      <c r="A54" s="23" t="str">
        <f t="array" ref="A54">XLOOKUP(C54,BvsL!E:E,BvsL!D:D,"",0)</f>
        <v/>
      </c>
      <c r="B54" s="24" t="str">
        <f t="array" ref="B54">XLOOKUP(A54,BvsL!D:D,BvsL!F:F,"",0)</f>
        <v/>
      </c>
      <c r="C54" s="25"/>
      <c r="D54" s="23" t="str">
        <f t="array" ref="D54">XLOOKUP(A54,BvsL!D:D,BvsL!F:F,"",0)</f>
        <v/>
      </c>
      <c r="E54" s="27"/>
      <c r="F54" s="27"/>
      <c r="G54" s="30"/>
    </row>
    <row r="55" hidden="1">
      <c r="A55" s="23" t="str">
        <f t="array" ref="A55">XLOOKUP(C55,BvsL!E:E,BvsL!D:D,"",0)</f>
        <v/>
      </c>
      <c r="B55" s="24" t="str">
        <f t="array" ref="B55">XLOOKUP(A55,BvsL!D:D,BvsL!F:F,"",0)</f>
        <v/>
      </c>
      <c r="C55" s="25"/>
      <c r="D55" s="23" t="str">
        <f t="array" ref="D55">XLOOKUP(A55,BvsL!D:D,BvsL!F:F,"",0)</f>
        <v/>
      </c>
      <c r="E55" s="27"/>
      <c r="F55" s="27"/>
      <c r="G55" s="30"/>
    </row>
    <row r="56" hidden="1">
      <c r="A56" s="23" t="str">
        <f t="array" ref="A56">XLOOKUP(C56,BvsL!E:E,BvsL!D:D,"",0)</f>
        <v/>
      </c>
      <c r="B56" s="24" t="str">
        <f t="array" ref="B56">XLOOKUP(A56,BvsL!D:D,BvsL!F:F,"",0)</f>
        <v/>
      </c>
      <c r="C56" s="25"/>
      <c r="D56" s="23" t="str">
        <f t="array" ref="D56">XLOOKUP(A56,BvsL!D:D,BvsL!F:F,"",0)</f>
        <v/>
      </c>
      <c r="E56" s="27"/>
      <c r="F56" s="27"/>
      <c r="G56" s="30"/>
    </row>
    <row r="57" hidden="1">
      <c r="A57" s="23" t="str">
        <f t="array" ref="A57">XLOOKUP(C57,BvsL!E:E,BvsL!D:D,"",0)</f>
        <v/>
      </c>
      <c r="B57" s="24" t="str">
        <f t="array" ref="B57">XLOOKUP(A57,BvsL!D:D,BvsL!F:F,"",0)</f>
        <v/>
      </c>
      <c r="C57" s="25"/>
      <c r="D57" s="23" t="str">
        <f t="array" ref="D57">XLOOKUP(A57,BvsL!D:D,BvsL!F:F,"",0)</f>
        <v/>
      </c>
      <c r="E57" s="27"/>
      <c r="F57" s="27"/>
      <c r="G57" s="30"/>
    </row>
    <row r="58" hidden="1">
      <c r="A58" s="23" t="str">
        <f t="array" ref="A58">XLOOKUP(C58,BvsL!E:E,BvsL!D:D,"",0)</f>
        <v/>
      </c>
      <c r="B58" s="24" t="str">
        <f t="array" ref="B58">XLOOKUP(A58,BvsL!D:D,BvsL!F:F,"",0)</f>
        <v/>
      </c>
      <c r="C58" s="25"/>
      <c r="D58" s="23" t="str">
        <f t="array" ref="D58">XLOOKUP(A58,BvsL!D:D,BvsL!F:F,"",0)</f>
        <v/>
      </c>
      <c r="E58" s="27"/>
      <c r="F58" s="27"/>
      <c r="G58" s="30"/>
    </row>
    <row r="59" hidden="1">
      <c r="A59" s="23" t="str">
        <f t="array" ref="A59">XLOOKUP(C59,BvsL!E:E,BvsL!D:D,"",0)</f>
        <v/>
      </c>
      <c r="B59" s="24" t="str">
        <f t="array" ref="B59">XLOOKUP(A59,BvsL!D:D,BvsL!F:F,"",0)</f>
        <v/>
      </c>
      <c r="C59" s="25"/>
      <c r="D59" s="23" t="str">
        <f t="array" ref="D59">XLOOKUP(A59,BvsL!D:D,BvsL!F:F,"",0)</f>
        <v/>
      </c>
      <c r="E59" s="27"/>
      <c r="F59" s="27"/>
      <c r="G59" s="30"/>
    </row>
    <row r="60" hidden="1">
      <c r="A60" s="23" t="str">
        <f t="array" ref="A60">XLOOKUP(C60,BvsL!E:E,BvsL!D:D,"",0)</f>
        <v/>
      </c>
      <c r="B60" s="24" t="str">
        <f t="array" ref="B60">XLOOKUP(A60,BvsL!D:D,BvsL!F:F,"",0)</f>
        <v/>
      </c>
      <c r="C60" s="25"/>
      <c r="D60" s="23" t="str">
        <f t="array" ref="D60">XLOOKUP(A60,BvsL!D:D,BvsL!F:F,"",0)</f>
        <v/>
      </c>
      <c r="E60" s="27"/>
      <c r="F60" s="27"/>
      <c r="G60" s="30"/>
    </row>
    <row r="61" hidden="1">
      <c r="A61" s="23" t="str">
        <f t="array" ref="A61">XLOOKUP(C61,BvsL!E:E,BvsL!D:D,"",0)</f>
        <v/>
      </c>
      <c r="B61" s="24" t="str">
        <f t="array" ref="B61">XLOOKUP(A61,BvsL!D:D,BvsL!F:F,"",0)</f>
        <v/>
      </c>
      <c r="C61" s="25"/>
      <c r="D61" s="23" t="str">
        <f t="array" ref="D61">XLOOKUP(A61,BvsL!D:D,BvsL!F:F,"",0)</f>
        <v/>
      </c>
      <c r="E61" s="27"/>
      <c r="F61" s="27"/>
      <c r="G61" s="30"/>
    </row>
    <row r="62" hidden="1">
      <c r="A62" s="23" t="str">
        <f t="array" ref="A62">XLOOKUP(C62,BvsL!E:E,BvsL!D:D,"",0)</f>
        <v/>
      </c>
      <c r="B62" s="24" t="str">
        <f t="array" ref="B62">XLOOKUP(A62,BvsL!D:D,BvsL!F:F,"",0)</f>
        <v/>
      </c>
      <c r="C62" s="25"/>
      <c r="D62" s="23" t="str">
        <f t="array" ref="D62">XLOOKUP(A62,BvsL!D:D,BvsL!F:F,"",0)</f>
        <v/>
      </c>
      <c r="E62" s="27"/>
      <c r="F62" s="27"/>
      <c r="G62" s="30"/>
    </row>
    <row r="63" hidden="1">
      <c r="A63" s="23" t="str">
        <f t="array" ref="A63">XLOOKUP(C63,BvsL!E:E,BvsL!D:D,"",0)</f>
        <v/>
      </c>
      <c r="B63" s="24" t="str">
        <f t="array" ref="B63">XLOOKUP(A63,BvsL!D:D,BvsL!F:F,"",0)</f>
        <v/>
      </c>
      <c r="C63" s="25"/>
      <c r="D63" s="23" t="str">
        <f t="array" ref="D63">XLOOKUP(A63,BvsL!D:D,BvsL!F:F,"",0)</f>
        <v/>
      </c>
      <c r="E63" s="27"/>
      <c r="F63" s="27"/>
      <c r="G63" s="30"/>
    </row>
    <row r="64" hidden="1">
      <c r="A64" s="23" t="str">
        <f t="array" ref="A64">XLOOKUP(C64,BvsL!E:E,BvsL!D:D,"",0)</f>
        <v/>
      </c>
      <c r="B64" s="24" t="str">
        <f t="array" ref="B64">XLOOKUP(A64,BvsL!D:D,BvsL!F:F,"",0)</f>
        <v/>
      </c>
      <c r="C64" s="25"/>
      <c r="D64" s="23" t="str">
        <f t="array" ref="D64">XLOOKUP(A64,BvsL!D:D,BvsL!F:F,"",0)</f>
        <v/>
      </c>
      <c r="E64" s="27"/>
      <c r="F64" s="27"/>
      <c r="G64" s="30"/>
    </row>
    <row r="65" hidden="1">
      <c r="A65" s="23" t="str">
        <f t="array" ref="A65">XLOOKUP(C65,BvsL!E:E,BvsL!D:D,"",0)</f>
        <v/>
      </c>
      <c r="B65" s="24" t="str">
        <f t="array" ref="B65">XLOOKUP(A65,BvsL!D:D,BvsL!F:F,"",0)</f>
        <v/>
      </c>
      <c r="C65" s="25"/>
      <c r="D65" s="23" t="str">
        <f t="array" ref="D65">XLOOKUP(A65,BvsL!D:D,BvsL!F:F,"",0)</f>
        <v/>
      </c>
      <c r="E65" s="27"/>
      <c r="F65" s="27"/>
      <c r="G65" s="30"/>
    </row>
    <row r="66" hidden="1">
      <c r="A66" s="23" t="str">
        <f t="array" ref="A66">XLOOKUP(C66,BvsL!E:E,BvsL!D:D,"",0)</f>
        <v/>
      </c>
      <c r="B66" s="24" t="str">
        <f t="array" ref="B66">XLOOKUP(A66,BvsL!D:D,BvsL!F:F,"",0)</f>
        <v/>
      </c>
      <c r="C66" s="25"/>
      <c r="D66" s="23" t="str">
        <f t="array" ref="D66">XLOOKUP(A66,BvsL!D:D,BvsL!F:F,"",0)</f>
        <v/>
      </c>
      <c r="E66" s="27"/>
      <c r="F66" s="27"/>
      <c r="G66" s="30"/>
    </row>
    <row r="67" hidden="1">
      <c r="A67" s="23" t="str">
        <f t="array" ref="A67">XLOOKUP(C67,BvsL!E:E,BvsL!D:D,"",0)</f>
        <v/>
      </c>
      <c r="B67" s="24" t="str">
        <f t="array" ref="B67">XLOOKUP(A67,BvsL!D:D,BvsL!F:F,"",0)</f>
        <v/>
      </c>
      <c r="C67" s="25"/>
      <c r="D67" s="23" t="str">
        <f t="array" ref="D67">XLOOKUP(A67,BvsL!D:D,BvsL!F:F,"",0)</f>
        <v/>
      </c>
      <c r="E67" s="27"/>
      <c r="F67" s="27"/>
      <c r="G67" s="30"/>
    </row>
    <row r="68" hidden="1">
      <c r="A68" s="23" t="str">
        <f t="array" ref="A68">XLOOKUP(C68,BvsL!E:E,BvsL!D:D,"",0)</f>
        <v/>
      </c>
      <c r="B68" s="24" t="str">
        <f t="array" ref="B68">XLOOKUP(A68,BvsL!D:D,BvsL!F:F,"",0)</f>
        <v/>
      </c>
      <c r="C68" s="25"/>
      <c r="D68" s="23" t="str">
        <f t="array" ref="D68">XLOOKUP(A68,BvsL!D:D,BvsL!F:F,"",0)</f>
        <v/>
      </c>
      <c r="E68" s="27"/>
      <c r="F68" s="27"/>
      <c r="G68" s="30"/>
    </row>
    <row r="69" hidden="1">
      <c r="A69" s="23" t="str">
        <f t="array" ref="A69">XLOOKUP(C69,BvsL!E:E,BvsL!D:D,"",0)</f>
        <v/>
      </c>
      <c r="B69" s="24" t="str">
        <f t="array" ref="B69">XLOOKUP(A69,BvsL!D:D,BvsL!F:F,"",0)</f>
        <v/>
      </c>
      <c r="C69" s="25"/>
      <c r="D69" s="23" t="str">
        <f t="array" ref="D69">XLOOKUP(A69,BvsL!D:D,BvsL!F:F,"",0)</f>
        <v/>
      </c>
      <c r="E69" s="27"/>
      <c r="F69" s="27"/>
      <c r="G69" s="30"/>
    </row>
    <row r="70" hidden="1">
      <c r="A70" s="23" t="str">
        <f t="array" ref="A70">XLOOKUP(C70,BvsL!E:E,BvsL!D:D,"",0)</f>
        <v/>
      </c>
      <c r="B70" s="24" t="str">
        <f t="array" ref="B70">XLOOKUP(A70,BvsL!D:D,BvsL!F:F,"",0)</f>
        <v/>
      </c>
      <c r="C70" s="25"/>
      <c r="D70" s="23" t="str">
        <f t="array" ref="D70">XLOOKUP(A70,BvsL!D:D,BvsL!F:F,"",0)</f>
        <v/>
      </c>
      <c r="E70" s="27"/>
      <c r="F70" s="27"/>
      <c r="G70" s="30"/>
    </row>
    <row r="71" hidden="1">
      <c r="A71" s="23" t="str">
        <f t="array" ref="A71">XLOOKUP(C71,BvsL!E:E,BvsL!D:D,"",0)</f>
        <v/>
      </c>
      <c r="B71" s="24" t="str">
        <f t="array" ref="B71">XLOOKUP(A71,BvsL!D:D,BvsL!F:F,"",0)</f>
        <v/>
      </c>
      <c r="C71" s="25"/>
      <c r="D71" s="23" t="str">
        <f t="array" ref="D71">XLOOKUP(A71,BvsL!D:D,BvsL!F:F,"",0)</f>
        <v/>
      </c>
      <c r="E71" s="27"/>
      <c r="F71" s="27"/>
      <c r="G71" s="30"/>
    </row>
    <row r="72" hidden="1">
      <c r="A72" s="23" t="str">
        <f t="array" ref="A72">XLOOKUP(C72,BvsL!E:E,BvsL!D:D,"",0)</f>
        <v/>
      </c>
      <c r="B72" s="24" t="str">
        <f t="array" ref="B72">XLOOKUP(A72,BvsL!D:D,BvsL!F:F,"",0)</f>
        <v/>
      </c>
      <c r="C72" s="25"/>
      <c r="D72" s="23" t="str">
        <f t="array" ref="D72">XLOOKUP(A72,BvsL!D:D,BvsL!F:F,"",0)</f>
        <v/>
      </c>
      <c r="E72" s="27"/>
      <c r="F72" s="27"/>
      <c r="G72" s="30"/>
    </row>
    <row r="73" hidden="1">
      <c r="A73" s="23" t="str">
        <f t="array" ref="A73">XLOOKUP(C73,BvsL!E:E,BvsL!D:D,"",0)</f>
        <v/>
      </c>
      <c r="B73" s="24" t="str">
        <f t="array" ref="B73">XLOOKUP(A73,BvsL!D:D,BvsL!F:F,"",0)</f>
        <v/>
      </c>
      <c r="C73" s="25"/>
      <c r="D73" s="23" t="str">
        <f t="array" ref="D73">XLOOKUP(A73,BvsL!D:D,BvsL!F:F,"",0)</f>
        <v/>
      </c>
      <c r="E73" s="27"/>
      <c r="F73" s="27"/>
      <c r="G73" s="30"/>
    </row>
    <row r="74" hidden="1">
      <c r="A74" s="23" t="str">
        <f t="array" ref="A74">XLOOKUP(C74,BvsL!E:E,BvsL!D:D,"",0)</f>
        <v/>
      </c>
      <c r="B74" s="24" t="str">
        <f t="array" ref="B74">XLOOKUP(A74,BvsL!D:D,BvsL!F:F,"",0)</f>
        <v/>
      </c>
      <c r="C74" s="25"/>
      <c r="D74" s="23" t="str">
        <f t="array" ref="D74">XLOOKUP(A74,BvsL!D:D,BvsL!F:F,"",0)</f>
        <v/>
      </c>
      <c r="E74" s="27"/>
      <c r="F74" s="27"/>
      <c r="G74" s="30"/>
    </row>
    <row r="75" hidden="1">
      <c r="A75" s="23" t="str">
        <f t="array" ref="A75">XLOOKUP(C75,BvsL!E:E,BvsL!D:D,"",0)</f>
        <v/>
      </c>
      <c r="B75" s="24" t="str">
        <f t="array" ref="B75">XLOOKUP(A75,BvsL!D:D,BvsL!F:F,"",0)</f>
        <v/>
      </c>
      <c r="C75" s="25"/>
      <c r="D75" s="23" t="str">
        <f t="array" ref="D75">XLOOKUP(A75,BvsL!D:D,BvsL!F:F,"",0)</f>
        <v/>
      </c>
      <c r="E75" s="27"/>
      <c r="F75" s="27"/>
      <c r="G75" s="30"/>
    </row>
    <row r="76" hidden="1">
      <c r="A76" s="23" t="str">
        <f t="array" ref="A76">XLOOKUP(C76,BvsL!E:E,BvsL!D:D,"",0)</f>
        <v/>
      </c>
      <c r="B76" s="24" t="str">
        <f t="array" ref="B76">XLOOKUP(A76,BvsL!D:D,BvsL!F:F,"",0)</f>
        <v/>
      </c>
      <c r="C76" s="25"/>
      <c r="D76" s="23" t="str">
        <f t="array" ref="D76">XLOOKUP(A76,BvsL!D:D,BvsL!F:F,"",0)</f>
        <v/>
      </c>
      <c r="E76" s="27"/>
      <c r="F76" s="27"/>
      <c r="G76" s="30"/>
    </row>
    <row r="77" hidden="1">
      <c r="A77" s="23" t="str">
        <f t="array" ref="A77">XLOOKUP(C77,BvsL!E:E,BvsL!D:D,"",0)</f>
        <v/>
      </c>
      <c r="B77" s="24" t="str">
        <f t="array" ref="B77">XLOOKUP(A77,BvsL!D:D,BvsL!F:F,"",0)</f>
        <v/>
      </c>
      <c r="C77" s="25"/>
      <c r="D77" s="23" t="str">
        <f t="array" ref="D77">XLOOKUP(A77,BvsL!D:D,BvsL!F:F,"",0)</f>
        <v/>
      </c>
      <c r="E77" s="27"/>
      <c r="F77" s="27"/>
      <c r="G77" s="30"/>
    </row>
    <row r="78" hidden="1">
      <c r="A78" s="23" t="str">
        <f t="array" ref="A78">XLOOKUP(C78,BvsL!E:E,BvsL!D:D,"",0)</f>
        <v/>
      </c>
      <c r="B78" s="24" t="str">
        <f t="array" ref="B78">XLOOKUP(A78,BvsL!D:D,BvsL!F:F,"",0)</f>
        <v/>
      </c>
      <c r="C78" s="25"/>
      <c r="D78" s="23" t="str">
        <f t="array" ref="D78">XLOOKUP(A78,BvsL!D:D,BvsL!F:F,"",0)</f>
        <v/>
      </c>
      <c r="E78" s="27"/>
      <c r="F78" s="27"/>
      <c r="G78" s="30"/>
    </row>
    <row r="79" hidden="1">
      <c r="A79" s="23" t="str">
        <f t="array" ref="A79">XLOOKUP(C79,BvsL!E:E,BvsL!D:D,"",0)</f>
        <v/>
      </c>
      <c r="B79" s="24" t="str">
        <f t="array" ref="B79">XLOOKUP(A79,BvsL!D:D,BvsL!F:F,"",0)</f>
        <v/>
      </c>
      <c r="C79" s="25"/>
      <c r="D79" s="23" t="str">
        <f t="array" ref="D79">XLOOKUP(A79,BvsL!D:D,BvsL!F:F,"",0)</f>
        <v/>
      </c>
      <c r="E79" s="27"/>
      <c r="F79" s="27"/>
      <c r="G79" s="30"/>
    </row>
    <row r="80" hidden="1">
      <c r="A80" s="23" t="str">
        <f t="array" ref="A80">XLOOKUP(C80,BvsL!E:E,BvsL!D:D,"",0)</f>
        <v/>
      </c>
      <c r="B80" s="24" t="str">
        <f t="array" ref="B80">XLOOKUP(A80,BvsL!D:D,BvsL!F:F,"",0)</f>
        <v/>
      </c>
      <c r="C80" s="25"/>
      <c r="D80" s="23" t="str">
        <f t="array" ref="D80">XLOOKUP(A80,BvsL!D:D,BvsL!F:F,"",0)</f>
        <v/>
      </c>
      <c r="E80" s="27"/>
      <c r="F80" s="27"/>
      <c r="G80" s="30"/>
    </row>
    <row r="81" hidden="1">
      <c r="A81" s="23" t="str">
        <f t="array" ref="A81">XLOOKUP(C81,BvsL!E:E,BvsL!D:D,"",0)</f>
        <v/>
      </c>
      <c r="B81" s="24" t="str">
        <f t="array" ref="B81">XLOOKUP(A81,BvsL!D:D,BvsL!F:F,"",0)</f>
        <v/>
      </c>
      <c r="C81" s="25"/>
      <c r="D81" s="23" t="str">
        <f t="array" ref="D81">XLOOKUP(A81,BvsL!D:D,BvsL!F:F,"",0)</f>
        <v/>
      </c>
      <c r="E81" s="27"/>
      <c r="F81" s="27"/>
      <c r="G81" s="30"/>
    </row>
    <row r="82" hidden="1">
      <c r="A82" s="23" t="str">
        <f t="array" ref="A82">XLOOKUP(C82,BvsL!E:E,BvsL!D:D,"",0)</f>
        <v/>
      </c>
      <c r="B82" s="24" t="str">
        <f t="array" ref="B82">XLOOKUP(A82,BvsL!D:D,BvsL!F:F,"",0)</f>
        <v/>
      </c>
      <c r="C82" s="25"/>
      <c r="D82" s="23" t="str">
        <f t="array" ref="D82">XLOOKUP(A82,BvsL!D:D,BvsL!F:F,"",0)</f>
        <v/>
      </c>
      <c r="E82" s="27"/>
      <c r="F82" s="27"/>
      <c r="G82" s="30"/>
    </row>
    <row r="83" hidden="1">
      <c r="A83" s="23" t="str">
        <f t="array" ref="A83">XLOOKUP(C83,BvsL!E:E,BvsL!D:D,"",0)</f>
        <v/>
      </c>
      <c r="B83" s="24" t="str">
        <f t="array" ref="B83">XLOOKUP(A83,BvsL!D:D,BvsL!F:F,"",0)</f>
        <v/>
      </c>
      <c r="C83" s="25"/>
      <c r="D83" s="23" t="str">
        <f t="array" ref="D83">XLOOKUP(A83,BvsL!D:D,BvsL!F:F,"",0)</f>
        <v/>
      </c>
      <c r="E83" s="27"/>
      <c r="F83" s="27"/>
      <c r="G83" s="30"/>
    </row>
    <row r="84" hidden="1">
      <c r="A84" s="23" t="str">
        <f t="array" ref="A84">XLOOKUP(C84,BvsL!E:E,BvsL!D:D,"",0)</f>
        <v/>
      </c>
      <c r="B84" s="24" t="str">
        <f t="array" ref="B84">XLOOKUP(A84,BvsL!D:D,BvsL!F:F,"",0)</f>
        <v/>
      </c>
      <c r="C84" s="25"/>
      <c r="D84" s="23" t="str">
        <f t="array" ref="D84">XLOOKUP(A84,BvsL!D:D,BvsL!F:F,"",0)</f>
        <v/>
      </c>
      <c r="E84" s="27"/>
      <c r="F84" s="27"/>
      <c r="G84" s="30"/>
    </row>
    <row r="85" hidden="1">
      <c r="A85" s="23" t="str">
        <f t="array" ref="A85">XLOOKUP(C85,BvsL!E:E,BvsL!D:D,"",0)</f>
        <v/>
      </c>
      <c r="B85" s="24" t="str">
        <f t="array" ref="B85">XLOOKUP(A85,BvsL!D:D,BvsL!F:F,"",0)</f>
        <v/>
      </c>
      <c r="C85" s="25"/>
      <c r="D85" s="23" t="str">
        <f t="array" ref="D85">XLOOKUP(A85,BvsL!D:D,BvsL!F:F,"",0)</f>
        <v/>
      </c>
      <c r="E85" s="27"/>
      <c r="F85" s="27"/>
      <c r="G85" s="30"/>
    </row>
    <row r="86" hidden="1">
      <c r="A86" s="23" t="str">
        <f t="array" ref="A86">XLOOKUP(C86,BvsL!E:E,BvsL!D:D,"",0)</f>
        <v/>
      </c>
      <c r="B86" s="24" t="str">
        <f t="array" ref="B86">XLOOKUP(A86,BvsL!D:D,BvsL!F:F,"",0)</f>
        <v/>
      </c>
      <c r="C86" s="25"/>
      <c r="D86" s="23" t="str">
        <f t="array" ref="D86">XLOOKUP(A86,BvsL!D:D,BvsL!F:F,"",0)</f>
        <v/>
      </c>
      <c r="E86" s="27"/>
      <c r="F86" s="27"/>
      <c r="G86" s="30"/>
    </row>
    <row r="87" hidden="1">
      <c r="A87" s="23" t="str">
        <f t="array" ref="A87">XLOOKUP(C87,BvsL!E:E,BvsL!D:D,"",0)</f>
        <v/>
      </c>
      <c r="B87" s="24" t="str">
        <f t="array" ref="B87">XLOOKUP(A87,BvsL!D:D,BvsL!F:F,"",0)</f>
        <v/>
      </c>
      <c r="C87" s="25"/>
      <c r="D87" s="23" t="str">
        <f t="array" ref="D87">XLOOKUP(A87,BvsL!D:D,BvsL!F:F,"",0)</f>
        <v/>
      </c>
      <c r="E87" s="27"/>
      <c r="F87" s="27"/>
      <c r="G87" s="30"/>
    </row>
    <row r="88" hidden="1">
      <c r="A88" s="23" t="str">
        <f t="array" ref="A88">XLOOKUP(C88,BvsL!E:E,BvsL!D:D,"",0)</f>
        <v/>
      </c>
      <c r="B88" s="24" t="str">
        <f t="array" ref="B88">XLOOKUP(A88,BvsL!D:D,BvsL!F:F,"",0)</f>
        <v/>
      </c>
      <c r="C88" s="25"/>
      <c r="D88" s="23" t="str">
        <f t="array" ref="D88">XLOOKUP(A88,BvsL!D:D,BvsL!F:F,"",0)</f>
        <v/>
      </c>
      <c r="E88" s="27"/>
      <c r="F88" s="27"/>
      <c r="G88" s="30"/>
    </row>
    <row r="89" hidden="1">
      <c r="A89" s="23" t="str">
        <f t="array" ref="A89">XLOOKUP(C89,BvsL!E:E,BvsL!D:D,"",0)</f>
        <v/>
      </c>
      <c r="B89" s="24" t="str">
        <f t="array" ref="B89">XLOOKUP(A89,BvsL!D:D,BvsL!F:F,"",0)</f>
        <v/>
      </c>
      <c r="C89" s="25"/>
      <c r="D89" s="23" t="str">
        <f t="array" ref="D89">XLOOKUP(A89,BvsL!D:D,BvsL!F:F,"",0)</f>
        <v/>
      </c>
      <c r="E89" s="27"/>
      <c r="F89" s="27"/>
      <c r="G89" s="30"/>
    </row>
    <row r="90" hidden="1">
      <c r="A90" s="23" t="str">
        <f t="array" ref="A90">XLOOKUP(C90,BvsL!E:E,BvsL!D:D,"",0)</f>
        <v/>
      </c>
      <c r="B90" s="24" t="str">
        <f t="array" ref="B90">XLOOKUP(A90,BvsL!D:D,BvsL!F:F,"",0)</f>
        <v/>
      </c>
      <c r="C90" s="25"/>
      <c r="D90" s="23" t="str">
        <f t="array" ref="D90">XLOOKUP(A90,BvsL!D:D,BvsL!F:F,"",0)</f>
        <v/>
      </c>
      <c r="E90" s="27"/>
      <c r="F90" s="27"/>
      <c r="G90" s="30"/>
    </row>
    <row r="91" hidden="1">
      <c r="A91" s="23" t="str">
        <f t="array" ref="A91">XLOOKUP(C91,BvsL!E:E,BvsL!D:D,"",0)</f>
        <v/>
      </c>
      <c r="B91" s="24" t="str">
        <f t="array" ref="B91">XLOOKUP(A91,BvsL!D:D,BvsL!F:F,"",0)</f>
        <v/>
      </c>
      <c r="C91" s="25"/>
      <c r="D91" s="23" t="str">
        <f t="array" ref="D91">XLOOKUP(A91,BvsL!D:D,BvsL!F:F,"",0)</f>
        <v/>
      </c>
      <c r="E91" s="27"/>
      <c r="F91" s="27"/>
      <c r="G91" s="30"/>
    </row>
    <row r="92" hidden="1">
      <c r="A92" s="23" t="str">
        <f t="array" ref="A92">XLOOKUP(C92,BvsL!E:E,BvsL!D:D,"",0)</f>
        <v/>
      </c>
      <c r="B92" s="24" t="str">
        <f t="array" ref="B92">XLOOKUP(A92,BvsL!D:D,BvsL!F:F,"",0)</f>
        <v/>
      </c>
      <c r="C92" s="25"/>
      <c r="D92" s="23" t="str">
        <f t="array" ref="D92">XLOOKUP(A92,BvsL!D:D,BvsL!F:F,"",0)</f>
        <v/>
      </c>
      <c r="E92" s="27"/>
      <c r="F92" s="27"/>
      <c r="G92" s="30"/>
    </row>
    <row r="93" hidden="1">
      <c r="A93" s="23" t="str">
        <f t="array" ref="A93">XLOOKUP(C93,BvsL!E:E,BvsL!D:D,"",0)</f>
        <v/>
      </c>
      <c r="B93" s="24" t="str">
        <f t="array" ref="B93">XLOOKUP(A93,BvsL!D:D,BvsL!F:F,"",0)</f>
        <v/>
      </c>
      <c r="C93" s="25"/>
      <c r="D93" s="23" t="str">
        <f t="array" ref="D93">XLOOKUP(A93,BvsL!D:D,BvsL!F:F,"",0)</f>
        <v/>
      </c>
      <c r="E93" s="27"/>
      <c r="F93" s="27"/>
      <c r="G93" s="30"/>
    </row>
    <row r="94" hidden="1">
      <c r="A94" s="23" t="str">
        <f t="array" ref="A94">XLOOKUP(C94,BvsL!E:E,BvsL!D:D,"",0)</f>
        <v/>
      </c>
      <c r="B94" s="24" t="str">
        <f t="array" ref="B94">XLOOKUP(A94,BvsL!D:D,BvsL!F:F,"",0)</f>
        <v/>
      </c>
      <c r="C94" s="25"/>
      <c r="D94" s="23" t="str">
        <f t="array" ref="D94">XLOOKUP(A94,BvsL!D:D,BvsL!F:F,"",0)</f>
        <v/>
      </c>
      <c r="E94" s="27"/>
      <c r="F94" s="27"/>
      <c r="G94" s="30"/>
    </row>
    <row r="95" hidden="1">
      <c r="A95" s="23" t="str">
        <f t="array" ref="A95">XLOOKUP(C95,BvsL!E:E,BvsL!D:D,"",0)</f>
        <v/>
      </c>
      <c r="B95" s="24" t="str">
        <f t="array" ref="B95">XLOOKUP(A95,BvsL!D:D,BvsL!F:F,"",0)</f>
        <v/>
      </c>
      <c r="C95" s="25"/>
      <c r="D95" s="23" t="str">
        <f t="array" ref="D95">XLOOKUP(A95,BvsL!D:D,BvsL!F:F,"",0)</f>
        <v/>
      </c>
      <c r="E95" s="27"/>
      <c r="F95" s="27"/>
      <c r="G95" s="30"/>
    </row>
    <row r="96" hidden="1">
      <c r="A96" s="23" t="str">
        <f t="array" ref="A96">XLOOKUP(C96,BvsL!E:E,BvsL!D:D,"",0)</f>
        <v/>
      </c>
      <c r="B96" s="24" t="str">
        <f t="array" ref="B96">XLOOKUP(A96,BvsL!D:D,BvsL!F:F,"",0)</f>
        <v/>
      </c>
      <c r="C96" s="25"/>
      <c r="D96" s="23" t="str">
        <f t="array" ref="D96">XLOOKUP(A96,BvsL!D:D,BvsL!F:F,"",0)</f>
        <v/>
      </c>
      <c r="E96" s="27"/>
      <c r="F96" s="27"/>
      <c r="G96" s="30"/>
    </row>
    <row r="97" hidden="1">
      <c r="A97" s="23" t="str">
        <f t="array" ref="A97">XLOOKUP(C97,BvsL!E:E,BvsL!D:D,"",0)</f>
        <v/>
      </c>
      <c r="B97" s="24" t="str">
        <f t="array" ref="B97">XLOOKUP(A97,BvsL!D:D,BvsL!F:F,"",0)</f>
        <v/>
      </c>
      <c r="C97" s="25"/>
      <c r="D97" s="23" t="str">
        <f t="array" ref="D97">XLOOKUP(A97,BvsL!D:D,BvsL!F:F,"",0)</f>
        <v/>
      </c>
      <c r="E97" s="27"/>
      <c r="F97" s="27"/>
      <c r="G97" s="30"/>
    </row>
    <row r="98" hidden="1">
      <c r="A98" s="23" t="str">
        <f t="array" ref="A98">XLOOKUP(C98,BvsL!E:E,BvsL!D:D,"",0)</f>
        <v/>
      </c>
      <c r="B98" s="24" t="str">
        <f t="array" ref="B98">XLOOKUP(A98,BvsL!D:D,BvsL!F:F,"",0)</f>
        <v/>
      </c>
      <c r="C98" s="25"/>
      <c r="D98" s="23" t="str">
        <f t="array" ref="D98">XLOOKUP(A98,BvsL!D:D,BvsL!F:F,"",0)</f>
        <v/>
      </c>
      <c r="E98" s="27"/>
      <c r="F98" s="27"/>
      <c r="G98" s="30"/>
    </row>
    <row r="99" hidden="1">
      <c r="A99" s="23" t="str">
        <f t="array" ref="A99">XLOOKUP(C99,BvsL!E:E,BvsL!D:D,"",0)</f>
        <v/>
      </c>
      <c r="B99" s="24" t="str">
        <f t="array" ref="B99">XLOOKUP(A99,BvsL!D:D,BvsL!F:F,"",0)</f>
        <v/>
      </c>
      <c r="C99" s="25"/>
      <c r="D99" s="23" t="str">
        <f t="array" ref="D99">XLOOKUP(A99,BvsL!D:D,BvsL!F:F,"",0)</f>
        <v/>
      </c>
      <c r="E99" s="27"/>
      <c r="F99" s="27"/>
      <c r="G99" s="30"/>
    </row>
    <row r="100" hidden="1">
      <c r="A100" s="23" t="str">
        <f t="array" ref="A100">XLOOKUP(C100,BvsL!E:E,BvsL!D:D,"",0)</f>
        <v/>
      </c>
      <c r="B100" s="24" t="str">
        <f t="array" ref="B100">XLOOKUP(A100,BvsL!D:D,BvsL!F:F,"",0)</f>
        <v/>
      </c>
      <c r="C100" s="25"/>
      <c r="D100" s="23" t="str">
        <f t="array" ref="D100">XLOOKUP(A100,BvsL!D:D,BvsL!F:F,"",0)</f>
        <v/>
      </c>
      <c r="E100" s="27"/>
      <c r="F100" s="27"/>
      <c r="G100" s="30"/>
    </row>
    <row r="101" hidden="1">
      <c r="A101" s="23" t="str">
        <f t="array" ref="A101">XLOOKUP(C101,BvsL!E:E,BvsL!D:D,"",0)</f>
        <v/>
      </c>
      <c r="B101" s="24" t="str">
        <f t="array" ref="B101">XLOOKUP(A101,BvsL!D:D,BvsL!F:F,"",0)</f>
        <v/>
      </c>
      <c r="C101" s="25"/>
      <c r="D101" s="23" t="str">
        <f t="array" ref="D101">XLOOKUP(A101,BvsL!D:D,BvsL!F:F,"",0)</f>
        <v/>
      </c>
      <c r="E101" s="27"/>
      <c r="F101" s="27"/>
      <c r="G101" s="30"/>
    </row>
    <row r="102" hidden="1">
      <c r="A102" s="23" t="str">
        <f t="array" ref="A102">XLOOKUP(C102,BvsL!E:E,BvsL!D:D,"",0)</f>
        <v/>
      </c>
      <c r="B102" s="24" t="str">
        <f t="array" ref="B102">XLOOKUP(A102,BvsL!D:D,BvsL!F:F,"",0)</f>
        <v/>
      </c>
      <c r="C102" s="25"/>
      <c r="D102" s="23" t="str">
        <f t="array" ref="D102">XLOOKUP(A102,BvsL!D:D,BvsL!F:F,"",0)</f>
        <v/>
      </c>
      <c r="E102" s="27"/>
      <c r="F102" s="27"/>
      <c r="G102" s="30"/>
    </row>
    <row r="103" hidden="1">
      <c r="A103" s="23" t="str">
        <f t="array" ref="A103">XLOOKUP(C103,BvsL!E:E,BvsL!D:D,"",0)</f>
        <v/>
      </c>
      <c r="B103" s="24" t="str">
        <f t="array" ref="B103">XLOOKUP(A103,BvsL!D:D,BvsL!F:F,"",0)</f>
        <v/>
      </c>
      <c r="C103" s="25"/>
      <c r="D103" s="23" t="str">
        <f t="array" ref="D103">XLOOKUP(A103,BvsL!D:D,BvsL!F:F,"",0)</f>
        <v/>
      </c>
      <c r="E103" s="27"/>
      <c r="F103" s="27"/>
      <c r="G103" s="30"/>
    </row>
    <row r="104" hidden="1">
      <c r="A104" s="23" t="str">
        <f t="array" ref="A104">XLOOKUP(C104,BvsL!E:E,BvsL!D:D,"",0)</f>
        <v/>
      </c>
      <c r="B104" s="24" t="str">
        <f t="array" ref="B104">XLOOKUP(A104,BvsL!D:D,BvsL!F:F,"",0)</f>
        <v/>
      </c>
      <c r="C104" s="25"/>
      <c r="D104" s="23" t="str">
        <f t="array" ref="D104">XLOOKUP(A104,BvsL!D:D,BvsL!F:F,"",0)</f>
        <v/>
      </c>
      <c r="E104" s="27"/>
      <c r="F104" s="27"/>
      <c r="G104" s="30"/>
    </row>
    <row r="105" hidden="1">
      <c r="A105" s="23" t="str">
        <f t="array" ref="A105">XLOOKUP(C105,BvsL!E:E,BvsL!D:D,"",0)</f>
        <v/>
      </c>
      <c r="B105" s="24" t="str">
        <f t="array" ref="B105">XLOOKUP(A105,BvsL!D:D,BvsL!F:F,"",0)</f>
        <v/>
      </c>
      <c r="C105" s="25"/>
      <c r="D105" s="23" t="str">
        <f t="array" ref="D105">XLOOKUP(A105,BvsL!D:D,BvsL!F:F,"",0)</f>
        <v/>
      </c>
      <c r="E105" s="27"/>
      <c r="F105" s="27"/>
      <c r="G105" s="30"/>
    </row>
    <row r="106" hidden="1">
      <c r="A106" s="23" t="str">
        <f t="array" ref="A106">XLOOKUP(C106,BvsL!E:E,BvsL!D:D,"",0)</f>
        <v/>
      </c>
      <c r="B106" s="24" t="str">
        <f t="array" ref="B106">XLOOKUP(A106,BvsL!D:D,BvsL!F:F,"",0)</f>
        <v/>
      </c>
      <c r="C106" s="25"/>
      <c r="D106" s="23" t="str">
        <f t="array" ref="D106">XLOOKUP(A106,BvsL!D:D,BvsL!F:F,"",0)</f>
        <v/>
      </c>
      <c r="E106" s="27"/>
      <c r="F106" s="27"/>
      <c r="G106" s="30"/>
    </row>
    <row r="107" hidden="1">
      <c r="A107" s="23" t="str">
        <f t="array" ref="A107">XLOOKUP(C107,BvsL!E:E,BvsL!D:D,"",0)</f>
        <v/>
      </c>
      <c r="B107" s="24" t="str">
        <f t="array" ref="B107">XLOOKUP(A107,BvsL!D:D,BvsL!F:F,"",0)</f>
        <v/>
      </c>
      <c r="C107" s="25"/>
      <c r="D107" s="23" t="str">
        <f t="array" ref="D107">XLOOKUP(A107,BvsL!D:D,BvsL!F:F,"",0)</f>
        <v/>
      </c>
      <c r="E107" s="27"/>
      <c r="F107" s="27"/>
      <c r="G107" s="30"/>
    </row>
    <row r="108" hidden="1">
      <c r="A108" s="23" t="str">
        <f t="array" ref="A108">XLOOKUP(C108,BvsL!E:E,BvsL!D:D,"",0)</f>
        <v/>
      </c>
      <c r="B108" s="24" t="str">
        <f t="array" ref="B108">XLOOKUP(A108,BvsL!D:D,BvsL!F:F,"",0)</f>
        <v/>
      </c>
      <c r="C108" s="25"/>
      <c r="D108" s="23" t="str">
        <f t="array" ref="D108">XLOOKUP(A108,BvsL!D:D,BvsL!F:F,"",0)</f>
        <v/>
      </c>
      <c r="E108" s="27"/>
      <c r="F108" s="27"/>
      <c r="G108" s="30"/>
    </row>
    <row r="109" hidden="1">
      <c r="A109" s="23" t="str">
        <f t="array" ref="A109">XLOOKUP(C109,BvsL!E:E,BvsL!D:D,"",0)</f>
        <v/>
      </c>
      <c r="B109" s="24" t="str">
        <f t="array" ref="B109">XLOOKUP(A109,BvsL!D:D,BvsL!F:F,"",0)</f>
        <v/>
      </c>
      <c r="C109" s="25"/>
      <c r="D109" s="23" t="str">
        <f t="array" ref="D109">XLOOKUP(A109,BvsL!D:D,BvsL!F:F,"",0)</f>
        <v/>
      </c>
      <c r="E109" s="27"/>
      <c r="F109" s="27"/>
      <c r="G109" s="30"/>
    </row>
    <row r="110" hidden="1">
      <c r="A110" s="23" t="str">
        <f t="array" ref="A110">XLOOKUP(C110,BvsL!E:E,BvsL!D:D,"",0)</f>
        <v/>
      </c>
      <c r="B110" s="24" t="str">
        <f t="array" ref="B110">XLOOKUP(A110,BvsL!D:D,BvsL!F:F,"",0)</f>
        <v/>
      </c>
      <c r="C110" s="25"/>
      <c r="D110" s="23" t="str">
        <f t="array" ref="D110">XLOOKUP(A110,BvsL!D:D,BvsL!F:F,"",0)</f>
        <v/>
      </c>
      <c r="E110" s="27"/>
      <c r="F110" s="27"/>
      <c r="G110" s="30"/>
    </row>
    <row r="111" hidden="1">
      <c r="A111" s="23" t="str">
        <f t="array" ref="A111">XLOOKUP(C111,BvsL!E:E,BvsL!D:D,"",0)</f>
        <v/>
      </c>
      <c r="B111" s="24" t="str">
        <f t="array" ref="B111">XLOOKUP(A111,BvsL!D:D,BvsL!F:F,"",0)</f>
        <v/>
      </c>
      <c r="C111" s="25"/>
      <c r="D111" s="23" t="str">
        <f t="array" ref="D111">XLOOKUP(A111,BvsL!D:D,BvsL!F:F,"",0)</f>
        <v/>
      </c>
      <c r="E111" s="27"/>
      <c r="F111" s="27"/>
      <c r="G111" s="30"/>
    </row>
    <row r="112" hidden="1">
      <c r="A112" s="23" t="str">
        <f t="array" ref="A112">XLOOKUP(C112,BvsL!E:E,BvsL!D:D,"",0)</f>
        <v/>
      </c>
      <c r="B112" s="24" t="str">
        <f t="array" ref="B112">XLOOKUP(A112,BvsL!D:D,BvsL!F:F,"",0)</f>
        <v/>
      </c>
      <c r="C112" s="25"/>
      <c r="D112" s="23" t="str">
        <f t="array" ref="D112">XLOOKUP(A112,BvsL!D:D,BvsL!F:F,"",0)</f>
        <v/>
      </c>
      <c r="E112" s="27"/>
      <c r="F112" s="27"/>
      <c r="G112" s="30"/>
    </row>
    <row r="113" hidden="1">
      <c r="A113" s="23" t="str">
        <f t="array" ref="A113">XLOOKUP(C113,BvsL!E:E,BvsL!D:D,"",0)</f>
        <v/>
      </c>
      <c r="B113" s="24" t="str">
        <f t="array" ref="B113">XLOOKUP(A113,BvsL!D:D,BvsL!F:F,"",0)</f>
        <v/>
      </c>
      <c r="C113" s="25"/>
      <c r="D113" s="23" t="str">
        <f t="array" ref="D113">XLOOKUP(A113,BvsL!D:D,BvsL!F:F,"",0)</f>
        <v/>
      </c>
      <c r="E113" s="27"/>
      <c r="F113" s="27"/>
      <c r="G113" s="30"/>
    </row>
    <row r="114" hidden="1">
      <c r="A114" s="23" t="str">
        <f t="array" ref="A114">XLOOKUP(C114,BvsL!E:E,BvsL!D:D,"",0)</f>
        <v/>
      </c>
      <c r="B114" s="24" t="str">
        <f t="array" ref="B114">XLOOKUP(A114,BvsL!D:D,BvsL!F:F,"",0)</f>
        <v/>
      </c>
      <c r="C114" s="25"/>
      <c r="D114" s="23" t="str">
        <f t="array" ref="D114">XLOOKUP(A114,BvsL!D:D,BvsL!F:F,"",0)</f>
        <v/>
      </c>
      <c r="E114" s="27"/>
      <c r="F114" s="27"/>
      <c r="G114" s="30"/>
    </row>
    <row r="115" hidden="1">
      <c r="A115" s="23" t="str">
        <f t="array" ref="A115">XLOOKUP(C115,BvsL!E:E,BvsL!D:D,"",0)</f>
        <v/>
      </c>
      <c r="B115" s="24" t="str">
        <f t="array" ref="B115">XLOOKUP(A115,BvsL!D:D,BvsL!F:F,"",0)</f>
        <v/>
      </c>
      <c r="C115" s="25"/>
      <c r="D115" s="23" t="str">
        <f t="array" ref="D115">XLOOKUP(A115,BvsL!D:D,BvsL!F:F,"",0)</f>
        <v/>
      </c>
      <c r="E115" s="27"/>
      <c r="F115" s="27"/>
      <c r="G115" s="30"/>
    </row>
    <row r="116" hidden="1">
      <c r="A116" s="23" t="str">
        <f t="array" ref="A116">XLOOKUP(C116,BvsL!E:E,BvsL!D:D,"",0)</f>
        <v/>
      </c>
      <c r="B116" s="24" t="str">
        <f t="array" ref="B116">XLOOKUP(A116,BvsL!D:D,BvsL!F:F,"",0)</f>
        <v/>
      </c>
      <c r="C116" s="25"/>
      <c r="D116" s="23" t="str">
        <f t="array" ref="D116">XLOOKUP(A116,BvsL!D:D,BvsL!F:F,"",0)</f>
        <v/>
      </c>
      <c r="E116" s="27"/>
      <c r="F116" s="27"/>
      <c r="G116" s="30"/>
    </row>
    <row r="117" hidden="1">
      <c r="A117" s="23" t="str">
        <f t="array" ref="A117">XLOOKUP(C117,BvsL!E:E,BvsL!D:D,"",0)</f>
        <v/>
      </c>
      <c r="B117" s="24" t="str">
        <f t="array" ref="B117">XLOOKUP(A117,BvsL!D:D,BvsL!F:F,"",0)</f>
        <v/>
      </c>
      <c r="C117" s="25"/>
      <c r="D117" s="23" t="str">
        <f t="array" ref="D117">XLOOKUP(A117,BvsL!D:D,BvsL!F:F,"",0)</f>
        <v/>
      </c>
      <c r="E117" s="27"/>
      <c r="F117" s="27"/>
      <c r="G117" s="30"/>
    </row>
    <row r="118" hidden="1">
      <c r="A118" s="23" t="str">
        <f t="array" ref="A118">XLOOKUP(C118,BvsL!E:E,BvsL!D:D,"",0)</f>
        <v/>
      </c>
      <c r="B118" s="24" t="str">
        <f t="array" ref="B118">XLOOKUP(A118,BvsL!D:D,BvsL!F:F,"",0)</f>
        <v/>
      </c>
      <c r="C118" s="25"/>
      <c r="D118" s="23" t="str">
        <f t="array" ref="D118">XLOOKUP(A118,BvsL!D:D,BvsL!F:F,"",0)</f>
        <v/>
      </c>
      <c r="E118" s="27"/>
      <c r="F118" s="27"/>
      <c r="G118" s="30"/>
    </row>
    <row r="119" hidden="1">
      <c r="A119" s="23" t="str">
        <f t="array" ref="A119">XLOOKUP(C119,BvsL!E:E,BvsL!D:D,"",0)</f>
        <v/>
      </c>
      <c r="B119" s="24" t="str">
        <f t="array" ref="B119">XLOOKUP(A119,BvsL!D:D,BvsL!F:F,"",0)</f>
        <v/>
      </c>
      <c r="C119" s="25"/>
      <c r="D119" s="23" t="str">
        <f t="array" ref="D119">XLOOKUP(A119,BvsL!D:D,BvsL!F:F,"",0)</f>
        <v/>
      </c>
      <c r="E119" s="27"/>
      <c r="F119" s="27"/>
      <c r="G119" s="30"/>
    </row>
    <row r="120" hidden="1">
      <c r="A120" s="23" t="str">
        <f t="array" ref="A120">XLOOKUP(C120,BvsL!E:E,BvsL!D:D,"",0)</f>
        <v/>
      </c>
      <c r="B120" s="24" t="str">
        <f t="array" ref="B120">XLOOKUP(A120,BvsL!D:D,BvsL!F:F,"",0)</f>
        <v/>
      </c>
      <c r="C120" s="25"/>
      <c r="D120" s="23" t="str">
        <f t="array" ref="D120">XLOOKUP(A120,BvsL!D:D,BvsL!F:F,"",0)</f>
        <v/>
      </c>
      <c r="E120" s="27"/>
      <c r="F120" s="27"/>
      <c r="G120" s="30"/>
    </row>
    <row r="121" hidden="1">
      <c r="A121" s="23" t="str">
        <f t="array" ref="A121">XLOOKUP(C121,BvsL!E:E,BvsL!D:D,"",0)</f>
        <v/>
      </c>
      <c r="B121" s="24" t="str">
        <f t="array" ref="B121">XLOOKUP(A121,BvsL!D:D,BvsL!F:F,"",0)</f>
        <v/>
      </c>
      <c r="C121" s="25"/>
      <c r="D121" s="23" t="str">
        <f t="array" ref="D121">XLOOKUP(A121,BvsL!D:D,BvsL!F:F,"",0)</f>
        <v/>
      </c>
      <c r="E121" s="27"/>
      <c r="F121" s="27"/>
      <c r="G121" s="30"/>
    </row>
    <row r="122" hidden="1">
      <c r="A122" s="23" t="str">
        <f t="array" ref="A122">XLOOKUP(C122,BvsL!E:E,BvsL!D:D,"",0)</f>
        <v/>
      </c>
      <c r="B122" s="24" t="str">
        <f t="array" ref="B122">XLOOKUP(A122,BvsL!D:D,BvsL!F:F,"",0)</f>
        <v/>
      </c>
      <c r="C122" s="25"/>
      <c r="D122" s="23" t="str">
        <f t="array" ref="D122">XLOOKUP(A122,BvsL!D:D,BvsL!F:F,"",0)</f>
        <v/>
      </c>
      <c r="E122" s="27"/>
      <c r="F122" s="27"/>
      <c r="G122" s="30"/>
    </row>
    <row r="123" hidden="1">
      <c r="A123" s="23" t="str">
        <f t="array" ref="A123">XLOOKUP(C123,BvsL!E:E,BvsL!D:D,"",0)</f>
        <v/>
      </c>
      <c r="B123" s="24" t="str">
        <f t="array" ref="B123">XLOOKUP(A123,BvsL!D:D,BvsL!F:F,"",0)</f>
        <v/>
      </c>
      <c r="C123" s="25"/>
      <c r="D123" s="23" t="str">
        <f t="array" ref="D123">XLOOKUP(A123,BvsL!D:D,BvsL!F:F,"",0)</f>
        <v/>
      </c>
      <c r="E123" s="27"/>
      <c r="F123" s="27"/>
      <c r="G123" s="30"/>
    </row>
    <row r="124" hidden="1">
      <c r="A124" s="23" t="str">
        <f t="array" ref="A124">XLOOKUP(C124,BvsL!E:E,BvsL!D:D,"",0)</f>
        <v/>
      </c>
      <c r="B124" s="24" t="str">
        <f t="array" ref="B124">XLOOKUP(A124,BvsL!D:D,BvsL!F:F,"",0)</f>
        <v/>
      </c>
      <c r="C124" s="25"/>
      <c r="D124" s="23" t="str">
        <f t="array" ref="D124">XLOOKUP(A124,BvsL!D:D,BvsL!F:F,"",0)</f>
        <v/>
      </c>
      <c r="E124" s="27"/>
      <c r="F124" s="27"/>
      <c r="G124" s="30"/>
    </row>
    <row r="125" hidden="1">
      <c r="A125" s="23" t="str">
        <f t="array" ref="A125">XLOOKUP(C125,BvsL!E:E,BvsL!D:D,"",0)</f>
        <v/>
      </c>
      <c r="B125" s="24" t="str">
        <f t="array" ref="B125">XLOOKUP(A125,BvsL!D:D,BvsL!F:F,"",0)</f>
        <v/>
      </c>
      <c r="C125" s="25"/>
      <c r="D125" s="23" t="str">
        <f t="array" ref="D125">XLOOKUP(A125,BvsL!D:D,BvsL!F:F,"",0)</f>
        <v/>
      </c>
      <c r="E125" s="27"/>
      <c r="F125" s="27"/>
      <c r="G125" s="30"/>
    </row>
    <row r="126" hidden="1">
      <c r="A126" s="23" t="str">
        <f t="array" ref="A126">XLOOKUP(C126,BvsL!E:E,BvsL!D:D,"",0)</f>
        <v/>
      </c>
      <c r="B126" s="24" t="str">
        <f t="array" ref="B126">XLOOKUP(A126,BvsL!D:D,BvsL!F:F,"",0)</f>
        <v/>
      </c>
      <c r="C126" s="25"/>
      <c r="D126" s="23" t="str">
        <f t="array" ref="D126">XLOOKUP(A126,BvsL!D:D,BvsL!F:F,"",0)</f>
        <v/>
      </c>
      <c r="E126" s="27"/>
      <c r="F126" s="27"/>
      <c r="G126" s="30"/>
    </row>
    <row r="127" hidden="1">
      <c r="A127" s="23" t="str">
        <f t="array" ref="A127">XLOOKUP(C127,BvsL!E:E,BvsL!D:D,"",0)</f>
        <v/>
      </c>
      <c r="B127" s="24" t="str">
        <f t="array" ref="B127">XLOOKUP(A127,BvsL!D:D,BvsL!F:F,"",0)</f>
        <v/>
      </c>
      <c r="C127" s="25"/>
      <c r="D127" s="23" t="str">
        <f t="array" ref="D127">XLOOKUP(A127,BvsL!D:D,BvsL!F:F,"",0)</f>
        <v/>
      </c>
      <c r="E127" s="27"/>
      <c r="F127" s="27"/>
      <c r="G127" s="30"/>
    </row>
    <row r="128" hidden="1">
      <c r="A128" s="23" t="str">
        <f t="array" ref="A128">XLOOKUP(C128,BvsL!E:E,BvsL!D:D,"",0)</f>
        <v/>
      </c>
      <c r="B128" s="24" t="str">
        <f t="array" ref="B128">XLOOKUP(A128,BvsL!D:D,BvsL!F:F,"",0)</f>
        <v/>
      </c>
      <c r="C128" s="25"/>
      <c r="D128" s="23" t="str">
        <f t="array" ref="D128">XLOOKUP(A128,BvsL!D:D,BvsL!F:F,"",0)</f>
        <v/>
      </c>
      <c r="E128" s="27"/>
      <c r="F128" s="27"/>
      <c r="G128" s="30"/>
    </row>
    <row r="129" hidden="1">
      <c r="A129" s="23" t="str">
        <f t="array" ref="A129">XLOOKUP(C129,BvsL!E:E,BvsL!D:D,"",0)</f>
        <v/>
      </c>
      <c r="B129" s="24" t="str">
        <f t="array" ref="B129">XLOOKUP(A129,BvsL!D:D,BvsL!F:F,"",0)</f>
        <v/>
      </c>
      <c r="C129" s="25"/>
      <c r="D129" s="23" t="str">
        <f t="array" ref="D129">XLOOKUP(A129,BvsL!D:D,BvsL!F:F,"",0)</f>
        <v/>
      </c>
      <c r="E129" s="27"/>
      <c r="F129" s="27"/>
      <c r="G129" s="30"/>
    </row>
    <row r="130" hidden="1">
      <c r="A130" s="23" t="str">
        <f t="array" ref="A130">XLOOKUP(C130,BvsL!E:E,BvsL!D:D,"",0)</f>
        <v/>
      </c>
      <c r="B130" s="24" t="str">
        <f t="array" ref="B130">XLOOKUP(A130,BvsL!D:D,BvsL!F:F,"",0)</f>
        <v/>
      </c>
      <c r="C130" s="25"/>
      <c r="D130" s="23" t="str">
        <f t="array" ref="D130">XLOOKUP(A130,BvsL!D:D,BvsL!F:F,"",0)</f>
        <v/>
      </c>
      <c r="E130" s="27"/>
      <c r="F130" s="27"/>
      <c r="G130" s="30"/>
    </row>
    <row r="131" hidden="1">
      <c r="A131" s="23" t="str">
        <f t="array" ref="A131">XLOOKUP(C131,BvsL!E:E,BvsL!D:D,"",0)</f>
        <v/>
      </c>
      <c r="B131" s="24" t="str">
        <f t="array" ref="B131">XLOOKUP(A131,BvsL!D:D,BvsL!F:F,"",0)</f>
        <v/>
      </c>
      <c r="C131" s="25"/>
      <c r="D131" s="23" t="str">
        <f t="array" ref="D131">XLOOKUP(A131,BvsL!D:D,BvsL!F:F,"",0)</f>
        <v/>
      </c>
      <c r="E131" s="27"/>
      <c r="F131" s="27"/>
      <c r="G131" s="30"/>
    </row>
    <row r="132" hidden="1">
      <c r="A132" s="23" t="str">
        <f t="array" ref="A132">XLOOKUP(C132,BvsL!E:E,BvsL!D:D,"",0)</f>
        <v/>
      </c>
      <c r="B132" s="24" t="str">
        <f t="array" ref="B132">XLOOKUP(A132,BvsL!D:D,BvsL!F:F,"",0)</f>
        <v/>
      </c>
      <c r="C132" s="25"/>
      <c r="D132" s="23" t="str">
        <f t="array" ref="D132">XLOOKUP(A132,BvsL!D:D,BvsL!F:F,"",0)</f>
        <v/>
      </c>
      <c r="E132" s="27"/>
      <c r="F132" s="27"/>
      <c r="G132" s="30"/>
    </row>
    <row r="133" hidden="1">
      <c r="A133" s="23" t="str">
        <f t="array" ref="A133">XLOOKUP(C133,BvsL!E:E,BvsL!D:D,"",0)</f>
        <v/>
      </c>
      <c r="B133" s="24" t="str">
        <f t="array" ref="B133">XLOOKUP(A133,BvsL!D:D,BvsL!F:F,"",0)</f>
        <v/>
      </c>
      <c r="C133" s="25"/>
      <c r="D133" s="23" t="str">
        <f t="array" ref="D133">XLOOKUP(A133,BvsL!D:D,BvsL!F:F,"",0)</f>
        <v/>
      </c>
      <c r="E133" s="27"/>
      <c r="F133" s="27"/>
      <c r="G133" s="30"/>
    </row>
    <row r="134" hidden="1">
      <c r="A134" s="23" t="str">
        <f t="array" ref="A134">XLOOKUP(C134,BvsL!E:E,BvsL!D:D,"",0)</f>
        <v/>
      </c>
      <c r="B134" s="24" t="str">
        <f t="array" ref="B134">XLOOKUP(A134,BvsL!D:D,BvsL!F:F,"",0)</f>
        <v/>
      </c>
      <c r="C134" s="25"/>
      <c r="D134" s="23" t="str">
        <f t="array" ref="D134">XLOOKUP(A134,BvsL!D:D,BvsL!F:F,"",0)</f>
        <v/>
      </c>
      <c r="E134" s="27"/>
      <c r="F134" s="27"/>
      <c r="G134" s="30"/>
    </row>
    <row r="135" hidden="1">
      <c r="A135" s="23" t="str">
        <f t="array" ref="A135">XLOOKUP(C135,BvsL!E:E,BvsL!D:D,"",0)</f>
        <v/>
      </c>
      <c r="B135" s="24" t="str">
        <f t="array" ref="B135">XLOOKUP(A135,BvsL!D:D,BvsL!F:F,"",0)</f>
        <v/>
      </c>
      <c r="C135" s="25"/>
      <c r="D135" s="23" t="str">
        <f t="array" ref="D135">XLOOKUP(A135,BvsL!D:D,BvsL!F:F,"",0)</f>
        <v/>
      </c>
      <c r="E135" s="27"/>
      <c r="F135" s="27"/>
      <c r="G135" s="30"/>
    </row>
    <row r="136" hidden="1">
      <c r="A136" s="23" t="str">
        <f t="array" ref="A136">XLOOKUP(C136,BvsL!E:E,BvsL!D:D,"",0)</f>
        <v/>
      </c>
      <c r="B136" s="24" t="str">
        <f t="array" ref="B136">XLOOKUP(A136,BvsL!D:D,BvsL!F:F,"",0)</f>
        <v/>
      </c>
      <c r="C136" s="25"/>
      <c r="D136" s="23" t="str">
        <f t="array" ref="D136">XLOOKUP(A136,BvsL!D:D,BvsL!F:F,"",0)</f>
        <v/>
      </c>
      <c r="E136" s="27"/>
      <c r="F136" s="27"/>
      <c r="G136" s="30"/>
    </row>
    <row r="137" hidden="1">
      <c r="A137" s="23" t="str">
        <f t="array" ref="A137">XLOOKUP(C137,BvsL!E:E,BvsL!D:D,"",0)</f>
        <v/>
      </c>
      <c r="B137" s="24" t="str">
        <f t="array" ref="B137">XLOOKUP(A137,BvsL!D:D,BvsL!F:F,"",0)</f>
        <v/>
      </c>
      <c r="C137" s="25"/>
      <c r="D137" s="23" t="str">
        <f t="array" ref="D137">XLOOKUP(A137,BvsL!D:D,BvsL!F:F,"",0)</f>
        <v/>
      </c>
      <c r="E137" s="27"/>
      <c r="F137" s="27"/>
      <c r="G137" s="30"/>
    </row>
    <row r="138" hidden="1">
      <c r="A138" s="23" t="str">
        <f t="array" ref="A138">XLOOKUP(C138,BvsL!E:E,BvsL!D:D,"",0)</f>
        <v/>
      </c>
      <c r="B138" s="24" t="str">
        <f t="array" ref="B138">XLOOKUP(A138,BvsL!D:D,BvsL!F:F,"",0)</f>
        <v/>
      </c>
      <c r="C138" s="25"/>
      <c r="D138" s="23" t="str">
        <f t="array" ref="D138">XLOOKUP(A138,BvsL!D:D,BvsL!F:F,"",0)</f>
        <v/>
      </c>
      <c r="E138" s="27"/>
      <c r="F138" s="27"/>
      <c r="G138" s="30"/>
    </row>
    <row r="139" hidden="1">
      <c r="A139" s="23" t="str">
        <f t="array" ref="A139">XLOOKUP(C139,BvsL!E:E,BvsL!D:D,"",0)</f>
        <v/>
      </c>
      <c r="B139" s="24" t="str">
        <f t="array" ref="B139">XLOOKUP(A139,BvsL!D:D,BvsL!F:F,"",0)</f>
        <v/>
      </c>
      <c r="C139" s="25"/>
      <c r="D139" s="23" t="str">
        <f t="array" ref="D139">XLOOKUP(A139,BvsL!D:D,BvsL!F:F,"",0)</f>
        <v/>
      </c>
      <c r="E139" s="27"/>
      <c r="F139" s="27"/>
      <c r="G139" s="30"/>
    </row>
    <row r="140" hidden="1">
      <c r="A140" s="23" t="str">
        <f t="array" ref="A140">XLOOKUP(C140,BvsL!E:E,BvsL!D:D,"",0)</f>
        <v/>
      </c>
      <c r="B140" s="24" t="str">
        <f t="array" ref="B140">XLOOKUP(A140,BvsL!D:D,BvsL!F:F,"",0)</f>
        <v/>
      </c>
      <c r="C140" s="25"/>
      <c r="D140" s="23" t="str">
        <f t="array" ref="D140">XLOOKUP(A140,BvsL!D:D,BvsL!F:F,"",0)</f>
        <v/>
      </c>
      <c r="E140" s="27"/>
      <c r="F140" s="27"/>
      <c r="G140" s="30"/>
    </row>
    <row r="141" hidden="1">
      <c r="A141" s="23" t="str">
        <f t="array" ref="A141">XLOOKUP(C141,BvsL!E:E,BvsL!D:D,"",0)</f>
        <v/>
      </c>
      <c r="B141" s="24" t="str">
        <f t="array" ref="B141">XLOOKUP(A141,BvsL!D:D,BvsL!F:F,"",0)</f>
        <v/>
      </c>
      <c r="C141" s="25"/>
      <c r="D141" s="23" t="str">
        <f t="array" ref="D141">XLOOKUP(A141,BvsL!D:D,BvsL!F:F,"",0)</f>
        <v/>
      </c>
      <c r="E141" s="27"/>
      <c r="F141" s="27"/>
      <c r="G141" s="30"/>
    </row>
    <row r="142" hidden="1">
      <c r="A142" s="23" t="str">
        <f t="array" ref="A142">XLOOKUP(C142,BvsL!E:E,BvsL!D:D,"",0)</f>
        <v/>
      </c>
      <c r="B142" s="24" t="str">
        <f t="array" ref="B142">XLOOKUP(A142,BvsL!D:D,BvsL!F:F,"",0)</f>
        <v/>
      </c>
      <c r="C142" s="25"/>
      <c r="D142" s="23" t="str">
        <f t="array" ref="D142">XLOOKUP(A142,BvsL!D:D,BvsL!F:F,"",0)</f>
        <v/>
      </c>
      <c r="E142" s="27"/>
      <c r="F142" s="27"/>
      <c r="G142" s="30"/>
    </row>
    <row r="143" hidden="1">
      <c r="A143" s="23" t="str">
        <f t="array" ref="A143">XLOOKUP(C143,BvsL!E:E,BvsL!D:D,"",0)</f>
        <v/>
      </c>
      <c r="B143" s="24" t="str">
        <f t="array" ref="B143">XLOOKUP(A143,BvsL!D:D,BvsL!F:F,"",0)</f>
        <v/>
      </c>
      <c r="C143" s="25"/>
      <c r="D143" s="23" t="str">
        <f t="array" ref="D143">XLOOKUP(A143,BvsL!D:D,BvsL!F:F,"",0)</f>
        <v/>
      </c>
      <c r="E143" s="27"/>
      <c r="F143" s="27"/>
      <c r="G143" s="30"/>
    </row>
    <row r="144" hidden="1">
      <c r="A144" s="23" t="str">
        <f t="array" ref="A144">XLOOKUP(C144,BvsL!E:E,BvsL!D:D,"",0)</f>
        <v/>
      </c>
      <c r="B144" s="24" t="str">
        <f t="array" ref="B144">XLOOKUP(A144,BvsL!D:D,BvsL!F:F,"",0)</f>
        <v/>
      </c>
      <c r="C144" s="25"/>
      <c r="D144" s="23" t="str">
        <f t="array" ref="D144">XLOOKUP(A144,BvsL!D:D,BvsL!F:F,"",0)</f>
        <v/>
      </c>
      <c r="E144" s="27"/>
      <c r="F144" s="27"/>
      <c r="G144" s="30"/>
    </row>
    <row r="145" hidden="1">
      <c r="A145" s="23" t="str">
        <f t="array" ref="A145">XLOOKUP(C145,BvsL!E:E,BvsL!D:D,"",0)</f>
        <v/>
      </c>
      <c r="B145" s="24" t="str">
        <f t="array" ref="B145">XLOOKUP(A145,BvsL!D:D,BvsL!F:F,"",0)</f>
        <v/>
      </c>
      <c r="C145" s="25"/>
      <c r="D145" s="23" t="str">
        <f t="array" ref="D145">XLOOKUP(A145,BvsL!D:D,BvsL!F:F,"",0)</f>
        <v/>
      </c>
      <c r="E145" s="27"/>
      <c r="F145" s="27"/>
      <c r="G145" s="30"/>
    </row>
    <row r="146" hidden="1">
      <c r="A146" s="23" t="str">
        <f t="array" ref="A146">XLOOKUP(C146,BvsL!E:E,BvsL!D:D,"",0)</f>
        <v/>
      </c>
      <c r="B146" s="24" t="str">
        <f t="array" ref="B146">XLOOKUP(A146,BvsL!D:D,BvsL!F:F,"",0)</f>
        <v/>
      </c>
      <c r="C146" s="25"/>
      <c r="D146" s="23" t="str">
        <f t="array" ref="D146">XLOOKUP(A146,BvsL!D:D,BvsL!F:F,"",0)</f>
        <v/>
      </c>
      <c r="E146" s="27"/>
      <c r="F146" s="27"/>
      <c r="G146" s="30"/>
    </row>
    <row r="147" hidden="1">
      <c r="A147" s="23" t="str">
        <f t="array" ref="A147">XLOOKUP(C147,BvsL!E:E,BvsL!D:D,"",0)</f>
        <v/>
      </c>
      <c r="B147" s="24" t="str">
        <f t="array" ref="B147">XLOOKUP(A147,BvsL!D:D,BvsL!F:F,"",0)</f>
        <v/>
      </c>
      <c r="C147" s="25"/>
      <c r="D147" s="23" t="str">
        <f t="array" ref="D147">XLOOKUP(A147,BvsL!D:D,BvsL!F:F,"",0)</f>
        <v/>
      </c>
      <c r="E147" s="27"/>
      <c r="F147" s="27"/>
      <c r="G147" s="30"/>
    </row>
    <row r="148" hidden="1">
      <c r="A148" s="23" t="str">
        <f t="array" ref="A148">XLOOKUP(C148,BvsL!E:E,BvsL!D:D,"",0)</f>
        <v/>
      </c>
      <c r="B148" s="24" t="str">
        <f t="array" ref="B148">XLOOKUP(A148,BvsL!D:D,BvsL!F:F,"",0)</f>
        <v/>
      </c>
      <c r="C148" s="25"/>
      <c r="D148" s="23" t="str">
        <f t="array" ref="D148">XLOOKUP(A148,BvsL!D:D,BvsL!F:F,"",0)</f>
        <v/>
      </c>
      <c r="E148" s="27"/>
      <c r="F148" s="27"/>
      <c r="G148" s="30"/>
    </row>
    <row r="149" hidden="1">
      <c r="A149" s="23" t="str">
        <f t="array" ref="A149">XLOOKUP(C149,BvsL!E:E,BvsL!D:D,"",0)</f>
        <v/>
      </c>
      <c r="B149" s="24" t="str">
        <f t="array" ref="B149">XLOOKUP(A149,BvsL!D:D,BvsL!F:F,"",0)</f>
        <v/>
      </c>
      <c r="C149" s="25"/>
      <c r="D149" s="23" t="str">
        <f t="array" ref="D149">XLOOKUP(A149,BvsL!D:D,BvsL!F:F,"",0)</f>
        <v/>
      </c>
      <c r="E149" s="27"/>
      <c r="F149" s="27"/>
      <c r="G149" s="30"/>
    </row>
    <row r="150" hidden="1">
      <c r="A150" s="23" t="str">
        <f t="array" ref="A150">XLOOKUP(C150,BvsL!E:E,BvsL!D:D,"",0)</f>
        <v/>
      </c>
      <c r="B150" s="24" t="str">
        <f t="array" ref="B150">XLOOKUP(A150,BvsL!D:D,BvsL!F:F,"",0)</f>
        <v/>
      </c>
      <c r="C150" s="25"/>
      <c r="D150" s="23" t="str">
        <f t="array" ref="D150">XLOOKUP(A150,BvsL!D:D,BvsL!F:F,"",0)</f>
        <v/>
      </c>
      <c r="E150" s="27"/>
      <c r="F150" s="27"/>
      <c r="G150" s="30"/>
    </row>
    <row r="151" hidden="1">
      <c r="A151" s="23" t="str">
        <f t="array" ref="A151">XLOOKUP(C151,BvsL!E:E,BvsL!D:D,"",0)</f>
        <v/>
      </c>
      <c r="B151" s="24" t="str">
        <f t="array" ref="B151">XLOOKUP(A151,BvsL!D:D,BvsL!F:F,"",0)</f>
        <v/>
      </c>
      <c r="C151" s="25"/>
      <c r="D151" s="23" t="str">
        <f t="array" ref="D151">XLOOKUP(A151,BvsL!D:D,BvsL!F:F,"",0)</f>
        <v/>
      </c>
      <c r="E151" s="27"/>
      <c r="F151" s="27"/>
      <c r="G151" s="30"/>
    </row>
    <row r="152" hidden="1">
      <c r="A152" s="23" t="str">
        <f t="array" ref="A152">XLOOKUP(C152,BvsL!E:E,BvsL!D:D,"",0)</f>
        <v/>
      </c>
      <c r="B152" s="24" t="str">
        <f t="array" ref="B152">XLOOKUP(A152,BvsL!D:D,BvsL!F:F,"",0)</f>
        <v/>
      </c>
      <c r="C152" s="25"/>
      <c r="D152" s="23" t="str">
        <f t="array" ref="D152">XLOOKUP(A152,BvsL!D:D,BvsL!F:F,"",0)</f>
        <v/>
      </c>
      <c r="E152" s="27"/>
      <c r="F152" s="27"/>
      <c r="G152" s="30"/>
    </row>
    <row r="153" hidden="1">
      <c r="A153" s="23" t="str">
        <f t="array" ref="A153">XLOOKUP(C153,BvsL!E:E,BvsL!D:D,"",0)</f>
        <v/>
      </c>
      <c r="B153" s="24" t="str">
        <f t="array" ref="B153">XLOOKUP(A153,BvsL!D:D,BvsL!F:F,"",0)</f>
        <v/>
      </c>
      <c r="C153" s="25"/>
      <c r="D153" s="23" t="str">
        <f t="array" ref="D153">XLOOKUP(A153,BvsL!D:D,BvsL!F:F,"",0)</f>
        <v/>
      </c>
      <c r="E153" s="27"/>
      <c r="F153" s="27"/>
      <c r="G153" s="30"/>
    </row>
    <row r="154" hidden="1">
      <c r="A154" s="23" t="str">
        <f t="array" ref="A154">XLOOKUP(C154,BvsL!E:E,BvsL!D:D,"",0)</f>
        <v/>
      </c>
      <c r="B154" s="24" t="str">
        <f t="array" ref="B154">XLOOKUP(A154,BvsL!D:D,BvsL!F:F,"",0)</f>
        <v/>
      </c>
      <c r="C154" s="25"/>
      <c r="D154" s="23" t="str">
        <f t="array" ref="D154">XLOOKUP(A154,BvsL!D:D,BvsL!F:F,"",0)</f>
        <v/>
      </c>
      <c r="E154" s="27"/>
      <c r="F154" s="27"/>
      <c r="G154" s="30"/>
    </row>
    <row r="155" hidden="1">
      <c r="A155" s="23" t="str">
        <f t="array" ref="A155">XLOOKUP(C155,BvsL!E:E,BvsL!D:D,"",0)</f>
        <v/>
      </c>
      <c r="B155" s="24" t="str">
        <f t="array" ref="B155">XLOOKUP(A155,BvsL!D:D,BvsL!F:F,"",0)</f>
        <v/>
      </c>
      <c r="C155" s="25"/>
      <c r="D155" s="23" t="str">
        <f t="array" ref="D155">XLOOKUP(A155,BvsL!D:D,BvsL!F:F,"",0)</f>
        <v/>
      </c>
      <c r="E155" s="27"/>
      <c r="F155" s="27"/>
      <c r="G155" s="30"/>
    </row>
    <row r="156" hidden="1">
      <c r="A156" s="23" t="str">
        <f t="array" ref="A156">XLOOKUP(C156,BvsL!E:E,BvsL!D:D,"",0)</f>
        <v/>
      </c>
      <c r="B156" s="24" t="str">
        <f t="array" ref="B156">XLOOKUP(A156,BvsL!D:D,BvsL!F:F,"",0)</f>
        <v/>
      </c>
      <c r="C156" s="25"/>
      <c r="D156" s="23" t="str">
        <f t="array" ref="D156">XLOOKUP(A156,BvsL!D:D,BvsL!F:F,"",0)</f>
        <v/>
      </c>
      <c r="E156" s="27"/>
      <c r="F156" s="27"/>
      <c r="G156" s="30"/>
    </row>
    <row r="157" hidden="1">
      <c r="A157" s="23" t="str">
        <f t="array" ref="A157">XLOOKUP(C157,BvsL!E:E,BvsL!D:D,"",0)</f>
        <v/>
      </c>
      <c r="B157" s="24" t="str">
        <f t="array" ref="B157">XLOOKUP(A157,BvsL!D:D,BvsL!F:F,"",0)</f>
        <v/>
      </c>
      <c r="C157" s="25"/>
      <c r="D157" s="23" t="str">
        <f t="array" ref="D157">XLOOKUP(A157,BvsL!D:D,BvsL!F:F,"",0)</f>
        <v/>
      </c>
      <c r="E157" s="27"/>
      <c r="F157" s="27"/>
      <c r="G157" s="30"/>
    </row>
    <row r="158" hidden="1">
      <c r="A158" s="23" t="str">
        <f t="array" ref="A158">XLOOKUP(C158,BvsL!E:E,BvsL!D:D,"",0)</f>
        <v/>
      </c>
      <c r="B158" s="24" t="str">
        <f t="array" ref="B158">XLOOKUP(A158,BvsL!D:D,BvsL!F:F,"",0)</f>
        <v/>
      </c>
      <c r="C158" s="25"/>
      <c r="D158" s="23" t="str">
        <f t="array" ref="D158">XLOOKUP(A158,BvsL!D:D,BvsL!F:F,"",0)</f>
        <v/>
      </c>
      <c r="E158" s="27"/>
      <c r="F158" s="27"/>
      <c r="G158" s="30"/>
    </row>
    <row r="159" hidden="1">
      <c r="A159" s="23" t="str">
        <f t="array" ref="A159">XLOOKUP(C159,BvsL!E:E,BvsL!D:D,"",0)</f>
        <v/>
      </c>
      <c r="B159" s="24" t="str">
        <f t="array" ref="B159">XLOOKUP(A159,BvsL!D:D,BvsL!F:F,"",0)</f>
        <v/>
      </c>
      <c r="C159" s="25"/>
      <c r="D159" s="23" t="str">
        <f t="array" ref="D159">XLOOKUP(A159,BvsL!D:D,BvsL!F:F,"",0)</f>
        <v/>
      </c>
      <c r="E159" s="27"/>
      <c r="F159" s="27"/>
      <c r="G159" s="30"/>
    </row>
    <row r="160" hidden="1">
      <c r="A160" s="23" t="str">
        <f t="array" ref="A160">XLOOKUP(C160,BvsL!E:E,BvsL!D:D,"",0)</f>
        <v/>
      </c>
      <c r="B160" s="24" t="str">
        <f t="array" ref="B160">XLOOKUP(A160,BvsL!D:D,BvsL!F:F,"",0)</f>
        <v/>
      </c>
      <c r="C160" s="25"/>
      <c r="D160" s="23" t="str">
        <f t="array" ref="D160">XLOOKUP(A160,BvsL!D:D,BvsL!F:F,"",0)</f>
        <v/>
      </c>
      <c r="E160" s="27"/>
      <c r="F160" s="27"/>
      <c r="G160" s="30"/>
    </row>
    <row r="161" hidden="1">
      <c r="A161" s="23" t="str">
        <f t="array" ref="A161">XLOOKUP(C161,BvsL!E:E,BvsL!D:D,"",0)</f>
        <v/>
      </c>
      <c r="B161" s="24" t="str">
        <f t="array" ref="B161">XLOOKUP(A161,BvsL!D:D,BvsL!F:F,"",0)</f>
        <v/>
      </c>
      <c r="C161" s="25"/>
      <c r="D161" s="23" t="str">
        <f t="array" ref="D161">XLOOKUP(A161,BvsL!D:D,BvsL!F:F,"",0)</f>
        <v/>
      </c>
      <c r="E161" s="27"/>
      <c r="F161" s="27"/>
      <c r="G161" s="30"/>
    </row>
    <row r="162" hidden="1">
      <c r="A162" s="23" t="str">
        <f t="array" ref="A162">XLOOKUP(C162,BvsL!E:E,BvsL!D:D,"",0)</f>
        <v/>
      </c>
      <c r="B162" s="24" t="str">
        <f t="array" ref="B162">XLOOKUP(A162,BvsL!D:D,BvsL!F:F,"",0)</f>
        <v/>
      </c>
      <c r="C162" s="25"/>
      <c r="D162" s="23" t="str">
        <f t="array" ref="D162">XLOOKUP(A162,BvsL!D:D,BvsL!F:F,"",0)</f>
        <v/>
      </c>
      <c r="E162" s="27"/>
      <c r="F162" s="27"/>
      <c r="G162" s="30"/>
    </row>
    <row r="163" hidden="1">
      <c r="A163" s="23" t="str">
        <f t="array" ref="A163">XLOOKUP(C163,BvsL!E:E,BvsL!D:D,"",0)</f>
        <v/>
      </c>
      <c r="B163" s="24" t="str">
        <f t="array" ref="B163">XLOOKUP(A163,BvsL!D:D,BvsL!F:F,"",0)</f>
        <v/>
      </c>
      <c r="C163" s="25"/>
      <c r="D163" s="23" t="str">
        <f t="array" ref="D163">XLOOKUP(A163,BvsL!D:D,BvsL!F:F,"",0)</f>
        <v/>
      </c>
      <c r="E163" s="27"/>
      <c r="F163" s="27"/>
      <c r="G163" s="30"/>
    </row>
    <row r="164" hidden="1">
      <c r="A164" s="23" t="str">
        <f t="array" ref="A164">XLOOKUP(C164,BvsL!E:E,BvsL!D:D,"",0)</f>
        <v/>
      </c>
      <c r="B164" s="24" t="str">
        <f t="array" ref="B164">XLOOKUP(A164,BvsL!D:D,BvsL!F:F,"",0)</f>
        <v/>
      </c>
      <c r="C164" s="25"/>
      <c r="D164" s="23" t="str">
        <f t="array" ref="D164">XLOOKUP(A164,BvsL!D:D,BvsL!F:F,"",0)</f>
        <v/>
      </c>
      <c r="E164" s="27"/>
      <c r="F164" s="27"/>
      <c r="G164" s="30"/>
    </row>
    <row r="165" hidden="1">
      <c r="A165" s="23" t="str">
        <f t="array" ref="A165">XLOOKUP(C165,BvsL!E:E,BvsL!D:D,"",0)</f>
        <v/>
      </c>
      <c r="B165" s="24" t="str">
        <f t="array" ref="B165">XLOOKUP(A165,BvsL!D:D,BvsL!F:F,"",0)</f>
        <v/>
      </c>
      <c r="C165" s="25"/>
      <c r="D165" s="23" t="str">
        <f t="array" ref="D165">XLOOKUP(A165,BvsL!D:D,BvsL!F:F,"",0)</f>
        <v/>
      </c>
      <c r="E165" s="27"/>
      <c r="F165" s="27"/>
      <c r="G165" s="30"/>
    </row>
    <row r="166" hidden="1">
      <c r="A166" s="23" t="str">
        <f t="array" ref="A166">XLOOKUP(C166,BvsL!E:E,BvsL!D:D,"",0)</f>
        <v/>
      </c>
      <c r="B166" s="24" t="str">
        <f t="array" ref="B166">XLOOKUP(A166,BvsL!D:D,BvsL!F:F,"",0)</f>
        <v/>
      </c>
      <c r="C166" s="25"/>
      <c r="D166" s="23" t="str">
        <f t="array" ref="D166">XLOOKUP(A166,BvsL!D:D,BvsL!F:F,"",0)</f>
        <v/>
      </c>
      <c r="E166" s="27"/>
      <c r="F166" s="27"/>
      <c r="G166" s="30"/>
    </row>
    <row r="167" hidden="1">
      <c r="A167" s="23" t="str">
        <f t="array" ref="A167">XLOOKUP(C167,BvsL!E:E,BvsL!D:D,"",0)</f>
        <v/>
      </c>
      <c r="B167" s="24" t="str">
        <f t="array" ref="B167">XLOOKUP(A167,BvsL!D:D,BvsL!F:F,"",0)</f>
        <v/>
      </c>
      <c r="C167" s="25"/>
      <c r="D167" s="23" t="str">
        <f t="array" ref="D167">XLOOKUP(A167,BvsL!D:D,BvsL!F:F,"",0)</f>
        <v/>
      </c>
      <c r="E167" s="27"/>
      <c r="F167" s="27"/>
      <c r="G167" s="30"/>
    </row>
    <row r="168" hidden="1">
      <c r="A168" s="23" t="str">
        <f t="array" ref="A168">XLOOKUP(C168,BvsL!E:E,BvsL!D:D,"",0)</f>
        <v/>
      </c>
      <c r="B168" s="24" t="str">
        <f t="array" ref="B168">XLOOKUP(A168,BvsL!D:D,BvsL!F:F,"",0)</f>
        <v/>
      </c>
      <c r="C168" s="25"/>
      <c r="D168" s="23" t="str">
        <f t="array" ref="D168">XLOOKUP(A168,BvsL!D:D,BvsL!F:F,"",0)</f>
        <v/>
      </c>
      <c r="E168" s="27"/>
      <c r="F168" s="27"/>
      <c r="G168" s="30"/>
    </row>
    <row r="169" hidden="1">
      <c r="A169" s="23" t="str">
        <f t="array" ref="A169">XLOOKUP(C169,BvsL!E:E,BvsL!D:D,"",0)</f>
        <v/>
      </c>
      <c r="B169" s="24" t="str">
        <f t="array" ref="B169">XLOOKUP(A169,BvsL!D:D,BvsL!F:F,"",0)</f>
        <v/>
      </c>
      <c r="C169" s="25"/>
      <c r="D169" s="23" t="str">
        <f t="array" ref="D169">XLOOKUP(A169,BvsL!D:D,BvsL!F:F,"",0)</f>
        <v/>
      </c>
      <c r="E169" s="27"/>
      <c r="F169" s="27"/>
      <c r="G169" s="30"/>
    </row>
    <row r="170" hidden="1">
      <c r="A170" s="23" t="str">
        <f t="array" ref="A170">XLOOKUP(C170,BvsL!E:E,BvsL!D:D,"",0)</f>
        <v/>
      </c>
      <c r="B170" s="24" t="str">
        <f t="array" ref="B170">XLOOKUP(A170,BvsL!D:D,BvsL!F:F,"",0)</f>
        <v/>
      </c>
      <c r="C170" s="25"/>
      <c r="D170" s="23" t="str">
        <f t="array" ref="D170">XLOOKUP(A170,BvsL!D:D,BvsL!F:F,"",0)</f>
        <v/>
      </c>
      <c r="E170" s="27"/>
      <c r="F170" s="27"/>
      <c r="G170" s="30"/>
    </row>
    <row r="171" hidden="1">
      <c r="A171" s="23" t="str">
        <f t="array" ref="A171">XLOOKUP(C171,BvsL!E:E,BvsL!D:D,"",0)</f>
        <v/>
      </c>
      <c r="B171" s="24" t="str">
        <f t="array" ref="B171">XLOOKUP(A171,BvsL!D:D,BvsL!F:F,"",0)</f>
        <v/>
      </c>
      <c r="C171" s="25"/>
      <c r="D171" s="23" t="str">
        <f t="array" ref="D171">XLOOKUP(A171,BvsL!D:D,BvsL!F:F,"",0)</f>
        <v/>
      </c>
      <c r="E171" s="27"/>
      <c r="F171" s="27"/>
      <c r="G171" s="30"/>
    </row>
    <row r="172" hidden="1">
      <c r="A172" s="23" t="str">
        <f t="array" ref="A172">XLOOKUP(C172,BvsL!E:E,BvsL!D:D,"",0)</f>
        <v/>
      </c>
      <c r="B172" s="24" t="str">
        <f t="array" ref="B172">XLOOKUP(A172,BvsL!D:D,BvsL!F:F,"",0)</f>
        <v/>
      </c>
      <c r="C172" s="25"/>
      <c r="D172" s="23" t="str">
        <f t="array" ref="D172">XLOOKUP(A172,BvsL!D:D,BvsL!F:F,"",0)</f>
        <v/>
      </c>
      <c r="E172" s="27"/>
      <c r="F172" s="27"/>
      <c r="G172" s="30"/>
    </row>
    <row r="173" hidden="1">
      <c r="A173" s="23" t="str">
        <f t="array" ref="A173">XLOOKUP(C173,BvsL!E:E,BvsL!D:D,"",0)</f>
        <v/>
      </c>
      <c r="B173" s="24" t="str">
        <f t="array" ref="B173">XLOOKUP(A173,BvsL!D:D,BvsL!F:F,"",0)</f>
        <v/>
      </c>
      <c r="C173" s="25"/>
      <c r="D173" s="23" t="str">
        <f t="array" ref="D173">XLOOKUP(A173,BvsL!D:D,BvsL!F:F,"",0)</f>
        <v/>
      </c>
      <c r="E173" s="27"/>
      <c r="F173" s="27"/>
      <c r="G173" s="30"/>
    </row>
    <row r="174" hidden="1">
      <c r="A174" s="23" t="str">
        <f t="array" ref="A174">XLOOKUP(C174,BvsL!E:E,BvsL!D:D,"",0)</f>
        <v/>
      </c>
      <c r="B174" s="24" t="str">
        <f t="array" ref="B174">XLOOKUP(A174,BvsL!D:D,BvsL!F:F,"",0)</f>
        <v/>
      </c>
      <c r="C174" s="25"/>
      <c r="D174" s="23" t="str">
        <f t="array" ref="D174">XLOOKUP(A174,BvsL!D:D,BvsL!F:F,"",0)</f>
        <v/>
      </c>
      <c r="E174" s="27"/>
      <c r="F174" s="27"/>
      <c r="G174" s="30"/>
    </row>
    <row r="175" hidden="1">
      <c r="A175" s="23" t="str">
        <f t="array" ref="A175">XLOOKUP(C175,BvsL!E:E,BvsL!D:D,"",0)</f>
        <v/>
      </c>
      <c r="B175" s="24" t="str">
        <f t="array" ref="B175">XLOOKUP(A175,BvsL!D:D,BvsL!F:F,"",0)</f>
        <v/>
      </c>
      <c r="C175" s="25"/>
      <c r="D175" s="23" t="str">
        <f t="array" ref="D175">XLOOKUP(A175,BvsL!D:D,BvsL!F:F,"",0)</f>
        <v/>
      </c>
      <c r="E175" s="27"/>
      <c r="F175" s="27"/>
      <c r="G175" s="30"/>
    </row>
    <row r="176" hidden="1">
      <c r="A176" s="23" t="str">
        <f t="array" ref="A176">XLOOKUP(C176,BvsL!E:E,BvsL!D:D,"",0)</f>
        <v/>
      </c>
      <c r="B176" s="24" t="str">
        <f t="array" ref="B176">XLOOKUP(A176,BvsL!D:D,BvsL!F:F,"",0)</f>
        <v/>
      </c>
      <c r="C176" s="25"/>
      <c r="D176" s="23" t="str">
        <f t="array" ref="D176">XLOOKUP(A176,BvsL!D:D,BvsL!F:F,"",0)</f>
        <v/>
      </c>
      <c r="E176" s="27"/>
      <c r="F176" s="27"/>
      <c r="G176" s="30"/>
    </row>
    <row r="177" hidden="1">
      <c r="A177" s="23" t="str">
        <f t="array" ref="A177">XLOOKUP(C177,BvsL!E:E,BvsL!D:D,"",0)</f>
        <v/>
      </c>
      <c r="B177" s="24" t="str">
        <f t="array" ref="B177">XLOOKUP(A177,BvsL!D:D,BvsL!F:F,"",0)</f>
        <v/>
      </c>
      <c r="C177" s="25"/>
      <c r="D177" s="23" t="str">
        <f t="array" ref="D177">XLOOKUP(A177,BvsL!D:D,BvsL!F:F,"",0)</f>
        <v/>
      </c>
      <c r="E177" s="27"/>
      <c r="F177" s="27"/>
      <c r="G177" s="30"/>
    </row>
    <row r="178" hidden="1">
      <c r="A178" s="23" t="str">
        <f t="array" ref="A178">XLOOKUP(C178,BvsL!E:E,BvsL!D:D,"",0)</f>
        <v/>
      </c>
      <c r="B178" s="24" t="str">
        <f t="array" ref="B178">XLOOKUP(A178,BvsL!D:D,BvsL!F:F,"",0)</f>
        <v/>
      </c>
      <c r="C178" s="25"/>
      <c r="D178" s="23" t="str">
        <f t="array" ref="D178">XLOOKUP(A178,BvsL!D:D,BvsL!F:F,"",0)</f>
        <v/>
      </c>
      <c r="E178" s="27"/>
      <c r="F178" s="27"/>
      <c r="G178" s="30"/>
    </row>
    <row r="179" hidden="1">
      <c r="A179" s="23" t="str">
        <f t="array" ref="A179">XLOOKUP(C179,BvsL!E:E,BvsL!D:D,"",0)</f>
        <v/>
      </c>
      <c r="B179" s="24" t="str">
        <f t="array" ref="B179">XLOOKUP(A179,BvsL!D:D,BvsL!F:F,"",0)</f>
        <v/>
      </c>
      <c r="C179" s="25"/>
      <c r="D179" s="23" t="str">
        <f t="array" ref="D179">XLOOKUP(A179,BvsL!D:D,BvsL!F:F,"",0)</f>
        <v/>
      </c>
      <c r="E179" s="27"/>
      <c r="F179" s="27"/>
      <c r="G179" s="30"/>
    </row>
    <row r="180" hidden="1">
      <c r="A180" s="23" t="str">
        <f t="array" ref="A180">XLOOKUP(C180,BvsL!E:E,BvsL!D:D,"",0)</f>
        <v/>
      </c>
      <c r="B180" s="24" t="str">
        <f t="array" ref="B180">XLOOKUP(A180,BvsL!D:D,BvsL!F:F,"",0)</f>
        <v/>
      </c>
      <c r="C180" s="25"/>
      <c r="D180" s="23" t="str">
        <f t="array" ref="D180">XLOOKUP(A180,BvsL!D:D,BvsL!F:F,"",0)</f>
        <v/>
      </c>
      <c r="E180" s="27"/>
      <c r="F180" s="27"/>
      <c r="G180" s="30"/>
    </row>
    <row r="181" hidden="1">
      <c r="A181" s="23" t="str">
        <f t="array" ref="A181">XLOOKUP(C181,BvsL!E:E,BvsL!D:D,"",0)</f>
        <v/>
      </c>
      <c r="B181" s="24" t="str">
        <f t="array" ref="B181">XLOOKUP(A181,BvsL!D:D,BvsL!F:F,"",0)</f>
        <v/>
      </c>
      <c r="C181" s="25"/>
      <c r="D181" s="23" t="str">
        <f t="array" ref="D181">XLOOKUP(A181,BvsL!D:D,BvsL!F:F,"",0)</f>
        <v/>
      </c>
      <c r="E181" s="27"/>
      <c r="F181" s="27"/>
      <c r="G181" s="30"/>
    </row>
    <row r="182" hidden="1">
      <c r="A182" s="23" t="str">
        <f t="array" ref="A182">XLOOKUP(C182,BvsL!E:E,BvsL!D:D,"",0)</f>
        <v/>
      </c>
      <c r="B182" s="24" t="str">
        <f t="array" ref="B182">XLOOKUP(A182,BvsL!D:D,BvsL!F:F,"",0)</f>
        <v/>
      </c>
      <c r="C182" s="25"/>
      <c r="D182" s="23" t="str">
        <f t="array" ref="D182">XLOOKUP(A182,BvsL!D:D,BvsL!F:F,"",0)</f>
        <v/>
      </c>
      <c r="E182" s="27"/>
      <c r="F182" s="27"/>
      <c r="G182" s="30"/>
    </row>
    <row r="183" hidden="1">
      <c r="A183" s="23" t="str">
        <f t="array" ref="A183">XLOOKUP(C183,BvsL!E:E,BvsL!D:D,"",0)</f>
        <v/>
      </c>
      <c r="B183" s="24" t="str">
        <f t="array" ref="B183">XLOOKUP(A183,BvsL!D:D,BvsL!F:F,"",0)</f>
        <v/>
      </c>
      <c r="C183" s="25"/>
      <c r="D183" s="23" t="str">
        <f t="array" ref="D183">XLOOKUP(A183,BvsL!D:D,BvsL!F:F,"",0)</f>
        <v/>
      </c>
      <c r="E183" s="32"/>
      <c r="F183" s="32"/>
      <c r="G183" s="33"/>
    </row>
  </sheetData>
  <autoFilter ref="$A$1:$G$183">
    <sortState ref="A1:G183">
      <sortCondition ref="C1:C18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3" width="16.63"/>
    <col customWidth="1" min="4" max="4" width="6.38"/>
    <col customWidth="1" min="5" max="5" width="7.13"/>
    <col customWidth="1" min="6" max="6" width="6.25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9" width="6.38"/>
  </cols>
  <sheetData>
    <row r="1">
      <c r="A1" s="34"/>
      <c r="B1" s="35"/>
      <c r="C1" s="35"/>
      <c r="D1" s="36">
        <v>46138.0</v>
      </c>
      <c r="E1" s="36">
        <v>46139.0</v>
      </c>
      <c r="F1" s="36">
        <v>46140.0</v>
      </c>
      <c r="G1" s="36">
        <v>46141.0</v>
      </c>
      <c r="H1" s="36">
        <v>46142.0</v>
      </c>
      <c r="I1" s="36">
        <v>46143.0</v>
      </c>
      <c r="J1" s="36">
        <v>46144.0</v>
      </c>
      <c r="K1" s="36">
        <v>46145.0</v>
      </c>
      <c r="L1" s="36">
        <v>46146.0</v>
      </c>
      <c r="M1" s="36">
        <v>46147.0</v>
      </c>
      <c r="N1" s="36">
        <v>46148.0</v>
      </c>
      <c r="O1" s="36">
        <v>46149.0</v>
      </c>
      <c r="P1" s="36">
        <v>46150.0</v>
      </c>
      <c r="Q1" s="36">
        <v>46151.0</v>
      </c>
      <c r="R1" s="36">
        <v>46152.0</v>
      </c>
      <c r="S1" s="36">
        <v>46153.0</v>
      </c>
      <c r="T1" s="36">
        <v>46154.0</v>
      </c>
      <c r="U1" s="36">
        <v>46155.0</v>
      </c>
      <c r="V1" s="36">
        <v>46156.0</v>
      </c>
      <c r="W1" s="36">
        <v>46157.0</v>
      </c>
      <c r="X1" s="36">
        <v>46158.0</v>
      </c>
      <c r="Y1" s="36">
        <v>46159.0</v>
      </c>
      <c r="Z1" s="36">
        <v>46160.0</v>
      </c>
      <c r="AA1" s="36">
        <v>46161.0</v>
      </c>
      <c r="AB1" s="36">
        <v>46162.0</v>
      </c>
      <c r="AC1" s="36">
        <v>46163.0</v>
      </c>
      <c r="AD1" s="36">
        <v>46164.0</v>
      </c>
      <c r="AE1" s="36">
        <v>46165.0</v>
      </c>
      <c r="AF1" s="36">
        <v>46166.0</v>
      </c>
      <c r="AG1" s="36">
        <v>46167.0</v>
      </c>
      <c r="AH1" s="36">
        <v>46168.0</v>
      </c>
      <c r="AI1" s="36">
        <v>46169.0</v>
      </c>
      <c r="AJ1" s="36">
        <v>46170.0</v>
      </c>
      <c r="AK1" s="36">
        <v>46171.0</v>
      </c>
      <c r="AL1" s="36">
        <v>46172.0</v>
      </c>
      <c r="AM1" s="36">
        <v>46173.0</v>
      </c>
    </row>
    <row r="2">
      <c r="A2" s="37" t="s">
        <v>2</v>
      </c>
      <c r="B2" s="38" t="s">
        <v>132</v>
      </c>
      <c r="C2" s="38" t="s">
        <v>133</v>
      </c>
      <c r="D2" s="39">
        <v>45501.0</v>
      </c>
      <c r="E2" s="39">
        <v>45502.0</v>
      </c>
      <c r="F2" s="39">
        <v>45503.0</v>
      </c>
      <c r="G2" s="39">
        <v>45504.0</v>
      </c>
      <c r="H2" s="39">
        <v>45505.0</v>
      </c>
      <c r="I2" s="39">
        <v>45506.0</v>
      </c>
      <c r="J2" s="39">
        <v>45507.0</v>
      </c>
      <c r="K2" s="39">
        <v>45508.0</v>
      </c>
      <c r="L2" s="39">
        <v>45509.0</v>
      </c>
      <c r="M2" s="39">
        <v>45510.0</v>
      </c>
      <c r="N2" s="39">
        <v>45511.0</v>
      </c>
      <c r="O2" s="39">
        <v>45512.0</v>
      </c>
      <c r="P2" s="39">
        <v>45513.0</v>
      </c>
      <c r="Q2" s="39">
        <v>45514.0</v>
      </c>
      <c r="R2" s="39">
        <v>45515.0</v>
      </c>
      <c r="S2" s="39">
        <v>45516.0</v>
      </c>
      <c r="T2" s="39">
        <v>45517.0</v>
      </c>
      <c r="U2" s="39">
        <v>45518.0</v>
      </c>
      <c r="V2" s="39">
        <v>45519.0</v>
      </c>
      <c r="W2" s="39">
        <v>45520.0</v>
      </c>
      <c r="X2" s="39">
        <v>45521.0</v>
      </c>
      <c r="Y2" s="39">
        <v>45522.0</v>
      </c>
      <c r="Z2" s="39">
        <v>45523.0</v>
      </c>
      <c r="AA2" s="39">
        <v>45524.0</v>
      </c>
      <c r="AB2" s="39">
        <v>45525.0</v>
      </c>
      <c r="AC2" s="39">
        <v>45526.0</v>
      </c>
      <c r="AD2" s="39">
        <v>45527.0</v>
      </c>
      <c r="AE2" s="39">
        <v>45528.0</v>
      </c>
      <c r="AF2" s="39">
        <v>45529.0</v>
      </c>
      <c r="AG2" s="39">
        <v>45530.0</v>
      </c>
      <c r="AH2" s="39">
        <v>45531.0</v>
      </c>
      <c r="AI2" s="39">
        <v>45532.0</v>
      </c>
      <c r="AJ2" s="39">
        <v>45533.0</v>
      </c>
      <c r="AK2" s="39">
        <v>45534.0</v>
      </c>
      <c r="AL2" s="39">
        <v>45535.0</v>
      </c>
      <c r="AM2" s="39">
        <v>45536.0</v>
      </c>
    </row>
    <row r="3">
      <c r="A3" s="40" t="s">
        <v>134</v>
      </c>
      <c r="B3" s="41" t="str">
        <f t="array" ref="B3">XLOOKUP(A3,Roster!F:F,Roster!A:A,"",0)</f>
        <v>Edward Machado</v>
      </c>
      <c r="C3" s="41" t="str">
        <f t="array" ref="C3">XLOOKUP(A3,Roster!F:F,Roster!B:B,"",0)</f>
        <v>Eliana Pena</v>
      </c>
      <c r="D3" s="40" t="s">
        <v>135</v>
      </c>
      <c r="E3" s="42">
        <f t="array" ref="E3">IF(XLOOKUP($A3,Partner_BookInBlock!$A:$A,Partner_BookInBlock!E:E,"",0)="Free","Free",IF(XLOOKUP($A3,Partner_BookInBlock!$A:$A,Partner_BookInBlock!E:E,"",0)="VL","VL",IF(XLOOKUP($A3,Partner_BookInBlock!$A:$A,Partner_BookInBlock!E:E,"",0)="ATT","ATT",XLOOKUP($A3,Partner_BookInBlock!$A:$A,Partner_BookInBlock!E:E,"",0))))</f>
        <v>0.3333333333</v>
      </c>
      <c r="F3" s="42">
        <f t="array" ref="F3">IF(XLOOKUP($A3,Partner_BookInBlock!$A:$A,Partner_BookInBlock!F:F,"",0)="Free","Free",IF(XLOOKUP($A3,Partner_BookInBlock!$A:$A,Partner_BookInBlock!F:F,"",0)="VL","VL",IF(XLOOKUP($A3,Partner_BookInBlock!$A:$A,Partner_BookInBlock!F:F,"",0)="ATT","ATT",XLOOKUP($A3,Partner_BookInBlock!$A:$A,Partner_BookInBlock!F:F,"",0))))</f>
        <v>0.3333333333</v>
      </c>
      <c r="G3" s="42">
        <f t="array" ref="G3">IF(XLOOKUP($A3,Partner_BookInBlock!$A:$A,Partner_BookInBlock!G:G,"",0)="Free","Free",IF(XLOOKUP($A3,Partner_BookInBlock!$A:$A,Partner_BookInBlock!G:G,"",0)="VL","VL",IF(XLOOKUP($A3,Partner_BookInBlock!$A:$A,Partner_BookInBlock!G:G,"",0)="ATT","ATT",XLOOKUP($A3,Partner_BookInBlock!$A:$A,Partner_BookInBlock!G:G,"",0))))</f>
        <v>0.3333333333</v>
      </c>
      <c r="H3" s="42" t="str">
        <f t="array" ref="H3">IF(XLOOKUP($A3,Partner_BookInBlock!$A:$A,Partner_BookInBlock!H:H,"",0)="Free","Free",IF(XLOOKUP($A3,Partner_BookInBlock!$A:$A,Partner_BookInBlock!H:H,"",0)="VL","VL",IF(XLOOKUP($A3,Partner_BookInBlock!$A:$A,Partner_BookInBlock!H:H,"",0)="ATT","ATT",XLOOKUP($A3,Partner_BookInBlock!$A:$A,Partner_BookInBlock!H:H,"",0))))</f>
        <v>Free</v>
      </c>
      <c r="I3" s="42">
        <f t="array" ref="I3">IF(XLOOKUP($A3,Partner_BookInBlock!$A:$A,Partner_BookInBlock!I:I,"",0)="Free","Free",IF(XLOOKUP($A3,Partner_BookInBlock!$A:$A,Partner_BookInBlock!I:I,"",0)="VL","VL",IF(XLOOKUP($A3,Partner_BookInBlock!$A:$A,Partner_BookInBlock!I:I,"",0)="ATT","ATT",XLOOKUP($A3,Partner_BookInBlock!$A:$A,Partner_BookInBlock!I:I,"",0))))</f>
        <v>0.3333333333</v>
      </c>
      <c r="J3" s="42">
        <f t="array" ref="J3">IF(XLOOKUP($A3,Partner_BookInBlock!$A:$A,Partner_BookInBlock!J:J,"",0)="Free","Free",IF(XLOOKUP($A3,Partner_BookInBlock!$A:$A,Partner_BookInBlock!J:J,"",0)="VL","VL",IF(XLOOKUP($A3,Partner_BookInBlock!$A:$A,Partner_BookInBlock!J:J,"",0)="ATT","ATT",XLOOKUP($A3,Partner_BookInBlock!$A:$A,Partner_BookInBlock!J:J,"",0))))</f>
        <v>0.3333333333</v>
      </c>
      <c r="K3" s="42" t="str">
        <f t="array" ref="K3">IF(XLOOKUP($A3,Partner_BookInBlock!$A:$A,Partner_BookInBlock!K:K,"",0)="Free","Free",IF(XLOOKUP($A3,Partner_BookInBlock!$A:$A,Partner_BookInBlock!K:K,"",0)="VL","VL",IF(XLOOKUP($A3,Partner_BookInBlock!$A:$A,Partner_BookInBlock!K:K,"",0)="ATT","ATT",XLOOKUP($A3,Partner_BookInBlock!$A:$A,Partner_BookInBlock!K:K,"",0))))</f>
        <v/>
      </c>
      <c r="L3" s="42">
        <f t="array" ref="L3">IF(XLOOKUP($A3,Partner_BookInBlock!$A:$A,Partner_BookInBlock!L:L,"",0)="Free","Free",IF(XLOOKUP($A3,Partner_BookInBlock!$A:$A,Partner_BookInBlock!L:L,"",0)="VL","VL",IF(XLOOKUP($A3,Partner_BookInBlock!$A:$A,Partner_BookInBlock!L:L,"",0)="ATT","ATT",XLOOKUP($A3,Partner_BookInBlock!$A:$A,Partner_BookInBlock!L:L,"",0))))</f>
        <v>0.3333333333</v>
      </c>
      <c r="M3" s="42">
        <f t="array" ref="M3">IF(XLOOKUP($A3,Partner_BookInBlock!$A:$A,Partner_BookInBlock!M:M,"",0)="Free","Free",IF(XLOOKUP($A3,Partner_BookInBlock!$A:$A,Partner_BookInBlock!M:M,"",0)="VL","VL",IF(XLOOKUP($A3,Partner_BookInBlock!$A:$A,Partner_BookInBlock!M:M,"",0)="ATT","ATT",XLOOKUP($A3,Partner_BookInBlock!$A:$A,Partner_BookInBlock!M:M,"",0))))</f>
        <v>0.3333333333</v>
      </c>
      <c r="N3" s="42">
        <f t="array" ref="N3">IF(XLOOKUP($A3,Partner_BookInBlock!$A:$A,Partner_BookInBlock!N:N,"",0)="Free","Free",IF(XLOOKUP($A3,Partner_BookInBlock!$A:$A,Partner_BookInBlock!N:N,"",0)="VL","VL",IF(XLOOKUP($A3,Partner_BookInBlock!$A:$A,Partner_BookInBlock!N:N,"",0)="ATT","ATT",XLOOKUP($A3,Partner_BookInBlock!$A:$A,Partner_BookInBlock!N:N,"",0))))</f>
        <v>0.3333333333</v>
      </c>
      <c r="O3" s="42" t="str">
        <f t="array" ref="O3">IF(XLOOKUP($A3,Partner_BookInBlock!$A:$A,Partner_BookInBlock!O:O,"",0)="Free","Free",IF(XLOOKUP($A3,Partner_BookInBlock!$A:$A,Partner_BookInBlock!O:O,"",0)="VL","VL",IF(XLOOKUP($A3,Partner_BookInBlock!$A:$A,Partner_BookInBlock!O:O,"",0)="ATT","ATT",XLOOKUP($A3,Partner_BookInBlock!$A:$A,Partner_BookInBlock!O:O,"",0))))</f>
        <v>Free</v>
      </c>
      <c r="P3" s="42">
        <f t="array" ref="P3">IF(XLOOKUP($A3,Partner_BookInBlock!$A:$A,Partner_BookInBlock!P:P,"",0)="Free","Free",IF(XLOOKUP($A3,Partner_BookInBlock!$A:$A,Partner_BookInBlock!P:P,"",0)="VL","VL",IF(XLOOKUP($A3,Partner_BookInBlock!$A:$A,Partner_BookInBlock!P:P,"",0)="ATT","ATT",XLOOKUP($A3,Partner_BookInBlock!$A:$A,Partner_BookInBlock!P:P,"",0))))</f>
        <v>0.3333333333</v>
      </c>
      <c r="Q3" s="42">
        <f t="array" ref="Q3">IF(XLOOKUP($A3,Partner_BookInBlock!$A:$A,Partner_BookInBlock!Q:Q,"",0)="Free","Free",IF(XLOOKUP($A3,Partner_BookInBlock!$A:$A,Partner_BookInBlock!Q:Q,"",0)="VL","VL",IF(XLOOKUP($A3,Partner_BookInBlock!$A:$A,Partner_BookInBlock!Q:Q,"",0)="ATT","ATT",XLOOKUP($A3,Partner_BookInBlock!$A:$A,Partner_BookInBlock!Q:Q,"",0))))</f>
        <v>0.3333333333</v>
      </c>
      <c r="R3" s="42"/>
      <c r="S3" s="42">
        <f t="array" ref="S3">IF(XLOOKUP($A3,Partner_BookInBlock!$A:$A,Partner_BookInBlock!S:S,"",0)="Free","Free",IF(XLOOKUP($A3,Partner_BookInBlock!$A:$A,Partner_BookInBlock!S:S,"",0)="VL","VL",IF(XLOOKUP($A3,Partner_BookInBlock!$A:$A,Partner_BookInBlock!S:S,"",0)="ATT","ATT",XLOOKUP($A3,Partner_BookInBlock!$A:$A,Partner_BookInBlock!S:S,"",0))))</f>
        <v>0.3333333333</v>
      </c>
      <c r="T3" s="42">
        <f t="array" ref="T3">IF(XLOOKUP($A3,Partner_BookInBlock!$A:$A,Partner_BookInBlock!T:T,"",0)="Free","Free",IF(XLOOKUP($A3,Partner_BookInBlock!$A:$A,Partner_BookInBlock!T:T,"",0)="VL","VL",IF(XLOOKUP($A3,Partner_BookInBlock!$A:$A,Partner_BookInBlock!T:T,"",0)="ATT","ATT",XLOOKUP($A3,Partner_BookInBlock!$A:$A,Partner_BookInBlock!T:T,"",0))))</f>
        <v>0.3333333333</v>
      </c>
      <c r="U3" s="42">
        <f t="array" ref="U3">IF(XLOOKUP($A3,Partner_BookInBlock!$A:$A,Partner_BookInBlock!U:U,"",0)="Free","Free",IF(XLOOKUP($A3,Partner_BookInBlock!$A:$A,Partner_BookInBlock!U:U,"",0)="VL","VL",IF(XLOOKUP($A3,Partner_BookInBlock!$A:$A,Partner_BookInBlock!U:U,"",0)="ATT","ATT",XLOOKUP($A3,Partner_BookInBlock!$A:$A,Partner_BookInBlock!U:U,"",0))))</f>
        <v>0.3333333333</v>
      </c>
      <c r="V3" s="42" t="str">
        <f t="array" ref="V3">IF(XLOOKUP($A3,Partner_BookInBlock!$A:$A,Partner_BookInBlock!V:V,"",0)="Free","Free",IF(XLOOKUP($A3,Partner_BookInBlock!$A:$A,Partner_BookInBlock!V:V,"",0)="VL","VL",IF(XLOOKUP($A3,Partner_BookInBlock!$A:$A,Partner_BookInBlock!V:V,"",0)="ATT","ATT",XLOOKUP($A3,Partner_BookInBlock!$A:$A,Partner_BookInBlock!V:V,"",0))))</f>
        <v>Free</v>
      </c>
      <c r="W3" s="42">
        <f t="array" ref="W3">IF(XLOOKUP($A3,Partner_BookInBlock!$A:$A,Partner_BookInBlock!W:W,"",0)="Free","Free",IF(XLOOKUP($A3,Partner_BookInBlock!$A:$A,Partner_BookInBlock!W:W,"",0)="VL","VL",IF(XLOOKUP($A3,Partner_BookInBlock!$A:$A,Partner_BookInBlock!W:W,"",0)="ATT","ATT",XLOOKUP($A3,Partner_BookInBlock!$A:$A,Partner_BookInBlock!W:W,"",0))))</f>
        <v>0.3333333333</v>
      </c>
      <c r="X3" s="42">
        <f t="array" ref="X3">IF(XLOOKUP($A3,Partner_BookInBlock!$A:$A,Partner_BookInBlock!X:X,"",0)="Free","Free",IF(XLOOKUP($A3,Partner_BookInBlock!$A:$A,Partner_BookInBlock!X:X,"",0)="VL","VL",IF(XLOOKUP($A3,Partner_BookInBlock!$A:$A,Partner_BookInBlock!X:X,"",0)="ATT","ATT",XLOOKUP($A3,Partner_BookInBlock!$A:$A,Partner_BookInBlock!X:X,"",0))))</f>
        <v>0.3333333333</v>
      </c>
      <c r="Y3" s="42"/>
      <c r="Z3" s="42">
        <f t="array" ref="Z3">IF(XLOOKUP($A3,Partner_BookInBlock!$A:$A,Partner_BookInBlock!Z:Z,"",0)="Free","Free",IF(XLOOKUP($A3,Partner_BookInBlock!$A:$A,Partner_BookInBlock!Z:Z,"",0)="VL","VL",IF(XLOOKUP($A3,Partner_BookInBlock!$A:$A,Partner_BookInBlock!Z:Z,"",0)="ATT","ATT",XLOOKUP($A3,Partner_BookInBlock!$A:$A,Partner_BookInBlock!Z:Z,"",0))))</f>
        <v>0.3333333333</v>
      </c>
      <c r="AA3" s="42">
        <f t="array" ref="AA3">IF(XLOOKUP($A3,Partner_BookInBlock!$A:$A,Partner_BookInBlock!AA:AA,"",0)="Free","Free",IF(XLOOKUP($A3,Partner_BookInBlock!$A:$A,Partner_BookInBlock!AA:AA,"",0)="VL","VL",IF(XLOOKUP($A3,Partner_BookInBlock!$A:$A,Partner_BookInBlock!AA:AA,"",0)="ATT","ATT",XLOOKUP($A3,Partner_BookInBlock!$A:$A,Partner_BookInBlock!AA:AA,"",0))))</f>
        <v>0.3333333333</v>
      </c>
      <c r="AB3" s="42">
        <f t="array" ref="AB3">IF(XLOOKUP($A3,Partner_BookInBlock!$A:$A,Partner_BookInBlock!AB:AB,"",0)="Free","Free",IF(XLOOKUP($A3,Partner_BookInBlock!$A:$A,Partner_BookInBlock!AB:AB,"",0)="VL","VL",IF(XLOOKUP($A3,Partner_BookInBlock!$A:$A,Partner_BookInBlock!AB:AB,"",0)="ATT","ATT",XLOOKUP($A3,Partner_BookInBlock!$A:$A,Partner_BookInBlock!AB:AB,"",0))))</f>
        <v>0.3333333333</v>
      </c>
      <c r="AC3" s="42" t="str">
        <f t="array" ref="AC3">IF(XLOOKUP($A3,Partner_BookInBlock!$A:$A,Partner_BookInBlock!AC:AC,"",0)="Free","Free",IF(XLOOKUP($A3,Partner_BookInBlock!$A:$A,Partner_BookInBlock!AC:AC,"",0)="VL","VL",IF(XLOOKUP($A3,Partner_BookInBlock!$A:$A,Partner_BookInBlock!AC:AC,"",0)="ATT","ATT",XLOOKUP($A3,Partner_BookInBlock!$A:$A,Partner_BookInBlock!AC:AC,"",0))))</f>
        <v>Free</v>
      </c>
      <c r="AD3" s="42">
        <f t="array" ref="AD3">IF(XLOOKUP($A3,Partner_BookInBlock!$A:$A,Partner_BookInBlock!AD:AD,"",0)="Free","Free",IF(XLOOKUP($A3,Partner_BookInBlock!$A:$A,Partner_BookInBlock!AD:AD,"",0)="VL","VL",IF(XLOOKUP($A3,Partner_BookInBlock!$A:$A,Partner_BookInBlock!AD:AD,"",0)="ATT","ATT",XLOOKUP($A3,Partner_BookInBlock!$A:$A,Partner_BookInBlock!AD:AD,"",0))))</f>
        <v>0.3333333333</v>
      </c>
      <c r="AE3" s="42">
        <f t="array" ref="AE3">IF(XLOOKUP($A3,Partner_BookInBlock!$A:$A,Partner_BookInBlock!AE:AE,"",0)="Free","Free",IF(XLOOKUP($A3,Partner_BookInBlock!$A:$A,Partner_BookInBlock!AE:AE,"",0)="VL","VL",IF(XLOOKUP($A3,Partner_BookInBlock!$A:$A,Partner_BookInBlock!AE:AE,"",0)="ATT","ATT",XLOOKUP($A3,Partner_BookInBlock!$A:$A,Partner_BookInBlock!AE:AE,"",0))))</f>
        <v>0.3333333333</v>
      </c>
      <c r="AF3" s="42"/>
      <c r="AG3" s="42">
        <f t="array" ref="AG3">IF(XLOOKUP($A3,Partner_BookInBlock!$A:$A,Partner_BookInBlock!AG:AG,"",0)="Free","Free",IF(XLOOKUP($A3,Partner_BookInBlock!$A:$A,Partner_BookInBlock!AG:AG,"",0)="VL","VL",IF(XLOOKUP($A3,Partner_BookInBlock!$A:$A,Partner_BookInBlock!AG:AG,"",0)="ATT","ATT",XLOOKUP($A3,Partner_BookInBlock!$A:$A,Partner_BookInBlock!AG:AG,"",0))))</f>
        <v>0.3333333333</v>
      </c>
      <c r="AH3" s="42">
        <f t="array" ref="AH3">IF(XLOOKUP($A3,Partner_BookInBlock!$A:$A,Partner_BookInBlock!AH:AH,"",0)="Free","Free",IF(XLOOKUP($A3,Partner_BookInBlock!$A:$A,Partner_BookInBlock!AH:AH,"",0)="VL","VL",IF(XLOOKUP($A3,Partner_BookInBlock!$A:$A,Partner_BookInBlock!AH:AH,"",0)="ATT","ATT",XLOOKUP($A3,Partner_BookInBlock!$A:$A,Partner_BookInBlock!AH:AH,"",0))))</f>
        <v>0.3333333333</v>
      </c>
      <c r="AI3" s="42">
        <f t="array" ref="AI3">IF(XLOOKUP($A3,Partner_BookInBlock!$A:$A,Partner_BookInBlock!AI:AI,"",0)="Free","Free",IF(XLOOKUP($A3,Partner_BookInBlock!$A:$A,Partner_BookInBlock!AI:AI,"",0)="VL","VL",IF(XLOOKUP($A3,Partner_BookInBlock!$A:$A,Partner_BookInBlock!AI:AI,"",0)="ATT","ATT",XLOOKUP($A3,Partner_BookInBlock!$A:$A,Partner_BookInBlock!AI:AI,"",0))))</f>
        <v>0.3333333333</v>
      </c>
      <c r="AJ3" s="42" t="str">
        <f t="array" ref="AJ3">IF(XLOOKUP($A3,Partner_BookInBlock!$A:$A,Partner_BookInBlock!AJ:AJ,"",0)="Free","Free",IF(XLOOKUP($A3,Partner_BookInBlock!$A:$A,Partner_BookInBlock!AJ:AJ,"",0)="VL","VL",IF(XLOOKUP($A3,Partner_BookInBlock!$A:$A,Partner_BookInBlock!AJ:AJ,"",0)="ATT","ATT",XLOOKUP($A3,Partner_BookInBlock!$A:$A,Partner_BookInBlock!AJ:AJ,"",0))))</f>
        <v>Free</v>
      </c>
      <c r="AK3" s="42">
        <f t="array" ref="AK3">IF(XLOOKUP($A3,Partner_BookInBlock!$A:$A,Partner_BookInBlock!AK:AK,"",0)="Free","Free",IF(XLOOKUP($A3,Partner_BookInBlock!$A:$A,Partner_BookInBlock!AK:AK,"",0)="VL","VL",IF(XLOOKUP($A3,Partner_BookInBlock!$A:$A,Partner_BookInBlock!AK:AK,"",0)="ATT","ATT",XLOOKUP($A3,Partner_BookInBlock!$A:$A,Partner_BookInBlock!AK:AK,"",0))))</f>
        <v>0.3333333333</v>
      </c>
      <c r="AL3" s="42">
        <f t="array" ref="AL3">IF(XLOOKUP($A3,Partner_BookInBlock!$A:$A,Partner_BookInBlock!AL:AL,"",0)="Free","Free",IF(XLOOKUP($A3,Partner_BookInBlock!$A:$A,Partner_BookInBlock!AL:AL,"",0)="VL","VL",IF(XLOOKUP($A3,Partner_BookInBlock!$A:$A,Partner_BookInBlock!AL:AL,"",0)="ATT","ATT",XLOOKUP($A3,Partner_BookInBlock!$A:$A,Partner_BookInBlock!AL:AL,"",0))))</f>
        <v>0.3333333333</v>
      </c>
      <c r="AM3" s="42"/>
    </row>
    <row r="4">
      <c r="A4" s="40" t="s">
        <v>136</v>
      </c>
      <c r="B4" s="41" t="str">
        <f t="array" ref="B4">XLOOKUP(A4,Roster!F:F,Roster!A:A,"",0)</f>
        <v>Luis Vidal</v>
      </c>
      <c r="C4" s="41" t="str">
        <f t="array" ref="C4">XLOOKUP(A4,Roster!F:F,Roster!B:B,"",0)</f>
        <v>Wendy Navarro</v>
      </c>
      <c r="D4" s="40" t="s">
        <v>135</v>
      </c>
      <c r="E4" s="42">
        <f t="array" ref="E4">IF(XLOOKUP($A4,Partner_BookInBlock!$A:$A,Partner_BookInBlock!E:E,"",0)="Free","Free",IF(XLOOKUP($A4,Partner_BookInBlock!$A:$A,Partner_BookInBlock!E:E,"",0)="VL","VL",IF(XLOOKUP($A4,Partner_BookInBlock!$A:$A,Partner_BookInBlock!E:E,"",0)="ATT","ATT",XLOOKUP($A4,Partner_BookInBlock!$A:$A,Partner_BookInBlock!E:E,"",0))))</f>
        <v>0.3333333333</v>
      </c>
      <c r="F4" s="42">
        <f t="array" ref="F4">IF(XLOOKUP($A4,Partner_BookInBlock!$A:$A,Partner_BookInBlock!F:F,"",0)="Free","Free",IF(XLOOKUP($A4,Partner_BookInBlock!$A:$A,Partner_BookInBlock!F:F,"",0)="VL","VL",IF(XLOOKUP($A4,Partner_BookInBlock!$A:$A,Partner_BookInBlock!F:F,"",0)="ATT","ATT",XLOOKUP($A4,Partner_BookInBlock!$A:$A,Partner_BookInBlock!F:F,"",0))))</f>
        <v>0.3333333333</v>
      </c>
      <c r="G4" s="42" t="str">
        <f t="array" ref="G4">IF(XLOOKUP($A4,Partner_BookInBlock!$A:$A,Partner_BookInBlock!G:G,"",0)="Free","Free",IF(XLOOKUP($A4,Partner_BookInBlock!$A:$A,Partner_BookInBlock!G:G,"",0)="VL","VL",IF(XLOOKUP($A4,Partner_BookInBlock!$A:$A,Partner_BookInBlock!G:G,"",0)="ATT","ATT",XLOOKUP($A4,Partner_BookInBlock!$A:$A,Partner_BookInBlock!G:G,"",0))))</f>
        <v>Free</v>
      </c>
      <c r="H4" s="42">
        <f t="array" ref="H4">IF(XLOOKUP($A4,Partner_BookInBlock!$A:$A,Partner_BookInBlock!H:H,"",0)="Free","Free",IF(XLOOKUP($A4,Partner_BookInBlock!$A:$A,Partner_BookInBlock!H:H,"",0)="VL","VL",IF(XLOOKUP($A4,Partner_BookInBlock!$A:$A,Partner_BookInBlock!H:H,"",0)="ATT","ATT",XLOOKUP($A4,Partner_BookInBlock!$A:$A,Partner_BookInBlock!H:H,"",0))))</f>
        <v>0.3333333333</v>
      </c>
      <c r="I4" s="42">
        <f t="array" ref="I4">IF(XLOOKUP($A4,Partner_BookInBlock!$A:$A,Partner_BookInBlock!I:I,"",0)="Free","Free",IF(XLOOKUP($A4,Partner_BookInBlock!$A:$A,Partner_BookInBlock!I:I,"",0)="VL","VL",IF(XLOOKUP($A4,Partner_BookInBlock!$A:$A,Partner_BookInBlock!I:I,"",0)="ATT","ATT",XLOOKUP($A4,Partner_BookInBlock!$A:$A,Partner_BookInBlock!I:I,"",0))))</f>
        <v>0.3333333333</v>
      </c>
      <c r="J4" s="42">
        <f t="array" ref="J4">IF(XLOOKUP($A4,Partner_BookInBlock!$A:$A,Partner_BookInBlock!J:J,"",0)="Free","Free",IF(XLOOKUP($A4,Partner_BookInBlock!$A:$A,Partner_BookInBlock!J:J,"",0)="VL","VL",IF(XLOOKUP($A4,Partner_BookInBlock!$A:$A,Partner_BookInBlock!J:J,"",0)="ATT","ATT",XLOOKUP($A4,Partner_BookInBlock!$A:$A,Partner_BookInBlock!J:J,"",0))))</f>
        <v>0.3333333333</v>
      </c>
      <c r="K4" s="42" t="str">
        <f t="array" ref="K4">IF(XLOOKUP($A4,Partner_BookInBlock!$A:$A,Partner_BookInBlock!K:K,"",0)="Free","Free",IF(XLOOKUP($A4,Partner_BookInBlock!$A:$A,Partner_BookInBlock!K:K,"",0)="VL","VL",IF(XLOOKUP($A4,Partner_BookInBlock!$A:$A,Partner_BookInBlock!K:K,"",0)="ATT","ATT",XLOOKUP($A4,Partner_BookInBlock!$A:$A,Partner_BookInBlock!K:K,"",0))))</f>
        <v/>
      </c>
      <c r="L4" s="42">
        <f t="array" ref="L4">IF(XLOOKUP($A4,Partner_BookInBlock!$A:$A,Partner_BookInBlock!L:L,"",0)="Free","Free",IF(XLOOKUP($A4,Partner_BookInBlock!$A:$A,Partner_BookInBlock!L:L,"",0)="VL","VL",IF(XLOOKUP($A4,Partner_BookInBlock!$A:$A,Partner_BookInBlock!L:L,"",0)="ATT","ATT",XLOOKUP($A4,Partner_BookInBlock!$A:$A,Partner_BookInBlock!L:L,"",0))))</f>
        <v>0.3333333333</v>
      </c>
      <c r="M4" s="42">
        <f t="array" ref="M4">IF(XLOOKUP($A4,Partner_BookInBlock!$A:$A,Partner_BookInBlock!M:M,"",0)="Free","Free",IF(XLOOKUP($A4,Partner_BookInBlock!$A:$A,Partner_BookInBlock!M:M,"",0)="VL","VL",IF(XLOOKUP($A4,Partner_BookInBlock!$A:$A,Partner_BookInBlock!M:M,"",0)="ATT","ATT",XLOOKUP($A4,Partner_BookInBlock!$A:$A,Partner_BookInBlock!M:M,"",0))))</f>
        <v>0.3333333333</v>
      </c>
      <c r="N4" s="42">
        <f t="array" ref="N4">IF(XLOOKUP($A4,Partner_BookInBlock!$A:$A,Partner_BookInBlock!N:N,"",0)="Free","Free",IF(XLOOKUP($A4,Partner_BookInBlock!$A:$A,Partner_BookInBlock!N:N,"",0)="VL","VL",IF(XLOOKUP($A4,Partner_BookInBlock!$A:$A,Partner_BookInBlock!N:N,"",0)="ATT","ATT",XLOOKUP($A4,Partner_BookInBlock!$A:$A,Partner_BookInBlock!N:N,"",0))))</f>
        <v>0.3333333333</v>
      </c>
      <c r="O4" s="42">
        <f t="array" ref="O4">IF(XLOOKUP($A4,Partner_BookInBlock!$A:$A,Partner_BookInBlock!O:O,"",0)="Free","Free",IF(XLOOKUP($A4,Partner_BookInBlock!$A:$A,Partner_BookInBlock!O:O,"",0)="VL","VL",IF(XLOOKUP($A4,Partner_BookInBlock!$A:$A,Partner_BookInBlock!O:O,"",0)="ATT","ATT",XLOOKUP($A4,Partner_BookInBlock!$A:$A,Partner_BookInBlock!O:O,"",0))))</f>
        <v>0.3333333333</v>
      </c>
      <c r="P4" s="42">
        <f t="array" ref="P4">IF(XLOOKUP($A4,Partner_BookInBlock!$A:$A,Partner_BookInBlock!P:P,"",0)="Free","Free",IF(XLOOKUP($A4,Partner_BookInBlock!$A:$A,Partner_BookInBlock!P:P,"",0)="VL","VL",IF(XLOOKUP($A4,Partner_BookInBlock!$A:$A,Partner_BookInBlock!P:P,"",0)="ATT","ATT",XLOOKUP($A4,Partner_BookInBlock!$A:$A,Partner_BookInBlock!P:P,"",0))))</f>
        <v>0.3333333333</v>
      </c>
      <c r="Q4" s="42" t="str">
        <f t="array" ref="Q4">IF(XLOOKUP($A4,Partner_BookInBlock!$A:$A,Partner_BookInBlock!Q:Q,"",0)="Free","Free",IF(XLOOKUP($A4,Partner_BookInBlock!$A:$A,Partner_BookInBlock!Q:Q,"",0)="VL","VL",IF(XLOOKUP($A4,Partner_BookInBlock!$A:$A,Partner_BookInBlock!Q:Q,"",0)="ATT","ATT",XLOOKUP($A4,Partner_BookInBlock!$A:$A,Partner_BookInBlock!Q:Q,"",0))))</f>
        <v>Free</v>
      </c>
      <c r="R4" s="42"/>
      <c r="S4" s="42">
        <f t="array" ref="S4">IF(XLOOKUP($A4,Partner_BookInBlock!$A:$A,Partner_BookInBlock!S:S,"",0)="Free","Free",IF(XLOOKUP($A4,Partner_BookInBlock!$A:$A,Partner_BookInBlock!S:S,"",0)="VL","VL",IF(XLOOKUP($A4,Partner_BookInBlock!$A:$A,Partner_BookInBlock!S:S,"",0)="ATT","ATT",XLOOKUP($A4,Partner_BookInBlock!$A:$A,Partner_BookInBlock!S:S,"",0))))</f>
        <v>0.3333333333</v>
      </c>
      <c r="T4" s="42">
        <f t="array" ref="T4">IF(XLOOKUP($A4,Partner_BookInBlock!$A:$A,Partner_BookInBlock!T:T,"",0)="Free","Free",IF(XLOOKUP($A4,Partner_BookInBlock!$A:$A,Partner_BookInBlock!T:T,"",0)="VL","VL",IF(XLOOKUP($A4,Partner_BookInBlock!$A:$A,Partner_BookInBlock!T:T,"",0)="ATT","ATT",XLOOKUP($A4,Partner_BookInBlock!$A:$A,Partner_BookInBlock!T:T,"",0))))</f>
        <v>0.3333333333</v>
      </c>
      <c r="U4" s="42">
        <f t="array" ref="U4">IF(XLOOKUP($A4,Partner_BookInBlock!$A:$A,Partner_BookInBlock!U:U,"",0)="Free","Free",IF(XLOOKUP($A4,Partner_BookInBlock!$A:$A,Partner_BookInBlock!U:U,"",0)="VL","VL",IF(XLOOKUP($A4,Partner_BookInBlock!$A:$A,Partner_BookInBlock!U:U,"",0)="ATT","ATT",XLOOKUP($A4,Partner_BookInBlock!$A:$A,Partner_BookInBlock!U:U,"",0))))</f>
        <v>0.3333333333</v>
      </c>
      <c r="V4" s="42">
        <f t="array" ref="V4">IF(XLOOKUP($A4,Partner_BookInBlock!$A:$A,Partner_BookInBlock!V:V,"",0)="Free","Free",IF(XLOOKUP($A4,Partner_BookInBlock!$A:$A,Partner_BookInBlock!V:V,"",0)="VL","VL",IF(XLOOKUP($A4,Partner_BookInBlock!$A:$A,Partner_BookInBlock!V:V,"",0)="ATT","ATT",XLOOKUP($A4,Partner_BookInBlock!$A:$A,Partner_BookInBlock!V:V,"",0))))</f>
        <v>0.3333333333</v>
      </c>
      <c r="W4" s="42">
        <f t="array" ref="W4">IF(XLOOKUP($A4,Partner_BookInBlock!$A:$A,Partner_BookInBlock!W:W,"",0)="Free","Free",IF(XLOOKUP($A4,Partner_BookInBlock!$A:$A,Partner_BookInBlock!W:W,"",0)="VL","VL",IF(XLOOKUP($A4,Partner_BookInBlock!$A:$A,Partner_BookInBlock!W:W,"",0)="ATT","ATT",XLOOKUP($A4,Partner_BookInBlock!$A:$A,Partner_BookInBlock!W:W,"",0))))</f>
        <v>0.3333333333</v>
      </c>
      <c r="X4" s="42" t="str">
        <f t="array" ref="X4">IF(XLOOKUP($A4,Partner_BookInBlock!$A:$A,Partner_BookInBlock!X:X,"",0)="Free","Free",IF(XLOOKUP($A4,Partner_BookInBlock!$A:$A,Partner_BookInBlock!X:X,"",0)="VL","VL",IF(XLOOKUP($A4,Partner_BookInBlock!$A:$A,Partner_BookInBlock!X:X,"",0)="ATT","ATT",XLOOKUP($A4,Partner_BookInBlock!$A:$A,Partner_BookInBlock!X:X,"",0))))</f>
        <v>Free</v>
      </c>
      <c r="Y4" s="42"/>
      <c r="Z4" s="42">
        <f t="array" ref="Z4">IF(XLOOKUP($A4,Partner_BookInBlock!$A:$A,Partner_BookInBlock!Z:Z,"",0)="Free","Free",IF(XLOOKUP($A4,Partner_BookInBlock!$A:$A,Partner_BookInBlock!Z:Z,"",0)="VL","VL",IF(XLOOKUP($A4,Partner_BookInBlock!$A:$A,Partner_BookInBlock!Z:Z,"",0)="ATT","ATT",XLOOKUP($A4,Partner_BookInBlock!$A:$A,Partner_BookInBlock!Z:Z,"",0))))</f>
        <v>0.3333333333</v>
      </c>
      <c r="AA4" s="42">
        <f t="array" ref="AA4">IF(XLOOKUP($A4,Partner_BookInBlock!$A:$A,Partner_BookInBlock!AA:AA,"",0)="Free","Free",IF(XLOOKUP($A4,Partner_BookInBlock!$A:$A,Partner_BookInBlock!AA:AA,"",0)="VL","VL",IF(XLOOKUP($A4,Partner_BookInBlock!$A:$A,Partner_BookInBlock!AA:AA,"",0)="ATT","ATT",XLOOKUP($A4,Partner_BookInBlock!$A:$A,Partner_BookInBlock!AA:AA,"",0))))</f>
        <v>0.3333333333</v>
      </c>
      <c r="AB4" s="42">
        <f t="array" ref="AB4">IF(XLOOKUP($A4,Partner_BookInBlock!$A:$A,Partner_BookInBlock!AB:AB,"",0)="Free","Free",IF(XLOOKUP($A4,Partner_BookInBlock!$A:$A,Partner_BookInBlock!AB:AB,"",0)="VL","VL",IF(XLOOKUP($A4,Partner_BookInBlock!$A:$A,Partner_BookInBlock!AB:AB,"",0)="ATT","ATT",XLOOKUP($A4,Partner_BookInBlock!$A:$A,Partner_BookInBlock!AB:AB,"",0))))</f>
        <v>0.3333333333</v>
      </c>
      <c r="AC4" s="42">
        <f t="array" ref="AC4">IF(XLOOKUP($A4,Partner_BookInBlock!$A:$A,Partner_BookInBlock!AC:AC,"",0)="Free","Free",IF(XLOOKUP($A4,Partner_BookInBlock!$A:$A,Partner_BookInBlock!AC:AC,"",0)="VL","VL",IF(XLOOKUP($A4,Partner_BookInBlock!$A:$A,Partner_BookInBlock!AC:AC,"",0)="ATT","ATT",XLOOKUP($A4,Partner_BookInBlock!$A:$A,Partner_BookInBlock!AC:AC,"",0))))</f>
        <v>0.3333333333</v>
      </c>
      <c r="AD4" s="42">
        <f t="array" ref="AD4">IF(XLOOKUP($A4,Partner_BookInBlock!$A:$A,Partner_BookInBlock!AD:AD,"",0)="Free","Free",IF(XLOOKUP($A4,Partner_BookInBlock!$A:$A,Partner_BookInBlock!AD:AD,"",0)="VL","VL",IF(XLOOKUP($A4,Partner_BookInBlock!$A:$A,Partner_BookInBlock!AD:AD,"",0)="ATT","ATT",XLOOKUP($A4,Partner_BookInBlock!$A:$A,Partner_BookInBlock!AD:AD,"",0))))</f>
        <v>0.3333333333</v>
      </c>
      <c r="AE4" s="42" t="str">
        <f t="array" ref="AE4">IF(XLOOKUP($A4,Partner_BookInBlock!$A:$A,Partner_BookInBlock!AE:AE,"",0)="Free","Free",IF(XLOOKUP($A4,Partner_BookInBlock!$A:$A,Partner_BookInBlock!AE:AE,"",0)="VL","VL",IF(XLOOKUP($A4,Partner_BookInBlock!$A:$A,Partner_BookInBlock!AE:AE,"",0)="ATT","ATT",XLOOKUP($A4,Partner_BookInBlock!$A:$A,Partner_BookInBlock!AE:AE,"",0))))</f>
        <v>Free</v>
      </c>
      <c r="AF4" s="42"/>
      <c r="AG4" s="42">
        <f t="array" ref="AG4">IF(XLOOKUP($A4,Partner_BookInBlock!$A:$A,Partner_BookInBlock!AG:AG,"",0)="Free","Free",IF(XLOOKUP($A4,Partner_BookInBlock!$A:$A,Partner_BookInBlock!AG:AG,"",0)="VL","VL",IF(XLOOKUP($A4,Partner_BookInBlock!$A:$A,Partner_BookInBlock!AG:AG,"",0)="ATT","ATT",XLOOKUP($A4,Partner_BookInBlock!$A:$A,Partner_BookInBlock!AG:AG,"",0))))</f>
        <v>0.3333333333</v>
      </c>
      <c r="AH4" s="42">
        <f t="array" ref="AH4">IF(XLOOKUP($A4,Partner_BookInBlock!$A:$A,Partner_BookInBlock!AH:AH,"",0)="Free","Free",IF(XLOOKUP($A4,Partner_BookInBlock!$A:$A,Partner_BookInBlock!AH:AH,"",0)="VL","VL",IF(XLOOKUP($A4,Partner_BookInBlock!$A:$A,Partner_BookInBlock!AH:AH,"",0)="ATT","ATT",XLOOKUP($A4,Partner_BookInBlock!$A:$A,Partner_BookInBlock!AH:AH,"",0))))</f>
        <v>0.3333333333</v>
      </c>
      <c r="AI4" s="42">
        <f t="array" ref="AI4">IF(XLOOKUP($A4,Partner_BookInBlock!$A:$A,Partner_BookInBlock!AI:AI,"",0)="Free","Free",IF(XLOOKUP($A4,Partner_BookInBlock!$A:$A,Partner_BookInBlock!AI:AI,"",0)="VL","VL",IF(XLOOKUP($A4,Partner_BookInBlock!$A:$A,Partner_BookInBlock!AI:AI,"",0)="ATT","ATT",XLOOKUP($A4,Partner_BookInBlock!$A:$A,Partner_BookInBlock!AI:AI,"",0))))</f>
        <v>0.3333333333</v>
      </c>
      <c r="AJ4" s="42">
        <f t="array" ref="AJ4">IF(XLOOKUP($A4,Partner_BookInBlock!$A:$A,Partner_BookInBlock!AJ:AJ,"",0)="Free","Free",IF(XLOOKUP($A4,Partner_BookInBlock!$A:$A,Partner_BookInBlock!AJ:AJ,"",0)="VL","VL",IF(XLOOKUP($A4,Partner_BookInBlock!$A:$A,Partner_BookInBlock!AJ:AJ,"",0)="ATT","ATT",XLOOKUP($A4,Partner_BookInBlock!$A:$A,Partner_BookInBlock!AJ:AJ,"",0))))</f>
        <v>0.3333333333</v>
      </c>
      <c r="AK4" s="42">
        <f t="array" ref="AK4">IF(XLOOKUP($A4,Partner_BookInBlock!$A:$A,Partner_BookInBlock!AK:AK,"",0)="Free","Free",IF(XLOOKUP($A4,Partner_BookInBlock!$A:$A,Partner_BookInBlock!AK:AK,"",0)="VL","VL",IF(XLOOKUP($A4,Partner_BookInBlock!$A:$A,Partner_BookInBlock!AK:AK,"",0)="ATT","ATT",XLOOKUP($A4,Partner_BookInBlock!$A:$A,Partner_BookInBlock!AK:AK,"",0))))</f>
        <v>0.3333333333</v>
      </c>
      <c r="AL4" s="42" t="str">
        <f t="array" ref="AL4">IF(XLOOKUP($A4,Partner_BookInBlock!$A:$A,Partner_BookInBlock!AL:AL,"",0)="Free","Free",IF(XLOOKUP($A4,Partner_BookInBlock!$A:$A,Partner_BookInBlock!AL:AL,"",0)="VL","VL",IF(XLOOKUP($A4,Partner_BookInBlock!$A:$A,Partner_BookInBlock!AL:AL,"",0)="ATT","ATT",XLOOKUP($A4,Partner_BookInBlock!$A:$A,Partner_BookInBlock!AL:AL,"",0))))</f>
        <v>Free</v>
      </c>
      <c r="AM4" s="42"/>
    </row>
    <row r="5">
      <c r="A5" s="43" t="s">
        <v>137</v>
      </c>
      <c r="B5" s="44" t="str">
        <f t="array" ref="B5">XLOOKUP(A5,Roster!F:F,Roster!A:A,"",0)</f>
        <v>Bryan Galvis</v>
      </c>
      <c r="C5" s="44" t="str">
        <f t="array" ref="C5">XLOOKUP(A5,Roster!F:F,Roster!B:B,"",0)</f>
        <v>Alexa Arenas</v>
      </c>
      <c r="D5" s="45"/>
      <c r="E5" s="42">
        <f t="array" ref="E5">IF(XLOOKUP($A5,Partner_Tickets!$A:$A,Partner_Tickets!E:E,"",0)="Free","Free",IF(XLOOKUP($A5,Partner_Tickets!$A:$A,Partner_Tickets!E:E,"",0)="VL","VL",IF(XLOOKUP($A5,Partner_Tickets!$A:$A,Partner_Tickets!E:E,"",0)="ATT","ATT",XLOOKUP($A5,Partner_Tickets!$A:$A,Partner_Tickets!E:E,"",0))))</f>
        <v>0.3333333333</v>
      </c>
      <c r="F5" s="42">
        <f t="array" ref="F5">IF(XLOOKUP($A5,Partner_Tickets!$A:$A,Partner_Tickets!F:F,"",0)="Free","Free",IF(XLOOKUP($A5,Partner_Tickets!$A:$A,Partner_Tickets!F:F,"",0)="VL","VL",IF(XLOOKUP($A5,Partner_Tickets!$A:$A,Partner_Tickets!F:F,"",0)="ATT","ATT",XLOOKUP($A5,Partner_Tickets!$A:$A,Partner_Tickets!F:F,"",0))))</f>
        <v>0.3333333333</v>
      </c>
      <c r="G5" s="42">
        <f t="array" ref="G5">IF(XLOOKUP($A5,Partner_Tickets!$A:$A,Partner_Tickets!G:G,"",0)="Free","Free",IF(XLOOKUP($A5,Partner_Tickets!$A:$A,Partner_Tickets!G:G,"",0)="VL","VL",IF(XLOOKUP($A5,Partner_Tickets!$A:$A,Partner_Tickets!G:G,"",0)="ATT","ATT",XLOOKUP($A5,Partner_Tickets!$A:$A,Partner_Tickets!G:G,"",0))))</f>
        <v>0.3333333333</v>
      </c>
      <c r="H5" s="42">
        <f t="array" ref="H5">IF(XLOOKUP($A5,Partner_Tickets!$A:$A,Partner_Tickets!H:H,"",0)="Free","Free",IF(XLOOKUP($A5,Partner_Tickets!$A:$A,Partner_Tickets!H:H,"",0)="VL","VL",IF(XLOOKUP($A5,Partner_Tickets!$A:$A,Partner_Tickets!H:H,"",0)="ATT","ATT",XLOOKUP($A5,Partner_Tickets!$A:$A,Partner_Tickets!H:H,"",0))))</f>
        <v>0.3333333333</v>
      </c>
      <c r="I5" s="42">
        <f t="array" ref="I5">IF(XLOOKUP($A5,Partner_Tickets!$A:$A,Partner_Tickets!I:I,"",0)="Free","Free",IF(XLOOKUP($A5,Partner_Tickets!$A:$A,Partner_Tickets!I:I,"",0)="VL","VL",IF(XLOOKUP($A5,Partner_Tickets!$A:$A,Partner_Tickets!I:I,"",0)="ATT","ATT",XLOOKUP($A5,Partner_Tickets!$A:$A,Partner_Tickets!I:I,"",0))))</f>
        <v>0.3333333333</v>
      </c>
      <c r="J5" s="42" t="str">
        <f t="array" ref="J5">IF(XLOOKUP($A5,Partner_Tickets!$A:$A,Partner_Tickets!J:J,"",0)="Free","Free",IF(XLOOKUP($A5,Partner_Tickets!$A:$A,Partner_Tickets!J:J,"",0)="VL","VL",IF(XLOOKUP($A5,Partner_Tickets!$A:$A,Partner_Tickets!J:J,"",0)="ATT","ATT",XLOOKUP($A5,Partner_Tickets!$A:$A,Partner_Tickets!J:J,"",0))))</f>
        <v>Free</v>
      </c>
      <c r="K5" s="42" t="str">
        <f t="array" ref="K5">IF(XLOOKUP($A5,Partner_Tickets!$A:$A,Partner_Tickets!K:K,"",0)="Free","Free",IF(XLOOKUP($A5,Partner_Tickets!$A:$A,Partner_Tickets!K:K,"",0)="VL","VL",IF(XLOOKUP($A5,Partner_Tickets!$A:$A,Partner_Tickets!K:K,"",0)="ATT","ATT",XLOOKUP($A5,Partner_Tickets!$A:$A,Partner_Tickets!K:K,"",0))))</f>
        <v/>
      </c>
      <c r="L5" s="42">
        <f t="array" ref="L5">IF(XLOOKUP($A5,Partner_Tickets!$A:$A,Partner_Tickets!L:L,"",0)="Free","Free",IF(XLOOKUP($A5,Partner_Tickets!$A:$A,Partner_Tickets!L:L,"",0)="VL","VL",IF(XLOOKUP($A5,Partner_Tickets!$A:$A,Partner_Tickets!L:L,"",0)="ATT","ATT",XLOOKUP($A5,Partner_Tickets!$A:$A,Partner_Tickets!L:L,"",0))))</f>
        <v>0.3333333333</v>
      </c>
      <c r="M5" s="42">
        <f t="array" ref="M5">IF(XLOOKUP($A5,Partner_Tickets!$A:$A,Partner_Tickets!M:M,"",0)="Free","Free",IF(XLOOKUP($A5,Partner_Tickets!$A:$A,Partner_Tickets!M:M,"",0)="VL","VL",IF(XLOOKUP($A5,Partner_Tickets!$A:$A,Partner_Tickets!M:M,"",0)="ATT","ATT",XLOOKUP($A5,Partner_Tickets!$A:$A,Partner_Tickets!M:M,"",0))))</f>
        <v>0.3333333333</v>
      </c>
      <c r="N5" s="42">
        <f t="array" ref="N5">IF(XLOOKUP($A5,Partner_Tickets!$A:$A,Partner_Tickets!N:N,"",0)="Free","Free",IF(XLOOKUP($A5,Partner_Tickets!$A:$A,Partner_Tickets!N:N,"",0)="VL","VL",IF(XLOOKUP($A5,Partner_Tickets!$A:$A,Partner_Tickets!N:N,"",0)="ATT","ATT",XLOOKUP($A5,Partner_Tickets!$A:$A,Partner_Tickets!N:N,"",0))))</f>
        <v>0.3333333333</v>
      </c>
      <c r="O5" s="42">
        <f t="array" ref="O5">IF(XLOOKUP($A5,Partner_Tickets!$A:$A,Partner_Tickets!O:O,"",0)="Free","Free",IF(XLOOKUP($A5,Partner_Tickets!$A:$A,Partner_Tickets!O:O,"",0)="VL","VL",IF(XLOOKUP($A5,Partner_Tickets!$A:$A,Partner_Tickets!O:O,"",0)="ATT","ATT",XLOOKUP($A5,Partner_Tickets!$A:$A,Partner_Tickets!O:O,"",0))))</f>
        <v>0.3333333333</v>
      </c>
      <c r="P5" s="42">
        <f t="array" ref="P5">IF(XLOOKUP($A5,Partner_Tickets!$A:$A,Partner_Tickets!P:P,"",0)="Free","Free",IF(XLOOKUP($A5,Partner_Tickets!$A:$A,Partner_Tickets!P:P,"",0)="VL","VL",IF(XLOOKUP($A5,Partner_Tickets!$A:$A,Partner_Tickets!P:P,"",0)="ATT","ATT",XLOOKUP($A5,Partner_Tickets!$A:$A,Partner_Tickets!P:P,"",0))))</f>
        <v>0.3333333333</v>
      </c>
      <c r="Q5" s="42" t="str">
        <f t="array" ref="Q5">IF(XLOOKUP($A5,Partner_Tickets!$A:$A,Partner_Tickets!Q:Q,"",0)="Free","Free",IF(XLOOKUP($A5,Partner_Tickets!$A:$A,Partner_Tickets!Q:Q,"",0)="VL","VL",IF(XLOOKUP($A5,Partner_Tickets!$A:$A,Partner_Tickets!Q:Q,"",0)="ATT","ATT",XLOOKUP($A5,Partner_Tickets!$A:$A,Partner_Tickets!Q:Q,"",0))))</f>
        <v>Free</v>
      </c>
      <c r="R5" s="42"/>
      <c r="S5" s="42">
        <f t="array" ref="S5">IF(XLOOKUP($A5,Partner_Tickets!$A:$A,Partner_Tickets!S:S,"",0)="Free","Free",IF(XLOOKUP($A5,Partner_Tickets!$A:$A,Partner_Tickets!S:S,"",0)="VL","VL",IF(XLOOKUP($A5,Partner_Tickets!$A:$A,Partner_Tickets!S:S,"",0)="ATT","ATT",XLOOKUP($A5,Partner_Tickets!$A:$A,Partner_Tickets!S:S,"",0))))</f>
        <v>0.3333333333</v>
      </c>
      <c r="T5" s="42">
        <f t="array" ref="T5">IF(XLOOKUP($A5,Partner_Tickets!$A:$A,Partner_Tickets!T:T,"",0)="Free","Free",IF(XLOOKUP($A5,Partner_Tickets!$A:$A,Partner_Tickets!T:T,"",0)="VL","VL",IF(XLOOKUP($A5,Partner_Tickets!$A:$A,Partner_Tickets!T:T,"",0)="ATT","ATT",XLOOKUP($A5,Partner_Tickets!$A:$A,Partner_Tickets!T:T,"",0))))</f>
        <v>0.3333333333</v>
      </c>
      <c r="U5" s="42">
        <f t="array" ref="U5">IF(XLOOKUP($A5,Partner_Tickets!$A:$A,Partner_Tickets!U:U,"",0)="Free","Free",IF(XLOOKUP($A5,Partner_Tickets!$A:$A,Partner_Tickets!U:U,"",0)="VL","VL",IF(XLOOKUP($A5,Partner_Tickets!$A:$A,Partner_Tickets!U:U,"",0)="ATT","ATT",XLOOKUP($A5,Partner_Tickets!$A:$A,Partner_Tickets!U:U,"",0))))</f>
        <v>0.3333333333</v>
      </c>
      <c r="V5" s="42">
        <f t="array" ref="V5">IF(XLOOKUP($A5,Partner_Tickets!$A:$A,Partner_Tickets!V:V,"",0)="Free","Free",IF(XLOOKUP($A5,Partner_Tickets!$A:$A,Partner_Tickets!V:V,"",0)="VL","VL",IF(XLOOKUP($A5,Partner_Tickets!$A:$A,Partner_Tickets!V:V,"",0)="ATT","ATT",XLOOKUP($A5,Partner_Tickets!$A:$A,Partner_Tickets!V:V,"",0))))</f>
        <v>0.3333333333</v>
      </c>
      <c r="W5" s="42">
        <f t="array" ref="W5">IF(XLOOKUP($A5,Partner_Tickets!$A:$A,Partner_Tickets!W:W,"",0)="Free","Free",IF(XLOOKUP($A5,Partner_Tickets!$A:$A,Partner_Tickets!W:W,"",0)="VL","VL",IF(XLOOKUP($A5,Partner_Tickets!$A:$A,Partner_Tickets!W:W,"",0)="ATT","ATT",XLOOKUP($A5,Partner_Tickets!$A:$A,Partner_Tickets!W:W,"",0))))</f>
        <v>0.3333333333</v>
      </c>
      <c r="X5" s="42" t="str">
        <f t="array" ref="X5">IF(XLOOKUP($A5,Partner_Tickets!$A:$A,Partner_Tickets!X:X,"",0)="Free","Free",IF(XLOOKUP($A5,Partner_Tickets!$A:$A,Partner_Tickets!X:X,"",0)="VL","VL",IF(XLOOKUP($A5,Partner_Tickets!$A:$A,Partner_Tickets!X:X,"",0)="ATT","ATT",XLOOKUP($A5,Partner_Tickets!$A:$A,Partner_Tickets!X:X,"",0))))</f>
        <v>Free</v>
      </c>
      <c r="Y5" s="42"/>
      <c r="Z5" s="42">
        <f t="array" ref="Z5">IF(XLOOKUP($A5,Partner_Tickets!$A:$A,Partner_Tickets!Z:Z,"",0)="Free","Free",IF(XLOOKUP($A5,Partner_Tickets!$A:$A,Partner_Tickets!Z:Z,"",0)="VL","VL",IF(XLOOKUP($A5,Partner_Tickets!$A:$A,Partner_Tickets!Z:Z,"",0)="ATT","ATT",XLOOKUP($A5,Partner_Tickets!$A:$A,Partner_Tickets!Z:Z,"",0))))</f>
        <v>0.3333333333</v>
      </c>
      <c r="AA5" s="42">
        <f t="array" ref="AA5">IF(XLOOKUP($A5,Partner_Tickets!$A:$A,Partner_Tickets!AA:AA,"",0)="Free","Free",IF(XLOOKUP($A5,Partner_Tickets!$A:$A,Partner_Tickets!AA:AA,"",0)="VL","VL",IF(XLOOKUP($A5,Partner_Tickets!$A:$A,Partner_Tickets!AA:AA,"",0)="ATT","ATT",XLOOKUP($A5,Partner_Tickets!$A:$A,Partner_Tickets!AA:AA,"",0))))</f>
        <v>0.3333333333</v>
      </c>
      <c r="AB5" s="42">
        <f t="array" ref="AB5">IF(XLOOKUP($A5,Partner_Tickets!$A:$A,Partner_Tickets!AB:AB,"",0)="Free","Free",IF(XLOOKUP($A5,Partner_Tickets!$A:$A,Partner_Tickets!AB:AB,"",0)="VL","VL",IF(XLOOKUP($A5,Partner_Tickets!$A:$A,Partner_Tickets!AB:AB,"",0)="ATT","ATT",XLOOKUP($A5,Partner_Tickets!$A:$A,Partner_Tickets!AB:AB,"",0))))</f>
        <v>0.3333333333</v>
      </c>
      <c r="AC5" s="42">
        <f t="array" ref="AC5">IF(XLOOKUP($A5,Partner_Tickets!$A:$A,Partner_Tickets!AC:AC,"",0)="Free","Free",IF(XLOOKUP($A5,Partner_Tickets!$A:$A,Partner_Tickets!AC:AC,"",0)="VL","VL",IF(XLOOKUP($A5,Partner_Tickets!$A:$A,Partner_Tickets!AC:AC,"",0)="ATT","ATT",XLOOKUP($A5,Partner_Tickets!$A:$A,Partner_Tickets!AC:AC,"",0))))</f>
        <v>0.3333333333</v>
      </c>
      <c r="AD5" s="42">
        <f t="array" ref="AD5">IF(XLOOKUP($A5,Partner_Tickets!$A:$A,Partner_Tickets!AD:AD,"",0)="Free","Free",IF(XLOOKUP($A5,Partner_Tickets!$A:$A,Partner_Tickets!AD:AD,"",0)="VL","VL",IF(XLOOKUP($A5,Partner_Tickets!$A:$A,Partner_Tickets!AD:AD,"",0)="ATT","ATT",XLOOKUP($A5,Partner_Tickets!$A:$A,Partner_Tickets!AD:AD,"",0))))</f>
        <v>0.3333333333</v>
      </c>
      <c r="AE5" s="42" t="str">
        <f t="array" ref="AE5">IF(XLOOKUP($A5,Partner_Tickets!$A:$A,Partner_Tickets!AE:AE,"",0)="Free","Free",IF(XLOOKUP($A5,Partner_Tickets!$A:$A,Partner_Tickets!AE:AE,"",0)="VL","VL",IF(XLOOKUP($A5,Partner_Tickets!$A:$A,Partner_Tickets!AE:AE,"",0)="ATT","ATT",XLOOKUP($A5,Partner_Tickets!$A:$A,Partner_Tickets!AE:AE,"",0))))</f>
        <v>Free</v>
      </c>
      <c r="AF5" s="42"/>
      <c r="AG5" s="42">
        <f t="array" ref="AG5">IF(XLOOKUP($A5,Partner_Tickets!$A:$A,Partner_Tickets!AG:AG,"",0)="Free","Free",IF(XLOOKUP($A5,Partner_Tickets!$A:$A,Partner_Tickets!AG:AG,"",0)="VL","VL",IF(XLOOKUP($A5,Partner_Tickets!$A:$A,Partner_Tickets!AG:AG,"",0)="ATT","ATT",XLOOKUP($A5,Partner_Tickets!$A:$A,Partner_Tickets!AG:AG,"",0))))</f>
        <v>0.3333333333</v>
      </c>
      <c r="AH5" s="42">
        <f t="array" ref="AH5">IF(XLOOKUP($A5,Partner_Tickets!$A:$A,Partner_Tickets!AH:AH,"",0)="Free","Free",IF(XLOOKUP($A5,Partner_Tickets!$A:$A,Partner_Tickets!AH:AH,"",0)="VL","VL",IF(XLOOKUP($A5,Partner_Tickets!$A:$A,Partner_Tickets!AH:AH,"",0)="ATT","ATT",XLOOKUP($A5,Partner_Tickets!$A:$A,Partner_Tickets!AH:AH,"",0))))</f>
        <v>0.3333333333</v>
      </c>
      <c r="AI5" s="42">
        <f t="array" ref="AI5">IF(XLOOKUP($A5,Partner_Tickets!$A:$A,Partner_Tickets!AI:AI,"",0)="Free","Free",IF(XLOOKUP($A5,Partner_Tickets!$A:$A,Partner_Tickets!AI:AI,"",0)="VL","VL",IF(XLOOKUP($A5,Partner_Tickets!$A:$A,Partner_Tickets!AI:AI,"",0)="ATT","ATT",XLOOKUP($A5,Partner_Tickets!$A:$A,Partner_Tickets!AI:AI,"",0))))</f>
        <v>0.3333333333</v>
      </c>
      <c r="AJ5" s="42">
        <f t="array" ref="AJ5">IF(XLOOKUP($A5,Partner_Tickets!$A:$A,Partner_Tickets!AJ:AJ,"",0)="Free","Free",IF(XLOOKUP($A5,Partner_Tickets!$A:$A,Partner_Tickets!AJ:AJ,"",0)="VL","VL",IF(XLOOKUP($A5,Partner_Tickets!$A:$A,Partner_Tickets!AJ:AJ,"",0)="ATT","ATT",XLOOKUP($A5,Partner_Tickets!$A:$A,Partner_Tickets!AJ:AJ,"",0))))</f>
        <v>0.3333333333</v>
      </c>
      <c r="AK5" s="42">
        <f t="array" ref="AK5">IF(XLOOKUP($A5,Partner_Tickets!$A:$A,Partner_Tickets!AK:AK,"",0)="Free","Free",IF(XLOOKUP($A5,Partner_Tickets!$A:$A,Partner_Tickets!AK:AK,"",0)="VL","VL",IF(XLOOKUP($A5,Partner_Tickets!$A:$A,Partner_Tickets!AK:AK,"",0)="ATT","ATT",XLOOKUP($A5,Partner_Tickets!$A:$A,Partner_Tickets!AK:AK,"",0))))</f>
        <v>0.3333333333</v>
      </c>
      <c r="AL5" s="42" t="str">
        <f t="array" ref="AL5">IF(XLOOKUP($A5,Partner_Tickets!$A:$A,Partner_Tickets!AL:AL,"",0)="Free","Free",IF(XLOOKUP($A5,Partner_Tickets!$A:$A,Partner_Tickets!AL:AL,"",0)="VL","VL",IF(XLOOKUP($A5,Partner_Tickets!$A:$A,Partner_Tickets!AL:AL,"",0)="ATT","ATT",XLOOKUP($A5,Partner_Tickets!$A:$A,Partner_Tickets!AL:AL,"",0))))</f>
        <v>Free</v>
      </c>
      <c r="AM5" s="42"/>
    </row>
    <row r="6">
      <c r="A6" s="46" t="s">
        <v>138</v>
      </c>
      <c r="B6" s="44" t="str">
        <f t="array" ref="B6">XLOOKUP(A6,Roster!F:F,Roster!A:A,"",0)</f>
        <v>Bryan Galvis</v>
      </c>
      <c r="C6" s="44" t="str">
        <f t="array" ref="C6">XLOOKUP(A6,Roster!F:F,Roster!B:B,"",0)</f>
        <v>Arturo Padilla</v>
      </c>
      <c r="D6" s="40"/>
      <c r="E6" s="42">
        <f t="array" ref="E6">IF(XLOOKUP($A6,Partner_Tickets!$A:$A,Partner_Tickets!E:E,"",0)="Free","Free",IF(XLOOKUP($A6,Partner_Tickets!$A:$A,Partner_Tickets!E:E,"",0)="VL","VL",IF(XLOOKUP($A6,Partner_Tickets!$A:$A,Partner_Tickets!E:E,"",0)="ATT","ATT",XLOOKUP($A6,Partner_Tickets!$A:$A,Partner_Tickets!E:E,"",0))))</f>
        <v>0.3333333333</v>
      </c>
      <c r="F6" s="42">
        <f t="array" ref="F6">IF(XLOOKUP($A6,Partner_Tickets!$A:$A,Partner_Tickets!F:F,"",0)="Free","Free",IF(XLOOKUP($A6,Partner_Tickets!$A:$A,Partner_Tickets!F:F,"",0)="VL","VL",IF(XLOOKUP($A6,Partner_Tickets!$A:$A,Partner_Tickets!F:F,"",0)="ATT","ATT",XLOOKUP($A6,Partner_Tickets!$A:$A,Partner_Tickets!F:F,"",0))))</f>
        <v>0.3333333333</v>
      </c>
      <c r="G6" s="42">
        <f t="array" ref="G6">IF(XLOOKUP($A6,Partner_Tickets!$A:$A,Partner_Tickets!G:G,"",0)="Free","Free",IF(XLOOKUP($A6,Partner_Tickets!$A:$A,Partner_Tickets!G:G,"",0)="VL","VL",IF(XLOOKUP($A6,Partner_Tickets!$A:$A,Partner_Tickets!G:G,"",0)="ATT","ATT",XLOOKUP($A6,Partner_Tickets!$A:$A,Partner_Tickets!G:G,"",0))))</f>
        <v>0.3333333333</v>
      </c>
      <c r="H6" s="42">
        <f t="array" ref="H6">IF(XLOOKUP($A6,Partner_Tickets!$A:$A,Partner_Tickets!H:H,"",0)="Free","Free",IF(XLOOKUP($A6,Partner_Tickets!$A:$A,Partner_Tickets!H:H,"",0)="VL","VL",IF(XLOOKUP($A6,Partner_Tickets!$A:$A,Partner_Tickets!H:H,"",0)="ATT","ATT",XLOOKUP($A6,Partner_Tickets!$A:$A,Partner_Tickets!H:H,"",0))))</f>
        <v>0.3333333333</v>
      </c>
      <c r="I6" s="42">
        <f t="array" ref="I6">IF(XLOOKUP($A6,Partner_Tickets!$A:$A,Partner_Tickets!I:I,"",0)="Free","Free",IF(XLOOKUP($A6,Partner_Tickets!$A:$A,Partner_Tickets!I:I,"",0)="VL","VL",IF(XLOOKUP($A6,Partner_Tickets!$A:$A,Partner_Tickets!I:I,"",0)="ATT","ATT",XLOOKUP($A6,Partner_Tickets!$A:$A,Partner_Tickets!I:I,"",0))))</f>
        <v>0.3333333333</v>
      </c>
      <c r="J6" s="42" t="str">
        <f t="array" ref="J6">IF(XLOOKUP($A6,Partner_Tickets!$A:$A,Partner_Tickets!J:J,"",0)="Free","Free",IF(XLOOKUP($A6,Partner_Tickets!$A:$A,Partner_Tickets!J:J,"",0)="VL","VL",IF(XLOOKUP($A6,Partner_Tickets!$A:$A,Partner_Tickets!J:J,"",0)="ATT","ATT",XLOOKUP($A6,Partner_Tickets!$A:$A,Partner_Tickets!J:J,"",0))))</f>
        <v>Free</v>
      </c>
      <c r="K6" s="42" t="str">
        <f t="array" ref="K6">IF(XLOOKUP($A6,Partner_Tickets!$A:$A,Partner_Tickets!K:K,"",0)="Free","Free",IF(XLOOKUP($A6,Partner_Tickets!$A:$A,Partner_Tickets!K:K,"",0)="VL","VL",IF(XLOOKUP($A6,Partner_Tickets!$A:$A,Partner_Tickets!K:K,"",0)="ATT","ATT",XLOOKUP($A6,Partner_Tickets!$A:$A,Partner_Tickets!K:K,"",0))))</f>
        <v/>
      </c>
      <c r="L6" s="42">
        <f t="array" ref="L6">IF(XLOOKUP($A6,Partner_Tickets!$A:$A,Partner_Tickets!L:L,"",0)="Free","Free",IF(XLOOKUP($A6,Partner_Tickets!$A:$A,Partner_Tickets!L:L,"",0)="VL","VL",IF(XLOOKUP($A6,Partner_Tickets!$A:$A,Partner_Tickets!L:L,"",0)="ATT","ATT",XLOOKUP($A6,Partner_Tickets!$A:$A,Partner_Tickets!L:L,"",0))))</f>
        <v>0.3333333333</v>
      </c>
      <c r="M6" s="42">
        <f t="array" ref="M6">IF(XLOOKUP($A6,Partner_Tickets!$A:$A,Partner_Tickets!M:M,"",0)="Free","Free",IF(XLOOKUP($A6,Partner_Tickets!$A:$A,Partner_Tickets!M:M,"",0)="VL","VL",IF(XLOOKUP($A6,Partner_Tickets!$A:$A,Partner_Tickets!M:M,"",0)="ATT","ATT",XLOOKUP($A6,Partner_Tickets!$A:$A,Partner_Tickets!M:M,"",0))))</f>
        <v>0.3333333333</v>
      </c>
      <c r="N6" s="42">
        <f t="array" ref="N6">IF(XLOOKUP($A6,Partner_Tickets!$A:$A,Partner_Tickets!N:N,"",0)="Free","Free",IF(XLOOKUP($A6,Partner_Tickets!$A:$A,Partner_Tickets!N:N,"",0)="VL","VL",IF(XLOOKUP($A6,Partner_Tickets!$A:$A,Partner_Tickets!N:N,"",0)="ATT","ATT",XLOOKUP($A6,Partner_Tickets!$A:$A,Partner_Tickets!N:N,"",0))))</f>
        <v>0.3333333333</v>
      </c>
      <c r="O6" s="42">
        <f t="array" ref="O6">IF(XLOOKUP($A6,Partner_Tickets!$A:$A,Partner_Tickets!O:O,"",0)="Free","Free",IF(XLOOKUP($A6,Partner_Tickets!$A:$A,Partner_Tickets!O:O,"",0)="VL","VL",IF(XLOOKUP($A6,Partner_Tickets!$A:$A,Partner_Tickets!O:O,"",0)="ATT","ATT",XLOOKUP($A6,Partner_Tickets!$A:$A,Partner_Tickets!O:O,"",0))))</f>
        <v>0.3333333333</v>
      </c>
      <c r="P6" s="42">
        <f t="array" ref="P6">IF(XLOOKUP($A6,Partner_Tickets!$A:$A,Partner_Tickets!P:P,"",0)="Free","Free",IF(XLOOKUP($A6,Partner_Tickets!$A:$A,Partner_Tickets!P:P,"",0)="VL","VL",IF(XLOOKUP($A6,Partner_Tickets!$A:$A,Partner_Tickets!P:P,"",0)="ATT","ATT",XLOOKUP($A6,Partner_Tickets!$A:$A,Partner_Tickets!P:P,"",0))))</f>
        <v>0.3333333333</v>
      </c>
      <c r="Q6" s="42" t="str">
        <f t="array" ref="Q6">IF(XLOOKUP($A6,Partner_Tickets!$A:$A,Partner_Tickets!Q:Q,"",0)="Free","Free",IF(XLOOKUP($A6,Partner_Tickets!$A:$A,Partner_Tickets!Q:Q,"",0)="VL","VL",IF(XLOOKUP($A6,Partner_Tickets!$A:$A,Partner_Tickets!Q:Q,"",0)="ATT","ATT",XLOOKUP($A6,Partner_Tickets!$A:$A,Partner_Tickets!Q:Q,"",0))))</f>
        <v>Free</v>
      </c>
      <c r="R6" s="42"/>
      <c r="S6" s="42">
        <f t="array" ref="S6">IF(XLOOKUP($A6,Partner_Tickets!$A:$A,Partner_Tickets!S:S,"",0)="Free","Free",IF(XLOOKUP($A6,Partner_Tickets!$A:$A,Partner_Tickets!S:S,"",0)="VL","VL",IF(XLOOKUP($A6,Partner_Tickets!$A:$A,Partner_Tickets!S:S,"",0)="ATT","ATT",XLOOKUP($A6,Partner_Tickets!$A:$A,Partner_Tickets!S:S,"",0))))</f>
        <v>0.3333333333</v>
      </c>
      <c r="T6" s="42">
        <f t="array" ref="T6">IF(XLOOKUP($A6,Partner_Tickets!$A:$A,Partner_Tickets!T:T,"",0)="Free","Free",IF(XLOOKUP($A6,Partner_Tickets!$A:$A,Partner_Tickets!T:T,"",0)="VL","VL",IF(XLOOKUP($A6,Partner_Tickets!$A:$A,Partner_Tickets!T:T,"",0)="ATT","ATT",XLOOKUP($A6,Partner_Tickets!$A:$A,Partner_Tickets!T:T,"",0))))</f>
        <v>0.3333333333</v>
      </c>
      <c r="U6" s="42">
        <f t="array" ref="U6">IF(XLOOKUP($A6,Partner_Tickets!$A:$A,Partner_Tickets!U:U,"",0)="Free","Free",IF(XLOOKUP($A6,Partner_Tickets!$A:$A,Partner_Tickets!U:U,"",0)="VL","VL",IF(XLOOKUP($A6,Partner_Tickets!$A:$A,Partner_Tickets!U:U,"",0)="ATT","ATT",XLOOKUP($A6,Partner_Tickets!$A:$A,Partner_Tickets!U:U,"",0))))</f>
        <v>0.3333333333</v>
      </c>
      <c r="V6" s="42">
        <f t="array" ref="V6">IF(XLOOKUP($A6,Partner_Tickets!$A:$A,Partner_Tickets!V:V,"",0)="Free","Free",IF(XLOOKUP($A6,Partner_Tickets!$A:$A,Partner_Tickets!V:V,"",0)="VL","VL",IF(XLOOKUP($A6,Partner_Tickets!$A:$A,Partner_Tickets!V:V,"",0)="ATT","ATT",XLOOKUP($A6,Partner_Tickets!$A:$A,Partner_Tickets!V:V,"",0))))</f>
        <v>0.3333333333</v>
      </c>
      <c r="W6" s="42">
        <f t="array" ref="W6">IF(XLOOKUP($A6,Partner_Tickets!$A:$A,Partner_Tickets!W:W,"",0)="Free","Free",IF(XLOOKUP($A6,Partner_Tickets!$A:$A,Partner_Tickets!W:W,"",0)="VL","VL",IF(XLOOKUP($A6,Partner_Tickets!$A:$A,Partner_Tickets!W:W,"",0)="ATT","ATT",XLOOKUP($A6,Partner_Tickets!$A:$A,Partner_Tickets!W:W,"",0))))</f>
        <v>0.3333333333</v>
      </c>
      <c r="X6" s="42" t="str">
        <f t="array" ref="X6">IF(XLOOKUP($A6,Partner_Tickets!$A:$A,Partner_Tickets!X:X,"",0)="Free","Free",IF(XLOOKUP($A6,Partner_Tickets!$A:$A,Partner_Tickets!X:X,"",0)="VL","VL",IF(XLOOKUP($A6,Partner_Tickets!$A:$A,Partner_Tickets!X:X,"",0)="ATT","ATT",XLOOKUP($A6,Partner_Tickets!$A:$A,Partner_Tickets!X:X,"",0))))</f>
        <v>Free</v>
      </c>
      <c r="Y6" s="42"/>
      <c r="Z6" s="42">
        <f t="array" ref="Z6">IF(XLOOKUP($A6,Partner_Tickets!$A:$A,Partner_Tickets!Z:Z,"",0)="Free","Free",IF(XLOOKUP($A6,Partner_Tickets!$A:$A,Partner_Tickets!Z:Z,"",0)="VL","VL",IF(XLOOKUP($A6,Partner_Tickets!$A:$A,Partner_Tickets!Z:Z,"",0)="ATT","ATT",XLOOKUP($A6,Partner_Tickets!$A:$A,Partner_Tickets!Z:Z,"",0))))</f>
        <v>0.3333333333</v>
      </c>
      <c r="AA6" s="42">
        <f t="array" ref="AA6">IF(XLOOKUP($A6,Partner_Tickets!$A:$A,Partner_Tickets!AA:AA,"",0)="Free","Free",IF(XLOOKUP($A6,Partner_Tickets!$A:$A,Partner_Tickets!AA:AA,"",0)="VL","VL",IF(XLOOKUP($A6,Partner_Tickets!$A:$A,Partner_Tickets!AA:AA,"",0)="ATT","ATT",XLOOKUP($A6,Partner_Tickets!$A:$A,Partner_Tickets!AA:AA,"",0))))</f>
        <v>0.3333333333</v>
      </c>
      <c r="AB6" s="42">
        <f t="array" ref="AB6">IF(XLOOKUP($A6,Partner_Tickets!$A:$A,Partner_Tickets!AB:AB,"",0)="Free","Free",IF(XLOOKUP($A6,Partner_Tickets!$A:$A,Partner_Tickets!AB:AB,"",0)="VL","VL",IF(XLOOKUP($A6,Partner_Tickets!$A:$A,Partner_Tickets!AB:AB,"",0)="ATT","ATT",XLOOKUP($A6,Partner_Tickets!$A:$A,Partner_Tickets!AB:AB,"",0))))</f>
        <v>0.3333333333</v>
      </c>
      <c r="AC6" s="42">
        <f t="array" ref="AC6">IF(XLOOKUP($A6,Partner_Tickets!$A:$A,Partner_Tickets!AC:AC,"",0)="Free","Free",IF(XLOOKUP($A6,Partner_Tickets!$A:$A,Partner_Tickets!AC:AC,"",0)="VL","VL",IF(XLOOKUP($A6,Partner_Tickets!$A:$A,Partner_Tickets!AC:AC,"",0)="ATT","ATT",XLOOKUP($A6,Partner_Tickets!$A:$A,Partner_Tickets!AC:AC,"",0))))</f>
        <v>0.3333333333</v>
      </c>
      <c r="AD6" s="42">
        <f t="array" ref="AD6">IF(XLOOKUP($A6,Partner_Tickets!$A:$A,Partner_Tickets!AD:AD,"",0)="Free","Free",IF(XLOOKUP($A6,Partner_Tickets!$A:$A,Partner_Tickets!AD:AD,"",0)="VL","VL",IF(XLOOKUP($A6,Partner_Tickets!$A:$A,Partner_Tickets!AD:AD,"",0)="ATT","ATT",XLOOKUP($A6,Partner_Tickets!$A:$A,Partner_Tickets!AD:AD,"",0))))</f>
        <v>0.3333333333</v>
      </c>
      <c r="AE6" s="42" t="str">
        <f t="array" ref="AE6">IF(XLOOKUP($A6,Partner_Tickets!$A:$A,Partner_Tickets!AE:AE,"",0)="Free","Free",IF(XLOOKUP($A6,Partner_Tickets!$A:$A,Partner_Tickets!AE:AE,"",0)="VL","VL",IF(XLOOKUP($A6,Partner_Tickets!$A:$A,Partner_Tickets!AE:AE,"",0)="ATT","ATT",XLOOKUP($A6,Partner_Tickets!$A:$A,Partner_Tickets!AE:AE,"",0))))</f>
        <v>Free</v>
      </c>
      <c r="AF6" s="42"/>
      <c r="AG6" s="42">
        <f t="array" ref="AG6">IF(XLOOKUP($A6,Partner_Tickets!$A:$A,Partner_Tickets!AG:AG,"",0)="Free","Free",IF(XLOOKUP($A6,Partner_Tickets!$A:$A,Partner_Tickets!AG:AG,"",0)="VL","VL",IF(XLOOKUP($A6,Partner_Tickets!$A:$A,Partner_Tickets!AG:AG,"",0)="ATT","ATT",XLOOKUP($A6,Partner_Tickets!$A:$A,Partner_Tickets!AG:AG,"",0))))</f>
        <v>0.3333333333</v>
      </c>
      <c r="AH6" s="42">
        <f t="array" ref="AH6">IF(XLOOKUP($A6,Partner_Tickets!$A:$A,Partner_Tickets!AH:AH,"",0)="Free","Free",IF(XLOOKUP($A6,Partner_Tickets!$A:$A,Partner_Tickets!AH:AH,"",0)="VL","VL",IF(XLOOKUP($A6,Partner_Tickets!$A:$A,Partner_Tickets!AH:AH,"",0)="ATT","ATT",XLOOKUP($A6,Partner_Tickets!$A:$A,Partner_Tickets!AH:AH,"",0))))</f>
        <v>0.3333333333</v>
      </c>
      <c r="AI6" s="42">
        <f t="array" ref="AI6">IF(XLOOKUP($A6,Partner_Tickets!$A:$A,Partner_Tickets!AI:AI,"",0)="Free","Free",IF(XLOOKUP($A6,Partner_Tickets!$A:$A,Partner_Tickets!AI:AI,"",0)="VL","VL",IF(XLOOKUP($A6,Partner_Tickets!$A:$A,Partner_Tickets!AI:AI,"",0)="ATT","ATT",XLOOKUP($A6,Partner_Tickets!$A:$A,Partner_Tickets!AI:AI,"",0))))</f>
        <v>0.3333333333</v>
      </c>
      <c r="AJ6" s="42">
        <f t="array" ref="AJ6">IF(XLOOKUP($A6,Partner_Tickets!$A:$A,Partner_Tickets!AJ:AJ,"",0)="Free","Free",IF(XLOOKUP($A6,Partner_Tickets!$A:$A,Partner_Tickets!AJ:AJ,"",0)="VL","VL",IF(XLOOKUP($A6,Partner_Tickets!$A:$A,Partner_Tickets!AJ:AJ,"",0)="ATT","ATT",XLOOKUP($A6,Partner_Tickets!$A:$A,Partner_Tickets!AJ:AJ,"",0))))</f>
        <v>0.3333333333</v>
      </c>
      <c r="AK6" s="42">
        <f t="array" ref="AK6">IF(XLOOKUP($A6,Partner_Tickets!$A:$A,Partner_Tickets!AK:AK,"",0)="Free","Free",IF(XLOOKUP($A6,Partner_Tickets!$A:$A,Partner_Tickets!AK:AK,"",0)="VL","VL",IF(XLOOKUP($A6,Partner_Tickets!$A:$A,Partner_Tickets!AK:AK,"",0)="ATT","ATT",XLOOKUP($A6,Partner_Tickets!$A:$A,Partner_Tickets!AK:AK,"",0))))</f>
        <v>0.3333333333</v>
      </c>
      <c r="AL6" s="42" t="str">
        <f t="array" ref="AL6">IF(XLOOKUP($A6,Partner_Tickets!$A:$A,Partner_Tickets!AL:AL,"",0)="Free","Free",IF(XLOOKUP($A6,Partner_Tickets!$A:$A,Partner_Tickets!AL:AL,"",0)="VL","VL",IF(XLOOKUP($A6,Partner_Tickets!$A:$A,Partner_Tickets!AL:AL,"",0)="ATT","ATT",XLOOKUP($A6,Partner_Tickets!$A:$A,Partner_Tickets!AL:AL,"",0))))</f>
        <v>Free</v>
      </c>
      <c r="AM6" s="42"/>
    </row>
    <row r="7">
      <c r="A7" s="40" t="s">
        <v>139</v>
      </c>
      <c r="B7" s="44" t="str">
        <f t="array" ref="B7">XLOOKUP(A7,Roster!F:F,Roster!A:A,"",0)</f>
        <v>Bryan Galvis</v>
      </c>
      <c r="C7" s="44" t="str">
        <f t="array" ref="C7">XLOOKUP(A7,Roster!F:F,Roster!B:B,"",0)</f>
        <v>Braian Restrepo</v>
      </c>
      <c r="D7" s="40"/>
      <c r="E7" s="42">
        <f t="array" ref="E7">IF(XLOOKUP($A7,Partner_Tickets!$A:$A,Partner_Tickets!E:E,"",0)="Free","Free",IF(XLOOKUP($A7,Partner_Tickets!$A:$A,Partner_Tickets!E:E,"",0)="VL","VL",IF(XLOOKUP($A7,Partner_Tickets!$A:$A,Partner_Tickets!E:E,"",0)="ATT","ATT",XLOOKUP($A7,Partner_Tickets!$A:$A,Partner_Tickets!E:E,"",0))))</f>
        <v>0.3333333333</v>
      </c>
      <c r="F7" s="42">
        <f t="array" ref="F7">IF(XLOOKUP($A7,Partner_Tickets!$A:$A,Partner_Tickets!F:F,"",0)="Free","Free",IF(XLOOKUP($A7,Partner_Tickets!$A:$A,Partner_Tickets!F:F,"",0)="VL","VL",IF(XLOOKUP($A7,Partner_Tickets!$A:$A,Partner_Tickets!F:F,"",0)="ATT","ATT",XLOOKUP($A7,Partner_Tickets!$A:$A,Partner_Tickets!F:F,"",0))))</f>
        <v>0.3333333333</v>
      </c>
      <c r="G7" s="42" t="str">
        <f t="array" ref="G7">IF(XLOOKUP($A7,Partner_Tickets!$A:$A,Partner_Tickets!G:G,"",0)="Free","Free",IF(XLOOKUP($A7,Partner_Tickets!$A:$A,Partner_Tickets!G:G,"",0)="VL","VL",IF(XLOOKUP($A7,Partner_Tickets!$A:$A,Partner_Tickets!G:G,"",0)="ATT","ATT",XLOOKUP($A7,Partner_Tickets!$A:$A,Partner_Tickets!G:G,"",0))))</f>
        <v>Free</v>
      </c>
      <c r="H7" s="42">
        <f t="array" ref="H7">IF(XLOOKUP($A7,Partner_Tickets!$A:$A,Partner_Tickets!H:H,"",0)="Free","Free",IF(XLOOKUP($A7,Partner_Tickets!$A:$A,Partner_Tickets!H:H,"",0)="VL","VL",IF(XLOOKUP($A7,Partner_Tickets!$A:$A,Partner_Tickets!H:H,"",0)="ATT","ATT",XLOOKUP($A7,Partner_Tickets!$A:$A,Partner_Tickets!H:H,"",0))))</f>
        <v>0.3333333333</v>
      </c>
      <c r="I7" s="42">
        <f t="array" ref="I7">IF(XLOOKUP($A7,Partner_Tickets!$A:$A,Partner_Tickets!I:I,"",0)="Free","Free",IF(XLOOKUP($A7,Partner_Tickets!$A:$A,Partner_Tickets!I:I,"",0)="VL","VL",IF(XLOOKUP($A7,Partner_Tickets!$A:$A,Partner_Tickets!I:I,"",0)="ATT","ATT",XLOOKUP($A7,Partner_Tickets!$A:$A,Partner_Tickets!I:I,"",0))))</f>
        <v>0.3333333333</v>
      </c>
      <c r="J7" s="42">
        <f t="array" ref="J7">IF(XLOOKUP($A7,Partner_Tickets!$A:$A,Partner_Tickets!J:J,"",0)="Free","Free",IF(XLOOKUP($A7,Partner_Tickets!$A:$A,Partner_Tickets!J:J,"",0)="VL","VL",IF(XLOOKUP($A7,Partner_Tickets!$A:$A,Partner_Tickets!J:J,"",0)="ATT","ATT",XLOOKUP($A7,Partner_Tickets!$A:$A,Partner_Tickets!J:J,"",0))))</f>
        <v>0.3333333333</v>
      </c>
      <c r="K7" s="42" t="str">
        <f t="array" ref="K7">IF(XLOOKUP($A7,Partner_Tickets!$A:$A,Partner_Tickets!K:K,"",0)="Free","Free",IF(XLOOKUP($A7,Partner_Tickets!$A:$A,Partner_Tickets!K:K,"",0)="VL","VL",IF(XLOOKUP($A7,Partner_Tickets!$A:$A,Partner_Tickets!K:K,"",0)="ATT","ATT",XLOOKUP($A7,Partner_Tickets!$A:$A,Partner_Tickets!K:K,"",0))))</f>
        <v/>
      </c>
      <c r="L7" s="42">
        <f t="array" ref="L7">IF(XLOOKUP($A7,Partner_Tickets!$A:$A,Partner_Tickets!L:L,"",0)="Free","Free",IF(XLOOKUP($A7,Partner_Tickets!$A:$A,Partner_Tickets!L:L,"",0)="VL","VL",IF(XLOOKUP($A7,Partner_Tickets!$A:$A,Partner_Tickets!L:L,"",0)="ATT","ATT",XLOOKUP($A7,Partner_Tickets!$A:$A,Partner_Tickets!L:L,"",0))))</f>
        <v>0.3333333333</v>
      </c>
      <c r="M7" s="42">
        <f t="array" ref="M7">IF(XLOOKUP($A7,Partner_Tickets!$A:$A,Partner_Tickets!M:M,"",0)="Free","Free",IF(XLOOKUP($A7,Partner_Tickets!$A:$A,Partner_Tickets!M:M,"",0)="VL","VL",IF(XLOOKUP($A7,Partner_Tickets!$A:$A,Partner_Tickets!M:M,"",0)="ATT","ATT",XLOOKUP($A7,Partner_Tickets!$A:$A,Partner_Tickets!M:M,"",0))))</f>
        <v>0.3333333333</v>
      </c>
      <c r="N7" s="42">
        <f t="array" ref="N7">IF(XLOOKUP($A7,Partner_Tickets!$A:$A,Partner_Tickets!N:N,"",0)="Free","Free",IF(XLOOKUP($A7,Partner_Tickets!$A:$A,Partner_Tickets!N:N,"",0)="VL","VL",IF(XLOOKUP($A7,Partner_Tickets!$A:$A,Partner_Tickets!N:N,"",0)="ATT","ATT",XLOOKUP($A7,Partner_Tickets!$A:$A,Partner_Tickets!N:N,"",0))))</f>
        <v>0.3333333333</v>
      </c>
      <c r="O7" s="42" t="str">
        <f t="array" ref="O7">IF(XLOOKUP($A7,Partner_Tickets!$A:$A,Partner_Tickets!O:O,"",0)="Free","Free",IF(XLOOKUP($A7,Partner_Tickets!$A:$A,Partner_Tickets!O:O,"",0)="VL","VL",IF(XLOOKUP($A7,Partner_Tickets!$A:$A,Partner_Tickets!O:O,"",0)="ATT","ATT",XLOOKUP($A7,Partner_Tickets!$A:$A,Partner_Tickets!O:O,"",0))))</f>
        <v>Free</v>
      </c>
      <c r="P7" s="42">
        <f t="array" ref="P7">IF(XLOOKUP($A7,Partner_Tickets!$A:$A,Partner_Tickets!P:P,"",0)="Free","Free",IF(XLOOKUP($A7,Partner_Tickets!$A:$A,Partner_Tickets!P:P,"",0)="VL","VL",IF(XLOOKUP($A7,Partner_Tickets!$A:$A,Partner_Tickets!P:P,"",0)="ATT","ATT",XLOOKUP($A7,Partner_Tickets!$A:$A,Partner_Tickets!P:P,"",0))))</f>
        <v>0.3333333333</v>
      </c>
      <c r="Q7" s="42">
        <f t="array" ref="Q7">IF(XLOOKUP($A7,Partner_Tickets!$A:$A,Partner_Tickets!Q:Q,"",0)="Free","Free",IF(XLOOKUP($A7,Partner_Tickets!$A:$A,Partner_Tickets!Q:Q,"",0)="VL","VL",IF(XLOOKUP($A7,Partner_Tickets!$A:$A,Partner_Tickets!Q:Q,"",0)="ATT","ATT",XLOOKUP($A7,Partner_Tickets!$A:$A,Partner_Tickets!Q:Q,"",0))))</f>
        <v>0.3333333333</v>
      </c>
      <c r="R7" s="42"/>
      <c r="S7" s="42">
        <f t="array" ref="S7">IF(XLOOKUP($A7,Partner_Tickets!$A:$A,Partner_Tickets!S:S,"",0)="Free","Free",IF(XLOOKUP($A7,Partner_Tickets!$A:$A,Partner_Tickets!S:S,"",0)="VL","VL",IF(XLOOKUP($A7,Partner_Tickets!$A:$A,Partner_Tickets!S:S,"",0)="ATT","ATT",XLOOKUP($A7,Partner_Tickets!$A:$A,Partner_Tickets!S:S,"",0))))</f>
        <v>0.3333333333</v>
      </c>
      <c r="T7" s="42">
        <f t="array" ref="T7">IF(XLOOKUP($A7,Partner_Tickets!$A:$A,Partner_Tickets!T:T,"",0)="Free","Free",IF(XLOOKUP($A7,Partner_Tickets!$A:$A,Partner_Tickets!T:T,"",0)="VL","VL",IF(XLOOKUP($A7,Partner_Tickets!$A:$A,Partner_Tickets!T:T,"",0)="ATT","ATT",XLOOKUP($A7,Partner_Tickets!$A:$A,Partner_Tickets!T:T,"",0))))</f>
        <v>0.3333333333</v>
      </c>
      <c r="U7" s="42">
        <f t="array" ref="U7">IF(XLOOKUP($A7,Partner_Tickets!$A:$A,Partner_Tickets!U:U,"",0)="Free","Free",IF(XLOOKUP($A7,Partner_Tickets!$A:$A,Partner_Tickets!U:U,"",0)="VL","VL",IF(XLOOKUP($A7,Partner_Tickets!$A:$A,Partner_Tickets!U:U,"",0)="ATT","ATT",XLOOKUP($A7,Partner_Tickets!$A:$A,Partner_Tickets!U:U,"",0))))</f>
        <v>0.3333333333</v>
      </c>
      <c r="V7" s="42" t="str">
        <f t="array" ref="V7">IF(XLOOKUP($A7,Partner_Tickets!$A:$A,Partner_Tickets!V:V,"",0)="Free","Free",IF(XLOOKUP($A7,Partner_Tickets!$A:$A,Partner_Tickets!V:V,"",0)="VL","VL",IF(XLOOKUP($A7,Partner_Tickets!$A:$A,Partner_Tickets!V:V,"",0)="ATT","ATT",XLOOKUP($A7,Partner_Tickets!$A:$A,Partner_Tickets!V:V,"",0))))</f>
        <v>Free</v>
      </c>
      <c r="W7" s="42">
        <f t="array" ref="W7">IF(XLOOKUP($A7,Partner_Tickets!$A:$A,Partner_Tickets!W:W,"",0)="Free","Free",IF(XLOOKUP($A7,Partner_Tickets!$A:$A,Partner_Tickets!W:W,"",0)="VL","VL",IF(XLOOKUP($A7,Partner_Tickets!$A:$A,Partner_Tickets!W:W,"",0)="ATT","ATT",XLOOKUP($A7,Partner_Tickets!$A:$A,Partner_Tickets!W:W,"",0))))</f>
        <v>0.3333333333</v>
      </c>
      <c r="X7" s="42">
        <f t="array" ref="X7">IF(XLOOKUP($A7,Partner_Tickets!$A:$A,Partner_Tickets!X:X,"",0)="Free","Free",IF(XLOOKUP($A7,Partner_Tickets!$A:$A,Partner_Tickets!X:X,"",0)="VL","VL",IF(XLOOKUP($A7,Partner_Tickets!$A:$A,Partner_Tickets!X:X,"",0)="ATT","ATT",XLOOKUP($A7,Partner_Tickets!$A:$A,Partner_Tickets!X:X,"",0))))</f>
        <v>0.3333333333</v>
      </c>
      <c r="Y7" s="42"/>
      <c r="Z7" s="42">
        <f t="array" ref="Z7">IF(XLOOKUP($A7,Partner_Tickets!$A:$A,Partner_Tickets!Z:Z,"",0)="Free","Free",IF(XLOOKUP($A7,Partner_Tickets!$A:$A,Partner_Tickets!Z:Z,"",0)="VL","VL",IF(XLOOKUP($A7,Partner_Tickets!$A:$A,Partner_Tickets!Z:Z,"",0)="ATT","ATT",XLOOKUP($A7,Partner_Tickets!$A:$A,Partner_Tickets!Z:Z,"",0))))</f>
        <v>0.3333333333</v>
      </c>
      <c r="AA7" s="42">
        <f t="array" ref="AA7">IF(XLOOKUP($A7,Partner_Tickets!$A:$A,Partner_Tickets!AA:AA,"",0)="Free","Free",IF(XLOOKUP($A7,Partner_Tickets!$A:$A,Partner_Tickets!AA:AA,"",0)="VL","VL",IF(XLOOKUP($A7,Partner_Tickets!$A:$A,Partner_Tickets!AA:AA,"",0)="ATT","ATT",XLOOKUP($A7,Partner_Tickets!$A:$A,Partner_Tickets!AA:AA,"",0))))</f>
        <v>0.3333333333</v>
      </c>
      <c r="AB7" s="42">
        <f t="array" ref="AB7">IF(XLOOKUP($A7,Partner_Tickets!$A:$A,Partner_Tickets!AB:AB,"",0)="Free","Free",IF(XLOOKUP($A7,Partner_Tickets!$A:$A,Partner_Tickets!AB:AB,"",0)="VL","VL",IF(XLOOKUP($A7,Partner_Tickets!$A:$A,Partner_Tickets!AB:AB,"",0)="ATT","ATT",XLOOKUP($A7,Partner_Tickets!$A:$A,Partner_Tickets!AB:AB,"",0))))</f>
        <v>0.3333333333</v>
      </c>
      <c r="AC7" s="42" t="str">
        <f t="array" ref="AC7">IF(XLOOKUP($A7,Partner_Tickets!$A:$A,Partner_Tickets!AC:AC,"",0)="Free","Free",IF(XLOOKUP($A7,Partner_Tickets!$A:$A,Partner_Tickets!AC:AC,"",0)="VL","VL",IF(XLOOKUP($A7,Partner_Tickets!$A:$A,Partner_Tickets!AC:AC,"",0)="ATT","ATT",XLOOKUP($A7,Partner_Tickets!$A:$A,Partner_Tickets!AC:AC,"",0))))</f>
        <v>Free</v>
      </c>
      <c r="AD7" s="42">
        <f t="array" ref="AD7">IF(XLOOKUP($A7,Partner_Tickets!$A:$A,Partner_Tickets!AD:AD,"",0)="Free","Free",IF(XLOOKUP($A7,Partner_Tickets!$A:$A,Partner_Tickets!AD:AD,"",0)="VL","VL",IF(XLOOKUP($A7,Partner_Tickets!$A:$A,Partner_Tickets!AD:AD,"",0)="ATT","ATT",XLOOKUP($A7,Partner_Tickets!$A:$A,Partner_Tickets!AD:AD,"",0))))</f>
        <v>0.3333333333</v>
      </c>
      <c r="AE7" s="42">
        <f t="array" ref="AE7">IF(XLOOKUP($A7,Partner_Tickets!$A:$A,Partner_Tickets!AE:AE,"",0)="Free","Free",IF(XLOOKUP($A7,Partner_Tickets!$A:$A,Partner_Tickets!AE:AE,"",0)="VL","VL",IF(XLOOKUP($A7,Partner_Tickets!$A:$A,Partner_Tickets!AE:AE,"",0)="ATT","ATT",XLOOKUP($A7,Partner_Tickets!$A:$A,Partner_Tickets!AE:AE,"",0))))</f>
        <v>0.3333333333</v>
      </c>
      <c r="AF7" s="42"/>
      <c r="AG7" s="42">
        <f t="array" ref="AG7">IF(XLOOKUP($A7,Partner_Tickets!$A:$A,Partner_Tickets!AG:AG,"",0)="Free","Free",IF(XLOOKUP($A7,Partner_Tickets!$A:$A,Partner_Tickets!AG:AG,"",0)="VL","VL",IF(XLOOKUP($A7,Partner_Tickets!$A:$A,Partner_Tickets!AG:AG,"",0)="ATT","ATT",XLOOKUP($A7,Partner_Tickets!$A:$A,Partner_Tickets!AG:AG,"",0))))</f>
        <v>0.3333333333</v>
      </c>
      <c r="AH7" s="42">
        <f t="array" ref="AH7">IF(XLOOKUP($A7,Partner_Tickets!$A:$A,Partner_Tickets!AH:AH,"",0)="Free","Free",IF(XLOOKUP($A7,Partner_Tickets!$A:$A,Partner_Tickets!AH:AH,"",0)="VL","VL",IF(XLOOKUP($A7,Partner_Tickets!$A:$A,Partner_Tickets!AH:AH,"",0)="ATT","ATT",XLOOKUP($A7,Partner_Tickets!$A:$A,Partner_Tickets!AH:AH,"",0))))</f>
        <v>0.3333333333</v>
      </c>
      <c r="AI7" s="42">
        <f t="array" ref="AI7">IF(XLOOKUP($A7,Partner_Tickets!$A:$A,Partner_Tickets!AI:AI,"",0)="Free","Free",IF(XLOOKUP($A7,Partner_Tickets!$A:$A,Partner_Tickets!AI:AI,"",0)="VL","VL",IF(XLOOKUP($A7,Partner_Tickets!$A:$A,Partner_Tickets!AI:AI,"",0)="ATT","ATT",XLOOKUP($A7,Partner_Tickets!$A:$A,Partner_Tickets!AI:AI,"",0))))</f>
        <v>0.3333333333</v>
      </c>
      <c r="AJ7" s="42" t="str">
        <f t="array" ref="AJ7">IF(XLOOKUP($A7,Partner_Tickets!$A:$A,Partner_Tickets!AJ:AJ,"",0)="Free","Free",IF(XLOOKUP($A7,Partner_Tickets!$A:$A,Partner_Tickets!AJ:AJ,"",0)="VL","VL",IF(XLOOKUP($A7,Partner_Tickets!$A:$A,Partner_Tickets!AJ:AJ,"",0)="ATT","ATT",XLOOKUP($A7,Partner_Tickets!$A:$A,Partner_Tickets!AJ:AJ,"",0))))</f>
        <v>Free</v>
      </c>
      <c r="AK7" s="42">
        <f t="array" ref="AK7">IF(XLOOKUP($A7,Partner_Tickets!$A:$A,Partner_Tickets!AK:AK,"",0)="Free","Free",IF(XLOOKUP($A7,Partner_Tickets!$A:$A,Partner_Tickets!AK:AK,"",0)="VL","VL",IF(XLOOKUP($A7,Partner_Tickets!$A:$A,Partner_Tickets!AK:AK,"",0)="ATT","ATT",XLOOKUP($A7,Partner_Tickets!$A:$A,Partner_Tickets!AK:AK,"",0))))</f>
        <v>0.3333333333</v>
      </c>
      <c r="AL7" s="42">
        <f t="array" ref="AL7">IF(XLOOKUP($A7,Partner_Tickets!$A:$A,Partner_Tickets!AL:AL,"",0)="Free","Free",IF(XLOOKUP($A7,Partner_Tickets!$A:$A,Partner_Tickets!AL:AL,"",0)="VL","VL",IF(XLOOKUP($A7,Partner_Tickets!$A:$A,Partner_Tickets!AL:AL,"",0)="ATT","ATT",XLOOKUP($A7,Partner_Tickets!$A:$A,Partner_Tickets!AL:AL,"",0))))</f>
        <v>0.3333333333</v>
      </c>
      <c r="AM7" s="42"/>
    </row>
    <row r="8">
      <c r="A8" s="40" t="s">
        <v>140</v>
      </c>
      <c r="B8" s="44" t="str">
        <f t="array" ref="B8">XLOOKUP(A8,Roster!F:F,Roster!A:A,"",0)</f>
        <v>Bryan Galvis</v>
      </c>
      <c r="C8" s="44" t="str">
        <f t="array" ref="C8">XLOOKUP(A8,Roster!F:F,Roster!B:B,"",0)</f>
        <v>Johana Villarreal</v>
      </c>
      <c r="D8" s="45"/>
      <c r="E8" s="42">
        <f t="array" ref="E8">IF(XLOOKUP($A8,Partner_Tickets!$A:$A,Partner_Tickets!E:E,"",0)="Free","Free",IF(XLOOKUP($A8,Partner_Tickets!$A:$A,Partner_Tickets!E:E,"",0)="VL","VL",IF(XLOOKUP($A8,Partner_Tickets!$A:$A,Partner_Tickets!E:E,"",0)="ATT","ATT",XLOOKUP($A8,Partner_Tickets!$A:$A,Partner_Tickets!E:E,"",0))))</f>
        <v>0.2916666667</v>
      </c>
      <c r="F8" s="42">
        <f t="array" ref="F8">IF(XLOOKUP($A8,Partner_Tickets!$A:$A,Partner_Tickets!F:F,"",0)="Free","Free",IF(XLOOKUP($A8,Partner_Tickets!$A:$A,Partner_Tickets!F:F,"",0)="VL","VL",IF(XLOOKUP($A8,Partner_Tickets!$A:$A,Partner_Tickets!F:F,"",0)="ATT","ATT",XLOOKUP($A8,Partner_Tickets!$A:$A,Partner_Tickets!F:F,"",0))))</f>
        <v>0.2916666667</v>
      </c>
      <c r="G8" s="42">
        <f t="array" ref="G8">IF(XLOOKUP($A8,Partner_Tickets!$A:$A,Partner_Tickets!G:G,"",0)="Free","Free",IF(XLOOKUP($A8,Partner_Tickets!$A:$A,Partner_Tickets!G:G,"",0)="VL","VL",IF(XLOOKUP($A8,Partner_Tickets!$A:$A,Partner_Tickets!G:G,"",0)="ATT","ATT",XLOOKUP($A8,Partner_Tickets!$A:$A,Partner_Tickets!G:G,"",0))))</f>
        <v>0.2916666667</v>
      </c>
      <c r="H8" s="42">
        <f t="array" ref="H8">IF(XLOOKUP($A8,Partner_Tickets!$A:$A,Partner_Tickets!H:H,"",0)="Free","Free",IF(XLOOKUP($A8,Partner_Tickets!$A:$A,Partner_Tickets!H:H,"",0)="VL","VL",IF(XLOOKUP($A8,Partner_Tickets!$A:$A,Partner_Tickets!H:H,"",0)="ATT","ATT",XLOOKUP($A8,Partner_Tickets!$A:$A,Partner_Tickets!H:H,"",0))))</f>
        <v>0.2916666667</v>
      </c>
      <c r="I8" s="42">
        <f t="array" ref="I8">IF(XLOOKUP($A8,Partner_Tickets!$A:$A,Partner_Tickets!I:I,"",0)="Free","Free",IF(XLOOKUP($A8,Partner_Tickets!$A:$A,Partner_Tickets!I:I,"",0)="VL","VL",IF(XLOOKUP($A8,Partner_Tickets!$A:$A,Partner_Tickets!I:I,"",0)="ATT","ATT",XLOOKUP($A8,Partner_Tickets!$A:$A,Partner_Tickets!I:I,"",0))))</f>
        <v>0.2916666667</v>
      </c>
      <c r="J8" s="42" t="str">
        <f t="array" ref="J8">IF(XLOOKUP($A8,Partner_Tickets!$A:$A,Partner_Tickets!J:J,"",0)="Free","Free",IF(XLOOKUP($A8,Partner_Tickets!$A:$A,Partner_Tickets!J:J,"",0)="VL","VL",IF(XLOOKUP($A8,Partner_Tickets!$A:$A,Partner_Tickets!J:J,"",0)="ATT","ATT",XLOOKUP($A8,Partner_Tickets!$A:$A,Partner_Tickets!J:J,"",0))))</f>
        <v>Free</v>
      </c>
      <c r="K8" s="42" t="str">
        <f t="array" ref="K8">IF(XLOOKUP($A8,Partner_Tickets!$A:$A,Partner_Tickets!K:K,"",0)="Free","Free",IF(XLOOKUP($A8,Partner_Tickets!$A:$A,Partner_Tickets!K:K,"",0)="VL","VL",IF(XLOOKUP($A8,Partner_Tickets!$A:$A,Partner_Tickets!K:K,"",0)="ATT","ATT",XLOOKUP($A8,Partner_Tickets!$A:$A,Partner_Tickets!K:K,"",0))))</f>
        <v/>
      </c>
      <c r="L8" s="42">
        <f t="array" ref="L8">IF(XLOOKUP($A8,Partner_Tickets!$A:$A,Partner_Tickets!L:L,"",0)="Free","Free",IF(XLOOKUP($A8,Partner_Tickets!$A:$A,Partner_Tickets!L:L,"",0)="VL","VL",IF(XLOOKUP($A8,Partner_Tickets!$A:$A,Partner_Tickets!L:L,"",0)="ATT","ATT",XLOOKUP($A8,Partner_Tickets!$A:$A,Partner_Tickets!L:L,"",0))))</f>
        <v>0.2916666667</v>
      </c>
      <c r="M8" s="42">
        <f t="array" ref="M8">IF(XLOOKUP($A8,Partner_Tickets!$A:$A,Partner_Tickets!M:M,"",0)="Free","Free",IF(XLOOKUP($A8,Partner_Tickets!$A:$A,Partner_Tickets!M:M,"",0)="VL","VL",IF(XLOOKUP($A8,Partner_Tickets!$A:$A,Partner_Tickets!M:M,"",0)="ATT","ATT",XLOOKUP($A8,Partner_Tickets!$A:$A,Partner_Tickets!M:M,"",0))))</f>
        <v>0.2916666667</v>
      </c>
      <c r="N8" s="42">
        <f t="array" ref="N8">IF(XLOOKUP($A8,Partner_Tickets!$A:$A,Partner_Tickets!N:N,"",0)="Free","Free",IF(XLOOKUP($A8,Partner_Tickets!$A:$A,Partner_Tickets!N:N,"",0)="VL","VL",IF(XLOOKUP($A8,Partner_Tickets!$A:$A,Partner_Tickets!N:N,"",0)="ATT","ATT",XLOOKUP($A8,Partner_Tickets!$A:$A,Partner_Tickets!N:N,"",0))))</f>
        <v>0.2916666667</v>
      </c>
      <c r="O8" s="42">
        <f t="array" ref="O8">IF(XLOOKUP($A8,Partner_Tickets!$A:$A,Partner_Tickets!O:O,"",0)="Free","Free",IF(XLOOKUP($A8,Partner_Tickets!$A:$A,Partner_Tickets!O:O,"",0)="VL","VL",IF(XLOOKUP($A8,Partner_Tickets!$A:$A,Partner_Tickets!O:O,"",0)="ATT","ATT",XLOOKUP($A8,Partner_Tickets!$A:$A,Partner_Tickets!O:O,"",0))))</f>
        <v>0.2916666667</v>
      </c>
      <c r="P8" s="42">
        <f t="array" ref="P8">IF(XLOOKUP($A8,Partner_Tickets!$A:$A,Partner_Tickets!P:P,"",0)="Free","Free",IF(XLOOKUP($A8,Partner_Tickets!$A:$A,Partner_Tickets!P:P,"",0)="VL","VL",IF(XLOOKUP($A8,Partner_Tickets!$A:$A,Partner_Tickets!P:P,"",0)="ATT","ATT",XLOOKUP($A8,Partner_Tickets!$A:$A,Partner_Tickets!P:P,"",0))))</f>
        <v>0.2916666667</v>
      </c>
      <c r="Q8" s="42" t="str">
        <f t="array" ref="Q8">IF(XLOOKUP($A8,Partner_Tickets!$A:$A,Partner_Tickets!Q:Q,"",0)="Free","Free",IF(XLOOKUP($A8,Partner_Tickets!$A:$A,Partner_Tickets!Q:Q,"",0)="VL","VL",IF(XLOOKUP($A8,Partner_Tickets!$A:$A,Partner_Tickets!Q:Q,"",0)="ATT","ATT",XLOOKUP($A8,Partner_Tickets!$A:$A,Partner_Tickets!Q:Q,"",0))))</f>
        <v>Free</v>
      </c>
      <c r="R8" s="42"/>
      <c r="S8" s="42">
        <f t="array" ref="S8">IF(XLOOKUP($A8,Partner_Tickets!$A:$A,Partner_Tickets!S:S,"",0)="Free","Free",IF(XLOOKUP($A8,Partner_Tickets!$A:$A,Partner_Tickets!S:S,"",0)="VL","VL",IF(XLOOKUP($A8,Partner_Tickets!$A:$A,Partner_Tickets!S:S,"",0)="ATT","ATT",XLOOKUP($A8,Partner_Tickets!$A:$A,Partner_Tickets!S:S,"",0))))</f>
        <v>0.2916666667</v>
      </c>
      <c r="T8" s="42">
        <f t="array" ref="T8">IF(XLOOKUP($A8,Partner_Tickets!$A:$A,Partner_Tickets!T:T,"",0)="Free","Free",IF(XLOOKUP($A8,Partner_Tickets!$A:$A,Partner_Tickets!T:T,"",0)="VL","VL",IF(XLOOKUP($A8,Partner_Tickets!$A:$A,Partner_Tickets!T:T,"",0)="ATT","ATT",XLOOKUP($A8,Partner_Tickets!$A:$A,Partner_Tickets!T:T,"",0))))</f>
        <v>0.2916666667</v>
      </c>
      <c r="U8" s="42">
        <f t="array" ref="U8">IF(XLOOKUP($A8,Partner_Tickets!$A:$A,Partner_Tickets!U:U,"",0)="Free","Free",IF(XLOOKUP($A8,Partner_Tickets!$A:$A,Partner_Tickets!U:U,"",0)="VL","VL",IF(XLOOKUP($A8,Partner_Tickets!$A:$A,Partner_Tickets!U:U,"",0)="ATT","ATT",XLOOKUP($A8,Partner_Tickets!$A:$A,Partner_Tickets!U:U,"",0))))</f>
        <v>0.2916666667</v>
      </c>
      <c r="V8" s="42">
        <f t="array" ref="V8">IF(XLOOKUP($A8,Partner_Tickets!$A:$A,Partner_Tickets!V:V,"",0)="Free","Free",IF(XLOOKUP($A8,Partner_Tickets!$A:$A,Partner_Tickets!V:V,"",0)="VL","VL",IF(XLOOKUP($A8,Partner_Tickets!$A:$A,Partner_Tickets!V:V,"",0)="ATT","ATT",XLOOKUP($A8,Partner_Tickets!$A:$A,Partner_Tickets!V:V,"",0))))</f>
        <v>0.2916666667</v>
      </c>
      <c r="W8" s="42">
        <f t="array" ref="W8">IF(XLOOKUP($A8,Partner_Tickets!$A:$A,Partner_Tickets!W:W,"",0)="Free","Free",IF(XLOOKUP($A8,Partner_Tickets!$A:$A,Partner_Tickets!W:W,"",0)="VL","VL",IF(XLOOKUP($A8,Partner_Tickets!$A:$A,Partner_Tickets!W:W,"",0)="ATT","ATT",XLOOKUP($A8,Partner_Tickets!$A:$A,Partner_Tickets!W:W,"",0))))</f>
        <v>0.2916666667</v>
      </c>
      <c r="X8" s="42" t="str">
        <f t="array" ref="X8">IF(XLOOKUP($A8,Partner_Tickets!$A:$A,Partner_Tickets!X:X,"",0)="Free","Free",IF(XLOOKUP($A8,Partner_Tickets!$A:$A,Partner_Tickets!X:X,"",0)="VL","VL",IF(XLOOKUP($A8,Partner_Tickets!$A:$A,Partner_Tickets!X:X,"",0)="ATT","ATT",XLOOKUP($A8,Partner_Tickets!$A:$A,Partner_Tickets!X:X,"",0))))</f>
        <v>Free</v>
      </c>
      <c r="Y8" s="42"/>
      <c r="Z8" s="42">
        <f t="array" ref="Z8">IF(XLOOKUP($A8,Partner_Tickets!$A:$A,Partner_Tickets!Z:Z,"",0)="Free","Free",IF(XLOOKUP($A8,Partner_Tickets!$A:$A,Partner_Tickets!Z:Z,"",0)="VL","VL",IF(XLOOKUP($A8,Partner_Tickets!$A:$A,Partner_Tickets!Z:Z,"",0)="ATT","ATT",XLOOKUP($A8,Partner_Tickets!$A:$A,Partner_Tickets!Z:Z,"",0))))</f>
        <v>0.2916666667</v>
      </c>
      <c r="AA8" s="42" t="str">
        <f t="array" ref="AA8">IF(XLOOKUP($A8,Partner_Tickets!$A:$A,Partner_Tickets!AA:AA,"",0)="Free","Free",IF(XLOOKUP($A8,Partner_Tickets!$A:$A,Partner_Tickets!AA:AA,"",0)="VL","VL",IF(XLOOKUP($A8,Partner_Tickets!$A:$A,Partner_Tickets!AA:AA,"",0)="ATT","ATT",XLOOKUP($A8,Partner_Tickets!$A:$A,Partner_Tickets!AA:AA,"",0))))</f>
        <v>Free</v>
      </c>
      <c r="AB8" s="42">
        <f t="array" ref="AB8">IF(XLOOKUP($A8,Partner_Tickets!$A:$A,Partner_Tickets!AB:AB,"",0)="Free","Free",IF(XLOOKUP($A8,Partner_Tickets!$A:$A,Partner_Tickets!AB:AB,"",0)="VL","VL",IF(XLOOKUP($A8,Partner_Tickets!$A:$A,Partner_Tickets!AB:AB,"",0)="ATT","ATT",XLOOKUP($A8,Partner_Tickets!$A:$A,Partner_Tickets!AB:AB,"",0))))</f>
        <v>0.2916666667</v>
      </c>
      <c r="AC8" s="42">
        <f t="array" ref="AC8">IF(XLOOKUP($A8,Partner_Tickets!$A:$A,Partner_Tickets!AC:AC,"",0)="Free","Free",IF(XLOOKUP($A8,Partner_Tickets!$A:$A,Partner_Tickets!AC:AC,"",0)="VL","VL",IF(XLOOKUP($A8,Partner_Tickets!$A:$A,Partner_Tickets!AC:AC,"",0)="ATT","ATT",XLOOKUP($A8,Partner_Tickets!$A:$A,Partner_Tickets!AC:AC,"",0))))</f>
        <v>0.2916666667</v>
      </c>
      <c r="AD8" s="42">
        <f t="array" ref="AD8">IF(XLOOKUP($A8,Partner_Tickets!$A:$A,Partner_Tickets!AD:AD,"",0)="Free","Free",IF(XLOOKUP($A8,Partner_Tickets!$A:$A,Partner_Tickets!AD:AD,"",0)="VL","VL",IF(XLOOKUP($A8,Partner_Tickets!$A:$A,Partner_Tickets!AD:AD,"",0)="ATT","ATT",XLOOKUP($A8,Partner_Tickets!$A:$A,Partner_Tickets!AD:AD,"",0))))</f>
        <v>0.2916666667</v>
      </c>
      <c r="AE8" s="42">
        <f t="array" ref="AE8">IF(XLOOKUP($A8,Partner_Tickets!$A:$A,Partner_Tickets!AE:AE,"",0)="Free","Free",IF(XLOOKUP($A8,Partner_Tickets!$A:$A,Partner_Tickets!AE:AE,"",0)="VL","VL",IF(XLOOKUP($A8,Partner_Tickets!$A:$A,Partner_Tickets!AE:AE,"",0)="ATT","ATT",XLOOKUP($A8,Partner_Tickets!$A:$A,Partner_Tickets!AE:AE,"",0))))</f>
        <v>0.2916666667</v>
      </c>
      <c r="AF8" s="42"/>
      <c r="AG8" s="42">
        <f t="array" ref="AG8">IF(XLOOKUP($A8,Partner_Tickets!$A:$A,Partner_Tickets!AG:AG,"",0)="Free","Free",IF(XLOOKUP($A8,Partner_Tickets!$A:$A,Partner_Tickets!AG:AG,"",0)="VL","VL",IF(XLOOKUP($A8,Partner_Tickets!$A:$A,Partner_Tickets!AG:AG,"",0)="ATT","ATT",XLOOKUP($A8,Partner_Tickets!$A:$A,Partner_Tickets!AG:AG,"",0))))</f>
        <v>0.2916666667</v>
      </c>
      <c r="AH8" s="42">
        <f t="array" ref="AH8">IF(XLOOKUP($A8,Partner_Tickets!$A:$A,Partner_Tickets!AH:AH,"",0)="Free","Free",IF(XLOOKUP($A8,Partner_Tickets!$A:$A,Partner_Tickets!AH:AH,"",0)="VL","VL",IF(XLOOKUP($A8,Partner_Tickets!$A:$A,Partner_Tickets!AH:AH,"",0)="ATT","ATT",XLOOKUP($A8,Partner_Tickets!$A:$A,Partner_Tickets!AH:AH,"",0))))</f>
        <v>0.2916666667</v>
      </c>
      <c r="AI8" s="42">
        <f t="array" ref="AI8">IF(XLOOKUP($A8,Partner_Tickets!$A:$A,Partner_Tickets!AI:AI,"",0)="Free","Free",IF(XLOOKUP($A8,Partner_Tickets!$A:$A,Partner_Tickets!AI:AI,"",0)="VL","VL",IF(XLOOKUP($A8,Partner_Tickets!$A:$A,Partner_Tickets!AI:AI,"",0)="ATT","ATT",XLOOKUP($A8,Partner_Tickets!$A:$A,Partner_Tickets!AI:AI,"",0))))</f>
        <v>0.2916666667</v>
      </c>
      <c r="AJ8" s="42">
        <f t="array" ref="AJ8">IF(XLOOKUP($A8,Partner_Tickets!$A:$A,Partner_Tickets!AJ:AJ,"",0)="Free","Free",IF(XLOOKUP($A8,Partner_Tickets!$A:$A,Partner_Tickets!AJ:AJ,"",0)="VL","VL",IF(XLOOKUP($A8,Partner_Tickets!$A:$A,Partner_Tickets!AJ:AJ,"",0)="ATT","ATT",XLOOKUP($A8,Partner_Tickets!$A:$A,Partner_Tickets!AJ:AJ,"",0))))</f>
        <v>0.2916666667</v>
      </c>
      <c r="AK8" s="42">
        <f t="array" ref="AK8">IF(XLOOKUP($A8,Partner_Tickets!$A:$A,Partner_Tickets!AK:AK,"",0)="Free","Free",IF(XLOOKUP($A8,Partner_Tickets!$A:$A,Partner_Tickets!AK:AK,"",0)="VL","VL",IF(XLOOKUP($A8,Partner_Tickets!$A:$A,Partner_Tickets!AK:AK,"",0)="ATT","ATT",XLOOKUP($A8,Partner_Tickets!$A:$A,Partner_Tickets!AK:AK,"",0))))</f>
        <v>0.2916666667</v>
      </c>
      <c r="AL8" s="42" t="str">
        <f t="array" ref="AL8">IF(XLOOKUP($A8,Partner_Tickets!$A:$A,Partner_Tickets!AL:AL,"",0)="Free","Free",IF(XLOOKUP($A8,Partner_Tickets!$A:$A,Partner_Tickets!AL:AL,"",0)="VL","VL",IF(XLOOKUP($A8,Partner_Tickets!$A:$A,Partner_Tickets!AL:AL,"",0)="ATT","ATT",XLOOKUP($A8,Partner_Tickets!$A:$A,Partner_Tickets!AL:AL,"",0))))</f>
        <v>Free</v>
      </c>
      <c r="AM8" s="42"/>
    </row>
    <row r="9">
      <c r="A9" s="40" t="s">
        <v>141</v>
      </c>
      <c r="B9" s="44" t="str">
        <f t="array" ref="B9">XLOOKUP(A9,Roster!F:F,Roster!A:A,"",0)</f>
        <v>Bryan Galvis</v>
      </c>
      <c r="C9" s="44" t="str">
        <f t="array" ref="C9">XLOOKUP(A9,Roster!F:F,Roster!B:B,"",0)</f>
        <v>Juan Ospina</v>
      </c>
      <c r="D9" s="40"/>
      <c r="E9" s="42">
        <f t="array" ref="E9">IF(XLOOKUP($A9,Partner_Tickets!$A:$A,Partner_Tickets!E:E,"",0)="Free","Free",IF(XLOOKUP($A9,Partner_Tickets!$A:$A,Partner_Tickets!E:E,"",0)="VL","VL",IF(XLOOKUP($A9,Partner_Tickets!$A:$A,Partner_Tickets!E:E,"",0)="ATT","ATT",XLOOKUP($A9,Partner_Tickets!$A:$A,Partner_Tickets!E:E,"",0))))</f>
        <v>0.3333333333</v>
      </c>
      <c r="F9" s="42">
        <f t="array" ref="F9">IF(XLOOKUP($A9,Partner_Tickets!$A:$A,Partner_Tickets!F:F,"",0)="Free","Free",IF(XLOOKUP($A9,Partner_Tickets!$A:$A,Partner_Tickets!F:F,"",0)="VL","VL",IF(XLOOKUP($A9,Partner_Tickets!$A:$A,Partner_Tickets!F:F,"",0)="ATT","ATT",XLOOKUP($A9,Partner_Tickets!$A:$A,Partner_Tickets!F:F,"",0))))</f>
        <v>0.3333333333</v>
      </c>
      <c r="G9" s="42">
        <f t="array" ref="G9">IF(XLOOKUP($A9,Partner_Tickets!$A:$A,Partner_Tickets!G:G,"",0)="Free","Free",IF(XLOOKUP($A9,Partner_Tickets!$A:$A,Partner_Tickets!G:G,"",0)="VL","VL",IF(XLOOKUP($A9,Partner_Tickets!$A:$A,Partner_Tickets!G:G,"",0)="ATT","ATT",XLOOKUP($A9,Partner_Tickets!$A:$A,Partner_Tickets!G:G,"",0))))</f>
        <v>0.3333333333</v>
      </c>
      <c r="H9" s="42">
        <f t="array" ref="H9">IF(XLOOKUP($A9,Partner_Tickets!$A:$A,Partner_Tickets!H:H,"",0)="Free","Free",IF(XLOOKUP($A9,Partner_Tickets!$A:$A,Partner_Tickets!H:H,"",0)="VL","VL",IF(XLOOKUP($A9,Partner_Tickets!$A:$A,Partner_Tickets!H:H,"",0)="ATT","ATT",XLOOKUP($A9,Partner_Tickets!$A:$A,Partner_Tickets!H:H,"",0))))</f>
        <v>0.3333333333</v>
      </c>
      <c r="I9" s="42">
        <f t="array" ref="I9">IF(XLOOKUP($A9,Partner_Tickets!$A:$A,Partner_Tickets!I:I,"",0)="Free","Free",IF(XLOOKUP($A9,Partner_Tickets!$A:$A,Partner_Tickets!I:I,"",0)="VL","VL",IF(XLOOKUP($A9,Partner_Tickets!$A:$A,Partner_Tickets!I:I,"",0)="ATT","ATT",XLOOKUP($A9,Partner_Tickets!$A:$A,Partner_Tickets!I:I,"",0))))</f>
        <v>0.3333333333</v>
      </c>
      <c r="J9" s="42" t="str">
        <f t="array" ref="J9">IF(XLOOKUP($A9,Partner_Tickets!$A:$A,Partner_Tickets!J:J,"",0)="Free","Free",IF(XLOOKUP($A9,Partner_Tickets!$A:$A,Partner_Tickets!J:J,"",0)="VL","VL",IF(XLOOKUP($A9,Partner_Tickets!$A:$A,Partner_Tickets!J:J,"",0)="ATT","ATT",XLOOKUP($A9,Partner_Tickets!$A:$A,Partner_Tickets!J:J,"",0))))</f>
        <v>Free</v>
      </c>
      <c r="K9" s="42" t="str">
        <f t="array" ref="K9">IF(XLOOKUP($A9,Partner_Tickets!$A:$A,Partner_Tickets!K:K,"",0)="Free","Free",IF(XLOOKUP($A9,Partner_Tickets!$A:$A,Partner_Tickets!K:K,"",0)="VL","VL",IF(XLOOKUP($A9,Partner_Tickets!$A:$A,Partner_Tickets!K:K,"",0)="ATT","ATT",XLOOKUP($A9,Partner_Tickets!$A:$A,Partner_Tickets!K:K,"",0))))</f>
        <v/>
      </c>
      <c r="L9" s="42">
        <f t="array" ref="L9">IF(XLOOKUP($A9,Partner_Tickets!$A:$A,Partner_Tickets!L:L,"",0)="Free","Free",IF(XLOOKUP($A9,Partner_Tickets!$A:$A,Partner_Tickets!L:L,"",0)="VL","VL",IF(XLOOKUP($A9,Partner_Tickets!$A:$A,Partner_Tickets!L:L,"",0)="ATT","ATT",XLOOKUP($A9,Partner_Tickets!$A:$A,Partner_Tickets!L:L,"",0))))</f>
        <v>0.3333333333</v>
      </c>
      <c r="M9" s="42">
        <f t="array" ref="M9">IF(XLOOKUP($A9,Partner_Tickets!$A:$A,Partner_Tickets!M:M,"",0)="Free","Free",IF(XLOOKUP($A9,Partner_Tickets!$A:$A,Partner_Tickets!M:M,"",0)="VL","VL",IF(XLOOKUP($A9,Partner_Tickets!$A:$A,Partner_Tickets!M:M,"",0)="ATT","ATT",XLOOKUP($A9,Partner_Tickets!$A:$A,Partner_Tickets!M:M,"",0))))</f>
        <v>0.3333333333</v>
      </c>
      <c r="N9" s="42">
        <f t="array" ref="N9">IF(XLOOKUP($A9,Partner_Tickets!$A:$A,Partner_Tickets!N:N,"",0)="Free","Free",IF(XLOOKUP($A9,Partner_Tickets!$A:$A,Partner_Tickets!N:N,"",0)="VL","VL",IF(XLOOKUP($A9,Partner_Tickets!$A:$A,Partner_Tickets!N:N,"",0)="ATT","ATT",XLOOKUP($A9,Partner_Tickets!$A:$A,Partner_Tickets!N:N,"",0))))</f>
        <v>0.3333333333</v>
      </c>
      <c r="O9" s="42">
        <f t="array" ref="O9">IF(XLOOKUP($A9,Partner_Tickets!$A:$A,Partner_Tickets!O:O,"",0)="Free","Free",IF(XLOOKUP($A9,Partner_Tickets!$A:$A,Partner_Tickets!O:O,"",0)="VL","VL",IF(XLOOKUP($A9,Partner_Tickets!$A:$A,Partner_Tickets!O:O,"",0)="ATT","ATT",XLOOKUP($A9,Partner_Tickets!$A:$A,Partner_Tickets!O:O,"",0))))</f>
        <v>0.3333333333</v>
      </c>
      <c r="P9" s="42">
        <f t="array" ref="P9">IF(XLOOKUP($A9,Partner_Tickets!$A:$A,Partner_Tickets!P:P,"",0)="Free","Free",IF(XLOOKUP($A9,Partner_Tickets!$A:$A,Partner_Tickets!P:P,"",0)="VL","VL",IF(XLOOKUP($A9,Partner_Tickets!$A:$A,Partner_Tickets!P:P,"",0)="ATT","ATT",XLOOKUP($A9,Partner_Tickets!$A:$A,Partner_Tickets!P:P,"",0))))</f>
        <v>0.3333333333</v>
      </c>
      <c r="Q9" s="42" t="str">
        <f t="array" ref="Q9">IF(XLOOKUP($A9,Partner_Tickets!$A:$A,Partner_Tickets!Q:Q,"",0)="Free","Free",IF(XLOOKUP($A9,Partner_Tickets!$A:$A,Partner_Tickets!Q:Q,"",0)="VL","VL",IF(XLOOKUP($A9,Partner_Tickets!$A:$A,Partner_Tickets!Q:Q,"",0)="ATT","ATT",XLOOKUP($A9,Partner_Tickets!$A:$A,Partner_Tickets!Q:Q,"",0))))</f>
        <v>Free</v>
      </c>
      <c r="R9" s="42"/>
      <c r="S9" s="42">
        <f t="array" ref="S9">IF(XLOOKUP($A9,Partner_Tickets!$A:$A,Partner_Tickets!S:S,"",0)="Free","Free",IF(XLOOKUP($A9,Partner_Tickets!$A:$A,Partner_Tickets!S:S,"",0)="VL","VL",IF(XLOOKUP($A9,Partner_Tickets!$A:$A,Partner_Tickets!S:S,"",0)="ATT","ATT",XLOOKUP($A9,Partner_Tickets!$A:$A,Partner_Tickets!S:S,"",0))))</f>
        <v>0.3333333333</v>
      </c>
      <c r="T9" s="42">
        <f t="array" ref="T9">IF(XLOOKUP($A9,Partner_Tickets!$A:$A,Partner_Tickets!T:T,"",0)="Free","Free",IF(XLOOKUP($A9,Partner_Tickets!$A:$A,Partner_Tickets!T:T,"",0)="VL","VL",IF(XLOOKUP($A9,Partner_Tickets!$A:$A,Partner_Tickets!T:T,"",0)="ATT","ATT",XLOOKUP($A9,Partner_Tickets!$A:$A,Partner_Tickets!T:T,"",0))))</f>
        <v>0.3333333333</v>
      </c>
      <c r="U9" s="42">
        <f t="array" ref="U9">IF(XLOOKUP($A9,Partner_Tickets!$A:$A,Partner_Tickets!U:U,"",0)="Free","Free",IF(XLOOKUP($A9,Partner_Tickets!$A:$A,Partner_Tickets!U:U,"",0)="VL","VL",IF(XLOOKUP($A9,Partner_Tickets!$A:$A,Partner_Tickets!U:U,"",0)="ATT","ATT",XLOOKUP($A9,Partner_Tickets!$A:$A,Partner_Tickets!U:U,"",0))))</f>
        <v>0.3333333333</v>
      </c>
      <c r="V9" s="42">
        <f t="array" ref="V9">IF(XLOOKUP($A9,Partner_Tickets!$A:$A,Partner_Tickets!V:V,"",0)="Free","Free",IF(XLOOKUP($A9,Partner_Tickets!$A:$A,Partner_Tickets!V:V,"",0)="VL","VL",IF(XLOOKUP($A9,Partner_Tickets!$A:$A,Partner_Tickets!V:V,"",0)="ATT","ATT",XLOOKUP($A9,Partner_Tickets!$A:$A,Partner_Tickets!V:V,"",0))))</f>
        <v>0.3333333333</v>
      </c>
      <c r="W9" s="42">
        <f t="array" ref="W9">IF(XLOOKUP($A9,Partner_Tickets!$A:$A,Partner_Tickets!W:W,"",0)="Free","Free",IF(XLOOKUP($A9,Partner_Tickets!$A:$A,Partner_Tickets!W:W,"",0)="VL","VL",IF(XLOOKUP($A9,Partner_Tickets!$A:$A,Partner_Tickets!W:W,"",0)="ATT","ATT",XLOOKUP($A9,Partner_Tickets!$A:$A,Partner_Tickets!W:W,"",0))))</f>
        <v>0.3333333333</v>
      </c>
      <c r="X9" s="42" t="str">
        <f t="array" ref="X9">IF(XLOOKUP($A9,Partner_Tickets!$A:$A,Partner_Tickets!X:X,"",0)="Free","Free",IF(XLOOKUP($A9,Partner_Tickets!$A:$A,Partner_Tickets!X:X,"",0)="VL","VL",IF(XLOOKUP($A9,Partner_Tickets!$A:$A,Partner_Tickets!X:X,"",0)="ATT","ATT",XLOOKUP($A9,Partner_Tickets!$A:$A,Partner_Tickets!X:X,"",0))))</f>
        <v>Free</v>
      </c>
      <c r="Y9" s="42"/>
      <c r="Z9" s="42">
        <f t="array" ref="Z9">IF(XLOOKUP($A9,Partner_Tickets!$A:$A,Partner_Tickets!Z:Z,"",0)="Free","Free",IF(XLOOKUP($A9,Partner_Tickets!$A:$A,Partner_Tickets!Z:Z,"",0)="VL","VL",IF(XLOOKUP($A9,Partner_Tickets!$A:$A,Partner_Tickets!Z:Z,"",0)="ATT","ATT",XLOOKUP($A9,Partner_Tickets!$A:$A,Partner_Tickets!Z:Z,"",0))))</f>
        <v>0.3333333333</v>
      </c>
      <c r="AA9" s="42">
        <f t="array" ref="AA9">IF(XLOOKUP($A9,Partner_Tickets!$A:$A,Partner_Tickets!AA:AA,"",0)="Free","Free",IF(XLOOKUP($A9,Partner_Tickets!$A:$A,Partner_Tickets!AA:AA,"",0)="VL","VL",IF(XLOOKUP($A9,Partner_Tickets!$A:$A,Partner_Tickets!AA:AA,"",0)="ATT","ATT",XLOOKUP($A9,Partner_Tickets!$A:$A,Partner_Tickets!AA:AA,"",0))))</f>
        <v>0.3333333333</v>
      </c>
      <c r="AB9" s="42">
        <f t="array" ref="AB9">IF(XLOOKUP($A9,Partner_Tickets!$A:$A,Partner_Tickets!AB:AB,"",0)="Free","Free",IF(XLOOKUP($A9,Partner_Tickets!$A:$A,Partner_Tickets!AB:AB,"",0)="VL","VL",IF(XLOOKUP($A9,Partner_Tickets!$A:$A,Partner_Tickets!AB:AB,"",0)="ATT","ATT",XLOOKUP($A9,Partner_Tickets!$A:$A,Partner_Tickets!AB:AB,"",0))))</f>
        <v>0.3333333333</v>
      </c>
      <c r="AC9" s="42">
        <f t="array" ref="AC9">IF(XLOOKUP($A9,Partner_Tickets!$A:$A,Partner_Tickets!AC:AC,"",0)="Free","Free",IF(XLOOKUP($A9,Partner_Tickets!$A:$A,Partner_Tickets!AC:AC,"",0)="VL","VL",IF(XLOOKUP($A9,Partner_Tickets!$A:$A,Partner_Tickets!AC:AC,"",0)="ATT","ATT",XLOOKUP($A9,Partner_Tickets!$A:$A,Partner_Tickets!AC:AC,"",0))))</f>
        <v>0.3333333333</v>
      </c>
      <c r="AD9" s="42">
        <f t="array" ref="AD9">IF(XLOOKUP($A9,Partner_Tickets!$A:$A,Partner_Tickets!AD:AD,"",0)="Free","Free",IF(XLOOKUP($A9,Partner_Tickets!$A:$A,Partner_Tickets!AD:AD,"",0)="VL","VL",IF(XLOOKUP($A9,Partner_Tickets!$A:$A,Partner_Tickets!AD:AD,"",0)="ATT","ATT",XLOOKUP($A9,Partner_Tickets!$A:$A,Partner_Tickets!AD:AD,"",0))))</f>
        <v>0.3333333333</v>
      </c>
      <c r="AE9" s="42" t="str">
        <f t="array" ref="AE9">IF(XLOOKUP($A9,Partner_Tickets!$A:$A,Partner_Tickets!AE:AE,"",0)="Free","Free",IF(XLOOKUP($A9,Partner_Tickets!$A:$A,Partner_Tickets!AE:AE,"",0)="VL","VL",IF(XLOOKUP($A9,Partner_Tickets!$A:$A,Partner_Tickets!AE:AE,"",0)="ATT","ATT",XLOOKUP($A9,Partner_Tickets!$A:$A,Partner_Tickets!AE:AE,"",0))))</f>
        <v>Free</v>
      </c>
      <c r="AF9" s="42"/>
      <c r="AG9" s="42">
        <f t="array" ref="AG9">IF(XLOOKUP($A9,Partner_Tickets!$A:$A,Partner_Tickets!AG:AG,"",0)="Free","Free",IF(XLOOKUP($A9,Partner_Tickets!$A:$A,Partner_Tickets!AG:AG,"",0)="VL","VL",IF(XLOOKUP($A9,Partner_Tickets!$A:$A,Partner_Tickets!AG:AG,"",0)="ATT","ATT",XLOOKUP($A9,Partner_Tickets!$A:$A,Partner_Tickets!AG:AG,"",0))))</f>
        <v>0.3333333333</v>
      </c>
      <c r="AH9" s="42">
        <f t="array" ref="AH9">IF(XLOOKUP($A9,Partner_Tickets!$A:$A,Partner_Tickets!AH:AH,"",0)="Free","Free",IF(XLOOKUP($A9,Partner_Tickets!$A:$A,Partner_Tickets!AH:AH,"",0)="VL","VL",IF(XLOOKUP($A9,Partner_Tickets!$A:$A,Partner_Tickets!AH:AH,"",0)="ATT","ATT",XLOOKUP($A9,Partner_Tickets!$A:$A,Partner_Tickets!AH:AH,"",0))))</f>
        <v>0.3333333333</v>
      </c>
      <c r="AI9" s="42">
        <f t="array" ref="AI9">IF(XLOOKUP($A9,Partner_Tickets!$A:$A,Partner_Tickets!AI:AI,"",0)="Free","Free",IF(XLOOKUP($A9,Partner_Tickets!$A:$A,Partner_Tickets!AI:AI,"",0)="VL","VL",IF(XLOOKUP($A9,Partner_Tickets!$A:$A,Partner_Tickets!AI:AI,"",0)="ATT","ATT",XLOOKUP($A9,Partner_Tickets!$A:$A,Partner_Tickets!AI:AI,"",0))))</f>
        <v>0.3333333333</v>
      </c>
      <c r="AJ9" s="42">
        <f t="array" ref="AJ9">IF(XLOOKUP($A9,Partner_Tickets!$A:$A,Partner_Tickets!AJ:AJ,"",0)="Free","Free",IF(XLOOKUP($A9,Partner_Tickets!$A:$A,Partner_Tickets!AJ:AJ,"",0)="VL","VL",IF(XLOOKUP($A9,Partner_Tickets!$A:$A,Partner_Tickets!AJ:AJ,"",0)="ATT","ATT",XLOOKUP($A9,Partner_Tickets!$A:$A,Partner_Tickets!AJ:AJ,"",0))))</f>
        <v>0.3333333333</v>
      </c>
      <c r="AK9" s="42">
        <f t="array" ref="AK9">IF(XLOOKUP($A9,Partner_Tickets!$A:$A,Partner_Tickets!AK:AK,"",0)="Free","Free",IF(XLOOKUP($A9,Partner_Tickets!$A:$A,Partner_Tickets!AK:AK,"",0)="VL","VL",IF(XLOOKUP($A9,Partner_Tickets!$A:$A,Partner_Tickets!AK:AK,"",0)="ATT","ATT",XLOOKUP($A9,Partner_Tickets!$A:$A,Partner_Tickets!AK:AK,"",0))))</f>
        <v>0.3333333333</v>
      </c>
      <c r="AL9" s="42" t="str">
        <f t="array" ref="AL9">IF(XLOOKUP($A9,Partner_Tickets!$A:$A,Partner_Tickets!AL:AL,"",0)="Free","Free",IF(XLOOKUP($A9,Partner_Tickets!$A:$A,Partner_Tickets!AL:AL,"",0)="VL","VL",IF(XLOOKUP($A9,Partner_Tickets!$A:$A,Partner_Tickets!AL:AL,"",0)="ATT","ATT",XLOOKUP($A9,Partner_Tickets!$A:$A,Partner_Tickets!AL:AL,"",0))))</f>
        <v>Free</v>
      </c>
      <c r="AM9" s="42"/>
    </row>
    <row r="10">
      <c r="A10" s="40" t="s">
        <v>142</v>
      </c>
      <c r="B10" s="44" t="str">
        <f t="array" ref="B10">XLOOKUP(A10,Roster!F:F,Roster!A:A,"",0)</f>
        <v>Bryan Galvis</v>
      </c>
      <c r="C10" s="44" t="str">
        <f t="array" ref="C10">XLOOKUP(A10,Roster!F:F,Roster!B:B,"",0)</f>
        <v>Juan Sanchez</v>
      </c>
      <c r="D10" s="45"/>
      <c r="E10" s="42">
        <f t="array" ref="E10">IF(XLOOKUP($A10,Partner_Tickets!$A:$A,Partner_Tickets!E:E,"",0)="Free","Free",IF(XLOOKUP($A10,Partner_Tickets!$A:$A,Partner_Tickets!E:E,"",0)="VL","VL",IF(XLOOKUP($A10,Partner_Tickets!$A:$A,Partner_Tickets!E:E,"",0)="ATT","ATT",XLOOKUP($A10,Partner_Tickets!$A:$A,Partner_Tickets!E:E,"",0))))</f>
        <v>0.3333333333</v>
      </c>
      <c r="F10" s="42">
        <f t="array" ref="F10">IF(XLOOKUP($A10,Partner_Tickets!$A:$A,Partner_Tickets!F:F,"",0)="Free","Free",IF(XLOOKUP($A10,Partner_Tickets!$A:$A,Partner_Tickets!F:F,"",0)="VL","VL",IF(XLOOKUP($A10,Partner_Tickets!$A:$A,Partner_Tickets!F:F,"",0)="ATT","ATT",XLOOKUP($A10,Partner_Tickets!$A:$A,Partner_Tickets!F:F,"",0))))</f>
        <v>0.3333333333</v>
      </c>
      <c r="G10" s="42">
        <f t="array" ref="G10">IF(XLOOKUP($A10,Partner_Tickets!$A:$A,Partner_Tickets!G:G,"",0)="Free","Free",IF(XLOOKUP($A10,Partner_Tickets!$A:$A,Partner_Tickets!G:G,"",0)="VL","VL",IF(XLOOKUP($A10,Partner_Tickets!$A:$A,Partner_Tickets!G:G,"",0)="ATT","ATT",XLOOKUP($A10,Partner_Tickets!$A:$A,Partner_Tickets!G:G,"",0))))</f>
        <v>0.3333333333</v>
      </c>
      <c r="H10" s="42" t="str">
        <f t="array" ref="H10">IF(XLOOKUP($A10,Partner_Tickets!$A:$A,Partner_Tickets!H:H,"",0)="Free","Free",IF(XLOOKUP($A10,Partner_Tickets!$A:$A,Partner_Tickets!H:H,"",0)="VL","VL",IF(XLOOKUP($A10,Partner_Tickets!$A:$A,Partner_Tickets!H:H,"",0)="ATT","ATT",XLOOKUP($A10,Partner_Tickets!$A:$A,Partner_Tickets!H:H,"",0))))</f>
        <v>Free</v>
      </c>
      <c r="I10" s="42">
        <f t="array" ref="I10">IF(XLOOKUP($A10,Partner_Tickets!$A:$A,Partner_Tickets!I:I,"",0)="Free","Free",IF(XLOOKUP($A10,Partner_Tickets!$A:$A,Partner_Tickets!I:I,"",0)="VL","VL",IF(XLOOKUP($A10,Partner_Tickets!$A:$A,Partner_Tickets!I:I,"",0)="ATT","ATT",XLOOKUP($A10,Partner_Tickets!$A:$A,Partner_Tickets!I:I,"",0))))</f>
        <v>0.3333333333</v>
      </c>
      <c r="J10" s="42">
        <f t="array" ref="J10">IF(XLOOKUP($A10,Partner_Tickets!$A:$A,Partner_Tickets!J:J,"",0)="Free","Free",IF(XLOOKUP($A10,Partner_Tickets!$A:$A,Partner_Tickets!J:J,"",0)="VL","VL",IF(XLOOKUP($A10,Partner_Tickets!$A:$A,Partner_Tickets!J:J,"",0)="ATT","ATT",XLOOKUP($A10,Partner_Tickets!$A:$A,Partner_Tickets!J:J,"",0))))</f>
        <v>0.3333333333</v>
      </c>
      <c r="K10" s="42" t="str">
        <f t="array" ref="K10">IF(XLOOKUP($A10,Partner_Tickets!$A:$A,Partner_Tickets!K:K,"",0)="Free","Free",IF(XLOOKUP($A10,Partner_Tickets!$A:$A,Partner_Tickets!K:K,"",0)="VL","VL",IF(XLOOKUP($A10,Partner_Tickets!$A:$A,Partner_Tickets!K:K,"",0)="ATT","ATT",XLOOKUP($A10,Partner_Tickets!$A:$A,Partner_Tickets!K:K,"",0))))</f>
        <v/>
      </c>
      <c r="L10" s="42">
        <f t="array" ref="L10">IF(XLOOKUP($A10,Partner_Tickets!$A:$A,Partner_Tickets!L:L,"",0)="Free","Free",IF(XLOOKUP($A10,Partner_Tickets!$A:$A,Partner_Tickets!L:L,"",0)="VL","VL",IF(XLOOKUP($A10,Partner_Tickets!$A:$A,Partner_Tickets!L:L,"",0)="ATT","ATT",XLOOKUP($A10,Partner_Tickets!$A:$A,Partner_Tickets!L:L,"",0))))</f>
        <v>0.3333333333</v>
      </c>
      <c r="M10" s="42">
        <f t="array" ref="M10">IF(XLOOKUP($A10,Partner_Tickets!$A:$A,Partner_Tickets!M:M,"",0)="Free","Free",IF(XLOOKUP($A10,Partner_Tickets!$A:$A,Partner_Tickets!M:M,"",0)="VL","VL",IF(XLOOKUP($A10,Partner_Tickets!$A:$A,Partner_Tickets!M:M,"",0)="ATT","ATT",XLOOKUP($A10,Partner_Tickets!$A:$A,Partner_Tickets!M:M,"",0))))</f>
        <v>0.3333333333</v>
      </c>
      <c r="N10" s="42">
        <f t="array" ref="N10">IF(XLOOKUP($A10,Partner_Tickets!$A:$A,Partner_Tickets!N:N,"",0)="Free","Free",IF(XLOOKUP($A10,Partner_Tickets!$A:$A,Partner_Tickets!N:N,"",0)="VL","VL",IF(XLOOKUP($A10,Partner_Tickets!$A:$A,Partner_Tickets!N:N,"",0)="ATT","ATT",XLOOKUP($A10,Partner_Tickets!$A:$A,Partner_Tickets!N:N,"",0))))</f>
        <v>0.3333333333</v>
      </c>
      <c r="O10" s="42" t="str">
        <f t="array" ref="O10">IF(XLOOKUP($A10,Partner_Tickets!$A:$A,Partner_Tickets!O:O,"",0)="Free","Free",IF(XLOOKUP($A10,Partner_Tickets!$A:$A,Partner_Tickets!O:O,"",0)="VL","VL",IF(XLOOKUP($A10,Partner_Tickets!$A:$A,Partner_Tickets!O:O,"",0)="ATT","ATT",XLOOKUP($A10,Partner_Tickets!$A:$A,Partner_Tickets!O:O,"",0))))</f>
        <v>Free</v>
      </c>
      <c r="P10" s="42">
        <f t="array" ref="P10">IF(XLOOKUP($A10,Partner_Tickets!$A:$A,Partner_Tickets!P:P,"",0)="Free","Free",IF(XLOOKUP($A10,Partner_Tickets!$A:$A,Partner_Tickets!P:P,"",0)="VL","VL",IF(XLOOKUP($A10,Partner_Tickets!$A:$A,Partner_Tickets!P:P,"",0)="ATT","ATT",XLOOKUP($A10,Partner_Tickets!$A:$A,Partner_Tickets!P:P,"",0))))</f>
        <v>0.3333333333</v>
      </c>
      <c r="Q10" s="42">
        <f t="array" ref="Q10">IF(XLOOKUP($A10,Partner_Tickets!$A:$A,Partner_Tickets!Q:Q,"",0)="Free","Free",IF(XLOOKUP($A10,Partner_Tickets!$A:$A,Partner_Tickets!Q:Q,"",0)="VL","VL",IF(XLOOKUP($A10,Partner_Tickets!$A:$A,Partner_Tickets!Q:Q,"",0)="ATT","ATT",XLOOKUP($A10,Partner_Tickets!$A:$A,Partner_Tickets!Q:Q,"",0))))</f>
        <v>0.3333333333</v>
      </c>
      <c r="R10" s="42"/>
      <c r="S10" s="42">
        <f t="array" ref="S10">IF(XLOOKUP($A10,Partner_Tickets!$A:$A,Partner_Tickets!S:S,"",0)="Free","Free",IF(XLOOKUP($A10,Partner_Tickets!$A:$A,Partner_Tickets!S:S,"",0)="VL","VL",IF(XLOOKUP($A10,Partner_Tickets!$A:$A,Partner_Tickets!S:S,"",0)="ATT","ATT",XLOOKUP($A10,Partner_Tickets!$A:$A,Partner_Tickets!S:S,"",0))))</f>
        <v>0.3333333333</v>
      </c>
      <c r="T10" s="42">
        <f t="array" ref="T10">IF(XLOOKUP($A10,Partner_Tickets!$A:$A,Partner_Tickets!T:T,"",0)="Free","Free",IF(XLOOKUP($A10,Partner_Tickets!$A:$A,Partner_Tickets!T:T,"",0)="VL","VL",IF(XLOOKUP($A10,Partner_Tickets!$A:$A,Partner_Tickets!T:T,"",0)="ATT","ATT",XLOOKUP($A10,Partner_Tickets!$A:$A,Partner_Tickets!T:T,"",0))))</f>
        <v>0.3333333333</v>
      </c>
      <c r="U10" s="42">
        <f t="array" ref="U10">IF(XLOOKUP($A10,Partner_Tickets!$A:$A,Partner_Tickets!U:U,"",0)="Free","Free",IF(XLOOKUP($A10,Partner_Tickets!$A:$A,Partner_Tickets!U:U,"",0)="VL","VL",IF(XLOOKUP($A10,Partner_Tickets!$A:$A,Partner_Tickets!U:U,"",0)="ATT","ATT",XLOOKUP($A10,Partner_Tickets!$A:$A,Partner_Tickets!U:U,"",0))))</f>
        <v>0.3333333333</v>
      </c>
      <c r="V10" s="42" t="str">
        <f t="array" ref="V10">IF(XLOOKUP($A10,Partner_Tickets!$A:$A,Partner_Tickets!V:V,"",0)="Free","Free",IF(XLOOKUP($A10,Partner_Tickets!$A:$A,Partner_Tickets!V:V,"",0)="VL","VL",IF(XLOOKUP($A10,Partner_Tickets!$A:$A,Partner_Tickets!V:V,"",0)="ATT","ATT",XLOOKUP($A10,Partner_Tickets!$A:$A,Partner_Tickets!V:V,"",0))))</f>
        <v>Free</v>
      </c>
      <c r="W10" s="42">
        <f t="array" ref="W10">IF(XLOOKUP($A10,Partner_Tickets!$A:$A,Partner_Tickets!W:W,"",0)="Free","Free",IF(XLOOKUP($A10,Partner_Tickets!$A:$A,Partner_Tickets!W:W,"",0)="VL","VL",IF(XLOOKUP($A10,Partner_Tickets!$A:$A,Partner_Tickets!W:W,"",0)="ATT","ATT",XLOOKUP($A10,Partner_Tickets!$A:$A,Partner_Tickets!W:W,"",0))))</f>
        <v>0.3333333333</v>
      </c>
      <c r="X10" s="42">
        <f t="array" ref="X10">IF(XLOOKUP($A10,Partner_Tickets!$A:$A,Partner_Tickets!X:X,"",0)="Free","Free",IF(XLOOKUP($A10,Partner_Tickets!$A:$A,Partner_Tickets!X:X,"",0)="VL","VL",IF(XLOOKUP($A10,Partner_Tickets!$A:$A,Partner_Tickets!X:X,"",0)="ATT","ATT",XLOOKUP($A10,Partner_Tickets!$A:$A,Partner_Tickets!X:X,"",0))))</f>
        <v>0.3333333333</v>
      </c>
      <c r="Y10" s="42"/>
      <c r="Z10" s="42">
        <f t="array" ref="Z10">IF(XLOOKUP($A10,Partner_Tickets!$A:$A,Partner_Tickets!Z:Z,"",0)="Free","Free",IF(XLOOKUP($A10,Partner_Tickets!$A:$A,Partner_Tickets!Z:Z,"",0)="VL","VL",IF(XLOOKUP($A10,Partner_Tickets!$A:$A,Partner_Tickets!Z:Z,"",0)="ATT","ATT",XLOOKUP($A10,Partner_Tickets!$A:$A,Partner_Tickets!Z:Z,"",0))))</f>
        <v>0.3333333333</v>
      </c>
      <c r="AA10" s="42">
        <f t="array" ref="AA10">IF(XLOOKUP($A10,Partner_Tickets!$A:$A,Partner_Tickets!AA:AA,"",0)="Free","Free",IF(XLOOKUP($A10,Partner_Tickets!$A:$A,Partner_Tickets!AA:AA,"",0)="VL","VL",IF(XLOOKUP($A10,Partner_Tickets!$A:$A,Partner_Tickets!AA:AA,"",0)="ATT","ATT",XLOOKUP($A10,Partner_Tickets!$A:$A,Partner_Tickets!AA:AA,"",0))))</f>
        <v>0.3333333333</v>
      </c>
      <c r="AB10" s="42">
        <f t="array" ref="AB10">IF(XLOOKUP($A10,Partner_Tickets!$A:$A,Partner_Tickets!AB:AB,"",0)="Free","Free",IF(XLOOKUP($A10,Partner_Tickets!$A:$A,Partner_Tickets!AB:AB,"",0)="VL","VL",IF(XLOOKUP($A10,Partner_Tickets!$A:$A,Partner_Tickets!AB:AB,"",0)="ATT","ATT",XLOOKUP($A10,Partner_Tickets!$A:$A,Partner_Tickets!AB:AB,"",0))))</f>
        <v>0.3333333333</v>
      </c>
      <c r="AC10" s="42" t="str">
        <f t="array" ref="AC10">IF(XLOOKUP($A10,Partner_Tickets!$A:$A,Partner_Tickets!AC:AC,"",0)="Free","Free",IF(XLOOKUP($A10,Partner_Tickets!$A:$A,Partner_Tickets!AC:AC,"",0)="VL","VL",IF(XLOOKUP($A10,Partner_Tickets!$A:$A,Partner_Tickets!AC:AC,"",0)="ATT","ATT",XLOOKUP($A10,Partner_Tickets!$A:$A,Partner_Tickets!AC:AC,"",0))))</f>
        <v>Free</v>
      </c>
      <c r="AD10" s="42">
        <f t="array" ref="AD10">IF(XLOOKUP($A10,Partner_Tickets!$A:$A,Partner_Tickets!AD:AD,"",0)="Free","Free",IF(XLOOKUP($A10,Partner_Tickets!$A:$A,Partner_Tickets!AD:AD,"",0)="VL","VL",IF(XLOOKUP($A10,Partner_Tickets!$A:$A,Partner_Tickets!AD:AD,"",0)="ATT","ATT",XLOOKUP($A10,Partner_Tickets!$A:$A,Partner_Tickets!AD:AD,"",0))))</f>
        <v>0.3333333333</v>
      </c>
      <c r="AE10" s="42">
        <f t="array" ref="AE10">IF(XLOOKUP($A10,Partner_Tickets!$A:$A,Partner_Tickets!AE:AE,"",0)="Free","Free",IF(XLOOKUP($A10,Partner_Tickets!$A:$A,Partner_Tickets!AE:AE,"",0)="VL","VL",IF(XLOOKUP($A10,Partner_Tickets!$A:$A,Partner_Tickets!AE:AE,"",0)="ATT","ATT",XLOOKUP($A10,Partner_Tickets!$A:$A,Partner_Tickets!AE:AE,"",0))))</f>
        <v>0.3333333333</v>
      </c>
      <c r="AF10" s="42"/>
      <c r="AG10" s="42">
        <f t="array" ref="AG10">IF(XLOOKUP($A10,Partner_Tickets!$A:$A,Partner_Tickets!AG:AG,"",0)="Free","Free",IF(XLOOKUP($A10,Partner_Tickets!$A:$A,Partner_Tickets!AG:AG,"",0)="VL","VL",IF(XLOOKUP($A10,Partner_Tickets!$A:$A,Partner_Tickets!AG:AG,"",0)="ATT","ATT",XLOOKUP($A10,Partner_Tickets!$A:$A,Partner_Tickets!AG:AG,"",0))))</f>
        <v>0.3333333333</v>
      </c>
      <c r="AH10" s="42">
        <f t="array" ref="AH10">IF(XLOOKUP($A10,Partner_Tickets!$A:$A,Partner_Tickets!AH:AH,"",0)="Free","Free",IF(XLOOKUP($A10,Partner_Tickets!$A:$A,Partner_Tickets!AH:AH,"",0)="VL","VL",IF(XLOOKUP($A10,Partner_Tickets!$A:$A,Partner_Tickets!AH:AH,"",0)="ATT","ATT",XLOOKUP($A10,Partner_Tickets!$A:$A,Partner_Tickets!AH:AH,"",0))))</f>
        <v>0.3333333333</v>
      </c>
      <c r="AI10" s="42">
        <f t="array" ref="AI10">IF(XLOOKUP($A10,Partner_Tickets!$A:$A,Partner_Tickets!AI:AI,"",0)="Free","Free",IF(XLOOKUP($A10,Partner_Tickets!$A:$A,Partner_Tickets!AI:AI,"",0)="VL","VL",IF(XLOOKUP($A10,Partner_Tickets!$A:$A,Partner_Tickets!AI:AI,"",0)="ATT","ATT",XLOOKUP($A10,Partner_Tickets!$A:$A,Partner_Tickets!AI:AI,"",0))))</f>
        <v>0.3333333333</v>
      </c>
      <c r="AJ10" s="42" t="str">
        <f t="array" ref="AJ10">IF(XLOOKUP($A10,Partner_Tickets!$A:$A,Partner_Tickets!AJ:AJ,"",0)="Free","Free",IF(XLOOKUP($A10,Partner_Tickets!$A:$A,Partner_Tickets!AJ:AJ,"",0)="VL","VL",IF(XLOOKUP($A10,Partner_Tickets!$A:$A,Partner_Tickets!AJ:AJ,"",0)="ATT","ATT",XLOOKUP($A10,Partner_Tickets!$A:$A,Partner_Tickets!AJ:AJ,"",0))))</f>
        <v>Free</v>
      </c>
      <c r="AK10" s="42">
        <f t="array" ref="AK10">IF(XLOOKUP($A10,Partner_Tickets!$A:$A,Partner_Tickets!AK:AK,"",0)="Free","Free",IF(XLOOKUP($A10,Partner_Tickets!$A:$A,Partner_Tickets!AK:AK,"",0)="VL","VL",IF(XLOOKUP($A10,Partner_Tickets!$A:$A,Partner_Tickets!AK:AK,"",0)="ATT","ATT",XLOOKUP($A10,Partner_Tickets!$A:$A,Partner_Tickets!AK:AK,"",0))))</f>
        <v>0.3333333333</v>
      </c>
      <c r="AL10" s="42">
        <f t="array" ref="AL10">IF(XLOOKUP($A10,Partner_Tickets!$A:$A,Partner_Tickets!AL:AL,"",0)="Free","Free",IF(XLOOKUP($A10,Partner_Tickets!$A:$A,Partner_Tickets!AL:AL,"",0)="VL","VL",IF(XLOOKUP($A10,Partner_Tickets!$A:$A,Partner_Tickets!AL:AL,"",0)="ATT","ATT",XLOOKUP($A10,Partner_Tickets!$A:$A,Partner_Tickets!AL:AL,"",0))))</f>
        <v>0.3333333333</v>
      </c>
      <c r="AM10" s="42"/>
    </row>
    <row r="11">
      <c r="A11" s="40" t="s">
        <v>143</v>
      </c>
      <c r="B11" s="44" t="str">
        <f t="array" ref="B11">XLOOKUP(A11,Roster!F:F,Roster!A:A,"",0)</f>
        <v>Bryan Galvis</v>
      </c>
      <c r="C11" s="44" t="str">
        <f t="array" ref="C11">XLOOKUP(A11,Roster!F:F,Roster!B:B,"",0)</f>
        <v>Julian Higuita</v>
      </c>
      <c r="D11" s="40"/>
      <c r="E11" s="42">
        <f t="array" ref="E11">IF(XLOOKUP($A11,Partner_Tickets!$A:$A,Partner_Tickets!E:E,"",0)="Free","Free",IF(XLOOKUP($A11,Partner_Tickets!$A:$A,Partner_Tickets!E:E,"",0)="VL","VL",IF(XLOOKUP($A11,Partner_Tickets!$A:$A,Partner_Tickets!E:E,"",0)="ATT","ATT",XLOOKUP($A11,Partner_Tickets!$A:$A,Partner_Tickets!E:E,"",0))))</f>
        <v>0.4166666667</v>
      </c>
      <c r="F11" s="42">
        <f t="array" ref="F11">IF(XLOOKUP($A11,Partner_Tickets!$A:$A,Partner_Tickets!F:F,"",0)="Free","Free",IF(XLOOKUP($A11,Partner_Tickets!$A:$A,Partner_Tickets!F:F,"",0)="VL","VL",IF(XLOOKUP($A11,Partner_Tickets!$A:$A,Partner_Tickets!F:F,"",0)="ATT","ATT",XLOOKUP($A11,Partner_Tickets!$A:$A,Partner_Tickets!F:F,"",0))))</f>
        <v>0.4166666667</v>
      </c>
      <c r="G11" s="42">
        <f t="array" ref="G11">IF(XLOOKUP($A11,Partner_Tickets!$A:$A,Partner_Tickets!G:G,"",0)="Free","Free",IF(XLOOKUP($A11,Partner_Tickets!$A:$A,Partner_Tickets!G:G,"",0)="VL","VL",IF(XLOOKUP($A11,Partner_Tickets!$A:$A,Partner_Tickets!G:G,"",0)="ATT","ATT",XLOOKUP($A11,Partner_Tickets!$A:$A,Partner_Tickets!G:G,"",0))))</f>
        <v>0.3333333333</v>
      </c>
      <c r="H11" s="42">
        <f t="array" ref="H11">IF(XLOOKUP($A11,Partner_Tickets!$A:$A,Partner_Tickets!H:H,"",0)="Free","Free",IF(XLOOKUP($A11,Partner_Tickets!$A:$A,Partner_Tickets!H:H,"",0)="VL","VL",IF(XLOOKUP($A11,Partner_Tickets!$A:$A,Partner_Tickets!H:H,"",0)="ATT","ATT",XLOOKUP($A11,Partner_Tickets!$A:$A,Partner_Tickets!H:H,"",0))))</f>
        <v>0.4166666667</v>
      </c>
      <c r="I11" s="42">
        <f t="array" ref="I11">IF(XLOOKUP($A11,Partner_Tickets!$A:$A,Partner_Tickets!I:I,"",0)="Free","Free",IF(XLOOKUP($A11,Partner_Tickets!$A:$A,Partner_Tickets!I:I,"",0)="VL","VL",IF(XLOOKUP($A11,Partner_Tickets!$A:$A,Partner_Tickets!I:I,"",0)="ATT","ATT",XLOOKUP($A11,Partner_Tickets!$A:$A,Partner_Tickets!I:I,"",0))))</f>
        <v>0.4166666667</v>
      </c>
      <c r="J11" s="42" t="str">
        <f t="array" ref="J11">IF(XLOOKUP($A11,Partner_Tickets!$A:$A,Partner_Tickets!J:J,"",0)="Free","Free",IF(XLOOKUP($A11,Partner_Tickets!$A:$A,Partner_Tickets!J:J,"",0)="VL","VL",IF(XLOOKUP($A11,Partner_Tickets!$A:$A,Partner_Tickets!J:J,"",0)="ATT","ATT",XLOOKUP($A11,Partner_Tickets!$A:$A,Partner_Tickets!J:J,"",0))))</f>
        <v>Free</v>
      </c>
      <c r="K11" s="42" t="str">
        <f t="array" ref="K11">IF(XLOOKUP($A11,Partner_Tickets!$A:$A,Partner_Tickets!K:K,"",0)="Free","Free",IF(XLOOKUP($A11,Partner_Tickets!$A:$A,Partner_Tickets!K:K,"",0)="VL","VL",IF(XLOOKUP($A11,Partner_Tickets!$A:$A,Partner_Tickets!K:K,"",0)="ATT","ATT",XLOOKUP($A11,Partner_Tickets!$A:$A,Partner_Tickets!K:K,"",0))))</f>
        <v/>
      </c>
      <c r="L11" s="42">
        <f t="array" ref="L11">IF(XLOOKUP($A11,Partner_Tickets!$A:$A,Partner_Tickets!L:L,"",0)="Free","Free",IF(XLOOKUP($A11,Partner_Tickets!$A:$A,Partner_Tickets!L:L,"",0)="VL","VL",IF(XLOOKUP($A11,Partner_Tickets!$A:$A,Partner_Tickets!L:L,"",0)="ATT","ATT",XLOOKUP($A11,Partner_Tickets!$A:$A,Partner_Tickets!L:L,"",0))))</f>
        <v>0.4166666667</v>
      </c>
      <c r="M11" s="42" t="str">
        <f t="array" ref="M11">IF(XLOOKUP($A11,Partner_Tickets!$A:$A,Partner_Tickets!M:M,"",0)="Free","Free",IF(XLOOKUP($A11,Partner_Tickets!$A:$A,Partner_Tickets!M:M,"",0)="VL","VL",IF(XLOOKUP($A11,Partner_Tickets!$A:$A,Partner_Tickets!M:M,"",0)="ATT","ATT",XLOOKUP($A11,Partner_Tickets!$A:$A,Partner_Tickets!M:M,"",0))))</f>
        <v>Free</v>
      </c>
      <c r="N11" s="42">
        <f t="array" ref="N11">IF(XLOOKUP($A11,Partner_Tickets!$A:$A,Partner_Tickets!N:N,"",0)="Free","Free",IF(XLOOKUP($A11,Partner_Tickets!$A:$A,Partner_Tickets!N:N,"",0)="VL","VL",IF(XLOOKUP($A11,Partner_Tickets!$A:$A,Partner_Tickets!N:N,"",0)="ATT","ATT",XLOOKUP($A11,Partner_Tickets!$A:$A,Partner_Tickets!N:N,"",0))))</f>
        <v>0.3333333333</v>
      </c>
      <c r="O11" s="42">
        <f t="array" ref="O11">IF(XLOOKUP($A11,Partner_Tickets!$A:$A,Partner_Tickets!O:O,"",0)="Free","Free",IF(XLOOKUP($A11,Partner_Tickets!$A:$A,Partner_Tickets!O:O,"",0)="VL","VL",IF(XLOOKUP($A11,Partner_Tickets!$A:$A,Partner_Tickets!O:O,"",0)="ATT","ATT",XLOOKUP($A11,Partner_Tickets!$A:$A,Partner_Tickets!O:O,"",0))))</f>
        <v>0.4166666667</v>
      </c>
      <c r="P11" s="42">
        <f t="array" ref="P11">IF(XLOOKUP($A11,Partner_Tickets!$A:$A,Partner_Tickets!P:P,"",0)="Free","Free",IF(XLOOKUP($A11,Partner_Tickets!$A:$A,Partner_Tickets!P:P,"",0)="VL","VL",IF(XLOOKUP($A11,Partner_Tickets!$A:$A,Partner_Tickets!P:P,"",0)="ATT","ATT",XLOOKUP($A11,Partner_Tickets!$A:$A,Partner_Tickets!P:P,"",0))))</f>
        <v>0.4166666667</v>
      </c>
      <c r="Q11" s="42" t="str">
        <f t="array" ref="Q11">IF(XLOOKUP($A11,Partner_Tickets!$A:$A,Partner_Tickets!Q:Q,"",0)="Free","Free",IF(XLOOKUP($A11,Partner_Tickets!$A:$A,Partner_Tickets!Q:Q,"",0)="VL","VL",IF(XLOOKUP($A11,Partner_Tickets!$A:$A,Partner_Tickets!Q:Q,"",0)="ATT","ATT",XLOOKUP($A11,Partner_Tickets!$A:$A,Partner_Tickets!Q:Q,"",0))))</f>
        <v>VL</v>
      </c>
      <c r="R11" s="42"/>
      <c r="S11" s="42" t="str">
        <f t="array" ref="S11">IF(XLOOKUP($A11,Partner_Tickets!$A:$A,Partner_Tickets!S:S,"",0)="Free","Free",IF(XLOOKUP($A11,Partner_Tickets!$A:$A,Partner_Tickets!S:S,"",0)="VL","VL",IF(XLOOKUP($A11,Partner_Tickets!$A:$A,Partner_Tickets!S:S,"",0)="ATT","ATT",XLOOKUP($A11,Partner_Tickets!$A:$A,Partner_Tickets!S:S,"",0))))</f>
        <v>VL</v>
      </c>
      <c r="T11" s="42" t="str">
        <f t="array" ref="T11">IF(XLOOKUP($A11,Partner_Tickets!$A:$A,Partner_Tickets!T:T,"",0)="Free","Free",IF(XLOOKUP($A11,Partner_Tickets!$A:$A,Partner_Tickets!T:T,"",0)="VL","VL",IF(XLOOKUP($A11,Partner_Tickets!$A:$A,Partner_Tickets!T:T,"",0)="ATT","ATT",XLOOKUP($A11,Partner_Tickets!$A:$A,Partner_Tickets!T:T,"",0))))</f>
        <v>VL</v>
      </c>
      <c r="U11" s="42" t="str">
        <f t="array" ref="U11">IF(XLOOKUP($A11,Partner_Tickets!$A:$A,Partner_Tickets!U:U,"",0)="Free","Free",IF(XLOOKUP($A11,Partner_Tickets!$A:$A,Partner_Tickets!U:U,"",0)="VL","VL",IF(XLOOKUP($A11,Partner_Tickets!$A:$A,Partner_Tickets!U:U,"",0)="ATT","ATT",XLOOKUP($A11,Partner_Tickets!$A:$A,Partner_Tickets!U:U,"",0))))</f>
        <v>VL</v>
      </c>
      <c r="V11" s="42" t="str">
        <f t="array" ref="V11">IF(XLOOKUP($A11,Partner_Tickets!$A:$A,Partner_Tickets!V:V,"",0)="Free","Free",IF(XLOOKUP($A11,Partner_Tickets!$A:$A,Partner_Tickets!V:V,"",0)="VL","VL",IF(XLOOKUP($A11,Partner_Tickets!$A:$A,Partner_Tickets!V:V,"",0)="ATT","ATT",XLOOKUP($A11,Partner_Tickets!$A:$A,Partner_Tickets!V:V,"",0))))</f>
        <v>VL</v>
      </c>
      <c r="W11" s="42" t="str">
        <f t="array" ref="W11">IF(XLOOKUP($A11,Partner_Tickets!$A:$A,Partner_Tickets!W:W,"",0)="Free","Free",IF(XLOOKUP($A11,Partner_Tickets!$A:$A,Partner_Tickets!W:W,"",0)="VL","VL",IF(XLOOKUP($A11,Partner_Tickets!$A:$A,Partner_Tickets!W:W,"",0)="ATT","ATT",XLOOKUP($A11,Partner_Tickets!$A:$A,Partner_Tickets!W:W,"",0))))</f>
        <v>VL</v>
      </c>
      <c r="X11" s="42" t="str">
        <f t="array" ref="X11">IF(XLOOKUP($A11,Partner_Tickets!$A:$A,Partner_Tickets!X:X,"",0)="Free","Free",IF(XLOOKUP($A11,Partner_Tickets!$A:$A,Partner_Tickets!X:X,"",0)="VL","VL",IF(XLOOKUP($A11,Partner_Tickets!$A:$A,Partner_Tickets!X:X,"",0)="ATT","ATT",XLOOKUP($A11,Partner_Tickets!$A:$A,Partner_Tickets!X:X,"",0))))</f>
        <v>VL</v>
      </c>
      <c r="Y11" s="42"/>
      <c r="Z11" s="42" t="str">
        <f t="array" ref="Z11">IF(XLOOKUP($A11,Partner_Tickets!$A:$A,Partner_Tickets!Z:Z,"",0)="Free","Free",IF(XLOOKUP($A11,Partner_Tickets!$A:$A,Partner_Tickets!Z:Z,"",0)="VL","VL",IF(XLOOKUP($A11,Partner_Tickets!$A:$A,Partner_Tickets!Z:Z,"",0)="ATT","ATT",XLOOKUP($A11,Partner_Tickets!$A:$A,Partner_Tickets!Z:Z,"",0))))</f>
        <v>VL</v>
      </c>
      <c r="AA11" s="42" t="str">
        <f t="array" ref="AA11">IF(XLOOKUP($A11,Partner_Tickets!$A:$A,Partner_Tickets!AA:AA,"",0)="Free","Free",IF(XLOOKUP($A11,Partner_Tickets!$A:$A,Partner_Tickets!AA:AA,"",0)="VL","VL",IF(XLOOKUP($A11,Partner_Tickets!$A:$A,Partner_Tickets!AA:AA,"",0)="ATT","ATT",XLOOKUP($A11,Partner_Tickets!$A:$A,Partner_Tickets!AA:AA,"",0))))</f>
        <v>VL</v>
      </c>
      <c r="AB11" s="42" t="str">
        <f t="array" ref="AB11">IF(XLOOKUP($A11,Partner_Tickets!$A:$A,Partner_Tickets!AB:AB,"",0)="Free","Free",IF(XLOOKUP($A11,Partner_Tickets!$A:$A,Partner_Tickets!AB:AB,"",0)="VL","VL",IF(XLOOKUP($A11,Partner_Tickets!$A:$A,Partner_Tickets!AB:AB,"",0)="ATT","ATT",XLOOKUP($A11,Partner_Tickets!$A:$A,Partner_Tickets!AB:AB,"",0))))</f>
        <v>VL</v>
      </c>
      <c r="AC11" s="42" t="str">
        <f t="array" ref="AC11">IF(XLOOKUP($A11,Partner_Tickets!$A:$A,Partner_Tickets!AC:AC,"",0)="Free","Free",IF(XLOOKUP($A11,Partner_Tickets!$A:$A,Partner_Tickets!AC:AC,"",0)="VL","VL",IF(XLOOKUP($A11,Partner_Tickets!$A:$A,Partner_Tickets!AC:AC,"",0)="ATT","ATT",XLOOKUP($A11,Partner_Tickets!$A:$A,Partner_Tickets!AC:AC,"",0))))</f>
        <v>VL</v>
      </c>
      <c r="AD11" s="42" t="str">
        <f t="array" ref="AD11">IF(XLOOKUP($A11,Partner_Tickets!$A:$A,Partner_Tickets!AD:AD,"",0)="Free","Free",IF(XLOOKUP($A11,Partner_Tickets!$A:$A,Partner_Tickets!AD:AD,"",0)="VL","VL",IF(XLOOKUP($A11,Partner_Tickets!$A:$A,Partner_Tickets!AD:AD,"",0)="ATT","ATT",XLOOKUP($A11,Partner_Tickets!$A:$A,Partner_Tickets!AD:AD,"",0))))</f>
        <v>VL</v>
      </c>
      <c r="AE11" s="42" t="str">
        <f t="array" ref="AE11">IF(XLOOKUP($A11,Partner_Tickets!$A:$A,Partner_Tickets!AE:AE,"",0)="Free","Free",IF(XLOOKUP($A11,Partner_Tickets!$A:$A,Partner_Tickets!AE:AE,"",0)="VL","VL",IF(XLOOKUP($A11,Partner_Tickets!$A:$A,Partner_Tickets!AE:AE,"",0)="ATT","ATT",XLOOKUP($A11,Partner_Tickets!$A:$A,Partner_Tickets!AE:AE,"",0))))</f>
        <v>VL</v>
      </c>
      <c r="AF11" s="42"/>
      <c r="AG11" s="42">
        <f t="array" ref="AG11">IF(XLOOKUP($A11,Partner_Tickets!$A:$A,Partner_Tickets!AG:AG,"",0)="Free","Free",IF(XLOOKUP($A11,Partner_Tickets!$A:$A,Partner_Tickets!AG:AG,"",0)="VL","VL",IF(XLOOKUP($A11,Partner_Tickets!$A:$A,Partner_Tickets!AG:AG,"",0)="ATT","ATT",XLOOKUP($A11,Partner_Tickets!$A:$A,Partner_Tickets!AG:AG,"",0))))</f>
        <v>0.4166666667</v>
      </c>
      <c r="AH11" s="42" t="str">
        <f t="array" ref="AH11">IF(XLOOKUP($A11,Partner_Tickets!$A:$A,Partner_Tickets!AH:AH,"",0)="Free","Free",IF(XLOOKUP($A11,Partner_Tickets!$A:$A,Partner_Tickets!AH:AH,"",0)="VL","VL",IF(XLOOKUP($A11,Partner_Tickets!$A:$A,Partner_Tickets!AH:AH,"",0)="ATT","ATT",XLOOKUP($A11,Partner_Tickets!$A:$A,Partner_Tickets!AH:AH,"",0))))</f>
        <v>Free</v>
      </c>
      <c r="AI11" s="42">
        <f t="array" ref="AI11">IF(XLOOKUP($A11,Partner_Tickets!$A:$A,Partner_Tickets!AI:AI,"",0)="Free","Free",IF(XLOOKUP($A11,Partner_Tickets!$A:$A,Partner_Tickets!AI:AI,"",0)="VL","VL",IF(XLOOKUP($A11,Partner_Tickets!$A:$A,Partner_Tickets!AI:AI,"",0)="ATT","ATT",XLOOKUP($A11,Partner_Tickets!$A:$A,Partner_Tickets!AI:AI,"",0))))</f>
        <v>0.3333333333</v>
      </c>
      <c r="AJ11" s="42">
        <f t="array" ref="AJ11">IF(XLOOKUP($A11,Partner_Tickets!$A:$A,Partner_Tickets!AJ:AJ,"",0)="Free","Free",IF(XLOOKUP($A11,Partner_Tickets!$A:$A,Partner_Tickets!AJ:AJ,"",0)="VL","VL",IF(XLOOKUP($A11,Partner_Tickets!$A:$A,Partner_Tickets!AJ:AJ,"",0)="ATT","ATT",XLOOKUP($A11,Partner_Tickets!$A:$A,Partner_Tickets!AJ:AJ,"",0))))</f>
        <v>0.4166666667</v>
      </c>
      <c r="AK11" s="42">
        <f t="array" ref="AK11">IF(XLOOKUP($A11,Partner_Tickets!$A:$A,Partner_Tickets!AK:AK,"",0)="Free","Free",IF(XLOOKUP($A11,Partner_Tickets!$A:$A,Partner_Tickets!AK:AK,"",0)="VL","VL",IF(XLOOKUP($A11,Partner_Tickets!$A:$A,Partner_Tickets!AK:AK,"",0)="ATT","ATT",XLOOKUP($A11,Partner_Tickets!$A:$A,Partner_Tickets!AK:AK,"",0))))</f>
        <v>0.4166666667</v>
      </c>
      <c r="AL11" s="42">
        <f t="array" ref="AL11">IF(XLOOKUP($A11,Partner_Tickets!$A:$A,Partner_Tickets!AL:AL,"",0)="Free","Free",IF(XLOOKUP($A11,Partner_Tickets!$A:$A,Partner_Tickets!AL:AL,"",0)="VL","VL",IF(XLOOKUP($A11,Partner_Tickets!$A:$A,Partner_Tickets!AL:AL,"",0)="ATT","ATT",XLOOKUP($A11,Partner_Tickets!$A:$A,Partner_Tickets!AL:AL,"",0))))</f>
        <v>0.3333333333</v>
      </c>
      <c r="AM11" s="42"/>
    </row>
    <row r="12">
      <c r="A12" s="43" t="s">
        <v>144</v>
      </c>
      <c r="B12" s="44" t="str">
        <f t="array" ref="B12">XLOOKUP(A12,Roster!F:F,Roster!A:A,"",0)</f>
        <v>Bryan Galvis</v>
      </c>
      <c r="C12" s="44" t="str">
        <f t="array" ref="C12">XLOOKUP(A12,Roster!F:F,Roster!B:B,"",0)</f>
        <v>Karen Martinez</v>
      </c>
      <c r="D12" s="40"/>
      <c r="E12" s="42">
        <f t="array" ref="E12">IF(XLOOKUP($A12,Partner_Tickets!$A:$A,Partner_Tickets!E:E,"",0)="Free","Free",IF(XLOOKUP($A12,Partner_Tickets!$A:$A,Partner_Tickets!E:E,"",0)="VL","VL",IF(XLOOKUP($A12,Partner_Tickets!$A:$A,Partner_Tickets!E:E,"",0)="ATT","ATT",XLOOKUP($A12,Partner_Tickets!$A:$A,Partner_Tickets!E:E,"",0))))</f>
        <v>0.3333333333</v>
      </c>
      <c r="F12" s="42">
        <f t="array" ref="F12">IF(XLOOKUP($A12,Partner_Tickets!$A:$A,Partner_Tickets!F:F,"",0)="Free","Free",IF(XLOOKUP($A12,Partner_Tickets!$A:$A,Partner_Tickets!F:F,"",0)="VL","VL",IF(XLOOKUP($A12,Partner_Tickets!$A:$A,Partner_Tickets!F:F,"",0)="ATT","ATT",XLOOKUP($A12,Partner_Tickets!$A:$A,Partner_Tickets!F:F,"",0))))</f>
        <v>0.3333333333</v>
      </c>
      <c r="G12" s="42" t="str">
        <f t="array" ref="G12">IF(XLOOKUP($A12,Partner_Tickets!$A:$A,Partner_Tickets!G:G,"",0)="Free","Free",IF(XLOOKUP($A12,Partner_Tickets!$A:$A,Partner_Tickets!G:G,"",0)="VL","VL",IF(XLOOKUP($A12,Partner_Tickets!$A:$A,Partner_Tickets!G:G,"",0)="ATT","ATT",XLOOKUP($A12,Partner_Tickets!$A:$A,Partner_Tickets!G:G,"",0))))</f>
        <v>Free</v>
      </c>
      <c r="H12" s="42">
        <f t="array" ref="H12">IF(XLOOKUP($A12,Partner_Tickets!$A:$A,Partner_Tickets!H:H,"",0)="Free","Free",IF(XLOOKUP($A12,Partner_Tickets!$A:$A,Partner_Tickets!H:H,"",0)="VL","VL",IF(XLOOKUP($A12,Partner_Tickets!$A:$A,Partner_Tickets!H:H,"",0)="ATT","ATT",XLOOKUP($A12,Partner_Tickets!$A:$A,Partner_Tickets!H:H,"",0))))</f>
        <v>0.3333333333</v>
      </c>
      <c r="I12" s="42">
        <f t="array" ref="I12">IF(XLOOKUP($A12,Partner_Tickets!$A:$A,Partner_Tickets!I:I,"",0)="Free","Free",IF(XLOOKUP($A12,Partner_Tickets!$A:$A,Partner_Tickets!I:I,"",0)="VL","VL",IF(XLOOKUP($A12,Partner_Tickets!$A:$A,Partner_Tickets!I:I,"",0)="ATT","ATT",XLOOKUP($A12,Partner_Tickets!$A:$A,Partner_Tickets!I:I,"",0))))</f>
        <v>0.3333333333</v>
      </c>
      <c r="J12" s="42">
        <f t="array" ref="J12">IF(XLOOKUP($A12,Partner_Tickets!$A:$A,Partner_Tickets!J:J,"",0)="Free","Free",IF(XLOOKUP($A12,Partner_Tickets!$A:$A,Partner_Tickets!J:J,"",0)="VL","VL",IF(XLOOKUP($A12,Partner_Tickets!$A:$A,Partner_Tickets!J:J,"",0)="ATT","ATT",XLOOKUP($A12,Partner_Tickets!$A:$A,Partner_Tickets!J:J,"",0))))</f>
        <v>0.3333333333</v>
      </c>
      <c r="K12" s="42" t="str">
        <f t="array" ref="K12">IF(XLOOKUP($A12,Partner_Tickets!$A:$A,Partner_Tickets!K:K,"",0)="Free","Free",IF(XLOOKUP($A12,Partner_Tickets!$A:$A,Partner_Tickets!K:K,"",0)="VL","VL",IF(XLOOKUP($A12,Partner_Tickets!$A:$A,Partner_Tickets!K:K,"",0)="ATT","ATT",XLOOKUP($A12,Partner_Tickets!$A:$A,Partner_Tickets!K:K,"",0))))</f>
        <v/>
      </c>
      <c r="L12" s="42">
        <f t="array" ref="L12">IF(XLOOKUP($A12,Partner_Tickets!$A:$A,Partner_Tickets!L:L,"",0)="Free","Free",IF(XLOOKUP($A12,Partner_Tickets!$A:$A,Partner_Tickets!L:L,"",0)="VL","VL",IF(XLOOKUP($A12,Partner_Tickets!$A:$A,Partner_Tickets!L:L,"",0)="ATT","ATT",XLOOKUP($A12,Partner_Tickets!$A:$A,Partner_Tickets!L:L,"",0))))</f>
        <v>0.3333333333</v>
      </c>
      <c r="M12" s="42">
        <f t="array" ref="M12">IF(XLOOKUP($A12,Partner_Tickets!$A:$A,Partner_Tickets!M:M,"",0)="Free","Free",IF(XLOOKUP($A12,Partner_Tickets!$A:$A,Partner_Tickets!M:M,"",0)="VL","VL",IF(XLOOKUP($A12,Partner_Tickets!$A:$A,Partner_Tickets!M:M,"",0)="ATT","ATT",XLOOKUP($A12,Partner_Tickets!$A:$A,Partner_Tickets!M:M,"",0))))</f>
        <v>0.3333333333</v>
      </c>
      <c r="N12" s="42">
        <f t="array" ref="N12">IF(XLOOKUP($A12,Partner_Tickets!$A:$A,Partner_Tickets!N:N,"",0)="Free","Free",IF(XLOOKUP($A12,Partner_Tickets!$A:$A,Partner_Tickets!N:N,"",0)="VL","VL",IF(XLOOKUP($A12,Partner_Tickets!$A:$A,Partner_Tickets!N:N,"",0)="ATT","ATT",XLOOKUP($A12,Partner_Tickets!$A:$A,Partner_Tickets!N:N,"",0))))</f>
        <v>0.3333333333</v>
      </c>
      <c r="O12" s="42" t="str">
        <f t="array" ref="O12">IF(XLOOKUP($A12,Partner_Tickets!$A:$A,Partner_Tickets!O:O,"",0)="Free","Free",IF(XLOOKUP($A12,Partner_Tickets!$A:$A,Partner_Tickets!O:O,"",0)="VL","VL",IF(XLOOKUP($A12,Partner_Tickets!$A:$A,Partner_Tickets!O:O,"",0)="ATT","ATT",XLOOKUP($A12,Partner_Tickets!$A:$A,Partner_Tickets!O:O,"",0))))</f>
        <v>Free</v>
      </c>
      <c r="P12" s="42">
        <f t="array" ref="P12">IF(XLOOKUP($A12,Partner_Tickets!$A:$A,Partner_Tickets!P:P,"",0)="Free","Free",IF(XLOOKUP($A12,Partner_Tickets!$A:$A,Partner_Tickets!P:P,"",0)="VL","VL",IF(XLOOKUP($A12,Partner_Tickets!$A:$A,Partner_Tickets!P:P,"",0)="ATT","ATT",XLOOKUP($A12,Partner_Tickets!$A:$A,Partner_Tickets!P:P,"",0))))</f>
        <v>0.3333333333</v>
      </c>
      <c r="Q12" s="42">
        <f t="array" ref="Q12">IF(XLOOKUP($A12,Partner_Tickets!$A:$A,Partner_Tickets!Q:Q,"",0)="Free","Free",IF(XLOOKUP($A12,Partner_Tickets!$A:$A,Partner_Tickets!Q:Q,"",0)="VL","VL",IF(XLOOKUP($A12,Partner_Tickets!$A:$A,Partner_Tickets!Q:Q,"",0)="ATT","ATT",XLOOKUP($A12,Partner_Tickets!$A:$A,Partner_Tickets!Q:Q,"",0))))</f>
        <v>0.3333333333</v>
      </c>
      <c r="R12" s="42"/>
      <c r="S12" s="42">
        <f t="array" ref="S12">IF(XLOOKUP($A12,Partner_Tickets!$A:$A,Partner_Tickets!S:S,"",0)="Free","Free",IF(XLOOKUP($A12,Partner_Tickets!$A:$A,Partner_Tickets!S:S,"",0)="VL","VL",IF(XLOOKUP($A12,Partner_Tickets!$A:$A,Partner_Tickets!S:S,"",0)="ATT","ATT",XLOOKUP($A12,Partner_Tickets!$A:$A,Partner_Tickets!S:S,"",0))))</f>
        <v>0.3333333333</v>
      </c>
      <c r="T12" s="42">
        <f t="array" ref="T12">IF(XLOOKUP($A12,Partner_Tickets!$A:$A,Partner_Tickets!T:T,"",0)="Free","Free",IF(XLOOKUP($A12,Partner_Tickets!$A:$A,Partner_Tickets!T:T,"",0)="VL","VL",IF(XLOOKUP($A12,Partner_Tickets!$A:$A,Partner_Tickets!T:T,"",0)="ATT","ATT",XLOOKUP($A12,Partner_Tickets!$A:$A,Partner_Tickets!T:T,"",0))))</f>
        <v>0.3333333333</v>
      </c>
      <c r="U12" s="42">
        <f t="array" ref="U12">IF(XLOOKUP($A12,Partner_Tickets!$A:$A,Partner_Tickets!U:U,"",0)="Free","Free",IF(XLOOKUP($A12,Partner_Tickets!$A:$A,Partner_Tickets!U:U,"",0)="VL","VL",IF(XLOOKUP($A12,Partner_Tickets!$A:$A,Partner_Tickets!U:U,"",0)="ATT","ATT",XLOOKUP($A12,Partner_Tickets!$A:$A,Partner_Tickets!U:U,"",0))))</f>
        <v>0.3333333333</v>
      </c>
      <c r="V12" s="42" t="str">
        <f t="array" ref="V12">IF(XLOOKUP($A12,Partner_Tickets!$A:$A,Partner_Tickets!V:V,"",0)="Free","Free",IF(XLOOKUP($A12,Partner_Tickets!$A:$A,Partner_Tickets!V:V,"",0)="VL","VL",IF(XLOOKUP($A12,Partner_Tickets!$A:$A,Partner_Tickets!V:V,"",0)="ATT","ATT",XLOOKUP($A12,Partner_Tickets!$A:$A,Partner_Tickets!V:V,"",0))))</f>
        <v>Free</v>
      </c>
      <c r="W12" s="42">
        <f t="array" ref="W12">IF(XLOOKUP($A12,Partner_Tickets!$A:$A,Partner_Tickets!W:W,"",0)="Free","Free",IF(XLOOKUP($A12,Partner_Tickets!$A:$A,Partner_Tickets!W:W,"",0)="VL","VL",IF(XLOOKUP($A12,Partner_Tickets!$A:$A,Partner_Tickets!W:W,"",0)="ATT","ATT",XLOOKUP($A12,Partner_Tickets!$A:$A,Partner_Tickets!W:W,"",0))))</f>
        <v>0.3333333333</v>
      </c>
      <c r="X12" s="42">
        <f t="array" ref="X12">IF(XLOOKUP($A12,Partner_Tickets!$A:$A,Partner_Tickets!X:X,"",0)="Free","Free",IF(XLOOKUP($A12,Partner_Tickets!$A:$A,Partner_Tickets!X:X,"",0)="VL","VL",IF(XLOOKUP($A12,Partner_Tickets!$A:$A,Partner_Tickets!X:X,"",0)="ATT","ATT",XLOOKUP($A12,Partner_Tickets!$A:$A,Partner_Tickets!X:X,"",0))))</f>
        <v>0.3333333333</v>
      </c>
      <c r="Y12" s="42"/>
      <c r="Z12" s="42">
        <f t="array" ref="Z12">IF(XLOOKUP($A12,Partner_Tickets!$A:$A,Partner_Tickets!Z:Z,"",0)="Free","Free",IF(XLOOKUP($A12,Partner_Tickets!$A:$A,Partner_Tickets!Z:Z,"",0)="VL","VL",IF(XLOOKUP($A12,Partner_Tickets!$A:$A,Partner_Tickets!Z:Z,"",0)="ATT","ATT",XLOOKUP($A12,Partner_Tickets!$A:$A,Partner_Tickets!Z:Z,"",0))))</f>
        <v>0.3333333333</v>
      </c>
      <c r="AA12" s="42">
        <f t="array" ref="AA12">IF(XLOOKUP($A12,Partner_Tickets!$A:$A,Partner_Tickets!AA:AA,"",0)="Free","Free",IF(XLOOKUP($A12,Partner_Tickets!$A:$A,Partner_Tickets!AA:AA,"",0)="VL","VL",IF(XLOOKUP($A12,Partner_Tickets!$A:$A,Partner_Tickets!AA:AA,"",0)="ATT","ATT",XLOOKUP($A12,Partner_Tickets!$A:$A,Partner_Tickets!AA:AA,"",0))))</f>
        <v>0.3333333333</v>
      </c>
      <c r="AB12" s="42">
        <f t="array" ref="AB12">IF(XLOOKUP($A12,Partner_Tickets!$A:$A,Partner_Tickets!AB:AB,"",0)="Free","Free",IF(XLOOKUP($A12,Partner_Tickets!$A:$A,Partner_Tickets!AB:AB,"",0)="VL","VL",IF(XLOOKUP($A12,Partner_Tickets!$A:$A,Partner_Tickets!AB:AB,"",0)="ATT","ATT",XLOOKUP($A12,Partner_Tickets!$A:$A,Partner_Tickets!AB:AB,"",0))))</f>
        <v>0.3333333333</v>
      </c>
      <c r="AC12" s="42" t="str">
        <f t="array" ref="AC12">IF(XLOOKUP($A12,Partner_Tickets!$A:$A,Partner_Tickets!AC:AC,"",0)="Free","Free",IF(XLOOKUP($A12,Partner_Tickets!$A:$A,Partner_Tickets!AC:AC,"",0)="VL","VL",IF(XLOOKUP($A12,Partner_Tickets!$A:$A,Partner_Tickets!AC:AC,"",0)="ATT","ATT",XLOOKUP($A12,Partner_Tickets!$A:$A,Partner_Tickets!AC:AC,"",0))))</f>
        <v>Free</v>
      </c>
      <c r="AD12" s="42">
        <f t="array" ref="AD12">IF(XLOOKUP($A12,Partner_Tickets!$A:$A,Partner_Tickets!AD:AD,"",0)="Free","Free",IF(XLOOKUP($A12,Partner_Tickets!$A:$A,Partner_Tickets!AD:AD,"",0)="VL","VL",IF(XLOOKUP($A12,Partner_Tickets!$A:$A,Partner_Tickets!AD:AD,"",0)="ATT","ATT",XLOOKUP($A12,Partner_Tickets!$A:$A,Partner_Tickets!AD:AD,"",0))))</f>
        <v>0.3333333333</v>
      </c>
      <c r="AE12" s="42">
        <f t="array" ref="AE12">IF(XLOOKUP($A12,Partner_Tickets!$A:$A,Partner_Tickets!AE:AE,"",0)="Free","Free",IF(XLOOKUP($A12,Partner_Tickets!$A:$A,Partner_Tickets!AE:AE,"",0)="VL","VL",IF(XLOOKUP($A12,Partner_Tickets!$A:$A,Partner_Tickets!AE:AE,"",0)="ATT","ATT",XLOOKUP($A12,Partner_Tickets!$A:$A,Partner_Tickets!AE:AE,"",0))))</f>
        <v>0.3333333333</v>
      </c>
      <c r="AF12" s="42"/>
      <c r="AG12" s="42">
        <f t="array" ref="AG12">IF(XLOOKUP($A12,Partner_Tickets!$A:$A,Partner_Tickets!AG:AG,"",0)="Free","Free",IF(XLOOKUP($A12,Partner_Tickets!$A:$A,Partner_Tickets!AG:AG,"",0)="VL","VL",IF(XLOOKUP($A12,Partner_Tickets!$A:$A,Partner_Tickets!AG:AG,"",0)="ATT","ATT",XLOOKUP($A12,Partner_Tickets!$A:$A,Partner_Tickets!AG:AG,"",0))))</f>
        <v>0.3333333333</v>
      </c>
      <c r="AH12" s="42">
        <f t="array" ref="AH12">IF(XLOOKUP($A12,Partner_Tickets!$A:$A,Partner_Tickets!AH:AH,"",0)="Free","Free",IF(XLOOKUP($A12,Partner_Tickets!$A:$A,Partner_Tickets!AH:AH,"",0)="VL","VL",IF(XLOOKUP($A12,Partner_Tickets!$A:$A,Partner_Tickets!AH:AH,"",0)="ATT","ATT",XLOOKUP($A12,Partner_Tickets!$A:$A,Partner_Tickets!AH:AH,"",0))))</f>
        <v>0.3333333333</v>
      </c>
      <c r="AI12" s="42">
        <f t="array" ref="AI12">IF(XLOOKUP($A12,Partner_Tickets!$A:$A,Partner_Tickets!AI:AI,"",0)="Free","Free",IF(XLOOKUP($A12,Partner_Tickets!$A:$A,Partner_Tickets!AI:AI,"",0)="VL","VL",IF(XLOOKUP($A12,Partner_Tickets!$A:$A,Partner_Tickets!AI:AI,"",0)="ATT","ATT",XLOOKUP($A12,Partner_Tickets!$A:$A,Partner_Tickets!AI:AI,"",0))))</f>
        <v>0.3333333333</v>
      </c>
      <c r="AJ12" s="42" t="str">
        <f t="array" ref="AJ12">IF(XLOOKUP($A12,Partner_Tickets!$A:$A,Partner_Tickets!AJ:AJ,"",0)="Free","Free",IF(XLOOKUP($A12,Partner_Tickets!$A:$A,Partner_Tickets!AJ:AJ,"",0)="VL","VL",IF(XLOOKUP($A12,Partner_Tickets!$A:$A,Partner_Tickets!AJ:AJ,"",0)="ATT","ATT",XLOOKUP($A12,Partner_Tickets!$A:$A,Partner_Tickets!AJ:AJ,"",0))))</f>
        <v>Free</v>
      </c>
      <c r="AK12" s="42">
        <f t="array" ref="AK12">IF(XLOOKUP($A12,Partner_Tickets!$A:$A,Partner_Tickets!AK:AK,"",0)="Free","Free",IF(XLOOKUP($A12,Partner_Tickets!$A:$A,Partner_Tickets!AK:AK,"",0)="VL","VL",IF(XLOOKUP($A12,Partner_Tickets!$A:$A,Partner_Tickets!AK:AK,"",0)="ATT","ATT",XLOOKUP($A12,Partner_Tickets!$A:$A,Partner_Tickets!AK:AK,"",0))))</f>
        <v>0.3333333333</v>
      </c>
      <c r="AL12" s="42">
        <f t="array" ref="AL12">IF(XLOOKUP($A12,Partner_Tickets!$A:$A,Partner_Tickets!AL:AL,"",0)="Free","Free",IF(XLOOKUP($A12,Partner_Tickets!$A:$A,Partner_Tickets!AL:AL,"",0)="VL","VL",IF(XLOOKUP($A12,Partner_Tickets!$A:$A,Partner_Tickets!AL:AL,"",0)="ATT","ATT",XLOOKUP($A12,Partner_Tickets!$A:$A,Partner_Tickets!AL:AL,"",0))))</f>
        <v>0.3333333333</v>
      </c>
      <c r="AM12" s="42"/>
    </row>
    <row r="13">
      <c r="A13" s="43" t="s">
        <v>145</v>
      </c>
      <c r="B13" s="44" t="str">
        <f t="array" ref="B13">XLOOKUP(A13,Roster!F:F,Roster!A:A,"",0)</f>
        <v>Bryan Galvis</v>
      </c>
      <c r="C13" s="44" t="str">
        <f t="array" ref="C13">XLOOKUP(A13,Roster!F:F,Roster!B:B,"",0)</f>
        <v>Lina Cadena</v>
      </c>
      <c r="D13" s="40"/>
      <c r="E13" s="42">
        <f t="array" ref="E13">IF(XLOOKUP($A13,Partner_Tickets!$A:$A,Partner_Tickets!E:E,"",0)="Free","Free",IF(XLOOKUP($A13,Partner_Tickets!$A:$A,Partner_Tickets!E:E,"",0)="VL","VL",IF(XLOOKUP($A13,Partner_Tickets!$A:$A,Partner_Tickets!E:E,"",0)="ATT","ATT",XLOOKUP($A13,Partner_Tickets!$A:$A,Partner_Tickets!E:E,"",0))))</f>
        <v>0.3333333333</v>
      </c>
      <c r="F13" s="42" t="str">
        <f t="array" ref="F13">IF(XLOOKUP($A13,Partner_Tickets!$A:$A,Partner_Tickets!F:F,"",0)="Free","Free",IF(XLOOKUP($A13,Partner_Tickets!$A:$A,Partner_Tickets!F:F,"",0)="VL","VL",IF(XLOOKUP($A13,Partner_Tickets!$A:$A,Partner_Tickets!F:F,"",0)="ATT","ATT",XLOOKUP($A13,Partner_Tickets!$A:$A,Partner_Tickets!F:F,"",0))))</f>
        <v>Free</v>
      </c>
      <c r="G13" s="42">
        <f t="array" ref="G13">IF(XLOOKUP($A13,Partner_Tickets!$A:$A,Partner_Tickets!G:G,"",0)="Free","Free",IF(XLOOKUP($A13,Partner_Tickets!$A:$A,Partner_Tickets!G:G,"",0)="VL","VL",IF(XLOOKUP($A13,Partner_Tickets!$A:$A,Partner_Tickets!G:G,"",0)="ATT","ATT",XLOOKUP($A13,Partner_Tickets!$A:$A,Partner_Tickets!G:G,"",0))))</f>
        <v>0.3333333333</v>
      </c>
      <c r="H13" s="42">
        <f t="array" ref="H13">IF(XLOOKUP($A13,Partner_Tickets!$A:$A,Partner_Tickets!H:H,"",0)="Free","Free",IF(XLOOKUP($A13,Partner_Tickets!$A:$A,Partner_Tickets!H:H,"",0)="VL","VL",IF(XLOOKUP($A13,Partner_Tickets!$A:$A,Partner_Tickets!H:H,"",0)="ATT","ATT",XLOOKUP($A13,Partner_Tickets!$A:$A,Partner_Tickets!H:H,"",0))))</f>
        <v>0.3333333333</v>
      </c>
      <c r="I13" s="42">
        <f t="array" ref="I13">IF(XLOOKUP($A13,Partner_Tickets!$A:$A,Partner_Tickets!I:I,"",0)="Free","Free",IF(XLOOKUP($A13,Partner_Tickets!$A:$A,Partner_Tickets!I:I,"",0)="VL","VL",IF(XLOOKUP($A13,Partner_Tickets!$A:$A,Partner_Tickets!I:I,"",0)="ATT","ATT",XLOOKUP($A13,Partner_Tickets!$A:$A,Partner_Tickets!I:I,"",0))))</f>
        <v>0.3333333333</v>
      </c>
      <c r="J13" s="42">
        <f t="array" ref="J13">IF(XLOOKUP($A13,Partner_Tickets!$A:$A,Partner_Tickets!J:J,"",0)="Free","Free",IF(XLOOKUP($A13,Partner_Tickets!$A:$A,Partner_Tickets!J:J,"",0)="VL","VL",IF(XLOOKUP($A13,Partner_Tickets!$A:$A,Partner_Tickets!J:J,"",0)="ATT","ATT",XLOOKUP($A13,Partner_Tickets!$A:$A,Partner_Tickets!J:J,"",0))))</f>
        <v>0.3333333333</v>
      </c>
      <c r="K13" s="42" t="str">
        <f t="array" ref="K13">IF(XLOOKUP($A13,Partner_Tickets!$A:$A,Partner_Tickets!K:K,"",0)="Free","Free",IF(XLOOKUP($A13,Partner_Tickets!$A:$A,Partner_Tickets!K:K,"",0)="VL","VL",IF(XLOOKUP($A13,Partner_Tickets!$A:$A,Partner_Tickets!K:K,"",0)="ATT","ATT",XLOOKUP($A13,Partner_Tickets!$A:$A,Partner_Tickets!K:K,"",0))))</f>
        <v/>
      </c>
      <c r="L13" s="42">
        <f t="array" ref="L13">IF(XLOOKUP($A13,Partner_Tickets!$A:$A,Partner_Tickets!L:L,"",0)="Free","Free",IF(XLOOKUP($A13,Partner_Tickets!$A:$A,Partner_Tickets!L:L,"",0)="VL","VL",IF(XLOOKUP($A13,Partner_Tickets!$A:$A,Partner_Tickets!L:L,"",0)="ATT","ATT",XLOOKUP($A13,Partner_Tickets!$A:$A,Partner_Tickets!L:L,"",0))))</f>
        <v>0.3333333333</v>
      </c>
      <c r="M13" s="42">
        <f t="array" ref="M13">IF(XLOOKUP($A13,Partner_Tickets!$A:$A,Partner_Tickets!M:M,"",0)="Free","Free",IF(XLOOKUP($A13,Partner_Tickets!$A:$A,Partner_Tickets!M:M,"",0)="VL","VL",IF(XLOOKUP($A13,Partner_Tickets!$A:$A,Partner_Tickets!M:M,"",0)="ATT","ATT",XLOOKUP($A13,Partner_Tickets!$A:$A,Partner_Tickets!M:M,"",0))))</f>
        <v>0.3333333333</v>
      </c>
      <c r="N13" s="42">
        <f t="array" ref="N13">IF(XLOOKUP($A13,Partner_Tickets!$A:$A,Partner_Tickets!N:N,"",0)="Free","Free",IF(XLOOKUP($A13,Partner_Tickets!$A:$A,Partner_Tickets!N:N,"",0)="VL","VL",IF(XLOOKUP($A13,Partner_Tickets!$A:$A,Partner_Tickets!N:N,"",0)="ATT","ATT",XLOOKUP($A13,Partner_Tickets!$A:$A,Partner_Tickets!N:N,"",0))))</f>
        <v>0.3333333333</v>
      </c>
      <c r="O13" s="42">
        <f t="array" ref="O13">IF(XLOOKUP($A13,Partner_Tickets!$A:$A,Partner_Tickets!O:O,"",0)="Free","Free",IF(XLOOKUP($A13,Partner_Tickets!$A:$A,Partner_Tickets!O:O,"",0)="VL","VL",IF(XLOOKUP($A13,Partner_Tickets!$A:$A,Partner_Tickets!O:O,"",0)="ATT","ATT",XLOOKUP($A13,Partner_Tickets!$A:$A,Partner_Tickets!O:O,"",0))))</f>
        <v>0.3333333333</v>
      </c>
      <c r="P13" s="42">
        <f t="array" ref="P13">IF(XLOOKUP($A13,Partner_Tickets!$A:$A,Partner_Tickets!P:P,"",0)="Free","Free",IF(XLOOKUP($A13,Partner_Tickets!$A:$A,Partner_Tickets!P:P,"",0)="VL","VL",IF(XLOOKUP($A13,Partner_Tickets!$A:$A,Partner_Tickets!P:P,"",0)="ATT","ATT",XLOOKUP($A13,Partner_Tickets!$A:$A,Partner_Tickets!P:P,"",0))))</f>
        <v>0.3333333333</v>
      </c>
      <c r="Q13" s="42" t="str">
        <f t="array" ref="Q13">IF(XLOOKUP($A13,Partner_Tickets!$A:$A,Partner_Tickets!Q:Q,"",0)="Free","Free",IF(XLOOKUP($A13,Partner_Tickets!$A:$A,Partner_Tickets!Q:Q,"",0)="VL","VL",IF(XLOOKUP($A13,Partner_Tickets!$A:$A,Partner_Tickets!Q:Q,"",0)="ATT","ATT",XLOOKUP($A13,Partner_Tickets!$A:$A,Partner_Tickets!Q:Q,"",0))))</f>
        <v>Free</v>
      </c>
      <c r="R13" s="42"/>
      <c r="S13" s="42">
        <f t="array" ref="S13">IF(XLOOKUP($A13,Partner_Tickets!$A:$A,Partner_Tickets!S:S,"",0)="Free","Free",IF(XLOOKUP($A13,Partner_Tickets!$A:$A,Partner_Tickets!S:S,"",0)="VL","VL",IF(XLOOKUP($A13,Partner_Tickets!$A:$A,Partner_Tickets!S:S,"",0)="ATT","ATT",XLOOKUP($A13,Partner_Tickets!$A:$A,Partner_Tickets!S:S,"",0))))</f>
        <v>0.3333333333</v>
      </c>
      <c r="T13" s="42">
        <f t="array" ref="T13">IF(XLOOKUP($A13,Partner_Tickets!$A:$A,Partner_Tickets!T:T,"",0)="Free","Free",IF(XLOOKUP($A13,Partner_Tickets!$A:$A,Partner_Tickets!T:T,"",0)="VL","VL",IF(XLOOKUP($A13,Partner_Tickets!$A:$A,Partner_Tickets!T:T,"",0)="ATT","ATT",XLOOKUP($A13,Partner_Tickets!$A:$A,Partner_Tickets!T:T,"",0))))</f>
        <v>0.3333333333</v>
      </c>
      <c r="U13" s="42">
        <f t="array" ref="U13">IF(XLOOKUP($A13,Partner_Tickets!$A:$A,Partner_Tickets!U:U,"",0)="Free","Free",IF(XLOOKUP($A13,Partner_Tickets!$A:$A,Partner_Tickets!U:U,"",0)="VL","VL",IF(XLOOKUP($A13,Partner_Tickets!$A:$A,Partner_Tickets!U:U,"",0)="ATT","ATT",XLOOKUP($A13,Partner_Tickets!$A:$A,Partner_Tickets!U:U,"",0))))</f>
        <v>0.3333333333</v>
      </c>
      <c r="V13" s="42">
        <f t="array" ref="V13">IF(XLOOKUP($A13,Partner_Tickets!$A:$A,Partner_Tickets!V:V,"",0)="Free","Free",IF(XLOOKUP($A13,Partner_Tickets!$A:$A,Partner_Tickets!V:V,"",0)="VL","VL",IF(XLOOKUP($A13,Partner_Tickets!$A:$A,Partner_Tickets!V:V,"",0)="ATT","ATT",XLOOKUP($A13,Partner_Tickets!$A:$A,Partner_Tickets!V:V,"",0))))</f>
        <v>0.3333333333</v>
      </c>
      <c r="W13" s="42">
        <f t="array" ref="W13">IF(XLOOKUP($A13,Partner_Tickets!$A:$A,Partner_Tickets!W:W,"",0)="Free","Free",IF(XLOOKUP($A13,Partner_Tickets!$A:$A,Partner_Tickets!W:W,"",0)="VL","VL",IF(XLOOKUP($A13,Partner_Tickets!$A:$A,Partner_Tickets!W:W,"",0)="ATT","ATT",XLOOKUP($A13,Partner_Tickets!$A:$A,Partner_Tickets!W:W,"",0))))</f>
        <v>0.3333333333</v>
      </c>
      <c r="X13" s="42" t="str">
        <f t="array" ref="X13">IF(XLOOKUP($A13,Partner_Tickets!$A:$A,Partner_Tickets!X:X,"",0)="Free","Free",IF(XLOOKUP($A13,Partner_Tickets!$A:$A,Partner_Tickets!X:X,"",0)="VL","VL",IF(XLOOKUP($A13,Partner_Tickets!$A:$A,Partner_Tickets!X:X,"",0)="ATT","ATT",XLOOKUP($A13,Partner_Tickets!$A:$A,Partner_Tickets!X:X,"",0))))</f>
        <v>Free</v>
      </c>
      <c r="Y13" s="42"/>
      <c r="Z13" s="42">
        <f t="array" ref="Z13">IF(XLOOKUP($A13,Partner_Tickets!$A:$A,Partner_Tickets!Z:Z,"",0)="Free","Free",IF(XLOOKUP($A13,Partner_Tickets!$A:$A,Partner_Tickets!Z:Z,"",0)="VL","VL",IF(XLOOKUP($A13,Partner_Tickets!$A:$A,Partner_Tickets!Z:Z,"",0)="ATT","ATT",XLOOKUP($A13,Partner_Tickets!$A:$A,Partner_Tickets!Z:Z,"",0))))</f>
        <v>0.3333333333</v>
      </c>
      <c r="AA13" s="42">
        <f t="array" ref="AA13">IF(XLOOKUP($A13,Partner_Tickets!$A:$A,Partner_Tickets!AA:AA,"",0)="Free","Free",IF(XLOOKUP($A13,Partner_Tickets!$A:$A,Partner_Tickets!AA:AA,"",0)="VL","VL",IF(XLOOKUP($A13,Partner_Tickets!$A:$A,Partner_Tickets!AA:AA,"",0)="ATT","ATT",XLOOKUP($A13,Partner_Tickets!$A:$A,Partner_Tickets!AA:AA,"",0))))</f>
        <v>0.3333333333</v>
      </c>
      <c r="AB13" s="42">
        <f t="array" ref="AB13">IF(XLOOKUP($A13,Partner_Tickets!$A:$A,Partner_Tickets!AB:AB,"",0)="Free","Free",IF(XLOOKUP($A13,Partner_Tickets!$A:$A,Partner_Tickets!AB:AB,"",0)="VL","VL",IF(XLOOKUP($A13,Partner_Tickets!$A:$A,Partner_Tickets!AB:AB,"",0)="ATT","ATT",XLOOKUP($A13,Partner_Tickets!$A:$A,Partner_Tickets!AB:AB,"",0))))</f>
        <v>0.3333333333</v>
      </c>
      <c r="AC13" s="42">
        <f t="array" ref="AC13">IF(XLOOKUP($A13,Partner_Tickets!$A:$A,Partner_Tickets!AC:AC,"",0)="Free","Free",IF(XLOOKUP($A13,Partner_Tickets!$A:$A,Partner_Tickets!AC:AC,"",0)="VL","VL",IF(XLOOKUP($A13,Partner_Tickets!$A:$A,Partner_Tickets!AC:AC,"",0)="ATT","ATT",XLOOKUP($A13,Partner_Tickets!$A:$A,Partner_Tickets!AC:AC,"",0))))</f>
        <v>0.3333333333</v>
      </c>
      <c r="AD13" s="42">
        <f t="array" ref="AD13">IF(XLOOKUP($A13,Partner_Tickets!$A:$A,Partner_Tickets!AD:AD,"",0)="Free","Free",IF(XLOOKUP($A13,Partner_Tickets!$A:$A,Partner_Tickets!AD:AD,"",0)="VL","VL",IF(XLOOKUP($A13,Partner_Tickets!$A:$A,Partner_Tickets!AD:AD,"",0)="ATT","ATT",XLOOKUP($A13,Partner_Tickets!$A:$A,Partner_Tickets!AD:AD,"",0))))</f>
        <v>0.3333333333</v>
      </c>
      <c r="AE13" s="42" t="str">
        <f t="array" ref="AE13">IF(XLOOKUP($A13,Partner_Tickets!$A:$A,Partner_Tickets!AE:AE,"",0)="Free","Free",IF(XLOOKUP($A13,Partner_Tickets!$A:$A,Partner_Tickets!AE:AE,"",0)="VL","VL",IF(XLOOKUP($A13,Partner_Tickets!$A:$A,Partner_Tickets!AE:AE,"",0)="ATT","ATT",XLOOKUP($A13,Partner_Tickets!$A:$A,Partner_Tickets!AE:AE,"",0))))</f>
        <v>Free</v>
      </c>
      <c r="AF13" s="42"/>
      <c r="AG13" s="42">
        <f t="array" ref="AG13">IF(XLOOKUP($A13,Partner_Tickets!$A:$A,Partner_Tickets!AG:AG,"",0)="Free","Free",IF(XLOOKUP($A13,Partner_Tickets!$A:$A,Partner_Tickets!AG:AG,"",0)="VL","VL",IF(XLOOKUP($A13,Partner_Tickets!$A:$A,Partner_Tickets!AG:AG,"",0)="ATT","ATT",XLOOKUP($A13,Partner_Tickets!$A:$A,Partner_Tickets!AG:AG,"",0))))</f>
        <v>0.3333333333</v>
      </c>
      <c r="AH13" s="42">
        <f t="array" ref="AH13">IF(XLOOKUP($A13,Partner_Tickets!$A:$A,Partner_Tickets!AH:AH,"",0)="Free","Free",IF(XLOOKUP($A13,Partner_Tickets!$A:$A,Partner_Tickets!AH:AH,"",0)="VL","VL",IF(XLOOKUP($A13,Partner_Tickets!$A:$A,Partner_Tickets!AH:AH,"",0)="ATT","ATT",XLOOKUP($A13,Partner_Tickets!$A:$A,Partner_Tickets!AH:AH,"",0))))</f>
        <v>0.3333333333</v>
      </c>
      <c r="AI13" s="42">
        <f t="array" ref="AI13">IF(XLOOKUP($A13,Partner_Tickets!$A:$A,Partner_Tickets!AI:AI,"",0)="Free","Free",IF(XLOOKUP($A13,Partner_Tickets!$A:$A,Partner_Tickets!AI:AI,"",0)="VL","VL",IF(XLOOKUP($A13,Partner_Tickets!$A:$A,Partner_Tickets!AI:AI,"",0)="ATT","ATT",XLOOKUP($A13,Partner_Tickets!$A:$A,Partner_Tickets!AI:AI,"",0))))</f>
        <v>0.3333333333</v>
      </c>
      <c r="AJ13" s="42">
        <f t="array" ref="AJ13">IF(XLOOKUP($A13,Partner_Tickets!$A:$A,Partner_Tickets!AJ:AJ,"",0)="Free","Free",IF(XLOOKUP($A13,Partner_Tickets!$A:$A,Partner_Tickets!AJ:AJ,"",0)="VL","VL",IF(XLOOKUP($A13,Partner_Tickets!$A:$A,Partner_Tickets!AJ:AJ,"",0)="ATT","ATT",XLOOKUP($A13,Partner_Tickets!$A:$A,Partner_Tickets!AJ:AJ,"",0))))</f>
        <v>0.3333333333</v>
      </c>
      <c r="AK13" s="42">
        <f t="array" ref="AK13">IF(XLOOKUP($A13,Partner_Tickets!$A:$A,Partner_Tickets!AK:AK,"",0)="Free","Free",IF(XLOOKUP($A13,Partner_Tickets!$A:$A,Partner_Tickets!AK:AK,"",0)="VL","VL",IF(XLOOKUP($A13,Partner_Tickets!$A:$A,Partner_Tickets!AK:AK,"",0)="ATT","ATT",XLOOKUP($A13,Partner_Tickets!$A:$A,Partner_Tickets!AK:AK,"",0))))</f>
        <v>0.3333333333</v>
      </c>
      <c r="AL13" s="42" t="str">
        <f t="array" ref="AL13">IF(XLOOKUP($A13,Partner_Tickets!$A:$A,Partner_Tickets!AL:AL,"",0)="Free","Free",IF(XLOOKUP($A13,Partner_Tickets!$A:$A,Partner_Tickets!AL:AL,"",0)="VL","VL",IF(XLOOKUP($A13,Partner_Tickets!$A:$A,Partner_Tickets!AL:AL,"",0)="ATT","ATT",XLOOKUP($A13,Partner_Tickets!$A:$A,Partner_Tickets!AL:AL,"",0))))</f>
        <v>Free</v>
      </c>
      <c r="AM13" s="42"/>
    </row>
    <row r="14">
      <c r="A14" s="47" t="s">
        <v>146</v>
      </c>
      <c r="B14" s="44" t="str">
        <f t="array" ref="B14">XLOOKUP(A14,Roster!F:F,Roster!A:A,"",0)</f>
        <v>Bryan Galvis</v>
      </c>
      <c r="C14" s="44" t="str">
        <f t="array" ref="C14">XLOOKUP(A14,Roster!F:F,Roster!B:B,"",0)</f>
        <v>Madelyn Jaramillo</v>
      </c>
      <c r="D14" s="45"/>
      <c r="E14" s="42">
        <f t="array" ref="E14">IF(XLOOKUP($A14,Partner_Tickets!$A:$A,Partner_Tickets!E:E,"",0)="Free","Free",IF(XLOOKUP($A14,Partner_Tickets!$A:$A,Partner_Tickets!E:E,"",0)="VL","VL",IF(XLOOKUP($A14,Partner_Tickets!$A:$A,Partner_Tickets!E:E,"",0)="ATT","ATT",XLOOKUP($A14,Partner_Tickets!$A:$A,Partner_Tickets!E:E,"",0))))</f>
        <v>0.3333333333</v>
      </c>
      <c r="F14" s="42">
        <f t="array" ref="F14">IF(XLOOKUP($A14,Partner_Tickets!$A:$A,Partner_Tickets!F:F,"",0)="Free","Free",IF(XLOOKUP($A14,Partner_Tickets!$A:$A,Partner_Tickets!F:F,"",0)="VL","VL",IF(XLOOKUP($A14,Partner_Tickets!$A:$A,Partner_Tickets!F:F,"",0)="ATT","ATT",XLOOKUP($A14,Partner_Tickets!$A:$A,Partner_Tickets!F:F,"",0))))</f>
        <v>0.3333333333</v>
      </c>
      <c r="G14" s="42">
        <f t="array" ref="G14">IF(XLOOKUP($A14,Partner_Tickets!$A:$A,Partner_Tickets!G:G,"",0)="Free","Free",IF(XLOOKUP($A14,Partner_Tickets!$A:$A,Partner_Tickets!G:G,"",0)="VL","VL",IF(XLOOKUP($A14,Partner_Tickets!$A:$A,Partner_Tickets!G:G,"",0)="ATT","ATT",XLOOKUP($A14,Partner_Tickets!$A:$A,Partner_Tickets!G:G,"",0))))</f>
        <v>0.3333333333</v>
      </c>
      <c r="H14" s="42">
        <f t="array" ref="H14">IF(XLOOKUP($A14,Partner_Tickets!$A:$A,Partner_Tickets!H:H,"",0)="Free","Free",IF(XLOOKUP($A14,Partner_Tickets!$A:$A,Partner_Tickets!H:H,"",0)="VL","VL",IF(XLOOKUP($A14,Partner_Tickets!$A:$A,Partner_Tickets!H:H,"",0)="ATT","ATT",XLOOKUP($A14,Partner_Tickets!$A:$A,Partner_Tickets!H:H,"",0))))</f>
        <v>0.3333333333</v>
      </c>
      <c r="I14" s="42">
        <f t="array" ref="I14">IF(XLOOKUP($A14,Partner_Tickets!$A:$A,Partner_Tickets!I:I,"",0)="Free","Free",IF(XLOOKUP($A14,Partner_Tickets!$A:$A,Partner_Tickets!I:I,"",0)="VL","VL",IF(XLOOKUP($A14,Partner_Tickets!$A:$A,Partner_Tickets!I:I,"",0)="ATT","ATT",XLOOKUP($A14,Partner_Tickets!$A:$A,Partner_Tickets!I:I,"",0))))</f>
        <v>0.3333333333</v>
      </c>
      <c r="J14" s="42" t="str">
        <f t="array" ref="J14">IF(XLOOKUP($A14,Partner_Tickets!$A:$A,Partner_Tickets!J:J,"",0)="Free","Free",IF(XLOOKUP($A14,Partner_Tickets!$A:$A,Partner_Tickets!J:J,"",0)="VL","VL",IF(XLOOKUP($A14,Partner_Tickets!$A:$A,Partner_Tickets!J:J,"",0)="ATT","ATT",XLOOKUP($A14,Partner_Tickets!$A:$A,Partner_Tickets!J:J,"",0))))</f>
        <v>Free</v>
      </c>
      <c r="K14" s="42" t="str">
        <f t="array" ref="K14">IF(XLOOKUP($A14,Partner_Tickets!$A:$A,Partner_Tickets!K:K,"",0)="Free","Free",IF(XLOOKUP($A14,Partner_Tickets!$A:$A,Partner_Tickets!K:K,"",0)="VL","VL",IF(XLOOKUP($A14,Partner_Tickets!$A:$A,Partner_Tickets!K:K,"",0)="ATT","ATT",XLOOKUP($A14,Partner_Tickets!$A:$A,Partner_Tickets!K:K,"",0))))</f>
        <v/>
      </c>
      <c r="L14" s="42">
        <f t="array" ref="L14">IF(XLOOKUP($A14,Partner_Tickets!$A:$A,Partner_Tickets!L:L,"",0)="Free","Free",IF(XLOOKUP($A14,Partner_Tickets!$A:$A,Partner_Tickets!L:L,"",0)="VL","VL",IF(XLOOKUP($A14,Partner_Tickets!$A:$A,Partner_Tickets!L:L,"",0)="ATT","ATT",XLOOKUP($A14,Partner_Tickets!$A:$A,Partner_Tickets!L:L,"",0))))</f>
        <v>0.3333333333</v>
      </c>
      <c r="M14" s="42">
        <f t="array" ref="M14">IF(XLOOKUP($A14,Partner_Tickets!$A:$A,Partner_Tickets!M:M,"",0)="Free","Free",IF(XLOOKUP($A14,Partner_Tickets!$A:$A,Partner_Tickets!M:M,"",0)="VL","VL",IF(XLOOKUP($A14,Partner_Tickets!$A:$A,Partner_Tickets!M:M,"",0)="ATT","ATT",XLOOKUP($A14,Partner_Tickets!$A:$A,Partner_Tickets!M:M,"",0))))</f>
        <v>0.3333333333</v>
      </c>
      <c r="N14" s="42" t="str">
        <f t="array" ref="N14">IF(XLOOKUP($A14,Partner_Tickets!$A:$A,Partner_Tickets!N:N,"",0)="Free","Free",IF(XLOOKUP($A14,Partner_Tickets!$A:$A,Partner_Tickets!N:N,"",0)="VL","VL",IF(XLOOKUP($A14,Partner_Tickets!$A:$A,Partner_Tickets!N:N,"",0)="ATT","ATT",XLOOKUP($A14,Partner_Tickets!$A:$A,Partner_Tickets!N:N,"",0))))</f>
        <v>Free</v>
      </c>
      <c r="O14" s="42">
        <f t="array" ref="O14">IF(XLOOKUP($A14,Partner_Tickets!$A:$A,Partner_Tickets!O:O,"",0)="Free","Free",IF(XLOOKUP($A14,Partner_Tickets!$A:$A,Partner_Tickets!O:O,"",0)="VL","VL",IF(XLOOKUP($A14,Partner_Tickets!$A:$A,Partner_Tickets!O:O,"",0)="ATT","ATT",XLOOKUP($A14,Partner_Tickets!$A:$A,Partner_Tickets!O:O,"",0))))</f>
        <v>0.3333333333</v>
      </c>
      <c r="P14" s="42">
        <f t="array" ref="P14">IF(XLOOKUP($A14,Partner_Tickets!$A:$A,Partner_Tickets!P:P,"",0)="Free","Free",IF(XLOOKUP($A14,Partner_Tickets!$A:$A,Partner_Tickets!P:P,"",0)="VL","VL",IF(XLOOKUP($A14,Partner_Tickets!$A:$A,Partner_Tickets!P:P,"",0)="ATT","ATT",XLOOKUP($A14,Partner_Tickets!$A:$A,Partner_Tickets!P:P,"",0))))</f>
        <v>0.3333333333</v>
      </c>
      <c r="Q14" s="42">
        <f t="array" ref="Q14">IF(XLOOKUP($A14,Partner_Tickets!$A:$A,Partner_Tickets!Q:Q,"",0)="Free","Free",IF(XLOOKUP($A14,Partner_Tickets!$A:$A,Partner_Tickets!Q:Q,"",0)="VL","VL",IF(XLOOKUP($A14,Partner_Tickets!$A:$A,Partner_Tickets!Q:Q,"",0)="ATT","ATT",XLOOKUP($A14,Partner_Tickets!$A:$A,Partner_Tickets!Q:Q,"",0))))</f>
        <v>0.3333333333</v>
      </c>
      <c r="R14" s="42"/>
      <c r="S14" s="42">
        <f t="array" ref="S14">IF(XLOOKUP($A14,Partner_Tickets!$A:$A,Partner_Tickets!S:S,"",0)="Free","Free",IF(XLOOKUP($A14,Partner_Tickets!$A:$A,Partner_Tickets!S:S,"",0)="VL","VL",IF(XLOOKUP($A14,Partner_Tickets!$A:$A,Partner_Tickets!S:S,"",0)="ATT","ATT",XLOOKUP($A14,Partner_Tickets!$A:$A,Partner_Tickets!S:S,"",0))))</f>
        <v>0.3333333333</v>
      </c>
      <c r="T14" s="42">
        <f t="array" ref="T14">IF(XLOOKUP($A14,Partner_Tickets!$A:$A,Partner_Tickets!T:T,"",0)="Free","Free",IF(XLOOKUP($A14,Partner_Tickets!$A:$A,Partner_Tickets!T:T,"",0)="VL","VL",IF(XLOOKUP($A14,Partner_Tickets!$A:$A,Partner_Tickets!T:T,"",0)="ATT","ATT",XLOOKUP($A14,Partner_Tickets!$A:$A,Partner_Tickets!T:T,"",0))))</f>
        <v>0.3333333333</v>
      </c>
      <c r="U14" s="42" t="str">
        <f t="array" ref="U14">IF(XLOOKUP($A14,Partner_Tickets!$A:$A,Partner_Tickets!U:U,"",0)="Free","Free",IF(XLOOKUP($A14,Partner_Tickets!$A:$A,Partner_Tickets!U:U,"",0)="VL","VL",IF(XLOOKUP($A14,Partner_Tickets!$A:$A,Partner_Tickets!U:U,"",0)="ATT","ATT",XLOOKUP($A14,Partner_Tickets!$A:$A,Partner_Tickets!U:U,"",0))))</f>
        <v>Free</v>
      </c>
      <c r="V14" s="42">
        <f t="array" ref="V14">IF(XLOOKUP($A14,Partner_Tickets!$A:$A,Partner_Tickets!V:V,"",0)="Free","Free",IF(XLOOKUP($A14,Partner_Tickets!$A:$A,Partner_Tickets!V:V,"",0)="VL","VL",IF(XLOOKUP($A14,Partner_Tickets!$A:$A,Partner_Tickets!V:V,"",0)="ATT","ATT",XLOOKUP($A14,Partner_Tickets!$A:$A,Partner_Tickets!V:V,"",0))))</f>
        <v>0.3333333333</v>
      </c>
      <c r="W14" s="42">
        <f t="array" ref="W14">IF(XLOOKUP($A14,Partner_Tickets!$A:$A,Partner_Tickets!W:W,"",0)="Free","Free",IF(XLOOKUP($A14,Partner_Tickets!$A:$A,Partner_Tickets!W:W,"",0)="VL","VL",IF(XLOOKUP($A14,Partner_Tickets!$A:$A,Partner_Tickets!W:W,"",0)="ATT","ATT",XLOOKUP($A14,Partner_Tickets!$A:$A,Partner_Tickets!W:W,"",0))))</f>
        <v>0.3333333333</v>
      </c>
      <c r="X14" s="42">
        <f t="array" ref="X14">IF(XLOOKUP($A14,Partner_Tickets!$A:$A,Partner_Tickets!X:X,"",0)="Free","Free",IF(XLOOKUP($A14,Partner_Tickets!$A:$A,Partner_Tickets!X:X,"",0)="VL","VL",IF(XLOOKUP($A14,Partner_Tickets!$A:$A,Partner_Tickets!X:X,"",0)="ATT","ATT",XLOOKUP($A14,Partner_Tickets!$A:$A,Partner_Tickets!X:X,"",0))))</f>
        <v>0.3333333333</v>
      </c>
      <c r="Y14" s="42"/>
      <c r="Z14" s="42">
        <f t="array" ref="Z14">IF(XLOOKUP($A14,Partner_Tickets!$A:$A,Partner_Tickets!Z:Z,"",0)="Free","Free",IF(XLOOKUP($A14,Partner_Tickets!$A:$A,Partner_Tickets!Z:Z,"",0)="VL","VL",IF(XLOOKUP($A14,Partner_Tickets!$A:$A,Partner_Tickets!Z:Z,"",0)="ATT","ATT",XLOOKUP($A14,Partner_Tickets!$A:$A,Partner_Tickets!Z:Z,"",0))))</f>
        <v>0.3333333333</v>
      </c>
      <c r="AA14" s="42">
        <f t="array" ref="AA14">IF(XLOOKUP($A14,Partner_Tickets!$A:$A,Partner_Tickets!AA:AA,"",0)="Free","Free",IF(XLOOKUP($A14,Partner_Tickets!$A:$A,Partner_Tickets!AA:AA,"",0)="VL","VL",IF(XLOOKUP($A14,Partner_Tickets!$A:$A,Partner_Tickets!AA:AA,"",0)="ATT","ATT",XLOOKUP($A14,Partner_Tickets!$A:$A,Partner_Tickets!AA:AA,"",0))))</f>
        <v>0.3333333333</v>
      </c>
      <c r="AB14" s="42" t="str">
        <f t="array" ref="AB14">IF(XLOOKUP($A14,Partner_Tickets!$A:$A,Partner_Tickets!AB:AB,"",0)="Free","Free",IF(XLOOKUP($A14,Partner_Tickets!$A:$A,Partner_Tickets!AB:AB,"",0)="VL","VL",IF(XLOOKUP($A14,Partner_Tickets!$A:$A,Partner_Tickets!AB:AB,"",0)="ATT","ATT",XLOOKUP($A14,Partner_Tickets!$A:$A,Partner_Tickets!AB:AB,"",0))))</f>
        <v>Free</v>
      </c>
      <c r="AC14" s="42">
        <f t="array" ref="AC14">IF(XLOOKUP($A14,Partner_Tickets!$A:$A,Partner_Tickets!AC:AC,"",0)="Free","Free",IF(XLOOKUP($A14,Partner_Tickets!$A:$A,Partner_Tickets!AC:AC,"",0)="VL","VL",IF(XLOOKUP($A14,Partner_Tickets!$A:$A,Partner_Tickets!AC:AC,"",0)="ATT","ATT",XLOOKUP($A14,Partner_Tickets!$A:$A,Partner_Tickets!AC:AC,"",0))))</f>
        <v>0.3333333333</v>
      </c>
      <c r="AD14" s="42">
        <f t="array" ref="AD14">IF(XLOOKUP($A14,Partner_Tickets!$A:$A,Partner_Tickets!AD:AD,"",0)="Free","Free",IF(XLOOKUP($A14,Partner_Tickets!$A:$A,Partner_Tickets!AD:AD,"",0)="VL","VL",IF(XLOOKUP($A14,Partner_Tickets!$A:$A,Partner_Tickets!AD:AD,"",0)="ATT","ATT",XLOOKUP($A14,Partner_Tickets!$A:$A,Partner_Tickets!AD:AD,"",0))))</f>
        <v>0.3333333333</v>
      </c>
      <c r="AE14" s="42">
        <f t="array" ref="AE14">IF(XLOOKUP($A14,Partner_Tickets!$A:$A,Partner_Tickets!AE:AE,"",0)="Free","Free",IF(XLOOKUP($A14,Partner_Tickets!$A:$A,Partner_Tickets!AE:AE,"",0)="VL","VL",IF(XLOOKUP($A14,Partner_Tickets!$A:$A,Partner_Tickets!AE:AE,"",0)="ATT","ATT",XLOOKUP($A14,Partner_Tickets!$A:$A,Partner_Tickets!AE:AE,"",0))))</f>
        <v>0.3333333333</v>
      </c>
      <c r="AF14" s="42"/>
      <c r="AG14" s="42">
        <f t="array" ref="AG14">IF(XLOOKUP($A14,Partner_Tickets!$A:$A,Partner_Tickets!AG:AG,"",0)="Free","Free",IF(XLOOKUP($A14,Partner_Tickets!$A:$A,Partner_Tickets!AG:AG,"",0)="VL","VL",IF(XLOOKUP($A14,Partner_Tickets!$A:$A,Partner_Tickets!AG:AG,"",0)="ATT","ATT",XLOOKUP($A14,Partner_Tickets!$A:$A,Partner_Tickets!AG:AG,"",0))))</f>
        <v>0.3333333333</v>
      </c>
      <c r="AH14" s="42">
        <f t="array" ref="AH14">IF(XLOOKUP($A14,Partner_Tickets!$A:$A,Partner_Tickets!AH:AH,"",0)="Free","Free",IF(XLOOKUP($A14,Partner_Tickets!$A:$A,Partner_Tickets!AH:AH,"",0)="VL","VL",IF(XLOOKUP($A14,Partner_Tickets!$A:$A,Partner_Tickets!AH:AH,"",0)="ATT","ATT",XLOOKUP($A14,Partner_Tickets!$A:$A,Partner_Tickets!AH:AH,"",0))))</f>
        <v>0.3333333333</v>
      </c>
      <c r="AI14" s="42" t="str">
        <f t="array" ref="AI14">IF(XLOOKUP($A14,Partner_Tickets!$A:$A,Partner_Tickets!AI:AI,"",0)="Free","Free",IF(XLOOKUP($A14,Partner_Tickets!$A:$A,Partner_Tickets!AI:AI,"",0)="VL","VL",IF(XLOOKUP($A14,Partner_Tickets!$A:$A,Partner_Tickets!AI:AI,"",0)="ATT","ATT",XLOOKUP($A14,Partner_Tickets!$A:$A,Partner_Tickets!AI:AI,"",0))))</f>
        <v>Free</v>
      </c>
      <c r="AJ14" s="42">
        <f t="array" ref="AJ14">IF(XLOOKUP($A14,Partner_Tickets!$A:$A,Partner_Tickets!AJ:AJ,"",0)="Free","Free",IF(XLOOKUP($A14,Partner_Tickets!$A:$A,Partner_Tickets!AJ:AJ,"",0)="VL","VL",IF(XLOOKUP($A14,Partner_Tickets!$A:$A,Partner_Tickets!AJ:AJ,"",0)="ATT","ATT",XLOOKUP($A14,Partner_Tickets!$A:$A,Partner_Tickets!AJ:AJ,"",0))))</f>
        <v>0.3333333333</v>
      </c>
      <c r="AK14" s="42">
        <f t="array" ref="AK14">IF(XLOOKUP($A14,Partner_Tickets!$A:$A,Partner_Tickets!AK:AK,"",0)="Free","Free",IF(XLOOKUP($A14,Partner_Tickets!$A:$A,Partner_Tickets!AK:AK,"",0)="VL","VL",IF(XLOOKUP($A14,Partner_Tickets!$A:$A,Partner_Tickets!AK:AK,"",0)="ATT","ATT",XLOOKUP($A14,Partner_Tickets!$A:$A,Partner_Tickets!AK:AK,"",0))))</f>
        <v>0.3333333333</v>
      </c>
      <c r="AL14" s="42">
        <f t="array" ref="AL14">IF(XLOOKUP($A14,Partner_Tickets!$A:$A,Partner_Tickets!AL:AL,"",0)="Free","Free",IF(XLOOKUP($A14,Partner_Tickets!$A:$A,Partner_Tickets!AL:AL,"",0)="VL","VL",IF(XLOOKUP($A14,Partner_Tickets!$A:$A,Partner_Tickets!AL:AL,"",0)="ATT","ATT",XLOOKUP($A14,Partner_Tickets!$A:$A,Partner_Tickets!AL:AL,"",0))))</f>
        <v>0.3333333333</v>
      </c>
      <c r="AM14" s="42"/>
    </row>
    <row r="15">
      <c r="A15" s="47" t="s">
        <v>147</v>
      </c>
      <c r="B15" s="44" t="str">
        <f t="array" ref="B15">XLOOKUP(A15,Roster!F:F,Roster!A:A,"",0)</f>
        <v>Bryan Galvis</v>
      </c>
      <c r="C15" s="44" t="str">
        <f t="array" ref="C15">XLOOKUP(A15,Roster!F:F,Roster!B:B,"",0)</f>
        <v>Manuela Moreno</v>
      </c>
      <c r="D15" s="45"/>
      <c r="E15" s="42">
        <f t="array" ref="E15">IF(XLOOKUP($A15,Partner_Tickets!$A:$A,Partner_Tickets!E:E,"",0)="Free","Free",IF(XLOOKUP($A15,Partner_Tickets!$A:$A,Partner_Tickets!E:E,"",0)="VL","VL",IF(XLOOKUP($A15,Partner_Tickets!$A:$A,Partner_Tickets!E:E,"",0)="ATT","ATT",XLOOKUP($A15,Partner_Tickets!$A:$A,Partner_Tickets!E:E,"",0))))</f>
        <v>0.375</v>
      </c>
      <c r="F15" s="42">
        <f t="array" ref="F15">IF(XLOOKUP($A15,Partner_Tickets!$A:$A,Partner_Tickets!F:F,"",0)="Free","Free",IF(XLOOKUP($A15,Partner_Tickets!$A:$A,Partner_Tickets!F:F,"",0)="VL","VL",IF(XLOOKUP($A15,Partner_Tickets!$A:$A,Partner_Tickets!F:F,"",0)="ATT","ATT",XLOOKUP($A15,Partner_Tickets!$A:$A,Partner_Tickets!F:F,"",0))))</f>
        <v>0.375</v>
      </c>
      <c r="G15" s="42">
        <f t="array" ref="G15">IF(XLOOKUP($A15,Partner_Tickets!$A:$A,Partner_Tickets!G:G,"",0)="Free","Free",IF(XLOOKUP($A15,Partner_Tickets!$A:$A,Partner_Tickets!G:G,"",0)="VL","VL",IF(XLOOKUP($A15,Partner_Tickets!$A:$A,Partner_Tickets!G:G,"",0)="ATT","ATT",XLOOKUP($A15,Partner_Tickets!$A:$A,Partner_Tickets!G:G,"",0))))</f>
        <v>0.375</v>
      </c>
      <c r="H15" s="42">
        <f t="array" ref="H15">IF(XLOOKUP($A15,Partner_Tickets!$A:$A,Partner_Tickets!H:H,"",0)="Free","Free",IF(XLOOKUP($A15,Partner_Tickets!$A:$A,Partner_Tickets!H:H,"",0)="VL","VL",IF(XLOOKUP($A15,Partner_Tickets!$A:$A,Partner_Tickets!H:H,"",0)="ATT","ATT",XLOOKUP($A15,Partner_Tickets!$A:$A,Partner_Tickets!H:H,"",0))))</f>
        <v>0.375</v>
      </c>
      <c r="I15" s="42">
        <f t="array" ref="I15">IF(XLOOKUP($A15,Partner_Tickets!$A:$A,Partner_Tickets!I:I,"",0)="Free","Free",IF(XLOOKUP($A15,Partner_Tickets!$A:$A,Partner_Tickets!I:I,"",0)="VL","VL",IF(XLOOKUP($A15,Partner_Tickets!$A:$A,Partner_Tickets!I:I,"",0)="ATT","ATT",XLOOKUP($A15,Partner_Tickets!$A:$A,Partner_Tickets!I:I,"",0))))</f>
        <v>0.375</v>
      </c>
      <c r="J15" s="42" t="str">
        <f t="array" ref="J15">IF(XLOOKUP($A15,Partner_Tickets!$A:$A,Partner_Tickets!J:J,"",0)="Free","Free",IF(XLOOKUP($A15,Partner_Tickets!$A:$A,Partner_Tickets!J:J,"",0)="VL","VL",IF(XLOOKUP($A15,Partner_Tickets!$A:$A,Partner_Tickets!J:J,"",0)="ATT","ATT",XLOOKUP($A15,Partner_Tickets!$A:$A,Partner_Tickets!J:J,"",0))))</f>
        <v>Free</v>
      </c>
      <c r="K15" s="42" t="str">
        <f t="array" ref="K15">IF(XLOOKUP($A15,Partner_Tickets!$A:$A,Partner_Tickets!K:K,"",0)="Free","Free",IF(XLOOKUP($A15,Partner_Tickets!$A:$A,Partner_Tickets!K:K,"",0)="VL","VL",IF(XLOOKUP($A15,Partner_Tickets!$A:$A,Partner_Tickets!K:K,"",0)="ATT","ATT",XLOOKUP($A15,Partner_Tickets!$A:$A,Partner_Tickets!K:K,"",0))))</f>
        <v/>
      </c>
      <c r="L15" s="42">
        <f t="array" ref="L15">IF(XLOOKUP($A15,Partner_Tickets!$A:$A,Partner_Tickets!L:L,"",0)="Free","Free",IF(XLOOKUP($A15,Partner_Tickets!$A:$A,Partner_Tickets!L:L,"",0)="VL","VL",IF(XLOOKUP($A15,Partner_Tickets!$A:$A,Partner_Tickets!L:L,"",0)="ATT","ATT",XLOOKUP($A15,Partner_Tickets!$A:$A,Partner_Tickets!L:L,"",0))))</f>
        <v>0.375</v>
      </c>
      <c r="M15" s="42">
        <f t="array" ref="M15">IF(XLOOKUP($A15,Partner_Tickets!$A:$A,Partner_Tickets!M:M,"",0)="Free","Free",IF(XLOOKUP($A15,Partner_Tickets!$A:$A,Partner_Tickets!M:M,"",0)="VL","VL",IF(XLOOKUP($A15,Partner_Tickets!$A:$A,Partner_Tickets!M:M,"",0)="ATT","ATT",XLOOKUP($A15,Partner_Tickets!$A:$A,Partner_Tickets!M:M,"",0))))</f>
        <v>0.375</v>
      </c>
      <c r="N15" s="42">
        <f t="array" ref="N15">IF(XLOOKUP($A15,Partner_Tickets!$A:$A,Partner_Tickets!N:N,"",0)="Free","Free",IF(XLOOKUP($A15,Partner_Tickets!$A:$A,Partner_Tickets!N:N,"",0)="VL","VL",IF(XLOOKUP($A15,Partner_Tickets!$A:$A,Partner_Tickets!N:N,"",0)="ATT","ATT",XLOOKUP($A15,Partner_Tickets!$A:$A,Partner_Tickets!N:N,"",0))))</f>
        <v>0.375</v>
      </c>
      <c r="O15" s="42">
        <f t="array" ref="O15">IF(XLOOKUP($A15,Partner_Tickets!$A:$A,Partner_Tickets!O:O,"",0)="Free","Free",IF(XLOOKUP($A15,Partner_Tickets!$A:$A,Partner_Tickets!O:O,"",0)="VL","VL",IF(XLOOKUP($A15,Partner_Tickets!$A:$A,Partner_Tickets!O:O,"",0)="ATT","ATT",XLOOKUP($A15,Partner_Tickets!$A:$A,Partner_Tickets!O:O,"",0))))</f>
        <v>0.375</v>
      </c>
      <c r="P15" s="42">
        <f t="array" ref="P15">IF(XLOOKUP($A15,Partner_Tickets!$A:$A,Partner_Tickets!P:P,"",0)="Free","Free",IF(XLOOKUP($A15,Partner_Tickets!$A:$A,Partner_Tickets!P:P,"",0)="VL","VL",IF(XLOOKUP($A15,Partner_Tickets!$A:$A,Partner_Tickets!P:P,"",0)="ATT","ATT",XLOOKUP($A15,Partner_Tickets!$A:$A,Partner_Tickets!P:P,"",0))))</f>
        <v>0.375</v>
      </c>
      <c r="Q15" s="42" t="str">
        <f t="array" ref="Q15">IF(XLOOKUP($A15,Partner_Tickets!$A:$A,Partner_Tickets!Q:Q,"",0)="Free","Free",IF(XLOOKUP($A15,Partner_Tickets!$A:$A,Partner_Tickets!Q:Q,"",0)="VL","VL",IF(XLOOKUP($A15,Partner_Tickets!$A:$A,Partner_Tickets!Q:Q,"",0)="ATT","ATT",XLOOKUP($A15,Partner_Tickets!$A:$A,Partner_Tickets!Q:Q,"",0))))</f>
        <v>Free</v>
      </c>
      <c r="R15" s="42"/>
      <c r="S15" s="42">
        <f t="array" ref="S15">IF(XLOOKUP($A15,Partner_Tickets!$A:$A,Partner_Tickets!S:S,"",0)="Free","Free",IF(XLOOKUP($A15,Partner_Tickets!$A:$A,Partner_Tickets!S:S,"",0)="VL","VL",IF(XLOOKUP($A15,Partner_Tickets!$A:$A,Partner_Tickets!S:S,"",0)="ATT","ATT",XLOOKUP($A15,Partner_Tickets!$A:$A,Partner_Tickets!S:S,"",0))))</f>
        <v>0.375</v>
      </c>
      <c r="T15" s="42">
        <f t="array" ref="T15">IF(XLOOKUP($A15,Partner_Tickets!$A:$A,Partner_Tickets!T:T,"",0)="Free","Free",IF(XLOOKUP($A15,Partner_Tickets!$A:$A,Partner_Tickets!T:T,"",0)="VL","VL",IF(XLOOKUP($A15,Partner_Tickets!$A:$A,Partner_Tickets!T:T,"",0)="ATT","ATT",XLOOKUP($A15,Partner_Tickets!$A:$A,Partner_Tickets!T:T,"",0))))</f>
        <v>0.375</v>
      </c>
      <c r="U15" s="42">
        <f t="array" ref="U15">IF(XLOOKUP($A15,Partner_Tickets!$A:$A,Partner_Tickets!U:U,"",0)="Free","Free",IF(XLOOKUP($A15,Partner_Tickets!$A:$A,Partner_Tickets!U:U,"",0)="VL","VL",IF(XLOOKUP($A15,Partner_Tickets!$A:$A,Partner_Tickets!U:U,"",0)="ATT","ATT",XLOOKUP($A15,Partner_Tickets!$A:$A,Partner_Tickets!U:U,"",0))))</f>
        <v>0.375</v>
      </c>
      <c r="V15" s="42">
        <f t="array" ref="V15">IF(XLOOKUP($A15,Partner_Tickets!$A:$A,Partner_Tickets!V:V,"",0)="Free","Free",IF(XLOOKUP($A15,Partner_Tickets!$A:$A,Partner_Tickets!V:V,"",0)="VL","VL",IF(XLOOKUP($A15,Partner_Tickets!$A:$A,Partner_Tickets!V:V,"",0)="ATT","ATT",XLOOKUP($A15,Partner_Tickets!$A:$A,Partner_Tickets!V:V,"",0))))</f>
        <v>0.375</v>
      </c>
      <c r="W15" s="42">
        <f t="array" ref="W15">IF(XLOOKUP($A15,Partner_Tickets!$A:$A,Partner_Tickets!W:W,"",0)="Free","Free",IF(XLOOKUP($A15,Partner_Tickets!$A:$A,Partner_Tickets!W:W,"",0)="VL","VL",IF(XLOOKUP($A15,Partner_Tickets!$A:$A,Partner_Tickets!W:W,"",0)="ATT","ATT",XLOOKUP($A15,Partner_Tickets!$A:$A,Partner_Tickets!W:W,"",0))))</f>
        <v>0.375</v>
      </c>
      <c r="X15" s="42" t="str">
        <f t="array" ref="X15">IF(XLOOKUP($A15,Partner_Tickets!$A:$A,Partner_Tickets!X:X,"",0)="Free","Free",IF(XLOOKUP($A15,Partner_Tickets!$A:$A,Partner_Tickets!X:X,"",0)="VL","VL",IF(XLOOKUP($A15,Partner_Tickets!$A:$A,Partner_Tickets!X:X,"",0)="ATT","ATT",XLOOKUP($A15,Partner_Tickets!$A:$A,Partner_Tickets!X:X,"",0))))</f>
        <v>Free</v>
      </c>
      <c r="Y15" s="42"/>
      <c r="Z15" s="42">
        <f t="array" ref="Z15">IF(XLOOKUP($A15,Partner_Tickets!$A:$A,Partner_Tickets!Z:Z,"",0)="Free","Free",IF(XLOOKUP($A15,Partner_Tickets!$A:$A,Partner_Tickets!Z:Z,"",0)="VL","VL",IF(XLOOKUP($A15,Partner_Tickets!$A:$A,Partner_Tickets!Z:Z,"",0)="ATT","ATT",XLOOKUP($A15,Partner_Tickets!$A:$A,Partner_Tickets!Z:Z,"",0))))</f>
        <v>0.375</v>
      </c>
      <c r="AA15" s="42">
        <f t="array" ref="AA15">IF(XLOOKUP($A15,Partner_Tickets!$A:$A,Partner_Tickets!AA:AA,"",0)="Free","Free",IF(XLOOKUP($A15,Partner_Tickets!$A:$A,Partner_Tickets!AA:AA,"",0)="VL","VL",IF(XLOOKUP($A15,Partner_Tickets!$A:$A,Partner_Tickets!AA:AA,"",0)="ATT","ATT",XLOOKUP($A15,Partner_Tickets!$A:$A,Partner_Tickets!AA:AA,"",0))))</f>
        <v>0.375</v>
      </c>
      <c r="AB15" s="42">
        <f t="array" ref="AB15">IF(XLOOKUP($A15,Partner_Tickets!$A:$A,Partner_Tickets!AB:AB,"",0)="Free","Free",IF(XLOOKUP($A15,Partner_Tickets!$A:$A,Partner_Tickets!AB:AB,"",0)="VL","VL",IF(XLOOKUP($A15,Partner_Tickets!$A:$A,Partner_Tickets!AB:AB,"",0)="ATT","ATT",XLOOKUP($A15,Partner_Tickets!$A:$A,Partner_Tickets!AB:AB,"",0))))</f>
        <v>0.375</v>
      </c>
      <c r="AC15" s="42">
        <f t="array" ref="AC15">IF(XLOOKUP($A15,Partner_Tickets!$A:$A,Partner_Tickets!AC:AC,"",0)="Free","Free",IF(XLOOKUP($A15,Partner_Tickets!$A:$A,Partner_Tickets!AC:AC,"",0)="VL","VL",IF(XLOOKUP($A15,Partner_Tickets!$A:$A,Partner_Tickets!AC:AC,"",0)="ATT","ATT",XLOOKUP($A15,Partner_Tickets!$A:$A,Partner_Tickets!AC:AC,"",0))))</f>
        <v>0.375</v>
      </c>
      <c r="AD15" s="42">
        <f t="array" ref="AD15">IF(XLOOKUP($A15,Partner_Tickets!$A:$A,Partner_Tickets!AD:AD,"",0)="Free","Free",IF(XLOOKUP($A15,Partner_Tickets!$A:$A,Partner_Tickets!AD:AD,"",0)="VL","VL",IF(XLOOKUP($A15,Partner_Tickets!$A:$A,Partner_Tickets!AD:AD,"",0)="ATT","ATT",XLOOKUP($A15,Partner_Tickets!$A:$A,Partner_Tickets!AD:AD,"",0))))</f>
        <v>0.375</v>
      </c>
      <c r="AE15" s="42" t="str">
        <f t="array" ref="AE15">IF(XLOOKUP($A15,Partner_Tickets!$A:$A,Partner_Tickets!AE:AE,"",0)="Free","Free",IF(XLOOKUP($A15,Partner_Tickets!$A:$A,Partner_Tickets!AE:AE,"",0)="VL","VL",IF(XLOOKUP($A15,Partner_Tickets!$A:$A,Partner_Tickets!AE:AE,"",0)="ATT","ATT",XLOOKUP($A15,Partner_Tickets!$A:$A,Partner_Tickets!AE:AE,"",0))))</f>
        <v>Free</v>
      </c>
      <c r="AF15" s="42"/>
      <c r="AG15" s="42">
        <f t="array" ref="AG15">IF(XLOOKUP($A15,Partner_Tickets!$A:$A,Partner_Tickets!AG:AG,"",0)="Free","Free",IF(XLOOKUP($A15,Partner_Tickets!$A:$A,Partner_Tickets!AG:AG,"",0)="VL","VL",IF(XLOOKUP($A15,Partner_Tickets!$A:$A,Partner_Tickets!AG:AG,"",0)="ATT","ATT",XLOOKUP($A15,Partner_Tickets!$A:$A,Partner_Tickets!AG:AG,"",0))))</f>
        <v>0.375</v>
      </c>
      <c r="AH15" s="42">
        <f t="array" ref="AH15">IF(XLOOKUP($A15,Partner_Tickets!$A:$A,Partner_Tickets!AH:AH,"",0)="Free","Free",IF(XLOOKUP($A15,Partner_Tickets!$A:$A,Partner_Tickets!AH:AH,"",0)="VL","VL",IF(XLOOKUP($A15,Partner_Tickets!$A:$A,Partner_Tickets!AH:AH,"",0)="ATT","ATT",XLOOKUP($A15,Partner_Tickets!$A:$A,Partner_Tickets!AH:AH,"",0))))</f>
        <v>0.375</v>
      </c>
      <c r="AI15" s="42">
        <f t="array" ref="AI15">IF(XLOOKUP($A15,Partner_Tickets!$A:$A,Partner_Tickets!AI:AI,"",0)="Free","Free",IF(XLOOKUP($A15,Partner_Tickets!$A:$A,Partner_Tickets!AI:AI,"",0)="VL","VL",IF(XLOOKUP($A15,Partner_Tickets!$A:$A,Partner_Tickets!AI:AI,"",0)="ATT","ATT",XLOOKUP($A15,Partner_Tickets!$A:$A,Partner_Tickets!AI:AI,"",0))))</f>
        <v>0.375</v>
      </c>
      <c r="AJ15" s="42">
        <f t="array" ref="AJ15">IF(XLOOKUP($A15,Partner_Tickets!$A:$A,Partner_Tickets!AJ:AJ,"",0)="Free","Free",IF(XLOOKUP($A15,Partner_Tickets!$A:$A,Partner_Tickets!AJ:AJ,"",0)="VL","VL",IF(XLOOKUP($A15,Partner_Tickets!$A:$A,Partner_Tickets!AJ:AJ,"",0)="ATT","ATT",XLOOKUP($A15,Partner_Tickets!$A:$A,Partner_Tickets!AJ:AJ,"",0))))</f>
        <v>0.375</v>
      </c>
      <c r="AK15" s="42">
        <f t="array" ref="AK15">IF(XLOOKUP($A15,Partner_Tickets!$A:$A,Partner_Tickets!AK:AK,"",0)="Free","Free",IF(XLOOKUP($A15,Partner_Tickets!$A:$A,Partner_Tickets!AK:AK,"",0)="VL","VL",IF(XLOOKUP($A15,Partner_Tickets!$A:$A,Partner_Tickets!AK:AK,"",0)="ATT","ATT",XLOOKUP($A15,Partner_Tickets!$A:$A,Partner_Tickets!AK:AK,"",0))))</f>
        <v>0.375</v>
      </c>
      <c r="AL15" s="42" t="str">
        <f t="array" ref="AL15">IF(XLOOKUP($A15,Partner_Tickets!$A:$A,Partner_Tickets!AL:AL,"",0)="Free","Free",IF(XLOOKUP($A15,Partner_Tickets!$A:$A,Partner_Tickets!AL:AL,"",0)="VL","VL",IF(XLOOKUP($A15,Partner_Tickets!$A:$A,Partner_Tickets!AL:AL,"",0)="ATT","ATT",XLOOKUP($A15,Partner_Tickets!$A:$A,Partner_Tickets!AL:AL,"",0))))</f>
        <v>Free</v>
      </c>
      <c r="AM15" s="43"/>
    </row>
    <row r="16">
      <c r="A16" s="40" t="s">
        <v>148</v>
      </c>
      <c r="B16" s="44" t="str">
        <f t="array" ref="B16">XLOOKUP(A16,Roster!F:F,Roster!A:A,"",0)</f>
        <v>Bryan Galvis</v>
      </c>
      <c r="C16" s="44" t="str">
        <f t="array" ref="C16">XLOOKUP(A16,Roster!F:F,Roster!B:B,"",0)</f>
        <v>Miguel Hoyos</v>
      </c>
      <c r="D16" s="40"/>
      <c r="E16" s="42">
        <f t="array" ref="E16">IF(XLOOKUP($A16,Partner_Tickets!$A:$A,Partner_Tickets!E:E,"",0)="Free","Free",IF(XLOOKUP($A16,Partner_Tickets!$A:$A,Partner_Tickets!E:E,"",0)="VL","VL",IF(XLOOKUP($A16,Partner_Tickets!$A:$A,Partner_Tickets!E:E,"",0)="ATT","ATT",XLOOKUP($A16,Partner_Tickets!$A:$A,Partner_Tickets!E:E,"",0))))</f>
        <v>0.2916666667</v>
      </c>
      <c r="F16" s="42">
        <f t="array" ref="F16">IF(XLOOKUP($A16,Partner_Tickets!$A:$A,Partner_Tickets!F:F,"",0)="Free","Free",IF(XLOOKUP($A16,Partner_Tickets!$A:$A,Partner_Tickets!F:F,"",0)="VL","VL",IF(XLOOKUP($A16,Partner_Tickets!$A:$A,Partner_Tickets!F:F,"",0)="ATT","ATT",XLOOKUP($A16,Partner_Tickets!$A:$A,Partner_Tickets!F:F,"",0))))</f>
        <v>0.2916666667</v>
      </c>
      <c r="G16" s="42">
        <f t="array" ref="G16">IF(XLOOKUP($A16,Partner_Tickets!$A:$A,Partner_Tickets!G:G,"",0)="Free","Free",IF(XLOOKUP($A16,Partner_Tickets!$A:$A,Partner_Tickets!G:G,"",0)="VL","VL",IF(XLOOKUP($A16,Partner_Tickets!$A:$A,Partner_Tickets!G:G,"",0)="ATT","ATT",XLOOKUP($A16,Partner_Tickets!$A:$A,Partner_Tickets!G:G,"",0))))</f>
        <v>0.2916666667</v>
      </c>
      <c r="H16" s="42" t="str">
        <f t="array" ref="H16">IF(XLOOKUP($A16,Partner_Tickets!$A:$A,Partner_Tickets!H:H,"",0)="Free","Free",IF(XLOOKUP($A16,Partner_Tickets!$A:$A,Partner_Tickets!H:H,"",0)="VL","VL",IF(XLOOKUP($A16,Partner_Tickets!$A:$A,Partner_Tickets!H:H,"",0)="ATT","ATT",XLOOKUP($A16,Partner_Tickets!$A:$A,Partner_Tickets!H:H,"",0))))</f>
        <v>Free</v>
      </c>
      <c r="I16" s="42">
        <f t="array" ref="I16">IF(XLOOKUP($A16,Partner_Tickets!$A:$A,Partner_Tickets!I:I,"",0)="Free","Free",IF(XLOOKUP($A16,Partner_Tickets!$A:$A,Partner_Tickets!I:I,"",0)="VL","VL",IF(XLOOKUP($A16,Partner_Tickets!$A:$A,Partner_Tickets!I:I,"",0)="ATT","ATT",XLOOKUP($A16,Partner_Tickets!$A:$A,Partner_Tickets!I:I,"",0))))</f>
        <v>0.2916666667</v>
      </c>
      <c r="J16" s="42">
        <f t="array" ref="J16">IF(XLOOKUP($A16,Partner_Tickets!$A:$A,Partner_Tickets!J:J,"",0)="Free","Free",IF(XLOOKUP($A16,Partner_Tickets!$A:$A,Partner_Tickets!J:J,"",0)="VL","VL",IF(XLOOKUP($A16,Partner_Tickets!$A:$A,Partner_Tickets!J:J,"",0)="ATT","ATT",XLOOKUP($A16,Partner_Tickets!$A:$A,Partner_Tickets!J:J,"",0))))</f>
        <v>0.2916666667</v>
      </c>
      <c r="K16" s="42" t="str">
        <f t="array" ref="K16">IF(XLOOKUP($A16,Partner_Tickets!$A:$A,Partner_Tickets!K:K,"",0)="Free","Free",IF(XLOOKUP($A16,Partner_Tickets!$A:$A,Partner_Tickets!K:K,"",0)="VL","VL",IF(XLOOKUP($A16,Partner_Tickets!$A:$A,Partner_Tickets!K:K,"",0)="ATT","ATT",XLOOKUP($A16,Partner_Tickets!$A:$A,Partner_Tickets!K:K,"",0))))</f>
        <v/>
      </c>
      <c r="L16" s="42">
        <f t="array" ref="L16">IF(XLOOKUP($A16,Partner_Tickets!$A:$A,Partner_Tickets!L:L,"",0)="Free","Free",IF(XLOOKUP($A16,Partner_Tickets!$A:$A,Partner_Tickets!L:L,"",0)="VL","VL",IF(XLOOKUP($A16,Partner_Tickets!$A:$A,Partner_Tickets!L:L,"",0)="ATT","ATT",XLOOKUP($A16,Partner_Tickets!$A:$A,Partner_Tickets!L:L,"",0))))</f>
        <v>0.2916666667</v>
      </c>
      <c r="M16" s="42">
        <f t="array" ref="M16">IF(XLOOKUP($A16,Partner_Tickets!$A:$A,Partner_Tickets!M:M,"",0)="Free","Free",IF(XLOOKUP($A16,Partner_Tickets!$A:$A,Partner_Tickets!M:M,"",0)="VL","VL",IF(XLOOKUP($A16,Partner_Tickets!$A:$A,Partner_Tickets!M:M,"",0)="ATT","ATT",XLOOKUP($A16,Partner_Tickets!$A:$A,Partner_Tickets!M:M,"",0))))</f>
        <v>0.2916666667</v>
      </c>
      <c r="N16" s="42">
        <f t="array" ref="N16">IF(XLOOKUP($A16,Partner_Tickets!$A:$A,Partner_Tickets!N:N,"",0)="Free","Free",IF(XLOOKUP($A16,Partner_Tickets!$A:$A,Partner_Tickets!N:N,"",0)="VL","VL",IF(XLOOKUP($A16,Partner_Tickets!$A:$A,Partner_Tickets!N:N,"",0)="ATT","ATT",XLOOKUP($A16,Partner_Tickets!$A:$A,Partner_Tickets!N:N,"",0))))</f>
        <v>0.2916666667</v>
      </c>
      <c r="O16" s="42" t="str">
        <f t="array" ref="O16">IF(XLOOKUP($A16,Partner_Tickets!$A:$A,Partner_Tickets!O:O,"",0)="Free","Free",IF(XLOOKUP($A16,Partner_Tickets!$A:$A,Partner_Tickets!O:O,"",0)="VL","VL",IF(XLOOKUP($A16,Partner_Tickets!$A:$A,Partner_Tickets!O:O,"",0)="ATT","ATT",XLOOKUP($A16,Partner_Tickets!$A:$A,Partner_Tickets!O:O,"",0))))</f>
        <v>Free</v>
      </c>
      <c r="P16" s="42">
        <f t="array" ref="P16">IF(XLOOKUP($A16,Partner_Tickets!$A:$A,Partner_Tickets!P:P,"",0)="Free","Free",IF(XLOOKUP($A16,Partner_Tickets!$A:$A,Partner_Tickets!P:P,"",0)="VL","VL",IF(XLOOKUP($A16,Partner_Tickets!$A:$A,Partner_Tickets!P:P,"",0)="ATT","ATT",XLOOKUP($A16,Partner_Tickets!$A:$A,Partner_Tickets!P:P,"",0))))</f>
        <v>0.2916666667</v>
      </c>
      <c r="Q16" s="42">
        <f t="array" ref="Q16">IF(XLOOKUP($A16,Partner_Tickets!$A:$A,Partner_Tickets!Q:Q,"",0)="Free","Free",IF(XLOOKUP($A16,Partner_Tickets!$A:$A,Partner_Tickets!Q:Q,"",0)="VL","VL",IF(XLOOKUP($A16,Partner_Tickets!$A:$A,Partner_Tickets!Q:Q,"",0)="ATT","ATT",XLOOKUP($A16,Partner_Tickets!$A:$A,Partner_Tickets!Q:Q,"",0))))</f>
        <v>0.2916666667</v>
      </c>
      <c r="R16" s="42"/>
      <c r="S16" s="42">
        <f t="array" ref="S16">IF(XLOOKUP($A16,Partner_Tickets!$A:$A,Partner_Tickets!S:S,"",0)="Free","Free",IF(XLOOKUP($A16,Partner_Tickets!$A:$A,Partner_Tickets!S:S,"",0)="VL","VL",IF(XLOOKUP($A16,Partner_Tickets!$A:$A,Partner_Tickets!S:S,"",0)="ATT","ATT",XLOOKUP($A16,Partner_Tickets!$A:$A,Partner_Tickets!S:S,"",0))))</f>
        <v>0.2916666667</v>
      </c>
      <c r="T16" s="42">
        <f t="array" ref="T16">IF(XLOOKUP($A16,Partner_Tickets!$A:$A,Partner_Tickets!T:T,"",0)="Free","Free",IF(XLOOKUP($A16,Partner_Tickets!$A:$A,Partner_Tickets!T:T,"",0)="VL","VL",IF(XLOOKUP($A16,Partner_Tickets!$A:$A,Partner_Tickets!T:T,"",0)="ATT","ATT",XLOOKUP($A16,Partner_Tickets!$A:$A,Partner_Tickets!T:T,"",0))))</f>
        <v>0.2916666667</v>
      </c>
      <c r="U16" s="42">
        <f t="array" ref="U16">IF(XLOOKUP($A16,Partner_Tickets!$A:$A,Partner_Tickets!U:U,"",0)="Free","Free",IF(XLOOKUP($A16,Partner_Tickets!$A:$A,Partner_Tickets!U:U,"",0)="VL","VL",IF(XLOOKUP($A16,Partner_Tickets!$A:$A,Partner_Tickets!U:U,"",0)="ATT","ATT",XLOOKUP($A16,Partner_Tickets!$A:$A,Partner_Tickets!U:U,"",0))))</f>
        <v>0.2916666667</v>
      </c>
      <c r="V16" s="42" t="str">
        <f t="array" ref="V16">IF(XLOOKUP($A16,Partner_Tickets!$A:$A,Partner_Tickets!V:V,"",0)="Free","Free",IF(XLOOKUP($A16,Partner_Tickets!$A:$A,Partner_Tickets!V:V,"",0)="VL","VL",IF(XLOOKUP($A16,Partner_Tickets!$A:$A,Partner_Tickets!V:V,"",0)="ATT","ATT",XLOOKUP($A16,Partner_Tickets!$A:$A,Partner_Tickets!V:V,"",0))))</f>
        <v>Free</v>
      </c>
      <c r="W16" s="42">
        <f t="array" ref="W16">IF(XLOOKUP($A16,Partner_Tickets!$A:$A,Partner_Tickets!W:W,"",0)="Free","Free",IF(XLOOKUP($A16,Partner_Tickets!$A:$A,Partner_Tickets!W:W,"",0)="VL","VL",IF(XLOOKUP($A16,Partner_Tickets!$A:$A,Partner_Tickets!W:W,"",0)="ATT","ATT",XLOOKUP($A16,Partner_Tickets!$A:$A,Partner_Tickets!W:W,"",0))))</f>
        <v>0.2916666667</v>
      </c>
      <c r="X16" s="42">
        <f t="array" ref="X16">IF(XLOOKUP($A16,Partner_Tickets!$A:$A,Partner_Tickets!X:X,"",0)="Free","Free",IF(XLOOKUP($A16,Partner_Tickets!$A:$A,Partner_Tickets!X:X,"",0)="VL","VL",IF(XLOOKUP($A16,Partner_Tickets!$A:$A,Partner_Tickets!X:X,"",0)="ATT","ATT",XLOOKUP($A16,Partner_Tickets!$A:$A,Partner_Tickets!X:X,"",0))))</f>
        <v>0.2916666667</v>
      </c>
      <c r="Y16" s="42"/>
      <c r="Z16" s="42">
        <f t="array" ref="Z16">IF(XLOOKUP($A16,Partner_Tickets!$A:$A,Partner_Tickets!Z:Z,"",0)="Free","Free",IF(XLOOKUP($A16,Partner_Tickets!$A:$A,Partner_Tickets!Z:Z,"",0)="VL","VL",IF(XLOOKUP($A16,Partner_Tickets!$A:$A,Partner_Tickets!Z:Z,"",0)="ATT","ATT",XLOOKUP($A16,Partner_Tickets!$A:$A,Partner_Tickets!Z:Z,"",0))))</f>
        <v>0.2916666667</v>
      </c>
      <c r="AA16" s="42">
        <f t="array" ref="AA16">IF(XLOOKUP($A16,Partner_Tickets!$A:$A,Partner_Tickets!AA:AA,"",0)="Free","Free",IF(XLOOKUP($A16,Partner_Tickets!$A:$A,Partner_Tickets!AA:AA,"",0)="VL","VL",IF(XLOOKUP($A16,Partner_Tickets!$A:$A,Partner_Tickets!AA:AA,"",0)="ATT","ATT",XLOOKUP($A16,Partner_Tickets!$A:$A,Partner_Tickets!AA:AA,"",0))))</f>
        <v>0.2916666667</v>
      </c>
      <c r="AB16" s="42">
        <f t="array" ref="AB16">IF(XLOOKUP($A16,Partner_Tickets!$A:$A,Partner_Tickets!AB:AB,"",0)="Free","Free",IF(XLOOKUP($A16,Partner_Tickets!$A:$A,Partner_Tickets!AB:AB,"",0)="VL","VL",IF(XLOOKUP($A16,Partner_Tickets!$A:$A,Partner_Tickets!AB:AB,"",0)="ATT","ATT",XLOOKUP($A16,Partner_Tickets!$A:$A,Partner_Tickets!AB:AB,"",0))))</f>
        <v>0.2916666667</v>
      </c>
      <c r="AC16" s="42" t="str">
        <f t="array" ref="AC16">IF(XLOOKUP($A16,Partner_Tickets!$A:$A,Partner_Tickets!AC:AC,"",0)="Free","Free",IF(XLOOKUP($A16,Partner_Tickets!$A:$A,Partner_Tickets!AC:AC,"",0)="VL","VL",IF(XLOOKUP($A16,Partner_Tickets!$A:$A,Partner_Tickets!AC:AC,"",0)="ATT","ATT",XLOOKUP($A16,Partner_Tickets!$A:$A,Partner_Tickets!AC:AC,"",0))))</f>
        <v>Free</v>
      </c>
      <c r="AD16" s="42">
        <f t="array" ref="AD16">IF(XLOOKUP($A16,Partner_Tickets!$A:$A,Partner_Tickets!AD:AD,"",0)="Free","Free",IF(XLOOKUP($A16,Partner_Tickets!$A:$A,Partner_Tickets!AD:AD,"",0)="VL","VL",IF(XLOOKUP($A16,Partner_Tickets!$A:$A,Partner_Tickets!AD:AD,"",0)="ATT","ATT",XLOOKUP($A16,Partner_Tickets!$A:$A,Partner_Tickets!AD:AD,"",0))))</f>
        <v>0.2916666667</v>
      </c>
      <c r="AE16" s="42">
        <f t="array" ref="AE16">IF(XLOOKUP($A16,Partner_Tickets!$A:$A,Partner_Tickets!AE:AE,"",0)="Free","Free",IF(XLOOKUP($A16,Partner_Tickets!$A:$A,Partner_Tickets!AE:AE,"",0)="VL","VL",IF(XLOOKUP($A16,Partner_Tickets!$A:$A,Partner_Tickets!AE:AE,"",0)="ATT","ATT",XLOOKUP($A16,Partner_Tickets!$A:$A,Partner_Tickets!AE:AE,"",0))))</f>
        <v>0.2916666667</v>
      </c>
      <c r="AF16" s="42"/>
      <c r="AG16" s="42">
        <f t="array" ref="AG16">IF(XLOOKUP($A16,Partner_Tickets!$A:$A,Partner_Tickets!AG:AG,"",0)="Free","Free",IF(XLOOKUP($A16,Partner_Tickets!$A:$A,Partner_Tickets!AG:AG,"",0)="VL","VL",IF(XLOOKUP($A16,Partner_Tickets!$A:$A,Partner_Tickets!AG:AG,"",0)="ATT","ATT",XLOOKUP($A16,Partner_Tickets!$A:$A,Partner_Tickets!AG:AG,"",0))))</f>
        <v>0.2916666667</v>
      </c>
      <c r="AH16" s="42">
        <f t="array" ref="AH16">IF(XLOOKUP($A16,Partner_Tickets!$A:$A,Partner_Tickets!AH:AH,"",0)="Free","Free",IF(XLOOKUP($A16,Partner_Tickets!$A:$A,Partner_Tickets!AH:AH,"",0)="VL","VL",IF(XLOOKUP($A16,Partner_Tickets!$A:$A,Partner_Tickets!AH:AH,"",0)="ATT","ATT",XLOOKUP($A16,Partner_Tickets!$A:$A,Partner_Tickets!AH:AH,"",0))))</f>
        <v>0.2916666667</v>
      </c>
      <c r="AI16" s="42">
        <f t="array" ref="AI16">IF(XLOOKUP($A16,Partner_Tickets!$A:$A,Partner_Tickets!AI:AI,"",0)="Free","Free",IF(XLOOKUP($A16,Partner_Tickets!$A:$A,Partner_Tickets!AI:AI,"",0)="VL","VL",IF(XLOOKUP($A16,Partner_Tickets!$A:$A,Partner_Tickets!AI:AI,"",0)="ATT","ATT",XLOOKUP($A16,Partner_Tickets!$A:$A,Partner_Tickets!AI:AI,"",0))))</f>
        <v>0.2916666667</v>
      </c>
      <c r="AJ16" s="42" t="str">
        <f t="array" ref="AJ16">IF(XLOOKUP($A16,Partner_Tickets!$A:$A,Partner_Tickets!AJ:AJ,"",0)="Free","Free",IF(XLOOKUP($A16,Partner_Tickets!$A:$A,Partner_Tickets!AJ:AJ,"",0)="VL","VL",IF(XLOOKUP($A16,Partner_Tickets!$A:$A,Partner_Tickets!AJ:AJ,"",0)="ATT","ATT",XLOOKUP($A16,Partner_Tickets!$A:$A,Partner_Tickets!AJ:AJ,"",0))))</f>
        <v>Free</v>
      </c>
      <c r="AK16" s="42">
        <f t="array" ref="AK16">IF(XLOOKUP($A16,Partner_Tickets!$A:$A,Partner_Tickets!AK:AK,"",0)="Free","Free",IF(XLOOKUP($A16,Partner_Tickets!$A:$A,Partner_Tickets!AK:AK,"",0)="VL","VL",IF(XLOOKUP($A16,Partner_Tickets!$A:$A,Partner_Tickets!AK:AK,"",0)="ATT","ATT",XLOOKUP($A16,Partner_Tickets!$A:$A,Partner_Tickets!AK:AK,"",0))))</f>
        <v>0.2916666667</v>
      </c>
      <c r="AL16" s="42">
        <f t="array" ref="AL16">IF(XLOOKUP($A16,Partner_Tickets!$A:$A,Partner_Tickets!AL:AL,"",0)="Free","Free",IF(XLOOKUP($A16,Partner_Tickets!$A:$A,Partner_Tickets!AL:AL,"",0)="VL","VL",IF(XLOOKUP($A16,Partner_Tickets!$A:$A,Partner_Tickets!AL:AL,"",0)="ATT","ATT",XLOOKUP($A16,Partner_Tickets!$A:$A,Partner_Tickets!AL:AL,"",0))))</f>
        <v>0.2916666667</v>
      </c>
      <c r="AM16" s="42"/>
    </row>
    <row r="17">
      <c r="A17" s="46" t="s">
        <v>149</v>
      </c>
      <c r="B17" s="44" t="str">
        <f t="array" ref="B17">XLOOKUP(A17,Roster!F:F,Roster!A:A,"",0)</f>
        <v>Bryan Galvis</v>
      </c>
      <c r="C17" s="44" t="str">
        <f t="array" ref="C17">XLOOKUP(A17,Roster!F:F,Roster!B:B,"",0)</f>
        <v>Onel Olivera</v>
      </c>
      <c r="D17" s="40"/>
      <c r="E17" s="42">
        <f t="array" ref="E17">IF(XLOOKUP($A17,Partner_Tickets!$A:$A,Partner_Tickets!E:E,"",0)="Free","Free",IF(XLOOKUP($A17,Partner_Tickets!$A:$A,Partner_Tickets!E:E,"",0)="VL","VL",IF(XLOOKUP($A17,Partner_Tickets!$A:$A,Partner_Tickets!E:E,"",0)="ATT","ATT",XLOOKUP($A17,Partner_Tickets!$A:$A,Partner_Tickets!E:E,"",0))))</f>
        <v>0.3333333333</v>
      </c>
      <c r="F17" s="42" t="str">
        <f t="array" ref="F17">IF(XLOOKUP($A17,Partner_Tickets!$A:$A,Partner_Tickets!F:F,"",0)="Free","Free",IF(XLOOKUP($A17,Partner_Tickets!$A:$A,Partner_Tickets!F:F,"",0)="VL","VL",IF(XLOOKUP($A17,Partner_Tickets!$A:$A,Partner_Tickets!F:F,"",0)="ATT","ATT",XLOOKUP($A17,Partner_Tickets!$A:$A,Partner_Tickets!F:F,"",0))))</f>
        <v>Free</v>
      </c>
      <c r="G17" s="42">
        <f t="array" ref="G17">IF(XLOOKUP($A17,Partner_Tickets!$A:$A,Partner_Tickets!G:G,"",0)="Free","Free",IF(XLOOKUP($A17,Partner_Tickets!$A:$A,Partner_Tickets!G:G,"",0)="VL","VL",IF(XLOOKUP($A17,Partner_Tickets!$A:$A,Partner_Tickets!G:G,"",0)="ATT","ATT",XLOOKUP($A17,Partner_Tickets!$A:$A,Partner_Tickets!G:G,"",0))))</f>
        <v>0.3333333333</v>
      </c>
      <c r="H17" s="42">
        <f t="array" ref="H17">IF(XLOOKUP($A17,Partner_Tickets!$A:$A,Partner_Tickets!H:H,"",0)="Free","Free",IF(XLOOKUP($A17,Partner_Tickets!$A:$A,Partner_Tickets!H:H,"",0)="VL","VL",IF(XLOOKUP($A17,Partner_Tickets!$A:$A,Partner_Tickets!H:H,"",0)="ATT","ATT",XLOOKUP($A17,Partner_Tickets!$A:$A,Partner_Tickets!H:H,"",0))))</f>
        <v>0.3333333333</v>
      </c>
      <c r="I17" s="42">
        <f t="array" ref="I17">IF(XLOOKUP($A17,Partner_Tickets!$A:$A,Partner_Tickets!I:I,"",0)="Free","Free",IF(XLOOKUP($A17,Partner_Tickets!$A:$A,Partner_Tickets!I:I,"",0)="VL","VL",IF(XLOOKUP($A17,Partner_Tickets!$A:$A,Partner_Tickets!I:I,"",0)="ATT","ATT",XLOOKUP($A17,Partner_Tickets!$A:$A,Partner_Tickets!I:I,"",0))))</f>
        <v>0.3333333333</v>
      </c>
      <c r="J17" s="42">
        <f t="array" ref="J17">IF(XLOOKUP($A17,Partner_Tickets!$A:$A,Partner_Tickets!J:J,"",0)="Free","Free",IF(XLOOKUP($A17,Partner_Tickets!$A:$A,Partner_Tickets!J:J,"",0)="VL","VL",IF(XLOOKUP($A17,Partner_Tickets!$A:$A,Partner_Tickets!J:J,"",0)="ATT","ATT",XLOOKUP($A17,Partner_Tickets!$A:$A,Partner_Tickets!J:J,"",0))))</f>
        <v>0.3333333333</v>
      </c>
      <c r="K17" s="42" t="str">
        <f t="array" ref="K17">IF(XLOOKUP($A17,Partner_Tickets!$A:$A,Partner_Tickets!K:K,"",0)="Free","Free",IF(XLOOKUP($A17,Partner_Tickets!$A:$A,Partner_Tickets!K:K,"",0)="VL","VL",IF(XLOOKUP($A17,Partner_Tickets!$A:$A,Partner_Tickets!K:K,"",0)="ATT","ATT",XLOOKUP($A17,Partner_Tickets!$A:$A,Partner_Tickets!K:K,"",0))))</f>
        <v/>
      </c>
      <c r="L17" s="42">
        <f t="array" ref="L17">IF(XLOOKUP($A17,Partner_Tickets!$A:$A,Partner_Tickets!L:L,"",0)="Free","Free",IF(XLOOKUP($A17,Partner_Tickets!$A:$A,Partner_Tickets!L:L,"",0)="VL","VL",IF(XLOOKUP($A17,Partner_Tickets!$A:$A,Partner_Tickets!L:L,"",0)="ATT","ATT",XLOOKUP($A17,Partner_Tickets!$A:$A,Partner_Tickets!L:L,"",0))))</f>
        <v>0.3333333333</v>
      </c>
      <c r="M17" s="42">
        <f t="array" ref="M17">IF(XLOOKUP($A17,Partner_Tickets!$A:$A,Partner_Tickets!M:M,"",0)="Free","Free",IF(XLOOKUP($A17,Partner_Tickets!$A:$A,Partner_Tickets!M:M,"",0)="VL","VL",IF(XLOOKUP($A17,Partner_Tickets!$A:$A,Partner_Tickets!M:M,"",0)="ATT","ATT",XLOOKUP($A17,Partner_Tickets!$A:$A,Partner_Tickets!M:M,"",0))))</f>
        <v>0.3333333333</v>
      </c>
      <c r="N17" s="42">
        <f t="array" ref="N17">IF(XLOOKUP($A17,Partner_Tickets!$A:$A,Partner_Tickets!N:N,"",0)="Free","Free",IF(XLOOKUP($A17,Partner_Tickets!$A:$A,Partner_Tickets!N:N,"",0)="VL","VL",IF(XLOOKUP($A17,Partner_Tickets!$A:$A,Partner_Tickets!N:N,"",0)="ATT","ATT",XLOOKUP($A17,Partner_Tickets!$A:$A,Partner_Tickets!N:N,"",0))))</f>
        <v>0.3333333333</v>
      </c>
      <c r="O17" s="42">
        <f t="array" ref="O17">IF(XLOOKUP($A17,Partner_Tickets!$A:$A,Partner_Tickets!O:O,"",0)="Free","Free",IF(XLOOKUP($A17,Partner_Tickets!$A:$A,Partner_Tickets!O:O,"",0)="VL","VL",IF(XLOOKUP($A17,Partner_Tickets!$A:$A,Partner_Tickets!O:O,"",0)="ATT","ATT",XLOOKUP($A17,Partner_Tickets!$A:$A,Partner_Tickets!O:O,"",0))))</f>
        <v>0.3333333333</v>
      </c>
      <c r="P17" s="42">
        <f t="array" ref="P17">IF(XLOOKUP($A17,Partner_Tickets!$A:$A,Partner_Tickets!P:P,"",0)="Free","Free",IF(XLOOKUP($A17,Partner_Tickets!$A:$A,Partner_Tickets!P:P,"",0)="VL","VL",IF(XLOOKUP($A17,Partner_Tickets!$A:$A,Partner_Tickets!P:P,"",0)="ATT","ATT",XLOOKUP($A17,Partner_Tickets!$A:$A,Partner_Tickets!P:P,"",0))))</f>
        <v>0.3333333333</v>
      </c>
      <c r="Q17" s="42" t="str">
        <f t="array" ref="Q17">IF(XLOOKUP($A17,Partner_Tickets!$A:$A,Partner_Tickets!Q:Q,"",0)="Free","Free",IF(XLOOKUP($A17,Partner_Tickets!$A:$A,Partner_Tickets!Q:Q,"",0)="VL","VL",IF(XLOOKUP($A17,Partner_Tickets!$A:$A,Partner_Tickets!Q:Q,"",0)="ATT","ATT",XLOOKUP($A17,Partner_Tickets!$A:$A,Partner_Tickets!Q:Q,"",0))))</f>
        <v>Free</v>
      </c>
      <c r="R17" s="42"/>
      <c r="S17" s="42">
        <f t="array" ref="S17">IF(XLOOKUP($A17,Partner_Tickets!$A:$A,Partner_Tickets!S:S,"",0)="Free","Free",IF(XLOOKUP($A17,Partner_Tickets!$A:$A,Partner_Tickets!S:S,"",0)="VL","VL",IF(XLOOKUP($A17,Partner_Tickets!$A:$A,Partner_Tickets!S:S,"",0)="ATT","ATT",XLOOKUP($A17,Partner_Tickets!$A:$A,Partner_Tickets!S:S,"",0))))</f>
        <v>0.3333333333</v>
      </c>
      <c r="T17" s="42">
        <f t="array" ref="T17">IF(XLOOKUP($A17,Partner_Tickets!$A:$A,Partner_Tickets!T:T,"",0)="Free","Free",IF(XLOOKUP($A17,Partner_Tickets!$A:$A,Partner_Tickets!T:T,"",0)="VL","VL",IF(XLOOKUP($A17,Partner_Tickets!$A:$A,Partner_Tickets!T:T,"",0)="ATT","ATT",XLOOKUP($A17,Partner_Tickets!$A:$A,Partner_Tickets!T:T,"",0))))</f>
        <v>0.3333333333</v>
      </c>
      <c r="U17" s="42">
        <f t="array" ref="U17">IF(XLOOKUP($A17,Partner_Tickets!$A:$A,Partner_Tickets!U:U,"",0)="Free","Free",IF(XLOOKUP($A17,Partner_Tickets!$A:$A,Partner_Tickets!U:U,"",0)="VL","VL",IF(XLOOKUP($A17,Partner_Tickets!$A:$A,Partner_Tickets!U:U,"",0)="ATT","ATT",XLOOKUP($A17,Partner_Tickets!$A:$A,Partner_Tickets!U:U,"",0))))</f>
        <v>0.3333333333</v>
      </c>
      <c r="V17" s="42">
        <f t="array" ref="V17">IF(XLOOKUP($A17,Partner_Tickets!$A:$A,Partner_Tickets!V:V,"",0)="Free","Free",IF(XLOOKUP($A17,Partner_Tickets!$A:$A,Partner_Tickets!V:V,"",0)="VL","VL",IF(XLOOKUP($A17,Partner_Tickets!$A:$A,Partner_Tickets!V:V,"",0)="ATT","ATT",XLOOKUP($A17,Partner_Tickets!$A:$A,Partner_Tickets!V:V,"",0))))</f>
        <v>0.3333333333</v>
      </c>
      <c r="W17" s="42">
        <f t="array" ref="W17">IF(XLOOKUP($A17,Partner_Tickets!$A:$A,Partner_Tickets!W:W,"",0)="Free","Free",IF(XLOOKUP($A17,Partner_Tickets!$A:$A,Partner_Tickets!W:W,"",0)="VL","VL",IF(XLOOKUP($A17,Partner_Tickets!$A:$A,Partner_Tickets!W:W,"",0)="ATT","ATT",XLOOKUP($A17,Partner_Tickets!$A:$A,Partner_Tickets!W:W,"",0))))</f>
        <v>0.3333333333</v>
      </c>
      <c r="X17" s="42" t="str">
        <f t="array" ref="X17">IF(XLOOKUP($A17,Partner_Tickets!$A:$A,Partner_Tickets!X:X,"",0)="Free","Free",IF(XLOOKUP($A17,Partner_Tickets!$A:$A,Partner_Tickets!X:X,"",0)="VL","VL",IF(XLOOKUP($A17,Partner_Tickets!$A:$A,Partner_Tickets!X:X,"",0)="ATT","ATT",XLOOKUP($A17,Partner_Tickets!$A:$A,Partner_Tickets!X:X,"",0))))</f>
        <v>Free</v>
      </c>
      <c r="Y17" s="42"/>
      <c r="Z17" s="42">
        <f t="array" ref="Z17">IF(XLOOKUP($A17,Partner_Tickets!$A:$A,Partner_Tickets!Z:Z,"",0)="Free","Free",IF(XLOOKUP($A17,Partner_Tickets!$A:$A,Partner_Tickets!Z:Z,"",0)="VL","VL",IF(XLOOKUP($A17,Partner_Tickets!$A:$A,Partner_Tickets!Z:Z,"",0)="ATT","ATT",XLOOKUP($A17,Partner_Tickets!$A:$A,Partner_Tickets!Z:Z,"",0))))</f>
        <v>0.3333333333</v>
      </c>
      <c r="AA17" s="42">
        <f t="array" ref="AA17">IF(XLOOKUP($A17,Partner_Tickets!$A:$A,Partner_Tickets!AA:AA,"",0)="Free","Free",IF(XLOOKUP($A17,Partner_Tickets!$A:$A,Partner_Tickets!AA:AA,"",0)="VL","VL",IF(XLOOKUP($A17,Partner_Tickets!$A:$A,Partner_Tickets!AA:AA,"",0)="ATT","ATT",XLOOKUP($A17,Partner_Tickets!$A:$A,Partner_Tickets!AA:AA,"",0))))</f>
        <v>0.3333333333</v>
      </c>
      <c r="AB17" s="42">
        <f t="array" ref="AB17">IF(XLOOKUP($A17,Partner_Tickets!$A:$A,Partner_Tickets!AB:AB,"",0)="Free","Free",IF(XLOOKUP($A17,Partner_Tickets!$A:$A,Partner_Tickets!AB:AB,"",0)="VL","VL",IF(XLOOKUP($A17,Partner_Tickets!$A:$A,Partner_Tickets!AB:AB,"",0)="ATT","ATT",XLOOKUP($A17,Partner_Tickets!$A:$A,Partner_Tickets!AB:AB,"",0))))</f>
        <v>0.3333333333</v>
      </c>
      <c r="AC17" s="42">
        <f t="array" ref="AC17">IF(XLOOKUP($A17,Partner_Tickets!$A:$A,Partner_Tickets!AC:AC,"",0)="Free","Free",IF(XLOOKUP($A17,Partner_Tickets!$A:$A,Partner_Tickets!AC:AC,"",0)="VL","VL",IF(XLOOKUP($A17,Partner_Tickets!$A:$A,Partner_Tickets!AC:AC,"",0)="ATT","ATT",XLOOKUP($A17,Partner_Tickets!$A:$A,Partner_Tickets!AC:AC,"",0))))</f>
        <v>0.3333333333</v>
      </c>
      <c r="AD17" s="42">
        <f t="array" ref="AD17">IF(XLOOKUP($A17,Partner_Tickets!$A:$A,Partner_Tickets!AD:AD,"",0)="Free","Free",IF(XLOOKUP($A17,Partner_Tickets!$A:$A,Partner_Tickets!AD:AD,"",0)="VL","VL",IF(XLOOKUP($A17,Partner_Tickets!$A:$A,Partner_Tickets!AD:AD,"",0)="ATT","ATT",XLOOKUP($A17,Partner_Tickets!$A:$A,Partner_Tickets!AD:AD,"",0))))</f>
        <v>0.3333333333</v>
      </c>
      <c r="AE17" s="42" t="str">
        <f t="array" ref="AE17">IF(XLOOKUP($A17,Partner_Tickets!$A:$A,Partner_Tickets!AE:AE,"",0)="Free","Free",IF(XLOOKUP($A17,Partner_Tickets!$A:$A,Partner_Tickets!AE:AE,"",0)="VL","VL",IF(XLOOKUP($A17,Partner_Tickets!$A:$A,Partner_Tickets!AE:AE,"",0)="ATT","ATT",XLOOKUP($A17,Partner_Tickets!$A:$A,Partner_Tickets!AE:AE,"",0))))</f>
        <v>Free</v>
      </c>
      <c r="AF17" s="42"/>
      <c r="AG17" s="42">
        <f t="array" ref="AG17">IF(XLOOKUP($A17,Partner_Tickets!$A:$A,Partner_Tickets!AG:AG,"",0)="Free","Free",IF(XLOOKUP($A17,Partner_Tickets!$A:$A,Partner_Tickets!AG:AG,"",0)="VL","VL",IF(XLOOKUP($A17,Partner_Tickets!$A:$A,Partner_Tickets!AG:AG,"",0)="ATT","ATT",XLOOKUP($A17,Partner_Tickets!$A:$A,Partner_Tickets!AG:AG,"",0))))</f>
        <v>0.3333333333</v>
      </c>
      <c r="AH17" s="42">
        <f t="array" ref="AH17">IF(XLOOKUP($A17,Partner_Tickets!$A:$A,Partner_Tickets!AH:AH,"",0)="Free","Free",IF(XLOOKUP($A17,Partner_Tickets!$A:$A,Partner_Tickets!AH:AH,"",0)="VL","VL",IF(XLOOKUP($A17,Partner_Tickets!$A:$A,Partner_Tickets!AH:AH,"",0)="ATT","ATT",XLOOKUP($A17,Partner_Tickets!$A:$A,Partner_Tickets!AH:AH,"",0))))</f>
        <v>0.3333333333</v>
      </c>
      <c r="AI17" s="42">
        <f t="array" ref="AI17">IF(XLOOKUP($A17,Partner_Tickets!$A:$A,Partner_Tickets!AI:AI,"",0)="Free","Free",IF(XLOOKUP($A17,Partner_Tickets!$A:$A,Partner_Tickets!AI:AI,"",0)="VL","VL",IF(XLOOKUP($A17,Partner_Tickets!$A:$A,Partner_Tickets!AI:AI,"",0)="ATT","ATT",XLOOKUP($A17,Partner_Tickets!$A:$A,Partner_Tickets!AI:AI,"",0))))</f>
        <v>0.3333333333</v>
      </c>
      <c r="AJ17" s="42">
        <f t="array" ref="AJ17">IF(XLOOKUP($A17,Partner_Tickets!$A:$A,Partner_Tickets!AJ:AJ,"",0)="Free","Free",IF(XLOOKUP($A17,Partner_Tickets!$A:$A,Partner_Tickets!AJ:AJ,"",0)="VL","VL",IF(XLOOKUP($A17,Partner_Tickets!$A:$A,Partner_Tickets!AJ:AJ,"",0)="ATT","ATT",XLOOKUP($A17,Partner_Tickets!$A:$A,Partner_Tickets!AJ:AJ,"",0))))</f>
        <v>0.3333333333</v>
      </c>
      <c r="AK17" s="42">
        <f t="array" ref="AK17">IF(XLOOKUP($A17,Partner_Tickets!$A:$A,Partner_Tickets!AK:AK,"",0)="Free","Free",IF(XLOOKUP($A17,Partner_Tickets!$A:$A,Partner_Tickets!AK:AK,"",0)="VL","VL",IF(XLOOKUP($A17,Partner_Tickets!$A:$A,Partner_Tickets!AK:AK,"",0)="ATT","ATT",XLOOKUP($A17,Partner_Tickets!$A:$A,Partner_Tickets!AK:AK,"",0))))</f>
        <v>0.3333333333</v>
      </c>
      <c r="AL17" s="42" t="str">
        <f t="array" ref="AL17">IF(XLOOKUP($A17,Partner_Tickets!$A:$A,Partner_Tickets!AL:AL,"",0)="Free","Free",IF(XLOOKUP($A17,Partner_Tickets!$A:$A,Partner_Tickets!AL:AL,"",0)="VL","VL",IF(XLOOKUP($A17,Partner_Tickets!$A:$A,Partner_Tickets!AL:AL,"",0)="ATT","ATT",XLOOKUP($A17,Partner_Tickets!$A:$A,Partner_Tickets!AL:AL,"",0))))</f>
        <v>Free</v>
      </c>
      <c r="AM17" s="42"/>
    </row>
    <row r="18">
      <c r="A18" s="40" t="s">
        <v>150</v>
      </c>
      <c r="B18" s="44" t="str">
        <f t="array" ref="B18">XLOOKUP(A18,Roster!F:F,Roster!A:A,"",0)</f>
        <v>Bryan Galvis</v>
      </c>
      <c r="C18" s="44" t="str">
        <f t="array" ref="C18">XLOOKUP(A18,Roster!F:F,Roster!B:B,"",0)</f>
        <v>Sebastiam Vallejo</v>
      </c>
      <c r="D18" s="40"/>
      <c r="E18" s="42">
        <f t="array" ref="E18">IF(XLOOKUP($A18,Partner_Tickets!$A:$A,Partner_Tickets!E:E,"",0)="Free","Free",IF(XLOOKUP($A18,Partner_Tickets!$A:$A,Partner_Tickets!E:E,"",0)="VL","VL",IF(XLOOKUP($A18,Partner_Tickets!$A:$A,Partner_Tickets!E:E,"",0)="ATT","ATT",XLOOKUP($A18,Partner_Tickets!$A:$A,Partner_Tickets!E:E,"",0))))</f>
        <v>0.3333333333</v>
      </c>
      <c r="F18" s="42">
        <f t="array" ref="F18">IF(XLOOKUP($A18,Partner_Tickets!$A:$A,Partner_Tickets!F:F,"",0)="Free","Free",IF(XLOOKUP($A18,Partner_Tickets!$A:$A,Partner_Tickets!F:F,"",0)="VL","VL",IF(XLOOKUP($A18,Partner_Tickets!$A:$A,Partner_Tickets!F:F,"",0)="ATT","ATT",XLOOKUP($A18,Partner_Tickets!$A:$A,Partner_Tickets!F:F,"",0))))</f>
        <v>0.3333333333</v>
      </c>
      <c r="G18" s="42">
        <f t="array" ref="G18">IF(XLOOKUP($A18,Partner_Tickets!$A:$A,Partner_Tickets!G:G,"",0)="Free","Free",IF(XLOOKUP($A18,Partner_Tickets!$A:$A,Partner_Tickets!G:G,"",0)="VL","VL",IF(XLOOKUP($A18,Partner_Tickets!$A:$A,Partner_Tickets!G:G,"",0)="ATT","ATT",XLOOKUP($A18,Partner_Tickets!$A:$A,Partner_Tickets!G:G,"",0))))</f>
        <v>0.3333333333</v>
      </c>
      <c r="H18" s="42">
        <f t="array" ref="H18">IF(XLOOKUP($A18,Partner_Tickets!$A:$A,Partner_Tickets!H:H,"",0)="Free","Free",IF(XLOOKUP($A18,Partner_Tickets!$A:$A,Partner_Tickets!H:H,"",0)="VL","VL",IF(XLOOKUP($A18,Partner_Tickets!$A:$A,Partner_Tickets!H:H,"",0)="ATT","ATT",XLOOKUP($A18,Partner_Tickets!$A:$A,Partner_Tickets!H:H,"",0))))</f>
        <v>0.3333333333</v>
      </c>
      <c r="I18" s="42">
        <f t="array" ref="I18">IF(XLOOKUP($A18,Partner_Tickets!$A:$A,Partner_Tickets!I:I,"",0)="Free","Free",IF(XLOOKUP($A18,Partner_Tickets!$A:$A,Partner_Tickets!I:I,"",0)="VL","VL",IF(XLOOKUP($A18,Partner_Tickets!$A:$A,Partner_Tickets!I:I,"",0)="ATT","ATT",XLOOKUP($A18,Partner_Tickets!$A:$A,Partner_Tickets!I:I,"",0))))</f>
        <v>0.3333333333</v>
      </c>
      <c r="J18" s="42" t="str">
        <f t="array" ref="J18">IF(XLOOKUP($A18,Partner_Tickets!$A:$A,Partner_Tickets!J:J,"",0)="Free","Free",IF(XLOOKUP($A18,Partner_Tickets!$A:$A,Partner_Tickets!J:J,"",0)="VL","VL",IF(XLOOKUP($A18,Partner_Tickets!$A:$A,Partner_Tickets!J:J,"",0)="ATT","ATT",XLOOKUP($A18,Partner_Tickets!$A:$A,Partner_Tickets!J:J,"",0))))</f>
        <v>Free</v>
      </c>
      <c r="K18" s="42" t="str">
        <f t="array" ref="K18">IF(XLOOKUP($A18,Partner_Tickets!$A:$A,Partner_Tickets!K:K,"",0)="Free","Free",IF(XLOOKUP($A18,Partner_Tickets!$A:$A,Partner_Tickets!K:K,"",0)="VL","VL",IF(XLOOKUP($A18,Partner_Tickets!$A:$A,Partner_Tickets!K:K,"",0)="ATT","ATT",XLOOKUP($A18,Partner_Tickets!$A:$A,Partner_Tickets!K:K,"",0))))</f>
        <v/>
      </c>
      <c r="L18" s="42">
        <f t="array" ref="L18">IF(XLOOKUP($A18,Partner_Tickets!$A:$A,Partner_Tickets!L:L,"",0)="Free","Free",IF(XLOOKUP($A18,Partner_Tickets!$A:$A,Partner_Tickets!L:L,"",0)="VL","VL",IF(XLOOKUP($A18,Partner_Tickets!$A:$A,Partner_Tickets!L:L,"",0)="ATT","ATT",XLOOKUP($A18,Partner_Tickets!$A:$A,Partner_Tickets!L:L,"",0))))</f>
        <v>0.3333333333</v>
      </c>
      <c r="M18" s="42">
        <f t="array" ref="M18">IF(XLOOKUP($A18,Partner_Tickets!$A:$A,Partner_Tickets!M:M,"",0)="Free","Free",IF(XLOOKUP($A18,Partner_Tickets!$A:$A,Partner_Tickets!M:M,"",0)="VL","VL",IF(XLOOKUP($A18,Partner_Tickets!$A:$A,Partner_Tickets!M:M,"",0)="ATT","ATT",XLOOKUP($A18,Partner_Tickets!$A:$A,Partner_Tickets!M:M,"",0))))</f>
        <v>0.3333333333</v>
      </c>
      <c r="N18" s="42" t="str">
        <f t="array" ref="N18">IF(XLOOKUP($A18,Partner_Tickets!$A:$A,Partner_Tickets!N:N,"",0)="Free","Free",IF(XLOOKUP($A18,Partner_Tickets!$A:$A,Partner_Tickets!N:N,"",0)="VL","VL",IF(XLOOKUP($A18,Partner_Tickets!$A:$A,Partner_Tickets!N:N,"",0)="ATT","ATT",XLOOKUP($A18,Partner_Tickets!$A:$A,Partner_Tickets!N:N,"",0))))</f>
        <v>Free</v>
      </c>
      <c r="O18" s="42">
        <f t="array" ref="O18">IF(XLOOKUP($A18,Partner_Tickets!$A:$A,Partner_Tickets!O:O,"",0)="Free","Free",IF(XLOOKUP($A18,Partner_Tickets!$A:$A,Partner_Tickets!O:O,"",0)="VL","VL",IF(XLOOKUP($A18,Partner_Tickets!$A:$A,Partner_Tickets!O:O,"",0)="ATT","ATT",XLOOKUP($A18,Partner_Tickets!$A:$A,Partner_Tickets!O:O,"",0))))</f>
        <v>0.3333333333</v>
      </c>
      <c r="P18" s="42">
        <f t="array" ref="P18">IF(XLOOKUP($A18,Partner_Tickets!$A:$A,Partner_Tickets!P:P,"",0)="Free","Free",IF(XLOOKUP($A18,Partner_Tickets!$A:$A,Partner_Tickets!P:P,"",0)="VL","VL",IF(XLOOKUP($A18,Partner_Tickets!$A:$A,Partner_Tickets!P:P,"",0)="ATT","ATT",XLOOKUP($A18,Partner_Tickets!$A:$A,Partner_Tickets!P:P,"",0))))</f>
        <v>0.3333333333</v>
      </c>
      <c r="Q18" s="42">
        <f t="array" ref="Q18">IF(XLOOKUP($A18,Partner_Tickets!$A:$A,Partner_Tickets!Q:Q,"",0)="Free","Free",IF(XLOOKUP($A18,Partner_Tickets!$A:$A,Partner_Tickets!Q:Q,"",0)="VL","VL",IF(XLOOKUP($A18,Partner_Tickets!$A:$A,Partner_Tickets!Q:Q,"",0)="ATT","ATT",XLOOKUP($A18,Partner_Tickets!$A:$A,Partner_Tickets!Q:Q,"",0))))</f>
        <v>0.3333333333</v>
      </c>
      <c r="R18" s="42"/>
      <c r="S18" s="42">
        <f t="array" ref="S18">IF(XLOOKUP($A18,Partner_Tickets!$A:$A,Partner_Tickets!S:S,"",0)="Free","Free",IF(XLOOKUP($A18,Partner_Tickets!$A:$A,Partner_Tickets!S:S,"",0)="VL","VL",IF(XLOOKUP($A18,Partner_Tickets!$A:$A,Partner_Tickets!S:S,"",0)="ATT","ATT",XLOOKUP($A18,Partner_Tickets!$A:$A,Partner_Tickets!S:S,"",0))))</f>
        <v>0.3333333333</v>
      </c>
      <c r="T18" s="42">
        <f t="array" ref="T18">IF(XLOOKUP($A18,Partner_Tickets!$A:$A,Partner_Tickets!T:T,"",0)="Free","Free",IF(XLOOKUP($A18,Partner_Tickets!$A:$A,Partner_Tickets!T:T,"",0)="VL","VL",IF(XLOOKUP($A18,Partner_Tickets!$A:$A,Partner_Tickets!T:T,"",0)="ATT","ATT",XLOOKUP($A18,Partner_Tickets!$A:$A,Partner_Tickets!T:T,"",0))))</f>
        <v>0.3333333333</v>
      </c>
      <c r="U18" s="42" t="str">
        <f t="array" ref="U18">IF(XLOOKUP($A18,Partner_Tickets!$A:$A,Partner_Tickets!U:U,"",0)="Free","Free",IF(XLOOKUP($A18,Partner_Tickets!$A:$A,Partner_Tickets!U:U,"",0)="VL","VL",IF(XLOOKUP($A18,Partner_Tickets!$A:$A,Partner_Tickets!U:U,"",0)="ATT","ATT",XLOOKUP($A18,Partner_Tickets!$A:$A,Partner_Tickets!U:U,"",0))))</f>
        <v>Free</v>
      </c>
      <c r="V18" s="42">
        <f t="array" ref="V18">IF(XLOOKUP($A18,Partner_Tickets!$A:$A,Partner_Tickets!V:V,"",0)="Free","Free",IF(XLOOKUP($A18,Partner_Tickets!$A:$A,Partner_Tickets!V:V,"",0)="VL","VL",IF(XLOOKUP($A18,Partner_Tickets!$A:$A,Partner_Tickets!V:V,"",0)="ATT","ATT",XLOOKUP($A18,Partner_Tickets!$A:$A,Partner_Tickets!V:V,"",0))))</f>
        <v>0.3333333333</v>
      </c>
      <c r="W18" s="42">
        <f t="array" ref="W18">IF(XLOOKUP($A18,Partner_Tickets!$A:$A,Partner_Tickets!W:W,"",0)="Free","Free",IF(XLOOKUP($A18,Partner_Tickets!$A:$A,Partner_Tickets!W:W,"",0)="VL","VL",IF(XLOOKUP($A18,Partner_Tickets!$A:$A,Partner_Tickets!W:W,"",0)="ATT","ATT",XLOOKUP($A18,Partner_Tickets!$A:$A,Partner_Tickets!W:W,"",0))))</f>
        <v>0.3333333333</v>
      </c>
      <c r="X18" s="42">
        <f t="array" ref="X18">IF(XLOOKUP($A18,Partner_Tickets!$A:$A,Partner_Tickets!X:X,"",0)="Free","Free",IF(XLOOKUP($A18,Partner_Tickets!$A:$A,Partner_Tickets!X:X,"",0)="VL","VL",IF(XLOOKUP($A18,Partner_Tickets!$A:$A,Partner_Tickets!X:X,"",0)="ATT","ATT",XLOOKUP($A18,Partner_Tickets!$A:$A,Partner_Tickets!X:X,"",0))))</f>
        <v>0.3333333333</v>
      </c>
      <c r="Y18" s="42"/>
      <c r="Z18" s="42">
        <f t="array" ref="Z18">IF(XLOOKUP($A18,Partner_Tickets!$A:$A,Partner_Tickets!Z:Z,"",0)="Free","Free",IF(XLOOKUP($A18,Partner_Tickets!$A:$A,Partner_Tickets!Z:Z,"",0)="VL","VL",IF(XLOOKUP($A18,Partner_Tickets!$A:$A,Partner_Tickets!Z:Z,"",0)="ATT","ATT",XLOOKUP($A18,Partner_Tickets!$A:$A,Partner_Tickets!Z:Z,"",0))))</f>
        <v>0.3333333333</v>
      </c>
      <c r="AA18" s="42">
        <f t="array" ref="AA18">IF(XLOOKUP($A18,Partner_Tickets!$A:$A,Partner_Tickets!AA:AA,"",0)="Free","Free",IF(XLOOKUP($A18,Partner_Tickets!$A:$A,Partner_Tickets!AA:AA,"",0)="VL","VL",IF(XLOOKUP($A18,Partner_Tickets!$A:$A,Partner_Tickets!AA:AA,"",0)="ATT","ATT",XLOOKUP($A18,Partner_Tickets!$A:$A,Partner_Tickets!AA:AA,"",0))))</f>
        <v>0.3333333333</v>
      </c>
      <c r="AB18" s="42" t="str">
        <f t="array" ref="AB18">IF(XLOOKUP($A18,Partner_Tickets!$A:$A,Partner_Tickets!AB:AB,"",0)="Free","Free",IF(XLOOKUP($A18,Partner_Tickets!$A:$A,Partner_Tickets!AB:AB,"",0)="VL","VL",IF(XLOOKUP($A18,Partner_Tickets!$A:$A,Partner_Tickets!AB:AB,"",0)="ATT","ATT",XLOOKUP($A18,Partner_Tickets!$A:$A,Partner_Tickets!AB:AB,"",0))))</f>
        <v>Free</v>
      </c>
      <c r="AC18" s="42">
        <f t="array" ref="AC18">IF(XLOOKUP($A18,Partner_Tickets!$A:$A,Partner_Tickets!AC:AC,"",0)="Free","Free",IF(XLOOKUP($A18,Partner_Tickets!$A:$A,Partner_Tickets!AC:AC,"",0)="VL","VL",IF(XLOOKUP($A18,Partner_Tickets!$A:$A,Partner_Tickets!AC:AC,"",0)="ATT","ATT",XLOOKUP($A18,Partner_Tickets!$A:$A,Partner_Tickets!AC:AC,"",0))))</f>
        <v>0.3333333333</v>
      </c>
      <c r="AD18" s="42">
        <f t="array" ref="AD18">IF(XLOOKUP($A18,Partner_Tickets!$A:$A,Partner_Tickets!AD:AD,"",0)="Free","Free",IF(XLOOKUP($A18,Partner_Tickets!$A:$A,Partner_Tickets!AD:AD,"",0)="VL","VL",IF(XLOOKUP($A18,Partner_Tickets!$A:$A,Partner_Tickets!AD:AD,"",0)="ATT","ATT",XLOOKUP($A18,Partner_Tickets!$A:$A,Partner_Tickets!AD:AD,"",0))))</f>
        <v>0.3333333333</v>
      </c>
      <c r="AE18" s="42">
        <f t="array" ref="AE18">IF(XLOOKUP($A18,Partner_Tickets!$A:$A,Partner_Tickets!AE:AE,"",0)="Free","Free",IF(XLOOKUP($A18,Partner_Tickets!$A:$A,Partner_Tickets!AE:AE,"",0)="VL","VL",IF(XLOOKUP($A18,Partner_Tickets!$A:$A,Partner_Tickets!AE:AE,"",0)="ATT","ATT",XLOOKUP($A18,Partner_Tickets!$A:$A,Partner_Tickets!AE:AE,"",0))))</f>
        <v>0.3333333333</v>
      </c>
      <c r="AF18" s="42"/>
      <c r="AG18" s="42">
        <f t="array" ref="AG18">IF(XLOOKUP($A18,Partner_Tickets!$A:$A,Partner_Tickets!AG:AG,"",0)="Free","Free",IF(XLOOKUP($A18,Partner_Tickets!$A:$A,Partner_Tickets!AG:AG,"",0)="VL","VL",IF(XLOOKUP($A18,Partner_Tickets!$A:$A,Partner_Tickets!AG:AG,"",0)="ATT","ATT",XLOOKUP($A18,Partner_Tickets!$A:$A,Partner_Tickets!AG:AG,"",0))))</f>
        <v>0.3333333333</v>
      </c>
      <c r="AH18" s="42">
        <f t="array" ref="AH18">IF(XLOOKUP($A18,Partner_Tickets!$A:$A,Partner_Tickets!AH:AH,"",0)="Free","Free",IF(XLOOKUP($A18,Partner_Tickets!$A:$A,Partner_Tickets!AH:AH,"",0)="VL","VL",IF(XLOOKUP($A18,Partner_Tickets!$A:$A,Partner_Tickets!AH:AH,"",0)="ATT","ATT",XLOOKUP($A18,Partner_Tickets!$A:$A,Partner_Tickets!AH:AH,"",0))))</f>
        <v>0.3333333333</v>
      </c>
      <c r="AI18" s="42" t="str">
        <f t="array" ref="AI18">IF(XLOOKUP($A18,Partner_Tickets!$A:$A,Partner_Tickets!AI:AI,"",0)="Free","Free",IF(XLOOKUP($A18,Partner_Tickets!$A:$A,Partner_Tickets!AI:AI,"",0)="VL","VL",IF(XLOOKUP($A18,Partner_Tickets!$A:$A,Partner_Tickets!AI:AI,"",0)="ATT","ATT",XLOOKUP($A18,Partner_Tickets!$A:$A,Partner_Tickets!AI:AI,"",0))))</f>
        <v>Free</v>
      </c>
      <c r="AJ18" s="42">
        <f t="array" ref="AJ18">IF(XLOOKUP($A18,Partner_Tickets!$A:$A,Partner_Tickets!AJ:AJ,"",0)="Free","Free",IF(XLOOKUP($A18,Partner_Tickets!$A:$A,Partner_Tickets!AJ:AJ,"",0)="VL","VL",IF(XLOOKUP($A18,Partner_Tickets!$A:$A,Partner_Tickets!AJ:AJ,"",0)="ATT","ATT",XLOOKUP($A18,Partner_Tickets!$A:$A,Partner_Tickets!AJ:AJ,"",0))))</f>
        <v>0.3333333333</v>
      </c>
      <c r="AK18" s="42">
        <f t="array" ref="AK18">IF(XLOOKUP($A18,Partner_Tickets!$A:$A,Partner_Tickets!AK:AK,"",0)="Free","Free",IF(XLOOKUP($A18,Partner_Tickets!$A:$A,Partner_Tickets!AK:AK,"",0)="VL","VL",IF(XLOOKUP($A18,Partner_Tickets!$A:$A,Partner_Tickets!AK:AK,"",0)="ATT","ATT",XLOOKUP($A18,Partner_Tickets!$A:$A,Partner_Tickets!AK:AK,"",0))))</f>
        <v>0.3333333333</v>
      </c>
      <c r="AL18" s="42">
        <f t="array" ref="AL18">IF(XLOOKUP($A18,Partner_Tickets!$A:$A,Partner_Tickets!AL:AL,"",0)="Free","Free",IF(XLOOKUP($A18,Partner_Tickets!$A:$A,Partner_Tickets!AL:AL,"",0)="VL","VL",IF(XLOOKUP($A18,Partner_Tickets!$A:$A,Partner_Tickets!AL:AL,"",0)="ATT","ATT",XLOOKUP($A18,Partner_Tickets!$A:$A,Partner_Tickets!AL:AL,"",0))))</f>
        <v>0.3333333333</v>
      </c>
      <c r="AM18" s="42"/>
    </row>
    <row r="19">
      <c r="A19" s="40" t="s">
        <v>151</v>
      </c>
      <c r="B19" s="44" t="str">
        <f t="array" ref="B19">XLOOKUP(A19,Roster!F:F,Roster!A:A,"",0)</f>
        <v>Bryan Galvis</v>
      </c>
      <c r="C19" s="44" t="str">
        <f t="array" ref="C19">XLOOKUP(A19,Roster!F:F,Roster!B:B,"",0)</f>
        <v>Sebastian Quiroz</v>
      </c>
      <c r="D19" s="40"/>
      <c r="E19" s="42">
        <f t="array" ref="E19">IF(XLOOKUP($A19,Partner_Tickets!$A:$A,Partner_Tickets!E:E,"",0)="Free","Free",IF(XLOOKUP($A19,Partner_Tickets!$A:$A,Partner_Tickets!E:E,"",0)="VL","VL",IF(XLOOKUP($A19,Partner_Tickets!$A:$A,Partner_Tickets!E:E,"",0)="ATT","ATT",XLOOKUP($A19,Partner_Tickets!$A:$A,Partner_Tickets!E:E,"",0))))</f>
        <v>0.3333333333</v>
      </c>
      <c r="F19" s="42">
        <f t="array" ref="F19">IF(XLOOKUP($A19,Partner_Tickets!$A:$A,Partner_Tickets!F:F,"",0)="Free","Free",IF(XLOOKUP($A19,Partner_Tickets!$A:$A,Partner_Tickets!F:F,"",0)="VL","VL",IF(XLOOKUP($A19,Partner_Tickets!$A:$A,Partner_Tickets!F:F,"",0)="ATT","ATT",XLOOKUP($A19,Partner_Tickets!$A:$A,Partner_Tickets!F:F,"",0))))</f>
        <v>0.3333333333</v>
      </c>
      <c r="G19" s="42">
        <f t="array" ref="G19">IF(XLOOKUP($A19,Partner_Tickets!$A:$A,Partner_Tickets!G:G,"",0)="Free","Free",IF(XLOOKUP($A19,Partner_Tickets!$A:$A,Partner_Tickets!G:G,"",0)="VL","VL",IF(XLOOKUP($A19,Partner_Tickets!$A:$A,Partner_Tickets!G:G,"",0)="ATT","ATT",XLOOKUP($A19,Partner_Tickets!$A:$A,Partner_Tickets!G:G,"",0))))</f>
        <v>0.3333333333</v>
      </c>
      <c r="H19" s="42">
        <f t="array" ref="H19">IF(XLOOKUP($A19,Partner_Tickets!$A:$A,Partner_Tickets!H:H,"",0)="Free","Free",IF(XLOOKUP($A19,Partner_Tickets!$A:$A,Partner_Tickets!H:H,"",0)="VL","VL",IF(XLOOKUP($A19,Partner_Tickets!$A:$A,Partner_Tickets!H:H,"",0)="ATT","ATT",XLOOKUP($A19,Partner_Tickets!$A:$A,Partner_Tickets!H:H,"",0))))</f>
        <v>0.3333333333</v>
      </c>
      <c r="I19" s="42">
        <f t="array" ref="I19">IF(XLOOKUP($A19,Partner_Tickets!$A:$A,Partner_Tickets!I:I,"",0)="Free","Free",IF(XLOOKUP($A19,Partner_Tickets!$A:$A,Partner_Tickets!I:I,"",0)="VL","VL",IF(XLOOKUP($A19,Partner_Tickets!$A:$A,Partner_Tickets!I:I,"",0)="ATT","ATT",XLOOKUP($A19,Partner_Tickets!$A:$A,Partner_Tickets!I:I,"",0))))</f>
        <v>0.3333333333</v>
      </c>
      <c r="J19" s="42" t="str">
        <f t="array" ref="J19">IF(XLOOKUP($A19,Partner_Tickets!$A:$A,Partner_Tickets!J:J,"",0)="Free","Free",IF(XLOOKUP($A19,Partner_Tickets!$A:$A,Partner_Tickets!J:J,"",0)="VL","VL",IF(XLOOKUP($A19,Partner_Tickets!$A:$A,Partner_Tickets!J:J,"",0)="ATT","ATT",XLOOKUP($A19,Partner_Tickets!$A:$A,Partner_Tickets!J:J,"",0))))</f>
        <v>Free</v>
      </c>
      <c r="K19" s="42" t="str">
        <f t="array" ref="K19">IF(XLOOKUP($A19,Partner_Tickets!$A:$A,Partner_Tickets!K:K,"",0)="Free","Free",IF(XLOOKUP($A19,Partner_Tickets!$A:$A,Partner_Tickets!K:K,"",0)="VL","VL",IF(XLOOKUP($A19,Partner_Tickets!$A:$A,Partner_Tickets!K:K,"",0)="ATT","ATT",XLOOKUP($A19,Partner_Tickets!$A:$A,Partner_Tickets!K:K,"",0))))</f>
        <v/>
      </c>
      <c r="L19" s="42">
        <f t="array" ref="L19">IF(XLOOKUP($A19,Partner_Tickets!$A:$A,Partner_Tickets!L:L,"",0)="Free","Free",IF(XLOOKUP($A19,Partner_Tickets!$A:$A,Partner_Tickets!L:L,"",0)="VL","VL",IF(XLOOKUP($A19,Partner_Tickets!$A:$A,Partner_Tickets!L:L,"",0)="ATT","ATT",XLOOKUP($A19,Partner_Tickets!$A:$A,Partner_Tickets!L:L,"",0))))</f>
        <v>0.3333333333</v>
      </c>
      <c r="M19" s="42">
        <f t="array" ref="M19">IF(XLOOKUP($A19,Partner_Tickets!$A:$A,Partner_Tickets!M:M,"",0)="Free","Free",IF(XLOOKUP($A19,Partner_Tickets!$A:$A,Partner_Tickets!M:M,"",0)="VL","VL",IF(XLOOKUP($A19,Partner_Tickets!$A:$A,Partner_Tickets!M:M,"",0)="ATT","ATT",XLOOKUP($A19,Partner_Tickets!$A:$A,Partner_Tickets!M:M,"",0))))</f>
        <v>0.3333333333</v>
      </c>
      <c r="N19" s="42">
        <f t="array" ref="N19">IF(XLOOKUP($A19,Partner_Tickets!$A:$A,Partner_Tickets!N:N,"",0)="Free","Free",IF(XLOOKUP($A19,Partner_Tickets!$A:$A,Partner_Tickets!N:N,"",0)="VL","VL",IF(XLOOKUP($A19,Partner_Tickets!$A:$A,Partner_Tickets!N:N,"",0)="ATT","ATT",XLOOKUP($A19,Partner_Tickets!$A:$A,Partner_Tickets!N:N,"",0))))</f>
        <v>0.3333333333</v>
      </c>
      <c r="O19" s="42" t="str">
        <f t="array" ref="O19">IF(XLOOKUP($A19,Partner_Tickets!$A:$A,Partner_Tickets!O:O,"",0)="Free","Free",IF(XLOOKUP($A19,Partner_Tickets!$A:$A,Partner_Tickets!O:O,"",0)="VL","VL",IF(XLOOKUP($A19,Partner_Tickets!$A:$A,Partner_Tickets!O:O,"",0)="ATT","ATT",XLOOKUP($A19,Partner_Tickets!$A:$A,Partner_Tickets!O:O,"",0))))</f>
        <v>Free</v>
      </c>
      <c r="P19" s="42">
        <f t="array" ref="P19">IF(XLOOKUP($A19,Partner_Tickets!$A:$A,Partner_Tickets!P:P,"",0)="Free","Free",IF(XLOOKUP($A19,Partner_Tickets!$A:$A,Partner_Tickets!P:P,"",0)="VL","VL",IF(XLOOKUP($A19,Partner_Tickets!$A:$A,Partner_Tickets!P:P,"",0)="ATT","ATT",XLOOKUP($A19,Partner_Tickets!$A:$A,Partner_Tickets!P:P,"",0))))</f>
        <v>0.3333333333</v>
      </c>
      <c r="Q19" s="42">
        <f t="array" ref="Q19">IF(XLOOKUP($A19,Partner_Tickets!$A:$A,Partner_Tickets!Q:Q,"",0)="Free","Free",IF(XLOOKUP($A19,Partner_Tickets!$A:$A,Partner_Tickets!Q:Q,"",0)="VL","VL",IF(XLOOKUP($A19,Partner_Tickets!$A:$A,Partner_Tickets!Q:Q,"",0)="ATT","ATT",XLOOKUP($A19,Partner_Tickets!$A:$A,Partner_Tickets!Q:Q,"",0))))</f>
        <v>0.3333333333</v>
      </c>
      <c r="R19" s="42"/>
      <c r="S19" s="42">
        <f t="array" ref="S19">IF(XLOOKUP($A19,Partner_Tickets!$A:$A,Partner_Tickets!S:S,"",0)="Free","Free",IF(XLOOKUP($A19,Partner_Tickets!$A:$A,Partner_Tickets!S:S,"",0)="VL","VL",IF(XLOOKUP($A19,Partner_Tickets!$A:$A,Partner_Tickets!S:S,"",0)="ATT","ATT",XLOOKUP($A19,Partner_Tickets!$A:$A,Partner_Tickets!S:S,"",0))))</f>
        <v>0.3333333333</v>
      </c>
      <c r="T19" s="42">
        <f t="array" ref="T19">IF(XLOOKUP($A19,Partner_Tickets!$A:$A,Partner_Tickets!T:T,"",0)="Free","Free",IF(XLOOKUP($A19,Partner_Tickets!$A:$A,Partner_Tickets!T:T,"",0)="VL","VL",IF(XLOOKUP($A19,Partner_Tickets!$A:$A,Partner_Tickets!T:T,"",0)="ATT","ATT",XLOOKUP($A19,Partner_Tickets!$A:$A,Partner_Tickets!T:T,"",0))))</f>
        <v>0.3333333333</v>
      </c>
      <c r="U19" s="42">
        <f t="array" ref="U19">IF(XLOOKUP($A19,Partner_Tickets!$A:$A,Partner_Tickets!U:U,"",0)="Free","Free",IF(XLOOKUP($A19,Partner_Tickets!$A:$A,Partner_Tickets!U:U,"",0)="VL","VL",IF(XLOOKUP($A19,Partner_Tickets!$A:$A,Partner_Tickets!U:U,"",0)="ATT","ATT",XLOOKUP($A19,Partner_Tickets!$A:$A,Partner_Tickets!U:U,"",0))))</f>
        <v>0.3333333333</v>
      </c>
      <c r="V19" s="42" t="str">
        <f t="array" ref="V19">IF(XLOOKUP($A19,Partner_Tickets!$A:$A,Partner_Tickets!V:V,"",0)="Free","Free",IF(XLOOKUP($A19,Partner_Tickets!$A:$A,Partner_Tickets!V:V,"",0)="VL","VL",IF(XLOOKUP($A19,Partner_Tickets!$A:$A,Partner_Tickets!V:V,"",0)="ATT","ATT",XLOOKUP($A19,Partner_Tickets!$A:$A,Partner_Tickets!V:V,"",0))))</f>
        <v>Free</v>
      </c>
      <c r="W19" s="42">
        <f t="array" ref="W19">IF(XLOOKUP($A19,Partner_Tickets!$A:$A,Partner_Tickets!W:W,"",0)="Free","Free",IF(XLOOKUP($A19,Partner_Tickets!$A:$A,Partner_Tickets!W:W,"",0)="VL","VL",IF(XLOOKUP($A19,Partner_Tickets!$A:$A,Partner_Tickets!W:W,"",0)="ATT","ATT",XLOOKUP($A19,Partner_Tickets!$A:$A,Partner_Tickets!W:W,"",0))))</f>
        <v>0.3333333333</v>
      </c>
      <c r="X19" s="42">
        <f t="array" ref="X19">IF(XLOOKUP($A19,Partner_Tickets!$A:$A,Partner_Tickets!X:X,"",0)="Free","Free",IF(XLOOKUP($A19,Partner_Tickets!$A:$A,Partner_Tickets!X:X,"",0)="VL","VL",IF(XLOOKUP($A19,Partner_Tickets!$A:$A,Partner_Tickets!X:X,"",0)="ATT","ATT",XLOOKUP($A19,Partner_Tickets!$A:$A,Partner_Tickets!X:X,"",0))))</f>
        <v>0.3333333333</v>
      </c>
      <c r="Y19" s="42"/>
      <c r="Z19" s="42">
        <f t="array" ref="Z19">IF(XLOOKUP($A19,Partner_Tickets!$A:$A,Partner_Tickets!Z:Z,"",0)="Free","Free",IF(XLOOKUP($A19,Partner_Tickets!$A:$A,Partner_Tickets!Z:Z,"",0)="VL","VL",IF(XLOOKUP($A19,Partner_Tickets!$A:$A,Partner_Tickets!Z:Z,"",0)="ATT","ATT",XLOOKUP($A19,Partner_Tickets!$A:$A,Partner_Tickets!Z:Z,"",0))))</f>
        <v>0.3333333333</v>
      </c>
      <c r="AA19" s="42">
        <f t="array" ref="AA19">IF(XLOOKUP($A19,Partner_Tickets!$A:$A,Partner_Tickets!AA:AA,"",0)="Free","Free",IF(XLOOKUP($A19,Partner_Tickets!$A:$A,Partner_Tickets!AA:AA,"",0)="VL","VL",IF(XLOOKUP($A19,Partner_Tickets!$A:$A,Partner_Tickets!AA:AA,"",0)="ATT","ATT",XLOOKUP($A19,Partner_Tickets!$A:$A,Partner_Tickets!AA:AA,"",0))))</f>
        <v>0.3333333333</v>
      </c>
      <c r="AB19" s="42">
        <f t="array" ref="AB19">IF(XLOOKUP($A19,Partner_Tickets!$A:$A,Partner_Tickets!AB:AB,"",0)="Free","Free",IF(XLOOKUP($A19,Partner_Tickets!$A:$A,Partner_Tickets!AB:AB,"",0)="VL","VL",IF(XLOOKUP($A19,Partner_Tickets!$A:$A,Partner_Tickets!AB:AB,"",0)="ATT","ATT",XLOOKUP($A19,Partner_Tickets!$A:$A,Partner_Tickets!AB:AB,"",0))))</f>
        <v>0.3333333333</v>
      </c>
      <c r="AC19" s="42" t="str">
        <f t="array" ref="AC19">IF(XLOOKUP($A19,Partner_Tickets!$A:$A,Partner_Tickets!AC:AC,"",0)="Free","Free",IF(XLOOKUP($A19,Partner_Tickets!$A:$A,Partner_Tickets!AC:AC,"",0)="VL","VL",IF(XLOOKUP($A19,Partner_Tickets!$A:$A,Partner_Tickets!AC:AC,"",0)="ATT","ATT",XLOOKUP($A19,Partner_Tickets!$A:$A,Partner_Tickets!AC:AC,"",0))))</f>
        <v>Free</v>
      </c>
      <c r="AD19" s="42">
        <f t="array" ref="AD19">IF(XLOOKUP($A19,Partner_Tickets!$A:$A,Partner_Tickets!AD:AD,"",0)="Free","Free",IF(XLOOKUP($A19,Partner_Tickets!$A:$A,Partner_Tickets!AD:AD,"",0)="VL","VL",IF(XLOOKUP($A19,Partner_Tickets!$A:$A,Partner_Tickets!AD:AD,"",0)="ATT","ATT",XLOOKUP($A19,Partner_Tickets!$A:$A,Partner_Tickets!AD:AD,"",0))))</f>
        <v>0.3333333333</v>
      </c>
      <c r="AE19" s="42">
        <f t="array" ref="AE19">IF(XLOOKUP($A19,Partner_Tickets!$A:$A,Partner_Tickets!AE:AE,"",0)="Free","Free",IF(XLOOKUP($A19,Partner_Tickets!$A:$A,Partner_Tickets!AE:AE,"",0)="VL","VL",IF(XLOOKUP($A19,Partner_Tickets!$A:$A,Partner_Tickets!AE:AE,"",0)="ATT","ATT",XLOOKUP($A19,Partner_Tickets!$A:$A,Partner_Tickets!AE:AE,"",0))))</f>
        <v>0.3333333333</v>
      </c>
      <c r="AF19" s="42"/>
      <c r="AG19" s="42">
        <f t="array" ref="AG19">IF(XLOOKUP($A19,Partner_Tickets!$A:$A,Partner_Tickets!AG:AG,"",0)="Free","Free",IF(XLOOKUP($A19,Partner_Tickets!$A:$A,Partner_Tickets!AG:AG,"",0)="VL","VL",IF(XLOOKUP($A19,Partner_Tickets!$A:$A,Partner_Tickets!AG:AG,"",0)="ATT","ATT",XLOOKUP($A19,Partner_Tickets!$A:$A,Partner_Tickets!AG:AG,"",0))))</f>
        <v>0.3333333333</v>
      </c>
      <c r="AH19" s="42">
        <f t="array" ref="AH19">IF(XLOOKUP($A19,Partner_Tickets!$A:$A,Partner_Tickets!AH:AH,"",0)="Free","Free",IF(XLOOKUP($A19,Partner_Tickets!$A:$A,Partner_Tickets!AH:AH,"",0)="VL","VL",IF(XLOOKUP($A19,Partner_Tickets!$A:$A,Partner_Tickets!AH:AH,"",0)="ATT","ATT",XLOOKUP($A19,Partner_Tickets!$A:$A,Partner_Tickets!AH:AH,"",0))))</f>
        <v>0.3333333333</v>
      </c>
      <c r="AI19" s="42">
        <f t="array" ref="AI19">IF(XLOOKUP($A19,Partner_Tickets!$A:$A,Partner_Tickets!AI:AI,"",0)="Free","Free",IF(XLOOKUP($A19,Partner_Tickets!$A:$A,Partner_Tickets!AI:AI,"",0)="VL","VL",IF(XLOOKUP($A19,Partner_Tickets!$A:$A,Partner_Tickets!AI:AI,"",0)="ATT","ATT",XLOOKUP($A19,Partner_Tickets!$A:$A,Partner_Tickets!AI:AI,"",0))))</f>
        <v>0.3333333333</v>
      </c>
      <c r="AJ19" s="42" t="str">
        <f t="array" ref="AJ19">IF(XLOOKUP($A19,Partner_Tickets!$A:$A,Partner_Tickets!AJ:AJ,"",0)="Free","Free",IF(XLOOKUP($A19,Partner_Tickets!$A:$A,Partner_Tickets!AJ:AJ,"",0)="VL","VL",IF(XLOOKUP($A19,Partner_Tickets!$A:$A,Partner_Tickets!AJ:AJ,"",0)="ATT","ATT",XLOOKUP($A19,Partner_Tickets!$A:$A,Partner_Tickets!AJ:AJ,"",0))))</f>
        <v>Free</v>
      </c>
      <c r="AK19" s="42">
        <f t="array" ref="AK19">IF(XLOOKUP($A19,Partner_Tickets!$A:$A,Partner_Tickets!AK:AK,"",0)="Free","Free",IF(XLOOKUP($A19,Partner_Tickets!$A:$A,Partner_Tickets!AK:AK,"",0)="VL","VL",IF(XLOOKUP($A19,Partner_Tickets!$A:$A,Partner_Tickets!AK:AK,"",0)="ATT","ATT",XLOOKUP($A19,Partner_Tickets!$A:$A,Partner_Tickets!AK:AK,"",0))))</f>
        <v>0.3333333333</v>
      </c>
      <c r="AL19" s="42">
        <f t="array" ref="AL19">IF(XLOOKUP($A19,Partner_Tickets!$A:$A,Partner_Tickets!AL:AL,"",0)="Free","Free",IF(XLOOKUP($A19,Partner_Tickets!$A:$A,Partner_Tickets!AL:AL,"",0)="VL","VL",IF(XLOOKUP($A19,Partner_Tickets!$A:$A,Partner_Tickets!AL:AL,"",0)="ATT","ATT",XLOOKUP($A19,Partner_Tickets!$A:$A,Partner_Tickets!AL:AL,"",0))))</f>
        <v>0.3333333333</v>
      </c>
      <c r="AM19" s="42"/>
    </row>
    <row r="20">
      <c r="A20" s="40" t="s">
        <v>152</v>
      </c>
      <c r="B20" s="44" t="str">
        <f t="array" ref="B20">XLOOKUP(A20,Roster!F:F,Roster!A:A,"",0)</f>
        <v>Bryan Galvis</v>
      </c>
      <c r="C20" s="44" t="str">
        <f t="array" ref="C20">XLOOKUP(A20,Roster!F:F,Roster!B:B,"",0)</f>
        <v>Valery Escobar</v>
      </c>
      <c r="D20" s="40"/>
      <c r="E20" s="42">
        <f t="array" ref="E20">IF(XLOOKUP($A20,Partner_Tickets!$A:$A,Partner_Tickets!E:E,"",0)="Free","Free",IF(XLOOKUP($A20,Partner_Tickets!$A:$A,Partner_Tickets!E:E,"",0)="VL","VL",IF(XLOOKUP($A20,Partner_Tickets!$A:$A,Partner_Tickets!E:E,"",0)="ATT","ATT",XLOOKUP($A20,Partner_Tickets!$A:$A,Partner_Tickets!E:E,"",0))))</f>
        <v>0.3333333333</v>
      </c>
      <c r="F20" s="42">
        <f t="array" ref="F20">IF(XLOOKUP($A20,Partner_Tickets!$A:$A,Partner_Tickets!F:F,"",0)="Free","Free",IF(XLOOKUP($A20,Partner_Tickets!$A:$A,Partner_Tickets!F:F,"",0)="VL","VL",IF(XLOOKUP($A20,Partner_Tickets!$A:$A,Partner_Tickets!F:F,"",0)="ATT","ATT",XLOOKUP($A20,Partner_Tickets!$A:$A,Partner_Tickets!F:F,"",0))))</f>
        <v>0.3333333333</v>
      </c>
      <c r="G20" s="42" t="str">
        <f t="array" ref="G20">IF(XLOOKUP($A20,Partner_Tickets!$A:$A,Partner_Tickets!G:G,"",0)="Free","Free",IF(XLOOKUP($A20,Partner_Tickets!$A:$A,Partner_Tickets!G:G,"",0)="VL","VL",IF(XLOOKUP($A20,Partner_Tickets!$A:$A,Partner_Tickets!G:G,"",0)="ATT","ATT",XLOOKUP($A20,Partner_Tickets!$A:$A,Partner_Tickets!G:G,"",0))))</f>
        <v>Free</v>
      </c>
      <c r="H20" s="42">
        <f t="array" ref="H20">IF(XLOOKUP($A20,Partner_Tickets!$A:$A,Partner_Tickets!H:H,"",0)="Free","Free",IF(XLOOKUP($A20,Partner_Tickets!$A:$A,Partner_Tickets!H:H,"",0)="VL","VL",IF(XLOOKUP($A20,Partner_Tickets!$A:$A,Partner_Tickets!H:H,"",0)="ATT","ATT",XLOOKUP($A20,Partner_Tickets!$A:$A,Partner_Tickets!H:H,"",0))))</f>
        <v>0.3333333333</v>
      </c>
      <c r="I20" s="42">
        <f t="array" ref="I20">IF(XLOOKUP($A20,Partner_Tickets!$A:$A,Partner_Tickets!I:I,"",0)="Free","Free",IF(XLOOKUP($A20,Partner_Tickets!$A:$A,Partner_Tickets!I:I,"",0)="VL","VL",IF(XLOOKUP($A20,Partner_Tickets!$A:$A,Partner_Tickets!I:I,"",0)="ATT","ATT",XLOOKUP($A20,Partner_Tickets!$A:$A,Partner_Tickets!I:I,"",0))))</f>
        <v>0.3333333333</v>
      </c>
      <c r="J20" s="42">
        <f t="array" ref="J20">IF(XLOOKUP($A20,Partner_Tickets!$A:$A,Partner_Tickets!J:J,"",0)="Free","Free",IF(XLOOKUP($A20,Partner_Tickets!$A:$A,Partner_Tickets!J:J,"",0)="VL","VL",IF(XLOOKUP($A20,Partner_Tickets!$A:$A,Partner_Tickets!J:J,"",0)="ATT","ATT",XLOOKUP($A20,Partner_Tickets!$A:$A,Partner_Tickets!J:J,"",0))))</f>
        <v>0.3333333333</v>
      </c>
      <c r="K20" s="42" t="str">
        <f t="array" ref="K20">IF(XLOOKUP($A20,Partner_Tickets!$A:$A,Partner_Tickets!K:K,"",0)="Free","Free",IF(XLOOKUP($A20,Partner_Tickets!$A:$A,Partner_Tickets!K:K,"",0)="VL","VL",IF(XLOOKUP($A20,Partner_Tickets!$A:$A,Partner_Tickets!K:K,"",0)="ATT","ATT",XLOOKUP($A20,Partner_Tickets!$A:$A,Partner_Tickets!K:K,"",0))))</f>
        <v/>
      </c>
      <c r="L20" s="42">
        <f t="array" ref="L20">IF(XLOOKUP($A20,Partner_Tickets!$A:$A,Partner_Tickets!L:L,"",0)="Free","Free",IF(XLOOKUP($A20,Partner_Tickets!$A:$A,Partner_Tickets!L:L,"",0)="VL","VL",IF(XLOOKUP($A20,Partner_Tickets!$A:$A,Partner_Tickets!L:L,"",0)="ATT","ATT",XLOOKUP($A20,Partner_Tickets!$A:$A,Partner_Tickets!L:L,"",0))))</f>
        <v>0.3333333333</v>
      </c>
      <c r="M20" s="42">
        <f t="array" ref="M20">IF(XLOOKUP($A20,Partner_Tickets!$A:$A,Partner_Tickets!M:M,"",0)="Free","Free",IF(XLOOKUP($A20,Partner_Tickets!$A:$A,Partner_Tickets!M:M,"",0)="VL","VL",IF(XLOOKUP($A20,Partner_Tickets!$A:$A,Partner_Tickets!M:M,"",0)="ATT","ATT",XLOOKUP($A20,Partner_Tickets!$A:$A,Partner_Tickets!M:M,"",0))))</f>
        <v>0.3333333333</v>
      </c>
      <c r="N20" s="42">
        <f t="array" ref="N20">IF(XLOOKUP($A20,Partner_Tickets!$A:$A,Partner_Tickets!N:N,"",0)="Free","Free",IF(XLOOKUP($A20,Partner_Tickets!$A:$A,Partner_Tickets!N:N,"",0)="VL","VL",IF(XLOOKUP($A20,Partner_Tickets!$A:$A,Partner_Tickets!N:N,"",0)="ATT","ATT",XLOOKUP($A20,Partner_Tickets!$A:$A,Partner_Tickets!N:N,"",0))))</f>
        <v>0.3333333333</v>
      </c>
      <c r="O20" s="42" t="str">
        <f t="array" ref="O20">IF(XLOOKUP($A20,Partner_Tickets!$A:$A,Partner_Tickets!O:O,"",0)="Free","Free",IF(XLOOKUP($A20,Partner_Tickets!$A:$A,Partner_Tickets!O:O,"",0)="VL","VL",IF(XLOOKUP($A20,Partner_Tickets!$A:$A,Partner_Tickets!O:O,"",0)="ATT","ATT",XLOOKUP($A20,Partner_Tickets!$A:$A,Partner_Tickets!O:O,"",0))))</f>
        <v>Free</v>
      </c>
      <c r="P20" s="42">
        <f t="array" ref="P20">IF(XLOOKUP($A20,Partner_Tickets!$A:$A,Partner_Tickets!P:P,"",0)="Free","Free",IF(XLOOKUP($A20,Partner_Tickets!$A:$A,Partner_Tickets!P:P,"",0)="VL","VL",IF(XLOOKUP($A20,Partner_Tickets!$A:$A,Partner_Tickets!P:P,"",0)="ATT","ATT",XLOOKUP($A20,Partner_Tickets!$A:$A,Partner_Tickets!P:P,"",0))))</f>
        <v>0.3333333333</v>
      </c>
      <c r="Q20" s="42">
        <f t="array" ref="Q20">IF(XLOOKUP($A20,Partner_Tickets!$A:$A,Partner_Tickets!Q:Q,"",0)="Free","Free",IF(XLOOKUP($A20,Partner_Tickets!$A:$A,Partner_Tickets!Q:Q,"",0)="VL","VL",IF(XLOOKUP($A20,Partner_Tickets!$A:$A,Partner_Tickets!Q:Q,"",0)="ATT","ATT",XLOOKUP($A20,Partner_Tickets!$A:$A,Partner_Tickets!Q:Q,"",0))))</f>
        <v>0.3333333333</v>
      </c>
      <c r="R20" s="42"/>
      <c r="S20" s="42">
        <f t="array" ref="S20">IF(XLOOKUP($A20,Partner_Tickets!$A:$A,Partner_Tickets!S:S,"",0)="Free","Free",IF(XLOOKUP($A20,Partner_Tickets!$A:$A,Partner_Tickets!S:S,"",0)="VL","VL",IF(XLOOKUP($A20,Partner_Tickets!$A:$A,Partner_Tickets!S:S,"",0)="ATT","ATT",XLOOKUP($A20,Partner_Tickets!$A:$A,Partner_Tickets!S:S,"",0))))</f>
        <v>0.3333333333</v>
      </c>
      <c r="T20" s="42">
        <f t="array" ref="T20">IF(XLOOKUP($A20,Partner_Tickets!$A:$A,Partner_Tickets!T:T,"",0)="Free","Free",IF(XLOOKUP($A20,Partner_Tickets!$A:$A,Partner_Tickets!T:T,"",0)="VL","VL",IF(XLOOKUP($A20,Partner_Tickets!$A:$A,Partner_Tickets!T:T,"",0)="ATT","ATT",XLOOKUP($A20,Partner_Tickets!$A:$A,Partner_Tickets!T:T,"",0))))</f>
        <v>0.3333333333</v>
      </c>
      <c r="U20" s="42">
        <f t="array" ref="U20">IF(XLOOKUP($A20,Partner_Tickets!$A:$A,Partner_Tickets!U:U,"",0)="Free","Free",IF(XLOOKUP($A20,Partner_Tickets!$A:$A,Partner_Tickets!U:U,"",0)="VL","VL",IF(XLOOKUP($A20,Partner_Tickets!$A:$A,Partner_Tickets!U:U,"",0)="ATT","ATT",XLOOKUP($A20,Partner_Tickets!$A:$A,Partner_Tickets!U:U,"",0))))</f>
        <v>0.3333333333</v>
      </c>
      <c r="V20" s="42" t="str">
        <f t="array" ref="V20">IF(XLOOKUP($A20,Partner_Tickets!$A:$A,Partner_Tickets!V:V,"",0)="Free","Free",IF(XLOOKUP($A20,Partner_Tickets!$A:$A,Partner_Tickets!V:V,"",0)="VL","VL",IF(XLOOKUP($A20,Partner_Tickets!$A:$A,Partner_Tickets!V:V,"",0)="ATT","ATT",XLOOKUP($A20,Partner_Tickets!$A:$A,Partner_Tickets!V:V,"",0))))</f>
        <v>Free</v>
      </c>
      <c r="W20" s="42">
        <f t="array" ref="W20">IF(XLOOKUP($A20,Partner_Tickets!$A:$A,Partner_Tickets!W:W,"",0)="Free","Free",IF(XLOOKUP($A20,Partner_Tickets!$A:$A,Partner_Tickets!W:W,"",0)="VL","VL",IF(XLOOKUP($A20,Partner_Tickets!$A:$A,Partner_Tickets!W:W,"",0)="ATT","ATT",XLOOKUP($A20,Partner_Tickets!$A:$A,Partner_Tickets!W:W,"",0))))</f>
        <v>0.3333333333</v>
      </c>
      <c r="X20" s="42">
        <f t="array" ref="X20">IF(XLOOKUP($A20,Partner_Tickets!$A:$A,Partner_Tickets!X:X,"",0)="Free","Free",IF(XLOOKUP($A20,Partner_Tickets!$A:$A,Partner_Tickets!X:X,"",0)="VL","VL",IF(XLOOKUP($A20,Partner_Tickets!$A:$A,Partner_Tickets!X:X,"",0)="ATT","ATT",XLOOKUP($A20,Partner_Tickets!$A:$A,Partner_Tickets!X:X,"",0))))</f>
        <v>0.3333333333</v>
      </c>
      <c r="Y20" s="42"/>
      <c r="Z20" s="42">
        <f t="array" ref="Z20">IF(XLOOKUP($A20,Partner_Tickets!$A:$A,Partner_Tickets!Z:Z,"",0)="Free","Free",IF(XLOOKUP($A20,Partner_Tickets!$A:$A,Partner_Tickets!Z:Z,"",0)="VL","VL",IF(XLOOKUP($A20,Partner_Tickets!$A:$A,Partner_Tickets!Z:Z,"",0)="ATT","ATT",XLOOKUP($A20,Partner_Tickets!$A:$A,Partner_Tickets!Z:Z,"",0))))</f>
        <v>0.3333333333</v>
      </c>
      <c r="AA20" s="42">
        <f t="array" ref="AA20">IF(XLOOKUP($A20,Partner_Tickets!$A:$A,Partner_Tickets!AA:AA,"",0)="Free","Free",IF(XLOOKUP($A20,Partner_Tickets!$A:$A,Partner_Tickets!AA:AA,"",0)="VL","VL",IF(XLOOKUP($A20,Partner_Tickets!$A:$A,Partner_Tickets!AA:AA,"",0)="ATT","ATT",XLOOKUP($A20,Partner_Tickets!$A:$A,Partner_Tickets!AA:AA,"",0))))</f>
        <v>0.3333333333</v>
      </c>
      <c r="AB20" s="42">
        <f t="array" ref="AB20">IF(XLOOKUP($A20,Partner_Tickets!$A:$A,Partner_Tickets!AB:AB,"",0)="Free","Free",IF(XLOOKUP($A20,Partner_Tickets!$A:$A,Partner_Tickets!AB:AB,"",0)="VL","VL",IF(XLOOKUP($A20,Partner_Tickets!$A:$A,Partner_Tickets!AB:AB,"",0)="ATT","ATT",XLOOKUP($A20,Partner_Tickets!$A:$A,Partner_Tickets!AB:AB,"",0))))</f>
        <v>0.3333333333</v>
      </c>
      <c r="AC20" s="42" t="str">
        <f t="array" ref="AC20">IF(XLOOKUP($A20,Partner_Tickets!$A:$A,Partner_Tickets!AC:AC,"",0)="Free","Free",IF(XLOOKUP($A20,Partner_Tickets!$A:$A,Partner_Tickets!AC:AC,"",0)="VL","VL",IF(XLOOKUP($A20,Partner_Tickets!$A:$A,Partner_Tickets!AC:AC,"",0)="ATT","ATT",XLOOKUP($A20,Partner_Tickets!$A:$A,Partner_Tickets!AC:AC,"",0))))</f>
        <v>Free</v>
      </c>
      <c r="AD20" s="42">
        <f t="array" ref="AD20">IF(XLOOKUP($A20,Partner_Tickets!$A:$A,Partner_Tickets!AD:AD,"",0)="Free","Free",IF(XLOOKUP($A20,Partner_Tickets!$A:$A,Partner_Tickets!AD:AD,"",0)="VL","VL",IF(XLOOKUP($A20,Partner_Tickets!$A:$A,Partner_Tickets!AD:AD,"",0)="ATT","ATT",XLOOKUP($A20,Partner_Tickets!$A:$A,Partner_Tickets!AD:AD,"",0))))</f>
        <v>0.3333333333</v>
      </c>
      <c r="AE20" s="42">
        <f t="array" ref="AE20">IF(XLOOKUP($A20,Partner_Tickets!$A:$A,Partner_Tickets!AE:AE,"",0)="Free","Free",IF(XLOOKUP($A20,Partner_Tickets!$A:$A,Partner_Tickets!AE:AE,"",0)="VL","VL",IF(XLOOKUP($A20,Partner_Tickets!$A:$A,Partner_Tickets!AE:AE,"",0)="ATT","ATT",XLOOKUP($A20,Partner_Tickets!$A:$A,Partner_Tickets!AE:AE,"",0))))</f>
        <v>0.3333333333</v>
      </c>
      <c r="AF20" s="42"/>
      <c r="AG20" s="42">
        <f t="array" ref="AG20">IF(XLOOKUP($A20,Partner_Tickets!$A:$A,Partner_Tickets!AG:AG,"",0)="Free","Free",IF(XLOOKUP($A20,Partner_Tickets!$A:$A,Partner_Tickets!AG:AG,"",0)="VL","VL",IF(XLOOKUP($A20,Partner_Tickets!$A:$A,Partner_Tickets!AG:AG,"",0)="ATT","ATT",XLOOKUP($A20,Partner_Tickets!$A:$A,Partner_Tickets!AG:AG,"",0))))</f>
        <v>0.3333333333</v>
      </c>
      <c r="AH20" s="42">
        <f t="array" ref="AH20">IF(XLOOKUP($A20,Partner_Tickets!$A:$A,Partner_Tickets!AH:AH,"",0)="Free","Free",IF(XLOOKUP($A20,Partner_Tickets!$A:$A,Partner_Tickets!AH:AH,"",0)="VL","VL",IF(XLOOKUP($A20,Partner_Tickets!$A:$A,Partner_Tickets!AH:AH,"",0)="ATT","ATT",XLOOKUP($A20,Partner_Tickets!$A:$A,Partner_Tickets!AH:AH,"",0))))</f>
        <v>0.3333333333</v>
      </c>
      <c r="AI20" s="42">
        <f t="array" ref="AI20">IF(XLOOKUP($A20,Partner_Tickets!$A:$A,Partner_Tickets!AI:AI,"",0)="Free","Free",IF(XLOOKUP($A20,Partner_Tickets!$A:$A,Partner_Tickets!AI:AI,"",0)="VL","VL",IF(XLOOKUP($A20,Partner_Tickets!$A:$A,Partner_Tickets!AI:AI,"",0)="ATT","ATT",XLOOKUP($A20,Partner_Tickets!$A:$A,Partner_Tickets!AI:AI,"",0))))</f>
        <v>0.3333333333</v>
      </c>
      <c r="AJ20" s="42" t="str">
        <f t="array" ref="AJ20">IF(XLOOKUP($A20,Partner_Tickets!$A:$A,Partner_Tickets!AJ:AJ,"",0)="Free","Free",IF(XLOOKUP($A20,Partner_Tickets!$A:$A,Partner_Tickets!AJ:AJ,"",0)="VL","VL",IF(XLOOKUP($A20,Partner_Tickets!$A:$A,Partner_Tickets!AJ:AJ,"",0)="ATT","ATT",XLOOKUP($A20,Partner_Tickets!$A:$A,Partner_Tickets!AJ:AJ,"",0))))</f>
        <v>Free</v>
      </c>
      <c r="AK20" s="42">
        <f t="array" ref="AK20">IF(XLOOKUP($A20,Partner_Tickets!$A:$A,Partner_Tickets!AK:AK,"",0)="Free","Free",IF(XLOOKUP($A20,Partner_Tickets!$A:$A,Partner_Tickets!AK:AK,"",0)="VL","VL",IF(XLOOKUP($A20,Partner_Tickets!$A:$A,Partner_Tickets!AK:AK,"",0)="ATT","ATT",XLOOKUP($A20,Partner_Tickets!$A:$A,Partner_Tickets!AK:AK,"",0))))</f>
        <v>0.3333333333</v>
      </c>
      <c r="AL20" s="42">
        <f t="array" ref="AL20">IF(XLOOKUP($A20,Partner_Tickets!$A:$A,Partner_Tickets!AL:AL,"",0)="Free","Free",IF(XLOOKUP($A20,Partner_Tickets!$A:$A,Partner_Tickets!AL:AL,"",0)="VL","VL",IF(XLOOKUP($A20,Partner_Tickets!$A:$A,Partner_Tickets!AL:AL,"",0)="ATT","ATT",XLOOKUP($A20,Partner_Tickets!$A:$A,Partner_Tickets!AL:AL,"",0))))</f>
        <v>0.3333333333</v>
      </c>
      <c r="AM20" s="42"/>
    </row>
    <row r="21">
      <c r="A21" s="40" t="s">
        <v>153</v>
      </c>
      <c r="B21" s="44" t="str">
        <f t="array" ref="B21">XLOOKUP(A21,Roster!F:F,Roster!A:A,"",0)</f>
        <v>Edward Machado</v>
      </c>
      <c r="C21" s="44" t="str">
        <f t="array" ref="C21">XLOOKUP(A21,Roster!F:F,Roster!B:B,"",0)</f>
        <v>Alexis Arias</v>
      </c>
      <c r="D21" s="40"/>
      <c r="E21" s="42">
        <f t="array" ref="E21">IF(XLOOKUP($A21,Partner_Tickets!$A:$A,Partner_Tickets!E:E,"",0)="Free","Free",IF(XLOOKUP($A21,Partner_Tickets!$A:$A,Partner_Tickets!E:E,"",0)="VL","VL",IF(XLOOKUP($A21,Partner_Tickets!$A:$A,Partner_Tickets!E:E,"",0)="ATT","ATT",XLOOKUP($A21,Partner_Tickets!$A:$A,Partner_Tickets!E:E,"",0))))</f>
        <v>0.3125</v>
      </c>
      <c r="F21" s="42">
        <f t="array" ref="F21">IF(XLOOKUP($A21,Partner_Tickets!$A:$A,Partner_Tickets!F:F,"",0)="Free","Free",IF(XLOOKUP($A21,Partner_Tickets!$A:$A,Partner_Tickets!F:F,"",0)="VL","VL",IF(XLOOKUP($A21,Partner_Tickets!$A:$A,Partner_Tickets!F:F,"",0)="ATT","ATT",XLOOKUP($A21,Partner_Tickets!$A:$A,Partner_Tickets!F:F,"",0))))</f>
        <v>0.3125</v>
      </c>
      <c r="G21" s="42">
        <f t="array" ref="G21">IF(XLOOKUP($A21,Partner_Tickets!$A:$A,Partner_Tickets!G:G,"",0)="Free","Free",IF(XLOOKUP($A21,Partner_Tickets!$A:$A,Partner_Tickets!G:G,"",0)="VL","VL",IF(XLOOKUP($A21,Partner_Tickets!$A:$A,Partner_Tickets!G:G,"",0)="ATT","ATT",XLOOKUP($A21,Partner_Tickets!$A:$A,Partner_Tickets!G:G,"",0))))</f>
        <v>0.3125</v>
      </c>
      <c r="H21" s="42">
        <f t="array" ref="H21">IF(XLOOKUP($A21,Partner_Tickets!$A:$A,Partner_Tickets!H:H,"",0)="Free","Free",IF(XLOOKUP($A21,Partner_Tickets!$A:$A,Partner_Tickets!H:H,"",0)="VL","VL",IF(XLOOKUP($A21,Partner_Tickets!$A:$A,Partner_Tickets!H:H,"",0)="ATT","ATT",XLOOKUP($A21,Partner_Tickets!$A:$A,Partner_Tickets!H:H,"",0))))</f>
        <v>0.3125</v>
      </c>
      <c r="I21" s="42">
        <f t="array" ref="I21">IF(XLOOKUP($A21,Partner_Tickets!$A:$A,Partner_Tickets!I:I,"",0)="Free","Free",IF(XLOOKUP($A21,Partner_Tickets!$A:$A,Partner_Tickets!I:I,"",0)="VL","VL",IF(XLOOKUP($A21,Partner_Tickets!$A:$A,Partner_Tickets!I:I,"",0)="ATT","ATT",XLOOKUP($A21,Partner_Tickets!$A:$A,Partner_Tickets!I:I,"",0))))</f>
        <v>0.3125</v>
      </c>
      <c r="J21" s="42" t="str">
        <f t="array" ref="J21">IF(XLOOKUP($A21,Partner_Tickets!$A:$A,Partner_Tickets!J:J,"",0)="Free","Free",IF(XLOOKUP($A21,Partner_Tickets!$A:$A,Partner_Tickets!J:J,"",0)="VL","VL",IF(XLOOKUP($A21,Partner_Tickets!$A:$A,Partner_Tickets!J:J,"",0)="ATT","ATT",XLOOKUP($A21,Partner_Tickets!$A:$A,Partner_Tickets!J:J,"",0))))</f>
        <v>Free</v>
      </c>
      <c r="K21" s="42" t="str">
        <f t="array" ref="K21">IF(XLOOKUP($A21,Partner_Tickets!$A:$A,Partner_Tickets!K:K,"",0)="Free","Free",IF(XLOOKUP($A21,Partner_Tickets!$A:$A,Partner_Tickets!K:K,"",0)="VL","VL",IF(XLOOKUP($A21,Partner_Tickets!$A:$A,Partner_Tickets!K:K,"",0)="ATT","ATT",XLOOKUP($A21,Partner_Tickets!$A:$A,Partner_Tickets!K:K,"",0))))</f>
        <v/>
      </c>
      <c r="L21" s="42">
        <f t="array" ref="L21">IF(XLOOKUP($A21,Partner_Tickets!$A:$A,Partner_Tickets!L:L,"",0)="Free","Free",IF(XLOOKUP($A21,Partner_Tickets!$A:$A,Partner_Tickets!L:L,"",0)="VL","VL",IF(XLOOKUP($A21,Partner_Tickets!$A:$A,Partner_Tickets!L:L,"",0)="ATT","ATT",XLOOKUP($A21,Partner_Tickets!$A:$A,Partner_Tickets!L:L,"",0))))</f>
        <v>0.3125</v>
      </c>
      <c r="M21" s="42">
        <f t="array" ref="M21">IF(XLOOKUP($A21,Partner_Tickets!$A:$A,Partner_Tickets!M:M,"",0)="Free","Free",IF(XLOOKUP($A21,Partner_Tickets!$A:$A,Partner_Tickets!M:M,"",0)="VL","VL",IF(XLOOKUP($A21,Partner_Tickets!$A:$A,Partner_Tickets!M:M,"",0)="ATT","ATT",XLOOKUP($A21,Partner_Tickets!$A:$A,Partner_Tickets!M:M,"",0))))</f>
        <v>0.3125</v>
      </c>
      <c r="N21" s="42" t="str">
        <f t="array" ref="N21">IF(XLOOKUP($A21,Partner_Tickets!$A:$A,Partner_Tickets!N:N,"",0)="Free","Free",IF(XLOOKUP($A21,Partner_Tickets!$A:$A,Partner_Tickets!N:N,"",0)="VL","VL",IF(XLOOKUP($A21,Partner_Tickets!$A:$A,Partner_Tickets!N:N,"",0)="ATT","ATT",XLOOKUP($A21,Partner_Tickets!$A:$A,Partner_Tickets!N:N,"",0))))</f>
        <v>Free</v>
      </c>
      <c r="O21" s="42">
        <f t="array" ref="O21">IF(XLOOKUP($A21,Partner_Tickets!$A:$A,Partner_Tickets!O:O,"",0)="Free","Free",IF(XLOOKUP($A21,Partner_Tickets!$A:$A,Partner_Tickets!O:O,"",0)="VL","VL",IF(XLOOKUP($A21,Partner_Tickets!$A:$A,Partner_Tickets!O:O,"",0)="ATT","ATT",XLOOKUP($A21,Partner_Tickets!$A:$A,Partner_Tickets!O:O,"",0))))</f>
        <v>0.3125</v>
      </c>
      <c r="P21" s="42">
        <f t="array" ref="P21">IF(XLOOKUP($A21,Partner_Tickets!$A:$A,Partner_Tickets!P:P,"",0)="Free","Free",IF(XLOOKUP($A21,Partner_Tickets!$A:$A,Partner_Tickets!P:P,"",0)="VL","VL",IF(XLOOKUP($A21,Partner_Tickets!$A:$A,Partner_Tickets!P:P,"",0)="ATT","ATT",XLOOKUP($A21,Partner_Tickets!$A:$A,Partner_Tickets!P:P,"",0))))</f>
        <v>0.3125</v>
      </c>
      <c r="Q21" s="42">
        <f t="array" ref="Q21">IF(XLOOKUP($A21,Partner_Tickets!$A:$A,Partner_Tickets!Q:Q,"",0)="Free","Free",IF(XLOOKUP($A21,Partner_Tickets!$A:$A,Partner_Tickets!Q:Q,"",0)="VL","VL",IF(XLOOKUP($A21,Partner_Tickets!$A:$A,Partner_Tickets!Q:Q,"",0)="ATT","ATT",XLOOKUP($A21,Partner_Tickets!$A:$A,Partner_Tickets!Q:Q,"",0))))</f>
        <v>0.3125</v>
      </c>
      <c r="R21" s="42"/>
      <c r="S21" s="42">
        <f t="array" ref="S21">IF(XLOOKUP($A21,Partner_Tickets!$A:$A,Partner_Tickets!S:S,"",0)="Free","Free",IF(XLOOKUP($A21,Partner_Tickets!$A:$A,Partner_Tickets!S:S,"",0)="VL","VL",IF(XLOOKUP($A21,Partner_Tickets!$A:$A,Partner_Tickets!S:S,"",0)="ATT","ATT",XLOOKUP($A21,Partner_Tickets!$A:$A,Partner_Tickets!S:S,"",0))))</f>
        <v>0.3125</v>
      </c>
      <c r="T21" s="42">
        <f t="array" ref="T21">IF(XLOOKUP($A21,Partner_Tickets!$A:$A,Partner_Tickets!T:T,"",0)="Free","Free",IF(XLOOKUP($A21,Partner_Tickets!$A:$A,Partner_Tickets!T:T,"",0)="VL","VL",IF(XLOOKUP($A21,Partner_Tickets!$A:$A,Partner_Tickets!T:T,"",0)="ATT","ATT",XLOOKUP($A21,Partner_Tickets!$A:$A,Partner_Tickets!T:T,"",0))))</f>
        <v>0.3125</v>
      </c>
      <c r="U21" s="42" t="str">
        <f t="array" ref="U21">IF(XLOOKUP($A21,Partner_Tickets!$A:$A,Partner_Tickets!U:U,"",0)="Free","Free",IF(XLOOKUP($A21,Partner_Tickets!$A:$A,Partner_Tickets!U:U,"",0)="VL","VL",IF(XLOOKUP($A21,Partner_Tickets!$A:$A,Partner_Tickets!U:U,"",0)="ATT","ATT",XLOOKUP($A21,Partner_Tickets!$A:$A,Partner_Tickets!U:U,"",0))))</f>
        <v>Free</v>
      </c>
      <c r="V21" s="42">
        <f t="array" ref="V21">IF(XLOOKUP($A21,Partner_Tickets!$A:$A,Partner_Tickets!V:V,"",0)="Free","Free",IF(XLOOKUP($A21,Partner_Tickets!$A:$A,Partner_Tickets!V:V,"",0)="VL","VL",IF(XLOOKUP($A21,Partner_Tickets!$A:$A,Partner_Tickets!V:V,"",0)="ATT","ATT",XLOOKUP($A21,Partner_Tickets!$A:$A,Partner_Tickets!V:V,"",0))))</f>
        <v>0.3125</v>
      </c>
      <c r="W21" s="42">
        <f t="array" ref="W21">IF(XLOOKUP($A21,Partner_Tickets!$A:$A,Partner_Tickets!W:W,"",0)="Free","Free",IF(XLOOKUP($A21,Partner_Tickets!$A:$A,Partner_Tickets!W:W,"",0)="VL","VL",IF(XLOOKUP($A21,Partner_Tickets!$A:$A,Partner_Tickets!W:W,"",0)="ATT","ATT",XLOOKUP($A21,Partner_Tickets!$A:$A,Partner_Tickets!W:W,"",0))))</f>
        <v>0.3125</v>
      </c>
      <c r="X21" s="42">
        <f t="array" ref="X21">IF(XLOOKUP($A21,Partner_Tickets!$A:$A,Partner_Tickets!X:X,"",0)="Free","Free",IF(XLOOKUP($A21,Partner_Tickets!$A:$A,Partner_Tickets!X:X,"",0)="VL","VL",IF(XLOOKUP($A21,Partner_Tickets!$A:$A,Partner_Tickets!X:X,"",0)="ATT","ATT",XLOOKUP($A21,Partner_Tickets!$A:$A,Partner_Tickets!X:X,"",0))))</f>
        <v>0.3125</v>
      </c>
      <c r="Y21" s="42"/>
      <c r="Z21" s="42">
        <f t="array" ref="Z21">IF(XLOOKUP($A21,Partner_Tickets!$A:$A,Partner_Tickets!Z:Z,"",0)="Free","Free",IF(XLOOKUP($A21,Partner_Tickets!$A:$A,Partner_Tickets!Z:Z,"",0)="VL","VL",IF(XLOOKUP($A21,Partner_Tickets!$A:$A,Partner_Tickets!Z:Z,"",0)="ATT","ATT",XLOOKUP($A21,Partner_Tickets!$A:$A,Partner_Tickets!Z:Z,"",0))))</f>
        <v>0.3125</v>
      </c>
      <c r="AA21" s="42">
        <f t="array" ref="AA21">IF(XLOOKUP($A21,Partner_Tickets!$A:$A,Partner_Tickets!AA:AA,"",0)="Free","Free",IF(XLOOKUP($A21,Partner_Tickets!$A:$A,Partner_Tickets!AA:AA,"",0)="VL","VL",IF(XLOOKUP($A21,Partner_Tickets!$A:$A,Partner_Tickets!AA:AA,"",0)="ATT","ATT",XLOOKUP($A21,Partner_Tickets!$A:$A,Partner_Tickets!AA:AA,"",0))))</f>
        <v>0.3125</v>
      </c>
      <c r="AB21" s="42" t="str">
        <f t="array" ref="AB21">IF(XLOOKUP($A21,Partner_Tickets!$A:$A,Partner_Tickets!AB:AB,"",0)="Free","Free",IF(XLOOKUP($A21,Partner_Tickets!$A:$A,Partner_Tickets!AB:AB,"",0)="VL","VL",IF(XLOOKUP($A21,Partner_Tickets!$A:$A,Partner_Tickets!AB:AB,"",0)="ATT","ATT",XLOOKUP($A21,Partner_Tickets!$A:$A,Partner_Tickets!AB:AB,"",0))))</f>
        <v>Free</v>
      </c>
      <c r="AC21" s="42">
        <f t="array" ref="AC21">IF(XLOOKUP($A21,Partner_Tickets!$A:$A,Partner_Tickets!AC:AC,"",0)="Free","Free",IF(XLOOKUP($A21,Partner_Tickets!$A:$A,Partner_Tickets!AC:AC,"",0)="VL","VL",IF(XLOOKUP($A21,Partner_Tickets!$A:$A,Partner_Tickets!AC:AC,"",0)="ATT","ATT",XLOOKUP($A21,Partner_Tickets!$A:$A,Partner_Tickets!AC:AC,"",0))))</f>
        <v>0.3125</v>
      </c>
      <c r="AD21" s="42">
        <f t="array" ref="AD21">IF(XLOOKUP($A21,Partner_Tickets!$A:$A,Partner_Tickets!AD:AD,"",0)="Free","Free",IF(XLOOKUP($A21,Partner_Tickets!$A:$A,Partner_Tickets!AD:AD,"",0)="VL","VL",IF(XLOOKUP($A21,Partner_Tickets!$A:$A,Partner_Tickets!AD:AD,"",0)="ATT","ATT",XLOOKUP($A21,Partner_Tickets!$A:$A,Partner_Tickets!AD:AD,"",0))))</f>
        <v>0.3125</v>
      </c>
      <c r="AE21" s="42">
        <f t="array" ref="AE21">IF(XLOOKUP($A21,Partner_Tickets!$A:$A,Partner_Tickets!AE:AE,"",0)="Free","Free",IF(XLOOKUP($A21,Partner_Tickets!$A:$A,Partner_Tickets!AE:AE,"",0)="VL","VL",IF(XLOOKUP($A21,Partner_Tickets!$A:$A,Partner_Tickets!AE:AE,"",0)="ATT","ATT",XLOOKUP($A21,Partner_Tickets!$A:$A,Partner_Tickets!AE:AE,"",0))))</f>
        <v>0.3125</v>
      </c>
      <c r="AF21" s="42"/>
      <c r="AG21" s="42">
        <f t="array" ref="AG21">IF(XLOOKUP($A21,Partner_Tickets!$A:$A,Partner_Tickets!AG:AG,"",0)="Free","Free",IF(XLOOKUP($A21,Partner_Tickets!$A:$A,Partner_Tickets!AG:AG,"",0)="VL","VL",IF(XLOOKUP($A21,Partner_Tickets!$A:$A,Partner_Tickets!AG:AG,"",0)="ATT","ATT",XLOOKUP($A21,Partner_Tickets!$A:$A,Partner_Tickets!AG:AG,"",0))))</f>
        <v>0.3125</v>
      </c>
      <c r="AH21" s="42">
        <f t="array" ref="AH21">IF(XLOOKUP($A21,Partner_Tickets!$A:$A,Partner_Tickets!AH:AH,"",0)="Free","Free",IF(XLOOKUP($A21,Partner_Tickets!$A:$A,Partner_Tickets!AH:AH,"",0)="VL","VL",IF(XLOOKUP($A21,Partner_Tickets!$A:$A,Partner_Tickets!AH:AH,"",0)="ATT","ATT",XLOOKUP($A21,Partner_Tickets!$A:$A,Partner_Tickets!AH:AH,"",0))))</f>
        <v>0.3125</v>
      </c>
      <c r="AI21" s="42" t="str">
        <f t="array" ref="AI21">IF(XLOOKUP($A21,Partner_Tickets!$A:$A,Partner_Tickets!AI:AI,"",0)="Free","Free",IF(XLOOKUP($A21,Partner_Tickets!$A:$A,Partner_Tickets!AI:AI,"",0)="VL","VL",IF(XLOOKUP($A21,Partner_Tickets!$A:$A,Partner_Tickets!AI:AI,"",0)="ATT","ATT",XLOOKUP($A21,Partner_Tickets!$A:$A,Partner_Tickets!AI:AI,"",0))))</f>
        <v>Free</v>
      </c>
      <c r="AJ21" s="42">
        <f t="array" ref="AJ21">IF(XLOOKUP($A21,Partner_Tickets!$A:$A,Partner_Tickets!AJ:AJ,"",0)="Free","Free",IF(XLOOKUP($A21,Partner_Tickets!$A:$A,Partner_Tickets!AJ:AJ,"",0)="VL","VL",IF(XLOOKUP($A21,Partner_Tickets!$A:$A,Partner_Tickets!AJ:AJ,"",0)="ATT","ATT",XLOOKUP($A21,Partner_Tickets!$A:$A,Partner_Tickets!AJ:AJ,"",0))))</f>
        <v>0.3125</v>
      </c>
      <c r="AK21" s="42">
        <f t="array" ref="AK21">IF(XLOOKUP($A21,Partner_Tickets!$A:$A,Partner_Tickets!AK:AK,"",0)="Free","Free",IF(XLOOKUP($A21,Partner_Tickets!$A:$A,Partner_Tickets!AK:AK,"",0)="VL","VL",IF(XLOOKUP($A21,Partner_Tickets!$A:$A,Partner_Tickets!AK:AK,"",0)="ATT","ATT",XLOOKUP($A21,Partner_Tickets!$A:$A,Partner_Tickets!AK:AK,"",0))))</f>
        <v>0.3125</v>
      </c>
      <c r="AL21" s="42">
        <f t="array" ref="AL21">IF(XLOOKUP($A21,Partner_Tickets!$A:$A,Partner_Tickets!AL:AL,"",0)="Free","Free",IF(XLOOKUP($A21,Partner_Tickets!$A:$A,Partner_Tickets!AL:AL,"",0)="VL","VL",IF(XLOOKUP($A21,Partner_Tickets!$A:$A,Partner_Tickets!AL:AL,"",0)="ATT","ATT",XLOOKUP($A21,Partner_Tickets!$A:$A,Partner_Tickets!AL:AL,"",0))))</f>
        <v>0.3125</v>
      </c>
      <c r="AM21" s="42"/>
    </row>
    <row r="22">
      <c r="A22" s="43" t="s">
        <v>154</v>
      </c>
      <c r="B22" s="44" t="str">
        <f t="array" ref="B22">XLOOKUP(A22,Roster!F:F,Roster!A:A,"",0)</f>
        <v>Edward Machado</v>
      </c>
      <c r="C22" s="44" t="str">
        <f t="array" ref="C22">XLOOKUP(A22,Roster!F:F,Roster!B:B,"",0)</f>
        <v>Ana Moreno</v>
      </c>
      <c r="D22" s="40"/>
      <c r="E22" s="42" t="str">
        <f t="array" ref="E22">IF(XLOOKUP($A22,Partner_Tickets!$A:$A,Partner_Tickets!E:E,"",0)="Free","Free",IF(XLOOKUP($A22,Partner_Tickets!$A:$A,Partner_Tickets!E:E,"",0)="VL","VL",IF(XLOOKUP($A22,Partner_Tickets!$A:$A,Partner_Tickets!E:E,"",0)="ATT","ATT",XLOOKUP($A22,Partner_Tickets!$A:$A,Partner_Tickets!E:E,"",0))))</f>
        <v>VL</v>
      </c>
      <c r="F22" s="42" t="str">
        <f t="array" ref="F22">IF(XLOOKUP($A22,Partner_Tickets!$A:$A,Partner_Tickets!F:F,"",0)="Free","Free",IF(XLOOKUP($A22,Partner_Tickets!$A:$A,Partner_Tickets!F:F,"",0)="VL","VL",IF(XLOOKUP($A22,Partner_Tickets!$A:$A,Partner_Tickets!F:F,"",0)="ATT","ATT",XLOOKUP($A22,Partner_Tickets!$A:$A,Partner_Tickets!F:F,"",0))))</f>
        <v>VL</v>
      </c>
      <c r="G22" s="42" t="str">
        <f t="array" ref="G22">IF(XLOOKUP($A22,Partner_Tickets!$A:$A,Partner_Tickets!G:G,"",0)="Free","Free",IF(XLOOKUP($A22,Partner_Tickets!$A:$A,Partner_Tickets!G:G,"",0)="VL","VL",IF(XLOOKUP($A22,Partner_Tickets!$A:$A,Partner_Tickets!G:G,"",0)="ATT","ATT",XLOOKUP($A22,Partner_Tickets!$A:$A,Partner_Tickets!G:G,"",0))))</f>
        <v>VL</v>
      </c>
      <c r="H22" s="42" t="str">
        <f t="array" ref="H22">IF(XLOOKUP($A22,Partner_Tickets!$A:$A,Partner_Tickets!H:H,"",0)="Free","Free",IF(XLOOKUP($A22,Partner_Tickets!$A:$A,Partner_Tickets!H:H,"",0)="VL","VL",IF(XLOOKUP($A22,Partner_Tickets!$A:$A,Partner_Tickets!H:H,"",0)="ATT","ATT",XLOOKUP($A22,Partner_Tickets!$A:$A,Partner_Tickets!H:H,"",0))))</f>
        <v>VL</v>
      </c>
      <c r="I22" s="42" t="str">
        <f t="array" ref="I22">IF(XLOOKUP($A22,Partner_Tickets!$A:$A,Partner_Tickets!I:I,"",0)="Free","Free",IF(XLOOKUP($A22,Partner_Tickets!$A:$A,Partner_Tickets!I:I,"",0)="VL","VL",IF(XLOOKUP($A22,Partner_Tickets!$A:$A,Partner_Tickets!I:I,"",0)="ATT","ATT",XLOOKUP($A22,Partner_Tickets!$A:$A,Partner_Tickets!I:I,"",0))))</f>
        <v>VL</v>
      </c>
      <c r="J22" s="42" t="str">
        <f t="array" ref="J22">IF(XLOOKUP($A22,Partner_Tickets!$A:$A,Partner_Tickets!J:J,"",0)="Free","Free",IF(XLOOKUP($A22,Partner_Tickets!$A:$A,Partner_Tickets!J:J,"",0)="VL","VL",IF(XLOOKUP($A22,Partner_Tickets!$A:$A,Partner_Tickets!J:J,"",0)="ATT","ATT",XLOOKUP($A22,Partner_Tickets!$A:$A,Partner_Tickets!J:J,"",0))))</f>
        <v>VL</v>
      </c>
      <c r="K22" s="42" t="str">
        <f t="array" ref="K22">IF(XLOOKUP($A22,Partner_Tickets!$A:$A,Partner_Tickets!K:K,"",0)="Free","Free",IF(XLOOKUP($A22,Partner_Tickets!$A:$A,Partner_Tickets!K:K,"",0)="VL","VL",IF(XLOOKUP($A22,Partner_Tickets!$A:$A,Partner_Tickets!K:K,"",0)="ATT","ATT",XLOOKUP($A22,Partner_Tickets!$A:$A,Partner_Tickets!K:K,"",0))))</f>
        <v/>
      </c>
      <c r="L22" s="42" t="str">
        <f t="array" ref="L22">IF(XLOOKUP($A22,Partner_Tickets!$A:$A,Partner_Tickets!L:L,"",0)="Free","Free",IF(XLOOKUP($A22,Partner_Tickets!$A:$A,Partner_Tickets!L:L,"",0)="VL","VL",IF(XLOOKUP($A22,Partner_Tickets!$A:$A,Partner_Tickets!L:L,"",0)="ATT","ATT",XLOOKUP($A22,Partner_Tickets!$A:$A,Partner_Tickets!L:L,"",0))))</f>
        <v>VL</v>
      </c>
      <c r="M22" s="42" t="str">
        <f t="array" ref="M22">IF(XLOOKUP($A22,Partner_Tickets!$A:$A,Partner_Tickets!M:M,"",0)="Free","Free",IF(XLOOKUP($A22,Partner_Tickets!$A:$A,Partner_Tickets!M:M,"",0)="VL","VL",IF(XLOOKUP($A22,Partner_Tickets!$A:$A,Partner_Tickets!M:M,"",0)="ATT","ATT",XLOOKUP($A22,Partner_Tickets!$A:$A,Partner_Tickets!M:M,"",0))))</f>
        <v>VL</v>
      </c>
      <c r="N22" s="42" t="str">
        <f t="array" ref="N22">IF(XLOOKUP($A22,Partner_Tickets!$A:$A,Partner_Tickets!N:N,"",0)="Free","Free",IF(XLOOKUP($A22,Partner_Tickets!$A:$A,Partner_Tickets!N:N,"",0)="VL","VL",IF(XLOOKUP($A22,Partner_Tickets!$A:$A,Partner_Tickets!N:N,"",0)="ATT","ATT",XLOOKUP($A22,Partner_Tickets!$A:$A,Partner_Tickets!N:N,"",0))))</f>
        <v>VL</v>
      </c>
      <c r="O22" s="42" t="str">
        <f t="array" ref="O22">IF(XLOOKUP($A22,Partner_Tickets!$A:$A,Partner_Tickets!O:O,"",0)="Free","Free",IF(XLOOKUP($A22,Partner_Tickets!$A:$A,Partner_Tickets!O:O,"",0)="VL","VL",IF(XLOOKUP($A22,Partner_Tickets!$A:$A,Partner_Tickets!O:O,"",0)="ATT","ATT",XLOOKUP($A22,Partner_Tickets!$A:$A,Partner_Tickets!O:O,"",0))))</f>
        <v>VL</v>
      </c>
      <c r="P22" s="42" t="str">
        <f t="array" ref="P22">IF(XLOOKUP($A22,Partner_Tickets!$A:$A,Partner_Tickets!P:P,"",0)="Free","Free",IF(XLOOKUP($A22,Partner_Tickets!$A:$A,Partner_Tickets!P:P,"",0)="VL","VL",IF(XLOOKUP($A22,Partner_Tickets!$A:$A,Partner_Tickets!P:P,"",0)="ATT","ATT",XLOOKUP($A22,Partner_Tickets!$A:$A,Partner_Tickets!P:P,"",0))))</f>
        <v>VL</v>
      </c>
      <c r="Q22" s="42" t="str">
        <f t="array" ref="Q22">IF(XLOOKUP($A22,Partner_Tickets!$A:$A,Partner_Tickets!Q:Q,"",0)="Free","Free",IF(XLOOKUP($A22,Partner_Tickets!$A:$A,Partner_Tickets!Q:Q,"",0)="VL","VL",IF(XLOOKUP($A22,Partner_Tickets!$A:$A,Partner_Tickets!Q:Q,"",0)="ATT","ATT",XLOOKUP($A22,Partner_Tickets!$A:$A,Partner_Tickets!Q:Q,"",0))))</f>
        <v>VL</v>
      </c>
      <c r="R22" s="42"/>
      <c r="S22" s="42">
        <f t="array" ref="S22">IF(XLOOKUP($A22,Partner_Tickets!$A:$A,Partner_Tickets!S:S,"",0)="Free","Free",IF(XLOOKUP($A22,Partner_Tickets!$A:$A,Partner_Tickets!S:S,"",0)="VL","VL",IF(XLOOKUP($A22,Partner_Tickets!$A:$A,Partner_Tickets!S:S,"",0)="ATT","ATT",XLOOKUP($A22,Partner_Tickets!$A:$A,Partner_Tickets!S:S,"",0))))</f>
        <v>0.3333333333</v>
      </c>
      <c r="T22" s="42">
        <f t="array" ref="T22">IF(XLOOKUP($A22,Partner_Tickets!$A:$A,Partner_Tickets!T:T,"",0)="Free","Free",IF(XLOOKUP($A22,Partner_Tickets!$A:$A,Partner_Tickets!T:T,"",0)="VL","VL",IF(XLOOKUP($A22,Partner_Tickets!$A:$A,Partner_Tickets!T:T,"",0)="ATT","ATT",XLOOKUP($A22,Partner_Tickets!$A:$A,Partner_Tickets!T:T,"",0))))</f>
        <v>0.3333333333</v>
      </c>
      <c r="U22" s="42">
        <f t="array" ref="U22">IF(XLOOKUP($A22,Partner_Tickets!$A:$A,Partner_Tickets!U:U,"",0)="Free","Free",IF(XLOOKUP($A22,Partner_Tickets!$A:$A,Partner_Tickets!U:U,"",0)="VL","VL",IF(XLOOKUP($A22,Partner_Tickets!$A:$A,Partner_Tickets!U:U,"",0)="ATT","ATT",XLOOKUP($A22,Partner_Tickets!$A:$A,Partner_Tickets!U:U,"",0))))</f>
        <v>0.3333333333</v>
      </c>
      <c r="V22" s="42" t="str">
        <f t="array" ref="V22">IF(XLOOKUP($A22,Partner_Tickets!$A:$A,Partner_Tickets!V:V,"",0)="Free","Free",IF(XLOOKUP($A22,Partner_Tickets!$A:$A,Partner_Tickets!V:V,"",0)="VL","VL",IF(XLOOKUP($A22,Partner_Tickets!$A:$A,Partner_Tickets!V:V,"",0)="ATT","ATT",XLOOKUP($A22,Partner_Tickets!$A:$A,Partner_Tickets!V:V,"",0))))</f>
        <v>Free</v>
      </c>
      <c r="W22" s="42">
        <f t="array" ref="W22">IF(XLOOKUP($A22,Partner_Tickets!$A:$A,Partner_Tickets!W:W,"",0)="Free","Free",IF(XLOOKUP($A22,Partner_Tickets!$A:$A,Partner_Tickets!W:W,"",0)="VL","VL",IF(XLOOKUP($A22,Partner_Tickets!$A:$A,Partner_Tickets!W:W,"",0)="ATT","ATT",XLOOKUP($A22,Partner_Tickets!$A:$A,Partner_Tickets!W:W,"",0))))</f>
        <v>0.3333333333</v>
      </c>
      <c r="X22" s="42">
        <f t="array" ref="X22">IF(XLOOKUP($A22,Partner_Tickets!$A:$A,Partner_Tickets!X:X,"",0)="Free","Free",IF(XLOOKUP($A22,Partner_Tickets!$A:$A,Partner_Tickets!X:X,"",0)="VL","VL",IF(XLOOKUP($A22,Partner_Tickets!$A:$A,Partner_Tickets!X:X,"",0)="ATT","ATT",XLOOKUP($A22,Partner_Tickets!$A:$A,Partner_Tickets!X:X,"",0))))</f>
        <v>0.3333333333</v>
      </c>
      <c r="Y22" s="42"/>
      <c r="Z22" s="42">
        <f t="array" ref="Z22">IF(XLOOKUP($A22,Partner_Tickets!$A:$A,Partner_Tickets!Z:Z,"",0)="Free","Free",IF(XLOOKUP($A22,Partner_Tickets!$A:$A,Partner_Tickets!Z:Z,"",0)="VL","VL",IF(XLOOKUP($A22,Partner_Tickets!$A:$A,Partner_Tickets!Z:Z,"",0)="ATT","ATT",XLOOKUP($A22,Partner_Tickets!$A:$A,Partner_Tickets!Z:Z,"",0))))</f>
        <v>0.3333333333</v>
      </c>
      <c r="AA22" s="42">
        <f t="array" ref="AA22">IF(XLOOKUP($A22,Partner_Tickets!$A:$A,Partner_Tickets!AA:AA,"",0)="Free","Free",IF(XLOOKUP($A22,Partner_Tickets!$A:$A,Partner_Tickets!AA:AA,"",0)="VL","VL",IF(XLOOKUP($A22,Partner_Tickets!$A:$A,Partner_Tickets!AA:AA,"",0)="ATT","ATT",XLOOKUP($A22,Partner_Tickets!$A:$A,Partner_Tickets!AA:AA,"",0))))</f>
        <v>0.3333333333</v>
      </c>
      <c r="AB22" s="42">
        <f t="array" ref="AB22">IF(XLOOKUP($A22,Partner_Tickets!$A:$A,Partner_Tickets!AB:AB,"",0)="Free","Free",IF(XLOOKUP($A22,Partner_Tickets!$A:$A,Partner_Tickets!AB:AB,"",0)="VL","VL",IF(XLOOKUP($A22,Partner_Tickets!$A:$A,Partner_Tickets!AB:AB,"",0)="ATT","ATT",XLOOKUP($A22,Partner_Tickets!$A:$A,Partner_Tickets!AB:AB,"",0))))</f>
        <v>0.3333333333</v>
      </c>
      <c r="AC22" s="42" t="str">
        <f t="array" ref="AC22">IF(XLOOKUP($A22,Partner_Tickets!$A:$A,Partner_Tickets!AC:AC,"",0)="Free","Free",IF(XLOOKUP($A22,Partner_Tickets!$A:$A,Partner_Tickets!AC:AC,"",0)="VL","VL",IF(XLOOKUP($A22,Partner_Tickets!$A:$A,Partner_Tickets!AC:AC,"",0)="ATT","ATT",XLOOKUP($A22,Partner_Tickets!$A:$A,Partner_Tickets!AC:AC,"",0))))</f>
        <v>Free</v>
      </c>
      <c r="AD22" s="42">
        <f t="array" ref="AD22">IF(XLOOKUP($A22,Partner_Tickets!$A:$A,Partner_Tickets!AD:AD,"",0)="Free","Free",IF(XLOOKUP($A22,Partner_Tickets!$A:$A,Partner_Tickets!AD:AD,"",0)="VL","VL",IF(XLOOKUP($A22,Partner_Tickets!$A:$A,Partner_Tickets!AD:AD,"",0)="ATT","ATT",XLOOKUP($A22,Partner_Tickets!$A:$A,Partner_Tickets!AD:AD,"",0))))</f>
        <v>0.3333333333</v>
      </c>
      <c r="AE22" s="42">
        <f t="array" ref="AE22">IF(XLOOKUP($A22,Partner_Tickets!$A:$A,Partner_Tickets!AE:AE,"",0)="Free","Free",IF(XLOOKUP($A22,Partner_Tickets!$A:$A,Partner_Tickets!AE:AE,"",0)="VL","VL",IF(XLOOKUP($A22,Partner_Tickets!$A:$A,Partner_Tickets!AE:AE,"",0)="ATT","ATT",XLOOKUP($A22,Partner_Tickets!$A:$A,Partner_Tickets!AE:AE,"",0))))</f>
        <v>0.3333333333</v>
      </c>
      <c r="AF22" s="42"/>
      <c r="AG22" s="42">
        <f t="array" ref="AG22">IF(XLOOKUP($A22,Partner_Tickets!$A:$A,Partner_Tickets!AG:AG,"",0)="Free","Free",IF(XLOOKUP($A22,Partner_Tickets!$A:$A,Partner_Tickets!AG:AG,"",0)="VL","VL",IF(XLOOKUP($A22,Partner_Tickets!$A:$A,Partner_Tickets!AG:AG,"",0)="ATT","ATT",XLOOKUP($A22,Partner_Tickets!$A:$A,Partner_Tickets!AG:AG,"",0))))</f>
        <v>0.3333333333</v>
      </c>
      <c r="AH22" s="42">
        <f t="array" ref="AH22">IF(XLOOKUP($A22,Partner_Tickets!$A:$A,Partner_Tickets!AH:AH,"",0)="Free","Free",IF(XLOOKUP($A22,Partner_Tickets!$A:$A,Partner_Tickets!AH:AH,"",0)="VL","VL",IF(XLOOKUP($A22,Partner_Tickets!$A:$A,Partner_Tickets!AH:AH,"",0)="ATT","ATT",XLOOKUP($A22,Partner_Tickets!$A:$A,Partner_Tickets!AH:AH,"",0))))</f>
        <v>0.3333333333</v>
      </c>
      <c r="AI22" s="42">
        <f t="array" ref="AI22">IF(XLOOKUP($A22,Partner_Tickets!$A:$A,Partner_Tickets!AI:AI,"",0)="Free","Free",IF(XLOOKUP($A22,Partner_Tickets!$A:$A,Partner_Tickets!AI:AI,"",0)="VL","VL",IF(XLOOKUP($A22,Partner_Tickets!$A:$A,Partner_Tickets!AI:AI,"",0)="ATT","ATT",XLOOKUP($A22,Partner_Tickets!$A:$A,Partner_Tickets!AI:AI,"",0))))</f>
        <v>0.3333333333</v>
      </c>
      <c r="AJ22" s="42" t="str">
        <f t="array" ref="AJ22">IF(XLOOKUP($A22,Partner_Tickets!$A:$A,Partner_Tickets!AJ:AJ,"",0)="Free","Free",IF(XLOOKUP($A22,Partner_Tickets!$A:$A,Partner_Tickets!AJ:AJ,"",0)="VL","VL",IF(XLOOKUP($A22,Partner_Tickets!$A:$A,Partner_Tickets!AJ:AJ,"",0)="ATT","ATT",XLOOKUP($A22,Partner_Tickets!$A:$A,Partner_Tickets!AJ:AJ,"",0))))</f>
        <v>Free</v>
      </c>
      <c r="AK22" s="42">
        <f t="array" ref="AK22">IF(XLOOKUP($A22,Partner_Tickets!$A:$A,Partner_Tickets!AK:AK,"",0)="Free","Free",IF(XLOOKUP($A22,Partner_Tickets!$A:$A,Partner_Tickets!AK:AK,"",0)="VL","VL",IF(XLOOKUP($A22,Partner_Tickets!$A:$A,Partner_Tickets!AK:AK,"",0)="ATT","ATT",XLOOKUP($A22,Partner_Tickets!$A:$A,Partner_Tickets!AK:AK,"",0))))</f>
        <v>0.3333333333</v>
      </c>
      <c r="AL22" s="42">
        <f t="array" ref="AL22">IF(XLOOKUP($A22,Partner_Tickets!$A:$A,Partner_Tickets!AL:AL,"",0)="Free","Free",IF(XLOOKUP($A22,Partner_Tickets!$A:$A,Partner_Tickets!AL:AL,"",0)="VL","VL",IF(XLOOKUP($A22,Partner_Tickets!$A:$A,Partner_Tickets!AL:AL,"",0)="ATT","ATT",XLOOKUP($A22,Partner_Tickets!$A:$A,Partner_Tickets!AL:AL,"",0))))</f>
        <v>0.3333333333</v>
      </c>
      <c r="AM22" s="42"/>
    </row>
    <row r="23">
      <c r="A23" s="40" t="s">
        <v>155</v>
      </c>
      <c r="B23" s="44" t="str">
        <f t="array" ref="B23">XLOOKUP(A23,Roster!F:F,Roster!A:A,"",0)</f>
        <v>Edward Machado</v>
      </c>
      <c r="C23" s="44" t="str">
        <f t="array" ref="C23">XLOOKUP(A23,Roster!F:F,Roster!B:B,"",0)</f>
        <v>Beatriz Montanez</v>
      </c>
      <c r="D23" s="40"/>
      <c r="E23" s="42">
        <f t="array" ref="E23">IF(XLOOKUP($A23,Partner_Tickets!$A:$A,Partner_Tickets!E:E,"",0)="Free","Free",IF(XLOOKUP($A23,Partner_Tickets!$A:$A,Partner_Tickets!E:E,"",0)="VL","VL",IF(XLOOKUP($A23,Partner_Tickets!$A:$A,Partner_Tickets!E:E,"",0)="ATT","ATT",XLOOKUP($A23,Partner_Tickets!$A:$A,Partner_Tickets!E:E,"",0))))</f>
        <v>0.3333333333</v>
      </c>
      <c r="F23" s="42">
        <f t="array" ref="F23">IF(XLOOKUP($A23,Partner_Tickets!$A:$A,Partner_Tickets!F:F,"",0)="Free","Free",IF(XLOOKUP($A23,Partner_Tickets!$A:$A,Partner_Tickets!F:F,"",0)="VL","VL",IF(XLOOKUP($A23,Partner_Tickets!$A:$A,Partner_Tickets!F:F,"",0)="ATT","ATT",XLOOKUP($A23,Partner_Tickets!$A:$A,Partner_Tickets!F:F,"",0))))</f>
        <v>0.2916666667</v>
      </c>
      <c r="G23" s="42">
        <f t="array" ref="G23">IF(XLOOKUP($A23,Partner_Tickets!$A:$A,Partner_Tickets!G:G,"",0)="Free","Free",IF(XLOOKUP($A23,Partner_Tickets!$A:$A,Partner_Tickets!G:G,"",0)="VL","VL",IF(XLOOKUP($A23,Partner_Tickets!$A:$A,Partner_Tickets!G:G,"",0)="ATT","ATT",XLOOKUP($A23,Partner_Tickets!$A:$A,Partner_Tickets!G:G,"",0))))</f>
        <v>0.3333333333</v>
      </c>
      <c r="H23" s="42" t="str">
        <f t="array" ref="H23">IF(XLOOKUP($A23,Partner_Tickets!$A:$A,Partner_Tickets!H:H,"",0)="Free","Free",IF(XLOOKUP($A23,Partner_Tickets!$A:$A,Partner_Tickets!H:H,"",0)="VL","VL",IF(XLOOKUP($A23,Partner_Tickets!$A:$A,Partner_Tickets!H:H,"",0)="ATT","ATT",XLOOKUP($A23,Partner_Tickets!$A:$A,Partner_Tickets!H:H,"",0))))</f>
        <v>Free</v>
      </c>
      <c r="I23" s="42">
        <f t="array" ref="I23">IF(XLOOKUP($A23,Partner_Tickets!$A:$A,Partner_Tickets!I:I,"",0)="Free","Free",IF(XLOOKUP($A23,Partner_Tickets!$A:$A,Partner_Tickets!I:I,"",0)="VL","VL",IF(XLOOKUP($A23,Partner_Tickets!$A:$A,Partner_Tickets!I:I,"",0)="ATT","ATT",XLOOKUP($A23,Partner_Tickets!$A:$A,Partner_Tickets!I:I,"",0))))</f>
        <v>0.3333333333</v>
      </c>
      <c r="J23" s="42">
        <f t="array" ref="J23">IF(XLOOKUP($A23,Partner_Tickets!$A:$A,Partner_Tickets!J:J,"",0)="Free","Free",IF(XLOOKUP($A23,Partner_Tickets!$A:$A,Partner_Tickets!J:J,"",0)="VL","VL",IF(XLOOKUP($A23,Partner_Tickets!$A:$A,Partner_Tickets!J:J,"",0)="ATT","ATT",XLOOKUP($A23,Partner_Tickets!$A:$A,Partner_Tickets!J:J,"",0))))</f>
        <v>0.3333333333</v>
      </c>
      <c r="K23" s="42" t="str">
        <f t="array" ref="K23">IF(XLOOKUP($A23,Partner_Tickets!$A:$A,Partner_Tickets!K:K,"",0)="Free","Free",IF(XLOOKUP($A23,Partner_Tickets!$A:$A,Partner_Tickets!K:K,"",0)="VL","VL",IF(XLOOKUP($A23,Partner_Tickets!$A:$A,Partner_Tickets!K:K,"",0)="ATT","ATT",XLOOKUP($A23,Partner_Tickets!$A:$A,Partner_Tickets!K:K,"",0))))</f>
        <v/>
      </c>
      <c r="L23" s="42">
        <f t="array" ref="L23">IF(XLOOKUP($A23,Partner_Tickets!$A:$A,Partner_Tickets!L:L,"",0)="Free","Free",IF(XLOOKUP($A23,Partner_Tickets!$A:$A,Partner_Tickets!L:L,"",0)="VL","VL",IF(XLOOKUP($A23,Partner_Tickets!$A:$A,Partner_Tickets!L:L,"",0)="ATT","ATT",XLOOKUP($A23,Partner_Tickets!$A:$A,Partner_Tickets!L:L,"",0))))</f>
        <v>0.3333333333</v>
      </c>
      <c r="M23" s="42">
        <f t="array" ref="M23">IF(XLOOKUP($A23,Partner_Tickets!$A:$A,Partner_Tickets!M:M,"",0)="Free","Free",IF(XLOOKUP($A23,Partner_Tickets!$A:$A,Partner_Tickets!M:M,"",0)="VL","VL",IF(XLOOKUP($A23,Partner_Tickets!$A:$A,Partner_Tickets!M:M,"",0)="ATT","ATT",XLOOKUP($A23,Partner_Tickets!$A:$A,Partner_Tickets!M:M,"",0))))</f>
        <v>0.3333333333</v>
      </c>
      <c r="N23" s="42">
        <f t="array" ref="N23">IF(XLOOKUP($A23,Partner_Tickets!$A:$A,Partner_Tickets!N:N,"",0)="Free","Free",IF(XLOOKUP($A23,Partner_Tickets!$A:$A,Partner_Tickets!N:N,"",0)="VL","VL",IF(XLOOKUP($A23,Partner_Tickets!$A:$A,Partner_Tickets!N:N,"",0)="ATT","ATT",XLOOKUP($A23,Partner_Tickets!$A:$A,Partner_Tickets!N:N,"",0))))</f>
        <v>0.3333333333</v>
      </c>
      <c r="O23" s="42" t="str">
        <f t="array" ref="O23">IF(XLOOKUP($A23,Partner_Tickets!$A:$A,Partner_Tickets!O:O,"",0)="Free","Free",IF(XLOOKUP($A23,Partner_Tickets!$A:$A,Partner_Tickets!O:O,"",0)="VL","VL",IF(XLOOKUP($A23,Partner_Tickets!$A:$A,Partner_Tickets!O:O,"",0)="ATT","ATT",XLOOKUP($A23,Partner_Tickets!$A:$A,Partner_Tickets!O:O,"",0))))</f>
        <v>Free</v>
      </c>
      <c r="P23" s="42">
        <f t="array" ref="P23">IF(XLOOKUP($A23,Partner_Tickets!$A:$A,Partner_Tickets!P:P,"",0)="Free","Free",IF(XLOOKUP($A23,Partner_Tickets!$A:$A,Partner_Tickets!P:P,"",0)="VL","VL",IF(XLOOKUP($A23,Partner_Tickets!$A:$A,Partner_Tickets!P:P,"",0)="ATT","ATT",XLOOKUP($A23,Partner_Tickets!$A:$A,Partner_Tickets!P:P,"",0))))</f>
        <v>0.3333333333</v>
      </c>
      <c r="Q23" s="42">
        <f t="array" ref="Q23">IF(XLOOKUP($A23,Partner_Tickets!$A:$A,Partner_Tickets!Q:Q,"",0)="Free","Free",IF(XLOOKUP($A23,Partner_Tickets!$A:$A,Partner_Tickets!Q:Q,"",0)="VL","VL",IF(XLOOKUP($A23,Partner_Tickets!$A:$A,Partner_Tickets!Q:Q,"",0)="ATT","ATT",XLOOKUP($A23,Partner_Tickets!$A:$A,Partner_Tickets!Q:Q,"",0))))</f>
        <v>0.3333333333</v>
      </c>
      <c r="R23" s="42"/>
      <c r="S23" s="42">
        <f t="array" ref="S23">IF(XLOOKUP($A23,Partner_Tickets!$A:$A,Partner_Tickets!S:S,"",0)="Free","Free",IF(XLOOKUP($A23,Partner_Tickets!$A:$A,Partner_Tickets!S:S,"",0)="VL","VL",IF(XLOOKUP($A23,Partner_Tickets!$A:$A,Partner_Tickets!S:S,"",0)="ATT","ATT",XLOOKUP($A23,Partner_Tickets!$A:$A,Partner_Tickets!S:S,"",0))))</f>
        <v>0.3333333333</v>
      </c>
      <c r="T23" s="42">
        <f t="array" ref="T23">IF(XLOOKUP($A23,Partner_Tickets!$A:$A,Partner_Tickets!T:T,"",0)="Free","Free",IF(XLOOKUP($A23,Partner_Tickets!$A:$A,Partner_Tickets!T:T,"",0)="VL","VL",IF(XLOOKUP($A23,Partner_Tickets!$A:$A,Partner_Tickets!T:T,"",0)="ATT","ATT",XLOOKUP($A23,Partner_Tickets!$A:$A,Partner_Tickets!T:T,"",0))))</f>
        <v>0.3333333333</v>
      </c>
      <c r="U23" s="42">
        <f t="array" ref="U23">IF(XLOOKUP($A23,Partner_Tickets!$A:$A,Partner_Tickets!U:U,"",0)="Free","Free",IF(XLOOKUP($A23,Partner_Tickets!$A:$A,Partner_Tickets!U:U,"",0)="VL","VL",IF(XLOOKUP($A23,Partner_Tickets!$A:$A,Partner_Tickets!U:U,"",0)="ATT","ATT",XLOOKUP($A23,Partner_Tickets!$A:$A,Partner_Tickets!U:U,"",0))))</f>
        <v>0.3333333333</v>
      </c>
      <c r="V23" s="42" t="str">
        <f t="array" ref="V23">IF(XLOOKUP($A23,Partner_Tickets!$A:$A,Partner_Tickets!V:V,"",0)="Free","Free",IF(XLOOKUP($A23,Partner_Tickets!$A:$A,Partner_Tickets!V:V,"",0)="VL","VL",IF(XLOOKUP($A23,Partner_Tickets!$A:$A,Partner_Tickets!V:V,"",0)="ATT","ATT",XLOOKUP($A23,Partner_Tickets!$A:$A,Partner_Tickets!V:V,"",0))))</f>
        <v>Free</v>
      </c>
      <c r="W23" s="42">
        <f t="array" ref="W23">IF(XLOOKUP($A23,Partner_Tickets!$A:$A,Partner_Tickets!W:W,"",0)="Free","Free",IF(XLOOKUP($A23,Partner_Tickets!$A:$A,Partner_Tickets!W:W,"",0)="VL","VL",IF(XLOOKUP($A23,Partner_Tickets!$A:$A,Partner_Tickets!W:W,"",0)="ATT","ATT",XLOOKUP($A23,Partner_Tickets!$A:$A,Partner_Tickets!W:W,"",0))))</f>
        <v>0.3333333333</v>
      </c>
      <c r="X23" s="42">
        <f t="array" ref="X23">IF(XLOOKUP($A23,Partner_Tickets!$A:$A,Partner_Tickets!X:X,"",0)="Free","Free",IF(XLOOKUP($A23,Partner_Tickets!$A:$A,Partner_Tickets!X:X,"",0)="VL","VL",IF(XLOOKUP($A23,Partner_Tickets!$A:$A,Partner_Tickets!X:X,"",0)="ATT","ATT",XLOOKUP($A23,Partner_Tickets!$A:$A,Partner_Tickets!X:X,"",0))))</f>
        <v>0.3333333333</v>
      </c>
      <c r="Y23" s="42"/>
      <c r="Z23" s="42">
        <f t="array" ref="Z23">IF(XLOOKUP($A23,Partner_Tickets!$A:$A,Partner_Tickets!Z:Z,"",0)="Free","Free",IF(XLOOKUP($A23,Partner_Tickets!$A:$A,Partner_Tickets!Z:Z,"",0)="VL","VL",IF(XLOOKUP($A23,Partner_Tickets!$A:$A,Partner_Tickets!Z:Z,"",0)="ATT","ATT",XLOOKUP($A23,Partner_Tickets!$A:$A,Partner_Tickets!Z:Z,"",0))))</f>
        <v>0.3333333333</v>
      </c>
      <c r="AA23" s="42">
        <f t="array" ref="AA23">IF(XLOOKUP($A23,Partner_Tickets!$A:$A,Partner_Tickets!AA:AA,"",0)="Free","Free",IF(XLOOKUP($A23,Partner_Tickets!$A:$A,Partner_Tickets!AA:AA,"",0)="VL","VL",IF(XLOOKUP($A23,Partner_Tickets!$A:$A,Partner_Tickets!AA:AA,"",0)="ATT","ATT",XLOOKUP($A23,Partner_Tickets!$A:$A,Partner_Tickets!AA:AA,"",0))))</f>
        <v>0.3333333333</v>
      </c>
      <c r="AB23" s="42">
        <f t="array" ref="AB23">IF(XLOOKUP($A23,Partner_Tickets!$A:$A,Partner_Tickets!AB:AB,"",0)="Free","Free",IF(XLOOKUP($A23,Partner_Tickets!$A:$A,Partner_Tickets!AB:AB,"",0)="VL","VL",IF(XLOOKUP($A23,Partner_Tickets!$A:$A,Partner_Tickets!AB:AB,"",0)="ATT","ATT",XLOOKUP($A23,Partner_Tickets!$A:$A,Partner_Tickets!AB:AB,"",0))))</f>
        <v>0.3333333333</v>
      </c>
      <c r="AC23" s="42" t="str">
        <f t="array" ref="AC23">IF(XLOOKUP($A23,Partner_Tickets!$A:$A,Partner_Tickets!AC:AC,"",0)="Free","Free",IF(XLOOKUP($A23,Partner_Tickets!$A:$A,Partner_Tickets!AC:AC,"",0)="VL","VL",IF(XLOOKUP($A23,Partner_Tickets!$A:$A,Partner_Tickets!AC:AC,"",0)="ATT","ATT",XLOOKUP($A23,Partner_Tickets!$A:$A,Partner_Tickets!AC:AC,"",0))))</f>
        <v>Free</v>
      </c>
      <c r="AD23" s="42">
        <f t="array" ref="AD23">IF(XLOOKUP($A23,Partner_Tickets!$A:$A,Partner_Tickets!AD:AD,"",0)="Free","Free",IF(XLOOKUP($A23,Partner_Tickets!$A:$A,Partner_Tickets!AD:AD,"",0)="VL","VL",IF(XLOOKUP($A23,Partner_Tickets!$A:$A,Partner_Tickets!AD:AD,"",0)="ATT","ATT",XLOOKUP($A23,Partner_Tickets!$A:$A,Partner_Tickets!AD:AD,"",0))))</f>
        <v>0.3333333333</v>
      </c>
      <c r="AE23" s="42">
        <f t="array" ref="AE23">IF(XLOOKUP($A23,Partner_Tickets!$A:$A,Partner_Tickets!AE:AE,"",0)="Free","Free",IF(XLOOKUP($A23,Partner_Tickets!$A:$A,Partner_Tickets!AE:AE,"",0)="VL","VL",IF(XLOOKUP($A23,Partner_Tickets!$A:$A,Partner_Tickets!AE:AE,"",0)="ATT","ATT",XLOOKUP($A23,Partner_Tickets!$A:$A,Partner_Tickets!AE:AE,"",0))))</f>
        <v>0.3333333333</v>
      </c>
      <c r="AF23" s="42"/>
      <c r="AG23" s="42">
        <f t="array" ref="AG23">IF(XLOOKUP($A23,Partner_Tickets!$A:$A,Partner_Tickets!AG:AG,"",0)="Free","Free",IF(XLOOKUP($A23,Partner_Tickets!$A:$A,Partner_Tickets!AG:AG,"",0)="VL","VL",IF(XLOOKUP($A23,Partner_Tickets!$A:$A,Partner_Tickets!AG:AG,"",0)="ATT","ATT",XLOOKUP($A23,Partner_Tickets!$A:$A,Partner_Tickets!AG:AG,"",0))))</f>
        <v>0.3333333333</v>
      </c>
      <c r="AH23" s="42">
        <f t="array" ref="AH23">IF(XLOOKUP($A23,Partner_Tickets!$A:$A,Partner_Tickets!AH:AH,"",0)="Free","Free",IF(XLOOKUP($A23,Partner_Tickets!$A:$A,Partner_Tickets!AH:AH,"",0)="VL","VL",IF(XLOOKUP($A23,Partner_Tickets!$A:$A,Partner_Tickets!AH:AH,"",0)="ATT","ATT",XLOOKUP($A23,Partner_Tickets!$A:$A,Partner_Tickets!AH:AH,"",0))))</f>
        <v>0.3333333333</v>
      </c>
      <c r="AI23" s="42">
        <f t="array" ref="AI23">IF(XLOOKUP($A23,Partner_Tickets!$A:$A,Partner_Tickets!AI:AI,"",0)="Free","Free",IF(XLOOKUP($A23,Partner_Tickets!$A:$A,Partner_Tickets!AI:AI,"",0)="VL","VL",IF(XLOOKUP($A23,Partner_Tickets!$A:$A,Partner_Tickets!AI:AI,"",0)="ATT","ATT",XLOOKUP($A23,Partner_Tickets!$A:$A,Partner_Tickets!AI:AI,"",0))))</f>
        <v>0.3333333333</v>
      </c>
      <c r="AJ23" s="42" t="str">
        <f t="array" ref="AJ23">IF(XLOOKUP($A23,Partner_Tickets!$A:$A,Partner_Tickets!AJ:AJ,"",0)="Free","Free",IF(XLOOKUP($A23,Partner_Tickets!$A:$A,Partner_Tickets!AJ:AJ,"",0)="VL","VL",IF(XLOOKUP($A23,Partner_Tickets!$A:$A,Partner_Tickets!AJ:AJ,"",0)="ATT","ATT",XLOOKUP($A23,Partner_Tickets!$A:$A,Partner_Tickets!AJ:AJ,"",0))))</f>
        <v>Free</v>
      </c>
      <c r="AK23" s="42">
        <f t="array" ref="AK23">IF(XLOOKUP($A23,Partner_Tickets!$A:$A,Partner_Tickets!AK:AK,"",0)="Free","Free",IF(XLOOKUP($A23,Partner_Tickets!$A:$A,Partner_Tickets!AK:AK,"",0)="VL","VL",IF(XLOOKUP($A23,Partner_Tickets!$A:$A,Partner_Tickets!AK:AK,"",0)="ATT","ATT",XLOOKUP($A23,Partner_Tickets!$A:$A,Partner_Tickets!AK:AK,"",0))))</f>
        <v>0.3333333333</v>
      </c>
      <c r="AL23" s="42">
        <f t="array" ref="AL23">IF(XLOOKUP($A23,Partner_Tickets!$A:$A,Partner_Tickets!AL:AL,"",0)="Free","Free",IF(XLOOKUP($A23,Partner_Tickets!$A:$A,Partner_Tickets!AL:AL,"",0)="VL","VL",IF(XLOOKUP($A23,Partner_Tickets!$A:$A,Partner_Tickets!AL:AL,"",0)="ATT","ATT",XLOOKUP($A23,Partner_Tickets!$A:$A,Partner_Tickets!AL:AL,"",0))))</f>
        <v>0.3333333333</v>
      </c>
      <c r="AM23" s="42"/>
    </row>
    <row r="24">
      <c r="A24" s="43" t="s">
        <v>156</v>
      </c>
      <c r="B24" s="44" t="str">
        <f t="array" ref="B24">XLOOKUP(A24,Roster!F:F,Roster!A:A,"",0)</f>
        <v>Edward Machado</v>
      </c>
      <c r="C24" s="44" t="str">
        <f t="array" ref="C24">XLOOKUP(A24,Roster!F:F,Roster!B:B,"",0)</f>
        <v>Dahiana Cano</v>
      </c>
      <c r="D24" s="40"/>
      <c r="E24" s="42">
        <f t="array" ref="E24">IF(XLOOKUP($A24,Partner_Tickets!$A:$A,Partner_Tickets!E:E,"",0)="Free","Free",IF(XLOOKUP($A24,Partner_Tickets!$A:$A,Partner_Tickets!E:E,"",0)="VL","VL",IF(XLOOKUP($A24,Partner_Tickets!$A:$A,Partner_Tickets!E:E,"",0)="ATT","ATT",XLOOKUP($A24,Partner_Tickets!$A:$A,Partner_Tickets!E:E,"",0))))</f>
        <v>0.3333333333</v>
      </c>
      <c r="F24" s="42">
        <f t="array" ref="F24">IF(XLOOKUP($A24,Partner_Tickets!$A:$A,Partner_Tickets!F:F,"",0)="Free","Free",IF(XLOOKUP($A24,Partner_Tickets!$A:$A,Partner_Tickets!F:F,"",0)="VL","VL",IF(XLOOKUP($A24,Partner_Tickets!$A:$A,Partner_Tickets!F:F,"",0)="ATT","ATT",XLOOKUP($A24,Partner_Tickets!$A:$A,Partner_Tickets!F:F,"",0))))</f>
        <v>0.3333333333</v>
      </c>
      <c r="G24" s="42">
        <f t="array" ref="G24">IF(XLOOKUP($A24,Partner_Tickets!$A:$A,Partner_Tickets!G:G,"",0)="Free","Free",IF(XLOOKUP($A24,Partner_Tickets!$A:$A,Partner_Tickets!G:G,"",0)="VL","VL",IF(XLOOKUP($A24,Partner_Tickets!$A:$A,Partner_Tickets!G:G,"",0)="ATT","ATT",XLOOKUP($A24,Partner_Tickets!$A:$A,Partner_Tickets!G:G,"",0))))</f>
        <v>0.3333333333</v>
      </c>
      <c r="H24" s="42" t="str">
        <f t="array" ref="H24">IF(XLOOKUP($A24,Partner_Tickets!$A:$A,Partner_Tickets!H:H,"",0)="Free","Free",IF(XLOOKUP($A24,Partner_Tickets!$A:$A,Partner_Tickets!H:H,"",0)="VL","VL",IF(XLOOKUP($A24,Partner_Tickets!$A:$A,Partner_Tickets!H:H,"",0)="ATT","ATT",XLOOKUP($A24,Partner_Tickets!$A:$A,Partner_Tickets!H:H,"",0))))</f>
        <v>Free</v>
      </c>
      <c r="I24" s="42">
        <f t="array" ref="I24">IF(XLOOKUP($A24,Partner_Tickets!$A:$A,Partner_Tickets!I:I,"",0)="Free","Free",IF(XLOOKUP($A24,Partner_Tickets!$A:$A,Partner_Tickets!I:I,"",0)="VL","VL",IF(XLOOKUP($A24,Partner_Tickets!$A:$A,Partner_Tickets!I:I,"",0)="ATT","ATT",XLOOKUP($A24,Partner_Tickets!$A:$A,Partner_Tickets!I:I,"",0))))</f>
        <v>0.3333333333</v>
      </c>
      <c r="J24" s="42">
        <f t="array" ref="J24">IF(XLOOKUP($A24,Partner_Tickets!$A:$A,Partner_Tickets!J:J,"",0)="Free","Free",IF(XLOOKUP($A24,Partner_Tickets!$A:$A,Partner_Tickets!J:J,"",0)="VL","VL",IF(XLOOKUP($A24,Partner_Tickets!$A:$A,Partner_Tickets!J:J,"",0)="ATT","ATT",XLOOKUP($A24,Partner_Tickets!$A:$A,Partner_Tickets!J:J,"",0))))</f>
        <v>0.3333333333</v>
      </c>
      <c r="K24" s="42" t="str">
        <f t="array" ref="K24">IF(XLOOKUP($A24,Partner_Tickets!$A:$A,Partner_Tickets!K:K,"",0)="Free","Free",IF(XLOOKUP($A24,Partner_Tickets!$A:$A,Partner_Tickets!K:K,"",0)="VL","VL",IF(XLOOKUP($A24,Partner_Tickets!$A:$A,Partner_Tickets!K:K,"",0)="ATT","ATT",XLOOKUP($A24,Partner_Tickets!$A:$A,Partner_Tickets!K:K,"",0))))</f>
        <v/>
      </c>
      <c r="L24" s="42">
        <f t="array" ref="L24">IF(XLOOKUP($A24,Partner_Tickets!$A:$A,Partner_Tickets!L:L,"",0)="Free","Free",IF(XLOOKUP($A24,Partner_Tickets!$A:$A,Partner_Tickets!L:L,"",0)="VL","VL",IF(XLOOKUP($A24,Partner_Tickets!$A:$A,Partner_Tickets!L:L,"",0)="ATT","ATT",XLOOKUP($A24,Partner_Tickets!$A:$A,Partner_Tickets!L:L,"",0))))</f>
        <v>0.3333333333</v>
      </c>
      <c r="M24" s="42">
        <f t="array" ref="M24">IF(XLOOKUP($A24,Partner_Tickets!$A:$A,Partner_Tickets!M:M,"",0)="Free","Free",IF(XLOOKUP($A24,Partner_Tickets!$A:$A,Partner_Tickets!M:M,"",0)="VL","VL",IF(XLOOKUP($A24,Partner_Tickets!$A:$A,Partner_Tickets!M:M,"",0)="ATT","ATT",XLOOKUP($A24,Partner_Tickets!$A:$A,Partner_Tickets!M:M,"",0))))</f>
        <v>0.3333333333</v>
      </c>
      <c r="N24" s="42" t="str">
        <f t="array" ref="N24">IF(XLOOKUP($A24,Partner_Tickets!$A:$A,Partner_Tickets!N:N,"",0)="Free","Free",IF(XLOOKUP($A24,Partner_Tickets!$A:$A,Partner_Tickets!N:N,"",0)="VL","VL",IF(XLOOKUP($A24,Partner_Tickets!$A:$A,Partner_Tickets!N:N,"",0)="ATT","ATT",XLOOKUP($A24,Partner_Tickets!$A:$A,Partner_Tickets!N:N,"",0))))</f>
        <v>Free</v>
      </c>
      <c r="O24" s="42">
        <f t="array" ref="O24">IF(XLOOKUP($A24,Partner_Tickets!$A:$A,Partner_Tickets!O:O,"",0)="Free","Free",IF(XLOOKUP($A24,Partner_Tickets!$A:$A,Partner_Tickets!O:O,"",0)="VL","VL",IF(XLOOKUP($A24,Partner_Tickets!$A:$A,Partner_Tickets!O:O,"",0)="ATT","ATT",XLOOKUP($A24,Partner_Tickets!$A:$A,Partner_Tickets!O:O,"",0))))</f>
        <v>0.3333333333</v>
      </c>
      <c r="P24" s="42">
        <f t="array" ref="P24">IF(XLOOKUP($A24,Partner_Tickets!$A:$A,Partner_Tickets!P:P,"",0)="Free","Free",IF(XLOOKUP($A24,Partner_Tickets!$A:$A,Partner_Tickets!P:P,"",0)="VL","VL",IF(XLOOKUP($A24,Partner_Tickets!$A:$A,Partner_Tickets!P:P,"",0)="ATT","ATT",XLOOKUP($A24,Partner_Tickets!$A:$A,Partner_Tickets!P:P,"",0))))</f>
        <v>0.3333333333</v>
      </c>
      <c r="Q24" s="42">
        <f t="array" ref="Q24">IF(XLOOKUP($A24,Partner_Tickets!$A:$A,Partner_Tickets!Q:Q,"",0)="Free","Free",IF(XLOOKUP($A24,Partner_Tickets!$A:$A,Partner_Tickets!Q:Q,"",0)="VL","VL",IF(XLOOKUP($A24,Partner_Tickets!$A:$A,Partner_Tickets!Q:Q,"",0)="ATT","ATT",XLOOKUP($A24,Partner_Tickets!$A:$A,Partner_Tickets!Q:Q,"",0))))</f>
        <v>0.3333333333</v>
      </c>
      <c r="R24" s="42"/>
      <c r="S24" s="42">
        <f t="array" ref="S24">IF(XLOOKUP($A24,Partner_Tickets!$A:$A,Partner_Tickets!S:S,"",0)="Free","Free",IF(XLOOKUP($A24,Partner_Tickets!$A:$A,Partner_Tickets!S:S,"",0)="VL","VL",IF(XLOOKUP($A24,Partner_Tickets!$A:$A,Partner_Tickets!S:S,"",0)="ATT","ATT",XLOOKUP($A24,Partner_Tickets!$A:$A,Partner_Tickets!S:S,"",0))))</f>
        <v>0.3333333333</v>
      </c>
      <c r="T24" s="42">
        <f t="array" ref="T24">IF(XLOOKUP($A24,Partner_Tickets!$A:$A,Partner_Tickets!T:T,"",0)="Free","Free",IF(XLOOKUP($A24,Partner_Tickets!$A:$A,Partner_Tickets!T:T,"",0)="VL","VL",IF(XLOOKUP($A24,Partner_Tickets!$A:$A,Partner_Tickets!T:T,"",0)="ATT","ATT",XLOOKUP($A24,Partner_Tickets!$A:$A,Partner_Tickets!T:T,"",0))))</f>
        <v>0.3333333333</v>
      </c>
      <c r="U24" s="42" t="str">
        <f t="array" ref="U24">IF(XLOOKUP($A24,Partner_Tickets!$A:$A,Partner_Tickets!U:U,"",0)="Free","Free",IF(XLOOKUP($A24,Partner_Tickets!$A:$A,Partner_Tickets!U:U,"",0)="VL","VL",IF(XLOOKUP($A24,Partner_Tickets!$A:$A,Partner_Tickets!U:U,"",0)="ATT","ATT",XLOOKUP($A24,Partner_Tickets!$A:$A,Partner_Tickets!U:U,"",0))))</f>
        <v>Free</v>
      </c>
      <c r="V24" s="42">
        <f t="array" ref="V24">IF(XLOOKUP($A24,Partner_Tickets!$A:$A,Partner_Tickets!V:V,"",0)="Free","Free",IF(XLOOKUP($A24,Partner_Tickets!$A:$A,Partner_Tickets!V:V,"",0)="VL","VL",IF(XLOOKUP($A24,Partner_Tickets!$A:$A,Partner_Tickets!V:V,"",0)="ATT","ATT",XLOOKUP($A24,Partner_Tickets!$A:$A,Partner_Tickets!V:V,"",0))))</f>
        <v>0.3333333333</v>
      </c>
      <c r="W24" s="42">
        <f t="array" ref="W24">IF(XLOOKUP($A24,Partner_Tickets!$A:$A,Partner_Tickets!W:W,"",0)="Free","Free",IF(XLOOKUP($A24,Partner_Tickets!$A:$A,Partner_Tickets!W:W,"",0)="VL","VL",IF(XLOOKUP($A24,Partner_Tickets!$A:$A,Partner_Tickets!W:W,"",0)="ATT","ATT",XLOOKUP($A24,Partner_Tickets!$A:$A,Partner_Tickets!W:W,"",0))))</f>
        <v>0.3333333333</v>
      </c>
      <c r="X24" s="42">
        <f t="array" ref="X24">IF(XLOOKUP($A24,Partner_Tickets!$A:$A,Partner_Tickets!X:X,"",0)="Free","Free",IF(XLOOKUP($A24,Partner_Tickets!$A:$A,Partner_Tickets!X:X,"",0)="VL","VL",IF(XLOOKUP($A24,Partner_Tickets!$A:$A,Partner_Tickets!X:X,"",0)="ATT","ATT",XLOOKUP($A24,Partner_Tickets!$A:$A,Partner_Tickets!X:X,"",0))))</f>
        <v>0.3333333333</v>
      </c>
      <c r="Y24" s="42"/>
      <c r="Z24" s="42">
        <f t="array" ref="Z24">IF(XLOOKUP($A24,Partner_Tickets!$A:$A,Partner_Tickets!Z:Z,"",0)="Free","Free",IF(XLOOKUP($A24,Partner_Tickets!$A:$A,Partner_Tickets!Z:Z,"",0)="VL","VL",IF(XLOOKUP($A24,Partner_Tickets!$A:$A,Partner_Tickets!Z:Z,"",0)="ATT","ATT",XLOOKUP($A24,Partner_Tickets!$A:$A,Partner_Tickets!Z:Z,"",0))))</f>
        <v>0.3333333333</v>
      </c>
      <c r="AA24" s="42">
        <f t="array" ref="AA24">IF(XLOOKUP($A24,Partner_Tickets!$A:$A,Partner_Tickets!AA:AA,"",0)="Free","Free",IF(XLOOKUP($A24,Partner_Tickets!$A:$A,Partner_Tickets!AA:AA,"",0)="VL","VL",IF(XLOOKUP($A24,Partner_Tickets!$A:$A,Partner_Tickets!AA:AA,"",0)="ATT","ATT",XLOOKUP($A24,Partner_Tickets!$A:$A,Partner_Tickets!AA:AA,"",0))))</f>
        <v>0.3333333333</v>
      </c>
      <c r="AB24" s="42" t="str">
        <f t="array" ref="AB24">IF(XLOOKUP($A24,Partner_Tickets!$A:$A,Partner_Tickets!AB:AB,"",0)="Free","Free",IF(XLOOKUP($A24,Partner_Tickets!$A:$A,Partner_Tickets!AB:AB,"",0)="VL","VL",IF(XLOOKUP($A24,Partner_Tickets!$A:$A,Partner_Tickets!AB:AB,"",0)="ATT","ATT",XLOOKUP($A24,Partner_Tickets!$A:$A,Partner_Tickets!AB:AB,"",0))))</f>
        <v>Free</v>
      </c>
      <c r="AC24" s="42">
        <f t="array" ref="AC24">IF(XLOOKUP($A24,Partner_Tickets!$A:$A,Partner_Tickets!AC:AC,"",0)="Free","Free",IF(XLOOKUP($A24,Partner_Tickets!$A:$A,Partner_Tickets!AC:AC,"",0)="VL","VL",IF(XLOOKUP($A24,Partner_Tickets!$A:$A,Partner_Tickets!AC:AC,"",0)="ATT","ATT",XLOOKUP($A24,Partner_Tickets!$A:$A,Partner_Tickets!AC:AC,"",0))))</f>
        <v>0.3333333333</v>
      </c>
      <c r="AD24" s="42">
        <f t="array" ref="AD24">IF(XLOOKUP($A24,Partner_Tickets!$A:$A,Partner_Tickets!AD:AD,"",0)="Free","Free",IF(XLOOKUP($A24,Partner_Tickets!$A:$A,Partner_Tickets!AD:AD,"",0)="VL","VL",IF(XLOOKUP($A24,Partner_Tickets!$A:$A,Partner_Tickets!AD:AD,"",0)="ATT","ATT",XLOOKUP($A24,Partner_Tickets!$A:$A,Partner_Tickets!AD:AD,"",0))))</f>
        <v>0.3333333333</v>
      </c>
      <c r="AE24" s="42">
        <f t="array" ref="AE24">IF(XLOOKUP($A24,Partner_Tickets!$A:$A,Partner_Tickets!AE:AE,"",0)="Free","Free",IF(XLOOKUP($A24,Partner_Tickets!$A:$A,Partner_Tickets!AE:AE,"",0)="VL","VL",IF(XLOOKUP($A24,Partner_Tickets!$A:$A,Partner_Tickets!AE:AE,"",0)="ATT","ATT",XLOOKUP($A24,Partner_Tickets!$A:$A,Partner_Tickets!AE:AE,"",0))))</f>
        <v>0.3333333333</v>
      </c>
      <c r="AF24" s="42"/>
      <c r="AG24" s="42">
        <f t="array" ref="AG24">IF(XLOOKUP($A24,Partner_Tickets!$A:$A,Partner_Tickets!AG:AG,"",0)="Free","Free",IF(XLOOKUP($A24,Partner_Tickets!$A:$A,Partner_Tickets!AG:AG,"",0)="VL","VL",IF(XLOOKUP($A24,Partner_Tickets!$A:$A,Partner_Tickets!AG:AG,"",0)="ATT","ATT",XLOOKUP($A24,Partner_Tickets!$A:$A,Partner_Tickets!AG:AG,"",0))))</f>
        <v>0.3333333333</v>
      </c>
      <c r="AH24" s="42">
        <f t="array" ref="AH24">IF(XLOOKUP($A24,Partner_Tickets!$A:$A,Partner_Tickets!AH:AH,"",0)="Free","Free",IF(XLOOKUP($A24,Partner_Tickets!$A:$A,Partner_Tickets!AH:AH,"",0)="VL","VL",IF(XLOOKUP($A24,Partner_Tickets!$A:$A,Partner_Tickets!AH:AH,"",0)="ATT","ATT",XLOOKUP($A24,Partner_Tickets!$A:$A,Partner_Tickets!AH:AH,"",0))))</f>
        <v>0.3333333333</v>
      </c>
      <c r="AI24" s="42" t="str">
        <f t="array" ref="AI24">IF(XLOOKUP($A24,Partner_Tickets!$A:$A,Partner_Tickets!AI:AI,"",0)="Free","Free",IF(XLOOKUP($A24,Partner_Tickets!$A:$A,Partner_Tickets!AI:AI,"",0)="VL","VL",IF(XLOOKUP($A24,Partner_Tickets!$A:$A,Partner_Tickets!AI:AI,"",0)="ATT","ATT",XLOOKUP($A24,Partner_Tickets!$A:$A,Partner_Tickets!AI:AI,"",0))))</f>
        <v>Free</v>
      </c>
      <c r="AJ24" s="42">
        <f t="array" ref="AJ24">IF(XLOOKUP($A24,Partner_Tickets!$A:$A,Partner_Tickets!AJ:AJ,"",0)="Free","Free",IF(XLOOKUP($A24,Partner_Tickets!$A:$A,Partner_Tickets!AJ:AJ,"",0)="VL","VL",IF(XLOOKUP($A24,Partner_Tickets!$A:$A,Partner_Tickets!AJ:AJ,"",0)="ATT","ATT",XLOOKUP($A24,Partner_Tickets!$A:$A,Partner_Tickets!AJ:AJ,"",0))))</f>
        <v>0.3333333333</v>
      </c>
      <c r="AK24" s="42">
        <f t="array" ref="AK24">IF(XLOOKUP($A24,Partner_Tickets!$A:$A,Partner_Tickets!AK:AK,"",0)="Free","Free",IF(XLOOKUP($A24,Partner_Tickets!$A:$A,Partner_Tickets!AK:AK,"",0)="VL","VL",IF(XLOOKUP($A24,Partner_Tickets!$A:$A,Partner_Tickets!AK:AK,"",0)="ATT","ATT",XLOOKUP($A24,Partner_Tickets!$A:$A,Partner_Tickets!AK:AK,"",0))))</f>
        <v>0.3333333333</v>
      </c>
      <c r="AL24" s="42">
        <f t="array" ref="AL24">IF(XLOOKUP($A24,Partner_Tickets!$A:$A,Partner_Tickets!AL:AL,"",0)="Free","Free",IF(XLOOKUP($A24,Partner_Tickets!$A:$A,Partner_Tickets!AL:AL,"",0)="VL","VL",IF(XLOOKUP($A24,Partner_Tickets!$A:$A,Partner_Tickets!AL:AL,"",0)="ATT","ATT",XLOOKUP($A24,Partner_Tickets!$A:$A,Partner_Tickets!AL:AL,"",0))))</f>
        <v>0.3333333333</v>
      </c>
      <c r="AM24" s="42"/>
    </row>
    <row r="25">
      <c r="A25" s="40" t="s">
        <v>134</v>
      </c>
      <c r="B25" s="44" t="str">
        <f t="array" ref="B25">XLOOKUP(A25,Roster!F:F,Roster!A:A,"",0)</f>
        <v>Edward Machado</v>
      </c>
      <c r="C25" s="44" t="str">
        <f t="array" ref="C25">XLOOKUP(A25,Roster!F:F,Roster!B:B,"",0)</f>
        <v>Eliana Pena</v>
      </c>
      <c r="D25" s="48"/>
      <c r="E25" s="42">
        <f t="array" ref="E25">IF(XLOOKUP($A25,Partner_Tickets!$A:$A,Partner_Tickets!E:E,"",0)="Free","Free",IF(XLOOKUP($A25,Partner_Tickets!$A:$A,Partner_Tickets!E:E,"",0)="VL","VL",IF(XLOOKUP($A25,Partner_Tickets!$A:$A,Partner_Tickets!E:E,"",0)="ATT","ATT",XLOOKUP($A25,Partner_Tickets!$A:$A,Partner_Tickets!E:E,"",0))))</f>
        <v>0.3333333333</v>
      </c>
      <c r="F25" s="42">
        <f t="array" ref="F25">IF(XLOOKUP($A25,Partner_Tickets!$A:$A,Partner_Tickets!F:F,"",0)="Free","Free",IF(XLOOKUP($A25,Partner_Tickets!$A:$A,Partner_Tickets!F:F,"",0)="VL","VL",IF(XLOOKUP($A25,Partner_Tickets!$A:$A,Partner_Tickets!F:F,"",0)="ATT","ATT",XLOOKUP($A25,Partner_Tickets!$A:$A,Partner_Tickets!F:F,"",0))))</f>
        <v>0.3333333333</v>
      </c>
      <c r="G25" s="42">
        <f t="array" ref="G25">IF(XLOOKUP($A25,Partner_Tickets!$A:$A,Partner_Tickets!G:G,"",0)="Free","Free",IF(XLOOKUP($A25,Partner_Tickets!$A:$A,Partner_Tickets!G:G,"",0)="VL","VL",IF(XLOOKUP($A25,Partner_Tickets!$A:$A,Partner_Tickets!G:G,"",0)="ATT","ATT",XLOOKUP($A25,Partner_Tickets!$A:$A,Partner_Tickets!G:G,"",0))))</f>
        <v>0.3333333333</v>
      </c>
      <c r="H25" s="42" t="str">
        <f t="array" ref="H25">IF(XLOOKUP($A25,Partner_Tickets!$A:$A,Partner_Tickets!H:H,"",0)="Free","Free",IF(XLOOKUP($A25,Partner_Tickets!$A:$A,Partner_Tickets!H:H,"",0)="VL","VL",IF(XLOOKUP($A25,Partner_Tickets!$A:$A,Partner_Tickets!H:H,"",0)="ATT","ATT",XLOOKUP($A25,Partner_Tickets!$A:$A,Partner_Tickets!H:H,"",0))))</f>
        <v>Free</v>
      </c>
      <c r="I25" s="42">
        <f t="array" ref="I25">IF(XLOOKUP($A25,Partner_Tickets!$A:$A,Partner_Tickets!I:I,"",0)="Free","Free",IF(XLOOKUP($A25,Partner_Tickets!$A:$A,Partner_Tickets!I:I,"",0)="VL","VL",IF(XLOOKUP($A25,Partner_Tickets!$A:$A,Partner_Tickets!I:I,"",0)="ATT","ATT",XLOOKUP($A25,Partner_Tickets!$A:$A,Partner_Tickets!I:I,"",0))))</f>
        <v>0.3333333333</v>
      </c>
      <c r="J25" s="42">
        <f t="array" ref="J25">IF(XLOOKUP($A25,Partner_Tickets!$A:$A,Partner_Tickets!J:J,"",0)="Free","Free",IF(XLOOKUP($A25,Partner_Tickets!$A:$A,Partner_Tickets!J:J,"",0)="VL","VL",IF(XLOOKUP($A25,Partner_Tickets!$A:$A,Partner_Tickets!J:J,"",0)="ATT","ATT",XLOOKUP($A25,Partner_Tickets!$A:$A,Partner_Tickets!J:J,"",0))))</f>
        <v>0.3333333333</v>
      </c>
      <c r="K25" s="42" t="str">
        <f t="array" ref="K25">IF(XLOOKUP($A25,Partner_Tickets!$A:$A,Partner_Tickets!K:K,"",0)="Free","Free",IF(XLOOKUP($A25,Partner_Tickets!$A:$A,Partner_Tickets!K:K,"",0)="VL","VL",IF(XLOOKUP($A25,Partner_Tickets!$A:$A,Partner_Tickets!K:K,"",0)="ATT","ATT",XLOOKUP($A25,Partner_Tickets!$A:$A,Partner_Tickets!K:K,"",0))))</f>
        <v/>
      </c>
      <c r="L25" s="42">
        <f t="array" ref="L25">IF(XLOOKUP($A25,Partner_Tickets!$A:$A,Partner_Tickets!L:L,"",0)="Free","Free",IF(XLOOKUP($A25,Partner_Tickets!$A:$A,Partner_Tickets!L:L,"",0)="VL","VL",IF(XLOOKUP($A25,Partner_Tickets!$A:$A,Partner_Tickets!L:L,"",0)="ATT","ATT",XLOOKUP($A25,Partner_Tickets!$A:$A,Partner_Tickets!L:L,"",0))))</f>
        <v>0.3333333333</v>
      </c>
      <c r="M25" s="42">
        <f t="array" ref="M25">IF(XLOOKUP($A25,Partner_Tickets!$A:$A,Partner_Tickets!M:M,"",0)="Free","Free",IF(XLOOKUP($A25,Partner_Tickets!$A:$A,Partner_Tickets!M:M,"",0)="VL","VL",IF(XLOOKUP($A25,Partner_Tickets!$A:$A,Partner_Tickets!M:M,"",0)="ATT","ATT",XLOOKUP($A25,Partner_Tickets!$A:$A,Partner_Tickets!M:M,"",0))))</f>
        <v>0.3333333333</v>
      </c>
      <c r="N25" s="42">
        <f t="array" ref="N25">IF(XLOOKUP($A25,Partner_Tickets!$A:$A,Partner_Tickets!N:N,"",0)="Free","Free",IF(XLOOKUP($A25,Partner_Tickets!$A:$A,Partner_Tickets!N:N,"",0)="VL","VL",IF(XLOOKUP($A25,Partner_Tickets!$A:$A,Partner_Tickets!N:N,"",0)="ATT","ATT",XLOOKUP($A25,Partner_Tickets!$A:$A,Partner_Tickets!N:N,"",0))))</f>
        <v>0.3333333333</v>
      </c>
      <c r="O25" s="42" t="str">
        <f t="array" ref="O25">IF(XLOOKUP($A25,Partner_Tickets!$A:$A,Partner_Tickets!O:O,"",0)="Free","Free",IF(XLOOKUP($A25,Partner_Tickets!$A:$A,Partner_Tickets!O:O,"",0)="VL","VL",IF(XLOOKUP($A25,Partner_Tickets!$A:$A,Partner_Tickets!O:O,"",0)="ATT","ATT",XLOOKUP($A25,Partner_Tickets!$A:$A,Partner_Tickets!O:O,"",0))))</f>
        <v>Free</v>
      </c>
      <c r="P25" s="42">
        <f t="array" ref="P25">IF(XLOOKUP($A25,Partner_Tickets!$A:$A,Partner_Tickets!P:P,"",0)="Free","Free",IF(XLOOKUP($A25,Partner_Tickets!$A:$A,Partner_Tickets!P:P,"",0)="VL","VL",IF(XLOOKUP($A25,Partner_Tickets!$A:$A,Partner_Tickets!P:P,"",0)="ATT","ATT",XLOOKUP($A25,Partner_Tickets!$A:$A,Partner_Tickets!P:P,"",0))))</f>
        <v>0.3333333333</v>
      </c>
      <c r="Q25" s="42">
        <f t="array" ref="Q25">IF(XLOOKUP($A25,Partner_Tickets!$A:$A,Partner_Tickets!Q:Q,"",0)="Free","Free",IF(XLOOKUP($A25,Partner_Tickets!$A:$A,Partner_Tickets!Q:Q,"",0)="VL","VL",IF(XLOOKUP($A25,Partner_Tickets!$A:$A,Partner_Tickets!Q:Q,"",0)="ATT","ATT",XLOOKUP($A25,Partner_Tickets!$A:$A,Partner_Tickets!Q:Q,"",0))))</f>
        <v>0.3333333333</v>
      </c>
      <c r="R25" s="42"/>
      <c r="S25" s="42">
        <f t="array" ref="S25">IF(XLOOKUP($A25,Partner_Tickets!$A:$A,Partner_Tickets!S:S,"",0)="Free","Free",IF(XLOOKUP($A25,Partner_Tickets!$A:$A,Partner_Tickets!S:S,"",0)="VL","VL",IF(XLOOKUP($A25,Partner_Tickets!$A:$A,Partner_Tickets!S:S,"",0)="ATT","ATT",XLOOKUP($A25,Partner_Tickets!$A:$A,Partner_Tickets!S:S,"",0))))</f>
        <v>0.3333333333</v>
      </c>
      <c r="T25" s="42">
        <f t="array" ref="T25">IF(XLOOKUP($A25,Partner_Tickets!$A:$A,Partner_Tickets!T:T,"",0)="Free","Free",IF(XLOOKUP($A25,Partner_Tickets!$A:$A,Partner_Tickets!T:T,"",0)="VL","VL",IF(XLOOKUP($A25,Partner_Tickets!$A:$A,Partner_Tickets!T:T,"",0)="ATT","ATT",XLOOKUP($A25,Partner_Tickets!$A:$A,Partner_Tickets!T:T,"",0))))</f>
        <v>0.3333333333</v>
      </c>
      <c r="U25" s="42">
        <f t="array" ref="U25">IF(XLOOKUP($A25,Partner_Tickets!$A:$A,Partner_Tickets!U:U,"",0)="Free","Free",IF(XLOOKUP($A25,Partner_Tickets!$A:$A,Partner_Tickets!U:U,"",0)="VL","VL",IF(XLOOKUP($A25,Partner_Tickets!$A:$A,Partner_Tickets!U:U,"",0)="ATT","ATT",XLOOKUP($A25,Partner_Tickets!$A:$A,Partner_Tickets!U:U,"",0))))</f>
        <v>0.3333333333</v>
      </c>
      <c r="V25" s="42" t="str">
        <f t="array" ref="V25">IF(XLOOKUP($A25,Partner_Tickets!$A:$A,Partner_Tickets!V:V,"",0)="Free","Free",IF(XLOOKUP($A25,Partner_Tickets!$A:$A,Partner_Tickets!V:V,"",0)="VL","VL",IF(XLOOKUP($A25,Partner_Tickets!$A:$A,Partner_Tickets!V:V,"",0)="ATT","ATT",XLOOKUP($A25,Partner_Tickets!$A:$A,Partner_Tickets!V:V,"",0))))</f>
        <v>Free</v>
      </c>
      <c r="W25" s="42">
        <f t="array" ref="W25">IF(XLOOKUP($A25,Partner_Tickets!$A:$A,Partner_Tickets!W:W,"",0)="Free","Free",IF(XLOOKUP($A25,Partner_Tickets!$A:$A,Partner_Tickets!W:W,"",0)="VL","VL",IF(XLOOKUP($A25,Partner_Tickets!$A:$A,Partner_Tickets!W:W,"",0)="ATT","ATT",XLOOKUP($A25,Partner_Tickets!$A:$A,Partner_Tickets!W:W,"",0))))</f>
        <v>0.3333333333</v>
      </c>
      <c r="X25" s="42">
        <f t="array" ref="X25">IF(XLOOKUP($A25,Partner_Tickets!$A:$A,Partner_Tickets!X:X,"",0)="Free","Free",IF(XLOOKUP($A25,Partner_Tickets!$A:$A,Partner_Tickets!X:X,"",0)="VL","VL",IF(XLOOKUP($A25,Partner_Tickets!$A:$A,Partner_Tickets!X:X,"",0)="ATT","ATT",XLOOKUP($A25,Partner_Tickets!$A:$A,Partner_Tickets!X:X,"",0))))</f>
        <v>0.3333333333</v>
      </c>
      <c r="Y25" s="42"/>
      <c r="Z25" s="42">
        <f t="array" ref="Z25">IF(XLOOKUP($A25,Partner_Tickets!$A:$A,Partner_Tickets!Z:Z,"",0)="Free","Free",IF(XLOOKUP($A25,Partner_Tickets!$A:$A,Partner_Tickets!Z:Z,"",0)="VL","VL",IF(XLOOKUP($A25,Partner_Tickets!$A:$A,Partner_Tickets!Z:Z,"",0)="ATT","ATT",XLOOKUP($A25,Partner_Tickets!$A:$A,Partner_Tickets!Z:Z,"",0))))</f>
        <v>0.3333333333</v>
      </c>
      <c r="AA25" s="42">
        <f t="array" ref="AA25">IF(XLOOKUP($A25,Partner_Tickets!$A:$A,Partner_Tickets!AA:AA,"",0)="Free","Free",IF(XLOOKUP($A25,Partner_Tickets!$A:$A,Partner_Tickets!AA:AA,"",0)="VL","VL",IF(XLOOKUP($A25,Partner_Tickets!$A:$A,Partner_Tickets!AA:AA,"",0)="ATT","ATT",XLOOKUP($A25,Partner_Tickets!$A:$A,Partner_Tickets!AA:AA,"",0))))</f>
        <v>0.3333333333</v>
      </c>
      <c r="AB25" s="42">
        <f t="array" ref="AB25">IF(XLOOKUP($A25,Partner_Tickets!$A:$A,Partner_Tickets!AB:AB,"",0)="Free","Free",IF(XLOOKUP($A25,Partner_Tickets!$A:$A,Partner_Tickets!AB:AB,"",0)="VL","VL",IF(XLOOKUP($A25,Partner_Tickets!$A:$A,Partner_Tickets!AB:AB,"",0)="ATT","ATT",XLOOKUP($A25,Partner_Tickets!$A:$A,Partner_Tickets!AB:AB,"",0))))</f>
        <v>0.3333333333</v>
      </c>
      <c r="AC25" s="42" t="str">
        <f t="array" ref="AC25">IF(XLOOKUP($A25,Partner_Tickets!$A:$A,Partner_Tickets!AC:AC,"",0)="Free","Free",IF(XLOOKUP($A25,Partner_Tickets!$A:$A,Partner_Tickets!AC:AC,"",0)="VL","VL",IF(XLOOKUP($A25,Partner_Tickets!$A:$A,Partner_Tickets!AC:AC,"",0)="ATT","ATT",XLOOKUP($A25,Partner_Tickets!$A:$A,Partner_Tickets!AC:AC,"",0))))</f>
        <v>Free</v>
      </c>
      <c r="AD25" s="42">
        <f t="array" ref="AD25">IF(XLOOKUP($A25,Partner_Tickets!$A:$A,Partner_Tickets!AD:AD,"",0)="Free","Free",IF(XLOOKUP($A25,Partner_Tickets!$A:$A,Partner_Tickets!AD:AD,"",0)="VL","VL",IF(XLOOKUP($A25,Partner_Tickets!$A:$A,Partner_Tickets!AD:AD,"",0)="ATT","ATT",XLOOKUP($A25,Partner_Tickets!$A:$A,Partner_Tickets!AD:AD,"",0))))</f>
        <v>0.3333333333</v>
      </c>
      <c r="AE25" s="42">
        <f t="array" ref="AE25">IF(XLOOKUP($A25,Partner_Tickets!$A:$A,Partner_Tickets!AE:AE,"",0)="Free","Free",IF(XLOOKUP($A25,Partner_Tickets!$A:$A,Partner_Tickets!AE:AE,"",0)="VL","VL",IF(XLOOKUP($A25,Partner_Tickets!$A:$A,Partner_Tickets!AE:AE,"",0)="ATT","ATT",XLOOKUP($A25,Partner_Tickets!$A:$A,Partner_Tickets!AE:AE,"",0))))</f>
        <v>0.3333333333</v>
      </c>
      <c r="AF25" s="42"/>
      <c r="AG25" s="42">
        <f t="array" ref="AG25">IF(XLOOKUP($A25,Partner_Tickets!$A:$A,Partner_Tickets!AG:AG,"",0)="Free","Free",IF(XLOOKUP($A25,Partner_Tickets!$A:$A,Partner_Tickets!AG:AG,"",0)="VL","VL",IF(XLOOKUP($A25,Partner_Tickets!$A:$A,Partner_Tickets!AG:AG,"",0)="ATT","ATT",XLOOKUP($A25,Partner_Tickets!$A:$A,Partner_Tickets!AG:AG,"",0))))</f>
        <v>0.3333333333</v>
      </c>
      <c r="AH25" s="42">
        <f t="array" ref="AH25">IF(XLOOKUP($A25,Partner_Tickets!$A:$A,Partner_Tickets!AH:AH,"",0)="Free","Free",IF(XLOOKUP($A25,Partner_Tickets!$A:$A,Partner_Tickets!AH:AH,"",0)="VL","VL",IF(XLOOKUP($A25,Partner_Tickets!$A:$A,Partner_Tickets!AH:AH,"",0)="ATT","ATT",XLOOKUP($A25,Partner_Tickets!$A:$A,Partner_Tickets!AH:AH,"",0))))</f>
        <v>0.3333333333</v>
      </c>
      <c r="AI25" s="42">
        <f t="array" ref="AI25">IF(XLOOKUP($A25,Partner_Tickets!$A:$A,Partner_Tickets!AI:AI,"",0)="Free","Free",IF(XLOOKUP($A25,Partner_Tickets!$A:$A,Partner_Tickets!AI:AI,"",0)="VL","VL",IF(XLOOKUP($A25,Partner_Tickets!$A:$A,Partner_Tickets!AI:AI,"",0)="ATT","ATT",XLOOKUP($A25,Partner_Tickets!$A:$A,Partner_Tickets!AI:AI,"",0))))</f>
        <v>0.3333333333</v>
      </c>
      <c r="AJ25" s="42" t="str">
        <f t="array" ref="AJ25">IF(XLOOKUP($A25,Partner_Tickets!$A:$A,Partner_Tickets!AJ:AJ,"",0)="Free","Free",IF(XLOOKUP($A25,Partner_Tickets!$A:$A,Partner_Tickets!AJ:AJ,"",0)="VL","VL",IF(XLOOKUP($A25,Partner_Tickets!$A:$A,Partner_Tickets!AJ:AJ,"",0)="ATT","ATT",XLOOKUP($A25,Partner_Tickets!$A:$A,Partner_Tickets!AJ:AJ,"",0))))</f>
        <v>Free</v>
      </c>
      <c r="AK25" s="42">
        <f t="array" ref="AK25">IF(XLOOKUP($A25,Partner_Tickets!$A:$A,Partner_Tickets!AK:AK,"",0)="Free","Free",IF(XLOOKUP($A25,Partner_Tickets!$A:$A,Partner_Tickets!AK:AK,"",0)="VL","VL",IF(XLOOKUP($A25,Partner_Tickets!$A:$A,Partner_Tickets!AK:AK,"",0)="ATT","ATT",XLOOKUP($A25,Partner_Tickets!$A:$A,Partner_Tickets!AK:AK,"",0))))</f>
        <v>0.3333333333</v>
      </c>
      <c r="AL25" s="42">
        <f t="array" ref="AL25">IF(XLOOKUP($A25,Partner_Tickets!$A:$A,Partner_Tickets!AL:AL,"",0)="Free","Free",IF(XLOOKUP($A25,Partner_Tickets!$A:$A,Partner_Tickets!AL:AL,"",0)="VL","VL",IF(XLOOKUP($A25,Partner_Tickets!$A:$A,Partner_Tickets!AL:AL,"",0)="ATT","ATT",XLOOKUP($A25,Partner_Tickets!$A:$A,Partner_Tickets!AL:AL,"",0))))</f>
        <v>0.3333333333</v>
      </c>
      <c r="AM25" s="42"/>
    </row>
    <row r="26">
      <c r="A26" s="40" t="s">
        <v>157</v>
      </c>
      <c r="B26" s="44" t="str">
        <f t="array" ref="B26">XLOOKUP(A26,Roster!F:F,Roster!A:A,"",0)</f>
        <v>Edward Machado</v>
      </c>
      <c r="C26" s="44" t="str">
        <f t="array" ref="C26">XLOOKUP(A26,Roster!F:F,Roster!B:B,"",0)</f>
        <v>Gabriela Jimenez</v>
      </c>
      <c r="D26" s="40"/>
      <c r="E26" s="42">
        <f t="array" ref="E26">IF(XLOOKUP($A26,Partner_Tickets!$A:$A,Partner_Tickets!E:E,"",0)="Free","Free",IF(XLOOKUP($A26,Partner_Tickets!$A:$A,Partner_Tickets!E:E,"",0)="VL","VL",IF(XLOOKUP($A26,Partner_Tickets!$A:$A,Partner_Tickets!E:E,"",0)="ATT","ATT",XLOOKUP($A26,Partner_Tickets!$A:$A,Partner_Tickets!E:E,"",0))))</f>
        <v>0.3333333333</v>
      </c>
      <c r="F26" s="42">
        <f t="array" ref="F26">IF(XLOOKUP($A26,Partner_Tickets!$A:$A,Partner_Tickets!F:F,"",0)="Free","Free",IF(XLOOKUP($A26,Partner_Tickets!$A:$A,Partner_Tickets!F:F,"",0)="VL","VL",IF(XLOOKUP($A26,Partner_Tickets!$A:$A,Partner_Tickets!F:F,"",0)="ATT","ATT",XLOOKUP($A26,Partner_Tickets!$A:$A,Partner_Tickets!F:F,"",0))))</f>
        <v>0.3333333333</v>
      </c>
      <c r="G26" s="42">
        <f t="array" ref="G26">IF(XLOOKUP($A26,Partner_Tickets!$A:$A,Partner_Tickets!G:G,"",0)="Free","Free",IF(XLOOKUP($A26,Partner_Tickets!$A:$A,Partner_Tickets!G:G,"",0)="VL","VL",IF(XLOOKUP($A26,Partner_Tickets!$A:$A,Partner_Tickets!G:G,"",0)="ATT","ATT",XLOOKUP($A26,Partner_Tickets!$A:$A,Partner_Tickets!G:G,"",0))))</f>
        <v>0.3333333333</v>
      </c>
      <c r="H26" s="42" t="str">
        <f t="array" ref="H26">IF(XLOOKUP($A26,Partner_Tickets!$A:$A,Partner_Tickets!H:H,"",0)="Free","Free",IF(XLOOKUP($A26,Partner_Tickets!$A:$A,Partner_Tickets!H:H,"",0)="VL","VL",IF(XLOOKUP($A26,Partner_Tickets!$A:$A,Partner_Tickets!H:H,"",0)="ATT","ATT",XLOOKUP($A26,Partner_Tickets!$A:$A,Partner_Tickets!H:H,"",0))))</f>
        <v>Free</v>
      </c>
      <c r="I26" s="42">
        <f t="array" ref="I26">IF(XLOOKUP($A26,Partner_Tickets!$A:$A,Partner_Tickets!I:I,"",0)="Free","Free",IF(XLOOKUP($A26,Partner_Tickets!$A:$A,Partner_Tickets!I:I,"",0)="VL","VL",IF(XLOOKUP($A26,Partner_Tickets!$A:$A,Partner_Tickets!I:I,"",0)="ATT","ATT",XLOOKUP($A26,Partner_Tickets!$A:$A,Partner_Tickets!I:I,"",0))))</f>
        <v>0.3333333333</v>
      </c>
      <c r="J26" s="42">
        <f t="array" ref="J26">IF(XLOOKUP($A26,Partner_Tickets!$A:$A,Partner_Tickets!J:J,"",0)="Free","Free",IF(XLOOKUP($A26,Partner_Tickets!$A:$A,Partner_Tickets!J:J,"",0)="VL","VL",IF(XLOOKUP($A26,Partner_Tickets!$A:$A,Partner_Tickets!J:J,"",0)="ATT","ATT",XLOOKUP($A26,Partner_Tickets!$A:$A,Partner_Tickets!J:J,"",0))))</f>
        <v>0.3333333333</v>
      </c>
      <c r="K26" s="42" t="str">
        <f t="array" ref="K26">IF(XLOOKUP($A26,Partner_Tickets!$A:$A,Partner_Tickets!K:K,"",0)="Free","Free",IF(XLOOKUP($A26,Partner_Tickets!$A:$A,Partner_Tickets!K:K,"",0)="VL","VL",IF(XLOOKUP($A26,Partner_Tickets!$A:$A,Partner_Tickets!K:K,"",0)="ATT","ATT",XLOOKUP($A26,Partner_Tickets!$A:$A,Partner_Tickets!K:K,"",0))))</f>
        <v/>
      </c>
      <c r="L26" s="42">
        <f t="array" ref="L26">IF(XLOOKUP($A26,Partner_Tickets!$A:$A,Partner_Tickets!L:L,"",0)="Free","Free",IF(XLOOKUP($A26,Partner_Tickets!$A:$A,Partner_Tickets!L:L,"",0)="VL","VL",IF(XLOOKUP($A26,Partner_Tickets!$A:$A,Partner_Tickets!L:L,"",0)="ATT","ATT",XLOOKUP($A26,Partner_Tickets!$A:$A,Partner_Tickets!L:L,"",0))))</f>
        <v>0.3333333333</v>
      </c>
      <c r="M26" s="42">
        <f t="array" ref="M26">IF(XLOOKUP($A26,Partner_Tickets!$A:$A,Partner_Tickets!M:M,"",0)="Free","Free",IF(XLOOKUP($A26,Partner_Tickets!$A:$A,Partner_Tickets!M:M,"",0)="VL","VL",IF(XLOOKUP($A26,Partner_Tickets!$A:$A,Partner_Tickets!M:M,"",0)="ATT","ATT",XLOOKUP($A26,Partner_Tickets!$A:$A,Partner_Tickets!M:M,"",0))))</f>
        <v>0.3333333333</v>
      </c>
      <c r="N26" s="42">
        <f t="array" ref="N26">IF(XLOOKUP($A26,Partner_Tickets!$A:$A,Partner_Tickets!N:N,"",0)="Free","Free",IF(XLOOKUP($A26,Partner_Tickets!$A:$A,Partner_Tickets!N:N,"",0)="VL","VL",IF(XLOOKUP($A26,Partner_Tickets!$A:$A,Partner_Tickets!N:N,"",0)="ATT","ATT",XLOOKUP($A26,Partner_Tickets!$A:$A,Partner_Tickets!N:N,"",0))))</f>
        <v>0.3333333333</v>
      </c>
      <c r="O26" s="42">
        <f t="array" ref="O26">IF(XLOOKUP($A26,Partner_Tickets!$A:$A,Partner_Tickets!O:O,"",0)="Free","Free",IF(XLOOKUP($A26,Partner_Tickets!$A:$A,Partner_Tickets!O:O,"",0)="VL","VL",IF(XLOOKUP($A26,Partner_Tickets!$A:$A,Partner_Tickets!O:O,"",0)="ATT","ATT",XLOOKUP($A26,Partner_Tickets!$A:$A,Partner_Tickets!O:O,"",0))))</f>
        <v>0.3333333333</v>
      </c>
      <c r="P26" s="42">
        <f t="array" ref="P26">IF(XLOOKUP($A26,Partner_Tickets!$A:$A,Partner_Tickets!P:P,"",0)="Free","Free",IF(XLOOKUP($A26,Partner_Tickets!$A:$A,Partner_Tickets!P:P,"",0)="VL","VL",IF(XLOOKUP($A26,Partner_Tickets!$A:$A,Partner_Tickets!P:P,"",0)="ATT","ATT",XLOOKUP($A26,Partner_Tickets!$A:$A,Partner_Tickets!P:P,"",0))))</f>
        <v>0.3333333333</v>
      </c>
      <c r="Q26" s="42" t="str">
        <f t="array" ref="Q26">IF(XLOOKUP($A26,Partner_Tickets!$A:$A,Partner_Tickets!Q:Q,"",0)="Free","Free",IF(XLOOKUP($A26,Partner_Tickets!$A:$A,Partner_Tickets!Q:Q,"",0)="VL","VL",IF(XLOOKUP($A26,Partner_Tickets!$A:$A,Partner_Tickets!Q:Q,"",0)="ATT","ATT",XLOOKUP($A26,Partner_Tickets!$A:$A,Partner_Tickets!Q:Q,"",0))))</f>
        <v>Free</v>
      </c>
      <c r="R26" s="42"/>
      <c r="S26" s="42">
        <f t="array" ref="S26">IF(XLOOKUP($A26,Partner_Tickets!$A:$A,Partner_Tickets!S:S,"",0)="Free","Free",IF(XLOOKUP($A26,Partner_Tickets!$A:$A,Partner_Tickets!S:S,"",0)="VL","VL",IF(XLOOKUP($A26,Partner_Tickets!$A:$A,Partner_Tickets!S:S,"",0)="ATT","ATT",XLOOKUP($A26,Partner_Tickets!$A:$A,Partner_Tickets!S:S,"",0))))</f>
        <v>0.3333333333</v>
      </c>
      <c r="T26" s="42">
        <f t="array" ref="T26">IF(XLOOKUP($A26,Partner_Tickets!$A:$A,Partner_Tickets!T:T,"",0)="Free","Free",IF(XLOOKUP($A26,Partner_Tickets!$A:$A,Partner_Tickets!T:T,"",0)="VL","VL",IF(XLOOKUP($A26,Partner_Tickets!$A:$A,Partner_Tickets!T:T,"",0)="ATT","ATT",XLOOKUP($A26,Partner_Tickets!$A:$A,Partner_Tickets!T:T,"",0))))</f>
        <v>0.3333333333</v>
      </c>
      <c r="U26" s="42">
        <f t="array" ref="U26">IF(XLOOKUP($A26,Partner_Tickets!$A:$A,Partner_Tickets!U:U,"",0)="Free","Free",IF(XLOOKUP($A26,Partner_Tickets!$A:$A,Partner_Tickets!U:U,"",0)="VL","VL",IF(XLOOKUP($A26,Partner_Tickets!$A:$A,Partner_Tickets!U:U,"",0)="ATT","ATT",XLOOKUP($A26,Partner_Tickets!$A:$A,Partner_Tickets!U:U,"",0))))</f>
        <v>0.3333333333</v>
      </c>
      <c r="V26" s="42">
        <f t="array" ref="V26">IF(XLOOKUP($A26,Partner_Tickets!$A:$A,Partner_Tickets!V:V,"",0)="Free","Free",IF(XLOOKUP($A26,Partner_Tickets!$A:$A,Partner_Tickets!V:V,"",0)="VL","VL",IF(XLOOKUP($A26,Partner_Tickets!$A:$A,Partner_Tickets!V:V,"",0)="ATT","ATT",XLOOKUP($A26,Partner_Tickets!$A:$A,Partner_Tickets!V:V,"",0))))</f>
        <v>0.3333333333</v>
      </c>
      <c r="W26" s="42">
        <f t="array" ref="W26">IF(XLOOKUP($A26,Partner_Tickets!$A:$A,Partner_Tickets!W:W,"",0)="Free","Free",IF(XLOOKUP($A26,Partner_Tickets!$A:$A,Partner_Tickets!W:W,"",0)="VL","VL",IF(XLOOKUP($A26,Partner_Tickets!$A:$A,Partner_Tickets!W:W,"",0)="ATT","ATT",XLOOKUP($A26,Partner_Tickets!$A:$A,Partner_Tickets!W:W,"",0))))</f>
        <v>0.3333333333</v>
      </c>
      <c r="X26" s="42" t="str">
        <f t="array" ref="X26">IF(XLOOKUP($A26,Partner_Tickets!$A:$A,Partner_Tickets!X:X,"",0)="Free","Free",IF(XLOOKUP($A26,Partner_Tickets!$A:$A,Partner_Tickets!X:X,"",0)="VL","VL",IF(XLOOKUP($A26,Partner_Tickets!$A:$A,Partner_Tickets!X:X,"",0)="ATT","ATT",XLOOKUP($A26,Partner_Tickets!$A:$A,Partner_Tickets!X:X,"",0))))</f>
        <v>Free</v>
      </c>
      <c r="Y26" s="42"/>
      <c r="Z26" s="42">
        <f t="array" ref="Z26">IF(XLOOKUP($A26,Partner_Tickets!$A:$A,Partner_Tickets!Z:Z,"",0)="Free","Free",IF(XLOOKUP($A26,Partner_Tickets!$A:$A,Partner_Tickets!Z:Z,"",0)="VL","VL",IF(XLOOKUP($A26,Partner_Tickets!$A:$A,Partner_Tickets!Z:Z,"",0)="ATT","ATT",XLOOKUP($A26,Partner_Tickets!$A:$A,Partner_Tickets!Z:Z,"",0))))</f>
        <v>0.3333333333</v>
      </c>
      <c r="AA26" s="42">
        <f t="array" ref="AA26">IF(XLOOKUP($A26,Partner_Tickets!$A:$A,Partner_Tickets!AA:AA,"",0)="Free","Free",IF(XLOOKUP($A26,Partner_Tickets!$A:$A,Partner_Tickets!AA:AA,"",0)="VL","VL",IF(XLOOKUP($A26,Partner_Tickets!$A:$A,Partner_Tickets!AA:AA,"",0)="ATT","ATT",XLOOKUP($A26,Partner_Tickets!$A:$A,Partner_Tickets!AA:AA,"",0))))</f>
        <v>0.3333333333</v>
      </c>
      <c r="AB26" s="42">
        <f t="array" ref="AB26">IF(XLOOKUP($A26,Partner_Tickets!$A:$A,Partner_Tickets!AB:AB,"",0)="Free","Free",IF(XLOOKUP($A26,Partner_Tickets!$A:$A,Partner_Tickets!AB:AB,"",0)="VL","VL",IF(XLOOKUP($A26,Partner_Tickets!$A:$A,Partner_Tickets!AB:AB,"",0)="ATT","ATT",XLOOKUP($A26,Partner_Tickets!$A:$A,Partner_Tickets!AB:AB,"",0))))</f>
        <v>0.3333333333</v>
      </c>
      <c r="AC26" s="42">
        <f t="array" ref="AC26">IF(XLOOKUP($A26,Partner_Tickets!$A:$A,Partner_Tickets!AC:AC,"",0)="Free","Free",IF(XLOOKUP($A26,Partner_Tickets!$A:$A,Partner_Tickets!AC:AC,"",0)="VL","VL",IF(XLOOKUP($A26,Partner_Tickets!$A:$A,Partner_Tickets!AC:AC,"",0)="ATT","ATT",XLOOKUP($A26,Partner_Tickets!$A:$A,Partner_Tickets!AC:AC,"",0))))</f>
        <v>0.3333333333</v>
      </c>
      <c r="AD26" s="42">
        <f t="array" ref="AD26">IF(XLOOKUP($A26,Partner_Tickets!$A:$A,Partner_Tickets!AD:AD,"",0)="Free","Free",IF(XLOOKUP($A26,Partner_Tickets!$A:$A,Partner_Tickets!AD:AD,"",0)="VL","VL",IF(XLOOKUP($A26,Partner_Tickets!$A:$A,Partner_Tickets!AD:AD,"",0)="ATT","ATT",XLOOKUP($A26,Partner_Tickets!$A:$A,Partner_Tickets!AD:AD,"",0))))</f>
        <v>0.3333333333</v>
      </c>
      <c r="AE26" s="42" t="str">
        <f t="array" ref="AE26">IF(XLOOKUP($A26,Partner_Tickets!$A:$A,Partner_Tickets!AE:AE,"",0)="Free","Free",IF(XLOOKUP($A26,Partner_Tickets!$A:$A,Partner_Tickets!AE:AE,"",0)="VL","VL",IF(XLOOKUP($A26,Partner_Tickets!$A:$A,Partner_Tickets!AE:AE,"",0)="ATT","ATT",XLOOKUP($A26,Partner_Tickets!$A:$A,Partner_Tickets!AE:AE,"",0))))</f>
        <v>Free</v>
      </c>
      <c r="AF26" s="42"/>
      <c r="AG26" s="42">
        <f t="array" ref="AG26">IF(XLOOKUP($A26,Partner_Tickets!$A:$A,Partner_Tickets!AG:AG,"",0)="Free","Free",IF(XLOOKUP($A26,Partner_Tickets!$A:$A,Partner_Tickets!AG:AG,"",0)="VL","VL",IF(XLOOKUP($A26,Partner_Tickets!$A:$A,Partner_Tickets!AG:AG,"",0)="ATT","ATT",XLOOKUP($A26,Partner_Tickets!$A:$A,Partner_Tickets!AG:AG,"",0))))</f>
        <v>0.3333333333</v>
      </c>
      <c r="AH26" s="42">
        <f t="array" ref="AH26">IF(XLOOKUP($A26,Partner_Tickets!$A:$A,Partner_Tickets!AH:AH,"",0)="Free","Free",IF(XLOOKUP($A26,Partner_Tickets!$A:$A,Partner_Tickets!AH:AH,"",0)="VL","VL",IF(XLOOKUP($A26,Partner_Tickets!$A:$A,Partner_Tickets!AH:AH,"",0)="ATT","ATT",XLOOKUP($A26,Partner_Tickets!$A:$A,Partner_Tickets!AH:AH,"",0))))</f>
        <v>0.3333333333</v>
      </c>
      <c r="AI26" s="42">
        <f t="array" ref="AI26">IF(XLOOKUP($A26,Partner_Tickets!$A:$A,Partner_Tickets!AI:AI,"",0)="Free","Free",IF(XLOOKUP($A26,Partner_Tickets!$A:$A,Partner_Tickets!AI:AI,"",0)="VL","VL",IF(XLOOKUP($A26,Partner_Tickets!$A:$A,Partner_Tickets!AI:AI,"",0)="ATT","ATT",XLOOKUP($A26,Partner_Tickets!$A:$A,Partner_Tickets!AI:AI,"",0))))</f>
        <v>0.3333333333</v>
      </c>
      <c r="AJ26" s="42">
        <f t="array" ref="AJ26">IF(XLOOKUP($A26,Partner_Tickets!$A:$A,Partner_Tickets!AJ:AJ,"",0)="Free","Free",IF(XLOOKUP($A26,Partner_Tickets!$A:$A,Partner_Tickets!AJ:AJ,"",0)="VL","VL",IF(XLOOKUP($A26,Partner_Tickets!$A:$A,Partner_Tickets!AJ:AJ,"",0)="ATT","ATT",XLOOKUP($A26,Partner_Tickets!$A:$A,Partner_Tickets!AJ:AJ,"",0))))</f>
        <v>0.3333333333</v>
      </c>
      <c r="AK26" s="42">
        <f t="array" ref="AK26">IF(XLOOKUP($A26,Partner_Tickets!$A:$A,Partner_Tickets!AK:AK,"",0)="Free","Free",IF(XLOOKUP($A26,Partner_Tickets!$A:$A,Partner_Tickets!AK:AK,"",0)="VL","VL",IF(XLOOKUP($A26,Partner_Tickets!$A:$A,Partner_Tickets!AK:AK,"",0)="ATT","ATT",XLOOKUP($A26,Partner_Tickets!$A:$A,Partner_Tickets!AK:AK,"",0))))</f>
        <v>0.3333333333</v>
      </c>
      <c r="AL26" s="42" t="str">
        <f t="array" ref="AL26">IF(XLOOKUP($A26,Partner_Tickets!$A:$A,Partner_Tickets!AL:AL,"",0)="Free","Free",IF(XLOOKUP($A26,Partner_Tickets!$A:$A,Partner_Tickets!AL:AL,"",0)="VL","VL",IF(XLOOKUP($A26,Partner_Tickets!$A:$A,Partner_Tickets!AL:AL,"",0)="ATT","ATT",XLOOKUP($A26,Partner_Tickets!$A:$A,Partner_Tickets!AL:AL,"",0))))</f>
        <v>Free</v>
      </c>
      <c r="AM26" s="42"/>
    </row>
    <row r="27">
      <c r="A27" s="43" t="s">
        <v>158</v>
      </c>
      <c r="B27" s="44" t="str">
        <f t="array" ref="B27">XLOOKUP(A27,Roster!F:F,Roster!A:A,"",0)</f>
        <v>Edward Machado</v>
      </c>
      <c r="C27" s="44" t="str">
        <f t="array" ref="C27">XLOOKUP(A27,Roster!F:F,Roster!B:B,"",0)</f>
        <v>Ief Fabre</v>
      </c>
      <c r="D27" s="45"/>
      <c r="E27" s="42">
        <f t="array" ref="E27">IF(XLOOKUP($A27,Partner_Tickets!$A:$A,Partner_Tickets!E:E,"",0)="Free","Free",IF(XLOOKUP($A27,Partner_Tickets!$A:$A,Partner_Tickets!E:E,"",0)="VL","VL",IF(XLOOKUP($A27,Partner_Tickets!$A:$A,Partner_Tickets!E:E,"",0)="ATT","ATT",XLOOKUP($A27,Partner_Tickets!$A:$A,Partner_Tickets!E:E,"",0))))</f>
        <v>0.3333333333</v>
      </c>
      <c r="F27" s="42">
        <f t="array" ref="F27">IF(XLOOKUP($A27,Partner_Tickets!$A:$A,Partner_Tickets!F:F,"",0)="Free","Free",IF(XLOOKUP($A27,Partner_Tickets!$A:$A,Partner_Tickets!F:F,"",0)="VL","VL",IF(XLOOKUP($A27,Partner_Tickets!$A:$A,Partner_Tickets!F:F,"",0)="ATT","ATT",XLOOKUP($A27,Partner_Tickets!$A:$A,Partner_Tickets!F:F,"",0))))</f>
        <v>0.3333333333</v>
      </c>
      <c r="G27" s="42">
        <f t="array" ref="G27">IF(XLOOKUP($A27,Partner_Tickets!$A:$A,Partner_Tickets!G:G,"",0)="Free","Free",IF(XLOOKUP($A27,Partner_Tickets!$A:$A,Partner_Tickets!G:G,"",0)="VL","VL",IF(XLOOKUP($A27,Partner_Tickets!$A:$A,Partner_Tickets!G:G,"",0)="ATT","ATT",XLOOKUP($A27,Partner_Tickets!$A:$A,Partner_Tickets!G:G,"",0))))</f>
        <v>0.3333333333</v>
      </c>
      <c r="H27" s="42">
        <f t="array" ref="H27">IF(XLOOKUP($A27,Partner_Tickets!$A:$A,Partner_Tickets!H:H,"",0)="Free","Free",IF(XLOOKUP($A27,Partner_Tickets!$A:$A,Partner_Tickets!H:H,"",0)="VL","VL",IF(XLOOKUP($A27,Partner_Tickets!$A:$A,Partner_Tickets!H:H,"",0)="ATT","ATT",XLOOKUP($A27,Partner_Tickets!$A:$A,Partner_Tickets!H:H,"",0))))</f>
        <v>0.3333333333</v>
      </c>
      <c r="I27" s="42">
        <f t="array" ref="I27">IF(XLOOKUP($A27,Partner_Tickets!$A:$A,Partner_Tickets!I:I,"",0)="Free","Free",IF(XLOOKUP($A27,Partner_Tickets!$A:$A,Partner_Tickets!I:I,"",0)="VL","VL",IF(XLOOKUP($A27,Partner_Tickets!$A:$A,Partner_Tickets!I:I,"",0)="ATT","ATT",XLOOKUP($A27,Partner_Tickets!$A:$A,Partner_Tickets!I:I,"",0))))</f>
        <v>0.3333333333</v>
      </c>
      <c r="J27" s="42" t="str">
        <f t="array" ref="J27">IF(XLOOKUP($A27,Partner_Tickets!$A:$A,Partner_Tickets!J:J,"",0)="Free","Free",IF(XLOOKUP($A27,Partner_Tickets!$A:$A,Partner_Tickets!J:J,"",0)="VL","VL",IF(XLOOKUP($A27,Partner_Tickets!$A:$A,Partner_Tickets!J:J,"",0)="ATT","ATT",XLOOKUP($A27,Partner_Tickets!$A:$A,Partner_Tickets!J:J,"",0))))</f>
        <v>Free</v>
      </c>
      <c r="K27" s="42" t="str">
        <f t="array" ref="K27">IF(XLOOKUP($A27,Partner_Tickets!$A:$A,Partner_Tickets!K:K,"",0)="Free","Free",IF(XLOOKUP($A27,Partner_Tickets!$A:$A,Partner_Tickets!K:K,"",0)="VL","VL",IF(XLOOKUP($A27,Partner_Tickets!$A:$A,Partner_Tickets!K:K,"",0)="ATT","ATT",XLOOKUP($A27,Partner_Tickets!$A:$A,Partner_Tickets!K:K,"",0))))</f>
        <v/>
      </c>
      <c r="L27" s="42">
        <f t="array" ref="L27">IF(XLOOKUP($A27,Partner_Tickets!$A:$A,Partner_Tickets!L:L,"",0)="Free","Free",IF(XLOOKUP($A27,Partner_Tickets!$A:$A,Partner_Tickets!L:L,"",0)="VL","VL",IF(XLOOKUP($A27,Partner_Tickets!$A:$A,Partner_Tickets!L:L,"",0)="ATT","ATT",XLOOKUP($A27,Partner_Tickets!$A:$A,Partner_Tickets!L:L,"",0))))</f>
        <v>0.3333333333</v>
      </c>
      <c r="M27" s="42">
        <f t="array" ref="M27">IF(XLOOKUP($A27,Partner_Tickets!$A:$A,Partner_Tickets!M:M,"",0)="Free","Free",IF(XLOOKUP($A27,Partner_Tickets!$A:$A,Partner_Tickets!M:M,"",0)="VL","VL",IF(XLOOKUP($A27,Partner_Tickets!$A:$A,Partner_Tickets!M:M,"",0)="ATT","ATT",XLOOKUP($A27,Partner_Tickets!$A:$A,Partner_Tickets!M:M,"",0))))</f>
        <v>0.3333333333</v>
      </c>
      <c r="N27" s="42">
        <f t="array" ref="N27">IF(XLOOKUP($A27,Partner_Tickets!$A:$A,Partner_Tickets!N:N,"",0)="Free","Free",IF(XLOOKUP($A27,Partner_Tickets!$A:$A,Partner_Tickets!N:N,"",0)="VL","VL",IF(XLOOKUP($A27,Partner_Tickets!$A:$A,Partner_Tickets!N:N,"",0)="ATT","ATT",XLOOKUP($A27,Partner_Tickets!$A:$A,Partner_Tickets!N:N,"",0))))</f>
        <v>0.3333333333</v>
      </c>
      <c r="O27" s="42" t="str">
        <f t="array" ref="O27">IF(XLOOKUP($A27,Partner_Tickets!$A:$A,Partner_Tickets!O:O,"",0)="Free","Free",IF(XLOOKUP($A27,Partner_Tickets!$A:$A,Partner_Tickets!O:O,"",0)="VL","VL",IF(XLOOKUP($A27,Partner_Tickets!$A:$A,Partner_Tickets!O:O,"",0)="ATT","ATT",XLOOKUP($A27,Partner_Tickets!$A:$A,Partner_Tickets!O:O,"",0))))</f>
        <v>Free</v>
      </c>
      <c r="P27" s="42">
        <f t="array" ref="P27">IF(XLOOKUP($A27,Partner_Tickets!$A:$A,Partner_Tickets!P:P,"",0)="Free","Free",IF(XLOOKUP($A27,Partner_Tickets!$A:$A,Partner_Tickets!P:P,"",0)="VL","VL",IF(XLOOKUP($A27,Partner_Tickets!$A:$A,Partner_Tickets!P:P,"",0)="ATT","ATT",XLOOKUP($A27,Partner_Tickets!$A:$A,Partner_Tickets!P:P,"",0))))</f>
        <v>0.3333333333</v>
      </c>
      <c r="Q27" s="42">
        <f t="array" ref="Q27">IF(XLOOKUP($A27,Partner_Tickets!$A:$A,Partner_Tickets!Q:Q,"",0)="Free","Free",IF(XLOOKUP($A27,Partner_Tickets!$A:$A,Partner_Tickets!Q:Q,"",0)="VL","VL",IF(XLOOKUP($A27,Partner_Tickets!$A:$A,Partner_Tickets!Q:Q,"",0)="ATT","ATT",XLOOKUP($A27,Partner_Tickets!$A:$A,Partner_Tickets!Q:Q,"",0))))</f>
        <v>0.3333333333</v>
      </c>
      <c r="R27" s="42"/>
      <c r="S27" s="42">
        <f t="array" ref="S27">IF(XLOOKUP($A27,Partner_Tickets!$A:$A,Partner_Tickets!S:S,"",0)="Free","Free",IF(XLOOKUP($A27,Partner_Tickets!$A:$A,Partner_Tickets!S:S,"",0)="VL","VL",IF(XLOOKUP($A27,Partner_Tickets!$A:$A,Partner_Tickets!S:S,"",0)="ATT","ATT",XLOOKUP($A27,Partner_Tickets!$A:$A,Partner_Tickets!S:S,"",0))))</f>
        <v>0.3333333333</v>
      </c>
      <c r="T27" s="42">
        <f t="array" ref="T27">IF(XLOOKUP($A27,Partner_Tickets!$A:$A,Partner_Tickets!T:T,"",0)="Free","Free",IF(XLOOKUP($A27,Partner_Tickets!$A:$A,Partner_Tickets!T:T,"",0)="VL","VL",IF(XLOOKUP($A27,Partner_Tickets!$A:$A,Partner_Tickets!T:T,"",0)="ATT","ATT",XLOOKUP($A27,Partner_Tickets!$A:$A,Partner_Tickets!T:T,"",0))))</f>
        <v>0.3333333333</v>
      </c>
      <c r="U27" s="42">
        <f t="array" ref="U27">IF(XLOOKUP($A27,Partner_Tickets!$A:$A,Partner_Tickets!U:U,"",0)="Free","Free",IF(XLOOKUP($A27,Partner_Tickets!$A:$A,Partner_Tickets!U:U,"",0)="VL","VL",IF(XLOOKUP($A27,Partner_Tickets!$A:$A,Partner_Tickets!U:U,"",0)="ATT","ATT",XLOOKUP($A27,Partner_Tickets!$A:$A,Partner_Tickets!U:U,"",0))))</f>
        <v>0.3333333333</v>
      </c>
      <c r="V27" s="42" t="str">
        <f t="array" ref="V27">IF(XLOOKUP($A27,Partner_Tickets!$A:$A,Partner_Tickets!V:V,"",0)="Free","Free",IF(XLOOKUP($A27,Partner_Tickets!$A:$A,Partner_Tickets!V:V,"",0)="VL","VL",IF(XLOOKUP($A27,Partner_Tickets!$A:$A,Partner_Tickets!V:V,"",0)="ATT","ATT",XLOOKUP($A27,Partner_Tickets!$A:$A,Partner_Tickets!V:V,"",0))))</f>
        <v>Free</v>
      </c>
      <c r="W27" s="42">
        <f t="array" ref="W27">IF(XLOOKUP($A27,Partner_Tickets!$A:$A,Partner_Tickets!W:W,"",0)="Free","Free",IF(XLOOKUP($A27,Partner_Tickets!$A:$A,Partner_Tickets!W:W,"",0)="VL","VL",IF(XLOOKUP($A27,Partner_Tickets!$A:$A,Partner_Tickets!W:W,"",0)="ATT","ATT",XLOOKUP($A27,Partner_Tickets!$A:$A,Partner_Tickets!W:W,"",0))))</f>
        <v>0.3333333333</v>
      </c>
      <c r="X27" s="42">
        <f t="array" ref="X27">IF(XLOOKUP($A27,Partner_Tickets!$A:$A,Partner_Tickets!X:X,"",0)="Free","Free",IF(XLOOKUP($A27,Partner_Tickets!$A:$A,Partner_Tickets!X:X,"",0)="VL","VL",IF(XLOOKUP($A27,Partner_Tickets!$A:$A,Partner_Tickets!X:X,"",0)="ATT","ATT",XLOOKUP($A27,Partner_Tickets!$A:$A,Partner_Tickets!X:X,"",0))))</f>
        <v>0.3333333333</v>
      </c>
      <c r="Y27" s="42"/>
      <c r="Z27" s="42">
        <f t="array" ref="Z27">IF(XLOOKUP($A27,Partner_Tickets!$A:$A,Partner_Tickets!Z:Z,"",0)="Free","Free",IF(XLOOKUP($A27,Partner_Tickets!$A:$A,Partner_Tickets!Z:Z,"",0)="VL","VL",IF(XLOOKUP($A27,Partner_Tickets!$A:$A,Partner_Tickets!Z:Z,"",0)="ATT","ATT",XLOOKUP($A27,Partner_Tickets!$A:$A,Partner_Tickets!Z:Z,"",0))))</f>
        <v>0.3333333333</v>
      </c>
      <c r="AA27" s="42">
        <f t="array" ref="AA27">IF(XLOOKUP($A27,Partner_Tickets!$A:$A,Partner_Tickets!AA:AA,"",0)="Free","Free",IF(XLOOKUP($A27,Partner_Tickets!$A:$A,Partner_Tickets!AA:AA,"",0)="VL","VL",IF(XLOOKUP($A27,Partner_Tickets!$A:$A,Partner_Tickets!AA:AA,"",0)="ATT","ATT",XLOOKUP($A27,Partner_Tickets!$A:$A,Partner_Tickets!AA:AA,"",0))))</f>
        <v>0.3333333333</v>
      </c>
      <c r="AB27" s="42">
        <f t="array" ref="AB27">IF(XLOOKUP($A27,Partner_Tickets!$A:$A,Partner_Tickets!AB:AB,"",0)="Free","Free",IF(XLOOKUP($A27,Partner_Tickets!$A:$A,Partner_Tickets!AB:AB,"",0)="VL","VL",IF(XLOOKUP($A27,Partner_Tickets!$A:$A,Partner_Tickets!AB:AB,"",0)="ATT","ATT",XLOOKUP($A27,Partner_Tickets!$A:$A,Partner_Tickets!AB:AB,"",0))))</f>
        <v>0.3333333333</v>
      </c>
      <c r="AC27" s="42" t="str">
        <f t="array" ref="AC27">IF(XLOOKUP($A27,Partner_Tickets!$A:$A,Partner_Tickets!AC:AC,"",0)="Free","Free",IF(XLOOKUP($A27,Partner_Tickets!$A:$A,Partner_Tickets!AC:AC,"",0)="VL","VL",IF(XLOOKUP($A27,Partner_Tickets!$A:$A,Partner_Tickets!AC:AC,"",0)="ATT","ATT",XLOOKUP($A27,Partner_Tickets!$A:$A,Partner_Tickets!AC:AC,"",0))))</f>
        <v>Free</v>
      </c>
      <c r="AD27" s="42">
        <f t="array" ref="AD27">IF(XLOOKUP($A27,Partner_Tickets!$A:$A,Partner_Tickets!AD:AD,"",0)="Free","Free",IF(XLOOKUP($A27,Partner_Tickets!$A:$A,Partner_Tickets!AD:AD,"",0)="VL","VL",IF(XLOOKUP($A27,Partner_Tickets!$A:$A,Partner_Tickets!AD:AD,"",0)="ATT","ATT",XLOOKUP($A27,Partner_Tickets!$A:$A,Partner_Tickets!AD:AD,"",0))))</f>
        <v>0.3333333333</v>
      </c>
      <c r="AE27" s="42">
        <f t="array" ref="AE27">IF(XLOOKUP($A27,Partner_Tickets!$A:$A,Partner_Tickets!AE:AE,"",0)="Free","Free",IF(XLOOKUP($A27,Partner_Tickets!$A:$A,Partner_Tickets!AE:AE,"",0)="VL","VL",IF(XLOOKUP($A27,Partner_Tickets!$A:$A,Partner_Tickets!AE:AE,"",0)="ATT","ATT",XLOOKUP($A27,Partner_Tickets!$A:$A,Partner_Tickets!AE:AE,"",0))))</f>
        <v>0.3333333333</v>
      </c>
      <c r="AF27" s="42"/>
      <c r="AG27" s="42">
        <f t="array" ref="AG27">IF(XLOOKUP($A27,Partner_Tickets!$A:$A,Partner_Tickets!AG:AG,"",0)="Free","Free",IF(XLOOKUP($A27,Partner_Tickets!$A:$A,Partner_Tickets!AG:AG,"",0)="VL","VL",IF(XLOOKUP($A27,Partner_Tickets!$A:$A,Partner_Tickets!AG:AG,"",0)="ATT","ATT",XLOOKUP($A27,Partner_Tickets!$A:$A,Partner_Tickets!AG:AG,"",0))))</f>
        <v>0.3333333333</v>
      </c>
      <c r="AH27" s="42">
        <f t="array" ref="AH27">IF(XLOOKUP($A27,Partner_Tickets!$A:$A,Partner_Tickets!AH:AH,"",0)="Free","Free",IF(XLOOKUP($A27,Partner_Tickets!$A:$A,Partner_Tickets!AH:AH,"",0)="VL","VL",IF(XLOOKUP($A27,Partner_Tickets!$A:$A,Partner_Tickets!AH:AH,"",0)="ATT","ATT",XLOOKUP($A27,Partner_Tickets!$A:$A,Partner_Tickets!AH:AH,"",0))))</f>
        <v>0.3333333333</v>
      </c>
      <c r="AI27" s="42">
        <f t="array" ref="AI27">IF(XLOOKUP($A27,Partner_Tickets!$A:$A,Partner_Tickets!AI:AI,"",0)="Free","Free",IF(XLOOKUP($A27,Partner_Tickets!$A:$A,Partner_Tickets!AI:AI,"",0)="VL","VL",IF(XLOOKUP($A27,Partner_Tickets!$A:$A,Partner_Tickets!AI:AI,"",0)="ATT","ATT",XLOOKUP($A27,Partner_Tickets!$A:$A,Partner_Tickets!AI:AI,"",0))))</f>
        <v>0.3333333333</v>
      </c>
      <c r="AJ27" s="42" t="str">
        <f t="array" ref="AJ27">IF(XLOOKUP($A27,Partner_Tickets!$A:$A,Partner_Tickets!AJ:AJ,"",0)="Free","Free",IF(XLOOKUP($A27,Partner_Tickets!$A:$A,Partner_Tickets!AJ:AJ,"",0)="VL","VL",IF(XLOOKUP($A27,Partner_Tickets!$A:$A,Partner_Tickets!AJ:AJ,"",0)="ATT","ATT",XLOOKUP($A27,Partner_Tickets!$A:$A,Partner_Tickets!AJ:AJ,"",0))))</f>
        <v>Free</v>
      </c>
      <c r="AK27" s="42">
        <f t="array" ref="AK27">IF(XLOOKUP($A27,Partner_Tickets!$A:$A,Partner_Tickets!AK:AK,"",0)="Free","Free",IF(XLOOKUP($A27,Partner_Tickets!$A:$A,Partner_Tickets!AK:AK,"",0)="VL","VL",IF(XLOOKUP($A27,Partner_Tickets!$A:$A,Partner_Tickets!AK:AK,"",0)="ATT","ATT",XLOOKUP($A27,Partner_Tickets!$A:$A,Partner_Tickets!AK:AK,"",0))))</f>
        <v>0.3333333333</v>
      </c>
      <c r="AL27" s="42">
        <f t="array" ref="AL27">IF(XLOOKUP($A27,Partner_Tickets!$A:$A,Partner_Tickets!AL:AL,"",0)="Free","Free",IF(XLOOKUP($A27,Partner_Tickets!$A:$A,Partner_Tickets!AL:AL,"",0)="VL","VL",IF(XLOOKUP($A27,Partner_Tickets!$A:$A,Partner_Tickets!AL:AL,"",0)="ATT","ATT",XLOOKUP($A27,Partner_Tickets!$A:$A,Partner_Tickets!AL:AL,"",0))))</f>
        <v>0.3333333333</v>
      </c>
      <c r="AM27" s="42"/>
    </row>
    <row r="28">
      <c r="A28" s="40" t="s">
        <v>159</v>
      </c>
      <c r="B28" s="44" t="str">
        <f t="array" ref="B28">XLOOKUP(A28,Roster!F:F,Roster!A:A,"",0)</f>
        <v>Edward Machado</v>
      </c>
      <c r="C28" s="44" t="str">
        <f t="array" ref="C28">XLOOKUP(A28,Roster!F:F,Roster!B:B,"",0)</f>
        <v>Jeampierre Jaramillo</v>
      </c>
      <c r="D28" s="45"/>
      <c r="E28" s="42">
        <f t="array" ref="E28">IF(XLOOKUP($A28,Partner_Tickets!$A:$A,Partner_Tickets!E:E,"",0)="Free","Free",IF(XLOOKUP($A28,Partner_Tickets!$A:$A,Partner_Tickets!E:E,"",0)="VL","VL",IF(XLOOKUP($A28,Partner_Tickets!$A:$A,Partner_Tickets!E:E,"",0)="ATT","ATT",XLOOKUP($A28,Partner_Tickets!$A:$A,Partner_Tickets!E:E,"",0))))</f>
        <v>0.2916666667</v>
      </c>
      <c r="F28" s="42">
        <f t="array" ref="F28">IF(XLOOKUP($A28,Partner_Tickets!$A:$A,Partner_Tickets!F:F,"",0)="Free","Free",IF(XLOOKUP($A28,Partner_Tickets!$A:$A,Partner_Tickets!F:F,"",0)="VL","VL",IF(XLOOKUP($A28,Partner_Tickets!$A:$A,Partner_Tickets!F:F,"",0)="ATT","ATT",XLOOKUP($A28,Partner_Tickets!$A:$A,Partner_Tickets!F:F,"",0))))</f>
        <v>0.2916666667</v>
      </c>
      <c r="G28" s="42">
        <f t="array" ref="G28">IF(XLOOKUP($A28,Partner_Tickets!$A:$A,Partner_Tickets!G:G,"",0)="Free","Free",IF(XLOOKUP($A28,Partner_Tickets!$A:$A,Partner_Tickets!G:G,"",0)="VL","VL",IF(XLOOKUP($A28,Partner_Tickets!$A:$A,Partner_Tickets!G:G,"",0)="ATT","ATT",XLOOKUP($A28,Partner_Tickets!$A:$A,Partner_Tickets!G:G,"",0))))</f>
        <v>0.2916666667</v>
      </c>
      <c r="H28" s="42" t="str">
        <f t="array" ref="H28">IF(XLOOKUP($A28,Partner_Tickets!$A:$A,Partner_Tickets!H:H,"",0)="Free","Free",IF(XLOOKUP($A28,Partner_Tickets!$A:$A,Partner_Tickets!H:H,"",0)="VL","VL",IF(XLOOKUP($A28,Partner_Tickets!$A:$A,Partner_Tickets!H:H,"",0)="ATT","ATT",XLOOKUP($A28,Partner_Tickets!$A:$A,Partner_Tickets!H:H,"",0))))</f>
        <v>Free</v>
      </c>
      <c r="I28" s="42">
        <f t="array" ref="I28">IF(XLOOKUP($A28,Partner_Tickets!$A:$A,Partner_Tickets!I:I,"",0)="Free","Free",IF(XLOOKUP($A28,Partner_Tickets!$A:$A,Partner_Tickets!I:I,"",0)="VL","VL",IF(XLOOKUP($A28,Partner_Tickets!$A:$A,Partner_Tickets!I:I,"",0)="ATT","ATT",XLOOKUP($A28,Partner_Tickets!$A:$A,Partner_Tickets!I:I,"",0))))</f>
        <v>0.2916666667</v>
      </c>
      <c r="J28" s="42">
        <f t="array" ref="J28">IF(XLOOKUP($A28,Partner_Tickets!$A:$A,Partner_Tickets!J:J,"",0)="Free","Free",IF(XLOOKUP($A28,Partner_Tickets!$A:$A,Partner_Tickets!J:J,"",0)="VL","VL",IF(XLOOKUP($A28,Partner_Tickets!$A:$A,Partner_Tickets!J:J,"",0)="ATT","ATT",XLOOKUP($A28,Partner_Tickets!$A:$A,Partner_Tickets!J:J,"",0))))</f>
        <v>0.2916666667</v>
      </c>
      <c r="K28" s="42" t="str">
        <f t="array" ref="K28">IF(XLOOKUP($A28,Partner_Tickets!$A:$A,Partner_Tickets!K:K,"",0)="Free","Free",IF(XLOOKUP($A28,Partner_Tickets!$A:$A,Partner_Tickets!K:K,"",0)="VL","VL",IF(XLOOKUP($A28,Partner_Tickets!$A:$A,Partner_Tickets!K:K,"",0)="ATT","ATT",XLOOKUP($A28,Partner_Tickets!$A:$A,Partner_Tickets!K:K,"",0))))</f>
        <v/>
      </c>
      <c r="L28" s="42">
        <f t="array" ref="L28">IF(XLOOKUP($A28,Partner_Tickets!$A:$A,Partner_Tickets!L:L,"",0)="Free","Free",IF(XLOOKUP($A28,Partner_Tickets!$A:$A,Partner_Tickets!L:L,"",0)="VL","VL",IF(XLOOKUP($A28,Partner_Tickets!$A:$A,Partner_Tickets!L:L,"",0)="ATT","ATT",XLOOKUP($A28,Partner_Tickets!$A:$A,Partner_Tickets!L:L,"",0))))</f>
        <v>0.2916666667</v>
      </c>
      <c r="M28" s="42">
        <f t="array" ref="M28">IF(XLOOKUP($A28,Partner_Tickets!$A:$A,Partner_Tickets!M:M,"",0)="Free","Free",IF(XLOOKUP($A28,Partner_Tickets!$A:$A,Partner_Tickets!M:M,"",0)="VL","VL",IF(XLOOKUP($A28,Partner_Tickets!$A:$A,Partner_Tickets!M:M,"",0)="ATT","ATT",XLOOKUP($A28,Partner_Tickets!$A:$A,Partner_Tickets!M:M,"",0))))</f>
        <v>0.2916666667</v>
      </c>
      <c r="N28" s="42">
        <f t="array" ref="N28">IF(XLOOKUP($A28,Partner_Tickets!$A:$A,Partner_Tickets!N:N,"",0)="Free","Free",IF(XLOOKUP($A28,Partner_Tickets!$A:$A,Partner_Tickets!N:N,"",0)="VL","VL",IF(XLOOKUP($A28,Partner_Tickets!$A:$A,Partner_Tickets!N:N,"",0)="ATT","ATT",XLOOKUP($A28,Partner_Tickets!$A:$A,Partner_Tickets!N:N,"",0))))</f>
        <v>0.2916666667</v>
      </c>
      <c r="O28" s="42" t="str">
        <f t="array" ref="O28">IF(XLOOKUP($A28,Partner_Tickets!$A:$A,Partner_Tickets!O:O,"",0)="Free","Free",IF(XLOOKUP($A28,Partner_Tickets!$A:$A,Partner_Tickets!O:O,"",0)="VL","VL",IF(XLOOKUP($A28,Partner_Tickets!$A:$A,Partner_Tickets!O:O,"",0)="ATT","ATT",XLOOKUP($A28,Partner_Tickets!$A:$A,Partner_Tickets!O:O,"",0))))</f>
        <v>Free</v>
      </c>
      <c r="P28" s="42">
        <f t="array" ref="P28">IF(XLOOKUP($A28,Partner_Tickets!$A:$A,Partner_Tickets!P:P,"",0)="Free","Free",IF(XLOOKUP($A28,Partner_Tickets!$A:$A,Partner_Tickets!P:P,"",0)="VL","VL",IF(XLOOKUP($A28,Partner_Tickets!$A:$A,Partner_Tickets!P:P,"",0)="ATT","ATT",XLOOKUP($A28,Partner_Tickets!$A:$A,Partner_Tickets!P:P,"",0))))</f>
        <v>0.2916666667</v>
      </c>
      <c r="Q28" s="42">
        <f t="array" ref="Q28">IF(XLOOKUP($A28,Partner_Tickets!$A:$A,Partner_Tickets!Q:Q,"",0)="Free","Free",IF(XLOOKUP($A28,Partner_Tickets!$A:$A,Partner_Tickets!Q:Q,"",0)="VL","VL",IF(XLOOKUP($A28,Partner_Tickets!$A:$A,Partner_Tickets!Q:Q,"",0)="ATT","ATT",XLOOKUP($A28,Partner_Tickets!$A:$A,Partner_Tickets!Q:Q,"",0))))</f>
        <v>0.2916666667</v>
      </c>
      <c r="R28" s="42"/>
      <c r="S28" s="42">
        <f t="array" ref="S28">IF(XLOOKUP($A28,Partner_Tickets!$A:$A,Partner_Tickets!S:S,"",0)="Free","Free",IF(XLOOKUP($A28,Partner_Tickets!$A:$A,Partner_Tickets!S:S,"",0)="VL","VL",IF(XLOOKUP($A28,Partner_Tickets!$A:$A,Partner_Tickets!S:S,"",0)="ATT","ATT",XLOOKUP($A28,Partner_Tickets!$A:$A,Partner_Tickets!S:S,"",0))))</f>
        <v>0.2916666667</v>
      </c>
      <c r="T28" s="42">
        <f t="array" ref="T28">IF(XLOOKUP($A28,Partner_Tickets!$A:$A,Partner_Tickets!T:T,"",0)="Free","Free",IF(XLOOKUP($A28,Partner_Tickets!$A:$A,Partner_Tickets!T:T,"",0)="VL","VL",IF(XLOOKUP($A28,Partner_Tickets!$A:$A,Partner_Tickets!T:T,"",0)="ATT","ATT",XLOOKUP($A28,Partner_Tickets!$A:$A,Partner_Tickets!T:T,"",0))))</f>
        <v>0.2916666667</v>
      </c>
      <c r="U28" s="42">
        <f t="array" ref="U28">IF(XLOOKUP($A28,Partner_Tickets!$A:$A,Partner_Tickets!U:U,"",0)="Free","Free",IF(XLOOKUP($A28,Partner_Tickets!$A:$A,Partner_Tickets!U:U,"",0)="VL","VL",IF(XLOOKUP($A28,Partner_Tickets!$A:$A,Partner_Tickets!U:U,"",0)="ATT","ATT",XLOOKUP($A28,Partner_Tickets!$A:$A,Partner_Tickets!U:U,"",0))))</f>
        <v>0.2916666667</v>
      </c>
      <c r="V28" s="42" t="str">
        <f t="array" ref="V28">IF(XLOOKUP($A28,Partner_Tickets!$A:$A,Partner_Tickets!V:V,"",0)="Free","Free",IF(XLOOKUP($A28,Partner_Tickets!$A:$A,Partner_Tickets!V:V,"",0)="VL","VL",IF(XLOOKUP($A28,Partner_Tickets!$A:$A,Partner_Tickets!V:V,"",0)="ATT","ATT",XLOOKUP($A28,Partner_Tickets!$A:$A,Partner_Tickets!V:V,"",0))))</f>
        <v>Free</v>
      </c>
      <c r="W28" s="42">
        <f t="array" ref="W28">IF(XLOOKUP($A28,Partner_Tickets!$A:$A,Partner_Tickets!W:W,"",0)="Free","Free",IF(XLOOKUP($A28,Partner_Tickets!$A:$A,Partner_Tickets!W:W,"",0)="VL","VL",IF(XLOOKUP($A28,Partner_Tickets!$A:$A,Partner_Tickets!W:W,"",0)="ATT","ATT",XLOOKUP($A28,Partner_Tickets!$A:$A,Partner_Tickets!W:W,"",0))))</f>
        <v>0.2916666667</v>
      </c>
      <c r="X28" s="42">
        <f t="array" ref="X28">IF(XLOOKUP($A28,Partner_Tickets!$A:$A,Partner_Tickets!X:X,"",0)="Free","Free",IF(XLOOKUP($A28,Partner_Tickets!$A:$A,Partner_Tickets!X:X,"",0)="VL","VL",IF(XLOOKUP($A28,Partner_Tickets!$A:$A,Partner_Tickets!X:X,"",0)="ATT","ATT",XLOOKUP($A28,Partner_Tickets!$A:$A,Partner_Tickets!X:X,"",0))))</f>
        <v>0.2916666667</v>
      </c>
      <c r="Y28" s="42"/>
      <c r="Z28" s="42">
        <f t="array" ref="Z28">IF(XLOOKUP($A28,Partner_Tickets!$A:$A,Partner_Tickets!Z:Z,"",0)="Free","Free",IF(XLOOKUP($A28,Partner_Tickets!$A:$A,Partner_Tickets!Z:Z,"",0)="VL","VL",IF(XLOOKUP($A28,Partner_Tickets!$A:$A,Partner_Tickets!Z:Z,"",0)="ATT","ATT",XLOOKUP($A28,Partner_Tickets!$A:$A,Partner_Tickets!Z:Z,"",0))))</f>
        <v>0.2916666667</v>
      </c>
      <c r="AA28" s="42">
        <f t="array" ref="AA28">IF(XLOOKUP($A28,Partner_Tickets!$A:$A,Partner_Tickets!AA:AA,"",0)="Free","Free",IF(XLOOKUP($A28,Partner_Tickets!$A:$A,Partner_Tickets!AA:AA,"",0)="VL","VL",IF(XLOOKUP($A28,Partner_Tickets!$A:$A,Partner_Tickets!AA:AA,"",0)="ATT","ATT",XLOOKUP($A28,Partner_Tickets!$A:$A,Partner_Tickets!AA:AA,"",0))))</f>
        <v>0.2916666667</v>
      </c>
      <c r="AB28" s="42">
        <f t="array" ref="AB28">IF(XLOOKUP($A28,Partner_Tickets!$A:$A,Partner_Tickets!AB:AB,"",0)="Free","Free",IF(XLOOKUP($A28,Partner_Tickets!$A:$A,Partner_Tickets!AB:AB,"",0)="VL","VL",IF(XLOOKUP($A28,Partner_Tickets!$A:$A,Partner_Tickets!AB:AB,"",0)="ATT","ATT",XLOOKUP($A28,Partner_Tickets!$A:$A,Partner_Tickets!AB:AB,"",0))))</f>
        <v>0.2916666667</v>
      </c>
      <c r="AC28" s="42" t="str">
        <f t="array" ref="AC28">IF(XLOOKUP($A28,Partner_Tickets!$A:$A,Partner_Tickets!AC:AC,"",0)="Free","Free",IF(XLOOKUP($A28,Partner_Tickets!$A:$A,Partner_Tickets!AC:AC,"",0)="VL","VL",IF(XLOOKUP($A28,Partner_Tickets!$A:$A,Partner_Tickets!AC:AC,"",0)="ATT","ATT",XLOOKUP($A28,Partner_Tickets!$A:$A,Partner_Tickets!AC:AC,"",0))))</f>
        <v>Free</v>
      </c>
      <c r="AD28" s="42">
        <f t="array" ref="AD28">IF(XLOOKUP($A28,Partner_Tickets!$A:$A,Partner_Tickets!AD:AD,"",0)="Free","Free",IF(XLOOKUP($A28,Partner_Tickets!$A:$A,Partner_Tickets!AD:AD,"",0)="VL","VL",IF(XLOOKUP($A28,Partner_Tickets!$A:$A,Partner_Tickets!AD:AD,"",0)="ATT","ATT",XLOOKUP($A28,Partner_Tickets!$A:$A,Partner_Tickets!AD:AD,"",0))))</f>
        <v>0.2916666667</v>
      </c>
      <c r="AE28" s="42">
        <f t="array" ref="AE28">IF(XLOOKUP($A28,Partner_Tickets!$A:$A,Partner_Tickets!AE:AE,"",0)="Free","Free",IF(XLOOKUP($A28,Partner_Tickets!$A:$A,Partner_Tickets!AE:AE,"",0)="VL","VL",IF(XLOOKUP($A28,Partner_Tickets!$A:$A,Partner_Tickets!AE:AE,"",0)="ATT","ATT",XLOOKUP($A28,Partner_Tickets!$A:$A,Partner_Tickets!AE:AE,"",0))))</f>
        <v>0.2916666667</v>
      </c>
      <c r="AF28" s="42"/>
      <c r="AG28" s="42">
        <f t="array" ref="AG28">IF(XLOOKUP($A28,Partner_Tickets!$A:$A,Partner_Tickets!AG:AG,"",0)="Free","Free",IF(XLOOKUP($A28,Partner_Tickets!$A:$A,Partner_Tickets!AG:AG,"",0)="VL","VL",IF(XLOOKUP($A28,Partner_Tickets!$A:$A,Partner_Tickets!AG:AG,"",0)="ATT","ATT",XLOOKUP($A28,Partner_Tickets!$A:$A,Partner_Tickets!AG:AG,"",0))))</f>
        <v>0.2916666667</v>
      </c>
      <c r="AH28" s="42">
        <f t="array" ref="AH28">IF(XLOOKUP($A28,Partner_Tickets!$A:$A,Partner_Tickets!AH:AH,"",0)="Free","Free",IF(XLOOKUP($A28,Partner_Tickets!$A:$A,Partner_Tickets!AH:AH,"",0)="VL","VL",IF(XLOOKUP($A28,Partner_Tickets!$A:$A,Partner_Tickets!AH:AH,"",0)="ATT","ATT",XLOOKUP($A28,Partner_Tickets!$A:$A,Partner_Tickets!AH:AH,"",0))))</f>
        <v>0.2916666667</v>
      </c>
      <c r="AI28" s="42">
        <f t="array" ref="AI28">IF(XLOOKUP($A28,Partner_Tickets!$A:$A,Partner_Tickets!AI:AI,"",0)="Free","Free",IF(XLOOKUP($A28,Partner_Tickets!$A:$A,Partner_Tickets!AI:AI,"",0)="VL","VL",IF(XLOOKUP($A28,Partner_Tickets!$A:$A,Partner_Tickets!AI:AI,"",0)="ATT","ATT",XLOOKUP($A28,Partner_Tickets!$A:$A,Partner_Tickets!AI:AI,"",0))))</f>
        <v>0.2916666667</v>
      </c>
      <c r="AJ28" s="42" t="str">
        <f t="array" ref="AJ28">IF(XLOOKUP($A28,Partner_Tickets!$A:$A,Partner_Tickets!AJ:AJ,"",0)="Free","Free",IF(XLOOKUP($A28,Partner_Tickets!$A:$A,Partner_Tickets!AJ:AJ,"",0)="VL","VL",IF(XLOOKUP($A28,Partner_Tickets!$A:$A,Partner_Tickets!AJ:AJ,"",0)="ATT","ATT",XLOOKUP($A28,Partner_Tickets!$A:$A,Partner_Tickets!AJ:AJ,"",0))))</f>
        <v>Free</v>
      </c>
      <c r="AK28" s="42">
        <f t="array" ref="AK28">IF(XLOOKUP($A28,Partner_Tickets!$A:$A,Partner_Tickets!AK:AK,"",0)="Free","Free",IF(XLOOKUP($A28,Partner_Tickets!$A:$A,Partner_Tickets!AK:AK,"",0)="VL","VL",IF(XLOOKUP($A28,Partner_Tickets!$A:$A,Partner_Tickets!AK:AK,"",0)="ATT","ATT",XLOOKUP($A28,Partner_Tickets!$A:$A,Partner_Tickets!AK:AK,"",0))))</f>
        <v>0.2916666667</v>
      </c>
      <c r="AL28" s="42">
        <f t="array" ref="AL28">IF(XLOOKUP($A28,Partner_Tickets!$A:$A,Partner_Tickets!AL:AL,"",0)="Free","Free",IF(XLOOKUP($A28,Partner_Tickets!$A:$A,Partner_Tickets!AL:AL,"",0)="VL","VL",IF(XLOOKUP($A28,Partner_Tickets!$A:$A,Partner_Tickets!AL:AL,"",0)="ATT","ATT",XLOOKUP($A28,Partner_Tickets!$A:$A,Partner_Tickets!AL:AL,"",0))))</f>
        <v>0.2916666667</v>
      </c>
      <c r="AM28" s="42"/>
    </row>
    <row r="29">
      <c r="A29" s="40" t="s">
        <v>160</v>
      </c>
      <c r="B29" s="44" t="str">
        <f t="array" ref="B29">XLOOKUP(A29,Roster!F:F,Roster!A:A,"",0)</f>
        <v>Edward Machado</v>
      </c>
      <c r="C29" s="44" t="str">
        <f t="array" ref="C29">XLOOKUP(A29,Roster!F:F,Roster!B:B,"",0)</f>
        <v>Jose Perez</v>
      </c>
      <c r="D29" s="40"/>
      <c r="E29" s="42" t="str">
        <f t="array" ref="E29">IF(XLOOKUP($A29,Partner_Tickets!$A:$A,Partner_Tickets!E:E,"",0)="Free","Free",IF(XLOOKUP($A29,Partner_Tickets!$A:$A,Partner_Tickets!E:E,"",0)="VL","VL",IF(XLOOKUP($A29,Partner_Tickets!$A:$A,Partner_Tickets!E:E,"",0)="ATT","ATT",XLOOKUP($A29,Partner_Tickets!$A:$A,Partner_Tickets!E:E,"",0))))</f>
        <v>VL</v>
      </c>
      <c r="F29" s="42" t="str">
        <f t="array" ref="F29">IF(XLOOKUP($A29,Partner_Tickets!$A:$A,Partner_Tickets!F:F,"",0)="Free","Free",IF(XLOOKUP($A29,Partner_Tickets!$A:$A,Partner_Tickets!F:F,"",0)="VL","VL",IF(XLOOKUP($A29,Partner_Tickets!$A:$A,Partner_Tickets!F:F,"",0)="ATT","ATT",XLOOKUP($A29,Partner_Tickets!$A:$A,Partner_Tickets!F:F,"",0))))</f>
        <v>VL</v>
      </c>
      <c r="G29" s="42" t="str">
        <f t="array" ref="G29">IF(XLOOKUP($A29,Partner_Tickets!$A:$A,Partner_Tickets!G:G,"",0)="Free","Free",IF(XLOOKUP($A29,Partner_Tickets!$A:$A,Partner_Tickets!G:G,"",0)="VL","VL",IF(XLOOKUP($A29,Partner_Tickets!$A:$A,Partner_Tickets!G:G,"",0)="ATT","ATT",XLOOKUP($A29,Partner_Tickets!$A:$A,Partner_Tickets!G:G,"",0))))</f>
        <v>VL</v>
      </c>
      <c r="H29" s="42" t="str">
        <f t="array" ref="H29">IF(XLOOKUP($A29,Partner_Tickets!$A:$A,Partner_Tickets!H:H,"",0)="Free","Free",IF(XLOOKUP($A29,Partner_Tickets!$A:$A,Partner_Tickets!H:H,"",0)="VL","VL",IF(XLOOKUP($A29,Partner_Tickets!$A:$A,Partner_Tickets!H:H,"",0)="ATT","ATT",XLOOKUP($A29,Partner_Tickets!$A:$A,Partner_Tickets!H:H,"",0))))</f>
        <v>VL</v>
      </c>
      <c r="I29" s="42" t="str">
        <f t="array" ref="I29">IF(XLOOKUP($A29,Partner_Tickets!$A:$A,Partner_Tickets!I:I,"",0)="Free","Free",IF(XLOOKUP($A29,Partner_Tickets!$A:$A,Partner_Tickets!I:I,"",0)="VL","VL",IF(XLOOKUP($A29,Partner_Tickets!$A:$A,Partner_Tickets!I:I,"",0)="ATT","ATT",XLOOKUP($A29,Partner_Tickets!$A:$A,Partner_Tickets!I:I,"",0))))</f>
        <v>VL</v>
      </c>
      <c r="J29" s="42" t="str">
        <f t="array" ref="J29">IF(XLOOKUP($A29,Partner_Tickets!$A:$A,Partner_Tickets!J:J,"",0)="Free","Free",IF(XLOOKUP($A29,Partner_Tickets!$A:$A,Partner_Tickets!J:J,"",0)="VL","VL",IF(XLOOKUP($A29,Partner_Tickets!$A:$A,Partner_Tickets!J:J,"",0)="ATT","ATT",XLOOKUP($A29,Partner_Tickets!$A:$A,Partner_Tickets!J:J,"",0))))</f>
        <v>VL</v>
      </c>
      <c r="K29" s="42" t="str">
        <f t="array" ref="K29">IF(XLOOKUP($A29,Partner_Tickets!$A:$A,Partner_Tickets!K:K,"",0)="Free","Free",IF(XLOOKUP($A29,Partner_Tickets!$A:$A,Partner_Tickets!K:K,"",0)="VL","VL",IF(XLOOKUP($A29,Partner_Tickets!$A:$A,Partner_Tickets!K:K,"",0)="ATT","ATT",XLOOKUP($A29,Partner_Tickets!$A:$A,Partner_Tickets!K:K,"",0))))</f>
        <v/>
      </c>
      <c r="L29" s="42" t="str">
        <f t="array" ref="L29">IF(XLOOKUP($A29,Partner_Tickets!$A:$A,Partner_Tickets!L:L,"",0)="Free","Free",IF(XLOOKUP($A29,Partner_Tickets!$A:$A,Partner_Tickets!L:L,"",0)="VL","VL",IF(XLOOKUP($A29,Partner_Tickets!$A:$A,Partner_Tickets!L:L,"",0)="ATT","ATT",XLOOKUP($A29,Partner_Tickets!$A:$A,Partner_Tickets!L:L,"",0))))</f>
        <v>VL</v>
      </c>
      <c r="M29" s="42" t="str">
        <f t="array" ref="M29">IF(XLOOKUP($A29,Partner_Tickets!$A:$A,Partner_Tickets!M:M,"",0)="Free","Free",IF(XLOOKUP($A29,Partner_Tickets!$A:$A,Partner_Tickets!M:M,"",0)="VL","VL",IF(XLOOKUP($A29,Partner_Tickets!$A:$A,Partner_Tickets!M:M,"",0)="ATT","ATT",XLOOKUP($A29,Partner_Tickets!$A:$A,Partner_Tickets!M:M,"",0))))</f>
        <v>VL</v>
      </c>
      <c r="N29" s="42" t="str">
        <f t="array" ref="N29">IF(XLOOKUP($A29,Partner_Tickets!$A:$A,Partner_Tickets!N:N,"",0)="Free","Free",IF(XLOOKUP($A29,Partner_Tickets!$A:$A,Partner_Tickets!N:N,"",0)="VL","VL",IF(XLOOKUP($A29,Partner_Tickets!$A:$A,Partner_Tickets!N:N,"",0)="ATT","ATT",XLOOKUP($A29,Partner_Tickets!$A:$A,Partner_Tickets!N:N,"",0))))</f>
        <v>VL</v>
      </c>
      <c r="O29" s="42" t="str">
        <f t="array" ref="O29">IF(XLOOKUP($A29,Partner_Tickets!$A:$A,Partner_Tickets!O:O,"",0)="Free","Free",IF(XLOOKUP($A29,Partner_Tickets!$A:$A,Partner_Tickets!O:O,"",0)="VL","VL",IF(XLOOKUP($A29,Partner_Tickets!$A:$A,Partner_Tickets!O:O,"",0)="ATT","ATT",XLOOKUP($A29,Partner_Tickets!$A:$A,Partner_Tickets!O:O,"",0))))</f>
        <v>VL</v>
      </c>
      <c r="P29" s="42" t="str">
        <f t="array" ref="P29">IF(XLOOKUP($A29,Partner_Tickets!$A:$A,Partner_Tickets!P:P,"",0)="Free","Free",IF(XLOOKUP($A29,Partner_Tickets!$A:$A,Partner_Tickets!P:P,"",0)="VL","VL",IF(XLOOKUP($A29,Partner_Tickets!$A:$A,Partner_Tickets!P:P,"",0)="ATT","ATT",XLOOKUP($A29,Partner_Tickets!$A:$A,Partner_Tickets!P:P,"",0))))</f>
        <v>VL</v>
      </c>
      <c r="Q29" s="42" t="str">
        <f t="array" ref="Q29">IF(XLOOKUP($A29,Partner_Tickets!$A:$A,Partner_Tickets!Q:Q,"",0)="Free","Free",IF(XLOOKUP($A29,Partner_Tickets!$A:$A,Partner_Tickets!Q:Q,"",0)="VL","VL",IF(XLOOKUP($A29,Partner_Tickets!$A:$A,Partner_Tickets!Q:Q,"",0)="ATT","ATT",XLOOKUP($A29,Partner_Tickets!$A:$A,Partner_Tickets!Q:Q,"",0))))</f>
        <v>VL</v>
      </c>
      <c r="R29" s="42"/>
      <c r="S29" s="42" t="str">
        <f t="array" ref="S29">IF(XLOOKUP($A29,Partner_Tickets!$A:$A,Partner_Tickets!S:S,"",0)="Free","Free",IF(XLOOKUP($A29,Partner_Tickets!$A:$A,Partner_Tickets!S:S,"",0)="VL","VL",IF(XLOOKUP($A29,Partner_Tickets!$A:$A,Partner_Tickets!S:S,"",0)="ATT","ATT",XLOOKUP($A29,Partner_Tickets!$A:$A,Partner_Tickets!S:S,"",0))))</f>
        <v>VL</v>
      </c>
      <c r="T29" s="42">
        <f t="array" ref="T29">IF(XLOOKUP($A29,Partner_Tickets!$A:$A,Partner_Tickets!T:T,"",0)="Free","Free",IF(XLOOKUP($A29,Partner_Tickets!$A:$A,Partner_Tickets!T:T,"",0)="VL","VL",IF(XLOOKUP($A29,Partner_Tickets!$A:$A,Partner_Tickets!T:T,"",0)="ATT","ATT",XLOOKUP($A29,Partner_Tickets!$A:$A,Partner_Tickets!T:T,"",0))))</f>
        <v>0.25</v>
      </c>
      <c r="U29" s="42">
        <f t="array" ref="U29">IF(XLOOKUP($A29,Partner_Tickets!$A:$A,Partner_Tickets!U:U,"",0)="Free","Free",IF(XLOOKUP($A29,Partner_Tickets!$A:$A,Partner_Tickets!U:U,"",0)="VL","VL",IF(XLOOKUP($A29,Partner_Tickets!$A:$A,Partner_Tickets!U:U,"",0)="ATT","ATT",XLOOKUP($A29,Partner_Tickets!$A:$A,Partner_Tickets!U:U,"",0))))</f>
        <v>0.25</v>
      </c>
      <c r="V29" s="42">
        <f t="array" ref="V29">IF(XLOOKUP($A29,Partner_Tickets!$A:$A,Partner_Tickets!V:V,"",0)="Free","Free",IF(XLOOKUP($A29,Partner_Tickets!$A:$A,Partner_Tickets!V:V,"",0)="VL","VL",IF(XLOOKUP($A29,Partner_Tickets!$A:$A,Partner_Tickets!V:V,"",0)="ATT","ATT",XLOOKUP($A29,Partner_Tickets!$A:$A,Partner_Tickets!V:V,"",0))))</f>
        <v>0.25</v>
      </c>
      <c r="W29" s="42">
        <f t="array" ref="W29">IF(XLOOKUP($A29,Partner_Tickets!$A:$A,Partner_Tickets!W:W,"",0)="Free","Free",IF(XLOOKUP($A29,Partner_Tickets!$A:$A,Partner_Tickets!W:W,"",0)="VL","VL",IF(XLOOKUP($A29,Partner_Tickets!$A:$A,Partner_Tickets!W:W,"",0)="ATT","ATT",XLOOKUP($A29,Partner_Tickets!$A:$A,Partner_Tickets!W:W,"",0))))</f>
        <v>0.25</v>
      </c>
      <c r="X29" s="42" t="str">
        <f t="array" ref="X29">IF(XLOOKUP($A29,Partner_Tickets!$A:$A,Partner_Tickets!X:X,"",0)="Free","Free",IF(XLOOKUP($A29,Partner_Tickets!$A:$A,Partner_Tickets!X:X,"",0)="VL","VL",IF(XLOOKUP($A29,Partner_Tickets!$A:$A,Partner_Tickets!X:X,"",0)="ATT","ATT",XLOOKUP($A29,Partner_Tickets!$A:$A,Partner_Tickets!X:X,"",0))))</f>
        <v>Free</v>
      </c>
      <c r="Y29" s="42"/>
      <c r="Z29" s="42">
        <f t="array" ref="Z29">IF(XLOOKUP($A29,Partner_Tickets!$A:$A,Partner_Tickets!Z:Z,"",0)="Free","Free",IF(XLOOKUP($A29,Partner_Tickets!$A:$A,Partner_Tickets!Z:Z,"",0)="VL","VL",IF(XLOOKUP($A29,Partner_Tickets!$A:$A,Partner_Tickets!Z:Z,"",0)="ATT","ATT",XLOOKUP($A29,Partner_Tickets!$A:$A,Partner_Tickets!Z:Z,"",0))))</f>
        <v>0.25</v>
      </c>
      <c r="AA29" s="42">
        <f t="array" ref="AA29">IF(XLOOKUP($A29,Partner_Tickets!$A:$A,Partner_Tickets!AA:AA,"",0)="Free","Free",IF(XLOOKUP($A29,Partner_Tickets!$A:$A,Partner_Tickets!AA:AA,"",0)="VL","VL",IF(XLOOKUP($A29,Partner_Tickets!$A:$A,Partner_Tickets!AA:AA,"",0)="ATT","ATT",XLOOKUP($A29,Partner_Tickets!$A:$A,Partner_Tickets!AA:AA,"",0))))</f>
        <v>0.25</v>
      </c>
      <c r="AB29" s="42">
        <f t="array" ref="AB29">IF(XLOOKUP($A29,Partner_Tickets!$A:$A,Partner_Tickets!AB:AB,"",0)="Free","Free",IF(XLOOKUP($A29,Partner_Tickets!$A:$A,Partner_Tickets!AB:AB,"",0)="VL","VL",IF(XLOOKUP($A29,Partner_Tickets!$A:$A,Partner_Tickets!AB:AB,"",0)="ATT","ATT",XLOOKUP($A29,Partner_Tickets!$A:$A,Partner_Tickets!AB:AB,"",0))))</f>
        <v>0.25</v>
      </c>
      <c r="AC29" s="42">
        <f t="array" ref="AC29">IF(XLOOKUP($A29,Partner_Tickets!$A:$A,Partner_Tickets!AC:AC,"",0)="Free","Free",IF(XLOOKUP($A29,Partner_Tickets!$A:$A,Partner_Tickets!AC:AC,"",0)="VL","VL",IF(XLOOKUP($A29,Partner_Tickets!$A:$A,Partner_Tickets!AC:AC,"",0)="ATT","ATT",XLOOKUP($A29,Partner_Tickets!$A:$A,Partner_Tickets!AC:AC,"",0))))</f>
        <v>0.25</v>
      </c>
      <c r="AD29" s="42">
        <f t="array" ref="AD29">IF(XLOOKUP($A29,Partner_Tickets!$A:$A,Partner_Tickets!AD:AD,"",0)="Free","Free",IF(XLOOKUP($A29,Partner_Tickets!$A:$A,Partner_Tickets!AD:AD,"",0)="VL","VL",IF(XLOOKUP($A29,Partner_Tickets!$A:$A,Partner_Tickets!AD:AD,"",0)="ATT","ATT",XLOOKUP($A29,Partner_Tickets!$A:$A,Partner_Tickets!AD:AD,"",0))))</f>
        <v>0.25</v>
      </c>
      <c r="AE29" s="42" t="str">
        <f t="array" ref="AE29">IF(XLOOKUP($A29,Partner_Tickets!$A:$A,Partner_Tickets!AE:AE,"",0)="Free","Free",IF(XLOOKUP($A29,Partner_Tickets!$A:$A,Partner_Tickets!AE:AE,"",0)="VL","VL",IF(XLOOKUP($A29,Partner_Tickets!$A:$A,Partner_Tickets!AE:AE,"",0)="ATT","ATT",XLOOKUP($A29,Partner_Tickets!$A:$A,Partner_Tickets!AE:AE,"",0))))</f>
        <v>Free</v>
      </c>
      <c r="AF29" s="42"/>
      <c r="AG29" s="42">
        <f t="array" ref="AG29">IF(XLOOKUP($A29,Partner_Tickets!$A:$A,Partner_Tickets!AG:AG,"",0)="Free","Free",IF(XLOOKUP($A29,Partner_Tickets!$A:$A,Partner_Tickets!AG:AG,"",0)="VL","VL",IF(XLOOKUP($A29,Partner_Tickets!$A:$A,Partner_Tickets!AG:AG,"",0)="ATT","ATT",XLOOKUP($A29,Partner_Tickets!$A:$A,Partner_Tickets!AG:AG,"",0))))</f>
        <v>0.25</v>
      </c>
      <c r="AH29" s="42">
        <f t="array" ref="AH29">IF(XLOOKUP($A29,Partner_Tickets!$A:$A,Partner_Tickets!AH:AH,"",0)="Free","Free",IF(XLOOKUP($A29,Partner_Tickets!$A:$A,Partner_Tickets!AH:AH,"",0)="VL","VL",IF(XLOOKUP($A29,Partner_Tickets!$A:$A,Partner_Tickets!AH:AH,"",0)="ATT","ATT",XLOOKUP($A29,Partner_Tickets!$A:$A,Partner_Tickets!AH:AH,"",0))))</f>
        <v>0.25</v>
      </c>
      <c r="AI29" s="42">
        <f t="array" ref="AI29">IF(XLOOKUP($A29,Partner_Tickets!$A:$A,Partner_Tickets!AI:AI,"",0)="Free","Free",IF(XLOOKUP($A29,Partner_Tickets!$A:$A,Partner_Tickets!AI:AI,"",0)="VL","VL",IF(XLOOKUP($A29,Partner_Tickets!$A:$A,Partner_Tickets!AI:AI,"",0)="ATT","ATT",XLOOKUP($A29,Partner_Tickets!$A:$A,Partner_Tickets!AI:AI,"",0))))</f>
        <v>0.25</v>
      </c>
      <c r="AJ29" s="42">
        <f t="array" ref="AJ29">IF(XLOOKUP($A29,Partner_Tickets!$A:$A,Partner_Tickets!AJ:AJ,"",0)="Free","Free",IF(XLOOKUP($A29,Partner_Tickets!$A:$A,Partner_Tickets!AJ:AJ,"",0)="VL","VL",IF(XLOOKUP($A29,Partner_Tickets!$A:$A,Partner_Tickets!AJ:AJ,"",0)="ATT","ATT",XLOOKUP($A29,Partner_Tickets!$A:$A,Partner_Tickets!AJ:AJ,"",0))))</f>
        <v>0.25</v>
      </c>
      <c r="AK29" s="42">
        <f t="array" ref="AK29">IF(XLOOKUP($A29,Partner_Tickets!$A:$A,Partner_Tickets!AK:AK,"",0)="Free","Free",IF(XLOOKUP($A29,Partner_Tickets!$A:$A,Partner_Tickets!AK:AK,"",0)="VL","VL",IF(XLOOKUP($A29,Partner_Tickets!$A:$A,Partner_Tickets!AK:AK,"",0)="ATT","ATT",XLOOKUP($A29,Partner_Tickets!$A:$A,Partner_Tickets!AK:AK,"",0))))</f>
        <v>0.25</v>
      </c>
      <c r="AL29" s="42" t="str">
        <f t="array" ref="AL29">IF(XLOOKUP($A29,Partner_Tickets!$A:$A,Partner_Tickets!AL:AL,"",0)="Free","Free",IF(XLOOKUP($A29,Partner_Tickets!$A:$A,Partner_Tickets!AL:AL,"",0)="VL","VL",IF(XLOOKUP($A29,Partner_Tickets!$A:$A,Partner_Tickets!AL:AL,"",0)="ATT","ATT",XLOOKUP($A29,Partner_Tickets!$A:$A,Partner_Tickets!AL:AL,"",0))))</f>
        <v>Free</v>
      </c>
      <c r="AM29" s="42"/>
    </row>
    <row r="30">
      <c r="A30" s="40" t="s">
        <v>161</v>
      </c>
      <c r="B30" s="44" t="str">
        <f t="array" ref="B30">XLOOKUP(A30,Roster!F:F,Roster!A:A,"",0)</f>
        <v>Edward Machado</v>
      </c>
      <c r="C30" s="44" t="str">
        <f t="array" ref="C30">XLOOKUP(A30,Roster!F:F,Roster!B:B,"",0)</f>
        <v>Jose Zapata</v>
      </c>
      <c r="D30" s="40"/>
      <c r="E30" s="42">
        <f t="array" ref="E30">IF(XLOOKUP($A30,Partner_Tickets!$A:$A,Partner_Tickets!E:E,"",0)="Free","Free",IF(XLOOKUP($A30,Partner_Tickets!$A:$A,Partner_Tickets!E:E,"",0)="VL","VL",IF(XLOOKUP($A30,Partner_Tickets!$A:$A,Partner_Tickets!E:E,"",0)="ATT","ATT",XLOOKUP($A30,Partner_Tickets!$A:$A,Partner_Tickets!E:E,"",0))))</f>
        <v>0.3333333333</v>
      </c>
      <c r="F30" s="42">
        <f t="array" ref="F30">IF(XLOOKUP($A30,Partner_Tickets!$A:$A,Partner_Tickets!F:F,"",0)="Free","Free",IF(XLOOKUP($A30,Partner_Tickets!$A:$A,Partner_Tickets!F:F,"",0)="VL","VL",IF(XLOOKUP($A30,Partner_Tickets!$A:$A,Partner_Tickets!F:F,"",0)="ATT","ATT",XLOOKUP($A30,Partner_Tickets!$A:$A,Partner_Tickets!F:F,"",0))))</f>
        <v>0.3333333333</v>
      </c>
      <c r="G30" s="42">
        <f t="array" ref="G30">IF(XLOOKUP($A30,Partner_Tickets!$A:$A,Partner_Tickets!G:G,"",0)="Free","Free",IF(XLOOKUP($A30,Partner_Tickets!$A:$A,Partner_Tickets!G:G,"",0)="VL","VL",IF(XLOOKUP($A30,Partner_Tickets!$A:$A,Partner_Tickets!G:G,"",0)="ATT","ATT",XLOOKUP($A30,Partner_Tickets!$A:$A,Partner_Tickets!G:G,"",0))))</f>
        <v>0.3333333333</v>
      </c>
      <c r="H30" s="42">
        <f t="array" ref="H30">IF(XLOOKUP($A30,Partner_Tickets!$A:$A,Partner_Tickets!H:H,"",0)="Free","Free",IF(XLOOKUP($A30,Partner_Tickets!$A:$A,Partner_Tickets!H:H,"",0)="VL","VL",IF(XLOOKUP($A30,Partner_Tickets!$A:$A,Partner_Tickets!H:H,"",0)="ATT","ATT",XLOOKUP($A30,Partner_Tickets!$A:$A,Partner_Tickets!H:H,"",0))))</f>
        <v>0.3333333333</v>
      </c>
      <c r="I30" s="42" t="str">
        <f t="array" ref="I30">IF(XLOOKUP($A30,Partner_Tickets!$A:$A,Partner_Tickets!I:I,"",0)="Free","Free",IF(XLOOKUP($A30,Partner_Tickets!$A:$A,Partner_Tickets!I:I,"",0)="VL","VL",IF(XLOOKUP($A30,Partner_Tickets!$A:$A,Partner_Tickets!I:I,"",0)="ATT","ATT",XLOOKUP($A30,Partner_Tickets!$A:$A,Partner_Tickets!I:I,"",0))))</f>
        <v>Free</v>
      </c>
      <c r="J30" s="42">
        <f t="array" ref="J30">IF(XLOOKUP($A30,Partner_Tickets!$A:$A,Partner_Tickets!J:J,"",0)="Free","Free",IF(XLOOKUP($A30,Partner_Tickets!$A:$A,Partner_Tickets!J:J,"",0)="VL","VL",IF(XLOOKUP($A30,Partner_Tickets!$A:$A,Partner_Tickets!J:J,"",0)="ATT","ATT",XLOOKUP($A30,Partner_Tickets!$A:$A,Partner_Tickets!J:J,"",0))))</f>
        <v>0.3333333333</v>
      </c>
      <c r="K30" s="42" t="str">
        <f t="array" ref="K30">IF(XLOOKUP($A30,Partner_Tickets!$A:$A,Partner_Tickets!K:K,"",0)="Free","Free",IF(XLOOKUP($A30,Partner_Tickets!$A:$A,Partner_Tickets!K:K,"",0)="VL","VL",IF(XLOOKUP($A30,Partner_Tickets!$A:$A,Partner_Tickets!K:K,"",0)="ATT","ATT",XLOOKUP($A30,Partner_Tickets!$A:$A,Partner_Tickets!K:K,"",0))))</f>
        <v/>
      </c>
      <c r="L30" s="42">
        <f t="array" ref="L30">IF(XLOOKUP($A30,Partner_Tickets!$A:$A,Partner_Tickets!L:L,"",0)="Free","Free",IF(XLOOKUP($A30,Partner_Tickets!$A:$A,Partner_Tickets!L:L,"",0)="VL","VL",IF(XLOOKUP($A30,Partner_Tickets!$A:$A,Partner_Tickets!L:L,"",0)="ATT","ATT",XLOOKUP($A30,Partner_Tickets!$A:$A,Partner_Tickets!L:L,"",0))))</f>
        <v>0.3333333333</v>
      </c>
      <c r="M30" s="42">
        <f t="array" ref="M30">IF(XLOOKUP($A30,Partner_Tickets!$A:$A,Partner_Tickets!M:M,"",0)="Free","Free",IF(XLOOKUP($A30,Partner_Tickets!$A:$A,Partner_Tickets!M:M,"",0)="VL","VL",IF(XLOOKUP($A30,Partner_Tickets!$A:$A,Partner_Tickets!M:M,"",0)="ATT","ATT",XLOOKUP($A30,Partner_Tickets!$A:$A,Partner_Tickets!M:M,"",0))))</f>
        <v>0.3333333333</v>
      </c>
      <c r="N30" s="42">
        <f t="array" ref="N30">IF(XLOOKUP($A30,Partner_Tickets!$A:$A,Partner_Tickets!N:N,"",0)="Free","Free",IF(XLOOKUP($A30,Partner_Tickets!$A:$A,Partner_Tickets!N:N,"",0)="VL","VL",IF(XLOOKUP($A30,Partner_Tickets!$A:$A,Partner_Tickets!N:N,"",0)="ATT","ATT",XLOOKUP($A30,Partner_Tickets!$A:$A,Partner_Tickets!N:N,"",0))))</f>
        <v>0.3333333333</v>
      </c>
      <c r="O30" s="42">
        <f t="array" ref="O30">IF(XLOOKUP($A30,Partner_Tickets!$A:$A,Partner_Tickets!O:O,"",0)="Free","Free",IF(XLOOKUP($A30,Partner_Tickets!$A:$A,Partner_Tickets!O:O,"",0)="VL","VL",IF(XLOOKUP($A30,Partner_Tickets!$A:$A,Partner_Tickets!O:O,"",0)="ATT","ATT",XLOOKUP($A30,Partner_Tickets!$A:$A,Partner_Tickets!O:O,"",0))))</f>
        <v>0.3333333333</v>
      </c>
      <c r="P30" s="42" t="str">
        <f t="array" ref="P30">IF(XLOOKUP($A30,Partner_Tickets!$A:$A,Partner_Tickets!P:P,"",0)="Free","Free",IF(XLOOKUP($A30,Partner_Tickets!$A:$A,Partner_Tickets!P:P,"",0)="VL","VL",IF(XLOOKUP($A30,Partner_Tickets!$A:$A,Partner_Tickets!P:P,"",0)="ATT","ATT",XLOOKUP($A30,Partner_Tickets!$A:$A,Partner_Tickets!P:P,"",0))))</f>
        <v>Free</v>
      </c>
      <c r="Q30" s="42">
        <f t="array" ref="Q30">IF(XLOOKUP($A30,Partner_Tickets!$A:$A,Partner_Tickets!Q:Q,"",0)="Free","Free",IF(XLOOKUP($A30,Partner_Tickets!$A:$A,Partner_Tickets!Q:Q,"",0)="VL","VL",IF(XLOOKUP($A30,Partner_Tickets!$A:$A,Partner_Tickets!Q:Q,"",0)="ATT","ATT",XLOOKUP($A30,Partner_Tickets!$A:$A,Partner_Tickets!Q:Q,"",0))))</f>
        <v>0.3333333333</v>
      </c>
      <c r="R30" s="42"/>
      <c r="S30" s="42">
        <f t="array" ref="S30">IF(XLOOKUP($A30,Partner_Tickets!$A:$A,Partner_Tickets!S:S,"",0)="Free","Free",IF(XLOOKUP($A30,Partner_Tickets!$A:$A,Partner_Tickets!S:S,"",0)="VL","VL",IF(XLOOKUP($A30,Partner_Tickets!$A:$A,Partner_Tickets!S:S,"",0)="ATT","ATT",XLOOKUP($A30,Partner_Tickets!$A:$A,Partner_Tickets!S:S,"",0))))</f>
        <v>0.3333333333</v>
      </c>
      <c r="T30" s="42">
        <f t="array" ref="T30">IF(XLOOKUP($A30,Partner_Tickets!$A:$A,Partner_Tickets!T:T,"",0)="Free","Free",IF(XLOOKUP($A30,Partner_Tickets!$A:$A,Partner_Tickets!T:T,"",0)="VL","VL",IF(XLOOKUP($A30,Partner_Tickets!$A:$A,Partner_Tickets!T:T,"",0)="ATT","ATT",XLOOKUP($A30,Partner_Tickets!$A:$A,Partner_Tickets!T:T,"",0))))</f>
        <v>0.3333333333</v>
      </c>
      <c r="U30" s="42">
        <f t="array" ref="U30">IF(XLOOKUP($A30,Partner_Tickets!$A:$A,Partner_Tickets!U:U,"",0)="Free","Free",IF(XLOOKUP($A30,Partner_Tickets!$A:$A,Partner_Tickets!U:U,"",0)="VL","VL",IF(XLOOKUP($A30,Partner_Tickets!$A:$A,Partner_Tickets!U:U,"",0)="ATT","ATT",XLOOKUP($A30,Partner_Tickets!$A:$A,Partner_Tickets!U:U,"",0))))</f>
        <v>0.3333333333</v>
      </c>
      <c r="V30" s="42">
        <f t="array" ref="V30">IF(XLOOKUP($A30,Partner_Tickets!$A:$A,Partner_Tickets!V:V,"",0)="Free","Free",IF(XLOOKUP($A30,Partner_Tickets!$A:$A,Partner_Tickets!V:V,"",0)="VL","VL",IF(XLOOKUP($A30,Partner_Tickets!$A:$A,Partner_Tickets!V:V,"",0)="ATT","ATT",XLOOKUP($A30,Partner_Tickets!$A:$A,Partner_Tickets!V:V,"",0))))</f>
        <v>0.3333333333</v>
      </c>
      <c r="W30" s="42" t="str">
        <f t="array" ref="W30">IF(XLOOKUP($A30,Partner_Tickets!$A:$A,Partner_Tickets!W:W,"",0)="Free","Free",IF(XLOOKUP($A30,Partner_Tickets!$A:$A,Partner_Tickets!W:W,"",0)="VL","VL",IF(XLOOKUP($A30,Partner_Tickets!$A:$A,Partner_Tickets!W:W,"",0)="ATT","ATT",XLOOKUP($A30,Partner_Tickets!$A:$A,Partner_Tickets!W:W,"",0))))</f>
        <v>Free</v>
      </c>
      <c r="X30" s="42">
        <f t="array" ref="X30">IF(XLOOKUP($A30,Partner_Tickets!$A:$A,Partner_Tickets!X:X,"",0)="Free","Free",IF(XLOOKUP($A30,Partner_Tickets!$A:$A,Partner_Tickets!X:X,"",0)="VL","VL",IF(XLOOKUP($A30,Partner_Tickets!$A:$A,Partner_Tickets!X:X,"",0)="ATT","ATT",XLOOKUP($A30,Partner_Tickets!$A:$A,Partner_Tickets!X:X,"",0))))</f>
        <v>0.3333333333</v>
      </c>
      <c r="Y30" s="42"/>
      <c r="Z30" s="42">
        <f t="array" ref="Z30">IF(XLOOKUP($A30,Partner_Tickets!$A:$A,Partner_Tickets!Z:Z,"",0)="Free","Free",IF(XLOOKUP($A30,Partner_Tickets!$A:$A,Partner_Tickets!Z:Z,"",0)="VL","VL",IF(XLOOKUP($A30,Partner_Tickets!$A:$A,Partner_Tickets!Z:Z,"",0)="ATT","ATT",XLOOKUP($A30,Partner_Tickets!$A:$A,Partner_Tickets!Z:Z,"",0))))</f>
        <v>0.3333333333</v>
      </c>
      <c r="AA30" s="42">
        <f t="array" ref="AA30">IF(XLOOKUP($A30,Partner_Tickets!$A:$A,Partner_Tickets!AA:AA,"",0)="Free","Free",IF(XLOOKUP($A30,Partner_Tickets!$A:$A,Partner_Tickets!AA:AA,"",0)="VL","VL",IF(XLOOKUP($A30,Partner_Tickets!$A:$A,Partner_Tickets!AA:AA,"",0)="ATT","ATT",XLOOKUP($A30,Partner_Tickets!$A:$A,Partner_Tickets!AA:AA,"",0))))</f>
        <v>0.3333333333</v>
      </c>
      <c r="AB30" s="42">
        <f t="array" ref="AB30">IF(XLOOKUP($A30,Partner_Tickets!$A:$A,Partner_Tickets!AB:AB,"",0)="Free","Free",IF(XLOOKUP($A30,Partner_Tickets!$A:$A,Partner_Tickets!AB:AB,"",0)="VL","VL",IF(XLOOKUP($A30,Partner_Tickets!$A:$A,Partner_Tickets!AB:AB,"",0)="ATT","ATT",XLOOKUP($A30,Partner_Tickets!$A:$A,Partner_Tickets!AB:AB,"",0))))</f>
        <v>0.3333333333</v>
      </c>
      <c r="AC30" s="42">
        <f t="array" ref="AC30">IF(XLOOKUP($A30,Partner_Tickets!$A:$A,Partner_Tickets!AC:AC,"",0)="Free","Free",IF(XLOOKUP($A30,Partner_Tickets!$A:$A,Partner_Tickets!AC:AC,"",0)="VL","VL",IF(XLOOKUP($A30,Partner_Tickets!$A:$A,Partner_Tickets!AC:AC,"",0)="ATT","ATT",XLOOKUP($A30,Partner_Tickets!$A:$A,Partner_Tickets!AC:AC,"",0))))</f>
        <v>0.3333333333</v>
      </c>
      <c r="AD30" s="42" t="str">
        <f t="array" ref="AD30">IF(XLOOKUP($A30,Partner_Tickets!$A:$A,Partner_Tickets!AD:AD,"",0)="Free","Free",IF(XLOOKUP($A30,Partner_Tickets!$A:$A,Partner_Tickets!AD:AD,"",0)="VL","VL",IF(XLOOKUP($A30,Partner_Tickets!$A:$A,Partner_Tickets!AD:AD,"",0)="ATT","ATT",XLOOKUP($A30,Partner_Tickets!$A:$A,Partner_Tickets!AD:AD,"",0))))</f>
        <v>Free</v>
      </c>
      <c r="AE30" s="42">
        <f t="array" ref="AE30">IF(XLOOKUP($A30,Partner_Tickets!$A:$A,Partner_Tickets!AE:AE,"",0)="Free","Free",IF(XLOOKUP($A30,Partner_Tickets!$A:$A,Partner_Tickets!AE:AE,"",0)="VL","VL",IF(XLOOKUP($A30,Partner_Tickets!$A:$A,Partner_Tickets!AE:AE,"",0)="ATT","ATT",XLOOKUP($A30,Partner_Tickets!$A:$A,Partner_Tickets!AE:AE,"",0))))</f>
        <v>0.3333333333</v>
      </c>
      <c r="AF30" s="42"/>
      <c r="AG30" s="42">
        <f t="array" ref="AG30">IF(XLOOKUP($A30,Partner_Tickets!$A:$A,Partner_Tickets!AG:AG,"",0)="Free","Free",IF(XLOOKUP($A30,Partner_Tickets!$A:$A,Partner_Tickets!AG:AG,"",0)="VL","VL",IF(XLOOKUP($A30,Partner_Tickets!$A:$A,Partner_Tickets!AG:AG,"",0)="ATT","ATT",XLOOKUP($A30,Partner_Tickets!$A:$A,Partner_Tickets!AG:AG,"",0))))</f>
        <v>0.3333333333</v>
      </c>
      <c r="AH30" s="42">
        <f t="array" ref="AH30">IF(XLOOKUP($A30,Partner_Tickets!$A:$A,Partner_Tickets!AH:AH,"",0)="Free","Free",IF(XLOOKUP($A30,Partner_Tickets!$A:$A,Partner_Tickets!AH:AH,"",0)="VL","VL",IF(XLOOKUP($A30,Partner_Tickets!$A:$A,Partner_Tickets!AH:AH,"",0)="ATT","ATT",XLOOKUP($A30,Partner_Tickets!$A:$A,Partner_Tickets!AH:AH,"",0))))</f>
        <v>0.3333333333</v>
      </c>
      <c r="AI30" s="42">
        <f t="array" ref="AI30">IF(XLOOKUP($A30,Partner_Tickets!$A:$A,Partner_Tickets!AI:AI,"",0)="Free","Free",IF(XLOOKUP($A30,Partner_Tickets!$A:$A,Partner_Tickets!AI:AI,"",0)="VL","VL",IF(XLOOKUP($A30,Partner_Tickets!$A:$A,Partner_Tickets!AI:AI,"",0)="ATT","ATT",XLOOKUP($A30,Partner_Tickets!$A:$A,Partner_Tickets!AI:AI,"",0))))</f>
        <v>0.3333333333</v>
      </c>
      <c r="AJ30" s="42">
        <f t="array" ref="AJ30">IF(XLOOKUP($A30,Partner_Tickets!$A:$A,Partner_Tickets!AJ:AJ,"",0)="Free","Free",IF(XLOOKUP($A30,Partner_Tickets!$A:$A,Partner_Tickets!AJ:AJ,"",0)="VL","VL",IF(XLOOKUP($A30,Partner_Tickets!$A:$A,Partner_Tickets!AJ:AJ,"",0)="ATT","ATT",XLOOKUP($A30,Partner_Tickets!$A:$A,Partner_Tickets!AJ:AJ,"",0))))</f>
        <v>0.3333333333</v>
      </c>
      <c r="AK30" s="42" t="str">
        <f t="array" ref="AK30">IF(XLOOKUP($A30,Partner_Tickets!$A:$A,Partner_Tickets!AK:AK,"",0)="Free","Free",IF(XLOOKUP($A30,Partner_Tickets!$A:$A,Partner_Tickets!AK:AK,"",0)="VL","VL",IF(XLOOKUP($A30,Partner_Tickets!$A:$A,Partner_Tickets!AK:AK,"",0)="ATT","ATT",XLOOKUP($A30,Partner_Tickets!$A:$A,Partner_Tickets!AK:AK,"",0))))</f>
        <v>Free</v>
      </c>
      <c r="AL30" s="42">
        <f t="array" ref="AL30">IF(XLOOKUP($A30,Partner_Tickets!$A:$A,Partner_Tickets!AL:AL,"",0)="Free","Free",IF(XLOOKUP($A30,Partner_Tickets!$A:$A,Partner_Tickets!AL:AL,"",0)="VL","VL",IF(XLOOKUP($A30,Partner_Tickets!$A:$A,Partner_Tickets!AL:AL,"",0)="ATT","ATT",XLOOKUP($A30,Partner_Tickets!$A:$A,Partner_Tickets!AL:AL,"",0))))</f>
        <v>0.3333333333</v>
      </c>
      <c r="AM30" s="42"/>
    </row>
    <row r="31">
      <c r="A31" s="43" t="s">
        <v>162</v>
      </c>
      <c r="B31" s="44" t="str">
        <f t="array" ref="B31">XLOOKUP(A31,Roster!F:F,Roster!A:A,"",0)</f>
        <v>Edward Machado</v>
      </c>
      <c r="C31" s="44" t="str">
        <f t="array" ref="C31">XLOOKUP(A31,Roster!F:F,Roster!B:B,"",0)</f>
        <v>Juan Durango</v>
      </c>
      <c r="D31" s="40"/>
      <c r="E31" s="42">
        <f t="array" ref="E31">IF(XLOOKUP($A31,Partner_Tickets!$A:$A,Partner_Tickets!E:E,"",0)="Free","Free",IF(XLOOKUP($A31,Partner_Tickets!$A:$A,Partner_Tickets!E:E,"",0)="VL","VL",IF(XLOOKUP($A31,Partner_Tickets!$A:$A,Partner_Tickets!E:E,"",0)="ATT","ATT",XLOOKUP($A31,Partner_Tickets!$A:$A,Partner_Tickets!E:E,"",0))))</f>
        <v>0.3333333333</v>
      </c>
      <c r="F31" s="42">
        <f t="array" ref="F31">IF(XLOOKUP($A31,Partner_Tickets!$A:$A,Partner_Tickets!F:F,"",0)="Free","Free",IF(XLOOKUP($A31,Partner_Tickets!$A:$A,Partner_Tickets!F:F,"",0)="VL","VL",IF(XLOOKUP($A31,Partner_Tickets!$A:$A,Partner_Tickets!F:F,"",0)="ATT","ATT",XLOOKUP($A31,Partner_Tickets!$A:$A,Partner_Tickets!F:F,"",0))))</f>
        <v>0.3333333333</v>
      </c>
      <c r="G31" s="42">
        <f t="array" ref="G31">IF(XLOOKUP($A31,Partner_Tickets!$A:$A,Partner_Tickets!G:G,"",0)="Free","Free",IF(XLOOKUP($A31,Partner_Tickets!$A:$A,Partner_Tickets!G:G,"",0)="VL","VL",IF(XLOOKUP($A31,Partner_Tickets!$A:$A,Partner_Tickets!G:G,"",0)="ATT","ATT",XLOOKUP($A31,Partner_Tickets!$A:$A,Partner_Tickets!G:G,"",0))))</f>
        <v>0.3333333333</v>
      </c>
      <c r="H31" s="42" t="str">
        <f t="array" ref="H31">IF(XLOOKUP($A31,Partner_Tickets!$A:$A,Partner_Tickets!H:H,"",0)="Free","Free",IF(XLOOKUP($A31,Partner_Tickets!$A:$A,Partner_Tickets!H:H,"",0)="VL","VL",IF(XLOOKUP($A31,Partner_Tickets!$A:$A,Partner_Tickets!H:H,"",0)="ATT","ATT",XLOOKUP($A31,Partner_Tickets!$A:$A,Partner_Tickets!H:H,"",0))))</f>
        <v>Free</v>
      </c>
      <c r="I31" s="42">
        <f t="array" ref="I31">IF(XLOOKUP($A31,Partner_Tickets!$A:$A,Partner_Tickets!I:I,"",0)="Free","Free",IF(XLOOKUP($A31,Partner_Tickets!$A:$A,Partner_Tickets!I:I,"",0)="VL","VL",IF(XLOOKUP($A31,Partner_Tickets!$A:$A,Partner_Tickets!I:I,"",0)="ATT","ATT",XLOOKUP($A31,Partner_Tickets!$A:$A,Partner_Tickets!I:I,"",0))))</f>
        <v>0.3333333333</v>
      </c>
      <c r="J31" s="42">
        <f t="array" ref="J31">IF(XLOOKUP($A31,Partner_Tickets!$A:$A,Partner_Tickets!J:J,"",0)="Free","Free",IF(XLOOKUP($A31,Partner_Tickets!$A:$A,Partner_Tickets!J:J,"",0)="VL","VL",IF(XLOOKUP($A31,Partner_Tickets!$A:$A,Partner_Tickets!J:J,"",0)="ATT","ATT",XLOOKUP($A31,Partner_Tickets!$A:$A,Partner_Tickets!J:J,"",0))))</f>
        <v>0.3333333333</v>
      </c>
      <c r="K31" s="42" t="str">
        <f t="array" ref="K31">IF(XLOOKUP($A31,Partner_Tickets!$A:$A,Partner_Tickets!K:K,"",0)="Free","Free",IF(XLOOKUP($A31,Partner_Tickets!$A:$A,Partner_Tickets!K:K,"",0)="VL","VL",IF(XLOOKUP($A31,Partner_Tickets!$A:$A,Partner_Tickets!K:K,"",0)="ATT","ATT",XLOOKUP($A31,Partner_Tickets!$A:$A,Partner_Tickets!K:K,"",0))))</f>
        <v/>
      </c>
      <c r="L31" s="42">
        <f t="array" ref="L31">IF(XLOOKUP($A31,Partner_Tickets!$A:$A,Partner_Tickets!L:L,"",0)="Free","Free",IF(XLOOKUP($A31,Partner_Tickets!$A:$A,Partner_Tickets!L:L,"",0)="VL","VL",IF(XLOOKUP($A31,Partner_Tickets!$A:$A,Partner_Tickets!L:L,"",0)="ATT","ATT",XLOOKUP($A31,Partner_Tickets!$A:$A,Partner_Tickets!L:L,"",0))))</f>
        <v>0.3333333333</v>
      </c>
      <c r="M31" s="42">
        <f t="array" ref="M31">IF(XLOOKUP($A31,Partner_Tickets!$A:$A,Partner_Tickets!M:M,"",0)="Free","Free",IF(XLOOKUP($A31,Partner_Tickets!$A:$A,Partner_Tickets!M:M,"",0)="VL","VL",IF(XLOOKUP($A31,Partner_Tickets!$A:$A,Partner_Tickets!M:M,"",0)="ATT","ATT",XLOOKUP($A31,Partner_Tickets!$A:$A,Partner_Tickets!M:M,"",0))))</f>
        <v>0.3333333333</v>
      </c>
      <c r="N31" s="42">
        <f t="array" ref="N31">IF(XLOOKUP($A31,Partner_Tickets!$A:$A,Partner_Tickets!N:N,"",0)="Free","Free",IF(XLOOKUP($A31,Partner_Tickets!$A:$A,Partner_Tickets!N:N,"",0)="VL","VL",IF(XLOOKUP($A31,Partner_Tickets!$A:$A,Partner_Tickets!N:N,"",0)="ATT","ATT",XLOOKUP($A31,Partner_Tickets!$A:$A,Partner_Tickets!N:N,"",0))))</f>
        <v>0.3333333333</v>
      </c>
      <c r="O31" s="42">
        <f t="array" ref="O31">IF(XLOOKUP($A31,Partner_Tickets!$A:$A,Partner_Tickets!O:O,"",0)="Free","Free",IF(XLOOKUP($A31,Partner_Tickets!$A:$A,Partner_Tickets!O:O,"",0)="VL","VL",IF(XLOOKUP($A31,Partner_Tickets!$A:$A,Partner_Tickets!O:O,"",0)="ATT","ATT",XLOOKUP($A31,Partner_Tickets!$A:$A,Partner_Tickets!O:O,"",0))))</f>
        <v>0.3333333333</v>
      </c>
      <c r="P31" s="42">
        <f t="array" ref="P31">IF(XLOOKUP($A31,Partner_Tickets!$A:$A,Partner_Tickets!P:P,"",0)="Free","Free",IF(XLOOKUP($A31,Partner_Tickets!$A:$A,Partner_Tickets!P:P,"",0)="VL","VL",IF(XLOOKUP($A31,Partner_Tickets!$A:$A,Partner_Tickets!P:P,"",0)="ATT","ATT",XLOOKUP($A31,Partner_Tickets!$A:$A,Partner_Tickets!P:P,"",0))))</f>
        <v>0.3333333333</v>
      </c>
      <c r="Q31" s="42" t="str">
        <f t="array" ref="Q31">IF(XLOOKUP($A31,Partner_Tickets!$A:$A,Partner_Tickets!Q:Q,"",0)="Free","Free",IF(XLOOKUP($A31,Partner_Tickets!$A:$A,Partner_Tickets!Q:Q,"",0)="VL","VL",IF(XLOOKUP($A31,Partner_Tickets!$A:$A,Partner_Tickets!Q:Q,"",0)="ATT","ATT",XLOOKUP($A31,Partner_Tickets!$A:$A,Partner_Tickets!Q:Q,"",0))))</f>
        <v>Free</v>
      </c>
      <c r="R31" s="42"/>
      <c r="S31" s="42">
        <f t="array" ref="S31">IF(XLOOKUP($A31,Partner_Tickets!$A:$A,Partner_Tickets!S:S,"",0)="Free","Free",IF(XLOOKUP($A31,Partner_Tickets!$A:$A,Partner_Tickets!S:S,"",0)="VL","VL",IF(XLOOKUP($A31,Partner_Tickets!$A:$A,Partner_Tickets!S:S,"",0)="ATT","ATT",XLOOKUP($A31,Partner_Tickets!$A:$A,Partner_Tickets!S:S,"",0))))</f>
        <v>0.3333333333</v>
      </c>
      <c r="T31" s="42">
        <f t="array" ref="T31">IF(XLOOKUP($A31,Partner_Tickets!$A:$A,Partner_Tickets!T:T,"",0)="Free","Free",IF(XLOOKUP($A31,Partner_Tickets!$A:$A,Partner_Tickets!T:T,"",0)="VL","VL",IF(XLOOKUP($A31,Partner_Tickets!$A:$A,Partner_Tickets!T:T,"",0)="ATT","ATT",XLOOKUP($A31,Partner_Tickets!$A:$A,Partner_Tickets!T:T,"",0))))</f>
        <v>0.3333333333</v>
      </c>
      <c r="U31" s="42">
        <f t="array" ref="U31">IF(XLOOKUP($A31,Partner_Tickets!$A:$A,Partner_Tickets!U:U,"",0)="Free","Free",IF(XLOOKUP($A31,Partner_Tickets!$A:$A,Partner_Tickets!U:U,"",0)="VL","VL",IF(XLOOKUP($A31,Partner_Tickets!$A:$A,Partner_Tickets!U:U,"",0)="ATT","ATT",XLOOKUP($A31,Partner_Tickets!$A:$A,Partner_Tickets!U:U,"",0))))</f>
        <v>0.3333333333</v>
      </c>
      <c r="V31" s="42">
        <f t="array" ref="V31">IF(XLOOKUP($A31,Partner_Tickets!$A:$A,Partner_Tickets!V:V,"",0)="Free","Free",IF(XLOOKUP($A31,Partner_Tickets!$A:$A,Partner_Tickets!V:V,"",0)="VL","VL",IF(XLOOKUP($A31,Partner_Tickets!$A:$A,Partner_Tickets!V:V,"",0)="ATT","ATT",XLOOKUP($A31,Partner_Tickets!$A:$A,Partner_Tickets!V:V,"",0))))</f>
        <v>0.3333333333</v>
      </c>
      <c r="W31" s="42">
        <f t="array" ref="W31">IF(XLOOKUP($A31,Partner_Tickets!$A:$A,Partner_Tickets!W:W,"",0)="Free","Free",IF(XLOOKUP($A31,Partner_Tickets!$A:$A,Partner_Tickets!W:W,"",0)="VL","VL",IF(XLOOKUP($A31,Partner_Tickets!$A:$A,Partner_Tickets!W:W,"",0)="ATT","ATT",XLOOKUP($A31,Partner_Tickets!$A:$A,Partner_Tickets!W:W,"",0))))</f>
        <v>0.3333333333</v>
      </c>
      <c r="X31" s="42" t="str">
        <f t="array" ref="X31">IF(XLOOKUP($A31,Partner_Tickets!$A:$A,Partner_Tickets!X:X,"",0)="Free","Free",IF(XLOOKUP($A31,Partner_Tickets!$A:$A,Partner_Tickets!X:X,"",0)="VL","VL",IF(XLOOKUP($A31,Partner_Tickets!$A:$A,Partner_Tickets!X:X,"",0)="ATT","ATT",XLOOKUP($A31,Partner_Tickets!$A:$A,Partner_Tickets!X:X,"",0))))</f>
        <v>Free</v>
      </c>
      <c r="Y31" s="42"/>
      <c r="Z31" s="42">
        <f t="array" ref="Z31">IF(XLOOKUP($A31,Partner_Tickets!$A:$A,Partner_Tickets!Z:Z,"",0)="Free","Free",IF(XLOOKUP($A31,Partner_Tickets!$A:$A,Partner_Tickets!Z:Z,"",0)="VL","VL",IF(XLOOKUP($A31,Partner_Tickets!$A:$A,Partner_Tickets!Z:Z,"",0)="ATT","ATT",XLOOKUP($A31,Partner_Tickets!$A:$A,Partner_Tickets!Z:Z,"",0))))</f>
        <v>0.3333333333</v>
      </c>
      <c r="AA31" s="42">
        <f t="array" ref="AA31">IF(XLOOKUP($A31,Partner_Tickets!$A:$A,Partner_Tickets!AA:AA,"",0)="Free","Free",IF(XLOOKUP($A31,Partner_Tickets!$A:$A,Partner_Tickets!AA:AA,"",0)="VL","VL",IF(XLOOKUP($A31,Partner_Tickets!$A:$A,Partner_Tickets!AA:AA,"",0)="ATT","ATT",XLOOKUP($A31,Partner_Tickets!$A:$A,Partner_Tickets!AA:AA,"",0))))</f>
        <v>0.3333333333</v>
      </c>
      <c r="AB31" s="42">
        <f t="array" ref="AB31">IF(XLOOKUP($A31,Partner_Tickets!$A:$A,Partner_Tickets!AB:AB,"",0)="Free","Free",IF(XLOOKUP($A31,Partner_Tickets!$A:$A,Partner_Tickets!AB:AB,"",0)="VL","VL",IF(XLOOKUP($A31,Partner_Tickets!$A:$A,Partner_Tickets!AB:AB,"",0)="ATT","ATT",XLOOKUP($A31,Partner_Tickets!$A:$A,Partner_Tickets!AB:AB,"",0))))</f>
        <v>0.3333333333</v>
      </c>
      <c r="AC31" s="42">
        <f t="array" ref="AC31">IF(XLOOKUP($A31,Partner_Tickets!$A:$A,Partner_Tickets!AC:AC,"",0)="Free","Free",IF(XLOOKUP($A31,Partner_Tickets!$A:$A,Partner_Tickets!AC:AC,"",0)="VL","VL",IF(XLOOKUP($A31,Partner_Tickets!$A:$A,Partner_Tickets!AC:AC,"",0)="ATT","ATT",XLOOKUP($A31,Partner_Tickets!$A:$A,Partner_Tickets!AC:AC,"",0))))</f>
        <v>0.3333333333</v>
      </c>
      <c r="AD31" s="42">
        <f t="array" ref="AD31">IF(XLOOKUP($A31,Partner_Tickets!$A:$A,Partner_Tickets!AD:AD,"",0)="Free","Free",IF(XLOOKUP($A31,Partner_Tickets!$A:$A,Partner_Tickets!AD:AD,"",0)="VL","VL",IF(XLOOKUP($A31,Partner_Tickets!$A:$A,Partner_Tickets!AD:AD,"",0)="ATT","ATT",XLOOKUP($A31,Partner_Tickets!$A:$A,Partner_Tickets!AD:AD,"",0))))</f>
        <v>0.3333333333</v>
      </c>
      <c r="AE31" s="42" t="str">
        <f t="array" ref="AE31">IF(XLOOKUP($A31,Partner_Tickets!$A:$A,Partner_Tickets!AE:AE,"",0)="Free","Free",IF(XLOOKUP($A31,Partner_Tickets!$A:$A,Partner_Tickets!AE:AE,"",0)="VL","VL",IF(XLOOKUP($A31,Partner_Tickets!$A:$A,Partner_Tickets!AE:AE,"",0)="ATT","ATT",XLOOKUP($A31,Partner_Tickets!$A:$A,Partner_Tickets!AE:AE,"",0))))</f>
        <v>Free</v>
      </c>
      <c r="AF31" s="42"/>
      <c r="AG31" s="42">
        <f t="array" ref="AG31">IF(XLOOKUP($A31,Partner_Tickets!$A:$A,Partner_Tickets!AG:AG,"",0)="Free","Free",IF(XLOOKUP($A31,Partner_Tickets!$A:$A,Partner_Tickets!AG:AG,"",0)="VL","VL",IF(XLOOKUP($A31,Partner_Tickets!$A:$A,Partner_Tickets!AG:AG,"",0)="ATT","ATT",XLOOKUP($A31,Partner_Tickets!$A:$A,Partner_Tickets!AG:AG,"",0))))</f>
        <v>0.3333333333</v>
      </c>
      <c r="AH31" s="42">
        <f t="array" ref="AH31">IF(XLOOKUP($A31,Partner_Tickets!$A:$A,Partner_Tickets!AH:AH,"",0)="Free","Free",IF(XLOOKUP($A31,Partner_Tickets!$A:$A,Partner_Tickets!AH:AH,"",0)="VL","VL",IF(XLOOKUP($A31,Partner_Tickets!$A:$A,Partner_Tickets!AH:AH,"",0)="ATT","ATT",XLOOKUP($A31,Partner_Tickets!$A:$A,Partner_Tickets!AH:AH,"",0))))</f>
        <v>0.3333333333</v>
      </c>
      <c r="AI31" s="42">
        <f t="array" ref="AI31">IF(XLOOKUP($A31,Partner_Tickets!$A:$A,Partner_Tickets!AI:AI,"",0)="Free","Free",IF(XLOOKUP($A31,Partner_Tickets!$A:$A,Partner_Tickets!AI:AI,"",0)="VL","VL",IF(XLOOKUP($A31,Partner_Tickets!$A:$A,Partner_Tickets!AI:AI,"",0)="ATT","ATT",XLOOKUP($A31,Partner_Tickets!$A:$A,Partner_Tickets!AI:AI,"",0))))</f>
        <v>0.3333333333</v>
      </c>
      <c r="AJ31" s="42">
        <f t="array" ref="AJ31">IF(XLOOKUP($A31,Partner_Tickets!$A:$A,Partner_Tickets!AJ:AJ,"",0)="Free","Free",IF(XLOOKUP($A31,Partner_Tickets!$A:$A,Partner_Tickets!AJ:AJ,"",0)="VL","VL",IF(XLOOKUP($A31,Partner_Tickets!$A:$A,Partner_Tickets!AJ:AJ,"",0)="ATT","ATT",XLOOKUP($A31,Partner_Tickets!$A:$A,Partner_Tickets!AJ:AJ,"",0))))</f>
        <v>0.3333333333</v>
      </c>
      <c r="AK31" s="42">
        <f t="array" ref="AK31">IF(XLOOKUP($A31,Partner_Tickets!$A:$A,Partner_Tickets!AK:AK,"",0)="Free","Free",IF(XLOOKUP($A31,Partner_Tickets!$A:$A,Partner_Tickets!AK:AK,"",0)="VL","VL",IF(XLOOKUP($A31,Partner_Tickets!$A:$A,Partner_Tickets!AK:AK,"",0)="ATT","ATT",XLOOKUP($A31,Partner_Tickets!$A:$A,Partner_Tickets!AK:AK,"",0))))</f>
        <v>0.3333333333</v>
      </c>
      <c r="AL31" s="42" t="str">
        <f t="array" ref="AL31">IF(XLOOKUP($A31,Partner_Tickets!$A:$A,Partner_Tickets!AL:AL,"",0)="Free","Free",IF(XLOOKUP($A31,Partner_Tickets!$A:$A,Partner_Tickets!AL:AL,"",0)="VL","VL",IF(XLOOKUP($A31,Partner_Tickets!$A:$A,Partner_Tickets!AL:AL,"",0)="ATT","ATT",XLOOKUP($A31,Partner_Tickets!$A:$A,Partner_Tickets!AL:AL,"",0))))</f>
        <v>Free</v>
      </c>
      <c r="AM31" s="42"/>
    </row>
    <row r="32">
      <c r="A32" s="40" t="s">
        <v>163</v>
      </c>
      <c r="B32" s="44" t="str">
        <f t="array" ref="B32">XLOOKUP(A32,Roster!F:F,Roster!A:A,"",0)</f>
        <v>Edward Machado</v>
      </c>
      <c r="C32" s="44" t="str">
        <f t="array" ref="C32">XLOOKUP(A32,Roster!F:F,Roster!B:B,"",0)</f>
        <v>Juan Restrepo</v>
      </c>
      <c r="D32" s="40"/>
      <c r="E32" s="42">
        <f t="array" ref="E32">IF(XLOOKUP($A32,Partner_Tickets!$A:$A,Partner_Tickets!E:E,"",0)="Free","Free",IF(XLOOKUP($A32,Partner_Tickets!$A:$A,Partner_Tickets!E:E,"",0)="VL","VL",IF(XLOOKUP($A32,Partner_Tickets!$A:$A,Partner_Tickets!E:E,"",0)="ATT","ATT",XLOOKUP($A32,Partner_Tickets!$A:$A,Partner_Tickets!E:E,"",0))))</f>
        <v>0.3333333333</v>
      </c>
      <c r="F32" s="42">
        <f t="array" ref="F32">IF(XLOOKUP($A32,Partner_Tickets!$A:$A,Partner_Tickets!F:F,"",0)="Free","Free",IF(XLOOKUP($A32,Partner_Tickets!$A:$A,Partner_Tickets!F:F,"",0)="VL","VL",IF(XLOOKUP($A32,Partner_Tickets!$A:$A,Partner_Tickets!F:F,"",0)="ATT","ATT",XLOOKUP($A32,Partner_Tickets!$A:$A,Partner_Tickets!F:F,"",0))))</f>
        <v>0.3333333333</v>
      </c>
      <c r="G32" s="42">
        <f t="array" ref="G32">IF(XLOOKUP($A32,Partner_Tickets!$A:$A,Partner_Tickets!G:G,"",0)="Free","Free",IF(XLOOKUP($A32,Partner_Tickets!$A:$A,Partner_Tickets!G:G,"",0)="VL","VL",IF(XLOOKUP($A32,Partner_Tickets!$A:$A,Partner_Tickets!G:G,"",0)="ATT","ATT",XLOOKUP($A32,Partner_Tickets!$A:$A,Partner_Tickets!G:G,"",0))))</f>
        <v>0.3333333333</v>
      </c>
      <c r="H32" s="42">
        <f t="array" ref="H32">IF(XLOOKUP($A32,Partner_Tickets!$A:$A,Partner_Tickets!H:H,"",0)="Free","Free",IF(XLOOKUP($A32,Partner_Tickets!$A:$A,Partner_Tickets!H:H,"",0)="VL","VL",IF(XLOOKUP($A32,Partner_Tickets!$A:$A,Partner_Tickets!H:H,"",0)="ATT","ATT",XLOOKUP($A32,Partner_Tickets!$A:$A,Partner_Tickets!H:H,"",0))))</f>
        <v>0.3333333333</v>
      </c>
      <c r="I32" s="42">
        <f t="array" ref="I32">IF(XLOOKUP($A32,Partner_Tickets!$A:$A,Partner_Tickets!I:I,"",0)="Free","Free",IF(XLOOKUP($A32,Partner_Tickets!$A:$A,Partner_Tickets!I:I,"",0)="VL","VL",IF(XLOOKUP($A32,Partner_Tickets!$A:$A,Partner_Tickets!I:I,"",0)="ATT","ATT",XLOOKUP($A32,Partner_Tickets!$A:$A,Partner_Tickets!I:I,"",0))))</f>
        <v>0.3333333333</v>
      </c>
      <c r="J32" s="42" t="str">
        <f t="array" ref="J32">IF(XLOOKUP($A32,Partner_Tickets!$A:$A,Partner_Tickets!J:J,"",0)="Free","Free",IF(XLOOKUP($A32,Partner_Tickets!$A:$A,Partner_Tickets!J:J,"",0)="VL","VL",IF(XLOOKUP($A32,Partner_Tickets!$A:$A,Partner_Tickets!J:J,"",0)="ATT","ATT",XLOOKUP($A32,Partner_Tickets!$A:$A,Partner_Tickets!J:J,"",0))))</f>
        <v>Free</v>
      </c>
      <c r="K32" s="42" t="str">
        <f t="array" ref="K32">IF(XLOOKUP($A32,Partner_Tickets!$A:$A,Partner_Tickets!K:K,"",0)="Free","Free",IF(XLOOKUP($A32,Partner_Tickets!$A:$A,Partner_Tickets!K:K,"",0)="VL","VL",IF(XLOOKUP($A32,Partner_Tickets!$A:$A,Partner_Tickets!K:K,"",0)="ATT","ATT",XLOOKUP($A32,Partner_Tickets!$A:$A,Partner_Tickets!K:K,"",0))))</f>
        <v/>
      </c>
      <c r="L32" s="42">
        <f t="array" ref="L32">IF(XLOOKUP($A32,Partner_Tickets!$A:$A,Partner_Tickets!L:L,"",0)="Free","Free",IF(XLOOKUP($A32,Partner_Tickets!$A:$A,Partner_Tickets!L:L,"",0)="VL","VL",IF(XLOOKUP($A32,Partner_Tickets!$A:$A,Partner_Tickets!L:L,"",0)="ATT","ATT",XLOOKUP($A32,Partner_Tickets!$A:$A,Partner_Tickets!L:L,"",0))))</f>
        <v>0.2916666667</v>
      </c>
      <c r="M32" s="42" t="str">
        <f t="array" ref="M32">IF(XLOOKUP($A32,Partner_Tickets!$A:$A,Partner_Tickets!M:M,"",0)="Free","Free",IF(XLOOKUP($A32,Partner_Tickets!$A:$A,Partner_Tickets!M:M,"",0)="VL","VL",IF(XLOOKUP($A32,Partner_Tickets!$A:$A,Partner_Tickets!M:M,"",0)="ATT","ATT",XLOOKUP($A32,Partner_Tickets!$A:$A,Partner_Tickets!M:M,"",0))))</f>
        <v>Free</v>
      </c>
      <c r="N32" s="42">
        <f t="array" ref="N32">IF(XLOOKUP($A32,Partner_Tickets!$A:$A,Partner_Tickets!N:N,"",0)="Free","Free",IF(XLOOKUP($A32,Partner_Tickets!$A:$A,Partner_Tickets!N:N,"",0)="VL","VL",IF(XLOOKUP($A32,Partner_Tickets!$A:$A,Partner_Tickets!N:N,"",0)="ATT","ATT",XLOOKUP($A32,Partner_Tickets!$A:$A,Partner_Tickets!N:N,"",0))))</f>
        <v>0.2916666667</v>
      </c>
      <c r="O32" s="42">
        <f t="array" ref="O32">IF(XLOOKUP($A32,Partner_Tickets!$A:$A,Partner_Tickets!O:O,"",0)="Free","Free",IF(XLOOKUP($A32,Partner_Tickets!$A:$A,Partner_Tickets!O:O,"",0)="VL","VL",IF(XLOOKUP($A32,Partner_Tickets!$A:$A,Partner_Tickets!O:O,"",0)="ATT","ATT",XLOOKUP($A32,Partner_Tickets!$A:$A,Partner_Tickets!O:O,"",0))))</f>
        <v>0.2916666667</v>
      </c>
      <c r="P32" s="42">
        <f t="array" ref="P32">IF(XLOOKUP($A32,Partner_Tickets!$A:$A,Partner_Tickets!P:P,"",0)="Free","Free",IF(XLOOKUP($A32,Partner_Tickets!$A:$A,Partner_Tickets!P:P,"",0)="VL","VL",IF(XLOOKUP($A32,Partner_Tickets!$A:$A,Partner_Tickets!P:P,"",0)="ATT","ATT",XLOOKUP($A32,Partner_Tickets!$A:$A,Partner_Tickets!P:P,"",0))))</f>
        <v>0.2916666667</v>
      </c>
      <c r="Q32" s="42">
        <f t="array" ref="Q32">IF(XLOOKUP($A32,Partner_Tickets!$A:$A,Partner_Tickets!Q:Q,"",0)="Free","Free",IF(XLOOKUP($A32,Partner_Tickets!$A:$A,Partner_Tickets!Q:Q,"",0)="VL","VL",IF(XLOOKUP($A32,Partner_Tickets!$A:$A,Partner_Tickets!Q:Q,"",0)="ATT","ATT",XLOOKUP($A32,Partner_Tickets!$A:$A,Partner_Tickets!Q:Q,"",0))))</f>
        <v>0.2916666667</v>
      </c>
      <c r="R32" s="42"/>
      <c r="S32" s="42">
        <f t="array" ref="S32">IF(XLOOKUP($A32,Partner_Tickets!$A:$A,Partner_Tickets!S:S,"",0)="Free","Free",IF(XLOOKUP($A32,Partner_Tickets!$A:$A,Partner_Tickets!S:S,"",0)="VL","VL",IF(XLOOKUP($A32,Partner_Tickets!$A:$A,Partner_Tickets!S:S,"",0)="ATT","ATT",XLOOKUP($A32,Partner_Tickets!$A:$A,Partner_Tickets!S:S,"",0))))</f>
        <v>0.2916666667</v>
      </c>
      <c r="T32" s="42" t="str">
        <f t="array" ref="T32">IF(XLOOKUP($A32,Partner_Tickets!$A:$A,Partner_Tickets!T:T,"",0)="Free","Free",IF(XLOOKUP($A32,Partner_Tickets!$A:$A,Partner_Tickets!T:T,"",0)="VL","VL",IF(XLOOKUP($A32,Partner_Tickets!$A:$A,Partner_Tickets!T:T,"",0)="ATT","ATT",XLOOKUP($A32,Partner_Tickets!$A:$A,Partner_Tickets!T:T,"",0))))</f>
        <v>Free</v>
      </c>
      <c r="U32" s="42">
        <f t="array" ref="U32">IF(XLOOKUP($A32,Partner_Tickets!$A:$A,Partner_Tickets!U:U,"",0)="Free","Free",IF(XLOOKUP($A32,Partner_Tickets!$A:$A,Partner_Tickets!U:U,"",0)="VL","VL",IF(XLOOKUP($A32,Partner_Tickets!$A:$A,Partner_Tickets!U:U,"",0)="ATT","ATT",XLOOKUP($A32,Partner_Tickets!$A:$A,Partner_Tickets!U:U,"",0))))</f>
        <v>0.2916666667</v>
      </c>
      <c r="V32" s="42">
        <f t="array" ref="V32">IF(XLOOKUP($A32,Partner_Tickets!$A:$A,Partner_Tickets!V:V,"",0)="Free","Free",IF(XLOOKUP($A32,Partner_Tickets!$A:$A,Partner_Tickets!V:V,"",0)="VL","VL",IF(XLOOKUP($A32,Partner_Tickets!$A:$A,Partner_Tickets!V:V,"",0)="ATT","ATT",XLOOKUP($A32,Partner_Tickets!$A:$A,Partner_Tickets!V:V,"",0))))</f>
        <v>0.2916666667</v>
      </c>
      <c r="W32" s="42">
        <f t="array" ref="W32">IF(XLOOKUP($A32,Partner_Tickets!$A:$A,Partner_Tickets!W:W,"",0)="Free","Free",IF(XLOOKUP($A32,Partner_Tickets!$A:$A,Partner_Tickets!W:W,"",0)="VL","VL",IF(XLOOKUP($A32,Partner_Tickets!$A:$A,Partner_Tickets!W:W,"",0)="ATT","ATT",XLOOKUP($A32,Partner_Tickets!$A:$A,Partner_Tickets!W:W,"",0))))</f>
        <v>0.2916666667</v>
      </c>
      <c r="X32" s="42">
        <f t="array" ref="X32">IF(XLOOKUP($A32,Partner_Tickets!$A:$A,Partner_Tickets!X:X,"",0)="Free","Free",IF(XLOOKUP($A32,Partner_Tickets!$A:$A,Partner_Tickets!X:X,"",0)="VL","VL",IF(XLOOKUP($A32,Partner_Tickets!$A:$A,Partner_Tickets!X:X,"",0)="ATT","ATT",XLOOKUP($A32,Partner_Tickets!$A:$A,Partner_Tickets!X:X,"",0))))</f>
        <v>0.2916666667</v>
      </c>
      <c r="Y32" s="42"/>
      <c r="Z32" s="42">
        <f t="array" ref="Z32">IF(XLOOKUP($A32,Partner_Tickets!$A:$A,Partner_Tickets!Z:Z,"",0)="Free","Free",IF(XLOOKUP($A32,Partner_Tickets!$A:$A,Partner_Tickets!Z:Z,"",0)="VL","VL",IF(XLOOKUP($A32,Partner_Tickets!$A:$A,Partner_Tickets!Z:Z,"",0)="ATT","ATT",XLOOKUP($A32,Partner_Tickets!$A:$A,Partner_Tickets!Z:Z,"",0))))</f>
        <v>0.2916666667</v>
      </c>
      <c r="AA32" s="42" t="str">
        <f t="array" ref="AA32">IF(XLOOKUP($A32,Partner_Tickets!$A:$A,Partner_Tickets!AA:AA,"",0)="Free","Free",IF(XLOOKUP($A32,Partner_Tickets!$A:$A,Partner_Tickets!AA:AA,"",0)="VL","VL",IF(XLOOKUP($A32,Partner_Tickets!$A:$A,Partner_Tickets!AA:AA,"",0)="ATT","ATT",XLOOKUP($A32,Partner_Tickets!$A:$A,Partner_Tickets!AA:AA,"",0))))</f>
        <v>Free</v>
      </c>
      <c r="AB32" s="42">
        <f t="array" ref="AB32">IF(XLOOKUP($A32,Partner_Tickets!$A:$A,Partner_Tickets!AB:AB,"",0)="Free","Free",IF(XLOOKUP($A32,Partner_Tickets!$A:$A,Partner_Tickets!AB:AB,"",0)="VL","VL",IF(XLOOKUP($A32,Partner_Tickets!$A:$A,Partner_Tickets!AB:AB,"",0)="ATT","ATT",XLOOKUP($A32,Partner_Tickets!$A:$A,Partner_Tickets!AB:AB,"",0))))</f>
        <v>0.2916666667</v>
      </c>
      <c r="AC32" s="42">
        <f t="array" ref="AC32">IF(XLOOKUP($A32,Partner_Tickets!$A:$A,Partner_Tickets!AC:AC,"",0)="Free","Free",IF(XLOOKUP($A32,Partner_Tickets!$A:$A,Partner_Tickets!AC:AC,"",0)="VL","VL",IF(XLOOKUP($A32,Partner_Tickets!$A:$A,Partner_Tickets!AC:AC,"",0)="ATT","ATT",XLOOKUP($A32,Partner_Tickets!$A:$A,Partner_Tickets!AC:AC,"",0))))</f>
        <v>0.2916666667</v>
      </c>
      <c r="AD32" s="42">
        <f t="array" ref="AD32">IF(XLOOKUP($A32,Partner_Tickets!$A:$A,Partner_Tickets!AD:AD,"",0)="Free","Free",IF(XLOOKUP($A32,Partner_Tickets!$A:$A,Partner_Tickets!AD:AD,"",0)="VL","VL",IF(XLOOKUP($A32,Partner_Tickets!$A:$A,Partner_Tickets!AD:AD,"",0)="ATT","ATT",XLOOKUP($A32,Partner_Tickets!$A:$A,Partner_Tickets!AD:AD,"",0))))</f>
        <v>0.2916666667</v>
      </c>
      <c r="AE32" s="42">
        <f t="array" ref="AE32">IF(XLOOKUP($A32,Partner_Tickets!$A:$A,Partner_Tickets!AE:AE,"",0)="Free","Free",IF(XLOOKUP($A32,Partner_Tickets!$A:$A,Partner_Tickets!AE:AE,"",0)="VL","VL",IF(XLOOKUP($A32,Partner_Tickets!$A:$A,Partner_Tickets!AE:AE,"",0)="ATT","ATT",XLOOKUP($A32,Partner_Tickets!$A:$A,Partner_Tickets!AE:AE,"",0))))</f>
        <v>0.2916666667</v>
      </c>
      <c r="AF32" s="42"/>
      <c r="AG32" s="42">
        <f t="array" ref="AG32">IF(XLOOKUP($A32,Partner_Tickets!$A:$A,Partner_Tickets!AG:AG,"",0)="Free","Free",IF(XLOOKUP($A32,Partner_Tickets!$A:$A,Partner_Tickets!AG:AG,"",0)="VL","VL",IF(XLOOKUP($A32,Partner_Tickets!$A:$A,Partner_Tickets!AG:AG,"",0)="ATT","ATT",XLOOKUP($A32,Partner_Tickets!$A:$A,Partner_Tickets!AG:AG,"",0))))</f>
        <v>0.2916666667</v>
      </c>
      <c r="AH32" s="42" t="str">
        <f t="array" ref="AH32">IF(XLOOKUP($A32,Partner_Tickets!$A:$A,Partner_Tickets!AH:AH,"",0)="Free","Free",IF(XLOOKUP($A32,Partner_Tickets!$A:$A,Partner_Tickets!AH:AH,"",0)="VL","VL",IF(XLOOKUP($A32,Partner_Tickets!$A:$A,Partner_Tickets!AH:AH,"",0)="ATT","ATT",XLOOKUP($A32,Partner_Tickets!$A:$A,Partner_Tickets!AH:AH,"",0))))</f>
        <v>Free</v>
      </c>
      <c r="AI32" s="42">
        <f t="array" ref="AI32">IF(XLOOKUP($A32,Partner_Tickets!$A:$A,Partner_Tickets!AI:AI,"",0)="Free","Free",IF(XLOOKUP($A32,Partner_Tickets!$A:$A,Partner_Tickets!AI:AI,"",0)="VL","VL",IF(XLOOKUP($A32,Partner_Tickets!$A:$A,Partner_Tickets!AI:AI,"",0)="ATT","ATT",XLOOKUP($A32,Partner_Tickets!$A:$A,Partner_Tickets!AI:AI,"",0))))</f>
        <v>0.2916666667</v>
      </c>
      <c r="AJ32" s="42">
        <f t="array" ref="AJ32">IF(XLOOKUP($A32,Partner_Tickets!$A:$A,Partner_Tickets!AJ:AJ,"",0)="Free","Free",IF(XLOOKUP($A32,Partner_Tickets!$A:$A,Partner_Tickets!AJ:AJ,"",0)="VL","VL",IF(XLOOKUP($A32,Partner_Tickets!$A:$A,Partner_Tickets!AJ:AJ,"",0)="ATT","ATT",XLOOKUP($A32,Partner_Tickets!$A:$A,Partner_Tickets!AJ:AJ,"",0))))</f>
        <v>0.2916666667</v>
      </c>
      <c r="AK32" s="42">
        <f t="array" ref="AK32">IF(XLOOKUP($A32,Partner_Tickets!$A:$A,Partner_Tickets!AK:AK,"",0)="Free","Free",IF(XLOOKUP($A32,Partner_Tickets!$A:$A,Partner_Tickets!AK:AK,"",0)="VL","VL",IF(XLOOKUP($A32,Partner_Tickets!$A:$A,Partner_Tickets!AK:AK,"",0)="ATT","ATT",XLOOKUP($A32,Partner_Tickets!$A:$A,Partner_Tickets!AK:AK,"",0))))</f>
        <v>0.2916666667</v>
      </c>
      <c r="AL32" s="42">
        <f t="array" ref="AL32">IF(XLOOKUP($A32,Partner_Tickets!$A:$A,Partner_Tickets!AL:AL,"",0)="Free","Free",IF(XLOOKUP($A32,Partner_Tickets!$A:$A,Partner_Tickets!AL:AL,"",0)="VL","VL",IF(XLOOKUP($A32,Partner_Tickets!$A:$A,Partner_Tickets!AL:AL,"",0)="ATT","ATT",XLOOKUP($A32,Partner_Tickets!$A:$A,Partner_Tickets!AL:AL,"",0))))</f>
        <v>0.2916666667</v>
      </c>
      <c r="AM32" s="42"/>
    </row>
    <row r="33">
      <c r="A33" s="40" t="s">
        <v>164</v>
      </c>
      <c r="B33" s="44" t="str">
        <f t="array" ref="B33">XLOOKUP(A33,Roster!F:F,Roster!A:A,"",0)</f>
        <v>Edward Machado</v>
      </c>
      <c r="C33" s="44" t="str">
        <f t="array" ref="C33">XLOOKUP(A33,Roster!F:F,Roster!B:B,"",0)</f>
        <v>Juan Suarez</v>
      </c>
      <c r="D33" s="40"/>
      <c r="E33" s="42">
        <f t="array" ref="E33">IF(XLOOKUP($A33,Partner_Tickets!$A:$A,Partner_Tickets!E:E,"",0)="Free","Free",IF(XLOOKUP($A33,Partner_Tickets!$A:$A,Partner_Tickets!E:E,"",0)="VL","VL",IF(XLOOKUP($A33,Partner_Tickets!$A:$A,Partner_Tickets!E:E,"",0)="ATT","ATT",XLOOKUP($A33,Partner_Tickets!$A:$A,Partner_Tickets!E:E,"",0))))</f>
        <v>0.3541666667</v>
      </c>
      <c r="F33" s="42">
        <f t="array" ref="F33">IF(XLOOKUP($A33,Partner_Tickets!$A:$A,Partner_Tickets!F:F,"",0)="Free","Free",IF(XLOOKUP($A33,Partner_Tickets!$A:$A,Partner_Tickets!F:F,"",0)="VL","VL",IF(XLOOKUP($A33,Partner_Tickets!$A:$A,Partner_Tickets!F:F,"",0)="ATT","ATT",XLOOKUP($A33,Partner_Tickets!$A:$A,Partner_Tickets!F:F,"",0))))</f>
        <v>0.3541666667</v>
      </c>
      <c r="G33" s="42" t="str">
        <f t="array" ref="G33">IF(XLOOKUP($A33,Partner_Tickets!$A:$A,Partner_Tickets!G:G,"",0)="Free","Free",IF(XLOOKUP($A33,Partner_Tickets!$A:$A,Partner_Tickets!G:G,"",0)="VL","VL",IF(XLOOKUP($A33,Partner_Tickets!$A:$A,Partner_Tickets!G:G,"",0)="ATT","ATT",XLOOKUP($A33,Partner_Tickets!$A:$A,Partner_Tickets!G:G,"",0))))</f>
        <v>Free</v>
      </c>
      <c r="H33" s="42">
        <f t="array" ref="H33">IF(XLOOKUP($A33,Partner_Tickets!$A:$A,Partner_Tickets!H:H,"",0)="Free","Free",IF(XLOOKUP($A33,Partner_Tickets!$A:$A,Partner_Tickets!H:H,"",0)="VL","VL",IF(XLOOKUP($A33,Partner_Tickets!$A:$A,Partner_Tickets!H:H,"",0)="ATT","ATT",XLOOKUP($A33,Partner_Tickets!$A:$A,Partner_Tickets!H:H,"",0))))</f>
        <v>0.3541666667</v>
      </c>
      <c r="I33" s="42">
        <f t="array" ref="I33">IF(XLOOKUP($A33,Partner_Tickets!$A:$A,Partner_Tickets!I:I,"",0)="Free","Free",IF(XLOOKUP($A33,Partner_Tickets!$A:$A,Partner_Tickets!I:I,"",0)="VL","VL",IF(XLOOKUP($A33,Partner_Tickets!$A:$A,Partner_Tickets!I:I,"",0)="ATT","ATT",XLOOKUP($A33,Partner_Tickets!$A:$A,Partner_Tickets!I:I,"",0))))</f>
        <v>0.3541666667</v>
      </c>
      <c r="J33" s="42">
        <f t="array" ref="J33">IF(XLOOKUP($A33,Partner_Tickets!$A:$A,Partner_Tickets!J:J,"",0)="Free","Free",IF(XLOOKUP($A33,Partner_Tickets!$A:$A,Partner_Tickets!J:J,"",0)="VL","VL",IF(XLOOKUP($A33,Partner_Tickets!$A:$A,Partner_Tickets!J:J,"",0)="ATT","ATT",XLOOKUP($A33,Partner_Tickets!$A:$A,Partner_Tickets!J:J,"",0))))</f>
        <v>0.3541666667</v>
      </c>
      <c r="K33" s="42" t="str">
        <f t="array" ref="K33">IF(XLOOKUP($A33,Partner_Tickets!$A:$A,Partner_Tickets!K:K,"",0)="Free","Free",IF(XLOOKUP($A33,Partner_Tickets!$A:$A,Partner_Tickets!K:K,"",0)="VL","VL",IF(XLOOKUP($A33,Partner_Tickets!$A:$A,Partner_Tickets!K:K,"",0)="ATT","ATT",XLOOKUP($A33,Partner_Tickets!$A:$A,Partner_Tickets!K:K,"",0))))</f>
        <v/>
      </c>
      <c r="L33" s="42">
        <f t="array" ref="L33">IF(XLOOKUP($A33,Partner_Tickets!$A:$A,Partner_Tickets!L:L,"",0)="Free","Free",IF(XLOOKUP($A33,Partner_Tickets!$A:$A,Partner_Tickets!L:L,"",0)="VL","VL",IF(XLOOKUP($A33,Partner_Tickets!$A:$A,Partner_Tickets!L:L,"",0)="ATT","ATT",XLOOKUP($A33,Partner_Tickets!$A:$A,Partner_Tickets!L:L,"",0))))</f>
        <v>0.3541666667</v>
      </c>
      <c r="M33" s="42" t="str">
        <f t="array" ref="M33">IF(XLOOKUP($A33,Partner_Tickets!$A:$A,Partner_Tickets!M:M,"",0)="Free","Free",IF(XLOOKUP($A33,Partner_Tickets!$A:$A,Partner_Tickets!M:M,"",0)="VL","VL",IF(XLOOKUP($A33,Partner_Tickets!$A:$A,Partner_Tickets!M:M,"",0)="ATT","ATT",XLOOKUP($A33,Partner_Tickets!$A:$A,Partner_Tickets!M:M,"",0))))</f>
        <v>Free</v>
      </c>
      <c r="N33" s="42">
        <f t="array" ref="N33">IF(XLOOKUP($A33,Partner_Tickets!$A:$A,Partner_Tickets!N:N,"",0)="Free","Free",IF(XLOOKUP($A33,Partner_Tickets!$A:$A,Partner_Tickets!N:N,"",0)="VL","VL",IF(XLOOKUP($A33,Partner_Tickets!$A:$A,Partner_Tickets!N:N,"",0)="ATT","ATT",XLOOKUP($A33,Partner_Tickets!$A:$A,Partner_Tickets!N:N,"",0))))</f>
        <v>0.3541666667</v>
      </c>
      <c r="O33" s="42">
        <f t="array" ref="O33">IF(XLOOKUP($A33,Partner_Tickets!$A:$A,Partner_Tickets!O:O,"",0)="Free","Free",IF(XLOOKUP($A33,Partner_Tickets!$A:$A,Partner_Tickets!O:O,"",0)="VL","VL",IF(XLOOKUP($A33,Partner_Tickets!$A:$A,Partner_Tickets!O:O,"",0)="ATT","ATT",XLOOKUP($A33,Partner_Tickets!$A:$A,Partner_Tickets!O:O,"",0))))</f>
        <v>0.3541666667</v>
      </c>
      <c r="P33" s="42">
        <f t="array" ref="P33">IF(XLOOKUP($A33,Partner_Tickets!$A:$A,Partner_Tickets!P:P,"",0)="Free","Free",IF(XLOOKUP($A33,Partner_Tickets!$A:$A,Partner_Tickets!P:P,"",0)="VL","VL",IF(XLOOKUP($A33,Partner_Tickets!$A:$A,Partner_Tickets!P:P,"",0)="ATT","ATT",XLOOKUP($A33,Partner_Tickets!$A:$A,Partner_Tickets!P:P,"",0))))</f>
        <v>0.3541666667</v>
      </c>
      <c r="Q33" s="42" t="str">
        <f t="array" ref="Q33">IF(XLOOKUP($A33,Partner_Tickets!$A:$A,Partner_Tickets!Q:Q,"",0)="Free","Free",IF(XLOOKUP($A33,Partner_Tickets!$A:$A,Partner_Tickets!Q:Q,"",0)="VL","VL",IF(XLOOKUP($A33,Partner_Tickets!$A:$A,Partner_Tickets!Q:Q,"",0)="ATT","ATT",XLOOKUP($A33,Partner_Tickets!$A:$A,Partner_Tickets!Q:Q,"",0))))</f>
        <v>VL</v>
      </c>
      <c r="R33" s="42"/>
      <c r="S33" s="42" t="str">
        <f t="array" ref="S33">IF(XLOOKUP($A33,Partner_Tickets!$A:$A,Partner_Tickets!S:S,"",0)="Free","Free",IF(XLOOKUP($A33,Partner_Tickets!$A:$A,Partner_Tickets!S:S,"",0)="VL","VL",IF(XLOOKUP($A33,Partner_Tickets!$A:$A,Partner_Tickets!S:S,"",0)="ATT","ATT",XLOOKUP($A33,Partner_Tickets!$A:$A,Partner_Tickets!S:S,"",0))))</f>
        <v>VL</v>
      </c>
      <c r="T33" s="42" t="str">
        <f t="array" ref="T33">IF(XLOOKUP($A33,Partner_Tickets!$A:$A,Partner_Tickets!T:T,"",0)="Free","Free",IF(XLOOKUP($A33,Partner_Tickets!$A:$A,Partner_Tickets!T:T,"",0)="VL","VL",IF(XLOOKUP($A33,Partner_Tickets!$A:$A,Partner_Tickets!T:T,"",0)="ATT","ATT",XLOOKUP($A33,Partner_Tickets!$A:$A,Partner_Tickets!T:T,"",0))))</f>
        <v>VL</v>
      </c>
      <c r="U33" s="42" t="str">
        <f t="array" ref="U33">IF(XLOOKUP($A33,Partner_Tickets!$A:$A,Partner_Tickets!U:U,"",0)="Free","Free",IF(XLOOKUP($A33,Partner_Tickets!$A:$A,Partner_Tickets!U:U,"",0)="VL","VL",IF(XLOOKUP($A33,Partner_Tickets!$A:$A,Partner_Tickets!U:U,"",0)="ATT","ATT",XLOOKUP($A33,Partner_Tickets!$A:$A,Partner_Tickets!U:U,"",0))))</f>
        <v>VL</v>
      </c>
      <c r="V33" s="42" t="str">
        <f t="array" ref="V33">IF(XLOOKUP($A33,Partner_Tickets!$A:$A,Partner_Tickets!V:V,"",0)="Free","Free",IF(XLOOKUP($A33,Partner_Tickets!$A:$A,Partner_Tickets!V:V,"",0)="VL","VL",IF(XLOOKUP($A33,Partner_Tickets!$A:$A,Partner_Tickets!V:V,"",0)="ATT","ATT",XLOOKUP($A33,Partner_Tickets!$A:$A,Partner_Tickets!V:V,"",0))))</f>
        <v>VL</v>
      </c>
      <c r="W33" s="42" t="str">
        <f t="array" ref="W33">IF(XLOOKUP($A33,Partner_Tickets!$A:$A,Partner_Tickets!W:W,"",0)="Free","Free",IF(XLOOKUP($A33,Partner_Tickets!$A:$A,Partner_Tickets!W:W,"",0)="VL","VL",IF(XLOOKUP($A33,Partner_Tickets!$A:$A,Partner_Tickets!W:W,"",0)="ATT","ATT",XLOOKUP($A33,Partner_Tickets!$A:$A,Partner_Tickets!W:W,"",0))))</f>
        <v>VL</v>
      </c>
      <c r="X33" s="42" t="str">
        <f t="array" ref="X33">IF(XLOOKUP($A33,Partner_Tickets!$A:$A,Partner_Tickets!X:X,"",0)="Free","Free",IF(XLOOKUP($A33,Partner_Tickets!$A:$A,Partner_Tickets!X:X,"",0)="VL","VL",IF(XLOOKUP($A33,Partner_Tickets!$A:$A,Partner_Tickets!X:X,"",0)="ATT","ATT",XLOOKUP($A33,Partner_Tickets!$A:$A,Partner_Tickets!X:X,"",0))))</f>
        <v>VL</v>
      </c>
      <c r="Y33" s="42"/>
      <c r="Z33" s="42" t="str">
        <f t="array" ref="Z33">IF(XLOOKUP($A33,Partner_Tickets!$A:$A,Partner_Tickets!Z:Z,"",0)="Free","Free",IF(XLOOKUP($A33,Partner_Tickets!$A:$A,Partner_Tickets!Z:Z,"",0)="VL","VL",IF(XLOOKUP($A33,Partner_Tickets!$A:$A,Partner_Tickets!Z:Z,"",0)="ATT","ATT",XLOOKUP($A33,Partner_Tickets!$A:$A,Partner_Tickets!Z:Z,"",0))))</f>
        <v>VL</v>
      </c>
      <c r="AA33" s="42" t="str">
        <f t="array" ref="AA33">IF(XLOOKUP($A33,Partner_Tickets!$A:$A,Partner_Tickets!AA:AA,"",0)="Free","Free",IF(XLOOKUP($A33,Partner_Tickets!$A:$A,Partner_Tickets!AA:AA,"",0)="VL","VL",IF(XLOOKUP($A33,Partner_Tickets!$A:$A,Partner_Tickets!AA:AA,"",0)="ATT","ATT",XLOOKUP($A33,Partner_Tickets!$A:$A,Partner_Tickets!AA:AA,"",0))))</f>
        <v>VL</v>
      </c>
      <c r="AB33" s="42" t="str">
        <f t="array" ref="AB33">IF(XLOOKUP($A33,Partner_Tickets!$A:$A,Partner_Tickets!AB:AB,"",0)="Free","Free",IF(XLOOKUP($A33,Partner_Tickets!$A:$A,Partner_Tickets!AB:AB,"",0)="VL","VL",IF(XLOOKUP($A33,Partner_Tickets!$A:$A,Partner_Tickets!AB:AB,"",0)="ATT","ATT",XLOOKUP($A33,Partner_Tickets!$A:$A,Partner_Tickets!AB:AB,"",0))))</f>
        <v>VL</v>
      </c>
      <c r="AC33" s="42" t="str">
        <f t="array" ref="AC33">IF(XLOOKUP($A33,Partner_Tickets!$A:$A,Partner_Tickets!AC:AC,"",0)="Free","Free",IF(XLOOKUP($A33,Partner_Tickets!$A:$A,Partner_Tickets!AC:AC,"",0)="VL","VL",IF(XLOOKUP($A33,Partner_Tickets!$A:$A,Partner_Tickets!AC:AC,"",0)="ATT","ATT",XLOOKUP($A33,Partner_Tickets!$A:$A,Partner_Tickets!AC:AC,"",0))))</f>
        <v>VL</v>
      </c>
      <c r="AD33" s="42" t="str">
        <f t="array" ref="AD33">IF(XLOOKUP($A33,Partner_Tickets!$A:$A,Partner_Tickets!AD:AD,"",0)="Free","Free",IF(XLOOKUP($A33,Partner_Tickets!$A:$A,Partner_Tickets!AD:AD,"",0)="VL","VL",IF(XLOOKUP($A33,Partner_Tickets!$A:$A,Partner_Tickets!AD:AD,"",0)="ATT","ATT",XLOOKUP($A33,Partner_Tickets!$A:$A,Partner_Tickets!AD:AD,"",0))))</f>
        <v>VL</v>
      </c>
      <c r="AE33" s="42" t="str">
        <f t="array" ref="AE33">IF(XLOOKUP($A33,Partner_Tickets!$A:$A,Partner_Tickets!AE:AE,"",0)="Free","Free",IF(XLOOKUP($A33,Partner_Tickets!$A:$A,Partner_Tickets!AE:AE,"",0)="VL","VL",IF(XLOOKUP($A33,Partner_Tickets!$A:$A,Partner_Tickets!AE:AE,"",0)="ATT","ATT",XLOOKUP($A33,Partner_Tickets!$A:$A,Partner_Tickets!AE:AE,"",0))))</f>
        <v>VL</v>
      </c>
      <c r="AF33" s="42"/>
      <c r="AG33" s="42">
        <f t="array" ref="AG33">IF(XLOOKUP($A33,Partner_Tickets!$A:$A,Partner_Tickets!AG:AG,"",0)="Free","Free",IF(XLOOKUP($A33,Partner_Tickets!$A:$A,Partner_Tickets!AG:AG,"",0)="VL","VL",IF(XLOOKUP($A33,Partner_Tickets!$A:$A,Partner_Tickets!AG:AG,"",0)="ATT","ATT",XLOOKUP($A33,Partner_Tickets!$A:$A,Partner_Tickets!AG:AG,"",0))))</f>
        <v>0.3541666667</v>
      </c>
      <c r="AH33" s="42" t="str">
        <f t="array" ref="AH33">IF(XLOOKUP($A33,Partner_Tickets!$A:$A,Partner_Tickets!AH:AH,"",0)="Free","Free",IF(XLOOKUP($A33,Partner_Tickets!$A:$A,Partner_Tickets!AH:AH,"",0)="VL","VL",IF(XLOOKUP($A33,Partner_Tickets!$A:$A,Partner_Tickets!AH:AH,"",0)="ATT","ATT",XLOOKUP($A33,Partner_Tickets!$A:$A,Partner_Tickets!AH:AH,"",0))))</f>
        <v>Free</v>
      </c>
      <c r="AI33" s="42">
        <f t="array" ref="AI33">IF(XLOOKUP($A33,Partner_Tickets!$A:$A,Partner_Tickets!AI:AI,"",0)="Free","Free",IF(XLOOKUP($A33,Partner_Tickets!$A:$A,Partner_Tickets!AI:AI,"",0)="VL","VL",IF(XLOOKUP($A33,Partner_Tickets!$A:$A,Partner_Tickets!AI:AI,"",0)="ATT","ATT",XLOOKUP($A33,Partner_Tickets!$A:$A,Partner_Tickets!AI:AI,"",0))))</f>
        <v>0.3541666667</v>
      </c>
      <c r="AJ33" s="42">
        <f t="array" ref="AJ33">IF(XLOOKUP($A33,Partner_Tickets!$A:$A,Partner_Tickets!AJ:AJ,"",0)="Free","Free",IF(XLOOKUP($A33,Partner_Tickets!$A:$A,Partner_Tickets!AJ:AJ,"",0)="VL","VL",IF(XLOOKUP($A33,Partner_Tickets!$A:$A,Partner_Tickets!AJ:AJ,"",0)="ATT","ATT",XLOOKUP($A33,Partner_Tickets!$A:$A,Partner_Tickets!AJ:AJ,"",0))))</f>
        <v>0.3541666667</v>
      </c>
      <c r="AK33" s="42">
        <f t="array" ref="AK33">IF(XLOOKUP($A33,Partner_Tickets!$A:$A,Partner_Tickets!AK:AK,"",0)="Free","Free",IF(XLOOKUP($A33,Partner_Tickets!$A:$A,Partner_Tickets!AK:AK,"",0)="VL","VL",IF(XLOOKUP($A33,Partner_Tickets!$A:$A,Partner_Tickets!AK:AK,"",0)="ATT","ATT",XLOOKUP($A33,Partner_Tickets!$A:$A,Partner_Tickets!AK:AK,"",0))))</f>
        <v>0.3541666667</v>
      </c>
      <c r="AL33" s="42">
        <f t="array" ref="AL33">IF(XLOOKUP($A33,Partner_Tickets!$A:$A,Partner_Tickets!AL:AL,"",0)="Free","Free",IF(XLOOKUP($A33,Partner_Tickets!$A:$A,Partner_Tickets!AL:AL,"",0)="VL","VL",IF(XLOOKUP($A33,Partner_Tickets!$A:$A,Partner_Tickets!AL:AL,"",0)="ATT","ATT",XLOOKUP($A33,Partner_Tickets!$A:$A,Partner_Tickets!AL:AL,"",0))))</f>
        <v>0.3541666667</v>
      </c>
      <c r="AM33" s="42"/>
    </row>
    <row r="34">
      <c r="A34" s="40" t="s">
        <v>165</v>
      </c>
      <c r="B34" s="44" t="str">
        <f t="array" ref="B34">XLOOKUP(A34,Roster!F:F,Roster!A:A,"",0)</f>
        <v>Edward Machado</v>
      </c>
      <c r="C34" s="44" t="str">
        <f t="array" ref="C34">XLOOKUP(A34,Roster!F:F,Roster!B:B,"",0)</f>
        <v>Luisa Arenas</v>
      </c>
      <c r="D34" s="40"/>
      <c r="E34" s="42">
        <f t="array" ref="E34">IF(XLOOKUP($A34,Partner_Tickets!$A:$A,Partner_Tickets!E:E,"",0)="Free","Free",IF(XLOOKUP($A34,Partner_Tickets!$A:$A,Partner_Tickets!E:E,"",0)="VL","VL",IF(XLOOKUP($A34,Partner_Tickets!$A:$A,Partner_Tickets!E:E,"",0)="ATT","ATT",XLOOKUP($A34,Partner_Tickets!$A:$A,Partner_Tickets!E:E,"",0))))</f>
        <v>0.3333333333</v>
      </c>
      <c r="F34" s="42">
        <f t="array" ref="F34">IF(XLOOKUP($A34,Partner_Tickets!$A:$A,Partner_Tickets!F:F,"",0)="Free","Free",IF(XLOOKUP($A34,Partner_Tickets!$A:$A,Partner_Tickets!F:F,"",0)="VL","VL",IF(XLOOKUP($A34,Partner_Tickets!$A:$A,Partner_Tickets!F:F,"",0)="ATT","ATT",XLOOKUP($A34,Partner_Tickets!$A:$A,Partner_Tickets!F:F,"",0))))</f>
        <v>0.3333333333</v>
      </c>
      <c r="G34" s="42">
        <f t="array" ref="G34">IF(XLOOKUP($A34,Partner_Tickets!$A:$A,Partner_Tickets!G:G,"",0)="Free","Free",IF(XLOOKUP($A34,Partner_Tickets!$A:$A,Partner_Tickets!G:G,"",0)="VL","VL",IF(XLOOKUP($A34,Partner_Tickets!$A:$A,Partner_Tickets!G:G,"",0)="ATT","ATT",XLOOKUP($A34,Partner_Tickets!$A:$A,Partner_Tickets!G:G,"",0))))</f>
        <v>0.3333333333</v>
      </c>
      <c r="H34" s="42">
        <f t="array" ref="H34">IF(XLOOKUP($A34,Partner_Tickets!$A:$A,Partner_Tickets!H:H,"",0)="Free","Free",IF(XLOOKUP($A34,Partner_Tickets!$A:$A,Partner_Tickets!H:H,"",0)="VL","VL",IF(XLOOKUP($A34,Partner_Tickets!$A:$A,Partner_Tickets!H:H,"",0)="ATT","ATT",XLOOKUP($A34,Partner_Tickets!$A:$A,Partner_Tickets!H:H,"",0))))</f>
        <v>0.3333333333</v>
      </c>
      <c r="I34" s="42">
        <f t="array" ref="I34">IF(XLOOKUP($A34,Partner_Tickets!$A:$A,Partner_Tickets!I:I,"",0)="Free","Free",IF(XLOOKUP($A34,Partner_Tickets!$A:$A,Partner_Tickets!I:I,"",0)="VL","VL",IF(XLOOKUP($A34,Partner_Tickets!$A:$A,Partner_Tickets!I:I,"",0)="ATT","ATT",XLOOKUP($A34,Partner_Tickets!$A:$A,Partner_Tickets!I:I,"",0))))</f>
        <v>0.3333333333</v>
      </c>
      <c r="J34" s="42" t="str">
        <f t="array" ref="J34">IF(XLOOKUP($A34,Partner_Tickets!$A:$A,Partner_Tickets!J:J,"",0)="Free","Free",IF(XLOOKUP($A34,Partner_Tickets!$A:$A,Partner_Tickets!J:J,"",0)="VL","VL",IF(XLOOKUP($A34,Partner_Tickets!$A:$A,Partner_Tickets!J:J,"",0)="ATT","ATT",XLOOKUP($A34,Partner_Tickets!$A:$A,Partner_Tickets!J:J,"",0))))</f>
        <v>Free</v>
      </c>
      <c r="K34" s="42" t="str">
        <f t="array" ref="K34">IF(XLOOKUP($A34,Partner_Tickets!$A:$A,Partner_Tickets!K:K,"",0)="Free","Free",IF(XLOOKUP($A34,Partner_Tickets!$A:$A,Partner_Tickets!K:K,"",0)="VL","VL",IF(XLOOKUP($A34,Partner_Tickets!$A:$A,Partner_Tickets!K:K,"",0)="ATT","ATT",XLOOKUP($A34,Partner_Tickets!$A:$A,Partner_Tickets!K:K,"",0))))</f>
        <v/>
      </c>
      <c r="L34" s="42">
        <f t="array" ref="L34">IF(XLOOKUP($A34,Partner_Tickets!$A:$A,Partner_Tickets!L:L,"",0)="Free","Free",IF(XLOOKUP($A34,Partner_Tickets!$A:$A,Partner_Tickets!L:L,"",0)="VL","VL",IF(XLOOKUP($A34,Partner_Tickets!$A:$A,Partner_Tickets!L:L,"",0)="ATT","ATT",XLOOKUP($A34,Partner_Tickets!$A:$A,Partner_Tickets!L:L,"",0))))</f>
        <v>0.3333333333</v>
      </c>
      <c r="M34" s="42">
        <f t="array" ref="M34">IF(XLOOKUP($A34,Partner_Tickets!$A:$A,Partner_Tickets!M:M,"",0)="Free","Free",IF(XLOOKUP($A34,Partner_Tickets!$A:$A,Partner_Tickets!M:M,"",0)="VL","VL",IF(XLOOKUP($A34,Partner_Tickets!$A:$A,Partner_Tickets!M:M,"",0)="ATT","ATT",XLOOKUP($A34,Partner_Tickets!$A:$A,Partner_Tickets!M:M,"",0))))</f>
        <v>0.3333333333</v>
      </c>
      <c r="N34" s="42">
        <f t="array" ref="N34">IF(XLOOKUP($A34,Partner_Tickets!$A:$A,Partner_Tickets!N:N,"",0)="Free","Free",IF(XLOOKUP($A34,Partner_Tickets!$A:$A,Partner_Tickets!N:N,"",0)="VL","VL",IF(XLOOKUP($A34,Partner_Tickets!$A:$A,Partner_Tickets!N:N,"",0)="ATT","ATT",XLOOKUP($A34,Partner_Tickets!$A:$A,Partner_Tickets!N:N,"",0))))</f>
        <v>0.3333333333</v>
      </c>
      <c r="O34" s="42">
        <f t="array" ref="O34">IF(XLOOKUP($A34,Partner_Tickets!$A:$A,Partner_Tickets!O:O,"",0)="Free","Free",IF(XLOOKUP($A34,Partner_Tickets!$A:$A,Partner_Tickets!O:O,"",0)="VL","VL",IF(XLOOKUP($A34,Partner_Tickets!$A:$A,Partner_Tickets!O:O,"",0)="ATT","ATT",XLOOKUP($A34,Partner_Tickets!$A:$A,Partner_Tickets!O:O,"",0))))</f>
        <v>0.3333333333</v>
      </c>
      <c r="P34" s="42">
        <f t="array" ref="P34">IF(XLOOKUP($A34,Partner_Tickets!$A:$A,Partner_Tickets!P:P,"",0)="Free","Free",IF(XLOOKUP($A34,Partner_Tickets!$A:$A,Partner_Tickets!P:P,"",0)="VL","VL",IF(XLOOKUP($A34,Partner_Tickets!$A:$A,Partner_Tickets!P:P,"",0)="ATT","ATT",XLOOKUP($A34,Partner_Tickets!$A:$A,Partner_Tickets!P:P,"",0))))</f>
        <v>0.3333333333</v>
      </c>
      <c r="Q34" s="42" t="str">
        <f t="array" ref="Q34">IF(XLOOKUP($A34,Partner_Tickets!$A:$A,Partner_Tickets!Q:Q,"",0)="Free","Free",IF(XLOOKUP($A34,Partner_Tickets!$A:$A,Partner_Tickets!Q:Q,"",0)="VL","VL",IF(XLOOKUP($A34,Partner_Tickets!$A:$A,Partner_Tickets!Q:Q,"",0)="ATT","ATT",XLOOKUP($A34,Partner_Tickets!$A:$A,Partner_Tickets!Q:Q,"",0))))</f>
        <v>Free</v>
      </c>
      <c r="R34" s="42"/>
      <c r="S34" s="42">
        <f t="array" ref="S34">IF(XLOOKUP($A34,Partner_Tickets!$A:$A,Partner_Tickets!S:S,"",0)="Free","Free",IF(XLOOKUP($A34,Partner_Tickets!$A:$A,Partner_Tickets!S:S,"",0)="VL","VL",IF(XLOOKUP($A34,Partner_Tickets!$A:$A,Partner_Tickets!S:S,"",0)="ATT","ATT",XLOOKUP($A34,Partner_Tickets!$A:$A,Partner_Tickets!S:S,"",0))))</f>
        <v>0.3333333333</v>
      </c>
      <c r="T34" s="42">
        <f t="array" ref="T34">IF(XLOOKUP($A34,Partner_Tickets!$A:$A,Partner_Tickets!T:T,"",0)="Free","Free",IF(XLOOKUP($A34,Partner_Tickets!$A:$A,Partner_Tickets!T:T,"",0)="VL","VL",IF(XLOOKUP($A34,Partner_Tickets!$A:$A,Partner_Tickets!T:T,"",0)="ATT","ATT",XLOOKUP($A34,Partner_Tickets!$A:$A,Partner_Tickets!T:T,"",0))))</f>
        <v>0.3333333333</v>
      </c>
      <c r="U34" s="42">
        <f t="array" ref="U34">IF(XLOOKUP($A34,Partner_Tickets!$A:$A,Partner_Tickets!U:U,"",0)="Free","Free",IF(XLOOKUP($A34,Partner_Tickets!$A:$A,Partner_Tickets!U:U,"",0)="VL","VL",IF(XLOOKUP($A34,Partner_Tickets!$A:$A,Partner_Tickets!U:U,"",0)="ATT","ATT",XLOOKUP($A34,Partner_Tickets!$A:$A,Partner_Tickets!U:U,"",0))))</f>
        <v>0.3333333333</v>
      </c>
      <c r="V34" s="42">
        <f t="array" ref="V34">IF(XLOOKUP($A34,Partner_Tickets!$A:$A,Partner_Tickets!V:V,"",0)="Free","Free",IF(XLOOKUP($A34,Partner_Tickets!$A:$A,Partner_Tickets!V:V,"",0)="VL","VL",IF(XLOOKUP($A34,Partner_Tickets!$A:$A,Partner_Tickets!V:V,"",0)="ATT","ATT",XLOOKUP($A34,Partner_Tickets!$A:$A,Partner_Tickets!V:V,"",0))))</f>
        <v>0.3333333333</v>
      </c>
      <c r="W34" s="42">
        <f t="array" ref="W34">IF(XLOOKUP($A34,Partner_Tickets!$A:$A,Partner_Tickets!W:W,"",0)="Free","Free",IF(XLOOKUP($A34,Partner_Tickets!$A:$A,Partner_Tickets!W:W,"",0)="VL","VL",IF(XLOOKUP($A34,Partner_Tickets!$A:$A,Partner_Tickets!W:W,"",0)="ATT","ATT",XLOOKUP($A34,Partner_Tickets!$A:$A,Partner_Tickets!W:W,"",0))))</f>
        <v>0.3333333333</v>
      </c>
      <c r="X34" s="42" t="str">
        <f t="array" ref="X34">IF(XLOOKUP($A34,Partner_Tickets!$A:$A,Partner_Tickets!X:X,"",0)="Free","Free",IF(XLOOKUP($A34,Partner_Tickets!$A:$A,Partner_Tickets!X:X,"",0)="VL","VL",IF(XLOOKUP($A34,Partner_Tickets!$A:$A,Partner_Tickets!X:X,"",0)="ATT","ATT",XLOOKUP($A34,Partner_Tickets!$A:$A,Partner_Tickets!X:X,"",0))))</f>
        <v>Free</v>
      </c>
      <c r="Y34" s="42"/>
      <c r="Z34" s="42">
        <f t="array" ref="Z34">IF(XLOOKUP($A34,Partner_Tickets!$A:$A,Partner_Tickets!Z:Z,"",0)="Free","Free",IF(XLOOKUP($A34,Partner_Tickets!$A:$A,Partner_Tickets!Z:Z,"",0)="VL","VL",IF(XLOOKUP($A34,Partner_Tickets!$A:$A,Partner_Tickets!Z:Z,"",0)="ATT","ATT",XLOOKUP($A34,Partner_Tickets!$A:$A,Partner_Tickets!Z:Z,"",0))))</f>
        <v>0.3333333333</v>
      </c>
      <c r="AA34" s="42">
        <f t="array" ref="AA34">IF(XLOOKUP($A34,Partner_Tickets!$A:$A,Partner_Tickets!AA:AA,"",0)="Free","Free",IF(XLOOKUP($A34,Partner_Tickets!$A:$A,Partner_Tickets!AA:AA,"",0)="VL","VL",IF(XLOOKUP($A34,Partner_Tickets!$A:$A,Partner_Tickets!AA:AA,"",0)="ATT","ATT",XLOOKUP($A34,Partner_Tickets!$A:$A,Partner_Tickets!AA:AA,"",0))))</f>
        <v>0.3333333333</v>
      </c>
      <c r="AB34" s="42">
        <f t="array" ref="AB34">IF(XLOOKUP($A34,Partner_Tickets!$A:$A,Partner_Tickets!AB:AB,"",0)="Free","Free",IF(XLOOKUP($A34,Partner_Tickets!$A:$A,Partner_Tickets!AB:AB,"",0)="VL","VL",IF(XLOOKUP($A34,Partner_Tickets!$A:$A,Partner_Tickets!AB:AB,"",0)="ATT","ATT",XLOOKUP($A34,Partner_Tickets!$A:$A,Partner_Tickets!AB:AB,"",0))))</f>
        <v>0.3333333333</v>
      </c>
      <c r="AC34" s="42">
        <f t="array" ref="AC34">IF(XLOOKUP($A34,Partner_Tickets!$A:$A,Partner_Tickets!AC:AC,"",0)="Free","Free",IF(XLOOKUP($A34,Partner_Tickets!$A:$A,Partner_Tickets!AC:AC,"",0)="VL","VL",IF(XLOOKUP($A34,Partner_Tickets!$A:$A,Partner_Tickets!AC:AC,"",0)="ATT","ATT",XLOOKUP($A34,Partner_Tickets!$A:$A,Partner_Tickets!AC:AC,"",0))))</f>
        <v>0.3333333333</v>
      </c>
      <c r="AD34" s="42">
        <f t="array" ref="AD34">IF(XLOOKUP($A34,Partner_Tickets!$A:$A,Partner_Tickets!AD:AD,"",0)="Free","Free",IF(XLOOKUP($A34,Partner_Tickets!$A:$A,Partner_Tickets!AD:AD,"",0)="VL","VL",IF(XLOOKUP($A34,Partner_Tickets!$A:$A,Partner_Tickets!AD:AD,"",0)="ATT","ATT",XLOOKUP($A34,Partner_Tickets!$A:$A,Partner_Tickets!AD:AD,"",0))))</f>
        <v>0.3333333333</v>
      </c>
      <c r="AE34" s="42" t="str">
        <f t="array" ref="AE34">IF(XLOOKUP($A34,Partner_Tickets!$A:$A,Partner_Tickets!AE:AE,"",0)="Free","Free",IF(XLOOKUP($A34,Partner_Tickets!$A:$A,Partner_Tickets!AE:AE,"",0)="VL","VL",IF(XLOOKUP($A34,Partner_Tickets!$A:$A,Partner_Tickets!AE:AE,"",0)="ATT","ATT",XLOOKUP($A34,Partner_Tickets!$A:$A,Partner_Tickets!AE:AE,"",0))))</f>
        <v>Free</v>
      </c>
      <c r="AF34" s="42"/>
      <c r="AG34" s="42">
        <f t="array" ref="AG34">IF(XLOOKUP($A34,Partner_Tickets!$A:$A,Partner_Tickets!AG:AG,"",0)="Free","Free",IF(XLOOKUP($A34,Partner_Tickets!$A:$A,Partner_Tickets!AG:AG,"",0)="VL","VL",IF(XLOOKUP($A34,Partner_Tickets!$A:$A,Partner_Tickets!AG:AG,"",0)="ATT","ATT",XLOOKUP($A34,Partner_Tickets!$A:$A,Partner_Tickets!AG:AG,"",0))))</f>
        <v>0.3333333333</v>
      </c>
      <c r="AH34" s="42">
        <f t="array" ref="AH34">IF(XLOOKUP($A34,Partner_Tickets!$A:$A,Partner_Tickets!AH:AH,"",0)="Free","Free",IF(XLOOKUP($A34,Partner_Tickets!$A:$A,Partner_Tickets!AH:AH,"",0)="VL","VL",IF(XLOOKUP($A34,Partner_Tickets!$A:$A,Partner_Tickets!AH:AH,"",0)="ATT","ATT",XLOOKUP($A34,Partner_Tickets!$A:$A,Partner_Tickets!AH:AH,"",0))))</f>
        <v>0.3333333333</v>
      </c>
      <c r="AI34" s="42">
        <f t="array" ref="AI34">IF(XLOOKUP($A34,Partner_Tickets!$A:$A,Partner_Tickets!AI:AI,"",0)="Free","Free",IF(XLOOKUP($A34,Partner_Tickets!$A:$A,Partner_Tickets!AI:AI,"",0)="VL","VL",IF(XLOOKUP($A34,Partner_Tickets!$A:$A,Partner_Tickets!AI:AI,"",0)="ATT","ATT",XLOOKUP($A34,Partner_Tickets!$A:$A,Partner_Tickets!AI:AI,"",0))))</f>
        <v>0.3333333333</v>
      </c>
      <c r="AJ34" s="42">
        <f t="array" ref="AJ34">IF(XLOOKUP($A34,Partner_Tickets!$A:$A,Partner_Tickets!AJ:AJ,"",0)="Free","Free",IF(XLOOKUP($A34,Partner_Tickets!$A:$A,Partner_Tickets!AJ:AJ,"",0)="VL","VL",IF(XLOOKUP($A34,Partner_Tickets!$A:$A,Partner_Tickets!AJ:AJ,"",0)="ATT","ATT",XLOOKUP($A34,Partner_Tickets!$A:$A,Partner_Tickets!AJ:AJ,"",0))))</f>
        <v>0.3333333333</v>
      </c>
      <c r="AK34" s="42">
        <f t="array" ref="AK34">IF(XLOOKUP($A34,Partner_Tickets!$A:$A,Partner_Tickets!AK:AK,"",0)="Free","Free",IF(XLOOKUP($A34,Partner_Tickets!$A:$A,Partner_Tickets!AK:AK,"",0)="VL","VL",IF(XLOOKUP($A34,Partner_Tickets!$A:$A,Partner_Tickets!AK:AK,"",0)="ATT","ATT",XLOOKUP($A34,Partner_Tickets!$A:$A,Partner_Tickets!AK:AK,"",0))))</f>
        <v>0.3333333333</v>
      </c>
      <c r="AL34" s="42" t="str">
        <f t="array" ref="AL34">IF(XLOOKUP($A34,Partner_Tickets!$A:$A,Partner_Tickets!AL:AL,"",0)="Free","Free",IF(XLOOKUP($A34,Partner_Tickets!$A:$A,Partner_Tickets!AL:AL,"",0)="VL","VL",IF(XLOOKUP($A34,Partner_Tickets!$A:$A,Partner_Tickets!AL:AL,"",0)="ATT","ATT",XLOOKUP($A34,Partner_Tickets!$A:$A,Partner_Tickets!AL:AL,"",0))))</f>
        <v>Free</v>
      </c>
      <c r="AM34" s="42"/>
    </row>
    <row r="35">
      <c r="A35" s="43" t="s">
        <v>166</v>
      </c>
      <c r="B35" s="44" t="str">
        <f t="array" ref="B35">XLOOKUP(A35,Roster!F:F,Roster!A:A,"",0)</f>
        <v>Edward Machado</v>
      </c>
      <c r="C35" s="44" t="str">
        <f t="array" ref="C35">XLOOKUP(A35,Roster!F:F,Roster!B:B,"",0)</f>
        <v>Mateo Agudelo</v>
      </c>
      <c r="D35" s="40"/>
      <c r="E35" s="42">
        <f t="array" ref="E35">IF(XLOOKUP($A35,Partner_Tickets!$A:$A,Partner_Tickets!E:E,"",0)="Free","Free",IF(XLOOKUP($A35,Partner_Tickets!$A:$A,Partner_Tickets!E:E,"",0)="VL","VL",IF(XLOOKUP($A35,Partner_Tickets!$A:$A,Partner_Tickets!E:E,"",0)="ATT","ATT",XLOOKUP($A35,Partner_Tickets!$A:$A,Partner_Tickets!E:E,"",0))))</f>
        <v>0.3333333333</v>
      </c>
      <c r="F35" s="42" t="str">
        <f t="array" ref="F35">IF(XLOOKUP($A35,Partner_Tickets!$A:$A,Partner_Tickets!F:F,"",0)="Free","Free",IF(XLOOKUP($A35,Partner_Tickets!$A:$A,Partner_Tickets!F:F,"",0)="VL","VL",IF(XLOOKUP($A35,Partner_Tickets!$A:$A,Partner_Tickets!F:F,"",0)="ATT","ATT",XLOOKUP($A35,Partner_Tickets!$A:$A,Partner_Tickets!F:F,"",0))))</f>
        <v>Free</v>
      </c>
      <c r="G35" s="42">
        <f t="array" ref="G35">IF(XLOOKUP($A35,Partner_Tickets!$A:$A,Partner_Tickets!G:G,"",0)="Free","Free",IF(XLOOKUP($A35,Partner_Tickets!$A:$A,Partner_Tickets!G:G,"",0)="VL","VL",IF(XLOOKUP($A35,Partner_Tickets!$A:$A,Partner_Tickets!G:G,"",0)="ATT","ATT",XLOOKUP($A35,Partner_Tickets!$A:$A,Partner_Tickets!G:G,"",0))))</f>
        <v>0.3333333333</v>
      </c>
      <c r="H35" s="42">
        <f t="array" ref="H35">IF(XLOOKUP($A35,Partner_Tickets!$A:$A,Partner_Tickets!H:H,"",0)="Free","Free",IF(XLOOKUP($A35,Partner_Tickets!$A:$A,Partner_Tickets!H:H,"",0)="VL","VL",IF(XLOOKUP($A35,Partner_Tickets!$A:$A,Partner_Tickets!H:H,"",0)="ATT","ATT",XLOOKUP($A35,Partner_Tickets!$A:$A,Partner_Tickets!H:H,"",0))))</f>
        <v>0.3333333333</v>
      </c>
      <c r="I35" s="42">
        <f t="array" ref="I35">IF(XLOOKUP($A35,Partner_Tickets!$A:$A,Partner_Tickets!I:I,"",0)="Free","Free",IF(XLOOKUP($A35,Partner_Tickets!$A:$A,Partner_Tickets!I:I,"",0)="VL","VL",IF(XLOOKUP($A35,Partner_Tickets!$A:$A,Partner_Tickets!I:I,"",0)="ATT","ATT",XLOOKUP($A35,Partner_Tickets!$A:$A,Partner_Tickets!I:I,"",0))))</f>
        <v>0.3333333333</v>
      </c>
      <c r="J35" s="42">
        <f t="array" ref="J35">IF(XLOOKUP($A35,Partner_Tickets!$A:$A,Partner_Tickets!J:J,"",0)="Free","Free",IF(XLOOKUP($A35,Partner_Tickets!$A:$A,Partner_Tickets!J:J,"",0)="VL","VL",IF(XLOOKUP($A35,Partner_Tickets!$A:$A,Partner_Tickets!J:J,"",0)="ATT","ATT",XLOOKUP($A35,Partner_Tickets!$A:$A,Partner_Tickets!J:J,"",0))))</f>
        <v>0.3333333333</v>
      </c>
      <c r="K35" s="42" t="str">
        <f t="array" ref="K35">IF(XLOOKUP($A35,Partner_Tickets!$A:$A,Partner_Tickets!K:K,"",0)="Free","Free",IF(XLOOKUP($A35,Partner_Tickets!$A:$A,Partner_Tickets!K:K,"",0)="VL","VL",IF(XLOOKUP($A35,Partner_Tickets!$A:$A,Partner_Tickets!K:K,"",0)="ATT","ATT",XLOOKUP($A35,Partner_Tickets!$A:$A,Partner_Tickets!K:K,"",0))))</f>
        <v/>
      </c>
      <c r="L35" s="42">
        <f t="array" ref="L35">IF(XLOOKUP($A35,Partner_Tickets!$A:$A,Partner_Tickets!L:L,"",0)="Free","Free",IF(XLOOKUP($A35,Partner_Tickets!$A:$A,Partner_Tickets!L:L,"",0)="VL","VL",IF(XLOOKUP($A35,Partner_Tickets!$A:$A,Partner_Tickets!L:L,"",0)="ATT","ATT",XLOOKUP($A35,Partner_Tickets!$A:$A,Partner_Tickets!L:L,"",0))))</f>
        <v>0.3333333333</v>
      </c>
      <c r="M35" s="42" t="str">
        <f t="array" ref="M35">IF(XLOOKUP($A35,Partner_Tickets!$A:$A,Partner_Tickets!M:M,"",0)="Free","Free",IF(XLOOKUP($A35,Partner_Tickets!$A:$A,Partner_Tickets!M:M,"",0)="VL","VL",IF(XLOOKUP($A35,Partner_Tickets!$A:$A,Partner_Tickets!M:M,"",0)="ATT","ATT",XLOOKUP($A35,Partner_Tickets!$A:$A,Partner_Tickets!M:M,"",0))))</f>
        <v>Free</v>
      </c>
      <c r="N35" s="42">
        <f t="array" ref="N35">IF(XLOOKUP($A35,Partner_Tickets!$A:$A,Partner_Tickets!N:N,"",0)="Free","Free",IF(XLOOKUP($A35,Partner_Tickets!$A:$A,Partner_Tickets!N:N,"",0)="VL","VL",IF(XLOOKUP($A35,Partner_Tickets!$A:$A,Partner_Tickets!N:N,"",0)="ATT","ATT",XLOOKUP($A35,Partner_Tickets!$A:$A,Partner_Tickets!N:N,"",0))))</f>
        <v>0.3333333333</v>
      </c>
      <c r="O35" s="42">
        <f t="array" ref="O35">IF(XLOOKUP($A35,Partner_Tickets!$A:$A,Partner_Tickets!O:O,"",0)="Free","Free",IF(XLOOKUP($A35,Partner_Tickets!$A:$A,Partner_Tickets!O:O,"",0)="VL","VL",IF(XLOOKUP($A35,Partner_Tickets!$A:$A,Partner_Tickets!O:O,"",0)="ATT","ATT",XLOOKUP($A35,Partner_Tickets!$A:$A,Partner_Tickets!O:O,"",0))))</f>
        <v>0.3333333333</v>
      </c>
      <c r="P35" s="42">
        <f t="array" ref="P35">IF(XLOOKUP($A35,Partner_Tickets!$A:$A,Partner_Tickets!P:P,"",0)="Free","Free",IF(XLOOKUP($A35,Partner_Tickets!$A:$A,Partner_Tickets!P:P,"",0)="VL","VL",IF(XLOOKUP($A35,Partner_Tickets!$A:$A,Partner_Tickets!P:P,"",0)="ATT","ATT",XLOOKUP($A35,Partner_Tickets!$A:$A,Partner_Tickets!P:P,"",0))))</f>
        <v>0.3333333333</v>
      </c>
      <c r="Q35" s="42">
        <f t="array" ref="Q35">IF(XLOOKUP($A35,Partner_Tickets!$A:$A,Partner_Tickets!Q:Q,"",0)="Free","Free",IF(XLOOKUP($A35,Partner_Tickets!$A:$A,Partner_Tickets!Q:Q,"",0)="VL","VL",IF(XLOOKUP($A35,Partner_Tickets!$A:$A,Partner_Tickets!Q:Q,"",0)="ATT","ATT",XLOOKUP($A35,Partner_Tickets!$A:$A,Partner_Tickets!Q:Q,"",0))))</f>
        <v>0.3333333333</v>
      </c>
      <c r="R35" s="42"/>
      <c r="S35" s="42">
        <f t="array" ref="S35">IF(XLOOKUP($A35,Partner_Tickets!$A:$A,Partner_Tickets!S:S,"",0)="Free","Free",IF(XLOOKUP($A35,Partner_Tickets!$A:$A,Partner_Tickets!S:S,"",0)="VL","VL",IF(XLOOKUP($A35,Partner_Tickets!$A:$A,Partner_Tickets!S:S,"",0)="ATT","ATT",XLOOKUP($A35,Partner_Tickets!$A:$A,Partner_Tickets!S:S,"",0))))</f>
        <v>0.3333333333</v>
      </c>
      <c r="T35" s="42" t="str">
        <f t="array" ref="T35">IF(XLOOKUP($A35,Partner_Tickets!$A:$A,Partner_Tickets!T:T,"",0)="Free","Free",IF(XLOOKUP($A35,Partner_Tickets!$A:$A,Partner_Tickets!T:T,"",0)="VL","VL",IF(XLOOKUP($A35,Partner_Tickets!$A:$A,Partner_Tickets!T:T,"",0)="ATT","ATT",XLOOKUP($A35,Partner_Tickets!$A:$A,Partner_Tickets!T:T,"",0))))</f>
        <v>Free</v>
      </c>
      <c r="U35" s="42">
        <f t="array" ref="U35">IF(XLOOKUP($A35,Partner_Tickets!$A:$A,Partner_Tickets!U:U,"",0)="Free","Free",IF(XLOOKUP($A35,Partner_Tickets!$A:$A,Partner_Tickets!U:U,"",0)="VL","VL",IF(XLOOKUP($A35,Partner_Tickets!$A:$A,Partner_Tickets!U:U,"",0)="ATT","ATT",XLOOKUP($A35,Partner_Tickets!$A:$A,Partner_Tickets!U:U,"",0))))</f>
        <v>0.3333333333</v>
      </c>
      <c r="V35" s="42">
        <f t="array" ref="V35">IF(XLOOKUP($A35,Partner_Tickets!$A:$A,Partner_Tickets!V:V,"",0)="Free","Free",IF(XLOOKUP($A35,Partner_Tickets!$A:$A,Partner_Tickets!V:V,"",0)="VL","VL",IF(XLOOKUP($A35,Partner_Tickets!$A:$A,Partner_Tickets!V:V,"",0)="ATT","ATT",XLOOKUP($A35,Partner_Tickets!$A:$A,Partner_Tickets!V:V,"",0))))</f>
        <v>0.3333333333</v>
      </c>
      <c r="W35" s="42">
        <f t="array" ref="W35">IF(XLOOKUP($A35,Partner_Tickets!$A:$A,Partner_Tickets!W:W,"",0)="Free","Free",IF(XLOOKUP($A35,Partner_Tickets!$A:$A,Partner_Tickets!W:W,"",0)="VL","VL",IF(XLOOKUP($A35,Partner_Tickets!$A:$A,Partner_Tickets!W:W,"",0)="ATT","ATT",XLOOKUP($A35,Partner_Tickets!$A:$A,Partner_Tickets!W:W,"",0))))</f>
        <v>0.3333333333</v>
      </c>
      <c r="X35" s="42">
        <f t="array" ref="X35">IF(XLOOKUP($A35,Partner_Tickets!$A:$A,Partner_Tickets!X:X,"",0)="Free","Free",IF(XLOOKUP($A35,Partner_Tickets!$A:$A,Partner_Tickets!X:X,"",0)="VL","VL",IF(XLOOKUP($A35,Partner_Tickets!$A:$A,Partner_Tickets!X:X,"",0)="ATT","ATT",XLOOKUP($A35,Partner_Tickets!$A:$A,Partner_Tickets!X:X,"",0))))</f>
        <v>0.3333333333</v>
      </c>
      <c r="Y35" s="42"/>
      <c r="Z35" s="42">
        <f t="array" ref="Z35">IF(XLOOKUP($A35,Partner_Tickets!$A:$A,Partner_Tickets!Z:Z,"",0)="Free","Free",IF(XLOOKUP($A35,Partner_Tickets!$A:$A,Partner_Tickets!Z:Z,"",0)="VL","VL",IF(XLOOKUP($A35,Partner_Tickets!$A:$A,Partner_Tickets!Z:Z,"",0)="ATT","ATT",XLOOKUP($A35,Partner_Tickets!$A:$A,Partner_Tickets!Z:Z,"",0))))</f>
        <v>0.3333333333</v>
      </c>
      <c r="AA35" s="42" t="str">
        <f t="array" ref="AA35">IF(XLOOKUP($A35,Partner_Tickets!$A:$A,Partner_Tickets!AA:AA,"",0)="Free","Free",IF(XLOOKUP($A35,Partner_Tickets!$A:$A,Partner_Tickets!AA:AA,"",0)="VL","VL",IF(XLOOKUP($A35,Partner_Tickets!$A:$A,Partner_Tickets!AA:AA,"",0)="ATT","ATT",XLOOKUP($A35,Partner_Tickets!$A:$A,Partner_Tickets!AA:AA,"",0))))</f>
        <v>Free</v>
      </c>
      <c r="AB35" s="42">
        <f t="array" ref="AB35">IF(XLOOKUP($A35,Partner_Tickets!$A:$A,Partner_Tickets!AB:AB,"",0)="Free","Free",IF(XLOOKUP($A35,Partner_Tickets!$A:$A,Partner_Tickets!AB:AB,"",0)="VL","VL",IF(XLOOKUP($A35,Partner_Tickets!$A:$A,Partner_Tickets!AB:AB,"",0)="ATT","ATT",XLOOKUP($A35,Partner_Tickets!$A:$A,Partner_Tickets!AB:AB,"",0))))</f>
        <v>0.3333333333</v>
      </c>
      <c r="AC35" s="42">
        <f t="array" ref="AC35">IF(XLOOKUP($A35,Partner_Tickets!$A:$A,Partner_Tickets!AC:AC,"",0)="Free","Free",IF(XLOOKUP($A35,Partner_Tickets!$A:$A,Partner_Tickets!AC:AC,"",0)="VL","VL",IF(XLOOKUP($A35,Partner_Tickets!$A:$A,Partner_Tickets!AC:AC,"",0)="ATT","ATT",XLOOKUP($A35,Partner_Tickets!$A:$A,Partner_Tickets!AC:AC,"",0))))</f>
        <v>0.3333333333</v>
      </c>
      <c r="AD35" s="42">
        <f t="array" ref="AD35">IF(XLOOKUP($A35,Partner_Tickets!$A:$A,Partner_Tickets!AD:AD,"",0)="Free","Free",IF(XLOOKUP($A35,Partner_Tickets!$A:$A,Partner_Tickets!AD:AD,"",0)="VL","VL",IF(XLOOKUP($A35,Partner_Tickets!$A:$A,Partner_Tickets!AD:AD,"",0)="ATT","ATT",XLOOKUP($A35,Partner_Tickets!$A:$A,Partner_Tickets!AD:AD,"",0))))</f>
        <v>0.3333333333</v>
      </c>
      <c r="AE35" s="42" t="str">
        <f t="array" ref="AE35">IF(XLOOKUP($A35,Partner_Tickets!$A:$A,Partner_Tickets!AE:AE,"",0)="Free","Free",IF(XLOOKUP($A35,Partner_Tickets!$A:$A,Partner_Tickets!AE:AE,"",0)="VL","VL",IF(XLOOKUP($A35,Partner_Tickets!$A:$A,Partner_Tickets!AE:AE,"",0)="ATT","ATT",XLOOKUP($A35,Partner_Tickets!$A:$A,Partner_Tickets!AE:AE,"",0))))</f>
        <v>VL</v>
      </c>
      <c r="AF35" s="42"/>
      <c r="AG35" s="42" t="str">
        <f t="array" ref="AG35">IF(XLOOKUP($A35,Partner_Tickets!$A:$A,Partner_Tickets!AG:AG,"",0)="Free","Free",IF(XLOOKUP($A35,Partner_Tickets!$A:$A,Partner_Tickets!AG:AG,"",0)="VL","VL",IF(XLOOKUP($A35,Partner_Tickets!$A:$A,Partner_Tickets!AG:AG,"",0)="ATT","ATT",XLOOKUP($A35,Partner_Tickets!$A:$A,Partner_Tickets!AG:AG,"",0))))</f>
        <v>VL</v>
      </c>
      <c r="AH35" s="42" t="str">
        <f t="array" ref="AH35">IF(XLOOKUP($A35,Partner_Tickets!$A:$A,Partner_Tickets!AH:AH,"",0)="Free","Free",IF(XLOOKUP($A35,Partner_Tickets!$A:$A,Partner_Tickets!AH:AH,"",0)="VL","VL",IF(XLOOKUP($A35,Partner_Tickets!$A:$A,Partner_Tickets!AH:AH,"",0)="ATT","ATT",XLOOKUP($A35,Partner_Tickets!$A:$A,Partner_Tickets!AH:AH,"",0))))</f>
        <v>VL</v>
      </c>
      <c r="AI35" s="42" t="str">
        <f t="array" ref="AI35">IF(XLOOKUP($A35,Partner_Tickets!$A:$A,Partner_Tickets!AI:AI,"",0)="Free","Free",IF(XLOOKUP($A35,Partner_Tickets!$A:$A,Partner_Tickets!AI:AI,"",0)="VL","VL",IF(XLOOKUP($A35,Partner_Tickets!$A:$A,Partner_Tickets!AI:AI,"",0)="ATT","ATT",XLOOKUP($A35,Partner_Tickets!$A:$A,Partner_Tickets!AI:AI,"",0))))</f>
        <v>VL</v>
      </c>
      <c r="AJ35" s="42" t="str">
        <f t="array" ref="AJ35">IF(XLOOKUP($A35,Partner_Tickets!$A:$A,Partner_Tickets!AJ:AJ,"",0)="Free","Free",IF(XLOOKUP($A35,Partner_Tickets!$A:$A,Partner_Tickets!AJ:AJ,"",0)="VL","VL",IF(XLOOKUP($A35,Partner_Tickets!$A:$A,Partner_Tickets!AJ:AJ,"",0)="ATT","ATT",XLOOKUP($A35,Partner_Tickets!$A:$A,Partner_Tickets!AJ:AJ,"",0))))</f>
        <v>VL</v>
      </c>
      <c r="AK35" s="42" t="str">
        <f t="array" ref="AK35">IF(XLOOKUP($A35,Partner_Tickets!$A:$A,Partner_Tickets!AK:AK,"",0)="Free","Free",IF(XLOOKUP($A35,Partner_Tickets!$A:$A,Partner_Tickets!AK:AK,"",0)="VL","VL",IF(XLOOKUP($A35,Partner_Tickets!$A:$A,Partner_Tickets!AK:AK,"",0)="ATT","ATT",XLOOKUP($A35,Partner_Tickets!$A:$A,Partner_Tickets!AK:AK,"",0))))</f>
        <v>VL</v>
      </c>
      <c r="AL35" s="42" t="str">
        <f t="array" ref="AL35">IF(XLOOKUP($A35,Partner_Tickets!$A:$A,Partner_Tickets!AL:AL,"",0)="Free","Free",IF(XLOOKUP($A35,Partner_Tickets!$A:$A,Partner_Tickets!AL:AL,"",0)="VL","VL",IF(XLOOKUP($A35,Partner_Tickets!$A:$A,Partner_Tickets!AL:AL,"",0)="ATT","ATT",XLOOKUP($A35,Partner_Tickets!$A:$A,Partner_Tickets!AL:AL,"",0))))</f>
        <v>VL</v>
      </c>
      <c r="AM35" s="42"/>
    </row>
    <row r="36">
      <c r="A36" s="43" t="s">
        <v>167</v>
      </c>
      <c r="B36" s="44" t="str">
        <f t="array" ref="B36">XLOOKUP(A36,Roster!F:F,Roster!A:A,"",0)</f>
        <v>Edward Machado</v>
      </c>
      <c r="C36" s="44" t="str">
        <f t="array" ref="C36">XLOOKUP(A36,Roster!F:F,Roster!B:B,"",0)</f>
        <v>Nelson Londono</v>
      </c>
      <c r="D36" s="40"/>
      <c r="E36" s="42">
        <f t="array" ref="E36">IF(XLOOKUP($A36,Partner_Tickets!$A:$A,Partner_Tickets!E:E,"",0)="Free","Free",IF(XLOOKUP($A36,Partner_Tickets!$A:$A,Partner_Tickets!E:E,"",0)="VL","VL",IF(XLOOKUP($A36,Partner_Tickets!$A:$A,Partner_Tickets!E:E,"",0)="ATT","ATT",XLOOKUP($A36,Partner_Tickets!$A:$A,Partner_Tickets!E:E,"",0))))</f>
        <v>0.3333333333</v>
      </c>
      <c r="F36" s="42" t="str">
        <f t="array" ref="F36">IF(XLOOKUP($A36,Partner_Tickets!$A:$A,Partner_Tickets!F:F,"",0)="Free","Free",IF(XLOOKUP($A36,Partner_Tickets!$A:$A,Partner_Tickets!F:F,"",0)="VL","VL",IF(XLOOKUP($A36,Partner_Tickets!$A:$A,Partner_Tickets!F:F,"",0)="ATT","ATT",XLOOKUP($A36,Partner_Tickets!$A:$A,Partner_Tickets!F:F,"",0))))</f>
        <v>Free</v>
      </c>
      <c r="G36" s="42">
        <f t="array" ref="G36">IF(XLOOKUP($A36,Partner_Tickets!$A:$A,Partner_Tickets!G:G,"",0)="Free","Free",IF(XLOOKUP($A36,Partner_Tickets!$A:$A,Partner_Tickets!G:G,"",0)="VL","VL",IF(XLOOKUP($A36,Partner_Tickets!$A:$A,Partner_Tickets!G:G,"",0)="ATT","ATT",XLOOKUP($A36,Partner_Tickets!$A:$A,Partner_Tickets!G:G,"",0))))</f>
        <v>0.3333333333</v>
      </c>
      <c r="H36" s="42">
        <f t="array" ref="H36">IF(XLOOKUP($A36,Partner_Tickets!$A:$A,Partner_Tickets!H:H,"",0)="Free","Free",IF(XLOOKUP($A36,Partner_Tickets!$A:$A,Partner_Tickets!H:H,"",0)="VL","VL",IF(XLOOKUP($A36,Partner_Tickets!$A:$A,Partner_Tickets!H:H,"",0)="ATT","ATT",XLOOKUP($A36,Partner_Tickets!$A:$A,Partner_Tickets!H:H,"",0))))</f>
        <v>0.3333333333</v>
      </c>
      <c r="I36" s="42">
        <f t="array" ref="I36">IF(XLOOKUP($A36,Partner_Tickets!$A:$A,Partner_Tickets!I:I,"",0)="Free","Free",IF(XLOOKUP($A36,Partner_Tickets!$A:$A,Partner_Tickets!I:I,"",0)="VL","VL",IF(XLOOKUP($A36,Partner_Tickets!$A:$A,Partner_Tickets!I:I,"",0)="ATT","ATT",XLOOKUP($A36,Partner_Tickets!$A:$A,Partner_Tickets!I:I,"",0))))</f>
        <v>0.3333333333</v>
      </c>
      <c r="J36" s="42">
        <f t="array" ref="J36">IF(XLOOKUP($A36,Partner_Tickets!$A:$A,Partner_Tickets!J:J,"",0)="Free","Free",IF(XLOOKUP($A36,Partner_Tickets!$A:$A,Partner_Tickets!J:J,"",0)="VL","VL",IF(XLOOKUP($A36,Partner_Tickets!$A:$A,Partner_Tickets!J:J,"",0)="ATT","ATT",XLOOKUP($A36,Partner_Tickets!$A:$A,Partner_Tickets!J:J,"",0))))</f>
        <v>0.3333333333</v>
      </c>
      <c r="K36" s="42" t="str">
        <f t="array" ref="K36">IF(XLOOKUP($A36,Partner_Tickets!$A:$A,Partner_Tickets!K:K,"",0)="Free","Free",IF(XLOOKUP($A36,Partner_Tickets!$A:$A,Partner_Tickets!K:K,"",0)="VL","VL",IF(XLOOKUP($A36,Partner_Tickets!$A:$A,Partner_Tickets!K:K,"",0)="ATT","ATT",XLOOKUP($A36,Partner_Tickets!$A:$A,Partner_Tickets!K:K,"",0))))</f>
        <v/>
      </c>
      <c r="L36" s="42">
        <f t="array" ref="L36">IF(XLOOKUP($A36,Partner_Tickets!$A:$A,Partner_Tickets!L:L,"",0)="Free","Free",IF(XLOOKUP($A36,Partner_Tickets!$A:$A,Partner_Tickets!L:L,"",0)="VL","VL",IF(XLOOKUP($A36,Partner_Tickets!$A:$A,Partner_Tickets!L:L,"",0)="ATT","ATT",XLOOKUP($A36,Partner_Tickets!$A:$A,Partner_Tickets!L:L,"",0))))</f>
        <v>0.2916666667</v>
      </c>
      <c r="M36" s="42">
        <f t="array" ref="M36">IF(XLOOKUP($A36,Partner_Tickets!$A:$A,Partner_Tickets!M:M,"",0)="Free","Free",IF(XLOOKUP($A36,Partner_Tickets!$A:$A,Partner_Tickets!M:M,"",0)="VL","VL",IF(XLOOKUP($A36,Partner_Tickets!$A:$A,Partner_Tickets!M:M,"",0)="ATT","ATT",XLOOKUP($A36,Partner_Tickets!$A:$A,Partner_Tickets!M:M,"",0))))</f>
        <v>0.2916666667</v>
      </c>
      <c r="N36" s="42">
        <f t="array" ref="N36">IF(XLOOKUP($A36,Partner_Tickets!$A:$A,Partner_Tickets!N:N,"",0)="Free","Free",IF(XLOOKUP($A36,Partner_Tickets!$A:$A,Partner_Tickets!N:N,"",0)="VL","VL",IF(XLOOKUP($A36,Partner_Tickets!$A:$A,Partner_Tickets!N:N,"",0)="ATT","ATT",XLOOKUP($A36,Partner_Tickets!$A:$A,Partner_Tickets!N:N,"",0))))</f>
        <v>0.2916666667</v>
      </c>
      <c r="O36" s="42">
        <f t="array" ref="O36">IF(XLOOKUP($A36,Partner_Tickets!$A:$A,Partner_Tickets!O:O,"",0)="Free","Free",IF(XLOOKUP($A36,Partner_Tickets!$A:$A,Partner_Tickets!O:O,"",0)="VL","VL",IF(XLOOKUP($A36,Partner_Tickets!$A:$A,Partner_Tickets!O:O,"",0)="ATT","ATT",XLOOKUP($A36,Partner_Tickets!$A:$A,Partner_Tickets!O:O,"",0))))</f>
        <v>0.2916666667</v>
      </c>
      <c r="P36" s="42">
        <f t="array" ref="P36">IF(XLOOKUP($A36,Partner_Tickets!$A:$A,Partner_Tickets!P:P,"",0)="Free","Free",IF(XLOOKUP($A36,Partner_Tickets!$A:$A,Partner_Tickets!P:P,"",0)="VL","VL",IF(XLOOKUP($A36,Partner_Tickets!$A:$A,Partner_Tickets!P:P,"",0)="ATT","ATT",XLOOKUP($A36,Partner_Tickets!$A:$A,Partner_Tickets!P:P,"",0))))</f>
        <v>0.2916666667</v>
      </c>
      <c r="Q36" s="42" t="str">
        <f t="array" ref="Q36">IF(XLOOKUP($A36,Partner_Tickets!$A:$A,Partner_Tickets!Q:Q,"",0)="Free","Free",IF(XLOOKUP($A36,Partner_Tickets!$A:$A,Partner_Tickets!Q:Q,"",0)="VL","VL",IF(XLOOKUP($A36,Partner_Tickets!$A:$A,Partner_Tickets!Q:Q,"",0)="ATT","ATT",XLOOKUP($A36,Partner_Tickets!$A:$A,Partner_Tickets!Q:Q,"",0))))</f>
        <v>Free</v>
      </c>
      <c r="R36" s="42"/>
      <c r="S36" s="42">
        <f t="array" ref="S36">IF(XLOOKUP($A36,Partner_Tickets!$A:$A,Partner_Tickets!S:S,"",0)="Free","Free",IF(XLOOKUP($A36,Partner_Tickets!$A:$A,Partner_Tickets!S:S,"",0)="VL","VL",IF(XLOOKUP($A36,Partner_Tickets!$A:$A,Partner_Tickets!S:S,"",0)="ATT","ATT",XLOOKUP($A36,Partner_Tickets!$A:$A,Partner_Tickets!S:S,"",0))))</f>
        <v>0.2916666667</v>
      </c>
      <c r="T36" s="42">
        <f t="array" ref="T36">IF(XLOOKUP($A36,Partner_Tickets!$A:$A,Partner_Tickets!T:T,"",0)="Free","Free",IF(XLOOKUP($A36,Partner_Tickets!$A:$A,Partner_Tickets!T:T,"",0)="VL","VL",IF(XLOOKUP($A36,Partner_Tickets!$A:$A,Partner_Tickets!T:T,"",0)="ATT","ATT",XLOOKUP($A36,Partner_Tickets!$A:$A,Partner_Tickets!T:T,"",0))))</f>
        <v>0.2916666667</v>
      </c>
      <c r="U36" s="42">
        <f t="array" ref="U36">IF(XLOOKUP($A36,Partner_Tickets!$A:$A,Partner_Tickets!U:U,"",0)="Free","Free",IF(XLOOKUP($A36,Partner_Tickets!$A:$A,Partner_Tickets!U:U,"",0)="VL","VL",IF(XLOOKUP($A36,Partner_Tickets!$A:$A,Partner_Tickets!U:U,"",0)="ATT","ATT",XLOOKUP($A36,Partner_Tickets!$A:$A,Partner_Tickets!U:U,"",0))))</f>
        <v>0.2916666667</v>
      </c>
      <c r="V36" s="42">
        <f t="array" ref="V36">IF(XLOOKUP($A36,Partner_Tickets!$A:$A,Partner_Tickets!V:V,"",0)="Free","Free",IF(XLOOKUP($A36,Partner_Tickets!$A:$A,Partner_Tickets!V:V,"",0)="VL","VL",IF(XLOOKUP($A36,Partner_Tickets!$A:$A,Partner_Tickets!V:V,"",0)="ATT","ATT",XLOOKUP($A36,Partner_Tickets!$A:$A,Partner_Tickets!V:V,"",0))))</f>
        <v>0.2916666667</v>
      </c>
      <c r="W36" s="42">
        <f t="array" ref="W36">IF(XLOOKUP($A36,Partner_Tickets!$A:$A,Partner_Tickets!W:W,"",0)="Free","Free",IF(XLOOKUP($A36,Partner_Tickets!$A:$A,Partner_Tickets!W:W,"",0)="VL","VL",IF(XLOOKUP($A36,Partner_Tickets!$A:$A,Partner_Tickets!W:W,"",0)="ATT","ATT",XLOOKUP($A36,Partner_Tickets!$A:$A,Partner_Tickets!W:W,"",0))))</f>
        <v>0.2916666667</v>
      </c>
      <c r="X36" s="42" t="str">
        <f t="array" ref="X36">IF(XLOOKUP($A36,Partner_Tickets!$A:$A,Partner_Tickets!X:X,"",0)="Free","Free",IF(XLOOKUP($A36,Partner_Tickets!$A:$A,Partner_Tickets!X:X,"",0)="VL","VL",IF(XLOOKUP($A36,Partner_Tickets!$A:$A,Partner_Tickets!X:X,"",0)="ATT","ATT",XLOOKUP($A36,Partner_Tickets!$A:$A,Partner_Tickets!X:X,"",0))))</f>
        <v>Free</v>
      </c>
      <c r="Y36" s="42"/>
      <c r="Z36" s="42">
        <f t="array" ref="Z36">IF(XLOOKUP($A36,Partner_Tickets!$A:$A,Partner_Tickets!Z:Z,"",0)="Free","Free",IF(XLOOKUP($A36,Partner_Tickets!$A:$A,Partner_Tickets!Z:Z,"",0)="VL","VL",IF(XLOOKUP($A36,Partner_Tickets!$A:$A,Partner_Tickets!Z:Z,"",0)="ATT","ATT",XLOOKUP($A36,Partner_Tickets!$A:$A,Partner_Tickets!Z:Z,"",0))))</f>
        <v>0.2916666667</v>
      </c>
      <c r="AA36" s="42">
        <f t="array" ref="AA36">IF(XLOOKUP($A36,Partner_Tickets!$A:$A,Partner_Tickets!AA:AA,"",0)="Free","Free",IF(XLOOKUP($A36,Partner_Tickets!$A:$A,Partner_Tickets!AA:AA,"",0)="VL","VL",IF(XLOOKUP($A36,Partner_Tickets!$A:$A,Partner_Tickets!AA:AA,"",0)="ATT","ATT",XLOOKUP($A36,Partner_Tickets!$A:$A,Partner_Tickets!AA:AA,"",0))))</f>
        <v>0.2916666667</v>
      </c>
      <c r="AB36" s="42">
        <f t="array" ref="AB36">IF(XLOOKUP($A36,Partner_Tickets!$A:$A,Partner_Tickets!AB:AB,"",0)="Free","Free",IF(XLOOKUP($A36,Partner_Tickets!$A:$A,Partner_Tickets!AB:AB,"",0)="VL","VL",IF(XLOOKUP($A36,Partner_Tickets!$A:$A,Partner_Tickets!AB:AB,"",0)="ATT","ATT",XLOOKUP($A36,Partner_Tickets!$A:$A,Partner_Tickets!AB:AB,"",0))))</f>
        <v>0.2916666667</v>
      </c>
      <c r="AC36" s="42">
        <f t="array" ref="AC36">IF(XLOOKUP($A36,Partner_Tickets!$A:$A,Partner_Tickets!AC:AC,"",0)="Free","Free",IF(XLOOKUP($A36,Partner_Tickets!$A:$A,Partner_Tickets!AC:AC,"",0)="VL","VL",IF(XLOOKUP($A36,Partner_Tickets!$A:$A,Partner_Tickets!AC:AC,"",0)="ATT","ATT",XLOOKUP($A36,Partner_Tickets!$A:$A,Partner_Tickets!AC:AC,"",0))))</f>
        <v>0.2916666667</v>
      </c>
      <c r="AD36" s="42">
        <f t="array" ref="AD36">IF(XLOOKUP($A36,Partner_Tickets!$A:$A,Partner_Tickets!AD:AD,"",0)="Free","Free",IF(XLOOKUP($A36,Partner_Tickets!$A:$A,Partner_Tickets!AD:AD,"",0)="VL","VL",IF(XLOOKUP($A36,Partner_Tickets!$A:$A,Partner_Tickets!AD:AD,"",0)="ATT","ATT",XLOOKUP($A36,Partner_Tickets!$A:$A,Partner_Tickets!AD:AD,"",0))))</f>
        <v>0.2916666667</v>
      </c>
      <c r="AE36" s="42" t="str">
        <f t="array" ref="AE36">IF(XLOOKUP($A36,Partner_Tickets!$A:$A,Partner_Tickets!AE:AE,"",0)="Free","Free",IF(XLOOKUP($A36,Partner_Tickets!$A:$A,Partner_Tickets!AE:AE,"",0)="VL","VL",IF(XLOOKUP($A36,Partner_Tickets!$A:$A,Partner_Tickets!AE:AE,"",0)="ATT","ATT",XLOOKUP($A36,Partner_Tickets!$A:$A,Partner_Tickets!AE:AE,"",0))))</f>
        <v>Free</v>
      </c>
      <c r="AF36" s="42"/>
      <c r="AG36" s="42">
        <f t="array" ref="AG36">IF(XLOOKUP($A36,Partner_Tickets!$A:$A,Partner_Tickets!AG:AG,"",0)="Free","Free",IF(XLOOKUP($A36,Partner_Tickets!$A:$A,Partner_Tickets!AG:AG,"",0)="VL","VL",IF(XLOOKUP($A36,Partner_Tickets!$A:$A,Partner_Tickets!AG:AG,"",0)="ATT","ATT",XLOOKUP($A36,Partner_Tickets!$A:$A,Partner_Tickets!AG:AG,"",0))))</f>
        <v>0.2916666667</v>
      </c>
      <c r="AH36" s="42">
        <f t="array" ref="AH36">IF(XLOOKUP($A36,Partner_Tickets!$A:$A,Partner_Tickets!AH:AH,"",0)="Free","Free",IF(XLOOKUP($A36,Partner_Tickets!$A:$A,Partner_Tickets!AH:AH,"",0)="VL","VL",IF(XLOOKUP($A36,Partner_Tickets!$A:$A,Partner_Tickets!AH:AH,"",0)="ATT","ATT",XLOOKUP($A36,Partner_Tickets!$A:$A,Partner_Tickets!AH:AH,"",0))))</f>
        <v>0.2916666667</v>
      </c>
      <c r="AI36" s="42">
        <f t="array" ref="AI36">IF(XLOOKUP($A36,Partner_Tickets!$A:$A,Partner_Tickets!AI:AI,"",0)="Free","Free",IF(XLOOKUP($A36,Partner_Tickets!$A:$A,Partner_Tickets!AI:AI,"",0)="VL","VL",IF(XLOOKUP($A36,Partner_Tickets!$A:$A,Partner_Tickets!AI:AI,"",0)="ATT","ATT",XLOOKUP($A36,Partner_Tickets!$A:$A,Partner_Tickets!AI:AI,"",0))))</f>
        <v>0.2916666667</v>
      </c>
      <c r="AJ36" s="42">
        <f t="array" ref="AJ36">IF(XLOOKUP($A36,Partner_Tickets!$A:$A,Partner_Tickets!AJ:AJ,"",0)="Free","Free",IF(XLOOKUP($A36,Partner_Tickets!$A:$A,Partner_Tickets!AJ:AJ,"",0)="VL","VL",IF(XLOOKUP($A36,Partner_Tickets!$A:$A,Partner_Tickets!AJ:AJ,"",0)="ATT","ATT",XLOOKUP($A36,Partner_Tickets!$A:$A,Partner_Tickets!AJ:AJ,"",0))))</f>
        <v>0.2916666667</v>
      </c>
      <c r="AK36" s="42">
        <f t="array" ref="AK36">IF(XLOOKUP($A36,Partner_Tickets!$A:$A,Partner_Tickets!AK:AK,"",0)="Free","Free",IF(XLOOKUP($A36,Partner_Tickets!$A:$A,Partner_Tickets!AK:AK,"",0)="VL","VL",IF(XLOOKUP($A36,Partner_Tickets!$A:$A,Partner_Tickets!AK:AK,"",0)="ATT","ATT",XLOOKUP($A36,Partner_Tickets!$A:$A,Partner_Tickets!AK:AK,"",0))))</f>
        <v>0.2916666667</v>
      </c>
      <c r="AL36" s="42" t="str">
        <f t="array" ref="AL36">IF(XLOOKUP($A36,Partner_Tickets!$A:$A,Partner_Tickets!AL:AL,"",0)="Free","Free",IF(XLOOKUP($A36,Partner_Tickets!$A:$A,Partner_Tickets!AL:AL,"",0)="VL","VL",IF(XLOOKUP($A36,Partner_Tickets!$A:$A,Partner_Tickets!AL:AL,"",0)="ATT","ATT",XLOOKUP($A36,Partner_Tickets!$A:$A,Partner_Tickets!AL:AL,"",0))))</f>
        <v>Free</v>
      </c>
      <c r="AM36" s="42"/>
    </row>
    <row r="37">
      <c r="A37" s="40" t="s">
        <v>168</v>
      </c>
      <c r="B37" s="44" t="str">
        <f t="array" ref="B37">XLOOKUP(A37,Roster!F:F,Roster!A:A,"",0)</f>
        <v>Edward Machado</v>
      </c>
      <c r="C37" s="44" t="str">
        <f t="array" ref="C37">XLOOKUP(A37,Roster!F:F,Roster!B:B,"",0)</f>
        <v>Samuel Acevedo</v>
      </c>
      <c r="D37" s="40"/>
      <c r="E37" s="42">
        <f t="array" ref="E37">IF(XLOOKUP($A37,Partner_Tickets!$A:$A,Partner_Tickets!E:E,"",0)="Free","Free",IF(XLOOKUP($A37,Partner_Tickets!$A:$A,Partner_Tickets!E:E,"",0)="VL","VL",IF(XLOOKUP($A37,Partner_Tickets!$A:$A,Partner_Tickets!E:E,"",0)="ATT","ATT",XLOOKUP($A37,Partner_Tickets!$A:$A,Partner_Tickets!E:E,"",0))))</f>
        <v>0.3333333333</v>
      </c>
      <c r="F37" s="42" t="str">
        <f t="array" ref="F37">IF(XLOOKUP($A37,Partner_Tickets!$A:$A,Partner_Tickets!F:F,"",0)="Free","Free",IF(XLOOKUP($A37,Partner_Tickets!$A:$A,Partner_Tickets!F:F,"",0)="VL","VL",IF(XLOOKUP($A37,Partner_Tickets!$A:$A,Partner_Tickets!F:F,"",0)="ATT","ATT",XLOOKUP($A37,Partner_Tickets!$A:$A,Partner_Tickets!F:F,"",0))))</f>
        <v>Free</v>
      </c>
      <c r="G37" s="42">
        <f t="array" ref="G37">IF(XLOOKUP($A37,Partner_Tickets!$A:$A,Partner_Tickets!G:G,"",0)="Free","Free",IF(XLOOKUP($A37,Partner_Tickets!$A:$A,Partner_Tickets!G:G,"",0)="VL","VL",IF(XLOOKUP($A37,Partner_Tickets!$A:$A,Partner_Tickets!G:G,"",0)="ATT","ATT",XLOOKUP($A37,Partner_Tickets!$A:$A,Partner_Tickets!G:G,"",0))))</f>
        <v>0.3333333333</v>
      </c>
      <c r="H37" s="42">
        <f t="array" ref="H37">IF(XLOOKUP($A37,Partner_Tickets!$A:$A,Partner_Tickets!H:H,"",0)="Free","Free",IF(XLOOKUP($A37,Partner_Tickets!$A:$A,Partner_Tickets!H:H,"",0)="VL","VL",IF(XLOOKUP($A37,Partner_Tickets!$A:$A,Partner_Tickets!H:H,"",0)="ATT","ATT",XLOOKUP($A37,Partner_Tickets!$A:$A,Partner_Tickets!H:H,"",0))))</f>
        <v>0.3333333333</v>
      </c>
      <c r="I37" s="42">
        <f t="array" ref="I37">IF(XLOOKUP($A37,Partner_Tickets!$A:$A,Partner_Tickets!I:I,"",0)="Free","Free",IF(XLOOKUP($A37,Partner_Tickets!$A:$A,Partner_Tickets!I:I,"",0)="VL","VL",IF(XLOOKUP($A37,Partner_Tickets!$A:$A,Partner_Tickets!I:I,"",0)="ATT","ATT",XLOOKUP($A37,Partner_Tickets!$A:$A,Partner_Tickets!I:I,"",0))))</f>
        <v>0.3333333333</v>
      </c>
      <c r="J37" s="42">
        <f t="array" ref="J37">IF(XLOOKUP($A37,Partner_Tickets!$A:$A,Partner_Tickets!J:J,"",0)="Free","Free",IF(XLOOKUP($A37,Partner_Tickets!$A:$A,Partner_Tickets!J:J,"",0)="VL","VL",IF(XLOOKUP($A37,Partner_Tickets!$A:$A,Partner_Tickets!J:J,"",0)="ATT","ATT",XLOOKUP($A37,Partner_Tickets!$A:$A,Partner_Tickets!J:J,"",0))))</f>
        <v>0.3333333333</v>
      </c>
      <c r="K37" s="42" t="str">
        <f t="array" ref="K37">IF(XLOOKUP($A37,Partner_Tickets!$A:$A,Partner_Tickets!K:K,"",0)="Free","Free",IF(XLOOKUP($A37,Partner_Tickets!$A:$A,Partner_Tickets!K:K,"",0)="VL","VL",IF(XLOOKUP($A37,Partner_Tickets!$A:$A,Partner_Tickets!K:K,"",0)="ATT","ATT",XLOOKUP($A37,Partner_Tickets!$A:$A,Partner_Tickets!K:K,"",0))))</f>
        <v/>
      </c>
      <c r="L37" s="42">
        <f t="array" ref="L37">IF(XLOOKUP($A37,Partner_Tickets!$A:$A,Partner_Tickets!L:L,"",0)="Free","Free",IF(XLOOKUP($A37,Partner_Tickets!$A:$A,Partner_Tickets!L:L,"",0)="VL","VL",IF(XLOOKUP($A37,Partner_Tickets!$A:$A,Partner_Tickets!L:L,"",0)="ATT","ATT",XLOOKUP($A37,Partner_Tickets!$A:$A,Partner_Tickets!L:L,"",0))))</f>
        <v>0.3333333333</v>
      </c>
      <c r="M37" s="42">
        <f t="array" ref="M37">IF(XLOOKUP($A37,Partner_Tickets!$A:$A,Partner_Tickets!M:M,"",0)="Free","Free",IF(XLOOKUP($A37,Partner_Tickets!$A:$A,Partner_Tickets!M:M,"",0)="VL","VL",IF(XLOOKUP($A37,Partner_Tickets!$A:$A,Partner_Tickets!M:M,"",0)="ATT","ATT",XLOOKUP($A37,Partner_Tickets!$A:$A,Partner_Tickets!M:M,"",0))))</f>
        <v>0.3333333333</v>
      </c>
      <c r="N37" s="42">
        <f t="array" ref="N37">IF(XLOOKUP($A37,Partner_Tickets!$A:$A,Partner_Tickets!N:N,"",0)="Free","Free",IF(XLOOKUP($A37,Partner_Tickets!$A:$A,Partner_Tickets!N:N,"",0)="VL","VL",IF(XLOOKUP($A37,Partner_Tickets!$A:$A,Partner_Tickets!N:N,"",0)="ATT","ATT",XLOOKUP($A37,Partner_Tickets!$A:$A,Partner_Tickets!N:N,"",0))))</f>
        <v>0.3333333333</v>
      </c>
      <c r="O37" s="42">
        <f t="array" ref="O37">IF(XLOOKUP($A37,Partner_Tickets!$A:$A,Partner_Tickets!O:O,"",0)="Free","Free",IF(XLOOKUP($A37,Partner_Tickets!$A:$A,Partner_Tickets!O:O,"",0)="VL","VL",IF(XLOOKUP($A37,Partner_Tickets!$A:$A,Partner_Tickets!O:O,"",0)="ATT","ATT",XLOOKUP($A37,Partner_Tickets!$A:$A,Partner_Tickets!O:O,"",0))))</f>
        <v>0.3333333333</v>
      </c>
      <c r="P37" s="42">
        <f t="array" ref="P37">IF(XLOOKUP($A37,Partner_Tickets!$A:$A,Partner_Tickets!P:P,"",0)="Free","Free",IF(XLOOKUP($A37,Partner_Tickets!$A:$A,Partner_Tickets!P:P,"",0)="VL","VL",IF(XLOOKUP($A37,Partner_Tickets!$A:$A,Partner_Tickets!P:P,"",0)="ATT","ATT",XLOOKUP($A37,Partner_Tickets!$A:$A,Partner_Tickets!P:P,"",0))))</f>
        <v>0.3333333333</v>
      </c>
      <c r="Q37" s="42" t="str">
        <f t="array" ref="Q37">IF(XLOOKUP($A37,Partner_Tickets!$A:$A,Partner_Tickets!Q:Q,"",0)="Free","Free",IF(XLOOKUP($A37,Partner_Tickets!$A:$A,Partner_Tickets!Q:Q,"",0)="VL","VL",IF(XLOOKUP($A37,Partner_Tickets!$A:$A,Partner_Tickets!Q:Q,"",0)="ATT","ATT",XLOOKUP($A37,Partner_Tickets!$A:$A,Partner_Tickets!Q:Q,"",0))))</f>
        <v>Free</v>
      </c>
      <c r="R37" s="42"/>
      <c r="S37" s="42">
        <f t="array" ref="S37">IF(XLOOKUP($A37,Partner_Tickets!$A:$A,Partner_Tickets!S:S,"",0)="Free","Free",IF(XLOOKUP($A37,Partner_Tickets!$A:$A,Partner_Tickets!S:S,"",0)="VL","VL",IF(XLOOKUP($A37,Partner_Tickets!$A:$A,Partner_Tickets!S:S,"",0)="ATT","ATT",XLOOKUP($A37,Partner_Tickets!$A:$A,Partner_Tickets!S:S,"",0))))</f>
        <v>0.3333333333</v>
      </c>
      <c r="T37" s="42">
        <f t="array" ref="T37">IF(XLOOKUP($A37,Partner_Tickets!$A:$A,Partner_Tickets!T:T,"",0)="Free","Free",IF(XLOOKUP($A37,Partner_Tickets!$A:$A,Partner_Tickets!T:T,"",0)="VL","VL",IF(XLOOKUP($A37,Partner_Tickets!$A:$A,Partner_Tickets!T:T,"",0)="ATT","ATT",XLOOKUP($A37,Partner_Tickets!$A:$A,Partner_Tickets!T:T,"",0))))</f>
        <v>0.3333333333</v>
      </c>
      <c r="U37" s="42">
        <f t="array" ref="U37">IF(XLOOKUP($A37,Partner_Tickets!$A:$A,Partner_Tickets!U:U,"",0)="Free","Free",IF(XLOOKUP($A37,Partner_Tickets!$A:$A,Partner_Tickets!U:U,"",0)="VL","VL",IF(XLOOKUP($A37,Partner_Tickets!$A:$A,Partner_Tickets!U:U,"",0)="ATT","ATT",XLOOKUP($A37,Partner_Tickets!$A:$A,Partner_Tickets!U:U,"",0))))</f>
        <v>0.3333333333</v>
      </c>
      <c r="V37" s="42">
        <f t="array" ref="V37">IF(XLOOKUP($A37,Partner_Tickets!$A:$A,Partner_Tickets!V:V,"",0)="Free","Free",IF(XLOOKUP($A37,Partner_Tickets!$A:$A,Partner_Tickets!V:V,"",0)="VL","VL",IF(XLOOKUP($A37,Partner_Tickets!$A:$A,Partner_Tickets!V:V,"",0)="ATT","ATT",XLOOKUP($A37,Partner_Tickets!$A:$A,Partner_Tickets!V:V,"",0))))</f>
        <v>0.3333333333</v>
      </c>
      <c r="W37" s="42">
        <f t="array" ref="W37">IF(XLOOKUP($A37,Partner_Tickets!$A:$A,Partner_Tickets!W:W,"",0)="Free","Free",IF(XLOOKUP($A37,Partner_Tickets!$A:$A,Partner_Tickets!W:W,"",0)="VL","VL",IF(XLOOKUP($A37,Partner_Tickets!$A:$A,Partner_Tickets!W:W,"",0)="ATT","ATT",XLOOKUP($A37,Partner_Tickets!$A:$A,Partner_Tickets!W:W,"",0))))</f>
        <v>0.3333333333</v>
      </c>
      <c r="X37" s="42" t="str">
        <f t="array" ref="X37">IF(XLOOKUP($A37,Partner_Tickets!$A:$A,Partner_Tickets!X:X,"",0)="Free","Free",IF(XLOOKUP($A37,Partner_Tickets!$A:$A,Partner_Tickets!X:X,"",0)="VL","VL",IF(XLOOKUP($A37,Partner_Tickets!$A:$A,Partner_Tickets!X:X,"",0)="ATT","ATT",XLOOKUP($A37,Partner_Tickets!$A:$A,Partner_Tickets!X:X,"",0))))</f>
        <v>Free</v>
      </c>
      <c r="Y37" s="42"/>
      <c r="Z37" s="42">
        <f t="array" ref="Z37">IF(XLOOKUP($A37,Partner_Tickets!$A:$A,Partner_Tickets!Z:Z,"",0)="Free","Free",IF(XLOOKUP($A37,Partner_Tickets!$A:$A,Partner_Tickets!Z:Z,"",0)="VL","VL",IF(XLOOKUP($A37,Partner_Tickets!$A:$A,Partner_Tickets!Z:Z,"",0)="ATT","ATT",XLOOKUP($A37,Partner_Tickets!$A:$A,Partner_Tickets!Z:Z,"",0))))</f>
        <v>0.3333333333</v>
      </c>
      <c r="AA37" s="42">
        <f t="array" ref="AA37">IF(XLOOKUP($A37,Partner_Tickets!$A:$A,Partner_Tickets!AA:AA,"",0)="Free","Free",IF(XLOOKUP($A37,Partner_Tickets!$A:$A,Partner_Tickets!AA:AA,"",0)="VL","VL",IF(XLOOKUP($A37,Partner_Tickets!$A:$A,Partner_Tickets!AA:AA,"",0)="ATT","ATT",XLOOKUP($A37,Partner_Tickets!$A:$A,Partner_Tickets!AA:AA,"",0))))</f>
        <v>0.3333333333</v>
      </c>
      <c r="AB37" s="42">
        <f t="array" ref="AB37">IF(XLOOKUP($A37,Partner_Tickets!$A:$A,Partner_Tickets!AB:AB,"",0)="Free","Free",IF(XLOOKUP($A37,Partner_Tickets!$A:$A,Partner_Tickets!AB:AB,"",0)="VL","VL",IF(XLOOKUP($A37,Partner_Tickets!$A:$A,Partner_Tickets!AB:AB,"",0)="ATT","ATT",XLOOKUP($A37,Partner_Tickets!$A:$A,Partner_Tickets!AB:AB,"",0))))</f>
        <v>0.3333333333</v>
      </c>
      <c r="AC37" s="42">
        <f t="array" ref="AC37">IF(XLOOKUP($A37,Partner_Tickets!$A:$A,Partner_Tickets!AC:AC,"",0)="Free","Free",IF(XLOOKUP($A37,Partner_Tickets!$A:$A,Partner_Tickets!AC:AC,"",0)="VL","VL",IF(XLOOKUP($A37,Partner_Tickets!$A:$A,Partner_Tickets!AC:AC,"",0)="ATT","ATT",XLOOKUP($A37,Partner_Tickets!$A:$A,Partner_Tickets!AC:AC,"",0))))</f>
        <v>0.3333333333</v>
      </c>
      <c r="AD37" s="42">
        <f t="array" ref="AD37">IF(XLOOKUP($A37,Partner_Tickets!$A:$A,Partner_Tickets!AD:AD,"",0)="Free","Free",IF(XLOOKUP($A37,Partner_Tickets!$A:$A,Partner_Tickets!AD:AD,"",0)="VL","VL",IF(XLOOKUP($A37,Partner_Tickets!$A:$A,Partner_Tickets!AD:AD,"",0)="ATT","ATT",XLOOKUP($A37,Partner_Tickets!$A:$A,Partner_Tickets!AD:AD,"",0))))</f>
        <v>0.3333333333</v>
      </c>
      <c r="AE37" s="42" t="str">
        <f t="array" ref="AE37">IF(XLOOKUP($A37,Partner_Tickets!$A:$A,Partner_Tickets!AE:AE,"",0)="Free","Free",IF(XLOOKUP($A37,Partner_Tickets!$A:$A,Partner_Tickets!AE:AE,"",0)="VL","VL",IF(XLOOKUP($A37,Partner_Tickets!$A:$A,Partner_Tickets!AE:AE,"",0)="ATT","ATT",XLOOKUP($A37,Partner_Tickets!$A:$A,Partner_Tickets!AE:AE,"",0))))</f>
        <v>VL</v>
      </c>
      <c r="AF37" s="42"/>
      <c r="AG37" s="42" t="str">
        <f t="array" ref="AG37">IF(XLOOKUP($A37,Partner_Tickets!$A:$A,Partner_Tickets!AG:AG,"",0)="Free","Free",IF(XLOOKUP($A37,Partner_Tickets!$A:$A,Partner_Tickets!AG:AG,"",0)="VL","VL",IF(XLOOKUP($A37,Partner_Tickets!$A:$A,Partner_Tickets!AG:AG,"",0)="ATT","ATT",XLOOKUP($A37,Partner_Tickets!$A:$A,Partner_Tickets!AG:AG,"",0))))</f>
        <v>VL</v>
      </c>
      <c r="AH37" s="42" t="str">
        <f t="array" ref="AH37">IF(XLOOKUP($A37,Partner_Tickets!$A:$A,Partner_Tickets!AH:AH,"",0)="Free","Free",IF(XLOOKUP($A37,Partner_Tickets!$A:$A,Partner_Tickets!AH:AH,"",0)="VL","VL",IF(XLOOKUP($A37,Partner_Tickets!$A:$A,Partner_Tickets!AH:AH,"",0)="ATT","ATT",XLOOKUP($A37,Partner_Tickets!$A:$A,Partner_Tickets!AH:AH,"",0))))</f>
        <v>VL</v>
      </c>
      <c r="AI37" s="42" t="str">
        <f t="array" ref="AI37">IF(XLOOKUP($A37,Partner_Tickets!$A:$A,Partner_Tickets!AI:AI,"",0)="Free","Free",IF(XLOOKUP($A37,Partner_Tickets!$A:$A,Partner_Tickets!AI:AI,"",0)="VL","VL",IF(XLOOKUP($A37,Partner_Tickets!$A:$A,Partner_Tickets!AI:AI,"",0)="ATT","ATT",XLOOKUP($A37,Partner_Tickets!$A:$A,Partner_Tickets!AI:AI,"",0))))</f>
        <v>VL</v>
      </c>
      <c r="AJ37" s="42" t="str">
        <f t="array" ref="AJ37">IF(XLOOKUP($A37,Partner_Tickets!$A:$A,Partner_Tickets!AJ:AJ,"",0)="Free","Free",IF(XLOOKUP($A37,Partner_Tickets!$A:$A,Partner_Tickets!AJ:AJ,"",0)="VL","VL",IF(XLOOKUP($A37,Partner_Tickets!$A:$A,Partner_Tickets!AJ:AJ,"",0)="ATT","ATT",XLOOKUP($A37,Partner_Tickets!$A:$A,Partner_Tickets!AJ:AJ,"",0))))</f>
        <v>VL</v>
      </c>
      <c r="AK37" s="42" t="str">
        <f t="array" ref="AK37">IF(XLOOKUP($A37,Partner_Tickets!$A:$A,Partner_Tickets!AK:AK,"",0)="Free","Free",IF(XLOOKUP($A37,Partner_Tickets!$A:$A,Partner_Tickets!AK:AK,"",0)="VL","VL",IF(XLOOKUP($A37,Partner_Tickets!$A:$A,Partner_Tickets!AK:AK,"",0)="ATT","ATT",XLOOKUP($A37,Partner_Tickets!$A:$A,Partner_Tickets!AK:AK,"",0))))</f>
        <v>VL</v>
      </c>
      <c r="AL37" s="42" t="str">
        <f t="array" ref="AL37">IF(XLOOKUP($A37,Partner_Tickets!$A:$A,Partner_Tickets!AL:AL,"",0)="Free","Free",IF(XLOOKUP($A37,Partner_Tickets!$A:$A,Partner_Tickets!AL:AL,"",0)="VL","VL",IF(XLOOKUP($A37,Partner_Tickets!$A:$A,Partner_Tickets!AL:AL,"",0)="ATT","ATT",XLOOKUP($A37,Partner_Tickets!$A:$A,Partner_Tickets!AL:AL,"",0))))</f>
        <v>VL</v>
      </c>
      <c r="AM37" s="42"/>
    </row>
    <row r="38">
      <c r="A38" s="43" t="s">
        <v>169</v>
      </c>
      <c r="B38" s="44" t="str">
        <f t="array" ref="B38">XLOOKUP(A38,Roster!F:F,Roster!A:A,"",0)</f>
        <v>Edward Machado</v>
      </c>
      <c r="C38" s="44" t="str">
        <f t="array" ref="C38">XLOOKUP(A38,Roster!F:F,Roster!B:B,"",0)</f>
        <v>Sebastian Parra</v>
      </c>
      <c r="D38" s="40"/>
      <c r="E38" s="42" t="str">
        <f t="array" ref="E38">IF(XLOOKUP($A38,Partner_Tickets!$A:$A,Partner_Tickets!E:E,"",0)="Free","Free",IF(XLOOKUP($A38,Partner_Tickets!$A:$A,Partner_Tickets!E:E,"",0)="VL","VL",IF(XLOOKUP($A38,Partner_Tickets!$A:$A,Partner_Tickets!E:E,"",0)="ATT","ATT",XLOOKUP($A38,Partner_Tickets!$A:$A,Partner_Tickets!E:E,"",0))))</f>
        <v>VL</v>
      </c>
      <c r="F38" s="42" t="str">
        <f t="array" ref="F38">IF(XLOOKUP($A38,Partner_Tickets!$A:$A,Partner_Tickets!F:F,"",0)="Free","Free",IF(XLOOKUP($A38,Partner_Tickets!$A:$A,Partner_Tickets!F:F,"",0)="VL","VL",IF(XLOOKUP($A38,Partner_Tickets!$A:$A,Partner_Tickets!F:F,"",0)="ATT","ATT",XLOOKUP($A38,Partner_Tickets!$A:$A,Partner_Tickets!F:F,"",0))))</f>
        <v>VL</v>
      </c>
      <c r="G38" s="42" t="str">
        <f t="array" ref="G38">IF(XLOOKUP($A38,Partner_Tickets!$A:$A,Partner_Tickets!G:G,"",0)="Free","Free",IF(XLOOKUP($A38,Partner_Tickets!$A:$A,Partner_Tickets!G:G,"",0)="VL","VL",IF(XLOOKUP($A38,Partner_Tickets!$A:$A,Partner_Tickets!G:G,"",0)="ATT","ATT",XLOOKUP($A38,Partner_Tickets!$A:$A,Partner_Tickets!G:G,"",0))))</f>
        <v>VL</v>
      </c>
      <c r="H38" s="42" t="str">
        <f t="array" ref="H38">IF(XLOOKUP($A38,Partner_Tickets!$A:$A,Partner_Tickets!H:H,"",0)="Free","Free",IF(XLOOKUP($A38,Partner_Tickets!$A:$A,Partner_Tickets!H:H,"",0)="VL","VL",IF(XLOOKUP($A38,Partner_Tickets!$A:$A,Partner_Tickets!H:H,"",0)="ATT","ATT",XLOOKUP($A38,Partner_Tickets!$A:$A,Partner_Tickets!H:H,"",0))))</f>
        <v>VL</v>
      </c>
      <c r="I38" s="42" t="str">
        <f t="array" ref="I38">IF(XLOOKUP($A38,Partner_Tickets!$A:$A,Partner_Tickets!I:I,"",0)="Free","Free",IF(XLOOKUP($A38,Partner_Tickets!$A:$A,Partner_Tickets!I:I,"",0)="VL","VL",IF(XLOOKUP($A38,Partner_Tickets!$A:$A,Partner_Tickets!I:I,"",0)="ATT","ATT",XLOOKUP($A38,Partner_Tickets!$A:$A,Partner_Tickets!I:I,"",0))))</f>
        <v>VL</v>
      </c>
      <c r="J38" s="42" t="str">
        <f t="array" ref="J38">IF(XLOOKUP($A38,Partner_Tickets!$A:$A,Partner_Tickets!J:J,"",0)="Free","Free",IF(XLOOKUP($A38,Partner_Tickets!$A:$A,Partner_Tickets!J:J,"",0)="VL","VL",IF(XLOOKUP($A38,Partner_Tickets!$A:$A,Partner_Tickets!J:J,"",0)="ATT","ATT",XLOOKUP($A38,Partner_Tickets!$A:$A,Partner_Tickets!J:J,"",0))))</f>
        <v>VL</v>
      </c>
      <c r="K38" s="42" t="str">
        <f t="array" ref="K38">IF(XLOOKUP($A38,Partner_Tickets!$A:$A,Partner_Tickets!K:K,"",0)="Free","Free",IF(XLOOKUP($A38,Partner_Tickets!$A:$A,Partner_Tickets!K:K,"",0)="VL","VL",IF(XLOOKUP($A38,Partner_Tickets!$A:$A,Partner_Tickets!K:K,"",0)="ATT","ATT",XLOOKUP($A38,Partner_Tickets!$A:$A,Partner_Tickets!K:K,"",0))))</f>
        <v/>
      </c>
      <c r="L38" s="42">
        <f t="array" ref="L38">IF(XLOOKUP($A38,Partner_Tickets!$A:$A,Partner_Tickets!L:L,"",0)="Free","Free",IF(XLOOKUP($A38,Partner_Tickets!$A:$A,Partner_Tickets!L:L,"",0)="VL","VL",IF(XLOOKUP($A38,Partner_Tickets!$A:$A,Partner_Tickets!L:L,"",0)="ATT","ATT",XLOOKUP($A38,Partner_Tickets!$A:$A,Partner_Tickets!L:L,"",0))))</f>
        <v>0.3333333333</v>
      </c>
      <c r="M38" s="42" t="str">
        <f t="array" ref="M38">IF(XLOOKUP($A38,Partner_Tickets!$A:$A,Partner_Tickets!M:M,"",0)="Free","Free",IF(XLOOKUP($A38,Partner_Tickets!$A:$A,Partner_Tickets!M:M,"",0)="VL","VL",IF(XLOOKUP($A38,Partner_Tickets!$A:$A,Partner_Tickets!M:M,"",0)="ATT","ATT",XLOOKUP($A38,Partner_Tickets!$A:$A,Partner_Tickets!M:M,"",0))))</f>
        <v>Free</v>
      </c>
      <c r="N38" s="42">
        <f t="array" ref="N38">IF(XLOOKUP($A38,Partner_Tickets!$A:$A,Partner_Tickets!N:N,"",0)="Free","Free",IF(XLOOKUP($A38,Partner_Tickets!$A:$A,Partner_Tickets!N:N,"",0)="VL","VL",IF(XLOOKUP($A38,Partner_Tickets!$A:$A,Partner_Tickets!N:N,"",0)="ATT","ATT",XLOOKUP($A38,Partner_Tickets!$A:$A,Partner_Tickets!N:N,"",0))))</f>
        <v>0.3333333333</v>
      </c>
      <c r="O38" s="42">
        <f t="array" ref="O38">IF(XLOOKUP($A38,Partner_Tickets!$A:$A,Partner_Tickets!O:O,"",0)="Free","Free",IF(XLOOKUP($A38,Partner_Tickets!$A:$A,Partner_Tickets!O:O,"",0)="VL","VL",IF(XLOOKUP($A38,Partner_Tickets!$A:$A,Partner_Tickets!O:O,"",0)="ATT","ATT",XLOOKUP($A38,Partner_Tickets!$A:$A,Partner_Tickets!O:O,"",0))))</f>
        <v>0.3333333333</v>
      </c>
      <c r="P38" s="42">
        <f t="array" ref="P38">IF(XLOOKUP($A38,Partner_Tickets!$A:$A,Partner_Tickets!P:P,"",0)="Free","Free",IF(XLOOKUP($A38,Partner_Tickets!$A:$A,Partner_Tickets!P:P,"",0)="VL","VL",IF(XLOOKUP($A38,Partner_Tickets!$A:$A,Partner_Tickets!P:P,"",0)="ATT","ATT",XLOOKUP($A38,Partner_Tickets!$A:$A,Partner_Tickets!P:P,"",0))))</f>
        <v>0.3333333333</v>
      </c>
      <c r="Q38" s="42">
        <f t="array" ref="Q38">IF(XLOOKUP($A38,Partner_Tickets!$A:$A,Partner_Tickets!Q:Q,"",0)="Free","Free",IF(XLOOKUP($A38,Partner_Tickets!$A:$A,Partner_Tickets!Q:Q,"",0)="VL","VL",IF(XLOOKUP($A38,Partner_Tickets!$A:$A,Partner_Tickets!Q:Q,"",0)="ATT","ATT",XLOOKUP($A38,Partner_Tickets!$A:$A,Partner_Tickets!Q:Q,"",0))))</f>
        <v>0.3333333333</v>
      </c>
      <c r="R38" s="42"/>
      <c r="S38" s="42">
        <f t="array" ref="S38">IF(XLOOKUP($A38,Partner_Tickets!$A:$A,Partner_Tickets!S:S,"",0)="Free","Free",IF(XLOOKUP($A38,Partner_Tickets!$A:$A,Partner_Tickets!S:S,"",0)="VL","VL",IF(XLOOKUP($A38,Partner_Tickets!$A:$A,Partner_Tickets!S:S,"",0)="ATT","ATT",XLOOKUP($A38,Partner_Tickets!$A:$A,Partner_Tickets!S:S,"",0))))</f>
        <v>0.3333333333</v>
      </c>
      <c r="T38" s="42" t="str">
        <f t="array" ref="T38">IF(XLOOKUP($A38,Partner_Tickets!$A:$A,Partner_Tickets!T:T,"",0)="Free","Free",IF(XLOOKUP($A38,Partner_Tickets!$A:$A,Partner_Tickets!T:T,"",0)="VL","VL",IF(XLOOKUP($A38,Partner_Tickets!$A:$A,Partner_Tickets!T:T,"",0)="ATT","ATT",XLOOKUP($A38,Partner_Tickets!$A:$A,Partner_Tickets!T:T,"",0))))</f>
        <v>Free</v>
      </c>
      <c r="U38" s="42">
        <f t="array" ref="U38">IF(XLOOKUP($A38,Partner_Tickets!$A:$A,Partner_Tickets!U:U,"",0)="Free","Free",IF(XLOOKUP($A38,Partner_Tickets!$A:$A,Partner_Tickets!U:U,"",0)="VL","VL",IF(XLOOKUP($A38,Partner_Tickets!$A:$A,Partner_Tickets!U:U,"",0)="ATT","ATT",XLOOKUP($A38,Partner_Tickets!$A:$A,Partner_Tickets!U:U,"",0))))</f>
        <v>0.3333333333</v>
      </c>
      <c r="V38" s="42">
        <f t="array" ref="V38">IF(XLOOKUP($A38,Partner_Tickets!$A:$A,Partner_Tickets!V:V,"",0)="Free","Free",IF(XLOOKUP($A38,Partner_Tickets!$A:$A,Partner_Tickets!V:V,"",0)="VL","VL",IF(XLOOKUP($A38,Partner_Tickets!$A:$A,Partner_Tickets!V:V,"",0)="ATT","ATT",XLOOKUP($A38,Partner_Tickets!$A:$A,Partner_Tickets!V:V,"",0))))</f>
        <v>0.3333333333</v>
      </c>
      <c r="W38" s="42">
        <f t="array" ref="W38">IF(XLOOKUP($A38,Partner_Tickets!$A:$A,Partner_Tickets!W:W,"",0)="Free","Free",IF(XLOOKUP($A38,Partner_Tickets!$A:$A,Partner_Tickets!W:W,"",0)="VL","VL",IF(XLOOKUP($A38,Partner_Tickets!$A:$A,Partner_Tickets!W:W,"",0)="ATT","ATT",XLOOKUP($A38,Partner_Tickets!$A:$A,Partner_Tickets!W:W,"",0))))</f>
        <v>0.3333333333</v>
      </c>
      <c r="X38" s="42">
        <f t="array" ref="X38">IF(XLOOKUP($A38,Partner_Tickets!$A:$A,Partner_Tickets!X:X,"",0)="Free","Free",IF(XLOOKUP($A38,Partner_Tickets!$A:$A,Partner_Tickets!X:X,"",0)="VL","VL",IF(XLOOKUP($A38,Partner_Tickets!$A:$A,Partner_Tickets!X:X,"",0)="ATT","ATT",XLOOKUP($A38,Partner_Tickets!$A:$A,Partner_Tickets!X:X,"",0))))</f>
        <v>0.3333333333</v>
      </c>
      <c r="Y38" s="42"/>
      <c r="Z38" s="42">
        <f t="array" ref="Z38">IF(XLOOKUP($A38,Partner_Tickets!$A:$A,Partner_Tickets!Z:Z,"",0)="Free","Free",IF(XLOOKUP($A38,Partner_Tickets!$A:$A,Partner_Tickets!Z:Z,"",0)="VL","VL",IF(XLOOKUP($A38,Partner_Tickets!$A:$A,Partner_Tickets!Z:Z,"",0)="ATT","ATT",XLOOKUP($A38,Partner_Tickets!$A:$A,Partner_Tickets!Z:Z,"",0))))</f>
        <v>0.3333333333</v>
      </c>
      <c r="AA38" s="42" t="str">
        <f t="array" ref="AA38">IF(XLOOKUP($A38,Partner_Tickets!$A:$A,Partner_Tickets!AA:AA,"",0)="Free","Free",IF(XLOOKUP($A38,Partner_Tickets!$A:$A,Partner_Tickets!AA:AA,"",0)="VL","VL",IF(XLOOKUP($A38,Partner_Tickets!$A:$A,Partner_Tickets!AA:AA,"",0)="ATT","ATT",XLOOKUP($A38,Partner_Tickets!$A:$A,Partner_Tickets!AA:AA,"",0))))</f>
        <v>Free</v>
      </c>
      <c r="AB38" s="42">
        <f t="array" ref="AB38">IF(XLOOKUP($A38,Partner_Tickets!$A:$A,Partner_Tickets!AB:AB,"",0)="Free","Free",IF(XLOOKUP($A38,Partner_Tickets!$A:$A,Partner_Tickets!AB:AB,"",0)="VL","VL",IF(XLOOKUP($A38,Partner_Tickets!$A:$A,Partner_Tickets!AB:AB,"",0)="ATT","ATT",XLOOKUP($A38,Partner_Tickets!$A:$A,Partner_Tickets!AB:AB,"",0))))</f>
        <v>0.3333333333</v>
      </c>
      <c r="AC38" s="42">
        <f t="array" ref="AC38">IF(XLOOKUP($A38,Partner_Tickets!$A:$A,Partner_Tickets!AC:AC,"",0)="Free","Free",IF(XLOOKUP($A38,Partner_Tickets!$A:$A,Partner_Tickets!AC:AC,"",0)="VL","VL",IF(XLOOKUP($A38,Partner_Tickets!$A:$A,Partner_Tickets!AC:AC,"",0)="ATT","ATT",XLOOKUP($A38,Partner_Tickets!$A:$A,Partner_Tickets!AC:AC,"",0))))</f>
        <v>0.3333333333</v>
      </c>
      <c r="AD38" s="42">
        <f t="array" ref="AD38">IF(XLOOKUP($A38,Partner_Tickets!$A:$A,Partner_Tickets!AD:AD,"",0)="Free","Free",IF(XLOOKUP($A38,Partner_Tickets!$A:$A,Partner_Tickets!AD:AD,"",0)="VL","VL",IF(XLOOKUP($A38,Partner_Tickets!$A:$A,Partner_Tickets!AD:AD,"",0)="ATT","ATT",XLOOKUP($A38,Partner_Tickets!$A:$A,Partner_Tickets!AD:AD,"",0))))</f>
        <v>0.3333333333</v>
      </c>
      <c r="AE38" s="42">
        <f t="array" ref="AE38">IF(XLOOKUP($A38,Partner_Tickets!$A:$A,Partner_Tickets!AE:AE,"",0)="Free","Free",IF(XLOOKUP($A38,Partner_Tickets!$A:$A,Partner_Tickets!AE:AE,"",0)="VL","VL",IF(XLOOKUP($A38,Partner_Tickets!$A:$A,Partner_Tickets!AE:AE,"",0)="ATT","ATT",XLOOKUP($A38,Partner_Tickets!$A:$A,Partner_Tickets!AE:AE,"",0))))</f>
        <v>0.3333333333</v>
      </c>
      <c r="AF38" s="42"/>
      <c r="AG38" s="42">
        <f t="array" ref="AG38">IF(XLOOKUP($A38,Partner_Tickets!$A:$A,Partner_Tickets!AG:AG,"",0)="Free","Free",IF(XLOOKUP($A38,Partner_Tickets!$A:$A,Partner_Tickets!AG:AG,"",0)="VL","VL",IF(XLOOKUP($A38,Partner_Tickets!$A:$A,Partner_Tickets!AG:AG,"",0)="ATT","ATT",XLOOKUP($A38,Partner_Tickets!$A:$A,Partner_Tickets!AG:AG,"",0))))</f>
        <v>0.3333333333</v>
      </c>
      <c r="AH38" s="42" t="str">
        <f t="array" ref="AH38">IF(XLOOKUP($A38,Partner_Tickets!$A:$A,Partner_Tickets!AH:AH,"",0)="Free","Free",IF(XLOOKUP($A38,Partner_Tickets!$A:$A,Partner_Tickets!AH:AH,"",0)="VL","VL",IF(XLOOKUP($A38,Partner_Tickets!$A:$A,Partner_Tickets!AH:AH,"",0)="ATT","ATT",XLOOKUP($A38,Partner_Tickets!$A:$A,Partner_Tickets!AH:AH,"",0))))</f>
        <v>Free</v>
      </c>
      <c r="AI38" s="42">
        <f t="array" ref="AI38">IF(XLOOKUP($A38,Partner_Tickets!$A:$A,Partner_Tickets!AI:AI,"",0)="Free","Free",IF(XLOOKUP($A38,Partner_Tickets!$A:$A,Partner_Tickets!AI:AI,"",0)="VL","VL",IF(XLOOKUP($A38,Partner_Tickets!$A:$A,Partner_Tickets!AI:AI,"",0)="ATT","ATT",XLOOKUP($A38,Partner_Tickets!$A:$A,Partner_Tickets!AI:AI,"",0))))</f>
        <v>0.3333333333</v>
      </c>
      <c r="AJ38" s="42">
        <f t="array" ref="AJ38">IF(XLOOKUP($A38,Partner_Tickets!$A:$A,Partner_Tickets!AJ:AJ,"",0)="Free","Free",IF(XLOOKUP($A38,Partner_Tickets!$A:$A,Partner_Tickets!AJ:AJ,"",0)="VL","VL",IF(XLOOKUP($A38,Partner_Tickets!$A:$A,Partner_Tickets!AJ:AJ,"",0)="ATT","ATT",XLOOKUP($A38,Partner_Tickets!$A:$A,Partner_Tickets!AJ:AJ,"",0))))</f>
        <v>0.3333333333</v>
      </c>
      <c r="AK38" s="42">
        <f t="array" ref="AK38">IF(XLOOKUP($A38,Partner_Tickets!$A:$A,Partner_Tickets!AK:AK,"",0)="Free","Free",IF(XLOOKUP($A38,Partner_Tickets!$A:$A,Partner_Tickets!AK:AK,"",0)="VL","VL",IF(XLOOKUP($A38,Partner_Tickets!$A:$A,Partner_Tickets!AK:AK,"",0)="ATT","ATT",XLOOKUP($A38,Partner_Tickets!$A:$A,Partner_Tickets!AK:AK,"",0))))</f>
        <v>0.3333333333</v>
      </c>
      <c r="AL38" s="42">
        <f t="array" ref="AL38">IF(XLOOKUP($A38,Partner_Tickets!$A:$A,Partner_Tickets!AL:AL,"",0)="Free","Free",IF(XLOOKUP($A38,Partner_Tickets!$A:$A,Partner_Tickets!AL:AL,"",0)="VL","VL",IF(XLOOKUP($A38,Partner_Tickets!$A:$A,Partner_Tickets!AL:AL,"",0)="ATT","ATT",XLOOKUP($A38,Partner_Tickets!$A:$A,Partner_Tickets!AL:AL,"",0))))</f>
        <v>0.3333333333</v>
      </c>
      <c r="AM38" s="42"/>
    </row>
    <row r="39">
      <c r="A39" s="40" t="s">
        <v>170</v>
      </c>
      <c r="B39" s="44" t="str">
        <f t="array" ref="B39">XLOOKUP(A39,Roster!F:F,Roster!A:A,"",0)</f>
        <v>Edward Machado</v>
      </c>
      <c r="C39" s="44" t="str">
        <f t="array" ref="C39">XLOOKUP(A39,Roster!F:F,Roster!B:B,"",0)</f>
        <v>Sebastian Torres</v>
      </c>
      <c r="D39" s="40"/>
      <c r="E39" s="42">
        <f t="array" ref="E39">IF(XLOOKUP($A39,Partner_Tickets!$A:$A,Partner_Tickets!E:E,"",0)="Free","Free",IF(XLOOKUP($A39,Partner_Tickets!$A:$A,Partner_Tickets!E:E,"",0)="VL","VL",IF(XLOOKUP($A39,Partner_Tickets!$A:$A,Partner_Tickets!E:E,"",0)="ATT","ATT",XLOOKUP($A39,Partner_Tickets!$A:$A,Partner_Tickets!E:E,"",0))))</f>
        <v>0.3333333333</v>
      </c>
      <c r="F39" s="42">
        <f t="array" ref="F39">IF(XLOOKUP($A39,Partner_Tickets!$A:$A,Partner_Tickets!F:F,"",0)="Free","Free",IF(XLOOKUP($A39,Partner_Tickets!$A:$A,Partner_Tickets!F:F,"",0)="VL","VL",IF(XLOOKUP($A39,Partner_Tickets!$A:$A,Partner_Tickets!F:F,"",0)="ATT","ATT",XLOOKUP($A39,Partner_Tickets!$A:$A,Partner_Tickets!F:F,"",0))))</f>
        <v>0.3333333333</v>
      </c>
      <c r="G39" s="42">
        <f t="array" ref="G39">IF(XLOOKUP($A39,Partner_Tickets!$A:$A,Partner_Tickets!G:G,"",0)="Free","Free",IF(XLOOKUP($A39,Partner_Tickets!$A:$A,Partner_Tickets!G:G,"",0)="VL","VL",IF(XLOOKUP($A39,Partner_Tickets!$A:$A,Partner_Tickets!G:G,"",0)="ATT","ATT",XLOOKUP($A39,Partner_Tickets!$A:$A,Partner_Tickets!G:G,"",0))))</f>
        <v>0.3333333333</v>
      </c>
      <c r="H39" s="42" t="str">
        <f t="array" ref="H39">IF(XLOOKUP($A39,Partner_Tickets!$A:$A,Partner_Tickets!H:H,"",0)="Free","Free",IF(XLOOKUP($A39,Partner_Tickets!$A:$A,Partner_Tickets!H:H,"",0)="VL","VL",IF(XLOOKUP($A39,Partner_Tickets!$A:$A,Partner_Tickets!H:H,"",0)="ATT","ATT",XLOOKUP($A39,Partner_Tickets!$A:$A,Partner_Tickets!H:H,"",0))))</f>
        <v>Free</v>
      </c>
      <c r="I39" s="42">
        <f t="array" ref="I39">IF(XLOOKUP($A39,Partner_Tickets!$A:$A,Partner_Tickets!I:I,"",0)="Free","Free",IF(XLOOKUP($A39,Partner_Tickets!$A:$A,Partner_Tickets!I:I,"",0)="VL","VL",IF(XLOOKUP($A39,Partner_Tickets!$A:$A,Partner_Tickets!I:I,"",0)="ATT","ATT",XLOOKUP($A39,Partner_Tickets!$A:$A,Partner_Tickets!I:I,"",0))))</f>
        <v>0.3333333333</v>
      </c>
      <c r="J39" s="42">
        <f t="array" ref="J39">IF(XLOOKUP($A39,Partner_Tickets!$A:$A,Partner_Tickets!J:J,"",0)="Free","Free",IF(XLOOKUP($A39,Partner_Tickets!$A:$A,Partner_Tickets!J:J,"",0)="VL","VL",IF(XLOOKUP($A39,Partner_Tickets!$A:$A,Partner_Tickets!J:J,"",0)="ATT","ATT",XLOOKUP($A39,Partner_Tickets!$A:$A,Partner_Tickets!J:J,"",0))))</f>
        <v>0.3333333333</v>
      </c>
      <c r="K39" s="42" t="str">
        <f t="array" ref="K39">IF(XLOOKUP($A39,Partner_Tickets!$A:$A,Partner_Tickets!K:K,"",0)="Free","Free",IF(XLOOKUP($A39,Partner_Tickets!$A:$A,Partner_Tickets!K:K,"",0)="VL","VL",IF(XLOOKUP($A39,Partner_Tickets!$A:$A,Partner_Tickets!K:K,"",0)="ATT","ATT",XLOOKUP($A39,Partner_Tickets!$A:$A,Partner_Tickets!K:K,"",0))))</f>
        <v/>
      </c>
      <c r="L39" s="42">
        <f t="array" ref="L39">IF(XLOOKUP($A39,Partner_Tickets!$A:$A,Partner_Tickets!L:L,"",0)="Free","Free",IF(XLOOKUP($A39,Partner_Tickets!$A:$A,Partner_Tickets!L:L,"",0)="VL","VL",IF(XLOOKUP($A39,Partner_Tickets!$A:$A,Partner_Tickets!L:L,"",0)="ATT","ATT",XLOOKUP($A39,Partner_Tickets!$A:$A,Partner_Tickets!L:L,"",0))))</f>
        <v>0.3333333333</v>
      </c>
      <c r="M39" s="42">
        <f t="array" ref="M39">IF(XLOOKUP($A39,Partner_Tickets!$A:$A,Partner_Tickets!M:M,"",0)="Free","Free",IF(XLOOKUP($A39,Partner_Tickets!$A:$A,Partner_Tickets!M:M,"",0)="VL","VL",IF(XLOOKUP($A39,Partner_Tickets!$A:$A,Partner_Tickets!M:M,"",0)="ATT","ATT",XLOOKUP($A39,Partner_Tickets!$A:$A,Partner_Tickets!M:M,"",0))))</f>
        <v>0.3333333333</v>
      </c>
      <c r="N39" s="42">
        <f t="array" ref="N39">IF(XLOOKUP($A39,Partner_Tickets!$A:$A,Partner_Tickets!N:N,"",0)="Free","Free",IF(XLOOKUP($A39,Partner_Tickets!$A:$A,Partner_Tickets!N:N,"",0)="VL","VL",IF(XLOOKUP($A39,Partner_Tickets!$A:$A,Partner_Tickets!N:N,"",0)="ATT","ATT",XLOOKUP($A39,Partner_Tickets!$A:$A,Partner_Tickets!N:N,"",0))))</f>
        <v>0.3333333333</v>
      </c>
      <c r="O39" s="42" t="str">
        <f t="array" ref="O39">IF(XLOOKUP($A39,Partner_Tickets!$A:$A,Partner_Tickets!O:O,"",0)="Free","Free",IF(XLOOKUP($A39,Partner_Tickets!$A:$A,Partner_Tickets!O:O,"",0)="VL","VL",IF(XLOOKUP($A39,Partner_Tickets!$A:$A,Partner_Tickets!O:O,"",0)="ATT","ATT",XLOOKUP($A39,Partner_Tickets!$A:$A,Partner_Tickets!O:O,"",0))))</f>
        <v>Free</v>
      </c>
      <c r="P39" s="42">
        <f t="array" ref="P39">IF(XLOOKUP($A39,Partner_Tickets!$A:$A,Partner_Tickets!P:P,"",0)="Free","Free",IF(XLOOKUP($A39,Partner_Tickets!$A:$A,Partner_Tickets!P:P,"",0)="VL","VL",IF(XLOOKUP($A39,Partner_Tickets!$A:$A,Partner_Tickets!P:P,"",0)="ATT","ATT",XLOOKUP($A39,Partner_Tickets!$A:$A,Partner_Tickets!P:P,"",0))))</f>
        <v>0.3333333333</v>
      </c>
      <c r="Q39" s="42">
        <f t="array" ref="Q39">IF(XLOOKUP($A39,Partner_Tickets!$A:$A,Partner_Tickets!Q:Q,"",0)="Free","Free",IF(XLOOKUP($A39,Partner_Tickets!$A:$A,Partner_Tickets!Q:Q,"",0)="VL","VL",IF(XLOOKUP($A39,Partner_Tickets!$A:$A,Partner_Tickets!Q:Q,"",0)="ATT","ATT",XLOOKUP($A39,Partner_Tickets!$A:$A,Partner_Tickets!Q:Q,"",0))))</f>
        <v>0.3333333333</v>
      </c>
      <c r="R39" s="42"/>
      <c r="S39" s="42">
        <f t="array" ref="S39">IF(XLOOKUP($A39,Partner_Tickets!$A:$A,Partner_Tickets!S:S,"",0)="Free","Free",IF(XLOOKUP($A39,Partner_Tickets!$A:$A,Partner_Tickets!S:S,"",0)="VL","VL",IF(XLOOKUP($A39,Partner_Tickets!$A:$A,Partner_Tickets!S:S,"",0)="ATT","ATT",XLOOKUP($A39,Partner_Tickets!$A:$A,Partner_Tickets!S:S,"",0))))</f>
        <v>0.3333333333</v>
      </c>
      <c r="T39" s="42">
        <f t="array" ref="T39">IF(XLOOKUP($A39,Partner_Tickets!$A:$A,Partner_Tickets!T:T,"",0)="Free","Free",IF(XLOOKUP($A39,Partner_Tickets!$A:$A,Partner_Tickets!T:T,"",0)="VL","VL",IF(XLOOKUP($A39,Partner_Tickets!$A:$A,Partner_Tickets!T:T,"",0)="ATT","ATT",XLOOKUP($A39,Partner_Tickets!$A:$A,Partner_Tickets!T:T,"",0))))</f>
        <v>0.3333333333</v>
      </c>
      <c r="U39" s="42">
        <f t="array" ref="U39">IF(XLOOKUP($A39,Partner_Tickets!$A:$A,Partner_Tickets!U:U,"",0)="Free","Free",IF(XLOOKUP($A39,Partner_Tickets!$A:$A,Partner_Tickets!U:U,"",0)="VL","VL",IF(XLOOKUP($A39,Partner_Tickets!$A:$A,Partner_Tickets!U:U,"",0)="ATT","ATT",XLOOKUP($A39,Partner_Tickets!$A:$A,Partner_Tickets!U:U,"",0))))</f>
        <v>0.3333333333</v>
      </c>
      <c r="V39" s="42" t="str">
        <f t="array" ref="V39">IF(XLOOKUP($A39,Partner_Tickets!$A:$A,Partner_Tickets!V:V,"",0)="Free","Free",IF(XLOOKUP($A39,Partner_Tickets!$A:$A,Partner_Tickets!V:V,"",0)="VL","VL",IF(XLOOKUP($A39,Partner_Tickets!$A:$A,Partner_Tickets!V:V,"",0)="ATT","ATT",XLOOKUP($A39,Partner_Tickets!$A:$A,Partner_Tickets!V:V,"",0))))</f>
        <v>Free</v>
      </c>
      <c r="W39" s="42">
        <f t="array" ref="W39">IF(XLOOKUP($A39,Partner_Tickets!$A:$A,Partner_Tickets!W:W,"",0)="Free","Free",IF(XLOOKUP($A39,Partner_Tickets!$A:$A,Partner_Tickets!W:W,"",0)="VL","VL",IF(XLOOKUP($A39,Partner_Tickets!$A:$A,Partner_Tickets!W:W,"",0)="ATT","ATT",XLOOKUP($A39,Partner_Tickets!$A:$A,Partner_Tickets!W:W,"",0))))</f>
        <v>0.3333333333</v>
      </c>
      <c r="X39" s="42">
        <f t="array" ref="X39">IF(XLOOKUP($A39,Partner_Tickets!$A:$A,Partner_Tickets!X:X,"",0)="Free","Free",IF(XLOOKUP($A39,Partner_Tickets!$A:$A,Partner_Tickets!X:X,"",0)="VL","VL",IF(XLOOKUP($A39,Partner_Tickets!$A:$A,Partner_Tickets!X:X,"",0)="ATT","ATT",XLOOKUP($A39,Partner_Tickets!$A:$A,Partner_Tickets!X:X,"",0))))</f>
        <v>0.3333333333</v>
      </c>
      <c r="Y39" s="42"/>
      <c r="Z39" s="42">
        <f t="array" ref="Z39">IF(XLOOKUP($A39,Partner_Tickets!$A:$A,Partner_Tickets!Z:Z,"",0)="Free","Free",IF(XLOOKUP($A39,Partner_Tickets!$A:$A,Partner_Tickets!Z:Z,"",0)="VL","VL",IF(XLOOKUP($A39,Partner_Tickets!$A:$A,Partner_Tickets!Z:Z,"",0)="ATT","ATT",XLOOKUP($A39,Partner_Tickets!$A:$A,Partner_Tickets!Z:Z,"",0))))</f>
        <v>0.3333333333</v>
      </c>
      <c r="AA39" s="42">
        <f t="array" ref="AA39">IF(XLOOKUP($A39,Partner_Tickets!$A:$A,Partner_Tickets!AA:AA,"",0)="Free","Free",IF(XLOOKUP($A39,Partner_Tickets!$A:$A,Partner_Tickets!AA:AA,"",0)="VL","VL",IF(XLOOKUP($A39,Partner_Tickets!$A:$A,Partner_Tickets!AA:AA,"",0)="ATT","ATT",XLOOKUP($A39,Partner_Tickets!$A:$A,Partner_Tickets!AA:AA,"",0))))</f>
        <v>0.3333333333</v>
      </c>
      <c r="AB39" s="42">
        <f t="array" ref="AB39">IF(XLOOKUP($A39,Partner_Tickets!$A:$A,Partner_Tickets!AB:AB,"",0)="Free","Free",IF(XLOOKUP($A39,Partner_Tickets!$A:$A,Partner_Tickets!AB:AB,"",0)="VL","VL",IF(XLOOKUP($A39,Partner_Tickets!$A:$A,Partner_Tickets!AB:AB,"",0)="ATT","ATT",XLOOKUP($A39,Partner_Tickets!$A:$A,Partner_Tickets!AB:AB,"",0))))</f>
        <v>0.3333333333</v>
      </c>
      <c r="AC39" s="42" t="str">
        <f t="array" ref="AC39">IF(XLOOKUP($A39,Partner_Tickets!$A:$A,Partner_Tickets!AC:AC,"",0)="Free","Free",IF(XLOOKUP($A39,Partner_Tickets!$A:$A,Partner_Tickets!AC:AC,"",0)="VL","VL",IF(XLOOKUP($A39,Partner_Tickets!$A:$A,Partner_Tickets!AC:AC,"",0)="ATT","ATT",XLOOKUP($A39,Partner_Tickets!$A:$A,Partner_Tickets!AC:AC,"",0))))</f>
        <v>Free</v>
      </c>
      <c r="AD39" s="42">
        <f t="array" ref="AD39">IF(XLOOKUP($A39,Partner_Tickets!$A:$A,Partner_Tickets!AD:AD,"",0)="Free","Free",IF(XLOOKUP($A39,Partner_Tickets!$A:$A,Partner_Tickets!AD:AD,"",0)="VL","VL",IF(XLOOKUP($A39,Partner_Tickets!$A:$A,Partner_Tickets!AD:AD,"",0)="ATT","ATT",XLOOKUP($A39,Partner_Tickets!$A:$A,Partner_Tickets!AD:AD,"",0))))</f>
        <v>0.3333333333</v>
      </c>
      <c r="AE39" s="42">
        <f t="array" ref="AE39">IF(XLOOKUP($A39,Partner_Tickets!$A:$A,Partner_Tickets!AE:AE,"",0)="Free","Free",IF(XLOOKUP($A39,Partner_Tickets!$A:$A,Partner_Tickets!AE:AE,"",0)="VL","VL",IF(XLOOKUP($A39,Partner_Tickets!$A:$A,Partner_Tickets!AE:AE,"",0)="ATT","ATT",XLOOKUP($A39,Partner_Tickets!$A:$A,Partner_Tickets!AE:AE,"",0))))</f>
        <v>0.3333333333</v>
      </c>
      <c r="AF39" s="42"/>
      <c r="AG39" s="42">
        <f t="array" ref="AG39">IF(XLOOKUP($A39,Partner_Tickets!$A:$A,Partner_Tickets!AG:AG,"",0)="Free","Free",IF(XLOOKUP($A39,Partner_Tickets!$A:$A,Partner_Tickets!AG:AG,"",0)="VL","VL",IF(XLOOKUP($A39,Partner_Tickets!$A:$A,Partner_Tickets!AG:AG,"",0)="ATT","ATT",XLOOKUP($A39,Partner_Tickets!$A:$A,Partner_Tickets!AG:AG,"",0))))</f>
        <v>0.3333333333</v>
      </c>
      <c r="AH39" s="42">
        <f t="array" ref="AH39">IF(XLOOKUP($A39,Partner_Tickets!$A:$A,Partner_Tickets!AH:AH,"",0)="Free","Free",IF(XLOOKUP($A39,Partner_Tickets!$A:$A,Partner_Tickets!AH:AH,"",0)="VL","VL",IF(XLOOKUP($A39,Partner_Tickets!$A:$A,Partner_Tickets!AH:AH,"",0)="ATT","ATT",XLOOKUP($A39,Partner_Tickets!$A:$A,Partner_Tickets!AH:AH,"",0))))</f>
        <v>0.3333333333</v>
      </c>
      <c r="AI39" s="42">
        <f t="array" ref="AI39">IF(XLOOKUP($A39,Partner_Tickets!$A:$A,Partner_Tickets!AI:AI,"",0)="Free","Free",IF(XLOOKUP($A39,Partner_Tickets!$A:$A,Partner_Tickets!AI:AI,"",0)="VL","VL",IF(XLOOKUP($A39,Partner_Tickets!$A:$A,Partner_Tickets!AI:AI,"",0)="ATT","ATT",XLOOKUP($A39,Partner_Tickets!$A:$A,Partner_Tickets!AI:AI,"",0))))</f>
        <v>0.3333333333</v>
      </c>
      <c r="AJ39" s="42" t="str">
        <f t="array" ref="AJ39">IF(XLOOKUP($A39,Partner_Tickets!$A:$A,Partner_Tickets!AJ:AJ,"",0)="Free","Free",IF(XLOOKUP($A39,Partner_Tickets!$A:$A,Partner_Tickets!AJ:AJ,"",0)="VL","VL",IF(XLOOKUP($A39,Partner_Tickets!$A:$A,Partner_Tickets!AJ:AJ,"",0)="ATT","ATT",XLOOKUP($A39,Partner_Tickets!$A:$A,Partner_Tickets!AJ:AJ,"",0))))</f>
        <v>Free</v>
      </c>
      <c r="AK39" s="42">
        <f t="array" ref="AK39">IF(XLOOKUP($A39,Partner_Tickets!$A:$A,Partner_Tickets!AK:AK,"",0)="Free","Free",IF(XLOOKUP($A39,Partner_Tickets!$A:$A,Partner_Tickets!AK:AK,"",0)="VL","VL",IF(XLOOKUP($A39,Partner_Tickets!$A:$A,Partner_Tickets!AK:AK,"",0)="ATT","ATT",XLOOKUP($A39,Partner_Tickets!$A:$A,Partner_Tickets!AK:AK,"",0))))</f>
        <v>0.3333333333</v>
      </c>
      <c r="AL39" s="42">
        <f t="array" ref="AL39">IF(XLOOKUP($A39,Partner_Tickets!$A:$A,Partner_Tickets!AL:AL,"",0)="Free","Free",IF(XLOOKUP($A39,Partner_Tickets!$A:$A,Partner_Tickets!AL:AL,"",0)="VL","VL",IF(XLOOKUP($A39,Partner_Tickets!$A:$A,Partner_Tickets!AL:AL,"",0)="ATT","ATT",XLOOKUP($A39,Partner_Tickets!$A:$A,Partner_Tickets!AL:AL,"",0))))</f>
        <v>0.3333333333</v>
      </c>
      <c r="AM39" s="42"/>
    </row>
    <row r="40">
      <c r="A40" s="40" t="s">
        <v>171</v>
      </c>
      <c r="B40" s="44" t="str">
        <f t="array" ref="B40">XLOOKUP(A40,Roster!F:F,Roster!A:A,"",0)</f>
        <v>Luis Vidal</v>
      </c>
      <c r="C40" s="44" t="str">
        <f t="array" ref="C40">XLOOKUP(A40,Roster!F:F,Roster!B:B,"",0)</f>
        <v>Ana Ruiz</v>
      </c>
      <c r="D40" s="45"/>
      <c r="E40" s="42">
        <f t="array" ref="E40">IF(XLOOKUP($A40,Partner_Tickets!$A:$A,Partner_Tickets!E:E,"",0)="Free","Free",IF(XLOOKUP($A40,Partner_Tickets!$A:$A,Partner_Tickets!E:E,"",0)="VL","VL",IF(XLOOKUP($A40,Partner_Tickets!$A:$A,Partner_Tickets!E:E,"",0)="ATT","ATT",XLOOKUP($A40,Partner_Tickets!$A:$A,Partner_Tickets!E:E,"",0))))</f>
        <v>0.3333333333</v>
      </c>
      <c r="F40" s="42">
        <f t="array" ref="F40">IF(XLOOKUP($A40,Partner_Tickets!$A:$A,Partner_Tickets!F:F,"",0)="Free","Free",IF(XLOOKUP($A40,Partner_Tickets!$A:$A,Partner_Tickets!F:F,"",0)="VL","VL",IF(XLOOKUP($A40,Partner_Tickets!$A:$A,Partner_Tickets!F:F,"",0)="ATT","ATT",XLOOKUP($A40,Partner_Tickets!$A:$A,Partner_Tickets!F:F,"",0))))</f>
        <v>0.3333333333</v>
      </c>
      <c r="G40" s="42">
        <f t="array" ref="G40">IF(XLOOKUP($A40,Partner_Tickets!$A:$A,Partner_Tickets!G:G,"",0)="Free","Free",IF(XLOOKUP($A40,Partner_Tickets!$A:$A,Partner_Tickets!G:G,"",0)="VL","VL",IF(XLOOKUP($A40,Partner_Tickets!$A:$A,Partner_Tickets!G:G,"",0)="ATT","ATT",XLOOKUP($A40,Partner_Tickets!$A:$A,Partner_Tickets!G:G,"",0))))</f>
        <v>0.3333333333</v>
      </c>
      <c r="H40" s="42">
        <f t="array" ref="H40">IF(XLOOKUP($A40,Partner_Tickets!$A:$A,Partner_Tickets!H:H,"",0)="Free","Free",IF(XLOOKUP($A40,Partner_Tickets!$A:$A,Partner_Tickets!H:H,"",0)="VL","VL",IF(XLOOKUP($A40,Partner_Tickets!$A:$A,Partner_Tickets!H:H,"",0)="ATT","ATT",XLOOKUP($A40,Partner_Tickets!$A:$A,Partner_Tickets!H:H,"",0))))</f>
        <v>0.3333333333</v>
      </c>
      <c r="I40" s="42">
        <f t="array" ref="I40">IF(XLOOKUP($A40,Partner_Tickets!$A:$A,Partner_Tickets!I:I,"",0)="Free","Free",IF(XLOOKUP($A40,Partner_Tickets!$A:$A,Partner_Tickets!I:I,"",0)="VL","VL",IF(XLOOKUP($A40,Partner_Tickets!$A:$A,Partner_Tickets!I:I,"",0)="ATT","ATT",XLOOKUP($A40,Partner_Tickets!$A:$A,Partner_Tickets!I:I,"",0))))</f>
        <v>0.3333333333</v>
      </c>
      <c r="J40" s="42" t="str">
        <f t="array" ref="J40">IF(XLOOKUP($A40,Partner_Tickets!$A:$A,Partner_Tickets!J:J,"",0)="Free","Free",IF(XLOOKUP($A40,Partner_Tickets!$A:$A,Partner_Tickets!J:J,"",0)="VL","VL",IF(XLOOKUP($A40,Partner_Tickets!$A:$A,Partner_Tickets!J:J,"",0)="ATT","ATT",XLOOKUP($A40,Partner_Tickets!$A:$A,Partner_Tickets!J:J,"",0))))</f>
        <v>Free</v>
      </c>
      <c r="K40" s="42" t="str">
        <f t="array" ref="K40">IF(XLOOKUP($A40,Partner_Tickets!$A:$A,Partner_Tickets!K:K,"",0)="Free","Free",IF(XLOOKUP($A40,Partner_Tickets!$A:$A,Partner_Tickets!K:K,"",0)="VL","VL",IF(XLOOKUP($A40,Partner_Tickets!$A:$A,Partner_Tickets!K:K,"",0)="ATT","ATT",XLOOKUP($A40,Partner_Tickets!$A:$A,Partner_Tickets!K:K,"",0))))</f>
        <v/>
      </c>
      <c r="L40" s="42">
        <f t="array" ref="L40">IF(XLOOKUP($A40,Partner_Tickets!$A:$A,Partner_Tickets!L:L,"",0)="Free","Free",IF(XLOOKUP($A40,Partner_Tickets!$A:$A,Partner_Tickets!L:L,"",0)="VL","VL",IF(XLOOKUP($A40,Partner_Tickets!$A:$A,Partner_Tickets!L:L,"",0)="ATT","ATT",XLOOKUP($A40,Partner_Tickets!$A:$A,Partner_Tickets!L:L,"",0))))</f>
        <v>0.3333333333</v>
      </c>
      <c r="M40" s="42">
        <f t="array" ref="M40">IF(XLOOKUP($A40,Partner_Tickets!$A:$A,Partner_Tickets!M:M,"",0)="Free","Free",IF(XLOOKUP($A40,Partner_Tickets!$A:$A,Partner_Tickets!M:M,"",0)="VL","VL",IF(XLOOKUP($A40,Partner_Tickets!$A:$A,Partner_Tickets!M:M,"",0)="ATT","ATT",XLOOKUP($A40,Partner_Tickets!$A:$A,Partner_Tickets!M:M,"",0))))</f>
        <v>0.3333333333</v>
      </c>
      <c r="N40" s="42" t="str">
        <f t="array" ref="N40">IF(XLOOKUP($A40,Partner_Tickets!$A:$A,Partner_Tickets!N:N,"",0)="Free","Free",IF(XLOOKUP($A40,Partner_Tickets!$A:$A,Partner_Tickets!N:N,"",0)="VL","VL",IF(XLOOKUP($A40,Partner_Tickets!$A:$A,Partner_Tickets!N:N,"",0)="ATT","ATT",XLOOKUP($A40,Partner_Tickets!$A:$A,Partner_Tickets!N:N,"",0))))</f>
        <v>Free</v>
      </c>
      <c r="O40" s="42">
        <f t="array" ref="O40">IF(XLOOKUP($A40,Partner_Tickets!$A:$A,Partner_Tickets!O:O,"",0)="Free","Free",IF(XLOOKUP($A40,Partner_Tickets!$A:$A,Partner_Tickets!O:O,"",0)="VL","VL",IF(XLOOKUP($A40,Partner_Tickets!$A:$A,Partner_Tickets!O:O,"",0)="ATT","ATT",XLOOKUP($A40,Partner_Tickets!$A:$A,Partner_Tickets!O:O,"",0))))</f>
        <v>0.3333333333</v>
      </c>
      <c r="P40" s="42">
        <f t="array" ref="P40">IF(XLOOKUP($A40,Partner_Tickets!$A:$A,Partner_Tickets!P:P,"",0)="Free","Free",IF(XLOOKUP($A40,Partner_Tickets!$A:$A,Partner_Tickets!P:P,"",0)="VL","VL",IF(XLOOKUP($A40,Partner_Tickets!$A:$A,Partner_Tickets!P:P,"",0)="ATT","ATT",XLOOKUP($A40,Partner_Tickets!$A:$A,Partner_Tickets!P:P,"",0))))</f>
        <v>0.3333333333</v>
      </c>
      <c r="Q40" s="42">
        <f t="array" ref="Q40">IF(XLOOKUP($A40,Partner_Tickets!$A:$A,Partner_Tickets!Q:Q,"",0)="Free","Free",IF(XLOOKUP($A40,Partner_Tickets!$A:$A,Partner_Tickets!Q:Q,"",0)="VL","VL",IF(XLOOKUP($A40,Partner_Tickets!$A:$A,Partner_Tickets!Q:Q,"",0)="ATT","ATT",XLOOKUP($A40,Partner_Tickets!$A:$A,Partner_Tickets!Q:Q,"",0))))</f>
        <v>0.3333333333</v>
      </c>
      <c r="R40" s="42"/>
      <c r="S40" s="42">
        <f t="array" ref="S40">IF(XLOOKUP($A40,Partner_Tickets!$A:$A,Partner_Tickets!S:S,"",0)="Free","Free",IF(XLOOKUP($A40,Partner_Tickets!$A:$A,Partner_Tickets!S:S,"",0)="VL","VL",IF(XLOOKUP($A40,Partner_Tickets!$A:$A,Partner_Tickets!S:S,"",0)="ATT","ATT",XLOOKUP($A40,Partner_Tickets!$A:$A,Partner_Tickets!S:S,"",0))))</f>
        <v>0.3333333333</v>
      </c>
      <c r="T40" s="42">
        <f t="array" ref="T40">IF(XLOOKUP($A40,Partner_Tickets!$A:$A,Partner_Tickets!T:T,"",0)="Free","Free",IF(XLOOKUP($A40,Partner_Tickets!$A:$A,Partner_Tickets!T:T,"",0)="VL","VL",IF(XLOOKUP($A40,Partner_Tickets!$A:$A,Partner_Tickets!T:T,"",0)="ATT","ATT",XLOOKUP($A40,Partner_Tickets!$A:$A,Partner_Tickets!T:T,"",0))))</f>
        <v>0.3333333333</v>
      </c>
      <c r="U40" s="42" t="str">
        <f t="array" ref="U40">IF(XLOOKUP($A40,Partner_Tickets!$A:$A,Partner_Tickets!U:U,"",0)="Free","Free",IF(XLOOKUP($A40,Partner_Tickets!$A:$A,Partner_Tickets!U:U,"",0)="VL","VL",IF(XLOOKUP($A40,Partner_Tickets!$A:$A,Partner_Tickets!U:U,"",0)="ATT","ATT",XLOOKUP($A40,Partner_Tickets!$A:$A,Partner_Tickets!U:U,"",0))))</f>
        <v>Free</v>
      </c>
      <c r="V40" s="42">
        <f t="array" ref="V40">IF(XLOOKUP($A40,Partner_Tickets!$A:$A,Partner_Tickets!V:V,"",0)="Free","Free",IF(XLOOKUP($A40,Partner_Tickets!$A:$A,Partner_Tickets!V:V,"",0)="VL","VL",IF(XLOOKUP($A40,Partner_Tickets!$A:$A,Partner_Tickets!V:V,"",0)="ATT","ATT",XLOOKUP($A40,Partner_Tickets!$A:$A,Partner_Tickets!V:V,"",0))))</f>
        <v>0.3333333333</v>
      </c>
      <c r="W40" s="42">
        <f t="array" ref="W40">IF(XLOOKUP($A40,Partner_Tickets!$A:$A,Partner_Tickets!W:W,"",0)="Free","Free",IF(XLOOKUP($A40,Partner_Tickets!$A:$A,Partner_Tickets!W:W,"",0)="VL","VL",IF(XLOOKUP($A40,Partner_Tickets!$A:$A,Partner_Tickets!W:W,"",0)="ATT","ATT",XLOOKUP($A40,Partner_Tickets!$A:$A,Partner_Tickets!W:W,"",0))))</f>
        <v>0.3333333333</v>
      </c>
      <c r="X40" s="42">
        <f t="array" ref="X40">IF(XLOOKUP($A40,Partner_Tickets!$A:$A,Partner_Tickets!X:X,"",0)="Free","Free",IF(XLOOKUP($A40,Partner_Tickets!$A:$A,Partner_Tickets!X:X,"",0)="VL","VL",IF(XLOOKUP($A40,Partner_Tickets!$A:$A,Partner_Tickets!X:X,"",0)="ATT","ATT",XLOOKUP($A40,Partner_Tickets!$A:$A,Partner_Tickets!X:X,"",0))))</f>
        <v>0.3333333333</v>
      </c>
      <c r="Y40" s="42"/>
      <c r="Z40" s="42">
        <f t="array" ref="Z40">IF(XLOOKUP($A40,Partner_Tickets!$A:$A,Partner_Tickets!Z:Z,"",0)="Free","Free",IF(XLOOKUP($A40,Partner_Tickets!$A:$A,Partner_Tickets!Z:Z,"",0)="VL","VL",IF(XLOOKUP($A40,Partner_Tickets!$A:$A,Partner_Tickets!Z:Z,"",0)="ATT","ATT",XLOOKUP($A40,Partner_Tickets!$A:$A,Partner_Tickets!Z:Z,"",0))))</f>
        <v>0.3333333333</v>
      </c>
      <c r="AA40" s="42">
        <f t="array" ref="AA40">IF(XLOOKUP($A40,Partner_Tickets!$A:$A,Partner_Tickets!AA:AA,"",0)="Free","Free",IF(XLOOKUP($A40,Partner_Tickets!$A:$A,Partner_Tickets!AA:AA,"",0)="VL","VL",IF(XLOOKUP($A40,Partner_Tickets!$A:$A,Partner_Tickets!AA:AA,"",0)="ATT","ATT",XLOOKUP($A40,Partner_Tickets!$A:$A,Partner_Tickets!AA:AA,"",0))))</f>
        <v>0.3333333333</v>
      </c>
      <c r="AB40" s="42" t="str">
        <f t="array" ref="AB40">IF(XLOOKUP($A40,Partner_Tickets!$A:$A,Partner_Tickets!AB:AB,"",0)="Free","Free",IF(XLOOKUP($A40,Partner_Tickets!$A:$A,Partner_Tickets!AB:AB,"",0)="VL","VL",IF(XLOOKUP($A40,Partner_Tickets!$A:$A,Partner_Tickets!AB:AB,"",0)="ATT","ATT",XLOOKUP($A40,Partner_Tickets!$A:$A,Partner_Tickets!AB:AB,"",0))))</f>
        <v>Free</v>
      </c>
      <c r="AC40" s="42">
        <f t="array" ref="AC40">IF(XLOOKUP($A40,Partner_Tickets!$A:$A,Partner_Tickets!AC:AC,"",0)="Free","Free",IF(XLOOKUP($A40,Partner_Tickets!$A:$A,Partner_Tickets!AC:AC,"",0)="VL","VL",IF(XLOOKUP($A40,Partner_Tickets!$A:$A,Partner_Tickets!AC:AC,"",0)="ATT","ATT",XLOOKUP($A40,Partner_Tickets!$A:$A,Partner_Tickets!AC:AC,"",0))))</f>
        <v>0.3333333333</v>
      </c>
      <c r="AD40" s="42">
        <f t="array" ref="AD40">IF(XLOOKUP($A40,Partner_Tickets!$A:$A,Partner_Tickets!AD:AD,"",0)="Free","Free",IF(XLOOKUP($A40,Partner_Tickets!$A:$A,Partner_Tickets!AD:AD,"",0)="VL","VL",IF(XLOOKUP($A40,Partner_Tickets!$A:$A,Partner_Tickets!AD:AD,"",0)="ATT","ATT",XLOOKUP($A40,Partner_Tickets!$A:$A,Partner_Tickets!AD:AD,"",0))))</f>
        <v>0.3333333333</v>
      </c>
      <c r="AE40" s="42">
        <f t="array" ref="AE40">IF(XLOOKUP($A40,Partner_Tickets!$A:$A,Partner_Tickets!AE:AE,"",0)="Free","Free",IF(XLOOKUP($A40,Partner_Tickets!$A:$A,Partner_Tickets!AE:AE,"",0)="VL","VL",IF(XLOOKUP($A40,Partner_Tickets!$A:$A,Partner_Tickets!AE:AE,"",0)="ATT","ATT",XLOOKUP($A40,Partner_Tickets!$A:$A,Partner_Tickets!AE:AE,"",0))))</f>
        <v>0.3333333333</v>
      </c>
      <c r="AF40" s="42"/>
      <c r="AG40" s="42">
        <f t="array" ref="AG40">IF(XLOOKUP($A40,Partner_Tickets!$A:$A,Partner_Tickets!AG:AG,"",0)="Free","Free",IF(XLOOKUP($A40,Partner_Tickets!$A:$A,Partner_Tickets!AG:AG,"",0)="VL","VL",IF(XLOOKUP($A40,Partner_Tickets!$A:$A,Partner_Tickets!AG:AG,"",0)="ATT","ATT",XLOOKUP($A40,Partner_Tickets!$A:$A,Partner_Tickets!AG:AG,"",0))))</f>
        <v>0.3333333333</v>
      </c>
      <c r="AH40" s="42">
        <f t="array" ref="AH40">IF(XLOOKUP($A40,Partner_Tickets!$A:$A,Partner_Tickets!AH:AH,"",0)="Free","Free",IF(XLOOKUP($A40,Partner_Tickets!$A:$A,Partner_Tickets!AH:AH,"",0)="VL","VL",IF(XLOOKUP($A40,Partner_Tickets!$A:$A,Partner_Tickets!AH:AH,"",0)="ATT","ATT",XLOOKUP($A40,Partner_Tickets!$A:$A,Partner_Tickets!AH:AH,"",0))))</f>
        <v>0.3333333333</v>
      </c>
      <c r="AI40" s="42" t="str">
        <f t="array" ref="AI40">IF(XLOOKUP($A40,Partner_Tickets!$A:$A,Partner_Tickets!AI:AI,"",0)="Free","Free",IF(XLOOKUP($A40,Partner_Tickets!$A:$A,Partner_Tickets!AI:AI,"",0)="VL","VL",IF(XLOOKUP($A40,Partner_Tickets!$A:$A,Partner_Tickets!AI:AI,"",0)="ATT","ATT",XLOOKUP($A40,Partner_Tickets!$A:$A,Partner_Tickets!AI:AI,"",0))))</f>
        <v>Free</v>
      </c>
      <c r="AJ40" s="42">
        <f t="array" ref="AJ40">IF(XLOOKUP($A40,Partner_Tickets!$A:$A,Partner_Tickets!AJ:AJ,"",0)="Free","Free",IF(XLOOKUP($A40,Partner_Tickets!$A:$A,Partner_Tickets!AJ:AJ,"",0)="VL","VL",IF(XLOOKUP($A40,Partner_Tickets!$A:$A,Partner_Tickets!AJ:AJ,"",0)="ATT","ATT",XLOOKUP($A40,Partner_Tickets!$A:$A,Partner_Tickets!AJ:AJ,"",0))))</f>
        <v>0.3333333333</v>
      </c>
      <c r="AK40" s="42">
        <f t="array" ref="AK40">IF(XLOOKUP($A40,Partner_Tickets!$A:$A,Partner_Tickets!AK:AK,"",0)="Free","Free",IF(XLOOKUP($A40,Partner_Tickets!$A:$A,Partner_Tickets!AK:AK,"",0)="VL","VL",IF(XLOOKUP($A40,Partner_Tickets!$A:$A,Partner_Tickets!AK:AK,"",0)="ATT","ATT",XLOOKUP($A40,Partner_Tickets!$A:$A,Partner_Tickets!AK:AK,"",0))))</f>
        <v>0.3333333333</v>
      </c>
      <c r="AL40" s="42">
        <f t="array" ref="AL40">IF(XLOOKUP($A40,Partner_Tickets!$A:$A,Partner_Tickets!AL:AL,"",0)="Free","Free",IF(XLOOKUP($A40,Partner_Tickets!$A:$A,Partner_Tickets!AL:AL,"",0)="VL","VL",IF(XLOOKUP($A40,Partner_Tickets!$A:$A,Partner_Tickets!AL:AL,"",0)="ATT","ATT",XLOOKUP($A40,Partner_Tickets!$A:$A,Partner_Tickets!AL:AL,"",0))))</f>
        <v>0.3333333333</v>
      </c>
      <c r="AM40" s="42"/>
    </row>
    <row r="41">
      <c r="A41" s="40" t="s">
        <v>172</v>
      </c>
      <c r="B41" s="44" t="str">
        <f t="array" ref="B41">XLOOKUP(A41,Roster!F:F,Roster!A:A,"",0)</f>
        <v>Luis Vidal</v>
      </c>
      <c r="C41" s="44" t="str">
        <f t="array" ref="C41">XLOOKUP(A41,Roster!F:F,Roster!B:B,"",0)</f>
        <v>Angie Rua</v>
      </c>
      <c r="D41" s="40"/>
      <c r="E41" s="42">
        <f t="array" ref="E41">IF(XLOOKUP($A41,Partner_Tickets!$A:$A,Partner_Tickets!E:E,"",0)="Free","Free",IF(XLOOKUP($A41,Partner_Tickets!$A:$A,Partner_Tickets!E:E,"",0)="VL","VL",IF(XLOOKUP($A41,Partner_Tickets!$A:$A,Partner_Tickets!E:E,"",0)="ATT","ATT",XLOOKUP($A41,Partner_Tickets!$A:$A,Partner_Tickets!E:E,"",0))))</f>
        <v>0.5</v>
      </c>
      <c r="F41" s="42">
        <f t="array" ref="F41">IF(XLOOKUP($A41,Partner_Tickets!$A:$A,Partner_Tickets!F:F,"",0)="Free","Free",IF(XLOOKUP($A41,Partner_Tickets!$A:$A,Partner_Tickets!F:F,"",0)="VL","VL",IF(XLOOKUP($A41,Partner_Tickets!$A:$A,Partner_Tickets!F:F,"",0)="ATT","ATT",XLOOKUP($A41,Partner_Tickets!$A:$A,Partner_Tickets!F:F,"",0))))</f>
        <v>0.2916666667</v>
      </c>
      <c r="G41" s="42">
        <f t="array" ref="G41">IF(XLOOKUP($A41,Partner_Tickets!$A:$A,Partner_Tickets!G:G,"",0)="Free","Free",IF(XLOOKUP($A41,Partner_Tickets!$A:$A,Partner_Tickets!G:G,"",0)="VL","VL",IF(XLOOKUP($A41,Partner_Tickets!$A:$A,Partner_Tickets!G:G,"",0)="ATT","ATT",XLOOKUP($A41,Partner_Tickets!$A:$A,Partner_Tickets!G:G,"",0))))</f>
        <v>0.2916666667</v>
      </c>
      <c r="H41" s="42">
        <f t="array" ref="H41">IF(XLOOKUP($A41,Partner_Tickets!$A:$A,Partner_Tickets!H:H,"",0)="Free","Free",IF(XLOOKUP($A41,Partner_Tickets!$A:$A,Partner_Tickets!H:H,"",0)="VL","VL",IF(XLOOKUP($A41,Partner_Tickets!$A:$A,Partner_Tickets!H:H,"",0)="ATT","ATT",XLOOKUP($A41,Partner_Tickets!$A:$A,Partner_Tickets!H:H,"",0))))</f>
        <v>0.2916666667</v>
      </c>
      <c r="I41" s="42">
        <f t="array" ref="I41">IF(XLOOKUP($A41,Partner_Tickets!$A:$A,Partner_Tickets!I:I,"",0)="Free","Free",IF(XLOOKUP($A41,Partner_Tickets!$A:$A,Partner_Tickets!I:I,"",0)="VL","VL",IF(XLOOKUP($A41,Partner_Tickets!$A:$A,Partner_Tickets!I:I,"",0)="ATT","ATT",XLOOKUP($A41,Partner_Tickets!$A:$A,Partner_Tickets!I:I,"",0))))</f>
        <v>0.2916666667</v>
      </c>
      <c r="J41" s="42" t="str">
        <f t="array" ref="J41">IF(XLOOKUP($A41,Partner_Tickets!$A:$A,Partner_Tickets!J:J,"",0)="Free","Free",IF(XLOOKUP($A41,Partner_Tickets!$A:$A,Partner_Tickets!J:J,"",0)="VL","VL",IF(XLOOKUP($A41,Partner_Tickets!$A:$A,Partner_Tickets!J:J,"",0)="ATT","ATT",XLOOKUP($A41,Partner_Tickets!$A:$A,Partner_Tickets!J:J,"",0))))</f>
        <v>Free</v>
      </c>
      <c r="K41" s="42" t="str">
        <f t="array" ref="K41">IF(XLOOKUP($A41,Partner_Tickets!$A:$A,Partner_Tickets!K:K,"",0)="Free","Free",IF(XLOOKUP($A41,Partner_Tickets!$A:$A,Partner_Tickets!K:K,"",0)="VL","VL",IF(XLOOKUP($A41,Partner_Tickets!$A:$A,Partner_Tickets!K:K,"",0)="ATT","ATT",XLOOKUP($A41,Partner_Tickets!$A:$A,Partner_Tickets!K:K,"",0))))</f>
        <v/>
      </c>
      <c r="L41" s="42">
        <f t="array" ref="L41">IF(XLOOKUP($A41,Partner_Tickets!$A:$A,Partner_Tickets!L:L,"",0)="Free","Free",IF(XLOOKUP($A41,Partner_Tickets!$A:$A,Partner_Tickets!L:L,"",0)="VL","VL",IF(XLOOKUP($A41,Partner_Tickets!$A:$A,Partner_Tickets!L:L,"",0)="ATT","ATT",XLOOKUP($A41,Partner_Tickets!$A:$A,Partner_Tickets!L:L,"",0))))</f>
        <v>0.5</v>
      </c>
      <c r="M41" s="42">
        <f t="array" ref="M41">IF(XLOOKUP($A41,Partner_Tickets!$A:$A,Partner_Tickets!M:M,"",0)="Free","Free",IF(XLOOKUP($A41,Partner_Tickets!$A:$A,Partner_Tickets!M:M,"",0)="VL","VL",IF(XLOOKUP($A41,Partner_Tickets!$A:$A,Partner_Tickets!M:M,"",0)="ATT","ATT",XLOOKUP($A41,Partner_Tickets!$A:$A,Partner_Tickets!M:M,"",0))))</f>
        <v>0.2916666667</v>
      </c>
      <c r="N41" s="42">
        <f t="array" ref="N41">IF(XLOOKUP($A41,Partner_Tickets!$A:$A,Partner_Tickets!N:N,"",0)="Free","Free",IF(XLOOKUP($A41,Partner_Tickets!$A:$A,Partner_Tickets!N:N,"",0)="VL","VL",IF(XLOOKUP($A41,Partner_Tickets!$A:$A,Partner_Tickets!N:N,"",0)="ATT","ATT",XLOOKUP($A41,Partner_Tickets!$A:$A,Partner_Tickets!N:N,"",0))))</f>
        <v>0.2916666667</v>
      </c>
      <c r="O41" s="42">
        <f t="array" ref="O41">IF(XLOOKUP($A41,Partner_Tickets!$A:$A,Partner_Tickets!O:O,"",0)="Free","Free",IF(XLOOKUP($A41,Partner_Tickets!$A:$A,Partner_Tickets!O:O,"",0)="VL","VL",IF(XLOOKUP($A41,Partner_Tickets!$A:$A,Partner_Tickets!O:O,"",0)="ATT","ATT",XLOOKUP($A41,Partner_Tickets!$A:$A,Partner_Tickets!O:O,"",0))))</f>
        <v>0.2916666667</v>
      </c>
      <c r="P41" s="42">
        <f t="array" ref="P41">IF(XLOOKUP($A41,Partner_Tickets!$A:$A,Partner_Tickets!P:P,"",0)="Free","Free",IF(XLOOKUP($A41,Partner_Tickets!$A:$A,Partner_Tickets!P:P,"",0)="VL","VL",IF(XLOOKUP($A41,Partner_Tickets!$A:$A,Partner_Tickets!P:P,"",0)="ATT","ATT",XLOOKUP($A41,Partner_Tickets!$A:$A,Partner_Tickets!P:P,"",0))))</f>
        <v>0.2916666667</v>
      </c>
      <c r="Q41" s="42" t="str">
        <f t="array" ref="Q41">IF(XLOOKUP($A41,Partner_Tickets!$A:$A,Partner_Tickets!Q:Q,"",0)="Free","Free",IF(XLOOKUP($A41,Partner_Tickets!$A:$A,Partner_Tickets!Q:Q,"",0)="VL","VL",IF(XLOOKUP($A41,Partner_Tickets!$A:$A,Partner_Tickets!Q:Q,"",0)="ATT","ATT",XLOOKUP($A41,Partner_Tickets!$A:$A,Partner_Tickets!Q:Q,"",0))))</f>
        <v>Free</v>
      </c>
      <c r="R41" s="42"/>
      <c r="S41" s="42">
        <f t="array" ref="S41">IF(XLOOKUP($A41,Partner_Tickets!$A:$A,Partner_Tickets!S:S,"",0)="Free","Free",IF(XLOOKUP($A41,Partner_Tickets!$A:$A,Partner_Tickets!S:S,"",0)="VL","VL",IF(XLOOKUP($A41,Partner_Tickets!$A:$A,Partner_Tickets!S:S,"",0)="ATT","ATT",XLOOKUP($A41,Partner_Tickets!$A:$A,Partner_Tickets!S:S,"",0))))</f>
        <v>0.5</v>
      </c>
      <c r="T41" s="42">
        <f t="array" ref="T41">IF(XLOOKUP($A41,Partner_Tickets!$A:$A,Partner_Tickets!T:T,"",0)="Free","Free",IF(XLOOKUP($A41,Partner_Tickets!$A:$A,Partner_Tickets!T:T,"",0)="VL","VL",IF(XLOOKUP($A41,Partner_Tickets!$A:$A,Partner_Tickets!T:T,"",0)="ATT","ATT",XLOOKUP($A41,Partner_Tickets!$A:$A,Partner_Tickets!T:T,"",0))))</f>
        <v>0.2916666667</v>
      </c>
      <c r="U41" s="42">
        <f t="array" ref="U41">IF(XLOOKUP($A41,Partner_Tickets!$A:$A,Partner_Tickets!U:U,"",0)="Free","Free",IF(XLOOKUP($A41,Partner_Tickets!$A:$A,Partner_Tickets!U:U,"",0)="VL","VL",IF(XLOOKUP($A41,Partner_Tickets!$A:$A,Partner_Tickets!U:U,"",0)="ATT","ATT",XLOOKUP($A41,Partner_Tickets!$A:$A,Partner_Tickets!U:U,"",0))))</f>
        <v>0.2916666667</v>
      </c>
      <c r="V41" s="42">
        <f t="array" ref="V41">IF(XLOOKUP($A41,Partner_Tickets!$A:$A,Partner_Tickets!V:V,"",0)="Free","Free",IF(XLOOKUP($A41,Partner_Tickets!$A:$A,Partner_Tickets!V:V,"",0)="VL","VL",IF(XLOOKUP($A41,Partner_Tickets!$A:$A,Partner_Tickets!V:V,"",0)="ATT","ATT",XLOOKUP($A41,Partner_Tickets!$A:$A,Partner_Tickets!V:V,"",0))))</f>
        <v>0.2916666667</v>
      </c>
      <c r="W41" s="42">
        <f t="array" ref="W41">IF(XLOOKUP($A41,Partner_Tickets!$A:$A,Partner_Tickets!W:W,"",0)="Free","Free",IF(XLOOKUP($A41,Partner_Tickets!$A:$A,Partner_Tickets!W:W,"",0)="VL","VL",IF(XLOOKUP($A41,Partner_Tickets!$A:$A,Partner_Tickets!W:W,"",0)="ATT","ATT",XLOOKUP($A41,Partner_Tickets!$A:$A,Partner_Tickets!W:W,"",0))))</f>
        <v>0.2916666667</v>
      </c>
      <c r="X41" s="42" t="str">
        <f t="array" ref="X41">IF(XLOOKUP($A41,Partner_Tickets!$A:$A,Partner_Tickets!X:X,"",0)="Free","Free",IF(XLOOKUP($A41,Partner_Tickets!$A:$A,Partner_Tickets!X:X,"",0)="VL","VL",IF(XLOOKUP($A41,Partner_Tickets!$A:$A,Partner_Tickets!X:X,"",0)="ATT","ATT",XLOOKUP($A41,Partner_Tickets!$A:$A,Partner_Tickets!X:X,"",0))))</f>
        <v>Free</v>
      </c>
      <c r="Y41" s="42"/>
      <c r="Z41" s="42">
        <f t="array" ref="Z41">IF(XLOOKUP($A41,Partner_Tickets!$A:$A,Partner_Tickets!Z:Z,"",0)="Free","Free",IF(XLOOKUP($A41,Partner_Tickets!$A:$A,Partner_Tickets!Z:Z,"",0)="VL","VL",IF(XLOOKUP($A41,Partner_Tickets!$A:$A,Partner_Tickets!Z:Z,"",0)="ATT","ATT",XLOOKUP($A41,Partner_Tickets!$A:$A,Partner_Tickets!Z:Z,"",0))))</f>
        <v>0.5</v>
      </c>
      <c r="AA41" s="42">
        <f t="array" ref="AA41">IF(XLOOKUP($A41,Partner_Tickets!$A:$A,Partner_Tickets!AA:AA,"",0)="Free","Free",IF(XLOOKUP($A41,Partner_Tickets!$A:$A,Partner_Tickets!AA:AA,"",0)="VL","VL",IF(XLOOKUP($A41,Partner_Tickets!$A:$A,Partner_Tickets!AA:AA,"",0)="ATT","ATT",XLOOKUP($A41,Partner_Tickets!$A:$A,Partner_Tickets!AA:AA,"",0))))</f>
        <v>0.2916666667</v>
      </c>
      <c r="AB41" s="42">
        <f t="array" ref="AB41">IF(XLOOKUP($A41,Partner_Tickets!$A:$A,Partner_Tickets!AB:AB,"",0)="Free","Free",IF(XLOOKUP($A41,Partner_Tickets!$A:$A,Partner_Tickets!AB:AB,"",0)="VL","VL",IF(XLOOKUP($A41,Partner_Tickets!$A:$A,Partner_Tickets!AB:AB,"",0)="ATT","ATT",XLOOKUP($A41,Partner_Tickets!$A:$A,Partner_Tickets!AB:AB,"",0))))</f>
        <v>0.2916666667</v>
      </c>
      <c r="AC41" s="42">
        <f t="array" ref="AC41">IF(XLOOKUP($A41,Partner_Tickets!$A:$A,Partner_Tickets!AC:AC,"",0)="Free","Free",IF(XLOOKUP($A41,Partner_Tickets!$A:$A,Partner_Tickets!AC:AC,"",0)="VL","VL",IF(XLOOKUP($A41,Partner_Tickets!$A:$A,Partner_Tickets!AC:AC,"",0)="ATT","ATT",XLOOKUP($A41,Partner_Tickets!$A:$A,Partner_Tickets!AC:AC,"",0))))</f>
        <v>0.2916666667</v>
      </c>
      <c r="AD41" s="42">
        <f t="array" ref="AD41">IF(XLOOKUP($A41,Partner_Tickets!$A:$A,Partner_Tickets!AD:AD,"",0)="Free","Free",IF(XLOOKUP($A41,Partner_Tickets!$A:$A,Partner_Tickets!AD:AD,"",0)="VL","VL",IF(XLOOKUP($A41,Partner_Tickets!$A:$A,Partner_Tickets!AD:AD,"",0)="ATT","ATT",XLOOKUP($A41,Partner_Tickets!$A:$A,Partner_Tickets!AD:AD,"",0))))</f>
        <v>0.2916666667</v>
      </c>
      <c r="AE41" s="42" t="str">
        <f t="array" ref="AE41">IF(XLOOKUP($A41,Partner_Tickets!$A:$A,Partner_Tickets!AE:AE,"",0)="Free","Free",IF(XLOOKUP($A41,Partner_Tickets!$A:$A,Partner_Tickets!AE:AE,"",0)="VL","VL",IF(XLOOKUP($A41,Partner_Tickets!$A:$A,Partner_Tickets!AE:AE,"",0)="ATT","ATT",XLOOKUP($A41,Partner_Tickets!$A:$A,Partner_Tickets!AE:AE,"",0))))</f>
        <v>Free</v>
      </c>
      <c r="AF41" s="42"/>
      <c r="AG41" s="42">
        <f t="array" ref="AG41">IF(XLOOKUP($A41,Partner_Tickets!$A:$A,Partner_Tickets!AG:AG,"",0)="Free","Free",IF(XLOOKUP($A41,Partner_Tickets!$A:$A,Partner_Tickets!AG:AG,"",0)="VL","VL",IF(XLOOKUP($A41,Partner_Tickets!$A:$A,Partner_Tickets!AG:AG,"",0)="ATT","ATT",XLOOKUP($A41,Partner_Tickets!$A:$A,Partner_Tickets!AG:AG,"",0))))</f>
        <v>0.5</v>
      </c>
      <c r="AH41" s="42">
        <f t="array" ref="AH41">IF(XLOOKUP($A41,Partner_Tickets!$A:$A,Partner_Tickets!AH:AH,"",0)="Free","Free",IF(XLOOKUP($A41,Partner_Tickets!$A:$A,Partner_Tickets!AH:AH,"",0)="VL","VL",IF(XLOOKUP($A41,Partner_Tickets!$A:$A,Partner_Tickets!AH:AH,"",0)="ATT","ATT",XLOOKUP($A41,Partner_Tickets!$A:$A,Partner_Tickets!AH:AH,"",0))))</f>
        <v>0.2916666667</v>
      </c>
      <c r="AI41" s="42">
        <f t="array" ref="AI41">IF(XLOOKUP($A41,Partner_Tickets!$A:$A,Partner_Tickets!AI:AI,"",0)="Free","Free",IF(XLOOKUP($A41,Partner_Tickets!$A:$A,Partner_Tickets!AI:AI,"",0)="VL","VL",IF(XLOOKUP($A41,Partner_Tickets!$A:$A,Partner_Tickets!AI:AI,"",0)="ATT","ATT",XLOOKUP($A41,Partner_Tickets!$A:$A,Partner_Tickets!AI:AI,"",0))))</f>
        <v>0.2916666667</v>
      </c>
      <c r="AJ41" s="42">
        <f t="array" ref="AJ41">IF(XLOOKUP($A41,Partner_Tickets!$A:$A,Partner_Tickets!AJ:AJ,"",0)="Free","Free",IF(XLOOKUP($A41,Partner_Tickets!$A:$A,Partner_Tickets!AJ:AJ,"",0)="VL","VL",IF(XLOOKUP($A41,Partner_Tickets!$A:$A,Partner_Tickets!AJ:AJ,"",0)="ATT","ATT",XLOOKUP($A41,Partner_Tickets!$A:$A,Partner_Tickets!AJ:AJ,"",0))))</f>
        <v>0.2916666667</v>
      </c>
      <c r="AK41" s="42">
        <f t="array" ref="AK41">IF(XLOOKUP($A41,Partner_Tickets!$A:$A,Partner_Tickets!AK:AK,"",0)="Free","Free",IF(XLOOKUP($A41,Partner_Tickets!$A:$A,Partner_Tickets!AK:AK,"",0)="VL","VL",IF(XLOOKUP($A41,Partner_Tickets!$A:$A,Partner_Tickets!AK:AK,"",0)="ATT","ATT",XLOOKUP($A41,Partner_Tickets!$A:$A,Partner_Tickets!AK:AK,"",0))))</f>
        <v>0.2916666667</v>
      </c>
      <c r="AL41" s="42" t="str">
        <f t="array" ref="AL41">IF(XLOOKUP($A41,Partner_Tickets!$A:$A,Partner_Tickets!AL:AL,"",0)="Free","Free",IF(XLOOKUP($A41,Partner_Tickets!$A:$A,Partner_Tickets!AL:AL,"",0)="VL","VL",IF(XLOOKUP($A41,Partner_Tickets!$A:$A,Partner_Tickets!AL:AL,"",0)="ATT","ATT",XLOOKUP($A41,Partner_Tickets!$A:$A,Partner_Tickets!AL:AL,"",0))))</f>
        <v>Free</v>
      </c>
      <c r="AM41" s="42"/>
    </row>
    <row r="42">
      <c r="A42" s="43" t="s">
        <v>173</v>
      </c>
      <c r="B42" s="44" t="str">
        <f t="array" ref="B42">XLOOKUP(A42,Roster!F:F,Roster!A:A,"",0)</f>
        <v>Luis Vidal</v>
      </c>
      <c r="C42" s="44" t="str">
        <f t="array" ref="C42">XLOOKUP(A42,Roster!F:F,Roster!B:B,"",0)</f>
        <v>Carmen Grajales</v>
      </c>
      <c r="D42" s="40"/>
      <c r="E42" s="42">
        <f t="array" ref="E42">IF(XLOOKUP($A42,Partner_Tickets!$A:$A,Partner_Tickets!E:E,"",0)="Free","Free",IF(XLOOKUP($A42,Partner_Tickets!$A:$A,Partner_Tickets!E:E,"",0)="VL","VL",IF(XLOOKUP($A42,Partner_Tickets!$A:$A,Partner_Tickets!E:E,"",0)="ATT","ATT",XLOOKUP($A42,Partner_Tickets!$A:$A,Partner_Tickets!E:E,"",0))))</f>
        <v>0.3333333333</v>
      </c>
      <c r="F42" s="42">
        <f t="array" ref="F42">IF(XLOOKUP($A42,Partner_Tickets!$A:$A,Partner_Tickets!F:F,"",0)="Free","Free",IF(XLOOKUP($A42,Partner_Tickets!$A:$A,Partner_Tickets!F:F,"",0)="VL","VL",IF(XLOOKUP($A42,Partner_Tickets!$A:$A,Partner_Tickets!F:F,"",0)="ATT","ATT",XLOOKUP($A42,Partner_Tickets!$A:$A,Partner_Tickets!F:F,"",0))))</f>
        <v>0.3333333333</v>
      </c>
      <c r="G42" s="42">
        <f t="array" ref="G42">IF(XLOOKUP($A42,Partner_Tickets!$A:$A,Partner_Tickets!G:G,"",0)="Free","Free",IF(XLOOKUP($A42,Partner_Tickets!$A:$A,Partner_Tickets!G:G,"",0)="VL","VL",IF(XLOOKUP($A42,Partner_Tickets!$A:$A,Partner_Tickets!G:G,"",0)="ATT","ATT",XLOOKUP($A42,Partner_Tickets!$A:$A,Partner_Tickets!G:G,"",0))))</f>
        <v>0.3333333333</v>
      </c>
      <c r="H42" s="42" t="str">
        <f t="array" ref="H42">IF(XLOOKUP($A42,Partner_Tickets!$A:$A,Partner_Tickets!H:H,"",0)="Free","Free",IF(XLOOKUP($A42,Partner_Tickets!$A:$A,Partner_Tickets!H:H,"",0)="VL","VL",IF(XLOOKUP($A42,Partner_Tickets!$A:$A,Partner_Tickets!H:H,"",0)="ATT","ATT",XLOOKUP($A42,Partner_Tickets!$A:$A,Partner_Tickets!H:H,"",0))))</f>
        <v>Free</v>
      </c>
      <c r="I42" s="42">
        <f t="array" ref="I42">IF(XLOOKUP($A42,Partner_Tickets!$A:$A,Partner_Tickets!I:I,"",0)="Free","Free",IF(XLOOKUP($A42,Partner_Tickets!$A:$A,Partner_Tickets!I:I,"",0)="VL","VL",IF(XLOOKUP($A42,Partner_Tickets!$A:$A,Partner_Tickets!I:I,"",0)="ATT","ATT",XLOOKUP($A42,Partner_Tickets!$A:$A,Partner_Tickets!I:I,"",0))))</f>
        <v>0.3333333333</v>
      </c>
      <c r="J42" s="42">
        <f t="array" ref="J42">IF(XLOOKUP($A42,Partner_Tickets!$A:$A,Partner_Tickets!J:J,"",0)="Free","Free",IF(XLOOKUP($A42,Partner_Tickets!$A:$A,Partner_Tickets!J:J,"",0)="VL","VL",IF(XLOOKUP($A42,Partner_Tickets!$A:$A,Partner_Tickets!J:J,"",0)="ATT","ATT",XLOOKUP($A42,Partner_Tickets!$A:$A,Partner_Tickets!J:J,"",0))))</f>
        <v>0.3333333333</v>
      </c>
      <c r="K42" s="42" t="str">
        <f t="array" ref="K42">IF(XLOOKUP($A42,Partner_Tickets!$A:$A,Partner_Tickets!K:K,"",0)="Free","Free",IF(XLOOKUP($A42,Partner_Tickets!$A:$A,Partner_Tickets!K:K,"",0)="VL","VL",IF(XLOOKUP($A42,Partner_Tickets!$A:$A,Partner_Tickets!K:K,"",0)="ATT","ATT",XLOOKUP($A42,Partner_Tickets!$A:$A,Partner_Tickets!K:K,"",0))))</f>
        <v/>
      </c>
      <c r="L42" s="42">
        <f t="array" ref="L42">IF(XLOOKUP($A42,Partner_Tickets!$A:$A,Partner_Tickets!L:L,"",0)="Free","Free",IF(XLOOKUP($A42,Partner_Tickets!$A:$A,Partner_Tickets!L:L,"",0)="VL","VL",IF(XLOOKUP($A42,Partner_Tickets!$A:$A,Partner_Tickets!L:L,"",0)="ATT","ATT",XLOOKUP($A42,Partner_Tickets!$A:$A,Partner_Tickets!L:L,"",0))))</f>
        <v>0.3333333333</v>
      </c>
      <c r="M42" s="42">
        <f t="array" ref="M42">IF(XLOOKUP($A42,Partner_Tickets!$A:$A,Partner_Tickets!M:M,"",0)="Free","Free",IF(XLOOKUP($A42,Partner_Tickets!$A:$A,Partner_Tickets!M:M,"",0)="VL","VL",IF(XLOOKUP($A42,Partner_Tickets!$A:$A,Partner_Tickets!M:M,"",0)="ATT","ATT",XLOOKUP($A42,Partner_Tickets!$A:$A,Partner_Tickets!M:M,"",0))))</f>
        <v>0.3333333333</v>
      </c>
      <c r="N42" s="42">
        <f t="array" ref="N42">IF(XLOOKUP($A42,Partner_Tickets!$A:$A,Partner_Tickets!N:N,"",0)="Free","Free",IF(XLOOKUP($A42,Partner_Tickets!$A:$A,Partner_Tickets!N:N,"",0)="VL","VL",IF(XLOOKUP($A42,Partner_Tickets!$A:$A,Partner_Tickets!N:N,"",0)="ATT","ATT",XLOOKUP($A42,Partner_Tickets!$A:$A,Partner_Tickets!N:N,"",0))))</f>
        <v>0.3333333333</v>
      </c>
      <c r="O42" s="42">
        <f t="array" ref="O42">IF(XLOOKUP($A42,Partner_Tickets!$A:$A,Partner_Tickets!O:O,"",0)="Free","Free",IF(XLOOKUP($A42,Partner_Tickets!$A:$A,Partner_Tickets!O:O,"",0)="VL","VL",IF(XLOOKUP($A42,Partner_Tickets!$A:$A,Partner_Tickets!O:O,"",0)="ATT","ATT",XLOOKUP($A42,Partner_Tickets!$A:$A,Partner_Tickets!O:O,"",0))))</f>
        <v>0.3333333333</v>
      </c>
      <c r="P42" s="42">
        <f t="array" ref="P42">IF(XLOOKUP($A42,Partner_Tickets!$A:$A,Partner_Tickets!P:P,"",0)="Free","Free",IF(XLOOKUP($A42,Partner_Tickets!$A:$A,Partner_Tickets!P:P,"",0)="VL","VL",IF(XLOOKUP($A42,Partner_Tickets!$A:$A,Partner_Tickets!P:P,"",0)="ATT","ATT",XLOOKUP($A42,Partner_Tickets!$A:$A,Partner_Tickets!P:P,"",0))))</f>
        <v>0.3333333333</v>
      </c>
      <c r="Q42" s="42" t="str">
        <f t="array" ref="Q42">IF(XLOOKUP($A42,Partner_Tickets!$A:$A,Partner_Tickets!Q:Q,"",0)="Free","Free",IF(XLOOKUP($A42,Partner_Tickets!$A:$A,Partner_Tickets!Q:Q,"",0)="VL","VL",IF(XLOOKUP($A42,Partner_Tickets!$A:$A,Partner_Tickets!Q:Q,"",0)="ATT","ATT",XLOOKUP($A42,Partner_Tickets!$A:$A,Partner_Tickets!Q:Q,"",0))))</f>
        <v>Free</v>
      </c>
      <c r="R42" s="42"/>
      <c r="S42" s="42">
        <f t="array" ref="S42">IF(XLOOKUP($A42,Partner_Tickets!$A:$A,Partner_Tickets!S:S,"",0)="Free","Free",IF(XLOOKUP($A42,Partner_Tickets!$A:$A,Partner_Tickets!S:S,"",0)="VL","VL",IF(XLOOKUP($A42,Partner_Tickets!$A:$A,Partner_Tickets!S:S,"",0)="ATT","ATT",XLOOKUP($A42,Partner_Tickets!$A:$A,Partner_Tickets!S:S,"",0))))</f>
        <v>0.3333333333</v>
      </c>
      <c r="T42" s="42">
        <f t="array" ref="T42">IF(XLOOKUP($A42,Partner_Tickets!$A:$A,Partner_Tickets!T:T,"",0)="Free","Free",IF(XLOOKUP($A42,Partner_Tickets!$A:$A,Partner_Tickets!T:T,"",0)="VL","VL",IF(XLOOKUP($A42,Partner_Tickets!$A:$A,Partner_Tickets!T:T,"",0)="ATT","ATT",XLOOKUP($A42,Partner_Tickets!$A:$A,Partner_Tickets!T:T,"",0))))</f>
        <v>0.3333333333</v>
      </c>
      <c r="U42" s="42">
        <f t="array" ref="U42">IF(XLOOKUP($A42,Partner_Tickets!$A:$A,Partner_Tickets!U:U,"",0)="Free","Free",IF(XLOOKUP($A42,Partner_Tickets!$A:$A,Partner_Tickets!U:U,"",0)="VL","VL",IF(XLOOKUP($A42,Partner_Tickets!$A:$A,Partner_Tickets!U:U,"",0)="ATT","ATT",XLOOKUP($A42,Partner_Tickets!$A:$A,Partner_Tickets!U:U,"",0))))</f>
        <v>0.3333333333</v>
      </c>
      <c r="V42" s="42" t="str">
        <f t="array" ref="V42">IF(XLOOKUP($A42,Partner_Tickets!$A:$A,Partner_Tickets!V:V,"",0)="Free","Free",IF(XLOOKUP($A42,Partner_Tickets!$A:$A,Partner_Tickets!V:V,"",0)="VL","VL",IF(XLOOKUP($A42,Partner_Tickets!$A:$A,Partner_Tickets!V:V,"",0)="ATT","ATT",XLOOKUP($A42,Partner_Tickets!$A:$A,Partner_Tickets!V:V,"",0))))</f>
        <v>Free</v>
      </c>
      <c r="W42" s="42">
        <f t="array" ref="W42">IF(XLOOKUP($A42,Partner_Tickets!$A:$A,Partner_Tickets!W:W,"",0)="Free","Free",IF(XLOOKUP($A42,Partner_Tickets!$A:$A,Partner_Tickets!W:W,"",0)="VL","VL",IF(XLOOKUP($A42,Partner_Tickets!$A:$A,Partner_Tickets!W:W,"",0)="ATT","ATT",XLOOKUP($A42,Partner_Tickets!$A:$A,Partner_Tickets!W:W,"",0))))</f>
        <v>0.3333333333</v>
      </c>
      <c r="X42" s="42">
        <f t="array" ref="X42">IF(XLOOKUP($A42,Partner_Tickets!$A:$A,Partner_Tickets!X:X,"",0)="Free","Free",IF(XLOOKUP($A42,Partner_Tickets!$A:$A,Partner_Tickets!X:X,"",0)="VL","VL",IF(XLOOKUP($A42,Partner_Tickets!$A:$A,Partner_Tickets!X:X,"",0)="ATT","ATT",XLOOKUP($A42,Partner_Tickets!$A:$A,Partner_Tickets!X:X,"",0))))</f>
        <v>0.3333333333</v>
      </c>
      <c r="Y42" s="42"/>
      <c r="Z42" s="42">
        <f t="array" ref="Z42">IF(XLOOKUP($A42,Partner_Tickets!$A:$A,Partner_Tickets!Z:Z,"",0)="Free","Free",IF(XLOOKUP($A42,Partner_Tickets!$A:$A,Partner_Tickets!Z:Z,"",0)="VL","VL",IF(XLOOKUP($A42,Partner_Tickets!$A:$A,Partner_Tickets!Z:Z,"",0)="ATT","ATT",XLOOKUP($A42,Partner_Tickets!$A:$A,Partner_Tickets!Z:Z,"",0))))</f>
        <v>0.3333333333</v>
      </c>
      <c r="AA42" s="42">
        <f t="array" ref="AA42">IF(XLOOKUP($A42,Partner_Tickets!$A:$A,Partner_Tickets!AA:AA,"",0)="Free","Free",IF(XLOOKUP($A42,Partner_Tickets!$A:$A,Partner_Tickets!AA:AA,"",0)="VL","VL",IF(XLOOKUP($A42,Partner_Tickets!$A:$A,Partner_Tickets!AA:AA,"",0)="ATT","ATT",XLOOKUP($A42,Partner_Tickets!$A:$A,Partner_Tickets!AA:AA,"",0))))</f>
        <v>0.3333333333</v>
      </c>
      <c r="AB42" s="42">
        <f t="array" ref="AB42">IF(XLOOKUP($A42,Partner_Tickets!$A:$A,Partner_Tickets!AB:AB,"",0)="Free","Free",IF(XLOOKUP($A42,Partner_Tickets!$A:$A,Partner_Tickets!AB:AB,"",0)="VL","VL",IF(XLOOKUP($A42,Partner_Tickets!$A:$A,Partner_Tickets!AB:AB,"",0)="ATT","ATT",XLOOKUP($A42,Partner_Tickets!$A:$A,Partner_Tickets!AB:AB,"",0))))</f>
        <v>0.3333333333</v>
      </c>
      <c r="AC42" s="42">
        <f t="array" ref="AC42">IF(XLOOKUP($A42,Partner_Tickets!$A:$A,Partner_Tickets!AC:AC,"",0)="Free","Free",IF(XLOOKUP($A42,Partner_Tickets!$A:$A,Partner_Tickets!AC:AC,"",0)="VL","VL",IF(XLOOKUP($A42,Partner_Tickets!$A:$A,Partner_Tickets!AC:AC,"",0)="ATT","ATT",XLOOKUP($A42,Partner_Tickets!$A:$A,Partner_Tickets!AC:AC,"",0))))</f>
        <v>0.3333333333</v>
      </c>
      <c r="AD42" s="42">
        <f t="array" ref="AD42">IF(XLOOKUP($A42,Partner_Tickets!$A:$A,Partner_Tickets!AD:AD,"",0)="Free","Free",IF(XLOOKUP($A42,Partner_Tickets!$A:$A,Partner_Tickets!AD:AD,"",0)="VL","VL",IF(XLOOKUP($A42,Partner_Tickets!$A:$A,Partner_Tickets!AD:AD,"",0)="ATT","ATT",XLOOKUP($A42,Partner_Tickets!$A:$A,Partner_Tickets!AD:AD,"",0))))</f>
        <v>0.3333333333</v>
      </c>
      <c r="AE42" s="42" t="str">
        <f t="array" ref="AE42">IF(XLOOKUP($A42,Partner_Tickets!$A:$A,Partner_Tickets!AE:AE,"",0)="Free","Free",IF(XLOOKUP($A42,Partner_Tickets!$A:$A,Partner_Tickets!AE:AE,"",0)="VL","VL",IF(XLOOKUP($A42,Partner_Tickets!$A:$A,Partner_Tickets!AE:AE,"",0)="ATT","ATT",XLOOKUP($A42,Partner_Tickets!$A:$A,Partner_Tickets!AE:AE,"",0))))</f>
        <v>Free</v>
      </c>
      <c r="AF42" s="42"/>
      <c r="AG42" s="42">
        <f t="array" ref="AG42">IF(XLOOKUP($A42,Partner_Tickets!$A:$A,Partner_Tickets!AG:AG,"",0)="Free","Free",IF(XLOOKUP($A42,Partner_Tickets!$A:$A,Partner_Tickets!AG:AG,"",0)="VL","VL",IF(XLOOKUP($A42,Partner_Tickets!$A:$A,Partner_Tickets!AG:AG,"",0)="ATT","ATT",XLOOKUP($A42,Partner_Tickets!$A:$A,Partner_Tickets!AG:AG,"",0))))</f>
        <v>0.3333333333</v>
      </c>
      <c r="AH42" s="42">
        <f t="array" ref="AH42">IF(XLOOKUP($A42,Partner_Tickets!$A:$A,Partner_Tickets!AH:AH,"",0)="Free","Free",IF(XLOOKUP($A42,Partner_Tickets!$A:$A,Partner_Tickets!AH:AH,"",0)="VL","VL",IF(XLOOKUP($A42,Partner_Tickets!$A:$A,Partner_Tickets!AH:AH,"",0)="ATT","ATT",XLOOKUP($A42,Partner_Tickets!$A:$A,Partner_Tickets!AH:AH,"",0))))</f>
        <v>0.3333333333</v>
      </c>
      <c r="AI42" s="42">
        <f t="array" ref="AI42">IF(XLOOKUP($A42,Partner_Tickets!$A:$A,Partner_Tickets!AI:AI,"",0)="Free","Free",IF(XLOOKUP($A42,Partner_Tickets!$A:$A,Partner_Tickets!AI:AI,"",0)="VL","VL",IF(XLOOKUP($A42,Partner_Tickets!$A:$A,Partner_Tickets!AI:AI,"",0)="ATT","ATT",XLOOKUP($A42,Partner_Tickets!$A:$A,Partner_Tickets!AI:AI,"",0))))</f>
        <v>0.3333333333</v>
      </c>
      <c r="AJ42" s="42">
        <f t="array" ref="AJ42">IF(XLOOKUP($A42,Partner_Tickets!$A:$A,Partner_Tickets!AJ:AJ,"",0)="Free","Free",IF(XLOOKUP($A42,Partner_Tickets!$A:$A,Partner_Tickets!AJ:AJ,"",0)="VL","VL",IF(XLOOKUP($A42,Partner_Tickets!$A:$A,Partner_Tickets!AJ:AJ,"",0)="ATT","ATT",XLOOKUP($A42,Partner_Tickets!$A:$A,Partner_Tickets!AJ:AJ,"",0))))</f>
        <v>0.3333333333</v>
      </c>
      <c r="AK42" s="42">
        <f t="array" ref="AK42">IF(XLOOKUP($A42,Partner_Tickets!$A:$A,Partner_Tickets!AK:AK,"",0)="Free","Free",IF(XLOOKUP($A42,Partner_Tickets!$A:$A,Partner_Tickets!AK:AK,"",0)="VL","VL",IF(XLOOKUP($A42,Partner_Tickets!$A:$A,Partner_Tickets!AK:AK,"",0)="ATT","ATT",XLOOKUP($A42,Partner_Tickets!$A:$A,Partner_Tickets!AK:AK,"",0))))</f>
        <v>0.3333333333</v>
      </c>
      <c r="AL42" s="42" t="str">
        <f t="array" ref="AL42">IF(XLOOKUP($A42,Partner_Tickets!$A:$A,Partner_Tickets!AL:AL,"",0)="Free","Free",IF(XLOOKUP($A42,Partner_Tickets!$A:$A,Partner_Tickets!AL:AL,"",0)="VL","VL",IF(XLOOKUP($A42,Partner_Tickets!$A:$A,Partner_Tickets!AL:AL,"",0)="ATT","ATT",XLOOKUP($A42,Partner_Tickets!$A:$A,Partner_Tickets!AL:AL,"",0))))</f>
        <v>Free</v>
      </c>
      <c r="AM42" s="42"/>
    </row>
    <row r="43">
      <c r="A43" s="40" t="s">
        <v>174</v>
      </c>
      <c r="B43" s="44" t="str">
        <f t="array" ref="B43">XLOOKUP(A43,Roster!F:F,Roster!A:A,"",0)</f>
        <v>Luis Vidal</v>
      </c>
      <c r="C43" s="44" t="str">
        <f t="array" ref="C43">XLOOKUP(A43,Roster!F:F,Roster!B:B,"",0)</f>
        <v>Cristian Ferreira</v>
      </c>
      <c r="D43" s="40"/>
      <c r="E43" s="42">
        <f t="array" ref="E43">IF(XLOOKUP($A43,Partner_Tickets!$A:$A,Partner_Tickets!E:E,"",0)="Free","Free",IF(XLOOKUP($A43,Partner_Tickets!$A:$A,Partner_Tickets!E:E,"",0)="VL","VL",IF(XLOOKUP($A43,Partner_Tickets!$A:$A,Partner_Tickets!E:E,"",0)="ATT","ATT",XLOOKUP($A43,Partner_Tickets!$A:$A,Partner_Tickets!E:E,"",0))))</f>
        <v>0.3333333333</v>
      </c>
      <c r="F43" s="42">
        <f t="array" ref="F43">IF(XLOOKUP($A43,Partner_Tickets!$A:$A,Partner_Tickets!F:F,"",0)="Free","Free",IF(XLOOKUP($A43,Partner_Tickets!$A:$A,Partner_Tickets!F:F,"",0)="VL","VL",IF(XLOOKUP($A43,Partner_Tickets!$A:$A,Partner_Tickets!F:F,"",0)="ATT","ATT",XLOOKUP($A43,Partner_Tickets!$A:$A,Partner_Tickets!F:F,"",0))))</f>
        <v>0.3333333333</v>
      </c>
      <c r="G43" s="42">
        <f t="array" ref="G43">IF(XLOOKUP($A43,Partner_Tickets!$A:$A,Partner_Tickets!G:G,"",0)="Free","Free",IF(XLOOKUP($A43,Partner_Tickets!$A:$A,Partner_Tickets!G:G,"",0)="VL","VL",IF(XLOOKUP($A43,Partner_Tickets!$A:$A,Partner_Tickets!G:G,"",0)="ATT","ATT",XLOOKUP($A43,Partner_Tickets!$A:$A,Partner_Tickets!G:G,"",0))))</f>
        <v>0.3333333333</v>
      </c>
      <c r="H43" s="42" t="str">
        <f t="array" ref="H43">IF(XLOOKUP($A43,Partner_Tickets!$A:$A,Partner_Tickets!H:H,"",0)="Free","Free",IF(XLOOKUP($A43,Partner_Tickets!$A:$A,Partner_Tickets!H:H,"",0)="VL","VL",IF(XLOOKUP($A43,Partner_Tickets!$A:$A,Partner_Tickets!H:H,"",0)="ATT","ATT",XLOOKUP($A43,Partner_Tickets!$A:$A,Partner_Tickets!H:H,"",0))))</f>
        <v>Free</v>
      </c>
      <c r="I43" s="42">
        <f t="array" ref="I43">IF(XLOOKUP($A43,Partner_Tickets!$A:$A,Partner_Tickets!I:I,"",0)="Free","Free",IF(XLOOKUP($A43,Partner_Tickets!$A:$A,Partner_Tickets!I:I,"",0)="VL","VL",IF(XLOOKUP($A43,Partner_Tickets!$A:$A,Partner_Tickets!I:I,"",0)="ATT","ATT",XLOOKUP($A43,Partner_Tickets!$A:$A,Partner_Tickets!I:I,"",0))))</f>
        <v>0.3333333333</v>
      </c>
      <c r="J43" s="42">
        <f t="array" ref="J43">IF(XLOOKUP($A43,Partner_Tickets!$A:$A,Partner_Tickets!J:J,"",0)="Free","Free",IF(XLOOKUP($A43,Partner_Tickets!$A:$A,Partner_Tickets!J:J,"",0)="VL","VL",IF(XLOOKUP($A43,Partner_Tickets!$A:$A,Partner_Tickets!J:J,"",0)="ATT","ATT",XLOOKUP($A43,Partner_Tickets!$A:$A,Partner_Tickets!J:J,"",0))))</f>
        <v>0.3333333333</v>
      </c>
      <c r="K43" s="42" t="str">
        <f t="array" ref="K43">IF(XLOOKUP($A43,Partner_Tickets!$A:$A,Partner_Tickets!K:K,"",0)="Free","Free",IF(XLOOKUP($A43,Partner_Tickets!$A:$A,Partner_Tickets!K:K,"",0)="VL","VL",IF(XLOOKUP($A43,Partner_Tickets!$A:$A,Partner_Tickets!K:K,"",0)="ATT","ATT",XLOOKUP($A43,Partner_Tickets!$A:$A,Partner_Tickets!K:K,"",0))))</f>
        <v/>
      </c>
      <c r="L43" s="42">
        <f t="array" ref="L43">IF(XLOOKUP($A43,Partner_Tickets!$A:$A,Partner_Tickets!L:L,"",0)="Free","Free",IF(XLOOKUP($A43,Partner_Tickets!$A:$A,Partner_Tickets!L:L,"",0)="VL","VL",IF(XLOOKUP($A43,Partner_Tickets!$A:$A,Partner_Tickets!L:L,"",0)="ATT","ATT",XLOOKUP($A43,Partner_Tickets!$A:$A,Partner_Tickets!L:L,"",0))))</f>
        <v>0.3333333333</v>
      </c>
      <c r="M43" s="42">
        <f t="array" ref="M43">IF(XLOOKUP($A43,Partner_Tickets!$A:$A,Partner_Tickets!M:M,"",0)="Free","Free",IF(XLOOKUP($A43,Partner_Tickets!$A:$A,Partner_Tickets!M:M,"",0)="VL","VL",IF(XLOOKUP($A43,Partner_Tickets!$A:$A,Partner_Tickets!M:M,"",0)="ATT","ATT",XLOOKUP($A43,Partner_Tickets!$A:$A,Partner_Tickets!M:M,"",0))))</f>
        <v>0.3333333333</v>
      </c>
      <c r="N43" s="42">
        <f t="array" ref="N43">IF(XLOOKUP($A43,Partner_Tickets!$A:$A,Partner_Tickets!N:N,"",0)="Free","Free",IF(XLOOKUP($A43,Partner_Tickets!$A:$A,Partner_Tickets!N:N,"",0)="VL","VL",IF(XLOOKUP($A43,Partner_Tickets!$A:$A,Partner_Tickets!N:N,"",0)="ATT","ATT",XLOOKUP($A43,Partner_Tickets!$A:$A,Partner_Tickets!N:N,"",0))))</f>
        <v>0.3333333333</v>
      </c>
      <c r="O43" s="42" t="str">
        <f t="array" ref="O43">IF(XLOOKUP($A43,Partner_Tickets!$A:$A,Partner_Tickets!O:O,"",0)="Free","Free",IF(XLOOKUP($A43,Partner_Tickets!$A:$A,Partner_Tickets!O:O,"",0)="VL","VL",IF(XLOOKUP($A43,Partner_Tickets!$A:$A,Partner_Tickets!O:O,"",0)="ATT","ATT",XLOOKUP($A43,Partner_Tickets!$A:$A,Partner_Tickets!O:O,"",0))))</f>
        <v>Free</v>
      </c>
      <c r="P43" s="42">
        <f t="array" ref="P43">IF(XLOOKUP($A43,Partner_Tickets!$A:$A,Partner_Tickets!P:P,"",0)="Free","Free",IF(XLOOKUP($A43,Partner_Tickets!$A:$A,Partner_Tickets!P:P,"",0)="VL","VL",IF(XLOOKUP($A43,Partner_Tickets!$A:$A,Partner_Tickets!P:P,"",0)="ATT","ATT",XLOOKUP($A43,Partner_Tickets!$A:$A,Partner_Tickets!P:P,"",0))))</f>
        <v>0.3333333333</v>
      </c>
      <c r="Q43" s="42">
        <f t="array" ref="Q43">IF(XLOOKUP($A43,Partner_Tickets!$A:$A,Partner_Tickets!Q:Q,"",0)="Free","Free",IF(XLOOKUP($A43,Partner_Tickets!$A:$A,Partner_Tickets!Q:Q,"",0)="VL","VL",IF(XLOOKUP($A43,Partner_Tickets!$A:$A,Partner_Tickets!Q:Q,"",0)="ATT","ATT",XLOOKUP($A43,Partner_Tickets!$A:$A,Partner_Tickets!Q:Q,"",0))))</f>
        <v>0.3333333333</v>
      </c>
      <c r="R43" s="42"/>
      <c r="S43" s="42">
        <f t="array" ref="S43">IF(XLOOKUP($A43,Partner_Tickets!$A:$A,Partner_Tickets!S:S,"",0)="Free","Free",IF(XLOOKUP($A43,Partner_Tickets!$A:$A,Partner_Tickets!S:S,"",0)="VL","VL",IF(XLOOKUP($A43,Partner_Tickets!$A:$A,Partner_Tickets!S:S,"",0)="ATT","ATT",XLOOKUP($A43,Partner_Tickets!$A:$A,Partner_Tickets!S:S,"",0))))</f>
        <v>0.3333333333</v>
      </c>
      <c r="T43" s="42">
        <f t="array" ref="T43">IF(XLOOKUP($A43,Partner_Tickets!$A:$A,Partner_Tickets!T:T,"",0)="Free","Free",IF(XLOOKUP($A43,Partner_Tickets!$A:$A,Partner_Tickets!T:T,"",0)="VL","VL",IF(XLOOKUP($A43,Partner_Tickets!$A:$A,Partner_Tickets!T:T,"",0)="ATT","ATT",XLOOKUP($A43,Partner_Tickets!$A:$A,Partner_Tickets!T:T,"",0))))</f>
        <v>0.3333333333</v>
      </c>
      <c r="U43" s="42">
        <f t="array" ref="U43">IF(XLOOKUP($A43,Partner_Tickets!$A:$A,Partner_Tickets!U:U,"",0)="Free","Free",IF(XLOOKUP($A43,Partner_Tickets!$A:$A,Partner_Tickets!U:U,"",0)="VL","VL",IF(XLOOKUP($A43,Partner_Tickets!$A:$A,Partner_Tickets!U:U,"",0)="ATT","ATT",XLOOKUP($A43,Partner_Tickets!$A:$A,Partner_Tickets!U:U,"",0))))</f>
        <v>0.3333333333</v>
      </c>
      <c r="V43" s="42" t="str">
        <f t="array" ref="V43">IF(XLOOKUP($A43,Partner_Tickets!$A:$A,Partner_Tickets!V:V,"",0)="Free","Free",IF(XLOOKUP($A43,Partner_Tickets!$A:$A,Partner_Tickets!V:V,"",0)="VL","VL",IF(XLOOKUP($A43,Partner_Tickets!$A:$A,Partner_Tickets!V:V,"",0)="ATT","ATT",XLOOKUP($A43,Partner_Tickets!$A:$A,Partner_Tickets!V:V,"",0))))</f>
        <v>Free</v>
      </c>
      <c r="W43" s="42">
        <f t="array" ref="W43">IF(XLOOKUP($A43,Partner_Tickets!$A:$A,Partner_Tickets!W:W,"",0)="Free","Free",IF(XLOOKUP($A43,Partner_Tickets!$A:$A,Partner_Tickets!W:W,"",0)="VL","VL",IF(XLOOKUP($A43,Partner_Tickets!$A:$A,Partner_Tickets!W:W,"",0)="ATT","ATT",XLOOKUP($A43,Partner_Tickets!$A:$A,Partner_Tickets!W:W,"",0))))</f>
        <v>0.3333333333</v>
      </c>
      <c r="X43" s="42">
        <f t="array" ref="X43">IF(XLOOKUP($A43,Partner_Tickets!$A:$A,Partner_Tickets!X:X,"",0)="Free","Free",IF(XLOOKUP($A43,Partner_Tickets!$A:$A,Partner_Tickets!X:X,"",0)="VL","VL",IF(XLOOKUP($A43,Partner_Tickets!$A:$A,Partner_Tickets!X:X,"",0)="ATT","ATT",XLOOKUP($A43,Partner_Tickets!$A:$A,Partner_Tickets!X:X,"",0))))</f>
        <v>0.3333333333</v>
      </c>
      <c r="Y43" s="42"/>
      <c r="Z43" s="42">
        <f t="array" ref="Z43">IF(XLOOKUP($A43,Partner_Tickets!$A:$A,Partner_Tickets!Z:Z,"",0)="Free","Free",IF(XLOOKUP($A43,Partner_Tickets!$A:$A,Partner_Tickets!Z:Z,"",0)="VL","VL",IF(XLOOKUP($A43,Partner_Tickets!$A:$A,Partner_Tickets!Z:Z,"",0)="ATT","ATT",XLOOKUP($A43,Partner_Tickets!$A:$A,Partner_Tickets!Z:Z,"",0))))</f>
        <v>0.3333333333</v>
      </c>
      <c r="AA43" s="42">
        <f t="array" ref="AA43">IF(XLOOKUP($A43,Partner_Tickets!$A:$A,Partner_Tickets!AA:AA,"",0)="Free","Free",IF(XLOOKUP($A43,Partner_Tickets!$A:$A,Partner_Tickets!AA:AA,"",0)="VL","VL",IF(XLOOKUP($A43,Partner_Tickets!$A:$A,Partner_Tickets!AA:AA,"",0)="ATT","ATT",XLOOKUP($A43,Partner_Tickets!$A:$A,Partner_Tickets!AA:AA,"",0))))</f>
        <v>0.3333333333</v>
      </c>
      <c r="AB43" s="42">
        <f t="array" ref="AB43">IF(XLOOKUP($A43,Partner_Tickets!$A:$A,Partner_Tickets!AB:AB,"",0)="Free","Free",IF(XLOOKUP($A43,Partner_Tickets!$A:$A,Partner_Tickets!AB:AB,"",0)="VL","VL",IF(XLOOKUP($A43,Partner_Tickets!$A:$A,Partner_Tickets!AB:AB,"",0)="ATT","ATT",XLOOKUP($A43,Partner_Tickets!$A:$A,Partner_Tickets!AB:AB,"",0))))</f>
        <v>0.3333333333</v>
      </c>
      <c r="AC43" s="42" t="str">
        <f t="array" ref="AC43">IF(XLOOKUP($A43,Partner_Tickets!$A:$A,Partner_Tickets!AC:AC,"",0)="Free","Free",IF(XLOOKUP($A43,Partner_Tickets!$A:$A,Partner_Tickets!AC:AC,"",0)="VL","VL",IF(XLOOKUP($A43,Partner_Tickets!$A:$A,Partner_Tickets!AC:AC,"",0)="ATT","ATT",XLOOKUP($A43,Partner_Tickets!$A:$A,Partner_Tickets!AC:AC,"",0))))</f>
        <v>Free</v>
      </c>
      <c r="AD43" s="42">
        <f t="array" ref="AD43">IF(XLOOKUP($A43,Partner_Tickets!$A:$A,Partner_Tickets!AD:AD,"",0)="Free","Free",IF(XLOOKUP($A43,Partner_Tickets!$A:$A,Partner_Tickets!AD:AD,"",0)="VL","VL",IF(XLOOKUP($A43,Partner_Tickets!$A:$A,Partner_Tickets!AD:AD,"",0)="ATT","ATT",XLOOKUP($A43,Partner_Tickets!$A:$A,Partner_Tickets!AD:AD,"",0))))</f>
        <v>0.3333333333</v>
      </c>
      <c r="AE43" s="42">
        <f t="array" ref="AE43">IF(XLOOKUP($A43,Partner_Tickets!$A:$A,Partner_Tickets!AE:AE,"",0)="Free","Free",IF(XLOOKUP($A43,Partner_Tickets!$A:$A,Partner_Tickets!AE:AE,"",0)="VL","VL",IF(XLOOKUP($A43,Partner_Tickets!$A:$A,Partner_Tickets!AE:AE,"",0)="ATT","ATT",XLOOKUP($A43,Partner_Tickets!$A:$A,Partner_Tickets!AE:AE,"",0))))</f>
        <v>0.3333333333</v>
      </c>
      <c r="AF43" s="42"/>
      <c r="AG43" s="42">
        <f t="array" ref="AG43">IF(XLOOKUP($A43,Partner_Tickets!$A:$A,Partner_Tickets!AG:AG,"",0)="Free","Free",IF(XLOOKUP($A43,Partner_Tickets!$A:$A,Partner_Tickets!AG:AG,"",0)="VL","VL",IF(XLOOKUP($A43,Partner_Tickets!$A:$A,Partner_Tickets!AG:AG,"",0)="ATT","ATT",XLOOKUP($A43,Partner_Tickets!$A:$A,Partner_Tickets!AG:AG,"",0))))</f>
        <v>0.3333333333</v>
      </c>
      <c r="AH43" s="42">
        <f t="array" ref="AH43">IF(XLOOKUP($A43,Partner_Tickets!$A:$A,Partner_Tickets!AH:AH,"",0)="Free","Free",IF(XLOOKUP($A43,Partner_Tickets!$A:$A,Partner_Tickets!AH:AH,"",0)="VL","VL",IF(XLOOKUP($A43,Partner_Tickets!$A:$A,Partner_Tickets!AH:AH,"",0)="ATT","ATT",XLOOKUP($A43,Partner_Tickets!$A:$A,Partner_Tickets!AH:AH,"",0))))</f>
        <v>0.3333333333</v>
      </c>
      <c r="AI43" s="42">
        <f t="array" ref="AI43">IF(XLOOKUP($A43,Partner_Tickets!$A:$A,Partner_Tickets!AI:AI,"",0)="Free","Free",IF(XLOOKUP($A43,Partner_Tickets!$A:$A,Partner_Tickets!AI:AI,"",0)="VL","VL",IF(XLOOKUP($A43,Partner_Tickets!$A:$A,Partner_Tickets!AI:AI,"",0)="ATT","ATT",XLOOKUP($A43,Partner_Tickets!$A:$A,Partner_Tickets!AI:AI,"",0))))</f>
        <v>0.3333333333</v>
      </c>
      <c r="AJ43" s="42" t="str">
        <f t="array" ref="AJ43">IF(XLOOKUP($A43,Partner_Tickets!$A:$A,Partner_Tickets!AJ:AJ,"",0)="Free","Free",IF(XLOOKUP($A43,Partner_Tickets!$A:$A,Partner_Tickets!AJ:AJ,"",0)="VL","VL",IF(XLOOKUP($A43,Partner_Tickets!$A:$A,Partner_Tickets!AJ:AJ,"",0)="ATT","ATT",XLOOKUP($A43,Partner_Tickets!$A:$A,Partner_Tickets!AJ:AJ,"",0))))</f>
        <v>Free</v>
      </c>
      <c r="AK43" s="42">
        <f t="array" ref="AK43">IF(XLOOKUP($A43,Partner_Tickets!$A:$A,Partner_Tickets!AK:AK,"",0)="Free","Free",IF(XLOOKUP($A43,Partner_Tickets!$A:$A,Partner_Tickets!AK:AK,"",0)="VL","VL",IF(XLOOKUP($A43,Partner_Tickets!$A:$A,Partner_Tickets!AK:AK,"",0)="ATT","ATT",XLOOKUP($A43,Partner_Tickets!$A:$A,Partner_Tickets!AK:AK,"",0))))</f>
        <v>0.3333333333</v>
      </c>
      <c r="AL43" s="42">
        <f t="array" ref="AL43">IF(XLOOKUP($A43,Partner_Tickets!$A:$A,Partner_Tickets!AL:AL,"",0)="Free","Free",IF(XLOOKUP($A43,Partner_Tickets!$A:$A,Partner_Tickets!AL:AL,"",0)="VL","VL",IF(XLOOKUP($A43,Partner_Tickets!$A:$A,Partner_Tickets!AL:AL,"",0)="ATT","ATT",XLOOKUP($A43,Partner_Tickets!$A:$A,Partner_Tickets!AL:AL,"",0))))</f>
        <v>0.3333333333</v>
      </c>
      <c r="AM43" s="42"/>
    </row>
    <row r="44">
      <c r="A44" s="40" t="s">
        <v>175</v>
      </c>
      <c r="B44" s="44" t="str">
        <f t="array" ref="B44">XLOOKUP(A44,Roster!F:F,Roster!A:A,"",0)</f>
        <v>Luis Vidal</v>
      </c>
      <c r="C44" s="44" t="str">
        <f t="array" ref="C44">XLOOKUP(A44,Roster!F:F,Roster!B:B,"",0)</f>
        <v>Daniel Urrego</v>
      </c>
      <c r="D44" s="40"/>
      <c r="E44" s="42">
        <f t="array" ref="E44">IF(XLOOKUP($A44,Partner_Tickets!$A:$A,Partner_Tickets!E:E,"",0)="Free","Free",IF(XLOOKUP($A44,Partner_Tickets!$A:$A,Partner_Tickets!E:E,"",0)="VL","VL",IF(XLOOKUP($A44,Partner_Tickets!$A:$A,Partner_Tickets!E:E,"",0)="ATT","ATT",XLOOKUP($A44,Partner_Tickets!$A:$A,Partner_Tickets!E:E,"",0))))</f>
        <v>0.3333333333</v>
      </c>
      <c r="F44" s="42">
        <f t="array" ref="F44">IF(XLOOKUP($A44,Partner_Tickets!$A:$A,Partner_Tickets!F:F,"",0)="Free","Free",IF(XLOOKUP($A44,Partner_Tickets!$A:$A,Partner_Tickets!F:F,"",0)="VL","VL",IF(XLOOKUP($A44,Partner_Tickets!$A:$A,Partner_Tickets!F:F,"",0)="ATT","ATT",XLOOKUP($A44,Partner_Tickets!$A:$A,Partner_Tickets!F:F,"",0))))</f>
        <v>0.3333333333</v>
      </c>
      <c r="G44" s="42" t="str">
        <f t="array" ref="G44">IF(XLOOKUP($A44,Partner_Tickets!$A:$A,Partner_Tickets!G:G,"",0)="Free","Free",IF(XLOOKUP($A44,Partner_Tickets!$A:$A,Partner_Tickets!G:G,"",0)="VL","VL",IF(XLOOKUP($A44,Partner_Tickets!$A:$A,Partner_Tickets!G:G,"",0)="ATT","ATT",XLOOKUP($A44,Partner_Tickets!$A:$A,Partner_Tickets!G:G,"",0))))</f>
        <v>Free</v>
      </c>
      <c r="H44" s="42">
        <f t="array" ref="H44">IF(XLOOKUP($A44,Partner_Tickets!$A:$A,Partner_Tickets!H:H,"",0)="Free","Free",IF(XLOOKUP($A44,Partner_Tickets!$A:$A,Partner_Tickets!H:H,"",0)="VL","VL",IF(XLOOKUP($A44,Partner_Tickets!$A:$A,Partner_Tickets!H:H,"",0)="ATT","ATT",XLOOKUP($A44,Partner_Tickets!$A:$A,Partner_Tickets!H:H,"",0))))</f>
        <v>0.3333333333</v>
      </c>
      <c r="I44" s="42">
        <f t="array" ref="I44">IF(XLOOKUP($A44,Partner_Tickets!$A:$A,Partner_Tickets!I:I,"",0)="Free","Free",IF(XLOOKUP($A44,Partner_Tickets!$A:$A,Partner_Tickets!I:I,"",0)="VL","VL",IF(XLOOKUP($A44,Partner_Tickets!$A:$A,Partner_Tickets!I:I,"",0)="ATT","ATT",XLOOKUP($A44,Partner_Tickets!$A:$A,Partner_Tickets!I:I,"",0))))</f>
        <v>0.3333333333</v>
      </c>
      <c r="J44" s="42">
        <f t="array" ref="J44">IF(XLOOKUP($A44,Partner_Tickets!$A:$A,Partner_Tickets!J:J,"",0)="Free","Free",IF(XLOOKUP($A44,Partner_Tickets!$A:$A,Partner_Tickets!J:J,"",0)="VL","VL",IF(XLOOKUP($A44,Partner_Tickets!$A:$A,Partner_Tickets!J:J,"",0)="ATT","ATT",XLOOKUP($A44,Partner_Tickets!$A:$A,Partner_Tickets!J:J,"",0))))</f>
        <v>0.3333333333</v>
      </c>
      <c r="K44" s="42" t="str">
        <f t="array" ref="K44">IF(XLOOKUP($A44,Partner_Tickets!$A:$A,Partner_Tickets!K:K,"",0)="Free","Free",IF(XLOOKUP($A44,Partner_Tickets!$A:$A,Partner_Tickets!K:K,"",0)="VL","VL",IF(XLOOKUP($A44,Partner_Tickets!$A:$A,Partner_Tickets!K:K,"",0)="ATT","ATT",XLOOKUP($A44,Partner_Tickets!$A:$A,Partner_Tickets!K:K,"",0))))</f>
        <v/>
      </c>
      <c r="L44" s="42">
        <f t="array" ref="L44">IF(XLOOKUP($A44,Partner_Tickets!$A:$A,Partner_Tickets!L:L,"",0)="Free","Free",IF(XLOOKUP($A44,Partner_Tickets!$A:$A,Partner_Tickets!L:L,"",0)="VL","VL",IF(XLOOKUP($A44,Partner_Tickets!$A:$A,Partner_Tickets!L:L,"",0)="ATT","ATT",XLOOKUP($A44,Partner_Tickets!$A:$A,Partner_Tickets!L:L,"",0))))</f>
        <v>0.3333333333</v>
      </c>
      <c r="M44" s="42">
        <f t="array" ref="M44">IF(XLOOKUP($A44,Partner_Tickets!$A:$A,Partner_Tickets!M:M,"",0)="Free","Free",IF(XLOOKUP($A44,Partner_Tickets!$A:$A,Partner_Tickets!M:M,"",0)="VL","VL",IF(XLOOKUP($A44,Partner_Tickets!$A:$A,Partner_Tickets!M:M,"",0)="ATT","ATT",XLOOKUP($A44,Partner_Tickets!$A:$A,Partner_Tickets!M:M,"",0))))</f>
        <v>0.3333333333</v>
      </c>
      <c r="N44" s="42" t="str">
        <f t="array" ref="N44">IF(XLOOKUP($A44,Partner_Tickets!$A:$A,Partner_Tickets!N:N,"",0)="Free","Free",IF(XLOOKUP($A44,Partner_Tickets!$A:$A,Partner_Tickets!N:N,"",0)="VL","VL",IF(XLOOKUP($A44,Partner_Tickets!$A:$A,Partner_Tickets!N:N,"",0)="ATT","ATT",XLOOKUP($A44,Partner_Tickets!$A:$A,Partner_Tickets!N:N,"",0))))</f>
        <v>Free</v>
      </c>
      <c r="O44" s="42">
        <f t="array" ref="O44">IF(XLOOKUP($A44,Partner_Tickets!$A:$A,Partner_Tickets!O:O,"",0)="Free","Free",IF(XLOOKUP($A44,Partner_Tickets!$A:$A,Partner_Tickets!O:O,"",0)="VL","VL",IF(XLOOKUP($A44,Partner_Tickets!$A:$A,Partner_Tickets!O:O,"",0)="ATT","ATT",XLOOKUP($A44,Partner_Tickets!$A:$A,Partner_Tickets!O:O,"",0))))</f>
        <v>0.3333333333</v>
      </c>
      <c r="P44" s="42">
        <f t="array" ref="P44">IF(XLOOKUP($A44,Partner_Tickets!$A:$A,Partner_Tickets!P:P,"",0)="Free","Free",IF(XLOOKUP($A44,Partner_Tickets!$A:$A,Partner_Tickets!P:P,"",0)="VL","VL",IF(XLOOKUP($A44,Partner_Tickets!$A:$A,Partner_Tickets!P:P,"",0)="ATT","ATT",XLOOKUP($A44,Partner_Tickets!$A:$A,Partner_Tickets!P:P,"",0))))</f>
        <v>0.3333333333</v>
      </c>
      <c r="Q44" s="42">
        <f t="array" ref="Q44">IF(XLOOKUP($A44,Partner_Tickets!$A:$A,Partner_Tickets!Q:Q,"",0)="Free","Free",IF(XLOOKUP($A44,Partner_Tickets!$A:$A,Partner_Tickets!Q:Q,"",0)="VL","VL",IF(XLOOKUP($A44,Partner_Tickets!$A:$A,Partner_Tickets!Q:Q,"",0)="ATT","ATT",XLOOKUP($A44,Partner_Tickets!$A:$A,Partner_Tickets!Q:Q,"",0))))</f>
        <v>0.3333333333</v>
      </c>
      <c r="R44" s="42"/>
      <c r="S44" s="42">
        <f t="array" ref="S44">IF(XLOOKUP($A44,Partner_Tickets!$A:$A,Partner_Tickets!S:S,"",0)="Free","Free",IF(XLOOKUP($A44,Partner_Tickets!$A:$A,Partner_Tickets!S:S,"",0)="VL","VL",IF(XLOOKUP($A44,Partner_Tickets!$A:$A,Partner_Tickets!S:S,"",0)="ATT","ATT",XLOOKUP($A44,Partner_Tickets!$A:$A,Partner_Tickets!S:S,"",0))))</f>
        <v>0.3333333333</v>
      </c>
      <c r="T44" s="42">
        <f t="array" ref="T44">IF(XLOOKUP($A44,Partner_Tickets!$A:$A,Partner_Tickets!T:T,"",0)="Free","Free",IF(XLOOKUP($A44,Partner_Tickets!$A:$A,Partner_Tickets!T:T,"",0)="VL","VL",IF(XLOOKUP($A44,Partner_Tickets!$A:$A,Partner_Tickets!T:T,"",0)="ATT","ATT",XLOOKUP($A44,Partner_Tickets!$A:$A,Partner_Tickets!T:T,"",0))))</f>
        <v>0.3333333333</v>
      </c>
      <c r="U44" s="42" t="str">
        <f t="array" ref="U44">IF(XLOOKUP($A44,Partner_Tickets!$A:$A,Partner_Tickets!U:U,"",0)="Free","Free",IF(XLOOKUP($A44,Partner_Tickets!$A:$A,Partner_Tickets!U:U,"",0)="VL","VL",IF(XLOOKUP($A44,Partner_Tickets!$A:$A,Partner_Tickets!U:U,"",0)="ATT","ATT",XLOOKUP($A44,Partner_Tickets!$A:$A,Partner_Tickets!U:U,"",0))))</f>
        <v>Free</v>
      </c>
      <c r="V44" s="42">
        <f t="array" ref="V44">IF(XLOOKUP($A44,Partner_Tickets!$A:$A,Partner_Tickets!V:V,"",0)="Free","Free",IF(XLOOKUP($A44,Partner_Tickets!$A:$A,Partner_Tickets!V:V,"",0)="VL","VL",IF(XLOOKUP($A44,Partner_Tickets!$A:$A,Partner_Tickets!V:V,"",0)="ATT","ATT",XLOOKUP($A44,Partner_Tickets!$A:$A,Partner_Tickets!V:V,"",0))))</f>
        <v>0.3333333333</v>
      </c>
      <c r="W44" s="42">
        <f t="array" ref="W44">IF(XLOOKUP($A44,Partner_Tickets!$A:$A,Partner_Tickets!W:W,"",0)="Free","Free",IF(XLOOKUP($A44,Partner_Tickets!$A:$A,Partner_Tickets!W:W,"",0)="VL","VL",IF(XLOOKUP($A44,Partner_Tickets!$A:$A,Partner_Tickets!W:W,"",0)="ATT","ATT",XLOOKUP($A44,Partner_Tickets!$A:$A,Partner_Tickets!W:W,"",0))))</f>
        <v>0.3333333333</v>
      </c>
      <c r="X44" s="42">
        <f t="array" ref="X44">IF(XLOOKUP($A44,Partner_Tickets!$A:$A,Partner_Tickets!X:X,"",0)="Free","Free",IF(XLOOKUP($A44,Partner_Tickets!$A:$A,Partner_Tickets!X:X,"",0)="VL","VL",IF(XLOOKUP($A44,Partner_Tickets!$A:$A,Partner_Tickets!X:X,"",0)="ATT","ATT",XLOOKUP($A44,Partner_Tickets!$A:$A,Partner_Tickets!X:X,"",0))))</f>
        <v>0.3333333333</v>
      </c>
      <c r="Y44" s="42"/>
      <c r="Z44" s="42">
        <f t="array" ref="Z44">IF(XLOOKUP($A44,Partner_Tickets!$A:$A,Partner_Tickets!Z:Z,"",0)="Free","Free",IF(XLOOKUP($A44,Partner_Tickets!$A:$A,Partner_Tickets!Z:Z,"",0)="VL","VL",IF(XLOOKUP($A44,Partner_Tickets!$A:$A,Partner_Tickets!Z:Z,"",0)="ATT","ATT",XLOOKUP($A44,Partner_Tickets!$A:$A,Partner_Tickets!Z:Z,"",0))))</f>
        <v>0.3333333333</v>
      </c>
      <c r="AA44" s="42">
        <f t="array" ref="AA44">IF(XLOOKUP($A44,Partner_Tickets!$A:$A,Partner_Tickets!AA:AA,"",0)="Free","Free",IF(XLOOKUP($A44,Partner_Tickets!$A:$A,Partner_Tickets!AA:AA,"",0)="VL","VL",IF(XLOOKUP($A44,Partner_Tickets!$A:$A,Partner_Tickets!AA:AA,"",0)="ATT","ATT",XLOOKUP($A44,Partner_Tickets!$A:$A,Partner_Tickets!AA:AA,"",0))))</f>
        <v>0.3333333333</v>
      </c>
      <c r="AB44" s="42" t="str">
        <f t="array" ref="AB44">IF(XLOOKUP($A44,Partner_Tickets!$A:$A,Partner_Tickets!AB:AB,"",0)="Free","Free",IF(XLOOKUP($A44,Partner_Tickets!$A:$A,Partner_Tickets!AB:AB,"",0)="VL","VL",IF(XLOOKUP($A44,Partner_Tickets!$A:$A,Partner_Tickets!AB:AB,"",0)="ATT","ATT",XLOOKUP($A44,Partner_Tickets!$A:$A,Partner_Tickets!AB:AB,"",0))))</f>
        <v>Free</v>
      </c>
      <c r="AC44" s="42">
        <f t="array" ref="AC44">IF(XLOOKUP($A44,Partner_Tickets!$A:$A,Partner_Tickets!AC:AC,"",0)="Free","Free",IF(XLOOKUP($A44,Partner_Tickets!$A:$A,Partner_Tickets!AC:AC,"",0)="VL","VL",IF(XLOOKUP($A44,Partner_Tickets!$A:$A,Partner_Tickets!AC:AC,"",0)="ATT","ATT",XLOOKUP($A44,Partner_Tickets!$A:$A,Partner_Tickets!AC:AC,"",0))))</f>
        <v>0.3333333333</v>
      </c>
      <c r="AD44" s="42">
        <f t="array" ref="AD44">IF(XLOOKUP($A44,Partner_Tickets!$A:$A,Partner_Tickets!AD:AD,"",0)="Free","Free",IF(XLOOKUP($A44,Partner_Tickets!$A:$A,Partner_Tickets!AD:AD,"",0)="VL","VL",IF(XLOOKUP($A44,Partner_Tickets!$A:$A,Partner_Tickets!AD:AD,"",0)="ATT","ATT",XLOOKUP($A44,Partner_Tickets!$A:$A,Partner_Tickets!AD:AD,"",0))))</f>
        <v>0.3333333333</v>
      </c>
      <c r="AE44" s="42">
        <f t="array" ref="AE44">IF(XLOOKUP($A44,Partner_Tickets!$A:$A,Partner_Tickets!AE:AE,"",0)="Free","Free",IF(XLOOKUP($A44,Partner_Tickets!$A:$A,Partner_Tickets!AE:AE,"",0)="VL","VL",IF(XLOOKUP($A44,Partner_Tickets!$A:$A,Partner_Tickets!AE:AE,"",0)="ATT","ATT",XLOOKUP($A44,Partner_Tickets!$A:$A,Partner_Tickets!AE:AE,"",0))))</f>
        <v>0.3333333333</v>
      </c>
      <c r="AF44" s="42"/>
      <c r="AG44" s="42">
        <f t="array" ref="AG44">IF(XLOOKUP($A44,Partner_Tickets!$A:$A,Partner_Tickets!AG:AG,"",0)="Free","Free",IF(XLOOKUP($A44,Partner_Tickets!$A:$A,Partner_Tickets!AG:AG,"",0)="VL","VL",IF(XLOOKUP($A44,Partner_Tickets!$A:$A,Partner_Tickets!AG:AG,"",0)="ATT","ATT",XLOOKUP($A44,Partner_Tickets!$A:$A,Partner_Tickets!AG:AG,"",0))))</f>
        <v>0.3333333333</v>
      </c>
      <c r="AH44" s="42">
        <f t="array" ref="AH44">IF(XLOOKUP($A44,Partner_Tickets!$A:$A,Partner_Tickets!AH:AH,"",0)="Free","Free",IF(XLOOKUP($A44,Partner_Tickets!$A:$A,Partner_Tickets!AH:AH,"",0)="VL","VL",IF(XLOOKUP($A44,Partner_Tickets!$A:$A,Partner_Tickets!AH:AH,"",0)="ATT","ATT",XLOOKUP($A44,Partner_Tickets!$A:$A,Partner_Tickets!AH:AH,"",0))))</f>
        <v>0.3333333333</v>
      </c>
      <c r="AI44" s="42" t="str">
        <f t="array" ref="AI44">IF(XLOOKUP($A44,Partner_Tickets!$A:$A,Partner_Tickets!AI:AI,"",0)="Free","Free",IF(XLOOKUP($A44,Partner_Tickets!$A:$A,Partner_Tickets!AI:AI,"",0)="VL","VL",IF(XLOOKUP($A44,Partner_Tickets!$A:$A,Partner_Tickets!AI:AI,"",0)="ATT","ATT",XLOOKUP($A44,Partner_Tickets!$A:$A,Partner_Tickets!AI:AI,"",0))))</f>
        <v>Free</v>
      </c>
      <c r="AJ44" s="42">
        <f t="array" ref="AJ44">IF(XLOOKUP($A44,Partner_Tickets!$A:$A,Partner_Tickets!AJ:AJ,"",0)="Free","Free",IF(XLOOKUP($A44,Partner_Tickets!$A:$A,Partner_Tickets!AJ:AJ,"",0)="VL","VL",IF(XLOOKUP($A44,Partner_Tickets!$A:$A,Partner_Tickets!AJ:AJ,"",0)="ATT","ATT",XLOOKUP($A44,Partner_Tickets!$A:$A,Partner_Tickets!AJ:AJ,"",0))))</f>
        <v>0.3333333333</v>
      </c>
      <c r="AK44" s="42">
        <f t="array" ref="AK44">IF(XLOOKUP($A44,Partner_Tickets!$A:$A,Partner_Tickets!AK:AK,"",0)="Free","Free",IF(XLOOKUP($A44,Partner_Tickets!$A:$A,Partner_Tickets!AK:AK,"",0)="VL","VL",IF(XLOOKUP($A44,Partner_Tickets!$A:$A,Partner_Tickets!AK:AK,"",0)="ATT","ATT",XLOOKUP($A44,Partner_Tickets!$A:$A,Partner_Tickets!AK:AK,"",0))))</f>
        <v>0.3333333333</v>
      </c>
      <c r="AL44" s="42">
        <f t="array" ref="AL44">IF(XLOOKUP($A44,Partner_Tickets!$A:$A,Partner_Tickets!AL:AL,"",0)="Free","Free",IF(XLOOKUP($A44,Partner_Tickets!$A:$A,Partner_Tickets!AL:AL,"",0)="VL","VL",IF(XLOOKUP($A44,Partner_Tickets!$A:$A,Partner_Tickets!AL:AL,"",0)="ATT","ATT",XLOOKUP($A44,Partner_Tickets!$A:$A,Partner_Tickets!AL:AL,"",0))))</f>
        <v>0.3333333333</v>
      </c>
      <c r="AM44" s="42"/>
    </row>
    <row r="45">
      <c r="A45" s="40" t="s">
        <v>176</v>
      </c>
      <c r="B45" s="44" t="str">
        <f t="array" ref="B45">XLOOKUP(A45,Roster!F:F,Roster!A:A,"",0)</f>
        <v>Luis Vidal</v>
      </c>
      <c r="C45" s="44" t="str">
        <f t="array" ref="C45">XLOOKUP(A45,Roster!F:F,Roster!B:B,"",0)</f>
        <v>Julian Pineda</v>
      </c>
      <c r="D45" s="45"/>
      <c r="E45" s="42">
        <f t="array" ref="E45">IF(XLOOKUP($A45,Partner_Tickets!$A:$A,Partner_Tickets!E:E,"",0)="Free","Free",IF(XLOOKUP($A45,Partner_Tickets!$A:$A,Partner_Tickets!E:E,"",0)="VL","VL",IF(XLOOKUP($A45,Partner_Tickets!$A:$A,Partner_Tickets!E:E,"",0)="ATT","ATT",XLOOKUP($A45,Partner_Tickets!$A:$A,Partner_Tickets!E:E,"",0))))</f>
        <v>0.3333333333</v>
      </c>
      <c r="F45" s="42">
        <f t="array" ref="F45">IF(XLOOKUP($A45,Partner_Tickets!$A:$A,Partner_Tickets!F:F,"",0)="Free","Free",IF(XLOOKUP($A45,Partner_Tickets!$A:$A,Partner_Tickets!F:F,"",0)="VL","VL",IF(XLOOKUP($A45,Partner_Tickets!$A:$A,Partner_Tickets!F:F,"",0)="ATT","ATT",XLOOKUP($A45,Partner_Tickets!$A:$A,Partner_Tickets!F:F,"",0))))</f>
        <v>0.3333333333</v>
      </c>
      <c r="G45" s="42">
        <f t="array" ref="G45">IF(XLOOKUP($A45,Partner_Tickets!$A:$A,Partner_Tickets!G:G,"",0)="Free","Free",IF(XLOOKUP($A45,Partner_Tickets!$A:$A,Partner_Tickets!G:G,"",0)="VL","VL",IF(XLOOKUP($A45,Partner_Tickets!$A:$A,Partner_Tickets!G:G,"",0)="ATT","ATT",XLOOKUP($A45,Partner_Tickets!$A:$A,Partner_Tickets!G:G,"",0))))</f>
        <v>0.3333333333</v>
      </c>
      <c r="H45" s="42">
        <f t="array" ref="H45">IF(XLOOKUP($A45,Partner_Tickets!$A:$A,Partner_Tickets!H:H,"",0)="Free","Free",IF(XLOOKUP($A45,Partner_Tickets!$A:$A,Partner_Tickets!H:H,"",0)="VL","VL",IF(XLOOKUP($A45,Partner_Tickets!$A:$A,Partner_Tickets!H:H,"",0)="ATT","ATT",XLOOKUP($A45,Partner_Tickets!$A:$A,Partner_Tickets!H:H,"",0))))</f>
        <v>0.3333333333</v>
      </c>
      <c r="I45" s="42">
        <f t="array" ref="I45">IF(XLOOKUP($A45,Partner_Tickets!$A:$A,Partner_Tickets!I:I,"",0)="Free","Free",IF(XLOOKUP($A45,Partner_Tickets!$A:$A,Partner_Tickets!I:I,"",0)="VL","VL",IF(XLOOKUP($A45,Partner_Tickets!$A:$A,Partner_Tickets!I:I,"",0)="ATT","ATT",XLOOKUP($A45,Partner_Tickets!$A:$A,Partner_Tickets!I:I,"",0))))</f>
        <v>0.3333333333</v>
      </c>
      <c r="J45" s="42" t="str">
        <f t="array" ref="J45">IF(XLOOKUP($A45,Partner_Tickets!$A:$A,Partner_Tickets!J:J,"",0)="Free","Free",IF(XLOOKUP($A45,Partner_Tickets!$A:$A,Partner_Tickets!J:J,"",0)="VL","VL",IF(XLOOKUP($A45,Partner_Tickets!$A:$A,Partner_Tickets!J:J,"",0)="ATT","ATT",XLOOKUP($A45,Partner_Tickets!$A:$A,Partner_Tickets!J:J,"",0))))</f>
        <v>Free</v>
      </c>
      <c r="K45" s="42" t="str">
        <f t="array" ref="K45">IF(XLOOKUP($A45,Partner_Tickets!$A:$A,Partner_Tickets!K:K,"",0)="Free","Free",IF(XLOOKUP($A45,Partner_Tickets!$A:$A,Partner_Tickets!K:K,"",0)="VL","VL",IF(XLOOKUP($A45,Partner_Tickets!$A:$A,Partner_Tickets!K:K,"",0)="ATT","ATT",XLOOKUP($A45,Partner_Tickets!$A:$A,Partner_Tickets!K:K,"",0))))</f>
        <v/>
      </c>
      <c r="L45" s="42">
        <f t="array" ref="L45">IF(XLOOKUP($A45,Partner_Tickets!$A:$A,Partner_Tickets!L:L,"",0)="Free","Free",IF(XLOOKUP($A45,Partner_Tickets!$A:$A,Partner_Tickets!L:L,"",0)="VL","VL",IF(XLOOKUP($A45,Partner_Tickets!$A:$A,Partner_Tickets!L:L,"",0)="ATT","ATT",XLOOKUP($A45,Partner_Tickets!$A:$A,Partner_Tickets!L:L,"",0))))</f>
        <v>0.3333333333</v>
      </c>
      <c r="M45" s="42">
        <f t="array" ref="M45">IF(XLOOKUP($A45,Partner_Tickets!$A:$A,Partner_Tickets!M:M,"",0)="Free","Free",IF(XLOOKUP($A45,Partner_Tickets!$A:$A,Partner_Tickets!M:M,"",0)="VL","VL",IF(XLOOKUP($A45,Partner_Tickets!$A:$A,Partner_Tickets!M:M,"",0)="ATT","ATT",XLOOKUP($A45,Partner_Tickets!$A:$A,Partner_Tickets!M:M,"",0))))</f>
        <v>0.3333333333</v>
      </c>
      <c r="N45" s="42" t="str">
        <f t="array" ref="N45">IF(XLOOKUP($A45,Partner_Tickets!$A:$A,Partner_Tickets!N:N,"",0)="Free","Free",IF(XLOOKUP($A45,Partner_Tickets!$A:$A,Partner_Tickets!N:N,"",0)="VL","VL",IF(XLOOKUP($A45,Partner_Tickets!$A:$A,Partner_Tickets!N:N,"",0)="ATT","ATT",XLOOKUP($A45,Partner_Tickets!$A:$A,Partner_Tickets!N:N,"",0))))</f>
        <v>Free</v>
      </c>
      <c r="O45" s="42">
        <f t="array" ref="O45">IF(XLOOKUP($A45,Partner_Tickets!$A:$A,Partner_Tickets!O:O,"",0)="Free","Free",IF(XLOOKUP($A45,Partner_Tickets!$A:$A,Partner_Tickets!O:O,"",0)="VL","VL",IF(XLOOKUP($A45,Partner_Tickets!$A:$A,Partner_Tickets!O:O,"",0)="ATT","ATT",XLOOKUP($A45,Partner_Tickets!$A:$A,Partner_Tickets!O:O,"",0))))</f>
        <v>0.3333333333</v>
      </c>
      <c r="P45" s="42">
        <f t="array" ref="P45">IF(XLOOKUP($A45,Partner_Tickets!$A:$A,Partner_Tickets!P:P,"",0)="Free","Free",IF(XLOOKUP($A45,Partner_Tickets!$A:$A,Partner_Tickets!P:P,"",0)="VL","VL",IF(XLOOKUP($A45,Partner_Tickets!$A:$A,Partner_Tickets!P:P,"",0)="ATT","ATT",XLOOKUP($A45,Partner_Tickets!$A:$A,Partner_Tickets!P:P,"",0))))</f>
        <v>0.3333333333</v>
      </c>
      <c r="Q45" s="42">
        <f t="array" ref="Q45">IF(XLOOKUP($A45,Partner_Tickets!$A:$A,Partner_Tickets!Q:Q,"",0)="Free","Free",IF(XLOOKUP($A45,Partner_Tickets!$A:$A,Partner_Tickets!Q:Q,"",0)="VL","VL",IF(XLOOKUP($A45,Partner_Tickets!$A:$A,Partner_Tickets!Q:Q,"",0)="ATT","ATT",XLOOKUP($A45,Partner_Tickets!$A:$A,Partner_Tickets!Q:Q,"",0))))</f>
        <v>0.3333333333</v>
      </c>
      <c r="R45" s="42"/>
      <c r="S45" s="42">
        <f t="array" ref="S45">IF(XLOOKUP($A45,Partner_Tickets!$A:$A,Partner_Tickets!S:S,"",0)="Free","Free",IF(XLOOKUP($A45,Partner_Tickets!$A:$A,Partner_Tickets!S:S,"",0)="VL","VL",IF(XLOOKUP($A45,Partner_Tickets!$A:$A,Partner_Tickets!S:S,"",0)="ATT","ATT",XLOOKUP($A45,Partner_Tickets!$A:$A,Partner_Tickets!S:S,"",0))))</f>
        <v>0.3333333333</v>
      </c>
      <c r="T45" s="42">
        <f t="array" ref="T45">IF(XLOOKUP($A45,Partner_Tickets!$A:$A,Partner_Tickets!T:T,"",0)="Free","Free",IF(XLOOKUP($A45,Partner_Tickets!$A:$A,Partner_Tickets!T:T,"",0)="VL","VL",IF(XLOOKUP($A45,Partner_Tickets!$A:$A,Partner_Tickets!T:T,"",0)="ATT","ATT",XLOOKUP($A45,Partner_Tickets!$A:$A,Partner_Tickets!T:T,"",0))))</f>
        <v>0.3333333333</v>
      </c>
      <c r="U45" s="42" t="str">
        <f t="array" ref="U45">IF(XLOOKUP($A45,Partner_Tickets!$A:$A,Partner_Tickets!U:U,"",0)="Free","Free",IF(XLOOKUP($A45,Partner_Tickets!$A:$A,Partner_Tickets!U:U,"",0)="VL","VL",IF(XLOOKUP($A45,Partner_Tickets!$A:$A,Partner_Tickets!U:U,"",0)="ATT","ATT",XLOOKUP($A45,Partner_Tickets!$A:$A,Partner_Tickets!U:U,"",0))))</f>
        <v>Free</v>
      </c>
      <c r="V45" s="42">
        <f t="array" ref="V45">IF(XLOOKUP($A45,Partner_Tickets!$A:$A,Partner_Tickets!V:V,"",0)="Free","Free",IF(XLOOKUP($A45,Partner_Tickets!$A:$A,Partner_Tickets!V:V,"",0)="VL","VL",IF(XLOOKUP($A45,Partner_Tickets!$A:$A,Partner_Tickets!V:V,"",0)="ATT","ATT",XLOOKUP($A45,Partner_Tickets!$A:$A,Partner_Tickets!V:V,"",0))))</f>
        <v>0.3333333333</v>
      </c>
      <c r="W45" s="42">
        <f t="array" ref="W45">IF(XLOOKUP($A45,Partner_Tickets!$A:$A,Partner_Tickets!W:W,"",0)="Free","Free",IF(XLOOKUP($A45,Partner_Tickets!$A:$A,Partner_Tickets!W:W,"",0)="VL","VL",IF(XLOOKUP($A45,Partner_Tickets!$A:$A,Partner_Tickets!W:W,"",0)="ATT","ATT",XLOOKUP($A45,Partner_Tickets!$A:$A,Partner_Tickets!W:W,"",0))))</f>
        <v>0.3333333333</v>
      </c>
      <c r="X45" s="42">
        <f t="array" ref="X45">IF(XLOOKUP($A45,Partner_Tickets!$A:$A,Partner_Tickets!X:X,"",0)="Free","Free",IF(XLOOKUP($A45,Partner_Tickets!$A:$A,Partner_Tickets!X:X,"",0)="VL","VL",IF(XLOOKUP($A45,Partner_Tickets!$A:$A,Partner_Tickets!X:X,"",0)="ATT","ATT",XLOOKUP($A45,Partner_Tickets!$A:$A,Partner_Tickets!X:X,"",0))))</f>
        <v>0.3333333333</v>
      </c>
      <c r="Y45" s="42"/>
      <c r="Z45" s="42">
        <f t="array" ref="Z45">IF(XLOOKUP($A45,Partner_Tickets!$A:$A,Partner_Tickets!Z:Z,"",0)="Free","Free",IF(XLOOKUP($A45,Partner_Tickets!$A:$A,Partner_Tickets!Z:Z,"",0)="VL","VL",IF(XLOOKUP($A45,Partner_Tickets!$A:$A,Partner_Tickets!Z:Z,"",0)="ATT","ATT",XLOOKUP($A45,Partner_Tickets!$A:$A,Partner_Tickets!Z:Z,"",0))))</f>
        <v>0.3333333333</v>
      </c>
      <c r="AA45" s="42">
        <f t="array" ref="AA45">IF(XLOOKUP($A45,Partner_Tickets!$A:$A,Partner_Tickets!AA:AA,"",0)="Free","Free",IF(XLOOKUP($A45,Partner_Tickets!$A:$A,Partner_Tickets!AA:AA,"",0)="VL","VL",IF(XLOOKUP($A45,Partner_Tickets!$A:$A,Partner_Tickets!AA:AA,"",0)="ATT","ATT",XLOOKUP($A45,Partner_Tickets!$A:$A,Partner_Tickets!AA:AA,"",0))))</f>
        <v>0.3333333333</v>
      </c>
      <c r="AB45" s="42" t="str">
        <f t="array" ref="AB45">IF(XLOOKUP($A45,Partner_Tickets!$A:$A,Partner_Tickets!AB:AB,"",0)="Free","Free",IF(XLOOKUP($A45,Partner_Tickets!$A:$A,Partner_Tickets!AB:AB,"",0)="VL","VL",IF(XLOOKUP($A45,Partner_Tickets!$A:$A,Partner_Tickets!AB:AB,"",0)="ATT","ATT",XLOOKUP($A45,Partner_Tickets!$A:$A,Partner_Tickets!AB:AB,"",0))))</f>
        <v>Free</v>
      </c>
      <c r="AC45" s="42">
        <f t="array" ref="AC45">IF(XLOOKUP($A45,Partner_Tickets!$A:$A,Partner_Tickets!AC:AC,"",0)="Free","Free",IF(XLOOKUP($A45,Partner_Tickets!$A:$A,Partner_Tickets!AC:AC,"",0)="VL","VL",IF(XLOOKUP($A45,Partner_Tickets!$A:$A,Partner_Tickets!AC:AC,"",0)="ATT","ATT",XLOOKUP($A45,Partner_Tickets!$A:$A,Partner_Tickets!AC:AC,"",0))))</f>
        <v>0.3333333333</v>
      </c>
      <c r="AD45" s="42">
        <f t="array" ref="AD45">IF(XLOOKUP($A45,Partner_Tickets!$A:$A,Partner_Tickets!AD:AD,"",0)="Free","Free",IF(XLOOKUP($A45,Partner_Tickets!$A:$A,Partner_Tickets!AD:AD,"",0)="VL","VL",IF(XLOOKUP($A45,Partner_Tickets!$A:$A,Partner_Tickets!AD:AD,"",0)="ATT","ATT",XLOOKUP($A45,Partner_Tickets!$A:$A,Partner_Tickets!AD:AD,"",0))))</f>
        <v>0.3333333333</v>
      </c>
      <c r="AE45" s="42">
        <f t="array" ref="AE45">IF(XLOOKUP($A45,Partner_Tickets!$A:$A,Partner_Tickets!AE:AE,"",0)="Free","Free",IF(XLOOKUP($A45,Partner_Tickets!$A:$A,Partner_Tickets!AE:AE,"",0)="VL","VL",IF(XLOOKUP($A45,Partner_Tickets!$A:$A,Partner_Tickets!AE:AE,"",0)="ATT","ATT",XLOOKUP($A45,Partner_Tickets!$A:$A,Partner_Tickets!AE:AE,"",0))))</f>
        <v>0.3333333333</v>
      </c>
      <c r="AF45" s="42"/>
      <c r="AG45" s="42">
        <f t="array" ref="AG45">IF(XLOOKUP($A45,Partner_Tickets!$A:$A,Partner_Tickets!AG:AG,"",0)="Free","Free",IF(XLOOKUP($A45,Partner_Tickets!$A:$A,Partner_Tickets!AG:AG,"",0)="VL","VL",IF(XLOOKUP($A45,Partner_Tickets!$A:$A,Partner_Tickets!AG:AG,"",0)="ATT","ATT",XLOOKUP($A45,Partner_Tickets!$A:$A,Partner_Tickets!AG:AG,"",0))))</f>
        <v>0.3333333333</v>
      </c>
      <c r="AH45" s="42">
        <f t="array" ref="AH45">IF(XLOOKUP($A45,Partner_Tickets!$A:$A,Partner_Tickets!AH:AH,"",0)="Free","Free",IF(XLOOKUP($A45,Partner_Tickets!$A:$A,Partner_Tickets!AH:AH,"",0)="VL","VL",IF(XLOOKUP($A45,Partner_Tickets!$A:$A,Partner_Tickets!AH:AH,"",0)="ATT","ATT",XLOOKUP($A45,Partner_Tickets!$A:$A,Partner_Tickets!AH:AH,"",0))))</f>
        <v>0.3333333333</v>
      </c>
      <c r="AI45" s="42" t="str">
        <f t="array" ref="AI45">IF(XLOOKUP($A45,Partner_Tickets!$A:$A,Partner_Tickets!AI:AI,"",0)="Free","Free",IF(XLOOKUP($A45,Partner_Tickets!$A:$A,Partner_Tickets!AI:AI,"",0)="VL","VL",IF(XLOOKUP($A45,Partner_Tickets!$A:$A,Partner_Tickets!AI:AI,"",0)="ATT","ATT",XLOOKUP($A45,Partner_Tickets!$A:$A,Partner_Tickets!AI:AI,"",0))))</f>
        <v>Free</v>
      </c>
      <c r="AJ45" s="42">
        <f t="array" ref="AJ45">IF(XLOOKUP($A45,Partner_Tickets!$A:$A,Partner_Tickets!AJ:AJ,"",0)="Free","Free",IF(XLOOKUP($A45,Partner_Tickets!$A:$A,Partner_Tickets!AJ:AJ,"",0)="VL","VL",IF(XLOOKUP($A45,Partner_Tickets!$A:$A,Partner_Tickets!AJ:AJ,"",0)="ATT","ATT",XLOOKUP($A45,Partner_Tickets!$A:$A,Partner_Tickets!AJ:AJ,"",0))))</f>
        <v>0.3333333333</v>
      </c>
      <c r="AK45" s="42">
        <f t="array" ref="AK45">IF(XLOOKUP($A45,Partner_Tickets!$A:$A,Partner_Tickets!AK:AK,"",0)="Free","Free",IF(XLOOKUP($A45,Partner_Tickets!$A:$A,Partner_Tickets!AK:AK,"",0)="VL","VL",IF(XLOOKUP($A45,Partner_Tickets!$A:$A,Partner_Tickets!AK:AK,"",0)="ATT","ATT",XLOOKUP($A45,Partner_Tickets!$A:$A,Partner_Tickets!AK:AK,"",0))))</f>
        <v>0.3333333333</v>
      </c>
      <c r="AL45" s="42">
        <f t="array" ref="AL45">IF(XLOOKUP($A45,Partner_Tickets!$A:$A,Partner_Tickets!AL:AL,"",0)="Free","Free",IF(XLOOKUP($A45,Partner_Tickets!$A:$A,Partner_Tickets!AL:AL,"",0)="VL","VL",IF(XLOOKUP($A45,Partner_Tickets!$A:$A,Partner_Tickets!AL:AL,"",0)="ATT","ATT",XLOOKUP($A45,Partner_Tickets!$A:$A,Partner_Tickets!AL:AL,"",0))))</f>
        <v>0.3333333333</v>
      </c>
      <c r="AM45" s="42"/>
    </row>
    <row r="46">
      <c r="A46" s="43" t="s">
        <v>177</v>
      </c>
      <c r="B46" s="44" t="str">
        <f t="array" ref="B46">XLOOKUP(A46,Roster!F:F,Roster!A:A,"",0)</f>
        <v>Luis Vidal</v>
      </c>
      <c r="C46" s="44" t="str">
        <f t="array" ref="C46">XLOOKUP(A46,Roster!F:F,Roster!B:B,"",0)</f>
        <v>Leandry La Rosa</v>
      </c>
      <c r="D46" s="48"/>
      <c r="E46" s="42">
        <f t="array" ref="E46">IF(XLOOKUP($A46,Partner_Tickets!$A:$A,Partner_Tickets!E:E,"",0)="Free","Free",IF(XLOOKUP($A46,Partner_Tickets!$A:$A,Partner_Tickets!E:E,"",0)="VL","VL",IF(XLOOKUP($A46,Partner_Tickets!$A:$A,Partner_Tickets!E:E,"",0)="ATT","ATT",XLOOKUP($A46,Partner_Tickets!$A:$A,Partner_Tickets!E:E,"",0))))</f>
        <v>0.3333333333</v>
      </c>
      <c r="F46" s="42">
        <f t="array" ref="F46">IF(XLOOKUP($A46,Partner_Tickets!$A:$A,Partner_Tickets!F:F,"",0)="Free","Free",IF(XLOOKUP($A46,Partner_Tickets!$A:$A,Partner_Tickets!F:F,"",0)="VL","VL",IF(XLOOKUP($A46,Partner_Tickets!$A:$A,Partner_Tickets!F:F,"",0)="ATT","ATT",XLOOKUP($A46,Partner_Tickets!$A:$A,Partner_Tickets!F:F,"",0))))</f>
        <v>0.3333333333</v>
      </c>
      <c r="G46" s="42" t="str">
        <f t="array" ref="G46">IF(XLOOKUP($A46,Partner_Tickets!$A:$A,Partner_Tickets!G:G,"",0)="Free","Free",IF(XLOOKUP($A46,Partner_Tickets!$A:$A,Partner_Tickets!G:G,"",0)="VL","VL",IF(XLOOKUP($A46,Partner_Tickets!$A:$A,Partner_Tickets!G:G,"",0)="ATT","ATT",XLOOKUP($A46,Partner_Tickets!$A:$A,Partner_Tickets!G:G,"",0))))</f>
        <v>Free</v>
      </c>
      <c r="H46" s="42">
        <f t="array" ref="H46">IF(XLOOKUP($A46,Partner_Tickets!$A:$A,Partner_Tickets!H:H,"",0)="Free","Free",IF(XLOOKUP($A46,Partner_Tickets!$A:$A,Partner_Tickets!H:H,"",0)="VL","VL",IF(XLOOKUP($A46,Partner_Tickets!$A:$A,Partner_Tickets!H:H,"",0)="ATT","ATT",XLOOKUP($A46,Partner_Tickets!$A:$A,Partner_Tickets!H:H,"",0))))</f>
        <v>0.3333333333</v>
      </c>
      <c r="I46" s="42">
        <f t="array" ref="I46">IF(XLOOKUP($A46,Partner_Tickets!$A:$A,Partner_Tickets!I:I,"",0)="Free","Free",IF(XLOOKUP($A46,Partner_Tickets!$A:$A,Partner_Tickets!I:I,"",0)="VL","VL",IF(XLOOKUP($A46,Partner_Tickets!$A:$A,Partner_Tickets!I:I,"",0)="ATT","ATT",XLOOKUP($A46,Partner_Tickets!$A:$A,Partner_Tickets!I:I,"",0))))</f>
        <v>0.3333333333</v>
      </c>
      <c r="J46" s="42">
        <f t="array" ref="J46">IF(XLOOKUP($A46,Partner_Tickets!$A:$A,Partner_Tickets!J:J,"",0)="Free","Free",IF(XLOOKUP($A46,Partner_Tickets!$A:$A,Partner_Tickets!J:J,"",0)="VL","VL",IF(XLOOKUP($A46,Partner_Tickets!$A:$A,Partner_Tickets!J:J,"",0)="ATT","ATT",XLOOKUP($A46,Partner_Tickets!$A:$A,Partner_Tickets!J:J,"",0))))</f>
        <v>0.3333333333</v>
      </c>
      <c r="K46" s="42" t="str">
        <f t="array" ref="K46">IF(XLOOKUP($A46,Partner_Tickets!$A:$A,Partner_Tickets!K:K,"",0)="Free","Free",IF(XLOOKUP($A46,Partner_Tickets!$A:$A,Partner_Tickets!K:K,"",0)="VL","VL",IF(XLOOKUP($A46,Partner_Tickets!$A:$A,Partner_Tickets!K:K,"",0)="ATT","ATT",XLOOKUP($A46,Partner_Tickets!$A:$A,Partner_Tickets!K:K,"",0))))</f>
        <v/>
      </c>
      <c r="L46" s="42">
        <f t="array" ref="L46">IF(XLOOKUP($A46,Partner_Tickets!$A:$A,Partner_Tickets!L:L,"",0)="Free","Free",IF(XLOOKUP($A46,Partner_Tickets!$A:$A,Partner_Tickets!L:L,"",0)="VL","VL",IF(XLOOKUP($A46,Partner_Tickets!$A:$A,Partner_Tickets!L:L,"",0)="ATT","ATT",XLOOKUP($A46,Partner_Tickets!$A:$A,Partner_Tickets!L:L,"",0))))</f>
        <v>0.3333333333</v>
      </c>
      <c r="M46" s="42">
        <f t="array" ref="M46">IF(XLOOKUP($A46,Partner_Tickets!$A:$A,Partner_Tickets!M:M,"",0)="Free","Free",IF(XLOOKUP($A46,Partner_Tickets!$A:$A,Partner_Tickets!M:M,"",0)="VL","VL",IF(XLOOKUP($A46,Partner_Tickets!$A:$A,Partner_Tickets!M:M,"",0)="ATT","ATT",XLOOKUP($A46,Partner_Tickets!$A:$A,Partner_Tickets!M:M,"",0))))</f>
        <v>0.3333333333</v>
      </c>
      <c r="N46" s="42">
        <f t="array" ref="N46">IF(XLOOKUP($A46,Partner_Tickets!$A:$A,Partner_Tickets!N:N,"",0)="Free","Free",IF(XLOOKUP($A46,Partner_Tickets!$A:$A,Partner_Tickets!N:N,"",0)="VL","VL",IF(XLOOKUP($A46,Partner_Tickets!$A:$A,Partner_Tickets!N:N,"",0)="ATT","ATT",XLOOKUP($A46,Partner_Tickets!$A:$A,Partner_Tickets!N:N,"",0))))</f>
        <v>0.3333333333</v>
      </c>
      <c r="O46" s="42">
        <f t="array" ref="O46">IF(XLOOKUP($A46,Partner_Tickets!$A:$A,Partner_Tickets!O:O,"",0)="Free","Free",IF(XLOOKUP($A46,Partner_Tickets!$A:$A,Partner_Tickets!O:O,"",0)="VL","VL",IF(XLOOKUP($A46,Partner_Tickets!$A:$A,Partner_Tickets!O:O,"",0)="ATT","ATT",XLOOKUP($A46,Partner_Tickets!$A:$A,Partner_Tickets!O:O,"",0))))</f>
        <v>0.3333333333</v>
      </c>
      <c r="P46" s="42">
        <f t="array" ref="P46">IF(XLOOKUP($A46,Partner_Tickets!$A:$A,Partner_Tickets!P:P,"",0)="Free","Free",IF(XLOOKUP($A46,Partner_Tickets!$A:$A,Partner_Tickets!P:P,"",0)="VL","VL",IF(XLOOKUP($A46,Partner_Tickets!$A:$A,Partner_Tickets!P:P,"",0)="ATT","ATT",XLOOKUP($A46,Partner_Tickets!$A:$A,Partner_Tickets!P:P,"",0))))</f>
        <v>0.3333333333</v>
      </c>
      <c r="Q46" s="42" t="str">
        <f t="array" ref="Q46">IF(XLOOKUP($A46,Partner_Tickets!$A:$A,Partner_Tickets!Q:Q,"",0)="Free","Free",IF(XLOOKUP($A46,Partner_Tickets!$A:$A,Partner_Tickets!Q:Q,"",0)="VL","VL",IF(XLOOKUP($A46,Partner_Tickets!$A:$A,Partner_Tickets!Q:Q,"",0)="ATT","ATT",XLOOKUP($A46,Partner_Tickets!$A:$A,Partner_Tickets!Q:Q,"",0))))</f>
        <v>Free</v>
      </c>
      <c r="R46" s="42"/>
      <c r="S46" s="42">
        <f t="array" ref="S46">IF(XLOOKUP($A46,Partner_Tickets!$A:$A,Partner_Tickets!S:S,"",0)="Free","Free",IF(XLOOKUP($A46,Partner_Tickets!$A:$A,Partner_Tickets!S:S,"",0)="VL","VL",IF(XLOOKUP($A46,Partner_Tickets!$A:$A,Partner_Tickets!S:S,"",0)="ATT","ATT",XLOOKUP($A46,Partner_Tickets!$A:$A,Partner_Tickets!S:S,"",0))))</f>
        <v>0.3333333333</v>
      </c>
      <c r="T46" s="42">
        <f t="array" ref="T46">IF(XLOOKUP($A46,Partner_Tickets!$A:$A,Partner_Tickets!T:T,"",0)="Free","Free",IF(XLOOKUP($A46,Partner_Tickets!$A:$A,Partner_Tickets!T:T,"",0)="VL","VL",IF(XLOOKUP($A46,Partner_Tickets!$A:$A,Partner_Tickets!T:T,"",0)="ATT","ATT",XLOOKUP($A46,Partner_Tickets!$A:$A,Partner_Tickets!T:T,"",0))))</f>
        <v>0.3333333333</v>
      </c>
      <c r="U46" s="42">
        <f t="array" ref="U46">IF(XLOOKUP($A46,Partner_Tickets!$A:$A,Partner_Tickets!U:U,"",0)="Free","Free",IF(XLOOKUP($A46,Partner_Tickets!$A:$A,Partner_Tickets!U:U,"",0)="VL","VL",IF(XLOOKUP($A46,Partner_Tickets!$A:$A,Partner_Tickets!U:U,"",0)="ATT","ATT",XLOOKUP($A46,Partner_Tickets!$A:$A,Partner_Tickets!U:U,"",0))))</f>
        <v>0.3333333333</v>
      </c>
      <c r="V46" s="42">
        <f t="array" ref="V46">IF(XLOOKUP($A46,Partner_Tickets!$A:$A,Partner_Tickets!V:V,"",0)="Free","Free",IF(XLOOKUP($A46,Partner_Tickets!$A:$A,Partner_Tickets!V:V,"",0)="VL","VL",IF(XLOOKUP($A46,Partner_Tickets!$A:$A,Partner_Tickets!V:V,"",0)="ATT","ATT",XLOOKUP($A46,Partner_Tickets!$A:$A,Partner_Tickets!V:V,"",0))))</f>
        <v>0.3333333333</v>
      </c>
      <c r="W46" s="42">
        <f t="array" ref="W46">IF(XLOOKUP($A46,Partner_Tickets!$A:$A,Partner_Tickets!W:W,"",0)="Free","Free",IF(XLOOKUP($A46,Partner_Tickets!$A:$A,Partner_Tickets!W:W,"",0)="VL","VL",IF(XLOOKUP($A46,Partner_Tickets!$A:$A,Partner_Tickets!W:W,"",0)="ATT","ATT",XLOOKUP($A46,Partner_Tickets!$A:$A,Partner_Tickets!W:W,"",0))))</f>
        <v>0.3333333333</v>
      </c>
      <c r="X46" s="42" t="str">
        <f t="array" ref="X46">IF(XLOOKUP($A46,Partner_Tickets!$A:$A,Partner_Tickets!X:X,"",0)="Free","Free",IF(XLOOKUP($A46,Partner_Tickets!$A:$A,Partner_Tickets!X:X,"",0)="VL","VL",IF(XLOOKUP($A46,Partner_Tickets!$A:$A,Partner_Tickets!X:X,"",0)="ATT","ATT",XLOOKUP($A46,Partner_Tickets!$A:$A,Partner_Tickets!X:X,"",0))))</f>
        <v>Free</v>
      </c>
      <c r="Y46" s="42"/>
      <c r="Z46" s="42">
        <f t="array" ref="Z46">IF(XLOOKUP($A46,Partner_Tickets!$A:$A,Partner_Tickets!Z:Z,"",0)="Free","Free",IF(XLOOKUP($A46,Partner_Tickets!$A:$A,Partner_Tickets!Z:Z,"",0)="VL","VL",IF(XLOOKUP($A46,Partner_Tickets!$A:$A,Partner_Tickets!Z:Z,"",0)="ATT","ATT",XLOOKUP($A46,Partner_Tickets!$A:$A,Partner_Tickets!Z:Z,"",0))))</f>
        <v>0.3333333333</v>
      </c>
      <c r="AA46" s="42">
        <f t="array" ref="AA46">IF(XLOOKUP($A46,Partner_Tickets!$A:$A,Partner_Tickets!AA:AA,"",0)="Free","Free",IF(XLOOKUP($A46,Partner_Tickets!$A:$A,Partner_Tickets!AA:AA,"",0)="VL","VL",IF(XLOOKUP($A46,Partner_Tickets!$A:$A,Partner_Tickets!AA:AA,"",0)="ATT","ATT",XLOOKUP($A46,Partner_Tickets!$A:$A,Partner_Tickets!AA:AA,"",0))))</f>
        <v>0.3333333333</v>
      </c>
      <c r="AB46" s="42">
        <f t="array" ref="AB46">IF(XLOOKUP($A46,Partner_Tickets!$A:$A,Partner_Tickets!AB:AB,"",0)="Free","Free",IF(XLOOKUP($A46,Partner_Tickets!$A:$A,Partner_Tickets!AB:AB,"",0)="VL","VL",IF(XLOOKUP($A46,Partner_Tickets!$A:$A,Partner_Tickets!AB:AB,"",0)="ATT","ATT",XLOOKUP($A46,Partner_Tickets!$A:$A,Partner_Tickets!AB:AB,"",0))))</f>
        <v>0.3333333333</v>
      </c>
      <c r="AC46" s="42">
        <f t="array" ref="AC46">IF(XLOOKUP($A46,Partner_Tickets!$A:$A,Partner_Tickets!AC:AC,"",0)="Free","Free",IF(XLOOKUP($A46,Partner_Tickets!$A:$A,Partner_Tickets!AC:AC,"",0)="VL","VL",IF(XLOOKUP($A46,Partner_Tickets!$A:$A,Partner_Tickets!AC:AC,"",0)="ATT","ATT",XLOOKUP($A46,Partner_Tickets!$A:$A,Partner_Tickets!AC:AC,"",0))))</f>
        <v>0.3333333333</v>
      </c>
      <c r="AD46" s="42">
        <f t="array" ref="AD46">IF(XLOOKUP($A46,Partner_Tickets!$A:$A,Partner_Tickets!AD:AD,"",0)="Free","Free",IF(XLOOKUP($A46,Partner_Tickets!$A:$A,Partner_Tickets!AD:AD,"",0)="VL","VL",IF(XLOOKUP($A46,Partner_Tickets!$A:$A,Partner_Tickets!AD:AD,"",0)="ATT","ATT",XLOOKUP($A46,Partner_Tickets!$A:$A,Partner_Tickets!AD:AD,"",0))))</f>
        <v>0.3333333333</v>
      </c>
      <c r="AE46" s="42" t="str">
        <f t="array" ref="AE46">IF(XLOOKUP($A46,Partner_Tickets!$A:$A,Partner_Tickets!AE:AE,"",0)="Free","Free",IF(XLOOKUP($A46,Partner_Tickets!$A:$A,Partner_Tickets!AE:AE,"",0)="VL","VL",IF(XLOOKUP($A46,Partner_Tickets!$A:$A,Partner_Tickets!AE:AE,"",0)="ATT","ATT",XLOOKUP($A46,Partner_Tickets!$A:$A,Partner_Tickets!AE:AE,"",0))))</f>
        <v>Free</v>
      </c>
      <c r="AF46" s="42"/>
      <c r="AG46" s="42">
        <f t="array" ref="AG46">IF(XLOOKUP($A46,Partner_Tickets!$A:$A,Partner_Tickets!AG:AG,"",0)="Free","Free",IF(XLOOKUP($A46,Partner_Tickets!$A:$A,Partner_Tickets!AG:AG,"",0)="VL","VL",IF(XLOOKUP($A46,Partner_Tickets!$A:$A,Partner_Tickets!AG:AG,"",0)="ATT","ATT",XLOOKUP($A46,Partner_Tickets!$A:$A,Partner_Tickets!AG:AG,"",0))))</f>
        <v>0.3333333333</v>
      </c>
      <c r="AH46" s="42">
        <f t="array" ref="AH46">IF(XLOOKUP($A46,Partner_Tickets!$A:$A,Partner_Tickets!AH:AH,"",0)="Free","Free",IF(XLOOKUP($A46,Partner_Tickets!$A:$A,Partner_Tickets!AH:AH,"",0)="VL","VL",IF(XLOOKUP($A46,Partner_Tickets!$A:$A,Partner_Tickets!AH:AH,"",0)="ATT","ATT",XLOOKUP($A46,Partner_Tickets!$A:$A,Partner_Tickets!AH:AH,"",0))))</f>
        <v>0.3333333333</v>
      </c>
      <c r="AI46" s="42">
        <f t="array" ref="AI46">IF(XLOOKUP($A46,Partner_Tickets!$A:$A,Partner_Tickets!AI:AI,"",0)="Free","Free",IF(XLOOKUP($A46,Partner_Tickets!$A:$A,Partner_Tickets!AI:AI,"",0)="VL","VL",IF(XLOOKUP($A46,Partner_Tickets!$A:$A,Partner_Tickets!AI:AI,"",0)="ATT","ATT",XLOOKUP($A46,Partner_Tickets!$A:$A,Partner_Tickets!AI:AI,"",0))))</f>
        <v>0.3333333333</v>
      </c>
      <c r="AJ46" s="42">
        <f t="array" ref="AJ46">IF(XLOOKUP($A46,Partner_Tickets!$A:$A,Partner_Tickets!AJ:AJ,"",0)="Free","Free",IF(XLOOKUP($A46,Partner_Tickets!$A:$A,Partner_Tickets!AJ:AJ,"",0)="VL","VL",IF(XLOOKUP($A46,Partner_Tickets!$A:$A,Partner_Tickets!AJ:AJ,"",0)="ATT","ATT",XLOOKUP($A46,Partner_Tickets!$A:$A,Partner_Tickets!AJ:AJ,"",0))))</f>
        <v>0.3333333333</v>
      </c>
      <c r="AK46" s="42">
        <f t="array" ref="AK46">IF(XLOOKUP($A46,Partner_Tickets!$A:$A,Partner_Tickets!AK:AK,"",0)="Free","Free",IF(XLOOKUP($A46,Partner_Tickets!$A:$A,Partner_Tickets!AK:AK,"",0)="VL","VL",IF(XLOOKUP($A46,Partner_Tickets!$A:$A,Partner_Tickets!AK:AK,"",0)="ATT","ATT",XLOOKUP($A46,Partner_Tickets!$A:$A,Partner_Tickets!AK:AK,"",0))))</f>
        <v>0.3333333333</v>
      </c>
      <c r="AL46" s="42" t="str">
        <f t="array" ref="AL46">IF(XLOOKUP($A46,Partner_Tickets!$A:$A,Partner_Tickets!AL:AL,"",0)="Free","Free",IF(XLOOKUP($A46,Partner_Tickets!$A:$A,Partner_Tickets!AL:AL,"",0)="VL","VL",IF(XLOOKUP($A46,Partner_Tickets!$A:$A,Partner_Tickets!AL:AL,"",0)="ATT","ATT",XLOOKUP($A46,Partner_Tickets!$A:$A,Partner_Tickets!AL:AL,"",0))))</f>
        <v>Free</v>
      </c>
      <c r="AM46" s="42"/>
    </row>
    <row r="47">
      <c r="A47" s="40" t="s">
        <v>178</v>
      </c>
      <c r="B47" s="44" t="str">
        <f t="array" ref="B47">XLOOKUP(A47,Roster!F:F,Roster!A:A,"",0)</f>
        <v>Luis Vidal</v>
      </c>
      <c r="C47" s="44" t="str">
        <f t="array" ref="C47">XLOOKUP(A47,Roster!F:F,Roster!B:B,"",0)</f>
        <v>Mateo Vanegas</v>
      </c>
      <c r="D47" s="48"/>
      <c r="E47" s="42">
        <f t="array" ref="E47">IF(XLOOKUP($A47,Partner_Tickets!$A:$A,Partner_Tickets!E:E,"",0)="Free","Free",IF(XLOOKUP($A47,Partner_Tickets!$A:$A,Partner_Tickets!E:E,"",0)="VL","VL",IF(XLOOKUP($A47,Partner_Tickets!$A:$A,Partner_Tickets!E:E,"",0)="ATT","ATT",XLOOKUP($A47,Partner_Tickets!$A:$A,Partner_Tickets!E:E,"",0))))</f>
        <v>0.3333333333</v>
      </c>
      <c r="F47" s="42">
        <f t="array" ref="F47">IF(XLOOKUP($A47,Partner_Tickets!$A:$A,Partner_Tickets!F:F,"",0)="Free","Free",IF(XLOOKUP($A47,Partner_Tickets!$A:$A,Partner_Tickets!F:F,"",0)="VL","VL",IF(XLOOKUP($A47,Partner_Tickets!$A:$A,Partner_Tickets!F:F,"",0)="ATT","ATT",XLOOKUP($A47,Partner_Tickets!$A:$A,Partner_Tickets!F:F,"",0))))</f>
        <v>0.3333333333</v>
      </c>
      <c r="G47" s="42">
        <f t="array" ref="G47">IF(XLOOKUP($A47,Partner_Tickets!$A:$A,Partner_Tickets!G:G,"",0)="Free","Free",IF(XLOOKUP($A47,Partner_Tickets!$A:$A,Partner_Tickets!G:G,"",0)="VL","VL",IF(XLOOKUP($A47,Partner_Tickets!$A:$A,Partner_Tickets!G:G,"",0)="ATT","ATT",XLOOKUP($A47,Partner_Tickets!$A:$A,Partner_Tickets!G:G,"",0))))</f>
        <v>0.3333333333</v>
      </c>
      <c r="H47" s="42" t="str">
        <f t="array" ref="H47">IF(XLOOKUP($A47,Partner_Tickets!$A:$A,Partner_Tickets!H:H,"",0)="Free","Free",IF(XLOOKUP($A47,Partner_Tickets!$A:$A,Partner_Tickets!H:H,"",0)="VL","VL",IF(XLOOKUP($A47,Partner_Tickets!$A:$A,Partner_Tickets!H:H,"",0)="ATT","ATT",XLOOKUP($A47,Partner_Tickets!$A:$A,Partner_Tickets!H:H,"",0))))</f>
        <v>Free</v>
      </c>
      <c r="I47" s="42">
        <f t="array" ref="I47">IF(XLOOKUP($A47,Partner_Tickets!$A:$A,Partner_Tickets!I:I,"",0)="Free","Free",IF(XLOOKUP($A47,Partner_Tickets!$A:$A,Partner_Tickets!I:I,"",0)="VL","VL",IF(XLOOKUP($A47,Partner_Tickets!$A:$A,Partner_Tickets!I:I,"",0)="ATT","ATT",XLOOKUP($A47,Partner_Tickets!$A:$A,Partner_Tickets!I:I,"",0))))</f>
        <v>0.3333333333</v>
      </c>
      <c r="J47" s="42">
        <f t="array" ref="J47">IF(XLOOKUP($A47,Partner_Tickets!$A:$A,Partner_Tickets!J:J,"",0)="Free","Free",IF(XLOOKUP($A47,Partner_Tickets!$A:$A,Partner_Tickets!J:J,"",0)="VL","VL",IF(XLOOKUP($A47,Partner_Tickets!$A:$A,Partner_Tickets!J:J,"",0)="ATT","ATT",XLOOKUP($A47,Partner_Tickets!$A:$A,Partner_Tickets!J:J,"",0))))</f>
        <v>0.3333333333</v>
      </c>
      <c r="K47" s="42" t="str">
        <f t="array" ref="K47">IF(XLOOKUP($A47,Partner_Tickets!$A:$A,Partner_Tickets!K:K,"",0)="Free","Free",IF(XLOOKUP($A47,Partner_Tickets!$A:$A,Partner_Tickets!K:K,"",0)="VL","VL",IF(XLOOKUP($A47,Partner_Tickets!$A:$A,Partner_Tickets!K:K,"",0)="ATT","ATT",XLOOKUP($A47,Partner_Tickets!$A:$A,Partner_Tickets!K:K,"",0))))</f>
        <v/>
      </c>
      <c r="L47" s="42">
        <f t="array" ref="L47">IF(XLOOKUP($A47,Partner_Tickets!$A:$A,Partner_Tickets!L:L,"",0)="Free","Free",IF(XLOOKUP($A47,Partner_Tickets!$A:$A,Partner_Tickets!L:L,"",0)="VL","VL",IF(XLOOKUP($A47,Partner_Tickets!$A:$A,Partner_Tickets!L:L,"",0)="ATT","ATT",XLOOKUP($A47,Partner_Tickets!$A:$A,Partner_Tickets!L:L,"",0))))</f>
        <v>0.3333333333</v>
      </c>
      <c r="M47" s="42">
        <f t="array" ref="M47">IF(XLOOKUP($A47,Partner_Tickets!$A:$A,Partner_Tickets!M:M,"",0)="Free","Free",IF(XLOOKUP($A47,Partner_Tickets!$A:$A,Partner_Tickets!M:M,"",0)="VL","VL",IF(XLOOKUP($A47,Partner_Tickets!$A:$A,Partner_Tickets!M:M,"",0)="ATT","ATT",XLOOKUP($A47,Partner_Tickets!$A:$A,Partner_Tickets!M:M,"",0))))</f>
        <v>0.3333333333</v>
      </c>
      <c r="N47" s="42" t="str">
        <f t="array" ref="N47">IF(XLOOKUP($A47,Partner_Tickets!$A:$A,Partner_Tickets!N:N,"",0)="Free","Free",IF(XLOOKUP($A47,Partner_Tickets!$A:$A,Partner_Tickets!N:N,"",0)="VL","VL",IF(XLOOKUP($A47,Partner_Tickets!$A:$A,Partner_Tickets!N:N,"",0)="ATT","ATT",XLOOKUP($A47,Partner_Tickets!$A:$A,Partner_Tickets!N:N,"",0))))</f>
        <v>Free</v>
      </c>
      <c r="O47" s="42">
        <f t="array" ref="O47">IF(XLOOKUP($A47,Partner_Tickets!$A:$A,Partner_Tickets!O:O,"",0)="Free","Free",IF(XLOOKUP($A47,Partner_Tickets!$A:$A,Partner_Tickets!O:O,"",0)="VL","VL",IF(XLOOKUP($A47,Partner_Tickets!$A:$A,Partner_Tickets!O:O,"",0)="ATT","ATT",XLOOKUP($A47,Partner_Tickets!$A:$A,Partner_Tickets!O:O,"",0))))</f>
        <v>0.3333333333</v>
      </c>
      <c r="P47" s="42">
        <f t="array" ref="P47">IF(XLOOKUP($A47,Partner_Tickets!$A:$A,Partner_Tickets!P:P,"",0)="Free","Free",IF(XLOOKUP($A47,Partner_Tickets!$A:$A,Partner_Tickets!P:P,"",0)="VL","VL",IF(XLOOKUP($A47,Partner_Tickets!$A:$A,Partner_Tickets!P:P,"",0)="ATT","ATT",XLOOKUP($A47,Partner_Tickets!$A:$A,Partner_Tickets!P:P,"",0))))</f>
        <v>0.3333333333</v>
      </c>
      <c r="Q47" s="42">
        <f t="array" ref="Q47">IF(XLOOKUP($A47,Partner_Tickets!$A:$A,Partner_Tickets!Q:Q,"",0)="Free","Free",IF(XLOOKUP($A47,Partner_Tickets!$A:$A,Partner_Tickets!Q:Q,"",0)="VL","VL",IF(XLOOKUP($A47,Partner_Tickets!$A:$A,Partner_Tickets!Q:Q,"",0)="ATT","ATT",XLOOKUP($A47,Partner_Tickets!$A:$A,Partner_Tickets!Q:Q,"",0))))</f>
        <v>0.3333333333</v>
      </c>
      <c r="R47" s="42"/>
      <c r="S47" s="42">
        <f t="array" ref="S47">IF(XLOOKUP($A47,Partner_Tickets!$A:$A,Partner_Tickets!S:S,"",0)="Free","Free",IF(XLOOKUP($A47,Partner_Tickets!$A:$A,Partner_Tickets!S:S,"",0)="VL","VL",IF(XLOOKUP($A47,Partner_Tickets!$A:$A,Partner_Tickets!S:S,"",0)="ATT","ATT",XLOOKUP($A47,Partner_Tickets!$A:$A,Partner_Tickets!S:S,"",0))))</f>
        <v>0.3333333333</v>
      </c>
      <c r="T47" s="42">
        <f t="array" ref="T47">IF(XLOOKUP($A47,Partner_Tickets!$A:$A,Partner_Tickets!T:T,"",0)="Free","Free",IF(XLOOKUP($A47,Partner_Tickets!$A:$A,Partner_Tickets!T:T,"",0)="VL","VL",IF(XLOOKUP($A47,Partner_Tickets!$A:$A,Partner_Tickets!T:T,"",0)="ATT","ATT",XLOOKUP($A47,Partner_Tickets!$A:$A,Partner_Tickets!T:T,"",0))))</f>
        <v>0.3333333333</v>
      </c>
      <c r="U47" s="42" t="str">
        <f t="array" ref="U47">IF(XLOOKUP($A47,Partner_Tickets!$A:$A,Partner_Tickets!U:U,"",0)="Free","Free",IF(XLOOKUP($A47,Partner_Tickets!$A:$A,Partner_Tickets!U:U,"",0)="VL","VL",IF(XLOOKUP($A47,Partner_Tickets!$A:$A,Partner_Tickets!U:U,"",0)="ATT","ATT",XLOOKUP($A47,Partner_Tickets!$A:$A,Partner_Tickets!U:U,"",0))))</f>
        <v>Free</v>
      </c>
      <c r="V47" s="42">
        <f t="array" ref="V47">IF(XLOOKUP($A47,Partner_Tickets!$A:$A,Partner_Tickets!V:V,"",0)="Free","Free",IF(XLOOKUP($A47,Partner_Tickets!$A:$A,Partner_Tickets!V:V,"",0)="VL","VL",IF(XLOOKUP($A47,Partner_Tickets!$A:$A,Partner_Tickets!V:V,"",0)="ATT","ATT",XLOOKUP($A47,Partner_Tickets!$A:$A,Partner_Tickets!V:V,"",0))))</f>
        <v>0.3333333333</v>
      </c>
      <c r="W47" s="42">
        <f t="array" ref="W47">IF(XLOOKUP($A47,Partner_Tickets!$A:$A,Partner_Tickets!W:W,"",0)="Free","Free",IF(XLOOKUP($A47,Partner_Tickets!$A:$A,Partner_Tickets!W:W,"",0)="VL","VL",IF(XLOOKUP($A47,Partner_Tickets!$A:$A,Partner_Tickets!W:W,"",0)="ATT","ATT",XLOOKUP($A47,Partner_Tickets!$A:$A,Partner_Tickets!W:W,"",0))))</f>
        <v>0.3333333333</v>
      </c>
      <c r="X47" s="42">
        <f t="array" ref="X47">IF(XLOOKUP($A47,Partner_Tickets!$A:$A,Partner_Tickets!X:X,"",0)="Free","Free",IF(XLOOKUP($A47,Partner_Tickets!$A:$A,Partner_Tickets!X:X,"",0)="VL","VL",IF(XLOOKUP($A47,Partner_Tickets!$A:$A,Partner_Tickets!X:X,"",0)="ATT","ATT",XLOOKUP($A47,Partner_Tickets!$A:$A,Partner_Tickets!X:X,"",0))))</f>
        <v>0.3333333333</v>
      </c>
      <c r="Y47" s="42"/>
      <c r="Z47" s="42">
        <f t="array" ref="Z47">IF(XLOOKUP($A47,Partner_Tickets!$A:$A,Partner_Tickets!Z:Z,"",0)="Free","Free",IF(XLOOKUP($A47,Partner_Tickets!$A:$A,Partner_Tickets!Z:Z,"",0)="VL","VL",IF(XLOOKUP($A47,Partner_Tickets!$A:$A,Partner_Tickets!Z:Z,"",0)="ATT","ATT",XLOOKUP($A47,Partner_Tickets!$A:$A,Partner_Tickets!Z:Z,"",0))))</f>
        <v>0.3333333333</v>
      </c>
      <c r="AA47" s="42">
        <f t="array" ref="AA47">IF(XLOOKUP($A47,Partner_Tickets!$A:$A,Partner_Tickets!AA:AA,"",0)="Free","Free",IF(XLOOKUP($A47,Partner_Tickets!$A:$A,Partner_Tickets!AA:AA,"",0)="VL","VL",IF(XLOOKUP($A47,Partner_Tickets!$A:$A,Partner_Tickets!AA:AA,"",0)="ATT","ATT",XLOOKUP($A47,Partner_Tickets!$A:$A,Partner_Tickets!AA:AA,"",0))))</f>
        <v>0.3333333333</v>
      </c>
      <c r="AB47" s="42" t="str">
        <f t="array" ref="AB47">IF(XLOOKUP($A47,Partner_Tickets!$A:$A,Partner_Tickets!AB:AB,"",0)="Free","Free",IF(XLOOKUP($A47,Partner_Tickets!$A:$A,Partner_Tickets!AB:AB,"",0)="VL","VL",IF(XLOOKUP($A47,Partner_Tickets!$A:$A,Partner_Tickets!AB:AB,"",0)="ATT","ATT",XLOOKUP($A47,Partner_Tickets!$A:$A,Partner_Tickets!AB:AB,"",0))))</f>
        <v>Free</v>
      </c>
      <c r="AC47" s="42">
        <f t="array" ref="AC47">IF(XLOOKUP($A47,Partner_Tickets!$A:$A,Partner_Tickets!AC:AC,"",0)="Free","Free",IF(XLOOKUP($A47,Partner_Tickets!$A:$A,Partner_Tickets!AC:AC,"",0)="VL","VL",IF(XLOOKUP($A47,Partner_Tickets!$A:$A,Partner_Tickets!AC:AC,"",0)="ATT","ATT",XLOOKUP($A47,Partner_Tickets!$A:$A,Partner_Tickets!AC:AC,"",0))))</f>
        <v>0.3333333333</v>
      </c>
      <c r="AD47" s="42">
        <f t="array" ref="AD47">IF(XLOOKUP($A47,Partner_Tickets!$A:$A,Partner_Tickets!AD:AD,"",0)="Free","Free",IF(XLOOKUP($A47,Partner_Tickets!$A:$A,Partner_Tickets!AD:AD,"",0)="VL","VL",IF(XLOOKUP($A47,Partner_Tickets!$A:$A,Partner_Tickets!AD:AD,"",0)="ATT","ATT",XLOOKUP($A47,Partner_Tickets!$A:$A,Partner_Tickets!AD:AD,"",0))))</f>
        <v>0.3333333333</v>
      </c>
      <c r="AE47" s="42">
        <f t="array" ref="AE47">IF(XLOOKUP($A47,Partner_Tickets!$A:$A,Partner_Tickets!AE:AE,"",0)="Free","Free",IF(XLOOKUP($A47,Partner_Tickets!$A:$A,Partner_Tickets!AE:AE,"",0)="VL","VL",IF(XLOOKUP($A47,Partner_Tickets!$A:$A,Partner_Tickets!AE:AE,"",0)="ATT","ATT",XLOOKUP($A47,Partner_Tickets!$A:$A,Partner_Tickets!AE:AE,"",0))))</f>
        <v>0.3333333333</v>
      </c>
      <c r="AF47" s="42"/>
      <c r="AG47" s="42">
        <f t="array" ref="AG47">IF(XLOOKUP($A47,Partner_Tickets!$A:$A,Partner_Tickets!AG:AG,"",0)="Free","Free",IF(XLOOKUP($A47,Partner_Tickets!$A:$A,Partner_Tickets!AG:AG,"",0)="VL","VL",IF(XLOOKUP($A47,Partner_Tickets!$A:$A,Partner_Tickets!AG:AG,"",0)="ATT","ATT",XLOOKUP($A47,Partner_Tickets!$A:$A,Partner_Tickets!AG:AG,"",0))))</f>
        <v>0.3333333333</v>
      </c>
      <c r="AH47" s="42">
        <f t="array" ref="AH47">IF(XLOOKUP($A47,Partner_Tickets!$A:$A,Partner_Tickets!AH:AH,"",0)="Free","Free",IF(XLOOKUP($A47,Partner_Tickets!$A:$A,Partner_Tickets!AH:AH,"",0)="VL","VL",IF(XLOOKUP($A47,Partner_Tickets!$A:$A,Partner_Tickets!AH:AH,"",0)="ATT","ATT",XLOOKUP($A47,Partner_Tickets!$A:$A,Partner_Tickets!AH:AH,"",0))))</f>
        <v>0.3333333333</v>
      </c>
      <c r="AI47" s="42" t="str">
        <f t="array" ref="AI47">IF(XLOOKUP($A47,Partner_Tickets!$A:$A,Partner_Tickets!AI:AI,"",0)="Free","Free",IF(XLOOKUP($A47,Partner_Tickets!$A:$A,Partner_Tickets!AI:AI,"",0)="VL","VL",IF(XLOOKUP($A47,Partner_Tickets!$A:$A,Partner_Tickets!AI:AI,"",0)="ATT","ATT",XLOOKUP($A47,Partner_Tickets!$A:$A,Partner_Tickets!AI:AI,"",0))))</f>
        <v>Free</v>
      </c>
      <c r="AJ47" s="42">
        <f t="array" ref="AJ47">IF(XLOOKUP($A47,Partner_Tickets!$A:$A,Partner_Tickets!AJ:AJ,"",0)="Free","Free",IF(XLOOKUP($A47,Partner_Tickets!$A:$A,Partner_Tickets!AJ:AJ,"",0)="VL","VL",IF(XLOOKUP($A47,Partner_Tickets!$A:$A,Partner_Tickets!AJ:AJ,"",0)="ATT","ATT",XLOOKUP($A47,Partner_Tickets!$A:$A,Partner_Tickets!AJ:AJ,"",0))))</f>
        <v>0.3333333333</v>
      </c>
      <c r="AK47" s="42">
        <f t="array" ref="AK47">IF(XLOOKUP($A47,Partner_Tickets!$A:$A,Partner_Tickets!AK:AK,"",0)="Free","Free",IF(XLOOKUP($A47,Partner_Tickets!$A:$A,Partner_Tickets!AK:AK,"",0)="VL","VL",IF(XLOOKUP($A47,Partner_Tickets!$A:$A,Partner_Tickets!AK:AK,"",0)="ATT","ATT",XLOOKUP($A47,Partner_Tickets!$A:$A,Partner_Tickets!AK:AK,"",0))))</f>
        <v>0.3333333333</v>
      </c>
      <c r="AL47" s="42">
        <f t="array" ref="AL47">IF(XLOOKUP($A47,Partner_Tickets!$A:$A,Partner_Tickets!AL:AL,"",0)="Free","Free",IF(XLOOKUP($A47,Partner_Tickets!$A:$A,Partner_Tickets!AL:AL,"",0)="VL","VL",IF(XLOOKUP($A47,Partner_Tickets!$A:$A,Partner_Tickets!AL:AL,"",0)="ATT","ATT",XLOOKUP($A47,Partner_Tickets!$A:$A,Partner_Tickets!AL:AL,"",0))))</f>
        <v>0.3333333333</v>
      </c>
      <c r="AM47" s="42"/>
    </row>
    <row r="48">
      <c r="A48" s="47" t="s">
        <v>179</v>
      </c>
      <c r="B48" s="44" t="str">
        <f t="array" ref="B48">XLOOKUP(A48,Roster!F:F,Roster!A:A,"",0)</f>
        <v>Luis Vidal</v>
      </c>
      <c r="C48" s="44" t="str">
        <f t="array" ref="C48">XLOOKUP(A48,Roster!F:F,Roster!B:B,"",0)</f>
        <v>Oscar Florez</v>
      </c>
      <c r="D48" s="49"/>
      <c r="E48" s="42">
        <f t="array" ref="E48">IF(XLOOKUP($A48,Partner_Tickets!$A:$A,Partner_Tickets!E:E,"",0)="Free","Free",IF(XLOOKUP($A48,Partner_Tickets!$A:$A,Partner_Tickets!E:E,"",0)="VL","VL",IF(XLOOKUP($A48,Partner_Tickets!$A:$A,Partner_Tickets!E:E,"",0)="ATT","ATT",XLOOKUP($A48,Partner_Tickets!$A:$A,Partner_Tickets!E:E,"",0))))</f>
        <v>0.3333333333</v>
      </c>
      <c r="F48" s="42">
        <f t="array" ref="F48">IF(XLOOKUP($A48,Partner_Tickets!$A:$A,Partner_Tickets!F:F,"",0)="Free","Free",IF(XLOOKUP($A48,Partner_Tickets!$A:$A,Partner_Tickets!F:F,"",0)="VL","VL",IF(XLOOKUP($A48,Partner_Tickets!$A:$A,Partner_Tickets!F:F,"",0)="ATT","ATT",XLOOKUP($A48,Partner_Tickets!$A:$A,Partner_Tickets!F:F,"",0))))</f>
        <v>0.3333333333</v>
      </c>
      <c r="G48" s="42">
        <f t="array" ref="G48">IF(XLOOKUP($A48,Partner_Tickets!$A:$A,Partner_Tickets!G:G,"",0)="Free","Free",IF(XLOOKUP($A48,Partner_Tickets!$A:$A,Partner_Tickets!G:G,"",0)="VL","VL",IF(XLOOKUP($A48,Partner_Tickets!$A:$A,Partner_Tickets!G:G,"",0)="ATT","ATT",XLOOKUP($A48,Partner_Tickets!$A:$A,Partner_Tickets!G:G,"",0))))</f>
        <v>0.3333333333</v>
      </c>
      <c r="H48" s="42">
        <f t="array" ref="H48">IF(XLOOKUP($A48,Partner_Tickets!$A:$A,Partner_Tickets!H:H,"",0)="Free","Free",IF(XLOOKUP($A48,Partner_Tickets!$A:$A,Partner_Tickets!H:H,"",0)="VL","VL",IF(XLOOKUP($A48,Partner_Tickets!$A:$A,Partner_Tickets!H:H,"",0)="ATT","ATT",XLOOKUP($A48,Partner_Tickets!$A:$A,Partner_Tickets!H:H,"",0))))</f>
        <v>0.3333333333</v>
      </c>
      <c r="I48" s="42">
        <f t="array" ref="I48">IF(XLOOKUP($A48,Partner_Tickets!$A:$A,Partner_Tickets!I:I,"",0)="Free","Free",IF(XLOOKUP($A48,Partner_Tickets!$A:$A,Partner_Tickets!I:I,"",0)="VL","VL",IF(XLOOKUP($A48,Partner_Tickets!$A:$A,Partner_Tickets!I:I,"",0)="ATT","ATT",XLOOKUP($A48,Partner_Tickets!$A:$A,Partner_Tickets!I:I,"",0))))</f>
        <v>0.3333333333</v>
      </c>
      <c r="J48" s="42" t="str">
        <f t="array" ref="J48">IF(XLOOKUP($A48,Partner_Tickets!$A:$A,Partner_Tickets!J:J,"",0)="Free","Free",IF(XLOOKUP($A48,Partner_Tickets!$A:$A,Partner_Tickets!J:J,"",0)="VL","VL",IF(XLOOKUP($A48,Partner_Tickets!$A:$A,Partner_Tickets!J:J,"",0)="ATT","ATT",XLOOKUP($A48,Partner_Tickets!$A:$A,Partner_Tickets!J:J,"",0))))</f>
        <v>Free</v>
      </c>
      <c r="K48" s="42" t="str">
        <f t="array" ref="K48">IF(XLOOKUP($A48,Partner_Tickets!$A:$A,Partner_Tickets!K:K,"",0)="Free","Free",IF(XLOOKUP($A48,Partner_Tickets!$A:$A,Partner_Tickets!K:K,"",0)="VL","VL",IF(XLOOKUP($A48,Partner_Tickets!$A:$A,Partner_Tickets!K:K,"",0)="ATT","ATT",XLOOKUP($A48,Partner_Tickets!$A:$A,Partner_Tickets!K:K,"",0))))</f>
        <v/>
      </c>
      <c r="L48" s="42">
        <f t="array" ref="L48">IF(XLOOKUP($A48,Partner_Tickets!$A:$A,Partner_Tickets!L:L,"",0)="Free","Free",IF(XLOOKUP($A48,Partner_Tickets!$A:$A,Partner_Tickets!L:L,"",0)="VL","VL",IF(XLOOKUP($A48,Partner_Tickets!$A:$A,Partner_Tickets!L:L,"",0)="ATT","ATT",XLOOKUP($A48,Partner_Tickets!$A:$A,Partner_Tickets!L:L,"",0))))</f>
        <v>0.3333333333</v>
      </c>
      <c r="M48" s="42">
        <f t="array" ref="M48">IF(XLOOKUP($A48,Partner_Tickets!$A:$A,Partner_Tickets!M:M,"",0)="Free","Free",IF(XLOOKUP($A48,Partner_Tickets!$A:$A,Partner_Tickets!M:M,"",0)="VL","VL",IF(XLOOKUP($A48,Partner_Tickets!$A:$A,Partner_Tickets!M:M,"",0)="ATT","ATT",XLOOKUP($A48,Partner_Tickets!$A:$A,Partner_Tickets!M:M,"",0))))</f>
        <v>0.3333333333</v>
      </c>
      <c r="N48" s="42">
        <f t="array" ref="N48">IF(XLOOKUP($A48,Partner_Tickets!$A:$A,Partner_Tickets!N:N,"",0)="Free","Free",IF(XLOOKUP($A48,Partner_Tickets!$A:$A,Partner_Tickets!N:N,"",0)="VL","VL",IF(XLOOKUP($A48,Partner_Tickets!$A:$A,Partner_Tickets!N:N,"",0)="ATT","ATT",XLOOKUP($A48,Partner_Tickets!$A:$A,Partner_Tickets!N:N,"",0))))</f>
        <v>0.3333333333</v>
      </c>
      <c r="O48" s="42">
        <f t="array" ref="O48">IF(XLOOKUP($A48,Partner_Tickets!$A:$A,Partner_Tickets!O:O,"",0)="Free","Free",IF(XLOOKUP($A48,Partner_Tickets!$A:$A,Partner_Tickets!O:O,"",0)="VL","VL",IF(XLOOKUP($A48,Partner_Tickets!$A:$A,Partner_Tickets!O:O,"",0)="ATT","ATT",XLOOKUP($A48,Partner_Tickets!$A:$A,Partner_Tickets!O:O,"",0))))</f>
        <v>0.3333333333</v>
      </c>
      <c r="P48" s="42">
        <f t="array" ref="P48">IF(XLOOKUP($A48,Partner_Tickets!$A:$A,Partner_Tickets!P:P,"",0)="Free","Free",IF(XLOOKUP($A48,Partner_Tickets!$A:$A,Partner_Tickets!P:P,"",0)="VL","VL",IF(XLOOKUP($A48,Partner_Tickets!$A:$A,Partner_Tickets!P:P,"",0)="ATT","ATT",XLOOKUP($A48,Partner_Tickets!$A:$A,Partner_Tickets!P:P,"",0))))</f>
        <v>0.3333333333</v>
      </c>
      <c r="Q48" s="42" t="str">
        <f t="array" ref="Q48">IF(XLOOKUP($A48,Partner_Tickets!$A:$A,Partner_Tickets!Q:Q,"",0)="Free","Free",IF(XLOOKUP($A48,Partner_Tickets!$A:$A,Partner_Tickets!Q:Q,"",0)="VL","VL",IF(XLOOKUP($A48,Partner_Tickets!$A:$A,Partner_Tickets!Q:Q,"",0)="ATT","ATT",XLOOKUP($A48,Partner_Tickets!$A:$A,Partner_Tickets!Q:Q,"",0))))</f>
        <v>Free</v>
      </c>
      <c r="R48" s="42"/>
      <c r="S48" s="42">
        <f t="array" ref="S48">IF(XLOOKUP($A48,Partner_Tickets!$A:$A,Partner_Tickets!S:S,"",0)="Free","Free",IF(XLOOKUP($A48,Partner_Tickets!$A:$A,Partner_Tickets!S:S,"",0)="VL","VL",IF(XLOOKUP($A48,Partner_Tickets!$A:$A,Partner_Tickets!S:S,"",0)="ATT","ATT",XLOOKUP($A48,Partner_Tickets!$A:$A,Partner_Tickets!S:S,"",0))))</f>
        <v>0.3333333333</v>
      </c>
      <c r="T48" s="42">
        <f t="array" ref="T48">IF(XLOOKUP($A48,Partner_Tickets!$A:$A,Partner_Tickets!T:T,"",0)="Free","Free",IF(XLOOKUP($A48,Partner_Tickets!$A:$A,Partner_Tickets!T:T,"",0)="VL","VL",IF(XLOOKUP($A48,Partner_Tickets!$A:$A,Partner_Tickets!T:T,"",0)="ATT","ATT",XLOOKUP($A48,Partner_Tickets!$A:$A,Partner_Tickets!T:T,"",0))))</f>
        <v>0.3333333333</v>
      </c>
      <c r="U48" s="42">
        <f t="array" ref="U48">IF(XLOOKUP($A48,Partner_Tickets!$A:$A,Partner_Tickets!U:U,"",0)="Free","Free",IF(XLOOKUP($A48,Partner_Tickets!$A:$A,Partner_Tickets!U:U,"",0)="VL","VL",IF(XLOOKUP($A48,Partner_Tickets!$A:$A,Partner_Tickets!U:U,"",0)="ATT","ATT",XLOOKUP($A48,Partner_Tickets!$A:$A,Partner_Tickets!U:U,"",0))))</f>
        <v>0.3333333333</v>
      </c>
      <c r="V48" s="42">
        <f t="array" ref="V48">IF(XLOOKUP($A48,Partner_Tickets!$A:$A,Partner_Tickets!V:V,"",0)="Free","Free",IF(XLOOKUP($A48,Partner_Tickets!$A:$A,Partner_Tickets!V:V,"",0)="VL","VL",IF(XLOOKUP($A48,Partner_Tickets!$A:$A,Partner_Tickets!V:V,"",0)="ATT","ATT",XLOOKUP($A48,Partner_Tickets!$A:$A,Partner_Tickets!V:V,"",0))))</f>
        <v>0.3333333333</v>
      </c>
      <c r="W48" s="42">
        <f t="array" ref="W48">IF(XLOOKUP($A48,Partner_Tickets!$A:$A,Partner_Tickets!W:W,"",0)="Free","Free",IF(XLOOKUP($A48,Partner_Tickets!$A:$A,Partner_Tickets!W:W,"",0)="VL","VL",IF(XLOOKUP($A48,Partner_Tickets!$A:$A,Partner_Tickets!W:W,"",0)="ATT","ATT",XLOOKUP($A48,Partner_Tickets!$A:$A,Partner_Tickets!W:W,"",0))))</f>
        <v>0.3333333333</v>
      </c>
      <c r="X48" s="42" t="str">
        <f t="array" ref="X48">IF(XLOOKUP($A48,Partner_Tickets!$A:$A,Partner_Tickets!X:X,"",0)="Free","Free",IF(XLOOKUP($A48,Partner_Tickets!$A:$A,Partner_Tickets!X:X,"",0)="VL","VL",IF(XLOOKUP($A48,Partner_Tickets!$A:$A,Partner_Tickets!X:X,"",0)="ATT","ATT",XLOOKUP($A48,Partner_Tickets!$A:$A,Partner_Tickets!X:X,"",0))))</f>
        <v>Free</v>
      </c>
      <c r="Y48" s="42"/>
      <c r="Z48" s="42">
        <f t="array" ref="Z48">IF(XLOOKUP($A48,Partner_Tickets!$A:$A,Partner_Tickets!Z:Z,"",0)="Free","Free",IF(XLOOKUP($A48,Partner_Tickets!$A:$A,Partner_Tickets!Z:Z,"",0)="VL","VL",IF(XLOOKUP($A48,Partner_Tickets!$A:$A,Partner_Tickets!Z:Z,"",0)="ATT","ATT",XLOOKUP($A48,Partner_Tickets!$A:$A,Partner_Tickets!Z:Z,"",0))))</f>
        <v>0.3333333333</v>
      </c>
      <c r="AA48" s="42">
        <f t="array" ref="AA48">IF(XLOOKUP($A48,Partner_Tickets!$A:$A,Partner_Tickets!AA:AA,"",0)="Free","Free",IF(XLOOKUP($A48,Partner_Tickets!$A:$A,Partner_Tickets!AA:AA,"",0)="VL","VL",IF(XLOOKUP($A48,Partner_Tickets!$A:$A,Partner_Tickets!AA:AA,"",0)="ATT","ATT",XLOOKUP($A48,Partner_Tickets!$A:$A,Partner_Tickets!AA:AA,"",0))))</f>
        <v>0.3333333333</v>
      </c>
      <c r="AB48" s="42">
        <f t="array" ref="AB48">IF(XLOOKUP($A48,Partner_Tickets!$A:$A,Partner_Tickets!AB:AB,"",0)="Free","Free",IF(XLOOKUP($A48,Partner_Tickets!$A:$A,Partner_Tickets!AB:AB,"",0)="VL","VL",IF(XLOOKUP($A48,Partner_Tickets!$A:$A,Partner_Tickets!AB:AB,"",0)="ATT","ATT",XLOOKUP($A48,Partner_Tickets!$A:$A,Partner_Tickets!AB:AB,"",0))))</f>
        <v>0.3333333333</v>
      </c>
      <c r="AC48" s="42">
        <f t="array" ref="AC48">IF(XLOOKUP($A48,Partner_Tickets!$A:$A,Partner_Tickets!AC:AC,"",0)="Free","Free",IF(XLOOKUP($A48,Partner_Tickets!$A:$A,Partner_Tickets!AC:AC,"",0)="VL","VL",IF(XLOOKUP($A48,Partner_Tickets!$A:$A,Partner_Tickets!AC:AC,"",0)="ATT","ATT",XLOOKUP($A48,Partner_Tickets!$A:$A,Partner_Tickets!AC:AC,"",0))))</f>
        <v>0.3333333333</v>
      </c>
      <c r="AD48" s="42">
        <f t="array" ref="AD48">IF(XLOOKUP($A48,Partner_Tickets!$A:$A,Partner_Tickets!AD:AD,"",0)="Free","Free",IF(XLOOKUP($A48,Partner_Tickets!$A:$A,Partner_Tickets!AD:AD,"",0)="VL","VL",IF(XLOOKUP($A48,Partner_Tickets!$A:$A,Partner_Tickets!AD:AD,"",0)="ATT","ATT",XLOOKUP($A48,Partner_Tickets!$A:$A,Partner_Tickets!AD:AD,"",0))))</f>
        <v>0.3333333333</v>
      </c>
      <c r="AE48" s="42" t="str">
        <f t="array" ref="AE48">IF(XLOOKUP($A48,Partner_Tickets!$A:$A,Partner_Tickets!AE:AE,"",0)="Free","Free",IF(XLOOKUP($A48,Partner_Tickets!$A:$A,Partner_Tickets!AE:AE,"",0)="VL","VL",IF(XLOOKUP($A48,Partner_Tickets!$A:$A,Partner_Tickets!AE:AE,"",0)="ATT","ATT",XLOOKUP($A48,Partner_Tickets!$A:$A,Partner_Tickets!AE:AE,"",0))))</f>
        <v>Free</v>
      </c>
      <c r="AF48" s="42"/>
      <c r="AG48" s="42">
        <f t="array" ref="AG48">IF(XLOOKUP($A48,Partner_Tickets!$A:$A,Partner_Tickets!AG:AG,"",0)="Free","Free",IF(XLOOKUP($A48,Partner_Tickets!$A:$A,Partner_Tickets!AG:AG,"",0)="VL","VL",IF(XLOOKUP($A48,Partner_Tickets!$A:$A,Partner_Tickets!AG:AG,"",0)="ATT","ATT",XLOOKUP($A48,Partner_Tickets!$A:$A,Partner_Tickets!AG:AG,"",0))))</f>
        <v>0.3333333333</v>
      </c>
      <c r="AH48" s="42">
        <f t="array" ref="AH48">IF(XLOOKUP($A48,Partner_Tickets!$A:$A,Partner_Tickets!AH:AH,"",0)="Free","Free",IF(XLOOKUP($A48,Partner_Tickets!$A:$A,Partner_Tickets!AH:AH,"",0)="VL","VL",IF(XLOOKUP($A48,Partner_Tickets!$A:$A,Partner_Tickets!AH:AH,"",0)="ATT","ATT",XLOOKUP($A48,Partner_Tickets!$A:$A,Partner_Tickets!AH:AH,"",0))))</f>
        <v>0.3333333333</v>
      </c>
      <c r="AI48" s="42">
        <f t="array" ref="AI48">IF(XLOOKUP($A48,Partner_Tickets!$A:$A,Partner_Tickets!AI:AI,"",0)="Free","Free",IF(XLOOKUP($A48,Partner_Tickets!$A:$A,Partner_Tickets!AI:AI,"",0)="VL","VL",IF(XLOOKUP($A48,Partner_Tickets!$A:$A,Partner_Tickets!AI:AI,"",0)="ATT","ATT",XLOOKUP($A48,Partner_Tickets!$A:$A,Partner_Tickets!AI:AI,"",0))))</f>
        <v>0.3333333333</v>
      </c>
      <c r="AJ48" s="42">
        <f t="array" ref="AJ48">IF(XLOOKUP($A48,Partner_Tickets!$A:$A,Partner_Tickets!AJ:AJ,"",0)="Free","Free",IF(XLOOKUP($A48,Partner_Tickets!$A:$A,Partner_Tickets!AJ:AJ,"",0)="VL","VL",IF(XLOOKUP($A48,Partner_Tickets!$A:$A,Partner_Tickets!AJ:AJ,"",0)="ATT","ATT",XLOOKUP($A48,Partner_Tickets!$A:$A,Partner_Tickets!AJ:AJ,"",0))))</f>
        <v>0.3333333333</v>
      </c>
      <c r="AK48" s="42">
        <f t="array" ref="AK48">IF(XLOOKUP($A48,Partner_Tickets!$A:$A,Partner_Tickets!AK:AK,"",0)="Free","Free",IF(XLOOKUP($A48,Partner_Tickets!$A:$A,Partner_Tickets!AK:AK,"",0)="VL","VL",IF(XLOOKUP($A48,Partner_Tickets!$A:$A,Partner_Tickets!AK:AK,"",0)="ATT","ATT",XLOOKUP($A48,Partner_Tickets!$A:$A,Partner_Tickets!AK:AK,"",0))))</f>
        <v>0.3333333333</v>
      </c>
      <c r="AL48" s="42" t="str">
        <f t="array" ref="AL48">IF(XLOOKUP($A48,Partner_Tickets!$A:$A,Partner_Tickets!AL:AL,"",0)="Free","Free",IF(XLOOKUP($A48,Partner_Tickets!$A:$A,Partner_Tickets!AL:AL,"",0)="VL","VL",IF(XLOOKUP($A48,Partner_Tickets!$A:$A,Partner_Tickets!AL:AL,"",0)="ATT","ATT",XLOOKUP($A48,Partner_Tickets!$A:$A,Partner_Tickets!AL:AL,"",0))))</f>
        <v>Free</v>
      </c>
      <c r="AM48" s="42"/>
    </row>
    <row r="49">
      <c r="A49" s="47" t="s">
        <v>180</v>
      </c>
      <c r="B49" s="35" t="str">
        <f t="array" ref="B49">XLOOKUP(A49,Roster!F:F,Roster!A:A,"")</f>
        <v>Luis Vidal</v>
      </c>
      <c r="C49" s="35" t="str">
        <f t="array" ref="C49">XLOOKUP(A49,Roster!F:F,Roster!B:B,"")</f>
        <v>Santiago Gaviria</v>
      </c>
      <c r="D49" s="48"/>
      <c r="E49" s="42">
        <f t="array" ref="E49">IF(XLOOKUP($A49,Partner_Tickets!$A:$A,Partner_Tickets!E:E,"",0)="Free","Free",IF(XLOOKUP($A49,Partner_Tickets!$A:$A,Partner_Tickets!E:E,"",0)="VL","VL",IF(XLOOKUP($A49,Partner_Tickets!$A:$A,Partner_Tickets!E:E,"",0)="ATT","ATT",XLOOKUP($A49,Partner_Tickets!$A:$A,Partner_Tickets!E:E,"",0))))</f>
        <v>0.3333333333</v>
      </c>
      <c r="F49" s="42" t="str">
        <f t="array" ref="F49">IF(XLOOKUP($A49,Partner_Tickets!$A:$A,Partner_Tickets!F:F,"",0)="Free","Free",IF(XLOOKUP($A49,Partner_Tickets!$A:$A,Partner_Tickets!F:F,"",0)="VL","VL",IF(XLOOKUP($A49,Partner_Tickets!$A:$A,Partner_Tickets!F:F,"",0)="ATT","ATT",XLOOKUP($A49,Partner_Tickets!$A:$A,Partner_Tickets!F:F,"",0))))</f>
        <v>Free</v>
      </c>
      <c r="G49" s="42">
        <f t="array" ref="G49">IF(XLOOKUP($A49,Partner_Tickets!$A:$A,Partner_Tickets!G:G,"",0)="Free","Free",IF(XLOOKUP($A49,Partner_Tickets!$A:$A,Partner_Tickets!G:G,"",0)="VL","VL",IF(XLOOKUP($A49,Partner_Tickets!$A:$A,Partner_Tickets!G:G,"",0)="ATT","ATT",XLOOKUP($A49,Partner_Tickets!$A:$A,Partner_Tickets!G:G,"",0))))</f>
        <v>0.3333333333</v>
      </c>
      <c r="H49" s="42">
        <f t="array" ref="H49">IF(XLOOKUP($A49,Partner_Tickets!$A:$A,Partner_Tickets!H:H,"",0)="Free","Free",IF(XLOOKUP($A49,Partner_Tickets!$A:$A,Partner_Tickets!H:H,"",0)="VL","VL",IF(XLOOKUP($A49,Partner_Tickets!$A:$A,Partner_Tickets!H:H,"",0)="ATT","ATT",XLOOKUP($A49,Partner_Tickets!$A:$A,Partner_Tickets!H:H,"",0))))</f>
        <v>0.3333333333</v>
      </c>
      <c r="I49" s="42">
        <f t="array" ref="I49">IF(XLOOKUP($A49,Partner_Tickets!$A:$A,Partner_Tickets!I:I,"",0)="Free","Free",IF(XLOOKUP($A49,Partner_Tickets!$A:$A,Partner_Tickets!I:I,"",0)="VL","VL",IF(XLOOKUP($A49,Partner_Tickets!$A:$A,Partner_Tickets!I:I,"",0)="ATT","ATT",XLOOKUP($A49,Partner_Tickets!$A:$A,Partner_Tickets!I:I,"",0))))</f>
        <v>0.3333333333</v>
      </c>
      <c r="J49" s="42">
        <f t="array" ref="J49">IF(XLOOKUP($A49,Partner_Tickets!$A:$A,Partner_Tickets!J:J,"",0)="Free","Free",IF(XLOOKUP($A49,Partner_Tickets!$A:$A,Partner_Tickets!J:J,"",0)="VL","VL",IF(XLOOKUP($A49,Partner_Tickets!$A:$A,Partner_Tickets!J:J,"",0)="ATT","ATT",XLOOKUP($A49,Partner_Tickets!$A:$A,Partner_Tickets!J:J,"",0))))</f>
        <v>0.3333333333</v>
      </c>
      <c r="K49" s="42" t="str">
        <f t="array" ref="K49">IF(XLOOKUP($A49,Partner_Tickets!$A:$A,Partner_Tickets!K:K,"",0)="Free","Free",IF(XLOOKUP($A49,Partner_Tickets!$A:$A,Partner_Tickets!K:K,"",0)="VL","VL",IF(XLOOKUP($A49,Partner_Tickets!$A:$A,Partner_Tickets!K:K,"",0)="ATT","ATT",XLOOKUP($A49,Partner_Tickets!$A:$A,Partner_Tickets!K:K,"",0))))</f>
        <v/>
      </c>
      <c r="L49" s="42">
        <f t="array" ref="L49">IF(XLOOKUP($A49,Partner_Tickets!$A:$A,Partner_Tickets!L:L,"",0)="Free","Free",IF(XLOOKUP($A49,Partner_Tickets!$A:$A,Partner_Tickets!L:L,"",0)="VL","VL",IF(XLOOKUP($A49,Partner_Tickets!$A:$A,Partner_Tickets!L:L,"",0)="ATT","ATT",XLOOKUP($A49,Partner_Tickets!$A:$A,Partner_Tickets!L:L,"",0))))</f>
        <v>0.3333333333</v>
      </c>
      <c r="M49" s="42" t="str">
        <f t="array" ref="M49">IF(XLOOKUP($A49,Partner_Tickets!$A:$A,Partner_Tickets!M:M,"",0)="Free","Free",IF(XLOOKUP($A49,Partner_Tickets!$A:$A,Partner_Tickets!M:M,"",0)="VL","VL",IF(XLOOKUP($A49,Partner_Tickets!$A:$A,Partner_Tickets!M:M,"",0)="ATT","ATT",XLOOKUP($A49,Partner_Tickets!$A:$A,Partner_Tickets!M:M,"",0))))</f>
        <v>Free</v>
      </c>
      <c r="N49" s="42">
        <f t="array" ref="N49">IF(XLOOKUP($A49,Partner_Tickets!$A:$A,Partner_Tickets!N:N,"",0)="Free","Free",IF(XLOOKUP($A49,Partner_Tickets!$A:$A,Partner_Tickets!N:N,"",0)="VL","VL",IF(XLOOKUP($A49,Partner_Tickets!$A:$A,Partner_Tickets!N:N,"",0)="ATT","ATT",XLOOKUP($A49,Partner_Tickets!$A:$A,Partner_Tickets!N:N,"",0))))</f>
        <v>0.3333333333</v>
      </c>
      <c r="O49" s="42">
        <f t="array" ref="O49">IF(XLOOKUP($A49,Partner_Tickets!$A:$A,Partner_Tickets!O:O,"",0)="Free","Free",IF(XLOOKUP($A49,Partner_Tickets!$A:$A,Partner_Tickets!O:O,"",0)="VL","VL",IF(XLOOKUP($A49,Partner_Tickets!$A:$A,Partner_Tickets!O:O,"",0)="ATT","ATT",XLOOKUP($A49,Partner_Tickets!$A:$A,Partner_Tickets!O:O,"",0))))</f>
        <v>0.3333333333</v>
      </c>
      <c r="P49" s="42">
        <f t="array" ref="P49">IF(XLOOKUP($A49,Partner_Tickets!$A:$A,Partner_Tickets!P:P,"",0)="Free","Free",IF(XLOOKUP($A49,Partner_Tickets!$A:$A,Partner_Tickets!P:P,"",0)="VL","VL",IF(XLOOKUP($A49,Partner_Tickets!$A:$A,Partner_Tickets!P:P,"",0)="ATT","ATT",XLOOKUP($A49,Partner_Tickets!$A:$A,Partner_Tickets!P:P,"",0))))</f>
        <v>0.3333333333</v>
      </c>
      <c r="Q49" s="42">
        <f t="array" ref="Q49">IF(XLOOKUP($A49,Partner_Tickets!$A:$A,Partner_Tickets!Q:Q,"",0)="Free","Free",IF(XLOOKUP($A49,Partner_Tickets!$A:$A,Partner_Tickets!Q:Q,"",0)="VL","VL",IF(XLOOKUP($A49,Partner_Tickets!$A:$A,Partner_Tickets!Q:Q,"",0)="ATT","ATT",XLOOKUP($A49,Partner_Tickets!$A:$A,Partner_Tickets!Q:Q,"",0))))</f>
        <v>0.3333333333</v>
      </c>
      <c r="R49" s="42"/>
      <c r="S49" s="42">
        <f t="array" ref="S49">IF(XLOOKUP($A49,Partner_Tickets!$A:$A,Partner_Tickets!S:S,"",0)="Free","Free",IF(XLOOKUP($A49,Partner_Tickets!$A:$A,Partner_Tickets!S:S,"",0)="VL","VL",IF(XLOOKUP($A49,Partner_Tickets!$A:$A,Partner_Tickets!S:S,"",0)="ATT","ATT",XLOOKUP($A49,Partner_Tickets!$A:$A,Partner_Tickets!S:S,"",0))))</f>
        <v>0.3333333333</v>
      </c>
      <c r="T49" s="42" t="str">
        <f t="array" ref="T49">IF(XLOOKUP($A49,Partner_Tickets!$A:$A,Partner_Tickets!T:T,"",0)="Free","Free",IF(XLOOKUP($A49,Partner_Tickets!$A:$A,Partner_Tickets!T:T,"",0)="VL","VL",IF(XLOOKUP($A49,Partner_Tickets!$A:$A,Partner_Tickets!T:T,"",0)="ATT","ATT",XLOOKUP($A49,Partner_Tickets!$A:$A,Partner_Tickets!T:T,"",0))))</f>
        <v>Free</v>
      </c>
      <c r="U49" s="42">
        <f t="array" ref="U49">IF(XLOOKUP($A49,Partner_Tickets!$A:$A,Partner_Tickets!U:U,"",0)="Free","Free",IF(XLOOKUP($A49,Partner_Tickets!$A:$A,Partner_Tickets!U:U,"",0)="VL","VL",IF(XLOOKUP($A49,Partner_Tickets!$A:$A,Partner_Tickets!U:U,"",0)="ATT","ATT",XLOOKUP($A49,Partner_Tickets!$A:$A,Partner_Tickets!U:U,"",0))))</f>
        <v>0.3333333333</v>
      </c>
      <c r="V49" s="42">
        <f t="array" ref="V49">IF(XLOOKUP($A49,Partner_Tickets!$A:$A,Partner_Tickets!V:V,"",0)="Free","Free",IF(XLOOKUP($A49,Partner_Tickets!$A:$A,Partner_Tickets!V:V,"",0)="VL","VL",IF(XLOOKUP($A49,Partner_Tickets!$A:$A,Partner_Tickets!V:V,"",0)="ATT","ATT",XLOOKUP($A49,Partner_Tickets!$A:$A,Partner_Tickets!V:V,"",0))))</f>
        <v>0.3333333333</v>
      </c>
      <c r="W49" s="42">
        <f t="array" ref="W49">IF(XLOOKUP($A49,Partner_Tickets!$A:$A,Partner_Tickets!W:W,"",0)="Free","Free",IF(XLOOKUP($A49,Partner_Tickets!$A:$A,Partner_Tickets!W:W,"",0)="VL","VL",IF(XLOOKUP($A49,Partner_Tickets!$A:$A,Partner_Tickets!W:W,"",0)="ATT","ATT",XLOOKUP($A49,Partner_Tickets!$A:$A,Partner_Tickets!W:W,"",0))))</f>
        <v>0.3333333333</v>
      </c>
      <c r="X49" s="42">
        <f t="array" ref="X49">IF(XLOOKUP($A49,Partner_Tickets!$A:$A,Partner_Tickets!X:X,"",0)="Free","Free",IF(XLOOKUP($A49,Partner_Tickets!$A:$A,Partner_Tickets!X:X,"",0)="VL","VL",IF(XLOOKUP($A49,Partner_Tickets!$A:$A,Partner_Tickets!X:X,"",0)="ATT","ATT",XLOOKUP($A49,Partner_Tickets!$A:$A,Partner_Tickets!X:X,"",0))))</f>
        <v>0.3333333333</v>
      </c>
      <c r="Y49" s="42"/>
      <c r="Z49" s="42">
        <f t="array" ref="Z49">IF(XLOOKUP($A49,Partner_Tickets!$A:$A,Partner_Tickets!Z:Z,"",0)="Free","Free",IF(XLOOKUP($A49,Partner_Tickets!$A:$A,Partner_Tickets!Z:Z,"",0)="VL","VL",IF(XLOOKUP($A49,Partner_Tickets!$A:$A,Partner_Tickets!Z:Z,"",0)="ATT","ATT",XLOOKUP($A49,Partner_Tickets!$A:$A,Partner_Tickets!Z:Z,"",0))))</f>
        <v>0.3333333333</v>
      </c>
      <c r="AA49" s="42" t="str">
        <f t="array" ref="AA49">IF(XLOOKUP($A49,Partner_Tickets!$A:$A,Partner_Tickets!AA:AA,"",0)="Free","Free",IF(XLOOKUP($A49,Partner_Tickets!$A:$A,Partner_Tickets!AA:AA,"",0)="VL","VL",IF(XLOOKUP($A49,Partner_Tickets!$A:$A,Partner_Tickets!AA:AA,"",0)="ATT","ATT",XLOOKUP($A49,Partner_Tickets!$A:$A,Partner_Tickets!AA:AA,"",0))))</f>
        <v>Free</v>
      </c>
      <c r="AB49" s="42">
        <f t="array" ref="AB49">IF(XLOOKUP($A49,Partner_Tickets!$A:$A,Partner_Tickets!AB:AB,"",0)="Free","Free",IF(XLOOKUP($A49,Partner_Tickets!$A:$A,Partner_Tickets!AB:AB,"",0)="VL","VL",IF(XLOOKUP($A49,Partner_Tickets!$A:$A,Partner_Tickets!AB:AB,"",0)="ATT","ATT",XLOOKUP($A49,Partner_Tickets!$A:$A,Partner_Tickets!AB:AB,"",0))))</f>
        <v>0.3333333333</v>
      </c>
      <c r="AC49" s="42">
        <f t="array" ref="AC49">IF(XLOOKUP($A49,Partner_Tickets!$A:$A,Partner_Tickets!AC:AC,"",0)="Free","Free",IF(XLOOKUP($A49,Partner_Tickets!$A:$A,Partner_Tickets!AC:AC,"",0)="VL","VL",IF(XLOOKUP($A49,Partner_Tickets!$A:$A,Partner_Tickets!AC:AC,"",0)="ATT","ATT",XLOOKUP($A49,Partner_Tickets!$A:$A,Partner_Tickets!AC:AC,"",0))))</f>
        <v>0.3333333333</v>
      </c>
      <c r="AD49" s="42">
        <f t="array" ref="AD49">IF(XLOOKUP($A49,Partner_Tickets!$A:$A,Partner_Tickets!AD:AD,"",0)="Free","Free",IF(XLOOKUP($A49,Partner_Tickets!$A:$A,Partner_Tickets!AD:AD,"",0)="VL","VL",IF(XLOOKUP($A49,Partner_Tickets!$A:$A,Partner_Tickets!AD:AD,"",0)="ATT","ATT",XLOOKUP($A49,Partner_Tickets!$A:$A,Partner_Tickets!AD:AD,"",0))))</f>
        <v>0.3333333333</v>
      </c>
      <c r="AE49" s="42">
        <f t="array" ref="AE49">IF(XLOOKUP($A49,Partner_Tickets!$A:$A,Partner_Tickets!AE:AE,"",0)="Free","Free",IF(XLOOKUP($A49,Partner_Tickets!$A:$A,Partner_Tickets!AE:AE,"",0)="VL","VL",IF(XLOOKUP($A49,Partner_Tickets!$A:$A,Partner_Tickets!AE:AE,"",0)="ATT","ATT",XLOOKUP($A49,Partner_Tickets!$A:$A,Partner_Tickets!AE:AE,"",0))))</f>
        <v>0.3333333333</v>
      </c>
      <c r="AF49" s="42"/>
      <c r="AG49" s="42">
        <f t="array" ref="AG49">IF(XLOOKUP($A49,Partner_Tickets!$A:$A,Partner_Tickets!AG:AG,"",0)="Free","Free",IF(XLOOKUP($A49,Partner_Tickets!$A:$A,Partner_Tickets!AG:AG,"",0)="VL","VL",IF(XLOOKUP($A49,Partner_Tickets!$A:$A,Partner_Tickets!AG:AG,"",0)="ATT","ATT",XLOOKUP($A49,Partner_Tickets!$A:$A,Partner_Tickets!AG:AG,"",0))))</f>
        <v>0.3333333333</v>
      </c>
      <c r="AH49" s="42" t="str">
        <f t="array" ref="AH49">IF(XLOOKUP($A49,Partner_Tickets!$A:$A,Partner_Tickets!AH:AH,"",0)="Free","Free",IF(XLOOKUP($A49,Partner_Tickets!$A:$A,Partner_Tickets!AH:AH,"",0)="VL","VL",IF(XLOOKUP($A49,Partner_Tickets!$A:$A,Partner_Tickets!AH:AH,"",0)="ATT","ATT",XLOOKUP($A49,Partner_Tickets!$A:$A,Partner_Tickets!AH:AH,"",0))))</f>
        <v>Free</v>
      </c>
      <c r="AI49" s="42">
        <f t="array" ref="AI49">IF(XLOOKUP($A49,Partner_Tickets!$A:$A,Partner_Tickets!AI:AI,"",0)="Free","Free",IF(XLOOKUP($A49,Partner_Tickets!$A:$A,Partner_Tickets!AI:AI,"",0)="VL","VL",IF(XLOOKUP($A49,Partner_Tickets!$A:$A,Partner_Tickets!AI:AI,"",0)="ATT","ATT",XLOOKUP($A49,Partner_Tickets!$A:$A,Partner_Tickets!AI:AI,"",0))))</f>
        <v>0.3333333333</v>
      </c>
      <c r="AJ49" s="42">
        <f t="array" ref="AJ49">IF(XLOOKUP($A49,Partner_Tickets!$A:$A,Partner_Tickets!AJ:AJ,"",0)="Free","Free",IF(XLOOKUP($A49,Partner_Tickets!$A:$A,Partner_Tickets!AJ:AJ,"",0)="VL","VL",IF(XLOOKUP($A49,Partner_Tickets!$A:$A,Partner_Tickets!AJ:AJ,"",0)="ATT","ATT",XLOOKUP($A49,Partner_Tickets!$A:$A,Partner_Tickets!AJ:AJ,"",0))))</f>
        <v>0.3333333333</v>
      </c>
      <c r="AK49" s="42">
        <f t="array" ref="AK49">IF(XLOOKUP($A49,Partner_Tickets!$A:$A,Partner_Tickets!AK:AK,"",0)="Free","Free",IF(XLOOKUP($A49,Partner_Tickets!$A:$A,Partner_Tickets!AK:AK,"",0)="VL","VL",IF(XLOOKUP($A49,Partner_Tickets!$A:$A,Partner_Tickets!AK:AK,"",0)="ATT","ATT",XLOOKUP($A49,Partner_Tickets!$A:$A,Partner_Tickets!AK:AK,"",0))))</f>
        <v>0.3333333333</v>
      </c>
      <c r="AL49" s="42">
        <f t="array" ref="AL49">IF(XLOOKUP($A49,Partner_Tickets!$A:$A,Partner_Tickets!AL:AL,"",0)="Free","Free",IF(XLOOKUP($A49,Partner_Tickets!$A:$A,Partner_Tickets!AL:AL,"",0)="VL","VL",IF(XLOOKUP($A49,Partner_Tickets!$A:$A,Partner_Tickets!AL:AL,"",0)="ATT","ATT",XLOOKUP($A49,Partner_Tickets!$A:$A,Partner_Tickets!AL:AL,"",0))))</f>
        <v>0.3333333333</v>
      </c>
      <c r="AM49" s="42"/>
    </row>
    <row r="50">
      <c r="A50" s="40" t="s">
        <v>181</v>
      </c>
      <c r="B50" s="44" t="str">
        <f t="array" ref="B50">XLOOKUP(A50,Roster!F:F,Roster!A:A,"",0)</f>
        <v>Luis Vidal</v>
      </c>
      <c r="C50" s="44" t="str">
        <f t="array" ref="C50">XLOOKUP(A50,Roster!F:F,Roster!B:B,"",0)</f>
        <v>Santiago Gonzalez</v>
      </c>
      <c r="D50" s="50"/>
      <c r="E50" s="42">
        <f t="array" ref="E50">IF(XLOOKUP($A50,Partner_Tickets!$A:$A,Partner_Tickets!E:E,"",0)="Free","Free",IF(XLOOKUP($A50,Partner_Tickets!$A:$A,Partner_Tickets!E:E,"",0)="VL","VL",IF(XLOOKUP($A50,Partner_Tickets!$A:$A,Partner_Tickets!E:E,"",0)="ATT","ATT",XLOOKUP($A50,Partner_Tickets!$A:$A,Partner_Tickets!E:E,"",0))))</f>
        <v>0.3333333333</v>
      </c>
      <c r="F50" s="42">
        <f t="array" ref="F50">IF(XLOOKUP($A50,Partner_Tickets!$A:$A,Partner_Tickets!F:F,"",0)="Free","Free",IF(XLOOKUP($A50,Partner_Tickets!$A:$A,Partner_Tickets!F:F,"",0)="VL","VL",IF(XLOOKUP($A50,Partner_Tickets!$A:$A,Partner_Tickets!F:F,"",0)="ATT","ATT",XLOOKUP($A50,Partner_Tickets!$A:$A,Partner_Tickets!F:F,"",0))))</f>
        <v>0.3333333333</v>
      </c>
      <c r="G50" s="42">
        <f t="array" ref="G50">IF(XLOOKUP($A50,Partner_Tickets!$A:$A,Partner_Tickets!G:G,"",0)="Free","Free",IF(XLOOKUP($A50,Partner_Tickets!$A:$A,Partner_Tickets!G:G,"",0)="VL","VL",IF(XLOOKUP($A50,Partner_Tickets!$A:$A,Partner_Tickets!G:G,"",0)="ATT","ATT",XLOOKUP($A50,Partner_Tickets!$A:$A,Partner_Tickets!G:G,"",0))))</f>
        <v>0.3333333333</v>
      </c>
      <c r="H50" s="42" t="str">
        <f t="array" ref="H50">IF(XLOOKUP($A50,Partner_Tickets!$A:$A,Partner_Tickets!H:H,"",0)="Free","Free",IF(XLOOKUP($A50,Partner_Tickets!$A:$A,Partner_Tickets!H:H,"",0)="VL","VL",IF(XLOOKUP($A50,Partner_Tickets!$A:$A,Partner_Tickets!H:H,"",0)="ATT","ATT",XLOOKUP($A50,Partner_Tickets!$A:$A,Partner_Tickets!H:H,"",0))))</f>
        <v>Free</v>
      </c>
      <c r="I50" s="42">
        <f t="array" ref="I50">IF(XLOOKUP($A50,Partner_Tickets!$A:$A,Partner_Tickets!I:I,"",0)="Free","Free",IF(XLOOKUP($A50,Partner_Tickets!$A:$A,Partner_Tickets!I:I,"",0)="VL","VL",IF(XLOOKUP($A50,Partner_Tickets!$A:$A,Partner_Tickets!I:I,"",0)="ATT","ATT",XLOOKUP($A50,Partner_Tickets!$A:$A,Partner_Tickets!I:I,"",0))))</f>
        <v>0.3333333333</v>
      </c>
      <c r="J50" s="42">
        <f t="array" ref="J50">IF(XLOOKUP($A50,Partner_Tickets!$A:$A,Partner_Tickets!J:J,"",0)="Free","Free",IF(XLOOKUP($A50,Partner_Tickets!$A:$A,Partner_Tickets!J:J,"",0)="VL","VL",IF(XLOOKUP($A50,Partner_Tickets!$A:$A,Partner_Tickets!J:J,"",0)="ATT","ATT",XLOOKUP($A50,Partner_Tickets!$A:$A,Partner_Tickets!J:J,"",0))))</f>
        <v>0.3333333333</v>
      </c>
      <c r="K50" s="42" t="str">
        <f t="array" ref="K50">IF(XLOOKUP($A50,Partner_Tickets!$A:$A,Partner_Tickets!K:K,"",0)="Free","Free",IF(XLOOKUP($A50,Partner_Tickets!$A:$A,Partner_Tickets!K:K,"",0)="VL","VL",IF(XLOOKUP($A50,Partner_Tickets!$A:$A,Partner_Tickets!K:K,"",0)="ATT","ATT",XLOOKUP($A50,Partner_Tickets!$A:$A,Partner_Tickets!K:K,"",0))))</f>
        <v/>
      </c>
      <c r="L50" s="42">
        <f t="array" ref="L50">IF(XLOOKUP($A50,Partner_Tickets!$A:$A,Partner_Tickets!L:L,"",0)="Free","Free",IF(XLOOKUP($A50,Partner_Tickets!$A:$A,Partner_Tickets!L:L,"",0)="VL","VL",IF(XLOOKUP($A50,Partner_Tickets!$A:$A,Partner_Tickets!L:L,"",0)="ATT","ATT",XLOOKUP($A50,Partner_Tickets!$A:$A,Partner_Tickets!L:L,"",0))))</f>
        <v>0.3333333333</v>
      </c>
      <c r="M50" s="42">
        <f t="array" ref="M50">IF(XLOOKUP($A50,Partner_Tickets!$A:$A,Partner_Tickets!M:M,"",0)="Free","Free",IF(XLOOKUP($A50,Partner_Tickets!$A:$A,Partner_Tickets!M:M,"",0)="VL","VL",IF(XLOOKUP($A50,Partner_Tickets!$A:$A,Partner_Tickets!M:M,"",0)="ATT","ATT",XLOOKUP($A50,Partner_Tickets!$A:$A,Partner_Tickets!M:M,"",0))))</f>
        <v>0.3333333333</v>
      </c>
      <c r="N50" s="42" t="str">
        <f t="array" ref="N50">IF(XLOOKUP($A50,Partner_Tickets!$A:$A,Partner_Tickets!N:N,"",0)="Free","Free",IF(XLOOKUP($A50,Partner_Tickets!$A:$A,Partner_Tickets!N:N,"",0)="VL","VL",IF(XLOOKUP($A50,Partner_Tickets!$A:$A,Partner_Tickets!N:N,"",0)="ATT","ATT",XLOOKUP($A50,Partner_Tickets!$A:$A,Partner_Tickets!N:N,"",0))))</f>
        <v>Free</v>
      </c>
      <c r="O50" s="42">
        <f t="array" ref="O50">IF(XLOOKUP($A50,Partner_Tickets!$A:$A,Partner_Tickets!O:O,"",0)="Free","Free",IF(XLOOKUP($A50,Partner_Tickets!$A:$A,Partner_Tickets!O:O,"",0)="VL","VL",IF(XLOOKUP($A50,Partner_Tickets!$A:$A,Partner_Tickets!O:O,"",0)="ATT","ATT",XLOOKUP($A50,Partner_Tickets!$A:$A,Partner_Tickets!O:O,"",0))))</f>
        <v>0.3333333333</v>
      </c>
      <c r="P50" s="42">
        <f t="array" ref="P50">IF(XLOOKUP($A50,Partner_Tickets!$A:$A,Partner_Tickets!P:P,"",0)="Free","Free",IF(XLOOKUP($A50,Partner_Tickets!$A:$A,Partner_Tickets!P:P,"",0)="VL","VL",IF(XLOOKUP($A50,Partner_Tickets!$A:$A,Partner_Tickets!P:P,"",0)="ATT","ATT",XLOOKUP($A50,Partner_Tickets!$A:$A,Partner_Tickets!P:P,"",0))))</f>
        <v>0.3333333333</v>
      </c>
      <c r="Q50" s="42">
        <f t="array" ref="Q50">IF(XLOOKUP($A50,Partner_Tickets!$A:$A,Partner_Tickets!Q:Q,"",0)="Free","Free",IF(XLOOKUP($A50,Partner_Tickets!$A:$A,Partner_Tickets!Q:Q,"",0)="VL","VL",IF(XLOOKUP($A50,Partner_Tickets!$A:$A,Partner_Tickets!Q:Q,"",0)="ATT","ATT",XLOOKUP($A50,Partner_Tickets!$A:$A,Partner_Tickets!Q:Q,"",0))))</f>
        <v>0.3333333333</v>
      </c>
      <c r="R50" s="42"/>
      <c r="S50" s="42">
        <f t="array" ref="S50">IF(XLOOKUP($A50,Partner_Tickets!$A:$A,Partner_Tickets!S:S,"",0)="Free","Free",IF(XLOOKUP($A50,Partner_Tickets!$A:$A,Partner_Tickets!S:S,"",0)="VL","VL",IF(XLOOKUP($A50,Partner_Tickets!$A:$A,Partner_Tickets!S:S,"",0)="ATT","ATT",XLOOKUP($A50,Partner_Tickets!$A:$A,Partner_Tickets!S:S,"",0))))</f>
        <v>0.3333333333</v>
      </c>
      <c r="T50" s="42">
        <f t="array" ref="T50">IF(XLOOKUP($A50,Partner_Tickets!$A:$A,Partner_Tickets!T:T,"",0)="Free","Free",IF(XLOOKUP($A50,Partner_Tickets!$A:$A,Partner_Tickets!T:T,"",0)="VL","VL",IF(XLOOKUP($A50,Partner_Tickets!$A:$A,Partner_Tickets!T:T,"",0)="ATT","ATT",XLOOKUP($A50,Partner_Tickets!$A:$A,Partner_Tickets!T:T,"",0))))</f>
        <v>0.3333333333</v>
      </c>
      <c r="U50" s="42" t="str">
        <f t="array" ref="U50">IF(XLOOKUP($A50,Partner_Tickets!$A:$A,Partner_Tickets!U:U,"",0)="Free","Free",IF(XLOOKUP($A50,Partner_Tickets!$A:$A,Partner_Tickets!U:U,"",0)="VL","VL",IF(XLOOKUP($A50,Partner_Tickets!$A:$A,Partner_Tickets!U:U,"",0)="ATT","ATT",XLOOKUP($A50,Partner_Tickets!$A:$A,Partner_Tickets!U:U,"",0))))</f>
        <v>Free</v>
      </c>
      <c r="V50" s="42">
        <f t="array" ref="V50">IF(XLOOKUP($A50,Partner_Tickets!$A:$A,Partner_Tickets!V:V,"",0)="Free","Free",IF(XLOOKUP($A50,Partner_Tickets!$A:$A,Partner_Tickets!V:V,"",0)="VL","VL",IF(XLOOKUP($A50,Partner_Tickets!$A:$A,Partner_Tickets!V:V,"",0)="ATT","ATT",XLOOKUP($A50,Partner_Tickets!$A:$A,Partner_Tickets!V:V,"",0))))</f>
        <v>0.3333333333</v>
      </c>
      <c r="W50" s="42">
        <f t="array" ref="W50">IF(XLOOKUP($A50,Partner_Tickets!$A:$A,Partner_Tickets!W:W,"",0)="Free","Free",IF(XLOOKUP($A50,Partner_Tickets!$A:$A,Partner_Tickets!W:W,"",0)="VL","VL",IF(XLOOKUP($A50,Partner_Tickets!$A:$A,Partner_Tickets!W:W,"",0)="ATT","ATT",XLOOKUP($A50,Partner_Tickets!$A:$A,Partner_Tickets!W:W,"",0))))</f>
        <v>0.3333333333</v>
      </c>
      <c r="X50" s="42">
        <f t="array" ref="X50">IF(XLOOKUP($A50,Partner_Tickets!$A:$A,Partner_Tickets!X:X,"",0)="Free","Free",IF(XLOOKUP($A50,Partner_Tickets!$A:$A,Partner_Tickets!X:X,"",0)="VL","VL",IF(XLOOKUP($A50,Partner_Tickets!$A:$A,Partner_Tickets!X:X,"",0)="ATT","ATT",XLOOKUP($A50,Partner_Tickets!$A:$A,Partner_Tickets!X:X,"",0))))</f>
        <v>0.3333333333</v>
      </c>
      <c r="Y50" s="42"/>
      <c r="Z50" s="42">
        <f t="array" ref="Z50">IF(XLOOKUP($A50,Partner_Tickets!$A:$A,Partner_Tickets!Z:Z,"",0)="Free","Free",IF(XLOOKUP($A50,Partner_Tickets!$A:$A,Partner_Tickets!Z:Z,"",0)="VL","VL",IF(XLOOKUP($A50,Partner_Tickets!$A:$A,Partner_Tickets!Z:Z,"",0)="ATT","ATT",XLOOKUP($A50,Partner_Tickets!$A:$A,Partner_Tickets!Z:Z,"",0))))</f>
        <v>0.3333333333</v>
      </c>
      <c r="AA50" s="42">
        <f t="array" ref="AA50">IF(XLOOKUP($A50,Partner_Tickets!$A:$A,Partner_Tickets!AA:AA,"",0)="Free","Free",IF(XLOOKUP($A50,Partner_Tickets!$A:$A,Partner_Tickets!AA:AA,"",0)="VL","VL",IF(XLOOKUP($A50,Partner_Tickets!$A:$A,Partner_Tickets!AA:AA,"",0)="ATT","ATT",XLOOKUP($A50,Partner_Tickets!$A:$A,Partner_Tickets!AA:AA,"",0))))</f>
        <v>0.3333333333</v>
      </c>
      <c r="AB50" s="42" t="str">
        <f t="array" ref="AB50">IF(XLOOKUP($A50,Partner_Tickets!$A:$A,Partner_Tickets!AB:AB,"",0)="Free","Free",IF(XLOOKUP($A50,Partner_Tickets!$A:$A,Partner_Tickets!AB:AB,"",0)="VL","VL",IF(XLOOKUP($A50,Partner_Tickets!$A:$A,Partner_Tickets!AB:AB,"",0)="ATT","ATT",XLOOKUP($A50,Partner_Tickets!$A:$A,Partner_Tickets!AB:AB,"",0))))</f>
        <v>Free</v>
      </c>
      <c r="AC50" s="42">
        <f t="array" ref="AC50">IF(XLOOKUP($A50,Partner_Tickets!$A:$A,Partner_Tickets!AC:AC,"",0)="Free","Free",IF(XLOOKUP($A50,Partner_Tickets!$A:$A,Partner_Tickets!AC:AC,"",0)="VL","VL",IF(XLOOKUP($A50,Partner_Tickets!$A:$A,Partner_Tickets!AC:AC,"",0)="ATT","ATT",XLOOKUP($A50,Partner_Tickets!$A:$A,Partner_Tickets!AC:AC,"",0))))</f>
        <v>0.3333333333</v>
      </c>
      <c r="AD50" s="42">
        <f t="array" ref="AD50">IF(XLOOKUP($A50,Partner_Tickets!$A:$A,Partner_Tickets!AD:AD,"",0)="Free","Free",IF(XLOOKUP($A50,Partner_Tickets!$A:$A,Partner_Tickets!AD:AD,"",0)="VL","VL",IF(XLOOKUP($A50,Partner_Tickets!$A:$A,Partner_Tickets!AD:AD,"",0)="ATT","ATT",XLOOKUP($A50,Partner_Tickets!$A:$A,Partner_Tickets!AD:AD,"",0))))</f>
        <v>0.3333333333</v>
      </c>
      <c r="AE50" s="42">
        <f t="array" ref="AE50">IF(XLOOKUP($A50,Partner_Tickets!$A:$A,Partner_Tickets!AE:AE,"",0)="Free","Free",IF(XLOOKUP($A50,Partner_Tickets!$A:$A,Partner_Tickets!AE:AE,"",0)="VL","VL",IF(XLOOKUP($A50,Partner_Tickets!$A:$A,Partner_Tickets!AE:AE,"",0)="ATT","ATT",XLOOKUP($A50,Partner_Tickets!$A:$A,Partner_Tickets!AE:AE,"",0))))</f>
        <v>0.3333333333</v>
      </c>
      <c r="AF50" s="42"/>
      <c r="AG50" s="42">
        <f t="array" ref="AG50">IF(XLOOKUP($A50,Partner_Tickets!$A:$A,Partner_Tickets!AG:AG,"",0)="Free","Free",IF(XLOOKUP($A50,Partner_Tickets!$A:$A,Partner_Tickets!AG:AG,"",0)="VL","VL",IF(XLOOKUP($A50,Partner_Tickets!$A:$A,Partner_Tickets!AG:AG,"",0)="ATT","ATT",XLOOKUP($A50,Partner_Tickets!$A:$A,Partner_Tickets!AG:AG,"",0))))</f>
        <v>0.3333333333</v>
      </c>
      <c r="AH50" s="42">
        <f t="array" ref="AH50">IF(XLOOKUP($A50,Partner_Tickets!$A:$A,Partner_Tickets!AH:AH,"",0)="Free","Free",IF(XLOOKUP($A50,Partner_Tickets!$A:$A,Partner_Tickets!AH:AH,"",0)="VL","VL",IF(XLOOKUP($A50,Partner_Tickets!$A:$A,Partner_Tickets!AH:AH,"",0)="ATT","ATT",XLOOKUP($A50,Partner_Tickets!$A:$A,Partner_Tickets!AH:AH,"",0))))</f>
        <v>0.3333333333</v>
      </c>
      <c r="AI50" s="42" t="str">
        <f t="array" ref="AI50">IF(XLOOKUP($A50,Partner_Tickets!$A:$A,Partner_Tickets!AI:AI,"",0)="Free","Free",IF(XLOOKUP($A50,Partner_Tickets!$A:$A,Partner_Tickets!AI:AI,"",0)="VL","VL",IF(XLOOKUP($A50,Partner_Tickets!$A:$A,Partner_Tickets!AI:AI,"",0)="ATT","ATT",XLOOKUP($A50,Partner_Tickets!$A:$A,Partner_Tickets!AI:AI,"",0))))</f>
        <v>Free</v>
      </c>
      <c r="AJ50" s="42">
        <f t="array" ref="AJ50">IF(XLOOKUP($A50,Partner_Tickets!$A:$A,Partner_Tickets!AJ:AJ,"",0)="Free","Free",IF(XLOOKUP($A50,Partner_Tickets!$A:$A,Partner_Tickets!AJ:AJ,"",0)="VL","VL",IF(XLOOKUP($A50,Partner_Tickets!$A:$A,Partner_Tickets!AJ:AJ,"",0)="ATT","ATT",XLOOKUP($A50,Partner_Tickets!$A:$A,Partner_Tickets!AJ:AJ,"",0))))</f>
        <v>0.3333333333</v>
      </c>
      <c r="AK50" s="42">
        <f t="array" ref="AK50">IF(XLOOKUP($A50,Partner_Tickets!$A:$A,Partner_Tickets!AK:AK,"",0)="Free","Free",IF(XLOOKUP($A50,Partner_Tickets!$A:$A,Partner_Tickets!AK:AK,"",0)="VL","VL",IF(XLOOKUP($A50,Partner_Tickets!$A:$A,Partner_Tickets!AK:AK,"",0)="ATT","ATT",XLOOKUP($A50,Partner_Tickets!$A:$A,Partner_Tickets!AK:AK,"",0))))</f>
        <v>0.3333333333</v>
      </c>
      <c r="AL50" s="42">
        <f t="array" ref="AL50">IF(XLOOKUP($A50,Partner_Tickets!$A:$A,Partner_Tickets!AL:AL,"",0)="Free","Free",IF(XLOOKUP($A50,Partner_Tickets!$A:$A,Partner_Tickets!AL:AL,"",0)="VL","VL",IF(XLOOKUP($A50,Partner_Tickets!$A:$A,Partner_Tickets!AL:AL,"",0)="ATT","ATT",XLOOKUP($A50,Partner_Tickets!$A:$A,Partner_Tickets!AL:AL,"",0))))</f>
        <v>0.3333333333</v>
      </c>
      <c r="AM50" s="42"/>
    </row>
    <row r="51">
      <c r="A51" s="40" t="s">
        <v>182</v>
      </c>
      <c r="B51" s="44" t="str">
        <f t="array" ref="B51">XLOOKUP(A51,Roster!F:F,Roster!A:A,"",0)</f>
        <v>Luis Vidal</v>
      </c>
      <c r="C51" s="44" t="str">
        <f t="array" ref="C51">XLOOKUP(A51,Roster!F:F,Roster!B:B,"",0)</f>
        <v>Santiago Velasquez</v>
      </c>
      <c r="D51" s="48"/>
      <c r="E51" s="42">
        <f t="array" ref="E51">IF(XLOOKUP($A51,Partner_Tickets!$A:$A,Partner_Tickets!E:E,"",0)="Free","Free",IF(XLOOKUP($A51,Partner_Tickets!$A:$A,Partner_Tickets!E:E,"",0)="VL","VL",IF(XLOOKUP($A51,Partner_Tickets!$A:$A,Partner_Tickets!E:E,"",0)="ATT","ATT",XLOOKUP($A51,Partner_Tickets!$A:$A,Partner_Tickets!E:E,"",0))))</f>
        <v>0.3333333333</v>
      </c>
      <c r="F51" s="42">
        <f t="array" ref="F51">IF(XLOOKUP($A51,Partner_Tickets!$A:$A,Partner_Tickets!F:F,"",0)="Free","Free",IF(XLOOKUP($A51,Partner_Tickets!$A:$A,Partner_Tickets!F:F,"",0)="VL","VL",IF(XLOOKUP($A51,Partner_Tickets!$A:$A,Partner_Tickets!F:F,"",0)="ATT","ATT",XLOOKUP($A51,Partner_Tickets!$A:$A,Partner_Tickets!F:F,"",0))))</f>
        <v>0.3333333333</v>
      </c>
      <c r="G51" s="42">
        <f t="array" ref="G51">IF(XLOOKUP($A51,Partner_Tickets!$A:$A,Partner_Tickets!G:G,"",0)="Free","Free",IF(XLOOKUP($A51,Partner_Tickets!$A:$A,Partner_Tickets!G:G,"",0)="VL","VL",IF(XLOOKUP($A51,Partner_Tickets!$A:$A,Partner_Tickets!G:G,"",0)="ATT","ATT",XLOOKUP($A51,Partner_Tickets!$A:$A,Partner_Tickets!G:G,"",0))))</f>
        <v>0.3333333333</v>
      </c>
      <c r="H51" s="42">
        <f t="array" ref="H51">IF(XLOOKUP($A51,Partner_Tickets!$A:$A,Partner_Tickets!H:H,"",0)="Free","Free",IF(XLOOKUP($A51,Partner_Tickets!$A:$A,Partner_Tickets!H:H,"",0)="VL","VL",IF(XLOOKUP($A51,Partner_Tickets!$A:$A,Partner_Tickets!H:H,"",0)="ATT","ATT",XLOOKUP($A51,Partner_Tickets!$A:$A,Partner_Tickets!H:H,"",0))))</f>
        <v>0.3333333333</v>
      </c>
      <c r="I51" s="42">
        <f t="array" ref="I51">IF(XLOOKUP($A51,Partner_Tickets!$A:$A,Partner_Tickets!I:I,"",0)="Free","Free",IF(XLOOKUP($A51,Partner_Tickets!$A:$A,Partner_Tickets!I:I,"",0)="VL","VL",IF(XLOOKUP($A51,Partner_Tickets!$A:$A,Partner_Tickets!I:I,"",0)="ATT","ATT",XLOOKUP($A51,Partner_Tickets!$A:$A,Partner_Tickets!I:I,"",0))))</f>
        <v>0.3333333333</v>
      </c>
      <c r="J51" s="42" t="str">
        <f t="array" ref="J51">IF(XLOOKUP($A51,Partner_Tickets!$A:$A,Partner_Tickets!J:J,"",0)="Free","Free",IF(XLOOKUP($A51,Partner_Tickets!$A:$A,Partner_Tickets!J:J,"",0)="VL","VL",IF(XLOOKUP($A51,Partner_Tickets!$A:$A,Partner_Tickets!J:J,"",0)="ATT","ATT",XLOOKUP($A51,Partner_Tickets!$A:$A,Partner_Tickets!J:J,"",0))))</f>
        <v>Free</v>
      </c>
      <c r="K51" s="42" t="str">
        <f t="array" ref="K51">IF(XLOOKUP($A51,Partner_Tickets!$A:$A,Partner_Tickets!K:K,"",0)="Free","Free",IF(XLOOKUP($A51,Partner_Tickets!$A:$A,Partner_Tickets!K:K,"",0)="VL","VL",IF(XLOOKUP($A51,Partner_Tickets!$A:$A,Partner_Tickets!K:K,"",0)="ATT","ATT",XLOOKUP($A51,Partner_Tickets!$A:$A,Partner_Tickets!K:K,"",0))))</f>
        <v/>
      </c>
      <c r="L51" s="42">
        <f t="array" ref="L51">IF(XLOOKUP($A51,Partner_Tickets!$A:$A,Partner_Tickets!L:L,"",0)="Free","Free",IF(XLOOKUP($A51,Partner_Tickets!$A:$A,Partner_Tickets!L:L,"",0)="VL","VL",IF(XLOOKUP($A51,Partner_Tickets!$A:$A,Partner_Tickets!L:L,"",0)="ATT","ATT",XLOOKUP($A51,Partner_Tickets!$A:$A,Partner_Tickets!L:L,"",0))))</f>
        <v>0.3333333333</v>
      </c>
      <c r="M51" s="42">
        <f t="array" ref="M51">IF(XLOOKUP($A51,Partner_Tickets!$A:$A,Partner_Tickets!M:M,"",0)="Free","Free",IF(XLOOKUP($A51,Partner_Tickets!$A:$A,Partner_Tickets!M:M,"",0)="VL","VL",IF(XLOOKUP($A51,Partner_Tickets!$A:$A,Partner_Tickets!M:M,"",0)="ATT","ATT",XLOOKUP($A51,Partner_Tickets!$A:$A,Partner_Tickets!M:M,"",0))))</f>
        <v>0.3333333333</v>
      </c>
      <c r="N51" s="42">
        <f t="array" ref="N51">IF(XLOOKUP($A51,Partner_Tickets!$A:$A,Partner_Tickets!N:N,"",0)="Free","Free",IF(XLOOKUP($A51,Partner_Tickets!$A:$A,Partner_Tickets!N:N,"",0)="VL","VL",IF(XLOOKUP($A51,Partner_Tickets!$A:$A,Partner_Tickets!N:N,"",0)="ATT","ATT",XLOOKUP($A51,Partner_Tickets!$A:$A,Partner_Tickets!N:N,"",0))))</f>
        <v>0.3333333333</v>
      </c>
      <c r="O51" s="42">
        <f t="array" ref="O51">IF(XLOOKUP($A51,Partner_Tickets!$A:$A,Partner_Tickets!O:O,"",0)="Free","Free",IF(XLOOKUP($A51,Partner_Tickets!$A:$A,Partner_Tickets!O:O,"",0)="VL","VL",IF(XLOOKUP($A51,Partner_Tickets!$A:$A,Partner_Tickets!O:O,"",0)="ATT","ATT",XLOOKUP($A51,Partner_Tickets!$A:$A,Partner_Tickets!O:O,"",0))))</f>
        <v>0.3333333333</v>
      </c>
      <c r="P51" s="42">
        <f t="array" ref="P51">IF(XLOOKUP($A51,Partner_Tickets!$A:$A,Partner_Tickets!P:P,"",0)="Free","Free",IF(XLOOKUP($A51,Partner_Tickets!$A:$A,Partner_Tickets!P:P,"",0)="VL","VL",IF(XLOOKUP($A51,Partner_Tickets!$A:$A,Partner_Tickets!P:P,"",0)="ATT","ATT",XLOOKUP($A51,Partner_Tickets!$A:$A,Partner_Tickets!P:P,"",0))))</f>
        <v>0.3333333333</v>
      </c>
      <c r="Q51" s="42" t="str">
        <f t="array" ref="Q51">IF(XLOOKUP($A51,Partner_Tickets!$A:$A,Partner_Tickets!Q:Q,"",0)="Free","Free",IF(XLOOKUP($A51,Partner_Tickets!$A:$A,Partner_Tickets!Q:Q,"",0)="VL","VL",IF(XLOOKUP($A51,Partner_Tickets!$A:$A,Partner_Tickets!Q:Q,"",0)="ATT","ATT",XLOOKUP($A51,Partner_Tickets!$A:$A,Partner_Tickets!Q:Q,"",0))))</f>
        <v>Free</v>
      </c>
      <c r="R51" s="42"/>
      <c r="S51" s="42">
        <f t="array" ref="S51">IF(XLOOKUP($A51,Partner_Tickets!$A:$A,Partner_Tickets!S:S,"",0)="Free","Free",IF(XLOOKUP($A51,Partner_Tickets!$A:$A,Partner_Tickets!S:S,"",0)="VL","VL",IF(XLOOKUP($A51,Partner_Tickets!$A:$A,Partner_Tickets!S:S,"",0)="ATT","ATT",XLOOKUP($A51,Partner_Tickets!$A:$A,Partner_Tickets!S:S,"",0))))</f>
        <v>0.3333333333</v>
      </c>
      <c r="T51" s="42">
        <f t="array" ref="T51">IF(XLOOKUP($A51,Partner_Tickets!$A:$A,Partner_Tickets!T:T,"",0)="Free","Free",IF(XLOOKUP($A51,Partner_Tickets!$A:$A,Partner_Tickets!T:T,"",0)="VL","VL",IF(XLOOKUP($A51,Partner_Tickets!$A:$A,Partner_Tickets!T:T,"",0)="ATT","ATT",XLOOKUP($A51,Partner_Tickets!$A:$A,Partner_Tickets!T:T,"",0))))</f>
        <v>0.3333333333</v>
      </c>
      <c r="U51" s="42">
        <f t="array" ref="U51">IF(XLOOKUP($A51,Partner_Tickets!$A:$A,Partner_Tickets!U:U,"",0)="Free","Free",IF(XLOOKUP($A51,Partner_Tickets!$A:$A,Partner_Tickets!U:U,"",0)="VL","VL",IF(XLOOKUP($A51,Partner_Tickets!$A:$A,Partner_Tickets!U:U,"",0)="ATT","ATT",XLOOKUP($A51,Partner_Tickets!$A:$A,Partner_Tickets!U:U,"",0))))</f>
        <v>0.3333333333</v>
      </c>
      <c r="V51" s="42">
        <f t="array" ref="V51">IF(XLOOKUP($A51,Partner_Tickets!$A:$A,Partner_Tickets!V:V,"",0)="Free","Free",IF(XLOOKUP($A51,Partner_Tickets!$A:$A,Partner_Tickets!V:V,"",0)="VL","VL",IF(XLOOKUP($A51,Partner_Tickets!$A:$A,Partner_Tickets!V:V,"",0)="ATT","ATT",XLOOKUP($A51,Partner_Tickets!$A:$A,Partner_Tickets!V:V,"",0))))</f>
        <v>0.3333333333</v>
      </c>
      <c r="W51" s="42">
        <f t="array" ref="W51">IF(XLOOKUP($A51,Partner_Tickets!$A:$A,Partner_Tickets!W:W,"",0)="Free","Free",IF(XLOOKUP($A51,Partner_Tickets!$A:$A,Partner_Tickets!W:W,"",0)="VL","VL",IF(XLOOKUP($A51,Partner_Tickets!$A:$A,Partner_Tickets!W:W,"",0)="ATT","ATT",XLOOKUP($A51,Partner_Tickets!$A:$A,Partner_Tickets!W:W,"",0))))</f>
        <v>0.3333333333</v>
      </c>
      <c r="X51" s="42" t="str">
        <f t="array" ref="X51">IF(XLOOKUP($A51,Partner_Tickets!$A:$A,Partner_Tickets!X:X,"",0)="Free","Free",IF(XLOOKUP($A51,Partner_Tickets!$A:$A,Partner_Tickets!X:X,"",0)="VL","VL",IF(XLOOKUP($A51,Partner_Tickets!$A:$A,Partner_Tickets!X:X,"",0)="ATT","ATT",XLOOKUP($A51,Partner_Tickets!$A:$A,Partner_Tickets!X:X,"",0))))</f>
        <v>Free</v>
      </c>
      <c r="Y51" s="42"/>
      <c r="Z51" s="42">
        <f t="array" ref="Z51">IF(XLOOKUP($A51,Partner_Tickets!$A:$A,Partner_Tickets!Z:Z,"",0)="Free","Free",IF(XLOOKUP($A51,Partner_Tickets!$A:$A,Partner_Tickets!Z:Z,"",0)="VL","VL",IF(XLOOKUP($A51,Partner_Tickets!$A:$A,Partner_Tickets!Z:Z,"",0)="ATT","ATT",XLOOKUP($A51,Partner_Tickets!$A:$A,Partner_Tickets!Z:Z,"",0))))</f>
        <v>0.3333333333</v>
      </c>
      <c r="AA51" s="42">
        <f t="array" ref="AA51">IF(XLOOKUP($A51,Partner_Tickets!$A:$A,Partner_Tickets!AA:AA,"",0)="Free","Free",IF(XLOOKUP($A51,Partner_Tickets!$A:$A,Partner_Tickets!AA:AA,"",0)="VL","VL",IF(XLOOKUP($A51,Partner_Tickets!$A:$A,Partner_Tickets!AA:AA,"",0)="ATT","ATT",XLOOKUP($A51,Partner_Tickets!$A:$A,Partner_Tickets!AA:AA,"",0))))</f>
        <v>0.3333333333</v>
      </c>
      <c r="AB51" s="42">
        <f t="array" ref="AB51">IF(XLOOKUP($A51,Partner_Tickets!$A:$A,Partner_Tickets!AB:AB,"",0)="Free","Free",IF(XLOOKUP($A51,Partner_Tickets!$A:$A,Partner_Tickets!AB:AB,"",0)="VL","VL",IF(XLOOKUP($A51,Partner_Tickets!$A:$A,Partner_Tickets!AB:AB,"",0)="ATT","ATT",XLOOKUP($A51,Partner_Tickets!$A:$A,Partner_Tickets!AB:AB,"",0))))</f>
        <v>0.3333333333</v>
      </c>
      <c r="AC51" s="42">
        <f t="array" ref="AC51">IF(XLOOKUP($A51,Partner_Tickets!$A:$A,Partner_Tickets!AC:AC,"",0)="Free","Free",IF(XLOOKUP($A51,Partner_Tickets!$A:$A,Partner_Tickets!AC:AC,"",0)="VL","VL",IF(XLOOKUP($A51,Partner_Tickets!$A:$A,Partner_Tickets!AC:AC,"",0)="ATT","ATT",XLOOKUP($A51,Partner_Tickets!$A:$A,Partner_Tickets!AC:AC,"",0))))</f>
        <v>0.3333333333</v>
      </c>
      <c r="AD51" s="42">
        <f t="array" ref="AD51">IF(XLOOKUP($A51,Partner_Tickets!$A:$A,Partner_Tickets!AD:AD,"",0)="Free","Free",IF(XLOOKUP($A51,Partner_Tickets!$A:$A,Partner_Tickets!AD:AD,"",0)="VL","VL",IF(XLOOKUP($A51,Partner_Tickets!$A:$A,Partner_Tickets!AD:AD,"",0)="ATT","ATT",XLOOKUP($A51,Partner_Tickets!$A:$A,Partner_Tickets!AD:AD,"",0))))</f>
        <v>0.3333333333</v>
      </c>
      <c r="AE51" s="42" t="str">
        <f t="array" ref="AE51">IF(XLOOKUP($A51,Partner_Tickets!$A:$A,Partner_Tickets!AE:AE,"",0)="Free","Free",IF(XLOOKUP($A51,Partner_Tickets!$A:$A,Partner_Tickets!AE:AE,"",0)="VL","VL",IF(XLOOKUP($A51,Partner_Tickets!$A:$A,Partner_Tickets!AE:AE,"",0)="ATT","ATT",XLOOKUP($A51,Partner_Tickets!$A:$A,Partner_Tickets!AE:AE,"",0))))</f>
        <v>Free</v>
      </c>
      <c r="AF51" s="42"/>
      <c r="AG51" s="42">
        <f t="array" ref="AG51">IF(XLOOKUP($A51,Partner_Tickets!$A:$A,Partner_Tickets!AG:AG,"",0)="Free","Free",IF(XLOOKUP($A51,Partner_Tickets!$A:$A,Partner_Tickets!AG:AG,"",0)="VL","VL",IF(XLOOKUP($A51,Partner_Tickets!$A:$A,Partner_Tickets!AG:AG,"",0)="ATT","ATT",XLOOKUP($A51,Partner_Tickets!$A:$A,Partner_Tickets!AG:AG,"",0))))</f>
        <v>0.3333333333</v>
      </c>
      <c r="AH51" s="42">
        <f t="array" ref="AH51">IF(XLOOKUP($A51,Partner_Tickets!$A:$A,Partner_Tickets!AH:AH,"",0)="Free","Free",IF(XLOOKUP($A51,Partner_Tickets!$A:$A,Partner_Tickets!AH:AH,"",0)="VL","VL",IF(XLOOKUP($A51,Partner_Tickets!$A:$A,Partner_Tickets!AH:AH,"",0)="ATT","ATT",XLOOKUP($A51,Partner_Tickets!$A:$A,Partner_Tickets!AH:AH,"",0))))</f>
        <v>0.3333333333</v>
      </c>
      <c r="AI51" s="42">
        <f t="array" ref="AI51">IF(XLOOKUP($A51,Partner_Tickets!$A:$A,Partner_Tickets!AI:AI,"",0)="Free","Free",IF(XLOOKUP($A51,Partner_Tickets!$A:$A,Partner_Tickets!AI:AI,"",0)="VL","VL",IF(XLOOKUP($A51,Partner_Tickets!$A:$A,Partner_Tickets!AI:AI,"",0)="ATT","ATT",XLOOKUP($A51,Partner_Tickets!$A:$A,Partner_Tickets!AI:AI,"",0))))</f>
        <v>0.3333333333</v>
      </c>
      <c r="AJ51" s="42">
        <f t="array" ref="AJ51">IF(XLOOKUP($A51,Partner_Tickets!$A:$A,Partner_Tickets!AJ:AJ,"",0)="Free","Free",IF(XLOOKUP($A51,Partner_Tickets!$A:$A,Partner_Tickets!AJ:AJ,"",0)="VL","VL",IF(XLOOKUP($A51,Partner_Tickets!$A:$A,Partner_Tickets!AJ:AJ,"",0)="ATT","ATT",XLOOKUP($A51,Partner_Tickets!$A:$A,Partner_Tickets!AJ:AJ,"",0))))</f>
        <v>0.3333333333</v>
      </c>
      <c r="AK51" s="42">
        <f t="array" ref="AK51">IF(XLOOKUP($A51,Partner_Tickets!$A:$A,Partner_Tickets!AK:AK,"",0)="Free","Free",IF(XLOOKUP($A51,Partner_Tickets!$A:$A,Partner_Tickets!AK:AK,"",0)="VL","VL",IF(XLOOKUP($A51,Partner_Tickets!$A:$A,Partner_Tickets!AK:AK,"",0)="ATT","ATT",XLOOKUP($A51,Partner_Tickets!$A:$A,Partner_Tickets!AK:AK,"",0))))</f>
        <v>0.3333333333</v>
      </c>
      <c r="AL51" s="42" t="str">
        <f t="array" ref="AL51">IF(XLOOKUP($A51,Partner_Tickets!$A:$A,Partner_Tickets!AL:AL,"",0)="Free","Free",IF(XLOOKUP($A51,Partner_Tickets!$A:$A,Partner_Tickets!AL:AL,"",0)="VL","VL",IF(XLOOKUP($A51,Partner_Tickets!$A:$A,Partner_Tickets!AL:AL,"",0)="ATT","ATT",XLOOKUP($A51,Partner_Tickets!$A:$A,Partner_Tickets!AL:AL,"",0))))</f>
        <v>Free</v>
      </c>
      <c r="AM51" s="42"/>
    </row>
    <row r="52">
      <c r="A52" s="47" t="s">
        <v>183</v>
      </c>
      <c r="B52" s="35" t="str">
        <f t="array" ref="B52">XLOOKUP(A52,Roster!F:F,Roster!A:A,"")</f>
        <v>Luis Vidal</v>
      </c>
      <c r="C52" s="35" t="str">
        <f t="array" ref="C52">XLOOKUP(A52,Roster!F:F,Roster!B:B,"")</f>
        <v>Sebastian Herrera</v>
      </c>
      <c r="D52" s="48"/>
      <c r="E52" s="42">
        <f t="array" ref="E52">IF(XLOOKUP($A52,Partner_Tickets!$A:$A,Partner_Tickets!E:E,"",0)="Free","Free",IF(XLOOKUP($A52,Partner_Tickets!$A:$A,Partner_Tickets!E:E,"",0)="VL","VL",IF(XLOOKUP($A52,Partner_Tickets!$A:$A,Partner_Tickets!E:E,"",0)="ATT","ATT",XLOOKUP($A52,Partner_Tickets!$A:$A,Partner_Tickets!E:E,"",0))))</f>
        <v>0.2916666667</v>
      </c>
      <c r="F52" s="42">
        <f t="array" ref="F52">IF(XLOOKUP($A52,Partner_Tickets!$A:$A,Partner_Tickets!F:F,"",0)="Free","Free",IF(XLOOKUP($A52,Partner_Tickets!$A:$A,Partner_Tickets!F:F,"",0)="VL","VL",IF(XLOOKUP($A52,Partner_Tickets!$A:$A,Partner_Tickets!F:F,"",0)="ATT","ATT",XLOOKUP($A52,Partner_Tickets!$A:$A,Partner_Tickets!F:F,"",0))))</f>
        <v>0.2916666667</v>
      </c>
      <c r="G52" s="42">
        <f t="array" ref="G52">IF(XLOOKUP($A52,Partner_Tickets!$A:$A,Partner_Tickets!G:G,"",0)="Free","Free",IF(XLOOKUP($A52,Partner_Tickets!$A:$A,Partner_Tickets!G:G,"",0)="VL","VL",IF(XLOOKUP($A52,Partner_Tickets!$A:$A,Partner_Tickets!G:G,"",0)="ATT","ATT",XLOOKUP($A52,Partner_Tickets!$A:$A,Partner_Tickets!G:G,"",0))))</f>
        <v>0.2916666667</v>
      </c>
      <c r="H52" s="42">
        <f t="array" ref="H52">IF(XLOOKUP($A52,Partner_Tickets!$A:$A,Partner_Tickets!H:H,"",0)="Free","Free",IF(XLOOKUP($A52,Partner_Tickets!$A:$A,Partner_Tickets!H:H,"",0)="VL","VL",IF(XLOOKUP($A52,Partner_Tickets!$A:$A,Partner_Tickets!H:H,"",0)="ATT","ATT",XLOOKUP($A52,Partner_Tickets!$A:$A,Partner_Tickets!H:H,"",0))))</f>
        <v>0.2916666667</v>
      </c>
      <c r="I52" s="42">
        <f t="array" ref="I52">IF(XLOOKUP($A52,Partner_Tickets!$A:$A,Partner_Tickets!I:I,"",0)="Free","Free",IF(XLOOKUP($A52,Partner_Tickets!$A:$A,Partner_Tickets!I:I,"",0)="VL","VL",IF(XLOOKUP($A52,Partner_Tickets!$A:$A,Partner_Tickets!I:I,"",0)="ATT","ATT",XLOOKUP($A52,Partner_Tickets!$A:$A,Partner_Tickets!I:I,"",0))))</f>
        <v>0.2916666667</v>
      </c>
      <c r="J52" s="42" t="str">
        <f t="array" ref="J52">IF(XLOOKUP($A52,Partner_Tickets!$A:$A,Partner_Tickets!J:J,"",0)="Free","Free",IF(XLOOKUP($A52,Partner_Tickets!$A:$A,Partner_Tickets!J:J,"",0)="VL","VL",IF(XLOOKUP($A52,Partner_Tickets!$A:$A,Partner_Tickets!J:J,"",0)="ATT","ATT",XLOOKUP($A52,Partner_Tickets!$A:$A,Partner_Tickets!J:J,"",0))))</f>
        <v>Free</v>
      </c>
      <c r="K52" s="42" t="str">
        <f t="array" ref="K52">IF(XLOOKUP($A52,Partner_Tickets!$A:$A,Partner_Tickets!K:K,"",0)="Free","Free",IF(XLOOKUP($A52,Partner_Tickets!$A:$A,Partner_Tickets!K:K,"",0)="VL","VL",IF(XLOOKUP($A52,Partner_Tickets!$A:$A,Partner_Tickets!K:K,"",0)="ATT","ATT",XLOOKUP($A52,Partner_Tickets!$A:$A,Partner_Tickets!K:K,"",0))))</f>
        <v/>
      </c>
      <c r="L52" s="42">
        <f t="array" ref="L52">IF(XLOOKUP($A52,Partner_Tickets!$A:$A,Partner_Tickets!L:L,"",0)="Free","Free",IF(XLOOKUP($A52,Partner_Tickets!$A:$A,Partner_Tickets!L:L,"",0)="VL","VL",IF(XLOOKUP($A52,Partner_Tickets!$A:$A,Partner_Tickets!L:L,"",0)="ATT","ATT",XLOOKUP($A52,Partner_Tickets!$A:$A,Partner_Tickets!L:L,"",0))))</f>
        <v>0.2916666667</v>
      </c>
      <c r="M52" s="42">
        <f t="array" ref="M52">IF(XLOOKUP($A52,Partner_Tickets!$A:$A,Partner_Tickets!M:M,"",0)="Free","Free",IF(XLOOKUP($A52,Partner_Tickets!$A:$A,Partner_Tickets!M:M,"",0)="VL","VL",IF(XLOOKUP($A52,Partner_Tickets!$A:$A,Partner_Tickets!M:M,"",0)="ATT","ATT",XLOOKUP($A52,Partner_Tickets!$A:$A,Partner_Tickets!M:M,"",0))))</f>
        <v>0.2916666667</v>
      </c>
      <c r="N52" s="42">
        <f t="array" ref="N52">IF(XLOOKUP($A52,Partner_Tickets!$A:$A,Partner_Tickets!N:N,"",0)="Free","Free",IF(XLOOKUP($A52,Partner_Tickets!$A:$A,Partner_Tickets!N:N,"",0)="VL","VL",IF(XLOOKUP($A52,Partner_Tickets!$A:$A,Partner_Tickets!N:N,"",0)="ATT","ATT",XLOOKUP($A52,Partner_Tickets!$A:$A,Partner_Tickets!N:N,"",0))))</f>
        <v>0.2916666667</v>
      </c>
      <c r="O52" s="42">
        <f t="array" ref="O52">IF(XLOOKUP($A52,Partner_Tickets!$A:$A,Partner_Tickets!O:O,"",0)="Free","Free",IF(XLOOKUP($A52,Partner_Tickets!$A:$A,Partner_Tickets!O:O,"",0)="VL","VL",IF(XLOOKUP($A52,Partner_Tickets!$A:$A,Partner_Tickets!O:O,"",0)="ATT","ATT",XLOOKUP($A52,Partner_Tickets!$A:$A,Partner_Tickets!O:O,"",0))))</f>
        <v>0.2916666667</v>
      </c>
      <c r="P52" s="42">
        <f t="array" ref="P52">IF(XLOOKUP($A52,Partner_Tickets!$A:$A,Partner_Tickets!P:P,"",0)="Free","Free",IF(XLOOKUP($A52,Partner_Tickets!$A:$A,Partner_Tickets!P:P,"",0)="VL","VL",IF(XLOOKUP($A52,Partner_Tickets!$A:$A,Partner_Tickets!P:P,"",0)="ATT","ATT",XLOOKUP($A52,Partner_Tickets!$A:$A,Partner_Tickets!P:P,"",0))))</f>
        <v>0.2916666667</v>
      </c>
      <c r="Q52" s="42" t="str">
        <f t="array" ref="Q52">IF(XLOOKUP($A52,Partner_Tickets!$A:$A,Partner_Tickets!Q:Q,"",0)="Free","Free",IF(XLOOKUP($A52,Partner_Tickets!$A:$A,Partner_Tickets!Q:Q,"",0)="VL","VL",IF(XLOOKUP($A52,Partner_Tickets!$A:$A,Partner_Tickets!Q:Q,"",0)="ATT","ATT",XLOOKUP($A52,Partner_Tickets!$A:$A,Partner_Tickets!Q:Q,"",0))))</f>
        <v>Free</v>
      </c>
      <c r="R52" s="42"/>
      <c r="S52" s="42">
        <f t="array" ref="S52">IF(XLOOKUP($A52,Partner_Tickets!$A:$A,Partner_Tickets!S:S,"",0)="Free","Free",IF(XLOOKUP($A52,Partner_Tickets!$A:$A,Partner_Tickets!S:S,"",0)="VL","VL",IF(XLOOKUP($A52,Partner_Tickets!$A:$A,Partner_Tickets!S:S,"",0)="ATT","ATT",XLOOKUP($A52,Partner_Tickets!$A:$A,Partner_Tickets!S:S,"",0))))</f>
        <v>0.2916666667</v>
      </c>
      <c r="T52" s="42">
        <f t="array" ref="T52">IF(XLOOKUP($A52,Partner_Tickets!$A:$A,Partner_Tickets!T:T,"",0)="Free","Free",IF(XLOOKUP($A52,Partner_Tickets!$A:$A,Partner_Tickets!T:T,"",0)="VL","VL",IF(XLOOKUP($A52,Partner_Tickets!$A:$A,Partner_Tickets!T:T,"",0)="ATT","ATT",XLOOKUP($A52,Partner_Tickets!$A:$A,Partner_Tickets!T:T,"",0))))</f>
        <v>0.2916666667</v>
      </c>
      <c r="U52" s="42">
        <f t="array" ref="U52">IF(XLOOKUP($A52,Partner_Tickets!$A:$A,Partner_Tickets!U:U,"",0)="Free","Free",IF(XLOOKUP($A52,Partner_Tickets!$A:$A,Partner_Tickets!U:U,"",0)="VL","VL",IF(XLOOKUP($A52,Partner_Tickets!$A:$A,Partner_Tickets!U:U,"",0)="ATT","ATT",XLOOKUP($A52,Partner_Tickets!$A:$A,Partner_Tickets!U:U,"",0))))</f>
        <v>0.2916666667</v>
      </c>
      <c r="V52" s="42">
        <f t="array" ref="V52">IF(XLOOKUP($A52,Partner_Tickets!$A:$A,Partner_Tickets!V:V,"",0)="Free","Free",IF(XLOOKUP($A52,Partner_Tickets!$A:$A,Partner_Tickets!V:V,"",0)="VL","VL",IF(XLOOKUP($A52,Partner_Tickets!$A:$A,Partner_Tickets!V:V,"",0)="ATT","ATT",XLOOKUP($A52,Partner_Tickets!$A:$A,Partner_Tickets!V:V,"",0))))</f>
        <v>0.2916666667</v>
      </c>
      <c r="W52" s="42">
        <f t="array" ref="W52">IF(XLOOKUP($A52,Partner_Tickets!$A:$A,Partner_Tickets!W:W,"",0)="Free","Free",IF(XLOOKUP($A52,Partner_Tickets!$A:$A,Partner_Tickets!W:W,"",0)="VL","VL",IF(XLOOKUP($A52,Partner_Tickets!$A:$A,Partner_Tickets!W:W,"",0)="ATT","ATT",XLOOKUP($A52,Partner_Tickets!$A:$A,Partner_Tickets!W:W,"",0))))</f>
        <v>0.2916666667</v>
      </c>
      <c r="X52" s="42" t="str">
        <f t="array" ref="X52">IF(XLOOKUP($A52,Partner_Tickets!$A:$A,Partner_Tickets!X:X,"",0)="Free","Free",IF(XLOOKUP($A52,Partner_Tickets!$A:$A,Partner_Tickets!X:X,"",0)="VL","VL",IF(XLOOKUP($A52,Partner_Tickets!$A:$A,Partner_Tickets!X:X,"",0)="ATT","ATT",XLOOKUP($A52,Partner_Tickets!$A:$A,Partner_Tickets!X:X,"",0))))</f>
        <v>Free</v>
      </c>
      <c r="Y52" s="42"/>
      <c r="Z52" s="42">
        <f t="array" ref="Z52">IF(XLOOKUP($A52,Partner_Tickets!$A:$A,Partner_Tickets!Z:Z,"",0)="Free","Free",IF(XLOOKUP($A52,Partner_Tickets!$A:$A,Partner_Tickets!Z:Z,"",0)="VL","VL",IF(XLOOKUP($A52,Partner_Tickets!$A:$A,Partner_Tickets!Z:Z,"",0)="ATT","ATT",XLOOKUP($A52,Partner_Tickets!$A:$A,Partner_Tickets!Z:Z,"",0))))</f>
        <v>0.2916666667</v>
      </c>
      <c r="AA52" s="42">
        <f t="array" ref="AA52">IF(XLOOKUP($A52,Partner_Tickets!$A:$A,Partner_Tickets!AA:AA,"",0)="Free","Free",IF(XLOOKUP($A52,Partner_Tickets!$A:$A,Partner_Tickets!AA:AA,"",0)="VL","VL",IF(XLOOKUP($A52,Partner_Tickets!$A:$A,Partner_Tickets!AA:AA,"",0)="ATT","ATT",XLOOKUP($A52,Partner_Tickets!$A:$A,Partner_Tickets!AA:AA,"",0))))</f>
        <v>0.2916666667</v>
      </c>
      <c r="AB52" s="42">
        <f t="array" ref="AB52">IF(XLOOKUP($A52,Partner_Tickets!$A:$A,Partner_Tickets!AB:AB,"",0)="Free","Free",IF(XLOOKUP($A52,Partner_Tickets!$A:$A,Partner_Tickets!AB:AB,"",0)="VL","VL",IF(XLOOKUP($A52,Partner_Tickets!$A:$A,Partner_Tickets!AB:AB,"",0)="ATT","ATT",XLOOKUP($A52,Partner_Tickets!$A:$A,Partner_Tickets!AB:AB,"",0))))</f>
        <v>0.2916666667</v>
      </c>
      <c r="AC52" s="42">
        <f t="array" ref="AC52">IF(XLOOKUP($A52,Partner_Tickets!$A:$A,Partner_Tickets!AC:AC,"",0)="Free","Free",IF(XLOOKUP($A52,Partner_Tickets!$A:$A,Partner_Tickets!AC:AC,"",0)="VL","VL",IF(XLOOKUP($A52,Partner_Tickets!$A:$A,Partner_Tickets!AC:AC,"",0)="ATT","ATT",XLOOKUP($A52,Partner_Tickets!$A:$A,Partner_Tickets!AC:AC,"",0))))</f>
        <v>0.2916666667</v>
      </c>
      <c r="AD52" s="42">
        <f t="array" ref="AD52">IF(XLOOKUP($A52,Partner_Tickets!$A:$A,Partner_Tickets!AD:AD,"",0)="Free","Free",IF(XLOOKUP($A52,Partner_Tickets!$A:$A,Partner_Tickets!AD:AD,"",0)="VL","VL",IF(XLOOKUP($A52,Partner_Tickets!$A:$A,Partner_Tickets!AD:AD,"",0)="ATT","ATT",XLOOKUP($A52,Partner_Tickets!$A:$A,Partner_Tickets!AD:AD,"",0))))</f>
        <v>0.2916666667</v>
      </c>
      <c r="AE52" s="42" t="str">
        <f t="array" ref="AE52">IF(XLOOKUP($A52,Partner_Tickets!$A:$A,Partner_Tickets!AE:AE,"",0)="Free","Free",IF(XLOOKUP($A52,Partner_Tickets!$A:$A,Partner_Tickets!AE:AE,"",0)="VL","VL",IF(XLOOKUP($A52,Partner_Tickets!$A:$A,Partner_Tickets!AE:AE,"",0)="ATT","ATT",XLOOKUP($A52,Partner_Tickets!$A:$A,Partner_Tickets!AE:AE,"",0))))</f>
        <v>Free</v>
      </c>
      <c r="AF52" s="42"/>
      <c r="AG52" s="42">
        <f t="array" ref="AG52">IF(XLOOKUP($A52,Partner_Tickets!$A:$A,Partner_Tickets!AG:AG,"",0)="Free","Free",IF(XLOOKUP($A52,Partner_Tickets!$A:$A,Partner_Tickets!AG:AG,"",0)="VL","VL",IF(XLOOKUP($A52,Partner_Tickets!$A:$A,Partner_Tickets!AG:AG,"",0)="ATT","ATT",XLOOKUP($A52,Partner_Tickets!$A:$A,Partner_Tickets!AG:AG,"",0))))</f>
        <v>0.2916666667</v>
      </c>
      <c r="AH52" s="42">
        <f t="array" ref="AH52">IF(XLOOKUP($A52,Partner_Tickets!$A:$A,Partner_Tickets!AH:AH,"",0)="Free","Free",IF(XLOOKUP($A52,Partner_Tickets!$A:$A,Partner_Tickets!AH:AH,"",0)="VL","VL",IF(XLOOKUP($A52,Partner_Tickets!$A:$A,Partner_Tickets!AH:AH,"",0)="ATT","ATT",XLOOKUP($A52,Partner_Tickets!$A:$A,Partner_Tickets!AH:AH,"",0))))</f>
        <v>0.2916666667</v>
      </c>
      <c r="AI52" s="42">
        <f t="array" ref="AI52">IF(XLOOKUP($A52,Partner_Tickets!$A:$A,Partner_Tickets!AI:AI,"",0)="Free","Free",IF(XLOOKUP($A52,Partner_Tickets!$A:$A,Partner_Tickets!AI:AI,"",0)="VL","VL",IF(XLOOKUP($A52,Partner_Tickets!$A:$A,Partner_Tickets!AI:AI,"",0)="ATT","ATT",XLOOKUP($A52,Partner_Tickets!$A:$A,Partner_Tickets!AI:AI,"",0))))</f>
        <v>0.2916666667</v>
      </c>
      <c r="AJ52" s="42">
        <f t="array" ref="AJ52">IF(XLOOKUP($A52,Partner_Tickets!$A:$A,Partner_Tickets!AJ:AJ,"",0)="Free","Free",IF(XLOOKUP($A52,Partner_Tickets!$A:$A,Partner_Tickets!AJ:AJ,"",0)="VL","VL",IF(XLOOKUP($A52,Partner_Tickets!$A:$A,Partner_Tickets!AJ:AJ,"",0)="ATT","ATT",XLOOKUP($A52,Partner_Tickets!$A:$A,Partner_Tickets!AJ:AJ,"",0))))</f>
        <v>0.2916666667</v>
      </c>
      <c r="AK52" s="42">
        <f t="array" ref="AK52">IF(XLOOKUP($A52,Partner_Tickets!$A:$A,Partner_Tickets!AK:AK,"",0)="Free","Free",IF(XLOOKUP($A52,Partner_Tickets!$A:$A,Partner_Tickets!AK:AK,"",0)="VL","VL",IF(XLOOKUP($A52,Partner_Tickets!$A:$A,Partner_Tickets!AK:AK,"",0)="ATT","ATT",XLOOKUP($A52,Partner_Tickets!$A:$A,Partner_Tickets!AK:AK,"",0))))</f>
        <v>0.2916666667</v>
      </c>
      <c r="AL52" s="42" t="str">
        <f t="array" ref="AL52">IF(XLOOKUP($A52,Partner_Tickets!$A:$A,Partner_Tickets!AL:AL,"",0)="Free","Free",IF(XLOOKUP($A52,Partner_Tickets!$A:$A,Partner_Tickets!AL:AL,"",0)="VL","VL",IF(XLOOKUP($A52,Partner_Tickets!$A:$A,Partner_Tickets!AL:AL,"",0)="ATT","ATT",XLOOKUP($A52,Partner_Tickets!$A:$A,Partner_Tickets!AL:AL,"",0))))</f>
        <v>Free</v>
      </c>
      <c r="AM52" s="42"/>
    </row>
    <row r="53">
      <c r="A53" s="43" t="s">
        <v>184</v>
      </c>
      <c r="B53" s="44" t="str">
        <f t="array" ref="B53">XLOOKUP(A53,Roster!F:F,Roster!A:A,"",0)</f>
        <v>Luis Vidal</v>
      </c>
      <c r="C53" s="44" t="str">
        <f t="array" ref="C53">XLOOKUP(A53,Roster!F:F,Roster!B:B,"",0)</f>
        <v>Sebastian Martinez</v>
      </c>
      <c r="D53" s="49"/>
      <c r="E53" s="42">
        <f t="array" ref="E53">IF(XLOOKUP($A53,Partner_Tickets!$A:$A,Partner_Tickets!E:E,"",0)="Free","Free",IF(XLOOKUP($A53,Partner_Tickets!$A:$A,Partner_Tickets!E:E,"",0)="VL","VL",IF(XLOOKUP($A53,Partner_Tickets!$A:$A,Partner_Tickets!E:E,"",0)="ATT","ATT",XLOOKUP($A53,Partner_Tickets!$A:$A,Partner_Tickets!E:E,"",0))))</f>
        <v>0.3333333333</v>
      </c>
      <c r="F53" s="42">
        <f t="array" ref="F53">IF(XLOOKUP($A53,Partner_Tickets!$A:$A,Partner_Tickets!F:F,"",0)="Free","Free",IF(XLOOKUP($A53,Partner_Tickets!$A:$A,Partner_Tickets!F:F,"",0)="VL","VL",IF(XLOOKUP($A53,Partner_Tickets!$A:$A,Partner_Tickets!F:F,"",0)="ATT","ATT",XLOOKUP($A53,Partner_Tickets!$A:$A,Partner_Tickets!F:F,"",0))))</f>
        <v>0.3333333333</v>
      </c>
      <c r="G53" s="42">
        <f t="array" ref="G53">IF(XLOOKUP($A53,Partner_Tickets!$A:$A,Partner_Tickets!G:G,"",0)="Free","Free",IF(XLOOKUP($A53,Partner_Tickets!$A:$A,Partner_Tickets!G:G,"",0)="VL","VL",IF(XLOOKUP($A53,Partner_Tickets!$A:$A,Partner_Tickets!G:G,"",0)="ATT","ATT",XLOOKUP($A53,Partner_Tickets!$A:$A,Partner_Tickets!G:G,"",0))))</f>
        <v>0.3333333333</v>
      </c>
      <c r="H53" s="42">
        <f t="array" ref="H53">IF(XLOOKUP($A53,Partner_Tickets!$A:$A,Partner_Tickets!H:H,"",0)="Free","Free",IF(XLOOKUP($A53,Partner_Tickets!$A:$A,Partner_Tickets!H:H,"",0)="VL","VL",IF(XLOOKUP($A53,Partner_Tickets!$A:$A,Partner_Tickets!H:H,"",0)="ATT","ATT",XLOOKUP($A53,Partner_Tickets!$A:$A,Partner_Tickets!H:H,"",0))))</f>
        <v>0.3333333333</v>
      </c>
      <c r="I53" s="42">
        <f t="array" ref="I53">IF(XLOOKUP($A53,Partner_Tickets!$A:$A,Partner_Tickets!I:I,"",0)="Free","Free",IF(XLOOKUP($A53,Partner_Tickets!$A:$A,Partner_Tickets!I:I,"",0)="VL","VL",IF(XLOOKUP($A53,Partner_Tickets!$A:$A,Partner_Tickets!I:I,"",0)="ATT","ATT",XLOOKUP($A53,Partner_Tickets!$A:$A,Partner_Tickets!I:I,"",0))))</f>
        <v>0.3333333333</v>
      </c>
      <c r="J53" s="42" t="str">
        <f t="array" ref="J53">IF(XLOOKUP($A53,Partner_Tickets!$A:$A,Partner_Tickets!J:J,"",0)="Free","Free",IF(XLOOKUP($A53,Partner_Tickets!$A:$A,Partner_Tickets!J:J,"",0)="VL","VL",IF(XLOOKUP($A53,Partner_Tickets!$A:$A,Partner_Tickets!J:J,"",0)="ATT","ATT",XLOOKUP($A53,Partner_Tickets!$A:$A,Partner_Tickets!J:J,"",0))))</f>
        <v>Free</v>
      </c>
      <c r="K53" s="42" t="str">
        <f t="array" ref="K53">IF(XLOOKUP($A53,Partner_Tickets!$A:$A,Partner_Tickets!K:K,"",0)="Free","Free",IF(XLOOKUP($A53,Partner_Tickets!$A:$A,Partner_Tickets!K:K,"",0)="VL","VL",IF(XLOOKUP($A53,Partner_Tickets!$A:$A,Partner_Tickets!K:K,"",0)="ATT","ATT",XLOOKUP($A53,Partner_Tickets!$A:$A,Partner_Tickets!K:K,"",0))))</f>
        <v/>
      </c>
      <c r="L53" s="42">
        <f t="array" ref="L53">IF(XLOOKUP($A53,Partner_Tickets!$A:$A,Partner_Tickets!L:L,"",0)="Free","Free",IF(XLOOKUP($A53,Partner_Tickets!$A:$A,Partner_Tickets!L:L,"",0)="VL","VL",IF(XLOOKUP($A53,Partner_Tickets!$A:$A,Partner_Tickets!L:L,"",0)="ATT","ATT",XLOOKUP($A53,Partner_Tickets!$A:$A,Partner_Tickets!L:L,"",0))))</f>
        <v>0.3333333333</v>
      </c>
      <c r="M53" s="42">
        <f t="array" ref="M53">IF(XLOOKUP($A53,Partner_Tickets!$A:$A,Partner_Tickets!M:M,"",0)="Free","Free",IF(XLOOKUP($A53,Partner_Tickets!$A:$A,Partner_Tickets!M:M,"",0)="VL","VL",IF(XLOOKUP($A53,Partner_Tickets!$A:$A,Partner_Tickets!M:M,"",0)="ATT","ATT",XLOOKUP($A53,Partner_Tickets!$A:$A,Partner_Tickets!M:M,"",0))))</f>
        <v>0.3333333333</v>
      </c>
      <c r="N53" s="42">
        <f t="array" ref="N53">IF(XLOOKUP($A53,Partner_Tickets!$A:$A,Partner_Tickets!N:N,"",0)="Free","Free",IF(XLOOKUP($A53,Partner_Tickets!$A:$A,Partner_Tickets!N:N,"",0)="VL","VL",IF(XLOOKUP($A53,Partner_Tickets!$A:$A,Partner_Tickets!N:N,"",0)="ATT","ATT",XLOOKUP($A53,Partner_Tickets!$A:$A,Partner_Tickets!N:N,"",0))))</f>
        <v>0.3333333333</v>
      </c>
      <c r="O53" s="42" t="str">
        <f t="array" ref="O53">IF(XLOOKUP($A53,Partner_Tickets!$A:$A,Partner_Tickets!O:O,"",0)="Free","Free",IF(XLOOKUP($A53,Partner_Tickets!$A:$A,Partner_Tickets!O:O,"",0)="VL","VL",IF(XLOOKUP($A53,Partner_Tickets!$A:$A,Partner_Tickets!O:O,"",0)="ATT","ATT",XLOOKUP($A53,Partner_Tickets!$A:$A,Partner_Tickets!O:O,"",0))))</f>
        <v>Free</v>
      </c>
      <c r="P53" s="42">
        <f t="array" ref="P53">IF(XLOOKUP($A53,Partner_Tickets!$A:$A,Partner_Tickets!P:P,"",0)="Free","Free",IF(XLOOKUP($A53,Partner_Tickets!$A:$A,Partner_Tickets!P:P,"",0)="VL","VL",IF(XLOOKUP($A53,Partner_Tickets!$A:$A,Partner_Tickets!P:P,"",0)="ATT","ATT",XLOOKUP($A53,Partner_Tickets!$A:$A,Partner_Tickets!P:P,"",0))))</f>
        <v>0.3333333333</v>
      </c>
      <c r="Q53" s="42">
        <f t="array" ref="Q53">IF(XLOOKUP($A53,Partner_Tickets!$A:$A,Partner_Tickets!Q:Q,"",0)="Free","Free",IF(XLOOKUP($A53,Partner_Tickets!$A:$A,Partner_Tickets!Q:Q,"",0)="VL","VL",IF(XLOOKUP($A53,Partner_Tickets!$A:$A,Partner_Tickets!Q:Q,"",0)="ATT","ATT",XLOOKUP($A53,Partner_Tickets!$A:$A,Partner_Tickets!Q:Q,"",0))))</f>
        <v>0.3333333333</v>
      </c>
      <c r="R53" s="42"/>
      <c r="S53" s="42">
        <f t="array" ref="S53">IF(XLOOKUP($A53,Partner_Tickets!$A:$A,Partner_Tickets!S:S,"",0)="Free","Free",IF(XLOOKUP($A53,Partner_Tickets!$A:$A,Partner_Tickets!S:S,"",0)="VL","VL",IF(XLOOKUP($A53,Partner_Tickets!$A:$A,Partner_Tickets!S:S,"",0)="ATT","ATT",XLOOKUP($A53,Partner_Tickets!$A:$A,Partner_Tickets!S:S,"",0))))</f>
        <v>0.3333333333</v>
      </c>
      <c r="T53" s="42">
        <f t="array" ref="T53">IF(XLOOKUP($A53,Partner_Tickets!$A:$A,Partner_Tickets!T:T,"",0)="Free","Free",IF(XLOOKUP($A53,Partner_Tickets!$A:$A,Partner_Tickets!T:T,"",0)="VL","VL",IF(XLOOKUP($A53,Partner_Tickets!$A:$A,Partner_Tickets!T:T,"",0)="ATT","ATT",XLOOKUP($A53,Partner_Tickets!$A:$A,Partner_Tickets!T:T,"",0))))</f>
        <v>0.3333333333</v>
      </c>
      <c r="U53" s="42">
        <f t="array" ref="U53">IF(XLOOKUP($A53,Partner_Tickets!$A:$A,Partner_Tickets!U:U,"",0)="Free","Free",IF(XLOOKUP($A53,Partner_Tickets!$A:$A,Partner_Tickets!U:U,"",0)="VL","VL",IF(XLOOKUP($A53,Partner_Tickets!$A:$A,Partner_Tickets!U:U,"",0)="ATT","ATT",XLOOKUP($A53,Partner_Tickets!$A:$A,Partner_Tickets!U:U,"",0))))</f>
        <v>0.3333333333</v>
      </c>
      <c r="V53" s="42">
        <f t="array" ref="V53">IF(XLOOKUP($A53,Partner_Tickets!$A:$A,Partner_Tickets!V:V,"",0)="Free","Free",IF(XLOOKUP($A53,Partner_Tickets!$A:$A,Partner_Tickets!V:V,"",0)="VL","VL",IF(XLOOKUP($A53,Partner_Tickets!$A:$A,Partner_Tickets!V:V,"",0)="ATT","ATT",XLOOKUP($A53,Partner_Tickets!$A:$A,Partner_Tickets!V:V,"",0))))</f>
        <v>0.3333333333</v>
      </c>
      <c r="W53" s="42">
        <f t="array" ref="W53">IF(XLOOKUP($A53,Partner_Tickets!$A:$A,Partner_Tickets!W:W,"",0)="Free","Free",IF(XLOOKUP($A53,Partner_Tickets!$A:$A,Partner_Tickets!W:W,"",0)="VL","VL",IF(XLOOKUP($A53,Partner_Tickets!$A:$A,Partner_Tickets!W:W,"",0)="ATT","ATT",XLOOKUP($A53,Partner_Tickets!$A:$A,Partner_Tickets!W:W,"",0))))</f>
        <v>0.3333333333</v>
      </c>
      <c r="X53" s="42" t="str">
        <f t="array" ref="X53">IF(XLOOKUP($A53,Partner_Tickets!$A:$A,Partner_Tickets!X:X,"",0)="Free","Free",IF(XLOOKUP($A53,Partner_Tickets!$A:$A,Partner_Tickets!X:X,"",0)="VL","VL",IF(XLOOKUP($A53,Partner_Tickets!$A:$A,Partner_Tickets!X:X,"",0)="ATT","ATT",XLOOKUP($A53,Partner_Tickets!$A:$A,Partner_Tickets!X:X,"",0))))</f>
        <v>Free</v>
      </c>
      <c r="Y53" s="42"/>
      <c r="Z53" s="42">
        <f t="array" ref="Z53">IF(XLOOKUP($A53,Partner_Tickets!$A:$A,Partner_Tickets!Z:Z,"",0)="Free","Free",IF(XLOOKUP($A53,Partner_Tickets!$A:$A,Partner_Tickets!Z:Z,"",0)="VL","VL",IF(XLOOKUP($A53,Partner_Tickets!$A:$A,Partner_Tickets!Z:Z,"",0)="ATT","ATT",XLOOKUP($A53,Partner_Tickets!$A:$A,Partner_Tickets!Z:Z,"",0))))</f>
        <v>0.3333333333</v>
      </c>
      <c r="AA53" s="42">
        <f t="array" ref="AA53">IF(XLOOKUP($A53,Partner_Tickets!$A:$A,Partner_Tickets!AA:AA,"",0)="Free","Free",IF(XLOOKUP($A53,Partner_Tickets!$A:$A,Partner_Tickets!AA:AA,"",0)="VL","VL",IF(XLOOKUP($A53,Partner_Tickets!$A:$A,Partner_Tickets!AA:AA,"",0)="ATT","ATT",XLOOKUP($A53,Partner_Tickets!$A:$A,Partner_Tickets!AA:AA,"",0))))</f>
        <v>0.3333333333</v>
      </c>
      <c r="AB53" s="42">
        <f t="array" ref="AB53">IF(XLOOKUP($A53,Partner_Tickets!$A:$A,Partner_Tickets!AB:AB,"",0)="Free","Free",IF(XLOOKUP($A53,Partner_Tickets!$A:$A,Partner_Tickets!AB:AB,"",0)="VL","VL",IF(XLOOKUP($A53,Partner_Tickets!$A:$A,Partner_Tickets!AB:AB,"",0)="ATT","ATT",XLOOKUP($A53,Partner_Tickets!$A:$A,Partner_Tickets!AB:AB,"",0))))</f>
        <v>0.3333333333</v>
      </c>
      <c r="AC53" s="42">
        <f t="array" ref="AC53">IF(XLOOKUP($A53,Partner_Tickets!$A:$A,Partner_Tickets!AC:AC,"",0)="Free","Free",IF(XLOOKUP($A53,Partner_Tickets!$A:$A,Partner_Tickets!AC:AC,"",0)="VL","VL",IF(XLOOKUP($A53,Partner_Tickets!$A:$A,Partner_Tickets!AC:AC,"",0)="ATT","ATT",XLOOKUP($A53,Partner_Tickets!$A:$A,Partner_Tickets!AC:AC,"",0))))</f>
        <v>0.3333333333</v>
      </c>
      <c r="AD53" s="42">
        <f t="array" ref="AD53">IF(XLOOKUP($A53,Partner_Tickets!$A:$A,Partner_Tickets!AD:AD,"",0)="Free","Free",IF(XLOOKUP($A53,Partner_Tickets!$A:$A,Partner_Tickets!AD:AD,"",0)="VL","VL",IF(XLOOKUP($A53,Partner_Tickets!$A:$A,Partner_Tickets!AD:AD,"",0)="ATT","ATT",XLOOKUP($A53,Partner_Tickets!$A:$A,Partner_Tickets!AD:AD,"",0))))</f>
        <v>0.3333333333</v>
      </c>
      <c r="AE53" s="42" t="str">
        <f t="array" ref="AE53">IF(XLOOKUP($A53,Partner_Tickets!$A:$A,Partner_Tickets!AE:AE,"",0)="Free","Free",IF(XLOOKUP($A53,Partner_Tickets!$A:$A,Partner_Tickets!AE:AE,"",0)="VL","VL",IF(XLOOKUP($A53,Partner_Tickets!$A:$A,Partner_Tickets!AE:AE,"",0)="ATT","ATT",XLOOKUP($A53,Partner_Tickets!$A:$A,Partner_Tickets!AE:AE,"",0))))</f>
        <v>Free</v>
      </c>
      <c r="AF53" s="42"/>
      <c r="AG53" s="42">
        <f t="array" ref="AG53">IF(XLOOKUP($A53,Partner_Tickets!$A:$A,Partner_Tickets!AG:AG,"",0)="Free","Free",IF(XLOOKUP($A53,Partner_Tickets!$A:$A,Partner_Tickets!AG:AG,"",0)="VL","VL",IF(XLOOKUP($A53,Partner_Tickets!$A:$A,Partner_Tickets!AG:AG,"",0)="ATT","ATT",XLOOKUP($A53,Partner_Tickets!$A:$A,Partner_Tickets!AG:AG,"",0))))</f>
        <v>0.3333333333</v>
      </c>
      <c r="AH53" s="42">
        <f t="array" ref="AH53">IF(XLOOKUP($A53,Partner_Tickets!$A:$A,Partner_Tickets!AH:AH,"",0)="Free","Free",IF(XLOOKUP($A53,Partner_Tickets!$A:$A,Partner_Tickets!AH:AH,"",0)="VL","VL",IF(XLOOKUP($A53,Partner_Tickets!$A:$A,Partner_Tickets!AH:AH,"",0)="ATT","ATT",XLOOKUP($A53,Partner_Tickets!$A:$A,Partner_Tickets!AH:AH,"",0))))</f>
        <v>0.3333333333</v>
      </c>
      <c r="AI53" s="42">
        <f t="array" ref="AI53">IF(XLOOKUP($A53,Partner_Tickets!$A:$A,Partner_Tickets!AI:AI,"",0)="Free","Free",IF(XLOOKUP($A53,Partner_Tickets!$A:$A,Partner_Tickets!AI:AI,"",0)="VL","VL",IF(XLOOKUP($A53,Partner_Tickets!$A:$A,Partner_Tickets!AI:AI,"",0)="ATT","ATT",XLOOKUP($A53,Partner_Tickets!$A:$A,Partner_Tickets!AI:AI,"",0))))</f>
        <v>0.3333333333</v>
      </c>
      <c r="AJ53" s="42" t="str">
        <f t="array" ref="AJ53">IF(XLOOKUP($A53,Partner_Tickets!$A:$A,Partner_Tickets!AJ:AJ,"",0)="Free","Free",IF(XLOOKUP($A53,Partner_Tickets!$A:$A,Partner_Tickets!AJ:AJ,"",0)="VL","VL",IF(XLOOKUP($A53,Partner_Tickets!$A:$A,Partner_Tickets!AJ:AJ,"",0)="ATT","ATT",XLOOKUP($A53,Partner_Tickets!$A:$A,Partner_Tickets!AJ:AJ,"",0))))</f>
        <v>Free</v>
      </c>
      <c r="AK53" s="42">
        <f t="array" ref="AK53">IF(XLOOKUP($A53,Partner_Tickets!$A:$A,Partner_Tickets!AK:AK,"",0)="Free","Free",IF(XLOOKUP($A53,Partner_Tickets!$A:$A,Partner_Tickets!AK:AK,"",0)="VL","VL",IF(XLOOKUP($A53,Partner_Tickets!$A:$A,Partner_Tickets!AK:AK,"",0)="ATT","ATT",XLOOKUP($A53,Partner_Tickets!$A:$A,Partner_Tickets!AK:AK,"",0))))</f>
        <v>0.3333333333</v>
      </c>
      <c r="AL53" s="42">
        <f t="array" ref="AL53">IF(XLOOKUP($A53,Partner_Tickets!$A:$A,Partner_Tickets!AL:AL,"",0)="Free","Free",IF(XLOOKUP($A53,Partner_Tickets!$A:$A,Partner_Tickets!AL:AL,"",0)="VL","VL",IF(XLOOKUP($A53,Partner_Tickets!$A:$A,Partner_Tickets!AL:AL,"",0)="ATT","ATT",XLOOKUP($A53,Partner_Tickets!$A:$A,Partner_Tickets!AL:AL,"",0))))</f>
        <v>0.3333333333</v>
      </c>
      <c r="AM53" s="42"/>
    </row>
    <row r="54">
      <c r="A54" s="40" t="s">
        <v>185</v>
      </c>
      <c r="B54" s="44" t="str">
        <f t="array" ref="B54">XLOOKUP(A54,Roster!F:F,Roster!A:A,"",0)</f>
        <v>Luis Vidal</v>
      </c>
      <c r="C54" s="44" t="str">
        <f t="array" ref="C54">XLOOKUP(A54,Roster!F:F,Roster!B:B,"",0)</f>
        <v>Sebastian Rodriguez</v>
      </c>
      <c r="D54" s="48"/>
      <c r="E54" s="42">
        <f t="array" ref="E54">IF(XLOOKUP($A54,Partner_Tickets!$A:$A,Partner_Tickets!E:E,"",0)="Free","Free",IF(XLOOKUP($A54,Partner_Tickets!$A:$A,Partner_Tickets!E:E,"",0)="VL","VL",IF(XLOOKUP($A54,Partner_Tickets!$A:$A,Partner_Tickets!E:E,"",0)="ATT","ATT",XLOOKUP($A54,Partner_Tickets!$A:$A,Partner_Tickets!E:E,"",0))))</f>
        <v>0.3333333333</v>
      </c>
      <c r="F54" s="42">
        <f t="array" ref="F54">IF(XLOOKUP($A54,Partner_Tickets!$A:$A,Partner_Tickets!F:F,"",0)="Free","Free",IF(XLOOKUP($A54,Partner_Tickets!$A:$A,Partner_Tickets!F:F,"",0)="VL","VL",IF(XLOOKUP($A54,Partner_Tickets!$A:$A,Partner_Tickets!F:F,"",0)="ATT","ATT",XLOOKUP($A54,Partner_Tickets!$A:$A,Partner_Tickets!F:F,"",0))))</f>
        <v>0.3333333333</v>
      </c>
      <c r="G54" s="42">
        <f t="array" ref="G54">IF(XLOOKUP($A54,Partner_Tickets!$A:$A,Partner_Tickets!G:G,"",0)="Free","Free",IF(XLOOKUP($A54,Partner_Tickets!$A:$A,Partner_Tickets!G:G,"",0)="VL","VL",IF(XLOOKUP($A54,Partner_Tickets!$A:$A,Partner_Tickets!G:G,"",0)="ATT","ATT",XLOOKUP($A54,Partner_Tickets!$A:$A,Partner_Tickets!G:G,"",0))))</f>
        <v>0.3333333333</v>
      </c>
      <c r="H54" s="42" t="str">
        <f t="array" ref="H54">IF(XLOOKUP($A54,Partner_Tickets!$A:$A,Partner_Tickets!H:H,"",0)="Free","Free",IF(XLOOKUP($A54,Partner_Tickets!$A:$A,Partner_Tickets!H:H,"",0)="VL","VL",IF(XLOOKUP($A54,Partner_Tickets!$A:$A,Partner_Tickets!H:H,"",0)="ATT","ATT",XLOOKUP($A54,Partner_Tickets!$A:$A,Partner_Tickets!H:H,"",0))))</f>
        <v>Free</v>
      </c>
      <c r="I54" s="42">
        <f t="array" ref="I54">IF(XLOOKUP($A54,Partner_Tickets!$A:$A,Partner_Tickets!I:I,"",0)="Free","Free",IF(XLOOKUP($A54,Partner_Tickets!$A:$A,Partner_Tickets!I:I,"",0)="VL","VL",IF(XLOOKUP($A54,Partner_Tickets!$A:$A,Partner_Tickets!I:I,"",0)="ATT","ATT",XLOOKUP($A54,Partner_Tickets!$A:$A,Partner_Tickets!I:I,"",0))))</f>
        <v>0.3333333333</v>
      </c>
      <c r="J54" s="42">
        <f t="array" ref="J54">IF(XLOOKUP($A54,Partner_Tickets!$A:$A,Partner_Tickets!J:J,"",0)="Free","Free",IF(XLOOKUP($A54,Partner_Tickets!$A:$A,Partner_Tickets!J:J,"",0)="VL","VL",IF(XLOOKUP($A54,Partner_Tickets!$A:$A,Partner_Tickets!J:J,"",0)="ATT","ATT",XLOOKUP($A54,Partner_Tickets!$A:$A,Partner_Tickets!J:J,"",0))))</f>
        <v>0.3333333333</v>
      </c>
      <c r="K54" s="42" t="str">
        <f t="array" ref="K54">IF(XLOOKUP($A54,Partner_Tickets!$A:$A,Partner_Tickets!K:K,"",0)="Free","Free",IF(XLOOKUP($A54,Partner_Tickets!$A:$A,Partner_Tickets!K:K,"",0)="VL","VL",IF(XLOOKUP($A54,Partner_Tickets!$A:$A,Partner_Tickets!K:K,"",0)="ATT","ATT",XLOOKUP($A54,Partner_Tickets!$A:$A,Partner_Tickets!K:K,"",0))))</f>
        <v/>
      </c>
      <c r="L54" s="42">
        <f t="array" ref="L54">IF(XLOOKUP($A54,Partner_Tickets!$A:$A,Partner_Tickets!L:L,"",0)="Free","Free",IF(XLOOKUP($A54,Partner_Tickets!$A:$A,Partner_Tickets!L:L,"",0)="VL","VL",IF(XLOOKUP($A54,Partner_Tickets!$A:$A,Partner_Tickets!L:L,"",0)="ATT","ATT",XLOOKUP($A54,Partner_Tickets!$A:$A,Partner_Tickets!L:L,"",0))))</f>
        <v>0.3333333333</v>
      </c>
      <c r="M54" s="42">
        <f t="array" ref="M54">IF(XLOOKUP($A54,Partner_Tickets!$A:$A,Partner_Tickets!M:M,"",0)="Free","Free",IF(XLOOKUP($A54,Partner_Tickets!$A:$A,Partner_Tickets!M:M,"",0)="VL","VL",IF(XLOOKUP($A54,Partner_Tickets!$A:$A,Partner_Tickets!M:M,"",0)="ATT","ATT",XLOOKUP($A54,Partner_Tickets!$A:$A,Partner_Tickets!M:M,"",0))))</f>
        <v>0.3333333333</v>
      </c>
      <c r="N54" s="42">
        <f t="array" ref="N54">IF(XLOOKUP($A54,Partner_Tickets!$A:$A,Partner_Tickets!N:N,"",0)="Free","Free",IF(XLOOKUP($A54,Partner_Tickets!$A:$A,Partner_Tickets!N:N,"",0)="VL","VL",IF(XLOOKUP($A54,Partner_Tickets!$A:$A,Partner_Tickets!N:N,"",0)="ATT","ATT",XLOOKUP($A54,Partner_Tickets!$A:$A,Partner_Tickets!N:N,"",0))))</f>
        <v>0.3333333333</v>
      </c>
      <c r="O54" s="42">
        <f t="array" ref="O54">IF(XLOOKUP($A54,Partner_Tickets!$A:$A,Partner_Tickets!O:O,"",0)="Free","Free",IF(XLOOKUP($A54,Partner_Tickets!$A:$A,Partner_Tickets!O:O,"",0)="VL","VL",IF(XLOOKUP($A54,Partner_Tickets!$A:$A,Partner_Tickets!O:O,"",0)="ATT","ATT",XLOOKUP($A54,Partner_Tickets!$A:$A,Partner_Tickets!O:O,"",0))))</f>
        <v>0.3333333333</v>
      </c>
      <c r="P54" s="42">
        <f t="array" ref="P54">IF(XLOOKUP($A54,Partner_Tickets!$A:$A,Partner_Tickets!P:P,"",0)="Free","Free",IF(XLOOKUP($A54,Partner_Tickets!$A:$A,Partner_Tickets!P:P,"",0)="VL","VL",IF(XLOOKUP($A54,Partner_Tickets!$A:$A,Partner_Tickets!P:P,"",0)="ATT","ATT",XLOOKUP($A54,Partner_Tickets!$A:$A,Partner_Tickets!P:P,"",0))))</f>
        <v>0.3333333333</v>
      </c>
      <c r="Q54" s="42" t="str">
        <f t="array" ref="Q54">IF(XLOOKUP($A54,Partner_Tickets!$A:$A,Partner_Tickets!Q:Q,"",0)="Free","Free",IF(XLOOKUP($A54,Partner_Tickets!$A:$A,Partner_Tickets!Q:Q,"",0)="VL","VL",IF(XLOOKUP($A54,Partner_Tickets!$A:$A,Partner_Tickets!Q:Q,"",0)="ATT","ATT",XLOOKUP($A54,Partner_Tickets!$A:$A,Partner_Tickets!Q:Q,"",0))))</f>
        <v>Free</v>
      </c>
      <c r="R54" s="42"/>
      <c r="S54" s="42">
        <f t="array" ref="S54">IF(XLOOKUP($A54,Partner_Tickets!$A:$A,Partner_Tickets!S:S,"",0)="Free","Free",IF(XLOOKUP($A54,Partner_Tickets!$A:$A,Partner_Tickets!S:S,"",0)="VL","VL",IF(XLOOKUP($A54,Partner_Tickets!$A:$A,Partner_Tickets!S:S,"",0)="ATT","ATT",XLOOKUP($A54,Partner_Tickets!$A:$A,Partner_Tickets!S:S,"",0))))</f>
        <v>0.3333333333</v>
      </c>
      <c r="T54" s="42">
        <f t="array" ref="T54">IF(XLOOKUP($A54,Partner_Tickets!$A:$A,Partner_Tickets!T:T,"",0)="Free","Free",IF(XLOOKUP($A54,Partner_Tickets!$A:$A,Partner_Tickets!T:T,"",0)="VL","VL",IF(XLOOKUP($A54,Partner_Tickets!$A:$A,Partner_Tickets!T:T,"",0)="ATT","ATT",XLOOKUP($A54,Partner_Tickets!$A:$A,Partner_Tickets!T:T,"",0))))</f>
        <v>0.3333333333</v>
      </c>
      <c r="U54" s="42">
        <f t="array" ref="U54">IF(XLOOKUP($A54,Partner_Tickets!$A:$A,Partner_Tickets!U:U,"",0)="Free","Free",IF(XLOOKUP($A54,Partner_Tickets!$A:$A,Partner_Tickets!U:U,"",0)="VL","VL",IF(XLOOKUP($A54,Partner_Tickets!$A:$A,Partner_Tickets!U:U,"",0)="ATT","ATT",XLOOKUP($A54,Partner_Tickets!$A:$A,Partner_Tickets!U:U,"",0))))</f>
        <v>0.3333333333</v>
      </c>
      <c r="V54" s="42">
        <f t="array" ref="V54">IF(XLOOKUP($A54,Partner_Tickets!$A:$A,Partner_Tickets!V:V,"",0)="Free","Free",IF(XLOOKUP($A54,Partner_Tickets!$A:$A,Partner_Tickets!V:V,"",0)="VL","VL",IF(XLOOKUP($A54,Partner_Tickets!$A:$A,Partner_Tickets!V:V,"",0)="ATT","ATT",XLOOKUP($A54,Partner_Tickets!$A:$A,Partner_Tickets!V:V,"",0))))</f>
        <v>0.3333333333</v>
      </c>
      <c r="W54" s="42">
        <f t="array" ref="W54">IF(XLOOKUP($A54,Partner_Tickets!$A:$A,Partner_Tickets!W:W,"",0)="Free","Free",IF(XLOOKUP($A54,Partner_Tickets!$A:$A,Partner_Tickets!W:W,"",0)="VL","VL",IF(XLOOKUP($A54,Partner_Tickets!$A:$A,Partner_Tickets!W:W,"",0)="ATT","ATT",XLOOKUP($A54,Partner_Tickets!$A:$A,Partner_Tickets!W:W,"",0))))</f>
        <v>0.3333333333</v>
      </c>
      <c r="X54" s="42" t="str">
        <f t="array" ref="X54">IF(XLOOKUP($A54,Partner_Tickets!$A:$A,Partner_Tickets!X:X,"",0)="Free","Free",IF(XLOOKUP($A54,Partner_Tickets!$A:$A,Partner_Tickets!X:X,"",0)="VL","VL",IF(XLOOKUP($A54,Partner_Tickets!$A:$A,Partner_Tickets!X:X,"",0)="ATT","ATT",XLOOKUP($A54,Partner_Tickets!$A:$A,Partner_Tickets!X:X,"",0))))</f>
        <v>Free</v>
      </c>
      <c r="Y54" s="42"/>
      <c r="Z54" s="42">
        <f t="array" ref="Z54">IF(XLOOKUP($A54,Partner_Tickets!$A:$A,Partner_Tickets!Z:Z,"",0)="Free","Free",IF(XLOOKUP($A54,Partner_Tickets!$A:$A,Partner_Tickets!Z:Z,"",0)="VL","VL",IF(XLOOKUP($A54,Partner_Tickets!$A:$A,Partner_Tickets!Z:Z,"",0)="ATT","ATT",XLOOKUP($A54,Partner_Tickets!$A:$A,Partner_Tickets!Z:Z,"",0))))</f>
        <v>0.3333333333</v>
      </c>
      <c r="AA54" s="42">
        <f t="array" ref="AA54">IF(XLOOKUP($A54,Partner_Tickets!$A:$A,Partner_Tickets!AA:AA,"",0)="Free","Free",IF(XLOOKUP($A54,Partner_Tickets!$A:$A,Partner_Tickets!AA:AA,"",0)="VL","VL",IF(XLOOKUP($A54,Partner_Tickets!$A:$A,Partner_Tickets!AA:AA,"",0)="ATT","ATT",XLOOKUP($A54,Partner_Tickets!$A:$A,Partner_Tickets!AA:AA,"",0))))</f>
        <v>0.3333333333</v>
      </c>
      <c r="AB54" s="42">
        <f t="array" ref="AB54">IF(XLOOKUP($A54,Partner_Tickets!$A:$A,Partner_Tickets!AB:AB,"",0)="Free","Free",IF(XLOOKUP($A54,Partner_Tickets!$A:$A,Partner_Tickets!AB:AB,"",0)="VL","VL",IF(XLOOKUP($A54,Partner_Tickets!$A:$A,Partner_Tickets!AB:AB,"",0)="ATT","ATT",XLOOKUP($A54,Partner_Tickets!$A:$A,Partner_Tickets!AB:AB,"",0))))</f>
        <v>0.3333333333</v>
      </c>
      <c r="AC54" s="42">
        <f t="array" ref="AC54">IF(XLOOKUP($A54,Partner_Tickets!$A:$A,Partner_Tickets!AC:AC,"",0)="Free","Free",IF(XLOOKUP($A54,Partner_Tickets!$A:$A,Partner_Tickets!AC:AC,"",0)="VL","VL",IF(XLOOKUP($A54,Partner_Tickets!$A:$A,Partner_Tickets!AC:AC,"",0)="ATT","ATT",XLOOKUP($A54,Partner_Tickets!$A:$A,Partner_Tickets!AC:AC,"",0))))</f>
        <v>0.3333333333</v>
      </c>
      <c r="AD54" s="42">
        <f t="array" ref="AD54">IF(XLOOKUP($A54,Partner_Tickets!$A:$A,Partner_Tickets!AD:AD,"",0)="Free","Free",IF(XLOOKUP($A54,Partner_Tickets!$A:$A,Partner_Tickets!AD:AD,"",0)="VL","VL",IF(XLOOKUP($A54,Partner_Tickets!$A:$A,Partner_Tickets!AD:AD,"",0)="ATT","ATT",XLOOKUP($A54,Partner_Tickets!$A:$A,Partner_Tickets!AD:AD,"",0))))</f>
        <v>0.3333333333</v>
      </c>
      <c r="AE54" s="42" t="str">
        <f t="array" ref="AE54">IF(XLOOKUP($A54,Partner_Tickets!$A:$A,Partner_Tickets!AE:AE,"",0)="Free","Free",IF(XLOOKUP($A54,Partner_Tickets!$A:$A,Partner_Tickets!AE:AE,"",0)="VL","VL",IF(XLOOKUP($A54,Partner_Tickets!$A:$A,Partner_Tickets!AE:AE,"",0)="ATT","ATT",XLOOKUP($A54,Partner_Tickets!$A:$A,Partner_Tickets!AE:AE,"",0))))</f>
        <v>Free</v>
      </c>
      <c r="AF54" s="42"/>
      <c r="AG54" s="42">
        <f t="array" ref="AG54">IF(XLOOKUP($A54,Partner_Tickets!$A:$A,Partner_Tickets!AG:AG,"",0)="Free","Free",IF(XLOOKUP($A54,Partner_Tickets!$A:$A,Partner_Tickets!AG:AG,"",0)="VL","VL",IF(XLOOKUP($A54,Partner_Tickets!$A:$A,Partner_Tickets!AG:AG,"",0)="ATT","ATT",XLOOKUP($A54,Partner_Tickets!$A:$A,Partner_Tickets!AG:AG,"",0))))</f>
        <v>0.3333333333</v>
      </c>
      <c r="AH54" s="42">
        <f t="array" ref="AH54">IF(XLOOKUP($A54,Partner_Tickets!$A:$A,Partner_Tickets!AH:AH,"",0)="Free","Free",IF(XLOOKUP($A54,Partner_Tickets!$A:$A,Partner_Tickets!AH:AH,"",0)="VL","VL",IF(XLOOKUP($A54,Partner_Tickets!$A:$A,Partner_Tickets!AH:AH,"",0)="ATT","ATT",XLOOKUP($A54,Partner_Tickets!$A:$A,Partner_Tickets!AH:AH,"",0))))</f>
        <v>0.3333333333</v>
      </c>
      <c r="AI54" s="42">
        <f t="array" ref="AI54">IF(XLOOKUP($A54,Partner_Tickets!$A:$A,Partner_Tickets!AI:AI,"",0)="Free","Free",IF(XLOOKUP($A54,Partner_Tickets!$A:$A,Partner_Tickets!AI:AI,"",0)="VL","VL",IF(XLOOKUP($A54,Partner_Tickets!$A:$A,Partner_Tickets!AI:AI,"",0)="ATT","ATT",XLOOKUP($A54,Partner_Tickets!$A:$A,Partner_Tickets!AI:AI,"",0))))</f>
        <v>0.3333333333</v>
      </c>
      <c r="AJ54" s="42">
        <f t="array" ref="AJ54">IF(XLOOKUP($A54,Partner_Tickets!$A:$A,Partner_Tickets!AJ:AJ,"",0)="Free","Free",IF(XLOOKUP($A54,Partner_Tickets!$A:$A,Partner_Tickets!AJ:AJ,"",0)="VL","VL",IF(XLOOKUP($A54,Partner_Tickets!$A:$A,Partner_Tickets!AJ:AJ,"",0)="ATT","ATT",XLOOKUP($A54,Partner_Tickets!$A:$A,Partner_Tickets!AJ:AJ,"",0))))</f>
        <v>0.3333333333</v>
      </c>
      <c r="AK54" s="42">
        <f t="array" ref="AK54">IF(XLOOKUP($A54,Partner_Tickets!$A:$A,Partner_Tickets!AK:AK,"",0)="Free","Free",IF(XLOOKUP($A54,Partner_Tickets!$A:$A,Partner_Tickets!AK:AK,"",0)="VL","VL",IF(XLOOKUP($A54,Partner_Tickets!$A:$A,Partner_Tickets!AK:AK,"",0)="ATT","ATT",XLOOKUP($A54,Partner_Tickets!$A:$A,Partner_Tickets!AK:AK,"",0))))</f>
        <v>0.3333333333</v>
      </c>
      <c r="AL54" s="42" t="str">
        <f t="array" ref="AL54">IF(XLOOKUP($A54,Partner_Tickets!$A:$A,Partner_Tickets!AL:AL,"",0)="Free","Free",IF(XLOOKUP($A54,Partner_Tickets!$A:$A,Partner_Tickets!AL:AL,"",0)="VL","VL",IF(XLOOKUP($A54,Partner_Tickets!$A:$A,Partner_Tickets!AL:AL,"",0)="ATT","ATT",XLOOKUP($A54,Partner_Tickets!$A:$A,Partner_Tickets!AL:AL,"",0))))</f>
        <v>Free</v>
      </c>
      <c r="AM54" s="42"/>
    </row>
    <row r="55">
      <c r="A55" s="47" t="s">
        <v>186</v>
      </c>
      <c r="B55" s="44" t="str">
        <f t="array" ref="B55">XLOOKUP(A55,Roster!F:F,Roster!A:A,"",0)</f>
        <v>Luis Vidal</v>
      </c>
      <c r="C55" s="44" t="str">
        <f t="array" ref="C55">XLOOKUP(A55,Roster!F:F,Roster!B:B,"",0)</f>
        <v>Simon Atehortua</v>
      </c>
      <c r="D55" s="48"/>
      <c r="E55" s="42">
        <f t="array" ref="E55">IF(XLOOKUP($A55,Partner_Tickets!$A:$A,Partner_Tickets!E:E,"",0)="Free","Free",IF(XLOOKUP($A55,Partner_Tickets!$A:$A,Partner_Tickets!E:E,"",0)="VL","VL",IF(XLOOKUP($A55,Partner_Tickets!$A:$A,Partner_Tickets!E:E,"",0)="ATT","ATT",XLOOKUP($A55,Partner_Tickets!$A:$A,Partner_Tickets!E:E,"",0))))</f>
        <v>0.2916666667</v>
      </c>
      <c r="F55" s="42">
        <f t="array" ref="F55">IF(XLOOKUP($A55,Partner_Tickets!$A:$A,Partner_Tickets!F:F,"",0)="Free","Free",IF(XLOOKUP($A55,Partner_Tickets!$A:$A,Partner_Tickets!F:F,"",0)="VL","VL",IF(XLOOKUP($A55,Partner_Tickets!$A:$A,Partner_Tickets!F:F,"",0)="ATT","ATT",XLOOKUP($A55,Partner_Tickets!$A:$A,Partner_Tickets!F:F,"",0))))</f>
        <v>0.2916666667</v>
      </c>
      <c r="G55" s="42">
        <f t="array" ref="G55">IF(XLOOKUP($A55,Partner_Tickets!$A:$A,Partner_Tickets!G:G,"",0)="Free","Free",IF(XLOOKUP($A55,Partner_Tickets!$A:$A,Partner_Tickets!G:G,"",0)="VL","VL",IF(XLOOKUP($A55,Partner_Tickets!$A:$A,Partner_Tickets!G:G,"",0)="ATT","ATT",XLOOKUP($A55,Partner_Tickets!$A:$A,Partner_Tickets!G:G,"",0))))</f>
        <v>0.2916666667</v>
      </c>
      <c r="H55" s="42">
        <f t="array" ref="H55">IF(XLOOKUP($A55,Partner_Tickets!$A:$A,Partner_Tickets!H:H,"",0)="Free","Free",IF(XLOOKUP($A55,Partner_Tickets!$A:$A,Partner_Tickets!H:H,"",0)="VL","VL",IF(XLOOKUP($A55,Partner_Tickets!$A:$A,Partner_Tickets!H:H,"",0)="ATT","ATT",XLOOKUP($A55,Partner_Tickets!$A:$A,Partner_Tickets!H:H,"",0))))</f>
        <v>0.2916666667</v>
      </c>
      <c r="I55" s="42">
        <f t="array" ref="I55">IF(XLOOKUP($A55,Partner_Tickets!$A:$A,Partner_Tickets!I:I,"",0)="Free","Free",IF(XLOOKUP($A55,Partner_Tickets!$A:$A,Partner_Tickets!I:I,"",0)="VL","VL",IF(XLOOKUP($A55,Partner_Tickets!$A:$A,Partner_Tickets!I:I,"",0)="ATT","ATT",XLOOKUP($A55,Partner_Tickets!$A:$A,Partner_Tickets!I:I,"",0))))</f>
        <v>0.2916666667</v>
      </c>
      <c r="J55" s="42" t="str">
        <f t="array" ref="J55">IF(XLOOKUP($A55,Partner_Tickets!$A:$A,Partner_Tickets!J:J,"",0)="Free","Free",IF(XLOOKUP($A55,Partner_Tickets!$A:$A,Partner_Tickets!J:J,"",0)="VL","VL",IF(XLOOKUP($A55,Partner_Tickets!$A:$A,Partner_Tickets!J:J,"",0)="ATT","ATT",XLOOKUP($A55,Partner_Tickets!$A:$A,Partner_Tickets!J:J,"",0))))</f>
        <v>Free</v>
      </c>
      <c r="K55" s="42" t="str">
        <f t="array" ref="K55">IF(XLOOKUP($A55,Partner_Tickets!$A:$A,Partner_Tickets!K:K,"",0)="Free","Free",IF(XLOOKUP($A55,Partner_Tickets!$A:$A,Partner_Tickets!K:K,"",0)="VL","VL",IF(XLOOKUP($A55,Partner_Tickets!$A:$A,Partner_Tickets!K:K,"",0)="ATT","ATT",XLOOKUP($A55,Partner_Tickets!$A:$A,Partner_Tickets!K:K,"",0))))</f>
        <v/>
      </c>
      <c r="L55" s="42">
        <f t="array" ref="L55">IF(XLOOKUP($A55,Partner_Tickets!$A:$A,Partner_Tickets!L:L,"",0)="Free","Free",IF(XLOOKUP($A55,Partner_Tickets!$A:$A,Partner_Tickets!L:L,"",0)="VL","VL",IF(XLOOKUP($A55,Partner_Tickets!$A:$A,Partner_Tickets!L:L,"",0)="ATT","ATT",XLOOKUP($A55,Partner_Tickets!$A:$A,Partner_Tickets!L:L,"",0))))</f>
        <v>0.2916666667</v>
      </c>
      <c r="M55" s="42">
        <f t="array" ref="M55">IF(XLOOKUP($A55,Partner_Tickets!$A:$A,Partner_Tickets!M:M,"",0)="Free","Free",IF(XLOOKUP($A55,Partner_Tickets!$A:$A,Partner_Tickets!M:M,"",0)="VL","VL",IF(XLOOKUP($A55,Partner_Tickets!$A:$A,Partner_Tickets!M:M,"",0)="ATT","ATT",XLOOKUP($A55,Partner_Tickets!$A:$A,Partner_Tickets!M:M,"",0))))</f>
        <v>0.2916666667</v>
      </c>
      <c r="N55" s="42" t="str">
        <f t="array" ref="N55">IF(XLOOKUP($A55,Partner_Tickets!$A:$A,Partner_Tickets!N:N,"",0)="Free","Free",IF(XLOOKUP($A55,Partner_Tickets!$A:$A,Partner_Tickets!N:N,"",0)="VL","VL",IF(XLOOKUP($A55,Partner_Tickets!$A:$A,Partner_Tickets!N:N,"",0)="ATT","ATT",XLOOKUP($A55,Partner_Tickets!$A:$A,Partner_Tickets!N:N,"",0))))</f>
        <v>Free</v>
      </c>
      <c r="O55" s="42">
        <f t="array" ref="O55">IF(XLOOKUP($A55,Partner_Tickets!$A:$A,Partner_Tickets!O:O,"",0)="Free","Free",IF(XLOOKUP($A55,Partner_Tickets!$A:$A,Partner_Tickets!O:O,"",0)="VL","VL",IF(XLOOKUP($A55,Partner_Tickets!$A:$A,Partner_Tickets!O:O,"",0)="ATT","ATT",XLOOKUP($A55,Partner_Tickets!$A:$A,Partner_Tickets!O:O,"",0))))</f>
        <v>0.2916666667</v>
      </c>
      <c r="P55" s="42">
        <f t="array" ref="P55">IF(XLOOKUP($A55,Partner_Tickets!$A:$A,Partner_Tickets!P:P,"",0)="Free","Free",IF(XLOOKUP($A55,Partner_Tickets!$A:$A,Partner_Tickets!P:P,"",0)="VL","VL",IF(XLOOKUP($A55,Partner_Tickets!$A:$A,Partner_Tickets!P:P,"",0)="ATT","ATT",XLOOKUP($A55,Partner_Tickets!$A:$A,Partner_Tickets!P:P,"",0))))</f>
        <v>0.2916666667</v>
      </c>
      <c r="Q55" s="42">
        <f t="array" ref="Q55">IF(XLOOKUP($A55,Partner_Tickets!$A:$A,Partner_Tickets!Q:Q,"",0)="Free","Free",IF(XLOOKUP($A55,Partner_Tickets!$A:$A,Partner_Tickets!Q:Q,"",0)="VL","VL",IF(XLOOKUP($A55,Partner_Tickets!$A:$A,Partner_Tickets!Q:Q,"",0)="ATT","ATT",XLOOKUP($A55,Partner_Tickets!$A:$A,Partner_Tickets!Q:Q,"",0))))</f>
        <v>0.2916666667</v>
      </c>
      <c r="R55" s="42"/>
      <c r="S55" s="42">
        <f t="array" ref="S55">IF(XLOOKUP($A55,Partner_Tickets!$A:$A,Partner_Tickets!S:S,"",0)="Free","Free",IF(XLOOKUP($A55,Partner_Tickets!$A:$A,Partner_Tickets!S:S,"",0)="VL","VL",IF(XLOOKUP($A55,Partner_Tickets!$A:$A,Partner_Tickets!S:S,"",0)="ATT","ATT",XLOOKUP($A55,Partner_Tickets!$A:$A,Partner_Tickets!S:S,"",0))))</f>
        <v>0.2916666667</v>
      </c>
      <c r="T55" s="42">
        <f t="array" ref="T55">IF(XLOOKUP($A55,Partner_Tickets!$A:$A,Partner_Tickets!T:T,"",0)="Free","Free",IF(XLOOKUP($A55,Partner_Tickets!$A:$A,Partner_Tickets!T:T,"",0)="VL","VL",IF(XLOOKUP($A55,Partner_Tickets!$A:$A,Partner_Tickets!T:T,"",0)="ATT","ATT",XLOOKUP($A55,Partner_Tickets!$A:$A,Partner_Tickets!T:T,"",0))))</f>
        <v>0.2916666667</v>
      </c>
      <c r="U55" s="42" t="str">
        <f t="array" ref="U55">IF(XLOOKUP($A55,Partner_Tickets!$A:$A,Partner_Tickets!U:U,"",0)="Free","Free",IF(XLOOKUP($A55,Partner_Tickets!$A:$A,Partner_Tickets!U:U,"",0)="VL","VL",IF(XLOOKUP($A55,Partner_Tickets!$A:$A,Partner_Tickets!U:U,"",0)="ATT","ATT",XLOOKUP($A55,Partner_Tickets!$A:$A,Partner_Tickets!U:U,"",0))))</f>
        <v>Free</v>
      </c>
      <c r="V55" s="42">
        <f t="array" ref="V55">IF(XLOOKUP($A55,Partner_Tickets!$A:$A,Partner_Tickets!V:V,"",0)="Free","Free",IF(XLOOKUP($A55,Partner_Tickets!$A:$A,Partner_Tickets!V:V,"",0)="VL","VL",IF(XLOOKUP($A55,Partner_Tickets!$A:$A,Partner_Tickets!V:V,"",0)="ATT","ATT",XLOOKUP($A55,Partner_Tickets!$A:$A,Partner_Tickets!V:V,"",0))))</f>
        <v>0.2916666667</v>
      </c>
      <c r="W55" s="42">
        <f t="array" ref="W55">IF(XLOOKUP($A55,Partner_Tickets!$A:$A,Partner_Tickets!W:W,"",0)="Free","Free",IF(XLOOKUP($A55,Partner_Tickets!$A:$A,Partner_Tickets!W:W,"",0)="VL","VL",IF(XLOOKUP($A55,Partner_Tickets!$A:$A,Partner_Tickets!W:W,"",0)="ATT","ATT",XLOOKUP($A55,Partner_Tickets!$A:$A,Partner_Tickets!W:W,"",0))))</f>
        <v>0.2916666667</v>
      </c>
      <c r="X55" s="42">
        <f t="array" ref="X55">IF(XLOOKUP($A55,Partner_Tickets!$A:$A,Partner_Tickets!X:X,"",0)="Free","Free",IF(XLOOKUP($A55,Partner_Tickets!$A:$A,Partner_Tickets!X:X,"",0)="VL","VL",IF(XLOOKUP($A55,Partner_Tickets!$A:$A,Partner_Tickets!X:X,"",0)="ATT","ATT",XLOOKUP($A55,Partner_Tickets!$A:$A,Partner_Tickets!X:X,"",0))))</f>
        <v>0.2916666667</v>
      </c>
      <c r="Y55" s="42"/>
      <c r="Z55" s="42">
        <f t="array" ref="Z55">IF(XLOOKUP($A55,Partner_Tickets!$A:$A,Partner_Tickets!Z:Z,"",0)="Free","Free",IF(XLOOKUP($A55,Partner_Tickets!$A:$A,Partner_Tickets!Z:Z,"",0)="VL","VL",IF(XLOOKUP($A55,Partner_Tickets!$A:$A,Partner_Tickets!Z:Z,"",0)="ATT","ATT",XLOOKUP($A55,Partner_Tickets!$A:$A,Partner_Tickets!Z:Z,"",0))))</f>
        <v>0.2916666667</v>
      </c>
      <c r="AA55" s="42">
        <f t="array" ref="AA55">IF(XLOOKUP($A55,Partner_Tickets!$A:$A,Partner_Tickets!AA:AA,"",0)="Free","Free",IF(XLOOKUP($A55,Partner_Tickets!$A:$A,Partner_Tickets!AA:AA,"",0)="VL","VL",IF(XLOOKUP($A55,Partner_Tickets!$A:$A,Partner_Tickets!AA:AA,"",0)="ATT","ATT",XLOOKUP($A55,Partner_Tickets!$A:$A,Partner_Tickets!AA:AA,"",0))))</f>
        <v>0.2916666667</v>
      </c>
      <c r="AB55" s="42" t="str">
        <f t="array" ref="AB55">IF(XLOOKUP($A55,Partner_Tickets!$A:$A,Partner_Tickets!AB:AB,"",0)="Free","Free",IF(XLOOKUP($A55,Partner_Tickets!$A:$A,Partner_Tickets!AB:AB,"",0)="VL","VL",IF(XLOOKUP($A55,Partner_Tickets!$A:$A,Partner_Tickets!AB:AB,"",0)="ATT","ATT",XLOOKUP($A55,Partner_Tickets!$A:$A,Partner_Tickets!AB:AB,"",0))))</f>
        <v>Free</v>
      </c>
      <c r="AC55" s="42">
        <f t="array" ref="AC55">IF(XLOOKUP($A55,Partner_Tickets!$A:$A,Partner_Tickets!AC:AC,"",0)="Free","Free",IF(XLOOKUP($A55,Partner_Tickets!$A:$A,Partner_Tickets!AC:AC,"",0)="VL","VL",IF(XLOOKUP($A55,Partner_Tickets!$A:$A,Partner_Tickets!AC:AC,"",0)="ATT","ATT",XLOOKUP($A55,Partner_Tickets!$A:$A,Partner_Tickets!AC:AC,"",0))))</f>
        <v>0.2916666667</v>
      </c>
      <c r="AD55" s="42">
        <f t="array" ref="AD55">IF(XLOOKUP($A55,Partner_Tickets!$A:$A,Partner_Tickets!AD:AD,"",0)="Free","Free",IF(XLOOKUP($A55,Partner_Tickets!$A:$A,Partner_Tickets!AD:AD,"",0)="VL","VL",IF(XLOOKUP($A55,Partner_Tickets!$A:$A,Partner_Tickets!AD:AD,"",0)="ATT","ATT",XLOOKUP($A55,Partner_Tickets!$A:$A,Partner_Tickets!AD:AD,"",0))))</f>
        <v>0.2916666667</v>
      </c>
      <c r="AE55" s="42">
        <f t="array" ref="AE55">IF(XLOOKUP($A55,Partner_Tickets!$A:$A,Partner_Tickets!AE:AE,"",0)="Free","Free",IF(XLOOKUP($A55,Partner_Tickets!$A:$A,Partner_Tickets!AE:AE,"",0)="VL","VL",IF(XLOOKUP($A55,Partner_Tickets!$A:$A,Partner_Tickets!AE:AE,"",0)="ATT","ATT",XLOOKUP($A55,Partner_Tickets!$A:$A,Partner_Tickets!AE:AE,"",0))))</f>
        <v>0.2916666667</v>
      </c>
      <c r="AF55" s="42"/>
      <c r="AG55" s="42">
        <f t="array" ref="AG55">IF(XLOOKUP($A55,Partner_Tickets!$A:$A,Partner_Tickets!AG:AG,"",0)="Free","Free",IF(XLOOKUP($A55,Partner_Tickets!$A:$A,Partner_Tickets!AG:AG,"",0)="VL","VL",IF(XLOOKUP($A55,Partner_Tickets!$A:$A,Partner_Tickets!AG:AG,"",0)="ATT","ATT",XLOOKUP($A55,Partner_Tickets!$A:$A,Partner_Tickets!AG:AG,"",0))))</f>
        <v>0.2916666667</v>
      </c>
      <c r="AH55" s="42">
        <f t="array" ref="AH55">IF(XLOOKUP($A55,Partner_Tickets!$A:$A,Partner_Tickets!AH:AH,"",0)="Free","Free",IF(XLOOKUP($A55,Partner_Tickets!$A:$A,Partner_Tickets!AH:AH,"",0)="VL","VL",IF(XLOOKUP($A55,Partner_Tickets!$A:$A,Partner_Tickets!AH:AH,"",0)="ATT","ATT",XLOOKUP($A55,Partner_Tickets!$A:$A,Partner_Tickets!AH:AH,"",0))))</f>
        <v>0.2916666667</v>
      </c>
      <c r="AI55" s="42" t="str">
        <f t="array" ref="AI55">IF(XLOOKUP($A55,Partner_Tickets!$A:$A,Partner_Tickets!AI:AI,"",0)="Free","Free",IF(XLOOKUP($A55,Partner_Tickets!$A:$A,Partner_Tickets!AI:AI,"",0)="VL","VL",IF(XLOOKUP($A55,Partner_Tickets!$A:$A,Partner_Tickets!AI:AI,"",0)="ATT","ATT",XLOOKUP($A55,Partner_Tickets!$A:$A,Partner_Tickets!AI:AI,"",0))))</f>
        <v>Free</v>
      </c>
      <c r="AJ55" s="42">
        <f t="array" ref="AJ55">IF(XLOOKUP($A55,Partner_Tickets!$A:$A,Partner_Tickets!AJ:AJ,"",0)="Free","Free",IF(XLOOKUP($A55,Partner_Tickets!$A:$A,Partner_Tickets!AJ:AJ,"",0)="VL","VL",IF(XLOOKUP($A55,Partner_Tickets!$A:$A,Partner_Tickets!AJ:AJ,"",0)="ATT","ATT",XLOOKUP($A55,Partner_Tickets!$A:$A,Partner_Tickets!AJ:AJ,"",0))))</f>
        <v>0.2916666667</v>
      </c>
      <c r="AK55" s="42">
        <f t="array" ref="AK55">IF(XLOOKUP($A55,Partner_Tickets!$A:$A,Partner_Tickets!AK:AK,"",0)="Free","Free",IF(XLOOKUP($A55,Partner_Tickets!$A:$A,Partner_Tickets!AK:AK,"",0)="VL","VL",IF(XLOOKUP($A55,Partner_Tickets!$A:$A,Partner_Tickets!AK:AK,"",0)="ATT","ATT",XLOOKUP($A55,Partner_Tickets!$A:$A,Partner_Tickets!AK:AK,"",0))))</f>
        <v>0.2916666667</v>
      </c>
      <c r="AL55" s="42">
        <f t="array" ref="AL55">IF(XLOOKUP($A55,Partner_Tickets!$A:$A,Partner_Tickets!AL:AL,"",0)="Free","Free",IF(XLOOKUP($A55,Partner_Tickets!$A:$A,Partner_Tickets!AL:AL,"",0)="VL","VL",IF(XLOOKUP($A55,Partner_Tickets!$A:$A,Partner_Tickets!AL:AL,"",0)="ATT","ATT",XLOOKUP($A55,Partner_Tickets!$A:$A,Partner_Tickets!AL:AL,"",0))))</f>
        <v>0.2916666667</v>
      </c>
      <c r="AM55" s="42"/>
    </row>
    <row r="56">
      <c r="A56" s="47" t="s">
        <v>187</v>
      </c>
      <c r="B56" s="44" t="str">
        <f t="array" ref="B56">XLOOKUP(A56,Roster!F:F,Roster!A:A,"",0)</f>
        <v>Luis Vidal</v>
      </c>
      <c r="C56" s="44" t="str">
        <f t="array" ref="C56">XLOOKUP(A56,Roster!F:F,Roster!B:B,"",0)</f>
        <v>Yeiner Tapias</v>
      </c>
      <c r="D56" s="48"/>
      <c r="E56" s="42">
        <f t="array" ref="E56">IF(XLOOKUP($A56,Partner_Tickets!$A:$A,Partner_Tickets!E:E,"",0)="Free","Free",IF(XLOOKUP($A56,Partner_Tickets!$A:$A,Partner_Tickets!E:E,"",0)="VL","VL",IF(XLOOKUP($A56,Partner_Tickets!$A:$A,Partner_Tickets!E:E,"",0)="ATT","ATT",XLOOKUP($A56,Partner_Tickets!$A:$A,Partner_Tickets!E:E,"",0))))</f>
        <v>0.3333333333</v>
      </c>
      <c r="F56" s="42">
        <f t="array" ref="F56">IF(XLOOKUP($A56,Partner_Tickets!$A:$A,Partner_Tickets!F:F,"",0)="Free","Free",IF(XLOOKUP($A56,Partner_Tickets!$A:$A,Partner_Tickets!F:F,"",0)="VL","VL",IF(XLOOKUP($A56,Partner_Tickets!$A:$A,Partner_Tickets!F:F,"",0)="ATT","ATT",XLOOKUP($A56,Partner_Tickets!$A:$A,Partner_Tickets!F:F,"",0))))</f>
        <v>0.3333333333</v>
      </c>
      <c r="G56" s="42" t="str">
        <f t="array" ref="G56">IF(XLOOKUP($A56,Partner_Tickets!$A:$A,Partner_Tickets!G:G,"",0)="Free","Free",IF(XLOOKUP($A56,Partner_Tickets!$A:$A,Partner_Tickets!G:G,"",0)="VL","VL",IF(XLOOKUP($A56,Partner_Tickets!$A:$A,Partner_Tickets!G:G,"",0)="ATT","ATT",XLOOKUP($A56,Partner_Tickets!$A:$A,Partner_Tickets!G:G,"",0))))</f>
        <v>Free</v>
      </c>
      <c r="H56" s="42">
        <f t="array" ref="H56">IF(XLOOKUP($A56,Partner_Tickets!$A:$A,Partner_Tickets!H:H,"",0)="Free","Free",IF(XLOOKUP($A56,Partner_Tickets!$A:$A,Partner_Tickets!H:H,"",0)="VL","VL",IF(XLOOKUP($A56,Partner_Tickets!$A:$A,Partner_Tickets!H:H,"",0)="ATT","ATT",XLOOKUP($A56,Partner_Tickets!$A:$A,Partner_Tickets!H:H,"",0))))</f>
        <v>0.3333333333</v>
      </c>
      <c r="I56" s="42">
        <f t="array" ref="I56">IF(XLOOKUP($A56,Partner_Tickets!$A:$A,Partner_Tickets!I:I,"",0)="Free","Free",IF(XLOOKUP($A56,Partner_Tickets!$A:$A,Partner_Tickets!I:I,"",0)="VL","VL",IF(XLOOKUP($A56,Partner_Tickets!$A:$A,Partner_Tickets!I:I,"",0)="ATT","ATT",XLOOKUP($A56,Partner_Tickets!$A:$A,Partner_Tickets!I:I,"",0))))</f>
        <v>0.3333333333</v>
      </c>
      <c r="J56" s="42">
        <f t="array" ref="J56">IF(XLOOKUP($A56,Partner_Tickets!$A:$A,Partner_Tickets!J:J,"",0)="Free","Free",IF(XLOOKUP($A56,Partner_Tickets!$A:$A,Partner_Tickets!J:J,"",0)="VL","VL",IF(XLOOKUP($A56,Partner_Tickets!$A:$A,Partner_Tickets!J:J,"",0)="ATT","ATT",XLOOKUP($A56,Partner_Tickets!$A:$A,Partner_Tickets!J:J,"",0))))</f>
        <v>0.3333333333</v>
      </c>
      <c r="K56" s="42" t="str">
        <f t="array" ref="K56">IF(XLOOKUP($A56,Partner_Tickets!$A:$A,Partner_Tickets!K:K,"",0)="Free","Free",IF(XLOOKUP($A56,Partner_Tickets!$A:$A,Partner_Tickets!K:K,"",0)="VL","VL",IF(XLOOKUP($A56,Partner_Tickets!$A:$A,Partner_Tickets!K:K,"",0)="ATT","ATT",XLOOKUP($A56,Partner_Tickets!$A:$A,Partner_Tickets!K:K,"",0))))</f>
        <v/>
      </c>
      <c r="L56" s="42">
        <f t="array" ref="L56">IF(XLOOKUP($A56,Partner_Tickets!$A:$A,Partner_Tickets!L:L,"",0)="Free","Free",IF(XLOOKUP($A56,Partner_Tickets!$A:$A,Partner_Tickets!L:L,"",0)="VL","VL",IF(XLOOKUP($A56,Partner_Tickets!$A:$A,Partner_Tickets!L:L,"",0)="ATT","ATT",XLOOKUP($A56,Partner_Tickets!$A:$A,Partner_Tickets!L:L,"",0))))</f>
        <v>0.3333333333</v>
      </c>
      <c r="M56" s="42">
        <f t="array" ref="M56">IF(XLOOKUP($A56,Partner_Tickets!$A:$A,Partner_Tickets!M:M,"",0)="Free","Free",IF(XLOOKUP($A56,Partner_Tickets!$A:$A,Partner_Tickets!M:M,"",0)="VL","VL",IF(XLOOKUP($A56,Partner_Tickets!$A:$A,Partner_Tickets!M:M,"",0)="ATT","ATT",XLOOKUP($A56,Partner_Tickets!$A:$A,Partner_Tickets!M:M,"",0))))</f>
        <v>0.3333333333</v>
      </c>
      <c r="N56" s="42" t="str">
        <f t="array" ref="N56">IF(XLOOKUP($A56,Partner_Tickets!$A:$A,Partner_Tickets!N:N,"",0)="Free","Free",IF(XLOOKUP($A56,Partner_Tickets!$A:$A,Partner_Tickets!N:N,"",0)="VL","VL",IF(XLOOKUP($A56,Partner_Tickets!$A:$A,Partner_Tickets!N:N,"",0)="ATT","ATT",XLOOKUP($A56,Partner_Tickets!$A:$A,Partner_Tickets!N:N,"",0))))</f>
        <v>Free</v>
      </c>
      <c r="O56" s="42">
        <f t="array" ref="O56">IF(XLOOKUP($A56,Partner_Tickets!$A:$A,Partner_Tickets!O:O,"",0)="Free","Free",IF(XLOOKUP($A56,Partner_Tickets!$A:$A,Partner_Tickets!O:O,"",0)="VL","VL",IF(XLOOKUP($A56,Partner_Tickets!$A:$A,Partner_Tickets!O:O,"",0)="ATT","ATT",XLOOKUP($A56,Partner_Tickets!$A:$A,Partner_Tickets!O:O,"",0))))</f>
        <v>0.3333333333</v>
      </c>
      <c r="P56" s="42">
        <f t="array" ref="P56">IF(XLOOKUP($A56,Partner_Tickets!$A:$A,Partner_Tickets!P:P,"",0)="Free","Free",IF(XLOOKUP($A56,Partner_Tickets!$A:$A,Partner_Tickets!P:P,"",0)="VL","VL",IF(XLOOKUP($A56,Partner_Tickets!$A:$A,Partner_Tickets!P:P,"",0)="ATT","ATT",XLOOKUP($A56,Partner_Tickets!$A:$A,Partner_Tickets!P:P,"",0))))</f>
        <v>0.3333333333</v>
      </c>
      <c r="Q56" s="42">
        <f t="array" ref="Q56">IF(XLOOKUP($A56,Partner_Tickets!$A:$A,Partner_Tickets!Q:Q,"",0)="Free","Free",IF(XLOOKUP($A56,Partner_Tickets!$A:$A,Partner_Tickets!Q:Q,"",0)="VL","VL",IF(XLOOKUP($A56,Partner_Tickets!$A:$A,Partner_Tickets!Q:Q,"",0)="ATT","ATT",XLOOKUP($A56,Partner_Tickets!$A:$A,Partner_Tickets!Q:Q,"",0))))</f>
        <v>0.3333333333</v>
      </c>
      <c r="R56" s="42"/>
      <c r="S56" s="42">
        <f t="array" ref="S56">IF(XLOOKUP($A56,Partner_Tickets!$A:$A,Partner_Tickets!S:S,"",0)="Free","Free",IF(XLOOKUP($A56,Partner_Tickets!$A:$A,Partner_Tickets!S:S,"",0)="VL","VL",IF(XLOOKUP($A56,Partner_Tickets!$A:$A,Partner_Tickets!S:S,"",0)="ATT","ATT",XLOOKUP($A56,Partner_Tickets!$A:$A,Partner_Tickets!S:S,"",0))))</f>
        <v>0.3333333333</v>
      </c>
      <c r="T56" s="42">
        <f t="array" ref="T56">IF(XLOOKUP($A56,Partner_Tickets!$A:$A,Partner_Tickets!T:T,"",0)="Free","Free",IF(XLOOKUP($A56,Partner_Tickets!$A:$A,Partner_Tickets!T:T,"",0)="VL","VL",IF(XLOOKUP($A56,Partner_Tickets!$A:$A,Partner_Tickets!T:T,"",0)="ATT","ATT",XLOOKUP($A56,Partner_Tickets!$A:$A,Partner_Tickets!T:T,"",0))))</f>
        <v>0.3333333333</v>
      </c>
      <c r="U56" s="42" t="str">
        <f t="array" ref="U56">IF(XLOOKUP($A56,Partner_Tickets!$A:$A,Partner_Tickets!U:U,"",0)="Free","Free",IF(XLOOKUP($A56,Partner_Tickets!$A:$A,Partner_Tickets!U:U,"",0)="VL","VL",IF(XLOOKUP($A56,Partner_Tickets!$A:$A,Partner_Tickets!U:U,"",0)="ATT","ATT",XLOOKUP($A56,Partner_Tickets!$A:$A,Partner_Tickets!U:U,"",0))))</f>
        <v>Free</v>
      </c>
      <c r="V56" s="42">
        <f t="array" ref="V56">IF(XLOOKUP($A56,Partner_Tickets!$A:$A,Partner_Tickets!V:V,"",0)="Free","Free",IF(XLOOKUP($A56,Partner_Tickets!$A:$A,Partner_Tickets!V:V,"",0)="VL","VL",IF(XLOOKUP($A56,Partner_Tickets!$A:$A,Partner_Tickets!V:V,"",0)="ATT","ATT",XLOOKUP($A56,Partner_Tickets!$A:$A,Partner_Tickets!V:V,"",0))))</f>
        <v>0.3333333333</v>
      </c>
      <c r="W56" s="42">
        <f t="array" ref="W56">IF(XLOOKUP($A56,Partner_Tickets!$A:$A,Partner_Tickets!W:W,"",0)="Free","Free",IF(XLOOKUP($A56,Partner_Tickets!$A:$A,Partner_Tickets!W:W,"",0)="VL","VL",IF(XLOOKUP($A56,Partner_Tickets!$A:$A,Partner_Tickets!W:W,"",0)="ATT","ATT",XLOOKUP($A56,Partner_Tickets!$A:$A,Partner_Tickets!W:W,"",0))))</f>
        <v>0.3333333333</v>
      </c>
      <c r="X56" s="42">
        <f t="array" ref="X56">IF(XLOOKUP($A56,Partner_Tickets!$A:$A,Partner_Tickets!X:X,"",0)="Free","Free",IF(XLOOKUP($A56,Partner_Tickets!$A:$A,Partner_Tickets!X:X,"",0)="VL","VL",IF(XLOOKUP($A56,Partner_Tickets!$A:$A,Partner_Tickets!X:X,"",0)="ATT","ATT",XLOOKUP($A56,Partner_Tickets!$A:$A,Partner_Tickets!X:X,"",0))))</f>
        <v>0.3333333333</v>
      </c>
      <c r="Y56" s="42"/>
      <c r="Z56" s="42">
        <f t="array" ref="Z56">IF(XLOOKUP($A56,Partner_Tickets!$A:$A,Partner_Tickets!Z:Z,"",0)="Free","Free",IF(XLOOKUP($A56,Partner_Tickets!$A:$A,Partner_Tickets!Z:Z,"",0)="VL","VL",IF(XLOOKUP($A56,Partner_Tickets!$A:$A,Partner_Tickets!Z:Z,"",0)="ATT","ATT",XLOOKUP($A56,Partner_Tickets!$A:$A,Partner_Tickets!Z:Z,"",0))))</f>
        <v>0.3333333333</v>
      </c>
      <c r="AA56" s="42">
        <f t="array" ref="AA56">IF(XLOOKUP($A56,Partner_Tickets!$A:$A,Partner_Tickets!AA:AA,"",0)="Free","Free",IF(XLOOKUP($A56,Partner_Tickets!$A:$A,Partner_Tickets!AA:AA,"",0)="VL","VL",IF(XLOOKUP($A56,Partner_Tickets!$A:$A,Partner_Tickets!AA:AA,"",0)="ATT","ATT",XLOOKUP($A56,Partner_Tickets!$A:$A,Partner_Tickets!AA:AA,"",0))))</f>
        <v>0.3333333333</v>
      </c>
      <c r="AB56" s="42" t="str">
        <f t="array" ref="AB56">IF(XLOOKUP($A56,Partner_Tickets!$A:$A,Partner_Tickets!AB:AB,"",0)="Free","Free",IF(XLOOKUP($A56,Partner_Tickets!$A:$A,Partner_Tickets!AB:AB,"",0)="VL","VL",IF(XLOOKUP($A56,Partner_Tickets!$A:$A,Partner_Tickets!AB:AB,"",0)="ATT","ATT",XLOOKUP($A56,Partner_Tickets!$A:$A,Partner_Tickets!AB:AB,"",0))))</f>
        <v>Free</v>
      </c>
      <c r="AC56" s="42">
        <f t="array" ref="AC56">IF(XLOOKUP($A56,Partner_Tickets!$A:$A,Partner_Tickets!AC:AC,"",0)="Free","Free",IF(XLOOKUP($A56,Partner_Tickets!$A:$A,Partner_Tickets!AC:AC,"",0)="VL","VL",IF(XLOOKUP($A56,Partner_Tickets!$A:$A,Partner_Tickets!AC:AC,"",0)="ATT","ATT",XLOOKUP($A56,Partner_Tickets!$A:$A,Partner_Tickets!AC:AC,"",0))))</f>
        <v>0.3333333333</v>
      </c>
      <c r="AD56" s="42">
        <f t="array" ref="AD56">IF(XLOOKUP($A56,Partner_Tickets!$A:$A,Partner_Tickets!AD:AD,"",0)="Free","Free",IF(XLOOKUP($A56,Partner_Tickets!$A:$A,Partner_Tickets!AD:AD,"",0)="VL","VL",IF(XLOOKUP($A56,Partner_Tickets!$A:$A,Partner_Tickets!AD:AD,"",0)="ATT","ATT",XLOOKUP($A56,Partner_Tickets!$A:$A,Partner_Tickets!AD:AD,"",0))))</f>
        <v>0.3333333333</v>
      </c>
      <c r="AE56" s="42">
        <f t="array" ref="AE56">IF(XLOOKUP($A56,Partner_Tickets!$A:$A,Partner_Tickets!AE:AE,"",0)="Free","Free",IF(XLOOKUP($A56,Partner_Tickets!$A:$A,Partner_Tickets!AE:AE,"",0)="VL","VL",IF(XLOOKUP($A56,Partner_Tickets!$A:$A,Partner_Tickets!AE:AE,"",0)="ATT","ATT",XLOOKUP($A56,Partner_Tickets!$A:$A,Partner_Tickets!AE:AE,"",0))))</f>
        <v>0.3333333333</v>
      </c>
      <c r="AF56" s="42"/>
      <c r="AG56" s="42">
        <f t="array" ref="AG56">IF(XLOOKUP($A56,Partner_Tickets!$A:$A,Partner_Tickets!AG:AG,"",0)="Free","Free",IF(XLOOKUP($A56,Partner_Tickets!$A:$A,Partner_Tickets!AG:AG,"",0)="VL","VL",IF(XLOOKUP($A56,Partner_Tickets!$A:$A,Partner_Tickets!AG:AG,"",0)="ATT","ATT",XLOOKUP($A56,Partner_Tickets!$A:$A,Partner_Tickets!AG:AG,"",0))))</f>
        <v>0.3333333333</v>
      </c>
      <c r="AH56" s="42">
        <f t="array" ref="AH56">IF(XLOOKUP($A56,Partner_Tickets!$A:$A,Partner_Tickets!AH:AH,"",0)="Free","Free",IF(XLOOKUP($A56,Partner_Tickets!$A:$A,Partner_Tickets!AH:AH,"",0)="VL","VL",IF(XLOOKUP($A56,Partner_Tickets!$A:$A,Partner_Tickets!AH:AH,"",0)="ATT","ATT",XLOOKUP($A56,Partner_Tickets!$A:$A,Partner_Tickets!AH:AH,"",0))))</f>
        <v>0.3333333333</v>
      </c>
      <c r="AI56" s="42" t="str">
        <f t="array" ref="AI56">IF(XLOOKUP($A56,Partner_Tickets!$A:$A,Partner_Tickets!AI:AI,"",0)="Free","Free",IF(XLOOKUP($A56,Partner_Tickets!$A:$A,Partner_Tickets!AI:AI,"",0)="VL","VL",IF(XLOOKUP($A56,Partner_Tickets!$A:$A,Partner_Tickets!AI:AI,"",0)="ATT","ATT",XLOOKUP($A56,Partner_Tickets!$A:$A,Partner_Tickets!AI:AI,"",0))))</f>
        <v>Free</v>
      </c>
      <c r="AJ56" s="42">
        <f t="array" ref="AJ56">IF(XLOOKUP($A56,Partner_Tickets!$A:$A,Partner_Tickets!AJ:AJ,"",0)="Free","Free",IF(XLOOKUP($A56,Partner_Tickets!$A:$A,Partner_Tickets!AJ:AJ,"",0)="VL","VL",IF(XLOOKUP($A56,Partner_Tickets!$A:$A,Partner_Tickets!AJ:AJ,"",0)="ATT","ATT",XLOOKUP($A56,Partner_Tickets!$A:$A,Partner_Tickets!AJ:AJ,"",0))))</f>
        <v>0.3333333333</v>
      </c>
      <c r="AK56" s="42">
        <f t="array" ref="AK56">IF(XLOOKUP($A56,Partner_Tickets!$A:$A,Partner_Tickets!AK:AK,"",0)="Free","Free",IF(XLOOKUP($A56,Partner_Tickets!$A:$A,Partner_Tickets!AK:AK,"",0)="VL","VL",IF(XLOOKUP($A56,Partner_Tickets!$A:$A,Partner_Tickets!AK:AK,"",0)="ATT","ATT",XLOOKUP($A56,Partner_Tickets!$A:$A,Partner_Tickets!AK:AK,"",0))))</f>
        <v>0.3333333333</v>
      </c>
      <c r="AL56" s="42">
        <f t="array" ref="AL56">IF(XLOOKUP($A56,Partner_Tickets!$A:$A,Partner_Tickets!AL:AL,"",0)="Free","Free",IF(XLOOKUP($A56,Partner_Tickets!$A:$A,Partner_Tickets!AL:AL,"",0)="VL","VL",IF(XLOOKUP($A56,Partner_Tickets!$A:$A,Partner_Tickets!AL:AL,"",0)="ATT","ATT",XLOOKUP($A56,Partner_Tickets!$A:$A,Partner_Tickets!AL:AL,"",0))))</f>
        <v>0.3333333333</v>
      </c>
      <c r="AM56" s="42"/>
    </row>
    <row r="57">
      <c r="A57" s="51"/>
      <c r="B57" s="52"/>
      <c r="C57" s="53" t="s">
        <v>188</v>
      </c>
      <c r="D57" s="40"/>
      <c r="E57" s="54">
        <f t="array" ref="E57">SUM(COUNTIF(E5:E56,{"5:00","5:30","6:00","6:30","7:00","7:30","8:00","8:30","9:00"}))</f>
        <v>47</v>
      </c>
      <c r="F57" s="54">
        <f t="array" ref="F57">SUM(COUNTIF(F5:F56,{"5:00","5:30","6:00","6:30","7:00","7:30","8:00","8:30","9:00"}))</f>
        <v>42</v>
      </c>
      <c r="G57" s="54">
        <f t="array" ref="G57">SUM(COUNTIF(G5:G56,{"5:00","5:30","6:00","6:30","7:00","7:30","8:00","8:30","9:00"}))</f>
        <v>42</v>
      </c>
      <c r="H57" s="54">
        <f t="array" ref="H57">SUM(COUNTIF(H5:H56,{"5:00","5:30","6:00","6:30","7:00","7:30","8:00","8:30","9:00"}))</f>
        <v>34</v>
      </c>
      <c r="I57" s="54">
        <f t="array" ref="I57">SUM(COUNTIF(I5:I56,{"5:00","5:30","6:00","6:30","7:00","7:30","8:00","8:30","9:00"}))</f>
        <v>47</v>
      </c>
      <c r="J57" s="54">
        <f t="array" ref="J57">SUM(COUNTIF(J5:J56,{"5:00","5:30","6:00","6:30","7:00","7:30","8:00","8:30","9:00"}))</f>
        <v>28</v>
      </c>
      <c r="K57" s="55">
        <f t="array" ref="K57">IF(XLOOKUP($A57,Partner_Tickets!$A:$A,Partner_Tickets!E:E,"",0)="Free","Free",IF(XLOOKUP($A57,Partner_Tickets!$A:$A,Partner_Tickets!E:E,"",0)="VL","VL",IF(XLOOKUP($A57,Partner_Tickets!$A:$A,Partner_Tickets!E:E,"",0)="ATT","ATT",XLOOKUP($A57,Partner_Tickets!$A:$A,Partner_Tickets!E:E,"",0)+"1:00")))</f>
        <v>0.04166666667</v>
      </c>
      <c r="L57" s="54">
        <f t="array" ref="L57">SUM(COUNTIF(L5:L56,{"5:00","5:30","6:00","6:30","7:00","7:30","8:00","8:30","9:00"}))</f>
        <v>48</v>
      </c>
      <c r="M57" s="54">
        <f t="array" ref="M57">SUM(COUNTIF(M5:M56,{"5:00","5:30","6:00","6:30","7:00","7:30","8:00","8:30","9:00"}))</f>
        <v>44</v>
      </c>
      <c r="N57" s="54">
        <f t="array" ref="N57">SUM(COUNTIF(N5:N56,{"5:00","5:30","6:00","6:30","7:00","7:30","8:00","8:30","9:00"}))</f>
        <v>39</v>
      </c>
      <c r="O57" s="54">
        <f t="array" ref="O57">SUM(COUNTIF(O5:O56,{"5:00","5:30","6:00","6:30","7:00","7:30","8:00","8:30","9:00"}))</f>
        <v>36</v>
      </c>
      <c r="P57" s="54">
        <f t="array" ref="P57">SUM(COUNTIF(P5:P56,{"5:00","5:30","6:00","6:30","7:00","7:30","8:00","8:30","9:00"}))</f>
        <v>48</v>
      </c>
      <c r="Q57" s="54">
        <f t="array" ref="Q57">SUM(COUNTIF(Q5:Q56,{"5:00","5:30","6:00","6:30","7:00","7:30","8:00","8:30","9:00"}))</f>
        <v>29</v>
      </c>
      <c r="R57" s="54">
        <f t="array" ref="R57">SUM(COUNTIF(R5:R56,{"5:00","5:30","6:00","6:30","7:00","7:30","8:00","8:30","9:00"}))</f>
        <v>0</v>
      </c>
      <c r="S57" s="54">
        <f t="array" ref="S57">SUM(COUNTIF(S5:S56,{"5:00","5:30","6:00","6:30","7:00","7:30","8:00","8:30","9:00"}))</f>
        <v>48</v>
      </c>
      <c r="T57" s="54">
        <f t="array" ref="T57">SUM(COUNTIF(T5:T56,{"5:00","5:30","6:00","6:30","7:00","7:30","8:00","8:30","9:00"}))</f>
        <v>46</v>
      </c>
      <c r="U57" s="54">
        <f t="array" ref="U57">SUM(COUNTIF(U5:U56,{"5:00","5:30","6:00","6:30","7:00","7:30","8:00","8:30","9:00"}))</f>
        <v>39</v>
      </c>
      <c r="V57" s="54">
        <f t="array" ref="V57">SUM(COUNTIF(V5:V56,{"5:00","5:30","6:00","6:30","7:00","7:30","8:00","8:30","9:00"}))</f>
        <v>36</v>
      </c>
      <c r="W57" s="54">
        <f t="array" ref="W57">SUM(COUNTIF(W5:W56,{"5:00","5:30","6:00","6:30","7:00","7:30","8:00","8:30","9:00"}))</f>
        <v>49</v>
      </c>
      <c r="X57" s="54">
        <f t="array" ref="X57">SUM(COUNTIF(X5:X56,{"5:00","5:30","6:00","6:30","7:00","7:30","8:00","8:30","9:00"}))</f>
        <v>30</v>
      </c>
      <c r="Y57" s="42"/>
      <c r="Z57" s="54">
        <f t="array" ref="Z57">SUM(COUNTIF(Z5:Z56,{"5:00","5:30","6:00","6:30","7:00","7:30","8:00","8:30","9:00"}))</f>
        <v>49</v>
      </c>
      <c r="AA57" s="54">
        <f t="array" ref="AA57">SUM(COUNTIF(AA5:AA56,{"5:00","5:30","6:00","6:30","7:00","7:30","8:00","8:30","9:00"}))</f>
        <v>45</v>
      </c>
      <c r="AB57" s="54">
        <f t="array" ref="AB57">SUM(COUNTIF(AB5:AB56,{"5:00","5:30","6:00","6:30","7:00","7:30","8:00","8:30","9:00"}))</f>
        <v>39</v>
      </c>
      <c r="AC57" s="54">
        <f t="array" ref="AC57">SUM(COUNTIF(AC5:AC56,{"5:00","5:30","6:00","6:30","7:00","7:30","8:00","8:30","9:00"}))</f>
        <v>37</v>
      </c>
      <c r="AD57" s="54">
        <f t="array" ref="AD57">SUM(COUNTIF(AD5:AD56,{"5:00","5:30","6:00","6:30","7:00","7:30","8:00","8:30","9:00"}))</f>
        <v>49</v>
      </c>
      <c r="AE57" s="54">
        <f t="array" ref="AE57">SUM(COUNTIF(AE5:AE56,{"5:00","5:30","6:00","6:30","7:00","7:30","8:00","8:30","9:00"}))</f>
        <v>29</v>
      </c>
      <c r="AF57" s="42"/>
      <c r="AG57" s="54">
        <f t="array" ref="AG57">SUM(COUNTIF(AG5:AG56,{"5:00","5:30","6:00","6:30","7:00","7:30","8:00","8:30","9:00"}))</f>
        <v>48</v>
      </c>
      <c r="AH57" s="54">
        <f t="array" ref="AH57">SUM(COUNTIF(AH5:AH56,{"5:00","5:30","6:00","6:30","7:00","7:30","8:00","8:30","9:00"}))</f>
        <v>45</v>
      </c>
      <c r="AI57" s="54">
        <f t="array" ref="AI57">SUM(COUNTIF(AI5:AI56,{"5:00","5:30","6:00","6:30","7:00","7:30","8:00","8:30","9:00"}))</f>
        <v>39</v>
      </c>
      <c r="AJ57" s="54">
        <f t="array" ref="AJ57">SUM(COUNTIF(AJ5:AJ56,{"5:00","5:30","6:00","6:30","7:00","7:30","8:00","8:30","9:00"}))</f>
        <v>35</v>
      </c>
      <c r="AK57" s="54">
        <f t="array" ref="AK57">SUM(COUNTIF(AK5:AK56,{"5:00","5:30","6:00","6:30","7:00","7:30","8:00","8:30","9:00"}))</f>
        <v>48</v>
      </c>
      <c r="AL57" s="54">
        <f t="array" ref="AL57">SUM(COUNTIF(AL5:AL56,{"5:00","5:30","6:00","6:30","7:00","7:30","8:00","8:30","9:00"}))</f>
        <v>31</v>
      </c>
      <c r="AM57" s="54">
        <f t="array" ref="AM57">SUM(COUNTIF(AM5:AM56,{"5:00","5:30","6:00","6:30","7:00","7:30","8:00","8:30","9:00"}))</f>
        <v>0</v>
      </c>
    </row>
    <row r="58">
      <c r="A58" s="51"/>
      <c r="B58" s="52"/>
      <c r="C58" s="56" t="s">
        <v>189</v>
      </c>
      <c r="D58" s="40"/>
      <c r="E58" s="57">
        <f t="array" ref="E58">SUM(COUNTIF(E5:E56,{"10:00","10:30","11:00","11:30","12:00","12:30"}))</f>
        <v>2</v>
      </c>
      <c r="F58" s="57">
        <f t="array" ref="F58">SUM(COUNTIF(F5:F56,{"10:00","10:30","11:00","11:30","12:00","12:30"}))</f>
        <v>1</v>
      </c>
      <c r="G58" s="57">
        <f t="array" ref="G58">SUM(COUNTIF(G5:G56,{"10:00","10:30","11:00","11:30","12:00","12:30"}))</f>
        <v>0</v>
      </c>
      <c r="H58" s="57">
        <f t="array" ref="H58">SUM(COUNTIF(H5:H56,{"10:00","10:30","11:00","11:30","12:00","12:30"}))</f>
        <v>1</v>
      </c>
      <c r="I58" s="57">
        <f t="array" ref="I58">SUM(COUNTIF(I5:I56,{"10:00","10:30","11:00","11:30","12:00","12:30"}))</f>
        <v>1</v>
      </c>
      <c r="J58" s="57">
        <f t="array" ref="J58">SUM(COUNTIF(J5:J56,{"10:00","10:30","11:00","11:30","12:00","12:30"}))</f>
        <v>0</v>
      </c>
      <c r="K58" s="55">
        <f t="array" ref="K58">IF(XLOOKUP($A58,Partner_Tickets!$A:$A,Partner_Tickets!E:E,"",0)="Free","Free",IF(XLOOKUP($A58,Partner_Tickets!$A:$A,Partner_Tickets!E:E,"",0)="VL","VL",IF(XLOOKUP($A58,Partner_Tickets!$A:$A,Partner_Tickets!E:E,"",0)="ATT","ATT",XLOOKUP($A58,Partner_Tickets!$A:$A,Partner_Tickets!E:E,"",0)+"1:00")))</f>
        <v>0.04166666667</v>
      </c>
      <c r="L58" s="57">
        <f t="array" ref="L58">SUM(COUNTIF(L5:L56,{"10:00","10:30","11:00","11:30","12:00","12:30"}))</f>
        <v>2</v>
      </c>
      <c r="M58" s="57">
        <f t="array" ref="M58">SUM(COUNTIF(M5:M56,{"10:00","10:30","11:00","11:30","12:00","12:30"}))</f>
        <v>0</v>
      </c>
      <c r="N58" s="57">
        <f t="array" ref="N58">SUM(COUNTIF(N5:N56,{"10:00","10:30","11:00","11:30","12:00","12:30"}))</f>
        <v>0</v>
      </c>
      <c r="O58" s="57">
        <f t="array" ref="O58">SUM(COUNTIF(O5:O56,{"10:00","10:30","11:00","11:30","12:00","12:30"}))</f>
        <v>1</v>
      </c>
      <c r="P58" s="57">
        <f t="array" ref="P58">SUM(COUNTIF(P5:P56,{"10:00","10:30","11:00","11:30","12:00","12:30"}))</f>
        <v>1</v>
      </c>
      <c r="Q58" s="57">
        <f t="array" ref="Q58">SUM(COUNTIF(Q5:Q56,{"10:00","10:30","11:00","11:30","12:00","12:30"}))</f>
        <v>0</v>
      </c>
      <c r="R58" s="57">
        <f t="array" ref="R58">SUM(COUNTIF(R5:R56,{"10:00","10:30","11:00","11:30","12:00","12:30"}))</f>
        <v>0</v>
      </c>
      <c r="S58" s="57">
        <f t="array" ref="S58">SUM(COUNTIF(S5:S56,{"10:00","10:30","11:00","11:30","12:00","12:30"}))</f>
        <v>1</v>
      </c>
      <c r="T58" s="57">
        <f t="array" ref="T58">SUM(COUNTIF(T5:T56,{"10:00","10:30","11:00","11:30","12:00","12:30"}))</f>
        <v>0</v>
      </c>
      <c r="U58" s="57">
        <f t="array" ref="U58">SUM(COUNTIF(U5:U56,{"10:00","10:30","11:00","11:30","12:00","12:30"}))</f>
        <v>0</v>
      </c>
      <c r="V58" s="57">
        <f t="array" ref="V58">SUM(COUNTIF(V5:V56,{"10:00","10:30","11:00","11:30","12:00","12:30"}))</f>
        <v>0</v>
      </c>
      <c r="W58" s="57">
        <f t="array" ref="W58">SUM(COUNTIF(W5:W56,{"10:00","10:30","11:00","11:30","12:00","12:30"}))</f>
        <v>0</v>
      </c>
      <c r="X58" s="57">
        <f t="array" ref="X58">SUM(COUNTIF(X5:X56,{"10:00","10:30","11:00","11:30","12:00","12:30"}))</f>
        <v>0</v>
      </c>
      <c r="Y58" s="42"/>
      <c r="Z58" s="57">
        <f t="array" ref="Z58">SUM(COUNTIF(Z5:Z56,{"10:00","10:30","11:00","11:30","12:00","12:30"}))</f>
        <v>1</v>
      </c>
      <c r="AA58" s="57">
        <f t="array" ref="AA58">SUM(COUNTIF(AA5:AA56,{"10:00","10:30","11:00","11:30","12:00","12:30"}))</f>
        <v>0</v>
      </c>
      <c r="AB58" s="57">
        <f t="array" ref="AB58">SUM(COUNTIF(AB5:AB56,{"10:00","10:30","11:00","11:30","12:00","12:30"}))</f>
        <v>0</v>
      </c>
      <c r="AC58" s="57">
        <f t="array" ref="AC58">SUM(COUNTIF(AC5:AC56,{"10:00","10:30","11:00","11:30","12:00","12:30"}))</f>
        <v>0</v>
      </c>
      <c r="AD58" s="57">
        <f t="array" ref="AD58">SUM(COUNTIF(AD5:AD56,{"10:00","10:30","11:00","11:30","12:00","12:30"}))</f>
        <v>0</v>
      </c>
      <c r="AE58" s="57">
        <f t="array" ref="AE58">SUM(COUNTIF(AE5:AE56,{"10:00","10:30","11:00","11:30","12:00","12:30"}))</f>
        <v>0</v>
      </c>
      <c r="AF58" s="42"/>
      <c r="AG58" s="57">
        <f t="array" ref="AG58">SUM(COUNTIF(AG5:AG56,{"10:00","10:30","11:00","11:30","12:00","12:30"}))</f>
        <v>2</v>
      </c>
      <c r="AH58" s="57">
        <f t="array" ref="AH58">SUM(COUNTIF(AH5:AH56,{"10:00","10:30","11:00","11:30","12:00","12:30"}))</f>
        <v>0</v>
      </c>
      <c r="AI58" s="57">
        <f t="array" ref="AI58">SUM(COUNTIF(AI5:AI56,{"10:00","10:30","11:00","11:30","12:00","12:30"}))</f>
        <v>0</v>
      </c>
      <c r="AJ58" s="57">
        <f t="array" ref="AJ58">SUM(COUNTIF(AJ5:AJ56,{"10:00","10:30","11:00","11:30","12:00","12:30"}))</f>
        <v>1</v>
      </c>
      <c r="AK58" s="57">
        <f t="array" ref="AK58">SUM(COUNTIF(AK5:AK56,{"10:00","10:30","11:00","11:30","12:00","12:30"}))</f>
        <v>1</v>
      </c>
      <c r="AL58" s="57">
        <f t="array" ref="AL58">SUM(COUNTIF(AL5:AL56,{"10:00","10:30","11:00","11:30","12:00","12:30"}))</f>
        <v>0</v>
      </c>
      <c r="AM58" s="57">
        <f t="array" ref="AM58">SUM(COUNTIF(AM5:AM56,{"10:00","10:30","11:00","11:30","12:00","12:30"}))</f>
        <v>0</v>
      </c>
    </row>
    <row r="59">
      <c r="A59" s="34"/>
      <c r="B59" s="52"/>
      <c r="C59" s="35" t="s">
        <v>190</v>
      </c>
      <c r="D59" s="40"/>
      <c r="E59" s="58">
        <f t="shared" ref="E59:J59" si="1">SUM(E57:E58)</f>
        <v>49</v>
      </c>
      <c r="F59" s="58">
        <f t="shared" si="1"/>
        <v>43</v>
      </c>
      <c r="G59" s="58">
        <f t="shared" si="1"/>
        <v>42</v>
      </c>
      <c r="H59" s="58">
        <f t="shared" si="1"/>
        <v>35</v>
      </c>
      <c r="I59" s="58">
        <f t="shared" si="1"/>
        <v>48</v>
      </c>
      <c r="J59" s="58">
        <f t="shared" si="1"/>
        <v>28</v>
      </c>
      <c r="K59" s="55">
        <f t="array" ref="K59">IF(XLOOKUP($A59,Partner_Tickets!$A:$A,Partner_Tickets!E:E,"",0)="Free","Free",IF(XLOOKUP($A59,Partner_Tickets!$A:$A,Partner_Tickets!E:E,"",0)="VL","VL",IF(XLOOKUP($A59,Partner_Tickets!$A:$A,Partner_Tickets!E:E,"",0)="ATT","ATT",XLOOKUP($A59,Partner_Tickets!$A:$A,Partner_Tickets!E:E,"",0)+"1:00")))</f>
        <v>0.04166666667</v>
      </c>
      <c r="L59" s="58">
        <f t="shared" ref="L59:Q59" si="2">SUM(L57:L58)</f>
        <v>50</v>
      </c>
      <c r="M59" s="58">
        <f t="shared" si="2"/>
        <v>44</v>
      </c>
      <c r="N59" s="58">
        <f t="shared" si="2"/>
        <v>39</v>
      </c>
      <c r="O59" s="58">
        <f t="shared" si="2"/>
        <v>37</v>
      </c>
      <c r="P59" s="58">
        <f t="shared" si="2"/>
        <v>49</v>
      </c>
      <c r="Q59" s="58">
        <f t="shared" si="2"/>
        <v>29</v>
      </c>
      <c r="R59" s="42"/>
      <c r="S59" s="58">
        <f t="shared" ref="S59:X59" si="3">SUM(S57:S58)</f>
        <v>49</v>
      </c>
      <c r="T59" s="58">
        <f t="shared" si="3"/>
        <v>46</v>
      </c>
      <c r="U59" s="58">
        <f t="shared" si="3"/>
        <v>39</v>
      </c>
      <c r="V59" s="58">
        <f t="shared" si="3"/>
        <v>36</v>
      </c>
      <c r="W59" s="58">
        <f t="shared" si="3"/>
        <v>49</v>
      </c>
      <c r="X59" s="58">
        <f t="shared" si="3"/>
        <v>30</v>
      </c>
      <c r="Y59" s="42"/>
      <c r="Z59" s="58">
        <f t="shared" ref="Z59:AE59" si="4">SUM(Z57:Z58)</f>
        <v>50</v>
      </c>
      <c r="AA59" s="58">
        <f t="shared" si="4"/>
        <v>45</v>
      </c>
      <c r="AB59" s="58">
        <f t="shared" si="4"/>
        <v>39</v>
      </c>
      <c r="AC59" s="58">
        <f t="shared" si="4"/>
        <v>37</v>
      </c>
      <c r="AD59" s="58">
        <f t="shared" si="4"/>
        <v>49</v>
      </c>
      <c r="AE59" s="58">
        <f t="shared" si="4"/>
        <v>29</v>
      </c>
      <c r="AF59" s="42"/>
      <c r="AG59" s="58">
        <f t="shared" ref="AG59:AL59" si="5">SUM(AG57:AG58)</f>
        <v>50</v>
      </c>
      <c r="AH59" s="58">
        <f t="shared" si="5"/>
        <v>45</v>
      </c>
      <c r="AI59" s="58">
        <f t="shared" si="5"/>
        <v>39</v>
      </c>
      <c r="AJ59" s="58">
        <f t="shared" si="5"/>
        <v>36</v>
      </c>
      <c r="AK59" s="58">
        <f t="shared" si="5"/>
        <v>49</v>
      </c>
      <c r="AL59" s="58">
        <f t="shared" si="5"/>
        <v>31</v>
      </c>
      <c r="AM59" s="58"/>
    </row>
    <row r="60">
      <c r="A60" s="51"/>
      <c r="B60" s="52"/>
      <c r="C60" s="35" t="s">
        <v>191</v>
      </c>
      <c r="D60" s="40"/>
      <c r="E60" s="34">
        <f t="shared" ref="E60:J60" si="6">COUNTIF(E5:E50,"Free")</f>
        <v>0</v>
      </c>
      <c r="F60" s="34">
        <f t="shared" si="6"/>
        <v>6</v>
      </c>
      <c r="G60" s="34">
        <f t="shared" si="6"/>
        <v>6</v>
      </c>
      <c r="H60" s="34">
        <f t="shared" si="6"/>
        <v>13</v>
      </c>
      <c r="I60" s="34">
        <f t="shared" si="6"/>
        <v>1</v>
      </c>
      <c r="J60" s="34">
        <f t="shared" si="6"/>
        <v>17</v>
      </c>
      <c r="K60" s="55">
        <f t="array" ref="K60">IF(XLOOKUP($A60,Partner_Tickets!$A:$A,Partner_Tickets!E:E,"",0)="Free","Free",IF(XLOOKUP($A60,Partner_Tickets!$A:$A,Partner_Tickets!E:E,"",0)="VL","VL",IF(XLOOKUP($A60,Partner_Tickets!$A:$A,Partner_Tickets!E:E,"",0)="ATT","ATT",XLOOKUP($A60,Partner_Tickets!$A:$A,Partner_Tickets!E:E,"",0)+"1:00")))</f>
        <v>0.04166666667</v>
      </c>
      <c r="L60" s="34">
        <f t="shared" ref="L60:Q60" si="7">COUNTIF(L5:L50,"Free")</f>
        <v>0</v>
      </c>
      <c r="M60" s="34">
        <f t="shared" si="7"/>
        <v>6</v>
      </c>
      <c r="N60" s="34">
        <f t="shared" si="7"/>
        <v>9</v>
      </c>
      <c r="O60" s="34">
        <f t="shared" si="7"/>
        <v>12</v>
      </c>
      <c r="P60" s="34">
        <f t="shared" si="7"/>
        <v>1</v>
      </c>
      <c r="Q60" s="34">
        <f t="shared" si="7"/>
        <v>16</v>
      </c>
      <c r="R60" s="42"/>
      <c r="S60" s="34">
        <f t="shared" ref="S60:X60" si="8">COUNTIF(S5:S50,"Free")</f>
        <v>0</v>
      </c>
      <c r="T60" s="34">
        <f t="shared" si="8"/>
        <v>4</v>
      </c>
      <c r="U60" s="34">
        <f t="shared" si="8"/>
        <v>9</v>
      </c>
      <c r="V60" s="34">
        <f t="shared" si="8"/>
        <v>14</v>
      </c>
      <c r="W60" s="34">
        <f t="shared" si="8"/>
        <v>1</v>
      </c>
      <c r="X60" s="34">
        <f t="shared" si="8"/>
        <v>16</v>
      </c>
      <c r="Y60" s="42"/>
      <c r="Z60" s="34">
        <f t="shared" ref="Z60:AE60" si="9">COUNTIF(Z5:Z50,"Free")</f>
        <v>0</v>
      </c>
      <c r="AA60" s="34">
        <f t="shared" si="9"/>
        <v>5</v>
      </c>
      <c r="AB60" s="34">
        <f t="shared" si="9"/>
        <v>9</v>
      </c>
      <c r="AC60" s="34">
        <f t="shared" si="9"/>
        <v>13</v>
      </c>
      <c r="AD60" s="34">
        <f t="shared" si="9"/>
        <v>1</v>
      </c>
      <c r="AE60" s="34">
        <f t="shared" si="9"/>
        <v>15</v>
      </c>
      <c r="AF60" s="42"/>
      <c r="AG60" s="34">
        <f t="shared" ref="AG60:AL60" si="10">COUNTIF(AG5:AG50,"Free")</f>
        <v>0</v>
      </c>
      <c r="AH60" s="34">
        <f t="shared" si="10"/>
        <v>5</v>
      </c>
      <c r="AI60" s="34">
        <f t="shared" si="10"/>
        <v>9</v>
      </c>
      <c r="AJ60" s="34">
        <f t="shared" si="10"/>
        <v>13</v>
      </c>
      <c r="AK60" s="34">
        <f t="shared" si="10"/>
        <v>1</v>
      </c>
      <c r="AL60" s="34">
        <f t="shared" si="10"/>
        <v>16</v>
      </c>
      <c r="AM60" s="34"/>
    </row>
  </sheetData>
  <autoFilter ref="$A$2:$AM$56">
    <sortState ref="A2:AM56">
      <sortCondition ref="B2:B56"/>
      <sortCondition ref="C2:C56"/>
    </sortState>
  </autoFilter>
  <conditionalFormatting sqref="D1:AM1">
    <cfRule type="cellIs" dxfId="10" priority="1" operator="equal">
      <formula>"Free"</formula>
    </cfRule>
  </conditionalFormatting>
  <conditionalFormatting sqref="D3:D60 E3:Q56 R3:R60 S3:X56 Y3:Y60 Z3:AE56 AF3:AM60">
    <cfRule type="containsText" dxfId="1" priority="2" operator="containsText" text="12:00">
      <formula>NOT(ISERROR(SEARCH(("12:00"),(D3))))</formula>
    </cfRule>
  </conditionalFormatting>
  <conditionalFormatting sqref="D1:AM1 D3:D60 E3:Q56 R3:R60 S3:X56 Y3:Y60 Z3:AE56 AF3:AM60">
    <cfRule type="containsText" dxfId="2" priority="3" operator="containsText" text="7:00">
      <formula>NOT(ISERROR(SEARCH(("7:00"),(D1))))</formula>
    </cfRule>
  </conditionalFormatting>
  <conditionalFormatting sqref="D3:D60 E3:Q56 R3:R60 S3:X56 Y3:Y60 Z3:AE56 AF3:AM60">
    <cfRule type="containsText" dxfId="9" priority="4" operator="containsText" text="6:30">
      <formula>NOT(ISERROR(SEARCH(("6:30"),(D3))))</formula>
    </cfRule>
  </conditionalFormatting>
  <conditionalFormatting sqref="D3:D60 E3:Q56 R3:R60 S3:X56 Y3:Y60 Z3:AE56 AF3:AM60">
    <cfRule type="containsText" dxfId="1" priority="5" operator="containsText" text="7:00">
      <formula>NOT(ISERROR(SEARCH(("7:00"),(D3))))</formula>
    </cfRule>
  </conditionalFormatting>
  <conditionalFormatting sqref="D3:D60 E3:Q56 R3:R60 S3:X56 Y3:Y60 Z3:AE56 AF3:AM60">
    <cfRule type="containsText" dxfId="11" priority="6" operator="containsText" text="6:00">
      <formula>NOT(ISERROR(SEARCH(("6:00"),(D3))))</formula>
    </cfRule>
  </conditionalFormatting>
  <conditionalFormatting sqref="D3:D60 E3:Q56 R3:R60 S3:X56 Y3:Y60 Z3:AE56 AF3:AM60">
    <cfRule type="containsText" dxfId="4" priority="7" operator="containsText" text="5:00">
      <formula>NOT(ISERROR(SEARCH(("5:00"),(D3))))</formula>
    </cfRule>
  </conditionalFormatting>
  <conditionalFormatting sqref="D3:D60 E3:Q56 R3:R60 S3:X56 Y3:Y60 Z3:AE56 AF3:AM60">
    <cfRule type="containsText" dxfId="12" priority="8" operator="containsText" text="10:00">
      <formula>NOT(ISERROR(SEARCH(("10:00"),(D3))))</formula>
    </cfRule>
  </conditionalFormatting>
  <conditionalFormatting sqref="D3:D60 E3:Q56 R3:R60 S3:X56 Y3:Y60 Z3:AE56 AF3:AM60">
    <cfRule type="containsText" dxfId="13" priority="9" operator="containsText" text="9:00">
      <formula>NOT(ISERROR(SEARCH(("9:00"),(D3))))</formula>
    </cfRule>
  </conditionalFormatting>
  <conditionalFormatting sqref="D3:D60 E3:Q56 R3:R60 S3:X56 Y3:Y60 Z3:AE56 AF3:AM60">
    <cfRule type="containsText" dxfId="14" priority="10" operator="containsText" text="11:00">
      <formula>NOT(ISERROR(SEARCH(("11:00"),(D3))))</formula>
    </cfRule>
  </conditionalFormatting>
  <conditionalFormatting sqref="D3:D60 E3:Q56 R3:R60 S3:X56 Y3:Y60 Z3:AE56 AF3:AM60">
    <cfRule type="cellIs" dxfId="15" priority="11" operator="equal">
      <formula>"Free"</formula>
    </cfRule>
  </conditionalFormatting>
  <conditionalFormatting sqref="D1:AM1 D3:D60 E3:Q56 R3:R60 S3:X56 Y3:Y60 Z3:AE56 AF3:AM60 A9 A28">
    <cfRule type="containsText" dxfId="0" priority="12" operator="containsText" text="5:00">
      <formula>NOT(ISERROR(SEARCH(("5:00"),(D1))))</formula>
    </cfRule>
  </conditionalFormatting>
  <conditionalFormatting sqref="D1:AM1 D3:D60 E3:Q56 R3:R60 S3:X56 Y3:Y60 Z3:AE56 AF3:AM60 A9 A28">
    <cfRule type="containsText" dxfId="1" priority="13" operator="containsText" text="6:00">
      <formula>NOT(ISERROR(SEARCH(("6:00"),(D1))))</formula>
    </cfRule>
  </conditionalFormatting>
  <conditionalFormatting sqref="D1:AM1 D3:D60 E3:Q56 R3:R60 S3:X56 Y3:Y60 Z3:AE56 AF3:AM60 A9 A28">
    <cfRule type="containsText" dxfId="16" priority="14" operator="containsText" text="7:00">
      <formula>NOT(ISERROR(SEARCH(("7:00"),(D1))))</formula>
    </cfRule>
  </conditionalFormatting>
  <conditionalFormatting sqref="D1:AM1 D3:D60 E3:Q56 R3:R60 S3:X56 Y3:Y60 Z3:AE56 AF3:AM60 A9 A28">
    <cfRule type="containsText" dxfId="3" priority="15" operator="containsText" text="8:00">
      <formula>NOT(ISERROR(SEARCH(("8:00"),(D1))))</formula>
    </cfRule>
  </conditionalFormatting>
  <conditionalFormatting sqref="D1:AM1 D3:D60 E3:Q56 R3:R60 S3:X56 Y3:Y60 Z3:AE56 AF3:AM60 A9 A28">
    <cfRule type="containsText" dxfId="4" priority="16" operator="containsText" text="5:30">
      <formula>NOT(ISERROR(SEARCH(("5:30"),(D1))))</formula>
    </cfRule>
  </conditionalFormatting>
  <conditionalFormatting sqref="D1:AM1 D3:D60 E3:Q56 R3:R60 S3:X56 Y3:Y60 Z3:AE56 AF3:AM60 A9 A28">
    <cfRule type="containsText" dxfId="5" priority="17" operator="containsText" text="9:00">
      <formula>NOT(ISERROR(SEARCH(("9:00"),(D1))))</formula>
    </cfRule>
  </conditionalFormatting>
  <conditionalFormatting sqref="D1:AM1 D3:D60 E3:Q56 R3:R60 S3:X56 Y3:Y60 Z3:AE56 AF3:AM60 A9 A28">
    <cfRule type="containsText" dxfId="6" priority="18" operator="containsText" text="10:00">
      <formula>NOT(ISERROR(SEARCH(("10:00"),(D1))))</formula>
    </cfRule>
  </conditionalFormatting>
  <conditionalFormatting sqref="D1:AM1 D3:D60 E3:Q56 R3:R60 S3:X56 Y3:Y60 Z3:AE56 AF3:AM60 A9 A28">
    <cfRule type="containsText" dxfId="7" priority="19" operator="containsText" text="11:00">
      <formula>NOT(ISERROR(SEARCH(("11:00"),(D1))))</formula>
    </cfRule>
  </conditionalFormatting>
  <conditionalFormatting sqref="D3:D60 E3:Q56 R3:R60 S3:X56 Y3:Y60 Z3:AE56 AF3:AM60 A9 A28">
    <cfRule type="containsText" dxfId="9" priority="20" operator="containsText" text="Free">
      <formula>NOT(ISERROR(SEARCH(("Free"),(D3))))</formula>
    </cfRule>
  </conditionalFormatting>
  <conditionalFormatting sqref="D1:AM1 D3:D60 E3:Q56 R3:R60 S3:X56 Y3:Y60 Z3:AE56 AF3:AM60 A9 A28">
    <cfRule type="containsText" dxfId="8" priority="21" operator="containsText" text="12:00">
      <formula>NOT(ISERROR(SEARCH(("12:00"),(D1))))</formula>
    </cfRule>
  </conditionalFormatting>
  <conditionalFormatting sqref="A1:AM1 D3:D60 E3:Q56 R3:R60 S3:X56 Y3:Y60 Z3:AE56 AF3:AM60">
    <cfRule type="containsText" dxfId="17" priority="22" operator="containsText" text="5:00">
      <formula>NOT(ISERROR(SEARCH(("5:00"),(A1))))</formula>
    </cfRule>
  </conditionalFormatting>
  <conditionalFormatting sqref="A1:AM1 D3:D60 E3:J58 K3:K56 L3:Q58 R3:R60 S3:X58 Y3:Y60 Z3:AE58 AF3:AM60 C57:C58">
    <cfRule type="containsText" dxfId="18" priority="23" operator="containsText" text="6:00">
      <formula>NOT(ISERROR(SEARCH(("6:00"),(A1))))</formula>
    </cfRule>
  </conditionalFormatting>
  <conditionalFormatting sqref="K3:K4 R3:R60 Y3:Y60 AF3:AM60 C57:J58 L57:Q58 S57:X58 Z57:AE58">
    <cfRule type="containsText" dxfId="19" priority="24" operator="containsText" text="11:00">
      <formula>NOT(ISERROR(SEARCH(("11:00"),(K3))))</formula>
    </cfRule>
  </conditionalFormatting>
  <conditionalFormatting sqref="D1:AM1 D3:D60 E3:Q56 R3:R60 S3:X56 Y3:Y60 Z3:AE56 AF3:AM60">
    <cfRule type="containsText" dxfId="20" priority="25" operator="containsText" text="7:00">
      <formula>NOT(ISERROR(SEARCH(("7:00"),(D1))))</formula>
    </cfRule>
  </conditionalFormatting>
  <conditionalFormatting sqref="D1:AM1 D3:D60 E3:Q56 R3:R60 S3:X56 Y3:Y60 Z3:AE56 AF3:AM60">
    <cfRule type="containsText" dxfId="21" priority="26" operator="containsText" text="8:00">
      <formula>NOT(ISERROR(SEARCH(("8:00"),(D1))))</formula>
    </cfRule>
  </conditionalFormatting>
  <conditionalFormatting sqref="D1:AM1 D3:D60 E3:Q56 R3:R60 S3:X56 Y3:Y60 Z3:AE56 AF3:AM60">
    <cfRule type="containsText" dxfId="22" priority="27" operator="containsText" text="9:00">
      <formula>NOT(ISERROR(SEARCH(("9:00"),(D1))))</formula>
    </cfRule>
  </conditionalFormatting>
  <conditionalFormatting sqref="A1:C2 D1:D60 E1:J58 K1:K56 L1:Q58 R1:R60 S1:X58 Y1:Y60 Z1:AE58 AF1:AM60 C57:C58">
    <cfRule type="cellIs" dxfId="23" priority="28" operator="equal">
      <formula>"Free"</formula>
    </cfRule>
  </conditionalFormatting>
  <conditionalFormatting sqref="A3:C56 D3:D60 E3:Q56 R3:R60 S3:X56 Y3:Y60 Z3:AE56 AF3:AM60">
    <cfRule type="containsText" dxfId="23" priority="29" operator="containsText" text="Free">
      <formula>NOT(ISERROR(SEARCH(("Free"),(A3))))</formula>
    </cfRule>
  </conditionalFormatting>
  <conditionalFormatting sqref="A3:C56 D3:D60 E3:Q56 R3:R60 S3:X56 Y3:Y60 Z3:AE56 AF3:AM60">
    <cfRule type="containsText" dxfId="24" priority="30" operator="containsText" text="7:00">
      <formula>NOT(ISERROR(SEARCH(("7:00"),(A3))))</formula>
    </cfRule>
  </conditionalFormatting>
  <conditionalFormatting sqref="A3:C56 D3:D60 E3:Q56 R3:R60 S3:X56 Y3:Y60 Z3:AE56 AF3:AM60">
    <cfRule type="containsText" dxfId="25" priority="31" operator="containsText" text="8:00">
      <formula>NOT(ISERROR(SEARCH(("8:00"),(A3))))</formula>
    </cfRule>
  </conditionalFormatting>
  <conditionalFormatting sqref="A3:C56 D3:D60 E3:Q56 R3:R60 S3:X56 Y3:Y60 Z3:AE56 AF3:AM60">
    <cfRule type="containsText" dxfId="26" priority="32" operator="containsText" text="6:00">
      <formula>NOT(ISERROR(SEARCH(("6:00"),(A3))))</formula>
    </cfRule>
  </conditionalFormatting>
  <conditionalFormatting sqref="A3:C56 D3:D60 E3:Q56 R3:R60 S3:X56 Y3:Y60 Z3:AE56 AF3:AM60">
    <cfRule type="containsText" dxfId="27" priority="33" operator="containsText" text="12:00">
      <formula>NOT(ISERROR(SEARCH(("12:00"),(A3))))</formula>
    </cfRule>
  </conditionalFormatting>
  <conditionalFormatting sqref="A3:C56 D3:D60 E3:Q56 R3:R60 S3:X56 Y3:Y60 Z3:AE56 AF3:AM60">
    <cfRule type="containsText" dxfId="28" priority="34" operator="containsText" text="9:00">
      <formula>NOT(ISERROR(SEARCH(("9:00"),(A3))))</formula>
    </cfRule>
  </conditionalFormatting>
  <conditionalFormatting sqref="A3:C56 D3:D60 E3:Q56 R3:R60 S3:X56 Y3:Y60 Z3:AE56 AF3:AM60">
    <cfRule type="containsText" dxfId="29" priority="35" operator="containsText" text="VL">
      <formula>NOT(ISERROR(SEARCH(("VL"),(A3))))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21.63"/>
    <col customWidth="1" min="4" max="4" width="6.38"/>
    <col customWidth="1" min="5" max="5" width="7.13"/>
    <col customWidth="1" min="6" max="6" width="6.25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2" width="6.38"/>
    <col customWidth="1" min="33" max="33" width="7.13"/>
    <col customWidth="1" min="34" max="34" width="6.25"/>
    <col customWidth="1" min="35" max="35" width="7.0"/>
    <col customWidth="1" min="36" max="36" width="6.38"/>
    <col customWidth="1" min="37" max="38" width="6.13"/>
    <col customWidth="1" min="39" max="39" width="6.38"/>
  </cols>
  <sheetData>
    <row r="1">
      <c r="A1" s="59"/>
      <c r="B1" s="60"/>
      <c r="C1" s="60"/>
      <c r="D1" s="36">
        <v>46138.0</v>
      </c>
      <c r="E1" s="36">
        <v>46139.0</v>
      </c>
      <c r="F1" s="36">
        <v>46140.0</v>
      </c>
      <c r="G1" s="36">
        <v>46141.0</v>
      </c>
      <c r="H1" s="36">
        <v>46142.0</v>
      </c>
      <c r="I1" s="36">
        <v>46143.0</v>
      </c>
      <c r="J1" s="36">
        <v>46144.0</v>
      </c>
      <c r="K1" s="36">
        <v>46145.0</v>
      </c>
      <c r="L1" s="36">
        <v>46146.0</v>
      </c>
      <c r="M1" s="36">
        <v>46147.0</v>
      </c>
      <c r="N1" s="36">
        <v>46148.0</v>
      </c>
      <c r="O1" s="36">
        <v>46149.0</v>
      </c>
      <c r="P1" s="36">
        <v>46150.0</v>
      </c>
      <c r="Q1" s="36">
        <v>46151.0</v>
      </c>
      <c r="R1" s="36">
        <v>46152.0</v>
      </c>
      <c r="S1" s="36">
        <v>46153.0</v>
      </c>
      <c r="T1" s="36">
        <v>46154.0</v>
      </c>
      <c r="U1" s="36">
        <v>46155.0</v>
      </c>
      <c r="V1" s="36">
        <v>46156.0</v>
      </c>
      <c r="W1" s="36">
        <v>46157.0</v>
      </c>
      <c r="X1" s="36">
        <v>46158.0</v>
      </c>
      <c r="Y1" s="36">
        <v>46159.0</v>
      </c>
      <c r="Z1" s="36">
        <v>46160.0</v>
      </c>
      <c r="AA1" s="36">
        <v>46161.0</v>
      </c>
      <c r="AB1" s="36">
        <v>46162.0</v>
      </c>
      <c r="AC1" s="36">
        <v>46163.0</v>
      </c>
      <c r="AD1" s="36">
        <v>46164.0</v>
      </c>
      <c r="AE1" s="36">
        <v>46165.0</v>
      </c>
      <c r="AF1" s="36">
        <v>46166.0</v>
      </c>
      <c r="AG1" s="36">
        <v>46167.0</v>
      </c>
      <c r="AH1" s="36">
        <v>46168.0</v>
      </c>
      <c r="AI1" s="36">
        <v>46169.0</v>
      </c>
      <c r="AJ1" s="36">
        <v>46170.0</v>
      </c>
      <c r="AK1" s="36">
        <v>46171.0</v>
      </c>
      <c r="AL1" s="36">
        <v>46172.0</v>
      </c>
      <c r="AM1" s="36">
        <v>46173.0</v>
      </c>
    </row>
    <row r="2">
      <c r="A2" s="61" t="s">
        <v>2</v>
      </c>
      <c r="B2" s="62" t="s">
        <v>132</v>
      </c>
      <c r="C2" s="62" t="s">
        <v>133</v>
      </c>
      <c r="D2" s="63">
        <v>45501.0</v>
      </c>
      <c r="E2" s="63">
        <v>45502.0</v>
      </c>
      <c r="F2" s="63">
        <v>45503.0</v>
      </c>
      <c r="G2" s="63">
        <v>45504.0</v>
      </c>
      <c r="H2" s="63">
        <v>45505.0</v>
      </c>
      <c r="I2" s="63">
        <v>45506.0</v>
      </c>
      <c r="J2" s="63">
        <v>45507.0</v>
      </c>
      <c r="K2" s="63">
        <v>45508.0</v>
      </c>
      <c r="L2" s="63">
        <v>45509.0</v>
      </c>
      <c r="M2" s="63">
        <v>45510.0</v>
      </c>
      <c r="N2" s="63">
        <v>45511.0</v>
      </c>
      <c r="O2" s="63">
        <v>45512.0</v>
      </c>
      <c r="P2" s="63">
        <v>45513.0</v>
      </c>
      <c r="Q2" s="63">
        <v>45514.0</v>
      </c>
      <c r="R2" s="63">
        <v>45515.0</v>
      </c>
      <c r="S2" s="63">
        <v>45516.0</v>
      </c>
      <c r="T2" s="63">
        <v>45517.0</v>
      </c>
      <c r="U2" s="63">
        <v>45518.0</v>
      </c>
      <c r="V2" s="63">
        <v>45519.0</v>
      </c>
      <c r="W2" s="63">
        <v>45520.0</v>
      </c>
      <c r="X2" s="63">
        <v>45521.0</v>
      </c>
      <c r="Y2" s="63">
        <v>45522.0</v>
      </c>
      <c r="Z2" s="63">
        <v>45523.0</v>
      </c>
      <c r="AA2" s="63">
        <v>45524.0</v>
      </c>
      <c r="AB2" s="63">
        <v>45525.0</v>
      </c>
      <c r="AC2" s="63">
        <v>45526.0</v>
      </c>
      <c r="AD2" s="63">
        <v>45527.0</v>
      </c>
      <c r="AE2" s="63">
        <v>45528.0</v>
      </c>
      <c r="AF2" s="63">
        <v>45522.0</v>
      </c>
      <c r="AG2" s="63">
        <v>45523.0</v>
      </c>
      <c r="AH2" s="63">
        <v>45524.0</v>
      </c>
      <c r="AI2" s="63">
        <v>45525.0</v>
      </c>
      <c r="AJ2" s="63">
        <v>45526.0</v>
      </c>
      <c r="AK2" s="63">
        <v>45527.0</v>
      </c>
      <c r="AL2" s="63">
        <v>45528.0</v>
      </c>
      <c r="AM2" s="63">
        <v>45529.0</v>
      </c>
    </row>
    <row r="3">
      <c r="A3" s="64" t="s">
        <v>9</v>
      </c>
      <c r="B3" s="65" t="str">
        <f t="array" ref="B3">XLOOKUP(A3,Roster!F:F,Roster!A:A,"")</f>
        <v>Mateo Henao</v>
      </c>
      <c r="C3" s="65" t="str">
        <f t="array" ref="C3">XLOOKUP(A3,Roster!F:F,Roster!B:B,"")</f>
        <v>Adriana Moncaleano</v>
      </c>
      <c r="D3" s="40" t="s">
        <v>135</v>
      </c>
      <c r="E3" s="66">
        <f t="array" ref="E3">IF(XLOOKUP($A3,Partner_BookInBlock!$A:$A,Partner_BookInBlock!E:E,"",0)="Free","Free",IF(XLOOKUP($A3,Partner_BookInBlock!$A:$A,Partner_BookInBlock!E:E,"",0)="VL","VL",IF(XLOOKUP($A3,Partner_BookInBlock!$A:$A,Partner_BookInBlock!E:E,"",0)="ATT","ATT",XLOOKUP($A3,Partner_BookInBlock!$A:$A,Partner_BookInBlock!E:E,"",0))))</f>
        <v>0.3333333333</v>
      </c>
      <c r="F3" s="66">
        <f t="array" ref="F3">IF(XLOOKUP($A3,Partner_BookInBlock!$A:$A,Partner_BookInBlock!F:F,"",0)="Free","Free",IF(XLOOKUP($A3,Partner_BookInBlock!$A:$A,Partner_BookInBlock!F:F,"",0)="VL","VL",IF(XLOOKUP($A3,Partner_BookInBlock!$A:$A,Partner_BookInBlock!F:F,"",0)="ATT","ATT",XLOOKUP($A3,Partner_BookInBlock!$A:$A,Partner_BookInBlock!F:F,"",0))))</f>
        <v>0.3333333333</v>
      </c>
      <c r="G3" s="66">
        <f t="array" ref="G3">IF(XLOOKUP($A3,Partner_BookInBlock!$A:$A,Partner_BookInBlock!G:G,"",0)="Free","Free",IF(XLOOKUP($A3,Partner_BookInBlock!$A:$A,Partner_BookInBlock!G:G,"",0)="VL","VL",IF(XLOOKUP($A3,Partner_BookInBlock!$A:$A,Partner_BookInBlock!G:G,"",0)="ATT","ATT",XLOOKUP($A3,Partner_BookInBlock!$A:$A,Partner_BookInBlock!G:G,"",0))))</f>
        <v>0.3333333333</v>
      </c>
      <c r="H3" s="66">
        <f t="array" ref="H3">IF(XLOOKUP($A3,Partner_BookInBlock!$A:$A,Partner_BookInBlock!H:H,"",0)="Free","Free",IF(XLOOKUP($A3,Partner_BookInBlock!$A:$A,Partner_BookInBlock!H:H,"",0)="VL","VL",IF(XLOOKUP($A3,Partner_BookInBlock!$A:$A,Partner_BookInBlock!H:H,"",0)="ATT","ATT",XLOOKUP($A3,Partner_BookInBlock!$A:$A,Partner_BookInBlock!H:H,"",0))))</f>
        <v>0.3333333333</v>
      </c>
      <c r="I3" s="66">
        <f t="array" ref="I3">IF(XLOOKUP($A3,Partner_BookInBlock!$A:$A,Partner_BookInBlock!I:I,"",0)="Free","Free",IF(XLOOKUP($A3,Partner_BookInBlock!$A:$A,Partner_BookInBlock!I:I,"",0)="VL","VL",IF(XLOOKUP($A3,Partner_BookInBlock!$A:$A,Partner_BookInBlock!I:I,"",0)="ATT","ATT",XLOOKUP($A3,Partner_BookInBlock!$A:$A,Partner_BookInBlock!I:I,"",0))))</f>
        <v>0.3333333333</v>
      </c>
      <c r="J3" s="66" t="str">
        <f t="array" ref="J3">IF(XLOOKUP($A3,Partner_BookInBlock!$A:$A,Partner_BookInBlock!J:J,"",0)="Free","Free",IF(XLOOKUP($A3,Partner_BookInBlock!$A:$A,Partner_BookInBlock!J:J,"",0)="VL","VL",IF(XLOOKUP($A3,Partner_BookInBlock!$A:$A,Partner_BookInBlock!J:J,"",0)="ATT","ATT",XLOOKUP($A3,Partner_BookInBlock!$A:$A,Partner_BookInBlock!J:J,"",0))))</f>
        <v>Free</v>
      </c>
      <c r="K3" s="42"/>
      <c r="L3" s="66">
        <f t="array" ref="L3">IF(XLOOKUP($A3,Partner_BookInBlock!$A:$A,Partner_BookInBlock!L:L,"",0)="Free","Free",IF(XLOOKUP($A3,Partner_BookInBlock!$A:$A,Partner_BookInBlock!L:L,"",0)="VL","VL",IF(XLOOKUP($A3,Partner_BookInBlock!$A:$A,Partner_BookInBlock!L:L,"",0)="ATT","ATT",XLOOKUP($A3,Partner_BookInBlock!$A:$A,Partner_BookInBlock!L:L,"",0))))</f>
        <v>0.3333333333</v>
      </c>
      <c r="M3" s="66">
        <f t="array" ref="M3">IF(XLOOKUP($A3,Partner_BookInBlock!$A:$A,Partner_BookInBlock!M:M,"",0)="Free","Free",IF(XLOOKUP($A3,Partner_BookInBlock!$A:$A,Partner_BookInBlock!M:M,"",0)="VL","VL",IF(XLOOKUP($A3,Partner_BookInBlock!$A:$A,Partner_BookInBlock!M:M,"",0)="ATT","ATT",XLOOKUP($A3,Partner_BookInBlock!$A:$A,Partner_BookInBlock!M:M,"",0))))</f>
        <v>0.3333333333</v>
      </c>
      <c r="N3" s="66">
        <f t="array" ref="N3">IF(XLOOKUP($A3,Partner_BookInBlock!$A:$A,Partner_BookInBlock!N:N,"",0)="Free","Free",IF(XLOOKUP($A3,Partner_BookInBlock!$A:$A,Partner_BookInBlock!N:N,"",0)="VL","VL",IF(XLOOKUP($A3,Partner_BookInBlock!$A:$A,Partner_BookInBlock!N:N,"",0)="ATT","ATT",XLOOKUP($A3,Partner_BookInBlock!$A:$A,Partner_BookInBlock!N:N,"",0))))</f>
        <v>0.3333333333</v>
      </c>
      <c r="O3" s="66">
        <f t="array" ref="O3">IF(XLOOKUP($A3,Partner_BookInBlock!$A:$A,Partner_BookInBlock!O:O,"",0)="Free","Free",IF(XLOOKUP($A3,Partner_BookInBlock!$A:$A,Partner_BookInBlock!O:O,"",0)="VL","VL",IF(XLOOKUP($A3,Partner_BookInBlock!$A:$A,Partner_BookInBlock!O:O,"",0)="ATT","ATT",XLOOKUP($A3,Partner_BookInBlock!$A:$A,Partner_BookInBlock!O:O,"",0))))</f>
        <v>0.3333333333</v>
      </c>
      <c r="P3" s="66">
        <f t="array" ref="P3">IF(XLOOKUP($A3,Partner_BookInBlock!$A:$A,Partner_BookInBlock!P:P,"",0)="Free","Free",IF(XLOOKUP($A3,Partner_BookInBlock!$A:$A,Partner_BookInBlock!P:P,"",0)="VL","VL",IF(XLOOKUP($A3,Partner_BookInBlock!$A:$A,Partner_BookInBlock!P:P,"",0)="ATT","ATT",XLOOKUP($A3,Partner_BookInBlock!$A:$A,Partner_BookInBlock!P:P,"",0))))</f>
        <v>0.3333333333</v>
      </c>
      <c r="Q3" s="66" t="str">
        <f t="array" ref="Q3">IF(XLOOKUP($A3,Partner_BookInBlock!$A:$A,Partner_BookInBlock!Q:Q,"",0)="Free","Free",IF(XLOOKUP($A3,Partner_BookInBlock!$A:$A,Partner_BookInBlock!Q:Q,"",0)="VL","VL",IF(XLOOKUP($A3,Partner_BookInBlock!$A:$A,Partner_BookInBlock!Q:Q,"",0)="ATT","ATT",XLOOKUP($A3,Partner_BookInBlock!$A:$A,Partner_BookInBlock!Q:Q,"",0))))</f>
        <v>Free</v>
      </c>
      <c r="R3" s="43"/>
      <c r="S3" s="66">
        <f t="array" ref="S3">IF(XLOOKUP($A3,Partner_BookInBlock!$A:$A,Partner_BookInBlock!S:S,"",0)="Free","Free",IF(XLOOKUP($A3,Partner_BookInBlock!$A:$A,Partner_BookInBlock!S:S,"",0)="VL","VL",IF(XLOOKUP($A3,Partner_BookInBlock!$A:$A,Partner_BookInBlock!S:S,"",0)="ATT","ATT",XLOOKUP($A3,Partner_BookInBlock!$A:$A,Partner_BookInBlock!S:S,"",0))))</f>
        <v>0.3333333333</v>
      </c>
      <c r="T3" s="66">
        <f t="array" ref="T3">IF(XLOOKUP($A3,Partner_BookInBlock!$A:$A,Partner_BookInBlock!T:T,"",0)="Free","Free",IF(XLOOKUP($A3,Partner_BookInBlock!$A:$A,Partner_BookInBlock!T:T,"",0)="VL","VL",IF(XLOOKUP($A3,Partner_BookInBlock!$A:$A,Partner_BookInBlock!T:T,"",0)="ATT","ATT",XLOOKUP($A3,Partner_BookInBlock!$A:$A,Partner_BookInBlock!T:T,"",0))))</f>
        <v>0.3333333333</v>
      </c>
      <c r="U3" s="66">
        <f t="array" ref="U3">IF(XLOOKUP($A3,Partner_BookInBlock!$A:$A,Partner_BookInBlock!U:U,"",0)="Free","Free",IF(XLOOKUP($A3,Partner_BookInBlock!$A:$A,Partner_BookInBlock!U:U,"",0)="VL","VL",IF(XLOOKUP($A3,Partner_BookInBlock!$A:$A,Partner_BookInBlock!U:U,"",0)="ATT","ATT",XLOOKUP($A3,Partner_BookInBlock!$A:$A,Partner_BookInBlock!U:U,"",0))))</f>
        <v>0.3333333333</v>
      </c>
      <c r="V3" s="66">
        <f t="array" ref="V3">IF(XLOOKUP($A3,Partner_BookInBlock!$A:$A,Partner_BookInBlock!V:V,"",0)="Free","Free",IF(XLOOKUP($A3,Partner_BookInBlock!$A:$A,Partner_BookInBlock!V:V,"",0)="VL","VL",IF(XLOOKUP($A3,Partner_BookInBlock!$A:$A,Partner_BookInBlock!V:V,"",0)="ATT","ATT",XLOOKUP($A3,Partner_BookInBlock!$A:$A,Partner_BookInBlock!V:V,"",0))))</f>
        <v>0.3333333333</v>
      </c>
      <c r="W3" s="66">
        <f t="array" ref="W3">IF(XLOOKUP($A3,Partner_BookInBlock!$A:$A,Partner_BookInBlock!W:W,"",0)="Free","Free",IF(XLOOKUP($A3,Partner_BookInBlock!$A:$A,Partner_BookInBlock!W:W,"",0)="VL","VL",IF(XLOOKUP($A3,Partner_BookInBlock!$A:$A,Partner_BookInBlock!W:W,"",0)="ATT","ATT",XLOOKUP($A3,Partner_BookInBlock!$A:$A,Partner_BookInBlock!W:W,"",0))))</f>
        <v>0.3333333333</v>
      </c>
      <c r="X3" s="66" t="str">
        <f t="array" ref="X3">IF(XLOOKUP($A3,Partner_BookInBlock!$A:$A,Partner_BookInBlock!X:X,"",0)="Free","Free",IF(XLOOKUP($A3,Partner_BookInBlock!$A:$A,Partner_BookInBlock!X:X,"",0)="VL","VL",IF(XLOOKUP($A3,Partner_BookInBlock!$A:$A,Partner_BookInBlock!X:X,"",0)="ATT","ATT",XLOOKUP($A3,Partner_BookInBlock!$A:$A,Partner_BookInBlock!X:X,"",0))))</f>
        <v>Free</v>
      </c>
      <c r="Y3" s="43"/>
      <c r="Z3" s="66">
        <f t="array" ref="Z3">IF(XLOOKUP($A3,Partner_BookInBlock!$A:$A,Partner_BookInBlock!Z:Z,"",0)="Free","Free",IF(XLOOKUP($A3,Partner_BookInBlock!$A:$A,Partner_BookInBlock!Z:Z,"",0)="VL","VL",IF(XLOOKUP($A3,Partner_BookInBlock!$A:$A,Partner_BookInBlock!Z:Z,"",0)="ATT","ATT",XLOOKUP($A3,Partner_BookInBlock!$A:$A,Partner_BookInBlock!Z:Z,"",0))))</f>
        <v>0.3333333333</v>
      </c>
      <c r="AA3" s="66">
        <f t="array" ref="AA3">IF(XLOOKUP($A3,Partner_BookInBlock!$A:$A,Partner_BookInBlock!AA:AA,"",0)="Free","Free",IF(XLOOKUP($A3,Partner_BookInBlock!$A:$A,Partner_BookInBlock!AA:AA,"",0)="VL","VL",IF(XLOOKUP($A3,Partner_BookInBlock!$A:$A,Partner_BookInBlock!AA:AA,"",0)="ATT","ATT",XLOOKUP($A3,Partner_BookInBlock!$A:$A,Partner_BookInBlock!AA:AA,"",0))))</f>
        <v>0.3333333333</v>
      </c>
      <c r="AB3" s="66">
        <f t="array" ref="AB3">IF(XLOOKUP($A3,Partner_BookInBlock!$A:$A,Partner_BookInBlock!AB:AB,"",0)="Free","Free",IF(XLOOKUP($A3,Partner_BookInBlock!$A:$A,Partner_BookInBlock!AB:AB,"",0)="VL","VL",IF(XLOOKUP($A3,Partner_BookInBlock!$A:$A,Partner_BookInBlock!AB:AB,"",0)="ATT","ATT",XLOOKUP($A3,Partner_BookInBlock!$A:$A,Partner_BookInBlock!AB:AB,"",0))))</f>
        <v>0.3333333333</v>
      </c>
      <c r="AC3" s="66">
        <f t="array" ref="AC3">IF(XLOOKUP($A3,Partner_BookInBlock!$A:$A,Partner_BookInBlock!AC:AC,"",0)="Free","Free",IF(XLOOKUP($A3,Partner_BookInBlock!$A:$A,Partner_BookInBlock!AC:AC,"",0)="VL","VL",IF(XLOOKUP($A3,Partner_BookInBlock!$A:$A,Partner_BookInBlock!AC:AC,"",0)="ATT","ATT",XLOOKUP($A3,Partner_BookInBlock!$A:$A,Partner_BookInBlock!AC:AC,"",0))))</f>
        <v>0.3333333333</v>
      </c>
      <c r="AD3" s="66">
        <f t="array" ref="AD3">IF(XLOOKUP($A3,Partner_BookInBlock!$A:$A,Partner_BookInBlock!AD:AD,"",0)="Free","Free",IF(XLOOKUP($A3,Partner_BookInBlock!$A:$A,Partner_BookInBlock!AD:AD,"",0)="VL","VL",IF(XLOOKUP($A3,Partner_BookInBlock!$A:$A,Partner_BookInBlock!AD:AD,"",0)="ATT","ATT",XLOOKUP($A3,Partner_BookInBlock!$A:$A,Partner_BookInBlock!AD:AD,"",0))))</f>
        <v>0.3333333333</v>
      </c>
      <c r="AE3" s="66" t="str">
        <f t="array" ref="AE3">IF(XLOOKUP($A3,Partner_BookInBlock!$A:$A,Partner_BookInBlock!AE:AE,"",0)="Free","Free",IF(XLOOKUP($A3,Partner_BookInBlock!$A:$A,Partner_BookInBlock!AE:AE,"",0)="VL","VL",IF(XLOOKUP($A3,Partner_BookInBlock!$A:$A,Partner_BookInBlock!AE:AE,"",0)="ATT","ATT",XLOOKUP($A3,Partner_BookInBlock!$A:$A,Partner_BookInBlock!AE:AE,"",0))))</f>
        <v>Free</v>
      </c>
      <c r="AF3" s="67"/>
      <c r="AG3" s="66">
        <f t="array" ref="AG3">IF(XLOOKUP($A3,Partner_BookInBlock!$A:$A,Partner_BookInBlock!AG:AG,"",0)="Free","Free",IF(XLOOKUP($A3,Partner_BookInBlock!$A:$A,Partner_BookInBlock!AG:AG,"",0)="VL","VL",IF(XLOOKUP($A3,Partner_BookInBlock!$A:$A,Partner_BookInBlock!AG:AG,"",0)="ATT","ATT",XLOOKUP($A3,Partner_BookInBlock!$A:$A,Partner_BookInBlock!AG:AG,"",0))))</f>
        <v>0.3333333333</v>
      </c>
      <c r="AH3" s="66">
        <f t="array" ref="AH3">IF(XLOOKUP($A3,Partner_BookInBlock!$A:$A,Partner_BookInBlock!AH:AH,"",0)="Free","Free",IF(XLOOKUP($A3,Partner_BookInBlock!$A:$A,Partner_BookInBlock!AH:AH,"",0)="VL","VL",IF(XLOOKUP($A3,Partner_BookInBlock!$A:$A,Partner_BookInBlock!AH:AH,"",0)="ATT","ATT",XLOOKUP($A3,Partner_BookInBlock!$A:$A,Partner_BookInBlock!AH:AH,"",0))))</f>
        <v>0.3333333333</v>
      </c>
      <c r="AI3" s="66">
        <f t="array" ref="AI3">IF(XLOOKUP($A3,Partner_BookInBlock!$A:$A,Partner_BookInBlock!AI:AI,"",0)="Free","Free",IF(XLOOKUP($A3,Partner_BookInBlock!$A:$A,Partner_BookInBlock!AI:AI,"",0)="VL","VL",IF(XLOOKUP($A3,Partner_BookInBlock!$A:$A,Partner_BookInBlock!AI:AI,"",0)="ATT","ATT",XLOOKUP($A3,Partner_BookInBlock!$A:$A,Partner_BookInBlock!AI:AI,"",0))))</f>
        <v>0.3333333333</v>
      </c>
      <c r="AJ3" s="66">
        <f t="array" ref="AJ3">IF(XLOOKUP($A3,Partner_BookInBlock!$A:$A,Partner_BookInBlock!AJ:AJ,"",0)="Free","Free",IF(XLOOKUP($A3,Partner_BookInBlock!$A:$A,Partner_BookInBlock!AJ:AJ,"",0)="VL","VL",IF(XLOOKUP($A3,Partner_BookInBlock!$A:$A,Partner_BookInBlock!AJ:AJ,"",0)="ATT","ATT",XLOOKUP($A3,Partner_BookInBlock!$A:$A,Partner_BookInBlock!AJ:AJ,"",0))))</f>
        <v>0.3333333333</v>
      </c>
      <c r="AK3" s="66">
        <f t="array" ref="AK3">IF(XLOOKUP($A3,Partner_BookInBlock!$A:$A,Partner_BookInBlock!AK:AK,"",0)="Free","Free",IF(XLOOKUP($A3,Partner_BookInBlock!$A:$A,Partner_BookInBlock!AK:AK,"",0)="VL","VL",IF(XLOOKUP($A3,Partner_BookInBlock!$A:$A,Partner_BookInBlock!AK:AK,"",0)="ATT","ATT",XLOOKUP($A3,Partner_BookInBlock!$A:$A,Partner_BookInBlock!AK:AK,"",0))))</f>
        <v>0.3333333333</v>
      </c>
      <c r="AL3" s="66" t="str">
        <f t="array" ref="AL3">IF(XLOOKUP($A3,Partner_BookInBlock!$A:$A,Partner_BookInBlock!AL:AL,"",0)="Free","Free",IF(XLOOKUP($A3,Partner_BookInBlock!$A:$A,Partner_BookInBlock!AL:AL,"",0)="VL","VL",IF(XLOOKUP($A3,Partner_BookInBlock!$A:$A,Partner_BookInBlock!AL:AL,"",0)="ATT","ATT",XLOOKUP($A3,Partner_BookInBlock!$A:$A,Partner_BookInBlock!AL:AL,"",0))))</f>
        <v>Free</v>
      </c>
      <c r="AM3" s="42"/>
    </row>
    <row r="4">
      <c r="A4" s="68" t="s">
        <v>22</v>
      </c>
      <c r="B4" s="65" t="str">
        <f t="array" ref="B4">XLOOKUP(A4,Roster!F:F,Roster!A:A,"")</f>
        <v>Mateo Henao</v>
      </c>
      <c r="C4" s="65" t="str">
        <f t="array" ref="C4">XLOOKUP(A4,Roster!F:F,Roster!B:B,"")</f>
        <v>Carolina Rios</v>
      </c>
      <c r="D4" s="40" t="s">
        <v>135</v>
      </c>
      <c r="E4" s="66">
        <f t="array" ref="E4">IF(XLOOKUP($A4,Partner_BookInBlock!$A:$A,Partner_BookInBlock!E:E,"",0)="Free","Free",IF(XLOOKUP($A4,Partner_BookInBlock!$A:$A,Partner_BookInBlock!E:E,"",0)="VL","VL",IF(XLOOKUP($A4,Partner_BookInBlock!$A:$A,Partner_BookInBlock!E:E,"",0)="ATT","ATT",XLOOKUP($A4,Partner_BookInBlock!$A:$A,Partner_BookInBlock!E:E,"",0))))</f>
        <v>0.3333333333</v>
      </c>
      <c r="F4" s="66">
        <f t="array" ref="F4">IF(XLOOKUP($A4,Partner_BookInBlock!$A:$A,Partner_BookInBlock!F:F,"",0)="Free","Free",IF(XLOOKUP($A4,Partner_BookInBlock!$A:$A,Partner_BookInBlock!F:F,"",0)="VL","VL",IF(XLOOKUP($A4,Partner_BookInBlock!$A:$A,Partner_BookInBlock!F:F,"",0)="ATT","ATT",XLOOKUP($A4,Partner_BookInBlock!$A:$A,Partner_BookInBlock!F:F,"",0))))</f>
        <v>0.3333333333</v>
      </c>
      <c r="G4" s="66">
        <f t="array" ref="G4">IF(XLOOKUP($A4,Partner_BookInBlock!$A:$A,Partner_BookInBlock!G:G,"",0)="Free","Free",IF(XLOOKUP($A4,Partner_BookInBlock!$A:$A,Partner_BookInBlock!G:G,"",0)="VL","VL",IF(XLOOKUP($A4,Partner_BookInBlock!$A:$A,Partner_BookInBlock!G:G,"",0)="ATT","ATT",XLOOKUP($A4,Partner_BookInBlock!$A:$A,Partner_BookInBlock!G:G,"",0))))</f>
        <v>0.3333333333</v>
      </c>
      <c r="H4" s="66">
        <f t="array" ref="H4">IF(XLOOKUP($A4,Partner_BookInBlock!$A:$A,Partner_BookInBlock!H:H,"",0)="Free","Free",IF(XLOOKUP($A4,Partner_BookInBlock!$A:$A,Partner_BookInBlock!H:H,"",0)="VL","VL",IF(XLOOKUP($A4,Partner_BookInBlock!$A:$A,Partner_BookInBlock!H:H,"",0)="ATT","ATT",XLOOKUP($A4,Partner_BookInBlock!$A:$A,Partner_BookInBlock!H:H,"",0))))</f>
        <v>0.3333333333</v>
      </c>
      <c r="I4" s="66">
        <f t="array" ref="I4">IF(XLOOKUP($A4,Partner_BookInBlock!$A:$A,Partner_BookInBlock!I:I,"",0)="Free","Free",IF(XLOOKUP($A4,Partner_BookInBlock!$A:$A,Partner_BookInBlock!I:I,"",0)="VL","VL",IF(XLOOKUP($A4,Partner_BookInBlock!$A:$A,Partner_BookInBlock!I:I,"",0)="ATT","ATT",XLOOKUP($A4,Partner_BookInBlock!$A:$A,Partner_BookInBlock!I:I,"",0))))</f>
        <v>0.3333333333</v>
      </c>
      <c r="J4" s="66" t="str">
        <f t="array" ref="J4">IF(XLOOKUP($A4,Partner_BookInBlock!$A:$A,Partner_BookInBlock!J:J,"",0)="Free","Free",IF(XLOOKUP($A4,Partner_BookInBlock!$A:$A,Partner_BookInBlock!J:J,"",0)="VL","VL",IF(XLOOKUP($A4,Partner_BookInBlock!$A:$A,Partner_BookInBlock!J:J,"",0)="ATT","ATT",XLOOKUP($A4,Partner_BookInBlock!$A:$A,Partner_BookInBlock!J:J,"",0))))</f>
        <v>Free</v>
      </c>
      <c r="K4" s="42"/>
      <c r="L4" s="66">
        <f t="array" ref="L4">IF(XLOOKUP($A4,Partner_BookInBlock!$A:$A,Partner_BookInBlock!L:L,"",0)="Free","Free",IF(XLOOKUP($A4,Partner_BookInBlock!$A:$A,Partner_BookInBlock!L:L,"",0)="VL","VL",IF(XLOOKUP($A4,Partner_BookInBlock!$A:$A,Partner_BookInBlock!L:L,"",0)="ATT","ATT",XLOOKUP($A4,Partner_BookInBlock!$A:$A,Partner_BookInBlock!L:L,"",0))))</f>
        <v>0.3333333333</v>
      </c>
      <c r="M4" s="66">
        <f t="array" ref="M4">IF(XLOOKUP($A4,Partner_BookInBlock!$A:$A,Partner_BookInBlock!M:M,"",0)="Free","Free",IF(XLOOKUP($A4,Partner_BookInBlock!$A:$A,Partner_BookInBlock!M:M,"",0)="VL","VL",IF(XLOOKUP($A4,Partner_BookInBlock!$A:$A,Partner_BookInBlock!M:M,"",0)="ATT","ATT",XLOOKUP($A4,Partner_BookInBlock!$A:$A,Partner_BookInBlock!M:M,"",0))))</f>
        <v>0.3333333333</v>
      </c>
      <c r="N4" s="66">
        <f t="array" ref="N4">IF(XLOOKUP($A4,Partner_BookInBlock!$A:$A,Partner_BookInBlock!N:N,"",0)="Free","Free",IF(XLOOKUP($A4,Partner_BookInBlock!$A:$A,Partner_BookInBlock!N:N,"",0)="VL","VL",IF(XLOOKUP($A4,Partner_BookInBlock!$A:$A,Partner_BookInBlock!N:N,"",0)="ATT","ATT",XLOOKUP($A4,Partner_BookInBlock!$A:$A,Partner_BookInBlock!N:N,"",0))))</f>
        <v>0.3333333333</v>
      </c>
      <c r="O4" s="66">
        <f t="array" ref="O4">IF(XLOOKUP($A4,Partner_BookInBlock!$A:$A,Partner_BookInBlock!O:O,"",0)="Free","Free",IF(XLOOKUP($A4,Partner_BookInBlock!$A:$A,Partner_BookInBlock!O:O,"",0)="VL","VL",IF(XLOOKUP($A4,Partner_BookInBlock!$A:$A,Partner_BookInBlock!O:O,"",0)="ATT","ATT",XLOOKUP($A4,Partner_BookInBlock!$A:$A,Partner_BookInBlock!O:O,"",0))))</f>
        <v>0.3333333333</v>
      </c>
      <c r="P4" s="66">
        <f t="array" ref="P4">IF(XLOOKUP($A4,Partner_BookInBlock!$A:$A,Partner_BookInBlock!P:P,"",0)="Free","Free",IF(XLOOKUP($A4,Partner_BookInBlock!$A:$A,Partner_BookInBlock!P:P,"",0)="VL","VL",IF(XLOOKUP($A4,Partner_BookInBlock!$A:$A,Partner_BookInBlock!P:P,"",0)="ATT","ATT",XLOOKUP($A4,Partner_BookInBlock!$A:$A,Partner_BookInBlock!P:P,"",0))))</f>
        <v>0.3333333333</v>
      </c>
      <c r="Q4" s="66" t="str">
        <f t="array" ref="Q4">IF(XLOOKUP($A4,Partner_BookInBlock!$A:$A,Partner_BookInBlock!Q:Q,"",0)="Free","Free",IF(XLOOKUP($A4,Partner_BookInBlock!$A:$A,Partner_BookInBlock!Q:Q,"",0)="VL","VL",IF(XLOOKUP($A4,Partner_BookInBlock!$A:$A,Partner_BookInBlock!Q:Q,"",0)="ATT","ATT",XLOOKUP($A4,Partner_BookInBlock!$A:$A,Partner_BookInBlock!Q:Q,"",0))))</f>
        <v>Free</v>
      </c>
      <c r="R4" s="43"/>
      <c r="S4" s="66">
        <f t="array" ref="S4">IF(XLOOKUP($A4,Partner_BookInBlock!$A:$A,Partner_BookInBlock!S:S,"",0)="Free","Free",IF(XLOOKUP($A4,Partner_BookInBlock!$A:$A,Partner_BookInBlock!S:S,"",0)="VL","VL",IF(XLOOKUP($A4,Partner_BookInBlock!$A:$A,Partner_BookInBlock!S:S,"",0)="ATT","ATT",XLOOKUP($A4,Partner_BookInBlock!$A:$A,Partner_BookInBlock!S:S,"",0))))</f>
        <v>0.3333333333</v>
      </c>
      <c r="T4" s="66">
        <f t="array" ref="T4">IF(XLOOKUP($A4,Partner_BookInBlock!$A:$A,Partner_BookInBlock!T:T,"",0)="Free","Free",IF(XLOOKUP($A4,Partner_BookInBlock!$A:$A,Partner_BookInBlock!T:T,"",0)="VL","VL",IF(XLOOKUP($A4,Partner_BookInBlock!$A:$A,Partner_BookInBlock!T:T,"",0)="ATT","ATT",XLOOKUP($A4,Partner_BookInBlock!$A:$A,Partner_BookInBlock!T:T,"",0))))</f>
        <v>0.3333333333</v>
      </c>
      <c r="U4" s="66">
        <f t="array" ref="U4">IF(XLOOKUP($A4,Partner_BookInBlock!$A:$A,Partner_BookInBlock!U:U,"",0)="Free","Free",IF(XLOOKUP($A4,Partner_BookInBlock!$A:$A,Partner_BookInBlock!U:U,"",0)="VL","VL",IF(XLOOKUP($A4,Partner_BookInBlock!$A:$A,Partner_BookInBlock!U:U,"",0)="ATT","ATT",XLOOKUP($A4,Partner_BookInBlock!$A:$A,Partner_BookInBlock!U:U,"",0))))</f>
        <v>0.3333333333</v>
      </c>
      <c r="V4" s="66">
        <f t="array" ref="V4">IF(XLOOKUP($A4,Partner_BookInBlock!$A:$A,Partner_BookInBlock!V:V,"",0)="Free","Free",IF(XLOOKUP($A4,Partner_BookInBlock!$A:$A,Partner_BookInBlock!V:V,"",0)="VL","VL",IF(XLOOKUP($A4,Partner_BookInBlock!$A:$A,Partner_BookInBlock!V:V,"",0)="ATT","ATT",XLOOKUP($A4,Partner_BookInBlock!$A:$A,Partner_BookInBlock!V:V,"",0))))</f>
        <v>0.3333333333</v>
      </c>
      <c r="W4" s="66">
        <f t="array" ref="W4">IF(XLOOKUP($A4,Partner_BookInBlock!$A:$A,Partner_BookInBlock!W:W,"",0)="Free","Free",IF(XLOOKUP($A4,Partner_BookInBlock!$A:$A,Partner_BookInBlock!W:W,"",0)="VL","VL",IF(XLOOKUP($A4,Partner_BookInBlock!$A:$A,Partner_BookInBlock!W:W,"",0)="ATT","ATT",XLOOKUP($A4,Partner_BookInBlock!$A:$A,Partner_BookInBlock!W:W,"",0))))</f>
        <v>0.3333333333</v>
      </c>
      <c r="X4" s="66" t="str">
        <f t="array" ref="X4">IF(XLOOKUP($A4,Partner_BookInBlock!$A:$A,Partner_BookInBlock!X:X,"",0)="Free","Free",IF(XLOOKUP($A4,Partner_BookInBlock!$A:$A,Partner_BookInBlock!X:X,"",0)="VL","VL",IF(XLOOKUP($A4,Partner_BookInBlock!$A:$A,Partner_BookInBlock!X:X,"",0)="ATT","ATT",XLOOKUP($A4,Partner_BookInBlock!$A:$A,Partner_BookInBlock!X:X,"",0))))</f>
        <v>Free</v>
      </c>
      <c r="Y4" s="43"/>
      <c r="Z4" s="66">
        <f t="array" ref="Z4">IF(XLOOKUP($A4,Partner_BookInBlock!$A:$A,Partner_BookInBlock!Z:Z,"",0)="Free","Free",IF(XLOOKUP($A4,Partner_BookInBlock!$A:$A,Partner_BookInBlock!Z:Z,"",0)="VL","VL",IF(XLOOKUP($A4,Partner_BookInBlock!$A:$A,Partner_BookInBlock!Z:Z,"",0)="ATT","ATT",XLOOKUP($A4,Partner_BookInBlock!$A:$A,Partner_BookInBlock!Z:Z,"",0))))</f>
        <v>0.3333333333</v>
      </c>
      <c r="AA4" s="66">
        <f t="array" ref="AA4">IF(XLOOKUP($A4,Partner_BookInBlock!$A:$A,Partner_BookInBlock!AA:AA,"",0)="Free","Free",IF(XLOOKUP($A4,Partner_BookInBlock!$A:$A,Partner_BookInBlock!AA:AA,"",0)="VL","VL",IF(XLOOKUP($A4,Partner_BookInBlock!$A:$A,Partner_BookInBlock!AA:AA,"",0)="ATT","ATT",XLOOKUP($A4,Partner_BookInBlock!$A:$A,Partner_BookInBlock!AA:AA,"",0))))</f>
        <v>0.3333333333</v>
      </c>
      <c r="AB4" s="66">
        <f t="array" ref="AB4">IF(XLOOKUP($A4,Partner_BookInBlock!$A:$A,Partner_BookInBlock!AB:AB,"",0)="Free","Free",IF(XLOOKUP($A4,Partner_BookInBlock!$A:$A,Partner_BookInBlock!AB:AB,"",0)="VL","VL",IF(XLOOKUP($A4,Partner_BookInBlock!$A:$A,Partner_BookInBlock!AB:AB,"",0)="ATT","ATT",XLOOKUP($A4,Partner_BookInBlock!$A:$A,Partner_BookInBlock!AB:AB,"",0))))</f>
        <v>0.3333333333</v>
      </c>
      <c r="AC4" s="66">
        <f t="array" ref="AC4">IF(XLOOKUP($A4,Partner_BookInBlock!$A:$A,Partner_BookInBlock!AC:AC,"",0)="Free","Free",IF(XLOOKUP($A4,Partner_BookInBlock!$A:$A,Partner_BookInBlock!AC:AC,"",0)="VL","VL",IF(XLOOKUP($A4,Partner_BookInBlock!$A:$A,Partner_BookInBlock!AC:AC,"",0)="ATT","ATT",XLOOKUP($A4,Partner_BookInBlock!$A:$A,Partner_BookInBlock!AC:AC,"",0))))</f>
        <v>0.3333333333</v>
      </c>
      <c r="AD4" s="66">
        <f t="array" ref="AD4">IF(XLOOKUP($A4,Partner_BookInBlock!$A:$A,Partner_BookInBlock!AD:AD,"",0)="Free","Free",IF(XLOOKUP($A4,Partner_BookInBlock!$A:$A,Partner_BookInBlock!AD:AD,"",0)="VL","VL",IF(XLOOKUP($A4,Partner_BookInBlock!$A:$A,Partner_BookInBlock!AD:AD,"",0)="ATT","ATT",XLOOKUP($A4,Partner_BookInBlock!$A:$A,Partner_BookInBlock!AD:AD,"",0))))</f>
        <v>0.3333333333</v>
      </c>
      <c r="AE4" s="66" t="str">
        <f t="array" ref="AE4">IF(XLOOKUP($A4,Partner_BookInBlock!$A:$A,Partner_BookInBlock!AE:AE,"",0)="Free","Free",IF(XLOOKUP($A4,Partner_BookInBlock!$A:$A,Partner_BookInBlock!AE:AE,"",0)="VL","VL",IF(XLOOKUP($A4,Partner_BookInBlock!$A:$A,Partner_BookInBlock!AE:AE,"",0)="ATT","ATT",XLOOKUP($A4,Partner_BookInBlock!$A:$A,Partner_BookInBlock!AE:AE,"",0))))</f>
        <v>Free</v>
      </c>
      <c r="AF4" s="69"/>
      <c r="AG4" s="66">
        <f t="array" ref="AG4">IF(XLOOKUP($A4,Partner_BookInBlock!$A:$A,Partner_BookInBlock!AG:AG,"",0)="Free","Free",IF(XLOOKUP($A4,Partner_BookInBlock!$A:$A,Partner_BookInBlock!AG:AG,"",0)="VL","VL",IF(XLOOKUP($A4,Partner_BookInBlock!$A:$A,Partner_BookInBlock!AG:AG,"",0)="ATT","ATT",XLOOKUP($A4,Partner_BookInBlock!$A:$A,Partner_BookInBlock!AG:AG,"",0))))</f>
        <v>0.3333333333</v>
      </c>
      <c r="AH4" s="66">
        <f t="array" ref="AH4">IF(XLOOKUP($A4,Partner_BookInBlock!$A:$A,Partner_BookInBlock!AH:AH,"",0)="Free","Free",IF(XLOOKUP($A4,Partner_BookInBlock!$A:$A,Partner_BookInBlock!AH:AH,"",0)="VL","VL",IF(XLOOKUP($A4,Partner_BookInBlock!$A:$A,Partner_BookInBlock!AH:AH,"",0)="ATT","ATT",XLOOKUP($A4,Partner_BookInBlock!$A:$A,Partner_BookInBlock!AH:AH,"",0))))</f>
        <v>0.3333333333</v>
      </c>
      <c r="AI4" s="66">
        <f t="array" ref="AI4">IF(XLOOKUP($A4,Partner_BookInBlock!$A:$A,Partner_BookInBlock!AI:AI,"",0)="Free","Free",IF(XLOOKUP($A4,Partner_BookInBlock!$A:$A,Partner_BookInBlock!AI:AI,"",0)="VL","VL",IF(XLOOKUP($A4,Partner_BookInBlock!$A:$A,Partner_BookInBlock!AI:AI,"",0)="ATT","ATT",XLOOKUP($A4,Partner_BookInBlock!$A:$A,Partner_BookInBlock!AI:AI,"",0))))</f>
        <v>0.3333333333</v>
      </c>
      <c r="AJ4" s="66">
        <f t="array" ref="AJ4">IF(XLOOKUP($A4,Partner_BookInBlock!$A:$A,Partner_BookInBlock!AJ:AJ,"",0)="Free","Free",IF(XLOOKUP($A4,Partner_BookInBlock!$A:$A,Partner_BookInBlock!AJ:AJ,"",0)="VL","VL",IF(XLOOKUP($A4,Partner_BookInBlock!$A:$A,Partner_BookInBlock!AJ:AJ,"",0)="ATT","ATT",XLOOKUP($A4,Partner_BookInBlock!$A:$A,Partner_BookInBlock!AJ:AJ,"",0))))</f>
        <v>0.3333333333</v>
      </c>
      <c r="AK4" s="66">
        <f t="array" ref="AK4">IF(XLOOKUP($A4,Partner_BookInBlock!$A:$A,Partner_BookInBlock!AK:AK,"",0)="Free","Free",IF(XLOOKUP($A4,Partner_BookInBlock!$A:$A,Partner_BookInBlock!AK:AK,"",0)="VL","VL",IF(XLOOKUP($A4,Partner_BookInBlock!$A:$A,Partner_BookInBlock!AK:AK,"",0)="ATT","ATT",XLOOKUP($A4,Partner_BookInBlock!$A:$A,Partner_BookInBlock!AK:AK,"",0))))</f>
        <v>0.3333333333</v>
      </c>
      <c r="AL4" s="66" t="str">
        <f t="array" ref="AL4">IF(XLOOKUP($A4,Partner_BookInBlock!$A:$A,Partner_BookInBlock!AL:AL,"",0)="Free","Free",IF(XLOOKUP($A4,Partner_BookInBlock!$A:$A,Partner_BookInBlock!AL:AL,"",0)="VL","VL",IF(XLOOKUP($A4,Partner_BookInBlock!$A:$A,Partner_BookInBlock!AL:AL,"",0)="ATT","ATT",XLOOKUP($A4,Partner_BookInBlock!$A:$A,Partner_BookInBlock!AL:AL,"",0))))</f>
        <v>Free</v>
      </c>
      <c r="AM4" s="42"/>
    </row>
    <row r="5">
      <c r="A5" s="68" t="s">
        <v>36</v>
      </c>
      <c r="B5" s="65" t="str">
        <f t="array" ref="B5">XLOOKUP(A5,Roster!F:F,Roster!A:A,"")</f>
        <v>Mateo Henao</v>
      </c>
      <c r="C5" s="65" t="str">
        <f t="array" ref="C5">XLOOKUP(A5,Roster!F:F,Roster!B:B,"")</f>
        <v>Jhoam Quiroz</v>
      </c>
      <c r="D5" s="40" t="s">
        <v>135</v>
      </c>
      <c r="E5" s="66">
        <f t="array" ref="E5">IF(XLOOKUP($A5,Partner_BookInBlock!$A:$A,Partner_BookInBlock!E:E,"",0)="Free","Free",IF(XLOOKUP($A5,Partner_BookInBlock!$A:$A,Partner_BookInBlock!E:E,"",0)="VL","VL",IF(XLOOKUP($A5,Partner_BookInBlock!$A:$A,Partner_BookInBlock!E:E,"",0)="ATT","ATT",XLOOKUP($A5,Partner_BookInBlock!$A:$A,Partner_BookInBlock!E:E,"",0))))</f>
        <v>0.3333333333</v>
      </c>
      <c r="F5" s="66">
        <f t="array" ref="F5">IF(XLOOKUP($A5,Partner_BookInBlock!$A:$A,Partner_BookInBlock!F:F,"",0)="Free","Free",IF(XLOOKUP($A5,Partner_BookInBlock!$A:$A,Partner_BookInBlock!F:F,"",0)="VL","VL",IF(XLOOKUP($A5,Partner_BookInBlock!$A:$A,Partner_BookInBlock!F:F,"",0)="ATT","ATT",XLOOKUP($A5,Partner_BookInBlock!$A:$A,Partner_BookInBlock!F:F,"",0))))</f>
        <v>0.3333333333</v>
      </c>
      <c r="G5" s="66">
        <f t="array" ref="G5">IF(XLOOKUP($A5,Partner_BookInBlock!$A:$A,Partner_BookInBlock!G:G,"",0)="Free","Free",IF(XLOOKUP($A5,Partner_BookInBlock!$A:$A,Partner_BookInBlock!G:G,"",0)="VL","VL",IF(XLOOKUP($A5,Partner_BookInBlock!$A:$A,Partner_BookInBlock!G:G,"",0)="ATT","ATT",XLOOKUP($A5,Partner_BookInBlock!$A:$A,Partner_BookInBlock!G:G,"",0))))</f>
        <v>0.3333333333</v>
      </c>
      <c r="H5" s="66">
        <f t="array" ref="H5">IF(XLOOKUP($A5,Partner_BookInBlock!$A:$A,Partner_BookInBlock!H:H,"",0)="Free","Free",IF(XLOOKUP($A5,Partner_BookInBlock!$A:$A,Partner_BookInBlock!H:H,"",0)="VL","VL",IF(XLOOKUP($A5,Partner_BookInBlock!$A:$A,Partner_BookInBlock!H:H,"",0)="ATT","ATT",XLOOKUP($A5,Partner_BookInBlock!$A:$A,Partner_BookInBlock!H:H,"",0))))</f>
        <v>0.3333333333</v>
      </c>
      <c r="I5" s="66">
        <f t="array" ref="I5">IF(XLOOKUP($A5,Partner_BookInBlock!$A:$A,Partner_BookInBlock!I:I,"",0)="Free","Free",IF(XLOOKUP($A5,Partner_BookInBlock!$A:$A,Partner_BookInBlock!I:I,"",0)="VL","VL",IF(XLOOKUP($A5,Partner_BookInBlock!$A:$A,Partner_BookInBlock!I:I,"",0)="ATT","ATT",XLOOKUP($A5,Partner_BookInBlock!$A:$A,Partner_BookInBlock!I:I,"",0))))</f>
        <v>0.3333333333</v>
      </c>
      <c r="J5" s="66" t="str">
        <f t="array" ref="J5">IF(XLOOKUP($A5,Partner_BookInBlock!$A:$A,Partner_BookInBlock!J:J,"",0)="Free","Free",IF(XLOOKUP($A5,Partner_BookInBlock!$A:$A,Partner_BookInBlock!J:J,"",0)="VL","VL",IF(XLOOKUP($A5,Partner_BookInBlock!$A:$A,Partner_BookInBlock!J:J,"",0)="ATT","ATT",XLOOKUP($A5,Partner_BookInBlock!$A:$A,Partner_BookInBlock!J:J,"",0))))</f>
        <v>Free</v>
      </c>
      <c r="K5" s="42"/>
      <c r="L5" s="66">
        <f t="array" ref="L5">IF(XLOOKUP($A5,Partner_BookInBlock!$A:$A,Partner_BookInBlock!L:L,"",0)="Free","Free",IF(XLOOKUP($A5,Partner_BookInBlock!$A:$A,Partner_BookInBlock!L:L,"",0)="VL","VL",IF(XLOOKUP($A5,Partner_BookInBlock!$A:$A,Partner_BookInBlock!L:L,"",0)="ATT","ATT",XLOOKUP($A5,Partner_BookInBlock!$A:$A,Partner_BookInBlock!L:L,"",0))))</f>
        <v>0.3333333333</v>
      </c>
      <c r="M5" s="66">
        <f t="array" ref="M5">IF(XLOOKUP($A5,Partner_BookInBlock!$A:$A,Partner_BookInBlock!M:M,"",0)="Free","Free",IF(XLOOKUP($A5,Partner_BookInBlock!$A:$A,Partner_BookInBlock!M:M,"",0)="VL","VL",IF(XLOOKUP($A5,Partner_BookInBlock!$A:$A,Partner_BookInBlock!M:M,"",0)="ATT","ATT",XLOOKUP($A5,Partner_BookInBlock!$A:$A,Partner_BookInBlock!M:M,"",0))))</f>
        <v>0.3333333333</v>
      </c>
      <c r="N5" s="66">
        <f t="array" ref="N5">IF(XLOOKUP($A5,Partner_BookInBlock!$A:$A,Partner_BookInBlock!N:N,"",0)="Free","Free",IF(XLOOKUP($A5,Partner_BookInBlock!$A:$A,Partner_BookInBlock!N:N,"",0)="VL","VL",IF(XLOOKUP($A5,Partner_BookInBlock!$A:$A,Partner_BookInBlock!N:N,"",0)="ATT","ATT",XLOOKUP($A5,Partner_BookInBlock!$A:$A,Partner_BookInBlock!N:N,"",0))))</f>
        <v>0.3333333333</v>
      </c>
      <c r="O5" s="66">
        <f t="array" ref="O5">IF(XLOOKUP($A5,Partner_BookInBlock!$A:$A,Partner_BookInBlock!O:O,"",0)="Free","Free",IF(XLOOKUP($A5,Partner_BookInBlock!$A:$A,Partner_BookInBlock!O:O,"",0)="VL","VL",IF(XLOOKUP($A5,Partner_BookInBlock!$A:$A,Partner_BookInBlock!O:O,"",0)="ATT","ATT",XLOOKUP($A5,Partner_BookInBlock!$A:$A,Partner_BookInBlock!O:O,"",0))))</f>
        <v>0.3333333333</v>
      </c>
      <c r="P5" s="66">
        <f t="array" ref="P5">IF(XLOOKUP($A5,Partner_BookInBlock!$A:$A,Partner_BookInBlock!P:P,"",0)="Free","Free",IF(XLOOKUP($A5,Partner_BookInBlock!$A:$A,Partner_BookInBlock!P:P,"",0)="VL","VL",IF(XLOOKUP($A5,Partner_BookInBlock!$A:$A,Partner_BookInBlock!P:P,"",0)="ATT","ATT",XLOOKUP($A5,Partner_BookInBlock!$A:$A,Partner_BookInBlock!P:P,"",0))))</f>
        <v>0.3333333333</v>
      </c>
      <c r="Q5" s="66" t="str">
        <f t="array" ref="Q5">IF(XLOOKUP($A5,Partner_BookInBlock!$A:$A,Partner_BookInBlock!Q:Q,"",0)="Free","Free",IF(XLOOKUP($A5,Partner_BookInBlock!$A:$A,Partner_BookInBlock!Q:Q,"",0)="VL","VL",IF(XLOOKUP($A5,Partner_BookInBlock!$A:$A,Partner_BookInBlock!Q:Q,"",0)="ATT","ATT",XLOOKUP($A5,Partner_BookInBlock!$A:$A,Partner_BookInBlock!Q:Q,"",0))))</f>
        <v>Free</v>
      </c>
      <c r="R5" s="43"/>
      <c r="S5" s="66">
        <f t="array" ref="S5">IF(XLOOKUP($A5,Partner_BookInBlock!$A:$A,Partner_BookInBlock!S:S,"",0)="Free","Free",IF(XLOOKUP($A5,Partner_BookInBlock!$A:$A,Partner_BookInBlock!S:S,"",0)="VL","VL",IF(XLOOKUP($A5,Partner_BookInBlock!$A:$A,Partner_BookInBlock!S:S,"",0)="ATT","ATT",XLOOKUP($A5,Partner_BookInBlock!$A:$A,Partner_BookInBlock!S:S,"",0))))</f>
        <v>0.3333333333</v>
      </c>
      <c r="T5" s="66">
        <f t="array" ref="T5">IF(XLOOKUP($A5,Partner_BookInBlock!$A:$A,Partner_BookInBlock!T:T,"",0)="Free","Free",IF(XLOOKUP($A5,Partner_BookInBlock!$A:$A,Partner_BookInBlock!T:T,"",0)="VL","VL",IF(XLOOKUP($A5,Partner_BookInBlock!$A:$A,Partner_BookInBlock!T:T,"",0)="ATT","ATT",XLOOKUP($A5,Partner_BookInBlock!$A:$A,Partner_BookInBlock!T:T,"",0))))</f>
        <v>0.3333333333</v>
      </c>
      <c r="U5" s="66">
        <f t="array" ref="U5">IF(XLOOKUP($A5,Partner_BookInBlock!$A:$A,Partner_BookInBlock!U:U,"",0)="Free","Free",IF(XLOOKUP($A5,Partner_BookInBlock!$A:$A,Partner_BookInBlock!U:U,"",0)="VL","VL",IF(XLOOKUP($A5,Partner_BookInBlock!$A:$A,Partner_BookInBlock!U:U,"",0)="ATT","ATT",XLOOKUP($A5,Partner_BookInBlock!$A:$A,Partner_BookInBlock!U:U,"",0))))</f>
        <v>0.3333333333</v>
      </c>
      <c r="V5" s="66">
        <f t="array" ref="V5">IF(XLOOKUP($A5,Partner_BookInBlock!$A:$A,Partner_BookInBlock!V:V,"",0)="Free","Free",IF(XLOOKUP($A5,Partner_BookInBlock!$A:$A,Partner_BookInBlock!V:V,"",0)="VL","VL",IF(XLOOKUP($A5,Partner_BookInBlock!$A:$A,Partner_BookInBlock!V:V,"",0)="ATT","ATT",XLOOKUP($A5,Partner_BookInBlock!$A:$A,Partner_BookInBlock!V:V,"",0))))</f>
        <v>0.3333333333</v>
      </c>
      <c r="W5" s="66">
        <f t="array" ref="W5">IF(XLOOKUP($A5,Partner_BookInBlock!$A:$A,Partner_BookInBlock!W:W,"",0)="Free","Free",IF(XLOOKUP($A5,Partner_BookInBlock!$A:$A,Partner_BookInBlock!W:W,"",0)="VL","VL",IF(XLOOKUP($A5,Partner_BookInBlock!$A:$A,Partner_BookInBlock!W:W,"",0)="ATT","ATT",XLOOKUP($A5,Partner_BookInBlock!$A:$A,Partner_BookInBlock!W:W,"",0))))</f>
        <v>0.3333333333</v>
      </c>
      <c r="X5" s="66" t="str">
        <f t="array" ref="X5">IF(XLOOKUP($A5,Partner_BookInBlock!$A:$A,Partner_BookInBlock!X:X,"",0)="Free","Free",IF(XLOOKUP($A5,Partner_BookInBlock!$A:$A,Partner_BookInBlock!X:X,"",0)="VL","VL",IF(XLOOKUP($A5,Partner_BookInBlock!$A:$A,Partner_BookInBlock!X:X,"",0)="ATT","ATT",XLOOKUP($A5,Partner_BookInBlock!$A:$A,Partner_BookInBlock!X:X,"",0))))</f>
        <v>Free</v>
      </c>
      <c r="Y5" s="43"/>
      <c r="Z5" s="66">
        <f t="array" ref="Z5">IF(XLOOKUP($A5,Partner_BookInBlock!$A:$A,Partner_BookInBlock!Z:Z,"",0)="Free","Free",IF(XLOOKUP($A5,Partner_BookInBlock!$A:$A,Partner_BookInBlock!Z:Z,"",0)="VL","VL",IF(XLOOKUP($A5,Partner_BookInBlock!$A:$A,Partner_BookInBlock!Z:Z,"",0)="ATT","ATT",XLOOKUP($A5,Partner_BookInBlock!$A:$A,Partner_BookInBlock!Z:Z,"",0))))</f>
        <v>0.3333333333</v>
      </c>
      <c r="AA5" s="66">
        <f t="array" ref="AA5">IF(XLOOKUP($A5,Partner_BookInBlock!$A:$A,Partner_BookInBlock!AA:AA,"",0)="Free","Free",IF(XLOOKUP($A5,Partner_BookInBlock!$A:$A,Partner_BookInBlock!AA:AA,"",0)="VL","VL",IF(XLOOKUP($A5,Partner_BookInBlock!$A:$A,Partner_BookInBlock!AA:AA,"",0)="ATT","ATT",XLOOKUP($A5,Partner_BookInBlock!$A:$A,Partner_BookInBlock!AA:AA,"",0))))</f>
        <v>0.3333333333</v>
      </c>
      <c r="AB5" s="66">
        <f t="array" ref="AB5">IF(XLOOKUP($A5,Partner_BookInBlock!$A:$A,Partner_BookInBlock!AB:AB,"",0)="Free","Free",IF(XLOOKUP($A5,Partner_BookInBlock!$A:$A,Partner_BookInBlock!AB:AB,"",0)="VL","VL",IF(XLOOKUP($A5,Partner_BookInBlock!$A:$A,Partner_BookInBlock!AB:AB,"",0)="ATT","ATT",XLOOKUP($A5,Partner_BookInBlock!$A:$A,Partner_BookInBlock!AB:AB,"",0))))</f>
        <v>0.3333333333</v>
      </c>
      <c r="AC5" s="66">
        <f t="array" ref="AC5">IF(XLOOKUP($A5,Partner_BookInBlock!$A:$A,Partner_BookInBlock!AC:AC,"",0)="Free","Free",IF(XLOOKUP($A5,Partner_BookInBlock!$A:$A,Partner_BookInBlock!AC:AC,"",0)="VL","VL",IF(XLOOKUP($A5,Partner_BookInBlock!$A:$A,Partner_BookInBlock!AC:AC,"",0)="ATT","ATT",XLOOKUP($A5,Partner_BookInBlock!$A:$A,Partner_BookInBlock!AC:AC,"",0))))</f>
        <v>0.3333333333</v>
      </c>
      <c r="AD5" s="66">
        <f t="array" ref="AD5">IF(XLOOKUP($A5,Partner_BookInBlock!$A:$A,Partner_BookInBlock!AD:AD,"",0)="Free","Free",IF(XLOOKUP($A5,Partner_BookInBlock!$A:$A,Partner_BookInBlock!AD:AD,"",0)="VL","VL",IF(XLOOKUP($A5,Partner_BookInBlock!$A:$A,Partner_BookInBlock!AD:AD,"",0)="ATT","ATT",XLOOKUP($A5,Partner_BookInBlock!$A:$A,Partner_BookInBlock!AD:AD,"",0))))</f>
        <v>0.3333333333</v>
      </c>
      <c r="AE5" s="66" t="str">
        <f t="array" ref="AE5">IF(XLOOKUP($A5,Partner_BookInBlock!$A:$A,Partner_BookInBlock!AE:AE,"",0)="Free","Free",IF(XLOOKUP($A5,Partner_BookInBlock!$A:$A,Partner_BookInBlock!AE:AE,"",0)="VL","VL",IF(XLOOKUP($A5,Partner_BookInBlock!$A:$A,Partner_BookInBlock!AE:AE,"",0)="ATT","ATT",XLOOKUP($A5,Partner_BookInBlock!$A:$A,Partner_BookInBlock!AE:AE,"",0))))</f>
        <v>Free</v>
      </c>
      <c r="AF5" s="69"/>
      <c r="AG5" s="66">
        <f t="array" ref="AG5">IF(XLOOKUP($A5,Partner_BookInBlock!$A:$A,Partner_BookInBlock!AG:AG,"",0)="Free","Free",IF(XLOOKUP($A5,Partner_BookInBlock!$A:$A,Partner_BookInBlock!AG:AG,"",0)="VL","VL",IF(XLOOKUP($A5,Partner_BookInBlock!$A:$A,Partner_BookInBlock!AG:AG,"",0)="ATT","ATT",XLOOKUP($A5,Partner_BookInBlock!$A:$A,Partner_BookInBlock!AG:AG,"",0))))</f>
        <v>0.3333333333</v>
      </c>
      <c r="AH5" s="66">
        <f t="array" ref="AH5">IF(XLOOKUP($A5,Partner_BookInBlock!$A:$A,Partner_BookInBlock!AH:AH,"",0)="Free","Free",IF(XLOOKUP($A5,Partner_BookInBlock!$A:$A,Partner_BookInBlock!AH:AH,"",0)="VL","VL",IF(XLOOKUP($A5,Partner_BookInBlock!$A:$A,Partner_BookInBlock!AH:AH,"",0)="ATT","ATT",XLOOKUP($A5,Partner_BookInBlock!$A:$A,Partner_BookInBlock!AH:AH,"",0))))</f>
        <v>0.3333333333</v>
      </c>
      <c r="AI5" s="66">
        <f t="array" ref="AI5">IF(XLOOKUP($A5,Partner_BookInBlock!$A:$A,Partner_BookInBlock!AI:AI,"",0)="Free","Free",IF(XLOOKUP($A5,Partner_BookInBlock!$A:$A,Partner_BookInBlock!AI:AI,"",0)="VL","VL",IF(XLOOKUP($A5,Partner_BookInBlock!$A:$A,Partner_BookInBlock!AI:AI,"",0)="ATT","ATT",XLOOKUP($A5,Partner_BookInBlock!$A:$A,Partner_BookInBlock!AI:AI,"",0))))</f>
        <v>0.3333333333</v>
      </c>
      <c r="AJ5" s="66">
        <f t="array" ref="AJ5">IF(XLOOKUP($A5,Partner_BookInBlock!$A:$A,Partner_BookInBlock!AJ:AJ,"",0)="Free","Free",IF(XLOOKUP($A5,Partner_BookInBlock!$A:$A,Partner_BookInBlock!AJ:AJ,"",0)="VL","VL",IF(XLOOKUP($A5,Partner_BookInBlock!$A:$A,Partner_BookInBlock!AJ:AJ,"",0)="ATT","ATT",XLOOKUP($A5,Partner_BookInBlock!$A:$A,Partner_BookInBlock!AJ:AJ,"",0))))</f>
        <v>0.3333333333</v>
      </c>
      <c r="AK5" s="66">
        <f t="array" ref="AK5">IF(XLOOKUP($A5,Partner_BookInBlock!$A:$A,Partner_BookInBlock!AK:AK,"",0)="Free","Free",IF(XLOOKUP($A5,Partner_BookInBlock!$A:$A,Partner_BookInBlock!AK:AK,"",0)="VL","VL",IF(XLOOKUP($A5,Partner_BookInBlock!$A:$A,Partner_BookInBlock!AK:AK,"",0)="ATT","ATT",XLOOKUP($A5,Partner_BookInBlock!$A:$A,Partner_BookInBlock!AK:AK,"",0))))</f>
        <v>0.3333333333</v>
      </c>
      <c r="AL5" s="66" t="str">
        <f t="array" ref="AL5">IF(XLOOKUP($A5,Partner_BookInBlock!$A:$A,Partner_BookInBlock!AL:AL,"",0)="Free","Free",IF(XLOOKUP($A5,Partner_BookInBlock!$A:$A,Partner_BookInBlock!AL:AL,"",0)="VL","VL",IF(XLOOKUP($A5,Partner_BookInBlock!$A:$A,Partner_BookInBlock!AL:AL,"",0)="ATT","ATT",XLOOKUP($A5,Partner_BookInBlock!$A:$A,Partner_BookInBlock!AL:AL,"",0))))</f>
        <v>Free</v>
      </c>
      <c r="AM5" s="42"/>
    </row>
    <row r="6">
      <c r="A6" s="64" t="s">
        <v>51</v>
      </c>
      <c r="B6" s="65" t="str">
        <f t="array" ref="B6">XLOOKUP(A6,Roster!F:F,Roster!A:A,"")</f>
        <v>Mateo Henao</v>
      </c>
      <c r="C6" s="65" t="str">
        <f t="array" ref="C6">XLOOKUP(A6,Roster!F:F,Roster!B:B,"")</f>
        <v>Karen Panqueva</v>
      </c>
      <c r="D6" s="40" t="s">
        <v>135</v>
      </c>
      <c r="E6" s="66">
        <f t="array" ref="E6">IF(XLOOKUP($A6,Partner_BookInBlock!$A:$A,Partner_BookInBlock!E:E,"",0)="Free","Free",IF(XLOOKUP($A6,Partner_BookInBlock!$A:$A,Partner_BookInBlock!E:E,"",0)="VL","VL",IF(XLOOKUP($A6,Partner_BookInBlock!$A:$A,Partner_BookInBlock!E:E,"",0)="ATT","ATT",XLOOKUP($A6,Partner_BookInBlock!$A:$A,Partner_BookInBlock!E:E,"",0))))</f>
        <v>0.3333333333</v>
      </c>
      <c r="F6" s="66">
        <f t="array" ref="F6">IF(XLOOKUP($A6,Partner_BookInBlock!$A:$A,Partner_BookInBlock!F:F,"",0)="Free","Free",IF(XLOOKUP($A6,Partner_BookInBlock!$A:$A,Partner_BookInBlock!F:F,"",0)="VL","VL",IF(XLOOKUP($A6,Partner_BookInBlock!$A:$A,Partner_BookInBlock!F:F,"",0)="ATT","ATT",XLOOKUP($A6,Partner_BookInBlock!$A:$A,Partner_BookInBlock!F:F,"",0))))</f>
        <v>0.3333333333</v>
      </c>
      <c r="G6" s="66" t="str">
        <f t="array" ref="G6">IF(XLOOKUP($A6,Partner_BookInBlock!$A:$A,Partner_BookInBlock!G:G,"",0)="Free","Free",IF(XLOOKUP($A6,Partner_BookInBlock!$A:$A,Partner_BookInBlock!G:G,"",0)="VL","VL",IF(XLOOKUP($A6,Partner_BookInBlock!$A:$A,Partner_BookInBlock!G:G,"",0)="ATT","ATT",XLOOKUP($A6,Partner_BookInBlock!$A:$A,Partner_BookInBlock!G:G,"",0))))</f>
        <v>Free</v>
      </c>
      <c r="H6" s="66">
        <f t="array" ref="H6">IF(XLOOKUP($A6,Partner_BookInBlock!$A:$A,Partner_BookInBlock!H:H,"",0)="Free","Free",IF(XLOOKUP($A6,Partner_BookInBlock!$A:$A,Partner_BookInBlock!H:H,"",0)="VL","VL",IF(XLOOKUP($A6,Partner_BookInBlock!$A:$A,Partner_BookInBlock!H:H,"",0)="ATT","ATT",XLOOKUP($A6,Partner_BookInBlock!$A:$A,Partner_BookInBlock!H:H,"",0))))</f>
        <v>0.3333333333</v>
      </c>
      <c r="I6" s="66">
        <f t="array" ref="I6">IF(XLOOKUP($A6,Partner_BookInBlock!$A:$A,Partner_BookInBlock!I:I,"",0)="Free","Free",IF(XLOOKUP($A6,Partner_BookInBlock!$A:$A,Partner_BookInBlock!I:I,"",0)="VL","VL",IF(XLOOKUP($A6,Partner_BookInBlock!$A:$A,Partner_BookInBlock!I:I,"",0)="ATT","ATT",XLOOKUP($A6,Partner_BookInBlock!$A:$A,Partner_BookInBlock!I:I,"",0))))</f>
        <v>0.3333333333</v>
      </c>
      <c r="J6" s="66">
        <f t="array" ref="J6">IF(XLOOKUP($A6,Partner_BookInBlock!$A:$A,Partner_BookInBlock!J:J,"",0)="Free","Free",IF(XLOOKUP($A6,Partner_BookInBlock!$A:$A,Partner_BookInBlock!J:J,"",0)="VL","VL",IF(XLOOKUP($A6,Partner_BookInBlock!$A:$A,Partner_BookInBlock!J:J,"",0)="ATT","ATT",XLOOKUP($A6,Partner_BookInBlock!$A:$A,Partner_BookInBlock!J:J,"",0))))</f>
        <v>0.3333333333</v>
      </c>
      <c r="K6" s="42"/>
      <c r="L6" s="66">
        <f t="array" ref="L6">IF(XLOOKUP($A6,Partner_BookInBlock!$A:$A,Partner_BookInBlock!L:L,"",0)="Free","Free",IF(XLOOKUP($A6,Partner_BookInBlock!$A:$A,Partner_BookInBlock!L:L,"",0)="VL","VL",IF(XLOOKUP($A6,Partner_BookInBlock!$A:$A,Partner_BookInBlock!L:L,"",0)="ATT","ATT",XLOOKUP($A6,Partner_BookInBlock!$A:$A,Partner_BookInBlock!L:L,"",0))))</f>
        <v>0.3333333333</v>
      </c>
      <c r="M6" s="66">
        <f t="array" ref="M6">IF(XLOOKUP($A6,Partner_BookInBlock!$A:$A,Partner_BookInBlock!M:M,"",0)="Free","Free",IF(XLOOKUP($A6,Partner_BookInBlock!$A:$A,Partner_BookInBlock!M:M,"",0)="VL","VL",IF(XLOOKUP($A6,Partner_BookInBlock!$A:$A,Partner_BookInBlock!M:M,"",0)="ATT","ATT",XLOOKUP($A6,Partner_BookInBlock!$A:$A,Partner_BookInBlock!M:M,"",0))))</f>
        <v>0.3333333333</v>
      </c>
      <c r="N6" s="66">
        <f t="array" ref="N6">IF(XLOOKUP($A6,Partner_BookInBlock!$A:$A,Partner_BookInBlock!N:N,"",0)="Free","Free",IF(XLOOKUP($A6,Partner_BookInBlock!$A:$A,Partner_BookInBlock!N:N,"",0)="VL","VL",IF(XLOOKUP($A6,Partner_BookInBlock!$A:$A,Partner_BookInBlock!N:N,"",0)="ATT","ATT",XLOOKUP($A6,Partner_BookInBlock!$A:$A,Partner_BookInBlock!N:N,"",0))))</f>
        <v>0.3333333333</v>
      </c>
      <c r="O6" s="66">
        <f t="array" ref="O6">IF(XLOOKUP($A6,Partner_BookInBlock!$A:$A,Partner_BookInBlock!O:O,"",0)="Free","Free",IF(XLOOKUP($A6,Partner_BookInBlock!$A:$A,Partner_BookInBlock!O:O,"",0)="VL","VL",IF(XLOOKUP($A6,Partner_BookInBlock!$A:$A,Partner_BookInBlock!O:O,"",0)="ATT","ATT",XLOOKUP($A6,Partner_BookInBlock!$A:$A,Partner_BookInBlock!O:O,"",0))))</f>
        <v>0.3333333333</v>
      </c>
      <c r="P6" s="66">
        <f t="array" ref="P6">IF(XLOOKUP($A6,Partner_BookInBlock!$A:$A,Partner_BookInBlock!P:P,"",0)="Free","Free",IF(XLOOKUP($A6,Partner_BookInBlock!$A:$A,Partner_BookInBlock!P:P,"",0)="VL","VL",IF(XLOOKUP($A6,Partner_BookInBlock!$A:$A,Partner_BookInBlock!P:P,"",0)="ATT","ATT",XLOOKUP($A6,Partner_BookInBlock!$A:$A,Partner_BookInBlock!P:P,"",0))))</f>
        <v>0.3333333333</v>
      </c>
      <c r="Q6" s="66" t="str">
        <f t="array" ref="Q6">IF(XLOOKUP($A6,Partner_BookInBlock!$A:$A,Partner_BookInBlock!Q:Q,"",0)="Free","Free",IF(XLOOKUP($A6,Partner_BookInBlock!$A:$A,Partner_BookInBlock!Q:Q,"",0)="VL","VL",IF(XLOOKUP($A6,Partner_BookInBlock!$A:$A,Partner_BookInBlock!Q:Q,"",0)="ATT","ATT",XLOOKUP($A6,Partner_BookInBlock!$A:$A,Partner_BookInBlock!Q:Q,"",0))))</f>
        <v>Free</v>
      </c>
      <c r="R6" s="43"/>
      <c r="S6" s="66">
        <f t="array" ref="S6">IF(XLOOKUP($A6,Partner_BookInBlock!$A:$A,Partner_BookInBlock!S:S,"",0)="Free","Free",IF(XLOOKUP($A6,Partner_BookInBlock!$A:$A,Partner_BookInBlock!S:S,"",0)="VL","VL",IF(XLOOKUP($A6,Partner_BookInBlock!$A:$A,Partner_BookInBlock!S:S,"",0)="ATT","ATT",XLOOKUP($A6,Partner_BookInBlock!$A:$A,Partner_BookInBlock!S:S,"",0))))</f>
        <v>0.3333333333</v>
      </c>
      <c r="T6" s="66">
        <f t="array" ref="T6">IF(XLOOKUP($A6,Partner_BookInBlock!$A:$A,Partner_BookInBlock!T:T,"",0)="Free","Free",IF(XLOOKUP($A6,Partner_BookInBlock!$A:$A,Partner_BookInBlock!T:T,"",0)="VL","VL",IF(XLOOKUP($A6,Partner_BookInBlock!$A:$A,Partner_BookInBlock!T:T,"",0)="ATT","ATT",XLOOKUP($A6,Partner_BookInBlock!$A:$A,Partner_BookInBlock!T:T,"",0))))</f>
        <v>0.3333333333</v>
      </c>
      <c r="U6" s="66">
        <f t="array" ref="U6">IF(XLOOKUP($A6,Partner_BookInBlock!$A:$A,Partner_BookInBlock!U:U,"",0)="Free","Free",IF(XLOOKUP($A6,Partner_BookInBlock!$A:$A,Partner_BookInBlock!U:U,"",0)="VL","VL",IF(XLOOKUP($A6,Partner_BookInBlock!$A:$A,Partner_BookInBlock!U:U,"",0)="ATT","ATT",XLOOKUP($A6,Partner_BookInBlock!$A:$A,Partner_BookInBlock!U:U,"",0))))</f>
        <v>0.3333333333</v>
      </c>
      <c r="V6" s="66">
        <f t="array" ref="V6">IF(XLOOKUP($A6,Partner_BookInBlock!$A:$A,Partner_BookInBlock!V:V,"",0)="Free","Free",IF(XLOOKUP($A6,Partner_BookInBlock!$A:$A,Partner_BookInBlock!V:V,"",0)="VL","VL",IF(XLOOKUP($A6,Partner_BookInBlock!$A:$A,Partner_BookInBlock!V:V,"",0)="ATT","ATT",XLOOKUP($A6,Partner_BookInBlock!$A:$A,Partner_BookInBlock!V:V,"",0))))</f>
        <v>0.3333333333</v>
      </c>
      <c r="W6" s="66">
        <f t="array" ref="W6">IF(XLOOKUP($A6,Partner_BookInBlock!$A:$A,Partner_BookInBlock!W:W,"",0)="Free","Free",IF(XLOOKUP($A6,Partner_BookInBlock!$A:$A,Partner_BookInBlock!W:W,"",0)="VL","VL",IF(XLOOKUP($A6,Partner_BookInBlock!$A:$A,Partner_BookInBlock!W:W,"",0)="ATT","ATT",XLOOKUP($A6,Partner_BookInBlock!$A:$A,Partner_BookInBlock!W:W,"",0))))</f>
        <v>0.3333333333</v>
      </c>
      <c r="X6" s="66" t="str">
        <f t="array" ref="X6">IF(XLOOKUP($A6,Partner_BookInBlock!$A:$A,Partner_BookInBlock!X:X,"",0)="Free","Free",IF(XLOOKUP($A6,Partner_BookInBlock!$A:$A,Partner_BookInBlock!X:X,"",0)="VL","VL",IF(XLOOKUP($A6,Partner_BookInBlock!$A:$A,Partner_BookInBlock!X:X,"",0)="ATT","ATT",XLOOKUP($A6,Partner_BookInBlock!$A:$A,Partner_BookInBlock!X:X,"",0))))</f>
        <v>Free</v>
      </c>
      <c r="Y6" s="43"/>
      <c r="Z6" s="66">
        <f t="array" ref="Z6">IF(XLOOKUP($A6,Partner_BookInBlock!$A:$A,Partner_BookInBlock!Z:Z,"",0)="Free","Free",IF(XLOOKUP($A6,Partner_BookInBlock!$A:$A,Partner_BookInBlock!Z:Z,"",0)="VL","VL",IF(XLOOKUP($A6,Partner_BookInBlock!$A:$A,Partner_BookInBlock!Z:Z,"",0)="ATT","ATT",XLOOKUP($A6,Partner_BookInBlock!$A:$A,Partner_BookInBlock!Z:Z,"",0))))</f>
        <v>0.3333333333</v>
      </c>
      <c r="AA6" s="66">
        <f t="array" ref="AA6">IF(XLOOKUP($A6,Partner_BookInBlock!$A:$A,Partner_BookInBlock!AA:AA,"",0)="Free","Free",IF(XLOOKUP($A6,Partner_BookInBlock!$A:$A,Partner_BookInBlock!AA:AA,"",0)="VL","VL",IF(XLOOKUP($A6,Partner_BookInBlock!$A:$A,Partner_BookInBlock!AA:AA,"",0)="ATT","ATT",XLOOKUP($A6,Partner_BookInBlock!$A:$A,Partner_BookInBlock!AA:AA,"",0))))</f>
        <v>0.3333333333</v>
      </c>
      <c r="AB6" s="66" t="str">
        <f t="array" ref="AB6">IF(XLOOKUP($A6,Partner_BookInBlock!$A:$A,Partner_BookInBlock!AB:AB,"",0)="Free","Free",IF(XLOOKUP($A6,Partner_BookInBlock!$A:$A,Partner_BookInBlock!AB:AB,"",0)="VL","VL",IF(XLOOKUP($A6,Partner_BookInBlock!$A:$A,Partner_BookInBlock!AB:AB,"",0)="ATT","ATT",XLOOKUP($A6,Partner_BookInBlock!$A:$A,Partner_BookInBlock!AB:AB,"",0))))</f>
        <v>Free</v>
      </c>
      <c r="AC6" s="66">
        <f t="array" ref="AC6">IF(XLOOKUP($A6,Partner_BookInBlock!$A:$A,Partner_BookInBlock!AC:AC,"",0)="Free","Free",IF(XLOOKUP($A6,Partner_BookInBlock!$A:$A,Partner_BookInBlock!AC:AC,"",0)="VL","VL",IF(XLOOKUP($A6,Partner_BookInBlock!$A:$A,Partner_BookInBlock!AC:AC,"",0)="ATT","ATT",XLOOKUP($A6,Partner_BookInBlock!$A:$A,Partner_BookInBlock!AC:AC,"",0))))</f>
        <v>0.3333333333</v>
      </c>
      <c r="AD6" s="66">
        <f t="array" ref="AD6">IF(XLOOKUP($A6,Partner_BookInBlock!$A:$A,Partner_BookInBlock!AD:AD,"",0)="Free","Free",IF(XLOOKUP($A6,Partner_BookInBlock!$A:$A,Partner_BookInBlock!AD:AD,"",0)="VL","VL",IF(XLOOKUP($A6,Partner_BookInBlock!$A:$A,Partner_BookInBlock!AD:AD,"",0)="ATT","ATT",XLOOKUP($A6,Partner_BookInBlock!$A:$A,Partner_BookInBlock!AD:AD,"",0))))</f>
        <v>0.3333333333</v>
      </c>
      <c r="AE6" s="66">
        <f t="array" ref="AE6">IF(XLOOKUP($A6,Partner_BookInBlock!$A:$A,Partner_BookInBlock!AE:AE,"",0)="Free","Free",IF(XLOOKUP($A6,Partner_BookInBlock!$A:$A,Partner_BookInBlock!AE:AE,"",0)="VL","VL",IF(XLOOKUP($A6,Partner_BookInBlock!$A:$A,Partner_BookInBlock!AE:AE,"",0)="ATT","ATT",XLOOKUP($A6,Partner_BookInBlock!$A:$A,Partner_BookInBlock!AE:AE,"",0))))</f>
        <v>0.3333333333</v>
      </c>
      <c r="AF6" s="69"/>
      <c r="AG6" s="66">
        <f t="array" ref="AG6">IF(XLOOKUP($A6,Partner_BookInBlock!$A:$A,Partner_BookInBlock!AG:AG,"",0)="Free","Free",IF(XLOOKUP($A6,Partner_BookInBlock!$A:$A,Partner_BookInBlock!AG:AG,"",0)="VL","VL",IF(XLOOKUP($A6,Partner_BookInBlock!$A:$A,Partner_BookInBlock!AG:AG,"",0)="ATT","ATT",XLOOKUP($A6,Partner_BookInBlock!$A:$A,Partner_BookInBlock!AG:AG,"",0))))</f>
        <v>0.3333333333</v>
      </c>
      <c r="AH6" s="66">
        <f t="array" ref="AH6">IF(XLOOKUP($A6,Partner_BookInBlock!$A:$A,Partner_BookInBlock!AH:AH,"",0)="Free","Free",IF(XLOOKUP($A6,Partner_BookInBlock!$A:$A,Partner_BookInBlock!AH:AH,"",0)="VL","VL",IF(XLOOKUP($A6,Partner_BookInBlock!$A:$A,Partner_BookInBlock!AH:AH,"",0)="ATT","ATT",XLOOKUP($A6,Partner_BookInBlock!$A:$A,Partner_BookInBlock!AH:AH,"",0))))</f>
        <v>0.3333333333</v>
      </c>
      <c r="AI6" s="66">
        <f t="array" ref="AI6">IF(XLOOKUP($A6,Partner_BookInBlock!$A:$A,Partner_BookInBlock!AI:AI,"",0)="Free","Free",IF(XLOOKUP($A6,Partner_BookInBlock!$A:$A,Partner_BookInBlock!AI:AI,"",0)="VL","VL",IF(XLOOKUP($A6,Partner_BookInBlock!$A:$A,Partner_BookInBlock!AI:AI,"",0)="ATT","ATT",XLOOKUP($A6,Partner_BookInBlock!$A:$A,Partner_BookInBlock!AI:AI,"",0))))</f>
        <v>0.3333333333</v>
      </c>
      <c r="AJ6" s="66">
        <f t="array" ref="AJ6">IF(XLOOKUP($A6,Partner_BookInBlock!$A:$A,Partner_BookInBlock!AJ:AJ,"",0)="Free","Free",IF(XLOOKUP($A6,Partner_BookInBlock!$A:$A,Partner_BookInBlock!AJ:AJ,"",0)="VL","VL",IF(XLOOKUP($A6,Partner_BookInBlock!$A:$A,Partner_BookInBlock!AJ:AJ,"",0)="ATT","ATT",XLOOKUP($A6,Partner_BookInBlock!$A:$A,Partner_BookInBlock!AJ:AJ,"",0))))</f>
        <v>0.3333333333</v>
      </c>
      <c r="AK6" s="66">
        <f t="array" ref="AK6">IF(XLOOKUP($A6,Partner_BookInBlock!$A:$A,Partner_BookInBlock!AK:AK,"",0)="Free","Free",IF(XLOOKUP($A6,Partner_BookInBlock!$A:$A,Partner_BookInBlock!AK:AK,"",0)="VL","VL",IF(XLOOKUP($A6,Partner_BookInBlock!$A:$A,Partner_BookInBlock!AK:AK,"",0)="ATT","ATT",XLOOKUP($A6,Partner_BookInBlock!$A:$A,Partner_BookInBlock!AK:AK,"",0))))</f>
        <v>0.3333333333</v>
      </c>
      <c r="AL6" s="66" t="str">
        <f t="array" ref="AL6">IF(XLOOKUP($A6,Partner_BookInBlock!$A:$A,Partner_BookInBlock!AL:AL,"",0)="Free","Free",IF(XLOOKUP($A6,Partner_BookInBlock!$A:$A,Partner_BookInBlock!AL:AL,"",0)="VL","VL",IF(XLOOKUP($A6,Partner_BookInBlock!$A:$A,Partner_BookInBlock!AL:AL,"",0)="ATT","ATT",XLOOKUP($A6,Partner_BookInBlock!$A:$A,Partner_BookInBlock!AL:AL,"",0))))</f>
        <v>Free</v>
      </c>
      <c r="AM6" s="42"/>
    </row>
    <row r="7">
      <c r="A7" s="64" t="s">
        <v>83</v>
      </c>
      <c r="B7" s="65" t="str">
        <f t="array" ref="B7">XLOOKUP(A7,Roster!F:F,Roster!A:A,"")</f>
        <v>Mateo Henao</v>
      </c>
      <c r="C7" s="65" t="str">
        <f t="array" ref="C7">XLOOKUP(A7,Roster!F:F,Roster!B:B,"")</f>
        <v>Wilson Martinez</v>
      </c>
      <c r="D7" s="40" t="s">
        <v>135</v>
      </c>
      <c r="E7" s="66">
        <f t="array" ref="E7">IF(XLOOKUP($A7,Partner_BookInBlock!$A:$A,Partner_BookInBlock!E:E,"",0)="Free","Free",IF(XLOOKUP($A7,Partner_BookInBlock!$A:$A,Partner_BookInBlock!E:E,"",0)="VL","VL",IF(XLOOKUP($A7,Partner_BookInBlock!$A:$A,Partner_BookInBlock!E:E,"",0)="ATT","ATT",XLOOKUP($A7,Partner_BookInBlock!$A:$A,Partner_BookInBlock!E:E,"",0))))</f>
        <v>0.3333333333</v>
      </c>
      <c r="F7" s="66">
        <f t="array" ref="F7">IF(XLOOKUP($A7,Partner_BookInBlock!$A:$A,Partner_BookInBlock!F:F,"",0)="Free","Free",IF(XLOOKUP($A7,Partner_BookInBlock!$A:$A,Partner_BookInBlock!F:F,"",0)="VL","VL",IF(XLOOKUP($A7,Partner_BookInBlock!$A:$A,Partner_BookInBlock!F:F,"",0)="ATT","ATT",XLOOKUP($A7,Partner_BookInBlock!$A:$A,Partner_BookInBlock!F:F,"",0))))</f>
        <v>0.3333333333</v>
      </c>
      <c r="G7" s="66">
        <f t="array" ref="G7">IF(XLOOKUP($A7,Partner_BookInBlock!$A:$A,Partner_BookInBlock!G:G,"",0)="Free","Free",IF(XLOOKUP($A7,Partner_BookInBlock!$A:$A,Partner_BookInBlock!G:G,"",0)="VL","VL",IF(XLOOKUP($A7,Partner_BookInBlock!$A:$A,Partner_BookInBlock!G:G,"",0)="ATT","ATT",XLOOKUP($A7,Partner_BookInBlock!$A:$A,Partner_BookInBlock!G:G,"",0))))</f>
        <v>0.3333333333</v>
      </c>
      <c r="H7" s="66">
        <f t="array" ref="H7">IF(XLOOKUP($A7,Partner_BookInBlock!$A:$A,Partner_BookInBlock!H:H,"",0)="Free","Free",IF(XLOOKUP($A7,Partner_BookInBlock!$A:$A,Partner_BookInBlock!H:H,"",0)="VL","VL",IF(XLOOKUP($A7,Partner_BookInBlock!$A:$A,Partner_BookInBlock!H:H,"",0)="ATT","ATT",XLOOKUP($A7,Partner_BookInBlock!$A:$A,Partner_BookInBlock!H:H,"",0))))</f>
        <v>0.3333333333</v>
      </c>
      <c r="I7" s="66">
        <f t="array" ref="I7">IF(XLOOKUP($A7,Partner_BookInBlock!$A:$A,Partner_BookInBlock!I:I,"",0)="Free","Free",IF(XLOOKUP($A7,Partner_BookInBlock!$A:$A,Partner_BookInBlock!I:I,"",0)="VL","VL",IF(XLOOKUP($A7,Partner_BookInBlock!$A:$A,Partner_BookInBlock!I:I,"",0)="ATT","ATT",XLOOKUP($A7,Partner_BookInBlock!$A:$A,Partner_BookInBlock!I:I,"",0))))</f>
        <v>0.3333333333</v>
      </c>
      <c r="J7" s="66" t="str">
        <f t="array" ref="J7">IF(XLOOKUP($A7,Partner_BookInBlock!$A:$A,Partner_BookInBlock!J:J,"",0)="Free","Free",IF(XLOOKUP($A7,Partner_BookInBlock!$A:$A,Partner_BookInBlock!J:J,"",0)="VL","VL",IF(XLOOKUP($A7,Partner_BookInBlock!$A:$A,Partner_BookInBlock!J:J,"",0)="ATT","ATT",XLOOKUP($A7,Partner_BookInBlock!$A:$A,Partner_BookInBlock!J:J,"",0))))</f>
        <v>Free</v>
      </c>
      <c r="K7" s="42"/>
      <c r="L7" s="66">
        <f t="array" ref="L7">IF(XLOOKUP($A7,Partner_BookInBlock!$A:$A,Partner_BookInBlock!L:L,"",0)="Free","Free",IF(XLOOKUP($A7,Partner_BookInBlock!$A:$A,Partner_BookInBlock!L:L,"",0)="VL","VL",IF(XLOOKUP($A7,Partner_BookInBlock!$A:$A,Partner_BookInBlock!L:L,"",0)="ATT","ATT",XLOOKUP($A7,Partner_BookInBlock!$A:$A,Partner_BookInBlock!L:L,"",0))))</f>
        <v>0.3333333333</v>
      </c>
      <c r="M7" s="66">
        <f t="array" ref="M7">IF(XLOOKUP($A7,Partner_BookInBlock!$A:$A,Partner_BookInBlock!M:M,"",0)="Free","Free",IF(XLOOKUP($A7,Partner_BookInBlock!$A:$A,Partner_BookInBlock!M:M,"",0)="VL","VL",IF(XLOOKUP($A7,Partner_BookInBlock!$A:$A,Partner_BookInBlock!M:M,"",0)="ATT","ATT",XLOOKUP($A7,Partner_BookInBlock!$A:$A,Partner_BookInBlock!M:M,"",0))))</f>
        <v>0.3333333333</v>
      </c>
      <c r="N7" s="66">
        <f t="array" ref="N7">IF(XLOOKUP($A7,Partner_BookInBlock!$A:$A,Partner_BookInBlock!N:N,"",0)="Free","Free",IF(XLOOKUP($A7,Partner_BookInBlock!$A:$A,Partner_BookInBlock!N:N,"",0)="VL","VL",IF(XLOOKUP($A7,Partner_BookInBlock!$A:$A,Partner_BookInBlock!N:N,"",0)="ATT","ATT",XLOOKUP($A7,Partner_BookInBlock!$A:$A,Partner_BookInBlock!N:N,"",0))))</f>
        <v>0.3333333333</v>
      </c>
      <c r="O7" s="66">
        <f t="array" ref="O7">IF(XLOOKUP($A7,Partner_BookInBlock!$A:$A,Partner_BookInBlock!O:O,"",0)="Free","Free",IF(XLOOKUP($A7,Partner_BookInBlock!$A:$A,Partner_BookInBlock!O:O,"",0)="VL","VL",IF(XLOOKUP($A7,Partner_BookInBlock!$A:$A,Partner_BookInBlock!O:O,"",0)="ATT","ATT",XLOOKUP($A7,Partner_BookInBlock!$A:$A,Partner_BookInBlock!O:O,"",0))))</f>
        <v>0.3333333333</v>
      </c>
      <c r="P7" s="66">
        <f t="array" ref="P7">IF(XLOOKUP($A7,Partner_BookInBlock!$A:$A,Partner_BookInBlock!P:P,"",0)="Free","Free",IF(XLOOKUP($A7,Partner_BookInBlock!$A:$A,Partner_BookInBlock!P:P,"",0)="VL","VL",IF(XLOOKUP($A7,Partner_BookInBlock!$A:$A,Partner_BookInBlock!P:P,"",0)="ATT","ATT",XLOOKUP($A7,Partner_BookInBlock!$A:$A,Partner_BookInBlock!P:P,"",0))))</f>
        <v>0.3333333333</v>
      </c>
      <c r="Q7" s="66" t="str">
        <f t="array" ref="Q7">IF(XLOOKUP($A7,Partner_BookInBlock!$A:$A,Partner_BookInBlock!Q:Q,"",0)="Free","Free",IF(XLOOKUP($A7,Partner_BookInBlock!$A:$A,Partner_BookInBlock!Q:Q,"",0)="VL","VL",IF(XLOOKUP($A7,Partner_BookInBlock!$A:$A,Partner_BookInBlock!Q:Q,"",0)="ATT","ATT",XLOOKUP($A7,Partner_BookInBlock!$A:$A,Partner_BookInBlock!Q:Q,"",0))))</f>
        <v>Free</v>
      </c>
      <c r="R7" s="43"/>
      <c r="S7" s="66">
        <f t="array" ref="S7">IF(XLOOKUP($A7,Partner_BookInBlock!$A:$A,Partner_BookInBlock!S:S,"",0)="Free","Free",IF(XLOOKUP($A7,Partner_BookInBlock!$A:$A,Partner_BookInBlock!S:S,"",0)="VL","VL",IF(XLOOKUP($A7,Partner_BookInBlock!$A:$A,Partner_BookInBlock!S:S,"",0)="ATT","ATT",XLOOKUP($A7,Partner_BookInBlock!$A:$A,Partner_BookInBlock!S:S,"",0))))</f>
        <v>0.3333333333</v>
      </c>
      <c r="T7" s="66">
        <f t="array" ref="T7">IF(XLOOKUP($A7,Partner_BookInBlock!$A:$A,Partner_BookInBlock!T:T,"",0)="Free","Free",IF(XLOOKUP($A7,Partner_BookInBlock!$A:$A,Partner_BookInBlock!T:T,"",0)="VL","VL",IF(XLOOKUP($A7,Partner_BookInBlock!$A:$A,Partner_BookInBlock!T:T,"",0)="ATT","ATT",XLOOKUP($A7,Partner_BookInBlock!$A:$A,Partner_BookInBlock!T:T,"",0))))</f>
        <v>0.3333333333</v>
      </c>
      <c r="U7" s="66">
        <f t="array" ref="U7">IF(XLOOKUP($A7,Partner_BookInBlock!$A:$A,Partner_BookInBlock!U:U,"",0)="Free","Free",IF(XLOOKUP($A7,Partner_BookInBlock!$A:$A,Partner_BookInBlock!U:U,"",0)="VL","VL",IF(XLOOKUP($A7,Partner_BookInBlock!$A:$A,Partner_BookInBlock!U:U,"",0)="ATT","ATT",XLOOKUP($A7,Partner_BookInBlock!$A:$A,Partner_BookInBlock!U:U,"",0))))</f>
        <v>0.3333333333</v>
      </c>
      <c r="V7" s="66">
        <f t="array" ref="V7">IF(XLOOKUP($A7,Partner_BookInBlock!$A:$A,Partner_BookInBlock!V:V,"",0)="Free","Free",IF(XLOOKUP($A7,Partner_BookInBlock!$A:$A,Partner_BookInBlock!V:V,"",0)="VL","VL",IF(XLOOKUP($A7,Partner_BookInBlock!$A:$A,Partner_BookInBlock!V:V,"",0)="ATT","ATT",XLOOKUP($A7,Partner_BookInBlock!$A:$A,Partner_BookInBlock!V:V,"",0))))</f>
        <v>0.3333333333</v>
      </c>
      <c r="W7" s="66">
        <f t="array" ref="W7">IF(XLOOKUP($A7,Partner_BookInBlock!$A:$A,Partner_BookInBlock!W:W,"",0)="Free","Free",IF(XLOOKUP($A7,Partner_BookInBlock!$A:$A,Partner_BookInBlock!W:W,"",0)="VL","VL",IF(XLOOKUP($A7,Partner_BookInBlock!$A:$A,Partner_BookInBlock!W:W,"",0)="ATT","ATT",XLOOKUP($A7,Partner_BookInBlock!$A:$A,Partner_BookInBlock!W:W,"",0))))</f>
        <v>0.3333333333</v>
      </c>
      <c r="X7" s="66" t="str">
        <f t="array" ref="X7">IF(XLOOKUP($A7,Partner_BookInBlock!$A:$A,Partner_BookInBlock!X:X,"",0)="Free","Free",IF(XLOOKUP($A7,Partner_BookInBlock!$A:$A,Partner_BookInBlock!X:X,"",0)="VL","VL",IF(XLOOKUP($A7,Partner_BookInBlock!$A:$A,Partner_BookInBlock!X:X,"",0)="ATT","ATT",XLOOKUP($A7,Partner_BookInBlock!$A:$A,Partner_BookInBlock!X:X,"",0))))</f>
        <v>Free</v>
      </c>
      <c r="Y7" s="43"/>
      <c r="Z7" s="66">
        <f t="array" ref="Z7">IF(XLOOKUP($A7,Partner_BookInBlock!$A:$A,Partner_BookInBlock!Z:Z,"",0)="Free","Free",IF(XLOOKUP($A7,Partner_BookInBlock!$A:$A,Partner_BookInBlock!Z:Z,"",0)="VL","VL",IF(XLOOKUP($A7,Partner_BookInBlock!$A:$A,Partner_BookInBlock!Z:Z,"",0)="ATT","ATT",XLOOKUP($A7,Partner_BookInBlock!$A:$A,Partner_BookInBlock!Z:Z,"",0))))</f>
        <v>0.3333333333</v>
      </c>
      <c r="AA7" s="66">
        <f t="array" ref="AA7">IF(XLOOKUP($A7,Partner_BookInBlock!$A:$A,Partner_BookInBlock!AA:AA,"",0)="Free","Free",IF(XLOOKUP($A7,Partner_BookInBlock!$A:$A,Partner_BookInBlock!AA:AA,"",0)="VL","VL",IF(XLOOKUP($A7,Partner_BookInBlock!$A:$A,Partner_BookInBlock!AA:AA,"",0)="ATT","ATT",XLOOKUP($A7,Partner_BookInBlock!$A:$A,Partner_BookInBlock!AA:AA,"",0))))</f>
        <v>0.3333333333</v>
      </c>
      <c r="AB7" s="66">
        <f t="array" ref="AB7">IF(XLOOKUP($A7,Partner_BookInBlock!$A:$A,Partner_BookInBlock!AB:AB,"",0)="Free","Free",IF(XLOOKUP($A7,Partner_BookInBlock!$A:$A,Partner_BookInBlock!AB:AB,"",0)="VL","VL",IF(XLOOKUP($A7,Partner_BookInBlock!$A:$A,Partner_BookInBlock!AB:AB,"",0)="ATT","ATT",XLOOKUP($A7,Partner_BookInBlock!$A:$A,Partner_BookInBlock!AB:AB,"",0))))</f>
        <v>0.3333333333</v>
      </c>
      <c r="AC7" s="66">
        <f t="array" ref="AC7">IF(XLOOKUP($A7,Partner_BookInBlock!$A:$A,Partner_BookInBlock!AC:AC,"",0)="Free","Free",IF(XLOOKUP($A7,Partner_BookInBlock!$A:$A,Partner_BookInBlock!AC:AC,"",0)="VL","VL",IF(XLOOKUP($A7,Partner_BookInBlock!$A:$A,Partner_BookInBlock!AC:AC,"",0)="ATT","ATT",XLOOKUP($A7,Partner_BookInBlock!$A:$A,Partner_BookInBlock!AC:AC,"",0))))</f>
        <v>0.3333333333</v>
      </c>
      <c r="AD7" s="66">
        <f t="array" ref="AD7">IF(XLOOKUP($A7,Partner_BookInBlock!$A:$A,Partner_BookInBlock!AD:AD,"",0)="Free","Free",IF(XLOOKUP($A7,Partner_BookInBlock!$A:$A,Partner_BookInBlock!AD:AD,"",0)="VL","VL",IF(XLOOKUP($A7,Partner_BookInBlock!$A:$A,Partner_BookInBlock!AD:AD,"",0)="ATT","ATT",XLOOKUP($A7,Partner_BookInBlock!$A:$A,Partner_BookInBlock!AD:AD,"",0))))</f>
        <v>0.3333333333</v>
      </c>
      <c r="AE7" s="66" t="str">
        <f t="array" ref="AE7">IF(XLOOKUP($A7,Partner_BookInBlock!$A:$A,Partner_BookInBlock!AE:AE,"",0)="Free","Free",IF(XLOOKUP($A7,Partner_BookInBlock!$A:$A,Partner_BookInBlock!AE:AE,"",0)="VL","VL",IF(XLOOKUP($A7,Partner_BookInBlock!$A:$A,Partner_BookInBlock!AE:AE,"",0)="ATT","ATT",XLOOKUP($A7,Partner_BookInBlock!$A:$A,Partner_BookInBlock!AE:AE,"",0))))</f>
        <v>Free</v>
      </c>
      <c r="AF7" s="69"/>
      <c r="AG7" s="66">
        <f t="array" ref="AG7">IF(XLOOKUP($A7,Partner_BookInBlock!$A:$A,Partner_BookInBlock!AG:AG,"",0)="Free","Free",IF(XLOOKUP($A7,Partner_BookInBlock!$A:$A,Partner_BookInBlock!AG:AG,"",0)="VL","VL",IF(XLOOKUP($A7,Partner_BookInBlock!$A:$A,Partner_BookInBlock!AG:AG,"",0)="ATT","ATT",XLOOKUP($A7,Partner_BookInBlock!$A:$A,Partner_BookInBlock!AG:AG,"",0))))</f>
        <v>0.3333333333</v>
      </c>
      <c r="AH7" s="66">
        <f t="array" ref="AH7">IF(XLOOKUP($A7,Partner_BookInBlock!$A:$A,Partner_BookInBlock!AH:AH,"",0)="Free","Free",IF(XLOOKUP($A7,Partner_BookInBlock!$A:$A,Partner_BookInBlock!AH:AH,"",0)="VL","VL",IF(XLOOKUP($A7,Partner_BookInBlock!$A:$A,Partner_BookInBlock!AH:AH,"",0)="ATT","ATT",XLOOKUP($A7,Partner_BookInBlock!$A:$A,Partner_BookInBlock!AH:AH,"",0))))</f>
        <v>0.3333333333</v>
      </c>
      <c r="AI7" s="66">
        <f t="array" ref="AI7">IF(XLOOKUP($A7,Partner_BookInBlock!$A:$A,Partner_BookInBlock!AI:AI,"",0)="Free","Free",IF(XLOOKUP($A7,Partner_BookInBlock!$A:$A,Partner_BookInBlock!AI:AI,"",0)="VL","VL",IF(XLOOKUP($A7,Partner_BookInBlock!$A:$A,Partner_BookInBlock!AI:AI,"",0)="ATT","ATT",XLOOKUP($A7,Partner_BookInBlock!$A:$A,Partner_BookInBlock!AI:AI,"",0))))</f>
        <v>0.3333333333</v>
      </c>
      <c r="AJ7" s="66">
        <f t="array" ref="AJ7">IF(XLOOKUP($A7,Partner_BookInBlock!$A:$A,Partner_BookInBlock!AJ:AJ,"",0)="Free","Free",IF(XLOOKUP($A7,Partner_BookInBlock!$A:$A,Partner_BookInBlock!AJ:AJ,"",0)="VL","VL",IF(XLOOKUP($A7,Partner_BookInBlock!$A:$A,Partner_BookInBlock!AJ:AJ,"",0)="ATT","ATT",XLOOKUP($A7,Partner_BookInBlock!$A:$A,Partner_BookInBlock!AJ:AJ,"",0))))</f>
        <v>0.3333333333</v>
      </c>
      <c r="AK7" s="66">
        <f t="array" ref="AK7">IF(XLOOKUP($A7,Partner_BookInBlock!$A:$A,Partner_BookInBlock!AK:AK,"",0)="Free","Free",IF(XLOOKUP($A7,Partner_BookInBlock!$A:$A,Partner_BookInBlock!AK:AK,"",0)="VL","VL",IF(XLOOKUP($A7,Partner_BookInBlock!$A:$A,Partner_BookInBlock!AK:AK,"",0)="ATT","ATT",XLOOKUP($A7,Partner_BookInBlock!$A:$A,Partner_BookInBlock!AK:AK,"",0))))</f>
        <v>0.3333333333</v>
      </c>
      <c r="AL7" s="66" t="str">
        <f t="array" ref="AL7">IF(XLOOKUP($A7,Partner_BookInBlock!$A:$A,Partner_BookInBlock!AL:AL,"",0)="Free","Free",IF(XLOOKUP($A7,Partner_BookInBlock!$A:$A,Partner_BookInBlock!AL:AL,"",0)="VL","VL",IF(XLOOKUP($A7,Partner_BookInBlock!$A:$A,Partner_BookInBlock!AL:AL,"",0)="ATT","ATT",XLOOKUP($A7,Partner_BookInBlock!$A:$A,Partner_BookInBlock!AL:AL,"",0))))</f>
        <v>Free</v>
      </c>
      <c r="AM7" s="42"/>
    </row>
    <row r="8">
      <c r="A8" s="47" t="s">
        <v>24</v>
      </c>
      <c r="B8" s="35" t="str">
        <f t="array" ref="B8">XLOOKUP(A8,Roster!F:F,Roster!A:A,"")</f>
        <v>Andra Daza</v>
      </c>
      <c r="C8" s="35" t="str">
        <f t="array" ref="C8">XLOOKUP(A8,Roster!F:F,Roster!B:B,"")</f>
        <v>Cristian Gomez</v>
      </c>
      <c r="D8" s="70"/>
      <c r="E8" s="42">
        <f t="array" ref="E8">IF(XLOOKUP($A8,Partner_Voice!$A:$A,Partner_Voice!E:E,"",0)="Free","Free",IF(XLOOKUP($A8,Partner_Voice!$A:$A,Partner_Voice!E:E,"",0)="VL","VL",IF(XLOOKUP($A8,Partner_Voice!$A:$A,Partner_Voice!E:E,"",0)="ATT","ATT",XLOOKUP($A8,Partner_Voice!$A:$A,Partner_Voice!E:E,"",0))))</f>
        <v>0.3333333333</v>
      </c>
      <c r="F8" s="42">
        <f t="array" ref="F8">IF(XLOOKUP($A8,Partner_Voice!$A:$A,Partner_Voice!F:F,"",0)="Free","Free",IF(XLOOKUP($A8,Partner_Voice!$A:$A,Partner_Voice!F:F,"",0)="VL","VL",IF(XLOOKUP($A8,Partner_Voice!$A:$A,Partner_Voice!F:F,"",0)="ATT","ATT",XLOOKUP($A8,Partner_Voice!$A:$A,Partner_Voice!F:F,"",0))))</f>
        <v>0.3333333333</v>
      </c>
      <c r="G8" s="42" t="str">
        <f t="array" ref="G8">IF(XLOOKUP($A8,Partner_Voice!$A:$A,Partner_Voice!G:G,"",0)="Free","Free",IF(XLOOKUP($A8,Partner_Voice!$A:$A,Partner_Voice!G:G,"",0)="VL","VL",IF(XLOOKUP($A8,Partner_Voice!$A:$A,Partner_Voice!G:G,"",0)="ATT","ATT",XLOOKUP($A8,Partner_Voice!$A:$A,Partner_Voice!G:G,"",0))))</f>
        <v>Free</v>
      </c>
      <c r="H8" s="42">
        <f t="array" ref="H8">IF(XLOOKUP($A8,Partner_Voice!$A:$A,Partner_Voice!H:H,"",0)="Free","Free",IF(XLOOKUP($A8,Partner_Voice!$A:$A,Partner_Voice!H:H,"",0)="VL","VL",IF(XLOOKUP($A8,Partner_Voice!$A:$A,Partner_Voice!H:H,"",0)="ATT","ATT",XLOOKUP($A8,Partner_Voice!$A:$A,Partner_Voice!H:H,"",0))))</f>
        <v>0.3333333333</v>
      </c>
      <c r="I8" s="42">
        <f t="array" ref="I8">IF(XLOOKUP($A8,Partner_Voice!$A:$A,Partner_Voice!I:I,"",0)="Free","Free",IF(XLOOKUP($A8,Partner_Voice!$A:$A,Partner_Voice!I:I,"",0)="VL","VL",IF(XLOOKUP($A8,Partner_Voice!$A:$A,Partner_Voice!I:I,"",0)="ATT","ATT",XLOOKUP($A8,Partner_Voice!$A:$A,Partner_Voice!I:I,"",0))))</f>
        <v>0.3333333333</v>
      </c>
      <c r="J8" s="42">
        <f t="array" ref="J8">IF(XLOOKUP($A8,Partner_Voice!$A:$A,Partner_Voice!J:J,"",0)="Free","Free",IF(XLOOKUP($A8,Partner_Voice!$A:$A,Partner_Voice!J:J,"",0)="VL","VL",IF(XLOOKUP($A8,Partner_Voice!$A:$A,Partner_Voice!J:J,"",0)="ATT","ATT",XLOOKUP($A8,Partner_Voice!$A:$A,Partner_Voice!J:J,"",0))))</f>
        <v>0.3333333333</v>
      </c>
      <c r="K8" s="42"/>
      <c r="L8" s="42">
        <f t="array" ref="L8">IF(XLOOKUP($A8,Partner_Voice!$A:$A,Partner_Voice!L:L,"",0)="Free","Free",IF(XLOOKUP($A8,Partner_Voice!$A:$A,Partner_Voice!L:L,"",0)="VL","VL",IF(XLOOKUP($A8,Partner_Voice!$A:$A,Partner_Voice!L:L,"",0)="ATT","ATT",XLOOKUP($A8,Partner_Voice!$A:$A,Partner_Voice!L:L,"",0))))</f>
        <v>0.3333333333</v>
      </c>
      <c r="M8" s="42">
        <f t="array" ref="M8">IF(XLOOKUP($A8,Partner_Voice!$A:$A,Partner_Voice!M:M,"",0)="Free","Free",IF(XLOOKUP($A8,Partner_Voice!$A:$A,Partner_Voice!M:M,"",0)="VL","VL",IF(XLOOKUP($A8,Partner_Voice!$A:$A,Partner_Voice!M:M,"",0)="ATT","ATT",XLOOKUP($A8,Partner_Voice!$A:$A,Partner_Voice!M:M,"",0))))</f>
        <v>0.3333333333</v>
      </c>
      <c r="N8" s="42" t="str">
        <f t="array" ref="N8">IF(XLOOKUP($A8,Partner_Voice!$A:$A,Partner_Voice!N:N,"",0)="Free","Free",IF(XLOOKUP($A8,Partner_Voice!$A:$A,Partner_Voice!N:N,"",0)="VL","VL",IF(XLOOKUP($A8,Partner_Voice!$A:$A,Partner_Voice!N:N,"",0)="ATT","ATT",XLOOKUP($A8,Partner_Voice!$A:$A,Partner_Voice!N:N,"",0))))</f>
        <v>Free</v>
      </c>
      <c r="O8" s="42">
        <f t="array" ref="O8">IF(XLOOKUP($A8,Partner_Voice!$A:$A,Partner_Voice!O:O,"",0)="Free","Free",IF(XLOOKUP($A8,Partner_Voice!$A:$A,Partner_Voice!O:O,"",0)="VL","VL",IF(XLOOKUP($A8,Partner_Voice!$A:$A,Partner_Voice!O:O,"",0)="ATT","ATT",XLOOKUP($A8,Partner_Voice!$A:$A,Partner_Voice!O:O,"",0))))</f>
        <v>0.3333333333</v>
      </c>
      <c r="P8" s="42">
        <f t="array" ref="P8">IF(XLOOKUP($A8,Partner_Voice!$A:$A,Partner_Voice!P:P,"",0)="Free","Free",IF(XLOOKUP($A8,Partner_Voice!$A:$A,Partner_Voice!P:P,"",0)="VL","VL",IF(XLOOKUP($A8,Partner_Voice!$A:$A,Partner_Voice!P:P,"",0)="ATT","ATT",XLOOKUP($A8,Partner_Voice!$A:$A,Partner_Voice!P:P,"",0))))</f>
        <v>0.3333333333</v>
      </c>
      <c r="Q8" s="42">
        <f t="array" ref="Q8">IF(XLOOKUP($A8,Partner_Voice!$A:$A,Partner_Voice!Q:Q,"",0)="Free","Free",IF(XLOOKUP($A8,Partner_Voice!$A:$A,Partner_Voice!Q:Q,"",0)="VL","VL",IF(XLOOKUP($A8,Partner_Voice!$A:$A,Partner_Voice!Q:Q,"",0)="ATT","ATT",XLOOKUP($A8,Partner_Voice!$A:$A,Partner_Voice!Q:Q,"",0))))</f>
        <v>0.3333333333</v>
      </c>
      <c r="R8" s="43"/>
      <c r="S8" s="42">
        <f t="array" ref="S8">IF(XLOOKUP($A8,Partner_Voice!$A:$A,Partner_Voice!S:S,"",0)="Free","Free",IF(XLOOKUP($A8,Partner_Voice!$A:$A,Partner_Voice!S:S,"",0)="VL","VL",IF(XLOOKUP($A8,Partner_Voice!$A:$A,Partner_Voice!S:S,"",0)="ATT","ATT",XLOOKUP($A8,Partner_Voice!$A:$A,Partner_Voice!S:S,"",0))))</f>
        <v>0.3333333333</v>
      </c>
      <c r="T8" s="42">
        <f t="array" ref="T8">IF(XLOOKUP($A8,Partner_Voice!$A:$A,Partner_Voice!T:T,"",0)="Free","Free",IF(XLOOKUP($A8,Partner_Voice!$A:$A,Partner_Voice!T:T,"",0)="VL","VL",IF(XLOOKUP($A8,Partner_Voice!$A:$A,Partner_Voice!T:T,"",0)="ATT","ATT",XLOOKUP($A8,Partner_Voice!$A:$A,Partner_Voice!T:T,"",0))))</f>
        <v>0.3333333333</v>
      </c>
      <c r="U8" s="42" t="str">
        <f t="array" ref="U8">IF(XLOOKUP($A8,Partner_Voice!$A:$A,Partner_Voice!U:U,"",0)="Free","Free",IF(XLOOKUP($A8,Partner_Voice!$A:$A,Partner_Voice!U:U,"",0)="VL","VL",IF(XLOOKUP($A8,Partner_Voice!$A:$A,Partner_Voice!U:U,"",0)="ATT","ATT",XLOOKUP($A8,Partner_Voice!$A:$A,Partner_Voice!U:U,"",0))))</f>
        <v>Free</v>
      </c>
      <c r="V8" s="42">
        <f t="array" ref="V8">IF(XLOOKUP($A8,Partner_Voice!$A:$A,Partner_Voice!V:V,"",0)="Free","Free",IF(XLOOKUP($A8,Partner_Voice!$A:$A,Partner_Voice!V:V,"",0)="VL","VL",IF(XLOOKUP($A8,Partner_Voice!$A:$A,Partner_Voice!V:V,"",0)="ATT","ATT",XLOOKUP($A8,Partner_Voice!$A:$A,Partner_Voice!V:V,"",0))))</f>
        <v>0.3333333333</v>
      </c>
      <c r="W8" s="42">
        <f t="array" ref="W8">IF(XLOOKUP($A8,Partner_Voice!$A:$A,Partner_Voice!W:W,"",0)="Free","Free",IF(XLOOKUP($A8,Partner_Voice!$A:$A,Partner_Voice!W:W,"",0)="VL","VL",IF(XLOOKUP($A8,Partner_Voice!$A:$A,Partner_Voice!W:W,"",0)="ATT","ATT",XLOOKUP($A8,Partner_Voice!$A:$A,Partner_Voice!W:W,"",0))))</f>
        <v>0.3333333333</v>
      </c>
      <c r="X8" s="42">
        <f t="array" ref="X8">IF(XLOOKUP($A8,Partner_Voice!$A:$A,Partner_Voice!X:X,"",0)="Free","Free",IF(XLOOKUP($A8,Partner_Voice!$A:$A,Partner_Voice!X:X,"",0)="VL","VL",IF(XLOOKUP($A8,Partner_Voice!$A:$A,Partner_Voice!X:X,"",0)="ATT","ATT",XLOOKUP($A8,Partner_Voice!$A:$A,Partner_Voice!X:X,"",0))))</f>
        <v>0.3333333333</v>
      </c>
      <c r="Y8" s="43"/>
      <c r="Z8" s="42">
        <f t="array" ref="Z8">IF(XLOOKUP($A8,Partner_Voice!$A:$A,Partner_Voice!Z:Z,"",0)="Free","Free",IF(XLOOKUP($A8,Partner_Voice!$A:$A,Partner_Voice!Z:Z,"",0)="VL","VL",IF(XLOOKUP($A8,Partner_Voice!$A:$A,Partner_Voice!Z:Z,"",0)="ATT","ATT",XLOOKUP($A8,Partner_Voice!$A:$A,Partner_Voice!Z:Z,"",0))))</f>
        <v>0.3333333333</v>
      </c>
      <c r="AA8" s="42">
        <f t="array" ref="AA8">IF(XLOOKUP($A8,Partner_Voice!$A:$A,Partner_Voice!AA:AA,"",0)="Free","Free",IF(XLOOKUP($A8,Partner_Voice!$A:$A,Partner_Voice!AA:AA,"",0)="VL","VL",IF(XLOOKUP($A8,Partner_Voice!$A:$A,Partner_Voice!AA:AA,"",0)="ATT","ATT",XLOOKUP($A8,Partner_Voice!$A:$A,Partner_Voice!AA:AA,"",0))))</f>
        <v>0.3333333333</v>
      </c>
      <c r="AB8" s="42" t="str">
        <f t="array" ref="AB8">IF(XLOOKUP($A8,Partner_Voice!$A:$A,Partner_Voice!AB:AB,"",0)="Free","Free",IF(XLOOKUP($A8,Partner_Voice!$A:$A,Partner_Voice!AB:AB,"",0)="VL","VL",IF(XLOOKUP($A8,Partner_Voice!$A:$A,Partner_Voice!AB:AB,"",0)="ATT","ATT",XLOOKUP($A8,Partner_Voice!$A:$A,Partner_Voice!AB:AB,"",0))))</f>
        <v>Free</v>
      </c>
      <c r="AC8" s="42">
        <f t="array" ref="AC8">IF(XLOOKUP($A8,Partner_Voice!$A:$A,Partner_Voice!AC:AC,"",0)="Free","Free",IF(XLOOKUP($A8,Partner_Voice!$A:$A,Partner_Voice!AC:AC,"",0)="VL","VL",IF(XLOOKUP($A8,Partner_Voice!$A:$A,Partner_Voice!AC:AC,"",0)="ATT","ATT",XLOOKUP($A8,Partner_Voice!$A:$A,Partner_Voice!AC:AC,"",0))))</f>
        <v>0.3333333333</v>
      </c>
      <c r="AD8" s="42">
        <f t="array" ref="AD8">IF(XLOOKUP($A8,Partner_Voice!$A:$A,Partner_Voice!AD:AD,"",0)="Free","Free",IF(XLOOKUP($A8,Partner_Voice!$A:$A,Partner_Voice!AD:AD,"",0)="VL","VL",IF(XLOOKUP($A8,Partner_Voice!$A:$A,Partner_Voice!AD:AD,"",0)="ATT","ATT",XLOOKUP($A8,Partner_Voice!$A:$A,Partner_Voice!AD:AD,"",0))))</f>
        <v>0.3333333333</v>
      </c>
      <c r="AE8" s="42">
        <f t="array" ref="AE8">IF(XLOOKUP($A8,Partner_Voice!$A:$A,Partner_Voice!AE:AE,"",0)="Free","Free",IF(XLOOKUP($A8,Partner_Voice!$A:$A,Partner_Voice!AE:AE,"",0)="VL","VL",IF(XLOOKUP($A8,Partner_Voice!$A:$A,Partner_Voice!AE:AE,"",0)="ATT","ATT",XLOOKUP($A8,Partner_Voice!$A:$A,Partner_Voice!AE:AE,"",0))))</f>
        <v>0.3333333333</v>
      </c>
      <c r="AF8" s="69"/>
      <c r="AG8" s="42">
        <f t="array" ref="AG8">IF(XLOOKUP($A8,Partner_Voice!$A:$A,Partner_Voice!AG:AG,"",0)="Free","Free",IF(XLOOKUP($A8,Partner_Voice!$A:$A,Partner_Voice!AG:AG,"",0)="VL","VL",IF(XLOOKUP($A8,Partner_Voice!$A:$A,Partner_Voice!AG:AG,"",0)="ATT","ATT",XLOOKUP($A8,Partner_Voice!$A:$A,Partner_Voice!AG:AG,"",0))))</f>
        <v>0.3333333333</v>
      </c>
      <c r="AH8" s="42">
        <f t="array" ref="AH8">IF(XLOOKUP($A8,Partner_Voice!$A:$A,Partner_Voice!AH:AH,"",0)="Free","Free",IF(XLOOKUP($A8,Partner_Voice!$A:$A,Partner_Voice!AH:AH,"",0)="VL","VL",IF(XLOOKUP($A8,Partner_Voice!$A:$A,Partner_Voice!AH:AH,"",0)="ATT","ATT",XLOOKUP($A8,Partner_Voice!$A:$A,Partner_Voice!AH:AH,"",0))))</f>
        <v>0.3333333333</v>
      </c>
      <c r="AI8" s="42" t="str">
        <f t="array" ref="AI8">IF(XLOOKUP($A8,Partner_Voice!$A:$A,Partner_Voice!AI:AI,"",0)="Free","Free",IF(XLOOKUP($A8,Partner_Voice!$A:$A,Partner_Voice!AI:AI,"",0)="VL","VL",IF(XLOOKUP($A8,Partner_Voice!$A:$A,Partner_Voice!AI:AI,"",0)="ATT","ATT",XLOOKUP($A8,Partner_Voice!$A:$A,Partner_Voice!AI:AI,"",0))))</f>
        <v>Free</v>
      </c>
      <c r="AJ8" s="42">
        <f t="array" ref="AJ8">IF(XLOOKUP($A8,Partner_Voice!$A:$A,Partner_Voice!AJ:AJ,"",0)="Free","Free",IF(XLOOKUP($A8,Partner_Voice!$A:$A,Partner_Voice!AJ:AJ,"",0)="VL","VL",IF(XLOOKUP($A8,Partner_Voice!$A:$A,Partner_Voice!AJ:AJ,"",0)="ATT","ATT",XLOOKUP($A8,Partner_Voice!$A:$A,Partner_Voice!AJ:AJ,"",0))))</f>
        <v>0.3333333333</v>
      </c>
      <c r="AK8" s="42">
        <f t="array" ref="AK8">IF(XLOOKUP($A8,Partner_Voice!$A:$A,Partner_Voice!AK:AK,"",0)="Free","Free",IF(XLOOKUP($A8,Partner_Voice!$A:$A,Partner_Voice!AK:AK,"",0)="VL","VL",IF(XLOOKUP($A8,Partner_Voice!$A:$A,Partner_Voice!AK:AK,"",0)="ATT","ATT",XLOOKUP($A8,Partner_Voice!$A:$A,Partner_Voice!AK:AK,"",0))))</f>
        <v>0.3333333333</v>
      </c>
      <c r="AL8" s="42">
        <f t="array" ref="AL8">IF(XLOOKUP($A8,Partner_Voice!$A:$A,Partner_Voice!AL:AL,"",0)="Free","Free",IF(XLOOKUP($A8,Partner_Voice!$A:$A,Partner_Voice!AL:AL,"",0)="VL","VL",IF(XLOOKUP($A8,Partner_Voice!$A:$A,Partner_Voice!AL:AL,"",0)="ATT","ATT",XLOOKUP($A8,Partner_Voice!$A:$A,Partner_Voice!AL:AL,"",0))))</f>
        <v>0.3333333333</v>
      </c>
      <c r="AM8" s="42"/>
    </row>
    <row r="9">
      <c r="A9" s="47" t="s">
        <v>39</v>
      </c>
      <c r="B9" s="35" t="str">
        <f t="array" ref="B9">XLOOKUP(A9,Roster!F:F,Roster!A:A,"")</f>
        <v>Andra Daza</v>
      </c>
      <c r="C9" s="35" t="str">
        <f t="array" ref="C9">XLOOKUP(A9,Roster!F:F,Roster!B:B,"")</f>
        <v>John Atilano</v>
      </c>
      <c r="D9" s="70"/>
      <c r="E9" s="42">
        <f t="array" ref="E9">IF(XLOOKUP($A9,Partner_Voice!$A:$A,Partner_Voice!E:E,"",0)="Free","Free",IF(XLOOKUP($A9,Partner_Voice!$A:$A,Partner_Voice!E:E,"",0)="VL","VL",IF(XLOOKUP($A9,Partner_Voice!$A:$A,Partner_Voice!E:E,"",0)="ATT","ATT",XLOOKUP($A9,Partner_Voice!$A:$A,Partner_Voice!E:E,"",0))))</f>
        <v>0.3333333333</v>
      </c>
      <c r="F9" s="42">
        <f t="array" ref="F9">IF(XLOOKUP($A9,Partner_Voice!$A:$A,Partner_Voice!F:F,"",0)="Free","Free",IF(XLOOKUP($A9,Partner_Voice!$A:$A,Partner_Voice!F:F,"",0)="VL","VL",IF(XLOOKUP($A9,Partner_Voice!$A:$A,Partner_Voice!F:F,"",0)="ATT","ATT",XLOOKUP($A9,Partner_Voice!$A:$A,Partner_Voice!F:F,"",0))))</f>
        <v>0.3333333333</v>
      </c>
      <c r="G9" s="42">
        <f t="array" ref="G9">IF(XLOOKUP($A9,Partner_Voice!$A:$A,Partner_Voice!G:G,"",0)="Free","Free",IF(XLOOKUP($A9,Partner_Voice!$A:$A,Partner_Voice!G:G,"",0)="VL","VL",IF(XLOOKUP($A9,Partner_Voice!$A:$A,Partner_Voice!G:G,"",0)="ATT","ATT",XLOOKUP($A9,Partner_Voice!$A:$A,Partner_Voice!G:G,"",0))))</f>
        <v>0.3333333333</v>
      </c>
      <c r="H9" s="42">
        <f t="array" ref="H9">IF(XLOOKUP($A9,Partner_Voice!$A:$A,Partner_Voice!H:H,"",0)="Free","Free",IF(XLOOKUP($A9,Partner_Voice!$A:$A,Partner_Voice!H:H,"",0)="VL","VL",IF(XLOOKUP($A9,Partner_Voice!$A:$A,Partner_Voice!H:H,"",0)="ATT","ATT",XLOOKUP($A9,Partner_Voice!$A:$A,Partner_Voice!H:H,"",0))))</f>
        <v>0.3333333333</v>
      </c>
      <c r="I9" s="42" t="str">
        <f t="array" ref="I9">IF(XLOOKUP($A9,Partner_Voice!$A:$A,Partner_Voice!I:I,"",0)="Free","Free",IF(XLOOKUP($A9,Partner_Voice!$A:$A,Partner_Voice!I:I,"",0)="VL","VL",IF(XLOOKUP($A9,Partner_Voice!$A:$A,Partner_Voice!I:I,"",0)="ATT","ATT",XLOOKUP($A9,Partner_Voice!$A:$A,Partner_Voice!I:I,"",0))))</f>
        <v>Free</v>
      </c>
      <c r="J9" s="42">
        <f t="array" ref="J9">IF(XLOOKUP($A9,Partner_Voice!$A:$A,Partner_Voice!J:J,"",0)="Free","Free",IF(XLOOKUP($A9,Partner_Voice!$A:$A,Partner_Voice!J:J,"",0)="VL","VL",IF(XLOOKUP($A9,Partner_Voice!$A:$A,Partner_Voice!J:J,"",0)="ATT","ATT",XLOOKUP($A9,Partner_Voice!$A:$A,Partner_Voice!J:J,"",0))))</f>
        <v>0.3333333333</v>
      </c>
      <c r="K9" s="42"/>
      <c r="L9" s="42">
        <f t="array" ref="L9">IF(XLOOKUP($A9,Partner_Voice!$A:$A,Partner_Voice!L:L,"",0)="Free","Free",IF(XLOOKUP($A9,Partner_Voice!$A:$A,Partner_Voice!L:L,"",0)="VL","VL",IF(XLOOKUP($A9,Partner_Voice!$A:$A,Partner_Voice!L:L,"",0)="ATT","ATT",XLOOKUP($A9,Partner_Voice!$A:$A,Partner_Voice!L:L,"",0))))</f>
        <v>0.3333333333</v>
      </c>
      <c r="M9" s="42">
        <f t="array" ref="M9">IF(XLOOKUP($A9,Partner_Voice!$A:$A,Partner_Voice!M:M,"",0)="Free","Free",IF(XLOOKUP($A9,Partner_Voice!$A:$A,Partner_Voice!M:M,"",0)="VL","VL",IF(XLOOKUP($A9,Partner_Voice!$A:$A,Partner_Voice!M:M,"",0)="ATT","ATT",XLOOKUP($A9,Partner_Voice!$A:$A,Partner_Voice!M:M,"",0))))</f>
        <v>0.3333333333</v>
      </c>
      <c r="N9" s="42">
        <f t="array" ref="N9">IF(XLOOKUP($A9,Partner_Voice!$A:$A,Partner_Voice!N:N,"",0)="Free","Free",IF(XLOOKUP($A9,Partner_Voice!$A:$A,Partner_Voice!N:N,"",0)="VL","VL",IF(XLOOKUP($A9,Partner_Voice!$A:$A,Partner_Voice!N:N,"",0)="ATT","ATT",XLOOKUP($A9,Partner_Voice!$A:$A,Partner_Voice!N:N,"",0))))</f>
        <v>0.3333333333</v>
      </c>
      <c r="O9" s="42">
        <f t="array" ref="O9">IF(XLOOKUP($A9,Partner_Voice!$A:$A,Partner_Voice!O:O,"",0)="Free","Free",IF(XLOOKUP($A9,Partner_Voice!$A:$A,Partner_Voice!O:O,"",0)="VL","VL",IF(XLOOKUP($A9,Partner_Voice!$A:$A,Partner_Voice!O:O,"",0)="ATT","ATT",XLOOKUP($A9,Partner_Voice!$A:$A,Partner_Voice!O:O,"",0))))</f>
        <v>0.3333333333</v>
      </c>
      <c r="P9" s="42" t="str">
        <f t="array" ref="P9">IF(XLOOKUP($A9,Partner_Voice!$A:$A,Partner_Voice!P:P,"",0)="Free","Free",IF(XLOOKUP($A9,Partner_Voice!$A:$A,Partner_Voice!P:P,"",0)="VL","VL",IF(XLOOKUP($A9,Partner_Voice!$A:$A,Partner_Voice!P:P,"",0)="ATT","ATT",XLOOKUP($A9,Partner_Voice!$A:$A,Partner_Voice!P:P,"",0))))</f>
        <v>Free</v>
      </c>
      <c r="Q9" s="42">
        <f t="array" ref="Q9">IF(XLOOKUP($A9,Partner_Voice!$A:$A,Partner_Voice!Q:Q,"",0)="Free","Free",IF(XLOOKUP($A9,Partner_Voice!$A:$A,Partner_Voice!Q:Q,"",0)="VL","VL",IF(XLOOKUP($A9,Partner_Voice!$A:$A,Partner_Voice!Q:Q,"",0)="ATT","ATT",XLOOKUP($A9,Partner_Voice!$A:$A,Partner_Voice!Q:Q,"",0))))</f>
        <v>0.3333333333</v>
      </c>
      <c r="R9" s="43"/>
      <c r="S9" s="42">
        <f t="array" ref="S9">IF(XLOOKUP($A9,Partner_Voice!$A:$A,Partner_Voice!S:S,"",0)="Free","Free",IF(XLOOKUP($A9,Partner_Voice!$A:$A,Partner_Voice!S:S,"",0)="VL","VL",IF(XLOOKUP($A9,Partner_Voice!$A:$A,Partner_Voice!S:S,"",0)="ATT","ATT",XLOOKUP($A9,Partner_Voice!$A:$A,Partner_Voice!S:S,"",0))))</f>
        <v>0.3333333333</v>
      </c>
      <c r="T9" s="42">
        <f t="array" ref="T9">IF(XLOOKUP($A9,Partner_Voice!$A:$A,Partner_Voice!T:T,"",0)="Free","Free",IF(XLOOKUP($A9,Partner_Voice!$A:$A,Partner_Voice!T:T,"",0)="VL","VL",IF(XLOOKUP($A9,Partner_Voice!$A:$A,Partner_Voice!T:T,"",0)="ATT","ATT",XLOOKUP($A9,Partner_Voice!$A:$A,Partner_Voice!T:T,"",0))))</f>
        <v>0.3333333333</v>
      </c>
      <c r="U9" s="42">
        <f t="array" ref="U9">IF(XLOOKUP($A9,Partner_Voice!$A:$A,Partner_Voice!U:U,"",0)="Free","Free",IF(XLOOKUP($A9,Partner_Voice!$A:$A,Partner_Voice!U:U,"",0)="VL","VL",IF(XLOOKUP($A9,Partner_Voice!$A:$A,Partner_Voice!U:U,"",0)="ATT","ATT",XLOOKUP($A9,Partner_Voice!$A:$A,Partner_Voice!U:U,"",0))))</f>
        <v>0.3333333333</v>
      </c>
      <c r="V9" s="42">
        <f t="array" ref="V9">IF(XLOOKUP($A9,Partner_Voice!$A:$A,Partner_Voice!V:V,"",0)="Free","Free",IF(XLOOKUP($A9,Partner_Voice!$A:$A,Partner_Voice!V:V,"",0)="VL","VL",IF(XLOOKUP($A9,Partner_Voice!$A:$A,Partner_Voice!V:V,"",0)="ATT","ATT",XLOOKUP($A9,Partner_Voice!$A:$A,Partner_Voice!V:V,"",0))))</f>
        <v>0.3333333333</v>
      </c>
      <c r="W9" s="42" t="str">
        <f t="array" ref="W9">IF(XLOOKUP($A9,Partner_Voice!$A:$A,Partner_Voice!W:W,"",0)="Free","Free",IF(XLOOKUP($A9,Partner_Voice!$A:$A,Partner_Voice!W:W,"",0)="VL","VL",IF(XLOOKUP($A9,Partner_Voice!$A:$A,Partner_Voice!W:W,"",0)="ATT","ATT",XLOOKUP($A9,Partner_Voice!$A:$A,Partner_Voice!W:W,"",0))))</f>
        <v>Free</v>
      </c>
      <c r="X9" s="42">
        <f t="array" ref="X9">IF(XLOOKUP($A9,Partner_Voice!$A:$A,Partner_Voice!X:X,"",0)="Free","Free",IF(XLOOKUP($A9,Partner_Voice!$A:$A,Partner_Voice!X:X,"",0)="VL","VL",IF(XLOOKUP($A9,Partner_Voice!$A:$A,Partner_Voice!X:X,"",0)="ATT","ATT",XLOOKUP($A9,Partner_Voice!$A:$A,Partner_Voice!X:X,"",0))))</f>
        <v>0.3333333333</v>
      </c>
      <c r="Y9" s="43"/>
      <c r="Z9" s="42">
        <f t="array" ref="Z9">IF(XLOOKUP($A9,Partner_Voice!$A:$A,Partner_Voice!Z:Z,"",0)="Free","Free",IF(XLOOKUP($A9,Partner_Voice!$A:$A,Partner_Voice!Z:Z,"",0)="VL","VL",IF(XLOOKUP($A9,Partner_Voice!$A:$A,Partner_Voice!Z:Z,"",0)="ATT","ATT",XLOOKUP($A9,Partner_Voice!$A:$A,Partner_Voice!Z:Z,"",0))))</f>
        <v>0.3333333333</v>
      </c>
      <c r="AA9" s="42">
        <f t="array" ref="AA9">IF(XLOOKUP($A9,Partner_Voice!$A:$A,Partner_Voice!AA:AA,"",0)="Free","Free",IF(XLOOKUP($A9,Partner_Voice!$A:$A,Partner_Voice!AA:AA,"",0)="VL","VL",IF(XLOOKUP($A9,Partner_Voice!$A:$A,Partner_Voice!AA:AA,"",0)="ATT","ATT",XLOOKUP($A9,Partner_Voice!$A:$A,Partner_Voice!AA:AA,"",0))))</f>
        <v>0.3333333333</v>
      </c>
      <c r="AB9" s="42">
        <f t="array" ref="AB9">IF(XLOOKUP($A9,Partner_Voice!$A:$A,Partner_Voice!AB:AB,"",0)="Free","Free",IF(XLOOKUP($A9,Partner_Voice!$A:$A,Partner_Voice!AB:AB,"",0)="VL","VL",IF(XLOOKUP($A9,Partner_Voice!$A:$A,Partner_Voice!AB:AB,"",0)="ATT","ATT",XLOOKUP($A9,Partner_Voice!$A:$A,Partner_Voice!AB:AB,"",0))))</f>
        <v>0.3333333333</v>
      </c>
      <c r="AC9" s="42">
        <f t="array" ref="AC9">IF(XLOOKUP($A9,Partner_Voice!$A:$A,Partner_Voice!AC:AC,"",0)="Free","Free",IF(XLOOKUP($A9,Partner_Voice!$A:$A,Partner_Voice!AC:AC,"",0)="VL","VL",IF(XLOOKUP($A9,Partner_Voice!$A:$A,Partner_Voice!AC:AC,"",0)="ATT","ATT",XLOOKUP($A9,Partner_Voice!$A:$A,Partner_Voice!AC:AC,"",0))))</f>
        <v>0.3333333333</v>
      </c>
      <c r="AD9" s="42" t="str">
        <f t="array" ref="AD9">IF(XLOOKUP($A9,Partner_Voice!$A:$A,Partner_Voice!AD:AD,"",0)="Free","Free",IF(XLOOKUP($A9,Partner_Voice!$A:$A,Partner_Voice!AD:AD,"",0)="VL","VL",IF(XLOOKUP($A9,Partner_Voice!$A:$A,Partner_Voice!AD:AD,"",0)="ATT","ATT",XLOOKUP($A9,Partner_Voice!$A:$A,Partner_Voice!AD:AD,"",0))))</f>
        <v>Free</v>
      </c>
      <c r="AE9" s="42">
        <f t="array" ref="AE9">IF(XLOOKUP($A9,Partner_Voice!$A:$A,Partner_Voice!AE:AE,"",0)="Free","Free",IF(XLOOKUP($A9,Partner_Voice!$A:$A,Partner_Voice!AE:AE,"",0)="VL","VL",IF(XLOOKUP($A9,Partner_Voice!$A:$A,Partner_Voice!AE:AE,"",0)="ATT","ATT",XLOOKUP($A9,Partner_Voice!$A:$A,Partner_Voice!AE:AE,"",0))))</f>
        <v>0.3333333333</v>
      </c>
      <c r="AF9" s="69"/>
      <c r="AG9" s="42">
        <f t="array" ref="AG9">IF(XLOOKUP($A9,Partner_Voice!$A:$A,Partner_Voice!AG:AG,"",0)="Free","Free",IF(XLOOKUP($A9,Partner_Voice!$A:$A,Partner_Voice!AG:AG,"",0)="VL","VL",IF(XLOOKUP($A9,Partner_Voice!$A:$A,Partner_Voice!AG:AG,"",0)="ATT","ATT",XLOOKUP($A9,Partner_Voice!$A:$A,Partner_Voice!AG:AG,"",0))))</f>
        <v>0.3333333333</v>
      </c>
      <c r="AH9" s="42">
        <f t="array" ref="AH9">IF(XLOOKUP($A9,Partner_Voice!$A:$A,Partner_Voice!AH:AH,"",0)="Free","Free",IF(XLOOKUP($A9,Partner_Voice!$A:$A,Partner_Voice!AH:AH,"",0)="VL","VL",IF(XLOOKUP($A9,Partner_Voice!$A:$A,Partner_Voice!AH:AH,"",0)="ATT","ATT",XLOOKUP($A9,Partner_Voice!$A:$A,Partner_Voice!AH:AH,"",0))))</f>
        <v>0.3333333333</v>
      </c>
      <c r="AI9" s="42">
        <f t="array" ref="AI9">IF(XLOOKUP($A9,Partner_Voice!$A:$A,Partner_Voice!AI:AI,"",0)="Free","Free",IF(XLOOKUP($A9,Partner_Voice!$A:$A,Partner_Voice!AI:AI,"",0)="VL","VL",IF(XLOOKUP($A9,Partner_Voice!$A:$A,Partner_Voice!AI:AI,"",0)="ATT","ATT",XLOOKUP($A9,Partner_Voice!$A:$A,Partner_Voice!AI:AI,"",0))))</f>
        <v>0.3333333333</v>
      </c>
      <c r="AJ9" s="42">
        <f t="array" ref="AJ9">IF(XLOOKUP($A9,Partner_Voice!$A:$A,Partner_Voice!AJ:AJ,"",0)="Free","Free",IF(XLOOKUP($A9,Partner_Voice!$A:$A,Partner_Voice!AJ:AJ,"",0)="VL","VL",IF(XLOOKUP($A9,Partner_Voice!$A:$A,Partner_Voice!AJ:AJ,"",0)="ATT","ATT",XLOOKUP($A9,Partner_Voice!$A:$A,Partner_Voice!AJ:AJ,"",0))))</f>
        <v>0.3333333333</v>
      </c>
      <c r="AK9" s="42" t="str">
        <f t="array" ref="AK9">IF(XLOOKUP($A9,Partner_Voice!$A:$A,Partner_Voice!AK:AK,"",0)="Free","Free",IF(XLOOKUP($A9,Partner_Voice!$A:$A,Partner_Voice!AK:AK,"",0)="VL","VL",IF(XLOOKUP($A9,Partner_Voice!$A:$A,Partner_Voice!AK:AK,"",0)="ATT","ATT",XLOOKUP($A9,Partner_Voice!$A:$A,Partner_Voice!AK:AK,"",0))))</f>
        <v>Free</v>
      </c>
      <c r="AL9" s="42">
        <f t="array" ref="AL9">IF(XLOOKUP($A9,Partner_Voice!$A:$A,Partner_Voice!AL:AL,"",0)="Free","Free",IF(XLOOKUP($A9,Partner_Voice!$A:$A,Partner_Voice!AL:AL,"",0)="VL","VL",IF(XLOOKUP($A9,Partner_Voice!$A:$A,Partner_Voice!AL:AL,"",0)="ATT","ATT",XLOOKUP($A9,Partner_Voice!$A:$A,Partner_Voice!AL:AL,"",0))))</f>
        <v>0.3333333333</v>
      </c>
      <c r="AM9" s="42"/>
    </row>
    <row r="10">
      <c r="A10" s="47" t="s">
        <v>40</v>
      </c>
      <c r="B10" s="35" t="str">
        <f t="array" ref="B10">XLOOKUP(A10,Roster!F:F,Roster!A:A,"")</f>
        <v>Andra Daza</v>
      </c>
      <c r="C10" s="35" t="str">
        <f t="array" ref="C10">XLOOKUP(A10,Roster!F:F,Roster!B:B,"")</f>
        <v>John Palacio</v>
      </c>
      <c r="D10" s="70"/>
      <c r="E10" s="42">
        <f t="array" ref="E10">IF(XLOOKUP($A10,Partner_Voice!$A:$A,Partner_Voice!E:E,"",0)="Free","Free",IF(XLOOKUP($A10,Partner_Voice!$A:$A,Partner_Voice!E:E,"",0)="VL","VL",IF(XLOOKUP($A10,Partner_Voice!$A:$A,Partner_Voice!E:E,"",0)="ATT","ATT",XLOOKUP($A10,Partner_Voice!$A:$A,Partner_Voice!E:E,"",0))))</f>
        <v>0.375</v>
      </c>
      <c r="F10" s="42">
        <f t="array" ref="F10">IF(XLOOKUP($A10,Partner_Voice!$A:$A,Partner_Voice!F:F,"",0)="Free","Free",IF(XLOOKUP($A10,Partner_Voice!$A:$A,Partner_Voice!F:F,"",0)="VL","VL",IF(XLOOKUP($A10,Partner_Voice!$A:$A,Partner_Voice!F:F,"",0)="ATT","ATT",XLOOKUP($A10,Partner_Voice!$A:$A,Partner_Voice!F:F,"",0))))</f>
        <v>0.375</v>
      </c>
      <c r="G10" s="42">
        <f t="array" ref="G10">IF(XLOOKUP($A10,Partner_Voice!$A:$A,Partner_Voice!G:G,"",0)="Free","Free",IF(XLOOKUP($A10,Partner_Voice!$A:$A,Partner_Voice!G:G,"",0)="VL","VL",IF(XLOOKUP($A10,Partner_Voice!$A:$A,Partner_Voice!G:G,"",0)="ATT","ATT",XLOOKUP($A10,Partner_Voice!$A:$A,Partner_Voice!G:G,"",0))))</f>
        <v>0.375</v>
      </c>
      <c r="H10" s="42">
        <f t="array" ref="H10">IF(XLOOKUP($A10,Partner_Voice!$A:$A,Partner_Voice!H:H,"",0)="Free","Free",IF(XLOOKUP($A10,Partner_Voice!$A:$A,Partner_Voice!H:H,"",0)="VL","VL",IF(XLOOKUP($A10,Partner_Voice!$A:$A,Partner_Voice!H:H,"",0)="ATT","ATT",XLOOKUP($A10,Partner_Voice!$A:$A,Partner_Voice!H:H,"",0))))</f>
        <v>0.375</v>
      </c>
      <c r="I10" s="42">
        <f t="array" ref="I10">IF(XLOOKUP($A10,Partner_Voice!$A:$A,Partner_Voice!I:I,"",0)="Free","Free",IF(XLOOKUP($A10,Partner_Voice!$A:$A,Partner_Voice!I:I,"",0)="VL","VL",IF(XLOOKUP($A10,Partner_Voice!$A:$A,Partner_Voice!I:I,"",0)="ATT","ATT",XLOOKUP($A10,Partner_Voice!$A:$A,Partner_Voice!I:I,"",0))))</f>
        <v>0.375</v>
      </c>
      <c r="J10" s="42" t="str">
        <f t="array" ref="J10">IF(XLOOKUP($A10,Partner_Voice!$A:$A,Partner_Voice!J:J,"",0)="Free","Free",IF(XLOOKUP($A10,Partner_Voice!$A:$A,Partner_Voice!J:J,"",0)="VL","VL",IF(XLOOKUP($A10,Partner_Voice!$A:$A,Partner_Voice!J:J,"",0)="ATT","ATT",XLOOKUP($A10,Partner_Voice!$A:$A,Partner_Voice!J:J,"",0))))</f>
        <v>Free</v>
      </c>
      <c r="K10" s="42"/>
      <c r="L10" s="42">
        <f t="array" ref="L10">IF(XLOOKUP($A10,Partner_Voice!$A:$A,Partner_Voice!L:L,"",0)="Free","Free",IF(XLOOKUP($A10,Partner_Voice!$A:$A,Partner_Voice!L:L,"",0)="VL","VL",IF(XLOOKUP($A10,Partner_Voice!$A:$A,Partner_Voice!L:L,"",0)="ATT","ATT",XLOOKUP($A10,Partner_Voice!$A:$A,Partner_Voice!L:L,"",0))))</f>
        <v>0.375</v>
      </c>
      <c r="M10" s="42">
        <f t="array" ref="M10">IF(XLOOKUP($A10,Partner_Voice!$A:$A,Partner_Voice!M:M,"",0)="Free","Free",IF(XLOOKUP($A10,Partner_Voice!$A:$A,Partner_Voice!M:M,"",0)="VL","VL",IF(XLOOKUP($A10,Partner_Voice!$A:$A,Partner_Voice!M:M,"",0)="ATT","ATT",XLOOKUP($A10,Partner_Voice!$A:$A,Partner_Voice!M:M,"",0))))</f>
        <v>0.375</v>
      </c>
      <c r="N10" s="42">
        <f t="array" ref="N10">IF(XLOOKUP($A10,Partner_Voice!$A:$A,Partner_Voice!N:N,"",0)="Free","Free",IF(XLOOKUP($A10,Partner_Voice!$A:$A,Partner_Voice!N:N,"",0)="VL","VL",IF(XLOOKUP($A10,Partner_Voice!$A:$A,Partner_Voice!N:N,"",0)="ATT","ATT",XLOOKUP($A10,Partner_Voice!$A:$A,Partner_Voice!N:N,"",0))))</f>
        <v>0.375</v>
      </c>
      <c r="O10" s="42">
        <f t="array" ref="O10">IF(XLOOKUP($A10,Partner_Voice!$A:$A,Partner_Voice!O:O,"",0)="Free","Free",IF(XLOOKUP($A10,Partner_Voice!$A:$A,Partner_Voice!O:O,"",0)="VL","VL",IF(XLOOKUP($A10,Partner_Voice!$A:$A,Partner_Voice!O:O,"",0)="ATT","ATT",XLOOKUP($A10,Partner_Voice!$A:$A,Partner_Voice!O:O,"",0))))</f>
        <v>0.375</v>
      </c>
      <c r="P10" s="42">
        <f t="array" ref="P10">IF(XLOOKUP($A10,Partner_Voice!$A:$A,Partner_Voice!P:P,"",0)="Free","Free",IF(XLOOKUP($A10,Partner_Voice!$A:$A,Partner_Voice!P:P,"",0)="VL","VL",IF(XLOOKUP($A10,Partner_Voice!$A:$A,Partner_Voice!P:P,"",0)="ATT","ATT",XLOOKUP($A10,Partner_Voice!$A:$A,Partner_Voice!P:P,"",0))))</f>
        <v>0.375</v>
      </c>
      <c r="Q10" s="42" t="str">
        <f t="array" ref="Q10">IF(XLOOKUP($A10,Partner_Voice!$A:$A,Partner_Voice!Q:Q,"",0)="Free","Free",IF(XLOOKUP($A10,Partner_Voice!$A:$A,Partner_Voice!Q:Q,"",0)="VL","VL",IF(XLOOKUP($A10,Partner_Voice!$A:$A,Partner_Voice!Q:Q,"",0)="ATT","ATT",XLOOKUP($A10,Partner_Voice!$A:$A,Partner_Voice!Q:Q,"",0))))</f>
        <v>Free</v>
      </c>
      <c r="R10" s="43"/>
      <c r="S10" s="42">
        <f t="array" ref="S10">IF(XLOOKUP($A10,Partner_Voice!$A:$A,Partner_Voice!S:S,"",0)="Free","Free",IF(XLOOKUP($A10,Partner_Voice!$A:$A,Partner_Voice!S:S,"",0)="VL","VL",IF(XLOOKUP($A10,Partner_Voice!$A:$A,Partner_Voice!S:S,"",0)="ATT","ATT",XLOOKUP($A10,Partner_Voice!$A:$A,Partner_Voice!S:S,"",0))))</f>
        <v>0.375</v>
      </c>
      <c r="T10" s="42">
        <f t="array" ref="T10">IF(XLOOKUP($A10,Partner_Voice!$A:$A,Partner_Voice!T:T,"",0)="Free","Free",IF(XLOOKUP($A10,Partner_Voice!$A:$A,Partner_Voice!T:T,"",0)="VL","VL",IF(XLOOKUP($A10,Partner_Voice!$A:$A,Partner_Voice!T:T,"",0)="ATT","ATT",XLOOKUP($A10,Partner_Voice!$A:$A,Partner_Voice!T:T,"",0))))</f>
        <v>0.375</v>
      </c>
      <c r="U10" s="42">
        <f t="array" ref="U10">IF(XLOOKUP($A10,Partner_Voice!$A:$A,Partner_Voice!U:U,"",0)="Free","Free",IF(XLOOKUP($A10,Partner_Voice!$A:$A,Partner_Voice!U:U,"",0)="VL","VL",IF(XLOOKUP($A10,Partner_Voice!$A:$A,Partner_Voice!U:U,"",0)="ATT","ATT",XLOOKUP($A10,Partner_Voice!$A:$A,Partner_Voice!U:U,"",0))))</f>
        <v>0.375</v>
      </c>
      <c r="V10" s="42">
        <f t="array" ref="V10">IF(XLOOKUP($A10,Partner_Voice!$A:$A,Partner_Voice!V:V,"",0)="Free","Free",IF(XLOOKUP($A10,Partner_Voice!$A:$A,Partner_Voice!V:V,"",0)="VL","VL",IF(XLOOKUP($A10,Partner_Voice!$A:$A,Partner_Voice!V:V,"",0)="ATT","ATT",XLOOKUP($A10,Partner_Voice!$A:$A,Partner_Voice!V:V,"",0))))</f>
        <v>0.375</v>
      </c>
      <c r="W10" s="42">
        <f t="array" ref="W10">IF(XLOOKUP($A10,Partner_Voice!$A:$A,Partner_Voice!W:W,"",0)="Free","Free",IF(XLOOKUP($A10,Partner_Voice!$A:$A,Partner_Voice!W:W,"",0)="VL","VL",IF(XLOOKUP($A10,Partner_Voice!$A:$A,Partner_Voice!W:W,"",0)="ATT","ATT",XLOOKUP($A10,Partner_Voice!$A:$A,Partner_Voice!W:W,"",0))))</f>
        <v>0.375</v>
      </c>
      <c r="X10" s="42" t="str">
        <f t="array" ref="X10">IF(XLOOKUP($A10,Partner_Voice!$A:$A,Partner_Voice!X:X,"",0)="Free","Free",IF(XLOOKUP($A10,Partner_Voice!$A:$A,Partner_Voice!X:X,"",0)="VL","VL",IF(XLOOKUP($A10,Partner_Voice!$A:$A,Partner_Voice!X:X,"",0)="ATT","ATT",XLOOKUP($A10,Partner_Voice!$A:$A,Partner_Voice!X:X,"",0))))</f>
        <v>Free</v>
      </c>
      <c r="Y10" s="43"/>
      <c r="Z10" s="42">
        <f t="array" ref="Z10">IF(XLOOKUP($A10,Partner_Voice!$A:$A,Partner_Voice!Z:Z,"",0)="Free","Free",IF(XLOOKUP($A10,Partner_Voice!$A:$A,Partner_Voice!Z:Z,"",0)="VL","VL",IF(XLOOKUP($A10,Partner_Voice!$A:$A,Partner_Voice!Z:Z,"",0)="ATT","ATT",XLOOKUP($A10,Partner_Voice!$A:$A,Partner_Voice!Z:Z,"",0))))</f>
        <v>0.375</v>
      </c>
      <c r="AA10" s="42">
        <f t="array" ref="AA10">IF(XLOOKUP($A10,Partner_Voice!$A:$A,Partner_Voice!AA:AA,"",0)="Free","Free",IF(XLOOKUP($A10,Partner_Voice!$A:$A,Partner_Voice!AA:AA,"",0)="VL","VL",IF(XLOOKUP($A10,Partner_Voice!$A:$A,Partner_Voice!AA:AA,"",0)="ATT","ATT",XLOOKUP($A10,Partner_Voice!$A:$A,Partner_Voice!AA:AA,"",0))))</f>
        <v>0.375</v>
      </c>
      <c r="AB10" s="42">
        <f t="array" ref="AB10">IF(XLOOKUP($A10,Partner_Voice!$A:$A,Partner_Voice!AB:AB,"",0)="Free","Free",IF(XLOOKUP($A10,Partner_Voice!$A:$A,Partner_Voice!AB:AB,"",0)="VL","VL",IF(XLOOKUP($A10,Partner_Voice!$A:$A,Partner_Voice!AB:AB,"",0)="ATT","ATT",XLOOKUP($A10,Partner_Voice!$A:$A,Partner_Voice!AB:AB,"",0))))</f>
        <v>0.375</v>
      </c>
      <c r="AC10" s="42">
        <f t="array" ref="AC10">IF(XLOOKUP($A10,Partner_Voice!$A:$A,Partner_Voice!AC:AC,"",0)="Free","Free",IF(XLOOKUP($A10,Partner_Voice!$A:$A,Partner_Voice!AC:AC,"",0)="VL","VL",IF(XLOOKUP($A10,Partner_Voice!$A:$A,Partner_Voice!AC:AC,"",0)="ATT","ATT",XLOOKUP($A10,Partner_Voice!$A:$A,Partner_Voice!AC:AC,"",0))))</f>
        <v>0.375</v>
      </c>
      <c r="AD10" s="42">
        <f t="array" ref="AD10">IF(XLOOKUP($A10,Partner_Voice!$A:$A,Partner_Voice!AD:AD,"",0)="Free","Free",IF(XLOOKUP($A10,Partner_Voice!$A:$A,Partner_Voice!AD:AD,"",0)="VL","VL",IF(XLOOKUP($A10,Partner_Voice!$A:$A,Partner_Voice!AD:AD,"",0)="ATT","ATT",XLOOKUP($A10,Partner_Voice!$A:$A,Partner_Voice!AD:AD,"",0))))</f>
        <v>0.375</v>
      </c>
      <c r="AE10" s="42" t="str">
        <f t="array" ref="AE10">IF(XLOOKUP($A10,Partner_Voice!$A:$A,Partner_Voice!AE:AE,"",0)="Free","Free",IF(XLOOKUP($A10,Partner_Voice!$A:$A,Partner_Voice!AE:AE,"",0)="VL","VL",IF(XLOOKUP($A10,Partner_Voice!$A:$A,Partner_Voice!AE:AE,"",0)="ATT","ATT",XLOOKUP($A10,Partner_Voice!$A:$A,Partner_Voice!AE:AE,"",0))))</f>
        <v>Free</v>
      </c>
      <c r="AF10" s="69"/>
      <c r="AG10" s="42">
        <f t="array" ref="AG10">IF(XLOOKUP($A10,Partner_Voice!$A:$A,Partner_Voice!AG:AG,"",0)="Free","Free",IF(XLOOKUP($A10,Partner_Voice!$A:$A,Partner_Voice!AG:AG,"",0)="VL","VL",IF(XLOOKUP($A10,Partner_Voice!$A:$A,Partner_Voice!AG:AG,"",0)="ATT","ATT",XLOOKUP($A10,Partner_Voice!$A:$A,Partner_Voice!AG:AG,"",0))))</f>
        <v>0.375</v>
      </c>
      <c r="AH10" s="42">
        <f t="array" ref="AH10">IF(XLOOKUP($A10,Partner_Voice!$A:$A,Partner_Voice!AH:AH,"",0)="Free","Free",IF(XLOOKUP($A10,Partner_Voice!$A:$A,Partner_Voice!AH:AH,"",0)="VL","VL",IF(XLOOKUP($A10,Partner_Voice!$A:$A,Partner_Voice!AH:AH,"",0)="ATT","ATT",XLOOKUP($A10,Partner_Voice!$A:$A,Partner_Voice!AH:AH,"",0))))</f>
        <v>0.375</v>
      </c>
      <c r="AI10" s="42">
        <f t="array" ref="AI10">IF(XLOOKUP($A10,Partner_Voice!$A:$A,Partner_Voice!AI:AI,"",0)="Free","Free",IF(XLOOKUP($A10,Partner_Voice!$A:$A,Partner_Voice!AI:AI,"",0)="VL","VL",IF(XLOOKUP($A10,Partner_Voice!$A:$A,Partner_Voice!AI:AI,"",0)="ATT","ATT",XLOOKUP($A10,Partner_Voice!$A:$A,Partner_Voice!AI:AI,"",0))))</f>
        <v>0.375</v>
      </c>
      <c r="AJ10" s="42">
        <f t="array" ref="AJ10">IF(XLOOKUP($A10,Partner_Voice!$A:$A,Partner_Voice!AJ:AJ,"",0)="Free","Free",IF(XLOOKUP($A10,Partner_Voice!$A:$A,Partner_Voice!AJ:AJ,"",0)="VL","VL",IF(XLOOKUP($A10,Partner_Voice!$A:$A,Partner_Voice!AJ:AJ,"",0)="ATT","ATT",XLOOKUP($A10,Partner_Voice!$A:$A,Partner_Voice!AJ:AJ,"",0))))</f>
        <v>0.375</v>
      </c>
      <c r="AK10" s="42">
        <f t="array" ref="AK10">IF(XLOOKUP($A10,Partner_Voice!$A:$A,Partner_Voice!AK:AK,"",0)="Free","Free",IF(XLOOKUP($A10,Partner_Voice!$A:$A,Partner_Voice!AK:AK,"",0)="VL","VL",IF(XLOOKUP($A10,Partner_Voice!$A:$A,Partner_Voice!AK:AK,"",0)="ATT","ATT",XLOOKUP($A10,Partner_Voice!$A:$A,Partner_Voice!AK:AK,"",0))))</f>
        <v>0.375</v>
      </c>
      <c r="AL10" s="42" t="str">
        <f t="array" ref="AL10">IF(XLOOKUP($A10,Partner_Voice!$A:$A,Partner_Voice!AL:AL,"",0)="Free","Free",IF(XLOOKUP($A10,Partner_Voice!$A:$A,Partner_Voice!AL:AL,"",0)="VL","VL",IF(XLOOKUP($A10,Partner_Voice!$A:$A,Partner_Voice!AL:AL,"",0)="ATT","ATT",XLOOKUP($A10,Partner_Voice!$A:$A,Partner_Voice!AL:AL,"",0))))</f>
        <v>Free</v>
      </c>
      <c r="AM10" s="42"/>
    </row>
    <row r="11">
      <c r="A11" s="47" t="s">
        <v>44</v>
      </c>
      <c r="B11" s="35" t="str">
        <f t="array" ref="B11">XLOOKUP(A11,Roster!F:F,Roster!A:A,"")</f>
        <v>Andra Daza</v>
      </c>
      <c r="C11" s="35" t="str">
        <f t="array" ref="C11">XLOOKUP(A11,Roster!F:F,Roster!B:B,"")</f>
        <v>Juan Castilla</v>
      </c>
      <c r="D11" s="70"/>
      <c r="E11" s="42">
        <f t="array" ref="E11">IF(XLOOKUP($A11,Partner_Voice!$A:$A,Partner_Voice!E:E,"",0)="Free","Free",IF(XLOOKUP($A11,Partner_Voice!$A:$A,Partner_Voice!E:E,"",0)="VL","VL",IF(XLOOKUP($A11,Partner_Voice!$A:$A,Partner_Voice!E:E,"",0)="ATT","ATT",XLOOKUP($A11,Partner_Voice!$A:$A,Partner_Voice!E:E,"",0))))</f>
        <v>0.3333333333</v>
      </c>
      <c r="F11" s="42">
        <f t="array" ref="F11">IF(XLOOKUP($A11,Partner_Voice!$A:$A,Partner_Voice!F:F,"",0)="Free","Free",IF(XLOOKUP($A11,Partner_Voice!$A:$A,Partner_Voice!F:F,"",0)="VL","VL",IF(XLOOKUP($A11,Partner_Voice!$A:$A,Partner_Voice!F:F,"",0)="ATT","ATT",XLOOKUP($A11,Partner_Voice!$A:$A,Partner_Voice!F:F,"",0))))</f>
        <v>0.3333333333</v>
      </c>
      <c r="G11" s="42">
        <f t="array" ref="G11">IF(XLOOKUP($A11,Partner_Voice!$A:$A,Partner_Voice!G:G,"",0)="Free","Free",IF(XLOOKUP($A11,Partner_Voice!$A:$A,Partner_Voice!G:G,"",0)="VL","VL",IF(XLOOKUP($A11,Partner_Voice!$A:$A,Partner_Voice!G:G,"",0)="ATT","ATT",XLOOKUP($A11,Partner_Voice!$A:$A,Partner_Voice!G:G,"",0))))</f>
        <v>0.3333333333</v>
      </c>
      <c r="H11" s="42">
        <f t="array" ref="H11">IF(XLOOKUP($A11,Partner_Voice!$A:$A,Partner_Voice!H:H,"",0)="Free","Free",IF(XLOOKUP($A11,Partner_Voice!$A:$A,Partner_Voice!H:H,"",0)="VL","VL",IF(XLOOKUP($A11,Partner_Voice!$A:$A,Partner_Voice!H:H,"",0)="ATT","ATT",XLOOKUP($A11,Partner_Voice!$A:$A,Partner_Voice!H:H,"",0))))</f>
        <v>0.3333333333</v>
      </c>
      <c r="I11" s="42">
        <f t="array" ref="I11">IF(XLOOKUP($A11,Partner_Voice!$A:$A,Partner_Voice!I:I,"",0)="Free","Free",IF(XLOOKUP($A11,Partner_Voice!$A:$A,Partner_Voice!I:I,"",0)="VL","VL",IF(XLOOKUP($A11,Partner_Voice!$A:$A,Partner_Voice!I:I,"",0)="ATT","ATT",XLOOKUP($A11,Partner_Voice!$A:$A,Partner_Voice!I:I,"",0))))</f>
        <v>0.3333333333</v>
      </c>
      <c r="J11" s="42" t="str">
        <f t="array" ref="J11">IF(XLOOKUP($A11,Partner_Voice!$A:$A,Partner_Voice!J:J,"",0)="Free","Free",IF(XLOOKUP($A11,Partner_Voice!$A:$A,Partner_Voice!J:J,"",0)="VL","VL",IF(XLOOKUP($A11,Partner_Voice!$A:$A,Partner_Voice!J:J,"",0)="ATT","ATT",XLOOKUP($A11,Partner_Voice!$A:$A,Partner_Voice!J:J,"",0))))</f>
        <v>Free</v>
      </c>
      <c r="K11" s="42"/>
      <c r="L11" s="42">
        <f t="array" ref="L11">IF(XLOOKUP($A11,Partner_Voice!$A:$A,Partner_Voice!L:L,"",0)="Free","Free",IF(XLOOKUP($A11,Partner_Voice!$A:$A,Partner_Voice!L:L,"",0)="VL","VL",IF(XLOOKUP($A11,Partner_Voice!$A:$A,Partner_Voice!L:L,"",0)="ATT","ATT",XLOOKUP($A11,Partner_Voice!$A:$A,Partner_Voice!L:L,"",0))))</f>
        <v>0.3333333333</v>
      </c>
      <c r="M11" s="42">
        <f t="array" ref="M11">IF(XLOOKUP($A11,Partner_Voice!$A:$A,Partner_Voice!M:M,"",0)="Free","Free",IF(XLOOKUP($A11,Partner_Voice!$A:$A,Partner_Voice!M:M,"",0)="VL","VL",IF(XLOOKUP($A11,Partner_Voice!$A:$A,Partner_Voice!M:M,"",0)="ATT","ATT",XLOOKUP($A11,Partner_Voice!$A:$A,Partner_Voice!M:M,"",0))))</f>
        <v>0.3333333333</v>
      </c>
      <c r="N11" s="42">
        <f t="array" ref="N11">IF(XLOOKUP($A11,Partner_Voice!$A:$A,Partner_Voice!N:N,"",0)="Free","Free",IF(XLOOKUP($A11,Partner_Voice!$A:$A,Partner_Voice!N:N,"",0)="VL","VL",IF(XLOOKUP($A11,Partner_Voice!$A:$A,Partner_Voice!N:N,"",0)="ATT","ATT",XLOOKUP($A11,Partner_Voice!$A:$A,Partner_Voice!N:N,"",0))))</f>
        <v>0.3333333333</v>
      </c>
      <c r="O11" s="42">
        <f t="array" ref="O11">IF(XLOOKUP($A11,Partner_Voice!$A:$A,Partner_Voice!O:O,"",0)="Free","Free",IF(XLOOKUP($A11,Partner_Voice!$A:$A,Partner_Voice!O:O,"",0)="VL","VL",IF(XLOOKUP($A11,Partner_Voice!$A:$A,Partner_Voice!O:O,"",0)="ATT","ATT",XLOOKUP($A11,Partner_Voice!$A:$A,Partner_Voice!O:O,"",0))))</f>
        <v>0.3333333333</v>
      </c>
      <c r="P11" s="42">
        <f t="array" ref="P11">IF(XLOOKUP($A11,Partner_Voice!$A:$A,Partner_Voice!P:P,"",0)="Free","Free",IF(XLOOKUP($A11,Partner_Voice!$A:$A,Partner_Voice!P:P,"",0)="VL","VL",IF(XLOOKUP($A11,Partner_Voice!$A:$A,Partner_Voice!P:P,"",0)="ATT","ATT",XLOOKUP($A11,Partner_Voice!$A:$A,Partner_Voice!P:P,"",0))))</f>
        <v>0.3333333333</v>
      </c>
      <c r="Q11" s="42" t="str">
        <f t="array" ref="Q11">IF(XLOOKUP($A11,Partner_Voice!$A:$A,Partner_Voice!Q:Q,"",0)="Free","Free",IF(XLOOKUP($A11,Partner_Voice!$A:$A,Partner_Voice!Q:Q,"",0)="VL","VL",IF(XLOOKUP($A11,Partner_Voice!$A:$A,Partner_Voice!Q:Q,"",0)="ATT","ATT",XLOOKUP($A11,Partner_Voice!$A:$A,Partner_Voice!Q:Q,"",0))))</f>
        <v>Free</v>
      </c>
      <c r="R11" s="43"/>
      <c r="S11" s="42">
        <f t="array" ref="S11">IF(XLOOKUP($A11,Partner_Voice!$A:$A,Partner_Voice!S:S,"",0)="Free","Free",IF(XLOOKUP($A11,Partner_Voice!$A:$A,Partner_Voice!S:S,"",0)="VL","VL",IF(XLOOKUP($A11,Partner_Voice!$A:$A,Partner_Voice!S:S,"",0)="ATT","ATT",XLOOKUP($A11,Partner_Voice!$A:$A,Partner_Voice!S:S,"",0))))</f>
        <v>0.3333333333</v>
      </c>
      <c r="T11" s="42">
        <f t="array" ref="T11">IF(XLOOKUP($A11,Partner_Voice!$A:$A,Partner_Voice!T:T,"",0)="Free","Free",IF(XLOOKUP($A11,Partner_Voice!$A:$A,Partner_Voice!T:T,"",0)="VL","VL",IF(XLOOKUP($A11,Partner_Voice!$A:$A,Partner_Voice!T:T,"",0)="ATT","ATT",XLOOKUP($A11,Partner_Voice!$A:$A,Partner_Voice!T:T,"",0))))</f>
        <v>0.3333333333</v>
      </c>
      <c r="U11" s="42">
        <f t="array" ref="U11">IF(XLOOKUP($A11,Partner_Voice!$A:$A,Partner_Voice!U:U,"",0)="Free","Free",IF(XLOOKUP($A11,Partner_Voice!$A:$A,Partner_Voice!U:U,"",0)="VL","VL",IF(XLOOKUP($A11,Partner_Voice!$A:$A,Partner_Voice!U:U,"",0)="ATT","ATT",XLOOKUP($A11,Partner_Voice!$A:$A,Partner_Voice!U:U,"",0))))</f>
        <v>0.3333333333</v>
      </c>
      <c r="V11" s="42">
        <f t="array" ref="V11">IF(XLOOKUP($A11,Partner_Voice!$A:$A,Partner_Voice!V:V,"",0)="Free","Free",IF(XLOOKUP($A11,Partner_Voice!$A:$A,Partner_Voice!V:V,"",0)="VL","VL",IF(XLOOKUP($A11,Partner_Voice!$A:$A,Partner_Voice!V:V,"",0)="ATT","ATT",XLOOKUP($A11,Partner_Voice!$A:$A,Partner_Voice!V:V,"",0))))</f>
        <v>0.3333333333</v>
      </c>
      <c r="W11" s="42">
        <f t="array" ref="W11">IF(XLOOKUP($A11,Partner_Voice!$A:$A,Partner_Voice!W:W,"",0)="Free","Free",IF(XLOOKUP($A11,Partner_Voice!$A:$A,Partner_Voice!W:W,"",0)="VL","VL",IF(XLOOKUP($A11,Partner_Voice!$A:$A,Partner_Voice!W:W,"",0)="ATT","ATT",XLOOKUP($A11,Partner_Voice!$A:$A,Partner_Voice!W:W,"",0))))</f>
        <v>0.3333333333</v>
      </c>
      <c r="X11" s="42" t="str">
        <f t="array" ref="X11">IF(XLOOKUP($A11,Partner_Voice!$A:$A,Partner_Voice!X:X,"",0)="Free","Free",IF(XLOOKUP($A11,Partner_Voice!$A:$A,Partner_Voice!X:X,"",0)="VL","VL",IF(XLOOKUP($A11,Partner_Voice!$A:$A,Partner_Voice!X:X,"",0)="ATT","ATT",XLOOKUP($A11,Partner_Voice!$A:$A,Partner_Voice!X:X,"",0))))</f>
        <v>Free</v>
      </c>
      <c r="Y11" s="43"/>
      <c r="Z11" s="42">
        <f t="array" ref="Z11">IF(XLOOKUP($A11,Partner_Voice!$A:$A,Partner_Voice!Z:Z,"",0)="Free","Free",IF(XLOOKUP($A11,Partner_Voice!$A:$A,Partner_Voice!Z:Z,"",0)="VL","VL",IF(XLOOKUP($A11,Partner_Voice!$A:$A,Partner_Voice!Z:Z,"",0)="ATT","ATT",XLOOKUP($A11,Partner_Voice!$A:$A,Partner_Voice!Z:Z,"",0))))</f>
        <v>0.3333333333</v>
      </c>
      <c r="AA11" s="42">
        <f t="array" ref="AA11">IF(XLOOKUP($A11,Partner_Voice!$A:$A,Partner_Voice!AA:AA,"",0)="Free","Free",IF(XLOOKUP($A11,Partner_Voice!$A:$A,Partner_Voice!AA:AA,"",0)="VL","VL",IF(XLOOKUP($A11,Partner_Voice!$A:$A,Partner_Voice!AA:AA,"",0)="ATT","ATT",XLOOKUP($A11,Partner_Voice!$A:$A,Partner_Voice!AA:AA,"",0))))</f>
        <v>0.3333333333</v>
      </c>
      <c r="AB11" s="42">
        <f t="array" ref="AB11">IF(XLOOKUP($A11,Partner_Voice!$A:$A,Partner_Voice!AB:AB,"",0)="Free","Free",IF(XLOOKUP($A11,Partner_Voice!$A:$A,Partner_Voice!AB:AB,"",0)="VL","VL",IF(XLOOKUP($A11,Partner_Voice!$A:$A,Partner_Voice!AB:AB,"",0)="ATT","ATT",XLOOKUP($A11,Partner_Voice!$A:$A,Partner_Voice!AB:AB,"",0))))</f>
        <v>0.3333333333</v>
      </c>
      <c r="AC11" s="42">
        <f t="array" ref="AC11">IF(XLOOKUP($A11,Partner_Voice!$A:$A,Partner_Voice!AC:AC,"",0)="Free","Free",IF(XLOOKUP($A11,Partner_Voice!$A:$A,Partner_Voice!AC:AC,"",0)="VL","VL",IF(XLOOKUP($A11,Partner_Voice!$A:$A,Partner_Voice!AC:AC,"",0)="ATT","ATT",XLOOKUP($A11,Partner_Voice!$A:$A,Partner_Voice!AC:AC,"",0))))</f>
        <v>0.3333333333</v>
      </c>
      <c r="AD11" s="42">
        <f t="array" ref="AD11">IF(XLOOKUP($A11,Partner_Voice!$A:$A,Partner_Voice!AD:AD,"",0)="Free","Free",IF(XLOOKUP($A11,Partner_Voice!$A:$A,Partner_Voice!AD:AD,"",0)="VL","VL",IF(XLOOKUP($A11,Partner_Voice!$A:$A,Partner_Voice!AD:AD,"",0)="ATT","ATT",XLOOKUP($A11,Partner_Voice!$A:$A,Partner_Voice!AD:AD,"",0))))</f>
        <v>0.3333333333</v>
      </c>
      <c r="AE11" s="42" t="str">
        <f t="array" ref="AE11">IF(XLOOKUP($A11,Partner_Voice!$A:$A,Partner_Voice!AE:AE,"",0)="Free","Free",IF(XLOOKUP($A11,Partner_Voice!$A:$A,Partner_Voice!AE:AE,"",0)="VL","VL",IF(XLOOKUP($A11,Partner_Voice!$A:$A,Partner_Voice!AE:AE,"",0)="ATT","ATT",XLOOKUP($A11,Partner_Voice!$A:$A,Partner_Voice!AE:AE,"",0))))</f>
        <v>Free</v>
      </c>
      <c r="AF11" s="69"/>
      <c r="AG11" s="42">
        <f t="array" ref="AG11">IF(XLOOKUP($A11,Partner_Voice!$A:$A,Partner_Voice!AG:AG,"",0)="Free","Free",IF(XLOOKUP($A11,Partner_Voice!$A:$A,Partner_Voice!AG:AG,"",0)="VL","VL",IF(XLOOKUP($A11,Partner_Voice!$A:$A,Partner_Voice!AG:AG,"",0)="ATT","ATT",XLOOKUP($A11,Partner_Voice!$A:$A,Partner_Voice!AG:AG,"",0))))</f>
        <v>0.3333333333</v>
      </c>
      <c r="AH11" s="42">
        <f t="array" ref="AH11">IF(XLOOKUP($A11,Partner_Voice!$A:$A,Partner_Voice!AH:AH,"",0)="Free","Free",IF(XLOOKUP($A11,Partner_Voice!$A:$A,Partner_Voice!AH:AH,"",0)="VL","VL",IF(XLOOKUP($A11,Partner_Voice!$A:$A,Partner_Voice!AH:AH,"",0)="ATT","ATT",XLOOKUP($A11,Partner_Voice!$A:$A,Partner_Voice!AH:AH,"",0))))</f>
        <v>0.3333333333</v>
      </c>
      <c r="AI11" s="42">
        <f t="array" ref="AI11">IF(XLOOKUP($A11,Partner_Voice!$A:$A,Partner_Voice!AI:AI,"",0)="Free","Free",IF(XLOOKUP($A11,Partner_Voice!$A:$A,Partner_Voice!AI:AI,"",0)="VL","VL",IF(XLOOKUP($A11,Partner_Voice!$A:$A,Partner_Voice!AI:AI,"",0)="ATT","ATT",XLOOKUP($A11,Partner_Voice!$A:$A,Partner_Voice!AI:AI,"",0))))</f>
        <v>0.3333333333</v>
      </c>
      <c r="AJ11" s="42">
        <f t="array" ref="AJ11">IF(XLOOKUP($A11,Partner_Voice!$A:$A,Partner_Voice!AJ:AJ,"",0)="Free","Free",IF(XLOOKUP($A11,Partner_Voice!$A:$A,Partner_Voice!AJ:AJ,"",0)="VL","VL",IF(XLOOKUP($A11,Partner_Voice!$A:$A,Partner_Voice!AJ:AJ,"",0)="ATT","ATT",XLOOKUP($A11,Partner_Voice!$A:$A,Partner_Voice!AJ:AJ,"",0))))</f>
        <v>0.3333333333</v>
      </c>
      <c r="AK11" s="42">
        <f t="array" ref="AK11">IF(XLOOKUP($A11,Partner_Voice!$A:$A,Partner_Voice!AK:AK,"",0)="Free","Free",IF(XLOOKUP($A11,Partner_Voice!$A:$A,Partner_Voice!AK:AK,"",0)="VL","VL",IF(XLOOKUP($A11,Partner_Voice!$A:$A,Partner_Voice!AK:AK,"",0)="ATT","ATT",XLOOKUP($A11,Partner_Voice!$A:$A,Partner_Voice!AK:AK,"",0))))</f>
        <v>0.3333333333</v>
      </c>
      <c r="AL11" s="42" t="str">
        <f t="array" ref="AL11">IF(XLOOKUP($A11,Partner_Voice!$A:$A,Partner_Voice!AL:AL,"",0)="Free","Free",IF(XLOOKUP($A11,Partner_Voice!$A:$A,Partner_Voice!AL:AL,"",0)="VL","VL",IF(XLOOKUP($A11,Partner_Voice!$A:$A,Partner_Voice!AL:AL,"",0)="ATT","ATT",XLOOKUP($A11,Partner_Voice!$A:$A,Partner_Voice!AL:AL,"",0))))</f>
        <v>Free</v>
      </c>
      <c r="AM11" s="42"/>
    </row>
    <row r="12">
      <c r="A12" s="47" t="s">
        <v>48</v>
      </c>
      <c r="B12" s="35" t="str">
        <f t="array" ref="B12">XLOOKUP(A12,Roster!F:F,Roster!A:A,"")</f>
        <v>Andra Daza</v>
      </c>
      <c r="C12" s="35" t="str">
        <f t="array" ref="C12">XLOOKUP(A12,Roster!F:F,Roster!B:B,"")</f>
        <v>Juan Restrepo Restrepo</v>
      </c>
      <c r="D12" s="70"/>
      <c r="E12" s="42">
        <f t="array" ref="E12">IF(XLOOKUP($A12,Partner_Voice!$A:$A,Partner_Voice!E:E,"",0)="Free","Free",IF(XLOOKUP($A12,Partner_Voice!$A:$A,Partner_Voice!E:E,"",0)="VL","VL",IF(XLOOKUP($A12,Partner_Voice!$A:$A,Partner_Voice!E:E,"",0)="ATT","ATT",XLOOKUP($A12,Partner_Voice!$A:$A,Partner_Voice!E:E,"",0))))</f>
        <v>0.3333333333</v>
      </c>
      <c r="F12" s="42">
        <f t="array" ref="F12">IF(XLOOKUP($A12,Partner_Voice!$A:$A,Partner_Voice!F:F,"",0)="Free","Free",IF(XLOOKUP($A12,Partner_Voice!$A:$A,Partner_Voice!F:F,"",0)="VL","VL",IF(XLOOKUP($A12,Partner_Voice!$A:$A,Partner_Voice!F:F,"",0)="ATT","ATT",XLOOKUP($A12,Partner_Voice!$A:$A,Partner_Voice!F:F,"",0))))</f>
        <v>0.3333333333</v>
      </c>
      <c r="G12" s="42">
        <f t="array" ref="G12">IF(XLOOKUP($A12,Partner_Voice!$A:$A,Partner_Voice!G:G,"",0)="Free","Free",IF(XLOOKUP($A12,Partner_Voice!$A:$A,Partner_Voice!G:G,"",0)="VL","VL",IF(XLOOKUP($A12,Partner_Voice!$A:$A,Partner_Voice!G:G,"",0)="ATT","ATT",XLOOKUP($A12,Partner_Voice!$A:$A,Partner_Voice!G:G,"",0))))</f>
        <v>0.3333333333</v>
      </c>
      <c r="H12" s="42">
        <f t="array" ref="H12">IF(XLOOKUP($A12,Partner_Voice!$A:$A,Partner_Voice!H:H,"",0)="Free","Free",IF(XLOOKUP($A12,Partner_Voice!$A:$A,Partner_Voice!H:H,"",0)="VL","VL",IF(XLOOKUP($A12,Partner_Voice!$A:$A,Partner_Voice!H:H,"",0)="ATT","ATT",XLOOKUP($A12,Partner_Voice!$A:$A,Partner_Voice!H:H,"",0))))</f>
        <v>0.3333333333</v>
      </c>
      <c r="I12" s="42" t="str">
        <f t="array" ref="I12">IF(XLOOKUP($A12,Partner_Voice!$A:$A,Partner_Voice!I:I,"",0)="Free","Free",IF(XLOOKUP($A12,Partner_Voice!$A:$A,Partner_Voice!I:I,"",0)="VL","VL",IF(XLOOKUP($A12,Partner_Voice!$A:$A,Partner_Voice!I:I,"",0)="ATT","ATT",XLOOKUP($A12,Partner_Voice!$A:$A,Partner_Voice!I:I,"",0))))</f>
        <v>Free</v>
      </c>
      <c r="J12" s="42">
        <f t="array" ref="J12">IF(XLOOKUP($A12,Partner_Voice!$A:$A,Partner_Voice!J:J,"",0)="Free","Free",IF(XLOOKUP($A12,Partner_Voice!$A:$A,Partner_Voice!J:J,"",0)="VL","VL",IF(XLOOKUP($A12,Partner_Voice!$A:$A,Partner_Voice!J:J,"",0)="ATT","ATT",XLOOKUP($A12,Partner_Voice!$A:$A,Partner_Voice!J:J,"",0))))</f>
        <v>0.3333333333</v>
      </c>
      <c r="K12" s="42"/>
      <c r="L12" s="42">
        <f t="array" ref="L12">IF(XLOOKUP($A12,Partner_Voice!$A:$A,Partner_Voice!L:L,"",0)="Free","Free",IF(XLOOKUP($A12,Partner_Voice!$A:$A,Partner_Voice!L:L,"",0)="VL","VL",IF(XLOOKUP($A12,Partner_Voice!$A:$A,Partner_Voice!L:L,"",0)="ATT","ATT",XLOOKUP($A12,Partner_Voice!$A:$A,Partner_Voice!L:L,"",0))))</f>
        <v>0.3333333333</v>
      </c>
      <c r="M12" s="42">
        <f t="array" ref="M12">IF(XLOOKUP($A12,Partner_Voice!$A:$A,Partner_Voice!M:M,"",0)="Free","Free",IF(XLOOKUP($A12,Partner_Voice!$A:$A,Partner_Voice!M:M,"",0)="VL","VL",IF(XLOOKUP($A12,Partner_Voice!$A:$A,Partner_Voice!M:M,"",0)="ATT","ATT",XLOOKUP($A12,Partner_Voice!$A:$A,Partner_Voice!M:M,"",0))))</f>
        <v>0.3333333333</v>
      </c>
      <c r="N12" s="42">
        <f t="array" ref="N12">IF(XLOOKUP($A12,Partner_Voice!$A:$A,Partner_Voice!N:N,"",0)="Free","Free",IF(XLOOKUP($A12,Partner_Voice!$A:$A,Partner_Voice!N:N,"",0)="VL","VL",IF(XLOOKUP($A12,Partner_Voice!$A:$A,Partner_Voice!N:N,"",0)="ATT","ATT",XLOOKUP($A12,Partner_Voice!$A:$A,Partner_Voice!N:N,"",0))))</f>
        <v>0.3333333333</v>
      </c>
      <c r="O12" s="42">
        <f t="array" ref="O12">IF(XLOOKUP($A12,Partner_Voice!$A:$A,Partner_Voice!O:O,"",0)="Free","Free",IF(XLOOKUP($A12,Partner_Voice!$A:$A,Partner_Voice!O:O,"",0)="VL","VL",IF(XLOOKUP($A12,Partner_Voice!$A:$A,Partner_Voice!O:O,"",0)="ATT","ATT",XLOOKUP($A12,Partner_Voice!$A:$A,Partner_Voice!O:O,"",0))))</f>
        <v>0.3333333333</v>
      </c>
      <c r="P12" s="42" t="str">
        <f t="array" ref="P12">IF(XLOOKUP($A12,Partner_Voice!$A:$A,Partner_Voice!P:P,"",0)="Free","Free",IF(XLOOKUP($A12,Partner_Voice!$A:$A,Partner_Voice!P:P,"",0)="VL","VL",IF(XLOOKUP($A12,Partner_Voice!$A:$A,Partner_Voice!P:P,"",0)="ATT","ATT",XLOOKUP($A12,Partner_Voice!$A:$A,Partner_Voice!P:P,"",0))))</f>
        <v>Free</v>
      </c>
      <c r="Q12" s="42">
        <f t="array" ref="Q12">IF(XLOOKUP($A12,Partner_Voice!$A:$A,Partner_Voice!Q:Q,"",0)="Free","Free",IF(XLOOKUP($A12,Partner_Voice!$A:$A,Partner_Voice!Q:Q,"",0)="VL","VL",IF(XLOOKUP($A12,Partner_Voice!$A:$A,Partner_Voice!Q:Q,"",0)="ATT","ATT",XLOOKUP($A12,Partner_Voice!$A:$A,Partner_Voice!Q:Q,"",0))))</f>
        <v>0.3333333333</v>
      </c>
      <c r="R12" s="43"/>
      <c r="S12" s="42">
        <f t="array" ref="S12">IF(XLOOKUP($A12,Partner_Voice!$A:$A,Partner_Voice!S:S,"",0)="Free","Free",IF(XLOOKUP($A12,Partner_Voice!$A:$A,Partner_Voice!S:S,"",0)="VL","VL",IF(XLOOKUP($A12,Partner_Voice!$A:$A,Partner_Voice!S:S,"",0)="ATT","ATT",XLOOKUP($A12,Partner_Voice!$A:$A,Partner_Voice!S:S,"",0))))</f>
        <v>0.3333333333</v>
      </c>
      <c r="T12" s="42">
        <f t="array" ref="T12">IF(XLOOKUP($A12,Partner_Voice!$A:$A,Partner_Voice!T:T,"",0)="Free","Free",IF(XLOOKUP($A12,Partner_Voice!$A:$A,Partner_Voice!T:T,"",0)="VL","VL",IF(XLOOKUP($A12,Partner_Voice!$A:$A,Partner_Voice!T:T,"",0)="ATT","ATT",XLOOKUP($A12,Partner_Voice!$A:$A,Partner_Voice!T:T,"",0))))</f>
        <v>0.3333333333</v>
      </c>
      <c r="U12" s="42">
        <f t="array" ref="U12">IF(XLOOKUP($A12,Partner_Voice!$A:$A,Partner_Voice!U:U,"",0)="Free","Free",IF(XLOOKUP($A12,Partner_Voice!$A:$A,Partner_Voice!U:U,"",0)="VL","VL",IF(XLOOKUP($A12,Partner_Voice!$A:$A,Partner_Voice!U:U,"",0)="ATT","ATT",XLOOKUP($A12,Partner_Voice!$A:$A,Partner_Voice!U:U,"",0))))</f>
        <v>0.3333333333</v>
      </c>
      <c r="V12" s="42">
        <f t="array" ref="V12">IF(XLOOKUP($A12,Partner_Voice!$A:$A,Partner_Voice!V:V,"",0)="Free","Free",IF(XLOOKUP($A12,Partner_Voice!$A:$A,Partner_Voice!V:V,"",0)="VL","VL",IF(XLOOKUP($A12,Partner_Voice!$A:$A,Partner_Voice!V:V,"",0)="ATT","ATT",XLOOKUP($A12,Partner_Voice!$A:$A,Partner_Voice!V:V,"",0))))</f>
        <v>0.3333333333</v>
      </c>
      <c r="W12" s="42" t="str">
        <f t="array" ref="W12">IF(XLOOKUP($A12,Partner_Voice!$A:$A,Partner_Voice!W:W,"",0)="Free","Free",IF(XLOOKUP($A12,Partner_Voice!$A:$A,Partner_Voice!W:W,"",0)="VL","VL",IF(XLOOKUP($A12,Partner_Voice!$A:$A,Partner_Voice!W:W,"",0)="ATT","ATT",XLOOKUP($A12,Partner_Voice!$A:$A,Partner_Voice!W:W,"",0))))</f>
        <v>Free</v>
      </c>
      <c r="X12" s="42">
        <f t="array" ref="X12">IF(XLOOKUP($A12,Partner_Voice!$A:$A,Partner_Voice!X:X,"",0)="Free","Free",IF(XLOOKUP($A12,Partner_Voice!$A:$A,Partner_Voice!X:X,"",0)="VL","VL",IF(XLOOKUP($A12,Partner_Voice!$A:$A,Partner_Voice!X:X,"",0)="ATT","ATT",XLOOKUP($A12,Partner_Voice!$A:$A,Partner_Voice!X:X,"",0))))</f>
        <v>0.3333333333</v>
      </c>
      <c r="Y12" s="43"/>
      <c r="Z12" s="42">
        <f t="array" ref="Z12">IF(XLOOKUP($A12,Partner_Voice!$A:$A,Partner_Voice!Z:Z,"",0)="Free","Free",IF(XLOOKUP($A12,Partner_Voice!$A:$A,Partner_Voice!Z:Z,"",0)="VL","VL",IF(XLOOKUP($A12,Partner_Voice!$A:$A,Partner_Voice!Z:Z,"",0)="ATT","ATT",XLOOKUP($A12,Partner_Voice!$A:$A,Partner_Voice!Z:Z,"",0))))</f>
        <v>0.3333333333</v>
      </c>
      <c r="AA12" s="42">
        <f t="array" ref="AA12">IF(XLOOKUP($A12,Partner_Voice!$A:$A,Partner_Voice!AA:AA,"",0)="Free","Free",IF(XLOOKUP($A12,Partner_Voice!$A:$A,Partner_Voice!AA:AA,"",0)="VL","VL",IF(XLOOKUP($A12,Partner_Voice!$A:$A,Partner_Voice!AA:AA,"",0)="ATT","ATT",XLOOKUP($A12,Partner_Voice!$A:$A,Partner_Voice!AA:AA,"",0))))</f>
        <v>0.3333333333</v>
      </c>
      <c r="AB12" s="42">
        <f t="array" ref="AB12">IF(XLOOKUP($A12,Partner_Voice!$A:$A,Partner_Voice!AB:AB,"",0)="Free","Free",IF(XLOOKUP($A12,Partner_Voice!$A:$A,Partner_Voice!AB:AB,"",0)="VL","VL",IF(XLOOKUP($A12,Partner_Voice!$A:$A,Partner_Voice!AB:AB,"",0)="ATT","ATT",XLOOKUP($A12,Partner_Voice!$A:$A,Partner_Voice!AB:AB,"",0))))</f>
        <v>0.3333333333</v>
      </c>
      <c r="AC12" s="42">
        <f t="array" ref="AC12">IF(XLOOKUP($A12,Partner_Voice!$A:$A,Partner_Voice!AC:AC,"",0)="Free","Free",IF(XLOOKUP($A12,Partner_Voice!$A:$A,Partner_Voice!AC:AC,"",0)="VL","VL",IF(XLOOKUP($A12,Partner_Voice!$A:$A,Partner_Voice!AC:AC,"",0)="ATT","ATT",XLOOKUP($A12,Partner_Voice!$A:$A,Partner_Voice!AC:AC,"",0))))</f>
        <v>0.3333333333</v>
      </c>
      <c r="AD12" s="42" t="str">
        <f t="array" ref="AD12">IF(XLOOKUP($A12,Partner_Voice!$A:$A,Partner_Voice!AD:AD,"",0)="Free","Free",IF(XLOOKUP($A12,Partner_Voice!$A:$A,Partner_Voice!AD:AD,"",0)="VL","VL",IF(XLOOKUP($A12,Partner_Voice!$A:$A,Partner_Voice!AD:AD,"",0)="ATT","ATT",XLOOKUP($A12,Partner_Voice!$A:$A,Partner_Voice!AD:AD,"",0))))</f>
        <v>Free</v>
      </c>
      <c r="AE12" s="42">
        <f t="array" ref="AE12">IF(XLOOKUP($A12,Partner_Voice!$A:$A,Partner_Voice!AE:AE,"",0)="Free","Free",IF(XLOOKUP($A12,Partner_Voice!$A:$A,Partner_Voice!AE:AE,"",0)="VL","VL",IF(XLOOKUP($A12,Partner_Voice!$A:$A,Partner_Voice!AE:AE,"",0)="ATT","ATT",XLOOKUP($A12,Partner_Voice!$A:$A,Partner_Voice!AE:AE,"",0))))</f>
        <v>0.3333333333</v>
      </c>
      <c r="AF12" s="69"/>
      <c r="AG12" s="42">
        <f t="array" ref="AG12">IF(XLOOKUP($A12,Partner_Voice!$A:$A,Partner_Voice!AG:AG,"",0)="Free","Free",IF(XLOOKUP($A12,Partner_Voice!$A:$A,Partner_Voice!AG:AG,"",0)="VL","VL",IF(XLOOKUP($A12,Partner_Voice!$A:$A,Partner_Voice!AG:AG,"",0)="ATT","ATT",XLOOKUP($A12,Partner_Voice!$A:$A,Partner_Voice!AG:AG,"",0))))</f>
        <v>0.3333333333</v>
      </c>
      <c r="AH12" s="42">
        <f t="array" ref="AH12">IF(XLOOKUP($A12,Partner_Voice!$A:$A,Partner_Voice!AH:AH,"",0)="Free","Free",IF(XLOOKUP($A12,Partner_Voice!$A:$A,Partner_Voice!AH:AH,"",0)="VL","VL",IF(XLOOKUP($A12,Partner_Voice!$A:$A,Partner_Voice!AH:AH,"",0)="ATT","ATT",XLOOKUP($A12,Partner_Voice!$A:$A,Partner_Voice!AH:AH,"",0))))</f>
        <v>0.3333333333</v>
      </c>
      <c r="AI12" s="42">
        <f t="array" ref="AI12">IF(XLOOKUP($A12,Partner_Voice!$A:$A,Partner_Voice!AI:AI,"",0)="Free","Free",IF(XLOOKUP($A12,Partner_Voice!$A:$A,Partner_Voice!AI:AI,"",0)="VL","VL",IF(XLOOKUP($A12,Partner_Voice!$A:$A,Partner_Voice!AI:AI,"",0)="ATT","ATT",XLOOKUP($A12,Partner_Voice!$A:$A,Partner_Voice!AI:AI,"",0))))</f>
        <v>0.3333333333</v>
      </c>
      <c r="AJ12" s="42">
        <f t="array" ref="AJ12">IF(XLOOKUP($A12,Partner_Voice!$A:$A,Partner_Voice!AJ:AJ,"",0)="Free","Free",IF(XLOOKUP($A12,Partner_Voice!$A:$A,Partner_Voice!AJ:AJ,"",0)="VL","VL",IF(XLOOKUP($A12,Partner_Voice!$A:$A,Partner_Voice!AJ:AJ,"",0)="ATT","ATT",XLOOKUP($A12,Partner_Voice!$A:$A,Partner_Voice!AJ:AJ,"",0))))</f>
        <v>0.3333333333</v>
      </c>
      <c r="AK12" s="42" t="str">
        <f t="array" ref="AK12">IF(XLOOKUP($A12,Partner_Voice!$A:$A,Partner_Voice!AK:AK,"",0)="Free","Free",IF(XLOOKUP($A12,Partner_Voice!$A:$A,Partner_Voice!AK:AK,"",0)="VL","VL",IF(XLOOKUP($A12,Partner_Voice!$A:$A,Partner_Voice!AK:AK,"",0)="ATT","ATT",XLOOKUP($A12,Partner_Voice!$A:$A,Partner_Voice!AK:AK,"",0))))</f>
        <v>Free</v>
      </c>
      <c r="AL12" s="42">
        <f t="array" ref="AL12">IF(XLOOKUP($A12,Partner_Voice!$A:$A,Partner_Voice!AL:AL,"",0)="Free","Free",IF(XLOOKUP($A12,Partner_Voice!$A:$A,Partner_Voice!AL:AL,"",0)="VL","VL",IF(XLOOKUP($A12,Partner_Voice!$A:$A,Partner_Voice!AL:AL,"",0)="ATT","ATT",XLOOKUP($A12,Partner_Voice!$A:$A,Partner_Voice!AL:AL,"",0))))</f>
        <v>0.3333333333</v>
      </c>
      <c r="AM12" s="42"/>
    </row>
    <row r="13">
      <c r="A13" s="34" t="s">
        <v>53</v>
      </c>
      <c r="B13" s="35" t="str">
        <f t="array" ref="B13">XLOOKUP(A13,Roster!F:F,Roster!A:A,"")</f>
        <v>Andra Daza</v>
      </c>
      <c r="C13" s="35" t="str">
        <f t="array" ref="C13">XLOOKUP(A13,Roster!F:F,Roster!B:B,"")</f>
        <v>Kennedy Giraldo</v>
      </c>
      <c r="D13" s="70"/>
      <c r="E13" s="42">
        <f t="array" ref="E13">IF(XLOOKUP($A13,Partner_Voice!$A:$A,Partner_Voice!E:E,"",0)="Free","Free",IF(XLOOKUP($A13,Partner_Voice!$A:$A,Partner_Voice!E:E,"",0)="VL","VL",IF(XLOOKUP($A13,Partner_Voice!$A:$A,Partner_Voice!E:E,"",0)="ATT","ATT",XLOOKUP($A13,Partner_Voice!$A:$A,Partner_Voice!E:E,"",0))))</f>
        <v>0.2916666667</v>
      </c>
      <c r="F13" s="42">
        <f t="array" ref="F13">IF(XLOOKUP($A13,Partner_Voice!$A:$A,Partner_Voice!F:F,"",0)="Free","Free",IF(XLOOKUP($A13,Partner_Voice!$A:$A,Partner_Voice!F:F,"",0)="VL","VL",IF(XLOOKUP($A13,Partner_Voice!$A:$A,Partner_Voice!F:F,"",0)="ATT","ATT",XLOOKUP($A13,Partner_Voice!$A:$A,Partner_Voice!F:F,"",0))))</f>
        <v>0.2916666667</v>
      </c>
      <c r="G13" s="42">
        <f t="array" ref="G13">IF(XLOOKUP($A13,Partner_Voice!$A:$A,Partner_Voice!G:G,"",0)="Free","Free",IF(XLOOKUP($A13,Partner_Voice!$A:$A,Partner_Voice!G:G,"",0)="VL","VL",IF(XLOOKUP($A13,Partner_Voice!$A:$A,Partner_Voice!G:G,"",0)="ATT","ATT",XLOOKUP($A13,Partner_Voice!$A:$A,Partner_Voice!G:G,"",0))))</f>
        <v>0.2916666667</v>
      </c>
      <c r="H13" s="42">
        <f t="array" ref="H13">IF(XLOOKUP($A13,Partner_Voice!$A:$A,Partner_Voice!H:H,"",0)="Free","Free",IF(XLOOKUP($A13,Partner_Voice!$A:$A,Partner_Voice!H:H,"",0)="VL","VL",IF(XLOOKUP($A13,Partner_Voice!$A:$A,Partner_Voice!H:H,"",0)="ATT","ATT",XLOOKUP($A13,Partner_Voice!$A:$A,Partner_Voice!H:H,"",0))))</f>
        <v>0.2916666667</v>
      </c>
      <c r="I13" s="42">
        <f t="array" ref="I13">IF(XLOOKUP($A13,Partner_Voice!$A:$A,Partner_Voice!I:I,"",0)="Free","Free",IF(XLOOKUP($A13,Partner_Voice!$A:$A,Partner_Voice!I:I,"",0)="VL","VL",IF(XLOOKUP($A13,Partner_Voice!$A:$A,Partner_Voice!I:I,"",0)="ATT","ATT",XLOOKUP($A13,Partner_Voice!$A:$A,Partner_Voice!I:I,"",0))))</f>
        <v>0.2916666667</v>
      </c>
      <c r="J13" s="42" t="str">
        <f t="array" ref="J13">IF(XLOOKUP($A13,Partner_Voice!$A:$A,Partner_Voice!J:J,"",0)="Free","Free",IF(XLOOKUP($A13,Partner_Voice!$A:$A,Partner_Voice!J:J,"",0)="VL","VL",IF(XLOOKUP($A13,Partner_Voice!$A:$A,Partner_Voice!J:J,"",0)="ATT","ATT",XLOOKUP($A13,Partner_Voice!$A:$A,Partner_Voice!J:J,"",0))))</f>
        <v>Free</v>
      </c>
      <c r="K13" s="42"/>
      <c r="L13" s="42">
        <f t="array" ref="L13">IF(XLOOKUP($A13,Partner_Voice!$A:$A,Partner_Voice!L:L,"",0)="Free","Free",IF(XLOOKUP($A13,Partner_Voice!$A:$A,Partner_Voice!L:L,"",0)="VL","VL",IF(XLOOKUP($A13,Partner_Voice!$A:$A,Partner_Voice!L:L,"",0)="ATT","ATT",XLOOKUP($A13,Partner_Voice!$A:$A,Partner_Voice!L:L,"",0))))</f>
        <v>0.2916666667</v>
      </c>
      <c r="M13" s="42">
        <f t="array" ref="M13">IF(XLOOKUP($A13,Partner_Voice!$A:$A,Partner_Voice!M:M,"",0)="Free","Free",IF(XLOOKUP($A13,Partner_Voice!$A:$A,Partner_Voice!M:M,"",0)="VL","VL",IF(XLOOKUP($A13,Partner_Voice!$A:$A,Partner_Voice!M:M,"",0)="ATT","ATT",XLOOKUP($A13,Partner_Voice!$A:$A,Partner_Voice!M:M,"",0))))</f>
        <v>0.2916666667</v>
      </c>
      <c r="N13" s="42">
        <f t="array" ref="N13">IF(XLOOKUP($A13,Partner_Voice!$A:$A,Partner_Voice!N:N,"",0)="Free","Free",IF(XLOOKUP($A13,Partner_Voice!$A:$A,Partner_Voice!N:N,"",0)="VL","VL",IF(XLOOKUP($A13,Partner_Voice!$A:$A,Partner_Voice!N:N,"",0)="ATT","ATT",XLOOKUP($A13,Partner_Voice!$A:$A,Partner_Voice!N:N,"",0))))</f>
        <v>0.2916666667</v>
      </c>
      <c r="O13" s="42">
        <f t="array" ref="O13">IF(XLOOKUP($A13,Partner_Voice!$A:$A,Partner_Voice!O:O,"",0)="Free","Free",IF(XLOOKUP($A13,Partner_Voice!$A:$A,Partner_Voice!O:O,"",0)="VL","VL",IF(XLOOKUP($A13,Partner_Voice!$A:$A,Partner_Voice!O:O,"",0)="ATT","ATT",XLOOKUP($A13,Partner_Voice!$A:$A,Partner_Voice!O:O,"",0))))</f>
        <v>0.2916666667</v>
      </c>
      <c r="P13" s="42">
        <f t="array" ref="P13">IF(XLOOKUP($A13,Partner_Voice!$A:$A,Partner_Voice!P:P,"",0)="Free","Free",IF(XLOOKUP($A13,Partner_Voice!$A:$A,Partner_Voice!P:P,"",0)="VL","VL",IF(XLOOKUP($A13,Partner_Voice!$A:$A,Partner_Voice!P:P,"",0)="ATT","ATT",XLOOKUP($A13,Partner_Voice!$A:$A,Partner_Voice!P:P,"",0))))</f>
        <v>0.2916666667</v>
      </c>
      <c r="Q13" s="42" t="str">
        <f t="array" ref="Q13">IF(XLOOKUP($A13,Partner_Voice!$A:$A,Partner_Voice!Q:Q,"",0)="Free","Free",IF(XLOOKUP($A13,Partner_Voice!$A:$A,Partner_Voice!Q:Q,"",0)="VL","VL",IF(XLOOKUP($A13,Partner_Voice!$A:$A,Partner_Voice!Q:Q,"",0)="ATT","ATT",XLOOKUP($A13,Partner_Voice!$A:$A,Partner_Voice!Q:Q,"",0))))</f>
        <v>Free</v>
      </c>
      <c r="R13" s="43"/>
      <c r="S13" s="42">
        <f t="array" ref="S13">IF(XLOOKUP($A13,Partner_Voice!$A:$A,Partner_Voice!S:S,"",0)="Free","Free",IF(XLOOKUP($A13,Partner_Voice!$A:$A,Partner_Voice!S:S,"",0)="VL","VL",IF(XLOOKUP($A13,Partner_Voice!$A:$A,Partner_Voice!S:S,"",0)="ATT","ATT",XLOOKUP($A13,Partner_Voice!$A:$A,Partner_Voice!S:S,"",0))))</f>
        <v>0.2916666667</v>
      </c>
      <c r="T13" s="42">
        <f t="array" ref="T13">IF(XLOOKUP($A13,Partner_Voice!$A:$A,Partner_Voice!T:T,"",0)="Free","Free",IF(XLOOKUP($A13,Partner_Voice!$A:$A,Partner_Voice!T:T,"",0)="VL","VL",IF(XLOOKUP($A13,Partner_Voice!$A:$A,Partner_Voice!T:T,"",0)="ATT","ATT",XLOOKUP($A13,Partner_Voice!$A:$A,Partner_Voice!T:T,"",0))))</f>
        <v>0.2916666667</v>
      </c>
      <c r="U13" s="42">
        <f t="array" ref="U13">IF(XLOOKUP($A13,Partner_Voice!$A:$A,Partner_Voice!U:U,"",0)="Free","Free",IF(XLOOKUP($A13,Partner_Voice!$A:$A,Partner_Voice!U:U,"",0)="VL","VL",IF(XLOOKUP($A13,Partner_Voice!$A:$A,Partner_Voice!U:U,"",0)="ATT","ATT",XLOOKUP($A13,Partner_Voice!$A:$A,Partner_Voice!U:U,"",0))))</f>
        <v>0.2916666667</v>
      </c>
      <c r="V13" s="42">
        <f t="array" ref="V13">IF(XLOOKUP($A13,Partner_Voice!$A:$A,Partner_Voice!V:V,"",0)="Free","Free",IF(XLOOKUP($A13,Partner_Voice!$A:$A,Partner_Voice!V:V,"",0)="VL","VL",IF(XLOOKUP($A13,Partner_Voice!$A:$A,Partner_Voice!V:V,"",0)="ATT","ATT",XLOOKUP($A13,Partner_Voice!$A:$A,Partner_Voice!V:V,"",0))))</f>
        <v>0.2916666667</v>
      </c>
      <c r="W13" s="42">
        <f t="array" ref="W13">IF(XLOOKUP($A13,Partner_Voice!$A:$A,Partner_Voice!W:W,"",0)="Free","Free",IF(XLOOKUP($A13,Partner_Voice!$A:$A,Partner_Voice!W:W,"",0)="VL","VL",IF(XLOOKUP($A13,Partner_Voice!$A:$A,Partner_Voice!W:W,"",0)="ATT","ATT",XLOOKUP($A13,Partner_Voice!$A:$A,Partner_Voice!W:W,"",0))))</f>
        <v>0.2916666667</v>
      </c>
      <c r="X13" s="42" t="str">
        <f t="array" ref="X13">IF(XLOOKUP($A13,Partner_Voice!$A:$A,Partner_Voice!X:X,"",0)="Free","Free",IF(XLOOKUP($A13,Partner_Voice!$A:$A,Partner_Voice!X:X,"",0)="VL","VL",IF(XLOOKUP($A13,Partner_Voice!$A:$A,Partner_Voice!X:X,"",0)="ATT","ATT",XLOOKUP($A13,Partner_Voice!$A:$A,Partner_Voice!X:X,"",0))))</f>
        <v>Free</v>
      </c>
      <c r="Y13" s="43"/>
      <c r="Z13" s="42">
        <f t="array" ref="Z13">IF(XLOOKUP($A13,Partner_Voice!$A:$A,Partner_Voice!Z:Z,"",0)="Free","Free",IF(XLOOKUP($A13,Partner_Voice!$A:$A,Partner_Voice!Z:Z,"",0)="VL","VL",IF(XLOOKUP($A13,Partner_Voice!$A:$A,Partner_Voice!Z:Z,"",0)="ATT","ATT",XLOOKUP($A13,Partner_Voice!$A:$A,Partner_Voice!Z:Z,"",0))))</f>
        <v>0.2916666667</v>
      </c>
      <c r="AA13" s="42">
        <f t="array" ref="AA13">IF(XLOOKUP($A13,Partner_Voice!$A:$A,Partner_Voice!AA:AA,"",0)="Free","Free",IF(XLOOKUP($A13,Partner_Voice!$A:$A,Partner_Voice!AA:AA,"",0)="VL","VL",IF(XLOOKUP($A13,Partner_Voice!$A:$A,Partner_Voice!AA:AA,"",0)="ATT","ATT",XLOOKUP($A13,Partner_Voice!$A:$A,Partner_Voice!AA:AA,"",0))))</f>
        <v>0.2916666667</v>
      </c>
      <c r="AB13" s="42">
        <f t="array" ref="AB13">IF(XLOOKUP($A13,Partner_Voice!$A:$A,Partner_Voice!AB:AB,"",0)="Free","Free",IF(XLOOKUP($A13,Partner_Voice!$A:$A,Partner_Voice!AB:AB,"",0)="VL","VL",IF(XLOOKUP($A13,Partner_Voice!$A:$A,Partner_Voice!AB:AB,"",0)="ATT","ATT",XLOOKUP($A13,Partner_Voice!$A:$A,Partner_Voice!AB:AB,"",0))))</f>
        <v>0.2916666667</v>
      </c>
      <c r="AC13" s="42">
        <f t="array" ref="AC13">IF(XLOOKUP($A13,Partner_Voice!$A:$A,Partner_Voice!AC:AC,"",0)="Free","Free",IF(XLOOKUP($A13,Partner_Voice!$A:$A,Partner_Voice!AC:AC,"",0)="VL","VL",IF(XLOOKUP($A13,Partner_Voice!$A:$A,Partner_Voice!AC:AC,"",0)="ATT","ATT",XLOOKUP($A13,Partner_Voice!$A:$A,Partner_Voice!AC:AC,"",0))))</f>
        <v>0.2916666667</v>
      </c>
      <c r="AD13" s="42">
        <f t="array" ref="AD13">IF(XLOOKUP($A13,Partner_Voice!$A:$A,Partner_Voice!AD:AD,"",0)="Free","Free",IF(XLOOKUP($A13,Partner_Voice!$A:$A,Partner_Voice!AD:AD,"",0)="VL","VL",IF(XLOOKUP($A13,Partner_Voice!$A:$A,Partner_Voice!AD:AD,"",0)="ATT","ATT",XLOOKUP($A13,Partner_Voice!$A:$A,Partner_Voice!AD:AD,"",0))))</f>
        <v>0.2916666667</v>
      </c>
      <c r="AE13" s="42" t="str">
        <f t="array" ref="AE13">IF(XLOOKUP($A13,Partner_Voice!$A:$A,Partner_Voice!AE:AE,"",0)="Free","Free",IF(XLOOKUP($A13,Partner_Voice!$A:$A,Partner_Voice!AE:AE,"",0)="VL","VL",IF(XLOOKUP($A13,Partner_Voice!$A:$A,Partner_Voice!AE:AE,"",0)="ATT","ATT",XLOOKUP($A13,Partner_Voice!$A:$A,Partner_Voice!AE:AE,"",0))))</f>
        <v>Free</v>
      </c>
      <c r="AF13" s="69"/>
      <c r="AG13" s="42">
        <f t="array" ref="AG13">IF(XLOOKUP($A13,Partner_Voice!$A:$A,Partner_Voice!AG:AG,"",0)="Free","Free",IF(XLOOKUP($A13,Partner_Voice!$A:$A,Partner_Voice!AG:AG,"",0)="VL","VL",IF(XLOOKUP($A13,Partner_Voice!$A:$A,Partner_Voice!AG:AG,"",0)="ATT","ATT",XLOOKUP($A13,Partner_Voice!$A:$A,Partner_Voice!AG:AG,"",0))))</f>
        <v>0.2916666667</v>
      </c>
      <c r="AH13" s="42">
        <f t="array" ref="AH13">IF(XLOOKUP($A13,Partner_Voice!$A:$A,Partner_Voice!AH:AH,"",0)="Free","Free",IF(XLOOKUP($A13,Partner_Voice!$A:$A,Partner_Voice!AH:AH,"",0)="VL","VL",IF(XLOOKUP($A13,Partner_Voice!$A:$A,Partner_Voice!AH:AH,"",0)="ATT","ATT",XLOOKUP($A13,Partner_Voice!$A:$A,Partner_Voice!AH:AH,"",0))))</f>
        <v>0.2916666667</v>
      </c>
      <c r="AI13" s="42">
        <f t="array" ref="AI13">IF(XLOOKUP($A13,Partner_Voice!$A:$A,Partner_Voice!AI:AI,"",0)="Free","Free",IF(XLOOKUP($A13,Partner_Voice!$A:$A,Partner_Voice!AI:AI,"",0)="VL","VL",IF(XLOOKUP($A13,Partner_Voice!$A:$A,Partner_Voice!AI:AI,"",0)="ATT","ATT",XLOOKUP($A13,Partner_Voice!$A:$A,Partner_Voice!AI:AI,"",0))))</f>
        <v>0.2916666667</v>
      </c>
      <c r="AJ13" s="42">
        <f t="array" ref="AJ13">IF(XLOOKUP($A13,Partner_Voice!$A:$A,Partner_Voice!AJ:AJ,"",0)="Free","Free",IF(XLOOKUP($A13,Partner_Voice!$A:$A,Partner_Voice!AJ:AJ,"",0)="VL","VL",IF(XLOOKUP($A13,Partner_Voice!$A:$A,Partner_Voice!AJ:AJ,"",0)="ATT","ATT",XLOOKUP($A13,Partner_Voice!$A:$A,Partner_Voice!AJ:AJ,"",0))))</f>
        <v>0.2916666667</v>
      </c>
      <c r="AK13" s="42">
        <f t="array" ref="AK13">IF(XLOOKUP($A13,Partner_Voice!$A:$A,Partner_Voice!AK:AK,"",0)="Free","Free",IF(XLOOKUP($A13,Partner_Voice!$A:$A,Partner_Voice!AK:AK,"",0)="VL","VL",IF(XLOOKUP($A13,Partner_Voice!$A:$A,Partner_Voice!AK:AK,"",0)="ATT","ATT",XLOOKUP($A13,Partner_Voice!$A:$A,Partner_Voice!AK:AK,"",0))))</f>
        <v>0.2916666667</v>
      </c>
      <c r="AL13" s="42" t="str">
        <f t="array" ref="AL13">IF(XLOOKUP($A13,Partner_Voice!$A:$A,Partner_Voice!AL:AL,"",0)="Free","Free",IF(XLOOKUP($A13,Partner_Voice!$A:$A,Partner_Voice!AL:AL,"",0)="VL","VL",IF(XLOOKUP($A13,Partner_Voice!$A:$A,Partner_Voice!AL:AL,"",0)="ATT","ATT",XLOOKUP($A13,Partner_Voice!$A:$A,Partner_Voice!AL:AL,"",0))))</f>
        <v>Free</v>
      </c>
      <c r="AM13" s="42"/>
    </row>
    <row r="14">
      <c r="A14" s="47" t="s">
        <v>54</v>
      </c>
      <c r="B14" s="35" t="str">
        <f t="array" ref="B14">XLOOKUP(A14,Roster!F:F,Roster!A:A,"")</f>
        <v>Andra Daza</v>
      </c>
      <c r="C14" s="35" t="str">
        <f t="array" ref="C14">XLOOKUP(A14,Roster!F:F,Roster!B:B,"")</f>
        <v>Kevin Betancur</v>
      </c>
      <c r="D14" s="70"/>
      <c r="E14" s="42">
        <f t="array" ref="E14">IF(XLOOKUP($A14,Partner_Voice!$A:$A,Partner_Voice!E:E,"",0)="Free","Free",IF(XLOOKUP($A14,Partner_Voice!$A:$A,Partner_Voice!E:E,"",0)="VL","VL",IF(XLOOKUP($A14,Partner_Voice!$A:$A,Partner_Voice!E:E,"",0)="ATT","ATT",XLOOKUP($A14,Partner_Voice!$A:$A,Partner_Voice!E:E,"",0))))</f>
        <v>0.3333333333</v>
      </c>
      <c r="F14" s="42">
        <f t="array" ref="F14">IF(XLOOKUP($A14,Partner_Voice!$A:$A,Partner_Voice!F:F,"",0)="Free","Free",IF(XLOOKUP($A14,Partner_Voice!$A:$A,Partner_Voice!F:F,"",0)="VL","VL",IF(XLOOKUP($A14,Partner_Voice!$A:$A,Partner_Voice!F:F,"",0)="ATT","ATT",XLOOKUP($A14,Partner_Voice!$A:$A,Partner_Voice!F:F,"",0))))</f>
        <v>0.3333333333</v>
      </c>
      <c r="G14" s="42">
        <f t="array" ref="G14">IF(XLOOKUP($A14,Partner_Voice!$A:$A,Partner_Voice!G:G,"",0)="Free","Free",IF(XLOOKUP($A14,Partner_Voice!$A:$A,Partner_Voice!G:G,"",0)="VL","VL",IF(XLOOKUP($A14,Partner_Voice!$A:$A,Partner_Voice!G:G,"",0)="ATT","ATT",XLOOKUP($A14,Partner_Voice!$A:$A,Partner_Voice!G:G,"",0))))</f>
        <v>0.3333333333</v>
      </c>
      <c r="H14" s="42">
        <f t="array" ref="H14">IF(XLOOKUP($A14,Partner_Voice!$A:$A,Partner_Voice!H:H,"",0)="Free","Free",IF(XLOOKUP($A14,Partner_Voice!$A:$A,Partner_Voice!H:H,"",0)="VL","VL",IF(XLOOKUP($A14,Partner_Voice!$A:$A,Partner_Voice!H:H,"",0)="ATT","ATT",XLOOKUP($A14,Partner_Voice!$A:$A,Partner_Voice!H:H,"",0))))</f>
        <v>0.3333333333</v>
      </c>
      <c r="I14" s="42">
        <f t="array" ref="I14">IF(XLOOKUP($A14,Partner_Voice!$A:$A,Partner_Voice!I:I,"",0)="Free","Free",IF(XLOOKUP($A14,Partner_Voice!$A:$A,Partner_Voice!I:I,"",0)="VL","VL",IF(XLOOKUP($A14,Partner_Voice!$A:$A,Partner_Voice!I:I,"",0)="ATT","ATT",XLOOKUP($A14,Partner_Voice!$A:$A,Partner_Voice!I:I,"",0))))</f>
        <v>0.3333333333</v>
      </c>
      <c r="J14" s="42" t="str">
        <f t="array" ref="J14">IF(XLOOKUP($A14,Partner_Voice!$A:$A,Partner_Voice!J:J,"",0)="Free","Free",IF(XLOOKUP($A14,Partner_Voice!$A:$A,Partner_Voice!J:J,"",0)="VL","VL",IF(XLOOKUP($A14,Partner_Voice!$A:$A,Partner_Voice!J:J,"",0)="ATT","ATT",XLOOKUP($A14,Partner_Voice!$A:$A,Partner_Voice!J:J,"",0))))</f>
        <v>Free</v>
      </c>
      <c r="K14" s="42"/>
      <c r="L14" s="42">
        <f t="array" ref="L14">IF(XLOOKUP($A14,Partner_Voice!$A:$A,Partner_Voice!L:L,"",0)="Free","Free",IF(XLOOKUP($A14,Partner_Voice!$A:$A,Partner_Voice!L:L,"",0)="VL","VL",IF(XLOOKUP($A14,Partner_Voice!$A:$A,Partner_Voice!L:L,"",0)="ATT","ATT",XLOOKUP($A14,Partner_Voice!$A:$A,Partner_Voice!L:L,"",0))))</f>
        <v>0.3333333333</v>
      </c>
      <c r="M14" s="42">
        <f t="array" ref="M14">IF(XLOOKUP($A14,Partner_Voice!$A:$A,Partner_Voice!M:M,"",0)="Free","Free",IF(XLOOKUP($A14,Partner_Voice!$A:$A,Partner_Voice!M:M,"",0)="VL","VL",IF(XLOOKUP($A14,Partner_Voice!$A:$A,Partner_Voice!M:M,"",0)="ATT","ATT",XLOOKUP($A14,Partner_Voice!$A:$A,Partner_Voice!M:M,"",0))))</f>
        <v>0.3333333333</v>
      </c>
      <c r="N14" s="42">
        <f t="array" ref="N14">IF(XLOOKUP($A14,Partner_Voice!$A:$A,Partner_Voice!N:N,"",0)="Free","Free",IF(XLOOKUP($A14,Partner_Voice!$A:$A,Partner_Voice!N:N,"",0)="VL","VL",IF(XLOOKUP($A14,Partner_Voice!$A:$A,Partner_Voice!N:N,"",0)="ATT","ATT",XLOOKUP($A14,Partner_Voice!$A:$A,Partner_Voice!N:N,"",0))))</f>
        <v>0.3333333333</v>
      </c>
      <c r="O14" s="42">
        <f t="array" ref="O14">IF(XLOOKUP($A14,Partner_Voice!$A:$A,Partner_Voice!O:O,"",0)="Free","Free",IF(XLOOKUP($A14,Partner_Voice!$A:$A,Partner_Voice!O:O,"",0)="VL","VL",IF(XLOOKUP($A14,Partner_Voice!$A:$A,Partner_Voice!O:O,"",0)="ATT","ATT",XLOOKUP($A14,Partner_Voice!$A:$A,Partner_Voice!O:O,"",0))))</f>
        <v>0.3333333333</v>
      </c>
      <c r="P14" s="42">
        <f t="array" ref="P14">IF(XLOOKUP($A14,Partner_Voice!$A:$A,Partner_Voice!P:P,"",0)="Free","Free",IF(XLOOKUP($A14,Partner_Voice!$A:$A,Partner_Voice!P:P,"",0)="VL","VL",IF(XLOOKUP($A14,Partner_Voice!$A:$A,Partner_Voice!P:P,"",0)="ATT","ATT",XLOOKUP($A14,Partner_Voice!$A:$A,Partner_Voice!P:P,"",0))))</f>
        <v>0.3333333333</v>
      </c>
      <c r="Q14" s="42" t="str">
        <f t="array" ref="Q14">IF(XLOOKUP($A14,Partner_Voice!$A:$A,Partner_Voice!Q:Q,"",0)="Free","Free",IF(XLOOKUP($A14,Partner_Voice!$A:$A,Partner_Voice!Q:Q,"",0)="VL","VL",IF(XLOOKUP($A14,Partner_Voice!$A:$A,Partner_Voice!Q:Q,"",0)="ATT","ATT",XLOOKUP($A14,Partner_Voice!$A:$A,Partner_Voice!Q:Q,"",0))))</f>
        <v>Free</v>
      </c>
      <c r="R14" s="43"/>
      <c r="S14" s="42">
        <f t="array" ref="S14">IF(XLOOKUP($A14,Partner_Voice!$A:$A,Partner_Voice!S:S,"",0)="Free","Free",IF(XLOOKUP($A14,Partner_Voice!$A:$A,Partner_Voice!S:S,"",0)="VL","VL",IF(XLOOKUP($A14,Partner_Voice!$A:$A,Partner_Voice!S:S,"",0)="ATT","ATT",XLOOKUP($A14,Partner_Voice!$A:$A,Partner_Voice!S:S,"",0))))</f>
        <v>0.3333333333</v>
      </c>
      <c r="T14" s="42">
        <f t="array" ref="T14">IF(XLOOKUP($A14,Partner_Voice!$A:$A,Partner_Voice!T:T,"",0)="Free","Free",IF(XLOOKUP($A14,Partner_Voice!$A:$A,Partner_Voice!T:T,"",0)="VL","VL",IF(XLOOKUP($A14,Partner_Voice!$A:$A,Partner_Voice!T:T,"",0)="ATT","ATT",XLOOKUP($A14,Partner_Voice!$A:$A,Partner_Voice!T:T,"",0))))</f>
        <v>0.3333333333</v>
      </c>
      <c r="U14" s="42">
        <f t="array" ref="U14">IF(XLOOKUP($A14,Partner_Voice!$A:$A,Partner_Voice!U:U,"",0)="Free","Free",IF(XLOOKUP($A14,Partner_Voice!$A:$A,Partner_Voice!U:U,"",0)="VL","VL",IF(XLOOKUP($A14,Partner_Voice!$A:$A,Partner_Voice!U:U,"",0)="ATT","ATT",XLOOKUP($A14,Partner_Voice!$A:$A,Partner_Voice!U:U,"",0))))</f>
        <v>0.3333333333</v>
      </c>
      <c r="V14" s="42">
        <f t="array" ref="V14">IF(XLOOKUP($A14,Partner_Voice!$A:$A,Partner_Voice!V:V,"",0)="Free","Free",IF(XLOOKUP($A14,Partner_Voice!$A:$A,Partner_Voice!V:V,"",0)="VL","VL",IF(XLOOKUP($A14,Partner_Voice!$A:$A,Partner_Voice!V:V,"",0)="ATT","ATT",XLOOKUP($A14,Partner_Voice!$A:$A,Partner_Voice!V:V,"",0))))</f>
        <v>0.3333333333</v>
      </c>
      <c r="W14" s="42">
        <f t="array" ref="W14">IF(XLOOKUP($A14,Partner_Voice!$A:$A,Partner_Voice!W:W,"",0)="Free","Free",IF(XLOOKUP($A14,Partner_Voice!$A:$A,Partner_Voice!W:W,"",0)="VL","VL",IF(XLOOKUP($A14,Partner_Voice!$A:$A,Partner_Voice!W:W,"",0)="ATT","ATT",XLOOKUP($A14,Partner_Voice!$A:$A,Partner_Voice!W:W,"",0))))</f>
        <v>0.3333333333</v>
      </c>
      <c r="X14" s="42" t="str">
        <f t="array" ref="X14">IF(XLOOKUP($A14,Partner_Voice!$A:$A,Partner_Voice!X:X,"",0)="Free","Free",IF(XLOOKUP($A14,Partner_Voice!$A:$A,Partner_Voice!X:X,"",0)="VL","VL",IF(XLOOKUP($A14,Partner_Voice!$A:$A,Partner_Voice!X:X,"",0)="ATT","ATT",XLOOKUP($A14,Partner_Voice!$A:$A,Partner_Voice!X:X,"",0))))</f>
        <v>Free</v>
      </c>
      <c r="Y14" s="43"/>
      <c r="Z14" s="42">
        <f t="array" ref="Z14">IF(XLOOKUP($A14,Partner_Voice!$A:$A,Partner_Voice!Z:Z,"",0)="Free","Free",IF(XLOOKUP($A14,Partner_Voice!$A:$A,Partner_Voice!Z:Z,"",0)="VL","VL",IF(XLOOKUP($A14,Partner_Voice!$A:$A,Partner_Voice!Z:Z,"",0)="ATT","ATT",XLOOKUP($A14,Partner_Voice!$A:$A,Partner_Voice!Z:Z,"",0))))</f>
        <v>0.3333333333</v>
      </c>
      <c r="AA14" s="42">
        <f t="array" ref="AA14">IF(XLOOKUP($A14,Partner_Voice!$A:$A,Partner_Voice!AA:AA,"",0)="Free","Free",IF(XLOOKUP($A14,Partner_Voice!$A:$A,Partner_Voice!AA:AA,"",0)="VL","VL",IF(XLOOKUP($A14,Partner_Voice!$A:$A,Partner_Voice!AA:AA,"",0)="ATT","ATT",XLOOKUP($A14,Partner_Voice!$A:$A,Partner_Voice!AA:AA,"",0))))</f>
        <v>0.3333333333</v>
      </c>
      <c r="AB14" s="42">
        <f t="array" ref="AB14">IF(XLOOKUP($A14,Partner_Voice!$A:$A,Partner_Voice!AB:AB,"",0)="Free","Free",IF(XLOOKUP($A14,Partner_Voice!$A:$A,Partner_Voice!AB:AB,"",0)="VL","VL",IF(XLOOKUP($A14,Partner_Voice!$A:$A,Partner_Voice!AB:AB,"",0)="ATT","ATT",XLOOKUP($A14,Partner_Voice!$A:$A,Partner_Voice!AB:AB,"",0))))</f>
        <v>0.3333333333</v>
      </c>
      <c r="AC14" s="42">
        <f t="array" ref="AC14">IF(XLOOKUP($A14,Partner_Voice!$A:$A,Partner_Voice!AC:AC,"",0)="Free","Free",IF(XLOOKUP($A14,Partner_Voice!$A:$A,Partner_Voice!AC:AC,"",0)="VL","VL",IF(XLOOKUP($A14,Partner_Voice!$A:$A,Partner_Voice!AC:AC,"",0)="ATT","ATT",XLOOKUP($A14,Partner_Voice!$A:$A,Partner_Voice!AC:AC,"",0))))</f>
        <v>0.3333333333</v>
      </c>
      <c r="AD14" s="42">
        <f t="array" ref="AD14">IF(XLOOKUP($A14,Partner_Voice!$A:$A,Partner_Voice!AD:AD,"",0)="Free","Free",IF(XLOOKUP($A14,Partner_Voice!$A:$A,Partner_Voice!AD:AD,"",0)="VL","VL",IF(XLOOKUP($A14,Partner_Voice!$A:$A,Partner_Voice!AD:AD,"",0)="ATT","ATT",XLOOKUP($A14,Partner_Voice!$A:$A,Partner_Voice!AD:AD,"",0))))</f>
        <v>0.3333333333</v>
      </c>
      <c r="AE14" s="42" t="str">
        <f t="array" ref="AE14">IF(XLOOKUP($A14,Partner_Voice!$A:$A,Partner_Voice!AE:AE,"",0)="Free","Free",IF(XLOOKUP($A14,Partner_Voice!$A:$A,Partner_Voice!AE:AE,"",0)="VL","VL",IF(XLOOKUP($A14,Partner_Voice!$A:$A,Partner_Voice!AE:AE,"",0)="ATT","ATT",XLOOKUP($A14,Partner_Voice!$A:$A,Partner_Voice!AE:AE,"",0))))</f>
        <v>Free</v>
      </c>
      <c r="AF14" s="69"/>
      <c r="AG14" s="42">
        <f t="array" ref="AG14">IF(XLOOKUP($A14,Partner_Voice!$A:$A,Partner_Voice!AG:AG,"",0)="Free","Free",IF(XLOOKUP($A14,Partner_Voice!$A:$A,Partner_Voice!AG:AG,"",0)="VL","VL",IF(XLOOKUP($A14,Partner_Voice!$A:$A,Partner_Voice!AG:AG,"",0)="ATT","ATT",XLOOKUP($A14,Partner_Voice!$A:$A,Partner_Voice!AG:AG,"",0))))</f>
        <v>0.3333333333</v>
      </c>
      <c r="AH14" s="42">
        <f t="array" ref="AH14">IF(XLOOKUP($A14,Partner_Voice!$A:$A,Partner_Voice!AH:AH,"",0)="Free","Free",IF(XLOOKUP($A14,Partner_Voice!$A:$A,Partner_Voice!AH:AH,"",0)="VL","VL",IF(XLOOKUP($A14,Partner_Voice!$A:$A,Partner_Voice!AH:AH,"",0)="ATT","ATT",XLOOKUP($A14,Partner_Voice!$A:$A,Partner_Voice!AH:AH,"",0))))</f>
        <v>0.3333333333</v>
      </c>
      <c r="AI14" s="42">
        <f t="array" ref="AI14">IF(XLOOKUP($A14,Partner_Voice!$A:$A,Partner_Voice!AI:AI,"",0)="Free","Free",IF(XLOOKUP($A14,Partner_Voice!$A:$A,Partner_Voice!AI:AI,"",0)="VL","VL",IF(XLOOKUP($A14,Partner_Voice!$A:$A,Partner_Voice!AI:AI,"",0)="ATT","ATT",XLOOKUP($A14,Partner_Voice!$A:$A,Partner_Voice!AI:AI,"",0))))</f>
        <v>0.3333333333</v>
      </c>
      <c r="AJ14" s="42">
        <f t="array" ref="AJ14">IF(XLOOKUP($A14,Partner_Voice!$A:$A,Partner_Voice!AJ:AJ,"",0)="Free","Free",IF(XLOOKUP($A14,Partner_Voice!$A:$A,Partner_Voice!AJ:AJ,"",0)="VL","VL",IF(XLOOKUP($A14,Partner_Voice!$A:$A,Partner_Voice!AJ:AJ,"",0)="ATT","ATT",XLOOKUP($A14,Partner_Voice!$A:$A,Partner_Voice!AJ:AJ,"",0))))</f>
        <v>0.3333333333</v>
      </c>
      <c r="AK14" s="42">
        <f t="array" ref="AK14">IF(XLOOKUP($A14,Partner_Voice!$A:$A,Partner_Voice!AK:AK,"",0)="Free","Free",IF(XLOOKUP($A14,Partner_Voice!$A:$A,Partner_Voice!AK:AK,"",0)="VL","VL",IF(XLOOKUP($A14,Partner_Voice!$A:$A,Partner_Voice!AK:AK,"",0)="ATT","ATT",XLOOKUP($A14,Partner_Voice!$A:$A,Partner_Voice!AK:AK,"",0))))</f>
        <v>0.3333333333</v>
      </c>
      <c r="AL14" s="42" t="str">
        <f t="array" ref="AL14">IF(XLOOKUP($A14,Partner_Voice!$A:$A,Partner_Voice!AL:AL,"",0)="Free","Free",IF(XLOOKUP($A14,Partner_Voice!$A:$A,Partner_Voice!AL:AL,"",0)="VL","VL",IF(XLOOKUP($A14,Partner_Voice!$A:$A,Partner_Voice!AL:AL,"",0)="ATT","ATT",XLOOKUP($A14,Partner_Voice!$A:$A,Partner_Voice!AL:AL,"",0))))</f>
        <v>Free</v>
      </c>
      <c r="AM14" s="42"/>
    </row>
    <row r="15">
      <c r="A15" s="47" t="s">
        <v>58</v>
      </c>
      <c r="B15" s="35" t="str">
        <f t="array" ref="B15">XLOOKUP(A15,Roster!F:F,Roster!A:A,"")</f>
        <v>Andra Daza</v>
      </c>
      <c r="C15" s="35" t="str">
        <f t="array" ref="C15">XLOOKUP(A15,Roster!F:F,Roster!B:B,"")</f>
        <v>Luis Lopez</v>
      </c>
      <c r="D15" s="70"/>
      <c r="E15" s="42">
        <f t="array" ref="E15">IF(XLOOKUP($A15,Partner_Voice!$A:$A,Partner_Voice!E:E,"",0)="Free","Free",IF(XLOOKUP($A15,Partner_Voice!$A:$A,Partner_Voice!E:E,"",0)="VL","VL",IF(XLOOKUP($A15,Partner_Voice!$A:$A,Partner_Voice!E:E,"",0)="ATT","ATT",XLOOKUP($A15,Partner_Voice!$A:$A,Partner_Voice!E:E,"",0))))</f>
        <v>0.2916666667</v>
      </c>
      <c r="F15" s="42">
        <f t="array" ref="F15">IF(XLOOKUP($A15,Partner_Voice!$A:$A,Partner_Voice!F:F,"",0)="Free","Free",IF(XLOOKUP($A15,Partner_Voice!$A:$A,Partner_Voice!F:F,"",0)="VL","VL",IF(XLOOKUP($A15,Partner_Voice!$A:$A,Partner_Voice!F:F,"",0)="ATT","ATT",XLOOKUP($A15,Partner_Voice!$A:$A,Partner_Voice!F:F,"",0))))</f>
        <v>0.625</v>
      </c>
      <c r="G15" s="42">
        <f t="array" ref="G15">IF(XLOOKUP($A15,Partner_Voice!$A:$A,Partner_Voice!G:G,"",0)="Free","Free",IF(XLOOKUP($A15,Partner_Voice!$A:$A,Partner_Voice!G:G,"",0)="VL","VL",IF(XLOOKUP($A15,Partner_Voice!$A:$A,Partner_Voice!G:G,"",0)="ATT","ATT",XLOOKUP($A15,Partner_Voice!$A:$A,Partner_Voice!G:G,"",0))))</f>
        <v>0.4166666667</v>
      </c>
      <c r="H15" s="42">
        <f t="array" ref="H15">IF(XLOOKUP($A15,Partner_Voice!$A:$A,Partner_Voice!H:H,"",0)="Free","Free",IF(XLOOKUP($A15,Partner_Voice!$A:$A,Partner_Voice!H:H,"",0)="VL","VL",IF(XLOOKUP($A15,Partner_Voice!$A:$A,Partner_Voice!H:H,"",0)="ATT","ATT",XLOOKUP($A15,Partner_Voice!$A:$A,Partner_Voice!H:H,"",0))))</f>
        <v>0.5416666667</v>
      </c>
      <c r="I15" s="42">
        <f t="array" ref="I15">IF(XLOOKUP($A15,Partner_Voice!$A:$A,Partner_Voice!I:I,"",0)="Free","Free",IF(XLOOKUP($A15,Partner_Voice!$A:$A,Partner_Voice!I:I,"",0)="VL","VL",IF(XLOOKUP($A15,Partner_Voice!$A:$A,Partner_Voice!I:I,"",0)="ATT","ATT",XLOOKUP($A15,Partner_Voice!$A:$A,Partner_Voice!I:I,"",0))))</f>
        <v>0.4583333333</v>
      </c>
      <c r="J15" s="42" t="str">
        <f t="array" ref="J15">IF(XLOOKUP($A15,Partner_Voice!$A:$A,Partner_Voice!J:J,"",0)="Free","Free",IF(XLOOKUP($A15,Partner_Voice!$A:$A,Partner_Voice!J:J,"",0)="VL","VL",IF(XLOOKUP($A15,Partner_Voice!$A:$A,Partner_Voice!J:J,"",0)="ATT","ATT",XLOOKUP($A15,Partner_Voice!$A:$A,Partner_Voice!J:J,"",0))))</f>
        <v>Free</v>
      </c>
      <c r="K15" s="42"/>
      <c r="L15" s="42">
        <f t="array" ref="L15">IF(XLOOKUP($A15,Partner_Voice!$A:$A,Partner_Voice!L:L,"",0)="Free","Free",IF(XLOOKUP($A15,Partner_Voice!$A:$A,Partner_Voice!L:L,"",0)="VL","VL",IF(XLOOKUP($A15,Partner_Voice!$A:$A,Partner_Voice!L:L,"",0)="ATT","ATT",XLOOKUP($A15,Partner_Voice!$A:$A,Partner_Voice!L:L,"",0))))</f>
        <v>0.2916666667</v>
      </c>
      <c r="M15" s="42">
        <f t="array" ref="M15">IF(XLOOKUP($A15,Partner_Voice!$A:$A,Partner_Voice!M:M,"",0)="Free","Free",IF(XLOOKUP($A15,Partner_Voice!$A:$A,Partner_Voice!M:M,"",0)="VL","VL",IF(XLOOKUP($A15,Partner_Voice!$A:$A,Partner_Voice!M:M,"",0)="ATT","ATT",XLOOKUP($A15,Partner_Voice!$A:$A,Partner_Voice!M:M,"",0))))</f>
        <v>0.625</v>
      </c>
      <c r="N15" s="42">
        <f t="array" ref="N15">IF(XLOOKUP($A15,Partner_Voice!$A:$A,Partner_Voice!N:N,"",0)="Free","Free",IF(XLOOKUP($A15,Partner_Voice!$A:$A,Partner_Voice!N:N,"",0)="VL","VL",IF(XLOOKUP($A15,Partner_Voice!$A:$A,Partner_Voice!N:N,"",0)="ATT","ATT",XLOOKUP($A15,Partner_Voice!$A:$A,Partner_Voice!N:N,"",0))))</f>
        <v>0.4166666667</v>
      </c>
      <c r="O15" s="42">
        <f t="array" ref="O15">IF(XLOOKUP($A15,Partner_Voice!$A:$A,Partner_Voice!O:O,"",0)="Free","Free",IF(XLOOKUP($A15,Partner_Voice!$A:$A,Partner_Voice!O:O,"",0)="VL","VL",IF(XLOOKUP($A15,Partner_Voice!$A:$A,Partner_Voice!O:O,"",0)="ATT","ATT",XLOOKUP($A15,Partner_Voice!$A:$A,Partner_Voice!O:O,"",0))))</f>
        <v>0.5416666667</v>
      </c>
      <c r="P15" s="42">
        <f t="array" ref="P15">IF(XLOOKUP($A15,Partner_Voice!$A:$A,Partner_Voice!P:P,"",0)="Free","Free",IF(XLOOKUP($A15,Partner_Voice!$A:$A,Partner_Voice!P:P,"",0)="VL","VL",IF(XLOOKUP($A15,Partner_Voice!$A:$A,Partner_Voice!P:P,"",0)="ATT","ATT",XLOOKUP($A15,Partner_Voice!$A:$A,Partner_Voice!P:P,"",0))))</f>
        <v>0.4583333333</v>
      </c>
      <c r="Q15" s="42" t="str">
        <f t="array" ref="Q15">IF(XLOOKUP($A15,Partner_Voice!$A:$A,Partner_Voice!Q:Q,"",0)="Free","Free",IF(XLOOKUP($A15,Partner_Voice!$A:$A,Partner_Voice!Q:Q,"",0)="VL","VL",IF(XLOOKUP($A15,Partner_Voice!$A:$A,Partner_Voice!Q:Q,"",0)="ATT","ATT",XLOOKUP($A15,Partner_Voice!$A:$A,Partner_Voice!Q:Q,"",0))))</f>
        <v>Free</v>
      </c>
      <c r="R15" s="43"/>
      <c r="S15" s="42">
        <f t="array" ref="S15">IF(XLOOKUP($A15,Partner_Voice!$A:$A,Partner_Voice!S:S,"",0)="Free","Free",IF(XLOOKUP($A15,Partner_Voice!$A:$A,Partner_Voice!S:S,"",0)="VL","VL",IF(XLOOKUP($A15,Partner_Voice!$A:$A,Partner_Voice!S:S,"",0)="ATT","ATT",XLOOKUP($A15,Partner_Voice!$A:$A,Partner_Voice!S:S,"",0))))</f>
        <v>0.2916666667</v>
      </c>
      <c r="T15" s="42">
        <f t="array" ref="T15">IF(XLOOKUP($A15,Partner_Voice!$A:$A,Partner_Voice!T:T,"",0)="Free","Free",IF(XLOOKUP($A15,Partner_Voice!$A:$A,Partner_Voice!T:T,"",0)="VL","VL",IF(XLOOKUP($A15,Partner_Voice!$A:$A,Partner_Voice!T:T,"",0)="ATT","ATT",XLOOKUP($A15,Partner_Voice!$A:$A,Partner_Voice!T:T,"",0))))</f>
        <v>0.625</v>
      </c>
      <c r="U15" s="42">
        <f t="array" ref="U15">IF(XLOOKUP($A15,Partner_Voice!$A:$A,Partner_Voice!U:U,"",0)="Free","Free",IF(XLOOKUP($A15,Partner_Voice!$A:$A,Partner_Voice!U:U,"",0)="VL","VL",IF(XLOOKUP($A15,Partner_Voice!$A:$A,Partner_Voice!U:U,"",0)="ATT","ATT",XLOOKUP($A15,Partner_Voice!$A:$A,Partner_Voice!U:U,"",0))))</f>
        <v>0.4166666667</v>
      </c>
      <c r="V15" s="42">
        <f t="array" ref="V15">IF(XLOOKUP($A15,Partner_Voice!$A:$A,Partner_Voice!V:V,"",0)="Free","Free",IF(XLOOKUP($A15,Partner_Voice!$A:$A,Partner_Voice!V:V,"",0)="VL","VL",IF(XLOOKUP($A15,Partner_Voice!$A:$A,Partner_Voice!V:V,"",0)="ATT","ATT",XLOOKUP($A15,Partner_Voice!$A:$A,Partner_Voice!V:V,"",0))))</f>
        <v>0.5416666667</v>
      </c>
      <c r="W15" s="42">
        <f t="array" ref="W15">IF(XLOOKUP($A15,Partner_Voice!$A:$A,Partner_Voice!W:W,"",0)="Free","Free",IF(XLOOKUP($A15,Partner_Voice!$A:$A,Partner_Voice!W:W,"",0)="VL","VL",IF(XLOOKUP($A15,Partner_Voice!$A:$A,Partner_Voice!W:W,"",0)="ATT","ATT",XLOOKUP($A15,Partner_Voice!$A:$A,Partner_Voice!W:W,"",0))))</f>
        <v>0.4583333333</v>
      </c>
      <c r="X15" s="42" t="str">
        <f t="array" ref="X15">IF(XLOOKUP($A15,Partner_Voice!$A:$A,Partner_Voice!X:X,"",0)="Free","Free",IF(XLOOKUP($A15,Partner_Voice!$A:$A,Partner_Voice!X:X,"",0)="VL","VL",IF(XLOOKUP($A15,Partner_Voice!$A:$A,Partner_Voice!X:X,"",0)="ATT","ATT",XLOOKUP($A15,Partner_Voice!$A:$A,Partner_Voice!X:X,"",0))))</f>
        <v>Free</v>
      </c>
      <c r="Y15" s="43"/>
      <c r="Z15" s="42">
        <f t="array" ref="Z15">IF(XLOOKUP($A15,Partner_Voice!$A:$A,Partner_Voice!Z:Z,"",0)="Free","Free",IF(XLOOKUP($A15,Partner_Voice!$A:$A,Partner_Voice!Z:Z,"",0)="VL","VL",IF(XLOOKUP($A15,Partner_Voice!$A:$A,Partner_Voice!Z:Z,"",0)="ATT","ATT",XLOOKUP($A15,Partner_Voice!$A:$A,Partner_Voice!Z:Z,"",0))))</f>
        <v>0.2916666667</v>
      </c>
      <c r="AA15" s="42">
        <f t="array" ref="AA15">IF(XLOOKUP($A15,Partner_Voice!$A:$A,Partner_Voice!AA:AA,"",0)="Free","Free",IF(XLOOKUP($A15,Partner_Voice!$A:$A,Partner_Voice!AA:AA,"",0)="VL","VL",IF(XLOOKUP($A15,Partner_Voice!$A:$A,Partner_Voice!AA:AA,"",0)="ATT","ATT",XLOOKUP($A15,Partner_Voice!$A:$A,Partner_Voice!AA:AA,"",0))))</f>
        <v>0.625</v>
      </c>
      <c r="AB15" s="42">
        <f t="array" ref="AB15">IF(XLOOKUP($A15,Partner_Voice!$A:$A,Partner_Voice!AB:AB,"",0)="Free","Free",IF(XLOOKUP($A15,Partner_Voice!$A:$A,Partner_Voice!AB:AB,"",0)="VL","VL",IF(XLOOKUP($A15,Partner_Voice!$A:$A,Partner_Voice!AB:AB,"",0)="ATT","ATT",XLOOKUP($A15,Partner_Voice!$A:$A,Partner_Voice!AB:AB,"",0))))</f>
        <v>0.4166666667</v>
      </c>
      <c r="AC15" s="42">
        <f t="array" ref="AC15">IF(XLOOKUP($A15,Partner_Voice!$A:$A,Partner_Voice!AC:AC,"",0)="Free","Free",IF(XLOOKUP($A15,Partner_Voice!$A:$A,Partner_Voice!AC:AC,"",0)="VL","VL",IF(XLOOKUP($A15,Partner_Voice!$A:$A,Partner_Voice!AC:AC,"",0)="ATT","ATT",XLOOKUP($A15,Partner_Voice!$A:$A,Partner_Voice!AC:AC,"",0))))</f>
        <v>0.5416666667</v>
      </c>
      <c r="AD15" s="42">
        <f t="array" ref="AD15">IF(XLOOKUP($A15,Partner_Voice!$A:$A,Partner_Voice!AD:AD,"",0)="Free","Free",IF(XLOOKUP($A15,Partner_Voice!$A:$A,Partner_Voice!AD:AD,"",0)="VL","VL",IF(XLOOKUP($A15,Partner_Voice!$A:$A,Partner_Voice!AD:AD,"",0)="ATT","ATT",XLOOKUP($A15,Partner_Voice!$A:$A,Partner_Voice!AD:AD,"",0))))</f>
        <v>0.4583333333</v>
      </c>
      <c r="AE15" s="42" t="str">
        <f t="array" ref="AE15">IF(XLOOKUP($A15,Partner_Voice!$A:$A,Partner_Voice!AE:AE,"",0)="Free","Free",IF(XLOOKUP($A15,Partner_Voice!$A:$A,Partner_Voice!AE:AE,"",0)="VL","VL",IF(XLOOKUP($A15,Partner_Voice!$A:$A,Partner_Voice!AE:AE,"",0)="ATT","ATT",XLOOKUP($A15,Partner_Voice!$A:$A,Partner_Voice!AE:AE,"",0))))</f>
        <v>Free</v>
      </c>
      <c r="AF15" s="69"/>
      <c r="AG15" s="42">
        <f t="array" ref="AG15">IF(XLOOKUP($A15,Partner_Voice!$A:$A,Partner_Voice!AG:AG,"",0)="Free","Free",IF(XLOOKUP($A15,Partner_Voice!$A:$A,Partner_Voice!AG:AG,"",0)="VL","VL",IF(XLOOKUP($A15,Partner_Voice!$A:$A,Partner_Voice!AG:AG,"",0)="ATT","ATT",XLOOKUP($A15,Partner_Voice!$A:$A,Partner_Voice!AG:AG,"",0))))</f>
        <v>0.2916666667</v>
      </c>
      <c r="AH15" s="42">
        <f t="array" ref="AH15">IF(XLOOKUP($A15,Partner_Voice!$A:$A,Partner_Voice!AH:AH,"",0)="Free","Free",IF(XLOOKUP($A15,Partner_Voice!$A:$A,Partner_Voice!AH:AH,"",0)="VL","VL",IF(XLOOKUP($A15,Partner_Voice!$A:$A,Partner_Voice!AH:AH,"",0)="ATT","ATT",XLOOKUP($A15,Partner_Voice!$A:$A,Partner_Voice!AH:AH,"",0))))</f>
        <v>0.625</v>
      </c>
      <c r="AI15" s="42">
        <f t="array" ref="AI15">IF(XLOOKUP($A15,Partner_Voice!$A:$A,Partner_Voice!AI:AI,"",0)="Free","Free",IF(XLOOKUP($A15,Partner_Voice!$A:$A,Partner_Voice!AI:AI,"",0)="VL","VL",IF(XLOOKUP($A15,Partner_Voice!$A:$A,Partner_Voice!AI:AI,"",0)="ATT","ATT",XLOOKUP($A15,Partner_Voice!$A:$A,Partner_Voice!AI:AI,"",0))))</f>
        <v>0.4166666667</v>
      </c>
      <c r="AJ15" s="42">
        <f t="array" ref="AJ15">IF(XLOOKUP($A15,Partner_Voice!$A:$A,Partner_Voice!AJ:AJ,"",0)="Free","Free",IF(XLOOKUP($A15,Partner_Voice!$A:$A,Partner_Voice!AJ:AJ,"",0)="VL","VL",IF(XLOOKUP($A15,Partner_Voice!$A:$A,Partner_Voice!AJ:AJ,"",0)="ATT","ATT",XLOOKUP($A15,Partner_Voice!$A:$A,Partner_Voice!AJ:AJ,"",0))))</f>
        <v>0.5416666667</v>
      </c>
      <c r="AK15" s="42">
        <f t="array" ref="AK15">IF(XLOOKUP($A15,Partner_Voice!$A:$A,Partner_Voice!AK:AK,"",0)="Free","Free",IF(XLOOKUP($A15,Partner_Voice!$A:$A,Partner_Voice!AK:AK,"",0)="VL","VL",IF(XLOOKUP($A15,Partner_Voice!$A:$A,Partner_Voice!AK:AK,"",0)="ATT","ATT",XLOOKUP($A15,Partner_Voice!$A:$A,Partner_Voice!AK:AK,"",0))))</f>
        <v>0.4583333333</v>
      </c>
      <c r="AL15" s="42" t="str">
        <f t="array" ref="AL15">IF(XLOOKUP($A15,Partner_Voice!$A:$A,Partner_Voice!AL:AL,"",0)="Free","Free",IF(XLOOKUP($A15,Partner_Voice!$A:$A,Partner_Voice!AL:AL,"",0)="VL","VL",IF(XLOOKUP($A15,Partner_Voice!$A:$A,Partner_Voice!AL:AL,"",0)="ATT","ATT",XLOOKUP($A15,Partner_Voice!$A:$A,Partner_Voice!AL:AL,"",0))))</f>
        <v>Free</v>
      </c>
      <c r="AM15" s="42"/>
    </row>
    <row r="16">
      <c r="A16" s="47" t="s">
        <v>64</v>
      </c>
      <c r="B16" s="35" t="str">
        <f t="array" ref="B16">XLOOKUP(A16,Roster!F:F,Roster!A:A,"")</f>
        <v>Andra Daza</v>
      </c>
      <c r="C16" s="35" t="str">
        <f t="array" ref="C16">XLOOKUP(A16,Roster!F:F,Roster!B:B,"")</f>
        <v>Miguel Betancur</v>
      </c>
      <c r="D16" s="70"/>
      <c r="E16" s="42">
        <f t="array" ref="E16">IF(XLOOKUP($A16,Partner_Voice!$A:$A,Partner_Voice!E:E,"",0)="Free","Free",IF(XLOOKUP($A16,Partner_Voice!$A:$A,Partner_Voice!E:E,"",0)="VL","VL",IF(XLOOKUP($A16,Partner_Voice!$A:$A,Partner_Voice!E:E,"",0)="ATT","ATT",XLOOKUP($A16,Partner_Voice!$A:$A,Partner_Voice!E:E,"",0))))</f>
        <v>0.3333333333</v>
      </c>
      <c r="F16" s="42">
        <f t="array" ref="F16">IF(XLOOKUP($A16,Partner_Voice!$A:$A,Partner_Voice!F:F,"",0)="Free","Free",IF(XLOOKUP($A16,Partner_Voice!$A:$A,Partner_Voice!F:F,"",0)="VL","VL",IF(XLOOKUP($A16,Partner_Voice!$A:$A,Partner_Voice!F:F,"",0)="ATT","ATT",XLOOKUP($A16,Partner_Voice!$A:$A,Partner_Voice!F:F,"",0))))</f>
        <v>0.3333333333</v>
      </c>
      <c r="G16" s="42">
        <f t="array" ref="G16">IF(XLOOKUP($A16,Partner_Voice!$A:$A,Partner_Voice!G:G,"",0)="Free","Free",IF(XLOOKUP($A16,Partner_Voice!$A:$A,Partner_Voice!G:G,"",0)="VL","VL",IF(XLOOKUP($A16,Partner_Voice!$A:$A,Partner_Voice!G:G,"",0)="ATT","ATT",XLOOKUP($A16,Partner_Voice!$A:$A,Partner_Voice!G:G,"",0))))</f>
        <v>0.3333333333</v>
      </c>
      <c r="H16" s="42">
        <f t="array" ref="H16">IF(XLOOKUP($A16,Partner_Voice!$A:$A,Partner_Voice!H:H,"",0)="Free","Free",IF(XLOOKUP($A16,Partner_Voice!$A:$A,Partner_Voice!H:H,"",0)="VL","VL",IF(XLOOKUP($A16,Partner_Voice!$A:$A,Partner_Voice!H:H,"",0)="ATT","ATT",XLOOKUP($A16,Partner_Voice!$A:$A,Partner_Voice!H:H,"",0))))</f>
        <v>0.3333333333</v>
      </c>
      <c r="I16" s="42">
        <f t="array" ref="I16">IF(XLOOKUP($A16,Partner_Voice!$A:$A,Partner_Voice!I:I,"",0)="Free","Free",IF(XLOOKUP($A16,Partner_Voice!$A:$A,Partner_Voice!I:I,"",0)="VL","VL",IF(XLOOKUP($A16,Partner_Voice!$A:$A,Partner_Voice!I:I,"",0)="ATT","ATT",XLOOKUP($A16,Partner_Voice!$A:$A,Partner_Voice!I:I,"",0))))</f>
        <v>0.3333333333</v>
      </c>
      <c r="J16" s="42" t="str">
        <f t="array" ref="J16">IF(XLOOKUP($A16,Partner_Voice!$A:$A,Partner_Voice!J:J,"",0)="Free","Free",IF(XLOOKUP($A16,Partner_Voice!$A:$A,Partner_Voice!J:J,"",0)="VL","VL",IF(XLOOKUP($A16,Partner_Voice!$A:$A,Partner_Voice!J:J,"",0)="ATT","ATT",XLOOKUP($A16,Partner_Voice!$A:$A,Partner_Voice!J:J,"",0))))</f>
        <v>Free</v>
      </c>
      <c r="K16" s="42"/>
      <c r="L16" s="42">
        <f t="array" ref="L16">IF(XLOOKUP($A16,Partner_Voice!$A:$A,Partner_Voice!L:L,"",0)="Free","Free",IF(XLOOKUP($A16,Partner_Voice!$A:$A,Partner_Voice!L:L,"",0)="VL","VL",IF(XLOOKUP($A16,Partner_Voice!$A:$A,Partner_Voice!L:L,"",0)="ATT","ATT",XLOOKUP($A16,Partner_Voice!$A:$A,Partner_Voice!L:L,"",0))))</f>
        <v>0.3333333333</v>
      </c>
      <c r="M16" s="42">
        <f t="array" ref="M16">IF(XLOOKUP($A16,Partner_Voice!$A:$A,Partner_Voice!M:M,"",0)="Free","Free",IF(XLOOKUP($A16,Partner_Voice!$A:$A,Partner_Voice!M:M,"",0)="VL","VL",IF(XLOOKUP($A16,Partner_Voice!$A:$A,Partner_Voice!M:M,"",0)="ATT","ATT",XLOOKUP($A16,Partner_Voice!$A:$A,Partner_Voice!M:M,"",0))))</f>
        <v>0.3333333333</v>
      </c>
      <c r="N16" s="42">
        <f t="array" ref="N16">IF(XLOOKUP($A16,Partner_Voice!$A:$A,Partner_Voice!N:N,"",0)="Free","Free",IF(XLOOKUP($A16,Partner_Voice!$A:$A,Partner_Voice!N:N,"",0)="VL","VL",IF(XLOOKUP($A16,Partner_Voice!$A:$A,Partner_Voice!N:N,"",0)="ATT","ATT",XLOOKUP($A16,Partner_Voice!$A:$A,Partner_Voice!N:N,"",0))))</f>
        <v>0.3333333333</v>
      </c>
      <c r="O16" s="42">
        <f t="array" ref="O16">IF(XLOOKUP($A16,Partner_Voice!$A:$A,Partner_Voice!O:O,"",0)="Free","Free",IF(XLOOKUP($A16,Partner_Voice!$A:$A,Partner_Voice!O:O,"",0)="VL","VL",IF(XLOOKUP($A16,Partner_Voice!$A:$A,Partner_Voice!O:O,"",0)="ATT","ATT",XLOOKUP($A16,Partner_Voice!$A:$A,Partner_Voice!O:O,"",0))))</f>
        <v>0.3333333333</v>
      </c>
      <c r="P16" s="42">
        <f t="array" ref="P16">IF(XLOOKUP($A16,Partner_Voice!$A:$A,Partner_Voice!P:P,"",0)="Free","Free",IF(XLOOKUP($A16,Partner_Voice!$A:$A,Partner_Voice!P:P,"",0)="VL","VL",IF(XLOOKUP($A16,Partner_Voice!$A:$A,Partner_Voice!P:P,"",0)="ATT","ATT",XLOOKUP($A16,Partner_Voice!$A:$A,Partner_Voice!P:P,"",0))))</f>
        <v>0.3333333333</v>
      </c>
      <c r="Q16" s="42" t="str">
        <f t="array" ref="Q16">IF(XLOOKUP($A16,Partner_Voice!$A:$A,Partner_Voice!Q:Q,"",0)="Free","Free",IF(XLOOKUP($A16,Partner_Voice!$A:$A,Partner_Voice!Q:Q,"",0)="VL","VL",IF(XLOOKUP($A16,Partner_Voice!$A:$A,Partner_Voice!Q:Q,"",0)="ATT","ATT",XLOOKUP($A16,Partner_Voice!$A:$A,Partner_Voice!Q:Q,"",0))))</f>
        <v>Free</v>
      </c>
      <c r="R16" s="43"/>
      <c r="S16" s="42">
        <f t="array" ref="S16">IF(XLOOKUP($A16,Partner_Voice!$A:$A,Partner_Voice!S:S,"",0)="Free","Free",IF(XLOOKUP($A16,Partner_Voice!$A:$A,Partner_Voice!S:S,"",0)="VL","VL",IF(XLOOKUP($A16,Partner_Voice!$A:$A,Partner_Voice!S:S,"",0)="ATT","ATT",XLOOKUP($A16,Partner_Voice!$A:$A,Partner_Voice!S:S,"",0))))</f>
        <v>0.3333333333</v>
      </c>
      <c r="T16" s="42">
        <f t="array" ref="T16">IF(XLOOKUP($A16,Partner_Voice!$A:$A,Partner_Voice!T:T,"",0)="Free","Free",IF(XLOOKUP($A16,Partner_Voice!$A:$A,Partner_Voice!T:T,"",0)="VL","VL",IF(XLOOKUP($A16,Partner_Voice!$A:$A,Partner_Voice!T:T,"",0)="ATT","ATT",XLOOKUP($A16,Partner_Voice!$A:$A,Partner_Voice!T:T,"",0))))</f>
        <v>0.3333333333</v>
      </c>
      <c r="U16" s="42">
        <f t="array" ref="U16">IF(XLOOKUP($A16,Partner_Voice!$A:$A,Partner_Voice!U:U,"",0)="Free","Free",IF(XLOOKUP($A16,Partner_Voice!$A:$A,Partner_Voice!U:U,"",0)="VL","VL",IF(XLOOKUP($A16,Partner_Voice!$A:$A,Partner_Voice!U:U,"",0)="ATT","ATT",XLOOKUP($A16,Partner_Voice!$A:$A,Partner_Voice!U:U,"",0))))</f>
        <v>0.3333333333</v>
      </c>
      <c r="V16" s="42">
        <f t="array" ref="V16">IF(XLOOKUP($A16,Partner_Voice!$A:$A,Partner_Voice!V:V,"",0)="Free","Free",IF(XLOOKUP($A16,Partner_Voice!$A:$A,Partner_Voice!V:V,"",0)="VL","VL",IF(XLOOKUP($A16,Partner_Voice!$A:$A,Partner_Voice!V:V,"",0)="ATT","ATT",XLOOKUP($A16,Partner_Voice!$A:$A,Partner_Voice!V:V,"",0))))</f>
        <v>0.3333333333</v>
      </c>
      <c r="W16" s="42">
        <f t="array" ref="W16">IF(XLOOKUP($A16,Partner_Voice!$A:$A,Partner_Voice!W:W,"",0)="Free","Free",IF(XLOOKUP($A16,Partner_Voice!$A:$A,Partner_Voice!W:W,"",0)="VL","VL",IF(XLOOKUP($A16,Partner_Voice!$A:$A,Partner_Voice!W:W,"",0)="ATT","ATT",XLOOKUP($A16,Partner_Voice!$A:$A,Partner_Voice!W:W,"",0))))</f>
        <v>0.3333333333</v>
      </c>
      <c r="X16" s="42" t="str">
        <f t="array" ref="X16">IF(XLOOKUP($A16,Partner_Voice!$A:$A,Partner_Voice!X:X,"",0)="Free","Free",IF(XLOOKUP($A16,Partner_Voice!$A:$A,Partner_Voice!X:X,"",0)="VL","VL",IF(XLOOKUP($A16,Partner_Voice!$A:$A,Partner_Voice!X:X,"",0)="ATT","ATT",XLOOKUP($A16,Partner_Voice!$A:$A,Partner_Voice!X:X,"",0))))</f>
        <v>Free</v>
      </c>
      <c r="Y16" s="43"/>
      <c r="Z16" s="42">
        <f t="array" ref="Z16">IF(XLOOKUP($A16,Partner_Voice!$A:$A,Partner_Voice!Z:Z,"",0)="Free","Free",IF(XLOOKUP($A16,Partner_Voice!$A:$A,Partner_Voice!Z:Z,"",0)="VL","VL",IF(XLOOKUP($A16,Partner_Voice!$A:$A,Partner_Voice!Z:Z,"",0)="ATT","ATT",XLOOKUP($A16,Partner_Voice!$A:$A,Partner_Voice!Z:Z,"",0))))</f>
        <v>0.3333333333</v>
      </c>
      <c r="AA16" s="42">
        <f t="array" ref="AA16">IF(XLOOKUP($A16,Partner_Voice!$A:$A,Partner_Voice!AA:AA,"",0)="Free","Free",IF(XLOOKUP($A16,Partner_Voice!$A:$A,Partner_Voice!AA:AA,"",0)="VL","VL",IF(XLOOKUP($A16,Partner_Voice!$A:$A,Partner_Voice!AA:AA,"",0)="ATT","ATT",XLOOKUP($A16,Partner_Voice!$A:$A,Partner_Voice!AA:AA,"",0))))</f>
        <v>0.3333333333</v>
      </c>
      <c r="AB16" s="42">
        <f t="array" ref="AB16">IF(XLOOKUP($A16,Partner_Voice!$A:$A,Partner_Voice!AB:AB,"",0)="Free","Free",IF(XLOOKUP($A16,Partner_Voice!$A:$A,Partner_Voice!AB:AB,"",0)="VL","VL",IF(XLOOKUP($A16,Partner_Voice!$A:$A,Partner_Voice!AB:AB,"",0)="ATT","ATT",XLOOKUP($A16,Partner_Voice!$A:$A,Partner_Voice!AB:AB,"",0))))</f>
        <v>0.3333333333</v>
      </c>
      <c r="AC16" s="42">
        <f t="array" ref="AC16">IF(XLOOKUP($A16,Partner_Voice!$A:$A,Partner_Voice!AC:AC,"",0)="Free","Free",IF(XLOOKUP($A16,Partner_Voice!$A:$A,Partner_Voice!AC:AC,"",0)="VL","VL",IF(XLOOKUP($A16,Partner_Voice!$A:$A,Partner_Voice!AC:AC,"",0)="ATT","ATT",XLOOKUP($A16,Partner_Voice!$A:$A,Partner_Voice!AC:AC,"",0))))</f>
        <v>0.3333333333</v>
      </c>
      <c r="AD16" s="42">
        <f t="array" ref="AD16">IF(XLOOKUP($A16,Partner_Voice!$A:$A,Partner_Voice!AD:AD,"",0)="Free","Free",IF(XLOOKUP($A16,Partner_Voice!$A:$A,Partner_Voice!AD:AD,"",0)="VL","VL",IF(XLOOKUP($A16,Partner_Voice!$A:$A,Partner_Voice!AD:AD,"",0)="ATT","ATT",XLOOKUP($A16,Partner_Voice!$A:$A,Partner_Voice!AD:AD,"",0))))</f>
        <v>0.3333333333</v>
      </c>
      <c r="AE16" s="42" t="str">
        <f t="array" ref="AE16">IF(XLOOKUP($A16,Partner_Voice!$A:$A,Partner_Voice!AE:AE,"",0)="Free","Free",IF(XLOOKUP($A16,Partner_Voice!$A:$A,Partner_Voice!AE:AE,"",0)="VL","VL",IF(XLOOKUP($A16,Partner_Voice!$A:$A,Partner_Voice!AE:AE,"",0)="ATT","ATT",XLOOKUP($A16,Partner_Voice!$A:$A,Partner_Voice!AE:AE,"",0))))</f>
        <v>Free</v>
      </c>
      <c r="AF16" s="69"/>
      <c r="AG16" s="42">
        <f t="array" ref="AG16">IF(XLOOKUP($A16,Partner_Voice!$A:$A,Partner_Voice!AG:AG,"",0)="Free","Free",IF(XLOOKUP($A16,Partner_Voice!$A:$A,Partner_Voice!AG:AG,"",0)="VL","VL",IF(XLOOKUP($A16,Partner_Voice!$A:$A,Partner_Voice!AG:AG,"",0)="ATT","ATT",XLOOKUP($A16,Partner_Voice!$A:$A,Partner_Voice!AG:AG,"",0))))</f>
        <v>0.3333333333</v>
      </c>
      <c r="AH16" s="42">
        <f t="array" ref="AH16">IF(XLOOKUP($A16,Partner_Voice!$A:$A,Partner_Voice!AH:AH,"",0)="Free","Free",IF(XLOOKUP($A16,Partner_Voice!$A:$A,Partner_Voice!AH:AH,"",0)="VL","VL",IF(XLOOKUP($A16,Partner_Voice!$A:$A,Partner_Voice!AH:AH,"",0)="ATT","ATT",XLOOKUP($A16,Partner_Voice!$A:$A,Partner_Voice!AH:AH,"",0))))</f>
        <v>0.3333333333</v>
      </c>
      <c r="AI16" s="42">
        <f t="array" ref="AI16">IF(XLOOKUP($A16,Partner_Voice!$A:$A,Partner_Voice!AI:AI,"",0)="Free","Free",IF(XLOOKUP($A16,Partner_Voice!$A:$A,Partner_Voice!AI:AI,"",0)="VL","VL",IF(XLOOKUP($A16,Partner_Voice!$A:$A,Partner_Voice!AI:AI,"",0)="ATT","ATT",XLOOKUP($A16,Partner_Voice!$A:$A,Partner_Voice!AI:AI,"",0))))</f>
        <v>0.3333333333</v>
      </c>
      <c r="AJ16" s="42">
        <f t="array" ref="AJ16">IF(XLOOKUP($A16,Partner_Voice!$A:$A,Partner_Voice!AJ:AJ,"",0)="Free","Free",IF(XLOOKUP($A16,Partner_Voice!$A:$A,Partner_Voice!AJ:AJ,"",0)="VL","VL",IF(XLOOKUP($A16,Partner_Voice!$A:$A,Partner_Voice!AJ:AJ,"",0)="ATT","ATT",XLOOKUP($A16,Partner_Voice!$A:$A,Partner_Voice!AJ:AJ,"",0))))</f>
        <v>0.3333333333</v>
      </c>
      <c r="AK16" s="42">
        <f t="array" ref="AK16">IF(XLOOKUP($A16,Partner_Voice!$A:$A,Partner_Voice!AK:AK,"",0)="Free","Free",IF(XLOOKUP($A16,Partner_Voice!$A:$A,Partner_Voice!AK:AK,"",0)="VL","VL",IF(XLOOKUP($A16,Partner_Voice!$A:$A,Partner_Voice!AK:AK,"",0)="ATT","ATT",XLOOKUP($A16,Partner_Voice!$A:$A,Partner_Voice!AK:AK,"",0))))</f>
        <v>0.3333333333</v>
      </c>
      <c r="AL16" s="42" t="str">
        <f t="array" ref="AL16">IF(XLOOKUP($A16,Partner_Voice!$A:$A,Partner_Voice!AL:AL,"",0)="Free","Free",IF(XLOOKUP($A16,Partner_Voice!$A:$A,Partner_Voice!AL:AL,"",0)="VL","VL",IF(XLOOKUP($A16,Partner_Voice!$A:$A,Partner_Voice!AL:AL,"",0)="ATT","ATT",XLOOKUP($A16,Partner_Voice!$A:$A,Partner_Voice!AL:AL,"",0))))</f>
        <v>Free</v>
      </c>
      <c r="AM16" s="42"/>
    </row>
    <row r="17">
      <c r="A17" s="47" t="s">
        <v>69</v>
      </c>
      <c r="B17" s="35" t="str">
        <f t="array" ref="B17">XLOOKUP(A17,Roster!F:F,Roster!A:A,"")</f>
        <v>Andra Daza</v>
      </c>
      <c r="C17" s="35" t="str">
        <f t="array" ref="C17">XLOOKUP(A17,Roster!F:F,Roster!B:B,"")</f>
        <v>Salma Giraldo</v>
      </c>
      <c r="D17" s="70"/>
      <c r="E17" s="42">
        <f t="array" ref="E17">IF(XLOOKUP($A17,Partner_Voice!$A:$A,Partner_Voice!E:E,"",0)="Free","Free",IF(XLOOKUP($A17,Partner_Voice!$A:$A,Partner_Voice!E:E,"",0)="VL","VL",IF(XLOOKUP($A17,Partner_Voice!$A:$A,Partner_Voice!E:E,"",0)="ATT","ATT",XLOOKUP($A17,Partner_Voice!$A:$A,Partner_Voice!E:E,"",0))))</f>
        <v>0.375</v>
      </c>
      <c r="F17" s="42">
        <f t="array" ref="F17">IF(XLOOKUP($A17,Partner_Voice!$A:$A,Partner_Voice!F:F,"",0)="Free","Free",IF(XLOOKUP($A17,Partner_Voice!$A:$A,Partner_Voice!F:F,"",0)="VL","VL",IF(XLOOKUP($A17,Partner_Voice!$A:$A,Partner_Voice!F:F,"",0)="ATT","ATT",XLOOKUP($A17,Partner_Voice!$A:$A,Partner_Voice!F:F,"",0))))</f>
        <v>0.375</v>
      </c>
      <c r="G17" s="42" t="str">
        <f t="array" ref="G17">IF(XLOOKUP($A17,Partner_Voice!$A:$A,Partner_Voice!G:G,"",0)="Free","Free",IF(XLOOKUP($A17,Partner_Voice!$A:$A,Partner_Voice!G:G,"",0)="VL","VL",IF(XLOOKUP($A17,Partner_Voice!$A:$A,Partner_Voice!G:G,"",0)="ATT","ATT",XLOOKUP($A17,Partner_Voice!$A:$A,Partner_Voice!G:G,"",0))))</f>
        <v>Free</v>
      </c>
      <c r="H17" s="42">
        <f t="array" ref="H17">IF(XLOOKUP($A17,Partner_Voice!$A:$A,Partner_Voice!H:H,"",0)="Free","Free",IF(XLOOKUP($A17,Partner_Voice!$A:$A,Partner_Voice!H:H,"",0)="VL","VL",IF(XLOOKUP($A17,Partner_Voice!$A:$A,Partner_Voice!H:H,"",0)="ATT","ATT",XLOOKUP($A17,Partner_Voice!$A:$A,Partner_Voice!H:H,"",0))))</f>
        <v>0.375</v>
      </c>
      <c r="I17" s="42">
        <f t="array" ref="I17">IF(XLOOKUP($A17,Partner_Voice!$A:$A,Partner_Voice!I:I,"",0)="Free","Free",IF(XLOOKUP($A17,Partner_Voice!$A:$A,Partner_Voice!I:I,"",0)="VL","VL",IF(XLOOKUP($A17,Partner_Voice!$A:$A,Partner_Voice!I:I,"",0)="ATT","ATT",XLOOKUP($A17,Partner_Voice!$A:$A,Partner_Voice!I:I,"",0))))</f>
        <v>0.375</v>
      </c>
      <c r="J17" s="42">
        <f t="array" ref="J17">IF(XLOOKUP($A17,Partner_Voice!$A:$A,Partner_Voice!J:J,"",0)="Free","Free",IF(XLOOKUP($A17,Partner_Voice!$A:$A,Partner_Voice!J:J,"",0)="VL","VL",IF(XLOOKUP($A17,Partner_Voice!$A:$A,Partner_Voice!J:J,"",0)="ATT","ATT",XLOOKUP($A17,Partner_Voice!$A:$A,Partner_Voice!J:J,"",0))))</f>
        <v>0.375</v>
      </c>
      <c r="K17" s="42"/>
      <c r="L17" s="42">
        <f t="array" ref="L17">IF(XLOOKUP($A17,Partner_Voice!$A:$A,Partner_Voice!L:L,"",0)="Free","Free",IF(XLOOKUP($A17,Partner_Voice!$A:$A,Partner_Voice!L:L,"",0)="VL","VL",IF(XLOOKUP($A17,Partner_Voice!$A:$A,Partner_Voice!L:L,"",0)="ATT","ATT",XLOOKUP($A17,Partner_Voice!$A:$A,Partner_Voice!L:L,"",0))))</f>
        <v>0.3333333333</v>
      </c>
      <c r="M17" s="42">
        <f t="array" ref="M17">IF(XLOOKUP($A17,Partner_Voice!$A:$A,Partner_Voice!M:M,"",0)="Free","Free",IF(XLOOKUP($A17,Partner_Voice!$A:$A,Partner_Voice!M:M,"",0)="VL","VL",IF(XLOOKUP($A17,Partner_Voice!$A:$A,Partner_Voice!M:M,"",0)="ATT","ATT",XLOOKUP($A17,Partner_Voice!$A:$A,Partner_Voice!M:M,"",0))))</f>
        <v>0.3333333333</v>
      </c>
      <c r="N17" s="42" t="str">
        <f t="array" ref="N17">IF(XLOOKUP($A17,Partner_Voice!$A:$A,Partner_Voice!N:N,"",0)="Free","Free",IF(XLOOKUP($A17,Partner_Voice!$A:$A,Partner_Voice!N:N,"",0)="VL","VL",IF(XLOOKUP($A17,Partner_Voice!$A:$A,Partner_Voice!N:N,"",0)="ATT","ATT",XLOOKUP($A17,Partner_Voice!$A:$A,Partner_Voice!N:N,"",0))))</f>
        <v>Free</v>
      </c>
      <c r="O17" s="42">
        <f t="array" ref="O17">IF(XLOOKUP($A17,Partner_Voice!$A:$A,Partner_Voice!O:O,"",0)="Free","Free",IF(XLOOKUP($A17,Partner_Voice!$A:$A,Partner_Voice!O:O,"",0)="VL","VL",IF(XLOOKUP($A17,Partner_Voice!$A:$A,Partner_Voice!O:O,"",0)="ATT","ATT",XLOOKUP($A17,Partner_Voice!$A:$A,Partner_Voice!O:O,"",0))))</f>
        <v>0.3333333333</v>
      </c>
      <c r="P17" s="42">
        <f t="array" ref="P17">IF(XLOOKUP($A17,Partner_Voice!$A:$A,Partner_Voice!P:P,"",0)="Free","Free",IF(XLOOKUP($A17,Partner_Voice!$A:$A,Partner_Voice!P:P,"",0)="VL","VL",IF(XLOOKUP($A17,Partner_Voice!$A:$A,Partner_Voice!P:P,"",0)="ATT","ATT",XLOOKUP($A17,Partner_Voice!$A:$A,Partner_Voice!P:P,"",0))))</f>
        <v>0.3333333333</v>
      </c>
      <c r="Q17" s="42">
        <f t="array" ref="Q17">IF(XLOOKUP($A17,Partner_Voice!$A:$A,Partner_Voice!Q:Q,"",0)="Free","Free",IF(XLOOKUP($A17,Partner_Voice!$A:$A,Partner_Voice!Q:Q,"",0)="VL","VL",IF(XLOOKUP($A17,Partner_Voice!$A:$A,Partner_Voice!Q:Q,"",0)="ATT","ATT",XLOOKUP($A17,Partner_Voice!$A:$A,Partner_Voice!Q:Q,"",0))))</f>
        <v>0.3333333333</v>
      </c>
      <c r="R17" s="43"/>
      <c r="S17" s="42">
        <f t="array" ref="S17">IF(XLOOKUP($A17,Partner_Voice!$A:$A,Partner_Voice!S:S,"",0)="Free","Free",IF(XLOOKUP($A17,Partner_Voice!$A:$A,Partner_Voice!S:S,"",0)="VL","VL",IF(XLOOKUP($A17,Partner_Voice!$A:$A,Partner_Voice!S:S,"",0)="ATT","ATT",XLOOKUP($A17,Partner_Voice!$A:$A,Partner_Voice!S:S,"",0))))</f>
        <v>0.3333333333</v>
      </c>
      <c r="T17" s="42">
        <f t="array" ref="T17">IF(XLOOKUP($A17,Partner_Voice!$A:$A,Partner_Voice!T:T,"",0)="Free","Free",IF(XLOOKUP($A17,Partner_Voice!$A:$A,Partner_Voice!T:T,"",0)="VL","VL",IF(XLOOKUP($A17,Partner_Voice!$A:$A,Partner_Voice!T:T,"",0)="ATT","ATT",XLOOKUP($A17,Partner_Voice!$A:$A,Partner_Voice!T:T,"",0))))</f>
        <v>0.3333333333</v>
      </c>
      <c r="U17" s="42" t="str">
        <f t="array" ref="U17">IF(XLOOKUP($A17,Partner_Voice!$A:$A,Partner_Voice!U:U,"",0)="Free","Free",IF(XLOOKUP($A17,Partner_Voice!$A:$A,Partner_Voice!U:U,"",0)="VL","VL",IF(XLOOKUP($A17,Partner_Voice!$A:$A,Partner_Voice!U:U,"",0)="ATT","ATT",XLOOKUP($A17,Partner_Voice!$A:$A,Partner_Voice!U:U,"",0))))</f>
        <v>Free</v>
      </c>
      <c r="V17" s="42">
        <f t="array" ref="V17">IF(XLOOKUP($A17,Partner_Voice!$A:$A,Partner_Voice!V:V,"",0)="Free","Free",IF(XLOOKUP($A17,Partner_Voice!$A:$A,Partner_Voice!V:V,"",0)="VL","VL",IF(XLOOKUP($A17,Partner_Voice!$A:$A,Partner_Voice!V:V,"",0)="ATT","ATT",XLOOKUP($A17,Partner_Voice!$A:$A,Partner_Voice!V:V,"",0))))</f>
        <v>0.3333333333</v>
      </c>
      <c r="W17" s="42">
        <f t="array" ref="W17">IF(XLOOKUP($A17,Partner_Voice!$A:$A,Partner_Voice!W:W,"",0)="Free","Free",IF(XLOOKUP($A17,Partner_Voice!$A:$A,Partner_Voice!W:W,"",0)="VL","VL",IF(XLOOKUP($A17,Partner_Voice!$A:$A,Partner_Voice!W:W,"",0)="ATT","ATT",XLOOKUP($A17,Partner_Voice!$A:$A,Partner_Voice!W:W,"",0))))</f>
        <v>0.3333333333</v>
      </c>
      <c r="X17" s="42">
        <f t="array" ref="X17">IF(XLOOKUP($A17,Partner_Voice!$A:$A,Partner_Voice!X:X,"",0)="Free","Free",IF(XLOOKUP($A17,Partner_Voice!$A:$A,Partner_Voice!X:X,"",0)="VL","VL",IF(XLOOKUP($A17,Partner_Voice!$A:$A,Partner_Voice!X:X,"",0)="ATT","ATT",XLOOKUP($A17,Partner_Voice!$A:$A,Partner_Voice!X:X,"",0))))</f>
        <v>0.3333333333</v>
      </c>
      <c r="Y17" s="43"/>
      <c r="Z17" s="42">
        <f t="array" ref="Z17">IF(XLOOKUP($A17,Partner_Voice!$A:$A,Partner_Voice!Z:Z,"",0)="Free","Free",IF(XLOOKUP($A17,Partner_Voice!$A:$A,Partner_Voice!Z:Z,"",0)="VL","VL",IF(XLOOKUP($A17,Partner_Voice!$A:$A,Partner_Voice!Z:Z,"",0)="ATT","ATT",XLOOKUP($A17,Partner_Voice!$A:$A,Partner_Voice!Z:Z,"",0))))</f>
        <v>0.3333333333</v>
      </c>
      <c r="AA17" s="42">
        <f t="array" ref="AA17">IF(XLOOKUP($A17,Partner_Voice!$A:$A,Partner_Voice!AA:AA,"",0)="Free","Free",IF(XLOOKUP($A17,Partner_Voice!$A:$A,Partner_Voice!AA:AA,"",0)="VL","VL",IF(XLOOKUP($A17,Partner_Voice!$A:$A,Partner_Voice!AA:AA,"",0)="ATT","ATT",XLOOKUP($A17,Partner_Voice!$A:$A,Partner_Voice!AA:AA,"",0))))</f>
        <v>0.3333333333</v>
      </c>
      <c r="AB17" s="42" t="str">
        <f t="array" ref="AB17">IF(XLOOKUP($A17,Partner_Voice!$A:$A,Partner_Voice!AB:AB,"",0)="Free","Free",IF(XLOOKUP($A17,Partner_Voice!$A:$A,Partner_Voice!AB:AB,"",0)="VL","VL",IF(XLOOKUP($A17,Partner_Voice!$A:$A,Partner_Voice!AB:AB,"",0)="ATT","ATT",XLOOKUP($A17,Partner_Voice!$A:$A,Partner_Voice!AB:AB,"",0))))</f>
        <v>Free</v>
      </c>
      <c r="AC17" s="42">
        <f t="array" ref="AC17">IF(XLOOKUP($A17,Partner_Voice!$A:$A,Partner_Voice!AC:AC,"",0)="Free","Free",IF(XLOOKUP($A17,Partner_Voice!$A:$A,Partner_Voice!AC:AC,"",0)="VL","VL",IF(XLOOKUP($A17,Partner_Voice!$A:$A,Partner_Voice!AC:AC,"",0)="ATT","ATT",XLOOKUP($A17,Partner_Voice!$A:$A,Partner_Voice!AC:AC,"",0))))</f>
        <v>0.3333333333</v>
      </c>
      <c r="AD17" s="42">
        <f t="array" ref="AD17">IF(XLOOKUP($A17,Partner_Voice!$A:$A,Partner_Voice!AD:AD,"",0)="Free","Free",IF(XLOOKUP($A17,Partner_Voice!$A:$A,Partner_Voice!AD:AD,"",0)="VL","VL",IF(XLOOKUP($A17,Partner_Voice!$A:$A,Partner_Voice!AD:AD,"",0)="ATT","ATT",XLOOKUP($A17,Partner_Voice!$A:$A,Partner_Voice!AD:AD,"",0))))</f>
        <v>0.3333333333</v>
      </c>
      <c r="AE17" s="42">
        <f t="array" ref="AE17">IF(XLOOKUP($A17,Partner_Voice!$A:$A,Partner_Voice!AE:AE,"",0)="Free","Free",IF(XLOOKUP($A17,Partner_Voice!$A:$A,Partner_Voice!AE:AE,"",0)="VL","VL",IF(XLOOKUP($A17,Partner_Voice!$A:$A,Partner_Voice!AE:AE,"",0)="ATT","ATT",XLOOKUP($A17,Partner_Voice!$A:$A,Partner_Voice!AE:AE,"",0))))</f>
        <v>0.3333333333</v>
      </c>
      <c r="AF17" s="69"/>
      <c r="AG17" s="42">
        <f t="array" ref="AG17">IF(XLOOKUP($A17,Partner_Voice!$A:$A,Partner_Voice!AG:AG,"",0)="Free","Free",IF(XLOOKUP($A17,Partner_Voice!$A:$A,Partner_Voice!AG:AG,"",0)="VL","VL",IF(XLOOKUP($A17,Partner_Voice!$A:$A,Partner_Voice!AG:AG,"",0)="ATT","ATT",XLOOKUP($A17,Partner_Voice!$A:$A,Partner_Voice!AG:AG,"",0))))</f>
        <v>0.3333333333</v>
      </c>
      <c r="AH17" s="42">
        <f t="array" ref="AH17">IF(XLOOKUP($A17,Partner_Voice!$A:$A,Partner_Voice!AH:AH,"",0)="Free","Free",IF(XLOOKUP($A17,Partner_Voice!$A:$A,Partner_Voice!AH:AH,"",0)="VL","VL",IF(XLOOKUP($A17,Partner_Voice!$A:$A,Partner_Voice!AH:AH,"",0)="ATT","ATT",XLOOKUP($A17,Partner_Voice!$A:$A,Partner_Voice!AH:AH,"",0))))</f>
        <v>0.3333333333</v>
      </c>
      <c r="AI17" s="42" t="str">
        <f t="array" ref="AI17">IF(XLOOKUP($A17,Partner_Voice!$A:$A,Partner_Voice!AI:AI,"",0)="Free","Free",IF(XLOOKUP($A17,Partner_Voice!$A:$A,Partner_Voice!AI:AI,"",0)="VL","VL",IF(XLOOKUP($A17,Partner_Voice!$A:$A,Partner_Voice!AI:AI,"",0)="ATT","ATT",XLOOKUP($A17,Partner_Voice!$A:$A,Partner_Voice!AI:AI,"",0))))</f>
        <v>Free</v>
      </c>
      <c r="AJ17" s="42">
        <f t="array" ref="AJ17">IF(XLOOKUP($A17,Partner_Voice!$A:$A,Partner_Voice!AJ:AJ,"",0)="Free","Free",IF(XLOOKUP($A17,Partner_Voice!$A:$A,Partner_Voice!AJ:AJ,"",0)="VL","VL",IF(XLOOKUP($A17,Partner_Voice!$A:$A,Partner_Voice!AJ:AJ,"",0)="ATT","ATT",XLOOKUP($A17,Partner_Voice!$A:$A,Partner_Voice!AJ:AJ,"",0))))</f>
        <v>0.3333333333</v>
      </c>
      <c r="AK17" s="42">
        <f t="array" ref="AK17">IF(XLOOKUP($A17,Partner_Voice!$A:$A,Partner_Voice!AK:AK,"",0)="Free","Free",IF(XLOOKUP($A17,Partner_Voice!$A:$A,Partner_Voice!AK:AK,"",0)="VL","VL",IF(XLOOKUP($A17,Partner_Voice!$A:$A,Partner_Voice!AK:AK,"",0)="ATT","ATT",XLOOKUP($A17,Partner_Voice!$A:$A,Partner_Voice!AK:AK,"",0))))</f>
        <v>0.3333333333</v>
      </c>
      <c r="AL17" s="42">
        <f t="array" ref="AL17">IF(XLOOKUP($A17,Partner_Voice!$A:$A,Partner_Voice!AL:AL,"",0)="Free","Free",IF(XLOOKUP($A17,Partner_Voice!$A:$A,Partner_Voice!AL:AL,"",0)="VL","VL",IF(XLOOKUP($A17,Partner_Voice!$A:$A,Partner_Voice!AL:AL,"",0)="ATT","ATT",XLOOKUP($A17,Partner_Voice!$A:$A,Partner_Voice!AL:AL,"",0))))</f>
        <v>0.3333333333</v>
      </c>
      <c r="AM17" s="42"/>
    </row>
    <row r="18">
      <c r="A18" s="47" t="s">
        <v>70</v>
      </c>
      <c r="B18" s="35" t="str">
        <f t="array" ref="B18">XLOOKUP(A18,Roster!F:F,Roster!A:A,"")</f>
        <v>Andra Daza</v>
      </c>
      <c r="C18" s="35" t="str">
        <f t="array" ref="C18">XLOOKUP(A18,Roster!F:F,Roster!B:B,"")</f>
        <v>Salome Arias</v>
      </c>
      <c r="D18" s="70"/>
      <c r="E18" s="42">
        <f t="array" ref="E18">IF(XLOOKUP($A18,Partner_Voice!$A:$A,Partner_Voice!E:E,"",0)="Free","Free",IF(XLOOKUP($A18,Partner_Voice!$A:$A,Partner_Voice!E:E,"",0)="VL","VL",IF(XLOOKUP($A18,Partner_Voice!$A:$A,Partner_Voice!E:E,"",0)="ATT","ATT",XLOOKUP($A18,Partner_Voice!$A:$A,Partner_Voice!E:E,"",0))))</f>
        <v>0.3333333333</v>
      </c>
      <c r="F18" s="42">
        <f t="array" ref="F18">IF(XLOOKUP($A18,Partner_Voice!$A:$A,Partner_Voice!F:F,"",0)="Free","Free",IF(XLOOKUP($A18,Partner_Voice!$A:$A,Partner_Voice!F:F,"",0)="VL","VL",IF(XLOOKUP($A18,Partner_Voice!$A:$A,Partner_Voice!F:F,"",0)="ATT","ATT",XLOOKUP($A18,Partner_Voice!$A:$A,Partner_Voice!F:F,"",0))))</f>
        <v>0.3333333333</v>
      </c>
      <c r="G18" s="42">
        <f t="array" ref="G18">IF(XLOOKUP($A18,Partner_Voice!$A:$A,Partner_Voice!G:G,"",0)="Free","Free",IF(XLOOKUP($A18,Partner_Voice!$A:$A,Partner_Voice!G:G,"",0)="VL","VL",IF(XLOOKUP($A18,Partner_Voice!$A:$A,Partner_Voice!G:G,"",0)="ATT","ATT",XLOOKUP($A18,Partner_Voice!$A:$A,Partner_Voice!G:G,"",0))))</f>
        <v>0.3333333333</v>
      </c>
      <c r="H18" s="42">
        <f t="array" ref="H18">IF(XLOOKUP($A18,Partner_Voice!$A:$A,Partner_Voice!H:H,"",0)="Free","Free",IF(XLOOKUP($A18,Partner_Voice!$A:$A,Partner_Voice!H:H,"",0)="VL","VL",IF(XLOOKUP($A18,Partner_Voice!$A:$A,Partner_Voice!H:H,"",0)="ATT","ATT",XLOOKUP($A18,Partner_Voice!$A:$A,Partner_Voice!H:H,"",0))))</f>
        <v>0.3333333333</v>
      </c>
      <c r="I18" s="42">
        <f t="array" ref="I18">IF(XLOOKUP($A18,Partner_Voice!$A:$A,Partner_Voice!I:I,"",0)="Free","Free",IF(XLOOKUP($A18,Partner_Voice!$A:$A,Partner_Voice!I:I,"",0)="VL","VL",IF(XLOOKUP($A18,Partner_Voice!$A:$A,Partner_Voice!I:I,"",0)="ATT","ATT",XLOOKUP($A18,Partner_Voice!$A:$A,Partner_Voice!I:I,"",0))))</f>
        <v>0.3333333333</v>
      </c>
      <c r="J18" s="42" t="str">
        <f t="array" ref="J18">IF(XLOOKUP($A18,Partner_Voice!$A:$A,Partner_Voice!J:J,"",0)="Free","Free",IF(XLOOKUP($A18,Partner_Voice!$A:$A,Partner_Voice!J:J,"",0)="VL","VL",IF(XLOOKUP($A18,Partner_Voice!$A:$A,Partner_Voice!J:J,"",0)="ATT","ATT",XLOOKUP($A18,Partner_Voice!$A:$A,Partner_Voice!J:J,"",0))))</f>
        <v>Free</v>
      </c>
      <c r="K18" s="42"/>
      <c r="L18" s="42">
        <f t="array" ref="L18">IF(XLOOKUP($A18,Partner_Voice!$A:$A,Partner_Voice!L:L,"",0)="Free","Free",IF(XLOOKUP($A18,Partner_Voice!$A:$A,Partner_Voice!L:L,"",0)="VL","VL",IF(XLOOKUP($A18,Partner_Voice!$A:$A,Partner_Voice!L:L,"",0)="ATT","ATT",XLOOKUP($A18,Partner_Voice!$A:$A,Partner_Voice!L:L,"",0))))</f>
        <v>0.3333333333</v>
      </c>
      <c r="M18" s="42">
        <f t="array" ref="M18">IF(XLOOKUP($A18,Partner_Voice!$A:$A,Partner_Voice!M:M,"",0)="Free","Free",IF(XLOOKUP($A18,Partner_Voice!$A:$A,Partner_Voice!M:M,"",0)="VL","VL",IF(XLOOKUP($A18,Partner_Voice!$A:$A,Partner_Voice!M:M,"",0)="ATT","ATT",XLOOKUP($A18,Partner_Voice!$A:$A,Partner_Voice!M:M,"",0))))</f>
        <v>0.3333333333</v>
      </c>
      <c r="N18" s="42">
        <f t="array" ref="N18">IF(XLOOKUP($A18,Partner_Voice!$A:$A,Partner_Voice!N:N,"",0)="Free","Free",IF(XLOOKUP($A18,Partner_Voice!$A:$A,Partner_Voice!N:N,"",0)="VL","VL",IF(XLOOKUP($A18,Partner_Voice!$A:$A,Partner_Voice!N:N,"",0)="ATT","ATT",XLOOKUP($A18,Partner_Voice!$A:$A,Partner_Voice!N:N,"",0))))</f>
        <v>0.3333333333</v>
      </c>
      <c r="O18" s="42">
        <f t="array" ref="O18">IF(XLOOKUP($A18,Partner_Voice!$A:$A,Partner_Voice!O:O,"",0)="Free","Free",IF(XLOOKUP($A18,Partner_Voice!$A:$A,Partner_Voice!O:O,"",0)="VL","VL",IF(XLOOKUP($A18,Partner_Voice!$A:$A,Partner_Voice!O:O,"",0)="ATT","ATT",XLOOKUP($A18,Partner_Voice!$A:$A,Partner_Voice!O:O,"",0))))</f>
        <v>0.3333333333</v>
      </c>
      <c r="P18" s="42">
        <f t="array" ref="P18">IF(XLOOKUP($A18,Partner_Voice!$A:$A,Partner_Voice!P:P,"",0)="Free","Free",IF(XLOOKUP($A18,Partner_Voice!$A:$A,Partner_Voice!P:P,"",0)="VL","VL",IF(XLOOKUP($A18,Partner_Voice!$A:$A,Partner_Voice!P:P,"",0)="ATT","ATT",XLOOKUP($A18,Partner_Voice!$A:$A,Partner_Voice!P:P,"",0))))</f>
        <v>0.3333333333</v>
      </c>
      <c r="Q18" s="42" t="str">
        <f t="array" ref="Q18">IF(XLOOKUP($A18,Partner_Voice!$A:$A,Partner_Voice!Q:Q,"",0)="Free","Free",IF(XLOOKUP($A18,Partner_Voice!$A:$A,Partner_Voice!Q:Q,"",0)="VL","VL",IF(XLOOKUP($A18,Partner_Voice!$A:$A,Partner_Voice!Q:Q,"",0)="ATT","ATT",XLOOKUP($A18,Partner_Voice!$A:$A,Partner_Voice!Q:Q,"",0))))</f>
        <v>Free</v>
      </c>
      <c r="R18" s="43"/>
      <c r="S18" s="42">
        <f t="array" ref="S18">IF(XLOOKUP($A18,Partner_Voice!$A:$A,Partner_Voice!S:S,"",0)="Free","Free",IF(XLOOKUP($A18,Partner_Voice!$A:$A,Partner_Voice!S:S,"",0)="VL","VL",IF(XLOOKUP($A18,Partner_Voice!$A:$A,Partner_Voice!S:S,"",0)="ATT","ATT",XLOOKUP($A18,Partner_Voice!$A:$A,Partner_Voice!S:S,"",0))))</f>
        <v>0.3333333333</v>
      </c>
      <c r="T18" s="42">
        <f t="array" ref="T18">IF(XLOOKUP($A18,Partner_Voice!$A:$A,Partner_Voice!T:T,"",0)="Free","Free",IF(XLOOKUP($A18,Partner_Voice!$A:$A,Partner_Voice!T:T,"",0)="VL","VL",IF(XLOOKUP($A18,Partner_Voice!$A:$A,Partner_Voice!T:T,"",0)="ATT","ATT",XLOOKUP($A18,Partner_Voice!$A:$A,Partner_Voice!T:T,"",0))))</f>
        <v>0.3333333333</v>
      </c>
      <c r="U18" s="42">
        <f t="array" ref="U18">IF(XLOOKUP($A18,Partner_Voice!$A:$A,Partner_Voice!U:U,"",0)="Free","Free",IF(XLOOKUP($A18,Partner_Voice!$A:$A,Partner_Voice!U:U,"",0)="VL","VL",IF(XLOOKUP($A18,Partner_Voice!$A:$A,Partner_Voice!U:U,"",0)="ATT","ATT",XLOOKUP($A18,Partner_Voice!$A:$A,Partner_Voice!U:U,"",0))))</f>
        <v>0.3333333333</v>
      </c>
      <c r="V18" s="42">
        <f t="array" ref="V18">IF(XLOOKUP($A18,Partner_Voice!$A:$A,Partner_Voice!V:V,"",0)="Free","Free",IF(XLOOKUP($A18,Partner_Voice!$A:$A,Partner_Voice!V:V,"",0)="VL","VL",IF(XLOOKUP($A18,Partner_Voice!$A:$A,Partner_Voice!V:V,"",0)="ATT","ATT",XLOOKUP($A18,Partner_Voice!$A:$A,Partner_Voice!V:V,"",0))))</f>
        <v>0.3333333333</v>
      </c>
      <c r="W18" s="42">
        <f t="array" ref="W18">IF(XLOOKUP($A18,Partner_Voice!$A:$A,Partner_Voice!W:W,"",0)="Free","Free",IF(XLOOKUP($A18,Partner_Voice!$A:$A,Partner_Voice!W:W,"",0)="VL","VL",IF(XLOOKUP($A18,Partner_Voice!$A:$A,Partner_Voice!W:W,"",0)="ATT","ATT",XLOOKUP($A18,Partner_Voice!$A:$A,Partner_Voice!W:W,"",0))))</f>
        <v>0.3333333333</v>
      </c>
      <c r="X18" s="42" t="str">
        <f t="array" ref="X18">IF(XLOOKUP($A18,Partner_Voice!$A:$A,Partner_Voice!X:X,"",0)="Free","Free",IF(XLOOKUP($A18,Partner_Voice!$A:$A,Partner_Voice!X:X,"",0)="VL","VL",IF(XLOOKUP($A18,Partner_Voice!$A:$A,Partner_Voice!X:X,"",0)="ATT","ATT",XLOOKUP($A18,Partner_Voice!$A:$A,Partner_Voice!X:X,"",0))))</f>
        <v>Free</v>
      </c>
      <c r="Y18" s="43"/>
      <c r="Z18" s="42">
        <f t="array" ref="Z18">IF(XLOOKUP($A18,Partner_Voice!$A:$A,Partner_Voice!Z:Z,"",0)="Free","Free",IF(XLOOKUP($A18,Partner_Voice!$A:$A,Partner_Voice!Z:Z,"",0)="VL","VL",IF(XLOOKUP($A18,Partner_Voice!$A:$A,Partner_Voice!Z:Z,"",0)="ATT","ATT",XLOOKUP($A18,Partner_Voice!$A:$A,Partner_Voice!Z:Z,"",0))))</f>
        <v>0.3333333333</v>
      </c>
      <c r="AA18" s="42">
        <f t="array" ref="AA18">IF(XLOOKUP($A18,Partner_Voice!$A:$A,Partner_Voice!AA:AA,"",0)="Free","Free",IF(XLOOKUP($A18,Partner_Voice!$A:$A,Partner_Voice!AA:AA,"",0)="VL","VL",IF(XLOOKUP($A18,Partner_Voice!$A:$A,Partner_Voice!AA:AA,"",0)="ATT","ATT",XLOOKUP($A18,Partner_Voice!$A:$A,Partner_Voice!AA:AA,"",0))))</f>
        <v>0.3333333333</v>
      </c>
      <c r="AB18" s="42">
        <f t="array" ref="AB18">IF(XLOOKUP($A18,Partner_Voice!$A:$A,Partner_Voice!AB:AB,"",0)="Free","Free",IF(XLOOKUP($A18,Partner_Voice!$A:$A,Partner_Voice!AB:AB,"",0)="VL","VL",IF(XLOOKUP($A18,Partner_Voice!$A:$A,Partner_Voice!AB:AB,"",0)="ATT","ATT",XLOOKUP($A18,Partner_Voice!$A:$A,Partner_Voice!AB:AB,"",0))))</f>
        <v>0.3333333333</v>
      </c>
      <c r="AC18" s="42">
        <f t="array" ref="AC18">IF(XLOOKUP($A18,Partner_Voice!$A:$A,Partner_Voice!AC:AC,"",0)="Free","Free",IF(XLOOKUP($A18,Partner_Voice!$A:$A,Partner_Voice!AC:AC,"",0)="VL","VL",IF(XLOOKUP($A18,Partner_Voice!$A:$A,Partner_Voice!AC:AC,"",0)="ATT","ATT",XLOOKUP($A18,Partner_Voice!$A:$A,Partner_Voice!AC:AC,"",0))))</f>
        <v>0.3333333333</v>
      </c>
      <c r="AD18" s="42">
        <f t="array" ref="AD18">IF(XLOOKUP($A18,Partner_Voice!$A:$A,Partner_Voice!AD:AD,"",0)="Free","Free",IF(XLOOKUP($A18,Partner_Voice!$A:$A,Partner_Voice!AD:AD,"",0)="VL","VL",IF(XLOOKUP($A18,Partner_Voice!$A:$A,Partner_Voice!AD:AD,"",0)="ATT","ATT",XLOOKUP($A18,Partner_Voice!$A:$A,Partner_Voice!AD:AD,"",0))))</f>
        <v>0.3333333333</v>
      </c>
      <c r="AE18" s="42" t="str">
        <f t="array" ref="AE18">IF(XLOOKUP($A18,Partner_Voice!$A:$A,Partner_Voice!AE:AE,"",0)="Free","Free",IF(XLOOKUP($A18,Partner_Voice!$A:$A,Partner_Voice!AE:AE,"",0)="VL","VL",IF(XLOOKUP($A18,Partner_Voice!$A:$A,Partner_Voice!AE:AE,"",0)="ATT","ATT",XLOOKUP($A18,Partner_Voice!$A:$A,Partner_Voice!AE:AE,"",0))))</f>
        <v>Free</v>
      </c>
      <c r="AF18" s="69"/>
      <c r="AG18" s="42">
        <f t="array" ref="AG18">IF(XLOOKUP($A18,Partner_Voice!$A:$A,Partner_Voice!AG:AG,"",0)="Free","Free",IF(XLOOKUP($A18,Partner_Voice!$A:$A,Partner_Voice!AG:AG,"",0)="VL","VL",IF(XLOOKUP($A18,Partner_Voice!$A:$A,Partner_Voice!AG:AG,"",0)="ATT","ATT",XLOOKUP($A18,Partner_Voice!$A:$A,Partner_Voice!AG:AG,"",0))))</f>
        <v>0.3333333333</v>
      </c>
      <c r="AH18" s="42">
        <f t="array" ref="AH18">IF(XLOOKUP($A18,Partner_Voice!$A:$A,Partner_Voice!AH:AH,"",0)="Free","Free",IF(XLOOKUP($A18,Partner_Voice!$A:$A,Partner_Voice!AH:AH,"",0)="VL","VL",IF(XLOOKUP($A18,Partner_Voice!$A:$A,Partner_Voice!AH:AH,"",0)="ATT","ATT",XLOOKUP($A18,Partner_Voice!$A:$A,Partner_Voice!AH:AH,"",0))))</f>
        <v>0.3333333333</v>
      </c>
      <c r="AI18" s="42">
        <f t="array" ref="AI18">IF(XLOOKUP($A18,Partner_Voice!$A:$A,Partner_Voice!AI:AI,"",0)="Free","Free",IF(XLOOKUP($A18,Partner_Voice!$A:$A,Partner_Voice!AI:AI,"",0)="VL","VL",IF(XLOOKUP($A18,Partner_Voice!$A:$A,Partner_Voice!AI:AI,"",0)="ATT","ATT",XLOOKUP($A18,Partner_Voice!$A:$A,Partner_Voice!AI:AI,"",0))))</f>
        <v>0.3333333333</v>
      </c>
      <c r="AJ18" s="42">
        <f t="array" ref="AJ18">IF(XLOOKUP($A18,Partner_Voice!$A:$A,Partner_Voice!AJ:AJ,"",0)="Free","Free",IF(XLOOKUP($A18,Partner_Voice!$A:$A,Partner_Voice!AJ:AJ,"",0)="VL","VL",IF(XLOOKUP($A18,Partner_Voice!$A:$A,Partner_Voice!AJ:AJ,"",0)="ATT","ATT",XLOOKUP($A18,Partner_Voice!$A:$A,Partner_Voice!AJ:AJ,"",0))))</f>
        <v>0.3333333333</v>
      </c>
      <c r="AK18" s="42">
        <f t="array" ref="AK18">IF(XLOOKUP($A18,Partner_Voice!$A:$A,Partner_Voice!AK:AK,"",0)="Free","Free",IF(XLOOKUP($A18,Partner_Voice!$A:$A,Partner_Voice!AK:AK,"",0)="VL","VL",IF(XLOOKUP($A18,Partner_Voice!$A:$A,Partner_Voice!AK:AK,"",0)="ATT","ATT",XLOOKUP($A18,Partner_Voice!$A:$A,Partner_Voice!AK:AK,"",0))))</f>
        <v>0.3333333333</v>
      </c>
      <c r="AL18" s="42" t="str">
        <f t="array" ref="AL18">IF(XLOOKUP($A18,Partner_Voice!$A:$A,Partner_Voice!AL:AL,"",0)="Free","Free",IF(XLOOKUP($A18,Partner_Voice!$A:$A,Partner_Voice!AL:AL,"",0)="VL","VL",IF(XLOOKUP($A18,Partner_Voice!$A:$A,Partner_Voice!AL:AL,"",0)="ATT","ATT",XLOOKUP($A18,Partner_Voice!$A:$A,Partner_Voice!AL:AL,"",0))))</f>
        <v>Free</v>
      </c>
      <c r="AM18" s="42"/>
    </row>
    <row r="19">
      <c r="A19" s="47" t="s">
        <v>78</v>
      </c>
      <c r="B19" s="35" t="str">
        <f t="array" ref="B19">XLOOKUP(A19,Roster!F:F,Roster!A:A,"")</f>
        <v>Andra Daza</v>
      </c>
      <c r="C19" s="35" t="str">
        <f t="array" ref="C19">XLOOKUP(A19,Roster!F:F,Roster!B:B,"")</f>
        <v>Tomas Perez</v>
      </c>
      <c r="D19" s="70"/>
      <c r="E19" s="42">
        <f t="array" ref="E19">IF(XLOOKUP($A19,Partner_Voice!$A:$A,Partner_Voice!E:E,"",0)="Free","Free",IF(XLOOKUP($A19,Partner_Voice!$A:$A,Partner_Voice!E:E,"",0)="VL","VL",IF(XLOOKUP($A19,Partner_Voice!$A:$A,Partner_Voice!E:E,"",0)="ATT","ATT",XLOOKUP($A19,Partner_Voice!$A:$A,Partner_Voice!E:E,"",0))))</f>
        <v>0.3333333333</v>
      </c>
      <c r="F19" s="42">
        <f t="array" ref="F19">IF(XLOOKUP($A19,Partner_Voice!$A:$A,Partner_Voice!F:F,"",0)="Free","Free",IF(XLOOKUP($A19,Partner_Voice!$A:$A,Partner_Voice!F:F,"",0)="VL","VL",IF(XLOOKUP($A19,Partner_Voice!$A:$A,Partner_Voice!F:F,"",0)="ATT","ATT",XLOOKUP($A19,Partner_Voice!$A:$A,Partner_Voice!F:F,"",0))))</f>
        <v>0.3333333333</v>
      </c>
      <c r="G19" s="42">
        <f t="array" ref="G19">IF(XLOOKUP($A19,Partner_Voice!$A:$A,Partner_Voice!G:G,"",0)="Free","Free",IF(XLOOKUP($A19,Partner_Voice!$A:$A,Partner_Voice!G:G,"",0)="VL","VL",IF(XLOOKUP($A19,Partner_Voice!$A:$A,Partner_Voice!G:G,"",0)="ATT","ATT",XLOOKUP($A19,Partner_Voice!$A:$A,Partner_Voice!G:G,"",0))))</f>
        <v>0.3333333333</v>
      </c>
      <c r="H19" s="42" t="str">
        <f t="array" ref="H19">IF(XLOOKUP($A19,Partner_Voice!$A:$A,Partner_Voice!H:H,"",0)="Free","Free",IF(XLOOKUP($A19,Partner_Voice!$A:$A,Partner_Voice!H:H,"",0)="VL","VL",IF(XLOOKUP($A19,Partner_Voice!$A:$A,Partner_Voice!H:H,"",0)="ATT","ATT",XLOOKUP($A19,Partner_Voice!$A:$A,Partner_Voice!H:H,"",0))))</f>
        <v>Free</v>
      </c>
      <c r="I19" s="42">
        <f t="array" ref="I19">IF(XLOOKUP($A19,Partner_Voice!$A:$A,Partner_Voice!I:I,"",0)="Free","Free",IF(XLOOKUP($A19,Partner_Voice!$A:$A,Partner_Voice!I:I,"",0)="VL","VL",IF(XLOOKUP($A19,Partner_Voice!$A:$A,Partner_Voice!I:I,"",0)="ATT","ATT",XLOOKUP($A19,Partner_Voice!$A:$A,Partner_Voice!I:I,"",0))))</f>
        <v>0.3333333333</v>
      </c>
      <c r="J19" s="42">
        <f t="array" ref="J19">IF(XLOOKUP($A19,Partner_Voice!$A:$A,Partner_Voice!J:J,"",0)="Free","Free",IF(XLOOKUP($A19,Partner_Voice!$A:$A,Partner_Voice!J:J,"",0)="VL","VL",IF(XLOOKUP($A19,Partner_Voice!$A:$A,Partner_Voice!J:J,"",0)="ATT","ATT",XLOOKUP($A19,Partner_Voice!$A:$A,Partner_Voice!J:J,"",0))))</f>
        <v>0.3333333333</v>
      </c>
      <c r="K19" s="42"/>
      <c r="L19" s="42">
        <f t="array" ref="L19">IF(XLOOKUP($A19,Partner_Voice!$A:$A,Partner_Voice!L:L,"",0)="Free","Free",IF(XLOOKUP($A19,Partner_Voice!$A:$A,Partner_Voice!L:L,"",0)="VL","VL",IF(XLOOKUP($A19,Partner_Voice!$A:$A,Partner_Voice!L:L,"",0)="ATT","ATT",XLOOKUP($A19,Partner_Voice!$A:$A,Partner_Voice!L:L,"",0))))</f>
        <v>0.3333333333</v>
      </c>
      <c r="M19" s="42">
        <f t="array" ref="M19">IF(XLOOKUP($A19,Partner_Voice!$A:$A,Partner_Voice!M:M,"",0)="Free","Free",IF(XLOOKUP($A19,Partner_Voice!$A:$A,Partner_Voice!M:M,"",0)="VL","VL",IF(XLOOKUP($A19,Partner_Voice!$A:$A,Partner_Voice!M:M,"",0)="ATT","ATT",XLOOKUP($A19,Partner_Voice!$A:$A,Partner_Voice!M:M,"",0))))</f>
        <v>0.3333333333</v>
      </c>
      <c r="N19" s="42">
        <f t="array" ref="N19">IF(XLOOKUP($A19,Partner_Voice!$A:$A,Partner_Voice!N:N,"",0)="Free","Free",IF(XLOOKUP($A19,Partner_Voice!$A:$A,Partner_Voice!N:N,"",0)="VL","VL",IF(XLOOKUP($A19,Partner_Voice!$A:$A,Partner_Voice!N:N,"",0)="ATT","ATT",XLOOKUP($A19,Partner_Voice!$A:$A,Partner_Voice!N:N,"",0))))</f>
        <v>0.3333333333</v>
      </c>
      <c r="O19" s="42">
        <f t="array" ref="O19">IF(XLOOKUP($A19,Partner_Voice!$A:$A,Partner_Voice!O:O,"",0)="Free","Free",IF(XLOOKUP($A19,Partner_Voice!$A:$A,Partner_Voice!O:O,"",0)="VL","VL",IF(XLOOKUP($A19,Partner_Voice!$A:$A,Partner_Voice!O:O,"",0)="ATT","ATT",XLOOKUP($A19,Partner_Voice!$A:$A,Partner_Voice!O:O,"",0))))</f>
        <v>0.3333333333</v>
      </c>
      <c r="P19" s="42">
        <f t="array" ref="P19">IF(XLOOKUP($A19,Partner_Voice!$A:$A,Partner_Voice!P:P,"",0)="Free","Free",IF(XLOOKUP($A19,Partner_Voice!$A:$A,Partner_Voice!P:P,"",0)="VL","VL",IF(XLOOKUP($A19,Partner_Voice!$A:$A,Partner_Voice!P:P,"",0)="ATT","ATT",XLOOKUP($A19,Partner_Voice!$A:$A,Partner_Voice!P:P,"",0))))</f>
        <v>0.3333333333</v>
      </c>
      <c r="Q19" s="42" t="str">
        <f t="array" ref="Q19">IF(XLOOKUP($A19,Partner_Voice!$A:$A,Partner_Voice!Q:Q,"",0)="Free","Free",IF(XLOOKUP($A19,Partner_Voice!$A:$A,Partner_Voice!Q:Q,"",0)="VL","VL",IF(XLOOKUP($A19,Partner_Voice!$A:$A,Partner_Voice!Q:Q,"",0)="ATT","ATT",XLOOKUP($A19,Partner_Voice!$A:$A,Partner_Voice!Q:Q,"",0))))</f>
        <v>Free</v>
      </c>
      <c r="R19" s="43"/>
      <c r="S19" s="42">
        <f t="array" ref="S19">IF(XLOOKUP($A19,Partner_Voice!$A:$A,Partner_Voice!S:S,"",0)="Free","Free",IF(XLOOKUP($A19,Partner_Voice!$A:$A,Partner_Voice!S:S,"",0)="VL","VL",IF(XLOOKUP($A19,Partner_Voice!$A:$A,Partner_Voice!S:S,"",0)="ATT","ATT",XLOOKUP($A19,Partner_Voice!$A:$A,Partner_Voice!S:S,"",0))))</f>
        <v>0.3333333333</v>
      </c>
      <c r="T19" s="42">
        <f t="array" ref="T19">IF(XLOOKUP($A19,Partner_Voice!$A:$A,Partner_Voice!T:T,"",0)="Free","Free",IF(XLOOKUP($A19,Partner_Voice!$A:$A,Partner_Voice!T:T,"",0)="VL","VL",IF(XLOOKUP($A19,Partner_Voice!$A:$A,Partner_Voice!T:T,"",0)="ATT","ATT",XLOOKUP($A19,Partner_Voice!$A:$A,Partner_Voice!T:T,"",0))))</f>
        <v>0.3333333333</v>
      </c>
      <c r="U19" s="42">
        <f t="array" ref="U19">IF(XLOOKUP($A19,Partner_Voice!$A:$A,Partner_Voice!U:U,"",0)="Free","Free",IF(XLOOKUP($A19,Partner_Voice!$A:$A,Partner_Voice!U:U,"",0)="VL","VL",IF(XLOOKUP($A19,Partner_Voice!$A:$A,Partner_Voice!U:U,"",0)="ATT","ATT",XLOOKUP($A19,Partner_Voice!$A:$A,Partner_Voice!U:U,"",0))))</f>
        <v>0.3333333333</v>
      </c>
      <c r="V19" s="42">
        <f t="array" ref="V19">IF(XLOOKUP($A19,Partner_Voice!$A:$A,Partner_Voice!V:V,"",0)="Free","Free",IF(XLOOKUP($A19,Partner_Voice!$A:$A,Partner_Voice!V:V,"",0)="VL","VL",IF(XLOOKUP($A19,Partner_Voice!$A:$A,Partner_Voice!V:V,"",0)="ATT","ATT",XLOOKUP($A19,Partner_Voice!$A:$A,Partner_Voice!V:V,"",0))))</f>
        <v>0.3333333333</v>
      </c>
      <c r="W19" s="42">
        <f t="array" ref="W19">IF(XLOOKUP($A19,Partner_Voice!$A:$A,Partner_Voice!W:W,"",0)="Free","Free",IF(XLOOKUP($A19,Partner_Voice!$A:$A,Partner_Voice!W:W,"",0)="VL","VL",IF(XLOOKUP($A19,Partner_Voice!$A:$A,Partner_Voice!W:W,"",0)="ATT","ATT",XLOOKUP($A19,Partner_Voice!$A:$A,Partner_Voice!W:W,"",0))))</f>
        <v>0.3333333333</v>
      </c>
      <c r="X19" s="42" t="str">
        <f t="array" ref="X19">IF(XLOOKUP($A19,Partner_Voice!$A:$A,Partner_Voice!X:X,"",0)="Free","Free",IF(XLOOKUP($A19,Partner_Voice!$A:$A,Partner_Voice!X:X,"",0)="VL","VL",IF(XLOOKUP($A19,Partner_Voice!$A:$A,Partner_Voice!X:X,"",0)="ATT","ATT",XLOOKUP($A19,Partner_Voice!$A:$A,Partner_Voice!X:X,"",0))))</f>
        <v>Free</v>
      </c>
      <c r="Y19" s="43"/>
      <c r="Z19" s="42">
        <f t="array" ref="Z19">IF(XLOOKUP($A19,Partner_Voice!$A:$A,Partner_Voice!Z:Z,"",0)="Free","Free",IF(XLOOKUP($A19,Partner_Voice!$A:$A,Partner_Voice!Z:Z,"",0)="VL","VL",IF(XLOOKUP($A19,Partner_Voice!$A:$A,Partner_Voice!Z:Z,"",0)="ATT","ATT",XLOOKUP($A19,Partner_Voice!$A:$A,Partner_Voice!Z:Z,"",0))))</f>
        <v>0.3333333333</v>
      </c>
      <c r="AA19" s="42">
        <f t="array" ref="AA19">IF(XLOOKUP($A19,Partner_Voice!$A:$A,Partner_Voice!AA:AA,"",0)="Free","Free",IF(XLOOKUP($A19,Partner_Voice!$A:$A,Partner_Voice!AA:AA,"",0)="VL","VL",IF(XLOOKUP($A19,Partner_Voice!$A:$A,Partner_Voice!AA:AA,"",0)="ATT","ATT",XLOOKUP($A19,Partner_Voice!$A:$A,Partner_Voice!AA:AA,"",0))))</f>
        <v>0.3333333333</v>
      </c>
      <c r="AB19" s="42">
        <f t="array" ref="AB19">IF(XLOOKUP($A19,Partner_Voice!$A:$A,Partner_Voice!AB:AB,"",0)="Free","Free",IF(XLOOKUP($A19,Partner_Voice!$A:$A,Partner_Voice!AB:AB,"",0)="VL","VL",IF(XLOOKUP($A19,Partner_Voice!$A:$A,Partner_Voice!AB:AB,"",0)="ATT","ATT",XLOOKUP($A19,Partner_Voice!$A:$A,Partner_Voice!AB:AB,"",0))))</f>
        <v>0.3333333333</v>
      </c>
      <c r="AC19" s="42">
        <f t="array" ref="AC19">IF(XLOOKUP($A19,Partner_Voice!$A:$A,Partner_Voice!AC:AC,"",0)="Free","Free",IF(XLOOKUP($A19,Partner_Voice!$A:$A,Partner_Voice!AC:AC,"",0)="VL","VL",IF(XLOOKUP($A19,Partner_Voice!$A:$A,Partner_Voice!AC:AC,"",0)="ATT","ATT",XLOOKUP($A19,Partner_Voice!$A:$A,Partner_Voice!AC:AC,"",0))))</f>
        <v>0.3333333333</v>
      </c>
      <c r="AD19" s="42">
        <f t="array" ref="AD19">IF(XLOOKUP($A19,Partner_Voice!$A:$A,Partner_Voice!AD:AD,"",0)="Free","Free",IF(XLOOKUP($A19,Partner_Voice!$A:$A,Partner_Voice!AD:AD,"",0)="VL","VL",IF(XLOOKUP($A19,Partner_Voice!$A:$A,Partner_Voice!AD:AD,"",0)="ATT","ATT",XLOOKUP($A19,Partner_Voice!$A:$A,Partner_Voice!AD:AD,"",0))))</f>
        <v>0.3333333333</v>
      </c>
      <c r="AE19" s="42" t="str">
        <f t="array" ref="AE19">IF(XLOOKUP($A19,Partner_Voice!$A:$A,Partner_Voice!AE:AE,"",0)="Free","Free",IF(XLOOKUP($A19,Partner_Voice!$A:$A,Partner_Voice!AE:AE,"",0)="VL","VL",IF(XLOOKUP($A19,Partner_Voice!$A:$A,Partner_Voice!AE:AE,"",0)="ATT","ATT",XLOOKUP($A19,Partner_Voice!$A:$A,Partner_Voice!AE:AE,"",0))))</f>
        <v>Free</v>
      </c>
      <c r="AF19" s="69"/>
      <c r="AG19" s="42">
        <f t="array" ref="AG19">IF(XLOOKUP($A19,Partner_Voice!$A:$A,Partner_Voice!AG:AG,"",0)="Free","Free",IF(XLOOKUP($A19,Partner_Voice!$A:$A,Partner_Voice!AG:AG,"",0)="VL","VL",IF(XLOOKUP($A19,Partner_Voice!$A:$A,Partner_Voice!AG:AG,"",0)="ATT","ATT",XLOOKUP($A19,Partner_Voice!$A:$A,Partner_Voice!AG:AG,"",0))))</f>
        <v>0.3333333333</v>
      </c>
      <c r="AH19" s="42">
        <f t="array" ref="AH19">IF(XLOOKUP($A19,Partner_Voice!$A:$A,Partner_Voice!AH:AH,"",0)="Free","Free",IF(XLOOKUP($A19,Partner_Voice!$A:$A,Partner_Voice!AH:AH,"",0)="VL","VL",IF(XLOOKUP($A19,Partner_Voice!$A:$A,Partner_Voice!AH:AH,"",0)="ATT","ATT",XLOOKUP($A19,Partner_Voice!$A:$A,Partner_Voice!AH:AH,"",0))))</f>
        <v>0.3333333333</v>
      </c>
      <c r="AI19" s="42">
        <f t="array" ref="AI19">IF(XLOOKUP($A19,Partner_Voice!$A:$A,Partner_Voice!AI:AI,"",0)="Free","Free",IF(XLOOKUP($A19,Partner_Voice!$A:$A,Partner_Voice!AI:AI,"",0)="VL","VL",IF(XLOOKUP($A19,Partner_Voice!$A:$A,Partner_Voice!AI:AI,"",0)="ATT","ATT",XLOOKUP($A19,Partner_Voice!$A:$A,Partner_Voice!AI:AI,"",0))))</f>
        <v>0.3333333333</v>
      </c>
      <c r="AJ19" s="42">
        <f t="array" ref="AJ19">IF(XLOOKUP($A19,Partner_Voice!$A:$A,Partner_Voice!AJ:AJ,"",0)="Free","Free",IF(XLOOKUP($A19,Partner_Voice!$A:$A,Partner_Voice!AJ:AJ,"",0)="VL","VL",IF(XLOOKUP($A19,Partner_Voice!$A:$A,Partner_Voice!AJ:AJ,"",0)="ATT","ATT",XLOOKUP($A19,Partner_Voice!$A:$A,Partner_Voice!AJ:AJ,"",0))))</f>
        <v>0.3333333333</v>
      </c>
      <c r="AK19" s="42">
        <f t="array" ref="AK19">IF(XLOOKUP($A19,Partner_Voice!$A:$A,Partner_Voice!AK:AK,"",0)="Free","Free",IF(XLOOKUP($A19,Partner_Voice!$A:$A,Partner_Voice!AK:AK,"",0)="VL","VL",IF(XLOOKUP($A19,Partner_Voice!$A:$A,Partner_Voice!AK:AK,"",0)="ATT","ATT",XLOOKUP($A19,Partner_Voice!$A:$A,Partner_Voice!AK:AK,"",0))))</f>
        <v>0.3333333333</v>
      </c>
      <c r="AL19" s="42" t="str">
        <f t="array" ref="AL19">IF(XLOOKUP($A19,Partner_Voice!$A:$A,Partner_Voice!AL:AL,"",0)="Free","Free",IF(XLOOKUP($A19,Partner_Voice!$A:$A,Partner_Voice!AL:AL,"",0)="VL","VL",IF(XLOOKUP($A19,Partner_Voice!$A:$A,Partner_Voice!AL:AL,"",0)="ATT","ATT",XLOOKUP($A19,Partner_Voice!$A:$A,Partner_Voice!AL:AL,"",0))))</f>
        <v>Free</v>
      </c>
      <c r="AM19" s="42"/>
    </row>
    <row r="20">
      <c r="A20" s="47" t="s">
        <v>81</v>
      </c>
      <c r="B20" s="35" t="str">
        <f t="array" ref="B20">XLOOKUP(A20,Roster!F:F,Roster!A:A,"")</f>
        <v>Andra Daza</v>
      </c>
      <c r="C20" s="35" t="str">
        <f t="array" ref="C20">XLOOKUP(A20,Roster!F:F,Roster!B:B,"")</f>
        <v>Wendy Machado</v>
      </c>
      <c r="D20" s="70"/>
      <c r="E20" s="42">
        <f t="array" ref="E20">IF(XLOOKUP($A20,Partner_Voice!$A:$A,Partner_Voice!E:E,"",0)="Free","Free",IF(XLOOKUP($A20,Partner_Voice!$A:$A,Partner_Voice!E:E,"",0)="VL","VL",IF(XLOOKUP($A20,Partner_Voice!$A:$A,Partner_Voice!E:E,"",0)="ATT","ATT",XLOOKUP($A20,Partner_Voice!$A:$A,Partner_Voice!E:E,"",0))))</f>
        <v>0.3333333333</v>
      </c>
      <c r="F20" s="42" t="str">
        <f t="array" ref="F20">IF(XLOOKUP($A20,Partner_Voice!$A:$A,Partner_Voice!F:F,"",0)="Free","Free",IF(XLOOKUP($A20,Partner_Voice!$A:$A,Partner_Voice!F:F,"",0)="VL","VL",IF(XLOOKUP($A20,Partner_Voice!$A:$A,Partner_Voice!F:F,"",0)="ATT","ATT",XLOOKUP($A20,Partner_Voice!$A:$A,Partner_Voice!F:F,"",0))))</f>
        <v>Free</v>
      </c>
      <c r="G20" s="42">
        <f t="array" ref="G20">IF(XLOOKUP($A20,Partner_Voice!$A:$A,Partner_Voice!G:G,"",0)="Free","Free",IF(XLOOKUP($A20,Partner_Voice!$A:$A,Partner_Voice!G:G,"",0)="VL","VL",IF(XLOOKUP($A20,Partner_Voice!$A:$A,Partner_Voice!G:G,"",0)="ATT","ATT",XLOOKUP($A20,Partner_Voice!$A:$A,Partner_Voice!G:G,"",0))))</f>
        <v>0.3333333333</v>
      </c>
      <c r="H20" s="42">
        <f t="array" ref="H20">IF(XLOOKUP($A20,Partner_Voice!$A:$A,Partner_Voice!H:H,"",0)="Free","Free",IF(XLOOKUP($A20,Partner_Voice!$A:$A,Partner_Voice!H:H,"",0)="VL","VL",IF(XLOOKUP($A20,Partner_Voice!$A:$A,Partner_Voice!H:H,"",0)="ATT","ATT",XLOOKUP($A20,Partner_Voice!$A:$A,Partner_Voice!H:H,"",0))))</f>
        <v>0.3333333333</v>
      </c>
      <c r="I20" s="42">
        <f t="array" ref="I20">IF(XLOOKUP($A20,Partner_Voice!$A:$A,Partner_Voice!I:I,"",0)="Free","Free",IF(XLOOKUP($A20,Partner_Voice!$A:$A,Partner_Voice!I:I,"",0)="VL","VL",IF(XLOOKUP($A20,Partner_Voice!$A:$A,Partner_Voice!I:I,"",0)="ATT","ATT",XLOOKUP($A20,Partner_Voice!$A:$A,Partner_Voice!I:I,"",0))))</f>
        <v>0.3333333333</v>
      </c>
      <c r="J20" s="42">
        <f t="array" ref="J20">IF(XLOOKUP($A20,Partner_Voice!$A:$A,Partner_Voice!J:J,"",0)="Free","Free",IF(XLOOKUP($A20,Partner_Voice!$A:$A,Partner_Voice!J:J,"",0)="VL","VL",IF(XLOOKUP($A20,Partner_Voice!$A:$A,Partner_Voice!J:J,"",0)="ATT","ATT",XLOOKUP($A20,Partner_Voice!$A:$A,Partner_Voice!J:J,"",0))))</f>
        <v>0.3333333333</v>
      </c>
      <c r="K20" s="42"/>
      <c r="L20" s="42">
        <f t="array" ref="L20">IF(XLOOKUP($A20,Partner_Voice!$A:$A,Partner_Voice!L:L,"",0)="Free","Free",IF(XLOOKUP($A20,Partner_Voice!$A:$A,Partner_Voice!L:L,"",0)="VL","VL",IF(XLOOKUP($A20,Partner_Voice!$A:$A,Partner_Voice!L:L,"",0)="ATT","ATT",XLOOKUP($A20,Partner_Voice!$A:$A,Partner_Voice!L:L,"",0))))</f>
        <v>0.3333333333</v>
      </c>
      <c r="M20" s="42">
        <f t="array" ref="M20">IF(XLOOKUP($A20,Partner_Voice!$A:$A,Partner_Voice!M:M,"",0)="Free","Free",IF(XLOOKUP($A20,Partner_Voice!$A:$A,Partner_Voice!M:M,"",0)="VL","VL",IF(XLOOKUP($A20,Partner_Voice!$A:$A,Partner_Voice!M:M,"",0)="ATT","ATT",XLOOKUP($A20,Partner_Voice!$A:$A,Partner_Voice!M:M,"",0))))</f>
        <v>0.3333333333</v>
      </c>
      <c r="N20" s="42">
        <f t="array" ref="N20">IF(XLOOKUP($A20,Partner_Voice!$A:$A,Partner_Voice!N:N,"",0)="Free","Free",IF(XLOOKUP($A20,Partner_Voice!$A:$A,Partner_Voice!N:N,"",0)="VL","VL",IF(XLOOKUP($A20,Partner_Voice!$A:$A,Partner_Voice!N:N,"",0)="ATT","ATT",XLOOKUP($A20,Partner_Voice!$A:$A,Partner_Voice!N:N,"",0))))</f>
        <v>0.3333333333</v>
      </c>
      <c r="O20" s="42">
        <f t="array" ref="O20">IF(XLOOKUP($A20,Partner_Voice!$A:$A,Partner_Voice!O:O,"",0)="Free","Free",IF(XLOOKUP($A20,Partner_Voice!$A:$A,Partner_Voice!O:O,"",0)="VL","VL",IF(XLOOKUP($A20,Partner_Voice!$A:$A,Partner_Voice!O:O,"",0)="ATT","ATT",XLOOKUP($A20,Partner_Voice!$A:$A,Partner_Voice!O:O,"",0))))</f>
        <v>0.3333333333</v>
      </c>
      <c r="P20" s="42" t="str">
        <f t="array" ref="P20">IF(XLOOKUP($A20,Partner_Voice!$A:$A,Partner_Voice!P:P,"",0)="Free","Free",IF(XLOOKUP($A20,Partner_Voice!$A:$A,Partner_Voice!P:P,"",0)="VL","VL",IF(XLOOKUP($A20,Partner_Voice!$A:$A,Partner_Voice!P:P,"",0)="ATT","ATT",XLOOKUP($A20,Partner_Voice!$A:$A,Partner_Voice!P:P,"",0))))</f>
        <v>Free</v>
      </c>
      <c r="Q20" s="42">
        <f t="array" ref="Q20">IF(XLOOKUP($A20,Partner_Voice!$A:$A,Partner_Voice!Q:Q,"",0)="Free","Free",IF(XLOOKUP($A20,Partner_Voice!$A:$A,Partner_Voice!Q:Q,"",0)="VL","VL",IF(XLOOKUP($A20,Partner_Voice!$A:$A,Partner_Voice!Q:Q,"",0)="ATT","ATT",XLOOKUP($A20,Partner_Voice!$A:$A,Partner_Voice!Q:Q,"",0))))</f>
        <v>0.3333333333</v>
      </c>
      <c r="R20" s="43"/>
      <c r="S20" s="42">
        <f t="array" ref="S20">IF(XLOOKUP($A20,Partner_Voice!$A:$A,Partner_Voice!S:S,"",0)="Free","Free",IF(XLOOKUP($A20,Partner_Voice!$A:$A,Partner_Voice!S:S,"",0)="VL","VL",IF(XLOOKUP($A20,Partner_Voice!$A:$A,Partner_Voice!S:S,"",0)="ATT","ATT",XLOOKUP($A20,Partner_Voice!$A:$A,Partner_Voice!S:S,"",0))))</f>
        <v>0.3333333333</v>
      </c>
      <c r="T20" s="42">
        <f t="array" ref="T20">IF(XLOOKUP($A20,Partner_Voice!$A:$A,Partner_Voice!T:T,"",0)="Free","Free",IF(XLOOKUP($A20,Partner_Voice!$A:$A,Partner_Voice!T:T,"",0)="VL","VL",IF(XLOOKUP($A20,Partner_Voice!$A:$A,Partner_Voice!T:T,"",0)="ATT","ATT",XLOOKUP($A20,Partner_Voice!$A:$A,Partner_Voice!T:T,"",0))))</f>
        <v>0.3333333333</v>
      </c>
      <c r="U20" s="42">
        <f t="array" ref="U20">IF(XLOOKUP($A20,Partner_Voice!$A:$A,Partner_Voice!U:U,"",0)="Free","Free",IF(XLOOKUP($A20,Partner_Voice!$A:$A,Partner_Voice!U:U,"",0)="VL","VL",IF(XLOOKUP($A20,Partner_Voice!$A:$A,Partner_Voice!U:U,"",0)="ATT","ATT",XLOOKUP($A20,Partner_Voice!$A:$A,Partner_Voice!U:U,"",0))))</f>
        <v>0.3333333333</v>
      </c>
      <c r="V20" s="42">
        <f t="array" ref="V20">IF(XLOOKUP($A20,Partner_Voice!$A:$A,Partner_Voice!V:V,"",0)="Free","Free",IF(XLOOKUP($A20,Partner_Voice!$A:$A,Partner_Voice!V:V,"",0)="VL","VL",IF(XLOOKUP($A20,Partner_Voice!$A:$A,Partner_Voice!V:V,"",0)="ATT","ATT",XLOOKUP($A20,Partner_Voice!$A:$A,Partner_Voice!V:V,"",0))))</f>
        <v>0.3333333333</v>
      </c>
      <c r="W20" s="42" t="str">
        <f t="array" ref="W20">IF(XLOOKUP($A20,Partner_Voice!$A:$A,Partner_Voice!W:W,"",0)="Free","Free",IF(XLOOKUP($A20,Partner_Voice!$A:$A,Partner_Voice!W:W,"",0)="VL","VL",IF(XLOOKUP($A20,Partner_Voice!$A:$A,Partner_Voice!W:W,"",0)="ATT","ATT",XLOOKUP($A20,Partner_Voice!$A:$A,Partner_Voice!W:W,"",0))))</f>
        <v>Free</v>
      </c>
      <c r="X20" s="42">
        <f t="array" ref="X20">IF(XLOOKUP($A20,Partner_Voice!$A:$A,Partner_Voice!X:X,"",0)="Free","Free",IF(XLOOKUP($A20,Partner_Voice!$A:$A,Partner_Voice!X:X,"",0)="VL","VL",IF(XLOOKUP($A20,Partner_Voice!$A:$A,Partner_Voice!X:X,"",0)="ATT","ATT",XLOOKUP($A20,Partner_Voice!$A:$A,Partner_Voice!X:X,"",0))))</f>
        <v>0.3333333333</v>
      </c>
      <c r="Y20" s="43"/>
      <c r="Z20" s="42">
        <f t="array" ref="Z20">IF(XLOOKUP($A20,Partner_Voice!$A:$A,Partner_Voice!Z:Z,"",0)="Free","Free",IF(XLOOKUP($A20,Partner_Voice!$A:$A,Partner_Voice!Z:Z,"",0)="VL","VL",IF(XLOOKUP($A20,Partner_Voice!$A:$A,Partner_Voice!Z:Z,"",0)="ATT","ATT",XLOOKUP($A20,Partner_Voice!$A:$A,Partner_Voice!Z:Z,"",0))))</f>
        <v>0.3333333333</v>
      </c>
      <c r="AA20" s="42">
        <f t="array" ref="AA20">IF(XLOOKUP($A20,Partner_Voice!$A:$A,Partner_Voice!AA:AA,"",0)="Free","Free",IF(XLOOKUP($A20,Partner_Voice!$A:$A,Partner_Voice!AA:AA,"",0)="VL","VL",IF(XLOOKUP($A20,Partner_Voice!$A:$A,Partner_Voice!AA:AA,"",0)="ATT","ATT",XLOOKUP($A20,Partner_Voice!$A:$A,Partner_Voice!AA:AA,"",0))))</f>
        <v>0.3333333333</v>
      </c>
      <c r="AB20" s="42">
        <f t="array" ref="AB20">IF(XLOOKUP($A20,Partner_Voice!$A:$A,Partner_Voice!AB:AB,"",0)="Free","Free",IF(XLOOKUP($A20,Partner_Voice!$A:$A,Partner_Voice!AB:AB,"",0)="VL","VL",IF(XLOOKUP($A20,Partner_Voice!$A:$A,Partner_Voice!AB:AB,"",0)="ATT","ATT",XLOOKUP($A20,Partner_Voice!$A:$A,Partner_Voice!AB:AB,"",0))))</f>
        <v>0.3333333333</v>
      </c>
      <c r="AC20" s="42">
        <f t="array" ref="AC20">IF(XLOOKUP($A20,Partner_Voice!$A:$A,Partner_Voice!AC:AC,"",0)="Free","Free",IF(XLOOKUP($A20,Partner_Voice!$A:$A,Partner_Voice!AC:AC,"",0)="VL","VL",IF(XLOOKUP($A20,Partner_Voice!$A:$A,Partner_Voice!AC:AC,"",0)="ATT","ATT",XLOOKUP($A20,Partner_Voice!$A:$A,Partner_Voice!AC:AC,"",0))))</f>
        <v>0.3333333333</v>
      </c>
      <c r="AD20" s="42" t="str">
        <f t="array" ref="AD20">IF(XLOOKUP($A20,Partner_Voice!$A:$A,Partner_Voice!AD:AD,"",0)="Free","Free",IF(XLOOKUP($A20,Partner_Voice!$A:$A,Partner_Voice!AD:AD,"",0)="VL","VL",IF(XLOOKUP($A20,Partner_Voice!$A:$A,Partner_Voice!AD:AD,"",0)="ATT","ATT",XLOOKUP($A20,Partner_Voice!$A:$A,Partner_Voice!AD:AD,"",0))))</f>
        <v>Free</v>
      </c>
      <c r="AE20" s="42">
        <f t="array" ref="AE20">IF(XLOOKUP($A20,Partner_Voice!$A:$A,Partner_Voice!AE:AE,"",0)="Free","Free",IF(XLOOKUP($A20,Partner_Voice!$A:$A,Partner_Voice!AE:AE,"",0)="VL","VL",IF(XLOOKUP($A20,Partner_Voice!$A:$A,Partner_Voice!AE:AE,"",0)="ATT","ATT",XLOOKUP($A20,Partner_Voice!$A:$A,Partner_Voice!AE:AE,"",0))))</f>
        <v>0.3333333333</v>
      </c>
      <c r="AF20" s="69"/>
      <c r="AG20" s="42">
        <f t="array" ref="AG20">IF(XLOOKUP($A20,Partner_Voice!$A:$A,Partner_Voice!AG:AG,"",0)="Free","Free",IF(XLOOKUP($A20,Partner_Voice!$A:$A,Partner_Voice!AG:AG,"",0)="VL","VL",IF(XLOOKUP($A20,Partner_Voice!$A:$A,Partner_Voice!AG:AG,"",0)="ATT","ATT",XLOOKUP($A20,Partner_Voice!$A:$A,Partner_Voice!AG:AG,"",0))))</f>
        <v>0.3333333333</v>
      </c>
      <c r="AH20" s="42">
        <f t="array" ref="AH20">IF(XLOOKUP($A20,Partner_Voice!$A:$A,Partner_Voice!AH:AH,"",0)="Free","Free",IF(XLOOKUP($A20,Partner_Voice!$A:$A,Partner_Voice!AH:AH,"",0)="VL","VL",IF(XLOOKUP($A20,Partner_Voice!$A:$A,Partner_Voice!AH:AH,"",0)="ATT","ATT",XLOOKUP($A20,Partner_Voice!$A:$A,Partner_Voice!AH:AH,"",0))))</f>
        <v>0.3333333333</v>
      </c>
      <c r="AI20" s="42">
        <f t="array" ref="AI20">IF(XLOOKUP($A20,Partner_Voice!$A:$A,Partner_Voice!AI:AI,"",0)="Free","Free",IF(XLOOKUP($A20,Partner_Voice!$A:$A,Partner_Voice!AI:AI,"",0)="VL","VL",IF(XLOOKUP($A20,Partner_Voice!$A:$A,Partner_Voice!AI:AI,"",0)="ATT","ATT",XLOOKUP($A20,Partner_Voice!$A:$A,Partner_Voice!AI:AI,"",0))))</f>
        <v>0.3333333333</v>
      </c>
      <c r="AJ20" s="42">
        <f t="array" ref="AJ20">IF(XLOOKUP($A20,Partner_Voice!$A:$A,Partner_Voice!AJ:AJ,"",0)="Free","Free",IF(XLOOKUP($A20,Partner_Voice!$A:$A,Partner_Voice!AJ:AJ,"",0)="VL","VL",IF(XLOOKUP($A20,Partner_Voice!$A:$A,Partner_Voice!AJ:AJ,"",0)="ATT","ATT",XLOOKUP($A20,Partner_Voice!$A:$A,Partner_Voice!AJ:AJ,"",0))))</f>
        <v>0.3333333333</v>
      </c>
      <c r="AK20" s="42" t="str">
        <f t="array" ref="AK20">IF(XLOOKUP($A20,Partner_Voice!$A:$A,Partner_Voice!AK:AK,"",0)="Free","Free",IF(XLOOKUP($A20,Partner_Voice!$A:$A,Partner_Voice!AK:AK,"",0)="VL","VL",IF(XLOOKUP($A20,Partner_Voice!$A:$A,Partner_Voice!AK:AK,"",0)="ATT","ATT",XLOOKUP($A20,Partner_Voice!$A:$A,Partner_Voice!AK:AK,"",0))))</f>
        <v>Free</v>
      </c>
      <c r="AL20" s="42">
        <f t="array" ref="AL20">IF(XLOOKUP($A20,Partner_Voice!$A:$A,Partner_Voice!AL:AL,"",0)="Free","Free",IF(XLOOKUP($A20,Partner_Voice!$A:$A,Partner_Voice!AL:AL,"",0)="VL","VL",IF(XLOOKUP($A20,Partner_Voice!$A:$A,Partner_Voice!AL:AL,"",0)="ATT","ATT",XLOOKUP($A20,Partner_Voice!$A:$A,Partner_Voice!AL:AL,"",0))))</f>
        <v>0.3333333333</v>
      </c>
      <c r="AM20" s="42"/>
    </row>
    <row r="21">
      <c r="A21" s="47" t="s">
        <v>84</v>
      </c>
      <c r="B21" s="35" t="str">
        <f t="array" ref="B21">XLOOKUP(A21,Roster!F:F,Roster!A:A,"")</f>
        <v>Andra Daza</v>
      </c>
      <c r="C21" s="35" t="str">
        <f t="array" ref="C21">XLOOKUP(A21,Roster!F:F,Roster!B:B,"")</f>
        <v>Yaidy Mosquera</v>
      </c>
      <c r="D21" s="70"/>
      <c r="E21" s="42">
        <f t="array" ref="E21">IF(XLOOKUP($A21,Partner_Voice!$A:$A,Partner_Voice!E:E,"",0)="Free","Free",IF(XLOOKUP($A21,Partner_Voice!$A:$A,Partner_Voice!E:E,"",0)="VL","VL",IF(XLOOKUP($A21,Partner_Voice!$A:$A,Partner_Voice!E:E,"",0)="ATT","ATT",XLOOKUP($A21,Partner_Voice!$A:$A,Partner_Voice!E:E,"",0))))</f>
        <v>0.3333333333</v>
      </c>
      <c r="F21" s="42">
        <f t="array" ref="F21">IF(XLOOKUP($A21,Partner_Voice!$A:$A,Partner_Voice!F:F,"",0)="Free","Free",IF(XLOOKUP($A21,Partner_Voice!$A:$A,Partner_Voice!F:F,"",0)="VL","VL",IF(XLOOKUP($A21,Partner_Voice!$A:$A,Partner_Voice!F:F,"",0)="ATT","ATT",XLOOKUP($A21,Partner_Voice!$A:$A,Partner_Voice!F:F,"",0))))</f>
        <v>0.3333333333</v>
      </c>
      <c r="G21" s="42">
        <f t="array" ref="G21">IF(XLOOKUP($A21,Partner_Voice!$A:$A,Partner_Voice!G:G,"",0)="Free","Free",IF(XLOOKUP($A21,Partner_Voice!$A:$A,Partner_Voice!G:G,"",0)="VL","VL",IF(XLOOKUP($A21,Partner_Voice!$A:$A,Partner_Voice!G:G,"",0)="ATT","ATT",XLOOKUP($A21,Partner_Voice!$A:$A,Partner_Voice!G:G,"",0))))</f>
        <v>0.3333333333</v>
      </c>
      <c r="H21" s="42">
        <f t="array" ref="H21">IF(XLOOKUP($A21,Partner_Voice!$A:$A,Partner_Voice!H:H,"",0)="Free","Free",IF(XLOOKUP($A21,Partner_Voice!$A:$A,Partner_Voice!H:H,"",0)="VL","VL",IF(XLOOKUP($A21,Partner_Voice!$A:$A,Partner_Voice!H:H,"",0)="ATT","ATT",XLOOKUP($A21,Partner_Voice!$A:$A,Partner_Voice!H:H,"",0))))</f>
        <v>0.3333333333</v>
      </c>
      <c r="I21" s="42">
        <f t="array" ref="I21">IF(XLOOKUP($A21,Partner_Voice!$A:$A,Partner_Voice!I:I,"",0)="Free","Free",IF(XLOOKUP($A21,Partner_Voice!$A:$A,Partner_Voice!I:I,"",0)="VL","VL",IF(XLOOKUP($A21,Partner_Voice!$A:$A,Partner_Voice!I:I,"",0)="ATT","ATT",XLOOKUP($A21,Partner_Voice!$A:$A,Partner_Voice!I:I,"",0))))</f>
        <v>0.3333333333</v>
      </c>
      <c r="J21" s="42" t="str">
        <f t="array" ref="J21">IF(XLOOKUP($A21,Partner_Voice!$A:$A,Partner_Voice!J:J,"",0)="Free","Free",IF(XLOOKUP($A21,Partner_Voice!$A:$A,Partner_Voice!J:J,"",0)="VL","VL",IF(XLOOKUP($A21,Partner_Voice!$A:$A,Partner_Voice!J:J,"",0)="ATT","ATT",XLOOKUP($A21,Partner_Voice!$A:$A,Partner_Voice!J:J,"",0))))</f>
        <v>Free</v>
      </c>
      <c r="K21" s="42"/>
      <c r="L21" s="42">
        <f t="array" ref="L21">IF(XLOOKUP($A21,Partner_Voice!$A:$A,Partner_Voice!L:L,"",0)="Free","Free",IF(XLOOKUP($A21,Partner_Voice!$A:$A,Partner_Voice!L:L,"",0)="VL","VL",IF(XLOOKUP($A21,Partner_Voice!$A:$A,Partner_Voice!L:L,"",0)="ATT","ATT",XLOOKUP($A21,Partner_Voice!$A:$A,Partner_Voice!L:L,"",0))))</f>
        <v>0.3333333333</v>
      </c>
      <c r="M21" s="42">
        <f t="array" ref="M21">IF(XLOOKUP($A21,Partner_Voice!$A:$A,Partner_Voice!M:M,"",0)="Free","Free",IF(XLOOKUP($A21,Partner_Voice!$A:$A,Partner_Voice!M:M,"",0)="VL","VL",IF(XLOOKUP($A21,Partner_Voice!$A:$A,Partner_Voice!M:M,"",0)="ATT","ATT",XLOOKUP($A21,Partner_Voice!$A:$A,Partner_Voice!M:M,"",0))))</f>
        <v>0.3333333333</v>
      </c>
      <c r="N21" s="42">
        <f t="array" ref="N21">IF(XLOOKUP($A21,Partner_Voice!$A:$A,Partner_Voice!N:N,"",0)="Free","Free",IF(XLOOKUP($A21,Partner_Voice!$A:$A,Partner_Voice!N:N,"",0)="VL","VL",IF(XLOOKUP($A21,Partner_Voice!$A:$A,Partner_Voice!N:N,"",0)="ATT","ATT",XLOOKUP($A21,Partner_Voice!$A:$A,Partner_Voice!N:N,"",0))))</f>
        <v>0.3333333333</v>
      </c>
      <c r="O21" s="42">
        <f t="array" ref="O21">IF(XLOOKUP($A21,Partner_Voice!$A:$A,Partner_Voice!O:O,"",0)="Free","Free",IF(XLOOKUP($A21,Partner_Voice!$A:$A,Partner_Voice!O:O,"",0)="VL","VL",IF(XLOOKUP($A21,Partner_Voice!$A:$A,Partner_Voice!O:O,"",0)="ATT","ATT",XLOOKUP($A21,Partner_Voice!$A:$A,Partner_Voice!O:O,"",0))))</f>
        <v>0.3333333333</v>
      </c>
      <c r="P21" s="42">
        <f t="array" ref="P21">IF(XLOOKUP($A21,Partner_Voice!$A:$A,Partner_Voice!P:P,"",0)="Free","Free",IF(XLOOKUP($A21,Partner_Voice!$A:$A,Partner_Voice!P:P,"",0)="VL","VL",IF(XLOOKUP($A21,Partner_Voice!$A:$A,Partner_Voice!P:P,"",0)="ATT","ATT",XLOOKUP($A21,Partner_Voice!$A:$A,Partner_Voice!P:P,"",0))))</f>
        <v>0.3333333333</v>
      </c>
      <c r="Q21" s="42" t="str">
        <f t="array" ref="Q21">IF(XLOOKUP($A21,Partner_Voice!$A:$A,Partner_Voice!Q:Q,"",0)="Free","Free",IF(XLOOKUP($A21,Partner_Voice!$A:$A,Partner_Voice!Q:Q,"",0)="VL","VL",IF(XLOOKUP($A21,Partner_Voice!$A:$A,Partner_Voice!Q:Q,"",0)="ATT","ATT",XLOOKUP($A21,Partner_Voice!$A:$A,Partner_Voice!Q:Q,"",0))))</f>
        <v>Free</v>
      </c>
      <c r="R21" s="43"/>
      <c r="S21" s="42">
        <f t="array" ref="S21">IF(XLOOKUP($A21,Partner_Voice!$A:$A,Partner_Voice!S:S,"",0)="Free","Free",IF(XLOOKUP($A21,Partner_Voice!$A:$A,Partner_Voice!S:S,"",0)="VL","VL",IF(XLOOKUP($A21,Partner_Voice!$A:$A,Partner_Voice!S:S,"",0)="ATT","ATT",XLOOKUP($A21,Partner_Voice!$A:$A,Partner_Voice!S:S,"",0))))</f>
        <v>0.3333333333</v>
      </c>
      <c r="T21" s="42">
        <f t="array" ref="T21">IF(XLOOKUP($A21,Partner_Voice!$A:$A,Partner_Voice!T:T,"",0)="Free","Free",IF(XLOOKUP($A21,Partner_Voice!$A:$A,Partner_Voice!T:T,"",0)="VL","VL",IF(XLOOKUP($A21,Partner_Voice!$A:$A,Partner_Voice!T:T,"",0)="ATT","ATT",XLOOKUP($A21,Partner_Voice!$A:$A,Partner_Voice!T:T,"",0))))</f>
        <v>0.3333333333</v>
      </c>
      <c r="U21" s="42">
        <f t="array" ref="U21">IF(XLOOKUP($A21,Partner_Voice!$A:$A,Partner_Voice!U:U,"",0)="Free","Free",IF(XLOOKUP($A21,Partner_Voice!$A:$A,Partner_Voice!U:U,"",0)="VL","VL",IF(XLOOKUP($A21,Partner_Voice!$A:$A,Partner_Voice!U:U,"",0)="ATT","ATT",XLOOKUP($A21,Partner_Voice!$A:$A,Partner_Voice!U:U,"",0))))</f>
        <v>0.3333333333</v>
      </c>
      <c r="V21" s="42">
        <f t="array" ref="V21">IF(XLOOKUP($A21,Partner_Voice!$A:$A,Partner_Voice!V:V,"",0)="Free","Free",IF(XLOOKUP($A21,Partner_Voice!$A:$A,Partner_Voice!V:V,"",0)="VL","VL",IF(XLOOKUP($A21,Partner_Voice!$A:$A,Partner_Voice!V:V,"",0)="ATT","ATT",XLOOKUP($A21,Partner_Voice!$A:$A,Partner_Voice!V:V,"",0))))</f>
        <v>0.3333333333</v>
      </c>
      <c r="W21" s="42">
        <f t="array" ref="W21">IF(XLOOKUP($A21,Partner_Voice!$A:$A,Partner_Voice!W:W,"",0)="Free","Free",IF(XLOOKUP($A21,Partner_Voice!$A:$A,Partner_Voice!W:W,"",0)="VL","VL",IF(XLOOKUP($A21,Partner_Voice!$A:$A,Partner_Voice!W:W,"",0)="ATT","ATT",XLOOKUP($A21,Partner_Voice!$A:$A,Partner_Voice!W:W,"",0))))</f>
        <v>0.3333333333</v>
      </c>
      <c r="X21" s="42" t="str">
        <f t="array" ref="X21">IF(XLOOKUP($A21,Partner_Voice!$A:$A,Partner_Voice!X:X,"",0)="Free","Free",IF(XLOOKUP($A21,Partner_Voice!$A:$A,Partner_Voice!X:X,"",0)="VL","VL",IF(XLOOKUP($A21,Partner_Voice!$A:$A,Partner_Voice!X:X,"",0)="ATT","ATT",XLOOKUP($A21,Partner_Voice!$A:$A,Partner_Voice!X:X,"",0))))</f>
        <v>Free</v>
      </c>
      <c r="Y21" s="43"/>
      <c r="Z21" s="42">
        <f t="array" ref="Z21">IF(XLOOKUP($A21,Partner_Voice!$A:$A,Partner_Voice!Z:Z,"",0)="Free","Free",IF(XLOOKUP($A21,Partner_Voice!$A:$A,Partner_Voice!Z:Z,"",0)="VL","VL",IF(XLOOKUP($A21,Partner_Voice!$A:$A,Partner_Voice!Z:Z,"",0)="ATT","ATT",XLOOKUP($A21,Partner_Voice!$A:$A,Partner_Voice!Z:Z,"",0))))</f>
        <v>0.3333333333</v>
      </c>
      <c r="AA21" s="42">
        <f t="array" ref="AA21">IF(XLOOKUP($A21,Partner_Voice!$A:$A,Partner_Voice!AA:AA,"",0)="Free","Free",IF(XLOOKUP($A21,Partner_Voice!$A:$A,Partner_Voice!AA:AA,"",0)="VL","VL",IF(XLOOKUP($A21,Partner_Voice!$A:$A,Partner_Voice!AA:AA,"",0)="ATT","ATT",XLOOKUP($A21,Partner_Voice!$A:$A,Partner_Voice!AA:AA,"",0))))</f>
        <v>0.3333333333</v>
      </c>
      <c r="AB21" s="42">
        <f t="array" ref="AB21">IF(XLOOKUP($A21,Partner_Voice!$A:$A,Partner_Voice!AB:AB,"",0)="Free","Free",IF(XLOOKUP($A21,Partner_Voice!$A:$A,Partner_Voice!AB:AB,"",0)="VL","VL",IF(XLOOKUP($A21,Partner_Voice!$A:$A,Partner_Voice!AB:AB,"",0)="ATT","ATT",XLOOKUP($A21,Partner_Voice!$A:$A,Partner_Voice!AB:AB,"",0))))</f>
        <v>0.3333333333</v>
      </c>
      <c r="AC21" s="42">
        <f t="array" ref="AC21">IF(XLOOKUP($A21,Partner_Voice!$A:$A,Partner_Voice!AC:AC,"",0)="Free","Free",IF(XLOOKUP($A21,Partner_Voice!$A:$A,Partner_Voice!AC:AC,"",0)="VL","VL",IF(XLOOKUP($A21,Partner_Voice!$A:$A,Partner_Voice!AC:AC,"",0)="ATT","ATT",XLOOKUP($A21,Partner_Voice!$A:$A,Partner_Voice!AC:AC,"",0))))</f>
        <v>0.3333333333</v>
      </c>
      <c r="AD21" s="42">
        <f t="array" ref="AD21">IF(XLOOKUP($A21,Partner_Voice!$A:$A,Partner_Voice!AD:AD,"",0)="Free","Free",IF(XLOOKUP($A21,Partner_Voice!$A:$A,Partner_Voice!AD:AD,"",0)="VL","VL",IF(XLOOKUP($A21,Partner_Voice!$A:$A,Partner_Voice!AD:AD,"",0)="ATT","ATT",XLOOKUP($A21,Partner_Voice!$A:$A,Partner_Voice!AD:AD,"",0))))</f>
        <v>0.3333333333</v>
      </c>
      <c r="AE21" s="42" t="str">
        <f t="array" ref="AE21">IF(XLOOKUP($A21,Partner_Voice!$A:$A,Partner_Voice!AE:AE,"",0)="Free","Free",IF(XLOOKUP($A21,Partner_Voice!$A:$A,Partner_Voice!AE:AE,"",0)="VL","VL",IF(XLOOKUP($A21,Partner_Voice!$A:$A,Partner_Voice!AE:AE,"",0)="ATT","ATT",XLOOKUP($A21,Partner_Voice!$A:$A,Partner_Voice!AE:AE,"",0))))</f>
        <v>Free</v>
      </c>
      <c r="AF21" s="69"/>
      <c r="AG21" s="42">
        <f t="array" ref="AG21">IF(XLOOKUP($A21,Partner_Voice!$A:$A,Partner_Voice!AG:AG,"",0)="Free","Free",IF(XLOOKUP($A21,Partner_Voice!$A:$A,Partner_Voice!AG:AG,"",0)="VL","VL",IF(XLOOKUP($A21,Partner_Voice!$A:$A,Partner_Voice!AG:AG,"",0)="ATT","ATT",XLOOKUP($A21,Partner_Voice!$A:$A,Partner_Voice!AG:AG,"",0))))</f>
        <v>0.3333333333</v>
      </c>
      <c r="AH21" s="42">
        <f t="array" ref="AH21">IF(XLOOKUP($A21,Partner_Voice!$A:$A,Partner_Voice!AH:AH,"",0)="Free","Free",IF(XLOOKUP($A21,Partner_Voice!$A:$A,Partner_Voice!AH:AH,"",0)="VL","VL",IF(XLOOKUP($A21,Partner_Voice!$A:$A,Partner_Voice!AH:AH,"",0)="ATT","ATT",XLOOKUP($A21,Partner_Voice!$A:$A,Partner_Voice!AH:AH,"",0))))</f>
        <v>0.3333333333</v>
      </c>
      <c r="AI21" s="42">
        <f t="array" ref="AI21">IF(XLOOKUP($A21,Partner_Voice!$A:$A,Partner_Voice!AI:AI,"",0)="Free","Free",IF(XLOOKUP($A21,Partner_Voice!$A:$A,Partner_Voice!AI:AI,"",0)="VL","VL",IF(XLOOKUP($A21,Partner_Voice!$A:$A,Partner_Voice!AI:AI,"",0)="ATT","ATT",XLOOKUP($A21,Partner_Voice!$A:$A,Partner_Voice!AI:AI,"",0))))</f>
        <v>0.3333333333</v>
      </c>
      <c r="AJ21" s="42">
        <f t="array" ref="AJ21">IF(XLOOKUP($A21,Partner_Voice!$A:$A,Partner_Voice!AJ:AJ,"",0)="Free","Free",IF(XLOOKUP($A21,Partner_Voice!$A:$A,Partner_Voice!AJ:AJ,"",0)="VL","VL",IF(XLOOKUP($A21,Partner_Voice!$A:$A,Partner_Voice!AJ:AJ,"",0)="ATT","ATT",XLOOKUP($A21,Partner_Voice!$A:$A,Partner_Voice!AJ:AJ,"",0))))</f>
        <v>0.3333333333</v>
      </c>
      <c r="AK21" s="42">
        <f t="array" ref="AK21">IF(XLOOKUP($A21,Partner_Voice!$A:$A,Partner_Voice!AK:AK,"",0)="Free","Free",IF(XLOOKUP($A21,Partner_Voice!$A:$A,Partner_Voice!AK:AK,"",0)="VL","VL",IF(XLOOKUP($A21,Partner_Voice!$A:$A,Partner_Voice!AK:AK,"",0)="ATT","ATT",XLOOKUP($A21,Partner_Voice!$A:$A,Partner_Voice!AK:AK,"",0))))</f>
        <v>0.3333333333</v>
      </c>
      <c r="AL21" s="42" t="str">
        <f t="array" ref="AL21">IF(XLOOKUP($A21,Partner_Voice!$A:$A,Partner_Voice!AL:AL,"",0)="Free","Free",IF(XLOOKUP($A21,Partner_Voice!$A:$A,Partner_Voice!AL:AL,"",0)="VL","VL",IF(XLOOKUP($A21,Partner_Voice!$A:$A,Partner_Voice!AL:AL,"",0)="ATT","ATT",XLOOKUP($A21,Partner_Voice!$A:$A,Partner_Voice!AL:AL,"",0))))</f>
        <v>Free</v>
      </c>
      <c r="AM21" s="42"/>
    </row>
    <row r="22">
      <c r="A22" s="47" t="s">
        <v>10</v>
      </c>
      <c r="B22" s="35" t="str">
        <f t="array" ref="B22">XLOOKUP(A22,Roster!F:F,Roster!A:A,"")</f>
        <v>Daniel Bustamante</v>
      </c>
      <c r="C22" s="35" t="str">
        <f t="array" ref="C22">XLOOKUP(A22,Roster!F:F,Roster!B:B,"")</f>
        <v>Alejandro Malave</v>
      </c>
      <c r="D22" s="70"/>
      <c r="E22" s="42">
        <f t="array" ref="E22">IF(XLOOKUP($A22,Partner_Voice!$A:$A,Partner_Voice!E:E,"",0)="Free","Free",IF(XLOOKUP($A22,Partner_Voice!$A:$A,Partner_Voice!E:E,"",0)="VL","VL",IF(XLOOKUP($A22,Partner_Voice!$A:$A,Partner_Voice!E:E,"",0)="ATT","ATT",XLOOKUP($A22,Partner_Voice!$A:$A,Partner_Voice!E:E,"",0))))</f>
        <v>0.4583333333</v>
      </c>
      <c r="F22" s="42">
        <f t="array" ref="F22">IF(XLOOKUP($A22,Partner_Voice!$A:$A,Partner_Voice!F:F,"",0)="Free","Free",IF(XLOOKUP($A22,Partner_Voice!$A:$A,Partner_Voice!F:F,"",0)="VL","VL",IF(XLOOKUP($A22,Partner_Voice!$A:$A,Partner_Voice!F:F,"",0)="ATT","ATT",XLOOKUP($A22,Partner_Voice!$A:$A,Partner_Voice!F:F,"",0))))</f>
        <v>0.4583333333</v>
      </c>
      <c r="G22" s="42" t="str">
        <f t="array" ref="G22">IF(XLOOKUP($A22,Partner_Voice!$A:$A,Partner_Voice!G:G,"",0)="Free","Free",IF(XLOOKUP($A22,Partner_Voice!$A:$A,Partner_Voice!G:G,"",0)="VL","VL",IF(XLOOKUP($A22,Partner_Voice!$A:$A,Partner_Voice!G:G,"",0)="ATT","ATT",XLOOKUP($A22,Partner_Voice!$A:$A,Partner_Voice!G:G,"",0))))</f>
        <v>Free</v>
      </c>
      <c r="H22" s="42">
        <f t="array" ref="H22">IF(XLOOKUP($A22,Partner_Voice!$A:$A,Partner_Voice!H:H,"",0)="Free","Free",IF(XLOOKUP($A22,Partner_Voice!$A:$A,Partner_Voice!H:H,"",0)="VL","VL",IF(XLOOKUP($A22,Partner_Voice!$A:$A,Partner_Voice!H:H,"",0)="ATT","ATT",XLOOKUP($A22,Partner_Voice!$A:$A,Partner_Voice!H:H,"",0))))</f>
        <v>0.4583333333</v>
      </c>
      <c r="I22" s="42">
        <f t="array" ref="I22">IF(XLOOKUP($A22,Partner_Voice!$A:$A,Partner_Voice!I:I,"",0)="Free","Free",IF(XLOOKUP($A22,Partner_Voice!$A:$A,Partner_Voice!I:I,"",0)="VL","VL",IF(XLOOKUP($A22,Partner_Voice!$A:$A,Partner_Voice!I:I,"",0)="ATT","ATT",XLOOKUP($A22,Partner_Voice!$A:$A,Partner_Voice!I:I,"",0))))</f>
        <v>0.4583333333</v>
      </c>
      <c r="J22" s="42">
        <f t="array" ref="J22">IF(XLOOKUP($A22,Partner_Voice!$A:$A,Partner_Voice!J:J,"",0)="Free","Free",IF(XLOOKUP($A22,Partner_Voice!$A:$A,Partner_Voice!J:J,"",0)="VL","VL",IF(XLOOKUP($A22,Partner_Voice!$A:$A,Partner_Voice!J:J,"",0)="ATT","ATT",XLOOKUP($A22,Partner_Voice!$A:$A,Partner_Voice!J:J,"",0))))</f>
        <v>0.4583333333</v>
      </c>
      <c r="K22" s="42"/>
      <c r="L22" s="42">
        <f t="array" ref="L22">IF(XLOOKUP($A22,Partner_Voice!$A:$A,Partner_Voice!L:L,"",0)="Free","Free",IF(XLOOKUP($A22,Partner_Voice!$A:$A,Partner_Voice!L:L,"",0)="VL","VL",IF(XLOOKUP($A22,Partner_Voice!$A:$A,Partner_Voice!L:L,"",0)="ATT","ATT",XLOOKUP($A22,Partner_Voice!$A:$A,Partner_Voice!L:L,"",0))))</f>
        <v>0.4583333333</v>
      </c>
      <c r="M22" s="42">
        <f t="array" ref="M22">IF(XLOOKUP($A22,Partner_Voice!$A:$A,Partner_Voice!M:M,"",0)="Free","Free",IF(XLOOKUP($A22,Partner_Voice!$A:$A,Partner_Voice!M:M,"",0)="VL","VL",IF(XLOOKUP($A22,Partner_Voice!$A:$A,Partner_Voice!M:M,"",0)="ATT","ATT",XLOOKUP($A22,Partner_Voice!$A:$A,Partner_Voice!M:M,"",0))))</f>
        <v>0.4583333333</v>
      </c>
      <c r="N22" s="42" t="str">
        <f t="array" ref="N22">IF(XLOOKUP($A22,Partner_Voice!$A:$A,Partner_Voice!N:N,"",0)="Free","Free",IF(XLOOKUP($A22,Partner_Voice!$A:$A,Partner_Voice!N:N,"",0)="VL","VL",IF(XLOOKUP($A22,Partner_Voice!$A:$A,Partner_Voice!N:N,"",0)="ATT","ATT",XLOOKUP($A22,Partner_Voice!$A:$A,Partner_Voice!N:N,"",0))))</f>
        <v>Free</v>
      </c>
      <c r="O22" s="42">
        <f t="array" ref="O22">IF(XLOOKUP($A22,Partner_Voice!$A:$A,Partner_Voice!O:O,"",0)="Free","Free",IF(XLOOKUP($A22,Partner_Voice!$A:$A,Partner_Voice!O:O,"",0)="VL","VL",IF(XLOOKUP($A22,Partner_Voice!$A:$A,Partner_Voice!O:O,"",0)="ATT","ATT",XLOOKUP($A22,Partner_Voice!$A:$A,Partner_Voice!O:O,"",0))))</f>
        <v>0.4583333333</v>
      </c>
      <c r="P22" s="42">
        <f t="array" ref="P22">IF(XLOOKUP($A22,Partner_Voice!$A:$A,Partner_Voice!P:P,"",0)="Free","Free",IF(XLOOKUP($A22,Partner_Voice!$A:$A,Partner_Voice!P:P,"",0)="VL","VL",IF(XLOOKUP($A22,Partner_Voice!$A:$A,Partner_Voice!P:P,"",0)="ATT","ATT",XLOOKUP($A22,Partner_Voice!$A:$A,Partner_Voice!P:P,"",0))))</f>
        <v>0.4583333333</v>
      </c>
      <c r="Q22" s="42">
        <f t="array" ref="Q22">IF(XLOOKUP($A22,Partner_Voice!$A:$A,Partner_Voice!Q:Q,"",0)="Free","Free",IF(XLOOKUP($A22,Partner_Voice!$A:$A,Partner_Voice!Q:Q,"",0)="VL","VL",IF(XLOOKUP($A22,Partner_Voice!$A:$A,Partner_Voice!Q:Q,"",0)="ATT","ATT",XLOOKUP($A22,Partner_Voice!$A:$A,Partner_Voice!Q:Q,"",0))))</f>
        <v>0.4583333333</v>
      </c>
      <c r="R22" s="43"/>
      <c r="S22" s="42">
        <f t="array" ref="S22">IF(XLOOKUP($A22,Partner_Voice!$A:$A,Partner_Voice!S:S,"",0)="Free","Free",IF(XLOOKUP($A22,Partner_Voice!$A:$A,Partner_Voice!S:S,"",0)="VL","VL",IF(XLOOKUP($A22,Partner_Voice!$A:$A,Partner_Voice!S:S,"",0)="ATT","ATT",XLOOKUP($A22,Partner_Voice!$A:$A,Partner_Voice!S:S,"",0))))</f>
        <v>0.4583333333</v>
      </c>
      <c r="T22" s="42">
        <f t="array" ref="T22">IF(XLOOKUP($A22,Partner_Voice!$A:$A,Partner_Voice!T:T,"",0)="Free","Free",IF(XLOOKUP($A22,Partner_Voice!$A:$A,Partner_Voice!T:T,"",0)="VL","VL",IF(XLOOKUP($A22,Partner_Voice!$A:$A,Partner_Voice!T:T,"",0)="ATT","ATT",XLOOKUP($A22,Partner_Voice!$A:$A,Partner_Voice!T:T,"",0))))</f>
        <v>0.4583333333</v>
      </c>
      <c r="U22" s="42" t="str">
        <f t="array" ref="U22">IF(XLOOKUP($A22,Partner_Voice!$A:$A,Partner_Voice!U:U,"",0)="Free","Free",IF(XLOOKUP($A22,Partner_Voice!$A:$A,Partner_Voice!U:U,"",0)="VL","VL",IF(XLOOKUP($A22,Partner_Voice!$A:$A,Partner_Voice!U:U,"",0)="ATT","ATT",XLOOKUP($A22,Partner_Voice!$A:$A,Partner_Voice!U:U,"",0))))</f>
        <v>Free</v>
      </c>
      <c r="V22" s="42">
        <f t="array" ref="V22">IF(XLOOKUP($A22,Partner_Voice!$A:$A,Partner_Voice!V:V,"",0)="Free","Free",IF(XLOOKUP($A22,Partner_Voice!$A:$A,Partner_Voice!V:V,"",0)="VL","VL",IF(XLOOKUP($A22,Partner_Voice!$A:$A,Partner_Voice!V:V,"",0)="ATT","ATT",XLOOKUP($A22,Partner_Voice!$A:$A,Partner_Voice!V:V,"",0))))</f>
        <v>0.4583333333</v>
      </c>
      <c r="W22" s="42">
        <f t="array" ref="W22">IF(XLOOKUP($A22,Partner_Voice!$A:$A,Partner_Voice!W:W,"",0)="Free","Free",IF(XLOOKUP($A22,Partner_Voice!$A:$A,Partner_Voice!W:W,"",0)="VL","VL",IF(XLOOKUP($A22,Partner_Voice!$A:$A,Partner_Voice!W:W,"",0)="ATT","ATT",XLOOKUP($A22,Partner_Voice!$A:$A,Partner_Voice!W:W,"",0))))</f>
        <v>0.4583333333</v>
      </c>
      <c r="X22" s="42">
        <f t="array" ref="X22">IF(XLOOKUP($A22,Partner_Voice!$A:$A,Partner_Voice!X:X,"",0)="Free","Free",IF(XLOOKUP($A22,Partner_Voice!$A:$A,Partner_Voice!X:X,"",0)="VL","VL",IF(XLOOKUP($A22,Partner_Voice!$A:$A,Partner_Voice!X:X,"",0)="ATT","ATT",XLOOKUP($A22,Partner_Voice!$A:$A,Partner_Voice!X:X,"",0))))</f>
        <v>0.4583333333</v>
      </c>
      <c r="Y22" s="43"/>
      <c r="Z22" s="42">
        <f t="array" ref="Z22">IF(XLOOKUP($A22,Partner_Voice!$A:$A,Partner_Voice!Z:Z,"",0)="Free","Free",IF(XLOOKUP($A22,Partner_Voice!$A:$A,Partner_Voice!Z:Z,"",0)="VL","VL",IF(XLOOKUP($A22,Partner_Voice!$A:$A,Partner_Voice!Z:Z,"",0)="ATT","ATT",XLOOKUP($A22,Partner_Voice!$A:$A,Partner_Voice!Z:Z,"",0))))</f>
        <v>0.4583333333</v>
      </c>
      <c r="AA22" s="42">
        <f t="array" ref="AA22">IF(XLOOKUP($A22,Partner_Voice!$A:$A,Partner_Voice!AA:AA,"",0)="Free","Free",IF(XLOOKUP($A22,Partner_Voice!$A:$A,Partner_Voice!AA:AA,"",0)="VL","VL",IF(XLOOKUP($A22,Partner_Voice!$A:$A,Partner_Voice!AA:AA,"",0)="ATT","ATT",XLOOKUP($A22,Partner_Voice!$A:$A,Partner_Voice!AA:AA,"",0))))</f>
        <v>0.4583333333</v>
      </c>
      <c r="AB22" s="42" t="str">
        <f t="array" ref="AB22">IF(XLOOKUP($A22,Partner_Voice!$A:$A,Partner_Voice!AB:AB,"",0)="Free","Free",IF(XLOOKUP($A22,Partner_Voice!$A:$A,Partner_Voice!AB:AB,"",0)="VL","VL",IF(XLOOKUP($A22,Partner_Voice!$A:$A,Partner_Voice!AB:AB,"",0)="ATT","ATT",XLOOKUP($A22,Partner_Voice!$A:$A,Partner_Voice!AB:AB,"",0))))</f>
        <v>Free</v>
      </c>
      <c r="AC22" s="42">
        <f t="array" ref="AC22">IF(XLOOKUP($A22,Partner_Voice!$A:$A,Partner_Voice!AC:AC,"",0)="Free","Free",IF(XLOOKUP($A22,Partner_Voice!$A:$A,Partner_Voice!AC:AC,"",0)="VL","VL",IF(XLOOKUP($A22,Partner_Voice!$A:$A,Partner_Voice!AC:AC,"",0)="ATT","ATT",XLOOKUP($A22,Partner_Voice!$A:$A,Partner_Voice!AC:AC,"",0))))</f>
        <v>0.4583333333</v>
      </c>
      <c r="AD22" s="42">
        <f t="array" ref="AD22">IF(XLOOKUP($A22,Partner_Voice!$A:$A,Partner_Voice!AD:AD,"",0)="Free","Free",IF(XLOOKUP($A22,Partner_Voice!$A:$A,Partner_Voice!AD:AD,"",0)="VL","VL",IF(XLOOKUP($A22,Partner_Voice!$A:$A,Partner_Voice!AD:AD,"",0)="ATT","ATT",XLOOKUP($A22,Partner_Voice!$A:$A,Partner_Voice!AD:AD,"",0))))</f>
        <v>0.4583333333</v>
      </c>
      <c r="AE22" s="42">
        <f t="array" ref="AE22">IF(XLOOKUP($A22,Partner_Voice!$A:$A,Partner_Voice!AE:AE,"",0)="Free","Free",IF(XLOOKUP($A22,Partner_Voice!$A:$A,Partner_Voice!AE:AE,"",0)="VL","VL",IF(XLOOKUP($A22,Partner_Voice!$A:$A,Partner_Voice!AE:AE,"",0)="ATT","ATT",XLOOKUP($A22,Partner_Voice!$A:$A,Partner_Voice!AE:AE,"",0))))</f>
        <v>0.4583333333</v>
      </c>
      <c r="AF22" s="69"/>
      <c r="AG22" s="42">
        <f t="array" ref="AG22">IF(XLOOKUP($A22,Partner_Voice!$A:$A,Partner_Voice!AG:AG,"",0)="Free","Free",IF(XLOOKUP($A22,Partner_Voice!$A:$A,Partner_Voice!AG:AG,"",0)="VL","VL",IF(XLOOKUP($A22,Partner_Voice!$A:$A,Partner_Voice!AG:AG,"",0)="ATT","ATT",XLOOKUP($A22,Partner_Voice!$A:$A,Partner_Voice!AG:AG,"",0))))</f>
        <v>0.4583333333</v>
      </c>
      <c r="AH22" s="42">
        <f t="array" ref="AH22">IF(XLOOKUP($A22,Partner_Voice!$A:$A,Partner_Voice!AH:AH,"",0)="Free","Free",IF(XLOOKUP($A22,Partner_Voice!$A:$A,Partner_Voice!AH:AH,"",0)="VL","VL",IF(XLOOKUP($A22,Partner_Voice!$A:$A,Partner_Voice!AH:AH,"",0)="ATT","ATT",XLOOKUP($A22,Partner_Voice!$A:$A,Partner_Voice!AH:AH,"",0))))</f>
        <v>0.4583333333</v>
      </c>
      <c r="AI22" s="42" t="str">
        <f t="array" ref="AI22">IF(XLOOKUP($A22,Partner_Voice!$A:$A,Partner_Voice!AI:AI,"",0)="Free","Free",IF(XLOOKUP($A22,Partner_Voice!$A:$A,Partner_Voice!AI:AI,"",0)="VL","VL",IF(XLOOKUP($A22,Partner_Voice!$A:$A,Partner_Voice!AI:AI,"",0)="ATT","ATT",XLOOKUP($A22,Partner_Voice!$A:$A,Partner_Voice!AI:AI,"",0))))</f>
        <v>Free</v>
      </c>
      <c r="AJ22" s="42">
        <f t="array" ref="AJ22">IF(XLOOKUP($A22,Partner_Voice!$A:$A,Partner_Voice!AJ:AJ,"",0)="Free","Free",IF(XLOOKUP($A22,Partner_Voice!$A:$A,Partner_Voice!AJ:AJ,"",0)="VL","VL",IF(XLOOKUP($A22,Partner_Voice!$A:$A,Partner_Voice!AJ:AJ,"",0)="ATT","ATT",XLOOKUP($A22,Partner_Voice!$A:$A,Partner_Voice!AJ:AJ,"",0))))</f>
        <v>0.4583333333</v>
      </c>
      <c r="AK22" s="42">
        <f t="array" ref="AK22">IF(XLOOKUP($A22,Partner_Voice!$A:$A,Partner_Voice!AK:AK,"",0)="Free","Free",IF(XLOOKUP($A22,Partner_Voice!$A:$A,Partner_Voice!AK:AK,"",0)="VL","VL",IF(XLOOKUP($A22,Partner_Voice!$A:$A,Partner_Voice!AK:AK,"",0)="ATT","ATT",XLOOKUP($A22,Partner_Voice!$A:$A,Partner_Voice!AK:AK,"",0))))</f>
        <v>0.4583333333</v>
      </c>
      <c r="AL22" s="42">
        <f t="array" ref="AL22">IF(XLOOKUP($A22,Partner_Voice!$A:$A,Partner_Voice!AL:AL,"",0)="Free","Free",IF(XLOOKUP($A22,Partner_Voice!$A:$A,Partner_Voice!AL:AL,"",0)="VL","VL",IF(XLOOKUP($A22,Partner_Voice!$A:$A,Partner_Voice!AL:AL,"",0)="ATT","ATT",XLOOKUP($A22,Partner_Voice!$A:$A,Partner_Voice!AL:AL,"",0))))</f>
        <v>0.4583333333</v>
      </c>
      <c r="AM22" s="42"/>
    </row>
    <row r="23">
      <c r="A23" s="47" t="s">
        <v>20</v>
      </c>
      <c r="B23" s="35" t="str">
        <f t="array" ref="B23">XLOOKUP(A23,Roster!F:F,Roster!A:A,"")</f>
        <v>Daniel Bustamante</v>
      </c>
      <c r="C23" s="35" t="str">
        <f t="array" ref="C23">XLOOKUP(A23,Roster!F:F,Roster!B:B,"")</f>
        <v>Carlos Alzate</v>
      </c>
      <c r="D23" s="70"/>
      <c r="E23" s="42">
        <f t="array" ref="E23">IF(XLOOKUP($A23,Partner_Voice!$A:$A,Partner_Voice!E:E,"",0)="Free","Free",IF(XLOOKUP($A23,Partner_Voice!$A:$A,Partner_Voice!E:E,"",0)="VL","VL",IF(XLOOKUP($A23,Partner_Voice!$A:$A,Partner_Voice!E:E,"",0)="ATT","ATT",XLOOKUP($A23,Partner_Voice!$A:$A,Partner_Voice!E:E,"",0))))</f>
        <v>0.4583333333</v>
      </c>
      <c r="F23" s="42">
        <f t="array" ref="F23">IF(XLOOKUP($A23,Partner_Voice!$A:$A,Partner_Voice!F:F,"",0)="Free","Free",IF(XLOOKUP($A23,Partner_Voice!$A:$A,Partner_Voice!F:F,"",0)="VL","VL",IF(XLOOKUP($A23,Partner_Voice!$A:$A,Partner_Voice!F:F,"",0)="ATT","ATT",XLOOKUP($A23,Partner_Voice!$A:$A,Partner_Voice!F:F,"",0))))</f>
        <v>0.4583333333</v>
      </c>
      <c r="G23" s="42">
        <f t="array" ref="G23">IF(XLOOKUP($A23,Partner_Voice!$A:$A,Partner_Voice!G:G,"",0)="Free","Free",IF(XLOOKUP($A23,Partner_Voice!$A:$A,Partner_Voice!G:G,"",0)="VL","VL",IF(XLOOKUP($A23,Partner_Voice!$A:$A,Partner_Voice!G:G,"",0)="ATT","ATT",XLOOKUP($A23,Partner_Voice!$A:$A,Partner_Voice!G:G,"",0))))</f>
        <v>0.4583333333</v>
      </c>
      <c r="H23" s="42" t="str">
        <f t="array" ref="H23">IF(XLOOKUP($A23,Partner_Voice!$A:$A,Partner_Voice!H:H,"",0)="Free","Free",IF(XLOOKUP($A23,Partner_Voice!$A:$A,Partner_Voice!H:H,"",0)="VL","VL",IF(XLOOKUP($A23,Partner_Voice!$A:$A,Partner_Voice!H:H,"",0)="ATT","ATT",XLOOKUP($A23,Partner_Voice!$A:$A,Partner_Voice!H:H,"",0))))</f>
        <v>Free</v>
      </c>
      <c r="I23" s="42">
        <f t="array" ref="I23">IF(XLOOKUP($A23,Partner_Voice!$A:$A,Partner_Voice!I:I,"",0)="Free","Free",IF(XLOOKUP($A23,Partner_Voice!$A:$A,Partner_Voice!I:I,"",0)="VL","VL",IF(XLOOKUP($A23,Partner_Voice!$A:$A,Partner_Voice!I:I,"",0)="ATT","ATT",XLOOKUP($A23,Partner_Voice!$A:$A,Partner_Voice!I:I,"",0))))</f>
        <v>0.4583333333</v>
      </c>
      <c r="J23" s="42">
        <f t="array" ref="J23">IF(XLOOKUP($A23,Partner_Voice!$A:$A,Partner_Voice!J:J,"",0)="Free","Free",IF(XLOOKUP($A23,Partner_Voice!$A:$A,Partner_Voice!J:J,"",0)="VL","VL",IF(XLOOKUP($A23,Partner_Voice!$A:$A,Partner_Voice!J:J,"",0)="ATT","ATT",XLOOKUP($A23,Partner_Voice!$A:$A,Partner_Voice!J:J,"",0))))</f>
        <v>0.4583333333</v>
      </c>
      <c r="K23" s="42"/>
      <c r="L23" s="42">
        <f t="array" ref="L23">IF(XLOOKUP($A23,Partner_Voice!$A:$A,Partner_Voice!L:L,"",0)="Free","Free",IF(XLOOKUP($A23,Partner_Voice!$A:$A,Partner_Voice!L:L,"",0)="VL","VL",IF(XLOOKUP($A23,Partner_Voice!$A:$A,Partner_Voice!L:L,"",0)="ATT","ATT",XLOOKUP($A23,Partner_Voice!$A:$A,Partner_Voice!L:L,"",0))))</f>
        <v>0.4583333333</v>
      </c>
      <c r="M23" s="42">
        <f t="array" ref="M23">IF(XLOOKUP($A23,Partner_Voice!$A:$A,Partner_Voice!M:M,"",0)="Free","Free",IF(XLOOKUP($A23,Partner_Voice!$A:$A,Partner_Voice!M:M,"",0)="VL","VL",IF(XLOOKUP($A23,Partner_Voice!$A:$A,Partner_Voice!M:M,"",0)="ATT","ATT",XLOOKUP($A23,Partner_Voice!$A:$A,Partner_Voice!M:M,"",0))))</f>
        <v>0.4583333333</v>
      </c>
      <c r="N23" s="42">
        <f t="array" ref="N23">IF(XLOOKUP($A23,Partner_Voice!$A:$A,Partner_Voice!N:N,"",0)="Free","Free",IF(XLOOKUP($A23,Partner_Voice!$A:$A,Partner_Voice!N:N,"",0)="VL","VL",IF(XLOOKUP($A23,Partner_Voice!$A:$A,Partner_Voice!N:N,"",0)="ATT","ATT",XLOOKUP($A23,Partner_Voice!$A:$A,Partner_Voice!N:N,"",0))))</f>
        <v>0.4583333333</v>
      </c>
      <c r="O23" s="42" t="str">
        <f t="array" ref="O23">IF(XLOOKUP($A23,Partner_Voice!$A:$A,Partner_Voice!O:O,"",0)="Free","Free",IF(XLOOKUP($A23,Partner_Voice!$A:$A,Partner_Voice!O:O,"",0)="VL","VL",IF(XLOOKUP($A23,Partner_Voice!$A:$A,Partner_Voice!O:O,"",0)="ATT","ATT",XLOOKUP($A23,Partner_Voice!$A:$A,Partner_Voice!O:O,"",0))))</f>
        <v>Free</v>
      </c>
      <c r="P23" s="42">
        <f t="array" ref="P23">IF(XLOOKUP($A23,Partner_Voice!$A:$A,Partner_Voice!P:P,"",0)="Free","Free",IF(XLOOKUP($A23,Partner_Voice!$A:$A,Partner_Voice!P:P,"",0)="VL","VL",IF(XLOOKUP($A23,Partner_Voice!$A:$A,Partner_Voice!P:P,"",0)="ATT","ATT",XLOOKUP($A23,Partner_Voice!$A:$A,Partner_Voice!P:P,"",0))))</f>
        <v>0.4583333333</v>
      </c>
      <c r="Q23" s="42">
        <f t="array" ref="Q23">IF(XLOOKUP($A23,Partner_Voice!$A:$A,Partner_Voice!Q:Q,"",0)="Free","Free",IF(XLOOKUP($A23,Partner_Voice!$A:$A,Partner_Voice!Q:Q,"",0)="VL","VL",IF(XLOOKUP($A23,Partner_Voice!$A:$A,Partner_Voice!Q:Q,"",0)="ATT","ATT",XLOOKUP($A23,Partner_Voice!$A:$A,Partner_Voice!Q:Q,"",0))))</f>
        <v>0.4583333333</v>
      </c>
      <c r="R23" s="43"/>
      <c r="S23" s="42">
        <f t="array" ref="S23">IF(XLOOKUP($A23,Partner_Voice!$A:$A,Partner_Voice!S:S,"",0)="Free","Free",IF(XLOOKUP($A23,Partner_Voice!$A:$A,Partner_Voice!S:S,"",0)="VL","VL",IF(XLOOKUP($A23,Partner_Voice!$A:$A,Partner_Voice!S:S,"",0)="ATT","ATT",XLOOKUP($A23,Partner_Voice!$A:$A,Partner_Voice!S:S,"",0))))</f>
        <v>0.4583333333</v>
      </c>
      <c r="T23" s="42">
        <f t="array" ref="T23">IF(XLOOKUP($A23,Partner_Voice!$A:$A,Partner_Voice!T:T,"",0)="Free","Free",IF(XLOOKUP($A23,Partner_Voice!$A:$A,Partner_Voice!T:T,"",0)="VL","VL",IF(XLOOKUP($A23,Partner_Voice!$A:$A,Partner_Voice!T:T,"",0)="ATT","ATT",XLOOKUP($A23,Partner_Voice!$A:$A,Partner_Voice!T:T,"",0))))</f>
        <v>0.4583333333</v>
      </c>
      <c r="U23" s="42">
        <f t="array" ref="U23">IF(XLOOKUP($A23,Partner_Voice!$A:$A,Partner_Voice!U:U,"",0)="Free","Free",IF(XLOOKUP($A23,Partner_Voice!$A:$A,Partner_Voice!U:U,"",0)="VL","VL",IF(XLOOKUP($A23,Partner_Voice!$A:$A,Partner_Voice!U:U,"",0)="ATT","ATT",XLOOKUP($A23,Partner_Voice!$A:$A,Partner_Voice!U:U,"",0))))</f>
        <v>0.4583333333</v>
      </c>
      <c r="V23" s="42" t="str">
        <f t="array" ref="V23">IF(XLOOKUP($A23,Partner_Voice!$A:$A,Partner_Voice!V:V,"",0)="Free","Free",IF(XLOOKUP($A23,Partner_Voice!$A:$A,Partner_Voice!V:V,"",0)="VL","VL",IF(XLOOKUP($A23,Partner_Voice!$A:$A,Partner_Voice!V:V,"",0)="ATT","ATT",XLOOKUP($A23,Partner_Voice!$A:$A,Partner_Voice!V:V,"",0))))</f>
        <v>Free</v>
      </c>
      <c r="W23" s="42">
        <f t="array" ref="W23">IF(XLOOKUP($A23,Partner_Voice!$A:$A,Partner_Voice!W:W,"",0)="Free","Free",IF(XLOOKUP($A23,Partner_Voice!$A:$A,Partner_Voice!W:W,"",0)="VL","VL",IF(XLOOKUP($A23,Partner_Voice!$A:$A,Partner_Voice!W:W,"",0)="ATT","ATT",XLOOKUP($A23,Partner_Voice!$A:$A,Partner_Voice!W:W,"",0))))</f>
        <v>0.4583333333</v>
      </c>
      <c r="X23" s="42">
        <f t="array" ref="X23">IF(XLOOKUP($A23,Partner_Voice!$A:$A,Partner_Voice!X:X,"",0)="Free","Free",IF(XLOOKUP($A23,Partner_Voice!$A:$A,Partner_Voice!X:X,"",0)="VL","VL",IF(XLOOKUP($A23,Partner_Voice!$A:$A,Partner_Voice!X:X,"",0)="ATT","ATT",XLOOKUP($A23,Partner_Voice!$A:$A,Partner_Voice!X:X,"",0))))</f>
        <v>0.4583333333</v>
      </c>
      <c r="Y23" s="43"/>
      <c r="Z23" s="42">
        <f t="array" ref="Z23">IF(XLOOKUP($A23,Partner_Voice!$A:$A,Partner_Voice!Z:Z,"",0)="Free","Free",IF(XLOOKUP($A23,Partner_Voice!$A:$A,Partner_Voice!Z:Z,"",0)="VL","VL",IF(XLOOKUP($A23,Partner_Voice!$A:$A,Partner_Voice!Z:Z,"",0)="ATT","ATT",XLOOKUP($A23,Partner_Voice!$A:$A,Partner_Voice!Z:Z,"",0))))</f>
        <v>0.4583333333</v>
      </c>
      <c r="AA23" s="42">
        <f t="array" ref="AA23">IF(XLOOKUP($A23,Partner_Voice!$A:$A,Partner_Voice!AA:AA,"",0)="Free","Free",IF(XLOOKUP($A23,Partner_Voice!$A:$A,Partner_Voice!AA:AA,"",0)="VL","VL",IF(XLOOKUP($A23,Partner_Voice!$A:$A,Partner_Voice!AA:AA,"",0)="ATT","ATT",XLOOKUP($A23,Partner_Voice!$A:$A,Partner_Voice!AA:AA,"",0))))</f>
        <v>0.4583333333</v>
      </c>
      <c r="AB23" s="42">
        <f t="array" ref="AB23">IF(XLOOKUP($A23,Partner_Voice!$A:$A,Partner_Voice!AB:AB,"",0)="Free","Free",IF(XLOOKUP($A23,Partner_Voice!$A:$A,Partner_Voice!AB:AB,"",0)="VL","VL",IF(XLOOKUP($A23,Partner_Voice!$A:$A,Partner_Voice!AB:AB,"",0)="ATT","ATT",XLOOKUP($A23,Partner_Voice!$A:$A,Partner_Voice!AB:AB,"",0))))</f>
        <v>0.4583333333</v>
      </c>
      <c r="AC23" s="42" t="str">
        <f t="array" ref="AC23">IF(XLOOKUP($A23,Partner_Voice!$A:$A,Partner_Voice!AC:AC,"",0)="Free","Free",IF(XLOOKUP($A23,Partner_Voice!$A:$A,Partner_Voice!AC:AC,"",0)="VL","VL",IF(XLOOKUP($A23,Partner_Voice!$A:$A,Partner_Voice!AC:AC,"",0)="ATT","ATT",XLOOKUP($A23,Partner_Voice!$A:$A,Partner_Voice!AC:AC,"",0))))</f>
        <v>Free</v>
      </c>
      <c r="AD23" s="42">
        <f t="array" ref="AD23">IF(XLOOKUP($A23,Partner_Voice!$A:$A,Partner_Voice!AD:AD,"",0)="Free","Free",IF(XLOOKUP($A23,Partner_Voice!$A:$A,Partner_Voice!AD:AD,"",0)="VL","VL",IF(XLOOKUP($A23,Partner_Voice!$A:$A,Partner_Voice!AD:AD,"",0)="ATT","ATT",XLOOKUP($A23,Partner_Voice!$A:$A,Partner_Voice!AD:AD,"",0))))</f>
        <v>0.4583333333</v>
      </c>
      <c r="AE23" s="42">
        <f t="array" ref="AE23">IF(XLOOKUP($A23,Partner_Voice!$A:$A,Partner_Voice!AE:AE,"",0)="Free","Free",IF(XLOOKUP($A23,Partner_Voice!$A:$A,Partner_Voice!AE:AE,"",0)="VL","VL",IF(XLOOKUP($A23,Partner_Voice!$A:$A,Partner_Voice!AE:AE,"",0)="ATT","ATT",XLOOKUP($A23,Partner_Voice!$A:$A,Partner_Voice!AE:AE,"",0))))</f>
        <v>0.4583333333</v>
      </c>
      <c r="AF23" s="69"/>
      <c r="AG23" s="42">
        <f t="array" ref="AG23">IF(XLOOKUP($A23,Partner_Voice!$A:$A,Partner_Voice!AG:AG,"",0)="Free","Free",IF(XLOOKUP($A23,Partner_Voice!$A:$A,Partner_Voice!AG:AG,"",0)="VL","VL",IF(XLOOKUP($A23,Partner_Voice!$A:$A,Partner_Voice!AG:AG,"",0)="ATT","ATT",XLOOKUP($A23,Partner_Voice!$A:$A,Partner_Voice!AG:AG,"",0))))</f>
        <v>0.4583333333</v>
      </c>
      <c r="AH23" s="42">
        <f t="array" ref="AH23">IF(XLOOKUP($A23,Partner_Voice!$A:$A,Partner_Voice!AH:AH,"",0)="Free","Free",IF(XLOOKUP($A23,Partner_Voice!$A:$A,Partner_Voice!AH:AH,"",0)="VL","VL",IF(XLOOKUP($A23,Partner_Voice!$A:$A,Partner_Voice!AH:AH,"",0)="ATT","ATT",XLOOKUP($A23,Partner_Voice!$A:$A,Partner_Voice!AH:AH,"",0))))</f>
        <v>0.4583333333</v>
      </c>
      <c r="AI23" s="42">
        <f t="array" ref="AI23">IF(XLOOKUP($A23,Partner_Voice!$A:$A,Partner_Voice!AI:AI,"",0)="Free","Free",IF(XLOOKUP($A23,Partner_Voice!$A:$A,Partner_Voice!AI:AI,"",0)="VL","VL",IF(XLOOKUP($A23,Partner_Voice!$A:$A,Partner_Voice!AI:AI,"",0)="ATT","ATT",XLOOKUP($A23,Partner_Voice!$A:$A,Partner_Voice!AI:AI,"",0))))</f>
        <v>0.4583333333</v>
      </c>
      <c r="AJ23" s="42" t="str">
        <f t="array" ref="AJ23">IF(XLOOKUP($A23,Partner_Voice!$A:$A,Partner_Voice!AJ:AJ,"",0)="Free","Free",IF(XLOOKUP($A23,Partner_Voice!$A:$A,Partner_Voice!AJ:AJ,"",0)="VL","VL",IF(XLOOKUP($A23,Partner_Voice!$A:$A,Partner_Voice!AJ:AJ,"",0)="ATT","ATT",XLOOKUP($A23,Partner_Voice!$A:$A,Partner_Voice!AJ:AJ,"",0))))</f>
        <v>Free</v>
      </c>
      <c r="AK23" s="42">
        <f t="array" ref="AK23">IF(XLOOKUP($A23,Partner_Voice!$A:$A,Partner_Voice!AK:AK,"",0)="Free","Free",IF(XLOOKUP($A23,Partner_Voice!$A:$A,Partner_Voice!AK:AK,"",0)="VL","VL",IF(XLOOKUP($A23,Partner_Voice!$A:$A,Partner_Voice!AK:AK,"",0)="ATT","ATT",XLOOKUP($A23,Partner_Voice!$A:$A,Partner_Voice!AK:AK,"",0))))</f>
        <v>0.4583333333</v>
      </c>
      <c r="AL23" s="42">
        <f t="array" ref="AL23">IF(XLOOKUP($A23,Partner_Voice!$A:$A,Partner_Voice!AL:AL,"",0)="Free","Free",IF(XLOOKUP($A23,Partner_Voice!$A:$A,Partner_Voice!AL:AL,"",0)="VL","VL",IF(XLOOKUP($A23,Partner_Voice!$A:$A,Partner_Voice!AL:AL,"",0)="ATT","ATT",XLOOKUP($A23,Partner_Voice!$A:$A,Partner_Voice!AL:AL,"",0))))</f>
        <v>0.4583333333</v>
      </c>
      <c r="AM23" s="42"/>
    </row>
    <row r="24">
      <c r="A24" s="47" t="s">
        <v>21</v>
      </c>
      <c r="B24" s="35" t="str">
        <f t="array" ref="B24">XLOOKUP(A24,Roster!F:F,Roster!A:A,"")</f>
        <v>Daniel Bustamante</v>
      </c>
      <c r="C24" s="35" t="str">
        <f t="array" ref="C24">XLOOKUP(A24,Roster!F:F,Roster!B:B,"")</f>
        <v>Carlos Palma</v>
      </c>
      <c r="D24" s="70"/>
      <c r="E24" s="42">
        <f t="array" ref="E24">IF(XLOOKUP($A24,Partner_Voice!$A:$A,Partner_Voice!E:E,"",0)="Free","Free",IF(XLOOKUP($A24,Partner_Voice!$A:$A,Partner_Voice!E:E,"",0)="VL","VL",IF(XLOOKUP($A24,Partner_Voice!$A:$A,Partner_Voice!E:E,"",0)="ATT","ATT",XLOOKUP($A24,Partner_Voice!$A:$A,Partner_Voice!E:E,"",0))))</f>
        <v>0.3333333333</v>
      </c>
      <c r="F24" s="42">
        <f t="array" ref="F24">IF(XLOOKUP($A24,Partner_Voice!$A:$A,Partner_Voice!F:F,"",0)="Free","Free",IF(XLOOKUP($A24,Partner_Voice!$A:$A,Partner_Voice!F:F,"",0)="VL","VL",IF(XLOOKUP($A24,Partner_Voice!$A:$A,Partner_Voice!F:F,"",0)="ATT","ATT",XLOOKUP($A24,Partner_Voice!$A:$A,Partner_Voice!F:F,"",0))))</f>
        <v>0.3333333333</v>
      </c>
      <c r="G24" s="42" t="str">
        <f t="array" ref="G24">IF(XLOOKUP($A24,Partner_Voice!$A:$A,Partner_Voice!G:G,"",0)="Free","Free",IF(XLOOKUP($A24,Partner_Voice!$A:$A,Partner_Voice!G:G,"",0)="VL","VL",IF(XLOOKUP($A24,Partner_Voice!$A:$A,Partner_Voice!G:G,"",0)="ATT","ATT",XLOOKUP($A24,Partner_Voice!$A:$A,Partner_Voice!G:G,"",0))))</f>
        <v>Free</v>
      </c>
      <c r="H24" s="42">
        <f t="array" ref="H24">IF(XLOOKUP($A24,Partner_Voice!$A:$A,Partner_Voice!H:H,"",0)="Free","Free",IF(XLOOKUP($A24,Partner_Voice!$A:$A,Partner_Voice!H:H,"",0)="VL","VL",IF(XLOOKUP($A24,Partner_Voice!$A:$A,Partner_Voice!H:H,"",0)="ATT","ATT",XLOOKUP($A24,Partner_Voice!$A:$A,Partner_Voice!H:H,"",0))))</f>
        <v>0.3333333333</v>
      </c>
      <c r="I24" s="42">
        <f t="array" ref="I24">IF(XLOOKUP($A24,Partner_Voice!$A:$A,Partner_Voice!I:I,"",0)="Free","Free",IF(XLOOKUP($A24,Partner_Voice!$A:$A,Partner_Voice!I:I,"",0)="VL","VL",IF(XLOOKUP($A24,Partner_Voice!$A:$A,Partner_Voice!I:I,"",0)="ATT","ATT",XLOOKUP($A24,Partner_Voice!$A:$A,Partner_Voice!I:I,"",0))))</f>
        <v>0.3333333333</v>
      </c>
      <c r="J24" s="42">
        <f t="array" ref="J24">IF(XLOOKUP($A24,Partner_Voice!$A:$A,Partner_Voice!J:J,"",0)="Free","Free",IF(XLOOKUP($A24,Partner_Voice!$A:$A,Partner_Voice!J:J,"",0)="VL","VL",IF(XLOOKUP($A24,Partner_Voice!$A:$A,Partner_Voice!J:J,"",0)="ATT","ATT",XLOOKUP($A24,Partner_Voice!$A:$A,Partner_Voice!J:J,"",0))))</f>
        <v>0.3333333333</v>
      </c>
      <c r="K24" s="42"/>
      <c r="L24" s="42">
        <f t="array" ref="L24">IF(XLOOKUP($A24,Partner_Voice!$A:$A,Partner_Voice!L:L,"",0)="Free","Free",IF(XLOOKUP($A24,Partner_Voice!$A:$A,Partner_Voice!L:L,"",0)="VL","VL",IF(XLOOKUP($A24,Partner_Voice!$A:$A,Partner_Voice!L:L,"",0)="ATT","ATT",XLOOKUP($A24,Partner_Voice!$A:$A,Partner_Voice!L:L,"",0))))</f>
        <v>0.3333333333</v>
      </c>
      <c r="M24" s="42">
        <f t="array" ref="M24">IF(XLOOKUP($A24,Partner_Voice!$A:$A,Partner_Voice!M:M,"",0)="Free","Free",IF(XLOOKUP($A24,Partner_Voice!$A:$A,Partner_Voice!M:M,"",0)="VL","VL",IF(XLOOKUP($A24,Partner_Voice!$A:$A,Partner_Voice!M:M,"",0)="ATT","ATT",XLOOKUP($A24,Partner_Voice!$A:$A,Partner_Voice!M:M,"",0))))</f>
        <v>0.3333333333</v>
      </c>
      <c r="N24" s="42" t="str">
        <f t="array" ref="N24">IF(XLOOKUP($A24,Partner_Voice!$A:$A,Partner_Voice!N:N,"",0)="Free","Free",IF(XLOOKUP($A24,Partner_Voice!$A:$A,Partner_Voice!N:N,"",0)="VL","VL",IF(XLOOKUP($A24,Partner_Voice!$A:$A,Partner_Voice!N:N,"",0)="ATT","ATT",XLOOKUP($A24,Partner_Voice!$A:$A,Partner_Voice!N:N,"",0))))</f>
        <v>Free</v>
      </c>
      <c r="O24" s="42">
        <f t="array" ref="O24">IF(XLOOKUP($A24,Partner_Voice!$A:$A,Partner_Voice!O:O,"",0)="Free","Free",IF(XLOOKUP($A24,Partner_Voice!$A:$A,Partner_Voice!O:O,"",0)="VL","VL",IF(XLOOKUP($A24,Partner_Voice!$A:$A,Partner_Voice!O:O,"",0)="ATT","ATT",XLOOKUP($A24,Partner_Voice!$A:$A,Partner_Voice!O:O,"",0))))</f>
        <v>0.3333333333</v>
      </c>
      <c r="P24" s="42">
        <f t="array" ref="P24">IF(XLOOKUP($A24,Partner_Voice!$A:$A,Partner_Voice!P:P,"",0)="Free","Free",IF(XLOOKUP($A24,Partner_Voice!$A:$A,Partner_Voice!P:P,"",0)="VL","VL",IF(XLOOKUP($A24,Partner_Voice!$A:$A,Partner_Voice!P:P,"",0)="ATT","ATT",XLOOKUP($A24,Partner_Voice!$A:$A,Partner_Voice!P:P,"",0))))</f>
        <v>0.3333333333</v>
      </c>
      <c r="Q24" s="42">
        <f t="array" ref="Q24">IF(XLOOKUP($A24,Partner_Voice!$A:$A,Partner_Voice!Q:Q,"",0)="Free","Free",IF(XLOOKUP($A24,Partner_Voice!$A:$A,Partner_Voice!Q:Q,"",0)="VL","VL",IF(XLOOKUP($A24,Partner_Voice!$A:$A,Partner_Voice!Q:Q,"",0)="ATT","ATT",XLOOKUP($A24,Partner_Voice!$A:$A,Partner_Voice!Q:Q,"",0))))</f>
        <v>0.3333333333</v>
      </c>
      <c r="R24" s="43"/>
      <c r="S24" s="42">
        <f t="array" ref="S24">IF(XLOOKUP($A24,Partner_Voice!$A:$A,Partner_Voice!S:S,"",0)="Free","Free",IF(XLOOKUP($A24,Partner_Voice!$A:$A,Partner_Voice!S:S,"",0)="VL","VL",IF(XLOOKUP($A24,Partner_Voice!$A:$A,Partner_Voice!S:S,"",0)="ATT","ATT",XLOOKUP($A24,Partner_Voice!$A:$A,Partner_Voice!S:S,"",0))))</f>
        <v>0.3333333333</v>
      </c>
      <c r="T24" s="42">
        <f t="array" ref="T24">IF(XLOOKUP($A24,Partner_Voice!$A:$A,Partner_Voice!T:T,"",0)="Free","Free",IF(XLOOKUP($A24,Partner_Voice!$A:$A,Partner_Voice!T:T,"",0)="VL","VL",IF(XLOOKUP($A24,Partner_Voice!$A:$A,Partner_Voice!T:T,"",0)="ATT","ATT",XLOOKUP($A24,Partner_Voice!$A:$A,Partner_Voice!T:T,"",0))))</f>
        <v>0.3333333333</v>
      </c>
      <c r="U24" s="42" t="str">
        <f t="array" ref="U24">IF(XLOOKUP($A24,Partner_Voice!$A:$A,Partner_Voice!U:U,"",0)="Free","Free",IF(XLOOKUP($A24,Partner_Voice!$A:$A,Partner_Voice!U:U,"",0)="VL","VL",IF(XLOOKUP($A24,Partner_Voice!$A:$A,Partner_Voice!U:U,"",0)="ATT","ATT",XLOOKUP($A24,Partner_Voice!$A:$A,Partner_Voice!U:U,"",0))))</f>
        <v>Free</v>
      </c>
      <c r="V24" s="42">
        <f t="array" ref="V24">IF(XLOOKUP($A24,Partner_Voice!$A:$A,Partner_Voice!V:V,"",0)="Free","Free",IF(XLOOKUP($A24,Partner_Voice!$A:$A,Partner_Voice!V:V,"",0)="VL","VL",IF(XLOOKUP($A24,Partner_Voice!$A:$A,Partner_Voice!V:V,"",0)="ATT","ATT",XLOOKUP($A24,Partner_Voice!$A:$A,Partner_Voice!V:V,"",0))))</f>
        <v>0.3333333333</v>
      </c>
      <c r="W24" s="42">
        <f t="array" ref="W24">IF(XLOOKUP($A24,Partner_Voice!$A:$A,Partner_Voice!W:W,"",0)="Free","Free",IF(XLOOKUP($A24,Partner_Voice!$A:$A,Partner_Voice!W:W,"",0)="VL","VL",IF(XLOOKUP($A24,Partner_Voice!$A:$A,Partner_Voice!W:W,"",0)="ATT","ATT",XLOOKUP($A24,Partner_Voice!$A:$A,Partner_Voice!W:W,"",0))))</f>
        <v>0.3333333333</v>
      </c>
      <c r="X24" s="42">
        <f t="array" ref="X24">IF(XLOOKUP($A24,Partner_Voice!$A:$A,Partner_Voice!X:X,"",0)="Free","Free",IF(XLOOKUP($A24,Partner_Voice!$A:$A,Partner_Voice!X:X,"",0)="VL","VL",IF(XLOOKUP($A24,Partner_Voice!$A:$A,Partner_Voice!X:X,"",0)="ATT","ATT",XLOOKUP($A24,Partner_Voice!$A:$A,Partner_Voice!X:X,"",0))))</f>
        <v>0.3333333333</v>
      </c>
      <c r="Y24" s="43"/>
      <c r="Z24" s="42">
        <f t="array" ref="Z24">IF(XLOOKUP($A24,Partner_Voice!$A:$A,Partner_Voice!Z:Z,"",0)="Free","Free",IF(XLOOKUP($A24,Partner_Voice!$A:$A,Partner_Voice!Z:Z,"",0)="VL","VL",IF(XLOOKUP($A24,Partner_Voice!$A:$A,Partner_Voice!Z:Z,"",0)="ATT","ATT",XLOOKUP($A24,Partner_Voice!$A:$A,Partner_Voice!Z:Z,"",0))))</f>
        <v>0.3333333333</v>
      </c>
      <c r="AA24" s="42">
        <f t="array" ref="AA24">IF(XLOOKUP($A24,Partner_Voice!$A:$A,Partner_Voice!AA:AA,"",0)="Free","Free",IF(XLOOKUP($A24,Partner_Voice!$A:$A,Partner_Voice!AA:AA,"",0)="VL","VL",IF(XLOOKUP($A24,Partner_Voice!$A:$A,Partner_Voice!AA:AA,"",0)="ATT","ATT",XLOOKUP($A24,Partner_Voice!$A:$A,Partner_Voice!AA:AA,"",0))))</f>
        <v>0.3333333333</v>
      </c>
      <c r="AB24" s="42" t="str">
        <f t="array" ref="AB24">IF(XLOOKUP($A24,Partner_Voice!$A:$A,Partner_Voice!AB:AB,"",0)="Free","Free",IF(XLOOKUP($A24,Partner_Voice!$A:$A,Partner_Voice!AB:AB,"",0)="VL","VL",IF(XLOOKUP($A24,Partner_Voice!$A:$A,Partner_Voice!AB:AB,"",0)="ATT","ATT",XLOOKUP($A24,Partner_Voice!$A:$A,Partner_Voice!AB:AB,"",0))))</f>
        <v>Free</v>
      </c>
      <c r="AC24" s="42">
        <f t="array" ref="AC24">IF(XLOOKUP($A24,Partner_Voice!$A:$A,Partner_Voice!AC:AC,"",0)="Free","Free",IF(XLOOKUP($A24,Partner_Voice!$A:$A,Partner_Voice!AC:AC,"",0)="VL","VL",IF(XLOOKUP($A24,Partner_Voice!$A:$A,Partner_Voice!AC:AC,"",0)="ATT","ATT",XLOOKUP($A24,Partner_Voice!$A:$A,Partner_Voice!AC:AC,"",0))))</f>
        <v>0.3333333333</v>
      </c>
      <c r="AD24" s="42">
        <f t="array" ref="AD24">IF(XLOOKUP($A24,Partner_Voice!$A:$A,Partner_Voice!AD:AD,"",0)="Free","Free",IF(XLOOKUP($A24,Partner_Voice!$A:$A,Partner_Voice!AD:AD,"",0)="VL","VL",IF(XLOOKUP($A24,Partner_Voice!$A:$A,Partner_Voice!AD:AD,"",0)="ATT","ATT",XLOOKUP($A24,Partner_Voice!$A:$A,Partner_Voice!AD:AD,"",0))))</f>
        <v>0.3333333333</v>
      </c>
      <c r="AE24" s="42">
        <f t="array" ref="AE24">IF(XLOOKUP($A24,Partner_Voice!$A:$A,Partner_Voice!AE:AE,"",0)="Free","Free",IF(XLOOKUP($A24,Partner_Voice!$A:$A,Partner_Voice!AE:AE,"",0)="VL","VL",IF(XLOOKUP($A24,Partner_Voice!$A:$A,Partner_Voice!AE:AE,"",0)="ATT","ATT",XLOOKUP($A24,Partner_Voice!$A:$A,Partner_Voice!AE:AE,"",0))))</f>
        <v>0.3333333333</v>
      </c>
      <c r="AF24" s="69"/>
      <c r="AG24" s="42">
        <f t="array" ref="AG24">IF(XLOOKUP($A24,Partner_Voice!$A:$A,Partner_Voice!AG:AG,"",0)="Free","Free",IF(XLOOKUP($A24,Partner_Voice!$A:$A,Partner_Voice!AG:AG,"",0)="VL","VL",IF(XLOOKUP($A24,Partner_Voice!$A:$A,Partner_Voice!AG:AG,"",0)="ATT","ATT",XLOOKUP($A24,Partner_Voice!$A:$A,Partner_Voice!AG:AG,"",0))))</f>
        <v>0.3333333333</v>
      </c>
      <c r="AH24" s="42">
        <f t="array" ref="AH24">IF(XLOOKUP($A24,Partner_Voice!$A:$A,Partner_Voice!AH:AH,"",0)="Free","Free",IF(XLOOKUP($A24,Partner_Voice!$A:$A,Partner_Voice!AH:AH,"",0)="VL","VL",IF(XLOOKUP($A24,Partner_Voice!$A:$A,Partner_Voice!AH:AH,"",0)="ATT","ATT",XLOOKUP($A24,Partner_Voice!$A:$A,Partner_Voice!AH:AH,"",0))))</f>
        <v>0.3333333333</v>
      </c>
      <c r="AI24" s="42" t="str">
        <f t="array" ref="AI24">IF(XLOOKUP($A24,Partner_Voice!$A:$A,Partner_Voice!AI:AI,"",0)="Free","Free",IF(XLOOKUP($A24,Partner_Voice!$A:$A,Partner_Voice!AI:AI,"",0)="VL","VL",IF(XLOOKUP($A24,Partner_Voice!$A:$A,Partner_Voice!AI:AI,"",0)="ATT","ATT",XLOOKUP($A24,Partner_Voice!$A:$A,Partner_Voice!AI:AI,"",0))))</f>
        <v>Free</v>
      </c>
      <c r="AJ24" s="42">
        <f t="array" ref="AJ24">IF(XLOOKUP($A24,Partner_Voice!$A:$A,Partner_Voice!AJ:AJ,"",0)="Free","Free",IF(XLOOKUP($A24,Partner_Voice!$A:$A,Partner_Voice!AJ:AJ,"",0)="VL","VL",IF(XLOOKUP($A24,Partner_Voice!$A:$A,Partner_Voice!AJ:AJ,"",0)="ATT","ATT",XLOOKUP($A24,Partner_Voice!$A:$A,Partner_Voice!AJ:AJ,"",0))))</f>
        <v>0.3333333333</v>
      </c>
      <c r="AK24" s="42">
        <f t="array" ref="AK24">IF(XLOOKUP($A24,Partner_Voice!$A:$A,Partner_Voice!AK:AK,"",0)="Free","Free",IF(XLOOKUP($A24,Partner_Voice!$A:$A,Partner_Voice!AK:AK,"",0)="VL","VL",IF(XLOOKUP($A24,Partner_Voice!$A:$A,Partner_Voice!AK:AK,"",0)="ATT","ATT",XLOOKUP($A24,Partner_Voice!$A:$A,Partner_Voice!AK:AK,"",0))))</f>
        <v>0.3333333333</v>
      </c>
      <c r="AL24" s="42">
        <f t="array" ref="AL24">IF(XLOOKUP($A24,Partner_Voice!$A:$A,Partner_Voice!AL:AL,"",0)="Free","Free",IF(XLOOKUP($A24,Partner_Voice!$A:$A,Partner_Voice!AL:AL,"",0)="VL","VL",IF(XLOOKUP($A24,Partner_Voice!$A:$A,Partner_Voice!AL:AL,"",0)="ATT","ATT",XLOOKUP($A24,Partner_Voice!$A:$A,Partner_Voice!AL:AL,"",0))))</f>
        <v>0.3333333333</v>
      </c>
      <c r="AM24" s="42"/>
    </row>
    <row r="25">
      <c r="A25" s="47" t="s">
        <v>30</v>
      </c>
      <c r="B25" s="35" t="str">
        <f t="array" ref="B25">XLOOKUP(A25,Roster!F:F,Roster!A:A,"")</f>
        <v>Daniel Bustamante</v>
      </c>
      <c r="C25" s="35" t="str">
        <f t="array" ref="C25">XLOOKUP(A25,Roster!F:F,Roster!B:B,"")</f>
        <v>Frey ortiz</v>
      </c>
      <c r="D25" s="70"/>
      <c r="E25" s="42">
        <f t="array" ref="E25">IF(XLOOKUP($A25,Partner_Voice!$A:$A,Partner_Voice!E:E,"",0)="Free","Free",IF(XLOOKUP($A25,Partner_Voice!$A:$A,Partner_Voice!E:E,"",0)="VL","VL",IF(XLOOKUP($A25,Partner_Voice!$A:$A,Partner_Voice!E:E,"",0)="ATT","ATT",XLOOKUP($A25,Partner_Voice!$A:$A,Partner_Voice!E:E,"",0))))</f>
        <v>0.4583333333</v>
      </c>
      <c r="F25" s="42">
        <f t="array" ref="F25">IF(XLOOKUP($A25,Partner_Voice!$A:$A,Partner_Voice!F:F,"",0)="Free","Free",IF(XLOOKUP($A25,Partner_Voice!$A:$A,Partner_Voice!F:F,"",0)="VL","VL",IF(XLOOKUP($A25,Partner_Voice!$A:$A,Partner_Voice!F:F,"",0)="ATT","ATT",XLOOKUP($A25,Partner_Voice!$A:$A,Partner_Voice!F:F,"",0))))</f>
        <v>0.4583333333</v>
      </c>
      <c r="G25" s="42">
        <f t="array" ref="G25">IF(XLOOKUP($A25,Partner_Voice!$A:$A,Partner_Voice!G:G,"",0)="Free","Free",IF(XLOOKUP($A25,Partner_Voice!$A:$A,Partner_Voice!G:G,"",0)="VL","VL",IF(XLOOKUP($A25,Partner_Voice!$A:$A,Partner_Voice!G:G,"",0)="ATT","ATT",XLOOKUP($A25,Partner_Voice!$A:$A,Partner_Voice!G:G,"",0))))</f>
        <v>0.4583333333</v>
      </c>
      <c r="H25" s="42" t="str">
        <f t="array" ref="H25">IF(XLOOKUP($A25,Partner_Voice!$A:$A,Partner_Voice!H:H,"",0)="Free","Free",IF(XLOOKUP($A25,Partner_Voice!$A:$A,Partner_Voice!H:H,"",0)="VL","VL",IF(XLOOKUP($A25,Partner_Voice!$A:$A,Partner_Voice!H:H,"",0)="ATT","ATT",XLOOKUP($A25,Partner_Voice!$A:$A,Partner_Voice!H:H,"",0))))</f>
        <v>Free</v>
      </c>
      <c r="I25" s="42">
        <f t="array" ref="I25">IF(XLOOKUP($A25,Partner_Voice!$A:$A,Partner_Voice!I:I,"",0)="Free","Free",IF(XLOOKUP($A25,Partner_Voice!$A:$A,Partner_Voice!I:I,"",0)="VL","VL",IF(XLOOKUP($A25,Partner_Voice!$A:$A,Partner_Voice!I:I,"",0)="ATT","ATT",XLOOKUP($A25,Partner_Voice!$A:$A,Partner_Voice!I:I,"",0))))</f>
        <v>0.4583333333</v>
      </c>
      <c r="J25" s="42">
        <f t="array" ref="J25">IF(XLOOKUP($A25,Partner_Voice!$A:$A,Partner_Voice!J:J,"",0)="Free","Free",IF(XLOOKUP($A25,Partner_Voice!$A:$A,Partner_Voice!J:J,"",0)="VL","VL",IF(XLOOKUP($A25,Partner_Voice!$A:$A,Partner_Voice!J:J,"",0)="ATT","ATT",XLOOKUP($A25,Partner_Voice!$A:$A,Partner_Voice!J:J,"",0))))</f>
        <v>0.4583333333</v>
      </c>
      <c r="K25" s="42"/>
      <c r="L25" s="42">
        <f t="array" ref="L25">IF(XLOOKUP($A25,Partner_Voice!$A:$A,Partner_Voice!L:L,"",0)="Free","Free",IF(XLOOKUP($A25,Partner_Voice!$A:$A,Partner_Voice!L:L,"",0)="VL","VL",IF(XLOOKUP($A25,Partner_Voice!$A:$A,Partner_Voice!L:L,"",0)="ATT","ATT",XLOOKUP($A25,Partner_Voice!$A:$A,Partner_Voice!L:L,"",0))))</f>
        <v>0.4583333333</v>
      </c>
      <c r="M25" s="42">
        <f t="array" ref="M25">IF(XLOOKUP($A25,Partner_Voice!$A:$A,Partner_Voice!M:M,"",0)="Free","Free",IF(XLOOKUP($A25,Partner_Voice!$A:$A,Partner_Voice!M:M,"",0)="VL","VL",IF(XLOOKUP($A25,Partner_Voice!$A:$A,Partner_Voice!M:M,"",0)="ATT","ATT",XLOOKUP($A25,Partner_Voice!$A:$A,Partner_Voice!M:M,"",0))))</f>
        <v>0.4583333333</v>
      </c>
      <c r="N25" s="42">
        <f t="array" ref="N25">IF(XLOOKUP($A25,Partner_Voice!$A:$A,Partner_Voice!N:N,"",0)="Free","Free",IF(XLOOKUP($A25,Partner_Voice!$A:$A,Partner_Voice!N:N,"",0)="VL","VL",IF(XLOOKUP($A25,Partner_Voice!$A:$A,Partner_Voice!N:N,"",0)="ATT","ATT",XLOOKUP($A25,Partner_Voice!$A:$A,Partner_Voice!N:N,"",0))))</f>
        <v>0.4583333333</v>
      </c>
      <c r="O25" s="42" t="str">
        <f t="array" ref="O25">IF(XLOOKUP($A25,Partner_Voice!$A:$A,Partner_Voice!O:O,"",0)="Free","Free",IF(XLOOKUP($A25,Partner_Voice!$A:$A,Partner_Voice!O:O,"",0)="VL","VL",IF(XLOOKUP($A25,Partner_Voice!$A:$A,Partner_Voice!O:O,"",0)="ATT","ATT",XLOOKUP($A25,Partner_Voice!$A:$A,Partner_Voice!O:O,"",0))))</f>
        <v>Free</v>
      </c>
      <c r="P25" s="42">
        <f t="array" ref="P25">IF(XLOOKUP($A25,Partner_Voice!$A:$A,Partner_Voice!P:P,"",0)="Free","Free",IF(XLOOKUP($A25,Partner_Voice!$A:$A,Partner_Voice!P:P,"",0)="VL","VL",IF(XLOOKUP($A25,Partner_Voice!$A:$A,Partner_Voice!P:P,"",0)="ATT","ATT",XLOOKUP($A25,Partner_Voice!$A:$A,Partner_Voice!P:P,"",0))))</f>
        <v>0.4583333333</v>
      </c>
      <c r="Q25" s="42">
        <f t="array" ref="Q25">IF(XLOOKUP($A25,Partner_Voice!$A:$A,Partner_Voice!Q:Q,"",0)="Free","Free",IF(XLOOKUP($A25,Partner_Voice!$A:$A,Partner_Voice!Q:Q,"",0)="VL","VL",IF(XLOOKUP($A25,Partner_Voice!$A:$A,Partner_Voice!Q:Q,"",0)="ATT","ATT",XLOOKUP($A25,Partner_Voice!$A:$A,Partner_Voice!Q:Q,"",0))))</f>
        <v>0.4583333333</v>
      </c>
      <c r="R25" s="43"/>
      <c r="S25" s="42">
        <f t="array" ref="S25">IF(XLOOKUP($A25,Partner_Voice!$A:$A,Partner_Voice!S:S,"",0)="Free","Free",IF(XLOOKUP($A25,Partner_Voice!$A:$A,Partner_Voice!S:S,"",0)="VL","VL",IF(XLOOKUP($A25,Partner_Voice!$A:$A,Partner_Voice!S:S,"",0)="ATT","ATT",XLOOKUP($A25,Partner_Voice!$A:$A,Partner_Voice!S:S,"",0))))</f>
        <v>0.4583333333</v>
      </c>
      <c r="T25" s="42">
        <f t="array" ref="T25">IF(XLOOKUP($A25,Partner_Voice!$A:$A,Partner_Voice!T:T,"",0)="Free","Free",IF(XLOOKUP($A25,Partner_Voice!$A:$A,Partner_Voice!T:T,"",0)="VL","VL",IF(XLOOKUP($A25,Partner_Voice!$A:$A,Partner_Voice!T:T,"",0)="ATT","ATT",XLOOKUP($A25,Partner_Voice!$A:$A,Partner_Voice!T:T,"",0))))</f>
        <v>0.4583333333</v>
      </c>
      <c r="U25" s="42">
        <f t="array" ref="U25">IF(XLOOKUP($A25,Partner_Voice!$A:$A,Partner_Voice!U:U,"",0)="Free","Free",IF(XLOOKUP($A25,Partner_Voice!$A:$A,Partner_Voice!U:U,"",0)="VL","VL",IF(XLOOKUP($A25,Partner_Voice!$A:$A,Partner_Voice!U:U,"",0)="ATT","ATT",XLOOKUP($A25,Partner_Voice!$A:$A,Partner_Voice!U:U,"",0))))</f>
        <v>0.4583333333</v>
      </c>
      <c r="V25" s="42" t="str">
        <f t="array" ref="V25">IF(XLOOKUP($A25,Partner_Voice!$A:$A,Partner_Voice!V:V,"",0)="Free","Free",IF(XLOOKUP($A25,Partner_Voice!$A:$A,Partner_Voice!V:V,"",0)="VL","VL",IF(XLOOKUP($A25,Partner_Voice!$A:$A,Partner_Voice!V:V,"",0)="ATT","ATT",XLOOKUP($A25,Partner_Voice!$A:$A,Partner_Voice!V:V,"",0))))</f>
        <v>Free</v>
      </c>
      <c r="W25" s="42">
        <f t="array" ref="W25">IF(XLOOKUP($A25,Partner_Voice!$A:$A,Partner_Voice!W:W,"",0)="Free","Free",IF(XLOOKUP($A25,Partner_Voice!$A:$A,Partner_Voice!W:W,"",0)="VL","VL",IF(XLOOKUP($A25,Partner_Voice!$A:$A,Partner_Voice!W:W,"",0)="ATT","ATT",XLOOKUP($A25,Partner_Voice!$A:$A,Partner_Voice!W:W,"",0))))</f>
        <v>0.4583333333</v>
      </c>
      <c r="X25" s="42">
        <f t="array" ref="X25">IF(XLOOKUP($A25,Partner_Voice!$A:$A,Partner_Voice!X:X,"",0)="Free","Free",IF(XLOOKUP($A25,Partner_Voice!$A:$A,Partner_Voice!X:X,"",0)="VL","VL",IF(XLOOKUP($A25,Partner_Voice!$A:$A,Partner_Voice!X:X,"",0)="ATT","ATT",XLOOKUP($A25,Partner_Voice!$A:$A,Partner_Voice!X:X,"",0))))</f>
        <v>0.4583333333</v>
      </c>
      <c r="Y25" s="43"/>
      <c r="Z25" s="42">
        <f t="array" ref="Z25">IF(XLOOKUP($A25,Partner_Voice!$A:$A,Partner_Voice!Z:Z,"",0)="Free","Free",IF(XLOOKUP($A25,Partner_Voice!$A:$A,Partner_Voice!Z:Z,"",0)="VL","VL",IF(XLOOKUP($A25,Partner_Voice!$A:$A,Partner_Voice!Z:Z,"",0)="ATT","ATT",XLOOKUP($A25,Partner_Voice!$A:$A,Partner_Voice!Z:Z,"",0))))</f>
        <v>0.4583333333</v>
      </c>
      <c r="AA25" s="42">
        <f t="array" ref="AA25">IF(XLOOKUP($A25,Partner_Voice!$A:$A,Partner_Voice!AA:AA,"",0)="Free","Free",IF(XLOOKUP($A25,Partner_Voice!$A:$A,Partner_Voice!AA:AA,"",0)="VL","VL",IF(XLOOKUP($A25,Partner_Voice!$A:$A,Partner_Voice!AA:AA,"",0)="ATT","ATT",XLOOKUP($A25,Partner_Voice!$A:$A,Partner_Voice!AA:AA,"",0))))</f>
        <v>0.4583333333</v>
      </c>
      <c r="AB25" s="42">
        <f t="array" ref="AB25">IF(XLOOKUP($A25,Partner_Voice!$A:$A,Partner_Voice!AB:AB,"",0)="Free","Free",IF(XLOOKUP($A25,Partner_Voice!$A:$A,Partner_Voice!AB:AB,"",0)="VL","VL",IF(XLOOKUP($A25,Partner_Voice!$A:$A,Partner_Voice!AB:AB,"",0)="ATT","ATT",XLOOKUP($A25,Partner_Voice!$A:$A,Partner_Voice!AB:AB,"",0))))</f>
        <v>0.4583333333</v>
      </c>
      <c r="AC25" s="42" t="str">
        <f t="array" ref="AC25">IF(XLOOKUP($A25,Partner_Voice!$A:$A,Partner_Voice!AC:AC,"",0)="Free","Free",IF(XLOOKUP($A25,Partner_Voice!$A:$A,Partner_Voice!AC:AC,"",0)="VL","VL",IF(XLOOKUP($A25,Partner_Voice!$A:$A,Partner_Voice!AC:AC,"",0)="ATT","ATT",XLOOKUP($A25,Partner_Voice!$A:$A,Partner_Voice!AC:AC,"",0))))</f>
        <v>Free</v>
      </c>
      <c r="AD25" s="42">
        <f t="array" ref="AD25">IF(XLOOKUP($A25,Partner_Voice!$A:$A,Partner_Voice!AD:AD,"",0)="Free","Free",IF(XLOOKUP($A25,Partner_Voice!$A:$A,Partner_Voice!AD:AD,"",0)="VL","VL",IF(XLOOKUP($A25,Partner_Voice!$A:$A,Partner_Voice!AD:AD,"",0)="ATT","ATT",XLOOKUP($A25,Partner_Voice!$A:$A,Partner_Voice!AD:AD,"",0))))</f>
        <v>0.4583333333</v>
      </c>
      <c r="AE25" s="42">
        <f t="array" ref="AE25">IF(XLOOKUP($A25,Partner_Voice!$A:$A,Partner_Voice!AE:AE,"",0)="Free","Free",IF(XLOOKUP($A25,Partner_Voice!$A:$A,Partner_Voice!AE:AE,"",0)="VL","VL",IF(XLOOKUP($A25,Partner_Voice!$A:$A,Partner_Voice!AE:AE,"",0)="ATT","ATT",XLOOKUP($A25,Partner_Voice!$A:$A,Partner_Voice!AE:AE,"",0))))</f>
        <v>0.4583333333</v>
      </c>
      <c r="AF25" s="69"/>
      <c r="AG25" s="42">
        <f t="array" ref="AG25">IF(XLOOKUP($A25,Partner_Voice!$A:$A,Partner_Voice!AG:AG,"",0)="Free","Free",IF(XLOOKUP($A25,Partner_Voice!$A:$A,Partner_Voice!AG:AG,"",0)="VL","VL",IF(XLOOKUP($A25,Partner_Voice!$A:$A,Partner_Voice!AG:AG,"",0)="ATT","ATT",XLOOKUP($A25,Partner_Voice!$A:$A,Partner_Voice!AG:AG,"",0))))</f>
        <v>0.4583333333</v>
      </c>
      <c r="AH25" s="42">
        <f t="array" ref="AH25">IF(XLOOKUP($A25,Partner_Voice!$A:$A,Partner_Voice!AH:AH,"",0)="Free","Free",IF(XLOOKUP($A25,Partner_Voice!$A:$A,Partner_Voice!AH:AH,"",0)="VL","VL",IF(XLOOKUP($A25,Partner_Voice!$A:$A,Partner_Voice!AH:AH,"",0)="ATT","ATT",XLOOKUP($A25,Partner_Voice!$A:$A,Partner_Voice!AH:AH,"",0))))</f>
        <v>0.4583333333</v>
      </c>
      <c r="AI25" s="42">
        <f t="array" ref="AI25">IF(XLOOKUP($A25,Partner_Voice!$A:$A,Partner_Voice!AI:AI,"",0)="Free","Free",IF(XLOOKUP($A25,Partner_Voice!$A:$A,Partner_Voice!AI:AI,"",0)="VL","VL",IF(XLOOKUP($A25,Partner_Voice!$A:$A,Partner_Voice!AI:AI,"",0)="ATT","ATT",XLOOKUP($A25,Partner_Voice!$A:$A,Partner_Voice!AI:AI,"",0))))</f>
        <v>0.4583333333</v>
      </c>
      <c r="AJ25" s="42" t="str">
        <f t="array" ref="AJ25">IF(XLOOKUP($A25,Partner_Voice!$A:$A,Partner_Voice!AJ:AJ,"",0)="Free","Free",IF(XLOOKUP($A25,Partner_Voice!$A:$A,Partner_Voice!AJ:AJ,"",0)="VL","VL",IF(XLOOKUP($A25,Partner_Voice!$A:$A,Partner_Voice!AJ:AJ,"",0)="ATT","ATT",XLOOKUP($A25,Partner_Voice!$A:$A,Partner_Voice!AJ:AJ,"",0))))</f>
        <v>Free</v>
      </c>
      <c r="AK25" s="42">
        <f t="array" ref="AK25">IF(XLOOKUP($A25,Partner_Voice!$A:$A,Partner_Voice!AK:AK,"",0)="Free","Free",IF(XLOOKUP($A25,Partner_Voice!$A:$A,Partner_Voice!AK:AK,"",0)="VL","VL",IF(XLOOKUP($A25,Partner_Voice!$A:$A,Partner_Voice!AK:AK,"",0)="ATT","ATT",XLOOKUP($A25,Partner_Voice!$A:$A,Partner_Voice!AK:AK,"",0))))</f>
        <v>0.4583333333</v>
      </c>
      <c r="AL25" s="42">
        <f t="array" ref="AL25">IF(XLOOKUP($A25,Partner_Voice!$A:$A,Partner_Voice!AL:AL,"",0)="Free","Free",IF(XLOOKUP($A25,Partner_Voice!$A:$A,Partner_Voice!AL:AL,"",0)="VL","VL",IF(XLOOKUP($A25,Partner_Voice!$A:$A,Partner_Voice!AL:AL,"",0)="ATT","ATT",XLOOKUP($A25,Partner_Voice!$A:$A,Partner_Voice!AL:AL,"",0))))</f>
        <v>0.4583333333</v>
      </c>
      <c r="AM25" s="42"/>
    </row>
    <row r="26">
      <c r="A26" s="47" t="s">
        <v>31</v>
      </c>
      <c r="B26" s="35" t="str">
        <f t="array" ref="B26">XLOOKUP(A26,Roster!F:F,Roster!A:A,"")</f>
        <v>Daniel Bustamante</v>
      </c>
      <c r="C26" s="35" t="str">
        <f t="array" ref="C26">XLOOKUP(A26,Roster!F:F,Roster!B:B,"")</f>
        <v>Gabriel Gomez</v>
      </c>
      <c r="D26" s="70"/>
      <c r="E26" s="42">
        <f t="array" ref="E26">IF(XLOOKUP($A26,Partner_Voice!$A:$A,Partner_Voice!E:E,"",0)="Free","Free",IF(XLOOKUP($A26,Partner_Voice!$A:$A,Partner_Voice!E:E,"",0)="VL","VL",IF(XLOOKUP($A26,Partner_Voice!$A:$A,Partner_Voice!E:E,"",0)="ATT","ATT",XLOOKUP($A26,Partner_Voice!$A:$A,Partner_Voice!E:E,"",0))))</f>
        <v>0.4583333333</v>
      </c>
      <c r="F26" s="42">
        <f t="array" ref="F26">IF(XLOOKUP($A26,Partner_Voice!$A:$A,Partner_Voice!F:F,"",0)="Free","Free",IF(XLOOKUP($A26,Partner_Voice!$A:$A,Partner_Voice!F:F,"",0)="VL","VL",IF(XLOOKUP($A26,Partner_Voice!$A:$A,Partner_Voice!F:F,"",0)="ATT","ATT",XLOOKUP($A26,Partner_Voice!$A:$A,Partner_Voice!F:F,"",0))))</f>
        <v>0.4583333333</v>
      </c>
      <c r="G26" s="42">
        <f t="array" ref="G26">IF(XLOOKUP($A26,Partner_Voice!$A:$A,Partner_Voice!G:G,"",0)="Free","Free",IF(XLOOKUP($A26,Partner_Voice!$A:$A,Partner_Voice!G:G,"",0)="VL","VL",IF(XLOOKUP($A26,Partner_Voice!$A:$A,Partner_Voice!G:G,"",0)="ATT","ATT",XLOOKUP($A26,Partner_Voice!$A:$A,Partner_Voice!G:G,"",0))))</f>
        <v>0.4583333333</v>
      </c>
      <c r="H26" s="42" t="str">
        <f t="array" ref="H26">IF(XLOOKUP($A26,Partner_Voice!$A:$A,Partner_Voice!H:H,"",0)="Free","Free",IF(XLOOKUP($A26,Partner_Voice!$A:$A,Partner_Voice!H:H,"",0)="VL","VL",IF(XLOOKUP($A26,Partner_Voice!$A:$A,Partner_Voice!H:H,"",0)="ATT","ATT",XLOOKUP($A26,Partner_Voice!$A:$A,Partner_Voice!H:H,"",0))))</f>
        <v>Free</v>
      </c>
      <c r="I26" s="42">
        <f t="array" ref="I26">IF(XLOOKUP($A26,Partner_Voice!$A:$A,Partner_Voice!I:I,"",0)="Free","Free",IF(XLOOKUP($A26,Partner_Voice!$A:$A,Partner_Voice!I:I,"",0)="VL","VL",IF(XLOOKUP($A26,Partner_Voice!$A:$A,Partner_Voice!I:I,"",0)="ATT","ATT",XLOOKUP($A26,Partner_Voice!$A:$A,Partner_Voice!I:I,"",0))))</f>
        <v>0.4583333333</v>
      </c>
      <c r="J26" s="42">
        <f t="array" ref="J26">IF(XLOOKUP($A26,Partner_Voice!$A:$A,Partner_Voice!J:J,"",0)="Free","Free",IF(XLOOKUP($A26,Partner_Voice!$A:$A,Partner_Voice!J:J,"",0)="VL","VL",IF(XLOOKUP($A26,Partner_Voice!$A:$A,Partner_Voice!J:J,"",0)="ATT","ATT",XLOOKUP($A26,Partner_Voice!$A:$A,Partner_Voice!J:J,"",0))))</f>
        <v>0.4583333333</v>
      </c>
      <c r="K26" s="42"/>
      <c r="L26" s="42">
        <f t="array" ref="L26">IF(XLOOKUP($A26,Partner_Voice!$A:$A,Partner_Voice!L:L,"",0)="Free","Free",IF(XLOOKUP($A26,Partner_Voice!$A:$A,Partner_Voice!L:L,"",0)="VL","VL",IF(XLOOKUP($A26,Partner_Voice!$A:$A,Partner_Voice!L:L,"",0)="ATT","ATT",XLOOKUP($A26,Partner_Voice!$A:$A,Partner_Voice!L:L,"",0))))</f>
        <v>0.4583333333</v>
      </c>
      <c r="M26" s="42">
        <f t="array" ref="M26">IF(XLOOKUP($A26,Partner_Voice!$A:$A,Partner_Voice!M:M,"",0)="Free","Free",IF(XLOOKUP($A26,Partner_Voice!$A:$A,Partner_Voice!M:M,"",0)="VL","VL",IF(XLOOKUP($A26,Partner_Voice!$A:$A,Partner_Voice!M:M,"",0)="ATT","ATT",XLOOKUP($A26,Partner_Voice!$A:$A,Partner_Voice!M:M,"",0))))</f>
        <v>0.4583333333</v>
      </c>
      <c r="N26" s="42">
        <f t="array" ref="N26">IF(XLOOKUP($A26,Partner_Voice!$A:$A,Partner_Voice!N:N,"",0)="Free","Free",IF(XLOOKUP($A26,Partner_Voice!$A:$A,Partner_Voice!N:N,"",0)="VL","VL",IF(XLOOKUP($A26,Partner_Voice!$A:$A,Partner_Voice!N:N,"",0)="ATT","ATT",XLOOKUP($A26,Partner_Voice!$A:$A,Partner_Voice!N:N,"",0))))</f>
        <v>0.4583333333</v>
      </c>
      <c r="O26" s="42" t="str">
        <f t="array" ref="O26">IF(XLOOKUP($A26,Partner_Voice!$A:$A,Partner_Voice!O:O,"",0)="Free","Free",IF(XLOOKUP($A26,Partner_Voice!$A:$A,Partner_Voice!O:O,"",0)="VL","VL",IF(XLOOKUP($A26,Partner_Voice!$A:$A,Partner_Voice!O:O,"",0)="ATT","ATT",XLOOKUP($A26,Partner_Voice!$A:$A,Partner_Voice!O:O,"",0))))</f>
        <v>Free</v>
      </c>
      <c r="P26" s="42">
        <f t="array" ref="P26">IF(XLOOKUP($A26,Partner_Voice!$A:$A,Partner_Voice!P:P,"",0)="Free","Free",IF(XLOOKUP($A26,Partner_Voice!$A:$A,Partner_Voice!P:P,"",0)="VL","VL",IF(XLOOKUP($A26,Partner_Voice!$A:$A,Partner_Voice!P:P,"",0)="ATT","ATT",XLOOKUP($A26,Partner_Voice!$A:$A,Partner_Voice!P:P,"",0))))</f>
        <v>0.4583333333</v>
      </c>
      <c r="Q26" s="42">
        <f t="array" ref="Q26">IF(XLOOKUP($A26,Partner_Voice!$A:$A,Partner_Voice!Q:Q,"",0)="Free","Free",IF(XLOOKUP($A26,Partner_Voice!$A:$A,Partner_Voice!Q:Q,"",0)="VL","VL",IF(XLOOKUP($A26,Partner_Voice!$A:$A,Partner_Voice!Q:Q,"",0)="ATT","ATT",XLOOKUP($A26,Partner_Voice!$A:$A,Partner_Voice!Q:Q,"",0))))</f>
        <v>0.4583333333</v>
      </c>
      <c r="R26" s="43"/>
      <c r="S26" s="42">
        <f t="array" ref="S26">IF(XLOOKUP($A26,Partner_Voice!$A:$A,Partner_Voice!S:S,"",0)="Free","Free",IF(XLOOKUP($A26,Partner_Voice!$A:$A,Partner_Voice!S:S,"",0)="VL","VL",IF(XLOOKUP($A26,Partner_Voice!$A:$A,Partner_Voice!S:S,"",0)="ATT","ATT",XLOOKUP($A26,Partner_Voice!$A:$A,Partner_Voice!S:S,"",0))))</f>
        <v>0.4583333333</v>
      </c>
      <c r="T26" s="42">
        <f t="array" ref="T26">IF(XLOOKUP($A26,Partner_Voice!$A:$A,Partner_Voice!T:T,"",0)="Free","Free",IF(XLOOKUP($A26,Partner_Voice!$A:$A,Partner_Voice!T:T,"",0)="VL","VL",IF(XLOOKUP($A26,Partner_Voice!$A:$A,Partner_Voice!T:T,"",0)="ATT","ATT",XLOOKUP($A26,Partner_Voice!$A:$A,Partner_Voice!T:T,"",0))))</f>
        <v>0.4583333333</v>
      </c>
      <c r="U26" s="42">
        <f t="array" ref="U26">IF(XLOOKUP($A26,Partner_Voice!$A:$A,Partner_Voice!U:U,"",0)="Free","Free",IF(XLOOKUP($A26,Partner_Voice!$A:$A,Partner_Voice!U:U,"",0)="VL","VL",IF(XLOOKUP($A26,Partner_Voice!$A:$A,Partner_Voice!U:U,"",0)="ATT","ATT",XLOOKUP($A26,Partner_Voice!$A:$A,Partner_Voice!U:U,"",0))))</f>
        <v>0.4583333333</v>
      </c>
      <c r="V26" s="42" t="str">
        <f t="array" ref="V26">IF(XLOOKUP($A26,Partner_Voice!$A:$A,Partner_Voice!V:V,"",0)="Free","Free",IF(XLOOKUP($A26,Partner_Voice!$A:$A,Partner_Voice!V:V,"",0)="VL","VL",IF(XLOOKUP($A26,Partner_Voice!$A:$A,Partner_Voice!V:V,"",0)="ATT","ATT",XLOOKUP($A26,Partner_Voice!$A:$A,Partner_Voice!V:V,"",0))))</f>
        <v>Free</v>
      </c>
      <c r="W26" s="42">
        <f t="array" ref="W26">IF(XLOOKUP($A26,Partner_Voice!$A:$A,Partner_Voice!W:W,"",0)="Free","Free",IF(XLOOKUP($A26,Partner_Voice!$A:$A,Partner_Voice!W:W,"",0)="VL","VL",IF(XLOOKUP($A26,Partner_Voice!$A:$A,Partner_Voice!W:W,"",0)="ATT","ATT",XLOOKUP($A26,Partner_Voice!$A:$A,Partner_Voice!W:W,"",0))))</f>
        <v>0.4583333333</v>
      </c>
      <c r="X26" s="42">
        <f t="array" ref="X26">IF(XLOOKUP($A26,Partner_Voice!$A:$A,Partner_Voice!X:X,"",0)="Free","Free",IF(XLOOKUP($A26,Partner_Voice!$A:$A,Partner_Voice!X:X,"",0)="VL","VL",IF(XLOOKUP($A26,Partner_Voice!$A:$A,Partner_Voice!X:X,"",0)="ATT","ATT",XLOOKUP($A26,Partner_Voice!$A:$A,Partner_Voice!X:X,"",0))))</f>
        <v>0.4583333333</v>
      </c>
      <c r="Y26" s="43"/>
      <c r="Z26" s="42">
        <f t="array" ref="Z26">IF(XLOOKUP($A26,Partner_Voice!$A:$A,Partner_Voice!Z:Z,"",0)="Free","Free",IF(XLOOKUP($A26,Partner_Voice!$A:$A,Partner_Voice!Z:Z,"",0)="VL","VL",IF(XLOOKUP($A26,Partner_Voice!$A:$A,Partner_Voice!Z:Z,"",0)="ATT","ATT",XLOOKUP($A26,Partner_Voice!$A:$A,Partner_Voice!Z:Z,"",0))))</f>
        <v>0.4583333333</v>
      </c>
      <c r="AA26" s="42">
        <f t="array" ref="AA26">IF(XLOOKUP($A26,Partner_Voice!$A:$A,Partner_Voice!AA:AA,"",0)="Free","Free",IF(XLOOKUP($A26,Partner_Voice!$A:$A,Partner_Voice!AA:AA,"",0)="VL","VL",IF(XLOOKUP($A26,Partner_Voice!$A:$A,Partner_Voice!AA:AA,"",0)="ATT","ATT",XLOOKUP($A26,Partner_Voice!$A:$A,Partner_Voice!AA:AA,"",0))))</f>
        <v>0.4583333333</v>
      </c>
      <c r="AB26" s="42">
        <f t="array" ref="AB26">IF(XLOOKUP($A26,Partner_Voice!$A:$A,Partner_Voice!AB:AB,"",0)="Free","Free",IF(XLOOKUP($A26,Partner_Voice!$A:$A,Partner_Voice!AB:AB,"",0)="VL","VL",IF(XLOOKUP($A26,Partner_Voice!$A:$A,Partner_Voice!AB:AB,"",0)="ATT","ATT",XLOOKUP($A26,Partner_Voice!$A:$A,Partner_Voice!AB:AB,"",0))))</f>
        <v>0.4583333333</v>
      </c>
      <c r="AC26" s="42" t="str">
        <f t="array" ref="AC26">IF(XLOOKUP($A26,Partner_Voice!$A:$A,Partner_Voice!AC:AC,"",0)="Free","Free",IF(XLOOKUP($A26,Partner_Voice!$A:$A,Partner_Voice!AC:AC,"",0)="VL","VL",IF(XLOOKUP($A26,Partner_Voice!$A:$A,Partner_Voice!AC:AC,"",0)="ATT","ATT",XLOOKUP($A26,Partner_Voice!$A:$A,Partner_Voice!AC:AC,"",0))))</f>
        <v>Free</v>
      </c>
      <c r="AD26" s="42">
        <f t="array" ref="AD26">IF(XLOOKUP($A26,Partner_Voice!$A:$A,Partner_Voice!AD:AD,"",0)="Free","Free",IF(XLOOKUP($A26,Partner_Voice!$A:$A,Partner_Voice!AD:AD,"",0)="VL","VL",IF(XLOOKUP($A26,Partner_Voice!$A:$A,Partner_Voice!AD:AD,"",0)="ATT","ATT",XLOOKUP($A26,Partner_Voice!$A:$A,Partner_Voice!AD:AD,"",0))))</f>
        <v>0.4583333333</v>
      </c>
      <c r="AE26" s="42">
        <f t="array" ref="AE26">IF(XLOOKUP($A26,Partner_Voice!$A:$A,Partner_Voice!AE:AE,"",0)="Free","Free",IF(XLOOKUP($A26,Partner_Voice!$A:$A,Partner_Voice!AE:AE,"",0)="VL","VL",IF(XLOOKUP($A26,Partner_Voice!$A:$A,Partner_Voice!AE:AE,"",0)="ATT","ATT",XLOOKUP($A26,Partner_Voice!$A:$A,Partner_Voice!AE:AE,"",0))))</f>
        <v>0.4583333333</v>
      </c>
      <c r="AF26" s="69"/>
      <c r="AG26" s="42">
        <f t="array" ref="AG26">IF(XLOOKUP($A26,Partner_Voice!$A:$A,Partner_Voice!AG:AG,"",0)="Free","Free",IF(XLOOKUP($A26,Partner_Voice!$A:$A,Partner_Voice!AG:AG,"",0)="VL","VL",IF(XLOOKUP($A26,Partner_Voice!$A:$A,Partner_Voice!AG:AG,"",0)="ATT","ATT",XLOOKUP($A26,Partner_Voice!$A:$A,Partner_Voice!AG:AG,"",0))))</f>
        <v>0.4583333333</v>
      </c>
      <c r="AH26" s="42">
        <f t="array" ref="AH26">IF(XLOOKUP($A26,Partner_Voice!$A:$A,Partner_Voice!AH:AH,"",0)="Free","Free",IF(XLOOKUP($A26,Partner_Voice!$A:$A,Partner_Voice!AH:AH,"",0)="VL","VL",IF(XLOOKUP($A26,Partner_Voice!$A:$A,Partner_Voice!AH:AH,"",0)="ATT","ATT",XLOOKUP($A26,Partner_Voice!$A:$A,Partner_Voice!AH:AH,"",0))))</f>
        <v>0.4583333333</v>
      </c>
      <c r="AI26" s="42">
        <f t="array" ref="AI26">IF(XLOOKUP($A26,Partner_Voice!$A:$A,Partner_Voice!AI:AI,"",0)="Free","Free",IF(XLOOKUP($A26,Partner_Voice!$A:$A,Partner_Voice!AI:AI,"",0)="VL","VL",IF(XLOOKUP($A26,Partner_Voice!$A:$A,Partner_Voice!AI:AI,"",0)="ATT","ATT",XLOOKUP($A26,Partner_Voice!$A:$A,Partner_Voice!AI:AI,"",0))))</f>
        <v>0.4583333333</v>
      </c>
      <c r="AJ26" s="42" t="str">
        <f t="array" ref="AJ26">IF(XLOOKUP($A26,Partner_Voice!$A:$A,Partner_Voice!AJ:AJ,"",0)="Free","Free",IF(XLOOKUP($A26,Partner_Voice!$A:$A,Partner_Voice!AJ:AJ,"",0)="VL","VL",IF(XLOOKUP($A26,Partner_Voice!$A:$A,Partner_Voice!AJ:AJ,"",0)="ATT","ATT",XLOOKUP($A26,Partner_Voice!$A:$A,Partner_Voice!AJ:AJ,"",0))))</f>
        <v>Free</v>
      </c>
      <c r="AK26" s="42">
        <f t="array" ref="AK26">IF(XLOOKUP($A26,Partner_Voice!$A:$A,Partner_Voice!AK:AK,"",0)="Free","Free",IF(XLOOKUP($A26,Partner_Voice!$A:$A,Partner_Voice!AK:AK,"",0)="VL","VL",IF(XLOOKUP($A26,Partner_Voice!$A:$A,Partner_Voice!AK:AK,"",0)="ATT","ATT",XLOOKUP($A26,Partner_Voice!$A:$A,Partner_Voice!AK:AK,"",0))))</f>
        <v>0.4583333333</v>
      </c>
      <c r="AL26" s="42">
        <f t="array" ref="AL26">IF(XLOOKUP($A26,Partner_Voice!$A:$A,Partner_Voice!AL:AL,"",0)="Free","Free",IF(XLOOKUP($A26,Partner_Voice!$A:$A,Partner_Voice!AL:AL,"",0)="VL","VL",IF(XLOOKUP($A26,Partner_Voice!$A:$A,Partner_Voice!AL:AL,"",0)="ATT","ATT",XLOOKUP($A26,Partner_Voice!$A:$A,Partner_Voice!AL:AL,"",0))))</f>
        <v>0.4583333333</v>
      </c>
      <c r="AM26" s="42"/>
    </row>
    <row r="27">
      <c r="A27" s="47" t="s">
        <v>33</v>
      </c>
      <c r="B27" s="35" t="str">
        <f t="array" ref="B27">XLOOKUP(A27,Roster!F:F,Roster!A:A,"")</f>
        <v>Daniel Bustamante</v>
      </c>
      <c r="C27" s="35" t="str">
        <f t="array" ref="C27">XLOOKUP(A27,Roster!F:F,Roster!B:B,"")</f>
        <v>Gisel Moya</v>
      </c>
      <c r="D27" s="70"/>
      <c r="E27" s="42">
        <f t="array" ref="E27">IF(XLOOKUP($A27,Partner_Voice!$A:$A,Partner_Voice!E:E,"",0)="Free","Free",IF(XLOOKUP($A27,Partner_Voice!$A:$A,Partner_Voice!E:E,"",0)="VL","VL",IF(XLOOKUP($A27,Partner_Voice!$A:$A,Partner_Voice!E:E,"",0)="ATT","ATT",XLOOKUP($A27,Partner_Voice!$A:$A,Partner_Voice!E:E,"",0))))</f>
        <v>0.4583333333</v>
      </c>
      <c r="F27" s="42">
        <f t="array" ref="F27">IF(XLOOKUP($A27,Partner_Voice!$A:$A,Partner_Voice!F:F,"",0)="Free","Free",IF(XLOOKUP($A27,Partner_Voice!$A:$A,Partner_Voice!F:F,"",0)="VL","VL",IF(XLOOKUP($A27,Partner_Voice!$A:$A,Partner_Voice!F:F,"",0)="ATT","ATT",XLOOKUP($A27,Partner_Voice!$A:$A,Partner_Voice!F:F,"",0))))</f>
        <v>0.4583333333</v>
      </c>
      <c r="G27" s="42" t="str">
        <f t="array" ref="G27">IF(XLOOKUP($A27,Partner_Voice!$A:$A,Partner_Voice!G:G,"",0)="Free","Free",IF(XLOOKUP($A27,Partner_Voice!$A:$A,Partner_Voice!G:G,"",0)="VL","VL",IF(XLOOKUP($A27,Partner_Voice!$A:$A,Partner_Voice!G:G,"",0)="ATT","ATT",XLOOKUP($A27,Partner_Voice!$A:$A,Partner_Voice!G:G,"",0))))</f>
        <v>Free</v>
      </c>
      <c r="H27" s="42">
        <f t="array" ref="H27">IF(XLOOKUP($A27,Partner_Voice!$A:$A,Partner_Voice!H:H,"",0)="Free","Free",IF(XLOOKUP($A27,Partner_Voice!$A:$A,Partner_Voice!H:H,"",0)="VL","VL",IF(XLOOKUP($A27,Partner_Voice!$A:$A,Partner_Voice!H:H,"",0)="ATT","ATT",XLOOKUP($A27,Partner_Voice!$A:$A,Partner_Voice!H:H,"",0))))</f>
        <v>0.4583333333</v>
      </c>
      <c r="I27" s="42">
        <f t="array" ref="I27">IF(XLOOKUP($A27,Partner_Voice!$A:$A,Partner_Voice!I:I,"",0)="Free","Free",IF(XLOOKUP($A27,Partner_Voice!$A:$A,Partner_Voice!I:I,"",0)="VL","VL",IF(XLOOKUP($A27,Partner_Voice!$A:$A,Partner_Voice!I:I,"",0)="ATT","ATT",XLOOKUP($A27,Partner_Voice!$A:$A,Partner_Voice!I:I,"",0))))</f>
        <v>0.4583333333</v>
      </c>
      <c r="J27" s="42">
        <f t="array" ref="J27">IF(XLOOKUP($A27,Partner_Voice!$A:$A,Partner_Voice!J:J,"",0)="Free","Free",IF(XLOOKUP($A27,Partner_Voice!$A:$A,Partner_Voice!J:J,"",0)="VL","VL",IF(XLOOKUP($A27,Partner_Voice!$A:$A,Partner_Voice!J:J,"",0)="ATT","ATT",XLOOKUP($A27,Partner_Voice!$A:$A,Partner_Voice!J:J,"",0))))</f>
        <v>0.4583333333</v>
      </c>
      <c r="K27" s="42"/>
      <c r="L27" s="42">
        <f t="array" ref="L27">IF(XLOOKUP($A27,Partner_Voice!$A:$A,Partner_Voice!L:L,"",0)="Free","Free",IF(XLOOKUP($A27,Partner_Voice!$A:$A,Partner_Voice!L:L,"",0)="VL","VL",IF(XLOOKUP($A27,Partner_Voice!$A:$A,Partner_Voice!L:L,"",0)="ATT","ATT",XLOOKUP($A27,Partner_Voice!$A:$A,Partner_Voice!L:L,"",0))))</f>
        <v>0.4583333333</v>
      </c>
      <c r="M27" s="42">
        <f t="array" ref="M27">IF(XLOOKUP($A27,Partner_Voice!$A:$A,Partner_Voice!M:M,"",0)="Free","Free",IF(XLOOKUP($A27,Partner_Voice!$A:$A,Partner_Voice!M:M,"",0)="VL","VL",IF(XLOOKUP($A27,Partner_Voice!$A:$A,Partner_Voice!M:M,"",0)="ATT","ATT",XLOOKUP($A27,Partner_Voice!$A:$A,Partner_Voice!M:M,"",0))))</f>
        <v>0.4583333333</v>
      </c>
      <c r="N27" s="42" t="str">
        <f t="array" ref="N27">IF(XLOOKUP($A27,Partner_Voice!$A:$A,Partner_Voice!N:N,"",0)="Free","Free",IF(XLOOKUP($A27,Partner_Voice!$A:$A,Partner_Voice!N:N,"",0)="VL","VL",IF(XLOOKUP($A27,Partner_Voice!$A:$A,Partner_Voice!N:N,"",0)="ATT","ATT",XLOOKUP($A27,Partner_Voice!$A:$A,Partner_Voice!N:N,"",0))))</f>
        <v>Free</v>
      </c>
      <c r="O27" s="42">
        <f t="array" ref="O27">IF(XLOOKUP($A27,Partner_Voice!$A:$A,Partner_Voice!O:O,"",0)="Free","Free",IF(XLOOKUP($A27,Partner_Voice!$A:$A,Partner_Voice!O:O,"",0)="VL","VL",IF(XLOOKUP($A27,Partner_Voice!$A:$A,Partner_Voice!O:O,"",0)="ATT","ATT",XLOOKUP($A27,Partner_Voice!$A:$A,Partner_Voice!O:O,"",0))))</f>
        <v>0.4583333333</v>
      </c>
      <c r="P27" s="42">
        <f t="array" ref="P27">IF(XLOOKUP($A27,Partner_Voice!$A:$A,Partner_Voice!P:P,"",0)="Free","Free",IF(XLOOKUP($A27,Partner_Voice!$A:$A,Partner_Voice!P:P,"",0)="VL","VL",IF(XLOOKUP($A27,Partner_Voice!$A:$A,Partner_Voice!P:P,"",0)="ATT","ATT",XLOOKUP($A27,Partner_Voice!$A:$A,Partner_Voice!P:P,"",0))))</f>
        <v>0.4583333333</v>
      </c>
      <c r="Q27" s="42">
        <f t="array" ref="Q27">IF(XLOOKUP($A27,Partner_Voice!$A:$A,Partner_Voice!Q:Q,"",0)="Free","Free",IF(XLOOKUP($A27,Partner_Voice!$A:$A,Partner_Voice!Q:Q,"",0)="VL","VL",IF(XLOOKUP($A27,Partner_Voice!$A:$A,Partner_Voice!Q:Q,"",0)="ATT","ATT",XLOOKUP($A27,Partner_Voice!$A:$A,Partner_Voice!Q:Q,"",0))))</f>
        <v>0.4583333333</v>
      </c>
      <c r="R27" s="43"/>
      <c r="S27" s="42">
        <f t="array" ref="S27">IF(XLOOKUP($A27,Partner_Voice!$A:$A,Partner_Voice!S:S,"",0)="Free","Free",IF(XLOOKUP($A27,Partner_Voice!$A:$A,Partner_Voice!S:S,"",0)="VL","VL",IF(XLOOKUP($A27,Partner_Voice!$A:$A,Partner_Voice!S:S,"",0)="ATT","ATT",XLOOKUP($A27,Partner_Voice!$A:$A,Partner_Voice!S:S,"",0))))</f>
        <v>0.4583333333</v>
      </c>
      <c r="T27" s="42">
        <f t="array" ref="T27">IF(XLOOKUP($A27,Partner_Voice!$A:$A,Partner_Voice!T:T,"",0)="Free","Free",IF(XLOOKUP($A27,Partner_Voice!$A:$A,Partner_Voice!T:T,"",0)="VL","VL",IF(XLOOKUP($A27,Partner_Voice!$A:$A,Partner_Voice!T:T,"",0)="ATT","ATT",XLOOKUP($A27,Partner_Voice!$A:$A,Partner_Voice!T:T,"",0))))</f>
        <v>0.4583333333</v>
      </c>
      <c r="U27" s="42" t="str">
        <f t="array" ref="U27">IF(XLOOKUP($A27,Partner_Voice!$A:$A,Partner_Voice!U:U,"",0)="Free","Free",IF(XLOOKUP($A27,Partner_Voice!$A:$A,Partner_Voice!U:U,"",0)="VL","VL",IF(XLOOKUP($A27,Partner_Voice!$A:$A,Partner_Voice!U:U,"",0)="ATT","ATT",XLOOKUP($A27,Partner_Voice!$A:$A,Partner_Voice!U:U,"",0))))</f>
        <v>Free</v>
      </c>
      <c r="V27" s="42">
        <f t="array" ref="V27">IF(XLOOKUP($A27,Partner_Voice!$A:$A,Partner_Voice!V:V,"",0)="Free","Free",IF(XLOOKUP($A27,Partner_Voice!$A:$A,Partner_Voice!V:V,"",0)="VL","VL",IF(XLOOKUP($A27,Partner_Voice!$A:$A,Partner_Voice!V:V,"",0)="ATT","ATT",XLOOKUP($A27,Partner_Voice!$A:$A,Partner_Voice!V:V,"",0))))</f>
        <v>0.4583333333</v>
      </c>
      <c r="W27" s="42">
        <f t="array" ref="W27">IF(XLOOKUP($A27,Partner_Voice!$A:$A,Partner_Voice!W:W,"",0)="Free","Free",IF(XLOOKUP($A27,Partner_Voice!$A:$A,Partner_Voice!W:W,"",0)="VL","VL",IF(XLOOKUP($A27,Partner_Voice!$A:$A,Partner_Voice!W:W,"",0)="ATT","ATT",XLOOKUP($A27,Partner_Voice!$A:$A,Partner_Voice!W:W,"",0))))</f>
        <v>0.4583333333</v>
      </c>
      <c r="X27" s="42">
        <f t="array" ref="X27">IF(XLOOKUP($A27,Partner_Voice!$A:$A,Partner_Voice!X:X,"",0)="Free","Free",IF(XLOOKUP($A27,Partner_Voice!$A:$A,Partner_Voice!X:X,"",0)="VL","VL",IF(XLOOKUP($A27,Partner_Voice!$A:$A,Partner_Voice!X:X,"",0)="ATT","ATT",XLOOKUP($A27,Partner_Voice!$A:$A,Partner_Voice!X:X,"",0))))</f>
        <v>0.4583333333</v>
      </c>
      <c r="Y27" s="43"/>
      <c r="Z27" s="42">
        <f t="array" ref="Z27">IF(XLOOKUP($A27,Partner_Voice!$A:$A,Partner_Voice!Z:Z,"",0)="Free","Free",IF(XLOOKUP($A27,Partner_Voice!$A:$A,Partner_Voice!Z:Z,"",0)="VL","VL",IF(XLOOKUP($A27,Partner_Voice!$A:$A,Partner_Voice!Z:Z,"",0)="ATT","ATT",XLOOKUP($A27,Partner_Voice!$A:$A,Partner_Voice!Z:Z,"",0))))</f>
        <v>0.4583333333</v>
      </c>
      <c r="AA27" s="42">
        <f t="array" ref="AA27">IF(XLOOKUP($A27,Partner_Voice!$A:$A,Partner_Voice!AA:AA,"",0)="Free","Free",IF(XLOOKUP($A27,Partner_Voice!$A:$A,Partner_Voice!AA:AA,"",0)="VL","VL",IF(XLOOKUP($A27,Partner_Voice!$A:$A,Partner_Voice!AA:AA,"",0)="ATT","ATT",XLOOKUP($A27,Partner_Voice!$A:$A,Partner_Voice!AA:AA,"",0))))</f>
        <v>0.4583333333</v>
      </c>
      <c r="AB27" s="42" t="str">
        <f t="array" ref="AB27">IF(XLOOKUP($A27,Partner_Voice!$A:$A,Partner_Voice!AB:AB,"",0)="Free","Free",IF(XLOOKUP($A27,Partner_Voice!$A:$A,Partner_Voice!AB:AB,"",0)="VL","VL",IF(XLOOKUP($A27,Partner_Voice!$A:$A,Partner_Voice!AB:AB,"",0)="ATT","ATT",XLOOKUP($A27,Partner_Voice!$A:$A,Partner_Voice!AB:AB,"",0))))</f>
        <v>Free</v>
      </c>
      <c r="AC27" s="42">
        <f t="array" ref="AC27">IF(XLOOKUP($A27,Partner_Voice!$A:$A,Partner_Voice!AC:AC,"",0)="Free","Free",IF(XLOOKUP($A27,Partner_Voice!$A:$A,Partner_Voice!AC:AC,"",0)="VL","VL",IF(XLOOKUP($A27,Partner_Voice!$A:$A,Partner_Voice!AC:AC,"",0)="ATT","ATT",XLOOKUP($A27,Partner_Voice!$A:$A,Partner_Voice!AC:AC,"",0))))</f>
        <v>0.4583333333</v>
      </c>
      <c r="AD27" s="42">
        <f t="array" ref="AD27">IF(XLOOKUP($A27,Partner_Voice!$A:$A,Partner_Voice!AD:AD,"",0)="Free","Free",IF(XLOOKUP($A27,Partner_Voice!$A:$A,Partner_Voice!AD:AD,"",0)="VL","VL",IF(XLOOKUP($A27,Partner_Voice!$A:$A,Partner_Voice!AD:AD,"",0)="ATT","ATT",XLOOKUP($A27,Partner_Voice!$A:$A,Partner_Voice!AD:AD,"",0))))</f>
        <v>0.4583333333</v>
      </c>
      <c r="AE27" s="42">
        <f t="array" ref="AE27">IF(XLOOKUP($A27,Partner_Voice!$A:$A,Partner_Voice!AE:AE,"",0)="Free","Free",IF(XLOOKUP($A27,Partner_Voice!$A:$A,Partner_Voice!AE:AE,"",0)="VL","VL",IF(XLOOKUP($A27,Partner_Voice!$A:$A,Partner_Voice!AE:AE,"",0)="ATT","ATT",XLOOKUP($A27,Partner_Voice!$A:$A,Partner_Voice!AE:AE,"",0))))</f>
        <v>0.4583333333</v>
      </c>
      <c r="AF27" s="69"/>
      <c r="AG27" s="42">
        <f t="array" ref="AG27">IF(XLOOKUP($A27,Partner_Voice!$A:$A,Partner_Voice!AG:AG,"",0)="Free","Free",IF(XLOOKUP($A27,Partner_Voice!$A:$A,Partner_Voice!AG:AG,"",0)="VL","VL",IF(XLOOKUP($A27,Partner_Voice!$A:$A,Partner_Voice!AG:AG,"",0)="ATT","ATT",XLOOKUP($A27,Partner_Voice!$A:$A,Partner_Voice!AG:AG,"",0))))</f>
        <v>0.4583333333</v>
      </c>
      <c r="AH27" s="42">
        <f t="array" ref="AH27">IF(XLOOKUP($A27,Partner_Voice!$A:$A,Partner_Voice!AH:AH,"",0)="Free","Free",IF(XLOOKUP($A27,Partner_Voice!$A:$A,Partner_Voice!AH:AH,"",0)="VL","VL",IF(XLOOKUP($A27,Partner_Voice!$A:$A,Partner_Voice!AH:AH,"",0)="ATT","ATT",XLOOKUP($A27,Partner_Voice!$A:$A,Partner_Voice!AH:AH,"",0))))</f>
        <v>0.4583333333</v>
      </c>
      <c r="AI27" s="42" t="str">
        <f t="array" ref="AI27">IF(XLOOKUP($A27,Partner_Voice!$A:$A,Partner_Voice!AI:AI,"",0)="Free","Free",IF(XLOOKUP($A27,Partner_Voice!$A:$A,Partner_Voice!AI:AI,"",0)="VL","VL",IF(XLOOKUP($A27,Partner_Voice!$A:$A,Partner_Voice!AI:AI,"",0)="ATT","ATT",XLOOKUP($A27,Partner_Voice!$A:$A,Partner_Voice!AI:AI,"",0))))</f>
        <v>Free</v>
      </c>
      <c r="AJ27" s="42">
        <f t="array" ref="AJ27">IF(XLOOKUP($A27,Partner_Voice!$A:$A,Partner_Voice!AJ:AJ,"",0)="Free","Free",IF(XLOOKUP($A27,Partner_Voice!$A:$A,Partner_Voice!AJ:AJ,"",0)="VL","VL",IF(XLOOKUP($A27,Partner_Voice!$A:$A,Partner_Voice!AJ:AJ,"",0)="ATT","ATT",XLOOKUP($A27,Partner_Voice!$A:$A,Partner_Voice!AJ:AJ,"",0))))</f>
        <v>0.4583333333</v>
      </c>
      <c r="AK27" s="42">
        <f t="array" ref="AK27">IF(XLOOKUP($A27,Partner_Voice!$A:$A,Partner_Voice!AK:AK,"",0)="Free","Free",IF(XLOOKUP($A27,Partner_Voice!$A:$A,Partner_Voice!AK:AK,"",0)="VL","VL",IF(XLOOKUP($A27,Partner_Voice!$A:$A,Partner_Voice!AK:AK,"",0)="ATT","ATT",XLOOKUP($A27,Partner_Voice!$A:$A,Partner_Voice!AK:AK,"",0))))</f>
        <v>0.4583333333</v>
      </c>
      <c r="AL27" s="42">
        <f t="array" ref="AL27">IF(XLOOKUP($A27,Partner_Voice!$A:$A,Partner_Voice!AL:AL,"",0)="Free","Free",IF(XLOOKUP($A27,Partner_Voice!$A:$A,Partner_Voice!AL:AL,"",0)="VL","VL",IF(XLOOKUP($A27,Partner_Voice!$A:$A,Partner_Voice!AL:AL,"",0)="ATT","ATT",XLOOKUP($A27,Partner_Voice!$A:$A,Partner_Voice!AL:AL,"",0))))</f>
        <v>0.4583333333</v>
      </c>
      <c r="AM27" s="42"/>
    </row>
    <row r="28">
      <c r="A28" s="47" t="s">
        <v>34</v>
      </c>
      <c r="B28" s="35" t="str">
        <f t="array" ref="B28">XLOOKUP(A28,Roster!F:F,Roster!A:A,"")</f>
        <v>Daniel Bustamante</v>
      </c>
      <c r="C28" s="35" t="str">
        <f t="array" ref="C28">XLOOKUP(A28,Roster!F:F,Roster!B:B,"")</f>
        <v>Jasam Mejia</v>
      </c>
      <c r="D28" s="70"/>
      <c r="E28" s="42">
        <f t="array" ref="E28">IF(XLOOKUP($A28,Partner_Voice!$A:$A,Partner_Voice!E:E,"",0)="Free","Free",IF(XLOOKUP($A28,Partner_Voice!$A:$A,Partner_Voice!E:E,"",0)="VL","VL",IF(XLOOKUP($A28,Partner_Voice!$A:$A,Partner_Voice!E:E,"",0)="ATT","ATT",XLOOKUP($A28,Partner_Voice!$A:$A,Partner_Voice!E:E,"",0))))</f>
        <v>0.4583333333</v>
      </c>
      <c r="F28" s="42">
        <f t="array" ref="F28">IF(XLOOKUP($A28,Partner_Voice!$A:$A,Partner_Voice!F:F,"",0)="Free","Free",IF(XLOOKUP($A28,Partner_Voice!$A:$A,Partner_Voice!F:F,"",0)="VL","VL",IF(XLOOKUP($A28,Partner_Voice!$A:$A,Partner_Voice!F:F,"",0)="ATT","ATT",XLOOKUP($A28,Partner_Voice!$A:$A,Partner_Voice!F:F,"",0))))</f>
        <v>0.5</v>
      </c>
      <c r="G28" s="42">
        <f t="array" ref="G28">IF(XLOOKUP($A28,Partner_Voice!$A:$A,Partner_Voice!G:G,"",0)="Free","Free",IF(XLOOKUP($A28,Partner_Voice!$A:$A,Partner_Voice!G:G,"",0)="VL","VL",IF(XLOOKUP($A28,Partner_Voice!$A:$A,Partner_Voice!G:G,"",0)="ATT","ATT",XLOOKUP($A28,Partner_Voice!$A:$A,Partner_Voice!G:G,"",0))))</f>
        <v>0.4583333333</v>
      </c>
      <c r="H28" s="42">
        <f t="array" ref="H28">IF(XLOOKUP($A28,Partner_Voice!$A:$A,Partner_Voice!H:H,"",0)="Free","Free",IF(XLOOKUP($A28,Partner_Voice!$A:$A,Partner_Voice!H:H,"",0)="VL","VL",IF(XLOOKUP($A28,Partner_Voice!$A:$A,Partner_Voice!H:H,"",0)="ATT","ATT",XLOOKUP($A28,Partner_Voice!$A:$A,Partner_Voice!H:H,"",0))))</f>
        <v>0.4583333333</v>
      </c>
      <c r="I28" s="42" t="str">
        <f t="array" ref="I28">IF(XLOOKUP($A28,Partner_Voice!$A:$A,Partner_Voice!I:I,"",0)="Free","Free",IF(XLOOKUP($A28,Partner_Voice!$A:$A,Partner_Voice!I:I,"",0)="VL","VL",IF(XLOOKUP($A28,Partner_Voice!$A:$A,Partner_Voice!I:I,"",0)="ATT","ATT",XLOOKUP($A28,Partner_Voice!$A:$A,Partner_Voice!I:I,"",0))))</f>
        <v>Free</v>
      </c>
      <c r="J28" s="42">
        <f t="array" ref="J28">IF(XLOOKUP($A28,Partner_Voice!$A:$A,Partner_Voice!J:J,"",0)="Free","Free",IF(XLOOKUP($A28,Partner_Voice!$A:$A,Partner_Voice!J:J,"",0)="VL","VL",IF(XLOOKUP($A28,Partner_Voice!$A:$A,Partner_Voice!J:J,"",0)="ATT","ATT",XLOOKUP($A28,Partner_Voice!$A:$A,Partner_Voice!J:J,"",0))))</f>
        <v>0.4166666667</v>
      </c>
      <c r="K28" s="42"/>
      <c r="L28" s="42">
        <f t="array" ref="L28">IF(XLOOKUP($A28,Partner_Voice!$A:$A,Partner_Voice!L:L,"",0)="Free","Free",IF(XLOOKUP($A28,Partner_Voice!$A:$A,Partner_Voice!L:L,"",0)="VL","VL",IF(XLOOKUP($A28,Partner_Voice!$A:$A,Partner_Voice!L:L,"",0)="ATT","ATT",XLOOKUP($A28,Partner_Voice!$A:$A,Partner_Voice!L:L,"",0))))</f>
        <v>0.4583333333</v>
      </c>
      <c r="M28" s="42">
        <f t="array" ref="M28">IF(XLOOKUP($A28,Partner_Voice!$A:$A,Partner_Voice!M:M,"",0)="Free","Free",IF(XLOOKUP($A28,Partner_Voice!$A:$A,Partner_Voice!M:M,"",0)="VL","VL",IF(XLOOKUP($A28,Partner_Voice!$A:$A,Partner_Voice!M:M,"",0)="ATT","ATT",XLOOKUP($A28,Partner_Voice!$A:$A,Partner_Voice!M:M,"",0))))</f>
        <v>0.5</v>
      </c>
      <c r="N28" s="42">
        <f t="array" ref="N28">IF(XLOOKUP($A28,Partner_Voice!$A:$A,Partner_Voice!N:N,"",0)="Free","Free",IF(XLOOKUP($A28,Partner_Voice!$A:$A,Partner_Voice!N:N,"",0)="VL","VL",IF(XLOOKUP($A28,Partner_Voice!$A:$A,Partner_Voice!N:N,"",0)="ATT","ATT",XLOOKUP($A28,Partner_Voice!$A:$A,Partner_Voice!N:N,"",0))))</f>
        <v>0.4583333333</v>
      </c>
      <c r="O28" s="42">
        <f t="array" ref="O28">IF(XLOOKUP($A28,Partner_Voice!$A:$A,Partner_Voice!O:O,"",0)="Free","Free",IF(XLOOKUP($A28,Partner_Voice!$A:$A,Partner_Voice!O:O,"",0)="VL","VL",IF(XLOOKUP($A28,Partner_Voice!$A:$A,Partner_Voice!O:O,"",0)="ATT","ATT",XLOOKUP($A28,Partner_Voice!$A:$A,Partner_Voice!O:O,"",0))))</f>
        <v>0.4583333333</v>
      </c>
      <c r="P28" s="42" t="str">
        <f t="array" ref="P28">IF(XLOOKUP($A28,Partner_Voice!$A:$A,Partner_Voice!P:P,"",0)="Free","Free",IF(XLOOKUP($A28,Partner_Voice!$A:$A,Partner_Voice!P:P,"",0)="VL","VL",IF(XLOOKUP($A28,Partner_Voice!$A:$A,Partner_Voice!P:P,"",0)="ATT","ATT",XLOOKUP($A28,Partner_Voice!$A:$A,Partner_Voice!P:P,"",0))))</f>
        <v>Free</v>
      </c>
      <c r="Q28" s="42">
        <f t="array" ref="Q28">IF(XLOOKUP($A28,Partner_Voice!$A:$A,Partner_Voice!Q:Q,"",0)="Free","Free",IF(XLOOKUP($A28,Partner_Voice!$A:$A,Partner_Voice!Q:Q,"",0)="VL","VL",IF(XLOOKUP($A28,Partner_Voice!$A:$A,Partner_Voice!Q:Q,"",0)="ATT","ATT",XLOOKUP($A28,Partner_Voice!$A:$A,Partner_Voice!Q:Q,"",0))))</f>
        <v>0.4166666667</v>
      </c>
      <c r="R28" s="43"/>
      <c r="S28" s="42">
        <f t="array" ref="S28">IF(XLOOKUP($A28,Partner_Voice!$A:$A,Partner_Voice!S:S,"",0)="Free","Free",IF(XLOOKUP($A28,Partner_Voice!$A:$A,Partner_Voice!S:S,"",0)="VL","VL",IF(XLOOKUP($A28,Partner_Voice!$A:$A,Partner_Voice!S:S,"",0)="ATT","ATT",XLOOKUP($A28,Partner_Voice!$A:$A,Partner_Voice!S:S,"",0))))</f>
        <v>0.4583333333</v>
      </c>
      <c r="T28" s="42">
        <f t="array" ref="T28">IF(XLOOKUP($A28,Partner_Voice!$A:$A,Partner_Voice!T:T,"",0)="Free","Free",IF(XLOOKUP($A28,Partner_Voice!$A:$A,Partner_Voice!T:T,"",0)="VL","VL",IF(XLOOKUP($A28,Partner_Voice!$A:$A,Partner_Voice!T:T,"",0)="ATT","ATT",XLOOKUP($A28,Partner_Voice!$A:$A,Partner_Voice!T:T,"",0))))</f>
        <v>0.5</v>
      </c>
      <c r="U28" s="42">
        <f t="array" ref="U28">IF(XLOOKUP($A28,Partner_Voice!$A:$A,Partner_Voice!U:U,"",0)="Free","Free",IF(XLOOKUP($A28,Partner_Voice!$A:$A,Partner_Voice!U:U,"",0)="VL","VL",IF(XLOOKUP($A28,Partner_Voice!$A:$A,Partner_Voice!U:U,"",0)="ATT","ATT",XLOOKUP($A28,Partner_Voice!$A:$A,Partner_Voice!U:U,"",0))))</f>
        <v>0.4583333333</v>
      </c>
      <c r="V28" s="42">
        <f t="array" ref="V28">IF(XLOOKUP($A28,Partner_Voice!$A:$A,Partner_Voice!V:V,"",0)="Free","Free",IF(XLOOKUP($A28,Partner_Voice!$A:$A,Partner_Voice!V:V,"",0)="VL","VL",IF(XLOOKUP($A28,Partner_Voice!$A:$A,Partner_Voice!V:V,"",0)="ATT","ATT",XLOOKUP($A28,Partner_Voice!$A:$A,Partner_Voice!V:V,"",0))))</f>
        <v>0.4583333333</v>
      </c>
      <c r="W28" s="42" t="str">
        <f t="array" ref="W28">IF(XLOOKUP($A28,Partner_Voice!$A:$A,Partner_Voice!W:W,"",0)="Free","Free",IF(XLOOKUP($A28,Partner_Voice!$A:$A,Partner_Voice!W:W,"",0)="VL","VL",IF(XLOOKUP($A28,Partner_Voice!$A:$A,Partner_Voice!W:W,"",0)="ATT","ATT",XLOOKUP($A28,Partner_Voice!$A:$A,Partner_Voice!W:W,"",0))))</f>
        <v>Free</v>
      </c>
      <c r="X28" s="42">
        <f t="array" ref="X28">IF(XLOOKUP($A28,Partner_Voice!$A:$A,Partner_Voice!X:X,"",0)="Free","Free",IF(XLOOKUP($A28,Partner_Voice!$A:$A,Partner_Voice!X:X,"",0)="VL","VL",IF(XLOOKUP($A28,Partner_Voice!$A:$A,Partner_Voice!X:X,"",0)="ATT","ATT",XLOOKUP($A28,Partner_Voice!$A:$A,Partner_Voice!X:X,"",0))))</f>
        <v>0.4166666667</v>
      </c>
      <c r="Y28" s="43"/>
      <c r="Z28" s="42">
        <f t="array" ref="Z28">IF(XLOOKUP($A28,Partner_Voice!$A:$A,Partner_Voice!Z:Z,"",0)="Free","Free",IF(XLOOKUP($A28,Partner_Voice!$A:$A,Partner_Voice!Z:Z,"",0)="VL","VL",IF(XLOOKUP($A28,Partner_Voice!$A:$A,Partner_Voice!Z:Z,"",0)="ATT","ATT",XLOOKUP($A28,Partner_Voice!$A:$A,Partner_Voice!Z:Z,"",0))))</f>
        <v>0.4583333333</v>
      </c>
      <c r="AA28" s="42">
        <f t="array" ref="AA28">IF(XLOOKUP($A28,Partner_Voice!$A:$A,Partner_Voice!AA:AA,"",0)="Free","Free",IF(XLOOKUP($A28,Partner_Voice!$A:$A,Partner_Voice!AA:AA,"",0)="VL","VL",IF(XLOOKUP($A28,Partner_Voice!$A:$A,Partner_Voice!AA:AA,"",0)="ATT","ATT",XLOOKUP($A28,Partner_Voice!$A:$A,Partner_Voice!AA:AA,"",0))))</f>
        <v>0.5</v>
      </c>
      <c r="AB28" s="42">
        <f t="array" ref="AB28">IF(XLOOKUP($A28,Partner_Voice!$A:$A,Partner_Voice!AB:AB,"",0)="Free","Free",IF(XLOOKUP($A28,Partner_Voice!$A:$A,Partner_Voice!AB:AB,"",0)="VL","VL",IF(XLOOKUP($A28,Partner_Voice!$A:$A,Partner_Voice!AB:AB,"",0)="ATT","ATT",XLOOKUP($A28,Partner_Voice!$A:$A,Partner_Voice!AB:AB,"",0))))</f>
        <v>0.4583333333</v>
      </c>
      <c r="AC28" s="42">
        <f t="array" ref="AC28">IF(XLOOKUP($A28,Partner_Voice!$A:$A,Partner_Voice!AC:AC,"",0)="Free","Free",IF(XLOOKUP($A28,Partner_Voice!$A:$A,Partner_Voice!AC:AC,"",0)="VL","VL",IF(XLOOKUP($A28,Partner_Voice!$A:$A,Partner_Voice!AC:AC,"",0)="ATT","ATT",XLOOKUP($A28,Partner_Voice!$A:$A,Partner_Voice!AC:AC,"",0))))</f>
        <v>0.4583333333</v>
      </c>
      <c r="AD28" s="42" t="str">
        <f t="array" ref="AD28">IF(XLOOKUP($A28,Partner_Voice!$A:$A,Partner_Voice!AD:AD,"",0)="Free","Free",IF(XLOOKUP($A28,Partner_Voice!$A:$A,Partner_Voice!AD:AD,"",0)="VL","VL",IF(XLOOKUP($A28,Partner_Voice!$A:$A,Partner_Voice!AD:AD,"",0)="ATT","ATT",XLOOKUP($A28,Partner_Voice!$A:$A,Partner_Voice!AD:AD,"",0))))</f>
        <v>Free</v>
      </c>
      <c r="AE28" s="42">
        <f t="array" ref="AE28">IF(XLOOKUP($A28,Partner_Voice!$A:$A,Partner_Voice!AE:AE,"",0)="Free","Free",IF(XLOOKUP($A28,Partner_Voice!$A:$A,Partner_Voice!AE:AE,"",0)="VL","VL",IF(XLOOKUP($A28,Partner_Voice!$A:$A,Partner_Voice!AE:AE,"",0)="ATT","ATT",XLOOKUP($A28,Partner_Voice!$A:$A,Partner_Voice!AE:AE,"",0))))</f>
        <v>0.4166666667</v>
      </c>
      <c r="AF28" s="69"/>
      <c r="AG28" s="42">
        <f t="array" ref="AG28">IF(XLOOKUP($A28,Partner_Voice!$A:$A,Partner_Voice!AG:AG,"",0)="Free","Free",IF(XLOOKUP($A28,Partner_Voice!$A:$A,Partner_Voice!AG:AG,"",0)="VL","VL",IF(XLOOKUP($A28,Partner_Voice!$A:$A,Partner_Voice!AG:AG,"",0)="ATT","ATT",XLOOKUP($A28,Partner_Voice!$A:$A,Partner_Voice!AG:AG,"",0))))</f>
        <v>0.4583333333</v>
      </c>
      <c r="AH28" s="42">
        <f t="array" ref="AH28">IF(XLOOKUP($A28,Partner_Voice!$A:$A,Partner_Voice!AH:AH,"",0)="Free","Free",IF(XLOOKUP($A28,Partner_Voice!$A:$A,Partner_Voice!AH:AH,"",0)="VL","VL",IF(XLOOKUP($A28,Partner_Voice!$A:$A,Partner_Voice!AH:AH,"",0)="ATT","ATT",XLOOKUP($A28,Partner_Voice!$A:$A,Partner_Voice!AH:AH,"",0))))</f>
        <v>0.5</v>
      </c>
      <c r="AI28" s="42">
        <f t="array" ref="AI28">IF(XLOOKUP($A28,Partner_Voice!$A:$A,Partner_Voice!AI:AI,"",0)="Free","Free",IF(XLOOKUP($A28,Partner_Voice!$A:$A,Partner_Voice!AI:AI,"",0)="VL","VL",IF(XLOOKUP($A28,Partner_Voice!$A:$A,Partner_Voice!AI:AI,"",0)="ATT","ATT",XLOOKUP($A28,Partner_Voice!$A:$A,Partner_Voice!AI:AI,"",0))))</f>
        <v>0.4583333333</v>
      </c>
      <c r="AJ28" s="42">
        <f t="array" ref="AJ28">IF(XLOOKUP($A28,Partner_Voice!$A:$A,Partner_Voice!AJ:AJ,"",0)="Free","Free",IF(XLOOKUP($A28,Partner_Voice!$A:$A,Partner_Voice!AJ:AJ,"",0)="VL","VL",IF(XLOOKUP($A28,Partner_Voice!$A:$A,Partner_Voice!AJ:AJ,"",0)="ATT","ATT",XLOOKUP($A28,Partner_Voice!$A:$A,Partner_Voice!AJ:AJ,"",0))))</f>
        <v>0.4583333333</v>
      </c>
      <c r="AK28" s="42" t="str">
        <f t="array" ref="AK28">IF(XLOOKUP($A28,Partner_Voice!$A:$A,Partner_Voice!AK:AK,"",0)="Free","Free",IF(XLOOKUP($A28,Partner_Voice!$A:$A,Partner_Voice!AK:AK,"",0)="VL","VL",IF(XLOOKUP($A28,Partner_Voice!$A:$A,Partner_Voice!AK:AK,"",0)="ATT","ATT",XLOOKUP($A28,Partner_Voice!$A:$A,Partner_Voice!AK:AK,"",0))))</f>
        <v>Free</v>
      </c>
      <c r="AL28" s="42">
        <f t="array" ref="AL28">IF(XLOOKUP($A28,Partner_Voice!$A:$A,Partner_Voice!AL:AL,"",0)="Free","Free",IF(XLOOKUP($A28,Partner_Voice!$A:$A,Partner_Voice!AL:AL,"",0)="VL","VL",IF(XLOOKUP($A28,Partner_Voice!$A:$A,Partner_Voice!AL:AL,"",0)="ATT","ATT",XLOOKUP($A28,Partner_Voice!$A:$A,Partner_Voice!AL:AL,"",0))))</f>
        <v>0.4166666667</v>
      </c>
      <c r="AM28" s="42"/>
    </row>
    <row r="29">
      <c r="A29" s="47" t="s">
        <v>46</v>
      </c>
      <c r="B29" s="35" t="str">
        <f t="array" ref="B29">XLOOKUP(A29,Roster!F:F,Roster!A:A,"")</f>
        <v>Daniel Bustamante</v>
      </c>
      <c r="C29" s="35" t="str">
        <f t="array" ref="C29">XLOOKUP(A29,Roster!F:F,Roster!B:B,"")</f>
        <v>Juan Ocampo</v>
      </c>
      <c r="D29" s="70"/>
      <c r="E29" s="42">
        <f t="array" ref="E29">IF(XLOOKUP($A29,Partner_Voice!$A:$A,Partner_Voice!E:E,"",0)="Free","Free",IF(XLOOKUP($A29,Partner_Voice!$A:$A,Partner_Voice!E:E,"",0)="VL","VL",IF(XLOOKUP($A29,Partner_Voice!$A:$A,Partner_Voice!E:E,"",0)="ATT","ATT",XLOOKUP($A29,Partner_Voice!$A:$A,Partner_Voice!E:E,"",0))))</f>
        <v>0.4583333333</v>
      </c>
      <c r="F29" s="42">
        <f t="array" ref="F29">IF(XLOOKUP($A29,Partner_Voice!$A:$A,Partner_Voice!F:F,"",0)="Free","Free",IF(XLOOKUP($A29,Partner_Voice!$A:$A,Partner_Voice!F:F,"",0)="VL","VL",IF(XLOOKUP($A29,Partner_Voice!$A:$A,Partner_Voice!F:F,"",0)="ATT","ATT",XLOOKUP($A29,Partner_Voice!$A:$A,Partner_Voice!F:F,"",0))))</f>
        <v>0.4583333333</v>
      </c>
      <c r="G29" s="42">
        <f t="array" ref="G29">IF(XLOOKUP($A29,Partner_Voice!$A:$A,Partner_Voice!G:G,"",0)="Free","Free",IF(XLOOKUP($A29,Partner_Voice!$A:$A,Partner_Voice!G:G,"",0)="VL","VL",IF(XLOOKUP($A29,Partner_Voice!$A:$A,Partner_Voice!G:G,"",0)="ATT","ATT",XLOOKUP($A29,Partner_Voice!$A:$A,Partner_Voice!G:G,"",0))))</f>
        <v>0.4583333333</v>
      </c>
      <c r="H29" s="42">
        <f t="array" ref="H29">IF(XLOOKUP($A29,Partner_Voice!$A:$A,Partner_Voice!H:H,"",0)="Free","Free",IF(XLOOKUP($A29,Partner_Voice!$A:$A,Partner_Voice!H:H,"",0)="VL","VL",IF(XLOOKUP($A29,Partner_Voice!$A:$A,Partner_Voice!H:H,"",0)="ATT","ATT",XLOOKUP($A29,Partner_Voice!$A:$A,Partner_Voice!H:H,"",0))))</f>
        <v>0.4583333333</v>
      </c>
      <c r="I29" s="42">
        <f t="array" ref="I29">IF(XLOOKUP($A29,Partner_Voice!$A:$A,Partner_Voice!I:I,"",0)="Free","Free",IF(XLOOKUP($A29,Partner_Voice!$A:$A,Partner_Voice!I:I,"",0)="VL","VL",IF(XLOOKUP($A29,Partner_Voice!$A:$A,Partner_Voice!I:I,"",0)="ATT","ATT",XLOOKUP($A29,Partner_Voice!$A:$A,Partner_Voice!I:I,"",0))))</f>
        <v>0.4583333333</v>
      </c>
      <c r="J29" s="42" t="str">
        <f t="array" ref="J29">IF(XLOOKUP($A29,Partner_Voice!$A:$A,Partner_Voice!J:J,"",0)="Free","Free",IF(XLOOKUP($A29,Partner_Voice!$A:$A,Partner_Voice!J:J,"",0)="VL","VL",IF(XLOOKUP($A29,Partner_Voice!$A:$A,Partner_Voice!J:J,"",0)="ATT","ATT",XLOOKUP($A29,Partner_Voice!$A:$A,Partner_Voice!J:J,"",0))))</f>
        <v>Free</v>
      </c>
      <c r="K29" s="42"/>
      <c r="L29" s="42">
        <f t="array" ref="L29">IF(XLOOKUP($A29,Partner_Voice!$A:$A,Partner_Voice!L:L,"",0)="Free","Free",IF(XLOOKUP($A29,Partner_Voice!$A:$A,Partner_Voice!L:L,"",0)="VL","VL",IF(XLOOKUP($A29,Partner_Voice!$A:$A,Partner_Voice!L:L,"",0)="ATT","ATT",XLOOKUP($A29,Partner_Voice!$A:$A,Partner_Voice!L:L,"",0))))</f>
        <v>0.3333333333</v>
      </c>
      <c r="M29" s="42">
        <f t="array" ref="M29">IF(XLOOKUP($A29,Partner_Voice!$A:$A,Partner_Voice!M:M,"",0)="Free","Free",IF(XLOOKUP($A29,Partner_Voice!$A:$A,Partner_Voice!M:M,"",0)="VL","VL",IF(XLOOKUP($A29,Partner_Voice!$A:$A,Partner_Voice!M:M,"",0)="ATT","ATT",XLOOKUP($A29,Partner_Voice!$A:$A,Partner_Voice!M:M,"",0))))</f>
        <v>0.3333333333</v>
      </c>
      <c r="N29" s="42">
        <f t="array" ref="N29">IF(XLOOKUP($A29,Partner_Voice!$A:$A,Partner_Voice!N:N,"",0)="Free","Free",IF(XLOOKUP($A29,Partner_Voice!$A:$A,Partner_Voice!N:N,"",0)="VL","VL",IF(XLOOKUP($A29,Partner_Voice!$A:$A,Partner_Voice!N:N,"",0)="ATT","ATT",XLOOKUP($A29,Partner_Voice!$A:$A,Partner_Voice!N:N,"",0))))</f>
        <v>0.3333333333</v>
      </c>
      <c r="O29" s="42">
        <f t="array" ref="O29">IF(XLOOKUP($A29,Partner_Voice!$A:$A,Partner_Voice!O:O,"",0)="Free","Free",IF(XLOOKUP($A29,Partner_Voice!$A:$A,Partner_Voice!O:O,"",0)="VL","VL",IF(XLOOKUP($A29,Partner_Voice!$A:$A,Partner_Voice!O:O,"",0)="ATT","ATT",XLOOKUP($A29,Partner_Voice!$A:$A,Partner_Voice!O:O,"",0))))</f>
        <v>0.3333333333</v>
      </c>
      <c r="P29" s="42">
        <f t="array" ref="P29">IF(XLOOKUP($A29,Partner_Voice!$A:$A,Partner_Voice!P:P,"",0)="Free","Free",IF(XLOOKUP($A29,Partner_Voice!$A:$A,Partner_Voice!P:P,"",0)="VL","VL",IF(XLOOKUP($A29,Partner_Voice!$A:$A,Partner_Voice!P:P,"",0)="ATT","ATT",XLOOKUP($A29,Partner_Voice!$A:$A,Partner_Voice!P:P,"",0))))</f>
        <v>0.3333333333</v>
      </c>
      <c r="Q29" s="42" t="str">
        <f t="array" ref="Q29">IF(XLOOKUP($A29,Partner_Voice!$A:$A,Partner_Voice!Q:Q,"",0)="Free","Free",IF(XLOOKUP($A29,Partner_Voice!$A:$A,Partner_Voice!Q:Q,"",0)="VL","VL",IF(XLOOKUP($A29,Partner_Voice!$A:$A,Partner_Voice!Q:Q,"",0)="ATT","ATT",XLOOKUP($A29,Partner_Voice!$A:$A,Partner_Voice!Q:Q,"",0))))</f>
        <v>Free</v>
      </c>
      <c r="R29" s="43"/>
      <c r="S29" s="42">
        <f t="array" ref="S29">IF(XLOOKUP($A29,Partner_Voice!$A:$A,Partner_Voice!S:S,"",0)="Free","Free",IF(XLOOKUP($A29,Partner_Voice!$A:$A,Partner_Voice!S:S,"",0)="VL","VL",IF(XLOOKUP($A29,Partner_Voice!$A:$A,Partner_Voice!S:S,"",0)="ATT","ATT",XLOOKUP($A29,Partner_Voice!$A:$A,Partner_Voice!S:S,"",0))))</f>
        <v>0.3333333333</v>
      </c>
      <c r="T29" s="42">
        <f t="array" ref="T29">IF(XLOOKUP($A29,Partner_Voice!$A:$A,Partner_Voice!T:T,"",0)="Free","Free",IF(XLOOKUP($A29,Partner_Voice!$A:$A,Partner_Voice!T:T,"",0)="VL","VL",IF(XLOOKUP($A29,Partner_Voice!$A:$A,Partner_Voice!T:T,"",0)="ATT","ATT",XLOOKUP($A29,Partner_Voice!$A:$A,Partner_Voice!T:T,"",0))))</f>
        <v>0.3333333333</v>
      </c>
      <c r="U29" s="42">
        <f t="array" ref="U29">IF(XLOOKUP($A29,Partner_Voice!$A:$A,Partner_Voice!U:U,"",0)="Free","Free",IF(XLOOKUP($A29,Partner_Voice!$A:$A,Partner_Voice!U:U,"",0)="VL","VL",IF(XLOOKUP($A29,Partner_Voice!$A:$A,Partner_Voice!U:U,"",0)="ATT","ATT",XLOOKUP($A29,Partner_Voice!$A:$A,Partner_Voice!U:U,"",0))))</f>
        <v>0.3333333333</v>
      </c>
      <c r="V29" s="42">
        <f t="array" ref="V29">IF(XLOOKUP($A29,Partner_Voice!$A:$A,Partner_Voice!V:V,"",0)="Free","Free",IF(XLOOKUP($A29,Partner_Voice!$A:$A,Partner_Voice!V:V,"",0)="VL","VL",IF(XLOOKUP($A29,Partner_Voice!$A:$A,Partner_Voice!V:V,"",0)="ATT","ATT",XLOOKUP($A29,Partner_Voice!$A:$A,Partner_Voice!V:V,"",0))))</f>
        <v>0.3333333333</v>
      </c>
      <c r="W29" s="42">
        <f t="array" ref="W29">IF(XLOOKUP($A29,Partner_Voice!$A:$A,Partner_Voice!W:W,"",0)="Free","Free",IF(XLOOKUP($A29,Partner_Voice!$A:$A,Partner_Voice!W:W,"",0)="VL","VL",IF(XLOOKUP($A29,Partner_Voice!$A:$A,Partner_Voice!W:W,"",0)="ATT","ATT",XLOOKUP($A29,Partner_Voice!$A:$A,Partner_Voice!W:W,"",0))))</f>
        <v>0.3333333333</v>
      </c>
      <c r="X29" s="42" t="str">
        <f t="array" ref="X29">IF(XLOOKUP($A29,Partner_Voice!$A:$A,Partner_Voice!X:X,"",0)="Free","Free",IF(XLOOKUP($A29,Partner_Voice!$A:$A,Partner_Voice!X:X,"",0)="VL","VL",IF(XLOOKUP($A29,Partner_Voice!$A:$A,Partner_Voice!X:X,"",0)="ATT","ATT",XLOOKUP($A29,Partner_Voice!$A:$A,Partner_Voice!X:X,"",0))))</f>
        <v>Free</v>
      </c>
      <c r="Y29" s="43"/>
      <c r="Z29" s="42">
        <f t="array" ref="Z29">IF(XLOOKUP($A29,Partner_Voice!$A:$A,Partner_Voice!Z:Z,"",0)="Free","Free",IF(XLOOKUP($A29,Partner_Voice!$A:$A,Partner_Voice!Z:Z,"",0)="VL","VL",IF(XLOOKUP($A29,Partner_Voice!$A:$A,Partner_Voice!Z:Z,"",0)="ATT","ATT",XLOOKUP($A29,Partner_Voice!$A:$A,Partner_Voice!Z:Z,"",0))))</f>
        <v>0.3333333333</v>
      </c>
      <c r="AA29" s="42">
        <f t="array" ref="AA29">IF(XLOOKUP($A29,Partner_Voice!$A:$A,Partner_Voice!AA:AA,"",0)="Free","Free",IF(XLOOKUP($A29,Partner_Voice!$A:$A,Partner_Voice!AA:AA,"",0)="VL","VL",IF(XLOOKUP($A29,Partner_Voice!$A:$A,Partner_Voice!AA:AA,"",0)="ATT","ATT",XLOOKUP($A29,Partner_Voice!$A:$A,Partner_Voice!AA:AA,"",0))))</f>
        <v>0.3333333333</v>
      </c>
      <c r="AB29" s="42">
        <f t="array" ref="AB29">IF(XLOOKUP($A29,Partner_Voice!$A:$A,Partner_Voice!AB:AB,"",0)="Free","Free",IF(XLOOKUP($A29,Partner_Voice!$A:$A,Partner_Voice!AB:AB,"",0)="VL","VL",IF(XLOOKUP($A29,Partner_Voice!$A:$A,Partner_Voice!AB:AB,"",0)="ATT","ATT",XLOOKUP($A29,Partner_Voice!$A:$A,Partner_Voice!AB:AB,"",0))))</f>
        <v>0.3333333333</v>
      </c>
      <c r="AC29" s="42">
        <f t="array" ref="AC29">IF(XLOOKUP($A29,Partner_Voice!$A:$A,Partner_Voice!AC:AC,"",0)="Free","Free",IF(XLOOKUP($A29,Partner_Voice!$A:$A,Partner_Voice!AC:AC,"",0)="VL","VL",IF(XLOOKUP($A29,Partner_Voice!$A:$A,Partner_Voice!AC:AC,"",0)="ATT","ATT",XLOOKUP($A29,Partner_Voice!$A:$A,Partner_Voice!AC:AC,"",0))))</f>
        <v>0.3333333333</v>
      </c>
      <c r="AD29" s="42">
        <f t="array" ref="AD29">IF(XLOOKUP($A29,Partner_Voice!$A:$A,Partner_Voice!AD:AD,"",0)="Free","Free",IF(XLOOKUP($A29,Partner_Voice!$A:$A,Partner_Voice!AD:AD,"",0)="VL","VL",IF(XLOOKUP($A29,Partner_Voice!$A:$A,Partner_Voice!AD:AD,"",0)="ATT","ATT",XLOOKUP($A29,Partner_Voice!$A:$A,Partner_Voice!AD:AD,"",0))))</f>
        <v>0.3333333333</v>
      </c>
      <c r="AE29" s="42" t="str">
        <f t="array" ref="AE29">IF(XLOOKUP($A29,Partner_Voice!$A:$A,Partner_Voice!AE:AE,"",0)="Free","Free",IF(XLOOKUP($A29,Partner_Voice!$A:$A,Partner_Voice!AE:AE,"",0)="VL","VL",IF(XLOOKUP($A29,Partner_Voice!$A:$A,Partner_Voice!AE:AE,"",0)="ATT","ATT",XLOOKUP($A29,Partner_Voice!$A:$A,Partner_Voice!AE:AE,"",0))))</f>
        <v>Free</v>
      </c>
      <c r="AF29" s="69"/>
      <c r="AG29" s="42">
        <f t="array" ref="AG29">IF(XLOOKUP($A29,Partner_Voice!$A:$A,Partner_Voice!AG:AG,"",0)="Free","Free",IF(XLOOKUP($A29,Partner_Voice!$A:$A,Partner_Voice!AG:AG,"",0)="VL","VL",IF(XLOOKUP($A29,Partner_Voice!$A:$A,Partner_Voice!AG:AG,"",0)="ATT","ATT",XLOOKUP($A29,Partner_Voice!$A:$A,Partner_Voice!AG:AG,"",0))))</f>
        <v>0.3333333333</v>
      </c>
      <c r="AH29" s="42">
        <f t="array" ref="AH29">IF(XLOOKUP($A29,Partner_Voice!$A:$A,Partner_Voice!AH:AH,"",0)="Free","Free",IF(XLOOKUP($A29,Partner_Voice!$A:$A,Partner_Voice!AH:AH,"",0)="VL","VL",IF(XLOOKUP($A29,Partner_Voice!$A:$A,Partner_Voice!AH:AH,"",0)="ATT","ATT",XLOOKUP($A29,Partner_Voice!$A:$A,Partner_Voice!AH:AH,"",0))))</f>
        <v>0.3333333333</v>
      </c>
      <c r="AI29" s="42">
        <f t="array" ref="AI29">IF(XLOOKUP($A29,Partner_Voice!$A:$A,Partner_Voice!AI:AI,"",0)="Free","Free",IF(XLOOKUP($A29,Partner_Voice!$A:$A,Partner_Voice!AI:AI,"",0)="VL","VL",IF(XLOOKUP($A29,Partner_Voice!$A:$A,Partner_Voice!AI:AI,"",0)="ATT","ATT",XLOOKUP($A29,Partner_Voice!$A:$A,Partner_Voice!AI:AI,"",0))))</f>
        <v>0.3333333333</v>
      </c>
      <c r="AJ29" s="42">
        <f t="array" ref="AJ29">IF(XLOOKUP($A29,Partner_Voice!$A:$A,Partner_Voice!AJ:AJ,"",0)="Free","Free",IF(XLOOKUP($A29,Partner_Voice!$A:$A,Partner_Voice!AJ:AJ,"",0)="VL","VL",IF(XLOOKUP($A29,Partner_Voice!$A:$A,Partner_Voice!AJ:AJ,"",0)="ATT","ATT",XLOOKUP($A29,Partner_Voice!$A:$A,Partner_Voice!AJ:AJ,"",0))))</f>
        <v>0.3333333333</v>
      </c>
      <c r="AK29" s="42">
        <f t="array" ref="AK29">IF(XLOOKUP($A29,Partner_Voice!$A:$A,Partner_Voice!AK:AK,"",0)="Free","Free",IF(XLOOKUP($A29,Partner_Voice!$A:$A,Partner_Voice!AK:AK,"",0)="VL","VL",IF(XLOOKUP($A29,Partner_Voice!$A:$A,Partner_Voice!AK:AK,"",0)="ATT","ATT",XLOOKUP($A29,Partner_Voice!$A:$A,Partner_Voice!AK:AK,"",0))))</f>
        <v>0.3333333333</v>
      </c>
      <c r="AL29" s="42" t="str">
        <f t="array" ref="AL29">IF(XLOOKUP($A29,Partner_Voice!$A:$A,Partner_Voice!AL:AL,"",0)="Free","Free",IF(XLOOKUP($A29,Partner_Voice!$A:$A,Partner_Voice!AL:AL,"",0)="VL","VL",IF(XLOOKUP($A29,Partner_Voice!$A:$A,Partner_Voice!AL:AL,"",0)="ATT","ATT",XLOOKUP($A29,Partner_Voice!$A:$A,Partner_Voice!AL:AL,"",0))))</f>
        <v>Free</v>
      </c>
      <c r="AM29" s="42"/>
    </row>
    <row r="30">
      <c r="A30" s="47" t="s">
        <v>56</v>
      </c>
      <c r="B30" s="35" t="str">
        <f t="array" ref="B30">XLOOKUP(A30,Roster!F:F,Roster!A:A,"")</f>
        <v>Daniel Bustamante</v>
      </c>
      <c r="C30" s="35" t="str">
        <f t="array" ref="C30">XLOOKUP(A30,Roster!F:F,Roster!B:B,"")</f>
        <v>Leonerrichi Caicedo</v>
      </c>
      <c r="D30" s="70"/>
      <c r="E30" s="42">
        <f t="array" ref="E30">IF(XLOOKUP($A30,Partner_Voice!$A:$A,Partner_Voice!E:E,"",0)="Free","Free",IF(XLOOKUP($A30,Partner_Voice!$A:$A,Partner_Voice!E:E,"",0)="VL","VL",IF(XLOOKUP($A30,Partner_Voice!$A:$A,Partner_Voice!E:E,"",0)="ATT","ATT",XLOOKUP($A30,Partner_Voice!$A:$A,Partner_Voice!E:E,"",0))))</f>
        <v>0.3333333333</v>
      </c>
      <c r="F30" s="42">
        <f t="array" ref="F30">IF(XLOOKUP($A30,Partner_Voice!$A:$A,Partner_Voice!F:F,"",0)="Free","Free",IF(XLOOKUP($A30,Partner_Voice!$A:$A,Partner_Voice!F:F,"",0)="VL","VL",IF(XLOOKUP($A30,Partner_Voice!$A:$A,Partner_Voice!F:F,"",0)="ATT","ATT",XLOOKUP($A30,Partner_Voice!$A:$A,Partner_Voice!F:F,"",0))))</f>
        <v>0.3333333333</v>
      </c>
      <c r="G30" s="42">
        <f t="array" ref="G30">IF(XLOOKUP($A30,Partner_Voice!$A:$A,Partner_Voice!G:G,"",0)="Free","Free",IF(XLOOKUP($A30,Partner_Voice!$A:$A,Partner_Voice!G:G,"",0)="VL","VL",IF(XLOOKUP($A30,Partner_Voice!$A:$A,Partner_Voice!G:G,"",0)="ATT","ATT",XLOOKUP($A30,Partner_Voice!$A:$A,Partner_Voice!G:G,"",0))))</f>
        <v>0.3333333333</v>
      </c>
      <c r="H30" s="42" t="str">
        <f t="array" ref="H30">IF(XLOOKUP($A30,Partner_Voice!$A:$A,Partner_Voice!H:H,"",0)="Free","Free",IF(XLOOKUP($A30,Partner_Voice!$A:$A,Partner_Voice!H:H,"",0)="VL","VL",IF(XLOOKUP($A30,Partner_Voice!$A:$A,Partner_Voice!H:H,"",0)="ATT","ATT",XLOOKUP($A30,Partner_Voice!$A:$A,Partner_Voice!H:H,"",0))))</f>
        <v>Free</v>
      </c>
      <c r="I30" s="42">
        <f t="array" ref="I30">IF(XLOOKUP($A30,Partner_Voice!$A:$A,Partner_Voice!I:I,"",0)="Free","Free",IF(XLOOKUP($A30,Partner_Voice!$A:$A,Partner_Voice!I:I,"",0)="VL","VL",IF(XLOOKUP($A30,Partner_Voice!$A:$A,Partner_Voice!I:I,"",0)="ATT","ATT",XLOOKUP($A30,Partner_Voice!$A:$A,Partner_Voice!I:I,"",0))))</f>
        <v>0.3333333333</v>
      </c>
      <c r="J30" s="42">
        <f t="array" ref="J30">IF(XLOOKUP($A30,Partner_Voice!$A:$A,Partner_Voice!J:J,"",0)="Free","Free",IF(XLOOKUP($A30,Partner_Voice!$A:$A,Partner_Voice!J:J,"",0)="VL","VL",IF(XLOOKUP($A30,Partner_Voice!$A:$A,Partner_Voice!J:J,"",0)="ATT","ATT",XLOOKUP($A30,Partner_Voice!$A:$A,Partner_Voice!J:J,"",0))))</f>
        <v>0.3333333333</v>
      </c>
      <c r="K30" s="42"/>
      <c r="L30" s="42">
        <f t="array" ref="L30">IF(XLOOKUP($A30,Partner_Voice!$A:$A,Partner_Voice!L:L,"",0)="Free","Free",IF(XLOOKUP($A30,Partner_Voice!$A:$A,Partner_Voice!L:L,"",0)="VL","VL",IF(XLOOKUP($A30,Partner_Voice!$A:$A,Partner_Voice!L:L,"",0)="ATT","ATT",XLOOKUP($A30,Partner_Voice!$A:$A,Partner_Voice!L:L,"",0))))</f>
        <v>0.3333333333</v>
      </c>
      <c r="M30" s="42">
        <f t="array" ref="M30">IF(XLOOKUP($A30,Partner_Voice!$A:$A,Partner_Voice!M:M,"",0)="Free","Free",IF(XLOOKUP($A30,Partner_Voice!$A:$A,Partner_Voice!M:M,"",0)="VL","VL",IF(XLOOKUP($A30,Partner_Voice!$A:$A,Partner_Voice!M:M,"",0)="ATT","ATT",XLOOKUP($A30,Partner_Voice!$A:$A,Partner_Voice!M:M,"",0))))</f>
        <v>0.3333333333</v>
      </c>
      <c r="N30" s="42">
        <f t="array" ref="N30">IF(XLOOKUP($A30,Partner_Voice!$A:$A,Partner_Voice!N:N,"",0)="Free","Free",IF(XLOOKUP($A30,Partner_Voice!$A:$A,Partner_Voice!N:N,"",0)="VL","VL",IF(XLOOKUP($A30,Partner_Voice!$A:$A,Partner_Voice!N:N,"",0)="ATT","ATT",XLOOKUP($A30,Partner_Voice!$A:$A,Partner_Voice!N:N,"",0))))</f>
        <v>0.3333333333</v>
      </c>
      <c r="O30" s="42" t="str">
        <f t="array" ref="O30">IF(XLOOKUP($A30,Partner_Voice!$A:$A,Partner_Voice!O:O,"",0)="Free","Free",IF(XLOOKUP($A30,Partner_Voice!$A:$A,Partner_Voice!O:O,"",0)="VL","VL",IF(XLOOKUP($A30,Partner_Voice!$A:$A,Partner_Voice!O:O,"",0)="ATT","ATT",XLOOKUP($A30,Partner_Voice!$A:$A,Partner_Voice!O:O,"",0))))</f>
        <v>Free</v>
      </c>
      <c r="P30" s="42">
        <f t="array" ref="P30">IF(XLOOKUP($A30,Partner_Voice!$A:$A,Partner_Voice!P:P,"",0)="Free","Free",IF(XLOOKUP($A30,Partner_Voice!$A:$A,Partner_Voice!P:P,"",0)="VL","VL",IF(XLOOKUP($A30,Partner_Voice!$A:$A,Partner_Voice!P:P,"",0)="ATT","ATT",XLOOKUP($A30,Partner_Voice!$A:$A,Partner_Voice!P:P,"",0))))</f>
        <v>0.3333333333</v>
      </c>
      <c r="Q30" s="42">
        <f t="array" ref="Q30">IF(XLOOKUP($A30,Partner_Voice!$A:$A,Partner_Voice!Q:Q,"",0)="Free","Free",IF(XLOOKUP($A30,Partner_Voice!$A:$A,Partner_Voice!Q:Q,"",0)="VL","VL",IF(XLOOKUP($A30,Partner_Voice!$A:$A,Partner_Voice!Q:Q,"",0)="ATT","ATT",XLOOKUP($A30,Partner_Voice!$A:$A,Partner_Voice!Q:Q,"",0))))</f>
        <v>0.3333333333</v>
      </c>
      <c r="R30" s="43"/>
      <c r="S30" s="42">
        <f t="array" ref="S30">IF(XLOOKUP($A30,Partner_Voice!$A:$A,Partner_Voice!S:S,"",0)="Free","Free",IF(XLOOKUP($A30,Partner_Voice!$A:$A,Partner_Voice!S:S,"",0)="VL","VL",IF(XLOOKUP($A30,Partner_Voice!$A:$A,Partner_Voice!S:S,"",0)="ATT","ATT",XLOOKUP($A30,Partner_Voice!$A:$A,Partner_Voice!S:S,"",0))))</f>
        <v>0.3333333333</v>
      </c>
      <c r="T30" s="42">
        <f t="array" ref="T30">IF(XLOOKUP($A30,Partner_Voice!$A:$A,Partner_Voice!T:T,"",0)="Free","Free",IF(XLOOKUP($A30,Partner_Voice!$A:$A,Partner_Voice!T:T,"",0)="VL","VL",IF(XLOOKUP($A30,Partner_Voice!$A:$A,Partner_Voice!T:T,"",0)="ATT","ATT",XLOOKUP($A30,Partner_Voice!$A:$A,Partner_Voice!T:T,"",0))))</f>
        <v>0.3333333333</v>
      </c>
      <c r="U30" s="42">
        <f t="array" ref="U30">IF(XLOOKUP($A30,Partner_Voice!$A:$A,Partner_Voice!U:U,"",0)="Free","Free",IF(XLOOKUP($A30,Partner_Voice!$A:$A,Partner_Voice!U:U,"",0)="VL","VL",IF(XLOOKUP($A30,Partner_Voice!$A:$A,Partner_Voice!U:U,"",0)="ATT","ATT",XLOOKUP($A30,Partner_Voice!$A:$A,Partner_Voice!U:U,"",0))))</f>
        <v>0.3333333333</v>
      </c>
      <c r="V30" s="42" t="str">
        <f t="array" ref="V30">IF(XLOOKUP($A30,Partner_Voice!$A:$A,Partner_Voice!V:V,"",0)="Free","Free",IF(XLOOKUP($A30,Partner_Voice!$A:$A,Partner_Voice!V:V,"",0)="VL","VL",IF(XLOOKUP($A30,Partner_Voice!$A:$A,Partner_Voice!V:V,"",0)="ATT","ATT",XLOOKUP($A30,Partner_Voice!$A:$A,Partner_Voice!V:V,"",0))))</f>
        <v>Free</v>
      </c>
      <c r="W30" s="42">
        <f t="array" ref="W30">IF(XLOOKUP($A30,Partner_Voice!$A:$A,Partner_Voice!W:W,"",0)="Free","Free",IF(XLOOKUP($A30,Partner_Voice!$A:$A,Partner_Voice!W:W,"",0)="VL","VL",IF(XLOOKUP($A30,Partner_Voice!$A:$A,Partner_Voice!W:W,"",0)="ATT","ATT",XLOOKUP($A30,Partner_Voice!$A:$A,Partner_Voice!W:W,"",0))))</f>
        <v>0.3333333333</v>
      </c>
      <c r="X30" s="42">
        <f t="array" ref="X30">IF(XLOOKUP($A30,Partner_Voice!$A:$A,Partner_Voice!X:X,"",0)="Free","Free",IF(XLOOKUP($A30,Partner_Voice!$A:$A,Partner_Voice!X:X,"",0)="VL","VL",IF(XLOOKUP($A30,Partner_Voice!$A:$A,Partner_Voice!X:X,"",0)="ATT","ATT",XLOOKUP($A30,Partner_Voice!$A:$A,Partner_Voice!X:X,"",0))))</f>
        <v>0.3333333333</v>
      </c>
      <c r="Y30" s="43"/>
      <c r="Z30" s="42">
        <f t="array" ref="Z30">IF(XLOOKUP($A30,Partner_Voice!$A:$A,Partner_Voice!Z:Z,"",0)="Free","Free",IF(XLOOKUP($A30,Partner_Voice!$A:$A,Partner_Voice!Z:Z,"",0)="VL","VL",IF(XLOOKUP($A30,Partner_Voice!$A:$A,Partner_Voice!Z:Z,"",0)="ATT","ATT",XLOOKUP($A30,Partner_Voice!$A:$A,Partner_Voice!Z:Z,"",0))))</f>
        <v>0.3333333333</v>
      </c>
      <c r="AA30" s="42">
        <f t="array" ref="AA30">IF(XLOOKUP($A30,Partner_Voice!$A:$A,Partner_Voice!AA:AA,"",0)="Free","Free",IF(XLOOKUP($A30,Partner_Voice!$A:$A,Partner_Voice!AA:AA,"",0)="VL","VL",IF(XLOOKUP($A30,Partner_Voice!$A:$A,Partner_Voice!AA:AA,"",0)="ATT","ATT",XLOOKUP($A30,Partner_Voice!$A:$A,Partner_Voice!AA:AA,"",0))))</f>
        <v>0.3333333333</v>
      </c>
      <c r="AB30" s="42">
        <f t="array" ref="AB30">IF(XLOOKUP($A30,Partner_Voice!$A:$A,Partner_Voice!AB:AB,"",0)="Free","Free",IF(XLOOKUP($A30,Partner_Voice!$A:$A,Partner_Voice!AB:AB,"",0)="VL","VL",IF(XLOOKUP($A30,Partner_Voice!$A:$A,Partner_Voice!AB:AB,"",0)="ATT","ATT",XLOOKUP($A30,Partner_Voice!$A:$A,Partner_Voice!AB:AB,"",0))))</f>
        <v>0.3333333333</v>
      </c>
      <c r="AC30" s="42" t="str">
        <f t="array" ref="AC30">IF(XLOOKUP($A30,Partner_Voice!$A:$A,Partner_Voice!AC:AC,"",0)="Free","Free",IF(XLOOKUP($A30,Partner_Voice!$A:$A,Partner_Voice!AC:AC,"",0)="VL","VL",IF(XLOOKUP($A30,Partner_Voice!$A:$A,Partner_Voice!AC:AC,"",0)="ATT","ATT",XLOOKUP($A30,Partner_Voice!$A:$A,Partner_Voice!AC:AC,"",0))))</f>
        <v>Free</v>
      </c>
      <c r="AD30" s="42">
        <f t="array" ref="AD30">IF(XLOOKUP($A30,Partner_Voice!$A:$A,Partner_Voice!AD:AD,"",0)="Free","Free",IF(XLOOKUP($A30,Partner_Voice!$A:$A,Partner_Voice!AD:AD,"",0)="VL","VL",IF(XLOOKUP($A30,Partner_Voice!$A:$A,Partner_Voice!AD:AD,"",0)="ATT","ATT",XLOOKUP($A30,Partner_Voice!$A:$A,Partner_Voice!AD:AD,"",0))))</f>
        <v>0.3333333333</v>
      </c>
      <c r="AE30" s="42">
        <f t="array" ref="AE30">IF(XLOOKUP($A30,Partner_Voice!$A:$A,Partner_Voice!AE:AE,"",0)="Free","Free",IF(XLOOKUP($A30,Partner_Voice!$A:$A,Partner_Voice!AE:AE,"",0)="VL","VL",IF(XLOOKUP($A30,Partner_Voice!$A:$A,Partner_Voice!AE:AE,"",0)="ATT","ATT",XLOOKUP($A30,Partner_Voice!$A:$A,Partner_Voice!AE:AE,"",0))))</f>
        <v>0.3333333333</v>
      </c>
      <c r="AF30" s="69"/>
      <c r="AG30" s="42">
        <f t="array" ref="AG30">IF(XLOOKUP($A30,Partner_Voice!$A:$A,Partner_Voice!AG:AG,"",0)="Free","Free",IF(XLOOKUP($A30,Partner_Voice!$A:$A,Partner_Voice!AG:AG,"",0)="VL","VL",IF(XLOOKUP($A30,Partner_Voice!$A:$A,Partner_Voice!AG:AG,"",0)="ATT","ATT",XLOOKUP($A30,Partner_Voice!$A:$A,Partner_Voice!AG:AG,"",0))))</f>
        <v>0.3333333333</v>
      </c>
      <c r="AH30" s="42">
        <f t="array" ref="AH30">IF(XLOOKUP($A30,Partner_Voice!$A:$A,Partner_Voice!AH:AH,"",0)="Free","Free",IF(XLOOKUP($A30,Partner_Voice!$A:$A,Partner_Voice!AH:AH,"",0)="VL","VL",IF(XLOOKUP($A30,Partner_Voice!$A:$A,Partner_Voice!AH:AH,"",0)="ATT","ATT",XLOOKUP($A30,Partner_Voice!$A:$A,Partner_Voice!AH:AH,"",0))))</f>
        <v>0.3333333333</v>
      </c>
      <c r="AI30" s="42">
        <f t="array" ref="AI30">IF(XLOOKUP($A30,Partner_Voice!$A:$A,Partner_Voice!AI:AI,"",0)="Free","Free",IF(XLOOKUP($A30,Partner_Voice!$A:$A,Partner_Voice!AI:AI,"",0)="VL","VL",IF(XLOOKUP($A30,Partner_Voice!$A:$A,Partner_Voice!AI:AI,"",0)="ATT","ATT",XLOOKUP($A30,Partner_Voice!$A:$A,Partner_Voice!AI:AI,"",0))))</f>
        <v>0.3333333333</v>
      </c>
      <c r="AJ30" s="42" t="str">
        <f t="array" ref="AJ30">IF(XLOOKUP($A30,Partner_Voice!$A:$A,Partner_Voice!AJ:AJ,"",0)="Free","Free",IF(XLOOKUP($A30,Partner_Voice!$A:$A,Partner_Voice!AJ:AJ,"",0)="VL","VL",IF(XLOOKUP($A30,Partner_Voice!$A:$A,Partner_Voice!AJ:AJ,"",0)="ATT","ATT",XLOOKUP($A30,Partner_Voice!$A:$A,Partner_Voice!AJ:AJ,"",0))))</f>
        <v>Free</v>
      </c>
      <c r="AK30" s="42">
        <f t="array" ref="AK30">IF(XLOOKUP($A30,Partner_Voice!$A:$A,Partner_Voice!AK:AK,"",0)="Free","Free",IF(XLOOKUP($A30,Partner_Voice!$A:$A,Partner_Voice!AK:AK,"",0)="VL","VL",IF(XLOOKUP($A30,Partner_Voice!$A:$A,Partner_Voice!AK:AK,"",0)="ATT","ATT",XLOOKUP($A30,Partner_Voice!$A:$A,Partner_Voice!AK:AK,"",0))))</f>
        <v>0.3333333333</v>
      </c>
      <c r="AL30" s="42">
        <f t="array" ref="AL30">IF(XLOOKUP($A30,Partner_Voice!$A:$A,Partner_Voice!AL:AL,"",0)="Free","Free",IF(XLOOKUP($A30,Partner_Voice!$A:$A,Partner_Voice!AL:AL,"",0)="VL","VL",IF(XLOOKUP($A30,Partner_Voice!$A:$A,Partner_Voice!AL:AL,"",0)="ATT","ATT",XLOOKUP($A30,Partner_Voice!$A:$A,Partner_Voice!AL:AL,"",0))))</f>
        <v>0.3333333333</v>
      </c>
      <c r="AM30" s="42"/>
    </row>
    <row r="31">
      <c r="A31" s="47" t="s">
        <v>61</v>
      </c>
      <c r="B31" s="35" t="str">
        <f t="array" ref="B31">XLOOKUP(A31,Roster!F:F,Roster!A:A,"")</f>
        <v>Daniel Bustamante</v>
      </c>
      <c r="C31" s="35" t="str">
        <f t="array" ref="C31">XLOOKUP(A31,Roster!F:F,Roster!B:B,"")</f>
        <v>Luna Morales</v>
      </c>
      <c r="D31" s="70"/>
      <c r="E31" s="42">
        <f t="array" ref="E31">IF(XLOOKUP($A31,Partner_Voice!$A:$A,Partner_Voice!E:E,"",0)="Free","Free",IF(XLOOKUP($A31,Partner_Voice!$A:$A,Partner_Voice!E:E,"",0)="VL","VL",IF(XLOOKUP($A31,Partner_Voice!$A:$A,Partner_Voice!E:E,"",0)="ATT","ATT",XLOOKUP($A31,Partner_Voice!$A:$A,Partner_Voice!E:E,"",0))))</f>
        <v>0.3333333333</v>
      </c>
      <c r="F31" s="42">
        <f t="array" ref="F31">IF(XLOOKUP($A31,Partner_Voice!$A:$A,Partner_Voice!F:F,"",0)="Free","Free",IF(XLOOKUP($A31,Partner_Voice!$A:$A,Partner_Voice!F:F,"",0)="VL","VL",IF(XLOOKUP($A31,Partner_Voice!$A:$A,Partner_Voice!F:F,"",0)="ATT","ATT",XLOOKUP($A31,Partner_Voice!$A:$A,Partner_Voice!F:F,"",0))))</f>
        <v>0.3333333333</v>
      </c>
      <c r="G31" s="42">
        <f t="array" ref="G31">IF(XLOOKUP($A31,Partner_Voice!$A:$A,Partner_Voice!G:G,"",0)="Free","Free",IF(XLOOKUP($A31,Partner_Voice!$A:$A,Partner_Voice!G:G,"",0)="VL","VL",IF(XLOOKUP($A31,Partner_Voice!$A:$A,Partner_Voice!G:G,"",0)="ATT","ATT",XLOOKUP($A31,Partner_Voice!$A:$A,Partner_Voice!G:G,"",0))))</f>
        <v>0.3333333333</v>
      </c>
      <c r="H31" s="42">
        <f t="array" ref="H31">IF(XLOOKUP($A31,Partner_Voice!$A:$A,Partner_Voice!H:H,"",0)="Free","Free",IF(XLOOKUP($A31,Partner_Voice!$A:$A,Partner_Voice!H:H,"",0)="VL","VL",IF(XLOOKUP($A31,Partner_Voice!$A:$A,Partner_Voice!H:H,"",0)="ATT","ATT",XLOOKUP($A31,Partner_Voice!$A:$A,Partner_Voice!H:H,"",0))))</f>
        <v>0.4583333333</v>
      </c>
      <c r="I31" s="42">
        <f t="array" ref="I31">IF(XLOOKUP($A31,Partner_Voice!$A:$A,Partner_Voice!I:I,"",0)="Free","Free",IF(XLOOKUP($A31,Partner_Voice!$A:$A,Partner_Voice!I:I,"",0)="VL","VL",IF(XLOOKUP($A31,Partner_Voice!$A:$A,Partner_Voice!I:I,"",0)="ATT","ATT",XLOOKUP($A31,Partner_Voice!$A:$A,Partner_Voice!I:I,"",0))))</f>
        <v>0.3333333333</v>
      </c>
      <c r="J31" s="42" t="str">
        <f t="array" ref="J31">IF(XLOOKUP($A31,Partner_Voice!$A:$A,Partner_Voice!J:J,"",0)="Free","Free",IF(XLOOKUP($A31,Partner_Voice!$A:$A,Partner_Voice!J:J,"",0)="VL","VL",IF(XLOOKUP($A31,Partner_Voice!$A:$A,Partner_Voice!J:J,"",0)="ATT","ATT",XLOOKUP($A31,Partner_Voice!$A:$A,Partner_Voice!J:J,"",0))))</f>
        <v>Free</v>
      </c>
      <c r="K31" s="42"/>
      <c r="L31" s="42">
        <f t="array" ref="L31">IF(XLOOKUP($A31,Partner_Voice!$A:$A,Partner_Voice!L:L,"",0)="Free","Free",IF(XLOOKUP($A31,Partner_Voice!$A:$A,Partner_Voice!L:L,"",0)="VL","VL",IF(XLOOKUP($A31,Partner_Voice!$A:$A,Partner_Voice!L:L,"",0)="ATT","ATT",XLOOKUP($A31,Partner_Voice!$A:$A,Partner_Voice!L:L,"",0))))</f>
        <v>0.3333333333</v>
      </c>
      <c r="M31" s="42">
        <f t="array" ref="M31">IF(XLOOKUP($A31,Partner_Voice!$A:$A,Partner_Voice!M:M,"",0)="Free","Free",IF(XLOOKUP($A31,Partner_Voice!$A:$A,Partner_Voice!M:M,"",0)="VL","VL",IF(XLOOKUP($A31,Partner_Voice!$A:$A,Partner_Voice!M:M,"",0)="ATT","ATT",XLOOKUP($A31,Partner_Voice!$A:$A,Partner_Voice!M:M,"",0))))</f>
        <v>0.3333333333</v>
      </c>
      <c r="N31" s="42">
        <f t="array" ref="N31">IF(XLOOKUP($A31,Partner_Voice!$A:$A,Partner_Voice!N:N,"",0)="Free","Free",IF(XLOOKUP($A31,Partner_Voice!$A:$A,Partner_Voice!N:N,"",0)="VL","VL",IF(XLOOKUP($A31,Partner_Voice!$A:$A,Partner_Voice!N:N,"",0)="ATT","ATT",XLOOKUP($A31,Partner_Voice!$A:$A,Partner_Voice!N:N,"",0))))</f>
        <v>0.3333333333</v>
      </c>
      <c r="O31" s="42">
        <f t="array" ref="O31">IF(XLOOKUP($A31,Partner_Voice!$A:$A,Partner_Voice!O:O,"",0)="Free","Free",IF(XLOOKUP($A31,Partner_Voice!$A:$A,Partner_Voice!O:O,"",0)="VL","VL",IF(XLOOKUP($A31,Partner_Voice!$A:$A,Partner_Voice!O:O,"",0)="ATT","ATT",XLOOKUP($A31,Partner_Voice!$A:$A,Partner_Voice!O:O,"",0))))</f>
        <v>0.4583333333</v>
      </c>
      <c r="P31" s="42">
        <f t="array" ref="P31">IF(XLOOKUP($A31,Partner_Voice!$A:$A,Partner_Voice!P:P,"",0)="Free","Free",IF(XLOOKUP($A31,Partner_Voice!$A:$A,Partner_Voice!P:P,"",0)="VL","VL",IF(XLOOKUP($A31,Partner_Voice!$A:$A,Partner_Voice!P:P,"",0)="ATT","ATT",XLOOKUP($A31,Partner_Voice!$A:$A,Partner_Voice!P:P,"",0))))</f>
        <v>0.3333333333</v>
      </c>
      <c r="Q31" s="42" t="str">
        <f t="array" ref="Q31">IF(XLOOKUP($A31,Partner_Voice!$A:$A,Partner_Voice!Q:Q,"",0)="Free","Free",IF(XLOOKUP($A31,Partner_Voice!$A:$A,Partner_Voice!Q:Q,"",0)="VL","VL",IF(XLOOKUP($A31,Partner_Voice!$A:$A,Partner_Voice!Q:Q,"",0)="ATT","ATT",XLOOKUP($A31,Partner_Voice!$A:$A,Partner_Voice!Q:Q,"",0))))</f>
        <v>Free</v>
      </c>
      <c r="R31" s="43"/>
      <c r="S31" s="42">
        <f t="array" ref="S31">IF(XLOOKUP($A31,Partner_Voice!$A:$A,Partner_Voice!S:S,"",0)="Free","Free",IF(XLOOKUP($A31,Partner_Voice!$A:$A,Partner_Voice!S:S,"",0)="VL","VL",IF(XLOOKUP($A31,Partner_Voice!$A:$A,Partner_Voice!S:S,"",0)="ATT","ATT",XLOOKUP($A31,Partner_Voice!$A:$A,Partner_Voice!S:S,"",0))))</f>
        <v>0.3333333333</v>
      </c>
      <c r="T31" s="42">
        <f t="array" ref="T31">IF(XLOOKUP($A31,Partner_Voice!$A:$A,Partner_Voice!T:T,"",0)="Free","Free",IF(XLOOKUP($A31,Partner_Voice!$A:$A,Partner_Voice!T:T,"",0)="VL","VL",IF(XLOOKUP($A31,Partner_Voice!$A:$A,Partner_Voice!T:T,"",0)="ATT","ATT",XLOOKUP($A31,Partner_Voice!$A:$A,Partner_Voice!T:T,"",0))))</f>
        <v>0.3333333333</v>
      </c>
      <c r="U31" s="42">
        <f t="array" ref="U31">IF(XLOOKUP($A31,Partner_Voice!$A:$A,Partner_Voice!U:U,"",0)="Free","Free",IF(XLOOKUP($A31,Partner_Voice!$A:$A,Partner_Voice!U:U,"",0)="VL","VL",IF(XLOOKUP($A31,Partner_Voice!$A:$A,Partner_Voice!U:U,"",0)="ATT","ATT",XLOOKUP($A31,Partner_Voice!$A:$A,Partner_Voice!U:U,"",0))))</f>
        <v>0.3333333333</v>
      </c>
      <c r="V31" s="42">
        <f t="array" ref="V31">IF(XLOOKUP($A31,Partner_Voice!$A:$A,Partner_Voice!V:V,"",0)="Free","Free",IF(XLOOKUP($A31,Partner_Voice!$A:$A,Partner_Voice!V:V,"",0)="VL","VL",IF(XLOOKUP($A31,Partner_Voice!$A:$A,Partner_Voice!V:V,"",0)="ATT","ATT",XLOOKUP($A31,Partner_Voice!$A:$A,Partner_Voice!V:V,"",0))))</f>
        <v>0.4583333333</v>
      </c>
      <c r="W31" s="42">
        <f t="array" ref="W31">IF(XLOOKUP($A31,Partner_Voice!$A:$A,Partner_Voice!W:W,"",0)="Free","Free",IF(XLOOKUP($A31,Partner_Voice!$A:$A,Partner_Voice!W:W,"",0)="VL","VL",IF(XLOOKUP($A31,Partner_Voice!$A:$A,Partner_Voice!W:W,"",0)="ATT","ATT",XLOOKUP($A31,Partner_Voice!$A:$A,Partner_Voice!W:W,"",0))))</f>
        <v>0.3333333333</v>
      </c>
      <c r="X31" s="42" t="str">
        <f t="array" ref="X31">IF(XLOOKUP($A31,Partner_Voice!$A:$A,Partner_Voice!X:X,"",0)="Free","Free",IF(XLOOKUP($A31,Partner_Voice!$A:$A,Partner_Voice!X:X,"",0)="VL","VL",IF(XLOOKUP($A31,Partner_Voice!$A:$A,Partner_Voice!X:X,"",0)="ATT","ATT",XLOOKUP($A31,Partner_Voice!$A:$A,Partner_Voice!X:X,"",0))))</f>
        <v>Free</v>
      </c>
      <c r="Y31" s="43"/>
      <c r="Z31" s="42">
        <f t="array" ref="Z31">IF(XLOOKUP($A31,Partner_Voice!$A:$A,Partner_Voice!Z:Z,"",0)="Free","Free",IF(XLOOKUP($A31,Partner_Voice!$A:$A,Partner_Voice!Z:Z,"",0)="VL","VL",IF(XLOOKUP($A31,Partner_Voice!$A:$A,Partner_Voice!Z:Z,"",0)="ATT","ATT",XLOOKUP($A31,Partner_Voice!$A:$A,Partner_Voice!Z:Z,"",0))))</f>
        <v>0.3333333333</v>
      </c>
      <c r="AA31" s="42">
        <f t="array" ref="AA31">IF(XLOOKUP($A31,Partner_Voice!$A:$A,Partner_Voice!AA:AA,"",0)="Free","Free",IF(XLOOKUP($A31,Partner_Voice!$A:$A,Partner_Voice!AA:AA,"",0)="VL","VL",IF(XLOOKUP($A31,Partner_Voice!$A:$A,Partner_Voice!AA:AA,"",0)="ATT","ATT",XLOOKUP($A31,Partner_Voice!$A:$A,Partner_Voice!AA:AA,"",0))))</f>
        <v>0.3333333333</v>
      </c>
      <c r="AB31" s="42">
        <f t="array" ref="AB31">IF(XLOOKUP($A31,Partner_Voice!$A:$A,Partner_Voice!AB:AB,"",0)="Free","Free",IF(XLOOKUP($A31,Partner_Voice!$A:$A,Partner_Voice!AB:AB,"",0)="VL","VL",IF(XLOOKUP($A31,Partner_Voice!$A:$A,Partner_Voice!AB:AB,"",0)="ATT","ATT",XLOOKUP($A31,Partner_Voice!$A:$A,Partner_Voice!AB:AB,"",0))))</f>
        <v>0.3333333333</v>
      </c>
      <c r="AC31" s="42">
        <f t="array" ref="AC31">IF(XLOOKUP($A31,Partner_Voice!$A:$A,Partner_Voice!AC:AC,"",0)="Free","Free",IF(XLOOKUP($A31,Partner_Voice!$A:$A,Partner_Voice!AC:AC,"",0)="VL","VL",IF(XLOOKUP($A31,Partner_Voice!$A:$A,Partner_Voice!AC:AC,"",0)="ATT","ATT",XLOOKUP($A31,Partner_Voice!$A:$A,Partner_Voice!AC:AC,"",0))))</f>
        <v>0.4583333333</v>
      </c>
      <c r="AD31" s="42">
        <f t="array" ref="AD31">IF(XLOOKUP($A31,Partner_Voice!$A:$A,Partner_Voice!AD:AD,"",0)="Free","Free",IF(XLOOKUP($A31,Partner_Voice!$A:$A,Partner_Voice!AD:AD,"",0)="VL","VL",IF(XLOOKUP($A31,Partner_Voice!$A:$A,Partner_Voice!AD:AD,"",0)="ATT","ATT",XLOOKUP($A31,Partner_Voice!$A:$A,Partner_Voice!AD:AD,"",0))))</f>
        <v>0.3333333333</v>
      </c>
      <c r="AE31" s="42" t="str">
        <f t="array" ref="AE31">IF(XLOOKUP($A31,Partner_Voice!$A:$A,Partner_Voice!AE:AE,"",0)="Free","Free",IF(XLOOKUP($A31,Partner_Voice!$A:$A,Partner_Voice!AE:AE,"",0)="VL","VL",IF(XLOOKUP($A31,Partner_Voice!$A:$A,Partner_Voice!AE:AE,"",0)="ATT","ATT",XLOOKUP($A31,Partner_Voice!$A:$A,Partner_Voice!AE:AE,"",0))))</f>
        <v>Free</v>
      </c>
      <c r="AF31" s="69"/>
      <c r="AG31" s="42">
        <f t="array" ref="AG31">IF(XLOOKUP($A31,Partner_Voice!$A:$A,Partner_Voice!AG:AG,"",0)="Free","Free",IF(XLOOKUP($A31,Partner_Voice!$A:$A,Partner_Voice!AG:AG,"",0)="VL","VL",IF(XLOOKUP($A31,Partner_Voice!$A:$A,Partner_Voice!AG:AG,"",0)="ATT","ATT",XLOOKUP($A31,Partner_Voice!$A:$A,Partner_Voice!AG:AG,"",0))))</f>
        <v>0.3333333333</v>
      </c>
      <c r="AH31" s="42">
        <f t="array" ref="AH31">IF(XLOOKUP($A31,Partner_Voice!$A:$A,Partner_Voice!AH:AH,"",0)="Free","Free",IF(XLOOKUP($A31,Partner_Voice!$A:$A,Partner_Voice!AH:AH,"",0)="VL","VL",IF(XLOOKUP($A31,Partner_Voice!$A:$A,Partner_Voice!AH:AH,"",0)="ATT","ATT",XLOOKUP($A31,Partner_Voice!$A:$A,Partner_Voice!AH:AH,"",0))))</f>
        <v>0.3333333333</v>
      </c>
      <c r="AI31" s="42">
        <f t="array" ref="AI31">IF(XLOOKUP($A31,Partner_Voice!$A:$A,Partner_Voice!AI:AI,"",0)="Free","Free",IF(XLOOKUP($A31,Partner_Voice!$A:$A,Partner_Voice!AI:AI,"",0)="VL","VL",IF(XLOOKUP($A31,Partner_Voice!$A:$A,Partner_Voice!AI:AI,"",0)="ATT","ATT",XLOOKUP($A31,Partner_Voice!$A:$A,Partner_Voice!AI:AI,"",0))))</f>
        <v>0.3333333333</v>
      </c>
      <c r="AJ31" s="42">
        <f t="array" ref="AJ31">IF(XLOOKUP($A31,Partner_Voice!$A:$A,Partner_Voice!AJ:AJ,"",0)="Free","Free",IF(XLOOKUP($A31,Partner_Voice!$A:$A,Partner_Voice!AJ:AJ,"",0)="VL","VL",IF(XLOOKUP($A31,Partner_Voice!$A:$A,Partner_Voice!AJ:AJ,"",0)="ATT","ATT",XLOOKUP($A31,Partner_Voice!$A:$A,Partner_Voice!AJ:AJ,"",0))))</f>
        <v>0.4583333333</v>
      </c>
      <c r="AK31" s="42">
        <f t="array" ref="AK31">IF(XLOOKUP($A31,Partner_Voice!$A:$A,Partner_Voice!AK:AK,"",0)="Free","Free",IF(XLOOKUP($A31,Partner_Voice!$A:$A,Partner_Voice!AK:AK,"",0)="VL","VL",IF(XLOOKUP($A31,Partner_Voice!$A:$A,Partner_Voice!AK:AK,"",0)="ATT","ATT",XLOOKUP($A31,Partner_Voice!$A:$A,Partner_Voice!AK:AK,"",0))))</f>
        <v>0.3333333333</v>
      </c>
      <c r="AL31" s="42" t="str">
        <f t="array" ref="AL31">IF(XLOOKUP($A31,Partner_Voice!$A:$A,Partner_Voice!AL:AL,"",0)="Free","Free",IF(XLOOKUP($A31,Partner_Voice!$A:$A,Partner_Voice!AL:AL,"",0)="VL","VL",IF(XLOOKUP($A31,Partner_Voice!$A:$A,Partner_Voice!AL:AL,"",0)="ATT","ATT",XLOOKUP($A31,Partner_Voice!$A:$A,Partner_Voice!AL:AL,"",0))))</f>
        <v>Free</v>
      </c>
      <c r="AM31" s="42"/>
    </row>
    <row r="32">
      <c r="A32" s="47" t="s">
        <v>68</v>
      </c>
      <c r="B32" s="35" t="str">
        <f t="array" ref="B32">XLOOKUP(A32,Roster!F:F,Roster!A:A,"")</f>
        <v>Daniel Bustamante</v>
      </c>
      <c r="C32" s="35" t="str">
        <f t="array" ref="C32">XLOOKUP(A32,Roster!F:F,Roster!B:B,"")</f>
        <v>Oscar Roldan</v>
      </c>
      <c r="D32" s="70"/>
      <c r="E32" s="42">
        <f t="array" ref="E32">IF(XLOOKUP($A32,Partner_Voice!$A:$A,Partner_Voice!E:E,"",0)="Free","Free",IF(XLOOKUP($A32,Partner_Voice!$A:$A,Partner_Voice!E:E,"",0)="VL","VL",IF(XLOOKUP($A32,Partner_Voice!$A:$A,Partner_Voice!E:E,"",0)="ATT","ATT",XLOOKUP($A32,Partner_Voice!$A:$A,Partner_Voice!E:E,"",0))))</f>
        <v>0.4583333333</v>
      </c>
      <c r="F32" s="42">
        <f t="array" ref="F32">IF(XLOOKUP($A32,Partner_Voice!$A:$A,Partner_Voice!F:F,"",0)="Free","Free",IF(XLOOKUP($A32,Partner_Voice!$A:$A,Partner_Voice!F:F,"",0)="VL","VL",IF(XLOOKUP($A32,Partner_Voice!$A:$A,Partner_Voice!F:F,"",0)="ATT","ATT",XLOOKUP($A32,Partner_Voice!$A:$A,Partner_Voice!F:F,"",0))))</f>
        <v>0.4583333333</v>
      </c>
      <c r="G32" s="42">
        <f t="array" ref="G32">IF(XLOOKUP($A32,Partner_Voice!$A:$A,Partner_Voice!G:G,"",0)="Free","Free",IF(XLOOKUP($A32,Partner_Voice!$A:$A,Partner_Voice!G:G,"",0)="VL","VL",IF(XLOOKUP($A32,Partner_Voice!$A:$A,Partner_Voice!G:G,"",0)="ATT","ATT",XLOOKUP($A32,Partner_Voice!$A:$A,Partner_Voice!G:G,"",0))))</f>
        <v>0.4583333333</v>
      </c>
      <c r="H32" s="42">
        <f t="array" ref="H32">IF(XLOOKUP($A32,Partner_Voice!$A:$A,Partner_Voice!H:H,"",0)="Free","Free",IF(XLOOKUP($A32,Partner_Voice!$A:$A,Partner_Voice!H:H,"",0)="VL","VL",IF(XLOOKUP($A32,Partner_Voice!$A:$A,Partner_Voice!H:H,"",0)="ATT","ATT",XLOOKUP($A32,Partner_Voice!$A:$A,Partner_Voice!H:H,"",0))))</f>
        <v>0.4583333333</v>
      </c>
      <c r="I32" s="42" t="str">
        <f t="array" ref="I32">IF(XLOOKUP($A32,Partner_Voice!$A:$A,Partner_Voice!I:I,"",0)="Free","Free",IF(XLOOKUP($A32,Partner_Voice!$A:$A,Partner_Voice!I:I,"",0)="VL","VL",IF(XLOOKUP($A32,Partner_Voice!$A:$A,Partner_Voice!I:I,"",0)="ATT","ATT",XLOOKUP($A32,Partner_Voice!$A:$A,Partner_Voice!I:I,"",0))))</f>
        <v>Free</v>
      </c>
      <c r="J32" s="42">
        <f t="array" ref="J32">IF(XLOOKUP($A32,Partner_Voice!$A:$A,Partner_Voice!J:J,"",0)="Free","Free",IF(XLOOKUP($A32,Partner_Voice!$A:$A,Partner_Voice!J:J,"",0)="VL","VL",IF(XLOOKUP($A32,Partner_Voice!$A:$A,Partner_Voice!J:J,"",0)="ATT","ATT",XLOOKUP($A32,Partner_Voice!$A:$A,Partner_Voice!J:J,"",0))))</f>
        <v>0.4583333333</v>
      </c>
      <c r="K32" s="42"/>
      <c r="L32" s="42">
        <f t="array" ref="L32">IF(XLOOKUP($A32,Partner_Voice!$A:$A,Partner_Voice!L:L,"",0)="Free","Free",IF(XLOOKUP($A32,Partner_Voice!$A:$A,Partner_Voice!L:L,"",0)="VL","VL",IF(XLOOKUP($A32,Partner_Voice!$A:$A,Partner_Voice!L:L,"",0)="ATT","ATT",XLOOKUP($A32,Partner_Voice!$A:$A,Partner_Voice!L:L,"",0))))</f>
        <v>0.4583333333</v>
      </c>
      <c r="M32" s="42">
        <f t="array" ref="M32">IF(XLOOKUP($A32,Partner_Voice!$A:$A,Partner_Voice!M:M,"",0)="Free","Free",IF(XLOOKUP($A32,Partner_Voice!$A:$A,Partner_Voice!M:M,"",0)="VL","VL",IF(XLOOKUP($A32,Partner_Voice!$A:$A,Partner_Voice!M:M,"",0)="ATT","ATT",XLOOKUP($A32,Partner_Voice!$A:$A,Partner_Voice!M:M,"",0))))</f>
        <v>0.4583333333</v>
      </c>
      <c r="N32" s="42">
        <f t="array" ref="N32">IF(XLOOKUP($A32,Partner_Voice!$A:$A,Partner_Voice!N:N,"",0)="Free","Free",IF(XLOOKUP($A32,Partner_Voice!$A:$A,Partner_Voice!N:N,"",0)="VL","VL",IF(XLOOKUP($A32,Partner_Voice!$A:$A,Partner_Voice!N:N,"",0)="ATT","ATT",XLOOKUP($A32,Partner_Voice!$A:$A,Partner_Voice!N:N,"",0))))</f>
        <v>0.4583333333</v>
      </c>
      <c r="O32" s="42">
        <f t="array" ref="O32">IF(XLOOKUP($A32,Partner_Voice!$A:$A,Partner_Voice!O:O,"",0)="Free","Free",IF(XLOOKUP($A32,Partner_Voice!$A:$A,Partner_Voice!O:O,"",0)="VL","VL",IF(XLOOKUP($A32,Partner_Voice!$A:$A,Partner_Voice!O:O,"",0)="ATT","ATT",XLOOKUP($A32,Partner_Voice!$A:$A,Partner_Voice!O:O,"",0))))</f>
        <v>0.4583333333</v>
      </c>
      <c r="P32" s="42" t="str">
        <f t="array" ref="P32">IF(XLOOKUP($A32,Partner_Voice!$A:$A,Partner_Voice!P:P,"",0)="Free","Free",IF(XLOOKUP($A32,Partner_Voice!$A:$A,Partner_Voice!P:P,"",0)="VL","VL",IF(XLOOKUP($A32,Partner_Voice!$A:$A,Partner_Voice!P:P,"",0)="ATT","ATT",XLOOKUP($A32,Partner_Voice!$A:$A,Partner_Voice!P:P,"",0))))</f>
        <v>Free</v>
      </c>
      <c r="Q32" s="42">
        <f t="array" ref="Q32">IF(XLOOKUP($A32,Partner_Voice!$A:$A,Partner_Voice!Q:Q,"",0)="Free","Free",IF(XLOOKUP($A32,Partner_Voice!$A:$A,Partner_Voice!Q:Q,"",0)="VL","VL",IF(XLOOKUP($A32,Partner_Voice!$A:$A,Partner_Voice!Q:Q,"",0)="ATT","ATT",XLOOKUP($A32,Partner_Voice!$A:$A,Partner_Voice!Q:Q,"",0))))</f>
        <v>0.4583333333</v>
      </c>
      <c r="R32" s="43"/>
      <c r="S32" s="42">
        <f t="array" ref="S32">IF(XLOOKUP($A32,Partner_Voice!$A:$A,Partner_Voice!S:S,"",0)="Free","Free",IF(XLOOKUP($A32,Partner_Voice!$A:$A,Partner_Voice!S:S,"",0)="VL","VL",IF(XLOOKUP($A32,Partner_Voice!$A:$A,Partner_Voice!S:S,"",0)="ATT","ATT",XLOOKUP($A32,Partner_Voice!$A:$A,Partner_Voice!S:S,"",0))))</f>
        <v>0.4583333333</v>
      </c>
      <c r="T32" s="42">
        <f t="array" ref="T32">IF(XLOOKUP($A32,Partner_Voice!$A:$A,Partner_Voice!T:T,"",0)="Free","Free",IF(XLOOKUP($A32,Partner_Voice!$A:$A,Partner_Voice!T:T,"",0)="VL","VL",IF(XLOOKUP($A32,Partner_Voice!$A:$A,Partner_Voice!T:T,"",0)="ATT","ATT",XLOOKUP($A32,Partner_Voice!$A:$A,Partner_Voice!T:T,"",0))))</f>
        <v>0.4583333333</v>
      </c>
      <c r="U32" s="42">
        <f t="array" ref="U32">IF(XLOOKUP($A32,Partner_Voice!$A:$A,Partner_Voice!U:U,"",0)="Free","Free",IF(XLOOKUP($A32,Partner_Voice!$A:$A,Partner_Voice!U:U,"",0)="VL","VL",IF(XLOOKUP($A32,Partner_Voice!$A:$A,Partner_Voice!U:U,"",0)="ATT","ATT",XLOOKUP($A32,Partner_Voice!$A:$A,Partner_Voice!U:U,"",0))))</f>
        <v>0.4583333333</v>
      </c>
      <c r="V32" s="42">
        <f t="array" ref="V32">IF(XLOOKUP($A32,Partner_Voice!$A:$A,Partner_Voice!V:V,"",0)="Free","Free",IF(XLOOKUP($A32,Partner_Voice!$A:$A,Partner_Voice!V:V,"",0)="VL","VL",IF(XLOOKUP($A32,Partner_Voice!$A:$A,Partner_Voice!V:V,"",0)="ATT","ATT",XLOOKUP($A32,Partner_Voice!$A:$A,Partner_Voice!V:V,"",0))))</f>
        <v>0.4583333333</v>
      </c>
      <c r="W32" s="42" t="str">
        <f t="array" ref="W32">IF(XLOOKUP($A32,Partner_Voice!$A:$A,Partner_Voice!W:W,"",0)="Free","Free",IF(XLOOKUP($A32,Partner_Voice!$A:$A,Partner_Voice!W:W,"",0)="VL","VL",IF(XLOOKUP($A32,Partner_Voice!$A:$A,Partner_Voice!W:W,"",0)="ATT","ATT",XLOOKUP($A32,Partner_Voice!$A:$A,Partner_Voice!W:W,"",0))))</f>
        <v>Free</v>
      </c>
      <c r="X32" s="42">
        <f t="array" ref="X32">IF(XLOOKUP($A32,Partner_Voice!$A:$A,Partner_Voice!X:X,"",0)="Free","Free",IF(XLOOKUP($A32,Partner_Voice!$A:$A,Partner_Voice!X:X,"",0)="VL","VL",IF(XLOOKUP($A32,Partner_Voice!$A:$A,Partner_Voice!X:X,"",0)="ATT","ATT",XLOOKUP($A32,Partner_Voice!$A:$A,Partner_Voice!X:X,"",0))))</f>
        <v>0.4583333333</v>
      </c>
      <c r="Y32" s="43"/>
      <c r="Z32" s="42">
        <f t="array" ref="Z32">IF(XLOOKUP($A32,Partner_Voice!$A:$A,Partner_Voice!Z:Z,"",0)="Free","Free",IF(XLOOKUP($A32,Partner_Voice!$A:$A,Partner_Voice!Z:Z,"",0)="VL","VL",IF(XLOOKUP($A32,Partner_Voice!$A:$A,Partner_Voice!Z:Z,"",0)="ATT","ATT",XLOOKUP($A32,Partner_Voice!$A:$A,Partner_Voice!Z:Z,"",0))))</f>
        <v>0.4583333333</v>
      </c>
      <c r="AA32" s="42">
        <f t="array" ref="AA32">IF(XLOOKUP($A32,Partner_Voice!$A:$A,Partner_Voice!AA:AA,"",0)="Free","Free",IF(XLOOKUP($A32,Partner_Voice!$A:$A,Partner_Voice!AA:AA,"",0)="VL","VL",IF(XLOOKUP($A32,Partner_Voice!$A:$A,Partner_Voice!AA:AA,"",0)="ATT","ATT",XLOOKUP($A32,Partner_Voice!$A:$A,Partner_Voice!AA:AA,"",0))))</f>
        <v>0.4583333333</v>
      </c>
      <c r="AB32" s="42">
        <f t="array" ref="AB32">IF(XLOOKUP($A32,Partner_Voice!$A:$A,Partner_Voice!AB:AB,"",0)="Free","Free",IF(XLOOKUP($A32,Partner_Voice!$A:$A,Partner_Voice!AB:AB,"",0)="VL","VL",IF(XLOOKUP($A32,Partner_Voice!$A:$A,Partner_Voice!AB:AB,"",0)="ATT","ATT",XLOOKUP($A32,Partner_Voice!$A:$A,Partner_Voice!AB:AB,"",0))))</f>
        <v>0.4583333333</v>
      </c>
      <c r="AC32" s="42">
        <f t="array" ref="AC32">IF(XLOOKUP($A32,Partner_Voice!$A:$A,Partner_Voice!AC:AC,"",0)="Free","Free",IF(XLOOKUP($A32,Partner_Voice!$A:$A,Partner_Voice!AC:AC,"",0)="VL","VL",IF(XLOOKUP($A32,Partner_Voice!$A:$A,Partner_Voice!AC:AC,"",0)="ATT","ATT",XLOOKUP($A32,Partner_Voice!$A:$A,Partner_Voice!AC:AC,"",0))))</f>
        <v>0.4583333333</v>
      </c>
      <c r="AD32" s="42" t="str">
        <f t="array" ref="AD32">IF(XLOOKUP($A32,Partner_Voice!$A:$A,Partner_Voice!AD:AD,"",0)="Free","Free",IF(XLOOKUP($A32,Partner_Voice!$A:$A,Partner_Voice!AD:AD,"",0)="VL","VL",IF(XLOOKUP($A32,Partner_Voice!$A:$A,Partner_Voice!AD:AD,"",0)="ATT","ATT",XLOOKUP($A32,Partner_Voice!$A:$A,Partner_Voice!AD:AD,"",0))))</f>
        <v>Free</v>
      </c>
      <c r="AE32" s="42">
        <f t="array" ref="AE32">IF(XLOOKUP($A32,Partner_Voice!$A:$A,Partner_Voice!AE:AE,"",0)="Free","Free",IF(XLOOKUP($A32,Partner_Voice!$A:$A,Partner_Voice!AE:AE,"",0)="VL","VL",IF(XLOOKUP($A32,Partner_Voice!$A:$A,Partner_Voice!AE:AE,"",0)="ATT","ATT",XLOOKUP($A32,Partner_Voice!$A:$A,Partner_Voice!AE:AE,"",0))))</f>
        <v>0.4583333333</v>
      </c>
      <c r="AF32" s="69"/>
      <c r="AG32" s="42">
        <f t="array" ref="AG32">IF(XLOOKUP($A32,Partner_Voice!$A:$A,Partner_Voice!AG:AG,"",0)="Free","Free",IF(XLOOKUP($A32,Partner_Voice!$A:$A,Partner_Voice!AG:AG,"",0)="VL","VL",IF(XLOOKUP($A32,Partner_Voice!$A:$A,Partner_Voice!AG:AG,"",0)="ATT","ATT",XLOOKUP($A32,Partner_Voice!$A:$A,Partner_Voice!AG:AG,"",0))))</f>
        <v>0.4583333333</v>
      </c>
      <c r="AH32" s="42">
        <f t="array" ref="AH32">IF(XLOOKUP($A32,Partner_Voice!$A:$A,Partner_Voice!AH:AH,"",0)="Free","Free",IF(XLOOKUP($A32,Partner_Voice!$A:$A,Partner_Voice!AH:AH,"",0)="VL","VL",IF(XLOOKUP($A32,Partner_Voice!$A:$A,Partner_Voice!AH:AH,"",0)="ATT","ATT",XLOOKUP($A32,Partner_Voice!$A:$A,Partner_Voice!AH:AH,"",0))))</f>
        <v>0.4583333333</v>
      </c>
      <c r="AI32" s="42">
        <f t="array" ref="AI32">IF(XLOOKUP($A32,Partner_Voice!$A:$A,Partner_Voice!AI:AI,"",0)="Free","Free",IF(XLOOKUP($A32,Partner_Voice!$A:$A,Partner_Voice!AI:AI,"",0)="VL","VL",IF(XLOOKUP($A32,Partner_Voice!$A:$A,Partner_Voice!AI:AI,"",0)="ATT","ATT",XLOOKUP($A32,Partner_Voice!$A:$A,Partner_Voice!AI:AI,"",0))))</f>
        <v>0.4583333333</v>
      </c>
      <c r="AJ32" s="42">
        <f t="array" ref="AJ32">IF(XLOOKUP($A32,Partner_Voice!$A:$A,Partner_Voice!AJ:AJ,"",0)="Free","Free",IF(XLOOKUP($A32,Partner_Voice!$A:$A,Partner_Voice!AJ:AJ,"",0)="VL","VL",IF(XLOOKUP($A32,Partner_Voice!$A:$A,Partner_Voice!AJ:AJ,"",0)="ATT","ATT",XLOOKUP($A32,Partner_Voice!$A:$A,Partner_Voice!AJ:AJ,"",0))))</f>
        <v>0.4583333333</v>
      </c>
      <c r="AK32" s="42" t="str">
        <f t="array" ref="AK32">IF(XLOOKUP($A32,Partner_Voice!$A:$A,Partner_Voice!AK:AK,"",0)="Free","Free",IF(XLOOKUP($A32,Partner_Voice!$A:$A,Partner_Voice!AK:AK,"",0)="VL","VL",IF(XLOOKUP($A32,Partner_Voice!$A:$A,Partner_Voice!AK:AK,"",0)="ATT","ATT",XLOOKUP($A32,Partner_Voice!$A:$A,Partner_Voice!AK:AK,"",0))))</f>
        <v>Free</v>
      </c>
      <c r="AL32" s="42">
        <f t="array" ref="AL32">IF(XLOOKUP($A32,Partner_Voice!$A:$A,Partner_Voice!AL:AL,"",0)="Free","Free",IF(XLOOKUP($A32,Partner_Voice!$A:$A,Partner_Voice!AL:AL,"",0)="VL","VL",IF(XLOOKUP($A32,Partner_Voice!$A:$A,Partner_Voice!AL:AL,"",0)="ATT","ATT",XLOOKUP($A32,Partner_Voice!$A:$A,Partner_Voice!AL:AL,"",0))))</f>
        <v>0.4583333333</v>
      </c>
      <c r="AM32" s="42"/>
    </row>
    <row r="33">
      <c r="A33" s="47" t="s">
        <v>71</v>
      </c>
      <c r="B33" s="35" t="str">
        <f t="array" ref="B33">XLOOKUP(A33,Roster!F:F,Roster!A:A,"")</f>
        <v>Daniel Bustamante</v>
      </c>
      <c r="C33" s="35" t="str">
        <f t="array" ref="C33">XLOOKUP(A33,Roster!F:F,Roster!B:B,"")</f>
        <v>Samuel Acevedo Cadavid</v>
      </c>
      <c r="D33" s="70"/>
      <c r="E33" s="42">
        <f t="array" ref="E33">IF(XLOOKUP($A33,Partner_Voice!$A:$A,Partner_Voice!E:E,"",0)="Free","Free",IF(XLOOKUP($A33,Partner_Voice!$A:$A,Partner_Voice!E:E,"",0)="VL","VL",IF(XLOOKUP($A33,Partner_Voice!$A:$A,Partner_Voice!E:E,"",0)="ATT","ATT",XLOOKUP($A33,Partner_Voice!$A:$A,Partner_Voice!E:E,"",0))))</f>
        <v>0.4583333333</v>
      </c>
      <c r="F33" s="42">
        <f t="array" ref="F33">IF(XLOOKUP($A33,Partner_Voice!$A:$A,Partner_Voice!F:F,"",0)="Free","Free",IF(XLOOKUP($A33,Partner_Voice!$A:$A,Partner_Voice!F:F,"",0)="VL","VL",IF(XLOOKUP($A33,Partner_Voice!$A:$A,Partner_Voice!F:F,"",0)="ATT","ATT",XLOOKUP($A33,Partner_Voice!$A:$A,Partner_Voice!F:F,"",0))))</f>
        <v>0.4583333333</v>
      </c>
      <c r="G33" s="42">
        <f t="array" ref="G33">IF(XLOOKUP($A33,Partner_Voice!$A:$A,Partner_Voice!G:G,"",0)="Free","Free",IF(XLOOKUP($A33,Partner_Voice!$A:$A,Partner_Voice!G:G,"",0)="VL","VL",IF(XLOOKUP($A33,Partner_Voice!$A:$A,Partner_Voice!G:G,"",0)="ATT","ATT",XLOOKUP($A33,Partner_Voice!$A:$A,Partner_Voice!G:G,"",0))))</f>
        <v>0.4583333333</v>
      </c>
      <c r="H33" s="42" t="str">
        <f t="array" ref="H33">IF(XLOOKUP($A33,Partner_Voice!$A:$A,Partner_Voice!H:H,"",0)="Free","Free",IF(XLOOKUP($A33,Partner_Voice!$A:$A,Partner_Voice!H:H,"",0)="VL","VL",IF(XLOOKUP($A33,Partner_Voice!$A:$A,Partner_Voice!H:H,"",0)="ATT","ATT",XLOOKUP($A33,Partner_Voice!$A:$A,Partner_Voice!H:H,"",0))))</f>
        <v>Free</v>
      </c>
      <c r="I33" s="42">
        <f t="array" ref="I33">IF(XLOOKUP($A33,Partner_Voice!$A:$A,Partner_Voice!I:I,"",0)="Free","Free",IF(XLOOKUP($A33,Partner_Voice!$A:$A,Partner_Voice!I:I,"",0)="VL","VL",IF(XLOOKUP($A33,Partner_Voice!$A:$A,Partner_Voice!I:I,"",0)="ATT","ATT",XLOOKUP($A33,Partner_Voice!$A:$A,Partner_Voice!I:I,"",0))))</f>
        <v>0.4583333333</v>
      </c>
      <c r="J33" s="42">
        <f t="array" ref="J33">IF(XLOOKUP($A33,Partner_Voice!$A:$A,Partner_Voice!J:J,"",0)="Free","Free",IF(XLOOKUP($A33,Partner_Voice!$A:$A,Partner_Voice!J:J,"",0)="VL","VL",IF(XLOOKUP($A33,Partner_Voice!$A:$A,Partner_Voice!J:J,"",0)="ATT","ATT",XLOOKUP($A33,Partner_Voice!$A:$A,Partner_Voice!J:J,"",0))))</f>
        <v>0.3333333333</v>
      </c>
      <c r="K33" s="42"/>
      <c r="L33" s="42">
        <f t="array" ref="L33">IF(XLOOKUP($A33,Partner_Voice!$A:$A,Partner_Voice!L:L,"",0)="Free","Free",IF(XLOOKUP($A33,Partner_Voice!$A:$A,Partner_Voice!L:L,"",0)="VL","VL",IF(XLOOKUP($A33,Partner_Voice!$A:$A,Partner_Voice!L:L,"",0)="ATT","ATT",XLOOKUP($A33,Partner_Voice!$A:$A,Partner_Voice!L:L,"",0))))</f>
        <v>0.4583333333</v>
      </c>
      <c r="M33" s="42">
        <f t="array" ref="M33">IF(XLOOKUP($A33,Partner_Voice!$A:$A,Partner_Voice!M:M,"",0)="Free","Free",IF(XLOOKUP($A33,Partner_Voice!$A:$A,Partner_Voice!M:M,"",0)="VL","VL",IF(XLOOKUP($A33,Partner_Voice!$A:$A,Partner_Voice!M:M,"",0)="ATT","ATT",XLOOKUP($A33,Partner_Voice!$A:$A,Partner_Voice!M:M,"",0))))</f>
        <v>0.4583333333</v>
      </c>
      <c r="N33" s="42">
        <f t="array" ref="N33">IF(XLOOKUP($A33,Partner_Voice!$A:$A,Partner_Voice!N:N,"",0)="Free","Free",IF(XLOOKUP($A33,Partner_Voice!$A:$A,Partner_Voice!N:N,"",0)="VL","VL",IF(XLOOKUP($A33,Partner_Voice!$A:$A,Partner_Voice!N:N,"",0)="ATT","ATT",XLOOKUP($A33,Partner_Voice!$A:$A,Partner_Voice!N:N,"",0))))</f>
        <v>0.4583333333</v>
      </c>
      <c r="O33" s="42" t="str">
        <f t="array" ref="O33">IF(XLOOKUP($A33,Partner_Voice!$A:$A,Partner_Voice!O:O,"",0)="Free","Free",IF(XLOOKUP($A33,Partner_Voice!$A:$A,Partner_Voice!O:O,"",0)="VL","VL",IF(XLOOKUP($A33,Partner_Voice!$A:$A,Partner_Voice!O:O,"",0)="ATT","ATT",XLOOKUP($A33,Partner_Voice!$A:$A,Partner_Voice!O:O,"",0))))</f>
        <v>Free</v>
      </c>
      <c r="P33" s="42">
        <f t="array" ref="P33">IF(XLOOKUP($A33,Partner_Voice!$A:$A,Partner_Voice!P:P,"",0)="Free","Free",IF(XLOOKUP($A33,Partner_Voice!$A:$A,Partner_Voice!P:P,"",0)="VL","VL",IF(XLOOKUP($A33,Partner_Voice!$A:$A,Partner_Voice!P:P,"",0)="ATT","ATT",XLOOKUP($A33,Partner_Voice!$A:$A,Partner_Voice!P:P,"",0))))</f>
        <v>0.4583333333</v>
      </c>
      <c r="Q33" s="42">
        <f t="array" ref="Q33">IF(XLOOKUP($A33,Partner_Voice!$A:$A,Partner_Voice!Q:Q,"",0)="Free","Free",IF(XLOOKUP($A33,Partner_Voice!$A:$A,Partner_Voice!Q:Q,"",0)="VL","VL",IF(XLOOKUP($A33,Partner_Voice!$A:$A,Partner_Voice!Q:Q,"",0)="ATT","ATT",XLOOKUP($A33,Partner_Voice!$A:$A,Partner_Voice!Q:Q,"",0))))</f>
        <v>0.3333333333</v>
      </c>
      <c r="R33" s="43"/>
      <c r="S33" s="42">
        <f t="array" ref="S33">IF(XLOOKUP($A33,Partner_Voice!$A:$A,Partner_Voice!S:S,"",0)="Free","Free",IF(XLOOKUP($A33,Partner_Voice!$A:$A,Partner_Voice!S:S,"",0)="VL","VL",IF(XLOOKUP($A33,Partner_Voice!$A:$A,Partner_Voice!S:S,"",0)="ATT","ATT",XLOOKUP($A33,Partner_Voice!$A:$A,Partner_Voice!S:S,"",0))))</f>
        <v>0.4583333333</v>
      </c>
      <c r="T33" s="42">
        <f t="array" ref="T33">IF(XLOOKUP($A33,Partner_Voice!$A:$A,Partner_Voice!T:T,"",0)="Free","Free",IF(XLOOKUP($A33,Partner_Voice!$A:$A,Partner_Voice!T:T,"",0)="VL","VL",IF(XLOOKUP($A33,Partner_Voice!$A:$A,Partner_Voice!T:T,"",0)="ATT","ATT",XLOOKUP($A33,Partner_Voice!$A:$A,Partner_Voice!T:T,"",0))))</f>
        <v>0.4583333333</v>
      </c>
      <c r="U33" s="42">
        <f t="array" ref="U33">IF(XLOOKUP($A33,Partner_Voice!$A:$A,Partner_Voice!U:U,"",0)="Free","Free",IF(XLOOKUP($A33,Partner_Voice!$A:$A,Partner_Voice!U:U,"",0)="VL","VL",IF(XLOOKUP($A33,Partner_Voice!$A:$A,Partner_Voice!U:U,"",0)="ATT","ATT",XLOOKUP($A33,Partner_Voice!$A:$A,Partner_Voice!U:U,"",0))))</f>
        <v>0.4583333333</v>
      </c>
      <c r="V33" s="42" t="str">
        <f t="array" ref="V33">IF(XLOOKUP($A33,Partner_Voice!$A:$A,Partner_Voice!V:V,"",0)="Free","Free",IF(XLOOKUP($A33,Partner_Voice!$A:$A,Partner_Voice!V:V,"",0)="VL","VL",IF(XLOOKUP($A33,Partner_Voice!$A:$A,Partner_Voice!V:V,"",0)="ATT","ATT",XLOOKUP($A33,Partner_Voice!$A:$A,Partner_Voice!V:V,"",0))))</f>
        <v>Free</v>
      </c>
      <c r="W33" s="42">
        <f t="array" ref="W33">IF(XLOOKUP($A33,Partner_Voice!$A:$A,Partner_Voice!W:W,"",0)="Free","Free",IF(XLOOKUP($A33,Partner_Voice!$A:$A,Partner_Voice!W:W,"",0)="VL","VL",IF(XLOOKUP($A33,Partner_Voice!$A:$A,Partner_Voice!W:W,"",0)="ATT","ATT",XLOOKUP($A33,Partner_Voice!$A:$A,Partner_Voice!W:W,"",0))))</f>
        <v>0.4583333333</v>
      </c>
      <c r="X33" s="42">
        <f t="array" ref="X33">IF(XLOOKUP($A33,Partner_Voice!$A:$A,Partner_Voice!X:X,"",0)="Free","Free",IF(XLOOKUP($A33,Partner_Voice!$A:$A,Partner_Voice!X:X,"",0)="VL","VL",IF(XLOOKUP($A33,Partner_Voice!$A:$A,Partner_Voice!X:X,"",0)="ATT","ATT",XLOOKUP($A33,Partner_Voice!$A:$A,Partner_Voice!X:X,"",0))))</f>
        <v>0.3333333333</v>
      </c>
      <c r="Y33" s="43"/>
      <c r="Z33" s="42">
        <f t="array" ref="Z33">IF(XLOOKUP($A33,Partner_Voice!$A:$A,Partner_Voice!Z:Z,"",0)="Free","Free",IF(XLOOKUP($A33,Partner_Voice!$A:$A,Partner_Voice!Z:Z,"",0)="VL","VL",IF(XLOOKUP($A33,Partner_Voice!$A:$A,Partner_Voice!Z:Z,"",0)="ATT","ATT",XLOOKUP($A33,Partner_Voice!$A:$A,Partner_Voice!Z:Z,"",0))))</f>
        <v>0.4583333333</v>
      </c>
      <c r="AA33" s="42">
        <f t="array" ref="AA33">IF(XLOOKUP($A33,Partner_Voice!$A:$A,Partner_Voice!AA:AA,"",0)="Free","Free",IF(XLOOKUP($A33,Partner_Voice!$A:$A,Partner_Voice!AA:AA,"",0)="VL","VL",IF(XLOOKUP($A33,Partner_Voice!$A:$A,Partner_Voice!AA:AA,"",0)="ATT","ATT",XLOOKUP($A33,Partner_Voice!$A:$A,Partner_Voice!AA:AA,"",0))))</f>
        <v>0.4583333333</v>
      </c>
      <c r="AB33" s="42">
        <f t="array" ref="AB33">IF(XLOOKUP($A33,Partner_Voice!$A:$A,Partner_Voice!AB:AB,"",0)="Free","Free",IF(XLOOKUP($A33,Partner_Voice!$A:$A,Partner_Voice!AB:AB,"",0)="VL","VL",IF(XLOOKUP($A33,Partner_Voice!$A:$A,Partner_Voice!AB:AB,"",0)="ATT","ATT",XLOOKUP($A33,Partner_Voice!$A:$A,Partner_Voice!AB:AB,"",0))))</f>
        <v>0.4583333333</v>
      </c>
      <c r="AC33" s="42" t="str">
        <f t="array" ref="AC33">IF(XLOOKUP($A33,Partner_Voice!$A:$A,Partner_Voice!AC:AC,"",0)="Free","Free",IF(XLOOKUP($A33,Partner_Voice!$A:$A,Partner_Voice!AC:AC,"",0)="VL","VL",IF(XLOOKUP($A33,Partner_Voice!$A:$A,Partner_Voice!AC:AC,"",0)="ATT","ATT",XLOOKUP($A33,Partner_Voice!$A:$A,Partner_Voice!AC:AC,"",0))))</f>
        <v>Free</v>
      </c>
      <c r="AD33" s="42">
        <f t="array" ref="AD33">IF(XLOOKUP($A33,Partner_Voice!$A:$A,Partner_Voice!AD:AD,"",0)="Free","Free",IF(XLOOKUP($A33,Partner_Voice!$A:$A,Partner_Voice!AD:AD,"",0)="VL","VL",IF(XLOOKUP($A33,Partner_Voice!$A:$A,Partner_Voice!AD:AD,"",0)="ATT","ATT",XLOOKUP($A33,Partner_Voice!$A:$A,Partner_Voice!AD:AD,"",0))))</f>
        <v>0.4583333333</v>
      </c>
      <c r="AE33" s="42">
        <f t="array" ref="AE33">IF(XLOOKUP($A33,Partner_Voice!$A:$A,Partner_Voice!AE:AE,"",0)="Free","Free",IF(XLOOKUP($A33,Partner_Voice!$A:$A,Partner_Voice!AE:AE,"",0)="VL","VL",IF(XLOOKUP($A33,Partner_Voice!$A:$A,Partner_Voice!AE:AE,"",0)="ATT","ATT",XLOOKUP($A33,Partner_Voice!$A:$A,Partner_Voice!AE:AE,"",0))))</f>
        <v>0.3333333333</v>
      </c>
      <c r="AF33" s="69"/>
      <c r="AG33" s="42">
        <f t="array" ref="AG33">IF(XLOOKUP($A33,Partner_Voice!$A:$A,Partner_Voice!AG:AG,"",0)="Free","Free",IF(XLOOKUP($A33,Partner_Voice!$A:$A,Partner_Voice!AG:AG,"",0)="VL","VL",IF(XLOOKUP($A33,Partner_Voice!$A:$A,Partner_Voice!AG:AG,"",0)="ATT","ATT",XLOOKUP($A33,Partner_Voice!$A:$A,Partner_Voice!AG:AG,"",0))))</f>
        <v>0.4583333333</v>
      </c>
      <c r="AH33" s="42">
        <f t="array" ref="AH33">IF(XLOOKUP($A33,Partner_Voice!$A:$A,Partner_Voice!AH:AH,"",0)="Free","Free",IF(XLOOKUP($A33,Partner_Voice!$A:$A,Partner_Voice!AH:AH,"",0)="VL","VL",IF(XLOOKUP($A33,Partner_Voice!$A:$A,Partner_Voice!AH:AH,"",0)="ATT","ATT",XLOOKUP($A33,Partner_Voice!$A:$A,Partner_Voice!AH:AH,"",0))))</f>
        <v>0.4583333333</v>
      </c>
      <c r="AI33" s="42">
        <f t="array" ref="AI33">IF(XLOOKUP($A33,Partner_Voice!$A:$A,Partner_Voice!AI:AI,"",0)="Free","Free",IF(XLOOKUP($A33,Partner_Voice!$A:$A,Partner_Voice!AI:AI,"",0)="VL","VL",IF(XLOOKUP($A33,Partner_Voice!$A:$A,Partner_Voice!AI:AI,"",0)="ATT","ATT",XLOOKUP($A33,Partner_Voice!$A:$A,Partner_Voice!AI:AI,"",0))))</f>
        <v>0.4583333333</v>
      </c>
      <c r="AJ33" s="42" t="str">
        <f t="array" ref="AJ33">IF(XLOOKUP($A33,Partner_Voice!$A:$A,Partner_Voice!AJ:AJ,"",0)="Free","Free",IF(XLOOKUP($A33,Partner_Voice!$A:$A,Partner_Voice!AJ:AJ,"",0)="VL","VL",IF(XLOOKUP($A33,Partner_Voice!$A:$A,Partner_Voice!AJ:AJ,"",0)="ATT","ATT",XLOOKUP($A33,Partner_Voice!$A:$A,Partner_Voice!AJ:AJ,"",0))))</f>
        <v>Free</v>
      </c>
      <c r="AK33" s="42">
        <f t="array" ref="AK33">IF(XLOOKUP($A33,Partner_Voice!$A:$A,Partner_Voice!AK:AK,"",0)="Free","Free",IF(XLOOKUP($A33,Partner_Voice!$A:$A,Partner_Voice!AK:AK,"",0)="VL","VL",IF(XLOOKUP($A33,Partner_Voice!$A:$A,Partner_Voice!AK:AK,"",0)="ATT","ATT",XLOOKUP($A33,Partner_Voice!$A:$A,Partner_Voice!AK:AK,"",0))))</f>
        <v>0.4583333333</v>
      </c>
      <c r="AL33" s="42">
        <f t="array" ref="AL33">IF(XLOOKUP($A33,Partner_Voice!$A:$A,Partner_Voice!AL:AL,"",0)="Free","Free",IF(XLOOKUP($A33,Partner_Voice!$A:$A,Partner_Voice!AL:AL,"",0)="VL","VL",IF(XLOOKUP($A33,Partner_Voice!$A:$A,Partner_Voice!AL:AL,"",0)="ATT","ATT",XLOOKUP($A33,Partner_Voice!$A:$A,Partner_Voice!AL:AL,"",0))))</f>
        <v>0.3333333333</v>
      </c>
      <c r="AM33" s="42"/>
    </row>
    <row r="34">
      <c r="A34" s="47" t="s">
        <v>72</v>
      </c>
      <c r="B34" s="35" t="str">
        <f t="array" ref="B34">XLOOKUP(A34,Roster!F:F,Roster!A:A,"")</f>
        <v>Daniel Bustamante</v>
      </c>
      <c r="C34" s="35" t="str">
        <f t="array" ref="C34">XLOOKUP(A34,Roster!F:F,Roster!B:B,"")</f>
        <v>Santiago Mora</v>
      </c>
      <c r="D34" s="70"/>
      <c r="E34" s="42">
        <f t="array" ref="E34">IF(XLOOKUP($A34,Partner_Voice!$A:$A,Partner_Voice!E:E,"",0)="Free","Free",IF(XLOOKUP($A34,Partner_Voice!$A:$A,Partner_Voice!E:E,"",0)="VL","VL",IF(XLOOKUP($A34,Partner_Voice!$A:$A,Partner_Voice!E:E,"",0)="ATT","ATT",XLOOKUP($A34,Partner_Voice!$A:$A,Partner_Voice!E:E,"",0))))</f>
        <v>0.4583333333</v>
      </c>
      <c r="F34" s="42">
        <f t="array" ref="F34">IF(XLOOKUP($A34,Partner_Voice!$A:$A,Partner_Voice!F:F,"",0)="Free","Free",IF(XLOOKUP($A34,Partner_Voice!$A:$A,Partner_Voice!F:F,"",0)="VL","VL",IF(XLOOKUP($A34,Partner_Voice!$A:$A,Partner_Voice!F:F,"",0)="ATT","ATT",XLOOKUP($A34,Partner_Voice!$A:$A,Partner_Voice!F:F,"",0))))</f>
        <v>0.4583333333</v>
      </c>
      <c r="G34" s="42">
        <f t="array" ref="G34">IF(XLOOKUP($A34,Partner_Voice!$A:$A,Partner_Voice!G:G,"",0)="Free","Free",IF(XLOOKUP($A34,Partner_Voice!$A:$A,Partner_Voice!G:G,"",0)="VL","VL",IF(XLOOKUP($A34,Partner_Voice!$A:$A,Partner_Voice!G:G,"",0)="ATT","ATT",XLOOKUP($A34,Partner_Voice!$A:$A,Partner_Voice!G:G,"",0))))</f>
        <v>0.4583333333</v>
      </c>
      <c r="H34" s="42">
        <f t="array" ref="H34">IF(XLOOKUP($A34,Partner_Voice!$A:$A,Partner_Voice!H:H,"",0)="Free","Free",IF(XLOOKUP($A34,Partner_Voice!$A:$A,Partner_Voice!H:H,"",0)="VL","VL",IF(XLOOKUP($A34,Partner_Voice!$A:$A,Partner_Voice!H:H,"",0)="ATT","ATT",XLOOKUP($A34,Partner_Voice!$A:$A,Partner_Voice!H:H,"",0))))</f>
        <v>0.4583333333</v>
      </c>
      <c r="I34" s="42">
        <f t="array" ref="I34">IF(XLOOKUP($A34,Partner_Voice!$A:$A,Partner_Voice!I:I,"",0)="Free","Free",IF(XLOOKUP($A34,Partner_Voice!$A:$A,Partner_Voice!I:I,"",0)="VL","VL",IF(XLOOKUP($A34,Partner_Voice!$A:$A,Partner_Voice!I:I,"",0)="ATT","ATT",XLOOKUP($A34,Partner_Voice!$A:$A,Partner_Voice!I:I,"",0))))</f>
        <v>0.4583333333</v>
      </c>
      <c r="J34" s="42" t="str">
        <f t="array" ref="J34">IF(XLOOKUP($A34,Partner_Voice!$A:$A,Partner_Voice!J:J,"",0)="Free","Free",IF(XLOOKUP($A34,Partner_Voice!$A:$A,Partner_Voice!J:J,"",0)="VL","VL",IF(XLOOKUP($A34,Partner_Voice!$A:$A,Partner_Voice!J:J,"",0)="ATT","ATT",XLOOKUP($A34,Partner_Voice!$A:$A,Partner_Voice!J:J,"",0))))</f>
        <v>Free</v>
      </c>
      <c r="K34" s="42"/>
      <c r="L34" s="42">
        <f t="array" ref="L34">IF(XLOOKUP($A34,Partner_Voice!$A:$A,Partner_Voice!L:L,"",0)="Free","Free",IF(XLOOKUP($A34,Partner_Voice!$A:$A,Partner_Voice!L:L,"",0)="VL","VL",IF(XLOOKUP($A34,Partner_Voice!$A:$A,Partner_Voice!L:L,"",0)="ATT","ATT",XLOOKUP($A34,Partner_Voice!$A:$A,Partner_Voice!L:L,"",0))))</f>
        <v>0.4583333333</v>
      </c>
      <c r="M34" s="42">
        <f t="array" ref="M34">IF(XLOOKUP($A34,Partner_Voice!$A:$A,Partner_Voice!M:M,"",0)="Free","Free",IF(XLOOKUP($A34,Partner_Voice!$A:$A,Partner_Voice!M:M,"",0)="VL","VL",IF(XLOOKUP($A34,Partner_Voice!$A:$A,Partner_Voice!M:M,"",0)="ATT","ATT",XLOOKUP($A34,Partner_Voice!$A:$A,Partner_Voice!M:M,"",0))))</f>
        <v>0.4583333333</v>
      </c>
      <c r="N34" s="42">
        <f t="array" ref="N34">IF(XLOOKUP($A34,Partner_Voice!$A:$A,Partner_Voice!N:N,"",0)="Free","Free",IF(XLOOKUP($A34,Partner_Voice!$A:$A,Partner_Voice!N:N,"",0)="VL","VL",IF(XLOOKUP($A34,Partner_Voice!$A:$A,Partner_Voice!N:N,"",0)="ATT","ATT",XLOOKUP($A34,Partner_Voice!$A:$A,Partner_Voice!N:N,"",0))))</f>
        <v>0.4583333333</v>
      </c>
      <c r="O34" s="42">
        <f t="array" ref="O34">IF(XLOOKUP($A34,Partner_Voice!$A:$A,Partner_Voice!O:O,"",0)="Free","Free",IF(XLOOKUP($A34,Partner_Voice!$A:$A,Partner_Voice!O:O,"",0)="VL","VL",IF(XLOOKUP($A34,Partner_Voice!$A:$A,Partner_Voice!O:O,"",0)="ATT","ATT",XLOOKUP($A34,Partner_Voice!$A:$A,Partner_Voice!O:O,"",0))))</f>
        <v>0.4583333333</v>
      </c>
      <c r="P34" s="42">
        <f t="array" ref="P34">IF(XLOOKUP($A34,Partner_Voice!$A:$A,Partner_Voice!P:P,"",0)="Free","Free",IF(XLOOKUP($A34,Partner_Voice!$A:$A,Partner_Voice!P:P,"",0)="VL","VL",IF(XLOOKUP($A34,Partner_Voice!$A:$A,Partner_Voice!P:P,"",0)="ATT","ATT",XLOOKUP($A34,Partner_Voice!$A:$A,Partner_Voice!P:P,"",0))))</f>
        <v>0.4583333333</v>
      </c>
      <c r="Q34" s="42" t="str">
        <f t="array" ref="Q34">IF(XLOOKUP($A34,Partner_Voice!$A:$A,Partner_Voice!Q:Q,"",0)="Free","Free",IF(XLOOKUP($A34,Partner_Voice!$A:$A,Partner_Voice!Q:Q,"",0)="VL","VL",IF(XLOOKUP($A34,Partner_Voice!$A:$A,Partner_Voice!Q:Q,"",0)="ATT","ATT",XLOOKUP($A34,Partner_Voice!$A:$A,Partner_Voice!Q:Q,"",0))))</f>
        <v>Free</v>
      </c>
      <c r="R34" s="43"/>
      <c r="S34" s="42">
        <f t="array" ref="S34">IF(XLOOKUP($A34,Partner_Voice!$A:$A,Partner_Voice!S:S,"",0)="Free","Free",IF(XLOOKUP($A34,Partner_Voice!$A:$A,Partner_Voice!S:S,"",0)="VL","VL",IF(XLOOKUP($A34,Partner_Voice!$A:$A,Partner_Voice!S:S,"",0)="ATT","ATT",XLOOKUP($A34,Partner_Voice!$A:$A,Partner_Voice!S:S,"",0))))</f>
        <v>0.4583333333</v>
      </c>
      <c r="T34" s="42">
        <f t="array" ref="T34">IF(XLOOKUP($A34,Partner_Voice!$A:$A,Partner_Voice!T:T,"",0)="Free","Free",IF(XLOOKUP($A34,Partner_Voice!$A:$A,Partner_Voice!T:T,"",0)="VL","VL",IF(XLOOKUP($A34,Partner_Voice!$A:$A,Partner_Voice!T:T,"",0)="ATT","ATT",XLOOKUP($A34,Partner_Voice!$A:$A,Partner_Voice!T:T,"",0))))</f>
        <v>0.4583333333</v>
      </c>
      <c r="U34" s="42">
        <f t="array" ref="U34">IF(XLOOKUP($A34,Partner_Voice!$A:$A,Partner_Voice!U:U,"",0)="Free","Free",IF(XLOOKUP($A34,Partner_Voice!$A:$A,Partner_Voice!U:U,"",0)="VL","VL",IF(XLOOKUP($A34,Partner_Voice!$A:$A,Partner_Voice!U:U,"",0)="ATT","ATT",XLOOKUP($A34,Partner_Voice!$A:$A,Partner_Voice!U:U,"",0))))</f>
        <v>0.4583333333</v>
      </c>
      <c r="V34" s="42">
        <f t="array" ref="V34">IF(XLOOKUP($A34,Partner_Voice!$A:$A,Partner_Voice!V:V,"",0)="Free","Free",IF(XLOOKUP($A34,Partner_Voice!$A:$A,Partner_Voice!V:V,"",0)="VL","VL",IF(XLOOKUP($A34,Partner_Voice!$A:$A,Partner_Voice!V:V,"",0)="ATT","ATT",XLOOKUP($A34,Partner_Voice!$A:$A,Partner_Voice!V:V,"",0))))</f>
        <v>0.4583333333</v>
      </c>
      <c r="W34" s="42">
        <f t="array" ref="W34">IF(XLOOKUP($A34,Partner_Voice!$A:$A,Partner_Voice!W:W,"",0)="Free","Free",IF(XLOOKUP($A34,Partner_Voice!$A:$A,Partner_Voice!W:W,"",0)="VL","VL",IF(XLOOKUP($A34,Partner_Voice!$A:$A,Partner_Voice!W:W,"",0)="ATT","ATT",XLOOKUP($A34,Partner_Voice!$A:$A,Partner_Voice!W:W,"",0))))</f>
        <v>0.4583333333</v>
      </c>
      <c r="X34" s="42" t="str">
        <f t="array" ref="X34">IF(XLOOKUP($A34,Partner_Voice!$A:$A,Partner_Voice!X:X,"",0)="Free","Free",IF(XLOOKUP($A34,Partner_Voice!$A:$A,Partner_Voice!X:X,"",0)="VL","VL",IF(XLOOKUP($A34,Partner_Voice!$A:$A,Partner_Voice!X:X,"",0)="ATT","ATT",XLOOKUP($A34,Partner_Voice!$A:$A,Partner_Voice!X:X,"",0))))</f>
        <v>Free</v>
      </c>
      <c r="Y34" s="43"/>
      <c r="Z34" s="42">
        <f t="array" ref="Z34">IF(XLOOKUP($A34,Partner_Voice!$A:$A,Partner_Voice!Z:Z,"",0)="Free","Free",IF(XLOOKUP($A34,Partner_Voice!$A:$A,Partner_Voice!Z:Z,"",0)="VL","VL",IF(XLOOKUP($A34,Partner_Voice!$A:$A,Partner_Voice!Z:Z,"",0)="ATT","ATT",XLOOKUP($A34,Partner_Voice!$A:$A,Partner_Voice!Z:Z,"",0))))</f>
        <v>0.4583333333</v>
      </c>
      <c r="AA34" s="42">
        <f t="array" ref="AA34">IF(XLOOKUP($A34,Partner_Voice!$A:$A,Partner_Voice!AA:AA,"",0)="Free","Free",IF(XLOOKUP($A34,Partner_Voice!$A:$A,Partner_Voice!AA:AA,"",0)="VL","VL",IF(XLOOKUP($A34,Partner_Voice!$A:$A,Partner_Voice!AA:AA,"",0)="ATT","ATT",XLOOKUP($A34,Partner_Voice!$A:$A,Partner_Voice!AA:AA,"",0))))</f>
        <v>0.4583333333</v>
      </c>
      <c r="AB34" s="42">
        <f t="array" ref="AB34">IF(XLOOKUP($A34,Partner_Voice!$A:$A,Partner_Voice!AB:AB,"",0)="Free","Free",IF(XLOOKUP($A34,Partner_Voice!$A:$A,Partner_Voice!AB:AB,"",0)="VL","VL",IF(XLOOKUP($A34,Partner_Voice!$A:$A,Partner_Voice!AB:AB,"",0)="ATT","ATT",XLOOKUP($A34,Partner_Voice!$A:$A,Partner_Voice!AB:AB,"",0))))</f>
        <v>0.4583333333</v>
      </c>
      <c r="AC34" s="42">
        <f t="array" ref="AC34">IF(XLOOKUP($A34,Partner_Voice!$A:$A,Partner_Voice!AC:AC,"",0)="Free","Free",IF(XLOOKUP($A34,Partner_Voice!$A:$A,Partner_Voice!AC:AC,"",0)="VL","VL",IF(XLOOKUP($A34,Partner_Voice!$A:$A,Partner_Voice!AC:AC,"",0)="ATT","ATT",XLOOKUP($A34,Partner_Voice!$A:$A,Partner_Voice!AC:AC,"",0))))</f>
        <v>0.4583333333</v>
      </c>
      <c r="AD34" s="42">
        <f t="array" ref="AD34">IF(XLOOKUP($A34,Partner_Voice!$A:$A,Partner_Voice!AD:AD,"",0)="Free","Free",IF(XLOOKUP($A34,Partner_Voice!$A:$A,Partner_Voice!AD:AD,"",0)="VL","VL",IF(XLOOKUP($A34,Partner_Voice!$A:$A,Partner_Voice!AD:AD,"",0)="ATT","ATT",XLOOKUP($A34,Partner_Voice!$A:$A,Partner_Voice!AD:AD,"",0))))</f>
        <v>0.4583333333</v>
      </c>
      <c r="AE34" s="42" t="str">
        <f t="array" ref="AE34">IF(XLOOKUP($A34,Partner_Voice!$A:$A,Partner_Voice!AE:AE,"",0)="Free","Free",IF(XLOOKUP($A34,Partner_Voice!$A:$A,Partner_Voice!AE:AE,"",0)="VL","VL",IF(XLOOKUP($A34,Partner_Voice!$A:$A,Partner_Voice!AE:AE,"",0)="ATT","ATT",XLOOKUP($A34,Partner_Voice!$A:$A,Partner_Voice!AE:AE,"",0))))</f>
        <v>Free</v>
      </c>
      <c r="AF34" s="69"/>
      <c r="AG34" s="42">
        <f t="array" ref="AG34">IF(XLOOKUP($A34,Partner_Voice!$A:$A,Partner_Voice!AG:AG,"",0)="Free","Free",IF(XLOOKUP($A34,Partner_Voice!$A:$A,Partner_Voice!AG:AG,"",0)="VL","VL",IF(XLOOKUP($A34,Partner_Voice!$A:$A,Partner_Voice!AG:AG,"",0)="ATT","ATT",XLOOKUP($A34,Partner_Voice!$A:$A,Partner_Voice!AG:AG,"",0))))</f>
        <v>0.4583333333</v>
      </c>
      <c r="AH34" s="42">
        <f t="array" ref="AH34">IF(XLOOKUP($A34,Partner_Voice!$A:$A,Partner_Voice!AH:AH,"",0)="Free","Free",IF(XLOOKUP($A34,Partner_Voice!$A:$A,Partner_Voice!AH:AH,"",0)="VL","VL",IF(XLOOKUP($A34,Partner_Voice!$A:$A,Partner_Voice!AH:AH,"",0)="ATT","ATT",XLOOKUP($A34,Partner_Voice!$A:$A,Partner_Voice!AH:AH,"",0))))</f>
        <v>0.4583333333</v>
      </c>
      <c r="AI34" s="42">
        <f t="array" ref="AI34">IF(XLOOKUP($A34,Partner_Voice!$A:$A,Partner_Voice!AI:AI,"",0)="Free","Free",IF(XLOOKUP($A34,Partner_Voice!$A:$A,Partner_Voice!AI:AI,"",0)="VL","VL",IF(XLOOKUP($A34,Partner_Voice!$A:$A,Partner_Voice!AI:AI,"",0)="ATT","ATT",XLOOKUP($A34,Partner_Voice!$A:$A,Partner_Voice!AI:AI,"",0))))</f>
        <v>0.4583333333</v>
      </c>
      <c r="AJ34" s="42">
        <f t="array" ref="AJ34">IF(XLOOKUP($A34,Partner_Voice!$A:$A,Partner_Voice!AJ:AJ,"",0)="Free","Free",IF(XLOOKUP($A34,Partner_Voice!$A:$A,Partner_Voice!AJ:AJ,"",0)="VL","VL",IF(XLOOKUP($A34,Partner_Voice!$A:$A,Partner_Voice!AJ:AJ,"",0)="ATT","ATT",XLOOKUP($A34,Partner_Voice!$A:$A,Partner_Voice!AJ:AJ,"",0))))</f>
        <v>0.4583333333</v>
      </c>
      <c r="AK34" s="42">
        <f t="array" ref="AK34">IF(XLOOKUP($A34,Partner_Voice!$A:$A,Partner_Voice!AK:AK,"",0)="Free","Free",IF(XLOOKUP($A34,Partner_Voice!$A:$A,Partner_Voice!AK:AK,"",0)="VL","VL",IF(XLOOKUP($A34,Partner_Voice!$A:$A,Partner_Voice!AK:AK,"",0)="ATT","ATT",XLOOKUP($A34,Partner_Voice!$A:$A,Partner_Voice!AK:AK,"",0))))</f>
        <v>0.4583333333</v>
      </c>
      <c r="AL34" s="42" t="str">
        <f t="array" ref="AL34">IF(XLOOKUP($A34,Partner_Voice!$A:$A,Partner_Voice!AL:AL,"",0)="Free","Free",IF(XLOOKUP($A34,Partner_Voice!$A:$A,Partner_Voice!AL:AL,"",0)="VL","VL",IF(XLOOKUP($A34,Partner_Voice!$A:$A,Partner_Voice!AL:AL,"",0)="ATT","ATT",XLOOKUP($A34,Partner_Voice!$A:$A,Partner_Voice!AL:AL,"",0))))</f>
        <v>Free</v>
      </c>
      <c r="AM34" s="42"/>
    </row>
    <row r="35">
      <c r="A35" s="47" t="s">
        <v>73</v>
      </c>
      <c r="B35" s="35" t="str">
        <f t="array" ref="B35">XLOOKUP(A35,Roster!F:F,Roster!A:A,"")</f>
        <v>Daniel Bustamante</v>
      </c>
      <c r="C35" s="35" t="str">
        <f t="array" ref="C35">XLOOKUP(A35,Roster!F:F,Roster!B:B,"")</f>
        <v>Sebastian Agudelo Londono</v>
      </c>
      <c r="D35" s="70"/>
      <c r="E35" s="42">
        <f t="array" ref="E35">IF(XLOOKUP($A35,Partner_Voice!$A:$A,Partner_Voice!E:E,"",0)="Free","Free",IF(XLOOKUP($A35,Partner_Voice!$A:$A,Partner_Voice!E:E,"",0)="VL","VL",IF(XLOOKUP($A35,Partner_Voice!$A:$A,Partner_Voice!E:E,"",0)="ATT","ATT",XLOOKUP($A35,Partner_Voice!$A:$A,Partner_Voice!E:E,"",0))))</f>
        <v>0.4583333333</v>
      </c>
      <c r="F35" s="42" t="str">
        <f t="array" ref="F35">IF(XLOOKUP($A35,Partner_Voice!$A:$A,Partner_Voice!F:F,"",0)="Free","Free",IF(XLOOKUP($A35,Partner_Voice!$A:$A,Partner_Voice!F:F,"",0)="VL","VL",IF(XLOOKUP($A35,Partner_Voice!$A:$A,Partner_Voice!F:F,"",0)="ATT","ATT",XLOOKUP($A35,Partner_Voice!$A:$A,Partner_Voice!F:F,"",0))))</f>
        <v>Free</v>
      </c>
      <c r="G35" s="42">
        <f t="array" ref="G35">IF(XLOOKUP($A35,Partner_Voice!$A:$A,Partner_Voice!G:G,"",0)="Free","Free",IF(XLOOKUP($A35,Partner_Voice!$A:$A,Partner_Voice!G:G,"",0)="VL","VL",IF(XLOOKUP($A35,Partner_Voice!$A:$A,Partner_Voice!G:G,"",0)="ATT","ATT",XLOOKUP($A35,Partner_Voice!$A:$A,Partner_Voice!G:G,"",0))))</f>
        <v>0.4583333333</v>
      </c>
      <c r="H35" s="42">
        <f t="array" ref="H35">IF(XLOOKUP($A35,Partner_Voice!$A:$A,Partner_Voice!H:H,"",0)="Free","Free",IF(XLOOKUP($A35,Partner_Voice!$A:$A,Partner_Voice!H:H,"",0)="VL","VL",IF(XLOOKUP($A35,Partner_Voice!$A:$A,Partner_Voice!H:H,"",0)="ATT","ATT",XLOOKUP($A35,Partner_Voice!$A:$A,Partner_Voice!H:H,"",0))))</f>
        <v>0.4583333333</v>
      </c>
      <c r="I35" s="42">
        <f t="array" ref="I35">IF(XLOOKUP($A35,Partner_Voice!$A:$A,Partner_Voice!I:I,"",0)="Free","Free",IF(XLOOKUP($A35,Partner_Voice!$A:$A,Partner_Voice!I:I,"",0)="VL","VL",IF(XLOOKUP($A35,Partner_Voice!$A:$A,Partner_Voice!I:I,"",0)="ATT","ATT",XLOOKUP($A35,Partner_Voice!$A:$A,Partner_Voice!I:I,"",0))))</f>
        <v>0.4583333333</v>
      </c>
      <c r="J35" s="42">
        <f t="array" ref="J35">IF(XLOOKUP($A35,Partner_Voice!$A:$A,Partner_Voice!J:J,"",0)="Free","Free",IF(XLOOKUP($A35,Partner_Voice!$A:$A,Partner_Voice!J:J,"",0)="VL","VL",IF(XLOOKUP($A35,Partner_Voice!$A:$A,Partner_Voice!J:J,"",0)="ATT","ATT",XLOOKUP($A35,Partner_Voice!$A:$A,Partner_Voice!J:J,"",0))))</f>
        <v>0.4583333333</v>
      </c>
      <c r="K35" s="42"/>
      <c r="L35" s="42">
        <f t="array" ref="L35">IF(XLOOKUP($A35,Partner_Voice!$A:$A,Partner_Voice!L:L,"",0)="Free","Free",IF(XLOOKUP($A35,Partner_Voice!$A:$A,Partner_Voice!L:L,"",0)="VL","VL",IF(XLOOKUP($A35,Partner_Voice!$A:$A,Partner_Voice!L:L,"",0)="ATT","ATT",XLOOKUP($A35,Partner_Voice!$A:$A,Partner_Voice!L:L,"",0))))</f>
        <v>0.4583333333</v>
      </c>
      <c r="M35" s="42" t="str">
        <f t="array" ref="M35">IF(XLOOKUP($A35,Partner_Voice!$A:$A,Partner_Voice!M:M,"",0)="Free","Free",IF(XLOOKUP($A35,Partner_Voice!$A:$A,Partner_Voice!M:M,"",0)="VL","VL",IF(XLOOKUP($A35,Partner_Voice!$A:$A,Partner_Voice!M:M,"",0)="ATT","ATT",XLOOKUP($A35,Partner_Voice!$A:$A,Partner_Voice!M:M,"",0))))</f>
        <v>Free</v>
      </c>
      <c r="N35" s="42">
        <f t="array" ref="N35">IF(XLOOKUP($A35,Partner_Voice!$A:$A,Partner_Voice!N:N,"",0)="Free","Free",IF(XLOOKUP($A35,Partner_Voice!$A:$A,Partner_Voice!N:N,"",0)="VL","VL",IF(XLOOKUP($A35,Partner_Voice!$A:$A,Partner_Voice!N:N,"",0)="ATT","ATT",XLOOKUP($A35,Partner_Voice!$A:$A,Partner_Voice!N:N,"",0))))</f>
        <v>0.4583333333</v>
      </c>
      <c r="O35" s="42">
        <f t="array" ref="O35">IF(XLOOKUP($A35,Partner_Voice!$A:$A,Partner_Voice!O:O,"",0)="Free","Free",IF(XLOOKUP($A35,Partner_Voice!$A:$A,Partner_Voice!O:O,"",0)="VL","VL",IF(XLOOKUP($A35,Partner_Voice!$A:$A,Partner_Voice!O:O,"",0)="ATT","ATT",XLOOKUP($A35,Partner_Voice!$A:$A,Partner_Voice!O:O,"",0))))</f>
        <v>0.4583333333</v>
      </c>
      <c r="P35" s="42">
        <f t="array" ref="P35">IF(XLOOKUP($A35,Partner_Voice!$A:$A,Partner_Voice!P:P,"",0)="Free","Free",IF(XLOOKUP($A35,Partner_Voice!$A:$A,Partner_Voice!P:P,"",0)="VL","VL",IF(XLOOKUP($A35,Partner_Voice!$A:$A,Partner_Voice!P:P,"",0)="ATT","ATT",XLOOKUP($A35,Partner_Voice!$A:$A,Partner_Voice!P:P,"",0))))</f>
        <v>0.4583333333</v>
      </c>
      <c r="Q35" s="42">
        <f t="array" ref="Q35">IF(XLOOKUP($A35,Partner_Voice!$A:$A,Partner_Voice!Q:Q,"",0)="Free","Free",IF(XLOOKUP($A35,Partner_Voice!$A:$A,Partner_Voice!Q:Q,"",0)="VL","VL",IF(XLOOKUP($A35,Partner_Voice!$A:$A,Partner_Voice!Q:Q,"",0)="ATT","ATT",XLOOKUP($A35,Partner_Voice!$A:$A,Partner_Voice!Q:Q,"",0))))</f>
        <v>0.4583333333</v>
      </c>
      <c r="R35" s="43"/>
      <c r="S35" s="42">
        <f t="array" ref="S35">IF(XLOOKUP($A35,Partner_Voice!$A:$A,Partner_Voice!S:S,"",0)="Free","Free",IF(XLOOKUP($A35,Partner_Voice!$A:$A,Partner_Voice!S:S,"",0)="VL","VL",IF(XLOOKUP($A35,Partner_Voice!$A:$A,Partner_Voice!S:S,"",0)="ATT","ATT",XLOOKUP($A35,Partner_Voice!$A:$A,Partner_Voice!S:S,"",0))))</f>
        <v>0.4583333333</v>
      </c>
      <c r="T35" s="42" t="str">
        <f t="array" ref="T35">IF(XLOOKUP($A35,Partner_Voice!$A:$A,Partner_Voice!T:T,"",0)="Free","Free",IF(XLOOKUP($A35,Partner_Voice!$A:$A,Partner_Voice!T:T,"",0)="VL","VL",IF(XLOOKUP($A35,Partner_Voice!$A:$A,Partner_Voice!T:T,"",0)="ATT","ATT",XLOOKUP($A35,Partner_Voice!$A:$A,Partner_Voice!T:T,"",0))))</f>
        <v>Free</v>
      </c>
      <c r="U35" s="42">
        <f t="array" ref="U35">IF(XLOOKUP($A35,Partner_Voice!$A:$A,Partner_Voice!U:U,"",0)="Free","Free",IF(XLOOKUP($A35,Partner_Voice!$A:$A,Partner_Voice!U:U,"",0)="VL","VL",IF(XLOOKUP($A35,Partner_Voice!$A:$A,Partner_Voice!U:U,"",0)="ATT","ATT",XLOOKUP($A35,Partner_Voice!$A:$A,Partner_Voice!U:U,"",0))))</f>
        <v>0.4583333333</v>
      </c>
      <c r="V35" s="42">
        <f t="array" ref="V35">IF(XLOOKUP($A35,Partner_Voice!$A:$A,Partner_Voice!V:V,"",0)="Free","Free",IF(XLOOKUP($A35,Partner_Voice!$A:$A,Partner_Voice!V:V,"",0)="VL","VL",IF(XLOOKUP($A35,Partner_Voice!$A:$A,Partner_Voice!V:V,"",0)="ATT","ATT",XLOOKUP($A35,Partner_Voice!$A:$A,Partner_Voice!V:V,"",0))))</f>
        <v>0.4583333333</v>
      </c>
      <c r="W35" s="42">
        <f t="array" ref="W35">IF(XLOOKUP($A35,Partner_Voice!$A:$A,Partner_Voice!W:W,"",0)="Free","Free",IF(XLOOKUP($A35,Partner_Voice!$A:$A,Partner_Voice!W:W,"",0)="VL","VL",IF(XLOOKUP($A35,Partner_Voice!$A:$A,Partner_Voice!W:W,"",0)="ATT","ATT",XLOOKUP($A35,Partner_Voice!$A:$A,Partner_Voice!W:W,"",0))))</f>
        <v>0.4583333333</v>
      </c>
      <c r="X35" s="42">
        <f t="array" ref="X35">IF(XLOOKUP($A35,Partner_Voice!$A:$A,Partner_Voice!X:X,"",0)="Free","Free",IF(XLOOKUP($A35,Partner_Voice!$A:$A,Partner_Voice!X:X,"",0)="VL","VL",IF(XLOOKUP($A35,Partner_Voice!$A:$A,Partner_Voice!X:X,"",0)="ATT","ATT",XLOOKUP($A35,Partner_Voice!$A:$A,Partner_Voice!X:X,"",0))))</f>
        <v>0.4583333333</v>
      </c>
      <c r="Y35" s="43"/>
      <c r="Z35" s="42">
        <f t="array" ref="Z35">IF(XLOOKUP($A35,Partner_Voice!$A:$A,Partner_Voice!Z:Z,"",0)="Free","Free",IF(XLOOKUP($A35,Partner_Voice!$A:$A,Partner_Voice!Z:Z,"",0)="VL","VL",IF(XLOOKUP($A35,Partner_Voice!$A:$A,Partner_Voice!Z:Z,"",0)="ATT","ATT",XLOOKUP($A35,Partner_Voice!$A:$A,Partner_Voice!Z:Z,"",0))))</f>
        <v>0.4583333333</v>
      </c>
      <c r="AA35" s="42" t="str">
        <f t="array" ref="AA35">IF(XLOOKUP($A35,Partner_Voice!$A:$A,Partner_Voice!AA:AA,"",0)="Free","Free",IF(XLOOKUP($A35,Partner_Voice!$A:$A,Partner_Voice!AA:AA,"",0)="VL","VL",IF(XLOOKUP($A35,Partner_Voice!$A:$A,Partner_Voice!AA:AA,"",0)="ATT","ATT",XLOOKUP($A35,Partner_Voice!$A:$A,Partner_Voice!AA:AA,"",0))))</f>
        <v>Free</v>
      </c>
      <c r="AB35" s="42">
        <f t="array" ref="AB35">IF(XLOOKUP($A35,Partner_Voice!$A:$A,Partner_Voice!AB:AB,"",0)="Free","Free",IF(XLOOKUP($A35,Partner_Voice!$A:$A,Partner_Voice!AB:AB,"",0)="VL","VL",IF(XLOOKUP($A35,Partner_Voice!$A:$A,Partner_Voice!AB:AB,"",0)="ATT","ATT",XLOOKUP($A35,Partner_Voice!$A:$A,Partner_Voice!AB:AB,"",0))))</f>
        <v>0.4583333333</v>
      </c>
      <c r="AC35" s="42">
        <f t="array" ref="AC35">IF(XLOOKUP($A35,Partner_Voice!$A:$A,Partner_Voice!AC:AC,"",0)="Free","Free",IF(XLOOKUP($A35,Partner_Voice!$A:$A,Partner_Voice!AC:AC,"",0)="VL","VL",IF(XLOOKUP($A35,Partner_Voice!$A:$A,Partner_Voice!AC:AC,"",0)="ATT","ATT",XLOOKUP($A35,Partner_Voice!$A:$A,Partner_Voice!AC:AC,"",0))))</f>
        <v>0.4583333333</v>
      </c>
      <c r="AD35" s="42">
        <f t="array" ref="AD35">IF(XLOOKUP($A35,Partner_Voice!$A:$A,Partner_Voice!AD:AD,"",0)="Free","Free",IF(XLOOKUP($A35,Partner_Voice!$A:$A,Partner_Voice!AD:AD,"",0)="VL","VL",IF(XLOOKUP($A35,Partner_Voice!$A:$A,Partner_Voice!AD:AD,"",0)="ATT","ATT",XLOOKUP($A35,Partner_Voice!$A:$A,Partner_Voice!AD:AD,"",0))))</f>
        <v>0.4583333333</v>
      </c>
      <c r="AE35" s="42">
        <f t="array" ref="AE35">IF(XLOOKUP($A35,Partner_Voice!$A:$A,Partner_Voice!AE:AE,"",0)="Free","Free",IF(XLOOKUP($A35,Partner_Voice!$A:$A,Partner_Voice!AE:AE,"",0)="VL","VL",IF(XLOOKUP($A35,Partner_Voice!$A:$A,Partner_Voice!AE:AE,"",0)="ATT","ATT",XLOOKUP($A35,Partner_Voice!$A:$A,Partner_Voice!AE:AE,"",0))))</f>
        <v>0.4583333333</v>
      </c>
      <c r="AF35" s="69"/>
      <c r="AG35" s="42">
        <f t="array" ref="AG35">IF(XLOOKUP($A35,Partner_Voice!$A:$A,Partner_Voice!AG:AG,"",0)="Free","Free",IF(XLOOKUP($A35,Partner_Voice!$A:$A,Partner_Voice!AG:AG,"",0)="VL","VL",IF(XLOOKUP($A35,Partner_Voice!$A:$A,Partner_Voice!AG:AG,"",0)="ATT","ATT",XLOOKUP($A35,Partner_Voice!$A:$A,Partner_Voice!AG:AG,"",0))))</f>
        <v>0.4583333333</v>
      </c>
      <c r="AH35" s="42" t="str">
        <f t="array" ref="AH35">IF(XLOOKUP($A35,Partner_Voice!$A:$A,Partner_Voice!AH:AH,"",0)="Free","Free",IF(XLOOKUP($A35,Partner_Voice!$A:$A,Partner_Voice!AH:AH,"",0)="VL","VL",IF(XLOOKUP($A35,Partner_Voice!$A:$A,Partner_Voice!AH:AH,"",0)="ATT","ATT",XLOOKUP($A35,Partner_Voice!$A:$A,Partner_Voice!AH:AH,"",0))))</f>
        <v>Free</v>
      </c>
      <c r="AI35" s="42">
        <f t="array" ref="AI35">IF(XLOOKUP($A35,Partner_Voice!$A:$A,Partner_Voice!AI:AI,"",0)="Free","Free",IF(XLOOKUP($A35,Partner_Voice!$A:$A,Partner_Voice!AI:AI,"",0)="VL","VL",IF(XLOOKUP($A35,Partner_Voice!$A:$A,Partner_Voice!AI:AI,"",0)="ATT","ATT",XLOOKUP($A35,Partner_Voice!$A:$A,Partner_Voice!AI:AI,"",0))))</f>
        <v>0.4583333333</v>
      </c>
      <c r="AJ35" s="42">
        <f t="array" ref="AJ35">IF(XLOOKUP($A35,Partner_Voice!$A:$A,Partner_Voice!AJ:AJ,"",0)="Free","Free",IF(XLOOKUP($A35,Partner_Voice!$A:$A,Partner_Voice!AJ:AJ,"",0)="VL","VL",IF(XLOOKUP($A35,Partner_Voice!$A:$A,Partner_Voice!AJ:AJ,"",0)="ATT","ATT",XLOOKUP($A35,Partner_Voice!$A:$A,Partner_Voice!AJ:AJ,"",0))))</f>
        <v>0.4583333333</v>
      </c>
      <c r="AK35" s="42">
        <f t="array" ref="AK35">IF(XLOOKUP($A35,Partner_Voice!$A:$A,Partner_Voice!AK:AK,"",0)="Free","Free",IF(XLOOKUP($A35,Partner_Voice!$A:$A,Partner_Voice!AK:AK,"",0)="VL","VL",IF(XLOOKUP($A35,Partner_Voice!$A:$A,Partner_Voice!AK:AK,"",0)="ATT","ATT",XLOOKUP($A35,Partner_Voice!$A:$A,Partner_Voice!AK:AK,"",0))))</f>
        <v>0.4583333333</v>
      </c>
      <c r="AL35" s="42">
        <f t="array" ref="AL35">IF(XLOOKUP($A35,Partner_Voice!$A:$A,Partner_Voice!AL:AL,"",0)="Free","Free",IF(XLOOKUP($A35,Partner_Voice!$A:$A,Partner_Voice!AL:AL,"",0)="VL","VL",IF(XLOOKUP($A35,Partner_Voice!$A:$A,Partner_Voice!AL:AL,"",0)="ATT","ATT",XLOOKUP($A35,Partner_Voice!$A:$A,Partner_Voice!AL:AL,"",0))))</f>
        <v>0.4583333333</v>
      </c>
      <c r="AM35" s="42"/>
    </row>
    <row r="36">
      <c r="A36" s="47" t="s">
        <v>74</v>
      </c>
      <c r="B36" s="35" t="str">
        <f t="array" ref="B36">XLOOKUP(A36,Roster!F:F,Roster!A:A,"")</f>
        <v>Daniel Bustamante</v>
      </c>
      <c r="C36" s="35" t="str">
        <f t="array" ref="C36">XLOOKUP(A36,Roster!F:F,Roster!B:B,"")</f>
        <v>Sebastian Torres Gomez</v>
      </c>
      <c r="D36" s="70"/>
      <c r="E36" s="42">
        <f t="array" ref="E36">IF(XLOOKUP($A36,Partner_Voice!$A:$A,Partner_Voice!E:E,"",0)="Free","Free",IF(XLOOKUP($A36,Partner_Voice!$A:$A,Partner_Voice!E:E,"",0)="VL","VL",IF(XLOOKUP($A36,Partner_Voice!$A:$A,Partner_Voice!E:E,"",0)="ATT","ATT",XLOOKUP($A36,Partner_Voice!$A:$A,Partner_Voice!E:E,"",0))))</f>
        <v>0.4583333333</v>
      </c>
      <c r="F36" s="42" t="str">
        <f t="array" ref="F36">IF(XLOOKUP($A36,Partner_Voice!$A:$A,Partner_Voice!F:F,"",0)="Free","Free",IF(XLOOKUP($A36,Partner_Voice!$A:$A,Partner_Voice!F:F,"",0)="VL","VL",IF(XLOOKUP($A36,Partner_Voice!$A:$A,Partner_Voice!F:F,"",0)="ATT","ATT",XLOOKUP($A36,Partner_Voice!$A:$A,Partner_Voice!F:F,"",0))))</f>
        <v>Free</v>
      </c>
      <c r="G36" s="42">
        <f t="array" ref="G36">IF(XLOOKUP($A36,Partner_Voice!$A:$A,Partner_Voice!G:G,"",0)="Free","Free",IF(XLOOKUP($A36,Partner_Voice!$A:$A,Partner_Voice!G:G,"",0)="VL","VL",IF(XLOOKUP($A36,Partner_Voice!$A:$A,Partner_Voice!G:G,"",0)="ATT","ATT",XLOOKUP($A36,Partner_Voice!$A:$A,Partner_Voice!G:G,"",0))))</f>
        <v>0.4583333333</v>
      </c>
      <c r="H36" s="42">
        <f t="array" ref="H36">IF(XLOOKUP($A36,Partner_Voice!$A:$A,Partner_Voice!H:H,"",0)="Free","Free",IF(XLOOKUP($A36,Partner_Voice!$A:$A,Partner_Voice!H:H,"",0)="VL","VL",IF(XLOOKUP($A36,Partner_Voice!$A:$A,Partner_Voice!H:H,"",0)="ATT","ATT",XLOOKUP($A36,Partner_Voice!$A:$A,Partner_Voice!H:H,"",0))))</f>
        <v>0.4583333333</v>
      </c>
      <c r="I36" s="42">
        <f t="array" ref="I36">IF(XLOOKUP($A36,Partner_Voice!$A:$A,Partner_Voice!I:I,"",0)="Free","Free",IF(XLOOKUP($A36,Partner_Voice!$A:$A,Partner_Voice!I:I,"",0)="VL","VL",IF(XLOOKUP($A36,Partner_Voice!$A:$A,Partner_Voice!I:I,"",0)="ATT","ATT",XLOOKUP($A36,Partner_Voice!$A:$A,Partner_Voice!I:I,"",0))))</f>
        <v>0.4583333333</v>
      </c>
      <c r="J36" s="42">
        <f t="array" ref="J36">IF(XLOOKUP($A36,Partner_Voice!$A:$A,Partner_Voice!J:J,"",0)="Free","Free",IF(XLOOKUP($A36,Partner_Voice!$A:$A,Partner_Voice!J:J,"",0)="VL","VL",IF(XLOOKUP($A36,Partner_Voice!$A:$A,Partner_Voice!J:J,"",0)="ATT","ATT",XLOOKUP($A36,Partner_Voice!$A:$A,Partner_Voice!J:J,"",0))))</f>
        <v>0.4583333333</v>
      </c>
      <c r="K36" s="42"/>
      <c r="L36" s="42">
        <f t="array" ref="L36">IF(XLOOKUP($A36,Partner_Voice!$A:$A,Partner_Voice!L:L,"",0)="Free","Free",IF(XLOOKUP($A36,Partner_Voice!$A:$A,Partner_Voice!L:L,"",0)="VL","VL",IF(XLOOKUP($A36,Partner_Voice!$A:$A,Partner_Voice!L:L,"",0)="ATT","ATT",XLOOKUP($A36,Partner_Voice!$A:$A,Partner_Voice!L:L,"",0))))</f>
        <v>0.4583333333</v>
      </c>
      <c r="M36" s="42" t="str">
        <f t="array" ref="M36">IF(XLOOKUP($A36,Partner_Voice!$A:$A,Partner_Voice!M:M,"",0)="Free","Free",IF(XLOOKUP($A36,Partner_Voice!$A:$A,Partner_Voice!M:M,"",0)="VL","VL",IF(XLOOKUP($A36,Partner_Voice!$A:$A,Partner_Voice!M:M,"",0)="ATT","ATT",XLOOKUP($A36,Partner_Voice!$A:$A,Partner_Voice!M:M,"",0))))</f>
        <v>Free</v>
      </c>
      <c r="N36" s="42">
        <f t="array" ref="N36">IF(XLOOKUP($A36,Partner_Voice!$A:$A,Partner_Voice!N:N,"",0)="Free","Free",IF(XLOOKUP($A36,Partner_Voice!$A:$A,Partner_Voice!N:N,"",0)="VL","VL",IF(XLOOKUP($A36,Partner_Voice!$A:$A,Partner_Voice!N:N,"",0)="ATT","ATT",XLOOKUP($A36,Partner_Voice!$A:$A,Partner_Voice!N:N,"",0))))</f>
        <v>0.4583333333</v>
      </c>
      <c r="O36" s="42">
        <f t="array" ref="O36">IF(XLOOKUP($A36,Partner_Voice!$A:$A,Partner_Voice!O:O,"",0)="Free","Free",IF(XLOOKUP($A36,Partner_Voice!$A:$A,Partner_Voice!O:O,"",0)="VL","VL",IF(XLOOKUP($A36,Partner_Voice!$A:$A,Partner_Voice!O:O,"",0)="ATT","ATT",XLOOKUP($A36,Partner_Voice!$A:$A,Partner_Voice!O:O,"",0))))</f>
        <v>0.4583333333</v>
      </c>
      <c r="P36" s="42">
        <f t="array" ref="P36">IF(XLOOKUP($A36,Partner_Voice!$A:$A,Partner_Voice!P:P,"",0)="Free","Free",IF(XLOOKUP($A36,Partner_Voice!$A:$A,Partner_Voice!P:P,"",0)="VL","VL",IF(XLOOKUP($A36,Partner_Voice!$A:$A,Partner_Voice!P:P,"",0)="ATT","ATT",XLOOKUP($A36,Partner_Voice!$A:$A,Partner_Voice!P:P,"",0))))</f>
        <v>0.4583333333</v>
      </c>
      <c r="Q36" s="42">
        <f t="array" ref="Q36">IF(XLOOKUP($A36,Partner_Voice!$A:$A,Partner_Voice!Q:Q,"",0)="Free","Free",IF(XLOOKUP($A36,Partner_Voice!$A:$A,Partner_Voice!Q:Q,"",0)="VL","VL",IF(XLOOKUP($A36,Partner_Voice!$A:$A,Partner_Voice!Q:Q,"",0)="ATT","ATT",XLOOKUP($A36,Partner_Voice!$A:$A,Partner_Voice!Q:Q,"",0))))</f>
        <v>0.4583333333</v>
      </c>
      <c r="R36" s="43"/>
      <c r="S36" s="42">
        <f t="array" ref="S36">IF(XLOOKUP($A36,Partner_Voice!$A:$A,Partner_Voice!S:S,"",0)="Free","Free",IF(XLOOKUP($A36,Partner_Voice!$A:$A,Partner_Voice!S:S,"",0)="VL","VL",IF(XLOOKUP($A36,Partner_Voice!$A:$A,Partner_Voice!S:S,"",0)="ATT","ATT",XLOOKUP($A36,Partner_Voice!$A:$A,Partner_Voice!S:S,"",0))))</f>
        <v>0.4583333333</v>
      </c>
      <c r="T36" s="42" t="str">
        <f t="array" ref="T36">IF(XLOOKUP($A36,Partner_Voice!$A:$A,Partner_Voice!T:T,"",0)="Free","Free",IF(XLOOKUP($A36,Partner_Voice!$A:$A,Partner_Voice!T:T,"",0)="VL","VL",IF(XLOOKUP($A36,Partner_Voice!$A:$A,Partner_Voice!T:T,"",0)="ATT","ATT",XLOOKUP($A36,Partner_Voice!$A:$A,Partner_Voice!T:T,"",0))))</f>
        <v>Free</v>
      </c>
      <c r="U36" s="42">
        <f t="array" ref="U36">IF(XLOOKUP($A36,Partner_Voice!$A:$A,Partner_Voice!U:U,"",0)="Free","Free",IF(XLOOKUP($A36,Partner_Voice!$A:$A,Partner_Voice!U:U,"",0)="VL","VL",IF(XLOOKUP($A36,Partner_Voice!$A:$A,Partner_Voice!U:U,"",0)="ATT","ATT",XLOOKUP($A36,Partner_Voice!$A:$A,Partner_Voice!U:U,"",0))))</f>
        <v>0.4583333333</v>
      </c>
      <c r="V36" s="42">
        <f t="array" ref="V36">IF(XLOOKUP($A36,Partner_Voice!$A:$A,Partner_Voice!V:V,"",0)="Free","Free",IF(XLOOKUP($A36,Partner_Voice!$A:$A,Partner_Voice!V:V,"",0)="VL","VL",IF(XLOOKUP($A36,Partner_Voice!$A:$A,Partner_Voice!V:V,"",0)="ATT","ATT",XLOOKUP($A36,Partner_Voice!$A:$A,Partner_Voice!V:V,"",0))))</f>
        <v>0.4583333333</v>
      </c>
      <c r="W36" s="42">
        <f t="array" ref="W36">IF(XLOOKUP($A36,Partner_Voice!$A:$A,Partner_Voice!W:W,"",0)="Free","Free",IF(XLOOKUP($A36,Partner_Voice!$A:$A,Partner_Voice!W:W,"",0)="VL","VL",IF(XLOOKUP($A36,Partner_Voice!$A:$A,Partner_Voice!W:W,"",0)="ATT","ATT",XLOOKUP($A36,Partner_Voice!$A:$A,Partner_Voice!W:W,"",0))))</f>
        <v>0.4583333333</v>
      </c>
      <c r="X36" s="42">
        <f t="array" ref="X36">IF(XLOOKUP($A36,Partner_Voice!$A:$A,Partner_Voice!X:X,"",0)="Free","Free",IF(XLOOKUP($A36,Partner_Voice!$A:$A,Partner_Voice!X:X,"",0)="VL","VL",IF(XLOOKUP($A36,Partner_Voice!$A:$A,Partner_Voice!X:X,"",0)="ATT","ATT",XLOOKUP($A36,Partner_Voice!$A:$A,Partner_Voice!X:X,"",0))))</f>
        <v>0.4583333333</v>
      </c>
      <c r="Y36" s="43"/>
      <c r="Z36" s="42">
        <f t="array" ref="Z36">IF(XLOOKUP($A36,Partner_Voice!$A:$A,Partner_Voice!Z:Z,"",0)="Free","Free",IF(XLOOKUP($A36,Partner_Voice!$A:$A,Partner_Voice!Z:Z,"",0)="VL","VL",IF(XLOOKUP($A36,Partner_Voice!$A:$A,Partner_Voice!Z:Z,"",0)="ATT","ATT",XLOOKUP($A36,Partner_Voice!$A:$A,Partner_Voice!Z:Z,"",0))))</f>
        <v>0.4583333333</v>
      </c>
      <c r="AA36" s="42" t="str">
        <f t="array" ref="AA36">IF(XLOOKUP($A36,Partner_Voice!$A:$A,Partner_Voice!AA:AA,"",0)="Free","Free",IF(XLOOKUP($A36,Partner_Voice!$A:$A,Partner_Voice!AA:AA,"",0)="VL","VL",IF(XLOOKUP($A36,Partner_Voice!$A:$A,Partner_Voice!AA:AA,"",0)="ATT","ATT",XLOOKUP($A36,Partner_Voice!$A:$A,Partner_Voice!AA:AA,"",0))))</f>
        <v>Free</v>
      </c>
      <c r="AB36" s="42">
        <f t="array" ref="AB36">IF(XLOOKUP($A36,Partner_Voice!$A:$A,Partner_Voice!AB:AB,"",0)="Free","Free",IF(XLOOKUP($A36,Partner_Voice!$A:$A,Partner_Voice!AB:AB,"",0)="VL","VL",IF(XLOOKUP($A36,Partner_Voice!$A:$A,Partner_Voice!AB:AB,"",0)="ATT","ATT",XLOOKUP($A36,Partner_Voice!$A:$A,Partner_Voice!AB:AB,"",0))))</f>
        <v>0.4583333333</v>
      </c>
      <c r="AC36" s="42">
        <f t="array" ref="AC36">IF(XLOOKUP($A36,Partner_Voice!$A:$A,Partner_Voice!AC:AC,"",0)="Free","Free",IF(XLOOKUP($A36,Partner_Voice!$A:$A,Partner_Voice!AC:AC,"",0)="VL","VL",IF(XLOOKUP($A36,Partner_Voice!$A:$A,Partner_Voice!AC:AC,"",0)="ATT","ATT",XLOOKUP($A36,Partner_Voice!$A:$A,Partner_Voice!AC:AC,"",0))))</f>
        <v>0.4583333333</v>
      </c>
      <c r="AD36" s="42">
        <f t="array" ref="AD36">IF(XLOOKUP($A36,Partner_Voice!$A:$A,Partner_Voice!AD:AD,"",0)="Free","Free",IF(XLOOKUP($A36,Partner_Voice!$A:$A,Partner_Voice!AD:AD,"",0)="VL","VL",IF(XLOOKUP($A36,Partner_Voice!$A:$A,Partner_Voice!AD:AD,"",0)="ATT","ATT",XLOOKUP($A36,Partner_Voice!$A:$A,Partner_Voice!AD:AD,"",0))))</f>
        <v>0.4583333333</v>
      </c>
      <c r="AE36" s="42">
        <f t="array" ref="AE36">IF(XLOOKUP($A36,Partner_Voice!$A:$A,Partner_Voice!AE:AE,"",0)="Free","Free",IF(XLOOKUP($A36,Partner_Voice!$A:$A,Partner_Voice!AE:AE,"",0)="VL","VL",IF(XLOOKUP($A36,Partner_Voice!$A:$A,Partner_Voice!AE:AE,"",0)="ATT","ATT",XLOOKUP($A36,Partner_Voice!$A:$A,Partner_Voice!AE:AE,"",0))))</f>
        <v>0.4583333333</v>
      </c>
      <c r="AF36" s="69"/>
      <c r="AG36" s="42">
        <f t="array" ref="AG36">IF(XLOOKUP($A36,Partner_Voice!$A:$A,Partner_Voice!AG:AG,"",0)="Free","Free",IF(XLOOKUP($A36,Partner_Voice!$A:$A,Partner_Voice!AG:AG,"",0)="VL","VL",IF(XLOOKUP($A36,Partner_Voice!$A:$A,Partner_Voice!AG:AG,"",0)="ATT","ATT",XLOOKUP($A36,Partner_Voice!$A:$A,Partner_Voice!AG:AG,"",0))))</f>
        <v>0.4583333333</v>
      </c>
      <c r="AH36" s="42" t="str">
        <f t="array" ref="AH36">IF(XLOOKUP($A36,Partner_Voice!$A:$A,Partner_Voice!AH:AH,"",0)="Free","Free",IF(XLOOKUP($A36,Partner_Voice!$A:$A,Partner_Voice!AH:AH,"",0)="VL","VL",IF(XLOOKUP($A36,Partner_Voice!$A:$A,Partner_Voice!AH:AH,"",0)="ATT","ATT",XLOOKUP($A36,Partner_Voice!$A:$A,Partner_Voice!AH:AH,"",0))))</f>
        <v>Free</v>
      </c>
      <c r="AI36" s="42">
        <f t="array" ref="AI36">IF(XLOOKUP($A36,Partner_Voice!$A:$A,Partner_Voice!AI:AI,"",0)="Free","Free",IF(XLOOKUP($A36,Partner_Voice!$A:$A,Partner_Voice!AI:AI,"",0)="VL","VL",IF(XLOOKUP($A36,Partner_Voice!$A:$A,Partner_Voice!AI:AI,"",0)="ATT","ATT",XLOOKUP($A36,Partner_Voice!$A:$A,Partner_Voice!AI:AI,"",0))))</f>
        <v>0.4583333333</v>
      </c>
      <c r="AJ36" s="42">
        <f t="array" ref="AJ36">IF(XLOOKUP($A36,Partner_Voice!$A:$A,Partner_Voice!AJ:AJ,"",0)="Free","Free",IF(XLOOKUP($A36,Partner_Voice!$A:$A,Partner_Voice!AJ:AJ,"",0)="VL","VL",IF(XLOOKUP($A36,Partner_Voice!$A:$A,Partner_Voice!AJ:AJ,"",0)="ATT","ATT",XLOOKUP($A36,Partner_Voice!$A:$A,Partner_Voice!AJ:AJ,"",0))))</f>
        <v>0.4583333333</v>
      </c>
      <c r="AK36" s="42">
        <f t="array" ref="AK36">IF(XLOOKUP($A36,Partner_Voice!$A:$A,Partner_Voice!AK:AK,"",0)="Free","Free",IF(XLOOKUP($A36,Partner_Voice!$A:$A,Partner_Voice!AK:AK,"",0)="VL","VL",IF(XLOOKUP($A36,Partner_Voice!$A:$A,Partner_Voice!AK:AK,"",0)="ATT","ATT",XLOOKUP($A36,Partner_Voice!$A:$A,Partner_Voice!AK:AK,"",0))))</f>
        <v>0.4583333333</v>
      </c>
      <c r="AL36" s="42">
        <f t="array" ref="AL36">IF(XLOOKUP($A36,Partner_Voice!$A:$A,Partner_Voice!AL:AL,"",0)="Free","Free",IF(XLOOKUP($A36,Partner_Voice!$A:$A,Partner_Voice!AL:AL,"",0)="VL","VL",IF(XLOOKUP($A36,Partner_Voice!$A:$A,Partner_Voice!AL:AL,"",0)="ATT","ATT",XLOOKUP($A36,Partner_Voice!$A:$A,Partner_Voice!AL:AL,"",0))))</f>
        <v>0.4583333333</v>
      </c>
      <c r="AM36" s="42"/>
    </row>
    <row r="37">
      <c r="A37" s="47" t="s">
        <v>76</v>
      </c>
      <c r="B37" s="35" t="str">
        <f t="array" ref="B37">XLOOKUP(A37,Roster!F:F,Roster!A:A,"")</f>
        <v>Daniel Bustamante</v>
      </c>
      <c r="C37" s="35" t="str">
        <f t="array" ref="C37">XLOOKUP(A37,Roster!F:F,Roster!B:B,"")</f>
        <v>Sergio Rojas</v>
      </c>
      <c r="D37" s="70"/>
      <c r="E37" s="42">
        <f t="array" ref="E37">IF(XLOOKUP($A37,Partner_Voice!$A:$A,Partner_Voice!E:E,"",0)="Free","Free",IF(XLOOKUP($A37,Partner_Voice!$A:$A,Partner_Voice!E:E,"",0)="VL","VL",IF(XLOOKUP($A37,Partner_Voice!$A:$A,Partner_Voice!E:E,"",0)="ATT","ATT",XLOOKUP($A37,Partner_Voice!$A:$A,Partner_Voice!E:E,"",0))))</f>
        <v>0.4583333333</v>
      </c>
      <c r="F37" s="42">
        <f t="array" ref="F37">IF(XLOOKUP($A37,Partner_Voice!$A:$A,Partner_Voice!F:F,"",0)="Free","Free",IF(XLOOKUP($A37,Partner_Voice!$A:$A,Partner_Voice!F:F,"",0)="VL","VL",IF(XLOOKUP($A37,Partner_Voice!$A:$A,Partner_Voice!F:F,"",0)="ATT","ATT",XLOOKUP($A37,Partner_Voice!$A:$A,Partner_Voice!F:F,"",0))))</f>
        <v>0.4583333333</v>
      </c>
      <c r="G37" s="42">
        <f t="array" ref="G37">IF(XLOOKUP($A37,Partner_Voice!$A:$A,Partner_Voice!G:G,"",0)="Free","Free",IF(XLOOKUP($A37,Partner_Voice!$A:$A,Partner_Voice!G:G,"",0)="VL","VL",IF(XLOOKUP($A37,Partner_Voice!$A:$A,Partner_Voice!G:G,"",0)="ATT","ATT",XLOOKUP($A37,Partner_Voice!$A:$A,Partner_Voice!G:G,"",0))))</f>
        <v>0.4583333333</v>
      </c>
      <c r="H37" s="42" t="str">
        <f t="array" ref="H37">IF(XLOOKUP($A37,Partner_Voice!$A:$A,Partner_Voice!H:H,"",0)="Free","Free",IF(XLOOKUP($A37,Partner_Voice!$A:$A,Partner_Voice!H:H,"",0)="VL","VL",IF(XLOOKUP($A37,Partner_Voice!$A:$A,Partner_Voice!H:H,"",0)="ATT","ATT",XLOOKUP($A37,Partner_Voice!$A:$A,Partner_Voice!H:H,"",0))))</f>
        <v>Free</v>
      </c>
      <c r="I37" s="42">
        <f t="array" ref="I37">IF(XLOOKUP($A37,Partner_Voice!$A:$A,Partner_Voice!I:I,"",0)="Free","Free",IF(XLOOKUP($A37,Partner_Voice!$A:$A,Partner_Voice!I:I,"",0)="VL","VL",IF(XLOOKUP($A37,Partner_Voice!$A:$A,Partner_Voice!I:I,"",0)="ATT","ATT",XLOOKUP($A37,Partner_Voice!$A:$A,Partner_Voice!I:I,"",0))))</f>
        <v>0.4583333333</v>
      </c>
      <c r="J37" s="42">
        <f t="array" ref="J37">IF(XLOOKUP($A37,Partner_Voice!$A:$A,Partner_Voice!J:J,"",0)="Free","Free",IF(XLOOKUP($A37,Partner_Voice!$A:$A,Partner_Voice!J:J,"",0)="VL","VL",IF(XLOOKUP($A37,Partner_Voice!$A:$A,Partner_Voice!J:J,"",0)="ATT","ATT",XLOOKUP($A37,Partner_Voice!$A:$A,Partner_Voice!J:J,"",0))))</f>
        <v>0.4583333333</v>
      </c>
      <c r="K37" s="42"/>
      <c r="L37" s="42">
        <f t="array" ref="L37">IF(XLOOKUP($A37,Partner_Voice!$A:$A,Partner_Voice!L:L,"",0)="Free","Free",IF(XLOOKUP($A37,Partner_Voice!$A:$A,Partner_Voice!L:L,"",0)="VL","VL",IF(XLOOKUP($A37,Partner_Voice!$A:$A,Partner_Voice!L:L,"",0)="ATT","ATT",XLOOKUP($A37,Partner_Voice!$A:$A,Partner_Voice!L:L,"",0))))</f>
        <v>0.4583333333</v>
      </c>
      <c r="M37" s="42">
        <f t="array" ref="M37">IF(XLOOKUP($A37,Partner_Voice!$A:$A,Partner_Voice!M:M,"",0)="Free","Free",IF(XLOOKUP($A37,Partner_Voice!$A:$A,Partner_Voice!M:M,"",0)="VL","VL",IF(XLOOKUP($A37,Partner_Voice!$A:$A,Partner_Voice!M:M,"",0)="ATT","ATT",XLOOKUP($A37,Partner_Voice!$A:$A,Partner_Voice!M:M,"",0))))</f>
        <v>0.4583333333</v>
      </c>
      <c r="N37" s="42">
        <f t="array" ref="N37">IF(XLOOKUP($A37,Partner_Voice!$A:$A,Partner_Voice!N:N,"",0)="Free","Free",IF(XLOOKUP($A37,Partner_Voice!$A:$A,Partner_Voice!N:N,"",0)="VL","VL",IF(XLOOKUP($A37,Partner_Voice!$A:$A,Partner_Voice!N:N,"",0)="ATT","ATT",XLOOKUP($A37,Partner_Voice!$A:$A,Partner_Voice!N:N,"",0))))</f>
        <v>0.4583333333</v>
      </c>
      <c r="O37" s="42" t="str">
        <f t="array" ref="O37">IF(XLOOKUP($A37,Partner_Voice!$A:$A,Partner_Voice!O:O,"",0)="Free","Free",IF(XLOOKUP($A37,Partner_Voice!$A:$A,Partner_Voice!O:O,"",0)="VL","VL",IF(XLOOKUP($A37,Partner_Voice!$A:$A,Partner_Voice!O:O,"",0)="ATT","ATT",XLOOKUP($A37,Partner_Voice!$A:$A,Partner_Voice!O:O,"",0))))</f>
        <v>Free</v>
      </c>
      <c r="P37" s="42">
        <f t="array" ref="P37">IF(XLOOKUP($A37,Partner_Voice!$A:$A,Partner_Voice!P:P,"",0)="Free","Free",IF(XLOOKUP($A37,Partner_Voice!$A:$A,Partner_Voice!P:P,"",0)="VL","VL",IF(XLOOKUP($A37,Partner_Voice!$A:$A,Partner_Voice!P:P,"",0)="ATT","ATT",XLOOKUP($A37,Partner_Voice!$A:$A,Partner_Voice!P:P,"",0))))</f>
        <v>0.4583333333</v>
      </c>
      <c r="Q37" s="42">
        <f t="array" ref="Q37">IF(XLOOKUP($A37,Partner_Voice!$A:$A,Partner_Voice!Q:Q,"",0)="Free","Free",IF(XLOOKUP($A37,Partner_Voice!$A:$A,Partner_Voice!Q:Q,"",0)="VL","VL",IF(XLOOKUP($A37,Partner_Voice!$A:$A,Partner_Voice!Q:Q,"",0)="ATT","ATT",XLOOKUP($A37,Partner_Voice!$A:$A,Partner_Voice!Q:Q,"",0))))</f>
        <v>0.4583333333</v>
      </c>
      <c r="R37" s="43"/>
      <c r="S37" s="42">
        <f t="array" ref="S37">IF(XLOOKUP($A37,Partner_Voice!$A:$A,Partner_Voice!S:S,"",0)="Free","Free",IF(XLOOKUP($A37,Partner_Voice!$A:$A,Partner_Voice!S:S,"",0)="VL","VL",IF(XLOOKUP($A37,Partner_Voice!$A:$A,Partner_Voice!S:S,"",0)="ATT","ATT",XLOOKUP($A37,Partner_Voice!$A:$A,Partner_Voice!S:S,"",0))))</f>
        <v>0.4583333333</v>
      </c>
      <c r="T37" s="42">
        <f t="array" ref="T37">IF(XLOOKUP($A37,Partner_Voice!$A:$A,Partner_Voice!T:T,"",0)="Free","Free",IF(XLOOKUP($A37,Partner_Voice!$A:$A,Partner_Voice!T:T,"",0)="VL","VL",IF(XLOOKUP($A37,Partner_Voice!$A:$A,Partner_Voice!T:T,"",0)="ATT","ATT",XLOOKUP($A37,Partner_Voice!$A:$A,Partner_Voice!T:T,"",0))))</f>
        <v>0.4583333333</v>
      </c>
      <c r="U37" s="42">
        <f t="array" ref="U37">IF(XLOOKUP($A37,Partner_Voice!$A:$A,Partner_Voice!U:U,"",0)="Free","Free",IF(XLOOKUP($A37,Partner_Voice!$A:$A,Partner_Voice!U:U,"",0)="VL","VL",IF(XLOOKUP($A37,Partner_Voice!$A:$A,Partner_Voice!U:U,"",0)="ATT","ATT",XLOOKUP($A37,Partner_Voice!$A:$A,Partner_Voice!U:U,"",0))))</f>
        <v>0.4583333333</v>
      </c>
      <c r="V37" s="42" t="str">
        <f t="array" ref="V37">IF(XLOOKUP($A37,Partner_Voice!$A:$A,Partner_Voice!V:V,"",0)="Free","Free",IF(XLOOKUP($A37,Partner_Voice!$A:$A,Partner_Voice!V:V,"",0)="VL","VL",IF(XLOOKUP($A37,Partner_Voice!$A:$A,Partner_Voice!V:V,"",0)="ATT","ATT",XLOOKUP($A37,Partner_Voice!$A:$A,Partner_Voice!V:V,"",0))))</f>
        <v>Free</v>
      </c>
      <c r="W37" s="42">
        <f t="array" ref="W37">IF(XLOOKUP($A37,Partner_Voice!$A:$A,Partner_Voice!W:W,"",0)="Free","Free",IF(XLOOKUP($A37,Partner_Voice!$A:$A,Partner_Voice!W:W,"",0)="VL","VL",IF(XLOOKUP($A37,Partner_Voice!$A:$A,Partner_Voice!W:W,"",0)="ATT","ATT",XLOOKUP($A37,Partner_Voice!$A:$A,Partner_Voice!W:W,"",0))))</f>
        <v>0.4583333333</v>
      </c>
      <c r="X37" s="42">
        <f t="array" ref="X37">IF(XLOOKUP($A37,Partner_Voice!$A:$A,Partner_Voice!X:X,"",0)="Free","Free",IF(XLOOKUP($A37,Partner_Voice!$A:$A,Partner_Voice!X:X,"",0)="VL","VL",IF(XLOOKUP($A37,Partner_Voice!$A:$A,Partner_Voice!X:X,"",0)="ATT","ATT",XLOOKUP($A37,Partner_Voice!$A:$A,Partner_Voice!X:X,"",0))))</f>
        <v>0.4583333333</v>
      </c>
      <c r="Y37" s="43"/>
      <c r="Z37" s="42">
        <f t="array" ref="Z37">IF(XLOOKUP($A37,Partner_Voice!$A:$A,Partner_Voice!Z:Z,"",0)="Free","Free",IF(XLOOKUP($A37,Partner_Voice!$A:$A,Partner_Voice!Z:Z,"",0)="VL","VL",IF(XLOOKUP($A37,Partner_Voice!$A:$A,Partner_Voice!Z:Z,"",0)="ATT","ATT",XLOOKUP($A37,Partner_Voice!$A:$A,Partner_Voice!Z:Z,"",0))))</f>
        <v>0.4583333333</v>
      </c>
      <c r="AA37" s="42">
        <f t="array" ref="AA37">IF(XLOOKUP($A37,Partner_Voice!$A:$A,Partner_Voice!AA:AA,"",0)="Free","Free",IF(XLOOKUP($A37,Partner_Voice!$A:$A,Partner_Voice!AA:AA,"",0)="VL","VL",IF(XLOOKUP($A37,Partner_Voice!$A:$A,Partner_Voice!AA:AA,"",0)="ATT","ATT",XLOOKUP($A37,Partner_Voice!$A:$A,Partner_Voice!AA:AA,"",0))))</f>
        <v>0.4583333333</v>
      </c>
      <c r="AB37" s="42">
        <f t="array" ref="AB37">IF(XLOOKUP($A37,Partner_Voice!$A:$A,Partner_Voice!AB:AB,"",0)="Free","Free",IF(XLOOKUP($A37,Partner_Voice!$A:$A,Partner_Voice!AB:AB,"",0)="VL","VL",IF(XLOOKUP($A37,Partner_Voice!$A:$A,Partner_Voice!AB:AB,"",0)="ATT","ATT",XLOOKUP($A37,Partner_Voice!$A:$A,Partner_Voice!AB:AB,"",0))))</f>
        <v>0.4583333333</v>
      </c>
      <c r="AC37" s="42" t="str">
        <f t="array" ref="AC37">IF(XLOOKUP($A37,Partner_Voice!$A:$A,Partner_Voice!AC:AC,"",0)="Free","Free",IF(XLOOKUP($A37,Partner_Voice!$A:$A,Partner_Voice!AC:AC,"",0)="VL","VL",IF(XLOOKUP($A37,Partner_Voice!$A:$A,Partner_Voice!AC:AC,"",0)="ATT","ATT",XLOOKUP($A37,Partner_Voice!$A:$A,Partner_Voice!AC:AC,"",0))))</f>
        <v>Free</v>
      </c>
      <c r="AD37" s="42">
        <f t="array" ref="AD37">IF(XLOOKUP($A37,Partner_Voice!$A:$A,Partner_Voice!AD:AD,"",0)="Free","Free",IF(XLOOKUP($A37,Partner_Voice!$A:$A,Partner_Voice!AD:AD,"",0)="VL","VL",IF(XLOOKUP($A37,Partner_Voice!$A:$A,Partner_Voice!AD:AD,"",0)="ATT","ATT",XLOOKUP($A37,Partner_Voice!$A:$A,Partner_Voice!AD:AD,"",0))))</f>
        <v>0.4583333333</v>
      </c>
      <c r="AE37" s="42">
        <f t="array" ref="AE37">IF(XLOOKUP($A37,Partner_Voice!$A:$A,Partner_Voice!AE:AE,"",0)="Free","Free",IF(XLOOKUP($A37,Partner_Voice!$A:$A,Partner_Voice!AE:AE,"",0)="VL","VL",IF(XLOOKUP($A37,Partner_Voice!$A:$A,Partner_Voice!AE:AE,"",0)="ATT","ATT",XLOOKUP($A37,Partner_Voice!$A:$A,Partner_Voice!AE:AE,"",0))))</f>
        <v>0.4583333333</v>
      </c>
      <c r="AF37" s="69"/>
      <c r="AG37" s="42">
        <f t="array" ref="AG37">IF(XLOOKUP($A37,Partner_Voice!$A:$A,Partner_Voice!AG:AG,"",0)="Free","Free",IF(XLOOKUP($A37,Partner_Voice!$A:$A,Partner_Voice!AG:AG,"",0)="VL","VL",IF(XLOOKUP($A37,Partner_Voice!$A:$A,Partner_Voice!AG:AG,"",0)="ATT","ATT",XLOOKUP($A37,Partner_Voice!$A:$A,Partner_Voice!AG:AG,"",0))))</f>
        <v>0.4583333333</v>
      </c>
      <c r="AH37" s="42">
        <f t="array" ref="AH37">IF(XLOOKUP($A37,Partner_Voice!$A:$A,Partner_Voice!AH:AH,"",0)="Free","Free",IF(XLOOKUP($A37,Partner_Voice!$A:$A,Partner_Voice!AH:AH,"",0)="VL","VL",IF(XLOOKUP($A37,Partner_Voice!$A:$A,Partner_Voice!AH:AH,"",0)="ATT","ATT",XLOOKUP($A37,Partner_Voice!$A:$A,Partner_Voice!AH:AH,"",0))))</f>
        <v>0.4583333333</v>
      </c>
      <c r="AI37" s="42">
        <f t="array" ref="AI37">IF(XLOOKUP($A37,Partner_Voice!$A:$A,Partner_Voice!AI:AI,"",0)="Free","Free",IF(XLOOKUP($A37,Partner_Voice!$A:$A,Partner_Voice!AI:AI,"",0)="VL","VL",IF(XLOOKUP($A37,Partner_Voice!$A:$A,Partner_Voice!AI:AI,"",0)="ATT","ATT",XLOOKUP($A37,Partner_Voice!$A:$A,Partner_Voice!AI:AI,"",0))))</f>
        <v>0.4583333333</v>
      </c>
      <c r="AJ37" s="42" t="str">
        <f t="array" ref="AJ37">IF(XLOOKUP($A37,Partner_Voice!$A:$A,Partner_Voice!AJ:AJ,"",0)="Free","Free",IF(XLOOKUP($A37,Partner_Voice!$A:$A,Partner_Voice!AJ:AJ,"",0)="VL","VL",IF(XLOOKUP($A37,Partner_Voice!$A:$A,Partner_Voice!AJ:AJ,"",0)="ATT","ATT",XLOOKUP($A37,Partner_Voice!$A:$A,Partner_Voice!AJ:AJ,"",0))))</f>
        <v>Free</v>
      </c>
      <c r="AK37" s="42">
        <f t="array" ref="AK37">IF(XLOOKUP($A37,Partner_Voice!$A:$A,Partner_Voice!AK:AK,"",0)="Free","Free",IF(XLOOKUP($A37,Partner_Voice!$A:$A,Partner_Voice!AK:AK,"",0)="VL","VL",IF(XLOOKUP($A37,Partner_Voice!$A:$A,Partner_Voice!AK:AK,"",0)="ATT","ATT",XLOOKUP($A37,Partner_Voice!$A:$A,Partner_Voice!AK:AK,"",0))))</f>
        <v>0.4583333333</v>
      </c>
      <c r="AL37" s="42">
        <f t="array" ref="AL37">IF(XLOOKUP($A37,Partner_Voice!$A:$A,Partner_Voice!AL:AL,"",0)="Free","Free",IF(XLOOKUP($A37,Partner_Voice!$A:$A,Partner_Voice!AL:AL,"",0)="VL","VL",IF(XLOOKUP($A37,Partner_Voice!$A:$A,Partner_Voice!AL:AL,"",0)="ATT","ATT",XLOOKUP($A37,Partner_Voice!$A:$A,Partner_Voice!AL:AL,"",0))))</f>
        <v>0.4583333333</v>
      </c>
      <c r="AM37" s="42"/>
    </row>
    <row r="38">
      <c r="A38" s="47" t="s">
        <v>77</v>
      </c>
      <c r="B38" s="35" t="str">
        <f t="array" ref="B38">XLOOKUP(A38,Roster!F:F,Roster!A:A,"")</f>
        <v>Daniel Bustamante</v>
      </c>
      <c r="C38" s="35" t="str">
        <f t="array" ref="C38">XLOOKUP(A38,Roster!F:F,Roster!B:B,"")</f>
        <v>Simon Zuluaica</v>
      </c>
      <c r="D38" s="70"/>
      <c r="E38" s="42">
        <f t="array" ref="E38">IF(XLOOKUP($A38,Partner_Voice!$A:$A,Partner_Voice!E:E,"",0)="Free","Free",IF(XLOOKUP($A38,Partner_Voice!$A:$A,Partner_Voice!E:E,"",0)="VL","VL",IF(XLOOKUP($A38,Partner_Voice!$A:$A,Partner_Voice!E:E,"",0)="ATT","ATT",XLOOKUP($A38,Partner_Voice!$A:$A,Partner_Voice!E:E,"",0))))</f>
        <v>0.4583333333</v>
      </c>
      <c r="F38" s="42">
        <f t="array" ref="F38">IF(XLOOKUP($A38,Partner_Voice!$A:$A,Partner_Voice!F:F,"",0)="Free","Free",IF(XLOOKUP($A38,Partner_Voice!$A:$A,Partner_Voice!F:F,"",0)="VL","VL",IF(XLOOKUP($A38,Partner_Voice!$A:$A,Partner_Voice!F:F,"",0)="ATT","ATT",XLOOKUP($A38,Partner_Voice!$A:$A,Partner_Voice!F:F,"",0))))</f>
        <v>0.4583333333</v>
      </c>
      <c r="G38" s="42">
        <f t="array" ref="G38">IF(XLOOKUP($A38,Partner_Voice!$A:$A,Partner_Voice!G:G,"",0)="Free","Free",IF(XLOOKUP($A38,Partner_Voice!$A:$A,Partner_Voice!G:G,"",0)="VL","VL",IF(XLOOKUP($A38,Partner_Voice!$A:$A,Partner_Voice!G:G,"",0)="ATT","ATT",XLOOKUP($A38,Partner_Voice!$A:$A,Partner_Voice!G:G,"",0))))</f>
        <v>0.4583333333</v>
      </c>
      <c r="H38" s="42">
        <f t="array" ref="H38">IF(XLOOKUP($A38,Partner_Voice!$A:$A,Partner_Voice!H:H,"",0)="Free","Free",IF(XLOOKUP($A38,Partner_Voice!$A:$A,Partner_Voice!H:H,"",0)="VL","VL",IF(XLOOKUP($A38,Partner_Voice!$A:$A,Partner_Voice!H:H,"",0)="ATT","ATT",XLOOKUP($A38,Partner_Voice!$A:$A,Partner_Voice!H:H,"",0))))</f>
        <v>0.4583333333</v>
      </c>
      <c r="I38" s="42">
        <f t="array" ref="I38">IF(XLOOKUP($A38,Partner_Voice!$A:$A,Partner_Voice!I:I,"",0)="Free","Free",IF(XLOOKUP($A38,Partner_Voice!$A:$A,Partner_Voice!I:I,"",0)="VL","VL",IF(XLOOKUP($A38,Partner_Voice!$A:$A,Partner_Voice!I:I,"",0)="ATT","ATT",XLOOKUP($A38,Partner_Voice!$A:$A,Partner_Voice!I:I,"",0))))</f>
        <v>0.4583333333</v>
      </c>
      <c r="J38" s="42" t="str">
        <f t="array" ref="J38">IF(XLOOKUP($A38,Partner_Voice!$A:$A,Partner_Voice!J:J,"",0)="Free","Free",IF(XLOOKUP($A38,Partner_Voice!$A:$A,Partner_Voice!J:J,"",0)="VL","VL",IF(XLOOKUP($A38,Partner_Voice!$A:$A,Partner_Voice!J:J,"",0)="ATT","ATT",XLOOKUP($A38,Partner_Voice!$A:$A,Partner_Voice!J:J,"",0))))</f>
        <v>Free</v>
      </c>
      <c r="K38" s="42"/>
      <c r="L38" s="42">
        <f t="array" ref="L38">IF(XLOOKUP($A38,Partner_Voice!$A:$A,Partner_Voice!L:L,"",0)="Free","Free",IF(XLOOKUP($A38,Partner_Voice!$A:$A,Partner_Voice!L:L,"",0)="VL","VL",IF(XLOOKUP($A38,Partner_Voice!$A:$A,Partner_Voice!L:L,"",0)="ATT","ATT",XLOOKUP($A38,Partner_Voice!$A:$A,Partner_Voice!L:L,"",0))))</f>
        <v>0.4583333333</v>
      </c>
      <c r="M38" s="42">
        <f t="array" ref="M38">IF(XLOOKUP($A38,Partner_Voice!$A:$A,Partner_Voice!M:M,"",0)="Free","Free",IF(XLOOKUP($A38,Partner_Voice!$A:$A,Partner_Voice!M:M,"",0)="VL","VL",IF(XLOOKUP($A38,Partner_Voice!$A:$A,Partner_Voice!M:M,"",0)="ATT","ATT",XLOOKUP($A38,Partner_Voice!$A:$A,Partner_Voice!M:M,"",0))))</f>
        <v>0.4583333333</v>
      </c>
      <c r="N38" s="42">
        <f t="array" ref="N38">IF(XLOOKUP($A38,Partner_Voice!$A:$A,Partner_Voice!N:N,"",0)="Free","Free",IF(XLOOKUP($A38,Partner_Voice!$A:$A,Partner_Voice!N:N,"",0)="VL","VL",IF(XLOOKUP($A38,Partner_Voice!$A:$A,Partner_Voice!N:N,"",0)="ATT","ATT",XLOOKUP($A38,Partner_Voice!$A:$A,Partner_Voice!N:N,"",0))))</f>
        <v>0.4583333333</v>
      </c>
      <c r="O38" s="42">
        <f t="array" ref="O38">IF(XLOOKUP($A38,Partner_Voice!$A:$A,Partner_Voice!O:O,"",0)="Free","Free",IF(XLOOKUP($A38,Partner_Voice!$A:$A,Partner_Voice!O:O,"",0)="VL","VL",IF(XLOOKUP($A38,Partner_Voice!$A:$A,Partner_Voice!O:O,"",0)="ATT","ATT",XLOOKUP($A38,Partner_Voice!$A:$A,Partner_Voice!O:O,"",0))))</f>
        <v>0.4583333333</v>
      </c>
      <c r="P38" s="42">
        <f t="array" ref="P38">IF(XLOOKUP($A38,Partner_Voice!$A:$A,Partner_Voice!P:P,"",0)="Free","Free",IF(XLOOKUP($A38,Partner_Voice!$A:$A,Partner_Voice!P:P,"",0)="VL","VL",IF(XLOOKUP($A38,Partner_Voice!$A:$A,Partner_Voice!P:P,"",0)="ATT","ATT",XLOOKUP($A38,Partner_Voice!$A:$A,Partner_Voice!P:P,"",0))))</f>
        <v>0.4583333333</v>
      </c>
      <c r="Q38" s="42" t="str">
        <f t="array" ref="Q38">IF(XLOOKUP($A38,Partner_Voice!$A:$A,Partner_Voice!Q:Q,"",0)="Free","Free",IF(XLOOKUP($A38,Partner_Voice!$A:$A,Partner_Voice!Q:Q,"",0)="VL","VL",IF(XLOOKUP($A38,Partner_Voice!$A:$A,Partner_Voice!Q:Q,"",0)="ATT","ATT",XLOOKUP($A38,Partner_Voice!$A:$A,Partner_Voice!Q:Q,"",0))))</f>
        <v>Free</v>
      </c>
      <c r="R38" s="43"/>
      <c r="S38" s="42">
        <f t="array" ref="S38">IF(XLOOKUP($A38,Partner_Voice!$A:$A,Partner_Voice!S:S,"",0)="Free","Free",IF(XLOOKUP($A38,Partner_Voice!$A:$A,Partner_Voice!S:S,"",0)="VL","VL",IF(XLOOKUP($A38,Partner_Voice!$A:$A,Partner_Voice!S:S,"",0)="ATT","ATT",XLOOKUP($A38,Partner_Voice!$A:$A,Partner_Voice!S:S,"",0))))</f>
        <v>0.4583333333</v>
      </c>
      <c r="T38" s="42">
        <f t="array" ref="T38">IF(XLOOKUP($A38,Partner_Voice!$A:$A,Partner_Voice!T:T,"",0)="Free","Free",IF(XLOOKUP($A38,Partner_Voice!$A:$A,Partner_Voice!T:T,"",0)="VL","VL",IF(XLOOKUP($A38,Partner_Voice!$A:$A,Partner_Voice!T:T,"",0)="ATT","ATT",XLOOKUP($A38,Partner_Voice!$A:$A,Partner_Voice!T:T,"",0))))</f>
        <v>0.4583333333</v>
      </c>
      <c r="U38" s="42">
        <f t="array" ref="U38">IF(XLOOKUP($A38,Partner_Voice!$A:$A,Partner_Voice!U:U,"",0)="Free","Free",IF(XLOOKUP($A38,Partner_Voice!$A:$A,Partner_Voice!U:U,"",0)="VL","VL",IF(XLOOKUP($A38,Partner_Voice!$A:$A,Partner_Voice!U:U,"",0)="ATT","ATT",XLOOKUP($A38,Partner_Voice!$A:$A,Partner_Voice!U:U,"",0))))</f>
        <v>0.4583333333</v>
      </c>
      <c r="V38" s="42">
        <f t="array" ref="V38">IF(XLOOKUP($A38,Partner_Voice!$A:$A,Partner_Voice!V:V,"",0)="Free","Free",IF(XLOOKUP($A38,Partner_Voice!$A:$A,Partner_Voice!V:V,"",0)="VL","VL",IF(XLOOKUP($A38,Partner_Voice!$A:$A,Partner_Voice!V:V,"",0)="ATT","ATT",XLOOKUP($A38,Partner_Voice!$A:$A,Partner_Voice!V:V,"",0))))</f>
        <v>0.4583333333</v>
      </c>
      <c r="W38" s="42">
        <f t="array" ref="W38">IF(XLOOKUP($A38,Partner_Voice!$A:$A,Partner_Voice!W:W,"",0)="Free","Free",IF(XLOOKUP($A38,Partner_Voice!$A:$A,Partner_Voice!W:W,"",0)="VL","VL",IF(XLOOKUP($A38,Partner_Voice!$A:$A,Partner_Voice!W:W,"",0)="ATT","ATT",XLOOKUP($A38,Partner_Voice!$A:$A,Partner_Voice!W:W,"",0))))</f>
        <v>0.4583333333</v>
      </c>
      <c r="X38" s="42" t="str">
        <f t="array" ref="X38">IF(XLOOKUP($A38,Partner_Voice!$A:$A,Partner_Voice!X:X,"",0)="Free","Free",IF(XLOOKUP($A38,Partner_Voice!$A:$A,Partner_Voice!X:X,"",0)="VL","VL",IF(XLOOKUP($A38,Partner_Voice!$A:$A,Partner_Voice!X:X,"",0)="ATT","ATT",XLOOKUP($A38,Partner_Voice!$A:$A,Partner_Voice!X:X,"",0))))</f>
        <v>Free</v>
      </c>
      <c r="Y38" s="43"/>
      <c r="Z38" s="42">
        <f t="array" ref="Z38">IF(XLOOKUP($A38,Partner_Voice!$A:$A,Partner_Voice!Z:Z,"",0)="Free","Free",IF(XLOOKUP($A38,Partner_Voice!$A:$A,Partner_Voice!Z:Z,"",0)="VL","VL",IF(XLOOKUP($A38,Partner_Voice!$A:$A,Partner_Voice!Z:Z,"",0)="ATT","ATT",XLOOKUP($A38,Partner_Voice!$A:$A,Partner_Voice!Z:Z,"",0))))</f>
        <v>0.4583333333</v>
      </c>
      <c r="AA38" s="42">
        <f t="array" ref="AA38">IF(XLOOKUP($A38,Partner_Voice!$A:$A,Partner_Voice!AA:AA,"",0)="Free","Free",IF(XLOOKUP($A38,Partner_Voice!$A:$A,Partner_Voice!AA:AA,"",0)="VL","VL",IF(XLOOKUP($A38,Partner_Voice!$A:$A,Partner_Voice!AA:AA,"",0)="ATT","ATT",XLOOKUP($A38,Partner_Voice!$A:$A,Partner_Voice!AA:AA,"",0))))</f>
        <v>0.4583333333</v>
      </c>
      <c r="AB38" s="42">
        <f t="array" ref="AB38">IF(XLOOKUP($A38,Partner_Voice!$A:$A,Partner_Voice!AB:AB,"",0)="Free","Free",IF(XLOOKUP($A38,Partner_Voice!$A:$A,Partner_Voice!AB:AB,"",0)="VL","VL",IF(XLOOKUP($A38,Partner_Voice!$A:$A,Partner_Voice!AB:AB,"",0)="ATT","ATT",XLOOKUP($A38,Partner_Voice!$A:$A,Partner_Voice!AB:AB,"",0))))</f>
        <v>0.4583333333</v>
      </c>
      <c r="AC38" s="42">
        <f t="array" ref="AC38">IF(XLOOKUP($A38,Partner_Voice!$A:$A,Partner_Voice!AC:AC,"",0)="Free","Free",IF(XLOOKUP($A38,Partner_Voice!$A:$A,Partner_Voice!AC:AC,"",0)="VL","VL",IF(XLOOKUP($A38,Partner_Voice!$A:$A,Partner_Voice!AC:AC,"",0)="ATT","ATT",XLOOKUP($A38,Partner_Voice!$A:$A,Partner_Voice!AC:AC,"",0))))</f>
        <v>0.4583333333</v>
      </c>
      <c r="AD38" s="42">
        <f t="array" ref="AD38">IF(XLOOKUP($A38,Partner_Voice!$A:$A,Partner_Voice!AD:AD,"",0)="Free","Free",IF(XLOOKUP($A38,Partner_Voice!$A:$A,Partner_Voice!AD:AD,"",0)="VL","VL",IF(XLOOKUP($A38,Partner_Voice!$A:$A,Partner_Voice!AD:AD,"",0)="ATT","ATT",XLOOKUP($A38,Partner_Voice!$A:$A,Partner_Voice!AD:AD,"",0))))</f>
        <v>0.4583333333</v>
      </c>
      <c r="AE38" s="42" t="str">
        <f t="array" ref="AE38">IF(XLOOKUP($A38,Partner_Voice!$A:$A,Partner_Voice!AE:AE,"",0)="Free","Free",IF(XLOOKUP($A38,Partner_Voice!$A:$A,Partner_Voice!AE:AE,"",0)="VL","VL",IF(XLOOKUP($A38,Partner_Voice!$A:$A,Partner_Voice!AE:AE,"",0)="ATT","ATT",XLOOKUP($A38,Partner_Voice!$A:$A,Partner_Voice!AE:AE,"",0))))</f>
        <v>Free</v>
      </c>
      <c r="AF38" s="69"/>
      <c r="AG38" s="42">
        <f t="array" ref="AG38">IF(XLOOKUP($A38,Partner_Voice!$A:$A,Partner_Voice!AG:AG,"",0)="Free","Free",IF(XLOOKUP($A38,Partner_Voice!$A:$A,Partner_Voice!AG:AG,"",0)="VL","VL",IF(XLOOKUP($A38,Partner_Voice!$A:$A,Partner_Voice!AG:AG,"",0)="ATT","ATT",XLOOKUP($A38,Partner_Voice!$A:$A,Partner_Voice!AG:AG,"",0))))</f>
        <v>0.4583333333</v>
      </c>
      <c r="AH38" s="42">
        <f t="array" ref="AH38">IF(XLOOKUP($A38,Partner_Voice!$A:$A,Partner_Voice!AH:AH,"",0)="Free","Free",IF(XLOOKUP($A38,Partner_Voice!$A:$A,Partner_Voice!AH:AH,"",0)="VL","VL",IF(XLOOKUP($A38,Partner_Voice!$A:$A,Partner_Voice!AH:AH,"",0)="ATT","ATT",XLOOKUP($A38,Partner_Voice!$A:$A,Partner_Voice!AH:AH,"",0))))</f>
        <v>0.4583333333</v>
      </c>
      <c r="AI38" s="42">
        <f t="array" ref="AI38">IF(XLOOKUP($A38,Partner_Voice!$A:$A,Partner_Voice!AI:AI,"",0)="Free","Free",IF(XLOOKUP($A38,Partner_Voice!$A:$A,Partner_Voice!AI:AI,"",0)="VL","VL",IF(XLOOKUP($A38,Partner_Voice!$A:$A,Partner_Voice!AI:AI,"",0)="ATT","ATT",XLOOKUP($A38,Partner_Voice!$A:$A,Partner_Voice!AI:AI,"",0))))</f>
        <v>0.4583333333</v>
      </c>
      <c r="AJ38" s="42">
        <f t="array" ref="AJ38">IF(XLOOKUP($A38,Partner_Voice!$A:$A,Partner_Voice!AJ:AJ,"",0)="Free","Free",IF(XLOOKUP($A38,Partner_Voice!$A:$A,Partner_Voice!AJ:AJ,"",0)="VL","VL",IF(XLOOKUP($A38,Partner_Voice!$A:$A,Partner_Voice!AJ:AJ,"",0)="ATT","ATT",XLOOKUP($A38,Partner_Voice!$A:$A,Partner_Voice!AJ:AJ,"",0))))</f>
        <v>0.4583333333</v>
      </c>
      <c r="AK38" s="42">
        <f t="array" ref="AK38">IF(XLOOKUP($A38,Partner_Voice!$A:$A,Partner_Voice!AK:AK,"",0)="Free","Free",IF(XLOOKUP($A38,Partner_Voice!$A:$A,Partner_Voice!AK:AK,"",0)="VL","VL",IF(XLOOKUP($A38,Partner_Voice!$A:$A,Partner_Voice!AK:AK,"",0)="ATT","ATT",XLOOKUP($A38,Partner_Voice!$A:$A,Partner_Voice!AK:AK,"",0))))</f>
        <v>0.4583333333</v>
      </c>
      <c r="AL38" s="42" t="str">
        <f t="array" ref="AL38">IF(XLOOKUP($A38,Partner_Voice!$A:$A,Partner_Voice!AL:AL,"",0)="Free","Free",IF(XLOOKUP($A38,Partner_Voice!$A:$A,Partner_Voice!AL:AL,"",0)="VL","VL",IF(XLOOKUP($A38,Partner_Voice!$A:$A,Partner_Voice!AL:AL,"",0)="ATT","ATT",XLOOKUP($A38,Partner_Voice!$A:$A,Partner_Voice!AL:AL,"",0))))</f>
        <v>Free</v>
      </c>
      <c r="AM38" s="42"/>
    </row>
    <row r="39">
      <c r="A39" s="47" t="s">
        <v>17</v>
      </c>
      <c r="B39" s="35" t="str">
        <f t="array" ref="B39">XLOOKUP(A39,Roster!F:F,Roster!A:A,"")</f>
        <v>Martin Salazar</v>
      </c>
      <c r="C39" s="35" t="str">
        <f t="array" ref="C39">XLOOKUP(A39,Roster!F:F,Roster!B:B,"")</f>
        <v>Brahian Prado</v>
      </c>
      <c r="D39" s="70"/>
      <c r="E39" s="42">
        <f t="array" ref="E39">IF(XLOOKUP($A39,Partner_Voice!$A:$A,Partner_Voice!E:E,"",0)="Free","Free",IF(XLOOKUP($A39,Partner_Voice!$A:$A,Partner_Voice!E:E,"",0)="VL","VL",IF(XLOOKUP($A39,Partner_Voice!$A:$A,Partner_Voice!E:E,"",0)="ATT","ATT",XLOOKUP($A39,Partner_Voice!$A:$A,Partner_Voice!E:E,"",0))))</f>
        <v>0.3333333333</v>
      </c>
      <c r="F39" s="42">
        <f t="array" ref="F39">IF(XLOOKUP($A39,Partner_Voice!$A:$A,Partner_Voice!F:F,"",0)="Free","Free",IF(XLOOKUP($A39,Partner_Voice!$A:$A,Partner_Voice!F:F,"",0)="VL","VL",IF(XLOOKUP($A39,Partner_Voice!$A:$A,Partner_Voice!F:F,"",0)="ATT","ATT",XLOOKUP($A39,Partner_Voice!$A:$A,Partner_Voice!F:F,"",0))))</f>
        <v>0.3333333333</v>
      </c>
      <c r="G39" s="42">
        <f t="array" ref="G39">IF(XLOOKUP($A39,Partner_Voice!$A:$A,Partner_Voice!G:G,"",0)="Free","Free",IF(XLOOKUP($A39,Partner_Voice!$A:$A,Partner_Voice!G:G,"",0)="VL","VL",IF(XLOOKUP($A39,Partner_Voice!$A:$A,Partner_Voice!G:G,"",0)="ATT","ATT",XLOOKUP($A39,Partner_Voice!$A:$A,Partner_Voice!G:G,"",0))))</f>
        <v>0.3333333333</v>
      </c>
      <c r="H39" s="42">
        <f t="array" ref="H39">IF(XLOOKUP($A39,Partner_Voice!$A:$A,Partner_Voice!H:H,"",0)="Free","Free",IF(XLOOKUP($A39,Partner_Voice!$A:$A,Partner_Voice!H:H,"",0)="VL","VL",IF(XLOOKUP($A39,Partner_Voice!$A:$A,Partner_Voice!H:H,"",0)="ATT","ATT",XLOOKUP($A39,Partner_Voice!$A:$A,Partner_Voice!H:H,"",0))))</f>
        <v>0.3333333333</v>
      </c>
      <c r="I39" s="42">
        <f t="array" ref="I39">IF(XLOOKUP($A39,Partner_Voice!$A:$A,Partner_Voice!I:I,"",0)="Free","Free",IF(XLOOKUP($A39,Partner_Voice!$A:$A,Partner_Voice!I:I,"",0)="VL","VL",IF(XLOOKUP($A39,Partner_Voice!$A:$A,Partner_Voice!I:I,"",0)="ATT","ATT",XLOOKUP($A39,Partner_Voice!$A:$A,Partner_Voice!I:I,"",0))))</f>
        <v>0.3333333333</v>
      </c>
      <c r="J39" s="42" t="str">
        <f t="array" ref="J39">IF(XLOOKUP($A39,Partner_Voice!$A:$A,Partner_Voice!J:J,"",0)="Free","Free",IF(XLOOKUP($A39,Partner_Voice!$A:$A,Partner_Voice!J:J,"",0)="VL","VL",IF(XLOOKUP($A39,Partner_Voice!$A:$A,Partner_Voice!J:J,"",0)="ATT","ATT",XLOOKUP($A39,Partner_Voice!$A:$A,Partner_Voice!J:J,"",0))))</f>
        <v>Free</v>
      </c>
      <c r="K39" s="42"/>
      <c r="L39" s="42">
        <f t="array" ref="L39">IF(XLOOKUP($A39,Partner_Voice!$A:$A,Partner_Voice!L:L,"",0)="Free","Free",IF(XLOOKUP($A39,Partner_Voice!$A:$A,Partner_Voice!L:L,"",0)="VL","VL",IF(XLOOKUP($A39,Partner_Voice!$A:$A,Partner_Voice!L:L,"",0)="ATT","ATT",XLOOKUP($A39,Partner_Voice!$A:$A,Partner_Voice!L:L,"",0))))</f>
        <v>0.3333333333</v>
      </c>
      <c r="M39" s="42">
        <f t="array" ref="M39">IF(XLOOKUP($A39,Partner_Voice!$A:$A,Partner_Voice!M:M,"",0)="Free","Free",IF(XLOOKUP($A39,Partner_Voice!$A:$A,Partner_Voice!M:M,"",0)="VL","VL",IF(XLOOKUP($A39,Partner_Voice!$A:$A,Partner_Voice!M:M,"",0)="ATT","ATT",XLOOKUP($A39,Partner_Voice!$A:$A,Partner_Voice!M:M,"",0))))</f>
        <v>0.3333333333</v>
      </c>
      <c r="N39" s="42">
        <f t="array" ref="N39">IF(XLOOKUP($A39,Partner_Voice!$A:$A,Partner_Voice!N:N,"",0)="Free","Free",IF(XLOOKUP($A39,Partner_Voice!$A:$A,Partner_Voice!N:N,"",0)="VL","VL",IF(XLOOKUP($A39,Partner_Voice!$A:$A,Partner_Voice!N:N,"",0)="ATT","ATT",XLOOKUP($A39,Partner_Voice!$A:$A,Partner_Voice!N:N,"",0))))</f>
        <v>0.3333333333</v>
      </c>
      <c r="O39" s="42">
        <f t="array" ref="O39">IF(XLOOKUP($A39,Partner_Voice!$A:$A,Partner_Voice!O:O,"",0)="Free","Free",IF(XLOOKUP($A39,Partner_Voice!$A:$A,Partner_Voice!O:O,"",0)="VL","VL",IF(XLOOKUP($A39,Partner_Voice!$A:$A,Partner_Voice!O:O,"",0)="ATT","ATT",XLOOKUP($A39,Partner_Voice!$A:$A,Partner_Voice!O:O,"",0))))</f>
        <v>0.3333333333</v>
      </c>
      <c r="P39" s="42">
        <f t="array" ref="P39">IF(XLOOKUP($A39,Partner_Voice!$A:$A,Partner_Voice!P:P,"",0)="Free","Free",IF(XLOOKUP($A39,Partner_Voice!$A:$A,Partner_Voice!P:P,"",0)="VL","VL",IF(XLOOKUP($A39,Partner_Voice!$A:$A,Partner_Voice!P:P,"",0)="ATT","ATT",XLOOKUP($A39,Partner_Voice!$A:$A,Partner_Voice!P:P,"",0))))</f>
        <v>0.3333333333</v>
      </c>
      <c r="Q39" s="42" t="str">
        <f t="array" ref="Q39">IF(XLOOKUP($A39,Partner_Voice!$A:$A,Partner_Voice!Q:Q,"",0)="Free","Free",IF(XLOOKUP($A39,Partner_Voice!$A:$A,Partner_Voice!Q:Q,"",0)="VL","VL",IF(XLOOKUP($A39,Partner_Voice!$A:$A,Partner_Voice!Q:Q,"",0)="ATT","ATT",XLOOKUP($A39,Partner_Voice!$A:$A,Partner_Voice!Q:Q,"",0))))</f>
        <v>Free</v>
      </c>
      <c r="R39" s="43"/>
      <c r="S39" s="42">
        <f t="array" ref="S39">IF(XLOOKUP($A39,Partner_Voice!$A:$A,Partner_Voice!S:S,"",0)="Free","Free",IF(XLOOKUP($A39,Partner_Voice!$A:$A,Partner_Voice!S:S,"",0)="VL","VL",IF(XLOOKUP($A39,Partner_Voice!$A:$A,Partner_Voice!S:S,"",0)="ATT","ATT",XLOOKUP($A39,Partner_Voice!$A:$A,Partner_Voice!S:S,"",0))))</f>
        <v>0.3333333333</v>
      </c>
      <c r="T39" s="42">
        <f t="array" ref="T39">IF(XLOOKUP($A39,Partner_Voice!$A:$A,Partner_Voice!T:T,"",0)="Free","Free",IF(XLOOKUP($A39,Partner_Voice!$A:$A,Partner_Voice!T:T,"",0)="VL","VL",IF(XLOOKUP($A39,Partner_Voice!$A:$A,Partner_Voice!T:T,"",0)="ATT","ATT",XLOOKUP($A39,Partner_Voice!$A:$A,Partner_Voice!T:T,"",0))))</f>
        <v>0.3333333333</v>
      </c>
      <c r="U39" s="42">
        <f t="array" ref="U39">IF(XLOOKUP($A39,Partner_Voice!$A:$A,Partner_Voice!U:U,"",0)="Free","Free",IF(XLOOKUP($A39,Partner_Voice!$A:$A,Partner_Voice!U:U,"",0)="VL","VL",IF(XLOOKUP($A39,Partner_Voice!$A:$A,Partner_Voice!U:U,"",0)="ATT","ATT",XLOOKUP($A39,Partner_Voice!$A:$A,Partner_Voice!U:U,"",0))))</f>
        <v>0.3333333333</v>
      </c>
      <c r="V39" s="42">
        <f t="array" ref="V39">IF(XLOOKUP($A39,Partner_Voice!$A:$A,Partner_Voice!V:V,"",0)="Free","Free",IF(XLOOKUP($A39,Partner_Voice!$A:$A,Partner_Voice!V:V,"",0)="VL","VL",IF(XLOOKUP($A39,Partner_Voice!$A:$A,Partner_Voice!V:V,"",0)="ATT","ATT",XLOOKUP($A39,Partner_Voice!$A:$A,Partner_Voice!V:V,"",0))))</f>
        <v>0.3333333333</v>
      </c>
      <c r="W39" s="42">
        <f t="array" ref="W39">IF(XLOOKUP($A39,Partner_Voice!$A:$A,Partner_Voice!W:W,"",0)="Free","Free",IF(XLOOKUP($A39,Partner_Voice!$A:$A,Partner_Voice!W:W,"",0)="VL","VL",IF(XLOOKUP($A39,Partner_Voice!$A:$A,Partner_Voice!W:W,"",0)="ATT","ATT",XLOOKUP($A39,Partner_Voice!$A:$A,Partner_Voice!W:W,"",0))))</f>
        <v>0.3333333333</v>
      </c>
      <c r="X39" s="42" t="str">
        <f t="array" ref="X39">IF(XLOOKUP($A39,Partner_Voice!$A:$A,Partner_Voice!X:X,"",0)="Free","Free",IF(XLOOKUP($A39,Partner_Voice!$A:$A,Partner_Voice!X:X,"",0)="VL","VL",IF(XLOOKUP($A39,Partner_Voice!$A:$A,Partner_Voice!X:X,"",0)="ATT","ATT",XLOOKUP($A39,Partner_Voice!$A:$A,Partner_Voice!X:X,"",0))))</f>
        <v>Free</v>
      </c>
      <c r="Y39" s="43"/>
      <c r="Z39" s="42">
        <f t="array" ref="Z39">IF(XLOOKUP($A39,Partner_Voice!$A:$A,Partner_Voice!Z:Z,"",0)="Free","Free",IF(XLOOKUP($A39,Partner_Voice!$A:$A,Partner_Voice!Z:Z,"",0)="VL","VL",IF(XLOOKUP($A39,Partner_Voice!$A:$A,Partner_Voice!Z:Z,"",0)="ATT","ATT",XLOOKUP($A39,Partner_Voice!$A:$A,Partner_Voice!Z:Z,"",0))))</f>
        <v>0.3333333333</v>
      </c>
      <c r="AA39" s="42">
        <f t="array" ref="AA39">IF(XLOOKUP($A39,Partner_Voice!$A:$A,Partner_Voice!AA:AA,"",0)="Free","Free",IF(XLOOKUP($A39,Partner_Voice!$A:$A,Partner_Voice!AA:AA,"",0)="VL","VL",IF(XLOOKUP($A39,Partner_Voice!$A:$A,Partner_Voice!AA:AA,"",0)="ATT","ATT",XLOOKUP($A39,Partner_Voice!$A:$A,Partner_Voice!AA:AA,"",0))))</f>
        <v>0.3333333333</v>
      </c>
      <c r="AB39" s="42">
        <f t="array" ref="AB39">IF(XLOOKUP($A39,Partner_Voice!$A:$A,Partner_Voice!AB:AB,"",0)="Free","Free",IF(XLOOKUP($A39,Partner_Voice!$A:$A,Partner_Voice!AB:AB,"",0)="VL","VL",IF(XLOOKUP($A39,Partner_Voice!$A:$A,Partner_Voice!AB:AB,"",0)="ATT","ATT",XLOOKUP($A39,Partner_Voice!$A:$A,Partner_Voice!AB:AB,"",0))))</f>
        <v>0.3333333333</v>
      </c>
      <c r="AC39" s="42">
        <f t="array" ref="AC39">IF(XLOOKUP($A39,Partner_Voice!$A:$A,Partner_Voice!AC:AC,"",0)="Free","Free",IF(XLOOKUP($A39,Partner_Voice!$A:$A,Partner_Voice!AC:AC,"",0)="VL","VL",IF(XLOOKUP($A39,Partner_Voice!$A:$A,Partner_Voice!AC:AC,"",0)="ATT","ATT",XLOOKUP($A39,Partner_Voice!$A:$A,Partner_Voice!AC:AC,"",0))))</f>
        <v>0.3333333333</v>
      </c>
      <c r="AD39" s="42">
        <f t="array" ref="AD39">IF(XLOOKUP($A39,Partner_Voice!$A:$A,Partner_Voice!AD:AD,"",0)="Free","Free",IF(XLOOKUP($A39,Partner_Voice!$A:$A,Partner_Voice!AD:AD,"",0)="VL","VL",IF(XLOOKUP($A39,Partner_Voice!$A:$A,Partner_Voice!AD:AD,"",0)="ATT","ATT",XLOOKUP($A39,Partner_Voice!$A:$A,Partner_Voice!AD:AD,"",0))))</f>
        <v>0.3333333333</v>
      </c>
      <c r="AE39" s="42" t="str">
        <f t="array" ref="AE39">IF(XLOOKUP($A39,Partner_Voice!$A:$A,Partner_Voice!AE:AE,"",0)="Free","Free",IF(XLOOKUP($A39,Partner_Voice!$A:$A,Partner_Voice!AE:AE,"",0)="VL","VL",IF(XLOOKUP($A39,Partner_Voice!$A:$A,Partner_Voice!AE:AE,"",0)="ATT","ATT",XLOOKUP($A39,Partner_Voice!$A:$A,Partner_Voice!AE:AE,"",0))))</f>
        <v>Free</v>
      </c>
      <c r="AF39" s="69"/>
      <c r="AG39" s="42">
        <f t="array" ref="AG39">IF(XLOOKUP($A39,Partner_Voice!$A:$A,Partner_Voice!AG:AG,"",0)="Free","Free",IF(XLOOKUP($A39,Partner_Voice!$A:$A,Partner_Voice!AG:AG,"",0)="VL","VL",IF(XLOOKUP($A39,Partner_Voice!$A:$A,Partner_Voice!AG:AG,"",0)="ATT","ATT",XLOOKUP($A39,Partner_Voice!$A:$A,Partner_Voice!AG:AG,"",0))))</f>
        <v>0.3333333333</v>
      </c>
      <c r="AH39" s="42">
        <f t="array" ref="AH39">IF(XLOOKUP($A39,Partner_Voice!$A:$A,Partner_Voice!AH:AH,"",0)="Free","Free",IF(XLOOKUP($A39,Partner_Voice!$A:$A,Partner_Voice!AH:AH,"",0)="VL","VL",IF(XLOOKUP($A39,Partner_Voice!$A:$A,Partner_Voice!AH:AH,"",0)="ATT","ATT",XLOOKUP($A39,Partner_Voice!$A:$A,Partner_Voice!AH:AH,"",0))))</f>
        <v>0.3333333333</v>
      </c>
      <c r="AI39" s="42">
        <f t="array" ref="AI39">IF(XLOOKUP($A39,Partner_Voice!$A:$A,Partner_Voice!AI:AI,"",0)="Free","Free",IF(XLOOKUP($A39,Partner_Voice!$A:$A,Partner_Voice!AI:AI,"",0)="VL","VL",IF(XLOOKUP($A39,Partner_Voice!$A:$A,Partner_Voice!AI:AI,"",0)="ATT","ATT",XLOOKUP($A39,Partner_Voice!$A:$A,Partner_Voice!AI:AI,"",0))))</f>
        <v>0.3333333333</v>
      </c>
      <c r="AJ39" s="42">
        <f t="array" ref="AJ39">IF(XLOOKUP($A39,Partner_Voice!$A:$A,Partner_Voice!AJ:AJ,"",0)="Free","Free",IF(XLOOKUP($A39,Partner_Voice!$A:$A,Partner_Voice!AJ:AJ,"",0)="VL","VL",IF(XLOOKUP($A39,Partner_Voice!$A:$A,Partner_Voice!AJ:AJ,"",0)="ATT","ATT",XLOOKUP($A39,Partner_Voice!$A:$A,Partner_Voice!AJ:AJ,"",0))))</f>
        <v>0.3333333333</v>
      </c>
      <c r="AK39" s="42">
        <f t="array" ref="AK39">IF(XLOOKUP($A39,Partner_Voice!$A:$A,Partner_Voice!AK:AK,"",0)="Free","Free",IF(XLOOKUP($A39,Partner_Voice!$A:$A,Partner_Voice!AK:AK,"",0)="VL","VL",IF(XLOOKUP($A39,Partner_Voice!$A:$A,Partner_Voice!AK:AK,"",0)="ATT","ATT",XLOOKUP($A39,Partner_Voice!$A:$A,Partner_Voice!AK:AK,"",0))))</f>
        <v>0.3333333333</v>
      </c>
      <c r="AL39" s="42" t="str">
        <f t="array" ref="AL39">IF(XLOOKUP($A39,Partner_Voice!$A:$A,Partner_Voice!AL:AL,"",0)="Free","Free",IF(XLOOKUP($A39,Partner_Voice!$A:$A,Partner_Voice!AL:AL,"",0)="VL","VL",IF(XLOOKUP($A39,Partner_Voice!$A:$A,Partner_Voice!AL:AL,"",0)="ATT","ATT",XLOOKUP($A39,Partner_Voice!$A:$A,Partner_Voice!AL:AL,"",0))))</f>
        <v>Free</v>
      </c>
      <c r="AM39" s="42"/>
    </row>
    <row r="40">
      <c r="A40" s="47" t="s">
        <v>27</v>
      </c>
      <c r="B40" s="35" t="str">
        <f t="array" ref="B40">XLOOKUP(A40,Roster!F:F,Roster!A:A,"")</f>
        <v>Martin Salazar</v>
      </c>
      <c r="C40" s="35" t="str">
        <f t="array" ref="C40">XLOOKUP(A40,Roster!F:F,Roster!B:B,"")</f>
        <v>Edwuin Martinez</v>
      </c>
      <c r="D40" s="70"/>
      <c r="E40" s="42" t="str">
        <f t="array" ref="E40">IF(XLOOKUP($A40,Partner_Voice!$A:$A,Partner_Voice!E:E,"",0)="Free","Free",IF(XLOOKUP($A40,Partner_Voice!$A:$A,Partner_Voice!E:E,"",0)="VL","VL",IF(XLOOKUP($A40,Partner_Voice!$A:$A,Partner_Voice!E:E,"",0)="ATT","ATT",XLOOKUP($A40,Partner_Voice!$A:$A,Partner_Voice!E:E,"",0))))</f>
        <v>Free</v>
      </c>
      <c r="F40" s="42">
        <f t="array" ref="F40">IF(XLOOKUP($A40,Partner_Voice!$A:$A,Partner_Voice!F:F,"",0)="Free","Free",IF(XLOOKUP($A40,Partner_Voice!$A:$A,Partner_Voice!F:F,"",0)="VL","VL",IF(XLOOKUP($A40,Partner_Voice!$A:$A,Partner_Voice!F:F,"",0)="ATT","ATT",XLOOKUP($A40,Partner_Voice!$A:$A,Partner_Voice!F:F,"",0))))</f>
        <v>0.3333333333</v>
      </c>
      <c r="G40" s="42">
        <f t="array" ref="G40">IF(XLOOKUP($A40,Partner_Voice!$A:$A,Partner_Voice!G:G,"",0)="Free","Free",IF(XLOOKUP($A40,Partner_Voice!$A:$A,Partner_Voice!G:G,"",0)="VL","VL",IF(XLOOKUP($A40,Partner_Voice!$A:$A,Partner_Voice!G:G,"",0)="ATT","ATT",XLOOKUP($A40,Partner_Voice!$A:$A,Partner_Voice!G:G,"",0))))</f>
        <v>0.3333333333</v>
      </c>
      <c r="H40" s="42">
        <f t="array" ref="H40">IF(XLOOKUP($A40,Partner_Voice!$A:$A,Partner_Voice!H:H,"",0)="Free","Free",IF(XLOOKUP($A40,Partner_Voice!$A:$A,Partner_Voice!H:H,"",0)="VL","VL",IF(XLOOKUP($A40,Partner_Voice!$A:$A,Partner_Voice!H:H,"",0)="ATT","ATT",XLOOKUP($A40,Partner_Voice!$A:$A,Partner_Voice!H:H,"",0))))</f>
        <v>0.3333333333</v>
      </c>
      <c r="I40" s="42">
        <f t="array" ref="I40">IF(XLOOKUP($A40,Partner_Voice!$A:$A,Partner_Voice!I:I,"",0)="Free","Free",IF(XLOOKUP($A40,Partner_Voice!$A:$A,Partner_Voice!I:I,"",0)="VL","VL",IF(XLOOKUP($A40,Partner_Voice!$A:$A,Partner_Voice!I:I,"",0)="ATT","ATT",XLOOKUP($A40,Partner_Voice!$A:$A,Partner_Voice!I:I,"",0))))</f>
        <v>0.3333333333</v>
      </c>
      <c r="J40" s="42">
        <f t="array" ref="J40">IF(XLOOKUP($A40,Partner_Voice!$A:$A,Partner_Voice!J:J,"",0)="Free","Free",IF(XLOOKUP($A40,Partner_Voice!$A:$A,Partner_Voice!J:J,"",0)="VL","VL",IF(XLOOKUP($A40,Partner_Voice!$A:$A,Partner_Voice!J:J,"",0)="ATT","ATT",XLOOKUP($A40,Partner_Voice!$A:$A,Partner_Voice!J:J,"",0))))</f>
        <v>0.3333333333</v>
      </c>
      <c r="K40" s="42"/>
      <c r="L40" s="42" t="str">
        <f t="array" ref="L40">IF(XLOOKUP($A40,Partner_Voice!$A:$A,Partner_Voice!L:L,"",0)="Free","Free",IF(XLOOKUP($A40,Partner_Voice!$A:$A,Partner_Voice!L:L,"",0)="VL","VL",IF(XLOOKUP($A40,Partner_Voice!$A:$A,Partner_Voice!L:L,"",0)="ATT","ATT",XLOOKUP($A40,Partner_Voice!$A:$A,Partner_Voice!L:L,"",0))))</f>
        <v>Free</v>
      </c>
      <c r="M40" s="42">
        <f t="array" ref="M40">IF(XLOOKUP($A40,Partner_Voice!$A:$A,Partner_Voice!M:M,"",0)="Free","Free",IF(XLOOKUP($A40,Partner_Voice!$A:$A,Partner_Voice!M:M,"",0)="VL","VL",IF(XLOOKUP($A40,Partner_Voice!$A:$A,Partner_Voice!M:M,"",0)="ATT","ATT",XLOOKUP($A40,Partner_Voice!$A:$A,Partner_Voice!M:M,"",0))))</f>
        <v>0.3333333333</v>
      </c>
      <c r="N40" s="42">
        <f t="array" ref="N40">IF(XLOOKUP($A40,Partner_Voice!$A:$A,Partner_Voice!N:N,"",0)="Free","Free",IF(XLOOKUP($A40,Partner_Voice!$A:$A,Partner_Voice!N:N,"",0)="VL","VL",IF(XLOOKUP($A40,Partner_Voice!$A:$A,Partner_Voice!N:N,"",0)="ATT","ATT",XLOOKUP($A40,Partner_Voice!$A:$A,Partner_Voice!N:N,"",0))))</f>
        <v>0.3333333333</v>
      </c>
      <c r="O40" s="42">
        <f t="array" ref="O40">IF(XLOOKUP($A40,Partner_Voice!$A:$A,Partner_Voice!O:O,"",0)="Free","Free",IF(XLOOKUP($A40,Partner_Voice!$A:$A,Partner_Voice!O:O,"",0)="VL","VL",IF(XLOOKUP($A40,Partner_Voice!$A:$A,Partner_Voice!O:O,"",0)="ATT","ATT",XLOOKUP($A40,Partner_Voice!$A:$A,Partner_Voice!O:O,"",0))))</f>
        <v>0.3333333333</v>
      </c>
      <c r="P40" s="42">
        <f t="array" ref="P40">IF(XLOOKUP($A40,Partner_Voice!$A:$A,Partner_Voice!P:P,"",0)="Free","Free",IF(XLOOKUP($A40,Partner_Voice!$A:$A,Partner_Voice!P:P,"",0)="VL","VL",IF(XLOOKUP($A40,Partner_Voice!$A:$A,Partner_Voice!P:P,"",0)="ATT","ATT",XLOOKUP($A40,Partner_Voice!$A:$A,Partner_Voice!P:P,"",0))))</f>
        <v>0.3333333333</v>
      </c>
      <c r="Q40" s="42">
        <f t="array" ref="Q40">IF(XLOOKUP($A40,Partner_Voice!$A:$A,Partner_Voice!Q:Q,"",0)="Free","Free",IF(XLOOKUP($A40,Partner_Voice!$A:$A,Partner_Voice!Q:Q,"",0)="VL","VL",IF(XLOOKUP($A40,Partner_Voice!$A:$A,Partner_Voice!Q:Q,"",0)="ATT","ATT",XLOOKUP($A40,Partner_Voice!$A:$A,Partner_Voice!Q:Q,"",0))))</f>
        <v>0.3333333333</v>
      </c>
      <c r="R40" s="43"/>
      <c r="S40" s="42" t="str">
        <f t="array" ref="S40">IF(XLOOKUP($A40,Partner_Voice!$A:$A,Partner_Voice!S:S,"",0)="Free","Free",IF(XLOOKUP($A40,Partner_Voice!$A:$A,Partner_Voice!S:S,"",0)="VL","VL",IF(XLOOKUP($A40,Partner_Voice!$A:$A,Partner_Voice!S:S,"",0)="ATT","ATT",XLOOKUP($A40,Partner_Voice!$A:$A,Partner_Voice!S:S,"",0))))</f>
        <v>Free</v>
      </c>
      <c r="T40" s="42">
        <f t="array" ref="T40">IF(XLOOKUP($A40,Partner_Voice!$A:$A,Partner_Voice!T:T,"",0)="Free","Free",IF(XLOOKUP($A40,Partner_Voice!$A:$A,Partner_Voice!T:T,"",0)="VL","VL",IF(XLOOKUP($A40,Partner_Voice!$A:$A,Partner_Voice!T:T,"",0)="ATT","ATT",XLOOKUP($A40,Partner_Voice!$A:$A,Partner_Voice!T:T,"",0))))</f>
        <v>0.3333333333</v>
      </c>
      <c r="U40" s="42">
        <f t="array" ref="U40">IF(XLOOKUP($A40,Partner_Voice!$A:$A,Partner_Voice!U:U,"",0)="Free","Free",IF(XLOOKUP($A40,Partner_Voice!$A:$A,Partner_Voice!U:U,"",0)="VL","VL",IF(XLOOKUP($A40,Partner_Voice!$A:$A,Partner_Voice!U:U,"",0)="ATT","ATT",XLOOKUP($A40,Partner_Voice!$A:$A,Partner_Voice!U:U,"",0))))</f>
        <v>0.3333333333</v>
      </c>
      <c r="V40" s="42">
        <f t="array" ref="V40">IF(XLOOKUP($A40,Partner_Voice!$A:$A,Partner_Voice!V:V,"",0)="Free","Free",IF(XLOOKUP($A40,Partner_Voice!$A:$A,Partner_Voice!V:V,"",0)="VL","VL",IF(XLOOKUP($A40,Partner_Voice!$A:$A,Partner_Voice!V:V,"",0)="ATT","ATT",XLOOKUP($A40,Partner_Voice!$A:$A,Partner_Voice!V:V,"",0))))</f>
        <v>0.3333333333</v>
      </c>
      <c r="W40" s="42">
        <f t="array" ref="W40">IF(XLOOKUP($A40,Partner_Voice!$A:$A,Partner_Voice!W:W,"",0)="Free","Free",IF(XLOOKUP($A40,Partner_Voice!$A:$A,Partner_Voice!W:W,"",0)="VL","VL",IF(XLOOKUP($A40,Partner_Voice!$A:$A,Partner_Voice!W:W,"",0)="ATT","ATT",XLOOKUP($A40,Partner_Voice!$A:$A,Partner_Voice!W:W,"",0))))</f>
        <v>0.3333333333</v>
      </c>
      <c r="X40" s="42">
        <f t="array" ref="X40">IF(XLOOKUP($A40,Partner_Voice!$A:$A,Partner_Voice!X:X,"",0)="Free","Free",IF(XLOOKUP($A40,Partner_Voice!$A:$A,Partner_Voice!X:X,"",0)="VL","VL",IF(XLOOKUP($A40,Partner_Voice!$A:$A,Partner_Voice!X:X,"",0)="ATT","ATT",XLOOKUP($A40,Partner_Voice!$A:$A,Partner_Voice!X:X,"",0))))</f>
        <v>0.3333333333</v>
      </c>
      <c r="Y40" s="43"/>
      <c r="Z40" s="42" t="str">
        <f t="array" ref="Z40">IF(XLOOKUP($A40,Partner_Voice!$A:$A,Partner_Voice!Z:Z,"",0)="Free","Free",IF(XLOOKUP($A40,Partner_Voice!$A:$A,Partner_Voice!Z:Z,"",0)="VL","VL",IF(XLOOKUP($A40,Partner_Voice!$A:$A,Partner_Voice!Z:Z,"",0)="ATT","ATT",XLOOKUP($A40,Partner_Voice!$A:$A,Partner_Voice!Z:Z,"",0))))</f>
        <v>Free</v>
      </c>
      <c r="AA40" s="42">
        <f t="array" ref="AA40">IF(XLOOKUP($A40,Partner_Voice!$A:$A,Partner_Voice!AA:AA,"",0)="Free","Free",IF(XLOOKUP($A40,Partner_Voice!$A:$A,Partner_Voice!AA:AA,"",0)="VL","VL",IF(XLOOKUP($A40,Partner_Voice!$A:$A,Partner_Voice!AA:AA,"",0)="ATT","ATT",XLOOKUP($A40,Partner_Voice!$A:$A,Partner_Voice!AA:AA,"",0))))</f>
        <v>0.3333333333</v>
      </c>
      <c r="AB40" s="42">
        <f t="array" ref="AB40">IF(XLOOKUP($A40,Partner_Voice!$A:$A,Partner_Voice!AB:AB,"",0)="Free","Free",IF(XLOOKUP($A40,Partner_Voice!$A:$A,Partner_Voice!AB:AB,"",0)="VL","VL",IF(XLOOKUP($A40,Partner_Voice!$A:$A,Partner_Voice!AB:AB,"",0)="ATT","ATT",XLOOKUP($A40,Partner_Voice!$A:$A,Partner_Voice!AB:AB,"",0))))</f>
        <v>0.3333333333</v>
      </c>
      <c r="AC40" s="42">
        <f t="array" ref="AC40">IF(XLOOKUP($A40,Partner_Voice!$A:$A,Partner_Voice!AC:AC,"",0)="Free","Free",IF(XLOOKUP($A40,Partner_Voice!$A:$A,Partner_Voice!AC:AC,"",0)="VL","VL",IF(XLOOKUP($A40,Partner_Voice!$A:$A,Partner_Voice!AC:AC,"",0)="ATT","ATT",XLOOKUP($A40,Partner_Voice!$A:$A,Partner_Voice!AC:AC,"",0))))</f>
        <v>0.3333333333</v>
      </c>
      <c r="AD40" s="42">
        <f t="array" ref="AD40">IF(XLOOKUP($A40,Partner_Voice!$A:$A,Partner_Voice!AD:AD,"",0)="Free","Free",IF(XLOOKUP($A40,Partner_Voice!$A:$A,Partner_Voice!AD:AD,"",0)="VL","VL",IF(XLOOKUP($A40,Partner_Voice!$A:$A,Partner_Voice!AD:AD,"",0)="ATT","ATT",XLOOKUP($A40,Partner_Voice!$A:$A,Partner_Voice!AD:AD,"",0))))</f>
        <v>0.3333333333</v>
      </c>
      <c r="AE40" s="42">
        <f t="array" ref="AE40">IF(XLOOKUP($A40,Partner_Voice!$A:$A,Partner_Voice!AE:AE,"",0)="Free","Free",IF(XLOOKUP($A40,Partner_Voice!$A:$A,Partner_Voice!AE:AE,"",0)="VL","VL",IF(XLOOKUP($A40,Partner_Voice!$A:$A,Partner_Voice!AE:AE,"",0)="ATT","ATT",XLOOKUP($A40,Partner_Voice!$A:$A,Partner_Voice!AE:AE,"",0))))</f>
        <v>0.3333333333</v>
      </c>
      <c r="AF40" s="69"/>
      <c r="AG40" s="42" t="str">
        <f t="array" ref="AG40">IF(XLOOKUP($A40,Partner_Voice!$A:$A,Partner_Voice!AG:AG,"",0)="Free","Free",IF(XLOOKUP($A40,Partner_Voice!$A:$A,Partner_Voice!AG:AG,"",0)="VL","VL",IF(XLOOKUP($A40,Partner_Voice!$A:$A,Partner_Voice!AG:AG,"",0)="ATT","ATT",XLOOKUP($A40,Partner_Voice!$A:$A,Partner_Voice!AG:AG,"",0))))</f>
        <v>Free</v>
      </c>
      <c r="AH40" s="42">
        <f t="array" ref="AH40">IF(XLOOKUP($A40,Partner_Voice!$A:$A,Partner_Voice!AH:AH,"",0)="Free","Free",IF(XLOOKUP($A40,Partner_Voice!$A:$A,Partner_Voice!AH:AH,"",0)="VL","VL",IF(XLOOKUP($A40,Partner_Voice!$A:$A,Partner_Voice!AH:AH,"",0)="ATT","ATT",XLOOKUP($A40,Partner_Voice!$A:$A,Partner_Voice!AH:AH,"",0))))</f>
        <v>0.3333333333</v>
      </c>
      <c r="AI40" s="42">
        <f t="array" ref="AI40">IF(XLOOKUP($A40,Partner_Voice!$A:$A,Partner_Voice!AI:AI,"",0)="Free","Free",IF(XLOOKUP($A40,Partner_Voice!$A:$A,Partner_Voice!AI:AI,"",0)="VL","VL",IF(XLOOKUP($A40,Partner_Voice!$A:$A,Partner_Voice!AI:AI,"",0)="ATT","ATT",XLOOKUP($A40,Partner_Voice!$A:$A,Partner_Voice!AI:AI,"",0))))</f>
        <v>0.3333333333</v>
      </c>
      <c r="AJ40" s="42">
        <f t="array" ref="AJ40">IF(XLOOKUP($A40,Partner_Voice!$A:$A,Partner_Voice!AJ:AJ,"",0)="Free","Free",IF(XLOOKUP($A40,Partner_Voice!$A:$A,Partner_Voice!AJ:AJ,"",0)="VL","VL",IF(XLOOKUP($A40,Partner_Voice!$A:$A,Partner_Voice!AJ:AJ,"",0)="ATT","ATT",XLOOKUP($A40,Partner_Voice!$A:$A,Partner_Voice!AJ:AJ,"",0))))</f>
        <v>0.3333333333</v>
      </c>
      <c r="AK40" s="42">
        <f t="array" ref="AK40">IF(XLOOKUP($A40,Partner_Voice!$A:$A,Partner_Voice!AK:AK,"",0)="Free","Free",IF(XLOOKUP($A40,Partner_Voice!$A:$A,Partner_Voice!AK:AK,"",0)="VL","VL",IF(XLOOKUP($A40,Partner_Voice!$A:$A,Partner_Voice!AK:AK,"",0)="ATT","ATT",XLOOKUP($A40,Partner_Voice!$A:$A,Partner_Voice!AK:AK,"",0))))</f>
        <v>0.3333333333</v>
      </c>
      <c r="AL40" s="42">
        <f t="array" ref="AL40">IF(XLOOKUP($A40,Partner_Voice!$A:$A,Partner_Voice!AL:AL,"",0)="Free","Free",IF(XLOOKUP($A40,Partner_Voice!$A:$A,Partner_Voice!AL:AL,"",0)="VL","VL",IF(XLOOKUP($A40,Partner_Voice!$A:$A,Partner_Voice!AL:AL,"",0)="ATT","ATT",XLOOKUP($A40,Partner_Voice!$A:$A,Partner_Voice!AL:AL,"",0))))</f>
        <v>0.3333333333</v>
      </c>
      <c r="AM40" s="42"/>
    </row>
    <row r="41">
      <c r="A41" s="47" t="s">
        <v>29</v>
      </c>
      <c r="B41" s="35" t="str">
        <f t="array" ref="B41">XLOOKUP(A41,Roster!F:F,Roster!A:A,"")</f>
        <v>Martin Salazar</v>
      </c>
      <c r="C41" s="35" t="str">
        <f t="array" ref="C41">XLOOKUP(A41,Roster!F:F,Roster!B:B,"")</f>
        <v>Frank Marin</v>
      </c>
      <c r="D41" s="70"/>
      <c r="E41" s="42">
        <f t="array" ref="E41">IF(XLOOKUP($A41,Partner_Voice!$A:$A,Partner_Voice!E:E,"",0)="Free","Free",IF(XLOOKUP($A41,Partner_Voice!$A:$A,Partner_Voice!E:E,"",0)="VL","VL",IF(XLOOKUP($A41,Partner_Voice!$A:$A,Partner_Voice!E:E,"",0)="ATT","ATT",XLOOKUP($A41,Partner_Voice!$A:$A,Partner_Voice!E:E,"",0))))</f>
        <v>0.3333333333</v>
      </c>
      <c r="F41" s="42">
        <f t="array" ref="F41">IF(XLOOKUP($A41,Partner_Voice!$A:$A,Partner_Voice!F:F,"",0)="Free","Free",IF(XLOOKUP($A41,Partner_Voice!$A:$A,Partner_Voice!F:F,"",0)="VL","VL",IF(XLOOKUP($A41,Partner_Voice!$A:$A,Partner_Voice!F:F,"",0)="ATT","ATT",XLOOKUP($A41,Partner_Voice!$A:$A,Partner_Voice!F:F,"",0))))</f>
        <v>0.3333333333</v>
      </c>
      <c r="G41" s="42">
        <f t="array" ref="G41">IF(XLOOKUP($A41,Partner_Voice!$A:$A,Partner_Voice!G:G,"",0)="Free","Free",IF(XLOOKUP($A41,Partner_Voice!$A:$A,Partner_Voice!G:G,"",0)="VL","VL",IF(XLOOKUP($A41,Partner_Voice!$A:$A,Partner_Voice!G:G,"",0)="ATT","ATT",XLOOKUP($A41,Partner_Voice!$A:$A,Partner_Voice!G:G,"",0))))</f>
        <v>0.3333333333</v>
      </c>
      <c r="H41" s="42">
        <f t="array" ref="H41">IF(XLOOKUP($A41,Partner_Voice!$A:$A,Partner_Voice!H:H,"",0)="Free","Free",IF(XLOOKUP($A41,Partner_Voice!$A:$A,Partner_Voice!H:H,"",0)="VL","VL",IF(XLOOKUP($A41,Partner_Voice!$A:$A,Partner_Voice!H:H,"",0)="ATT","ATT",XLOOKUP($A41,Partner_Voice!$A:$A,Partner_Voice!H:H,"",0))))</f>
        <v>0.3333333333</v>
      </c>
      <c r="I41" s="42">
        <f t="array" ref="I41">IF(XLOOKUP($A41,Partner_Voice!$A:$A,Partner_Voice!I:I,"",0)="Free","Free",IF(XLOOKUP($A41,Partner_Voice!$A:$A,Partner_Voice!I:I,"",0)="VL","VL",IF(XLOOKUP($A41,Partner_Voice!$A:$A,Partner_Voice!I:I,"",0)="ATT","ATT",XLOOKUP($A41,Partner_Voice!$A:$A,Partner_Voice!I:I,"",0))))</f>
        <v>0.3333333333</v>
      </c>
      <c r="J41" s="42" t="str">
        <f t="array" ref="J41">IF(XLOOKUP($A41,Partner_Voice!$A:$A,Partner_Voice!J:J,"",0)="Free","Free",IF(XLOOKUP($A41,Partner_Voice!$A:$A,Partner_Voice!J:J,"",0)="VL","VL",IF(XLOOKUP($A41,Partner_Voice!$A:$A,Partner_Voice!J:J,"",0)="ATT","ATT",XLOOKUP($A41,Partner_Voice!$A:$A,Partner_Voice!J:J,"",0))))</f>
        <v>Free</v>
      </c>
      <c r="K41" s="42"/>
      <c r="L41" s="42">
        <f t="array" ref="L41">IF(XLOOKUP($A41,Partner_Voice!$A:$A,Partner_Voice!L:L,"",0)="Free","Free",IF(XLOOKUP($A41,Partner_Voice!$A:$A,Partner_Voice!L:L,"",0)="VL","VL",IF(XLOOKUP($A41,Partner_Voice!$A:$A,Partner_Voice!L:L,"",0)="ATT","ATT",XLOOKUP($A41,Partner_Voice!$A:$A,Partner_Voice!L:L,"",0))))</f>
        <v>0.3333333333</v>
      </c>
      <c r="M41" s="42">
        <f t="array" ref="M41">IF(XLOOKUP($A41,Partner_Voice!$A:$A,Partner_Voice!M:M,"",0)="Free","Free",IF(XLOOKUP($A41,Partner_Voice!$A:$A,Partner_Voice!M:M,"",0)="VL","VL",IF(XLOOKUP($A41,Partner_Voice!$A:$A,Partner_Voice!M:M,"",0)="ATT","ATT",XLOOKUP($A41,Partner_Voice!$A:$A,Partner_Voice!M:M,"",0))))</f>
        <v>0.3333333333</v>
      </c>
      <c r="N41" s="42">
        <f t="array" ref="N41">IF(XLOOKUP($A41,Partner_Voice!$A:$A,Partner_Voice!N:N,"",0)="Free","Free",IF(XLOOKUP($A41,Partner_Voice!$A:$A,Partner_Voice!N:N,"",0)="VL","VL",IF(XLOOKUP($A41,Partner_Voice!$A:$A,Partner_Voice!N:N,"",0)="ATT","ATT",XLOOKUP($A41,Partner_Voice!$A:$A,Partner_Voice!N:N,"",0))))</f>
        <v>0.3333333333</v>
      </c>
      <c r="O41" s="42">
        <f t="array" ref="O41">IF(XLOOKUP($A41,Partner_Voice!$A:$A,Partner_Voice!O:O,"",0)="Free","Free",IF(XLOOKUP($A41,Partner_Voice!$A:$A,Partner_Voice!O:O,"",0)="VL","VL",IF(XLOOKUP($A41,Partner_Voice!$A:$A,Partner_Voice!O:O,"",0)="ATT","ATT",XLOOKUP($A41,Partner_Voice!$A:$A,Partner_Voice!O:O,"",0))))</f>
        <v>0.3333333333</v>
      </c>
      <c r="P41" s="42">
        <f t="array" ref="P41">IF(XLOOKUP($A41,Partner_Voice!$A:$A,Partner_Voice!P:P,"",0)="Free","Free",IF(XLOOKUP($A41,Partner_Voice!$A:$A,Partner_Voice!P:P,"",0)="VL","VL",IF(XLOOKUP($A41,Partner_Voice!$A:$A,Partner_Voice!P:P,"",0)="ATT","ATT",XLOOKUP($A41,Partner_Voice!$A:$A,Partner_Voice!P:P,"",0))))</f>
        <v>0.3333333333</v>
      </c>
      <c r="Q41" s="42" t="str">
        <f t="array" ref="Q41">IF(XLOOKUP($A41,Partner_Voice!$A:$A,Partner_Voice!Q:Q,"",0)="Free","Free",IF(XLOOKUP($A41,Partner_Voice!$A:$A,Partner_Voice!Q:Q,"",0)="VL","VL",IF(XLOOKUP($A41,Partner_Voice!$A:$A,Partner_Voice!Q:Q,"",0)="ATT","ATT",XLOOKUP($A41,Partner_Voice!$A:$A,Partner_Voice!Q:Q,"",0))))</f>
        <v>Free</v>
      </c>
      <c r="R41" s="43"/>
      <c r="S41" s="42">
        <f t="array" ref="S41">IF(XLOOKUP($A41,Partner_Voice!$A:$A,Partner_Voice!S:S,"",0)="Free","Free",IF(XLOOKUP($A41,Partner_Voice!$A:$A,Partner_Voice!S:S,"",0)="VL","VL",IF(XLOOKUP($A41,Partner_Voice!$A:$A,Partner_Voice!S:S,"",0)="ATT","ATT",XLOOKUP($A41,Partner_Voice!$A:$A,Partner_Voice!S:S,"",0))))</f>
        <v>0.3333333333</v>
      </c>
      <c r="T41" s="42">
        <f t="array" ref="T41">IF(XLOOKUP($A41,Partner_Voice!$A:$A,Partner_Voice!T:T,"",0)="Free","Free",IF(XLOOKUP($A41,Partner_Voice!$A:$A,Partner_Voice!T:T,"",0)="VL","VL",IF(XLOOKUP($A41,Partner_Voice!$A:$A,Partner_Voice!T:T,"",0)="ATT","ATT",XLOOKUP($A41,Partner_Voice!$A:$A,Partner_Voice!T:T,"",0))))</f>
        <v>0.3333333333</v>
      </c>
      <c r="U41" s="42">
        <f t="array" ref="U41">IF(XLOOKUP($A41,Partner_Voice!$A:$A,Partner_Voice!U:U,"",0)="Free","Free",IF(XLOOKUP($A41,Partner_Voice!$A:$A,Partner_Voice!U:U,"",0)="VL","VL",IF(XLOOKUP($A41,Partner_Voice!$A:$A,Partner_Voice!U:U,"",0)="ATT","ATT",XLOOKUP($A41,Partner_Voice!$A:$A,Partner_Voice!U:U,"",0))))</f>
        <v>0.3333333333</v>
      </c>
      <c r="V41" s="42">
        <f t="array" ref="V41">IF(XLOOKUP($A41,Partner_Voice!$A:$A,Partner_Voice!V:V,"",0)="Free","Free",IF(XLOOKUP($A41,Partner_Voice!$A:$A,Partner_Voice!V:V,"",0)="VL","VL",IF(XLOOKUP($A41,Partner_Voice!$A:$A,Partner_Voice!V:V,"",0)="ATT","ATT",XLOOKUP($A41,Partner_Voice!$A:$A,Partner_Voice!V:V,"",0))))</f>
        <v>0.3333333333</v>
      </c>
      <c r="W41" s="42">
        <f t="array" ref="W41">IF(XLOOKUP($A41,Partner_Voice!$A:$A,Partner_Voice!W:W,"",0)="Free","Free",IF(XLOOKUP($A41,Partner_Voice!$A:$A,Partner_Voice!W:W,"",0)="VL","VL",IF(XLOOKUP($A41,Partner_Voice!$A:$A,Partner_Voice!W:W,"",0)="ATT","ATT",XLOOKUP($A41,Partner_Voice!$A:$A,Partner_Voice!W:W,"",0))))</f>
        <v>0.3333333333</v>
      </c>
      <c r="X41" s="42" t="str">
        <f t="array" ref="X41">IF(XLOOKUP($A41,Partner_Voice!$A:$A,Partner_Voice!X:X,"",0)="Free","Free",IF(XLOOKUP($A41,Partner_Voice!$A:$A,Partner_Voice!X:X,"",0)="VL","VL",IF(XLOOKUP($A41,Partner_Voice!$A:$A,Partner_Voice!X:X,"",0)="ATT","ATT",XLOOKUP($A41,Partner_Voice!$A:$A,Partner_Voice!X:X,"",0))))</f>
        <v>Free</v>
      </c>
      <c r="Y41" s="43"/>
      <c r="Z41" s="42">
        <f t="array" ref="Z41">IF(XLOOKUP($A41,Partner_Voice!$A:$A,Partner_Voice!Z:Z,"",0)="Free","Free",IF(XLOOKUP($A41,Partner_Voice!$A:$A,Partner_Voice!Z:Z,"",0)="VL","VL",IF(XLOOKUP($A41,Partner_Voice!$A:$A,Partner_Voice!Z:Z,"",0)="ATT","ATT",XLOOKUP($A41,Partner_Voice!$A:$A,Partner_Voice!Z:Z,"",0))))</f>
        <v>0.3333333333</v>
      </c>
      <c r="AA41" s="42">
        <f t="array" ref="AA41">IF(XLOOKUP($A41,Partner_Voice!$A:$A,Partner_Voice!AA:AA,"",0)="Free","Free",IF(XLOOKUP($A41,Partner_Voice!$A:$A,Partner_Voice!AA:AA,"",0)="VL","VL",IF(XLOOKUP($A41,Partner_Voice!$A:$A,Partner_Voice!AA:AA,"",0)="ATT","ATT",XLOOKUP($A41,Partner_Voice!$A:$A,Partner_Voice!AA:AA,"",0))))</f>
        <v>0.3333333333</v>
      </c>
      <c r="AB41" s="42">
        <f t="array" ref="AB41">IF(XLOOKUP($A41,Partner_Voice!$A:$A,Partner_Voice!AB:AB,"",0)="Free","Free",IF(XLOOKUP($A41,Partner_Voice!$A:$A,Partner_Voice!AB:AB,"",0)="VL","VL",IF(XLOOKUP($A41,Partner_Voice!$A:$A,Partner_Voice!AB:AB,"",0)="ATT","ATT",XLOOKUP($A41,Partner_Voice!$A:$A,Partner_Voice!AB:AB,"",0))))</f>
        <v>0.3333333333</v>
      </c>
      <c r="AC41" s="42">
        <f t="array" ref="AC41">IF(XLOOKUP($A41,Partner_Voice!$A:$A,Partner_Voice!AC:AC,"",0)="Free","Free",IF(XLOOKUP($A41,Partner_Voice!$A:$A,Partner_Voice!AC:AC,"",0)="VL","VL",IF(XLOOKUP($A41,Partner_Voice!$A:$A,Partner_Voice!AC:AC,"",0)="ATT","ATT",XLOOKUP($A41,Partner_Voice!$A:$A,Partner_Voice!AC:AC,"",0))))</f>
        <v>0.3333333333</v>
      </c>
      <c r="AD41" s="42">
        <f t="array" ref="AD41">IF(XLOOKUP($A41,Partner_Voice!$A:$A,Partner_Voice!AD:AD,"",0)="Free","Free",IF(XLOOKUP($A41,Partner_Voice!$A:$A,Partner_Voice!AD:AD,"",0)="VL","VL",IF(XLOOKUP($A41,Partner_Voice!$A:$A,Partner_Voice!AD:AD,"",0)="ATT","ATT",XLOOKUP($A41,Partner_Voice!$A:$A,Partner_Voice!AD:AD,"",0))))</f>
        <v>0.3333333333</v>
      </c>
      <c r="AE41" s="42" t="str">
        <f t="array" ref="AE41">IF(XLOOKUP($A41,Partner_Voice!$A:$A,Partner_Voice!AE:AE,"",0)="Free","Free",IF(XLOOKUP($A41,Partner_Voice!$A:$A,Partner_Voice!AE:AE,"",0)="VL","VL",IF(XLOOKUP($A41,Partner_Voice!$A:$A,Partner_Voice!AE:AE,"",0)="ATT","ATT",XLOOKUP($A41,Partner_Voice!$A:$A,Partner_Voice!AE:AE,"",0))))</f>
        <v>Free</v>
      </c>
      <c r="AF41" s="69"/>
      <c r="AG41" s="42">
        <f t="array" ref="AG41">IF(XLOOKUP($A41,Partner_Voice!$A:$A,Partner_Voice!AG:AG,"",0)="Free","Free",IF(XLOOKUP($A41,Partner_Voice!$A:$A,Partner_Voice!AG:AG,"",0)="VL","VL",IF(XLOOKUP($A41,Partner_Voice!$A:$A,Partner_Voice!AG:AG,"",0)="ATT","ATT",XLOOKUP($A41,Partner_Voice!$A:$A,Partner_Voice!AG:AG,"",0))))</f>
        <v>0.3333333333</v>
      </c>
      <c r="AH41" s="42">
        <f t="array" ref="AH41">IF(XLOOKUP($A41,Partner_Voice!$A:$A,Partner_Voice!AH:AH,"",0)="Free","Free",IF(XLOOKUP($A41,Partner_Voice!$A:$A,Partner_Voice!AH:AH,"",0)="VL","VL",IF(XLOOKUP($A41,Partner_Voice!$A:$A,Partner_Voice!AH:AH,"",0)="ATT","ATT",XLOOKUP($A41,Partner_Voice!$A:$A,Partner_Voice!AH:AH,"",0))))</f>
        <v>0.3333333333</v>
      </c>
      <c r="AI41" s="42">
        <f t="array" ref="AI41">IF(XLOOKUP($A41,Partner_Voice!$A:$A,Partner_Voice!AI:AI,"",0)="Free","Free",IF(XLOOKUP($A41,Partner_Voice!$A:$A,Partner_Voice!AI:AI,"",0)="VL","VL",IF(XLOOKUP($A41,Partner_Voice!$A:$A,Partner_Voice!AI:AI,"",0)="ATT","ATT",XLOOKUP($A41,Partner_Voice!$A:$A,Partner_Voice!AI:AI,"",0))))</f>
        <v>0.3333333333</v>
      </c>
      <c r="AJ41" s="42">
        <f t="array" ref="AJ41">IF(XLOOKUP($A41,Partner_Voice!$A:$A,Partner_Voice!AJ:AJ,"",0)="Free","Free",IF(XLOOKUP($A41,Partner_Voice!$A:$A,Partner_Voice!AJ:AJ,"",0)="VL","VL",IF(XLOOKUP($A41,Partner_Voice!$A:$A,Partner_Voice!AJ:AJ,"",0)="ATT","ATT",XLOOKUP($A41,Partner_Voice!$A:$A,Partner_Voice!AJ:AJ,"",0))))</f>
        <v>0.3333333333</v>
      </c>
      <c r="AK41" s="42">
        <f t="array" ref="AK41">IF(XLOOKUP($A41,Partner_Voice!$A:$A,Partner_Voice!AK:AK,"",0)="Free","Free",IF(XLOOKUP($A41,Partner_Voice!$A:$A,Partner_Voice!AK:AK,"",0)="VL","VL",IF(XLOOKUP($A41,Partner_Voice!$A:$A,Partner_Voice!AK:AK,"",0)="ATT","ATT",XLOOKUP($A41,Partner_Voice!$A:$A,Partner_Voice!AK:AK,"",0))))</f>
        <v>0.3333333333</v>
      </c>
      <c r="AL41" s="42" t="str">
        <f t="array" ref="AL41">IF(XLOOKUP($A41,Partner_Voice!$A:$A,Partner_Voice!AL:AL,"",0)="Free","Free",IF(XLOOKUP($A41,Partner_Voice!$A:$A,Partner_Voice!AL:AL,"",0)="VL","VL",IF(XLOOKUP($A41,Partner_Voice!$A:$A,Partner_Voice!AL:AL,"",0)="ATT","ATT",XLOOKUP($A41,Partner_Voice!$A:$A,Partner_Voice!AL:AL,"",0))))</f>
        <v>Free</v>
      </c>
      <c r="AM41" s="42"/>
    </row>
    <row r="42">
      <c r="A42" s="47" t="s">
        <v>32</v>
      </c>
      <c r="B42" s="35" t="str">
        <f t="array" ref="B42">XLOOKUP(A42,Roster!F:F,Roster!A:A,"")</f>
        <v>Martin Salazar</v>
      </c>
      <c r="C42" s="35" t="str">
        <f t="array" ref="C42">XLOOKUP(A42,Roster!F:F,Roster!B:B,"")</f>
        <v>Geraldine Correa</v>
      </c>
      <c r="D42" s="70"/>
      <c r="E42" s="42">
        <f t="array" ref="E42">IF(XLOOKUP($A42,Partner_Voice!$A:$A,Partner_Voice!E:E,"",0)="Free","Free",IF(XLOOKUP($A42,Partner_Voice!$A:$A,Partner_Voice!E:E,"",0)="VL","VL",IF(XLOOKUP($A42,Partner_Voice!$A:$A,Partner_Voice!E:E,"",0)="ATT","ATT",XLOOKUP($A42,Partner_Voice!$A:$A,Partner_Voice!E:E,"",0))))</f>
        <v>0.3333333333</v>
      </c>
      <c r="F42" s="42">
        <f t="array" ref="F42">IF(XLOOKUP($A42,Partner_Voice!$A:$A,Partner_Voice!F:F,"",0)="Free","Free",IF(XLOOKUP($A42,Partner_Voice!$A:$A,Partner_Voice!F:F,"",0)="VL","VL",IF(XLOOKUP($A42,Partner_Voice!$A:$A,Partner_Voice!F:F,"",0)="ATT","ATT",XLOOKUP($A42,Partner_Voice!$A:$A,Partner_Voice!F:F,"",0))))</f>
        <v>0.3333333333</v>
      </c>
      <c r="G42" s="42">
        <f t="array" ref="G42">IF(XLOOKUP($A42,Partner_Voice!$A:$A,Partner_Voice!G:G,"",0)="Free","Free",IF(XLOOKUP($A42,Partner_Voice!$A:$A,Partner_Voice!G:G,"",0)="VL","VL",IF(XLOOKUP($A42,Partner_Voice!$A:$A,Partner_Voice!G:G,"",0)="ATT","ATT",XLOOKUP($A42,Partner_Voice!$A:$A,Partner_Voice!G:G,"",0))))</f>
        <v>0.3333333333</v>
      </c>
      <c r="H42" s="42">
        <f t="array" ref="H42">IF(XLOOKUP($A42,Partner_Voice!$A:$A,Partner_Voice!H:H,"",0)="Free","Free",IF(XLOOKUP($A42,Partner_Voice!$A:$A,Partner_Voice!H:H,"",0)="VL","VL",IF(XLOOKUP($A42,Partner_Voice!$A:$A,Partner_Voice!H:H,"",0)="ATT","ATT",XLOOKUP($A42,Partner_Voice!$A:$A,Partner_Voice!H:H,"",0))))</f>
        <v>0.3333333333</v>
      </c>
      <c r="I42" s="42">
        <f t="array" ref="I42">IF(XLOOKUP($A42,Partner_Voice!$A:$A,Partner_Voice!I:I,"",0)="Free","Free",IF(XLOOKUP($A42,Partner_Voice!$A:$A,Partner_Voice!I:I,"",0)="VL","VL",IF(XLOOKUP($A42,Partner_Voice!$A:$A,Partner_Voice!I:I,"",0)="ATT","ATT",XLOOKUP($A42,Partner_Voice!$A:$A,Partner_Voice!I:I,"",0))))</f>
        <v>0.3333333333</v>
      </c>
      <c r="J42" s="42" t="str">
        <f t="array" ref="J42">IF(XLOOKUP($A42,Partner_Voice!$A:$A,Partner_Voice!J:J,"",0)="Free","Free",IF(XLOOKUP($A42,Partner_Voice!$A:$A,Partner_Voice!J:J,"",0)="VL","VL",IF(XLOOKUP($A42,Partner_Voice!$A:$A,Partner_Voice!J:J,"",0)="ATT","ATT",XLOOKUP($A42,Partner_Voice!$A:$A,Partner_Voice!J:J,"",0))))</f>
        <v>Free</v>
      </c>
      <c r="K42" s="42"/>
      <c r="L42" s="42">
        <f t="array" ref="L42">IF(XLOOKUP($A42,Partner_Voice!$A:$A,Partner_Voice!L:L,"",0)="Free","Free",IF(XLOOKUP($A42,Partner_Voice!$A:$A,Partner_Voice!L:L,"",0)="VL","VL",IF(XLOOKUP($A42,Partner_Voice!$A:$A,Partner_Voice!L:L,"",0)="ATT","ATT",XLOOKUP($A42,Partner_Voice!$A:$A,Partner_Voice!L:L,"",0))))</f>
        <v>0.3333333333</v>
      </c>
      <c r="M42" s="42">
        <f t="array" ref="M42">IF(XLOOKUP($A42,Partner_Voice!$A:$A,Partner_Voice!M:M,"",0)="Free","Free",IF(XLOOKUP($A42,Partner_Voice!$A:$A,Partner_Voice!M:M,"",0)="VL","VL",IF(XLOOKUP($A42,Partner_Voice!$A:$A,Partner_Voice!M:M,"",0)="ATT","ATT",XLOOKUP($A42,Partner_Voice!$A:$A,Partner_Voice!M:M,"",0))))</f>
        <v>0.3333333333</v>
      </c>
      <c r="N42" s="42">
        <f t="array" ref="N42">IF(XLOOKUP($A42,Partner_Voice!$A:$A,Partner_Voice!N:N,"",0)="Free","Free",IF(XLOOKUP($A42,Partner_Voice!$A:$A,Partner_Voice!N:N,"",0)="VL","VL",IF(XLOOKUP($A42,Partner_Voice!$A:$A,Partner_Voice!N:N,"",0)="ATT","ATT",XLOOKUP($A42,Partner_Voice!$A:$A,Partner_Voice!N:N,"",0))))</f>
        <v>0.3333333333</v>
      </c>
      <c r="O42" s="42">
        <f t="array" ref="O42">IF(XLOOKUP($A42,Partner_Voice!$A:$A,Partner_Voice!O:O,"",0)="Free","Free",IF(XLOOKUP($A42,Partner_Voice!$A:$A,Partner_Voice!O:O,"",0)="VL","VL",IF(XLOOKUP($A42,Partner_Voice!$A:$A,Partner_Voice!O:O,"",0)="ATT","ATT",XLOOKUP($A42,Partner_Voice!$A:$A,Partner_Voice!O:O,"",0))))</f>
        <v>0.3333333333</v>
      </c>
      <c r="P42" s="42">
        <f t="array" ref="P42">IF(XLOOKUP($A42,Partner_Voice!$A:$A,Partner_Voice!P:P,"",0)="Free","Free",IF(XLOOKUP($A42,Partner_Voice!$A:$A,Partner_Voice!P:P,"",0)="VL","VL",IF(XLOOKUP($A42,Partner_Voice!$A:$A,Partner_Voice!P:P,"",0)="ATT","ATT",XLOOKUP($A42,Partner_Voice!$A:$A,Partner_Voice!P:P,"",0))))</f>
        <v>0.3333333333</v>
      </c>
      <c r="Q42" s="42" t="str">
        <f t="array" ref="Q42">IF(XLOOKUP($A42,Partner_Voice!$A:$A,Partner_Voice!Q:Q,"",0)="Free","Free",IF(XLOOKUP($A42,Partner_Voice!$A:$A,Partner_Voice!Q:Q,"",0)="VL","VL",IF(XLOOKUP($A42,Partner_Voice!$A:$A,Partner_Voice!Q:Q,"",0)="ATT","ATT",XLOOKUP($A42,Partner_Voice!$A:$A,Partner_Voice!Q:Q,"",0))))</f>
        <v>Free</v>
      </c>
      <c r="R42" s="43"/>
      <c r="S42" s="42">
        <f t="array" ref="S42">IF(XLOOKUP($A42,Partner_Voice!$A:$A,Partner_Voice!S:S,"",0)="Free","Free",IF(XLOOKUP($A42,Partner_Voice!$A:$A,Partner_Voice!S:S,"",0)="VL","VL",IF(XLOOKUP($A42,Partner_Voice!$A:$A,Partner_Voice!S:S,"",0)="ATT","ATT",XLOOKUP($A42,Partner_Voice!$A:$A,Partner_Voice!S:S,"",0))))</f>
        <v>0.3333333333</v>
      </c>
      <c r="T42" s="42">
        <f t="array" ref="T42">IF(XLOOKUP($A42,Partner_Voice!$A:$A,Partner_Voice!T:T,"",0)="Free","Free",IF(XLOOKUP($A42,Partner_Voice!$A:$A,Partner_Voice!T:T,"",0)="VL","VL",IF(XLOOKUP($A42,Partner_Voice!$A:$A,Partner_Voice!T:T,"",0)="ATT","ATT",XLOOKUP($A42,Partner_Voice!$A:$A,Partner_Voice!T:T,"",0))))</f>
        <v>0.3333333333</v>
      </c>
      <c r="U42" s="42">
        <f t="array" ref="U42">IF(XLOOKUP($A42,Partner_Voice!$A:$A,Partner_Voice!U:U,"",0)="Free","Free",IF(XLOOKUP($A42,Partner_Voice!$A:$A,Partner_Voice!U:U,"",0)="VL","VL",IF(XLOOKUP($A42,Partner_Voice!$A:$A,Partner_Voice!U:U,"",0)="ATT","ATT",XLOOKUP($A42,Partner_Voice!$A:$A,Partner_Voice!U:U,"",0))))</f>
        <v>0.3333333333</v>
      </c>
      <c r="V42" s="42">
        <f t="array" ref="V42">IF(XLOOKUP($A42,Partner_Voice!$A:$A,Partner_Voice!V:V,"",0)="Free","Free",IF(XLOOKUP($A42,Partner_Voice!$A:$A,Partner_Voice!V:V,"",0)="VL","VL",IF(XLOOKUP($A42,Partner_Voice!$A:$A,Partner_Voice!V:V,"",0)="ATT","ATT",XLOOKUP($A42,Partner_Voice!$A:$A,Partner_Voice!V:V,"",0))))</f>
        <v>0.3333333333</v>
      </c>
      <c r="W42" s="42">
        <f t="array" ref="W42">IF(XLOOKUP($A42,Partner_Voice!$A:$A,Partner_Voice!W:W,"",0)="Free","Free",IF(XLOOKUP($A42,Partner_Voice!$A:$A,Partner_Voice!W:W,"",0)="VL","VL",IF(XLOOKUP($A42,Partner_Voice!$A:$A,Partner_Voice!W:W,"",0)="ATT","ATT",XLOOKUP($A42,Partner_Voice!$A:$A,Partner_Voice!W:W,"",0))))</f>
        <v>0.3333333333</v>
      </c>
      <c r="X42" s="42" t="str">
        <f t="array" ref="X42">IF(XLOOKUP($A42,Partner_Voice!$A:$A,Partner_Voice!X:X,"",0)="Free","Free",IF(XLOOKUP($A42,Partner_Voice!$A:$A,Partner_Voice!X:X,"",0)="VL","VL",IF(XLOOKUP($A42,Partner_Voice!$A:$A,Partner_Voice!X:X,"",0)="ATT","ATT",XLOOKUP($A42,Partner_Voice!$A:$A,Partner_Voice!X:X,"",0))))</f>
        <v>Free</v>
      </c>
      <c r="Y42" s="43"/>
      <c r="Z42" s="42">
        <f t="array" ref="Z42">IF(XLOOKUP($A42,Partner_Voice!$A:$A,Partner_Voice!Z:Z,"",0)="Free","Free",IF(XLOOKUP($A42,Partner_Voice!$A:$A,Partner_Voice!Z:Z,"",0)="VL","VL",IF(XLOOKUP($A42,Partner_Voice!$A:$A,Partner_Voice!Z:Z,"",0)="ATT","ATT",XLOOKUP($A42,Partner_Voice!$A:$A,Partner_Voice!Z:Z,"",0))))</f>
        <v>0.3333333333</v>
      </c>
      <c r="AA42" s="42">
        <f t="array" ref="AA42">IF(XLOOKUP($A42,Partner_Voice!$A:$A,Partner_Voice!AA:AA,"",0)="Free","Free",IF(XLOOKUP($A42,Partner_Voice!$A:$A,Partner_Voice!AA:AA,"",0)="VL","VL",IF(XLOOKUP($A42,Partner_Voice!$A:$A,Partner_Voice!AA:AA,"",0)="ATT","ATT",XLOOKUP($A42,Partner_Voice!$A:$A,Partner_Voice!AA:AA,"",0))))</f>
        <v>0.3333333333</v>
      </c>
      <c r="AB42" s="42">
        <f t="array" ref="AB42">IF(XLOOKUP($A42,Partner_Voice!$A:$A,Partner_Voice!AB:AB,"",0)="Free","Free",IF(XLOOKUP($A42,Partner_Voice!$A:$A,Partner_Voice!AB:AB,"",0)="VL","VL",IF(XLOOKUP($A42,Partner_Voice!$A:$A,Partner_Voice!AB:AB,"",0)="ATT","ATT",XLOOKUP($A42,Partner_Voice!$A:$A,Partner_Voice!AB:AB,"",0))))</f>
        <v>0.3333333333</v>
      </c>
      <c r="AC42" s="42">
        <f t="array" ref="AC42">IF(XLOOKUP($A42,Partner_Voice!$A:$A,Partner_Voice!AC:AC,"",0)="Free","Free",IF(XLOOKUP($A42,Partner_Voice!$A:$A,Partner_Voice!AC:AC,"",0)="VL","VL",IF(XLOOKUP($A42,Partner_Voice!$A:$A,Partner_Voice!AC:AC,"",0)="ATT","ATT",XLOOKUP($A42,Partner_Voice!$A:$A,Partner_Voice!AC:AC,"",0))))</f>
        <v>0.3333333333</v>
      </c>
      <c r="AD42" s="42">
        <f t="array" ref="AD42">IF(XLOOKUP($A42,Partner_Voice!$A:$A,Partner_Voice!AD:AD,"",0)="Free","Free",IF(XLOOKUP($A42,Partner_Voice!$A:$A,Partner_Voice!AD:AD,"",0)="VL","VL",IF(XLOOKUP($A42,Partner_Voice!$A:$A,Partner_Voice!AD:AD,"",0)="ATT","ATT",XLOOKUP($A42,Partner_Voice!$A:$A,Partner_Voice!AD:AD,"",0))))</f>
        <v>0.3333333333</v>
      </c>
      <c r="AE42" s="42" t="str">
        <f t="array" ref="AE42">IF(XLOOKUP($A42,Partner_Voice!$A:$A,Partner_Voice!AE:AE,"",0)="Free","Free",IF(XLOOKUP($A42,Partner_Voice!$A:$A,Partner_Voice!AE:AE,"",0)="VL","VL",IF(XLOOKUP($A42,Partner_Voice!$A:$A,Partner_Voice!AE:AE,"",0)="ATT","ATT",XLOOKUP($A42,Partner_Voice!$A:$A,Partner_Voice!AE:AE,"",0))))</f>
        <v>Free</v>
      </c>
      <c r="AF42" s="69"/>
      <c r="AG42" s="42">
        <f t="array" ref="AG42">IF(XLOOKUP($A42,Partner_Voice!$A:$A,Partner_Voice!AG:AG,"",0)="Free","Free",IF(XLOOKUP($A42,Partner_Voice!$A:$A,Partner_Voice!AG:AG,"",0)="VL","VL",IF(XLOOKUP($A42,Partner_Voice!$A:$A,Partner_Voice!AG:AG,"",0)="ATT","ATT",XLOOKUP($A42,Partner_Voice!$A:$A,Partner_Voice!AG:AG,"",0))))</f>
        <v>0.3333333333</v>
      </c>
      <c r="AH42" s="42">
        <f t="array" ref="AH42">IF(XLOOKUP($A42,Partner_Voice!$A:$A,Partner_Voice!AH:AH,"",0)="Free","Free",IF(XLOOKUP($A42,Partner_Voice!$A:$A,Partner_Voice!AH:AH,"",0)="VL","VL",IF(XLOOKUP($A42,Partner_Voice!$A:$A,Partner_Voice!AH:AH,"",0)="ATT","ATT",XLOOKUP($A42,Partner_Voice!$A:$A,Partner_Voice!AH:AH,"",0))))</f>
        <v>0.3333333333</v>
      </c>
      <c r="AI42" s="42">
        <f t="array" ref="AI42">IF(XLOOKUP($A42,Partner_Voice!$A:$A,Partner_Voice!AI:AI,"",0)="Free","Free",IF(XLOOKUP($A42,Partner_Voice!$A:$A,Partner_Voice!AI:AI,"",0)="VL","VL",IF(XLOOKUP($A42,Partner_Voice!$A:$A,Partner_Voice!AI:AI,"",0)="ATT","ATT",XLOOKUP($A42,Partner_Voice!$A:$A,Partner_Voice!AI:AI,"",0))))</f>
        <v>0.3333333333</v>
      </c>
      <c r="AJ42" s="42">
        <f t="array" ref="AJ42">IF(XLOOKUP($A42,Partner_Voice!$A:$A,Partner_Voice!AJ:AJ,"",0)="Free","Free",IF(XLOOKUP($A42,Partner_Voice!$A:$A,Partner_Voice!AJ:AJ,"",0)="VL","VL",IF(XLOOKUP($A42,Partner_Voice!$A:$A,Partner_Voice!AJ:AJ,"",0)="ATT","ATT",XLOOKUP($A42,Partner_Voice!$A:$A,Partner_Voice!AJ:AJ,"",0))))</f>
        <v>0.3333333333</v>
      </c>
      <c r="AK42" s="42">
        <f t="array" ref="AK42">IF(XLOOKUP($A42,Partner_Voice!$A:$A,Partner_Voice!AK:AK,"",0)="Free","Free",IF(XLOOKUP($A42,Partner_Voice!$A:$A,Partner_Voice!AK:AK,"",0)="VL","VL",IF(XLOOKUP($A42,Partner_Voice!$A:$A,Partner_Voice!AK:AK,"",0)="ATT","ATT",XLOOKUP($A42,Partner_Voice!$A:$A,Partner_Voice!AK:AK,"",0))))</f>
        <v>0.3333333333</v>
      </c>
      <c r="AL42" s="42" t="str">
        <f t="array" ref="AL42">IF(XLOOKUP($A42,Partner_Voice!$A:$A,Partner_Voice!AL:AL,"",0)="Free","Free",IF(XLOOKUP($A42,Partner_Voice!$A:$A,Partner_Voice!AL:AL,"",0)="VL","VL",IF(XLOOKUP($A42,Partner_Voice!$A:$A,Partner_Voice!AL:AL,"",0)="ATT","ATT",XLOOKUP($A42,Partner_Voice!$A:$A,Partner_Voice!AL:AL,"",0))))</f>
        <v>Free</v>
      </c>
      <c r="AM42" s="42"/>
    </row>
    <row r="43">
      <c r="A43" s="47" t="s">
        <v>35</v>
      </c>
      <c r="B43" s="35" t="str">
        <f t="array" ref="B43">XLOOKUP(A43,Roster!F:F,Roster!A:A,"")</f>
        <v>Martin Salazar</v>
      </c>
      <c r="C43" s="35" t="str">
        <f t="array" ref="C43">XLOOKUP(A43,Roster!F:F,Roster!B:B,"")</f>
        <v>Jeidin Vargas</v>
      </c>
      <c r="D43" s="70"/>
      <c r="E43" s="42">
        <f t="array" ref="E43">IF(XLOOKUP($A43,Partner_Voice!$A:$A,Partner_Voice!E:E,"",0)="Free","Free",IF(XLOOKUP($A43,Partner_Voice!$A:$A,Partner_Voice!E:E,"",0)="VL","VL",IF(XLOOKUP($A43,Partner_Voice!$A:$A,Partner_Voice!E:E,"",0)="ATT","ATT",XLOOKUP($A43,Partner_Voice!$A:$A,Partner_Voice!E:E,"",0))))</f>
        <v>0.3333333333</v>
      </c>
      <c r="F43" s="42">
        <f t="array" ref="F43">IF(XLOOKUP($A43,Partner_Voice!$A:$A,Partner_Voice!F:F,"",0)="Free","Free",IF(XLOOKUP($A43,Partner_Voice!$A:$A,Partner_Voice!F:F,"",0)="VL","VL",IF(XLOOKUP($A43,Partner_Voice!$A:$A,Partner_Voice!F:F,"",0)="ATT","ATT",XLOOKUP($A43,Partner_Voice!$A:$A,Partner_Voice!F:F,"",0))))</f>
        <v>0.3333333333</v>
      </c>
      <c r="G43" s="42">
        <f t="array" ref="G43">IF(XLOOKUP($A43,Partner_Voice!$A:$A,Partner_Voice!G:G,"",0)="Free","Free",IF(XLOOKUP($A43,Partner_Voice!$A:$A,Partner_Voice!G:G,"",0)="VL","VL",IF(XLOOKUP($A43,Partner_Voice!$A:$A,Partner_Voice!G:G,"",0)="ATT","ATT",XLOOKUP($A43,Partner_Voice!$A:$A,Partner_Voice!G:G,"",0))))</f>
        <v>0.3333333333</v>
      </c>
      <c r="H43" s="42">
        <f t="array" ref="H43">IF(XLOOKUP($A43,Partner_Voice!$A:$A,Partner_Voice!H:H,"",0)="Free","Free",IF(XLOOKUP($A43,Partner_Voice!$A:$A,Partner_Voice!H:H,"",0)="VL","VL",IF(XLOOKUP($A43,Partner_Voice!$A:$A,Partner_Voice!H:H,"",0)="ATT","ATT",XLOOKUP($A43,Partner_Voice!$A:$A,Partner_Voice!H:H,"",0))))</f>
        <v>0.3333333333</v>
      </c>
      <c r="I43" s="42">
        <f t="array" ref="I43">IF(XLOOKUP($A43,Partner_Voice!$A:$A,Partner_Voice!I:I,"",0)="Free","Free",IF(XLOOKUP($A43,Partner_Voice!$A:$A,Partner_Voice!I:I,"",0)="VL","VL",IF(XLOOKUP($A43,Partner_Voice!$A:$A,Partner_Voice!I:I,"",0)="ATT","ATT",XLOOKUP($A43,Partner_Voice!$A:$A,Partner_Voice!I:I,"",0))))</f>
        <v>0.3333333333</v>
      </c>
      <c r="J43" s="42" t="str">
        <f t="array" ref="J43">IF(XLOOKUP($A43,Partner_Voice!$A:$A,Partner_Voice!J:J,"",0)="Free","Free",IF(XLOOKUP($A43,Partner_Voice!$A:$A,Partner_Voice!J:J,"",0)="VL","VL",IF(XLOOKUP($A43,Partner_Voice!$A:$A,Partner_Voice!J:J,"",0)="ATT","ATT",XLOOKUP($A43,Partner_Voice!$A:$A,Partner_Voice!J:J,"",0))))</f>
        <v>Free</v>
      </c>
      <c r="K43" s="42"/>
      <c r="L43" s="42">
        <f t="array" ref="L43">IF(XLOOKUP($A43,Partner_Voice!$A:$A,Partner_Voice!L:L,"",0)="Free","Free",IF(XLOOKUP($A43,Partner_Voice!$A:$A,Partner_Voice!L:L,"",0)="VL","VL",IF(XLOOKUP($A43,Partner_Voice!$A:$A,Partner_Voice!L:L,"",0)="ATT","ATT",XLOOKUP($A43,Partner_Voice!$A:$A,Partner_Voice!L:L,"",0))))</f>
        <v>0.3333333333</v>
      </c>
      <c r="M43" s="42">
        <f t="array" ref="M43">IF(XLOOKUP($A43,Partner_Voice!$A:$A,Partner_Voice!M:M,"",0)="Free","Free",IF(XLOOKUP($A43,Partner_Voice!$A:$A,Partner_Voice!M:M,"",0)="VL","VL",IF(XLOOKUP($A43,Partner_Voice!$A:$A,Partner_Voice!M:M,"",0)="ATT","ATT",XLOOKUP($A43,Partner_Voice!$A:$A,Partner_Voice!M:M,"",0))))</f>
        <v>0.3333333333</v>
      </c>
      <c r="N43" s="42">
        <f t="array" ref="N43">IF(XLOOKUP($A43,Partner_Voice!$A:$A,Partner_Voice!N:N,"",0)="Free","Free",IF(XLOOKUP($A43,Partner_Voice!$A:$A,Partner_Voice!N:N,"",0)="VL","VL",IF(XLOOKUP($A43,Partner_Voice!$A:$A,Partner_Voice!N:N,"",0)="ATT","ATT",XLOOKUP($A43,Partner_Voice!$A:$A,Partner_Voice!N:N,"",0))))</f>
        <v>0.3333333333</v>
      </c>
      <c r="O43" s="42">
        <f t="array" ref="O43">IF(XLOOKUP($A43,Partner_Voice!$A:$A,Partner_Voice!O:O,"",0)="Free","Free",IF(XLOOKUP($A43,Partner_Voice!$A:$A,Partner_Voice!O:O,"",0)="VL","VL",IF(XLOOKUP($A43,Partner_Voice!$A:$A,Partner_Voice!O:O,"",0)="ATT","ATT",XLOOKUP($A43,Partner_Voice!$A:$A,Partner_Voice!O:O,"",0))))</f>
        <v>0.3333333333</v>
      </c>
      <c r="P43" s="42">
        <f t="array" ref="P43">IF(XLOOKUP($A43,Partner_Voice!$A:$A,Partner_Voice!P:P,"",0)="Free","Free",IF(XLOOKUP($A43,Partner_Voice!$A:$A,Partner_Voice!P:P,"",0)="VL","VL",IF(XLOOKUP($A43,Partner_Voice!$A:$A,Partner_Voice!P:P,"",0)="ATT","ATT",XLOOKUP($A43,Partner_Voice!$A:$A,Partner_Voice!P:P,"",0))))</f>
        <v>0.3333333333</v>
      </c>
      <c r="Q43" s="42" t="str">
        <f t="array" ref="Q43">IF(XLOOKUP($A43,Partner_Voice!$A:$A,Partner_Voice!Q:Q,"",0)="Free","Free",IF(XLOOKUP($A43,Partner_Voice!$A:$A,Partner_Voice!Q:Q,"",0)="VL","VL",IF(XLOOKUP($A43,Partner_Voice!$A:$A,Partner_Voice!Q:Q,"",0)="ATT","ATT",XLOOKUP($A43,Partner_Voice!$A:$A,Partner_Voice!Q:Q,"",0))))</f>
        <v>Free</v>
      </c>
      <c r="R43" s="43"/>
      <c r="S43" s="42">
        <f t="array" ref="S43">IF(XLOOKUP($A43,Partner_Voice!$A:$A,Partner_Voice!S:S,"",0)="Free","Free",IF(XLOOKUP($A43,Partner_Voice!$A:$A,Partner_Voice!S:S,"",0)="VL","VL",IF(XLOOKUP($A43,Partner_Voice!$A:$A,Partner_Voice!S:S,"",0)="ATT","ATT",XLOOKUP($A43,Partner_Voice!$A:$A,Partner_Voice!S:S,"",0))))</f>
        <v>0.3333333333</v>
      </c>
      <c r="T43" s="42">
        <f t="array" ref="T43">IF(XLOOKUP($A43,Partner_Voice!$A:$A,Partner_Voice!T:T,"",0)="Free","Free",IF(XLOOKUP($A43,Partner_Voice!$A:$A,Partner_Voice!T:T,"",0)="VL","VL",IF(XLOOKUP($A43,Partner_Voice!$A:$A,Partner_Voice!T:T,"",0)="ATT","ATT",XLOOKUP($A43,Partner_Voice!$A:$A,Partner_Voice!T:T,"",0))))</f>
        <v>0.3333333333</v>
      </c>
      <c r="U43" s="42">
        <f t="array" ref="U43">IF(XLOOKUP($A43,Partner_Voice!$A:$A,Partner_Voice!U:U,"",0)="Free","Free",IF(XLOOKUP($A43,Partner_Voice!$A:$A,Partner_Voice!U:U,"",0)="VL","VL",IF(XLOOKUP($A43,Partner_Voice!$A:$A,Partner_Voice!U:U,"",0)="ATT","ATT",XLOOKUP($A43,Partner_Voice!$A:$A,Partner_Voice!U:U,"",0))))</f>
        <v>0.3333333333</v>
      </c>
      <c r="V43" s="42">
        <f t="array" ref="V43">IF(XLOOKUP($A43,Partner_Voice!$A:$A,Partner_Voice!V:V,"",0)="Free","Free",IF(XLOOKUP($A43,Partner_Voice!$A:$A,Partner_Voice!V:V,"",0)="VL","VL",IF(XLOOKUP($A43,Partner_Voice!$A:$A,Partner_Voice!V:V,"",0)="ATT","ATT",XLOOKUP($A43,Partner_Voice!$A:$A,Partner_Voice!V:V,"",0))))</f>
        <v>0.3333333333</v>
      </c>
      <c r="W43" s="42">
        <f t="array" ref="W43">IF(XLOOKUP($A43,Partner_Voice!$A:$A,Partner_Voice!W:W,"",0)="Free","Free",IF(XLOOKUP($A43,Partner_Voice!$A:$A,Partner_Voice!W:W,"",0)="VL","VL",IF(XLOOKUP($A43,Partner_Voice!$A:$A,Partner_Voice!W:W,"",0)="ATT","ATT",XLOOKUP($A43,Partner_Voice!$A:$A,Partner_Voice!W:W,"",0))))</f>
        <v>0.3333333333</v>
      </c>
      <c r="X43" s="42" t="str">
        <f t="array" ref="X43">IF(XLOOKUP($A43,Partner_Voice!$A:$A,Partner_Voice!X:X,"",0)="Free","Free",IF(XLOOKUP($A43,Partner_Voice!$A:$A,Partner_Voice!X:X,"",0)="VL","VL",IF(XLOOKUP($A43,Partner_Voice!$A:$A,Partner_Voice!X:X,"",0)="ATT","ATT",XLOOKUP($A43,Partner_Voice!$A:$A,Partner_Voice!X:X,"",0))))</f>
        <v>Free</v>
      </c>
      <c r="Y43" s="43"/>
      <c r="Z43" s="42">
        <f t="array" ref="Z43">IF(XLOOKUP($A43,Partner_Voice!$A:$A,Partner_Voice!Z:Z,"",0)="Free","Free",IF(XLOOKUP($A43,Partner_Voice!$A:$A,Partner_Voice!Z:Z,"",0)="VL","VL",IF(XLOOKUP($A43,Partner_Voice!$A:$A,Partner_Voice!Z:Z,"",0)="ATT","ATT",XLOOKUP($A43,Partner_Voice!$A:$A,Partner_Voice!Z:Z,"",0))))</f>
        <v>0.3333333333</v>
      </c>
      <c r="AA43" s="42">
        <f t="array" ref="AA43">IF(XLOOKUP($A43,Partner_Voice!$A:$A,Partner_Voice!AA:AA,"",0)="Free","Free",IF(XLOOKUP($A43,Partner_Voice!$A:$A,Partner_Voice!AA:AA,"",0)="VL","VL",IF(XLOOKUP($A43,Partner_Voice!$A:$A,Partner_Voice!AA:AA,"",0)="ATT","ATT",XLOOKUP($A43,Partner_Voice!$A:$A,Partner_Voice!AA:AA,"",0))))</f>
        <v>0.3333333333</v>
      </c>
      <c r="AB43" s="42">
        <f t="array" ref="AB43">IF(XLOOKUP($A43,Partner_Voice!$A:$A,Partner_Voice!AB:AB,"",0)="Free","Free",IF(XLOOKUP($A43,Partner_Voice!$A:$A,Partner_Voice!AB:AB,"",0)="VL","VL",IF(XLOOKUP($A43,Partner_Voice!$A:$A,Partner_Voice!AB:AB,"",0)="ATT","ATT",XLOOKUP($A43,Partner_Voice!$A:$A,Partner_Voice!AB:AB,"",0))))</f>
        <v>0.3333333333</v>
      </c>
      <c r="AC43" s="42">
        <f t="array" ref="AC43">IF(XLOOKUP($A43,Partner_Voice!$A:$A,Partner_Voice!AC:AC,"",0)="Free","Free",IF(XLOOKUP($A43,Partner_Voice!$A:$A,Partner_Voice!AC:AC,"",0)="VL","VL",IF(XLOOKUP($A43,Partner_Voice!$A:$A,Partner_Voice!AC:AC,"",0)="ATT","ATT",XLOOKUP($A43,Partner_Voice!$A:$A,Partner_Voice!AC:AC,"",0))))</f>
        <v>0.3333333333</v>
      </c>
      <c r="AD43" s="42">
        <f t="array" ref="AD43">IF(XLOOKUP($A43,Partner_Voice!$A:$A,Partner_Voice!AD:AD,"",0)="Free","Free",IF(XLOOKUP($A43,Partner_Voice!$A:$A,Partner_Voice!AD:AD,"",0)="VL","VL",IF(XLOOKUP($A43,Partner_Voice!$A:$A,Partner_Voice!AD:AD,"",0)="ATT","ATT",XLOOKUP($A43,Partner_Voice!$A:$A,Partner_Voice!AD:AD,"",0))))</f>
        <v>0.3333333333</v>
      </c>
      <c r="AE43" s="42" t="str">
        <f t="array" ref="AE43">IF(XLOOKUP($A43,Partner_Voice!$A:$A,Partner_Voice!AE:AE,"",0)="Free","Free",IF(XLOOKUP($A43,Partner_Voice!$A:$A,Partner_Voice!AE:AE,"",0)="VL","VL",IF(XLOOKUP($A43,Partner_Voice!$A:$A,Partner_Voice!AE:AE,"",0)="ATT","ATT",XLOOKUP($A43,Partner_Voice!$A:$A,Partner_Voice!AE:AE,"",0))))</f>
        <v>Free</v>
      </c>
      <c r="AF43" s="69"/>
      <c r="AG43" s="42">
        <f t="array" ref="AG43">IF(XLOOKUP($A43,Partner_Voice!$A:$A,Partner_Voice!AG:AG,"",0)="Free","Free",IF(XLOOKUP($A43,Partner_Voice!$A:$A,Partner_Voice!AG:AG,"",0)="VL","VL",IF(XLOOKUP($A43,Partner_Voice!$A:$A,Partner_Voice!AG:AG,"",0)="ATT","ATT",XLOOKUP($A43,Partner_Voice!$A:$A,Partner_Voice!AG:AG,"",0))))</f>
        <v>0.3333333333</v>
      </c>
      <c r="AH43" s="42">
        <f t="array" ref="AH43">IF(XLOOKUP($A43,Partner_Voice!$A:$A,Partner_Voice!AH:AH,"",0)="Free","Free",IF(XLOOKUP($A43,Partner_Voice!$A:$A,Partner_Voice!AH:AH,"",0)="VL","VL",IF(XLOOKUP($A43,Partner_Voice!$A:$A,Partner_Voice!AH:AH,"",0)="ATT","ATT",XLOOKUP($A43,Partner_Voice!$A:$A,Partner_Voice!AH:AH,"",0))))</f>
        <v>0.3333333333</v>
      </c>
      <c r="AI43" s="42">
        <f t="array" ref="AI43">IF(XLOOKUP($A43,Partner_Voice!$A:$A,Partner_Voice!AI:AI,"",0)="Free","Free",IF(XLOOKUP($A43,Partner_Voice!$A:$A,Partner_Voice!AI:AI,"",0)="VL","VL",IF(XLOOKUP($A43,Partner_Voice!$A:$A,Partner_Voice!AI:AI,"",0)="ATT","ATT",XLOOKUP($A43,Partner_Voice!$A:$A,Partner_Voice!AI:AI,"",0))))</f>
        <v>0.3333333333</v>
      </c>
      <c r="AJ43" s="42">
        <f t="array" ref="AJ43">IF(XLOOKUP($A43,Partner_Voice!$A:$A,Partner_Voice!AJ:AJ,"",0)="Free","Free",IF(XLOOKUP($A43,Partner_Voice!$A:$A,Partner_Voice!AJ:AJ,"",0)="VL","VL",IF(XLOOKUP($A43,Partner_Voice!$A:$A,Partner_Voice!AJ:AJ,"",0)="ATT","ATT",XLOOKUP($A43,Partner_Voice!$A:$A,Partner_Voice!AJ:AJ,"",0))))</f>
        <v>0.3333333333</v>
      </c>
      <c r="AK43" s="42">
        <f t="array" ref="AK43">IF(XLOOKUP($A43,Partner_Voice!$A:$A,Partner_Voice!AK:AK,"",0)="Free","Free",IF(XLOOKUP($A43,Partner_Voice!$A:$A,Partner_Voice!AK:AK,"",0)="VL","VL",IF(XLOOKUP($A43,Partner_Voice!$A:$A,Partner_Voice!AK:AK,"",0)="ATT","ATT",XLOOKUP($A43,Partner_Voice!$A:$A,Partner_Voice!AK:AK,"",0))))</f>
        <v>0.3333333333</v>
      </c>
      <c r="AL43" s="42" t="str">
        <f t="array" ref="AL43">IF(XLOOKUP($A43,Partner_Voice!$A:$A,Partner_Voice!AL:AL,"",0)="Free","Free",IF(XLOOKUP($A43,Partner_Voice!$A:$A,Partner_Voice!AL:AL,"",0)="VL","VL",IF(XLOOKUP($A43,Partner_Voice!$A:$A,Partner_Voice!AL:AL,"",0)="ATT","ATT",XLOOKUP($A43,Partner_Voice!$A:$A,Partner_Voice!AL:AL,"",0))))</f>
        <v>Free</v>
      </c>
      <c r="AM43" s="42"/>
    </row>
    <row r="44">
      <c r="A44" s="47" t="s">
        <v>41</v>
      </c>
      <c r="B44" s="35" t="str">
        <f t="array" ref="B44">XLOOKUP(A44,Roster!F:F,Roster!A:A,"")</f>
        <v>Martin Salazar</v>
      </c>
      <c r="C44" s="35" t="str">
        <f t="array" ref="C44">XLOOKUP(A44,Roster!F:F,Roster!B:B,"")</f>
        <v>Johny Garcia</v>
      </c>
      <c r="D44" s="70"/>
      <c r="E44" s="42">
        <f t="array" ref="E44">IF(XLOOKUP($A44,Partner_Voice!$A:$A,Partner_Voice!E:E,"",0)="Free","Free",IF(XLOOKUP($A44,Partner_Voice!$A:$A,Partner_Voice!E:E,"",0)="VL","VL",IF(XLOOKUP($A44,Partner_Voice!$A:$A,Partner_Voice!E:E,"",0)="ATT","ATT",XLOOKUP($A44,Partner_Voice!$A:$A,Partner_Voice!E:E,"",0))))</f>
        <v>0.3333333333</v>
      </c>
      <c r="F44" s="42">
        <f t="array" ref="F44">IF(XLOOKUP($A44,Partner_Voice!$A:$A,Partner_Voice!F:F,"",0)="Free","Free",IF(XLOOKUP($A44,Partner_Voice!$A:$A,Partner_Voice!F:F,"",0)="VL","VL",IF(XLOOKUP($A44,Partner_Voice!$A:$A,Partner_Voice!F:F,"",0)="ATT","ATT",XLOOKUP($A44,Partner_Voice!$A:$A,Partner_Voice!F:F,"",0))))</f>
        <v>0.3333333333</v>
      </c>
      <c r="G44" s="42">
        <f t="array" ref="G44">IF(XLOOKUP($A44,Partner_Voice!$A:$A,Partner_Voice!G:G,"",0)="Free","Free",IF(XLOOKUP($A44,Partner_Voice!$A:$A,Partner_Voice!G:G,"",0)="VL","VL",IF(XLOOKUP($A44,Partner_Voice!$A:$A,Partner_Voice!G:G,"",0)="ATT","ATT",XLOOKUP($A44,Partner_Voice!$A:$A,Partner_Voice!G:G,"",0))))</f>
        <v>0.3333333333</v>
      </c>
      <c r="H44" s="42">
        <f t="array" ref="H44">IF(XLOOKUP($A44,Partner_Voice!$A:$A,Partner_Voice!H:H,"",0)="Free","Free",IF(XLOOKUP($A44,Partner_Voice!$A:$A,Partner_Voice!H:H,"",0)="VL","VL",IF(XLOOKUP($A44,Partner_Voice!$A:$A,Partner_Voice!H:H,"",0)="ATT","ATT",XLOOKUP($A44,Partner_Voice!$A:$A,Partner_Voice!H:H,"",0))))</f>
        <v>0.3333333333</v>
      </c>
      <c r="I44" s="42" t="str">
        <f t="array" ref="I44">IF(XLOOKUP($A44,Partner_Voice!$A:$A,Partner_Voice!I:I,"",0)="Free","Free",IF(XLOOKUP($A44,Partner_Voice!$A:$A,Partner_Voice!I:I,"",0)="VL","VL",IF(XLOOKUP($A44,Partner_Voice!$A:$A,Partner_Voice!I:I,"",0)="ATT","ATT",XLOOKUP($A44,Partner_Voice!$A:$A,Partner_Voice!I:I,"",0))))</f>
        <v>Free</v>
      </c>
      <c r="J44" s="42">
        <f t="array" ref="J44">IF(XLOOKUP($A44,Partner_Voice!$A:$A,Partner_Voice!J:J,"",0)="Free","Free",IF(XLOOKUP($A44,Partner_Voice!$A:$A,Partner_Voice!J:J,"",0)="VL","VL",IF(XLOOKUP($A44,Partner_Voice!$A:$A,Partner_Voice!J:J,"",0)="ATT","ATT",XLOOKUP($A44,Partner_Voice!$A:$A,Partner_Voice!J:J,"",0))))</f>
        <v>0.3333333333</v>
      </c>
      <c r="K44" s="42"/>
      <c r="L44" s="42">
        <f t="array" ref="L44">IF(XLOOKUP($A44,Partner_Voice!$A:$A,Partner_Voice!L:L,"",0)="Free","Free",IF(XLOOKUP($A44,Partner_Voice!$A:$A,Partner_Voice!L:L,"",0)="VL","VL",IF(XLOOKUP($A44,Partner_Voice!$A:$A,Partner_Voice!L:L,"",0)="ATT","ATT",XLOOKUP($A44,Partner_Voice!$A:$A,Partner_Voice!L:L,"",0))))</f>
        <v>0.3333333333</v>
      </c>
      <c r="M44" s="42">
        <f t="array" ref="M44">IF(XLOOKUP($A44,Partner_Voice!$A:$A,Partner_Voice!M:M,"",0)="Free","Free",IF(XLOOKUP($A44,Partner_Voice!$A:$A,Partner_Voice!M:M,"",0)="VL","VL",IF(XLOOKUP($A44,Partner_Voice!$A:$A,Partner_Voice!M:M,"",0)="ATT","ATT",XLOOKUP($A44,Partner_Voice!$A:$A,Partner_Voice!M:M,"",0))))</f>
        <v>0.3333333333</v>
      </c>
      <c r="N44" s="42">
        <f t="array" ref="N44">IF(XLOOKUP($A44,Partner_Voice!$A:$A,Partner_Voice!N:N,"",0)="Free","Free",IF(XLOOKUP($A44,Partner_Voice!$A:$A,Partner_Voice!N:N,"",0)="VL","VL",IF(XLOOKUP($A44,Partner_Voice!$A:$A,Partner_Voice!N:N,"",0)="ATT","ATT",XLOOKUP($A44,Partner_Voice!$A:$A,Partner_Voice!N:N,"",0))))</f>
        <v>0.3333333333</v>
      </c>
      <c r="O44" s="42">
        <f t="array" ref="O44">IF(XLOOKUP($A44,Partner_Voice!$A:$A,Partner_Voice!O:O,"",0)="Free","Free",IF(XLOOKUP($A44,Partner_Voice!$A:$A,Partner_Voice!O:O,"",0)="VL","VL",IF(XLOOKUP($A44,Partner_Voice!$A:$A,Partner_Voice!O:O,"",0)="ATT","ATT",XLOOKUP($A44,Partner_Voice!$A:$A,Partner_Voice!O:O,"",0))))</f>
        <v>0.3333333333</v>
      </c>
      <c r="P44" s="42">
        <f t="array" ref="P44">IF(XLOOKUP($A44,Partner_Voice!$A:$A,Partner_Voice!P:P,"",0)="Free","Free",IF(XLOOKUP($A44,Partner_Voice!$A:$A,Partner_Voice!P:P,"",0)="VL","VL",IF(XLOOKUP($A44,Partner_Voice!$A:$A,Partner_Voice!P:P,"",0)="ATT","ATT",XLOOKUP($A44,Partner_Voice!$A:$A,Partner_Voice!P:P,"",0))))</f>
        <v>0.3333333333</v>
      </c>
      <c r="Q44" s="42" t="str">
        <f t="array" ref="Q44">IF(XLOOKUP($A44,Partner_Voice!$A:$A,Partner_Voice!Q:Q,"",0)="Free","Free",IF(XLOOKUP($A44,Partner_Voice!$A:$A,Partner_Voice!Q:Q,"",0)="VL","VL",IF(XLOOKUP($A44,Partner_Voice!$A:$A,Partner_Voice!Q:Q,"",0)="ATT","ATT",XLOOKUP($A44,Partner_Voice!$A:$A,Partner_Voice!Q:Q,"",0))))</f>
        <v>Free</v>
      </c>
      <c r="R44" s="43"/>
      <c r="S44" s="42">
        <f t="array" ref="S44">IF(XLOOKUP($A44,Partner_Voice!$A:$A,Partner_Voice!S:S,"",0)="Free","Free",IF(XLOOKUP($A44,Partner_Voice!$A:$A,Partner_Voice!S:S,"",0)="VL","VL",IF(XLOOKUP($A44,Partner_Voice!$A:$A,Partner_Voice!S:S,"",0)="ATT","ATT",XLOOKUP($A44,Partner_Voice!$A:$A,Partner_Voice!S:S,"",0))))</f>
        <v>0.3333333333</v>
      </c>
      <c r="T44" s="42">
        <f t="array" ref="T44">IF(XLOOKUP($A44,Partner_Voice!$A:$A,Partner_Voice!T:T,"",0)="Free","Free",IF(XLOOKUP($A44,Partner_Voice!$A:$A,Partner_Voice!T:T,"",0)="VL","VL",IF(XLOOKUP($A44,Partner_Voice!$A:$A,Partner_Voice!T:T,"",0)="ATT","ATT",XLOOKUP($A44,Partner_Voice!$A:$A,Partner_Voice!T:T,"",0))))</f>
        <v>0.3333333333</v>
      </c>
      <c r="U44" s="42">
        <f t="array" ref="U44">IF(XLOOKUP($A44,Partner_Voice!$A:$A,Partner_Voice!U:U,"",0)="Free","Free",IF(XLOOKUP($A44,Partner_Voice!$A:$A,Partner_Voice!U:U,"",0)="VL","VL",IF(XLOOKUP($A44,Partner_Voice!$A:$A,Partner_Voice!U:U,"",0)="ATT","ATT",XLOOKUP($A44,Partner_Voice!$A:$A,Partner_Voice!U:U,"",0))))</f>
        <v>0.3333333333</v>
      </c>
      <c r="V44" s="42">
        <f t="array" ref="V44">IF(XLOOKUP($A44,Partner_Voice!$A:$A,Partner_Voice!V:V,"",0)="Free","Free",IF(XLOOKUP($A44,Partner_Voice!$A:$A,Partner_Voice!V:V,"",0)="VL","VL",IF(XLOOKUP($A44,Partner_Voice!$A:$A,Partner_Voice!V:V,"",0)="ATT","ATT",XLOOKUP($A44,Partner_Voice!$A:$A,Partner_Voice!V:V,"",0))))</f>
        <v>0.3333333333</v>
      </c>
      <c r="W44" s="42">
        <f t="array" ref="W44">IF(XLOOKUP($A44,Partner_Voice!$A:$A,Partner_Voice!W:W,"",0)="Free","Free",IF(XLOOKUP($A44,Partner_Voice!$A:$A,Partner_Voice!W:W,"",0)="VL","VL",IF(XLOOKUP($A44,Partner_Voice!$A:$A,Partner_Voice!W:W,"",0)="ATT","ATT",XLOOKUP($A44,Partner_Voice!$A:$A,Partner_Voice!W:W,"",0))))</f>
        <v>0.3333333333</v>
      </c>
      <c r="X44" s="42" t="str">
        <f t="array" ref="X44">IF(XLOOKUP($A44,Partner_Voice!$A:$A,Partner_Voice!X:X,"",0)="Free","Free",IF(XLOOKUP($A44,Partner_Voice!$A:$A,Partner_Voice!X:X,"",0)="VL","VL",IF(XLOOKUP($A44,Partner_Voice!$A:$A,Partner_Voice!X:X,"",0)="ATT","ATT",XLOOKUP($A44,Partner_Voice!$A:$A,Partner_Voice!X:X,"",0))))</f>
        <v>Free</v>
      </c>
      <c r="Y44" s="43"/>
      <c r="Z44" s="42">
        <f t="array" ref="Z44">IF(XLOOKUP($A44,Partner_Voice!$A:$A,Partner_Voice!Z:Z,"",0)="Free","Free",IF(XLOOKUP($A44,Partner_Voice!$A:$A,Partner_Voice!Z:Z,"",0)="VL","VL",IF(XLOOKUP($A44,Partner_Voice!$A:$A,Partner_Voice!Z:Z,"",0)="ATT","ATT",XLOOKUP($A44,Partner_Voice!$A:$A,Partner_Voice!Z:Z,"",0))))</f>
        <v>0.3333333333</v>
      </c>
      <c r="AA44" s="42">
        <f t="array" ref="AA44">IF(XLOOKUP($A44,Partner_Voice!$A:$A,Partner_Voice!AA:AA,"",0)="Free","Free",IF(XLOOKUP($A44,Partner_Voice!$A:$A,Partner_Voice!AA:AA,"",0)="VL","VL",IF(XLOOKUP($A44,Partner_Voice!$A:$A,Partner_Voice!AA:AA,"",0)="ATT","ATT",XLOOKUP($A44,Partner_Voice!$A:$A,Partner_Voice!AA:AA,"",0))))</f>
        <v>0.3333333333</v>
      </c>
      <c r="AB44" s="42">
        <f t="array" ref="AB44">IF(XLOOKUP($A44,Partner_Voice!$A:$A,Partner_Voice!AB:AB,"",0)="Free","Free",IF(XLOOKUP($A44,Partner_Voice!$A:$A,Partner_Voice!AB:AB,"",0)="VL","VL",IF(XLOOKUP($A44,Partner_Voice!$A:$A,Partner_Voice!AB:AB,"",0)="ATT","ATT",XLOOKUP($A44,Partner_Voice!$A:$A,Partner_Voice!AB:AB,"",0))))</f>
        <v>0.3333333333</v>
      </c>
      <c r="AC44" s="42">
        <f t="array" ref="AC44">IF(XLOOKUP($A44,Partner_Voice!$A:$A,Partner_Voice!AC:AC,"",0)="Free","Free",IF(XLOOKUP($A44,Partner_Voice!$A:$A,Partner_Voice!AC:AC,"",0)="VL","VL",IF(XLOOKUP($A44,Partner_Voice!$A:$A,Partner_Voice!AC:AC,"",0)="ATT","ATT",XLOOKUP($A44,Partner_Voice!$A:$A,Partner_Voice!AC:AC,"",0))))</f>
        <v>0.3333333333</v>
      </c>
      <c r="AD44" s="42">
        <f t="array" ref="AD44">IF(XLOOKUP($A44,Partner_Voice!$A:$A,Partner_Voice!AD:AD,"",0)="Free","Free",IF(XLOOKUP($A44,Partner_Voice!$A:$A,Partner_Voice!AD:AD,"",0)="VL","VL",IF(XLOOKUP($A44,Partner_Voice!$A:$A,Partner_Voice!AD:AD,"",0)="ATT","ATT",XLOOKUP($A44,Partner_Voice!$A:$A,Partner_Voice!AD:AD,"",0))))</f>
        <v>0.3333333333</v>
      </c>
      <c r="AE44" s="42" t="str">
        <f t="array" ref="AE44">IF(XLOOKUP($A44,Partner_Voice!$A:$A,Partner_Voice!AE:AE,"",0)="Free","Free",IF(XLOOKUP($A44,Partner_Voice!$A:$A,Partner_Voice!AE:AE,"",0)="VL","VL",IF(XLOOKUP($A44,Partner_Voice!$A:$A,Partner_Voice!AE:AE,"",0)="ATT","ATT",XLOOKUP($A44,Partner_Voice!$A:$A,Partner_Voice!AE:AE,"",0))))</f>
        <v>Free</v>
      </c>
      <c r="AF44" s="69"/>
      <c r="AG44" s="42">
        <f t="array" ref="AG44">IF(XLOOKUP($A44,Partner_Voice!$A:$A,Partner_Voice!AG:AG,"",0)="Free","Free",IF(XLOOKUP($A44,Partner_Voice!$A:$A,Partner_Voice!AG:AG,"",0)="VL","VL",IF(XLOOKUP($A44,Partner_Voice!$A:$A,Partner_Voice!AG:AG,"",0)="ATT","ATT",XLOOKUP($A44,Partner_Voice!$A:$A,Partner_Voice!AG:AG,"",0))))</f>
        <v>0.3333333333</v>
      </c>
      <c r="AH44" s="42">
        <f t="array" ref="AH44">IF(XLOOKUP($A44,Partner_Voice!$A:$A,Partner_Voice!AH:AH,"",0)="Free","Free",IF(XLOOKUP($A44,Partner_Voice!$A:$A,Partner_Voice!AH:AH,"",0)="VL","VL",IF(XLOOKUP($A44,Partner_Voice!$A:$A,Partner_Voice!AH:AH,"",0)="ATT","ATT",XLOOKUP($A44,Partner_Voice!$A:$A,Partner_Voice!AH:AH,"",0))))</f>
        <v>0.3333333333</v>
      </c>
      <c r="AI44" s="42">
        <f t="array" ref="AI44">IF(XLOOKUP($A44,Partner_Voice!$A:$A,Partner_Voice!AI:AI,"",0)="Free","Free",IF(XLOOKUP($A44,Partner_Voice!$A:$A,Partner_Voice!AI:AI,"",0)="VL","VL",IF(XLOOKUP($A44,Partner_Voice!$A:$A,Partner_Voice!AI:AI,"",0)="ATT","ATT",XLOOKUP($A44,Partner_Voice!$A:$A,Partner_Voice!AI:AI,"",0))))</f>
        <v>0.3333333333</v>
      </c>
      <c r="AJ44" s="42">
        <f t="array" ref="AJ44">IF(XLOOKUP($A44,Partner_Voice!$A:$A,Partner_Voice!AJ:AJ,"",0)="Free","Free",IF(XLOOKUP($A44,Partner_Voice!$A:$A,Partner_Voice!AJ:AJ,"",0)="VL","VL",IF(XLOOKUP($A44,Partner_Voice!$A:$A,Partner_Voice!AJ:AJ,"",0)="ATT","ATT",XLOOKUP($A44,Partner_Voice!$A:$A,Partner_Voice!AJ:AJ,"",0))))</f>
        <v>0.3333333333</v>
      </c>
      <c r="AK44" s="42">
        <f t="array" ref="AK44">IF(XLOOKUP($A44,Partner_Voice!$A:$A,Partner_Voice!AK:AK,"",0)="Free","Free",IF(XLOOKUP($A44,Partner_Voice!$A:$A,Partner_Voice!AK:AK,"",0)="VL","VL",IF(XLOOKUP($A44,Partner_Voice!$A:$A,Partner_Voice!AK:AK,"",0)="ATT","ATT",XLOOKUP($A44,Partner_Voice!$A:$A,Partner_Voice!AK:AK,"",0))))</f>
        <v>0.3333333333</v>
      </c>
      <c r="AL44" s="42" t="str">
        <f t="array" ref="AL44">IF(XLOOKUP($A44,Partner_Voice!$A:$A,Partner_Voice!AL:AL,"",0)="Free","Free",IF(XLOOKUP($A44,Partner_Voice!$A:$A,Partner_Voice!AL:AL,"",0)="VL","VL",IF(XLOOKUP($A44,Partner_Voice!$A:$A,Partner_Voice!AL:AL,"",0)="ATT","ATT",XLOOKUP($A44,Partner_Voice!$A:$A,Partner_Voice!AL:AL,"",0))))</f>
        <v>Free</v>
      </c>
      <c r="AM44" s="42"/>
    </row>
    <row r="45">
      <c r="A45" s="47" t="s">
        <v>43</v>
      </c>
      <c r="B45" s="35" t="str">
        <f t="array" ref="B45">XLOOKUP(A45,Roster!F:F,Roster!A:A,"")</f>
        <v>Martin Salazar</v>
      </c>
      <c r="C45" s="35" t="str">
        <f t="array" ref="C45">XLOOKUP(A45,Roster!F:F,Roster!B:B,"")</f>
        <v>Juan Barrera</v>
      </c>
      <c r="D45" s="70"/>
      <c r="E45" s="42">
        <f t="array" ref="E45">IF(XLOOKUP($A45,Partner_Voice!$A:$A,Partner_Voice!E:E,"",0)="Free","Free",IF(XLOOKUP($A45,Partner_Voice!$A:$A,Partner_Voice!E:E,"",0)="VL","VL",IF(XLOOKUP($A45,Partner_Voice!$A:$A,Partner_Voice!E:E,"",0)="ATT","ATT",XLOOKUP($A45,Partner_Voice!$A:$A,Partner_Voice!E:E,"",0))))</f>
        <v>0.3333333333</v>
      </c>
      <c r="F45" s="42">
        <f t="array" ref="F45">IF(XLOOKUP($A45,Partner_Voice!$A:$A,Partner_Voice!F:F,"",0)="Free","Free",IF(XLOOKUP($A45,Partner_Voice!$A:$A,Partner_Voice!F:F,"",0)="VL","VL",IF(XLOOKUP($A45,Partner_Voice!$A:$A,Partner_Voice!F:F,"",0)="ATT","ATT",XLOOKUP($A45,Partner_Voice!$A:$A,Partner_Voice!F:F,"",0))))</f>
        <v>0.3333333333</v>
      </c>
      <c r="G45" s="42">
        <f t="array" ref="G45">IF(XLOOKUP($A45,Partner_Voice!$A:$A,Partner_Voice!G:G,"",0)="Free","Free",IF(XLOOKUP($A45,Partner_Voice!$A:$A,Partner_Voice!G:G,"",0)="VL","VL",IF(XLOOKUP($A45,Partner_Voice!$A:$A,Partner_Voice!G:G,"",0)="ATT","ATT",XLOOKUP($A45,Partner_Voice!$A:$A,Partner_Voice!G:G,"",0))))</f>
        <v>0.3333333333</v>
      </c>
      <c r="H45" s="42">
        <f t="array" ref="H45">IF(XLOOKUP($A45,Partner_Voice!$A:$A,Partner_Voice!H:H,"",0)="Free","Free",IF(XLOOKUP($A45,Partner_Voice!$A:$A,Partner_Voice!H:H,"",0)="VL","VL",IF(XLOOKUP($A45,Partner_Voice!$A:$A,Partner_Voice!H:H,"",0)="ATT","ATT",XLOOKUP($A45,Partner_Voice!$A:$A,Partner_Voice!H:H,"",0))))</f>
        <v>0.3333333333</v>
      </c>
      <c r="I45" s="42">
        <f t="array" ref="I45">IF(XLOOKUP($A45,Partner_Voice!$A:$A,Partner_Voice!I:I,"",0)="Free","Free",IF(XLOOKUP($A45,Partner_Voice!$A:$A,Partner_Voice!I:I,"",0)="VL","VL",IF(XLOOKUP($A45,Partner_Voice!$A:$A,Partner_Voice!I:I,"",0)="ATT","ATT",XLOOKUP($A45,Partner_Voice!$A:$A,Partner_Voice!I:I,"",0))))</f>
        <v>0.3333333333</v>
      </c>
      <c r="J45" s="42" t="str">
        <f t="array" ref="J45">IF(XLOOKUP($A45,Partner_Voice!$A:$A,Partner_Voice!J:J,"",0)="Free","Free",IF(XLOOKUP($A45,Partner_Voice!$A:$A,Partner_Voice!J:J,"",0)="VL","VL",IF(XLOOKUP($A45,Partner_Voice!$A:$A,Partner_Voice!J:J,"",0)="ATT","ATT",XLOOKUP($A45,Partner_Voice!$A:$A,Partner_Voice!J:J,"",0))))</f>
        <v>Free</v>
      </c>
      <c r="K45" s="42"/>
      <c r="L45" s="42">
        <f t="array" ref="L45">IF(XLOOKUP($A45,Partner_Voice!$A:$A,Partner_Voice!L:L,"",0)="Free","Free",IF(XLOOKUP($A45,Partner_Voice!$A:$A,Partner_Voice!L:L,"",0)="VL","VL",IF(XLOOKUP($A45,Partner_Voice!$A:$A,Partner_Voice!L:L,"",0)="ATT","ATT",XLOOKUP($A45,Partner_Voice!$A:$A,Partner_Voice!L:L,"",0))))</f>
        <v>0.3333333333</v>
      </c>
      <c r="M45" s="42">
        <f t="array" ref="M45">IF(XLOOKUP($A45,Partner_Voice!$A:$A,Partner_Voice!M:M,"",0)="Free","Free",IF(XLOOKUP($A45,Partner_Voice!$A:$A,Partner_Voice!M:M,"",0)="VL","VL",IF(XLOOKUP($A45,Partner_Voice!$A:$A,Partner_Voice!M:M,"",0)="ATT","ATT",XLOOKUP($A45,Partner_Voice!$A:$A,Partner_Voice!M:M,"",0))))</f>
        <v>0.3333333333</v>
      </c>
      <c r="N45" s="42">
        <f t="array" ref="N45">IF(XLOOKUP($A45,Partner_Voice!$A:$A,Partner_Voice!N:N,"",0)="Free","Free",IF(XLOOKUP($A45,Partner_Voice!$A:$A,Partner_Voice!N:N,"",0)="VL","VL",IF(XLOOKUP($A45,Partner_Voice!$A:$A,Partner_Voice!N:N,"",0)="ATT","ATT",XLOOKUP($A45,Partner_Voice!$A:$A,Partner_Voice!N:N,"",0))))</f>
        <v>0.3333333333</v>
      </c>
      <c r="O45" s="42">
        <f t="array" ref="O45">IF(XLOOKUP($A45,Partner_Voice!$A:$A,Partner_Voice!O:O,"",0)="Free","Free",IF(XLOOKUP($A45,Partner_Voice!$A:$A,Partner_Voice!O:O,"",0)="VL","VL",IF(XLOOKUP($A45,Partner_Voice!$A:$A,Partner_Voice!O:O,"",0)="ATT","ATT",XLOOKUP($A45,Partner_Voice!$A:$A,Partner_Voice!O:O,"",0))))</f>
        <v>0.3333333333</v>
      </c>
      <c r="P45" s="42">
        <f t="array" ref="P45">IF(XLOOKUP($A45,Partner_Voice!$A:$A,Partner_Voice!P:P,"",0)="Free","Free",IF(XLOOKUP($A45,Partner_Voice!$A:$A,Partner_Voice!P:P,"",0)="VL","VL",IF(XLOOKUP($A45,Partner_Voice!$A:$A,Partner_Voice!P:P,"",0)="ATT","ATT",XLOOKUP($A45,Partner_Voice!$A:$A,Partner_Voice!P:P,"",0))))</f>
        <v>0.3333333333</v>
      </c>
      <c r="Q45" s="42" t="str">
        <f t="array" ref="Q45">IF(XLOOKUP($A45,Partner_Voice!$A:$A,Partner_Voice!Q:Q,"",0)="Free","Free",IF(XLOOKUP($A45,Partner_Voice!$A:$A,Partner_Voice!Q:Q,"",0)="VL","VL",IF(XLOOKUP($A45,Partner_Voice!$A:$A,Partner_Voice!Q:Q,"",0)="ATT","ATT",XLOOKUP($A45,Partner_Voice!$A:$A,Partner_Voice!Q:Q,"",0))))</f>
        <v>Free</v>
      </c>
      <c r="R45" s="43"/>
      <c r="S45" s="42">
        <f t="array" ref="S45">IF(XLOOKUP($A45,Partner_Voice!$A:$A,Partner_Voice!S:S,"",0)="Free","Free",IF(XLOOKUP($A45,Partner_Voice!$A:$A,Partner_Voice!S:S,"",0)="VL","VL",IF(XLOOKUP($A45,Partner_Voice!$A:$A,Partner_Voice!S:S,"",0)="ATT","ATT",XLOOKUP($A45,Partner_Voice!$A:$A,Partner_Voice!S:S,"",0))))</f>
        <v>0.3333333333</v>
      </c>
      <c r="T45" s="42">
        <f t="array" ref="T45">IF(XLOOKUP($A45,Partner_Voice!$A:$A,Partner_Voice!T:T,"",0)="Free","Free",IF(XLOOKUP($A45,Partner_Voice!$A:$A,Partner_Voice!T:T,"",0)="VL","VL",IF(XLOOKUP($A45,Partner_Voice!$A:$A,Partner_Voice!T:T,"",0)="ATT","ATT",XLOOKUP($A45,Partner_Voice!$A:$A,Partner_Voice!T:T,"",0))))</f>
        <v>0.3333333333</v>
      </c>
      <c r="U45" s="42">
        <f t="array" ref="U45">IF(XLOOKUP($A45,Partner_Voice!$A:$A,Partner_Voice!U:U,"",0)="Free","Free",IF(XLOOKUP($A45,Partner_Voice!$A:$A,Partner_Voice!U:U,"",0)="VL","VL",IF(XLOOKUP($A45,Partner_Voice!$A:$A,Partner_Voice!U:U,"",0)="ATT","ATT",XLOOKUP($A45,Partner_Voice!$A:$A,Partner_Voice!U:U,"",0))))</f>
        <v>0.3333333333</v>
      </c>
      <c r="V45" s="42">
        <f t="array" ref="V45">IF(XLOOKUP($A45,Partner_Voice!$A:$A,Partner_Voice!V:V,"",0)="Free","Free",IF(XLOOKUP($A45,Partner_Voice!$A:$A,Partner_Voice!V:V,"",0)="VL","VL",IF(XLOOKUP($A45,Partner_Voice!$A:$A,Partner_Voice!V:V,"",0)="ATT","ATT",XLOOKUP($A45,Partner_Voice!$A:$A,Partner_Voice!V:V,"",0))))</f>
        <v>0.3333333333</v>
      </c>
      <c r="W45" s="42">
        <f t="array" ref="W45">IF(XLOOKUP($A45,Partner_Voice!$A:$A,Partner_Voice!W:W,"",0)="Free","Free",IF(XLOOKUP($A45,Partner_Voice!$A:$A,Partner_Voice!W:W,"",0)="VL","VL",IF(XLOOKUP($A45,Partner_Voice!$A:$A,Partner_Voice!W:W,"",0)="ATT","ATT",XLOOKUP($A45,Partner_Voice!$A:$A,Partner_Voice!W:W,"",0))))</f>
        <v>0.3333333333</v>
      </c>
      <c r="X45" s="42" t="str">
        <f t="array" ref="X45">IF(XLOOKUP($A45,Partner_Voice!$A:$A,Partner_Voice!X:X,"",0)="Free","Free",IF(XLOOKUP($A45,Partner_Voice!$A:$A,Partner_Voice!X:X,"",0)="VL","VL",IF(XLOOKUP($A45,Partner_Voice!$A:$A,Partner_Voice!X:X,"",0)="ATT","ATT",XLOOKUP($A45,Partner_Voice!$A:$A,Partner_Voice!X:X,"",0))))</f>
        <v>Free</v>
      </c>
      <c r="Y45" s="43"/>
      <c r="Z45" s="42">
        <f t="array" ref="Z45">IF(XLOOKUP($A45,Partner_Voice!$A:$A,Partner_Voice!Z:Z,"",0)="Free","Free",IF(XLOOKUP($A45,Partner_Voice!$A:$A,Partner_Voice!Z:Z,"",0)="VL","VL",IF(XLOOKUP($A45,Partner_Voice!$A:$A,Partner_Voice!Z:Z,"",0)="ATT","ATT",XLOOKUP($A45,Partner_Voice!$A:$A,Partner_Voice!Z:Z,"",0))))</f>
        <v>0.3333333333</v>
      </c>
      <c r="AA45" s="42">
        <f t="array" ref="AA45">IF(XLOOKUP($A45,Partner_Voice!$A:$A,Partner_Voice!AA:AA,"",0)="Free","Free",IF(XLOOKUP($A45,Partner_Voice!$A:$A,Partner_Voice!AA:AA,"",0)="VL","VL",IF(XLOOKUP($A45,Partner_Voice!$A:$A,Partner_Voice!AA:AA,"",0)="ATT","ATT",XLOOKUP($A45,Partner_Voice!$A:$A,Partner_Voice!AA:AA,"",0))))</f>
        <v>0.3333333333</v>
      </c>
      <c r="AB45" s="42">
        <f t="array" ref="AB45">IF(XLOOKUP($A45,Partner_Voice!$A:$A,Partner_Voice!AB:AB,"",0)="Free","Free",IF(XLOOKUP($A45,Partner_Voice!$A:$A,Partner_Voice!AB:AB,"",0)="VL","VL",IF(XLOOKUP($A45,Partner_Voice!$A:$A,Partner_Voice!AB:AB,"",0)="ATT","ATT",XLOOKUP($A45,Partner_Voice!$A:$A,Partner_Voice!AB:AB,"",0))))</f>
        <v>0.3333333333</v>
      </c>
      <c r="AC45" s="42">
        <f t="array" ref="AC45">IF(XLOOKUP($A45,Partner_Voice!$A:$A,Partner_Voice!AC:AC,"",0)="Free","Free",IF(XLOOKUP($A45,Partner_Voice!$A:$A,Partner_Voice!AC:AC,"",0)="VL","VL",IF(XLOOKUP($A45,Partner_Voice!$A:$A,Partner_Voice!AC:AC,"",0)="ATT","ATT",XLOOKUP($A45,Partner_Voice!$A:$A,Partner_Voice!AC:AC,"",0))))</f>
        <v>0.3333333333</v>
      </c>
      <c r="AD45" s="42">
        <f t="array" ref="AD45">IF(XLOOKUP($A45,Partner_Voice!$A:$A,Partner_Voice!AD:AD,"",0)="Free","Free",IF(XLOOKUP($A45,Partner_Voice!$A:$A,Partner_Voice!AD:AD,"",0)="VL","VL",IF(XLOOKUP($A45,Partner_Voice!$A:$A,Partner_Voice!AD:AD,"",0)="ATT","ATT",XLOOKUP($A45,Partner_Voice!$A:$A,Partner_Voice!AD:AD,"",0))))</f>
        <v>0.3333333333</v>
      </c>
      <c r="AE45" s="42" t="str">
        <f t="array" ref="AE45">IF(XLOOKUP($A45,Partner_Voice!$A:$A,Partner_Voice!AE:AE,"",0)="Free","Free",IF(XLOOKUP($A45,Partner_Voice!$A:$A,Partner_Voice!AE:AE,"",0)="VL","VL",IF(XLOOKUP($A45,Partner_Voice!$A:$A,Partner_Voice!AE:AE,"",0)="ATT","ATT",XLOOKUP($A45,Partner_Voice!$A:$A,Partner_Voice!AE:AE,"",0))))</f>
        <v>Free</v>
      </c>
      <c r="AF45" s="69"/>
      <c r="AG45" s="42">
        <f t="array" ref="AG45">IF(XLOOKUP($A45,Partner_Voice!$A:$A,Partner_Voice!AG:AG,"",0)="Free","Free",IF(XLOOKUP($A45,Partner_Voice!$A:$A,Partner_Voice!AG:AG,"",0)="VL","VL",IF(XLOOKUP($A45,Partner_Voice!$A:$A,Partner_Voice!AG:AG,"",0)="ATT","ATT",XLOOKUP($A45,Partner_Voice!$A:$A,Partner_Voice!AG:AG,"",0))))</f>
        <v>0.3333333333</v>
      </c>
      <c r="AH45" s="42">
        <f t="array" ref="AH45">IF(XLOOKUP($A45,Partner_Voice!$A:$A,Partner_Voice!AH:AH,"",0)="Free","Free",IF(XLOOKUP($A45,Partner_Voice!$A:$A,Partner_Voice!AH:AH,"",0)="VL","VL",IF(XLOOKUP($A45,Partner_Voice!$A:$A,Partner_Voice!AH:AH,"",0)="ATT","ATT",XLOOKUP($A45,Partner_Voice!$A:$A,Partner_Voice!AH:AH,"",0))))</f>
        <v>0.3333333333</v>
      </c>
      <c r="AI45" s="42">
        <f t="array" ref="AI45">IF(XLOOKUP($A45,Partner_Voice!$A:$A,Partner_Voice!AI:AI,"",0)="Free","Free",IF(XLOOKUP($A45,Partner_Voice!$A:$A,Partner_Voice!AI:AI,"",0)="VL","VL",IF(XLOOKUP($A45,Partner_Voice!$A:$A,Partner_Voice!AI:AI,"",0)="ATT","ATT",XLOOKUP($A45,Partner_Voice!$A:$A,Partner_Voice!AI:AI,"",0))))</f>
        <v>0.3333333333</v>
      </c>
      <c r="AJ45" s="42">
        <f t="array" ref="AJ45">IF(XLOOKUP($A45,Partner_Voice!$A:$A,Partner_Voice!AJ:AJ,"",0)="Free","Free",IF(XLOOKUP($A45,Partner_Voice!$A:$A,Partner_Voice!AJ:AJ,"",0)="VL","VL",IF(XLOOKUP($A45,Partner_Voice!$A:$A,Partner_Voice!AJ:AJ,"",0)="ATT","ATT",XLOOKUP($A45,Partner_Voice!$A:$A,Partner_Voice!AJ:AJ,"",0))))</f>
        <v>0.3333333333</v>
      </c>
      <c r="AK45" s="42">
        <f t="array" ref="AK45">IF(XLOOKUP($A45,Partner_Voice!$A:$A,Partner_Voice!AK:AK,"",0)="Free","Free",IF(XLOOKUP($A45,Partner_Voice!$A:$A,Partner_Voice!AK:AK,"",0)="VL","VL",IF(XLOOKUP($A45,Partner_Voice!$A:$A,Partner_Voice!AK:AK,"",0)="ATT","ATT",XLOOKUP($A45,Partner_Voice!$A:$A,Partner_Voice!AK:AK,"",0))))</f>
        <v>0.3333333333</v>
      </c>
      <c r="AL45" s="42" t="str">
        <f t="array" ref="AL45">IF(XLOOKUP($A45,Partner_Voice!$A:$A,Partner_Voice!AL:AL,"",0)="Free","Free",IF(XLOOKUP($A45,Partner_Voice!$A:$A,Partner_Voice!AL:AL,"",0)="VL","VL",IF(XLOOKUP($A45,Partner_Voice!$A:$A,Partner_Voice!AL:AL,"",0)="ATT","ATT",XLOOKUP($A45,Partner_Voice!$A:$A,Partner_Voice!AL:AL,"",0))))</f>
        <v>Free</v>
      </c>
      <c r="AM45" s="42"/>
    </row>
    <row r="46">
      <c r="A46" s="47" t="s">
        <v>50</v>
      </c>
      <c r="B46" s="35" t="str">
        <f t="array" ref="B46">XLOOKUP(A46,Roster!F:F,Roster!A:A,"")</f>
        <v>Martin Salazar</v>
      </c>
      <c r="C46" s="35" t="str">
        <f t="array" ref="C46">XLOOKUP(A46,Roster!F:F,Roster!B:B,"")</f>
        <v>Karen Lorena Martinez</v>
      </c>
      <c r="D46" s="70"/>
      <c r="E46" s="42">
        <f t="array" ref="E46">IF(XLOOKUP($A46,Partner_Voice!$A:$A,Partner_Voice!E:E,"",0)="Free","Free",IF(XLOOKUP($A46,Partner_Voice!$A:$A,Partner_Voice!E:E,"",0)="VL","VL",IF(XLOOKUP($A46,Partner_Voice!$A:$A,Partner_Voice!E:E,"",0)="ATT","ATT",XLOOKUP($A46,Partner_Voice!$A:$A,Partner_Voice!E:E,"",0))))</f>
        <v>0.3333333333</v>
      </c>
      <c r="F46" s="42">
        <f t="array" ref="F46">IF(XLOOKUP($A46,Partner_Voice!$A:$A,Partner_Voice!F:F,"",0)="Free","Free",IF(XLOOKUP($A46,Partner_Voice!$A:$A,Partner_Voice!F:F,"",0)="VL","VL",IF(XLOOKUP($A46,Partner_Voice!$A:$A,Partner_Voice!F:F,"",0)="ATT","ATT",XLOOKUP($A46,Partner_Voice!$A:$A,Partner_Voice!F:F,"",0))))</f>
        <v>0.3333333333</v>
      </c>
      <c r="G46" s="42">
        <f t="array" ref="G46">IF(XLOOKUP($A46,Partner_Voice!$A:$A,Partner_Voice!G:G,"",0)="Free","Free",IF(XLOOKUP($A46,Partner_Voice!$A:$A,Partner_Voice!G:G,"",0)="VL","VL",IF(XLOOKUP($A46,Partner_Voice!$A:$A,Partner_Voice!G:G,"",0)="ATT","ATT",XLOOKUP($A46,Partner_Voice!$A:$A,Partner_Voice!G:G,"",0))))</f>
        <v>0.3333333333</v>
      </c>
      <c r="H46" s="42">
        <f t="array" ref="H46">IF(XLOOKUP($A46,Partner_Voice!$A:$A,Partner_Voice!H:H,"",0)="Free","Free",IF(XLOOKUP($A46,Partner_Voice!$A:$A,Partner_Voice!H:H,"",0)="VL","VL",IF(XLOOKUP($A46,Partner_Voice!$A:$A,Partner_Voice!H:H,"",0)="ATT","ATT",XLOOKUP($A46,Partner_Voice!$A:$A,Partner_Voice!H:H,"",0))))</f>
        <v>0.3333333333</v>
      </c>
      <c r="I46" s="42">
        <f t="array" ref="I46">IF(XLOOKUP($A46,Partner_Voice!$A:$A,Partner_Voice!I:I,"",0)="Free","Free",IF(XLOOKUP($A46,Partner_Voice!$A:$A,Partner_Voice!I:I,"",0)="VL","VL",IF(XLOOKUP($A46,Partner_Voice!$A:$A,Partner_Voice!I:I,"",0)="ATT","ATT",XLOOKUP($A46,Partner_Voice!$A:$A,Partner_Voice!I:I,"",0))))</f>
        <v>0.3333333333</v>
      </c>
      <c r="J46" s="42" t="str">
        <f t="array" ref="J46">IF(XLOOKUP($A46,Partner_Voice!$A:$A,Partner_Voice!J:J,"",0)="Free","Free",IF(XLOOKUP($A46,Partner_Voice!$A:$A,Partner_Voice!J:J,"",0)="VL","VL",IF(XLOOKUP($A46,Partner_Voice!$A:$A,Partner_Voice!J:J,"",0)="ATT","ATT",XLOOKUP($A46,Partner_Voice!$A:$A,Partner_Voice!J:J,"",0))))</f>
        <v>Free</v>
      </c>
      <c r="K46" s="42"/>
      <c r="L46" s="42">
        <f t="array" ref="L46">IF(XLOOKUP($A46,Partner_Voice!$A:$A,Partner_Voice!L:L,"",0)="Free","Free",IF(XLOOKUP($A46,Partner_Voice!$A:$A,Partner_Voice!L:L,"",0)="VL","VL",IF(XLOOKUP($A46,Partner_Voice!$A:$A,Partner_Voice!L:L,"",0)="ATT","ATT",XLOOKUP($A46,Partner_Voice!$A:$A,Partner_Voice!L:L,"",0))))</f>
        <v>0.3333333333</v>
      </c>
      <c r="M46" s="42">
        <f t="array" ref="M46">IF(XLOOKUP($A46,Partner_Voice!$A:$A,Partner_Voice!M:M,"",0)="Free","Free",IF(XLOOKUP($A46,Partner_Voice!$A:$A,Partner_Voice!M:M,"",0)="VL","VL",IF(XLOOKUP($A46,Partner_Voice!$A:$A,Partner_Voice!M:M,"",0)="ATT","ATT",XLOOKUP($A46,Partner_Voice!$A:$A,Partner_Voice!M:M,"",0))))</f>
        <v>0.3333333333</v>
      </c>
      <c r="N46" s="42">
        <f t="array" ref="N46">IF(XLOOKUP($A46,Partner_Voice!$A:$A,Partner_Voice!N:N,"",0)="Free","Free",IF(XLOOKUP($A46,Partner_Voice!$A:$A,Partner_Voice!N:N,"",0)="VL","VL",IF(XLOOKUP($A46,Partner_Voice!$A:$A,Partner_Voice!N:N,"",0)="ATT","ATT",XLOOKUP($A46,Partner_Voice!$A:$A,Partner_Voice!N:N,"",0))))</f>
        <v>0.3333333333</v>
      </c>
      <c r="O46" s="42">
        <f t="array" ref="O46">IF(XLOOKUP($A46,Partner_Voice!$A:$A,Partner_Voice!O:O,"",0)="Free","Free",IF(XLOOKUP($A46,Partner_Voice!$A:$A,Partner_Voice!O:O,"",0)="VL","VL",IF(XLOOKUP($A46,Partner_Voice!$A:$A,Partner_Voice!O:O,"",0)="ATT","ATT",XLOOKUP($A46,Partner_Voice!$A:$A,Partner_Voice!O:O,"",0))))</f>
        <v>0.3333333333</v>
      </c>
      <c r="P46" s="42">
        <f t="array" ref="P46">IF(XLOOKUP($A46,Partner_Voice!$A:$A,Partner_Voice!P:P,"",0)="Free","Free",IF(XLOOKUP($A46,Partner_Voice!$A:$A,Partner_Voice!P:P,"",0)="VL","VL",IF(XLOOKUP($A46,Partner_Voice!$A:$A,Partner_Voice!P:P,"",0)="ATT","ATT",XLOOKUP($A46,Partner_Voice!$A:$A,Partner_Voice!P:P,"",0))))</f>
        <v>0.3333333333</v>
      </c>
      <c r="Q46" s="42" t="str">
        <f t="array" ref="Q46">IF(XLOOKUP($A46,Partner_Voice!$A:$A,Partner_Voice!Q:Q,"",0)="Free","Free",IF(XLOOKUP($A46,Partner_Voice!$A:$A,Partner_Voice!Q:Q,"",0)="VL","VL",IF(XLOOKUP($A46,Partner_Voice!$A:$A,Partner_Voice!Q:Q,"",0)="ATT","ATT",XLOOKUP($A46,Partner_Voice!$A:$A,Partner_Voice!Q:Q,"",0))))</f>
        <v>Free</v>
      </c>
      <c r="R46" s="43"/>
      <c r="S46" s="42">
        <f t="array" ref="S46">IF(XLOOKUP($A46,Partner_Voice!$A:$A,Partner_Voice!S:S,"",0)="Free","Free",IF(XLOOKUP($A46,Partner_Voice!$A:$A,Partner_Voice!S:S,"",0)="VL","VL",IF(XLOOKUP($A46,Partner_Voice!$A:$A,Partner_Voice!S:S,"",0)="ATT","ATT",XLOOKUP($A46,Partner_Voice!$A:$A,Partner_Voice!S:S,"",0))))</f>
        <v>0.3333333333</v>
      </c>
      <c r="T46" s="42">
        <f t="array" ref="T46">IF(XLOOKUP($A46,Partner_Voice!$A:$A,Partner_Voice!T:T,"",0)="Free","Free",IF(XLOOKUP($A46,Partner_Voice!$A:$A,Partner_Voice!T:T,"",0)="VL","VL",IF(XLOOKUP($A46,Partner_Voice!$A:$A,Partner_Voice!T:T,"",0)="ATT","ATT",XLOOKUP($A46,Partner_Voice!$A:$A,Partner_Voice!T:T,"",0))))</f>
        <v>0.3333333333</v>
      </c>
      <c r="U46" s="42">
        <f t="array" ref="U46">IF(XLOOKUP($A46,Partner_Voice!$A:$A,Partner_Voice!U:U,"",0)="Free","Free",IF(XLOOKUP($A46,Partner_Voice!$A:$A,Partner_Voice!U:U,"",0)="VL","VL",IF(XLOOKUP($A46,Partner_Voice!$A:$A,Partner_Voice!U:U,"",0)="ATT","ATT",XLOOKUP($A46,Partner_Voice!$A:$A,Partner_Voice!U:U,"",0))))</f>
        <v>0.3333333333</v>
      </c>
      <c r="V46" s="42">
        <f t="array" ref="V46">IF(XLOOKUP($A46,Partner_Voice!$A:$A,Partner_Voice!V:V,"",0)="Free","Free",IF(XLOOKUP($A46,Partner_Voice!$A:$A,Partner_Voice!V:V,"",0)="VL","VL",IF(XLOOKUP($A46,Partner_Voice!$A:$A,Partner_Voice!V:V,"",0)="ATT","ATT",XLOOKUP($A46,Partner_Voice!$A:$A,Partner_Voice!V:V,"",0))))</f>
        <v>0.3333333333</v>
      </c>
      <c r="W46" s="42">
        <f t="array" ref="W46">IF(XLOOKUP($A46,Partner_Voice!$A:$A,Partner_Voice!W:W,"",0)="Free","Free",IF(XLOOKUP($A46,Partner_Voice!$A:$A,Partner_Voice!W:W,"",0)="VL","VL",IF(XLOOKUP($A46,Partner_Voice!$A:$A,Partner_Voice!W:W,"",0)="ATT","ATT",XLOOKUP($A46,Partner_Voice!$A:$A,Partner_Voice!W:W,"",0))))</f>
        <v>0.3333333333</v>
      </c>
      <c r="X46" s="42" t="str">
        <f t="array" ref="X46">IF(XLOOKUP($A46,Partner_Voice!$A:$A,Partner_Voice!X:X,"",0)="Free","Free",IF(XLOOKUP($A46,Partner_Voice!$A:$A,Partner_Voice!X:X,"",0)="VL","VL",IF(XLOOKUP($A46,Partner_Voice!$A:$A,Partner_Voice!X:X,"",0)="ATT","ATT",XLOOKUP($A46,Partner_Voice!$A:$A,Partner_Voice!X:X,"",0))))</f>
        <v>Free</v>
      </c>
      <c r="Y46" s="43"/>
      <c r="Z46" s="42">
        <f t="array" ref="Z46">IF(XLOOKUP($A46,Partner_Voice!$A:$A,Partner_Voice!Z:Z,"",0)="Free","Free",IF(XLOOKUP($A46,Partner_Voice!$A:$A,Partner_Voice!Z:Z,"",0)="VL","VL",IF(XLOOKUP($A46,Partner_Voice!$A:$A,Partner_Voice!Z:Z,"",0)="ATT","ATT",XLOOKUP($A46,Partner_Voice!$A:$A,Partner_Voice!Z:Z,"",0))))</f>
        <v>0.3333333333</v>
      </c>
      <c r="AA46" s="42">
        <f t="array" ref="AA46">IF(XLOOKUP($A46,Partner_Voice!$A:$A,Partner_Voice!AA:AA,"",0)="Free","Free",IF(XLOOKUP($A46,Partner_Voice!$A:$A,Partner_Voice!AA:AA,"",0)="VL","VL",IF(XLOOKUP($A46,Partner_Voice!$A:$A,Partner_Voice!AA:AA,"",0)="ATT","ATT",XLOOKUP($A46,Partner_Voice!$A:$A,Partner_Voice!AA:AA,"",0))))</f>
        <v>0.3333333333</v>
      </c>
      <c r="AB46" s="42">
        <f t="array" ref="AB46">IF(XLOOKUP($A46,Partner_Voice!$A:$A,Partner_Voice!AB:AB,"",0)="Free","Free",IF(XLOOKUP($A46,Partner_Voice!$A:$A,Partner_Voice!AB:AB,"",0)="VL","VL",IF(XLOOKUP($A46,Partner_Voice!$A:$A,Partner_Voice!AB:AB,"",0)="ATT","ATT",XLOOKUP($A46,Partner_Voice!$A:$A,Partner_Voice!AB:AB,"",0))))</f>
        <v>0.3333333333</v>
      </c>
      <c r="AC46" s="42">
        <f t="array" ref="AC46">IF(XLOOKUP($A46,Partner_Voice!$A:$A,Partner_Voice!AC:AC,"",0)="Free","Free",IF(XLOOKUP($A46,Partner_Voice!$A:$A,Partner_Voice!AC:AC,"",0)="VL","VL",IF(XLOOKUP($A46,Partner_Voice!$A:$A,Partner_Voice!AC:AC,"",0)="ATT","ATT",XLOOKUP($A46,Partner_Voice!$A:$A,Partner_Voice!AC:AC,"",0))))</f>
        <v>0.3333333333</v>
      </c>
      <c r="AD46" s="42">
        <f t="array" ref="AD46">IF(XLOOKUP($A46,Partner_Voice!$A:$A,Partner_Voice!AD:AD,"",0)="Free","Free",IF(XLOOKUP($A46,Partner_Voice!$A:$A,Partner_Voice!AD:AD,"",0)="VL","VL",IF(XLOOKUP($A46,Partner_Voice!$A:$A,Partner_Voice!AD:AD,"",0)="ATT","ATT",XLOOKUP($A46,Partner_Voice!$A:$A,Partner_Voice!AD:AD,"",0))))</f>
        <v>0.3333333333</v>
      </c>
      <c r="AE46" s="42" t="str">
        <f t="array" ref="AE46">IF(XLOOKUP($A46,Partner_Voice!$A:$A,Partner_Voice!AE:AE,"",0)="Free","Free",IF(XLOOKUP($A46,Partner_Voice!$A:$A,Partner_Voice!AE:AE,"",0)="VL","VL",IF(XLOOKUP($A46,Partner_Voice!$A:$A,Partner_Voice!AE:AE,"",0)="ATT","ATT",XLOOKUP($A46,Partner_Voice!$A:$A,Partner_Voice!AE:AE,"",0))))</f>
        <v>Free</v>
      </c>
      <c r="AF46" s="69"/>
      <c r="AG46" s="42">
        <f t="array" ref="AG46">IF(XLOOKUP($A46,Partner_Voice!$A:$A,Partner_Voice!AG:AG,"",0)="Free","Free",IF(XLOOKUP($A46,Partner_Voice!$A:$A,Partner_Voice!AG:AG,"",0)="VL","VL",IF(XLOOKUP($A46,Partner_Voice!$A:$A,Partner_Voice!AG:AG,"",0)="ATT","ATT",XLOOKUP($A46,Partner_Voice!$A:$A,Partner_Voice!AG:AG,"",0))))</f>
        <v>0.3333333333</v>
      </c>
      <c r="AH46" s="42">
        <f t="array" ref="AH46">IF(XLOOKUP($A46,Partner_Voice!$A:$A,Partner_Voice!AH:AH,"",0)="Free","Free",IF(XLOOKUP($A46,Partner_Voice!$A:$A,Partner_Voice!AH:AH,"",0)="VL","VL",IF(XLOOKUP($A46,Partner_Voice!$A:$A,Partner_Voice!AH:AH,"",0)="ATT","ATT",XLOOKUP($A46,Partner_Voice!$A:$A,Partner_Voice!AH:AH,"",0))))</f>
        <v>0.3333333333</v>
      </c>
      <c r="AI46" s="42">
        <f t="array" ref="AI46">IF(XLOOKUP($A46,Partner_Voice!$A:$A,Partner_Voice!AI:AI,"",0)="Free","Free",IF(XLOOKUP($A46,Partner_Voice!$A:$A,Partner_Voice!AI:AI,"",0)="VL","VL",IF(XLOOKUP($A46,Partner_Voice!$A:$A,Partner_Voice!AI:AI,"",0)="ATT","ATT",XLOOKUP($A46,Partner_Voice!$A:$A,Partner_Voice!AI:AI,"",0))))</f>
        <v>0.3333333333</v>
      </c>
      <c r="AJ46" s="42">
        <f t="array" ref="AJ46">IF(XLOOKUP($A46,Partner_Voice!$A:$A,Partner_Voice!AJ:AJ,"",0)="Free","Free",IF(XLOOKUP($A46,Partner_Voice!$A:$A,Partner_Voice!AJ:AJ,"",0)="VL","VL",IF(XLOOKUP($A46,Partner_Voice!$A:$A,Partner_Voice!AJ:AJ,"",0)="ATT","ATT",XLOOKUP($A46,Partner_Voice!$A:$A,Partner_Voice!AJ:AJ,"",0))))</f>
        <v>0.3333333333</v>
      </c>
      <c r="AK46" s="42">
        <f t="array" ref="AK46">IF(XLOOKUP($A46,Partner_Voice!$A:$A,Partner_Voice!AK:AK,"",0)="Free","Free",IF(XLOOKUP($A46,Partner_Voice!$A:$A,Partner_Voice!AK:AK,"",0)="VL","VL",IF(XLOOKUP($A46,Partner_Voice!$A:$A,Partner_Voice!AK:AK,"",0)="ATT","ATT",XLOOKUP($A46,Partner_Voice!$A:$A,Partner_Voice!AK:AK,"",0))))</f>
        <v>0.3333333333</v>
      </c>
      <c r="AL46" s="42" t="str">
        <f t="array" ref="AL46">IF(XLOOKUP($A46,Partner_Voice!$A:$A,Partner_Voice!AL:AL,"",0)="Free","Free",IF(XLOOKUP($A46,Partner_Voice!$A:$A,Partner_Voice!AL:AL,"",0)="VL","VL",IF(XLOOKUP($A46,Partner_Voice!$A:$A,Partner_Voice!AL:AL,"",0)="ATT","ATT",XLOOKUP($A46,Partner_Voice!$A:$A,Partner_Voice!AL:AL,"",0))))</f>
        <v>Free</v>
      </c>
      <c r="AM46" s="42"/>
    </row>
    <row r="47">
      <c r="A47" s="47" t="s">
        <v>52</v>
      </c>
      <c r="B47" s="35" t="str">
        <f t="array" ref="B47">XLOOKUP(A47,Roster!F:F,Roster!A:A,"")</f>
        <v>Martin Salazar</v>
      </c>
      <c r="C47" s="35" t="str">
        <f t="array" ref="C47">XLOOKUP(A47,Roster!F:F,Roster!B:B,"")</f>
        <v>Karol Pineda</v>
      </c>
      <c r="D47" s="70"/>
      <c r="E47" s="42">
        <f t="array" ref="E47">IF(XLOOKUP($A47,Partner_Voice!$A:$A,Partner_Voice!E:E,"",0)="Free","Free",IF(XLOOKUP($A47,Partner_Voice!$A:$A,Partner_Voice!E:E,"",0)="VL","VL",IF(XLOOKUP($A47,Partner_Voice!$A:$A,Partner_Voice!E:E,"",0)="ATT","ATT",XLOOKUP($A47,Partner_Voice!$A:$A,Partner_Voice!E:E,"",0))))</f>
        <v>0.3333333333</v>
      </c>
      <c r="F47" s="42">
        <f t="array" ref="F47">IF(XLOOKUP($A47,Partner_Voice!$A:$A,Partner_Voice!F:F,"",0)="Free","Free",IF(XLOOKUP($A47,Partner_Voice!$A:$A,Partner_Voice!F:F,"",0)="VL","VL",IF(XLOOKUP($A47,Partner_Voice!$A:$A,Partner_Voice!F:F,"",0)="ATT","ATT",XLOOKUP($A47,Partner_Voice!$A:$A,Partner_Voice!F:F,"",0))))</f>
        <v>0.3333333333</v>
      </c>
      <c r="G47" s="42">
        <f t="array" ref="G47">IF(XLOOKUP($A47,Partner_Voice!$A:$A,Partner_Voice!G:G,"",0)="Free","Free",IF(XLOOKUP($A47,Partner_Voice!$A:$A,Partner_Voice!G:G,"",0)="VL","VL",IF(XLOOKUP($A47,Partner_Voice!$A:$A,Partner_Voice!G:G,"",0)="ATT","ATT",XLOOKUP($A47,Partner_Voice!$A:$A,Partner_Voice!G:G,"",0))))</f>
        <v>0.3333333333</v>
      </c>
      <c r="H47" s="42">
        <f t="array" ref="H47">IF(XLOOKUP($A47,Partner_Voice!$A:$A,Partner_Voice!H:H,"",0)="Free","Free",IF(XLOOKUP($A47,Partner_Voice!$A:$A,Partner_Voice!H:H,"",0)="VL","VL",IF(XLOOKUP($A47,Partner_Voice!$A:$A,Partner_Voice!H:H,"",0)="ATT","ATT",XLOOKUP($A47,Partner_Voice!$A:$A,Partner_Voice!H:H,"",0))))</f>
        <v>0.3333333333</v>
      </c>
      <c r="I47" s="42">
        <f t="array" ref="I47">IF(XLOOKUP($A47,Partner_Voice!$A:$A,Partner_Voice!I:I,"",0)="Free","Free",IF(XLOOKUP($A47,Partner_Voice!$A:$A,Partner_Voice!I:I,"",0)="VL","VL",IF(XLOOKUP($A47,Partner_Voice!$A:$A,Partner_Voice!I:I,"",0)="ATT","ATT",XLOOKUP($A47,Partner_Voice!$A:$A,Partner_Voice!I:I,"",0))))</f>
        <v>0.3333333333</v>
      </c>
      <c r="J47" s="42" t="str">
        <f t="array" ref="J47">IF(XLOOKUP($A47,Partner_Voice!$A:$A,Partner_Voice!J:J,"",0)="Free","Free",IF(XLOOKUP($A47,Partner_Voice!$A:$A,Partner_Voice!J:J,"",0)="VL","VL",IF(XLOOKUP($A47,Partner_Voice!$A:$A,Partner_Voice!J:J,"",0)="ATT","ATT",XLOOKUP($A47,Partner_Voice!$A:$A,Partner_Voice!J:J,"",0))))</f>
        <v>Free</v>
      </c>
      <c r="K47" s="42"/>
      <c r="L47" s="42">
        <f t="array" ref="L47">IF(XLOOKUP($A47,Partner_Voice!$A:$A,Partner_Voice!L:L,"",0)="Free","Free",IF(XLOOKUP($A47,Partner_Voice!$A:$A,Partner_Voice!L:L,"",0)="VL","VL",IF(XLOOKUP($A47,Partner_Voice!$A:$A,Partner_Voice!L:L,"",0)="ATT","ATT",XLOOKUP($A47,Partner_Voice!$A:$A,Partner_Voice!L:L,"",0))))</f>
        <v>0.3333333333</v>
      </c>
      <c r="M47" s="42">
        <f t="array" ref="M47">IF(XLOOKUP($A47,Partner_Voice!$A:$A,Partner_Voice!M:M,"",0)="Free","Free",IF(XLOOKUP($A47,Partner_Voice!$A:$A,Partner_Voice!M:M,"",0)="VL","VL",IF(XLOOKUP($A47,Partner_Voice!$A:$A,Partner_Voice!M:M,"",0)="ATT","ATT",XLOOKUP($A47,Partner_Voice!$A:$A,Partner_Voice!M:M,"",0))))</f>
        <v>0.3333333333</v>
      </c>
      <c r="N47" s="42">
        <f t="array" ref="N47">IF(XLOOKUP($A47,Partner_Voice!$A:$A,Partner_Voice!N:N,"",0)="Free","Free",IF(XLOOKUP($A47,Partner_Voice!$A:$A,Partner_Voice!N:N,"",0)="VL","VL",IF(XLOOKUP($A47,Partner_Voice!$A:$A,Partner_Voice!N:N,"",0)="ATT","ATT",XLOOKUP($A47,Partner_Voice!$A:$A,Partner_Voice!N:N,"",0))))</f>
        <v>0.3333333333</v>
      </c>
      <c r="O47" s="42">
        <f t="array" ref="O47">IF(XLOOKUP($A47,Partner_Voice!$A:$A,Partner_Voice!O:O,"",0)="Free","Free",IF(XLOOKUP($A47,Partner_Voice!$A:$A,Partner_Voice!O:O,"",0)="VL","VL",IF(XLOOKUP($A47,Partner_Voice!$A:$A,Partner_Voice!O:O,"",0)="ATT","ATT",XLOOKUP($A47,Partner_Voice!$A:$A,Partner_Voice!O:O,"",0))))</f>
        <v>0.3333333333</v>
      </c>
      <c r="P47" s="42">
        <f t="array" ref="P47">IF(XLOOKUP($A47,Partner_Voice!$A:$A,Partner_Voice!P:P,"",0)="Free","Free",IF(XLOOKUP($A47,Partner_Voice!$A:$A,Partner_Voice!P:P,"",0)="VL","VL",IF(XLOOKUP($A47,Partner_Voice!$A:$A,Partner_Voice!P:P,"",0)="ATT","ATT",XLOOKUP($A47,Partner_Voice!$A:$A,Partner_Voice!P:P,"",0))))</f>
        <v>0.3333333333</v>
      </c>
      <c r="Q47" s="42" t="str">
        <f t="array" ref="Q47">IF(XLOOKUP($A47,Partner_Voice!$A:$A,Partner_Voice!Q:Q,"",0)="Free","Free",IF(XLOOKUP($A47,Partner_Voice!$A:$A,Partner_Voice!Q:Q,"",0)="VL","VL",IF(XLOOKUP($A47,Partner_Voice!$A:$A,Partner_Voice!Q:Q,"",0)="ATT","ATT",XLOOKUP($A47,Partner_Voice!$A:$A,Partner_Voice!Q:Q,"",0))))</f>
        <v>Free</v>
      </c>
      <c r="R47" s="43"/>
      <c r="S47" s="42">
        <f t="array" ref="S47">IF(XLOOKUP($A47,Partner_Voice!$A:$A,Partner_Voice!S:S,"",0)="Free","Free",IF(XLOOKUP($A47,Partner_Voice!$A:$A,Partner_Voice!S:S,"",0)="VL","VL",IF(XLOOKUP($A47,Partner_Voice!$A:$A,Partner_Voice!S:S,"",0)="ATT","ATT",XLOOKUP($A47,Partner_Voice!$A:$A,Partner_Voice!S:S,"",0))))</f>
        <v>0.3333333333</v>
      </c>
      <c r="T47" s="42">
        <f t="array" ref="T47">IF(XLOOKUP($A47,Partner_Voice!$A:$A,Partner_Voice!T:T,"",0)="Free","Free",IF(XLOOKUP($A47,Partner_Voice!$A:$A,Partner_Voice!T:T,"",0)="VL","VL",IF(XLOOKUP($A47,Partner_Voice!$A:$A,Partner_Voice!T:T,"",0)="ATT","ATT",XLOOKUP($A47,Partner_Voice!$A:$A,Partner_Voice!T:T,"",0))))</f>
        <v>0.3333333333</v>
      </c>
      <c r="U47" s="42">
        <f t="array" ref="U47">IF(XLOOKUP($A47,Partner_Voice!$A:$A,Partner_Voice!U:U,"",0)="Free","Free",IF(XLOOKUP($A47,Partner_Voice!$A:$A,Partner_Voice!U:U,"",0)="VL","VL",IF(XLOOKUP($A47,Partner_Voice!$A:$A,Partner_Voice!U:U,"",0)="ATT","ATT",XLOOKUP($A47,Partner_Voice!$A:$A,Partner_Voice!U:U,"",0))))</f>
        <v>0.3333333333</v>
      </c>
      <c r="V47" s="42">
        <f t="array" ref="V47">IF(XLOOKUP($A47,Partner_Voice!$A:$A,Partner_Voice!V:V,"",0)="Free","Free",IF(XLOOKUP($A47,Partner_Voice!$A:$A,Partner_Voice!V:V,"",0)="VL","VL",IF(XLOOKUP($A47,Partner_Voice!$A:$A,Partner_Voice!V:V,"",0)="ATT","ATT",XLOOKUP($A47,Partner_Voice!$A:$A,Partner_Voice!V:V,"",0))))</f>
        <v>0.3333333333</v>
      </c>
      <c r="W47" s="42">
        <f t="array" ref="W47">IF(XLOOKUP($A47,Partner_Voice!$A:$A,Partner_Voice!W:W,"",0)="Free","Free",IF(XLOOKUP($A47,Partner_Voice!$A:$A,Partner_Voice!W:W,"",0)="VL","VL",IF(XLOOKUP($A47,Partner_Voice!$A:$A,Partner_Voice!W:W,"",0)="ATT","ATT",XLOOKUP($A47,Partner_Voice!$A:$A,Partner_Voice!W:W,"",0))))</f>
        <v>0.3333333333</v>
      </c>
      <c r="X47" s="42" t="str">
        <f t="array" ref="X47">IF(XLOOKUP($A47,Partner_Voice!$A:$A,Partner_Voice!X:X,"",0)="Free","Free",IF(XLOOKUP($A47,Partner_Voice!$A:$A,Partner_Voice!X:X,"",0)="VL","VL",IF(XLOOKUP($A47,Partner_Voice!$A:$A,Partner_Voice!X:X,"",0)="ATT","ATT",XLOOKUP($A47,Partner_Voice!$A:$A,Partner_Voice!X:X,"",0))))</f>
        <v>Free</v>
      </c>
      <c r="Y47" s="43"/>
      <c r="Z47" s="42">
        <f t="array" ref="Z47">IF(XLOOKUP($A47,Partner_Voice!$A:$A,Partner_Voice!Z:Z,"",0)="Free","Free",IF(XLOOKUP($A47,Partner_Voice!$A:$A,Partner_Voice!Z:Z,"",0)="VL","VL",IF(XLOOKUP($A47,Partner_Voice!$A:$A,Partner_Voice!Z:Z,"",0)="ATT","ATT",XLOOKUP($A47,Partner_Voice!$A:$A,Partner_Voice!Z:Z,"",0))))</f>
        <v>0.3333333333</v>
      </c>
      <c r="AA47" s="42">
        <f t="array" ref="AA47">IF(XLOOKUP($A47,Partner_Voice!$A:$A,Partner_Voice!AA:AA,"",0)="Free","Free",IF(XLOOKUP($A47,Partner_Voice!$A:$A,Partner_Voice!AA:AA,"",0)="VL","VL",IF(XLOOKUP($A47,Partner_Voice!$A:$A,Partner_Voice!AA:AA,"",0)="ATT","ATT",XLOOKUP($A47,Partner_Voice!$A:$A,Partner_Voice!AA:AA,"",0))))</f>
        <v>0.3333333333</v>
      </c>
      <c r="AB47" s="42">
        <f t="array" ref="AB47">IF(XLOOKUP($A47,Partner_Voice!$A:$A,Partner_Voice!AB:AB,"",0)="Free","Free",IF(XLOOKUP($A47,Partner_Voice!$A:$A,Partner_Voice!AB:AB,"",0)="VL","VL",IF(XLOOKUP($A47,Partner_Voice!$A:$A,Partner_Voice!AB:AB,"",0)="ATT","ATT",XLOOKUP($A47,Partner_Voice!$A:$A,Partner_Voice!AB:AB,"",0))))</f>
        <v>0.3333333333</v>
      </c>
      <c r="AC47" s="42">
        <f t="array" ref="AC47">IF(XLOOKUP($A47,Partner_Voice!$A:$A,Partner_Voice!AC:AC,"",0)="Free","Free",IF(XLOOKUP($A47,Partner_Voice!$A:$A,Partner_Voice!AC:AC,"",0)="VL","VL",IF(XLOOKUP($A47,Partner_Voice!$A:$A,Partner_Voice!AC:AC,"",0)="ATT","ATT",XLOOKUP($A47,Partner_Voice!$A:$A,Partner_Voice!AC:AC,"",0))))</f>
        <v>0.3333333333</v>
      </c>
      <c r="AD47" s="42">
        <f t="array" ref="AD47">IF(XLOOKUP($A47,Partner_Voice!$A:$A,Partner_Voice!AD:AD,"",0)="Free","Free",IF(XLOOKUP($A47,Partner_Voice!$A:$A,Partner_Voice!AD:AD,"",0)="VL","VL",IF(XLOOKUP($A47,Partner_Voice!$A:$A,Partner_Voice!AD:AD,"",0)="ATT","ATT",XLOOKUP($A47,Partner_Voice!$A:$A,Partner_Voice!AD:AD,"",0))))</f>
        <v>0.3333333333</v>
      </c>
      <c r="AE47" s="42" t="str">
        <f t="array" ref="AE47">IF(XLOOKUP($A47,Partner_Voice!$A:$A,Partner_Voice!AE:AE,"",0)="Free","Free",IF(XLOOKUP($A47,Partner_Voice!$A:$A,Partner_Voice!AE:AE,"",0)="VL","VL",IF(XLOOKUP($A47,Partner_Voice!$A:$A,Partner_Voice!AE:AE,"",0)="ATT","ATT",XLOOKUP($A47,Partner_Voice!$A:$A,Partner_Voice!AE:AE,"",0))))</f>
        <v>Free</v>
      </c>
      <c r="AF47" s="69"/>
      <c r="AG47" s="42">
        <f t="array" ref="AG47">IF(XLOOKUP($A47,Partner_Voice!$A:$A,Partner_Voice!AG:AG,"",0)="Free","Free",IF(XLOOKUP($A47,Partner_Voice!$A:$A,Partner_Voice!AG:AG,"",0)="VL","VL",IF(XLOOKUP($A47,Partner_Voice!$A:$A,Partner_Voice!AG:AG,"",0)="ATT","ATT",XLOOKUP($A47,Partner_Voice!$A:$A,Partner_Voice!AG:AG,"",0))))</f>
        <v>0.3333333333</v>
      </c>
      <c r="AH47" s="42">
        <f t="array" ref="AH47">IF(XLOOKUP($A47,Partner_Voice!$A:$A,Partner_Voice!AH:AH,"",0)="Free","Free",IF(XLOOKUP($A47,Partner_Voice!$A:$A,Partner_Voice!AH:AH,"",0)="VL","VL",IF(XLOOKUP($A47,Partner_Voice!$A:$A,Partner_Voice!AH:AH,"",0)="ATT","ATT",XLOOKUP($A47,Partner_Voice!$A:$A,Partner_Voice!AH:AH,"",0))))</f>
        <v>0.3333333333</v>
      </c>
      <c r="AI47" s="42">
        <f t="array" ref="AI47">IF(XLOOKUP($A47,Partner_Voice!$A:$A,Partner_Voice!AI:AI,"",0)="Free","Free",IF(XLOOKUP($A47,Partner_Voice!$A:$A,Partner_Voice!AI:AI,"",0)="VL","VL",IF(XLOOKUP($A47,Partner_Voice!$A:$A,Partner_Voice!AI:AI,"",0)="ATT","ATT",XLOOKUP($A47,Partner_Voice!$A:$A,Partner_Voice!AI:AI,"",0))))</f>
        <v>0.3333333333</v>
      </c>
      <c r="AJ47" s="42">
        <f t="array" ref="AJ47">IF(XLOOKUP($A47,Partner_Voice!$A:$A,Partner_Voice!AJ:AJ,"",0)="Free","Free",IF(XLOOKUP($A47,Partner_Voice!$A:$A,Partner_Voice!AJ:AJ,"",0)="VL","VL",IF(XLOOKUP($A47,Partner_Voice!$A:$A,Partner_Voice!AJ:AJ,"",0)="ATT","ATT",XLOOKUP($A47,Partner_Voice!$A:$A,Partner_Voice!AJ:AJ,"",0))))</f>
        <v>0.3333333333</v>
      </c>
      <c r="AK47" s="42">
        <f t="array" ref="AK47">IF(XLOOKUP($A47,Partner_Voice!$A:$A,Partner_Voice!AK:AK,"",0)="Free","Free",IF(XLOOKUP($A47,Partner_Voice!$A:$A,Partner_Voice!AK:AK,"",0)="VL","VL",IF(XLOOKUP($A47,Partner_Voice!$A:$A,Partner_Voice!AK:AK,"",0)="ATT","ATT",XLOOKUP($A47,Partner_Voice!$A:$A,Partner_Voice!AK:AK,"",0))))</f>
        <v>0.3333333333</v>
      </c>
      <c r="AL47" s="42" t="str">
        <f t="array" ref="AL47">IF(XLOOKUP($A47,Partner_Voice!$A:$A,Partner_Voice!AL:AL,"",0)="Free","Free",IF(XLOOKUP($A47,Partner_Voice!$A:$A,Partner_Voice!AL:AL,"",0)="VL","VL",IF(XLOOKUP($A47,Partner_Voice!$A:$A,Partner_Voice!AL:AL,"",0)="ATT","ATT",XLOOKUP($A47,Partner_Voice!$A:$A,Partner_Voice!AL:AL,"",0))))</f>
        <v>Free</v>
      </c>
      <c r="AM47" s="42"/>
    </row>
    <row r="48">
      <c r="A48" s="47" t="s">
        <v>57</v>
      </c>
      <c r="B48" s="35" t="str">
        <f t="array" ref="B48">XLOOKUP(A48,Roster!F:F,Roster!A:A,"")</f>
        <v>Martin Salazar</v>
      </c>
      <c r="C48" s="35" t="str">
        <f t="array" ref="C48">XLOOKUP(A48,Roster!F:F,Roster!B:B,"")</f>
        <v>Lisandro Alvarado</v>
      </c>
      <c r="D48" s="70"/>
      <c r="E48" s="42">
        <f t="array" ref="E48">IF(XLOOKUP($A48,Partner_Voice!$A:$A,Partner_Voice!E:E,"",0)="Free","Free",IF(XLOOKUP($A48,Partner_Voice!$A:$A,Partner_Voice!E:E,"",0)="VL","VL",IF(XLOOKUP($A48,Partner_Voice!$A:$A,Partner_Voice!E:E,"",0)="ATT","ATT",XLOOKUP($A48,Partner_Voice!$A:$A,Partner_Voice!E:E,"",0))))</f>
        <v>0.3333333333</v>
      </c>
      <c r="F48" s="42">
        <f t="array" ref="F48">IF(XLOOKUP($A48,Partner_Voice!$A:$A,Partner_Voice!F:F,"",0)="Free","Free",IF(XLOOKUP($A48,Partner_Voice!$A:$A,Partner_Voice!F:F,"",0)="VL","VL",IF(XLOOKUP($A48,Partner_Voice!$A:$A,Partner_Voice!F:F,"",0)="ATT","ATT",XLOOKUP($A48,Partner_Voice!$A:$A,Partner_Voice!F:F,"",0))))</f>
        <v>0.3333333333</v>
      </c>
      <c r="G48" s="42">
        <f t="array" ref="G48">IF(XLOOKUP($A48,Partner_Voice!$A:$A,Partner_Voice!G:G,"",0)="Free","Free",IF(XLOOKUP($A48,Partner_Voice!$A:$A,Partner_Voice!G:G,"",0)="VL","VL",IF(XLOOKUP($A48,Partner_Voice!$A:$A,Partner_Voice!G:G,"",0)="ATT","ATT",XLOOKUP($A48,Partner_Voice!$A:$A,Partner_Voice!G:G,"",0))))</f>
        <v>0.3333333333</v>
      </c>
      <c r="H48" s="42">
        <f t="array" ref="H48">IF(XLOOKUP($A48,Partner_Voice!$A:$A,Partner_Voice!H:H,"",0)="Free","Free",IF(XLOOKUP($A48,Partner_Voice!$A:$A,Partner_Voice!H:H,"",0)="VL","VL",IF(XLOOKUP($A48,Partner_Voice!$A:$A,Partner_Voice!H:H,"",0)="ATT","ATT",XLOOKUP($A48,Partner_Voice!$A:$A,Partner_Voice!H:H,"",0))))</f>
        <v>0.3333333333</v>
      </c>
      <c r="I48" s="42">
        <f t="array" ref="I48">IF(XLOOKUP($A48,Partner_Voice!$A:$A,Partner_Voice!I:I,"",0)="Free","Free",IF(XLOOKUP($A48,Partner_Voice!$A:$A,Partner_Voice!I:I,"",0)="VL","VL",IF(XLOOKUP($A48,Partner_Voice!$A:$A,Partner_Voice!I:I,"",0)="ATT","ATT",XLOOKUP($A48,Partner_Voice!$A:$A,Partner_Voice!I:I,"",0))))</f>
        <v>0.3333333333</v>
      </c>
      <c r="J48" s="42" t="str">
        <f t="array" ref="J48">IF(XLOOKUP($A48,Partner_Voice!$A:$A,Partner_Voice!J:J,"",0)="Free","Free",IF(XLOOKUP($A48,Partner_Voice!$A:$A,Partner_Voice!J:J,"",0)="VL","VL",IF(XLOOKUP($A48,Partner_Voice!$A:$A,Partner_Voice!J:J,"",0)="ATT","ATT",XLOOKUP($A48,Partner_Voice!$A:$A,Partner_Voice!J:J,"",0))))</f>
        <v>Free</v>
      </c>
      <c r="K48" s="42"/>
      <c r="L48" s="42">
        <f t="array" ref="L48">IF(XLOOKUP($A48,Partner_Voice!$A:$A,Partner_Voice!L:L,"",0)="Free","Free",IF(XLOOKUP($A48,Partner_Voice!$A:$A,Partner_Voice!L:L,"",0)="VL","VL",IF(XLOOKUP($A48,Partner_Voice!$A:$A,Partner_Voice!L:L,"",0)="ATT","ATT",XLOOKUP($A48,Partner_Voice!$A:$A,Partner_Voice!L:L,"",0))))</f>
        <v>0.3333333333</v>
      </c>
      <c r="M48" s="42">
        <f t="array" ref="M48">IF(XLOOKUP($A48,Partner_Voice!$A:$A,Partner_Voice!M:M,"",0)="Free","Free",IF(XLOOKUP($A48,Partner_Voice!$A:$A,Partner_Voice!M:M,"",0)="VL","VL",IF(XLOOKUP($A48,Partner_Voice!$A:$A,Partner_Voice!M:M,"",0)="ATT","ATT",XLOOKUP($A48,Partner_Voice!$A:$A,Partner_Voice!M:M,"",0))))</f>
        <v>0.3333333333</v>
      </c>
      <c r="N48" s="42">
        <f t="array" ref="N48">IF(XLOOKUP($A48,Partner_Voice!$A:$A,Partner_Voice!N:N,"",0)="Free","Free",IF(XLOOKUP($A48,Partner_Voice!$A:$A,Partner_Voice!N:N,"",0)="VL","VL",IF(XLOOKUP($A48,Partner_Voice!$A:$A,Partner_Voice!N:N,"",0)="ATT","ATT",XLOOKUP($A48,Partner_Voice!$A:$A,Partner_Voice!N:N,"",0))))</f>
        <v>0.3333333333</v>
      </c>
      <c r="O48" s="42">
        <f t="array" ref="O48">IF(XLOOKUP($A48,Partner_Voice!$A:$A,Partner_Voice!O:O,"",0)="Free","Free",IF(XLOOKUP($A48,Partner_Voice!$A:$A,Partner_Voice!O:O,"",0)="VL","VL",IF(XLOOKUP($A48,Partner_Voice!$A:$A,Partner_Voice!O:O,"",0)="ATT","ATT",XLOOKUP($A48,Partner_Voice!$A:$A,Partner_Voice!O:O,"",0))))</f>
        <v>0.3333333333</v>
      </c>
      <c r="P48" s="42">
        <f t="array" ref="P48">IF(XLOOKUP($A48,Partner_Voice!$A:$A,Partner_Voice!P:P,"",0)="Free","Free",IF(XLOOKUP($A48,Partner_Voice!$A:$A,Partner_Voice!P:P,"",0)="VL","VL",IF(XLOOKUP($A48,Partner_Voice!$A:$A,Partner_Voice!P:P,"",0)="ATT","ATT",XLOOKUP($A48,Partner_Voice!$A:$A,Partner_Voice!P:P,"",0))))</f>
        <v>0.3333333333</v>
      </c>
      <c r="Q48" s="42" t="str">
        <f t="array" ref="Q48">IF(XLOOKUP($A48,Partner_Voice!$A:$A,Partner_Voice!Q:Q,"",0)="Free","Free",IF(XLOOKUP($A48,Partner_Voice!$A:$A,Partner_Voice!Q:Q,"",0)="VL","VL",IF(XLOOKUP($A48,Partner_Voice!$A:$A,Partner_Voice!Q:Q,"",0)="ATT","ATT",XLOOKUP($A48,Partner_Voice!$A:$A,Partner_Voice!Q:Q,"",0))))</f>
        <v>Free</v>
      </c>
      <c r="R48" s="43"/>
      <c r="S48" s="42">
        <f t="array" ref="S48">IF(XLOOKUP($A48,Partner_Voice!$A:$A,Partner_Voice!S:S,"",0)="Free","Free",IF(XLOOKUP($A48,Partner_Voice!$A:$A,Partner_Voice!S:S,"",0)="VL","VL",IF(XLOOKUP($A48,Partner_Voice!$A:$A,Partner_Voice!S:S,"",0)="ATT","ATT",XLOOKUP($A48,Partner_Voice!$A:$A,Partner_Voice!S:S,"",0))))</f>
        <v>0.3333333333</v>
      </c>
      <c r="T48" s="42">
        <f t="array" ref="T48">IF(XLOOKUP($A48,Partner_Voice!$A:$A,Partner_Voice!T:T,"",0)="Free","Free",IF(XLOOKUP($A48,Partner_Voice!$A:$A,Partner_Voice!T:T,"",0)="VL","VL",IF(XLOOKUP($A48,Partner_Voice!$A:$A,Partner_Voice!T:T,"",0)="ATT","ATT",XLOOKUP($A48,Partner_Voice!$A:$A,Partner_Voice!T:T,"",0))))</f>
        <v>0.3333333333</v>
      </c>
      <c r="U48" s="42">
        <f t="array" ref="U48">IF(XLOOKUP($A48,Partner_Voice!$A:$A,Partner_Voice!U:U,"",0)="Free","Free",IF(XLOOKUP($A48,Partner_Voice!$A:$A,Partner_Voice!U:U,"",0)="VL","VL",IF(XLOOKUP($A48,Partner_Voice!$A:$A,Partner_Voice!U:U,"",0)="ATT","ATT",XLOOKUP($A48,Partner_Voice!$A:$A,Partner_Voice!U:U,"",0))))</f>
        <v>0.3333333333</v>
      </c>
      <c r="V48" s="42">
        <f t="array" ref="V48">IF(XLOOKUP($A48,Partner_Voice!$A:$A,Partner_Voice!V:V,"",0)="Free","Free",IF(XLOOKUP($A48,Partner_Voice!$A:$A,Partner_Voice!V:V,"",0)="VL","VL",IF(XLOOKUP($A48,Partner_Voice!$A:$A,Partner_Voice!V:V,"",0)="ATT","ATT",XLOOKUP($A48,Partner_Voice!$A:$A,Partner_Voice!V:V,"",0))))</f>
        <v>0.3333333333</v>
      </c>
      <c r="W48" s="42">
        <f t="array" ref="W48">IF(XLOOKUP($A48,Partner_Voice!$A:$A,Partner_Voice!W:W,"",0)="Free","Free",IF(XLOOKUP($A48,Partner_Voice!$A:$A,Partner_Voice!W:W,"",0)="VL","VL",IF(XLOOKUP($A48,Partner_Voice!$A:$A,Partner_Voice!W:W,"",0)="ATT","ATT",XLOOKUP($A48,Partner_Voice!$A:$A,Partner_Voice!W:W,"",0))))</f>
        <v>0.3333333333</v>
      </c>
      <c r="X48" s="42" t="str">
        <f t="array" ref="X48">IF(XLOOKUP($A48,Partner_Voice!$A:$A,Partner_Voice!X:X,"",0)="Free","Free",IF(XLOOKUP($A48,Partner_Voice!$A:$A,Partner_Voice!X:X,"",0)="VL","VL",IF(XLOOKUP($A48,Partner_Voice!$A:$A,Partner_Voice!X:X,"",0)="ATT","ATT",XLOOKUP($A48,Partner_Voice!$A:$A,Partner_Voice!X:X,"",0))))</f>
        <v>Free</v>
      </c>
      <c r="Y48" s="43"/>
      <c r="Z48" s="42">
        <f t="array" ref="Z48">IF(XLOOKUP($A48,Partner_Voice!$A:$A,Partner_Voice!Z:Z,"",0)="Free","Free",IF(XLOOKUP($A48,Partner_Voice!$A:$A,Partner_Voice!Z:Z,"",0)="VL","VL",IF(XLOOKUP($A48,Partner_Voice!$A:$A,Partner_Voice!Z:Z,"",0)="ATT","ATT",XLOOKUP($A48,Partner_Voice!$A:$A,Partner_Voice!Z:Z,"",0))))</f>
        <v>0.3333333333</v>
      </c>
      <c r="AA48" s="42">
        <f t="array" ref="AA48">IF(XLOOKUP($A48,Partner_Voice!$A:$A,Partner_Voice!AA:AA,"",0)="Free","Free",IF(XLOOKUP($A48,Partner_Voice!$A:$A,Partner_Voice!AA:AA,"",0)="VL","VL",IF(XLOOKUP($A48,Partner_Voice!$A:$A,Partner_Voice!AA:AA,"",0)="ATT","ATT",XLOOKUP($A48,Partner_Voice!$A:$A,Partner_Voice!AA:AA,"",0))))</f>
        <v>0.3333333333</v>
      </c>
      <c r="AB48" s="42">
        <f t="array" ref="AB48">IF(XLOOKUP($A48,Partner_Voice!$A:$A,Partner_Voice!AB:AB,"",0)="Free","Free",IF(XLOOKUP($A48,Partner_Voice!$A:$A,Partner_Voice!AB:AB,"",0)="VL","VL",IF(XLOOKUP($A48,Partner_Voice!$A:$A,Partner_Voice!AB:AB,"",0)="ATT","ATT",XLOOKUP($A48,Partner_Voice!$A:$A,Partner_Voice!AB:AB,"",0))))</f>
        <v>0.3333333333</v>
      </c>
      <c r="AC48" s="42">
        <f t="array" ref="AC48">IF(XLOOKUP($A48,Partner_Voice!$A:$A,Partner_Voice!AC:AC,"",0)="Free","Free",IF(XLOOKUP($A48,Partner_Voice!$A:$A,Partner_Voice!AC:AC,"",0)="VL","VL",IF(XLOOKUP($A48,Partner_Voice!$A:$A,Partner_Voice!AC:AC,"",0)="ATT","ATT",XLOOKUP($A48,Partner_Voice!$A:$A,Partner_Voice!AC:AC,"",0))))</f>
        <v>0.3333333333</v>
      </c>
      <c r="AD48" s="42">
        <f t="array" ref="AD48">IF(XLOOKUP($A48,Partner_Voice!$A:$A,Partner_Voice!AD:AD,"",0)="Free","Free",IF(XLOOKUP($A48,Partner_Voice!$A:$A,Partner_Voice!AD:AD,"",0)="VL","VL",IF(XLOOKUP($A48,Partner_Voice!$A:$A,Partner_Voice!AD:AD,"",0)="ATT","ATT",XLOOKUP($A48,Partner_Voice!$A:$A,Partner_Voice!AD:AD,"",0))))</f>
        <v>0.3333333333</v>
      </c>
      <c r="AE48" s="42" t="str">
        <f t="array" ref="AE48">IF(XLOOKUP($A48,Partner_Voice!$A:$A,Partner_Voice!AE:AE,"",0)="Free","Free",IF(XLOOKUP($A48,Partner_Voice!$A:$A,Partner_Voice!AE:AE,"",0)="VL","VL",IF(XLOOKUP($A48,Partner_Voice!$A:$A,Partner_Voice!AE:AE,"",0)="ATT","ATT",XLOOKUP($A48,Partner_Voice!$A:$A,Partner_Voice!AE:AE,"",0))))</f>
        <v>Free</v>
      </c>
      <c r="AF48" s="69"/>
      <c r="AG48" s="42">
        <f t="array" ref="AG48">IF(XLOOKUP($A48,Partner_Voice!$A:$A,Partner_Voice!AG:AG,"",0)="Free","Free",IF(XLOOKUP($A48,Partner_Voice!$A:$A,Partner_Voice!AG:AG,"",0)="VL","VL",IF(XLOOKUP($A48,Partner_Voice!$A:$A,Partner_Voice!AG:AG,"",0)="ATT","ATT",XLOOKUP($A48,Partner_Voice!$A:$A,Partner_Voice!AG:AG,"",0))))</f>
        <v>0.3333333333</v>
      </c>
      <c r="AH48" s="42">
        <f t="array" ref="AH48">IF(XLOOKUP($A48,Partner_Voice!$A:$A,Partner_Voice!AH:AH,"",0)="Free","Free",IF(XLOOKUP($A48,Partner_Voice!$A:$A,Partner_Voice!AH:AH,"",0)="VL","VL",IF(XLOOKUP($A48,Partner_Voice!$A:$A,Partner_Voice!AH:AH,"",0)="ATT","ATT",XLOOKUP($A48,Partner_Voice!$A:$A,Partner_Voice!AH:AH,"",0))))</f>
        <v>0.3333333333</v>
      </c>
      <c r="AI48" s="42">
        <f t="array" ref="AI48">IF(XLOOKUP($A48,Partner_Voice!$A:$A,Partner_Voice!AI:AI,"",0)="Free","Free",IF(XLOOKUP($A48,Partner_Voice!$A:$A,Partner_Voice!AI:AI,"",0)="VL","VL",IF(XLOOKUP($A48,Partner_Voice!$A:$A,Partner_Voice!AI:AI,"",0)="ATT","ATT",XLOOKUP($A48,Partner_Voice!$A:$A,Partner_Voice!AI:AI,"",0))))</f>
        <v>0.3333333333</v>
      </c>
      <c r="AJ48" s="42">
        <f t="array" ref="AJ48">IF(XLOOKUP($A48,Partner_Voice!$A:$A,Partner_Voice!AJ:AJ,"",0)="Free","Free",IF(XLOOKUP($A48,Partner_Voice!$A:$A,Partner_Voice!AJ:AJ,"",0)="VL","VL",IF(XLOOKUP($A48,Partner_Voice!$A:$A,Partner_Voice!AJ:AJ,"",0)="ATT","ATT",XLOOKUP($A48,Partner_Voice!$A:$A,Partner_Voice!AJ:AJ,"",0))))</f>
        <v>0.3333333333</v>
      </c>
      <c r="AK48" s="42">
        <f t="array" ref="AK48">IF(XLOOKUP($A48,Partner_Voice!$A:$A,Partner_Voice!AK:AK,"",0)="Free","Free",IF(XLOOKUP($A48,Partner_Voice!$A:$A,Partner_Voice!AK:AK,"",0)="VL","VL",IF(XLOOKUP($A48,Partner_Voice!$A:$A,Partner_Voice!AK:AK,"",0)="ATT","ATT",XLOOKUP($A48,Partner_Voice!$A:$A,Partner_Voice!AK:AK,"",0))))</f>
        <v>0.3333333333</v>
      </c>
      <c r="AL48" s="42" t="str">
        <f t="array" ref="AL48">IF(XLOOKUP($A48,Partner_Voice!$A:$A,Partner_Voice!AL:AL,"",0)="Free","Free",IF(XLOOKUP($A48,Partner_Voice!$A:$A,Partner_Voice!AL:AL,"",0)="VL","VL",IF(XLOOKUP($A48,Partner_Voice!$A:$A,Partner_Voice!AL:AL,"",0)="ATT","ATT",XLOOKUP($A48,Partner_Voice!$A:$A,Partner_Voice!AL:AL,"",0))))</f>
        <v>Free</v>
      </c>
      <c r="AM48" s="42"/>
    </row>
    <row r="49">
      <c r="A49" s="47" t="s">
        <v>59</v>
      </c>
      <c r="B49" s="35" t="str">
        <f t="array" ref="B49">XLOOKUP(A49,Roster!F:F,Roster!A:A,"")</f>
        <v>Martin Salazar</v>
      </c>
      <c r="C49" s="35" t="str">
        <f t="array" ref="C49">XLOOKUP(A49,Roster!F:F,Roster!B:B,"")</f>
        <v>Luis Munoz</v>
      </c>
      <c r="D49" s="70"/>
      <c r="E49" s="42">
        <f t="array" ref="E49">IF(XLOOKUP($A49,Partner_Voice!$A:$A,Partner_Voice!E:E,"",0)="Free","Free",IF(XLOOKUP($A49,Partner_Voice!$A:$A,Partner_Voice!E:E,"",0)="VL","VL",IF(XLOOKUP($A49,Partner_Voice!$A:$A,Partner_Voice!E:E,"",0)="ATT","ATT",XLOOKUP($A49,Partner_Voice!$A:$A,Partner_Voice!E:E,"",0))))</f>
        <v>0.3333333333</v>
      </c>
      <c r="F49" s="42">
        <f t="array" ref="F49">IF(XLOOKUP($A49,Partner_Voice!$A:$A,Partner_Voice!F:F,"",0)="Free","Free",IF(XLOOKUP($A49,Partner_Voice!$A:$A,Partner_Voice!F:F,"",0)="VL","VL",IF(XLOOKUP($A49,Partner_Voice!$A:$A,Partner_Voice!F:F,"",0)="ATT","ATT",XLOOKUP($A49,Partner_Voice!$A:$A,Partner_Voice!F:F,"",0))))</f>
        <v>0.3333333333</v>
      </c>
      <c r="G49" s="42" t="str">
        <f t="array" ref="G49">IF(XLOOKUP($A49,Partner_Voice!$A:$A,Partner_Voice!G:G,"",0)="Free","Free",IF(XLOOKUP($A49,Partner_Voice!$A:$A,Partner_Voice!G:G,"",0)="VL","VL",IF(XLOOKUP($A49,Partner_Voice!$A:$A,Partner_Voice!G:G,"",0)="ATT","ATT",XLOOKUP($A49,Partner_Voice!$A:$A,Partner_Voice!G:G,"",0))))</f>
        <v>Free</v>
      </c>
      <c r="H49" s="42">
        <f t="array" ref="H49">IF(XLOOKUP($A49,Partner_Voice!$A:$A,Partner_Voice!H:H,"",0)="Free","Free",IF(XLOOKUP($A49,Partner_Voice!$A:$A,Partner_Voice!H:H,"",0)="VL","VL",IF(XLOOKUP($A49,Partner_Voice!$A:$A,Partner_Voice!H:H,"",0)="ATT","ATT",XLOOKUP($A49,Partner_Voice!$A:$A,Partner_Voice!H:H,"",0))))</f>
        <v>0.3333333333</v>
      </c>
      <c r="I49" s="42">
        <f t="array" ref="I49">IF(XLOOKUP($A49,Partner_Voice!$A:$A,Partner_Voice!I:I,"",0)="Free","Free",IF(XLOOKUP($A49,Partner_Voice!$A:$A,Partner_Voice!I:I,"",0)="VL","VL",IF(XLOOKUP($A49,Partner_Voice!$A:$A,Partner_Voice!I:I,"",0)="ATT","ATT",XLOOKUP($A49,Partner_Voice!$A:$A,Partner_Voice!I:I,"",0))))</f>
        <v>0.3333333333</v>
      </c>
      <c r="J49" s="42">
        <f t="array" ref="J49">IF(XLOOKUP($A49,Partner_Voice!$A:$A,Partner_Voice!J:J,"",0)="Free","Free",IF(XLOOKUP($A49,Partner_Voice!$A:$A,Partner_Voice!J:J,"",0)="VL","VL",IF(XLOOKUP($A49,Partner_Voice!$A:$A,Partner_Voice!J:J,"",0)="ATT","ATT",XLOOKUP($A49,Partner_Voice!$A:$A,Partner_Voice!J:J,"",0))))</f>
        <v>0.3333333333</v>
      </c>
      <c r="K49" s="42"/>
      <c r="L49" s="42">
        <f t="array" ref="L49">IF(XLOOKUP($A49,Partner_Voice!$A:$A,Partner_Voice!L:L,"",0)="Free","Free",IF(XLOOKUP($A49,Partner_Voice!$A:$A,Partner_Voice!L:L,"",0)="VL","VL",IF(XLOOKUP($A49,Partner_Voice!$A:$A,Partner_Voice!L:L,"",0)="ATT","ATT",XLOOKUP($A49,Partner_Voice!$A:$A,Partner_Voice!L:L,"",0))))</f>
        <v>0.3333333333</v>
      </c>
      <c r="M49" s="42">
        <f t="array" ref="M49">IF(XLOOKUP($A49,Partner_Voice!$A:$A,Partner_Voice!M:M,"",0)="Free","Free",IF(XLOOKUP($A49,Partner_Voice!$A:$A,Partner_Voice!M:M,"",0)="VL","VL",IF(XLOOKUP($A49,Partner_Voice!$A:$A,Partner_Voice!M:M,"",0)="ATT","ATT",XLOOKUP($A49,Partner_Voice!$A:$A,Partner_Voice!M:M,"",0))))</f>
        <v>0.3333333333</v>
      </c>
      <c r="N49" s="42">
        <f t="array" ref="N49">IF(XLOOKUP($A49,Partner_Voice!$A:$A,Partner_Voice!N:N,"",0)="Free","Free",IF(XLOOKUP($A49,Partner_Voice!$A:$A,Partner_Voice!N:N,"",0)="VL","VL",IF(XLOOKUP($A49,Partner_Voice!$A:$A,Partner_Voice!N:N,"",0)="ATT","ATT",XLOOKUP($A49,Partner_Voice!$A:$A,Partner_Voice!N:N,"",0))))</f>
        <v>0.3333333333</v>
      </c>
      <c r="O49" s="42">
        <f t="array" ref="O49">IF(XLOOKUP($A49,Partner_Voice!$A:$A,Partner_Voice!O:O,"",0)="Free","Free",IF(XLOOKUP($A49,Partner_Voice!$A:$A,Partner_Voice!O:O,"",0)="VL","VL",IF(XLOOKUP($A49,Partner_Voice!$A:$A,Partner_Voice!O:O,"",0)="ATT","ATT",XLOOKUP($A49,Partner_Voice!$A:$A,Partner_Voice!O:O,"",0))))</f>
        <v>0.3333333333</v>
      </c>
      <c r="P49" s="42">
        <f t="array" ref="P49">IF(XLOOKUP($A49,Partner_Voice!$A:$A,Partner_Voice!P:P,"",0)="Free","Free",IF(XLOOKUP($A49,Partner_Voice!$A:$A,Partner_Voice!P:P,"",0)="VL","VL",IF(XLOOKUP($A49,Partner_Voice!$A:$A,Partner_Voice!P:P,"",0)="ATT","ATT",XLOOKUP($A49,Partner_Voice!$A:$A,Partner_Voice!P:P,"",0))))</f>
        <v>0.3333333333</v>
      </c>
      <c r="Q49" s="42" t="str">
        <f t="array" ref="Q49">IF(XLOOKUP($A49,Partner_Voice!$A:$A,Partner_Voice!Q:Q,"",0)="Free","Free",IF(XLOOKUP($A49,Partner_Voice!$A:$A,Partner_Voice!Q:Q,"",0)="VL","VL",IF(XLOOKUP($A49,Partner_Voice!$A:$A,Partner_Voice!Q:Q,"",0)="ATT","ATT",XLOOKUP($A49,Partner_Voice!$A:$A,Partner_Voice!Q:Q,"",0))))</f>
        <v>Free</v>
      </c>
      <c r="R49" s="43"/>
      <c r="S49" s="42">
        <f t="array" ref="S49">IF(XLOOKUP($A49,Partner_Voice!$A:$A,Partner_Voice!S:S,"",0)="Free","Free",IF(XLOOKUP($A49,Partner_Voice!$A:$A,Partner_Voice!S:S,"",0)="VL","VL",IF(XLOOKUP($A49,Partner_Voice!$A:$A,Partner_Voice!S:S,"",0)="ATT","ATT",XLOOKUP($A49,Partner_Voice!$A:$A,Partner_Voice!S:S,"",0))))</f>
        <v>0.3333333333</v>
      </c>
      <c r="T49" s="42">
        <f t="array" ref="T49">IF(XLOOKUP($A49,Partner_Voice!$A:$A,Partner_Voice!T:T,"",0)="Free","Free",IF(XLOOKUP($A49,Partner_Voice!$A:$A,Partner_Voice!T:T,"",0)="VL","VL",IF(XLOOKUP($A49,Partner_Voice!$A:$A,Partner_Voice!T:T,"",0)="ATT","ATT",XLOOKUP($A49,Partner_Voice!$A:$A,Partner_Voice!T:T,"",0))))</f>
        <v>0.3333333333</v>
      </c>
      <c r="U49" s="42">
        <f t="array" ref="U49">IF(XLOOKUP($A49,Partner_Voice!$A:$A,Partner_Voice!U:U,"",0)="Free","Free",IF(XLOOKUP($A49,Partner_Voice!$A:$A,Partner_Voice!U:U,"",0)="VL","VL",IF(XLOOKUP($A49,Partner_Voice!$A:$A,Partner_Voice!U:U,"",0)="ATT","ATT",XLOOKUP($A49,Partner_Voice!$A:$A,Partner_Voice!U:U,"",0))))</f>
        <v>0.3333333333</v>
      </c>
      <c r="V49" s="42">
        <f t="array" ref="V49">IF(XLOOKUP($A49,Partner_Voice!$A:$A,Partner_Voice!V:V,"",0)="Free","Free",IF(XLOOKUP($A49,Partner_Voice!$A:$A,Partner_Voice!V:V,"",0)="VL","VL",IF(XLOOKUP($A49,Partner_Voice!$A:$A,Partner_Voice!V:V,"",0)="ATT","ATT",XLOOKUP($A49,Partner_Voice!$A:$A,Partner_Voice!V:V,"",0))))</f>
        <v>0.3333333333</v>
      </c>
      <c r="W49" s="42">
        <f t="array" ref="W49">IF(XLOOKUP($A49,Partner_Voice!$A:$A,Partner_Voice!W:W,"",0)="Free","Free",IF(XLOOKUP($A49,Partner_Voice!$A:$A,Partner_Voice!W:W,"",0)="VL","VL",IF(XLOOKUP($A49,Partner_Voice!$A:$A,Partner_Voice!W:W,"",0)="ATT","ATT",XLOOKUP($A49,Partner_Voice!$A:$A,Partner_Voice!W:W,"",0))))</f>
        <v>0.3333333333</v>
      </c>
      <c r="X49" s="42" t="str">
        <f t="array" ref="X49">IF(XLOOKUP($A49,Partner_Voice!$A:$A,Partner_Voice!X:X,"",0)="Free","Free",IF(XLOOKUP($A49,Partner_Voice!$A:$A,Partner_Voice!X:X,"",0)="VL","VL",IF(XLOOKUP($A49,Partner_Voice!$A:$A,Partner_Voice!X:X,"",0)="ATT","ATT",XLOOKUP($A49,Partner_Voice!$A:$A,Partner_Voice!X:X,"",0))))</f>
        <v>Free</v>
      </c>
      <c r="Y49" s="43"/>
      <c r="Z49" s="42">
        <f t="array" ref="Z49">IF(XLOOKUP($A49,Partner_Voice!$A:$A,Partner_Voice!Z:Z,"",0)="Free","Free",IF(XLOOKUP($A49,Partner_Voice!$A:$A,Partner_Voice!Z:Z,"",0)="VL","VL",IF(XLOOKUP($A49,Partner_Voice!$A:$A,Partner_Voice!Z:Z,"",0)="ATT","ATT",XLOOKUP($A49,Partner_Voice!$A:$A,Partner_Voice!Z:Z,"",0))))</f>
        <v>0.3333333333</v>
      </c>
      <c r="AA49" s="42">
        <f t="array" ref="AA49">IF(XLOOKUP($A49,Partner_Voice!$A:$A,Partner_Voice!AA:AA,"",0)="Free","Free",IF(XLOOKUP($A49,Partner_Voice!$A:$A,Partner_Voice!AA:AA,"",0)="VL","VL",IF(XLOOKUP($A49,Partner_Voice!$A:$A,Partner_Voice!AA:AA,"",0)="ATT","ATT",XLOOKUP($A49,Partner_Voice!$A:$A,Partner_Voice!AA:AA,"",0))))</f>
        <v>0.3333333333</v>
      </c>
      <c r="AB49" s="42">
        <f t="array" ref="AB49">IF(XLOOKUP($A49,Partner_Voice!$A:$A,Partner_Voice!AB:AB,"",0)="Free","Free",IF(XLOOKUP($A49,Partner_Voice!$A:$A,Partner_Voice!AB:AB,"",0)="VL","VL",IF(XLOOKUP($A49,Partner_Voice!$A:$A,Partner_Voice!AB:AB,"",0)="ATT","ATT",XLOOKUP($A49,Partner_Voice!$A:$A,Partner_Voice!AB:AB,"",0))))</f>
        <v>0.3333333333</v>
      </c>
      <c r="AC49" s="42">
        <f t="array" ref="AC49">IF(XLOOKUP($A49,Partner_Voice!$A:$A,Partner_Voice!AC:AC,"",0)="Free","Free",IF(XLOOKUP($A49,Partner_Voice!$A:$A,Partner_Voice!AC:AC,"",0)="VL","VL",IF(XLOOKUP($A49,Partner_Voice!$A:$A,Partner_Voice!AC:AC,"",0)="ATT","ATT",XLOOKUP($A49,Partner_Voice!$A:$A,Partner_Voice!AC:AC,"",0))))</f>
        <v>0.3333333333</v>
      </c>
      <c r="AD49" s="42">
        <f t="array" ref="AD49">IF(XLOOKUP($A49,Partner_Voice!$A:$A,Partner_Voice!AD:AD,"",0)="Free","Free",IF(XLOOKUP($A49,Partner_Voice!$A:$A,Partner_Voice!AD:AD,"",0)="VL","VL",IF(XLOOKUP($A49,Partner_Voice!$A:$A,Partner_Voice!AD:AD,"",0)="ATT","ATT",XLOOKUP($A49,Partner_Voice!$A:$A,Partner_Voice!AD:AD,"",0))))</f>
        <v>0.3333333333</v>
      </c>
      <c r="AE49" s="42" t="str">
        <f t="array" ref="AE49">IF(XLOOKUP($A49,Partner_Voice!$A:$A,Partner_Voice!AE:AE,"",0)="Free","Free",IF(XLOOKUP($A49,Partner_Voice!$A:$A,Partner_Voice!AE:AE,"",0)="VL","VL",IF(XLOOKUP($A49,Partner_Voice!$A:$A,Partner_Voice!AE:AE,"",0)="ATT","ATT",XLOOKUP($A49,Partner_Voice!$A:$A,Partner_Voice!AE:AE,"",0))))</f>
        <v>Free</v>
      </c>
      <c r="AF49" s="69"/>
      <c r="AG49" s="42">
        <f t="array" ref="AG49">IF(XLOOKUP($A49,Partner_Voice!$A:$A,Partner_Voice!AG:AG,"",0)="Free","Free",IF(XLOOKUP($A49,Partner_Voice!$A:$A,Partner_Voice!AG:AG,"",0)="VL","VL",IF(XLOOKUP($A49,Partner_Voice!$A:$A,Partner_Voice!AG:AG,"",0)="ATT","ATT",XLOOKUP($A49,Partner_Voice!$A:$A,Partner_Voice!AG:AG,"",0))))</f>
        <v>0.3333333333</v>
      </c>
      <c r="AH49" s="42">
        <f t="array" ref="AH49">IF(XLOOKUP($A49,Partner_Voice!$A:$A,Partner_Voice!AH:AH,"",0)="Free","Free",IF(XLOOKUP($A49,Partner_Voice!$A:$A,Partner_Voice!AH:AH,"",0)="VL","VL",IF(XLOOKUP($A49,Partner_Voice!$A:$A,Partner_Voice!AH:AH,"",0)="ATT","ATT",XLOOKUP($A49,Partner_Voice!$A:$A,Partner_Voice!AH:AH,"",0))))</f>
        <v>0.3333333333</v>
      </c>
      <c r="AI49" s="42">
        <f t="array" ref="AI49">IF(XLOOKUP($A49,Partner_Voice!$A:$A,Partner_Voice!AI:AI,"",0)="Free","Free",IF(XLOOKUP($A49,Partner_Voice!$A:$A,Partner_Voice!AI:AI,"",0)="VL","VL",IF(XLOOKUP($A49,Partner_Voice!$A:$A,Partner_Voice!AI:AI,"",0)="ATT","ATT",XLOOKUP($A49,Partner_Voice!$A:$A,Partner_Voice!AI:AI,"",0))))</f>
        <v>0.3333333333</v>
      </c>
      <c r="AJ49" s="42">
        <f t="array" ref="AJ49">IF(XLOOKUP($A49,Partner_Voice!$A:$A,Partner_Voice!AJ:AJ,"",0)="Free","Free",IF(XLOOKUP($A49,Partner_Voice!$A:$A,Partner_Voice!AJ:AJ,"",0)="VL","VL",IF(XLOOKUP($A49,Partner_Voice!$A:$A,Partner_Voice!AJ:AJ,"",0)="ATT","ATT",XLOOKUP($A49,Partner_Voice!$A:$A,Partner_Voice!AJ:AJ,"",0))))</f>
        <v>0.3333333333</v>
      </c>
      <c r="AK49" s="42">
        <f t="array" ref="AK49">IF(XLOOKUP($A49,Partner_Voice!$A:$A,Partner_Voice!AK:AK,"",0)="Free","Free",IF(XLOOKUP($A49,Partner_Voice!$A:$A,Partner_Voice!AK:AK,"",0)="VL","VL",IF(XLOOKUP($A49,Partner_Voice!$A:$A,Partner_Voice!AK:AK,"",0)="ATT","ATT",XLOOKUP($A49,Partner_Voice!$A:$A,Partner_Voice!AK:AK,"",0))))</f>
        <v>0.3333333333</v>
      </c>
      <c r="AL49" s="42" t="str">
        <f t="array" ref="AL49">IF(XLOOKUP($A49,Partner_Voice!$A:$A,Partner_Voice!AL:AL,"",0)="Free","Free",IF(XLOOKUP($A49,Partner_Voice!$A:$A,Partner_Voice!AL:AL,"",0)="VL","VL",IF(XLOOKUP($A49,Partner_Voice!$A:$A,Partner_Voice!AL:AL,"",0)="ATT","ATT",XLOOKUP($A49,Partner_Voice!$A:$A,Partner_Voice!AL:AL,"",0))))</f>
        <v>Free</v>
      </c>
      <c r="AM49" s="42"/>
    </row>
    <row r="50">
      <c r="A50" s="47" t="s">
        <v>60</v>
      </c>
      <c r="B50" s="35" t="str">
        <f t="array" ref="B50">XLOOKUP(A50,Roster!F:F,Roster!A:A,"")</f>
        <v>Martin Salazar</v>
      </c>
      <c r="C50" s="35" t="str">
        <f t="array" ref="C50">XLOOKUP(A50,Roster!F:F,Roster!B:B,"")</f>
        <v>Luisa Gonzalez</v>
      </c>
      <c r="D50" s="70"/>
      <c r="E50" s="42">
        <f t="array" ref="E50">IF(XLOOKUP($A50,Partner_Voice!$A:$A,Partner_Voice!E:E,"",0)="Free","Free",IF(XLOOKUP($A50,Partner_Voice!$A:$A,Partner_Voice!E:E,"",0)="VL","VL",IF(XLOOKUP($A50,Partner_Voice!$A:$A,Partner_Voice!E:E,"",0)="ATT","ATT",XLOOKUP($A50,Partner_Voice!$A:$A,Partner_Voice!E:E,"",0))))</f>
        <v>0.3333333333</v>
      </c>
      <c r="F50" s="42">
        <f t="array" ref="F50">IF(XLOOKUP($A50,Partner_Voice!$A:$A,Partner_Voice!F:F,"",0)="Free","Free",IF(XLOOKUP($A50,Partner_Voice!$A:$A,Partner_Voice!F:F,"",0)="VL","VL",IF(XLOOKUP($A50,Partner_Voice!$A:$A,Partner_Voice!F:F,"",0)="ATT","ATT",XLOOKUP($A50,Partner_Voice!$A:$A,Partner_Voice!F:F,"",0))))</f>
        <v>0.3333333333</v>
      </c>
      <c r="G50" s="42">
        <f t="array" ref="G50">IF(XLOOKUP($A50,Partner_Voice!$A:$A,Partner_Voice!G:G,"",0)="Free","Free",IF(XLOOKUP($A50,Partner_Voice!$A:$A,Partner_Voice!G:G,"",0)="VL","VL",IF(XLOOKUP($A50,Partner_Voice!$A:$A,Partner_Voice!G:G,"",0)="ATT","ATT",XLOOKUP($A50,Partner_Voice!$A:$A,Partner_Voice!G:G,"",0))))</f>
        <v>0.3333333333</v>
      </c>
      <c r="H50" s="42">
        <f t="array" ref="H50">IF(XLOOKUP($A50,Partner_Voice!$A:$A,Partner_Voice!H:H,"",0)="Free","Free",IF(XLOOKUP($A50,Partner_Voice!$A:$A,Partner_Voice!H:H,"",0)="VL","VL",IF(XLOOKUP($A50,Partner_Voice!$A:$A,Partner_Voice!H:H,"",0)="ATT","ATT",XLOOKUP($A50,Partner_Voice!$A:$A,Partner_Voice!H:H,"",0))))</f>
        <v>0.3333333333</v>
      </c>
      <c r="I50" s="42">
        <f t="array" ref="I50">IF(XLOOKUP($A50,Partner_Voice!$A:$A,Partner_Voice!I:I,"",0)="Free","Free",IF(XLOOKUP($A50,Partner_Voice!$A:$A,Partner_Voice!I:I,"",0)="VL","VL",IF(XLOOKUP($A50,Partner_Voice!$A:$A,Partner_Voice!I:I,"",0)="ATT","ATT",XLOOKUP($A50,Partner_Voice!$A:$A,Partner_Voice!I:I,"",0))))</f>
        <v>0.3333333333</v>
      </c>
      <c r="J50" s="42" t="str">
        <f t="array" ref="J50">IF(XLOOKUP($A50,Partner_Voice!$A:$A,Partner_Voice!J:J,"",0)="Free","Free",IF(XLOOKUP($A50,Partner_Voice!$A:$A,Partner_Voice!J:J,"",0)="VL","VL",IF(XLOOKUP($A50,Partner_Voice!$A:$A,Partner_Voice!J:J,"",0)="ATT","ATT",XLOOKUP($A50,Partner_Voice!$A:$A,Partner_Voice!J:J,"",0))))</f>
        <v>Free</v>
      </c>
      <c r="K50" s="42"/>
      <c r="L50" s="42">
        <f t="array" ref="L50">IF(XLOOKUP($A50,Partner_Voice!$A:$A,Partner_Voice!L:L,"",0)="Free","Free",IF(XLOOKUP($A50,Partner_Voice!$A:$A,Partner_Voice!L:L,"",0)="VL","VL",IF(XLOOKUP($A50,Partner_Voice!$A:$A,Partner_Voice!L:L,"",0)="ATT","ATT",XLOOKUP($A50,Partner_Voice!$A:$A,Partner_Voice!L:L,"",0))))</f>
        <v>0.3333333333</v>
      </c>
      <c r="M50" s="42">
        <f t="array" ref="M50">IF(XLOOKUP($A50,Partner_Voice!$A:$A,Partner_Voice!M:M,"",0)="Free","Free",IF(XLOOKUP($A50,Partner_Voice!$A:$A,Partner_Voice!M:M,"",0)="VL","VL",IF(XLOOKUP($A50,Partner_Voice!$A:$A,Partner_Voice!M:M,"",0)="ATT","ATT",XLOOKUP($A50,Partner_Voice!$A:$A,Partner_Voice!M:M,"",0))))</f>
        <v>0.3333333333</v>
      </c>
      <c r="N50" s="42">
        <f t="array" ref="N50">IF(XLOOKUP($A50,Partner_Voice!$A:$A,Partner_Voice!N:N,"",0)="Free","Free",IF(XLOOKUP($A50,Partner_Voice!$A:$A,Partner_Voice!N:N,"",0)="VL","VL",IF(XLOOKUP($A50,Partner_Voice!$A:$A,Partner_Voice!N:N,"",0)="ATT","ATT",XLOOKUP($A50,Partner_Voice!$A:$A,Partner_Voice!N:N,"",0))))</f>
        <v>0.3333333333</v>
      </c>
      <c r="O50" s="42">
        <f t="array" ref="O50">IF(XLOOKUP($A50,Partner_Voice!$A:$A,Partner_Voice!O:O,"",0)="Free","Free",IF(XLOOKUP($A50,Partner_Voice!$A:$A,Partner_Voice!O:O,"",0)="VL","VL",IF(XLOOKUP($A50,Partner_Voice!$A:$A,Partner_Voice!O:O,"",0)="ATT","ATT",XLOOKUP($A50,Partner_Voice!$A:$A,Partner_Voice!O:O,"",0))))</f>
        <v>0.3333333333</v>
      </c>
      <c r="P50" s="42">
        <f t="array" ref="P50">IF(XLOOKUP($A50,Partner_Voice!$A:$A,Partner_Voice!P:P,"",0)="Free","Free",IF(XLOOKUP($A50,Partner_Voice!$A:$A,Partner_Voice!P:P,"",0)="VL","VL",IF(XLOOKUP($A50,Partner_Voice!$A:$A,Partner_Voice!P:P,"",0)="ATT","ATT",XLOOKUP($A50,Partner_Voice!$A:$A,Partner_Voice!P:P,"",0))))</f>
        <v>0.3333333333</v>
      </c>
      <c r="Q50" s="42" t="str">
        <f t="array" ref="Q50">IF(XLOOKUP($A50,Partner_Voice!$A:$A,Partner_Voice!Q:Q,"",0)="Free","Free",IF(XLOOKUP($A50,Partner_Voice!$A:$A,Partner_Voice!Q:Q,"",0)="VL","VL",IF(XLOOKUP($A50,Partner_Voice!$A:$A,Partner_Voice!Q:Q,"",0)="ATT","ATT",XLOOKUP($A50,Partner_Voice!$A:$A,Partner_Voice!Q:Q,"",0))))</f>
        <v>Free</v>
      </c>
      <c r="R50" s="43"/>
      <c r="S50" s="42">
        <f t="array" ref="S50">IF(XLOOKUP($A50,Partner_Voice!$A:$A,Partner_Voice!S:S,"",0)="Free","Free",IF(XLOOKUP($A50,Partner_Voice!$A:$A,Partner_Voice!S:S,"",0)="VL","VL",IF(XLOOKUP($A50,Partner_Voice!$A:$A,Partner_Voice!S:S,"",0)="ATT","ATT",XLOOKUP($A50,Partner_Voice!$A:$A,Partner_Voice!S:S,"",0))))</f>
        <v>0.3333333333</v>
      </c>
      <c r="T50" s="42">
        <f t="array" ref="T50">IF(XLOOKUP($A50,Partner_Voice!$A:$A,Partner_Voice!T:T,"",0)="Free","Free",IF(XLOOKUP($A50,Partner_Voice!$A:$A,Partner_Voice!T:T,"",0)="VL","VL",IF(XLOOKUP($A50,Partner_Voice!$A:$A,Partner_Voice!T:T,"",0)="ATT","ATT",XLOOKUP($A50,Partner_Voice!$A:$A,Partner_Voice!T:T,"",0))))</f>
        <v>0.3333333333</v>
      </c>
      <c r="U50" s="42">
        <f t="array" ref="U50">IF(XLOOKUP($A50,Partner_Voice!$A:$A,Partner_Voice!U:U,"",0)="Free","Free",IF(XLOOKUP($A50,Partner_Voice!$A:$A,Partner_Voice!U:U,"",0)="VL","VL",IF(XLOOKUP($A50,Partner_Voice!$A:$A,Partner_Voice!U:U,"",0)="ATT","ATT",XLOOKUP($A50,Partner_Voice!$A:$A,Partner_Voice!U:U,"",0))))</f>
        <v>0.3333333333</v>
      </c>
      <c r="V50" s="42">
        <f t="array" ref="V50">IF(XLOOKUP($A50,Partner_Voice!$A:$A,Partner_Voice!V:V,"",0)="Free","Free",IF(XLOOKUP($A50,Partner_Voice!$A:$A,Partner_Voice!V:V,"",0)="VL","VL",IF(XLOOKUP($A50,Partner_Voice!$A:$A,Partner_Voice!V:V,"",0)="ATT","ATT",XLOOKUP($A50,Partner_Voice!$A:$A,Partner_Voice!V:V,"",0))))</f>
        <v>0.3333333333</v>
      </c>
      <c r="W50" s="42">
        <f t="array" ref="W50">IF(XLOOKUP($A50,Partner_Voice!$A:$A,Partner_Voice!W:W,"",0)="Free","Free",IF(XLOOKUP($A50,Partner_Voice!$A:$A,Partner_Voice!W:W,"",0)="VL","VL",IF(XLOOKUP($A50,Partner_Voice!$A:$A,Partner_Voice!W:W,"",0)="ATT","ATT",XLOOKUP($A50,Partner_Voice!$A:$A,Partner_Voice!W:W,"",0))))</f>
        <v>0.3333333333</v>
      </c>
      <c r="X50" s="42" t="str">
        <f t="array" ref="X50">IF(XLOOKUP($A50,Partner_Voice!$A:$A,Partner_Voice!X:X,"",0)="Free","Free",IF(XLOOKUP($A50,Partner_Voice!$A:$A,Partner_Voice!X:X,"",0)="VL","VL",IF(XLOOKUP($A50,Partner_Voice!$A:$A,Partner_Voice!X:X,"",0)="ATT","ATT",XLOOKUP($A50,Partner_Voice!$A:$A,Partner_Voice!X:X,"",0))))</f>
        <v>Free</v>
      </c>
      <c r="Y50" s="43"/>
      <c r="Z50" s="42">
        <f t="array" ref="Z50">IF(XLOOKUP($A50,Partner_Voice!$A:$A,Partner_Voice!Z:Z,"",0)="Free","Free",IF(XLOOKUP($A50,Partner_Voice!$A:$A,Partner_Voice!Z:Z,"",0)="VL","VL",IF(XLOOKUP($A50,Partner_Voice!$A:$A,Partner_Voice!Z:Z,"",0)="ATT","ATT",XLOOKUP($A50,Partner_Voice!$A:$A,Partner_Voice!Z:Z,"",0))))</f>
        <v>0.3333333333</v>
      </c>
      <c r="AA50" s="42">
        <f t="array" ref="AA50">IF(XLOOKUP($A50,Partner_Voice!$A:$A,Partner_Voice!AA:AA,"",0)="Free","Free",IF(XLOOKUP($A50,Partner_Voice!$A:$A,Partner_Voice!AA:AA,"",0)="VL","VL",IF(XLOOKUP($A50,Partner_Voice!$A:$A,Partner_Voice!AA:AA,"",0)="ATT","ATT",XLOOKUP($A50,Partner_Voice!$A:$A,Partner_Voice!AA:AA,"",0))))</f>
        <v>0.3333333333</v>
      </c>
      <c r="AB50" s="42">
        <f t="array" ref="AB50">IF(XLOOKUP($A50,Partner_Voice!$A:$A,Partner_Voice!AB:AB,"",0)="Free","Free",IF(XLOOKUP($A50,Partner_Voice!$A:$A,Partner_Voice!AB:AB,"",0)="VL","VL",IF(XLOOKUP($A50,Partner_Voice!$A:$A,Partner_Voice!AB:AB,"",0)="ATT","ATT",XLOOKUP($A50,Partner_Voice!$A:$A,Partner_Voice!AB:AB,"",0))))</f>
        <v>0.3333333333</v>
      </c>
      <c r="AC50" s="42">
        <f t="array" ref="AC50">IF(XLOOKUP($A50,Partner_Voice!$A:$A,Partner_Voice!AC:AC,"",0)="Free","Free",IF(XLOOKUP($A50,Partner_Voice!$A:$A,Partner_Voice!AC:AC,"",0)="VL","VL",IF(XLOOKUP($A50,Partner_Voice!$A:$A,Partner_Voice!AC:AC,"",0)="ATT","ATT",XLOOKUP($A50,Partner_Voice!$A:$A,Partner_Voice!AC:AC,"",0))))</f>
        <v>0.3333333333</v>
      </c>
      <c r="AD50" s="42">
        <f t="array" ref="AD50">IF(XLOOKUP($A50,Partner_Voice!$A:$A,Partner_Voice!AD:AD,"",0)="Free","Free",IF(XLOOKUP($A50,Partner_Voice!$A:$A,Partner_Voice!AD:AD,"",0)="VL","VL",IF(XLOOKUP($A50,Partner_Voice!$A:$A,Partner_Voice!AD:AD,"",0)="ATT","ATT",XLOOKUP($A50,Partner_Voice!$A:$A,Partner_Voice!AD:AD,"",0))))</f>
        <v>0.3333333333</v>
      </c>
      <c r="AE50" s="42" t="str">
        <f t="array" ref="AE50">IF(XLOOKUP($A50,Partner_Voice!$A:$A,Partner_Voice!AE:AE,"",0)="Free","Free",IF(XLOOKUP($A50,Partner_Voice!$A:$A,Partner_Voice!AE:AE,"",0)="VL","VL",IF(XLOOKUP($A50,Partner_Voice!$A:$A,Partner_Voice!AE:AE,"",0)="ATT","ATT",XLOOKUP($A50,Partner_Voice!$A:$A,Partner_Voice!AE:AE,"",0))))</f>
        <v>Free</v>
      </c>
      <c r="AF50" s="69"/>
      <c r="AG50" s="42">
        <f t="array" ref="AG50">IF(XLOOKUP($A50,Partner_Voice!$A:$A,Partner_Voice!AG:AG,"",0)="Free","Free",IF(XLOOKUP($A50,Partner_Voice!$A:$A,Partner_Voice!AG:AG,"",0)="VL","VL",IF(XLOOKUP($A50,Partner_Voice!$A:$A,Partner_Voice!AG:AG,"",0)="ATT","ATT",XLOOKUP($A50,Partner_Voice!$A:$A,Partner_Voice!AG:AG,"",0))))</f>
        <v>0.3333333333</v>
      </c>
      <c r="AH50" s="42">
        <f t="array" ref="AH50">IF(XLOOKUP($A50,Partner_Voice!$A:$A,Partner_Voice!AH:AH,"",0)="Free","Free",IF(XLOOKUP($A50,Partner_Voice!$A:$A,Partner_Voice!AH:AH,"",0)="VL","VL",IF(XLOOKUP($A50,Partner_Voice!$A:$A,Partner_Voice!AH:AH,"",0)="ATT","ATT",XLOOKUP($A50,Partner_Voice!$A:$A,Partner_Voice!AH:AH,"",0))))</f>
        <v>0.3333333333</v>
      </c>
      <c r="AI50" s="42">
        <f t="array" ref="AI50">IF(XLOOKUP($A50,Partner_Voice!$A:$A,Partner_Voice!AI:AI,"",0)="Free","Free",IF(XLOOKUP($A50,Partner_Voice!$A:$A,Partner_Voice!AI:AI,"",0)="VL","VL",IF(XLOOKUP($A50,Partner_Voice!$A:$A,Partner_Voice!AI:AI,"",0)="ATT","ATT",XLOOKUP($A50,Partner_Voice!$A:$A,Partner_Voice!AI:AI,"",0))))</f>
        <v>0.3333333333</v>
      </c>
      <c r="AJ50" s="42">
        <f t="array" ref="AJ50">IF(XLOOKUP($A50,Partner_Voice!$A:$A,Partner_Voice!AJ:AJ,"",0)="Free","Free",IF(XLOOKUP($A50,Partner_Voice!$A:$A,Partner_Voice!AJ:AJ,"",0)="VL","VL",IF(XLOOKUP($A50,Partner_Voice!$A:$A,Partner_Voice!AJ:AJ,"",0)="ATT","ATT",XLOOKUP($A50,Partner_Voice!$A:$A,Partner_Voice!AJ:AJ,"",0))))</f>
        <v>0.3333333333</v>
      </c>
      <c r="AK50" s="42">
        <f t="array" ref="AK50">IF(XLOOKUP($A50,Partner_Voice!$A:$A,Partner_Voice!AK:AK,"",0)="Free","Free",IF(XLOOKUP($A50,Partner_Voice!$A:$A,Partner_Voice!AK:AK,"",0)="VL","VL",IF(XLOOKUP($A50,Partner_Voice!$A:$A,Partner_Voice!AK:AK,"",0)="ATT","ATT",XLOOKUP($A50,Partner_Voice!$A:$A,Partner_Voice!AK:AK,"",0))))</f>
        <v>0.3333333333</v>
      </c>
      <c r="AL50" s="42" t="str">
        <f t="array" ref="AL50">IF(XLOOKUP($A50,Partner_Voice!$A:$A,Partner_Voice!AL:AL,"",0)="Free","Free",IF(XLOOKUP($A50,Partner_Voice!$A:$A,Partner_Voice!AL:AL,"",0)="VL","VL",IF(XLOOKUP($A50,Partner_Voice!$A:$A,Partner_Voice!AL:AL,"",0)="ATT","ATT",XLOOKUP($A50,Partner_Voice!$A:$A,Partner_Voice!AL:AL,"",0))))</f>
        <v>Free</v>
      </c>
      <c r="AM50" s="42"/>
    </row>
    <row r="51">
      <c r="A51" s="47" t="s">
        <v>63</v>
      </c>
      <c r="B51" s="35" t="str">
        <f t="array" ref="B51">XLOOKUP(A51,Roster!F:F,Roster!A:A,"")</f>
        <v>Martin Salazar</v>
      </c>
      <c r="C51" s="35" t="str">
        <f t="array" ref="C51">XLOOKUP(A51,Roster!F:F,Roster!B:B,"")</f>
        <v>Maria Mesa</v>
      </c>
      <c r="D51" s="70"/>
      <c r="E51" s="42">
        <f t="array" ref="E51">IF(XLOOKUP($A51,Partner_Voice!$A:$A,Partner_Voice!E:E,"",0)="Free","Free",IF(XLOOKUP($A51,Partner_Voice!$A:$A,Partner_Voice!E:E,"",0)="VL","VL",IF(XLOOKUP($A51,Partner_Voice!$A:$A,Partner_Voice!E:E,"",0)="ATT","ATT",XLOOKUP($A51,Partner_Voice!$A:$A,Partner_Voice!E:E,"",0))))</f>
        <v>0.3333333333</v>
      </c>
      <c r="F51" s="42">
        <f t="array" ref="F51">IF(XLOOKUP($A51,Partner_Voice!$A:$A,Partner_Voice!F:F,"",0)="Free","Free",IF(XLOOKUP($A51,Partner_Voice!$A:$A,Partner_Voice!F:F,"",0)="VL","VL",IF(XLOOKUP($A51,Partner_Voice!$A:$A,Partner_Voice!F:F,"",0)="ATT","ATT",XLOOKUP($A51,Partner_Voice!$A:$A,Partner_Voice!F:F,"",0))))</f>
        <v>0.3333333333</v>
      </c>
      <c r="G51" s="42">
        <f t="array" ref="G51">IF(XLOOKUP($A51,Partner_Voice!$A:$A,Partner_Voice!G:G,"",0)="Free","Free",IF(XLOOKUP($A51,Partner_Voice!$A:$A,Partner_Voice!G:G,"",0)="VL","VL",IF(XLOOKUP($A51,Partner_Voice!$A:$A,Partner_Voice!G:G,"",0)="ATT","ATT",XLOOKUP($A51,Partner_Voice!$A:$A,Partner_Voice!G:G,"",0))))</f>
        <v>0.3333333333</v>
      </c>
      <c r="H51" s="42">
        <f t="array" ref="H51">IF(XLOOKUP($A51,Partner_Voice!$A:$A,Partner_Voice!H:H,"",0)="Free","Free",IF(XLOOKUP($A51,Partner_Voice!$A:$A,Partner_Voice!H:H,"",0)="VL","VL",IF(XLOOKUP($A51,Partner_Voice!$A:$A,Partner_Voice!H:H,"",0)="ATT","ATT",XLOOKUP($A51,Partner_Voice!$A:$A,Partner_Voice!H:H,"",0))))</f>
        <v>0.3333333333</v>
      </c>
      <c r="I51" s="42">
        <f t="array" ref="I51">IF(XLOOKUP($A51,Partner_Voice!$A:$A,Partner_Voice!I:I,"",0)="Free","Free",IF(XLOOKUP($A51,Partner_Voice!$A:$A,Partner_Voice!I:I,"",0)="VL","VL",IF(XLOOKUP($A51,Partner_Voice!$A:$A,Partner_Voice!I:I,"",0)="ATT","ATT",XLOOKUP($A51,Partner_Voice!$A:$A,Partner_Voice!I:I,"",0))))</f>
        <v>0.3333333333</v>
      </c>
      <c r="J51" s="42" t="str">
        <f t="array" ref="J51">IF(XLOOKUP($A51,Partner_Voice!$A:$A,Partner_Voice!J:J,"",0)="Free","Free",IF(XLOOKUP($A51,Partner_Voice!$A:$A,Partner_Voice!J:J,"",0)="VL","VL",IF(XLOOKUP($A51,Partner_Voice!$A:$A,Partner_Voice!J:J,"",0)="ATT","ATT",XLOOKUP($A51,Partner_Voice!$A:$A,Partner_Voice!J:J,"",0))))</f>
        <v>Free</v>
      </c>
      <c r="K51" s="42"/>
      <c r="L51" s="42">
        <f t="array" ref="L51">IF(XLOOKUP($A51,Partner_Voice!$A:$A,Partner_Voice!L:L,"",0)="Free","Free",IF(XLOOKUP($A51,Partner_Voice!$A:$A,Partner_Voice!L:L,"",0)="VL","VL",IF(XLOOKUP($A51,Partner_Voice!$A:$A,Partner_Voice!L:L,"",0)="ATT","ATT",XLOOKUP($A51,Partner_Voice!$A:$A,Partner_Voice!L:L,"",0))))</f>
        <v>0.3333333333</v>
      </c>
      <c r="M51" s="42">
        <f t="array" ref="M51">IF(XLOOKUP($A51,Partner_Voice!$A:$A,Partner_Voice!M:M,"",0)="Free","Free",IF(XLOOKUP($A51,Partner_Voice!$A:$A,Partner_Voice!M:M,"",0)="VL","VL",IF(XLOOKUP($A51,Partner_Voice!$A:$A,Partner_Voice!M:M,"",0)="ATT","ATT",XLOOKUP($A51,Partner_Voice!$A:$A,Partner_Voice!M:M,"",0))))</f>
        <v>0.3333333333</v>
      </c>
      <c r="N51" s="42">
        <f t="array" ref="N51">IF(XLOOKUP($A51,Partner_Voice!$A:$A,Partner_Voice!N:N,"",0)="Free","Free",IF(XLOOKUP($A51,Partner_Voice!$A:$A,Partner_Voice!N:N,"",0)="VL","VL",IF(XLOOKUP($A51,Partner_Voice!$A:$A,Partner_Voice!N:N,"",0)="ATT","ATT",XLOOKUP($A51,Partner_Voice!$A:$A,Partner_Voice!N:N,"",0))))</f>
        <v>0.3333333333</v>
      </c>
      <c r="O51" s="42">
        <f t="array" ref="O51">IF(XLOOKUP($A51,Partner_Voice!$A:$A,Partner_Voice!O:O,"",0)="Free","Free",IF(XLOOKUP($A51,Partner_Voice!$A:$A,Partner_Voice!O:O,"",0)="VL","VL",IF(XLOOKUP($A51,Partner_Voice!$A:$A,Partner_Voice!O:O,"",0)="ATT","ATT",XLOOKUP($A51,Partner_Voice!$A:$A,Partner_Voice!O:O,"",0))))</f>
        <v>0.3333333333</v>
      </c>
      <c r="P51" s="42">
        <f t="array" ref="P51">IF(XLOOKUP($A51,Partner_Voice!$A:$A,Partner_Voice!P:P,"",0)="Free","Free",IF(XLOOKUP($A51,Partner_Voice!$A:$A,Partner_Voice!P:P,"",0)="VL","VL",IF(XLOOKUP($A51,Partner_Voice!$A:$A,Partner_Voice!P:P,"",0)="ATT","ATT",XLOOKUP($A51,Partner_Voice!$A:$A,Partner_Voice!P:P,"",0))))</f>
        <v>0.3333333333</v>
      </c>
      <c r="Q51" s="42" t="str">
        <f t="array" ref="Q51">IF(XLOOKUP($A51,Partner_Voice!$A:$A,Partner_Voice!Q:Q,"",0)="Free","Free",IF(XLOOKUP($A51,Partner_Voice!$A:$A,Partner_Voice!Q:Q,"",0)="VL","VL",IF(XLOOKUP($A51,Partner_Voice!$A:$A,Partner_Voice!Q:Q,"",0)="ATT","ATT",XLOOKUP($A51,Partner_Voice!$A:$A,Partner_Voice!Q:Q,"",0))))</f>
        <v>Free</v>
      </c>
      <c r="R51" s="43"/>
      <c r="S51" s="42">
        <f t="array" ref="S51">IF(XLOOKUP($A51,Partner_Voice!$A:$A,Partner_Voice!S:S,"",0)="Free","Free",IF(XLOOKUP($A51,Partner_Voice!$A:$A,Partner_Voice!S:S,"",0)="VL","VL",IF(XLOOKUP($A51,Partner_Voice!$A:$A,Partner_Voice!S:S,"",0)="ATT","ATT",XLOOKUP($A51,Partner_Voice!$A:$A,Partner_Voice!S:S,"",0))))</f>
        <v>0.3333333333</v>
      </c>
      <c r="T51" s="42">
        <f t="array" ref="T51">IF(XLOOKUP($A51,Partner_Voice!$A:$A,Partner_Voice!T:T,"",0)="Free","Free",IF(XLOOKUP($A51,Partner_Voice!$A:$A,Partner_Voice!T:T,"",0)="VL","VL",IF(XLOOKUP($A51,Partner_Voice!$A:$A,Partner_Voice!T:T,"",0)="ATT","ATT",XLOOKUP($A51,Partner_Voice!$A:$A,Partner_Voice!T:T,"",0))))</f>
        <v>0.3333333333</v>
      </c>
      <c r="U51" s="42">
        <f t="array" ref="U51">IF(XLOOKUP($A51,Partner_Voice!$A:$A,Partner_Voice!U:U,"",0)="Free","Free",IF(XLOOKUP($A51,Partner_Voice!$A:$A,Partner_Voice!U:U,"",0)="VL","VL",IF(XLOOKUP($A51,Partner_Voice!$A:$A,Partner_Voice!U:U,"",0)="ATT","ATT",XLOOKUP($A51,Partner_Voice!$A:$A,Partner_Voice!U:U,"",0))))</f>
        <v>0.3333333333</v>
      </c>
      <c r="V51" s="42">
        <f t="array" ref="V51">IF(XLOOKUP($A51,Partner_Voice!$A:$A,Partner_Voice!V:V,"",0)="Free","Free",IF(XLOOKUP($A51,Partner_Voice!$A:$A,Partner_Voice!V:V,"",0)="VL","VL",IF(XLOOKUP($A51,Partner_Voice!$A:$A,Partner_Voice!V:V,"",0)="ATT","ATT",XLOOKUP($A51,Partner_Voice!$A:$A,Partner_Voice!V:V,"",0))))</f>
        <v>0.3333333333</v>
      </c>
      <c r="W51" s="42">
        <f t="array" ref="W51">IF(XLOOKUP($A51,Partner_Voice!$A:$A,Partner_Voice!W:W,"",0)="Free","Free",IF(XLOOKUP($A51,Partner_Voice!$A:$A,Partner_Voice!W:W,"",0)="VL","VL",IF(XLOOKUP($A51,Partner_Voice!$A:$A,Partner_Voice!W:W,"",0)="ATT","ATT",XLOOKUP($A51,Partner_Voice!$A:$A,Partner_Voice!W:W,"",0))))</f>
        <v>0.3333333333</v>
      </c>
      <c r="X51" s="42" t="str">
        <f t="array" ref="X51">IF(XLOOKUP($A51,Partner_Voice!$A:$A,Partner_Voice!X:X,"",0)="Free","Free",IF(XLOOKUP($A51,Partner_Voice!$A:$A,Partner_Voice!X:X,"",0)="VL","VL",IF(XLOOKUP($A51,Partner_Voice!$A:$A,Partner_Voice!X:X,"",0)="ATT","ATT",XLOOKUP($A51,Partner_Voice!$A:$A,Partner_Voice!X:X,"",0))))</f>
        <v>Free</v>
      </c>
      <c r="Y51" s="43"/>
      <c r="Z51" s="42">
        <f t="array" ref="Z51">IF(XLOOKUP($A51,Partner_Voice!$A:$A,Partner_Voice!Z:Z,"",0)="Free","Free",IF(XLOOKUP($A51,Partner_Voice!$A:$A,Partner_Voice!Z:Z,"",0)="VL","VL",IF(XLOOKUP($A51,Partner_Voice!$A:$A,Partner_Voice!Z:Z,"",0)="ATT","ATT",XLOOKUP($A51,Partner_Voice!$A:$A,Partner_Voice!Z:Z,"",0))))</f>
        <v>0.3333333333</v>
      </c>
      <c r="AA51" s="42">
        <f t="array" ref="AA51">IF(XLOOKUP($A51,Partner_Voice!$A:$A,Partner_Voice!AA:AA,"",0)="Free","Free",IF(XLOOKUP($A51,Partner_Voice!$A:$A,Partner_Voice!AA:AA,"",0)="VL","VL",IF(XLOOKUP($A51,Partner_Voice!$A:$A,Partner_Voice!AA:AA,"",0)="ATT","ATT",XLOOKUP($A51,Partner_Voice!$A:$A,Partner_Voice!AA:AA,"",0))))</f>
        <v>0.3333333333</v>
      </c>
      <c r="AB51" s="42">
        <f t="array" ref="AB51">IF(XLOOKUP($A51,Partner_Voice!$A:$A,Partner_Voice!AB:AB,"",0)="Free","Free",IF(XLOOKUP($A51,Partner_Voice!$A:$A,Partner_Voice!AB:AB,"",0)="VL","VL",IF(XLOOKUP($A51,Partner_Voice!$A:$A,Partner_Voice!AB:AB,"",0)="ATT","ATT",XLOOKUP($A51,Partner_Voice!$A:$A,Partner_Voice!AB:AB,"",0))))</f>
        <v>0.3333333333</v>
      </c>
      <c r="AC51" s="42">
        <f t="array" ref="AC51">IF(XLOOKUP($A51,Partner_Voice!$A:$A,Partner_Voice!AC:AC,"",0)="Free","Free",IF(XLOOKUP($A51,Partner_Voice!$A:$A,Partner_Voice!AC:AC,"",0)="VL","VL",IF(XLOOKUP($A51,Partner_Voice!$A:$A,Partner_Voice!AC:AC,"",0)="ATT","ATT",XLOOKUP($A51,Partner_Voice!$A:$A,Partner_Voice!AC:AC,"",0))))</f>
        <v>0.3333333333</v>
      </c>
      <c r="AD51" s="42">
        <f t="array" ref="AD51">IF(XLOOKUP($A51,Partner_Voice!$A:$A,Partner_Voice!AD:AD,"",0)="Free","Free",IF(XLOOKUP($A51,Partner_Voice!$A:$A,Partner_Voice!AD:AD,"",0)="VL","VL",IF(XLOOKUP($A51,Partner_Voice!$A:$A,Partner_Voice!AD:AD,"",0)="ATT","ATT",XLOOKUP($A51,Partner_Voice!$A:$A,Partner_Voice!AD:AD,"",0))))</f>
        <v>0.3333333333</v>
      </c>
      <c r="AE51" s="42" t="str">
        <f t="array" ref="AE51">IF(XLOOKUP($A51,Partner_Voice!$A:$A,Partner_Voice!AE:AE,"",0)="Free","Free",IF(XLOOKUP($A51,Partner_Voice!$A:$A,Partner_Voice!AE:AE,"",0)="VL","VL",IF(XLOOKUP($A51,Partner_Voice!$A:$A,Partner_Voice!AE:AE,"",0)="ATT","ATT",XLOOKUP($A51,Partner_Voice!$A:$A,Partner_Voice!AE:AE,"",0))))</f>
        <v>Free</v>
      </c>
      <c r="AF51" s="69"/>
      <c r="AG51" s="42">
        <f t="array" ref="AG51">IF(XLOOKUP($A51,Partner_Voice!$A:$A,Partner_Voice!AG:AG,"",0)="Free","Free",IF(XLOOKUP($A51,Partner_Voice!$A:$A,Partner_Voice!AG:AG,"",0)="VL","VL",IF(XLOOKUP($A51,Partner_Voice!$A:$A,Partner_Voice!AG:AG,"",0)="ATT","ATT",XLOOKUP($A51,Partner_Voice!$A:$A,Partner_Voice!AG:AG,"",0))))</f>
        <v>0.3333333333</v>
      </c>
      <c r="AH51" s="42">
        <f t="array" ref="AH51">IF(XLOOKUP($A51,Partner_Voice!$A:$A,Partner_Voice!AH:AH,"",0)="Free","Free",IF(XLOOKUP($A51,Partner_Voice!$A:$A,Partner_Voice!AH:AH,"",0)="VL","VL",IF(XLOOKUP($A51,Partner_Voice!$A:$A,Partner_Voice!AH:AH,"",0)="ATT","ATT",XLOOKUP($A51,Partner_Voice!$A:$A,Partner_Voice!AH:AH,"",0))))</f>
        <v>0.3333333333</v>
      </c>
      <c r="AI51" s="42">
        <f t="array" ref="AI51">IF(XLOOKUP($A51,Partner_Voice!$A:$A,Partner_Voice!AI:AI,"",0)="Free","Free",IF(XLOOKUP($A51,Partner_Voice!$A:$A,Partner_Voice!AI:AI,"",0)="VL","VL",IF(XLOOKUP($A51,Partner_Voice!$A:$A,Partner_Voice!AI:AI,"",0)="ATT","ATT",XLOOKUP($A51,Partner_Voice!$A:$A,Partner_Voice!AI:AI,"",0))))</f>
        <v>0.3333333333</v>
      </c>
      <c r="AJ51" s="42">
        <f t="array" ref="AJ51">IF(XLOOKUP($A51,Partner_Voice!$A:$A,Partner_Voice!AJ:AJ,"",0)="Free","Free",IF(XLOOKUP($A51,Partner_Voice!$A:$A,Partner_Voice!AJ:AJ,"",0)="VL","VL",IF(XLOOKUP($A51,Partner_Voice!$A:$A,Partner_Voice!AJ:AJ,"",0)="ATT","ATT",XLOOKUP($A51,Partner_Voice!$A:$A,Partner_Voice!AJ:AJ,"",0))))</f>
        <v>0.3333333333</v>
      </c>
      <c r="AK51" s="42">
        <f t="array" ref="AK51">IF(XLOOKUP($A51,Partner_Voice!$A:$A,Partner_Voice!AK:AK,"",0)="Free","Free",IF(XLOOKUP($A51,Partner_Voice!$A:$A,Partner_Voice!AK:AK,"",0)="VL","VL",IF(XLOOKUP($A51,Partner_Voice!$A:$A,Partner_Voice!AK:AK,"",0)="ATT","ATT",XLOOKUP($A51,Partner_Voice!$A:$A,Partner_Voice!AK:AK,"",0))))</f>
        <v>0.3333333333</v>
      </c>
      <c r="AL51" s="42" t="str">
        <f t="array" ref="AL51">IF(XLOOKUP($A51,Partner_Voice!$A:$A,Partner_Voice!AL:AL,"",0)="Free","Free",IF(XLOOKUP($A51,Partner_Voice!$A:$A,Partner_Voice!AL:AL,"",0)="VL","VL",IF(XLOOKUP($A51,Partner_Voice!$A:$A,Partner_Voice!AL:AL,"",0)="ATT","ATT",XLOOKUP($A51,Partner_Voice!$A:$A,Partner_Voice!AL:AL,"",0))))</f>
        <v>Free</v>
      </c>
      <c r="AM51" s="42"/>
    </row>
    <row r="52">
      <c r="A52" s="47" t="s">
        <v>65</v>
      </c>
      <c r="B52" s="35" t="str">
        <f t="array" ref="B52">XLOOKUP(A52,Roster!F:F,Roster!A:A,"")</f>
        <v>Martin Salazar</v>
      </c>
      <c r="C52" s="35" t="str">
        <f t="array" ref="C52">XLOOKUP(A52,Roster!F:F,Roster!B:B,"")</f>
        <v>Mikel Bowie</v>
      </c>
      <c r="D52" s="70"/>
      <c r="E52" s="42">
        <f t="array" ref="E52">IF(XLOOKUP($A52,Partner_Voice!$A:$A,Partner_Voice!E:E,"",0)="Free","Free",IF(XLOOKUP($A52,Partner_Voice!$A:$A,Partner_Voice!E:E,"",0)="VL","VL",IF(XLOOKUP($A52,Partner_Voice!$A:$A,Partner_Voice!E:E,"",0)="ATT","ATT",XLOOKUP($A52,Partner_Voice!$A:$A,Partner_Voice!E:E,"",0))))</f>
        <v>0.3333333333</v>
      </c>
      <c r="F52" s="42">
        <f t="array" ref="F52">IF(XLOOKUP($A52,Partner_Voice!$A:$A,Partner_Voice!F:F,"",0)="Free","Free",IF(XLOOKUP($A52,Partner_Voice!$A:$A,Partner_Voice!F:F,"",0)="VL","VL",IF(XLOOKUP($A52,Partner_Voice!$A:$A,Partner_Voice!F:F,"",0)="ATT","ATT",XLOOKUP($A52,Partner_Voice!$A:$A,Partner_Voice!F:F,"",0))))</f>
        <v>0.3333333333</v>
      </c>
      <c r="G52" s="42">
        <f t="array" ref="G52">IF(XLOOKUP($A52,Partner_Voice!$A:$A,Partner_Voice!G:G,"",0)="Free","Free",IF(XLOOKUP($A52,Partner_Voice!$A:$A,Partner_Voice!G:G,"",0)="VL","VL",IF(XLOOKUP($A52,Partner_Voice!$A:$A,Partner_Voice!G:G,"",0)="ATT","ATT",XLOOKUP($A52,Partner_Voice!$A:$A,Partner_Voice!G:G,"",0))))</f>
        <v>0.3333333333</v>
      </c>
      <c r="H52" s="42">
        <f t="array" ref="H52">IF(XLOOKUP($A52,Partner_Voice!$A:$A,Partner_Voice!H:H,"",0)="Free","Free",IF(XLOOKUP($A52,Partner_Voice!$A:$A,Partner_Voice!H:H,"",0)="VL","VL",IF(XLOOKUP($A52,Partner_Voice!$A:$A,Partner_Voice!H:H,"",0)="ATT","ATT",XLOOKUP($A52,Partner_Voice!$A:$A,Partner_Voice!H:H,"",0))))</f>
        <v>0.3333333333</v>
      </c>
      <c r="I52" s="42">
        <f t="array" ref="I52">IF(XLOOKUP($A52,Partner_Voice!$A:$A,Partner_Voice!I:I,"",0)="Free","Free",IF(XLOOKUP($A52,Partner_Voice!$A:$A,Partner_Voice!I:I,"",0)="VL","VL",IF(XLOOKUP($A52,Partner_Voice!$A:$A,Partner_Voice!I:I,"",0)="ATT","ATT",XLOOKUP($A52,Partner_Voice!$A:$A,Partner_Voice!I:I,"",0))))</f>
        <v>0.3333333333</v>
      </c>
      <c r="J52" s="42" t="str">
        <f t="array" ref="J52">IF(XLOOKUP($A52,Partner_Voice!$A:$A,Partner_Voice!J:J,"",0)="Free","Free",IF(XLOOKUP($A52,Partner_Voice!$A:$A,Partner_Voice!J:J,"",0)="VL","VL",IF(XLOOKUP($A52,Partner_Voice!$A:$A,Partner_Voice!J:J,"",0)="ATT","ATT",XLOOKUP($A52,Partner_Voice!$A:$A,Partner_Voice!J:J,"",0))))</f>
        <v>Free</v>
      </c>
      <c r="K52" s="42"/>
      <c r="L52" s="42">
        <f t="array" ref="L52">IF(XLOOKUP($A52,Partner_Voice!$A:$A,Partner_Voice!L:L,"",0)="Free","Free",IF(XLOOKUP($A52,Partner_Voice!$A:$A,Partner_Voice!L:L,"",0)="VL","VL",IF(XLOOKUP($A52,Partner_Voice!$A:$A,Partner_Voice!L:L,"",0)="ATT","ATT",XLOOKUP($A52,Partner_Voice!$A:$A,Partner_Voice!L:L,"",0))))</f>
        <v>0.3333333333</v>
      </c>
      <c r="M52" s="42">
        <f t="array" ref="M52">IF(XLOOKUP($A52,Partner_Voice!$A:$A,Partner_Voice!M:M,"",0)="Free","Free",IF(XLOOKUP($A52,Partner_Voice!$A:$A,Partner_Voice!M:M,"",0)="VL","VL",IF(XLOOKUP($A52,Partner_Voice!$A:$A,Partner_Voice!M:M,"",0)="ATT","ATT",XLOOKUP($A52,Partner_Voice!$A:$A,Partner_Voice!M:M,"",0))))</f>
        <v>0.3333333333</v>
      </c>
      <c r="N52" s="42">
        <f t="array" ref="N52">IF(XLOOKUP($A52,Partner_Voice!$A:$A,Partner_Voice!N:N,"",0)="Free","Free",IF(XLOOKUP($A52,Partner_Voice!$A:$A,Partner_Voice!N:N,"",0)="VL","VL",IF(XLOOKUP($A52,Partner_Voice!$A:$A,Partner_Voice!N:N,"",0)="ATT","ATT",XLOOKUP($A52,Partner_Voice!$A:$A,Partner_Voice!N:N,"",0))))</f>
        <v>0.3333333333</v>
      </c>
      <c r="O52" s="42">
        <f t="array" ref="O52">IF(XLOOKUP($A52,Partner_Voice!$A:$A,Partner_Voice!O:O,"",0)="Free","Free",IF(XLOOKUP($A52,Partner_Voice!$A:$A,Partner_Voice!O:O,"",0)="VL","VL",IF(XLOOKUP($A52,Partner_Voice!$A:$A,Partner_Voice!O:O,"",0)="ATT","ATT",XLOOKUP($A52,Partner_Voice!$A:$A,Partner_Voice!O:O,"",0))))</f>
        <v>0.3333333333</v>
      </c>
      <c r="P52" s="42">
        <f t="array" ref="P52">IF(XLOOKUP($A52,Partner_Voice!$A:$A,Partner_Voice!P:P,"",0)="Free","Free",IF(XLOOKUP($A52,Partner_Voice!$A:$A,Partner_Voice!P:P,"",0)="VL","VL",IF(XLOOKUP($A52,Partner_Voice!$A:$A,Partner_Voice!P:P,"",0)="ATT","ATT",XLOOKUP($A52,Partner_Voice!$A:$A,Partner_Voice!P:P,"",0))))</f>
        <v>0.3333333333</v>
      </c>
      <c r="Q52" s="42" t="str">
        <f t="array" ref="Q52">IF(XLOOKUP($A52,Partner_Voice!$A:$A,Partner_Voice!Q:Q,"",0)="Free","Free",IF(XLOOKUP($A52,Partner_Voice!$A:$A,Partner_Voice!Q:Q,"",0)="VL","VL",IF(XLOOKUP($A52,Partner_Voice!$A:$A,Partner_Voice!Q:Q,"",0)="ATT","ATT",XLOOKUP($A52,Partner_Voice!$A:$A,Partner_Voice!Q:Q,"",0))))</f>
        <v>Free</v>
      </c>
      <c r="R52" s="43"/>
      <c r="S52" s="42">
        <f t="array" ref="S52">IF(XLOOKUP($A52,Partner_Voice!$A:$A,Partner_Voice!S:S,"",0)="Free","Free",IF(XLOOKUP($A52,Partner_Voice!$A:$A,Partner_Voice!S:S,"",0)="VL","VL",IF(XLOOKUP($A52,Partner_Voice!$A:$A,Partner_Voice!S:S,"",0)="ATT","ATT",XLOOKUP($A52,Partner_Voice!$A:$A,Partner_Voice!S:S,"",0))))</f>
        <v>0.375</v>
      </c>
      <c r="T52" s="42">
        <f t="array" ref="T52">IF(XLOOKUP($A52,Partner_Voice!$A:$A,Partner_Voice!T:T,"",0)="Free","Free",IF(XLOOKUP($A52,Partner_Voice!$A:$A,Partner_Voice!T:T,"",0)="VL","VL",IF(XLOOKUP($A52,Partner_Voice!$A:$A,Partner_Voice!T:T,"",0)="ATT","ATT",XLOOKUP($A52,Partner_Voice!$A:$A,Partner_Voice!T:T,"",0))))</f>
        <v>0.375</v>
      </c>
      <c r="U52" s="42">
        <f t="array" ref="U52">IF(XLOOKUP($A52,Partner_Voice!$A:$A,Partner_Voice!U:U,"",0)="Free","Free",IF(XLOOKUP($A52,Partner_Voice!$A:$A,Partner_Voice!U:U,"",0)="VL","VL",IF(XLOOKUP($A52,Partner_Voice!$A:$A,Partner_Voice!U:U,"",0)="ATT","ATT",XLOOKUP($A52,Partner_Voice!$A:$A,Partner_Voice!U:U,"",0))))</f>
        <v>0.375</v>
      </c>
      <c r="V52" s="42">
        <f t="array" ref="V52">IF(XLOOKUP($A52,Partner_Voice!$A:$A,Partner_Voice!V:V,"",0)="Free","Free",IF(XLOOKUP($A52,Partner_Voice!$A:$A,Partner_Voice!V:V,"",0)="VL","VL",IF(XLOOKUP($A52,Partner_Voice!$A:$A,Partner_Voice!V:V,"",0)="ATT","ATT",XLOOKUP($A52,Partner_Voice!$A:$A,Partner_Voice!V:V,"",0))))</f>
        <v>0.2916666667</v>
      </c>
      <c r="W52" s="42">
        <f t="array" ref="W52">IF(XLOOKUP($A52,Partner_Voice!$A:$A,Partner_Voice!W:W,"",0)="Free","Free",IF(XLOOKUP($A52,Partner_Voice!$A:$A,Partner_Voice!W:W,"",0)="VL","VL",IF(XLOOKUP($A52,Partner_Voice!$A:$A,Partner_Voice!W:W,"",0)="ATT","ATT",XLOOKUP($A52,Partner_Voice!$A:$A,Partner_Voice!W:W,"",0))))</f>
        <v>0.2916666667</v>
      </c>
      <c r="X52" s="42" t="str">
        <f t="array" ref="X52">IF(XLOOKUP($A52,Partner_Voice!$A:$A,Partner_Voice!X:X,"",0)="Free","Free",IF(XLOOKUP($A52,Partner_Voice!$A:$A,Partner_Voice!X:X,"",0)="VL","VL",IF(XLOOKUP($A52,Partner_Voice!$A:$A,Partner_Voice!X:X,"",0)="ATT","ATT",XLOOKUP($A52,Partner_Voice!$A:$A,Partner_Voice!X:X,"",0))))</f>
        <v>Free</v>
      </c>
      <c r="Y52" s="43"/>
      <c r="Z52" s="42">
        <f t="array" ref="Z52">IF(XLOOKUP($A52,Partner_Voice!$A:$A,Partner_Voice!Z:Z,"",0)="Free","Free",IF(XLOOKUP($A52,Partner_Voice!$A:$A,Partner_Voice!Z:Z,"",0)="VL","VL",IF(XLOOKUP($A52,Partner_Voice!$A:$A,Partner_Voice!Z:Z,"",0)="ATT","ATT",XLOOKUP($A52,Partner_Voice!$A:$A,Partner_Voice!Z:Z,"",0))))</f>
        <v>0.3333333333</v>
      </c>
      <c r="AA52" s="42">
        <f t="array" ref="AA52">IF(XLOOKUP($A52,Partner_Voice!$A:$A,Partner_Voice!AA:AA,"",0)="Free","Free",IF(XLOOKUP($A52,Partner_Voice!$A:$A,Partner_Voice!AA:AA,"",0)="VL","VL",IF(XLOOKUP($A52,Partner_Voice!$A:$A,Partner_Voice!AA:AA,"",0)="ATT","ATT",XLOOKUP($A52,Partner_Voice!$A:$A,Partner_Voice!AA:AA,"",0))))</f>
        <v>0.3333333333</v>
      </c>
      <c r="AB52" s="42">
        <f t="array" ref="AB52">IF(XLOOKUP($A52,Partner_Voice!$A:$A,Partner_Voice!AB:AB,"",0)="Free","Free",IF(XLOOKUP($A52,Partner_Voice!$A:$A,Partner_Voice!AB:AB,"",0)="VL","VL",IF(XLOOKUP($A52,Partner_Voice!$A:$A,Partner_Voice!AB:AB,"",0)="ATT","ATT",XLOOKUP($A52,Partner_Voice!$A:$A,Partner_Voice!AB:AB,"",0))))</f>
        <v>0.3333333333</v>
      </c>
      <c r="AC52" s="42">
        <f t="array" ref="AC52">IF(XLOOKUP($A52,Partner_Voice!$A:$A,Partner_Voice!AC:AC,"",0)="Free","Free",IF(XLOOKUP($A52,Partner_Voice!$A:$A,Partner_Voice!AC:AC,"",0)="VL","VL",IF(XLOOKUP($A52,Partner_Voice!$A:$A,Partner_Voice!AC:AC,"",0)="ATT","ATT",XLOOKUP($A52,Partner_Voice!$A:$A,Partner_Voice!AC:AC,"",0))))</f>
        <v>0.3333333333</v>
      </c>
      <c r="AD52" s="42">
        <f t="array" ref="AD52">IF(XLOOKUP($A52,Partner_Voice!$A:$A,Partner_Voice!AD:AD,"",0)="Free","Free",IF(XLOOKUP($A52,Partner_Voice!$A:$A,Partner_Voice!AD:AD,"",0)="VL","VL",IF(XLOOKUP($A52,Partner_Voice!$A:$A,Partner_Voice!AD:AD,"",0)="ATT","ATT",XLOOKUP($A52,Partner_Voice!$A:$A,Partner_Voice!AD:AD,"",0))))</f>
        <v>0.3333333333</v>
      </c>
      <c r="AE52" s="42" t="str">
        <f t="array" ref="AE52">IF(XLOOKUP($A52,Partner_Voice!$A:$A,Partner_Voice!AE:AE,"",0)="Free","Free",IF(XLOOKUP($A52,Partner_Voice!$A:$A,Partner_Voice!AE:AE,"",0)="VL","VL",IF(XLOOKUP($A52,Partner_Voice!$A:$A,Partner_Voice!AE:AE,"",0)="ATT","ATT",XLOOKUP($A52,Partner_Voice!$A:$A,Partner_Voice!AE:AE,"",0))))</f>
        <v>Free</v>
      </c>
      <c r="AF52" s="69"/>
      <c r="AG52" s="42">
        <f t="array" ref="AG52">IF(XLOOKUP($A52,Partner_Voice!$A:$A,Partner_Voice!AG:AG,"",0)="Free","Free",IF(XLOOKUP($A52,Partner_Voice!$A:$A,Partner_Voice!AG:AG,"",0)="VL","VL",IF(XLOOKUP($A52,Partner_Voice!$A:$A,Partner_Voice!AG:AG,"",0)="ATT","ATT",XLOOKUP($A52,Partner_Voice!$A:$A,Partner_Voice!AG:AG,"",0))))</f>
        <v>0.3333333333</v>
      </c>
      <c r="AH52" s="42">
        <f t="array" ref="AH52">IF(XLOOKUP($A52,Partner_Voice!$A:$A,Partner_Voice!AH:AH,"",0)="Free","Free",IF(XLOOKUP($A52,Partner_Voice!$A:$A,Partner_Voice!AH:AH,"",0)="VL","VL",IF(XLOOKUP($A52,Partner_Voice!$A:$A,Partner_Voice!AH:AH,"",0)="ATT","ATT",XLOOKUP($A52,Partner_Voice!$A:$A,Partner_Voice!AH:AH,"",0))))</f>
        <v>0.3333333333</v>
      </c>
      <c r="AI52" s="42">
        <f t="array" ref="AI52">IF(XLOOKUP($A52,Partner_Voice!$A:$A,Partner_Voice!AI:AI,"",0)="Free","Free",IF(XLOOKUP($A52,Partner_Voice!$A:$A,Partner_Voice!AI:AI,"",0)="VL","VL",IF(XLOOKUP($A52,Partner_Voice!$A:$A,Partner_Voice!AI:AI,"",0)="ATT","ATT",XLOOKUP($A52,Partner_Voice!$A:$A,Partner_Voice!AI:AI,"",0))))</f>
        <v>0.3333333333</v>
      </c>
      <c r="AJ52" s="42">
        <f t="array" ref="AJ52">IF(XLOOKUP($A52,Partner_Voice!$A:$A,Partner_Voice!AJ:AJ,"",0)="Free","Free",IF(XLOOKUP($A52,Partner_Voice!$A:$A,Partner_Voice!AJ:AJ,"",0)="VL","VL",IF(XLOOKUP($A52,Partner_Voice!$A:$A,Partner_Voice!AJ:AJ,"",0)="ATT","ATT",XLOOKUP($A52,Partner_Voice!$A:$A,Partner_Voice!AJ:AJ,"",0))))</f>
        <v>0.3333333333</v>
      </c>
      <c r="AK52" s="42">
        <f t="array" ref="AK52">IF(XLOOKUP($A52,Partner_Voice!$A:$A,Partner_Voice!AK:AK,"",0)="Free","Free",IF(XLOOKUP($A52,Partner_Voice!$A:$A,Partner_Voice!AK:AK,"",0)="VL","VL",IF(XLOOKUP($A52,Partner_Voice!$A:$A,Partner_Voice!AK:AK,"",0)="ATT","ATT",XLOOKUP($A52,Partner_Voice!$A:$A,Partner_Voice!AK:AK,"",0))))</f>
        <v>0.3333333333</v>
      </c>
      <c r="AL52" s="42" t="str">
        <f t="array" ref="AL52">IF(XLOOKUP($A52,Partner_Voice!$A:$A,Partner_Voice!AL:AL,"",0)="Free","Free",IF(XLOOKUP($A52,Partner_Voice!$A:$A,Partner_Voice!AL:AL,"",0)="VL","VL",IF(XLOOKUP($A52,Partner_Voice!$A:$A,Partner_Voice!AL:AL,"",0)="ATT","ATT",XLOOKUP($A52,Partner_Voice!$A:$A,Partner_Voice!AL:AL,"",0))))</f>
        <v>Free</v>
      </c>
      <c r="AM52" s="42"/>
    </row>
    <row r="53">
      <c r="A53" s="47" t="s">
        <v>66</v>
      </c>
      <c r="B53" s="35" t="str">
        <f t="array" ref="B53">XLOOKUP(A53,Roster!F:F,Roster!A:A,"")</f>
        <v>Martin Salazar</v>
      </c>
      <c r="C53" s="35" t="str">
        <f t="array" ref="C53">XLOOKUP(A53,Roster!F:F,Roster!B:B,"")</f>
        <v>Natalia Cardona</v>
      </c>
      <c r="D53" s="70"/>
      <c r="E53" s="42">
        <f t="array" ref="E53">IF(XLOOKUP($A53,Partner_Voice!$A:$A,Partner_Voice!E:E,"",0)="Free","Free",IF(XLOOKUP($A53,Partner_Voice!$A:$A,Partner_Voice!E:E,"",0)="VL","VL",IF(XLOOKUP($A53,Partner_Voice!$A:$A,Partner_Voice!E:E,"",0)="ATT","ATT",XLOOKUP($A53,Partner_Voice!$A:$A,Partner_Voice!E:E,"",0))))</f>
        <v>0.3333333333</v>
      </c>
      <c r="F53" s="42">
        <f t="array" ref="F53">IF(XLOOKUP($A53,Partner_Voice!$A:$A,Partner_Voice!F:F,"",0)="Free","Free",IF(XLOOKUP($A53,Partner_Voice!$A:$A,Partner_Voice!F:F,"",0)="VL","VL",IF(XLOOKUP($A53,Partner_Voice!$A:$A,Partner_Voice!F:F,"",0)="ATT","ATT",XLOOKUP($A53,Partner_Voice!$A:$A,Partner_Voice!F:F,"",0))))</f>
        <v>0.3333333333</v>
      </c>
      <c r="G53" s="42">
        <f t="array" ref="G53">IF(XLOOKUP($A53,Partner_Voice!$A:$A,Partner_Voice!G:G,"",0)="Free","Free",IF(XLOOKUP($A53,Partner_Voice!$A:$A,Partner_Voice!G:G,"",0)="VL","VL",IF(XLOOKUP($A53,Partner_Voice!$A:$A,Partner_Voice!G:G,"",0)="ATT","ATT",XLOOKUP($A53,Partner_Voice!$A:$A,Partner_Voice!G:G,"",0))))</f>
        <v>0.3333333333</v>
      </c>
      <c r="H53" s="42">
        <f t="array" ref="H53">IF(XLOOKUP($A53,Partner_Voice!$A:$A,Partner_Voice!H:H,"",0)="Free","Free",IF(XLOOKUP($A53,Partner_Voice!$A:$A,Partner_Voice!H:H,"",0)="VL","VL",IF(XLOOKUP($A53,Partner_Voice!$A:$A,Partner_Voice!H:H,"",0)="ATT","ATT",XLOOKUP($A53,Partner_Voice!$A:$A,Partner_Voice!H:H,"",0))))</f>
        <v>0.3333333333</v>
      </c>
      <c r="I53" s="42">
        <f t="array" ref="I53">IF(XLOOKUP($A53,Partner_Voice!$A:$A,Partner_Voice!I:I,"",0)="Free","Free",IF(XLOOKUP($A53,Partner_Voice!$A:$A,Partner_Voice!I:I,"",0)="VL","VL",IF(XLOOKUP($A53,Partner_Voice!$A:$A,Partner_Voice!I:I,"",0)="ATT","ATT",XLOOKUP($A53,Partner_Voice!$A:$A,Partner_Voice!I:I,"",0))))</f>
        <v>0.3333333333</v>
      </c>
      <c r="J53" s="42" t="str">
        <f t="array" ref="J53">IF(XLOOKUP($A53,Partner_Voice!$A:$A,Partner_Voice!J:J,"",0)="Free","Free",IF(XLOOKUP($A53,Partner_Voice!$A:$A,Partner_Voice!J:J,"",0)="VL","VL",IF(XLOOKUP($A53,Partner_Voice!$A:$A,Partner_Voice!J:J,"",0)="ATT","ATT",XLOOKUP($A53,Partner_Voice!$A:$A,Partner_Voice!J:J,"",0))))</f>
        <v>Free</v>
      </c>
      <c r="K53" s="42"/>
      <c r="L53" s="42">
        <f t="array" ref="L53">IF(XLOOKUP($A53,Partner_Voice!$A:$A,Partner_Voice!L:L,"",0)="Free","Free",IF(XLOOKUP($A53,Partner_Voice!$A:$A,Partner_Voice!L:L,"",0)="VL","VL",IF(XLOOKUP($A53,Partner_Voice!$A:$A,Partner_Voice!L:L,"",0)="ATT","ATT",XLOOKUP($A53,Partner_Voice!$A:$A,Partner_Voice!L:L,"",0))))</f>
        <v>0.3333333333</v>
      </c>
      <c r="M53" s="42">
        <f t="array" ref="M53">IF(XLOOKUP($A53,Partner_Voice!$A:$A,Partner_Voice!M:M,"",0)="Free","Free",IF(XLOOKUP($A53,Partner_Voice!$A:$A,Partner_Voice!M:M,"",0)="VL","VL",IF(XLOOKUP($A53,Partner_Voice!$A:$A,Partner_Voice!M:M,"",0)="ATT","ATT",XLOOKUP($A53,Partner_Voice!$A:$A,Partner_Voice!M:M,"",0))))</f>
        <v>0.3333333333</v>
      </c>
      <c r="N53" s="42">
        <f t="array" ref="N53">IF(XLOOKUP($A53,Partner_Voice!$A:$A,Partner_Voice!N:N,"",0)="Free","Free",IF(XLOOKUP($A53,Partner_Voice!$A:$A,Partner_Voice!N:N,"",0)="VL","VL",IF(XLOOKUP($A53,Partner_Voice!$A:$A,Partner_Voice!N:N,"",0)="ATT","ATT",XLOOKUP($A53,Partner_Voice!$A:$A,Partner_Voice!N:N,"",0))))</f>
        <v>0.3333333333</v>
      </c>
      <c r="O53" s="42">
        <f t="array" ref="O53">IF(XLOOKUP($A53,Partner_Voice!$A:$A,Partner_Voice!O:O,"",0)="Free","Free",IF(XLOOKUP($A53,Partner_Voice!$A:$A,Partner_Voice!O:O,"",0)="VL","VL",IF(XLOOKUP($A53,Partner_Voice!$A:$A,Partner_Voice!O:O,"",0)="ATT","ATT",XLOOKUP($A53,Partner_Voice!$A:$A,Partner_Voice!O:O,"",0))))</f>
        <v>0.3333333333</v>
      </c>
      <c r="P53" s="42">
        <f t="array" ref="P53">IF(XLOOKUP($A53,Partner_Voice!$A:$A,Partner_Voice!P:P,"",0)="Free","Free",IF(XLOOKUP($A53,Partner_Voice!$A:$A,Partner_Voice!P:P,"",0)="VL","VL",IF(XLOOKUP($A53,Partner_Voice!$A:$A,Partner_Voice!P:P,"",0)="ATT","ATT",XLOOKUP($A53,Partner_Voice!$A:$A,Partner_Voice!P:P,"",0))))</f>
        <v>0.3333333333</v>
      </c>
      <c r="Q53" s="42" t="str">
        <f t="array" ref="Q53">IF(XLOOKUP($A53,Partner_Voice!$A:$A,Partner_Voice!Q:Q,"",0)="Free","Free",IF(XLOOKUP($A53,Partner_Voice!$A:$A,Partner_Voice!Q:Q,"",0)="VL","VL",IF(XLOOKUP($A53,Partner_Voice!$A:$A,Partner_Voice!Q:Q,"",0)="ATT","ATT",XLOOKUP($A53,Partner_Voice!$A:$A,Partner_Voice!Q:Q,"",0))))</f>
        <v>Free</v>
      </c>
      <c r="R53" s="43"/>
      <c r="S53" s="42">
        <f t="array" ref="S53">IF(XLOOKUP($A53,Partner_Voice!$A:$A,Partner_Voice!S:S,"",0)="Free","Free",IF(XLOOKUP($A53,Partner_Voice!$A:$A,Partner_Voice!S:S,"",0)="VL","VL",IF(XLOOKUP($A53,Partner_Voice!$A:$A,Partner_Voice!S:S,"",0)="ATT","ATT",XLOOKUP($A53,Partner_Voice!$A:$A,Partner_Voice!S:S,"",0))))</f>
        <v>0.3333333333</v>
      </c>
      <c r="T53" s="42">
        <f t="array" ref="T53">IF(XLOOKUP($A53,Partner_Voice!$A:$A,Partner_Voice!T:T,"",0)="Free","Free",IF(XLOOKUP($A53,Partner_Voice!$A:$A,Partner_Voice!T:T,"",0)="VL","VL",IF(XLOOKUP($A53,Partner_Voice!$A:$A,Partner_Voice!T:T,"",0)="ATT","ATT",XLOOKUP($A53,Partner_Voice!$A:$A,Partner_Voice!T:T,"",0))))</f>
        <v>0.3333333333</v>
      </c>
      <c r="U53" s="42">
        <f t="array" ref="U53">IF(XLOOKUP($A53,Partner_Voice!$A:$A,Partner_Voice!U:U,"",0)="Free","Free",IF(XLOOKUP($A53,Partner_Voice!$A:$A,Partner_Voice!U:U,"",0)="VL","VL",IF(XLOOKUP($A53,Partner_Voice!$A:$A,Partner_Voice!U:U,"",0)="ATT","ATT",XLOOKUP($A53,Partner_Voice!$A:$A,Partner_Voice!U:U,"",0))))</f>
        <v>0.3333333333</v>
      </c>
      <c r="V53" s="42">
        <f t="array" ref="V53">IF(XLOOKUP($A53,Partner_Voice!$A:$A,Partner_Voice!V:V,"",0)="Free","Free",IF(XLOOKUP($A53,Partner_Voice!$A:$A,Partner_Voice!V:V,"",0)="VL","VL",IF(XLOOKUP($A53,Partner_Voice!$A:$A,Partner_Voice!V:V,"",0)="ATT","ATT",XLOOKUP($A53,Partner_Voice!$A:$A,Partner_Voice!V:V,"",0))))</f>
        <v>0.3333333333</v>
      </c>
      <c r="W53" s="42">
        <f t="array" ref="W53">IF(XLOOKUP($A53,Partner_Voice!$A:$A,Partner_Voice!W:W,"",0)="Free","Free",IF(XLOOKUP($A53,Partner_Voice!$A:$A,Partner_Voice!W:W,"",0)="VL","VL",IF(XLOOKUP($A53,Partner_Voice!$A:$A,Partner_Voice!W:W,"",0)="ATT","ATT",XLOOKUP($A53,Partner_Voice!$A:$A,Partner_Voice!W:W,"",0))))</f>
        <v>0.3333333333</v>
      </c>
      <c r="X53" s="42" t="str">
        <f t="array" ref="X53">IF(XLOOKUP($A53,Partner_Voice!$A:$A,Partner_Voice!X:X,"",0)="Free","Free",IF(XLOOKUP($A53,Partner_Voice!$A:$A,Partner_Voice!X:X,"",0)="VL","VL",IF(XLOOKUP($A53,Partner_Voice!$A:$A,Partner_Voice!X:X,"",0)="ATT","ATT",XLOOKUP($A53,Partner_Voice!$A:$A,Partner_Voice!X:X,"",0))))</f>
        <v>Free</v>
      </c>
      <c r="Y53" s="43"/>
      <c r="Z53" s="42">
        <f t="array" ref="Z53">IF(XLOOKUP($A53,Partner_Voice!$A:$A,Partner_Voice!Z:Z,"",0)="Free","Free",IF(XLOOKUP($A53,Partner_Voice!$A:$A,Partner_Voice!Z:Z,"",0)="VL","VL",IF(XLOOKUP($A53,Partner_Voice!$A:$A,Partner_Voice!Z:Z,"",0)="ATT","ATT",XLOOKUP($A53,Partner_Voice!$A:$A,Partner_Voice!Z:Z,"",0))))</f>
        <v>0.3333333333</v>
      </c>
      <c r="AA53" s="42">
        <f t="array" ref="AA53">IF(XLOOKUP($A53,Partner_Voice!$A:$A,Partner_Voice!AA:AA,"",0)="Free","Free",IF(XLOOKUP($A53,Partner_Voice!$A:$A,Partner_Voice!AA:AA,"",0)="VL","VL",IF(XLOOKUP($A53,Partner_Voice!$A:$A,Partner_Voice!AA:AA,"",0)="ATT","ATT",XLOOKUP($A53,Partner_Voice!$A:$A,Partner_Voice!AA:AA,"",0))))</f>
        <v>0.3333333333</v>
      </c>
      <c r="AB53" s="42">
        <f t="array" ref="AB53">IF(XLOOKUP($A53,Partner_Voice!$A:$A,Partner_Voice!AB:AB,"",0)="Free","Free",IF(XLOOKUP($A53,Partner_Voice!$A:$A,Partner_Voice!AB:AB,"",0)="VL","VL",IF(XLOOKUP($A53,Partner_Voice!$A:$A,Partner_Voice!AB:AB,"",0)="ATT","ATT",XLOOKUP($A53,Partner_Voice!$A:$A,Partner_Voice!AB:AB,"",0))))</f>
        <v>0.3333333333</v>
      </c>
      <c r="AC53" s="42">
        <f t="array" ref="AC53">IF(XLOOKUP($A53,Partner_Voice!$A:$A,Partner_Voice!AC:AC,"",0)="Free","Free",IF(XLOOKUP($A53,Partner_Voice!$A:$A,Partner_Voice!AC:AC,"",0)="VL","VL",IF(XLOOKUP($A53,Partner_Voice!$A:$A,Partner_Voice!AC:AC,"",0)="ATT","ATT",XLOOKUP($A53,Partner_Voice!$A:$A,Partner_Voice!AC:AC,"",0))))</f>
        <v>0.3333333333</v>
      </c>
      <c r="AD53" s="42">
        <f t="array" ref="AD53">IF(XLOOKUP($A53,Partner_Voice!$A:$A,Partner_Voice!AD:AD,"",0)="Free","Free",IF(XLOOKUP($A53,Partner_Voice!$A:$A,Partner_Voice!AD:AD,"",0)="VL","VL",IF(XLOOKUP($A53,Partner_Voice!$A:$A,Partner_Voice!AD:AD,"",0)="ATT","ATT",XLOOKUP($A53,Partner_Voice!$A:$A,Partner_Voice!AD:AD,"",0))))</f>
        <v>0.3333333333</v>
      </c>
      <c r="AE53" s="42" t="str">
        <f t="array" ref="AE53">IF(XLOOKUP($A53,Partner_Voice!$A:$A,Partner_Voice!AE:AE,"",0)="Free","Free",IF(XLOOKUP($A53,Partner_Voice!$A:$A,Partner_Voice!AE:AE,"",0)="VL","VL",IF(XLOOKUP($A53,Partner_Voice!$A:$A,Partner_Voice!AE:AE,"",0)="ATT","ATT",XLOOKUP($A53,Partner_Voice!$A:$A,Partner_Voice!AE:AE,"",0))))</f>
        <v>Free</v>
      </c>
      <c r="AF53" s="69"/>
      <c r="AG53" s="42">
        <f t="array" ref="AG53">IF(XLOOKUP($A53,Partner_Voice!$A:$A,Partner_Voice!AG:AG,"",0)="Free","Free",IF(XLOOKUP($A53,Partner_Voice!$A:$A,Partner_Voice!AG:AG,"",0)="VL","VL",IF(XLOOKUP($A53,Partner_Voice!$A:$A,Partner_Voice!AG:AG,"",0)="ATT","ATT",XLOOKUP($A53,Partner_Voice!$A:$A,Partner_Voice!AG:AG,"",0))))</f>
        <v>0.3333333333</v>
      </c>
      <c r="AH53" s="42">
        <f t="array" ref="AH53">IF(XLOOKUP($A53,Partner_Voice!$A:$A,Partner_Voice!AH:AH,"",0)="Free","Free",IF(XLOOKUP($A53,Partner_Voice!$A:$A,Partner_Voice!AH:AH,"",0)="VL","VL",IF(XLOOKUP($A53,Partner_Voice!$A:$A,Partner_Voice!AH:AH,"",0)="ATT","ATT",XLOOKUP($A53,Partner_Voice!$A:$A,Partner_Voice!AH:AH,"",0))))</f>
        <v>0.3333333333</v>
      </c>
      <c r="AI53" s="42">
        <f t="array" ref="AI53">IF(XLOOKUP($A53,Partner_Voice!$A:$A,Partner_Voice!AI:AI,"",0)="Free","Free",IF(XLOOKUP($A53,Partner_Voice!$A:$A,Partner_Voice!AI:AI,"",0)="VL","VL",IF(XLOOKUP($A53,Partner_Voice!$A:$A,Partner_Voice!AI:AI,"",0)="ATT","ATT",XLOOKUP($A53,Partner_Voice!$A:$A,Partner_Voice!AI:AI,"",0))))</f>
        <v>0.3333333333</v>
      </c>
      <c r="AJ53" s="42">
        <f t="array" ref="AJ53">IF(XLOOKUP($A53,Partner_Voice!$A:$A,Partner_Voice!AJ:AJ,"",0)="Free","Free",IF(XLOOKUP($A53,Partner_Voice!$A:$A,Partner_Voice!AJ:AJ,"",0)="VL","VL",IF(XLOOKUP($A53,Partner_Voice!$A:$A,Partner_Voice!AJ:AJ,"",0)="ATT","ATT",XLOOKUP($A53,Partner_Voice!$A:$A,Partner_Voice!AJ:AJ,"",0))))</f>
        <v>0.3333333333</v>
      </c>
      <c r="AK53" s="42">
        <f t="array" ref="AK53">IF(XLOOKUP($A53,Partner_Voice!$A:$A,Partner_Voice!AK:AK,"",0)="Free","Free",IF(XLOOKUP($A53,Partner_Voice!$A:$A,Partner_Voice!AK:AK,"",0)="VL","VL",IF(XLOOKUP($A53,Partner_Voice!$A:$A,Partner_Voice!AK:AK,"",0)="ATT","ATT",XLOOKUP($A53,Partner_Voice!$A:$A,Partner_Voice!AK:AK,"",0))))</f>
        <v>0.3333333333</v>
      </c>
      <c r="AL53" s="42" t="str">
        <f t="array" ref="AL53">IF(XLOOKUP($A53,Partner_Voice!$A:$A,Partner_Voice!AL:AL,"",0)="Free","Free",IF(XLOOKUP($A53,Partner_Voice!$A:$A,Partner_Voice!AL:AL,"",0)="VL","VL",IF(XLOOKUP($A53,Partner_Voice!$A:$A,Partner_Voice!AL:AL,"",0)="ATT","ATT",XLOOKUP($A53,Partner_Voice!$A:$A,Partner_Voice!AL:AL,"",0))))</f>
        <v>Free</v>
      </c>
      <c r="AM53" s="42"/>
    </row>
    <row r="54">
      <c r="A54" s="47" t="s">
        <v>67</v>
      </c>
      <c r="B54" s="35" t="str">
        <f t="array" ref="B54">XLOOKUP(A54,Roster!F:F,Roster!A:A,"")</f>
        <v>Martin Salazar</v>
      </c>
      <c r="C54" s="35" t="str">
        <f t="array" ref="C54">XLOOKUP(A54,Roster!F:F,Roster!B:B,"")</f>
        <v>Nicols Quinones</v>
      </c>
      <c r="D54" s="70"/>
      <c r="E54" s="42">
        <f t="array" ref="E54">IF(XLOOKUP($A54,Partner_Voice!$A:$A,Partner_Voice!E:E,"",0)="Free","Free",IF(XLOOKUP($A54,Partner_Voice!$A:$A,Partner_Voice!E:E,"",0)="VL","VL",IF(XLOOKUP($A54,Partner_Voice!$A:$A,Partner_Voice!E:E,"",0)="ATT","ATT",XLOOKUP($A54,Partner_Voice!$A:$A,Partner_Voice!E:E,"",0))))</f>
        <v>0.3333333333</v>
      </c>
      <c r="F54" s="42">
        <f t="array" ref="F54">IF(XLOOKUP($A54,Partner_Voice!$A:$A,Partner_Voice!F:F,"",0)="Free","Free",IF(XLOOKUP($A54,Partner_Voice!$A:$A,Partner_Voice!F:F,"",0)="VL","VL",IF(XLOOKUP($A54,Partner_Voice!$A:$A,Partner_Voice!F:F,"",0)="ATT","ATT",XLOOKUP($A54,Partner_Voice!$A:$A,Partner_Voice!F:F,"",0))))</f>
        <v>0.3333333333</v>
      </c>
      <c r="G54" s="42">
        <f t="array" ref="G54">IF(XLOOKUP($A54,Partner_Voice!$A:$A,Partner_Voice!G:G,"",0)="Free","Free",IF(XLOOKUP($A54,Partner_Voice!$A:$A,Partner_Voice!G:G,"",0)="VL","VL",IF(XLOOKUP($A54,Partner_Voice!$A:$A,Partner_Voice!G:G,"",0)="ATT","ATT",XLOOKUP($A54,Partner_Voice!$A:$A,Partner_Voice!G:G,"",0))))</f>
        <v>0.3333333333</v>
      </c>
      <c r="H54" s="42">
        <f t="array" ref="H54">IF(XLOOKUP($A54,Partner_Voice!$A:$A,Partner_Voice!H:H,"",0)="Free","Free",IF(XLOOKUP($A54,Partner_Voice!$A:$A,Partner_Voice!H:H,"",0)="VL","VL",IF(XLOOKUP($A54,Partner_Voice!$A:$A,Partner_Voice!H:H,"",0)="ATT","ATT",XLOOKUP($A54,Partner_Voice!$A:$A,Partner_Voice!H:H,"",0))))</f>
        <v>0.3333333333</v>
      </c>
      <c r="I54" s="42">
        <f t="array" ref="I54">IF(XLOOKUP($A54,Partner_Voice!$A:$A,Partner_Voice!I:I,"",0)="Free","Free",IF(XLOOKUP($A54,Partner_Voice!$A:$A,Partner_Voice!I:I,"",0)="VL","VL",IF(XLOOKUP($A54,Partner_Voice!$A:$A,Partner_Voice!I:I,"",0)="ATT","ATT",XLOOKUP($A54,Partner_Voice!$A:$A,Partner_Voice!I:I,"",0))))</f>
        <v>0.3333333333</v>
      </c>
      <c r="J54" s="42" t="str">
        <f t="array" ref="J54">IF(XLOOKUP($A54,Partner_Voice!$A:$A,Partner_Voice!J:J,"",0)="Free","Free",IF(XLOOKUP($A54,Partner_Voice!$A:$A,Partner_Voice!J:J,"",0)="VL","VL",IF(XLOOKUP($A54,Partner_Voice!$A:$A,Partner_Voice!J:J,"",0)="ATT","ATT",XLOOKUP($A54,Partner_Voice!$A:$A,Partner_Voice!J:J,"",0))))</f>
        <v>Free</v>
      </c>
      <c r="K54" s="42"/>
      <c r="L54" s="42">
        <f t="array" ref="L54">IF(XLOOKUP($A54,Partner_Voice!$A:$A,Partner_Voice!L:L,"",0)="Free","Free",IF(XLOOKUP($A54,Partner_Voice!$A:$A,Partner_Voice!L:L,"",0)="VL","VL",IF(XLOOKUP($A54,Partner_Voice!$A:$A,Partner_Voice!L:L,"",0)="ATT","ATT",XLOOKUP($A54,Partner_Voice!$A:$A,Partner_Voice!L:L,"",0))))</f>
        <v>0.3333333333</v>
      </c>
      <c r="M54" s="42">
        <f t="array" ref="M54">IF(XLOOKUP($A54,Partner_Voice!$A:$A,Partner_Voice!M:M,"",0)="Free","Free",IF(XLOOKUP($A54,Partner_Voice!$A:$A,Partner_Voice!M:M,"",0)="VL","VL",IF(XLOOKUP($A54,Partner_Voice!$A:$A,Partner_Voice!M:M,"",0)="ATT","ATT",XLOOKUP($A54,Partner_Voice!$A:$A,Partner_Voice!M:M,"",0))))</f>
        <v>0.3333333333</v>
      </c>
      <c r="N54" s="42">
        <f t="array" ref="N54">IF(XLOOKUP($A54,Partner_Voice!$A:$A,Partner_Voice!N:N,"",0)="Free","Free",IF(XLOOKUP($A54,Partner_Voice!$A:$A,Partner_Voice!N:N,"",0)="VL","VL",IF(XLOOKUP($A54,Partner_Voice!$A:$A,Partner_Voice!N:N,"",0)="ATT","ATT",XLOOKUP($A54,Partner_Voice!$A:$A,Partner_Voice!N:N,"",0))))</f>
        <v>0.3333333333</v>
      </c>
      <c r="O54" s="42">
        <f t="array" ref="O54">IF(XLOOKUP($A54,Partner_Voice!$A:$A,Partner_Voice!O:O,"",0)="Free","Free",IF(XLOOKUP($A54,Partner_Voice!$A:$A,Partner_Voice!O:O,"",0)="VL","VL",IF(XLOOKUP($A54,Partner_Voice!$A:$A,Partner_Voice!O:O,"",0)="ATT","ATT",XLOOKUP($A54,Partner_Voice!$A:$A,Partner_Voice!O:O,"",0))))</f>
        <v>0.3333333333</v>
      </c>
      <c r="P54" s="42">
        <f t="array" ref="P54">IF(XLOOKUP($A54,Partner_Voice!$A:$A,Partner_Voice!P:P,"",0)="Free","Free",IF(XLOOKUP($A54,Partner_Voice!$A:$A,Partner_Voice!P:P,"",0)="VL","VL",IF(XLOOKUP($A54,Partner_Voice!$A:$A,Partner_Voice!P:P,"",0)="ATT","ATT",XLOOKUP($A54,Partner_Voice!$A:$A,Partner_Voice!P:P,"",0))))</f>
        <v>0.3333333333</v>
      </c>
      <c r="Q54" s="42" t="str">
        <f t="array" ref="Q54">IF(XLOOKUP($A54,Partner_Voice!$A:$A,Partner_Voice!Q:Q,"",0)="Free","Free",IF(XLOOKUP($A54,Partner_Voice!$A:$A,Partner_Voice!Q:Q,"",0)="VL","VL",IF(XLOOKUP($A54,Partner_Voice!$A:$A,Partner_Voice!Q:Q,"",0)="ATT","ATT",XLOOKUP($A54,Partner_Voice!$A:$A,Partner_Voice!Q:Q,"",0))))</f>
        <v>Free</v>
      </c>
      <c r="R54" s="43"/>
      <c r="S54" s="42">
        <f t="array" ref="S54">IF(XLOOKUP($A54,Partner_Voice!$A:$A,Partner_Voice!S:S,"",0)="Free","Free",IF(XLOOKUP($A54,Partner_Voice!$A:$A,Partner_Voice!S:S,"",0)="VL","VL",IF(XLOOKUP($A54,Partner_Voice!$A:$A,Partner_Voice!S:S,"",0)="ATT","ATT",XLOOKUP($A54,Partner_Voice!$A:$A,Partner_Voice!S:S,"",0))))</f>
        <v>0.3333333333</v>
      </c>
      <c r="T54" s="42">
        <f t="array" ref="T54">IF(XLOOKUP($A54,Partner_Voice!$A:$A,Partner_Voice!T:T,"",0)="Free","Free",IF(XLOOKUP($A54,Partner_Voice!$A:$A,Partner_Voice!T:T,"",0)="VL","VL",IF(XLOOKUP($A54,Partner_Voice!$A:$A,Partner_Voice!T:T,"",0)="ATT","ATT",XLOOKUP($A54,Partner_Voice!$A:$A,Partner_Voice!T:T,"",0))))</f>
        <v>0.3333333333</v>
      </c>
      <c r="U54" s="42">
        <f t="array" ref="U54">IF(XLOOKUP($A54,Partner_Voice!$A:$A,Partner_Voice!U:U,"",0)="Free","Free",IF(XLOOKUP($A54,Partner_Voice!$A:$A,Partner_Voice!U:U,"",0)="VL","VL",IF(XLOOKUP($A54,Partner_Voice!$A:$A,Partner_Voice!U:U,"",0)="ATT","ATT",XLOOKUP($A54,Partner_Voice!$A:$A,Partner_Voice!U:U,"",0))))</f>
        <v>0.3333333333</v>
      </c>
      <c r="V54" s="42">
        <f t="array" ref="V54">IF(XLOOKUP($A54,Partner_Voice!$A:$A,Partner_Voice!V:V,"",0)="Free","Free",IF(XLOOKUP($A54,Partner_Voice!$A:$A,Partner_Voice!V:V,"",0)="VL","VL",IF(XLOOKUP($A54,Partner_Voice!$A:$A,Partner_Voice!V:V,"",0)="ATT","ATT",XLOOKUP($A54,Partner_Voice!$A:$A,Partner_Voice!V:V,"",0))))</f>
        <v>0.3333333333</v>
      </c>
      <c r="W54" s="42">
        <f t="array" ref="W54">IF(XLOOKUP($A54,Partner_Voice!$A:$A,Partner_Voice!W:W,"",0)="Free","Free",IF(XLOOKUP($A54,Partner_Voice!$A:$A,Partner_Voice!W:W,"",0)="VL","VL",IF(XLOOKUP($A54,Partner_Voice!$A:$A,Partner_Voice!W:W,"",0)="ATT","ATT",XLOOKUP($A54,Partner_Voice!$A:$A,Partner_Voice!W:W,"",0))))</f>
        <v>0.3333333333</v>
      </c>
      <c r="X54" s="42" t="str">
        <f t="array" ref="X54">IF(XLOOKUP($A54,Partner_Voice!$A:$A,Partner_Voice!X:X,"",0)="Free","Free",IF(XLOOKUP($A54,Partner_Voice!$A:$A,Partner_Voice!X:X,"",0)="VL","VL",IF(XLOOKUP($A54,Partner_Voice!$A:$A,Partner_Voice!X:X,"",0)="ATT","ATT",XLOOKUP($A54,Partner_Voice!$A:$A,Partner_Voice!X:X,"",0))))</f>
        <v>Free</v>
      </c>
      <c r="Y54" s="43"/>
      <c r="Z54" s="42">
        <f t="array" ref="Z54">IF(XLOOKUP($A54,Partner_Voice!$A:$A,Partner_Voice!Z:Z,"",0)="Free","Free",IF(XLOOKUP($A54,Partner_Voice!$A:$A,Partner_Voice!Z:Z,"",0)="VL","VL",IF(XLOOKUP($A54,Partner_Voice!$A:$A,Partner_Voice!Z:Z,"",0)="ATT","ATT",XLOOKUP($A54,Partner_Voice!$A:$A,Partner_Voice!Z:Z,"",0))))</f>
        <v>0.3333333333</v>
      </c>
      <c r="AA54" s="42">
        <f t="array" ref="AA54">IF(XLOOKUP($A54,Partner_Voice!$A:$A,Partner_Voice!AA:AA,"",0)="Free","Free",IF(XLOOKUP($A54,Partner_Voice!$A:$A,Partner_Voice!AA:AA,"",0)="VL","VL",IF(XLOOKUP($A54,Partner_Voice!$A:$A,Partner_Voice!AA:AA,"",0)="ATT","ATT",XLOOKUP($A54,Partner_Voice!$A:$A,Partner_Voice!AA:AA,"",0))))</f>
        <v>0.3333333333</v>
      </c>
      <c r="AB54" s="42">
        <f t="array" ref="AB54">IF(XLOOKUP($A54,Partner_Voice!$A:$A,Partner_Voice!AB:AB,"",0)="Free","Free",IF(XLOOKUP($A54,Partner_Voice!$A:$A,Partner_Voice!AB:AB,"",0)="VL","VL",IF(XLOOKUP($A54,Partner_Voice!$A:$A,Partner_Voice!AB:AB,"",0)="ATT","ATT",XLOOKUP($A54,Partner_Voice!$A:$A,Partner_Voice!AB:AB,"",0))))</f>
        <v>0.3333333333</v>
      </c>
      <c r="AC54" s="42">
        <f t="array" ref="AC54">IF(XLOOKUP($A54,Partner_Voice!$A:$A,Partner_Voice!AC:AC,"",0)="Free","Free",IF(XLOOKUP($A54,Partner_Voice!$A:$A,Partner_Voice!AC:AC,"",0)="VL","VL",IF(XLOOKUP($A54,Partner_Voice!$A:$A,Partner_Voice!AC:AC,"",0)="ATT","ATT",XLOOKUP($A54,Partner_Voice!$A:$A,Partner_Voice!AC:AC,"",0))))</f>
        <v>0.3333333333</v>
      </c>
      <c r="AD54" s="42">
        <f t="array" ref="AD54">IF(XLOOKUP($A54,Partner_Voice!$A:$A,Partner_Voice!AD:AD,"",0)="Free","Free",IF(XLOOKUP($A54,Partner_Voice!$A:$A,Partner_Voice!AD:AD,"",0)="VL","VL",IF(XLOOKUP($A54,Partner_Voice!$A:$A,Partner_Voice!AD:AD,"",0)="ATT","ATT",XLOOKUP($A54,Partner_Voice!$A:$A,Partner_Voice!AD:AD,"",0))))</f>
        <v>0.3333333333</v>
      </c>
      <c r="AE54" s="42" t="str">
        <f t="array" ref="AE54">IF(XLOOKUP($A54,Partner_Voice!$A:$A,Partner_Voice!AE:AE,"",0)="Free","Free",IF(XLOOKUP($A54,Partner_Voice!$A:$A,Partner_Voice!AE:AE,"",0)="VL","VL",IF(XLOOKUP($A54,Partner_Voice!$A:$A,Partner_Voice!AE:AE,"",0)="ATT","ATT",XLOOKUP($A54,Partner_Voice!$A:$A,Partner_Voice!AE:AE,"",0))))</f>
        <v>Free</v>
      </c>
      <c r="AF54" s="69"/>
      <c r="AG54" s="42">
        <f t="array" ref="AG54">IF(XLOOKUP($A54,Partner_Voice!$A:$A,Partner_Voice!AG:AG,"",0)="Free","Free",IF(XLOOKUP($A54,Partner_Voice!$A:$A,Partner_Voice!AG:AG,"",0)="VL","VL",IF(XLOOKUP($A54,Partner_Voice!$A:$A,Partner_Voice!AG:AG,"",0)="ATT","ATT",XLOOKUP($A54,Partner_Voice!$A:$A,Partner_Voice!AG:AG,"",0))))</f>
        <v>0.3333333333</v>
      </c>
      <c r="AH54" s="42">
        <f t="array" ref="AH54">IF(XLOOKUP($A54,Partner_Voice!$A:$A,Partner_Voice!AH:AH,"",0)="Free","Free",IF(XLOOKUP($A54,Partner_Voice!$A:$A,Partner_Voice!AH:AH,"",0)="VL","VL",IF(XLOOKUP($A54,Partner_Voice!$A:$A,Partner_Voice!AH:AH,"",0)="ATT","ATT",XLOOKUP($A54,Partner_Voice!$A:$A,Partner_Voice!AH:AH,"",0))))</f>
        <v>0.3333333333</v>
      </c>
      <c r="AI54" s="42">
        <f t="array" ref="AI54">IF(XLOOKUP($A54,Partner_Voice!$A:$A,Partner_Voice!AI:AI,"",0)="Free","Free",IF(XLOOKUP($A54,Partner_Voice!$A:$A,Partner_Voice!AI:AI,"",0)="VL","VL",IF(XLOOKUP($A54,Partner_Voice!$A:$A,Partner_Voice!AI:AI,"",0)="ATT","ATT",XLOOKUP($A54,Partner_Voice!$A:$A,Partner_Voice!AI:AI,"",0))))</f>
        <v>0.3333333333</v>
      </c>
      <c r="AJ54" s="42">
        <f t="array" ref="AJ54">IF(XLOOKUP($A54,Partner_Voice!$A:$A,Partner_Voice!AJ:AJ,"",0)="Free","Free",IF(XLOOKUP($A54,Partner_Voice!$A:$A,Partner_Voice!AJ:AJ,"",0)="VL","VL",IF(XLOOKUP($A54,Partner_Voice!$A:$A,Partner_Voice!AJ:AJ,"",0)="ATT","ATT",XLOOKUP($A54,Partner_Voice!$A:$A,Partner_Voice!AJ:AJ,"",0))))</f>
        <v>0.3333333333</v>
      </c>
      <c r="AK54" s="42">
        <f t="array" ref="AK54">IF(XLOOKUP($A54,Partner_Voice!$A:$A,Partner_Voice!AK:AK,"",0)="Free","Free",IF(XLOOKUP($A54,Partner_Voice!$A:$A,Partner_Voice!AK:AK,"",0)="VL","VL",IF(XLOOKUP($A54,Partner_Voice!$A:$A,Partner_Voice!AK:AK,"",0)="ATT","ATT",XLOOKUP($A54,Partner_Voice!$A:$A,Partner_Voice!AK:AK,"",0))))</f>
        <v>0.3333333333</v>
      </c>
      <c r="AL54" s="42" t="str">
        <f t="array" ref="AL54">IF(XLOOKUP($A54,Partner_Voice!$A:$A,Partner_Voice!AL:AL,"",0)="Free","Free",IF(XLOOKUP($A54,Partner_Voice!$A:$A,Partner_Voice!AL:AL,"",0)="VL","VL",IF(XLOOKUP($A54,Partner_Voice!$A:$A,Partner_Voice!AL:AL,"",0)="ATT","ATT",XLOOKUP($A54,Partner_Voice!$A:$A,Partner_Voice!AL:AL,"",0))))</f>
        <v>Free</v>
      </c>
      <c r="AM54" s="42"/>
    </row>
    <row r="55">
      <c r="A55" s="47" t="s">
        <v>75</v>
      </c>
      <c r="B55" s="35" t="str">
        <f t="array" ref="B55">XLOOKUP(A55,Roster!F:F,Roster!A:A,"")</f>
        <v>Martin Salazar</v>
      </c>
      <c r="C55" s="35" t="str">
        <f t="array" ref="C55">XLOOKUP(A55,Roster!F:F,Roster!B:B,"")</f>
        <v>Sebastian Zapata</v>
      </c>
      <c r="D55" s="70"/>
      <c r="E55" s="42">
        <f t="array" ref="E55">IF(XLOOKUP($A55,Partner_Voice!$A:$A,Partner_Voice!E:E,"",0)="Free","Free",IF(XLOOKUP($A55,Partner_Voice!$A:$A,Partner_Voice!E:E,"",0)="VL","VL",IF(XLOOKUP($A55,Partner_Voice!$A:$A,Partner_Voice!E:E,"",0)="ATT","ATT",XLOOKUP($A55,Partner_Voice!$A:$A,Partner_Voice!E:E,"",0))))</f>
        <v>0.3333333333</v>
      </c>
      <c r="F55" s="42">
        <f t="array" ref="F55">IF(XLOOKUP($A55,Partner_Voice!$A:$A,Partner_Voice!F:F,"",0)="Free","Free",IF(XLOOKUP($A55,Partner_Voice!$A:$A,Partner_Voice!F:F,"",0)="VL","VL",IF(XLOOKUP($A55,Partner_Voice!$A:$A,Partner_Voice!F:F,"",0)="ATT","ATT",XLOOKUP($A55,Partner_Voice!$A:$A,Partner_Voice!F:F,"",0))))</f>
        <v>0.3333333333</v>
      </c>
      <c r="G55" s="42">
        <f t="array" ref="G55">IF(XLOOKUP($A55,Partner_Voice!$A:$A,Partner_Voice!G:G,"",0)="Free","Free",IF(XLOOKUP($A55,Partner_Voice!$A:$A,Partner_Voice!G:G,"",0)="VL","VL",IF(XLOOKUP($A55,Partner_Voice!$A:$A,Partner_Voice!G:G,"",0)="ATT","ATT",XLOOKUP($A55,Partner_Voice!$A:$A,Partner_Voice!G:G,"",0))))</f>
        <v>0.3333333333</v>
      </c>
      <c r="H55" s="42">
        <f t="array" ref="H55">IF(XLOOKUP($A55,Partner_Voice!$A:$A,Partner_Voice!H:H,"",0)="Free","Free",IF(XLOOKUP($A55,Partner_Voice!$A:$A,Partner_Voice!H:H,"",0)="VL","VL",IF(XLOOKUP($A55,Partner_Voice!$A:$A,Partner_Voice!H:H,"",0)="ATT","ATT",XLOOKUP($A55,Partner_Voice!$A:$A,Partner_Voice!H:H,"",0))))</f>
        <v>0.3333333333</v>
      </c>
      <c r="I55" s="42">
        <f t="array" ref="I55">IF(XLOOKUP($A55,Partner_Voice!$A:$A,Partner_Voice!I:I,"",0)="Free","Free",IF(XLOOKUP($A55,Partner_Voice!$A:$A,Partner_Voice!I:I,"",0)="VL","VL",IF(XLOOKUP($A55,Partner_Voice!$A:$A,Partner_Voice!I:I,"",0)="ATT","ATT",XLOOKUP($A55,Partner_Voice!$A:$A,Partner_Voice!I:I,"",0))))</f>
        <v>0.3333333333</v>
      </c>
      <c r="J55" s="42" t="str">
        <f t="array" ref="J55">IF(XLOOKUP($A55,Partner_Voice!$A:$A,Partner_Voice!J:J,"",0)="Free","Free",IF(XLOOKUP($A55,Partner_Voice!$A:$A,Partner_Voice!J:J,"",0)="VL","VL",IF(XLOOKUP($A55,Partner_Voice!$A:$A,Partner_Voice!J:J,"",0)="ATT","ATT",XLOOKUP($A55,Partner_Voice!$A:$A,Partner_Voice!J:J,"",0))))</f>
        <v>Free</v>
      </c>
      <c r="K55" s="42"/>
      <c r="L55" s="42">
        <f t="array" ref="L55">IF(XLOOKUP($A55,Partner_Voice!$A:$A,Partner_Voice!L:L,"",0)="Free","Free",IF(XLOOKUP($A55,Partner_Voice!$A:$A,Partner_Voice!L:L,"",0)="VL","VL",IF(XLOOKUP($A55,Partner_Voice!$A:$A,Partner_Voice!L:L,"",0)="ATT","ATT",XLOOKUP($A55,Partner_Voice!$A:$A,Partner_Voice!L:L,"",0))))</f>
        <v>0.3333333333</v>
      </c>
      <c r="M55" s="42">
        <f t="array" ref="M55">IF(XLOOKUP($A55,Partner_Voice!$A:$A,Partner_Voice!M:M,"",0)="Free","Free",IF(XLOOKUP($A55,Partner_Voice!$A:$A,Partner_Voice!M:M,"",0)="VL","VL",IF(XLOOKUP($A55,Partner_Voice!$A:$A,Partner_Voice!M:M,"",0)="ATT","ATT",XLOOKUP($A55,Partner_Voice!$A:$A,Partner_Voice!M:M,"",0))))</f>
        <v>0.3333333333</v>
      </c>
      <c r="N55" s="42">
        <f t="array" ref="N55">IF(XLOOKUP($A55,Partner_Voice!$A:$A,Partner_Voice!N:N,"",0)="Free","Free",IF(XLOOKUP($A55,Partner_Voice!$A:$A,Partner_Voice!N:N,"",0)="VL","VL",IF(XLOOKUP($A55,Partner_Voice!$A:$A,Partner_Voice!N:N,"",0)="ATT","ATT",XLOOKUP($A55,Partner_Voice!$A:$A,Partner_Voice!N:N,"",0))))</f>
        <v>0.3333333333</v>
      </c>
      <c r="O55" s="42">
        <f t="array" ref="O55">IF(XLOOKUP($A55,Partner_Voice!$A:$A,Partner_Voice!O:O,"",0)="Free","Free",IF(XLOOKUP($A55,Partner_Voice!$A:$A,Partner_Voice!O:O,"",0)="VL","VL",IF(XLOOKUP($A55,Partner_Voice!$A:$A,Partner_Voice!O:O,"",0)="ATT","ATT",XLOOKUP($A55,Partner_Voice!$A:$A,Partner_Voice!O:O,"",0))))</f>
        <v>0.3333333333</v>
      </c>
      <c r="P55" s="42">
        <f t="array" ref="P55">IF(XLOOKUP($A55,Partner_Voice!$A:$A,Partner_Voice!P:P,"",0)="Free","Free",IF(XLOOKUP($A55,Partner_Voice!$A:$A,Partner_Voice!P:P,"",0)="VL","VL",IF(XLOOKUP($A55,Partner_Voice!$A:$A,Partner_Voice!P:P,"",0)="ATT","ATT",XLOOKUP($A55,Partner_Voice!$A:$A,Partner_Voice!P:P,"",0))))</f>
        <v>0.3333333333</v>
      </c>
      <c r="Q55" s="42" t="str">
        <f t="array" ref="Q55">IF(XLOOKUP($A55,Partner_Voice!$A:$A,Partner_Voice!Q:Q,"",0)="Free","Free",IF(XLOOKUP($A55,Partner_Voice!$A:$A,Partner_Voice!Q:Q,"",0)="VL","VL",IF(XLOOKUP($A55,Partner_Voice!$A:$A,Partner_Voice!Q:Q,"",0)="ATT","ATT",XLOOKUP($A55,Partner_Voice!$A:$A,Partner_Voice!Q:Q,"",0))))</f>
        <v>Free</v>
      </c>
      <c r="R55" s="43"/>
      <c r="S55" s="42">
        <f t="array" ref="S55">IF(XLOOKUP($A55,Partner_Voice!$A:$A,Partner_Voice!S:S,"",0)="Free","Free",IF(XLOOKUP($A55,Partner_Voice!$A:$A,Partner_Voice!S:S,"",0)="VL","VL",IF(XLOOKUP($A55,Partner_Voice!$A:$A,Partner_Voice!S:S,"",0)="ATT","ATT",XLOOKUP($A55,Partner_Voice!$A:$A,Partner_Voice!S:S,"",0))))</f>
        <v>0.3333333333</v>
      </c>
      <c r="T55" s="42">
        <f t="array" ref="T55">IF(XLOOKUP($A55,Partner_Voice!$A:$A,Partner_Voice!T:T,"",0)="Free","Free",IF(XLOOKUP($A55,Partner_Voice!$A:$A,Partner_Voice!T:T,"",0)="VL","VL",IF(XLOOKUP($A55,Partner_Voice!$A:$A,Partner_Voice!T:T,"",0)="ATT","ATT",XLOOKUP($A55,Partner_Voice!$A:$A,Partner_Voice!T:T,"",0))))</f>
        <v>0.3333333333</v>
      </c>
      <c r="U55" s="42">
        <f t="array" ref="U55">IF(XLOOKUP($A55,Partner_Voice!$A:$A,Partner_Voice!U:U,"",0)="Free","Free",IF(XLOOKUP($A55,Partner_Voice!$A:$A,Partner_Voice!U:U,"",0)="VL","VL",IF(XLOOKUP($A55,Partner_Voice!$A:$A,Partner_Voice!U:U,"",0)="ATT","ATT",XLOOKUP($A55,Partner_Voice!$A:$A,Partner_Voice!U:U,"",0))))</f>
        <v>0.3333333333</v>
      </c>
      <c r="V55" s="42">
        <f t="array" ref="V55">IF(XLOOKUP($A55,Partner_Voice!$A:$A,Partner_Voice!V:V,"",0)="Free","Free",IF(XLOOKUP($A55,Partner_Voice!$A:$A,Partner_Voice!V:V,"",0)="VL","VL",IF(XLOOKUP($A55,Partner_Voice!$A:$A,Partner_Voice!V:V,"",0)="ATT","ATT",XLOOKUP($A55,Partner_Voice!$A:$A,Partner_Voice!V:V,"",0))))</f>
        <v>0.3333333333</v>
      </c>
      <c r="W55" s="42">
        <f t="array" ref="W55">IF(XLOOKUP($A55,Partner_Voice!$A:$A,Partner_Voice!W:W,"",0)="Free","Free",IF(XLOOKUP($A55,Partner_Voice!$A:$A,Partner_Voice!W:W,"",0)="VL","VL",IF(XLOOKUP($A55,Partner_Voice!$A:$A,Partner_Voice!W:W,"",0)="ATT","ATT",XLOOKUP($A55,Partner_Voice!$A:$A,Partner_Voice!W:W,"",0))))</f>
        <v>0.3333333333</v>
      </c>
      <c r="X55" s="42" t="str">
        <f t="array" ref="X55">IF(XLOOKUP($A55,Partner_Voice!$A:$A,Partner_Voice!X:X,"",0)="Free","Free",IF(XLOOKUP($A55,Partner_Voice!$A:$A,Partner_Voice!X:X,"",0)="VL","VL",IF(XLOOKUP($A55,Partner_Voice!$A:$A,Partner_Voice!X:X,"",0)="ATT","ATT",XLOOKUP($A55,Partner_Voice!$A:$A,Partner_Voice!X:X,"",0))))</f>
        <v>Free</v>
      </c>
      <c r="Y55" s="43"/>
      <c r="Z55" s="42">
        <f t="array" ref="Z55">IF(XLOOKUP($A55,Partner_Voice!$A:$A,Partner_Voice!Z:Z,"",0)="Free","Free",IF(XLOOKUP($A55,Partner_Voice!$A:$A,Partner_Voice!Z:Z,"",0)="VL","VL",IF(XLOOKUP($A55,Partner_Voice!$A:$A,Partner_Voice!Z:Z,"",0)="ATT","ATT",XLOOKUP($A55,Partner_Voice!$A:$A,Partner_Voice!Z:Z,"",0))))</f>
        <v>0.3333333333</v>
      </c>
      <c r="AA55" s="42">
        <f t="array" ref="AA55">IF(XLOOKUP($A55,Partner_Voice!$A:$A,Partner_Voice!AA:AA,"",0)="Free","Free",IF(XLOOKUP($A55,Partner_Voice!$A:$A,Partner_Voice!AA:AA,"",0)="VL","VL",IF(XLOOKUP($A55,Partner_Voice!$A:$A,Partner_Voice!AA:AA,"",0)="ATT","ATT",XLOOKUP($A55,Partner_Voice!$A:$A,Partner_Voice!AA:AA,"",0))))</f>
        <v>0.3333333333</v>
      </c>
      <c r="AB55" s="42">
        <f t="array" ref="AB55">IF(XLOOKUP($A55,Partner_Voice!$A:$A,Partner_Voice!AB:AB,"",0)="Free","Free",IF(XLOOKUP($A55,Partner_Voice!$A:$A,Partner_Voice!AB:AB,"",0)="VL","VL",IF(XLOOKUP($A55,Partner_Voice!$A:$A,Partner_Voice!AB:AB,"",0)="ATT","ATT",XLOOKUP($A55,Partner_Voice!$A:$A,Partner_Voice!AB:AB,"",0))))</f>
        <v>0.3333333333</v>
      </c>
      <c r="AC55" s="42">
        <f t="array" ref="AC55">IF(XLOOKUP($A55,Partner_Voice!$A:$A,Partner_Voice!AC:AC,"",0)="Free","Free",IF(XLOOKUP($A55,Partner_Voice!$A:$A,Partner_Voice!AC:AC,"",0)="VL","VL",IF(XLOOKUP($A55,Partner_Voice!$A:$A,Partner_Voice!AC:AC,"",0)="ATT","ATT",XLOOKUP($A55,Partner_Voice!$A:$A,Partner_Voice!AC:AC,"",0))))</f>
        <v>0.3333333333</v>
      </c>
      <c r="AD55" s="42">
        <f t="array" ref="AD55">IF(XLOOKUP($A55,Partner_Voice!$A:$A,Partner_Voice!AD:AD,"",0)="Free","Free",IF(XLOOKUP($A55,Partner_Voice!$A:$A,Partner_Voice!AD:AD,"",0)="VL","VL",IF(XLOOKUP($A55,Partner_Voice!$A:$A,Partner_Voice!AD:AD,"",0)="ATT","ATT",XLOOKUP($A55,Partner_Voice!$A:$A,Partner_Voice!AD:AD,"",0))))</f>
        <v>0.3333333333</v>
      </c>
      <c r="AE55" s="42" t="str">
        <f t="array" ref="AE55">IF(XLOOKUP($A55,Partner_Voice!$A:$A,Partner_Voice!AE:AE,"",0)="Free","Free",IF(XLOOKUP($A55,Partner_Voice!$A:$A,Partner_Voice!AE:AE,"",0)="VL","VL",IF(XLOOKUP($A55,Partner_Voice!$A:$A,Partner_Voice!AE:AE,"",0)="ATT","ATT",XLOOKUP($A55,Partner_Voice!$A:$A,Partner_Voice!AE:AE,"",0))))</f>
        <v>Free</v>
      </c>
      <c r="AF55" s="69"/>
      <c r="AG55" s="42">
        <f t="array" ref="AG55">IF(XLOOKUP($A55,Partner_Voice!$A:$A,Partner_Voice!AG:AG,"",0)="Free","Free",IF(XLOOKUP($A55,Partner_Voice!$A:$A,Partner_Voice!AG:AG,"",0)="VL","VL",IF(XLOOKUP($A55,Partner_Voice!$A:$A,Partner_Voice!AG:AG,"",0)="ATT","ATT",XLOOKUP($A55,Partner_Voice!$A:$A,Partner_Voice!AG:AG,"",0))))</f>
        <v>0.3333333333</v>
      </c>
      <c r="AH55" s="42">
        <f t="array" ref="AH55">IF(XLOOKUP($A55,Partner_Voice!$A:$A,Partner_Voice!AH:AH,"",0)="Free","Free",IF(XLOOKUP($A55,Partner_Voice!$A:$A,Partner_Voice!AH:AH,"",0)="VL","VL",IF(XLOOKUP($A55,Partner_Voice!$A:$A,Partner_Voice!AH:AH,"",0)="ATT","ATT",XLOOKUP($A55,Partner_Voice!$A:$A,Partner_Voice!AH:AH,"",0))))</f>
        <v>0.3333333333</v>
      </c>
      <c r="AI55" s="42">
        <f t="array" ref="AI55">IF(XLOOKUP($A55,Partner_Voice!$A:$A,Partner_Voice!AI:AI,"",0)="Free","Free",IF(XLOOKUP($A55,Partner_Voice!$A:$A,Partner_Voice!AI:AI,"",0)="VL","VL",IF(XLOOKUP($A55,Partner_Voice!$A:$A,Partner_Voice!AI:AI,"",0)="ATT","ATT",XLOOKUP($A55,Partner_Voice!$A:$A,Partner_Voice!AI:AI,"",0))))</f>
        <v>0.3333333333</v>
      </c>
      <c r="AJ55" s="42">
        <f t="array" ref="AJ55">IF(XLOOKUP($A55,Partner_Voice!$A:$A,Partner_Voice!AJ:AJ,"",0)="Free","Free",IF(XLOOKUP($A55,Partner_Voice!$A:$A,Partner_Voice!AJ:AJ,"",0)="VL","VL",IF(XLOOKUP($A55,Partner_Voice!$A:$A,Partner_Voice!AJ:AJ,"",0)="ATT","ATT",XLOOKUP($A55,Partner_Voice!$A:$A,Partner_Voice!AJ:AJ,"",0))))</f>
        <v>0.3333333333</v>
      </c>
      <c r="AK55" s="42">
        <f t="array" ref="AK55">IF(XLOOKUP($A55,Partner_Voice!$A:$A,Partner_Voice!AK:AK,"",0)="Free","Free",IF(XLOOKUP($A55,Partner_Voice!$A:$A,Partner_Voice!AK:AK,"",0)="VL","VL",IF(XLOOKUP($A55,Partner_Voice!$A:$A,Partner_Voice!AK:AK,"",0)="ATT","ATT",XLOOKUP($A55,Partner_Voice!$A:$A,Partner_Voice!AK:AK,"",0))))</f>
        <v>0.3333333333</v>
      </c>
      <c r="AL55" s="42" t="str">
        <f t="array" ref="AL55">IF(XLOOKUP($A55,Partner_Voice!$A:$A,Partner_Voice!AL:AL,"",0)="Free","Free",IF(XLOOKUP($A55,Partner_Voice!$A:$A,Partner_Voice!AL:AL,"",0)="VL","VL",IF(XLOOKUP($A55,Partner_Voice!$A:$A,Partner_Voice!AL:AL,"",0)="ATT","ATT",XLOOKUP($A55,Partner_Voice!$A:$A,Partner_Voice!AL:AL,"",0))))</f>
        <v>Free</v>
      </c>
      <c r="AM55" s="42"/>
    </row>
    <row r="56">
      <c r="A56" s="47" t="s">
        <v>79</v>
      </c>
      <c r="B56" s="35" t="str">
        <f t="array" ref="B56">XLOOKUP(A56,Roster!F:F,Roster!A:A,"")</f>
        <v>Martin Salazar</v>
      </c>
      <c r="C56" s="35" t="str">
        <f t="array" ref="C56">XLOOKUP(A56,Roster!F:F,Roster!B:B,"")</f>
        <v>Valentina Barreto</v>
      </c>
      <c r="D56" s="70"/>
      <c r="E56" s="42">
        <f t="array" ref="E56">IF(XLOOKUP($A56,Partner_Voice!$A:$A,Partner_Voice!E:E,"",0)="Free","Free",IF(XLOOKUP($A56,Partner_Voice!$A:$A,Partner_Voice!E:E,"",0)="VL","VL",IF(XLOOKUP($A56,Partner_Voice!$A:$A,Partner_Voice!E:E,"",0)="ATT","ATT",XLOOKUP($A56,Partner_Voice!$A:$A,Partner_Voice!E:E,"",0))))</f>
        <v>0.3333333333</v>
      </c>
      <c r="F56" s="42">
        <f t="array" ref="F56">IF(XLOOKUP($A56,Partner_Voice!$A:$A,Partner_Voice!F:F,"",0)="Free","Free",IF(XLOOKUP($A56,Partner_Voice!$A:$A,Partner_Voice!F:F,"",0)="VL","VL",IF(XLOOKUP($A56,Partner_Voice!$A:$A,Partner_Voice!F:F,"",0)="ATT","ATT",XLOOKUP($A56,Partner_Voice!$A:$A,Partner_Voice!F:F,"",0))))</f>
        <v>0.3333333333</v>
      </c>
      <c r="G56" s="42">
        <f t="array" ref="G56">IF(XLOOKUP($A56,Partner_Voice!$A:$A,Partner_Voice!G:G,"",0)="Free","Free",IF(XLOOKUP($A56,Partner_Voice!$A:$A,Partner_Voice!G:G,"",0)="VL","VL",IF(XLOOKUP($A56,Partner_Voice!$A:$A,Partner_Voice!G:G,"",0)="ATT","ATT",XLOOKUP($A56,Partner_Voice!$A:$A,Partner_Voice!G:G,"",0))))</f>
        <v>0.3333333333</v>
      </c>
      <c r="H56" s="42">
        <f t="array" ref="H56">IF(XLOOKUP($A56,Partner_Voice!$A:$A,Partner_Voice!H:H,"",0)="Free","Free",IF(XLOOKUP($A56,Partner_Voice!$A:$A,Partner_Voice!H:H,"",0)="VL","VL",IF(XLOOKUP($A56,Partner_Voice!$A:$A,Partner_Voice!H:H,"",0)="ATT","ATT",XLOOKUP($A56,Partner_Voice!$A:$A,Partner_Voice!H:H,"",0))))</f>
        <v>0.3333333333</v>
      </c>
      <c r="I56" s="42">
        <f t="array" ref="I56">IF(XLOOKUP($A56,Partner_Voice!$A:$A,Partner_Voice!I:I,"",0)="Free","Free",IF(XLOOKUP($A56,Partner_Voice!$A:$A,Partner_Voice!I:I,"",0)="VL","VL",IF(XLOOKUP($A56,Partner_Voice!$A:$A,Partner_Voice!I:I,"",0)="ATT","ATT",XLOOKUP($A56,Partner_Voice!$A:$A,Partner_Voice!I:I,"",0))))</f>
        <v>0.3333333333</v>
      </c>
      <c r="J56" s="42" t="str">
        <f t="array" ref="J56">IF(XLOOKUP($A56,Partner_Voice!$A:$A,Partner_Voice!J:J,"",0)="Free","Free",IF(XLOOKUP($A56,Partner_Voice!$A:$A,Partner_Voice!J:J,"",0)="VL","VL",IF(XLOOKUP($A56,Partner_Voice!$A:$A,Partner_Voice!J:J,"",0)="ATT","ATT",XLOOKUP($A56,Partner_Voice!$A:$A,Partner_Voice!J:J,"",0))))</f>
        <v>Free</v>
      </c>
      <c r="K56" s="42"/>
      <c r="L56" s="42">
        <f t="array" ref="L56">IF(XLOOKUP($A56,Partner_Voice!$A:$A,Partner_Voice!L:L,"",0)="Free","Free",IF(XLOOKUP($A56,Partner_Voice!$A:$A,Partner_Voice!L:L,"",0)="VL","VL",IF(XLOOKUP($A56,Partner_Voice!$A:$A,Partner_Voice!L:L,"",0)="ATT","ATT",XLOOKUP($A56,Partner_Voice!$A:$A,Partner_Voice!L:L,"",0))))</f>
        <v>0.3333333333</v>
      </c>
      <c r="M56" s="42">
        <f t="array" ref="M56">IF(XLOOKUP($A56,Partner_Voice!$A:$A,Partner_Voice!M:M,"",0)="Free","Free",IF(XLOOKUP($A56,Partner_Voice!$A:$A,Partner_Voice!M:M,"",0)="VL","VL",IF(XLOOKUP($A56,Partner_Voice!$A:$A,Partner_Voice!M:M,"",0)="ATT","ATT",XLOOKUP($A56,Partner_Voice!$A:$A,Partner_Voice!M:M,"",0))))</f>
        <v>0.3333333333</v>
      </c>
      <c r="N56" s="42">
        <f t="array" ref="N56">IF(XLOOKUP($A56,Partner_Voice!$A:$A,Partner_Voice!N:N,"",0)="Free","Free",IF(XLOOKUP($A56,Partner_Voice!$A:$A,Partner_Voice!N:N,"",0)="VL","VL",IF(XLOOKUP($A56,Partner_Voice!$A:$A,Partner_Voice!N:N,"",0)="ATT","ATT",XLOOKUP($A56,Partner_Voice!$A:$A,Partner_Voice!N:N,"",0))))</f>
        <v>0.3333333333</v>
      </c>
      <c r="O56" s="42">
        <f t="array" ref="O56">IF(XLOOKUP($A56,Partner_Voice!$A:$A,Partner_Voice!O:O,"",0)="Free","Free",IF(XLOOKUP($A56,Partner_Voice!$A:$A,Partner_Voice!O:O,"",0)="VL","VL",IF(XLOOKUP($A56,Partner_Voice!$A:$A,Partner_Voice!O:O,"",0)="ATT","ATT",XLOOKUP($A56,Partner_Voice!$A:$A,Partner_Voice!O:O,"",0))))</f>
        <v>0.3333333333</v>
      </c>
      <c r="P56" s="42">
        <f t="array" ref="P56">IF(XLOOKUP($A56,Partner_Voice!$A:$A,Partner_Voice!P:P,"",0)="Free","Free",IF(XLOOKUP($A56,Partner_Voice!$A:$A,Partner_Voice!P:P,"",0)="VL","VL",IF(XLOOKUP($A56,Partner_Voice!$A:$A,Partner_Voice!P:P,"",0)="ATT","ATT",XLOOKUP($A56,Partner_Voice!$A:$A,Partner_Voice!P:P,"",0))))</f>
        <v>0.3333333333</v>
      </c>
      <c r="Q56" s="42" t="str">
        <f t="array" ref="Q56">IF(XLOOKUP($A56,Partner_Voice!$A:$A,Partner_Voice!Q:Q,"",0)="Free","Free",IF(XLOOKUP($A56,Partner_Voice!$A:$A,Partner_Voice!Q:Q,"",0)="VL","VL",IF(XLOOKUP($A56,Partner_Voice!$A:$A,Partner_Voice!Q:Q,"",0)="ATT","ATT",XLOOKUP($A56,Partner_Voice!$A:$A,Partner_Voice!Q:Q,"",0))))</f>
        <v>Free</v>
      </c>
      <c r="R56" s="43"/>
      <c r="S56" s="42">
        <f t="array" ref="S56">IF(XLOOKUP($A56,Partner_Voice!$A:$A,Partner_Voice!S:S,"",0)="Free","Free",IF(XLOOKUP($A56,Partner_Voice!$A:$A,Partner_Voice!S:S,"",0)="VL","VL",IF(XLOOKUP($A56,Partner_Voice!$A:$A,Partner_Voice!S:S,"",0)="ATT","ATT",XLOOKUP($A56,Partner_Voice!$A:$A,Partner_Voice!S:S,"",0))))</f>
        <v>0.3333333333</v>
      </c>
      <c r="T56" s="42">
        <f t="array" ref="T56">IF(XLOOKUP($A56,Partner_Voice!$A:$A,Partner_Voice!T:T,"",0)="Free","Free",IF(XLOOKUP($A56,Partner_Voice!$A:$A,Partner_Voice!T:T,"",0)="VL","VL",IF(XLOOKUP($A56,Partner_Voice!$A:$A,Partner_Voice!T:T,"",0)="ATT","ATT",XLOOKUP($A56,Partner_Voice!$A:$A,Partner_Voice!T:T,"",0))))</f>
        <v>0.3333333333</v>
      </c>
      <c r="U56" s="42">
        <f t="array" ref="U56">IF(XLOOKUP($A56,Partner_Voice!$A:$A,Partner_Voice!U:U,"",0)="Free","Free",IF(XLOOKUP($A56,Partner_Voice!$A:$A,Partner_Voice!U:U,"",0)="VL","VL",IF(XLOOKUP($A56,Partner_Voice!$A:$A,Partner_Voice!U:U,"",0)="ATT","ATT",XLOOKUP($A56,Partner_Voice!$A:$A,Partner_Voice!U:U,"",0))))</f>
        <v>0.3333333333</v>
      </c>
      <c r="V56" s="42">
        <f t="array" ref="V56">IF(XLOOKUP($A56,Partner_Voice!$A:$A,Partner_Voice!V:V,"",0)="Free","Free",IF(XLOOKUP($A56,Partner_Voice!$A:$A,Partner_Voice!V:V,"",0)="VL","VL",IF(XLOOKUP($A56,Partner_Voice!$A:$A,Partner_Voice!V:V,"",0)="ATT","ATT",XLOOKUP($A56,Partner_Voice!$A:$A,Partner_Voice!V:V,"",0))))</f>
        <v>0.3333333333</v>
      </c>
      <c r="W56" s="42">
        <f t="array" ref="W56">IF(XLOOKUP($A56,Partner_Voice!$A:$A,Partner_Voice!W:W,"",0)="Free","Free",IF(XLOOKUP($A56,Partner_Voice!$A:$A,Partner_Voice!W:W,"",0)="VL","VL",IF(XLOOKUP($A56,Partner_Voice!$A:$A,Partner_Voice!W:W,"",0)="ATT","ATT",XLOOKUP($A56,Partner_Voice!$A:$A,Partner_Voice!W:W,"",0))))</f>
        <v>0.3333333333</v>
      </c>
      <c r="X56" s="42" t="str">
        <f t="array" ref="X56">IF(XLOOKUP($A56,Partner_Voice!$A:$A,Partner_Voice!X:X,"",0)="Free","Free",IF(XLOOKUP($A56,Partner_Voice!$A:$A,Partner_Voice!X:X,"",0)="VL","VL",IF(XLOOKUP($A56,Partner_Voice!$A:$A,Partner_Voice!X:X,"",0)="ATT","ATT",XLOOKUP($A56,Partner_Voice!$A:$A,Partner_Voice!X:X,"",0))))</f>
        <v>Free</v>
      </c>
      <c r="Y56" s="43"/>
      <c r="Z56" s="42">
        <f t="array" ref="Z56">IF(XLOOKUP($A56,Partner_Voice!$A:$A,Partner_Voice!Z:Z,"",0)="Free","Free",IF(XLOOKUP($A56,Partner_Voice!$A:$A,Partner_Voice!Z:Z,"",0)="VL","VL",IF(XLOOKUP($A56,Partner_Voice!$A:$A,Partner_Voice!Z:Z,"",0)="ATT","ATT",XLOOKUP($A56,Partner_Voice!$A:$A,Partner_Voice!Z:Z,"",0))))</f>
        <v>0.3333333333</v>
      </c>
      <c r="AA56" s="42">
        <f t="array" ref="AA56">IF(XLOOKUP($A56,Partner_Voice!$A:$A,Partner_Voice!AA:AA,"",0)="Free","Free",IF(XLOOKUP($A56,Partner_Voice!$A:$A,Partner_Voice!AA:AA,"",0)="VL","VL",IF(XLOOKUP($A56,Partner_Voice!$A:$A,Partner_Voice!AA:AA,"",0)="ATT","ATT",XLOOKUP($A56,Partner_Voice!$A:$A,Partner_Voice!AA:AA,"",0))))</f>
        <v>0.3333333333</v>
      </c>
      <c r="AB56" s="42">
        <f t="array" ref="AB56">IF(XLOOKUP($A56,Partner_Voice!$A:$A,Partner_Voice!AB:AB,"",0)="Free","Free",IF(XLOOKUP($A56,Partner_Voice!$A:$A,Partner_Voice!AB:AB,"",0)="VL","VL",IF(XLOOKUP($A56,Partner_Voice!$A:$A,Partner_Voice!AB:AB,"",0)="ATT","ATT",XLOOKUP($A56,Partner_Voice!$A:$A,Partner_Voice!AB:AB,"",0))))</f>
        <v>0.3333333333</v>
      </c>
      <c r="AC56" s="42">
        <f t="array" ref="AC56">IF(XLOOKUP($A56,Partner_Voice!$A:$A,Partner_Voice!AC:AC,"",0)="Free","Free",IF(XLOOKUP($A56,Partner_Voice!$A:$A,Partner_Voice!AC:AC,"",0)="VL","VL",IF(XLOOKUP($A56,Partner_Voice!$A:$A,Partner_Voice!AC:AC,"",0)="ATT","ATT",XLOOKUP($A56,Partner_Voice!$A:$A,Partner_Voice!AC:AC,"",0))))</f>
        <v>0.3333333333</v>
      </c>
      <c r="AD56" s="42">
        <f t="array" ref="AD56">IF(XLOOKUP($A56,Partner_Voice!$A:$A,Partner_Voice!AD:AD,"",0)="Free","Free",IF(XLOOKUP($A56,Partner_Voice!$A:$A,Partner_Voice!AD:AD,"",0)="VL","VL",IF(XLOOKUP($A56,Partner_Voice!$A:$A,Partner_Voice!AD:AD,"",0)="ATT","ATT",XLOOKUP($A56,Partner_Voice!$A:$A,Partner_Voice!AD:AD,"",0))))</f>
        <v>0.3333333333</v>
      </c>
      <c r="AE56" s="42" t="str">
        <f t="array" ref="AE56">IF(XLOOKUP($A56,Partner_Voice!$A:$A,Partner_Voice!AE:AE,"",0)="Free","Free",IF(XLOOKUP($A56,Partner_Voice!$A:$A,Partner_Voice!AE:AE,"",0)="VL","VL",IF(XLOOKUP($A56,Partner_Voice!$A:$A,Partner_Voice!AE:AE,"",0)="ATT","ATT",XLOOKUP($A56,Partner_Voice!$A:$A,Partner_Voice!AE:AE,"",0))))</f>
        <v>Free</v>
      </c>
      <c r="AF56" s="69"/>
      <c r="AG56" s="42">
        <f t="array" ref="AG56">IF(XLOOKUP($A56,Partner_Voice!$A:$A,Partner_Voice!AG:AG,"",0)="Free","Free",IF(XLOOKUP($A56,Partner_Voice!$A:$A,Partner_Voice!AG:AG,"",0)="VL","VL",IF(XLOOKUP($A56,Partner_Voice!$A:$A,Partner_Voice!AG:AG,"",0)="ATT","ATT",XLOOKUP($A56,Partner_Voice!$A:$A,Partner_Voice!AG:AG,"",0))))</f>
        <v>0.3333333333</v>
      </c>
      <c r="AH56" s="42">
        <f t="array" ref="AH56">IF(XLOOKUP($A56,Partner_Voice!$A:$A,Partner_Voice!AH:AH,"",0)="Free","Free",IF(XLOOKUP($A56,Partner_Voice!$A:$A,Partner_Voice!AH:AH,"",0)="VL","VL",IF(XLOOKUP($A56,Partner_Voice!$A:$A,Partner_Voice!AH:AH,"",0)="ATT","ATT",XLOOKUP($A56,Partner_Voice!$A:$A,Partner_Voice!AH:AH,"",0))))</f>
        <v>0.3333333333</v>
      </c>
      <c r="AI56" s="42">
        <f t="array" ref="AI56">IF(XLOOKUP($A56,Partner_Voice!$A:$A,Partner_Voice!AI:AI,"",0)="Free","Free",IF(XLOOKUP($A56,Partner_Voice!$A:$A,Partner_Voice!AI:AI,"",0)="VL","VL",IF(XLOOKUP($A56,Partner_Voice!$A:$A,Partner_Voice!AI:AI,"",0)="ATT","ATT",XLOOKUP($A56,Partner_Voice!$A:$A,Partner_Voice!AI:AI,"",0))))</f>
        <v>0.3333333333</v>
      </c>
      <c r="AJ56" s="42">
        <f t="array" ref="AJ56">IF(XLOOKUP($A56,Partner_Voice!$A:$A,Partner_Voice!AJ:AJ,"",0)="Free","Free",IF(XLOOKUP($A56,Partner_Voice!$A:$A,Partner_Voice!AJ:AJ,"",0)="VL","VL",IF(XLOOKUP($A56,Partner_Voice!$A:$A,Partner_Voice!AJ:AJ,"",0)="ATT","ATT",XLOOKUP($A56,Partner_Voice!$A:$A,Partner_Voice!AJ:AJ,"",0))))</f>
        <v>0.3333333333</v>
      </c>
      <c r="AK56" s="42">
        <f t="array" ref="AK56">IF(XLOOKUP($A56,Partner_Voice!$A:$A,Partner_Voice!AK:AK,"",0)="Free","Free",IF(XLOOKUP($A56,Partner_Voice!$A:$A,Partner_Voice!AK:AK,"",0)="VL","VL",IF(XLOOKUP($A56,Partner_Voice!$A:$A,Partner_Voice!AK:AK,"",0)="ATT","ATT",XLOOKUP($A56,Partner_Voice!$A:$A,Partner_Voice!AK:AK,"",0))))</f>
        <v>0.3333333333</v>
      </c>
      <c r="AL56" s="42" t="str">
        <f t="array" ref="AL56">IF(XLOOKUP($A56,Partner_Voice!$A:$A,Partner_Voice!AL:AL,"",0)="Free","Free",IF(XLOOKUP($A56,Partner_Voice!$A:$A,Partner_Voice!AL:AL,"",0)="VL","VL",IF(XLOOKUP($A56,Partner_Voice!$A:$A,Partner_Voice!AL:AL,"",0)="ATT","ATT",XLOOKUP($A56,Partner_Voice!$A:$A,Partner_Voice!AL:AL,"",0))))</f>
        <v>Free</v>
      </c>
      <c r="AM56" s="42"/>
    </row>
    <row r="57">
      <c r="A57" s="47" t="s">
        <v>80</v>
      </c>
      <c r="B57" s="35" t="str">
        <f t="array" ref="B57">XLOOKUP(A57,Roster!F:F,Roster!A:A,"")</f>
        <v>Martin Salazar</v>
      </c>
      <c r="C57" s="35" t="str">
        <f t="array" ref="C57">XLOOKUP(A57,Roster!F:F,Roster!B:B,"")</f>
        <v>Valentina Castro</v>
      </c>
      <c r="D57" s="70"/>
      <c r="E57" s="42">
        <f t="array" ref="E57">IF(XLOOKUP($A57,Partner_Voice!$A:$A,Partner_Voice!E:E,"",0)="Free","Free",IF(XLOOKUP($A57,Partner_Voice!$A:$A,Partner_Voice!E:E,"",0)="VL","VL",IF(XLOOKUP($A57,Partner_Voice!$A:$A,Partner_Voice!E:E,"",0)="ATT","ATT",XLOOKUP($A57,Partner_Voice!$A:$A,Partner_Voice!E:E,"",0))))</f>
        <v>0.3333333333</v>
      </c>
      <c r="F57" s="42">
        <f t="array" ref="F57">IF(XLOOKUP($A57,Partner_Voice!$A:$A,Partner_Voice!F:F,"",0)="Free","Free",IF(XLOOKUP($A57,Partner_Voice!$A:$A,Partner_Voice!F:F,"",0)="VL","VL",IF(XLOOKUP($A57,Partner_Voice!$A:$A,Partner_Voice!F:F,"",0)="ATT","ATT",XLOOKUP($A57,Partner_Voice!$A:$A,Partner_Voice!F:F,"",0))))</f>
        <v>0.3333333333</v>
      </c>
      <c r="G57" s="42" t="str">
        <f t="array" ref="G57">IF(XLOOKUP($A57,Partner_Voice!$A:$A,Partner_Voice!G:G,"",0)="Free","Free",IF(XLOOKUP($A57,Partner_Voice!$A:$A,Partner_Voice!G:G,"",0)="VL","VL",IF(XLOOKUP($A57,Partner_Voice!$A:$A,Partner_Voice!G:G,"",0)="ATT","ATT",XLOOKUP($A57,Partner_Voice!$A:$A,Partner_Voice!G:G,"",0))))</f>
        <v>Free</v>
      </c>
      <c r="H57" s="42">
        <f t="array" ref="H57">IF(XLOOKUP($A57,Partner_Voice!$A:$A,Partner_Voice!H:H,"",0)="Free","Free",IF(XLOOKUP($A57,Partner_Voice!$A:$A,Partner_Voice!H:H,"",0)="VL","VL",IF(XLOOKUP($A57,Partner_Voice!$A:$A,Partner_Voice!H:H,"",0)="ATT","ATT",XLOOKUP($A57,Partner_Voice!$A:$A,Partner_Voice!H:H,"",0))))</f>
        <v>0.3333333333</v>
      </c>
      <c r="I57" s="42">
        <f t="array" ref="I57">IF(XLOOKUP($A57,Partner_Voice!$A:$A,Partner_Voice!I:I,"",0)="Free","Free",IF(XLOOKUP($A57,Partner_Voice!$A:$A,Partner_Voice!I:I,"",0)="VL","VL",IF(XLOOKUP($A57,Partner_Voice!$A:$A,Partner_Voice!I:I,"",0)="ATT","ATT",XLOOKUP($A57,Partner_Voice!$A:$A,Partner_Voice!I:I,"",0))))</f>
        <v>0.3333333333</v>
      </c>
      <c r="J57" s="42">
        <f t="array" ref="J57">IF(XLOOKUP($A57,Partner_Voice!$A:$A,Partner_Voice!J:J,"",0)="Free","Free",IF(XLOOKUP($A57,Partner_Voice!$A:$A,Partner_Voice!J:J,"",0)="VL","VL",IF(XLOOKUP($A57,Partner_Voice!$A:$A,Partner_Voice!J:J,"",0)="ATT","ATT",XLOOKUP($A57,Partner_Voice!$A:$A,Partner_Voice!J:J,"",0))))</f>
        <v>0.3333333333</v>
      </c>
      <c r="K57" s="42"/>
      <c r="L57" s="42">
        <f t="array" ref="L57">IF(XLOOKUP($A57,Partner_Voice!$A:$A,Partner_Voice!L:L,"",0)="Free","Free",IF(XLOOKUP($A57,Partner_Voice!$A:$A,Partner_Voice!L:L,"",0)="VL","VL",IF(XLOOKUP($A57,Partner_Voice!$A:$A,Partner_Voice!L:L,"",0)="ATT","ATT",XLOOKUP($A57,Partner_Voice!$A:$A,Partner_Voice!L:L,"",0))))</f>
        <v>0.3333333333</v>
      </c>
      <c r="M57" s="42">
        <f t="array" ref="M57">IF(XLOOKUP($A57,Partner_Voice!$A:$A,Partner_Voice!M:M,"",0)="Free","Free",IF(XLOOKUP($A57,Partner_Voice!$A:$A,Partner_Voice!M:M,"",0)="VL","VL",IF(XLOOKUP($A57,Partner_Voice!$A:$A,Partner_Voice!M:M,"",0)="ATT","ATT",XLOOKUP($A57,Partner_Voice!$A:$A,Partner_Voice!M:M,"",0))))</f>
        <v>0.3333333333</v>
      </c>
      <c r="N57" s="42" t="str">
        <f t="array" ref="N57">IF(XLOOKUP($A57,Partner_Voice!$A:$A,Partner_Voice!N:N,"",0)="Free","Free",IF(XLOOKUP($A57,Partner_Voice!$A:$A,Partner_Voice!N:N,"",0)="VL","VL",IF(XLOOKUP($A57,Partner_Voice!$A:$A,Partner_Voice!N:N,"",0)="ATT","ATT",XLOOKUP($A57,Partner_Voice!$A:$A,Partner_Voice!N:N,"",0))))</f>
        <v>Free</v>
      </c>
      <c r="O57" s="42">
        <f t="array" ref="O57">IF(XLOOKUP($A57,Partner_Voice!$A:$A,Partner_Voice!O:O,"",0)="Free","Free",IF(XLOOKUP($A57,Partner_Voice!$A:$A,Partner_Voice!O:O,"",0)="VL","VL",IF(XLOOKUP($A57,Partner_Voice!$A:$A,Partner_Voice!O:O,"",0)="ATT","ATT",XLOOKUP($A57,Partner_Voice!$A:$A,Partner_Voice!O:O,"",0))))</f>
        <v>0.3333333333</v>
      </c>
      <c r="P57" s="42">
        <f t="array" ref="P57">IF(XLOOKUP($A57,Partner_Voice!$A:$A,Partner_Voice!P:P,"",0)="Free","Free",IF(XLOOKUP($A57,Partner_Voice!$A:$A,Partner_Voice!P:P,"",0)="VL","VL",IF(XLOOKUP($A57,Partner_Voice!$A:$A,Partner_Voice!P:P,"",0)="ATT","ATT",XLOOKUP($A57,Partner_Voice!$A:$A,Partner_Voice!P:P,"",0))))</f>
        <v>0.3333333333</v>
      </c>
      <c r="Q57" s="42">
        <f t="array" ref="Q57">IF(XLOOKUP($A57,Partner_Voice!$A:$A,Partner_Voice!Q:Q,"",0)="Free","Free",IF(XLOOKUP($A57,Partner_Voice!$A:$A,Partner_Voice!Q:Q,"",0)="VL","VL",IF(XLOOKUP($A57,Partner_Voice!$A:$A,Partner_Voice!Q:Q,"",0)="ATT","ATT",XLOOKUP($A57,Partner_Voice!$A:$A,Partner_Voice!Q:Q,"",0))))</f>
        <v>0.3333333333</v>
      </c>
      <c r="R57" s="43"/>
      <c r="S57" s="42">
        <f t="array" ref="S57">IF(XLOOKUP($A57,Partner_Voice!$A:$A,Partner_Voice!S:S,"",0)="Free","Free",IF(XLOOKUP($A57,Partner_Voice!$A:$A,Partner_Voice!S:S,"",0)="VL","VL",IF(XLOOKUP($A57,Partner_Voice!$A:$A,Partner_Voice!S:S,"",0)="ATT","ATT",XLOOKUP($A57,Partner_Voice!$A:$A,Partner_Voice!S:S,"",0))))</f>
        <v>0.3333333333</v>
      </c>
      <c r="T57" s="42">
        <f t="array" ref="T57">IF(XLOOKUP($A57,Partner_Voice!$A:$A,Partner_Voice!T:T,"",0)="Free","Free",IF(XLOOKUP($A57,Partner_Voice!$A:$A,Partner_Voice!T:T,"",0)="VL","VL",IF(XLOOKUP($A57,Partner_Voice!$A:$A,Partner_Voice!T:T,"",0)="ATT","ATT",XLOOKUP($A57,Partner_Voice!$A:$A,Partner_Voice!T:T,"",0))))</f>
        <v>0.3333333333</v>
      </c>
      <c r="U57" s="42" t="str">
        <f t="array" ref="U57">IF(XLOOKUP($A57,Partner_Voice!$A:$A,Partner_Voice!U:U,"",0)="Free","Free",IF(XLOOKUP($A57,Partner_Voice!$A:$A,Partner_Voice!U:U,"",0)="VL","VL",IF(XLOOKUP($A57,Partner_Voice!$A:$A,Partner_Voice!U:U,"",0)="ATT","ATT",XLOOKUP($A57,Partner_Voice!$A:$A,Partner_Voice!U:U,"",0))))</f>
        <v>Free</v>
      </c>
      <c r="V57" s="42">
        <f t="array" ref="V57">IF(XLOOKUP($A57,Partner_Voice!$A:$A,Partner_Voice!V:V,"",0)="Free","Free",IF(XLOOKUP($A57,Partner_Voice!$A:$A,Partner_Voice!V:V,"",0)="VL","VL",IF(XLOOKUP($A57,Partner_Voice!$A:$A,Partner_Voice!V:V,"",0)="ATT","ATT",XLOOKUP($A57,Partner_Voice!$A:$A,Partner_Voice!V:V,"",0))))</f>
        <v>0.3333333333</v>
      </c>
      <c r="W57" s="42">
        <f t="array" ref="W57">IF(XLOOKUP($A57,Partner_Voice!$A:$A,Partner_Voice!W:W,"",0)="Free","Free",IF(XLOOKUP($A57,Partner_Voice!$A:$A,Partner_Voice!W:W,"",0)="VL","VL",IF(XLOOKUP($A57,Partner_Voice!$A:$A,Partner_Voice!W:W,"",0)="ATT","ATT",XLOOKUP($A57,Partner_Voice!$A:$A,Partner_Voice!W:W,"",0))))</f>
        <v>0.3333333333</v>
      </c>
      <c r="X57" s="42">
        <f t="array" ref="X57">IF(XLOOKUP($A57,Partner_Voice!$A:$A,Partner_Voice!X:X,"",0)="Free","Free",IF(XLOOKUP($A57,Partner_Voice!$A:$A,Partner_Voice!X:X,"",0)="VL","VL",IF(XLOOKUP($A57,Partner_Voice!$A:$A,Partner_Voice!X:X,"",0)="ATT","ATT",XLOOKUP($A57,Partner_Voice!$A:$A,Partner_Voice!X:X,"",0))))</f>
        <v>0.3333333333</v>
      </c>
      <c r="Y57" s="43"/>
      <c r="Z57" s="42">
        <f t="array" ref="Z57">IF(XLOOKUP($A57,Partner_Voice!$A:$A,Partner_Voice!Z:Z,"",0)="Free","Free",IF(XLOOKUP($A57,Partner_Voice!$A:$A,Partner_Voice!Z:Z,"",0)="VL","VL",IF(XLOOKUP($A57,Partner_Voice!$A:$A,Partner_Voice!Z:Z,"",0)="ATT","ATT",XLOOKUP($A57,Partner_Voice!$A:$A,Partner_Voice!Z:Z,"",0))))</f>
        <v>0.3333333333</v>
      </c>
      <c r="AA57" s="42">
        <f t="array" ref="AA57">IF(XLOOKUP($A57,Partner_Voice!$A:$A,Partner_Voice!AA:AA,"",0)="Free","Free",IF(XLOOKUP($A57,Partner_Voice!$A:$A,Partner_Voice!AA:AA,"",0)="VL","VL",IF(XLOOKUP($A57,Partner_Voice!$A:$A,Partner_Voice!AA:AA,"",0)="ATT","ATT",XLOOKUP($A57,Partner_Voice!$A:$A,Partner_Voice!AA:AA,"",0))))</f>
        <v>0.3333333333</v>
      </c>
      <c r="AB57" s="42" t="str">
        <f t="array" ref="AB57">IF(XLOOKUP($A57,Partner_Voice!$A:$A,Partner_Voice!AB:AB,"",0)="Free","Free",IF(XLOOKUP($A57,Partner_Voice!$A:$A,Partner_Voice!AB:AB,"",0)="VL","VL",IF(XLOOKUP($A57,Partner_Voice!$A:$A,Partner_Voice!AB:AB,"",0)="ATT","ATT",XLOOKUP($A57,Partner_Voice!$A:$A,Partner_Voice!AB:AB,"",0))))</f>
        <v>Free</v>
      </c>
      <c r="AC57" s="42">
        <f t="array" ref="AC57">IF(XLOOKUP($A57,Partner_Voice!$A:$A,Partner_Voice!AC:AC,"",0)="Free","Free",IF(XLOOKUP($A57,Partner_Voice!$A:$A,Partner_Voice!AC:AC,"",0)="VL","VL",IF(XLOOKUP($A57,Partner_Voice!$A:$A,Partner_Voice!AC:AC,"",0)="ATT","ATT",XLOOKUP($A57,Partner_Voice!$A:$A,Partner_Voice!AC:AC,"",0))))</f>
        <v>0.3333333333</v>
      </c>
      <c r="AD57" s="42">
        <f t="array" ref="AD57">IF(XLOOKUP($A57,Partner_Voice!$A:$A,Partner_Voice!AD:AD,"",0)="Free","Free",IF(XLOOKUP($A57,Partner_Voice!$A:$A,Partner_Voice!AD:AD,"",0)="VL","VL",IF(XLOOKUP($A57,Partner_Voice!$A:$A,Partner_Voice!AD:AD,"",0)="ATT","ATT",XLOOKUP($A57,Partner_Voice!$A:$A,Partner_Voice!AD:AD,"",0))))</f>
        <v>0.3333333333</v>
      </c>
      <c r="AE57" s="42">
        <f t="array" ref="AE57">IF(XLOOKUP($A57,Partner_Voice!$A:$A,Partner_Voice!AE:AE,"",0)="Free","Free",IF(XLOOKUP($A57,Partner_Voice!$A:$A,Partner_Voice!AE:AE,"",0)="VL","VL",IF(XLOOKUP($A57,Partner_Voice!$A:$A,Partner_Voice!AE:AE,"",0)="ATT","ATT",XLOOKUP($A57,Partner_Voice!$A:$A,Partner_Voice!AE:AE,"",0))))</f>
        <v>0.3333333333</v>
      </c>
      <c r="AF57" s="69"/>
      <c r="AG57" s="42">
        <f t="array" ref="AG57">IF(XLOOKUP($A57,Partner_Voice!$A:$A,Partner_Voice!AG:AG,"",0)="Free","Free",IF(XLOOKUP($A57,Partner_Voice!$A:$A,Partner_Voice!AG:AG,"",0)="VL","VL",IF(XLOOKUP($A57,Partner_Voice!$A:$A,Partner_Voice!AG:AG,"",0)="ATT","ATT",XLOOKUP($A57,Partner_Voice!$A:$A,Partner_Voice!AG:AG,"",0))))</f>
        <v>0.3333333333</v>
      </c>
      <c r="AH57" s="42">
        <f t="array" ref="AH57">IF(XLOOKUP($A57,Partner_Voice!$A:$A,Partner_Voice!AH:AH,"",0)="Free","Free",IF(XLOOKUP($A57,Partner_Voice!$A:$A,Partner_Voice!AH:AH,"",0)="VL","VL",IF(XLOOKUP($A57,Partner_Voice!$A:$A,Partner_Voice!AH:AH,"",0)="ATT","ATT",XLOOKUP($A57,Partner_Voice!$A:$A,Partner_Voice!AH:AH,"",0))))</f>
        <v>0.3333333333</v>
      </c>
      <c r="AI57" s="42" t="str">
        <f t="array" ref="AI57">IF(XLOOKUP($A57,Partner_Voice!$A:$A,Partner_Voice!AI:AI,"",0)="Free","Free",IF(XLOOKUP($A57,Partner_Voice!$A:$A,Partner_Voice!AI:AI,"",0)="VL","VL",IF(XLOOKUP($A57,Partner_Voice!$A:$A,Partner_Voice!AI:AI,"",0)="ATT","ATT",XLOOKUP($A57,Partner_Voice!$A:$A,Partner_Voice!AI:AI,"",0))))</f>
        <v>Free</v>
      </c>
      <c r="AJ57" s="42">
        <f t="array" ref="AJ57">IF(XLOOKUP($A57,Partner_Voice!$A:$A,Partner_Voice!AJ:AJ,"",0)="Free","Free",IF(XLOOKUP($A57,Partner_Voice!$A:$A,Partner_Voice!AJ:AJ,"",0)="VL","VL",IF(XLOOKUP($A57,Partner_Voice!$A:$A,Partner_Voice!AJ:AJ,"",0)="ATT","ATT",XLOOKUP($A57,Partner_Voice!$A:$A,Partner_Voice!AJ:AJ,"",0))))</f>
        <v>0.3333333333</v>
      </c>
      <c r="AK57" s="42">
        <f t="array" ref="AK57">IF(XLOOKUP($A57,Partner_Voice!$A:$A,Partner_Voice!AK:AK,"",0)="Free","Free",IF(XLOOKUP($A57,Partner_Voice!$A:$A,Partner_Voice!AK:AK,"",0)="VL","VL",IF(XLOOKUP($A57,Partner_Voice!$A:$A,Partner_Voice!AK:AK,"",0)="ATT","ATT",XLOOKUP($A57,Partner_Voice!$A:$A,Partner_Voice!AK:AK,"",0))))</f>
        <v>0.3333333333</v>
      </c>
      <c r="AL57" s="42">
        <f t="array" ref="AL57">IF(XLOOKUP($A57,Partner_Voice!$A:$A,Partner_Voice!AL:AL,"",0)="Free","Free",IF(XLOOKUP($A57,Partner_Voice!$A:$A,Partner_Voice!AL:AL,"",0)="VL","VL",IF(XLOOKUP($A57,Partner_Voice!$A:$A,Partner_Voice!AL:AL,"",0)="ATT","ATT",XLOOKUP($A57,Partner_Voice!$A:$A,Partner_Voice!AL:AL,"",0))))</f>
        <v>0.3333333333</v>
      </c>
      <c r="AM57" s="42"/>
    </row>
    <row r="58">
      <c r="A58" s="47" t="s">
        <v>11</v>
      </c>
      <c r="B58" s="35" t="str">
        <f t="array" ref="B58">XLOOKUP(A58,Roster!F:F,Roster!A:A,"")</f>
        <v>Mateo Henao</v>
      </c>
      <c r="C58" s="35" t="str">
        <f t="array" ref="C58">XLOOKUP(A58,Roster!F:F,Roster!B:B,"")</f>
        <v>Alexander Bartoli</v>
      </c>
      <c r="D58" s="70"/>
      <c r="E58" s="42">
        <f t="array" ref="E58">IF(XLOOKUP($A58,Partner_Voice!$A:$A,Partner_Voice!E:E,"",0)="Free","Free",IF(XLOOKUP($A58,Partner_Voice!$A:$A,Partner_Voice!E:E,"",0)="VL","VL",IF(XLOOKUP($A58,Partner_Voice!$A:$A,Partner_Voice!E:E,"",0)="ATT","ATT",XLOOKUP($A58,Partner_Voice!$A:$A,Partner_Voice!E:E,"",0))))</f>
        <v>0.3333333333</v>
      </c>
      <c r="F58" s="42" t="str">
        <f t="array" ref="F58">IF(XLOOKUP($A58,Partner_Voice!$A:$A,Partner_Voice!F:F,"",0)="Free","Free",IF(XLOOKUP($A58,Partner_Voice!$A:$A,Partner_Voice!F:F,"",0)="VL","VL",IF(XLOOKUP($A58,Partner_Voice!$A:$A,Partner_Voice!F:F,"",0)="ATT","ATT",XLOOKUP($A58,Partner_Voice!$A:$A,Partner_Voice!F:F,"",0))))</f>
        <v>Free</v>
      </c>
      <c r="G58" s="42">
        <f t="array" ref="G58">IF(XLOOKUP($A58,Partner_Voice!$A:$A,Partner_Voice!G:G,"",0)="Free","Free",IF(XLOOKUP($A58,Partner_Voice!$A:$A,Partner_Voice!G:G,"",0)="VL","VL",IF(XLOOKUP($A58,Partner_Voice!$A:$A,Partner_Voice!G:G,"",0)="ATT","ATT",XLOOKUP($A58,Partner_Voice!$A:$A,Partner_Voice!G:G,"",0))))</f>
        <v>0.3333333333</v>
      </c>
      <c r="H58" s="42">
        <f t="array" ref="H58">IF(XLOOKUP($A58,Partner_Voice!$A:$A,Partner_Voice!H:H,"",0)="Free","Free",IF(XLOOKUP($A58,Partner_Voice!$A:$A,Partner_Voice!H:H,"",0)="VL","VL",IF(XLOOKUP($A58,Partner_Voice!$A:$A,Partner_Voice!H:H,"",0)="ATT","ATT",XLOOKUP($A58,Partner_Voice!$A:$A,Partner_Voice!H:H,"",0))))</f>
        <v>0.3333333333</v>
      </c>
      <c r="I58" s="42">
        <f t="array" ref="I58">IF(XLOOKUP($A58,Partner_Voice!$A:$A,Partner_Voice!I:I,"",0)="Free","Free",IF(XLOOKUP($A58,Partner_Voice!$A:$A,Partner_Voice!I:I,"",0)="VL","VL",IF(XLOOKUP($A58,Partner_Voice!$A:$A,Partner_Voice!I:I,"",0)="ATT","ATT",XLOOKUP($A58,Partner_Voice!$A:$A,Partner_Voice!I:I,"",0))))</f>
        <v>0.3333333333</v>
      </c>
      <c r="J58" s="42">
        <f t="array" ref="J58">IF(XLOOKUP($A58,Partner_Voice!$A:$A,Partner_Voice!J:J,"",0)="Free","Free",IF(XLOOKUP($A58,Partner_Voice!$A:$A,Partner_Voice!J:J,"",0)="VL","VL",IF(XLOOKUP($A58,Partner_Voice!$A:$A,Partner_Voice!J:J,"",0)="ATT","ATT",XLOOKUP($A58,Partner_Voice!$A:$A,Partner_Voice!J:J,"",0))))</f>
        <v>0.3333333333</v>
      </c>
      <c r="K58" s="42"/>
      <c r="L58" s="42">
        <f t="array" ref="L58">IF(XLOOKUP($A58,Partner_Voice!$A:$A,Partner_Voice!L:L,"",0)="Free","Free",IF(XLOOKUP($A58,Partner_Voice!$A:$A,Partner_Voice!L:L,"",0)="VL","VL",IF(XLOOKUP($A58,Partner_Voice!$A:$A,Partner_Voice!L:L,"",0)="ATT","ATT",XLOOKUP($A58,Partner_Voice!$A:$A,Partner_Voice!L:L,"",0))))</f>
        <v>0.3333333333</v>
      </c>
      <c r="M58" s="42">
        <f t="array" ref="M58">IF(XLOOKUP($A58,Partner_Voice!$A:$A,Partner_Voice!M:M,"",0)="Free","Free",IF(XLOOKUP($A58,Partner_Voice!$A:$A,Partner_Voice!M:M,"",0)="VL","VL",IF(XLOOKUP($A58,Partner_Voice!$A:$A,Partner_Voice!M:M,"",0)="ATT","ATT",XLOOKUP($A58,Partner_Voice!$A:$A,Partner_Voice!M:M,"",0))))</f>
        <v>0.3333333333</v>
      </c>
      <c r="N58" s="42" t="str">
        <f t="array" ref="N58">IF(XLOOKUP($A58,Partner_Voice!$A:$A,Partner_Voice!N:N,"",0)="Free","Free",IF(XLOOKUP($A58,Partner_Voice!$A:$A,Partner_Voice!N:N,"",0)="VL","VL",IF(XLOOKUP($A58,Partner_Voice!$A:$A,Partner_Voice!N:N,"",0)="ATT","ATT",XLOOKUP($A58,Partner_Voice!$A:$A,Partner_Voice!N:N,"",0))))</f>
        <v>Free</v>
      </c>
      <c r="O58" s="42">
        <f t="array" ref="O58">IF(XLOOKUP($A58,Partner_Voice!$A:$A,Partner_Voice!O:O,"",0)="Free","Free",IF(XLOOKUP($A58,Partner_Voice!$A:$A,Partner_Voice!O:O,"",0)="VL","VL",IF(XLOOKUP($A58,Partner_Voice!$A:$A,Partner_Voice!O:O,"",0)="ATT","ATT",XLOOKUP($A58,Partner_Voice!$A:$A,Partner_Voice!O:O,"",0))))</f>
        <v>0.3333333333</v>
      </c>
      <c r="P58" s="42">
        <f t="array" ref="P58">IF(XLOOKUP($A58,Partner_Voice!$A:$A,Partner_Voice!P:P,"",0)="Free","Free",IF(XLOOKUP($A58,Partner_Voice!$A:$A,Partner_Voice!P:P,"",0)="VL","VL",IF(XLOOKUP($A58,Partner_Voice!$A:$A,Partner_Voice!P:P,"",0)="ATT","ATT",XLOOKUP($A58,Partner_Voice!$A:$A,Partner_Voice!P:P,"",0))))</f>
        <v>0.3333333333</v>
      </c>
      <c r="Q58" s="42">
        <f t="array" ref="Q58">IF(XLOOKUP($A58,Partner_Voice!$A:$A,Partner_Voice!Q:Q,"",0)="Free","Free",IF(XLOOKUP($A58,Partner_Voice!$A:$A,Partner_Voice!Q:Q,"",0)="VL","VL",IF(XLOOKUP($A58,Partner_Voice!$A:$A,Partner_Voice!Q:Q,"",0)="ATT","ATT",XLOOKUP($A58,Partner_Voice!$A:$A,Partner_Voice!Q:Q,"",0))))</f>
        <v>0.3333333333</v>
      </c>
      <c r="R58" s="43"/>
      <c r="S58" s="42">
        <f t="array" ref="S58">IF(XLOOKUP($A58,Partner_Voice!$A:$A,Partner_Voice!S:S,"",0)="Free","Free",IF(XLOOKUP($A58,Partner_Voice!$A:$A,Partner_Voice!S:S,"",0)="VL","VL",IF(XLOOKUP($A58,Partner_Voice!$A:$A,Partner_Voice!S:S,"",0)="ATT","ATT",XLOOKUP($A58,Partner_Voice!$A:$A,Partner_Voice!S:S,"",0))))</f>
        <v>0.3333333333</v>
      </c>
      <c r="T58" s="42">
        <f t="array" ref="T58">IF(XLOOKUP($A58,Partner_Voice!$A:$A,Partner_Voice!T:T,"",0)="Free","Free",IF(XLOOKUP($A58,Partner_Voice!$A:$A,Partner_Voice!T:T,"",0)="VL","VL",IF(XLOOKUP($A58,Partner_Voice!$A:$A,Partner_Voice!T:T,"",0)="ATT","ATT",XLOOKUP($A58,Partner_Voice!$A:$A,Partner_Voice!T:T,"",0))))</f>
        <v>0.3333333333</v>
      </c>
      <c r="U58" s="42" t="str">
        <f t="array" ref="U58">IF(XLOOKUP($A58,Partner_Voice!$A:$A,Partner_Voice!U:U,"",0)="Free","Free",IF(XLOOKUP($A58,Partner_Voice!$A:$A,Partner_Voice!U:U,"",0)="VL","VL",IF(XLOOKUP($A58,Partner_Voice!$A:$A,Partner_Voice!U:U,"",0)="ATT","ATT",XLOOKUP($A58,Partner_Voice!$A:$A,Partner_Voice!U:U,"",0))))</f>
        <v>Free</v>
      </c>
      <c r="V58" s="42">
        <f t="array" ref="V58">IF(XLOOKUP($A58,Partner_Voice!$A:$A,Partner_Voice!V:V,"",0)="Free","Free",IF(XLOOKUP($A58,Partner_Voice!$A:$A,Partner_Voice!V:V,"",0)="VL","VL",IF(XLOOKUP($A58,Partner_Voice!$A:$A,Partner_Voice!V:V,"",0)="ATT","ATT",XLOOKUP($A58,Partner_Voice!$A:$A,Partner_Voice!V:V,"",0))))</f>
        <v>0.3333333333</v>
      </c>
      <c r="W58" s="42">
        <f t="array" ref="W58">IF(XLOOKUP($A58,Partner_Voice!$A:$A,Partner_Voice!W:W,"",0)="Free","Free",IF(XLOOKUP($A58,Partner_Voice!$A:$A,Partner_Voice!W:W,"",0)="VL","VL",IF(XLOOKUP($A58,Partner_Voice!$A:$A,Partner_Voice!W:W,"",0)="ATT","ATT",XLOOKUP($A58,Partner_Voice!$A:$A,Partner_Voice!W:W,"",0))))</f>
        <v>0.3333333333</v>
      </c>
      <c r="X58" s="42">
        <f t="array" ref="X58">IF(XLOOKUP($A58,Partner_Voice!$A:$A,Partner_Voice!X:X,"",0)="Free","Free",IF(XLOOKUP($A58,Partner_Voice!$A:$A,Partner_Voice!X:X,"",0)="VL","VL",IF(XLOOKUP($A58,Partner_Voice!$A:$A,Partner_Voice!X:X,"",0)="ATT","ATT",XLOOKUP($A58,Partner_Voice!$A:$A,Partner_Voice!X:X,"",0))))</f>
        <v>0.3333333333</v>
      </c>
      <c r="Y58" s="43"/>
      <c r="Z58" s="42">
        <f t="array" ref="Z58">IF(XLOOKUP($A58,Partner_Voice!$A:$A,Partner_Voice!Z:Z,"",0)="Free","Free",IF(XLOOKUP($A58,Partner_Voice!$A:$A,Partner_Voice!Z:Z,"",0)="VL","VL",IF(XLOOKUP($A58,Partner_Voice!$A:$A,Partner_Voice!Z:Z,"",0)="ATT","ATT",XLOOKUP($A58,Partner_Voice!$A:$A,Partner_Voice!Z:Z,"",0))))</f>
        <v>0.3333333333</v>
      </c>
      <c r="AA58" s="42">
        <f t="array" ref="AA58">IF(XLOOKUP($A58,Partner_Voice!$A:$A,Partner_Voice!AA:AA,"",0)="Free","Free",IF(XLOOKUP($A58,Partner_Voice!$A:$A,Partner_Voice!AA:AA,"",0)="VL","VL",IF(XLOOKUP($A58,Partner_Voice!$A:$A,Partner_Voice!AA:AA,"",0)="ATT","ATT",XLOOKUP($A58,Partner_Voice!$A:$A,Partner_Voice!AA:AA,"",0))))</f>
        <v>0.3333333333</v>
      </c>
      <c r="AB58" s="42" t="str">
        <f t="array" ref="AB58">IF(XLOOKUP($A58,Partner_Voice!$A:$A,Partner_Voice!AB:AB,"",0)="Free","Free",IF(XLOOKUP($A58,Partner_Voice!$A:$A,Partner_Voice!AB:AB,"",0)="VL","VL",IF(XLOOKUP($A58,Partner_Voice!$A:$A,Partner_Voice!AB:AB,"",0)="ATT","ATT",XLOOKUP($A58,Partner_Voice!$A:$A,Partner_Voice!AB:AB,"",0))))</f>
        <v>Free</v>
      </c>
      <c r="AC58" s="42">
        <f t="array" ref="AC58">IF(XLOOKUP($A58,Partner_Voice!$A:$A,Partner_Voice!AC:AC,"",0)="Free","Free",IF(XLOOKUP($A58,Partner_Voice!$A:$A,Partner_Voice!AC:AC,"",0)="VL","VL",IF(XLOOKUP($A58,Partner_Voice!$A:$A,Partner_Voice!AC:AC,"",0)="ATT","ATT",XLOOKUP($A58,Partner_Voice!$A:$A,Partner_Voice!AC:AC,"",0))))</f>
        <v>0.3333333333</v>
      </c>
      <c r="AD58" s="42">
        <f t="array" ref="AD58">IF(XLOOKUP($A58,Partner_Voice!$A:$A,Partner_Voice!AD:AD,"",0)="Free","Free",IF(XLOOKUP($A58,Partner_Voice!$A:$A,Partner_Voice!AD:AD,"",0)="VL","VL",IF(XLOOKUP($A58,Partner_Voice!$A:$A,Partner_Voice!AD:AD,"",0)="ATT","ATT",XLOOKUP($A58,Partner_Voice!$A:$A,Partner_Voice!AD:AD,"",0))))</f>
        <v>0.3333333333</v>
      </c>
      <c r="AE58" s="42">
        <f t="array" ref="AE58">IF(XLOOKUP($A58,Partner_Voice!$A:$A,Partner_Voice!AE:AE,"",0)="Free","Free",IF(XLOOKUP($A58,Partner_Voice!$A:$A,Partner_Voice!AE:AE,"",0)="VL","VL",IF(XLOOKUP($A58,Partner_Voice!$A:$A,Partner_Voice!AE:AE,"",0)="ATT","ATT",XLOOKUP($A58,Partner_Voice!$A:$A,Partner_Voice!AE:AE,"",0))))</f>
        <v>0.3333333333</v>
      </c>
      <c r="AF58" s="69"/>
      <c r="AG58" s="42">
        <f t="array" ref="AG58">IF(XLOOKUP($A58,Partner_Voice!$A:$A,Partner_Voice!AG:AG,"",0)="Free","Free",IF(XLOOKUP($A58,Partner_Voice!$A:$A,Partner_Voice!AG:AG,"",0)="VL","VL",IF(XLOOKUP($A58,Partner_Voice!$A:$A,Partner_Voice!AG:AG,"",0)="ATT","ATT",XLOOKUP($A58,Partner_Voice!$A:$A,Partner_Voice!AG:AG,"",0))))</f>
        <v>0.3333333333</v>
      </c>
      <c r="AH58" s="42">
        <f t="array" ref="AH58">IF(XLOOKUP($A58,Partner_Voice!$A:$A,Partner_Voice!AH:AH,"",0)="Free","Free",IF(XLOOKUP($A58,Partner_Voice!$A:$A,Partner_Voice!AH:AH,"",0)="VL","VL",IF(XLOOKUP($A58,Partner_Voice!$A:$A,Partner_Voice!AH:AH,"",0)="ATT","ATT",XLOOKUP($A58,Partner_Voice!$A:$A,Partner_Voice!AH:AH,"",0))))</f>
        <v>0.3333333333</v>
      </c>
      <c r="AI58" s="42" t="str">
        <f t="array" ref="AI58">IF(XLOOKUP($A58,Partner_Voice!$A:$A,Partner_Voice!AI:AI,"",0)="Free","Free",IF(XLOOKUP($A58,Partner_Voice!$A:$A,Partner_Voice!AI:AI,"",0)="VL","VL",IF(XLOOKUP($A58,Partner_Voice!$A:$A,Partner_Voice!AI:AI,"",0)="ATT","ATT",XLOOKUP($A58,Partner_Voice!$A:$A,Partner_Voice!AI:AI,"",0))))</f>
        <v>Free</v>
      </c>
      <c r="AJ58" s="42">
        <f t="array" ref="AJ58">IF(XLOOKUP($A58,Partner_Voice!$A:$A,Partner_Voice!AJ:AJ,"",0)="Free","Free",IF(XLOOKUP($A58,Partner_Voice!$A:$A,Partner_Voice!AJ:AJ,"",0)="VL","VL",IF(XLOOKUP($A58,Partner_Voice!$A:$A,Partner_Voice!AJ:AJ,"",0)="ATT","ATT",XLOOKUP($A58,Partner_Voice!$A:$A,Partner_Voice!AJ:AJ,"",0))))</f>
        <v>0.3333333333</v>
      </c>
      <c r="AK58" s="42">
        <f t="array" ref="AK58">IF(XLOOKUP($A58,Partner_Voice!$A:$A,Partner_Voice!AK:AK,"",0)="Free","Free",IF(XLOOKUP($A58,Partner_Voice!$A:$A,Partner_Voice!AK:AK,"",0)="VL","VL",IF(XLOOKUP($A58,Partner_Voice!$A:$A,Partner_Voice!AK:AK,"",0)="ATT","ATT",XLOOKUP($A58,Partner_Voice!$A:$A,Partner_Voice!AK:AK,"",0))))</f>
        <v>0.3333333333</v>
      </c>
      <c r="AL58" s="42">
        <f t="array" ref="AL58">IF(XLOOKUP($A58,Partner_Voice!$A:$A,Partner_Voice!AL:AL,"",0)="Free","Free",IF(XLOOKUP($A58,Partner_Voice!$A:$A,Partner_Voice!AL:AL,"",0)="VL","VL",IF(XLOOKUP($A58,Partner_Voice!$A:$A,Partner_Voice!AL:AL,"",0)="ATT","ATT",XLOOKUP($A58,Partner_Voice!$A:$A,Partner_Voice!AL:AL,"",0))))</f>
        <v>0.3333333333</v>
      </c>
      <c r="AM58" s="42"/>
    </row>
    <row r="59">
      <c r="A59" s="47" t="s">
        <v>12</v>
      </c>
      <c r="B59" s="35" t="str">
        <f t="array" ref="B59">XLOOKUP(A59,Roster!F:F,Roster!A:A,"")</f>
        <v>Mateo Henao</v>
      </c>
      <c r="C59" s="35" t="str">
        <f t="array" ref="C59">XLOOKUP(A59,Roster!F:F,Roster!B:B,"")</f>
        <v>Ana Quintero</v>
      </c>
      <c r="D59" s="70"/>
      <c r="E59" s="42">
        <f t="array" ref="E59">IF(XLOOKUP($A59,Partner_Voice!$A:$A,Partner_Voice!E:E,"",0)="Free","Free",IF(XLOOKUP($A59,Partner_Voice!$A:$A,Partner_Voice!E:E,"",0)="VL","VL",IF(XLOOKUP($A59,Partner_Voice!$A:$A,Partner_Voice!E:E,"",0)="ATT","ATT",XLOOKUP($A59,Partner_Voice!$A:$A,Partner_Voice!E:E,"",0))))</f>
        <v>0.3333333333</v>
      </c>
      <c r="F59" s="42">
        <f t="array" ref="F59">IF(XLOOKUP($A59,Partner_Voice!$A:$A,Partner_Voice!F:F,"",0)="Free","Free",IF(XLOOKUP($A59,Partner_Voice!$A:$A,Partner_Voice!F:F,"",0)="VL","VL",IF(XLOOKUP($A59,Partner_Voice!$A:$A,Partner_Voice!F:F,"",0)="ATT","ATT",XLOOKUP($A59,Partner_Voice!$A:$A,Partner_Voice!F:F,"",0))))</f>
        <v>0.3333333333</v>
      </c>
      <c r="G59" s="42" t="str">
        <f t="array" ref="G59">IF(XLOOKUP($A59,Partner_Voice!$A:$A,Partner_Voice!G:G,"",0)="Free","Free",IF(XLOOKUP($A59,Partner_Voice!$A:$A,Partner_Voice!G:G,"",0)="VL","VL",IF(XLOOKUP($A59,Partner_Voice!$A:$A,Partner_Voice!G:G,"",0)="ATT","ATT",XLOOKUP($A59,Partner_Voice!$A:$A,Partner_Voice!G:G,"",0))))</f>
        <v>Free</v>
      </c>
      <c r="H59" s="42">
        <f t="array" ref="H59">IF(XLOOKUP($A59,Partner_Voice!$A:$A,Partner_Voice!H:H,"",0)="Free","Free",IF(XLOOKUP($A59,Partner_Voice!$A:$A,Partner_Voice!H:H,"",0)="VL","VL",IF(XLOOKUP($A59,Partner_Voice!$A:$A,Partner_Voice!H:H,"",0)="ATT","ATT",XLOOKUP($A59,Partner_Voice!$A:$A,Partner_Voice!H:H,"",0))))</f>
        <v>0.3333333333</v>
      </c>
      <c r="I59" s="42">
        <f t="array" ref="I59">IF(XLOOKUP($A59,Partner_Voice!$A:$A,Partner_Voice!I:I,"",0)="Free","Free",IF(XLOOKUP($A59,Partner_Voice!$A:$A,Partner_Voice!I:I,"",0)="VL","VL",IF(XLOOKUP($A59,Partner_Voice!$A:$A,Partner_Voice!I:I,"",0)="ATT","ATT",XLOOKUP($A59,Partner_Voice!$A:$A,Partner_Voice!I:I,"",0))))</f>
        <v>0.3333333333</v>
      </c>
      <c r="J59" s="42">
        <f t="array" ref="J59">IF(XLOOKUP($A59,Partner_Voice!$A:$A,Partner_Voice!J:J,"",0)="Free","Free",IF(XLOOKUP($A59,Partner_Voice!$A:$A,Partner_Voice!J:J,"",0)="VL","VL",IF(XLOOKUP($A59,Partner_Voice!$A:$A,Partner_Voice!J:J,"",0)="ATT","ATT",XLOOKUP($A59,Partner_Voice!$A:$A,Partner_Voice!J:J,"",0))))</f>
        <v>0.3333333333</v>
      </c>
      <c r="K59" s="42"/>
      <c r="L59" s="42">
        <f t="array" ref="L59">IF(XLOOKUP($A59,Partner_Voice!$A:$A,Partner_Voice!L:L,"",0)="Free","Free",IF(XLOOKUP($A59,Partner_Voice!$A:$A,Partner_Voice!L:L,"",0)="VL","VL",IF(XLOOKUP($A59,Partner_Voice!$A:$A,Partner_Voice!L:L,"",0)="ATT","ATT",XLOOKUP($A59,Partner_Voice!$A:$A,Partner_Voice!L:L,"",0))))</f>
        <v>0.3333333333</v>
      </c>
      <c r="M59" s="42">
        <f t="array" ref="M59">IF(XLOOKUP($A59,Partner_Voice!$A:$A,Partner_Voice!M:M,"",0)="Free","Free",IF(XLOOKUP($A59,Partner_Voice!$A:$A,Partner_Voice!M:M,"",0)="VL","VL",IF(XLOOKUP($A59,Partner_Voice!$A:$A,Partner_Voice!M:M,"",0)="ATT","ATT",XLOOKUP($A59,Partner_Voice!$A:$A,Partner_Voice!M:M,"",0))))</f>
        <v>0.3333333333</v>
      </c>
      <c r="N59" s="42" t="str">
        <f t="array" ref="N59">IF(XLOOKUP($A59,Partner_Voice!$A:$A,Partner_Voice!N:N,"",0)="Free","Free",IF(XLOOKUP($A59,Partner_Voice!$A:$A,Partner_Voice!N:N,"",0)="VL","VL",IF(XLOOKUP($A59,Partner_Voice!$A:$A,Partner_Voice!N:N,"",0)="ATT","ATT",XLOOKUP($A59,Partner_Voice!$A:$A,Partner_Voice!N:N,"",0))))</f>
        <v>Free</v>
      </c>
      <c r="O59" s="42">
        <f t="array" ref="O59">IF(XLOOKUP($A59,Partner_Voice!$A:$A,Partner_Voice!O:O,"",0)="Free","Free",IF(XLOOKUP($A59,Partner_Voice!$A:$A,Partner_Voice!O:O,"",0)="VL","VL",IF(XLOOKUP($A59,Partner_Voice!$A:$A,Partner_Voice!O:O,"",0)="ATT","ATT",XLOOKUP($A59,Partner_Voice!$A:$A,Partner_Voice!O:O,"",0))))</f>
        <v>0.3333333333</v>
      </c>
      <c r="P59" s="42">
        <f t="array" ref="P59">IF(XLOOKUP($A59,Partner_Voice!$A:$A,Partner_Voice!P:P,"",0)="Free","Free",IF(XLOOKUP($A59,Partner_Voice!$A:$A,Partner_Voice!P:P,"",0)="VL","VL",IF(XLOOKUP($A59,Partner_Voice!$A:$A,Partner_Voice!P:P,"",0)="ATT","ATT",XLOOKUP($A59,Partner_Voice!$A:$A,Partner_Voice!P:P,"",0))))</f>
        <v>0.3333333333</v>
      </c>
      <c r="Q59" s="42">
        <f t="array" ref="Q59">IF(XLOOKUP($A59,Partner_Voice!$A:$A,Partner_Voice!Q:Q,"",0)="Free","Free",IF(XLOOKUP($A59,Partner_Voice!$A:$A,Partner_Voice!Q:Q,"",0)="VL","VL",IF(XLOOKUP($A59,Partner_Voice!$A:$A,Partner_Voice!Q:Q,"",0)="ATT","ATT",XLOOKUP($A59,Partner_Voice!$A:$A,Partner_Voice!Q:Q,"",0))))</f>
        <v>0.3333333333</v>
      </c>
      <c r="R59" s="43"/>
      <c r="S59" s="42">
        <f t="array" ref="S59">IF(XLOOKUP($A59,Partner_Voice!$A:$A,Partner_Voice!S:S,"",0)="Free","Free",IF(XLOOKUP($A59,Partner_Voice!$A:$A,Partner_Voice!S:S,"",0)="VL","VL",IF(XLOOKUP($A59,Partner_Voice!$A:$A,Partner_Voice!S:S,"",0)="ATT","ATT",XLOOKUP($A59,Partner_Voice!$A:$A,Partner_Voice!S:S,"",0))))</f>
        <v>0.3333333333</v>
      </c>
      <c r="T59" s="42">
        <f t="array" ref="T59">IF(XLOOKUP($A59,Partner_Voice!$A:$A,Partner_Voice!T:T,"",0)="Free","Free",IF(XLOOKUP($A59,Partner_Voice!$A:$A,Partner_Voice!T:T,"",0)="VL","VL",IF(XLOOKUP($A59,Partner_Voice!$A:$A,Partner_Voice!T:T,"",0)="ATT","ATT",XLOOKUP($A59,Partner_Voice!$A:$A,Partner_Voice!T:T,"",0))))</f>
        <v>0.3333333333</v>
      </c>
      <c r="U59" s="42" t="str">
        <f t="array" ref="U59">IF(XLOOKUP($A59,Partner_Voice!$A:$A,Partner_Voice!U:U,"",0)="Free","Free",IF(XLOOKUP($A59,Partner_Voice!$A:$A,Partner_Voice!U:U,"",0)="VL","VL",IF(XLOOKUP($A59,Partner_Voice!$A:$A,Partner_Voice!U:U,"",0)="ATT","ATT",XLOOKUP($A59,Partner_Voice!$A:$A,Partner_Voice!U:U,"",0))))</f>
        <v>Free</v>
      </c>
      <c r="V59" s="42">
        <f t="array" ref="V59">IF(XLOOKUP($A59,Partner_Voice!$A:$A,Partner_Voice!V:V,"",0)="Free","Free",IF(XLOOKUP($A59,Partner_Voice!$A:$A,Partner_Voice!V:V,"",0)="VL","VL",IF(XLOOKUP($A59,Partner_Voice!$A:$A,Partner_Voice!V:V,"",0)="ATT","ATT",XLOOKUP($A59,Partner_Voice!$A:$A,Partner_Voice!V:V,"",0))))</f>
        <v>0.3333333333</v>
      </c>
      <c r="W59" s="42">
        <f t="array" ref="W59">IF(XLOOKUP($A59,Partner_Voice!$A:$A,Partner_Voice!W:W,"",0)="Free","Free",IF(XLOOKUP($A59,Partner_Voice!$A:$A,Partner_Voice!W:W,"",0)="VL","VL",IF(XLOOKUP($A59,Partner_Voice!$A:$A,Partner_Voice!W:W,"",0)="ATT","ATT",XLOOKUP($A59,Partner_Voice!$A:$A,Partner_Voice!W:W,"",0))))</f>
        <v>0.3333333333</v>
      </c>
      <c r="X59" s="42">
        <f t="array" ref="X59">IF(XLOOKUP($A59,Partner_Voice!$A:$A,Partner_Voice!X:X,"",0)="Free","Free",IF(XLOOKUP($A59,Partner_Voice!$A:$A,Partner_Voice!X:X,"",0)="VL","VL",IF(XLOOKUP($A59,Partner_Voice!$A:$A,Partner_Voice!X:X,"",0)="ATT","ATT",XLOOKUP($A59,Partner_Voice!$A:$A,Partner_Voice!X:X,"",0))))</f>
        <v>0.3333333333</v>
      </c>
      <c r="Y59" s="43"/>
      <c r="Z59" s="42">
        <f t="array" ref="Z59">IF(XLOOKUP($A59,Partner_Voice!$A:$A,Partner_Voice!Z:Z,"",0)="Free","Free",IF(XLOOKUP($A59,Partner_Voice!$A:$A,Partner_Voice!Z:Z,"",0)="VL","VL",IF(XLOOKUP($A59,Partner_Voice!$A:$A,Partner_Voice!Z:Z,"",0)="ATT","ATT",XLOOKUP($A59,Partner_Voice!$A:$A,Partner_Voice!Z:Z,"",0))))</f>
        <v>0.3333333333</v>
      </c>
      <c r="AA59" s="42">
        <f t="array" ref="AA59">IF(XLOOKUP($A59,Partner_Voice!$A:$A,Partner_Voice!AA:AA,"",0)="Free","Free",IF(XLOOKUP($A59,Partner_Voice!$A:$A,Partner_Voice!AA:AA,"",0)="VL","VL",IF(XLOOKUP($A59,Partner_Voice!$A:$A,Partner_Voice!AA:AA,"",0)="ATT","ATT",XLOOKUP($A59,Partner_Voice!$A:$A,Partner_Voice!AA:AA,"",0))))</f>
        <v>0.3333333333</v>
      </c>
      <c r="AB59" s="42" t="str">
        <f t="array" ref="AB59">IF(XLOOKUP($A59,Partner_Voice!$A:$A,Partner_Voice!AB:AB,"",0)="Free","Free",IF(XLOOKUP($A59,Partner_Voice!$A:$A,Partner_Voice!AB:AB,"",0)="VL","VL",IF(XLOOKUP($A59,Partner_Voice!$A:$A,Partner_Voice!AB:AB,"",0)="ATT","ATT",XLOOKUP($A59,Partner_Voice!$A:$A,Partner_Voice!AB:AB,"",0))))</f>
        <v>Free</v>
      </c>
      <c r="AC59" s="42">
        <f t="array" ref="AC59">IF(XLOOKUP($A59,Partner_Voice!$A:$A,Partner_Voice!AC:AC,"",0)="Free","Free",IF(XLOOKUP($A59,Partner_Voice!$A:$A,Partner_Voice!AC:AC,"",0)="VL","VL",IF(XLOOKUP($A59,Partner_Voice!$A:$A,Partner_Voice!AC:AC,"",0)="ATT","ATT",XLOOKUP($A59,Partner_Voice!$A:$A,Partner_Voice!AC:AC,"",0))))</f>
        <v>0.3333333333</v>
      </c>
      <c r="AD59" s="42">
        <f t="array" ref="AD59">IF(XLOOKUP($A59,Partner_Voice!$A:$A,Partner_Voice!AD:AD,"",0)="Free","Free",IF(XLOOKUP($A59,Partner_Voice!$A:$A,Partner_Voice!AD:AD,"",0)="VL","VL",IF(XLOOKUP($A59,Partner_Voice!$A:$A,Partner_Voice!AD:AD,"",0)="ATT","ATT",XLOOKUP($A59,Partner_Voice!$A:$A,Partner_Voice!AD:AD,"",0))))</f>
        <v>0.3333333333</v>
      </c>
      <c r="AE59" s="42">
        <f t="array" ref="AE59">IF(XLOOKUP($A59,Partner_Voice!$A:$A,Partner_Voice!AE:AE,"",0)="Free","Free",IF(XLOOKUP($A59,Partner_Voice!$A:$A,Partner_Voice!AE:AE,"",0)="VL","VL",IF(XLOOKUP($A59,Partner_Voice!$A:$A,Partner_Voice!AE:AE,"",0)="ATT","ATT",XLOOKUP($A59,Partner_Voice!$A:$A,Partner_Voice!AE:AE,"",0))))</f>
        <v>0.3333333333</v>
      </c>
      <c r="AF59" s="69"/>
      <c r="AG59" s="42">
        <f t="array" ref="AG59">IF(XLOOKUP($A59,Partner_Voice!$A:$A,Partner_Voice!AG:AG,"",0)="Free","Free",IF(XLOOKUP($A59,Partner_Voice!$A:$A,Partner_Voice!AG:AG,"",0)="VL","VL",IF(XLOOKUP($A59,Partner_Voice!$A:$A,Partner_Voice!AG:AG,"",0)="ATT","ATT",XLOOKUP($A59,Partner_Voice!$A:$A,Partner_Voice!AG:AG,"",0))))</f>
        <v>0.3333333333</v>
      </c>
      <c r="AH59" s="42">
        <f t="array" ref="AH59">IF(XLOOKUP($A59,Partner_Voice!$A:$A,Partner_Voice!AH:AH,"",0)="Free","Free",IF(XLOOKUP($A59,Partner_Voice!$A:$A,Partner_Voice!AH:AH,"",0)="VL","VL",IF(XLOOKUP($A59,Partner_Voice!$A:$A,Partner_Voice!AH:AH,"",0)="ATT","ATT",XLOOKUP($A59,Partner_Voice!$A:$A,Partner_Voice!AH:AH,"",0))))</f>
        <v>0.3333333333</v>
      </c>
      <c r="AI59" s="42" t="str">
        <f t="array" ref="AI59">IF(XLOOKUP($A59,Partner_Voice!$A:$A,Partner_Voice!AI:AI,"",0)="Free","Free",IF(XLOOKUP($A59,Partner_Voice!$A:$A,Partner_Voice!AI:AI,"",0)="VL","VL",IF(XLOOKUP($A59,Partner_Voice!$A:$A,Partner_Voice!AI:AI,"",0)="ATT","ATT",XLOOKUP($A59,Partner_Voice!$A:$A,Partner_Voice!AI:AI,"",0))))</f>
        <v>Free</v>
      </c>
      <c r="AJ59" s="42">
        <f t="array" ref="AJ59">IF(XLOOKUP($A59,Partner_Voice!$A:$A,Partner_Voice!AJ:AJ,"",0)="Free","Free",IF(XLOOKUP($A59,Partner_Voice!$A:$A,Partner_Voice!AJ:AJ,"",0)="VL","VL",IF(XLOOKUP($A59,Partner_Voice!$A:$A,Partner_Voice!AJ:AJ,"",0)="ATT","ATT",XLOOKUP($A59,Partner_Voice!$A:$A,Partner_Voice!AJ:AJ,"",0))))</f>
        <v>0.3333333333</v>
      </c>
      <c r="AK59" s="42">
        <f t="array" ref="AK59">IF(XLOOKUP($A59,Partner_Voice!$A:$A,Partner_Voice!AK:AK,"",0)="Free","Free",IF(XLOOKUP($A59,Partner_Voice!$A:$A,Partner_Voice!AK:AK,"",0)="VL","VL",IF(XLOOKUP($A59,Partner_Voice!$A:$A,Partner_Voice!AK:AK,"",0)="ATT","ATT",XLOOKUP($A59,Partner_Voice!$A:$A,Partner_Voice!AK:AK,"",0))))</f>
        <v>0.3333333333</v>
      </c>
      <c r="AL59" s="42">
        <f t="array" ref="AL59">IF(XLOOKUP($A59,Partner_Voice!$A:$A,Partner_Voice!AL:AL,"",0)="Free","Free",IF(XLOOKUP($A59,Partner_Voice!$A:$A,Partner_Voice!AL:AL,"",0)="VL","VL",IF(XLOOKUP($A59,Partner_Voice!$A:$A,Partner_Voice!AL:AL,"",0)="ATT","ATT",XLOOKUP($A59,Partner_Voice!$A:$A,Partner_Voice!AL:AL,"",0))))</f>
        <v>0.3333333333</v>
      </c>
      <c r="AM59" s="42"/>
    </row>
    <row r="60">
      <c r="A60" s="47" t="s">
        <v>13</v>
      </c>
      <c r="B60" s="35" t="str">
        <f t="array" ref="B60">XLOOKUP(A60,Roster!F:F,Roster!A:A,"")</f>
        <v>Mateo Henao</v>
      </c>
      <c r="C60" s="35" t="str">
        <f t="array" ref="C60">XLOOKUP(A60,Roster!F:F,Roster!B:B,"")</f>
        <v>Andres Lopez</v>
      </c>
      <c r="D60" s="70"/>
      <c r="E60" s="42">
        <f t="array" ref="E60">IF(XLOOKUP($A60,Partner_Voice!$A:$A,Partner_Voice!E:E,"",0)="Free","Free",IF(XLOOKUP($A60,Partner_Voice!$A:$A,Partner_Voice!E:E,"",0)="VL","VL",IF(XLOOKUP($A60,Partner_Voice!$A:$A,Partner_Voice!E:E,"",0)="ATT","ATT",XLOOKUP($A60,Partner_Voice!$A:$A,Partner_Voice!E:E,"",0))))</f>
        <v>0.375</v>
      </c>
      <c r="F60" s="42">
        <f t="array" ref="F60">IF(XLOOKUP($A60,Partner_Voice!$A:$A,Partner_Voice!F:F,"",0)="Free","Free",IF(XLOOKUP($A60,Partner_Voice!$A:$A,Partner_Voice!F:F,"",0)="VL","VL",IF(XLOOKUP($A60,Partner_Voice!$A:$A,Partner_Voice!F:F,"",0)="ATT","ATT",XLOOKUP($A60,Partner_Voice!$A:$A,Partner_Voice!F:F,"",0))))</f>
        <v>0.375</v>
      </c>
      <c r="G60" s="42" t="str">
        <f t="array" ref="G60">IF(XLOOKUP($A60,Partner_Voice!$A:$A,Partner_Voice!G:G,"",0)="Free","Free",IF(XLOOKUP($A60,Partner_Voice!$A:$A,Partner_Voice!G:G,"",0)="VL","VL",IF(XLOOKUP($A60,Partner_Voice!$A:$A,Partner_Voice!G:G,"",0)="ATT","ATT",XLOOKUP($A60,Partner_Voice!$A:$A,Partner_Voice!G:G,"",0))))</f>
        <v>Free</v>
      </c>
      <c r="H60" s="42">
        <f t="array" ref="H60">IF(XLOOKUP($A60,Partner_Voice!$A:$A,Partner_Voice!H:H,"",0)="Free","Free",IF(XLOOKUP($A60,Partner_Voice!$A:$A,Partner_Voice!H:H,"",0)="VL","VL",IF(XLOOKUP($A60,Partner_Voice!$A:$A,Partner_Voice!H:H,"",0)="ATT","ATT",XLOOKUP($A60,Partner_Voice!$A:$A,Partner_Voice!H:H,"",0))))</f>
        <v>0.375</v>
      </c>
      <c r="I60" s="42">
        <f t="array" ref="I60">IF(XLOOKUP($A60,Partner_Voice!$A:$A,Partner_Voice!I:I,"",0)="Free","Free",IF(XLOOKUP($A60,Partner_Voice!$A:$A,Partner_Voice!I:I,"",0)="VL","VL",IF(XLOOKUP($A60,Partner_Voice!$A:$A,Partner_Voice!I:I,"",0)="ATT","ATT",XLOOKUP($A60,Partner_Voice!$A:$A,Partner_Voice!I:I,"",0))))</f>
        <v>0.375</v>
      </c>
      <c r="J60" s="42">
        <f t="array" ref="J60">IF(XLOOKUP($A60,Partner_Voice!$A:$A,Partner_Voice!J:J,"",0)="Free","Free",IF(XLOOKUP($A60,Partner_Voice!$A:$A,Partner_Voice!J:J,"",0)="VL","VL",IF(XLOOKUP($A60,Partner_Voice!$A:$A,Partner_Voice!J:J,"",0)="ATT","ATT",XLOOKUP($A60,Partner_Voice!$A:$A,Partner_Voice!J:J,"",0))))</f>
        <v>0.375</v>
      </c>
      <c r="K60" s="42"/>
      <c r="L60" s="42">
        <f t="array" ref="L60">IF(XLOOKUP($A60,Partner_Voice!$A:$A,Partner_Voice!L:L,"",0)="Free","Free",IF(XLOOKUP($A60,Partner_Voice!$A:$A,Partner_Voice!L:L,"",0)="VL","VL",IF(XLOOKUP($A60,Partner_Voice!$A:$A,Partner_Voice!L:L,"",0)="ATT","ATT",XLOOKUP($A60,Partner_Voice!$A:$A,Partner_Voice!L:L,"",0))))</f>
        <v>0.375</v>
      </c>
      <c r="M60" s="42">
        <f t="array" ref="M60">IF(XLOOKUP($A60,Partner_Voice!$A:$A,Partner_Voice!M:M,"",0)="Free","Free",IF(XLOOKUP($A60,Partner_Voice!$A:$A,Partner_Voice!M:M,"",0)="VL","VL",IF(XLOOKUP($A60,Partner_Voice!$A:$A,Partner_Voice!M:M,"",0)="ATT","ATT",XLOOKUP($A60,Partner_Voice!$A:$A,Partner_Voice!M:M,"",0))))</f>
        <v>0.375</v>
      </c>
      <c r="N60" s="42" t="str">
        <f t="array" ref="N60">IF(XLOOKUP($A60,Partner_Voice!$A:$A,Partner_Voice!N:N,"",0)="Free","Free",IF(XLOOKUP($A60,Partner_Voice!$A:$A,Partner_Voice!N:N,"",0)="VL","VL",IF(XLOOKUP($A60,Partner_Voice!$A:$A,Partner_Voice!N:N,"",0)="ATT","ATT",XLOOKUP($A60,Partner_Voice!$A:$A,Partner_Voice!N:N,"",0))))</f>
        <v>Free</v>
      </c>
      <c r="O60" s="42">
        <f t="array" ref="O60">IF(XLOOKUP($A60,Partner_Voice!$A:$A,Partner_Voice!O:O,"",0)="Free","Free",IF(XLOOKUP($A60,Partner_Voice!$A:$A,Partner_Voice!O:O,"",0)="VL","VL",IF(XLOOKUP($A60,Partner_Voice!$A:$A,Partner_Voice!O:O,"",0)="ATT","ATT",XLOOKUP($A60,Partner_Voice!$A:$A,Partner_Voice!O:O,"",0))))</f>
        <v>0.375</v>
      </c>
      <c r="P60" s="42">
        <f t="array" ref="P60">IF(XLOOKUP($A60,Partner_Voice!$A:$A,Partner_Voice!P:P,"",0)="Free","Free",IF(XLOOKUP($A60,Partner_Voice!$A:$A,Partner_Voice!P:P,"",0)="VL","VL",IF(XLOOKUP($A60,Partner_Voice!$A:$A,Partner_Voice!P:P,"",0)="ATT","ATT",XLOOKUP($A60,Partner_Voice!$A:$A,Partner_Voice!P:P,"",0))))</f>
        <v>0.375</v>
      </c>
      <c r="Q60" s="42">
        <f t="array" ref="Q60">IF(XLOOKUP($A60,Partner_Voice!$A:$A,Partner_Voice!Q:Q,"",0)="Free","Free",IF(XLOOKUP($A60,Partner_Voice!$A:$A,Partner_Voice!Q:Q,"",0)="VL","VL",IF(XLOOKUP($A60,Partner_Voice!$A:$A,Partner_Voice!Q:Q,"",0)="ATT","ATT",XLOOKUP($A60,Partner_Voice!$A:$A,Partner_Voice!Q:Q,"",0))))</f>
        <v>0.375</v>
      </c>
      <c r="R60" s="43"/>
      <c r="S60" s="42">
        <f t="array" ref="S60">IF(XLOOKUP($A60,Partner_Voice!$A:$A,Partner_Voice!S:S,"",0)="Free","Free",IF(XLOOKUP($A60,Partner_Voice!$A:$A,Partner_Voice!S:S,"",0)="VL","VL",IF(XLOOKUP($A60,Partner_Voice!$A:$A,Partner_Voice!S:S,"",0)="ATT","ATT",XLOOKUP($A60,Partner_Voice!$A:$A,Partner_Voice!S:S,"",0))))</f>
        <v>0.375</v>
      </c>
      <c r="T60" s="42">
        <f t="array" ref="T60">IF(XLOOKUP($A60,Partner_Voice!$A:$A,Partner_Voice!T:T,"",0)="Free","Free",IF(XLOOKUP($A60,Partner_Voice!$A:$A,Partner_Voice!T:T,"",0)="VL","VL",IF(XLOOKUP($A60,Partner_Voice!$A:$A,Partner_Voice!T:T,"",0)="ATT","ATT",XLOOKUP($A60,Partner_Voice!$A:$A,Partner_Voice!T:T,"",0))))</f>
        <v>0.375</v>
      </c>
      <c r="U60" s="42" t="str">
        <f t="array" ref="U60">IF(XLOOKUP($A60,Partner_Voice!$A:$A,Partner_Voice!U:U,"",0)="Free","Free",IF(XLOOKUP($A60,Partner_Voice!$A:$A,Partner_Voice!U:U,"",0)="VL","VL",IF(XLOOKUP($A60,Partner_Voice!$A:$A,Partner_Voice!U:U,"",0)="ATT","ATT",XLOOKUP($A60,Partner_Voice!$A:$A,Partner_Voice!U:U,"",0))))</f>
        <v>Free</v>
      </c>
      <c r="V60" s="42">
        <f t="array" ref="V60">IF(XLOOKUP($A60,Partner_Voice!$A:$A,Partner_Voice!V:V,"",0)="Free","Free",IF(XLOOKUP($A60,Partner_Voice!$A:$A,Partner_Voice!V:V,"",0)="VL","VL",IF(XLOOKUP($A60,Partner_Voice!$A:$A,Partner_Voice!V:V,"",0)="ATT","ATT",XLOOKUP($A60,Partner_Voice!$A:$A,Partner_Voice!V:V,"",0))))</f>
        <v>0.375</v>
      </c>
      <c r="W60" s="42">
        <f t="array" ref="W60">IF(XLOOKUP($A60,Partner_Voice!$A:$A,Partner_Voice!W:W,"",0)="Free","Free",IF(XLOOKUP($A60,Partner_Voice!$A:$A,Partner_Voice!W:W,"",0)="VL","VL",IF(XLOOKUP($A60,Partner_Voice!$A:$A,Partner_Voice!W:W,"",0)="ATT","ATT",XLOOKUP($A60,Partner_Voice!$A:$A,Partner_Voice!W:W,"",0))))</f>
        <v>0.375</v>
      </c>
      <c r="X60" s="42">
        <f t="array" ref="X60">IF(XLOOKUP($A60,Partner_Voice!$A:$A,Partner_Voice!X:X,"",0)="Free","Free",IF(XLOOKUP($A60,Partner_Voice!$A:$A,Partner_Voice!X:X,"",0)="VL","VL",IF(XLOOKUP($A60,Partner_Voice!$A:$A,Partner_Voice!X:X,"",0)="ATT","ATT",XLOOKUP($A60,Partner_Voice!$A:$A,Partner_Voice!X:X,"",0))))</f>
        <v>0.375</v>
      </c>
      <c r="Y60" s="43"/>
      <c r="Z60" s="42">
        <f t="array" ref="Z60">IF(XLOOKUP($A60,Partner_Voice!$A:$A,Partner_Voice!Z:Z,"",0)="Free","Free",IF(XLOOKUP($A60,Partner_Voice!$A:$A,Partner_Voice!Z:Z,"",0)="VL","VL",IF(XLOOKUP($A60,Partner_Voice!$A:$A,Partner_Voice!Z:Z,"",0)="ATT","ATT",XLOOKUP($A60,Partner_Voice!$A:$A,Partner_Voice!Z:Z,"",0))))</f>
        <v>0.375</v>
      </c>
      <c r="AA60" s="42">
        <f t="array" ref="AA60">IF(XLOOKUP($A60,Partner_Voice!$A:$A,Partner_Voice!AA:AA,"",0)="Free","Free",IF(XLOOKUP($A60,Partner_Voice!$A:$A,Partner_Voice!AA:AA,"",0)="VL","VL",IF(XLOOKUP($A60,Partner_Voice!$A:$A,Partner_Voice!AA:AA,"",0)="ATT","ATT",XLOOKUP($A60,Partner_Voice!$A:$A,Partner_Voice!AA:AA,"",0))))</f>
        <v>0.375</v>
      </c>
      <c r="AB60" s="42" t="str">
        <f t="array" ref="AB60">IF(XLOOKUP($A60,Partner_Voice!$A:$A,Partner_Voice!AB:AB,"",0)="Free","Free",IF(XLOOKUP($A60,Partner_Voice!$A:$A,Partner_Voice!AB:AB,"",0)="VL","VL",IF(XLOOKUP($A60,Partner_Voice!$A:$A,Partner_Voice!AB:AB,"",0)="ATT","ATT",XLOOKUP($A60,Partner_Voice!$A:$A,Partner_Voice!AB:AB,"",0))))</f>
        <v>Free</v>
      </c>
      <c r="AC60" s="42">
        <f t="array" ref="AC60">IF(XLOOKUP($A60,Partner_Voice!$A:$A,Partner_Voice!AC:AC,"",0)="Free","Free",IF(XLOOKUP($A60,Partner_Voice!$A:$A,Partner_Voice!AC:AC,"",0)="VL","VL",IF(XLOOKUP($A60,Partner_Voice!$A:$A,Partner_Voice!AC:AC,"",0)="ATT","ATT",XLOOKUP($A60,Partner_Voice!$A:$A,Partner_Voice!AC:AC,"",0))))</f>
        <v>0.375</v>
      </c>
      <c r="AD60" s="42">
        <f t="array" ref="AD60">IF(XLOOKUP($A60,Partner_Voice!$A:$A,Partner_Voice!AD:AD,"",0)="Free","Free",IF(XLOOKUP($A60,Partner_Voice!$A:$A,Partner_Voice!AD:AD,"",0)="VL","VL",IF(XLOOKUP($A60,Partner_Voice!$A:$A,Partner_Voice!AD:AD,"",0)="ATT","ATT",XLOOKUP($A60,Partner_Voice!$A:$A,Partner_Voice!AD:AD,"",0))))</f>
        <v>0.375</v>
      </c>
      <c r="AE60" s="42">
        <f t="array" ref="AE60">IF(XLOOKUP($A60,Partner_Voice!$A:$A,Partner_Voice!AE:AE,"",0)="Free","Free",IF(XLOOKUP($A60,Partner_Voice!$A:$A,Partner_Voice!AE:AE,"",0)="VL","VL",IF(XLOOKUP($A60,Partner_Voice!$A:$A,Partner_Voice!AE:AE,"",0)="ATT","ATT",XLOOKUP($A60,Partner_Voice!$A:$A,Partner_Voice!AE:AE,"",0))))</f>
        <v>0.375</v>
      </c>
      <c r="AF60" s="69"/>
      <c r="AG60" s="42">
        <f t="array" ref="AG60">IF(XLOOKUP($A60,Partner_Voice!$A:$A,Partner_Voice!AG:AG,"",0)="Free","Free",IF(XLOOKUP($A60,Partner_Voice!$A:$A,Partner_Voice!AG:AG,"",0)="VL","VL",IF(XLOOKUP($A60,Partner_Voice!$A:$A,Partner_Voice!AG:AG,"",0)="ATT","ATT",XLOOKUP($A60,Partner_Voice!$A:$A,Partner_Voice!AG:AG,"",0))))</f>
        <v>0.375</v>
      </c>
      <c r="AH60" s="42">
        <f t="array" ref="AH60">IF(XLOOKUP($A60,Partner_Voice!$A:$A,Partner_Voice!AH:AH,"",0)="Free","Free",IF(XLOOKUP($A60,Partner_Voice!$A:$A,Partner_Voice!AH:AH,"",0)="VL","VL",IF(XLOOKUP($A60,Partner_Voice!$A:$A,Partner_Voice!AH:AH,"",0)="ATT","ATT",XLOOKUP($A60,Partner_Voice!$A:$A,Partner_Voice!AH:AH,"",0))))</f>
        <v>0.375</v>
      </c>
      <c r="AI60" s="42" t="str">
        <f t="array" ref="AI60">IF(XLOOKUP($A60,Partner_Voice!$A:$A,Partner_Voice!AI:AI,"",0)="Free","Free",IF(XLOOKUP($A60,Partner_Voice!$A:$A,Partner_Voice!AI:AI,"",0)="VL","VL",IF(XLOOKUP($A60,Partner_Voice!$A:$A,Partner_Voice!AI:AI,"",0)="ATT","ATT",XLOOKUP($A60,Partner_Voice!$A:$A,Partner_Voice!AI:AI,"",0))))</f>
        <v>Free</v>
      </c>
      <c r="AJ60" s="42">
        <f t="array" ref="AJ60">IF(XLOOKUP($A60,Partner_Voice!$A:$A,Partner_Voice!AJ:AJ,"",0)="Free","Free",IF(XLOOKUP($A60,Partner_Voice!$A:$A,Partner_Voice!AJ:AJ,"",0)="VL","VL",IF(XLOOKUP($A60,Partner_Voice!$A:$A,Partner_Voice!AJ:AJ,"",0)="ATT","ATT",XLOOKUP($A60,Partner_Voice!$A:$A,Partner_Voice!AJ:AJ,"",0))))</f>
        <v>0.375</v>
      </c>
      <c r="AK60" s="42">
        <f t="array" ref="AK60">IF(XLOOKUP($A60,Partner_Voice!$A:$A,Partner_Voice!AK:AK,"",0)="Free","Free",IF(XLOOKUP($A60,Partner_Voice!$A:$A,Partner_Voice!AK:AK,"",0)="VL","VL",IF(XLOOKUP($A60,Partner_Voice!$A:$A,Partner_Voice!AK:AK,"",0)="ATT","ATT",XLOOKUP($A60,Partner_Voice!$A:$A,Partner_Voice!AK:AK,"",0))))</f>
        <v>0.375</v>
      </c>
      <c r="AL60" s="42">
        <f t="array" ref="AL60">IF(XLOOKUP($A60,Partner_Voice!$A:$A,Partner_Voice!AL:AL,"",0)="Free","Free",IF(XLOOKUP($A60,Partner_Voice!$A:$A,Partner_Voice!AL:AL,"",0)="VL","VL",IF(XLOOKUP($A60,Partner_Voice!$A:$A,Partner_Voice!AL:AL,"",0)="ATT","ATT",XLOOKUP($A60,Partner_Voice!$A:$A,Partner_Voice!AL:AL,"",0))))</f>
        <v>0.375</v>
      </c>
      <c r="AM60" s="42"/>
    </row>
    <row r="61">
      <c r="A61" s="47" t="s">
        <v>14</v>
      </c>
      <c r="B61" s="35" t="str">
        <f t="array" ref="B61">XLOOKUP(A61,Roster!F:F,Roster!A:A,"")</f>
        <v>Mateo Henao</v>
      </c>
      <c r="C61" s="35" t="str">
        <f t="array" ref="C61">XLOOKUP(A61,Roster!F:F,Roster!B:B,"")</f>
        <v>Andres Salazar</v>
      </c>
      <c r="D61" s="70"/>
      <c r="E61" s="42">
        <f t="array" ref="E61">IF(XLOOKUP($A61,Partner_Voice!$A:$A,Partner_Voice!E:E,"",0)="Free","Free",IF(XLOOKUP($A61,Partner_Voice!$A:$A,Partner_Voice!E:E,"",0)="VL","VL",IF(XLOOKUP($A61,Partner_Voice!$A:$A,Partner_Voice!E:E,"",0)="ATT","ATT",XLOOKUP($A61,Partner_Voice!$A:$A,Partner_Voice!E:E,"",0))))</f>
        <v>0.3333333333</v>
      </c>
      <c r="F61" s="42">
        <f t="array" ref="F61">IF(XLOOKUP($A61,Partner_Voice!$A:$A,Partner_Voice!F:F,"",0)="Free","Free",IF(XLOOKUP($A61,Partner_Voice!$A:$A,Partner_Voice!F:F,"",0)="VL","VL",IF(XLOOKUP($A61,Partner_Voice!$A:$A,Partner_Voice!F:F,"",0)="ATT","ATT",XLOOKUP($A61,Partner_Voice!$A:$A,Partner_Voice!F:F,"",0))))</f>
        <v>0.3333333333</v>
      </c>
      <c r="G61" s="42">
        <f t="array" ref="G61">IF(XLOOKUP($A61,Partner_Voice!$A:$A,Partner_Voice!G:G,"",0)="Free","Free",IF(XLOOKUP($A61,Partner_Voice!$A:$A,Partner_Voice!G:G,"",0)="VL","VL",IF(XLOOKUP($A61,Partner_Voice!$A:$A,Partner_Voice!G:G,"",0)="ATT","ATT",XLOOKUP($A61,Partner_Voice!$A:$A,Partner_Voice!G:G,"",0))))</f>
        <v>0.3333333333</v>
      </c>
      <c r="H61" s="42">
        <f t="array" ref="H61">IF(XLOOKUP($A61,Partner_Voice!$A:$A,Partner_Voice!H:H,"",0)="Free","Free",IF(XLOOKUP($A61,Partner_Voice!$A:$A,Partner_Voice!H:H,"",0)="VL","VL",IF(XLOOKUP($A61,Partner_Voice!$A:$A,Partner_Voice!H:H,"",0)="ATT","ATT",XLOOKUP($A61,Partner_Voice!$A:$A,Partner_Voice!H:H,"",0))))</f>
        <v>0.3333333333</v>
      </c>
      <c r="I61" s="42" t="str">
        <f t="array" ref="I61">IF(XLOOKUP($A61,Partner_Voice!$A:$A,Partner_Voice!I:I,"",0)="Free","Free",IF(XLOOKUP($A61,Partner_Voice!$A:$A,Partner_Voice!I:I,"",0)="VL","VL",IF(XLOOKUP($A61,Partner_Voice!$A:$A,Partner_Voice!I:I,"",0)="ATT","ATT",XLOOKUP($A61,Partner_Voice!$A:$A,Partner_Voice!I:I,"",0))))</f>
        <v>Free</v>
      </c>
      <c r="J61" s="42">
        <f t="array" ref="J61">IF(XLOOKUP($A61,Partner_Voice!$A:$A,Partner_Voice!J:J,"",0)="Free","Free",IF(XLOOKUP($A61,Partner_Voice!$A:$A,Partner_Voice!J:J,"",0)="VL","VL",IF(XLOOKUP($A61,Partner_Voice!$A:$A,Partner_Voice!J:J,"",0)="ATT","ATT",XLOOKUP($A61,Partner_Voice!$A:$A,Partner_Voice!J:J,"",0))))</f>
        <v>0.3333333333</v>
      </c>
      <c r="K61" s="42"/>
      <c r="L61" s="42">
        <f t="array" ref="L61">IF(XLOOKUP($A61,Partner_Voice!$A:$A,Partner_Voice!L:L,"",0)="Free","Free",IF(XLOOKUP($A61,Partner_Voice!$A:$A,Partner_Voice!L:L,"",0)="VL","VL",IF(XLOOKUP($A61,Partner_Voice!$A:$A,Partner_Voice!L:L,"",0)="ATT","ATT",XLOOKUP($A61,Partner_Voice!$A:$A,Partner_Voice!L:L,"",0))))</f>
        <v>0.3333333333</v>
      </c>
      <c r="M61" s="42">
        <f t="array" ref="M61">IF(XLOOKUP($A61,Partner_Voice!$A:$A,Partner_Voice!M:M,"",0)="Free","Free",IF(XLOOKUP($A61,Partner_Voice!$A:$A,Partner_Voice!M:M,"",0)="VL","VL",IF(XLOOKUP($A61,Partner_Voice!$A:$A,Partner_Voice!M:M,"",0)="ATT","ATT",XLOOKUP($A61,Partner_Voice!$A:$A,Partner_Voice!M:M,"",0))))</f>
        <v>0.3333333333</v>
      </c>
      <c r="N61" s="42">
        <f t="array" ref="N61">IF(XLOOKUP($A61,Partner_Voice!$A:$A,Partner_Voice!N:N,"",0)="Free","Free",IF(XLOOKUP($A61,Partner_Voice!$A:$A,Partner_Voice!N:N,"",0)="VL","VL",IF(XLOOKUP($A61,Partner_Voice!$A:$A,Partner_Voice!N:N,"",0)="ATT","ATT",XLOOKUP($A61,Partner_Voice!$A:$A,Partner_Voice!N:N,"",0))))</f>
        <v>0.3333333333</v>
      </c>
      <c r="O61" s="42">
        <f t="array" ref="O61">IF(XLOOKUP($A61,Partner_Voice!$A:$A,Partner_Voice!O:O,"",0)="Free","Free",IF(XLOOKUP($A61,Partner_Voice!$A:$A,Partner_Voice!O:O,"",0)="VL","VL",IF(XLOOKUP($A61,Partner_Voice!$A:$A,Partner_Voice!O:O,"",0)="ATT","ATT",XLOOKUP($A61,Partner_Voice!$A:$A,Partner_Voice!O:O,"",0))))</f>
        <v>0.3333333333</v>
      </c>
      <c r="P61" s="42" t="str">
        <f t="array" ref="P61">IF(XLOOKUP($A61,Partner_Voice!$A:$A,Partner_Voice!P:P,"",0)="Free","Free",IF(XLOOKUP($A61,Partner_Voice!$A:$A,Partner_Voice!P:P,"",0)="VL","VL",IF(XLOOKUP($A61,Partner_Voice!$A:$A,Partner_Voice!P:P,"",0)="ATT","ATT",XLOOKUP($A61,Partner_Voice!$A:$A,Partner_Voice!P:P,"",0))))</f>
        <v>Free</v>
      </c>
      <c r="Q61" s="42">
        <f t="array" ref="Q61">IF(XLOOKUP($A61,Partner_Voice!$A:$A,Partner_Voice!Q:Q,"",0)="Free","Free",IF(XLOOKUP($A61,Partner_Voice!$A:$A,Partner_Voice!Q:Q,"",0)="VL","VL",IF(XLOOKUP($A61,Partner_Voice!$A:$A,Partner_Voice!Q:Q,"",0)="ATT","ATT",XLOOKUP($A61,Partner_Voice!$A:$A,Partner_Voice!Q:Q,"",0))))</f>
        <v>0.3333333333</v>
      </c>
      <c r="R61" s="43"/>
      <c r="S61" s="42">
        <f t="array" ref="S61">IF(XLOOKUP($A61,Partner_Voice!$A:$A,Partner_Voice!S:S,"",0)="Free","Free",IF(XLOOKUP($A61,Partner_Voice!$A:$A,Partner_Voice!S:S,"",0)="VL","VL",IF(XLOOKUP($A61,Partner_Voice!$A:$A,Partner_Voice!S:S,"",0)="ATT","ATT",XLOOKUP($A61,Partner_Voice!$A:$A,Partner_Voice!S:S,"",0))))</f>
        <v>0.3333333333</v>
      </c>
      <c r="T61" s="42">
        <f t="array" ref="T61">IF(XLOOKUP($A61,Partner_Voice!$A:$A,Partner_Voice!T:T,"",0)="Free","Free",IF(XLOOKUP($A61,Partner_Voice!$A:$A,Partner_Voice!T:T,"",0)="VL","VL",IF(XLOOKUP($A61,Partner_Voice!$A:$A,Partner_Voice!T:T,"",0)="ATT","ATT",XLOOKUP($A61,Partner_Voice!$A:$A,Partner_Voice!T:T,"",0))))</f>
        <v>0.3333333333</v>
      </c>
      <c r="U61" s="42">
        <f t="array" ref="U61">IF(XLOOKUP($A61,Partner_Voice!$A:$A,Partner_Voice!U:U,"",0)="Free","Free",IF(XLOOKUP($A61,Partner_Voice!$A:$A,Partner_Voice!U:U,"",0)="VL","VL",IF(XLOOKUP($A61,Partner_Voice!$A:$A,Partner_Voice!U:U,"",0)="ATT","ATT",XLOOKUP($A61,Partner_Voice!$A:$A,Partner_Voice!U:U,"",0))))</f>
        <v>0.3333333333</v>
      </c>
      <c r="V61" s="42">
        <f t="array" ref="V61">IF(XLOOKUP($A61,Partner_Voice!$A:$A,Partner_Voice!V:V,"",0)="Free","Free",IF(XLOOKUP($A61,Partner_Voice!$A:$A,Partner_Voice!V:V,"",0)="VL","VL",IF(XLOOKUP($A61,Partner_Voice!$A:$A,Partner_Voice!V:V,"",0)="ATT","ATT",XLOOKUP($A61,Partner_Voice!$A:$A,Partner_Voice!V:V,"",0))))</f>
        <v>0.3333333333</v>
      </c>
      <c r="W61" s="42" t="str">
        <f t="array" ref="W61">IF(XLOOKUP($A61,Partner_Voice!$A:$A,Partner_Voice!W:W,"",0)="Free","Free",IF(XLOOKUP($A61,Partner_Voice!$A:$A,Partner_Voice!W:W,"",0)="VL","VL",IF(XLOOKUP($A61,Partner_Voice!$A:$A,Partner_Voice!W:W,"",0)="ATT","ATT",XLOOKUP($A61,Partner_Voice!$A:$A,Partner_Voice!W:W,"",0))))</f>
        <v>Free</v>
      </c>
      <c r="X61" s="42">
        <f t="array" ref="X61">IF(XLOOKUP($A61,Partner_Voice!$A:$A,Partner_Voice!X:X,"",0)="Free","Free",IF(XLOOKUP($A61,Partner_Voice!$A:$A,Partner_Voice!X:X,"",0)="VL","VL",IF(XLOOKUP($A61,Partner_Voice!$A:$A,Partner_Voice!X:X,"",0)="ATT","ATT",XLOOKUP($A61,Partner_Voice!$A:$A,Partner_Voice!X:X,"",0))))</f>
        <v>0.3333333333</v>
      </c>
      <c r="Y61" s="43"/>
      <c r="Z61" s="42">
        <f t="array" ref="Z61">IF(XLOOKUP($A61,Partner_Voice!$A:$A,Partner_Voice!Z:Z,"",0)="Free","Free",IF(XLOOKUP($A61,Partner_Voice!$A:$A,Partner_Voice!Z:Z,"",0)="VL","VL",IF(XLOOKUP($A61,Partner_Voice!$A:$A,Partner_Voice!Z:Z,"",0)="ATT","ATT",XLOOKUP($A61,Partner_Voice!$A:$A,Partner_Voice!Z:Z,"",0))))</f>
        <v>0.3333333333</v>
      </c>
      <c r="AA61" s="42">
        <f t="array" ref="AA61">IF(XLOOKUP($A61,Partner_Voice!$A:$A,Partner_Voice!AA:AA,"",0)="Free","Free",IF(XLOOKUP($A61,Partner_Voice!$A:$A,Partner_Voice!AA:AA,"",0)="VL","VL",IF(XLOOKUP($A61,Partner_Voice!$A:$A,Partner_Voice!AA:AA,"",0)="ATT","ATT",XLOOKUP($A61,Partner_Voice!$A:$A,Partner_Voice!AA:AA,"",0))))</f>
        <v>0.3333333333</v>
      </c>
      <c r="AB61" s="42">
        <f t="array" ref="AB61">IF(XLOOKUP($A61,Partner_Voice!$A:$A,Partner_Voice!AB:AB,"",0)="Free","Free",IF(XLOOKUP($A61,Partner_Voice!$A:$A,Partner_Voice!AB:AB,"",0)="VL","VL",IF(XLOOKUP($A61,Partner_Voice!$A:$A,Partner_Voice!AB:AB,"",0)="ATT","ATT",XLOOKUP($A61,Partner_Voice!$A:$A,Partner_Voice!AB:AB,"",0))))</f>
        <v>0.3333333333</v>
      </c>
      <c r="AC61" s="42">
        <f t="array" ref="AC61">IF(XLOOKUP($A61,Partner_Voice!$A:$A,Partner_Voice!AC:AC,"",0)="Free","Free",IF(XLOOKUP($A61,Partner_Voice!$A:$A,Partner_Voice!AC:AC,"",0)="VL","VL",IF(XLOOKUP($A61,Partner_Voice!$A:$A,Partner_Voice!AC:AC,"",0)="ATT","ATT",XLOOKUP($A61,Partner_Voice!$A:$A,Partner_Voice!AC:AC,"",0))))</f>
        <v>0.3333333333</v>
      </c>
      <c r="AD61" s="42" t="str">
        <f t="array" ref="AD61">IF(XLOOKUP($A61,Partner_Voice!$A:$A,Partner_Voice!AD:AD,"",0)="Free","Free",IF(XLOOKUP($A61,Partner_Voice!$A:$A,Partner_Voice!AD:AD,"",0)="VL","VL",IF(XLOOKUP($A61,Partner_Voice!$A:$A,Partner_Voice!AD:AD,"",0)="ATT","ATT",XLOOKUP($A61,Partner_Voice!$A:$A,Partner_Voice!AD:AD,"",0))))</f>
        <v>Free</v>
      </c>
      <c r="AE61" s="42">
        <f t="array" ref="AE61">IF(XLOOKUP($A61,Partner_Voice!$A:$A,Partner_Voice!AE:AE,"",0)="Free","Free",IF(XLOOKUP($A61,Partner_Voice!$A:$A,Partner_Voice!AE:AE,"",0)="VL","VL",IF(XLOOKUP($A61,Partner_Voice!$A:$A,Partner_Voice!AE:AE,"",0)="ATT","ATT",XLOOKUP($A61,Partner_Voice!$A:$A,Partner_Voice!AE:AE,"",0))))</f>
        <v>0.3333333333</v>
      </c>
      <c r="AF61" s="69"/>
      <c r="AG61" s="42">
        <f t="array" ref="AG61">IF(XLOOKUP($A61,Partner_Voice!$A:$A,Partner_Voice!AG:AG,"",0)="Free","Free",IF(XLOOKUP($A61,Partner_Voice!$A:$A,Partner_Voice!AG:AG,"",0)="VL","VL",IF(XLOOKUP($A61,Partner_Voice!$A:$A,Partner_Voice!AG:AG,"",0)="ATT","ATT",XLOOKUP($A61,Partner_Voice!$A:$A,Partner_Voice!AG:AG,"",0))))</f>
        <v>0.3333333333</v>
      </c>
      <c r="AH61" s="42">
        <f t="array" ref="AH61">IF(XLOOKUP($A61,Partner_Voice!$A:$A,Partner_Voice!AH:AH,"",0)="Free","Free",IF(XLOOKUP($A61,Partner_Voice!$A:$A,Partner_Voice!AH:AH,"",0)="VL","VL",IF(XLOOKUP($A61,Partner_Voice!$A:$A,Partner_Voice!AH:AH,"",0)="ATT","ATT",XLOOKUP($A61,Partner_Voice!$A:$A,Partner_Voice!AH:AH,"",0))))</f>
        <v>0.3333333333</v>
      </c>
      <c r="AI61" s="42">
        <f t="array" ref="AI61">IF(XLOOKUP($A61,Partner_Voice!$A:$A,Partner_Voice!AI:AI,"",0)="Free","Free",IF(XLOOKUP($A61,Partner_Voice!$A:$A,Partner_Voice!AI:AI,"",0)="VL","VL",IF(XLOOKUP($A61,Partner_Voice!$A:$A,Partner_Voice!AI:AI,"",0)="ATT","ATT",XLOOKUP($A61,Partner_Voice!$A:$A,Partner_Voice!AI:AI,"",0))))</f>
        <v>0.3333333333</v>
      </c>
      <c r="AJ61" s="42">
        <f t="array" ref="AJ61">IF(XLOOKUP($A61,Partner_Voice!$A:$A,Partner_Voice!AJ:AJ,"",0)="Free","Free",IF(XLOOKUP($A61,Partner_Voice!$A:$A,Partner_Voice!AJ:AJ,"",0)="VL","VL",IF(XLOOKUP($A61,Partner_Voice!$A:$A,Partner_Voice!AJ:AJ,"",0)="ATT","ATT",XLOOKUP($A61,Partner_Voice!$A:$A,Partner_Voice!AJ:AJ,"",0))))</f>
        <v>0.3333333333</v>
      </c>
      <c r="AK61" s="42" t="str">
        <f t="array" ref="AK61">IF(XLOOKUP($A61,Partner_Voice!$A:$A,Partner_Voice!AK:AK,"",0)="Free","Free",IF(XLOOKUP($A61,Partner_Voice!$A:$A,Partner_Voice!AK:AK,"",0)="VL","VL",IF(XLOOKUP($A61,Partner_Voice!$A:$A,Partner_Voice!AK:AK,"",0)="ATT","ATT",XLOOKUP($A61,Partner_Voice!$A:$A,Partner_Voice!AK:AK,"",0))))</f>
        <v>Free</v>
      </c>
      <c r="AL61" s="42">
        <f t="array" ref="AL61">IF(XLOOKUP($A61,Partner_Voice!$A:$A,Partner_Voice!AL:AL,"",0)="Free","Free",IF(XLOOKUP($A61,Partner_Voice!$A:$A,Partner_Voice!AL:AL,"",0)="VL","VL",IF(XLOOKUP($A61,Partner_Voice!$A:$A,Partner_Voice!AL:AL,"",0)="ATT","ATT",XLOOKUP($A61,Partner_Voice!$A:$A,Partner_Voice!AL:AL,"",0))))</f>
        <v>0.3333333333</v>
      </c>
      <c r="AM61" s="42"/>
    </row>
    <row r="62">
      <c r="A62" s="47" t="s">
        <v>15</v>
      </c>
      <c r="B62" s="35" t="str">
        <f t="array" ref="B62">XLOOKUP(A62,Roster!F:F,Roster!A:A,"")</f>
        <v>Mateo Henao</v>
      </c>
      <c r="C62" s="35" t="str">
        <f t="array" ref="C62">XLOOKUP(A62,Roster!F:F,Roster!B:B,"")</f>
        <v>Angelo Zapata</v>
      </c>
      <c r="D62" s="70"/>
      <c r="E62" s="42">
        <f t="array" ref="E62">IF(XLOOKUP($A62,Partner_Voice!$A:$A,Partner_Voice!E:E,"",0)="Free","Free",IF(XLOOKUP($A62,Partner_Voice!$A:$A,Partner_Voice!E:E,"",0)="VL","VL",IF(XLOOKUP($A62,Partner_Voice!$A:$A,Partner_Voice!E:E,"",0)="ATT","ATT",XLOOKUP($A62,Partner_Voice!$A:$A,Partner_Voice!E:E,"",0))))</f>
        <v>0.3333333333</v>
      </c>
      <c r="F62" s="42">
        <f t="array" ref="F62">IF(XLOOKUP($A62,Partner_Voice!$A:$A,Partner_Voice!F:F,"",0)="Free","Free",IF(XLOOKUP($A62,Partner_Voice!$A:$A,Partner_Voice!F:F,"",0)="VL","VL",IF(XLOOKUP($A62,Partner_Voice!$A:$A,Partner_Voice!F:F,"",0)="ATT","ATT",XLOOKUP($A62,Partner_Voice!$A:$A,Partner_Voice!F:F,"",0))))</f>
        <v>0.3333333333</v>
      </c>
      <c r="G62" s="42">
        <f t="array" ref="G62">IF(XLOOKUP($A62,Partner_Voice!$A:$A,Partner_Voice!G:G,"",0)="Free","Free",IF(XLOOKUP($A62,Partner_Voice!$A:$A,Partner_Voice!G:G,"",0)="VL","VL",IF(XLOOKUP($A62,Partner_Voice!$A:$A,Partner_Voice!G:G,"",0)="ATT","ATT",XLOOKUP($A62,Partner_Voice!$A:$A,Partner_Voice!G:G,"",0))))</f>
        <v>0.3333333333</v>
      </c>
      <c r="H62" s="42">
        <f t="array" ref="H62">IF(XLOOKUP($A62,Partner_Voice!$A:$A,Partner_Voice!H:H,"",0)="Free","Free",IF(XLOOKUP($A62,Partner_Voice!$A:$A,Partner_Voice!H:H,"",0)="VL","VL",IF(XLOOKUP($A62,Partner_Voice!$A:$A,Partner_Voice!H:H,"",0)="ATT","ATT",XLOOKUP($A62,Partner_Voice!$A:$A,Partner_Voice!H:H,"",0))))</f>
        <v>0.3333333333</v>
      </c>
      <c r="I62" s="42">
        <f t="array" ref="I62">IF(XLOOKUP($A62,Partner_Voice!$A:$A,Partner_Voice!I:I,"",0)="Free","Free",IF(XLOOKUP($A62,Partner_Voice!$A:$A,Partner_Voice!I:I,"",0)="VL","VL",IF(XLOOKUP($A62,Partner_Voice!$A:$A,Partner_Voice!I:I,"",0)="ATT","ATT",XLOOKUP($A62,Partner_Voice!$A:$A,Partner_Voice!I:I,"",0))))</f>
        <v>0.3333333333</v>
      </c>
      <c r="J62" s="42" t="str">
        <f t="array" ref="J62">IF(XLOOKUP($A62,Partner_Voice!$A:$A,Partner_Voice!J:J,"",0)="Free","Free",IF(XLOOKUP($A62,Partner_Voice!$A:$A,Partner_Voice!J:J,"",0)="VL","VL",IF(XLOOKUP($A62,Partner_Voice!$A:$A,Partner_Voice!J:J,"",0)="ATT","ATT",XLOOKUP($A62,Partner_Voice!$A:$A,Partner_Voice!J:J,"",0))))</f>
        <v>Free</v>
      </c>
      <c r="K62" s="42"/>
      <c r="L62" s="42">
        <f t="array" ref="L62">IF(XLOOKUP($A62,Partner_Voice!$A:$A,Partner_Voice!L:L,"",0)="Free","Free",IF(XLOOKUP($A62,Partner_Voice!$A:$A,Partner_Voice!L:L,"",0)="VL","VL",IF(XLOOKUP($A62,Partner_Voice!$A:$A,Partner_Voice!L:L,"",0)="ATT","ATT",XLOOKUP($A62,Partner_Voice!$A:$A,Partner_Voice!L:L,"",0))))</f>
        <v>0.3333333333</v>
      </c>
      <c r="M62" s="42">
        <f t="array" ref="M62">IF(XLOOKUP($A62,Partner_Voice!$A:$A,Partner_Voice!M:M,"",0)="Free","Free",IF(XLOOKUP($A62,Partner_Voice!$A:$A,Partner_Voice!M:M,"",0)="VL","VL",IF(XLOOKUP($A62,Partner_Voice!$A:$A,Partner_Voice!M:M,"",0)="ATT","ATT",XLOOKUP($A62,Partner_Voice!$A:$A,Partner_Voice!M:M,"",0))))</f>
        <v>0.3333333333</v>
      </c>
      <c r="N62" s="42">
        <f t="array" ref="N62">IF(XLOOKUP($A62,Partner_Voice!$A:$A,Partner_Voice!N:N,"",0)="Free","Free",IF(XLOOKUP($A62,Partner_Voice!$A:$A,Partner_Voice!N:N,"",0)="VL","VL",IF(XLOOKUP($A62,Partner_Voice!$A:$A,Partner_Voice!N:N,"",0)="ATT","ATT",XLOOKUP($A62,Partner_Voice!$A:$A,Partner_Voice!N:N,"",0))))</f>
        <v>0.3333333333</v>
      </c>
      <c r="O62" s="42">
        <f t="array" ref="O62">IF(XLOOKUP($A62,Partner_Voice!$A:$A,Partner_Voice!O:O,"",0)="Free","Free",IF(XLOOKUP($A62,Partner_Voice!$A:$A,Partner_Voice!O:O,"",0)="VL","VL",IF(XLOOKUP($A62,Partner_Voice!$A:$A,Partner_Voice!O:O,"",0)="ATT","ATT",XLOOKUP($A62,Partner_Voice!$A:$A,Partner_Voice!O:O,"",0))))</f>
        <v>0.3333333333</v>
      </c>
      <c r="P62" s="42">
        <f t="array" ref="P62">IF(XLOOKUP($A62,Partner_Voice!$A:$A,Partner_Voice!P:P,"",0)="Free","Free",IF(XLOOKUP($A62,Partner_Voice!$A:$A,Partner_Voice!P:P,"",0)="VL","VL",IF(XLOOKUP($A62,Partner_Voice!$A:$A,Partner_Voice!P:P,"",0)="ATT","ATT",XLOOKUP($A62,Partner_Voice!$A:$A,Partner_Voice!P:P,"",0))))</f>
        <v>0.3333333333</v>
      </c>
      <c r="Q62" s="42" t="str">
        <f t="array" ref="Q62">IF(XLOOKUP($A62,Partner_Voice!$A:$A,Partner_Voice!Q:Q,"",0)="Free","Free",IF(XLOOKUP($A62,Partner_Voice!$A:$A,Partner_Voice!Q:Q,"",0)="VL","VL",IF(XLOOKUP($A62,Partner_Voice!$A:$A,Partner_Voice!Q:Q,"",0)="ATT","ATT",XLOOKUP($A62,Partner_Voice!$A:$A,Partner_Voice!Q:Q,"",0))))</f>
        <v>Free</v>
      </c>
      <c r="R62" s="43"/>
      <c r="S62" s="42">
        <f t="array" ref="S62">IF(XLOOKUP($A62,Partner_Voice!$A:$A,Partner_Voice!S:S,"",0)="Free","Free",IF(XLOOKUP($A62,Partner_Voice!$A:$A,Partner_Voice!S:S,"",0)="VL","VL",IF(XLOOKUP($A62,Partner_Voice!$A:$A,Partner_Voice!S:S,"",0)="ATT","ATT",XLOOKUP($A62,Partner_Voice!$A:$A,Partner_Voice!S:S,"",0))))</f>
        <v>0.3333333333</v>
      </c>
      <c r="T62" s="42">
        <f t="array" ref="T62">IF(XLOOKUP($A62,Partner_Voice!$A:$A,Partner_Voice!T:T,"",0)="Free","Free",IF(XLOOKUP($A62,Partner_Voice!$A:$A,Partner_Voice!T:T,"",0)="VL","VL",IF(XLOOKUP($A62,Partner_Voice!$A:$A,Partner_Voice!T:T,"",0)="ATT","ATT",XLOOKUP($A62,Partner_Voice!$A:$A,Partner_Voice!T:T,"",0))))</f>
        <v>0.3333333333</v>
      </c>
      <c r="U62" s="42">
        <f t="array" ref="U62">IF(XLOOKUP($A62,Partner_Voice!$A:$A,Partner_Voice!U:U,"",0)="Free","Free",IF(XLOOKUP($A62,Partner_Voice!$A:$A,Partner_Voice!U:U,"",0)="VL","VL",IF(XLOOKUP($A62,Partner_Voice!$A:$A,Partner_Voice!U:U,"",0)="ATT","ATT",XLOOKUP($A62,Partner_Voice!$A:$A,Partner_Voice!U:U,"",0))))</f>
        <v>0.3333333333</v>
      </c>
      <c r="V62" s="42">
        <f t="array" ref="V62">IF(XLOOKUP($A62,Partner_Voice!$A:$A,Partner_Voice!V:V,"",0)="Free","Free",IF(XLOOKUP($A62,Partner_Voice!$A:$A,Partner_Voice!V:V,"",0)="VL","VL",IF(XLOOKUP($A62,Partner_Voice!$A:$A,Partner_Voice!V:V,"",0)="ATT","ATT",XLOOKUP($A62,Partner_Voice!$A:$A,Partner_Voice!V:V,"",0))))</f>
        <v>0.3333333333</v>
      </c>
      <c r="W62" s="42">
        <f t="array" ref="W62">IF(XLOOKUP($A62,Partner_Voice!$A:$A,Partner_Voice!W:W,"",0)="Free","Free",IF(XLOOKUP($A62,Partner_Voice!$A:$A,Partner_Voice!W:W,"",0)="VL","VL",IF(XLOOKUP($A62,Partner_Voice!$A:$A,Partner_Voice!W:W,"",0)="ATT","ATT",XLOOKUP($A62,Partner_Voice!$A:$A,Partner_Voice!W:W,"",0))))</f>
        <v>0.3333333333</v>
      </c>
      <c r="X62" s="42" t="str">
        <f t="array" ref="X62">IF(XLOOKUP($A62,Partner_Voice!$A:$A,Partner_Voice!X:X,"",0)="Free","Free",IF(XLOOKUP($A62,Partner_Voice!$A:$A,Partner_Voice!X:X,"",0)="VL","VL",IF(XLOOKUP($A62,Partner_Voice!$A:$A,Partner_Voice!X:X,"",0)="ATT","ATT",XLOOKUP($A62,Partner_Voice!$A:$A,Partner_Voice!X:X,"",0))))</f>
        <v>Free</v>
      </c>
      <c r="Y62" s="43"/>
      <c r="Z62" s="42">
        <f t="array" ref="Z62">IF(XLOOKUP($A62,Partner_Voice!$A:$A,Partner_Voice!Z:Z,"",0)="Free","Free",IF(XLOOKUP($A62,Partner_Voice!$A:$A,Partner_Voice!Z:Z,"",0)="VL","VL",IF(XLOOKUP($A62,Partner_Voice!$A:$A,Partner_Voice!Z:Z,"",0)="ATT","ATT",XLOOKUP($A62,Partner_Voice!$A:$A,Partner_Voice!Z:Z,"",0))))</f>
        <v>0.3333333333</v>
      </c>
      <c r="AA62" s="42">
        <f t="array" ref="AA62">IF(XLOOKUP($A62,Partner_Voice!$A:$A,Partner_Voice!AA:AA,"",0)="Free","Free",IF(XLOOKUP($A62,Partner_Voice!$A:$A,Partner_Voice!AA:AA,"",0)="VL","VL",IF(XLOOKUP($A62,Partner_Voice!$A:$A,Partner_Voice!AA:AA,"",0)="ATT","ATT",XLOOKUP($A62,Partner_Voice!$A:$A,Partner_Voice!AA:AA,"",0))))</f>
        <v>0.3333333333</v>
      </c>
      <c r="AB62" s="42">
        <f t="array" ref="AB62">IF(XLOOKUP($A62,Partner_Voice!$A:$A,Partner_Voice!AB:AB,"",0)="Free","Free",IF(XLOOKUP($A62,Partner_Voice!$A:$A,Partner_Voice!AB:AB,"",0)="VL","VL",IF(XLOOKUP($A62,Partner_Voice!$A:$A,Partner_Voice!AB:AB,"",0)="ATT","ATT",XLOOKUP($A62,Partner_Voice!$A:$A,Partner_Voice!AB:AB,"",0))))</f>
        <v>0.3333333333</v>
      </c>
      <c r="AC62" s="42">
        <f t="array" ref="AC62">IF(XLOOKUP($A62,Partner_Voice!$A:$A,Partner_Voice!AC:AC,"",0)="Free","Free",IF(XLOOKUP($A62,Partner_Voice!$A:$A,Partner_Voice!AC:AC,"",0)="VL","VL",IF(XLOOKUP($A62,Partner_Voice!$A:$A,Partner_Voice!AC:AC,"",0)="ATT","ATT",XLOOKUP($A62,Partner_Voice!$A:$A,Partner_Voice!AC:AC,"",0))))</f>
        <v>0.3333333333</v>
      </c>
      <c r="AD62" s="42">
        <f t="array" ref="AD62">IF(XLOOKUP($A62,Partner_Voice!$A:$A,Partner_Voice!AD:AD,"",0)="Free","Free",IF(XLOOKUP($A62,Partner_Voice!$A:$A,Partner_Voice!AD:AD,"",0)="VL","VL",IF(XLOOKUP($A62,Partner_Voice!$A:$A,Partner_Voice!AD:AD,"",0)="ATT","ATT",XLOOKUP($A62,Partner_Voice!$A:$A,Partner_Voice!AD:AD,"",0))))</f>
        <v>0.3333333333</v>
      </c>
      <c r="AE62" s="42" t="str">
        <f t="array" ref="AE62">IF(XLOOKUP($A62,Partner_Voice!$A:$A,Partner_Voice!AE:AE,"",0)="Free","Free",IF(XLOOKUP($A62,Partner_Voice!$A:$A,Partner_Voice!AE:AE,"",0)="VL","VL",IF(XLOOKUP($A62,Partner_Voice!$A:$A,Partner_Voice!AE:AE,"",0)="ATT","ATT",XLOOKUP($A62,Partner_Voice!$A:$A,Partner_Voice!AE:AE,"",0))))</f>
        <v>Free</v>
      </c>
      <c r="AF62" s="69"/>
      <c r="AG62" s="42">
        <f t="array" ref="AG62">IF(XLOOKUP($A62,Partner_Voice!$A:$A,Partner_Voice!AG:AG,"",0)="Free","Free",IF(XLOOKUP($A62,Partner_Voice!$A:$A,Partner_Voice!AG:AG,"",0)="VL","VL",IF(XLOOKUP($A62,Partner_Voice!$A:$A,Partner_Voice!AG:AG,"",0)="ATT","ATT",XLOOKUP($A62,Partner_Voice!$A:$A,Partner_Voice!AG:AG,"",0))))</f>
        <v>0.3333333333</v>
      </c>
      <c r="AH62" s="42">
        <f t="array" ref="AH62">IF(XLOOKUP($A62,Partner_Voice!$A:$A,Partner_Voice!AH:AH,"",0)="Free","Free",IF(XLOOKUP($A62,Partner_Voice!$A:$A,Partner_Voice!AH:AH,"",0)="VL","VL",IF(XLOOKUP($A62,Partner_Voice!$A:$A,Partner_Voice!AH:AH,"",0)="ATT","ATT",XLOOKUP($A62,Partner_Voice!$A:$A,Partner_Voice!AH:AH,"",0))))</f>
        <v>0.3333333333</v>
      </c>
      <c r="AI62" s="42">
        <f t="array" ref="AI62">IF(XLOOKUP($A62,Partner_Voice!$A:$A,Partner_Voice!AI:AI,"",0)="Free","Free",IF(XLOOKUP($A62,Partner_Voice!$A:$A,Partner_Voice!AI:AI,"",0)="VL","VL",IF(XLOOKUP($A62,Partner_Voice!$A:$A,Partner_Voice!AI:AI,"",0)="ATT","ATT",XLOOKUP($A62,Partner_Voice!$A:$A,Partner_Voice!AI:AI,"",0))))</f>
        <v>0.3333333333</v>
      </c>
      <c r="AJ62" s="42">
        <f t="array" ref="AJ62">IF(XLOOKUP($A62,Partner_Voice!$A:$A,Partner_Voice!AJ:AJ,"",0)="Free","Free",IF(XLOOKUP($A62,Partner_Voice!$A:$A,Partner_Voice!AJ:AJ,"",0)="VL","VL",IF(XLOOKUP($A62,Partner_Voice!$A:$A,Partner_Voice!AJ:AJ,"",0)="ATT","ATT",XLOOKUP($A62,Partner_Voice!$A:$A,Partner_Voice!AJ:AJ,"",0))))</f>
        <v>0.3333333333</v>
      </c>
      <c r="AK62" s="42">
        <f t="array" ref="AK62">IF(XLOOKUP($A62,Partner_Voice!$A:$A,Partner_Voice!AK:AK,"",0)="Free","Free",IF(XLOOKUP($A62,Partner_Voice!$A:$A,Partner_Voice!AK:AK,"",0)="VL","VL",IF(XLOOKUP($A62,Partner_Voice!$A:$A,Partner_Voice!AK:AK,"",0)="ATT","ATT",XLOOKUP($A62,Partner_Voice!$A:$A,Partner_Voice!AK:AK,"",0))))</f>
        <v>0.3333333333</v>
      </c>
      <c r="AL62" s="42" t="str">
        <f t="array" ref="AL62">IF(XLOOKUP($A62,Partner_Voice!$A:$A,Partner_Voice!AL:AL,"",0)="Free","Free",IF(XLOOKUP($A62,Partner_Voice!$A:$A,Partner_Voice!AL:AL,"",0)="VL","VL",IF(XLOOKUP($A62,Partner_Voice!$A:$A,Partner_Voice!AL:AL,"",0)="ATT","ATT",XLOOKUP($A62,Partner_Voice!$A:$A,Partner_Voice!AL:AL,"",0))))</f>
        <v>Free</v>
      </c>
      <c r="AM62" s="42"/>
    </row>
    <row r="63">
      <c r="A63" s="47" t="s">
        <v>16</v>
      </c>
      <c r="B63" s="35" t="str">
        <f t="array" ref="B63">XLOOKUP(A63,Roster!F:F,Roster!A:A,"")</f>
        <v>Mateo Henao</v>
      </c>
      <c r="C63" s="35" t="str">
        <f t="array" ref="C63">XLOOKUP(A63,Roster!F:F,Roster!B:B,"")</f>
        <v>Anibal Munoz</v>
      </c>
      <c r="D63" s="70"/>
      <c r="E63" s="42">
        <f t="array" ref="E63">IF(XLOOKUP($A63,Partner_Voice!$A:$A,Partner_Voice!E:E,"",0)="Free","Free",IF(XLOOKUP($A63,Partner_Voice!$A:$A,Partner_Voice!E:E,"",0)="VL","VL",IF(XLOOKUP($A63,Partner_Voice!$A:$A,Partner_Voice!E:E,"",0)="ATT","ATT",XLOOKUP($A63,Partner_Voice!$A:$A,Partner_Voice!E:E,"",0))))</f>
        <v>0.3333333333</v>
      </c>
      <c r="F63" s="42">
        <f t="array" ref="F63">IF(XLOOKUP($A63,Partner_Voice!$A:$A,Partner_Voice!F:F,"",0)="Free","Free",IF(XLOOKUP($A63,Partner_Voice!$A:$A,Partner_Voice!F:F,"",0)="VL","VL",IF(XLOOKUP($A63,Partner_Voice!$A:$A,Partner_Voice!F:F,"",0)="ATT","ATT",XLOOKUP($A63,Partner_Voice!$A:$A,Partner_Voice!F:F,"",0))))</f>
        <v>0.3333333333</v>
      </c>
      <c r="G63" s="42">
        <f t="array" ref="G63">IF(XLOOKUP($A63,Partner_Voice!$A:$A,Partner_Voice!G:G,"",0)="Free","Free",IF(XLOOKUP($A63,Partner_Voice!$A:$A,Partner_Voice!G:G,"",0)="VL","VL",IF(XLOOKUP($A63,Partner_Voice!$A:$A,Partner_Voice!G:G,"",0)="ATT","ATT",XLOOKUP($A63,Partner_Voice!$A:$A,Partner_Voice!G:G,"",0))))</f>
        <v>0.3333333333</v>
      </c>
      <c r="H63" s="42">
        <f t="array" ref="H63">IF(XLOOKUP($A63,Partner_Voice!$A:$A,Partner_Voice!H:H,"",0)="Free","Free",IF(XLOOKUP($A63,Partner_Voice!$A:$A,Partner_Voice!H:H,"",0)="VL","VL",IF(XLOOKUP($A63,Partner_Voice!$A:$A,Partner_Voice!H:H,"",0)="ATT","ATT",XLOOKUP($A63,Partner_Voice!$A:$A,Partner_Voice!H:H,"",0))))</f>
        <v>0.3333333333</v>
      </c>
      <c r="I63" s="42">
        <f t="array" ref="I63">IF(XLOOKUP($A63,Partner_Voice!$A:$A,Partner_Voice!I:I,"",0)="Free","Free",IF(XLOOKUP($A63,Partner_Voice!$A:$A,Partner_Voice!I:I,"",0)="VL","VL",IF(XLOOKUP($A63,Partner_Voice!$A:$A,Partner_Voice!I:I,"",0)="ATT","ATT",XLOOKUP($A63,Partner_Voice!$A:$A,Partner_Voice!I:I,"",0))))</f>
        <v>0.3333333333</v>
      </c>
      <c r="J63" s="42" t="str">
        <f t="array" ref="J63">IF(XLOOKUP($A63,Partner_Voice!$A:$A,Partner_Voice!J:J,"",0)="Free","Free",IF(XLOOKUP($A63,Partner_Voice!$A:$A,Partner_Voice!J:J,"",0)="VL","VL",IF(XLOOKUP($A63,Partner_Voice!$A:$A,Partner_Voice!J:J,"",0)="ATT","ATT",XLOOKUP($A63,Partner_Voice!$A:$A,Partner_Voice!J:J,"",0))))</f>
        <v>Free</v>
      </c>
      <c r="K63" s="42"/>
      <c r="L63" s="42">
        <f t="array" ref="L63">IF(XLOOKUP($A63,Partner_Voice!$A:$A,Partner_Voice!L:L,"",0)="Free","Free",IF(XLOOKUP($A63,Partner_Voice!$A:$A,Partner_Voice!L:L,"",0)="VL","VL",IF(XLOOKUP($A63,Partner_Voice!$A:$A,Partner_Voice!L:L,"",0)="ATT","ATT",XLOOKUP($A63,Partner_Voice!$A:$A,Partner_Voice!L:L,"",0))))</f>
        <v>0.3333333333</v>
      </c>
      <c r="M63" s="42">
        <f t="array" ref="M63">IF(XLOOKUP($A63,Partner_Voice!$A:$A,Partner_Voice!M:M,"",0)="Free","Free",IF(XLOOKUP($A63,Partner_Voice!$A:$A,Partner_Voice!M:M,"",0)="VL","VL",IF(XLOOKUP($A63,Partner_Voice!$A:$A,Partner_Voice!M:M,"",0)="ATT","ATT",XLOOKUP($A63,Partner_Voice!$A:$A,Partner_Voice!M:M,"",0))))</f>
        <v>0.3333333333</v>
      </c>
      <c r="N63" s="42">
        <f t="array" ref="N63">IF(XLOOKUP($A63,Partner_Voice!$A:$A,Partner_Voice!N:N,"",0)="Free","Free",IF(XLOOKUP($A63,Partner_Voice!$A:$A,Partner_Voice!N:N,"",0)="VL","VL",IF(XLOOKUP($A63,Partner_Voice!$A:$A,Partner_Voice!N:N,"",0)="ATT","ATT",XLOOKUP($A63,Partner_Voice!$A:$A,Partner_Voice!N:N,"",0))))</f>
        <v>0.3333333333</v>
      </c>
      <c r="O63" s="42">
        <f t="array" ref="O63">IF(XLOOKUP($A63,Partner_Voice!$A:$A,Partner_Voice!O:O,"",0)="Free","Free",IF(XLOOKUP($A63,Partner_Voice!$A:$A,Partner_Voice!O:O,"",0)="VL","VL",IF(XLOOKUP($A63,Partner_Voice!$A:$A,Partner_Voice!O:O,"",0)="ATT","ATT",XLOOKUP($A63,Partner_Voice!$A:$A,Partner_Voice!O:O,"",0))))</f>
        <v>0.3333333333</v>
      </c>
      <c r="P63" s="42">
        <f t="array" ref="P63">IF(XLOOKUP($A63,Partner_Voice!$A:$A,Partner_Voice!P:P,"",0)="Free","Free",IF(XLOOKUP($A63,Partner_Voice!$A:$A,Partner_Voice!P:P,"",0)="VL","VL",IF(XLOOKUP($A63,Partner_Voice!$A:$A,Partner_Voice!P:P,"",0)="ATT","ATT",XLOOKUP($A63,Partner_Voice!$A:$A,Partner_Voice!P:P,"",0))))</f>
        <v>0.3333333333</v>
      </c>
      <c r="Q63" s="42" t="str">
        <f t="array" ref="Q63">IF(XLOOKUP($A63,Partner_Voice!$A:$A,Partner_Voice!Q:Q,"",0)="Free","Free",IF(XLOOKUP($A63,Partner_Voice!$A:$A,Partner_Voice!Q:Q,"",0)="VL","VL",IF(XLOOKUP($A63,Partner_Voice!$A:$A,Partner_Voice!Q:Q,"",0)="ATT","ATT",XLOOKUP($A63,Partner_Voice!$A:$A,Partner_Voice!Q:Q,"",0))))</f>
        <v>Free</v>
      </c>
      <c r="R63" s="43"/>
      <c r="S63" s="42">
        <f t="array" ref="S63">IF(XLOOKUP($A63,Partner_Voice!$A:$A,Partner_Voice!S:S,"",0)="Free","Free",IF(XLOOKUP($A63,Partner_Voice!$A:$A,Partner_Voice!S:S,"",0)="VL","VL",IF(XLOOKUP($A63,Partner_Voice!$A:$A,Partner_Voice!S:S,"",0)="ATT","ATT",XLOOKUP($A63,Partner_Voice!$A:$A,Partner_Voice!S:S,"",0))))</f>
        <v>0.3333333333</v>
      </c>
      <c r="T63" s="42">
        <f t="array" ref="T63">IF(XLOOKUP($A63,Partner_Voice!$A:$A,Partner_Voice!T:T,"",0)="Free","Free",IF(XLOOKUP($A63,Partner_Voice!$A:$A,Partner_Voice!T:T,"",0)="VL","VL",IF(XLOOKUP($A63,Partner_Voice!$A:$A,Partner_Voice!T:T,"",0)="ATT","ATT",XLOOKUP($A63,Partner_Voice!$A:$A,Partner_Voice!T:T,"",0))))</f>
        <v>0.3333333333</v>
      </c>
      <c r="U63" s="42">
        <f t="array" ref="U63">IF(XLOOKUP($A63,Partner_Voice!$A:$A,Partner_Voice!U:U,"",0)="Free","Free",IF(XLOOKUP($A63,Partner_Voice!$A:$A,Partner_Voice!U:U,"",0)="VL","VL",IF(XLOOKUP($A63,Partner_Voice!$A:$A,Partner_Voice!U:U,"",0)="ATT","ATT",XLOOKUP($A63,Partner_Voice!$A:$A,Partner_Voice!U:U,"",0))))</f>
        <v>0.3333333333</v>
      </c>
      <c r="V63" s="42">
        <f t="array" ref="V63">IF(XLOOKUP($A63,Partner_Voice!$A:$A,Partner_Voice!V:V,"",0)="Free","Free",IF(XLOOKUP($A63,Partner_Voice!$A:$A,Partner_Voice!V:V,"",0)="VL","VL",IF(XLOOKUP($A63,Partner_Voice!$A:$A,Partner_Voice!V:V,"",0)="ATT","ATT",XLOOKUP($A63,Partner_Voice!$A:$A,Partner_Voice!V:V,"",0))))</f>
        <v>0.3333333333</v>
      </c>
      <c r="W63" s="42">
        <f t="array" ref="W63">IF(XLOOKUP($A63,Partner_Voice!$A:$A,Partner_Voice!W:W,"",0)="Free","Free",IF(XLOOKUP($A63,Partner_Voice!$A:$A,Partner_Voice!W:W,"",0)="VL","VL",IF(XLOOKUP($A63,Partner_Voice!$A:$A,Partner_Voice!W:W,"",0)="ATT","ATT",XLOOKUP($A63,Partner_Voice!$A:$A,Partner_Voice!W:W,"",0))))</f>
        <v>0.3333333333</v>
      </c>
      <c r="X63" s="42" t="str">
        <f t="array" ref="X63">IF(XLOOKUP($A63,Partner_Voice!$A:$A,Partner_Voice!X:X,"",0)="Free","Free",IF(XLOOKUP($A63,Partner_Voice!$A:$A,Partner_Voice!X:X,"",0)="VL","VL",IF(XLOOKUP($A63,Partner_Voice!$A:$A,Partner_Voice!X:X,"",0)="ATT","ATT",XLOOKUP($A63,Partner_Voice!$A:$A,Partner_Voice!X:X,"",0))))</f>
        <v>Free</v>
      </c>
      <c r="Y63" s="43"/>
      <c r="Z63" s="42">
        <f t="array" ref="Z63">IF(XLOOKUP($A63,Partner_Voice!$A:$A,Partner_Voice!Z:Z,"",0)="Free","Free",IF(XLOOKUP($A63,Partner_Voice!$A:$A,Partner_Voice!Z:Z,"",0)="VL","VL",IF(XLOOKUP($A63,Partner_Voice!$A:$A,Partner_Voice!Z:Z,"",0)="ATT","ATT",XLOOKUP($A63,Partner_Voice!$A:$A,Partner_Voice!Z:Z,"",0))))</f>
        <v>0.3333333333</v>
      </c>
      <c r="AA63" s="42">
        <f t="array" ref="AA63">IF(XLOOKUP($A63,Partner_Voice!$A:$A,Partner_Voice!AA:AA,"",0)="Free","Free",IF(XLOOKUP($A63,Partner_Voice!$A:$A,Partner_Voice!AA:AA,"",0)="VL","VL",IF(XLOOKUP($A63,Partner_Voice!$A:$A,Partner_Voice!AA:AA,"",0)="ATT","ATT",XLOOKUP($A63,Partner_Voice!$A:$A,Partner_Voice!AA:AA,"",0))))</f>
        <v>0.3333333333</v>
      </c>
      <c r="AB63" s="42">
        <f t="array" ref="AB63">IF(XLOOKUP($A63,Partner_Voice!$A:$A,Partner_Voice!AB:AB,"",0)="Free","Free",IF(XLOOKUP($A63,Partner_Voice!$A:$A,Partner_Voice!AB:AB,"",0)="VL","VL",IF(XLOOKUP($A63,Partner_Voice!$A:$A,Partner_Voice!AB:AB,"",0)="ATT","ATT",XLOOKUP($A63,Partner_Voice!$A:$A,Partner_Voice!AB:AB,"",0))))</f>
        <v>0.3333333333</v>
      </c>
      <c r="AC63" s="42">
        <f t="array" ref="AC63">IF(XLOOKUP($A63,Partner_Voice!$A:$A,Partner_Voice!AC:AC,"",0)="Free","Free",IF(XLOOKUP($A63,Partner_Voice!$A:$A,Partner_Voice!AC:AC,"",0)="VL","VL",IF(XLOOKUP($A63,Partner_Voice!$A:$A,Partner_Voice!AC:AC,"",0)="ATT","ATT",XLOOKUP($A63,Partner_Voice!$A:$A,Partner_Voice!AC:AC,"",0))))</f>
        <v>0.3333333333</v>
      </c>
      <c r="AD63" s="42">
        <f t="array" ref="AD63">IF(XLOOKUP($A63,Partner_Voice!$A:$A,Partner_Voice!AD:AD,"",0)="Free","Free",IF(XLOOKUP($A63,Partner_Voice!$A:$A,Partner_Voice!AD:AD,"",0)="VL","VL",IF(XLOOKUP($A63,Partner_Voice!$A:$A,Partner_Voice!AD:AD,"",0)="ATT","ATT",XLOOKUP($A63,Partner_Voice!$A:$A,Partner_Voice!AD:AD,"",0))))</f>
        <v>0.3333333333</v>
      </c>
      <c r="AE63" s="42" t="str">
        <f t="array" ref="AE63">IF(XLOOKUP($A63,Partner_Voice!$A:$A,Partner_Voice!AE:AE,"",0)="Free","Free",IF(XLOOKUP($A63,Partner_Voice!$A:$A,Partner_Voice!AE:AE,"",0)="VL","VL",IF(XLOOKUP($A63,Partner_Voice!$A:$A,Partner_Voice!AE:AE,"",0)="ATT","ATT",XLOOKUP($A63,Partner_Voice!$A:$A,Partner_Voice!AE:AE,"",0))))</f>
        <v>Free</v>
      </c>
      <c r="AF63" s="69"/>
      <c r="AG63" s="42">
        <f t="array" ref="AG63">IF(XLOOKUP($A63,Partner_Voice!$A:$A,Partner_Voice!AG:AG,"",0)="Free","Free",IF(XLOOKUP($A63,Partner_Voice!$A:$A,Partner_Voice!AG:AG,"",0)="VL","VL",IF(XLOOKUP($A63,Partner_Voice!$A:$A,Partner_Voice!AG:AG,"",0)="ATT","ATT",XLOOKUP($A63,Partner_Voice!$A:$A,Partner_Voice!AG:AG,"",0))))</f>
        <v>0.3333333333</v>
      </c>
      <c r="AH63" s="42">
        <f t="array" ref="AH63">IF(XLOOKUP($A63,Partner_Voice!$A:$A,Partner_Voice!AH:AH,"",0)="Free","Free",IF(XLOOKUP($A63,Partner_Voice!$A:$A,Partner_Voice!AH:AH,"",0)="VL","VL",IF(XLOOKUP($A63,Partner_Voice!$A:$A,Partner_Voice!AH:AH,"",0)="ATT","ATT",XLOOKUP($A63,Partner_Voice!$A:$A,Partner_Voice!AH:AH,"",0))))</f>
        <v>0.3333333333</v>
      </c>
      <c r="AI63" s="42">
        <f t="array" ref="AI63">IF(XLOOKUP($A63,Partner_Voice!$A:$A,Partner_Voice!AI:AI,"",0)="Free","Free",IF(XLOOKUP($A63,Partner_Voice!$A:$A,Partner_Voice!AI:AI,"",0)="VL","VL",IF(XLOOKUP($A63,Partner_Voice!$A:$A,Partner_Voice!AI:AI,"",0)="ATT","ATT",XLOOKUP($A63,Partner_Voice!$A:$A,Partner_Voice!AI:AI,"",0))))</f>
        <v>0.3333333333</v>
      </c>
      <c r="AJ63" s="42">
        <f t="array" ref="AJ63">IF(XLOOKUP($A63,Partner_Voice!$A:$A,Partner_Voice!AJ:AJ,"",0)="Free","Free",IF(XLOOKUP($A63,Partner_Voice!$A:$A,Partner_Voice!AJ:AJ,"",0)="VL","VL",IF(XLOOKUP($A63,Partner_Voice!$A:$A,Partner_Voice!AJ:AJ,"",0)="ATT","ATT",XLOOKUP($A63,Partner_Voice!$A:$A,Partner_Voice!AJ:AJ,"",0))))</f>
        <v>0.3333333333</v>
      </c>
      <c r="AK63" s="42">
        <f t="array" ref="AK63">IF(XLOOKUP($A63,Partner_Voice!$A:$A,Partner_Voice!AK:AK,"",0)="Free","Free",IF(XLOOKUP($A63,Partner_Voice!$A:$A,Partner_Voice!AK:AK,"",0)="VL","VL",IF(XLOOKUP($A63,Partner_Voice!$A:$A,Partner_Voice!AK:AK,"",0)="ATT","ATT",XLOOKUP($A63,Partner_Voice!$A:$A,Partner_Voice!AK:AK,"",0))))</f>
        <v>0.3333333333</v>
      </c>
      <c r="AL63" s="42" t="str">
        <f t="array" ref="AL63">IF(XLOOKUP($A63,Partner_Voice!$A:$A,Partner_Voice!AL:AL,"",0)="Free","Free",IF(XLOOKUP($A63,Partner_Voice!$A:$A,Partner_Voice!AL:AL,"",0)="VL","VL",IF(XLOOKUP($A63,Partner_Voice!$A:$A,Partner_Voice!AL:AL,"",0)="ATT","ATT",XLOOKUP($A63,Partner_Voice!$A:$A,Partner_Voice!AL:AL,"",0))))</f>
        <v>Free</v>
      </c>
      <c r="AM63" s="42"/>
    </row>
    <row r="64">
      <c r="A64" s="47" t="s">
        <v>18</v>
      </c>
      <c r="B64" s="35" t="str">
        <f t="array" ref="B64">XLOOKUP(A64,Roster!F:F,Roster!A:A,"")</f>
        <v>Mateo Henao</v>
      </c>
      <c r="C64" s="35" t="str">
        <f t="array" ref="C64">XLOOKUP(A64,Roster!F:F,Roster!B:B,"")</f>
        <v>Brayan Montoya</v>
      </c>
      <c r="D64" s="70"/>
      <c r="E64" s="42">
        <f t="array" ref="E64">IF(XLOOKUP($A64,Partner_Voice!$A:$A,Partner_Voice!E:E,"",0)="Free","Free",IF(XLOOKUP($A64,Partner_Voice!$A:$A,Partner_Voice!E:E,"",0)="VL","VL",IF(XLOOKUP($A64,Partner_Voice!$A:$A,Partner_Voice!E:E,"",0)="ATT","ATT",XLOOKUP($A64,Partner_Voice!$A:$A,Partner_Voice!E:E,"",0))))</f>
        <v>0.2916666667</v>
      </c>
      <c r="F64" s="42">
        <f t="array" ref="F64">IF(XLOOKUP($A64,Partner_Voice!$A:$A,Partner_Voice!F:F,"",0)="Free","Free",IF(XLOOKUP($A64,Partner_Voice!$A:$A,Partner_Voice!F:F,"",0)="VL","VL",IF(XLOOKUP($A64,Partner_Voice!$A:$A,Partner_Voice!F:F,"",0)="ATT","ATT",XLOOKUP($A64,Partner_Voice!$A:$A,Partner_Voice!F:F,"",0))))</f>
        <v>0.2916666667</v>
      </c>
      <c r="G64" s="42">
        <f t="array" ref="G64">IF(XLOOKUP($A64,Partner_Voice!$A:$A,Partner_Voice!G:G,"",0)="Free","Free",IF(XLOOKUP($A64,Partner_Voice!$A:$A,Partner_Voice!G:G,"",0)="VL","VL",IF(XLOOKUP($A64,Partner_Voice!$A:$A,Partner_Voice!G:G,"",0)="ATT","ATT",XLOOKUP($A64,Partner_Voice!$A:$A,Partner_Voice!G:G,"",0))))</f>
        <v>0.2916666667</v>
      </c>
      <c r="H64" s="42">
        <f t="array" ref="H64">IF(XLOOKUP($A64,Partner_Voice!$A:$A,Partner_Voice!H:H,"",0)="Free","Free",IF(XLOOKUP($A64,Partner_Voice!$A:$A,Partner_Voice!H:H,"",0)="VL","VL",IF(XLOOKUP($A64,Partner_Voice!$A:$A,Partner_Voice!H:H,"",0)="ATT","ATT",XLOOKUP($A64,Partner_Voice!$A:$A,Partner_Voice!H:H,"",0))))</f>
        <v>0.2916666667</v>
      </c>
      <c r="I64" s="42">
        <f t="array" ref="I64">IF(XLOOKUP($A64,Partner_Voice!$A:$A,Partner_Voice!I:I,"",0)="Free","Free",IF(XLOOKUP($A64,Partner_Voice!$A:$A,Partner_Voice!I:I,"",0)="VL","VL",IF(XLOOKUP($A64,Partner_Voice!$A:$A,Partner_Voice!I:I,"",0)="ATT","ATT",XLOOKUP($A64,Partner_Voice!$A:$A,Partner_Voice!I:I,"",0))))</f>
        <v>0.2916666667</v>
      </c>
      <c r="J64" s="42" t="str">
        <f t="array" ref="J64">IF(XLOOKUP($A64,Partner_Voice!$A:$A,Partner_Voice!J:J,"",0)="Free","Free",IF(XLOOKUP($A64,Partner_Voice!$A:$A,Partner_Voice!J:J,"",0)="VL","VL",IF(XLOOKUP($A64,Partner_Voice!$A:$A,Partner_Voice!J:J,"",0)="ATT","ATT",XLOOKUP($A64,Partner_Voice!$A:$A,Partner_Voice!J:J,"",0))))</f>
        <v>Free</v>
      </c>
      <c r="K64" s="42"/>
      <c r="L64" s="42">
        <f t="array" ref="L64">IF(XLOOKUP($A64,Partner_Voice!$A:$A,Partner_Voice!L:L,"",0)="Free","Free",IF(XLOOKUP($A64,Partner_Voice!$A:$A,Partner_Voice!L:L,"",0)="VL","VL",IF(XLOOKUP($A64,Partner_Voice!$A:$A,Partner_Voice!L:L,"",0)="ATT","ATT",XLOOKUP($A64,Partner_Voice!$A:$A,Partner_Voice!L:L,"",0))))</f>
        <v>0.2916666667</v>
      </c>
      <c r="M64" s="42">
        <f t="array" ref="M64">IF(XLOOKUP($A64,Partner_Voice!$A:$A,Partner_Voice!M:M,"",0)="Free","Free",IF(XLOOKUP($A64,Partner_Voice!$A:$A,Partner_Voice!M:M,"",0)="VL","VL",IF(XLOOKUP($A64,Partner_Voice!$A:$A,Partner_Voice!M:M,"",0)="ATT","ATT",XLOOKUP($A64,Partner_Voice!$A:$A,Partner_Voice!M:M,"",0))))</f>
        <v>0.2916666667</v>
      </c>
      <c r="N64" s="42">
        <f t="array" ref="N64">IF(XLOOKUP($A64,Partner_Voice!$A:$A,Partner_Voice!N:N,"",0)="Free","Free",IF(XLOOKUP($A64,Partner_Voice!$A:$A,Partner_Voice!N:N,"",0)="VL","VL",IF(XLOOKUP($A64,Partner_Voice!$A:$A,Partner_Voice!N:N,"",0)="ATT","ATT",XLOOKUP($A64,Partner_Voice!$A:$A,Partner_Voice!N:N,"",0))))</f>
        <v>0.2916666667</v>
      </c>
      <c r="O64" s="42">
        <f t="array" ref="O64">IF(XLOOKUP($A64,Partner_Voice!$A:$A,Partner_Voice!O:O,"",0)="Free","Free",IF(XLOOKUP($A64,Partner_Voice!$A:$A,Partner_Voice!O:O,"",0)="VL","VL",IF(XLOOKUP($A64,Partner_Voice!$A:$A,Partner_Voice!O:O,"",0)="ATT","ATT",XLOOKUP($A64,Partner_Voice!$A:$A,Partner_Voice!O:O,"",0))))</f>
        <v>0.2916666667</v>
      </c>
      <c r="P64" s="42">
        <f t="array" ref="P64">IF(XLOOKUP($A64,Partner_Voice!$A:$A,Partner_Voice!P:P,"",0)="Free","Free",IF(XLOOKUP($A64,Partner_Voice!$A:$A,Partner_Voice!P:P,"",0)="VL","VL",IF(XLOOKUP($A64,Partner_Voice!$A:$A,Partner_Voice!P:P,"",0)="ATT","ATT",XLOOKUP($A64,Partner_Voice!$A:$A,Partner_Voice!P:P,"",0))))</f>
        <v>0.2916666667</v>
      </c>
      <c r="Q64" s="42" t="str">
        <f t="array" ref="Q64">IF(XLOOKUP($A64,Partner_Voice!$A:$A,Partner_Voice!Q:Q,"",0)="Free","Free",IF(XLOOKUP($A64,Partner_Voice!$A:$A,Partner_Voice!Q:Q,"",0)="VL","VL",IF(XLOOKUP($A64,Partner_Voice!$A:$A,Partner_Voice!Q:Q,"",0)="ATT","ATT",XLOOKUP($A64,Partner_Voice!$A:$A,Partner_Voice!Q:Q,"",0))))</f>
        <v>Free</v>
      </c>
      <c r="R64" s="43"/>
      <c r="S64" s="42">
        <f t="array" ref="S64">IF(XLOOKUP($A64,Partner_Voice!$A:$A,Partner_Voice!S:S,"",0)="Free","Free",IF(XLOOKUP($A64,Partner_Voice!$A:$A,Partner_Voice!S:S,"",0)="VL","VL",IF(XLOOKUP($A64,Partner_Voice!$A:$A,Partner_Voice!S:S,"",0)="ATT","ATT",XLOOKUP($A64,Partner_Voice!$A:$A,Partner_Voice!S:S,"",0))))</f>
        <v>0.2916666667</v>
      </c>
      <c r="T64" s="42">
        <f t="array" ref="T64">IF(XLOOKUP($A64,Partner_Voice!$A:$A,Partner_Voice!T:T,"",0)="Free","Free",IF(XLOOKUP($A64,Partner_Voice!$A:$A,Partner_Voice!T:T,"",0)="VL","VL",IF(XLOOKUP($A64,Partner_Voice!$A:$A,Partner_Voice!T:T,"",0)="ATT","ATT",XLOOKUP($A64,Partner_Voice!$A:$A,Partner_Voice!T:T,"",0))))</f>
        <v>0.2916666667</v>
      </c>
      <c r="U64" s="42">
        <f t="array" ref="U64">IF(XLOOKUP($A64,Partner_Voice!$A:$A,Partner_Voice!U:U,"",0)="Free","Free",IF(XLOOKUP($A64,Partner_Voice!$A:$A,Partner_Voice!U:U,"",0)="VL","VL",IF(XLOOKUP($A64,Partner_Voice!$A:$A,Partner_Voice!U:U,"",0)="ATT","ATT",XLOOKUP($A64,Partner_Voice!$A:$A,Partner_Voice!U:U,"",0))))</f>
        <v>0.2916666667</v>
      </c>
      <c r="V64" s="42">
        <f t="array" ref="V64">IF(XLOOKUP($A64,Partner_Voice!$A:$A,Partner_Voice!V:V,"",0)="Free","Free",IF(XLOOKUP($A64,Partner_Voice!$A:$A,Partner_Voice!V:V,"",0)="VL","VL",IF(XLOOKUP($A64,Partner_Voice!$A:$A,Partner_Voice!V:V,"",0)="ATT","ATT",XLOOKUP($A64,Partner_Voice!$A:$A,Partner_Voice!V:V,"",0))))</f>
        <v>0.2916666667</v>
      </c>
      <c r="W64" s="42">
        <f t="array" ref="W64">IF(XLOOKUP($A64,Partner_Voice!$A:$A,Partner_Voice!W:W,"",0)="Free","Free",IF(XLOOKUP($A64,Partner_Voice!$A:$A,Partner_Voice!W:W,"",0)="VL","VL",IF(XLOOKUP($A64,Partner_Voice!$A:$A,Partner_Voice!W:W,"",0)="ATT","ATT",XLOOKUP($A64,Partner_Voice!$A:$A,Partner_Voice!W:W,"",0))))</f>
        <v>0.2916666667</v>
      </c>
      <c r="X64" s="42" t="str">
        <f t="array" ref="X64">IF(XLOOKUP($A64,Partner_Voice!$A:$A,Partner_Voice!X:X,"",0)="Free","Free",IF(XLOOKUP($A64,Partner_Voice!$A:$A,Partner_Voice!X:X,"",0)="VL","VL",IF(XLOOKUP($A64,Partner_Voice!$A:$A,Partner_Voice!X:X,"",0)="ATT","ATT",XLOOKUP($A64,Partner_Voice!$A:$A,Partner_Voice!X:X,"",0))))</f>
        <v>Free</v>
      </c>
      <c r="Y64" s="43"/>
      <c r="Z64" s="42">
        <f t="array" ref="Z64">IF(XLOOKUP($A64,Partner_Voice!$A:$A,Partner_Voice!Z:Z,"",0)="Free","Free",IF(XLOOKUP($A64,Partner_Voice!$A:$A,Partner_Voice!Z:Z,"",0)="VL","VL",IF(XLOOKUP($A64,Partner_Voice!$A:$A,Partner_Voice!Z:Z,"",0)="ATT","ATT",XLOOKUP($A64,Partner_Voice!$A:$A,Partner_Voice!Z:Z,"",0))))</f>
        <v>0.2916666667</v>
      </c>
      <c r="AA64" s="42">
        <f t="array" ref="AA64">IF(XLOOKUP($A64,Partner_Voice!$A:$A,Partner_Voice!AA:AA,"",0)="Free","Free",IF(XLOOKUP($A64,Partner_Voice!$A:$A,Partner_Voice!AA:AA,"",0)="VL","VL",IF(XLOOKUP($A64,Partner_Voice!$A:$A,Partner_Voice!AA:AA,"",0)="ATT","ATT",XLOOKUP($A64,Partner_Voice!$A:$A,Partner_Voice!AA:AA,"",0))))</f>
        <v>0.2916666667</v>
      </c>
      <c r="AB64" s="42">
        <f t="array" ref="AB64">IF(XLOOKUP($A64,Partner_Voice!$A:$A,Partner_Voice!AB:AB,"",0)="Free","Free",IF(XLOOKUP($A64,Partner_Voice!$A:$A,Partner_Voice!AB:AB,"",0)="VL","VL",IF(XLOOKUP($A64,Partner_Voice!$A:$A,Partner_Voice!AB:AB,"",0)="ATT","ATT",XLOOKUP($A64,Partner_Voice!$A:$A,Partner_Voice!AB:AB,"",0))))</f>
        <v>0.2916666667</v>
      </c>
      <c r="AC64" s="42">
        <f t="array" ref="AC64">IF(XLOOKUP($A64,Partner_Voice!$A:$A,Partner_Voice!AC:AC,"",0)="Free","Free",IF(XLOOKUP($A64,Partner_Voice!$A:$A,Partner_Voice!AC:AC,"",0)="VL","VL",IF(XLOOKUP($A64,Partner_Voice!$A:$A,Partner_Voice!AC:AC,"",0)="ATT","ATT",XLOOKUP($A64,Partner_Voice!$A:$A,Partner_Voice!AC:AC,"",0))))</f>
        <v>0.2916666667</v>
      </c>
      <c r="AD64" s="42">
        <f t="array" ref="AD64">IF(XLOOKUP($A64,Partner_Voice!$A:$A,Partner_Voice!AD:AD,"",0)="Free","Free",IF(XLOOKUP($A64,Partner_Voice!$A:$A,Partner_Voice!AD:AD,"",0)="VL","VL",IF(XLOOKUP($A64,Partner_Voice!$A:$A,Partner_Voice!AD:AD,"",0)="ATT","ATT",XLOOKUP($A64,Partner_Voice!$A:$A,Partner_Voice!AD:AD,"",0))))</f>
        <v>0.2916666667</v>
      </c>
      <c r="AE64" s="42" t="str">
        <f t="array" ref="AE64">IF(XLOOKUP($A64,Partner_Voice!$A:$A,Partner_Voice!AE:AE,"",0)="Free","Free",IF(XLOOKUP($A64,Partner_Voice!$A:$A,Partner_Voice!AE:AE,"",0)="VL","VL",IF(XLOOKUP($A64,Partner_Voice!$A:$A,Partner_Voice!AE:AE,"",0)="ATT","ATT",XLOOKUP($A64,Partner_Voice!$A:$A,Partner_Voice!AE:AE,"",0))))</f>
        <v>Free</v>
      </c>
      <c r="AF64" s="69"/>
      <c r="AG64" s="42">
        <f t="array" ref="AG64">IF(XLOOKUP($A64,Partner_Voice!$A:$A,Partner_Voice!AG:AG,"",0)="Free","Free",IF(XLOOKUP($A64,Partner_Voice!$A:$A,Partner_Voice!AG:AG,"",0)="VL","VL",IF(XLOOKUP($A64,Partner_Voice!$A:$A,Partner_Voice!AG:AG,"",0)="ATT","ATT",XLOOKUP($A64,Partner_Voice!$A:$A,Partner_Voice!AG:AG,"",0))))</f>
        <v>0.2916666667</v>
      </c>
      <c r="AH64" s="42">
        <f t="array" ref="AH64">IF(XLOOKUP($A64,Partner_Voice!$A:$A,Partner_Voice!AH:AH,"",0)="Free","Free",IF(XLOOKUP($A64,Partner_Voice!$A:$A,Partner_Voice!AH:AH,"",0)="VL","VL",IF(XLOOKUP($A64,Partner_Voice!$A:$A,Partner_Voice!AH:AH,"",0)="ATT","ATT",XLOOKUP($A64,Partner_Voice!$A:$A,Partner_Voice!AH:AH,"",0))))</f>
        <v>0.2916666667</v>
      </c>
      <c r="AI64" s="42">
        <f t="array" ref="AI64">IF(XLOOKUP($A64,Partner_Voice!$A:$A,Partner_Voice!AI:AI,"",0)="Free","Free",IF(XLOOKUP($A64,Partner_Voice!$A:$A,Partner_Voice!AI:AI,"",0)="VL","VL",IF(XLOOKUP($A64,Partner_Voice!$A:$A,Partner_Voice!AI:AI,"",0)="ATT","ATT",XLOOKUP($A64,Partner_Voice!$A:$A,Partner_Voice!AI:AI,"",0))))</f>
        <v>0.2916666667</v>
      </c>
      <c r="AJ64" s="42">
        <f t="array" ref="AJ64">IF(XLOOKUP($A64,Partner_Voice!$A:$A,Partner_Voice!AJ:AJ,"",0)="Free","Free",IF(XLOOKUP($A64,Partner_Voice!$A:$A,Partner_Voice!AJ:AJ,"",0)="VL","VL",IF(XLOOKUP($A64,Partner_Voice!$A:$A,Partner_Voice!AJ:AJ,"",0)="ATT","ATT",XLOOKUP($A64,Partner_Voice!$A:$A,Partner_Voice!AJ:AJ,"",0))))</f>
        <v>0.2916666667</v>
      </c>
      <c r="AK64" s="42">
        <f t="array" ref="AK64">IF(XLOOKUP($A64,Partner_Voice!$A:$A,Partner_Voice!AK:AK,"",0)="Free","Free",IF(XLOOKUP($A64,Partner_Voice!$A:$A,Partner_Voice!AK:AK,"",0)="VL","VL",IF(XLOOKUP($A64,Partner_Voice!$A:$A,Partner_Voice!AK:AK,"",0)="ATT","ATT",XLOOKUP($A64,Partner_Voice!$A:$A,Partner_Voice!AK:AK,"",0))))</f>
        <v>0.2916666667</v>
      </c>
      <c r="AL64" s="42" t="str">
        <f t="array" ref="AL64">IF(XLOOKUP($A64,Partner_Voice!$A:$A,Partner_Voice!AL:AL,"",0)="Free","Free",IF(XLOOKUP($A64,Partner_Voice!$A:$A,Partner_Voice!AL:AL,"",0)="VL","VL",IF(XLOOKUP($A64,Partner_Voice!$A:$A,Partner_Voice!AL:AL,"",0)="ATT","ATT",XLOOKUP($A64,Partner_Voice!$A:$A,Partner_Voice!AL:AL,"",0))))</f>
        <v>Free</v>
      </c>
      <c r="AM64" s="42"/>
    </row>
    <row r="65">
      <c r="A65" s="47" t="s">
        <v>19</v>
      </c>
      <c r="B65" s="35" t="str">
        <f t="array" ref="B65">XLOOKUP(A65,Roster!F:F,Roster!A:A,"")</f>
        <v>Mateo Henao</v>
      </c>
      <c r="C65" s="35" t="str">
        <f t="array" ref="C65">XLOOKUP(A65,Roster!F:F,Roster!B:B,"")</f>
        <v>Breitner Benitez</v>
      </c>
      <c r="D65" s="70"/>
      <c r="E65" s="42">
        <f t="array" ref="E65">IF(XLOOKUP($A65,Partner_Voice!$A:$A,Partner_Voice!E:E,"",0)="Free","Free",IF(XLOOKUP($A65,Partner_Voice!$A:$A,Partner_Voice!E:E,"",0)="VL","VL",IF(XLOOKUP($A65,Partner_Voice!$A:$A,Partner_Voice!E:E,"",0)="ATT","ATT",XLOOKUP($A65,Partner_Voice!$A:$A,Partner_Voice!E:E,"",0))))</f>
        <v>0.3333333333</v>
      </c>
      <c r="F65" s="42">
        <f t="array" ref="F65">IF(XLOOKUP($A65,Partner_Voice!$A:$A,Partner_Voice!F:F,"",0)="Free","Free",IF(XLOOKUP($A65,Partner_Voice!$A:$A,Partner_Voice!F:F,"",0)="VL","VL",IF(XLOOKUP($A65,Partner_Voice!$A:$A,Partner_Voice!F:F,"",0)="ATT","ATT",XLOOKUP($A65,Partner_Voice!$A:$A,Partner_Voice!F:F,"",0))))</f>
        <v>0.3333333333</v>
      </c>
      <c r="G65" s="42" t="str">
        <f t="array" ref="G65">IF(XLOOKUP($A65,Partner_Voice!$A:$A,Partner_Voice!G:G,"",0)="Free","Free",IF(XLOOKUP($A65,Partner_Voice!$A:$A,Partner_Voice!G:G,"",0)="VL","VL",IF(XLOOKUP($A65,Partner_Voice!$A:$A,Partner_Voice!G:G,"",0)="ATT","ATT",XLOOKUP($A65,Partner_Voice!$A:$A,Partner_Voice!G:G,"",0))))</f>
        <v>Free</v>
      </c>
      <c r="H65" s="42">
        <f t="array" ref="H65">IF(XLOOKUP($A65,Partner_Voice!$A:$A,Partner_Voice!H:H,"",0)="Free","Free",IF(XLOOKUP($A65,Partner_Voice!$A:$A,Partner_Voice!H:H,"",0)="VL","VL",IF(XLOOKUP($A65,Partner_Voice!$A:$A,Partner_Voice!H:H,"",0)="ATT","ATT",XLOOKUP($A65,Partner_Voice!$A:$A,Partner_Voice!H:H,"",0))))</f>
        <v>0.3333333333</v>
      </c>
      <c r="I65" s="42">
        <f t="array" ref="I65">IF(XLOOKUP($A65,Partner_Voice!$A:$A,Partner_Voice!I:I,"",0)="Free","Free",IF(XLOOKUP($A65,Partner_Voice!$A:$A,Partner_Voice!I:I,"",0)="VL","VL",IF(XLOOKUP($A65,Partner_Voice!$A:$A,Partner_Voice!I:I,"",0)="ATT","ATT",XLOOKUP($A65,Partner_Voice!$A:$A,Partner_Voice!I:I,"",0))))</f>
        <v>0.3333333333</v>
      </c>
      <c r="J65" s="42">
        <f t="array" ref="J65">IF(XLOOKUP($A65,Partner_Voice!$A:$A,Partner_Voice!J:J,"",0)="Free","Free",IF(XLOOKUP($A65,Partner_Voice!$A:$A,Partner_Voice!J:J,"",0)="VL","VL",IF(XLOOKUP($A65,Partner_Voice!$A:$A,Partner_Voice!J:J,"",0)="ATT","ATT",XLOOKUP($A65,Partner_Voice!$A:$A,Partner_Voice!J:J,"",0))))</f>
        <v>0.3333333333</v>
      </c>
      <c r="K65" s="42"/>
      <c r="L65" s="42">
        <f t="array" ref="L65">IF(XLOOKUP($A65,Partner_Voice!$A:$A,Partner_Voice!L:L,"",0)="Free","Free",IF(XLOOKUP($A65,Partner_Voice!$A:$A,Partner_Voice!L:L,"",0)="VL","VL",IF(XLOOKUP($A65,Partner_Voice!$A:$A,Partner_Voice!L:L,"",0)="ATT","ATT",XLOOKUP($A65,Partner_Voice!$A:$A,Partner_Voice!L:L,"",0))))</f>
        <v>0.3333333333</v>
      </c>
      <c r="M65" s="42">
        <f t="array" ref="M65">IF(XLOOKUP($A65,Partner_Voice!$A:$A,Partner_Voice!M:M,"",0)="Free","Free",IF(XLOOKUP($A65,Partner_Voice!$A:$A,Partner_Voice!M:M,"",0)="VL","VL",IF(XLOOKUP($A65,Partner_Voice!$A:$A,Partner_Voice!M:M,"",0)="ATT","ATT",XLOOKUP($A65,Partner_Voice!$A:$A,Partner_Voice!M:M,"",0))))</f>
        <v>0.3333333333</v>
      </c>
      <c r="N65" s="42" t="str">
        <f t="array" ref="N65">IF(XLOOKUP($A65,Partner_Voice!$A:$A,Partner_Voice!N:N,"",0)="Free","Free",IF(XLOOKUP($A65,Partner_Voice!$A:$A,Partner_Voice!N:N,"",0)="VL","VL",IF(XLOOKUP($A65,Partner_Voice!$A:$A,Partner_Voice!N:N,"",0)="ATT","ATT",XLOOKUP($A65,Partner_Voice!$A:$A,Partner_Voice!N:N,"",0))))</f>
        <v>Free</v>
      </c>
      <c r="O65" s="42">
        <f t="array" ref="O65">IF(XLOOKUP($A65,Partner_Voice!$A:$A,Partner_Voice!O:O,"",0)="Free","Free",IF(XLOOKUP($A65,Partner_Voice!$A:$A,Partner_Voice!O:O,"",0)="VL","VL",IF(XLOOKUP($A65,Partner_Voice!$A:$A,Partner_Voice!O:O,"",0)="ATT","ATT",XLOOKUP($A65,Partner_Voice!$A:$A,Partner_Voice!O:O,"",0))))</f>
        <v>0.3333333333</v>
      </c>
      <c r="P65" s="42">
        <f t="array" ref="P65">IF(XLOOKUP($A65,Partner_Voice!$A:$A,Partner_Voice!P:P,"",0)="Free","Free",IF(XLOOKUP($A65,Partner_Voice!$A:$A,Partner_Voice!P:P,"",0)="VL","VL",IF(XLOOKUP($A65,Partner_Voice!$A:$A,Partner_Voice!P:P,"",0)="ATT","ATT",XLOOKUP($A65,Partner_Voice!$A:$A,Partner_Voice!P:P,"",0))))</f>
        <v>0.3333333333</v>
      </c>
      <c r="Q65" s="42">
        <f t="array" ref="Q65">IF(XLOOKUP($A65,Partner_Voice!$A:$A,Partner_Voice!Q:Q,"",0)="Free","Free",IF(XLOOKUP($A65,Partner_Voice!$A:$A,Partner_Voice!Q:Q,"",0)="VL","VL",IF(XLOOKUP($A65,Partner_Voice!$A:$A,Partner_Voice!Q:Q,"",0)="ATT","ATT",XLOOKUP($A65,Partner_Voice!$A:$A,Partner_Voice!Q:Q,"",0))))</f>
        <v>0.3333333333</v>
      </c>
      <c r="R65" s="43"/>
      <c r="S65" s="42">
        <f t="array" ref="S65">IF(XLOOKUP($A65,Partner_Voice!$A:$A,Partner_Voice!S:S,"",0)="Free","Free",IF(XLOOKUP($A65,Partner_Voice!$A:$A,Partner_Voice!S:S,"",0)="VL","VL",IF(XLOOKUP($A65,Partner_Voice!$A:$A,Partner_Voice!S:S,"",0)="ATT","ATT",XLOOKUP($A65,Partner_Voice!$A:$A,Partner_Voice!S:S,"",0))))</f>
        <v>0.3333333333</v>
      </c>
      <c r="T65" s="42">
        <f t="array" ref="T65">IF(XLOOKUP($A65,Partner_Voice!$A:$A,Partner_Voice!T:T,"",0)="Free","Free",IF(XLOOKUP($A65,Partner_Voice!$A:$A,Partner_Voice!T:T,"",0)="VL","VL",IF(XLOOKUP($A65,Partner_Voice!$A:$A,Partner_Voice!T:T,"",0)="ATT","ATT",XLOOKUP($A65,Partner_Voice!$A:$A,Partner_Voice!T:T,"",0))))</f>
        <v>0.3333333333</v>
      </c>
      <c r="U65" s="42" t="str">
        <f t="array" ref="U65">IF(XLOOKUP($A65,Partner_Voice!$A:$A,Partner_Voice!U:U,"",0)="Free","Free",IF(XLOOKUP($A65,Partner_Voice!$A:$A,Partner_Voice!U:U,"",0)="VL","VL",IF(XLOOKUP($A65,Partner_Voice!$A:$A,Partner_Voice!U:U,"",0)="ATT","ATT",XLOOKUP($A65,Partner_Voice!$A:$A,Partner_Voice!U:U,"",0))))</f>
        <v>Free</v>
      </c>
      <c r="V65" s="42">
        <f t="array" ref="V65">IF(XLOOKUP($A65,Partner_Voice!$A:$A,Partner_Voice!V:V,"",0)="Free","Free",IF(XLOOKUP($A65,Partner_Voice!$A:$A,Partner_Voice!V:V,"",0)="VL","VL",IF(XLOOKUP($A65,Partner_Voice!$A:$A,Partner_Voice!V:V,"",0)="ATT","ATT",XLOOKUP($A65,Partner_Voice!$A:$A,Partner_Voice!V:V,"",0))))</f>
        <v>0.3333333333</v>
      </c>
      <c r="W65" s="42">
        <f t="array" ref="W65">IF(XLOOKUP($A65,Partner_Voice!$A:$A,Partner_Voice!W:W,"",0)="Free","Free",IF(XLOOKUP($A65,Partner_Voice!$A:$A,Partner_Voice!W:W,"",0)="VL","VL",IF(XLOOKUP($A65,Partner_Voice!$A:$A,Partner_Voice!W:W,"",0)="ATT","ATT",XLOOKUP($A65,Partner_Voice!$A:$A,Partner_Voice!W:W,"",0))))</f>
        <v>0.3333333333</v>
      </c>
      <c r="X65" s="42">
        <f t="array" ref="X65">IF(XLOOKUP($A65,Partner_Voice!$A:$A,Partner_Voice!X:X,"",0)="Free","Free",IF(XLOOKUP($A65,Partner_Voice!$A:$A,Partner_Voice!X:X,"",0)="VL","VL",IF(XLOOKUP($A65,Partner_Voice!$A:$A,Partner_Voice!X:X,"",0)="ATT","ATT",XLOOKUP($A65,Partner_Voice!$A:$A,Partner_Voice!X:X,"",0))))</f>
        <v>0.3333333333</v>
      </c>
      <c r="Y65" s="43"/>
      <c r="Z65" s="42">
        <f t="array" ref="Z65">IF(XLOOKUP($A65,Partner_Voice!$A:$A,Partner_Voice!Z:Z,"",0)="Free","Free",IF(XLOOKUP($A65,Partner_Voice!$A:$A,Partner_Voice!Z:Z,"",0)="VL","VL",IF(XLOOKUP($A65,Partner_Voice!$A:$A,Partner_Voice!Z:Z,"",0)="ATT","ATT",XLOOKUP($A65,Partner_Voice!$A:$A,Partner_Voice!Z:Z,"",0))))</f>
        <v>0.3333333333</v>
      </c>
      <c r="AA65" s="42">
        <f t="array" ref="AA65">IF(XLOOKUP($A65,Partner_Voice!$A:$A,Partner_Voice!AA:AA,"",0)="Free","Free",IF(XLOOKUP($A65,Partner_Voice!$A:$A,Partner_Voice!AA:AA,"",0)="VL","VL",IF(XLOOKUP($A65,Partner_Voice!$A:$A,Partner_Voice!AA:AA,"",0)="ATT","ATT",XLOOKUP($A65,Partner_Voice!$A:$A,Partner_Voice!AA:AA,"",0))))</f>
        <v>0.3333333333</v>
      </c>
      <c r="AB65" s="42" t="str">
        <f t="array" ref="AB65">IF(XLOOKUP($A65,Partner_Voice!$A:$A,Partner_Voice!AB:AB,"",0)="Free","Free",IF(XLOOKUP($A65,Partner_Voice!$A:$A,Partner_Voice!AB:AB,"",0)="VL","VL",IF(XLOOKUP($A65,Partner_Voice!$A:$A,Partner_Voice!AB:AB,"",0)="ATT","ATT",XLOOKUP($A65,Partner_Voice!$A:$A,Partner_Voice!AB:AB,"",0))))</f>
        <v>Free</v>
      </c>
      <c r="AC65" s="42">
        <f t="array" ref="AC65">IF(XLOOKUP($A65,Partner_Voice!$A:$A,Partner_Voice!AC:AC,"",0)="Free","Free",IF(XLOOKUP($A65,Partner_Voice!$A:$A,Partner_Voice!AC:AC,"",0)="VL","VL",IF(XLOOKUP($A65,Partner_Voice!$A:$A,Partner_Voice!AC:AC,"",0)="ATT","ATT",XLOOKUP($A65,Partner_Voice!$A:$A,Partner_Voice!AC:AC,"",0))))</f>
        <v>0.3333333333</v>
      </c>
      <c r="AD65" s="42">
        <f t="array" ref="AD65">IF(XLOOKUP($A65,Partner_Voice!$A:$A,Partner_Voice!AD:AD,"",0)="Free","Free",IF(XLOOKUP($A65,Partner_Voice!$A:$A,Partner_Voice!AD:AD,"",0)="VL","VL",IF(XLOOKUP($A65,Partner_Voice!$A:$A,Partner_Voice!AD:AD,"",0)="ATT","ATT",XLOOKUP($A65,Partner_Voice!$A:$A,Partner_Voice!AD:AD,"",0))))</f>
        <v>0.3333333333</v>
      </c>
      <c r="AE65" s="42">
        <f t="array" ref="AE65">IF(XLOOKUP($A65,Partner_Voice!$A:$A,Partner_Voice!AE:AE,"",0)="Free","Free",IF(XLOOKUP($A65,Partner_Voice!$A:$A,Partner_Voice!AE:AE,"",0)="VL","VL",IF(XLOOKUP($A65,Partner_Voice!$A:$A,Partner_Voice!AE:AE,"",0)="ATT","ATT",XLOOKUP($A65,Partner_Voice!$A:$A,Partner_Voice!AE:AE,"",0))))</f>
        <v>0.3333333333</v>
      </c>
      <c r="AF65" s="69"/>
      <c r="AG65" s="42">
        <f t="array" ref="AG65">IF(XLOOKUP($A65,Partner_Voice!$A:$A,Partner_Voice!AG:AG,"",0)="Free","Free",IF(XLOOKUP($A65,Partner_Voice!$A:$A,Partner_Voice!AG:AG,"",0)="VL","VL",IF(XLOOKUP($A65,Partner_Voice!$A:$A,Partner_Voice!AG:AG,"",0)="ATT","ATT",XLOOKUP($A65,Partner_Voice!$A:$A,Partner_Voice!AG:AG,"",0))))</f>
        <v>0.3333333333</v>
      </c>
      <c r="AH65" s="42">
        <f t="array" ref="AH65">IF(XLOOKUP($A65,Partner_Voice!$A:$A,Partner_Voice!AH:AH,"",0)="Free","Free",IF(XLOOKUP($A65,Partner_Voice!$A:$A,Partner_Voice!AH:AH,"",0)="VL","VL",IF(XLOOKUP($A65,Partner_Voice!$A:$A,Partner_Voice!AH:AH,"",0)="ATT","ATT",XLOOKUP($A65,Partner_Voice!$A:$A,Partner_Voice!AH:AH,"",0))))</f>
        <v>0.3333333333</v>
      </c>
      <c r="AI65" s="42" t="str">
        <f t="array" ref="AI65">IF(XLOOKUP($A65,Partner_Voice!$A:$A,Partner_Voice!AI:AI,"",0)="Free","Free",IF(XLOOKUP($A65,Partner_Voice!$A:$A,Partner_Voice!AI:AI,"",0)="VL","VL",IF(XLOOKUP($A65,Partner_Voice!$A:$A,Partner_Voice!AI:AI,"",0)="ATT","ATT",XLOOKUP($A65,Partner_Voice!$A:$A,Partner_Voice!AI:AI,"",0))))</f>
        <v>Free</v>
      </c>
      <c r="AJ65" s="42">
        <f t="array" ref="AJ65">IF(XLOOKUP($A65,Partner_Voice!$A:$A,Partner_Voice!AJ:AJ,"",0)="Free","Free",IF(XLOOKUP($A65,Partner_Voice!$A:$A,Partner_Voice!AJ:AJ,"",0)="VL","VL",IF(XLOOKUP($A65,Partner_Voice!$A:$A,Partner_Voice!AJ:AJ,"",0)="ATT","ATT",XLOOKUP($A65,Partner_Voice!$A:$A,Partner_Voice!AJ:AJ,"",0))))</f>
        <v>0.3333333333</v>
      </c>
      <c r="AK65" s="42">
        <f t="array" ref="AK65">IF(XLOOKUP($A65,Partner_Voice!$A:$A,Partner_Voice!AK:AK,"",0)="Free","Free",IF(XLOOKUP($A65,Partner_Voice!$A:$A,Partner_Voice!AK:AK,"",0)="VL","VL",IF(XLOOKUP($A65,Partner_Voice!$A:$A,Partner_Voice!AK:AK,"",0)="ATT","ATT",XLOOKUP($A65,Partner_Voice!$A:$A,Partner_Voice!AK:AK,"",0))))</f>
        <v>0.3333333333</v>
      </c>
      <c r="AL65" s="42">
        <f t="array" ref="AL65">IF(XLOOKUP($A65,Partner_Voice!$A:$A,Partner_Voice!AL:AL,"",0)="Free","Free",IF(XLOOKUP($A65,Partner_Voice!$A:$A,Partner_Voice!AL:AL,"",0)="VL","VL",IF(XLOOKUP($A65,Partner_Voice!$A:$A,Partner_Voice!AL:AL,"",0)="ATT","ATT",XLOOKUP($A65,Partner_Voice!$A:$A,Partner_Voice!AL:AL,"",0))))</f>
        <v>0.3333333333</v>
      </c>
      <c r="AM65" s="42"/>
    </row>
    <row r="66">
      <c r="A66" s="47" t="s">
        <v>23</v>
      </c>
      <c r="B66" s="35" t="str">
        <f t="array" ref="B66">XLOOKUP(A66,Roster!F:F,Roster!A:A,"")</f>
        <v>Mateo Henao</v>
      </c>
      <c r="C66" s="35" t="str">
        <f t="array" ref="C66">XLOOKUP(A66,Roster!F:F,Roster!B:B,"")</f>
        <v>Christian Ramirez</v>
      </c>
      <c r="D66" s="70"/>
      <c r="E66" s="42">
        <f t="array" ref="E66">IF(XLOOKUP($A66,Partner_Voice!$A:$A,Partner_Voice!E:E,"",0)="Free","Free",IF(XLOOKUP($A66,Partner_Voice!$A:$A,Partner_Voice!E:E,"",0)="VL","VL",IF(XLOOKUP($A66,Partner_Voice!$A:$A,Partner_Voice!E:E,"",0)="ATT","ATT",XLOOKUP($A66,Partner_Voice!$A:$A,Partner_Voice!E:E,"",0))))</f>
        <v>0.3333333333</v>
      </c>
      <c r="F66" s="42">
        <f t="array" ref="F66">IF(XLOOKUP($A66,Partner_Voice!$A:$A,Partner_Voice!F:F,"",0)="Free","Free",IF(XLOOKUP($A66,Partner_Voice!$A:$A,Partner_Voice!F:F,"",0)="VL","VL",IF(XLOOKUP($A66,Partner_Voice!$A:$A,Partner_Voice!F:F,"",0)="ATT","ATT",XLOOKUP($A66,Partner_Voice!$A:$A,Partner_Voice!F:F,"",0))))</f>
        <v>0.3333333333</v>
      </c>
      <c r="G66" s="42">
        <f t="array" ref="G66">IF(XLOOKUP($A66,Partner_Voice!$A:$A,Partner_Voice!G:G,"",0)="Free","Free",IF(XLOOKUP($A66,Partner_Voice!$A:$A,Partner_Voice!G:G,"",0)="VL","VL",IF(XLOOKUP($A66,Partner_Voice!$A:$A,Partner_Voice!G:G,"",0)="ATT","ATT",XLOOKUP($A66,Partner_Voice!$A:$A,Partner_Voice!G:G,"",0))))</f>
        <v>0.3333333333</v>
      </c>
      <c r="H66" s="42">
        <f t="array" ref="H66">IF(XLOOKUP($A66,Partner_Voice!$A:$A,Partner_Voice!H:H,"",0)="Free","Free",IF(XLOOKUP($A66,Partner_Voice!$A:$A,Partner_Voice!H:H,"",0)="VL","VL",IF(XLOOKUP($A66,Partner_Voice!$A:$A,Partner_Voice!H:H,"",0)="ATT","ATT",XLOOKUP($A66,Partner_Voice!$A:$A,Partner_Voice!H:H,"",0))))</f>
        <v>0.3333333333</v>
      </c>
      <c r="I66" s="42">
        <f t="array" ref="I66">IF(XLOOKUP($A66,Partner_Voice!$A:$A,Partner_Voice!I:I,"",0)="Free","Free",IF(XLOOKUP($A66,Partner_Voice!$A:$A,Partner_Voice!I:I,"",0)="VL","VL",IF(XLOOKUP($A66,Partner_Voice!$A:$A,Partner_Voice!I:I,"",0)="ATT","ATT",XLOOKUP($A66,Partner_Voice!$A:$A,Partner_Voice!I:I,"",0))))</f>
        <v>0.3333333333</v>
      </c>
      <c r="J66" s="42" t="str">
        <f t="array" ref="J66">IF(XLOOKUP($A66,Partner_Voice!$A:$A,Partner_Voice!J:J,"",0)="Free","Free",IF(XLOOKUP($A66,Partner_Voice!$A:$A,Partner_Voice!J:J,"",0)="VL","VL",IF(XLOOKUP($A66,Partner_Voice!$A:$A,Partner_Voice!J:J,"",0)="ATT","ATT",XLOOKUP($A66,Partner_Voice!$A:$A,Partner_Voice!J:J,"",0))))</f>
        <v>Free</v>
      </c>
      <c r="K66" s="42"/>
      <c r="L66" s="42">
        <f t="array" ref="L66">IF(XLOOKUP($A66,Partner_Voice!$A:$A,Partner_Voice!L:L,"",0)="Free","Free",IF(XLOOKUP($A66,Partner_Voice!$A:$A,Partner_Voice!L:L,"",0)="VL","VL",IF(XLOOKUP($A66,Partner_Voice!$A:$A,Partner_Voice!L:L,"",0)="ATT","ATT",XLOOKUP($A66,Partner_Voice!$A:$A,Partner_Voice!L:L,"",0))))</f>
        <v>0.3333333333</v>
      </c>
      <c r="M66" s="42">
        <f t="array" ref="M66">IF(XLOOKUP($A66,Partner_Voice!$A:$A,Partner_Voice!M:M,"",0)="Free","Free",IF(XLOOKUP($A66,Partner_Voice!$A:$A,Partner_Voice!M:M,"",0)="VL","VL",IF(XLOOKUP($A66,Partner_Voice!$A:$A,Partner_Voice!M:M,"",0)="ATT","ATT",XLOOKUP($A66,Partner_Voice!$A:$A,Partner_Voice!M:M,"",0))))</f>
        <v>0.3333333333</v>
      </c>
      <c r="N66" s="42">
        <f t="array" ref="N66">IF(XLOOKUP($A66,Partner_Voice!$A:$A,Partner_Voice!N:N,"",0)="Free","Free",IF(XLOOKUP($A66,Partner_Voice!$A:$A,Partner_Voice!N:N,"",0)="VL","VL",IF(XLOOKUP($A66,Partner_Voice!$A:$A,Partner_Voice!N:N,"",0)="ATT","ATT",XLOOKUP($A66,Partner_Voice!$A:$A,Partner_Voice!N:N,"",0))))</f>
        <v>0.3333333333</v>
      </c>
      <c r="O66" s="42">
        <f t="array" ref="O66">IF(XLOOKUP($A66,Partner_Voice!$A:$A,Partner_Voice!O:O,"",0)="Free","Free",IF(XLOOKUP($A66,Partner_Voice!$A:$A,Partner_Voice!O:O,"",0)="VL","VL",IF(XLOOKUP($A66,Partner_Voice!$A:$A,Partner_Voice!O:O,"",0)="ATT","ATT",XLOOKUP($A66,Partner_Voice!$A:$A,Partner_Voice!O:O,"",0))))</f>
        <v>0.3333333333</v>
      </c>
      <c r="P66" s="42">
        <f t="array" ref="P66">IF(XLOOKUP($A66,Partner_Voice!$A:$A,Partner_Voice!P:P,"",0)="Free","Free",IF(XLOOKUP($A66,Partner_Voice!$A:$A,Partner_Voice!P:P,"",0)="VL","VL",IF(XLOOKUP($A66,Partner_Voice!$A:$A,Partner_Voice!P:P,"",0)="ATT","ATT",XLOOKUP($A66,Partner_Voice!$A:$A,Partner_Voice!P:P,"",0))))</f>
        <v>0.3333333333</v>
      </c>
      <c r="Q66" s="42" t="str">
        <f t="array" ref="Q66">IF(XLOOKUP($A66,Partner_Voice!$A:$A,Partner_Voice!Q:Q,"",0)="Free","Free",IF(XLOOKUP($A66,Partner_Voice!$A:$A,Partner_Voice!Q:Q,"",0)="VL","VL",IF(XLOOKUP($A66,Partner_Voice!$A:$A,Partner_Voice!Q:Q,"",0)="ATT","ATT",XLOOKUP($A66,Partner_Voice!$A:$A,Partner_Voice!Q:Q,"",0))))</f>
        <v>Free</v>
      </c>
      <c r="R66" s="43"/>
      <c r="S66" s="42">
        <f t="array" ref="S66">IF(XLOOKUP($A66,Partner_Voice!$A:$A,Partner_Voice!S:S,"",0)="Free","Free",IF(XLOOKUP($A66,Partner_Voice!$A:$A,Partner_Voice!S:S,"",0)="VL","VL",IF(XLOOKUP($A66,Partner_Voice!$A:$A,Partner_Voice!S:S,"",0)="ATT","ATT",XLOOKUP($A66,Partner_Voice!$A:$A,Partner_Voice!S:S,"",0))))</f>
        <v>0.375</v>
      </c>
      <c r="T66" s="42" t="str">
        <f t="array" ref="T66">IF(XLOOKUP($A66,Partner_Voice!$A:$A,Partner_Voice!T:T,"",0)="Free","Free",IF(XLOOKUP($A66,Partner_Voice!$A:$A,Partner_Voice!T:T,"",0)="VL","VL",IF(XLOOKUP($A66,Partner_Voice!$A:$A,Partner_Voice!T:T,"",0)="ATT","ATT",XLOOKUP($A66,Partner_Voice!$A:$A,Partner_Voice!T:T,"",0))))</f>
        <v>Free</v>
      </c>
      <c r="U66" s="42">
        <f t="array" ref="U66">IF(XLOOKUP($A66,Partner_Voice!$A:$A,Partner_Voice!U:U,"",0)="Free","Free",IF(XLOOKUP($A66,Partner_Voice!$A:$A,Partner_Voice!U:U,"",0)="VL","VL",IF(XLOOKUP($A66,Partner_Voice!$A:$A,Partner_Voice!U:U,"",0)="ATT","ATT",XLOOKUP($A66,Partner_Voice!$A:$A,Partner_Voice!U:U,"",0))))</f>
        <v>0.375</v>
      </c>
      <c r="V66" s="42">
        <f t="array" ref="V66">IF(XLOOKUP($A66,Partner_Voice!$A:$A,Partner_Voice!V:V,"",0)="Free","Free",IF(XLOOKUP($A66,Partner_Voice!$A:$A,Partner_Voice!V:V,"",0)="VL","VL",IF(XLOOKUP($A66,Partner_Voice!$A:$A,Partner_Voice!V:V,"",0)="ATT","ATT",XLOOKUP($A66,Partner_Voice!$A:$A,Partner_Voice!V:V,"",0))))</f>
        <v>0.375</v>
      </c>
      <c r="W66" s="42">
        <f t="array" ref="W66">IF(XLOOKUP($A66,Partner_Voice!$A:$A,Partner_Voice!W:W,"",0)="Free","Free",IF(XLOOKUP($A66,Partner_Voice!$A:$A,Partner_Voice!W:W,"",0)="VL","VL",IF(XLOOKUP($A66,Partner_Voice!$A:$A,Partner_Voice!W:W,"",0)="ATT","ATT",XLOOKUP($A66,Partner_Voice!$A:$A,Partner_Voice!W:W,"",0))))</f>
        <v>0.375</v>
      </c>
      <c r="X66" s="42">
        <f t="array" ref="X66">IF(XLOOKUP($A66,Partner_Voice!$A:$A,Partner_Voice!X:X,"",0)="Free","Free",IF(XLOOKUP($A66,Partner_Voice!$A:$A,Partner_Voice!X:X,"",0)="VL","VL",IF(XLOOKUP($A66,Partner_Voice!$A:$A,Partner_Voice!X:X,"",0)="ATT","ATT",XLOOKUP($A66,Partner_Voice!$A:$A,Partner_Voice!X:X,"",0))))</f>
        <v>0.375</v>
      </c>
      <c r="Y66" s="43"/>
      <c r="Z66" s="42">
        <f t="array" ref="Z66">IF(XLOOKUP($A66,Partner_Voice!$A:$A,Partner_Voice!Z:Z,"",0)="Free","Free",IF(XLOOKUP($A66,Partner_Voice!$A:$A,Partner_Voice!Z:Z,"",0)="VL","VL",IF(XLOOKUP($A66,Partner_Voice!$A:$A,Partner_Voice!Z:Z,"",0)="ATT","ATT",XLOOKUP($A66,Partner_Voice!$A:$A,Partner_Voice!Z:Z,"",0))))</f>
        <v>0.3333333333</v>
      </c>
      <c r="AA66" s="42">
        <f t="array" ref="AA66">IF(XLOOKUP($A66,Partner_Voice!$A:$A,Partner_Voice!AA:AA,"",0)="Free","Free",IF(XLOOKUP($A66,Partner_Voice!$A:$A,Partner_Voice!AA:AA,"",0)="VL","VL",IF(XLOOKUP($A66,Partner_Voice!$A:$A,Partner_Voice!AA:AA,"",0)="ATT","ATT",XLOOKUP($A66,Partner_Voice!$A:$A,Partner_Voice!AA:AA,"",0))))</f>
        <v>0.3333333333</v>
      </c>
      <c r="AB66" s="42">
        <f t="array" ref="AB66">IF(XLOOKUP($A66,Partner_Voice!$A:$A,Partner_Voice!AB:AB,"",0)="Free","Free",IF(XLOOKUP($A66,Partner_Voice!$A:$A,Partner_Voice!AB:AB,"",0)="VL","VL",IF(XLOOKUP($A66,Partner_Voice!$A:$A,Partner_Voice!AB:AB,"",0)="ATT","ATT",XLOOKUP($A66,Partner_Voice!$A:$A,Partner_Voice!AB:AB,"",0))))</f>
        <v>0.3333333333</v>
      </c>
      <c r="AC66" s="42">
        <f t="array" ref="AC66">IF(XLOOKUP($A66,Partner_Voice!$A:$A,Partner_Voice!AC:AC,"",0)="Free","Free",IF(XLOOKUP($A66,Partner_Voice!$A:$A,Partner_Voice!AC:AC,"",0)="VL","VL",IF(XLOOKUP($A66,Partner_Voice!$A:$A,Partner_Voice!AC:AC,"",0)="ATT","ATT",XLOOKUP($A66,Partner_Voice!$A:$A,Partner_Voice!AC:AC,"",0))))</f>
        <v>0.3333333333</v>
      </c>
      <c r="AD66" s="42">
        <f t="array" ref="AD66">IF(XLOOKUP($A66,Partner_Voice!$A:$A,Partner_Voice!AD:AD,"",0)="Free","Free",IF(XLOOKUP($A66,Partner_Voice!$A:$A,Partner_Voice!AD:AD,"",0)="VL","VL",IF(XLOOKUP($A66,Partner_Voice!$A:$A,Partner_Voice!AD:AD,"",0)="ATT","ATT",XLOOKUP($A66,Partner_Voice!$A:$A,Partner_Voice!AD:AD,"",0))))</f>
        <v>0.3333333333</v>
      </c>
      <c r="AE66" s="42" t="str">
        <f t="array" ref="AE66">IF(XLOOKUP($A66,Partner_Voice!$A:$A,Partner_Voice!AE:AE,"",0)="Free","Free",IF(XLOOKUP($A66,Partner_Voice!$A:$A,Partner_Voice!AE:AE,"",0)="VL","VL",IF(XLOOKUP($A66,Partner_Voice!$A:$A,Partner_Voice!AE:AE,"",0)="ATT","ATT",XLOOKUP($A66,Partner_Voice!$A:$A,Partner_Voice!AE:AE,"",0))))</f>
        <v>Free</v>
      </c>
      <c r="AF66" s="69"/>
      <c r="AG66" s="42">
        <f t="array" ref="AG66">IF(XLOOKUP($A66,Partner_Voice!$A:$A,Partner_Voice!AG:AG,"",0)="Free","Free",IF(XLOOKUP($A66,Partner_Voice!$A:$A,Partner_Voice!AG:AG,"",0)="VL","VL",IF(XLOOKUP($A66,Partner_Voice!$A:$A,Partner_Voice!AG:AG,"",0)="ATT","ATT",XLOOKUP($A66,Partner_Voice!$A:$A,Partner_Voice!AG:AG,"",0))))</f>
        <v>0.3333333333</v>
      </c>
      <c r="AH66" s="42">
        <f t="array" ref="AH66">IF(XLOOKUP($A66,Partner_Voice!$A:$A,Partner_Voice!AH:AH,"",0)="Free","Free",IF(XLOOKUP($A66,Partner_Voice!$A:$A,Partner_Voice!AH:AH,"",0)="VL","VL",IF(XLOOKUP($A66,Partner_Voice!$A:$A,Partner_Voice!AH:AH,"",0)="ATT","ATT",XLOOKUP($A66,Partner_Voice!$A:$A,Partner_Voice!AH:AH,"",0))))</f>
        <v>0.3333333333</v>
      </c>
      <c r="AI66" s="42">
        <f t="array" ref="AI66">IF(XLOOKUP($A66,Partner_Voice!$A:$A,Partner_Voice!AI:AI,"",0)="Free","Free",IF(XLOOKUP($A66,Partner_Voice!$A:$A,Partner_Voice!AI:AI,"",0)="VL","VL",IF(XLOOKUP($A66,Partner_Voice!$A:$A,Partner_Voice!AI:AI,"",0)="ATT","ATT",XLOOKUP($A66,Partner_Voice!$A:$A,Partner_Voice!AI:AI,"",0))))</f>
        <v>0.3333333333</v>
      </c>
      <c r="AJ66" s="42">
        <f t="array" ref="AJ66">IF(XLOOKUP($A66,Partner_Voice!$A:$A,Partner_Voice!AJ:AJ,"",0)="Free","Free",IF(XLOOKUP($A66,Partner_Voice!$A:$A,Partner_Voice!AJ:AJ,"",0)="VL","VL",IF(XLOOKUP($A66,Partner_Voice!$A:$A,Partner_Voice!AJ:AJ,"",0)="ATT","ATT",XLOOKUP($A66,Partner_Voice!$A:$A,Partner_Voice!AJ:AJ,"",0))))</f>
        <v>0.3333333333</v>
      </c>
      <c r="AK66" s="42">
        <f t="array" ref="AK66">IF(XLOOKUP($A66,Partner_Voice!$A:$A,Partner_Voice!AK:AK,"",0)="Free","Free",IF(XLOOKUP($A66,Partner_Voice!$A:$A,Partner_Voice!AK:AK,"",0)="VL","VL",IF(XLOOKUP($A66,Partner_Voice!$A:$A,Partner_Voice!AK:AK,"",0)="ATT","ATT",XLOOKUP($A66,Partner_Voice!$A:$A,Partner_Voice!AK:AK,"",0))))</f>
        <v>0.3333333333</v>
      </c>
      <c r="AL66" s="42" t="str">
        <f t="array" ref="AL66">IF(XLOOKUP($A66,Partner_Voice!$A:$A,Partner_Voice!AL:AL,"",0)="Free","Free",IF(XLOOKUP($A66,Partner_Voice!$A:$A,Partner_Voice!AL:AL,"",0)="VL","VL",IF(XLOOKUP($A66,Partner_Voice!$A:$A,Partner_Voice!AL:AL,"",0)="ATT","ATT",XLOOKUP($A66,Partner_Voice!$A:$A,Partner_Voice!AL:AL,"",0))))</f>
        <v>Free</v>
      </c>
      <c r="AM66" s="42"/>
    </row>
    <row r="67">
      <c r="A67" s="47" t="s">
        <v>25</v>
      </c>
      <c r="B67" s="35" t="str">
        <f t="array" ref="B67">XLOOKUP(A67,Roster!F:F,Roster!A:A,"")</f>
        <v>Mateo Henao</v>
      </c>
      <c r="C67" s="35" t="str">
        <f t="array" ref="C67">XLOOKUP(A67,Roster!F:F,Roster!B:B,"")</f>
        <v>Daniel Barrientos</v>
      </c>
      <c r="D67" s="70"/>
      <c r="E67" s="42">
        <f t="array" ref="E67">IF(XLOOKUP($A67,Partner_Voice!$A:$A,Partner_Voice!E:E,"",0)="Free","Free",IF(XLOOKUP($A67,Partner_Voice!$A:$A,Partner_Voice!E:E,"",0)="VL","VL",IF(XLOOKUP($A67,Partner_Voice!$A:$A,Partner_Voice!E:E,"",0)="ATT","ATT",XLOOKUP($A67,Partner_Voice!$A:$A,Partner_Voice!E:E,"",0))))</f>
        <v>0.375</v>
      </c>
      <c r="F67" s="42">
        <f t="array" ref="F67">IF(XLOOKUP($A67,Partner_Voice!$A:$A,Partner_Voice!F:F,"",0)="Free","Free",IF(XLOOKUP($A67,Partner_Voice!$A:$A,Partner_Voice!F:F,"",0)="VL","VL",IF(XLOOKUP($A67,Partner_Voice!$A:$A,Partner_Voice!F:F,"",0)="ATT","ATT",XLOOKUP($A67,Partner_Voice!$A:$A,Partner_Voice!F:F,"",0))))</f>
        <v>0.375</v>
      </c>
      <c r="G67" s="42">
        <f t="array" ref="G67">IF(XLOOKUP($A67,Partner_Voice!$A:$A,Partner_Voice!G:G,"",0)="Free","Free",IF(XLOOKUP($A67,Partner_Voice!$A:$A,Partner_Voice!G:G,"",0)="VL","VL",IF(XLOOKUP($A67,Partner_Voice!$A:$A,Partner_Voice!G:G,"",0)="ATT","ATT",XLOOKUP($A67,Partner_Voice!$A:$A,Partner_Voice!G:G,"",0))))</f>
        <v>0.375</v>
      </c>
      <c r="H67" s="42">
        <f t="array" ref="H67">IF(XLOOKUP($A67,Partner_Voice!$A:$A,Partner_Voice!H:H,"",0)="Free","Free",IF(XLOOKUP($A67,Partner_Voice!$A:$A,Partner_Voice!H:H,"",0)="VL","VL",IF(XLOOKUP($A67,Partner_Voice!$A:$A,Partner_Voice!H:H,"",0)="ATT","ATT",XLOOKUP($A67,Partner_Voice!$A:$A,Partner_Voice!H:H,"",0))))</f>
        <v>0.375</v>
      </c>
      <c r="I67" s="42">
        <f t="array" ref="I67">IF(XLOOKUP($A67,Partner_Voice!$A:$A,Partner_Voice!I:I,"",0)="Free","Free",IF(XLOOKUP($A67,Partner_Voice!$A:$A,Partner_Voice!I:I,"",0)="VL","VL",IF(XLOOKUP($A67,Partner_Voice!$A:$A,Partner_Voice!I:I,"",0)="ATT","ATT",XLOOKUP($A67,Partner_Voice!$A:$A,Partner_Voice!I:I,"",0))))</f>
        <v>0.375</v>
      </c>
      <c r="J67" s="42" t="str">
        <f t="array" ref="J67">IF(XLOOKUP($A67,Partner_Voice!$A:$A,Partner_Voice!J:J,"",0)="Free","Free",IF(XLOOKUP($A67,Partner_Voice!$A:$A,Partner_Voice!J:J,"",0)="VL","VL",IF(XLOOKUP($A67,Partner_Voice!$A:$A,Partner_Voice!J:J,"",0)="ATT","ATT",XLOOKUP($A67,Partner_Voice!$A:$A,Partner_Voice!J:J,"",0))))</f>
        <v>Free</v>
      </c>
      <c r="K67" s="42"/>
      <c r="L67" s="42">
        <f t="array" ref="L67">IF(XLOOKUP($A67,Partner_Voice!$A:$A,Partner_Voice!L:L,"",0)="Free","Free",IF(XLOOKUP($A67,Partner_Voice!$A:$A,Partner_Voice!L:L,"",0)="VL","VL",IF(XLOOKUP($A67,Partner_Voice!$A:$A,Partner_Voice!L:L,"",0)="ATT","ATT",XLOOKUP($A67,Partner_Voice!$A:$A,Partner_Voice!L:L,"",0))))</f>
        <v>0.375</v>
      </c>
      <c r="M67" s="42">
        <f t="array" ref="M67">IF(XLOOKUP($A67,Partner_Voice!$A:$A,Partner_Voice!M:M,"",0)="Free","Free",IF(XLOOKUP($A67,Partner_Voice!$A:$A,Partner_Voice!M:M,"",0)="VL","VL",IF(XLOOKUP($A67,Partner_Voice!$A:$A,Partner_Voice!M:M,"",0)="ATT","ATT",XLOOKUP($A67,Partner_Voice!$A:$A,Partner_Voice!M:M,"",0))))</f>
        <v>0.375</v>
      </c>
      <c r="N67" s="42">
        <f t="array" ref="N67">IF(XLOOKUP($A67,Partner_Voice!$A:$A,Partner_Voice!N:N,"",0)="Free","Free",IF(XLOOKUP($A67,Partner_Voice!$A:$A,Partner_Voice!N:N,"",0)="VL","VL",IF(XLOOKUP($A67,Partner_Voice!$A:$A,Partner_Voice!N:N,"",0)="ATT","ATT",XLOOKUP($A67,Partner_Voice!$A:$A,Partner_Voice!N:N,"",0))))</f>
        <v>0.375</v>
      </c>
      <c r="O67" s="42">
        <f t="array" ref="O67">IF(XLOOKUP($A67,Partner_Voice!$A:$A,Partner_Voice!O:O,"",0)="Free","Free",IF(XLOOKUP($A67,Partner_Voice!$A:$A,Partner_Voice!O:O,"",0)="VL","VL",IF(XLOOKUP($A67,Partner_Voice!$A:$A,Partner_Voice!O:O,"",0)="ATT","ATT",XLOOKUP($A67,Partner_Voice!$A:$A,Partner_Voice!O:O,"",0))))</f>
        <v>0.375</v>
      </c>
      <c r="P67" s="42">
        <f t="array" ref="P67">IF(XLOOKUP($A67,Partner_Voice!$A:$A,Partner_Voice!P:P,"",0)="Free","Free",IF(XLOOKUP($A67,Partner_Voice!$A:$A,Partner_Voice!P:P,"",0)="VL","VL",IF(XLOOKUP($A67,Partner_Voice!$A:$A,Partner_Voice!P:P,"",0)="ATT","ATT",XLOOKUP($A67,Partner_Voice!$A:$A,Partner_Voice!P:P,"",0))))</f>
        <v>0.375</v>
      </c>
      <c r="Q67" s="42" t="str">
        <f t="array" ref="Q67">IF(XLOOKUP($A67,Partner_Voice!$A:$A,Partner_Voice!Q:Q,"",0)="Free","Free",IF(XLOOKUP($A67,Partner_Voice!$A:$A,Partner_Voice!Q:Q,"",0)="VL","VL",IF(XLOOKUP($A67,Partner_Voice!$A:$A,Partner_Voice!Q:Q,"",0)="ATT","ATT",XLOOKUP($A67,Partner_Voice!$A:$A,Partner_Voice!Q:Q,"",0))))</f>
        <v>Free</v>
      </c>
      <c r="R67" s="43"/>
      <c r="S67" s="42">
        <f t="array" ref="S67">IF(XLOOKUP($A67,Partner_Voice!$A:$A,Partner_Voice!S:S,"",0)="Free","Free",IF(XLOOKUP($A67,Partner_Voice!$A:$A,Partner_Voice!S:S,"",0)="VL","VL",IF(XLOOKUP($A67,Partner_Voice!$A:$A,Partner_Voice!S:S,"",0)="ATT","ATT",XLOOKUP($A67,Partner_Voice!$A:$A,Partner_Voice!S:S,"",0))))</f>
        <v>0.375</v>
      </c>
      <c r="T67" s="42">
        <f t="array" ref="T67">IF(XLOOKUP($A67,Partner_Voice!$A:$A,Partner_Voice!T:T,"",0)="Free","Free",IF(XLOOKUP($A67,Partner_Voice!$A:$A,Partner_Voice!T:T,"",0)="VL","VL",IF(XLOOKUP($A67,Partner_Voice!$A:$A,Partner_Voice!T:T,"",0)="ATT","ATT",XLOOKUP($A67,Partner_Voice!$A:$A,Partner_Voice!T:T,"",0))))</f>
        <v>0.375</v>
      </c>
      <c r="U67" s="42">
        <f t="array" ref="U67">IF(XLOOKUP($A67,Partner_Voice!$A:$A,Partner_Voice!U:U,"",0)="Free","Free",IF(XLOOKUP($A67,Partner_Voice!$A:$A,Partner_Voice!U:U,"",0)="VL","VL",IF(XLOOKUP($A67,Partner_Voice!$A:$A,Partner_Voice!U:U,"",0)="ATT","ATT",XLOOKUP($A67,Partner_Voice!$A:$A,Partner_Voice!U:U,"",0))))</f>
        <v>0.375</v>
      </c>
      <c r="V67" s="42">
        <f t="array" ref="V67">IF(XLOOKUP($A67,Partner_Voice!$A:$A,Partner_Voice!V:V,"",0)="Free","Free",IF(XLOOKUP($A67,Partner_Voice!$A:$A,Partner_Voice!V:V,"",0)="VL","VL",IF(XLOOKUP($A67,Partner_Voice!$A:$A,Partner_Voice!V:V,"",0)="ATT","ATT",XLOOKUP($A67,Partner_Voice!$A:$A,Partner_Voice!V:V,"",0))))</f>
        <v>0.375</v>
      </c>
      <c r="W67" s="42">
        <f t="array" ref="W67">IF(XLOOKUP($A67,Partner_Voice!$A:$A,Partner_Voice!W:W,"",0)="Free","Free",IF(XLOOKUP($A67,Partner_Voice!$A:$A,Partner_Voice!W:W,"",0)="VL","VL",IF(XLOOKUP($A67,Partner_Voice!$A:$A,Partner_Voice!W:W,"",0)="ATT","ATT",XLOOKUP($A67,Partner_Voice!$A:$A,Partner_Voice!W:W,"",0))))</f>
        <v>0.375</v>
      </c>
      <c r="X67" s="42" t="str">
        <f t="array" ref="X67">IF(XLOOKUP($A67,Partner_Voice!$A:$A,Partner_Voice!X:X,"",0)="Free","Free",IF(XLOOKUP($A67,Partner_Voice!$A:$A,Partner_Voice!X:X,"",0)="VL","VL",IF(XLOOKUP($A67,Partner_Voice!$A:$A,Partner_Voice!X:X,"",0)="ATT","ATT",XLOOKUP($A67,Partner_Voice!$A:$A,Partner_Voice!X:X,"",0))))</f>
        <v>Free</v>
      </c>
      <c r="Y67" s="43"/>
      <c r="Z67" s="42">
        <f t="array" ref="Z67">IF(XLOOKUP($A67,Partner_Voice!$A:$A,Partner_Voice!Z:Z,"",0)="Free","Free",IF(XLOOKUP($A67,Partner_Voice!$A:$A,Partner_Voice!Z:Z,"",0)="VL","VL",IF(XLOOKUP($A67,Partner_Voice!$A:$A,Partner_Voice!Z:Z,"",0)="ATT","ATT",XLOOKUP($A67,Partner_Voice!$A:$A,Partner_Voice!Z:Z,"",0))))</f>
        <v>0.375</v>
      </c>
      <c r="AA67" s="42">
        <f t="array" ref="AA67">IF(XLOOKUP($A67,Partner_Voice!$A:$A,Partner_Voice!AA:AA,"",0)="Free","Free",IF(XLOOKUP($A67,Partner_Voice!$A:$A,Partner_Voice!AA:AA,"",0)="VL","VL",IF(XLOOKUP($A67,Partner_Voice!$A:$A,Partner_Voice!AA:AA,"",0)="ATT","ATT",XLOOKUP($A67,Partner_Voice!$A:$A,Partner_Voice!AA:AA,"",0))))</f>
        <v>0.375</v>
      </c>
      <c r="AB67" s="42">
        <f t="array" ref="AB67">IF(XLOOKUP($A67,Partner_Voice!$A:$A,Partner_Voice!AB:AB,"",0)="Free","Free",IF(XLOOKUP($A67,Partner_Voice!$A:$A,Partner_Voice!AB:AB,"",0)="VL","VL",IF(XLOOKUP($A67,Partner_Voice!$A:$A,Partner_Voice!AB:AB,"",0)="ATT","ATT",XLOOKUP($A67,Partner_Voice!$A:$A,Partner_Voice!AB:AB,"",0))))</f>
        <v>0.375</v>
      </c>
      <c r="AC67" s="42">
        <f t="array" ref="AC67">IF(XLOOKUP($A67,Partner_Voice!$A:$A,Partner_Voice!AC:AC,"",0)="Free","Free",IF(XLOOKUP($A67,Partner_Voice!$A:$A,Partner_Voice!AC:AC,"",0)="VL","VL",IF(XLOOKUP($A67,Partner_Voice!$A:$A,Partner_Voice!AC:AC,"",0)="ATT","ATT",XLOOKUP($A67,Partner_Voice!$A:$A,Partner_Voice!AC:AC,"",0))))</f>
        <v>0.375</v>
      </c>
      <c r="AD67" s="42">
        <f t="array" ref="AD67">IF(XLOOKUP($A67,Partner_Voice!$A:$A,Partner_Voice!AD:AD,"",0)="Free","Free",IF(XLOOKUP($A67,Partner_Voice!$A:$A,Partner_Voice!AD:AD,"",0)="VL","VL",IF(XLOOKUP($A67,Partner_Voice!$A:$A,Partner_Voice!AD:AD,"",0)="ATT","ATT",XLOOKUP($A67,Partner_Voice!$A:$A,Partner_Voice!AD:AD,"",0))))</f>
        <v>0.375</v>
      </c>
      <c r="AE67" s="42" t="str">
        <f t="array" ref="AE67">IF(XLOOKUP($A67,Partner_Voice!$A:$A,Partner_Voice!AE:AE,"",0)="Free","Free",IF(XLOOKUP($A67,Partner_Voice!$A:$A,Partner_Voice!AE:AE,"",0)="VL","VL",IF(XLOOKUP($A67,Partner_Voice!$A:$A,Partner_Voice!AE:AE,"",0)="ATT","ATT",XLOOKUP($A67,Partner_Voice!$A:$A,Partner_Voice!AE:AE,"",0))))</f>
        <v>Free</v>
      </c>
      <c r="AF67" s="69"/>
      <c r="AG67" s="42">
        <f t="array" ref="AG67">IF(XLOOKUP($A67,Partner_Voice!$A:$A,Partner_Voice!AG:AG,"",0)="Free","Free",IF(XLOOKUP($A67,Partner_Voice!$A:$A,Partner_Voice!AG:AG,"",0)="VL","VL",IF(XLOOKUP($A67,Partner_Voice!$A:$A,Partner_Voice!AG:AG,"",0)="ATT","ATT",XLOOKUP($A67,Partner_Voice!$A:$A,Partner_Voice!AG:AG,"",0))))</f>
        <v>0.375</v>
      </c>
      <c r="AH67" s="42">
        <f t="array" ref="AH67">IF(XLOOKUP($A67,Partner_Voice!$A:$A,Partner_Voice!AH:AH,"",0)="Free","Free",IF(XLOOKUP($A67,Partner_Voice!$A:$A,Partner_Voice!AH:AH,"",0)="VL","VL",IF(XLOOKUP($A67,Partner_Voice!$A:$A,Partner_Voice!AH:AH,"",0)="ATT","ATT",XLOOKUP($A67,Partner_Voice!$A:$A,Partner_Voice!AH:AH,"",0))))</f>
        <v>0.375</v>
      </c>
      <c r="AI67" s="42">
        <f t="array" ref="AI67">IF(XLOOKUP($A67,Partner_Voice!$A:$A,Partner_Voice!AI:AI,"",0)="Free","Free",IF(XLOOKUP($A67,Partner_Voice!$A:$A,Partner_Voice!AI:AI,"",0)="VL","VL",IF(XLOOKUP($A67,Partner_Voice!$A:$A,Partner_Voice!AI:AI,"",0)="ATT","ATT",XLOOKUP($A67,Partner_Voice!$A:$A,Partner_Voice!AI:AI,"",0))))</f>
        <v>0.375</v>
      </c>
      <c r="AJ67" s="42">
        <f t="array" ref="AJ67">IF(XLOOKUP($A67,Partner_Voice!$A:$A,Partner_Voice!AJ:AJ,"",0)="Free","Free",IF(XLOOKUP($A67,Partner_Voice!$A:$A,Partner_Voice!AJ:AJ,"",0)="VL","VL",IF(XLOOKUP($A67,Partner_Voice!$A:$A,Partner_Voice!AJ:AJ,"",0)="ATT","ATT",XLOOKUP($A67,Partner_Voice!$A:$A,Partner_Voice!AJ:AJ,"",0))))</f>
        <v>0.375</v>
      </c>
      <c r="AK67" s="42">
        <f t="array" ref="AK67">IF(XLOOKUP($A67,Partner_Voice!$A:$A,Partner_Voice!AK:AK,"",0)="Free","Free",IF(XLOOKUP($A67,Partner_Voice!$A:$A,Partner_Voice!AK:AK,"",0)="VL","VL",IF(XLOOKUP($A67,Partner_Voice!$A:$A,Partner_Voice!AK:AK,"",0)="ATT","ATT",XLOOKUP($A67,Partner_Voice!$A:$A,Partner_Voice!AK:AK,"",0))))</f>
        <v>0.375</v>
      </c>
      <c r="AL67" s="42" t="str">
        <f t="array" ref="AL67">IF(XLOOKUP($A67,Partner_Voice!$A:$A,Partner_Voice!AL:AL,"",0)="Free","Free",IF(XLOOKUP($A67,Partner_Voice!$A:$A,Partner_Voice!AL:AL,"",0)="VL","VL",IF(XLOOKUP($A67,Partner_Voice!$A:$A,Partner_Voice!AL:AL,"",0)="ATT","ATT",XLOOKUP($A67,Partner_Voice!$A:$A,Partner_Voice!AL:AL,"",0))))</f>
        <v>Free</v>
      </c>
      <c r="AM67" s="42"/>
    </row>
    <row r="68">
      <c r="A68" s="47" t="s">
        <v>26</v>
      </c>
      <c r="B68" s="35" t="str">
        <f t="array" ref="B68">XLOOKUP(A68,Roster!F:F,Roster!A:A,"")</f>
        <v>Mateo Henao</v>
      </c>
      <c r="C68" s="35" t="str">
        <f t="array" ref="C68">XLOOKUP(A68,Roster!F:F,Roster!B:B,"")</f>
        <v>David Patino</v>
      </c>
      <c r="D68" s="70"/>
      <c r="E68" s="42">
        <f t="array" ref="E68">IF(XLOOKUP($A68,Partner_Voice!$A:$A,Partner_Voice!E:E,"",0)="Free","Free",IF(XLOOKUP($A68,Partner_Voice!$A:$A,Partner_Voice!E:E,"",0)="VL","VL",IF(XLOOKUP($A68,Partner_Voice!$A:$A,Partner_Voice!E:E,"",0)="ATT","ATT",XLOOKUP($A68,Partner_Voice!$A:$A,Partner_Voice!E:E,"",0))))</f>
        <v>0.3333333333</v>
      </c>
      <c r="F68" s="42" t="str">
        <f t="array" ref="F68">IF(XLOOKUP($A68,Partner_Voice!$A:$A,Partner_Voice!F:F,"",0)="Free","Free",IF(XLOOKUP($A68,Partner_Voice!$A:$A,Partner_Voice!F:F,"",0)="VL","VL",IF(XLOOKUP($A68,Partner_Voice!$A:$A,Partner_Voice!F:F,"",0)="ATT","ATT",XLOOKUP($A68,Partner_Voice!$A:$A,Partner_Voice!F:F,"",0))))</f>
        <v>Free</v>
      </c>
      <c r="G68" s="42">
        <f t="array" ref="G68">IF(XLOOKUP($A68,Partner_Voice!$A:$A,Partner_Voice!G:G,"",0)="Free","Free",IF(XLOOKUP($A68,Partner_Voice!$A:$A,Partner_Voice!G:G,"",0)="VL","VL",IF(XLOOKUP($A68,Partner_Voice!$A:$A,Partner_Voice!G:G,"",0)="ATT","ATT",XLOOKUP($A68,Partner_Voice!$A:$A,Partner_Voice!G:G,"",0))))</f>
        <v>0.3333333333</v>
      </c>
      <c r="H68" s="42">
        <f t="array" ref="H68">IF(XLOOKUP($A68,Partner_Voice!$A:$A,Partner_Voice!H:H,"",0)="Free","Free",IF(XLOOKUP($A68,Partner_Voice!$A:$A,Partner_Voice!H:H,"",0)="VL","VL",IF(XLOOKUP($A68,Partner_Voice!$A:$A,Partner_Voice!H:H,"",0)="ATT","ATT",XLOOKUP($A68,Partner_Voice!$A:$A,Partner_Voice!H:H,"",0))))</f>
        <v>0.3333333333</v>
      </c>
      <c r="I68" s="42">
        <f t="array" ref="I68">IF(XLOOKUP($A68,Partner_Voice!$A:$A,Partner_Voice!I:I,"",0)="Free","Free",IF(XLOOKUP($A68,Partner_Voice!$A:$A,Partner_Voice!I:I,"",0)="VL","VL",IF(XLOOKUP($A68,Partner_Voice!$A:$A,Partner_Voice!I:I,"",0)="ATT","ATT",XLOOKUP($A68,Partner_Voice!$A:$A,Partner_Voice!I:I,"",0))))</f>
        <v>0.3333333333</v>
      </c>
      <c r="J68" s="42">
        <f t="array" ref="J68">IF(XLOOKUP($A68,Partner_Voice!$A:$A,Partner_Voice!J:J,"",0)="Free","Free",IF(XLOOKUP($A68,Partner_Voice!$A:$A,Partner_Voice!J:J,"",0)="VL","VL",IF(XLOOKUP($A68,Partner_Voice!$A:$A,Partner_Voice!J:J,"",0)="ATT","ATT",XLOOKUP($A68,Partner_Voice!$A:$A,Partner_Voice!J:J,"",0))))</f>
        <v>0.3333333333</v>
      </c>
      <c r="K68" s="42"/>
      <c r="L68" s="42">
        <f t="array" ref="L68">IF(XLOOKUP($A68,Partner_Voice!$A:$A,Partner_Voice!L:L,"",0)="Free","Free",IF(XLOOKUP($A68,Partner_Voice!$A:$A,Partner_Voice!L:L,"",0)="VL","VL",IF(XLOOKUP($A68,Partner_Voice!$A:$A,Partner_Voice!L:L,"",0)="ATT","ATT",XLOOKUP($A68,Partner_Voice!$A:$A,Partner_Voice!L:L,"",0))))</f>
        <v>0.3333333333</v>
      </c>
      <c r="M68" s="42" t="str">
        <f t="array" ref="M68">IF(XLOOKUP($A68,Partner_Voice!$A:$A,Partner_Voice!M:M,"",0)="Free","Free",IF(XLOOKUP($A68,Partner_Voice!$A:$A,Partner_Voice!M:M,"",0)="VL","VL",IF(XLOOKUP($A68,Partner_Voice!$A:$A,Partner_Voice!M:M,"",0)="ATT","ATT",XLOOKUP($A68,Partner_Voice!$A:$A,Partner_Voice!M:M,"",0))))</f>
        <v>Free</v>
      </c>
      <c r="N68" s="42">
        <f t="array" ref="N68">IF(XLOOKUP($A68,Partner_Voice!$A:$A,Partner_Voice!N:N,"",0)="Free","Free",IF(XLOOKUP($A68,Partner_Voice!$A:$A,Partner_Voice!N:N,"",0)="VL","VL",IF(XLOOKUP($A68,Partner_Voice!$A:$A,Partner_Voice!N:N,"",0)="ATT","ATT",XLOOKUP($A68,Partner_Voice!$A:$A,Partner_Voice!N:N,"",0))))</f>
        <v>0.3333333333</v>
      </c>
      <c r="O68" s="42">
        <f t="array" ref="O68">IF(XLOOKUP($A68,Partner_Voice!$A:$A,Partner_Voice!O:O,"",0)="Free","Free",IF(XLOOKUP($A68,Partner_Voice!$A:$A,Partner_Voice!O:O,"",0)="VL","VL",IF(XLOOKUP($A68,Partner_Voice!$A:$A,Partner_Voice!O:O,"",0)="ATT","ATT",XLOOKUP($A68,Partner_Voice!$A:$A,Partner_Voice!O:O,"",0))))</f>
        <v>0.3333333333</v>
      </c>
      <c r="P68" s="42">
        <f t="array" ref="P68">IF(XLOOKUP($A68,Partner_Voice!$A:$A,Partner_Voice!P:P,"",0)="Free","Free",IF(XLOOKUP($A68,Partner_Voice!$A:$A,Partner_Voice!P:P,"",0)="VL","VL",IF(XLOOKUP($A68,Partner_Voice!$A:$A,Partner_Voice!P:P,"",0)="ATT","ATT",XLOOKUP($A68,Partner_Voice!$A:$A,Partner_Voice!P:P,"",0))))</f>
        <v>0.3333333333</v>
      </c>
      <c r="Q68" s="42">
        <f t="array" ref="Q68">IF(XLOOKUP($A68,Partner_Voice!$A:$A,Partner_Voice!Q:Q,"",0)="Free","Free",IF(XLOOKUP($A68,Partner_Voice!$A:$A,Partner_Voice!Q:Q,"",0)="VL","VL",IF(XLOOKUP($A68,Partner_Voice!$A:$A,Partner_Voice!Q:Q,"",0)="ATT","ATT",XLOOKUP($A68,Partner_Voice!$A:$A,Partner_Voice!Q:Q,"",0))))</f>
        <v>0.3333333333</v>
      </c>
      <c r="R68" s="43"/>
      <c r="S68" s="42">
        <f t="array" ref="S68">IF(XLOOKUP($A68,Partner_Voice!$A:$A,Partner_Voice!S:S,"",0)="Free","Free",IF(XLOOKUP($A68,Partner_Voice!$A:$A,Partner_Voice!S:S,"",0)="VL","VL",IF(XLOOKUP($A68,Partner_Voice!$A:$A,Partner_Voice!S:S,"",0)="ATT","ATT",XLOOKUP($A68,Partner_Voice!$A:$A,Partner_Voice!S:S,"",0))))</f>
        <v>0.3333333333</v>
      </c>
      <c r="T68" s="42" t="str">
        <f t="array" ref="T68">IF(XLOOKUP($A68,Partner_Voice!$A:$A,Partner_Voice!T:T,"",0)="Free","Free",IF(XLOOKUP($A68,Partner_Voice!$A:$A,Partner_Voice!T:T,"",0)="VL","VL",IF(XLOOKUP($A68,Partner_Voice!$A:$A,Partner_Voice!T:T,"",0)="ATT","ATT",XLOOKUP($A68,Partner_Voice!$A:$A,Partner_Voice!T:T,"",0))))</f>
        <v>Free</v>
      </c>
      <c r="U68" s="42">
        <f t="array" ref="U68">IF(XLOOKUP($A68,Partner_Voice!$A:$A,Partner_Voice!U:U,"",0)="Free","Free",IF(XLOOKUP($A68,Partner_Voice!$A:$A,Partner_Voice!U:U,"",0)="VL","VL",IF(XLOOKUP($A68,Partner_Voice!$A:$A,Partner_Voice!U:U,"",0)="ATT","ATT",XLOOKUP($A68,Partner_Voice!$A:$A,Partner_Voice!U:U,"",0))))</f>
        <v>0.3333333333</v>
      </c>
      <c r="V68" s="42">
        <f t="array" ref="V68">IF(XLOOKUP($A68,Partner_Voice!$A:$A,Partner_Voice!V:V,"",0)="Free","Free",IF(XLOOKUP($A68,Partner_Voice!$A:$A,Partner_Voice!V:V,"",0)="VL","VL",IF(XLOOKUP($A68,Partner_Voice!$A:$A,Partner_Voice!V:V,"",0)="ATT","ATT",XLOOKUP($A68,Partner_Voice!$A:$A,Partner_Voice!V:V,"",0))))</f>
        <v>0.3333333333</v>
      </c>
      <c r="W68" s="42">
        <f t="array" ref="W68">IF(XLOOKUP($A68,Partner_Voice!$A:$A,Partner_Voice!W:W,"",0)="Free","Free",IF(XLOOKUP($A68,Partner_Voice!$A:$A,Partner_Voice!W:W,"",0)="VL","VL",IF(XLOOKUP($A68,Partner_Voice!$A:$A,Partner_Voice!W:W,"",0)="ATT","ATT",XLOOKUP($A68,Partner_Voice!$A:$A,Partner_Voice!W:W,"",0))))</f>
        <v>0.3333333333</v>
      </c>
      <c r="X68" s="42">
        <f t="array" ref="X68">IF(XLOOKUP($A68,Partner_Voice!$A:$A,Partner_Voice!X:X,"",0)="Free","Free",IF(XLOOKUP($A68,Partner_Voice!$A:$A,Partner_Voice!X:X,"",0)="VL","VL",IF(XLOOKUP($A68,Partner_Voice!$A:$A,Partner_Voice!X:X,"",0)="ATT","ATT",XLOOKUP($A68,Partner_Voice!$A:$A,Partner_Voice!X:X,"",0))))</f>
        <v>0.3333333333</v>
      </c>
      <c r="Y68" s="43"/>
      <c r="Z68" s="42">
        <f t="array" ref="Z68">IF(XLOOKUP($A68,Partner_Voice!$A:$A,Partner_Voice!Z:Z,"",0)="Free","Free",IF(XLOOKUP($A68,Partner_Voice!$A:$A,Partner_Voice!Z:Z,"",0)="VL","VL",IF(XLOOKUP($A68,Partner_Voice!$A:$A,Partner_Voice!Z:Z,"",0)="ATT","ATT",XLOOKUP($A68,Partner_Voice!$A:$A,Partner_Voice!Z:Z,"",0))))</f>
        <v>0.3333333333</v>
      </c>
      <c r="AA68" s="42" t="str">
        <f t="array" ref="AA68">IF(XLOOKUP($A68,Partner_Voice!$A:$A,Partner_Voice!AA:AA,"",0)="Free","Free",IF(XLOOKUP($A68,Partner_Voice!$A:$A,Partner_Voice!AA:AA,"",0)="VL","VL",IF(XLOOKUP($A68,Partner_Voice!$A:$A,Partner_Voice!AA:AA,"",0)="ATT","ATT",XLOOKUP($A68,Partner_Voice!$A:$A,Partner_Voice!AA:AA,"",0))))</f>
        <v>Free</v>
      </c>
      <c r="AB68" s="42">
        <f t="array" ref="AB68">IF(XLOOKUP($A68,Partner_Voice!$A:$A,Partner_Voice!AB:AB,"",0)="Free","Free",IF(XLOOKUP($A68,Partner_Voice!$A:$A,Partner_Voice!AB:AB,"",0)="VL","VL",IF(XLOOKUP($A68,Partner_Voice!$A:$A,Partner_Voice!AB:AB,"",0)="ATT","ATT",XLOOKUP($A68,Partner_Voice!$A:$A,Partner_Voice!AB:AB,"",0))))</f>
        <v>0.3333333333</v>
      </c>
      <c r="AC68" s="42">
        <f t="array" ref="AC68">IF(XLOOKUP($A68,Partner_Voice!$A:$A,Partner_Voice!AC:AC,"",0)="Free","Free",IF(XLOOKUP($A68,Partner_Voice!$A:$A,Partner_Voice!AC:AC,"",0)="VL","VL",IF(XLOOKUP($A68,Partner_Voice!$A:$A,Partner_Voice!AC:AC,"",0)="ATT","ATT",XLOOKUP($A68,Partner_Voice!$A:$A,Partner_Voice!AC:AC,"",0))))</f>
        <v>0.3333333333</v>
      </c>
      <c r="AD68" s="42">
        <f t="array" ref="AD68">IF(XLOOKUP($A68,Partner_Voice!$A:$A,Partner_Voice!AD:AD,"",0)="Free","Free",IF(XLOOKUP($A68,Partner_Voice!$A:$A,Partner_Voice!AD:AD,"",0)="VL","VL",IF(XLOOKUP($A68,Partner_Voice!$A:$A,Partner_Voice!AD:AD,"",0)="ATT","ATT",XLOOKUP($A68,Partner_Voice!$A:$A,Partner_Voice!AD:AD,"",0))))</f>
        <v>0.3333333333</v>
      </c>
      <c r="AE68" s="42">
        <f t="array" ref="AE68">IF(XLOOKUP($A68,Partner_Voice!$A:$A,Partner_Voice!AE:AE,"",0)="Free","Free",IF(XLOOKUP($A68,Partner_Voice!$A:$A,Partner_Voice!AE:AE,"",0)="VL","VL",IF(XLOOKUP($A68,Partner_Voice!$A:$A,Partner_Voice!AE:AE,"",0)="ATT","ATT",XLOOKUP($A68,Partner_Voice!$A:$A,Partner_Voice!AE:AE,"",0))))</f>
        <v>0.3333333333</v>
      </c>
      <c r="AF68" s="69"/>
      <c r="AG68" s="42">
        <f t="array" ref="AG68">IF(XLOOKUP($A68,Partner_Voice!$A:$A,Partner_Voice!AG:AG,"",0)="Free","Free",IF(XLOOKUP($A68,Partner_Voice!$A:$A,Partner_Voice!AG:AG,"",0)="VL","VL",IF(XLOOKUP($A68,Partner_Voice!$A:$A,Partner_Voice!AG:AG,"",0)="ATT","ATT",XLOOKUP($A68,Partner_Voice!$A:$A,Partner_Voice!AG:AG,"",0))))</f>
        <v>0.3333333333</v>
      </c>
      <c r="AH68" s="42" t="str">
        <f t="array" ref="AH68">IF(XLOOKUP($A68,Partner_Voice!$A:$A,Partner_Voice!AH:AH,"",0)="Free","Free",IF(XLOOKUP($A68,Partner_Voice!$A:$A,Partner_Voice!AH:AH,"",0)="VL","VL",IF(XLOOKUP($A68,Partner_Voice!$A:$A,Partner_Voice!AH:AH,"",0)="ATT","ATT",XLOOKUP($A68,Partner_Voice!$A:$A,Partner_Voice!AH:AH,"",0))))</f>
        <v>Free</v>
      </c>
      <c r="AI68" s="42">
        <f t="array" ref="AI68">IF(XLOOKUP($A68,Partner_Voice!$A:$A,Partner_Voice!AI:AI,"",0)="Free","Free",IF(XLOOKUP($A68,Partner_Voice!$A:$A,Partner_Voice!AI:AI,"",0)="VL","VL",IF(XLOOKUP($A68,Partner_Voice!$A:$A,Partner_Voice!AI:AI,"",0)="ATT","ATT",XLOOKUP($A68,Partner_Voice!$A:$A,Partner_Voice!AI:AI,"",0))))</f>
        <v>0.3333333333</v>
      </c>
      <c r="AJ68" s="42">
        <f t="array" ref="AJ68">IF(XLOOKUP($A68,Partner_Voice!$A:$A,Partner_Voice!AJ:AJ,"",0)="Free","Free",IF(XLOOKUP($A68,Partner_Voice!$A:$A,Partner_Voice!AJ:AJ,"",0)="VL","VL",IF(XLOOKUP($A68,Partner_Voice!$A:$A,Partner_Voice!AJ:AJ,"",0)="ATT","ATT",XLOOKUP($A68,Partner_Voice!$A:$A,Partner_Voice!AJ:AJ,"",0))))</f>
        <v>0.3333333333</v>
      </c>
      <c r="AK68" s="42">
        <f t="array" ref="AK68">IF(XLOOKUP($A68,Partner_Voice!$A:$A,Partner_Voice!AK:AK,"",0)="Free","Free",IF(XLOOKUP($A68,Partner_Voice!$A:$A,Partner_Voice!AK:AK,"",0)="VL","VL",IF(XLOOKUP($A68,Partner_Voice!$A:$A,Partner_Voice!AK:AK,"",0)="ATT","ATT",XLOOKUP($A68,Partner_Voice!$A:$A,Partner_Voice!AK:AK,"",0))))</f>
        <v>0.3333333333</v>
      </c>
      <c r="AL68" s="42">
        <f t="array" ref="AL68">IF(XLOOKUP($A68,Partner_Voice!$A:$A,Partner_Voice!AL:AL,"",0)="Free","Free",IF(XLOOKUP($A68,Partner_Voice!$A:$A,Partner_Voice!AL:AL,"",0)="VL","VL",IF(XLOOKUP($A68,Partner_Voice!$A:$A,Partner_Voice!AL:AL,"",0)="ATT","ATT",XLOOKUP($A68,Partner_Voice!$A:$A,Partner_Voice!AL:AL,"",0))))</f>
        <v>0.3333333333</v>
      </c>
      <c r="AM68" s="42"/>
    </row>
    <row r="69">
      <c r="A69" s="47" t="s">
        <v>28</v>
      </c>
      <c r="B69" s="35" t="str">
        <f t="array" ref="B69">XLOOKUP(A69,Roster!F:F,Roster!A:A,"")</f>
        <v>Mateo Henao</v>
      </c>
      <c r="C69" s="35" t="str">
        <f t="array" ref="C69">XLOOKUP(A69,Roster!F:F,Roster!B:B,"")</f>
        <v>Esteban Correa</v>
      </c>
      <c r="D69" s="70"/>
      <c r="E69" s="42">
        <f t="array" ref="E69">IF(XLOOKUP($A69,Partner_Voice!$A:$A,Partner_Voice!E:E,"",0)="Free","Free",IF(XLOOKUP($A69,Partner_Voice!$A:$A,Partner_Voice!E:E,"",0)="VL","VL",IF(XLOOKUP($A69,Partner_Voice!$A:$A,Partner_Voice!E:E,"",0)="ATT","ATT",XLOOKUP($A69,Partner_Voice!$A:$A,Partner_Voice!E:E,"",0))))</f>
        <v>0.3333333333</v>
      </c>
      <c r="F69" s="42">
        <f t="array" ref="F69">IF(XLOOKUP($A69,Partner_Voice!$A:$A,Partner_Voice!F:F,"",0)="Free","Free",IF(XLOOKUP($A69,Partner_Voice!$A:$A,Partner_Voice!F:F,"",0)="VL","VL",IF(XLOOKUP($A69,Partner_Voice!$A:$A,Partner_Voice!F:F,"",0)="ATT","ATT",XLOOKUP($A69,Partner_Voice!$A:$A,Partner_Voice!F:F,"",0))))</f>
        <v>0.3333333333</v>
      </c>
      <c r="G69" s="42">
        <f t="array" ref="G69">IF(XLOOKUP($A69,Partner_Voice!$A:$A,Partner_Voice!G:G,"",0)="Free","Free",IF(XLOOKUP($A69,Partner_Voice!$A:$A,Partner_Voice!G:G,"",0)="VL","VL",IF(XLOOKUP($A69,Partner_Voice!$A:$A,Partner_Voice!G:G,"",0)="ATT","ATT",XLOOKUP($A69,Partner_Voice!$A:$A,Partner_Voice!G:G,"",0))))</f>
        <v>0.3333333333</v>
      </c>
      <c r="H69" s="42">
        <f t="array" ref="H69">IF(XLOOKUP($A69,Partner_Voice!$A:$A,Partner_Voice!H:H,"",0)="Free","Free",IF(XLOOKUP($A69,Partner_Voice!$A:$A,Partner_Voice!H:H,"",0)="VL","VL",IF(XLOOKUP($A69,Partner_Voice!$A:$A,Partner_Voice!H:H,"",0)="ATT","ATT",XLOOKUP($A69,Partner_Voice!$A:$A,Partner_Voice!H:H,"",0))))</f>
        <v>0.3333333333</v>
      </c>
      <c r="I69" s="42" t="str">
        <f t="array" ref="I69">IF(XLOOKUP($A69,Partner_Voice!$A:$A,Partner_Voice!I:I,"",0)="Free","Free",IF(XLOOKUP($A69,Partner_Voice!$A:$A,Partner_Voice!I:I,"",0)="VL","VL",IF(XLOOKUP($A69,Partner_Voice!$A:$A,Partner_Voice!I:I,"",0)="ATT","ATT",XLOOKUP($A69,Partner_Voice!$A:$A,Partner_Voice!I:I,"",0))))</f>
        <v>Free</v>
      </c>
      <c r="J69" s="42">
        <f t="array" ref="J69">IF(XLOOKUP($A69,Partner_Voice!$A:$A,Partner_Voice!J:J,"",0)="Free","Free",IF(XLOOKUP($A69,Partner_Voice!$A:$A,Partner_Voice!J:J,"",0)="VL","VL",IF(XLOOKUP($A69,Partner_Voice!$A:$A,Partner_Voice!J:J,"",0)="ATT","ATT",XLOOKUP($A69,Partner_Voice!$A:$A,Partner_Voice!J:J,"",0))))</f>
        <v>0.3333333333</v>
      </c>
      <c r="K69" s="42"/>
      <c r="L69" s="42">
        <f t="array" ref="L69">IF(XLOOKUP($A69,Partner_Voice!$A:$A,Partner_Voice!L:L,"",0)="Free","Free",IF(XLOOKUP($A69,Partner_Voice!$A:$A,Partner_Voice!L:L,"",0)="VL","VL",IF(XLOOKUP($A69,Partner_Voice!$A:$A,Partner_Voice!L:L,"",0)="ATT","ATT",XLOOKUP($A69,Partner_Voice!$A:$A,Partner_Voice!L:L,"",0))))</f>
        <v>0.3333333333</v>
      </c>
      <c r="M69" s="42">
        <f t="array" ref="M69">IF(XLOOKUP($A69,Partner_Voice!$A:$A,Partner_Voice!M:M,"",0)="Free","Free",IF(XLOOKUP($A69,Partner_Voice!$A:$A,Partner_Voice!M:M,"",0)="VL","VL",IF(XLOOKUP($A69,Partner_Voice!$A:$A,Partner_Voice!M:M,"",0)="ATT","ATT",XLOOKUP($A69,Partner_Voice!$A:$A,Partner_Voice!M:M,"",0))))</f>
        <v>0.3333333333</v>
      </c>
      <c r="N69" s="42">
        <f t="array" ref="N69">IF(XLOOKUP($A69,Partner_Voice!$A:$A,Partner_Voice!N:N,"",0)="Free","Free",IF(XLOOKUP($A69,Partner_Voice!$A:$A,Partner_Voice!N:N,"",0)="VL","VL",IF(XLOOKUP($A69,Partner_Voice!$A:$A,Partner_Voice!N:N,"",0)="ATT","ATT",XLOOKUP($A69,Partner_Voice!$A:$A,Partner_Voice!N:N,"",0))))</f>
        <v>0.3333333333</v>
      </c>
      <c r="O69" s="42">
        <f t="array" ref="O69">IF(XLOOKUP($A69,Partner_Voice!$A:$A,Partner_Voice!O:O,"",0)="Free","Free",IF(XLOOKUP($A69,Partner_Voice!$A:$A,Partner_Voice!O:O,"",0)="VL","VL",IF(XLOOKUP($A69,Partner_Voice!$A:$A,Partner_Voice!O:O,"",0)="ATT","ATT",XLOOKUP($A69,Partner_Voice!$A:$A,Partner_Voice!O:O,"",0))))</f>
        <v>0.3333333333</v>
      </c>
      <c r="P69" s="42" t="str">
        <f t="array" ref="P69">IF(XLOOKUP($A69,Partner_Voice!$A:$A,Partner_Voice!P:P,"",0)="Free","Free",IF(XLOOKUP($A69,Partner_Voice!$A:$A,Partner_Voice!P:P,"",0)="VL","VL",IF(XLOOKUP($A69,Partner_Voice!$A:$A,Partner_Voice!P:P,"",0)="ATT","ATT",XLOOKUP($A69,Partner_Voice!$A:$A,Partner_Voice!P:P,"",0))))</f>
        <v>Free</v>
      </c>
      <c r="Q69" s="42">
        <f t="array" ref="Q69">IF(XLOOKUP($A69,Partner_Voice!$A:$A,Partner_Voice!Q:Q,"",0)="Free","Free",IF(XLOOKUP($A69,Partner_Voice!$A:$A,Partner_Voice!Q:Q,"",0)="VL","VL",IF(XLOOKUP($A69,Partner_Voice!$A:$A,Partner_Voice!Q:Q,"",0)="ATT","ATT",XLOOKUP($A69,Partner_Voice!$A:$A,Partner_Voice!Q:Q,"",0))))</f>
        <v>0.3333333333</v>
      </c>
      <c r="R69" s="43"/>
      <c r="S69" s="42">
        <f t="array" ref="S69">IF(XLOOKUP($A69,Partner_Voice!$A:$A,Partner_Voice!S:S,"",0)="Free","Free",IF(XLOOKUP($A69,Partner_Voice!$A:$A,Partner_Voice!S:S,"",0)="VL","VL",IF(XLOOKUP($A69,Partner_Voice!$A:$A,Partner_Voice!S:S,"",0)="ATT","ATT",XLOOKUP($A69,Partner_Voice!$A:$A,Partner_Voice!S:S,"",0))))</f>
        <v>0.3333333333</v>
      </c>
      <c r="T69" s="42">
        <f t="array" ref="T69">IF(XLOOKUP($A69,Partner_Voice!$A:$A,Partner_Voice!T:T,"",0)="Free","Free",IF(XLOOKUP($A69,Partner_Voice!$A:$A,Partner_Voice!T:T,"",0)="VL","VL",IF(XLOOKUP($A69,Partner_Voice!$A:$A,Partner_Voice!T:T,"",0)="ATT","ATT",XLOOKUP($A69,Partner_Voice!$A:$A,Partner_Voice!T:T,"",0))))</f>
        <v>0.3333333333</v>
      </c>
      <c r="U69" s="42">
        <f t="array" ref="U69">IF(XLOOKUP($A69,Partner_Voice!$A:$A,Partner_Voice!U:U,"",0)="Free","Free",IF(XLOOKUP($A69,Partner_Voice!$A:$A,Partner_Voice!U:U,"",0)="VL","VL",IF(XLOOKUP($A69,Partner_Voice!$A:$A,Partner_Voice!U:U,"",0)="ATT","ATT",XLOOKUP($A69,Partner_Voice!$A:$A,Partner_Voice!U:U,"",0))))</f>
        <v>0.3333333333</v>
      </c>
      <c r="V69" s="42">
        <f t="array" ref="V69">IF(XLOOKUP($A69,Partner_Voice!$A:$A,Partner_Voice!V:V,"",0)="Free","Free",IF(XLOOKUP($A69,Partner_Voice!$A:$A,Partner_Voice!V:V,"",0)="VL","VL",IF(XLOOKUP($A69,Partner_Voice!$A:$A,Partner_Voice!V:V,"",0)="ATT","ATT",XLOOKUP($A69,Partner_Voice!$A:$A,Partner_Voice!V:V,"",0))))</f>
        <v>0.3333333333</v>
      </c>
      <c r="W69" s="42" t="str">
        <f t="array" ref="W69">IF(XLOOKUP($A69,Partner_Voice!$A:$A,Partner_Voice!W:W,"",0)="Free","Free",IF(XLOOKUP($A69,Partner_Voice!$A:$A,Partner_Voice!W:W,"",0)="VL","VL",IF(XLOOKUP($A69,Partner_Voice!$A:$A,Partner_Voice!W:W,"",0)="ATT","ATT",XLOOKUP($A69,Partner_Voice!$A:$A,Partner_Voice!W:W,"",0))))</f>
        <v>Free</v>
      </c>
      <c r="X69" s="42">
        <f t="array" ref="X69">IF(XLOOKUP($A69,Partner_Voice!$A:$A,Partner_Voice!X:X,"",0)="Free","Free",IF(XLOOKUP($A69,Partner_Voice!$A:$A,Partner_Voice!X:X,"",0)="VL","VL",IF(XLOOKUP($A69,Partner_Voice!$A:$A,Partner_Voice!X:X,"",0)="ATT","ATT",XLOOKUP($A69,Partner_Voice!$A:$A,Partner_Voice!X:X,"",0))))</f>
        <v>0.3333333333</v>
      </c>
      <c r="Y69" s="43"/>
      <c r="Z69" s="42">
        <f t="array" ref="Z69">IF(XLOOKUP($A69,Partner_Voice!$A:$A,Partner_Voice!Z:Z,"",0)="Free","Free",IF(XLOOKUP($A69,Partner_Voice!$A:$A,Partner_Voice!Z:Z,"",0)="VL","VL",IF(XLOOKUP($A69,Partner_Voice!$A:$A,Partner_Voice!Z:Z,"",0)="ATT","ATT",XLOOKUP($A69,Partner_Voice!$A:$A,Partner_Voice!Z:Z,"",0))))</f>
        <v>0.3333333333</v>
      </c>
      <c r="AA69" s="42">
        <f t="array" ref="AA69">IF(XLOOKUP($A69,Partner_Voice!$A:$A,Partner_Voice!AA:AA,"",0)="Free","Free",IF(XLOOKUP($A69,Partner_Voice!$A:$A,Partner_Voice!AA:AA,"",0)="VL","VL",IF(XLOOKUP($A69,Partner_Voice!$A:$A,Partner_Voice!AA:AA,"",0)="ATT","ATT",XLOOKUP($A69,Partner_Voice!$A:$A,Partner_Voice!AA:AA,"",0))))</f>
        <v>0.3333333333</v>
      </c>
      <c r="AB69" s="42">
        <f t="array" ref="AB69">IF(XLOOKUP($A69,Partner_Voice!$A:$A,Partner_Voice!AB:AB,"",0)="Free","Free",IF(XLOOKUP($A69,Partner_Voice!$A:$A,Partner_Voice!AB:AB,"",0)="VL","VL",IF(XLOOKUP($A69,Partner_Voice!$A:$A,Partner_Voice!AB:AB,"",0)="ATT","ATT",XLOOKUP($A69,Partner_Voice!$A:$A,Partner_Voice!AB:AB,"",0))))</f>
        <v>0.3333333333</v>
      </c>
      <c r="AC69" s="42">
        <f t="array" ref="AC69">IF(XLOOKUP($A69,Partner_Voice!$A:$A,Partner_Voice!AC:AC,"",0)="Free","Free",IF(XLOOKUP($A69,Partner_Voice!$A:$A,Partner_Voice!AC:AC,"",0)="VL","VL",IF(XLOOKUP($A69,Partner_Voice!$A:$A,Partner_Voice!AC:AC,"",0)="ATT","ATT",XLOOKUP($A69,Partner_Voice!$A:$A,Partner_Voice!AC:AC,"",0))))</f>
        <v>0.3333333333</v>
      </c>
      <c r="AD69" s="42" t="str">
        <f t="array" ref="AD69">IF(XLOOKUP($A69,Partner_Voice!$A:$A,Partner_Voice!AD:AD,"",0)="Free","Free",IF(XLOOKUP($A69,Partner_Voice!$A:$A,Partner_Voice!AD:AD,"",0)="VL","VL",IF(XLOOKUP($A69,Partner_Voice!$A:$A,Partner_Voice!AD:AD,"",0)="ATT","ATT",XLOOKUP($A69,Partner_Voice!$A:$A,Partner_Voice!AD:AD,"",0))))</f>
        <v>Free</v>
      </c>
      <c r="AE69" s="42">
        <f t="array" ref="AE69">IF(XLOOKUP($A69,Partner_Voice!$A:$A,Partner_Voice!AE:AE,"",0)="Free","Free",IF(XLOOKUP($A69,Partner_Voice!$A:$A,Partner_Voice!AE:AE,"",0)="VL","VL",IF(XLOOKUP($A69,Partner_Voice!$A:$A,Partner_Voice!AE:AE,"",0)="ATT","ATT",XLOOKUP($A69,Partner_Voice!$A:$A,Partner_Voice!AE:AE,"",0))))</f>
        <v>0.3333333333</v>
      </c>
      <c r="AF69" s="69"/>
      <c r="AG69" s="42">
        <f t="array" ref="AG69">IF(XLOOKUP($A69,Partner_Voice!$A:$A,Partner_Voice!AG:AG,"",0)="Free","Free",IF(XLOOKUP($A69,Partner_Voice!$A:$A,Partner_Voice!AG:AG,"",0)="VL","VL",IF(XLOOKUP($A69,Partner_Voice!$A:$A,Partner_Voice!AG:AG,"",0)="ATT","ATT",XLOOKUP($A69,Partner_Voice!$A:$A,Partner_Voice!AG:AG,"",0))))</f>
        <v>0.3333333333</v>
      </c>
      <c r="AH69" s="42">
        <f t="array" ref="AH69">IF(XLOOKUP($A69,Partner_Voice!$A:$A,Partner_Voice!AH:AH,"",0)="Free","Free",IF(XLOOKUP($A69,Partner_Voice!$A:$A,Partner_Voice!AH:AH,"",0)="VL","VL",IF(XLOOKUP($A69,Partner_Voice!$A:$A,Partner_Voice!AH:AH,"",0)="ATT","ATT",XLOOKUP($A69,Partner_Voice!$A:$A,Partner_Voice!AH:AH,"",0))))</f>
        <v>0.3333333333</v>
      </c>
      <c r="AI69" s="42">
        <f t="array" ref="AI69">IF(XLOOKUP($A69,Partner_Voice!$A:$A,Partner_Voice!AI:AI,"",0)="Free","Free",IF(XLOOKUP($A69,Partner_Voice!$A:$A,Partner_Voice!AI:AI,"",0)="VL","VL",IF(XLOOKUP($A69,Partner_Voice!$A:$A,Partner_Voice!AI:AI,"",0)="ATT","ATT",XLOOKUP($A69,Partner_Voice!$A:$A,Partner_Voice!AI:AI,"",0))))</f>
        <v>0.3333333333</v>
      </c>
      <c r="AJ69" s="42">
        <f t="array" ref="AJ69">IF(XLOOKUP($A69,Partner_Voice!$A:$A,Partner_Voice!AJ:AJ,"",0)="Free","Free",IF(XLOOKUP($A69,Partner_Voice!$A:$A,Partner_Voice!AJ:AJ,"",0)="VL","VL",IF(XLOOKUP($A69,Partner_Voice!$A:$A,Partner_Voice!AJ:AJ,"",0)="ATT","ATT",XLOOKUP($A69,Partner_Voice!$A:$A,Partner_Voice!AJ:AJ,"",0))))</f>
        <v>0.3333333333</v>
      </c>
      <c r="AK69" s="42" t="str">
        <f t="array" ref="AK69">IF(XLOOKUP($A69,Partner_Voice!$A:$A,Partner_Voice!AK:AK,"",0)="Free","Free",IF(XLOOKUP($A69,Partner_Voice!$A:$A,Partner_Voice!AK:AK,"",0)="VL","VL",IF(XLOOKUP($A69,Partner_Voice!$A:$A,Partner_Voice!AK:AK,"",0)="ATT","ATT",XLOOKUP($A69,Partner_Voice!$A:$A,Partner_Voice!AK:AK,"",0))))</f>
        <v>Free</v>
      </c>
      <c r="AL69" s="42">
        <f t="array" ref="AL69">IF(XLOOKUP($A69,Partner_Voice!$A:$A,Partner_Voice!AL:AL,"",0)="Free","Free",IF(XLOOKUP($A69,Partner_Voice!$A:$A,Partner_Voice!AL:AL,"",0)="VL","VL",IF(XLOOKUP($A69,Partner_Voice!$A:$A,Partner_Voice!AL:AL,"",0)="ATT","ATT",XLOOKUP($A69,Partner_Voice!$A:$A,Partner_Voice!AL:AL,"",0))))</f>
        <v>0.3333333333</v>
      </c>
      <c r="AM69" s="42"/>
    </row>
    <row r="70">
      <c r="A70" s="47" t="s">
        <v>37</v>
      </c>
      <c r="B70" s="35" t="str">
        <f t="array" ref="B70">XLOOKUP(A70,Roster!F:F,Roster!A:A,"")</f>
        <v>Mateo Henao</v>
      </c>
      <c r="C70" s="35" t="str">
        <f t="array" ref="C70">XLOOKUP(A70,Roster!F:F,Roster!B:B,"")</f>
        <v>Jhonatan Gomez</v>
      </c>
      <c r="D70" s="70"/>
      <c r="E70" s="42">
        <f t="array" ref="E70">IF(XLOOKUP($A70,Partner_Voice!$A:$A,Partner_Voice!E:E,"",0)="Free","Free",IF(XLOOKUP($A70,Partner_Voice!$A:$A,Partner_Voice!E:E,"",0)="VL","VL",IF(XLOOKUP($A70,Partner_Voice!$A:$A,Partner_Voice!E:E,"",0)="ATT","ATT",XLOOKUP($A70,Partner_Voice!$A:$A,Partner_Voice!E:E,"",0))))</f>
        <v>0.3333333333</v>
      </c>
      <c r="F70" s="42">
        <f t="array" ref="F70">IF(XLOOKUP($A70,Partner_Voice!$A:$A,Partner_Voice!F:F,"",0)="Free","Free",IF(XLOOKUP($A70,Partner_Voice!$A:$A,Partner_Voice!F:F,"",0)="VL","VL",IF(XLOOKUP($A70,Partner_Voice!$A:$A,Partner_Voice!F:F,"",0)="ATT","ATT",XLOOKUP($A70,Partner_Voice!$A:$A,Partner_Voice!F:F,"",0))))</f>
        <v>0.3333333333</v>
      </c>
      <c r="G70" s="42">
        <f t="array" ref="G70">IF(XLOOKUP($A70,Partner_Voice!$A:$A,Partner_Voice!G:G,"",0)="Free","Free",IF(XLOOKUP($A70,Partner_Voice!$A:$A,Partner_Voice!G:G,"",0)="VL","VL",IF(XLOOKUP($A70,Partner_Voice!$A:$A,Partner_Voice!G:G,"",0)="ATT","ATT",XLOOKUP($A70,Partner_Voice!$A:$A,Partner_Voice!G:G,"",0))))</f>
        <v>0.3333333333</v>
      </c>
      <c r="H70" s="42" t="str">
        <f t="array" ref="H70">IF(XLOOKUP($A70,Partner_Voice!$A:$A,Partner_Voice!H:H,"",0)="Free","Free",IF(XLOOKUP($A70,Partner_Voice!$A:$A,Partner_Voice!H:H,"",0)="VL","VL",IF(XLOOKUP($A70,Partner_Voice!$A:$A,Partner_Voice!H:H,"",0)="ATT","ATT",XLOOKUP($A70,Partner_Voice!$A:$A,Partner_Voice!H:H,"",0))))</f>
        <v>Free</v>
      </c>
      <c r="I70" s="42">
        <f t="array" ref="I70">IF(XLOOKUP($A70,Partner_Voice!$A:$A,Partner_Voice!I:I,"",0)="Free","Free",IF(XLOOKUP($A70,Partner_Voice!$A:$A,Partner_Voice!I:I,"",0)="VL","VL",IF(XLOOKUP($A70,Partner_Voice!$A:$A,Partner_Voice!I:I,"",0)="ATT","ATT",XLOOKUP($A70,Partner_Voice!$A:$A,Partner_Voice!I:I,"",0))))</f>
        <v>0.3333333333</v>
      </c>
      <c r="J70" s="42">
        <f t="array" ref="J70">IF(XLOOKUP($A70,Partner_Voice!$A:$A,Partner_Voice!J:J,"",0)="Free","Free",IF(XLOOKUP($A70,Partner_Voice!$A:$A,Partner_Voice!J:J,"",0)="VL","VL",IF(XLOOKUP($A70,Partner_Voice!$A:$A,Partner_Voice!J:J,"",0)="ATT","ATT",XLOOKUP($A70,Partner_Voice!$A:$A,Partner_Voice!J:J,"",0))))</f>
        <v>0.3333333333</v>
      </c>
      <c r="K70" s="42"/>
      <c r="L70" s="42">
        <f t="array" ref="L70">IF(XLOOKUP($A70,Partner_Voice!$A:$A,Partner_Voice!L:L,"",0)="Free","Free",IF(XLOOKUP($A70,Partner_Voice!$A:$A,Partner_Voice!L:L,"",0)="VL","VL",IF(XLOOKUP($A70,Partner_Voice!$A:$A,Partner_Voice!L:L,"",0)="ATT","ATT",XLOOKUP($A70,Partner_Voice!$A:$A,Partner_Voice!L:L,"",0))))</f>
        <v>0.3333333333</v>
      </c>
      <c r="M70" s="42">
        <f t="array" ref="M70">IF(XLOOKUP($A70,Partner_Voice!$A:$A,Partner_Voice!M:M,"",0)="Free","Free",IF(XLOOKUP($A70,Partner_Voice!$A:$A,Partner_Voice!M:M,"",0)="VL","VL",IF(XLOOKUP($A70,Partner_Voice!$A:$A,Partner_Voice!M:M,"",0)="ATT","ATT",XLOOKUP($A70,Partner_Voice!$A:$A,Partner_Voice!M:M,"",0))))</f>
        <v>0.3333333333</v>
      </c>
      <c r="N70" s="42">
        <f t="array" ref="N70">IF(XLOOKUP($A70,Partner_Voice!$A:$A,Partner_Voice!N:N,"",0)="Free","Free",IF(XLOOKUP($A70,Partner_Voice!$A:$A,Partner_Voice!N:N,"",0)="VL","VL",IF(XLOOKUP($A70,Partner_Voice!$A:$A,Partner_Voice!N:N,"",0)="ATT","ATT",XLOOKUP($A70,Partner_Voice!$A:$A,Partner_Voice!N:N,"",0))))</f>
        <v>0.3333333333</v>
      </c>
      <c r="O70" s="42" t="str">
        <f t="array" ref="O70">IF(XLOOKUP($A70,Partner_Voice!$A:$A,Partner_Voice!O:O,"",0)="Free","Free",IF(XLOOKUP($A70,Partner_Voice!$A:$A,Partner_Voice!O:O,"",0)="VL","VL",IF(XLOOKUP($A70,Partner_Voice!$A:$A,Partner_Voice!O:O,"",0)="ATT","ATT",XLOOKUP($A70,Partner_Voice!$A:$A,Partner_Voice!O:O,"",0))))</f>
        <v>Free</v>
      </c>
      <c r="P70" s="42">
        <f t="array" ref="P70">IF(XLOOKUP($A70,Partner_Voice!$A:$A,Partner_Voice!P:P,"",0)="Free","Free",IF(XLOOKUP($A70,Partner_Voice!$A:$A,Partner_Voice!P:P,"",0)="VL","VL",IF(XLOOKUP($A70,Partner_Voice!$A:$A,Partner_Voice!P:P,"",0)="ATT","ATT",XLOOKUP($A70,Partner_Voice!$A:$A,Partner_Voice!P:P,"",0))))</f>
        <v>0.3333333333</v>
      </c>
      <c r="Q70" s="42">
        <f t="array" ref="Q70">IF(XLOOKUP($A70,Partner_Voice!$A:$A,Partner_Voice!Q:Q,"",0)="Free","Free",IF(XLOOKUP($A70,Partner_Voice!$A:$A,Partner_Voice!Q:Q,"",0)="VL","VL",IF(XLOOKUP($A70,Partner_Voice!$A:$A,Partner_Voice!Q:Q,"",0)="ATT","ATT",XLOOKUP($A70,Partner_Voice!$A:$A,Partner_Voice!Q:Q,"",0))))</f>
        <v>0.3333333333</v>
      </c>
      <c r="R70" s="43"/>
      <c r="S70" s="42">
        <f t="array" ref="S70">IF(XLOOKUP($A70,Partner_Voice!$A:$A,Partner_Voice!S:S,"",0)="Free","Free",IF(XLOOKUP($A70,Partner_Voice!$A:$A,Partner_Voice!S:S,"",0)="VL","VL",IF(XLOOKUP($A70,Partner_Voice!$A:$A,Partner_Voice!S:S,"",0)="ATT","ATT",XLOOKUP($A70,Partner_Voice!$A:$A,Partner_Voice!S:S,"",0))))</f>
        <v>0.3333333333</v>
      </c>
      <c r="T70" s="42">
        <f t="array" ref="T70">IF(XLOOKUP($A70,Partner_Voice!$A:$A,Partner_Voice!T:T,"",0)="Free","Free",IF(XLOOKUP($A70,Partner_Voice!$A:$A,Partner_Voice!T:T,"",0)="VL","VL",IF(XLOOKUP($A70,Partner_Voice!$A:$A,Partner_Voice!T:T,"",0)="ATT","ATT",XLOOKUP($A70,Partner_Voice!$A:$A,Partner_Voice!T:T,"",0))))</f>
        <v>0.3333333333</v>
      </c>
      <c r="U70" s="42">
        <f t="array" ref="U70">IF(XLOOKUP($A70,Partner_Voice!$A:$A,Partner_Voice!U:U,"",0)="Free","Free",IF(XLOOKUP($A70,Partner_Voice!$A:$A,Partner_Voice!U:U,"",0)="VL","VL",IF(XLOOKUP($A70,Partner_Voice!$A:$A,Partner_Voice!U:U,"",0)="ATT","ATT",XLOOKUP($A70,Partner_Voice!$A:$A,Partner_Voice!U:U,"",0))))</f>
        <v>0.3333333333</v>
      </c>
      <c r="V70" s="42" t="str">
        <f t="array" ref="V70">IF(XLOOKUP($A70,Partner_Voice!$A:$A,Partner_Voice!V:V,"",0)="Free","Free",IF(XLOOKUP($A70,Partner_Voice!$A:$A,Partner_Voice!V:V,"",0)="VL","VL",IF(XLOOKUP($A70,Partner_Voice!$A:$A,Partner_Voice!V:V,"",0)="ATT","ATT",XLOOKUP($A70,Partner_Voice!$A:$A,Partner_Voice!V:V,"",0))))</f>
        <v>Free</v>
      </c>
      <c r="W70" s="42">
        <f t="array" ref="W70">IF(XLOOKUP($A70,Partner_Voice!$A:$A,Partner_Voice!W:W,"",0)="Free","Free",IF(XLOOKUP($A70,Partner_Voice!$A:$A,Partner_Voice!W:W,"",0)="VL","VL",IF(XLOOKUP($A70,Partner_Voice!$A:$A,Partner_Voice!W:W,"",0)="ATT","ATT",XLOOKUP($A70,Partner_Voice!$A:$A,Partner_Voice!W:W,"",0))))</f>
        <v>0.3333333333</v>
      </c>
      <c r="X70" s="42">
        <f t="array" ref="X70">IF(XLOOKUP($A70,Partner_Voice!$A:$A,Partner_Voice!X:X,"",0)="Free","Free",IF(XLOOKUP($A70,Partner_Voice!$A:$A,Partner_Voice!X:X,"",0)="VL","VL",IF(XLOOKUP($A70,Partner_Voice!$A:$A,Partner_Voice!X:X,"",0)="ATT","ATT",XLOOKUP($A70,Partner_Voice!$A:$A,Partner_Voice!X:X,"",0))))</f>
        <v>0.3333333333</v>
      </c>
      <c r="Y70" s="43"/>
      <c r="Z70" s="42">
        <f t="array" ref="Z70">IF(XLOOKUP($A70,Partner_Voice!$A:$A,Partner_Voice!Z:Z,"",0)="Free","Free",IF(XLOOKUP($A70,Partner_Voice!$A:$A,Partner_Voice!Z:Z,"",0)="VL","VL",IF(XLOOKUP($A70,Partner_Voice!$A:$A,Partner_Voice!Z:Z,"",0)="ATT","ATT",XLOOKUP($A70,Partner_Voice!$A:$A,Partner_Voice!Z:Z,"",0))))</f>
        <v>0.3333333333</v>
      </c>
      <c r="AA70" s="42">
        <f t="array" ref="AA70">IF(XLOOKUP($A70,Partner_Voice!$A:$A,Partner_Voice!AA:AA,"",0)="Free","Free",IF(XLOOKUP($A70,Partner_Voice!$A:$A,Partner_Voice!AA:AA,"",0)="VL","VL",IF(XLOOKUP($A70,Partner_Voice!$A:$A,Partner_Voice!AA:AA,"",0)="ATT","ATT",XLOOKUP($A70,Partner_Voice!$A:$A,Partner_Voice!AA:AA,"",0))))</f>
        <v>0.3333333333</v>
      </c>
      <c r="AB70" s="42">
        <f t="array" ref="AB70">IF(XLOOKUP($A70,Partner_Voice!$A:$A,Partner_Voice!AB:AB,"",0)="Free","Free",IF(XLOOKUP($A70,Partner_Voice!$A:$A,Partner_Voice!AB:AB,"",0)="VL","VL",IF(XLOOKUP($A70,Partner_Voice!$A:$A,Partner_Voice!AB:AB,"",0)="ATT","ATT",XLOOKUP($A70,Partner_Voice!$A:$A,Partner_Voice!AB:AB,"",0))))</f>
        <v>0.3333333333</v>
      </c>
      <c r="AC70" s="42" t="str">
        <f t="array" ref="AC70">IF(XLOOKUP($A70,Partner_Voice!$A:$A,Partner_Voice!AC:AC,"",0)="Free","Free",IF(XLOOKUP($A70,Partner_Voice!$A:$A,Partner_Voice!AC:AC,"",0)="VL","VL",IF(XLOOKUP($A70,Partner_Voice!$A:$A,Partner_Voice!AC:AC,"",0)="ATT","ATT",XLOOKUP($A70,Partner_Voice!$A:$A,Partner_Voice!AC:AC,"",0))))</f>
        <v>Free</v>
      </c>
      <c r="AD70" s="42">
        <f t="array" ref="AD70">IF(XLOOKUP($A70,Partner_Voice!$A:$A,Partner_Voice!AD:AD,"",0)="Free","Free",IF(XLOOKUP($A70,Partner_Voice!$A:$A,Partner_Voice!AD:AD,"",0)="VL","VL",IF(XLOOKUP($A70,Partner_Voice!$A:$A,Partner_Voice!AD:AD,"",0)="ATT","ATT",XLOOKUP($A70,Partner_Voice!$A:$A,Partner_Voice!AD:AD,"",0))))</f>
        <v>0.3333333333</v>
      </c>
      <c r="AE70" s="42">
        <f t="array" ref="AE70">IF(XLOOKUP($A70,Partner_Voice!$A:$A,Partner_Voice!AE:AE,"",0)="Free","Free",IF(XLOOKUP($A70,Partner_Voice!$A:$A,Partner_Voice!AE:AE,"",0)="VL","VL",IF(XLOOKUP($A70,Partner_Voice!$A:$A,Partner_Voice!AE:AE,"",0)="ATT","ATT",XLOOKUP($A70,Partner_Voice!$A:$A,Partner_Voice!AE:AE,"",0))))</f>
        <v>0.3333333333</v>
      </c>
      <c r="AF70" s="69"/>
      <c r="AG70" s="42">
        <f t="array" ref="AG70">IF(XLOOKUP($A70,Partner_Voice!$A:$A,Partner_Voice!AG:AG,"",0)="Free","Free",IF(XLOOKUP($A70,Partner_Voice!$A:$A,Partner_Voice!AG:AG,"",0)="VL","VL",IF(XLOOKUP($A70,Partner_Voice!$A:$A,Partner_Voice!AG:AG,"",0)="ATT","ATT",XLOOKUP($A70,Partner_Voice!$A:$A,Partner_Voice!AG:AG,"",0))))</f>
        <v>0.3333333333</v>
      </c>
      <c r="AH70" s="42">
        <f t="array" ref="AH70">IF(XLOOKUP($A70,Partner_Voice!$A:$A,Partner_Voice!AH:AH,"",0)="Free","Free",IF(XLOOKUP($A70,Partner_Voice!$A:$A,Partner_Voice!AH:AH,"",0)="VL","VL",IF(XLOOKUP($A70,Partner_Voice!$A:$A,Partner_Voice!AH:AH,"",0)="ATT","ATT",XLOOKUP($A70,Partner_Voice!$A:$A,Partner_Voice!AH:AH,"",0))))</f>
        <v>0.3333333333</v>
      </c>
      <c r="AI70" s="42">
        <f t="array" ref="AI70">IF(XLOOKUP($A70,Partner_Voice!$A:$A,Partner_Voice!AI:AI,"",0)="Free","Free",IF(XLOOKUP($A70,Partner_Voice!$A:$A,Partner_Voice!AI:AI,"",0)="VL","VL",IF(XLOOKUP($A70,Partner_Voice!$A:$A,Partner_Voice!AI:AI,"",0)="ATT","ATT",XLOOKUP($A70,Partner_Voice!$A:$A,Partner_Voice!AI:AI,"",0))))</f>
        <v>0.3333333333</v>
      </c>
      <c r="AJ70" s="42" t="str">
        <f t="array" ref="AJ70">IF(XLOOKUP($A70,Partner_Voice!$A:$A,Partner_Voice!AJ:AJ,"",0)="Free","Free",IF(XLOOKUP($A70,Partner_Voice!$A:$A,Partner_Voice!AJ:AJ,"",0)="VL","VL",IF(XLOOKUP($A70,Partner_Voice!$A:$A,Partner_Voice!AJ:AJ,"",0)="ATT","ATT",XLOOKUP($A70,Partner_Voice!$A:$A,Partner_Voice!AJ:AJ,"",0))))</f>
        <v>Free</v>
      </c>
      <c r="AK70" s="42">
        <f t="array" ref="AK70">IF(XLOOKUP($A70,Partner_Voice!$A:$A,Partner_Voice!AK:AK,"",0)="Free","Free",IF(XLOOKUP($A70,Partner_Voice!$A:$A,Partner_Voice!AK:AK,"",0)="VL","VL",IF(XLOOKUP($A70,Partner_Voice!$A:$A,Partner_Voice!AK:AK,"",0)="ATT","ATT",XLOOKUP($A70,Partner_Voice!$A:$A,Partner_Voice!AK:AK,"",0))))</f>
        <v>0.3333333333</v>
      </c>
      <c r="AL70" s="42">
        <f t="array" ref="AL70">IF(XLOOKUP($A70,Partner_Voice!$A:$A,Partner_Voice!AL:AL,"",0)="Free","Free",IF(XLOOKUP($A70,Partner_Voice!$A:$A,Partner_Voice!AL:AL,"",0)="VL","VL",IF(XLOOKUP($A70,Partner_Voice!$A:$A,Partner_Voice!AL:AL,"",0)="ATT","ATT",XLOOKUP($A70,Partner_Voice!$A:$A,Partner_Voice!AL:AL,"",0))))</f>
        <v>0.3333333333</v>
      </c>
      <c r="AM70" s="42"/>
    </row>
    <row r="71">
      <c r="A71" s="47" t="s">
        <v>42</v>
      </c>
      <c r="B71" s="35" t="str">
        <f t="array" ref="B71">XLOOKUP(A71,Roster!F:F,Roster!A:A,"")</f>
        <v>Mateo Henao</v>
      </c>
      <c r="C71" s="35" t="str">
        <f t="array" ref="C71">XLOOKUP(A71,Roster!F:F,Roster!B:B,"")</f>
        <v>Jorge Orozco</v>
      </c>
      <c r="D71" s="70"/>
      <c r="E71" s="42">
        <f t="array" ref="E71">IF(XLOOKUP($A71,Partner_Voice!$A:$A,Partner_Voice!E:E,"",0)="Free","Free",IF(XLOOKUP($A71,Partner_Voice!$A:$A,Partner_Voice!E:E,"",0)="VL","VL",IF(XLOOKUP($A71,Partner_Voice!$A:$A,Partner_Voice!E:E,"",0)="ATT","ATT",XLOOKUP($A71,Partner_Voice!$A:$A,Partner_Voice!E:E,"",0))))</f>
        <v>0.3333333333</v>
      </c>
      <c r="F71" s="42">
        <f t="array" ref="F71">IF(XLOOKUP($A71,Partner_Voice!$A:$A,Partner_Voice!F:F,"",0)="Free","Free",IF(XLOOKUP($A71,Partner_Voice!$A:$A,Partner_Voice!F:F,"",0)="VL","VL",IF(XLOOKUP($A71,Partner_Voice!$A:$A,Partner_Voice!F:F,"",0)="ATT","ATT",XLOOKUP($A71,Partner_Voice!$A:$A,Partner_Voice!F:F,"",0))))</f>
        <v>0.3333333333</v>
      </c>
      <c r="G71" s="42">
        <f t="array" ref="G71">IF(XLOOKUP($A71,Partner_Voice!$A:$A,Partner_Voice!G:G,"",0)="Free","Free",IF(XLOOKUP($A71,Partner_Voice!$A:$A,Partner_Voice!G:G,"",0)="VL","VL",IF(XLOOKUP($A71,Partner_Voice!$A:$A,Partner_Voice!G:G,"",0)="ATT","ATT",XLOOKUP($A71,Partner_Voice!$A:$A,Partner_Voice!G:G,"",0))))</f>
        <v>0.3333333333</v>
      </c>
      <c r="H71" s="42" t="str">
        <f t="array" ref="H71">IF(XLOOKUP($A71,Partner_Voice!$A:$A,Partner_Voice!H:H,"",0)="Free","Free",IF(XLOOKUP($A71,Partner_Voice!$A:$A,Partner_Voice!H:H,"",0)="VL","VL",IF(XLOOKUP($A71,Partner_Voice!$A:$A,Partner_Voice!H:H,"",0)="ATT","ATT",XLOOKUP($A71,Partner_Voice!$A:$A,Partner_Voice!H:H,"",0))))</f>
        <v>Free</v>
      </c>
      <c r="I71" s="42">
        <f t="array" ref="I71">IF(XLOOKUP($A71,Partner_Voice!$A:$A,Partner_Voice!I:I,"",0)="Free","Free",IF(XLOOKUP($A71,Partner_Voice!$A:$A,Partner_Voice!I:I,"",0)="VL","VL",IF(XLOOKUP($A71,Partner_Voice!$A:$A,Partner_Voice!I:I,"",0)="ATT","ATT",XLOOKUP($A71,Partner_Voice!$A:$A,Partner_Voice!I:I,"",0))))</f>
        <v>0.3333333333</v>
      </c>
      <c r="J71" s="42">
        <f t="array" ref="J71">IF(XLOOKUP($A71,Partner_Voice!$A:$A,Partner_Voice!J:J,"",0)="Free","Free",IF(XLOOKUP($A71,Partner_Voice!$A:$A,Partner_Voice!J:J,"",0)="VL","VL",IF(XLOOKUP($A71,Partner_Voice!$A:$A,Partner_Voice!J:J,"",0)="ATT","ATT",XLOOKUP($A71,Partner_Voice!$A:$A,Partner_Voice!J:J,"",0))))</f>
        <v>0.3333333333</v>
      </c>
      <c r="K71" s="42"/>
      <c r="L71" s="42">
        <f t="array" ref="L71">IF(XLOOKUP($A71,Partner_Voice!$A:$A,Partner_Voice!L:L,"",0)="Free","Free",IF(XLOOKUP($A71,Partner_Voice!$A:$A,Partner_Voice!L:L,"",0)="VL","VL",IF(XLOOKUP($A71,Partner_Voice!$A:$A,Partner_Voice!L:L,"",0)="ATT","ATT",XLOOKUP($A71,Partner_Voice!$A:$A,Partner_Voice!L:L,"",0))))</f>
        <v>0.3333333333</v>
      </c>
      <c r="M71" s="42">
        <f t="array" ref="M71">IF(XLOOKUP($A71,Partner_Voice!$A:$A,Partner_Voice!M:M,"",0)="Free","Free",IF(XLOOKUP($A71,Partner_Voice!$A:$A,Partner_Voice!M:M,"",0)="VL","VL",IF(XLOOKUP($A71,Partner_Voice!$A:$A,Partner_Voice!M:M,"",0)="ATT","ATT",XLOOKUP($A71,Partner_Voice!$A:$A,Partner_Voice!M:M,"",0))))</f>
        <v>0.3333333333</v>
      </c>
      <c r="N71" s="42">
        <f t="array" ref="N71">IF(XLOOKUP($A71,Partner_Voice!$A:$A,Partner_Voice!N:N,"",0)="Free","Free",IF(XLOOKUP($A71,Partner_Voice!$A:$A,Partner_Voice!N:N,"",0)="VL","VL",IF(XLOOKUP($A71,Partner_Voice!$A:$A,Partner_Voice!N:N,"",0)="ATT","ATT",XLOOKUP($A71,Partner_Voice!$A:$A,Partner_Voice!N:N,"",0))))</f>
        <v>0.3333333333</v>
      </c>
      <c r="O71" s="42" t="str">
        <f t="array" ref="O71">IF(XLOOKUP($A71,Partner_Voice!$A:$A,Partner_Voice!O:O,"",0)="Free","Free",IF(XLOOKUP($A71,Partner_Voice!$A:$A,Partner_Voice!O:O,"",0)="VL","VL",IF(XLOOKUP($A71,Partner_Voice!$A:$A,Partner_Voice!O:O,"",0)="ATT","ATT",XLOOKUP($A71,Partner_Voice!$A:$A,Partner_Voice!O:O,"",0))))</f>
        <v>Free</v>
      </c>
      <c r="P71" s="42">
        <f t="array" ref="P71">IF(XLOOKUP($A71,Partner_Voice!$A:$A,Partner_Voice!P:P,"",0)="Free","Free",IF(XLOOKUP($A71,Partner_Voice!$A:$A,Partner_Voice!P:P,"",0)="VL","VL",IF(XLOOKUP($A71,Partner_Voice!$A:$A,Partner_Voice!P:P,"",0)="ATT","ATT",XLOOKUP($A71,Partner_Voice!$A:$A,Partner_Voice!P:P,"",0))))</f>
        <v>0.3333333333</v>
      </c>
      <c r="Q71" s="42">
        <f t="array" ref="Q71">IF(XLOOKUP($A71,Partner_Voice!$A:$A,Partner_Voice!Q:Q,"",0)="Free","Free",IF(XLOOKUP($A71,Partner_Voice!$A:$A,Partner_Voice!Q:Q,"",0)="VL","VL",IF(XLOOKUP($A71,Partner_Voice!$A:$A,Partner_Voice!Q:Q,"",0)="ATT","ATT",XLOOKUP($A71,Partner_Voice!$A:$A,Partner_Voice!Q:Q,"",0))))</f>
        <v>0.3333333333</v>
      </c>
      <c r="R71" s="43"/>
      <c r="S71" s="42">
        <f t="array" ref="S71">IF(XLOOKUP($A71,Partner_Voice!$A:$A,Partner_Voice!S:S,"",0)="Free","Free",IF(XLOOKUP($A71,Partner_Voice!$A:$A,Partner_Voice!S:S,"",0)="VL","VL",IF(XLOOKUP($A71,Partner_Voice!$A:$A,Partner_Voice!S:S,"",0)="ATT","ATT",XLOOKUP($A71,Partner_Voice!$A:$A,Partner_Voice!S:S,"",0))))</f>
        <v>0.3333333333</v>
      </c>
      <c r="T71" s="42">
        <f t="array" ref="T71">IF(XLOOKUP($A71,Partner_Voice!$A:$A,Partner_Voice!T:T,"",0)="Free","Free",IF(XLOOKUP($A71,Partner_Voice!$A:$A,Partner_Voice!T:T,"",0)="VL","VL",IF(XLOOKUP($A71,Partner_Voice!$A:$A,Partner_Voice!T:T,"",0)="ATT","ATT",XLOOKUP($A71,Partner_Voice!$A:$A,Partner_Voice!T:T,"",0))))</f>
        <v>0.3333333333</v>
      </c>
      <c r="U71" s="42">
        <f t="array" ref="U71">IF(XLOOKUP($A71,Partner_Voice!$A:$A,Partner_Voice!U:U,"",0)="Free","Free",IF(XLOOKUP($A71,Partner_Voice!$A:$A,Partner_Voice!U:U,"",0)="VL","VL",IF(XLOOKUP($A71,Partner_Voice!$A:$A,Partner_Voice!U:U,"",0)="ATT","ATT",XLOOKUP($A71,Partner_Voice!$A:$A,Partner_Voice!U:U,"",0))))</f>
        <v>0.3333333333</v>
      </c>
      <c r="V71" s="42" t="str">
        <f t="array" ref="V71">IF(XLOOKUP($A71,Partner_Voice!$A:$A,Partner_Voice!V:V,"",0)="Free","Free",IF(XLOOKUP($A71,Partner_Voice!$A:$A,Partner_Voice!V:V,"",0)="VL","VL",IF(XLOOKUP($A71,Partner_Voice!$A:$A,Partner_Voice!V:V,"",0)="ATT","ATT",XLOOKUP($A71,Partner_Voice!$A:$A,Partner_Voice!V:V,"",0))))</f>
        <v>Free</v>
      </c>
      <c r="W71" s="42">
        <f t="array" ref="W71">IF(XLOOKUP($A71,Partner_Voice!$A:$A,Partner_Voice!W:W,"",0)="Free","Free",IF(XLOOKUP($A71,Partner_Voice!$A:$A,Partner_Voice!W:W,"",0)="VL","VL",IF(XLOOKUP($A71,Partner_Voice!$A:$A,Partner_Voice!W:W,"",0)="ATT","ATT",XLOOKUP($A71,Partner_Voice!$A:$A,Partner_Voice!W:W,"",0))))</f>
        <v>0.3333333333</v>
      </c>
      <c r="X71" s="42">
        <f t="array" ref="X71">IF(XLOOKUP($A71,Partner_Voice!$A:$A,Partner_Voice!X:X,"",0)="Free","Free",IF(XLOOKUP($A71,Partner_Voice!$A:$A,Partner_Voice!X:X,"",0)="VL","VL",IF(XLOOKUP($A71,Partner_Voice!$A:$A,Partner_Voice!X:X,"",0)="ATT","ATT",XLOOKUP($A71,Partner_Voice!$A:$A,Partner_Voice!X:X,"",0))))</f>
        <v>0.3333333333</v>
      </c>
      <c r="Y71" s="43"/>
      <c r="Z71" s="42">
        <f t="array" ref="Z71">IF(XLOOKUP($A71,Partner_Voice!$A:$A,Partner_Voice!Z:Z,"",0)="Free","Free",IF(XLOOKUP($A71,Partner_Voice!$A:$A,Partner_Voice!Z:Z,"",0)="VL","VL",IF(XLOOKUP($A71,Partner_Voice!$A:$A,Partner_Voice!Z:Z,"",0)="ATT","ATT",XLOOKUP($A71,Partner_Voice!$A:$A,Partner_Voice!Z:Z,"",0))))</f>
        <v>0.3333333333</v>
      </c>
      <c r="AA71" s="42">
        <f t="array" ref="AA71">IF(XLOOKUP($A71,Partner_Voice!$A:$A,Partner_Voice!AA:AA,"",0)="Free","Free",IF(XLOOKUP($A71,Partner_Voice!$A:$A,Partner_Voice!AA:AA,"",0)="VL","VL",IF(XLOOKUP($A71,Partner_Voice!$A:$A,Partner_Voice!AA:AA,"",0)="ATT","ATT",XLOOKUP($A71,Partner_Voice!$A:$A,Partner_Voice!AA:AA,"",0))))</f>
        <v>0.3333333333</v>
      </c>
      <c r="AB71" s="42">
        <f t="array" ref="AB71">IF(XLOOKUP($A71,Partner_Voice!$A:$A,Partner_Voice!AB:AB,"",0)="Free","Free",IF(XLOOKUP($A71,Partner_Voice!$A:$A,Partner_Voice!AB:AB,"",0)="VL","VL",IF(XLOOKUP($A71,Partner_Voice!$A:$A,Partner_Voice!AB:AB,"",0)="ATT","ATT",XLOOKUP($A71,Partner_Voice!$A:$A,Partner_Voice!AB:AB,"",0))))</f>
        <v>0.3333333333</v>
      </c>
      <c r="AC71" s="42" t="str">
        <f t="array" ref="AC71">IF(XLOOKUP($A71,Partner_Voice!$A:$A,Partner_Voice!AC:AC,"",0)="Free","Free",IF(XLOOKUP($A71,Partner_Voice!$A:$A,Partner_Voice!AC:AC,"",0)="VL","VL",IF(XLOOKUP($A71,Partner_Voice!$A:$A,Partner_Voice!AC:AC,"",0)="ATT","ATT",XLOOKUP($A71,Partner_Voice!$A:$A,Partner_Voice!AC:AC,"",0))))</f>
        <v>Free</v>
      </c>
      <c r="AD71" s="42">
        <f t="array" ref="AD71">IF(XLOOKUP($A71,Partner_Voice!$A:$A,Partner_Voice!AD:AD,"",0)="Free","Free",IF(XLOOKUP($A71,Partner_Voice!$A:$A,Partner_Voice!AD:AD,"",0)="VL","VL",IF(XLOOKUP($A71,Partner_Voice!$A:$A,Partner_Voice!AD:AD,"",0)="ATT","ATT",XLOOKUP($A71,Partner_Voice!$A:$A,Partner_Voice!AD:AD,"",0))))</f>
        <v>0.3333333333</v>
      </c>
      <c r="AE71" s="42">
        <f t="array" ref="AE71">IF(XLOOKUP($A71,Partner_Voice!$A:$A,Partner_Voice!AE:AE,"",0)="Free","Free",IF(XLOOKUP($A71,Partner_Voice!$A:$A,Partner_Voice!AE:AE,"",0)="VL","VL",IF(XLOOKUP($A71,Partner_Voice!$A:$A,Partner_Voice!AE:AE,"",0)="ATT","ATT",XLOOKUP($A71,Partner_Voice!$A:$A,Partner_Voice!AE:AE,"",0))))</f>
        <v>0.3333333333</v>
      </c>
      <c r="AF71" s="69"/>
      <c r="AG71" s="42">
        <f t="array" ref="AG71">IF(XLOOKUP($A71,Partner_Voice!$A:$A,Partner_Voice!AG:AG,"",0)="Free","Free",IF(XLOOKUP($A71,Partner_Voice!$A:$A,Partner_Voice!AG:AG,"",0)="VL","VL",IF(XLOOKUP($A71,Partner_Voice!$A:$A,Partner_Voice!AG:AG,"",0)="ATT","ATT",XLOOKUP($A71,Partner_Voice!$A:$A,Partner_Voice!AG:AG,"",0))))</f>
        <v>0.3333333333</v>
      </c>
      <c r="AH71" s="42">
        <f t="array" ref="AH71">IF(XLOOKUP($A71,Partner_Voice!$A:$A,Partner_Voice!AH:AH,"",0)="Free","Free",IF(XLOOKUP($A71,Partner_Voice!$A:$A,Partner_Voice!AH:AH,"",0)="VL","VL",IF(XLOOKUP($A71,Partner_Voice!$A:$A,Partner_Voice!AH:AH,"",0)="ATT","ATT",XLOOKUP($A71,Partner_Voice!$A:$A,Partner_Voice!AH:AH,"",0))))</f>
        <v>0.3333333333</v>
      </c>
      <c r="AI71" s="42">
        <f t="array" ref="AI71">IF(XLOOKUP($A71,Partner_Voice!$A:$A,Partner_Voice!AI:AI,"",0)="Free","Free",IF(XLOOKUP($A71,Partner_Voice!$A:$A,Partner_Voice!AI:AI,"",0)="VL","VL",IF(XLOOKUP($A71,Partner_Voice!$A:$A,Partner_Voice!AI:AI,"",0)="ATT","ATT",XLOOKUP($A71,Partner_Voice!$A:$A,Partner_Voice!AI:AI,"",0))))</f>
        <v>0.3333333333</v>
      </c>
      <c r="AJ71" s="42" t="str">
        <f t="array" ref="AJ71">IF(XLOOKUP($A71,Partner_Voice!$A:$A,Partner_Voice!AJ:AJ,"",0)="Free","Free",IF(XLOOKUP($A71,Partner_Voice!$A:$A,Partner_Voice!AJ:AJ,"",0)="VL","VL",IF(XLOOKUP($A71,Partner_Voice!$A:$A,Partner_Voice!AJ:AJ,"",0)="ATT","ATT",XLOOKUP($A71,Partner_Voice!$A:$A,Partner_Voice!AJ:AJ,"",0))))</f>
        <v>Free</v>
      </c>
      <c r="AK71" s="42">
        <f t="array" ref="AK71">IF(XLOOKUP($A71,Partner_Voice!$A:$A,Partner_Voice!AK:AK,"",0)="Free","Free",IF(XLOOKUP($A71,Partner_Voice!$A:$A,Partner_Voice!AK:AK,"",0)="VL","VL",IF(XLOOKUP($A71,Partner_Voice!$A:$A,Partner_Voice!AK:AK,"",0)="ATT","ATT",XLOOKUP($A71,Partner_Voice!$A:$A,Partner_Voice!AK:AK,"",0))))</f>
        <v>0.3333333333</v>
      </c>
      <c r="AL71" s="42">
        <f t="array" ref="AL71">IF(XLOOKUP($A71,Partner_Voice!$A:$A,Partner_Voice!AL:AL,"",0)="Free","Free",IF(XLOOKUP($A71,Partner_Voice!$A:$A,Partner_Voice!AL:AL,"",0)="VL","VL",IF(XLOOKUP($A71,Partner_Voice!$A:$A,Partner_Voice!AL:AL,"",0)="ATT","ATT",XLOOKUP($A71,Partner_Voice!$A:$A,Partner_Voice!AL:AL,"",0))))</f>
        <v>0.3333333333</v>
      </c>
      <c r="AM71" s="42"/>
    </row>
    <row r="72">
      <c r="A72" s="47" t="s">
        <v>45</v>
      </c>
      <c r="B72" s="35" t="str">
        <f t="array" ref="B72">XLOOKUP(A72,Roster!F:F,Roster!A:A,"")</f>
        <v>Mateo Henao</v>
      </c>
      <c r="C72" s="35" t="str">
        <f t="array" ref="C72">XLOOKUP(A72,Roster!F:F,Roster!B:B,"")</f>
        <v>Juan Largacha</v>
      </c>
      <c r="D72" s="70"/>
      <c r="E72" s="42">
        <f t="array" ref="E72">IF(XLOOKUP($A72,Partner_Voice!$A:$A,Partner_Voice!E:E,"",0)="Free","Free",IF(XLOOKUP($A72,Partner_Voice!$A:$A,Partner_Voice!E:E,"",0)="VL","VL",IF(XLOOKUP($A72,Partner_Voice!$A:$A,Partner_Voice!E:E,"",0)="ATT","ATT",XLOOKUP($A72,Partner_Voice!$A:$A,Partner_Voice!E:E,"",0))))</f>
        <v>0.3333333333</v>
      </c>
      <c r="F72" s="42">
        <f t="array" ref="F72">IF(XLOOKUP($A72,Partner_Voice!$A:$A,Partner_Voice!F:F,"",0)="Free","Free",IF(XLOOKUP($A72,Partner_Voice!$A:$A,Partner_Voice!F:F,"",0)="VL","VL",IF(XLOOKUP($A72,Partner_Voice!$A:$A,Partner_Voice!F:F,"",0)="ATT","ATT",XLOOKUP($A72,Partner_Voice!$A:$A,Partner_Voice!F:F,"",0))))</f>
        <v>0.3333333333</v>
      </c>
      <c r="G72" s="42">
        <f t="array" ref="G72">IF(XLOOKUP($A72,Partner_Voice!$A:$A,Partner_Voice!G:G,"",0)="Free","Free",IF(XLOOKUP($A72,Partner_Voice!$A:$A,Partner_Voice!G:G,"",0)="VL","VL",IF(XLOOKUP($A72,Partner_Voice!$A:$A,Partner_Voice!G:G,"",0)="ATT","ATT",XLOOKUP($A72,Partner_Voice!$A:$A,Partner_Voice!G:G,"",0))))</f>
        <v>0.3333333333</v>
      </c>
      <c r="H72" s="42">
        <f t="array" ref="H72">IF(XLOOKUP($A72,Partner_Voice!$A:$A,Partner_Voice!H:H,"",0)="Free","Free",IF(XLOOKUP($A72,Partner_Voice!$A:$A,Partner_Voice!H:H,"",0)="VL","VL",IF(XLOOKUP($A72,Partner_Voice!$A:$A,Partner_Voice!H:H,"",0)="ATT","ATT",XLOOKUP($A72,Partner_Voice!$A:$A,Partner_Voice!H:H,"",0))))</f>
        <v>0.3333333333</v>
      </c>
      <c r="I72" s="42">
        <f t="array" ref="I72">IF(XLOOKUP($A72,Partner_Voice!$A:$A,Partner_Voice!I:I,"",0)="Free","Free",IF(XLOOKUP($A72,Partner_Voice!$A:$A,Partner_Voice!I:I,"",0)="VL","VL",IF(XLOOKUP($A72,Partner_Voice!$A:$A,Partner_Voice!I:I,"",0)="ATT","ATT",XLOOKUP($A72,Partner_Voice!$A:$A,Partner_Voice!I:I,"",0))))</f>
        <v>0.3333333333</v>
      </c>
      <c r="J72" s="42" t="str">
        <f t="array" ref="J72">IF(XLOOKUP($A72,Partner_Voice!$A:$A,Partner_Voice!J:J,"",0)="Free","Free",IF(XLOOKUP($A72,Partner_Voice!$A:$A,Partner_Voice!J:J,"",0)="VL","VL",IF(XLOOKUP($A72,Partner_Voice!$A:$A,Partner_Voice!J:J,"",0)="ATT","ATT",XLOOKUP($A72,Partner_Voice!$A:$A,Partner_Voice!J:J,"",0))))</f>
        <v>Free</v>
      </c>
      <c r="K72" s="42"/>
      <c r="L72" s="42">
        <f t="array" ref="L72">IF(XLOOKUP($A72,Partner_Voice!$A:$A,Partner_Voice!L:L,"",0)="Free","Free",IF(XLOOKUP($A72,Partner_Voice!$A:$A,Partner_Voice!L:L,"",0)="VL","VL",IF(XLOOKUP($A72,Partner_Voice!$A:$A,Partner_Voice!L:L,"",0)="ATT","ATT",XLOOKUP($A72,Partner_Voice!$A:$A,Partner_Voice!L:L,"",0))))</f>
        <v>0.3333333333</v>
      </c>
      <c r="M72" s="42">
        <f t="array" ref="M72">IF(XLOOKUP($A72,Partner_Voice!$A:$A,Partner_Voice!M:M,"",0)="Free","Free",IF(XLOOKUP($A72,Partner_Voice!$A:$A,Partner_Voice!M:M,"",0)="VL","VL",IF(XLOOKUP($A72,Partner_Voice!$A:$A,Partner_Voice!M:M,"",0)="ATT","ATT",XLOOKUP($A72,Partner_Voice!$A:$A,Partner_Voice!M:M,"",0))))</f>
        <v>0.3333333333</v>
      </c>
      <c r="N72" s="42">
        <f t="array" ref="N72">IF(XLOOKUP($A72,Partner_Voice!$A:$A,Partner_Voice!N:N,"",0)="Free","Free",IF(XLOOKUP($A72,Partner_Voice!$A:$A,Partner_Voice!N:N,"",0)="VL","VL",IF(XLOOKUP($A72,Partner_Voice!$A:$A,Partner_Voice!N:N,"",0)="ATT","ATT",XLOOKUP($A72,Partner_Voice!$A:$A,Partner_Voice!N:N,"",0))))</f>
        <v>0.3333333333</v>
      </c>
      <c r="O72" s="42">
        <f t="array" ref="O72">IF(XLOOKUP($A72,Partner_Voice!$A:$A,Partner_Voice!O:O,"",0)="Free","Free",IF(XLOOKUP($A72,Partner_Voice!$A:$A,Partner_Voice!O:O,"",0)="VL","VL",IF(XLOOKUP($A72,Partner_Voice!$A:$A,Partner_Voice!O:O,"",0)="ATT","ATT",XLOOKUP($A72,Partner_Voice!$A:$A,Partner_Voice!O:O,"",0))))</f>
        <v>0.3333333333</v>
      </c>
      <c r="P72" s="42">
        <f t="array" ref="P72">IF(XLOOKUP($A72,Partner_Voice!$A:$A,Partner_Voice!P:P,"",0)="Free","Free",IF(XLOOKUP($A72,Partner_Voice!$A:$A,Partner_Voice!P:P,"",0)="VL","VL",IF(XLOOKUP($A72,Partner_Voice!$A:$A,Partner_Voice!P:P,"",0)="ATT","ATT",XLOOKUP($A72,Partner_Voice!$A:$A,Partner_Voice!P:P,"",0))))</f>
        <v>0.3333333333</v>
      </c>
      <c r="Q72" s="42" t="str">
        <f t="array" ref="Q72">IF(XLOOKUP($A72,Partner_Voice!$A:$A,Partner_Voice!Q:Q,"",0)="Free","Free",IF(XLOOKUP($A72,Partner_Voice!$A:$A,Partner_Voice!Q:Q,"",0)="VL","VL",IF(XLOOKUP($A72,Partner_Voice!$A:$A,Partner_Voice!Q:Q,"",0)="ATT","ATT",XLOOKUP($A72,Partner_Voice!$A:$A,Partner_Voice!Q:Q,"",0))))</f>
        <v>Free</v>
      </c>
      <c r="R72" s="43"/>
      <c r="S72" s="42">
        <f t="array" ref="S72">IF(XLOOKUP($A72,Partner_Voice!$A:$A,Partner_Voice!S:S,"",0)="Free","Free",IF(XLOOKUP($A72,Partner_Voice!$A:$A,Partner_Voice!S:S,"",0)="VL","VL",IF(XLOOKUP($A72,Partner_Voice!$A:$A,Partner_Voice!S:S,"",0)="ATT","ATT",XLOOKUP($A72,Partner_Voice!$A:$A,Partner_Voice!S:S,"",0))))</f>
        <v>0.3333333333</v>
      </c>
      <c r="T72" s="42">
        <f t="array" ref="T72">IF(XLOOKUP($A72,Partner_Voice!$A:$A,Partner_Voice!T:T,"",0)="Free","Free",IF(XLOOKUP($A72,Partner_Voice!$A:$A,Partner_Voice!T:T,"",0)="VL","VL",IF(XLOOKUP($A72,Partner_Voice!$A:$A,Partner_Voice!T:T,"",0)="ATT","ATT",XLOOKUP($A72,Partner_Voice!$A:$A,Partner_Voice!T:T,"",0))))</f>
        <v>0.3333333333</v>
      </c>
      <c r="U72" s="42">
        <f t="array" ref="U72">IF(XLOOKUP($A72,Partner_Voice!$A:$A,Partner_Voice!U:U,"",0)="Free","Free",IF(XLOOKUP($A72,Partner_Voice!$A:$A,Partner_Voice!U:U,"",0)="VL","VL",IF(XLOOKUP($A72,Partner_Voice!$A:$A,Partner_Voice!U:U,"",0)="ATT","ATT",XLOOKUP($A72,Partner_Voice!$A:$A,Partner_Voice!U:U,"",0))))</f>
        <v>0.3333333333</v>
      </c>
      <c r="V72" s="42">
        <f t="array" ref="V72">IF(XLOOKUP($A72,Partner_Voice!$A:$A,Partner_Voice!V:V,"",0)="Free","Free",IF(XLOOKUP($A72,Partner_Voice!$A:$A,Partner_Voice!V:V,"",0)="VL","VL",IF(XLOOKUP($A72,Partner_Voice!$A:$A,Partner_Voice!V:V,"",0)="ATT","ATT",XLOOKUP($A72,Partner_Voice!$A:$A,Partner_Voice!V:V,"",0))))</f>
        <v>0.3333333333</v>
      </c>
      <c r="W72" s="42">
        <f t="array" ref="W72">IF(XLOOKUP($A72,Partner_Voice!$A:$A,Partner_Voice!W:W,"",0)="Free","Free",IF(XLOOKUP($A72,Partner_Voice!$A:$A,Partner_Voice!W:W,"",0)="VL","VL",IF(XLOOKUP($A72,Partner_Voice!$A:$A,Partner_Voice!W:W,"",0)="ATT","ATT",XLOOKUP($A72,Partner_Voice!$A:$A,Partner_Voice!W:W,"",0))))</f>
        <v>0.3333333333</v>
      </c>
      <c r="X72" s="42" t="str">
        <f t="array" ref="X72">IF(XLOOKUP($A72,Partner_Voice!$A:$A,Partner_Voice!X:X,"",0)="Free","Free",IF(XLOOKUP($A72,Partner_Voice!$A:$A,Partner_Voice!X:X,"",0)="VL","VL",IF(XLOOKUP($A72,Partner_Voice!$A:$A,Partner_Voice!X:X,"",0)="ATT","ATT",XLOOKUP($A72,Partner_Voice!$A:$A,Partner_Voice!X:X,"",0))))</f>
        <v>Free</v>
      </c>
      <c r="Y72" s="43"/>
      <c r="Z72" s="42">
        <f t="array" ref="Z72">IF(XLOOKUP($A72,Partner_Voice!$A:$A,Partner_Voice!Z:Z,"",0)="Free","Free",IF(XLOOKUP($A72,Partner_Voice!$A:$A,Partner_Voice!Z:Z,"",0)="VL","VL",IF(XLOOKUP($A72,Partner_Voice!$A:$A,Partner_Voice!Z:Z,"",0)="ATT","ATT",XLOOKUP($A72,Partner_Voice!$A:$A,Partner_Voice!Z:Z,"",0))))</f>
        <v>0.3333333333</v>
      </c>
      <c r="AA72" s="42">
        <f t="array" ref="AA72">IF(XLOOKUP($A72,Partner_Voice!$A:$A,Partner_Voice!AA:AA,"",0)="Free","Free",IF(XLOOKUP($A72,Partner_Voice!$A:$A,Partner_Voice!AA:AA,"",0)="VL","VL",IF(XLOOKUP($A72,Partner_Voice!$A:$A,Partner_Voice!AA:AA,"",0)="ATT","ATT",XLOOKUP($A72,Partner_Voice!$A:$A,Partner_Voice!AA:AA,"",0))))</f>
        <v>0.3333333333</v>
      </c>
      <c r="AB72" s="42">
        <f t="array" ref="AB72">IF(XLOOKUP($A72,Partner_Voice!$A:$A,Partner_Voice!AB:AB,"",0)="Free","Free",IF(XLOOKUP($A72,Partner_Voice!$A:$A,Partner_Voice!AB:AB,"",0)="VL","VL",IF(XLOOKUP($A72,Partner_Voice!$A:$A,Partner_Voice!AB:AB,"",0)="ATT","ATT",XLOOKUP($A72,Partner_Voice!$A:$A,Partner_Voice!AB:AB,"",0))))</f>
        <v>0.3333333333</v>
      </c>
      <c r="AC72" s="42">
        <f t="array" ref="AC72">IF(XLOOKUP($A72,Partner_Voice!$A:$A,Partner_Voice!AC:AC,"",0)="Free","Free",IF(XLOOKUP($A72,Partner_Voice!$A:$A,Partner_Voice!AC:AC,"",0)="VL","VL",IF(XLOOKUP($A72,Partner_Voice!$A:$A,Partner_Voice!AC:AC,"",0)="ATT","ATT",XLOOKUP($A72,Partner_Voice!$A:$A,Partner_Voice!AC:AC,"",0))))</f>
        <v>0.3333333333</v>
      </c>
      <c r="AD72" s="42">
        <f t="array" ref="AD72">IF(XLOOKUP($A72,Partner_Voice!$A:$A,Partner_Voice!AD:AD,"",0)="Free","Free",IF(XLOOKUP($A72,Partner_Voice!$A:$A,Partner_Voice!AD:AD,"",0)="VL","VL",IF(XLOOKUP($A72,Partner_Voice!$A:$A,Partner_Voice!AD:AD,"",0)="ATT","ATT",XLOOKUP($A72,Partner_Voice!$A:$A,Partner_Voice!AD:AD,"",0))))</f>
        <v>0.3333333333</v>
      </c>
      <c r="AE72" s="42" t="str">
        <f t="array" ref="AE72">IF(XLOOKUP($A72,Partner_Voice!$A:$A,Partner_Voice!AE:AE,"",0)="Free","Free",IF(XLOOKUP($A72,Partner_Voice!$A:$A,Partner_Voice!AE:AE,"",0)="VL","VL",IF(XLOOKUP($A72,Partner_Voice!$A:$A,Partner_Voice!AE:AE,"",0)="ATT","ATT",XLOOKUP($A72,Partner_Voice!$A:$A,Partner_Voice!AE:AE,"",0))))</f>
        <v>Free</v>
      </c>
      <c r="AF72" s="69"/>
      <c r="AG72" s="42">
        <f t="array" ref="AG72">IF(XLOOKUP($A72,Partner_Voice!$A:$A,Partner_Voice!AG:AG,"",0)="Free","Free",IF(XLOOKUP($A72,Partner_Voice!$A:$A,Partner_Voice!AG:AG,"",0)="VL","VL",IF(XLOOKUP($A72,Partner_Voice!$A:$A,Partner_Voice!AG:AG,"",0)="ATT","ATT",XLOOKUP($A72,Partner_Voice!$A:$A,Partner_Voice!AG:AG,"",0))))</f>
        <v>0.3333333333</v>
      </c>
      <c r="AH72" s="42">
        <f t="array" ref="AH72">IF(XLOOKUP($A72,Partner_Voice!$A:$A,Partner_Voice!AH:AH,"",0)="Free","Free",IF(XLOOKUP($A72,Partner_Voice!$A:$A,Partner_Voice!AH:AH,"",0)="VL","VL",IF(XLOOKUP($A72,Partner_Voice!$A:$A,Partner_Voice!AH:AH,"",0)="ATT","ATT",XLOOKUP($A72,Partner_Voice!$A:$A,Partner_Voice!AH:AH,"",0))))</f>
        <v>0.3333333333</v>
      </c>
      <c r="AI72" s="42">
        <f t="array" ref="AI72">IF(XLOOKUP($A72,Partner_Voice!$A:$A,Partner_Voice!AI:AI,"",0)="Free","Free",IF(XLOOKUP($A72,Partner_Voice!$A:$A,Partner_Voice!AI:AI,"",0)="VL","VL",IF(XLOOKUP($A72,Partner_Voice!$A:$A,Partner_Voice!AI:AI,"",0)="ATT","ATT",XLOOKUP($A72,Partner_Voice!$A:$A,Partner_Voice!AI:AI,"",0))))</f>
        <v>0.3333333333</v>
      </c>
      <c r="AJ72" s="42">
        <f t="array" ref="AJ72">IF(XLOOKUP($A72,Partner_Voice!$A:$A,Partner_Voice!AJ:AJ,"",0)="Free","Free",IF(XLOOKUP($A72,Partner_Voice!$A:$A,Partner_Voice!AJ:AJ,"",0)="VL","VL",IF(XLOOKUP($A72,Partner_Voice!$A:$A,Partner_Voice!AJ:AJ,"",0)="ATT","ATT",XLOOKUP($A72,Partner_Voice!$A:$A,Partner_Voice!AJ:AJ,"",0))))</f>
        <v>0.3333333333</v>
      </c>
      <c r="AK72" s="42">
        <f t="array" ref="AK72">IF(XLOOKUP($A72,Partner_Voice!$A:$A,Partner_Voice!AK:AK,"",0)="Free","Free",IF(XLOOKUP($A72,Partner_Voice!$A:$A,Partner_Voice!AK:AK,"",0)="VL","VL",IF(XLOOKUP($A72,Partner_Voice!$A:$A,Partner_Voice!AK:AK,"",0)="ATT","ATT",XLOOKUP($A72,Partner_Voice!$A:$A,Partner_Voice!AK:AK,"",0))))</f>
        <v>0.3333333333</v>
      </c>
      <c r="AL72" s="42" t="str">
        <f t="array" ref="AL72">IF(XLOOKUP($A72,Partner_Voice!$A:$A,Partner_Voice!AL:AL,"",0)="Free","Free",IF(XLOOKUP($A72,Partner_Voice!$A:$A,Partner_Voice!AL:AL,"",0)="VL","VL",IF(XLOOKUP($A72,Partner_Voice!$A:$A,Partner_Voice!AL:AL,"",0)="ATT","ATT",XLOOKUP($A72,Partner_Voice!$A:$A,Partner_Voice!AL:AL,"",0))))</f>
        <v>Free</v>
      </c>
      <c r="AM72" s="42"/>
    </row>
    <row r="73">
      <c r="A73" s="47" t="s">
        <v>47</v>
      </c>
      <c r="B73" s="35" t="str">
        <f t="array" ref="B73">XLOOKUP(A73,Roster!F:F,Roster!A:A,"")</f>
        <v>Mateo Henao</v>
      </c>
      <c r="C73" s="35" t="str">
        <f t="array" ref="C73">XLOOKUP(A73,Roster!F:F,Roster!B:B,"")</f>
        <v>Juan Parra</v>
      </c>
      <c r="D73" s="70"/>
      <c r="E73" s="42">
        <f t="array" ref="E73">IF(XLOOKUP($A73,Partner_Voice!$A:$A,Partner_Voice!E:E,"",0)="Free","Free",IF(XLOOKUP($A73,Partner_Voice!$A:$A,Partner_Voice!E:E,"",0)="VL","VL",IF(XLOOKUP($A73,Partner_Voice!$A:$A,Partner_Voice!E:E,"",0)="ATT","ATT",XLOOKUP($A73,Partner_Voice!$A:$A,Partner_Voice!E:E,"",0))))</f>
        <v>0.3333333333</v>
      </c>
      <c r="F73" s="42">
        <f t="array" ref="F73">IF(XLOOKUP($A73,Partner_Voice!$A:$A,Partner_Voice!F:F,"",0)="Free","Free",IF(XLOOKUP($A73,Partner_Voice!$A:$A,Partner_Voice!F:F,"",0)="VL","VL",IF(XLOOKUP($A73,Partner_Voice!$A:$A,Partner_Voice!F:F,"",0)="ATT","ATT",XLOOKUP($A73,Partner_Voice!$A:$A,Partner_Voice!F:F,"",0))))</f>
        <v>0.3333333333</v>
      </c>
      <c r="G73" s="42">
        <f t="array" ref="G73">IF(XLOOKUP($A73,Partner_Voice!$A:$A,Partner_Voice!G:G,"",0)="Free","Free",IF(XLOOKUP($A73,Partner_Voice!$A:$A,Partner_Voice!G:G,"",0)="VL","VL",IF(XLOOKUP($A73,Partner_Voice!$A:$A,Partner_Voice!G:G,"",0)="ATT","ATT",XLOOKUP($A73,Partner_Voice!$A:$A,Partner_Voice!G:G,"",0))))</f>
        <v>0.3333333333</v>
      </c>
      <c r="H73" s="42">
        <f t="array" ref="H73">IF(XLOOKUP($A73,Partner_Voice!$A:$A,Partner_Voice!H:H,"",0)="Free","Free",IF(XLOOKUP($A73,Partner_Voice!$A:$A,Partner_Voice!H:H,"",0)="VL","VL",IF(XLOOKUP($A73,Partner_Voice!$A:$A,Partner_Voice!H:H,"",0)="ATT","ATT",XLOOKUP($A73,Partner_Voice!$A:$A,Partner_Voice!H:H,"",0))))</f>
        <v>0.3333333333</v>
      </c>
      <c r="I73" s="42">
        <f t="array" ref="I73">IF(XLOOKUP($A73,Partner_Voice!$A:$A,Partner_Voice!I:I,"",0)="Free","Free",IF(XLOOKUP($A73,Partner_Voice!$A:$A,Partner_Voice!I:I,"",0)="VL","VL",IF(XLOOKUP($A73,Partner_Voice!$A:$A,Partner_Voice!I:I,"",0)="ATT","ATT",XLOOKUP($A73,Partner_Voice!$A:$A,Partner_Voice!I:I,"",0))))</f>
        <v>0.3333333333</v>
      </c>
      <c r="J73" s="42" t="str">
        <f t="array" ref="J73">IF(XLOOKUP($A73,Partner_Voice!$A:$A,Partner_Voice!J:J,"",0)="Free","Free",IF(XLOOKUP($A73,Partner_Voice!$A:$A,Partner_Voice!J:J,"",0)="VL","VL",IF(XLOOKUP($A73,Partner_Voice!$A:$A,Partner_Voice!J:J,"",0)="ATT","ATT",XLOOKUP($A73,Partner_Voice!$A:$A,Partner_Voice!J:J,"",0))))</f>
        <v>Free</v>
      </c>
      <c r="K73" s="42"/>
      <c r="L73" s="42">
        <f t="array" ref="L73">IF(XLOOKUP($A73,Partner_Voice!$A:$A,Partner_Voice!L:L,"",0)="Free","Free",IF(XLOOKUP($A73,Partner_Voice!$A:$A,Partner_Voice!L:L,"",0)="VL","VL",IF(XLOOKUP($A73,Partner_Voice!$A:$A,Partner_Voice!L:L,"",0)="ATT","ATT",XLOOKUP($A73,Partner_Voice!$A:$A,Partner_Voice!L:L,"",0))))</f>
        <v>0.3333333333</v>
      </c>
      <c r="M73" s="42">
        <f t="array" ref="M73">IF(XLOOKUP($A73,Partner_Voice!$A:$A,Partner_Voice!M:M,"",0)="Free","Free",IF(XLOOKUP($A73,Partner_Voice!$A:$A,Partner_Voice!M:M,"",0)="VL","VL",IF(XLOOKUP($A73,Partner_Voice!$A:$A,Partner_Voice!M:M,"",0)="ATT","ATT",XLOOKUP($A73,Partner_Voice!$A:$A,Partner_Voice!M:M,"",0))))</f>
        <v>0.3333333333</v>
      </c>
      <c r="N73" s="42">
        <f t="array" ref="N73">IF(XLOOKUP($A73,Partner_Voice!$A:$A,Partner_Voice!N:N,"",0)="Free","Free",IF(XLOOKUP($A73,Partner_Voice!$A:$A,Partner_Voice!N:N,"",0)="VL","VL",IF(XLOOKUP($A73,Partner_Voice!$A:$A,Partner_Voice!N:N,"",0)="ATT","ATT",XLOOKUP($A73,Partner_Voice!$A:$A,Partner_Voice!N:N,"",0))))</f>
        <v>0.3333333333</v>
      </c>
      <c r="O73" s="42">
        <f t="array" ref="O73">IF(XLOOKUP($A73,Partner_Voice!$A:$A,Partner_Voice!O:O,"",0)="Free","Free",IF(XLOOKUP($A73,Partner_Voice!$A:$A,Partner_Voice!O:O,"",0)="VL","VL",IF(XLOOKUP($A73,Partner_Voice!$A:$A,Partner_Voice!O:O,"",0)="ATT","ATT",XLOOKUP($A73,Partner_Voice!$A:$A,Partner_Voice!O:O,"",0))))</f>
        <v>0.3333333333</v>
      </c>
      <c r="P73" s="42">
        <f t="array" ref="P73">IF(XLOOKUP($A73,Partner_Voice!$A:$A,Partner_Voice!P:P,"",0)="Free","Free",IF(XLOOKUP($A73,Partner_Voice!$A:$A,Partner_Voice!P:P,"",0)="VL","VL",IF(XLOOKUP($A73,Partner_Voice!$A:$A,Partner_Voice!P:P,"",0)="ATT","ATT",XLOOKUP($A73,Partner_Voice!$A:$A,Partner_Voice!P:P,"",0))))</f>
        <v>0.3333333333</v>
      </c>
      <c r="Q73" s="42" t="str">
        <f t="array" ref="Q73">IF(XLOOKUP($A73,Partner_Voice!$A:$A,Partner_Voice!Q:Q,"",0)="Free","Free",IF(XLOOKUP($A73,Partner_Voice!$A:$A,Partner_Voice!Q:Q,"",0)="VL","VL",IF(XLOOKUP($A73,Partner_Voice!$A:$A,Partner_Voice!Q:Q,"",0)="ATT","ATT",XLOOKUP($A73,Partner_Voice!$A:$A,Partner_Voice!Q:Q,"",0))))</f>
        <v>Free</v>
      </c>
      <c r="R73" s="43"/>
      <c r="S73" s="42">
        <f t="array" ref="S73">IF(XLOOKUP($A73,Partner_Voice!$A:$A,Partner_Voice!S:S,"",0)="Free","Free",IF(XLOOKUP($A73,Partner_Voice!$A:$A,Partner_Voice!S:S,"",0)="VL","VL",IF(XLOOKUP($A73,Partner_Voice!$A:$A,Partner_Voice!S:S,"",0)="ATT","ATT",XLOOKUP($A73,Partner_Voice!$A:$A,Partner_Voice!S:S,"",0))))</f>
        <v>0.3333333333</v>
      </c>
      <c r="T73" s="42">
        <f t="array" ref="T73">IF(XLOOKUP($A73,Partner_Voice!$A:$A,Partner_Voice!T:T,"",0)="Free","Free",IF(XLOOKUP($A73,Partner_Voice!$A:$A,Partner_Voice!T:T,"",0)="VL","VL",IF(XLOOKUP($A73,Partner_Voice!$A:$A,Partner_Voice!T:T,"",0)="ATT","ATT",XLOOKUP($A73,Partner_Voice!$A:$A,Partner_Voice!T:T,"",0))))</f>
        <v>0.3333333333</v>
      </c>
      <c r="U73" s="42">
        <f t="array" ref="U73">IF(XLOOKUP($A73,Partner_Voice!$A:$A,Partner_Voice!U:U,"",0)="Free","Free",IF(XLOOKUP($A73,Partner_Voice!$A:$A,Partner_Voice!U:U,"",0)="VL","VL",IF(XLOOKUP($A73,Partner_Voice!$A:$A,Partner_Voice!U:U,"",0)="ATT","ATT",XLOOKUP($A73,Partner_Voice!$A:$A,Partner_Voice!U:U,"",0))))</f>
        <v>0.3333333333</v>
      </c>
      <c r="V73" s="42">
        <f t="array" ref="V73">IF(XLOOKUP($A73,Partner_Voice!$A:$A,Partner_Voice!V:V,"",0)="Free","Free",IF(XLOOKUP($A73,Partner_Voice!$A:$A,Partner_Voice!V:V,"",0)="VL","VL",IF(XLOOKUP($A73,Partner_Voice!$A:$A,Partner_Voice!V:V,"",0)="ATT","ATT",XLOOKUP($A73,Partner_Voice!$A:$A,Partner_Voice!V:V,"",0))))</f>
        <v>0.3333333333</v>
      </c>
      <c r="W73" s="42">
        <f t="array" ref="W73">IF(XLOOKUP($A73,Partner_Voice!$A:$A,Partner_Voice!W:W,"",0)="Free","Free",IF(XLOOKUP($A73,Partner_Voice!$A:$A,Partner_Voice!W:W,"",0)="VL","VL",IF(XLOOKUP($A73,Partner_Voice!$A:$A,Partner_Voice!W:W,"",0)="ATT","ATT",XLOOKUP($A73,Partner_Voice!$A:$A,Partner_Voice!W:W,"",0))))</f>
        <v>0.3333333333</v>
      </c>
      <c r="X73" s="42" t="str">
        <f t="array" ref="X73">IF(XLOOKUP($A73,Partner_Voice!$A:$A,Partner_Voice!X:X,"",0)="Free","Free",IF(XLOOKUP($A73,Partner_Voice!$A:$A,Partner_Voice!X:X,"",0)="VL","VL",IF(XLOOKUP($A73,Partner_Voice!$A:$A,Partner_Voice!X:X,"",0)="ATT","ATT",XLOOKUP($A73,Partner_Voice!$A:$A,Partner_Voice!X:X,"",0))))</f>
        <v>Free</v>
      </c>
      <c r="Y73" s="43"/>
      <c r="Z73" s="42">
        <f t="array" ref="Z73">IF(XLOOKUP($A73,Partner_Voice!$A:$A,Partner_Voice!Z:Z,"",0)="Free","Free",IF(XLOOKUP($A73,Partner_Voice!$A:$A,Partner_Voice!Z:Z,"",0)="VL","VL",IF(XLOOKUP($A73,Partner_Voice!$A:$A,Partner_Voice!Z:Z,"",0)="ATT","ATT",XLOOKUP($A73,Partner_Voice!$A:$A,Partner_Voice!Z:Z,"",0))))</f>
        <v>0.3333333333</v>
      </c>
      <c r="AA73" s="42">
        <f t="array" ref="AA73">IF(XLOOKUP($A73,Partner_Voice!$A:$A,Partner_Voice!AA:AA,"",0)="Free","Free",IF(XLOOKUP($A73,Partner_Voice!$A:$A,Partner_Voice!AA:AA,"",0)="VL","VL",IF(XLOOKUP($A73,Partner_Voice!$A:$A,Partner_Voice!AA:AA,"",0)="ATT","ATT",XLOOKUP($A73,Partner_Voice!$A:$A,Partner_Voice!AA:AA,"",0))))</f>
        <v>0.3333333333</v>
      </c>
      <c r="AB73" s="42">
        <f t="array" ref="AB73">IF(XLOOKUP($A73,Partner_Voice!$A:$A,Partner_Voice!AB:AB,"",0)="Free","Free",IF(XLOOKUP($A73,Partner_Voice!$A:$A,Partner_Voice!AB:AB,"",0)="VL","VL",IF(XLOOKUP($A73,Partner_Voice!$A:$A,Partner_Voice!AB:AB,"",0)="ATT","ATT",XLOOKUP($A73,Partner_Voice!$A:$A,Partner_Voice!AB:AB,"",0))))</f>
        <v>0.3333333333</v>
      </c>
      <c r="AC73" s="42">
        <f t="array" ref="AC73">IF(XLOOKUP($A73,Partner_Voice!$A:$A,Partner_Voice!AC:AC,"",0)="Free","Free",IF(XLOOKUP($A73,Partner_Voice!$A:$A,Partner_Voice!AC:AC,"",0)="VL","VL",IF(XLOOKUP($A73,Partner_Voice!$A:$A,Partner_Voice!AC:AC,"",0)="ATT","ATT",XLOOKUP($A73,Partner_Voice!$A:$A,Partner_Voice!AC:AC,"",0))))</f>
        <v>0.3333333333</v>
      </c>
      <c r="AD73" s="42">
        <f t="array" ref="AD73">IF(XLOOKUP($A73,Partner_Voice!$A:$A,Partner_Voice!AD:AD,"",0)="Free","Free",IF(XLOOKUP($A73,Partner_Voice!$A:$A,Partner_Voice!AD:AD,"",0)="VL","VL",IF(XLOOKUP($A73,Partner_Voice!$A:$A,Partner_Voice!AD:AD,"",0)="ATT","ATT",XLOOKUP($A73,Partner_Voice!$A:$A,Partner_Voice!AD:AD,"",0))))</f>
        <v>0.3333333333</v>
      </c>
      <c r="AE73" s="42" t="str">
        <f t="array" ref="AE73">IF(XLOOKUP($A73,Partner_Voice!$A:$A,Partner_Voice!AE:AE,"",0)="Free","Free",IF(XLOOKUP($A73,Partner_Voice!$A:$A,Partner_Voice!AE:AE,"",0)="VL","VL",IF(XLOOKUP($A73,Partner_Voice!$A:$A,Partner_Voice!AE:AE,"",0)="ATT","ATT",XLOOKUP($A73,Partner_Voice!$A:$A,Partner_Voice!AE:AE,"",0))))</f>
        <v>Free</v>
      </c>
      <c r="AF73" s="69"/>
      <c r="AG73" s="42">
        <f t="array" ref="AG73">IF(XLOOKUP($A73,Partner_Voice!$A:$A,Partner_Voice!AG:AG,"",0)="Free","Free",IF(XLOOKUP($A73,Partner_Voice!$A:$A,Partner_Voice!AG:AG,"",0)="VL","VL",IF(XLOOKUP($A73,Partner_Voice!$A:$A,Partner_Voice!AG:AG,"",0)="ATT","ATT",XLOOKUP($A73,Partner_Voice!$A:$A,Partner_Voice!AG:AG,"",0))))</f>
        <v>0.3333333333</v>
      </c>
      <c r="AH73" s="42">
        <f t="array" ref="AH73">IF(XLOOKUP($A73,Partner_Voice!$A:$A,Partner_Voice!AH:AH,"",0)="Free","Free",IF(XLOOKUP($A73,Partner_Voice!$A:$A,Partner_Voice!AH:AH,"",0)="VL","VL",IF(XLOOKUP($A73,Partner_Voice!$A:$A,Partner_Voice!AH:AH,"",0)="ATT","ATT",XLOOKUP($A73,Partner_Voice!$A:$A,Partner_Voice!AH:AH,"",0))))</f>
        <v>0.3333333333</v>
      </c>
      <c r="AI73" s="42">
        <f t="array" ref="AI73">IF(XLOOKUP($A73,Partner_Voice!$A:$A,Partner_Voice!AI:AI,"",0)="Free","Free",IF(XLOOKUP($A73,Partner_Voice!$A:$A,Partner_Voice!AI:AI,"",0)="VL","VL",IF(XLOOKUP($A73,Partner_Voice!$A:$A,Partner_Voice!AI:AI,"",0)="ATT","ATT",XLOOKUP($A73,Partner_Voice!$A:$A,Partner_Voice!AI:AI,"",0))))</f>
        <v>0.3333333333</v>
      </c>
      <c r="AJ73" s="42">
        <f t="array" ref="AJ73">IF(XLOOKUP($A73,Partner_Voice!$A:$A,Partner_Voice!AJ:AJ,"",0)="Free","Free",IF(XLOOKUP($A73,Partner_Voice!$A:$A,Partner_Voice!AJ:AJ,"",0)="VL","VL",IF(XLOOKUP($A73,Partner_Voice!$A:$A,Partner_Voice!AJ:AJ,"",0)="ATT","ATT",XLOOKUP($A73,Partner_Voice!$A:$A,Partner_Voice!AJ:AJ,"",0))))</f>
        <v>0.3333333333</v>
      </c>
      <c r="AK73" s="42">
        <f t="array" ref="AK73">IF(XLOOKUP($A73,Partner_Voice!$A:$A,Partner_Voice!AK:AK,"",0)="Free","Free",IF(XLOOKUP($A73,Partner_Voice!$A:$A,Partner_Voice!AK:AK,"",0)="VL","VL",IF(XLOOKUP($A73,Partner_Voice!$A:$A,Partner_Voice!AK:AK,"",0)="ATT","ATT",XLOOKUP($A73,Partner_Voice!$A:$A,Partner_Voice!AK:AK,"",0))))</f>
        <v>0.3333333333</v>
      </c>
      <c r="AL73" s="42" t="str">
        <f t="array" ref="AL73">IF(XLOOKUP($A73,Partner_Voice!$A:$A,Partner_Voice!AL:AL,"",0)="Free","Free",IF(XLOOKUP($A73,Partner_Voice!$A:$A,Partner_Voice!AL:AL,"",0)="VL","VL",IF(XLOOKUP($A73,Partner_Voice!$A:$A,Partner_Voice!AL:AL,"",0)="ATT","ATT",XLOOKUP($A73,Partner_Voice!$A:$A,Partner_Voice!AL:AL,"",0))))</f>
        <v>Free</v>
      </c>
      <c r="AM73" s="42"/>
    </row>
    <row r="74">
      <c r="A74" s="47" t="s">
        <v>49</v>
      </c>
      <c r="B74" s="35" t="str">
        <f t="array" ref="B74">XLOOKUP(A74,Roster!F:F,Roster!A:A,"")</f>
        <v>Mateo Henao</v>
      </c>
      <c r="C74" s="35" t="str">
        <f t="array" ref="C74">XLOOKUP(A74,Roster!F:F,Roster!B:B,"")</f>
        <v>Juan Zapata</v>
      </c>
      <c r="D74" s="70"/>
      <c r="E74" s="42">
        <f t="array" ref="E74">IF(XLOOKUP($A74,Partner_Voice!$A:$A,Partner_Voice!E:E,"",0)="Free","Free",IF(XLOOKUP($A74,Partner_Voice!$A:$A,Partner_Voice!E:E,"",0)="VL","VL",IF(XLOOKUP($A74,Partner_Voice!$A:$A,Partner_Voice!E:E,"",0)="ATT","ATT",XLOOKUP($A74,Partner_Voice!$A:$A,Partner_Voice!E:E,"",0))))</f>
        <v>0.3333333333</v>
      </c>
      <c r="F74" s="42" t="str">
        <f t="array" ref="F74">IF(XLOOKUP($A74,Partner_Voice!$A:$A,Partner_Voice!F:F,"",0)="Free","Free",IF(XLOOKUP($A74,Partner_Voice!$A:$A,Partner_Voice!F:F,"",0)="VL","VL",IF(XLOOKUP($A74,Partner_Voice!$A:$A,Partner_Voice!F:F,"",0)="ATT","ATT",XLOOKUP($A74,Partner_Voice!$A:$A,Partner_Voice!F:F,"",0))))</f>
        <v>Free</v>
      </c>
      <c r="G74" s="42">
        <f t="array" ref="G74">IF(XLOOKUP($A74,Partner_Voice!$A:$A,Partner_Voice!G:G,"",0)="Free","Free",IF(XLOOKUP($A74,Partner_Voice!$A:$A,Partner_Voice!G:G,"",0)="VL","VL",IF(XLOOKUP($A74,Partner_Voice!$A:$A,Partner_Voice!G:G,"",0)="ATT","ATT",XLOOKUP($A74,Partner_Voice!$A:$A,Partner_Voice!G:G,"",0))))</f>
        <v>0.3333333333</v>
      </c>
      <c r="H74" s="42">
        <f t="array" ref="H74">IF(XLOOKUP($A74,Partner_Voice!$A:$A,Partner_Voice!H:H,"",0)="Free","Free",IF(XLOOKUP($A74,Partner_Voice!$A:$A,Partner_Voice!H:H,"",0)="VL","VL",IF(XLOOKUP($A74,Partner_Voice!$A:$A,Partner_Voice!H:H,"",0)="ATT","ATT",XLOOKUP($A74,Partner_Voice!$A:$A,Partner_Voice!H:H,"",0))))</f>
        <v>0.3333333333</v>
      </c>
      <c r="I74" s="42">
        <f t="array" ref="I74">IF(XLOOKUP($A74,Partner_Voice!$A:$A,Partner_Voice!I:I,"",0)="Free","Free",IF(XLOOKUP($A74,Partner_Voice!$A:$A,Partner_Voice!I:I,"",0)="VL","VL",IF(XLOOKUP($A74,Partner_Voice!$A:$A,Partner_Voice!I:I,"",0)="ATT","ATT",XLOOKUP($A74,Partner_Voice!$A:$A,Partner_Voice!I:I,"",0))))</f>
        <v>0.3333333333</v>
      </c>
      <c r="J74" s="42">
        <f t="array" ref="J74">IF(XLOOKUP($A74,Partner_Voice!$A:$A,Partner_Voice!J:J,"",0)="Free","Free",IF(XLOOKUP($A74,Partner_Voice!$A:$A,Partner_Voice!J:J,"",0)="VL","VL",IF(XLOOKUP($A74,Partner_Voice!$A:$A,Partner_Voice!J:J,"",0)="ATT","ATT",XLOOKUP($A74,Partner_Voice!$A:$A,Partner_Voice!J:J,"",0))))</f>
        <v>0.3333333333</v>
      </c>
      <c r="K74" s="42"/>
      <c r="L74" s="42">
        <f t="array" ref="L74">IF(XLOOKUP($A74,Partner_Voice!$A:$A,Partner_Voice!L:L,"",0)="Free","Free",IF(XLOOKUP($A74,Partner_Voice!$A:$A,Partner_Voice!L:L,"",0)="VL","VL",IF(XLOOKUP($A74,Partner_Voice!$A:$A,Partner_Voice!L:L,"",0)="ATT","ATT",XLOOKUP($A74,Partner_Voice!$A:$A,Partner_Voice!L:L,"",0))))</f>
        <v>0.3333333333</v>
      </c>
      <c r="M74" s="42" t="str">
        <f t="array" ref="M74">IF(XLOOKUP($A74,Partner_Voice!$A:$A,Partner_Voice!M:M,"",0)="Free","Free",IF(XLOOKUP($A74,Partner_Voice!$A:$A,Partner_Voice!M:M,"",0)="VL","VL",IF(XLOOKUP($A74,Partner_Voice!$A:$A,Partner_Voice!M:M,"",0)="ATT","ATT",XLOOKUP($A74,Partner_Voice!$A:$A,Partner_Voice!M:M,"",0))))</f>
        <v>Free</v>
      </c>
      <c r="N74" s="42">
        <f t="array" ref="N74">IF(XLOOKUP($A74,Partner_Voice!$A:$A,Partner_Voice!N:N,"",0)="Free","Free",IF(XLOOKUP($A74,Partner_Voice!$A:$A,Partner_Voice!N:N,"",0)="VL","VL",IF(XLOOKUP($A74,Partner_Voice!$A:$A,Partner_Voice!N:N,"",0)="ATT","ATT",XLOOKUP($A74,Partner_Voice!$A:$A,Partner_Voice!N:N,"",0))))</f>
        <v>0.3333333333</v>
      </c>
      <c r="O74" s="42">
        <f t="array" ref="O74">IF(XLOOKUP($A74,Partner_Voice!$A:$A,Partner_Voice!O:O,"",0)="Free","Free",IF(XLOOKUP($A74,Partner_Voice!$A:$A,Partner_Voice!O:O,"",0)="VL","VL",IF(XLOOKUP($A74,Partner_Voice!$A:$A,Partner_Voice!O:O,"",0)="ATT","ATT",XLOOKUP($A74,Partner_Voice!$A:$A,Partner_Voice!O:O,"",0))))</f>
        <v>0.3333333333</v>
      </c>
      <c r="P74" s="42">
        <f t="array" ref="P74">IF(XLOOKUP($A74,Partner_Voice!$A:$A,Partner_Voice!P:P,"",0)="Free","Free",IF(XLOOKUP($A74,Partner_Voice!$A:$A,Partner_Voice!P:P,"",0)="VL","VL",IF(XLOOKUP($A74,Partner_Voice!$A:$A,Partner_Voice!P:P,"",0)="ATT","ATT",XLOOKUP($A74,Partner_Voice!$A:$A,Partner_Voice!P:P,"",0))))</f>
        <v>0.3333333333</v>
      </c>
      <c r="Q74" s="42">
        <f t="array" ref="Q74">IF(XLOOKUP($A74,Partner_Voice!$A:$A,Partner_Voice!Q:Q,"",0)="Free","Free",IF(XLOOKUP($A74,Partner_Voice!$A:$A,Partner_Voice!Q:Q,"",0)="VL","VL",IF(XLOOKUP($A74,Partner_Voice!$A:$A,Partner_Voice!Q:Q,"",0)="ATT","ATT",XLOOKUP($A74,Partner_Voice!$A:$A,Partner_Voice!Q:Q,"",0))))</f>
        <v>0.3333333333</v>
      </c>
      <c r="R74" s="43"/>
      <c r="S74" s="42">
        <f t="array" ref="S74">IF(XLOOKUP($A74,Partner_Voice!$A:$A,Partner_Voice!S:S,"",0)="Free","Free",IF(XLOOKUP($A74,Partner_Voice!$A:$A,Partner_Voice!S:S,"",0)="VL","VL",IF(XLOOKUP($A74,Partner_Voice!$A:$A,Partner_Voice!S:S,"",0)="ATT","ATT",XLOOKUP($A74,Partner_Voice!$A:$A,Partner_Voice!S:S,"",0))))</f>
        <v>0.3333333333</v>
      </c>
      <c r="T74" s="42" t="str">
        <f t="array" ref="T74">IF(XLOOKUP($A74,Partner_Voice!$A:$A,Partner_Voice!T:T,"",0)="Free","Free",IF(XLOOKUP($A74,Partner_Voice!$A:$A,Partner_Voice!T:T,"",0)="VL","VL",IF(XLOOKUP($A74,Partner_Voice!$A:$A,Partner_Voice!T:T,"",0)="ATT","ATT",XLOOKUP($A74,Partner_Voice!$A:$A,Partner_Voice!T:T,"",0))))</f>
        <v>Free</v>
      </c>
      <c r="U74" s="42">
        <f t="array" ref="U74">IF(XLOOKUP($A74,Partner_Voice!$A:$A,Partner_Voice!U:U,"",0)="Free","Free",IF(XLOOKUP($A74,Partner_Voice!$A:$A,Partner_Voice!U:U,"",0)="VL","VL",IF(XLOOKUP($A74,Partner_Voice!$A:$A,Partner_Voice!U:U,"",0)="ATT","ATT",XLOOKUP($A74,Partner_Voice!$A:$A,Partner_Voice!U:U,"",0))))</f>
        <v>0.3333333333</v>
      </c>
      <c r="V74" s="42">
        <f t="array" ref="V74">IF(XLOOKUP($A74,Partner_Voice!$A:$A,Partner_Voice!V:V,"",0)="Free","Free",IF(XLOOKUP($A74,Partner_Voice!$A:$A,Partner_Voice!V:V,"",0)="VL","VL",IF(XLOOKUP($A74,Partner_Voice!$A:$A,Partner_Voice!V:V,"",0)="ATT","ATT",XLOOKUP($A74,Partner_Voice!$A:$A,Partner_Voice!V:V,"",0))))</f>
        <v>0.3333333333</v>
      </c>
      <c r="W74" s="42">
        <f t="array" ref="W74">IF(XLOOKUP($A74,Partner_Voice!$A:$A,Partner_Voice!W:W,"",0)="Free","Free",IF(XLOOKUP($A74,Partner_Voice!$A:$A,Partner_Voice!W:W,"",0)="VL","VL",IF(XLOOKUP($A74,Partner_Voice!$A:$A,Partner_Voice!W:W,"",0)="ATT","ATT",XLOOKUP($A74,Partner_Voice!$A:$A,Partner_Voice!W:W,"",0))))</f>
        <v>0.3333333333</v>
      </c>
      <c r="X74" s="42">
        <f t="array" ref="X74">IF(XLOOKUP($A74,Partner_Voice!$A:$A,Partner_Voice!X:X,"",0)="Free","Free",IF(XLOOKUP($A74,Partner_Voice!$A:$A,Partner_Voice!X:X,"",0)="VL","VL",IF(XLOOKUP($A74,Partner_Voice!$A:$A,Partner_Voice!X:X,"",0)="ATT","ATT",XLOOKUP($A74,Partner_Voice!$A:$A,Partner_Voice!X:X,"",0))))</f>
        <v>0.3333333333</v>
      </c>
      <c r="Y74" s="43"/>
      <c r="Z74" s="42">
        <f t="array" ref="Z74">IF(XLOOKUP($A74,Partner_Voice!$A:$A,Partner_Voice!Z:Z,"",0)="Free","Free",IF(XLOOKUP($A74,Partner_Voice!$A:$A,Partner_Voice!Z:Z,"",0)="VL","VL",IF(XLOOKUP($A74,Partner_Voice!$A:$A,Partner_Voice!Z:Z,"",0)="ATT","ATT",XLOOKUP($A74,Partner_Voice!$A:$A,Partner_Voice!Z:Z,"",0))))</f>
        <v>0.3333333333</v>
      </c>
      <c r="AA74" s="42" t="str">
        <f t="array" ref="AA74">IF(XLOOKUP($A74,Partner_Voice!$A:$A,Partner_Voice!AA:AA,"",0)="Free","Free",IF(XLOOKUP($A74,Partner_Voice!$A:$A,Partner_Voice!AA:AA,"",0)="VL","VL",IF(XLOOKUP($A74,Partner_Voice!$A:$A,Partner_Voice!AA:AA,"",0)="ATT","ATT",XLOOKUP($A74,Partner_Voice!$A:$A,Partner_Voice!AA:AA,"",0))))</f>
        <v>Free</v>
      </c>
      <c r="AB74" s="42">
        <f t="array" ref="AB74">IF(XLOOKUP($A74,Partner_Voice!$A:$A,Partner_Voice!AB:AB,"",0)="Free","Free",IF(XLOOKUP($A74,Partner_Voice!$A:$A,Partner_Voice!AB:AB,"",0)="VL","VL",IF(XLOOKUP($A74,Partner_Voice!$A:$A,Partner_Voice!AB:AB,"",0)="ATT","ATT",XLOOKUP($A74,Partner_Voice!$A:$A,Partner_Voice!AB:AB,"",0))))</f>
        <v>0.3333333333</v>
      </c>
      <c r="AC74" s="42">
        <f t="array" ref="AC74">IF(XLOOKUP($A74,Partner_Voice!$A:$A,Partner_Voice!AC:AC,"",0)="Free","Free",IF(XLOOKUP($A74,Partner_Voice!$A:$A,Partner_Voice!AC:AC,"",0)="VL","VL",IF(XLOOKUP($A74,Partner_Voice!$A:$A,Partner_Voice!AC:AC,"",0)="ATT","ATT",XLOOKUP($A74,Partner_Voice!$A:$A,Partner_Voice!AC:AC,"",0))))</f>
        <v>0.3333333333</v>
      </c>
      <c r="AD74" s="42">
        <f t="array" ref="AD74">IF(XLOOKUP($A74,Partner_Voice!$A:$A,Partner_Voice!AD:AD,"",0)="Free","Free",IF(XLOOKUP($A74,Partner_Voice!$A:$A,Partner_Voice!AD:AD,"",0)="VL","VL",IF(XLOOKUP($A74,Partner_Voice!$A:$A,Partner_Voice!AD:AD,"",0)="ATT","ATT",XLOOKUP($A74,Partner_Voice!$A:$A,Partner_Voice!AD:AD,"",0))))</f>
        <v>0.3333333333</v>
      </c>
      <c r="AE74" s="42">
        <f t="array" ref="AE74">IF(XLOOKUP($A74,Partner_Voice!$A:$A,Partner_Voice!AE:AE,"",0)="Free","Free",IF(XLOOKUP($A74,Partner_Voice!$A:$A,Partner_Voice!AE:AE,"",0)="VL","VL",IF(XLOOKUP($A74,Partner_Voice!$A:$A,Partner_Voice!AE:AE,"",0)="ATT","ATT",XLOOKUP($A74,Partner_Voice!$A:$A,Partner_Voice!AE:AE,"",0))))</f>
        <v>0.3333333333</v>
      </c>
      <c r="AF74" s="69"/>
      <c r="AG74" s="42">
        <f t="array" ref="AG74">IF(XLOOKUP($A74,Partner_Voice!$A:$A,Partner_Voice!AG:AG,"",0)="Free","Free",IF(XLOOKUP($A74,Partner_Voice!$A:$A,Partner_Voice!AG:AG,"",0)="VL","VL",IF(XLOOKUP($A74,Partner_Voice!$A:$A,Partner_Voice!AG:AG,"",0)="ATT","ATT",XLOOKUP($A74,Partner_Voice!$A:$A,Partner_Voice!AG:AG,"",0))))</f>
        <v>0.3333333333</v>
      </c>
      <c r="AH74" s="42" t="str">
        <f t="array" ref="AH74">IF(XLOOKUP($A74,Partner_Voice!$A:$A,Partner_Voice!AH:AH,"",0)="Free","Free",IF(XLOOKUP($A74,Partner_Voice!$A:$A,Partner_Voice!AH:AH,"",0)="VL","VL",IF(XLOOKUP($A74,Partner_Voice!$A:$A,Partner_Voice!AH:AH,"",0)="ATT","ATT",XLOOKUP($A74,Partner_Voice!$A:$A,Partner_Voice!AH:AH,"",0))))</f>
        <v>Free</v>
      </c>
      <c r="AI74" s="42">
        <f t="array" ref="AI74">IF(XLOOKUP($A74,Partner_Voice!$A:$A,Partner_Voice!AI:AI,"",0)="Free","Free",IF(XLOOKUP($A74,Partner_Voice!$A:$A,Partner_Voice!AI:AI,"",0)="VL","VL",IF(XLOOKUP($A74,Partner_Voice!$A:$A,Partner_Voice!AI:AI,"",0)="ATT","ATT",XLOOKUP($A74,Partner_Voice!$A:$A,Partner_Voice!AI:AI,"",0))))</f>
        <v>0.3333333333</v>
      </c>
      <c r="AJ74" s="42">
        <f t="array" ref="AJ74">IF(XLOOKUP($A74,Partner_Voice!$A:$A,Partner_Voice!AJ:AJ,"",0)="Free","Free",IF(XLOOKUP($A74,Partner_Voice!$A:$A,Partner_Voice!AJ:AJ,"",0)="VL","VL",IF(XLOOKUP($A74,Partner_Voice!$A:$A,Partner_Voice!AJ:AJ,"",0)="ATT","ATT",XLOOKUP($A74,Partner_Voice!$A:$A,Partner_Voice!AJ:AJ,"",0))))</f>
        <v>0.3333333333</v>
      </c>
      <c r="AK74" s="42">
        <f t="array" ref="AK74">IF(XLOOKUP($A74,Partner_Voice!$A:$A,Partner_Voice!AK:AK,"",0)="Free","Free",IF(XLOOKUP($A74,Partner_Voice!$A:$A,Partner_Voice!AK:AK,"",0)="VL","VL",IF(XLOOKUP($A74,Partner_Voice!$A:$A,Partner_Voice!AK:AK,"",0)="ATT","ATT",XLOOKUP($A74,Partner_Voice!$A:$A,Partner_Voice!AK:AK,"",0))))</f>
        <v>0.3333333333</v>
      </c>
      <c r="AL74" s="42">
        <f t="array" ref="AL74">IF(XLOOKUP($A74,Partner_Voice!$A:$A,Partner_Voice!AL:AL,"",0)="Free","Free",IF(XLOOKUP($A74,Partner_Voice!$A:$A,Partner_Voice!AL:AL,"",0)="VL","VL",IF(XLOOKUP($A74,Partner_Voice!$A:$A,Partner_Voice!AL:AL,"",0)="ATT","ATT",XLOOKUP($A74,Partner_Voice!$A:$A,Partner_Voice!AL:AL,"",0))))</f>
        <v>0.3333333333</v>
      </c>
      <c r="AM74" s="42"/>
    </row>
    <row r="75">
      <c r="A75" s="47" t="s">
        <v>55</v>
      </c>
      <c r="B75" s="35" t="str">
        <f t="array" ref="B75">XLOOKUP(A75,Roster!F:F,Roster!A:A,"")</f>
        <v>Mateo Henao</v>
      </c>
      <c r="C75" s="35" t="str">
        <f t="array" ref="C75">XLOOKUP(A75,Roster!F:F,Roster!B:B,"")</f>
        <v>Laura Chamorro</v>
      </c>
      <c r="D75" s="70"/>
      <c r="E75" s="42">
        <f t="array" ref="E75">IF(XLOOKUP($A75,Partner_Voice!$A:$A,Partner_Voice!E:E,"",0)="Free","Free",IF(XLOOKUP($A75,Partner_Voice!$A:$A,Partner_Voice!E:E,"",0)="VL","VL",IF(XLOOKUP($A75,Partner_Voice!$A:$A,Partner_Voice!E:E,"",0)="ATT","ATT",XLOOKUP($A75,Partner_Voice!$A:$A,Partner_Voice!E:E,"",0))))</f>
        <v>0.3333333333</v>
      </c>
      <c r="F75" s="42">
        <f t="array" ref="F75">IF(XLOOKUP($A75,Partner_Voice!$A:$A,Partner_Voice!F:F,"",0)="Free","Free",IF(XLOOKUP($A75,Partner_Voice!$A:$A,Partner_Voice!F:F,"",0)="VL","VL",IF(XLOOKUP($A75,Partner_Voice!$A:$A,Partner_Voice!F:F,"",0)="ATT","ATT",XLOOKUP($A75,Partner_Voice!$A:$A,Partner_Voice!F:F,"",0))))</f>
        <v>0.3333333333</v>
      </c>
      <c r="G75" s="42">
        <f t="array" ref="G75">IF(XLOOKUP($A75,Partner_Voice!$A:$A,Partner_Voice!G:G,"",0)="Free","Free",IF(XLOOKUP($A75,Partner_Voice!$A:$A,Partner_Voice!G:G,"",0)="VL","VL",IF(XLOOKUP($A75,Partner_Voice!$A:$A,Partner_Voice!G:G,"",0)="ATT","ATT",XLOOKUP($A75,Partner_Voice!$A:$A,Partner_Voice!G:G,"",0))))</f>
        <v>0.3333333333</v>
      </c>
      <c r="H75" s="42">
        <f t="array" ref="H75">IF(XLOOKUP($A75,Partner_Voice!$A:$A,Partner_Voice!H:H,"",0)="Free","Free",IF(XLOOKUP($A75,Partner_Voice!$A:$A,Partner_Voice!H:H,"",0)="VL","VL",IF(XLOOKUP($A75,Partner_Voice!$A:$A,Partner_Voice!H:H,"",0)="ATT","ATT",XLOOKUP($A75,Partner_Voice!$A:$A,Partner_Voice!H:H,"",0))))</f>
        <v>0.3333333333</v>
      </c>
      <c r="I75" s="42">
        <f t="array" ref="I75">IF(XLOOKUP($A75,Partner_Voice!$A:$A,Partner_Voice!I:I,"",0)="Free","Free",IF(XLOOKUP($A75,Partner_Voice!$A:$A,Partner_Voice!I:I,"",0)="VL","VL",IF(XLOOKUP($A75,Partner_Voice!$A:$A,Partner_Voice!I:I,"",0)="ATT","ATT",XLOOKUP($A75,Partner_Voice!$A:$A,Partner_Voice!I:I,"",0))))</f>
        <v>0.3333333333</v>
      </c>
      <c r="J75" s="42" t="str">
        <f t="array" ref="J75">IF(XLOOKUP($A75,Partner_Voice!$A:$A,Partner_Voice!J:J,"",0)="Free","Free",IF(XLOOKUP($A75,Partner_Voice!$A:$A,Partner_Voice!J:J,"",0)="VL","VL",IF(XLOOKUP($A75,Partner_Voice!$A:$A,Partner_Voice!J:J,"",0)="ATT","ATT",XLOOKUP($A75,Partner_Voice!$A:$A,Partner_Voice!J:J,"",0))))</f>
        <v>Free</v>
      </c>
      <c r="K75" s="42"/>
      <c r="L75" s="42">
        <f t="array" ref="L75">IF(XLOOKUP($A75,Partner_Voice!$A:$A,Partner_Voice!L:L,"",0)="Free","Free",IF(XLOOKUP($A75,Partner_Voice!$A:$A,Partner_Voice!L:L,"",0)="VL","VL",IF(XLOOKUP($A75,Partner_Voice!$A:$A,Partner_Voice!L:L,"",0)="ATT","ATT",XLOOKUP($A75,Partner_Voice!$A:$A,Partner_Voice!L:L,"",0))))</f>
        <v>0.3333333333</v>
      </c>
      <c r="M75" s="42">
        <f t="array" ref="M75">IF(XLOOKUP($A75,Partner_Voice!$A:$A,Partner_Voice!M:M,"",0)="Free","Free",IF(XLOOKUP($A75,Partner_Voice!$A:$A,Partner_Voice!M:M,"",0)="VL","VL",IF(XLOOKUP($A75,Partner_Voice!$A:$A,Partner_Voice!M:M,"",0)="ATT","ATT",XLOOKUP($A75,Partner_Voice!$A:$A,Partner_Voice!M:M,"",0))))</f>
        <v>0.3333333333</v>
      </c>
      <c r="N75" s="42">
        <f t="array" ref="N75">IF(XLOOKUP($A75,Partner_Voice!$A:$A,Partner_Voice!N:N,"",0)="Free","Free",IF(XLOOKUP($A75,Partner_Voice!$A:$A,Partner_Voice!N:N,"",0)="VL","VL",IF(XLOOKUP($A75,Partner_Voice!$A:$A,Partner_Voice!N:N,"",0)="ATT","ATT",XLOOKUP($A75,Partner_Voice!$A:$A,Partner_Voice!N:N,"",0))))</f>
        <v>0.3333333333</v>
      </c>
      <c r="O75" s="42">
        <f t="array" ref="O75">IF(XLOOKUP($A75,Partner_Voice!$A:$A,Partner_Voice!O:O,"",0)="Free","Free",IF(XLOOKUP($A75,Partner_Voice!$A:$A,Partner_Voice!O:O,"",0)="VL","VL",IF(XLOOKUP($A75,Partner_Voice!$A:$A,Partner_Voice!O:O,"",0)="ATT","ATT",XLOOKUP($A75,Partner_Voice!$A:$A,Partner_Voice!O:O,"",0))))</f>
        <v>0.3333333333</v>
      </c>
      <c r="P75" s="42">
        <f t="array" ref="P75">IF(XLOOKUP($A75,Partner_Voice!$A:$A,Partner_Voice!P:P,"",0)="Free","Free",IF(XLOOKUP($A75,Partner_Voice!$A:$A,Partner_Voice!P:P,"",0)="VL","VL",IF(XLOOKUP($A75,Partner_Voice!$A:$A,Partner_Voice!P:P,"",0)="ATT","ATT",XLOOKUP($A75,Partner_Voice!$A:$A,Partner_Voice!P:P,"",0))))</f>
        <v>0.3333333333</v>
      </c>
      <c r="Q75" s="42" t="str">
        <f t="array" ref="Q75">IF(XLOOKUP($A75,Partner_Voice!$A:$A,Partner_Voice!Q:Q,"",0)="Free","Free",IF(XLOOKUP($A75,Partner_Voice!$A:$A,Partner_Voice!Q:Q,"",0)="VL","VL",IF(XLOOKUP($A75,Partner_Voice!$A:$A,Partner_Voice!Q:Q,"",0)="ATT","ATT",XLOOKUP($A75,Partner_Voice!$A:$A,Partner_Voice!Q:Q,"",0))))</f>
        <v>Free</v>
      </c>
      <c r="R75" s="43"/>
      <c r="S75" s="42">
        <f t="array" ref="S75">IF(XLOOKUP($A75,Partner_Voice!$A:$A,Partner_Voice!S:S,"",0)="Free","Free",IF(XLOOKUP($A75,Partner_Voice!$A:$A,Partner_Voice!S:S,"",0)="VL","VL",IF(XLOOKUP($A75,Partner_Voice!$A:$A,Partner_Voice!S:S,"",0)="ATT","ATT",XLOOKUP($A75,Partner_Voice!$A:$A,Partner_Voice!S:S,"",0))))</f>
        <v>0.3333333333</v>
      </c>
      <c r="T75" s="42">
        <f t="array" ref="T75">IF(XLOOKUP($A75,Partner_Voice!$A:$A,Partner_Voice!T:T,"",0)="Free","Free",IF(XLOOKUP($A75,Partner_Voice!$A:$A,Partner_Voice!T:T,"",0)="VL","VL",IF(XLOOKUP($A75,Partner_Voice!$A:$A,Partner_Voice!T:T,"",0)="ATT","ATT",XLOOKUP($A75,Partner_Voice!$A:$A,Partner_Voice!T:T,"",0))))</f>
        <v>0.3333333333</v>
      </c>
      <c r="U75" s="42" t="str">
        <f t="array" ref="U75">IF(XLOOKUP($A75,Partner_Voice!$A:$A,Partner_Voice!U:U,"",0)="Free","Free",IF(XLOOKUP($A75,Partner_Voice!$A:$A,Partner_Voice!U:U,"",0)="VL","VL",IF(XLOOKUP($A75,Partner_Voice!$A:$A,Partner_Voice!U:U,"",0)="ATT","ATT",XLOOKUP($A75,Partner_Voice!$A:$A,Partner_Voice!U:U,"",0))))</f>
        <v>Free</v>
      </c>
      <c r="V75" s="42">
        <f t="array" ref="V75">IF(XLOOKUP($A75,Partner_Voice!$A:$A,Partner_Voice!V:V,"",0)="Free","Free",IF(XLOOKUP($A75,Partner_Voice!$A:$A,Partner_Voice!V:V,"",0)="VL","VL",IF(XLOOKUP($A75,Partner_Voice!$A:$A,Partner_Voice!V:V,"",0)="ATT","ATT",XLOOKUP($A75,Partner_Voice!$A:$A,Partner_Voice!V:V,"",0))))</f>
        <v>0.3333333333</v>
      </c>
      <c r="W75" s="42">
        <f t="array" ref="W75">IF(XLOOKUP($A75,Partner_Voice!$A:$A,Partner_Voice!W:W,"",0)="Free","Free",IF(XLOOKUP($A75,Partner_Voice!$A:$A,Partner_Voice!W:W,"",0)="VL","VL",IF(XLOOKUP($A75,Partner_Voice!$A:$A,Partner_Voice!W:W,"",0)="ATT","ATT",XLOOKUP($A75,Partner_Voice!$A:$A,Partner_Voice!W:W,"",0))))</f>
        <v>0.3333333333</v>
      </c>
      <c r="X75" s="42">
        <f t="array" ref="X75">IF(XLOOKUP($A75,Partner_Voice!$A:$A,Partner_Voice!X:X,"",0)="Free","Free",IF(XLOOKUP($A75,Partner_Voice!$A:$A,Partner_Voice!X:X,"",0)="VL","VL",IF(XLOOKUP($A75,Partner_Voice!$A:$A,Partner_Voice!X:X,"",0)="ATT","ATT",XLOOKUP($A75,Partner_Voice!$A:$A,Partner_Voice!X:X,"",0))))</f>
        <v>0.3333333333</v>
      </c>
      <c r="Y75" s="43"/>
      <c r="Z75" s="42">
        <f t="array" ref="Z75">IF(XLOOKUP($A75,Partner_Voice!$A:$A,Partner_Voice!Z:Z,"",0)="Free","Free",IF(XLOOKUP($A75,Partner_Voice!$A:$A,Partner_Voice!Z:Z,"",0)="VL","VL",IF(XLOOKUP($A75,Partner_Voice!$A:$A,Partner_Voice!Z:Z,"",0)="ATT","ATT",XLOOKUP($A75,Partner_Voice!$A:$A,Partner_Voice!Z:Z,"",0))))</f>
        <v>0.3333333333</v>
      </c>
      <c r="AA75" s="42">
        <f t="array" ref="AA75">IF(XLOOKUP($A75,Partner_Voice!$A:$A,Partner_Voice!AA:AA,"",0)="Free","Free",IF(XLOOKUP($A75,Partner_Voice!$A:$A,Partner_Voice!AA:AA,"",0)="VL","VL",IF(XLOOKUP($A75,Partner_Voice!$A:$A,Partner_Voice!AA:AA,"",0)="ATT","ATT",XLOOKUP($A75,Partner_Voice!$A:$A,Partner_Voice!AA:AA,"",0))))</f>
        <v>0.3333333333</v>
      </c>
      <c r="AB75" s="42">
        <f t="array" ref="AB75">IF(XLOOKUP($A75,Partner_Voice!$A:$A,Partner_Voice!AB:AB,"",0)="Free","Free",IF(XLOOKUP($A75,Partner_Voice!$A:$A,Partner_Voice!AB:AB,"",0)="VL","VL",IF(XLOOKUP($A75,Partner_Voice!$A:$A,Partner_Voice!AB:AB,"",0)="ATT","ATT",XLOOKUP($A75,Partner_Voice!$A:$A,Partner_Voice!AB:AB,"",0))))</f>
        <v>0.3333333333</v>
      </c>
      <c r="AC75" s="42">
        <f t="array" ref="AC75">IF(XLOOKUP($A75,Partner_Voice!$A:$A,Partner_Voice!AC:AC,"",0)="Free","Free",IF(XLOOKUP($A75,Partner_Voice!$A:$A,Partner_Voice!AC:AC,"",0)="VL","VL",IF(XLOOKUP($A75,Partner_Voice!$A:$A,Partner_Voice!AC:AC,"",0)="ATT","ATT",XLOOKUP($A75,Partner_Voice!$A:$A,Partner_Voice!AC:AC,"",0))))</f>
        <v>0.3333333333</v>
      </c>
      <c r="AD75" s="42">
        <f t="array" ref="AD75">IF(XLOOKUP($A75,Partner_Voice!$A:$A,Partner_Voice!AD:AD,"",0)="Free","Free",IF(XLOOKUP($A75,Partner_Voice!$A:$A,Partner_Voice!AD:AD,"",0)="VL","VL",IF(XLOOKUP($A75,Partner_Voice!$A:$A,Partner_Voice!AD:AD,"",0)="ATT","ATT",XLOOKUP($A75,Partner_Voice!$A:$A,Partner_Voice!AD:AD,"",0))))</f>
        <v>0.3333333333</v>
      </c>
      <c r="AE75" s="42" t="str">
        <f t="array" ref="AE75">IF(XLOOKUP($A75,Partner_Voice!$A:$A,Partner_Voice!AE:AE,"",0)="Free","Free",IF(XLOOKUP($A75,Partner_Voice!$A:$A,Partner_Voice!AE:AE,"",0)="VL","VL",IF(XLOOKUP($A75,Partner_Voice!$A:$A,Partner_Voice!AE:AE,"",0)="ATT","ATT",XLOOKUP($A75,Partner_Voice!$A:$A,Partner_Voice!AE:AE,"",0))))</f>
        <v>Free</v>
      </c>
      <c r="AF75" s="69"/>
      <c r="AG75" s="42">
        <f t="array" ref="AG75">IF(XLOOKUP($A75,Partner_Voice!$A:$A,Partner_Voice!AG:AG,"",0)="Free","Free",IF(XLOOKUP($A75,Partner_Voice!$A:$A,Partner_Voice!AG:AG,"",0)="VL","VL",IF(XLOOKUP($A75,Partner_Voice!$A:$A,Partner_Voice!AG:AG,"",0)="ATT","ATT",XLOOKUP($A75,Partner_Voice!$A:$A,Partner_Voice!AG:AG,"",0))))</f>
        <v>0.3333333333</v>
      </c>
      <c r="AH75" s="42">
        <f t="array" ref="AH75">IF(XLOOKUP($A75,Partner_Voice!$A:$A,Partner_Voice!AH:AH,"",0)="Free","Free",IF(XLOOKUP($A75,Partner_Voice!$A:$A,Partner_Voice!AH:AH,"",0)="VL","VL",IF(XLOOKUP($A75,Partner_Voice!$A:$A,Partner_Voice!AH:AH,"",0)="ATT","ATT",XLOOKUP($A75,Partner_Voice!$A:$A,Partner_Voice!AH:AH,"",0))))</f>
        <v>0.3333333333</v>
      </c>
      <c r="AI75" s="42">
        <f t="array" ref="AI75">IF(XLOOKUP($A75,Partner_Voice!$A:$A,Partner_Voice!AI:AI,"",0)="Free","Free",IF(XLOOKUP($A75,Partner_Voice!$A:$A,Partner_Voice!AI:AI,"",0)="VL","VL",IF(XLOOKUP($A75,Partner_Voice!$A:$A,Partner_Voice!AI:AI,"",0)="ATT","ATT",XLOOKUP($A75,Partner_Voice!$A:$A,Partner_Voice!AI:AI,"",0))))</f>
        <v>0.3333333333</v>
      </c>
      <c r="AJ75" s="42">
        <f t="array" ref="AJ75">IF(XLOOKUP($A75,Partner_Voice!$A:$A,Partner_Voice!AJ:AJ,"",0)="Free","Free",IF(XLOOKUP($A75,Partner_Voice!$A:$A,Partner_Voice!AJ:AJ,"",0)="VL","VL",IF(XLOOKUP($A75,Partner_Voice!$A:$A,Partner_Voice!AJ:AJ,"",0)="ATT","ATT",XLOOKUP($A75,Partner_Voice!$A:$A,Partner_Voice!AJ:AJ,"",0))))</f>
        <v>0.3333333333</v>
      </c>
      <c r="AK75" s="42">
        <f t="array" ref="AK75">IF(XLOOKUP($A75,Partner_Voice!$A:$A,Partner_Voice!AK:AK,"",0)="Free","Free",IF(XLOOKUP($A75,Partner_Voice!$A:$A,Partner_Voice!AK:AK,"",0)="VL","VL",IF(XLOOKUP($A75,Partner_Voice!$A:$A,Partner_Voice!AK:AK,"",0)="ATT","ATT",XLOOKUP($A75,Partner_Voice!$A:$A,Partner_Voice!AK:AK,"",0))))</f>
        <v>0.3333333333</v>
      </c>
      <c r="AL75" s="42" t="str">
        <f t="array" ref="AL75">IF(XLOOKUP($A75,Partner_Voice!$A:$A,Partner_Voice!AL:AL,"",0)="Free","Free",IF(XLOOKUP($A75,Partner_Voice!$A:$A,Partner_Voice!AL:AL,"",0)="VL","VL",IF(XLOOKUP($A75,Partner_Voice!$A:$A,Partner_Voice!AL:AL,"",0)="ATT","ATT",XLOOKUP($A75,Partner_Voice!$A:$A,Partner_Voice!AL:AL,"",0))))</f>
        <v>Free</v>
      </c>
      <c r="AM75" s="42"/>
    </row>
    <row r="76">
      <c r="A76" s="47" t="s">
        <v>62</v>
      </c>
      <c r="B76" s="35" t="str">
        <f t="array" ref="B76">XLOOKUP(A76,Roster!F:F,Roster!A:A,"")</f>
        <v>Mateo Henao</v>
      </c>
      <c r="C76" s="35" t="str">
        <f t="array" ref="C76">XLOOKUP(A76,Roster!F:F,Roster!B:B,"")</f>
        <v>Magda Foronda</v>
      </c>
      <c r="D76" s="70"/>
      <c r="E76" s="42">
        <f t="array" ref="E76">IF(XLOOKUP($A76,Partner_Voice!$A:$A,Partner_Voice!E:E,"",0)="Free","Free",IF(XLOOKUP($A76,Partner_Voice!$A:$A,Partner_Voice!E:E,"",0)="VL","VL",IF(XLOOKUP($A76,Partner_Voice!$A:$A,Partner_Voice!E:E,"",0)="ATT","ATT",XLOOKUP($A76,Partner_Voice!$A:$A,Partner_Voice!E:E,"",0))))</f>
        <v>0.3333333333</v>
      </c>
      <c r="F76" s="42">
        <f t="array" ref="F76">IF(XLOOKUP($A76,Partner_Voice!$A:$A,Partner_Voice!F:F,"",0)="Free","Free",IF(XLOOKUP($A76,Partner_Voice!$A:$A,Partner_Voice!F:F,"",0)="VL","VL",IF(XLOOKUP($A76,Partner_Voice!$A:$A,Partner_Voice!F:F,"",0)="ATT","ATT",XLOOKUP($A76,Partner_Voice!$A:$A,Partner_Voice!F:F,"",0))))</f>
        <v>0.3333333333</v>
      </c>
      <c r="G76" s="42">
        <f t="array" ref="G76">IF(XLOOKUP($A76,Partner_Voice!$A:$A,Partner_Voice!G:G,"",0)="Free","Free",IF(XLOOKUP($A76,Partner_Voice!$A:$A,Partner_Voice!G:G,"",0)="VL","VL",IF(XLOOKUP($A76,Partner_Voice!$A:$A,Partner_Voice!G:G,"",0)="ATT","ATT",XLOOKUP($A76,Partner_Voice!$A:$A,Partner_Voice!G:G,"",0))))</f>
        <v>0.3333333333</v>
      </c>
      <c r="H76" s="42">
        <f t="array" ref="H76">IF(XLOOKUP($A76,Partner_Voice!$A:$A,Partner_Voice!H:H,"",0)="Free","Free",IF(XLOOKUP($A76,Partner_Voice!$A:$A,Partner_Voice!H:H,"",0)="VL","VL",IF(XLOOKUP($A76,Partner_Voice!$A:$A,Partner_Voice!H:H,"",0)="ATT","ATT",XLOOKUP($A76,Partner_Voice!$A:$A,Partner_Voice!H:H,"",0))))</f>
        <v>0.3333333333</v>
      </c>
      <c r="I76" s="42">
        <f t="array" ref="I76">IF(XLOOKUP($A76,Partner_Voice!$A:$A,Partner_Voice!I:I,"",0)="Free","Free",IF(XLOOKUP($A76,Partner_Voice!$A:$A,Partner_Voice!I:I,"",0)="VL","VL",IF(XLOOKUP($A76,Partner_Voice!$A:$A,Partner_Voice!I:I,"",0)="ATT","ATT",XLOOKUP($A76,Partner_Voice!$A:$A,Partner_Voice!I:I,"",0))))</f>
        <v>0.3333333333</v>
      </c>
      <c r="J76" s="42" t="str">
        <f t="array" ref="J76">IF(XLOOKUP($A76,Partner_Voice!$A:$A,Partner_Voice!J:J,"",0)="Free","Free",IF(XLOOKUP($A76,Partner_Voice!$A:$A,Partner_Voice!J:J,"",0)="VL","VL",IF(XLOOKUP($A76,Partner_Voice!$A:$A,Partner_Voice!J:J,"",0)="ATT","ATT",XLOOKUP($A76,Partner_Voice!$A:$A,Partner_Voice!J:J,"",0))))</f>
        <v>Free</v>
      </c>
      <c r="K76" s="42"/>
      <c r="L76" s="42">
        <f t="array" ref="L76">IF(XLOOKUP($A76,Partner_Voice!$A:$A,Partner_Voice!L:L,"",0)="Free","Free",IF(XLOOKUP($A76,Partner_Voice!$A:$A,Partner_Voice!L:L,"",0)="VL","VL",IF(XLOOKUP($A76,Partner_Voice!$A:$A,Partner_Voice!L:L,"",0)="ATT","ATT",XLOOKUP($A76,Partner_Voice!$A:$A,Partner_Voice!L:L,"",0))))</f>
        <v>0.3333333333</v>
      </c>
      <c r="M76" s="42">
        <f t="array" ref="M76">IF(XLOOKUP($A76,Partner_Voice!$A:$A,Partner_Voice!M:M,"",0)="Free","Free",IF(XLOOKUP($A76,Partner_Voice!$A:$A,Partner_Voice!M:M,"",0)="VL","VL",IF(XLOOKUP($A76,Partner_Voice!$A:$A,Partner_Voice!M:M,"",0)="ATT","ATT",XLOOKUP($A76,Partner_Voice!$A:$A,Partner_Voice!M:M,"",0))))</f>
        <v>0.3333333333</v>
      </c>
      <c r="N76" s="42">
        <f t="array" ref="N76">IF(XLOOKUP($A76,Partner_Voice!$A:$A,Partner_Voice!N:N,"",0)="Free","Free",IF(XLOOKUP($A76,Partner_Voice!$A:$A,Partner_Voice!N:N,"",0)="VL","VL",IF(XLOOKUP($A76,Partner_Voice!$A:$A,Partner_Voice!N:N,"",0)="ATT","ATT",XLOOKUP($A76,Partner_Voice!$A:$A,Partner_Voice!N:N,"",0))))</f>
        <v>0.3333333333</v>
      </c>
      <c r="O76" s="42">
        <f t="array" ref="O76">IF(XLOOKUP($A76,Partner_Voice!$A:$A,Partner_Voice!O:O,"",0)="Free","Free",IF(XLOOKUP($A76,Partner_Voice!$A:$A,Partner_Voice!O:O,"",0)="VL","VL",IF(XLOOKUP($A76,Partner_Voice!$A:$A,Partner_Voice!O:O,"",0)="ATT","ATT",XLOOKUP($A76,Partner_Voice!$A:$A,Partner_Voice!O:O,"",0))))</f>
        <v>0.3333333333</v>
      </c>
      <c r="P76" s="42">
        <f t="array" ref="P76">IF(XLOOKUP($A76,Partner_Voice!$A:$A,Partner_Voice!P:P,"",0)="Free","Free",IF(XLOOKUP($A76,Partner_Voice!$A:$A,Partner_Voice!P:P,"",0)="VL","VL",IF(XLOOKUP($A76,Partner_Voice!$A:$A,Partner_Voice!P:P,"",0)="ATT","ATT",XLOOKUP($A76,Partner_Voice!$A:$A,Partner_Voice!P:P,"",0))))</f>
        <v>0.3333333333</v>
      </c>
      <c r="Q76" s="42" t="str">
        <f t="array" ref="Q76">IF(XLOOKUP($A76,Partner_Voice!$A:$A,Partner_Voice!Q:Q,"",0)="Free","Free",IF(XLOOKUP($A76,Partner_Voice!$A:$A,Partner_Voice!Q:Q,"",0)="VL","VL",IF(XLOOKUP($A76,Partner_Voice!$A:$A,Partner_Voice!Q:Q,"",0)="ATT","ATT",XLOOKUP($A76,Partner_Voice!$A:$A,Partner_Voice!Q:Q,"",0))))</f>
        <v>Free</v>
      </c>
      <c r="R76" s="43"/>
      <c r="S76" s="42">
        <f t="array" ref="S76">IF(XLOOKUP($A76,Partner_Voice!$A:$A,Partner_Voice!S:S,"",0)="Free","Free",IF(XLOOKUP($A76,Partner_Voice!$A:$A,Partner_Voice!S:S,"",0)="VL","VL",IF(XLOOKUP($A76,Partner_Voice!$A:$A,Partner_Voice!S:S,"",0)="ATT","ATT",XLOOKUP($A76,Partner_Voice!$A:$A,Partner_Voice!S:S,"",0))))</f>
        <v>0.3333333333</v>
      </c>
      <c r="T76" s="42">
        <f t="array" ref="T76">IF(XLOOKUP($A76,Partner_Voice!$A:$A,Partner_Voice!T:T,"",0)="Free","Free",IF(XLOOKUP($A76,Partner_Voice!$A:$A,Partner_Voice!T:T,"",0)="VL","VL",IF(XLOOKUP($A76,Partner_Voice!$A:$A,Partner_Voice!T:T,"",0)="ATT","ATT",XLOOKUP($A76,Partner_Voice!$A:$A,Partner_Voice!T:T,"",0))))</f>
        <v>0.3333333333</v>
      </c>
      <c r="U76" s="42">
        <f t="array" ref="U76">IF(XLOOKUP($A76,Partner_Voice!$A:$A,Partner_Voice!U:U,"",0)="Free","Free",IF(XLOOKUP($A76,Partner_Voice!$A:$A,Partner_Voice!U:U,"",0)="VL","VL",IF(XLOOKUP($A76,Partner_Voice!$A:$A,Partner_Voice!U:U,"",0)="ATT","ATT",XLOOKUP($A76,Partner_Voice!$A:$A,Partner_Voice!U:U,"",0))))</f>
        <v>0.3333333333</v>
      </c>
      <c r="V76" s="42">
        <f t="array" ref="V76">IF(XLOOKUP($A76,Partner_Voice!$A:$A,Partner_Voice!V:V,"",0)="Free","Free",IF(XLOOKUP($A76,Partner_Voice!$A:$A,Partner_Voice!V:V,"",0)="VL","VL",IF(XLOOKUP($A76,Partner_Voice!$A:$A,Partner_Voice!V:V,"",0)="ATT","ATT",XLOOKUP($A76,Partner_Voice!$A:$A,Partner_Voice!V:V,"",0))))</f>
        <v>0.3333333333</v>
      </c>
      <c r="W76" s="42">
        <f t="array" ref="W76">IF(XLOOKUP($A76,Partner_Voice!$A:$A,Partner_Voice!W:W,"",0)="Free","Free",IF(XLOOKUP($A76,Partner_Voice!$A:$A,Partner_Voice!W:W,"",0)="VL","VL",IF(XLOOKUP($A76,Partner_Voice!$A:$A,Partner_Voice!W:W,"",0)="ATT","ATT",XLOOKUP($A76,Partner_Voice!$A:$A,Partner_Voice!W:W,"",0))))</f>
        <v>0.3333333333</v>
      </c>
      <c r="X76" s="42" t="str">
        <f t="array" ref="X76">IF(XLOOKUP($A76,Partner_Voice!$A:$A,Partner_Voice!X:X,"",0)="Free","Free",IF(XLOOKUP($A76,Partner_Voice!$A:$A,Partner_Voice!X:X,"",0)="VL","VL",IF(XLOOKUP($A76,Partner_Voice!$A:$A,Partner_Voice!X:X,"",0)="ATT","ATT",XLOOKUP($A76,Partner_Voice!$A:$A,Partner_Voice!X:X,"",0))))</f>
        <v>Free</v>
      </c>
      <c r="Y76" s="43"/>
      <c r="Z76" s="42">
        <f t="array" ref="Z76">IF(XLOOKUP($A76,Partner_Voice!$A:$A,Partner_Voice!Z:Z,"",0)="Free","Free",IF(XLOOKUP($A76,Partner_Voice!$A:$A,Partner_Voice!Z:Z,"",0)="VL","VL",IF(XLOOKUP($A76,Partner_Voice!$A:$A,Partner_Voice!Z:Z,"",0)="ATT","ATT",XLOOKUP($A76,Partner_Voice!$A:$A,Partner_Voice!Z:Z,"",0))))</f>
        <v>0.3333333333</v>
      </c>
      <c r="AA76" s="42">
        <f t="array" ref="AA76">IF(XLOOKUP($A76,Partner_Voice!$A:$A,Partner_Voice!AA:AA,"",0)="Free","Free",IF(XLOOKUP($A76,Partner_Voice!$A:$A,Partner_Voice!AA:AA,"",0)="VL","VL",IF(XLOOKUP($A76,Partner_Voice!$A:$A,Partner_Voice!AA:AA,"",0)="ATT","ATT",XLOOKUP($A76,Partner_Voice!$A:$A,Partner_Voice!AA:AA,"",0))))</f>
        <v>0.3333333333</v>
      </c>
      <c r="AB76" s="42">
        <f t="array" ref="AB76">IF(XLOOKUP($A76,Partner_Voice!$A:$A,Partner_Voice!AB:AB,"",0)="Free","Free",IF(XLOOKUP($A76,Partner_Voice!$A:$A,Partner_Voice!AB:AB,"",0)="VL","VL",IF(XLOOKUP($A76,Partner_Voice!$A:$A,Partner_Voice!AB:AB,"",0)="ATT","ATT",XLOOKUP($A76,Partner_Voice!$A:$A,Partner_Voice!AB:AB,"",0))))</f>
        <v>0.3333333333</v>
      </c>
      <c r="AC76" s="42">
        <f t="array" ref="AC76">IF(XLOOKUP($A76,Partner_Voice!$A:$A,Partner_Voice!AC:AC,"",0)="Free","Free",IF(XLOOKUP($A76,Partner_Voice!$A:$A,Partner_Voice!AC:AC,"",0)="VL","VL",IF(XLOOKUP($A76,Partner_Voice!$A:$A,Partner_Voice!AC:AC,"",0)="ATT","ATT",XLOOKUP($A76,Partner_Voice!$A:$A,Partner_Voice!AC:AC,"",0))))</f>
        <v>0.3333333333</v>
      </c>
      <c r="AD76" s="42">
        <f t="array" ref="AD76">IF(XLOOKUP($A76,Partner_Voice!$A:$A,Partner_Voice!AD:AD,"",0)="Free","Free",IF(XLOOKUP($A76,Partner_Voice!$A:$A,Partner_Voice!AD:AD,"",0)="VL","VL",IF(XLOOKUP($A76,Partner_Voice!$A:$A,Partner_Voice!AD:AD,"",0)="ATT","ATT",XLOOKUP($A76,Partner_Voice!$A:$A,Partner_Voice!AD:AD,"",0))))</f>
        <v>0.3333333333</v>
      </c>
      <c r="AE76" s="42" t="str">
        <f t="array" ref="AE76">IF(XLOOKUP($A76,Partner_Voice!$A:$A,Partner_Voice!AE:AE,"",0)="Free","Free",IF(XLOOKUP($A76,Partner_Voice!$A:$A,Partner_Voice!AE:AE,"",0)="VL","VL",IF(XLOOKUP($A76,Partner_Voice!$A:$A,Partner_Voice!AE:AE,"",0)="ATT","ATT",XLOOKUP($A76,Partner_Voice!$A:$A,Partner_Voice!AE:AE,"",0))))</f>
        <v>Free</v>
      </c>
      <c r="AF76" s="69"/>
      <c r="AG76" s="42">
        <f t="array" ref="AG76">IF(XLOOKUP($A76,Partner_Voice!$A:$A,Partner_Voice!AG:AG,"",0)="Free","Free",IF(XLOOKUP($A76,Partner_Voice!$A:$A,Partner_Voice!AG:AG,"",0)="VL","VL",IF(XLOOKUP($A76,Partner_Voice!$A:$A,Partner_Voice!AG:AG,"",0)="ATT","ATT",XLOOKUP($A76,Partner_Voice!$A:$A,Partner_Voice!AG:AG,"",0))))</f>
        <v>0.3333333333</v>
      </c>
      <c r="AH76" s="42">
        <f t="array" ref="AH76">IF(XLOOKUP($A76,Partner_Voice!$A:$A,Partner_Voice!AH:AH,"",0)="Free","Free",IF(XLOOKUP($A76,Partner_Voice!$A:$A,Partner_Voice!AH:AH,"",0)="VL","VL",IF(XLOOKUP($A76,Partner_Voice!$A:$A,Partner_Voice!AH:AH,"",0)="ATT","ATT",XLOOKUP($A76,Partner_Voice!$A:$A,Partner_Voice!AH:AH,"",0))))</f>
        <v>0.3333333333</v>
      </c>
      <c r="AI76" s="42">
        <f t="array" ref="AI76">IF(XLOOKUP($A76,Partner_Voice!$A:$A,Partner_Voice!AI:AI,"",0)="Free","Free",IF(XLOOKUP($A76,Partner_Voice!$A:$A,Partner_Voice!AI:AI,"",0)="VL","VL",IF(XLOOKUP($A76,Partner_Voice!$A:$A,Partner_Voice!AI:AI,"",0)="ATT","ATT",XLOOKUP($A76,Partner_Voice!$A:$A,Partner_Voice!AI:AI,"",0))))</f>
        <v>0.3333333333</v>
      </c>
      <c r="AJ76" s="42">
        <f t="array" ref="AJ76">IF(XLOOKUP($A76,Partner_Voice!$A:$A,Partner_Voice!AJ:AJ,"",0)="Free","Free",IF(XLOOKUP($A76,Partner_Voice!$A:$A,Partner_Voice!AJ:AJ,"",0)="VL","VL",IF(XLOOKUP($A76,Partner_Voice!$A:$A,Partner_Voice!AJ:AJ,"",0)="ATT","ATT",XLOOKUP($A76,Partner_Voice!$A:$A,Partner_Voice!AJ:AJ,"",0))))</f>
        <v>0.3333333333</v>
      </c>
      <c r="AK76" s="42">
        <f t="array" ref="AK76">IF(XLOOKUP($A76,Partner_Voice!$A:$A,Partner_Voice!AK:AK,"",0)="Free","Free",IF(XLOOKUP($A76,Partner_Voice!$A:$A,Partner_Voice!AK:AK,"",0)="VL","VL",IF(XLOOKUP($A76,Partner_Voice!$A:$A,Partner_Voice!AK:AK,"",0)="ATT","ATT",XLOOKUP($A76,Partner_Voice!$A:$A,Partner_Voice!AK:AK,"",0))))</f>
        <v>0.3333333333</v>
      </c>
      <c r="AL76" s="42" t="str">
        <f t="array" ref="AL76">IF(XLOOKUP($A76,Partner_Voice!$A:$A,Partner_Voice!AL:AL,"",0)="Free","Free",IF(XLOOKUP($A76,Partner_Voice!$A:$A,Partner_Voice!AL:AL,"",0)="VL","VL",IF(XLOOKUP($A76,Partner_Voice!$A:$A,Partner_Voice!AL:AL,"",0)="ATT","ATT",XLOOKUP($A76,Partner_Voice!$A:$A,Partner_Voice!AL:AL,"",0))))</f>
        <v>Free</v>
      </c>
      <c r="AM76" s="42"/>
    </row>
    <row r="77">
      <c r="A77" s="47" t="s">
        <v>82</v>
      </c>
      <c r="B77" s="35" t="str">
        <f t="array" ref="B77">XLOOKUP(A77,Roster!F:F,Roster!A:A,"")</f>
        <v>Mateo Henao</v>
      </c>
      <c r="C77" s="35" t="str">
        <f t="array" ref="C77">XLOOKUP(A77,Roster!F:F,Roster!B:B,"")</f>
        <v>William Florez</v>
      </c>
      <c r="D77" s="70"/>
      <c r="E77" s="42">
        <f t="array" ref="E77">IF(XLOOKUP($A77,Partner_Voice!$A:$A,Partner_Voice!E:E,"",0)="Free","Free",IF(XLOOKUP($A77,Partner_Voice!$A:$A,Partner_Voice!E:E,"",0)="VL","VL",IF(XLOOKUP($A77,Partner_Voice!$A:$A,Partner_Voice!E:E,"",0)="ATT","ATT",XLOOKUP($A77,Partner_Voice!$A:$A,Partner_Voice!E:E,"",0))))</f>
        <v>0.375</v>
      </c>
      <c r="F77" s="42">
        <f t="array" ref="F77">IF(XLOOKUP($A77,Partner_Voice!$A:$A,Partner_Voice!F:F,"",0)="Free","Free",IF(XLOOKUP($A77,Partner_Voice!$A:$A,Partner_Voice!F:F,"",0)="VL","VL",IF(XLOOKUP($A77,Partner_Voice!$A:$A,Partner_Voice!F:F,"",0)="ATT","ATT",XLOOKUP($A77,Partner_Voice!$A:$A,Partner_Voice!F:F,"",0))))</f>
        <v>0.375</v>
      </c>
      <c r="G77" s="42" t="str">
        <f t="array" ref="G77">IF(XLOOKUP($A77,Partner_Voice!$A:$A,Partner_Voice!G:G,"",0)="Free","Free",IF(XLOOKUP($A77,Partner_Voice!$A:$A,Partner_Voice!G:G,"",0)="VL","VL",IF(XLOOKUP($A77,Partner_Voice!$A:$A,Partner_Voice!G:G,"",0)="ATT","ATT",XLOOKUP($A77,Partner_Voice!$A:$A,Partner_Voice!G:G,"",0))))</f>
        <v>Free</v>
      </c>
      <c r="H77" s="42">
        <f t="array" ref="H77">IF(XLOOKUP($A77,Partner_Voice!$A:$A,Partner_Voice!H:H,"",0)="Free","Free",IF(XLOOKUP($A77,Partner_Voice!$A:$A,Partner_Voice!H:H,"",0)="VL","VL",IF(XLOOKUP($A77,Partner_Voice!$A:$A,Partner_Voice!H:H,"",0)="ATT","ATT",XLOOKUP($A77,Partner_Voice!$A:$A,Partner_Voice!H:H,"",0))))</f>
        <v>0.375</v>
      </c>
      <c r="I77" s="42">
        <f t="array" ref="I77">IF(XLOOKUP($A77,Partner_Voice!$A:$A,Partner_Voice!I:I,"",0)="Free","Free",IF(XLOOKUP($A77,Partner_Voice!$A:$A,Partner_Voice!I:I,"",0)="VL","VL",IF(XLOOKUP($A77,Partner_Voice!$A:$A,Partner_Voice!I:I,"",0)="ATT","ATT",XLOOKUP($A77,Partner_Voice!$A:$A,Partner_Voice!I:I,"",0))))</f>
        <v>0.375</v>
      </c>
      <c r="J77" s="42">
        <f t="array" ref="J77">IF(XLOOKUP($A77,Partner_Voice!$A:$A,Partner_Voice!J:J,"",0)="Free","Free",IF(XLOOKUP($A77,Partner_Voice!$A:$A,Partner_Voice!J:J,"",0)="VL","VL",IF(XLOOKUP($A77,Partner_Voice!$A:$A,Partner_Voice!J:J,"",0)="ATT","ATT",XLOOKUP($A77,Partner_Voice!$A:$A,Partner_Voice!J:J,"",0))))</f>
        <v>0.375</v>
      </c>
      <c r="K77" s="42"/>
      <c r="L77" s="42">
        <f t="array" ref="L77">IF(XLOOKUP($A77,Partner_Voice!$A:$A,Partner_Voice!L:L,"",0)="Free","Free",IF(XLOOKUP($A77,Partner_Voice!$A:$A,Partner_Voice!L:L,"",0)="VL","VL",IF(XLOOKUP($A77,Partner_Voice!$A:$A,Partner_Voice!L:L,"",0)="ATT","ATT",XLOOKUP($A77,Partner_Voice!$A:$A,Partner_Voice!L:L,"",0))))</f>
        <v>0.375</v>
      </c>
      <c r="M77" s="42">
        <f t="array" ref="M77">IF(XLOOKUP($A77,Partner_Voice!$A:$A,Partner_Voice!M:M,"",0)="Free","Free",IF(XLOOKUP($A77,Partner_Voice!$A:$A,Partner_Voice!M:M,"",0)="VL","VL",IF(XLOOKUP($A77,Partner_Voice!$A:$A,Partner_Voice!M:M,"",0)="ATT","ATT",XLOOKUP($A77,Partner_Voice!$A:$A,Partner_Voice!M:M,"",0))))</f>
        <v>0.375</v>
      </c>
      <c r="N77" s="42">
        <f t="array" ref="N77">IF(XLOOKUP($A77,Partner_Voice!$A:$A,Partner_Voice!N:N,"",0)="Free","Free",IF(XLOOKUP($A77,Partner_Voice!$A:$A,Partner_Voice!N:N,"",0)="VL","VL",IF(XLOOKUP($A77,Partner_Voice!$A:$A,Partner_Voice!N:N,"",0)="ATT","ATT",XLOOKUP($A77,Partner_Voice!$A:$A,Partner_Voice!N:N,"",0))))</f>
        <v>0.375</v>
      </c>
      <c r="O77" s="42">
        <f t="array" ref="O77">IF(XLOOKUP($A77,Partner_Voice!$A:$A,Partner_Voice!O:O,"",0)="Free","Free",IF(XLOOKUP($A77,Partner_Voice!$A:$A,Partner_Voice!O:O,"",0)="VL","VL",IF(XLOOKUP($A77,Partner_Voice!$A:$A,Partner_Voice!O:O,"",0)="ATT","ATT",XLOOKUP($A77,Partner_Voice!$A:$A,Partner_Voice!O:O,"",0))))</f>
        <v>0.375</v>
      </c>
      <c r="P77" s="42">
        <f t="array" ref="P77">IF(XLOOKUP($A77,Partner_Voice!$A:$A,Partner_Voice!P:P,"",0)="Free","Free",IF(XLOOKUP($A77,Partner_Voice!$A:$A,Partner_Voice!P:P,"",0)="VL","VL",IF(XLOOKUP($A77,Partner_Voice!$A:$A,Partner_Voice!P:P,"",0)="ATT","ATT",XLOOKUP($A77,Partner_Voice!$A:$A,Partner_Voice!P:P,"",0))))</f>
        <v>0.375</v>
      </c>
      <c r="Q77" s="42" t="str">
        <f t="array" ref="Q77">IF(XLOOKUP($A77,Partner_Voice!$A:$A,Partner_Voice!Q:Q,"",0)="Free","Free",IF(XLOOKUP($A77,Partner_Voice!$A:$A,Partner_Voice!Q:Q,"",0)="VL","VL",IF(XLOOKUP($A77,Partner_Voice!$A:$A,Partner_Voice!Q:Q,"",0)="ATT","ATT",XLOOKUP($A77,Partner_Voice!$A:$A,Partner_Voice!Q:Q,"",0))))</f>
        <v>Free</v>
      </c>
      <c r="R77" s="43"/>
      <c r="S77" s="42">
        <f t="array" ref="S77">IF(XLOOKUP($A77,Partner_Voice!$A:$A,Partner_Voice!S:S,"",0)="Free","Free",IF(XLOOKUP($A77,Partner_Voice!$A:$A,Partner_Voice!S:S,"",0)="VL","VL",IF(XLOOKUP($A77,Partner_Voice!$A:$A,Partner_Voice!S:S,"",0)="ATT","ATT",XLOOKUP($A77,Partner_Voice!$A:$A,Partner_Voice!S:S,"",0))))</f>
        <v>0.375</v>
      </c>
      <c r="T77" s="42">
        <f t="array" ref="T77">IF(XLOOKUP($A77,Partner_Voice!$A:$A,Partner_Voice!T:T,"",0)="Free","Free",IF(XLOOKUP($A77,Partner_Voice!$A:$A,Partner_Voice!T:T,"",0)="VL","VL",IF(XLOOKUP($A77,Partner_Voice!$A:$A,Partner_Voice!T:T,"",0)="ATT","ATT",XLOOKUP($A77,Partner_Voice!$A:$A,Partner_Voice!T:T,"",0))))</f>
        <v>0.375</v>
      </c>
      <c r="U77" s="42">
        <f t="array" ref="U77">IF(XLOOKUP($A77,Partner_Voice!$A:$A,Partner_Voice!U:U,"",0)="Free","Free",IF(XLOOKUP($A77,Partner_Voice!$A:$A,Partner_Voice!U:U,"",0)="VL","VL",IF(XLOOKUP($A77,Partner_Voice!$A:$A,Partner_Voice!U:U,"",0)="ATT","ATT",XLOOKUP($A77,Partner_Voice!$A:$A,Partner_Voice!U:U,"",0))))</f>
        <v>0.375</v>
      </c>
      <c r="V77" s="42">
        <f t="array" ref="V77">IF(XLOOKUP($A77,Partner_Voice!$A:$A,Partner_Voice!V:V,"",0)="Free","Free",IF(XLOOKUP($A77,Partner_Voice!$A:$A,Partner_Voice!V:V,"",0)="VL","VL",IF(XLOOKUP($A77,Partner_Voice!$A:$A,Partner_Voice!V:V,"",0)="ATT","ATT",XLOOKUP($A77,Partner_Voice!$A:$A,Partner_Voice!V:V,"",0))))</f>
        <v>0.375</v>
      </c>
      <c r="W77" s="42">
        <f t="array" ref="W77">IF(XLOOKUP($A77,Partner_Voice!$A:$A,Partner_Voice!W:W,"",0)="Free","Free",IF(XLOOKUP($A77,Partner_Voice!$A:$A,Partner_Voice!W:W,"",0)="VL","VL",IF(XLOOKUP($A77,Partner_Voice!$A:$A,Partner_Voice!W:W,"",0)="ATT","ATT",XLOOKUP($A77,Partner_Voice!$A:$A,Partner_Voice!W:W,"",0))))</f>
        <v>0.375</v>
      </c>
      <c r="X77" s="42" t="str">
        <f t="array" ref="X77">IF(XLOOKUP($A77,Partner_Voice!$A:$A,Partner_Voice!X:X,"",0)="Free","Free",IF(XLOOKUP($A77,Partner_Voice!$A:$A,Partner_Voice!X:X,"",0)="VL","VL",IF(XLOOKUP($A77,Partner_Voice!$A:$A,Partner_Voice!X:X,"",0)="ATT","ATT",XLOOKUP($A77,Partner_Voice!$A:$A,Partner_Voice!X:X,"",0))))</f>
        <v>Free</v>
      </c>
      <c r="Y77" s="43"/>
      <c r="Z77" s="42">
        <f t="array" ref="Z77">IF(XLOOKUP($A77,Partner_Voice!$A:$A,Partner_Voice!Z:Z,"",0)="Free","Free",IF(XLOOKUP($A77,Partner_Voice!$A:$A,Partner_Voice!Z:Z,"",0)="VL","VL",IF(XLOOKUP($A77,Partner_Voice!$A:$A,Partner_Voice!Z:Z,"",0)="ATT","ATT",XLOOKUP($A77,Partner_Voice!$A:$A,Partner_Voice!Z:Z,"",0))))</f>
        <v>0.375</v>
      </c>
      <c r="AA77" s="42">
        <f t="array" ref="AA77">IF(XLOOKUP($A77,Partner_Voice!$A:$A,Partner_Voice!AA:AA,"",0)="Free","Free",IF(XLOOKUP($A77,Partner_Voice!$A:$A,Partner_Voice!AA:AA,"",0)="VL","VL",IF(XLOOKUP($A77,Partner_Voice!$A:$A,Partner_Voice!AA:AA,"",0)="ATT","ATT",XLOOKUP($A77,Partner_Voice!$A:$A,Partner_Voice!AA:AA,"",0))))</f>
        <v>0.375</v>
      </c>
      <c r="AB77" s="42">
        <f t="array" ref="AB77">IF(XLOOKUP($A77,Partner_Voice!$A:$A,Partner_Voice!AB:AB,"",0)="Free","Free",IF(XLOOKUP($A77,Partner_Voice!$A:$A,Partner_Voice!AB:AB,"",0)="VL","VL",IF(XLOOKUP($A77,Partner_Voice!$A:$A,Partner_Voice!AB:AB,"",0)="ATT","ATT",XLOOKUP($A77,Partner_Voice!$A:$A,Partner_Voice!AB:AB,"",0))))</f>
        <v>0.375</v>
      </c>
      <c r="AC77" s="42">
        <f t="array" ref="AC77">IF(XLOOKUP($A77,Partner_Voice!$A:$A,Partner_Voice!AC:AC,"",0)="Free","Free",IF(XLOOKUP($A77,Partner_Voice!$A:$A,Partner_Voice!AC:AC,"",0)="VL","VL",IF(XLOOKUP($A77,Partner_Voice!$A:$A,Partner_Voice!AC:AC,"",0)="ATT","ATT",XLOOKUP($A77,Partner_Voice!$A:$A,Partner_Voice!AC:AC,"",0))))</f>
        <v>0.375</v>
      </c>
      <c r="AD77" s="42">
        <f t="array" ref="AD77">IF(XLOOKUP($A77,Partner_Voice!$A:$A,Partner_Voice!AD:AD,"",0)="Free","Free",IF(XLOOKUP($A77,Partner_Voice!$A:$A,Partner_Voice!AD:AD,"",0)="VL","VL",IF(XLOOKUP($A77,Partner_Voice!$A:$A,Partner_Voice!AD:AD,"",0)="ATT","ATT",XLOOKUP($A77,Partner_Voice!$A:$A,Partner_Voice!AD:AD,"",0))))</f>
        <v>0.375</v>
      </c>
      <c r="AE77" s="42" t="str">
        <f t="array" ref="AE77">IF(XLOOKUP($A77,Partner_Voice!$A:$A,Partner_Voice!AE:AE,"",0)="Free","Free",IF(XLOOKUP($A77,Partner_Voice!$A:$A,Partner_Voice!AE:AE,"",0)="VL","VL",IF(XLOOKUP($A77,Partner_Voice!$A:$A,Partner_Voice!AE:AE,"",0)="ATT","ATT",XLOOKUP($A77,Partner_Voice!$A:$A,Partner_Voice!AE:AE,"",0))))</f>
        <v>Free</v>
      </c>
      <c r="AF77" s="69"/>
      <c r="AG77" s="42">
        <f t="array" ref="AG77">IF(XLOOKUP($A77,Partner_Voice!$A:$A,Partner_Voice!AG:AG,"",0)="Free","Free",IF(XLOOKUP($A77,Partner_Voice!$A:$A,Partner_Voice!AG:AG,"",0)="VL","VL",IF(XLOOKUP($A77,Partner_Voice!$A:$A,Partner_Voice!AG:AG,"",0)="ATT","ATT",XLOOKUP($A77,Partner_Voice!$A:$A,Partner_Voice!AG:AG,"",0))))</f>
        <v>0.375</v>
      </c>
      <c r="AH77" s="42">
        <f t="array" ref="AH77">IF(XLOOKUP($A77,Partner_Voice!$A:$A,Partner_Voice!AH:AH,"",0)="Free","Free",IF(XLOOKUP($A77,Partner_Voice!$A:$A,Partner_Voice!AH:AH,"",0)="VL","VL",IF(XLOOKUP($A77,Partner_Voice!$A:$A,Partner_Voice!AH:AH,"",0)="ATT","ATT",XLOOKUP($A77,Partner_Voice!$A:$A,Partner_Voice!AH:AH,"",0))))</f>
        <v>0.375</v>
      </c>
      <c r="AI77" s="42">
        <f t="array" ref="AI77">IF(XLOOKUP($A77,Partner_Voice!$A:$A,Partner_Voice!AI:AI,"",0)="Free","Free",IF(XLOOKUP($A77,Partner_Voice!$A:$A,Partner_Voice!AI:AI,"",0)="VL","VL",IF(XLOOKUP($A77,Partner_Voice!$A:$A,Partner_Voice!AI:AI,"",0)="ATT","ATT",XLOOKUP($A77,Partner_Voice!$A:$A,Partner_Voice!AI:AI,"",0))))</f>
        <v>0.375</v>
      </c>
      <c r="AJ77" s="42">
        <f t="array" ref="AJ77">IF(XLOOKUP($A77,Partner_Voice!$A:$A,Partner_Voice!AJ:AJ,"",0)="Free","Free",IF(XLOOKUP($A77,Partner_Voice!$A:$A,Partner_Voice!AJ:AJ,"",0)="VL","VL",IF(XLOOKUP($A77,Partner_Voice!$A:$A,Partner_Voice!AJ:AJ,"",0)="ATT","ATT",XLOOKUP($A77,Partner_Voice!$A:$A,Partner_Voice!AJ:AJ,"",0))))</f>
        <v>0.375</v>
      </c>
      <c r="AK77" s="42">
        <f t="array" ref="AK77">IF(XLOOKUP($A77,Partner_Voice!$A:$A,Partner_Voice!AK:AK,"",0)="Free","Free",IF(XLOOKUP($A77,Partner_Voice!$A:$A,Partner_Voice!AK:AK,"",0)="VL","VL",IF(XLOOKUP($A77,Partner_Voice!$A:$A,Partner_Voice!AK:AK,"",0)="ATT","ATT",XLOOKUP($A77,Partner_Voice!$A:$A,Partner_Voice!AK:AK,"",0))))</f>
        <v>0.375</v>
      </c>
      <c r="AL77" s="42" t="str">
        <f t="array" ref="AL77">IF(XLOOKUP($A77,Partner_Voice!$A:$A,Partner_Voice!AL:AL,"",0)="Free","Free",IF(XLOOKUP($A77,Partner_Voice!$A:$A,Partner_Voice!AL:AL,"",0)="VL","VL",IF(XLOOKUP($A77,Partner_Voice!$A:$A,Partner_Voice!AL:AL,"",0)="ATT","ATT",XLOOKUP($A77,Partner_Voice!$A:$A,Partner_Voice!AL:AL,"",0))))</f>
        <v>Free</v>
      </c>
      <c r="AM77" s="42"/>
    </row>
    <row r="78">
      <c r="A78" s="47" t="s">
        <v>192</v>
      </c>
      <c r="B78" s="35" t="str">
        <f t="array" ref="B78">XLOOKUP(A78,Roster!F:F,Roster!A:A,"")</f>
        <v>Daniel Bustamante</v>
      </c>
      <c r="C78" s="35" t="str">
        <f t="array" ref="C78">XLOOKUP(A78,Roster!F:F,Roster!B:B,"")</f>
        <v>Huberney Durango</v>
      </c>
      <c r="D78" s="70"/>
      <c r="E78" s="42">
        <f t="array" ref="E78">IF(XLOOKUP($A78,Partner_Voice!$A:$A,Partner_Voice!E:E,"",0)="Free","Free",IF(XLOOKUP($A78,Partner_Voice!$A:$A,Partner_Voice!E:E,"",0)="VL","VL",IF(XLOOKUP($A78,Partner_Voice!$A:$A,Partner_Voice!E:E,"",0)="ATT","ATT",XLOOKUP($A78,Partner_Voice!$A:$A,Partner_Voice!E:E,"",0))))</f>
        <v>0.3333333333</v>
      </c>
      <c r="F78" s="42">
        <f t="array" ref="F78">IF(XLOOKUP($A78,Partner_Voice!$A:$A,Partner_Voice!F:F,"",0)="Free","Free",IF(XLOOKUP($A78,Partner_Voice!$A:$A,Partner_Voice!F:F,"",0)="VL","VL",IF(XLOOKUP($A78,Partner_Voice!$A:$A,Partner_Voice!F:F,"",0)="ATT","ATT",XLOOKUP($A78,Partner_Voice!$A:$A,Partner_Voice!F:F,"",0))))</f>
        <v>0.3333333333</v>
      </c>
      <c r="G78" s="42">
        <f t="array" ref="G78">IF(XLOOKUP($A78,Partner_Voice!$A:$A,Partner_Voice!G:G,"",0)="Free","Free",IF(XLOOKUP($A78,Partner_Voice!$A:$A,Partner_Voice!G:G,"",0)="VL","VL",IF(XLOOKUP($A78,Partner_Voice!$A:$A,Partner_Voice!G:G,"",0)="ATT","ATT",XLOOKUP($A78,Partner_Voice!$A:$A,Partner_Voice!G:G,"",0))))</f>
        <v>0.3333333333</v>
      </c>
      <c r="H78" s="42">
        <f t="array" ref="H78">IF(XLOOKUP($A78,Partner_Voice!$A:$A,Partner_Voice!H:H,"",0)="Free","Free",IF(XLOOKUP($A78,Partner_Voice!$A:$A,Partner_Voice!H:H,"",0)="VL","VL",IF(XLOOKUP($A78,Partner_Voice!$A:$A,Partner_Voice!H:H,"",0)="ATT","ATT",XLOOKUP($A78,Partner_Voice!$A:$A,Partner_Voice!H:H,"",0))))</f>
        <v>0.3333333333</v>
      </c>
      <c r="I78" s="42">
        <f t="array" ref="I78">IF(XLOOKUP($A78,Partner_Voice!$A:$A,Partner_Voice!I:I,"",0)="Free","Free",IF(XLOOKUP($A78,Partner_Voice!$A:$A,Partner_Voice!I:I,"",0)="VL","VL",IF(XLOOKUP($A78,Partner_Voice!$A:$A,Partner_Voice!I:I,"",0)="ATT","ATT",XLOOKUP($A78,Partner_Voice!$A:$A,Partner_Voice!I:I,"",0))))</f>
        <v>0.3333333333</v>
      </c>
      <c r="J78" s="42" t="str">
        <f t="array" ref="J78">IF(XLOOKUP($A78,Partner_Voice!$A:$A,Partner_Voice!J:J,"",0)="Free","Free",IF(XLOOKUP($A78,Partner_Voice!$A:$A,Partner_Voice!J:J,"",0)="VL","VL",IF(XLOOKUP($A78,Partner_Voice!$A:$A,Partner_Voice!J:J,"",0)="ATT","ATT",XLOOKUP($A78,Partner_Voice!$A:$A,Partner_Voice!J:J,"",0))))</f>
        <v>Free</v>
      </c>
      <c r="K78" s="42"/>
      <c r="L78" s="42">
        <f t="array" ref="L78">IF(XLOOKUP($A78,Partner_Voice!$A:$A,Partner_Voice!L:L,"",0)="Free","Free",IF(XLOOKUP($A78,Partner_Voice!$A:$A,Partner_Voice!L:L,"",0)="VL","VL",IF(XLOOKUP($A78,Partner_Voice!$A:$A,Partner_Voice!L:L,"",0)="ATT","ATT",XLOOKUP($A78,Partner_Voice!$A:$A,Partner_Voice!L:L,"",0))))</f>
        <v>0.3333333333</v>
      </c>
      <c r="M78" s="42">
        <f t="array" ref="M78">IF(XLOOKUP($A78,Partner_Voice!$A:$A,Partner_Voice!M:M,"",0)="Free","Free",IF(XLOOKUP($A78,Partner_Voice!$A:$A,Partner_Voice!M:M,"",0)="VL","VL",IF(XLOOKUP($A78,Partner_Voice!$A:$A,Partner_Voice!M:M,"",0)="ATT","ATT",XLOOKUP($A78,Partner_Voice!$A:$A,Partner_Voice!M:M,"",0))))</f>
        <v>0.3333333333</v>
      </c>
      <c r="N78" s="42">
        <f t="array" ref="N78">IF(XLOOKUP($A78,Partner_Voice!$A:$A,Partner_Voice!N:N,"",0)="Free","Free",IF(XLOOKUP($A78,Partner_Voice!$A:$A,Partner_Voice!N:N,"",0)="VL","VL",IF(XLOOKUP($A78,Partner_Voice!$A:$A,Partner_Voice!N:N,"",0)="ATT","ATT",XLOOKUP($A78,Partner_Voice!$A:$A,Partner_Voice!N:N,"",0))))</f>
        <v>0.3333333333</v>
      </c>
      <c r="O78" s="42">
        <f t="array" ref="O78">IF(XLOOKUP($A78,Partner_Voice!$A:$A,Partner_Voice!O:O,"",0)="Free","Free",IF(XLOOKUP($A78,Partner_Voice!$A:$A,Partner_Voice!O:O,"",0)="VL","VL",IF(XLOOKUP($A78,Partner_Voice!$A:$A,Partner_Voice!O:O,"",0)="ATT","ATT",XLOOKUP($A78,Partner_Voice!$A:$A,Partner_Voice!O:O,"",0))))</f>
        <v>0.3333333333</v>
      </c>
      <c r="P78" s="42">
        <f t="array" ref="P78">IF(XLOOKUP($A78,Partner_Voice!$A:$A,Partner_Voice!P:P,"",0)="Free","Free",IF(XLOOKUP($A78,Partner_Voice!$A:$A,Partner_Voice!P:P,"",0)="VL","VL",IF(XLOOKUP($A78,Partner_Voice!$A:$A,Partner_Voice!P:P,"",0)="ATT","ATT",XLOOKUP($A78,Partner_Voice!$A:$A,Partner_Voice!P:P,"",0))))</f>
        <v>0.3333333333</v>
      </c>
      <c r="Q78" s="42" t="str">
        <f t="array" ref="Q78">IF(XLOOKUP($A78,Partner_Voice!$A:$A,Partner_Voice!Q:Q,"",0)="Free","Free",IF(XLOOKUP($A78,Partner_Voice!$A:$A,Partner_Voice!Q:Q,"",0)="VL","VL",IF(XLOOKUP($A78,Partner_Voice!$A:$A,Partner_Voice!Q:Q,"",0)="ATT","ATT",XLOOKUP($A78,Partner_Voice!$A:$A,Partner_Voice!Q:Q,"",0))))</f>
        <v>Free</v>
      </c>
      <c r="R78" s="43"/>
      <c r="S78" s="42">
        <f t="array" ref="S78">IF(XLOOKUP($A78,Partner_Voice!$A:$A,Partner_Voice!S:S,"",0)="Free","Free",IF(XLOOKUP($A78,Partner_Voice!$A:$A,Partner_Voice!S:S,"",0)="VL","VL",IF(XLOOKUP($A78,Partner_Voice!$A:$A,Partner_Voice!S:S,"",0)="ATT","ATT",XLOOKUP($A78,Partner_Voice!$A:$A,Partner_Voice!S:S,"",0))))</f>
        <v>0.375</v>
      </c>
      <c r="T78" s="42">
        <f t="array" ref="T78">IF(XLOOKUP($A78,Partner_Voice!$A:$A,Partner_Voice!T:T,"",0)="Free","Free",IF(XLOOKUP($A78,Partner_Voice!$A:$A,Partner_Voice!T:T,"",0)="VL","VL",IF(XLOOKUP($A78,Partner_Voice!$A:$A,Partner_Voice!T:T,"",0)="ATT","ATT",XLOOKUP($A78,Partner_Voice!$A:$A,Partner_Voice!T:T,"",0))))</f>
        <v>0.375</v>
      </c>
      <c r="U78" s="42">
        <f t="array" ref="U78">IF(XLOOKUP($A78,Partner_Voice!$A:$A,Partner_Voice!U:U,"",0)="Free","Free",IF(XLOOKUP($A78,Partner_Voice!$A:$A,Partner_Voice!U:U,"",0)="VL","VL",IF(XLOOKUP($A78,Partner_Voice!$A:$A,Partner_Voice!U:U,"",0)="ATT","ATT",XLOOKUP($A78,Partner_Voice!$A:$A,Partner_Voice!U:U,"",0))))</f>
        <v>0.375</v>
      </c>
      <c r="V78" s="42" t="str">
        <f t="array" ref="V78">IF(XLOOKUP($A78,Partner_Voice!$A:$A,Partner_Voice!V:V,"",0)="Free","Free",IF(XLOOKUP($A78,Partner_Voice!$A:$A,Partner_Voice!V:V,"",0)="VL","VL",IF(XLOOKUP($A78,Partner_Voice!$A:$A,Partner_Voice!V:V,"",0)="ATT","ATT",XLOOKUP($A78,Partner_Voice!$A:$A,Partner_Voice!V:V,"",0))))</f>
        <v>Free</v>
      </c>
      <c r="W78" s="42">
        <f t="array" ref="W78">IF(XLOOKUP($A78,Partner_Voice!$A:$A,Partner_Voice!W:W,"",0)="Free","Free",IF(XLOOKUP($A78,Partner_Voice!$A:$A,Partner_Voice!W:W,"",0)="VL","VL",IF(XLOOKUP($A78,Partner_Voice!$A:$A,Partner_Voice!W:W,"",0)="ATT","ATT",XLOOKUP($A78,Partner_Voice!$A:$A,Partner_Voice!W:W,"",0))))</f>
        <v>0.375</v>
      </c>
      <c r="X78" s="42">
        <f t="array" ref="X78">IF(XLOOKUP($A78,Partner_Voice!$A:$A,Partner_Voice!X:X,"",0)="Free","Free",IF(XLOOKUP($A78,Partner_Voice!$A:$A,Partner_Voice!X:X,"",0)="VL","VL",IF(XLOOKUP($A78,Partner_Voice!$A:$A,Partner_Voice!X:X,"",0)="ATT","ATT",XLOOKUP($A78,Partner_Voice!$A:$A,Partner_Voice!X:X,"",0))))</f>
        <v>0.375</v>
      </c>
      <c r="Y78" s="43"/>
      <c r="Z78" s="42">
        <f t="array" ref="Z78">IF(XLOOKUP($A78,Partner_Voice!$A:$A,Partner_Voice!Z:Z,"",0)="Free","Free",IF(XLOOKUP($A78,Partner_Voice!$A:$A,Partner_Voice!Z:Z,"",0)="VL","VL",IF(XLOOKUP($A78,Partner_Voice!$A:$A,Partner_Voice!Z:Z,"",0)="ATT","ATT",XLOOKUP($A78,Partner_Voice!$A:$A,Partner_Voice!Z:Z,"",0))))</f>
        <v>0.375</v>
      </c>
      <c r="AA78" s="42">
        <f t="array" ref="AA78">IF(XLOOKUP($A78,Partner_Voice!$A:$A,Partner_Voice!AA:AA,"",0)="Free","Free",IF(XLOOKUP($A78,Partner_Voice!$A:$A,Partner_Voice!AA:AA,"",0)="VL","VL",IF(XLOOKUP($A78,Partner_Voice!$A:$A,Partner_Voice!AA:AA,"",0)="ATT","ATT",XLOOKUP($A78,Partner_Voice!$A:$A,Partner_Voice!AA:AA,"",0))))</f>
        <v>0.375</v>
      </c>
      <c r="AB78" s="42">
        <f t="array" ref="AB78">IF(XLOOKUP($A78,Partner_Voice!$A:$A,Partner_Voice!AB:AB,"",0)="Free","Free",IF(XLOOKUP($A78,Partner_Voice!$A:$A,Partner_Voice!AB:AB,"",0)="VL","VL",IF(XLOOKUP($A78,Partner_Voice!$A:$A,Partner_Voice!AB:AB,"",0)="ATT","ATT",XLOOKUP($A78,Partner_Voice!$A:$A,Partner_Voice!AB:AB,"",0))))</f>
        <v>0.375</v>
      </c>
      <c r="AC78" s="42" t="str">
        <f t="array" ref="AC78">IF(XLOOKUP($A78,Partner_Voice!$A:$A,Partner_Voice!AC:AC,"",0)="Free","Free",IF(XLOOKUP($A78,Partner_Voice!$A:$A,Partner_Voice!AC:AC,"",0)="VL","VL",IF(XLOOKUP($A78,Partner_Voice!$A:$A,Partner_Voice!AC:AC,"",0)="ATT","ATT",XLOOKUP($A78,Partner_Voice!$A:$A,Partner_Voice!AC:AC,"",0))))</f>
        <v>Free</v>
      </c>
      <c r="AD78" s="42">
        <f t="array" ref="AD78">IF(XLOOKUP($A78,Partner_Voice!$A:$A,Partner_Voice!AD:AD,"",0)="Free","Free",IF(XLOOKUP($A78,Partner_Voice!$A:$A,Partner_Voice!AD:AD,"",0)="VL","VL",IF(XLOOKUP($A78,Partner_Voice!$A:$A,Partner_Voice!AD:AD,"",0)="ATT","ATT",XLOOKUP($A78,Partner_Voice!$A:$A,Partner_Voice!AD:AD,"",0))))</f>
        <v>0.375</v>
      </c>
      <c r="AE78" s="42">
        <f t="array" ref="AE78">IF(XLOOKUP($A78,Partner_Voice!$A:$A,Partner_Voice!AE:AE,"",0)="Free","Free",IF(XLOOKUP($A78,Partner_Voice!$A:$A,Partner_Voice!AE:AE,"",0)="VL","VL",IF(XLOOKUP($A78,Partner_Voice!$A:$A,Partner_Voice!AE:AE,"",0)="ATT","ATT",XLOOKUP($A78,Partner_Voice!$A:$A,Partner_Voice!AE:AE,"",0))))</f>
        <v>0.375</v>
      </c>
      <c r="AF78" s="69"/>
      <c r="AG78" s="42" t="str">
        <f t="array" ref="AG78">IF(XLOOKUP($A78,Partner_Voice!$A:$A,Partner_Voice!AG:AG,"",0)="Free","Free",IF(XLOOKUP($A78,Partner_Voice!$A:$A,Partner_Voice!AG:AG,"",0)="VL","VL",IF(XLOOKUP($A78,Partner_Voice!$A:$A,Partner_Voice!AG:AG,"",0)="ATT","ATT",XLOOKUP($A78,Partner_Voice!$A:$A,Partner_Voice!AG:AG,"",0))))</f>
        <v/>
      </c>
      <c r="AH78" s="42" t="str">
        <f t="array" ref="AH78">IF(XLOOKUP($A78,Partner_Voice!$A:$A,Partner_Voice!AH:AH,"",0)="Free","Free",IF(XLOOKUP($A78,Partner_Voice!$A:$A,Partner_Voice!AH:AH,"",0)="VL","VL",IF(XLOOKUP($A78,Partner_Voice!$A:$A,Partner_Voice!AH:AH,"",0)="ATT","ATT",XLOOKUP($A78,Partner_Voice!$A:$A,Partner_Voice!AH:AH,"",0))))</f>
        <v/>
      </c>
      <c r="AI78" s="42" t="str">
        <f t="array" ref="AI78">IF(XLOOKUP($A78,Partner_Voice!$A:$A,Partner_Voice!AI:AI,"",0)="Free","Free",IF(XLOOKUP($A78,Partner_Voice!$A:$A,Partner_Voice!AI:AI,"",0)="VL","VL",IF(XLOOKUP($A78,Partner_Voice!$A:$A,Partner_Voice!AI:AI,"",0)="ATT","ATT",XLOOKUP($A78,Partner_Voice!$A:$A,Partner_Voice!AI:AI,"",0))))</f>
        <v/>
      </c>
      <c r="AJ78" s="42" t="str">
        <f t="array" ref="AJ78">IF(XLOOKUP($A78,Partner_Voice!$A:$A,Partner_Voice!AJ:AJ,"",0)="Free","Free",IF(XLOOKUP($A78,Partner_Voice!$A:$A,Partner_Voice!AJ:AJ,"",0)="VL","VL",IF(XLOOKUP($A78,Partner_Voice!$A:$A,Partner_Voice!AJ:AJ,"",0)="ATT","ATT",XLOOKUP($A78,Partner_Voice!$A:$A,Partner_Voice!AJ:AJ,"",0))))</f>
        <v/>
      </c>
      <c r="AK78" s="42" t="str">
        <f t="array" ref="AK78">IF(XLOOKUP($A78,Partner_Voice!$A:$A,Partner_Voice!AK:AK,"",0)="Free","Free",IF(XLOOKUP($A78,Partner_Voice!$A:$A,Partner_Voice!AK:AK,"",0)="VL","VL",IF(XLOOKUP($A78,Partner_Voice!$A:$A,Partner_Voice!AK:AK,"",0)="ATT","ATT",XLOOKUP($A78,Partner_Voice!$A:$A,Partner_Voice!AK:AK,"",0))))</f>
        <v/>
      </c>
      <c r="AL78" s="42" t="str">
        <f t="array" ref="AL78">IF(XLOOKUP($A78,Partner_Voice!$A:$A,Partner_Voice!AL:AL,"",0)="Free","Free",IF(XLOOKUP($A78,Partner_Voice!$A:$A,Partner_Voice!AL:AL,"",0)="VL","VL",IF(XLOOKUP($A78,Partner_Voice!$A:$A,Partner_Voice!AL:AL,"",0)="ATT","ATT",XLOOKUP($A78,Partner_Voice!$A:$A,Partner_Voice!AL:AL,"",0))))</f>
        <v/>
      </c>
      <c r="AM78" s="42"/>
    </row>
    <row r="79">
      <c r="A79" s="47" t="s">
        <v>193</v>
      </c>
      <c r="B79" s="35" t="str">
        <f t="array" ref="B79">XLOOKUP(A79,Roster!F:F,Roster!A:A,"")</f>
        <v>Daniel Bustamante</v>
      </c>
      <c r="C79" s="35" t="str">
        <f t="array" ref="C79">XLOOKUP(A79,Roster!F:F,Roster!B:B,"")</f>
        <v>Juan Gaitan</v>
      </c>
      <c r="D79" s="70"/>
      <c r="E79" s="42">
        <f t="array" ref="E79">IF(XLOOKUP($A79,Partner_Voice!$A:$A,Partner_Voice!E:E,"",0)="Free","Free",IF(XLOOKUP($A79,Partner_Voice!$A:$A,Partner_Voice!E:E,"",0)="VL","VL",IF(XLOOKUP($A79,Partner_Voice!$A:$A,Partner_Voice!E:E,"",0)="ATT","ATT",XLOOKUP($A79,Partner_Voice!$A:$A,Partner_Voice!E:E,"",0))))</f>
        <v>0.3333333333</v>
      </c>
      <c r="F79" s="42">
        <f t="array" ref="F79">IF(XLOOKUP($A79,Partner_Voice!$A:$A,Partner_Voice!F:F,"",0)="Free","Free",IF(XLOOKUP($A79,Partner_Voice!$A:$A,Partner_Voice!F:F,"",0)="VL","VL",IF(XLOOKUP($A79,Partner_Voice!$A:$A,Partner_Voice!F:F,"",0)="ATT","ATT",XLOOKUP($A79,Partner_Voice!$A:$A,Partner_Voice!F:F,"",0))))</f>
        <v>0.3333333333</v>
      </c>
      <c r="G79" s="42">
        <f t="array" ref="G79">IF(XLOOKUP($A79,Partner_Voice!$A:$A,Partner_Voice!G:G,"",0)="Free","Free",IF(XLOOKUP($A79,Partner_Voice!$A:$A,Partner_Voice!G:G,"",0)="VL","VL",IF(XLOOKUP($A79,Partner_Voice!$A:$A,Partner_Voice!G:G,"",0)="ATT","ATT",XLOOKUP($A79,Partner_Voice!$A:$A,Partner_Voice!G:G,"",0))))</f>
        <v>0.3333333333</v>
      </c>
      <c r="H79" s="42">
        <f t="array" ref="H79">IF(XLOOKUP($A79,Partner_Voice!$A:$A,Partner_Voice!H:H,"",0)="Free","Free",IF(XLOOKUP($A79,Partner_Voice!$A:$A,Partner_Voice!H:H,"",0)="VL","VL",IF(XLOOKUP($A79,Partner_Voice!$A:$A,Partner_Voice!H:H,"",0)="ATT","ATT",XLOOKUP($A79,Partner_Voice!$A:$A,Partner_Voice!H:H,"",0))))</f>
        <v>0.3333333333</v>
      </c>
      <c r="I79" s="42">
        <f t="array" ref="I79">IF(XLOOKUP($A79,Partner_Voice!$A:$A,Partner_Voice!I:I,"",0)="Free","Free",IF(XLOOKUP($A79,Partner_Voice!$A:$A,Partner_Voice!I:I,"",0)="VL","VL",IF(XLOOKUP($A79,Partner_Voice!$A:$A,Partner_Voice!I:I,"",0)="ATT","ATT",XLOOKUP($A79,Partner_Voice!$A:$A,Partner_Voice!I:I,"",0))))</f>
        <v>0.3333333333</v>
      </c>
      <c r="J79" s="42" t="str">
        <f t="array" ref="J79">IF(XLOOKUP($A79,Partner_Voice!$A:$A,Partner_Voice!J:J,"",0)="Free","Free",IF(XLOOKUP($A79,Partner_Voice!$A:$A,Partner_Voice!J:J,"",0)="VL","VL",IF(XLOOKUP($A79,Partner_Voice!$A:$A,Partner_Voice!J:J,"",0)="ATT","ATT",XLOOKUP($A79,Partner_Voice!$A:$A,Partner_Voice!J:J,"",0))))</f>
        <v>Free</v>
      </c>
      <c r="K79" s="42"/>
      <c r="L79" s="42">
        <f t="array" ref="L79">IF(XLOOKUP($A79,Partner_Voice!$A:$A,Partner_Voice!L:L,"",0)="Free","Free",IF(XLOOKUP($A79,Partner_Voice!$A:$A,Partner_Voice!L:L,"",0)="VL","VL",IF(XLOOKUP($A79,Partner_Voice!$A:$A,Partner_Voice!L:L,"",0)="ATT","ATT",XLOOKUP($A79,Partner_Voice!$A:$A,Partner_Voice!L:L,"",0))))</f>
        <v>0.3333333333</v>
      </c>
      <c r="M79" s="42">
        <f t="array" ref="M79">IF(XLOOKUP($A79,Partner_Voice!$A:$A,Partner_Voice!M:M,"",0)="Free","Free",IF(XLOOKUP($A79,Partner_Voice!$A:$A,Partner_Voice!M:M,"",0)="VL","VL",IF(XLOOKUP($A79,Partner_Voice!$A:$A,Partner_Voice!M:M,"",0)="ATT","ATT",XLOOKUP($A79,Partner_Voice!$A:$A,Partner_Voice!M:M,"",0))))</f>
        <v>0.3333333333</v>
      </c>
      <c r="N79" s="42">
        <f t="array" ref="N79">IF(XLOOKUP($A79,Partner_Voice!$A:$A,Partner_Voice!N:N,"",0)="Free","Free",IF(XLOOKUP($A79,Partner_Voice!$A:$A,Partner_Voice!N:N,"",0)="VL","VL",IF(XLOOKUP($A79,Partner_Voice!$A:$A,Partner_Voice!N:N,"",0)="ATT","ATT",XLOOKUP($A79,Partner_Voice!$A:$A,Partner_Voice!N:N,"",0))))</f>
        <v>0.3333333333</v>
      </c>
      <c r="O79" s="42">
        <f t="array" ref="O79">IF(XLOOKUP($A79,Partner_Voice!$A:$A,Partner_Voice!O:O,"",0)="Free","Free",IF(XLOOKUP($A79,Partner_Voice!$A:$A,Partner_Voice!O:O,"",0)="VL","VL",IF(XLOOKUP($A79,Partner_Voice!$A:$A,Partner_Voice!O:O,"",0)="ATT","ATT",XLOOKUP($A79,Partner_Voice!$A:$A,Partner_Voice!O:O,"",0))))</f>
        <v>0.3333333333</v>
      </c>
      <c r="P79" s="42">
        <f t="array" ref="P79">IF(XLOOKUP($A79,Partner_Voice!$A:$A,Partner_Voice!P:P,"",0)="Free","Free",IF(XLOOKUP($A79,Partner_Voice!$A:$A,Partner_Voice!P:P,"",0)="VL","VL",IF(XLOOKUP($A79,Partner_Voice!$A:$A,Partner_Voice!P:P,"",0)="ATT","ATT",XLOOKUP($A79,Partner_Voice!$A:$A,Partner_Voice!P:P,"",0))))</f>
        <v>0.3333333333</v>
      </c>
      <c r="Q79" s="42" t="str">
        <f t="array" ref="Q79">IF(XLOOKUP($A79,Partner_Voice!$A:$A,Partner_Voice!Q:Q,"",0)="Free","Free",IF(XLOOKUP($A79,Partner_Voice!$A:$A,Partner_Voice!Q:Q,"",0)="VL","VL",IF(XLOOKUP($A79,Partner_Voice!$A:$A,Partner_Voice!Q:Q,"",0)="ATT","ATT",XLOOKUP($A79,Partner_Voice!$A:$A,Partner_Voice!Q:Q,"",0))))</f>
        <v>Free</v>
      </c>
      <c r="R79" s="43"/>
      <c r="S79" s="42">
        <f t="array" ref="S79">IF(XLOOKUP($A79,Partner_Voice!$A:$A,Partner_Voice!S:S,"",0)="Free","Free",IF(XLOOKUP($A79,Partner_Voice!$A:$A,Partner_Voice!S:S,"",0)="VL","VL",IF(XLOOKUP($A79,Partner_Voice!$A:$A,Partner_Voice!S:S,"",0)="ATT","ATT",XLOOKUP($A79,Partner_Voice!$A:$A,Partner_Voice!S:S,"",0))))</f>
        <v>0.4583333333</v>
      </c>
      <c r="T79" s="42">
        <f t="array" ref="T79">IF(XLOOKUP($A79,Partner_Voice!$A:$A,Partner_Voice!T:T,"",0)="Free","Free",IF(XLOOKUP($A79,Partner_Voice!$A:$A,Partner_Voice!T:T,"",0)="VL","VL",IF(XLOOKUP($A79,Partner_Voice!$A:$A,Partner_Voice!T:T,"",0)="ATT","ATT",XLOOKUP($A79,Partner_Voice!$A:$A,Partner_Voice!T:T,"",0))))</f>
        <v>0.4583333333</v>
      </c>
      <c r="U79" s="42" t="str">
        <f t="array" ref="U79">IF(XLOOKUP($A79,Partner_Voice!$A:$A,Partner_Voice!U:U,"",0)="Free","Free",IF(XLOOKUP($A79,Partner_Voice!$A:$A,Partner_Voice!U:U,"",0)="VL","VL",IF(XLOOKUP($A79,Partner_Voice!$A:$A,Partner_Voice!U:U,"",0)="ATT","ATT",XLOOKUP($A79,Partner_Voice!$A:$A,Partner_Voice!U:U,"",0))))</f>
        <v>Free</v>
      </c>
      <c r="V79" s="42">
        <f t="array" ref="V79">IF(XLOOKUP($A79,Partner_Voice!$A:$A,Partner_Voice!V:V,"",0)="Free","Free",IF(XLOOKUP($A79,Partner_Voice!$A:$A,Partner_Voice!V:V,"",0)="VL","VL",IF(XLOOKUP($A79,Partner_Voice!$A:$A,Partner_Voice!V:V,"",0)="ATT","ATT",XLOOKUP($A79,Partner_Voice!$A:$A,Partner_Voice!V:V,"",0))))</f>
        <v>0.4583333333</v>
      </c>
      <c r="W79" s="42">
        <f t="array" ref="W79">IF(XLOOKUP($A79,Partner_Voice!$A:$A,Partner_Voice!W:W,"",0)="Free","Free",IF(XLOOKUP($A79,Partner_Voice!$A:$A,Partner_Voice!W:W,"",0)="VL","VL",IF(XLOOKUP($A79,Partner_Voice!$A:$A,Partner_Voice!W:W,"",0)="ATT","ATT",XLOOKUP($A79,Partner_Voice!$A:$A,Partner_Voice!W:W,"",0))))</f>
        <v>0.4583333333</v>
      </c>
      <c r="X79" s="42">
        <f t="array" ref="X79">IF(XLOOKUP($A79,Partner_Voice!$A:$A,Partner_Voice!X:X,"",0)="Free","Free",IF(XLOOKUP($A79,Partner_Voice!$A:$A,Partner_Voice!X:X,"",0)="VL","VL",IF(XLOOKUP($A79,Partner_Voice!$A:$A,Partner_Voice!X:X,"",0)="ATT","ATT",XLOOKUP($A79,Partner_Voice!$A:$A,Partner_Voice!X:X,"",0))))</f>
        <v>0.4583333333</v>
      </c>
      <c r="Y79" s="43"/>
      <c r="Z79" s="42">
        <f t="array" ref="Z79">IF(XLOOKUP($A79,Partner_Voice!$A:$A,Partner_Voice!Z:Z,"",0)="Free","Free",IF(XLOOKUP($A79,Partner_Voice!$A:$A,Partner_Voice!Z:Z,"",0)="VL","VL",IF(XLOOKUP($A79,Partner_Voice!$A:$A,Partner_Voice!Z:Z,"",0)="ATT","ATT",XLOOKUP($A79,Partner_Voice!$A:$A,Partner_Voice!Z:Z,"",0))))</f>
        <v>0.4583333333</v>
      </c>
      <c r="AA79" s="42">
        <f t="array" ref="AA79">IF(XLOOKUP($A79,Partner_Voice!$A:$A,Partner_Voice!AA:AA,"",0)="Free","Free",IF(XLOOKUP($A79,Partner_Voice!$A:$A,Partner_Voice!AA:AA,"",0)="VL","VL",IF(XLOOKUP($A79,Partner_Voice!$A:$A,Partner_Voice!AA:AA,"",0)="ATT","ATT",XLOOKUP($A79,Partner_Voice!$A:$A,Partner_Voice!AA:AA,"",0))))</f>
        <v>0.4583333333</v>
      </c>
      <c r="AB79" s="42" t="str">
        <f t="array" ref="AB79">IF(XLOOKUP($A79,Partner_Voice!$A:$A,Partner_Voice!AB:AB,"",0)="Free","Free",IF(XLOOKUP($A79,Partner_Voice!$A:$A,Partner_Voice!AB:AB,"",0)="VL","VL",IF(XLOOKUP($A79,Partner_Voice!$A:$A,Partner_Voice!AB:AB,"",0)="ATT","ATT",XLOOKUP($A79,Partner_Voice!$A:$A,Partner_Voice!AB:AB,"",0))))</f>
        <v>Free</v>
      </c>
      <c r="AC79" s="42">
        <f t="array" ref="AC79">IF(XLOOKUP($A79,Partner_Voice!$A:$A,Partner_Voice!AC:AC,"",0)="Free","Free",IF(XLOOKUP($A79,Partner_Voice!$A:$A,Partner_Voice!AC:AC,"",0)="VL","VL",IF(XLOOKUP($A79,Partner_Voice!$A:$A,Partner_Voice!AC:AC,"",0)="ATT","ATT",XLOOKUP($A79,Partner_Voice!$A:$A,Partner_Voice!AC:AC,"",0))))</f>
        <v>0.4583333333</v>
      </c>
      <c r="AD79" s="42">
        <f t="array" ref="AD79">IF(XLOOKUP($A79,Partner_Voice!$A:$A,Partner_Voice!AD:AD,"",0)="Free","Free",IF(XLOOKUP($A79,Partner_Voice!$A:$A,Partner_Voice!AD:AD,"",0)="VL","VL",IF(XLOOKUP($A79,Partner_Voice!$A:$A,Partner_Voice!AD:AD,"",0)="ATT","ATT",XLOOKUP($A79,Partner_Voice!$A:$A,Partner_Voice!AD:AD,"",0))))</f>
        <v>0.4583333333</v>
      </c>
      <c r="AE79" s="42">
        <f t="array" ref="AE79">IF(XLOOKUP($A79,Partner_Voice!$A:$A,Partner_Voice!AE:AE,"",0)="Free","Free",IF(XLOOKUP($A79,Partner_Voice!$A:$A,Partner_Voice!AE:AE,"",0)="VL","VL",IF(XLOOKUP($A79,Partner_Voice!$A:$A,Partner_Voice!AE:AE,"",0)="ATT","ATT",XLOOKUP($A79,Partner_Voice!$A:$A,Partner_Voice!AE:AE,"",0))))</f>
        <v>0.4583333333</v>
      </c>
      <c r="AF79" s="69"/>
      <c r="AG79" s="42" t="str">
        <f t="array" ref="AG79">IF(XLOOKUP($A79,Partner_Voice!$A:$A,Partner_Voice!AG:AG,"",0)="Free","Free",IF(XLOOKUP($A79,Partner_Voice!$A:$A,Partner_Voice!AG:AG,"",0)="VL","VL",IF(XLOOKUP($A79,Partner_Voice!$A:$A,Partner_Voice!AG:AG,"",0)="ATT","ATT",XLOOKUP($A79,Partner_Voice!$A:$A,Partner_Voice!AG:AG,"",0))))</f>
        <v/>
      </c>
      <c r="AH79" s="42" t="str">
        <f t="array" ref="AH79">IF(XLOOKUP($A79,Partner_Voice!$A:$A,Partner_Voice!AH:AH,"",0)="Free","Free",IF(XLOOKUP($A79,Partner_Voice!$A:$A,Partner_Voice!AH:AH,"",0)="VL","VL",IF(XLOOKUP($A79,Partner_Voice!$A:$A,Partner_Voice!AH:AH,"",0)="ATT","ATT",XLOOKUP($A79,Partner_Voice!$A:$A,Partner_Voice!AH:AH,"",0))))</f>
        <v/>
      </c>
      <c r="AI79" s="42" t="str">
        <f t="array" ref="AI79">IF(XLOOKUP($A79,Partner_Voice!$A:$A,Partner_Voice!AI:AI,"",0)="Free","Free",IF(XLOOKUP($A79,Partner_Voice!$A:$A,Partner_Voice!AI:AI,"",0)="VL","VL",IF(XLOOKUP($A79,Partner_Voice!$A:$A,Partner_Voice!AI:AI,"",0)="ATT","ATT",XLOOKUP($A79,Partner_Voice!$A:$A,Partner_Voice!AI:AI,"",0))))</f>
        <v/>
      </c>
      <c r="AJ79" s="42" t="str">
        <f t="array" ref="AJ79">IF(XLOOKUP($A79,Partner_Voice!$A:$A,Partner_Voice!AJ:AJ,"",0)="Free","Free",IF(XLOOKUP($A79,Partner_Voice!$A:$A,Partner_Voice!AJ:AJ,"",0)="VL","VL",IF(XLOOKUP($A79,Partner_Voice!$A:$A,Partner_Voice!AJ:AJ,"",0)="ATT","ATT",XLOOKUP($A79,Partner_Voice!$A:$A,Partner_Voice!AJ:AJ,"",0))))</f>
        <v/>
      </c>
      <c r="AK79" s="42" t="str">
        <f t="array" ref="AK79">IF(XLOOKUP($A79,Partner_Voice!$A:$A,Partner_Voice!AK:AK,"",0)="Free","Free",IF(XLOOKUP($A79,Partner_Voice!$A:$A,Partner_Voice!AK:AK,"",0)="VL","VL",IF(XLOOKUP($A79,Partner_Voice!$A:$A,Partner_Voice!AK:AK,"",0)="ATT","ATT",XLOOKUP($A79,Partner_Voice!$A:$A,Partner_Voice!AK:AK,"",0))))</f>
        <v/>
      </c>
      <c r="AL79" s="42" t="str">
        <f t="array" ref="AL79">IF(XLOOKUP($A79,Partner_Voice!$A:$A,Partner_Voice!AL:AL,"",0)="Free","Free",IF(XLOOKUP($A79,Partner_Voice!$A:$A,Partner_Voice!AL:AL,"",0)="VL","VL",IF(XLOOKUP($A79,Partner_Voice!$A:$A,Partner_Voice!AL:AL,"",0)="ATT","ATT",XLOOKUP($A79,Partner_Voice!$A:$A,Partner_Voice!AL:AL,"",0))))</f>
        <v/>
      </c>
      <c r="AM79" s="42"/>
    </row>
    <row r="80">
      <c r="A80" s="47" t="s">
        <v>194</v>
      </c>
      <c r="B80" s="35" t="str">
        <f t="array" ref="B80">XLOOKUP(A80,Roster!F:F,Roster!A:A,"")</f>
        <v>Andra Daza</v>
      </c>
      <c r="C80" s="35" t="str">
        <f t="array" ref="C80">XLOOKUP(A80,Roster!F:F,Roster!B:B,"")</f>
        <v>Juan Jimenez</v>
      </c>
      <c r="D80" s="70"/>
      <c r="E80" s="42">
        <f t="array" ref="E80">IF(XLOOKUP($A80,Partner_Voice!$A:$A,Partner_Voice!E:E,"",0)="Free","Free",IF(XLOOKUP($A80,Partner_Voice!$A:$A,Partner_Voice!E:E,"",0)="VL","VL",IF(XLOOKUP($A80,Partner_Voice!$A:$A,Partner_Voice!E:E,"",0)="ATT","ATT",XLOOKUP($A80,Partner_Voice!$A:$A,Partner_Voice!E:E,"",0))))</f>
        <v>0.3333333333</v>
      </c>
      <c r="F80" s="42">
        <f t="array" ref="F80">IF(XLOOKUP($A80,Partner_Voice!$A:$A,Partner_Voice!F:F,"",0)="Free","Free",IF(XLOOKUP($A80,Partner_Voice!$A:$A,Partner_Voice!F:F,"",0)="VL","VL",IF(XLOOKUP($A80,Partner_Voice!$A:$A,Partner_Voice!F:F,"",0)="ATT","ATT",XLOOKUP($A80,Partner_Voice!$A:$A,Partner_Voice!F:F,"",0))))</f>
        <v>0.3333333333</v>
      </c>
      <c r="G80" s="42">
        <f t="array" ref="G80">IF(XLOOKUP($A80,Partner_Voice!$A:$A,Partner_Voice!G:G,"",0)="Free","Free",IF(XLOOKUP($A80,Partner_Voice!$A:$A,Partner_Voice!G:G,"",0)="VL","VL",IF(XLOOKUP($A80,Partner_Voice!$A:$A,Partner_Voice!G:G,"",0)="ATT","ATT",XLOOKUP($A80,Partner_Voice!$A:$A,Partner_Voice!G:G,"",0))))</f>
        <v>0.3333333333</v>
      </c>
      <c r="H80" s="42">
        <f t="array" ref="H80">IF(XLOOKUP($A80,Partner_Voice!$A:$A,Partner_Voice!H:H,"",0)="Free","Free",IF(XLOOKUP($A80,Partner_Voice!$A:$A,Partner_Voice!H:H,"",0)="VL","VL",IF(XLOOKUP($A80,Partner_Voice!$A:$A,Partner_Voice!H:H,"",0)="ATT","ATT",XLOOKUP($A80,Partner_Voice!$A:$A,Partner_Voice!H:H,"",0))))</f>
        <v>0.3333333333</v>
      </c>
      <c r="I80" s="42">
        <f t="array" ref="I80">IF(XLOOKUP($A80,Partner_Voice!$A:$A,Partner_Voice!I:I,"",0)="Free","Free",IF(XLOOKUP($A80,Partner_Voice!$A:$A,Partner_Voice!I:I,"",0)="VL","VL",IF(XLOOKUP($A80,Partner_Voice!$A:$A,Partner_Voice!I:I,"",0)="ATT","ATT",XLOOKUP($A80,Partner_Voice!$A:$A,Partner_Voice!I:I,"",0))))</f>
        <v>0.3333333333</v>
      </c>
      <c r="J80" s="42" t="str">
        <f t="array" ref="J80">IF(XLOOKUP($A80,Partner_Voice!$A:$A,Partner_Voice!J:J,"",0)="Free","Free",IF(XLOOKUP($A80,Partner_Voice!$A:$A,Partner_Voice!J:J,"",0)="VL","VL",IF(XLOOKUP($A80,Partner_Voice!$A:$A,Partner_Voice!J:J,"",0)="ATT","ATT",XLOOKUP($A80,Partner_Voice!$A:$A,Partner_Voice!J:J,"",0))))</f>
        <v>Free</v>
      </c>
      <c r="K80" s="42"/>
      <c r="L80" s="42">
        <f t="array" ref="L80">IF(XLOOKUP($A80,Partner_Voice!$A:$A,Partner_Voice!L:L,"",0)="Free","Free",IF(XLOOKUP($A80,Partner_Voice!$A:$A,Partner_Voice!L:L,"",0)="VL","VL",IF(XLOOKUP($A80,Partner_Voice!$A:$A,Partner_Voice!L:L,"",0)="ATT","ATT",XLOOKUP($A80,Partner_Voice!$A:$A,Partner_Voice!L:L,"",0))))</f>
        <v>0.3333333333</v>
      </c>
      <c r="M80" s="42">
        <f t="array" ref="M80">IF(XLOOKUP($A80,Partner_Voice!$A:$A,Partner_Voice!M:M,"",0)="Free","Free",IF(XLOOKUP($A80,Partner_Voice!$A:$A,Partner_Voice!M:M,"",0)="VL","VL",IF(XLOOKUP($A80,Partner_Voice!$A:$A,Partner_Voice!M:M,"",0)="ATT","ATT",XLOOKUP($A80,Partner_Voice!$A:$A,Partner_Voice!M:M,"",0))))</f>
        <v>0.3333333333</v>
      </c>
      <c r="N80" s="42">
        <f t="array" ref="N80">IF(XLOOKUP($A80,Partner_Voice!$A:$A,Partner_Voice!N:N,"",0)="Free","Free",IF(XLOOKUP($A80,Partner_Voice!$A:$A,Partner_Voice!N:N,"",0)="VL","VL",IF(XLOOKUP($A80,Partner_Voice!$A:$A,Partner_Voice!N:N,"",0)="ATT","ATT",XLOOKUP($A80,Partner_Voice!$A:$A,Partner_Voice!N:N,"",0))))</f>
        <v>0.3333333333</v>
      </c>
      <c r="O80" s="42">
        <f t="array" ref="O80">IF(XLOOKUP($A80,Partner_Voice!$A:$A,Partner_Voice!O:O,"",0)="Free","Free",IF(XLOOKUP($A80,Partner_Voice!$A:$A,Partner_Voice!O:O,"",0)="VL","VL",IF(XLOOKUP($A80,Partner_Voice!$A:$A,Partner_Voice!O:O,"",0)="ATT","ATT",XLOOKUP($A80,Partner_Voice!$A:$A,Partner_Voice!O:O,"",0))))</f>
        <v>0.3333333333</v>
      </c>
      <c r="P80" s="42">
        <f t="array" ref="P80">IF(XLOOKUP($A80,Partner_Voice!$A:$A,Partner_Voice!P:P,"",0)="Free","Free",IF(XLOOKUP($A80,Partner_Voice!$A:$A,Partner_Voice!P:P,"",0)="VL","VL",IF(XLOOKUP($A80,Partner_Voice!$A:$A,Partner_Voice!P:P,"",0)="ATT","ATT",XLOOKUP($A80,Partner_Voice!$A:$A,Partner_Voice!P:P,"",0))))</f>
        <v>0.3333333333</v>
      </c>
      <c r="Q80" s="42" t="str">
        <f t="array" ref="Q80">IF(XLOOKUP($A80,Partner_Voice!$A:$A,Partner_Voice!Q:Q,"",0)="Free","Free",IF(XLOOKUP($A80,Partner_Voice!$A:$A,Partner_Voice!Q:Q,"",0)="VL","VL",IF(XLOOKUP($A80,Partner_Voice!$A:$A,Partner_Voice!Q:Q,"",0)="ATT","ATT",XLOOKUP($A80,Partner_Voice!$A:$A,Partner_Voice!Q:Q,"",0))))</f>
        <v>Free</v>
      </c>
      <c r="R80" s="43"/>
      <c r="S80" s="42">
        <f t="array" ref="S80">IF(XLOOKUP($A80,Partner_Voice!$A:$A,Partner_Voice!S:S,"",0)="Free","Free",IF(XLOOKUP($A80,Partner_Voice!$A:$A,Partner_Voice!S:S,"",0)="VL","VL",IF(XLOOKUP($A80,Partner_Voice!$A:$A,Partner_Voice!S:S,"",0)="ATT","ATT",XLOOKUP($A80,Partner_Voice!$A:$A,Partner_Voice!S:S,"",0))))</f>
        <v>0.4583333333</v>
      </c>
      <c r="T80" s="42" t="str">
        <f t="array" ref="T80">IF(XLOOKUP($A80,Partner_Voice!$A:$A,Partner_Voice!T:T,"",0)="Free","Free",IF(XLOOKUP($A80,Partner_Voice!$A:$A,Partner_Voice!T:T,"",0)="VL","VL",IF(XLOOKUP($A80,Partner_Voice!$A:$A,Partner_Voice!T:T,"",0)="ATT","ATT",XLOOKUP($A80,Partner_Voice!$A:$A,Partner_Voice!T:T,"",0))))</f>
        <v>Free</v>
      </c>
      <c r="U80" s="42">
        <f t="array" ref="U80">IF(XLOOKUP($A80,Partner_Voice!$A:$A,Partner_Voice!U:U,"",0)="Free","Free",IF(XLOOKUP($A80,Partner_Voice!$A:$A,Partner_Voice!U:U,"",0)="VL","VL",IF(XLOOKUP($A80,Partner_Voice!$A:$A,Partner_Voice!U:U,"",0)="ATT","ATT",XLOOKUP($A80,Partner_Voice!$A:$A,Partner_Voice!U:U,"",0))))</f>
        <v>0.4583333333</v>
      </c>
      <c r="V80" s="42">
        <f t="array" ref="V80">IF(XLOOKUP($A80,Partner_Voice!$A:$A,Partner_Voice!V:V,"",0)="Free","Free",IF(XLOOKUP($A80,Partner_Voice!$A:$A,Partner_Voice!V:V,"",0)="VL","VL",IF(XLOOKUP($A80,Partner_Voice!$A:$A,Partner_Voice!V:V,"",0)="ATT","ATT",XLOOKUP($A80,Partner_Voice!$A:$A,Partner_Voice!V:V,"",0))))</f>
        <v>0.4583333333</v>
      </c>
      <c r="W80" s="42">
        <f t="array" ref="W80">IF(XLOOKUP($A80,Partner_Voice!$A:$A,Partner_Voice!W:W,"",0)="Free","Free",IF(XLOOKUP($A80,Partner_Voice!$A:$A,Partner_Voice!W:W,"",0)="VL","VL",IF(XLOOKUP($A80,Partner_Voice!$A:$A,Partner_Voice!W:W,"",0)="ATT","ATT",XLOOKUP($A80,Partner_Voice!$A:$A,Partner_Voice!W:W,"",0))))</f>
        <v>0.4583333333</v>
      </c>
      <c r="X80" s="42">
        <f t="array" ref="X80">IF(XLOOKUP($A80,Partner_Voice!$A:$A,Partner_Voice!X:X,"",0)="Free","Free",IF(XLOOKUP($A80,Partner_Voice!$A:$A,Partner_Voice!X:X,"",0)="VL","VL",IF(XLOOKUP($A80,Partner_Voice!$A:$A,Partner_Voice!X:X,"",0)="ATT","ATT",XLOOKUP($A80,Partner_Voice!$A:$A,Partner_Voice!X:X,"",0))))</f>
        <v>0.4583333333</v>
      </c>
      <c r="Y80" s="43"/>
      <c r="Z80" s="42">
        <f t="array" ref="Z80">IF(XLOOKUP($A80,Partner_Voice!$A:$A,Partner_Voice!Z:Z,"",0)="Free","Free",IF(XLOOKUP($A80,Partner_Voice!$A:$A,Partner_Voice!Z:Z,"",0)="VL","VL",IF(XLOOKUP($A80,Partner_Voice!$A:$A,Partner_Voice!Z:Z,"",0)="ATT","ATT",XLOOKUP($A80,Partner_Voice!$A:$A,Partner_Voice!Z:Z,"",0))))</f>
        <v>0.4583333333</v>
      </c>
      <c r="AA80" s="42" t="str">
        <f t="array" ref="AA80">IF(XLOOKUP($A80,Partner_Voice!$A:$A,Partner_Voice!AA:AA,"",0)="Free","Free",IF(XLOOKUP($A80,Partner_Voice!$A:$A,Partner_Voice!AA:AA,"",0)="VL","VL",IF(XLOOKUP($A80,Partner_Voice!$A:$A,Partner_Voice!AA:AA,"",0)="ATT","ATT",XLOOKUP($A80,Partner_Voice!$A:$A,Partner_Voice!AA:AA,"",0))))</f>
        <v>Free</v>
      </c>
      <c r="AB80" s="42">
        <f t="array" ref="AB80">IF(XLOOKUP($A80,Partner_Voice!$A:$A,Partner_Voice!AB:AB,"",0)="Free","Free",IF(XLOOKUP($A80,Partner_Voice!$A:$A,Partner_Voice!AB:AB,"",0)="VL","VL",IF(XLOOKUP($A80,Partner_Voice!$A:$A,Partner_Voice!AB:AB,"",0)="ATT","ATT",XLOOKUP($A80,Partner_Voice!$A:$A,Partner_Voice!AB:AB,"",0))))</f>
        <v>0.4583333333</v>
      </c>
      <c r="AC80" s="42">
        <f t="array" ref="AC80">IF(XLOOKUP($A80,Partner_Voice!$A:$A,Partner_Voice!AC:AC,"",0)="Free","Free",IF(XLOOKUP($A80,Partner_Voice!$A:$A,Partner_Voice!AC:AC,"",0)="VL","VL",IF(XLOOKUP($A80,Partner_Voice!$A:$A,Partner_Voice!AC:AC,"",0)="ATT","ATT",XLOOKUP($A80,Partner_Voice!$A:$A,Partner_Voice!AC:AC,"",0))))</f>
        <v>0.4583333333</v>
      </c>
      <c r="AD80" s="42">
        <f t="array" ref="AD80">IF(XLOOKUP($A80,Partner_Voice!$A:$A,Partner_Voice!AD:AD,"",0)="Free","Free",IF(XLOOKUP($A80,Partner_Voice!$A:$A,Partner_Voice!AD:AD,"",0)="VL","VL",IF(XLOOKUP($A80,Partner_Voice!$A:$A,Partner_Voice!AD:AD,"",0)="ATT","ATT",XLOOKUP($A80,Partner_Voice!$A:$A,Partner_Voice!AD:AD,"",0))))</f>
        <v>0.4583333333</v>
      </c>
      <c r="AE80" s="42">
        <f t="array" ref="AE80">IF(XLOOKUP($A80,Partner_Voice!$A:$A,Partner_Voice!AE:AE,"",0)="Free","Free",IF(XLOOKUP($A80,Partner_Voice!$A:$A,Partner_Voice!AE:AE,"",0)="VL","VL",IF(XLOOKUP($A80,Partner_Voice!$A:$A,Partner_Voice!AE:AE,"",0)="ATT","ATT",XLOOKUP($A80,Partner_Voice!$A:$A,Partner_Voice!AE:AE,"",0))))</f>
        <v>0.4583333333</v>
      </c>
      <c r="AF80" s="69"/>
      <c r="AG80" s="42" t="str">
        <f t="array" ref="AG80">IF(XLOOKUP($A80,Partner_Voice!$A:$A,Partner_Voice!AG:AG,"",0)="Free","Free",IF(XLOOKUP($A80,Partner_Voice!$A:$A,Partner_Voice!AG:AG,"",0)="VL","VL",IF(XLOOKUP($A80,Partner_Voice!$A:$A,Partner_Voice!AG:AG,"",0)="ATT","ATT",XLOOKUP($A80,Partner_Voice!$A:$A,Partner_Voice!AG:AG,"",0))))</f>
        <v/>
      </c>
      <c r="AH80" s="42" t="str">
        <f t="array" ref="AH80">IF(XLOOKUP($A80,Partner_Voice!$A:$A,Partner_Voice!AH:AH,"",0)="Free","Free",IF(XLOOKUP($A80,Partner_Voice!$A:$A,Partner_Voice!AH:AH,"",0)="VL","VL",IF(XLOOKUP($A80,Partner_Voice!$A:$A,Partner_Voice!AH:AH,"",0)="ATT","ATT",XLOOKUP($A80,Partner_Voice!$A:$A,Partner_Voice!AH:AH,"",0))))</f>
        <v/>
      </c>
      <c r="AI80" s="42" t="str">
        <f t="array" ref="AI80">IF(XLOOKUP($A80,Partner_Voice!$A:$A,Partner_Voice!AI:AI,"",0)="Free","Free",IF(XLOOKUP($A80,Partner_Voice!$A:$A,Partner_Voice!AI:AI,"",0)="VL","VL",IF(XLOOKUP($A80,Partner_Voice!$A:$A,Partner_Voice!AI:AI,"",0)="ATT","ATT",XLOOKUP($A80,Partner_Voice!$A:$A,Partner_Voice!AI:AI,"",0))))</f>
        <v/>
      </c>
      <c r="AJ80" s="42" t="str">
        <f t="array" ref="AJ80">IF(XLOOKUP($A80,Partner_Voice!$A:$A,Partner_Voice!AJ:AJ,"",0)="Free","Free",IF(XLOOKUP($A80,Partner_Voice!$A:$A,Partner_Voice!AJ:AJ,"",0)="VL","VL",IF(XLOOKUP($A80,Partner_Voice!$A:$A,Partner_Voice!AJ:AJ,"",0)="ATT","ATT",XLOOKUP($A80,Partner_Voice!$A:$A,Partner_Voice!AJ:AJ,"",0))))</f>
        <v/>
      </c>
      <c r="AK80" s="42" t="str">
        <f t="array" ref="AK80">IF(XLOOKUP($A80,Partner_Voice!$A:$A,Partner_Voice!AK:AK,"",0)="Free","Free",IF(XLOOKUP($A80,Partner_Voice!$A:$A,Partner_Voice!AK:AK,"",0)="VL","VL",IF(XLOOKUP($A80,Partner_Voice!$A:$A,Partner_Voice!AK:AK,"",0)="ATT","ATT",XLOOKUP($A80,Partner_Voice!$A:$A,Partner_Voice!AK:AK,"",0))))</f>
        <v/>
      </c>
      <c r="AL80" s="42" t="str">
        <f t="array" ref="AL80">IF(XLOOKUP($A80,Partner_Voice!$A:$A,Partner_Voice!AL:AL,"",0)="Free","Free",IF(XLOOKUP($A80,Partner_Voice!$A:$A,Partner_Voice!AL:AL,"",0)="VL","VL",IF(XLOOKUP($A80,Partner_Voice!$A:$A,Partner_Voice!AL:AL,"",0)="ATT","ATT",XLOOKUP($A80,Partner_Voice!$A:$A,Partner_Voice!AL:AL,"",0))))</f>
        <v/>
      </c>
      <c r="AM80" s="42"/>
    </row>
    <row r="81">
      <c r="A81" s="47" t="s">
        <v>195</v>
      </c>
      <c r="B81" s="35" t="str">
        <f t="array" ref="B81">XLOOKUP(A81,Roster!F:F,Roster!A:A,"")</f>
        <v>Daniel Bustamante</v>
      </c>
      <c r="C81" s="35" t="str">
        <f t="array" ref="C81">XLOOKUP(A81,Roster!F:F,Roster!B:B,"")</f>
        <v>Julian Ocampo</v>
      </c>
      <c r="D81" s="70"/>
      <c r="E81" s="42">
        <f t="array" ref="E81">IF(XLOOKUP($A81,Partner_Voice!$A:$A,Partner_Voice!E:E,"",0)="Free","Free",IF(XLOOKUP($A81,Partner_Voice!$A:$A,Partner_Voice!E:E,"",0)="VL","VL",IF(XLOOKUP($A81,Partner_Voice!$A:$A,Partner_Voice!E:E,"",0)="ATT","ATT",XLOOKUP($A81,Partner_Voice!$A:$A,Partner_Voice!E:E,"",0))))</f>
        <v>0.3333333333</v>
      </c>
      <c r="F81" s="42">
        <f t="array" ref="F81">IF(XLOOKUP($A81,Partner_Voice!$A:$A,Partner_Voice!F:F,"",0)="Free","Free",IF(XLOOKUP($A81,Partner_Voice!$A:$A,Partner_Voice!F:F,"",0)="VL","VL",IF(XLOOKUP($A81,Partner_Voice!$A:$A,Partner_Voice!F:F,"",0)="ATT","ATT",XLOOKUP($A81,Partner_Voice!$A:$A,Partner_Voice!F:F,"",0))))</f>
        <v>0.3333333333</v>
      </c>
      <c r="G81" s="42">
        <f t="array" ref="G81">IF(XLOOKUP($A81,Partner_Voice!$A:$A,Partner_Voice!G:G,"",0)="Free","Free",IF(XLOOKUP($A81,Partner_Voice!$A:$A,Partner_Voice!G:G,"",0)="VL","VL",IF(XLOOKUP($A81,Partner_Voice!$A:$A,Partner_Voice!G:G,"",0)="ATT","ATT",XLOOKUP($A81,Partner_Voice!$A:$A,Partner_Voice!G:G,"",0))))</f>
        <v>0.3333333333</v>
      </c>
      <c r="H81" s="42">
        <f t="array" ref="H81">IF(XLOOKUP($A81,Partner_Voice!$A:$A,Partner_Voice!H:H,"",0)="Free","Free",IF(XLOOKUP($A81,Partner_Voice!$A:$A,Partner_Voice!H:H,"",0)="VL","VL",IF(XLOOKUP($A81,Partner_Voice!$A:$A,Partner_Voice!H:H,"",0)="ATT","ATT",XLOOKUP($A81,Partner_Voice!$A:$A,Partner_Voice!H:H,"",0))))</f>
        <v>0.3333333333</v>
      </c>
      <c r="I81" s="42">
        <f t="array" ref="I81">IF(XLOOKUP($A81,Partner_Voice!$A:$A,Partner_Voice!I:I,"",0)="Free","Free",IF(XLOOKUP($A81,Partner_Voice!$A:$A,Partner_Voice!I:I,"",0)="VL","VL",IF(XLOOKUP($A81,Partner_Voice!$A:$A,Partner_Voice!I:I,"",0)="ATT","ATT",XLOOKUP($A81,Partner_Voice!$A:$A,Partner_Voice!I:I,"",0))))</f>
        <v>0.3333333333</v>
      </c>
      <c r="J81" s="42" t="str">
        <f t="array" ref="J81">IF(XLOOKUP($A81,Partner_Voice!$A:$A,Partner_Voice!J:J,"",0)="Free","Free",IF(XLOOKUP($A81,Partner_Voice!$A:$A,Partner_Voice!J:J,"",0)="VL","VL",IF(XLOOKUP($A81,Partner_Voice!$A:$A,Partner_Voice!J:J,"",0)="ATT","ATT",XLOOKUP($A81,Partner_Voice!$A:$A,Partner_Voice!J:J,"",0))))</f>
        <v>Free</v>
      </c>
      <c r="K81" s="42"/>
      <c r="L81" s="42">
        <f t="array" ref="L81">IF(XLOOKUP($A81,Partner_Voice!$A:$A,Partner_Voice!L:L,"",0)="Free","Free",IF(XLOOKUP($A81,Partner_Voice!$A:$A,Partner_Voice!L:L,"",0)="VL","VL",IF(XLOOKUP($A81,Partner_Voice!$A:$A,Partner_Voice!L:L,"",0)="ATT","ATT",XLOOKUP($A81,Partner_Voice!$A:$A,Partner_Voice!L:L,"",0))))</f>
        <v>0.3333333333</v>
      </c>
      <c r="M81" s="42">
        <f t="array" ref="M81">IF(XLOOKUP($A81,Partner_Voice!$A:$A,Partner_Voice!M:M,"",0)="Free","Free",IF(XLOOKUP($A81,Partner_Voice!$A:$A,Partner_Voice!M:M,"",0)="VL","VL",IF(XLOOKUP($A81,Partner_Voice!$A:$A,Partner_Voice!M:M,"",0)="ATT","ATT",XLOOKUP($A81,Partner_Voice!$A:$A,Partner_Voice!M:M,"",0))))</f>
        <v>0.3333333333</v>
      </c>
      <c r="N81" s="42">
        <f t="array" ref="N81">IF(XLOOKUP($A81,Partner_Voice!$A:$A,Partner_Voice!N:N,"",0)="Free","Free",IF(XLOOKUP($A81,Partner_Voice!$A:$A,Partner_Voice!N:N,"",0)="VL","VL",IF(XLOOKUP($A81,Partner_Voice!$A:$A,Partner_Voice!N:N,"",0)="ATT","ATT",XLOOKUP($A81,Partner_Voice!$A:$A,Partner_Voice!N:N,"",0))))</f>
        <v>0.3333333333</v>
      </c>
      <c r="O81" s="42">
        <f t="array" ref="O81">IF(XLOOKUP($A81,Partner_Voice!$A:$A,Partner_Voice!O:O,"",0)="Free","Free",IF(XLOOKUP($A81,Partner_Voice!$A:$A,Partner_Voice!O:O,"",0)="VL","VL",IF(XLOOKUP($A81,Partner_Voice!$A:$A,Partner_Voice!O:O,"",0)="ATT","ATT",XLOOKUP($A81,Partner_Voice!$A:$A,Partner_Voice!O:O,"",0))))</f>
        <v>0.3333333333</v>
      </c>
      <c r="P81" s="42">
        <f t="array" ref="P81">IF(XLOOKUP($A81,Partner_Voice!$A:$A,Partner_Voice!P:P,"",0)="Free","Free",IF(XLOOKUP($A81,Partner_Voice!$A:$A,Partner_Voice!P:P,"",0)="VL","VL",IF(XLOOKUP($A81,Partner_Voice!$A:$A,Partner_Voice!P:P,"",0)="ATT","ATT",XLOOKUP($A81,Partner_Voice!$A:$A,Partner_Voice!P:P,"",0))))</f>
        <v>0.3333333333</v>
      </c>
      <c r="Q81" s="42" t="str">
        <f t="array" ref="Q81">IF(XLOOKUP($A81,Partner_Voice!$A:$A,Partner_Voice!Q:Q,"",0)="Free","Free",IF(XLOOKUP($A81,Partner_Voice!$A:$A,Partner_Voice!Q:Q,"",0)="VL","VL",IF(XLOOKUP($A81,Partner_Voice!$A:$A,Partner_Voice!Q:Q,"",0)="ATT","ATT",XLOOKUP($A81,Partner_Voice!$A:$A,Partner_Voice!Q:Q,"",0))))</f>
        <v>Free</v>
      </c>
      <c r="R81" s="43"/>
      <c r="S81" s="42">
        <f t="array" ref="S81">IF(XLOOKUP($A81,Partner_Voice!$A:$A,Partner_Voice!S:S,"",0)="Free","Free",IF(XLOOKUP($A81,Partner_Voice!$A:$A,Partner_Voice!S:S,"",0)="VL","VL",IF(XLOOKUP($A81,Partner_Voice!$A:$A,Partner_Voice!S:S,"",0)="ATT","ATT",XLOOKUP($A81,Partner_Voice!$A:$A,Partner_Voice!S:S,"",0))))</f>
        <v>0.3333333333</v>
      </c>
      <c r="T81" s="42">
        <f t="array" ref="T81">IF(XLOOKUP($A81,Partner_Voice!$A:$A,Partner_Voice!T:T,"",0)="Free","Free",IF(XLOOKUP($A81,Partner_Voice!$A:$A,Partner_Voice!T:T,"",0)="VL","VL",IF(XLOOKUP($A81,Partner_Voice!$A:$A,Partner_Voice!T:T,"",0)="ATT","ATT",XLOOKUP($A81,Partner_Voice!$A:$A,Partner_Voice!T:T,"",0))))</f>
        <v>0.3333333333</v>
      </c>
      <c r="U81" s="42" t="str">
        <f t="array" ref="U81">IF(XLOOKUP($A81,Partner_Voice!$A:$A,Partner_Voice!U:U,"",0)="Free","Free",IF(XLOOKUP($A81,Partner_Voice!$A:$A,Partner_Voice!U:U,"",0)="VL","VL",IF(XLOOKUP($A81,Partner_Voice!$A:$A,Partner_Voice!U:U,"",0)="ATT","ATT",XLOOKUP($A81,Partner_Voice!$A:$A,Partner_Voice!U:U,"",0))))</f>
        <v>Free</v>
      </c>
      <c r="V81" s="42">
        <f t="array" ref="V81">IF(XLOOKUP($A81,Partner_Voice!$A:$A,Partner_Voice!V:V,"",0)="Free","Free",IF(XLOOKUP($A81,Partner_Voice!$A:$A,Partner_Voice!V:V,"",0)="VL","VL",IF(XLOOKUP($A81,Partner_Voice!$A:$A,Partner_Voice!V:V,"",0)="ATT","ATT",XLOOKUP($A81,Partner_Voice!$A:$A,Partner_Voice!V:V,"",0))))</f>
        <v>0.3333333333</v>
      </c>
      <c r="W81" s="42">
        <f t="array" ref="W81">IF(XLOOKUP($A81,Partner_Voice!$A:$A,Partner_Voice!W:W,"",0)="Free","Free",IF(XLOOKUP($A81,Partner_Voice!$A:$A,Partner_Voice!W:W,"",0)="VL","VL",IF(XLOOKUP($A81,Partner_Voice!$A:$A,Partner_Voice!W:W,"",0)="ATT","ATT",XLOOKUP($A81,Partner_Voice!$A:$A,Partner_Voice!W:W,"",0))))</f>
        <v>0.3333333333</v>
      </c>
      <c r="X81" s="42">
        <f t="array" ref="X81">IF(XLOOKUP($A81,Partner_Voice!$A:$A,Partner_Voice!X:X,"",0)="Free","Free",IF(XLOOKUP($A81,Partner_Voice!$A:$A,Partner_Voice!X:X,"",0)="VL","VL",IF(XLOOKUP($A81,Partner_Voice!$A:$A,Partner_Voice!X:X,"",0)="ATT","ATT",XLOOKUP($A81,Partner_Voice!$A:$A,Partner_Voice!X:X,"",0))))</f>
        <v>0.3333333333</v>
      </c>
      <c r="Y81" s="43"/>
      <c r="Z81" s="42">
        <f t="array" ref="Z81">IF(XLOOKUP($A81,Partner_Voice!$A:$A,Partner_Voice!Z:Z,"",0)="Free","Free",IF(XLOOKUP($A81,Partner_Voice!$A:$A,Partner_Voice!Z:Z,"",0)="VL","VL",IF(XLOOKUP($A81,Partner_Voice!$A:$A,Partner_Voice!Z:Z,"",0)="ATT","ATT",XLOOKUP($A81,Partner_Voice!$A:$A,Partner_Voice!Z:Z,"",0))))</f>
        <v>0.3333333333</v>
      </c>
      <c r="AA81" s="42">
        <f t="array" ref="AA81">IF(XLOOKUP($A81,Partner_Voice!$A:$A,Partner_Voice!AA:AA,"",0)="Free","Free",IF(XLOOKUP($A81,Partner_Voice!$A:$A,Partner_Voice!AA:AA,"",0)="VL","VL",IF(XLOOKUP($A81,Partner_Voice!$A:$A,Partner_Voice!AA:AA,"",0)="ATT","ATT",XLOOKUP($A81,Partner_Voice!$A:$A,Partner_Voice!AA:AA,"",0))))</f>
        <v>0.3333333333</v>
      </c>
      <c r="AB81" s="42" t="str">
        <f t="array" ref="AB81">IF(XLOOKUP($A81,Partner_Voice!$A:$A,Partner_Voice!AB:AB,"",0)="Free","Free",IF(XLOOKUP($A81,Partner_Voice!$A:$A,Partner_Voice!AB:AB,"",0)="VL","VL",IF(XLOOKUP($A81,Partner_Voice!$A:$A,Partner_Voice!AB:AB,"",0)="ATT","ATT",XLOOKUP($A81,Partner_Voice!$A:$A,Partner_Voice!AB:AB,"",0))))</f>
        <v>Free</v>
      </c>
      <c r="AC81" s="42">
        <f t="array" ref="AC81">IF(XLOOKUP($A81,Partner_Voice!$A:$A,Partner_Voice!AC:AC,"",0)="Free","Free",IF(XLOOKUP($A81,Partner_Voice!$A:$A,Partner_Voice!AC:AC,"",0)="VL","VL",IF(XLOOKUP($A81,Partner_Voice!$A:$A,Partner_Voice!AC:AC,"",0)="ATT","ATT",XLOOKUP($A81,Partner_Voice!$A:$A,Partner_Voice!AC:AC,"",0))))</f>
        <v>0.3333333333</v>
      </c>
      <c r="AD81" s="42">
        <f t="array" ref="AD81">IF(XLOOKUP($A81,Partner_Voice!$A:$A,Partner_Voice!AD:AD,"",0)="Free","Free",IF(XLOOKUP($A81,Partner_Voice!$A:$A,Partner_Voice!AD:AD,"",0)="VL","VL",IF(XLOOKUP($A81,Partner_Voice!$A:$A,Partner_Voice!AD:AD,"",0)="ATT","ATT",XLOOKUP($A81,Partner_Voice!$A:$A,Partner_Voice!AD:AD,"",0))))</f>
        <v>0.3333333333</v>
      </c>
      <c r="AE81" s="42">
        <f t="array" ref="AE81">IF(XLOOKUP($A81,Partner_Voice!$A:$A,Partner_Voice!AE:AE,"",0)="Free","Free",IF(XLOOKUP($A81,Partner_Voice!$A:$A,Partner_Voice!AE:AE,"",0)="VL","VL",IF(XLOOKUP($A81,Partner_Voice!$A:$A,Partner_Voice!AE:AE,"",0)="ATT","ATT",XLOOKUP($A81,Partner_Voice!$A:$A,Partner_Voice!AE:AE,"",0))))</f>
        <v>0.3333333333</v>
      </c>
      <c r="AF81" s="69"/>
      <c r="AG81" s="42" t="str">
        <f t="array" ref="AG81">IF(XLOOKUP($A81,Partner_Voice!$A:$A,Partner_Voice!AG:AG,"",0)="Free","Free",IF(XLOOKUP($A81,Partner_Voice!$A:$A,Partner_Voice!AG:AG,"",0)="VL","VL",IF(XLOOKUP($A81,Partner_Voice!$A:$A,Partner_Voice!AG:AG,"",0)="ATT","ATT",XLOOKUP($A81,Partner_Voice!$A:$A,Partner_Voice!AG:AG,"",0))))</f>
        <v/>
      </c>
      <c r="AH81" s="42" t="str">
        <f t="array" ref="AH81">IF(XLOOKUP($A81,Partner_Voice!$A:$A,Partner_Voice!AH:AH,"",0)="Free","Free",IF(XLOOKUP($A81,Partner_Voice!$A:$A,Partner_Voice!AH:AH,"",0)="VL","VL",IF(XLOOKUP($A81,Partner_Voice!$A:$A,Partner_Voice!AH:AH,"",0)="ATT","ATT",XLOOKUP($A81,Partner_Voice!$A:$A,Partner_Voice!AH:AH,"",0))))</f>
        <v/>
      </c>
      <c r="AI81" s="42" t="str">
        <f t="array" ref="AI81">IF(XLOOKUP($A81,Partner_Voice!$A:$A,Partner_Voice!AI:AI,"",0)="Free","Free",IF(XLOOKUP($A81,Partner_Voice!$A:$A,Partner_Voice!AI:AI,"",0)="VL","VL",IF(XLOOKUP($A81,Partner_Voice!$A:$A,Partner_Voice!AI:AI,"",0)="ATT","ATT",XLOOKUP($A81,Partner_Voice!$A:$A,Partner_Voice!AI:AI,"",0))))</f>
        <v/>
      </c>
      <c r="AJ81" s="42" t="str">
        <f t="array" ref="AJ81">IF(XLOOKUP($A81,Partner_Voice!$A:$A,Partner_Voice!AJ:AJ,"",0)="Free","Free",IF(XLOOKUP($A81,Partner_Voice!$A:$A,Partner_Voice!AJ:AJ,"",0)="VL","VL",IF(XLOOKUP($A81,Partner_Voice!$A:$A,Partner_Voice!AJ:AJ,"",0)="ATT","ATT",XLOOKUP($A81,Partner_Voice!$A:$A,Partner_Voice!AJ:AJ,"",0))))</f>
        <v/>
      </c>
      <c r="AK81" s="42" t="str">
        <f t="array" ref="AK81">IF(XLOOKUP($A81,Partner_Voice!$A:$A,Partner_Voice!AK:AK,"",0)="Free","Free",IF(XLOOKUP($A81,Partner_Voice!$A:$A,Partner_Voice!AK:AK,"",0)="VL","VL",IF(XLOOKUP($A81,Partner_Voice!$A:$A,Partner_Voice!AK:AK,"",0)="ATT","ATT",XLOOKUP($A81,Partner_Voice!$A:$A,Partner_Voice!AK:AK,"",0))))</f>
        <v/>
      </c>
      <c r="AL81" s="42" t="str">
        <f t="array" ref="AL81">IF(XLOOKUP($A81,Partner_Voice!$A:$A,Partner_Voice!AL:AL,"",0)="Free","Free",IF(XLOOKUP($A81,Partner_Voice!$A:$A,Partner_Voice!AL:AL,"",0)="VL","VL",IF(XLOOKUP($A81,Partner_Voice!$A:$A,Partner_Voice!AL:AL,"",0)="ATT","ATT",XLOOKUP($A81,Partner_Voice!$A:$A,Partner_Voice!AL:AL,"",0))))</f>
        <v/>
      </c>
      <c r="AM81" s="42"/>
    </row>
    <row r="82">
      <c r="A82" s="47" t="s">
        <v>196</v>
      </c>
      <c r="B82" s="35" t="str">
        <f t="array" ref="B82">XLOOKUP(A82,Roster!F:F,Roster!A:A,"")</f>
        <v>Andra Daza</v>
      </c>
      <c r="C82" s="35" t="str">
        <f t="array" ref="C82">XLOOKUP(A82,Roster!F:F,Roster!B:B,"")</f>
        <v>Luis Espinosa</v>
      </c>
      <c r="D82" s="70"/>
      <c r="E82" s="42">
        <f t="array" ref="E82">IF(XLOOKUP($A82,Partner_Voice!$A:$A,Partner_Voice!E:E,"",0)="Free","Free",IF(XLOOKUP($A82,Partner_Voice!$A:$A,Partner_Voice!E:E,"",0)="VL","VL",IF(XLOOKUP($A82,Partner_Voice!$A:$A,Partner_Voice!E:E,"",0)="ATT","ATT",XLOOKUP($A82,Partner_Voice!$A:$A,Partner_Voice!E:E,"",0))))</f>
        <v>0.3333333333</v>
      </c>
      <c r="F82" s="42">
        <f t="array" ref="F82">IF(XLOOKUP($A82,Partner_Voice!$A:$A,Partner_Voice!F:F,"",0)="Free","Free",IF(XLOOKUP($A82,Partner_Voice!$A:$A,Partner_Voice!F:F,"",0)="VL","VL",IF(XLOOKUP($A82,Partner_Voice!$A:$A,Partner_Voice!F:F,"",0)="ATT","ATT",XLOOKUP($A82,Partner_Voice!$A:$A,Partner_Voice!F:F,"",0))))</f>
        <v>0.3333333333</v>
      </c>
      <c r="G82" s="42">
        <f t="array" ref="G82">IF(XLOOKUP($A82,Partner_Voice!$A:$A,Partner_Voice!G:G,"",0)="Free","Free",IF(XLOOKUP($A82,Partner_Voice!$A:$A,Partner_Voice!G:G,"",0)="VL","VL",IF(XLOOKUP($A82,Partner_Voice!$A:$A,Partner_Voice!G:G,"",0)="ATT","ATT",XLOOKUP($A82,Partner_Voice!$A:$A,Partner_Voice!G:G,"",0))))</f>
        <v>0.3333333333</v>
      </c>
      <c r="H82" s="42">
        <f t="array" ref="H82">IF(XLOOKUP($A82,Partner_Voice!$A:$A,Partner_Voice!H:H,"",0)="Free","Free",IF(XLOOKUP($A82,Partner_Voice!$A:$A,Partner_Voice!H:H,"",0)="VL","VL",IF(XLOOKUP($A82,Partner_Voice!$A:$A,Partner_Voice!H:H,"",0)="ATT","ATT",XLOOKUP($A82,Partner_Voice!$A:$A,Partner_Voice!H:H,"",0))))</f>
        <v>0.3333333333</v>
      </c>
      <c r="I82" s="42">
        <f t="array" ref="I82">IF(XLOOKUP($A82,Partner_Voice!$A:$A,Partner_Voice!I:I,"",0)="Free","Free",IF(XLOOKUP($A82,Partner_Voice!$A:$A,Partner_Voice!I:I,"",0)="VL","VL",IF(XLOOKUP($A82,Partner_Voice!$A:$A,Partner_Voice!I:I,"",0)="ATT","ATT",XLOOKUP($A82,Partner_Voice!$A:$A,Partner_Voice!I:I,"",0))))</f>
        <v>0.3333333333</v>
      </c>
      <c r="J82" s="42" t="str">
        <f t="array" ref="J82">IF(XLOOKUP($A82,Partner_Voice!$A:$A,Partner_Voice!J:J,"",0)="Free","Free",IF(XLOOKUP($A82,Partner_Voice!$A:$A,Partner_Voice!J:J,"",0)="VL","VL",IF(XLOOKUP($A82,Partner_Voice!$A:$A,Partner_Voice!J:J,"",0)="ATT","ATT",XLOOKUP($A82,Partner_Voice!$A:$A,Partner_Voice!J:J,"",0))))</f>
        <v>Free</v>
      </c>
      <c r="K82" s="42"/>
      <c r="L82" s="42">
        <f t="array" ref="L82">IF(XLOOKUP($A82,Partner_Voice!$A:$A,Partner_Voice!L:L,"",0)="Free","Free",IF(XLOOKUP($A82,Partner_Voice!$A:$A,Partner_Voice!L:L,"",0)="VL","VL",IF(XLOOKUP($A82,Partner_Voice!$A:$A,Partner_Voice!L:L,"",0)="ATT","ATT",XLOOKUP($A82,Partner_Voice!$A:$A,Partner_Voice!L:L,"",0))))</f>
        <v>0.3333333333</v>
      </c>
      <c r="M82" s="42">
        <f t="array" ref="M82">IF(XLOOKUP($A82,Partner_Voice!$A:$A,Partner_Voice!M:M,"",0)="Free","Free",IF(XLOOKUP($A82,Partner_Voice!$A:$A,Partner_Voice!M:M,"",0)="VL","VL",IF(XLOOKUP($A82,Partner_Voice!$A:$A,Partner_Voice!M:M,"",0)="ATT","ATT",XLOOKUP($A82,Partner_Voice!$A:$A,Partner_Voice!M:M,"",0))))</f>
        <v>0.3333333333</v>
      </c>
      <c r="N82" s="42">
        <f t="array" ref="N82">IF(XLOOKUP($A82,Partner_Voice!$A:$A,Partner_Voice!N:N,"",0)="Free","Free",IF(XLOOKUP($A82,Partner_Voice!$A:$A,Partner_Voice!N:N,"",0)="VL","VL",IF(XLOOKUP($A82,Partner_Voice!$A:$A,Partner_Voice!N:N,"",0)="ATT","ATT",XLOOKUP($A82,Partner_Voice!$A:$A,Partner_Voice!N:N,"",0))))</f>
        <v>0.3333333333</v>
      </c>
      <c r="O82" s="42">
        <f t="array" ref="O82">IF(XLOOKUP($A82,Partner_Voice!$A:$A,Partner_Voice!O:O,"",0)="Free","Free",IF(XLOOKUP($A82,Partner_Voice!$A:$A,Partner_Voice!O:O,"",0)="VL","VL",IF(XLOOKUP($A82,Partner_Voice!$A:$A,Partner_Voice!O:O,"",0)="ATT","ATT",XLOOKUP($A82,Partner_Voice!$A:$A,Partner_Voice!O:O,"",0))))</f>
        <v>0.3333333333</v>
      </c>
      <c r="P82" s="42">
        <f t="array" ref="P82">IF(XLOOKUP($A82,Partner_Voice!$A:$A,Partner_Voice!P:P,"",0)="Free","Free",IF(XLOOKUP($A82,Partner_Voice!$A:$A,Partner_Voice!P:P,"",0)="VL","VL",IF(XLOOKUP($A82,Partner_Voice!$A:$A,Partner_Voice!P:P,"",0)="ATT","ATT",XLOOKUP($A82,Partner_Voice!$A:$A,Partner_Voice!P:P,"",0))))</f>
        <v>0.3333333333</v>
      </c>
      <c r="Q82" s="42" t="str">
        <f t="array" ref="Q82">IF(XLOOKUP($A82,Partner_Voice!$A:$A,Partner_Voice!Q:Q,"",0)="Free","Free",IF(XLOOKUP($A82,Partner_Voice!$A:$A,Partner_Voice!Q:Q,"",0)="VL","VL",IF(XLOOKUP($A82,Partner_Voice!$A:$A,Partner_Voice!Q:Q,"",0)="ATT","ATT",XLOOKUP($A82,Partner_Voice!$A:$A,Partner_Voice!Q:Q,"",0))))</f>
        <v>Free</v>
      </c>
      <c r="R82" s="43"/>
      <c r="S82" s="42">
        <f t="array" ref="S82">IF(XLOOKUP($A82,Partner_Voice!$A:$A,Partner_Voice!S:S,"",0)="Free","Free",IF(XLOOKUP($A82,Partner_Voice!$A:$A,Partner_Voice!S:S,"",0)="VL","VL",IF(XLOOKUP($A82,Partner_Voice!$A:$A,Partner_Voice!S:S,"",0)="ATT","ATT",XLOOKUP($A82,Partner_Voice!$A:$A,Partner_Voice!S:S,"",0))))</f>
        <v>0.3333333333</v>
      </c>
      <c r="T82" s="42">
        <f t="array" ref="T82">IF(XLOOKUP($A82,Partner_Voice!$A:$A,Partner_Voice!T:T,"",0)="Free","Free",IF(XLOOKUP($A82,Partner_Voice!$A:$A,Partner_Voice!T:T,"",0)="VL","VL",IF(XLOOKUP($A82,Partner_Voice!$A:$A,Partner_Voice!T:T,"",0)="ATT","ATT",XLOOKUP($A82,Partner_Voice!$A:$A,Partner_Voice!T:T,"",0))))</f>
        <v>0.3333333333</v>
      </c>
      <c r="U82" s="42">
        <f t="array" ref="U82">IF(XLOOKUP($A82,Partner_Voice!$A:$A,Partner_Voice!U:U,"",0)="Free","Free",IF(XLOOKUP($A82,Partner_Voice!$A:$A,Partner_Voice!U:U,"",0)="VL","VL",IF(XLOOKUP($A82,Partner_Voice!$A:$A,Partner_Voice!U:U,"",0)="ATT","ATT",XLOOKUP($A82,Partner_Voice!$A:$A,Partner_Voice!U:U,"",0))))</f>
        <v>0.3333333333</v>
      </c>
      <c r="V82" s="42" t="str">
        <f t="array" ref="V82">IF(XLOOKUP($A82,Partner_Voice!$A:$A,Partner_Voice!V:V,"",0)="Free","Free",IF(XLOOKUP($A82,Partner_Voice!$A:$A,Partner_Voice!V:V,"",0)="VL","VL",IF(XLOOKUP($A82,Partner_Voice!$A:$A,Partner_Voice!V:V,"",0)="ATT","ATT",XLOOKUP($A82,Partner_Voice!$A:$A,Partner_Voice!V:V,"",0))))</f>
        <v>Free</v>
      </c>
      <c r="W82" s="42">
        <f t="array" ref="W82">IF(XLOOKUP($A82,Partner_Voice!$A:$A,Partner_Voice!W:W,"",0)="Free","Free",IF(XLOOKUP($A82,Partner_Voice!$A:$A,Partner_Voice!W:W,"",0)="VL","VL",IF(XLOOKUP($A82,Partner_Voice!$A:$A,Partner_Voice!W:W,"",0)="ATT","ATT",XLOOKUP($A82,Partner_Voice!$A:$A,Partner_Voice!W:W,"",0))))</f>
        <v>0.3333333333</v>
      </c>
      <c r="X82" s="42">
        <f t="array" ref="X82">IF(XLOOKUP($A82,Partner_Voice!$A:$A,Partner_Voice!X:X,"",0)="Free","Free",IF(XLOOKUP($A82,Partner_Voice!$A:$A,Partner_Voice!X:X,"",0)="VL","VL",IF(XLOOKUP($A82,Partner_Voice!$A:$A,Partner_Voice!X:X,"",0)="ATT","ATT",XLOOKUP($A82,Partner_Voice!$A:$A,Partner_Voice!X:X,"",0))))</f>
        <v>0.3333333333</v>
      </c>
      <c r="Y82" s="43"/>
      <c r="Z82" s="42">
        <f t="array" ref="Z82">IF(XLOOKUP($A82,Partner_Voice!$A:$A,Partner_Voice!Z:Z,"",0)="Free","Free",IF(XLOOKUP($A82,Partner_Voice!$A:$A,Partner_Voice!Z:Z,"",0)="VL","VL",IF(XLOOKUP($A82,Partner_Voice!$A:$A,Partner_Voice!Z:Z,"",0)="ATT","ATT",XLOOKUP($A82,Partner_Voice!$A:$A,Partner_Voice!Z:Z,"",0))))</f>
        <v>0.3333333333</v>
      </c>
      <c r="AA82" s="42">
        <f t="array" ref="AA82">IF(XLOOKUP($A82,Partner_Voice!$A:$A,Partner_Voice!AA:AA,"",0)="Free","Free",IF(XLOOKUP($A82,Partner_Voice!$A:$A,Partner_Voice!AA:AA,"",0)="VL","VL",IF(XLOOKUP($A82,Partner_Voice!$A:$A,Partner_Voice!AA:AA,"",0)="ATT","ATT",XLOOKUP($A82,Partner_Voice!$A:$A,Partner_Voice!AA:AA,"",0))))</f>
        <v>0.3333333333</v>
      </c>
      <c r="AB82" s="42">
        <f t="array" ref="AB82">IF(XLOOKUP($A82,Partner_Voice!$A:$A,Partner_Voice!AB:AB,"",0)="Free","Free",IF(XLOOKUP($A82,Partner_Voice!$A:$A,Partner_Voice!AB:AB,"",0)="VL","VL",IF(XLOOKUP($A82,Partner_Voice!$A:$A,Partner_Voice!AB:AB,"",0)="ATT","ATT",XLOOKUP($A82,Partner_Voice!$A:$A,Partner_Voice!AB:AB,"",0))))</f>
        <v>0.3333333333</v>
      </c>
      <c r="AC82" s="42" t="str">
        <f t="array" ref="AC82">IF(XLOOKUP($A82,Partner_Voice!$A:$A,Partner_Voice!AC:AC,"",0)="Free","Free",IF(XLOOKUP($A82,Partner_Voice!$A:$A,Partner_Voice!AC:AC,"",0)="VL","VL",IF(XLOOKUP($A82,Partner_Voice!$A:$A,Partner_Voice!AC:AC,"",0)="ATT","ATT",XLOOKUP($A82,Partner_Voice!$A:$A,Partner_Voice!AC:AC,"",0))))</f>
        <v>Free</v>
      </c>
      <c r="AD82" s="42">
        <f t="array" ref="AD82">IF(XLOOKUP($A82,Partner_Voice!$A:$A,Partner_Voice!AD:AD,"",0)="Free","Free",IF(XLOOKUP($A82,Partner_Voice!$A:$A,Partner_Voice!AD:AD,"",0)="VL","VL",IF(XLOOKUP($A82,Partner_Voice!$A:$A,Partner_Voice!AD:AD,"",0)="ATT","ATT",XLOOKUP($A82,Partner_Voice!$A:$A,Partner_Voice!AD:AD,"",0))))</f>
        <v>0.3333333333</v>
      </c>
      <c r="AE82" s="42">
        <f t="array" ref="AE82">IF(XLOOKUP($A82,Partner_Voice!$A:$A,Partner_Voice!AE:AE,"",0)="Free","Free",IF(XLOOKUP($A82,Partner_Voice!$A:$A,Partner_Voice!AE:AE,"",0)="VL","VL",IF(XLOOKUP($A82,Partner_Voice!$A:$A,Partner_Voice!AE:AE,"",0)="ATT","ATT",XLOOKUP($A82,Partner_Voice!$A:$A,Partner_Voice!AE:AE,"",0))))</f>
        <v>0.3333333333</v>
      </c>
      <c r="AF82" s="69"/>
      <c r="AG82" s="42" t="str">
        <f t="array" ref="AG82">IF(XLOOKUP($A82,Partner_Voice!$A:$A,Partner_Voice!AG:AG,"",0)="Free","Free",IF(XLOOKUP($A82,Partner_Voice!$A:$A,Partner_Voice!AG:AG,"",0)="VL","VL",IF(XLOOKUP($A82,Partner_Voice!$A:$A,Partner_Voice!AG:AG,"",0)="ATT","ATT",XLOOKUP($A82,Partner_Voice!$A:$A,Partner_Voice!AG:AG,"",0))))</f>
        <v/>
      </c>
      <c r="AH82" s="42" t="str">
        <f t="array" ref="AH82">IF(XLOOKUP($A82,Partner_Voice!$A:$A,Partner_Voice!AH:AH,"",0)="Free","Free",IF(XLOOKUP($A82,Partner_Voice!$A:$A,Partner_Voice!AH:AH,"",0)="VL","VL",IF(XLOOKUP($A82,Partner_Voice!$A:$A,Partner_Voice!AH:AH,"",0)="ATT","ATT",XLOOKUP($A82,Partner_Voice!$A:$A,Partner_Voice!AH:AH,"",0))))</f>
        <v/>
      </c>
      <c r="AI82" s="42" t="str">
        <f t="array" ref="AI82">IF(XLOOKUP($A82,Partner_Voice!$A:$A,Partner_Voice!AI:AI,"",0)="Free","Free",IF(XLOOKUP($A82,Partner_Voice!$A:$A,Partner_Voice!AI:AI,"",0)="VL","VL",IF(XLOOKUP($A82,Partner_Voice!$A:$A,Partner_Voice!AI:AI,"",0)="ATT","ATT",XLOOKUP($A82,Partner_Voice!$A:$A,Partner_Voice!AI:AI,"",0))))</f>
        <v/>
      </c>
      <c r="AJ82" s="42" t="str">
        <f t="array" ref="AJ82">IF(XLOOKUP($A82,Partner_Voice!$A:$A,Partner_Voice!AJ:AJ,"",0)="Free","Free",IF(XLOOKUP($A82,Partner_Voice!$A:$A,Partner_Voice!AJ:AJ,"",0)="VL","VL",IF(XLOOKUP($A82,Partner_Voice!$A:$A,Partner_Voice!AJ:AJ,"",0)="ATT","ATT",XLOOKUP($A82,Partner_Voice!$A:$A,Partner_Voice!AJ:AJ,"",0))))</f>
        <v/>
      </c>
      <c r="AK82" s="42" t="str">
        <f t="array" ref="AK82">IF(XLOOKUP($A82,Partner_Voice!$A:$A,Partner_Voice!AK:AK,"",0)="Free","Free",IF(XLOOKUP($A82,Partner_Voice!$A:$A,Partner_Voice!AK:AK,"",0)="VL","VL",IF(XLOOKUP($A82,Partner_Voice!$A:$A,Partner_Voice!AK:AK,"",0)="ATT","ATT",XLOOKUP($A82,Partner_Voice!$A:$A,Partner_Voice!AK:AK,"",0))))</f>
        <v/>
      </c>
      <c r="AL82" s="42" t="str">
        <f t="array" ref="AL82">IF(XLOOKUP($A82,Partner_Voice!$A:$A,Partner_Voice!AL:AL,"",0)="Free","Free",IF(XLOOKUP($A82,Partner_Voice!$A:$A,Partner_Voice!AL:AL,"",0)="VL","VL",IF(XLOOKUP($A82,Partner_Voice!$A:$A,Partner_Voice!AL:AL,"",0)="ATT","ATT",XLOOKUP($A82,Partner_Voice!$A:$A,Partner_Voice!AL:AL,"",0))))</f>
        <v/>
      </c>
      <c r="AM82" s="42"/>
    </row>
    <row r="83">
      <c r="A83" s="47" t="s">
        <v>197</v>
      </c>
      <c r="B83" s="35" t="str">
        <f t="array" ref="B83">XLOOKUP(A83,Roster!F:F,Roster!A:A,"")</f>
        <v>Daniel Bustamante</v>
      </c>
      <c r="C83" s="35" t="str">
        <f t="array" ref="C83">XLOOKUP(A83,Roster!F:F,Roster!B:B,"")</f>
        <v>Miguel Ruiz</v>
      </c>
      <c r="D83" s="70"/>
      <c r="E83" s="42">
        <f t="array" ref="E83">IF(XLOOKUP($A83,Partner_Voice!$A:$A,Partner_Voice!E:E,"",0)="Free","Free",IF(XLOOKUP($A83,Partner_Voice!$A:$A,Partner_Voice!E:E,"",0)="VL","VL",IF(XLOOKUP($A83,Partner_Voice!$A:$A,Partner_Voice!E:E,"",0)="ATT","ATT",XLOOKUP($A83,Partner_Voice!$A:$A,Partner_Voice!E:E,"",0))))</f>
        <v>0.3333333333</v>
      </c>
      <c r="F83" s="42">
        <f t="array" ref="F83">IF(XLOOKUP($A83,Partner_Voice!$A:$A,Partner_Voice!F:F,"",0)="Free","Free",IF(XLOOKUP($A83,Partner_Voice!$A:$A,Partner_Voice!F:F,"",0)="VL","VL",IF(XLOOKUP($A83,Partner_Voice!$A:$A,Partner_Voice!F:F,"",0)="ATT","ATT",XLOOKUP($A83,Partner_Voice!$A:$A,Partner_Voice!F:F,"",0))))</f>
        <v>0.3333333333</v>
      </c>
      <c r="G83" s="42">
        <f t="array" ref="G83">IF(XLOOKUP($A83,Partner_Voice!$A:$A,Partner_Voice!G:G,"",0)="Free","Free",IF(XLOOKUP($A83,Partner_Voice!$A:$A,Partner_Voice!G:G,"",0)="VL","VL",IF(XLOOKUP($A83,Partner_Voice!$A:$A,Partner_Voice!G:G,"",0)="ATT","ATT",XLOOKUP($A83,Partner_Voice!$A:$A,Partner_Voice!G:G,"",0))))</f>
        <v>0.3333333333</v>
      </c>
      <c r="H83" s="42">
        <f t="array" ref="H83">IF(XLOOKUP($A83,Partner_Voice!$A:$A,Partner_Voice!H:H,"",0)="Free","Free",IF(XLOOKUP($A83,Partner_Voice!$A:$A,Partner_Voice!H:H,"",0)="VL","VL",IF(XLOOKUP($A83,Partner_Voice!$A:$A,Partner_Voice!H:H,"",0)="ATT","ATT",XLOOKUP($A83,Partner_Voice!$A:$A,Partner_Voice!H:H,"",0))))</f>
        <v>0.3333333333</v>
      </c>
      <c r="I83" s="42">
        <f t="array" ref="I83">IF(XLOOKUP($A83,Partner_Voice!$A:$A,Partner_Voice!I:I,"",0)="Free","Free",IF(XLOOKUP($A83,Partner_Voice!$A:$A,Partner_Voice!I:I,"",0)="VL","VL",IF(XLOOKUP($A83,Partner_Voice!$A:$A,Partner_Voice!I:I,"",0)="ATT","ATT",XLOOKUP($A83,Partner_Voice!$A:$A,Partner_Voice!I:I,"",0))))</f>
        <v>0.3333333333</v>
      </c>
      <c r="J83" s="42" t="str">
        <f t="array" ref="J83">IF(XLOOKUP($A83,Partner_Voice!$A:$A,Partner_Voice!J:J,"",0)="Free","Free",IF(XLOOKUP($A83,Partner_Voice!$A:$A,Partner_Voice!J:J,"",0)="VL","VL",IF(XLOOKUP($A83,Partner_Voice!$A:$A,Partner_Voice!J:J,"",0)="ATT","ATT",XLOOKUP($A83,Partner_Voice!$A:$A,Partner_Voice!J:J,"",0))))</f>
        <v>Free</v>
      </c>
      <c r="K83" s="42"/>
      <c r="L83" s="42">
        <f t="array" ref="L83">IF(XLOOKUP($A83,Partner_Voice!$A:$A,Partner_Voice!L:L,"",0)="Free","Free",IF(XLOOKUP($A83,Partner_Voice!$A:$A,Partner_Voice!L:L,"",0)="VL","VL",IF(XLOOKUP($A83,Partner_Voice!$A:$A,Partner_Voice!L:L,"",0)="ATT","ATT",XLOOKUP($A83,Partner_Voice!$A:$A,Partner_Voice!L:L,"",0))))</f>
        <v>0.3333333333</v>
      </c>
      <c r="M83" s="42">
        <f t="array" ref="M83">IF(XLOOKUP($A83,Partner_Voice!$A:$A,Partner_Voice!M:M,"",0)="Free","Free",IF(XLOOKUP($A83,Partner_Voice!$A:$A,Partner_Voice!M:M,"",0)="VL","VL",IF(XLOOKUP($A83,Partner_Voice!$A:$A,Partner_Voice!M:M,"",0)="ATT","ATT",XLOOKUP($A83,Partner_Voice!$A:$A,Partner_Voice!M:M,"",0))))</f>
        <v>0.3333333333</v>
      </c>
      <c r="N83" s="42">
        <f t="array" ref="N83">IF(XLOOKUP($A83,Partner_Voice!$A:$A,Partner_Voice!N:N,"",0)="Free","Free",IF(XLOOKUP($A83,Partner_Voice!$A:$A,Partner_Voice!N:N,"",0)="VL","VL",IF(XLOOKUP($A83,Partner_Voice!$A:$A,Partner_Voice!N:N,"",0)="ATT","ATT",XLOOKUP($A83,Partner_Voice!$A:$A,Partner_Voice!N:N,"",0))))</f>
        <v>0.3333333333</v>
      </c>
      <c r="O83" s="42">
        <f t="array" ref="O83">IF(XLOOKUP($A83,Partner_Voice!$A:$A,Partner_Voice!O:O,"",0)="Free","Free",IF(XLOOKUP($A83,Partner_Voice!$A:$A,Partner_Voice!O:O,"",0)="VL","VL",IF(XLOOKUP($A83,Partner_Voice!$A:$A,Partner_Voice!O:O,"",0)="ATT","ATT",XLOOKUP($A83,Partner_Voice!$A:$A,Partner_Voice!O:O,"",0))))</f>
        <v>0.3333333333</v>
      </c>
      <c r="P83" s="42">
        <f t="array" ref="P83">IF(XLOOKUP($A83,Partner_Voice!$A:$A,Partner_Voice!P:P,"",0)="Free","Free",IF(XLOOKUP($A83,Partner_Voice!$A:$A,Partner_Voice!P:P,"",0)="VL","VL",IF(XLOOKUP($A83,Partner_Voice!$A:$A,Partner_Voice!P:P,"",0)="ATT","ATT",XLOOKUP($A83,Partner_Voice!$A:$A,Partner_Voice!P:P,"",0))))</f>
        <v>0.3333333333</v>
      </c>
      <c r="Q83" s="42" t="str">
        <f t="array" ref="Q83">IF(XLOOKUP($A83,Partner_Voice!$A:$A,Partner_Voice!Q:Q,"",0)="Free","Free",IF(XLOOKUP($A83,Partner_Voice!$A:$A,Partner_Voice!Q:Q,"",0)="VL","VL",IF(XLOOKUP($A83,Partner_Voice!$A:$A,Partner_Voice!Q:Q,"",0)="ATT","ATT",XLOOKUP($A83,Partner_Voice!$A:$A,Partner_Voice!Q:Q,"",0))))</f>
        <v>Free</v>
      </c>
      <c r="R83" s="43"/>
      <c r="S83" s="42">
        <f t="array" ref="S83">IF(XLOOKUP($A83,Partner_Voice!$A:$A,Partner_Voice!S:S,"",0)="Free","Free",IF(XLOOKUP($A83,Partner_Voice!$A:$A,Partner_Voice!S:S,"",0)="VL","VL",IF(XLOOKUP($A83,Partner_Voice!$A:$A,Partner_Voice!S:S,"",0)="ATT","ATT",XLOOKUP($A83,Partner_Voice!$A:$A,Partner_Voice!S:S,"",0))))</f>
        <v>0.4583333333</v>
      </c>
      <c r="T83" s="42">
        <f t="array" ref="T83">IF(XLOOKUP($A83,Partner_Voice!$A:$A,Partner_Voice!T:T,"",0)="Free","Free",IF(XLOOKUP($A83,Partner_Voice!$A:$A,Partner_Voice!T:T,"",0)="VL","VL",IF(XLOOKUP($A83,Partner_Voice!$A:$A,Partner_Voice!T:T,"",0)="ATT","ATT",XLOOKUP($A83,Partner_Voice!$A:$A,Partner_Voice!T:T,"",0))))</f>
        <v>0.4583333333</v>
      </c>
      <c r="U83" s="42">
        <f t="array" ref="U83">IF(XLOOKUP($A83,Partner_Voice!$A:$A,Partner_Voice!U:U,"",0)="Free","Free",IF(XLOOKUP($A83,Partner_Voice!$A:$A,Partner_Voice!U:U,"",0)="VL","VL",IF(XLOOKUP($A83,Partner_Voice!$A:$A,Partner_Voice!U:U,"",0)="ATT","ATT",XLOOKUP($A83,Partner_Voice!$A:$A,Partner_Voice!U:U,"",0))))</f>
        <v>0.4583333333</v>
      </c>
      <c r="V83" s="42">
        <f t="array" ref="V83">IF(XLOOKUP($A83,Partner_Voice!$A:$A,Partner_Voice!V:V,"",0)="Free","Free",IF(XLOOKUP($A83,Partner_Voice!$A:$A,Partner_Voice!V:V,"",0)="VL","VL",IF(XLOOKUP($A83,Partner_Voice!$A:$A,Partner_Voice!V:V,"",0)="ATT","ATT",XLOOKUP($A83,Partner_Voice!$A:$A,Partner_Voice!V:V,"",0))))</f>
        <v>0.4583333333</v>
      </c>
      <c r="W83" s="42" t="str">
        <f t="array" ref="W83">IF(XLOOKUP($A83,Partner_Voice!$A:$A,Partner_Voice!W:W,"",0)="Free","Free",IF(XLOOKUP($A83,Partner_Voice!$A:$A,Partner_Voice!W:W,"",0)="VL","VL",IF(XLOOKUP($A83,Partner_Voice!$A:$A,Partner_Voice!W:W,"",0)="ATT","ATT",XLOOKUP($A83,Partner_Voice!$A:$A,Partner_Voice!W:W,"",0))))</f>
        <v>Free</v>
      </c>
      <c r="X83" s="42">
        <f t="array" ref="X83">IF(XLOOKUP($A83,Partner_Voice!$A:$A,Partner_Voice!X:X,"",0)="Free","Free",IF(XLOOKUP($A83,Partner_Voice!$A:$A,Partner_Voice!X:X,"",0)="VL","VL",IF(XLOOKUP($A83,Partner_Voice!$A:$A,Partner_Voice!X:X,"",0)="ATT","ATT",XLOOKUP($A83,Partner_Voice!$A:$A,Partner_Voice!X:X,"",0))))</f>
        <v>0.4583333333</v>
      </c>
      <c r="Y83" s="43"/>
      <c r="Z83" s="42">
        <f t="array" ref="Z83">IF(XLOOKUP($A83,Partner_Voice!$A:$A,Partner_Voice!Z:Z,"",0)="Free","Free",IF(XLOOKUP($A83,Partner_Voice!$A:$A,Partner_Voice!Z:Z,"",0)="VL","VL",IF(XLOOKUP($A83,Partner_Voice!$A:$A,Partner_Voice!Z:Z,"",0)="ATT","ATT",XLOOKUP($A83,Partner_Voice!$A:$A,Partner_Voice!Z:Z,"",0))))</f>
        <v>0.4583333333</v>
      </c>
      <c r="AA83" s="42">
        <f t="array" ref="AA83">IF(XLOOKUP($A83,Partner_Voice!$A:$A,Partner_Voice!AA:AA,"",0)="Free","Free",IF(XLOOKUP($A83,Partner_Voice!$A:$A,Partner_Voice!AA:AA,"",0)="VL","VL",IF(XLOOKUP($A83,Partner_Voice!$A:$A,Partner_Voice!AA:AA,"",0)="ATT","ATT",XLOOKUP($A83,Partner_Voice!$A:$A,Partner_Voice!AA:AA,"",0))))</f>
        <v>0.4583333333</v>
      </c>
      <c r="AB83" s="42">
        <f t="array" ref="AB83">IF(XLOOKUP($A83,Partner_Voice!$A:$A,Partner_Voice!AB:AB,"",0)="Free","Free",IF(XLOOKUP($A83,Partner_Voice!$A:$A,Partner_Voice!AB:AB,"",0)="VL","VL",IF(XLOOKUP($A83,Partner_Voice!$A:$A,Partner_Voice!AB:AB,"",0)="ATT","ATT",XLOOKUP($A83,Partner_Voice!$A:$A,Partner_Voice!AB:AB,"",0))))</f>
        <v>0.4583333333</v>
      </c>
      <c r="AC83" s="42">
        <f t="array" ref="AC83">IF(XLOOKUP($A83,Partner_Voice!$A:$A,Partner_Voice!AC:AC,"",0)="Free","Free",IF(XLOOKUP($A83,Partner_Voice!$A:$A,Partner_Voice!AC:AC,"",0)="VL","VL",IF(XLOOKUP($A83,Partner_Voice!$A:$A,Partner_Voice!AC:AC,"",0)="ATT","ATT",XLOOKUP($A83,Partner_Voice!$A:$A,Partner_Voice!AC:AC,"",0))))</f>
        <v>0.4583333333</v>
      </c>
      <c r="AD83" s="42" t="str">
        <f t="array" ref="AD83">IF(XLOOKUP($A83,Partner_Voice!$A:$A,Partner_Voice!AD:AD,"",0)="Free","Free",IF(XLOOKUP($A83,Partner_Voice!$A:$A,Partner_Voice!AD:AD,"",0)="VL","VL",IF(XLOOKUP($A83,Partner_Voice!$A:$A,Partner_Voice!AD:AD,"",0)="ATT","ATT",XLOOKUP($A83,Partner_Voice!$A:$A,Partner_Voice!AD:AD,"",0))))</f>
        <v>Free</v>
      </c>
      <c r="AE83" s="42">
        <f t="array" ref="AE83">IF(XLOOKUP($A83,Partner_Voice!$A:$A,Partner_Voice!AE:AE,"",0)="Free","Free",IF(XLOOKUP($A83,Partner_Voice!$A:$A,Partner_Voice!AE:AE,"",0)="VL","VL",IF(XLOOKUP($A83,Partner_Voice!$A:$A,Partner_Voice!AE:AE,"",0)="ATT","ATT",XLOOKUP($A83,Partner_Voice!$A:$A,Partner_Voice!AE:AE,"",0))))</f>
        <v>0.4583333333</v>
      </c>
      <c r="AF83" s="69"/>
      <c r="AG83" s="42" t="str">
        <f t="array" ref="AG83">IF(XLOOKUP($A83,Partner_Voice!$A:$A,Partner_Voice!AG:AG,"",0)="Free","Free",IF(XLOOKUP($A83,Partner_Voice!$A:$A,Partner_Voice!AG:AG,"",0)="VL","VL",IF(XLOOKUP($A83,Partner_Voice!$A:$A,Partner_Voice!AG:AG,"",0)="ATT","ATT",XLOOKUP($A83,Partner_Voice!$A:$A,Partner_Voice!AG:AG,"",0))))</f>
        <v/>
      </c>
      <c r="AH83" s="42" t="str">
        <f t="array" ref="AH83">IF(XLOOKUP($A83,Partner_Voice!$A:$A,Partner_Voice!AH:AH,"",0)="Free","Free",IF(XLOOKUP($A83,Partner_Voice!$A:$A,Partner_Voice!AH:AH,"",0)="VL","VL",IF(XLOOKUP($A83,Partner_Voice!$A:$A,Partner_Voice!AH:AH,"",0)="ATT","ATT",XLOOKUP($A83,Partner_Voice!$A:$A,Partner_Voice!AH:AH,"",0))))</f>
        <v/>
      </c>
      <c r="AI83" s="42" t="str">
        <f t="array" ref="AI83">IF(XLOOKUP($A83,Partner_Voice!$A:$A,Partner_Voice!AI:AI,"",0)="Free","Free",IF(XLOOKUP($A83,Partner_Voice!$A:$A,Partner_Voice!AI:AI,"",0)="VL","VL",IF(XLOOKUP($A83,Partner_Voice!$A:$A,Partner_Voice!AI:AI,"",0)="ATT","ATT",XLOOKUP($A83,Partner_Voice!$A:$A,Partner_Voice!AI:AI,"",0))))</f>
        <v/>
      </c>
      <c r="AJ83" s="42" t="str">
        <f t="array" ref="AJ83">IF(XLOOKUP($A83,Partner_Voice!$A:$A,Partner_Voice!AJ:AJ,"",0)="Free","Free",IF(XLOOKUP($A83,Partner_Voice!$A:$A,Partner_Voice!AJ:AJ,"",0)="VL","VL",IF(XLOOKUP($A83,Partner_Voice!$A:$A,Partner_Voice!AJ:AJ,"",0)="ATT","ATT",XLOOKUP($A83,Partner_Voice!$A:$A,Partner_Voice!AJ:AJ,"",0))))</f>
        <v/>
      </c>
      <c r="AK83" s="42" t="str">
        <f t="array" ref="AK83">IF(XLOOKUP($A83,Partner_Voice!$A:$A,Partner_Voice!AK:AK,"",0)="Free","Free",IF(XLOOKUP($A83,Partner_Voice!$A:$A,Partner_Voice!AK:AK,"",0)="VL","VL",IF(XLOOKUP($A83,Partner_Voice!$A:$A,Partner_Voice!AK:AK,"",0)="ATT","ATT",XLOOKUP($A83,Partner_Voice!$A:$A,Partner_Voice!AK:AK,"",0))))</f>
        <v/>
      </c>
      <c r="AL83" s="42" t="str">
        <f t="array" ref="AL83">IF(XLOOKUP($A83,Partner_Voice!$A:$A,Partner_Voice!AL:AL,"",0)="Free","Free",IF(XLOOKUP($A83,Partner_Voice!$A:$A,Partner_Voice!AL:AL,"",0)="VL","VL",IF(XLOOKUP($A83,Partner_Voice!$A:$A,Partner_Voice!AL:AL,"",0)="ATT","ATT",XLOOKUP($A83,Partner_Voice!$A:$A,Partner_Voice!AL:AL,"",0))))</f>
        <v/>
      </c>
      <c r="AM83" s="42"/>
    </row>
    <row r="84">
      <c r="A84" s="47" t="s">
        <v>198</v>
      </c>
      <c r="B84" s="35" t="str">
        <f t="array" ref="B84">XLOOKUP(A84,Roster!F:F,Roster!A:A,"")</f>
        <v>Martin Salazar</v>
      </c>
      <c r="C84" s="35" t="str">
        <f t="array" ref="C84">XLOOKUP(A84,Roster!F:F,Roster!B:B,"")</f>
        <v>Miguel Tabares</v>
      </c>
      <c r="D84" s="70"/>
      <c r="E84" s="42">
        <f t="array" ref="E84">IF(XLOOKUP($A84,Partner_Voice!$A:$A,Partner_Voice!E:E,"",0)="Free","Free",IF(XLOOKUP($A84,Partner_Voice!$A:$A,Partner_Voice!E:E,"",0)="VL","VL",IF(XLOOKUP($A84,Partner_Voice!$A:$A,Partner_Voice!E:E,"",0)="ATT","ATT",XLOOKUP($A84,Partner_Voice!$A:$A,Partner_Voice!E:E,"",0))))</f>
        <v>0.3333333333</v>
      </c>
      <c r="F84" s="42">
        <f t="array" ref="F84">IF(XLOOKUP($A84,Partner_Voice!$A:$A,Partner_Voice!F:F,"",0)="Free","Free",IF(XLOOKUP($A84,Partner_Voice!$A:$A,Partner_Voice!F:F,"",0)="VL","VL",IF(XLOOKUP($A84,Partner_Voice!$A:$A,Partner_Voice!F:F,"",0)="ATT","ATT",XLOOKUP($A84,Partner_Voice!$A:$A,Partner_Voice!F:F,"",0))))</f>
        <v>0.3333333333</v>
      </c>
      <c r="G84" s="42">
        <f t="array" ref="G84">IF(XLOOKUP($A84,Partner_Voice!$A:$A,Partner_Voice!G:G,"",0)="Free","Free",IF(XLOOKUP($A84,Partner_Voice!$A:$A,Partner_Voice!G:G,"",0)="VL","VL",IF(XLOOKUP($A84,Partner_Voice!$A:$A,Partner_Voice!G:G,"",0)="ATT","ATT",XLOOKUP($A84,Partner_Voice!$A:$A,Partner_Voice!G:G,"",0))))</f>
        <v>0.3333333333</v>
      </c>
      <c r="H84" s="42">
        <f t="array" ref="H84">IF(XLOOKUP($A84,Partner_Voice!$A:$A,Partner_Voice!H:H,"",0)="Free","Free",IF(XLOOKUP($A84,Partner_Voice!$A:$A,Partner_Voice!H:H,"",0)="VL","VL",IF(XLOOKUP($A84,Partner_Voice!$A:$A,Partner_Voice!H:H,"",0)="ATT","ATT",XLOOKUP($A84,Partner_Voice!$A:$A,Partner_Voice!H:H,"",0))))</f>
        <v>0.3333333333</v>
      </c>
      <c r="I84" s="42">
        <f t="array" ref="I84">IF(XLOOKUP($A84,Partner_Voice!$A:$A,Partner_Voice!I:I,"",0)="Free","Free",IF(XLOOKUP($A84,Partner_Voice!$A:$A,Partner_Voice!I:I,"",0)="VL","VL",IF(XLOOKUP($A84,Partner_Voice!$A:$A,Partner_Voice!I:I,"",0)="ATT","ATT",XLOOKUP($A84,Partner_Voice!$A:$A,Partner_Voice!I:I,"",0))))</f>
        <v>0.3333333333</v>
      </c>
      <c r="J84" s="42" t="str">
        <f t="array" ref="J84">IF(XLOOKUP($A84,Partner_Voice!$A:$A,Partner_Voice!J:J,"",0)="Free","Free",IF(XLOOKUP($A84,Partner_Voice!$A:$A,Partner_Voice!J:J,"",0)="VL","VL",IF(XLOOKUP($A84,Partner_Voice!$A:$A,Partner_Voice!J:J,"",0)="ATT","ATT",XLOOKUP($A84,Partner_Voice!$A:$A,Partner_Voice!J:J,"",0))))</f>
        <v>Free</v>
      </c>
      <c r="K84" s="42"/>
      <c r="L84" s="42">
        <f t="array" ref="L84">IF(XLOOKUP($A84,Partner_Voice!$A:$A,Partner_Voice!L:L,"",0)="Free","Free",IF(XLOOKUP($A84,Partner_Voice!$A:$A,Partner_Voice!L:L,"",0)="VL","VL",IF(XLOOKUP($A84,Partner_Voice!$A:$A,Partner_Voice!L:L,"",0)="ATT","ATT",XLOOKUP($A84,Partner_Voice!$A:$A,Partner_Voice!L:L,"",0))))</f>
        <v>0.3333333333</v>
      </c>
      <c r="M84" s="42">
        <f t="array" ref="M84">IF(XLOOKUP($A84,Partner_Voice!$A:$A,Partner_Voice!M:M,"",0)="Free","Free",IF(XLOOKUP($A84,Partner_Voice!$A:$A,Partner_Voice!M:M,"",0)="VL","VL",IF(XLOOKUP($A84,Partner_Voice!$A:$A,Partner_Voice!M:M,"",0)="ATT","ATT",XLOOKUP($A84,Partner_Voice!$A:$A,Partner_Voice!M:M,"",0))))</f>
        <v>0.3333333333</v>
      </c>
      <c r="N84" s="42">
        <f t="array" ref="N84">IF(XLOOKUP($A84,Partner_Voice!$A:$A,Partner_Voice!N:N,"",0)="Free","Free",IF(XLOOKUP($A84,Partner_Voice!$A:$A,Partner_Voice!N:N,"",0)="VL","VL",IF(XLOOKUP($A84,Partner_Voice!$A:$A,Partner_Voice!N:N,"",0)="ATT","ATT",XLOOKUP($A84,Partner_Voice!$A:$A,Partner_Voice!N:N,"",0))))</f>
        <v>0.3333333333</v>
      </c>
      <c r="O84" s="42">
        <f t="array" ref="O84">IF(XLOOKUP($A84,Partner_Voice!$A:$A,Partner_Voice!O:O,"",0)="Free","Free",IF(XLOOKUP($A84,Partner_Voice!$A:$A,Partner_Voice!O:O,"",0)="VL","VL",IF(XLOOKUP($A84,Partner_Voice!$A:$A,Partner_Voice!O:O,"",0)="ATT","ATT",XLOOKUP($A84,Partner_Voice!$A:$A,Partner_Voice!O:O,"",0))))</f>
        <v>0.3333333333</v>
      </c>
      <c r="P84" s="42">
        <f t="array" ref="P84">IF(XLOOKUP($A84,Partner_Voice!$A:$A,Partner_Voice!P:P,"",0)="Free","Free",IF(XLOOKUP($A84,Partner_Voice!$A:$A,Partner_Voice!P:P,"",0)="VL","VL",IF(XLOOKUP($A84,Partner_Voice!$A:$A,Partner_Voice!P:P,"",0)="ATT","ATT",XLOOKUP($A84,Partner_Voice!$A:$A,Partner_Voice!P:P,"",0))))</f>
        <v>0.3333333333</v>
      </c>
      <c r="Q84" s="42" t="str">
        <f t="array" ref="Q84">IF(XLOOKUP($A84,Partner_Voice!$A:$A,Partner_Voice!Q:Q,"",0)="Free","Free",IF(XLOOKUP($A84,Partner_Voice!$A:$A,Partner_Voice!Q:Q,"",0)="VL","VL",IF(XLOOKUP($A84,Partner_Voice!$A:$A,Partner_Voice!Q:Q,"",0)="ATT","ATT",XLOOKUP($A84,Partner_Voice!$A:$A,Partner_Voice!Q:Q,"",0))))</f>
        <v>Free</v>
      </c>
      <c r="R84" s="43"/>
      <c r="S84" s="42">
        <f t="array" ref="S84">IF(XLOOKUP($A84,Partner_Voice!$A:$A,Partner_Voice!S:S,"",0)="Free","Free",IF(XLOOKUP($A84,Partner_Voice!$A:$A,Partner_Voice!S:S,"",0)="VL","VL",IF(XLOOKUP($A84,Partner_Voice!$A:$A,Partner_Voice!S:S,"",0)="ATT","ATT",XLOOKUP($A84,Partner_Voice!$A:$A,Partner_Voice!S:S,"",0))))</f>
        <v>0.3333333333</v>
      </c>
      <c r="T84" s="42">
        <f t="array" ref="T84">IF(XLOOKUP($A84,Partner_Voice!$A:$A,Partner_Voice!T:T,"",0)="Free","Free",IF(XLOOKUP($A84,Partner_Voice!$A:$A,Partner_Voice!T:T,"",0)="VL","VL",IF(XLOOKUP($A84,Partner_Voice!$A:$A,Partner_Voice!T:T,"",0)="ATT","ATT",XLOOKUP($A84,Partner_Voice!$A:$A,Partner_Voice!T:T,"",0))))</f>
        <v>0.3333333333</v>
      </c>
      <c r="U84" s="42">
        <f t="array" ref="U84">IF(XLOOKUP($A84,Partner_Voice!$A:$A,Partner_Voice!U:U,"",0)="Free","Free",IF(XLOOKUP($A84,Partner_Voice!$A:$A,Partner_Voice!U:U,"",0)="VL","VL",IF(XLOOKUP($A84,Partner_Voice!$A:$A,Partner_Voice!U:U,"",0)="ATT","ATT",XLOOKUP($A84,Partner_Voice!$A:$A,Partner_Voice!U:U,"",0))))</f>
        <v>0.3333333333</v>
      </c>
      <c r="V84" s="42">
        <f t="array" ref="V84">IF(XLOOKUP($A84,Partner_Voice!$A:$A,Partner_Voice!V:V,"",0)="Free","Free",IF(XLOOKUP($A84,Partner_Voice!$A:$A,Partner_Voice!V:V,"",0)="VL","VL",IF(XLOOKUP($A84,Partner_Voice!$A:$A,Partner_Voice!V:V,"",0)="ATT","ATT",XLOOKUP($A84,Partner_Voice!$A:$A,Partner_Voice!V:V,"",0))))</f>
        <v>0.3333333333</v>
      </c>
      <c r="W84" s="42">
        <f t="array" ref="W84">IF(XLOOKUP($A84,Partner_Voice!$A:$A,Partner_Voice!W:W,"",0)="Free","Free",IF(XLOOKUP($A84,Partner_Voice!$A:$A,Partner_Voice!W:W,"",0)="VL","VL",IF(XLOOKUP($A84,Partner_Voice!$A:$A,Partner_Voice!W:W,"",0)="ATT","ATT",XLOOKUP($A84,Partner_Voice!$A:$A,Partner_Voice!W:W,"",0))))</f>
        <v>0.3333333333</v>
      </c>
      <c r="X84" s="42" t="str">
        <f t="array" ref="X84">IF(XLOOKUP($A84,Partner_Voice!$A:$A,Partner_Voice!X:X,"",0)="Free","Free",IF(XLOOKUP($A84,Partner_Voice!$A:$A,Partner_Voice!X:X,"",0)="VL","VL",IF(XLOOKUP($A84,Partner_Voice!$A:$A,Partner_Voice!X:X,"",0)="ATT","ATT",XLOOKUP($A84,Partner_Voice!$A:$A,Partner_Voice!X:X,"",0))))</f>
        <v>Free</v>
      </c>
      <c r="Y84" s="43"/>
      <c r="Z84" s="42">
        <f t="array" ref="Z84">IF(XLOOKUP($A84,Partner_Voice!$A:$A,Partner_Voice!Z:Z,"",0)="Free","Free",IF(XLOOKUP($A84,Partner_Voice!$A:$A,Partner_Voice!Z:Z,"",0)="VL","VL",IF(XLOOKUP($A84,Partner_Voice!$A:$A,Partner_Voice!Z:Z,"",0)="ATT","ATT",XLOOKUP($A84,Partner_Voice!$A:$A,Partner_Voice!Z:Z,"",0))))</f>
        <v>0.3333333333</v>
      </c>
      <c r="AA84" s="42">
        <f t="array" ref="AA84">IF(XLOOKUP($A84,Partner_Voice!$A:$A,Partner_Voice!AA:AA,"",0)="Free","Free",IF(XLOOKUP($A84,Partner_Voice!$A:$A,Partner_Voice!AA:AA,"",0)="VL","VL",IF(XLOOKUP($A84,Partner_Voice!$A:$A,Partner_Voice!AA:AA,"",0)="ATT","ATT",XLOOKUP($A84,Partner_Voice!$A:$A,Partner_Voice!AA:AA,"",0))))</f>
        <v>0.3333333333</v>
      </c>
      <c r="AB84" s="42">
        <f t="array" ref="AB84">IF(XLOOKUP($A84,Partner_Voice!$A:$A,Partner_Voice!AB:AB,"",0)="Free","Free",IF(XLOOKUP($A84,Partner_Voice!$A:$A,Partner_Voice!AB:AB,"",0)="VL","VL",IF(XLOOKUP($A84,Partner_Voice!$A:$A,Partner_Voice!AB:AB,"",0)="ATT","ATT",XLOOKUP($A84,Partner_Voice!$A:$A,Partner_Voice!AB:AB,"",0))))</f>
        <v>0.3333333333</v>
      </c>
      <c r="AC84" s="42">
        <f t="array" ref="AC84">IF(XLOOKUP($A84,Partner_Voice!$A:$A,Partner_Voice!AC:AC,"",0)="Free","Free",IF(XLOOKUP($A84,Partner_Voice!$A:$A,Partner_Voice!AC:AC,"",0)="VL","VL",IF(XLOOKUP($A84,Partner_Voice!$A:$A,Partner_Voice!AC:AC,"",0)="ATT","ATT",XLOOKUP($A84,Partner_Voice!$A:$A,Partner_Voice!AC:AC,"",0))))</f>
        <v>0.3333333333</v>
      </c>
      <c r="AD84" s="42">
        <f t="array" ref="AD84">IF(XLOOKUP($A84,Partner_Voice!$A:$A,Partner_Voice!AD:AD,"",0)="Free","Free",IF(XLOOKUP($A84,Partner_Voice!$A:$A,Partner_Voice!AD:AD,"",0)="VL","VL",IF(XLOOKUP($A84,Partner_Voice!$A:$A,Partner_Voice!AD:AD,"",0)="ATT","ATT",XLOOKUP($A84,Partner_Voice!$A:$A,Partner_Voice!AD:AD,"",0))))</f>
        <v>0.3333333333</v>
      </c>
      <c r="AE84" s="42" t="str">
        <f t="array" ref="AE84">IF(XLOOKUP($A84,Partner_Voice!$A:$A,Partner_Voice!AE:AE,"",0)="Free","Free",IF(XLOOKUP($A84,Partner_Voice!$A:$A,Partner_Voice!AE:AE,"",0)="VL","VL",IF(XLOOKUP($A84,Partner_Voice!$A:$A,Partner_Voice!AE:AE,"",0)="ATT","ATT",XLOOKUP($A84,Partner_Voice!$A:$A,Partner_Voice!AE:AE,"",0))))</f>
        <v>Free</v>
      </c>
      <c r="AF84" s="69"/>
      <c r="AG84" s="42" t="str">
        <f t="array" ref="AG84">IF(XLOOKUP($A84,Partner_Voice!$A:$A,Partner_Voice!AG:AG,"",0)="Free","Free",IF(XLOOKUP($A84,Partner_Voice!$A:$A,Partner_Voice!AG:AG,"",0)="VL","VL",IF(XLOOKUP($A84,Partner_Voice!$A:$A,Partner_Voice!AG:AG,"",0)="ATT","ATT",XLOOKUP($A84,Partner_Voice!$A:$A,Partner_Voice!AG:AG,"",0))))</f>
        <v/>
      </c>
      <c r="AH84" s="42" t="str">
        <f t="array" ref="AH84">IF(XLOOKUP($A84,Partner_Voice!$A:$A,Partner_Voice!AH:AH,"",0)="Free","Free",IF(XLOOKUP($A84,Partner_Voice!$A:$A,Partner_Voice!AH:AH,"",0)="VL","VL",IF(XLOOKUP($A84,Partner_Voice!$A:$A,Partner_Voice!AH:AH,"",0)="ATT","ATT",XLOOKUP($A84,Partner_Voice!$A:$A,Partner_Voice!AH:AH,"",0))))</f>
        <v/>
      </c>
      <c r="AI84" s="42" t="str">
        <f t="array" ref="AI84">IF(XLOOKUP($A84,Partner_Voice!$A:$A,Partner_Voice!AI:AI,"",0)="Free","Free",IF(XLOOKUP($A84,Partner_Voice!$A:$A,Partner_Voice!AI:AI,"",0)="VL","VL",IF(XLOOKUP($A84,Partner_Voice!$A:$A,Partner_Voice!AI:AI,"",0)="ATT","ATT",XLOOKUP($A84,Partner_Voice!$A:$A,Partner_Voice!AI:AI,"",0))))</f>
        <v/>
      </c>
      <c r="AJ84" s="42" t="str">
        <f t="array" ref="AJ84">IF(XLOOKUP($A84,Partner_Voice!$A:$A,Partner_Voice!AJ:AJ,"",0)="Free","Free",IF(XLOOKUP($A84,Partner_Voice!$A:$A,Partner_Voice!AJ:AJ,"",0)="VL","VL",IF(XLOOKUP($A84,Partner_Voice!$A:$A,Partner_Voice!AJ:AJ,"",0)="ATT","ATT",XLOOKUP($A84,Partner_Voice!$A:$A,Partner_Voice!AJ:AJ,"",0))))</f>
        <v/>
      </c>
      <c r="AK84" s="42" t="str">
        <f t="array" ref="AK84">IF(XLOOKUP($A84,Partner_Voice!$A:$A,Partner_Voice!AK:AK,"",0)="Free","Free",IF(XLOOKUP($A84,Partner_Voice!$A:$A,Partner_Voice!AK:AK,"",0)="VL","VL",IF(XLOOKUP($A84,Partner_Voice!$A:$A,Partner_Voice!AK:AK,"",0)="ATT","ATT",XLOOKUP($A84,Partner_Voice!$A:$A,Partner_Voice!AK:AK,"",0))))</f>
        <v/>
      </c>
      <c r="AL84" s="42" t="str">
        <f t="array" ref="AL84">IF(XLOOKUP($A84,Partner_Voice!$A:$A,Partner_Voice!AL:AL,"",0)="Free","Free",IF(XLOOKUP($A84,Partner_Voice!$A:$A,Partner_Voice!AL:AL,"",0)="VL","VL",IF(XLOOKUP($A84,Partner_Voice!$A:$A,Partner_Voice!AL:AL,"",0)="ATT","ATT",XLOOKUP($A84,Partner_Voice!$A:$A,Partner_Voice!AL:AL,"",0))))</f>
        <v/>
      </c>
      <c r="AM84" s="42"/>
    </row>
    <row r="85">
      <c r="A85" s="47" t="s">
        <v>199</v>
      </c>
      <c r="B85" s="35" t="str">
        <f t="array" ref="B85">XLOOKUP(A85,Roster!F:F,Roster!A:A,"")</f>
        <v>Mateo Henao</v>
      </c>
      <c r="C85" s="35" t="str">
        <f t="array" ref="C85">XLOOKUP(A85,Roster!F:F,Roster!B:B,"")</f>
        <v>Shierlys Santamaria</v>
      </c>
      <c r="D85" s="70"/>
      <c r="E85" s="42">
        <f t="array" ref="E85">IF(XLOOKUP($A85,Partner_Voice!$A:$A,Partner_Voice!E:E,"",0)="Free","Free",IF(XLOOKUP($A85,Partner_Voice!$A:$A,Partner_Voice!E:E,"",0)="VL","VL",IF(XLOOKUP($A85,Partner_Voice!$A:$A,Partner_Voice!E:E,"",0)="ATT","ATT",XLOOKUP($A85,Partner_Voice!$A:$A,Partner_Voice!E:E,"",0))))</f>
        <v>0.3333333333</v>
      </c>
      <c r="F85" s="42">
        <f t="array" ref="F85">IF(XLOOKUP($A85,Partner_Voice!$A:$A,Partner_Voice!F:F,"",0)="Free","Free",IF(XLOOKUP($A85,Partner_Voice!$A:$A,Partner_Voice!F:F,"",0)="VL","VL",IF(XLOOKUP($A85,Partner_Voice!$A:$A,Partner_Voice!F:F,"",0)="ATT","ATT",XLOOKUP($A85,Partner_Voice!$A:$A,Partner_Voice!F:F,"",0))))</f>
        <v>0.3333333333</v>
      </c>
      <c r="G85" s="42">
        <f t="array" ref="G85">IF(XLOOKUP($A85,Partner_Voice!$A:$A,Partner_Voice!G:G,"",0)="Free","Free",IF(XLOOKUP($A85,Partner_Voice!$A:$A,Partner_Voice!G:G,"",0)="VL","VL",IF(XLOOKUP($A85,Partner_Voice!$A:$A,Partner_Voice!G:G,"",0)="ATT","ATT",XLOOKUP($A85,Partner_Voice!$A:$A,Partner_Voice!G:G,"",0))))</f>
        <v>0.3333333333</v>
      </c>
      <c r="H85" s="42">
        <f t="array" ref="H85">IF(XLOOKUP($A85,Partner_Voice!$A:$A,Partner_Voice!H:H,"",0)="Free","Free",IF(XLOOKUP($A85,Partner_Voice!$A:$A,Partner_Voice!H:H,"",0)="VL","VL",IF(XLOOKUP($A85,Partner_Voice!$A:$A,Partner_Voice!H:H,"",0)="ATT","ATT",XLOOKUP($A85,Partner_Voice!$A:$A,Partner_Voice!H:H,"",0))))</f>
        <v>0.3333333333</v>
      </c>
      <c r="I85" s="42">
        <f t="array" ref="I85">IF(XLOOKUP($A85,Partner_Voice!$A:$A,Partner_Voice!I:I,"",0)="Free","Free",IF(XLOOKUP($A85,Partner_Voice!$A:$A,Partner_Voice!I:I,"",0)="VL","VL",IF(XLOOKUP($A85,Partner_Voice!$A:$A,Partner_Voice!I:I,"",0)="ATT","ATT",XLOOKUP($A85,Partner_Voice!$A:$A,Partner_Voice!I:I,"",0))))</f>
        <v>0.3333333333</v>
      </c>
      <c r="J85" s="42" t="str">
        <f t="array" ref="J85">IF(XLOOKUP($A85,Partner_Voice!$A:$A,Partner_Voice!J:J,"",0)="Free","Free",IF(XLOOKUP($A85,Partner_Voice!$A:$A,Partner_Voice!J:J,"",0)="VL","VL",IF(XLOOKUP($A85,Partner_Voice!$A:$A,Partner_Voice!J:J,"",0)="ATT","ATT",XLOOKUP($A85,Partner_Voice!$A:$A,Partner_Voice!J:J,"",0))))</f>
        <v>Free</v>
      </c>
      <c r="K85" s="42"/>
      <c r="L85" s="42">
        <f t="array" ref="L85">IF(XLOOKUP($A85,Partner_Voice!$A:$A,Partner_Voice!L:L,"",0)="Free","Free",IF(XLOOKUP($A85,Partner_Voice!$A:$A,Partner_Voice!L:L,"",0)="VL","VL",IF(XLOOKUP($A85,Partner_Voice!$A:$A,Partner_Voice!L:L,"",0)="ATT","ATT",XLOOKUP($A85,Partner_Voice!$A:$A,Partner_Voice!L:L,"",0))))</f>
        <v>0.3333333333</v>
      </c>
      <c r="M85" s="42">
        <f t="array" ref="M85">IF(XLOOKUP($A85,Partner_Voice!$A:$A,Partner_Voice!M:M,"",0)="Free","Free",IF(XLOOKUP($A85,Partner_Voice!$A:$A,Partner_Voice!M:M,"",0)="VL","VL",IF(XLOOKUP($A85,Partner_Voice!$A:$A,Partner_Voice!M:M,"",0)="ATT","ATT",XLOOKUP($A85,Partner_Voice!$A:$A,Partner_Voice!M:M,"",0))))</f>
        <v>0.3333333333</v>
      </c>
      <c r="N85" s="42">
        <f t="array" ref="N85">IF(XLOOKUP($A85,Partner_Voice!$A:$A,Partner_Voice!N:N,"",0)="Free","Free",IF(XLOOKUP($A85,Partner_Voice!$A:$A,Partner_Voice!N:N,"",0)="VL","VL",IF(XLOOKUP($A85,Partner_Voice!$A:$A,Partner_Voice!N:N,"",0)="ATT","ATT",XLOOKUP($A85,Partner_Voice!$A:$A,Partner_Voice!N:N,"",0))))</f>
        <v>0.3333333333</v>
      </c>
      <c r="O85" s="42">
        <f t="array" ref="O85">IF(XLOOKUP($A85,Partner_Voice!$A:$A,Partner_Voice!O:O,"",0)="Free","Free",IF(XLOOKUP($A85,Partner_Voice!$A:$A,Partner_Voice!O:O,"",0)="VL","VL",IF(XLOOKUP($A85,Partner_Voice!$A:$A,Partner_Voice!O:O,"",0)="ATT","ATT",XLOOKUP($A85,Partner_Voice!$A:$A,Partner_Voice!O:O,"",0))))</f>
        <v>0.3333333333</v>
      </c>
      <c r="P85" s="42">
        <f t="array" ref="P85">IF(XLOOKUP($A85,Partner_Voice!$A:$A,Partner_Voice!P:P,"",0)="Free","Free",IF(XLOOKUP($A85,Partner_Voice!$A:$A,Partner_Voice!P:P,"",0)="VL","VL",IF(XLOOKUP($A85,Partner_Voice!$A:$A,Partner_Voice!P:P,"",0)="ATT","ATT",XLOOKUP($A85,Partner_Voice!$A:$A,Partner_Voice!P:P,"",0))))</f>
        <v>0.3333333333</v>
      </c>
      <c r="Q85" s="42" t="str">
        <f t="array" ref="Q85">IF(XLOOKUP($A85,Partner_Voice!$A:$A,Partner_Voice!Q:Q,"",0)="Free","Free",IF(XLOOKUP($A85,Partner_Voice!$A:$A,Partner_Voice!Q:Q,"",0)="VL","VL",IF(XLOOKUP($A85,Partner_Voice!$A:$A,Partner_Voice!Q:Q,"",0)="ATT","ATT",XLOOKUP($A85,Partner_Voice!$A:$A,Partner_Voice!Q:Q,"",0))))</f>
        <v>Free</v>
      </c>
      <c r="R85" s="43"/>
      <c r="S85" s="42">
        <f t="array" ref="S85">IF(XLOOKUP($A85,Partner_Voice!$A:$A,Partner_Voice!S:S,"",0)="Free","Free",IF(XLOOKUP($A85,Partner_Voice!$A:$A,Partner_Voice!S:S,"",0)="VL","VL",IF(XLOOKUP($A85,Partner_Voice!$A:$A,Partner_Voice!S:S,"",0)="ATT","ATT",XLOOKUP($A85,Partner_Voice!$A:$A,Partner_Voice!S:S,"",0))))</f>
        <v>0.3333333333</v>
      </c>
      <c r="T85" s="42">
        <f t="array" ref="T85">IF(XLOOKUP($A85,Partner_Voice!$A:$A,Partner_Voice!T:T,"",0)="Free","Free",IF(XLOOKUP($A85,Partner_Voice!$A:$A,Partner_Voice!T:T,"",0)="VL","VL",IF(XLOOKUP($A85,Partner_Voice!$A:$A,Partner_Voice!T:T,"",0)="ATT","ATT",XLOOKUP($A85,Partner_Voice!$A:$A,Partner_Voice!T:T,"",0))))</f>
        <v>0.3333333333</v>
      </c>
      <c r="U85" s="42">
        <f t="array" ref="U85">IF(XLOOKUP($A85,Partner_Voice!$A:$A,Partner_Voice!U:U,"",0)="Free","Free",IF(XLOOKUP($A85,Partner_Voice!$A:$A,Partner_Voice!U:U,"",0)="VL","VL",IF(XLOOKUP($A85,Partner_Voice!$A:$A,Partner_Voice!U:U,"",0)="ATT","ATT",XLOOKUP($A85,Partner_Voice!$A:$A,Partner_Voice!U:U,"",0))))</f>
        <v>0.3333333333</v>
      </c>
      <c r="V85" s="42">
        <f t="array" ref="V85">IF(XLOOKUP($A85,Partner_Voice!$A:$A,Partner_Voice!V:V,"",0)="Free","Free",IF(XLOOKUP($A85,Partner_Voice!$A:$A,Partner_Voice!V:V,"",0)="VL","VL",IF(XLOOKUP($A85,Partner_Voice!$A:$A,Partner_Voice!V:V,"",0)="ATT","ATT",XLOOKUP($A85,Partner_Voice!$A:$A,Partner_Voice!V:V,"",0))))</f>
        <v>0.3333333333</v>
      </c>
      <c r="W85" s="42">
        <f t="array" ref="W85">IF(XLOOKUP($A85,Partner_Voice!$A:$A,Partner_Voice!W:W,"",0)="Free","Free",IF(XLOOKUP($A85,Partner_Voice!$A:$A,Partner_Voice!W:W,"",0)="VL","VL",IF(XLOOKUP($A85,Partner_Voice!$A:$A,Partner_Voice!W:W,"",0)="ATT","ATT",XLOOKUP($A85,Partner_Voice!$A:$A,Partner_Voice!W:W,"",0))))</f>
        <v>0.3333333333</v>
      </c>
      <c r="X85" s="42" t="str">
        <f t="array" ref="X85">IF(XLOOKUP($A85,Partner_Voice!$A:$A,Partner_Voice!X:X,"",0)="Free","Free",IF(XLOOKUP($A85,Partner_Voice!$A:$A,Partner_Voice!X:X,"",0)="VL","VL",IF(XLOOKUP($A85,Partner_Voice!$A:$A,Partner_Voice!X:X,"",0)="ATT","ATT",XLOOKUP($A85,Partner_Voice!$A:$A,Partner_Voice!X:X,"",0))))</f>
        <v>Free</v>
      </c>
      <c r="Y85" s="43"/>
      <c r="Z85" s="42">
        <f t="array" ref="Z85">IF(XLOOKUP($A85,Partner_Voice!$A:$A,Partner_Voice!Z:Z,"",0)="Free","Free",IF(XLOOKUP($A85,Partner_Voice!$A:$A,Partner_Voice!Z:Z,"",0)="VL","VL",IF(XLOOKUP($A85,Partner_Voice!$A:$A,Partner_Voice!Z:Z,"",0)="ATT","ATT",XLOOKUP($A85,Partner_Voice!$A:$A,Partner_Voice!Z:Z,"",0))))</f>
        <v>0.3333333333</v>
      </c>
      <c r="AA85" s="42">
        <f t="array" ref="AA85">IF(XLOOKUP($A85,Partner_Voice!$A:$A,Partner_Voice!AA:AA,"",0)="Free","Free",IF(XLOOKUP($A85,Partner_Voice!$A:$A,Partner_Voice!AA:AA,"",0)="VL","VL",IF(XLOOKUP($A85,Partner_Voice!$A:$A,Partner_Voice!AA:AA,"",0)="ATT","ATT",XLOOKUP($A85,Partner_Voice!$A:$A,Partner_Voice!AA:AA,"",0))))</f>
        <v>0.3333333333</v>
      </c>
      <c r="AB85" s="42">
        <f t="array" ref="AB85">IF(XLOOKUP($A85,Partner_Voice!$A:$A,Partner_Voice!AB:AB,"",0)="Free","Free",IF(XLOOKUP($A85,Partner_Voice!$A:$A,Partner_Voice!AB:AB,"",0)="VL","VL",IF(XLOOKUP($A85,Partner_Voice!$A:$A,Partner_Voice!AB:AB,"",0)="ATT","ATT",XLOOKUP($A85,Partner_Voice!$A:$A,Partner_Voice!AB:AB,"",0))))</f>
        <v>0.3333333333</v>
      </c>
      <c r="AC85" s="42">
        <f t="array" ref="AC85">IF(XLOOKUP($A85,Partner_Voice!$A:$A,Partner_Voice!AC:AC,"",0)="Free","Free",IF(XLOOKUP($A85,Partner_Voice!$A:$A,Partner_Voice!AC:AC,"",0)="VL","VL",IF(XLOOKUP($A85,Partner_Voice!$A:$A,Partner_Voice!AC:AC,"",0)="ATT","ATT",XLOOKUP($A85,Partner_Voice!$A:$A,Partner_Voice!AC:AC,"",0))))</f>
        <v>0.3333333333</v>
      </c>
      <c r="AD85" s="42">
        <f t="array" ref="AD85">IF(XLOOKUP($A85,Partner_Voice!$A:$A,Partner_Voice!AD:AD,"",0)="Free","Free",IF(XLOOKUP($A85,Partner_Voice!$A:$A,Partner_Voice!AD:AD,"",0)="VL","VL",IF(XLOOKUP($A85,Partner_Voice!$A:$A,Partner_Voice!AD:AD,"",0)="ATT","ATT",XLOOKUP($A85,Partner_Voice!$A:$A,Partner_Voice!AD:AD,"",0))))</f>
        <v>0.3333333333</v>
      </c>
      <c r="AE85" s="42" t="str">
        <f t="array" ref="AE85">IF(XLOOKUP($A85,Partner_Voice!$A:$A,Partner_Voice!AE:AE,"",0)="Free","Free",IF(XLOOKUP($A85,Partner_Voice!$A:$A,Partner_Voice!AE:AE,"",0)="VL","VL",IF(XLOOKUP($A85,Partner_Voice!$A:$A,Partner_Voice!AE:AE,"",0)="ATT","ATT",XLOOKUP($A85,Partner_Voice!$A:$A,Partner_Voice!AE:AE,"",0))))</f>
        <v>Free</v>
      </c>
      <c r="AF85" s="69"/>
      <c r="AG85" s="42" t="str">
        <f t="array" ref="AG85">IF(XLOOKUP($A85,Partner_Voice!$A:$A,Partner_Voice!AG:AG,"",0)="Free","Free",IF(XLOOKUP($A85,Partner_Voice!$A:$A,Partner_Voice!AG:AG,"",0)="VL","VL",IF(XLOOKUP($A85,Partner_Voice!$A:$A,Partner_Voice!AG:AG,"",0)="ATT","ATT",XLOOKUP($A85,Partner_Voice!$A:$A,Partner_Voice!AG:AG,"",0))))</f>
        <v/>
      </c>
      <c r="AH85" s="42" t="str">
        <f t="array" ref="AH85">IF(XLOOKUP($A85,Partner_Voice!$A:$A,Partner_Voice!AH:AH,"",0)="Free","Free",IF(XLOOKUP($A85,Partner_Voice!$A:$A,Partner_Voice!AH:AH,"",0)="VL","VL",IF(XLOOKUP($A85,Partner_Voice!$A:$A,Partner_Voice!AH:AH,"",0)="ATT","ATT",XLOOKUP($A85,Partner_Voice!$A:$A,Partner_Voice!AH:AH,"",0))))</f>
        <v/>
      </c>
      <c r="AI85" s="42" t="str">
        <f t="array" ref="AI85">IF(XLOOKUP($A85,Partner_Voice!$A:$A,Partner_Voice!AI:AI,"",0)="Free","Free",IF(XLOOKUP($A85,Partner_Voice!$A:$A,Partner_Voice!AI:AI,"",0)="VL","VL",IF(XLOOKUP($A85,Partner_Voice!$A:$A,Partner_Voice!AI:AI,"",0)="ATT","ATT",XLOOKUP($A85,Partner_Voice!$A:$A,Partner_Voice!AI:AI,"",0))))</f>
        <v/>
      </c>
      <c r="AJ85" s="42" t="str">
        <f t="array" ref="AJ85">IF(XLOOKUP($A85,Partner_Voice!$A:$A,Partner_Voice!AJ:AJ,"",0)="Free","Free",IF(XLOOKUP($A85,Partner_Voice!$A:$A,Partner_Voice!AJ:AJ,"",0)="VL","VL",IF(XLOOKUP($A85,Partner_Voice!$A:$A,Partner_Voice!AJ:AJ,"",0)="ATT","ATT",XLOOKUP($A85,Partner_Voice!$A:$A,Partner_Voice!AJ:AJ,"",0))))</f>
        <v/>
      </c>
      <c r="AK85" s="42" t="str">
        <f t="array" ref="AK85">IF(XLOOKUP($A85,Partner_Voice!$A:$A,Partner_Voice!AK:AK,"",0)="Free","Free",IF(XLOOKUP($A85,Partner_Voice!$A:$A,Partner_Voice!AK:AK,"",0)="VL","VL",IF(XLOOKUP($A85,Partner_Voice!$A:$A,Partner_Voice!AK:AK,"",0)="ATT","ATT",XLOOKUP($A85,Partner_Voice!$A:$A,Partner_Voice!AK:AK,"",0))))</f>
        <v/>
      </c>
      <c r="AL85" s="42" t="str">
        <f t="array" ref="AL85">IF(XLOOKUP($A85,Partner_Voice!$A:$A,Partner_Voice!AL:AL,"",0)="Free","Free",IF(XLOOKUP($A85,Partner_Voice!$A:$A,Partner_Voice!AL:AL,"",0)="VL","VL",IF(XLOOKUP($A85,Partner_Voice!$A:$A,Partner_Voice!AL:AL,"",0)="ATT","ATT",XLOOKUP($A85,Partner_Voice!$A:$A,Partner_Voice!AL:AL,"",0))))</f>
        <v/>
      </c>
      <c r="AM85" s="42"/>
    </row>
    <row r="86">
      <c r="A86" s="59"/>
      <c r="B86" s="60"/>
      <c r="C86" s="71" t="s">
        <v>200</v>
      </c>
      <c r="D86" s="42"/>
      <c r="E86" s="72">
        <f t="array" ref="E86">SUM(COUNTIF(E8:E77,{"5:00","5:30","6:00","6:30","7:00","7:30","8:00","8:30","9:00","9:30"}))</f>
        <v>55</v>
      </c>
      <c r="F86" s="72">
        <f t="array" ref="F86">SUM(COUNTIF(F8:F77,{"5:00","5:30","6:00","6:30","7:00","7:30","8:00","8:30","9:00","9:30"}))</f>
        <v>51</v>
      </c>
      <c r="G86" s="72">
        <f t="array" ref="G86">SUM(COUNTIF(G8:G77,{"5:00","5:30","6:00","6:30","7:00","7:30","8:00","8:30","9:00","9:30"}))</f>
        <v>46</v>
      </c>
      <c r="H86" s="72">
        <f t="array" ref="H86">SUM(COUNTIF(H8:H77,{"5:00","5:30","6:00","6:30","7:00","7:30","8:00","8:30","9:00","9:30"}))</f>
        <v>50</v>
      </c>
      <c r="I86" s="72">
        <f t="array" ref="I86">SUM(COUNTIF(I8:I77,{"5:00","5:30","6:00","6:30","7:00","7:30","8:00","8:30","9:00","9:30"}))</f>
        <v>50</v>
      </c>
      <c r="J86" s="72">
        <f t="array" ref="J86">SUM(COUNTIF(J8:J77,{"5:00","5:30","6:00","6:30","7:00","7:30","8:00","8:30","9:00","9:30"}))</f>
        <v>24</v>
      </c>
      <c r="K86" s="42"/>
      <c r="L86" s="72">
        <f t="array" ref="L86">SUM(COUNTIF(L8:L77,{"5:00","5:30","6:00","6:30","7:00","7:30","8:00","8:30","9:00","9:30"}))</f>
        <v>56</v>
      </c>
      <c r="M86" s="72">
        <f t="array" ref="M86">SUM(COUNTIF(M8:M77,{"5:00","5:30","6:00","6:30","7:00","7:30","8:00","8:30","9:00","9:30"}))</f>
        <v>54</v>
      </c>
      <c r="N86" s="72">
        <f t="array" ref="N86">SUM(COUNTIF(N8:N77,{"5:00","5:30","6:00","6:30","7:00","7:30","8:00","8:30","9:00","9:30"}))</f>
        <v>48</v>
      </c>
      <c r="O86" s="72">
        <f t="array" ref="O86">SUM(COUNTIF(O8:O77,{"5:00","5:30","6:00","6:30","7:00","7:30","8:00","8:30","9:00","9:30"}))</f>
        <v>52</v>
      </c>
      <c r="P86" s="72">
        <f t="array" ref="P86">SUM(COUNTIF(P8:P77,{"5:00","5:30","6:00","6:30","7:00","7:30","8:00","8:30","9:00","9:30"}))</f>
        <v>51</v>
      </c>
      <c r="Q86" s="72">
        <f t="array" ref="Q86">SUM(COUNTIF(Q8:Q77,{"5:00","5:30","6:00","6:30","7:00","7:30","8:00","8:30","9:00","9:30"}))</f>
        <v>20</v>
      </c>
      <c r="R86" s="43"/>
      <c r="S86" s="72">
        <f t="array" ref="S86">SUM(COUNTIF(S8:S77,{"5:00","5:30","6:00","6:30","7:00","7:30","8:00","8:30","9:00","9:30"}))</f>
        <v>56</v>
      </c>
      <c r="T86" s="72">
        <f t="array" ref="T86">SUM(COUNTIF(T8:T77,{"5:00","5:30","6:00","6:30","7:00","7:30","8:00","8:30","9:00","9:30"}))</f>
        <v>53</v>
      </c>
      <c r="U86" s="72">
        <f t="array" ref="U86">SUM(COUNTIF(U8:U77,{"5:00","5:30","6:00","6:30","7:00","7:30","8:00","8:30","9:00","9:30"}))</f>
        <v>47</v>
      </c>
      <c r="V86" s="72">
        <f t="array" ref="V86">SUM(COUNTIF(V8:V77,{"5:00","5:30","6:00","6:30","7:00","7:30","8:00","8:30","9:00","9:30"}))</f>
        <v>52</v>
      </c>
      <c r="W86" s="72">
        <f t="array" ref="W86">SUM(COUNTIF(W8:W77,{"5:00","5:30","6:00","6:30","7:00","7:30","8:00","8:30","9:00","9:30"}))</f>
        <v>51</v>
      </c>
      <c r="X86" s="72">
        <f t="array" ref="X86">SUM(COUNTIF(X8:X77,{"5:00","5:30","6:00","6:30","7:00","7:30","8:00","8:30","9:00","9:30"}))</f>
        <v>22</v>
      </c>
      <c r="Y86" s="43"/>
      <c r="Z86" s="72">
        <f t="array" ref="Z86">SUM(COUNTIF(Z8:Z77,{"5:00","5:30","6:00","6:30","7:00","7:30","8:00","8:30","9:00","9:30"}))</f>
        <v>56</v>
      </c>
      <c r="AA86" s="72">
        <f t="array" ref="AA86">SUM(COUNTIF(AA8:AA77,{"5:00","5:30","6:00","6:30","7:00","7:30","8:00","8:30","9:00","9:30"}))</f>
        <v>54</v>
      </c>
      <c r="AB86" s="72">
        <f t="array" ref="AB86">SUM(COUNTIF(AB8:AB77,{"5:00","5:30","6:00","6:30","7:00","7:30","8:00","8:30","9:00","9:30"}))</f>
        <v>48</v>
      </c>
      <c r="AC86" s="72">
        <f t="array" ref="AC86">SUM(COUNTIF(AC8:AC77,{"5:00","5:30","6:00","6:30","7:00","7:30","8:00","8:30","9:00","9:30"}))</f>
        <v>52</v>
      </c>
      <c r="AD86" s="72">
        <f t="array" ref="AD86">SUM(COUNTIF(AD8:AD77,{"5:00","5:30","6:00","6:30","7:00","7:30","8:00","8:30","9:00","9:30"}))</f>
        <v>51</v>
      </c>
      <c r="AE86" s="72">
        <f t="array" ref="AE86">SUM(COUNTIF(AE8:AE77,{"5:00","5:30","6:00","6:30","7:00","7:30","8:00","8:30","9:00","9:30"}))</f>
        <v>20</v>
      </c>
      <c r="AF86" s="69"/>
      <c r="AG86" s="72">
        <f t="array" ref="AG86">SUM(COUNTIF(AG8:AG77,{"5:00","5:30","6:00","6:30","7:00","7:30","8:00","8:30","9:00","9:30"}))</f>
        <v>56</v>
      </c>
      <c r="AH86" s="72">
        <f t="array" ref="AH86">SUM(COUNTIF(AH8:AH77,{"5:00","5:30","6:00","6:30","7:00","7:30","8:00","8:30","9:00","9:30"}))</f>
        <v>54</v>
      </c>
      <c r="AI86" s="72">
        <f t="array" ref="AI86">SUM(COUNTIF(AI8:AI77,{"5:00","5:30","6:00","6:30","7:00","7:30","8:00","8:30","9:00","9:30"}))</f>
        <v>48</v>
      </c>
      <c r="AJ86" s="72">
        <f t="array" ref="AJ86">SUM(COUNTIF(AJ8:AJ77,{"5:00","5:30","6:00","6:30","7:00","7:30","8:00","8:30","9:00","9:30"}))</f>
        <v>52</v>
      </c>
      <c r="AK86" s="72">
        <f t="array" ref="AK86">SUM(COUNTIF(AK8:AK77,{"5:00","5:30","6:00","6:30","7:00","7:30","8:00","8:30","9:00","9:30"}))</f>
        <v>51</v>
      </c>
      <c r="AL86" s="72">
        <f t="array" ref="AL86">SUM(COUNTIF(AL8:AL77,{"5:00","5:30","6:00","6:30","7:00","7:30","8:00","8:30","9:00","9:30"}))</f>
        <v>20</v>
      </c>
      <c r="AM86" s="42"/>
    </row>
    <row r="87">
      <c r="A87" s="59"/>
      <c r="B87" s="60"/>
      <c r="C87" s="73" t="s">
        <v>189</v>
      </c>
      <c r="D87" s="42"/>
      <c r="E87" s="74">
        <f t="array" ref="E87">SUM(COUNTIF(E8:E77,{"10:00","10:30","11:00","11:30","12:00","12:30","13:00"}))</f>
        <v>14</v>
      </c>
      <c r="F87" s="74">
        <f t="array" ref="F87">SUM(COUNTIF(F8:F77,{"10:00","10:30","11:00","11:30","12:00","12:30","13:00"}))</f>
        <v>12</v>
      </c>
      <c r="G87" s="74">
        <f t="array" ref="G87">SUM(COUNTIF(G8:G77,{"10:00","10:30","11:00","11:30","12:00","12:30","13:00"}))</f>
        <v>13</v>
      </c>
      <c r="H87" s="74">
        <f t="array" ref="H87">SUM(COUNTIF(H8:H77,{"10:00","10:30","11:00","11:30","12:00","12:30","13:00"}))</f>
        <v>11</v>
      </c>
      <c r="I87" s="74">
        <f t="array" ref="I87">SUM(COUNTIF(I8:I77,{"10:00","10:30","11:00","11:30","12:00","12:30","13:00"}))</f>
        <v>13</v>
      </c>
      <c r="J87" s="74">
        <f t="array" ref="J87">SUM(COUNTIF(J8:J77,{"10:00","10:30","11:00","11:30","12:00","12:30","13:00"}))</f>
        <v>10</v>
      </c>
      <c r="K87" s="42"/>
      <c r="L87" s="74">
        <f t="array" ref="L87">SUM(COUNTIF(L8:L77,{"10:00","10:30","11:00","11:30","12:00","12:30","13:00"}))</f>
        <v>13</v>
      </c>
      <c r="M87" s="74">
        <f t="array" ref="M87">SUM(COUNTIF(M8:M77,{"10:00","10:30","11:00","11:30","12:00","12:30","13:00"}))</f>
        <v>11</v>
      </c>
      <c r="N87" s="74">
        <f t="array" ref="N87">SUM(COUNTIF(N8:N77,{"10:00","10:30","11:00","11:30","12:00","12:30","13:00"}))</f>
        <v>12</v>
      </c>
      <c r="O87" s="74">
        <f t="array" ref="O87">SUM(COUNTIF(O8:O77,{"10:00","10:30","11:00","11:30","12:00","12:30","13:00"}))</f>
        <v>10</v>
      </c>
      <c r="P87" s="74">
        <f t="array" ref="P87">SUM(COUNTIF(P8:P77,{"10:00","10:30","11:00","11:30","12:00","12:30","13:00"}))</f>
        <v>12</v>
      </c>
      <c r="Q87" s="74">
        <f t="array" ref="Q87">SUM(COUNTIF(Q8:Q77,{"10:00","10:30","11:00","11:30","12:00","12:30","13:00"}))</f>
        <v>10</v>
      </c>
      <c r="R87" s="43"/>
      <c r="S87" s="74">
        <f t="array" ref="S87">SUM(COUNTIF(S8:S77,{"10:00","10:30","11:00","11:30","12:00","12:30","13:00"}))</f>
        <v>13</v>
      </c>
      <c r="T87" s="74">
        <f t="array" ref="T87">SUM(COUNTIF(T8:T77,{"10:00","10:30","11:00","11:30","12:00","12:30","13:00"}))</f>
        <v>11</v>
      </c>
      <c r="U87" s="74">
        <f t="array" ref="U87">SUM(COUNTIF(U8:U77,{"10:00","10:30","11:00","11:30","12:00","12:30","13:00"}))</f>
        <v>12</v>
      </c>
      <c r="V87" s="74">
        <f t="array" ref="V87">SUM(COUNTIF(V8:V77,{"10:00","10:30","11:00","11:30","12:00","12:30","13:00"}))</f>
        <v>10</v>
      </c>
      <c r="W87" s="74">
        <f t="array" ref="W87">SUM(COUNTIF(W8:W77,{"10:00","10:30","11:00","11:30","12:00","12:30","13:00"}))</f>
        <v>12</v>
      </c>
      <c r="X87" s="74">
        <f t="array" ref="X87">SUM(COUNTIF(X8:X77,{"10:00","10:30","11:00","11:30","12:00","12:30","13:00"}))</f>
        <v>10</v>
      </c>
      <c r="Y87" s="43"/>
      <c r="Z87" s="74">
        <f t="array" ref="Z87">SUM(COUNTIF(Z8:Z77,{"10:00","10:30","11:00","11:30","12:00","12:30","13:00"}))</f>
        <v>13</v>
      </c>
      <c r="AA87" s="74">
        <f t="array" ref="AA87">SUM(COUNTIF(AA8:AA77,{"10:00","10:30","11:00","11:30","12:00","12:30","13:00"}))</f>
        <v>11</v>
      </c>
      <c r="AB87" s="74">
        <f t="array" ref="AB87">SUM(COUNTIF(AB8:AB77,{"10:00","10:30","11:00","11:30","12:00","12:30","13:00"}))</f>
        <v>12</v>
      </c>
      <c r="AC87" s="74">
        <f t="array" ref="AC87">SUM(COUNTIF(AC8:AC77,{"10:00","10:30","11:00","11:30","12:00","12:30","13:00"}))</f>
        <v>10</v>
      </c>
      <c r="AD87" s="74">
        <f t="array" ref="AD87">SUM(COUNTIF(AD8:AD77,{"10:00","10:30","11:00","11:30","12:00","12:30","13:00"}))</f>
        <v>12</v>
      </c>
      <c r="AE87" s="74">
        <f t="array" ref="AE87">SUM(COUNTIF(AE8:AE77,{"10:00","10:30","11:00","11:30","12:00","12:30","13:00"}))</f>
        <v>10</v>
      </c>
      <c r="AF87" s="69"/>
      <c r="AG87" s="74">
        <f t="array" ref="AG87">SUM(COUNTIF(AG8:AG77,{"10:00","10:30","11:00","11:30","12:00","12:30","13:00"}))</f>
        <v>13</v>
      </c>
      <c r="AH87" s="74">
        <f t="array" ref="AH87">SUM(COUNTIF(AH8:AH77,{"10:00","10:30","11:00","11:30","12:00","12:30","13:00"}))</f>
        <v>11</v>
      </c>
      <c r="AI87" s="74">
        <f t="array" ref="AI87">SUM(COUNTIF(AI8:AI77,{"10:00","10:30","11:00","11:30","12:00","12:30","13:00"}))</f>
        <v>12</v>
      </c>
      <c r="AJ87" s="74">
        <f t="array" ref="AJ87">SUM(COUNTIF(AJ8:AJ77,{"10:00","10:30","11:00","11:30","12:00","12:30","13:00"}))</f>
        <v>10</v>
      </c>
      <c r="AK87" s="74">
        <f t="array" ref="AK87">SUM(COUNTIF(AK8:AK77,{"10:00","10:30","11:00","11:30","12:00","12:30","13:00"}))</f>
        <v>12</v>
      </c>
      <c r="AL87" s="74">
        <f t="array" ref="AL87">SUM(COUNTIF(AL8:AL77,{"10:00","10:30","11:00","11:30","12:00","12:30","13:00"}))</f>
        <v>10</v>
      </c>
      <c r="AM87" s="42"/>
    </row>
    <row r="88">
      <c r="A88" s="59"/>
      <c r="B88" s="60"/>
      <c r="C88" s="60" t="s">
        <v>190</v>
      </c>
      <c r="D88" s="42"/>
      <c r="E88" s="75">
        <f t="shared" ref="E88:J88" si="1">SUM(E86:E87)</f>
        <v>69</v>
      </c>
      <c r="F88" s="75">
        <f t="shared" si="1"/>
        <v>63</v>
      </c>
      <c r="G88" s="75">
        <f t="shared" si="1"/>
        <v>59</v>
      </c>
      <c r="H88" s="75">
        <f t="shared" si="1"/>
        <v>61</v>
      </c>
      <c r="I88" s="75">
        <f t="shared" si="1"/>
        <v>63</v>
      </c>
      <c r="J88" s="75">
        <f t="shared" si="1"/>
        <v>34</v>
      </c>
      <c r="K88" s="42"/>
      <c r="L88" s="75">
        <f t="shared" ref="L88:Q88" si="2">SUM(L86:L87)</f>
        <v>69</v>
      </c>
      <c r="M88" s="75">
        <f t="shared" si="2"/>
        <v>65</v>
      </c>
      <c r="N88" s="75">
        <f t="shared" si="2"/>
        <v>60</v>
      </c>
      <c r="O88" s="75">
        <f t="shared" si="2"/>
        <v>62</v>
      </c>
      <c r="P88" s="75">
        <f t="shared" si="2"/>
        <v>63</v>
      </c>
      <c r="Q88" s="75">
        <f t="shared" si="2"/>
        <v>30</v>
      </c>
      <c r="R88" s="43"/>
      <c r="S88" s="75">
        <f t="shared" ref="S88:X88" si="3">SUM(S86:S87)</f>
        <v>69</v>
      </c>
      <c r="T88" s="75">
        <f t="shared" si="3"/>
        <v>64</v>
      </c>
      <c r="U88" s="75">
        <f t="shared" si="3"/>
        <v>59</v>
      </c>
      <c r="V88" s="75">
        <f t="shared" si="3"/>
        <v>62</v>
      </c>
      <c r="W88" s="75">
        <f t="shared" si="3"/>
        <v>63</v>
      </c>
      <c r="X88" s="75">
        <f t="shared" si="3"/>
        <v>32</v>
      </c>
      <c r="Y88" s="43"/>
      <c r="Z88" s="75">
        <f t="shared" ref="Z88:AE88" si="4">SUM(Z86:Z87)</f>
        <v>69</v>
      </c>
      <c r="AA88" s="75">
        <f t="shared" si="4"/>
        <v>65</v>
      </c>
      <c r="AB88" s="75">
        <f t="shared" si="4"/>
        <v>60</v>
      </c>
      <c r="AC88" s="75">
        <f t="shared" si="4"/>
        <v>62</v>
      </c>
      <c r="AD88" s="75">
        <f t="shared" si="4"/>
        <v>63</v>
      </c>
      <c r="AE88" s="75">
        <f t="shared" si="4"/>
        <v>30</v>
      </c>
      <c r="AF88" s="69"/>
      <c r="AG88" s="75">
        <f t="shared" ref="AG88:AL88" si="5">SUM(AG86:AG87)</f>
        <v>69</v>
      </c>
      <c r="AH88" s="75">
        <f t="shared" si="5"/>
        <v>65</v>
      </c>
      <c r="AI88" s="75">
        <f t="shared" si="5"/>
        <v>60</v>
      </c>
      <c r="AJ88" s="75">
        <f t="shared" si="5"/>
        <v>62</v>
      </c>
      <c r="AK88" s="75">
        <f t="shared" si="5"/>
        <v>63</v>
      </c>
      <c r="AL88" s="75">
        <f t="shared" si="5"/>
        <v>30</v>
      </c>
      <c r="AM88" s="42"/>
    </row>
    <row r="89">
      <c r="A89" s="59"/>
      <c r="B89" s="60"/>
      <c r="C89" s="60" t="s">
        <v>191</v>
      </c>
      <c r="D89" s="42"/>
      <c r="E89" s="59">
        <f t="shared" ref="E89:J89" si="6">COUNTIF(E8:E22,"Free")</f>
        <v>0</v>
      </c>
      <c r="F89" s="59">
        <f t="shared" si="6"/>
        <v>1</v>
      </c>
      <c r="G89" s="59">
        <f t="shared" si="6"/>
        <v>3</v>
      </c>
      <c r="H89" s="59">
        <f t="shared" si="6"/>
        <v>1</v>
      </c>
      <c r="I89" s="59">
        <f t="shared" si="6"/>
        <v>2</v>
      </c>
      <c r="J89" s="59">
        <f t="shared" si="6"/>
        <v>8</v>
      </c>
      <c r="K89" s="42"/>
      <c r="L89" s="59">
        <f t="shared" ref="L89:Q89" si="7">COUNTIF(L8:L22,"Free")</f>
        <v>0</v>
      </c>
      <c r="M89" s="59">
        <f t="shared" si="7"/>
        <v>0</v>
      </c>
      <c r="N89" s="59">
        <f t="shared" si="7"/>
        <v>3</v>
      </c>
      <c r="O89" s="59">
        <f t="shared" si="7"/>
        <v>0</v>
      </c>
      <c r="P89" s="59">
        <f t="shared" si="7"/>
        <v>3</v>
      </c>
      <c r="Q89" s="59">
        <f t="shared" si="7"/>
        <v>9</v>
      </c>
      <c r="R89" s="43"/>
      <c r="S89" s="59">
        <f t="shared" ref="S89:X89" si="8">COUNTIF(S8:S22,"Free")</f>
        <v>0</v>
      </c>
      <c r="T89" s="59">
        <f t="shared" si="8"/>
        <v>0</v>
      </c>
      <c r="U89" s="59">
        <f t="shared" si="8"/>
        <v>3</v>
      </c>
      <c r="V89" s="59">
        <f t="shared" si="8"/>
        <v>0</v>
      </c>
      <c r="W89" s="59">
        <f t="shared" si="8"/>
        <v>3</v>
      </c>
      <c r="X89" s="59">
        <f t="shared" si="8"/>
        <v>9</v>
      </c>
      <c r="Y89" s="43"/>
      <c r="Z89" s="59">
        <f t="shared" ref="Z89:AE89" si="9">COUNTIF(Z8:Z22,"Free")</f>
        <v>0</v>
      </c>
      <c r="AA89" s="59">
        <f t="shared" si="9"/>
        <v>0</v>
      </c>
      <c r="AB89" s="59">
        <f t="shared" si="9"/>
        <v>3</v>
      </c>
      <c r="AC89" s="59">
        <f t="shared" si="9"/>
        <v>0</v>
      </c>
      <c r="AD89" s="59">
        <f t="shared" si="9"/>
        <v>3</v>
      </c>
      <c r="AE89" s="59">
        <f t="shared" si="9"/>
        <v>9</v>
      </c>
      <c r="AF89" s="69"/>
      <c r="AG89" s="59">
        <f t="shared" ref="AG89:AL89" si="10">COUNTIF(AG8:AG22,"Free")</f>
        <v>0</v>
      </c>
      <c r="AH89" s="59">
        <f t="shared" si="10"/>
        <v>0</v>
      </c>
      <c r="AI89" s="59">
        <f t="shared" si="10"/>
        <v>3</v>
      </c>
      <c r="AJ89" s="59">
        <f t="shared" si="10"/>
        <v>0</v>
      </c>
      <c r="AK89" s="59">
        <f t="shared" si="10"/>
        <v>3</v>
      </c>
      <c r="AL89" s="59">
        <f t="shared" si="10"/>
        <v>9</v>
      </c>
      <c r="AM89" s="43"/>
    </row>
  </sheetData>
  <autoFilter ref="$A$2:$AM$85">
    <sortState ref="A2:AM85">
      <sortCondition ref="B2:B85"/>
      <sortCondition ref="C2:C85"/>
    </sortState>
  </autoFilter>
  <conditionalFormatting sqref="A38:A85">
    <cfRule type="containsText" dxfId="10" priority="1" operator="containsText" text="Free">
      <formula>NOT(ISERROR(SEARCH(("Free"),(A38))))</formula>
    </cfRule>
  </conditionalFormatting>
  <conditionalFormatting sqref="D1:AM1">
    <cfRule type="cellIs" dxfId="10" priority="2" operator="equal">
      <formula>"Free"</formula>
    </cfRule>
  </conditionalFormatting>
  <conditionalFormatting sqref="D1:AM1 D3:D89 A38:A85">
    <cfRule type="containsText" dxfId="2" priority="3" operator="containsText" text="7:00">
      <formula>NOT(ISERROR(SEARCH(("7:00"),(D1))))</formula>
    </cfRule>
  </conditionalFormatting>
  <conditionalFormatting sqref="D1:AM1 D3:D89">
    <cfRule type="containsText" dxfId="3" priority="4" operator="containsText" text="8:00">
      <formula>NOT(ISERROR(SEARCH(("8:00"),(D1))))</formula>
    </cfRule>
  </conditionalFormatting>
  <conditionalFormatting sqref="D3:D89 R3:R89 Y3:Y89 AG3:AM89 E38:J85 K38:K89 L38:Q85 S38:X85 Z38:AE85">
    <cfRule type="containsText" dxfId="1" priority="5" operator="containsText" text="12:00">
      <formula>NOT(ISERROR(SEARCH(("12:00"),(D3))))</formula>
    </cfRule>
  </conditionalFormatting>
  <conditionalFormatting sqref="A1:AM1">
    <cfRule type="containsText" dxfId="17" priority="6" operator="containsText" text="5:00">
      <formula>NOT(ISERROR(SEARCH(("5:00"),(A1))))</formula>
    </cfRule>
  </conditionalFormatting>
  <conditionalFormatting sqref="A1:AM1">
    <cfRule type="containsText" dxfId="18" priority="7" operator="containsText" text="6:00">
      <formula>NOT(ISERROR(SEARCH(("6:00"),(A1))))</formula>
    </cfRule>
  </conditionalFormatting>
  <conditionalFormatting sqref="D1:AM1 D3:D89 E3:J85 K3:K89 L3:Q85 R3:R89 S3:X85 Y3:Y89 Z3:AE85 AG3:AM89 A38:A85">
    <cfRule type="containsText" dxfId="0" priority="8" operator="containsText" text="5:00">
      <formula>NOT(ISERROR(SEARCH(("5:00"),(D1))))</formula>
    </cfRule>
  </conditionalFormatting>
  <conditionalFormatting sqref="D1:AM1 D3:D89 E3:J85 K3:K89 L3:Q85 R3:R89 S3:X85 Y3:Y89 Z3:AE85 AG3:AM89 A38:A85">
    <cfRule type="containsText" dxfId="1" priority="9" operator="containsText" text="6:00">
      <formula>NOT(ISERROR(SEARCH(("6:00"),(D1))))</formula>
    </cfRule>
  </conditionalFormatting>
  <conditionalFormatting sqref="D1:AM1 D3:D89 E3:J85 K3:K89 L3:Q85 R3:R89 S3:X85 Y3:Y89 Z3:AE85 AG3:AM89">
    <cfRule type="containsText" dxfId="16" priority="10" operator="containsText" text="7:00">
      <formula>NOT(ISERROR(SEARCH(("7:00"),(D1))))</formula>
    </cfRule>
  </conditionalFormatting>
  <conditionalFormatting sqref="D1:AM1 D3:D89 E3:J85 K3:K89 L3:Q85 R3:R89 S3:X85 Y3:Y89 Z3:AE85 AG3:AM89 A38:A85">
    <cfRule type="containsText" dxfId="4" priority="11" operator="containsText" text="5:30">
      <formula>NOT(ISERROR(SEARCH(("5:30"),(D1))))</formula>
    </cfRule>
  </conditionalFormatting>
  <conditionalFormatting sqref="D1:AM1 D3:D89 E3:J85 K3:K89 L3:Q85 R3:R89 S3:X85 Y3:Y89 Z3:AE85 AG3:AM89 A38:A85">
    <cfRule type="containsText" dxfId="5" priority="12" operator="containsText" text="9:00">
      <formula>NOT(ISERROR(SEARCH(("9:00"),(D1))))</formula>
    </cfRule>
  </conditionalFormatting>
  <conditionalFormatting sqref="D1:AM1 D3:D89 E3:J85 K3:K89 L3:Q85 R3:R89 S3:X85 Y3:Y89 Z3:AE85 AG3:AM89 A38:A85">
    <cfRule type="containsText" dxfId="6" priority="13" operator="containsText" text="10:00">
      <formula>NOT(ISERROR(SEARCH(("10:00"),(D1))))</formula>
    </cfRule>
  </conditionalFormatting>
  <conditionalFormatting sqref="D1:AM1 D3:D89 E3:J85 K3:K89 L3:Q85 R3:R89 S3:X85 Y3:Y89 Z3:AE85 AG3:AM89 A38:A85">
    <cfRule type="containsText" dxfId="7" priority="14" operator="containsText" text="11:00">
      <formula>NOT(ISERROR(SEARCH(("11:00"),(D1))))</formula>
    </cfRule>
  </conditionalFormatting>
  <conditionalFormatting sqref="D1:AE89 AF1:AF2 AG1:AM89 A38:A85">
    <cfRule type="containsText" dxfId="8" priority="15" operator="containsText" text="12:00">
      <formula>NOT(ISERROR(SEARCH(("12:00"),(D1))))</formula>
    </cfRule>
  </conditionalFormatting>
  <conditionalFormatting sqref="D3:D89 E3:J85 K3:K89 L3:Q85 R3:R89 S3:X85 Y3:Y89 Z3:AE85 AG3:AM89">
    <cfRule type="containsText" dxfId="9" priority="16" operator="containsText" text="Free">
      <formula>NOT(ISERROR(SEARCH(("Free"),(D3))))</formula>
    </cfRule>
  </conditionalFormatting>
  <conditionalFormatting sqref="A1:B89 C1:C85 D1:AE89 AF1:AF2 AG1:AM89 C88:C89">
    <cfRule type="cellIs" dxfId="23" priority="17" operator="equal">
      <formula>"Free"</formula>
    </cfRule>
  </conditionalFormatting>
  <conditionalFormatting sqref="A1:B89 C1:C85 D1:AE89 AF1:AF2 AG1:AM89 C88:C89">
    <cfRule type="containsText" dxfId="20" priority="18" operator="containsText" text="7:00">
      <formula>NOT(ISERROR(SEARCH(("7:00"),(A1))))</formula>
    </cfRule>
  </conditionalFormatting>
  <conditionalFormatting sqref="D3:D89 E3:J85 K3:K89 L3:Q85 R3:R89 S3:X85 Y3:Y89 Z3:AE85 AG3:AM89 A6:C85">
    <cfRule type="containsText" dxfId="9" priority="19" operator="containsText" text="6:30">
      <formula>NOT(ISERROR(SEARCH(("6:30"),(D3))))</formula>
    </cfRule>
  </conditionalFormatting>
  <conditionalFormatting sqref="A1:B89 C1:C85 D1:AE89 AF1:AF2 AG1:AM89 C88:C89">
    <cfRule type="containsText" dxfId="21" priority="20" operator="containsText" text="8:00">
      <formula>NOT(ISERROR(SEARCH(("8:00"),(A1))))</formula>
    </cfRule>
  </conditionalFormatting>
  <conditionalFormatting sqref="A1:B89 C1:C85 D1:AE89 AF1:AF2 AG1:AM89 C88:C89">
    <cfRule type="containsText" dxfId="22" priority="21" operator="containsText" text="9:00">
      <formula>NOT(ISERROR(SEARCH(("9:00"),(A1))))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15.5"/>
    <col customWidth="1" min="3" max="3" width="16.38"/>
    <col customWidth="1" min="4" max="4" width="6.38"/>
    <col customWidth="1" min="5" max="5" width="7.13"/>
    <col customWidth="1" min="6" max="6" width="6.25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9" width="6.5"/>
  </cols>
  <sheetData>
    <row r="1">
      <c r="A1" s="34"/>
      <c r="B1" s="35"/>
      <c r="C1" s="35"/>
      <c r="D1" s="36">
        <v>46138.0</v>
      </c>
      <c r="E1" s="36">
        <v>46139.0</v>
      </c>
      <c r="F1" s="36">
        <v>46140.0</v>
      </c>
      <c r="G1" s="36">
        <v>46141.0</v>
      </c>
      <c r="H1" s="36">
        <v>46142.0</v>
      </c>
      <c r="I1" s="36">
        <v>46143.0</v>
      </c>
      <c r="J1" s="36">
        <v>46144.0</v>
      </c>
      <c r="K1" s="36">
        <v>46145.0</v>
      </c>
      <c r="L1" s="36">
        <v>46146.0</v>
      </c>
      <c r="M1" s="36">
        <v>46147.0</v>
      </c>
      <c r="N1" s="36">
        <v>46148.0</v>
      </c>
      <c r="O1" s="36">
        <v>46149.0</v>
      </c>
      <c r="P1" s="36">
        <v>46150.0</v>
      </c>
      <c r="Q1" s="36">
        <v>46151.0</v>
      </c>
      <c r="R1" s="36">
        <v>46152.0</v>
      </c>
      <c r="S1" s="36">
        <v>46153.0</v>
      </c>
      <c r="T1" s="36">
        <v>46154.0</v>
      </c>
      <c r="U1" s="36">
        <v>46155.0</v>
      </c>
      <c r="V1" s="36">
        <v>46156.0</v>
      </c>
      <c r="W1" s="36">
        <v>46157.0</v>
      </c>
      <c r="X1" s="36">
        <v>46158.0</v>
      </c>
      <c r="Y1" s="36">
        <v>46159.0</v>
      </c>
      <c r="Z1" s="36">
        <v>46160.0</v>
      </c>
      <c r="AA1" s="36">
        <v>46161.0</v>
      </c>
      <c r="AB1" s="36">
        <v>46162.0</v>
      </c>
      <c r="AC1" s="36">
        <v>46163.0</v>
      </c>
      <c r="AD1" s="36">
        <v>46164.0</v>
      </c>
      <c r="AE1" s="36">
        <v>46165.0</v>
      </c>
      <c r="AF1" s="36">
        <v>46166.0</v>
      </c>
      <c r="AG1" s="36">
        <v>46167.0</v>
      </c>
      <c r="AH1" s="36">
        <v>46168.0</v>
      </c>
      <c r="AI1" s="36">
        <v>46169.0</v>
      </c>
      <c r="AJ1" s="36">
        <v>46170.0</v>
      </c>
      <c r="AK1" s="36">
        <v>46171.0</v>
      </c>
      <c r="AL1" s="36">
        <v>46172.0</v>
      </c>
      <c r="AM1" s="36">
        <v>46173.0</v>
      </c>
    </row>
    <row r="2">
      <c r="A2" s="76" t="s">
        <v>2</v>
      </c>
      <c r="B2" s="77" t="s">
        <v>132</v>
      </c>
      <c r="C2" s="77" t="s">
        <v>133</v>
      </c>
      <c r="D2" s="78">
        <f t="shared" ref="D2:AM2" si="1">D1</f>
        <v>46138</v>
      </c>
      <c r="E2" s="39">
        <f t="shared" si="1"/>
        <v>46139</v>
      </c>
      <c r="F2" s="39">
        <f t="shared" si="1"/>
        <v>46140</v>
      </c>
      <c r="G2" s="39">
        <f t="shared" si="1"/>
        <v>46141</v>
      </c>
      <c r="H2" s="39">
        <f t="shared" si="1"/>
        <v>46142</v>
      </c>
      <c r="I2" s="39">
        <f t="shared" si="1"/>
        <v>46143</v>
      </c>
      <c r="J2" s="39">
        <f t="shared" si="1"/>
        <v>46144</v>
      </c>
      <c r="K2" s="39">
        <f t="shared" si="1"/>
        <v>46145</v>
      </c>
      <c r="L2" s="39">
        <f t="shared" si="1"/>
        <v>46146</v>
      </c>
      <c r="M2" s="39">
        <f t="shared" si="1"/>
        <v>46147</v>
      </c>
      <c r="N2" s="39">
        <f t="shared" si="1"/>
        <v>46148</v>
      </c>
      <c r="O2" s="39">
        <f t="shared" si="1"/>
        <v>46149</v>
      </c>
      <c r="P2" s="39">
        <f t="shared" si="1"/>
        <v>46150</v>
      </c>
      <c r="Q2" s="39">
        <f t="shared" si="1"/>
        <v>46151</v>
      </c>
      <c r="R2" s="39">
        <f t="shared" si="1"/>
        <v>46152</v>
      </c>
      <c r="S2" s="39">
        <f t="shared" si="1"/>
        <v>46153</v>
      </c>
      <c r="T2" s="39">
        <f t="shared" si="1"/>
        <v>46154</v>
      </c>
      <c r="U2" s="39">
        <f t="shared" si="1"/>
        <v>46155</v>
      </c>
      <c r="V2" s="39">
        <f t="shared" si="1"/>
        <v>46156</v>
      </c>
      <c r="W2" s="39">
        <f t="shared" si="1"/>
        <v>46157</v>
      </c>
      <c r="X2" s="39">
        <f t="shared" si="1"/>
        <v>46158</v>
      </c>
      <c r="Y2" s="39">
        <f t="shared" si="1"/>
        <v>46159</v>
      </c>
      <c r="Z2" s="39">
        <f t="shared" si="1"/>
        <v>46160</v>
      </c>
      <c r="AA2" s="39">
        <f t="shared" si="1"/>
        <v>46161</v>
      </c>
      <c r="AB2" s="39">
        <f t="shared" si="1"/>
        <v>46162</v>
      </c>
      <c r="AC2" s="39">
        <f t="shared" si="1"/>
        <v>46163</v>
      </c>
      <c r="AD2" s="39">
        <f t="shared" si="1"/>
        <v>46164</v>
      </c>
      <c r="AE2" s="39">
        <f t="shared" si="1"/>
        <v>46165</v>
      </c>
      <c r="AF2" s="39">
        <f t="shared" si="1"/>
        <v>46166</v>
      </c>
      <c r="AG2" s="39">
        <f t="shared" si="1"/>
        <v>46167</v>
      </c>
      <c r="AH2" s="39">
        <f t="shared" si="1"/>
        <v>46168</v>
      </c>
      <c r="AI2" s="39">
        <f t="shared" si="1"/>
        <v>46169</v>
      </c>
      <c r="AJ2" s="39">
        <f t="shared" si="1"/>
        <v>46170</v>
      </c>
      <c r="AK2" s="39">
        <f t="shared" si="1"/>
        <v>46171</v>
      </c>
      <c r="AL2" s="39">
        <f t="shared" si="1"/>
        <v>46172</v>
      </c>
      <c r="AM2" s="39">
        <f t="shared" si="1"/>
        <v>46173</v>
      </c>
    </row>
    <row r="3">
      <c r="A3" s="79" t="s">
        <v>137</v>
      </c>
      <c r="B3" s="80" t="str">
        <f t="array" ref="B3">XLOOKUP(A3,Roster!F:F,Roster!A:A,"",0)</f>
        <v>Bryan Galvis</v>
      </c>
      <c r="C3" s="80" t="str">
        <f t="array" ref="C3">XLOOKUP(A3,Roster!F:F,Roster!B:B,"",0)</f>
        <v>Alexa Arenas</v>
      </c>
      <c r="D3" s="45" t="s">
        <v>201</v>
      </c>
      <c r="E3" s="81">
        <v>0.3333333333333333</v>
      </c>
      <c r="F3" s="81">
        <v>0.3333333333333333</v>
      </c>
      <c r="G3" s="81">
        <v>0.3333333333333333</v>
      </c>
      <c r="H3" s="81">
        <v>0.3333333333333333</v>
      </c>
      <c r="I3" s="81">
        <v>0.3333333333333333</v>
      </c>
      <c r="J3" s="45" t="s">
        <v>202</v>
      </c>
      <c r="K3" s="42"/>
      <c r="L3" s="81">
        <v>0.3333333333333333</v>
      </c>
      <c r="M3" s="81">
        <v>0.3333333333333333</v>
      </c>
      <c r="N3" s="81">
        <v>0.3333333333333333</v>
      </c>
      <c r="O3" s="81">
        <v>0.3333333333333333</v>
      </c>
      <c r="P3" s="81">
        <v>0.3333333333333333</v>
      </c>
      <c r="Q3" s="82" t="s">
        <v>202</v>
      </c>
      <c r="R3" s="83"/>
      <c r="S3" s="81">
        <v>0.3333333333333333</v>
      </c>
      <c r="T3" s="81">
        <v>0.3333333333333333</v>
      </c>
      <c r="U3" s="81">
        <v>0.3333333333333333</v>
      </c>
      <c r="V3" s="81">
        <v>0.3333333333333333</v>
      </c>
      <c r="W3" s="81">
        <v>0.3333333333333333</v>
      </c>
      <c r="X3" s="82" t="s">
        <v>202</v>
      </c>
      <c r="Y3" s="82"/>
      <c r="Z3" s="81">
        <v>0.3333333333333333</v>
      </c>
      <c r="AA3" s="81">
        <v>0.3333333333333333</v>
      </c>
      <c r="AB3" s="81">
        <v>0.3333333333333333</v>
      </c>
      <c r="AC3" s="81">
        <v>0.3333333333333333</v>
      </c>
      <c r="AD3" s="81">
        <v>0.3333333333333333</v>
      </c>
      <c r="AE3" s="82" t="s">
        <v>202</v>
      </c>
      <c r="AF3" s="84"/>
      <c r="AG3" s="81">
        <v>0.3333333333333333</v>
      </c>
      <c r="AH3" s="81">
        <v>0.3333333333333333</v>
      </c>
      <c r="AI3" s="81">
        <v>0.3333333333333333</v>
      </c>
      <c r="AJ3" s="81">
        <v>0.3333333333333333</v>
      </c>
      <c r="AK3" s="81">
        <v>0.3333333333333333</v>
      </c>
      <c r="AL3" s="82" t="s">
        <v>202</v>
      </c>
      <c r="AM3" s="85"/>
    </row>
    <row r="4">
      <c r="A4" s="86" t="s">
        <v>138</v>
      </c>
      <c r="B4" s="87" t="str">
        <f t="array" ref="B4">XLOOKUP(A4,Roster!F:F,Roster!A:A,"")</f>
        <v>Bryan Galvis</v>
      </c>
      <c r="C4" s="87" t="str">
        <f t="array" ref="C4">XLOOKUP(A4,Roster!F:F,Roster!B:B,"")</f>
        <v>Arturo Padilla</v>
      </c>
      <c r="D4" s="82"/>
      <c r="E4" s="81">
        <v>0.3333333333333333</v>
      </c>
      <c r="F4" s="81">
        <v>0.3333333333333333</v>
      </c>
      <c r="G4" s="81">
        <v>0.3333333333333333</v>
      </c>
      <c r="H4" s="81">
        <v>0.3333333333333333</v>
      </c>
      <c r="I4" s="81">
        <v>0.3333333333333333</v>
      </c>
      <c r="J4" s="45" t="s">
        <v>202</v>
      </c>
      <c r="K4" s="42"/>
      <c r="L4" s="81">
        <v>0.3333333333333333</v>
      </c>
      <c r="M4" s="81">
        <v>0.3333333333333333</v>
      </c>
      <c r="N4" s="81">
        <v>0.3333333333333333</v>
      </c>
      <c r="O4" s="81">
        <v>0.3333333333333333</v>
      </c>
      <c r="P4" s="81">
        <v>0.3333333333333333</v>
      </c>
      <c r="Q4" s="82" t="s">
        <v>202</v>
      </c>
      <c r="R4" s="83"/>
      <c r="S4" s="81">
        <v>0.3333333333333333</v>
      </c>
      <c r="T4" s="81">
        <v>0.3333333333333333</v>
      </c>
      <c r="U4" s="81">
        <v>0.3333333333333333</v>
      </c>
      <c r="V4" s="81">
        <v>0.3333333333333333</v>
      </c>
      <c r="W4" s="81">
        <v>0.3333333333333333</v>
      </c>
      <c r="X4" s="82" t="s">
        <v>202</v>
      </c>
      <c r="Y4" s="82"/>
      <c r="Z4" s="81">
        <v>0.3333333333333333</v>
      </c>
      <c r="AA4" s="81">
        <v>0.3333333333333333</v>
      </c>
      <c r="AB4" s="81">
        <v>0.3333333333333333</v>
      </c>
      <c r="AC4" s="81">
        <v>0.3333333333333333</v>
      </c>
      <c r="AD4" s="81">
        <v>0.3333333333333333</v>
      </c>
      <c r="AE4" s="82" t="s">
        <v>202</v>
      </c>
      <c r="AF4" s="84"/>
      <c r="AG4" s="81">
        <v>0.3333333333333333</v>
      </c>
      <c r="AH4" s="81">
        <v>0.3333333333333333</v>
      </c>
      <c r="AI4" s="81">
        <v>0.3333333333333333</v>
      </c>
      <c r="AJ4" s="81">
        <v>0.3333333333333333</v>
      </c>
      <c r="AK4" s="81">
        <v>0.3333333333333333</v>
      </c>
      <c r="AL4" s="82" t="s">
        <v>202</v>
      </c>
      <c r="AM4" s="85"/>
    </row>
    <row r="5">
      <c r="A5" s="88" t="s">
        <v>139</v>
      </c>
      <c r="B5" s="80" t="str">
        <f t="array" ref="B5">XLOOKUP(A5,Roster!F:F,Roster!A:A,"",0)</f>
        <v>Bryan Galvis</v>
      </c>
      <c r="C5" s="80" t="str">
        <f t="array" ref="C5">XLOOKUP(A5,Roster!F:F,Roster!B:B,"",0)</f>
        <v>Braian Restrepo</v>
      </c>
      <c r="D5" s="89"/>
      <c r="E5" s="81">
        <v>0.3333333333333333</v>
      </c>
      <c r="F5" s="81">
        <v>0.3333333333333333</v>
      </c>
      <c r="G5" s="45" t="s">
        <v>202</v>
      </c>
      <c r="H5" s="81">
        <v>0.3333333333333333</v>
      </c>
      <c r="I5" s="81">
        <v>0.3333333333333333</v>
      </c>
      <c r="J5" s="81">
        <v>0.3333333333333333</v>
      </c>
      <c r="K5" s="42"/>
      <c r="L5" s="81">
        <v>0.3333333333333333</v>
      </c>
      <c r="M5" s="81">
        <v>0.3333333333333333</v>
      </c>
      <c r="N5" s="81">
        <v>0.3333333333333333</v>
      </c>
      <c r="O5" s="82" t="s">
        <v>202</v>
      </c>
      <c r="P5" s="81">
        <v>0.3333333333333333</v>
      </c>
      <c r="Q5" s="81">
        <v>0.3333333333333333</v>
      </c>
      <c r="R5" s="83"/>
      <c r="S5" s="81">
        <v>0.3333333333333333</v>
      </c>
      <c r="T5" s="81">
        <v>0.3333333333333333</v>
      </c>
      <c r="U5" s="81">
        <v>0.3333333333333333</v>
      </c>
      <c r="V5" s="82" t="s">
        <v>202</v>
      </c>
      <c r="W5" s="81">
        <v>0.3333333333333333</v>
      </c>
      <c r="X5" s="81">
        <v>0.3333333333333333</v>
      </c>
      <c r="Y5" s="82"/>
      <c r="Z5" s="81">
        <v>0.3333333333333333</v>
      </c>
      <c r="AA5" s="81">
        <v>0.3333333333333333</v>
      </c>
      <c r="AB5" s="81">
        <v>0.3333333333333333</v>
      </c>
      <c r="AC5" s="82" t="s">
        <v>202</v>
      </c>
      <c r="AD5" s="81">
        <v>0.3333333333333333</v>
      </c>
      <c r="AE5" s="81">
        <v>0.3333333333333333</v>
      </c>
      <c r="AF5" s="84"/>
      <c r="AG5" s="81">
        <v>0.3333333333333333</v>
      </c>
      <c r="AH5" s="81">
        <v>0.3333333333333333</v>
      </c>
      <c r="AI5" s="81">
        <v>0.3333333333333333</v>
      </c>
      <c r="AJ5" s="82" t="s">
        <v>202</v>
      </c>
      <c r="AK5" s="81">
        <v>0.3333333333333333</v>
      </c>
      <c r="AL5" s="81">
        <v>0.3333333333333333</v>
      </c>
      <c r="AM5" s="85"/>
    </row>
    <row r="6">
      <c r="A6" s="88" t="s">
        <v>140</v>
      </c>
      <c r="B6" s="80" t="str">
        <f t="array" ref="B6">XLOOKUP(A6,Roster!F:F,Roster!A:A,"",0)</f>
        <v>Bryan Galvis</v>
      </c>
      <c r="C6" s="80" t="str">
        <f t="array" ref="C6">XLOOKUP(A6,Roster!F:F,Roster!B:B,"",0)</f>
        <v>Johana Villarreal</v>
      </c>
      <c r="D6" s="45" t="s">
        <v>201</v>
      </c>
      <c r="E6" s="81">
        <v>0.2916666666666667</v>
      </c>
      <c r="F6" s="81">
        <v>0.2916666666666667</v>
      </c>
      <c r="G6" s="81">
        <v>0.2916666666666667</v>
      </c>
      <c r="H6" s="81">
        <v>0.2916666666666667</v>
      </c>
      <c r="I6" s="81">
        <v>0.2916666666666667</v>
      </c>
      <c r="J6" s="45" t="s">
        <v>202</v>
      </c>
      <c r="K6" s="42"/>
      <c r="L6" s="81">
        <v>0.2916666666666667</v>
      </c>
      <c r="M6" s="81">
        <v>0.2916666666666667</v>
      </c>
      <c r="N6" s="81">
        <v>0.2916666666666667</v>
      </c>
      <c r="O6" s="81">
        <v>0.2916666666666667</v>
      </c>
      <c r="P6" s="81">
        <v>0.2916666666666667</v>
      </c>
      <c r="Q6" s="82" t="s">
        <v>202</v>
      </c>
      <c r="R6" s="90"/>
      <c r="S6" s="81">
        <v>0.2916666666666667</v>
      </c>
      <c r="T6" s="81">
        <v>0.2916666666666667</v>
      </c>
      <c r="U6" s="81">
        <v>0.2916666666666667</v>
      </c>
      <c r="V6" s="81">
        <v>0.2916666666666667</v>
      </c>
      <c r="W6" s="81">
        <v>0.2916666666666667</v>
      </c>
      <c r="X6" s="82" t="s">
        <v>202</v>
      </c>
      <c r="Y6" s="89"/>
      <c r="Z6" s="81">
        <v>0.2916666666666667</v>
      </c>
      <c r="AA6" s="82" t="s">
        <v>202</v>
      </c>
      <c r="AB6" s="81">
        <v>0.2916666666666667</v>
      </c>
      <c r="AC6" s="81">
        <v>0.2916666666666667</v>
      </c>
      <c r="AD6" s="81">
        <v>0.2916666666666667</v>
      </c>
      <c r="AE6" s="81">
        <v>0.2916666666666667</v>
      </c>
      <c r="AF6" s="84"/>
      <c r="AG6" s="81">
        <v>0.2916666666666667</v>
      </c>
      <c r="AH6" s="81">
        <v>0.2916666666666667</v>
      </c>
      <c r="AI6" s="81">
        <v>0.2916666666666667</v>
      </c>
      <c r="AJ6" s="81">
        <v>0.2916666666666667</v>
      </c>
      <c r="AK6" s="81">
        <v>0.2916666666666667</v>
      </c>
      <c r="AL6" s="82" t="s">
        <v>202</v>
      </c>
      <c r="AM6" s="85"/>
    </row>
    <row r="7">
      <c r="A7" s="88" t="s">
        <v>141</v>
      </c>
      <c r="B7" s="80" t="str">
        <f t="array" ref="B7">XLOOKUP(A7,Roster!F:F,Roster!A:A,"",0)</f>
        <v>Bryan Galvis</v>
      </c>
      <c r="C7" s="80" t="str">
        <f t="array" ref="C7">XLOOKUP(A7,Roster!F:F,Roster!B:B,"",0)</f>
        <v>Juan Ospina</v>
      </c>
      <c r="D7" s="89"/>
      <c r="E7" s="81">
        <v>0.3333333333333333</v>
      </c>
      <c r="F7" s="81">
        <v>0.3333333333333333</v>
      </c>
      <c r="G7" s="81">
        <v>0.3333333333333333</v>
      </c>
      <c r="H7" s="81">
        <v>0.3333333333333333</v>
      </c>
      <c r="I7" s="81">
        <v>0.3333333333333333</v>
      </c>
      <c r="J7" s="45" t="s">
        <v>202</v>
      </c>
      <c r="K7" s="42"/>
      <c r="L7" s="82">
        <v>0.3333333333333333</v>
      </c>
      <c r="M7" s="82">
        <v>0.3333333333333333</v>
      </c>
      <c r="N7" s="82">
        <v>0.3333333333333333</v>
      </c>
      <c r="O7" s="82">
        <v>0.3333333333333333</v>
      </c>
      <c r="P7" s="82">
        <v>0.3333333333333333</v>
      </c>
      <c r="Q7" s="82" t="s">
        <v>202</v>
      </c>
      <c r="R7" s="91"/>
      <c r="S7" s="82">
        <v>0.3333333333333333</v>
      </c>
      <c r="T7" s="82">
        <v>0.3333333333333333</v>
      </c>
      <c r="U7" s="82">
        <v>0.3333333333333333</v>
      </c>
      <c r="V7" s="82">
        <v>0.3333333333333333</v>
      </c>
      <c r="W7" s="82">
        <v>0.3333333333333333</v>
      </c>
      <c r="X7" s="82" t="s">
        <v>202</v>
      </c>
      <c r="Y7" s="89"/>
      <c r="Z7" s="82">
        <v>0.3333333333333333</v>
      </c>
      <c r="AA7" s="82">
        <v>0.3333333333333333</v>
      </c>
      <c r="AB7" s="82">
        <v>0.3333333333333333</v>
      </c>
      <c r="AC7" s="82">
        <v>0.3333333333333333</v>
      </c>
      <c r="AD7" s="82">
        <v>0.3333333333333333</v>
      </c>
      <c r="AE7" s="82" t="s">
        <v>202</v>
      </c>
      <c r="AF7" s="84"/>
      <c r="AG7" s="82">
        <v>0.3333333333333333</v>
      </c>
      <c r="AH7" s="82">
        <v>0.3333333333333333</v>
      </c>
      <c r="AI7" s="82">
        <v>0.3333333333333333</v>
      </c>
      <c r="AJ7" s="82">
        <v>0.3333333333333333</v>
      </c>
      <c r="AK7" s="82">
        <v>0.3333333333333333</v>
      </c>
      <c r="AL7" s="82" t="s">
        <v>202</v>
      </c>
      <c r="AM7" s="85"/>
    </row>
    <row r="8">
      <c r="A8" s="45" t="s">
        <v>142</v>
      </c>
      <c r="B8" s="92" t="str">
        <f t="array" ref="B8">XLOOKUP(A8,Roster!F:F,Roster!A:A,"",0)</f>
        <v>Bryan Galvis</v>
      </c>
      <c r="C8" s="92" t="str">
        <f t="array" ref="C8">XLOOKUP(A8,Roster!F:F,Roster!B:B,"",0)</f>
        <v>Juan Sanchez</v>
      </c>
      <c r="D8" s="89"/>
      <c r="E8" s="81">
        <v>0.3333333333333333</v>
      </c>
      <c r="F8" s="81">
        <v>0.3333333333333333</v>
      </c>
      <c r="G8" s="81">
        <v>0.3333333333333333</v>
      </c>
      <c r="H8" s="45" t="s">
        <v>202</v>
      </c>
      <c r="I8" s="81">
        <v>0.3333333333333333</v>
      </c>
      <c r="J8" s="81">
        <v>0.3333333333333333</v>
      </c>
      <c r="K8" s="42"/>
      <c r="L8" s="81">
        <v>0.3333333333333333</v>
      </c>
      <c r="M8" s="81">
        <v>0.3333333333333333</v>
      </c>
      <c r="N8" s="81">
        <v>0.3333333333333333</v>
      </c>
      <c r="O8" s="82" t="s">
        <v>202</v>
      </c>
      <c r="P8" s="81">
        <v>0.3333333333333333</v>
      </c>
      <c r="Q8" s="81">
        <v>0.3333333333333333</v>
      </c>
      <c r="R8" s="91"/>
      <c r="S8" s="81">
        <v>0.3333333333333333</v>
      </c>
      <c r="T8" s="81">
        <v>0.3333333333333333</v>
      </c>
      <c r="U8" s="81">
        <v>0.3333333333333333</v>
      </c>
      <c r="V8" s="82" t="s">
        <v>202</v>
      </c>
      <c r="W8" s="81">
        <v>0.3333333333333333</v>
      </c>
      <c r="X8" s="81">
        <v>0.3333333333333333</v>
      </c>
      <c r="Y8" s="89"/>
      <c r="Z8" s="81">
        <v>0.3333333333333333</v>
      </c>
      <c r="AA8" s="81">
        <v>0.3333333333333333</v>
      </c>
      <c r="AB8" s="81">
        <v>0.3333333333333333</v>
      </c>
      <c r="AC8" s="82" t="s">
        <v>202</v>
      </c>
      <c r="AD8" s="81">
        <v>0.3333333333333333</v>
      </c>
      <c r="AE8" s="81">
        <v>0.3333333333333333</v>
      </c>
      <c r="AF8" s="84"/>
      <c r="AG8" s="81">
        <v>0.3333333333333333</v>
      </c>
      <c r="AH8" s="81">
        <v>0.3333333333333333</v>
      </c>
      <c r="AI8" s="81">
        <v>0.3333333333333333</v>
      </c>
      <c r="AJ8" s="82" t="s">
        <v>202</v>
      </c>
      <c r="AK8" s="81">
        <v>0.3333333333333333</v>
      </c>
      <c r="AL8" s="81">
        <v>0.3333333333333333</v>
      </c>
      <c r="AM8" s="85"/>
    </row>
    <row r="9">
      <c r="A9" s="93" t="s">
        <v>143</v>
      </c>
      <c r="B9" s="92" t="str">
        <f t="array" ref="B9">XLOOKUP(A9,Roster!F:F,Roster!A:A,"",0)</f>
        <v>Bryan Galvis</v>
      </c>
      <c r="C9" s="94" t="str">
        <f t="array" ref="C9">XLOOKUP(A9,Roster!F:F,Roster!B:B,"",0)</f>
        <v>Julian Higuita</v>
      </c>
      <c r="D9" s="45" t="s">
        <v>201</v>
      </c>
      <c r="E9" s="81">
        <v>0.4166666666666667</v>
      </c>
      <c r="F9" s="81">
        <v>0.4166666666666667</v>
      </c>
      <c r="G9" s="81">
        <v>0.3333333333333333</v>
      </c>
      <c r="H9" s="81">
        <v>0.4166666666666667</v>
      </c>
      <c r="I9" s="81">
        <v>0.4166666666666667</v>
      </c>
      <c r="J9" s="45" t="s">
        <v>202</v>
      </c>
      <c r="K9" s="42"/>
      <c r="L9" s="81">
        <v>0.4166666666666667</v>
      </c>
      <c r="M9" s="45" t="s">
        <v>202</v>
      </c>
      <c r="N9" s="82">
        <v>0.3333333333333333</v>
      </c>
      <c r="O9" s="81">
        <v>0.4166666666666667</v>
      </c>
      <c r="P9" s="81">
        <v>0.4166666666666667</v>
      </c>
      <c r="Q9" s="95" t="s">
        <v>126</v>
      </c>
      <c r="R9" s="83"/>
      <c r="S9" s="95" t="s">
        <v>126</v>
      </c>
      <c r="T9" s="95" t="s">
        <v>126</v>
      </c>
      <c r="U9" s="95" t="s">
        <v>126</v>
      </c>
      <c r="V9" s="95" t="s">
        <v>126</v>
      </c>
      <c r="W9" s="95" t="s">
        <v>126</v>
      </c>
      <c r="X9" s="95" t="s">
        <v>126</v>
      </c>
      <c r="Y9" s="82"/>
      <c r="Z9" s="95" t="s">
        <v>126</v>
      </c>
      <c r="AA9" s="95" t="s">
        <v>126</v>
      </c>
      <c r="AB9" s="95" t="s">
        <v>126</v>
      </c>
      <c r="AC9" s="95" t="s">
        <v>126</v>
      </c>
      <c r="AD9" s="95" t="s">
        <v>126</v>
      </c>
      <c r="AE9" s="95" t="s">
        <v>126</v>
      </c>
      <c r="AF9" s="84"/>
      <c r="AG9" s="81">
        <v>0.4166666666666667</v>
      </c>
      <c r="AH9" s="45" t="s">
        <v>202</v>
      </c>
      <c r="AI9" s="82">
        <v>0.3333333333333333</v>
      </c>
      <c r="AJ9" s="81">
        <v>0.4166666666666667</v>
      </c>
      <c r="AK9" s="81">
        <v>0.4166666666666667</v>
      </c>
      <c r="AL9" s="82">
        <v>0.3333333333333333</v>
      </c>
      <c r="AM9" s="85"/>
    </row>
    <row r="10">
      <c r="A10" s="79" t="s">
        <v>144</v>
      </c>
      <c r="B10" s="80" t="str">
        <f t="array" ref="B10">XLOOKUP(A10,Roster!F:F,Roster!A:A,"",0)</f>
        <v>Bryan Galvis</v>
      </c>
      <c r="C10" s="80" t="str">
        <f t="array" ref="C10">XLOOKUP(A10,Roster!F:F,Roster!B:B,"",0)</f>
        <v>Karen Martinez</v>
      </c>
      <c r="D10" s="82"/>
      <c r="E10" s="81">
        <v>0.3333333333333333</v>
      </c>
      <c r="F10" s="81">
        <v>0.3333333333333333</v>
      </c>
      <c r="G10" s="45" t="s">
        <v>202</v>
      </c>
      <c r="H10" s="81">
        <v>0.3333333333333333</v>
      </c>
      <c r="I10" s="81">
        <v>0.3333333333333333</v>
      </c>
      <c r="J10" s="81">
        <v>0.3333333333333333</v>
      </c>
      <c r="K10" s="42"/>
      <c r="L10" s="81">
        <v>0.3333333333333333</v>
      </c>
      <c r="M10" s="81">
        <v>0.3333333333333333</v>
      </c>
      <c r="N10" s="81">
        <v>0.3333333333333333</v>
      </c>
      <c r="O10" s="82" t="s">
        <v>202</v>
      </c>
      <c r="P10" s="81">
        <v>0.3333333333333333</v>
      </c>
      <c r="Q10" s="81">
        <v>0.3333333333333333</v>
      </c>
      <c r="R10" s="83"/>
      <c r="S10" s="81">
        <v>0.3333333333333333</v>
      </c>
      <c r="T10" s="81">
        <v>0.3333333333333333</v>
      </c>
      <c r="U10" s="81">
        <v>0.3333333333333333</v>
      </c>
      <c r="V10" s="82" t="s">
        <v>202</v>
      </c>
      <c r="W10" s="81">
        <v>0.3333333333333333</v>
      </c>
      <c r="X10" s="81">
        <v>0.3333333333333333</v>
      </c>
      <c r="Y10" s="82"/>
      <c r="Z10" s="81">
        <v>0.3333333333333333</v>
      </c>
      <c r="AA10" s="81">
        <v>0.3333333333333333</v>
      </c>
      <c r="AB10" s="81">
        <v>0.3333333333333333</v>
      </c>
      <c r="AC10" s="82" t="s">
        <v>202</v>
      </c>
      <c r="AD10" s="81">
        <v>0.3333333333333333</v>
      </c>
      <c r="AE10" s="81">
        <v>0.3333333333333333</v>
      </c>
      <c r="AF10" s="84"/>
      <c r="AG10" s="81">
        <v>0.3333333333333333</v>
      </c>
      <c r="AH10" s="81">
        <v>0.3333333333333333</v>
      </c>
      <c r="AI10" s="81">
        <v>0.3333333333333333</v>
      </c>
      <c r="AJ10" s="82" t="s">
        <v>202</v>
      </c>
      <c r="AK10" s="81">
        <v>0.3333333333333333</v>
      </c>
      <c r="AL10" s="81">
        <v>0.3333333333333333</v>
      </c>
      <c r="AM10" s="85"/>
    </row>
    <row r="11">
      <c r="A11" s="79" t="s">
        <v>145</v>
      </c>
      <c r="B11" s="80" t="str">
        <f t="array" ref="B11">XLOOKUP(A11,Roster!F:F,Roster!A:A,"",0)</f>
        <v>Bryan Galvis</v>
      </c>
      <c r="C11" s="80" t="str">
        <f t="array" ref="C11">XLOOKUP(A11,Roster!F:F,Roster!B:B,"",0)</f>
        <v>Lina Cadena</v>
      </c>
      <c r="D11" s="82"/>
      <c r="E11" s="81">
        <v>0.3333333333333333</v>
      </c>
      <c r="F11" s="45" t="s">
        <v>202</v>
      </c>
      <c r="G11" s="81">
        <v>0.3333333333333333</v>
      </c>
      <c r="H11" s="81">
        <v>0.3333333333333333</v>
      </c>
      <c r="I11" s="81">
        <v>0.3333333333333333</v>
      </c>
      <c r="J11" s="81">
        <v>0.3333333333333333</v>
      </c>
      <c r="K11" s="42"/>
      <c r="L11" s="82">
        <v>0.3333333333333333</v>
      </c>
      <c r="M11" s="82">
        <v>0.3333333333333333</v>
      </c>
      <c r="N11" s="82">
        <v>0.3333333333333333</v>
      </c>
      <c r="O11" s="82">
        <v>0.3333333333333333</v>
      </c>
      <c r="P11" s="82">
        <v>0.3333333333333333</v>
      </c>
      <c r="Q11" s="45" t="s">
        <v>202</v>
      </c>
      <c r="R11" s="83"/>
      <c r="S11" s="82">
        <v>0.3333333333333333</v>
      </c>
      <c r="T11" s="82">
        <v>0.3333333333333333</v>
      </c>
      <c r="U11" s="82">
        <v>0.3333333333333333</v>
      </c>
      <c r="V11" s="82">
        <v>0.3333333333333333</v>
      </c>
      <c r="W11" s="82">
        <v>0.3333333333333333</v>
      </c>
      <c r="X11" s="45" t="s">
        <v>202</v>
      </c>
      <c r="Y11" s="82"/>
      <c r="Z11" s="82">
        <v>0.3333333333333333</v>
      </c>
      <c r="AA11" s="82">
        <v>0.3333333333333333</v>
      </c>
      <c r="AB11" s="82">
        <v>0.3333333333333333</v>
      </c>
      <c r="AC11" s="82">
        <v>0.3333333333333333</v>
      </c>
      <c r="AD11" s="82">
        <v>0.3333333333333333</v>
      </c>
      <c r="AE11" s="45" t="s">
        <v>202</v>
      </c>
      <c r="AF11" s="84"/>
      <c r="AG11" s="82">
        <v>0.3333333333333333</v>
      </c>
      <c r="AH11" s="82">
        <v>0.3333333333333333</v>
      </c>
      <c r="AI11" s="82">
        <v>0.3333333333333333</v>
      </c>
      <c r="AJ11" s="82">
        <v>0.3333333333333333</v>
      </c>
      <c r="AK11" s="82">
        <v>0.3333333333333333</v>
      </c>
      <c r="AL11" s="45" t="s">
        <v>202</v>
      </c>
      <c r="AM11" s="85"/>
    </row>
    <row r="12">
      <c r="A12" s="88" t="s">
        <v>146</v>
      </c>
      <c r="B12" s="80" t="str">
        <f t="array" ref="B12">XLOOKUP(A12,Roster!F:F,Roster!A:A,"",0)</f>
        <v>Bryan Galvis</v>
      </c>
      <c r="C12" s="80" t="str">
        <f t="array" ref="C12">XLOOKUP(A12,Roster!F:F,Roster!B:B,"",0)</f>
        <v>Madelyn Jaramillo</v>
      </c>
      <c r="D12" s="89"/>
      <c r="E12" s="81">
        <v>0.3333333333333333</v>
      </c>
      <c r="F12" s="81">
        <v>0.3333333333333333</v>
      </c>
      <c r="G12" s="81">
        <v>0.3333333333333333</v>
      </c>
      <c r="H12" s="81">
        <v>0.3333333333333333</v>
      </c>
      <c r="I12" s="81">
        <v>0.3333333333333333</v>
      </c>
      <c r="J12" s="45" t="s">
        <v>202</v>
      </c>
      <c r="K12" s="42"/>
      <c r="L12" s="96">
        <v>0.3333333333333333</v>
      </c>
      <c r="M12" s="96">
        <v>0.3333333333333333</v>
      </c>
      <c r="N12" s="97" t="s">
        <v>202</v>
      </c>
      <c r="O12" s="96">
        <v>0.3333333333333333</v>
      </c>
      <c r="P12" s="96">
        <v>0.3333333333333333</v>
      </c>
      <c r="Q12" s="96">
        <v>0.3333333333333333</v>
      </c>
      <c r="R12" s="91"/>
      <c r="S12" s="96">
        <v>0.3333333333333333</v>
      </c>
      <c r="T12" s="96">
        <v>0.3333333333333333</v>
      </c>
      <c r="U12" s="97" t="s">
        <v>202</v>
      </c>
      <c r="V12" s="96">
        <v>0.3333333333333333</v>
      </c>
      <c r="W12" s="96">
        <v>0.3333333333333333</v>
      </c>
      <c r="X12" s="96">
        <v>0.3333333333333333</v>
      </c>
      <c r="Y12" s="89"/>
      <c r="Z12" s="96">
        <v>0.3333333333333333</v>
      </c>
      <c r="AA12" s="96">
        <v>0.3333333333333333</v>
      </c>
      <c r="AB12" s="97" t="s">
        <v>202</v>
      </c>
      <c r="AC12" s="96">
        <v>0.3333333333333333</v>
      </c>
      <c r="AD12" s="96">
        <v>0.3333333333333333</v>
      </c>
      <c r="AE12" s="96">
        <v>0.3333333333333333</v>
      </c>
      <c r="AF12" s="84"/>
      <c r="AG12" s="96">
        <v>0.3333333333333333</v>
      </c>
      <c r="AH12" s="96">
        <v>0.3333333333333333</v>
      </c>
      <c r="AI12" s="97" t="s">
        <v>202</v>
      </c>
      <c r="AJ12" s="96">
        <v>0.3333333333333333</v>
      </c>
      <c r="AK12" s="96">
        <v>0.3333333333333333</v>
      </c>
      <c r="AL12" s="96">
        <v>0.3333333333333333</v>
      </c>
      <c r="AM12" s="85"/>
    </row>
    <row r="13">
      <c r="A13" s="88" t="s">
        <v>147</v>
      </c>
      <c r="B13" s="80" t="str">
        <f t="array" ref="B13">XLOOKUP(A13,Roster!F:F,Roster!A:A,"",0)</f>
        <v>Bryan Galvis</v>
      </c>
      <c r="C13" s="80" t="str">
        <f t="array" ref="C13">XLOOKUP(A13,Roster!F:F,Roster!B:B,"",0)</f>
        <v>Manuela Moreno</v>
      </c>
      <c r="D13" s="45" t="s">
        <v>201</v>
      </c>
      <c r="E13" s="81">
        <v>0.375</v>
      </c>
      <c r="F13" s="81">
        <v>0.375</v>
      </c>
      <c r="G13" s="81">
        <v>0.375</v>
      </c>
      <c r="H13" s="81">
        <v>0.375</v>
      </c>
      <c r="I13" s="81">
        <v>0.375</v>
      </c>
      <c r="J13" s="45" t="s">
        <v>202</v>
      </c>
      <c r="K13" s="42"/>
      <c r="L13" s="81">
        <v>0.375</v>
      </c>
      <c r="M13" s="81">
        <v>0.375</v>
      </c>
      <c r="N13" s="81">
        <v>0.375</v>
      </c>
      <c r="O13" s="81">
        <v>0.375</v>
      </c>
      <c r="P13" s="81">
        <v>0.375</v>
      </c>
      <c r="Q13" s="45" t="s">
        <v>202</v>
      </c>
      <c r="R13" s="91"/>
      <c r="S13" s="81">
        <v>0.375</v>
      </c>
      <c r="T13" s="81">
        <v>0.375</v>
      </c>
      <c r="U13" s="81">
        <v>0.375</v>
      </c>
      <c r="V13" s="81">
        <v>0.375</v>
      </c>
      <c r="W13" s="81">
        <v>0.375</v>
      </c>
      <c r="X13" s="45" t="s">
        <v>202</v>
      </c>
      <c r="Y13" s="89"/>
      <c r="Z13" s="81">
        <v>0.375</v>
      </c>
      <c r="AA13" s="81">
        <v>0.375</v>
      </c>
      <c r="AB13" s="81">
        <v>0.375</v>
      </c>
      <c r="AC13" s="81">
        <v>0.375</v>
      </c>
      <c r="AD13" s="81">
        <v>0.375</v>
      </c>
      <c r="AE13" s="45" t="s">
        <v>202</v>
      </c>
      <c r="AF13" s="84"/>
      <c r="AG13" s="81">
        <v>0.375</v>
      </c>
      <c r="AH13" s="81">
        <v>0.375</v>
      </c>
      <c r="AI13" s="81">
        <v>0.375</v>
      </c>
      <c r="AJ13" s="81">
        <v>0.375</v>
      </c>
      <c r="AK13" s="81">
        <v>0.375</v>
      </c>
      <c r="AL13" s="45" t="s">
        <v>202</v>
      </c>
      <c r="AM13" s="85"/>
    </row>
    <row r="14">
      <c r="A14" s="98" t="s">
        <v>148</v>
      </c>
      <c r="B14" s="80" t="str">
        <f t="array" ref="B14">XLOOKUP(A14,Roster!F:F,Roster!A:A,"",0)</f>
        <v>Bryan Galvis</v>
      </c>
      <c r="C14" s="80" t="str">
        <f t="array" ref="C14">XLOOKUP(A14,Roster!F:F,Roster!B:B,"",0)</f>
        <v>Miguel Hoyos</v>
      </c>
      <c r="D14" s="45" t="s">
        <v>201</v>
      </c>
      <c r="E14" s="81">
        <v>0.2916666666666667</v>
      </c>
      <c r="F14" s="81">
        <v>0.2916666666666667</v>
      </c>
      <c r="G14" s="81">
        <v>0.2916666666666667</v>
      </c>
      <c r="H14" s="45" t="s">
        <v>202</v>
      </c>
      <c r="I14" s="81">
        <v>0.2916666666666667</v>
      </c>
      <c r="J14" s="81">
        <v>0.2916666666666667</v>
      </c>
      <c r="K14" s="42"/>
      <c r="L14" s="81">
        <v>0.2916666666666667</v>
      </c>
      <c r="M14" s="81">
        <v>0.2916666666666667</v>
      </c>
      <c r="N14" s="81">
        <v>0.2916666666666667</v>
      </c>
      <c r="O14" s="82" t="s">
        <v>202</v>
      </c>
      <c r="P14" s="81">
        <v>0.2916666666666667</v>
      </c>
      <c r="Q14" s="81">
        <v>0.2916666666666667</v>
      </c>
      <c r="R14" s="83"/>
      <c r="S14" s="81">
        <v>0.2916666666666667</v>
      </c>
      <c r="T14" s="81">
        <v>0.2916666666666667</v>
      </c>
      <c r="U14" s="81">
        <v>0.2916666666666667</v>
      </c>
      <c r="V14" s="82" t="s">
        <v>202</v>
      </c>
      <c r="W14" s="81">
        <v>0.2916666666666667</v>
      </c>
      <c r="X14" s="81">
        <v>0.2916666666666667</v>
      </c>
      <c r="Y14" s="82"/>
      <c r="Z14" s="81">
        <v>0.2916666666666667</v>
      </c>
      <c r="AA14" s="81">
        <v>0.2916666666666667</v>
      </c>
      <c r="AB14" s="81">
        <v>0.2916666666666667</v>
      </c>
      <c r="AC14" s="82" t="s">
        <v>202</v>
      </c>
      <c r="AD14" s="81">
        <v>0.2916666666666667</v>
      </c>
      <c r="AE14" s="81">
        <v>0.2916666666666667</v>
      </c>
      <c r="AF14" s="84"/>
      <c r="AG14" s="81">
        <v>0.2916666666666667</v>
      </c>
      <c r="AH14" s="81">
        <v>0.2916666666666667</v>
      </c>
      <c r="AI14" s="81">
        <v>0.2916666666666667</v>
      </c>
      <c r="AJ14" s="82" t="s">
        <v>202</v>
      </c>
      <c r="AK14" s="81">
        <v>0.2916666666666667</v>
      </c>
      <c r="AL14" s="81">
        <v>0.2916666666666667</v>
      </c>
      <c r="AM14" s="85"/>
    </row>
    <row r="15">
      <c r="A15" s="99" t="s">
        <v>149</v>
      </c>
      <c r="B15" s="100" t="str">
        <f t="array" ref="B15">XLOOKUP(A15,Roster!F:F,Roster!A:A,"")</f>
        <v>Bryan Galvis</v>
      </c>
      <c r="C15" s="100" t="str">
        <f t="array" ref="C15">XLOOKUP(A15,Roster!F:F,Roster!B:B,"")</f>
        <v>Onel Olivera</v>
      </c>
      <c r="D15" s="82"/>
      <c r="E15" s="81">
        <v>0.3333333333333333</v>
      </c>
      <c r="F15" s="45" t="s">
        <v>202</v>
      </c>
      <c r="G15" s="81">
        <v>0.3333333333333333</v>
      </c>
      <c r="H15" s="81">
        <v>0.3333333333333333</v>
      </c>
      <c r="I15" s="81">
        <v>0.3333333333333333</v>
      </c>
      <c r="J15" s="81">
        <v>0.3333333333333333</v>
      </c>
      <c r="K15" s="42"/>
      <c r="L15" s="82">
        <v>0.3333333333333333</v>
      </c>
      <c r="M15" s="82">
        <v>0.3333333333333333</v>
      </c>
      <c r="N15" s="82">
        <v>0.3333333333333333</v>
      </c>
      <c r="O15" s="82">
        <v>0.3333333333333333</v>
      </c>
      <c r="P15" s="82">
        <v>0.3333333333333333</v>
      </c>
      <c r="Q15" s="45" t="s">
        <v>202</v>
      </c>
      <c r="R15" s="83"/>
      <c r="S15" s="82">
        <v>0.3333333333333333</v>
      </c>
      <c r="T15" s="82">
        <v>0.3333333333333333</v>
      </c>
      <c r="U15" s="82">
        <v>0.3333333333333333</v>
      </c>
      <c r="V15" s="82">
        <v>0.3333333333333333</v>
      </c>
      <c r="W15" s="82">
        <v>0.3333333333333333</v>
      </c>
      <c r="X15" s="45" t="s">
        <v>202</v>
      </c>
      <c r="Y15" s="82"/>
      <c r="Z15" s="82">
        <v>0.3333333333333333</v>
      </c>
      <c r="AA15" s="82">
        <v>0.3333333333333333</v>
      </c>
      <c r="AB15" s="82">
        <v>0.3333333333333333</v>
      </c>
      <c r="AC15" s="82">
        <v>0.3333333333333333</v>
      </c>
      <c r="AD15" s="82">
        <v>0.3333333333333333</v>
      </c>
      <c r="AE15" s="45" t="s">
        <v>202</v>
      </c>
      <c r="AF15" s="84"/>
      <c r="AG15" s="82">
        <v>0.3333333333333333</v>
      </c>
      <c r="AH15" s="82">
        <v>0.3333333333333333</v>
      </c>
      <c r="AI15" s="82">
        <v>0.3333333333333333</v>
      </c>
      <c r="AJ15" s="82">
        <v>0.3333333333333333</v>
      </c>
      <c r="AK15" s="82">
        <v>0.3333333333333333</v>
      </c>
      <c r="AL15" s="45" t="s">
        <v>202</v>
      </c>
      <c r="AM15" s="85"/>
    </row>
    <row r="16">
      <c r="A16" s="98" t="s">
        <v>150</v>
      </c>
      <c r="B16" s="100" t="str">
        <f t="array" ref="B16">XLOOKUP(A16,Roster!F:F,Roster!A:A,"")</f>
        <v>Bryan Galvis</v>
      </c>
      <c r="C16" s="100" t="str">
        <f t="array" ref="C16">XLOOKUP(A16,Roster!F:F,Roster!B:B,"")</f>
        <v>Sebastiam Vallejo</v>
      </c>
      <c r="D16" s="82"/>
      <c r="E16" s="81">
        <v>0.3333333333333333</v>
      </c>
      <c r="F16" s="81">
        <v>0.3333333333333333</v>
      </c>
      <c r="G16" s="81">
        <v>0.3333333333333333</v>
      </c>
      <c r="H16" s="81">
        <v>0.3333333333333333</v>
      </c>
      <c r="I16" s="81">
        <v>0.3333333333333333</v>
      </c>
      <c r="J16" s="45" t="s">
        <v>202</v>
      </c>
      <c r="K16" s="42"/>
      <c r="L16" s="81">
        <v>0.3333333333333333</v>
      </c>
      <c r="M16" s="81">
        <v>0.3333333333333333</v>
      </c>
      <c r="N16" s="82" t="s">
        <v>202</v>
      </c>
      <c r="O16" s="81">
        <v>0.3333333333333333</v>
      </c>
      <c r="P16" s="81">
        <v>0.3333333333333333</v>
      </c>
      <c r="Q16" s="81">
        <v>0.3333333333333333</v>
      </c>
      <c r="R16" s="83"/>
      <c r="S16" s="81">
        <v>0.3333333333333333</v>
      </c>
      <c r="T16" s="81">
        <v>0.3333333333333333</v>
      </c>
      <c r="U16" s="82" t="s">
        <v>202</v>
      </c>
      <c r="V16" s="81">
        <v>0.3333333333333333</v>
      </c>
      <c r="W16" s="81">
        <v>0.3333333333333333</v>
      </c>
      <c r="X16" s="81">
        <v>0.3333333333333333</v>
      </c>
      <c r="Y16" s="82"/>
      <c r="Z16" s="81">
        <v>0.3333333333333333</v>
      </c>
      <c r="AA16" s="81">
        <v>0.3333333333333333</v>
      </c>
      <c r="AB16" s="82" t="s">
        <v>202</v>
      </c>
      <c r="AC16" s="81">
        <v>0.3333333333333333</v>
      </c>
      <c r="AD16" s="81">
        <v>0.3333333333333333</v>
      </c>
      <c r="AE16" s="81">
        <v>0.3333333333333333</v>
      </c>
      <c r="AF16" s="84"/>
      <c r="AG16" s="81">
        <v>0.3333333333333333</v>
      </c>
      <c r="AH16" s="81">
        <v>0.3333333333333333</v>
      </c>
      <c r="AI16" s="82" t="s">
        <v>202</v>
      </c>
      <c r="AJ16" s="81">
        <v>0.3333333333333333</v>
      </c>
      <c r="AK16" s="81">
        <v>0.3333333333333333</v>
      </c>
      <c r="AL16" s="81">
        <v>0.3333333333333333</v>
      </c>
      <c r="AM16" s="85"/>
    </row>
    <row r="17">
      <c r="A17" s="98" t="s">
        <v>151</v>
      </c>
      <c r="B17" s="80" t="str">
        <f t="array" ref="B17">XLOOKUP(A17,Roster!F:F,Roster!A:A,"",0)</f>
        <v>Bryan Galvis</v>
      </c>
      <c r="C17" s="80" t="str">
        <f t="array" ref="C17">XLOOKUP(A17,Roster!F:F,Roster!B:B,"",0)</f>
        <v>Sebastian Quiroz</v>
      </c>
      <c r="D17" s="89"/>
      <c r="E17" s="101">
        <v>0.3333333333333333</v>
      </c>
      <c r="F17" s="101">
        <v>0.3333333333333333</v>
      </c>
      <c r="G17" s="101">
        <v>0.3333333333333333</v>
      </c>
      <c r="H17" s="101">
        <v>0.3333333333333333</v>
      </c>
      <c r="I17" s="101">
        <v>0.3333333333333333</v>
      </c>
      <c r="J17" s="102" t="s">
        <v>202</v>
      </c>
      <c r="K17" s="42"/>
      <c r="L17" s="81">
        <v>0.3333333333333333</v>
      </c>
      <c r="M17" s="81">
        <v>0.3333333333333333</v>
      </c>
      <c r="N17" s="81">
        <v>0.3333333333333333</v>
      </c>
      <c r="O17" s="82" t="s">
        <v>202</v>
      </c>
      <c r="P17" s="81">
        <v>0.3333333333333333</v>
      </c>
      <c r="Q17" s="81">
        <v>0.3333333333333333</v>
      </c>
      <c r="R17" s="83"/>
      <c r="S17" s="81">
        <v>0.3333333333333333</v>
      </c>
      <c r="T17" s="81">
        <v>0.3333333333333333</v>
      </c>
      <c r="U17" s="81">
        <v>0.3333333333333333</v>
      </c>
      <c r="V17" s="82" t="s">
        <v>202</v>
      </c>
      <c r="W17" s="81">
        <v>0.3333333333333333</v>
      </c>
      <c r="X17" s="81">
        <v>0.3333333333333333</v>
      </c>
      <c r="Y17" s="82"/>
      <c r="Z17" s="81">
        <v>0.3333333333333333</v>
      </c>
      <c r="AA17" s="81">
        <v>0.3333333333333333</v>
      </c>
      <c r="AB17" s="81">
        <v>0.3333333333333333</v>
      </c>
      <c r="AC17" s="82" t="s">
        <v>202</v>
      </c>
      <c r="AD17" s="81">
        <v>0.3333333333333333</v>
      </c>
      <c r="AE17" s="81">
        <v>0.3333333333333333</v>
      </c>
      <c r="AF17" s="84"/>
      <c r="AG17" s="81">
        <v>0.3333333333333333</v>
      </c>
      <c r="AH17" s="81">
        <v>0.3333333333333333</v>
      </c>
      <c r="AI17" s="81">
        <v>0.3333333333333333</v>
      </c>
      <c r="AJ17" s="82" t="s">
        <v>202</v>
      </c>
      <c r="AK17" s="81">
        <v>0.3333333333333333</v>
      </c>
      <c r="AL17" s="81">
        <v>0.3333333333333333</v>
      </c>
      <c r="AM17" s="85"/>
    </row>
    <row r="18">
      <c r="A18" s="88" t="s">
        <v>152</v>
      </c>
      <c r="B18" s="80" t="str">
        <f t="array" ref="B18">XLOOKUP(A18,Roster!F:F,Roster!A:A,"",0)</f>
        <v>Bryan Galvis</v>
      </c>
      <c r="C18" s="80" t="str">
        <f t="array" ref="C18">XLOOKUP(A18,Roster!F:F,Roster!B:B,"",0)</f>
        <v>Valery Escobar</v>
      </c>
      <c r="D18" s="82"/>
      <c r="E18" s="81">
        <v>0.3333333333333333</v>
      </c>
      <c r="F18" s="81">
        <v>0.3333333333333333</v>
      </c>
      <c r="G18" s="45" t="s">
        <v>202</v>
      </c>
      <c r="H18" s="81">
        <v>0.3333333333333333</v>
      </c>
      <c r="I18" s="81">
        <v>0.3333333333333333</v>
      </c>
      <c r="J18" s="81">
        <v>0.3333333333333333</v>
      </c>
      <c r="K18" s="42"/>
      <c r="L18" s="81">
        <v>0.3333333333333333</v>
      </c>
      <c r="M18" s="81">
        <v>0.3333333333333333</v>
      </c>
      <c r="N18" s="81">
        <v>0.3333333333333333</v>
      </c>
      <c r="O18" s="82" t="s">
        <v>202</v>
      </c>
      <c r="P18" s="81">
        <v>0.3333333333333333</v>
      </c>
      <c r="Q18" s="81">
        <v>0.3333333333333333</v>
      </c>
      <c r="R18" s="83"/>
      <c r="S18" s="81">
        <v>0.3333333333333333</v>
      </c>
      <c r="T18" s="81">
        <v>0.3333333333333333</v>
      </c>
      <c r="U18" s="81">
        <v>0.3333333333333333</v>
      </c>
      <c r="V18" s="82" t="s">
        <v>202</v>
      </c>
      <c r="W18" s="81">
        <v>0.3333333333333333</v>
      </c>
      <c r="X18" s="81">
        <v>0.3333333333333333</v>
      </c>
      <c r="Y18" s="82"/>
      <c r="Z18" s="81">
        <v>0.3333333333333333</v>
      </c>
      <c r="AA18" s="81">
        <v>0.3333333333333333</v>
      </c>
      <c r="AB18" s="81">
        <v>0.3333333333333333</v>
      </c>
      <c r="AC18" s="82" t="s">
        <v>202</v>
      </c>
      <c r="AD18" s="81">
        <v>0.3333333333333333</v>
      </c>
      <c r="AE18" s="81">
        <v>0.3333333333333333</v>
      </c>
      <c r="AF18" s="84"/>
      <c r="AG18" s="81">
        <v>0.3333333333333333</v>
      </c>
      <c r="AH18" s="81">
        <v>0.3333333333333333</v>
      </c>
      <c r="AI18" s="81">
        <v>0.3333333333333333</v>
      </c>
      <c r="AJ18" s="82" t="s">
        <v>202</v>
      </c>
      <c r="AK18" s="81">
        <v>0.3333333333333333</v>
      </c>
      <c r="AL18" s="81">
        <v>0.3333333333333333</v>
      </c>
      <c r="AM18" s="85"/>
    </row>
    <row r="19">
      <c r="A19" s="88" t="s">
        <v>153</v>
      </c>
      <c r="B19" s="80" t="str">
        <f t="array" ref="B19">XLOOKUP(A19,Roster!F:F,Roster!A:A,"",0)</f>
        <v>Edward Machado</v>
      </c>
      <c r="C19" s="80" t="str">
        <f t="array" ref="C19">XLOOKUP(A19,Roster!F:F,Roster!B:B,"",0)</f>
        <v>Alexis Arias</v>
      </c>
      <c r="D19" s="82"/>
      <c r="E19" s="96">
        <v>0.3125</v>
      </c>
      <c r="F19" s="96">
        <v>0.3125</v>
      </c>
      <c r="G19" s="96">
        <v>0.3125</v>
      </c>
      <c r="H19" s="96">
        <v>0.3125</v>
      </c>
      <c r="I19" s="96">
        <v>0.3125</v>
      </c>
      <c r="J19" s="97" t="s">
        <v>202</v>
      </c>
      <c r="K19" s="42"/>
      <c r="L19" s="101">
        <v>0.3125</v>
      </c>
      <c r="M19" s="101">
        <v>0.3125</v>
      </c>
      <c r="N19" s="97" t="s">
        <v>202</v>
      </c>
      <c r="O19" s="101">
        <v>0.3125</v>
      </c>
      <c r="P19" s="101">
        <v>0.3125</v>
      </c>
      <c r="Q19" s="101">
        <v>0.3125</v>
      </c>
      <c r="R19" s="83"/>
      <c r="S19" s="101">
        <v>0.3125</v>
      </c>
      <c r="T19" s="101">
        <v>0.3125</v>
      </c>
      <c r="U19" s="97" t="s">
        <v>202</v>
      </c>
      <c r="V19" s="101">
        <v>0.3125</v>
      </c>
      <c r="W19" s="101">
        <v>0.3125</v>
      </c>
      <c r="X19" s="101">
        <v>0.3125</v>
      </c>
      <c r="Y19" s="82"/>
      <c r="Z19" s="101">
        <v>0.3125</v>
      </c>
      <c r="AA19" s="101">
        <v>0.3125</v>
      </c>
      <c r="AB19" s="97" t="s">
        <v>202</v>
      </c>
      <c r="AC19" s="101">
        <v>0.3125</v>
      </c>
      <c r="AD19" s="101">
        <v>0.3125</v>
      </c>
      <c r="AE19" s="101">
        <v>0.3125</v>
      </c>
      <c r="AF19" s="84"/>
      <c r="AG19" s="101">
        <v>0.3125</v>
      </c>
      <c r="AH19" s="101">
        <v>0.3125</v>
      </c>
      <c r="AI19" s="97" t="s">
        <v>202</v>
      </c>
      <c r="AJ19" s="101">
        <v>0.3125</v>
      </c>
      <c r="AK19" s="101">
        <v>0.3125</v>
      </c>
      <c r="AL19" s="101">
        <v>0.3125</v>
      </c>
      <c r="AM19" s="85"/>
    </row>
    <row r="20">
      <c r="A20" s="89" t="s">
        <v>154</v>
      </c>
      <c r="B20" s="92" t="str">
        <f t="array" ref="B20">XLOOKUP(A20,Roster!F:F,Roster!A:A,"",0)</f>
        <v>Edward Machado</v>
      </c>
      <c r="C20" s="92" t="str">
        <f t="array" ref="C20">XLOOKUP(A20,Roster!F:F,Roster!B:B,"",0)</f>
        <v>Ana Moreno</v>
      </c>
      <c r="D20" s="82"/>
      <c r="E20" s="95" t="s">
        <v>126</v>
      </c>
      <c r="F20" s="95" t="s">
        <v>126</v>
      </c>
      <c r="G20" s="95" t="s">
        <v>126</v>
      </c>
      <c r="H20" s="95" t="s">
        <v>126</v>
      </c>
      <c r="I20" s="95" t="s">
        <v>126</v>
      </c>
      <c r="J20" s="95" t="s">
        <v>126</v>
      </c>
      <c r="K20" s="42"/>
      <c r="L20" s="95" t="s">
        <v>126</v>
      </c>
      <c r="M20" s="95" t="s">
        <v>126</v>
      </c>
      <c r="N20" s="95" t="s">
        <v>126</v>
      </c>
      <c r="O20" s="95" t="s">
        <v>126</v>
      </c>
      <c r="P20" s="95" t="s">
        <v>126</v>
      </c>
      <c r="Q20" s="95" t="s">
        <v>126</v>
      </c>
      <c r="R20" s="83"/>
      <c r="S20" s="81">
        <v>0.3333333333333333</v>
      </c>
      <c r="T20" s="81">
        <v>0.3333333333333333</v>
      </c>
      <c r="U20" s="81">
        <v>0.3333333333333333</v>
      </c>
      <c r="V20" s="82" t="s">
        <v>202</v>
      </c>
      <c r="W20" s="81">
        <v>0.3333333333333333</v>
      </c>
      <c r="X20" s="81">
        <v>0.3333333333333333</v>
      </c>
      <c r="Y20" s="82"/>
      <c r="Z20" s="81">
        <v>0.3333333333333333</v>
      </c>
      <c r="AA20" s="81">
        <v>0.3333333333333333</v>
      </c>
      <c r="AB20" s="81">
        <v>0.3333333333333333</v>
      </c>
      <c r="AC20" s="82" t="s">
        <v>202</v>
      </c>
      <c r="AD20" s="81">
        <v>0.3333333333333333</v>
      </c>
      <c r="AE20" s="81">
        <v>0.3333333333333333</v>
      </c>
      <c r="AF20" s="84"/>
      <c r="AG20" s="81">
        <v>0.3333333333333333</v>
      </c>
      <c r="AH20" s="81">
        <v>0.3333333333333333</v>
      </c>
      <c r="AI20" s="81">
        <v>0.3333333333333333</v>
      </c>
      <c r="AJ20" s="82" t="s">
        <v>202</v>
      </c>
      <c r="AK20" s="81">
        <v>0.3333333333333333</v>
      </c>
      <c r="AL20" s="81">
        <v>0.3333333333333333</v>
      </c>
      <c r="AM20" s="85"/>
    </row>
    <row r="21">
      <c r="A21" s="103" t="s">
        <v>155</v>
      </c>
      <c r="B21" s="92" t="str">
        <f t="array" ref="B21">XLOOKUP(A21,Roster!F:F,Roster!A:A,"",0)</f>
        <v>Edward Machado</v>
      </c>
      <c r="C21" s="92" t="str">
        <f t="array" ref="C21">XLOOKUP(A21,Roster!F:F,Roster!B:B,"",0)</f>
        <v>Beatriz Montanez</v>
      </c>
      <c r="D21" s="89"/>
      <c r="E21" s="104">
        <v>0.3333333333333333</v>
      </c>
      <c r="F21" s="105">
        <v>0.2916666666666667</v>
      </c>
      <c r="G21" s="104">
        <v>0.3333333333333333</v>
      </c>
      <c r="H21" s="106" t="s">
        <v>202</v>
      </c>
      <c r="I21" s="104">
        <v>0.3333333333333333</v>
      </c>
      <c r="J21" s="104">
        <v>0.3333333333333333</v>
      </c>
      <c r="K21" s="42"/>
      <c r="L21" s="82">
        <v>0.3333333333333333</v>
      </c>
      <c r="M21" s="81">
        <v>0.3333333333333333</v>
      </c>
      <c r="N21" s="82">
        <v>0.3333333333333333</v>
      </c>
      <c r="O21" s="45" t="s">
        <v>202</v>
      </c>
      <c r="P21" s="82">
        <v>0.3333333333333333</v>
      </c>
      <c r="Q21" s="82">
        <v>0.3333333333333333</v>
      </c>
      <c r="R21" s="91"/>
      <c r="S21" s="82">
        <v>0.3333333333333333</v>
      </c>
      <c r="T21" s="81">
        <v>0.3333333333333333</v>
      </c>
      <c r="U21" s="82">
        <v>0.3333333333333333</v>
      </c>
      <c r="V21" s="45" t="s">
        <v>202</v>
      </c>
      <c r="W21" s="82">
        <v>0.3333333333333333</v>
      </c>
      <c r="X21" s="82">
        <v>0.3333333333333333</v>
      </c>
      <c r="Y21" s="89"/>
      <c r="Z21" s="82">
        <v>0.3333333333333333</v>
      </c>
      <c r="AA21" s="81">
        <v>0.3333333333333333</v>
      </c>
      <c r="AB21" s="82">
        <v>0.3333333333333333</v>
      </c>
      <c r="AC21" s="45" t="s">
        <v>202</v>
      </c>
      <c r="AD21" s="82">
        <v>0.3333333333333333</v>
      </c>
      <c r="AE21" s="82">
        <v>0.3333333333333333</v>
      </c>
      <c r="AF21" s="84"/>
      <c r="AG21" s="82">
        <v>0.3333333333333333</v>
      </c>
      <c r="AH21" s="81">
        <v>0.3333333333333333</v>
      </c>
      <c r="AI21" s="82">
        <v>0.3333333333333333</v>
      </c>
      <c r="AJ21" s="45" t="s">
        <v>202</v>
      </c>
      <c r="AK21" s="82">
        <v>0.3333333333333333</v>
      </c>
      <c r="AL21" s="82">
        <v>0.3333333333333333</v>
      </c>
      <c r="AM21" s="85"/>
    </row>
    <row r="22">
      <c r="A22" s="79" t="s">
        <v>156</v>
      </c>
      <c r="B22" s="80" t="str">
        <f t="array" ref="B22">XLOOKUP(A22,Roster!F:F,Roster!A:A,"",0)</f>
        <v>Edward Machado</v>
      </c>
      <c r="C22" s="80" t="str">
        <f t="array" ref="C22">XLOOKUP(A22,Roster!F:F,Roster!B:B,"",0)</f>
        <v>Dahiana Cano</v>
      </c>
      <c r="D22" s="82"/>
      <c r="E22" s="96">
        <v>0.3333333333333333</v>
      </c>
      <c r="F22" s="96">
        <v>0.3333333333333333</v>
      </c>
      <c r="G22" s="96">
        <v>0.3333333333333333</v>
      </c>
      <c r="H22" s="97" t="s">
        <v>202</v>
      </c>
      <c r="I22" s="96">
        <v>0.3333333333333333</v>
      </c>
      <c r="J22" s="96">
        <v>0.3333333333333333</v>
      </c>
      <c r="K22" s="42"/>
      <c r="L22" s="96">
        <v>0.3333333333333333</v>
      </c>
      <c r="M22" s="96">
        <v>0.3333333333333333</v>
      </c>
      <c r="N22" s="97" t="s">
        <v>202</v>
      </c>
      <c r="O22" s="96">
        <v>0.3333333333333333</v>
      </c>
      <c r="P22" s="96">
        <v>0.3333333333333333</v>
      </c>
      <c r="Q22" s="96">
        <v>0.3333333333333333</v>
      </c>
      <c r="R22" s="83"/>
      <c r="S22" s="96">
        <v>0.3333333333333333</v>
      </c>
      <c r="T22" s="96">
        <v>0.3333333333333333</v>
      </c>
      <c r="U22" s="97" t="s">
        <v>202</v>
      </c>
      <c r="V22" s="96">
        <v>0.3333333333333333</v>
      </c>
      <c r="W22" s="96">
        <v>0.3333333333333333</v>
      </c>
      <c r="X22" s="96">
        <v>0.3333333333333333</v>
      </c>
      <c r="Y22" s="82"/>
      <c r="Z22" s="96">
        <v>0.3333333333333333</v>
      </c>
      <c r="AA22" s="96">
        <v>0.3333333333333333</v>
      </c>
      <c r="AB22" s="97" t="s">
        <v>202</v>
      </c>
      <c r="AC22" s="96">
        <v>0.3333333333333333</v>
      </c>
      <c r="AD22" s="96">
        <v>0.3333333333333333</v>
      </c>
      <c r="AE22" s="96">
        <v>0.3333333333333333</v>
      </c>
      <c r="AF22" s="84"/>
      <c r="AG22" s="96">
        <v>0.3333333333333333</v>
      </c>
      <c r="AH22" s="96">
        <v>0.3333333333333333</v>
      </c>
      <c r="AI22" s="97" t="s">
        <v>202</v>
      </c>
      <c r="AJ22" s="96">
        <v>0.3333333333333333</v>
      </c>
      <c r="AK22" s="96">
        <v>0.3333333333333333</v>
      </c>
      <c r="AL22" s="96">
        <v>0.3333333333333333</v>
      </c>
      <c r="AM22" s="85"/>
    </row>
    <row r="23">
      <c r="A23" s="103" t="s">
        <v>134</v>
      </c>
      <c r="B23" s="80" t="str">
        <f t="array" ref="B23">XLOOKUP(A23,Roster!F:F,Roster!A:A,"",0)</f>
        <v>Edward Machado</v>
      </c>
      <c r="C23" s="80" t="str">
        <f t="array" ref="C23">XLOOKUP(A23,Roster!F:F,Roster!B:B,"",0)</f>
        <v>Eliana Pena</v>
      </c>
      <c r="D23" s="82"/>
      <c r="E23" s="96">
        <v>0.3333333333333333</v>
      </c>
      <c r="F23" s="96">
        <v>0.3333333333333333</v>
      </c>
      <c r="G23" s="96">
        <v>0.3333333333333333</v>
      </c>
      <c r="H23" s="97" t="s">
        <v>202</v>
      </c>
      <c r="I23" s="96">
        <v>0.3333333333333333</v>
      </c>
      <c r="J23" s="96">
        <v>0.3333333333333333</v>
      </c>
      <c r="K23" s="42"/>
      <c r="L23" s="82">
        <v>0.3333333333333333</v>
      </c>
      <c r="M23" s="82">
        <v>0.3333333333333333</v>
      </c>
      <c r="N23" s="82">
        <v>0.3333333333333333</v>
      </c>
      <c r="O23" s="82" t="s">
        <v>202</v>
      </c>
      <c r="P23" s="82">
        <v>0.3333333333333333</v>
      </c>
      <c r="Q23" s="82">
        <v>0.3333333333333333</v>
      </c>
      <c r="R23" s="83"/>
      <c r="S23" s="82">
        <v>0.3333333333333333</v>
      </c>
      <c r="T23" s="82">
        <v>0.3333333333333333</v>
      </c>
      <c r="U23" s="82">
        <v>0.3333333333333333</v>
      </c>
      <c r="V23" s="82" t="s">
        <v>202</v>
      </c>
      <c r="W23" s="82">
        <v>0.3333333333333333</v>
      </c>
      <c r="X23" s="82">
        <v>0.3333333333333333</v>
      </c>
      <c r="Y23" s="82"/>
      <c r="Z23" s="82">
        <v>0.3333333333333333</v>
      </c>
      <c r="AA23" s="82">
        <v>0.3333333333333333</v>
      </c>
      <c r="AB23" s="82">
        <v>0.3333333333333333</v>
      </c>
      <c r="AC23" s="82" t="s">
        <v>202</v>
      </c>
      <c r="AD23" s="82">
        <v>0.3333333333333333</v>
      </c>
      <c r="AE23" s="82">
        <v>0.3333333333333333</v>
      </c>
      <c r="AF23" s="84"/>
      <c r="AG23" s="82">
        <v>0.3333333333333333</v>
      </c>
      <c r="AH23" s="82">
        <v>0.3333333333333333</v>
      </c>
      <c r="AI23" s="82">
        <v>0.3333333333333333</v>
      </c>
      <c r="AJ23" s="82" t="s">
        <v>202</v>
      </c>
      <c r="AK23" s="82">
        <v>0.3333333333333333</v>
      </c>
      <c r="AL23" s="82">
        <v>0.3333333333333333</v>
      </c>
      <c r="AM23" s="85"/>
    </row>
    <row r="24">
      <c r="A24" s="107" t="s">
        <v>157</v>
      </c>
      <c r="B24" s="108" t="str">
        <f t="array" ref="B24">XLOOKUP(A24,Roster!F:F,Roster!A:A,"")</f>
        <v>Edward Machado</v>
      </c>
      <c r="C24" s="108" t="str">
        <f t="array" ref="C24">XLOOKUP(A24,Roster!F:F,Roster!B:B,"")</f>
        <v>Gabriela Jimenez</v>
      </c>
      <c r="D24" s="43"/>
      <c r="E24" s="96">
        <v>0.3333333333333333</v>
      </c>
      <c r="F24" s="96">
        <v>0.3333333333333333</v>
      </c>
      <c r="G24" s="96">
        <v>0.3333333333333333</v>
      </c>
      <c r="H24" s="97" t="s">
        <v>202</v>
      </c>
      <c r="I24" s="96">
        <v>0.3333333333333333</v>
      </c>
      <c r="J24" s="96">
        <v>0.3333333333333333</v>
      </c>
      <c r="K24" s="42"/>
      <c r="L24" s="82">
        <v>0.3333333333333333</v>
      </c>
      <c r="M24" s="82">
        <v>0.3333333333333333</v>
      </c>
      <c r="N24" s="82">
        <v>0.3333333333333333</v>
      </c>
      <c r="O24" s="82">
        <v>0.3333333333333333</v>
      </c>
      <c r="P24" s="82">
        <v>0.3333333333333333</v>
      </c>
      <c r="Q24" s="45" t="s">
        <v>202</v>
      </c>
      <c r="R24" s="43"/>
      <c r="S24" s="82">
        <v>0.3333333333333333</v>
      </c>
      <c r="T24" s="82">
        <v>0.3333333333333333</v>
      </c>
      <c r="U24" s="82">
        <v>0.3333333333333333</v>
      </c>
      <c r="V24" s="82">
        <v>0.3333333333333333</v>
      </c>
      <c r="W24" s="82">
        <v>0.3333333333333333</v>
      </c>
      <c r="X24" s="45" t="s">
        <v>202</v>
      </c>
      <c r="Y24" s="43"/>
      <c r="Z24" s="82">
        <v>0.3333333333333333</v>
      </c>
      <c r="AA24" s="82">
        <v>0.3333333333333333</v>
      </c>
      <c r="AB24" s="82">
        <v>0.3333333333333333</v>
      </c>
      <c r="AC24" s="82">
        <v>0.3333333333333333</v>
      </c>
      <c r="AD24" s="82">
        <v>0.3333333333333333</v>
      </c>
      <c r="AE24" s="45" t="s">
        <v>202</v>
      </c>
      <c r="AF24" s="84"/>
      <c r="AG24" s="82">
        <v>0.3333333333333333</v>
      </c>
      <c r="AH24" s="82">
        <v>0.3333333333333333</v>
      </c>
      <c r="AI24" s="82">
        <v>0.3333333333333333</v>
      </c>
      <c r="AJ24" s="82">
        <v>0.3333333333333333</v>
      </c>
      <c r="AK24" s="82">
        <v>0.3333333333333333</v>
      </c>
      <c r="AL24" s="45" t="s">
        <v>202</v>
      </c>
      <c r="AM24" s="85"/>
    </row>
    <row r="25">
      <c r="A25" s="109" t="s">
        <v>158</v>
      </c>
      <c r="B25" s="80" t="str">
        <f t="array" ref="B25">XLOOKUP(A25,Roster!F:F,Roster!A:A,"",0)</f>
        <v>Edward Machado</v>
      </c>
      <c r="C25" s="80" t="str">
        <f t="array" ref="C25">XLOOKUP(A25,Roster!F:F,Roster!B:B,"",0)</f>
        <v>Ief Fabre</v>
      </c>
      <c r="D25" s="82"/>
      <c r="E25" s="96">
        <v>0.3333333333333333</v>
      </c>
      <c r="F25" s="96">
        <v>0.3333333333333333</v>
      </c>
      <c r="G25" s="96">
        <v>0.3333333333333333</v>
      </c>
      <c r="H25" s="96">
        <v>0.3333333333333333</v>
      </c>
      <c r="I25" s="96">
        <v>0.3333333333333333</v>
      </c>
      <c r="J25" s="97" t="s">
        <v>202</v>
      </c>
      <c r="K25" s="42"/>
      <c r="L25" s="81">
        <v>0.3333333333333333</v>
      </c>
      <c r="M25" s="81">
        <v>0.3333333333333333</v>
      </c>
      <c r="N25" s="81">
        <v>0.3333333333333333</v>
      </c>
      <c r="O25" s="82" t="s">
        <v>202</v>
      </c>
      <c r="P25" s="81">
        <v>0.3333333333333333</v>
      </c>
      <c r="Q25" s="81">
        <v>0.3333333333333333</v>
      </c>
      <c r="R25" s="83"/>
      <c r="S25" s="81">
        <v>0.3333333333333333</v>
      </c>
      <c r="T25" s="81">
        <v>0.3333333333333333</v>
      </c>
      <c r="U25" s="81">
        <v>0.3333333333333333</v>
      </c>
      <c r="V25" s="82" t="s">
        <v>202</v>
      </c>
      <c r="W25" s="81">
        <v>0.3333333333333333</v>
      </c>
      <c r="X25" s="81">
        <v>0.3333333333333333</v>
      </c>
      <c r="Y25" s="82"/>
      <c r="Z25" s="81">
        <v>0.3333333333333333</v>
      </c>
      <c r="AA25" s="81">
        <v>0.3333333333333333</v>
      </c>
      <c r="AB25" s="81">
        <v>0.3333333333333333</v>
      </c>
      <c r="AC25" s="82" t="s">
        <v>202</v>
      </c>
      <c r="AD25" s="81">
        <v>0.3333333333333333</v>
      </c>
      <c r="AE25" s="81">
        <v>0.3333333333333333</v>
      </c>
      <c r="AF25" s="84"/>
      <c r="AG25" s="81">
        <v>0.3333333333333333</v>
      </c>
      <c r="AH25" s="81">
        <v>0.3333333333333333</v>
      </c>
      <c r="AI25" s="81">
        <v>0.3333333333333333</v>
      </c>
      <c r="AJ25" s="82" t="s">
        <v>202</v>
      </c>
      <c r="AK25" s="81">
        <v>0.3333333333333333</v>
      </c>
      <c r="AL25" s="81">
        <v>0.3333333333333333</v>
      </c>
      <c r="AM25" s="85"/>
    </row>
    <row r="26">
      <c r="A26" s="103" t="s">
        <v>159</v>
      </c>
      <c r="B26" s="80" t="str">
        <f t="array" ref="B26">XLOOKUP(A26,Roster!F:F,Roster!A:A,"",0)</f>
        <v>Edward Machado</v>
      </c>
      <c r="C26" s="80" t="str">
        <f t="array" ref="C26">XLOOKUP(A26,Roster!F:F,Roster!B:B,"",0)</f>
        <v>Jeampierre Jaramillo</v>
      </c>
      <c r="D26" s="89" t="s">
        <v>201</v>
      </c>
      <c r="E26" s="105">
        <v>0.2916666666666667</v>
      </c>
      <c r="F26" s="105">
        <v>0.2916666666666667</v>
      </c>
      <c r="G26" s="105">
        <v>0.2916666666666667</v>
      </c>
      <c r="H26" s="97" t="s">
        <v>202</v>
      </c>
      <c r="I26" s="105">
        <v>0.2916666666666667</v>
      </c>
      <c r="J26" s="105">
        <v>0.2916666666666667</v>
      </c>
      <c r="K26" s="42"/>
      <c r="L26" s="82">
        <v>0.2916666666666667</v>
      </c>
      <c r="M26" s="82">
        <v>0.2916666666666667</v>
      </c>
      <c r="N26" s="82">
        <v>0.2916666666666667</v>
      </c>
      <c r="O26" s="82" t="s">
        <v>202</v>
      </c>
      <c r="P26" s="82">
        <v>0.2916666666666667</v>
      </c>
      <c r="Q26" s="82">
        <v>0.2916666666666667</v>
      </c>
      <c r="R26" s="91"/>
      <c r="S26" s="82">
        <v>0.2916666666666667</v>
      </c>
      <c r="T26" s="82">
        <v>0.2916666666666667</v>
      </c>
      <c r="U26" s="82">
        <v>0.2916666666666667</v>
      </c>
      <c r="V26" s="82" t="s">
        <v>202</v>
      </c>
      <c r="W26" s="82">
        <v>0.2916666666666667</v>
      </c>
      <c r="X26" s="82">
        <v>0.2916666666666667</v>
      </c>
      <c r="Y26" s="89"/>
      <c r="Z26" s="82">
        <v>0.2916666666666667</v>
      </c>
      <c r="AA26" s="82">
        <v>0.2916666666666667</v>
      </c>
      <c r="AB26" s="82">
        <v>0.2916666666666667</v>
      </c>
      <c r="AC26" s="82" t="s">
        <v>202</v>
      </c>
      <c r="AD26" s="82">
        <v>0.2916666666666667</v>
      </c>
      <c r="AE26" s="82">
        <v>0.2916666666666667</v>
      </c>
      <c r="AF26" s="84"/>
      <c r="AG26" s="82">
        <v>0.2916666666666667</v>
      </c>
      <c r="AH26" s="82">
        <v>0.2916666666666667</v>
      </c>
      <c r="AI26" s="82">
        <v>0.2916666666666667</v>
      </c>
      <c r="AJ26" s="82" t="s">
        <v>202</v>
      </c>
      <c r="AK26" s="82">
        <v>0.2916666666666667</v>
      </c>
      <c r="AL26" s="82">
        <v>0.2916666666666667</v>
      </c>
      <c r="AM26" s="85"/>
    </row>
    <row r="27">
      <c r="A27" s="45" t="s">
        <v>160</v>
      </c>
      <c r="B27" s="92" t="str">
        <f t="array" ref="B27">XLOOKUP(A27,Roster!F:F,Roster!A:A,"",0)</f>
        <v>Edward Machado</v>
      </c>
      <c r="C27" s="92" t="str">
        <f t="array" ref="C27">XLOOKUP(A27,Roster!F:F,Roster!B:B,"",0)</f>
        <v>Jose Perez</v>
      </c>
      <c r="D27" s="49" t="s">
        <v>201</v>
      </c>
      <c r="E27" s="95" t="s">
        <v>126</v>
      </c>
      <c r="F27" s="95" t="s">
        <v>126</v>
      </c>
      <c r="G27" s="95" t="s">
        <v>126</v>
      </c>
      <c r="H27" s="95" t="s">
        <v>126</v>
      </c>
      <c r="I27" s="95" t="s">
        <v>126</v>
      </c>
      <c r="J27" s="95" t="s">
        <v>126</v>
      </c>
      <c r="K27" s="42"/>
      <c r="L27" s="95" t="s">
        <v>126</v>
      </c>
      <c r="M27" s="95" t="s">
        <v>126</v>
      </c>
      <c r="N27" s="95" t="s">
        <v>126</v>
      </c>
      <c r="O27" s="95" t="s">
        <v>126</v>
      </c>
      <c r="P27" s="95" t="s">
        <v>126</v>
      </c>
      <c r="Q27" s="95" t="s">
        <v>126</v>
      </c>
      <c r="R27" s="83"/>
      <c r="S27" s="95" t="s">
        <v>126</v>
      </c>
      <c r="T27" s="82">
        <v>0.25</v>
      </c>
      <c r="U27" s="82">
        <v>0.25</v>
      </c>
      <c r="V27" s="82">
        <v>0.25</v>
      </c>
      <c r="W27" s="82">
        <v>0.25</v>
      </c>
      <c r="X27" s="82" t="s">
        <v>202</v>
      </c>
      <c r="Y27" s="82"/>
      <c r="Z27" s="81">
        <v>0.25</v>
      </c>
      <c r="AA27" s="82">
        <v>0.25</v>
      </c>
      <c r="AB27" s="82">
        <v>0.25</v>
      </c>
      <c r="AC27" s="82">
        <v>0.25</v>
      </c>
      <c r="AD27" s="82">
        <v>0.25</v>
      </c>
      <c r="AE27" s="82" t="s">
        <v>202</v>
      </c>
      <c r="AF27" s="84"/>
      <c r="AG27" s="81">
        <v>0.25</v>
      </c>
      <c r="AH27" s="82">
        <v>0.25</v>
      </c>
      <c r="AI27" s="82">
        <v>0.25</v>
      </c>
      <c r="AJ27" s="82">
        <v>0.25</v>
      </c>
      <c r="AK27" s="82">
        <v>0.25</v>
      </c>
      <c r="AL27" s="82" t="s">
        <v>202</v>
      </c>
      <c r="AM27" s="85"/>
    </row>
    <row r="28">
      <c r="A28" s="88" t="s">
        <v>161</v>
      </c>
      <c r="B28" s="80" t="str">
        <f t="array" ref="B28">XLOOKUP(A28,Roster!F:F,Roster!A:A,"",0)</f>
        <v>Edward Machado</v>
      </c>
      <c r="C28" s="80" t="str">
        <f t="array" ref="C28">XLOOKUP(A28,Roster!F:F,Roster!B:B,"",0)</f>
        <v>Jose Zapata</v>
      </c>
      <c r="D28" s="89"/>
      <c r="E28" s="96">
        <v>0.3333333333333333</v>
      </c>
      <c r="F28" s="96">
        <v>0.3333333333333333</v>
      </c>
      <c r="G28" s="96">
        <v>0.3333333333333333</v>
      </c>
      <c r="H28" s="96">
        <v>0.3333333333333333</v>
      </c>
      <c r="I28" s="110" t="s">
        <v>202</v>
      </c>
      <c r="J28" s="96">
        <v>0.3333333333333333</v>
      </c>
      <c r="K28" s="42"/>
      <c r="L28" s="82">
        <v>0.3333333333333333</v>
      </c>
      <c r="M28" s="82">
        <v>0.3333333333333333</v>
      </c>
      <c r="N28" s="82">
        <v>0.3333333333333333</v>
      </c>
      <c r="O28" s="82">
        <v>0.3333333333333333</v>
      </c>
      <c r="P28" s="45" t="s">
        <v>202</v>
      </c>
      <c r="Q28" s="82">
        <v>0.3333333333333333</v>
      </c>
      <c r="R28" s="91"/>
      <c r="S28" s="82">
        <v>0.3333333333333333</v>
      </c>
      <c r="T28" s="82">
        <v>0.3333333333333333</v>
      </c>
      <c r="U28" s="82">
        <v>0.3333333333333333</v>
      </c>
      <c r="V28" s="82">
        <v>0.3333333333333333</v>
      </c>
      <c r="W28" s="45" t="s">
        <v>202</v>
      </c>
      <c r="X28" s="82">
        <v>0.3333333333333333</v>
      </c>
      <c r="Y28" s="89"/>
      <c r="Z28" s="82">
        <v>0.3333333333333333</v>
      </c>
      <c r="AA28" s="82">
        <v>0.3333333333333333</v>
      </c>
      <c r="AB28" s="82">
        <v>0.3333333333333333</v>
      </c>
      <c r="AC28" s="82">
        <v>0.3333333333333333</v>
      </c>
      <c r="AD28" s="45" t="s">
        <v>202</v>
      </c>
      <c r="AE28" s="82">
        <v>0.3333333333333333</v>
      </c>
      <c r="AF28" s="84"/>
      <c r="AG28" s="82">
        <v>0.3333333333333333</v>
      </c>
      <c r="AH28" s="82">
        <v>0.3333333333333333</v>
      </c>
      <c r="AI28" s="82">
        <v>0.3333333333333333</v>
      </c>
      <c r="AJ28" s="82">
        <v>0.3333333333333333</v>
      </c>
      <c r="AK28" s="45" t="s">
        <v>202</v>
      </c>
      <c r="AL28" s="82">
        <v>0.3333333333333333</v>
      </c>
      <c r="AM28" s="85"/>
    </row>
    <row r="29">
      <c r="A29" s="109" t="s">
        <v>162</v>
      </c>
      <c r="B29" s="80" t="str">
        <f t="array" ref="B29">XLOOKUP(A29,Roster!F:F,Roster!A:A,"",0)</f>
        <v>Edward Machado</v>
      </c>
      <c r="C29" s="80" t="str">
        <f t="array" ref="C29">XLOOKUP(A29,Roster!F:F,Roster!B:B,"",0)</f>
        <v>Juan Durango</v>
      </c>
      <c r="D29" s="82"/>
      <c r="E29" s="96">
        <v>0.3333333333333333</v>
      </c>
      <c r="F29" s="96">
        <v>0.3333333333333333</v>
      </c>
      <c r="G29" s="96">
        <v>0.3333333333333333</v>
      </c>
      <c r="H29" s="110" t="s">
        <v>202</v>
      </c>
      <c r="I29" s="96">
        <v>0.3333333333333333</v>
      </c>
      <c r="J29" s="96">
        <v>0.3333333333333333</v>
      </c>
      <c r="K29" s="42"/>
      <c r="L29" s="82">
        <v>0.3333333333333333</v>
      </c>
      <c r="M29" s="82">
        <v>0.3333333333333333</v>
      </c>
      <c r="N29" s="82">
        <v>0.3333333333333333</v>
      </c>
      <c r="O29" s="82">
        <v>0.3333333333333333</v>
      </c>
      <c r="P29" s="82">
        <v>0.3333333333333333</v>
      </c>
      <c r="Q29" s="45" t="s">
        <v>202</v>
      </c>
      <c r="R29" s="83"/>
      <c r="S29" s="82">
        <v>0.3333333333333333</v>
      </c>
      <c r="T29" s="82">
        <v>0.3333333333333333</v>
      </c>
      <c r="U29" s="82">
        <v>0.3333333333333333</v>
      </c>
      <c r="V29" s="82">
        <v>0.3333333333333333</v>
      </c>
      <c r="W29" s="82">
        <v>0.3333333333333333</v>
      </c>
      <c r="X29" s="45" t="s">
        <v>202</v>
      </c>
      <c r="Y29" s="82"/>
      <c r="Z29" s="82">
        <v>0.3333333333333333</v>
      </c>
      <c r="AA29" s="82">
        <v>0.3333333333333333</v>
      </c>
      <c r="AB29" s="82">
        <v>0.3333333333333333</v>
      </c>
      <c r="AC29" s="82">
        <v>0.3333333333333333</v>
      </c>
      <c r="AD29" s="82">
        <v>0.3333333333333333</v>
      </c>
      <c r="AE29" s="45" t="s">
        <v>202</v>
      </c>
      <c r="AF29" s="84"/>
      <c r="AG29" s="82">
        <v>0.3333333333333333</v>
      </c>
      <c r="AH29" s="82">
        <v>0.3333333333333333</v>
      </c>
      <c r="AI29" s="82">
        <v>0.3333333333333333</v>
      </c>
      <c r="AJ29" s="82">
        <v>0.3333333333333333</v>
      </c>
      <c r="AK29" s="82">
        <v>0.3333333333333333</v>
      </c>
      <c r="AL29" s="45" t="s">
        <v>202</v>
      </c>
      <c r="AM29" s="85"/>
    </row>
    <row r="30">
      <c r="A30" s="45" t="s">
        <v>163</v>
      </c>
      <c r="B30" s="80" t="str">
        <f t="array" ref="B30">XLOOKUP(A30,Roster!F:F,Roster!A:A,"",0)</f>
        <v>Edward Machado</v>
      </c>
      <c r="C30" s="80" t="str">
        <f t="array" ref="C30">XLOOKUP(A30,Roster!F:F,Roster!B:B,"",0)</f>
        <v>Juan Restrepo</v>
      </c>
      <c r="D30" s="89"/>
      <c r="E30" s="96">
        <v>0.3333333333333333</v>
      </c>
      <c r="F30" s="96">
        <v>0.3333333333333333</v>
      </c>
      <c r="G30" s="96">
        <v>0.3333333333333333</v>
      </c>
      <c r="H30" s="96">
        <v>0.3333333333333333</v>
      </c>
      <c r="I30" s="96">
        <v>0.3333333333333333</v>
      </c>
      <c r="J30" s="97" t="s">
        <v>202</v>
      </c>
      <c r="K30" s="42"/>
      <c r="L30" s="81">
        <v>0.2916666666666667</v>
      </c>
      <c r="M30" s="82" t="s">
        <v>202</v>
      </c>
      <c r="N30" s="81">
        <v>0.2916666666666667</v>
      </c>
      <c r="O30" s="81">
        <v>0.2916666666666667</v>
      </c>
      <c r="P30" s="81">
        <v>0.2916666666666667</v>
      </c>
      <c r="Q30" s="81">
        <v>0.2916666666666667</v>
      </c>
      <c r="R30" s="91"/>
      <c r="S30" s="81">
        <v>0.2916666666666667</v>
      </c>
      <c r="T30" s="82" t="s">
        <v>202</v>
      </c>
      <c r="U30" s="81">
        <v>0.2916666666666667</v>
      </c>
      <c r="V30" s="81">
        <v>0.2916666666666667</v>
      </c>
      <c r="W30" s="81">
        <v>0.2916666666666667</v>
      </c>
      <c r="X30" s="81">
        <v>0.2916666666666667</v>
      </c>
      <c r="Y30" s="89"/>
      <c r="Z30" s="81">
        <v>0.2916666666666667</v>
      </c>
      <c r="AA30" s="82" t="s">
        <v>202</v>
      </c>
      <c r="AB30" s="81">
        <v>0.2916666666666667</v>
      </c>
      <c r="AC30" s="81">
        <v>0.2916666666666667</v>
      </c>
      <c r="AD30" s="81">
        <v>0.2916666666666667</v>
      </c>
      <c r="AE30" s="81">
        <v>0.2916666666666667</v>
      </c>
      <c r="AF30" s="84"/>
      <c r="AG30" s="81">
        <v>0.2916666666666667</v>
      </c>
      <c r="AH30" s="82" t="s">
        <v>202</v>
      </c>
      <c r="AI30" s="81">
        <v>0.2916666666666667</v>
      </c>
      <c r="AJ30" s="81">
        <v>0.2916666666666667</v>
      </c>
      <c r="AK30" s="81">
        <v>0.2916666666666667</v>
      </c>
      <c r="AL30" s="81">
        <v>0.2916666666666667</v>
      </c>
      <c r="AM30" s="85"/>
    </row>
    <row r="31">
      <c r="A31" s="103" t="s">
        <v>164</v>
      </c>
      <c r="B31" s="80" t="str">
        <f t="array" ref="B31">XLOOKUP(A31,Roster!F:F,Roster!A:A,"",0)</f>
        <v>Edward Machado</v>
      </c>
      <c r="C31" s="80" t="str">
        <f t="array" ref="C31">XLOOKUP(A31,Roster!F:F,Roster!B:B,"",0)</f>
        <v>Juan Suarez</v>
      </c>
      <c r="D31" s="82"/>
      <c r="E31" s="82">
        <v>0.3541666666666667</v>
      </c>
      <c r="F31" s="82">
        <v>0.3541666666666667</v>
      </c>
      <c r="G31" s="97" t="s">
        <v>202</v>
      </c>
      <c r="H31" s="82">
        <v>0.3541666666666667</v>
      </c>
      <c r="I31" s="82">
        <v>0.3541666666666667</v>
      </c>
      <c r="J31" s="82">
        <v>0.3541666666666667</v>
      </c>
      <c r="K31" s="42"/>
      <c r="L31" s="81">
        <v>0.3541666666666667</v>
      </c>
      <c r="M31" s="82" t="s">
        <v>202</v>
      </c>
      <c r="N31" s="81">
        <v>0.3541666666666667</v>
      </c>
      <c r="O31" s="81">
        <v>0.3541666666666667</v>
      </c>
      <c r="P31" s="81">
        <v>0.3541666666666667</v>
      </c>
      <c r="Q31" s="95" t="s">
        <v>126</v>
      </c>
      <c r="R31" s="83"/>
      <c r="S31" s="95" t="s">
        <v>126</v>
      </c>
      <c r="T31" s="95" t="s">
        <v>126</v>
      </c>
      <c r="U31" s="95" t="s">
        <v>126</v>
      </c>
      <c r="V31" s="95" t="s">
        <v>126</v>
      </c>
      <c r="W31" s="95" t="s">
        <v>126</v>
      </c>
      <c r="X31" s="95" t="s">
        <v>126</v>
      </c>
      <c r="Y31" s="82"/>
      <c r="Z31" s="95" t="s">
        <v>126</v>
      </c>
      <c r="AA31" s="95" t="s">
        <v>126</v>
      </c>
      <c r="AB31" s="95" t="s">
        <v>126</v>
      </c>
      <c r="AC31" s="95" t="s">
        <v>126</v>
      </c>
      <c r="AD31" s="95" t="s">
        <v>126</v>
      </c>
      <c r="AE31" s="95" t="s">
        <v>126</v>
      </c>
      <c r="AF31" s="84"/>
      <c r="AG31" s="81">
        <v>0.3541666666666667</v>
      </c>
      <c r="AH31" s="82" t="s">
        <v>202</v>
      </c>
      <c r="AI31" s="81">
        <v>0.3541666666666667</v>
      </c>
      <c r="AJ31" s="81">
        <v>0.3541666666666667</v>
      </c>
      <c r="AK31" s="81">
        <v>0.3541666666666667</v>
      </c>
      <c r="AL31" s="81">
        <v>0.3541666666666667</v>
      </c>
      <c r="AM31" s="85"/>
    </row>
    <row r="32">
      <c r="A32" s="103" t="s">
        <v>165</v>
      </c>
      <c r="B32" s="111" t="str">
        <f t="array" ref="B32">XLOOKUP(A32,Roster!F:F,Roster!A:A,"",0)</f>
        <v>Edward Machado</v>
      </c>
      <c r="C32" s="94" t="str">
        <f t="array" ref="C32">XLOOKUP(A32,Roster!F:F,Roster!B:B,"",0)</f>
        <v>Luisa Arenas</v>
      </c>
      <c r="D32" s="45" t="s">
        <v>201</v>
      </c>
      <c r="E32" s="96">
        <v>0.3333333333333333</v>
      </c>
      <c r="F32" s="96">
        <v>0.3333333333333333</v>
      </c>
      <c r="G32" s="96">
        <v>0.3333333333333333</v>
      </c>
      <c r="H32" s="96">
        <v>0.3333333333333333</v>
      </c>
      <c r="I32" s="96">
        <v>0.3333333333333333</v>
      </c>
      <c r="J32" s="97" t="s">
        <v>202</v>
      </c>
      <c r="K32" s="42"/>
      <c r="L32" s="81">
        <v>0.3333333333333333</v>
      </c>
      <c r="M32" s="81">
        <v>0.3333333333333333</v>
      </c>
      <c r="N32" s="81">
        <v>0.3333333333333333</v>
      </c>
      <c r="O32" s="81">
        <v>0.3333333333333333</v>
      </c>
      <c r="P32" s="81">
        <v>0.3333333333333333</v>
      </c>
      <c r="Q32" s="82" t="s">
        <v>202</v>
      </c>
      <c r="R32" s="83"/>
      <c r="S32" s="81">
        <v>0.3333333333333333</v>
      </c>
      <c r="T32" s="81">
        <v>0.3333333333333333</v>
      </c>
      <c r="U32" s="81">
        <v>0.3333333333333333</v>
      </c>
      <c r="V32" s="81">
        <v>0.3333333333333333</v>
      </c>
      <c r="W32" s="81">
        <v>0.3333333333333333</v>
      </c>
      <c r="X32" s="82" t="s">
        <v>202</v>
      </c>
      <c r="Y32" s="82"/>
      <c r="Z32" s="81">
        <v>0.3333333333333333</v>
      </c>
      <c r="AA32" s="81">
        <v>0.3333333333333333</v>
      </c>
      <c r="AB32" s="81">
        <v>0.3333333333333333</v>
      </c>
      <c r="AC32" s="81">
        <v>0.3333333333333333</v>
      </c>
      <c r="AD32" s="81">
        <v>0.3333333333333333</v>
      </c>
      <c r="AE32" s="82" t="s">
        <v>202</v>
      </c>
      <c r="AF32" s="84"/>
      <c r="AG32" s="81">
        <v>0.3333333333333333</v>
      </c>
      <c r="AH32" s="81">
        <v>0.3333333333333333</v>
      </c>
      <c r="AI32" s="81">
        <v>0.3333333333333333</v>
      </c>
      <c r="AJ32" s="81">
        <v>0.3333333333333333</v>
      </c>
      <c r="AK32" s="81">
        <v>0.3333333333333333</v>
      </c>
      <c r="AL32" s="82" t="s">
        <v>202</v>
      </c>
      <c r="AM32" s="85"/>
    </row>
    <row r="33">
      <c r="A33" s="89" t="s">
        <v>166</v>
      </c>
      <c r="B33" s="80" t="str">
        <f t="array" ref="B33">XLOOKUP(A33,Roster!F:F,Roster!A:A,"",0)</f>
        <v>Edward Machado</v>
      </c>
      <c r="C33" s="80" t="str">
        <f t="array" ref="C33">XLOOKUP(A33,Roster!F:F,Roster!B:B,"",0)</f>
        <v>Mateo Agudelo</v>
      </c>
      <c r="D33" s="82"/>
      <c r="E33" s="96">
        <v>0.3333333333333333</v>
      </c>
      <c r="F33" s="112" t="s">
        <v>202</v>
      </c>
      <c r="G33" s="96">
        <v>0.3333333333333333</v>
      </c>
      <c r="H33" s="96">
        <v>0.3333333333333333</v>
      </c>
      <c r="I33" s="96">
        <v>0.3333333333333333</v>
      </c>
      <c r="J33" s="96">
        <v>0.3333333333333333</v>
      </c>
      <c r="K33" s="42"/>
      <c r="L33" s="81">
        <v>0.3333333333333333</v>
      </c>
      <c r="M33" s="82" t="s">
        <v>202</v>
      </c>
      <c r="N33" s="81">
        <v>0.3333333333333333</v>
      </c>
      <c r="O33" s="81">
        <v>0.3333333333333333</v>
      </c>
      <c r="P33" s="81">
        <v>0.3333333333333333</v>
      </c>
      <c r="Q33" s="81">
        <v>0.3333333333333333</v>
      </c>
      <c r="R33" s="83"/>
      <c r="S33" s="81">
        <v>0.3333333333333333</v>
      </c>
      <c r="T33" s="82" t="s">
        <v>202</v>
      </c>
      <c r="U33" s="81">
        <v>0.3333333333333333</v>
      </c>
      <c r="V33" s="81">
        <v>0.3333333333333333</v>
      </c>
      <c r="W33" s="81">
        <v>0.3333333333333333</v>
      </c>
      <c r="X33" s="81">
        <v>0.3333333333333333</v>
      </c>
      <c r="Y33" s="82"/>
      <c r="Z33" s="81">
        <v>0.3333333333333333</v>
      </c>
      <c r="AA33" s="82" t="s">
        <v>202</v>
      </c>
      <c r="AB33" s="81">
        <v>0.3333333333333333</v>
      </c>
      <c r="AC33" s="81">
        <v>0.3333333333333333</v>
      </c>
      <c r="AD33" s="81">
        <v>0.3333333333333333</v>
      </c>
      <c r="AE33" s="95" t="s">
        <v>126</v>
      </c>
      <c r="AF33" s="84"/>
      <c r="AG33" s="95" t="s">
        <v>126</v>
      </c>
      <c r="AH33" s="95" t="s">
        <v>126</v>
      </c>
      <c r="AI33" s="95" t="s">
        <v>126</v>
      </c>
      <c r="AJ33" s="95" t="s">
        <v>126</v>
      </c>
      <c r="AK33" s="95" t="s">
        <v>126</v>
      </c>
      <c r="AL33" s="95" t="s">
        <v>126</v>
      </c>
      <c r="AM33" s="85"/>
    </row>
    <row r="34">
      <c r="A34" s="109" t="s">
        <v>167</v>
      </c>
      <c r="B34" s="80" t="str">
        <f t="array" ref="B34">XLOOKUP(A34,Roster!F:F,Roster!A:A,"",0)</f>
        <v>Edward Machado</v>
      </c>
      <c r="C34" s="80" t="str">
        <f t="array" ref="C34">XLOOKUP(A34,Roster!F:F,Roster!B:B,"",0)</f>
        <v>Nelson Londono</v>
      </c>
      <c r="D34" s="82"/>
      <c r="E34" s="96">
        <v>0.3333333333333333</v>
      </c>
      <c r="F34" s="110" t="s">
        <v>202</v>
      </c>
      <c r="G34" s="96">
        <v>0.3333333333333333</v>
      </c>
      <c r="H34" s="96">
        <v>0.3333333333333333</v>
      </c>
      <c r="I34" s="96">
        <v>0.3333333333333333</v>
      </c>
      <c r="J34" s="96">
        <v>0.3333333333333333</v>
      </c>
      <c r="K34" s="42"/>
      <c r="L34" s="81">
        <v>0.2916666666666667</v>
      </c>
      <c r="M34" s="81">
        <v>0.2916666666666667</v>
      </c>
      <c r="N34" s="81">
        <v>0.2916666666666667</v>
      </c>
      <c r="O34" s="81">
        <v>0.2916666666666667</v>
      </c>
      <c r="P34" s="81">
        <v>0.2916666666666667</v>
      </c>
      <c r="Q34" s="45" t="s">
        <v>202</v>
      </c>
      <c r="R34" s="83"/>
      <c r="S34" s="81">
        <v>0.2916666666666667</v>
      </c>
      <c r="T34" s="81">
        <v>0.2916666666666667</v>
      </c>
      <c r="U34" s="81">
        <v>0.2916666666666667</v>
      </c>
      <c r="V34" s="81">
        <v>0.2916666666666667</v>
      </c>
      <c r="W34" s="81">
        <v>0.2916666666666667</v>
      </c>
      <c r="X34" s="45" t="s">
        <v>202</v>
      </c>
      <c r="Y34" s="82"/>
      <c r="Z34" s="81">
        <v>0.2916666666666667</v>
      </c>
      <c r="AA34" s="81">
        <v>0.2916666666666667</v>
      </c>
      <c r="AB34" s="81">
        <v>0.2916666666666667</v>
      </c>
      <c r="AC34" s="81">
        <v>0.2916666666666667</v>
      </c>
      <c r="AD34" s="81">
        <v>0.2916666666666667</v>
      </c>
      <c r="AE34" s="45" t="s">
        <v>202</v>
      </c>
      <c r="AF34" s="84"/>
      <c r="AG34" s="81">
        <v>0.2916666666666667</v>
      </c>
      <c r="AH34" s="81">
        <v>0.2916666666666667</v>
      </c>
      <c r="AI34" s="81">
        <v>0.2916666666666667</v>
      </c>
      <c r="AJ34" s="81">
        <v>0.2916666666666667</v>
      </c>
      <c r="AK34" s="81">
        <v>0.2916666666666667</v>
      </c>
      <c r="AL34" s="45" t="s">
        <v>202</v>
      </c>
      <c r="AM34" s="85"/>
    </row>
    <row r="35">
      <c r="A35" s="103" t="s">
        <v>168</v>
      </c>
      <c r="B35" s="80" t="str">
        <f t="array" ref="B35">XLOOKUP(A35,Roster!F:F,Roster!A:A,"",0)</f>
        <v>Edward Machado</v>
      </c>
      <c r="C35" s="80" t="str">
        <f t="array" ref="C35">XLOOKUP(A35,Roster!F:F,Roster!B:B,"",0)</f>
        <v>Samuel Acevedo</v>
      </c>
      <c r="D35" s="45"/>
      <c r="E35" s="96">
        <v>0.3333333333333333</v>
      </c>
      <c r="F35" s="110" t="s">
        <v>202</v>
      </c>
      <c r="G35" s="96">
        <v>0.3333333333333333</v>
      </c>
      <c r="H35" s="96">
        <v>0.3333333333333333</v>
      </c>
      <c r="I35" s="96">
        <v>0.3333333333333333</v>
      </c>
      <c r="J35" s="96">
        <v>0.3333333333333333</v>
      </c>
      <c r="K35" s="42"/>
      <c r="L35" s="82">
        <v>0.3333333333333333</v>
      </c>
      <c r="M35" s="82">
        <v>0.3333333333333333</v>
      </c>
      <c r="N35" s="82">
        <v>0.3333333333333333</v>
      </c>
      <c r="O35" s="82">
        <v>0.3333333333333333</v>
      </c>
      <c r="P35" s="82">
        <v>0.3333333333333333</v>
      </c>
      <c r="Q35" s="45" t="s">
        <v>202</v>
      </c>
      <c r="R35" s="91"/>
      <c r="S35" s="82">
        <v>0.3333333333333333</v>
      </c>
      <c r="T35" s="82">
        <v>0.3333333333333333</v>
      </c>
      <c r="U35" s="82">
        <v>0.3333333333333333</v>
      </c>
      <c r="V35" s="82">
        <v>0.3333333333333333</v>
      </c>
      <c r="W35" s="82">
        <v>0.3333333333333333</v>
      </c>
      <c r="X35" s="45" t="s">
        <v>202</v>
      </c>
      <c r="Y35" s="89"/>
      <c r="Z35" s="82">
        <v>0.3333333333333333</v>
      </c>
      <c r="AA35" s="82">
        <v>0.3333333333333333</v>
      </c>
      <c r="AB35" s="82">
        <v>0.3333333333333333</v>
      </c>
      <c r="AC35" s="82">
        <v>0.3333333333333333</v>
      </c>
      <c r="AD35" s="82">
        <v>0.3333333333333333</v>
      </c>
      <c r="AE35" s="95" t="s">
        <v>126</v>
      </c>
      <c r="AF35" s="84"/>
      <c r="AG35" s="95" t="s">
        <v>126</v>
      </c>
      <c r="AH35" s="95" t="s">
        <v>126</v>
      </c>
      <c r="AI35" s="95" t="s">
        <v>126</v>
      </c>
      <c r="AJ35" s="95" t="s">
        <v>126</v>
      </c>
      <c r="AK35" s="95" t="s">
        <v>126</v>
      </c>
      <c r="AL35" s="95" t="s">
        <v>126</v>
      </c>
      <c r="AM35" s="85"/>
    </row>
    <row r="36">
      <c r="A36" s="109" t="s">
        <v>169</v>
      </c>
      <c r="B36" s="80" t="str">
        <f t="array" ref="B36">XLOOKUP(A36,Roster!F:F,Roster!A:A,"",0)</f>
        <v>Edward Machado</v>
      </c>
      <c r="C36" s="80" t="str">
        <f t="array" ref="C36">XLOOKUP(A36,Roster!F:F,Roster!B:B,"",0)</f>
        <v>Sebastian Parra</v>
      </c>
      <c r="D36" s="82"/>
      <c r="E36" s="95" t="s">
        <v>126</v>
      </c>
      <c r="F36" s="95" t="s">
        <v>126</v>
      </c>
      <c r="G36" s="95" t="s">
        <v>126</v>
      </c>
      <c r="H36" s="95" t="s">
        <v>126</v>
      </c>
      <c r="I36" s="95" t="s">
        <v>126</v>
      </c>
      <c r="J36" s="95" t="s">
        <v>126</v>
      </c>
      <c r="K36" s="42"/>
      <c r="L36" s="82">
        <v>0.3333333333333333</v>
      </c>
      <c r="M36" s="82" t="s">
        <v>202</v>
      </c>
      <c r="N36" s="82">
        <v>0.3333333333333333</v>
      </c>
      <c r="O36" s="82">
        <v>0.3333333333333333</v>
      </c>
      <c r="P36" s="82">
        <v>0.3333333333333333</v>
      </c>
      <c r="Q36" s="82">
        <v>0.3333333333333333</v>
      </c>
      <c r="R36" s="83"/>
      <c r="S36" s="82">
        <v>0.3333333333333333</v>
      </c>
      <c r="T36" s="82" t="s">
        <v>202</v>
      </c>
      <c r="U36" s="82">
        <v>0.3333333333333333</v>
      </c>
      <c r="V36" s="82">
        <v>0.3333333333333333</v>
      </c>
      <c r="W36" s="82">
        <v>0.3333333333333333</v>
      </c>
      <c r="X36" s="82">
        <v>0.3333333333333333</v>
      </c>
      <c r="Y36" s="82"/>
      <c r="Z36" s="82">
        <v>0.3333333333333333</v>
      </c>
      <c r="AA36" s="82" t="s">
        <v>202</v>
      </c>
      <c r="AB36" s="82">
        <v>0.3333333333333333</v>
      </c>
      <c r="AC36" s="82">
        <v>0.3333333333333333</v>
      </c>
      <c r="AD36" s="82">
        <v>0.3333333333333333</v>
      </c>
      <c r="AE36" s="82">
        <v>0.3333333333333333</v>
      </c>
      <c r="AF36" s="84"/>
      <c r="AG36" s="82">
        <v>0.3333333333333333</v>
      </c>
      <c r="AH36" s="82" t="s">
        <v>202</v>
      </c>
      <c r="AI36" s="82">
        <v>0.3333333333333333</v>
      </c>
      <c r="AJ36" s="82">
        <v>0.3333333333333333</v>
      </c>
      <c r="AK36" s="82">
        <v>0.3333333333333333</v>
      </c>
      <c r="AL36" s="82">
        <v>0.3333333333333333</v>
      </c>
      <c r="AM36" s="85"/>
    </row>
    <row r="37">
      <c r="A37" s="103" t="s">
        <v>170</v>
      </c>
      <c r="B37" s="80" t="str">
        <f t="array" ref="B37">XLOOKUP(A37,Roster!F:F,Roster!A:A,"",0)</f>
        <v>Edward Machado</v>
      </c>
      <c r="C37" s="80" t="str">
        <f t="array" ref="C37">XLOOKUP(A37,Roster!F:F,Roster!B:B,"",0)</f>
        <v>Sebastian Torres</v>
      </c>
      <c r="D37" s="45" t="s">
        <v>201</v>
      </c>
      <c r="E37" s="96">
        <v>0.3333333333333333</v>
      </c>
      <c r="F37" s="96">
        <v>0.3333333333333333</v>
      </c>
      <c r="G37" s="96">
        <v>0.3333333333333333</v>
      </c>
      <c r="H37" s="97" t="s">
        <v>202</v>
      </c>
      <c r="I37" s="96">
        <v>0.3333333333333333</v>
      </c>
      <c r="J37" s="96">
        <v>0.3333333333333333</v>
      </c>
      <c r="K37" s="42"/>
      <c r="L37" s="81">
        <v>0.3333333333333333</v>
      </c>
      <c r="M37" s="81">
        <v>0.3333333333333333</v>
      </c>
      <c r="N37" s="81">
        <v>0.3333333333333333</v>
      </c>
      <c r="O37" s="82" t="s">
        <v>202</v>
      </c>
      <c r="P37" s="81">
        <v>0.3333333333333333</v>
      </c>
      <c r="Q37" s="81">
        <v>0.3333333333333333</v>
      </c>
      <c r="R37" s="83"/>
      <c r="S37" s="81">
        <v>0.3333333333333333</v>
      </c>
      <c r="T37" s="81">
        <v>0.3333333333333333</v>
      </c>
      <c r="U37" s="81">
        <v>0.3333333333333333</v>
      </c>
      <c r="V37" s="82" t="s">
        <v>202</v>
      </c>
      <c r="W37" s="81">
        <v>0.3333333333333333</v>
      </c>
      <c r="X37" s="81">
        <v>0.3333333333333333</v>
      </c>
      <c r="Y37" s="82"/>
      <c r="Z37" s="81">
        <v>0.3333333333333333</v>
      </c>
      <c r="AA37" s="81">
        <v>0.3333333333333333</v>
      </c>
      <c r="AB37" s="81">
        <v>0.3333333333333333</v>
      </c>
      <c r="AC37" s="82" t="s">
        <v>202</v>
      </c>
      <c r="AD37" s="81">
        <v>0.3333333333333333</v>
      </c>
      <c r="AE37" s="81">
        <v>0.3333333333333333</v>
      </c>
      <c r="AF37" s="84"/>
      <c r="AG37" s="81">
        <v>0.3333333333333333</v>
      </c>
      <c r="AH37" s="81">
        <v>0.3333333333333333</v>
      </c>
      <c r="AI37" s="81">
        <v>0.3333333333333333</v>
      </c>
      <c r="AJ37" s="82" t="s">
        <v>202</v>
      </c>
      <c r="AK37" s="81">
        <v>0.3333333333333333</v>
      </c>
      <c r="AL37" s="81">
        <v>0.3333333333333333</v>
      </c>
      <c r="AM37" s="85"/>
    </row>
    <row r="38">
      <c r="A38" s="103" t="s">
        <v>171</v>
      </c>
      <c r="B38" s="80" t="str">
        <f t="array" ref="B38">XLOOKUP(A38,Roster!F:F,Roster!A:A,"",0)</f>
        <v>Luis Vidal</v>
      </c>
      <c r="C38" s="80" t="str">
        <f t="array" ref="C38">XLOOKUP(A38,Roster!F:F,Roster!B:B,"",0)</f>
        <v>Ana Ruiz</v>
      </c>
      <c r="D38" s="82"/>
      <c r="E38" s="96">
        <v>0.3333333333333333</v>
      </c>
      <c r="F38" s="96">
        <v>0.3333333333333333</v>
      </c>
      <c r="G38" s="96">
        <v>0.3333333333333333</v>
      </c>
      <c r="H38" s="96">
        <v>0.3333333333333333</v>
      </c>
      <c r="I38" s="96">
        <v>0.3333333333333333</v>
      </c>
      <c r="J38" s="97" t="s">
        <v>202</v>
      </c>
      <c r="K38" s="42"/>
      <c r="L38" s="81">
        <v>0.3333333333333333</v>
      </c>
      <c r="M38" s="81">
        <v>0.3333333333333333</v>
      </c>
      <c r="N38" s="82" t="s">
        <v>202</v>
      </c>
      <c r="O38" s="81">
        <v>0.3333333333333333</v>
      </c>
      <c r="P38" s="81">
        <v>0.3333333333333333</v>
      </c>
      <c r="Q38" s="81">
        <v>0.3333333333333333</v>
      </c>
      <c r="R38" s="83"/>
      <c r="S38" s="81">
        <v>0.3333333333333333</v>
      </c>
      <c r="T38" s="81">
        <v>0.3333333333333333</v>
      </c>
      <c r="U38" s="82" t="s">
        <v>202</v>
      </c>
      <c r="V38" s="81">
        <v>0.3333333333333333</v>
      </c>
      <c r="W38" s="81">
        <v>0.3333333333333333</v>
      </c>
      <c r="X38" s="81">
        <v>0.3333333333333333</v>
      </c>
      <c r="Y38" s="82"/>
      <c r="Z38" s="81">
        <v>0.3333333333333333</v>
      </c>
      <c r="AA38" s="81">
        <v>0.3333333333333333</v>
      </c>
      <c r="AB38" s="82" t="s">
        <v>202</v>
      </c>
      <c r="AC38" s="81">
        <v>0.3333333333333333</v>
      </c>
      <c r="AD38" s="81">
        <v>0.3333333333333333</v>
      </c>
      <c r="AE38" s="81">
        <v>0.3333333333333333</v>
      </c>
      <c r="AF38" s="84"/>
      <c r="AG38" s="81">
        <v>0.3333333333333333</v>
      </c>
      <c r="AH38" s="81">
        <v>0.3333333333333333</v>
      </c>
      <c r="AI38" s="82" t="s">
        <v>202</v>
      </c>
      <c r="AJ38" s="81">
        <v>0.3333333333333333</v>
      </c>
      <c r="AK38" s="81">
        <v>0.3333333333333333</v>
      </c>
      <c r="AL38" s="81">
        <v>0.3333333333333333</v>
      </c>
      <c r="AM38" s="85"/>
    </row>
    <row r="39">
      <c r="A39" s="103" t="s">
        <v>172</v>
      </c>
      <c r="B39" s="80" t="str">
        <f t="array" ref="B39">XLOOKUP(A39,Roster!F:F,Roster!A:A,"",0)</f>
        <v>Luis Vidal</v>
      </c>
      <c r="C39" s="80" t="str">
        <f t="array" ref="C39">XLOOKUP(A39,Roster!F:F,Roster!B:B,"",0)</f>
        <v>Angie Rua</v>
      </c>
      <c r="D39" s="45" t="s">
        <v>201</v>
      </c>
      <c r="E39" s="113">
        <v>0.5</v>
      </c>
      <c r="F39" s="105">
        <v>0.2916666666666667</v>
      </c>
      <c r="G39" s="105">
        <v>0.2916666666666667</v>
      </c>
      <c r="H39" s="105">
        <v>0.2916666666666667</v>
      </c>
      <c r="I39" s="105">
        <v>0.2916666666666667</v>
      </c>
      <c r="J39" s="110" t="s">
        <v>202</v>
      </c>
      <c r="K39" s="42"/>
      <c r="L39" s="81">
        <v>0.5</v>
      </c>
      <c r="M39" s="81">
        <v>0.2916666666666667</v>
      </c>
      <c r="N39" s="81">
        <v>0.2916666666666667</v>
      </c>
      <c r="O39" s="81">
        <v>0.2916666666666667</v>
      </c>
      <c r="P39" s="81">
        <v>0.2916666666666667</v>
      </c>
      <c r="Q39" s="45" t="s">
        <v>202</v>
      </c>
      <c r="R39" s="83"/>
      <c r="S39" s="81">
        <v>0.5</v>
      </c>
      <c r="T39" s="81">
        <v>0.2916666666666667</v>
      </c>
      <c r="U39" s="81">
        <v>0.2916666666666667</v>
      </c>
      <c r="V39" s="81">
        <v>0.2916666666666667</v>
      </c>
      <c r="W39" s="81">
        <v>0.2916666666666667</v>
      </c>
      <c r="X39" s="45" t="s">
        <v>202</v>
      </c>
      <c r="Y39" s="82"/>
      <c r="Z39" s="81">
        <v>0.5</v>
      </c>
      <c r="AA39" s="81">
        <v>0.2916666666666667</v>
      </c>
      <c r="AB39" s="81">
        <v>0.2916666666666667</v>
      </c>
      <c r="AC39" s="81">
        <v>0.2916666666666667</v>
      </c>
      <c r="AD39" s="81">
        <v>0.2916666666666667</v>
      </c>
      <c r="AE39" s="45" t="s">
        <v>202</v>
      </c>
      <c r="AF39" s="84"/>
      <c r="AG39" s="81">
        <v>0.5</v>
      </c>
      <c r="AH39" s="81">
        <v>0.2916666666666667</v>
      </c>
      <c r="AI39" s="81">
        <v>0.2916666666666667</v>
      </c>
      <c r="AJ39" s="81">
        <v>0.2916666666666667</v>
      </c>
      <c r="AK39" s="81">
        <v>0.2916666666666667</v>
      </c>
      <c r="AL39" s="45" t="s">
        <v>202</v>
      </c>
      <c r="AM39" s="85"/>
    </row>
    <row r="40">
      <c r="A40" s="109" t="s">
        <v>173</v>
      </c>
      <c r="B40" s="80" t="str">
        <f t="array" ref="B40">XLOOKUP(A40,Roster!F:F,Roster!A:A,"",0)</f>
        <v>Luis Vidal</v>
      </c>
      <c r="C40" s="80" t="str">
        <f t="array" ref="C40">XLOOKUP(A40,Roster!F:F,Roster!B:B,"",0)</f>
        <v>Carmen Grajales</v>
      </c>
      <c r="D40" s="82"/>
      <c r="E40" s="96">
        <v>0.3333333333333333</v>
      </c>
      <c r="F40" s="96">
        <v>0.3333333333333333</v>
      </c>
      <c r="G40" s="96">
        <v>0.3333333333333333</v>
      </c>
      <c r="H40" s="97" t="s">
        <v>202</v>
      </c>
      <c r="I40" s="96">
        <v>0.3333333333333333</v>
      </c>
      <c r="J40" s="96">
        <v>0.3333333333333333</v>
      </c>
      <c r="K40" s="42"/>
      <c r="L40" s="96">
        <v>0.3333333333333333</v>
      </c>
      <c r="M40" s="96">
        <v>0.3333333333333333</v>
      </c>
      <c r="N40" s="96">
        <v>0.3333333333333333</v>
      </c>
      <c r="O40" s="96">
        <v>0.3333333333333333</v>
      </c>
      <c r="P40" s="96">
        <v>0.3333333333333333</v>
      </c>
      <c r="Q40" s="97" t="s">
        <v>202</v>
      </c>
      <c r="R40" s="83"/>
      <c r="S40" s="96">
        <v>0.3333333333333333</v>
      </c>
      <c r="T40" s="96">
        <v>0.3333333333333333</v>
      </c>
      <c r="U40" s="96">
        <v>0.3333333333333333</v>
      </c>
      <c r="V40" s="97" t="s">
        <v>202</v>
      </c>
      <c r="W40" s="96">
        <v>0.3333333333333333</v>
      </c>
      <c r="X40" s="96">
        <v>0.3333333333333333</v>
      </c>
      <c r="Y40" s="82"/>
      <c r="Z40" s="96">
        <v>0.3333333333333333</v>
      </c>
      <c r="AA40" s="96">
        <v>0.3333333333333333</v>
      </c>
      <c r="AB40" s="96">
        <v>0.3333333333333333</v>
      </c>
      <c r="AC40" s="96">
        <v>0.3333333333333333</v>
      </c>
      <c r="AD40" s="96">
        <v>0.3333333333333333</v>
      </c>
      <c r="AE40" s="97" t="s">
        <v>202</v>
      </c>
      <c r="AF40" s="84"/>
      <c r="AG40" s="96">
        <v>0.3333333333333333</v>
      </c>
      <c r="AH40" s="96">
        <v>0.3333333333333333</v>
      </c>
      <c r="AI40" s="96">
        <v>0.3333333333333333</v>
      </c>
      <c r="AJ40" s="96">
        <v>0.3333333333333333</v>
      </c>
      <c r="AK40" s="96">
        <v>0.3333333333333333</v>
      </c>
      <c r="AL40" s="97" t="s">
        <v>202</v>
      </c>
      <c r="AM40" s="85"/>
    </row>
    <row r="41">
      <c r="A41" s="103" t="s">
        <v>174</v>
      </c>
      <c r="B41" s="80" t="str">
        <f t="array" ref="B41">XLOOKUP(A41,Roster!F:F,Roster!A:A,"",0)</f>
        <v>Luis Vidal</v>
      </c>
      <c r="C41" s="80" t="str">
        <f t="array" ref="C41">XLOOKUP(A41,Roster!F:F,Roster!B:B,"",0)</f>
        <v>Cristian Ferreira</v>
      </c>
      <c r="D41" s="89"/>
      <c r="E41" s="96">
        <v>0.3333333333333333</v>
      </c>
      <c r="F41" s="96">
        <v>0.3333333333333333</v>
      </c>
      <c r="G41" s="96">
        <v>0.3333333333333333</v>
      </c>
      <c r="H41" s="97" t="s">
        <v>202</v>
      </c>
      <c r="I41" s="96">
        <v>0.3333333333333333</v>
      </c>
      <c r="J41" s="96">
        <v>0.3333333333333333</v>
      </c>
      <c r="K41" s="42"/>
      <c r="L41" s="82">
        <v>0.3333333333333333</v>
      </c>
      <c r="M41" s="82">
        <v>0.3333333333333333</v>
      </c>
      <c r="N41" s="82">
        <v>0.3333333333333333</v>
      </c>
      <c r="O41" s="82" t="s">
        <v>202</v>
      </c>
      <c r="P41" s="82">
        <v>0.3333333333333333</v>
      </c>
      <c r="Q41" s="82">
        <v>0.3333333333333333</v>
      </c>
      <c r="R41" s="91"/>
      <c r="S41" s="82">
        <v>0.3333333333333333</v>
      </c>
      <c r="T41" s="82">
        <v>0.3333333333333333</v>
      </c>
      <c r="U41" s="82">
        <v>0.3333333333333333</v>
      </c>
      <c r="V41" s="82" t="s">
        <v>202</v>
      </c>
      <c r="W41" s="82">
        <v>0.3333333333333333</v>
      </c>
      <c r="X41" s="82">
        <v>0.3333333333333333</v>
      </c>
      <c r="Y41" s="89"/>
      <c r="Z41" s="82">
        <v>0.3333333333333333</v>
      </c>
      <c r="AA41" s="82">
        <v>0.3333333333333333</v>
      </c>
      <c r="AB41" s="82">
        <v>0.3333333333333333</v>
      </c>
      <c r="AC41" s="82" t="s">
        <v>202</v>
      </c>
      <c r="AD41" s="82">
        <v>0.3333333333333333</v>
      </c>
      <c r="AE41" s="82">
        <v>0.3333333333333333</v>
      </c>
      <c r="AF41" s="84"/>
      <c r="AG41" s="82">
        <v>0.3333333333333333</v>
      </c>
      <c r="AH41" s="82">
        <v>0.3333333333333333</v>
      </c>
      <c r="AI41" s="82">
        <v>0.3333333333333333</v>
      </c>
      <c r="AJ41" s="82" t="s">
        <v>202</v>
      </c>
      <c r="AK41" s="82">
        <v>0.3333333333333333</v>
      </c>
      <c r="AL41" s="82">
        <v>0.3333333333333333</v>
      </c>
      <c r="AM41" s="85"/>
    </row>
    <row r="42">
      <c r="A42" s="103" t="s">
        <v>175</v>
      </c>
      <c r="B42" s="92" t="str">
        <f t="array" ref="B42">XLOOKUP(A42,Roster!F:F,Roster!A:A,"",0)</f>
        <v>Luis Vidal</v>
      </c>
      <c r="C42" s="92" t="str">
        <f t="array" ref="C42">XLOOKUP(A42,Roster!F:F,Roster!B:B,"",0)</f>
        <v>Daniel Urrego</v>
      </c>
      <c r="D42" s="89"/>
      <c r="E42" s="96">
        <v>0.3333333333333333</v>
      </c>
      <c r="F42" s="96">
        <v>0.3333333333333333</v>
      </c>
      <c r="G42" s="97" t="s">
        <v>202</v>
      </c>
      <c r="H42" s="96">
        <v>0.3333333333333333</v>
      </c>
      <c r="I42" s="96">
        <v>0.3333333333333333</v>
      </c>
      <c r="J42" s="96">
        <v>0.3333333333333333</v>
      </c>
      <c r="K42" s="42"/>
      <c r="L42" s="96">
        <v>0.3333333333333333</v>
      </c>
      <c r="M42" s="96">
        <v>0.3333333333333333</v>
      </c>
      <c r="N42" s="97" t="s">
        <v>202</v>
      </c>
      <c r="O42" s="96">
        <v>0.3333333333333333</v>
      </c>
      <c r="P42" s="96">
        <v>0.3333333333333333</v>
      </c>
      <c r="Q42" s="96">
        <v>0.3333333333333333</v>
      </c>
      <c r="R42" s="83"/>
      <c r="S42" s="96">
        <v>0.3333333333333333</v>
      </c>
      <c r="T42" s="96">
        <v>0.3333333333333333</v>
      </c>
      <c r="U42" s="97" t="s">
        <v>202</v>
      </c>
      <c r="V42" s="96">
        <v>0.3333333333333333</v>
      </c>
      <c r="W42" s="96">
        <v>0.3333333333333333</v>
      </c>
      <c r="X42" s="96">
        <v>0.3333333333333333</v>
      </c>
      <c r="Y42" s="82"/>
      <c r="Z42" s="96">
        <v>0.3333333333333333</v>
      </c>
      <c r="AA42" s="96">
        <v>0.3333333333333333</v>
      </c>
      <c r="AB42" s="97" t="s">
        <v>202</v>
      </c>
      <c r="AC42" s="96">
        <v>0.3333333333333333</v>
      </c>
      <c r="AD42" s="96">
        <v>0.3333333333333333</v>
      </c>
      <c r="AE42" s="96">
        <v>0.3333333333333333</v>
      </c>
      <c r="AF42" s="84"/>
      <c r="AG42" s="96">
        <v>0.3333333333333333</v>
      </c>
      <c r="AH42" s="96">
        <v>0.3333333333333333</v>
      </c>
      <c r="AI42" s="97" t="s">
        <v>202</v>
      </c>
      <c r="AJ42" s="96">
        <v>0.3333333333333333</v>
      </c>
      <c r="AK42" s="96">
        <v>0.3333333333333333</v>
      </c>
      <c r="AL42" s="96">
        <v>0.3333333333333333</v>
      </c>
      <c r="AM42" s="85"/>
    </row>
    <row r="43">
      <c r="A43" s="103" t="s">
        <v>176</v>
      </c>
      <c r="B43" s="92" t="str">
        <f t="array" ref="B43">XLOOKUP(A43,Roster!F:F,Roster!A:A,"",0)</f>
        <v>Luis Vidal</v>
      </c>
      <c r="C43" s="92" t="str">
        <f t="array" ref="C43">XLOOKUP(A43,Roster!F:F,Roster!B:B,"",0)</f>
        <v>Julian Pineda</v>
      </c>
      <c r="D43" s="82"/>
      <c r="E43" s="96">
        <v>0.3333333333333333</v>
      </c>
      <c r="F43" s="96">
        <v>0.3333333333333333</v>
      </c>
      <c r="G43" s="96">
        <v>0.3333333333333333</v>
      </c>
      <c r="H43" s="96">
        <v>0.3333333333333333</v>
      </c>
      <c r="I43" s="96">
        <v>0.3333333333333333</v>
      </c>
      <c r="J43" s="97" t="s">
        <v>202</v>
      </c>
      <c r="K43" s="42"/>
      <c r="L43" s="81">
        <v>0.3333333333333333</v>
      </c>
      <c r="M43" s="81">
        <v>0.3333333333333333</v>
      </c>
      <c r="N43" s="82" t="s">
        <v>202</v>
      </c>
      <c r="O43" s="81">
        <v>0.3333333333333333</v>
      </c>
      <c r="P43" s="81">
        <v>0.3333333333333333</v>
      </c>
      <c r="Q43" s="81">
        <v>0.3333333333333333</v>
      </c>
      <c r="R43" s="83"/>
      <c r="S43" s="96">
        <v>0.3333333333333333</v>
      </c>
      <c r="T43" s="96">
        <v>0.3333333333333333</v>
      </c>
      <c r="U43" s="97" t="s">
        <v>202</v>
      </c>
      <c r="V43" s="96">
        <v>0.3333333333333333</v>
      </c>
      <c r="W43" s="96">
        <v>0.3333333333333333</v>
      </c>
      <c r="X43" s="96">
        <v>0.3333333333333333</v>
      </c>
      <c r="Y43" s="82"/>
      <c r="Z43" s="96">
        <v>0.3333333333333333</v>
      </c>
      <c r="AA43" s="96">
        <v>0.3333333333333333</v>
      </c>
      <c r="AB43" s="97" t="s">
        <v>202</v>
      </c>
      <c r="AC43" s="96">
        <v>0.3333333333333333</v>
      </c>
      <c r="AD43" s="96">
        <v>0.3333333333333333</v>
      </c>
      <c r="AE43" s="96">
        <v>0.3333333333333333</v>
      </c>
      <c r="AF43" s="84"/>
      <c r="AG43" s="96">
        <v>0.3333333333333333</v>
      </c>
      <c r="AH43" s="96">
        <v>0.3333333333333333</v>
      </c>
      <c r="AI43" s="97" t="s">
        <v>202</v>
      </c>
      <c r="AJ43" s="96">
        <v>0.3333333333333333</v>
      </c>
      <c r="AK43" s="96">
        <v>0.3333333333333333</v>
      </c>
      <c r="AL43" s="96">
        <v>0.3333333333333333</v>
      </c>
      <c r="AM43" s="85"/>
    </row>
    <row r="44">
      <c r="A44" s="109" t="s">
        <v>177</v>
      </c>
      <c r="B44" s="92" t="str">
        <f t="array" ref="B44">XLOOKUP(A44,Roster!F:F,Roster!A:A,"",0)</f>
        <v>Luis Vidal</v>
      </c>
      <c r="C44" s="92" t="str">
        <f t="array" ref="C44">XLOOKUP(A44,Roster!F:F,Roster!B:B,"",0)</f>
        <v>Leandry La Rosa</v>
      </c>
      <c r="D44" s="82"/>
      <c r="E44" s="96">
        <v>0.3333333333333333</v>
      </c>
      <c r="F44" s="96">
        <v>0.3333333333333333</v>
      </c>
      <c r="G44" s="97" t="s">
        <v>202</v>
      </c>
      <c r="H44" s="96">
        <v>0.3333333333333333</v>
      </c>
      <c r="I44" s="96">
        <v>0.3333333333333333</v>
      </c>
      <c r="J44" s="96">
        <v>0.3333333333333333</v>
      </c>
      <c r="K44" s="42"/>
      <c r="L44" s="82">
        <v>0.3333333333333333</v>
      </c>
      <c r="M44" s="82">
        <v>0.3333333333333333</v>
      </c>
      <c r="N44" s="82">
        <v>0.3333333333333333</v>
      </c>
      <c r="O44" s="82">
        <v>0.3333333333333333</v>
      </c>
      <c r="P44" s="82">
        <v>0.3333333333333333</v>
      </c>
      <c r="Q44" s="45" t="s">
        <v>202</v>
      </c>
      <c r="R44" s="83"/>
      <c r="S44" s="96">
        <v>0.3333333333333333</v>
      </c>
      <c r="T44" s="96">
        <v>0.3333333333333333</v>
      </c>
      <c r="U44" s="96">
        <v>0.3333333333333333</v>
      </c>
      <c r="V44" s="96">
        <v>0.3333333333333333</v>
      </c>
      <c r="W44" s="96">
        <v>0.3333333333333333</v>
      </c>
      <c r="X44" s="97" t="s">
        <v>202</v>
      </c>
      <c r="Y44" s="82"/>
      <c r="Z44" s="96">
        <v>0.3333333333333333</v>
      </c>
      <c r="AA44" s="96">
        <v>0.3333333333333333</v>
      </c>
      <c r="AB44" s="96">
        <v>0.3333333333333333</v>
      </c>
      <c r="AC44" s="96">
        <v>0.3333333333333333</v>
      </c>
      <c r="AD44" s="96">
        <v>0.3333333333333333</v>
      </c>
      <c r="AE44" s="97" t="s">
        <v>202</v>
      </c>
      <c r="AF44" s="84"/>
      <c r="AG44" s="96">
        <v>0.3333333333333333</v>
      </c>
      <c r="AH44" s="96">
        <v>0.3333333333333333</v>
      </c>
      <c r="AI44" s="96">
        <v>0.3333333333333333</v>
      </c>
      <c r="AJ44" s="96">
        <v>0.3333333333333333</v>
      </c>
      <c r="AK44" s="96">
        <v>0.3333333333333333</v>
      </c>
      <c r="AL44" s="97" t="s">
        <v>202</v>
      </c>
      <c r="AM44" s="85"/>
    </row>
    <row r="45">
      <c r="A45" s="103" t="s">
        <v>178</v>
      </c>
      <c r="B45" s="92" t="str">
        <f t="array" ref="B45">XLOOKUP(A45,Roster!F:F,Roster!A:A,"",0)</f>
        <v>Luis Vidal</v>
      </c>
      <c r="C45" s="92" t="str">
        <f t="array" ref="C45">XLOOKUP(A45,Roster!F:F,Roster!B:B,"",0)</f>
        <v>Mateo Vanegas</v>
      </c>
      <c r="D45" s="89"/>
      <c r="E45" s="96">
        <v>0.3333333333333333</v>
      </c>
      <c r="F45" s="96">
        <v>0.3333333333333333</v>
      </c>
      <c r="G45" s="96">
        <v>0.3333333333333333</v>
      </c>
      <c r="H45" s="110" t="s">
        <v>202</v>
      </c>
      <c r="I45" s="96">
        <v>0.3333333333333333</v>
      </c>
      <c r="J45" s="96">
        <v>0.3333333333333333</v>
      </c>
      <c r="K45" s="42"/>
      <c r="L45" s="82">
        <v>0.3333333333333333</v>
      </c>
      <c r="M45" s="81">
        <v>0.3333333333333333</v>
      </c>
      <c r="N45" s="45" t="s">
        <v>202</v>
      </c>
      <c r="O45" s="82">
        <v>0.3333333333333333</v>
      </c>
      <c r="P45" s="82">
        <v>0.3333333333333333</v>
      </c>
      <c r="Q45" s="82">
        <v>0.3333333333333333</v>
      </c>
      <c r="R45" s="91"/>
      <c r="S45" s="82">
        <v>0.3333333333333333</v>
      </c>
      <c r="T45" s="81">
        <v>0.3333333333333333</v>
      </c>
      <c r="U45" s="45" t="s">
        <v>202</v>
      </c>
      <c r="V45" s="82">
        <v>0.3333333333333333</v>
      </c>
      <c r="W45" s="82">
        <v>0.3333333333333333</v>
      </c>
      <c r="X45" s="82">
        <v>0.3333333333333333</v>
      </c>
      <c r="Y45" s="89"/>
      <c r="Z45" s="82">
        <v>0.3333333333333333</v>
      </c>
      <c r="AA45" s="81">
        <v>0.3333333333333333</v>
      </c>
      <c r="AB45" s="45" t="s">
        <v>202</v>
      </c>
      <c r="AC45" s="82">
        <v>0.3333333333333333</v>
      </c>
      <c r="AD45" s="82">
        <v>0.3333333333333333</v>
      </c>
      <c r="AE45" s="82">
        <v>0.3333333333333333</v>
      </c>
      <c r="AF45" s="84"/>
      <c r="AG45" s="82">
        <v>0.3333333333333333</v>
      </c>
      <c r="AH45" s="81">
        <v>0.3333333333333333</v>
      </c>
      <c r="AI45" s="45" t="s">
        <v>202</v>
      </c>
      <c r="AJ45" s="82">
        <v>0.3333333333333333</v>
      </c>
      <c r="AK45" s="82">
        <v>0.3333333333333333</v>
      </c>
      <c r="AL45" s="82">
        <v>0.3333333333333333</v>
      </c>
      <c r="AM45" s="85"/>
    </row>
    <row r="46">
      <c r="A46" s="103" t="s">
        <v>179</v>
      </c>
      <c r="B46" s="92" t="str">
        <f t="array" ref="B46">XLOOKUP(A46,Roster!F:F,Roster!A:A,"",0)</f>
        <v>Luis Vidal</v>
      </c>
      <c r="C46" s="92" t="str">
        <f t="array" ref="C46">XLOOKUP(A46,Roster!F:F,Roster!B:B,"",0)</f>
        <v>Oscar Florez</v>
      </c>
      <c r="D46" s="45" t="s">
        <v>201</v>
      </c>
      <c r="E46" s="96">
        <v>0.3333333333333333</v>
      </c>
      <c r="F46" s="96">
        <v>0.3333333333333333</v>
      </c>
      <c r="G46" s="96">
        <v>0.3333333333333333</v>
      </c>
      <c r="H46" s="96">
        <v>0.3333333333333333</v>
      </c>
      <c r="I46" s="96">
        <v>0.3333333333333333</v>
      </c>
      <c r="J46" s="97" t="s">
        <v>202</v>
      </c>
      <c r="K46" s="42"/>
      <c r="L46" s="81">
        <v>0.3333333333333333</v>
      </c>
      <c r="M46" s="81">
        <v>0.3333333333333333</v>
      </c>
      <c r="N46" s="81">
        <v>0.3333333333333333</v>
      </c>
      <c r="O46" s="81">
        <v>0.3333333333333333</v>
      </c>
      <c r="P46" s="81">
        <v>0.3333333333333333</v>
      </c>
      <c r="Q46" s="82" t="s">
        <v>202</v>
      </c>
      <c r="R46" s="91"/>
      <c r="S46" s="81">
        <v>0.3333333333333333</v>
      </c>
      <c r="T46" s="81">
        <v>0.3333333333333333</v>
      </c>
      <c r="U46" s="81">
        <v>0.3333333333333333</v>
      </c>
      <c r="V46" s="81">
        <v>0.3333333333333333</v>
      </c>
      <c r="W46" s="81">
        <v>0.3333333333333333</v>
      </c>
      <c r="X46" s="82" t="s">
        <v>202</v>
      </c>
      <c r="Y46" s="89"/>
      <c r="Z46" s="81">
        <v>0.3333333333333333</v>
      </c>
      <c r="AA46" s="81">
        <v>0.3333333333333333</v>
      </c>
      <c r="AB46" s="81">
        <v>0.3333333333333333</v>
      </c>
      <c r="AC46" s="81">
        <v>0.3333333333333333</v>
      </c>
      <c r="AD46" s="81">
        <v>0.3333333333333333</v>
      </c>
      <c r="AE46" s="82" t="s">
        <v>202</v>
      </c>
      <c r="AF46" s="84"/>
      <c r="AG46" s="81">
        <v>0.3333333333333333</v>
      </c>
      <c r="AH46" s="81">
        <v>0.3333333333333333</v>
      </c>
      <c r="AI46" s="81">
        <v>0.3333333333333333</v>
      </c>
      <c r="AJ46" s="81">
        <v>0.3333333333333333</v>
      </c>
      <c r="AK46" s="81">
        <v>0.3333333333333333</v>
      </c>
      <c r="AL46" s="82" t="s">
        <v>202</v>
      </c>
      <c r="AM46" s="85"/>
    </row>
    <row r="47">
      <c r="A47" s="107" t="s">
        <v>180</v>
      </c>
      <c r="B47" s="35" t="str">
        <f t="array" ref="B47">XLOOKUP(A47,Roster!F:F,Roster!A:A,"")</f>
        <v>Luis Vidal</v>
      </c>
      <c r="C47" s="35" t="str">
        <f t="array" ref="C47">XLOOKUP(A47,Roster!F:F,Roster!B:B,"")</f>
        <v>Santiago Gaviria</v>
      </c>
      <c r="D47" s="40" t="s">
        <v>201</v>
      </c>
      <c r="E47" s="96">
        <v>0.3333333333333333</v>
      </c>
      <c r="F47" s="110" t="s">
        <v>202</v>
      </c>
      <c r="G47" s="96">
        <v>0.3333333333333333</v>
      </c>
      <c r="H47" s="96">
        <v>0.3333333333333333</v>
      </c>
      <c r="I47" s="96">
        <v>0.3333333333333333</v>
      </c>
      <c r="J47" s="96">
        <v>0.3333333333333333</v>
      </c>
      <c r="K47" s="42"/>
      <c r="L47" s="96">
        <v>0.3333333333333333</v>
      </c>
      <c r="M47" s="114" t="s">
        <v>202</v>
      </c>
      <c r="N47" s="96">
        <v>0.3333333333333333</v>
      </c>
      <c r="O47" s="96">
        <v>0.3333333333333333</v>
      </c>
      <c r="P47" s="96">
        <v>0.3333333333333333</v>
      </c>
      <c r="Q47" s="115">
        <v>0.3333333333333333</v>
      </c>
      <c r="R47" s="43"/>
      <c r="S47" s="96">
        <v>0.3333333333333333</v>
      </c>
      <c r="T47" s="114" t="s">
        <v>202</v>
      </c>
      <c r="U47" s="96">
        <v>0.3333333333333333</v>
      </c>
      <c r="V47" s="96">
        <v>0.3333333333333333</v>
      </c>
      <c r="W47" s="96">
        <v>0.3333333333333333</v>
      </c>
      <c r="X47" s="115">
        <v>0.3333333333333333</v>
      </c>
      <c r="Y47" s="43"/>
      <c r="Z47" s="96">
        <v>0.3333333333333333</v>
      </c>
      <c r="AA47" s="114" t="s">
        <v>202</v>
      </c>
      <c r="AB47" s="96">
        <v>0.3333333333333333</v>
      </c>
      <c r="AC47" s="96">
        <v>0.3333333333333333</v>
      </c>
      <c r="AD47" s="96">
        <v>0.3333333333333333</v>
      </c>
      <c r="AE47" s="115">
        <v>0.3333333333333333</v>
      </c>
      <c r="AF47" s="84"/>
      <c r="AG47" s="96">
        <v>0.3333333333333333</v>
      </c>
      <c r="AH47" s="114" t="s">
        <v>202</v>
      </c>
      <c r="AI47" s="96">
        <v>0.3333333333333333</v>
      </c>
      <c r="AJ47" s="96">
        <v>0.3333333333333333</v>
      </c>
      <c r="AK47" s="96">
        <v>0.3333333333333333</v>
      </c>
      <c r="AL47" s="115">
        <v>0.3333333333333333</v>
      </c>
      <c r="AM47" s="85"/>
    </row>
    <row r="48">
      <c r="A48" s="116" t="s">
        <v>181</v>
      </c>
      <c r="B48" s="92" t="str">
        <f t="array" ref="B48">XLOOKUP(A48,Roster!F:F,Roster!A:A,"",0)</f>
        <v>Luis Vidal</v>
      </c>
      <c r="C48" s="92" t="str">
        <f t="array" ref="C48">XLOOKUP(A48,Roster!F:F,Roster!B:B,"",0)</f>
        <v>Santiago Gonzalez</v>
      </c>
      <c r="D48" s="82"/>
      <c r="E48" s="96">
        <v>0.3333333333333333</v>
      </c>
      <c r="F48" s="96">
        <v>0.3333333333333333</v>
      </c>
      <c r="G48" s="96">
        <v>0.3333333333333333</v>
      </c>
      <c r="H48" s="97" t="s">
        <v>202</v>
      </c>
      <c r="I48" s="96">
        <v>0.3333333333333333</v>
      </c>
      <c r="J48" s="96">
        <v>0.3333333333333333</v>
      </c>
      <c r="K48" s="42"/>
      <c r="L48" s="81">
        <v>0.3333333333333333</v>
      </c>
      <c r="M48" s="81">
        <v>0.3333333333333333</v>
      </c>
      <c r="N48" s="82" t="s">
        <v>202</v>
      </c>
      <c r="O48" s="81">
        <v>0.3333333333333333</v>
      </c>
      <c r="P48" s="81">
        <v>0.3333333333333333</v>
      </c>
      <c r="Q48" s="81">
        <v>0.3333333333333333</v>
      </c>
      <c r="R48" s="83"/>
      <c r="S48" s="81">
        <v>0.3333333333333333</v>
      </c>
      <c r="T48" s="81">
        <v>0.3333333333333333</v>
      </c>
      <c r="U48" s="82" t="s">
        <v>202</v>
      </c>
      <c r="V48" s="81">
        <v>0.3333333333333333</v>
      </c>
      <c r="W48" s="81">
        <v>0.3333333333333333</v>
      </c>
      <c r="X48" s="81">
        <v>0.3333333333333333</v>
      </c>
      <c r="Y48" s="82"/>
      <c r="Z48" s="81">
        <v>0.3333333333333333</v>
      </c>
      <c r="AA48" s="81">
        <v>0.3333333333333333</v>
      </c>
      <c r="AB48" s="82" t="s">
        <v>202</v>
      </c>
      <c r="AC48" s="81">
        <v>0.3333333333333333</v>
      </c>
      <c r="AD48" s="81">
        <v>0.3333333333333333</v>
      </c>
      <c r="AE48" s="81">
        <v>0.3333333333333333</v>
      </c>
      <c r="AF48" s="84"/>
      <c r="AG48" s="81">
        <v>0.3333333333333333</v>
      </c>
      <c r="AH48" s="81">
        <v>0.3333333333333333</v>
      </c>
      <c r="AI48" s="82" t="s">
        <v>202</v>
      </c>
      <c r="AJ48" s="81">
        <v>0.3333333333333333</v>
      </c>
      <c r="AK48" s="81">
        <v>0.3333333333333333</v>
      </c>
      <c r="AL48" s="81">
        <v>0.3333333333333333</v>
      </c>
      <c r="AM48" s="85"/>
    </row>
    <row r="49">
      <c r="A49" s="103" t="s">
        <v>182</v>
      </c>
      <c r="B49" s="92" t="str">
        <f t="array" ref="B49">XLOOKUP(A49,Roster!F:F,Roster!A:A,"",0)</f>
        <v>Luis Vidal</v>
      </c>
      <c r="C49" s="92" t="str">
        <f t="array" ref="C49">XLOOKUP(A49,Roster!F:F,Roster!B:B,"",0)</f>
        <v>Santiago Velasquez</v>
      </c>
      <c r="D49" s="82"/>
      <c r="E49" s="96">
        <v>0.3333333333333333</v>
      </c>
      <c r="F49" s="117">
        <v>0.3333333333333333</v>
      </c>
      <c r="G49" s="96">
        <v>0.3333333333333333</v>
      </c>
      <c r="H49" s="96">
        <v>0.3333333333333333</v>
      </c>
      <c r="I49" s="96">
        <v>0.3333333333333333</v>
      </c>
      <c r="J49" s="118" t="s">
        <v>202</v>
      </c>
      <c r="K49" s="42"/>
      <c r="L49" s="82">
        <v>0.3333333333333333</v>
      </c>
      <c r="M49" s="82">
        <v>0.3333333333333333</v>
      </c>
      <c r="N49" s="82">
        <v>0.3333333333333333</v>
      </c>
      <c r="O49" s="82">
        <v>0.3333333333333333</v>
      </c>
      <c r="P49" s="82">
        <v>0.3333333333333333</v>
      </c>
      <c r="Q49" s="45" t="s">
        <v>202</v>
      </c>
      <c r="R49" s="83"/>
      <c r="S49" s="82">
        <v>0.3333333333333333</v>
      </c>
      <c r="T49" s="82">
        <v>0.3333333333333333</v>
      </c>
      <c r="U49" s="82">
        <v>0.3333333333333333</v>
      </c>
      <c r="V49" s="82">
        <v>0.3333333333333333</v>
      </c>
      <c r="W49" s="82">
        <v>0.3333333333333333</v>
      </c>
      <c r="X49" s="45" t="s">
        <v>202</v>
      </c>
      <c r="Y49" s="82"/>
      <c r="Z49" s="82">
        <v>0.3333333333333333</v>
      </c>
      <c r="AA49" s="82">
        <v>0.3333333333333333</v>
      </c>
      <c r="AB49" s="82">
        <v>0.3333333333333333</v>
      </c>
      <c r="AC49" s="82">
        <v>0.3333333333333333</v>
      </c>
      <c r="AD49" s="82">
        <v>0.3333333333333333</v>
      </c>
      <c r="AE49" s="45" t="s">
        <v>202</v>
      </c>
      <c r="AF49" s="84"/>
      <c r="AG49" s="82">
        <v>0.3333333333333333</v>
      </c>
      <c r="AH49" s="82">
        <v>0.3333333333333333</v>
      </c>
      <c r="AI49" s="82">
        <v>0.3333333333333333</v>
      </c>
      <c r="AJ49" s="82">
        <v>0.3333333333333333</v>
      </c>
      <c r="AK49" s="82">
        <v>0.3333333333333333</v>
      </c>
      <c r="AL49" s="45" t="s">
        <v>202</v>
      </c>
      <c r="AM49" s="85"/>
    </row>
    <row r="50">
      <c r="A50" s="103" t="s">
        <v>183</v>
      </c>
      <c r="B50" s="92" t="str">
        <f t="array" ref="B50">XLOOKUP(A50,Roster!F:F,Roster!A:A,"",0)</f>
        <v>Luis Vidal</v>
      </c>
      <c r="C50" s="92" t="str">
        <f t="array" ref="C50">XLOOKUP(A50,Roster!F:F,Roster!B:B,"",0)</f>
        <v>Sebastian Herrera</v>
      </c>
      <c r="D50" s="45" t="s">
        <v>201</v>
      </c>
      <c r="E50" s="105">
        <v>0.2916666666666667</v>
      </c>
      <c r="F50" s="105">
        <v>0.2916666666666667</v>
      </c>
      <c r="G50" s="105">
        <v>0.2916666666666667</v>
      </c>
      <c r="H50" s="105">
        <v>0.2916666666666667</v>
      </c>
      <c r="I50" s="105">
        <v>0.2916666666666667</v>
      </c>
      <c r="J50" s="110" t="s">
        <v>202</v>
      </c>
      <c r="K50" s="42"/>
      <c r="L50" s="81">
        <v>0.2916666666666667</v>
      </c>
      <c r="M50" s="81">
        <v>0.2916666666666667</v>
      </c>
      <c r="N50" s="81">
        <v>0.2916666666666667</v>
      </c>
      <c r="O50" s="81">
        <v>0.2916666666666667</v>
      </c>
      <c r="P50" s="81">
        <v>0.2916666666666667</v>
      </c>
      <c r="Q50" s="45" t="s">
        <v>202</v>
      </c>
      <c r="R50" s="83"/>
      <c r="S50" s="81">
        <v>0.2916666666666667</v>
      </c>
      <c r="T50" s="81">
        <v>0.2916666666666667</v>
      </c>
      <c r="U50" s="81">
        <v>0.2916666666666667</v>
      </c>
      <c r="V50" s="81">
        <v>0.2916666666666667</v>
      </c>
      <c r="W50" s="81">
        <v>0.2916666666666667</v>
      </c>
      <c r="X50" s="45" t="s">
        <v>202</v>
      </c>
      <c r="Y50" s="82"/>
      <c r="Z50" s="81">
        <v>0.2916666666666667</v>
      </c>
      <c r="AA50" s="81">
        <v>0.2916666666666667</v>
      </c>
      <c r="AB50" s="81">
        <v>0.2916666666666667</v>
      </c>
      <c r="AC50" s="81">
        <v>0.2916666666666667</v>
      </c>
      <c r="AD50" s="81">
        <v>0.2916666666666667</v>
      </c>
      <c r="AE50" s="45" t="s">
        <v>202</v>
      </c>
      <c r="AF50" s="84"/>
      <c r="AG50" s="81">
        <v>0.2916666666666667</v>
      </c>
      <c r="AH50" s="81">
        <v>0.2916666666666667</v>
      </c>
      <c r="AI50" s="81">
        <v>0.2916666666666667</v>
      </c>
      <c r="AJ50" s="81">
        <v>0.2916666666666667</v>
      </c>
      <c r="AK50" s="81">
        <v>0.2916666666666667</v>
      </c>
      <c r="AL50" s="45" t="s">
        <v>202</v>
      </c>
      <c r="AM50" s="85"/>
    </row>
    <row r="51">
      <c r="A51" s="109" t="s">
        <v>184</v>
      </c>
      <c r="B51" s="92" t="str">
        <f t="array" ref="B51">XLOOKUP(A51,Roster!F:F,Roster!A:A,"",0)</f>
        <v>Luis Vidal</v>
      </c>
      <c r="C51" s="92" t="str">
        <f t="array" ref="C51">XLOOKUP(A51,Roster!F:F,Roster!B:B,"",0)</f>
        <v>Sebastian Martinez</v>
      </c>
      <c r="D51" s="45" t="s">
        <v>201</v>
      </c>
      <c r="E51" s="96">
        <v>0.3333333333333333</v>
      </c>
      <c r="F51" s="96">
        <v>0.3333333333333333</v>
      </c>
      <c r="G51" s="96">
        <v>0.3333333333333333</v>
      </c>
      <c r="H51" s="96">
        <v>0.3333333333333333</v>
      </c>
      <c r="I51" s="96">
        <v>0.3333333333333333</v>
      </c>
      <c r="J51" s="97" t="s">
        <v>202</v>
      </c>
      <c r="K51" s="42"/>
      <c r="L51" s="82">
        <v>0.3333333333333333</v>
      </c>
      <c r="M51" s="82">
        <v>0.3333333333333333</v>
      </c>
      <c r="N51" s="82">
        <v>0.3333333333333333</v>
      </c>
      <c r="O51" s="97" t="s">
        <v>202</v>
      </c>
      <c r="P51" s="82">
        <v>0.3333333333333333</v>
      </c>
      <c r="Q51" s="82">
        <v>0.3333333333333333</v>
      </c>
      <c r="R51" s="83"/>
      <c r="S51" s="82">
        <v>0.3333333333333333</v>
      </c>
      <c r="T51" s="82">
        <v>0.3333333333333333</v>
      </c>
      <c r="U51" s="82">
        <v>0.3333333333333333</v>
      </c>
      <c r="V51" s="82">
        <v>0.3333333333333333</v>
      </c>
      <c r="W51" s="82">
        <v>0.3333333333333333</v>
      </c>
      <c r="X51" s="82" t="s">
        <v>202</v>
      </c>
      <c r="Y51" s="82"/>
      <c r="Z51" s="82">
        <v>0.3333333333333333</v>
      </c>
      <c r="AA51" s="82">
        <v>0.3333333333333333</v>
      </c>
      <c r="AB51" s="82">
        <v>0.3333333333333333</v>
      </c>
      <c r="AC51" s="82">
        <v>0.3333333333333333</v>
      </c>
      <c r="AD51" s="82">
        <v>0.3333333333333333</v>
      </c>
      <c r="AE51" s="82" t="s">
        <v>202</v>
      </c>
      <c r="AF51" s="84"/>
      <c r="AG51" s="82">
        <v>0.3333333333333333</v>
      </c>
      <c r="AH51" s="82">
        <v>0.3333333333333333</v>
      </c>
      <c r="AI51" s="82">
        <v>0.3333333333333333</v>
      </c>
      <c r="AJ51" s="82" t="s">
        <v>202</v>
      </c>
      <c r="AK51" s="82">
        <v>0.3333333333333333</v>
      </c>
      <c r="AL51" s="82">
        <v>0.3333333333333333</v>
      </c>
      <c r="AM51" s="85"/>
    </row>
    <row r="52">
      <c r="A52" s="103" t="s">
        <v>185</v>
      </c>
      <c r="B52" s="92" t="str">
        <f t="array" ref="B52">XLOOKUP(A52,Roster!F:F,Roster!A:A,"",0)</f>
        <v>Luis Vidal</v>
      </c>
      <c r="C52" s="92" t="str">
        <f t="array" ref="C52">XLOOKUP(A52,Roster!F:F,Roster!B:B,"",0)</f>
        <v>Sebastian Rodriguez</v>
      </c>
      <c r="D52" s="82"/>
      <c r="E52" s="96">
        <v>0.3333333333333333</v>
      </c>
      <c r="F52" s="96">
        <v>0.3333333333333333</v>
      </c>
      <c r="G52" s="96">
        <v>0.3333333333333333</v>
      </c>
      <c r="H52" s="97" t="s">
        <v>202</v>
      </c>
      <c r="I52" s="96">
        <v>0.3333333333333333</v>
      </c>
      <c r="J52" s="96">
        <v>0.3333333333333333</v>
      </c>
      <c r="K52" s="42"/>
      <c r="L52" s="96">
        <v>0.3333333333333333</v>
      </c>
      <c r="M52" s="96">
        <v>0.3333333333333333</v>
      </c>
      <c r="N52" s="96">
        <v>0.3333333333333333</v>
      </c>
      <c r="O52" s="96">
        <v>0.3333333333333333</v>
      </c>
      <c r="P52" s="96">
        <v>0.3333333333333333</v>
      </c>
      <c r="Q52" s="97" t="s">
        <v>202</v>
      </c>
      <c r="R52" s="83"/>
      <c r="S52" s="96">
        <v>0.3333333333333333</v>
      </c>
      <c r="T52" s="96">
        <v>0.3333333333333333</v>
      </c>
      <c r="U52" s="96">
        <v>0.3333333333333333</v>
      </c>
      <c r="V52" s="96">
        <v>0.3333333333333333</v>
      </c>
      <c r="W52" s="96">
        <v>0.3333333333333333</v>
      </c>
      <c r="X52" s="97" t="s">
        <v>202</v>
      </c>
      <c r="Y52" s="82"/>
      <c r="Z52" s="96">
        <v>0.3333333333333333</v>
      </c>
      <c r="AA52" s="96">
        <v>0.3333333333333333</v>
      </c>
      <c r="AB52" s="96">
        <v>0.3333333333333333</v>
      </c>
      <c r="AC52" s="96">
        <v>0.3333333333333333</v>
      </c>
      <c r="AD52" s="96">
        <v>0.3333333333333333</v>
      </c>
      <c r="AE52" s="97" t="s">
        <v>202</v>
      </c>
      <c r="AF52" s="84"/>
      <c r="AG52" s="96">
        <v>0.3333333333333333</v>
      </c>
      <c r="AH52" s="96">
        <v>0.3333333333333333</v>
      </c>
      <c r="AI52" s="96">
        <v>0.3333333333333333</v>
      </c>
      <c r="AJ52" s="96">
        <v>0.3333333333333333</v>
      </c>
      <c r="AK52" s="96">
        <v>0.3333333333333333</v>
      </c>
      <c r="AL52" s="97" t="s">
        <v>202</v>
      </c>
      <c r="AM52" s="85"/>
    </row>
    <row r="53">
      <c r="A53" s="103" t="s">
        <v>186</v>
      </c>
      <c r="B53" s="92" t="str">
        <f t="array" ref="B53">XLOOKUP(A53,Roster!F:F,Roster!A:A,"",0)</f>
        <v>Luis Vidal</v>
      </c>
      <c r="C53" s="92" t="str">
        <f t="array" ref="C53">XLOOKUP(A53,Roster!F:F,Roster!B:B,"",0)</f>
        <v>Simon Atehortua</v>
      </c>
      <c r="D53" s="45" t="s">
        <v>201</v>
      </c>
      <c r="E53" s="105">
        <v>0.29166666666666663</v>
      </c>
      <c r="F53" s="105">
        <v>0.29166666666666663</v>
      </c>
      <c r="G53" s="105">
        <v>0.29166666666666663</v>
      </c>
      <c r="H53" s="105">
        <v>0.29166666666666663</v>
      </c>
      <c r="I53" s="105">
        <v>0.29166666666666663</v>
      </c>
      <c r="J53" s="97" t="s">
        <v>202</v>
      </c>
      <c r="K53" s="42"/>
      <c r="L53" s="82">
        <v>0.2916666666666667</v>
      </c>
      <c r="M53" s="82">
        <v>0.2916666666666667</v>
      </c>
      <c r="N53" s="82" t="s">
        <v>202</v>
      </c>
      <c r="O53" s="82">
        <v>0.2916666666666667</v>
      </c>
      <c r="P53" s="82">
        <v>0.2916666666666667</v>
      </c>
      <c r="Q53" s="82">
        <v>0.2916666666666667</v>
      </c>
      <c r="R53" s="83"/>
      <c r="S53" s="82">
        <v>0.2916666666666667</v>
      </c>
      <c r="T53" s="82">
        <v>0.2916666666666667</v>
      </c>
      <c r="U53" s="82" t="s">
        <v>202</v>
      </c>
      <c r="V53" s="82">
        <v>0.2916666666666667</v>
      </c>
      <c r="W53" s="82">
        <v>0.2916666666666667</v>
      </c>
      <c r="X53" s="82">
        <v>0.2916666666666667</v>
      </c>
      <c r="Y53" s="82"/>
      <c r="Z53" s="82">
        <v>0.2916666666666667</v>
      </c>
      <c r="AA53" s="82">
        <v>0.2916666666666667</v>
      </c>
      <c r="AB53" s="82" t="s">
        <v>202</v>
      </c>
      <c r="AC53" s="82">
        <v>0.2916666666666667</v>
      </c>
      <c r="AD53" s="82">
        <v>0.2916666666666667</v>
      </c>
      <c r="AE53" s="82">
        <v>0.2916666666666667</v>
      </c>
      <c r="AF53" s="84"/>
      <c r="AG53" s="82">
        <v>0.2916666666666667</v>
      </c>
      <c r="AH53" s="82">
        <v>0.2916666666666667</v>
      </c>
      <c r="AI53" s="82" t="s">
        <v>202</v>
      </c>
      <c r="AJ53" s="82">
        <v>0.2916666666666667</v>
      </c>
      <c r="AK53" s="82">
        <v>0.2916666666666667</v>
      </c>
      <c r="AL53" s="82">
        <v>0.2916666666666667</v>
      </c>
      <c r="AM53" s="85"/>
    </row>
    <row r="54">
      <c r="A54" s="103" t="s">
        <v>187</v>
      </c>
      <c r="B54" s="92" t="str">
        <f t="array" ref="B54">XLOOKUP(A54,Roster!F:F,Roster!A:A,"",0)</f>
        <v>Luis Vidal</v>
      </c>
      <c r="C54" s="92" t="str">
        <f t="array" ref="C54">XLOOKUP(A54,Roster!F:F,Roster!B:B,"",0)</f>
        <v>Yeiner Tapias</v>
      </c>
      <c r="D54" s="82"/>
      <c r="E54" s="96">
        <v>0.3333333333333333</v>
      </c>
      <c r="F54" s="96">
        <v>0.3333333333333333</v>
      </c>
      <c r="G54" s="97" t="s">
        <v>202</v>
      </c>
      <c r="H54" s="96">
        <v>0.3333333333333333</v>
      </c>
      <c r="I54" s="96">
        <v>0.3333333333333333</v>
      </c>
      <c r="J54" s="96">
        <v>0.3333333333333333</v>
      </c>
      <c r="K54" s="42"/>
      <c r="L54" s="81">
        <v>0.3333333333333333</v>
      </c>
      <c r="M54" s="81">
        <v>0.3333333333333333</v>
      </c>
      <c r="N54" s="82" t="s">
        <v>202</v>
      </c>
      <c r="O54" s="81">
        <v>0.3333333333333333</v>
      </c>
      <c r="P54" s="81">
        <v>0.3333333333333333</v>
      </c>
      <c r="Q54" s="81">
        <v>0.3333333333333333</v>
      </c>
      <c r="R54" s="83"/>
      <c r="S54" s="81">
        <v>0.3333333333333333</v>
      </c>
      <c r="T54" s="81">
        <v>0.3333333333333333</v>
      </c>
      <c r="U54" s="82" t="s">
        <v>202</v>
      </c>
      <c r="V54" s="81">
        <v>0.3333333333333333</v>
      </c>
      <c r="W54" s="81">
        <v>0.3333333333333333</v>
      </c>
      <c r="X54" s="81">
        <v>0.3333333333333333</v>
      </c>
      <c r="Y54" s="82"/>
      <c r="Z54" s="81">
        <v>0.3333333333333333</v>
      </c>
      <c r="AA54" s="81">
        <v>0.3333333333333333</v>
      </c>
      <c r="AB54" s="82" t="s">
        <v>202</v>
      </c>
      <c r="AC54" s="81">
        <v>0.3333333333333333</v>
      </c>
      <c r="AD54" s="81">
        <v>0.3333333333333333</v>
      </c>
      <c r="AE54" s="81">
        <v>0.3333333333333333</v>
      </c>
      <c r="AF54" s="84"/>
      <c r="AG54" s="81">
        <v>0.3333333333333333</v>
      </c>
      <c r="AH54" s="81">
        <v>0.3333333333333333</v>
      </c>
      <c r="AI54" s="82" t="s">
        <v>202</v>
      </c>
      <c r="AJ54" s="81">
        <v>0.3333333333333333</v>
      </c>
      <c r="AK54" s="81">
        <v>0.3333333333333333</v>
      </c>
      <c r="AL54" s="81">
        <v>0.3333333333333333</v>
      </c>
      <c r="AM54" s="85"/>
    </row>
    <row r="55">
      <c r="A55" s="119"/>
      <c r="B55" s="120"/>
      <c r="C55" s="121" t="s">
        <v>200</v>
      </c>
      <c r="D55" s="40"/>
      <c r="E55" s="122">
        <f t="array" ref="E55">SUM(COUNTIF(E3:E56,{"5:00","5:30","6:00","6:30","7:00","7:30","8:00","8:30","9:00","9:30"}))</f>
        <v>47</v>
      </c>
      <c r="F55" s="122">
        <f t="array" ref="F55">SUM(COUNTIF(F3:F56,{"5:00","5:30","6:00","6:30","7:00","7:30","8:00","8:30","9:00","9:30"}))</f>
        <v>42</v>
      </c>
      <c r="G55" s="122">
        <f t="array" ref="G55">SUM(COUNTIF(G3:G56,{"5:00","5:30","6:00","6:30","7:00","7:30","8:00","8:30","9:00","9:30"}))</f>
        <v>42</v>
      </c>
      <c r="H55" s="122">
        <f t="array" ref="H55">SUM(COUNTIF(H3:H56,{"5:00","5:30","6:00","6:30","7:00","7:30","8:00","8:30","9:00","9:30"}))</f>
        <v>34</v>
      </c>
      <c r="I55" s="122">
        <f t="array" ref="I55">SUM(COUNTIF(I3:I56,{"5:00","5:30","6:00","6:30","7:00","7:30","8:00","8:30","9:00","9:30"}))</f>
        <v>47</v>
      </c>
      <c r="J55" s="122">
        <f t="array" ref="J55">SUM(COUNTIF(J3:J56,{"5:00","5:30","6:00","6:30","7:00","7:30","8:00","8:30","9:00","9:30"}))</f>
        <v>28</v>
      </c>
      <c r="K55" s="42"/>
      <c r="L55" s="122">
        <f t="array" ref="L55">SUM(COUNTIF(L3:L56,{"5:00","5:30","6:00","6:30","7:00","7:30","8:00","8:30","9:00","9:30"}))</f>
        <v>48</v>
      </c>
      <c r="M55" s="122">
        <f t="array" ref="M55">SUM(COUNTIF(M3:M56,{"5:00","5:30","6:00","6:30","7:00","7:30","8:00","8:30","9:00","9:30"}))</f>
        <v>44</v>
      </c>
      <c r="N55" s="122">
        <f t="array" ref="N55">SUM(COUNTIF(N3:N56,{"5:00","5:30","6:00","6:30","7:00","7:30","8:00","8:30","9:00","9:30"}))</f>
        <v>39</v>
      </c>
      <c r="O55" s="122">
        <f t="array" ref="O55">SUM(COUNTIF(O3:O56,{"5:00","5:30","6:00","6:30","7:00","7:30","8:00","8:30","9:00","9:30"}))</f>
        <v>36</v>
      </c>
      <c r="P55" s="122">
        <f t="array" ref="P55">SUM(COUNTIF(P3:P56,{"5:00","5:30","6:00","6:30","7:00","7:30","8:00","8:30","9:00","9:30"}))</f>
        <v>48</v>
      </c>
      <c r="Q55" s="122">
        <f t="array" ref="Q55">SUM(COUNTIF(Q3:Q56,{"5:00","5:30","6:00","6:30","7:00","7:30","8:00","8:30","9:00","9:30"}))</f>
        <v>29</v>
      </c>
      <c r="R55" s="83"/>
      <c r="S55" s="122">
        <f t="array" ref="S55">SUM(COUNTIF(S3:S56,{"5:00","5:30","6:00","6:30","7:00","7:30","8:00","8:30","9:00","9:30"}))</f>
        <v>48</v>
      </c>
      <c r="T55" s="122">
        <f t="array" ref="T55">SUM(COUNTIF(T3:T56,{"5:00","5:30","6:00","6:30","7:00","7:30","8:00","8:30","9:00","9:30"}))</f>
        <v>46</v>
      </c>
      <c r="U55" s="122">
        <f t="array" ref="U55">SUM(COUNTIF(U3:U56,{"5:00","5:30","6:00","6:30","7:00","7:30","8:00","8:30","9:00","9:30"}))</f>
        <v>39</v>
      </c>
      <c r="V55" s="122">
        <f t="array" ref="V55">SUM(COUNTIF(V3:V56,{"5:00","5:30","6:00","6:30","7:00","7:30","8:00","8:30","9:00","9:30"}))</f>
        <v>36</v>
      </c>
      <c r="W55" s="122">
        <f t="array" ref="W55">SUM(COUNTIF(W3:W56,{"5:00","5:30","6:00","6:30","7:00","7:30","8:00","8:30","9:00","9:30"}))</f>
        <v>49</v>
      </c>
      <c r="X55" s="122">
        <f t="array" ref="X55">SUM(COUNTIF(X3:X56,{"5:00","5:30","6:00","6:30","7:00","7:30","8:00","8:30","9:00","9:30"}))</f>
        <v>30</v>
      </c>
      <c r="Y55" s="82"/>
      <c r="Z55" s="122">
        <f t="array" ref="Z55">SUM(COUNTIF(Z3:Z56,{"5:00","5:30","6:00","6:30","7:00","7:30","8:00","8:30","9:00","9:30"}))</f>
        <v>49</v>
      </c>
      <c r="AA55" s="122">
        <f t="array" ref="AA55">SUM(COUNTIF(AA3:AA56,{"5:00","5:30","6:00","6:30","7:00","7:30","8:00","8:30","9:00","9:30"}))</f>
        <v>45</v>
      </c>
      <c r="AB55" s="122">
        <f t="array" ref="AB55">SUM(COUNTIF(AB3:AB56,{"5:00","5:30","6:00","6:30","7:00","7:30","8:00","8:30","9:00","9:30"}))</f>
        <v>39</v>
      </c>
      <c r="AC55" s="122">
        <f t="array" ref="AC55">SUM(COUNTIF(AC3:AC56,{"5:00","5:30","6:00","6:30","7:00","7:30","8:00","8:30","9:00","9:30"}))</f>
        <v>37</v>
      </c>
      <c r="AD55" s="122">
        <f t="array" ref="AD55">SUM(COUNTIF(AD3:AD56,{"5:00","5:30","6:00","6:30","7:00","7:30","8:00","8:30","9:00","9:30"}))</f>
        <v>49</v>
      </c>
      <c r="AE55" s="122">
        <f t="array" ref="AE55">SUM(COUNTIF(AE3:AE56,{"5:00","5:30","6:00","6:30","7:00","7:30","8:00","8:30","9:00","9:30"}))</f>
        <v>29</v>
      </c>
      <c r="AF55" s="84"/>
      <c r="AG55" s="122">
        <f t="array" ref="AG55">SUM(COUNTIF(AG3:AG56,{"5:00","5:30","6:00","6:30","7:00","7:30","8:00","8:30","9:00","9:30"}))</f>
        <v>48</v>
      </c>
      <c r="AH55" s="122">
        <f t="array" ref="AH55">SUM(COUNTIF(AH3:AH56,{"5:00","5:30","6:00","6:30","7:00","7:30","8:00","8:30","9:00","9:30"}))</f>
        <v>45</v>
      </c>
      <c r="AI55" s="122">
        <f t="array" ref="AI55">SUM(COUNTIF(AI3:AI56,{"5:00","5:30","6:00","6:30","7:00","7:30","8:00","8:30","9:00","9:30"}))</f>
        <v>39</v>
      </c>
      <c r="AJ55" s="122">
        <f t="array" ref="AJ55">SUM(COUNTIF(AJ3:AJ56,{"5:00","5:30","6:00","6:30","7:00","7:30","8:00","8:30","9:00","9:30"}))</f>
        <v>35</v>
      </c>
      <c r="AK55" s="122">
        <f t="array" ref="AK55">SUM(COUNTIF(AK3:AK56,{"5:00","5:30","6:00","6:30","7:00","7:30","8:00","8:30","9:00","9:30"}))</f>
        <v>48</v>
      </c>
      <c r="AL55" s="122">
        <f t="array" ref="AL55">SUM(COUNTIF(AL3:AL56,{"5:00","5:30","6:00","6:30","7:00","7:30","8:00","8:30","9:00","9:30"}))</f>
        <v>31</v>
      </c>
      <c r="AM55" s="85"/>
    </row>
    <row r="56">
      <c r="A56" s="123"/>
      <c r="B56" s="124"/>
      <c r="C56" s="125" t="s">
        <v>189</v>
      </c>
      <c r="D56" s="40"/>
      <c r="E56" s="72">
        <f t="array" ref="E56">SUM(COUNTIF(E3:E56,{"10:00","10:30","11:00","11:30","12:00","12:30","13:00"}))</f>
        <v>2</v>
      </c>
      <c r="F56" s="72">
        <f t="array" ref="F56">SUM(COUNTIF(F3:F56,{"10:00","10:30","11:00","11:30","12:00","12:30","13:00"}))</f>
        <v>1</v>
      </c>
      <c r="G56" s="72">
        <f t="array" ref="G56">SUM(COUNTIF(G3:G56,{"10:00","10:30","11:00","11:30","12:00","12:30","13:00"}))</f>
        <v>0</v>
      </c>
      <c r="H56" s="72">
        <f t="array" ref="H56">SUM(COUNTIF(H3:H56,{"10:00","10:30","11:00","11:30","12:00","12:30","13:00"}))</f>
        <v>1</v>
      </c>
      <c r="I56" s="72">
        <f t="array" ref="I56">SUM(COUNTIF(I3:I56,{"10:00","10:30","11:00","11:30","12:00","12:30","13:00"}))</f>
        <v>1</v>
      </c>
      <c r="J56" s="72">
        <f t="array" ref="J56">SUM(COUNTIF(J3:J56,{"10:00","10:30","11:00","11:30","12:00","12:30","13:00"}))</f>
        <v>0</v>
      </c>
      <c r="K56" s="42"/>
      <c r="L56" s="72">
        <f t="array" ref="L56">SUM(COUNTIF(L3:L56,{"10:00","10:30","11:00","11:30","12:00","12:30","13:00"}))</f>
        <v>2</v>
      </c>
      <c r="M56" s="72">
        <f t="array" ref="M56">SUM(COUNTIF(M3:M56,{"10:00","10:30","11:00","11:30","12:00","12:30","13:00"}))</f>
        <v>0</v>
      </c>
      <c r="N56" s="72">
        <f t="array" ref="N56">SUM(COUNTIF(N3:N56,{"10:00","10:30","11:00","11:30","12:00","12:30","13:00"}))</f>
        <v>0</v>
      </c>
      <c r="O56" s="72">
        <f t="array" ref="O56">SUM(COUNTIF(O3:O56,{"10:00","10:30","11:00","11:30","12:00","12:30","13:00"}))</f>
        <v>1</v>
      </c>
      <c r="P56" s="72">
        <f t="array" ref="P56">SUM(COUNTIF(P3:P56,{"10:00","10:30","11:00","11:30","12:00","12:30","13:00"}))</f>
        <v>1</v>
      </c>
      <c r="Q56" s="72">
        <f t="array" ref="Q56">SUM(COUNTIF(Q3:Q56,{"10:00","10:30","11:00","11:30","12:00","12:30","13:00"}))</f>
        <v>0</v>
      </c>
      <c r="R56" s="83"/>
      <c r="S56" s="72">
        <f t="array" ref="S56">SUM(COUNTIF(S3:S56,{"10:00","10:30","11:00","11:30","12:00","12:30","13:00"}))</f>
        <v>1</v>
      </c>
      <c r="T56" s="72">
        <f t="array" ref="T56">SUM(COUNTIF(T3:T56,{"10:00","10:30","11:00","11:30","12:00","12:30","13:00"}))</f>
        <v>0</v>
      </c>
      <c r="U56" s="72">
        <f t="array" ref="U56">SUM(COUNTIF(U3:U56,{"10:00","10:30","11:00","11:30","12:00","12:30","13:00"}))</f>
        <v>0</v>
      </c>
      <c r="V56" s="72">
        <f t="array" ref="V56">SUM(COUNTIF(V3:V56,{"10:00","10:30","11:00","11:30","12:00","12:30","13:00"}))</f>
        <v>0</v>
      </c>
      <c r="W56" s="72">
        <f t="array" ref="W56">SUM(COUNTIF(W3:W56,{"10:00","10:30","11:00","11:30","12:00","12:30","13:00"}))</f>
        <v>0</v>
      </c>
      <c r="X56" s="72">
        <f t="array" ref="X56">SUM(COUNTIF(X3:X56,{"10:00","10:30","11:00","11:30","12:00","12:30","13:00"}))</f>
        <v>0</v>
      </c>
      <c r="Y56" s="82"/>
      <c r="Z56" s="72">
        <f t="array" ref="Z56">SUM(COUNTIF(Z3:Z56,{"10:00","10:30","11:00","11:30","12:00","12:30","13:00"}))</f>
        <v>1</v>
      </c>
      <c r="AA56" s="72">
        <f t="array" ref="AA56">SUM(COUNTIF(AA3:AA56,{"10:00","10:30","11:00","11:30","12:00","12:30","13:00"}))</f>
        <v>0</v>
      </c>
      <c r="AB56" s="72">
        <f t="array" ref="AB56">SUM(COUNTIF(AB3:AB56,{"10:00","10:30","11:00","11:30","12:00","12:30","13:00"}))</f>
        <v>0</v>
      </c>
      <c r="AC56" s="72">
        <f t="array" ref="AC56">SUM(COUNTIF(AC3:AC56,{"10:00","10:30","11:00","11:30","12:00","12:30","13:00"}))</f>
        <v>0</v>
      </c>
      <c r="AD56" s="72">
        <f t="array" ref="AD56">SUM(COUNTIF(AD3:AD56,{"10:00","10:30","11:00","11:30","12:00","12:30","13:00"}))</f>
        <v>0</v>
      </c>
      <c r="AE56" s="72">
        <f t="array" ref="AE56">SUM(COUNTIF(AE3:AE56,{"10:00","10:30","11:00","11:30","12:00","12:30","13:00"}))</f>
        <v>0</v>
      </c>
      <c r="AF56" s="84"/>
      <c r="AG56" s="72">
        <f t="array" ref="AG56">SUM(COUNTIF(AG3:AG56,{"10:00","10:30","11:00","11:30","12:00","12:30","13:00"}))</f>
        <v>2</v>
      </c>
      <c r="AH56" s="72">
        <f t="array" ref="AH56">SUM(COUNTIF(AH3:AH56,{"10:00","10:30","11:00","11:30","12:00","12:30","13:00"}))</f>
        <v>0</v>
      </c>
      <c r="AI56" s="72">
        <f t="array" ref="AI56">SUM(COUNTIF(AI3:AI56,{"10:00","10:30","11:00","11:30","12:00","12:30","13:00"}))</f>
        <v>0</v>
      </c>
      <c r="AJ56" s="72">
        <f t="array" ref="AJ56">SUM(COUNTIF(AJ3:AJ56,{"10:00","10:30","11:00","11:30","12:00","12:30","13:00"}))</f>
        <v>1</v>
      </c>
      <c r="AK56" s="72">
        <f t="array" ref="AK56">SUM(COUNTIF(AK3:AK56,{"10:00","10:30","11:00","11:30","12:00","12:30","13:00"}))</f>
        <v>1</v>
      </c>
      <c r="AL56" s="72">
        <f t="array" ref="AL56">SUM(COUNTIF(AL3:AL56,{"10:00","10:30","11:00","11:30","12:00","12:30","13:00"}))</f>
        <v>0</v>
      </c>
      <c r="AM56" s="85"/>
    </row>
    <row r="57">
      <c r="A57" s="59"/>
      <c r="B57" s="124"/>
      <c r="C57" s="126" t="s">
        <v>190</v>
      </c>
      <c r="D57" s="40"/>
      <c r="E57" s="127">
        <f t="shared" ref="E57:J57" si="2">SUM(E55:E56)</f>
        <v>49</v>
      </c>
      <c r="F57" s="127">
        <f t="shared" si="2"/>
        <v>43</v>
      </c>
      <c r="G57" s="127">
        <f t="shared" si="2"/>
        <v>42</v>
      </c>
      <c r="H57" s="127">
        <f t="shared" si="2"/>
        <v>35</v>
      </c>
      <c r="I57" s="127">
        <f t="shared" si="2"/>
        <v>48</v>
      </c>
      <c r="J57" s="127">
        <f t="shared" si="2"/>
        <v>28</v>
      </c>
      <c r="K57" s="42"/>
      <c r="L57" s="127">
        <f t="shared" ref="L57:Q57" si="3">SUM(L55:L56)</f>
        <v>50</v>
      </c>
      <c r="M57" s="127">
        <f t="shared" si="3"/>
        <v>44</v>
      </c>
      <c r="N57" s="127">
        <f t="shared" si="3"/>
        <v>39</v>
      </c>
      <c r="O57" s="127">
        <f t="shared" si="3"/>
        <v>37</v>
      </c>
      <c r="P57" s="127">
        <f t="shared" si="3"/>
        <v>49</v>
      </c>
      <c r="Q57" s="127">
        <f t="shared" si="3"/>
        <v>29</v>
      </c>
      <c r="R57" s="83"/>
      <c r="S57" s="127">
        <f t="shared" ref="S57:X57" si="4">SUM(S55:S56)</f>
        <v>49</v>
      </c>
      <c r="T57" s="127">
        <f t="shared" si="4"/>
        <v>46</v>
      </c>
      <c r="U57" s="127">
        <f t="shared" si="4"/>
        <v>39</v>
      </c>
      <c r="V57" s="127">
        <f t="shared" si="4"/>
        <v>36</v>
      </c>
      <c r="W57" s="127">
        <f t="shared" si="4"/>
        <v>49</v>
      </c>
      <c r="X57" s="127">
        <f t="shared" si="4"/>
        <v>30</v>
      </c>
      <c r="Y57" s="82"/>
      <c r="Z57" s="127">
        <f t="shared" ref="Z57:AE57" si="5">SUM(Z55:Z56)</f>
        <v>50</v>
      </c>
      <c r="AA57" s="127">
        <f t="shared" si="5"/>
        <v>45</v>
      </c>
      <c r="AB57" s="127">
        <f t="shared" si="5"/>
        <v>39</v>
      </c>
      <c r="AC57" s="127">
        <f t="shared" si="5"/>
        <v>37</v>
      </c>
      <c r="AD57" s="127">
        <f t="shared" si="5"/>
        <v>49</v>
      </c>
      <c r="AE57" s="127">
        <f t="shared" si="5"/>
        <v>29</v>
      </c>
      <c r="AF57" s="84"/>
      <c r="AG57" s="127">
        <f t="shared" ref="AG57:AL57" si="6">SUM(AG55:AG56)</f>
        <v>50</v>
      </c>
      <c r="AH57" s="127">
        <f t="shared" si="6"/>
        <v>45</v>
      </c>
      <c r="AI57" s="127">
        <f t="shared" si="6"/>
        <v>39</v>
      </c>
      <c r="AJ57" s="127">
        <f t="shared" si="6"/>
        <v>36</v>
      </c>
      <c r="AK57" s="127">
        <f t="shared" si="6"/>
        <v>49</v>
      </c>
      <c r="AL57" s="127">
        <f t="shared" si="6"/>
        <v>31</v>
      </c>
      <c r="AM57" s="85" t="str">
        <f t="array" ref="AM57">XLOOKUP(A57,Roster!F:F,Roster!I:I,"",0)</f>
        <v/>
      </c>
    </row>
    <row r="58">
      <c r="A58" s="123"/>
      <c r="B58" s="124"/>
      <c r="C58" s="126" t="s">
        <v>191</v>
      </c>
      <c r="D58" s="40"/>
      <c r="E58" s="128">
        <f t="shared" ref="E58:J58" si="7">COUNTIF(E5:E43,"Free")</f>
        <v>0</v>
      </c>
      <c r="F58" s="128">
        <f t="shared" si="7"/>
        <v>5</v>
      </c>
      <c r="G58" s="128">
        <f t="shared" si="7"/>
        <v>5</v>
      </c>
      <c r="H58" s="128">
        <f t="shared" si="7"/>
        <v>11</v>
      </c>
      <c r="I58" s="128">
        <f t="shared" si="7"/>
        <v>1</v>
      </c>
      <c r="J58" s="128">
        <f t="shared" si="7"/>
        <v>14</v>
      </c>
      <c r="K58" s="42"/>
      <c r="L58" s="128">
        <f t="shared" ref="L58:Q58" si="8">COUNTIF(L5:L43,"Free")</f>
        <v>0</v>
      </c>
      <c r="M58" s="128">
        <f t="shared" si="8"/>
        <v>5</v>
      </c>
      <c r="N58" s="128">
        <f t="shared" si="8"/>
        <v>7</v>
      </c>
      <c r="O58" s="128">
        <f t="shared" si="8"/>
        <v>12</v>
      </c>
      <c r="P58" s="128">
        <f t="shared" si="8"/>
        <v>1</v>
      </c>
      <c r="Q58" s="128">
        <f t="shared" si="8"/>
        <v>12</v>
      </c>
      <c r="R58" s="83"/>
      <c r="S58" s="128">
        <f t="shared" ref="S58:X58" si="9">COUNTIF(S5:S43,"Free")</f>
        <v>0</v>
      </c>
      <c r="T58" s="128">
        <f t="shared" si="9"/>
        <v>3</v>
      </c>
      <c r="U58" s="128">
        <f t="shared" si="9"/>
        <v>7</v>
      </c>
      <c r="V58" s="128">
        <f t="shared" si="9"/>
        <v>14</v>
      </c>
      <c r="W58" s="128">
        <f t="shared" si="9"/>
        <v>1</v>
      </c>
      <c r="X58" s="128">
        <f t="shared" si="9"/>
        <v>12</v>
      </c>
      <c r="Y58" s="82"/>
      <c r="Z58" s="128">
        <f t="shared" ref="Z58:AE58" si="10">COUNTIF(Z5:Z43,"Free")</f>
        <v>0</v>
      </c>
      <c r="AA58" s="128">
        <f t="shared" si="10"/>
        <v>4</v>
      </c>
      <c r="AB58" s="128">
        <f t="shared" si="10"/>
        <v>7</v>
      </c>
      <c r="AC58" s="128">
        <f t="shared" si="10"/>
        <v>13</v>
      </c>
      <c r="AD58" s="128">
        <f t="shared" si="10"/>
        <v>1</v>
      </c>
      <c r="AE58" s="128">
        <f t="shared" si="10"/>
        <v>11</v>
      </c>
      <c r="AF58" s="84"/>
      <c r="AG58" s="128">
        <f t="shared" ref="AG58:AL58" si="11">COUNTIF(AG5:AG43,"Free")</f>
        <v>0</v>
      </c>
      <c r="AH58" s="128">
        <f t="shared" si="11"/>
        <v>4</v>
      </c>
      <c r="AI58" s="128">
        <f t="shared" si="11"/>
        <v>7</v>
      </c>
      <c r="AJ58" s="128">
        <f t="shared" si="11"/>
        <v>13</v>
      </c>
      <c r="AK58" s="128">
        <f t="shared" si="11"/>
        <v>1</v>
      </c>
      <c r="AL58" s="128">
        <f t="shared" si="11"/>
        <v>12</v>
      </c>
      <c r="AM58" s="85" t="str">
        <f t="array" ref="AM58">XLOOKUP(A58,Roster!F:F,Roster!I:I,"",0)</f>
        <v/>
      </c>
    </row>
  </sheetData>
  <autoFilter ref="$A$2:$AM$54">
    <sortState ref="A2:AM54">
      <sortCondition ref="B2:B54"/>
      <sortCondition ref="C2:C54"/>
    </sortState>
  </autoFilter>
  <conditionalFormatting sqref="D4 J4 Q4 X4 AE4 AL4 Q9 X9 AE9 D20:D21 J20:J21 Q20:Q21 X20:X21 AE20:AE21 AL20:AL21 J27 Q27 S27 X31 AE31 F33 J33 M33 Q33 T33 X33 AA33 AE33 AH33 AL33 AL35 J36">
    <cfRule type="cellIs" dxfId="30" priority="1" operator="equal">
      <formula>"Free"</formula>
    </cfRule>
  </conditionalFormatting>
  <conditionalFormatting sqref="AF3:AF58 A4:AE4 AG4:AM4 Q9 S9:X9 Z9:AE9 A20:AE21 AG20:AM21 E27:J27 L27:Q27 S27 Q31 S31:X31 Z31:AE31 E33:J33 L33:Q33 S33:X33 Z33:AE33 AG33:AL33 AE35 AG35:AL35 E36:J36">
    <cfRule type="containsText" dxfId="10" priority="2" operator="containsText" text="Free">
      <formula>NOT(ISERROR(SEARCH(("Free"),(AF3))))</formula>
    </cfRule>
  </conditionalFormatting>
  <conditionalFormatting sqref="D1:AM1 AF3:AF58 D4:AE4 AG4:AM4 Q9 S9:X9 Z9:AE9 D20:AE21 AG20:AM21 E27:J27 L27:Q27 S27 Q31 S31:X31 Z31:AE31 E33:J33 L33:Q33 S33:X33 Z33:AE33 AG33:AL33 AE35 AG35:AL35 E36:J36">
    <cfRule type="cellIs" dxfId="10" priority="3" operator="equal">
      <formula>"Free"</formula>
    </cfRule>
  </conditionalFormatting>
  <conditionalFormatting sqref="E3:E54 F3:F48 G3:I54 J3:J48 K3:K58 L3:Q54 R3:R58 S3:X54 Y3:Y58 Z3:AE54 AF3:AM58 D4 D20:D21 F50:F54 J50:J54">
    <cfRule type="containsText" dxfId="23" priority="4" operator="containsText" text="Free">
      <formula>NOT(ISERROR(SEARCH(("Free"),(E3))))</formula>
    </cfRule>
  </conditionalFormatting>
  <conditionalFormatting sqref="E3:E54 F3:F48 G3:I54 J3:J48 K3:K58 L3:Q54 R3:R58 S3:X54 Y3:Y58 Z3:AE54 AF3:AM58 D4 D20:D21 F50:F54 J50:J54">
    <cfRule type="containsText" dxfId="24" priority="5" operator="containsText" text="7:00">
      <formula>NOT(ISERROR(SEARCH(("7:00"),(E3))))</formula>
    </cfRule>
  </conditionalFormatting>
  <conditionalFormatting sqref="E3:E54 F3:F48 G3:I54 J3:J48 K3:K58 L3:Q54 R3:R58 S3:X54 Y3:Y58 Z3:AE54 AF3:AM58 D4 D20:D21 F50:F54 J50:J54">
    <cfRule type="containsText" dxfId="25" priority="6" operator="containsText" text="8:00">
      <formula>NOT(ISERROR(SEARCH(("8:00"),(E3))))</formula>
    </cfRule>
  </conditionalFormatting>
  <conditionalFormatting sqref="E3:E54 F3:F48 G3:I54 J3:J48 K3:K58 L3:Q54 R3:R58 S3:X54 Y3:Y58 Z3:AE54 AF3:AM58 D4 D20:D21 F50:F54 J50:J54">
    <cfRule type="containsText" dxfId="26" priority="7" operator="containsText" text="6:00">
      <formula>NOT(ISERROR(SEARCH(("6:00"),(E3))))</formula>
    </cfRule>
  </conditionalFormatting>
  <conditionalFormatting sqref="E3:E54 F3:F48 G3:I54 J3:J48 K3:K58 L3:Q54 R3:R58 S3:X54 Y3:Y58 Z3:AE54 AF3:AM58 D4 D20:D21 F50:F54 J50:J54">
    <cfRule type="containsText" dxfId="27" priority="8" operator="containsText" text="12:00">
      <formula>NOT(ISERROR(SEARCH(("12:00"),(E3))))</formula>
    </cfRule>
  </conditionalFormatting>
  <conditionalFormatting sqref="E3:E54 F3:F48 G3:I54 J3:J48 K3:K58 L3:Q54 R3:R58 S3:X54 Y3:Y58 Z3:AE54 AF3:AM58 D4 D20:D21 F50:F54 J50:J54">
    <cfRule type="containsText" dxfId="28" priority="9" operator="containsText" text="9:00">
      <formula>NOT(ISERROR(SEARCH(("9:00"),(E3))))</formula>
    </cfRule>
  </conditionalFormatting>
  <conditionalFormatting sqref="E3:E54 F3:F48 G3:I54 J3:J48 K3:K58 L3:Q54 R3:R58 S3:X54 Y3:Y58 Z3:AE54 AF3:AM58 D4 D20:D21 F50:F54 J50:J54">
    <cfRule type="containsText" dxfId="29" priority="10" operator="containsText" text="VL">
      <formula>NOT(ISERROR(SEARCH(("VL"),(E3))))</formula>
    </cfRule>
  </conditionalFormatting>
  <conditionalFormatting sqref="D3:D58 E3:E54 F3:F48 G3:I54 J3:J48 K3:K58 L3:Q54 R3:R58 S3:X54 Y3:Y58 Z3:AE54 AF3:AM58 F50:F54 J50:J54">
    <cfRule type="containsText" dxfId="1" priority="11" operator="containsText" text="12:00">
      <formula>NOT(ISERROR(SEARCH(("12:00"),(D3))))</formula>
    </cfRule>
  </conditionalFormatting>
  <conditionalFormatting sqref="D3:D58 E3:E54 F3:F48 G3:I54 J3:J48 K3:K58 L3:Q54 R3:R58 S3:X54 Y3:Y58 Z3:AE54 AF3:AM58 F50:F54 J50:J54">
    <cfRule type="containsText" dxfId="9" priority="12" operator="containsText" text="6:30">
      <formula>NOT(ISERROR(SEARCH(("6:30"),(D3))))</formula>
    </cfRule>
  </conditionalFormatting>
  <conditionalFormatting sqref="D1:AM1 D3:D58 E3:E54 F3:F48 G3:I54 J3:J48 K3:K58 L3:Q54 R3:R58 S3:X54 Y3:Y58 Z3:AE54 AF3:AM58 A4:C4 A20:C21 F50:F54 J50:J54">
    <cfRule type="containsText" dxfId="2" priority="13" operator="containsText" text="7:00">
      <formula>NOT(ISERROR(SEARCH(("7:00"),(D1))))</formula>
    </cfRule>
  </conditionalFormatting>
  <conditionalFormatting sqref="D1:AM1 D3:D58 E3:E54 F3:F48 G3:I54 J3:J48 K3:K58 L3:Q54 R3:R58 S3:X54 Y3:Y58 Z3:AE54 AF3:AM58 F50:F54 J50:J54">
    <cfRule type="containsText" dxfId="20" priority="14" operator="containsText" text="7:00">
      <formula>NOT(ISERROR(SEARCH(("7:00"),(D1))))</formula>
    </cfRule>
  </conditionalFormatting>
  <conditionalFormatting sqref="D1:AM1 D3:D58 E3:E54 F3:F48 G3:I54 J3:J48 K3:K58 L3:Q54 R3:R58 S3:X54 Y3:Y58 Z3:AE54 AF3:AM58 A4:C4 A20:C21 F50:F54 J50:J54">
    <cfRule type="containsText" dxfId="21" priority="15" operator="containsText" text="8:00">
      <formula>NOT(ISERROR(SEARCH(("8:00"),(D1))))</formula>
    </cfRule>
  </conditionalFormatting>
  <conditionalFormatting sqref="D1:AM1 D3:D58 E3:E54 F3:F48 G3:I54 J3:J48 K3:K58 L3:Q54 R3:R58 S3:X54 Y3:Y58 Z3:AE54 AF3:AM58 F50:F54 J50:J54">
    <cfRule type="containsText" dxfId="22" priority="16" operator="containsText" text="9:00">
      <formula>NOT(ISERROR(SEARCH(("9:00"),(D1))))</formula>
    </cfRule>
  </conditionalFormatting>
  <conditionalFormatting sqref="D3:D58 E3:E54 F3:F48 G3:I54 J3:J48 K3:K58 L3:Q54 R3:R58 S3:X54 Y3:Y58 Z3:AE54 AF3:AM58 A25:C25 A27:C31 A37:C54 F50:F54 J50:J54">
    <cfRule type="containsText" dxfId="9" priority="17" operator="containsText" text="Free">
      <formula>NOT(ISERROR(SEARCH(("Free"),(D3))))</formula>
    </cfRule>
  </conditionalFormatting>
  <conditionalFormatting sqref="D3:D58 E3:E54 F3:F48 G3:I54 J3:J48 K3:K58 L3:Q54 R3:R58 S3:X54 Y3:Y58 Z3:AE54 AF3:AM58 A4:C4 A20:C21 A25:C25 A27:C31 A37:C54 F50:F54 J50:J54">
    <cfRule type="containsText" dxfId="8" priority="18" operator="containsText" text="12:00">
      <formula>NOT(ISERROR(SEARCH(("12:00"),(D3))))</formula>
    </cfRule>
  </conditionalFormatting>
  <conditionalFormatting sqref="D1:AM1 D3:D58 E3:E54 F3:F48 G3:I54 J3:J48 K3:K58 L3:Q54 R3:R58 S3:X54 Y3:Y58 Z3:AE54 AF3:AM58 A4:C4 A20:C21 A25:C25 A27:C31 A37:C54 F50:F54 J50:J54">
    <cfRule type="containsText" dxfId="7" priority="19" operator="containsText" text="11:00">
      <formula>NOT(ISERROR(SEARCH(("11:00"),(D1))))</formula>
    </cfRule>
  </conditionalFormatting>
  <conditionalFormatting sqref="D1:AM1 D3:D58 E3:E54 F3:F48 G3:I54 J3:J48 K3:K58 L3:Q54 R3:R58 S3:X54 Y3:Y58 Z3:AE54 AF3:AM58 A4:C4 A20:C21 A25:C25 A27:C31 A37:C54 F50:F54 J50:J54">
    <cfRule type="containsText" dxfId="6" priority="20" operator="containsText" text="10:00">
      <formula>NOT(ISERROR(SEARCH(("10:00"),(D1))))</formula>
    </cfRule>
  </conditionalFormatting>
  <conditionalFormatting sqref="D1:AM1 D3:D58 E3:E54 F3:F48 G3:I54 J3:J48 K3:K58 L3:Q54 R3:R58 S3:X54 Y3:Y58 Z3:AE54 AF3:AM58 A4:C4 A20:C21 A25:C25 A27:C31 A37:C54 F50:F54 J50:J54">
    <cfRule type="containsText" dxfId="5" priority="21" operator="containsText" text="9:00">
      <formula>NOT(ISERROR(SEARCH(("9:00"),(D1))))</formula>
    </cfRule>
  </conditionalFormatting>
  <conditionalFormatting sqref="D1:AM1 D3:D58 E3:E54 F3:F48 G3:I54 J3:J48 K3:K58 L3:Q54 R3:R58 S3:X54 Y3:Y58 Z3:AE54 AF3:AM58 A4:C4 A20:C21 A25:C25 A27:C31 A37:C54 F50:F54 J50:J54">
    <cfRule type="containsText" dxfId="4" priority="22" operator="containsText" text="5:30">
      <formula>NOT(ISERROR(SEARCH(("5:30"),(D1))))</formula>
    </cfRule>
  </conditionalFormatting>
  <conditionalFormatting sqref="D1:AM1 A3:C56 D3:D58 E3:E56 F3:F48 G3:I56 J3:J48 K3:K58 L3:Q56 R3:R58 S3:X56 Y3:Y58 Z3:AE56 AF3:AM58 F50:F56 J50:J56">
    <cfRule type="containsText" dxfId="3" priority="23" operator="containsText" text="8:00">
      <formula>NOT(ISERROR(SEARCH(("8:00"),(D1))))</formula>
    </cfRule>
  </conditionalFormatting>
  <conditionalFormatting sqref="A3:C31 D3:D58 E3:E56 F3:F48 G3:I56 J3:J48 K3:K58 L3:Q56 R3:R58 S3:X56 Y3:Y58 Z3:AE56 AF3:AM58 A37:C54 F50:F56 J50:J56">
    <cfRule type="containsText" dxfId="1" priority="24" operator="containsText" text="7:00">
      <formula>NOT(ISERROR(SEARCH(("7:00"),(A3))))</formula>
    </cfRule>
  </conditionalFormatting>
  <conditionalFormatting sqref="A3:C31 D3:D58 E3:E56 F3:F48 G3:I56 J3:J48 K3:K58 L3:Q56 R3:R58 S3:X56 Y3:Y58 Z3:AE56 AF3:AM58 A37:C54 F50:F56 J50:J56">
    <cfRule type="containsText" dxfId="11" priority="25" operator="containsText" text="6:00">
      <formula>NOT(ISERROR(SEARCH(("6:00"),(A3))))</formula>
    </cfRule>
  </conditionalFormatting>
  <conditionalFormatting sqref="D1:AM1 D3:D58 E3:E54 F3:F48 G3:I54 J3:J48 K3:K58 L3:Q54 R3:R58 S3:X54 Y3:Y58 Z3:AE54 AF3:AM58 A4:C4 A20:C21 A25:C25 A27:C31 A37:C54 F50:F54 J50:J54">
    <cfRule type="containsText" dxfId="0" priority="26" operator="containsText" text="5:00">
      <formula>NOT(ISERROR(SEARCH(("5:00"),(D1))))</formula>
    </cfRule>
  </conditionalFormatting>
  <conditionalFormatting sqref="A8 B8:B9 C8:D8">
    <cfRule type="containsText" dxfId="0" priority="27" operator="containsText" text="5:00">
      <formula>NOT(ISERROR(SEARCH(("5:00"),(A8))))</formula>
    </cfRule>
  </conditionalFormatting>
  <conditionalFormatting sqref="D1:AM1 D3:D58 E3:E54 F3:F48 G3:I54 J3:J48 K3:K58 L3:Q54 R3:R58 S3:X54 Y3:Y58 Z3:AE54 AF3:AM58 A4:C4 A8 B8:B9 C8 A20:C21 F50:F54 J50:J54">
    <cfRule type="containsText" dxfId="1" priority="28" operator="containsText" text="6:00">
      <formula>NOT(ISERROR(SEARCH(("6:00"),(D1))))</formula>
    </cfRule>
  </conditionalFormatting>
  <conditionalFormatting sqref="D1:AM1 D3:E54 F3:F48 G3:I54 J3:J48 K3:K58 L3:Q54 R3:R58 S3:X54 Y3:Y58 Z3:AE54 AF3:AM58 A8 B8:B9 C8 F50:F54 J50:J54">
    <cfRule type="containsText" dxfId="16" priority="29" operator="containsText" text="7:00">
      <formula>NOT(ISERROR(SEARCH(("7:00"),(D1))))</formula>
    </cfRule>
  </conditionalFormatting>
  <conditionalFormatting sqref="A8 B8:B9 C8:D8">
    <cfRule type="containsText" dxfId="3" priority="30" operator="containsText" text="8:00">
      <formula>NOT(ISERROR(SEARCH(("8:00"),(A8))))</formula>
    </cfRule>
  </conditionalFormatting>
  <conditionalFormatting sqref="A8 B8:B9 C8:D8">
    <cfRule type="containsText" dxfId="4" priority="31" operator="containsText" text="5:30">
      <formula>NOT(ISERROR(SEARCH(("5:30"),(A8))))</formula>
    </cfRule>
  </conditionalFormatting>
  <conditionalFormatting sqref="A8 B8:B9 C8:D8">
    <cfRule type="containsText" dxfId="5" priority="32" operator="containsText" text="9:00">
      <formula>NOT(ISERROR(SEARCH(("9:00"),(A8))))</formula>
    </cfRule>
  </conditionalFormatting>
  <conditionalFormatting sqref="A8 B8:B9 C8:D8">
    <cfRule type="containsText" dxfId="6" priority="33" operator="containsText" text="10:00">
      <formula>NOT(ISERROR(SEARCH(("10:00"),(A8))))</formula>
    </cfRule>
  </conditionalFormatting>
  <conditionalFormatting sqref="A8 B8:B9 C8:D8">
    <cfRule type="containsText" dxfId="7" priority="34" operator="containsText" text="11:00">
      <formula>NOT(ISERROR(SEARCH(("11:00"),(A8))))</formula>
    </cfRule>
  </conditionalFormatting>
  <conditionalFormatting sqref="A8 B8:B9 C8:D8">
    <cfRule type="containsText" dxfId="8" priority="35" operator="containsText" text="12:00">
      <formula>NOT(ISERROR(SEARCH(("12:00"),(A8))))</formula>
    </cfRule>
  </conditionalFormatting>
  <conditionalFormatting sqref="A8 B8:B9 C8:D8">
    <cfRule type="containsText" dxfId="9" priority="36" operator="containsText" text="Free">
      <formula>NOT(ISERROR(SEARCH(("Free"),(A8))))</formula>
    </cfRule>
  </conditionalFormatting>
  <conditionalFormatting sqref="D1:AM1">
    <cfRule type="containsText" dxfId="8" priority="37" operator="containsText" text="12:00">
      <formula>NOT(ISERROR(SEARCH(("12:00"),(D1))))</formula>
    </cfRule>
  </conditionalFormatting>
  <conditionalFormatting sqref="A3:C56 D3:D58 E3:E56 F3:F48 G3:I56 J3:J48 K3:K58 L3:Q56 R3:R58 S3:X56 Y3:Y58 Z3:AE56 AF3:AM58 F50:F56 J50:J56">
    <cfRule type="containsText" dxfId="4" priority="38" operator="containsText" text="5:00">
      <formula>NOT(ISERROR(SEARCH(("5:00"),(A3))))</formula>
    </cfRule>
  </conditionalFormatting>
  <conditionalFormatting sqref="A3:C56 D3:D58 E3:E56 F3:F48 G3:I56 J3:J48 K3:K58 L3:Q56 R3:R58 S3:X56 Y3:Y58 Z3:AE56 AF3:AM58 F50:F56 J50:J56">
    <cfRule type="containsText" dxfId="12" priority="39" operator="containsText" text="10:00">
      <formula>NOT(ISERROR(SEARCH(("10:00"),(A3))))</formula>
    </cfRule>
  </conditionalFormatting>
  <conditionalFormatting sqref="A3:C56 D3:D58 E3:E56 F3:F48 G3:I56 J3:J48 K3:K58 L3:Q56 R3:R58 S3:X56 Y3:Y58 Z3:AE56 AF3:AM58 F50:F56 J50:J56">
    <cfRule type="containsText" dxfId="13" priority="40" operator="containsText" text="9:00">
      <formula>NOT(ISERROR(SEARCH(("9:00"),(A3))))</formula>
    </cfRule>
  </conditionalFormatting>
  <conditionalFormatting sqref="Q9 S9:X9 Z9:AE9 L11:Q11 S11:X11 Z11:AE11 AG11:AL11 L15:Q15 S15:X15 Z15:AE15 AG15:AL15 A19:D21 E20:Q21 S20:X21 Z20:AE21 AG20:AL21 L24:Q24 S24:X24 Z24:AE24 AG24:AL24 F26:F27 H26:H27 M26:M27 O26:O27 T26:T27 V26:V27 AA26:AA27 AC26:AC27 AH26:AH27 AJ26:AJ27 E27 G27 I27:J27 L27 N27 P27:Q27 S27 U27 W27:X27 Z27 AB27 AD27:AE27 AG27 AI27 AK27:AL27 L29:Q29 S29:X29 Z29:AE29 AG29:AL29 Q31:Q32 S31:S32 T31:T35 U31:X32 Z31:Z32 AA31:AA35 AB31:AD32 AE31:AE35 E32 F32:F33 G32:L32 M32:M35 N32:P32 R32 Y32 AF32 AG32:AL35 AM32 L34:L35 N34:Q35 S34:S35 U34:X35 Z34:Z35 AB34:AD35 E36:J36 L44:Q44 E49 L49:Q49 S49:X49 Z49:AE49 AG49:AL49 M53:O53 T53:V53 AA53:AC53 AH53:AJ53">
    <cfRule type="cellIs" dxfId="23" priority="41" operator="equal">
      <formula>"Free"</formula>
    </cfRule>
  </conditionalFormatting>
  <conditionalFormatting sqref="A17:A21 B17:C22 D17:D21">
    <cfRule type="cellIs" dxfId="23" priority="42" operator="equal">
      <formula>"Free"</formula>
    </cfRule>
  </conditionalFormatting>
  <conditionalFormatting sqref="A1:C7 D1:E58 F1:F48 G1:I58 J1:J48 K1:AM58 A9:C18 A25:C25 A28:A32 B28:C58 A37:A58 F50:F58 J50:J58">
    <cfRule type="cellIs" dxfId="23" priority="43" operator="equal">
      <formula>"Free"</formula>
    </cfRule>
  </conditionalFormatting>
  <conditionalFormatting sqref="A1:C7 D1:D58 E1:E54 F1:F48 G1:I54 J1:J48 K1:K58 L1:Q54 R1:R58 S1:X54 Y1:Y58 Z1:AE54 AF1:AM58 A9:C56 F50:F54 J50:J54">
    <cfRule type="containsText" dxfId="17" priority="44" operator="containsText" text="5:00">
      <formula>NOT(ISERROR(SEARCH(("5:00"),(A1))))</formula>
    </cfRule>
  </conditionalFormatting>
  <conditionalFormatting sqref="A1:C7 D1:E58 F1:F48 G1:I58 J1:J48 K1:AM58 A9:C58 F50:F58 J50:J58">
    <cfRule type="containsText" dxfId="18" priority="45" operator="containsText" text="6:00">
      <formula>NOT(ISERROR(SEARCH(("6:00"),(A1))))</formula>
    </cfRule>
  </conditionalFormatting>
  <conditionalFormatting sqref="A3:C56 D3:D58 E3:E56 F3:F48 G3:I56 J3:J48 K3:K58 L3:Q56 R3:R58 S3:X56 Y3:Y58 Z3:AE56 AF3:AM58 F50:F56 J50:J56">
    <cfRule type="containsText" dxfId="14" priority="46" operator="containsText" text="11:00">
      <formula>NOT(ISERROR(SEARCH(("11:00"),(A3))))</formula>
    </cfRule>
  </conditionalFormatting>
  <conditionalFormatting sqref="A3:C56 D3:D58 E3:E56 F3:F48 G3:I56 J3:J48 K3:K58 L3:Q56 R3:R58 S3:X56 Y3:Y58 Z3:AE56 AF3:AM58 F50:F56 J50:J56">
    <cfRule type="cellIs" dxfId="15" priority="47" operator="equal">
      <formula>"Free"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15.63"/>
    <col customWidth="1" min="3" max="3" width="21.63"/>
    <col customWidth="1" min="4" max="4" width="6.63"/>
    <col customWidth="1" min="5" max="5" width="7.13"/>
    <col customWidth="1" min="6" max="6" width="6.63"/>
    <col customWidth="1" min="7" max="7" width="7.0"/>
    <col customWidth="1" min="8" max="8" width="6.38"/>
    <col customWidth="1" min="9" max="9" width="5.5"/>
    <col customWidth="1" min="10" max="10" width="5.88"/>
    <col customWidth="1" min="11" max="11" width="6.38"/>
    <col customWidth="1" min="12" max="12" width="7.13"/>
    <col customWidth="1" min="13" max="13" width="6.25"/>
    <col customWidth="1" min="14" max="14" width="7.0"/>
    <col customWidth="1" min="15" max="15" width="6.38"/>
    <col customWidth="1" min="16" max="17" width="6.13"/>
    <col customWidth="1" min="18" max="18" width="6.38"/>
    <col customWidth="1" min="19" max="19" width="7.13"/>
    <col customWidth="1" min="20" max="20" width="6.25"/>
    <col customWidth="1" min="21" max="21" width="7.0"/>
    <col customWidth="1" min="22" max="22" width="6.38"/>
    <col customWidth="1" min="23" max="24" width="6.13"/>
    <col customWidth="1" min="25" max="25" width="6.38"/>
    <col customWidth="1" min="26" max="26" width="7.13"/>
    <col customWidth="1" min="27" max="27" width="6.25"/>
    <col customWidth="1" min="28" max="28" width="7.0"/>
    <col customWidth="1" min="29" max="29" width="6.38"/>
    <col customWidth="1" min="30" max="31" width="6.13"/>
    <col customWidth="1" min="32" max="32" width="6.38"/>
    <col customWidth="1" min="33" max="33" width="7.13"/>
    <col customWidth="1" min="34" max="34" width="6.25"/>
    <col customWidth="1" min="35" max="35" width="7.0"/>
    <col customWidth="1" min="36" max="36" width="6.38"/>
    <col customWidth="1" min="37" max="38" width="5.88"/>
    <col customWidth="1" min="39" max="39" width="6.38"/>
  </cols>
  <sheetData>
    <row r="1">
      <c r="A1" s="47"/>
      <c r="B1" s="35"/>
      <c r="C1" s="35"/>
      <c r="D1" s="36">
        <v>46138.0</v>
      </c>
      <c r="E1" s="36">
        <v>46139.0</v>
      </c>
      <c r="F1" s="36">
        <v>46140.0</v>
      </c>
      <c r="G1" s="36">
        <v>46141.0</v>
      </c>
      <c r="H1" s="36">
        <v>46142.0</v>
      </c>
      <c r="I1" s="36">
        <v>46143.0</v>
      </c>
      <c r="J1" s="36">
        <v>46144.0</v>
      </c>
      <c r="K1" s="36">
        <v>46145.0</v>
      </c>
      <c r="L1" s="36">
        <v>46146.0</v>
      </c>
      <c r="M1" s="36">
        <v>46147.0</v>
      </c>
      <c r="N1" s="36">
        <v>46148.0</v>
      </c>
      <c r="O1" s="36">
        <v>46149.0</v>
      </c>
      <c r="P1" s="36">
        <v>46150.0</v>
      </c>
      <c r="Q1" s="36">
        <v>46151.0</v>
      </c>
      <c r="R1" s="36">
        <v>46152.0</v>
      </c>
      <c r="S1" s="36">
        <v>46153.0</v>
      </c>
      <c r="T1" s="36">
        <v>46154.0</v>
      </c>
      <c r="U1" s="36">
        <v>46155.0</v>
      </c>
      <c r="V1" s="36">
        <v>46156.0</v>
      </c>
      <c r="W1" s="36">
        <v>46157.0</v>
      </c>
      <c r="X1" s="36">
        <v>46158.0</v>
      </c>
      <c r="Y1" s="36">
        <v>46159.0</v>
      </c>
      <c r="Z1" s="36">
        <v>46160.0</v>
      </c>
      <c r="AA1" s="36">
        <v>46161.0</v>
      </c>
      <c r="AB1" s="36">
        <v>46162.0</v>
      </c>
      <c r="AC1" s="36">
        <v>46163.0</v>
      </c>
      <c r="AD1" s="36">
        <v>46164.0</v>
      </c>
      <c r="AE1" s="36">
        <v>46165.0</v>
      </c>
      <c r="AF1" s="36">
        <v>46166.0</v>
      </c>
      <c r="AG1" s="36">
        <v>46167.0</v>
      </c>
      <c r="AH1" s="36">
        <v>46168.0</v>
      </c>
      <c r="AI1" s="36">
        <v>46169.0</v>
      </c>
      <c r="AJ1" s="36">
        <v>46170.0</v>
      </c>
      <c r="AK1" s="36">
        <v>46171.0</v>
      </c>
      <c r="AL1" s="36">
        <v>46172.0</v>
      </c>
      <c r="AM1" s="36">
        <v>46173.0</v>
      </c>
    </row>
    <row r="2">
      <c r="A2" s="129" t="s">
        <v>2</v>
      </c>
      <c r="B2" s="130" t="s">
        <v>132</v>
      </c>
      <c r="C2" s="130" t="s">
        <v>133</v>
      </c>
      <c r="D2" s="131">
        <f t="shared" ref="D2:AM2" si="1">D1</f>
        <v>46138</v>
      </c>
      <c r="E2" s="131">
        <f t="shared" si="1"/>
        <v>46139</v>
      </c>
      <c r="F2" s="131">
        <f t="shared" si="1"/>
        <v>46140</v>
      </c>
      <c r="G2" s="131">
        <f t="shared" si="1"/>
        <v>46141</v>
      </c>
      <c r="H2" s="131">
        <f t="shared" si="1"/>
        <v>46142</v>
      </c>
      <c r="I2" s="131">
        <f t="shared" si="1"/>
        <v>46143</v>
      </c>
      <c r="J2" s="131">
        <f t="shared" si="1"/>
        <v>46144</v>
      </c>
      <c r="K2" s="131">
        <f t="shared" si="1"/>
        <v>46145</v>
      </c>
      <c r="L2" s="131">
        <f t="shared" si="1"/>
        <v>46146</v>
      </c>
      <c r="M2" s="131">
        <f t="shared" si="1"/>
        <v>46147</v>
      </c>
      <c r="N2" s="131">
        <f t="shared" si="1"/>
        <v>46148</v>
      </c>
      <c r="O2" s="131">
        <f t="shared" si="1"/>
        <v>46149</v>
      </c>
      <c r="P2" s="131">
        <f t="shared" si="1"/>
        <v>46150</v>
      </c>
      <c r="Q2" s="131">
        <f t="shared" si="1"/>
        <v>46151</v>
      </c>
      <c r="R2" s="131">
        <f t="shared" si="1"/>
        <v>46152</v>
      </c>
      <c r="S2" s="131">
        <f t="shared" si="1"/>
        <v>46153</v>
      </c>
      <c r="T2" s="131">
        <f t="shared" si="1"/>
        <v>46154</v>
      </c>
      <c r="U2" s="131">
        <f t="shared" si="1"/>
        <v>46155</v>
      </c>
      <c r="V2" s="131">
        <f t="shared" si="1"/>
        <v>46156</v>
      </c>
      <c r="W2" s="131">
        <f t="shared" si="1"/>
        <v>46157</v>
      </c>
      <c r="X2" s="131">
        <f t="shared" si="1"/>
        <v>46158</v>
      </c>
      <c r="Y2" s="131">
        <f t="shared" si="1"/>
        <v>46159</v>
      </c>
      <c r="Z2" s="131">
        <f t="shared" si="1"/>
        <v>46160</v>
      </c>
      <c r="AA2" s="131">
        <f t="shared" si="1"/>
        <v>46161</v>
      </c>
      <c r="AB2" s="131">
        <f t="shared" si="1"/>
        <v>46162</v>
      </c>
      <c r="AC2" s="131">
        <f t="shared" si="1"/>
        <v>46163</v>
      </c>
      <c r="AD2" s="131">
        <f t="shared" si="1"/>
        <v>46164</v>
      </c>
      <c r="AE2" s="131">
        <f t="shared" si="1"/>
        <v>46165</v>
      </c>
      <c r="AF2" s="131">
        <f t="shared" si="1"/>
        <v>46166</v>
      </c>
      <c r="AG2" s="131">
        <f t="shared" si="1"/>
        <v>46167</v>
      </c>
      <c r="AH2" s="131">
        <f t="shared" si="1"/>
        <v>46168</v>
      </c>
      <c r="AI2" s="131">
        <f t="shared" si="1"/>
        <v>46169</v>
      </c>
      <c r="AJ2" s="131">
        <f t="shared" si="1"/>
        <v>46170</v>
      </c>
      <c r="AK2" s="131">
        <f t="shared" si="1"/>
        <v>46171</v>
      </c>
      <c r="AL2" s="131">
        <f t="shared" si="1"/>
        <v>46172</v>
      </c>
      <c r="AM2" s="131">
        <f t="shared" si="1"/>
        <v>46173</v>
      </c>
    </row>
    <row r="3">
      <c r="A3" s="47" t="s">
        <v>24</v>
      </c>
      <c r="B3" s="35" t="str">
        <f t="array" ref="B3">XLOOKUP(A3,Roster!F:F,Roster!A:A,"")</f>
        <v>Andra Daza</v>
      </c>
      <c r="C3" s="35" t="str">
        <f t="array" ref="C3">XLOOKUP(A3,Roster!F:F,Roster!B:B,"")</f>
        <v>Cristian Gomez</v>
      </c>
      <c r="D3" s="43"/>
      <c r="E3" s="96">
        <v>0.3333333333333333</v>
      </c>
      <c r="F3" s="96">
        <v>0.3333333333333333</v>
      </c>
      <c r="G3" s="132" t="s">
        <v>202</v>
      </c>
      <c r="H3" s="96">
        <v>0.3333333333333333</v>
      </c>
      <c r="I3" s="96">
        <v>0.3333333333333333</v>
      </c>
      <c r="J3" s="96">
        <v>0.3333333333333333</v>
      </c>
      <c r="K3" s="42"/>
      <c r="L3" s="96">
        <v>0.3333333333333333</v>
      </c>
      <c r="M3" s="96">
        <v>0.3333333333333333</v>
      </c>
      <c r="N3" s="132" t="s">
        <v>202</v>
      </c>
      <c r="O3" s="96">
        <v>0.3333333333333333</v>
      </c>
      <c r="P3" s="96">
        <v>0.3333333333333333</v>
      </c>
      <c r="Q3" s="96">
        <v>0.3333333333333333</v>
      </c>
      <c r="R3" s="43"/>
      <c r="S3" s="96">
        <v>0.3333333333333333</v>
      </c>
      <c r="T3" s="96">
        <v>0.3333333333333333</v>
      </c>
      <c r="U3" s="132" t="s">
        <v>202</v>
      </c>
      <c r="V3" s="96">
        <v>0.3333333333333333</v>
      </c>
      <c r="W3" s="96">
        <v>0.3333333333333333</v>
      </c>
      <c r="X3" s="96">
        <v>0.3333333333333333</v>
      </c>
      <c r="Y3" s="43"/>
      <c r="Z3" s="96">
        <v>0.3333333333333333</v>
      </c>
      <c r="AA3" s="96">
        <v>0.3333333333333333</v>
      </c>
      <c r="AB3" s="132" t="s">
        <v>202</v>
      </c>
      <c r="AC3" s="96">
        <v>0.3333333333333333</v>
      </c>
      <c r="AD3" s="96">
        <v>0.3333333333333333</v>
      </c>
      <c r="AE3" s="96">
        <v>0.3333333333333333</v>
      </c>
      <c r="AF3" s="43"/>
      <c r="AG3" s="96">
        <v>0.3333333333333333</v>
      </c>
      <c r="AH3" s="96">
        <v>0.3333333333333333</v>
      </c>
      <c r="AI3" s="132" t="s">
        <v>202</v>
      </c>
      <c r="AJ3" s="96">
        <v>0.3333333333333333</v>
      </c>
      <c r="AK3" s="96">
        <v>0.3333333333333333</v>
      </c>
      <c r="AL3" s="96">
        <v>0.3333333333333333</v>
      </c>
      <c r="AM3" s="84"/>
    </row>
    <row r="4">
      <c r="A4" s="47" t="s">
        <v>39</v>
      </c>
      <c r="B4" s="35" t="str">
        <f t="array" ref="B4">XLOOKUP(A4,Roster!F:F,Roster!A:A,"")</f>
        <v>Andra Daza</v>
      </c>
      <c r="C4" s="35" t="str">
        <f t="array" ref="C4">XLOOKUP(A4,Roster!F:F,Roster!B:B,"")</f>
        <v>John Atilano</v>
      </c>
      <c r="D4" s="43"/>
      <c r="E4" s="133">
        <v>0.3333333333333333</v>
      </c>
      <c r="F4" s="133">
        <v>0.3333333333333333</v>
      </c>
      <c r="G4" s="133">
        <v>0.3333333333333333</v>
      </c>
      <c r="H4" s="133">
        <v>0.3333333333333333</v>
      </c>
      <c r="I4" s="134" t="s">
        <v>202</v>
      </c>
      <c r="J4" s="133">
        <v>0.3333333333333333</v>
      </c>
      <c r="K4" s="42"/>
      <c r="L4" s="133">
        <v>0.3333333333333333</v>
      </c>
      <c r="M4" s="133">
        <v>0.3333333333333333</v>
      </c>
      <c r="N4" s="133">
        <v>0.3333333333333333</v>
      </c>
      <c r="O4" s="133">
        <v>0.3333333333333333</v>
      </c>
      <c r="P4" s="134" t="s">
        <v>202</v>
      </c>
      <c r="Q4" s="133">
        <v>0.3333333333333333</v>
      </c>
      <c r="R4" s="43"/>
      <c r="S4" s="133">
        <v>0.3333333333333333</v>
      </c>
      <c r="T4" s="133">
        <v>0.3333333333333333</v>
      </c>
      <c r="U4" s="133">
        <v>0.3333333333333333</v>
      </c>
      <c r="V4" s="133">
        <v>0.3333333333333333</v>
      </c>
      <c r="W4" s="134" t="s">
        <v>202</v>
      </c>
      <c r="X4" s="133">
        <v>0.3333333333333333</v>
      </c>
      <c r="Y4" s="43"/>
      <c r="Z4" s="133">
        <v>0.3333333333333333</v>
      </c>
      <c r="AA4" s="133">
        <v>0.3333333333333333</v>
      </c>
      <c r="AB4" s="133">
        <v>0.3333333333333333</v>
      </c>
      <c r="AC4" s="133">
        <v>0.3333333333333333</v>
      </c>
      <c r="AD4" s="134" t="s">
        <v>202</v>
      </c>
      <c r="AE4" s="133">
        <v>0.3333333333333333</v>
      </c>
      <c r="AF4" s="43"/>
      <c r="AG4" s="133">
        <v>0.3333333333333333</v>
      </c>
      <c r="AH4" s="133">
        <v>0.3333333333333333</v>
      </c>
      <c r="AI4" s="133">
        <v>0.3333333333333333</v>
      </c>
      <c r="AJ4" s="133">
        <v>0.3333333333333333</v>
      </c>
      <c r="AK4" s="134" t="s">
        <v>202</v>
      </c>
      <c r="AL4" s="133">
        <v>0.3333333333333333</v>
      </c>
      <c r="AM4" s="84"/>
    </row>
    <row r="5" ht="18.75" customHeight="1">
      <c r="A5" s="47" t="s">
        <v>40</v>
      </c>
      <c r="B5" s="35" t="str">
        <f t="array" ref="B5">XLOOKUP(A5,Roster!F:F,Roster!A:A,"")</f>
        <v>Andra Daza</v>
      </c>
      <c r="C5" s="35" t="str">
        <f t="array" ref="C5">XLOOKUP(A5,Roster!F:F,Roster!B:B,"")</f>
        <v>John Palacio</v>
      </c>
      <c r="D5" s="40" t="s">
        <v>201</v>
      </c>
      <c r="E5" s="135">
        <v>0.375</v>
      </c>
      <c r="F5" s="135">
        <v>0.375</v>
      </c>
      <c r="G5" s="135">
        <v>0.375</v>
      </c>
      <c r="H5" s="135">
        <v>0.375</v>
      </c>
      <c r="I5" s="135">
        <v>0.375</v>
      </c>
      <c r="J5" s="106" t="s">
        <v>202</v>
      </c>
      <c r="K5" s="42"/>
      <c r="L5" s="135">
        <v>0.375</v>
      </c>
      <c r="M5" s="135">
        <v>0.375</v>
      </c>
      <c r="N5" s="135">
        <v>0.375</v>
      </c>
      <c r="O5" s="135">
        <v>0.375</v>
      </c>
      <c r="P5" s="135">
        <v>0.375</v>
      </c>
      <c r="Q5" s="106" t="s">
        <v>202</v>
      </c>
      <c r="R5" s="43"/>
      <c r="S5" s="135">
        <v>0.375</v>
      </c>
      <c r="T5" s="135">
        <v>0.375</v>
      </c>
      <c r="U5" s="135">
        <v>0.375</v>
      </c>
      <c r="V5" s="135">
        <v>0.375</v>
      </c>
      <c r="W5" s="135">
        <v>0.375</v>
      </c>
      <c r="X5" s="106" t="s">
        <v>202</v>
      </c>
      <c r="Y5" s="43"/>
      <c r="Z5" s="135">
        <v>0.375</v>
      </c>
      <c r="AA5" s="135">
        <v>0.375</v>
      </c>
      <c r="AB5" s="135">
        <v>0.375</v>
      </c>
      <c r="AC5" s="135">
        <v>0.375</v>
      </c>
      <c r="AD5" s="135">
        <v>0.375</v>
      </c>
      <c r="AE5" s="106" t="s">
        <v>202</v>
      </c>
      <c r="AF5" s="43"/>
      <c r="AG5" s="135">
        <v>0.375</v>
      </c>
      <c r="AH5" s="135">
        <v>0.375</v>
      </c>
      <c r="AI5" s="135">
        <v>0.375</v>
      </c>
      <c r="AJ5" s="135">
        <v>0.375</v>
      </c>
      <c r="AK5" s="135">
        <v>0.375</v>
      </c>
      <c r="AL5" s="106" t="s">
        <v>202</v>
      </c>
      <c r="AM5" s="84"/>
    </row>
    <row r="6">
      <c r="A6" s="47" t="s">
        <v>44</v>
      </c>
      <c r="B6" s="35" t="str">
        <f t="array" ref="B6">XLOOKUP(A6,Roster!F:F,Roster!A:A,"")</f>
        <v>Andra Daza</v>
      </c>
      <c r="C6" s="35" t="str">
        <f t="array" ref="C6">XLOOKUP(A6,Roster!F:F,Roster!B:B,"")</f>
        <v>Juan Castilla</v>
      </c>
      <c r="D6" s="40" t="s">
        <v>201</v>
      </c>
      <c r="E6" s="136">
        <v>0.3333333333333333</v>
      </c>
      <c r="F6" s="136">
        <v>0.3333333333333333</v>
      </c>
      <c r="G6" s="136">
        <v>0.3333333333333333</v>
      </c>
      <c r="H6" s="136">
        <v>0.3333333333333333</v>
      </c>
      <c r="I6" s="137">
        <v>0.3333333333333333</v>
      </c>
      <c r="J6" s="138" t="s">
        <v>202</v>
      </c>
      <c r="K6" s="42"/>
      <c r="L6" s="136">
        <v>0.3333333333333333</v>
      </c>
      <c r="M6" s="136">
        <v>0.3333333333333333</v>
      </c>
      <c r="N6" s="136">
        <v>0.3333333333333333</v>
      </c>
      <c r="O6" s="136">
        <v>0.3333333333333333</v>
      </c>
      <c r="P6" s="137">
        <v>0.3333333333333333</v>
      </c>
      <c r="Q6" s="138" t="s">
        <v>202</v>
      </c>
      <c r="R6" s="43"/>
      <c r="S6" s="136">
        <v>0.3333333333333333</v>
      </c>
      <c r="T6" s="136">
        <v>0.3333333333333333</v>
      </c>
      <c r="U6" s="136">
        <v>0.3333333333333333</v>
      </c>
      <c r="V6" s="136">
        <v>0.3333333333333333</v>
      </c>
      <c r="W6" s="137">
        <v>0.3333333333333333</v>
      </c>
      <c r="X6" s="138" t="s">
        <v>202</v>
      </c>
      <c r="Y6" s="43"/>
      <c r="Z6" s="136">
        <v>0.3333333333333333</v>
      </c>
      <c r="AA6" s="136">
        <v>0.3333333333333333</v>
      </c>
      <c r="AB6" s="136">
        <v>0.3333333333333333</v>
      </c>
      <c r="AC6" s="136">
        <v>0.3333333333333333</v>
      </c>
      <c r="AD6" s="137">
        <v>0.3333333333333333</v>
      </c>
      <c r="AE6" s="138" t="s">
        <v>202</v>
      </c>
      <c r="AF6" s="43"/>
      <c r="AG6" s="136">
        <v>0.3333333333333333</v>
      </c>
      <c r="AH6" s="136">
        <v>0.3333333333333333</v>
      </c>
      <c r="AI6" s="136">
        <v>0.3333333333333333</v>
      </c>
      <c r="AJ6" s="136">
        <v>0.3333333333333333</v>
      </c>
      <c r="AK6" s="137">
        <v>0.3333333333333333</v>
      </c>
      <c r="AL6" s="138" t="s">
        <v>202</v>
      </c>
      <c r="AM6" s="84"/>
    </row>
    <row r="7">
      <c r="A7" s="47" t="s">
        <v>48</v>
      </c>
      <c r="B7" s="35" t="str">
        <f t="array" ref="B7">XLOOKUP(A7,Roster!F:F,Roster!A:A,"")</f>
        <v>Andra Daza</v>
      </c>
      <c r="C7" s="35" t="str">
        <f t="array" ref="C7">XLOOKUP(A7,Roster!F:F,Roster!B:B,"")</f>
        <v>Juan Restrepo Restrepo</v>
      </c>
      <c r="D7" s="43"/>
      <c r="E7" s="96">
        <v>0.3333333333333333</v>
      </c>
      <c r="F7" s="96">
        <v>0.3333333333333333</v>
      </c>
      <c r="G7" s="137">
        <v>0.3333333333333333</v>
      </c>
      <c r="H7" s="96">
        <v>0.3333333333333333</v>
      </c>
      <c r="I7" s="114" t="s">
        <v>202</v>
      </c>
      <c r="J7" s="96">
        <v>0.3333333333333333</v>
      </c>
      <c r="K7" s="42"/>
      <c r="L7" s="96">
        <v>0.3333333333333333</v>
      </c>
      <c r="M7" s="96">
        <v>0.3333333333333333</v>
      </c>
      <c r="N7" s="137">
        <v>0.3333333333333333</v>
      </c>
      <c r="O7" s="96">
        <v>0.3333333333333333</v>
      </c>
      <c r="P7" s="114" t="s">
        <v>202</v>
      </c>
      <c r="Q7" s="96">
        <v>0.3333333333333333</v>
      </c>
      <c r="R7" s="43"/>
      <c r="S7" s="96">
        <v>0.3333333333333333</v>
      </c>
      <c r="T7" s="96">
        <v>0.3333333333333333</v>
      </c>
      <c r="U7" s="137">
        <v>0.3333333333333333</v>
      </c>
      <c r="V7" s="96">
        <v>0.3333333333333333</v>
      </c>
      <c r="W7" s="114" t="s">
        <v>202</v>
      </c>
      <c r="X7" s="96">
        <v>0.3333333333333333</v>
      </c>
      <c r="Y7" s="43"/>
      <c r="Z7" s="96">
        <v>0.3333333333333333</v>
      </c>
      <c r="AA7" s="96">
        <v>0.3333333333333333</v>
      </c>
      <c r="AB7" s="137">
        <v>0.3333333333333333</v>
      </c>
      <c r="AC7" s="96">
        <v>0.3333333333333333</v>
      </c>
      <c r="AD7" s="114" t="s">
        <v>202</v>
      </c>
      <c r="AE7" s="96">
        <v>0.3333333333333333</v>
      </c>
      <c r="AF7" s="43"/>
      <c r="AG7" s="96">
        <v>0.3333333333333333</v>
      </c>
      <c r="AH7" s="96">
        <v>0.3333333333333333</v>
      </c>
      <c r="AI7" s="137">
        <v>0.3333333333333333</v>
      </c>
      <c r="AJ7" s="96">
        <v>0.3333333333333333</v>
      </c>
      <c r="AK7" s="114" t="s">
        <v>202</v>
      </c>
      <c r="AL7" s="96">
        <v>0.3333333333333333</v>
      </c>
      <c r="AM7" s="84"/>
    </row>
    <row r="8">
      <c r="A8" s="34" t="s">
        <v>53</v>
      </c>
      <c r="B8" s="35" t="str">
        <f t="array" ref="B8">XLOOKUP(A8,Roster!F:F,Roster!A:A,"")</f>
        <v>Andra Daza</v>
      </c>
      <c r="C8" s="35" t="str">
        <f t="array" ref="C8">XLOOKUP(A8,Roster!F:F,Roster!B:B,"")</f>
        <v>Kennedy Giraldo</v>
      </c>
      <c r="D8" s="43"/>
      <c r="E8" s="133">
        <v>0.2916666666666667</v>
      </c>
      <c r="F8" s="133">
        <v>0.2916666666666667</v>
      </c>
      <c r="G8" s="133">
        <v>0.2916666666666667</v>
      </c>
      <c r="H8" s="133">
        <v>0.2916666666666667</v>
      </c>
      <c r="I8" s="133">
        <v>0.2916666666666667</v>
      </c>
      <c r="J8" s="139" t="s">
        <v>202</v>
      </c>
      <c r="K8" s="42"/>
      <c r="L8" s="133">
        <v>0.2916666666666667</v>
      </c>
      <c r="M8" s="133">
        <v>0.2916666666666667</v>
      </c>
      <c r="N8" s="133">
        <v>0.2916666666666667</v>
      </c>
      <c r="O8" s="133">
        <v>0.2916666666666667</v>
      </c>
      <c r="P8" s="133">
        <v>0.2916666666666667</v>
      </c>
      <c r="Q8" s="139" t="s">
        <v>202</v>
      </c>
      <c r="R8" s="43"/>
      <c r="S8" s="133">
        <v>0.2916666666666667</v>
      </c>
      <c r="T8" s="133">
        <v>0.2916666666666667</v>
      </c>
      <c r="U8" s="133">
        <v>0.2916666666666667</v>
      </c>
      <c r="V8" s="133">
        <v>0.2916666666666667</v>
      </c>
      <c r="W8" s="133">
        <v>0.2916666666666667</v>
      </c>
      <c r="X8" s="139" t="s">
        <v>202</v>
      </c>
      <c r="Y8" s="43"/>
      <c r="Z8" s="133">
        <v>0.2916666666666667</v>
      </c>
      <c r="AA8" s="133">
        <v>0.2916666666666667</v>
      </c>
      <c r="AB8" s="133">
        <v>0.2916666666666667</v>
      </c>
      <c r="AC8" s="133">
        <v>0.2916666666666667</v>
      </c>
      <c r="AD8" s="133">
        <v>0.2916666666666667</v>
      </c>
      <c r="AE8" s="139" t="s">
        <v>202</v>
      </c>
      <c r="AF8" s="43"/>
      <c r="AG8" s="133">
        <v>0.2916666666666667</v>
      </c>
      <c r="AH8" s="133">
        <v>0.2916666666666667</v>
      </c>
      <c r="AI8" s="133">
        <v>0.2916666666666667</v>
      </c>
      <c r="AJ8" s="133">
        <v>0.2916666666666667</v>
      </c>
      <c r="AK8" s="133">
        <v>0.2916666666666667</v>
      </c>
      <c r="AL8" s="139" t="s">
        <v>202</v>
      </c>
      <c r="AM8" s="84"/>
    </row>
    <row r="9">
      <c r="A9" s="47" t="s">
        <v>54</v>
      </c>
      <c r="B9" s="35" t="str">
        <f t="array" ref="B9">XLOOKUP(A9,Roster!F:F,Roster!A:A,"")</f>
        <v>Andra Daza</v>
      </c>
      <c r="C9" s="35" t="str">
        <f t="array" ref="C9">XLOOKUP(A9,Roster!F:F,Roster!B:B,"")</f>
        <v>Kevin Betancur</v>
      </c>
      <c r="D9" s="43"/>
      <c r="E9" s="96">
        <v>0.3333333333333333</v>
      </c>
      <c r="F9" s="96">
        <v>0.3333333333333333</v>
      </c>
      <c r="G9" s="96">
        <v>0.3333333333333333</v>
      </c>
      <c r="H9" s="96">
        <v>0.3333333333333333</v>
      </c>
      <c r="I9" s="96">
        <v>0.3333333333333333</v>
      </c>
      <c r="J9" s="132" t="s">
        <v>202</v>
      </c>
      <c r="K9" s="42"/>
      <c r="L9" s="96">
        <v>0.3333333333333333</v>
      </c>
      <c r="M9" s="96">
        <v>0.3333333333333333</v>
      </c>
      <c r="N9" s="96">
        <v>0.3333333333333333</v>
      </c>
      <c r="O9" s="96">
        <v>0.3333333333333333</v>
      </c>
      <c r="P9" s="96">
        <v>0.3333333333333333</v>
      </c>
      <c r="Q9" s="132" t="s">
        <v>202</v>
      </c>
      <c r="R9" s="43"/>
      <c r="S9" s="96">
        <v>0.3333333333333333</v>
      </c>
      <c r="T9" s="96">
        <v>0.3333333333333333</v>
      </c>
      <c r="U9" s="96">
        <v>0.3333333333333333</v>
      </c>
      <c r="V9" s="96">
        <v>0.3333333333333333</v>
      </c>
      <c r="W9" s="96">
        <v>0.3333333333333333</v>
      </c>
      <c r="X9" s="132" t="s">
        <v>202</v>
      </c>
      <c r="Y9" s="43"/>
      <c r="Z9" s="96">
        <v>0.3333333333333333</v>
      </c>
      <c r="AA9" s="96">
        <v>0.3333333333333333</v>
      </c>
      <c r="AB9" s="96">
        <v>0.3333333333333333</v>
      </c>
      <c r="AC9" s="96">
        <v>0.3333333333333333</v>
      </c>
      <c r="AD9" s="96">
        <v>0.3333333333333333</v>
      </c>
      <c r="AE9" s="132" t="s">
        <v>202</v>
      </c>
      <c r="AF9" s="43"/>
      <c r="AG9" s="96">
        <v>0.3333333333333333</v>
      </c>
      <c r="AH9" s="96">
        <v>0.3333333333333333</v>
      </c>
      <c r="AI9" s="96">
        <v>0.3333333333333333</v>
      </c>
      <c r="AJ9" s="96">
        <v>0.3333333333333333</v>
      </c>
      <c r="AK9" s="96">
        <v>0.3333333333333333</v>
      </c>
      <c r="AL9" s="132" t="s">
        <v>202</v>
      </c>
      <c r="AM9" s="84"/>
    </row>
    <row r="10">
      <c r="A10" s="47" t="s">
        <v>58</v>
      </c>
      <c r="B10" s="35" t="str">
        <f t="array" ref="B10">XLOOKUP(A10,Roster!F:F,Roster!A:A,"")</f>
        <v>Andra Daza</v>
      </c>
      <c r="C10" s="35" t="str">
        <f t="array" ref="C10">XLOOKUP(A10,Roster!F:F,Roster!B:B,"")</f>
        <v>Luis Lopez</v>
      </c>
      <c r="D10" s="40" t="s">
        <v>201</v>
      </c>
      <c r="E10" s="133">
        <v>0.2916666666666667</v>
      </c>
      <c r="F10" s="133">
        <v>0.625</v>
      </c>
      <c r="G10" s="133">
        <v>0.4166666666666667</v>
      </c>
      <c r="H10" s="133">
        <v>0.5416666666666666</v>
      </c>
      <c r="I10" s="133">
        <v>0.4583333333333333</v>
      </c>
      <c r="J10" s="40" t="s">
        <v>202</v>
      </c>
      <c r="K10" s="42"/>
      <c r="L10" s="133">
        <v>0.2916666666666667</v>
      </c>
      <c r="M10" s="133">
        <v>0.625</v>
      </c>
      <c r="N10" s="133">
        <v>0.4166666666666667</v>
      </c>
      <c r="O10" s="133">
        <v>0.5416666666666666</v>
      </c>
      <c r="P10" s="133">
        <v>0.4583333333333333</v>
      </c>
      <c r="Q10" s="40" t="s">
        <v>202</v>
      </c>
      <c r="R10" s="43"/>
      <c r="S10" s="133">
        <v>0.2916666666666667</v>
      </c>
      <c r="T10" s="133">
        <v>0.625</v>
      </c>
      <c r="U10" s="133">
        <v>0.4166666666666667</v>
      </c>
      <c r="V10" s="133">
        <v>0.5416666666666666</v>
      </c>
      <c r="W10" s="133">
        <v>0.4583333333333333</v>
      </c>
      <c r="X10" s="40" t="s">
        <v>202</v>
      </c>
      <c r="Y10" s="43"/>
      <c r="Z10" s="133">
        <v>0.2916666666666667</v>
      </c>
      <c r="AA10" s="133">
        <v>0.625</v>
      </c>
      <c r="AB10" s="133">
        <v>0.4166666666666667</v>
      </c>
      <c r="AC10" s="133">
        <v>0.5416666666666666</v>
      </c>
      <c r="AD10" s="133">
        <v>0.4583333333333333</v>
      </c>
      <c r="AE10" s="40" t="s">
        <v>202</v>
      </c>
      <c r="AF10" s="43"/>
      <c r="AG10" s="133">
        <v>0.2916666666666667</v>
      </c>
      <c r="AH10" s="133">
        <v>0.625</v>
      </c>
      <c r="AI10" s="133">
        <v>0.4166666666666667</v>
      </c>
      <c r="AJ10" s="133">
        <v>0.5416666666666666</v>
      </c>
      <c r="AK10" s="133">
        <v>0.4583333333333333</v>
      </c>
      <c r="AL10" s="40" t="s">
        <v>202</v>
      </c>
      <c r="AM10" s="84"/>
    </row>
    <row r="11">
      <c r="A11" s="47" t="s">
        <v>64</v>
      </c>
      <c r="B11" s="35" t="str">
        <f t="array" ref="B11">XLOOKUP(A11,Roster!F:F,Roster!A:A,"")</f>
        <v>Andra Daza</v>
      </c>
      <c r="C11" s="35" t="str">
        <f t="array" ref="C11">XLOOKUP(A11,Roster!F:F,Roster!B:B,"")</f>
        <v>Miguel Betancur</v>
      </c>
      <c r="D11" s="43"/>
      <c r="E11" s="101">
        <v>0.3333333333333333</v>
      </c>
      <c r="F11" s="101">
        <v>0.3333333333333333</v>
      </c>
      <c r="G11" s="101">
        <v>0.3333333333333333</v>
      </c>
      <c r="H11" s="101">
        <v>0.3333333333333333</v>
      </c>
      <c r="I11" s="101">
        <v>0.3333333333333333</v>
      </c>
      <c r="J11" s="140" t="s">
        <v>202</v>
      </c>
      <c r="K11" s="42"/>
      <c r="L11" s="101">
        <v>0.3333333333333333</v>
      </c>
      <c r="M11" s="101">
        <v>0.3333333333333333</v>
      </c>
      <c r="N11" s="101">
        <v>0.3333333333333333</v>
      </c>
      <c r="O11" s="101">
        <v>0.3333333333333333</v>
      </c>
      <c r="P11" s="101">
        <v>0.3333333333333333</v>
      </c>
      <c r="Q11" s="140" t="s">
        <v>202</v>
      </c>
      <c r="R11" s="43"/>
      <c r="S11" s="101">
        <v>0.3333333333333333</v>
      </c>
      <c r="T11" s="101">
        <v>0.3333333333333333</v>
      </c>
      <c r="U11" s="101">
        <v>0.3333333333333333</v>
      </c>
      <c r="V11" s="101">
        <v>0.3333333333333333</v>
      </c>
      <c r="W11" s="101">
        <v>0.3333333333333333</v>
      </c>
      <c r="X11" s="140" t="s">
        <v>202</v>
      </c>
      <c r="Y11" s="43"/>
      <c r="Z11" s="101">
        <v>0.3333333333333333</v>
      </c>
      <c r="AA11" s="101">
        <v>0.3333333333333333</v>
      </c>
      <c r="AB11" s="101">
        <v>0.3333333333333333</v>
      </c>
      <c r="AC11" s="101">
        <v>0.3333333333333333</v>
      </c>
      <c r="AD11" s="101">
        <v>0.3333333333333333</v>
      </c>
      <c r="AE11" s="140" t="s">
        <v>202</v>
      </c>
      <c r="AF11" s="43"/>
      <c r="AG11" s="101">
        <v>0.3333333333333333</v>
      </c>
      <c r="AH11" s="101">
        <v>0.3333333333333333</v>
      </c>
      <c r="AI11" s="101">
        <v>0.3333333333333333</v>
      </c>
      <c r="AJ11" s="101">
        <v>0.3333333333333333</v>
      </c>
      <c r="AK11" s="101">
        <v>0.3333333333333333</v>
      </c>
      <c r="AL11" s="140" t="s">
        <v>202</v>
      </c>
      <c r="AM11" s="84"/>
    </row>
    <row r="12">
      <c r="A12" s="47" t="s">
        <v>69</v>
      </c>
      <c r="B12" s="141" t="s">
        <v>203</v>
      </c>
      <c r="C12" s="35" t="str">
        <f t="array" ref="C12">XLOOKUP(A12,Roster!F:F,Roster!B:B,"")</f>
        <v>Salma Giraldo</v>
      </c>
      <c r="D12" s="43"/>
      <c r="E12" s="133">
        <v>0.375</v>
      </c>
      <c r="F12" s="133">
        <v>0.375</v>
      </c>
      <c r="G12" s="132" t="s">
        <v>202</v>
      </c>
      <c r="H12" s="133">
        <v>0.375</v>
      </c>
      <c r="I12" s="133">
        <v>0.375</v>
      </c>
      <c r="J12" s="133">
        <v>0.375</v>
      </c>
      <c r="K12" s="42"/>
      <c r="L12" s="133">
        <v>0.3333333333333333</v>
      </c>
      <c r="M12" s="133">
        <v>0.3333333333333333</v>
      </c>
      <c r="N12" s="132" t="s">
        <v>202</v>
      </c>
      <c r="O12" s="133">
        <v>0.3333333333333333</v>
      </c>
      <c r="P12" s="133">
        <v>0.3333333333333333</v>
      </c>
      <c r="Q12" s="133">
        <v>0.3333333333333333</v>
      </c>
      <c r="R12" s="43"/>
      <c r="S12" s="133">
        <v>0.3333333333333333</v>
      </c>
      <c r="T12" s="133">
        <v>0.3333333333333333</v>
      </c>
      <c r="U12" s="132" t="s">
        <v>202</v>
      </c>
      <c r="V12" s="133">
        <v>0.3333333333333333</v>
      </c>
      <c r="W12" s="133">
        <v>0.3333333333333333</v>
      </c>
      <c r="X12" s="133">
        <v>0.3333333333333333</v>
      </c>
      <c r="Y12" s="43"/>
      <c r="Z12" s="133">
        <v>0.3333333333333333</v>
      </c>
      <c r="AA12" s="133">
        <v>0.3333333333333333</v>
      </c>
      <c r="AB12" s="132" t="s">
        <v>202</v>
      </c>
      <c r="AC12" s="133">
        <v>0.3333333333333333</v>
      </c>
      <c r="AD12" s="133">
        <v>0.3333333333333333</v>
      </c>
      <c r="AE12" s="133">
        <v>0.3333333333333333</v>
      </c>
      <c r="AF12" s="43"/>
      <c r="AG12" s="133">
        <v>0.3333333333333333</v>
      </c>
      <c r="AH12" s="133">
        <v>0.3333333333333333</v>
      </c>
      <c r="AI12" s="132" t="s">
        <v>202</v>
      </c>
      <c r="AJ12" s="133">
        <v>0.3333333333333333</v>
      </c>
      <c r="AK12" s="133">
        <v>0.3333333333333333</v>
      </c>
      <c r="AL12" s="133">
        <v>0.3333333333333333</v>
      </c>
      <c r="AM12" s="84"/>
    </row>
    <row r="13">
      <c r="A13" s="47" t="s">
        <v>70</v>
      </c>
      <c r="B13" s="35" t="str">
        <f t="array" ref="B13">XLOOKUP(A13,Roster!F:F,Roster!A:A,"")</f>
        <v>Andra Daza</v>
      </c>
      <c r="C13" s="35" t="str">
        <f t="array" ref="C13">XLOOKUP(A13,Roster!F:F,Roster!B:B,"")</f>
        <v>Salome Arias</v>
      </c>
      <c r="D13" s="43"/>
      <c r="E13" s="96">
        <v>0.3333333333333333</v>
      </c>
      <c r="F13" s="96">
        <v>0.3333333333333333</v>
      </c>
      <c r="G13" s="96">
        <v>0.3333333333333333</v>
      </c>
      <c r="H13" s="96">
        <v>0.3333333333333333</v>
      </c>
      <c r="I13" s="96">
        <v>0.3333333333333333</v>
      </c>
      <c r="J13" s="134" t="s">
        <v>202</v>
      </c>
      <c r="K13" s="42"/>
      <c r="L13" s="96">
        <v>0.3333333333333333</v>
      </c>
      <c r="M13" s="96">
        <v>0.3333333333333333</v>
      </c>
      <c r="N13" s="96">
        <v>0.3333333333333333</v>
      </c>
      <c r="O13" s="96">
        <v>0.3333333333333333</v>
      </c>
      <c r="P13" s="96">
        <v>0.3333333333333333</v>
      </c>
      <c r="Q13" s="134" t="s">
        <v>202</v>
      </c>
      <c r="R13" s="43"/>
      <c r="S13" s="96">
        <v>0.3333333333333333</v>
      </c>
      <c r="T13" s="96">
        <v>0.3333333333333333</v>
      </c>
      <c r="U13" s="96">
        <v>0.3333333333333333</v>
      </c>
      <c r="V13" s="96">
        <v>0.3333333333333333</v>
      </c>
      <c r="W13" s="96">
        <v>0.3333333333333333</v>
      </c>
      <c r="X13" s="134" t="s">
        <v>202</v>
      </c>
      <c r="Y13" s="43"/>
      <c r="Z13" s="96">
        <v>0.3333333333333333</v>
      </c>
      <c r="AA13" s="96">
        <v>0.3333333333333333</v>
      </c>
      <c r="AB13" s="96">
        <v>0.3333333333333333</v>
      </c>
      <c r="AC13" s="96">
        <v>0.3333333333333333</v>
      </c>
      <c r="AD13" s="96">
        <v>0.3333333333333333</v>
      </c>
      <c r="AE13" s="134" t="s">
        <v>202</v>
      </c>
      <c r="AF13" s="43"/>
      <c r="AG13" s="96">
        <v>0.3333333333333333</v>
      </c>
      <c r="AH13" s="96">
        <v>0.3333333333333333</v>
      </c>
      <c r="AI13" s="96">
        <v>0.3333333333333333</v>
      </c>
      <c r="AJ13" s="96">
        <v>0.3333333333333333</v>
      </c>
      <c r="AK13" s="96">
        <v>0.3333333333333333</v>
      </c>
      <c r="AL13" s="134" t="s">
        <v>202</v>
      </c>
      <c r="AM13" s="84"/>
    </row>
    <row r="14">
      <c r="A14" s="47" t="s">
        <v>78</v>
      </c>
      <c r="B14" s="35" t="str">
        <f t="array" ref="B14">XLOOKUP(A14,Roster!F:F,Roster!A:A,"")</f>
        <v>Andra Daza</v>
      </c>
      <c r="C14" s="35" t="str">
        <f t="array" ref="C14">XLOOKUP(A14,Roster!F:F,Roster!B:B,"")</f>
        <v>Tomas Perez</v>
      </c>
      <c r="D14" s="43"/>
      <c r="E14" s="133">
        <v>0.3333333333333333</v>
      </c>
      <c r="F14" s="133">
        <v>0.3333333333333333</v>
      </c>
      <c r="G14" s="133">
        <v>0.3333333333333333</v>
      </c>
      <c r="H14" s="40" t="s">
        <v>202</v>
      </c>
      <c r="I14" s="133">
        <v>0.3333333333333333</v>
      </c>
      <c r="J14" s="133">
        <v>0.3333333333333333</v>
      </c>
      <c r="K14" s="42"/>
      <c r="L14" s="96">
        <v>0.3333333333333333</v>
      </c>
      <c r="M14" s="96">
        <v>0.3333333333333333</v>
      </c>
      <c r="N14" s="96">
        <v>0.3333333333333333</v>
      </c>
      <c r="O14" s="96">
        <v>0.3333333333333333</v>
      </c>
      <c r="P14" s="96">
        <v>0.3333333333333333</v>
      </c>
      <c r="Q14" s="134" t="s">
        <v>202</v>
      </c>
      <c r="R14" s="43"/>
      <c r="S14" s="96">
        <v>0.3333333333333333</v>
      </c>
      <c r="T14" s="96">
        <v>0.3333333333333333</v>
      </c>
      <c r="U14" s="96">
        <v>0.3333333333333333</v>
      </c>
      <c r="V14" s="96">
        <v>0.3333333333333333</v>
      </c>
      <c r="W14" s="96">
        <v>0.3333333333333333</v>
      </c>
      <c r="X14" s="134" t="s">
        <v>202</v>
      </c>
      <c r="Y14" s="43"/>
      <c r="Z14" s="96">
        <v>0.3333333333333333</v>
      </c>
      <c r="AA14" s="96">
        <v>0.3333333333333333</v>
      </c>
      <c r="AB14" s="96">
        <v>0.3333333333333333</v>
      </c>
      <c r="AC14" s="96">
        <v>0.3333333333333333</v>
      </c>
      <c r="AD14" s="96">
        <v>0.3333333333333333</v>
      </c>
      <c r="AE14" s="134" t="s">
        <v>202</v>
      </c>
      <c r="AF14" s="43"/>
      <c r="AG14" s="96">
        <v>0.3333333333333333</v>
      </c>
      <c r="AH14" s="96">
        <v>0.3333333333333333</v>
      </c>
      <c r="AI14" s="96">
        <v>0.3333333333333333</v>
      </c>
      <c r="AJ14" s="96">
        <v>0.3333333333333333</v>
      </c>
      <c r="AK14" s="96">
        <v>0.3333333333333333</v>
      </c>
      <c r="AL14" s="134" t="s">
        <v>202</v>
      </c>
      <c r="AM14" s="84"/>
    </row>
    <row r="15">
      <c r="A15" s="47" t="s">
        <v>81</v>
      </c>
      <c r="B15" s="35" t="str">
        <f t="array" ref="B15">XLOOKUP(A15,Roster!F:F,Roster!A:A,"")</f>
        <v>Andra Daza</v>
      </c>
      <c r="C15" s="35" t="str">
        <f t="array" ref="C15">XLOOKUP(A15,Roster!F:F,Roster!B:B,"")</f>
        <v>Wendy Machado</v>
      </c>
      <c r="D15" s="43"/>
      <c r="E15" s="133">
        <v>0.3333333333333333</v>
      </c>
      <c r="F15" s="134" t="s">
        <v>202</v>
      </c>
      <c r="G15" s="133">
        <v>0.3333333333333333</v>
      </c>
      <c r="H15" s="133">
        <v>0.3333333333333333</v>
      </c>
      <c r="I15" s="133">
        <v>0.3333333333333333</v>
      </c>
      <c r="J15" s="133">
        <v>0.3333333333333333</v>
      </c>
      <c r="K15" s="42"/>
      <c r="L15" s="133">
        <v>0.3333333333333333</v>
      </c>
      <c r="M15" s="142">
        <v>0.3333333333333333</v>
      </c>
      <c r="N15" s="133">
        <v>0.3333333333333333</v>
      </c>
      <c r="O15" s="133">
        <v>0.3333333333333333</v>
      </c>
      <c r="P15" s="40" t="s">
        <v>202</v>
      </c>
      <c r="Q15" s="133">
        <v>0.3333333333333333</v>
      </c>
      <c r="R15" s="43"/>
      <c r="S15" s="133">
        <v>0.3333333333333333</v>
      </c>
      <c r="T15" s="142">
        <v>0.3333333333333333</v>
      </c>
      <c r="U15" s="133">
        <v>0.3333333333333333</v>
      </c>
      <c r="V15" s="133">
        <v>0.3333333333333333</v>
      </c>
      <c r="W15" s="40" t="s">
        <v>202</v>
      </c>
      <c r="X15" s="133">
        <v>0.3333333333333333</v>
      </c>
      <c r="Y15" s="43"/>
      <c r="Z15" s="133">
        <v>0.3333333333333333</v>
      </c>
      <c r="AA15" s="142">
        <v>0.3333333333333333</v>
      </c>
      <c r="AB15" s="133">
        <v>0.3333333333333333</v>
      </c>
      <c r="AC15" s="133">
        <v>0.3333333333333333</v>
      </c>
      <c r="AD15" s="40" t="s">
        <v>202</v>
      </c>
      <c r="AE15" s="133">
        <v>0.3333333333333333</v>
      </c>
      <c r="AF15" s="43"/>
      <c r="AG15" s="133">
        <v>0.3333333333333333</v>
      </c>
      <c r="AH15" s="142">
        <v>0.3333333333333333</v>
      </c>
      <c r="AI15" s="133">
        <v>0.3333333333333333</v>
      </c>
      <c r="AJ15" s="133">
        <v>0.3333333333333333</v>
      </c>
      <c r="AK15" s="40" t="s">
        <v>202</v>
      </c>
      <c r="AL15" s="133">
        <v>0.3333333333333333</v>
      </c>
      <c r="AM15" s="84"/>
    </row>
    <row r="16">
      <c r="A16" s="47" t="s">
        <v>84</v>
      </c>
      <c r="B16" s="35" t="str">
        <f t="array" ref="B16">XLOOKUP(A16,Roster!F:F,Roster!A:A,"")</f>
        <v>Andra Daza</v>
      </c>
      <c r="C16" s="35" t="str">
        <f t="array" ref="C16">XLOOKUP(A16,Roster!F:F,Roster!B:B,"")</f>
        <v>Yaidy Mosquera</v>
      </c>
      <c r="D16" s="43"/>
      <c r="E16" s="42">
        <v>0.3333333333333333</v>
      </c>
      <c r="F16" s="42">
        <v>0.3333333333333333</v>
      </c>
      <c r="G16" s="42">
        <v>0.3333333333333333</v>
      </c>
      <c r="H16" s="42">
        <v>0.3333333333333333</v>
      </c>
      <c r="I16" s="42">
        <v>0.3333333333333333</v>
      </c>
      <c r="J16" s="134" t="s">
        <v>202</v>
      </c>
      <c r="K16" s="42"/>
      <c r="L16" s="42">
        <v>0.3333333333333333</v>
      </c>
      <c r="M16" s="42">
        <v>0.3333333333333333</v>
      </c>
      <c r="N16" s="42">
        <v>0.3333333333333333</v>
      </c>
      <c r="O16" s="42">
        <v>0.3333333333333333</v>
      </c>
      <c r="P16" s="42">
        <v>0.3333333333333333</v>
      </c>
      <c r="Q16" s="134" t="s">
        <v>202</v>
      </c>
      <c r="R16" s="43"/>
      <c r="S16" s="42">
        <v>0.3333333333333333</v>
      </c>
      <c r="T16" s="42">
        <v>0.3333333333333333</v>
      </c>
      <c r="U16" s="42">
        <v>0.3333333333333333</v>
      </c>
      <c r="V16" s="42">
        <v>0.3333333333333333</v>
      </c>
      <c r="W16" s="42">
        <v>0.3333333333333333</v>
      </c>
      <c r="X16" s="134" t="s">
        <v>202</v>
      </c>
      <c r="Y16" s="43"/>
      <c r="Z16" s="42">
        <v>0.3333333333333333</v>
      </c>
      <c r="AA16" s="42">
        <v>0.3333333333333333</v>
      </c>
      <c r="AB16" s="42">
        <v>0.3333333333333333</v>
      </c>
      <c r="AC16" s="42">
        <v>0.3333333333333333</v>
      </c>
      <c r="AD16" s="42">
        <v>0.3333333333333333</v>
      </c>
      <c r="AE16" s="134" t="s">
        <v>202</v>
      </c>
      <c r="AF16" s="43"/>
      <c r="AG16" s="42">
        <v>0.3333333333333333</v>
      </c>
      <c r="AH16" s="42">
        <v>0.3333333333333333</v>
      </c>
      <c r="AI16" s="42">
        <v>0.3333333333333333</v>
      </c>
      <c r="AJ16" s="42">
        <v>0.3333333333333333</v>
      </c>
      <c r="AK16" s="42">
        <v>0.3333333333333333</v>
      </c>
      <c r="AL16" s="134" t="s">
        <v>202</v>
      </c>
      <c r="AM16" s="84"/>
    </row>
    <row r="17">
      <c r="A17" s="47" t="s">
        <v>10</v>
      </c>
      <c r="B17" s="35" t="str">
        <f t="array" ref="B17">XLOOKUP(A17,Roster!F:F,Roster!A:A,"")</f>
        <v>Daniel Bustamante</v>
      </c>
      <c r="C17" s="35" t="str">
        <f t="array" ref="C17">XLOOKUP(A17,Roster!F:F,Roster!B:B,"")</f>
        <v>Alejandro Malave</v>
      </c>
      <c r="D17" s="43"/>
      <c r="E17" s="133">
        <v>0.4583333333333333</v>
      </c>
      <c r="F17" s="133">
        <v>0.4583333333333333</v>
      </c>
      <c r="G17" s="40" t="s">
        <v>202</v>
      </c>
      <c r="H17" s="133">
        <v>0.4583333333333333</v>
      </c>
      <c r="I17" s="133">
        <v>0.4583333333333333</v>
      </c>
      <c r="J17" s="133">
        <v>0.4583333333333333</v>
      </c>
      <c r="K17" s="42"/>
      <c r="L17" s="133">
        <v>0.4583333333333333</v>
      </c>
      <c r="M17" s="133">
        <v>0.4583333333333333</v>
      </c>
      <c r="N17" s="40" t="s">
        <v>202</v>
      </c>
      <c r="O17" s="133">
        <v>0.4583333333333333</v>
      </c>
      <c r="P17" s="133">
        <v>0.4583333333333333</v>
      </c>
      <c r="Q17" s="133">
        <v>0.4583333333333333</v>
      </c>
      <c r="R17" s="43"/>
      <c r="S17" s="133">
        <v>0.4583333333333333</v>
      </c>
      <c r="T17" s="133">
        <v>0.4583333333333333</v>
      </c>
      <c r="U17" s="40" t="s">
        <v>202</v>
      </c>
      <c r="V17" s="133">
        <v>0.4583333333333333</v>
      </c>
      <c r="W17" s="133">
        <v>0.4583333333333333</v>
      </c>
      <c r="X17" s="133">
        <v>0.4583333333333333</v>
      </c>
      <c r="Y17" s="43"/>
      <c r="Z17" s="133">
        <v>0.4583333333333333</v>
      </c>
      <c r="AA17" s="133">
        <v>0.4583333333333333</v>
      </c>
      <c r="AB17" s="40" t="s">
        <v>202</v>
      </c>
      <c r="AC17" s="133">
        <v>0.4583333333333333</v>
      </c>
      <c r="AD17" s="133">
        <v>0.4583333333333333</v>
      </c>
      <c r="AE17" s="133">
        <v>0.4583333333333333</v>
      </c>
      <c r="AF17" s="43"/>
      <c r="AG17" s="133">
        <v>0.4583333333333333</v>
      </c>
      <c r="AH17" s="133">
        <v>0.4583333333333333</v>
      </c>
      <c r="AI17" s="40" t="s">
        <v>202</v>
      </c>
      <c r="AJ17" s="133">
        <v>0.4583333333333333</v>
      </c>
      <c r="AK17" s="133">
        <v>0.4583333333333333</v>
      </c>
      <c r="AL17" s="133">
        <v>0.4583333333333333</v>
      </c>
      <c r="AM17" s="84"/>
    </row>
    <row r="18">
      <c r="A18" s="47" t="s">
        <v>20</v>
      </c>
      <c r="B18" s="35" t="str">
        <f t="array" ref="B18">XLOOKUP(A18,Roster!F:F,Roster!A:A,"")</f>
        <v>Daniel Bustamante</v>
      </c>
      <c r="C18" s="35" t="str">
        <f t="array" ref="C18">XLOOKUP(A18,Roster!F:F,Roster!B:B,"")</f>
        <v>Carlos Alzate</v>
      </c>
      <c r="D18" s="43"/>
      <c r="E18" s="133">
        <v>0.4583333333333333</v>
      </c>
      <c r="F18" s="133">
        <v>0.4583333333333333</v>
      </c>
      <c r="G18" s="133">
        <v>0.4583333333333333</v>
      </c>
      <c r="H18" s="40" t="s">
        <v>202</v>
      </c>
      <c r="I18" s="133">
        <v>0.4583333333333333</v>
      </c>
      <c r="J18" s="133">
        <v>0.4583333333333333</v>
      </c>
      <c r="K18" s="42"/>
      <c r="L18" s="133">
        <v>0.4583333333333333</v>
      </c>
      <c r="M18" s="133">
        <v>0.4583333333333333</v>
      </c>
      <c r="N18" s="133">
        <v>0.4583333333333333</v>
      </c>
      <c r="O18" s="40" t="s">
        <v>202</v>
      </c>
      <c r="P18" s="133">
        <v>0.4583333333333333</v>
      </c>
      <c r="Q18" s="133">
        <v>0.4583333333333333</v>
      </c>
      <c r="R18" s="43"/>
      <c r="S18" s="133">
        <v>0.4583333333333333</v>
      </c>
      <c r="T18" s="133">
        <v>0.4583333333333333</v>
      </c>
      <c r="U18" s="133">
        <v>0.4583333333333333</v>
      </c>
      <c r="V18" s="40" t="s">
        <v>202</v>
      </c>
      <c r="W18" s="133">
        <v>0.4583333333333333</v>
      </c>
      <c r="X18" s="133">
        <v>0.4583333333333333</v>
      </c>
      <c r="Y18" s="43"/>
      <c r="Z18" s="133">
        <v>0.4583333333333333</v>
      </c>
      <c r="AA18" s="133">
        <v>0.4583333333333333</v>
      </c>
      <c r="AB18" s="133">
        <v>0.4583333333333333</v>
      </c>
      <c r="AC18" s="40" t="s">
        <v>202</v>
      </c>
      <c r="AD18" s="133">
        <v>0.4583333333333333</v>
      </c>
      <c r="AE18" s="133">
        <v>0.4583333333333333</v>
      </c>
      <c r="AF18" s="43"/>
      <c r="AG18" s="133">
        <v>0.4583333333333333</v>
      </c>
      <c r="AH18" s="133">
        <v>0.4583333333333333</v>
      </c>
      <c r="AI18" s="133">
        <v>0.4583333333333333</v>
      </c>
      <c r="AJ18" s="40" t="s">
        <v>202</v>
      </c>
      <c r="AK18" s="133">
        <v>0.4583333333333333</v>
      </c>
      <c r="AL18" s="133">
        <v>0.4583333333333333</v>
      </c>
      <c r="AM18" s="84"/>
    </row>
    <row r="19">
      <c r="A19" s="47" t="s">
        <v>21</v>
      </c>
      <c r="B19" s="35" t="str">
        <f t="array" ref="B19">XLOOKUP(A19,Roster!F:F,Roster!A:A,"")</f>
        <v>Daniel Bustamante</v>
      </c>
      <c r="C19" s="35" t="str">
        <f t="array" ref="C19">XLOOKUP(A19,Roster!F:F,Roster!B:B,"")</f>
        <v>Carlos Palma</v>
      </c>
      <c r="D19" s="43"/>
      <c r="E19" s="133">
        <v>0.3333333333333333</v>
      </c>
      <c r="F19" s="133">
        <v>0.3333333333333333</v>
      </c>
      <c r="G19" s="40" t="s">
        <v>202</v>
      </c>
      <c r="H19" s="133">
        <v>0.3333333333333333</v>
      </c>
      <c r="I19" s="133">
        <v>0.3333333333333333</v>
      </c>
      <c r="J19" s="133">
        <v>0.3333333333333333</v>
      </c>
      <c r="K19" s="42"/>
      <c r="L19" s="133">
        <v>0.3333333333333333</v>
      </c>
      <c r="M19" s="133">
        <v>0.3333333333333333</v>
      </c>
      <c r="N19" s="40" t="s">
        <v>202</v>
      </c>
      <c r="O19" s="133">
        <v>0.3333333333333333</v>
      </c>
      <c r="P19" s="133">
        <v>0.3333333333333333</v>
      </c>
      <c r="Q19" s="133">
        <v>0.3333333333333333</v>
      </c>
      <c r="R19" s="43"/>
      <c r="S19" s="133">
        <v>0.3333333333333333</v>
      </c>
      <c r="T19" s="133">
        <v>0.3333333333333333</v>
      </c>
      <c r="U19" s="40" t="s">
        <v>202</v>
      </c>
      <c r="V19" s="133">
        <v>0.3333333333333333</v>
      </c>
      <c r="W19" s="133">
        <v>0.3333333333333333</v>
      </c>
      <c r="X19" s="133">
        <v>0.3333333333333333</v>
      </c>
      <c r="Y19" s="43"/>
      <c r="Z19" s="133">
        <v>0.3333333333333333</v>
      </c>
      <c r="AA19" s="133">
        <v>0.3333333333333333</v>
      </c>
      <c r="AB19" s="40" t="s">
        <v>202</v>
      </c>
      <c r="AC19" s="133">
        <v>0.3333333333333333</v>
      </c>
      <c r="AD19" s="133">
        <v>0.3333333333333333</v>
      </c>
      <c r="AE19" s="133">
        <v>0.3333333333333333</v>
      </c>
      <c r="AF19" s="43"/>
      <c r="AG19" s="133">
        <v>0.3333333333333333</v>
      </c>
      <c r="AH19" s="133">
        <v>0.3333333333333333</v>
      </c>
      <c r="AI19" s="40" t="s">
        <v>202</v>
      </c>
      <c r="AJ19" s="133">
        <v>0.3333333333333333</v>
      </c>
      <c r="AK19" s="133">
        <v>0.3333333333333333</v>
      </c>
      <c r="AL19" s="133">
        <v>0.3333333333333333</v>
      </c>
      <c r="AM19" s="84"/>
    </row>
    <row r="20">
      <c r="A20" s="47" t="s">
        <v>30</v>
      </c>
      <c r="B20" s="35" t="str">
        <f t="array" ref="B20">XLOOKUP(A20,Roster!F:F,Roster!A:A,"")</f>
        <v>Daniel Bustamante</v>
      </c>
      <c r="C20" s="35" t="str">
        <f t="array" ref="C20">XLOOKUP(A20,Roster!F:F,Roster!B:B,"")</f>
        <v>Frey ortiz</v>
      </c>
      <c r="D20" s="43"/>
      <c r="E20" s="133">
        <v>0.4583333333333333</v>
      </c>
      <c r="F20" s="133">
        <v>0.4583333333333333</v>
      </c>
      <c r="G20" s="133">
        <v>0.4583333333333333</v>
      </c>
      <c r="H20" s="134" t="s">
        <v>202</v>
      </c>
      <c r="I20" s="133">
        <v>0.4583333333333333</v>
      </c>
      <c r="J20" s="133">
        <v>0.4583333333333333</v>
      </c>
      <c r="K20" s="42"/>
      <c r="L20" s="133">
        <v>0.4583333333333333</v>
      </c>
      <c r="M20" s="133">
        <v>0.4583333333333333</v>
      </c>
      <c r="N20" s="133">
        <v>0.4583333333333333</v>
      </c>
      <c r="O20" s="134" t="s">
        <v>202</v>
      </c>
      <c r="P20" s="133">
        <v>0.4583333333333333</v>
      </c>
      <c r="Q20" s="133">
        <v>0.4583333333333333</v>
      </c>
      <c r="R20" s="43"/>
      <c r="S20" s="133">
        <v>0.4583333333333333</v>
      </c>
      <c r="T20" s="133">
        <v>0.4583333333333333</v>
      </c>
      <c r="U20" s="133">
        <v>0.4583333333333333</v>
      </c>
      <c r="V20" s="134" t="s">
        <v>202</v>
      </c>
      <c r="W20" s="133">
        <v>0.4583333333333333</v>
      </c>
      <c r="X20" s="133">
        <v>0.4583333333333333</v>
      </c>
      <c r="Y20" s="43"/>
      <c r="Z20" s="133">
        <v>0.4583333333333333</v>
      </c>
      <c r="AA20" s="133">
        <v>0.4583333333333333</v>
      </c>
      <c r="AB20" s="133">
        <v>0.4583333333333333</v>
      </c>
      <c r="AC20" s="134" t="s">
        <v>202</v>
      </c>
      <c r="AD20" s="133">
        <v>0.4583333333333333</v>
      </c>
      <c r="AE20" s="133">
        <v>0.4583333333333333</v>
      </c>
      <c r="AF20" s="43"/>
      <c r="AG20" s="133">
        <v>0.4583333333333333</v>
      </c>
      <c r="AH20" s="133">
        <v>0.4583333333333333</v>
      </c>
      <c r="AI20" s="133">
        <v>0.4583333333333333</v>
      </c>
      <c r="AJ20" s="134" t="s">
        <v>202</v>
      </c>
      <c r="AK20" s="133">
        <v>0.4583333333333333</v>
      </c>
      <c r="AL20" s="133">
        <v>0.4583333333333333</v>
      </c>
      <c r="AM20" s="84"/>
    </row>
    <row r="21">
      <c r="A21" s="47" t="s">
        <v>31</v>
      </c>
      <c r="B21" s="35" t="str">
        <f t="array" ref="B21">XLOOKUP(A21,Roster!F:F,Roster!A:A,"")</f>
        <v>Daniel Bustamante</v>
      </c>
      <c r="C21" s="35" t="str">
        <f t="array" ref="C21">XLOOKUP(A21,Roster!F:F,Roster!B:B,"")</f>
        <v>Gabriel Gomez</v>
      </c>
      <c r="D21" s="43"/>
      <c r="E21" s="42">
        <v>0.4583333333333333</v>
      </c>
      <c r="F21" s="42">
        <v>0.4583333333333333</v>
      </c>
      <c r="G21" s="42">
        <v>0.4583333333333333</v>
      </c>
      <c r="H21" s="42" t="s">
        <v>202</v>
      </c>
      <c r="I21" s="42">
        <v>0.4583333333333333</v>
      </c>
      <c r="J21" s="143">
        <v>0.4583333333333333</v>
      </c>
      <c r="K21" s="42"/>
      <c r="L21" s="42">
        <v>0.4583333333333333</v>
      </c>
      <c r="M21" s="42">
        <v>0.4583333333333333</v>
      </c>
      <c r="N21" s="42">
        <v>0.4583333333333333</v>
      </c>
      <c r="O21" s="42" t="s">
        <v>202</v>
      </c>
      <c r="P21" s="42">
        <v>0.4583333333333333</v>
      </c>
      <c r="Q21" s="143">
        <v>0.4583333333333333</v>
      </c>
      <c r="R21" s="43"/>
      <c r="S21" s="42">
        <v>0.4583333333333333</v>
      </c>
      <c r="T21" s="42">
        <v>0.4583333333333333</v>
      </c>
      <c r="U21" s="42">
        <v>0.4583333333333333</v>
      </c>
      <c r="V21" s="42" t="s">
        <v>202</v>
      </c>
      <c r="W21" s="42">
        <v>0.4583333333333333</v>
      </c>
      <c r="X21" s="143">
        <v>0.4583333333333333</v>
      </c>
      <c r="Y21" s="43"/>
      <c r="Z21" s="42">
        <v>0.4583333333333333</v>
      </c>
      <c r="AA21" s="42">
        <v>0.4583333333333333</v>
      </c>
      <c r="AB21" s="42">
        <v>0.4583333333333333</v>
      </c>
      <c r="AC21" s="42" t="s">
        <v>202</v>
      </c>
      <c r="AD21" s="42">
        <v>0.4583333333333333</v>
      </c>
      <c r="AE21" s="143">
        <v>0.4583333333333333</v>
      </c>
      <c r="AF21" s="43"/>
      <c r="AG21" s="42">
        <v>0.4583333333333333</v>
      </c>
      <c r="AH21" s="42">
        <v>0.4583333333333333</v>
      </c>
      <c r="AI21" s="42">
        <v>0.4583333333333333</v>
      </c>
      <c r="AJ21" s="42" t="s">
        <v>202</v>
      </c>
      <c r="AK21" s="42">
        <v>0.4583333333333333</v>
      </c>
      <c r="AL21" s="143">
        <v>0.4583333333333333</v>
      </c>
      <c r="AM21" s="84"/>
    </row>
    <row r="22">
      <c r="A22" s="47" t="s">
        <v>33</v>
      </c>
      <c r="B22" s="35" t="str">
        <f t="array" ref="B22">XLOOKUP(A22,Roster!F:F,Roster!A:A,"")</f>
        <v>Daniel Bustamante</v>
      </c>
      <c r="C22" s="35" t="str">
        <f t="array" ref="C22">XLOOKUP(A22,Roster!F:F,Roster!B:B,"")</f>
        <v>Gisel Moya</v>
      </c>
      <c r="D22" s="43"/>
      <c r="E22" s="133">
        <v>0.4583333333333333</v>
      </c>
      <c r="F22" s="133">
        <v>0.4583333333333333</v>
      </c>
      <c r="G22" s="40" t="s">
        <v>202</v>
      </c>
      <c r="H22" s="133">
        <v>0.4583333333333333</v>
      </c>
      <c r="I22" s="133">
        <v>0.4583333333333333</v>
      </c>
      <c r="J22" s="133">
        <v>0.4583333333333333</v>
      </c>
      <c r="K22" s="42"/>
      <c r="L22" s="133">
        <v>0.4583333333333333</v>
      </c>
      <c r="M22" s="133">
        <v>0.4583333333333333</v>
      </c>
      <c r="N22" s="40" t="s">
        <v>202</v>
      </c>
      <c r="O22" s="133">
        <v>0.4583333333333333</v>
      </c>
      <c r="P22" s="133">
        <v>0.4583333333333333</v>
      </c>
      <c r="Q22" s="133">
        <v>0.4583333333333333</v>
      </c>
      <c r="R22" s="43"/>
      <c r="S22" s="133">
        <v>0.4583333333333333</v>
      </c>
      <c r="T22" s="133">
        <v>0.4583333333333333</v>
      </c>
      <c r="U22" s="40" t="s">
        <v>202</v>
      </c>
      <c r="V22" s="133">
        <v>0.4583333333333333</v>
      </c>
      <c r="W22" s="133">
        <v>0.4583333333333333</v>
      </c>
      <c r="X22" s="133">
        <v>0.4583333333333333</v>
      </c>
      <c r="Y22" s="43"/>
      <c r="Z22" s="133">
        <v>0.4583333333333333</v>
      </c>
      <c r="AA22" s="133">
        <v>0.4583333333333333</v>
      </c>
      <c r="AB22" s="40" t="s">
        <v>202</v>
      </c>
      <c r="AC22" s="133">
        <v>0.4583333333333333</v>
      </c>
      <c r="AD22" s="133">
        <v>0.4583333333333333</v>
      </c>
      <c r="AE22" s="133">
        <v>0.4583333333333333</v>
      </c>
      <c r="AF22" s="43"/>
      <c r="AG22" s="133">
        <v>0.4583333333333333</v>
      </c>
      <c r="AH22" s="133">
        <v>0.4583333333333333</v>
      </c>
      <c r="AI22" s="40" t="s">
        <v>202</v>
      </c>
      <c r="AJ22" s="133">
        <v>0.4583333333333333</v>
      </c>
      <c r="AK22" s="133">
        <v>0.4583333333333333</v>
      </c>
      <c r="AL22" s="133">
        <v>0.4583333333333333</v>
      </c>
      <c r="AM22" s="84"/>
    </row>
    <row r="23">
      <c r="A23" s="47" t="s">
        <v>34</v>
      </c>
      <c r="B23" s="35" t="str">
        <f t="array" ref="B23">XLOOKUP(A23,Roster!F:F,Roster!A:A,"")</f>
        <v>Daniel Bustamante</v>
      </c>
      <c r="C23" s="35" t="str">
        <f t="array" ref="C23">XLOOKUP(A23,Roster!F:F,Roster!B:B,"")</f>
        <v>Jasam Mejia</v>
      </c>
      <c r="D23" s="43"/>
      <c r="E23" s="133">
        <v>0.4583333333333333</v>
      </c>
      <c r="F23" s="133">
        <v>0.5</v>
      </c>
      <c r="G23" s="133">
        <v>0.4583333333333333</v>
      </c>
      <c r="H23" s="133">
        <v>0.4583333333333333</v>
      </c>
      <c r="I23" s="42" t="s">
        <v>202</v>
      </c>
      <c r="J23" s="133">
        <v>0.4166666666666667</v>
      </c>
      <c r="K23" s="42"/>
      <c r="L23" s="133">
        <v>0.4583333333333333</v>
      </c>
      <c r="M23" s="133">
        <v>0.5</v>
      </c>
      <c r="N23" s="133">
        <v>0.4583333333333333</v>
      </c>
      <c r="O23" s="133">
        <v>0.4583333333333333</v>
      </c>
      <c r="P23" s="42" t="s">
        <v>202</v>
      </c>
      <c r="Q23" s="133">
        <v>0.4166666666666667</v>
      </c>
      <c r="R23" s="43"/>
      <c r="S23" s="133">
        <v>0.4583333333333333</v>
      </c>
      <c r="T23" s="133">
        <v>0.5</v>
      </c>
      <c r="U23" s="133">
        <v>0.4583333333333333</v>
      </c>
      <c r="V23" s="133">
        <v>0.4583333333333333</v>
      </c>
      <c r="W23" s="42" t="s">
        <v>202</v>
      </c>
      <c r="X23" s="133">
        <v>0.4166666666666667</v>
      </c>
      <c r="Y23" s="43"/>
      <c r="Z23" s="133">
        <v>0.4583333333333333</v>
      </c>
      <c r="AA23" s="133">
        <v>0.5</v>
      </c>
      <c r="AB23" s="133">
        <v>0.4583333333333333</v>
      </c>
      <c r="AC23" s="133">
        <v>0.4583333333333333</v>
      </c>
      <c r="AD23" s="42" t="s">
        <v>202</v>
      </c>
      <c r="AE23" s="133">
        <v>0.4166666666666667</v>
      </c>
      <c r="AF23" s="43"/>
      <c r="AG23" s="133">
        <v>0.4583333333333333</v>
      </c>
      <c r="AH23" s="133">
        <v>0.5</v>
      </c>
      <c r="AI23" s="133">
        <v>0.4583333333333333</v>
      </c>
      <c r="AJ23" s="133">
        <v>0.4583333333333333</v>
      </c>
      <c r="AK23" s="42" t="s">
        <v>202</v>
      </c>
      <c r="AL23" s="133">
        <v>0.4166666666666667</v>
      </c>
      <c r="AM23" s="84"/>
    </row>
    <row r="24">
      <c r="A24" s="47" t="s">
        <v>46</v>
      </c>
      <c r="B24" s="35" t="str">
        <f t="array" ref="B24">XLOOKUP(A24,Roster!F:F,Roster!A:A,"")</f>
        <v>Daniel Bustamante</v>
      </c>
      <c r="C24" s="35" t="str">
        <f t="array" ref="C24">XLOOKUP(A24,Roster!F:F,Roster!B:B,"")</f>
        <v>Juan Ocampo</v>
      </c>
      <c r="D24" s="43"/>
      <c r="E24" s="133">
        <v>0.4583333333333333</v>
      </c>
      <c r="F24" s="133">
        <v>0.4583333333333333</v>
      </c>
      <c r="G24" s="133">
        <v>0.4583333333333333</v>
      </c>
      <c r="H24" s="133">
        <v>0.4583333333333333</v>
      </c>
      <c r="I24" s="133">
        <v>0.4583333333333333</v>
      </c>
      <c r="J24" s="40" t="s">
        <v>202</v>
      </c>
      <c r="K24" s="42"/>
      <c r="L24" s="133">
        <v>0.3333333333333333</v>
      </c>
      <c r="M24" s="133">
        <v>0.3333333333333333</v>
      </c>
      <c r="N24" s="133">
        <v>0.3333333333333333</v>
      </c>
      <c r="O24" s="133">
        <v>0.3333333333333333</v>
      </c>
      <c r="P24" s="133">
        <v>0.3333333333333333</v>
      </c>
      <c r="Q24" s="40" t="s">
        <v>202</v>
      </c>
      <c r="R24" s="43"/>
      <c r="S24" s="133">
        <v>0.3333333333333333</v>
      </c>
      <c r="T24" s="133">
        <v>0.3333333333333333</v>
      </c>
      <c r="U24" s="133">
        <v>0.3333333333333333</v>
      </c>
      <c r="V24" s="133">
        <v>0.3333333333333333</v>
      </c>
      <c r="W24" s="133">
        <v>0.3333333333333333</v>
      </c>
      <c r="X24" s="40" t="s">
        <v>202</v>
      </c>
      <c r="Y24" s="43"/>
      <c r="Z24" s="133">
        <v>0.3333333333333333</v>
      </c>
      <c r="AA24" s="133">
        <v>0.3333333333333333</v>
      </c>
      <c r="AB24" s="133">
        <v>0.3333333333333333</v>
      </c>
      <c r="AC24" s="133">
        <v>0.3333333333333333</v>
      </c>
      <c r="AD24" s="133">
        <v>0.3333333333333333</v>
      </c>
      <c r="AE24" s="40" t="s">
        <v>202</v>
      </c>
      <c r="AF24" s="43"/>
      <c r="AG24" s="133">
        <v>0.3333333333333333</v>
      </c>
      <c r="AH24" s="133">
        <v>0.3333333333333333</v>
      </c>
      <c r="AI24" s="133">
        <v>0.3333333333333333</v>
      </c>
      <c r="AJ24" s="133">
        <v>0.3333333333333333</v>
      </c>
      <c r="AK24" s="133">
        <v>0.3333333333333333</v>
      </c>
      <c r="AL24" s="40" t="s">
        <v>202</v>
      </c>
      <c r="AM24" s="84"/>
    </row>
    <row r="25">
      <c r="A25" s="47" t="s">
        <v>56</v>
      </c>
      <c r="B25" s="35" t="str">
        <f t="array" ref="B25">XLOOKUP(A25,Roster!F:F,Roster!A:A,"")</f>
        <v>Daniel Bustamante</v>
      </c>
      <c r="C25" s="35" t="str">
        <f t="array" ref="C25">XLOOKUP(A25,Roster!F:F,Roster!B:B,"")</f>
        <v>Leonerrichi Caicedo</v>
      </c>
      <c r="D25" s="43"/>
      <c r="E25" s="133">
        <v>0.3333333333333333</v>
      </c>
      <c r="F25" s="133">
        <v>0.3333333333333333</v>
      </c>
      <c r="G25" s="133">
        <v>0.3333333333333333</v>
      </c>
      <c r="H25" s="40" t="s">
        <v>202</v>
      </c>
      <c r="I25" s="133">
        <v>0.3333333333333333</v>
      </c>
      <c r="J25" s="133">
        <v>0.3333333333333333</v>
      </c>
      <c r="K25" s="42"/>
      <c r="L25" s="133">
        <v>0.3333333333333333</v>
      </c>
      <c r="M25" s="133">
        <v>0.3333333333333333</v>
      </c>
      <c r="N25" s="133">
        <v>0.3333333333333333</v>
      </c>
      <c r="O25" s="40" t="s">
        <v>202</v>
      </c>
      <c r="P25" s="133">
        <v>0.3333333333333333</v>
      </c>
      <c r="Q25" s="133">
        <v>0.3333333333333333</v>
      </c>
      <c r="R25" s="43"/>
      <c r="S25" s="133">
        <v>0.3333333333333333</v>
      </c>
      <c r="T25" s="133">
        <v>0.3333333333333333</v>
      </c>
      <c r="U25" s="133">
        <v>0.3333333333333333</v>
      </c>
      <c r="V25" s="40" t="s">
        <v>202</v>
      </c>
      <c r="W25" s="133">
        <v>0.3333333333333333</v>
      </c>
      <c r="X25" s="133">
        <v>0.3333333333333333</v>
      </c>
      <c r="Y25" s="43"/>
      <c r="Z25" s="133">
        <v>0.3333333333333333</v>
      </c>
      <c r="AA25" s="133">
        <v>0.3333333333333333</v>
      </c>
      <c r="AB25" s="133">
        <v>0.3333333333333333</v>
      </c>
      <c r="AC25" s="40" t="s">
        <v>202</v>
      </c>
      <c r="AD25" s="133">
        <v>0.3333333333333333</v>
      </c>
      <c r="AE25" s="133">
        <v>0.3333333333333333</v>
      </c>
      <c r="AF25" s="43"/>
      <c r="AG25" s="133">
        <v>0.3333333333333333</v>
      </c>
      <c r="AH25" s="133">
        <v>0.3333333333333333</v>
      </c>
      <c r="AI25" s="133">
        <v>0.3333333333333333</v>
      </c>
      <c r="AJ25" s="40" t="s">
        <v>202</v>
      </c>
      <c r="AK25" s="133">
        <v>0.3333333333333333</v>
      </c>
      <c r="AL25" s="133">
        <v>0.3333333333333333</v>
      </c>
      <c r="AM25" s="84"/>
    </row>
    <row r="26">
      <c r="A26" s="47" t="s">
        <v>61</v>
      </c>
      <c r="B26" s="35" t="str">
        <f t="array" ref="B26">XLOOKUP(A26,Roster!F:F,Roster!A:A,"")</f>
        <v>Daniel Bustamante</v>
      </c>
      <c r="C26" s="35" t="str">
        <f t="array" ref="C26">XLOOKUP(A26,Roster!F:F,Roster!B:B,"")</f>
        <v>Luna Morales</v>
      </c>
      <c r="D26" s="43"/>
      <c r="E26" s="96">
        <v>0.3333333333333333</v>
      </c>
      <c r="F26" s="96">
        <v>0.3333333333333333</v>
      </c>
      <c r="G26" s="96">
        <v>0.3333333333333333</v>
      </c>
      <c r="H26" s="144">
        <v>0.4583333333333333</v>
      </c>
      <c r="I26" s="96">
        <v>0.3333333333333333</v>
      </c>
      <c r="J26" s="112" t="s">
        <v>202</v>
      </c>
      <c r="K26" s="42"/>
      <c r="L26" s="96">
        <v>0.3333333333333333</v>
      </c>
      <c r="M26" s="96">
        <v>0.3333333333333333</v>
      </c>
      <c r="N26" s="96">
        <v>0.3333333333333333</v>
      </c>
      <c r="O26" s="144">
        <v>0.4583333333333333</v>
      </c>
      <c r="P26" s="96">
        <v>0.3333333333333333</v>
      </c>
      <c r="Q26" s="112" t="s">
        <v>202</v>
      </c>
      <c r="R26" s="43"/>
      <c r="S26" s="96">
        <v>0.3333333333333333</v>
      </c>
      <c r="T26" s="96">
        <v>0.3333333333333333</v>
      </c>
      <c r="U26" s="96">
        <v>0.3333333333333333</v>
      </c>
      <c r="V26" s="144">
        <v>0.4583333333333333</v>
      </c>
      <c r="W26" s="96">
        <v>0.3333333333333333</v>
      </c>
      <c r="X26" s="112" t="s">
        <v>202</v>
      </c>
      <c r="Y26" s="43"/>
      <c r="Z26" s="96">
        <v>0.3333333333333333</v>
      </c>
      <c r="AA26" s="96">
        <v>0.3333333333333333</v>
      </c>
      <c r="AB26" s="96">
        <v>0.3333333333333333</v>
      </c>
      <c r="AC26" s="144">
        <v>0.4583333333333333</v>
      </c>
      <c r="AD26" s="96">
        <v>0.3333333333333333</v>
      </c>
      <c r="AE26" s="112" t="s">
        <v>202</v>
      </c>
      <c r="AF26" s="43"/>
      <c r="AG26" s="96">
        <v>0.3333333333333333</v>
      </c>
      <c r="AH26" s="96">
        <v>0.3333333333333333</v>
      </c>
      <c r="AI26" s="96">
        <v>0.3333333333333333</v>
      </c>
      <c r="AJ26" s="144">
        <v>0.4583333333333333</v>
      </c>
      <c r="AK26" s="96">
        <v>0.3333333333333333</v>
      </c>
      <c r="AL26" s="112" t="s">
        <v>202</v>
      </c>
      <c r="AM26" s="84"/>
    </row>
    <row r="27">
      <c r="A27" s="47" t="s">
        <v>68</v>
      </c>
      <c r="B27" s="35" t="str">
        <f t="array" ref="B27">XLOOKUP(A27,Roster!F:F,Roster!A:A,"")</f>
        <v>Daniel Bustamante</v>
      </c>
      <c r="C27" s="35" t="str">
        <f t="array" ref="C27">XLOOKUP(A27,Roster!F:F,Roster!B:B,"")</f>
        <v>Oscar Roldan</v>
      </c>
      <c r="D27" s="43"/>
      <c r="E27" s="133">
        <v>0.4583333333333333</v>
      </c>
      <c r="F27" s="133">
        <v>0.4583333333333333</v>
      </c>
      <c r="G27" s="133">
        <v>0.4583333333333333</v>
      </c>
      <c r="H27" s="133">
        <v>0.4583333333333333</v>
      </c>
      <c r="I27" s="40" t="s">
        <v>202</v>
      </c>
      <c r="J27" s="133">
        <v>0.4583333333333333</v>
      </c>
      <c r="K27" s="42"/>
      <c r="L27" s="133">
        <v>0.4583333333333333</v>
      </c>
      <c r="M27" s="133">
        <v>0.4583333333333333</v>
      </c>
      <c r="N27" s="133">
        <v>0.4583333333333333</v>
      </c>
      <c r="O27" s="133">
        <v>0.4583333333333333</v>
      </c>
      <c r="P27" s="40" t="s">
        <v>202</v>
      </c>
      <c r="Q27" s="133">
        <v>0.4583333333333333</v>
      </c>
      <c r="R27" s="43"/>
      <c r="S27" s="133">
        <v>0.4583333333333333</v>
      </c>
      <c r="T27" s="133">
        <v>0.4583333333333333</v>
      </c>
      <c r="U27" s="133">
        <v>0.4583333333333333</v>
      </c>
      <c r="V27" s="133">
        <v>0.4583333333333333</v>
      </c>
      <c r="W27" s="40" t="s">
        <v>202</v>
      </c>
      <c r="X27" s="133">
        <v>0.4583333333333333</v>
      </c>
      <c r="Y27" s="43"/>
      <c r="Z27" s="133">
        <v>0.4583333333333333</v>
      </c>
      <c r="AA27" s="133">
        <v>0.4583333333333333</v>
      </c>
      <c r="AB27" s="133">
        <v>0.4583333333333333</v>
      </c>
      <c r="AC27" s="133">
        <v>0.4583333333333333</v>
      </c>
      <c r="AD27" s="40" t="s">
        <v>202</v>
      </c>
      <c r="AE27" s="133">
        <v>0.4583333333333333</v>
      </c>
      <c r="AF27" s="43"/>
      <c r="AG27" s="133">
        <v>0.4583333333333333</v>
      </c>
      <c r="AH27" s="133">
        <v>0.4583333333333333</v>
      </c>
      <c r="AI27" s="133">
        <v>0.4583333333333333</v>
      </c>
      <c r="AJ27" s="133">
        <v>0.4583333333333333</v>
      </c>
      <c r="AK27" s="40" t="s">
        <v>202</v>
      </c>
      <c r="AL27" s="133">
        <v>0.4583333333333333</v>
      </c>
      <c r="AM27" s="84"/>
    </row>
    <row r="28">
      <c r="A28" s="47" t="s">
        <v>71</v>
      </c>
      <c r="B28" s="35" t="str">
        <f t="array" ref="B28">XLOOKUP(A28,Roster!F:F,Roster!A:A,"")</f>
        <v>Daniel Bustamante</v>
      </c>
      <c r="C28" s="35" t="str">
        <f t="array" ref="C28">XLOOKUP(A28,Roster!F:F,Roster!B:B,"")</f>
        <v>Samuel Acevedo Cadavid</v>
      </c>
      <c r="D28" s="43"/>
      <c r="E28" s="144">
        <v>0.4583333333333333</v>
      </c>
      <c r="F28" s="144">
        <v>0.4583333333333333</v>
      </c>
      <c r="G28" s="144">
        <v>0.4583333333333333</v>
      </c>
      <c r="H28" s="140" t="s">
        <v>202</v>
      </c>
      <c r="I28" s="144">
        <v>0.4583333333333333</v>
      </c>
      <c r="J28" s="96">
        <v>0.3333333333333333</v>
      </c>
      <c r="K28" s="42"/>
      <c r="L28" s="144">
        <v>0.4583333333333333</v>
      </c>
      <c r="M28" s="144">
        <v>0.4583333333333333</v>
      </c>
      <c r="N28" s="144">
        <v>0.4583333333333333</v>
      </c>
      <c r="O28" s="140" t="s">
        <v>202</v>
      </c>
      <c r="P28" s="144">
        <v>0.4583333333333333</v>
      </c>
      <c r="Q28" s="96">
        <v>0.3333333333333333</v>
      </c>
      <c r="R28" s="43"/>
      <c r="S28" s="144">
        <v>0.4583333333333333</v>
      </c>
      <c r="T28" s="144">
        <v>0.4583333333333333</v>
      </c>
      <c r="U28" s="144">
        <v>0.4583333333333333</v>
      </c>
      <c r="V28" s="140" t="s">
        <v>202</v>
      </c>
      <c r="W28" s="144">
        <v>0.4583333333333333</v>
      </c>
      <c r="X28" s="96">
        <v>0.3333333333333333</v>
      </c>
      <c r="Y28" s="43"/>
      <c r="Z28" s="144">
        <v>0.4583333333333333</v>
      </c>
      <c r="AA28" s="144">
        <v>0.4583333333333333</v>
      </c>
      <c r="AB28" s="144">
        <v>0.4583333333333333</v>
      </c>
      <c r="AC28" s="140" t="s">
        <v>202</v>
      </c>
      <c r="AD28" s="144">
        <v>0.4583333333333333</v>
      </c>
      <c r="AE28" s="96">
        <v>0.3333333333333333</v>
      </c>
      <c r="AF28" s="43"/>
      <c r="AG28" s="144">
        <v>0.4583333333333333</v>
      </c>
      <c r="AH28" s="144">
        <v>0.4583333333333333</v>
      </c>
      <c r="AI28" s="144">
        <v>0.4583333333333333</v>
      </c>
      <c r="AJ28" s="140" t="s">
        <v>202</v>
      </c>
      <c r="AK28" s="144">
        <v>0.4583333333333333</v>
      </c>
      <c r="AL28" s="96">
        <v>0.3333333333333333</v>
      </c>
      <c r="AM28" s="84"/>
    </row>
    <row r="29">
      <c r="A29" s="47" t="s">
        <v>72</v>
      </c>
      <c r="B29" s="35" t="str">
        <f t="array" ref="B29">XLOOKUP(A29,Roster!F:F,Roster!A:A,"")</f>
        <v>Daniel Bustamante</v>
      </c>
      <c r="C29" s="35" t="str">
        <f t="array" ref="C29">XLOOKUP(A29,Roster!F:F,Roster!B:B,"")</f>
        <v>Santiago Mora</v>
      </c>
      <c r="D29" s="43"/>
      <c r="E29" s="133">
        <v>0.4583333333333333</v>
      </c>
      <c r="F29" s="133">
        <v>0.4583333333333333</v>
      </c>
      <c r="G29" s="133">
        <v>0.4583333333333333</v>
      </c>
      <c r="H29" s="133">
        <v>0.4583333333333333</v>
      </c>
      <c r="I29" s="133">
        <v>0.4583333333333333</v>
      </c>
      <c r="J29" s="40" t="s">
        <v>202</v>
      </c>
      <c r="K29" s="42"/>
      <c r="L29" s="133">
        <v>0.4583333333333333</v>
      </c>
      <c r="M29" s="133">
        <v>0.4583333333333333</v>
      </c>
      <c r="N29" s="133">
        <v>0.4583333333333333</v>
      </c>
      <c r="O29" s="133">
        <v>0.4583333333333333</v>
      </c>
      <c r="P29" s="133">
        <v>0.4583333333333333</v>
      </c>
      <c r="Q29" s="40" t="s">
        <v>202</v>
      </c>
      <c r="R29" s="43"/>
      <c r="S29" s="133">
        <v>0.4583333333333333</v>
      </c>
      <c r="T29" s="133">
        <v>0.4583333333333333</v>
      </c>
      <c r="U29" s="133">
        <v>0.4583333333333333</v>
      </c>
      <c r="V29" s="133">
        <v>0.4583333333333333</v>
      </c>
      <c r="W29" s="133">
        <v>0.4583333333333333</v>
      </c>
      <c r="X29" s="40" t="s">
        <v>202</v>
      </c>
      <c r="Y29" s="43"/>
      <c r="Z29" s="133">
        <v>0.4583333333333333</v>
      </c>
      <c r="AA29" s="133">
        <v>0.4583333333333333</v>
      </c>
      <c r="AB29" s="133">
        <v>0.4583333333333333</v>
      </c>
      <c r="AC29" s="133">
        <v>0.4583333333333333</v>
      </c>
      <c r="AD29" s="133">
        <v>0.4583333333333333</v>
      </c>
      <c r="AE29" s="40" t="s">
        <v>202</v>
      </c>
      <c r="AF29" s="43"/>
      <c r="AG29" s="133">
        <v>0.4583333333333333</v>
      </c>
      <c r="AH29" s="133">
        <v>0.4583333333333333</v>
      </c>
      <c r="AI29" s="133">
        <v>0.4583333333333333</v>
      </c>
      <c r="AJ29" s="133">
        <v>0.4583333333333333</v>
      </c>
      <c r="AK29" s="133">
        <v>0.4583333333333333</v>
      </c>
      <c r="AL29" s="40" t="s">
        <v>202</v>
      </c>
      <c r="AM29" s="84"/>
    </row>
    <row r="30">
      <c r="A30" s="47" t="s">
        <v>73</v>
      </c>
      <c r="B30" s="35" t="str">
        <f t="array" ref="B30">XLOOKUP(A30,Roster!F:F,Roster!A:A,"")</f>
        <v>Daniel Bustamante</v>
      </c>
      <c r="C30" s="35" t="str">
        <f t="array" ref="C30">XLOOKUP(A30,Roster!F:F,Roster!B:B,"")</f>
        <v>Sebastian Agudelo Londono</v>
      </c>
      <c r="D30" s="43"/>
      <c r="E30" s="133">
        <v>0.4583333333333333</v>
      </c>
      <c r="F30" s="132" t="s">
        <v>202</v>
      </c>
      <c r="G30" s="133">
        <v>0.4583333333333333</v>
      </c>
      <c r="H30" s="133">
        <v>0.4583333333333333</v>
      </c>
      <c r="I30" s="133">
        <v>0.4583333333333333</v>
      </c>
      <c r="J30" s="133">
        <v>0.4583333333333333</v>
      </c>
      <c r="K30" s="42"/>
      <c r="L30" s="133">
        <v>0.4583333333333333</v>
      </c>
      <c r="M30" s="132" t="s">
        <v>202</v>
      </c>
      <c r="N30" s="133">
        <v>0.4583333333333333</v>
      </c>
      <c r="O30" s="133">
        <v>0.4583333333333333</v>
      </c>
      <c r="P30" s="133">
        <v>0.4583333333333333</v>
      </c>
      <c r="Q30" s="133">
        <v>0.4583333333333333</v>
      </c>
      <c r="R30" s="43"/>
      <c r="S30" s="133">
        <v>0.4583333333333333</v>
      </c>
      <c r="T30" s="132" t="s">
        <v>202</v>
      </c>
      <c r="U30" s="133">
        <v>0.4583333333333333</v>
      </c>
      <c r="V30" s="133">
        <v>0.4583333333333333</v>
      </c>
      <c r="W30" s="133">
        <v>0.4583333333333333</v>
      </c>
      <c r="X30" s="133">
        <v>0.4583333333333333</v>
      </c>
      <c r="Y30" s="43"/>
      <c r="Z30" s="133">
        <v>0.4583333333333333</v>
      </c>
      <c r="AA30" s="132" t="s">
        <v>202</v>
      </c>
      <c r="AB30" s="133">
        <v>0.4583333333333333</v>
      </c>
      <c r="AC30" s="133">
        <v>0.4583333333333333</v>
      </c>
      <c r="AD30" s="133">
        <v>0.4583333333333333</v>
      </c>
      <c r="AE30" s="133">
        <v>0.4583333333333333</v>
      </c>
      <c r="AF30" s="43"/>
      <c r="AG30" s="133">
        <v>0.4583333333333333</v>
      </c>
      <c r="AH30" s="132" t="s">
        <v>202</v>
      </c>
      <c r="AI30" s="133">
        <v>0.4583333333333333</v>
      </c>
      <c r="AJ30" s="133">
        <v>0.4583333333333333</v>
      </c>
      <c r="AK30" s="133">
        <v>0.4583333333333333</v>
      </c>
      <c r="AL30" s="133">
        <v>0.4583333333333333</v>
      </c>
      <c r="AM30" s="84"/>
    </row>
    <row r="31">
      <c r="A31" s="47" t="s">
        <v>74</v>
      </c>
      <c r="B31" s="35" t="str">
        <f t="array" ref="B31">XLOOKUP(A31,Roster!F:F,Roster!A:A,"")</f>
        <v>Daniel Bustamante</v>
      </c>
      <c r="C31" s="35" t="str">
        <f t="array" ref="C31">XLOOKUP(A31,Roster!F:F,Roster!B:B,"")</f>
        <v>Sebastian Torres Gomez</v>
      </c>
      <c r="D31" s="43"/>
      <c r="E31" s="133">
        <v>0.4583333333333333</v>
      </c>
      <c r="F31" s="40" t="s">
        <v>202</v>
      </c>
      <c r="G31" s="133">
        <v>0.4583333333333333</v>
      </c>
      <c r="H31" s="133">
        <v>0.4583333333333333</v>
      </c>
      <c r="I31" s="133">
        <v>0.4583333333333333</v>
      </c>
      <c r="J31" s="142">
        <v>0.4583333333333333</v>
      </c>
      <c r="K31" s="42"/>
      <c r="L31" s="133">
        <v>0.4583333333333333</v>
      </c>
      <c r="M31" s="40" t="s">
        <v>202</v>
      </c>
      <c r="N31" s="133">
        <v>0.4583333333333333</v>
      </c>
      <c r="O31" s="133">
        <v>0.4583333333333333</v>
      </c>
      <c r="P31" s="133">
        <v>0.4583333333333333</v>
      </c>
      <c r="Q31" s="142">
        <v>0.4583333333333333</v>
      </c>
      <c r="R31" s="43"/>
      <c r="S31" s="133">
        <v>0.4583333333333333</v>
      </c>
      <c r="T31" s="40" t="s">
        <v>202</v>
      </c>
      <c r="U31" s="133">
        <v>0.4583333333333333</v>
      </c>
      <c r="V31" s="133">
        <v>0.4583333333333333</v>
      </c>
      <c r="W31" s="133">
        <v>0.4583333333333333</v>
      </c>
      <c r="X31" s="142">
        <v>0.4583333333333333</v>
      </c>
      <c r="Y31" s="43"/>
      <c r="Z31" s="133">
        <v>0.4583333333333333</v>
      </c>
      <c r="AA31" s="40" t="s">
        <v>202</v>
      </c>
      <c r="AB31" s="133">
        <v>0.4583333333333333</v>
      </c>
      <c r="AC31" s="133">
        <v>0.4583333333333333</v>
      </c>
      <c r="AD31" s="133">
        <v>0.4583333333333333</v>
      </c>
      <c r="AE31" s="142">
        <v>0.4583333333333333</v>
      </c>
      <c r="AF31" s="43"/>
      <c r="AG31" s="133">
        <v>0.4583333333333333</v>
      </c>
      <c r="AH31" s="40" t="s">
        <v>202</v>
      </c>
      <c r="AI31" s="133">
        <v>0.4583333333333333</v>
      </c>
      <c r="AJ31" s="133">
        <v>0.4583333333333333</v>
      </c>
      <c r="AK31" s="133">
        <v>0.4583333333333333</v>
      </c>
      <c r="AL31" s="142">
        <v>0.4583333333333333</v>
      </c>
      <c r="AM31" s="84"/>
    </row>
    <row r="32">
      <c r="A32" s="47" t="s">
        <v>76</v>
      </c>
      <c r="B32" s="35" t="str">
        <f t="array" ref="B32">XLOOKUP(A32,Roster!F:F,Roster!A:A,"")</f>
        <v>Daniel Bustamante</v>
      </c>
      <c r="C32" s="35" t="str">
        <f t="array" ref="C32">XLOOKUP(A32,Roster!F:F,Roster!B:B,"")</f>
        <v>Sergio Rojas</v>
      </c>
      <c r="D32" s="43"/>
      <c r="E32" s="133">
        <v>0.4583333333333333</v>
      </c>
      <c r="F32" s="133">
        <v>0.4583333333333333</v>
      </c>
      <c r="G32" s="133">
        <v>0.4583333333333333</v>
      </c>
      <c r="H32" s="40" t="s">
        <v>202</v>
      </c>
      <c r="I32" s="133">
        <v>0.4583333333333333</v>
      </c>
      <c r="J32" s="133">
        <v>0.4583333333333333</v>
      </c>
      <c r="K32" s="42"/>
      <c r="L32" s="133">
        <v>0.4583333333333333</v>
      </c>
      <c r="M32" s="133">
        <v>0.4583333333333333</v>
      </c>
      <c r="N32" s="133">
        <v>0.4583333333333333</v>
      </c>
      <c r="O32" s="40" t="s">
        <v>202</v>
      </c>
      <c r="P32" s="133">
        <v>0.4583333333333333</v>
      </c>
      <c r="Q32" s="133">
        <v>0.4583333333333333</v>
      </c>
      <c r="R32" s="43"/>
      <c r="S32" s="133">
        <v>0.4583333333333333</v>
      </c>
      <c r="T32" s="133">
        <v>0.4583333333333333</v>
      </c>
      <c r="U32" s="133">
        <v>0.4583333333333333</v>
      </c>
      <c r="V32" s="40" t="s">
        <v>202</v>
      </c>
      <c r="W32" s="133">
        <v>0.4583333333333333</v>
      </c>
      <c r="X32" s="133">
        <v>0.4583333333333333</v>
      </c>
      <c r="Y32" s="43"/>
      <c r="Z32" s="133">
        <v>0.4583333333333333</v>
      </c>
      <c r="AA32" s="133">
        <v>0.4583333333333333</v>
      </c>
      <c r="AB32" s="133">
        <v>0.4583333333333333</v>
      </c>
      <c r="AC32" s="40" t="s">
        <v>202</v>
      </c>
      <c r="AD32" s="133">
        <v>0.4583333333333333</v>
      </c>
      <c r="AE32" s="133">
        <v>0.4583333333333333</v>
      </c>
      <c r="AF32" s="43"/>
      <c r="AG32" s="133">
        <v>0.4583333333333333</v>
      </c>
      <c r="AH32" s="133">
        <v>0.4583333333333333</v>
      </c>
      <c r="AI32" s="133">
        <v>0.4583333333333333</v>
      </c>
      <c r="AJ32" s="40" t="s">
        <v>202</v>
      </c>
      <c r="AK32" s="133">
        <v>0.4583333333333333</v>
      </c>
      <c r="AL32" s="133">
        <v>0.4583333333333333</v>
      </c>
      <c r="AM32" s="84"/>
    </row>
    <row r="33">
      <c r="A33" s="47" t="s">
        <v>77</v>
      </c>
      <c r="B33" s="35" t="str">
        <f t="array" ref="B33">XLOOKUP(A33,Roster!F:F,Roster!A:A,"")</f>
        <v>Daniel Bustamante</v>
      </c>
      <c r="C33" s="35" t="str">
        <f t="array" ref="C33">XLOOKUP(A33,Roster!F:F,Roster!B:B,"")</f>
        <v>Simon Zuluaica</v>
      </c>
      <c r="D33" s="43"/>
      <c r="E33" s="144">
        <v>0.4583333333333333</v>
      </c>
      <c r="F33" s="144">
        <v>0.4583333333333333</v>
      </c>
      <c r="G33" s="144">
        <v>0.4583333333333333</v>
      </c>
      <c r="H33" s="144">
        <v>0.4583333333333333</v>
      </c>
      <c r="I33" s="144">
        <v>0.4583333333333333</v>
      </c>
      <c r="J33" s="143" t="s">
        <v>202</v>
      </c>
      <c r="K33" s="42"/>
      <c r="L33" s="144">
        <v>0.4583333333333333</v>
      </c>
      <c r="M33" s="144">
        <v>0.4583333333333333</v>
      </c>
      <c r="N33" s="144">
        <v>0.4583333333333333</v>
      </c>
      <c r="O33" s="144">
        <v>0.4583333333333333</v>
      </c>
      <c r="P33" s="144">
        <v>0.4583333333333333</v>
      </c>
      <c r="Q33" s="143" t="s">
        <v>202</v>
      </c>
      <c r="R33" s="43"/>
      <c r="S33" s="144">
        <v>0.4583333333333333</v>
      </c>
      <c r="T33" s="144">
        <v>0.4583333333333333</v>
      </c>
      <c r="U33" s="144">
        <v>0.4583333333333333</v>
      </c>
      <c r="V33" s="144">
        <v>0.4583333333333333</v>
      </c>
      <c r="W33" s="144">
        <v>0.4583333333333333</v>
      </c>
      <c r="X33" s="143" t="s">
        <v>202</v>
      </c>
      <c r="Y33" s="43"/>
      <c r="Z33" s="144">
        <v>0.4583333333333333</v>
      </c>
      <c r="AA33" s="144">
        <v>0.4583333333333333</v>
      </c>
      <c r="AB33" s="144">
        <v>0.4583333333333333</v>
      </c>
      <c r="AC33" s="144">
        <v>0.4583333333333333</v>
      </c>
      <c r="AD33" s="144">
        <v>0.4583333333333333</v>
      </c>
      <c r="AE33" s="143" t="s">
        <v>202</v>
      </c>
      <c r="AF33" s="43"/>
      <c r="AG33" s="144">
        <v>0.4583333333333333</v>
      </c>
      <c r="AH33" s="144">
        <v>0.4583333333333333</v>
      </c>
      <c r="AI33" s="144">
        <v>0.4583333333333333</v>
      </c>
      <c r="AJ33" s="144">
        <v>0.4583333333333333</v>
      </c>
      <c r="AK33" s="144">
        <v>0.4583333333333333</v>
      </c>
      <c r="AL33" s="143" t="s">
        <v>202</v>
      </c>
      <c r="AM33" s="84"/>
    </row>
    <row r="34">
      <c r="A34" s="47" t="s">
        <v>17</v>
      </c>
      <c r="B34" s="35" t="str">
        <f t="array" ref="B34">XLOOKUP(A34,Roster!F:F,Roster!A:A,"")</f>
        <v>Martin Salazar</v>
      </c>
      <c r="C34" s="35" t="str">
        <f t="array" ref="C34">XLOOKUP(A34,Roster!F:F,Roster!B:B,"")</f>
        <v>Brahian Prado</v>
      </c>
      <c r="D34" s="43"/>
      <c r="E34" s="42">
        <v>0.3333333333333333</v>
      </c>
      <c r="F34" s="42">
        <v>0.3333333333333333</v>
      </c>
      <c r="G34" s="42">
        <v>0.3333333333333333</v>
      </c>
      <c r="H34" s="42">
        <v>0.3333333333333333</v>
      </c>
      <c r="I34" s="42">
        <v>0.3333333333333333</v>
      </c>
      <c r="J34" s="143" t="s">
        <v>202</v>
      </c>
      <c r="K34" s="42"/>
      <c r="L34" s="42">
        <v>0.3333333333333333</v>
      </c>
      <c r="M34" s="42">
        <v>0.3333333333333333</v>
      </c>
      <c r="N34" s="42">
        <v>0.3333333333333333</v>
      </c>
      <c r="O34" s="42">
        <v>0.3333333333333333</v>
      </c>
      <c r="P34" s="42">
        <v>0.3333333333333333</v>
      </c>
      <c r="Q34" s="145" t="s">
        <v>202</v>
      </c>
      <c r="R34" s="43"/>
      <c r="S34" s="42">
        <v>0.3333333333333333</v>
      </c>
      <c r="T34" s="42">
        <v>0.3333333333333333</v>
      </c>
      <c r="U34" s="42">
        <v>0.3333333333333333</v>
      </c>
      <c r="V34" s="42">
        <v>0.3333333333333333</v>
      </c>
      <c r="W34" s="42">
        <v>0.3333333333333333</v>
      </c>
      <c r="X34" s="145" t="s">
        <v>202</v>
      </c>
      <c r="Y34" s="43"/>
      <c r="Z34" s="42">
        <v>0.3333333333333333</v>
      </c>
      <c r="AA34" s="42">
        <v>0.3333333333333333</v>
      </c>
      <c r="AB34" s="42">
        <v>0.3333333333333333</v>
      </c>
      <c r="AC34" s="42">
        <v>0.3333333333333333</v>
      </c>
      <c r="AD34" s="42">
        <v>0.3333333333333333</v>
      </c>
      <c r="AE34" s="145" t="s">
        <v>202</v>
      </c>
      <c r="AF34" s="43"/>
      <c r="AG34" s="42">
        <v>0.3333333333333333</v>
      </c>
      <c r="AH34" s="42">
        <v>0.3333333333333333</v>
      </c>
      <c r="AI34" s="42">
        <v>0.3333333333333333</v>
      </c>
      <c r="AJ34" s="42">
        <v>0.3333333333333333</v>
      </c>
      <c r="AK34" s="42">
        <v>0.3333333333333333</v>
      </c>
      <c r="AL34" s="145" t="s">
        <v>202</v>
      </c>
      <c r="AM34" s="84"/>
    </row>
    <row r="35">
      <c r="A35" s="47" t="s">
        <v>27</v>
      </c>
      <c r="B35" s="35" t="str">
        <f t="array" ref="B35">XLOOKUP(A35,Roster!F:F,Roster!A:A,"")</f>
        <v>Martin Salazar</v>
      </c>
      <c r="C35" s="35" t="str">
        <f t="array" ref="C35">XLOOKUP(A35,Roster!F:F,Roster!B:B,"")</f>
        <v>Edwuin Martinez</v>
      </c>
      <c r="D35" s="43"/>
      <c r="E35" s="134" t="s">
        <v>202</v>
      </c>
      <c r="F35" s="42">
        <v>0.3333333333333333</v>
      </c>
      <c r="G35" s="42">
        <v>0.3333333333333333</v>
      </c>
      <c r="H35" s="42">
        <v>0.3333333333333333</v>
      </c>
      <c r="I35" s="42">
        <v>0.3333333333333333</v>
      </c>
      <c r="J35" s="42">
        <v>0.3333333333333333</v>
      </c>
      <c r="K35" s="42"/>
      <c r="L35" s="134" t="s">
        <v>202</v>
      </c>
      <c r="M35" s="42">
        <v>0.3333333333333333</v>
      </c>
      <c r="N35" s="42">
        <v>0.3333333333333333</v>
      </c>
      <c r="O35" s="42">
        <v>0.3333333333333333</v>
      </c>
      <c r="P35" s="42">
        <v>0.3333333333333333</v>
      </c>
      <c r="Q35" s="42">
        <v>0.3333333333333333</v>
      </c>
      <c r="R35" s="43"/>
      <c r="S35" s="134" t="s">
        <v>202</v>
      </c>
      <c r="T35" s="42">
        <v>0.3333333333333333</v>
      </c>
      <c r="U35" s="42">
        <v>0.3333333333333333</v>
      </c>
      <c r="V35" s="42">
        <v>0.3333333333333333</v>
      </c>
      <c r="W35" s="42">
        <v>0.3333333333333333</v>
      </c>
      <c r="X35" s="42">
        <v>0.3333333333333333</v>
      </c>
      <c r="Y35" s="43"/>
      <c r="Z35" s="134" t="s">
        <v>202</v>
      </c>
      <c r="AA35" s="42">
        <v>0.3333333333333333</v>
      </c>
      <c r="AB35" s="42">
        <v>0.3333333333333333</v>
      </c>
      <c r="AC35" s="42">
        <v>0.3333333333333333</v>
      </c>
      <c r="AD35" s="42">
        <v>0.3333333333333333</v>
      </c>
      <c r="AE35" s="42">
        <v>0.3333333333333333</v>
      </c>
      <c r="AF35" s="43"/>
      <c r="AG35" s="134" t="s">
        <v>202</v>
      </c>
      <c r="AH35" s="42">
        <v>0.3333333333333333</v>
      </c>
      <c r="AI35" s="42">
        <v>0.3333333333333333</v>
      </c>
      <c r="AJ35" s="42">
        <v>0.3333333333333333</v>
      </c>
      <c r="AK35" s="42">
        <v>0.3333333333333333</v>
      </c>
      <c r="AL35" s="42">
        <v>0.3333333333333333</v>
      </c>
      <c r="AM35" s="84"/>
    </row>
    <row r="36">
      <c r="A36" s="47" t="s">
        <v>29</v>
      </c>
      <c r="B36" s="35" t="str">
        <f t="array" ref="B36">XLOOKUP(A36,Roster!F:F,Roster!A:A,"")</f>
        <v>Martin Salazar</v>
      </c>
      <c r="C36" s="35" t="str">
        <f t="array" ref="C36">XLOOKUP(A36,Roster!F:F,Roster!B:B,"")</f>
        <v>Frank Marin</v>
      </c>
      <c r="D36" s="43"/>
      <c r="E36" s="42">
        <v>0.3333333333333333</v>
      </c>
      <c r="F36" s="143">
        <v>0.3333333333333333</v>
      </c>
      <c r="G36" s="42">
        <v>0.3333333333333333</v>
      </c>
      <c r="H36" s="42">
        <v>0.3333333333333333</v>
      </c>
      <c r="I36" s="42">
        <v>0.3333333333333333</v>
      </c>
      <c r="J36" s="132" t="s">
        <v>202</v>
      </c>
      <c r="K36" s="42"/>
      <c r="L36" s="42">
        <v>0.3333333333333333</v>
      </c>
      <c r="M36" s="143">
        <v>0.3333333333333333</v>
      </c>
      <c r="N36" s="42">
        <v>0.3333333333333333</v>
      </c>
      <c r="O36" s="42">
        <v>0.3333333333333333</v>
      </c>
      <c r="P36" s="42">
        <v>0.3333333333333333</v>
      </c>
      <c r="Q36" s="132" t="s">
        <v>202</v>
      </c>
      <c r="R36" s="43"/>
      <c r="S36" s="42">
        <v>0.3333333333333333</v>
      </c>
      <c r="T36" s="143">
        <v>0.3333333333333333</v>
      </c>
      <c r="U36" s="42">
        <v>0.3333333333333333</v>
      </c>
      <c r="V36" s="42">
        <v>0.3333333333333333</v>
      </c>
      <c r="W36" s="42">
        <v>0.3333333333333333</v>
      </c>
      <c r="X36" s="132" t="s">
        <v>202</v>
      </c>
      <c r="Y36" s="43"/>
      <c r="Z36" s="42">
        <v>0.3333333333333333</v>
      </c>
      <c r="AA36" s="143">
        <v>0.3333333333333333</v>
      </c>
      <c r="AB36" s="42">
        <v>0.3333333333333333</v>
      </c>
      <c r="AC36" s="42">
        <v>0.3333333333333333</v>
      </c>
      <c r="AD36" s="42">
        <v>0.3333333333333333</v>
      </c>
      <c r="AE36" s="132" t="s">
        <v>202</v>
      </c>
      <c r="AF36" s="43"/>
      <c r="AG36" s="42">
        <v>0.3333333333333333</v>
      </c>
      <c r="AH36" s="143">
        <v>0.3333333333333333</v>
      </c>
      <c r="AI36" s="42">
        <v>0.3333333333333333</v>
      </c>
      <c r="AJ36" s="42">
        <v>0.3333333333333333</v>
      </c>
      <c r="AK36" s="42">
        <v>0.3333333333333333</v>
      </c>
      <c r="AL36" s="132" t="s">
        <v>202</v>
      </c>
      <c r="AM36" s="84"/>
    </row>
    <row r="37">
      <c r="A37" s="47" t="s">
        <v>32</v>
      </c>
      <c r="B37" s="35" t="str">
        <f t="array" ref="B37">XLOOKUP(A37,Roster!F:F,Roster!A:A,"")</f>
        <v>Martin Salazar</v>
      </c>
      <c r="C37" s="35" t="str">
        <f t="array" ref="C37">XLOOKUP(A37,Roster!F:F,Roster!B:B,"")</f>
        <v>Geraldine Correa</v>
      </c>
      <c r="D37" s="43"/>
      <c r="E37" s="42">
        <v>0.3333333333333333</v>
      </c>
      <c r="F37" s="42">
        <v>0.3333333333333333</v>
      </c>
      <c r="G37" s="142">
        <v>0.3333333333333333</v>
      </c>
      <c r="H37" s="42">
        <v>0.3333333333333333</v>
      </c>
      <c r="I37" s="42">
        <v>0.3333333333333333</v>
      </c>
      <c r="J37" s="40" t="s">
        <v>202</v>
      </c>
      <c r="K37" s="42"/>
      <c r="L37" s="42">
        <v>0.3333333333333333</v>
      </c>
      <c r="M37" s="42">
        <v>0.3333333333333333</v>
      </c>
      <c r="N37" s="142">
        <v>0.3333333333333333</v>
      </c>
      <c r="O37" s="42">
        <v>0.3333333333333333</v>
      </c>
      <c r="P37" s="42">
        <v>0.3333333333333333</v>
      </c>
      <c r="Q37" s="40" t="s">
        <v>202</v>
      </c>
      <c r="R37" s="43"/>
      <c r="S37" s="42">
        <v>0.3333333333333333</v>
      </c>
      <c r="T37" s="42">
        <v>0.3333333333333333</v>
      </c>
      <c r="U37" s="142">
        <v>0.3333333333333333</v>
      </c>
      <c r="V37" s="42">
        <v>0.3333333333333333</v>
      </c>
      <c r="W37" s="42">
        <v>0.3333333333333333</v>
      </c>
      <c r="X37" s="40" t="s">
        <v>202</v>
      </c>
      <c r="Y37" s="43"/>
      <c r="Z37" s="42">
        <v>0.3333333333333333</v>
      </c>
      <c r="AA37" s="42">
        <v>0.3333333333333333</v>
      </c>
      <c r="AB37" s="142">
        <v>0.3333333333333333</v>
      </c>
      <c r="AC37" s="42">
        <v>0.3333333333333333</v>
      </c>
      <c r="AD37" s="42">
        <v>0.3333333333333333</v>
      </c>
      <c r="AE37" s="40" t="s">
        <v>202</v>
      </c>
      <c r="AF37" s="43"/>
      <c r="AG37" s="42">
        <v>0.3333333333333333</v>
      </c>
      <c r="AH37" s="42">
        <v>0.3333333333333333</v>
      </c>
      <c r="AI37" s="142">
        <v>0.3333333333333333</v>
      </c>
      <c r="AJ37" s="42">
        <v>0.3333333333333333</v>
      </c>
      <c r="AK37" s="42">
        <v>0.3333333333333333</v>
      </c>
      <c r="AL37" s="40" t="s">
        <v>202</v>
      </c>
      <c r="AM37" s="84"/>
    </row>
    <row r="38">
      <c r="A38" s="47" t="s">
        <v>35</v>
      </c>
      <c r="B38" s="35" t="str">
        <f t="array" ref="B38">XLOOKUP(A38,Roster!F:F,Roster!A:A,"")</f>
        <v>Martin Salazar</v>
      </c>
      <c r="C38" s="35" t="str">
        <f t="array" ref="C38">XLOOKUP(A38,Roster!F:F,Roster!B:B,"")</f>
        <v>Jeidin Vargas</v>
      </c>
      <c r="D38" s="43"/>
      <c r="E38" s="133">
        <v>0.3333333333333333</v>
      </c>
      <c r="F38" s="133">
        <v>0.3333333333333333</v>
      </c>
      <c r="G38" s="133">
        <v>0.3333333333333333</v>
      </c>
      <c r="H38" s="133">
        <v>0.3333333333333333</v>
      </c>
      <c r="I38" s="133">
        <v>0.3333333333333333</v>
      </c>
      <c r="J38" s="134" t="s">
        <v>202</v>
      </c>
      <c r="K38" s="42"/>
      <c r="L38" s="133">
        <v>0.3333333333333333</v>
      </c>
      <c r="M38" s="133">
        <v>0.3333333333333333</v>
      </c>
      <c r="N38" s="133">
        <v>0.3333333333333333</v>
      </c>
      <c r="O38" s="133">
        <v>0.3333333333333333</v>
      </c>
      <c r="P38" s="133">
        <v>0.3333333333333333</v>
      </c>
      <c r="Q38" s="134" t="s">
        <v>202</v>
      </c>
      <c r="R38" s="43"/>
      <c r="S38" s="133">
        <v>0.3333333333333333</v>
      </c>
      <c r="T38" s="133">
        <v>0.3333333333333333</v>
      </c>
      <c r="U38" s="133">
        <v>0.3333333333333333</v>
      </c>
      <c r="V38" s="133">
        <v>0.3333333333333333</v>
      </c>
      <c r="W38" s="133">
        <v>0.3333333333333333</v>
      </c>
      <c r="X38" s="134" t="s">
        <v>202</v>
      </c>
      <c r="Y38" s="43"/>
      <c r="Z38" s="133">
        <v>0.3333333333333333</v>
      </c>
      <c r="AA38" s="133">
        <v>0.3333333333333333</v>
      </c>
      <c r="AB38" s="133">
        <v>0.3333333333333333</v>
      </c>
      <c r="AC38" s="133">
        <v>0.3333333333333333</v>
      </c>
      <c r="AD38" s="133">
        <v>0.3333333333333333</v>
      </c>
      <c r="AE38" s="134" t="s">
        <v>202</v>
      </c>
      <c r="AF38" s="43"/>
      <c r="AG38" s="133">
        <v>0.3333333333333333</v>
      </c>
      <c r="AH38" s="133">
        <v>0.3333333333333333</v>
      </c>
      <c r="AI38" s="133">
        <v>0.3333333333333333</v>
      </c>
      <c r="AJ38" s="133">
        <v>0.3333333333333333</v>
      </c>
      <c r="AK38" s="133">
        <v>0.3333333333333333</v>
      </c>
      <c r="AL38" s="134" t="s">
        <v>202</v>
      </c>
      <c r="AM38" s="84"/>
    </row>
    <row r="39">
      <c r="A39" s="47" t="s">
        <v>41</v>
      </c>
      <c r="B39" s="35" t="str">
        <f t="array" ref="B39">XLOOKUP(A39,Roster!F:F,Roster!A:A,"")</f>
        <v>Martin Salazar</v>
      </c>
      <c r="C39" s="35" t="str">
        <f t="array" ref="C39">XLOOKUP(A39,Roster!F:F,Roster!B:B,"")</f>
        <v>Johny Garcia</v>
      </c>
      <c r="D39" s="43"/>
      <c r="E39" s="42">
        <v>0.3333333333333333</v>
      </c>
      <c r="F39" s="42">
        <v>0.3333333333333333</v>
      </c>
      <c r="G39" s="42">
        <v>0.3333333333333333</v>
      </c>
      <c r="H39" s="42">
        <v>0.3333333333333333</v>
      </c>
      <c r="I39" s="40" t="s">
        <v>202</v>
      </c>
      <c r="J39" s="42">
        <v>0.3333333333333333</v>
      </c>
      <c r="K39" s="42"/>
      <c r="L39" s="42">
        <v>0.3333333333333333</v>
      </c>
      <c r="M39" s="42">
        <v>0.3333333333333333</v>
      </c>
      <c r="N39" s="42">
        <v>0.3333333333333333</v>
      </c>
      <c r="O39" s="42">
        <v>0.3333333333333333</v>
      </c>
      <c r="P39" s="133">
        <v>0.3333333333333333</v>
      </c>
      <c r="Q39" s="40" t="s">
        <v>202</v>
      </c>
      <c r="R39" s="43"/>
      <c r="S39" s="42">
        <v>0.3333333333333333</v>
      </c>
      <c r="T39" s="42">
        <v>0.3333333333333333</v>
      </c>
      <c r="U39" s="42">
        <v>0.3333333333333333</v>
      </c>
      <c r="V39" s="42">
        <v>0.3333333333333333</v>
      </c>
      <c r="W39" s="133">
        <v>0.3333333333333333</v>
      </c>
      <c r="X39" s="40" t="s">
        <v>202</v>
      </c>
      <c r="Y39" s="43"/>
      <c r="Z39" s="42">
        <v>0.3333333333333333</v>
      </c>
      <c r="AA39" s="42">
        <v>0.3333333333333333</v>
      </c>
      <c r="AB39" s="42">
        <v>0.3333333333333333</v>
      </c>
      <c r="AC39" s="42">
        <v>0.3333333333333333</v>
      </c>
      <c r="AD39" s="133">
        <v>0.3333333333333333</v>
      </c>
      <c r="AE39" s="40" t="s">
        <v>202</v>
      </c>
      <c r="AF39" s="43"/>
      <c r="AG39" s="42">
        <v>0.3333333333333333</v>
      </c>
      <c r="AH39" s="42">
        <v>0.3333333333333333</v>
      </c>
      <c r="AI39" s="42">
        <v>0.3333333333333333</v>
      </c>
      <c r="AJ39" s="42">
        <v>0.3333333333333333</v>
      </c>
      <c r="AK39" s="133">
        <v>0.3333333333333333</v>
      </c>
      <c r="AL39" s="40" t="s">
        <v>202</v>
      </c>
      <c r="AM39" s="84"/>
    </row>
    <row r="40">
      <c r="A40" s="47" t="s">
        <v>43</v>
      </c>
      <c r="B40" s="35" t="str">
        <f t="array" ref="B40">XLOOKUP(A40,Roster!F:F,Roster!A:A,"")</f>
        <v>Martin Salazar</v>
      </c>
      <c r="C40" s="35" t="str">
        <f t="array" ref="C40">XLOOKUP(A40,Roster!F:F,Roster!B:B,"")</f>
        <v>Juan Barrera</v>
      </c>
      <c r="D40" s="43"/>
      <c r="E40" s="96">
        <v>0.3333333333333333</v>
      </c>
      <c r="F40" s="96">
        <v>0.3333333333333333</v>
      </c>
      <c r="G40" s="96">
        <v>0.3333333333333333</v>
      </c>
      <c r="H40" s="96">
        <v>0.3333333333333333</v>
      </c>
      <c r="I40" s="96">
        <v>0.3333333333333333</v>
      </c>
      <c r="J40" s="112" t="s">
        <v>202</v>
      </c>
      <c r="K40" s="42"/>
      <c r="L40" s="96">
        <v>0.3333333333333333</v>
      </c>
      <c r="M40" s="96">
        <v>0.3333333333333333</v>
      </c>
      <c r="N40" s="96">
        <v>0.3333333333333333</v>
      </c>
      <c r="O40" s="96">
        <v>0.3333333333333333</v>
      </c>
      <c r="P40" s="96">
        <v>0.3333333333333333</v>
      </c>
      <c r="Q40" s="112" t="s">
        <v>202</v>
      </c>
      <c r="R40" s="43"/>
      <c r="S40" s="96">
        <v>0.3333333333333333</v>
      </c>
      <c r="T40" s="96">
        <v>0.3333333333333333</v>
      </c>
      <c r="U40" s="96">
        <v>0.3333333333333333</v>
      </c>
      <c r="V40" s="96">
        <v>0.3333333333333333</v>
      </c>
      <c r="W40" s="96">
        <v>0.3333333333333333</v>
      </c>
      <c r="X40" s="112" t="s">
        <v>202</v>
      </c>
      <c r="Y40" s="43"/>
      <c r="Z40" s="96">
        <v>0.3333333333333333</v>
      </c>
      <c r="AA40" s="96">
        <v>0.3333333333333333</v>
      </c>
      <c r="AB40" s="96">
        <v>0.3333333333333333</v>
      </c>
      <c r="AC40" s="96">
        <v>0.3333333333333333</v>
      </c>
      <c r="AD40" s="96">
        <v>0.3333333333333333</v>
      </c>
      <c r="AE40" s="112" t="s">
        <v>202</v>
      </c>
      <c r="AF40" s="43"/>
      <c r="AG40" s="96">
        <v>0.3333333333333333</v>
      </c>
      <c r="AH40" s="96">
        <v>0.3333333333333333</v>
      </c>
      <c r="AI40" s="96">
        <v>0.3333333333333333</v>
      </c>
      <c r="AJ40" s="96">
        <v>0.3333333333333333</v>
      </c>
      <c r="AK40" s="96">
        <v>0.3333333333333333</v>
      </c>
      <c r="AL40" s="112" t="s">
        <v>202</v>
      </c>
      <c r="AM40" s="84"/>
    </row>
    <row r="41">
      <c r="A41" s="47" t="s">
        <v>50</v>
      </c>
      <c r="B41" s="35" t="str">
        <f t="array" ref="B41">XLOOKUP(A41,Roster!F:F,Roster!A:A,"")</f>
        <v>Martin Salazar</v>
      </c>
      <c r="C41" s="35" t="str">
        <f t="array" ref="C41">XLOOKUP(A41,Roster!F:F,Roster!B:B,"")</f>
        <v>Karen Lorena Martinez</v>
      </c>
      <c r="D41" s="43"/>
      <c r="E41" s="42">
        <v>0.3333333333333333</v>
      </c>
      <c r="F41" s="42">
        <v>0.3333333333333333</v>
      </c>
      <c r="G41" s="42">
        <v>0.3333333333333333</v>
      </c>
      <c r="H41" s="42">
        <v>0.3333333333333333</v>
      </c>
      <c r="I41" s="42">
        <v>0.3333333333333333</v>
      </c>
      <c r="J41" s="40" t="s">
        <v>202</v>
      </c>
      <c r="K41" s="42"/>
      <c r="L41" s="42">
        <v>0.3333333333333333</v>
      </c>
      <c r="M41" s="42">
        <v>0.3333333333333333</v>
      </c>
      <c r="N41" s="42">
        <v>0.3333333333333333</v>
      </c>
      <c r="O41" s="42">
        <v>0.3333333333333333</v>
      </c>
      <c r="P41" s="42">
        <v>0.3333333333333333</v>
      </c>
      <c r="Q41" s="40" t="s">
        <v>202</v>
      </c>
      <c r="R41" s="43"/>
      <c r="S41" s="42">
        <v>0.3333333333333333</v>
      </c>
      <c r="T41" s="42">
        <v>0.3333333333333333</v>
      </c>
      <c r="U41" s="42">
        <v>0.3333333333333333</v>
      </c>
      <c r="V41" s="42">
        <v>0.3333333333333333</v>
      </c>
      <c r="W41" s="42">
        <v>0.3333333333333333</v>
      </c>
      <c r="X41" s="40" t="s">
        <v>202</v>
      </c>
      <c r="Y41" s="43"/>
      <c r="Z41" s="42">
        <v>0.3333333333333333</v>
      </c>
      <c r="AA41" s="42">
        <v>0.3333333333333333</v>
      </c>
      <c r="AB41" s="42">
        <v>0.3333333333333333</v>
      </c>
      <c r="AC41" s="42">
        <v>0.3333333333333333</v>
      </c>
      <c r="AD41" s="42">
        <v>0.3333333333333333</v>
      </c>
      <c r="AE41" s="40" t="s">
        <v>202</v>
      </c>
      <c r="AF41" s="43"/>
      <c r="AG41" s="42">
        <v>0.3333333333333333</v>
      </c>
      <c r="AH41" s="42">
        <v>0.3333333333333333</v>
      </c>
      <c r="AI41" s="42">
        <v>0.3333333333333333</v>
      </c>
      <c r="AJ41" s="42">
        <v>0.3333333333333333</v>
      </c>
      <c r="AK41" s="42">
        <v>0.3333333333333333</v>
      </c>
      <c r="AL41" s="40" t="s">
        <v>202</v>
      </c>
      <c r="AM41" s="84"/>
    </row>
    <row r="42">
      <c r="A42" s="47" t="s">
        <v>52</v>
      </c>
      <c r="B42" s="35" t="str">
        <f t="array" ref="B42">XLOOKUP(A42,Roster!F:F,Roster!A:A,"")</f>
        <v>Martin Salazar</v>
      </c>
      <c r="C42" s="35" t="str">
        <f t="array" ref="C42">XLOOKUP(A42,Roster!F:F,Roster!B:B,"")</f>
        <v>Karol Pineda</v>
      </c>
      <c r="D42" s="40" t="s">
        <v>201</v>
      </c>
      <c r="E42" s="133">
        <v>0.3333333333333333</v>
      </c>
      <c r="F42" s="133">
        <v>0.3333333333333333</v>
      </c>
      <c r="G42" s="133">
        <v>0.3333333333333333</v>
      </c>
      <c r="H42" s="133">
        <v>0.3333333333333333</v>
      </c>
      <c r="I42" s="133">
        <v>0.3333333333333333</v>
      </c>
      <c r="J42" s="139" t="s">
        <v>202</v>
      </c>
      <c r="K42" s="42"/>
      <c r="L42" s="133">
        <v>0.3333333333333333</v>
      </c>
      <c r="M42" s="133">
        <v>0.3333333333333333</v>
      </c>
      <c r="N42" s="133">
        <v>0.3333333333333333</v>
      </c>
      <c r="O42" s="133">
        <v>0.3333333333333333</v>
      </c>
      <c r="P42" s="133">
        <v>0.3333333333333333</v>
      </c>
      <c r="Q42" s="139" t="s">
        <v>202</v>
      </c>
      <c r="R42" s="43"/>
      <c r="S42" s="133">
        <v>0.3333333333333333</v>
      </c>
      <c r="T42" s="133">
        <v>0.3333333333333333</v>
      </c>
      <c r="U42" s="133">
        <v>0.3333333333333333</v>
      </c>
      <c r="V42" s="133">
        <v>0.3333333333333333</v>
      </c>
      <c r="W42" s="133">
        <v>0.3333333333333333</v>
      </c>
      <c r="X42" s="139" t="s">
        <v>202</v>
      </c>
      <c r="Y42" s="43"/>
      <c r="Z42" s="133">
        <v>0.3333333333333333</v>
      </c>
      <c r="AA42" s="133">
        <v>0.3333333333333333</v>
      </c>
      <c r="AB42" s="133">
        <v>0.3333333333333333</v>
      </c>
      <c r="AC42" s="133">
        <v>0.3333333333333333</v>
      </c>
      <c r="AD42" s="133">
        <v>0.3333333333333333</v>
      </c>
      <c r="AE42" s="139" t="s">
        <v>202</v>
      </c>
      <c r="AF42" s="43"/>
      <c r="AG42" s="133">
        <v>0.3333333333333333</v>
      </c>
      <c r="AH42" s="133">
        <v>0.3333333333333333</v>
      </c>
      <c r="AI42" s="133">
        <v>0.3333333333333333</v>
      </c>
      <c r="AJ42" s="133">
        <v>0.3333333333333333</v>
      </c>
      <c r="AK42" s="133">
        <v>0.3333333333333333</v>
      </c>
      <c r="AL42" s="139" t="s">
        <v>202</v>
      </c>
      <c r="AM42" s="84"/>
    </row>
    <row r="43">
      <c r="A43" s="47" t="s">
        <v>57</v>
      </c>
      <c r="B43" s="35" t="str">
        <f t="array" ref="B43">XLOOKUP(A43,Roster!F:F,Roster!A:A,"")</f>
        <v>Martin Salazar</v>
      </c>
      <c r="C43" s="35" t="str">
        <f t="array" ref="C43">XLOOKUP(A43,Roster!F:F,Roster!B:B,"")</f>
        <v>Lisandro Alvarado</v>
      </c>
      <c r="D43" s="43"/>
      <c r="E43" s="133">
        <v>0.3333333333333333</v>
      </c>
      <c r="F43" s="133">
        <v>0.3333333333333333</v>
      </c>
      <c r="G43" s="133">
        <v>0.3333333333333333</v>
      </c>
      <c r="H43" s="133">
        <v>0.3333333333333333</v>
      </c>
      <c r="I43" s="133">
        <v>0.3333333333333333</v>
      </c>
      <c r="J43" s="132" t="s">
        <v>202</v>
      </c>
      <c r="K43" s="42"/>
      <c r="L43" s="133">
        <v>0.3333333333333333</v>
      </c>
      <c r="M43" s="133">
        <v>0.3333333333333333</v>
      </c>
      <c r="N43" s="133">
        <v>0.3333333333333333</v>
      </c>
      <c r="O43" s="133">
        <v>0.3333333333333333</v>
      </c>
      <c r="P43" s="133">
        <v>0.3333333333333333</v>
      </c>
      <c r="Q43" s="132" t="s">
        <v>202</v>
      </c>
      <c r="R43" s="43"/>
      <c r="S43" s="133">
        <v>0.3333333333333333</v>
      </c>
      <c r="T43" s="133">
        <v>0.3333333333333333</v>
      </c>
      <c r="U43" s="133">
        <v>0.3333333333333333</v>
      </c>
      <c r="V43" s="133">
        <v>0.3333333333333333</v>
      </c>
      <c r="W43" s="133">
        <v>0.3333333333333333</v>
      </c>
      <c r="X43" s="132" t="s">
        <v>202</v>
      </c>
      <c r="Y43" s="43"/>
      <c r="Z43" s="133">
        <v>0.3333333333333333</v>
      </c>
      <c r="AA43" s="133">
        <v>0.3333333333333333</v>
      </c>
      <c r="AB43" s="133">
        <v>0.3333333333333333</v>
      </c>
      <c r="AC43" s="133">
        <v>0.3333333333333333</v>
      </c>
      <c r="AD43" s="133">
        <v>0.3333333333333333</v>
      </c>
      <c r="AE43" s="132" t="s">
        <v>202</v>
      </c>
      <c r="AF43" s="43"/>
      <c r="AG43" s="133">
        <v>0.3333333333333333</v>
      </c>
      <c r="AH43" s="133">
        <v>0.3333333333333333</v>
      </c>
      <c r="AI43" s="133">
        <v>0.3333333333333333</v>
      </c>
      <c r="AJ43" s="133">
        <v>0.3333333333333333</v>
      </c>
      <c r="AK43" s="133">
        <v>0.3333333333333333</v>
      </c>
      <c r="AL43" s="132" t="s">
        <v>202</v>
      </c>
      <c r="AM43" s="84"/>
    </row>
    <row r="44">
      <c r="A44" s="47" t="s">
        <v>59</v>
      </c>
      <c r="B44" s="35" t="str">
        <f t="array" ref="B44">XLOOKUP(A44,Roster!F:F,Roster!A:A,"")</f>
        <v>Martin Salazar</v>
      </c>
      <c r="C44" s="35" t="str">
        <f t="array" ref="C44">XLOOKUP(A44,Roster!F:F,Roster!B:B,"")</f>
        <v>Luis Munoz</v>
      </c>
      <c r="D44" s="43"/>
      <c r="E44" s="42">
        <v>0.3333333333333333</v>
      </c>
      <c r="F44" s="42">
        <v>0.3333333333333333</v>
      </c>
      <c r="G44" s="40" t="s">
        <v>202</v>
      </c>
      <c r="H44" s="42">
        <v>0.3333333333333333</v>
      </c>
      <c r="I44" s="42">
        <v>0.3333333333333333</v>
      </c>
      <c r="J44" s="42">
        <v>0.3333333333333333</v>
      </c>
      <c r="K44" s="42"/>
      <c r="L44" s="42">
        <v>0.3333333333333333</v>
      </c>
      <c r="M44" s="42">
        <v>0.3333333333333333</v>
      </c>
      <c r="N44" s="133">
        <v>0.3333333333333333</v>
      </c>
      <c r="O44" s="42">
        <v>0.3333333333333333</v>
      </c>
      <c r="P44" s="42">
        <v>0.3333333333333333</v>
      </c>
      <c r="Q44" s="40" t="s">
        <v>202</v>
      </c>
      <c r="R44" s="43"/>
      <c r="S44" s="42">
        <v>0.3333333333333333</v>
      </c>
      <c r="T44" s="42">
        <v>0.3333333333333333</v>
      </c>
      <c r="U44" s="133">
        <v>0.3333333333333333</v>
      </c>
      <c r="V44" s="42">
        <v>0.3333333333333333</v>
      </c>
      <c r="W44" s="42">
        <v>0.3333333333333333</v>
      </c>
      <c r="X44" s="40" t="s">
        <v>202</v>
      </c>
      <c r="Y44" s="43"/>
      <c r="Z44" s="42">
        <v>0.3333333333333333</v>
      </c>
      <c r="AA44" s="42">
        <v>0.3333333333333333</v>
      </c>
      <c r="AB44" s="133">
        <v>0.3333333333333333</v>
      </c>
      <c r="AC44" s="42">
        <v>0.3333333333333333</v>
      </c>
      <c r="AD44" s="42">
        <v>0.3333333333333333</v>
      </c>
      <c r="AE44" s="40" t="s">
        <v>202</v>
      </c>
      <c r="AF44" s="43"/>
      <c r="AG44" s="42">
        <v>0.3333333333333333</v>
      </c>
      <c r="AH44" s="42">
        <v>0.3333333333333333</v>
      </c>
      <c r="AI44" s="133">
        <v>0.3333333333333333</v>
      </c>
      <c r="AJ44" s="42">
        <v>0.3333333333333333</v>
      </c>
      <c r="AK44" s="42">
        <v>0.3333333333333333</v>
      </c>
      <c r="AL44" s="40" t="s">
        <v>202</v>
      </c>
      <c r="AM44" s="84"/>
    </row>
    <row r="45">
      <c r="A45" s="47" t="s">
        <v>60</v>
      </c>
      <c r="B45" s="35" t="str">
        <f t="array" ref="B45">XLOOKUP(A45,Roster!F:F,Roster!A:A,"")</f>
        <v>Martin Salazar</v>
      </c>
      <c r="C45" s="35" t="str">
        <f t="array" ref="C45">XLOOKUP(A45,Roster!F:F,Roster!B:B,"")</f>
        <v>Luisa Gonzalez</v>
      </c>
      <c r="D45" s="43"/>
      <c r="E45" s="42">
        <v>0.3333333333333333</v>
      </c>
      <c r="F45" s="42">
        <v>0.3333333333333333</v>
      </c>
      <c r="G45" s="42">
        <v>0.3333333333333333</v>
      </c>
      <c r="H45" s="42">
        <v>0.3333333333333333</v>
      </c>
      <c r="I45" s="42">
        <v>0.3333333333333333</v>
      </c>
      <c r="J45" s="134" t="s">
        <v>202</v>
      </c>
      <c r="K45" s="42"/>
      <c r="L45" s="42">
        <v>0.3333333333333333</v>
      </c>
      <c r="M45" s="42">
        <v>0.3333333333333333</v>
      </c>
      <c r="N45" s="42">
        <v>0.3333333333333333</v>
      </c>
      <c r="O45" s="42">
        <v>0.3333333333333333</v>
      </c>
      <c r="P45" s="42">
        <v>0.3333333333333333</v>
      </c>
      <c r="Q45" s="134" t="s">
        <v>202</v>
      </c>
      <c r="R45" s="43"/>
      <c r="S45" s="42">
        <v>0.3333333333333333</v>
      </c>
      <c r="T45" s="42">
        <v>0.3333333333333333</v>
      </c>
      <c r="U45" s="42">
        <v>0.3333333333333333</v>
      </c>
      <c r="V45" s="42">
        <v>0.3333333333333333</v>
      </c>
      <c r="W45" s="42">
        <v>0.3333333333333333</v>
      </c>
      <c r="X45" s="134" t="s">
        <v>202</v>
      </c>
      <c r="Y45" s="43"/>
      <c r="Z45" s="42">
        <v>0.3333333333333333</v>
      </c>
      <c r="AA45" s="42">
        <v>0.3333333333333333</v>
      </c>
      <c r="AB45" s="42">
        <v>0.3333333333333333</v>
      </c>
      <c r="AC45" s="42">
        <v>0.3333333333333333</v>
      </c>
      <c r="AD45" s="42">
        <v>0.3333333333333333</v>
      </c>
      <c r="AE45" s="134" t="s">
        <v>202</v>
      </c>
      <c r="AF45" s="43"/>
      <c r="AG45" s="42">
        <v>0.3333333333333333</v>
      </c>
      <c r="AH45" s="42">
        <v>0.3333333333333333</v>
      </c>
      <c r="AI45" s="42">
        <v>0.3333333333333333</v>
      </c>
      <c r="AJ45" s="42">
        <v>0.3333333333333333</v>
      </c>
      <c r="AK45" s="42">
        <v>0.3333333333333333</v>
      </c>
      <c r="AL45" s="134" t="s">
        <v>202</v>
      </c>
      <c r="AM45" s="84"/>
    </row>
    <row r="46">
      <c r="A46" s="47" t="s">
        <v>63</v>
      </c>
      <c r="B46" s="35" t="str">
        <f t="array" ref="B46">XLOOKUP(A46,Roster!F:F,Roster!A:A,"")</f>
        <v>Martin Salazar</v>
      </c>
      <c r="C46" s="35" t="str">
        <f t="array" ref="C46">XLOOKUP(A46,Roster!F:F,Roster!B:B,"")</f>
        <v>Maria Mesa</v>
      </c>
      <c r="D46" s="43"/>
      <c r="E46" s="96">
        <v>0.3333333333333333</v>
      </c>
      <c r="F46" s="96">
        <v>0.3333333333333333</v>
      </c>
      <c r="G46" s="96">
        <v>0.3333333333333333</v>
      </c>
      <c r="H46" s="96">
        <v>0.3333333333333333</v>
      </c>
      <c r="I46" s="96">
        <v>0.3333333333333333</v>
      </c>
      <c r="J46" s="112" t="s">
        <v>202</v>
      </c>
      <c r="K46" s="42"/>
      <c r="L46" s="96">
        <v>0.3333333333333333</v>
      </c>
      <c r="M46" s="96">
        <v>0.3333333333333333</v>
      </c>
      <c r="N46" s="96">
        <v>0.3333333333333333</v>
      </c>
      <c r="O46" s="96">
        <v>0.3333333333333333</v>
      </c>
      <c r="P46" s="96">
        <v>0.3333333333333333</v>
      </c>
      <c r="Q46" s="112" t="s">
        <v>202</v>
      </c>
      <c r="R46" s="43"/>
      <c r="S46" s="96">
        <v>0.3333333333333333</v>
      </c>
      <c r="T46" s="96">
        <v>0.3333333333333333</v>
      </c>
      <c r="U46" s="96">
        <v>0.3333333333333333</v>
      </c>
      <c r="V46" s="96">
        <v>0.3333333333333333</v>
      </c>
      <c r="W46" s="96">
        <v>0.3333333333333333</v>
      </c>
      <c r="X46" s="112" t="s">
        <v>202</v>
      </c>
      <c r="Y46" s="43"/>
      <c r="Z46" s="96">
        <v>0.3333333333333333</v>
      </c>
      <c r="AA46" s="96">
        <v>0.3333333333333333</v>
      </c>
      <c r="AB46" s="96">
        <v>0.3333333333333333</v>
      </c>
      <c r="AC46" s="96">
        <v>0.3333333333333333</v>
      </c>
      <c r="AD46" s="96">
        <v>0.3333333333333333</v>
      </c>
      <c r="AE46" s="112" t="s">
        <v>202</v>
      </c>
      <c r="AF46" s="43"/>
      <c r="AG46" s="96">
        <v>0.3333333333333333</v>
      </c>
      <c r="AH46" s="96">
        <v>0.3333333333333333</v>
      </c>
      <c r="AI46" s="96">
        <v>0.3333333333333333</v>
      </c>
      <c r="AJ46" s="96">
        <v>0.3333333333333333</v>
      </c>
      <c r="AK46" s="96">
        <v>0.3333333333333333</v>
      </c>
      <c r="AL46" s="112" t="s">
        <v>202</v>
      </c>
      <c r="AM46" s="84"/>
    </row>
    <row r="47">
      <c r="A47" s="47" t="s">
        <v>65</v>
      </c>
      <c r="B47" s="35" t="str">
        <f t="array" ref="B47">XLOOKUP(A47,Roster!F:F,Roster!A:A,"")</f>
        <v>Martin Salazar</v>
      </c>
      <c r="C47" s="35" t="str">
        <f t="array" ref="C47">XLOOKUP(A47,Roster!F:F,Roster!B:B,"")</f>
        <v>Mikel Bowie</v>
      </c>
      <c r="D47" s="40" t="s">
        <v>201</v>
      </c>
      <c r="E47" s="42">
        <v>0.3333333333333333</v>
      </c>
      <c r="F47" s="42">
        <v>0.3333333333333333</v>
      </c>
      <c r="G47" s="42">
        <v>0.3333333333333333</v>
      </c>
      <c r="H47" s="42">
        <v>0.3333333333333333</v>
      </c>
      <c r="I47" s="42">
        <v>0.3333333333333333</v>
      </c>
      <c r="J47" s="134" t="s">
        <v>202</v>
      </c>
      <c r="K47" s="42"/>
      <c r="L47" s="42">
        <v>0.3333333333333333</v>
      </c>
      <c r="M47" s="42">
        <v>0.3333333333333333</v>
      </c>
      <c r="N47" s="42">
        <v>0.3333333333333333</v>
      </c>
      <c r="O47" s="42">
        <v>0.3333333333333333</v>
      </c>
      <c r="P47" s="42">
        <v>0.3333333333333333</v>
      </c>
      <c r="Q47" s="134" t="s">
        <v>202</v>
      </c>
      <c r="R47" s="43"/>
      <c r="S47" s="133">
        <v>0.375</v>
      </c>
      <c r="T47" s="133">
        <v>0.375</v>
      </c>
      <c r="U47" s="133">
        <v>0.375</v>
      </c>
      <c r="V47" s="133">
        <v>0.2916666666666667</v>
      </c>
      <c r="W47" s="133">
        <v>0.2916666666666667</v>
      </c>
      <c r="X47" s="134" t="s">
        <v>202</v>
      </c>
      <c r="Y47" s="43"/>
      <c r="Z47" s="42">
        <v>0.3333333333333333</v>
      </c>
      <c r="AA47" s="42">
        <v>0.3333333333333333</v>
      </c>
      <c r="AB47" s="42">
        <v>0.3333333333333333</v>
      </c>
      <c r="AC47" s="42">
        <v>0.3333333333333333</v>
      </c>
      <c r="AD47" s="42">
        <v>0.3333333333333333</v>
      </c>
      <c r="AE47" s="134" t="s">
        <v>202</v>
      </c>
      <c r="AF47" s="43"/>
      <c r="AG47" s="42">
        <v>0.3333333333333333</v>
      </c>
      <c r="AH47" s="42">
        <v>0.3333333333333333</v>
      </c>
      <c r="AI47" s="42">
        <v>0.3333333333333333</v>
      </c>
      <c r="AJ47" s="42">
        <v>0.3333333333333333</v>
      </c>
      <c r="AK47" s="42">
        <v>0.3333333333333333</v>
      </c>
      <c r="AL47" s="134" t="s">
        <v>202</v>
      </c>
      <c r="AM47" s="84"/>
    </row>
    <row r="48">
      <c r="A48" s="47" t="s">
        <v>66</v>
      </c>
      <c r="B48" s="35" t="str">
        <f t="array" ref="B48">XLOOKUP(A48,Roster!F:F,Roster!A:A,"")</f>
        <v>Martin Salazar</v>
      </c>
      <c r="C48" s="35" t="str">
        <f t="array" ref="C48">XLOOKUP(A48,Roster!F:F,Roster!B:B,"")</f>
        <v>Natalia Cardona</v>
      </c>
      <c r="D48" s="43"/>
      <c r="E48" s="42">
        <v>0.3333333333333333</v>
      </c>
      <c r="F48" s="42">
        <v>0.3333333333333333</v>
      </c>
      <c r="G48" s="142">
        <v>0.3333333333333333</v>
      </c>
      <c r="H48" s="42">
        <v>0.3333333333333333</v>
      </c>
      <c r="I48" s="42">
        <v>0.3333333333333333</v>
      </c>
      <c r="J48" s="40" t="s">
        <v>202</v>
      </c>
      <c r="K48" s="42"/>
      <c r="L48" s="42">
        <v>0.3333333333333333</v>
      </c>
      <c r="M48" s="42">
        <v>0.3333333333333333</v>
      </c>
      <c r="N48" s="142">
        <v>0.3333333333333333</v>
      </c>
      <c r="O48" s="42">
        <v>0.3333333333333333</v>
      </c>
      <c r="P48" s="42">
        <v>0.3333333333333333</v>
      </c>
      <c r="Q48" s="40" t="s">
        <v>202</v>
      </c>
      <c r="R48" s="43"/>
      <c r="S48" s="42">
        <v>0.3333333333333333</v>
      </c>
      <c r="T48" s="42">
        <v>0.3333333333333333</v>
      </c>
      <c r="U48" s="142">
        <v>0.3333333333333333</v>
      </c>
      <c r="V48" s="42">
        <v>0.3333333333333333</v>
      </c>
      <c r="W48" s="42">
        <v>0.3333333333333333</v>
      </c>
      <c r="X48" s="40" t="s">
        <v>202</v>
      </c>
      <c r="Y48" s="43"/>
      <c r="Z48" s="42">
        <v>0.3333333333333333</v>
      </c>
      <c r="AA48" s="42">
        <v>0.3333333333333333</v>
      </c>
      <c r="AB48" s="142">
        <v>0.3333333333333333</v>
      </c>
      <c r="AC48" s="42">
        <v>0.3333333333333333</v>
      </c>
      <c r="AD48" s="42">
        <v>0.3333333333333333</v>
      </c>
      <c r="AE48" s="40" t="s">
        <v>202</v>
      </c>
      <c r="AF48" s="43"/>
      <c r="AG48" s="42">
        <v>0.3333333333333333</v>
      </c>
      <c r="AH48" s="42">
        <v>0.3333333333333333</v>
      </c>
      <c r="AI48" s="142">
        <v>0.3333333333333333</v>
      </c>
      <c r="AJ48" s="42">
        <v>0.3333333333333333</v>
      </c>
      <c r="AK48" s="42">
        <v>0.3333333333333333</v>
      </c>
      <c r="AL48" s="40" t="s">
        <v>202</v>
      </c>
      <c r="AM48" s="84"/>
    </row>
    <row r="49">
      <c r="A49" s="47" t="s">
        <v>67</v>
      </c>
      <c r="B49" s="35" t="str">
        <f t="array" ref="B49">XLOOKUP(A49,Roster!F:F,Roster!A:A,"")</f>
        <v>Martin Salazar</v>
      </c>
      <c r="C49" s="35" t="str">
        <f t="array" ref="C49">XLOOKUP(A49,Roster!F:F,Roster!B:B,"")</f>
        <v>Nicols Quinones</v>
      </c>
      <c r="D49" s="43"/>
      <c r="E49" s="133">
        <v>0.3333333333333333</v>
      </c>
      <c r="F49" s="133">
        <v>0.3333333333333333</v>
      </c>
      <c r="G49" s="133">
        <v>0.3333333333333333</v>
      </c>
      <c r="H49" s="133">
        <v>0.3333333333333333</v>
      </c>
      <c r="I49" s="133">
        <v>0.3333333333333333</v>
      </c>
      <c r="J49" s="132" t="s">
        <v>202</v>
      </c>
      <c r="K49" s="42"/>
      <c r="L49" s="133">
        <v>0.3333333333333333</v>
      </c>
      <c r="M49" s="133">
        <v>0.3333333333333333</v>
      </c>
      <c r="N49" s="133">
        <v>0.3333333333333333</v>
      </c>
      <c r="O49" s="133">
        <v>0.3333333333333333</v>
      </c>
      <c r="P49" s="133">
        <v>0.3333333333333333</v>
      </c>
      <c r="Q49" s="132" t="s">
        <v>202</v>
      </c>
      <c r="R49" s="43"/>
      <c r="S49" s="133">
        <v>0.3333333333333333</v>
      </c>
      <c r="T49" s="133">
        <v>0.3333333333333333</v>
      </c>
      <c r="U49" s="133">
        <v>0.3333333333333333</v>
      </c>
      <c r="V49" s="133">
        <v>0.3333333333333333</v>
      </c>
      <c r="W49" s="133">
        <v>0.3333333333333333</v>
      </c>
      <c r="X49" s="132" t="s">
        <v>202</v>
      </c>
      <c r="Y49" s="43"/>
      <c r="Z49" s="133">
        <v>0.3333333333333333</v>
      </c>
      <c r="AA49" s="133">
        <v>0.3333333333333333</v>
      </c>
      <c r="AB49" s="133">
        <v>0.3333333333333333</v>
      </c>
      <c r="AC49" s="133">
        <v>0.3333333333333333</v>
      </c>
      <c r="AD49" s="133">
        <v>0.3333333333333333</v>
      </c>
      <c r="AE49" s="132" t="s">
        <v>202</v>
      </c>
      <c r="AF49" s="43"/>
      <c r="AG49" s="133">
        <v>0.3333333333333333</v>
      </c>
      <c r="AH49" s="133">
        <v>0.3333333333333333</v>
      </c>
      <c r="AI49" s="133">
        <v>0.3333333333333333</v>
      </c>
      <c r="AJ49" s="133">
        <v>0.3333333333333333</v>
      </c>
      <c r="AK49" s="133">
        <v>0.3333333333333333</v>
      </c>
      <c r="AL49" s="132" t="s">
        <v>202</v>
      </c>
      <c r="AM49" s="84"/>
    </row>
    <row r="50">
      <c r="A50" s="47" t="s">
        <v>75</v>
      </c>
      <c r="B50" s="35" t="str">
        <f t="array" ref="B50">XLOOKUP(A50,Roster!F:F,Roster!A:A,"")</f>
        <v>Martin Salazar</v>
      </c>
      <c r="C50" s="35" t="str">
        <f t="array" ref="C50">XLOOKUP(A50,Roster!F:F,Roster!B:B,"")</f>
        <v>Sebastian Zapata</v>
      </c>
      <c r="D50" s="43"/>
      <c r="E50" s="96">
        <v>0.3333333333333333</v>
      </c>
      <c r="F50" s="96">
        <v>0.3333333333333333</v>
      </c>
      <c r="G50" s="96">
        <v>0.3333333333333333</v>
      </c>
      <c r="H50" s="96">
        <v>0.3333333333333333</v>
      </c>
      <c r="I50" s="96">
        <v>0.3333333333333333</v>
      </c>
      <c r="J50" s="134" t="s">
        <v>202</v>
      </c>
      <c r="K50" s="42"/>
      <c r="L50" s="96">
        <v>0.3333333333333333</v>
      </c>
      <c r="M50" s="96">
        <v>0.3333333333333333</v>
      </c>
      <c r="N50" s="96">
        <v>0.3333333333333333</v>
      </c>
      <c r="O50" s="96">
        <v>0.3333333333333333</v>
      </c>
      <c r="P50" s="96">
        <v>0.3333333333333333</v>
      </c>
      <c r="Q50" s="134" t="s">
        <v>202</v>
      </c>
      <c r="R50" s="43"/>
      <c r="S50" s="96">
        <v>0.3333333333333333</v>
      </c>
      <c r="T50" s="96">
        <v>0.3333333333333333</v>
      </c>
      <c r="U50" s="96">
        <v>0.3333333333333333</v>
      </c>
      <c r="V50" s="96">
        <v>0.3333333333333333</v>
      </c>
      <c r="W50" s="96">
        <v>0.3333333333333333</v>
      </c>
      <c r="X50" s="134" t="s">
        <v>202</v>
      </c>
      <c r="Y50" s="43"/>
      <c r="Z50" s="96">
        <v>0.3333333333333333</v>
      </c>
      <c r="AA50" s="96">
        <v>0.3333333333333333</v>
      </c>
      <c r="AB50" s="96">
        <v>0.3333333333333333</v>
      </c>
      <c r="AC50" s="96">
        <v>0.3333333333333333</v>
      </c>
      <c r="AD50" s="96">
        <v>0.3333333333333333</v>
      </c>
      <c r="AE50" s="134" t="s">
        <v>202</v>
      </c>
      <c r="AF50" s="43"/>
      <c r="AG50" s="96">
        <v>0.3333333333333333</v>
      </c>
      <c r="AH50" s="96">
        <v>0.3333333333333333</v>
      </c>
      <c r="AI50" s="96">
        <v>0.3333333333333333</v>
      </c>
      <c r="AJ50" s="96">
        <v>0.3333333333333333</v>
      </c>
      <c r="AK50" s="96">
        <v>0.3333333333333333</v>
      </c>
      <c r="AL50" s="134" t="s">
        <v>202</v>
      </c>
      <c r="AM50" s="84"/>
    </row>
    <row r="51">
      <c r="A51" s="47" t="s">
        <v>79</v>
      </c>
      <c r="B51" s="35" t="str">
        <f t="array" ref="B51">XLOOKUP(A51,Roster!F:F,Roster!A:A,"")</f>
        <v>Martin Salazar</v>
      </c>
      <c r="C51" s="35" t="str">
        <f t="array" ref="C51">XLOOKUP(A51,Roster!F:F,Roster!B:B,"")</f>
        <v>Valentina Barreto</v>
      </c>
      <c r="D51" s="43"/>
      <c r="E51" s="133">
        <v>0.3333333333333333</v>
      </c>
      <c r="F51" s="133">
        <v>0.3333333333333333</v>
      </c>
      <c r="G51" s="133">
        <v>0.3333333333333333</v>
      </c>
      <c r="H51" s="133">
        <v>0.3333333333333333</v>
      </c>
      <c r="I51" s="133">
        <v>0.3333333333333333</v>
      </c>
      <c r="J51" s="134" t="s">
        <v>202</v>
      </c>
      <c r="K51" s="42"/>
      <c r="L51" s="133">
        <v>0.3333333333333333</v>
      </c>
      <c r="M51" s="133">
        <v>0.3333333333333333</v>
      </c>
      <c r="N51" s="133">
        <v>0.3333333333333333</v>
      </c>
      <c r="O51" s="133">
        <v>0.3333333333333333</v>
      </c>
      <c r="P51" s="133">
        <v>0.3333333333333333</v>
      </c>
      <c r="Q51" s="134" t="s">
        <v>202</v>
      </c>
      <c r="R51" s="43"/>
      <c r="S51" s="133">
        <v>0.3333333333333333</v>
      </c>
      <c r="T51" s="133">
        <v>0.3333333333333333</v>
      </c>
      <c r="U51" s="133">
        <v>0.3333333333333333</v>
      </c>
      <c r="V51" s="133">
        <v>0.3333333333333333</v>
      </c>
      <c r="W51" s="133">
        <v>0.3333333333333333</v>
      </c>
      <c r="X51" s="134" t="s">
        <v>202</v>
      </c>
      <c r="Y51" s="43"/>
      <c r="Z51" s="133">
        <v>0.3333333333333333</v>
      </c>
      <c r="AA51" s="133">
        <v>0.3333333333333333</v>
      </c>
      <c r="AB51" s="133">
        <v>0.3333333333333333</v>
      </c>
      <c r="AC51" s="133">
        <v>0.3333333333333333</v>
      </c>
      <c r="AD51" s="133">
        <v>0.3333333333333333</v>
      </c>
      <c r="AE51" s="134" t="s">
        <v>202</v>
      </c>
      <c r="AF51" s="43"/>
      <c r="AG51" s="133">
        <v>0.3333333333333333</v>
      </c>
      <c r="AH51" s="133">
        <v>0.3333333333333333</v>
      </c>
      <c r="AI51" s="133">
        <v>0.3333333333333333</v>
      </c>
      <c r="AJ51" s="133">
        <v>0.3333333333333333</v>
      </c>
      <c r="AK51" s="133">
        <v>0.3333333333333333</v>
      </c>
      <c r="AL51" s="134" t="s">
        <v>202</v>
      </c>
      <c r="AM51" s="84"/>
    </row>
    <row r="52">
      <c r="A52" s="47" t="s">
        <v>80</v>
      </c>
      <c r="B52" s="35" t="str">
        <f t="array" ref="B52">XLOOKUP(A52,Roster!F:F,Roster!A:A,"")</f>
        <v>Martin Salazar</v>
      </c>
      <c r="C52" s="35" t="str">
        <f t="array" ref="C52">XLOOKUP(A52,Roster!F:F,Roster!B:B,"")</f>
        <v>Valentina Castro</v>
      </c>
      <c r="D52" s="43"/>
      <c r="E52" s="133">
        <v>0.3333333333333333</v>
      </c>
      <c r="F52" s="133">
        <v>0.3333333333333333</v>
      </c>
      <c r="G52" s="40" t="s">
        <v>202</v>
      </c>
      <c r="H52" s="142">
        <v>0.3333333333333333</v>
      </c>
      <c r="I52" s="133">
        <v>0.3333333333333333</v>
      </c>
      <c r="J52" s="133">
        <v>0.3333333333333333</v>
      </c>
      <c r="K52" s="42"/>
      <c r="L52" s="133">
        <v>0.3333333333333333</v>
      </c>
      <c r="M52" s="133">
        <v>0.3333333333333333</v>
      </c>
      <c r="N52" s="40" t="s">
        <v>202</v>
      </c>
      <c r="O52" s="142">
        <v>0.3333333333333333</v>
      </c>
      <c r="P52" s="133">
        <v>0.3333333333333333</v>
      </c>
      <c r="Q52" s="133">
        <v>0.3333333333333333</v>
      </c>
      <c r="R52" s="43"/>
      <c r="S52" s="133">
        <v>0.3333333333333333</v>
      </c>
      <c r="T52" s="133">
        <v>0.3333333333333333</v>
      </c>
      <c r="U52" s="40" t="s">
        <v>202</v>
      </c>
      <c r="V52" s="142">
        <v>0.3333333333333333</v>
      </c>
      <c r="W52" s="133">
        <v>0.3333333333333333</v>
      </c>
      <c r="X52" s="133">
        <v>0.3333333333333333</v>
      </c>
      <c r="Y52" s="43"/>
      <c r="Z52" s="133">
        <v>0.3333333333333333</v>
      </c>
      <c r="AA52" s="133">
        <v>0.3333333333333333</v>
      </c>
      <c r="AB52" s="40" t="s">
        <v>202</v>
      </c>
      <c r="AC52" s="142">
        <v>0.3333333333333333</v>
      </c>
      <c r="AD52" s="133">
        <v>0.3333333333333333</v>
      </c>
      <c r="AE52" s="133">
        <v>0.3333333333333333</v>
      </c>
      <c r="AF52" s="43"/>
      <c r="AG52" s="133">
        <v>0.3333333333333333</v>
      </c>
      <c r="AH52" s="133">
        <v>0.3333333333333333</v>
      </c>
      <c r="AI52" s="40" t="s">
        <v>202</v>
      </c>
      <c r="AJ52" s="142">
        <v>0.3333333333333333</v>
      </c>
      <c r="AK52" s="133">
        <v>0.3333333333333333</v>
      </c>
      <c r="AL52" s="133">
        <v>0.3333333333333333</v>
      </c>
      <c r="AM52" s="84"/>
    </row>
    <row r="53">
      <c r="A53" s="47" t="s">
        <v>11</v>
      </c>
      <c r="B53" s="35" t="str">
        <f t="array" ref="B53">XLOOKUP(A53,Roster!F:F,Roster!A:A,"")</f>
        <v>Mateo Henao</v>
      </c>
      <c r="C53" s="35" t="str">
        <f t="array" ref="C53">XLOOKUP(A53,Roster!F:F,Roster!B:B,"")</f>
        <v>Alexander Bartoli</v>
      </c>
      <c r="D53" s="43"/>
      <c r="E53" s="133">
        <v>0.3333333333333333</v>
      </c>
      <c r="F53" s="40" t="s">
        <v>202</v>
      </c>
      <c r="G53" s="133">
        <v>0.3333333333333333</v>
      </c>
      <c r="H53" s="133">
        <v>0.3333333333333333</v>
      </c>
      <c r="I53" s="133">
        <v>0.3333333333333333</v>
      </c>
      <c r="J53" s="133">
        <v>0.3333333333333333</v>
      </c>
      <c r="K53" s="42"/>
      <c r="L53" s="133">
        <v>0.3333333333333333</v>
      </c>
      <c r="M53" s="133">
        <v>0.3333333333333333</v>
      </c>
      <c r="N53" s="40" t="s">
        <v>202</v>
      </c>
      <c r="O53" s="133">
        <v>0.3333333333333333</v>
      </c>
      <c r="P53" s="133">
        <v>0.3333333333333333</v>
      </c>
      <c r="Q53" s="133">
        <v>0.3333333333333333</v>
      </c>
      <c r="R53" s="43"/>
      <c r="S53" s="133">
        <v>0.3333333333333333</v>
      </c>
      <c r="T53" s="133">
        <v>0.3333333333333333</v>
      </c>
      <c r="U53" s="40" t="s">
        <v>202</v>
      </c>
      <c r="V53" s="133">
        <v>0.3333333333333333</v>
      </c>
      <c r="W53" s="133">
        <v>0.3333333333333333</v>
      </c>
      <c r="X53" s="133">
        <v>0.3333333333333333</v>
      </c>
      <c r="Y53" s="43"/>
      <c r="Z53" s="133">
        <v>0.3333333333333333</v>
      </c>
      <c r="AA53" s="133">
        <v>0.3333333333333333</v>
      </c>
      <c r="AB53" s="40" t="s">
        <v>202</v>
      </c>
      <c r="AC53" s="133">
        <v>0.3333333333333333</v>
      </c>
      <c r="AD53" s="133">
        <v>0.3333333333333333</v>
      </c>
      <c r="AE53" s="133">
        <v>0.3333333333333333</v>
      </c>
      <c r="AF53" s="43"/>
      <c r="AG53" s="133">
        <v>0.3333333333333333</v>
      </c>
      <c r="AH53" s="133">
        <v>0.3333333333333333</v>
      </c>
      <c r="AI53" s="40" t="s">
        <v>202</v>
      </c>
      <c r="AJ53" s="133">
        <v>0.3333333333333333</v>
      </c>
      <c r="AK53" s="133">
        <v>0.3333333333333333</v>
      </c>
      <c r="AL53" s="133">
        <v>0.3333333333333333</v>
      </c>
      <c r="AM53" s="84"/>
    </row>
    <row r="54">
      <c r="A54" s="47" t="s">
        <v>12</v>
      </c>
      <c r="B54" s="35" t="str">
        <f t="array" ref="B54">XLOOKUP(A54,Roster!F:F,Roster!A:A,"")</f>
        <v>Mateo Henao</v>
      </c>
      <c r="C54" s="35" t="str">
        <f t="array" ref="C54">XLOOKUP(A54,Roster!F:F,Roster!B:B,"")</f>
        <v>Ana Quintero</v>
      </c>
      <c r="D54" s="43"/>
      <c r="E54" s="133">
        <v>0.3333333333333333</v>
      </c>
      <c r="F54" s="133">
        <v>0.3333333333333333</v>
      </c>
      <c r="G54" s="40" t="s">
        <v>202</v>
      </c>
      <c r="H54" s="133">
        <v>0.3333333333333333</v>
      </c>
      <c r="I54" s="133">
        <v>0.3333333333333333</v>
      </c>
      <c r="J54" s="133">
        <v>0.3333333333333333</v>
      </c>
      <c r="K54" s="42"/>
      <c r="L54" s="133">
        <v>0.3333333333333333</v>
      </c>
      <c r="M54" s="133">
        <v>0.3333333333333333</v>
      </c>
      <c r="N54" s="40" t="s">
        <v>202</v>
      </c>
      <c r="O54" s="133">
        <v>0.3333333333333333</v>
      </c>
      <c r="P54" s="133">
        <v>0.3333333333333333</v>
      </c>
      <c r="Q54" s="133">
        <v>0.3333333333333333</v>
      </c>
      <c r="R54" s="43"/>
      <c r="S54" s="133">
        <v>0.3333333333333333</v>
      </c>
      <c r="T54" s="133">
        <v>0.3333333333333333</v>
      </c>
      <c r="U54" s="40" t="s">
        <v>202</v>
      </c>
      <c r="V54" s="133">
        <v>0.3333333333333333</v>
      </c>
      <c r="W54" s="133">
        <v>0.3333333333333333</v>
      </c>
      <c r="X54" s="133">
        <v>0.3333333333333333</v>
      </c>
      <c r="Y54" s="43"/>
      <c r="Z54" s="133">
        <v>0.3333333333333333</v>
      </c>
      <c r="AA54" s="133">
        <v>0.3333333333333333</v>
      </c>
      <c r="AB54" s="40" t="s">
        <v>202</v>
      </c>
      <c r="AC54" s="133">
        <v>0.3333333333333333</v>
      </c>
      <c r="AD54" s="133">
        <v>0.3333333333333333</v>
      </c>
      <c r="AE54" s="133">
        <v>0.3333333333333333</v>
      </c>
      <c r="AF54" s="43"/>
      <c r="AG54" s="133">
        <v>0.3333333333333333</v>
      </c>
      <c r="AH54" s="133">
        <v>0.3333333333333333</v>
      </c>
      <c r="AI54" s="40" t="s">
        <v>202</v>
      </c>
      <c r="AJ54" s="133">
        <v>0.3333333333333333</v>
      </c>
      <c r="AK54" s="133">
        <v>0.3333333333333333</v>
      </c>
      <c r="AL54" s="133">
        <v>0.3333333333333333</v>
      </c>
      <c r="AM54" s="84"/>
    </row>
    <row r="55">
      <c r="A55" s="47" t="s">
        <v>13</v>
      </c>
      <c r="B55" s="35" t="str">
        <f t="array" ref="B55">XLOOKUP(A55,Roster!F:F,Roster!A:A,"")</f>
        <v>Mateo Henao</v>
      </c>
      <c r="C55" s="35" t="str">
        <f t="array" ref="C55">XLOOKUP(A55,Roster!F:F,Roster!B:B,"")</f>
        <v>Andres Lopez</v>
      </c>
      <c r="D55" s="43"/>
      <c r="E55" s="133">
        <v>0.375</v>
      </c>
      <c r="F55" s="133">
        <v>0.375</v>
      </c>
      <c r="G55" s="40" t="s">
        <v>202</v>
      </c>
      <c r="H55" s="133">
        <v>0.375</v>
      </c>
      <c r="I55" s="133">
        <v>0.375</v>
      </c>
      <c r="J55" s="133">
        <v>0.375</v>
      </c>
      <c r="K55" s="42"/>
      <c r="L55" s="133">
        <v>0.375</v>
      </c>
      <c r="M55" s="133">
        <v>0.375</v>
      </c>
      <c r="N55" s="40" t="s">
        <v>202</v>
      </c>
      <c r="O55" s="133">
        <v>0.375</v>
      </c>
      <c r="P55" s="133">
        <v>0.375</v>
      </c>
      <c r="Q55" s="133">
        <v>0.375</v>
      </c>
      <c r="R55" s="43"/>
      <c r="S55" s="133">
        <v>0.375</v>
      </c>
      <c r="T55" s="133">
        <v>0.375</v>
      </c>
      <c r="U55" s="40" t="s">
        <v>202</v>
      </c>
      <c r="V55" s="133">
        <v>0.375</v>
      </c>
      <c r="W55" s="133">
        <v>0.375</v>
      </c>
      <c r="X55" s="133">
        <v>0.375</v>
      </c>
      <c r="Y55" s="43"/>
      <c r="Z55" s="133">
        <v>0.375</v>
      </c>
      <c r="AA55" s="133">
        <v>0.375</v>
      </c>
      <c r="AB55" s="40" t="s">
        <v>202</v>
      </c>
      <c r="AC55" s="133">
        <v>0.375</v>
      </c>
      <c r="AD55" s="133">
        <v>0.375</v>
      </c>
      <c r="AE55" s="133">
        <v>0.375</v>
      </c>
      <c r="AF55" s="43"/>
      <c r="AG55" s="133">
        <v>0.375</v>
      </c>
      <c r="AH55" s="133">
        <v>0.375</v>
      </c>
      <c r="AI55" s="40" t="s">
        <v>202</v>
      </c>
      <c r="AJ55" s="133">
        <v>0.375</v>
      </c>
      <c r="AK55" s="133">
        <v>0.375</v>
      </c>
      <c r="AL55" s="133">
        <v>0.375</v>
      </c>
      <c r="AM55" s="84"/>
    </row>
    <row r="56">
      <c r="A56" s="47" t="s">
        <v>14</v>
      </c>
      <c r="B56" s="35" t="str">
        <f t="array" ref="B56">XLOOKUP(A56,Roster!F:F,Roster!A:A,"")</f>
        <v>Mateo Henao</v>
      </c>
      <c r="C56" s="35" t="str">
        <f t="array" ref="C56">XLOOKUP(A56,Roster!F:F,Roster!B:B,"")</f>
        <v>Andres Salazar</v>
      </c>
      <c r="D56" s="43"/>
      <c r="E56" s="133">
        <v>0.3333333333333333</v>
      </c>
      <c r="F56" s="133">
        <v>0.3333333333333333</v>
      </c>
      <c r="G56" s="133">
        <v>0.3333333333333333</v>
      </c>
      <c r="H56" s="133">
        <v>0.3333333333333333</v>
      </c>
      <c r="I56" s="40" t="s">
        <v>202</v>
      </c>
      <c r="J56" s="133">
        <v>0.3333333333333333</v>
      </c>
      <c r="K56" s="42"/>
      <c r="L56" s="133">
        <v>0.3333333333333333</v>
      </c>
      <c r="M56" s="133">
        <v>0.3333333333333333</v>
      </c>
      <c r="N56" s="133">
        <v>0.3333333333333333</v>
      </c>
      <c r="O56" s="133">
        <v>0.3333333333333333</v>
      </c>
      <c r="P56" s="40" t="s">
        <v>202</v>
      </c>
      <c r="Q56" s="133">
        <v>0.3333333333333333</v>
      </c>
      <c r="R56" s="43"/>
      <c r="S56" s="133">
        <v>0.3333333333333333</v>
      </c>
      <c r="T56" s="133">
        <v>0.3333333333333333</v>
      </c>
      <c r="U56" s="133">
        <v>0.3333333333333333</v>
      </c>
      <c r="V56" s="133">
        <v>0.3333333333333333</v>
      </c>
      <c r="W56" s="40" t="s">
        <v>202</v>
      </c>
      <c r="X56" s="133">
        <v>0.3333333333333333</v>
      </c>
      <c r="Y56" s="43"/>
      <c r="Z56" s="133">
        <v>0.3333333333333333</v>
      </c>
      <c r="AA56" s="133">
        <v>0.3333333333333333</v>
      </c>
      <c r="AB56" s="133">
        <v>0.3333333333333333</v>
      </c>
      <c r="AC56" s="133">
        <v>0.3333333333333333</v>
      </c>
      <c r="AD56" s="40" t="s">
        <v>202</v>
      </c>
      <c r="AE56" s="133">
        <v>0.3333333333333333</v>
      </c>
      <c r="AF56" s="43"/>
      <c r="AG56" s="133">
        <v>0.3333333333333333</v>
      </c>
      <c r="AH56" s="133">
        <v>0.3333333333333333</v>
      </c>
      <c r="AI56" s="133">
        <v>0.3333333333333333</v>
      </c>
      <c r="AJ56" s="133">
        <v>0.3333333333333333</v>
      </c>
      <c r="AK56" s="40" t="s">
        <v>202</v>
      </c>
      <c r="AL56" s="133">
        <v>0.3333333333333333</v>
      </c>
      <c r="AM56" s="84"/>
    </row>
    <row r="57">
      <c r="A57" s="47" t="s">
        <v>15</v>
      </c>
      <c r="B57" s="35" t="str">
        <f t="array" ref="B57">XLOOKUP(A57,Roster!F:F,Roster!A:A,"")</f>
        <v>Mateo Henao</v>
      </c>
      <c r="C57" s="35" t="str">
        <f t="array" ref="C57">XLOOKUP(A57,Roster!F:F,Roster!B:B,"")</f>
        <v>Angelo Zapata</v>
      </c>
      <c r="D57" s="40" t="s">
        <v>201</v>
      </c>
      <c r="E57" s="96">
        <v>0.3333333333333333</v>
      </c>
      <c r="F57" s="96">
        <v>0.3333333333333333</v>
      </c>
      <c r="G57" s="96">
        <v>0.3333333333333333</v>
      </c>
      <c r="H57" s="96">
        <v>0.3333333333333333</v>
      </c>
      <c r="I57" s="96">
        <v>0.3333333333333333</v>
      </c>
      <c r="J57" s="134" t="s">
        <v>202</v>
      </c>
      <c r="K57" s="42"/>
      <c r="L57" s="96">
        <v>0.3333333333333333</v>
      </c>
      <c r="M57" s="96">
        <v>0.3333333333333333</v>
      </c>
      <c r="N57" s="96">
        <v>0.3333333333333333</v>
      </c>
      <c r="O57" s="96">
        <v>0.3333333333333333</v>
      </c>
      <c r="P57" s="96">
        <v>0.3333333333333333</v>
      </c>
      <c r="Q57" s="134" t="s">
        <v>202</v>
      </c>
      <c r="R57" s="43"/>
      <c r="S57" s="96">
        <v>0.3333333333333333</v>
      </c>
      <c r="T57" s="96">
        <v>0.3333333333333333</v>
      </c>
      <c r="U57" s="96">
        <v>0.3333333333333333</v>
      </c>
      <c r="V57" s="96">
        <v>0.3333333333333333</v>
      </c>
      <c r="W57" s="96">
        <v>0.3333333333333333</v>
      </c>
      <c r="X57" s="134" t="s">
        <v>202</v>
      </c>
      <c r="Y57" s="43"/>
      <c r="Z57" s="96">
        <v>0.3333333333333333</v>
      </c>
      <c r="AA57" s="96">
        <v>0.3333333333333333</v>
      </c>
      <c r="AB57" s="96">
        <v>0.3333333333333333</v>
      </c>
      <c r="AC57" s="96">
        <v>0.3333333333333333</v>
      </c>
      <c r="AD57" s="96">
        <v>0.3333333333333333</v>
      </c>
      <c r="AE57" s="134" t="s">
        <v>202</v>
      </c>
      <c r="AF57" s="43"/>
      <c r="AG57" s="96">
        <v>0.3333333333333333</v>
      </c>
      <c r="AH57" s="96">
        <v>0.3333333333333333</v>
      </c>
      <c r="AI57" s="96">
        <v>0.3333333333333333</v>
      </c>
      <c r="AJ57" s="96">
        <v>0.3333333333333333</v>
      </c>
      <c r="AK57" s="96">
        <v>0.3333333333333333</v>
      </c>
      <c r="AL57" s="134" t="s">
        <v>202</v>
      </c>
      <c r="AM57" s="84"/>
    </row>
    <row r="58">
      <c r="A58" s="47" t="s">
        <v>16</v>
      </c>
      <c r="B58" s="35" t="str">
        <f t="array" ref="B58">XLOOKUP(A58,Roster!F:F,Roster!A:A,"")</f>
        <v>Mateo Henao</v>
      </c>
      <c r="C58" s="35" t="str">
        <f t="array" ref="C58">XLOOKUP(A58,Roster!F:F,Roster!B:B,"")</f>
        <v>Anibal Munoz</v>
      </c>
      <c r="D58" s="43"/>
      <c r="E58" s="133">
        <v>0.3333333333333333</v>
      </c>
      <c r="F58" s="133">
        <v>0.3333333333333333</v>
      </c>
      <c r="G58" s="133">
        <v>0.3333333333333333</v>
      </c>
      <c r="H58" s="133">
        <v>0.3333333333333333</v>
      </c>
      <c r="I58" s="133">
        <v>0.3333333333333333</v>
      </c>
      <c r="J58" s="40" t="s">
        <v>202</v>
      </c>
      <c r="K58" s="42"/>
      <c r="L58" s="133">
        <v>0.3333333333333333</v>
      </c>
      <c r="M58" s="133">
        <v>0.3333333333333333</v>
      </c>
      <c r="N58" s="133">
        <v>0.3333333333333333</v>
      </c>
      <c r="O58" s="133">
        <v>0.3333333333333333</v>
      </c>
      <c r="P58" s="133">
        <v>0.3333333333333333</v>
      </c>
      <c r="Q58" s="40" t="s">
        <v>202</v>
      </c>
      <c r="R58" s="43"/>
      <c r="S58" s="133">
        <v>0.3333333333333333</v>
      </c>
      <c r="T58" s="133">
        <v>0.3333333333333333</v>
      </c>
      <c r="U58" s="133">
        <v>0.3333333333333333</v>
      </c>
      <c r="V58" s="133">
        <v>0.3333333333333333</v>
      </c>
      <c r="W58" s="133">
        <v>0.3333333333333333</v>
      </c>
      <c r="X58" s="40" t="s">
        <v>202</v>
      </c>
      <c r="Y58" s="43"/>
      <c r="Z58" s="133">
        <v>0.3333333333333333</v>
      </c>
      <c r="AA58" s="133">
        <v>0.3333333333333333</v>
      </c>
      <c r="AB58" s="133">
        <v>0.3333333333333333</v>
      </c>
      <c r="AC58" s="133">
        <v>0.3333333333333333</v>
      </c>
      <c r="AD58" s="133">
        <v>0.3333333333333333</v>
      </c>
      <c r="AE58" s="40" t="s">
        <v>202</v>
      </c>
      <c r="AF58" s="43"/>
      <c r="AG58" s="133">
        <v>0.3333333333333333</v>
      </c>
      <c r="AH58" s="133">
        <v>0.3333333333333333</v>
      </c>
      <c r="AI58" s="133">
        <v>0.3333333333333333</v>
      </c>
      <c r="AJ58" s="133">
        <v>0.3333333333333333</v>
      </c>
      <c r="AK58" s="133">
        <v>0.3333333333333333</v>
      </c>
      <c r="AL58" s="40" t="s">
        <v>202</v>
      </c>
      <c r="AM58" s="84"/>
    </row>
    <row r="59">
      <c r="A59" s="47" t="s">
        <v>18</v>
      </c>
      <c r="B59" s="35" t="str">
        <f t="array" ref="B59">XLOOKUP(A59,Roster!F:F,Roster!A:A,"")</f>
        <v>Mateo Henao</v>
      </c>
      <c r="C59" s="35" t="str">
        <f t="array" ref="C59">XLOOKUP(A59,Roster!F:F,Roster!B:B,"")</f>
        <v>Brayan Montoya</v>
      </c>
      <c r="D59" s="40" t="s">
        <v>201</v>
      </c>
      <c r="E59" s="133">
        <v>0.2916666666666667</v>
      </c>
      <c r="F59" s="133">
        <v>0.2916666666666667</v>
      </c>
      <c r="G59" s="133">
        <v>0.2916666666666667</v>
      </c>
      <c r="H59" s="133">
        <v>0.2916666666666667</v>
      </c>
      <c r="I59" s="133">
        <v>0.2916666666666667</v>
      </c>
      <c r="J59" s="139" t="s">
        <v>202</v>
      </c>
      <c r="K59" s="42"/>
      <c r="L59" s="133">
        <v>0.2916666666666667</v>
      </c>
      <c r="M59" s="133">
        <v>0.2916666666666667</v>
      </c>
      <c r="N59" s="133">
        <v>0.2916666666666667</v>
      </c>
      <c r="O59" s="133">
        <v>0.2916666666666667</v>
      </c>
      <c r="P59" s="133">
        <v>0.2916666666666667</v>
      </c>
      <c r="Q59" s="139" t="s">
        <v>202</v>
      </c>
      <c r="R59" s="43"/>
      <c r="S59" s="133">
        <v>0.2916666666666667</v>
      </c>
      <c r="T59" s="133">
        <v>0.2916666666666667</v>
      </c>
      <c r="U59" s="133">
        <v>0.2916666666666667</v>
      </c>
      <c r="V59" s="133">
        <v>0.2916666666666667</v>
      </c>
      <c r="W59" s="133">
        <v>0.2916666666666667</v>
      </c>
      <c r="X59" s="139" t="s">
        <v>202</v>
      </c>
      <c r="Y59" s="43"/>
      <c r="Z59" s="133">
        <v>0.2916666666666667</v>
      </c>
      <c r="AA59" s="133">
        <v>0.2916666666666667</v>
      </c>
      <c r="AB59" s="133">
        <v>0.2916666666666667</v>
      </c>
      <c r="AC59" s="133">
        <v>0.2916666666666667</v>
      </c>
      <c r="AD59" s="133">
        <v>0.2916666666666667</v>
      </c>
      <c r="AE59" s="139" t="s">
        <v>202</v>
      </c>
      <c r="AF59" s="43"/>
      <c r="AG59" s="133">
        <v>0.2916666666666667</v>
      </c>
      <c r="AH59" s="133">
        <v>0.2916666666666667</v>
      </c>
      <c r="AI59" s="133">
        <v>0.2916666666666667</v>
      </c>
      <c r="AJ59" s="133">
        <v>0.2916666666666667</v>
      </c>
      <c r="AK59" s="133">
        <v>0.2916666666666667</v>
      </c>
      <c r="AL59" s="139" t="s">
        <v>202</v>
      </c>
      <c r="AM59" s="84"/>
    </row>
    <row r="60">
      <c r="A60" s="47" t="s">
        <v>19</v>
      </c>
      <c r="B60" s="35" t="str">
        <f t="array" ref="B60">XLOOKUP(A60,Roster!F:F,Roster!A:A,"")</f>
        <v>Mateo Henao</v>
      </c>
      <c r="C60" s="35" t="str">
        <f t="array" ref="C60">XLOOKUP(A60,Roster!F:F,Roster!B:B,"")</f>
        <v>Breitner Benitez</v>
      </c>
      <c r="D60" s="43"/>
      <c r="E60" s="96">
        <v>0.3333333333333333</v>
      </c>
      <c r="F60" s="96">
        <v>0.3333333333333333</v>
      </c>
      <c r="G60" s="140" t="s">
        <v>202</v>
      </c>
      <c r="H60" s="96">
        <v>0.3333333333333333</v>
      </c>
      <c r="I60" s="96">
        <v>0.3333333333333333</v>
      </c>
      <c r="J60" s="96">
        <v>0.3333333333333333</v>
      </c>
      <c r="K60" s="42"/>
      <c r="L60" s="96">
        <v>0.3333333333333333</v>
      </c>
      <c r="M60" s="96">
        <v>0.3333333333333333</v>
      </c>
      <c r="N60" s="140" t="s">
        <v>202</v>
      </c>
      <c r="O60" s="96">
        <v>0.3333333333333333</v>
      </c>
      <c r="P60" s="96">
        <v>0.3333333333333333</v>
      </c>
      <c r="Q60" s="96">
        <v>0.3333333333333333</v>
      </c>
      <c r="R60" s="43"/>
      <c r="S60" s="96">
        <v>0.3333333333333333</v>
      </c>
      <c r="T60" s="96">
        <v>0.3333333333333333</v>
      </c>
      <c r="U60" s="140" t="s">
        <v>202</v>
      </c>
      <c r="V60" s="96">
        <v>0.3333333333333333</v>
      </c>
      <c r="W60" s="96">
        <v>0.3333333333333333</v>
      </c>
      <c r="X60" s="96">
        <v>0.3333333333333333</v>
      </c>
      <c r="Y60" s="43"/>
      <c r="Z60" s="96">
        <v>0.3333333333333333</v>
      </c>
      <c r="AA60" s="96">
        <v>0.3333333333333333</v>
      </c>
      <c r="AB60" s="140" t="s">
        <v>202</v>
      </c>
      <c r="AC60" s="96">
        <v>0.3333333333333333</v>
      </c>
      <c r="AD60" s="96">
        <v>0.3333333333333333</v>
      </c>
      <c r="AE60" s="96">
        <v>0.3333333333333333</v>
      </c>
      <c r="AF60" s="43"/>
      <c r="AG60" s="96">
        <v>0.3333333333333333</v>
      </c>
      <c r="AH60" s="96">
        <v>0.3333333333333333</v>
      </c>
      <c r="AI60" s="140" t="s">
        <v>202</v>
      </c>
      <c r="AJ60" s="96">
        <v>0.3333333333333333</v>
      </c>
      <c r="AK60" s="96">
        <v>0.3333333333333333</v>
      </c>
      <c r="AL60" s="96">
        <v>0.3333333333333333</v>
      </c>
      <c r="AM60" s="84"/>
    </row>
    <row r="61">
      <c r="A61" s="47" t="s">
        <v>23</v>
      </c>
      <c r="B61" s="35" t="str">
        <f t="array" ref="B61">XLOOKUP(A61,Roster!F:F,Roster!A:A,"")</f>
        <v>Mateo Henao</v>
      </c>
      <c r="C61" s="35" t="str">
        <f t="array" ref="C61">XLOOKUP(A61,Roster!F:F,Roster!B:B,"")</f>
        <v>Christian Ramirez</v>
      </c>
      <c r="D61" s="43"/>
      <c r="E61" s="42">
        <v>0.3333333333333333</v>
      </c>
      <c r="F61" s="42">
        <v>0.3333333333333333</v>
      </c>
      <c r="G61" s="42">
        <v>0.3333333333333333</v>
      </c>
      <c r="H61" s="42">
        <v>0.3333333333333333</v>
      </c>
      <c r="I61" s="42">
        <v>0.3333333333333333</v>
      </c>
      <c r="J61" s="134" t="s">
        <v>202</v>
      </c>
      <c r="K61" s="42"/>
      <c r="L61" s="42">
        <v>0.3333333333333333</v>
      </c>
      <c r="M61" s="42">
        <v>0.3333333333333333</v>
      </c>
      <c r="N61" s="42">
        <v>0.3333333333333333</v>
      </c>
      <c r="O61" s="42">
        <v>0.3333333333333333</v>
      </c>
      <c r="P61" s="42">
        <v>0.3333333333333333</v>
      </c>
      <c r="Q61" s="134" t="s">
        <v>202</v>
      </c>
      <c r="R61" s="43"/>
      <c r="S61" s="133">
        <v>0.375</v>
      </c>
      <c r="T61" s="40" t="s">
        <v>202</v>
      </c>
      <c r="U61" s="133">
        <v>0.375</v>
      </c>
      <c r="V61" s="133">
        <v>0.375</v>
      </c>
      <c r="W61" s="133">
        <v>0.375</v>
      </c>
      <c r="X61" s="133">
        <v>0.375</v>
      </c>
      <c r="Y61" s="43"/>
      <c r="Z61" s="42">
        <v>0.3333333333333333</v>
      </c>
      <c r="AA61" s="42">
        <v>0.3333333333333333</v>
      </c>
      <c r="AB61" s="42">
        <v>0.3333333333333333</v>
      </c>
      <c r="AC61" s="42">
        <v>0.3333333333333333</v>
      </c>
      <c r="AD61" s="42">
        <v>0.3333333333333333</v>
      </c>
      <c r="AE61" s="134" t="s">
        <v>202</v>
      </c>
      <c r="AF61" s="43"/>
      <c r="AG61" s="42">
        <v>0.3333333333333333</v>
      </c>
      <c r="AH61" s="42">
        <v>0.3333333333333333</v>
      </c>
      <c r="AI61" s="42">
        <v>0.3333333333333333</v>
      </c>
      <c r="AJ61" s="42">
        <v>0.3333333333333333</v>
      </c>
      <c r="AK61" s="42">
        <v>0.3333333333333333</v>
      </c>
      <c r="AL61" s="134" t="s">
        <v>202</v>
      </c>
      <c r="AM61" s="84"/>
    </row>
    <row r="62">
      <c r="A62" s="47" t="s">
        <v>25</v>
      </c>
      <c r="B62" s="35" t="str">
        <f t="array" ref="B62">XLOOKUP(A62,Roster!F:F,Roster!A:A,"")</f>
        <v>Mateo Henao</v>
      </c>
      <c r="C62" s="35" t="str">
        <f t="array" ref="C62">XLOOKUP(A62,Roster!F:F,Roster!B:B,"")</f>
        <v>Daniel Barrientos</v>
      </c>
      <c r="D62" s="43"/>
      <c r="E62" s="135">
        <v>0.375</v>
      </c>
      <c r="F62" s="135">
        <v>0.375</v>
      </c>
      <c r="G62" s="135">
        <v>0.375</v>
      </c>
      <c r="H62" s="135">
        <v>0.375</v>
      </c>
      <c r="I62" s="135">
        <v>0.375</v>
      </c>
      <c r="J62" s="112" t="s">
        <v>202</v>
      </c>
      <c r="K62" s="42"/>
      <c r="L62" s="135">
        <v>0.375</v>
      </c>
      <c r="M62" s="135">
        <v>0.375</v>
      </c>
      <c r="N62" s="135">
        <v>0.375</v>
      </c>
      <c r="O62" s="135">
        <v>0.375</v>
      </c>
      <c r="P62" s="135">
        <v>0.375</v>
      </c>
      <c r="Q62" s="112" t="s">
        <v>202</v>
      </c>
      <c r="R62" s="43"/>
      <c r="S62" s="135">
        <v>0.375</v>
      </c>
      <c r="T62" s="135">
        <v>0.375</v>
      </c>
      <c r="U62" s="135">
        <v>0.375</v>
      </c>
      <c r="V62" s="135">
        <v>0.375</v>
      </c>
      <c r="W62" s="135">
        <v>0.375</v>
      </c>
      <c r="X62" s="112" t="s">
        <v>202</v>
      </c>
      <c r="Y62" s="43"/>
      <c r="Z62" s="135">
        <v>0.375</v>
      </c>
      <c r="AA62" s="135">
        <v>0.375</v>
      </c>
      <c r="AB62" s="135">
        <v>0.375</v>
      </c>
      <c r="AC62" s="135">
        <v>0.375</v>
      </c>
      <c r="AD62" s="135">
        <v>0.375</v>
      </c>
      <c r="AE62" s="112" t="s">
        <v>202</v>
      </c>
      <c r="AF62" s="43"/>
      <c r="AG62" s="135">
        <v>0.375</v>
      </c>
      <c r="AH62" s="135">
        <v>0.375</v>
      </c>
      <c r="AI62" s="135">
        <v>0.375</v>
      </c>
      <c r="AJ62" s="135">
        <v>0.375</v>
      </c>
      <c r="AK62" s="135">
        <v>0.375</v>
      </c>
      <c r="AL62" s="112" t="s">
        <v>202</v>
      </c>
      <c r="AM62" s="84"/>
    </row>
    <row r="63">
      <c r="A63" s="47" t="s">
        <v>26</v>
      </c>
      <c r="B63" s="35" t="str">
        <f t="array" ref="B63">XLOOKUP(A63,Roster!F:F,Roster!A:A,"")</f>
        <v>Mateo Henao</v>
      </c>
      <c r="C63" s="35" t="str">
        <f t="array" ref="C63">XLOOKUP(A63,Roster!F:F,Roster!B:B,"")</f>
        <v>David Patino</v>
      </c>
      <c r="D63" s="43"/>
      <c r="E63" s="96">
        <v>0.3333333333333333</v>
      </c>
      <c r="F63" s="132" t="s">
        <v>202</v>
      </c>
      <c r="G63" s="96">
        <v>0.3333333333333333</v>
      </c>
      <c r="H63" s="96">
        <v>0.3333333333333333</v>
      </c>
      <c r="I63" s="96">
        <v>0.3333333333333333</v>
      </c>
      <c r="J63" s="96">
        <v>0.3333333333333333</v>
      </c>
      <c r="K63" s="42"/>
      <c r="L63" s="96">
        <v>0.3333333333333333</v>
      </c>
      <c r="M63" s="132" t="s">
        <v>202</v>
      </c>
      <c r="N63" s="96">
        <v>0.3333333333333333</v>
      </c>
      <c r="O63" s="96">
        <v>0.3333333333333333</v>
      </c>
      <c r="P63" s="96">
        <v>0.3333333333333333</v>
      </c>
      <c r="Q63" s="96">
        <v>0.3333333333333333</v>
      </c>
      <c r="R63" s="43"/>
      <c r="S63" s="96">
        <v>0.3333333333333333</v>
      </c>
      <c r="T63" s="132" t="s">
        <v>202</v>
      </c>
      <c r="U63" s="96">
        <v>0.3333333333333333</v>
      </c>
      <c r="V63" s="96">
        <v>0.3333333333333333</v>
      </c>
      <c r="W63" s="96">
        <v>0.3333333333333333</v>
      </c>
      <c r="X63" s="96">
        <v>0.3333333333333333</v>
      </c>
      <c r="Y63" s="43"/>
      <c r="Z63" s="96">
        <v>0.3333333333333333</v>
      </c>
      <c r="AA63" s="132" t="s">
        <v>202</v>
      </c>
      <c r="AB63" s="96">
        <v>0.3333333333333333</v>
      </c>
      <c r="AC63" s="96">
        <v>0.3333333333333333</v>
      </c>
      <c r="AD63" s="96">
        <v>0.3333333333333333</v>
      </c>
      <c r="AE63" s="96">
        <v>0.3333333333333333</v>
      </c>
      <c r="AF63" s="43"/>
      <c r="AG63" s="96">
        <v>0.3333333333333333</v>
      </c>
      <c r="AH63" s="132" t="s">
        <v>202</v>
      </c>
      <c r="AI63" s="96">
        <v>0.3333333333333333</v>
      </c>
      <c r="AJ63" s="96">
        <v>0.3333333333333333</v>
      </c>
      <c r="AK63" s="96">
        <v>0.3333333333333333</v>
      </c>
      <c r="AL63" s="96">
        <v>0.3333333333333333</v>
      </c>
      <c r="AM63" s="84"/>
    </row>
    <row r="64">
      <c r="A64" s="47" t="s">
        <v>28</v>
      </c>
      <c r="B64" s="35" t="str">
        <f t="array" ref="B64">XLOOKUP(A64,Roster!F:F,Roster!A:A,"")</f>
        <v>Mateo Henao</v>
      </c>
      <c r="C64" s="35" t="str">
        <f t="array" ref="C64">XLOOKUP(A64,Roster!F:F,Roster!B:B,"")</f>
        <v>Esteban Correa</v>
      </c>
      <c r="D64" s="43"/>
      <c r="E64" s="133">
        <v>0.3333333333333333</v>
      </c>
      <c r="F64" s="133">
        <v>0.3333333333333333</v>
      </c>
      <c r="G64" s="133">
        <v>0.3333333333333333</v>
      </c>
      <c r="H64" s="133">
        <v>0.3333333333333333</v>
      </c>
      <c r="I64" s="40" t="s">
        <v>202</v>
      </c>
      <c r="J64" s="133">
        <v>0.3333333333333333</v>
      </c>
      <c r="K64" s="42"/>
      <c r="L64" s="133">
        <v>0.3333333333333333</v>
      </c>
      <c r="M64" s="133">
        <v>0.3333333333333333</v>
      </c>
      <c r="N64" s="133">
        <v>0.3333333333333333</v>
      </c>
      <c r="O64" s="133">
        <v>0.3333333333333333</v>
      </c>
      <c r="P64" s="40" t="s">
        <v>202</v>
      </c>
      <c r="Q64" s="133">
        <v>0.3333333333333333</v>
      </c>
      <c r="R64" s="43"/>
      <c r="S64" s="133">
        <v>0.3333333333333333</v>
      </c>
      <c r="T64" s="133">
        <v>0.3333333333333333</v>
      </c>
      <c r="U64" s="133">
        <v>0.3333333333333333</v>
      </c>
      <c r="V64" s="133">
        <v>0.3333333333333333</v>
      </c>
      <c r="W64" s="40" t="s">
        <v>202</v>
      </c>
      <c r="X64" s="133">
        <v>0.3333333333333333</v>
      </c>
      <c r="Y64" s="43"/>
      <c r="Z64" s="133">
        <v>0.3333333333333333</v>
      </c>
      <c r="AA64" s="133">
        <v>0.3333333333333333</v>
      </c>
      <c r="AB64" s="133">
        <v>0.3333333333333333</v>
      </c>
      <c r="AC64" s="133">
        <v>0.3333333333333333</v>
      </c>
      <c r="AD64" s="40" t="s">
        <v>202</v>
      </c>
      <c r="AE64" s="133">
        <v>0.3333333333333333</v>
      </c>
      <c r="AF64" s="43"/>
      <c r="AG64" s="133">
        <v>0.3333333333333333</v>
      </c>
      <c r="AH64" s="133">
        <v>0.3333333333333333</v>
      </c>
      <c r="AI64" s="133">
        <v>0.3333333333333333</v>
      </c>
      <c r="AJ64" s="133">
        <v>0.3333333333333333</v>
      </c>
      <c r="AK64" s="40" t="s">
        <v>202</v>
      </c>
      <c r="AL64" s="133">
        <v>0.3333333333333333</v>
      </c>
      <c r="AM64" s="84"/>
    </row>
    <row r="65">
      <c r="A65" s="47" t="s">
        <v>37</v>
      </c>
      <c r="B65" s="35" t="str">
        <f t="array" ref="B65">XLOOKUP(A65,Roster!F:F,Roster!A:A,"")</f>
        <v>Mateo Henao</v>
      </c>
      <c r="C65" s="35" t="str">
        <f t="array" ref="C65">XLOOKUP(A65,Roster!F:F,Roster!B:B,"")</f>
        <v>Jhonatan Gomez</v>
      </c>
      <c r="D65" s="43"/>
      <c r="E65" s="96">
        <v>0.3333333333333333</v>
      </c>
      <c r="F65" s="96">
        <v>0.3333333333333333</v>
      </c>
      <c r="G65" s="96">
        <v>0.3333333333333333</v>
      </c>
      <c r="H65" s="132" t="s">
        <v>202</v>
      </c>
      <c r="I65" s="96">
        <v>0.3333333333333333</v>
      </c>
      <c r="J65" s="96">
        <v>0.3333333333333333</v>
      </c>
      <c r="K65" s="42"/>
      <c r="L65" s="96">
        <v>0.3333333333333333</v>
      </c>
      <c r="M65" s="96">
        <v>0.3333333333333333</v>
      </c>
      <c r="N65" s="96">
        <v>0.3333333333333333</v>
      </c>
      <c r="O65" s="132" t="s">
        <v>202</v>
      </c>
      <c r="P65" s="96">
        <v>0.3333333333333333</v>
      </c>
      <c r="Q65" s="96">
        <v>0.3333333333333333</v>
      </c>
      <c r="R65" s="43"/>
      <c r="S65" s="96">
        <v>0.3333333333333333</v>
      </c>
      <c r="T65" s="96">
        <v>0.3333333333333333</v>
      </c>
      <c r="U65" s="96">
        <v>0.3333333333333333</v>
      </c>
      <c r="V65" s="132" t="s">
        <v>202</v>
      </c>
      <c r="W65" s="96">
        <v>0.3333333333333333</v>
      </c>
      <c r="X65" s="96">
        <v>0.3333333333333333</v>
      </c>
      <c r="Y65" s="43"/>
      <c r="Z65" s="96">
        <v>0.3333333333333333</v>
      </c>
      <c r="AA65" s="96">
        <v>0.3333333333333333</v>
      </c>
      <c r="AB65" s="96">
        <v>0.3333333333333333</v>
      </c>
      <c r="AC65" s="132" t="s">
        <v>202</v>
      </c>
      <c r="AD65" s="96">
        <v>0.3333333333333333</v>
      </c>
      <c r="AE65" s="96">
        <v>0.3333333333333333</v>
      </c>
      <c r="AF65" s="43"/>
      <c r="AG65" s="96">
        <v>0.3333333333333333</v>
      </c>
      <c r="AH65" s="96">
        <v>0.3333333333333333</v>
      </c>
      <c r="AI65" s="96">
        <v>0.3333333333333333</v>
      </c>
      <c r="AJ65" s="132" t="s">
        <v>202</v>
      </c>
      <c r="AK65" s="96">
        <v>0.3333333333333333</v>
      </c>
      <c r="AL65" s="96">
        <v>0.3333333333333333</v>
      </c>
      <c r="AM65" s="84"/>
    </row>
    <row r="66">
      <c r="A66" s="47" t="s">
        <v>42</v>
      </c>
      <c r="B66" s="35" t="str">
        <f t="array" ref="B66">XLOOKUP(A66,Roster!F:F,Roster!A:A,"")</f>
        <v>Mateo Henao</v>
      </c>
      <c r="C66" s="35" t="str">
        <f t="array" ref="C66">XLOOKUP(A66,Roster!F:F,Roster!B:B,"")</f>
        <v>Jorge Orozco</v>
      </c>
      <c r="D66" s="43"/>
      <c r="E66" s="133">
        <v>0.3333333333333333</v>
      </c>
      <c r="F66" s="133">
        <v>0.3333333333333333</v>
      </c>
      <c r="G66" s="133">
        <v>0.3333333333333333</v>
      </c>
      <c r="H66" s="40" t="s">
        <v>202</v>
      </c>
      <c r="I66" s="133">
        <v>0.3333333333333333</v>
      </c>
      <c r="J66" s="133">
        <v>0.3333333333333333</v>
      </c>
      <c r="K66" s="42"/>
      <c r="L66" s="133">
        <v>0.3333333333333333</v>
      </c>
      <c r="M66" s="133">
        <v>0.3333333333333333</v>
      </c>
      <c r="N66" s="133">
        <v>0.3333333333333333</v>
      </c>
      <c r="O66" s="40" t="s">
        <v>202</v>
      </c>
      <c r="P66" s="133">
        <v>0.3333333333333333</v>
      </c>
      <c r="Q66" s="133">
        <v>0.3333333333333333</v>
      </c>
      <c r="R66" s="43"/>
      <c r="S66" s="133">
        <v>0.3333333333333333</v>
      </c>
      <c r="T66" s="133">
        <v>0.3333333333333333</v>
      </c>
      <c r="U66" s="133">
        <v>0.3333333333333333</v>
      </c>
      <c r="V66" s="40" t="s">
        <v>202</v>
      </c>
      <c r="W66" s="133">
        <v>0.3333333333333333</v>
      </c>
      <c r="X66" s="133">
        <v>0.3333333333333333</v>
      </c>
      <c r="Y66" s="43"/>
      <c r="Z66" s="133">
        <v>0.3333333333333333</v>
      </c>
      <c r="AA66" s="133">
        <v>0.3333333333333333</v>
      </c>
      <c r="AB66" s="133">
        <v>0.3333333333333333</v>
      </c>
      <c r="AC66" s="40" t="s">
        <v>202</v>
      </c>
      <c r="AD66" s="133">
        <v>0.3333333333333333</v>
      </c>
      <c r="AE66" s="133">
        <v>0.3333333333333333</v>
      </c>
      <c r="AF66" s="43"/>
      <c r="AG66" s="133">
        <v>0.3333333333333333</v>
      </c>
      <c r="AH66" s="133">
        <v>0.3333333333333333</v>
      </c>
      <c r="AI66" s="133">
        <v>0.3333333333333333</v>
      </c>
      <c r="AJ66" s="40" t="s">
        <v>202</v>
      </c>
      <c r="AK66" s="133">
        <v>0.3333333333333333</v>
      </c>
      <c r="AL66" s="133">
        <v>0.3333333333333333</v>
      </c>
      <c r="AM66" s="84"/>
    </row>
    <row r="67">
      <c r="A67" s="47" t="s">
        <v>45</v>
      </c>
      <c r="B67" s="35" t="str">
        <f t="array" ref="B67">XLOOKUP(A67,Roster!F:F,Roster!A:A,"")</f>
        <v>Mateo Henao</v>
      </c>
      <c r="C67" s="35" t="str">
        <f t="array" ref="C67">XLOOKUP(A67,Roster!F:F,Roster!B:B,"")</f>
        <v>Juan Largacha</v>
      </c>
      <c r="D67" s="146" t="s">
        <v>201</v>
      </c>
      <c r="E67" s="101">
        <v>0.3333333333333333</v>
      </c>
      <c r="F67" s="101">
        <v>0.3333333333333333</v>
      </c>
      <c r="G67" s="101">
        <v>0.3333333333333333</v>
      </c>
      <c r="H67" s="101">
        <v>0.3333333333333333</v>
      </c>
      <c r="I67" s="101">
        <v>0.3333333333333333</v>
      </c>
      <c r="J67" s="140" t="s">
        <v>202</v>
      </c>
      <c r="K67" s="42"/>
      <c r="L67" s="101">
        <v>0.3333333333333333</v>
      </c>
      <c r="M67" s="101">
        <v>0.3333333333333333</v>
      </c>
      <c r="N67" s="101">
        <v>0.3333333333333333</v>
      </c>
      <c r="O67" s="101">
        <v>0.3333333333333333</v>
      </c>
      <c r="P67" s="101">
        <v>0.3333333333333333</v>
      </c>
      <c r="Q67" s="140" t="s">
        <v>202</v>
      </c>
      <c r="R67" s="43"/>
      <c r="S67" s="101">
        <v>0.3333333333333333</v>
      </c>
      <c r="T67" s="101">
        <v>0.3333333333333333</v>
      </c>
      <c r="U67" s="101">
        <v>0.3333333333333333</v>
      </c>
      <c r="V67" s="101">
        <v>0.3333333333333333</v>
      </c>
      <c r="W67" s="101">
        <v>0.3333333333333333</v>
      </c>
      <c r="X67" s="140" t="s">
        <v>202</v>
      </c>
      <c r="Y67" s="43"/>
      <c r="Z67" s="101">
        <v>0.3333333333333333</v>
      </c>
      <c r="AA67" s="101">
        <v>0.3333333333333333</v>
      </c>
      <c r="AB67" s="101">
        <v>0.3333333333333333</v>
      </c>
      <c r="AC67" s="101">
        <v>0.3333333333333333</v>
      </c>
      <c r="AD67" s="101">
        <v>0.3333333333333333</v>
      </c>
      <c r="AE67" s="140" t="s">
        <v>202</v>
      </c>
      <c r="AF67" s="43"/>
      <c r="AG67" s="101">
        <v>0.3333333333333333</v>
      </c>
      <c r="AH67" s="101">
        <v>0.3333333333333333</v>
      </c>
      <c r="AI67" s="101">
        <v>0.3333333333333333</v>
      </c>
      <c r="AJ67" s="101">
        <v>0.3333333333333333</v>
      </c>
      <c r="AK67" s="101">
        <v>0.3333333333333333</v>
      </c>
      <c r="AL67" s="140" t="s">
        <v>202</v>
      </c>
      <c r="AM67" s="84"/>
    </row>
    <row r="68">
      <c r="A68" s="47" t="s">
        <v>47</v>
      </c>
      <c r="B68" s="35" t="str">
        <f t="array" ref="B68">XLOOKUP(A68,Roster!F:F,Roster!A:A,"")</f>
        <v>Mateo Henao</v>
      </c>
      <c r="C68" s="35" t="str">
        <f t="array" ref="C68">XLOOKUP(A68,Roster!F:F,Roster!B:B,"")</f>
        <v>Juan Parra</v>
      </c>
      <c r="D68" s="43"/>
      <c r="E68" s="147">
        <v>0.3333333333333333</v>
      </c>
      <c r="F68" s="147">
        <v>0.3333333333333333</v>
      </c>
      <c r="G68" s="147">
        <v>0.3333333333333333</v>
      </c>
      <c r="H68" s="147">
        <v>0.3333333333333333</v>
      </c>
      <c r="I68" s="147">
        <v>0.3333333333333333</v>
      </c>
      <c r="J68" s="40" t="s">
        <v>202</v>
      </c>
      <c r="K68" s="42"/>
      <c r="L68" s="147">
        <v>0.3333333333333333</v>
      </c>
      <c r="M68" s="147">
        <v>0.3333333333333333</v>
      </c>
      <c r="N68" s="147">
        <v>0.3333333333333333</v>
      </c>
      <c r="O68" s="147">
        <v>0.3333333333333333</v>
      </c>
      <c r="P68" s="147">
        <v>0.3333333333333333</v>
      </c>
      <c r="Q68" s="40" t="s">
        <v>202</v>
      </c>
      <c r="R68" s="43"/>
      <c r="S68" s="147">
        <v>0.3333333333333333</v>
      </c>
      <c r="T68" s="147">
        <v>0.3333333333333333</v>
      </c>
      <c r="U68" s="147">
        <v>0.3333333333333333</v>
      </c>
      <c r="V68" s="147">
        <v>0.3333333333333333</v>
      </c>
      <c r="W68" s="147">
        <v>0.3333333333333333</v>
      </c>
      <c r="X68" s="40" t="s">
        <v>202</v>
      </c>
      <c r="Y68" s="43"/>
      <c r="Z68" s="147">
        <v>0.3333333333333333</v>
      </c>
      <c r="AA68" s="147">
        <v>0.3333333333333333</v>
      </c>
      <c r="AB68" s="147">
        <v>0.3333333333333333</v>
      </c>
      <c r="AC68" s="147">
        <v>0.3333333333333333</v>
      </c>
      <c r="AD68" s="147">
        <v>0.3333333333333333</v>
      </c>
      <c r="AE68" s="40" t="s">
        <v>202</v>
      </c>
      <c r="AF68" s="43"/>
      <c r="AG68" s="147">
        <v>0.3333333333333333</v>
      </c>
      <c r="AH68" s="147">
        <v>0.3333333333333333</v>
      </c>
      <c r="AI68" s="147">
        <v>0.3333333333333333</v>
      </c>
      <c r="AJ68" s="147">
        <v>0.3333333333333333</v>
      </c>
      <c r="AK68" s="147">
        <v>0.3333333333333333</v>
      </c>
      <c r="AL68" s="40" t="s">
        <v>202</v>
      </c>
      <c r="AM68" s="84"/>
    </row>
    <row r="69">
      <c r="A69" s="47" t="s">
        <v>49</v>
      </c>
      <c r="B69" s="35" t="str">
        <f t="array" ref="B69">XLOOKUP(A69,Roster!F:F,Roster!A:A,"")</f>
        <v>Mateo Henao</v>
      </c>
      <c r="C69" s="35" t="str">
        <f t="array" ref="C69">XLOOKUP(A69,Roster!F:F,Roster!B:B,"")</f>
        <v>Juan Zapata</v>
      </c>
      <c r="D69" s="43"/>
      <c r="E69" s="133">
        <v>0.3333333333333333</v>
      </c>
      <c r="F69" s="40" t="s">
        <v>202</v>
      </c>
      <c r="G69" s="133">
        <v>0.3333333333333333</v>
      </c>
      <c r="H69" s="133">
        <v>0.3333333333333333</v>
      </c>
      <c r="I69" s="133">
        <v>0.3333333333333333</v>
      </c>
      <c r="J69" s="133">
        <v>0.3333333333333333</v>
      </c>
      <c r="K69" s="42"/>
      <c r="L69" s="133">
        <v>0.3333333333333333</v>
      </c>
      <c r="M69" s="40" t="s">
        <v>202</v>
      </c>
      <c r="N69" s="133">
        <v>0.3333333333333333</v>
      </c>
      <c r="O69" s="133">
        <v>0.3333333333333333</v>
      </c>
      <c r="P69" s="133">
        <v>0.3333333333333333</v>
      </c>
      <c r="Q69" s="133">
        <v>0.3333333333333333</v>
      </c>
      <c r="R69" s="43"/>
      <c r="S69" s="133">
        <v>0.3333333333333333</v>
      </c>
      <c r="T69" s="40" t="s">
        <v>202</v>
      </c>
      <c r="U69" s="133">
        <v>0.3333333333333333</v>
      </c>
      <c r="V69" s="133">
        <v>0.3333333333333333</v>
      </c>
      <c r="W69" s="133">
        <v>0.3333333333333333</v>
      </c>
      <c r="X69" s="133">
        <v>0.3333333333333333</v>
      </c>
      <c r="Y69" s="43"/>
      <c r="Z69" s="133">
        <v>0.3333333333333333</v>
      </c>
      <c r="AA69" s="40" t="s">
        <v>202</v>
      </c>
      <c r="AB69" s="133">
        <v>0.3333333333333333</v>
      </c>
      <c r="AC69" s="133">
        <v>0.3333333333333333</v>
      </c>
      <c r="AD69" s="133">
        <v>0.3333333333333333</v>
      </c>
      <c r="AE69" s="133">
        <v>0.3333333333333333</v>
      </c>
      <c r="AF69" s="43"/>
      <c r="AG69" s="133">
        <v>0.3333333333333333</v>
      </c>
      <c r="AH69" s="40" t="s">
        <v>202</v>
      </c>
      <c r="AI69" s="133">
        <v>0.3333333333333333</v>
      </c>
      <c r="AJ69" s="133">
        <v>0.3333333333333333</v>
      </c>
      <c r="AK69" s="133">
        <v>0.3333333333333333</v>
      </c>
      <c r="AL69" s="133">
        <v>0.3333333333333333</v>
      </c>
      <c r="AM69" s="84"/>
    </row>
    <row r="70">
      <c r="A70" s="47" t="s">
        <v>55</v>
      </c>
      <c r="B70" s="35" t="str">
        <f t="array" ref="B70">XLOOKUP(A70,Roster!F:F,Roster!A:A,"")</f>
        <v>Mateo Henao</v>
      </c>
      <c r="C70" s="35" t="str">
        <f t="array" ref="C70">XLOOKUP(A70,Roster!F:F,Roster!B:B,"")</f>
        <v>Laura Chamorro</v>
      </c>
      <c r="D70" s="43"/>
      <c r="E70" s="42">
        <v>0.3333333333333333</v>
      </c>
      <c r="F70" s="42">
        <v>0.3333333333333333</v>
      </c>
      <c r="G70" s="42">
        <v>0.3333333333333333</v>
      </c>
      <c r="H70" s="42">
        <v>0.3333333333333333</v>
      </c>
      <c r="I70" s="42">
        <v>0.3333333333333333</v>
      </c>
      <c r="J70" s="134" t="s">
        <v>202</v>
      </c>
      <c r="K70" s="42"/>
      <c r="L70" s="42">
        <v>0.3333333333333333</v>
      </c>
      <c r="M70" s="42">
        <v>0.3333333333333333</v>
      </c>
      <c r="N70" s="42">
        <v>0.3333333333333333</v>
      </c>
      <c r="O70" s="42">
        <v>0.3333333333333333</v>
      </c>
      <c r="P70" s="42">
        <v>0.3333333333333333</v>
      </c>
      <c r="Q70" s="134" t="s">
        <v>202</v>
      </c>
      <c r="R70" s="43"/>
      <c r="S70" s="133">
        <v>0.3333333333333333</v>
      </c>
      <c r="T70" s="133">
        <v>0.3333333333333333</v>
      </c>
      <c r="U70" s="40" t="s">
        <v>202</v>
      </c>
      <c r="V70" s="133">
        <v>0.3333333333333333</v>
      </c>
      <c r="W70" s="133">
        <v>0.3333333333333333</v>
      </c>
      <c r="X70" s="133">
        <v>0.3333333333333333</v>
      </c>
      <c r="Y70" s="43"/>
      <c r="Z70" s="42">
        <v>0.3333333333333333</v>
      </c>
      <c r="AA70" s="42">
        <v>0.3333333333333333</v>
      </c>
      <c r="AB70" s="42">
        <v>0.3333333333333333</v>
      </c>
      <c r="AC70" s="42">
        <v>0.3333333333333333</v>
      </c>
      <c r="AD70" s="42">
        <v>0.3333333333333333</v>
      </c>
      <c r="AE70" s="134" t="s">
        <v>202</v>
      </c>
      <c r="AF70" s="43"/>
      <c r="AG70" s="42">
        <v>0.3333333333333333</v>
      </c>
      <c r="AH70" s="42">
        <v>0.3333333333333333</v>
      </c>
      <c r="AI70" s="42">
        <v>0.3333333333333333</v>
      </c>
      <c r="AJ70" s="42">
        <v>0.3333333333333333</v>
      </c>
      <c r="AK70" s="42">
        <v>0.3333333333333333</v>
      </c>
      <c r="AL70" s="134" t="s">
        <v>202</v>
      </c>
      <c r="AM70" s="84"/>
    </row>
    <row r="71">
      <c r="A71" s="47" t="s">
        <v>62</v>
      </c>
      <c r="B71" s="35" t="str">
        <f t="array" ref="B71">XLOOKUP(A71,Roster!F:F,Roster!A:A,"")</f>
        <v>Mateo Henao</v>
      </c>
      <c r="C71" s="35" t="str">
        <f t="array" ref="C71">XLOOKUP(A71,Roster!F:F,Roster!B:B,"")</f>
        <v>Magda Foronda</v>
      </c>
      <c r="D71" s="43"/>
      <c r="E71" s="96">
        <v>0.3333333333333333</v>
      </c>
      <c r="F71" s="96">
        <v>0.3333333333333333</v>
      </c>
      <c r="G71" s="96">
        <v>0.3333333333333333</v>
      </c>
      <c r="H71" s="96">
        <v>0.3333333333333333</v>
      </c>
      <c r="I71" s="96">
        <v>0.3333333333333333</v>
      </c>
      <c r="J71" s="112" t="s">
        <v>202</v>
      </c>
      <c r="K71" s="42"/>
      <c r="L71" s="96">
        <v>0.3333333333333333</v>
      </c>
      <c r="M71" s="96">
        <v>0.3333333333333333</v>
      </c>
      <c r="N71" s="96">
        <v>0.3333333333333333</v>
      </c>
      <c r="O71" s="96">
        <v>0.3333333333333333</v>
      </c>
      <c r="P71" s="96">
        <v>0.3333333333333333</v>
      </c>
      <c r="Q71" s="112" t="s">
        <v>202</v>
      </c>
      <c r="R71" s="43"/>
      <c r="S71" s="96">
        <v>0.3333333333333333</v>
      </c>
      <c r="T71" s="96">
        <v>0.3333333333333333</v>
      </c>
      <c r="U71" s="96">
        <v>0.3333333333333333</v>
      </c>
      <c r="V71" s="96">
        <v>0.3333333333333333</v>
      </c>
      <c r="W71" s="96">
        <v>0.3333333333333333</v>
      </c>
      <c r="X71" s="112" t="s">
        <v>202</v>
      </c>
      <c r="Y71" s="43"/>
      <c r="Z71" s="96">
        <v>0.3333333333333333</v>
      </c>
      <c r="AA71" s="96">
        <v>0.3333333333333333</v>
      </c>
      <c r="AB71" s="96">
        <v>0.3333333333333333</v>
      </c>
      <c r="AC71" s="96">
        <v>0.3333333333333333</v>
      </c>
      <c r="AD71" s="96">
        <v>0.3333333333333333</v>
      </c>
      <c r="AE71" s="112" t="s">
        <v>202</v>
      </c>
      <c r="AF71" s="43"/>
      <c r="AG71" s="96">
        <v>0.3333333333333333</v>
      </c>
      <c r="AH71" s="96">
        <v>0.3333333333333333</v>
      </c>
      <c r="AI71" s="96">
        <v>0.3333333333333333</v>
      </c>
      <c r="AJ71" s="96">
        <v>0.3333333333333333</v>
      </c>
      <c r="AK71" s="96">
        <v>0.3333333333333333</v>
      </c>
      <c r="AL71" s="112" t="s">
        <v>202</v>
      </c>
      <c r="AM71" s="84"/>
    </row>
    <row r="72">
      <c r="A72" s="47" t="s">
        <v>82</v>
      </c>
      <c r="B72" s="35" t="str">
        <f t="array" ref="B72">XLOOKUP(A72,Roster!F:F,Roster!A:A,"")</f>
        <v>Mateo Henao</v>
      </c>
      <c r="C72" s="35" t="str">
        <f t="array" ref="C72">XLOOKUP(A72,Roster!F:F,Roster!B:B,"")</f>
        <v>William Florez</v>
      </c>
      <c r="D72" s="43"/>
      <c r="E72" s="133">
        <v>0.375</v>
      </c>
      <c r="F72" s="133">
        <v>0.375</v>
      </c>
      <c r="G72" s="40" t="s">
        <v>202</v>
      </c>
      <c r="H72" s="133">
        <v>0.375</v>
      </c>
      <c r="I72" s="133">
        <v>0.375</v>
      </c>
      <c r="J72" s="133">
        <v>0.375</v>
      </c>
      <c r="K72" s="42"/>
      <c r="L72" s="133">
        <v>0.375</v>
      </c>
      <c r="M72" s="133">
        <v>0.375</v>
      </c>
      <c r="N72" s="133">
        <v>0.375</v>
      </c>
      <c r="O72" s="133">
        <v>0.375</v>
      </c>
      <c r="P72" s="133">
        <v>0.375</v>
      </c>
      <c r="Q72" s="40" t="s">
        <v>202</v>
      </c>
      <c r="R72" s="43"/>
      <c r="S72" s="133">
        <v>0.375</v>
      </c>
      <c r="T72" s="133">
        <v>0.375</v>
      </c>
      <c r="U72" s="133">
        <v>0.375</v>
      </c>
      <c r="V72" s="133">
        <v>0.375</v>
      </c>
      <c r="W72" s="133">
        <v>0.375</v>
      </c>
      <c r="X72" s="40" t="s">
        <v>202</v>
      </c>
      <c r="Y72" s="43"/>
      <c r="Z72" s="133">
        <v>0.375</v>
      </c>
      <c r="AA72" s="133">
        <v>0.375</v>
      </c>
      <c r="AB72" s="133">
        <v>0.375</v>
      </c>
      <c r="AC72" s="133">
        <v>0.375</v>
      </c>
      <c r="AD72" s="133">
        <v>0.375</v>
      </c>
      <c r="AE72" s="40" t="s">
        <v>202</v>
      </c>
      <c r="AF72" s="43"/>
      <c r="AG72" s="133">
        <v>0.375</v>
      </c>
      <c r="AH72" s="133">
        <v>0.375</v>
      </c>
      <c r="AI72" s="133">
        <v>0.375</v>
      </c>
      <c r="AJ72" s="133">
        <v>0.375</v>
      </c>
      <c r="AK72" s="133">
        <v>0.375</v>
      </c>
      <c r="AL72" s="40" t="s">
        <v>202</v>
      </c>
      <c r="AM72" s="84"/>
    </row>
    <row r="73">
      <c r="A73" s="47" t="s">
        <v>192</v>
      </c>
      <c r="B73" s="35" t="str">
        <f t="array" ref="B73">XLOOKUP(A73,Roster!F:F,Roster!A:A,"")</f>
        <v>Daniel Bustamante</v>
      </c>
      <c r="C73" s="35" t="str">
        <f t="array" ref="C73">XLOOKUP(A73,Roster!F:F,Roster!B:B,"")</f>
        <v>Huberney Durango</v>
      </c>
      <c r="D73" s="43"/>
      <c r="E73" s="96">
        <v>0.3333333333333333</v>
      </c>
      <c r="F73" s="96">
        <v>0.3333333333333333</v>
      </c>
      <c r="G73" s="96">
        <v>0.3333333333333333</v>
      </c>
      <c r="H73" s="96">
        <v>0.3333333333333333</v>
      </c>
      <c r="I73" s="96">
        <v>0.3333333333333333</v>
      </c>
      <c r="J73" s="112" t="s">
        <v>202</v>
      </c>
      <c r="K73" s="42"/>
      <c r="L73" s="96">
        <v>0.3333333333333333</v>
      </c>
      <c r="M73" s="96">
        <v>0.3333333333333333</v>
      </c>
      <c r="N73" s="96">
        <v>0.3333333333333333</v>
      </c>
      <c r="O73" s="96">
        <v>0.3333333333333333</v>
      </c>
      <c r="P73" s="96">
        <v>0.3333333333333333</v>
      </c>
      <c r="Q73" s="112" t="s">
        <v>202</v>
      </c>
      <c r="R73" s="43"/>
      <c r="S73" s="133">
        <v>0.375</v>
      </c>
      <c r="T73" s="133">
        <v>0.375</v>
      </c>
      <c r="U73" s="133">
        <v>0.375</v>
      </c>
      <c r="V73" s="40" t="s">
        <v>202</v>
      </c>
      <c r="W73" s="133">
        <v>0.375</v>
      </c>
      <c r="X73" s="133">
        <v>0.375</v>
      </c>
      <c r="Y73" s="43"/>
      <c r="Z73" s="133">
        <v>0.375</v>
      </c>
      <c r="AA73" s="133">
        <v>0.375</v>
      </c>
      <c r="AB73" s="133">
        <v>0.375</v>
      </c>
      <c r="AC73" s="40" t="s">
        <v>202</v>
      </c>
      <c r="AD73" s="133">
        <v>0.375</v>
      </c>
      <c r="AE73" s="133">
        <v>0.375</v>
      </c>
      <c r="AF73" s="43"/>
      <c r="AG73" s="133"/>
      <c r="AH73" s="133"/>
      <c r="AI73" s="133"/>
      <c r="AJ73" s="133"/>
      <c r="AK73" s="133"/>
      <c r="AL73" s="40"/>
      <c r="AM73" s="84"/>
    </row>
    <row r="74">
      <c r="A74" s="47" t="s">
        <v>193</v>
      </c>
      <c r="B74" s="35" t="str">
        <f t="array" ref="B74">XLOOKUP(A74,Roster!F:F,Roster!A:A,"")</f>
        <v>Daniel Bustamante</v>
      </c>
      <c r="C74" s="35" t="str">
        <f t="array" ref="C74">XLOOKUP(A74,Roster!F:F,Roster!B:B,"")</f>
        <v>Juan Gaitan</v>
      </c>
      <c r="D74" s="43"/>
      <c r="E74" s="96">
        <v>0.3333333333333333</v>
      </c>
      <c r="F74" s="96">
        <v>0.3333333333333333</v>
      </c>
      <c r="G74" s="96">
        <v>0.3333333333333333</v>
      </c>
      <c r="H74" s="96">
        <v>0.3333333333333333</v>
      </c>
      <c r="I74" s="96">
        <v>0.3333333333333333</v>
      </c>
      <c r="J74" s="112" t="s">
        <v>202</v>
      </c>
      <c r="K74" s="42"/>
      <c r="L74" s="96">
        <v>0.3333333333333333</v>
      </c>
      <c r="M74" s="96">
        <v>0.3333333333333333</v>
      </c>
      <c r="N74" s="96">
        <v>0.3333333333333333</v>
      </c>
      <c r="O74" s="96">
        <v>0.3333333333333333</v>
      </c>
      <c r="P74" s="96">
        <v>0.3333333333333333</v>
      </c>
      <c r="Q74" s="112" t="s">
        <v>202</v>
      </c>
      <c r="R74" s="43"/>
      <c r="S74" s="144">
        <v>0.4583333333333333</v>
      </c>
      <c r="T74" s="144">
        <v>0.4583333333333333</v>
      </c>
      <c r="U74" s="40" t="s">
        <v>202</v>
      </c>
      <c r="V74" s="144">
        <v>0.4583333333333333</v>
      </c>
      <c r="W74" s="144">
        <v>0.4583333333333333</v>
      </c>
      <c r="X74" s="144">
        <v>0.4583333333333333</v>
      </c>
      <c r="Y74" s="43"/>
      <c r="Z74" s="144">
        <v>0.4583333333333333</v>
      </c>
      <c r="AA74" s="144">
        <v>0.4583333333333333</v>
      </c>
      <c r="AB74" s="40" t="s">
        <v>202</v>
      </c>
      <c r="AC74" s="144">
        <v>0.4583333333333333</v>
      </c>
      <c r="AD74" s="144">
        <v>0.4583333333333333</v>
      </c>
      <c r="AE74" s="144">
        <v>0.4583333333333333</v>
      </c>
      <c r="AF74" s="43"/>
      <c r="AG74" s="133"/>
      <c r="AH74" s="133"/>
      <c r="AI74" s="133"/>
      <c r="AJ74" s="133"/>
      <c r="AK74" s="133"/>
      <c r="AL74" s="40"/>
      <c r="AM74" s="84"/>
    </row>
    <row r="75">
      <c r="A75" s="47" t="s">
        <v>194</v>
      </c>
      <c r="B75" s="35" t="str">
        <f t="array" ref="B75">XLOOKUP(A75,Roster!F:F,Roster!A:A,"")</f>
        <v>Andra Daza</v>
      </c>
      <c r="C75" s="35" t="str">
        <f t="array" ref="C75">XLOOKUP(A75,Roster!F:F,Roster!B:B,"")</f>
        <v>Juan Jimenez</v>
      </c>
      <c r="D75" s="43"/>
      <c r="E75" s="96">
        <v>0.3333333333333333</v>
      </c>
      <c r="F75" s="96">
        <v>0.3333333333333333</v>
      </c>
      <c r="G75" s="96">
        <v>0.3333333333333333</v>
      </c>
      <c r="H75" s="96">
        <v>0.3333333333333333</v>
      </c>
      <c r="I75" s="96">
        <v>0.3333333333333333</v>
      </c>
      <c r="J75" s="112" t="s">
        <v>202</v>
      </c>
      <c r="K75" s="42"/>
      <c r="L75" s="96">
        <v>0.3333333333333333</v>
      </c>
      <c r="M75" s="96">
        <v>0.3333333333333333</v>
      </c>
      <c r="N75" s="96">
        <v>0.3333333333333333</v>
      </c>
      <c r="O75" s="96">
        <v>0.3333333333333333</v>
      </c>
      <c r="P75" s="96">
        <v>0.3333333333333333</v>
      </c>
      <c r="Q75" s="112" t="s">
        <v>202</v>
      </c>
      <c r="R75" s="43"/>
      <c r="S75" s="144">
        <v>0.4583333333333333</v>
      </c>
      <c r="T75" s="40" t="s">
        <v>202</v>
      </c>
      <c r="U75" s="144">
        <v>0.4583333333333333</v>
      </c>
      <c r="V75" s="144">
        <v>0.4583333333333333</v>
      </c>
      <c r="W75" s="144">
        <v>0.4583333333333333</v>
      </c>
      <c r="X75" s="144">
        <v>0.4583333333333333</v>
      </c>
      <c r="Y75" s="43"/>
      <c r="Z75" s="144">
        <v>0.4583333333333333</v>
      </c>
      <c r="AA75" s="40" t="s">
        <v>202</v>
      </c>
      <c r="AB75" s="144">
        <v>0.4583333333333333</v>
      </c>
      <c r="AC75" s="144">
        <v>0.4583333333333333</v>
      </c>
      <c r="AD75" s="144">
        <v>0.4583333333333333</v>
      </c>
      <c r="AE75" s="144">
        <v>0.4583333333333333</v>
      </c>
      <c r="AF75" s="43"/>
      <c r="AG75" s="133"/>
      <c r="AH75" s="133"/>
      <c r="AI75" s="133"/>
      <c r="AJ75" s="133"/>
      <c r="AK75" s="133"/>
      <c r="AL75" s="40"/>
      <c r="AM75" s="84"/>
    </row>
    <row r="76">
      <c r="A76" s="47" t="s">
        <v>195</v>
      </c>
      <c r="B76" s="35" t="str">
        <f t="array" ref="B76">XLOOKUP(A76,Roster!F:F,Roster!A:A,"")</f>
        <v>Daniel Bustamante</v>
      </c>
      <c r="C76" s="35" t="str">
        <f t="array" ref="C76">XLOOKUP(A76,Roster!F:F,Roster!B:B,"")</f>
        <v>Julian Ocampo</v>
      </c>
      <c r="D76" s="43"/>
      <c r="E76" s="96">
        <v>0.3333333333333333</v>
      </c>
      <c r="F76" s="96">
        <v>0.3333333333333333</v>
      </c>
      <c r="G76" s="96">
        <v>0.3333333333333333</v>
      </c>
      <c r="H76" s="96">
        <v>0.3333333333333333</v>
      </c>
      <c r="I76" s="96">
        <v>0.3333333333333333</v>
      </c>
      <c r="J76" s="112" t="s">
        <v>202</v>
      </c>
      <c r="K76" s="42"/>
      <c r="L76" s="96">
        <v>0.3333333333333333</v>
      </c>
      <c r="M76" s="96">
        <v>0.3333333333333333</v>
      </c>
      <c r="N76" s="96">
        <v>0.3333333333333333</v>
      </c>
      <c r="O76" s="96">
        <v>0.3333333333333333</v>
      </c>
      <c r="P76" s="96">
        <v>0.3333333333333333</v>
      </c>
      <c r="Q76" s="112" t="s">
        <v>202</v>
      </c>
      <c r="R76" s="43"/>
      <c r="S76" s="96">
        <v>0.3333333333333333</v>
      </c>
      <c r="T76" s="96">
        <v>0.3333333333333333</v>
      </c>
      <c r="U76" s="40" t="s">
        <v>202</v>
      </c>
      <c r="V76" s="96">
        <v>0.3333333333333333</v>
      </c>
      <c r="W76" s="96">
        <v>0.3333333333333333</v>
      </c>
      <c r="X76" s="96">
        <v>0.3333333333333333</v>
      </c>
      <c r="Y76" s="43"/>
      <c r="Z76" s="96">
        <v>0.3333333333333333</v>
      </c>
      <c r="AA76" s="96">
        <v>0.3333333333333333</v>
      </c>
      <c r="AB76" s="40" t="s">
        <v>202</v>
      </c>
      <c r="AC76" s="96">
        <v>0.3333333333333333</v>
      </c>
      <c r="AD76" s="96">
        <v>0.3333333333333333</v>
      </c>
      <c r="AE76" s="96">
        <v>0.3333333333333333</v>
      </c>
      <c r="AF76" s="43"/>
      <c r="AG76" s="133"/>
      <c r="AH76" s="133"/>
      <c r="AI76" s="133"/>
      <c r="AJ76" s="133"/>
      <c r="AK76" s="133"/>
      <c r="AL76" s="40"/>
      <c r="AM76" s="84"/>
    </row>
    <row r="77">
      <c r="A77" s="47" t="s">
        <v>196</v>
      </c>
      <c r="B77" s="35" t="str">
        <f t="array" ref="B77">XLOOKUP(A77,Roster!F:F,Roster!A:A,"")</f>
        <v>Andra Daza</v>
      </c>
      <c r="C77" s="35" t="str">
        <f t="array" ref="C77">XLOOKUP(A77,Roster!F:F,Roster!B:B,"")</f>
        <v>Luis Espinosa</v>
      </c>
      <c r="D77" s="43"/>
      <c r="E77" s="96">
        <v>0.3333333333333333</v>
      </c>
      <c r="F77" s="96">
        <v>0.3333333333333333</v>
      </c>
      <c r="G77" s="96">
        <v>0.3333333333333333</v>
      </c>
      <c r="H77" s="96">
        <v>0.3333333333333333</v>
      </c>
      <c r="I77" s="96">
        <v>0.3333333333333333</v>
      </c>
      <c r="J77" s="112" t="s">
        <v>202</v>
      </c>
      <c r="K77" s="42"/>
      <c r="L77" s="96">
        <v>0.3333333333333333</v>
      </c>
      <c r="M77" s="96">
        <v>0.3333333333333333</v>
      </c>
      <c r="N77" s="96">
        <v>0.3333333333333333</v>
      </c>
      <c r="O77" s="96">
        <v>0.3333333333333333</v>
      </c>
      <c r="P77" s="96">
        <v>0.3333333333333333</v>
      </c>
      <c r="Q77" s="112" t="s">
        <v>202</v>
      </c>
      <c r="R77" s="43"/>
      <c r="S77" s="96">
        <v>0.3333333333333333</v>
      </c>
      <c r="T77" s="96">
        <v>0.3333333333333333</v>
      </c>
      <c r="U77" s="96">
        <v>0.3333333333333333</v>
      </c>
      <c r="V77" s="40" t="s">
        <v>202</v>
      </c>
      <c r="W77" s="96">
        <v>0.3333333333333333</v>
      </c>
      <c r="X77" s="96">
        <v>0.3333333333333333</v>
      </c>
      <c r="Y77" s="43"/>
      <c r="Z77" s="96">
        <v>0.3333333333333333</v>
      </c>
      <c r="AA77" s="96">
        <v>0.3333333333333333</v>
      </c>
      <c r="AB77" s="96">
        <v>0.3333333333333333</v>
      </c>
      <c r="AC77" s="40" t="s">
        <v>202</v>
      </c>
      <c r="AD77" s="96">
        <v>0.3333333333333333</v>
      </c>
      <c r="AE77" s="96">
        <v>0.3333333333333333</v>
      </c>
      <c r="AF77" s="43"/>
      <c r="AG77" s="133"/>
      <c r="AH77" s="133"/>
      <c r="AI77" s="133"/>
      <c r="AJ77" s="133"/>
      <c r="AK77" s="133"/>
      <c r="AL77" s="40"/>
      <c r="AM77" s="84"/>
    </row>
    <row r="78">
      <c r="A78" s="47" t="s">
        <v>197</v>
      </c>
      <c r="B78" s="35" t="str">
        <f t="array" ref="B78">XLOOKUP(A78,Roster!F:F,Roster!A:A,"")</f>
        <v>Daniel Bustamante</v>
      </c>
      <c r="C78" s="35" t="str">
        <f t="array" ref="C78">XLOOKUP(A78,Roster!F:F,Roster!B:B,"")</f>
        <v>Miguel Ruiz</v>
      </c>
      <c r="D78" s="43"/>
      <c r="E78" s="96">
        <v>0.3333333333333333</v>
      </c>
      <c r="F78" s="96">
        <v>0.3333333333333333</v>
      </c>
      <c r="G78" s="96">
        <v>0.3333333333333333</v>
      </c>
      <c r="H78" s="96">
        <v>0.3333333333333333</v>
      </c>
      <c r="I78" s="96">
        <v>0.3333333333333333</v>
      </c>
      <c r="J78" s="112" t="s">
        <v>202</v>
      </c>
      <c r="K78" s="42"/>
      <c r="L78" s="96">
        <v>0.3333333333333333</v>
      </c>
      <c r="M78" s="96">
        <v>0.3333333333333333</v>
      </c>
      <c r="N78" s="96">
        <v>0.3333333333333333</v>
      </c>
      <c r="O78" s="96">
        <v>0.3333333333333333</v>
      </c>
      <c r="P78" s="96">
        <v>0.3333333333333333</v>
      </c>
      <c r="Q78" s="112" t="s">
        <v>202</v>
      </c>
      <c r="R78" s="43"/>
      <c r="S78" s="144">
        <v>0.4583333333333333</v>
      </c>
      <c r="T78" s="144">
        <v>0.4583333333333333</v>
      </c>
      <c r="U78" s="144">
        <v>0.4583333333333333</v>
      </c>
      <c r="V78" s="144">
        <v>0.4583333333333333</v>
      </c>
      <c r="W78" s="40" t="s">
        <v>202</v>
      </c>
      <c r="X78" s="144">
        <v>0.4583333333333333</v>
      </c>
      <c r="Y78" s="43"/>
      <c r="Z78" s="144">
        <v>0.4583333333333333</v>
      </c>
      <c r="AA78" s="144">
        <v>0.4583333333333333</v>
      </c>
      <c r="AB78" s="144">
        <v>0.4583333333333333</v>
      </c>
      <c r="AC78" s="144">
        <v>0.4583333333333333</v>
      </c>
      <c r="AD78" s="40" t="s">
        <v>202</v>
      </c>
      <c r="AE78" s="144">
        <v>0.4583333333333333</v>
      </c>
      <c r="AF78" s="43"/>
      <c r="AG78" s="133"/>
      <c r="AH78" s="133"/>
      <c r="AI78" s="133"/>
      <c r="AJ78" s="133"/>
      <c r="AK78" s="133"/>
      <c r="AL78" s="40"/>
      <c r="AM78" s="84"/>
    </row>
    <row r="79">
      <c r="A79" s="47" t="s">
        <v>198</v>
      </c>
      <c r="B79" s="35" t="str">
        <f t="array" ref="B79">XLOOKUP(A79,Roster!F:F,Roster!A:A,"")</f>
        <v>Martin Salazar</v>
      </c>
      <c r="C79" s="35" t="str">
        <f t="array" ref="C79">XLOOKUP(A79,Roster!F:F,Roster!B:B,"")</f>
        <v>Miguel Tabares</v>
      </c>
      <c r="D79" s="43"/>
      <c r="E79" s="96">
        <v>0.3333333333333333</v>
      </c>
      <c r="F79" s="96">
        <v>0.3333333333333333</v>
      </c>
      <c r="G79" s="96">
        <v>0.3333333333333333</v>
      </c>
      <c r="H79" s="96">
        <v>0.3333333333333333</v>
      </c>
      <c r="I79" s="96">
        <v>0.3333333333333333</v>
      </c>
      <c r="J79" s="112" t="s">
        <v>202</v>
      </c>
      <c r="K79" s="42"/>
      <c r="L79" s="96">
        <v>0.3333333333333333</v>
      </c>
      <c r="M79" s="96">
        <v>0.3333333333333333</v>
      </c>
      <c r="N79" s="96">
        <v>0.3333333333333333</v>
      </c>
      <c r="O79" s="96">
        <v>0.3333333333333333</v>
      </c>
      <c r="P79" s="96">
        <v>0.3333333333333333</v>
      </c>
      <c r="Q79" s="112" t="s">
        <v>202</v>
      </c>
      <c r="R79" s="43"/>
      <c r="S79" s="96">
        <v>0.3333333333333333</v>
      </c>
      <c r="T79" s="96">
        <v>0.3333333333333333</v>
      </c>
      <c r="U79" s="96">
        <v>0.3333333333333333</v>
      </c>
      <c r="V79" s="96">
        <v>0.3333333333333333</v>
      </c>
      <c r="W79" s="96">
        <v>0.3333333333333333</v>
      </c>
      <c r="X79" s="40" t="s">
        <v>202</v>
      </c>
      <c r="Y79" s="43"/>
      <c r="Z79" s="96">
        <v>0.3333333333333333</v>
      </c>
      <c r="AA79" s="96">
        <v>0.3333333333333333</v>
      </c>
      <c r="AB79" s="96">
        <v>0.3333333333333333</v>
      </c>
      <c r="AC79" s="96">
        <v>0.3333333333333333</v>
      </c>
      <c r="AD79" s="96">
        <v>0.3333333333333333</v>
      </c>
      <c r="AE79" s="40" t="s">
        <v>202</v>
      </c>
      <c r="AF79" s="43"/>
      <c r="AG79" s="133"/>
      <c r="AH79" s="133"/>
      <c r="AI79" s="133"/>
      <c r="AJ79" s="133"/>
      <c r="AK79" s="133"/>
      <c r="AL79" s="40"/>
      <c r="AM79" s="84"/>
    </row>
    <row r="80">
      <c r="A80" s="47" t="s">
        <v>199</v>
      </c>
      <c r="B80" s="35" t="str">
        <f t="array" ref="B80">XLOOKUP(A80,Roster!F:F,Roster!A:A,"")</f>
        <v>Mateo Henao</v>
      </c>
      <c r="C80" s="35" t="str">
        <f t="array" ref="C80">XLOOKUP(A80,Roster!F:F,Roster!B:B,"")</f>
        <v>Shierlys Santamaria</v>
      </c>
      <c r="D80" s="43"/>
      <c r="E80" s="96">
        <v>0.3333333333333333</v>
      </c>
      <c r="F80" s="96">
        <v>0.3333333333333333</v>
      </c>
      <c r="G80" s="96">
        <v>0.3333333333333333</v>
      </c>
      <c r="H80" s="96">
        <v>0.3333333333333333</v>
      </c>
      <c r="I80" s="96">
        <v>0.3333333333333333</v>
      </c>
      <c r="J80" s="112" t="s">
        <v>202</v>
      </c>
      <c r="K80" s="42"/>
      <c r="L80" s="96">
        <v>0.3333333333333333</v>
      </c>
      <c r="M80" s="96">
        <v>0.3333333333333333</v>
      </c>
      <c r="N80" s="96">
        <v>0.3333333333333333</v>
      </c>
      <c r="O80" s="96">
        <v>0.3333333333333333</v>
      </c>
      <c r="P80" s="96">
        <v>0.3333333333333333</v>
      </c>
      <c r="Q80" s="112" t="s">
        <v>202</v>
      </c>
      <c r="R80" s="43"/>
      <c r="S80" s="96">
        <v>0.3333333333333333</v>
      </c>
      <c r="T80" s="96">
        <v>0.3333333333333333</v>
      </c>
      <c r="U80" s="96">
        <v>0.3333333333333333</v>
      </c>
      <c r="V80" s="96">
        <v>0.3333333333333333</v>
      </c>
      <c r="W80" s="96">
        <v>0.3333333333333333</v>
      </c>
      <c r="X80" s="40" t="s">
        <v>202</v>
      </c>
      <c r="Y80" s="43"/>
      <c r="Z80" s="96">
        <v>0.3333333333333333</v>
      </c>
      <c r="AA80" s="96">
        <v>0.3333333333333333</v>
      </c>
      <c r="AB80" s="96">
        <v>0.3333333333333333</v>
      </c>
      <c r="AC80" s="96">
        <v>0.3333333333333333</v>
      </c>
      <c r="AD80" s="96">
        <v>0.3333333333333333</v>
      </c>
      <c r="AE80" s="40" t="s">
        <v>202</v>
      </c>
      <c r="AF80" s="43"/>
      <c r="AG80" s="133"/>
      <c r="AH80" s="133"/>
      <c r="AI80" s="133"/>
      <c r="AJ80" s="133"/>
      <c r="AK80" s="133"/>
      <c r="AL80" s="40"/>
      <c r="AM80" s="84"/>
    </row>
    <row r="81" ht="15.75" customHeight="1">
      <c r="A81" s="148"/>
      <c r="B81" s="60"/>
      <c r="C81" s="149" t="s">
        <v>204</v>
      </c>
      <c r="D81" s="43"/>
      <c r="E81" s="72">
        <f t="array" ref="E81">SUM(COUNTIF(E4:E72,{"5:00","5:30","6:00","6:30","7:00","7:30","8:00","8:30","9:00","9:30","10:00"}))</f>
        <v>54</v>
      </c>
      <c r="F81" s="72">
        <f t="array" ref="F81">SUM(COUNTIF(F4:F72,{"5:00","5:30","6:00","6:30","7:00","7:30","8:00","8:30","9:00","9:30","10:00"}))</f>
        <v>50</v>
      </c>
      <c r="G81" s="72">
        <f t="array" ref="G81">SUM(COUNTIF(G4:G72,{"5:00","5:30","6:00","6:30","7:00","7:30","8:00","8:30","9:00","9:30","10:00"}))</f>
        <v>47</v>
      </c>
      <c r="H81" s="72">
        <f t="array" ref="H81">SUM(COUNTIF(H4:H72,{"5:00","5:30","6:00","6:30","7:00","7:30","8:00","8:30","9:00","9:30","10:00"}))</f>
        <v>49</v>
      </c>
      <c r="I81" s="72">
        <f t="array" ref="I81">SUM(COUNTIF(I4:I72,{"5:00","5:30","6:00","6:30","7:00","7:30","8:00","8:30","9:00","9:30","10:00"}))</f>
        <v>49</v>
      </c>
      <c r="J81" s="72">
        <f t="array" ref="J81">SUM(COUNTIF(J4:J72,{"5:00","5:30","6:00","6:30","7:00","7:30","8:00","8:30","9:00","9:30","10:00"}))</f>
        <v>24</v>
      </c>
      <c r="K81" s="42"/>
      <c r="L81" s="72">
        <f t="array" ref="L81">SUM(COUNTIF(L4:L72,{"5:00","5:30","6:00","6:30","7:00","7:30","8:00","8:30","9:00","9:30","10:00"}))</f>
        <v>55</v>
      </c>
      <c r="M81" s="72">
        <f t="array" ref="M81">SUM(COUNTIF(M4:M72,{"5:00","5:30","6:00","6:30","7:00","7:30","8:00","8:30","9:00","9:30","10:00"}))</f>
        <v>53</v>
      </c>
      <c r="N81" s="72">
        <f t="array" ref="N81">SUM(COUNTIF(N4:N72,{"5:00","5:30","6:00","6:30","7:00","7:30","8:00","8:30","9:00","9:30","10:00"}))</f>
        <v>49</v>
      </c>
      <c r="O81" s="72">
        <f t="array" ref="O81">SUM(COUNTIF(O4:O72,{"5:00","5:30","6:00","6:30","7:00","7:30","8:00","8:30","9:00","9:30","10:00"}))</f>
        <v>51</v>
      </c>
      <c r="P81" s="72">
        <f t="array" ref="P81">SUM(COUNTIF(P4:P72,{"5:00","5:30","6:00","6:30","7:00","7:30","8:00","8:30","9:00","9:30","10:00"}))</f>
        <v>50</v>
      </c>
      <c r="Q81" s="72">
        <f t="array" ref="Q81">SUM(COUNTIF(Q4:Q72,{"5:00","5:30","6:00","6:30","7:00","7:30","8:00","8:30","9:00","9:30","10:00"}))</f>
        <v>20</v>
      </c>
      <c r="R81" s="43"/>
      <c r="S81" s="72">
        <f t="array" ref="S81">SUM(COUNTIF(S4:S72,{"5:00","5:30","6:00","6:30","7:00","7:30","8:00","8:30","9:00","9:30","10:00"}))</f>
        <v>55</v>
      </c>
      <c r="T81" s="72">
        <f t="array" ref="T81">SUM(COUNTIF(T4:T72,{"5:00","5:30","6:00","6:30","7:00","7:30","8:00","8:30","9:00","9:30","10:00"}))</f>
        <v>52</v>
      </c>
      <c r="U81" s="72">
        <f t="array" ref="U81">SUM(COUNTIF(U4:U72,{"5:00","5:30","6:00","6:30","7:00","7:30","8:00","8:30","9:00","9:30","10:00"}))</f>
        <v>48</v>
      </c>
      <c r="V81" s="72">
        <f t="array" ref="V81">SUM(COUNTIF(V4:V72,{"5:00","5:30","6:00","6:30","7:00","7:30","8:00","8:30","9:00","9:30","10:00"}))</f>
        <v>51</v>
      </c>
      <c r="W81" s="72">
        <f t="array" ref="W81">SUM(COUNTIF(W4:W72,{"5:00","5:30","6:00","6:30","7:00","7:30","8:00","8:30","9:00","9:30","10:00"}))</f>
        <v>50</v>
      </c>
      <c r="X81" s="72">
        <f t="array" ref="X81">SUM(COUNTIF(X4:X72,{"5:00","5:30","6:00","6:30","7:00","7:30","8:00","8:30","9:00","9:30","10:00"}))</f>
        <v>22</v>
      </c>
      <c r="Y81" s="43"/>
      <c r="Z81" s="72">
        <f t="array" ref="Z81">SUM(COUNTIF(Z4:Z72,{"5:00","5:30","6:00","6:30","7:00","7:30","8:00","8:30","9:00","9:30","10:00"}))</f>
        <v>55</v>
      </c>
      <c r="AA81" s="72">
        <f t="array" ref="AA81">SUM(COUNTIF(AA4:AA72,{"5:00","5:30","6:00","6:30","7:00","7:30","8:00","8:30","9:00","9:30","10:00"}))</f>
        <v>53</v>
      </c>
      <c r="AB81" s="72">
        <f t="array" ref="AB81">SUM(COUNTIF(AB4:AB72,{"5:00","5:30","6:00","6:30","7:00","7:30","8:00","8:30","9:00","9:30","10:00"}))</f>
        <v>49</v>
      </c>
      <c r="AC81" s="72">
        <f t="array" ref="AC81">SUM(COUNTIF(AC4:AC72,{"5:00","5:30","6:00","6:30","7:00","7:30","8:00","8:30","9:00","9:30","10:00"}))</f>
        <v>51</v>
      </c>
      <c r="AD81" s="72">
        <f t="array" ref="AD81">SUM(COUNTIF(AD4:AD72,{"5:00","5:30","6:00","6:30","7:00","7:30","8:00","8:30","9:00","9:30","10:00"}))</f>
        <v>50</v>
      </c>
      <c r="AE81" s="72">
        <f t="array" ref="AE81">SUM(COUNTIF(AE4:AE72,{"5:00","5:30","6:00","6:30","7:00","7:30","8:00","8:30","9:00","9:30","10:00"}))</f>
        <v>20</v>
      </c>
      <c r="AF81" s="43"/>
      <c r="AG81" s="72">
        <f t="array" ref="AG81">SUM(COUNTIF(AG4:AG72,{"5:00","5:30","6:00","6:30","7:00","7:30","8:00","8:30","9:00","9:30","10:00"}))</f>
        <v>55</v>
      </c>
      <c r="AH81" s="72">
        <f t="array" ref="AH81">SUM(COUNTIF(AH4:AH72,{"5:00","5:30","6:00","6:30","7:00","7:30","8:00","8:30","9:00","9:30","10:00"}))</f>
        <v>53</v>
      </c>
      <c r="AI81" s="72">
        <f t="array" ref="AI81">SUM(COUNTIF(AI4:AI72,{"5:00","5:30","6:00","6:30","7:00","7:30","8:00","8:30","9:00","9:30","10:00"}))</f>
        <v>49</v>
      </c>
      <c r="AJ81" s="72">
        <f t="array" ref="AJ81">SUM(COUNTIF(AJ4:AJ72,{"5:00","5:30","6:00","6:30","7:00","7:30","8:00","8:30","9:00","9:30","10:00"}))</f>
        <v>51</v>
      </c>
      <c r="AK81" s="72">
        <f t="array" ref="AK81">SUM(COUNTIF(AK4:AK72,{"5:00","5:30","6:00","6:30","7:00","7:30","8:00","8:30","9:00","9:30","10:00"}))</f>
        <v>50</v>
      </c>
      <c r="AL81" s="72">
        <f t="array" ref="AL81">SUM(COUNTIF(AL4:AL72,{"5:00","5:30","6:00","6:30","7:00","7:30","8:00","8:30","9:00","9:30","10:00"}))</f>
        <v>20</v>
      </c>
      <c r="AM81" s="84"/>
    </row>
    <row r="82" ht="15.75" customHeight="1">
      <c r="A82" s="148"/>
      <c r="B82" s="60"/>
      <c r="C82" s="150" t="s">
        <v>205</v>
      </c>
      <c r="D82" s="43"/>
      <c r="E82" s="74">
        <f t="array" ref="E82">SUM(COUNTIF(E4:E72,{"11:00";"12:00";"13:00"}))</f>
        <v>14</v>
      </c>
      <c r="F82" s="74">
        <f t="array" ref="F82">SUM(COUNTIF(F4:F72,{"11:00";"12:00";"13:00"}))</f>
        <v>12</v>
      </c>
      <c r="G82" s="74">
        <f t="array" ref="G82">SUM(COUNTIF(G4:G72,{"11:00";"12:00";"13:00"}))</f>
        <v>12</v>
      </c>
      <c r="H82" s="74">
        <f t="array" ref="H82">SUM(COUNTIF(H4:H72,{"11:00";"12:00";"13:00"}))</f>
        <v>11</v>
      </c>
      <c r="I82" s="74">
        <f t="array" ref="I82">SUM(COUNTIF(I4:I72,{"11:00";"12:00";"13:00"}))</f>
        <v>13</v>
      </c>
      <c r="J82" s="74">
        <f t="array" ref="J82">SUM(COUNTIF(J4:J72,{"11:00";"12:00";"13:00"}))</f>
        <v>9</v>
      </c>
      <c r="K82" s="42"/>
      <c r="L82" s="74">
        <f t="array" ref="L82">SUM(COUNTIF(L4:L72,{"11:00";"12:00";"13:00"}))</f>
        <v>13</v>
      </c>
      <c r="M82" s="74">
        <f t="array" ref="M82">SUM(COUNTIF(M4:M72,{"11:00";"12:00";"13:00"}))</f>
        <v>11</v>
      </c>
      <c r="N82" s="74">
        <f t="array" ref="N82">SUM(COUNTIF(N4:N72,{"11:00";"12:00";"13:00"}))</f>
        <v>11</v>
      </c>
      <c r="O82" s="74">
        <f t="array" ref="O82">SUM(COUNTIF(O4:O72,{"11:00";"12:00";"13:00"}))</f>
        <v>10</v>
      </c>
      <c r="P82" s="74">
        <f t="array" ref="P82">SUM(COUNTIF(P4:P72,{"11:00";"12:00";"13:00"}))</f>
        <v>12</v>
      </c>
      <c r="Q82" s="74">
        <f t="array" ref="Q82">SUM(COUNTIF(Q4:Q72,{"11:00";"12:00";"13:00"}))</f>
        <v>9</v>
      </c>
      <c r="R82" s="43"/>
      <c r="S82" s="74">
        <f t="array" ref="S82">SUM(COUNTIF(S4:S72,{"11:00";"12:00";"13:00"}))</f>
        <v>13</v>
      </c>
      <c r="T82" s="74">
        <f t="array" ref="T82">SUM(COUNTIF(T4:T72,{"11:00";"12:00";"13:00"}))</f>
        <v>11</v>
      </c>
      <c r="U82" s="74">
        <f t="array" ref="U82">SUM(COUNTIF(U4:U72,{"11:00";"12:00";"13:00"}))</f>
        <v>11</v>
      </c>
      <c r="V82" s="74">
        <f t="array" ref="V82">SUM(COUNTIF(V4:V72,{"11:00";"12:00";"13:00"}))</f>
        <v>10</v>
      </c>
      <c r="W82" s="74">
        <f t="array" ref="W82">SUM(COUNTIF(W4:W72,{"11:00";"12:00";"13:00"}))</f>
        <v>12</v>
      </c>
      <c r="X82" s="74">
        <f t="array" ref="X82">SUM(COUNTIF(X4:X72,{"11:00";"12:00";"13:00"}))</f>
        <v>9</v>
      </c>
      <c r="Y82" s="43"/>
      <c r="Z82" s="74">
        <f t="array" ref="Z82">SUM(COUNTIF(Z4:Z72,{"11:00";"12:00";"13:00"}))</f>
        <v>13</v>
      </c>
      <c r="AA82" s="74">
        <f t="array" ref="AA82">SUM(COUNTIF(AA4:AA72,{"11:00";"12:00";"13:00"}))</f>
        <v>11</v>
      </c>
      <c r="AB82" s="74">
        <f t="array" ref="AB82">SUM(COUNTIF(AB4:AB72,{"11:00";"12:00";"13:00"}))</f>
        <v>11</v>
      </c>
      <c r="AC82" s="74">
        <f t="array" ref="AC82">SUM(COUNTIF(AC4:AC72,{"11:00";"12:00";"13:00"}))</f>
        <v>10</v>
      </c>
      <c r="AD82" s="74">
        <f t="array" ref="AD82">SUM(COUNTIF(AD4:AD72,{"11:00";"12:00";"13:00"}))</f>
        <v>12</v>
      </c>
      <c r="AE82" s="74">
        <f t="array" ref="AE82">SUM(COUNTIF(AE4:AE72,{"11:00";"12:00";"13:00"}))</f>
        <v>9</v>
      </c>
      <c r="AF82" s="43"/>
      <c r="AG82" s="74">
        <f t="array" ref="AG82">SUM(COUNTIF(AG4:AG72,{"11:00";"12:00";"13:00"}))</f>
        <v>13</v>
      </c>
      <c r="AH82" s="74">
        <f t="array" ref="AH82">SUM(COUNTIF(AH4:AH72,{"11:00";"12:00";"13:00"}))</f>
        <v>11</v>
      </c>
      <c r="AI82" s="74">
        <f t="array" ref="AI82">SUM(COUNTIF(AI4:AI72,{"11:00";"12:00";"13:00"}))</f>
        <v>11</v>
      </c>
      <c r="AJ82" s="74">
        <f t="array" ref="AJ82">SUM(COUNTIF(AJ4:AJ72,{"11:00";"12:00";"13:00"}))</f>
        <v>10</v>
      </c>
      <c r="AK82" s="74">
        <f t="array" ref="AK82">SUM(COUNTIF(AK4:AK72,{"11:00";"12:00";"13:00"}))</f>
        <v>12</v>
      </c>
      <c r="AL82" s="74">
        <f t="array" ref="AL82">SUM(COUNTIF(AL4:AL72,{"11:00";"12:00";"13:00"}))</f>
        <v>9</v>
      </c>
      <c r="AM82" s="84"/>
    </row>
    <row r="83" ht="15.75" customHeight="1">
      <c r="A83" s="148"/>
      <c r="B83" s="60"/>
      <c r="C83" s="60" t="s">
        <v>190</v>
      </c>
      <c r="D83" s="43"/>
      <c r="E83" s="75">
        <f t="shared" ref="E83:J83" si="2">SUM(E81:E82)</f>
        <v>68</v>
      </c>
      <c r="F83" s="75">
        <f t="shared" si="2"/>
        <v>62</v>
      </c>
      <c r="G83" s="75">
        <f t="shared" si="2"/>
        <v>59</v>
      </c>
      <c r="H83" s="75">
        <f t="shared" si="2"/>
        <v>60</v>
      </c>
      <c r="I83" s="75">
        <f t="shared" si="2"/>
        <v>62</v>
      </c>
      <c r="J83" s="75">
        <f t="shared" si="2"/>
        <v>33</v>
      </c>
      <c r="K83" s="42"/>
      <c r="L83" s="75">
        <f t="shared" ref="L83:Q83" si="3">SUM(L81:L82)</f>
        <v>68</v>
      </c>
      <c r="M83" s="75">
        <f t="shared" si="3"/>
        <v>64</v>
      </c>
      <c r="N83" s="75">
        <f t="shared" si="3"/>
        <v>60</v>
      </c>
      <c r="O83" s="75">
        <f t="shared" si="3"/>
        <v>61</v>
      </c>
      <c r="P83" s="75">
        <f t="shared" si="3"/>
        <v>62</v>
      </c>
      <c r="Q83" s="75">
        <f t="shared" si="3"/>
        <v>29</v>
      </c>
      <c r="R83" s="43"/>
      <c r="S83" s="75">
        <f t="shared" ref="S83:X83" si="4">SUM(S81:S82)</f>
        <v>68</v>
      </c>
      <c r="T83" s="75">
        <f t="shared" si="4"/>
        <v>63</v>
      </c>
      <c r="U83" s="75">
        <f t="shared" si="4"/>
        <v>59</v>
      </c>
      <c r="V83" s="75">
        <f t="shared" si="4"/>
        <v>61</v>
      </c>
      <c r="W83" s="75">
        <f t="shared" si="4"/>
        <v>62</v>
      </c>
      <c r="X83" s="75">
        <f t="shared" si="4"/>
        <v>31</v>
      </c>
      <c r="Y83" s="43"/>
      <c r="Z83" s="75">
        <f t="shared" ref="Z83:AE83" si="5">SUM(Z81:Z82)</f>
        <v>68</v>
      </c>
      <c r="AA83" s="75">
        <f t="shared" si="5"/>
        <v>64</v>
      </c>
      <c r="AB83" s="75">
        <f t="shared" si="5"/>
        <v>60</v>
      </c>
      <c r="AC83" s="75">
        <f t="shared" si="5"/>
        <v>61</v>
      </c>
      <c r="AD83" s="75">
        <f t="shared" si="5"/>
        <v>62</v>
      </c>
      <c r="AE83" s="75">
        <f t="shared" si="5"/>
        <v>29</v>
      </c>
      <c r="AF83" s="43"/>
      <c r="AG83" s="75">
        <f t="shared" ref="AG83:AL83" si="6">SUM(AG81:AG82)</f>
        <v>68</v>
      </c>
      <c r="AH83" s="75">
        <f t="shared" si="6"/>
        <v>64</v>
      </c>
      <c r="AI83" s="75">
        <f t="shared" si="6"/>
        <v>60</v>
      </c>
      <c r="AJ83" s="75">
        <f t="shared" si="6"/>
        <v>61</v>
      </c>
      <c r="AK83" s="75">
        <f t="shared" si="6"/>
        <v>62</v>
      </c>
      <c r="AL83" s="75">
        <f t="shared" si="6"/>
        <v>29</v>
      </c>
      <c r="AM83" s="84"/>
    </row>
    <row r="84" ht="15.75" customHeight="1">
      <c r="A84" s="59"/>
      <c r="B84" s="60"/>
      <c r="C84" s="60" t="s">
        <v>191</v>
      </c>
      <c r="D84" s="43" t="str">
        <f t="array" ref="D84">XLOOKUP(A84,Roster!F:F,Roster!I:I,"",0)</f>
        <v/>
      </c>
      <c r="E84" s="59">
        <f t="shared" ref="E84:J84" si="7">COUNTIF(E4:E72,"Free")</f>
        <v>1</v>
      </c>
      <c r="F84" s="59">
        <f t="shared" si="7"/>
        <v>6</v>
      </c>
      <c r="G84" s="59">
        <f t="shared" si="7"/>
        <v>10</v>
      </c>
      <c r="H84" s="59">
        <f t="shared" si="7"/>
        <v>9</v>
      </c>
      <c r="I84" s="59">
        <f t="shared" si="7"/>
        <v>7</v>
      </c>
      <c r="J84" s="59">
        <f t="shared" si="7"/>
        <v>36</v>
      </c>
      <c r="K84" s="42"/>
      <c r="L84" s="59">
        <f t="shared" ref="L84:P84" si="8">COUNTIF(L4:L20,"Free")</f>
        <v>0</v>
      </c>
      <c r="M84" s="59">
        <f t="shared" si="8"/>
        <v>0</v>
      </c>
      <c r="N84" s="59">
        <f t="shared" si="8"/>
        <v>3</v>
      </c>
      <c r="O84" s="59">
        <f t="shared" si="8"/>
        <v>2</v>
      </c>
      <c r="P84" s="59">
        <f t="shared" si="8"/>
        <v>3</v>
      </c>
      <c r="Q84" s="151">
        <f>COUNTIF(Q4:Q72,"Free")</f>
        <v>40</v>
      </c>
      <c r="R84" s="43"/>
      <c r="S84" s="59">
        <f t="shared" ref="S84:W84" si="9">COUNTIF(S4:S20,"Free")</f>
        <v>0</v>
      </c>
      <c r="T84" s="59">
        <f t="shared" si="9"/>
        <v>0</v>
      </c>
      <c r="U84" s="59">
        <f t="shared" si="9"/>
        <v>3</v>
      </c>
      <c r="V84" s="59">
        <f t="shared" si="9"/>
        <v>2</v>
      </c>
      <c r="W84" s="59">
        <f t="shared" si="9"/>
        <v>3</v>
      </c>
      <c r="X84" s="59">
        <f>COUNTIF(X4:X72,"Free")</f>
        <v>38</v>
      </c>
      <c r="Y84" s="43"/>
      <c r="Z84" s="59">
        <f t="shared" ref="Z84:AD84" si="10">COUNTIF(Z4:Z20,"Free")</f>
        <v>0</v>
      </c>
      <c r="AA84" s="59">
        <f t="shared" si="10"/>
        <v>0</v>
      </c>
      <c r="AB84" s="59">
        <f t="shared" si="10"/>
        <v>3</v>
      </c>
      <c r="AC84" s="59">
        <f t="shared" si="10"/>
        <v>2</v>
      </c>
      <c r="AD84" s="59">
        <f t="shared" si="10"/>
        <v>3</v>
      </c>
      <c r="AE84" s="59">
        <f>COUNTIF(AE4:AE72,"Free")</f>
        <v>40</v>
      </c>
      <c r="AF84" s="43"/>
      <c r="AG84" s="59">
        <f t="shared" ref="AG84:AK84" si="11">COUNTIF(AG4:AG20,"Free")</f>
        <v>0</v>
      </c>
      <c r="AH84" s="59">
        <f t="shared" si="11"/>
        <v>0</v>
      </c>
      <c r="AI84" s="59">
        <f t="shared" si="11"/>
        <v>3</v>
      </c>
      <c r="AJ84" s="59">
        <f t="shared" si="11"/>
        <v>2</v>
      </c>
      <c r="AK84" s="59">
        <f t="shared" si="11"/>
        <v>3</v>
      </c>
      <c r="AL84" s="59">
        <f>COUNTIF(AL4:AL72,"Free")</f>
        <v>40</v>
      </c>
      <c r="AM84" s="84"/>
    </row>
  </sheetData>
  <autoFilter ref="$A$2:$AM$80">
    <sortState ref="A2:AM80">
      <sortCondition ref="B2:B80"/>
      <sortCondition ref="C2:C80"/>
    </sortState>
  </autoFilter>
  <conditionalFormatting sqref="K2 K4:K84">
    <cfRule type="containsText" dxfId="9" priority="1" operator="containsText" text="Free">
      <formula>NOT(ISERROR(SEARCH(("Free"),(K2))))</formula>
    </cfRule>
  </conditionalFormatting>
  <conditionalFormatting sqref="D1:AM1">
    <cfRule type="containsText" dxfId="3" priority="2" operator="containsText" text="8:00">
      <formula>NOT(ISERROR(SEARCH(("8:00"),(D1))))</formula>
    </cfRule>
  </conditionalFormatting>
  <conditionalFormatting sqref="A1:J1 K1:K2 L1:AM1 K4:K84">
    <cfRule type="cellIs" dxfId="23" priority="3" operator="equal">
      <formula>"Free"</formula>
    </cfRule>
  </conditionalFormatting>
  <conditionalFormatting sqref="D2:AM2 D4:D84">
    <cfRule type="containsText" dxfId="23" priority="4" operator="containsText" text="Free">
      <formula>NOT(ISERROR(SEARCH(("Free"),(D2))))</formula>
    </cfRule>
  </conditionalFormatting>
  <conditionalFormatting sqref="D2:AM2 D4:D84">
    <cfRule type="containsText" dxfId="24" priority="5" operator="containsText" text="7:00">
      <formula>NOT(ISERROR(SEARCH(("7:00"),(D2))))</formula>
    </cfRule>
  </conditionalFormatting>
  <conditionalFormatting sqref="D2:AM2 D4:D84">
    <cfRule type="containsText" dxfId="25" priority="6" operator="containsText" text="8:00">
      <formula>NOT(ISERROR(SEARCH(("8:00"),(D2))))</formula>
    </cfRule>
  </conditionalFormatting>
  <conditionalFormatting sqref="D2:AM2 D4:D84">
    <cfRule type="containsText" dxfId="26" priority="7" operator="containsText" text="6:00">
      <formula>NOT(ISERROR(SEARCH(("6:00"),(D2))))</formula>
    </cfRule>
  </conditionalFormatting>
  <conditionalFormatting sqref="D2:AM2 D4:D84">
    <cfRule type="containsText" dxfId="27" priority="8" operator="containsText" text="12:00">
      <formula>NOT(ISERROR(SEARCH(("12:00"),(D2))))</formula>
    </cfRule>
  </conditionalFormatting>
  <conditionalFormatting sqref="D2:AM2 D4:D84">
    <cfRule type="containsText" dxfId="28" priority="9" operator="containsText" text="9:00">
      <formula>NOT(ISERROR(SEARCH(("9:00"),(D2))))</formula>
    </cfRule>
  </conditionalFormatting>
  <conditionalFormatting sqref="D2:AM2 D4:D84">
    <cfRule type="containsText" dxfId="29" priority="10" operator="containsText" text="VL">
      <formula>NOT(ISERROR(SEARCH(("VL"),(D2))))</formula>
    </cfRule>
  </conditionalFormatting>
  <conditionalFormatting sqref="D2:AM2 D4:D84 E4:G5 H4 I4:I5 J4:J6 L4:N5 O4 P4:P5 Q4:Q6 S4:U5 V4 W4:W5 X4:X6 Z4:AB5 AC4 AD4:AD5 AE4:AE6 AG4:AI5 AJ4 AK4:AK5 AL4:AL6 J14:J15 Q14:Q15 X14:X15 AE14:AE15 AL14:AL15 J18:J20 Q18:Q20 X18:X20 AE18:AE20 AL18:AL20 G23 J23 N23 Q23 U23 X23 AB23 AE23 AI23 AL23 J25:J80 Q25:Q80 X25:X80 AE25:AE80 AL25:AL80 I27 P27 W27 AD27 AK27 G30:G31 N30:N31 U30:U31 AB30:AB31 AI30:AI31 I31 P31 W31 AD31 AK31 F32 M32 T32 AA32 AH32 G34 N34 U34 AB34 AI34 G40:G41 N40:N41 U40:U41 AB40:AB41 AI40:AI41 G51 N51 U51 AB51 AI51 H52 O52 V52 AC52 AJ52 I53 P53 W53 AD53 AK53 G55 H55:H80 N55 O55:O80 U55:V80 AB55 AC55:AC80 AI55 AJ55:AJ80 F57 M57 T57 AA57 AH57 P58:P59 I59 W59 AD59 AK59 F63 G63:G64 M63 N63:N64 T63 AA63 AB63:AB64 AH63 AI63:AI64 I66 P66 W66 AD66 AK66 G68 N68 AB68 AI68 F69 M69 T69 AA69 AH69 E71:G80 I71:I80 L71:N80 P71:P80 S71:T80 W71:W80 Z71:AB80 AD71:AD80 AG71:AI80 AK71:AK80">
    <cfRule type="containsText" dxfId="1" priority="11" operator="containsText" text="7:00">
      <formula>NOT(ISERROR(SEARCH(("7:00"),(D2))))</formula>
    </cfRule>
  </conditionalFormatting>
  <conditionalFormatting sqref="D2:AM2 D4:D84 E4:G5 H4 I4:I5 J4:J6 L4:N5 O4 P4:P5 Q4:Q6 S4:U5 V4 W4:W5 X4:X6 Z4:AB5 AC4 AD4:AD5 AE4:AE6 AG4:AI5 AJ4 AK4:AK5 AL4:AL6 J14:J15 Q14:Q15 X14:X15 AE14:AE15 AL14:AL15 J18:J20 Q18:Q20 X18:X20 AE18:AE20 AL18:AL20 G23 J23 N23 Q23 U23 X23 AB23 AE23 AI23 AL23 J25:J80 Q25:Q80 X25:X80 AE25:AE80 AL25:AL80 I27 P27 W27 AD27 AK27 G30:G31 N30:N31 U30:U31 AB30:AB31 AI30:AI31 I31 P31 W31 AD31 AK31 F32 M32 T32 AA32 AH32 G34 N34 U34 AB34 AI34 G40:G41 N40:N41 U40:U41 AB40:AB41 AI40:AI41 G51 N51 U51 AB51 AI51 H52 O52 V52 AC52 AJ52 I53 P53 W53 AD53 AK53 G55 H55:H80 N55 O55:O80 U55:V80 AB55 AC55:AC80 AI55 AJ55:AJ80 F57 M57 T57 AA57 AH57 P58:P59 I59 W59 AD59 AK59 F63 G63:G64 M63 N63:N64 T63 AA63 AB63:AB64 AH63 AI63:AI64 I66 P66 W66 AD66 AK66 G68 N68 AB68 AI68 F69 M69 T69 AA69 AH69 E71:G80 I71:I80 L71:N80 P71:P80 S71:T80 W71:W80 Z71:AB80 AD71:AD80 AG71:AI80 AK71:AK80">
    <cfRule type="containsText" dxfId="11" priority="12" operator="containsText" text="6:00">
      <formula>NOT(ISERROR(SEARCH(("6:00"),(D2))))</formula>
    </cfRule>
  </conditionalFormatting>
  <conditionalFormatting sqref="D2:AM2 D4:D84 E4:G5 H4 I4:I5 J4:J6 L4:N5 O4 P4:P5 Q4:Q6 S4:U5 V4 W4:W5 X4:X6 Z4:AB5 AC4 AD4:AD5 AE4:AE6 AG4:AI5 AJ4 AK4:AK5 AL4:AL6 J14:J15 Q14:Q15 X14:X15 AE14:AE15 AL14:AL15 J18:J20 Q18:Q20 X18:X20 AE18:AE20 AL18:AL20 G23 J23 N23 Q23 U23 X23 AB23 AE23 AI23 AL23 J25:J80 Q25:Q80 X25:X80 AE25:AE80 AL25:AL80 I27 P27 W27 AD27 AK27 G30:G31 N30:N31 U30:U31 AB30:AB31 AI30:AI31 I31 P31 W31 AD31 AK31 F32 M32 T32 AA32 AH32 G34 N34 U34 AB34 AI34 G40:G41 N40:N41 U40:U41 AB40:AB41 AI40:AI41 G51 N51 U51 AB51 AI51 H52 O52 V52 AC52 AJ52 I53 P53 W53 AD53 AK53 G55 H55:H80 N55 O55:O80 U55:V80 AB55 AC55:AC80 AI55 AJ55:AJ80 F57 M57 T57 AA57 AH57 P58:P59 I59 W59 AD59 AK59 F63 G63:G64 M63 N63:N64 T63 AA63 AB63:AB64 AH63 AI63:AI64 I66 P66 W66 AD66 AK66 G68 N68 AB68 AI68 F69 M69 T69 AA69 AH69 E71:G80 I71:I80 L71:N80 P71:P80 S71:T80 W71:W80 Z71:AB80 AD71:AD80 AG71:AI80 AK71:AK80">
    <cfRule type="containsText" dxfId="4" priority="13" operator="containsText" text="5:00">
      <formula>NOT(ISERROR(SEARCH(("5:00"),(D2))))</formula>
    </cfRule>
  </conditionalFormatting>
  <conditionalFormatting sqref="D2:AM2 D4:D84 E4:G5 H4 I4:I5 J4:J6 L4:N5 O4 P4:P5 Q4:Q6 S4:U5 V4 W4:W5 X4:X6 Z4:AB5 AC4 AD4:AD5 AE4:AE6 AG4:AI5 AJ4 AK4:AK5 AL4:AL6 J14:J15 Q14:Q15 X14:X15 AE14:AE15 AL14:AL15 J18:J20 Q18:Q20 X18:X20 AE18:AE20 AL18:AL20 G23 J23 N23 Q23 U23 X23 AB23 AE23 AI23 AL23 J25:J80 Q25:Q80 X25:X80 AE25:AE80 AL25:AL80 I27 P27 W27 AD27 AK27 G30:G31 N30:N31 U30:U31 AB30:AB31 AI30:AI31 I31 P31 W31 AD31 AK31 F32 M32 T32 AA32 AH32 G34 N34 U34 AB34 AI34 G40:G41 N40:N41 U40:U41 AB40:AB41 AI40:AI41 G51 N51 U51 AB51 AI51 H52 O52 V52 AC52 AJ52 I53 P53 W53 AD53 AK53 G55 H55:H80 N55 O55:O80 U55:V80 AB55 AC55:AC80 AI55 AJ55:AJ80 F57 M57 T57 AA57 AH57 P58:P59 I59 W59 AD59 AK59 F63 G63:G64 M63 N63:N64 T63 AA63 AB63:AB64 AH63 AI63:AI64 I66 P66 W66 AD66 AK66 G68 N68 AB68 AI68 F69 M69 T69 AA69 AH69 E71:G80 I71:I80 L71:N80 P71:P80 S71:T80 W71:W80 Z71:AB80 AD71:AD80 AG71:AI80 AK71:AK80">
    <cfRule type="containsText" dxfId="12" priority="14" operator="containsText" text="10:00">
      <formula>NOT(ISERROR(SEARCH(("10:00"),(D2))))</formula>
    </cfRule>
  </conditionalFormatting>
  <conditionalFormatting sqref="D2:AM2 D4:D84 E4:G5 H4 I4:I5 J4:J6 L4:N5 O4 P4:P5 Q4:Q6 S4:U5 V4 W4:W5 X4:X6 Z4:AB5 AC4 AD4:AD5 AE4:AE6 AG4:AI5 AJ4 AK4:AK5 AL4:AL6 J14:J15 Q14:Q15 X14:X15 AE14:AE15 AL14:AL15 J18:J20 Q18:Q20 X18:X20 AE18:AE20 AL18:AL20 G23 J23 N23 Q23 U23 X23 AB23 AE23 AI23 AL23 J25:J80 Q25:Q80 X25:X80 AE25:AE80 AL25:AL80 I27 P27 W27 AD27 AK27 G30:G31 N30:N31 U30:U31 AB30:AB31 AI30:AI31 I31 P31 W31 AD31 AK31 F32 M32 T32 AA32 AH32 G34 N34 U34 AB34 AI34 G40:G41 N40:N41 U40:U41 AB40:AB41 AI40:AI41 G51 N51 U51 AB51 AI51 H52 O52 V52 AC52 AJ52 I53 P53 W53 AD53 AK53 G55 H55:H80 N55 O55:O80 U55:V80 AB55 AC55:AC80 AI55 AJ55:AJ80 F57 M57 T57 AA57 AH57 P58:P59 I59 W59 AD59 AK59 F63 G63:G64 M63 N63:N64 T63 AA63 AB63:AB64 AH63 AI63:AI64 I66 P66 W66 AD66 AK66 G68 N68 AB68 AI68 F69 M69 T69 AA69 AH69 E71:G80 I71:I80 L71:N80 P71:P80 S71:T80 W71:W80 Z71:AB80 AD71:AD80 AG71:AI80 AK71:AK80">
    <cfRule type="cellIs" dxfId="30" priority="15" operator="equal">
      <formula>"Free"</formula>
    </cfRule>
  </conditionalFormatting>
  <conditionalFormatting sqref="D1 E1:Q2 R1 S1:AM2 E4:J80 K4:K84 L4:Q80 S4:X80 Y4:Y84 Z4:AE80 AF4:AM84 D81:D82 R81:R84">
    <cfRule type="containsText" dxfId="16" priority="16" operator="containsText" text="7:00">
      <formula>NOT(ISERROR(SEARCH(("7:00"),(D1))))</formula>
    </cfRule>
  </conditionalFormatting>
  <conditionalFormatting sqref="A1:C1 D1:AM2 D4:D84">
    <cfRule type="containsText" dxfId="17" priority="17" operator="containsText" text="5:00">
      <formula>NOT(ISERROR(SEARCH(("5:00"),(A1))))</formula>
    </cfRule>
  </conditionalFormatting>
  <conditionalFormatting sqref="A1:C1 D1:AM2 D4:D84">
    <cfRule type="containsText" dxfId="18" priority="18" operator="containsText" text="6:00">
      <formula>NOT(ISERROR(SEARCH(("6:00"),(A1))))</formula>
    </cfRule>
  </conditionalFormatting>
  <conditionalFormatting sqref="A1:C1 D1:AM2 D4:J84 L4:Q84 S4:AM84 R9:R84 K12 K18:K84 A81:C84">
    <cfRule type="cellIs" dxfId="10" priority="19" operator="equal">
      <formula>"Free"</formula>
    </cfRule>
  </conditionalFormatting>
  <conditionalFormatting sqref="D1:AM2 D4:Q84 S4:AM84 R9:R84 A81:C84">
    <cfRule type="containsText" dxfId="20" priority="20" operator="containsText" text="7:00">
      <formula>NOT(ISERROR(SEARCH(("7:00"),(D1))))</formula>
    </cfRule>
  </conditionalFormatting>
  <conditionalFormatting sqref="D2:AM2 D4:D84 E4:J80 L4:Q80 S4:W80 X4:X81 Y4:Y84 Z4:AE80 AF4:AM84 R9:R84 K12 K18:K84">
    <cfRule type="containsText" dxfId="1" priority="21" operator="containsText" text="12:00">
      <formula>NOT(ISERROR(SEARCH(("12:00"),(D2))))</formula>
    </cfRule>
  </conditionalFormatting>
  <conditionalFormatting sqref="D2:AM2 D4:D84 E4:J80 K4:K84 L4:Q80 S4:W80 X4:X81 Y4:Y84 Z4:AE80 AF4:AM84 R9:R84">
    <cfRule type="containsText" dxfId="9" priority="22" operator="containsText" text="6:30">
      <formula>NOT(ISERROR(SEARCH(("6:30"),(D2))))</formula>
    </cfRule>
  </conditionalFormatting>
  <conditionalFormatting sqref="D1:AM2 A2:C2 A4:J80 K4:K84 L4:Q80 R4:R84 S4:X80 Y4:Y84 Z4:AE80 AF4:AM84">
    <cfRule type="containsText" dxfId="21" priority="23" operator="containsText" text="8:00">
      <formula>NOT(ISERROR(SEARCH(("8:00"),(D1))))</formula>
    </cfRule>
  </conditionalFormatting>
  <conditionalFormatting sqref="D1:AM2 D4:Q84 S4:AM84 R9:R84 A81:C84">
    <cfRule type="containsText" dxfId="22" priority="24" operator="containsText" text="9:00">
      <formula>NOT(ISERROR(SEARCH(("9:00"),(D1))))</formula>
    </cfRule>
  </conditionalFormatting>
  <conditionalFormatting sqref="A1:C80 D1:D84 E1:J80 K1:K84 L1:Q80 R1:R84 S1:W80 X1:X81 Y1:Y84 Z1:AE80 AF1:AM84">
    <cfRule type="containsText" dxfId="0" priority="25" operator="containsText" text="5:00">
      <formula>NOT(ISERROR(SEARCH(("5:00"),(A1))))</formula>
    </cfRule>
  </conditionalFormatting>
  <conditionalFormatting sqref="A1:C80 D1:D84 E1:J80 K1:K84 L1:Q80 R1:R84 S1:W80 X1:X81 Y1:Y84 Z1:AE80 AF1:AM84">
    <cfRule type="containsText" dxfId="1" priority="26" operator="containsText" text="6:00">
      <formula>NOT(ISERROR(SEARCH(("6:00"),(A1))))</formula>
    </cfRule>
  </conditionalFormatting>
  <conditionalFormatting sqref="A1:C80 D1:D84 E1:J80 K1:K84 L1:Q80 R1:R84 S1:W80 X1:X81 Y1:Y84 Z1:AE80 AF1:AM84">
    <cfRule type="containsText" dxfId="2" priority="27" operator="containsText" text="7:00">
      <formula>NOT(ISERROR(SEARCH(("7:00"),(A1))))</formula>
    </cfRule>
  </conditionalFormatting>
  <conditionalFormatting sqref="A1:C80 D1:D84 E1:J80 K1:K84 L1:Q80 R1:R84 S1:W80 X1:X81 Y1:Y84 Z1:AE80 AF1:AM84">
    <cfRule type="containsText" dxfId="4" priority="28" operator="containsText" text="5:30">
      <formula>NOT(ISERROR(SEARCH(("5:30"),(A1))))</formula>
    </cfRule>
  </conditionalFormatting>
  <conditionalFormatting sqref="A1:C80 D1:D84 E1:J80 K1:K84 L1:Q80 R1:R84 S1:W80 X1:X81 Y1:Y84 Z1:AE80 AF1:AM84">
    <cfRule type="containsText" dxfId="5" priority="29" operator="containsText" text="9:00">
      <formula>NOT(ISERROR(SEARCH(("9:00"),(A1))))</formula>
    </cfRule>
  </conditionalFormatting>
  <conditionalFormatting sqref="A1:C80 D1:D84 E1:J80 K1:K84 L1:Q80 R1:R84 S1:W80 X1:X81 Y1:Y84 Z1:AE80 AF1:AM84">
    <cfRule type="containsText" dxfId="6" priority="30" operator="containsText" text="10:00">
      <formula>NOT(ISERROR(SEARCH(("10:00"),(A1))))</formula>
    </cfRule>
  </conditionalFormatting>
  <conditionalFormatting sqref="A1:C80 D1:D84 E1:J80 K1:K84 L1:Q80 R1:R84 S1:W80 X1:X81 Y1:Y84 Z1:AE80 AF1:AM84">
    <cfRule type="containsText" dxfId="7" priority="31" operator="containsText" text="11:00">
      <formula>NOT(ISERROR(SEARCH(("11:00"),(A1))))</formula>
    </cfRule>
  </conditionalFormatting>
  <conditionalFormatting sqref="A1:C80 D1:AM84">
    <cfRule type="containsText" dxfId="8" priority="32" operator="containsText" text="12:00">
      <formula>NOT(ISERROR(SEARCH(("12:00"),(A1))))</formula>
    </cfRule>
  </conditionalFormatting>
  <conditionalFormatting sqref="A2:C80 D2:D84 E2:J80 K2:K84 L2:Q80 R2:R84 S2:W80 X2:X81 Y2:Y84 Z2:AE80 AF2:AM84">
    <cfRule type="containsText" dxfId="10" priority="33" operator="containsText" text="Free">
      <formula>NOT(ISERROR(SEARCH(("Free"),(A2))))</formula>
    </cfRule>
  </conditionalFormatting>
  <conditionalFormatting sqref="A3:J3 K3:K80 L3:AL3 AM3:AM84">
    <cfRule type="containsText" dxfId="31" priority="34" operator="containsText" text="7:30">
      <formula>NOT(ISERROR(SEARCH(("7:30"),(A3))))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5"/>
    <col customWidth="1" min="2" max="2" width="15.38"/>
    <col customWidth="1" min="3" max="3" width="16.5"/>
    <col customWidth="1" min="4" max="4" width="6.5"/>
    <col customWidth="1" min="5" max="5" width="7.25"/>
    <col customWidth="1" min="6" max="6" width="6.38"/>
    <col customWidth="1" min="7" max="7" width="7.13"/>
    <col customWidth="1" min="8" max="8" width="6.5"/>
    <col customWidth="1" min="9" max="9" width="5.63"/>
    <col customWidth="1" min="10" max="10" width="6.0"/>
    <col customWidth="1" min="11" max="11" width="6.5"/>
    <col customWidth="1" min="12" max="12" width="7.25"/>
    <col customWidth="1" min="13" max="13" width="6.38"/>
    <col customWidth="1" min="14" max="14" width="7.13"/>
    <col customWidth="1" min="15" max="15" width="6.5"/>
    <col customWidth="1" min="16" max="16" width="5.63"/>
    <col customWidth="1" min="17" max="17" width="6.0"/>
    <col customWidth="1" min="18" max="18" width="6.5"/>
    <col customWidth="1" min="19" max="19" width="7.25"/>
    <col customWidth="1" min="20" max="20" width="6.38"/>
    <col customWidth="1" min="21" max="21" width="7.13"/>
    <col customWidth="1" min="22" max="22" width="6.5"/>
    <col customWidth="1" min="23" max="23" width="5.63"/>
    <col customWidth="1" min="24" max="24" width="6.0"/>
    <col customWidth="1" min="25" max="25" width="6.5"/>
    <col customWidth="1" min="26" max="26" width="7.25"/>
    <col customWidth="1" min="27" max="27" width="6.38"/>
    <col customWidth="1" min="28" max="28" width="7.13"/>
    <col customWidth="1" min="29" max="29" width="6.5"/>
    <col customWidth="1" min="30" max="30" width="5.63"/>
    <col customWidth="1" min="31" max="31" width="6.0"/>
    <col customWidth="1" min="32" max="39" width="6.5"/>
  </cols>
  <sheetData>
    <row r="1">
      <c r="A1" s="34"/>
      <c r="B1" s="35"/>
      <c r="C1" s="35"/>
      <c r="D1" s="36">
        <v>46138.0</v>
      </c>
      <c r="E1" s="36">
        <v>46139.0</v>
      </c>
      <c r="F1" s="36">
        <v>46140.0</v>
      </c>
      <c r="G1" s="36">
        <v>46141.0</v>
      </c>
      <c r="H1" s="36">
        <v>46142.0</v>
      </c>
      <c r="I1" s="36">
        <v>46143.0</v>
      </c>
      <c r="J1" s="36">
        <v>46144.0</v>
      </c>
      <c r="K1" s="36">
        <v>46145.0</v>
      </c>
      <c r="L1" s="36">
        <v>46146.0</v>
      </c>
      <c r="M1" s="36">
        <v>46147.0</v>
      </c>
      <c r="N1" s="36">
        <v>46148.0</v>
      </c>
      <c r="O1" s="36">
        <v>46149.0</v>
      </c>
      <c r="P1" s="36">
        <v>46150.0</v>
      </c>
      <c r="Q1" s="36">
        <v>46151.0</v>
      </c>
      <c r="R1" s="36">
        <v>46152.0</v>
      </c>
      <c r="S1" s="36">
        <v>46153.0</v>
      </c>
      <c r="T1" s="36">
        <v>46154.0</v>
      </c>
      <c r="U1" s="36">
        <v>46155.0</v>
      </c>
      <c r="V1" s="36">
        <v>46156.0</v>
      </c>
      <c r="W1" s="36">
        <v>46157.0</v>
      </c>
      <c r="X1" s="36">
        <v>46158.0</v>
      </c>
      <c r="Y1" s="36">
        <v>46159.0</v>
      </c>
      <c r="Z1" s="36">
        <v>46160.0</v>
      </c>
      <c r="AA1" s="36">
        <v>46161.0</v>
      </c>
      <c r="AB1" s="36">
        <v>46162.0</v>
      </c>
      <c r="AC1" s="36">
        <v>46163.0</v>
      </c>
      <c r="AD1" s="36">
        <v>46164.0</v>
      </c>
      <c r="AE1" s="36">
        <v>46165.0</v>
      </c>
      <c r="AF1" s="36">
        <v>46166.0</v>
      </c>
      <c r="AG1" s="36">
        <v>46167.0</v>
      </c>
      <c r="AH1" s="36">
        <v>46168.0</v>
      </c>
      <c r="AI1" s="36">
        <v>46169.0</v>
      </c>
      <c r="AJ1" s="36">
        <v>46170.0</v>
      </c>
      <c r="AK1" s="36">
        <v>46171.0</v>
      </c>
      <c r="AL1" s="36">
        <v>46172.0</v>
      </c>
      <c r="AM1" s="36">
        <v>46173.0</v>
      </c>
    </row>
    <row r="2">
      <c r="A2" s="61" t="s">
        <v>2</v>
      </c>
      <c r="B2" s="62" t="s">
        <v>132</v>
      </c>
      <c r="C2" s="62" t="s">
        <v>133</v>
      </c>
      <c r="D2" s="63">
        <f t="shared" ref="D2:AM2" si="1">D1</f>
        <v>46138</v>
      </c>
      <c r="E2" s="63">
        <f t="shared" si="1"/>
        <v>46139</v>
      </c>
      <c r="F2" s="63">
        <f t="shared" si="1"/>
        <v>46140</v>
      </c>
      <c r="G2" s="63">
        <f t="shared" si="1"/>
        <v>46141</v>
      </c>
      <c r="H2" s="63">
        <f t="shared" si="1"/>
        <v>46142</v>
      </c>
      <c r="I2" s="63">
        <f t="shared" si="1"/>
        <v>46143</v>
      </c>
      <c r="J2" s="63">
        <f t="shared" si="1"/>
        <v>46144</v>
      </c>
      <c r="K2" s="63">
        <f t="shared" si="1"/>
        <v>46145</v>
      </c>
      <c r="L2" s="63">
        <f t="shared" si="1"/>
        <v>46146</v>
      </c>
      <c r="M2" s="63">
        <f t="shared" si="1"/>
        <v>46147</v>
      </c>
      <c r="N2" s="63">
        <f t="shared" si="1"/>
        <v>46148</v>
      </c>
      <c r="O2" s="63">
        <f t="shared" si="1"/>
        <v>46149</v>
      </c>
      <c r="P2" s="63">
        <f t="shared" si="1"/>
        <v>46150</v>
      </c>
      <c r="Q2" s="63">
        <f t="shared" si="1"/>
        <v>46151</v>
      </c>
      <c r="R2" s="63">
        <f t="shared" si="1"/>
        <v>46152</v>
      </c>
      <c r="S2" s="63">
        <f t="shared" si="1"/>
        <v>46153</v>
      </c>
      <c r="T2" s="63">
        <f t="shared" si="1"/>
        <v>46154</v>
      </c>
      <c r="U2" s="63">
        <f t="shared" si="1"/>
        <v>46155</v>
      </c>
      <c r="V2" s="63">
        <f t="shared" si="1"/>
        <v>46156</v>
      </c>
      <c r="W2" s="63">
        <f t="shared" si="1"/>
        <v>46157</v>
      </c>
      <c r="X2" s="63">
        <f t="shared" si="1"/>
        <v>46158</v>
      </c>
      <c r="Y2" s="63">
        <f t="shared" si="1"/>
        <v>46159</v>
      </c>
      <c r="Z2" s="63">
        <f t="shared" si="1"/>
        <v>46160</v>
      </c>
      <c r="AA2" s="63">
        <f t="shared" si="1"/>
        <v>46161</v>
      </c>
      <c r="AB2" s="63">
        <f t="shared" si="1"/>
        <v>46162</v>
      </c>
      <c r="AC2" s="63">
        <f t="shared" si="1"/>
        <v>46163</v>
      </c>
      <c r="AD2" s="63">
        <f t="shared" si="1"/>
        <v>46164</v>
      </c>
      <c r="AE2" s="63">
        <f t="shared" si="1"/>
        <v>46165</v>
      </c>
      <c r="AF2" s="63">
        <f t="shared" si="1"/>
        <v>46166</v>
      </c>
      <c r="AG2" s="63">
        <f t="shared" si="1"/>
        <v>46167</v>
      </c>
      <c r="AH2" s="63">
        <f t="shared" si="1"/>
        <v>46168</v>
      </c>
      <c r="AI2" s="63">
        <f t="shared" si="1"/>
        <v>46169</v>
      </c>
      <c r="AJ2" s="63">
        <f t="shared" si="1"/>
        <v>46170</v>
      </c>
      <c r="AK2" s="63">
        <f t="shared" si="1"/>
        <v>46171</v>
      </c>
      <c r="AL2" s="63">
        <f t="shared" si="1"/>
        <v>46172</v>
      </c>
      <c r="AM2" s="63">
        <f t="shared" si="1"/>
        <v>46173</v>
      </c>
    </row>
    <row r="3">
      <c r="A3" s="47" t="s">
        <v>9</v>
      </c>
      <c r="B3" s="35" t="str">
        <f t="array" ref="B3">XLOOKUP(A3,Roster!F:F,Roster!A:A,"")</f>
        <v>Mateo Henao</v>
      </c>
      <c r="C3" s="35" t="str">
        <f t="array" ref="C3">XLOOKUP(A3,Roster!F:F,Roster!B:B,"")</f>
        <v>Adriana Moncaleano</v>
      </c>
      <c r="D3" s="40"/>
      <c r="E3" s="96">
        <v>0.3333333333333333</v>
      </c>
      <c r="F3" s="96">
        <v>0.3333333333333333</v>
      </c>
      <c r="G3" s="96">
        <v>0.3333333333333333</v>
      </c>
      <c r="H3" s="96">
        <v>0.3333333333333333</v>
      </c>
      <c r="I3" s="96">
        <v>0.3333333333333333</v>
      </c>
      <c r="J3" s="152" t="s">
        <v>202</v>
      </c>
      <c r="K3" s="43"/>
      <c r="L3" s="96">
        <v>0.3333333333333333</v>
      </c>
      <c r="M3" s="96">
        <v>0.3333333333333333</v>
      </c>
      <c r="N3" s="96">
        <v>0.3333333333333333</v>
      </c>
      <c r="O3" s="96">
        <v>0.3333333333333333</v>
      </c>
      <c r="P3" s="96">
        <v>0.3333333333333333</v>
      </c>
      <c r="Q3" s="152" t="s">
        <v>202</v>
      </c>
      <c r="R3" s="43"/>
      <c r="S3" s="96">
        <v>0.3333333333333333</v>
      </c>
      <c r="T3" s="96">
        <v>0.3333333333333333</v>
      </c>
      <c r="U3" s="96">
        <v>0.3333333333333333</v>
      </c>
      <c r="V3" s="96">
        <v>0.3333333333333333</v>
      </c>
      <c r="W3" s="96">
        <v>0.3333333333333333</v>
      </c>
      <c r="X3" s="152" t="s">
        <v>202</v>
      </c>
      <c r="Y3" s="43"/>
      <c r="Z3" s="96">
        <v>0.3333333333333333</v>
      </c>
      <c r="AA3" s="96">
        <v>0.3333333333333333</v>
      </c>
      <c r="AB3" s="96">
        <v>0.3333333333333333</v>
      </c>
      <c r="AC3" s="96">
        <v>0.3333333333333333</v>
      </c>
      <c r="AD3" s="96">
        <v>0.3333333333333333</v>
      </c>
      <c r="AE3" s="152" t="s">
        <v>202</v>
      </c>
      <c r="AF3" s="43"/>
      <c r="AG3" s="96">
        <v>0.3333333333333333</v>
      </c>
      <c r="AH3" s="96">
        <v>0.3333333333333333</v>
      </c>
      <c r="AI3" s="96">
        <v>0.3333333333333333</v>
      </c>
      <c r="AJ3" s="96">
        <v>0.3333333333333333</v>
      </c>
      <c r="AK3" s="96">
        <v>0.3333333333333333</v>
      </c>
      <c r="AL3" s="152" t="s">
        <v>202</v>
      </c>
      <c r="AM3" s="84"/>
    </row>
    <row r="4">
      <c r="A4" s="51" t="s">
        <v>22</v>
      </c>
      <c r="B4" s="35" t="str">
        <f t="array" ref="B4">XLOOKUP(A4,Roster!F:F,Roster!A:A,"")</f>
        <v>Mateo Henao</v>
      </c>
      <c r="C4" s="35" t="str">
        <f t="array" ref="C4">XLOOKUP(A4,Roster!F:F,Roster!B:B,"")</f>
        <v>Carolina Rios</v>
      </c>
      <c r="D4" s="40"/>
      <c r="E4" s="96">
        <v>0.3333333333333333</v>
      </c>
      <c r="F4" s="96">
        <v>0.3333333333333333</v>
      </c>
      <c r="G4" s="96">
        <v>0.3333333333333333</v>
      </c>
      <c r="H4" s="96">
        <v>0.3333333333333333</v>
      </c>
      <c r="I4" s="96">
        <v>0.3333333333333333</v>
      </c>
      <c r="J4" s="152" t="s">
        <v>202</v>
      </c>
      <c r="K4" s="43"/>
      <c r="L4" s="96">
        <v>0.3333333333333333</v>
      </c>
      <c r="M4" s="96">
        <v>0.3333333333333333</v>
      </c>
      <c r="N4" s="96">
        <v>0.3333333333333333</v>
      </c>
      <c r="O4" s="96">
        <v>0.3333333333333333</v>
      </c>
      <c r="P4" s="96">
        <v>0.3333333333333333</v>
      </c>
      <c r="Q4" s="152" t="s">
        <v>202</v>
      </c>
      <c r="R4" s="43"/>
      <c r="S4" s="96">
        <v>0.3333333333333333</v>
      </c>
      <c r="T4" s="96">
        <v>0.3333333333333333</v>
      </c>
      <c r="U4" s="96">
        <v>0.3333333333333333</v>
      </c>
      <c r="V4" s="96">
        <v>0.3333333333333333</v>
      </c>
      <c r="W4" s="96">
        <v>0.3333333333333333</v>
      </c>
      <c r="X4" s="152" t="s">
        <v>202</v>
      </c>
      <c r="Y4" s="43"/>
      <c r="Z4" s="96">
        <v>0.3333333333333333</v>
      </c>
      <c r="AA4" s="96">
        <v>0.3333333333333333</v>
      </c>
      <c r="AB4" s="96">
        <v>0.3333333333333333</v>
      </c>
      <c r="AC4" s="96">
        <v>0.3333333333333333</v>
      </c>
      <c r="AD4" s="96">
        <v>0.3333333333333333</v>
      </c>
      <c r="AE4" s="152" t="s">
        <v>202</v>
      </c>
      <c r="AF4" s="43"/>
      <c r="AG4" s="96">
        <v>0.3333333333333333</v>
      </c>
      <c r="AH4" s="96">
        <v>0.3333333333333333</v>
      </c>
      <c r="AI4" s="96">
        <v>0.3333333333333333</v>
      </c>
      <c r="AJ4" s="96">
        <v>0.3333333333333333</v>
      </c>
      <c r="AK4" s="96">
        <v>0.3333333333333333</v>
      </c>
      <c r="AL4" s="152" t="s">
        <v>202</v>
      </c>
      <c r="AM4" s="84"/>
    </row>
    <row r="5">
      <c r="A5" s="51" t="s">
        <v>36</v>
      </c>
      <c r="B5" s="35" t="str">
        <f t="array" ref="B5">XLOOKUP(A5,Roster!F:F,Roster!A:A,"")</f>
        <v>Mateo Henao</v>
      </c>
      <c r="C5" s="35" t="str">
        <f t="array" ref="C5">XLOOKUP(A5,Roster!F:F,Roster!B:B,"")</f>
        <v>Jhoam Quiroz</v>
      </c>
      <c r="D5" s="40"/>
      <c r="E5" s="96">
        <v>0.3333333333333333</v>
      </c>
      <c r="F5" s="96">
        <v>0.3333333333333333</v>
      </c>
      <c r="G5" s="96">
        <v>0.3333333333333333</v>
      </c>
      <c r="H5" s="96">
        <v>0.3333333333333333</v>
      </c>
      <c r="I5" s="96">
        <v>0.3333333333333333</v>
      </c>
      <c r="J5" s="152" t="s">
        <v>202</v>
      </c>
      <c r="K5" s="43"/>
      <c r="L5" s="96">
        <v>0.3333333333333333</v>
      </c>
      <c r="M5" s="96">
        <v>0.3333333333333333</v>
      </c>
      <c r="N5" s="96">
        <v>0.3333333333333333</v>
      </c>
      <c r="O5" s="96">
        <v>0.3333333333333333</v>
      </c>
      <c r="P5" s="96">
        <v>0.3333333333333333</v>
      </c>
      <c r="Q5" s="152" t="s">
        <v>202</v>
      </c>
      <c r="R5" s="43"/>
      <c r="S5" s="96">
        <v>0.3333333333333333</v>
      </c>
      <c r="T5" s="96">
        <v>0.3333333333333333</v>
      </c>
      <c r="U5" s="96">
        <v>0.3333333333333333</v>
      </c>
      <c r="V5" s="96">
        <v>0.3333333333333333</v>
      </c>
      <c r="W5" s="96">
        <v>0.3333333333333333</v>
      </c>
      <c r="X5" s="152" t="s">
        <v>202</v>
      </c>
      <c r="Y5" s="43"/>
      <c r="Z5" s="96">
        <v>0.3333333333333333</v>
      </c>
      <c r="AA5" s="96">
        <v>0.3333333333333333</v>
      </c>
      <c r="AB5" s="96">
        <v>0.3333333333333333</v>
      </c>
      <c r="AC5" s="96">
        <v>0.3333333333333333</v>
      </c>
      <c r="AD5" s="96">
        <v>0.3333333333333333</v>
      </c>
      <c r="AE5" s="152" t="s">
        <v>202</v>
      </c>
      <c r="AF5" s="43"/>
      <c r="AG5" s="96">
        <v>0.3333333333333333</v>
      </c>
      <c r="AH5" s="96">
        <v>0.3333333333333333</v>
      </c>
      <c r="AI5" s="96">
        <v>0.3333333333333333</v>
      </c>
      <c r="AJ5" s="96">
        <v>0.3333333333333333</v>
      </c>
      <c r="AK5" s="96">
        <v>0.3333333333333333</v>
      </c>
      <c r="AL5" s="152" t="s">
        <v>202</v>
      </c>
      <c r="AM5" s="84"/>
    </row>
    <row r="6">
      <c r="A6" s="47" t="s">
        <v>51</v>
      </c>
      <c r="B6" s="35" t="str">
        <f t="array" ref="B6">XLOOKUP(A6,Roster!F:F,Roster!A:A,"")</f>
        <v>Mateo Henao</v>
      </c>
      <c r="C6" s="35" t="str">
        <f t="array" ref="C6">XLOOKUP(A6,Roster!F:F,Roster!B:B,"")</f>
        <v>Karen Panqueva</v>
      </c>
      <c r="D6" s="43"/>
      <c r="E6" s="42">
        <v>0.3333333333333333</v>
      </c>
      <c r="F6" s="42">
        <v>0.3333333333333333</v>
      </c>
      <c r="G6" s="114" t="s">
        <v>202</v>
      </c>
      <c r="H6" s="42">
        <v>0.3333333333333333</v>
      </c>
      <c r="I6" s="42">
        <v>0.3333333333333333</v>
      </c>
      <c r="J6" s="133">
        <v>0.3333333333333333</v>
      </c>
      <c r="K6" s="42"/>
      <c r="L6" s="42">
        <v>0.3333333333333333</v>
      </c>
      <c r="M6" s="42">
        <v>0.3333333333333333</v>
      </c>
      <c r="N6" s="96">
        <v>0.3333333333333333</v>
      </c>
      <c r="O6" s="42">
        <v>0.3333333333333333</v>
      </c>
      <c r="P6" s="42">
        <v>0.3333333333333333</v>
      </c>
      <c r="Q6" s="132" t="s">
        <v>202</v>
      </c>
      <c r="R6" s="43"/>
      <c r="S6" s="42">
        <v>0.3333333333333333</v>
      </c>
      <c r="T6" s="42">
        <v>0.3333333333333333</v>
      </c>
      <c r="U6" s="96">
        <v>0.3333333333333333</v>
      </c>
      <c r="V6" s="42">
        <v>0.3333333333333333</v>
      </c>
      <c r="W6" s="42">
        <v>0.3333333333333333</v>
      </c>
      <c r="X6" s="132" t="s">
        <v>202</v>
      </c>
      <c r="Y6" s="43"/>
      <c r="Z6" s="42">
        <v>0.3333333333333333</v>
      </c>
      <c r="AA6" s="42">
        <v>0.3333333333333333</v>
      </c>
      <c r="AB6" s="132" t="s">
        <v>202</v>
      </c>
      <c r="AC6" s="42">
        <v>0.3333333333333333</v>
      </c>
      <c r="AD6" s="42">
        <v>0.3333333333333333</v>
      </c>
      <c r="AE6" s="42">
        <v>0.3333333333333333</v>
      </c>
      <c r="AF6" s="43"/>
      <c r="AG6" s="42">
        <v>0.3333333333333333</v>
      </c>
      <c r="AH6" s="42">
        <v>0.3333333333333333</v>
      </c>
      <c r="AI6" s="96">
        <v>0.3333333333333333</v>
      </c>
      <c r="AJ6" s="42">
        <v>0.3333333333333333</v>
      </c>
      <c r="AK6" s="42">
        <v>0.3333333333333333</v>
      </c>
      <c r="AL6" s="132" t="s">
        <v>202</v>
      </c>
      <c r="AM6" s="84"/>
    </row>
    <row r="7">
      <c r="A7" s="47" t="s">
        <v>83</v>
      </c>
      <c r="B7" s="35" t="str">
        <f t="array" ref="B7">XLOOKUP(A7,Roster!F:F,Roster!A:A,"")</f>
        <v>Mateo Henao</v>
      </c>
      <c r="C7" s="35" t="str">
        <f t="array" ref="C7">XLOOKUP(A7,Roster!F:F,Roster!B:B,"")</f>
        <v>Wilson Martinez</v>
      </c>
      <c r="D7" s="40"/>
      <c r="E7" s="96">
        <v>0.3333333333333333</v>
      </c>
      <c r="F7" s="96">
        <v>0.3333333333333333</v>
      </c>
      <c r="G7" s="96">
        <v>0.3333333333333333</v>
      </c>
      <c r="H7" s="96">
        <v>0.3333333333333333</v>
      </c>
      <c r="I7" s="96">
        <v>0.3333333333333333</v>
      </c>
      <c r="J7" s="152" t="s">
        <v>202</v>
      </c>
      <c r="K7" s="43"/>
      <c r="L7" s="96">
        <v>0.3333333333333333</v>
      </c>
      <c r="M7" s="96">
        <v>0.3333333333333333</v>
      </c>
      <c r="N7" s="96">
        <v>0.3333333333333333</v>
      </c>
      <c r="O7" s="96">
        <v>0.3333333333333333</v>
      </c>
      <c r="P7" s="96">
        <v>0.3333333333333333</v>
      </c>
      <c r="Q7" s="152" t="s">
        <v>202</v>
      </c>
      <c r="R7" s="43"/>
      <c r="S7" s="96">
        <v>0.3333333333333333</v>
      </c>
      <c r="T7" s="96">
        <v>0.3333333333333333</v>
      </c>
      <c r="U7" s="96">
        <v>0.3333333333333333</v>
      </c>
      <c r="V7" s="96">
        <v>0.3333333333333333</v>
      </c>
      <c r="W7" s="96">
        <v>0.3333333333333333</v>
      </c>
      <c r="X7" s="152" t="s">
        <v>202</v>
      </c>
      <c r="Y7" s="43"/>
      <c r="Z7" s="96">
        <v>0.3333333333333333</v>
      </c>
      <c r="AA7" s="96">
        <v>0.3333333333333333</v>
      </c>
      <c r="AB7" s="96">
        <v>0.3333333333333333</v>
      </c>
      <c r="AC7" s="96">
        <v>0.3333333333333333</v>
      </c>
      <c r="AD7" s="96">
        <v>0.3333333333333333</v>
      </c>
      <c r="AE7" s="152" t="s">
        <v>202</v>
      </c>
      <c r="AF7" s="43"/>
      <c r="AG7" s="96">
        <v>0.3333333333333333</v>
      </c>
      <c r="AH7" s="96">
        <v>0.3333333333333333</v>
      </c>
      <c r="AI7" s="96">
        <v>0.3333333333333333</v>
      </c>
      <c r="AJ7" s="96">
        <v>0.3333333333333333</v>
      </c>
      <c r="AK7" s="96">
        <v>0.3333333333333333</v>
      </c>
      <c r="AL7" s="152" t="s">
        <v>202</v>
      </c>
      <c r="AM7" s="84"/>
    </row>
    <row r="8">
      <c r="A8" s="47" t="s">
        <v>134</v>
      </c>
      <c r="B8" s="35" t="str">
        <f t="array" ref="B8">XLOOKUP(A8,Roster!F:F,Roster!A:A,"")</f>
        <v>Edward Machado</v>
      </c>
      <c r="C8" s="35" t="str">
        <f t="array" ref="C8">XLOOKUP(A8,Roster!F:F,Roster!B:B,"")</f>
        <v>Eliana Pena</v>
      </c>
      <c r="D8" s="42"/>
      <c r="E8" s="42">
        <v>0.3333333333333333</v>
      </c>
      <c r="F8" s="42">
        <v>0.3333333333333333</v>
      </c>
      <c r="G8" s="96">
        <v>0.3333333333333333</v>
      </c>
      <c r="H8" s="42" t="s">
        <v>202</v>
      </c>
      <c r="I8" s="42">
        <v>0.3333333333333333</v>
      </c>
      <c r="J8" s="42">
        <v>0.3333333333333333</v>
      </c>
      <c r="K8" s="42"/>
      <c r="L8" s="42">
        <v>0.3333333333333333</v>
      </c>
      <c r="M8" s="42">
        <v>0.3333333333333333</v>
      </c>
      <c r="N8" s="96">
        <v>0.3333333333333333</v>
      </c>
      <c r="O8" s="42" t="s">
        <v>202</v>
      </c>
      <c r="P8" s="42">
        <v>0.3333333333333333</v>
      </c>
      <c r="Q8" s="42">
        <v>0.3333333333333333</v>
      </c>
      <c r="R8" s="42"/>
      <c r="S8" s="42">
        <v>0.3333333333333333</v>
      </c>
      <c r="T8" s="42">
        <v>0.3333333333333333</v>
      </c>
      <c r="U8" s="96">
        <v>0.3333333333333333</v>
      </c>
      <c r="V8" s="42" t="s">
        <v>202</v>
      </c>
      <c r="W8" s="42">
        <v>0.3333333333333333</v>
      </c>
      <c r="X8" s="42">
        <v>0.3333333333333333</v>
      </c>
      <c r="Y8" s="42"/>
      <c r="Z8" s="42">
        <v>0.3333333333333333</v>
      </c>
      <c r="AA8" s="42">
        <v>0.3333333333333333</v>
      </c>
      <c r="AB8" s="96">
        <v>0.3333333333333333</v>
      </c>
      <c r="AC8" s="42" t="s">
        <v>202</v>
      </c>
      <c r="AD8" s="42">
        <v>0.3333333333333333</v>
      </c>
      <c r="AE8" s="42">
        <v>0.3333333333333333</v>
      </c>
      <c r="AF8" s="43"/>
      <c r="AG8" s="42">
        <v>0.3333333333333333</v>
      </c>
      <c r="AH8" s="42">
        <v>0.3333333333333333</v>
      </c>
      <c r="AI8" s="96">
        <v>0.3333333333333333</v>
      </c>
      <c r="AJ8" s="42" t="s">
        <v>202</v>
      </c>
      <c r="AK8" s="42">
        <v>0.3333333333333333</v>
      </c>
      <c r="AL8" s="42">
        <v>0.3333333333333333</v>
      </c>
      <c r="AM8" s="153"/>
    </row>
    <row r="9">
      <c r="A9" s="47" t="s">
        <v>136</v>
      </c>
      <c r="B9" s="35" t="str">
        <f t="array" ref="B9">XLOOKUP(A9,Roster!F:F,Roster!A:A,"")</f>
        <v>Luis Vidal</v>
      </c>
      <c r="C9" s="35" t="str">
        <f t="array" ref="C9">XLOOKUP(A9,Roster!F:F,Roster!B:B,"")</f>
        <v>Wendy Navarro</v>
      </c>
      <c r="D9" s="40"/>
      <c r="E9" s="133">
        <v>0.3333333333333333</v>
      </c>
      <c r="F9" s="133">
        <v>0.3333333333333333</v>
      </c>
      <c r="G9" s="96" t="s">
        <v>202</v>
      </c>
      <c r="H9" s="133">
        <v>0.3333333333333333</v>
      </c>
      <c r="I9" s="133">
        <v>0.3333333333333333</v>
      </c>
      <c r="J9" s="133">
        <v>0.3333333333333333</v>
      </c>
      <c r="K9" s="42"/>
      <c r="L9" s="133">
        <v>0.3333333333333333</v>
      </c>
      <c r="M9" s="133">
        <v>0.3333333333333333</v>
      </c>
      <c r="N9" s="133">
        <v>0.3333333333333333</v>
      </c>
      <c r="O9" s="133">
        <v>0.3333333333333333</v>
      </c>
      <c r="P9" s="133">
        <v>0.3333333333333333</v>
      </c>
      <c r="Q9" s="96" t="s">
        <v>202</v>
      </c>
      <c r="R9" s="154"/>
      <c r="S9" s="133">
        <v>0.3333333333333333</v>
      </c>
      <c r="T9" s="133">
        <v>0.3333333333333333</v>
      </c>
      <c r="U9" s="133">
        <v>0.3333333333333333</v>
      </c>
      <c r="V9" s="133">
        <v>0.3333333333333333</v>
      </c>
      <c r="W9" s="133">
        <v>0.3333333333333333</v>
      </c>
      <c r="X9" s="96" t="s">
        <v>202</v>
      </c>
      <c r="Y9" s="154"/>
      <c r="Z9" s="133">
        <v>0.3333333333333333</v>
      </c>
      <c r="AA9" s="133">
        <v>0.3333333333333333</v>
      </c>
      <c r="AB9" s="133">
        <v>0.3333333333333333</v>
      </c>
      <c r="AC9" s="133">
        <v>0.3333333333333333</v>
      </c>
      <c r="AD9" s="133">
        <v>0.3333333333333333</v>
      </c>
      <c r="AE9" s="96" t="s">
        <v>202</v>
      </c>
      <c r="AF9" s="43"/>
      <c r="AG9" s="133">
        <v>0.3333333333333333</v>
      </c>
      <c r="AH9" s="133">
        <v>0.3333333333333333</v>
      </c>
      <c r="AI9" s="133">
        <v>0.3333333333333333</v>
      </c>
      <c r="AJ9" s="133">
        <v>0.3333333333333333</v>
      </c>
      <c r="AK9" s="133">
        <v>0.3333333333333333</v>
      </c>
      <c r="AL9" s="96" t="s">
        <v>202</v>
      </c>
      <c r="AM9" s="84"/>
    </row>
    <row r="10">
      <c r="A10" s="151"/>
      <c r="B10" s="124"/>
      <c r="C10" s="155" t="s">
        <v>206</v>
      </c>
      <c r="D10" s="40"/>
      <c r="E10" s="156">
        <f t="shared" ref="E10:J10" si="2">COUNTIF(E2:E6,"6:00")+COUNTIF(E2:E6,"7:00")</f>
        <v>0</v>
      </c>
      <c r="F10" s="156">
        <f t="shared" si="2"/>
        <v>0</v>
      </c>
      <c r="G10" s="156">
        <f t="shared" si="2"/>
        <v>0</v>
      </c>
      <c r="H10" s="156">
        <f t="shared" si="2"/>
        <v>0</v>
      </c>
      <c r="I10" s="156">
        <f t="shared" si="2"/>
        <v>0</v>
      </c>
      <c r="J10" s="156">
        <f t="shared" si="2"/>
        <v>0</v>
      </c>
      <c r="K10" s="43"/>
      <c r="L10" s="156">
        <f t="shared" ref="L10:Q10" si="3">COUNTIF(L2:L6,"6:00")+COUNTIF(L2:L6,"7:00")</f>
        <v>0</v>
      </c>
      <c r="M10" s="156">
        <f t="shared" si="3"/>
        <v>0</v>
      </c>
      <c r="N10" s="156">
        <f t="shared" si="3"/>
        <v>0</v>
      </c>
      <c r="O10" s="156">
        <f t="shared" si="3"/>
        <v>0</v>
      </c>
      <c r="P10" s="156">
        <f t="shared" si="3"/>
        <v>0</v>
      </c>
      <c r="Q10" s="156">
        <f t="shared" si="3"/>
        <v>0</v>
      </c>
      <c r="R10" s="43"/>
      <c r="S10" s="156">
        <f t="shared" ref="S10:X10" si="4">COUNTIF(S2:S6,"6:00")+COUNTIF(S2:S6,"7:00")</f>
        <v>0</v>
      </c>
      <c r="T10" s="156">
        <f t="shared" si="4"/>
        <v>0</v>
      </c>
      <c r="U10" s="156">
        <f t="shared" si="4"/>
        <v>0</v>
      </c>
      <c r="V10" s="156">
        <f t="shared" si="4"/>
        <v>0</v>
      </c>
      <c r="W10" s="156">
        <f t="shared" si="4"/>
        <v>0</v>
      </c>
      <c r="X10" s="156">
        <f t="shared" si="4"/>
        <v>0</v>
      </c>
      <c r="Y10" s="43"/>
      <c r="Z10" s="156">
        <f t="shared" ref="Z10:AE10" si="5">COUNTIF(Z2:Z6,"6:00")+COUNTIF(Z2:Z6,"7:00")</f>
        <v>0</v>
      </c>
      <c r="AA10" s="156">
        <f t="shared" si="5"/>
        <v>0</v>
      </c>
      <c r="AB10" s="156">
        <f t="shared" si="5"/>
        <v>0</v>
      </c>
      <c r="AC10" s="156">
        <f t="shared" si="5"/>
        <v>0</v>
      </c>
      <c r="AD10" s="156">
        <f t="shared" si="5"/>
        <v>0</v>
      </c>
      <c r="AE10" s="156">
        <f t="shared" si="5"/>
        <v>0</v>
      </c>
      <c r="AF10" s="43"/>
      <c r="AG10" s="156">
        <f t="shared" ref="AG10:AL10" si="6">COUNTIF(AG2:AG6,"6:00")+COUNTIF(AG2:AG6,"7:00")</f>
        <v>0</v>
      </c>
      <c r="AH10" s="156">
        <f t="shared" si="6"/>
        <v>0</v>
      </c>
      <c r="AI10" s="156">
        <f t="shared" si="6"/>
        <v>0</v>
      </c>
      <c r="AJ10" s="156">
        <f t="shared" si="6"/>
        <v>0</v>
      </c>
      <c r="AK10" s="156">
        <f t="shared" si="6"/>
        <v>0</v>
      </c>
      <c r="AL10" s="156">
        <f t="shared" si="6"/>
        <v>0</v>
      </c>
      <c r="AM10" s="84"/>
    </row>
    <row r="11">
      <c r="A11" s="123"/>
      <c r="B11" s="124"/>
      <c r="C11" s="125" t="s">
        <v>207</v>
      </c>
      <c r="D11" s="40"/>
      <c r="E11" s="157">
        <f t="shared" ref="E11:J11" si="7">COUNTIF(E2:E6,"8:00")+COUNTIF(E2:E6,"9:00")+COUNTIF(E2:E6,"11:00")</f>
        <v>4</v>
      </c>
      <c r="F11" s="157">
        <f t="shared" si="7"/>
        <v>4</v>
      </c>
      <c r="G11" s="157">
        <f t="shared" si="7"/>
        <v>3</v>
      </c>
      <c r="H11" s="157">
        <f t="shared" si="7"/>
        <v>4</v>
      </c>
      <c r="I11" s="157">
        <f t="shared" si="7"/>
        <v>4</v>
      </c>
      <c r="J11" s="157">
        <f t="shared" si="7"/>
        <v>1</v>
      </c>
      <c r="K11" s="43"/>
      <c r="L11" s="157">
        <f t="shared" ref="L11:Q11" si="8">COUNTIF(L2:L6,"8:00")+COUNTIF(L2:L6,"9:00")+COUNTIF(L2:L6,"11:00")</f>
        <v>4</v>
      </c>
      <c r="M11" s="157">
        <f t="shared" si="8"/>
        <v>4</v>
      </c>
      <c r="N11" s="157">
        <f t="shared" si="8"/>
        <v>4</v>
      </c>
      <c r="O11" s="157">
        <f t="shared" si="8"/>
        <v>4</v>
      </c>
      <c r="P11" s="157">
        <f t="shared" si="8"/>
        <v>4</v>
      </c>
      <c r="Q11" s="157">
        <f t="shared" si="8"/>
        <v>0</v>
      </c>
      <c r="R11" s="43"/>
      <c r="S11" s="157">
        <f t="shared" ref="S11:X11" si="9">COUNTIF(S2:S6,"8:00")+COUNTIF(S2:S6,"9:00")+COUNTIF(S2:S6,"11:00")</f>
        <v>4</v>
      </c>
      <c r="T11" s="157">
        <f t="shared" si="9"/>
        <v>4</v>
      </c>
      <c r="U11" s="157">
        <f t="shared" si="9"/>
        <v>4</v>
      </c>
      <c r="V11" s="157">
        <f t="shared" si="9"/>
        <v>4</v>
      </c>
      <c r="W11" s="157">
        <f t="shared" si="9"/>
        <v>4</v>
      </c>
      <c r="X11" s="157">
        <f t="shared" si="9"/>
        <v>0</v>
      </c>
      <c r="Y11" s="43"/>
      <c r="Z11" s="157">
        <f t="shared" ref="Z11:AE11" si="10">COUNTIF(Z2:Z6,"8:00")+COUNTIF(Z2:Z6,"9:00")+COUNTIF(Z2:Z6,"11:00")</f>
        <v>4</v>
      </c>
      <c r="AA11" s="157">
        <f t="shared" si="10"/>
        <v>4</v>
      </c>
      <c r="AB11" s="157">
        <f t="shared" si="10"/>
        <v>3</v>
      </c>
      <c r="AC11" s="157">
        <f t="shared" si="10"/>
        <v>4</v>
      </c>
      <c r="AD11" s="157">
        <f t="shared" si="10"/>
        <v>4</v>
      </c>
      <c r="AE11" s="157">
        <f t="shared" si="10"/>
        <v>1</v>
      </c>
      <c r="AF11" s="43"/>
      <c r="AG11" s="157">
        <f t="shared" ref="AG11:AL11" si="11">COUNTIF(AG2:AG6,"8:00")+COUNTIF(AG2:AG6,"9:00")+COUNTIF(AG2:AG6,"11:00")</f>
        <v>4</v>
      </c>
      <c r="AH11" s="157">
        <f t="shared" si="11"/>
        <v>4</v>
      </c>
      <c r="AI11" s="157">
        <f t="shared" si="11"/>
        <v>4</v>
      </c>
      <c r="AJ11" s="157">
        <f t="shared" si="11"/>
        <v>4</v>
      </c>
      <c r="AK11" s="157">
        <f t="shared" si="11"/>
        <v>4</v>
      </c>
      <c r="AL11" s="157">
        <f t="shared" si="11"/>
        <v>0</v>
      </c>
      <c r="AM11" s="84"/>
    </row>
    <row r="12">
      <c r="A12" s="59"/>
      <c r="B12" s="124"/>
      <c r="C12" s="126" t="s">
        <v>190</v>
      </c>
      <c r="D12" s="40"/>
      <c r="E12" s="58">
        <f t="shared" ref="E12:J12" si="12">SUM(E10:E11)</f>
        <v>4</v>
      </c>
      <c r="F12" s="58">
        <f t="shared" si="12"/>
        <v>4</v>
      </c>
      <c r="G12" s="58">
        <f t="shared" si="12"/>
        <v>3</v>
      </c>
      <c r="H12" s="58">
        <f t="shared" si="12"/>
        <v>4</v>
      </c>
      <c r="I12" s="58">
        <f t="shared" si="12"/>
        <v>4</v>
      </c>
      <c r="J12" s="58">
        <f t="shared" si="12"/>
        <v>1</v>
      </c>
      <c r="K12" s="43"/>
      <c r="L12" s="58">
        <f t="shared" ref="L12:Q12" si="13">SUM(L10:L11)</f>
        <v>4</v>
      </c>
      <c r="M12" s="58">
        <f t="shared" si="13"/>
        <v>4</v>
      </c>
      <c r="N12" s="58">
        <f t="shared" si="13"/>
        <v>4</v>
      </c>
      <c r="O12" s="58">
        <f t="shared" si="13"/>
        <v>4</v>
      </c>
      <c r="P12" s="58">
        <f t="shared" si="13"/>
        <v>4</v>
      </c>
      <c r="Q12" s="58">
        <f t="shared" si="13"/>
        <v>0</v>
      </c>
      <c r="R12" s="43"/>
      <c r="S12" s="58">
        <f t="shared" ref="S12:X12" si="14">SUM(S10:S11)</f>
        <v>4</v>
      </c>
      <c r="T12" s="58">
        <f t="shared" si="14"/>
        <v>4</v>
      </c>
      <c r="U12" s="58">
        <f t="shared" si="14"/>
        <v>4</v>
      </c>
      <c r="V12" s="58">
        <f t="shared" si="14"/>
        <v>4</v>
      </c>
      <c r="W12" s="58">
        <f t="shared" si="14"/>
        <v>4</v>
      </c>
      <c r="X12" s="58">
        <f t="shared" si="14"/>
        <v>0</v>
      </c>
      <c r="Y12" s="43"/>
      <c r="Z12" s="58">
        <f t="shared" ref="Z12:AE12" si="15">SUM(Z10:Z11)</f>
        <v>4</v>
      </c>
      <c r="AA12" s="58">
        <f t="shared" si="15"/>
        <v>4</v>
      </c>
      <c r="AB12" s="58">
        <f t="shared" si="15"/>
        <v>3</v>
      </c>
      <c r="AC12" s="58">
        <f t="shared" si="15"/>
        <v>4</v>
      </c>
      <c r="AD12" s="58">
        <f t="shared" si="15"/>
        <v>4</v>
      </c>
      <c r="AE12" s="58">
        <f t="shared" si="15"/>
        <v>1</v>
      </c>
      <c r="AF12" s="43"/>
      <c r="AG12" s="58">
        <f t="shared" ref="AG12:AL12" si="16">SUM(AG10:AG11)</f>
        <v>4</v>
      </c>
      <c r="AH12" s="58">
        <f t="shared" si="16"/>
        <v>4</v>
      </c>
      <c r="AI12" s="58">
        <f t="shared" si="16"/>
        <v>4</v>
      </c>
      <c r="AJ12" s="58">
        <f t="shared" si="16"/>
        <v>4</v>
      </c>
      <c r="AK12" s="58">
        <f t="shared" si="16"/>
        <v>4</v>
      </c>
      <c r="AL12" s="58">
        <f t="shared" si="16"/>
        <v>0</v>
      </c>
      <c r="AM12" s="84"/>
    </row>
    <row r="13">
      <c r="A13" s="123"/>
      <c r="B13" s="124"/>
      <c r="C13" s="126" t="s">
        <v>191</v>
      </c>
      <c r="D13" s="40"/>
      <c r="E13" s="128">
        <f t="shared" ref="E13:J13" si="17">COUNTIF(E2:E6,"Free")</f>
        <v>0</v>
      </c>
      <c r="F13" s="128">
        <f t="shared" si="17"/>
        <v>0</v>
      </c>
      <c r="G13" s="128">
        <f t="shared" si="17"/>
        <v>1</v>
      </c>
      <c r="H13" s="128">
        <f t="shared" si="17"/>
        <v>0</v>
      </c>
      <c r="I13" s="128">
        <f t="shared" si="17"/>
        <v>0</v>
      </c>
      <c r="J13" s="128">
        <f t="shared" si="17"/>
        <v>3</v>
      </c>
      <c r="K13" s="43"/>
      <c r="L13" s="128">
        <f t="shared" ref="L13:Q13" si="18">COUNTIF(L2:L6,"Free")</f>
        <v>0</v>
      </c>
      <c r="M13" s="128">
        <f t="shared" si="18"/>
        <v>0</v>
      </c>
      <c r="N13" s="128">
        <f t="shared" si="18"/>
        <v>0</v>
      </c>
      <c r="O13" s="128">
        <f t="shared" si="18"/>
        <v>0</v>
      </c>
      <c r="P13" s="128">
        <f t="shared" si="18"/>
        <v>0</v>
      </c>
      <c r="Q13" s="128">
        <f t="shared" si="18"/>
        <v>4</v>
      </c>
      <c r="R13" s="43"/>
      <c r="S13" s="128">
        <f t="shared" ref="S13:X13" si="19">COUNTIF(S2:S6,"Free")</f>
        <v>0</v>
      </c>
      <c r="T13" s="128">
        <f t="shared" si="19"/>
        <v>0</v>
      </c>
      <c r="U13" s="128">
        <f t="shared" si="19"/>
        <v>0</v>
      </c>
      <c r="V13" s="128">
        <f t="shared" si="19"/>
        <v>0</v>
      </c>
      <c r="W13" s="128">
        <f t="shared" si="19"/>
        <v>0</v>
      </c>
      <c r="X13" s="128">
        <f t="shared" si="19"/>
        <v>4</v>
      </c>
      <c r="Y13" s="43"/>
      <c r="Z13" s="128">
        <f t="shared" ref="Z13:AE13" si="20">COUNTIF(Z2:Z6,"Free")</f>
        <v>0</v>
      </c>
      <c r="AA13" s="128">
        <f t="shared" si="20"/>
        <v>0</v>
      </c>
      <c r="AB13" s="128">
        <f t="shared" si="20"/>
        <v>1</v>
      </c>
      <c r="AC13" s="128">
        <f t="shared" si="20"/>
        <v>0</v>
      </c>
      <c r="AD13" s="128">
        <f t="shared" si="20"/>
        <v>0</v>
      </c>
      <c r="AE13" s="128">
        <f t="shared" si="20"/>
        <v>3</v>
      </c>
      <c r="AF13" s="43"/>
      <c r="AG13" s="128">
        <f t="shared" ref="AG13:AL13" si="21">COUNTIF(AG2:AG6,"Free")</f>
        <v>0</v>
      </c>
      <c r="AH13" s="128">
        <f t="shared" si="21"/>
        <v>0</v>
      </c>
      <c r="AI13" s="128">
        <f t="shared" si="21"/>
        <v>0</v>
      </c>
      <c r="AJ13" s="128">
        <f t="shared" si="21"/>
        <v>0</v>
      </c>
      <c r="AK13" s="128">
        <f t="shared" si="21"/>
        <v>0</v>
      </c>
      <c r="AL13" s="128">
        <f t="shared" si="21"/>
        <v>4</v>
      </c>
      <c r="AM13" s="84"/>
    </row>
  </sheetData>
  <autoFilter ref="$A$2:$AM$9"/>
  <conditionalFormatting sqref="AM3:AM13">
    <cfRule type="containsText" dxfId="10" priority="1" operator="containsText" text="Free">
      <formula>NOT(ISERROR(SEARCH(("Free"),(AM3))))</formula>
    </cfRule>
  </conditionalFormatting>
  <conditionalFormatting sqref="D1:AM1 AM3:AM13">
    <cfRule type="cellIs" dxfId="10" priority="2" operator="equal">
      <formula>"Free"</formula>
    </cfRule>
  </conditionalFormatting>
  <conditionalFormatting sqref="E7:J9 L7:Q9 S7:X9 Z7:AE9 AG7:AL9 AM7:AM13">
    <cfRule type="containsText" dxfId="23" priority="3" operator="containsText" text="Free">
      <formula>NOT(ISERROR(SEARCH(("Free"),(E7))))</formula>
    </cfRule>
  </conditionalFormatting>
  <conditionalFormatting sqref="E7:J9 L7:Q9 S7:X9 Z7:AE9 AG7:AL9 AM7:AM13">
    <cfRule type="containsText" dxfId="24" priority="4" operator="containsText" text="7:00">
      <formula>NOT(ISERROR(SEARCH(("7:00"),(E7))))</formula>
    </cfRule>
  </conditionalFormatting>
  <conditionalFormatting sqref="E7:J9 L7:Q9 S7:X9 Z7:AE9 AG7:AL9 AM7:AM13">
    <cfRule type="containsText" dxfId="25" priority="5" operator="containsText" text="8:00">
      <formula>NOT(ISERROR(SEARCH(("8:00"),(E7))))</formula>
    </cfRule>
  </conditionalFormatting>
  <conditionalFormatting sqref="E7:J9 L7:Q9 S7:X9 Z7:AE9 AG7:AL9 AM7:AM13">
    <cfRule type="containsText" dxfId="26" priority="6" operator="containsText" text="6:00">
      <formula>NOT(ISERROR(SEARCH(("6:00"),(E7))))</formula>
    </cfRule>
  </conditionalFormatting>
  <conditionalFormatting sqref="E7:J9 L7:Q9 S7:X9 Z7:AE9 AG7:AL9 AM7:AM13">
    <cfRule type="containsText" dxfId="27" priority="7" operator="containsText" text="12:00">
      <formula>NOT(ISERROR(SEARCH(("12:00"),(E7))))</formula>
    </cfRule>
  </conditionalFormatting>
  <conditionalFormatting sqref="E7:J9 L7:Q9 S7:X9 Z7:AE9 AG7:AL9 AM7:AM13">
    <cfRule type="containsText" dxfId="28" priority="8" operator="containsText" text="9:00">
      <formula>NOT(ISERROR(SEARCH(("9:00"),(E7))))</formula>
    </cfRule>
  </conditionalFormatting>
  <conditionalFormatting sqref="E7:J9 L7:Q9 S7:X9 Z7:AE9 AG7:AL9 AM7:AM13">
    <cfRule type="containsText" dxfId="29" priority="9" operator="containsText" text="VL">
      <formula>NOT(ISERROR(SEARCH(("VL"),(E7))))</formula>
    </cfRule>
  </conditionalFormatting>
  <conditionalFormatting sqref="AM3:AM13 E7:J9 L7:Q9 S7:X9 Z7:AE9 AG7:AL9">
    <cfRule type="containsText" dxfId="1" priority="10" operator="containsText" text="12:00">
      <formula>NOT(ISERROR(SEARCH(("12:00"),(AM3))))</formula>
    </cfRule>
  </conditionalFormatting>
  <conditionalFormatting sqref="AM3:AM13 E7:J9 L7:Q9 S7:X9 Z7:AE9 AG7:AL9">
    <cfRule type="containsText" dxfId="9" priority="11" operator="containsText" text="6:30">
      <formula>NOT(ISERROR(SEARCH(("6:30"),(AM3))))</formula>
    </cfRule>
  </conditionalFormatting>
  <conditionalFormatting sqref="E7:J9 L7:Q9 S7:X9 Z7:AE9 AG7:AL9 AM7:AM13">
    <cfRule type="containsText" dxfId="9" priority="12" operator="containsText" text="Free">
      <formula>NOT(ISERROR(SEARCH(("Free"),(E7))))</formula>
    </cfRule>
  </conditionalFormatting>
  <conditionalFormatting sqref="E7:J9 L7:Q9 S7:X9 Z7:AE9 AG7:AL9 AM7:AM13">
    <cfRule type="containsText" dxfId="1" priority="13" operator="containsText" text="7:00">
      <formula>NOT(ISERROR(SEARCH(("7:00"),(E7))))</formula>
    </cfRule>
  </conditionalFormatting>
  <conditionalFormatting sqref="E7:J9 L7:Q9 S7:X9 Z7:AE9 AG7:AL9 AM7:AM13">
    <cfRule type="containsText" dxfId="11" priority="14" operator="containsText" text="6:00">
      <formula>NOT(ISERROR(SEARCH(("6:00"),(E7))))</formula>
    </cfRule>
  </conditionalFormatting>
  <conditionalFormatting sqref="E7:J9 L7:Q9 S7:X9 Z7:AE9 AG7:AL9 AM7:AM13">
    <cfRule type="containsText" dxfId="4" priority="15" operator="containsText" text="5:00">
      <formula>NOT(ISERROR(SEARCH(("5:00"),(E7))))</formula>
    </cfRule>
  </conditionalFormatting>
  <conditionalFormatting sqref="E7:J9 L7:Q9 S7:X9 Z7:AE9 AG7:AL9 AM7:AM13">
    <cfRule type="containsText" dxfId="12" priority="16" operator="containsText" text="10:00">
      <formula>NOT(ISERROR(SEARCH(("10:00"),(E7))))</formula>
    </cfRule>
  </conditionalFormatting>
  <conditionalFormatting sqref="E7:J9 L7:Q9 S7:X9 Z7:AE9 AG7:AL9 AM7:AM13">
    <cfRule type="containsText" dxfId="13" priority="17" operator="containsText" text="9:00">
      <formula>NOT(ISERROR(SEARCH(("9:00"),(E7))))</formula>
    </cfRule>
  </conditionalFormatting>
  <conditionalFormatting sqref="E7:J9 L7:Q9 S7:X9 Z7:AE9 AG7:AL9 AM7:AM13">
    <cfRule type="containsText" dxfId="14" priority="18" operator="containsText" text="11:00">
      <formula>NOT(ISERROR(SEARCH(("11:00"),(E7))))</formula>
    </cfRule>
  </conditionalFormatting>
  <conditionalFormatting sqref="E7:J9 L7:Q9 S7:X9 Z7:AE9 AG7:AL9 AM7:AM13">
    <cfRule type="cellIs" dxfId="15" priority="19" operator="equal">
      <formula>"Free"</formula>
    </cfRule>
  </conditionalFormatting>
  <conditionalFormatting sqref="D1:AM1 AM3:AM13 E7:J9 L7:Q9 S7:X9 Z7:AE9 AG7:AL9">
    <cfRule type="containsText" dxfId="2" priority="20" operator="containsText" text="7:00">
      <formula>NOT(ISERROR(SEARCH(("7:00"),(D1))))</formula>
    </cfRule>
  </conditionalFormatting>
  <conditionalFormatting sqref="D1:AM1 AM3:AM13 E7:J9 L7:Q9 S7:X9 Z7:AE9 AG7:AL9">
    <cfRule type="containsText" dxfId="0" priority="21" operator="containsText" text="5:00">
      <formula>NOT(ISERROR(SEARCH(("5:00"),(D1))))</formula>
    </cfRule>
  </conditionalFormatting>
  <conditionalFormatting sqref="D1:AM1 AM3:AM13 E7:J9 L7:Q9 S7:X9 Z7:AE9 AG7:AL9">
    <cfRule type="containsText" dxfId="1" priority="22" operator="containsText" text="6:00">
      <formula>NOT(ISERROR(SEARCH(("6:00"),(D1))))</formula>
    </cfRule>
  </conditionalFormatting>
  <conditionalFormatting sqref="D1:AM1 AM3:AM13 E7:J9 L7:Q9 S7:X9 Z7:AE9 AG7:AL9">
    <cfRule type="containsText" dxfId="16" priority="23" operator="containsText" text="7:00">
      <formula>NOT(ISERROR(SEARCH(("7:00"),(D1))))</formula>
    </cfRule>
  </conditionalFormatting>
  <conditionalFormatting sqref="D1:AM1 E7:J9 L7:Q9 S7:X9 Z7:AE9 AG7:AL9 AM7:AM13">
    <cfRule type="containsText" dxfId="3" priority="24" operator="containsText" text="8:00">
      <formula>NOT(ISERROR(SEARCH(("8:00"),(D1))))</formula>
    </cfRule>
  </conditionalFormatting>
  <conditionalFormatting sqref="D1:AM1 AM3:AM13 E7:J9 L7:Q9 S7:X9 Z7:AE9 AG7:AL9">
    <cfRule type="containsText" dxfId="4" priority="25" operator="containsText" text="5:30">
      <formula>NOT(ISERROR(SEARCH(("5:30"),(D1))))</formula>
    </cfRule>
  </conditionalFormatting>
  <conditionalFormatting sqref="D1:AM1 AM3:AM13 E7:J9 L7:Q9 S7:X9 Z7:AE9 AG7:AL9">
    <cfRule type="containsText" dxfId="5" priority="26" operator="containsText" text="9:00">
      <formula>NOT(ISERROR(SEARCH(("9:00"),(D1))))</formula>
    </cfRule>
  </conditionalFormatting>
  <conditionalFormatting sqref="D1:AM1 AM3:AM13 E7:J9 L7:Q9 S7:X9 Z7:AE9 AG7:AL9">
    <cfRule type="containsText" dxfId="6" priority="27" operator="containsText" text="10:00">
      <formula>NOT(ISERROR(SEARCH(("10:00"),(D1))))</formula>
    </cfRule>
  </conditionalFormatting>
  <conditionalFormatting sqref="D1:AM1 AM3:AM13 E7:J9 L7:Q9 S7:X9 Z7:AE9 AG7:AL9">
    <cfRule type="containsText" dxfId="7" priority="28" operator="containsText" text="11:00">
      <formula>NOT(ISERROR(SEARCH(("11:00"),(D1))))</formula>
    </cfRule>
  </conditionalFormatting>
  <conditionalFormatting sqref="A1:AM1 E7:J9 L7:Q9 S7:X9 Z7:AE9 AG7:AL9 AM7:AM13">
    <cfRule type="containsText" dxfId="17" priority="29" operator="containsText" text="5:00">
      <formula>NOT(ISERROR(SEARCH(("5:00"),(A1))))</formula>
    </cfRule>
  </conditionalFormatting>
  <conditionalFormatting sqref="A1:AM1 E7:J9 L7:Q9 S7:X9 Z7:AE9 AG7:AL9 AM7:AM13">
    <cfRule type="containsText" dxfId="18" priority="30" operator="containsText" text="6:00">
      <formula>NOT(ISERROR(SEARCH(("6:00"),(A1))))</formula>
    </cfRule>
  </conditionalFormatting>
  <conditionalFormatting sqref="D1:AM1 AM3:AM13 E7:J9 L7:Q9 S7:X9 Z7:AE9 AG7:AL9">
    <cfRule type="containsText" dxfId="8" priority="31" operator="containsText" text="12:00">
      <formula>NOT(ISERROR(SEARCH(("12:00"),(D1))))</formula>
    </cfRule>
  </conditionalFormatting>
  <conditionalFormatting sqref="D1:AM1 AM3:AM13 E7:J9 L7:Q9 S7:X9 Z7:AE9 AG7:AL9">
    <cfRule type="containsText" dxfId="20" priority="32" operator="containsText" text="7:00">
      <formula>NOT(ISERROR(SEARCH(("7:00"),(D1))))</formula>
    </cfRule>
  </conditionalFormatting>
  <conditionalFormatting sqref="D1:AM1 AM3:AM13 E7:J9 L7:Q9 S7:X9 Z7:AE9 AG7:AL9">
    <cfRule type="containsText" dxfId="21" priority="33" operator="containsText" text="8:00">
      <formula>NOT(ISERROR(SEARCH(("8:00"),(D1))))</formula>
    </cfRule>
  </conditionalFormatting>
  <conditionalFormatting sqref="D1:AM1 AM3:AM13 E7:J9 L7:Q9 S7:X9 Z7:AE9 AG7:AL9">
    <cfRule type="containsText" dxfId="22" priority="34" operator="containsText" text="9:00">
      <formula>NOT(ISERROR(SEARCH(("9:00"),(D1))))</formula>
    </cfRule>
  </conditionalFormatting>
  <conditionalFormatting sqref="A1:C9 D1:D13 E1:J9 K1:K13 L1:Q9 R1:R13 S1:X9 Y1:Y13 Z1:AE9 AF1:AF13 AG1:AL9 AM1:AM13">
    <cfRule type="cellIs" dxfId="23" priority="35" operator="equal">
      <formula>"Free"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10" width="7.63"/>
    <col customWidth="1" min="11" max="31" width="8.5"/>
    <col customWidth="1" min="32" max="37" width="7.0"/>
  </cols>
  <sheetData>
    <row r="1">
      <c r="A1" s="158" t="s">
        <v>208</v>
      </c>
      <c r="B1" s="36">
        <v>45837.0</v>
      </c>
      <c r="C1" s="36">
        <v>45838.0</v>
      </c>
      <c r="D1" s="36">
        <v>45839.0</v>
      </c>
      <c r="E1" s="36">
        <v>45840.0</v>
      </c>
      <c r="F1" s="36">
        <v>45841.0</v>
      </c>
      <c r="G1" s="36">
        <v>45842.0</v>
      </c>
      <c r="H1" s="36">
        <v>45843.0</v>
      </c>
      <c r="I1" s="36">
        <v>45844.0</v>
      </c>
      <c r="J1" s="36">
        <v>45845.0</v>
      </c>
      <c r="K1" s="36">
        <v>45846.0</v>
      </c>
      <c r="L1" s="36">
        <v>45847.0</v>
      </c>
      <c r="M1" s="36">
        <v>45848.0</v>
      </c>
      <c r="N1" s="36">
        <v>45849.0</v>
      </c>
      <c r="O1" s="36">
        <v>45850.0</v>
      </c>
      <c r="P1" s="36">
        <v>45851.0</v>
      </c>
      <c r="Q1" s="36">
        <v>45852.0</v>
      </c>
      <c r="R1" s="36">
        <v>45853.0</v>
      </c>
      <c r="S1" s="36">
        <v>45854.0</v>
      </c>
      <c r="T1" s="36">
        <v>45855.0</v>
      </c>
      <c r="U1" s="36">
        <v>45856.0</v>
      </c>
      <c r="V1" s="36">
        <v>45857.0</v>
      </c>
      <c r="W1" s="36">
        <v>45858.0</v>
      </c>
      <c r="X1" s="36">
        <v>45859.0</v>
      </c>
      <c r="Y1" s="36">
        <v>45860.0</v>
      </c>
      <c r="Z1" s="36">
        <v>45861.0</v>
      </c>
      <c r="AA1" s="36">
        <v>45862.0</v>
      </c>
      <c r="AB1" s="36">
        <v>45863.0</v>
      </c>
      <c r="AC1" s="36">
        <v>45864.0</v>
      </c>
      <c r="AD1" s="36">
        <v>45865.0</v>
      </c>
      <c r="AE1" s="36">
        <v>45866.0</v>
      </c>
      <c r="AF1" s="36">
        <v>45867.0</v>
      </c>
      <c r="AG1" s="36">
        <v>45868.0</v>
      </c>
      <c r="AH1" s="36">
        <v>45869.0</v>
      </c>
      <c r="AI1" s="36">
        <v>45870.0</v>
      </c>
      <c r="AJ1" s="36">
        <v>45871.0</v>
      </c>
      <c r="AK1" s="36">
        <v>45872.0</v>
      </c>
    </row>
    <row r="2">
      <c r="A2" s="159"/>
      <c r="B2" s="160">
        <f t="shared" ref="B2:AK2" si="1">B1</f>
        <v>45837</v>
      </c>
      <c r="C2" s="160">
        <f t="shared" si="1"/>
        <v>45838</v>
      </c>
      <c r="D2" s="160">
        <f t="shared" si="1"/>
        <v>45839</v>
      </c>
      <c r="E2" s="160">
        <f t="shared" si="1"/>
        <v>45840</v>
      </c>
      <c r="F2" s="160">
        <f t="shared" si="1"/>
        <v>45841</v>
      </c>
      <c r="G2" s="160">
        <f t="shared" si="1"/>
        <v>45842</v>
      </c>
      <c r="H2" s="160">
        <f t="shared" si="1"/>
        <v>45843</v>
      </c>
      <c r="I2" s="160">
        <f t="shared" si="1"/>
        <v>45844</v>
      </c>
      <c r="J2" s="160">
        <f t="shared" si="1"/>
        <v>45845</v>
      </c>
      <c r="K2" s="160">
        <f t="shared" si="1"/>
        <v>45846</v>
      </c>
      <c r="L2" s="160">
        <f t="shared" si="1"/>
        <v>45847</v>
      </c>
      <c r="M2" s="160">
        <f t="shared" si="1"/>
        <v>45848</v>
      </c>
      <c r="N2" s="160">
        <f t="shared" si="1"/>
        <v>45849</v>
      </c>
      <c r="O2" s="160">
        <f t="shared" si="1"/>
        <v>45850</v>
      </c>
      <c r="P2" s="160">
        <f t="shared" si="1"/>
        <v>45851</v>
      </c>
      <c r="Q2" s="160">
        <f t="shared" si="1"/>
        <v>45852</v>
      </c>
      <c r="R2" s="160">
        <f t="shared" si="1"/>
        <v>45853</v>
      </c>
      <c r="S2" s="160">
        <f t="shared" si="1"/>
        <v>45854</v>
      </c>
      <c r="T2" s="160">
        <f t="shared" si="1"/>
        <v>45855</v>
      </c>
      <c r="U2" s="160">
        <f t="shared" si="1"/>
        <v>45856</v>
      </c>
      <c r="V2" s="160">
        <f t="shared" si="1"/>
        <v>45857</v>
      </c>
      <c r="W2" s="160">
        <f t="shared" si="1"/>
        <v>45858</v>
      </c>
      <c r="X2" s="160">
        <f t="shared" si="1"/>
        <v>45859</v>
      </c>
      <c r="Y2" s="160">
        <f t="shared" si="1"/>
        <v>45860</v>
      </c>
      <c r="Z2" s="160">
        <f t="shared" si="1"/>
        <v>45861</v>
      </c>
      <c r="AA2" s="160">
        <f t="shared" si="1"/>
        <v>45862</v>
      </c>
      <c r="AB2" s="160">
        <f t="shared" si="1"/>
        <v>45863</v>
      </c>
      <c r="AC2" s="160">
        <f t="shared" si="1"/>
        <v>45864</v>
      </c>
      <c r="AD2" s="160">
        <f t="shared" si="1"/>
        <v>45865</v>
      </c>
      <c r="AE2" s="160">
        <f t="shared" si="1"/>
        <v>45866</v>
      </c>
      <c r="AF2" s="160">
        <f t="shared" si="1"/>
        <v>45867</v>
      </c>
      <c r="AG2" s="160">
        <f t="shared" si="1"/>
        <v>45868</v>
      </c>
      <c r="AH2" s="160">
        <f t="shared" si="1"/>
        <v>45869</v>
      </c>
      <c r="AI2" s="160">
        <f t="shared" si="1"/>
        <v>45870</v>
      </c>
      <c r="AJ2" s="160">
        <f t="shared" si="1"/>
        <v>45871</v>
      </c>
      <c r="AK2" s="160">
        <f t="shared" si="1"/>
        <v>45872</v>
      </c>
    </row>
    <row r="3">
      <c r="A3" s="161" t="s">
        <v>209</v>
      </c>
      <c r="B3" s="162"/>
      <c r="C3" s="163">
        <v>0.3333333333333333</v>
      </c>
      <c r="D3" s="164">
        <v>0.3333333333333333</v>
      </c>
      <c r="E3" s="165"/>
      <c r="F3" s="164">
        <v>0.3333333333333333</v>
      </c>
      <c r="G3" s="164">
        <v>0.3333333333333333</v>
      </c>
      <c r="H3" s="164">
        <v>0.3333333333333333</v>
      </c>
      <c r="I3" s="162"/>
      <c r="J3" s="163">
        <v>0.3333333333333333</v>
      </c>
      <c r="K3" s="164">
        <v>0.3333333333333333</v>
      </c>
      <c r="L3" s="165"/>
      <c r="M3" s="164">
        <v>0.3333333333333333</v>
      </c>
      <c r="N3" s="164">
        <v>0.3333333333333333</v>
      </c>
      <c r="O3" s="164">
        <v>0.3333333333333333</v>
      </c>
      <c r="P3" s="162"/>
      <c r="Q3" s="166">
        <v>0.4583333333333333</v>
      </c>
      <c r="R3" s="167">
        <v>0.375</v>
      </c>
      <c r="S3" s="165"/>
      <c r="T3" s="167">
        <v>0.375</v>
      </c>
      <c r="U3" s="167">
        <v>0.375</v>
      </c>
      <c r="V3" s="167">
        <v>0.375</v>
      </c>
      <c r="W3" s="168"/>
      <c r="X3" s="166">
        <v>0.4583333333333333</v>
      </c>
      <c r="Y3" s="167">
        <v>0.375</v>
      </c>
      <c r="Z3" s="165"/>
      <c r="AA3" s="167">
        <v>0.375</v>
      </c>
      <c r="AB3" s="167">
        <v>0.375</v>
      </c>
      <c r="AC3" s="167">
        <v>0.375</v>
      </c>
      <c r="AD3" s="160"/>
      <c r="AE3" s="166">
        <v>0.4583333333333333</v>
      </c>
      <c r="AF3" s="167">
        <v>0.375</v>
      </c>
      <c r="AG3" s="165"/>
      <c r="AH3" s="167">
        <v>0.375</v>
      </c>
      <c r="AI3" s="167">
        <v>0.375</v>
      </c>
      <c r="AJ3" s="167">
        <v>0.375</v>
      </c>
      <c r="AK3" s="160"/>
    </row>
    <row r="4">
      <c r="A4" s="169" t="s">
        <v>210</v>
      </c>
      <c r="B4" s="162"/>
      <c r="C4" s="166">
        <v>0.4583333333333333</v>
      </c>
      <c r="D4" s="166">
        <v>0.4583333333333333</v>
      </c>
      <c r="F4" s="166">
        <v>0.4583333333333333</v>
      </c>
      <c r="G4" s="166">
        <v>0.4583333333333333</v>
      </c>
      <c r="H4" s="166">
        <v>0.4583333333333333</v>
      </c>
      <c r="I4" s="162"/>
      <c r="J4" s="166">
        <v>0.4583333333333333</v>
      </c>
      <c r="K4" s="166">
        <v>0.4583333333333333</v>
      </c>
      <c r="M4" s="166">
        <v>0.4583333333333333</v>
      </c>
      <c r="N4" s="166">
        <v>0.4583333333333333</v>
      </c>
      <c r="O4" s="166">
        <v>0.4583333333333333</v>
      </c>
      <c r="P4" s="162"/>
      <c r="Q4" s="166">
        <v>0.4583333333333333</v>
      </c>
      <c r="R4" s="166">
        <v>0.4583333333333333</v>
      </c>
      <c r="T4" s="166">
        <v>0.4583333333333333</v>
      </c>
      <c r="U4" s="166">
        <v>0.4583333333333333</v>
      </c>
      <c r="V4" s="166">
        <v>0.4583333333333333</v>
      </c>
      <c r="W4" s="162"/>
      <c r="X4" s="167">
        <v>0.375</v>
      </c>
      <c r="Y4" s="167">
        <v>0.375</v>
      </c>
      <c r="Z4" s="167">
        <v>0.375</v>
      </c>
      <c r="AA4" s="167">
        <v>0.375</v>
      </c>
      <c r="AB4" s="167">
        <v>0.375</v>
      </c>
      <c r="AC4" s="162"/>
      <c r="AD4" s="160"/>
      <c r="AE4" s="166">
        <v>0.4583333333333333</v>
      </c>
      <c r="AF4" s="166">
        <v>0.4583333333333333</v>
      </c>
      <c r="AH4" s="166">
        <v>0.4583333333333333</v>
      </c>
      <c r="AI4" s="166">
        <v>0.4583333333333333</v>
      </c>
      <c r="AJ4" s="166">
        <v>0.4583333333333333</v>
      </c>
      <c r="AK4" s="160"/>
    </row>
    <row r="5">
      <c r="A5" s="161" t="s">
        <v>211</v>
      </c>
      <c r="B5" s="162"/>
      <c r="C5" s="170">
        <v>0.25</v>
      </c>
      <c r="D5" s="171">
        <v>0.25</v>
      </c>
      <c r="E5" s="172">
        <v>0.3333333333333333</v>
      </c>
      <c r="F5" s="171">
        <v>0.25</v>
      </c>
      <c r="G5" s="171">
        <v>0.25</v>
      </c>
      <c r="H5" s="173"/>
      <c r="I5" s="162"/>
      <c r="J5" s="171">
        <v>0.25</v>
      </c>
      <c r="K5" s="171">
        <v>0.25</v>
      </c>
      <c r="L5" s="171">
        <v>0.25</v>
      </c>
      <c r="M5" s="171">
        <v>0.25</v>
      </c>
      <c r="N5" s="171">
        <v>0.25</v>
      </c>
      <c r="O5" s="162"/>
      <c r="P5" s="162"/>
      <c r="R5" s="171">
        <v>0.25</v>
      </c>
      <c r="S5" s="166">
        <v>0.4583333333333333</v>
      </c>
      <c r="T5" s="171">
        <v>0.25</v>
      </c>
      <c r="U5" s="171">
        <v>0.25</v>
      </c>
      <c r="V5" s="171">
        <v>0.25</v>
      </c>
      <c r="W5" s="162"/>
      <c r="X5" s="171">
        <v>0.25</v>
      </c>
      <c r="Y5" s="171">
        <v>0.25</v>
      </c>
      <c r="Z5" s="171">
        <v>0.25</v>
      </c>
      <c r="AA5" s="171">
        <v>0.25</v>
      </c>
      <c r="AB5" s="171">
        <v>0.25</v>
      </c>
      <c r="AC5" s="160"/>
      <c r="AD5" s="160"/>
      <c r="AE5" s="171">
        <v>0.25</v>
      </c>
      <c r="AF5" s="171">
        <v>0.25</v>
      </c>
      <c r="AG5" s="171">
        <v>0.25</v>
      </c>
      <c r="AH5" s="171">
        <v>0.25</v>
      </c>
      <c r="AI5" s="171">
        <v>0.25</v>
      </c>
      <c r="AJ5" s="160"/>
      <c r="AK5" s="160"/>
    </row>
    <row r="6">
      <c r="A6" s="161" t="s">
        <v>212</v>
      </c>
      <c r="B6" s="174"/>
      <c r="C6" s="175">
        <v>0.2916666666666667</v>
      </c>
      <c r="D6" s="175">
        <v>0.2916666666666667</v>
      </c>
      <c r="E6" s="175">
        <v>0.2916666666666667</v>
      </c>
      <c r="F6" s="175">
        <v>0.2916666666666667</v>
      </c>
      <c r="G6" s="175">
        <v>0.2916666666666667</v>
      </c>
      <c r="H6" s="174"/>
      <c r="I6" s="174"/>
      <c r="J6" s="175">
        <v>0.2916666666666667</v>
      </c>
      <c r="K6" s="175">
        <v>0.2916666666666667</v>
      </c>
      <c r="L6" s="175">
        <v>0.2916666666666667</v>
      </c>
      <c r="M6" s="175">
        <v>0.2916666666666667</v>
      </c>
      <c r="N6" s="175">
        <v>0.2916666666666667</v>
      </c>
      <c r="O6" s="174"/>
      <c r="P6" s="174"/>
      <c r="Q6" s="175">
        <v>0.2916666666666667</v>
      </c>
      <c r="R6" s="175">
        <v>0.2916666666666667</v>
      </c>
      <c r="S6" s="175">
        <v>0.2916666666666667</v>
      </c>
      <c r="T6" s="175">
        <v>0.2916666666666667</v>
      </c>
      <c r="U6" s="175">
        <v>0.2916666666666667</v>
      </c>
      <c r="V6" s="174"/>
      <c r="W6" s="174"/>
      <c r="X6" s="175">
        <v>0.2916666666666667</v>
      </c>
      <c r="Y6" s="175">
        <v>0.2916666666666667</v>
      </c>
      <c r="Z6" s="175">
        <v>0.2916666666666667</v>
      </c>
      <c r="AA6" s="175">
        <v>0.2916666666666667</v>
      </c>
      <c r="AB6" s="175">
        <v>0.2916666666666667</v>
      </c>
      <c r="AC6" s="174"/>
      <c r="AD6" s="160"/>
      <c r="AE6" s="175">
        <v>0.2916666666666667</v>
      </c>
      <c r="AF6" s="175">
        <v>0.2916666666666667</v>
      </c>
      <c r="AG6" s="175">
        <v>0.2916666666666667</v>
      </c>
      <c r="AH6" s="175">
        <v>0.2916666666666667</v>
      </c>
      <c r="AI6" s="175">
        <v>0.2916666666666667</v>
      </c>
      <c r="AJ6" s="174"/>
      <c r="AK6" s="160"/>
    </row>
    <row r="7">
      <c r="A7" s="161" t="s">
        <v>213</v>
      </c>
      <c r="B7" s="162"/>
      <c r="C7" s="172">
        <v>0.3333333333333333</v>
      </c>
      <c r="D7" s="172">
        <v>0.3333333333333333</v>
      </c>
      <c r="E7" s="166">
        <v>0.4583333333333333</v>
      </c>
      <c r="F7" s="172">
        <v>0.3333333333333333</v>
      </c>
      <c r="G7" s="172">
        <v>0.3333333333333333</v>
      </c>
      <c r="I7" s="162"/>
      <c r="J7" s="164">
        <v>0.3333333333333333</v>
      </c>
      <c r="K7" s="164">
        <v>0.3333333333333333</v>
      </c>
      <c r="L7" s="164">
        <v>0.3333333333333333</v>
      </c>
      <c r="M7" s="164">
        <v>0.3333333333333333</v>
      </c>
      <c r="O7" s="170">
        <v>0.25</v>
      </c>
      <c r="P7" s="162"/>
      <c r="Q7" s="172">
        <v>0.3333333333333333</v>
      </c>
      <c r="R7" s="172">
        <v>0.3333333333333333</v>
      </c>
      <c r="S7" s="172">
        <v>0.3333333333333333</v>
      </c>
      <c r="T7" s="172">
        <v>0.3333333333333333</v>
      </c>
      <c r="U7" s="172">
        <v>0.3333333333333333</v>
      </c>
      <c r="V7" s="162"/>
      <c r="W7" s="162"/>
      <c r="X7" s="172">
        <v>0.3333333333333333</v>
      </c>
      <c r="Y7" s="172">
        <v>0.3333333333333333</v>
      </c>
      <c r="Z7" s="166">
        <v>0.4583333333333333</v>
      </c>
      <c r="AA7" s="172">
        <v>0.3333333333333333</v>
      </c>
      <c r="AB7" s="172">
        <v>0.3333333333333333</v>
      </c>
      <c r="AC7" s="162"/>
      <c r="AD7" s="160"/>
      <c r="AE7" s="162"/>
      <c r="AF7" s="172">
        <v>0.3333333333333333</v>
      </c>
      <c r="AG7" s="172">
        <v>0.3333333333333333</v>
      </c>
      <c r="AH7" s="172">
        <v>0.3333333333333333</v>
      </c>
      <c r="AI7" s="172">
        <v>0.3333333333333333</v>
      </c>
      <c r="AJ7" s="171">
        <v>0.25</v>
      </c>
      <c r="AK7" s="160"/>
    </row>
    <row r="8">
      <c r="A8" s="161" t="s">
        <v>214</v>
      </c>
      <c r="B8" s="162"/>
      <c r="C8" s="164">
        <v>0.3333333333333333</v>
      </c>
      <c r="D8" s="163">
        <v>0.3333333333333333</v>
      </c>
      <c r="E8" s="171">
        <v>0.25</v>
      </c>
      <c r="F8" s="164">
        <v>0.3333333333333333</v>
      </c>
      <c r="G8" s="162"/>
      <c r="H8" s="171">
        <v>0.25</v>
      </c>
      <c r="I8" s="162"/>
      <c r="J8" s="172">
        <v>0.3333333333333333</v>
      </c>
      <c r="K8" s="172">
        <v>0.3333333333333333</v>
      </c>
      <c r="L8" s="166">
        <v>0.4583333333333333</v>
      </c>
      <c r="M8" s="172">
        <v>0.3333333333333333</v>
      </c>
      <c r="N8" s="172">
        <v>0.3333333333333333</v>
      </c>
      <c r="P8" s="162"/>
      <c r="Q8" s="170">
        <v>0.25</v>
      </c>
      <c r="R8" s="172">
        <v>0.3333333333333333</v>
      </c>
      <c r="S8" s="170">
        <v>0.25</v>
      </c>
      <c r="T8" s="172">
        <v>0.3333333333333333</v>
      </c>
      <c r="U8" s="172">
        <v>0.3333333333333333</v>
      </c>
      <c r="W8" s="162"/>
      <c r="X8" s="162"/>
      <c r="Y8" s="172">
        <v>0.3333333333333333</v>
      </c>
      <c r="Z8" s="172">
        <v>0.3333333333333333</v>
      </c>
      <c r="AA8" s="172">
        <v>0.3333333333333333</v>
      </c>
      <c r="AB8" s="172">
        <v>0.3333333333333333</v>
      </c>
      <c r="AC8" s="171">
        <v>0.25</v>
      </c>
      <c r="AD8" s="160"/>
      <c r="AE8" s="172">
        <v>0.3333333333333333</v>
      </c>
      <c r="AF8" s="172">
        <v>0.3333333333333333</v>
      </c>
      <c r="AG8" s="166">
        <v>0.4583333333333333</v>
      </c>
      <c r="AH8" s="172">
        <v>0.3333333333333333</v>
      </c>
      <c r="AI8" s="172">
        <v>0.3333333333333333</v>
      </c>
      <c r="AK8" s="160"/>
    </row>
  </sheetData>
  <mergeCells count="1">
    <mergeCell ref="A1:A2"/>
  </mergeCells>
  <conditionalFormatting sqref="B1:AK1">
    <cfRule type="containsText" dxfId="17" priority="1" operator="containsText" text="5:00">
      <formula>NOT(ISERROR(SEARCH(("5:00"),(B1))))</formula>
    </cfRule>
  </conditionalFormatting>
  <conditionalFormatting sqref="B1:AK1">
    <cfRule type="containsText" dxfId="18" priority="2" operator="containsText" text="6:00">
      <formula>NOT(ISERROR(SEARCH(("6:00"),(B1))))</formula>
    </cfRule>
  </conditionalFormatting>
  <conditionalFormatting sqref="B1:AK1">
    <cfRule type="containsText" dxfId="2" priority="3" operator="containsText" text="7:00">
      <formula>NOT(ISERROR(SEARCH(("7:00"),(B1))))</formula>
    </cfRule>
  </conditionalFormatting>
  <conditionalFormatting sqref="B1:AK1">
    <cfRule type="cellIs" dxfId="23" priority="4" operator="equal">
      <formula>"Free"</formula>
    </cfRule>
  </conditionalFormatting>
  <conditionalFormatting sqref="B1:AK1">
    <cfRule type="containsText" dxfId="20" priority="5" operator="containsText" text="7:00">
      <formula>NOT(ISERROR(SEARCH(("7:00"),(B1))))</formula>
    </cfRule>
  </conditionalFormatting>
  <conditionalFormatting sqref="B1:AK1">
    <cfRule type="containsText" dxfId="21" priority="6" operator="containsText" text="8:00">
      <formula>NOT(ISERROR(SEARCH(("8:00"),(B1))))</formula>
    </cfRule>
  </conditionalFormatting>
  <conditionalFormatting sqref="B1:AK1">
    <cfRule type="containsText" dxfId="22" priority="7" operator="containsText" text="9:00">
      <formula>NOT(ISERROR(SEARCH(("9:00"),(B1))))</formula>
    </cfRule>
  </conditionalFormatting>
  <conditionalFormatting sqref="B1:AK1">
    <cfRule type="containsText" dxfId="0" priority="8" operator="containsText" text="5:00">
      <formula>NOT(ISERROR(SEARCH(("5:00"),(B1))))</formula>
    </cfRule>
  </conditionalFormatting>
  <conditionalFormatting sqref="B1:AK1">
    <cfRule type="containsText" dxfId="1" priority="9" operator="containsText" text="6:00">
      <formula>NOT(ISERROR(SEARCH(("6:00"),(B1))))</formula>
    </cfRule>
  </conditionalFormatting>
  <conditionalFormatting sqref="B1:AK1">
    <cfRule type="containsText" dxfId="16" priority="10" operator="containsText" text="7:00">
      <formula>NOT(ISERROR(SEARCH(("7:00"),(B1))))</formula>
    </cfRule>
  </conditionalFormatting>
  <conditionalFormatting sqref="B1:AK1">
    <cfRule type="containsText" dxfId="3" priority="11" operator="containsText" text="8:00">
      <formula>NOT(ISERROR(SEARCH(("8:00"),(B1))))</formula>
    </cfRule>
  </conditionalFormatting>
  <conditionalFormatting sqref="B1:AK1">
    <cfRule type="containsText" dxfId="4" priority="12" operator="containsText" text="5:30">
      <formula>NOT(ISERROR(SEARCH(("5:30"),(B1))))</formula>
    </cfRule>
  </conditionalFormatting>
  <conditionalFormatting sqref="B1:AK1">
    <cfRule type="containsText" dxfId="5" priority="13" operator="containsText" text="9:00">
      <formula>NOT(ISERROR(SEARCH(("9:00"),(B1))))</formula>
    </cfRule>
  </conditionalFormatting>
  <conditionalFormatting sqref="B1:AK1">
    <cfRule type="containsText" dxfId="6" priority="14" operator="containsText" text="10:00">
      <formula>NOT(ISERROR(SEARCH(("10:00"),(B1))))</formula>
    </cfRule>
  </conditionalFormatting>
  <conditionalFormatting sqref="B1:AK1">
    <cfRule type="containsText" dxfId="7" priority="15" operator="containsText" text="11:00">
      <formula>NOT(ISERROR(SEARCH(("11:00"),(B1))))</formula>
    </cfRule>
  </conditionalFormatting>
  <conditionalFormatting sqref="B1:AK1">
    <cfRule type="containsText" dxfId="8" priority="16" operator="containsText" text="12:00">
      <formula>NOT(ISERROR(SEARCH(("12:00"),(B1))))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8.13"/>
    <col customWidth="1" min="3" max="3" width="11.38"/>
    <col customWidth="1" min="4" max="4" width="7.75"/>
    <col customWidth="1" min="5" max="5" width="16.75"/>
    <col customWidth="1" min="6" max="6" width="6.88"/>
    <col customWidth="1" min="7" max="9" width="15.5"/>
    <col customWidth="1" min="10" max="10" width="21.38"/>
    <col customWidth="1" min="11" max="11" width="26.38"/>
    <col customWidth="1" min="12" max="12" width="10.13"/>
    <col customWidth="1" min="13" max="13" width="9.0"/>
    <col customWidth="1" min="14" max="16" width="13.25"/>
    <col customWidth="1" min="17" max="17" width="14.75"/>
    <col customWidth="1" hidden="1" min="18" max="18" width="14.75"/>
    <col customWidth="1" min="19" max="19" width="14.13"/>
    <col customWidth="1" min="20" max="20" width="8.13"/>
    <col customWidth="1" min="21" max="21" width="21.0"/>
    <col customWidth="1" min="22" max="22" width="9.5"/>
    <col customWidth="1" min="23" max="23" width="10.75"/>
    <col customWidth="1" min="24" max="26" width="12.0"/>
    <col customWidth="1" min="27" max="38" width="14.75"/>
  </cols>
  <sheetData>
    <row r="1">
      <c r="A1" s="176" t="str">
        <f>IFERROR(__xludf.DUMMYFUNCTION("IMPORTRANGE(""https://docs.google.com/spreadsheets/d/1Ckiiuqm7jN9hwsP80DJaGNZe2aI3sHJlqPmUo15iRO8/edit?usp=sharing"",""Roster!A1:I500"")"),"Supervisor")</f>
        <v>Supervisor</v>
      </c>
      <c r="B1" s="177" t="str">
        <f>IFERROR(__xludf.DUMMYFUNCTION("""COMPUTED_VALUE"""),"Agent")</f>
        <v>Agent</v>
      </c>
      <c r="C1" s="176" t="str">
        <f>IFERROR(__xludf.DUMMYFUNCTION("""COMPUTED_VALUE"""),"Prod Date")</f>
        <v>Prod Date</v>
      </c>
      <c r="D1" s="176" t="str">
        <f>IFERROR(__xludf.DUMMYFUNCTION("""COMPUTED_VALUE"""),"Wave")</f>
        <v>Wave</v>
      </c>
      <c r="E1" s="176" t="str">
        <f>IFERROR(__xludf.DUMMYFUNCTION("""COMPUTED_VALUE"""),"Task")</f>
        <v>Task</v>
      </c>
      <c r="F1" s="178" t="str">
        <f>IFERROR(__xludf.DUMMYFUNCTION("""COMPUTED_VALUE"""),"EDS")</f>
        <v>EDS</v>
      </c>
      <c r="G1" s="178" t="str">
        <f>IFERROR(__xludf.DUMMYFUNCTION("""COMPUTED_VALUE"""),"EMAIL")</f>
        <v>EMAIL</v>
      </c>
      <c r="H1" s="178" t="str">
        <f>IFERROR(__xludf.DUMMYFUNCTION("""COMPUTED_VALUE"""),"TAMA ID")</f>
        <v>TAMA ID</v>
      </c>
      <c r="I1" s="178" t="str">
        <f>IFERROR(__xludf.DUMMYFUNCTION("""COMPUTED_VALUE"""),"Active")</f>
        <v>Active</v>
      </c>
      <c r="J1" s="179"/>
      <c r="K1" s="180"/>
      <c r="L1" s="181" t="s">
        <v>215</v>
      </c>
      <c r="M1" s="182" t="s">
        <v>86</v>
      </c>
      <c r="N1" s="183" t="s">
        <v>216</v>
      </c>
      <c r="O1" s="183" t="s">
        <v>7</v>
      </c>
      <c r="P1" s="183" t="s">
        <v>217</v>
      </c>
      <c r="Q1" s="184"/>
      <c r="R1" s="184"/>
      <c r="S1" s="185" t="s">
        <v>218</v>
      </c>
      <c r="AA1" s="184"/>
      <c r="AB1" s="184"/>
      <c r="AC1" s="184"/>
      <c r="AD1" s="186"/>
      <c r="AE1" s="186"/>
      <c r="AF1" s="186"/>
      <c r="AG1" s="186"/>
      <c r="AH1" s="186"/>
      <c r="AI1" s="186"/>
      <c r="AJ1" s="186"/>
      <c r="AK1" s="186"/>
      <c r="AL1" s="186"/>
    </row>
    <row r="2">
      <c r="A2" s="187" t="str">
        <f>IFERROR(__xludf.DUMMYFUNCTION("""COMPUTED_VALUE"""),"Andra Daza")</f>
        <v>Andra Daza</v>
      </c>
      <c r="B2" s="188" t="str">
        <f>IFERROR(__xludf.DUMMYFUNCTION("""COMPUTED_VALUE"""),"Cristian Gomez")</f>
        <v>Cristian Gomez</v>
      </c>
      <c r="C2" s="189">
        <f>IFERROR(__xludf.DUMMYFUNCTION("""COMPUTED_VALUE"""),46076.0)</f>
        <v>46076</v>
      </c>
      <c r="D2" s="187">
        <f>IFERROR(__xludf.DUMMYFUNCTION("""COMPUTED_VALUE"""),35.0)</f>
        <v>35</v>
      </c>
      <c r="E2" s="187" t="str">
        <f>IFERROR(__xludf.DUMMYFUNCTION("""COMPUTED_VALUE"""),"Voice")</f>
        <v>Voice</v>
      </c>
      <c r="F2" s="187" t="str">
        <f>IFERROR(__xludf.DUMMYFUNCTION("""COMPUTED_VALUE"""),"C1510")</f>
        <v>C1510</v>
      </c>
      <c r="G2" s="185" t="str">
        <f>IFERROR(__xludf.DUMMYFUNCTION("""COMPUTED_VALUE"""),"email")</f>
        <v>email</v>
      </c>
      <c r="H2" s="185" t="str">
        <f>IFERROR(__xludf.DUMMYFUNCTION("""COMPUTED_VALUE"""),"ho.cgomez")</f>
        <v>ho.cgomez</v>
      </c>
      <c r="I2" s="185" t="str">
        <f>IFERROR(__xludf.DUMMYFUNCTION("""COMPUTED_VALUE"""),"Active")</f>
        <v>Active</v>
      </c>
      <c r="J2" s="190"/>
      <c r="K2" s="191"/>
      <c r="L2" s="192"/>
      <c r="M2" s="193"/>
      <c r="N2" s="194"/>
      <c r="O2" s="194"/>
      <c r="P2" s="194"/>
      <c r="Q2" s="195"/>
      <c r="R2" s="196"/>
      <c r="S2" s="197"/>
      <c r="T2" s="197"/>
      <c r="U2" s="198"/>
      <c r="V2" s="199"/>
      <c r="W2" s="200"/>
      <c r="X2" s="197"/>
      <c r="Y2" s="197"/>
      <c r="Z2" s="197"/>
      <c r="AA2" s="196"/>
      <c r="AB2" s="196"/>
      <c r="AC2" s="196"/>
      <c r="AD2" s="201"/>
      <c r="AE2" s="201"/>
      <c r="AF2" s="201"/>
      <c r="AG2" s="202"/>
      <c r="AH2" s="202"/>
      <c r="AI2" s="202"/>
      <c r="AJ2" s="202"/>
      <c r="AK2" s="202"/>
      <c r="AL2" s="202"/>
    </row>
    <row r="3" ht="22.5" customHeight="1">
      <c r="A3" s="187" t="str">
        <f>IFERROR(__xludf.DUMMYFUNCTION("""COMPUTED_VALUE"""),"Andra Daza")</f>
        <v>Andra Daza</v>
      </c>
      <c r="B3" s="188" t="str">
        <f>IFERROR(__xludf.DUMMYFUNCTION("""COMPUTED_VALUE"""),"John Palacio")</f>
        <v>John Palacio</v>
      </c>
      <c r="C3" s="189">
        <f>IFERROR(__xludf.DUMMYFUNCTION("""COMPUTED_VALUE"""),46083.0)</f>
        <v>46083</v>
      </c>
      <c r="D3" s="187">
        <f>IFERROR(__xludf.DUMMYFUNCTION("""COMPUTED_VALUE"""),36.0)</f>
        <v>36</v>
      </c>
      <c r="E3" s="187" t="str">
        <f>IFERROR(__xludf.DUMMYFUNCTION("""COMPUTED_VALUE"""),"Voice")</f>
        <v>Voice</v>
      </c>
      <c r="F3" s="187" t="str">
        <f>IFERROR(__xludf.DUMMYFUNCTION("""COMPUTED_VALUE"""),"C1543")</f>
        <v>C1543</v>
      </c>
      <c r="G3" s="185" t="str">
        <f>IFERROR(__xludf.DUMMYFUNCTION("""COMPUTED_VALUE"""),"@email")</f>
        <v>@email</v>
      </c>
      <c r="H3" s="185" t="str">
        <f>IFERROR(__xludf.DUMMYFUNCTION("""COMPUTED_VALUE"""),"ho.jpalacio")</f>
        <v>ho.jpalacio</v>
      </c>
      <c r="I3" s="185" t="str">
        <f>IFERROR(__xludf.DUMMYFUNCTION("""COMPUTED_VALUE"""),"Active")</f>
        <v>Active</v>
      </c>
      <c r="J3" s="190" t="s">
        <v>219</v>
      </c>
      <c r="K3" s="191" t="s">
        <v>220</v>
      </c>
      <c r="L3" s="192">
        <v>101.0</v>
      </c>
      <c r="M3" s="193">
        <v>0.25</v>
      </c>
      <c r="N3" s="194" t="s">
        <v>221</v>
      </c>
      <c r="O3" s="194" t="s">
        <v>222</v>
      </c>
      <c r="P3" s="194" t="s">
        <v>223</v>
      </c>
      <c r="Q3" s="195"/>
      <c r="R3" s="196"/>
      <c r="S3" s="203" t="s">
        <v>224</v>
      </c>
      <c r="T3" s="203" t="s">
        <v>2</v>
      </c>
      <c r="U3" s="204" t="s">
        <v>133</v>
      </c>
      <c r="V3" s="205" t="s">
        <v>5</v>
      </c>
      <c r="W3" s="206" t="s">
        <v>225</v>
      </c>
      <c r="X3" s="203" t="s">
        <v>6</v>
      </c>
      <c r="Y3" s="203" t="s">
        <v>7</v>
      </c>
      <c r="Z3" s="203" t="s">
        <v>8</v>
      </c>
      <c r="AA3" s="207" t="s">
        <v>226</v>
      </c>
      <c r="AB3" s="208"/>
      <c r="AC3" s="196">
        <v>0.25</v>
      </c>
      <c r="AD3" s="201" t="s">
        <v>221</v>
      </c>
      <c r="AE3" s="201" t="s">
        <v>222</v>
      </c>
      <c r="AF3" s="201" t="s">
        <v>223</v>
      </c>
      <c r="AG3" s="202"/>
      <c r="AH3" s="202"/>
      <c r="AI3" s="202"/>
      <c r="AJ3" s="202"/>
      <c r="AK3" s="202"/>
      <c r="AL3" s="202"/>
    </row>
    <row r="4" ht="22.5" customHeight="1">
      <c r="A4" s="187" t="str">
        <f>IFERROR(__xludf.DUMMYFUNCTION("""COMPUTED_VALUE"""),"Andra Daza")</f>
        <v>Andra Daza</v>
      </c>
      <c r="B4" s="188" t="str">
        <f>IFERROR(__xludf.DUMMYFUNCTION("""COMPUTED_VALUE"""),"Juan Castilla")</f>
        <v>Juan Castilla</v>
      </c>
      <c r="C4" s="189">
        <f>IFERROR(__xludf.DUMMYFUNCTION("""COMPUTED_VALUE"""),46014.0)</f>
        <v>46014</v>
      </c>
      <c r="D4" s="187">
        <f>IFERROR(__xludf.DUMMYFUNCTION("""COMPUTED_VALUE"""),33.0)</f>
        <v>33</v>
      </c>
      <c r="E4" s="187" t="str">
        <f>IFERROR(__xludf.DUMMYFUNCTION("""COMPUTED_VALUE"""),"Voice")</f>
        <v>Voice</v>
      </c>
      <c r="F4" s="187" t="str">
        <f>IFERROR(__xludf.DUMMYFUNCTION("""COMPUTED_VALUE"""),"C1465")</f>
        <v>C1465</v>
      </c>
      <c r="G4" s="185" t="str">
        <f>IFERROR(__xludf.DUMMYFUNCTION("""COMPUTED_VALUE"""),"juan.castilla@buwelo.com")</f>
        <v>juan.castilla@buwelo.com</v>
      </c>
      <c r="H4" s="185" t="str">
        <f>IFERROR(__xludf.DUMMYFUNCTION("""COMPUTED_VALUE"""),"ho.jcastilla")</f>
        <v>ho.jcastilla</v>
      </c>
      <c r="I4" s="185" t="str">
        <f>IFERROR(__xludf.DUMMYFUNCTION("""COMPUTED_VALUE"""),"Active")</f>
        <v>Active</v>
      </c>
      <c r="J4" s="190" t="s">
        <v>219</v>
      </c>
      <c r="K4" s="191" t="s">
        <v>220</v>
      </c>
      <c r="L4" s="192">
        <v>102.0</v>
      </c>
      <c r="M4" s="193">
        <v>0.25</v>
      </c>
      <c r="N4" s="194" t="s">
        <v>227</v>
      </c>
      <c r="O4" s="194" t="s">
        <v>228</v>
      </c>
      <c r="P4" s="194" t="s">
        <v>229</v>
      </c>
      <c r="Q4" s="195"/>
      <c r="R4" s="196"/>
      <c r="S4" s="209">
        <v>121.0</v>
      </c>
      <c r="T4" s="209" t="s">
        <v>24</v>
      </c>
      <c r="U4" s="210" t="str">
        <f t="shared" ref="U4:U121" si="1">XLOOKUP(T4,F:F,B:B,"",0)</f>
        <v>Cristian Gomez</v>
      </c>
      <c r="V4" s="211" t="str">
        <f>IFERROR(__xludf.DUMMYFUNCTION("INDEX(FILTER(BvsL!F:F, BvsL!D:D=T4),20)
"),"08:00")</f>
        <v>08:00</v>
      </c>
      <c r="W4" s="212">
        <f t="shared" ref="W4:W121" si="2">V4+"09:00"
</f>
        <v>0.7083333333</v>
      </c>
      <c r="X4" s="209" t="str">
        <f t="shared" ref="X4:X121" si="3">XLOOKUP(S4,L:L,N:N,"",0)</f>
        <v>09:15 - 09:30</v>
      </c>
      <c r="Y4" s="209" t="str">
        <f t="shared" ref="Y4:Y121" si="4">XLOOKUP(S4,L:L,O:O,"",0)</f>
        <v>11:30 - 12:00</v>
      </c>
      <c r="Z4" s="209" t="str">
        <f t="shared" ref="Z4:Z121" si="5">XLOOKUP(S4,L:L,P:P,"",0)</f>
        <v>14:30 - 14:45</v>
      </c>
      <c r="AA4" s="213">
        <f t="shared" ref="AA4:AA121" si="6">XLOOKUP(T4,F:F,D:D,"",0)</f>
        <v>35</v>
      </c>
      <c r="AB4" s="214"/>
      <c r="AC4" s="196">
        <v>0.25</v>
      </c>
      <c r="AD4" s="201" t="s">
        <v>227</v>
      </c>
      <c r="AE4" s="201" t="s">
        <v>228</v>
      </c>
      <c r="AF4" s="201" t="s">
        <v>229</v>
      </c>
      <c r="AG4" s="202"/>
      <c r="AH4" s="202"/>
      <c r="AI4" s="202"/>
      <c r="AJ4" s="202"/>
      <c r="AK4" s="202"/>
      <c r="AL4" s="202"/>
    </row>
    <row r="5" ht="22.5" customHeight="1">
      <c r="A5" s="187" t="str">
        <f>IFERROR(__xludf.DUMMYFUNCTION("""COMPUTED_VALUE"""),"Andra Daza")</f>
        <v>Andra Daza</v>
      </c>
      <c r="B5" s="188" t="str">
        <f>IFERROR(__xludf.DUMMYFUNCTION("""COMPUTED_VALUE"""),"Juan Restrepo Restrepo")</f>
        <v>Juan Restrepo Restrepo</v>
      </c>
      <c r="C5" s="189">
        <f>IFERROR(__xludf.DUMMYFUNCTION("""COMPUTED_VALUE"""),46014.0)</f>
        <v>46014</v>
      </c>
      <c r="D5" s="187">
        <f>IFERROR(__xludf.DUMMYFUNCTION("""COMPUTED_VALUE"""),33.0)</f>
        <v>33</v>
      </c>
      <c r="E5" s="187" t="str">
        <f>IFERROR(__xludf.DUMMYFUNCTION("""COMPUTED_VALUE"""),"Voice")</f>
        <v>Voice</v>
      </c>
      <c r="F5" s="187" t="str">
        <f>IFERROR(__xludf.DUMMYFUNCTION("""COMPUTED_VALUE"""),"C1469")</f>
        <v>C1469</v>
      </c>
      <c r="G5" s="185" t="str">
        <f>IFERROR(__xludf.DUMMYFUNCTION("""COMPUTED_VALUE"""),"juan.restrepor@buwelo.com")</f>
        <v>juan.restrepor@buwelo.com</v>
      </c>
      <c r="H5" s="185" t="str">
        <f>IFERROR(__xludf.DUMMYFUNCTION("""COMPUTED_VALUE"""),"ho.jurestrepo")</f>
        <v>ho.jurestrepo</v>
      </c>
      <c r="I5" s="185" t="str">
        <f>IFERROR(__xludf.DUMMYFUNCTION("""COMPUTED_VALUE"""),"Active")</f>
        <v>Active</v>
      </c>
      <c r="J5" s="190" t="s">
        <v>219</v>
      </c>
      <c r="K5" s="191" t="s">
        <v>220</v>
      </c>
      <c r="L5" s="192">
        <v>103.0</v>
      </c>
      <c r="M5" s="193">
        <v>0.25</v>
      </c>
      <c r="N5" s="194" t="s">
        <v>230</v>
      </c>
      <c r="O5" s="194" t="s">
        <v>231</v>
      </c>
      <c r="P5" s="194" t="s">
        <v>232</v>
      </c>
      <c r="Q5" s="195"/>
      <c r="R5" s="196"/>
      <c r="S5" s="209">
        <v>122.0</v>
      </c>
      <c r="T5" s="209" t="s">
        <v>54</v>
      </c>
      <c r="U5" s="210" t="str">
        <f t="shared" si="1"/>
        <v>Kevin Betancur</v>
      </c>
      <c r="V5" s="211" t="str">
        <f>IFERROR(__xludf.DUMMYFUNCTION("INDEX(FILTER(BvsL!F:F, BvsL!D:D=T5),20)
"),"08:00")</f>
        <v>08:00</v>
      </c>
      <c r="W5" s="212">
        <f t="shared" si="2"/>
        <v>0.7083333333</v>
      </c>
      <c r="X5" s="209" t="str">
        <f t="shared" si="3"/>
        <v>09:30 - 09:45</v>
      </c>
      <c r="Y5" s="209" t="str">
        <f t="shared" si="4"/>
        <v>12:00 - 12:30</v>
      </c>
      <c r="Z5" s="209" t="str">
        <f t="shared" si="5"/>
        <v>14:45 - 15:00</v>
      </c>
      <c r="AA5" s="213">
        <f t="shared" si="6"/>
        <v>35</v>
      </c>
      <c r="AB5" s="214"/>
      <c r="AC5" s="196">
        <v>0.25</v>
      </c>
      <c r="AD5" s="201" t="s">
        <v>230</v>
      </c>
      <c r="AE5" s="201" t="s">
        <v>231</v>
      </c>
      <c r="AF5" s="201" t="s">
        <v>232</v>
      </c>
      <c r="AG5" s="202"/>
      <c r="AH5" s="202"/>
      <c r="AI5" s="202"/>
      <c r="AJ5" s="202"/>
      <c r="AK5" s="202"/>
      <c r="AL5" s="202"/>
    </row>
    <row r="6" ht="22.5" customHeight="1">
      <c r="A6" s="187" t="str">
        <f>IFERROR(__xludf.DUMMYFUNCTION("""COMPUTED_VALUE"""),"Andra Daza")</f>
        <v>Andra Daza</v>
      </c>
      <c r="B6" s="188" t="str">
        <f>IFERROR(__xludf.DUMMYFUNCTION("""COMPUTED_VALUE"""),"Kennedy Giraldo")</f>
        <v>Kennedy Giraldo</v>
      </c>
      <c r="C6" s="189">
        <f>IFERROR(__xludf.DUMMYFUNCTION("""COMPUTED_VALUE"""),44953.0)</f>
        <v>44953</v>
      </c>
      <c r="D6" s="187">
        <f>IFERROR(__xludf.DUMMYFUNCTION("""COMPUTED_VALUE"""),2.0)</f>
        <v>2</v>
      </c>
      <c r="E6" s="187" t="str">
        <f>IFERROR(__xludf.DUMMYFUNCTION("""COMPUTED_VALUE"""),"Voice")</f>
        <v>Voice</v>
      </c>
      <c r="F6" s="187" t="str">
        <f>IFERROR(__xludf.DUMMYFUNCTION("""COMPUTED_VALUE"""),"C658")</f>
        <v>C658</v>
      </c>
      <c r="G6" s="185" t="str">
        <f>IFERROR(__xludf.DUMMYFUNCTION("""COMPUTED_VALUE"""),"kennedy.giraldo@buwelo.com")</f>
        <v>kennedy.giraldo@buwelo.com</v>
      </c>
      <c r="H6" s="185" t="str">
        <f>IFERROR(__xludf.DUMMYFUNCTION("""COMPUTED_VALUE"""),"ho.kgiraldo")</f>
        <v>ho.kgiraldo</v>
      </c>
      <c r="I6" s="185" t="str">
        <f>IFERROR(__xludf.DUMMYFUNCTION("""COMPUTED_VALUE"""),"Active")</f>
        <v>Active</v>
      </c>
      <c r="J6" s="190" t="s">
        <v>219</v>
      </c>
      <c r="K6" s="191" t="s">
        <v>220</v>
      </c>
      <c r="L6" s="192">
        <v>104.0</v>
      </c>
      <c r="M6" s="193">
        <v>0.25</v>
      </c>
      <c r="N6" s="194" t="s">
        <v>233</v>
      </c>
      <c r="O6" s="194" t="s">
        <v>234</v>
      </c>
      <c r="P6" s="194" t="s">
        <v>235</v>
      </c>
      <c r="Q6" s="208"/>
      <c r="R6" s="196"/>
      <c r="S6" s="209">
        <v>123.0</v>
      </c>
      <c r="T6" s="209" t="s">
        <v>155</v>
      </c>
      <c r="U6" s="210" t="str">
        <f t="shared" si="1"/>
        <v>Beatriz Montanez</v>
      </c>
      <c r="V6" s="211" t="str">
        <f>IFERROR(__xludf.DUMMYFUNCTION("INDEX(FILTER(BvsL!F:F, BvsL!D:D=T6),22)
"),"08:00")</f>
        <v>08:00</v>
      </c>
      <c r="W6" s="212">
        <f t="shared" si="2"/>
        <v>0.7083333333</v>
      </c>
      <c r="X6" s="209" t="str">
        <f t="shared" si="3"/>
        <v>09:45 - 10:00 </v>
      </c>
      <c r="Y6" s="209" t="str">
        <f t="shared" si="4"/>
        <v>12:30 - 13:00</v>
      </c>
      <c r="Z6" s="209" t="str">
        <f t="shared" si="5"/>
        <v>15:00 - 15:15</v>
      </c>
      <c r="AA6" s="213">
        <f t="shared" si="6"/>
        <v>35</v>
      </c>
      <c r="AB6" s="214"/>
      <c r="AC6" s="196">
        <v>0.25</v>
      </c>
      <c r="AD6" s="201" t="s">
        <v>233</v>
      </c>
      <c r="AE6" s="201" t="s">
        <v>234</v>
      </c>
      <c r="AF6" s="201" t="s">
        <v>235</v>
      </c>
      <c r="AG6" s="215"/>
      <c r="AH6" s="215"/>
      <c r="AI6" s="215"/>
      <c r="AJ6" s="215"/>
      <c r="AK6" s="215"/>
      <c r="AL6" s="215"/>
    </row>
    <row r="7" ht="22.5" customHeight="1">
      <c r="A7" s="187" t="str">
        <f>IFERROR(__xludf.DUMMYFUNCTION("""COMPUTED_VALUE"""),"Andra Daza")</f>
        <v>Andra Daza</v>
      </c>
      <c r="B7" s="188" t="str">
        <f>IFERROR(__xludf.DUMMYFUNCTION("""COMPUTED_VALUE"""),"Kevin Betancur")</f>
        <v>Kevin Betancur</v>
      </c>
      <c r="C7" s="189">
        <f>IFERROR(__xludf.DUMMYFUNCTION("""COMPUTED_VALUE"""),46076.0)</f>
        <v>46076</v>
      </c>
      <c r="D7" s="216">
        <f>IFERROR(__xludf.DUMMYFUNCTION("""COMPUTED_VALUE"""),35.0)</f>
        <v>35</v>
      </c>
      <c r="E7" s="187" t="str">
        <f>IFERROR(__xludf.DUMMYFUNCTION("""COMPUTED_VALUE"""),"Voice")</f>
        <v>Voice</v>
      </c>
      <c r="F7" s="187" t="str">
        <f>IFERROR(__xludf.DUMMYFUNCTION("""COMPUTED_VALUE"""),"C1514")</f>
        <v>C1514</v>
      </c>
      <c r="G7" s="185" t="str">
        <f>IFERROR(__xludf.DUMMYFUNCTION("""COMPUTED_VALUE"""),"email")</f>
        <v>email</v>
      </c>
      <c r="H7" s="185" t="str">
        <f>IFERROR(__xludf.DUMMYFUNCTION("""COMPUTED_VALUE"""),"ho.kbetancur")</f>
        <v>ho.kbetancur</v>
      </c>
      <c r="I7" s="185" t="str">
        <f>IFERROR(__xludf.DUMMYFUNCTION("""COMPUTED_VALUE"""),"Active")</f>
        <v>Active</v>
      </c>
      <c r="J7" s="190" t="s">
        <v>219</v>
      </c>
      <c r="K7" s="191"/>
      <c r="L7" s="192">
        <v>105.0</v>
      </c>
      <c r="M7" s="193">
        <v>0.25</v>
      </c>
      <c r="N7" s="194" t="s">
        <v>236</v>
      </c>
      <c r="O7" s="194" t="s">
        <v>237</v>
      </c>
      <c r="P7" s="194" t="s">
        <v>238</v>
      </c>
      <c r="Q7" s="217"/>
      <c r="R7" s="196"/>
      <c r="S7" s="209">
        <v>151.0</v>
      </c>
      <c r="T7" s="209" t="s">
        <v>38</v>
      </c>
      <c r="U7" s="210" t="str">
        <f t="shared" si="1"/>
        <v>Joan Perez</v>
      </c>
      <c r="V7" s="211" t="str">
        <f>IFERROR(__xludf.DUMMYFUNCTION("INDEX(FILTER(BvsL!F:F, BvsL!D:D=T7),20)
"),"")</f>
        <v/>
      </c>
      <c r="W7" s="212">
        <f t="shared" si="2"/>
        <v>0.375</v>
      </c>
      <c r="X7" s="209" t="str">
        <f t="shared" si="3"/>
        <v>12:15 - 12:30</v>
      </c>
      <c r="Y7" s="209" t="str">
        <f t="shared" si="4"/>
        <v>14:00 - 14:30</v>
      </c>
      <c r="Z7" s="209" t="str">
        <f t="shared" si="5"/>
        <v>17:15 - 17:30</v>
      </c>
      <c r="AA7" s="213">
        <f t="shared" si="6"/>
        <v>35</v>
      </c>
      <c r="AB7" s="214"/>
      <c r="AC7" s="196">
        <v>0.25</v>
      </c>
      <c r="AD7" s="201" t="s">
        <v>236</v>
      </c>
      <c r="AE7" s="201" t="s">
        <v>237</v>
      </c>
      <c r="AF7" s="201" t="s">
        <v>238</v>
      </c>
      <c r="AG7" s="201"/>
      <c r="AH7" s="201"/>
      <c r="AI7" s="201"/>
      <c r="AJ7" s="201"/>
      <c r="AK7" s="201"/>
      <c r="AL7" s="201"/>
    </row>
    <row r="8" ht="22.5" customHeight="1">
      <c r="A8" s="187" t="str">
        <f>IFERROR(__xludf.DUMMYFUNCTION("""COMPUTED_VALUE"""),"Andra Daza")</f>
        <v>Andra Daza</v>
      </c>
      <c r="B8" s="188" t="str">
        <f>IFERROR(__xludf.DUMMYFUNCTION("""COMPUTED_VALUE"""),"Luis Lopez")</f>
        <v>Luis Lopez</v>
      </c>
      <c r="C8" s="189">
        <f>IFERROR(__xludf.DUMMYFUNCTION("""COMPUTED_VALUE"""),45985.0)</f>
        <v>45985</v>
      </c>
      <c r="D8" s="187">
        <f>IFERROR(__xludf.DUMMYFUNCTION("""COMPUTED_VALUE"""),32.0)</f>
        <v>32</v>
      </c>
      <c r="E8" s="187" t="str">
        <f>IFERROR(__xludf.DUMMYFUNCTION("""COMPUTED_VALUE"""),"Voice")</f>
        <v>Voice</v>
      </c>
      <c r="F8" s="187" t="str">
        <f>IFERROR(__xludf.DUMMYFUNCTION("""COMPUTED_VALUE"""),"C1433")</f>
        <v>C1433</v>
      </c>
      <c r="G8" s="185" t="str">
        <f>IFERROR(__xludf.DUMMYFUNCTION("""COMPUTED_VALUE"""),"luis.lopez@buwelo.com")</f>
        <v>luis.lopez@buwelo.com</v>
      </c>
      <c r="H8" s="185" t="str">
        <f>IFERROR(__xludf.DUMMYFUNCTION("""COMPUTED_VALUE"""),"ho.llopez")</f>
        <v>ho.llopez</v>
      </c>
      <c r="I8" s="185" t="str">
        <f>IFERROR(__xludf.DUMMYFUNCTION("""COMPUTED_VALUE"""),"Active")</f>
        <v>Active</v>
      </c>
      <c r="J8" s="190" t="s">
        <v>219</v>
      </c>
      <c r="K8" s="191"/>
      <c r="L8" s="192">
        <v>106.0</v>
      </c>
      <c r="M8" s="193">
        <v>0.25</v>
      </c>
      <c r="N8" s="194" t="s">
        <v>239</v>
      </c>
      <c r="O8" s="194" t="s">
        <v>240</v>
      </c>
      <c r="P8" s="194" t="s">
        <v>238</v>
      </c>
      <c r="Q8" s="217"/>
      <c r="R8" s="196"/>
      <c r="S8" s="209">
        <v>124.0</v>
      </c>
      <c r="T8" s="209" t="s">
        <v>57</v>
      </c>
      <c r="U8" s="210" t="str">
        <f t="shared" si="1"/>
        <v>Lisandro Alvarado</v>
      </c>
      <c r="V8" s="211" t="str">
        <f>IFERROR(__xludf.DUMMYFUNCTION("INDEX(FILTER(BvsL!F:F, BvsL!D:D=T8),20)
"),"08:00")</f>
        <v>08:00</v>
      </c>
      <c r="W8" s="212">
        <f t="shared" si="2"/>
        <v>0.7083333333</v>
      </c>
      <c r="X8" s="209" t="str">
        <f t="shared" si="3"/>
        <v>10:00 - 10:15</v>
      </c>
      <c r="Y8" s="209" t="str">
        <f t="shared" si="4"/>
        <v>13:00 - 13:30</v>
      </c>
      <c r="Z8" s="209" t="str">
        <f t="shared" si="5"/>
        <v>15:30 - 15:45</v>
      </c>
      <c r="AA8" s="213">
        <f t="shared" si="6"/>
        <v>35</v>
      </c>
      <c r="AB8" s="214"/>
      <c r="AC8" s="196">
        <v>0.25</v>
      </c>
      <c r="AD8" s="201" t="s">
        <v>239</v>
      </c>
      <c r="AE8" s="201" t="s">
        <v>240</v>
      </c>
      <c r="AF8" s="201" t="s">
        <v>238</v>
      </c>
      <c r="AG8" s="201"/>
      <c r="AH8" s="201"/>
      <c r="AI8" s="201"/>
      <c r="AJ8" s="201"/>
      <c r="AK8" s="201"/>
      <c r="AL8" s="201"/>
    </row>
    <row r="9" ht="22.5" customHeight="1">
      <c r="A9" s="187" t="str">
        <f>IFERROR(__xludf.DUMMYFUNCTION("""COMPUTED_VALUE"""),"Andra Daza")</f>
        <v>Andra Daza</v>
      </c>
      <c r="B9" s="188" t="str">
        <f>IFERROR(__xludf.DUMMYFUNCTION("""COMPUTED_VALUE"""),"Miguel Betancur")</f>
        <v>Miguel Betancur</v>
      </c>
      <c r="C9" s="189">
        <f>IFERROR(__xludf.DUMMYFUNCTION("""COMPUTED_VALUE"""),46014.0)</f>
        <v>46014</v>
      </c>
      <c r="D9" s="187">
        <f>IFERROR(__xludf.DUMMYFUNCTION("""COMPUTED_VALUE"""),33.0)</f>
        <v>33</v>
      </c>
      <c r="E9" s="187" t="str">
        <f>IFERROR(__xludf.DUMMYFUNCTION("""COMPUTED_VALUE"""),"Voice")</f>
        <v>Voice</v>
      </c>
      <c r="F9" s="187" t="str">
        <f>IFERROR(__xludf.DUMMYFUNCTION("""COMPUTED_VALUE"""),"C1468")</f>
        <v>C1468</v>
      </c>
      <c r="G9" s="185" t="str">
        <f>IFERROR(__xludf.DUMMYFUNCTION("""COMPUTED_VALUE"""),"miguel.betancur@buwelo.com")</f>
        <v>miguel.betancur@buwelo.com</v>
      </c>
      <c r="H9" s="185" t="str">
        <f>IFERROR(__xludf.DUMMYFUNCTION("""COMPUTED_VALUE"""),"ho.mbetancur")</f>
        <v>ho.mbetancur</v>
      </c>
      <c r="I9" s="185" t="str">
        <f>IFERROR(__xludf.DUMMYFUNCTION("""COMPUTED_VALUE"""),"Active")</f>
        <v>Active</v>
      </c>
      <c r="J9" s="218"/>
      <c r="K9" s="219"/>
      <c r="L9" s="220">
        <v>90.0</v>
      </c>
      <c r="M9" s="221">
        <v>0.2708333333333333</v>
      </c>
      <c r="N9" s="222" t="s">
        <v>230</v>
      </c>
      <c r="O9" s="222" t="s">
        <v>231</v>
      </c>
      <c r="P9" s="222" t="s">
        <v>232</v>
      </c>
      <c r="Q9" s="217"/>
      <c r="S9" s="209">
        <v>125.0</v>
      </c>
      <c r="T9" s="209" t="s">
        <v>67</v>
      </c>
      <c r="U9" s="210" t="str">
        <f t="shared" si="1"/>
        <v>Nicols Quinones</v>
      </c>
      <c r="V9" s="211" t="str">
        <f>IFERROR(__xludf.DUMMYFUNCTION("INDEX(FILTER(BvsL!F:F, BvsL!D:D=T9),20)
"),"08:00")</f>
        <v>08:00</v>
      </c>
      <c r="W9" s="212">
        <f t="shared" si="2"/>
        <v>0.7083333333</v>
      </c>
      <c r="X9" s="209" t="str">
        <f t="shared" si="3"/>
        <v>10:30 - 10:45</v>
      </c>
      <c r="Y9" s="209" t="str">
        <f t="shared" si="4"/>
        <v>13:30 - 14:00</v>
      </c>
      <c r="Z9" s="209" t="str">
        <f t="shared" si="5"/>
        <v>15:45 - 16:00</v>
      </c>
      <c r="AA9" s="213">
        <f t="shared" si="6"/>
        <v>35</v>
      </c>
      <c r="AB9" s="214"/>
      <c r="AG9" s="201"/>
      <c r="AH9" s="201"/>
      <c r="AI9" s="201"/>
      <c r="AJ9" s="201"/>
      <c r="AK9" s="201"/>
      <c r="AL9" s="201"/>
    </row>
    <row r="10" ht="22.5" customHeight="1">
      <c r="A10" s="187" t="str">
        <f>IFERROR(__xludf.DUMMYFUNCTION("""COMPUTED_VALUE"""),"Andra Daza")</f>
        <v>Andra Daza</v>
      </c>
      <c r="B10" s="188" t="str">
        <f>IFERROR(__xludf.DUMMYFUNCTION("""COMPUTED_VALUE"""),"Salma Giraldo")</f>
        <v>Salma Giraldo</v>
      </c>
      <c r="C10" s="189">
        <f>IFERROR(__xludf.DUMMYFUNCTION("""COMPUTED_VALUE"""),46076.0)</f>
        <v>46076</v>
      </c>
      <c r="D10" s="187">
        <f>IFERROR(__xludf.DUMMYFUNCTION("""COMPUTED_VALUE"""),35.0)</f>
        <v>35</v>
      </c>
      <c r="E10" s="187" t="str">
        <f>IFERROR(__xludf.DUMMYFUNCTION("""COMPUTED_VALUE"""),"Voice")</f>
        <v>Voice</v>
      </c>
      <c r="F10" s="187" t="str">
        <f>IFERROR(__xludf.DUMMYFUNCTION("""COMPUTED_VALUE"""),"C1511")</f>
        <v>C1511</v>
      </c>
      <c r="G10" s="185" t="str">
        <f>IFERROR(__xludf.DUMMYFUNCTION("""COMPUTED_VALUE"""),"email")</f>
        <v>email</v>
      </c>
      <c r="H10" s="185" t="str">
        <f>IFERROR(__xludf.DUMMYFUNCTION("""COMPUTED_VALUE"""),"ho.sagiraldo")</f>
        <v>ho.sagiraldo</v>
      </c>
      <c r="I10" s="185" t="str">
        <f>IFERROR(__xludf.DUMMYFUNCTION("""COMPUTED_VALUE"""),"Active")</f>
        <v>Active</v>
      </c>
      <c r="J10" s="218"/>
      <c r="K10" s="219"/>
      <c r="L10" s="220">
        <v>91.0</v>
      </c>
      <c r="M10" s="221">
        <v>0.2708333333333333</v>
      </c>
      <c r="N10" s="222" t="s">
        <v>233</v>
      </c>
      <c r="O10" s="222" t="s">
        <v>234</v>
      </c>
      <c r="P10" s="222" t="s">
        <v>235</v>
      </c>
      <c r="Q10" s="217"/>
      <c r="R10" s="223"/>
      <c r="S10" s="209">
        <v>131.0</v>
      </c>
      <c r="T10" s="209" t="s">
        <v>69</v>
      </c>
      <c r="U10" s="210" t="str">
        <f t="shared" si="1"/>
        <v>Salma Giraldo</v>
      </c>
      <c r="V10" s="211" t="str">
        <f>IFERROR(__xludf.DUMMYFUNCTION("INDEX(FILTER(BvsL!F:F, BvsL!D:D=T10),20)
"),"08:00")</f>
        <v>08:00</v>
      </c>
      <c r="W10" s="212">
        <f t="shared" si="2"/>
        <v>0.7083333333</v>
      </c>
      <c r="X10" s="209" t="str">
        <f t="shared" si="3"/>
        <v>10:15 - 10:30</v>
      </c>
      <c r="Y10" s="209" t="str">
        <f t="shared" si="4"/>
        <v>12:30 - 13:00</v>
      </c>
      <c r="Z10" s="209" t="str">
        <f t="shared" si="5"/>
        <v>15:15 - 15:30</v>
      </c>
      <c r="AA10" s="213">
        <f t="shared" si="6"/>
        <v>35</v>
      </c>
      <c r="AB10" s="214"/>
      <c r="AC10" s="223">
        <v>0.2708333333333333</v>
      </c>
      <c r="AD10" s="201" t="s">
        <v>230</v>
      </c>
      <c r="AE10" s="201" t="s">
        <v>231</v>
      </c>
      <c r="AF10" s="201" t="s">
        <v>232</v>
      </c>
      <c r="AG10" s="201"/>
      <c r="AH10" s="201"/>
      <c r="AI10" s="201"/>
      <c r="AJ10" s="201"/>
      <c r="AK10" s="201"/>
      <c r="AL10" s="201"/>
    </row>
    <row r="11" ht="22.5" customHeight="1">
      <c r="A11" s="187" t="str">
        <f>IFERROR(__xludf.DUMMYFUNCTION("""COMPUTED_VALUE"""),"Andra Daza")</f>
        <v>Andra Daza</v>
      </c>
      <c r="B11" s="188" t="str">
        <f>IFERROR(__xludf.DUMMYFUNCTION("""COMPUTED_VALUE"""),"Salome Arias")</f>
        <v>Salome Arias</v>
      </c>
      <c r="C11" s="189">
        <f>IFERROR(__xludf.DUMMYFUNCTION("""COMPUTED_VALUE"""),45362.0)</f>
        <v>45362</v>
      </c>
      <c r="D11" s="187">
        <f>IFERROR(__xludf.DUMMYFUNCTION("""COMPUTED_VALUE"""),12.0)</f>
        <v>12</v>
      </c>
      <c r="E11" s="187" t="str">
        <f>IFERROR(__xludf.DUMMYFUNCTION("""COMPUTED_VALUE"""),"Voice")</f>
        <v>Voice</v>
      </c>
      <c r="F11" s="187" t="str">
        <f>IFERROR(__xludf.DUMMYFUNCTION("""COMPUTED_VALUE"""),"C933")</f>
        <v>C933</v>
      </c>
      <c r="G11" s="185" t="str">
        <f>IFERROR(__xludf.DUMMYFUNCTION("""COMPUTED_VALUE"""),"salome.arias@buwelo.com")</f>
        <v>salome.arias@buwelo.com</v>
      </c>
      <c r="H11" s="185" t="str">
        <f>IFERROR(__xludf.DUMMYFUNCTION("""COMPUTED_VALUE"""),"ho.sarias")</f>
        <v>ho.sarias</v>
      </c>
      <c r="I11" s="185" t="str">
        <f>IFERROR(__xludf.DUMMYFUNCTION("""COMPUTED_VALUE"""),"Active")</f>
        <v>Active</v>
      </c>
      <c r="J11" s="218"/>
      <c r="K11" s="219"/>
      <c r="L11" s="220">
        <v>92.0</v>
      </c>
      <c r="M11" s="221">
        <v>0.2708333333333333</v>
      </c>
      <c r="N11" s="222" t="s">
        <v>236</v>
      </c>
      <c r="O11" s="222" t="s">
        <v>237</v>
      </c>
      <c r="P11" s="222" t="s">
        <v>238</v>
      </c>
      <c r="Q11" s="217"/>
      <c r="R11" s="223"/>
      <c r="S11" s="209">
        <v>152.0</v>
      </c>
      <c r="T11" s="209" t="s">
        <v>72</v>
      </c>
      <c r="U11" s="210" t="str">
        <f t="shared" si="1"/>
        <v>Santiago Mora</v>
      </c>
      <c r="V11" s="211" t="str">
        <f>IFERROR(__xludf.DUMMYFUNCTION("INDEX(FILTER(BvsL!F:F, BvsL!D:D=T11),20)
"),"11:00")</f>
        <v>11:00</v>
      </c>
      <c r="W11" s="212">
        <f t="shared" si="2"/>
        <v>0.8333333333</v>
      </c>
      <c r="X11" s="209" t="str">
        <f t="shared" si="3"/>
        <v>12:30 - 12:45</v>
      </c>
      <c r="Y11" s="209" t="str">
        <f t="shared" si="4"/>
        <v>14:30 - 15:00</v>
      </c>
      <c r="Z11" s="209" t="str">
        <f t="shared" si="5"/>
        <v>17:30 - 17:45</v>
      </c>
      <c r="AA11" s="213">
        <f t="shared" si="6"/>
        <v>35</v>
      </c>
      <c r="AB11" s="214"/>
      <c r="AC11" s="223">
        <v>0.2708333333333333</v>
      </c>
      <c r="AD11" s="201" t="s">
        <v>233</v>
      </c>
      <c r="AE11" s="201" t="s">
        <v>234</v>
      </c>
      <c r="AF11" s="201" t="s">
        <v>235</v>
      </c>
      <c r="AG11" s="201"/>
      <c r="AH11" s="201"/>
      <c r="AI11" s="201"/>
      <c r="AJ11" s="201"/>
      <c r="AK11" s="201"/>
      <c r="AL11" s="201"/>
    </row>
    <row r="12" ht="22.5" customHeight="1">
      <c r="A12" s="187" t="str">
        <f>IFERROR(__xludf.DUMMYFUNCTION("""COMPUTED_VALUE"""),"Andra Daza")</f>
        <v>Andra Daza</v>
      </c>
      <c r="B12" s="188" t="str">
        <f>IFERROR(__xludf.DUMMYFUNCTION("""COMPUTED_VALUE"""),"Tomas Perez")</f>
        <v>Tomas Perez</v>
      </c>
      <c r="C12" s="189">
        <f>IFERROR(__xludf.DUMMYFUNCTION("""COMPUTED_VALUE"""),46083.0)</f>
        <v>46083</v>
      </c>
      <c r="D12" s="187">
        <f>IFERROR(__xludf.DUMMYFUNCTION("""COMPUTED_VALUE"""),36.0)</f>
        <v>36</v>
      </c>
      <c r="E12" s="187" t="str">
        <f>IFERROR(__xludf.DUMMYFUNCTION("""COMPUTED_VALUE"""),"Voice")</f>
        <v>Voice</v>
      </c>
      <c r="F12" s="187" t="str">
        <f>IFERROR(__xludf.DUMMYFUNCTION("""COMPUTED_VALUE"""),"C1540")</f>
        <v>C1540</v>
      </c>
      <c r="G12" s="185" t="str">
        <f>IFERROR(__xludf.DUMMYFUNCTION("""COMPUTED_VALUE"""),"@email")</f>
        <v>@email</v>
      </c>
      <c r="H12" s="185" t="str">
        <f>IFERROR(__xludf.DUMMYFUNCTION("""COMPUTED_VALUE"""),"ho.tperez")</f>
        <v>ho.tperez</v>
      </c>
      <c r="I12" s="185" t="str">
        <f>IFERROR(__xludf.DUMMYFUNCTION("""COMPUTED_VALUE"""),"Active")</f>
        <v>Active</v>
      </c>
      <c r="J12" s="218"/>
      <c r="K12" s="219"/>
      <c r="L12" s="220"/>
      <c r="M12" s="221"/>
      <c r="N12" s="224"/>
      <c r="O12" s="222"/>
      <c r="P12" s="222"/>
      <c r="Q12" s="217"/>
      <c r="R12" s="223"/>
      <c r="S12" s="209">
        <v>153.0</v>
      </c>
      <c r="T12" s="209" t="s">
        <v>73</v>
      </c>
      <c r="U12" s="210" t="str">
        <f t="shared" si="1"/>
        <v>Sebastian Agudelo Londono</v>
      </c>
      <c r="V12" s="211" t="str">
        <f>IFERROR(__xludf.DUMMYFUNCTION("INDEX(FILTER(BvsL!F:F, BvsL!D:D=T12),22)
"),"11:00")</f>
        <v>11:00</v>
      </c>
      <c r="W12" s="212">
        <f t="shared" si="2"/>
        <v>0.8333333333</v>
      </c>
      <c r="X12" s="209" t="str">
        <f t="shared" si="3"/>
        <v>12:45 - 13:00</v>
      </c>
      <c r="Y12" s="209" t="str">
        <f t="shared" si="4"/>
        <v>15:00 - 15:30</v>
      </c>
      <c r="Z12" s="209" t="str">
        <f t="shared" si="5"/>
        <v>17:45 - 18:00</v>
      </c>
      <c r="AA12" s="213">
        <f t="shared" si="6"/>
        <v>35</v>
      </c>
      <c r="AB12" s="214"/>
      <c r="AC12" s="223">
        <v>0.2708333333333333</v>
      </c>
      <c r="AD12" s="201" t="s">
        <v>236</v>
      </c>
      <c r="AE12" s="201" t="s">
        <v>237</v>
      </c>
      <c r="AF12" s="201" t="s">
        <v>238</v>
      </c>
      <c r="AG12" s="201"/>
      <c r="AH12" s="201"/>
      <c r="AI12" s="201"/>
      <c r="AJ12" s="201"/>
      <c r="AK12" s="201"/>
      <c r="AL12" s="201"/>
    </row>
    <row r="13" ht="22.5" customHeight="1">
      <c r="A13" s="187" t="str">
        <f>IFERROR(__xludf.DUMMYFUNCTION("""COMPUTED_VALUE"""),"Andra Daza")</f>
        <v>Andra Daza</v>
      </c>
      <c r="B13" s="188" t="str">
        <f>IFERROR(__xludf.DUMMYFUNCTION("""COMPUTED_VALUE"""),"Wendy Machado")</f>
        <v>Wendy Machado</v>
      </c>
      <c r="C13" s="189">
        <f>IFERROR(__xludf.DUMMYFUNCTION("""COMPUTED_VALUE"""),46093.0)</f>
        <v>46093</v>
      </c>
      <c r="D13" s="187">
        <f>IFERROR(__xludf.DUMMYFUNCTION("""COMPUTED_VALUE"""),37.0)</f>
        <v>37</v>
      </c>
      <c r="E13" s="187" t="str">
        <f>IFERROR(__xludf.DUMMYFUNCTION("""COMPUTED_VALUE"""),"Voice")</f>
        <v>Voice</v>
      </c>
      <c r="F13" s="187" t="str">
        <f>IFERROR(__xludf.DUMMYFUNCTION("""COMPUTED_VALUE"""),"C1552")</f>
        <v>C1552</v>
      </c>
      <c r="G13" s="185" t="str">
        <f>IFERROR(__xludf.DUMMYFUNCTION("""COMPUTED_VALUE"""),"@email")</f>
        <v>@email</v>
      </c>
      <c r="H13" s="185" t="str">
        <f>IFERROR(__xludf.DUMMYFUNCTION("""COMPUTED_VALUE"""),"ho.wmachado")</f>
        <v>ho.wmachado</v>
      </c>
      <c r="I13" s="185" t="str">
        <f>IFERROR(__xludf.DUMMYFUNCTION("""COMPUTED_VALUE"""),"Active")</f>
        <v>Active</v>
      </c>
      <c r="J13" s="218"/>
      <c r="K13" s="219"/>
      <c r="L13" s="220"/>
      <c r="M13" s="221"/>
      <c r="N13" s="224"/>
      <c r="O13" s="224"/>
      <c r="P13" s="224"/>
      <c r="Q13" s="217"/>
      <c r="R13" s="223"/>
      <c r="S13" s="209">
        <v>126.0</v>
      </c>
      <c r="T13" s="209" t="s">
        <v>26</v>
      </c>
      <c r="U13" s="210" t="str">
        <f t="shared" si="1"/>
        <v>David Patino</v>
      </c>
      <c r="V13" s="211" t="str">
        <f>IFERROR(__xludf.DUMMYFUNCTION("INDEX(FILTER(BvsL!F:F, BvsL!D:D=T13),22)
"),"08:00")</f>
        <v>08:00</v>
      </c>
      <c r="W13" s="212">
        <f t="shared" si="2"/>
        <v>0.7083333333</v>
      </c>
      <c r="X13" s="209" t="str">
        <f t="shared" si="3"/>
        <v>10:45 - 11:00</v>
      </c>
      <c r="Y13" s="209" t="str">
        <f t="shared" si="4"/>
        <v>14:00 - 14:30</v>
      </c>
      <c r="Z13" s="209" t="str">
        <f t="shared" si="5"/>
        <v>15:45 - 16:00</v>
      </c>
      <c r="AA13" s="213">
        <f t="shared" si="6"/>
        <v>35</v>
      </c>
      <c r="AB13" s="214"/>
      <c r="AC13" s="223"/>
      <c r="AD13" s="201"/>
      <c r="AE13" s="201"/>
      <c r="AF13" s="201"/>
      <c r="AG13" s="201"/>
      <c r="AH13" s="201"/>
      <c r="AI13" s="201"/>
      <c r="AJ13" s="201"/>
      <c r="AK13" s="201"/>
      <c r="AL13" s="201"/>
    </row>
    <row r="14" ht="22.5" customHeight="1">
      <c r="A14" s="187" t="str">
        <f>IFERROR(__xludf.DUMMYFUNCTION("""COMPUTED_VALUE"""),"Andra Daza")</f>
        <v>Andra Daza</v>
      </c>
      <c r="B14" s="188" t="str">
        <f>IFERROR(__xludf.DUMMYFUNCTION("""COMPUTED_VALUE"""),"Yaidy Mosquera")</f>
        <v>Yaidy Mosquera</v>
      </c>
      <c r="C14" s="189">
        <f>IFERROR(__xludf.DUMMYFUNCTION("""COMPUTED_VALUE"""),45719.0)</f>
        <v>45719</v>
      </c>
      <c r="D14" s="187">
        <f>IFERROR(__xludf.DUMMYFUNCTION("""COMPUTED_VALUE"""),24.0)</f>
        <v>24</v>
      </c>
      <c r="E14" s="187" t="str">
        <f>IFERROR(__xludf.DUMMYFUNCTION("""COMPUTED_VALUE"""),"Voice")</f>
        <v>Voice</v>
      </c>
      <c r="F14" s="187" t="str">
        <f>IFERROR(__xludf.DUMMYFUNCTION("""COMPUTED_VALUE"""),"C1173")</f>
        <v>C1173</v>
      </c>
      <c r="G14" s="185" t="str">
        <f>IFERROR(__xludf.DUMMYFUNCTION("""COMPUTED_VALUE"""),"yaidy.mosquera@buwelo.com")</f>
        <v>yaidy.mosquera@buwelo.com</v>
      </c>
      <c r="H14" s="185" t="str">
        <f>IFERROR(__xludf.DUMMYFUNCTION("""COMPUTED_VALUE"""),"ho.ymosquera")</f>
        <v>ho.ymosquera</v>
      </c>
      <c r="I14" s="185" t="str">
        <f>IFERROR(__xludf.DUMMYFUNCTION("""COMPUTED_VALUE"""),"Active")</f>
        <v>Active</v>
      </c>
      <c r="J14" s="218"/>
      <c r="K14" s="219"/>
      <c r="L14" s="220"/>
      <c r="M14" s="221"/>
      <c r="N14" s="224"/>
      <c r="O14" s="224"/>
      <c r="P14" s="224"/>
      <c r="Q14" s="217"/>
      <c r="R14" s="225"/>
      <c r="S14" s="209">
        <v>121.0</v>
      </c>
      <c r="T14" s="209" t="s">
        <v>37</v>
      </c>
      <c r="U14" s="210" t="str">
        <f t="shared" si="1"/>
        <v>Jhonatan Gomez</v>
      </c>
      <c r="V14" s="211" t="str">
        <f>IFERROR(__xludf.DUMMYFUNCTION("INDEX(FILTER(BvsL!F:F, BvsL!D:D=T14),22)
"),"08:00")</f>
        <v>08:00</v>
      </c>
      <c r="W14" s="212">
        <f t="shared" si="2"/>
        <v>0.7083333333</v>
      </c>
      <c r="X14" s="209" t="str">
        <f t="shared" si="3"/>
        <v>09:15 - 09:30</v>
      </c>
      <c r="Y14" s="209" t="str">
        <f t="shared" si="4"/>
        <v>11:30 - 12:00</v>
      </c>
      <c r="Z14" s="209" t="str">
        <f t="shared" si="5"/>
        <v>14:30 - 14:45</v>
      </c>
      <c r="AA14" s="213">
        <f t="shared" si="6"/>
        <v>35</v>
      </c>
      <c r="AB14" s="214"/>
      <c r="AC14" s="225">
        <v>0.2916666666666667</v>
      </c>
      <c r="AD14" s="201" t="s">
        <v>241</v>
      </c>
      <c r="AE14" s="201" t="s">
        <v>242</v>
      </c>
      <c r="AF14" s="201" t="s">
        <v>243</v>
      </c>
      <c r="AG14" s="201"/>
      <c r="AH14" s="201"/>
      <c r="AI14" s="201"/>
      <c r="AJ14" s="201"/>
      <c r="AK14" s="201"/>
      <c r="AL14" s="201"/>
    </row>
    <row r="15" ht="22.5" customHeight="1">
      <c r="A15" s="187" t="str">
        <f>IFERROR(__xludf.DUMMYFUNCTION("""COMPUTED_VALUE"""),"Bryan Galvis")</f>
        <v>Bryan Galvis</v>
      </c>
      <c r="B15" s="188" t="str">
        <f>IFERROR(__xludf.DUMMYFUNCTION("""COMPUTED_VALUE"""),"Alexa Arenas")</f>
        <v>Alexa Arenas</v>
      </c>
      <c r="C15" s="189">
        <f>IFERROR(__xludf.DUMMYFUNCTION("""COMPUTED_VALUE"""),45042.0)</f>
        <v>45042</v>
      </c>
      <c r="D15" s="187">
        <f>IFERROR(__xludf.DUMMYFUNCTION("""COMPUTED_VALUE"""),5.0)</f>
        <v>5</v>
      </c>
      <c r="E15" s="187" t="str">
        <f>IFERROR(__xludf.DUMMYFUNCTION("""COMPUTED_VALUE"""),"Tickets")</f>
        <v>Tickets</v>
      </c>
      <c r="F15" s="187" t="str">
        <f>IFERROR(__xludf.DUMMYFUNCTION("""COMPUTED_VALUE"""),"C699")</f>
        <v>C699</v>
      </c>
      <c r="G15" s="185" t="str">
        <f>IFERROR(__xludf.DUMMYFUNCTION("""COMPUTED_VALUE"""),"alexa.arenas@buwelo.com")</f>
        <v>alexa.arenas@buwelo.com</v>
      </c>
      <c r="H15" s="185" t="str">
        <f>IFERROR(__xludf.DUMMYFUNCTION("""COMPUTED_VALUE"""),"ho.aarenas")</f>
        <v>ho.aarenas</v>
      </c>
      <c r="I15" s="185" t="str">
        <f>IFERROR(__xludf.DUMMYFUNCTION("""COMPUTED_VALUE"""),"Active")</f>
        <v>Active</v>
      </c>
      <c r="J15" s="218"/>
      <c r="K15" s="226"/>
      <c r="L15" s="227"/>
      <c r="M15" s="228"/>
      <c r="N15" s="229"/>
      <c r="O15" s="229"/>
      <c r="P15" s="229"/>
      <c r="Q15" s="217"/>
      <c r="R15" s="225"/>
      <c r="S15" s="209">
        <v>122.0</v>
      </c>
      <c r="T15" s="209" t="s">
        <v>62</v>
      </c>
      <c r="U15" s="210" t="str">
        <f t="shared" si="1"/>
        <v>Magda Foronda</v>
      </c>
      <c r="V15" s="211" t="str">
        <f>IFERROR(__xludf.DUMMYFUNCTION("INDEX(FILTER(BvsL!F:F, BvsL!D:D=T15),20)
"),"08:00")</f>
        <v>08:00</v>
      </c>
      <c r="W15" s="212">
        <f t="shared" si="2"/>
        <v>0.7083333333</v>
      </c>
      <c r="X15" s="209" t="str">
        <f t="shared" si="3"/>
        <v>09:30 - 09:45</v>
      </c>
      <c r="Y15" s="209" t="str">
        <f t="shared" si="4"/>
        <v>12:00 - 12:30</v>
      </c>
      <c r="Z15" s="209" t="str">
        <f t="shared" si="5"/>
        <v>14:45 - 15:00</v>
      </c>
      <c r="AA15" s="213">
        <f t="shared" si="6"/>
        <v>35</v>
      </c>
      <c r="AB15" s="214"/>
      <c r="AC15" s="225">
        <v>0.2916666666666667</v>
      </c>
      <c r="AD15" s="201" t="s">
        <v>244</v>
      </c>
      <c r="AE15" s="201" t="s">
        <v>245</v>
      </c>
      <c r="AF15" s="201" t="s">
        <v>246</v>
      </c>
      <c r="AG15" s="201"/>
      <c r="AH15" s="201"/>
      <c r="AI15" s="201"/>
      <c r="AJ15" s="201"/>
      <c r="AK15" s="201"/>
      <c r="AL15" s="201"/>
    </row>
    <row r="16" ht="22.5" customHeight="1">
      <c r="A16" s="187" t="str">
        <f>IFERROR(__xludf.DUMMYFUNCTION("""COMPUTED_VALUE"""),"Bryan Galvis")</f>
        <v>Bryan Galvis</v>
      </c>
      <c r="B16" s="188" t="str">
        <f>IFERROR(__xludf.DUMMYFUNCTION("""COMPUTED_VALUE"""),"Arturo Padilla")</f>
        <v>Arturo Padilla</v>
      </c>
      <c r="C16" s="189">
        <f>IFERROR(__xludf.DUMMYFUNCTION("""COMPUTED_VALUE"""),44932.0)</f>
        <v>44932</v>
      </c>
      <c r="D16" s="216">
        <f>IFERROR(__xludf.DUMMYFUNCTION("""COMPUTED_VALUE"""),1.0)</f>
        <v>1</v>
      </c>
      <c r="E16" s="187" t="str">
        <f>IFERROR(__xludf.DUMMYFUNCTION("""COMPUTED_VALUE"""),"Tickets")</f>
        <v>Tickets</v>
      </c>
      <c r="F16" s="187" t="str">
        <f>IFERROR(__xludf.DUMMYFUNCTION("""COMPUTED_VALUE"""),"C080")</f>
        <v>C080</v>
      </c>
      <c r="G16" s="185" t="str">
        <f>IFERROR(__xludf.DUMMYFUNCTION("""COMPUTED_VALUE"""),"arturo.padilla@buwelo.com")</f>
        <v>arturo.padilla@buwelo.com</v>
      </c>
      <c r="H16" s="185" t="str">
        <f>IFERROR(__xludf.DUMMYFUNCTION("""COMPUTED_VALUE"""),"ho.apadilla")</f>
        <v>ho.apadilla</v>
      </c>
      <c r="I16" s="185" t="str">
        <f>IFERROR(__xludf.DUMMYFUNCTION("""COMPUTED_VALUE"""),"Active")</f>
        <v>Active</v>
      </c>
      <c r="J16" s="230" t="s">
        <v>247</v>
      </c>
      <c r="K16" s="231" t="s">
        <v>220</v>
      </c>
      <c r="L16" s="232">
        <v>111.0</v>
      </c>
      <c r="M16" s="233">
        <v>0.2916666666666667</v>
      </c>
      <c r="N16" s="234" t="s">
        <v>241</v>
      </c>
      <c r="O16" s="234" t="s">
        <v>242</v>
      </c>
      <c r="P16" s="234" t="s">
        <v>243</v>
      </c>
      <c r="Q16" s="217"/>
      <c r="R16" s="225"/>
      <c r="S16" s="209">
        <v>123.0</v>
      </c>
      <c r="T16" s="209" t="s">
        <v>9</v>
      </c>
      <c r="U16" s="210" t="str">
        <f t="shared" si="1"/>
        <v>Adriana Moncaleano</v>
      </c>
      <c r="V16" s="211" t="str">
        <f>IFERROR(__xludf.DUMMYFUNCTION("INDEX(FILTER(BvsL!F:F, BvsL!D:D=T16),20)
"),"08:00")</f>
        <v>08:00</v>
      </c>
      <c r="W16" s="212">
        <f t="shared" si="2"/>
        <v>0.7083333333</v>
      </c>
      <c r="X16" s="209" t="str">
        <f t="shared" si="3"/>
        <v>09:45 - 10:00 </v>
      </c>
      <c r="Y16" s="209" t="str">
        <f t="shared" si="4"/>
        <v>12:30 - 13:00</v>
      </c>
      <c r="Z16" s="209" t="str">
        <f t="shared" si="5"/>
        <v>15:00 - 15:15</v>
      </c>
      <c r="AA16" s="213">
        <f t="shared" si="6"/>
        <v>23</v>
      </c>
      <c r="AB16" s="214"/>
      <c r="AC16" s="225">
        <v>0.2916666666666667</v>
      </c>
      <c r="AD16" s="201" t="s">
        <v>248</v>
      </c>
      <c r="AE16" s="201" t="s">
        <v>249</v>
      </c>
      <c r="AF16" s="201" t="s">
        <v>246</v>
      </c>
      <c r="AG16" s="201"/>
      <c r="AH16" s="201"/>
      <c r="AI16" s="201"/>
      <c r="AJ16" s="201"/>
      <c r="AK16" s="201"/>
      <c r="AL16" s="201"/>
    </row>
    <row r="17" ht="22.5" customHeight="1">
      <c r="A17" s="187" t="str">
        <f>IFERROR(__xludf.DUMMYFUNCTION("""COMPUTED_VALUE"""),"Bryan Galvis")</f>
        <v>Bryan Galvis</v>
      </c>
      <c r="B17" s="188" t="str">
        <f>IFERROR(__xludf.DUMMYFUNCTION("""COMPUTED_VALUE"""),"Braian Restrepo")</f>
        <v>Braian Restrepo</v>
      </c>
      <c r="C17" s="189">
        <f>IFERROR(__xludf.DUMMYFUNCTION("""COMPUTED_VALUE"""),45719.0)</f>
        <v>45719</v>
      </c>
      <c r="D17" s="216">
        <f>IFERROR(__xludf.DUMMYFUNCTION("""COMPUTED_VALUE"""),24.0)</f>
        <v>24</v>
      </c>
      <c r="E17" s="187" t="str">
        <f>IFERROR(__xludf.DUMMYFUNCTION("""COMPUTED_VALUE"""),"Tickets")</f>
        <v>Tickets</v>
      </c>
      <c r="F17" s="187" t="str">
        <f>IFERROR(__xludf.DUMMYFUNCTION("""COMPUTED_VALUE"""),"C1165")</f>
        <v>C1165</v>
      </c>
      <c r="G17" s="185" t="str">
        <f>IFERROR(__xludf.DUMMYFUNCTION("""COMPUTED_VALUE"""),"braian.restrepo@buwelo.com")</f>
        <v>braian.restrepo@buwelo.com</v>
      </c>
      <c r="H17" s="185" t="str">
        <f>IFERROR(__xludf.DUMMYFUNCTION("""COMPUTED_VALUE"""),"ho.brestrepo")</f>
        <v>ho.brestrepo</v>
      </c>
      <c r="I17" s="185" t="str">
        <f>IFERROR(__xludf.DUMMYFUNCTION("""COMPUTED_VALUE"""),"Active")</f>
        <v>Active</v>
      </c>
      <c r="J17" s="230" t="s">
        <v>247</v>
      </c>
      <c r="K17" s="231" t="s">
        <v>220</v>
      </c>
      <c r="L17" s="232">
        <v>112.0</v>
      </c>
      <c r="M17" s="233">
        <v>0.2916666666666667</v>
      </c>
      <c r="N17" s="235" t="s">
        <v>244</v>
      </c>
      <c r="O17" s="234" t="s">
        <v>245</v>
      </c>
      <c r="P17" s="234" t="s">
        <v>246</v>
      </c>
      <c r="R17" s="225"/>
      <c r="S17" s="209">
        <v>124.0</v>
      </c>
      <c r="T17" s="209" t="s">
        <v>15</v>
      </c>
      <c r="U17" s="210" t="str">
        <f t="shared" si="1"/>
        <v>Angelo Zapata</v>
      </c>
      <c r="V17" s="211" t="str">
        <f>IFERROR(__xludf.DUMMYFUNCTION("INDEX(FILTER(BvsL!F:F, BvsL!D:D=T17),20)
"),"08:00")</f>
        <v>08:00</v>
      </c>
      <c r="W17" s="212">
        <f t="shared" si="2"/>
        <v>0.7083333333</v>
      </c>
      <c r="X17" s="209" t="str">
        <f t="shared" si="3"/>
        <v>10:00 - 10:15</v>
      </c>
      <c r="Y17" s="209" t="str">
        <f t="shared" si="4"/>
        <v>13:00 - 13:30</v>
      </c>
      <c r="Z17" s="209" t="str">
        <f t="shared" si="5"/>
        <v>15:30 - 15:45</v>
      </c>
      <c r="AA17" s="213">
        <f t="shared" si="6"/>
        <v>30</v>
      </c>
      <c r="AB17" s="214"/>
      <c r="AC17" s="225"/>
      <c r="AD17" s="201"/>
      <c r="AE17" s="201"/>
      <c r="AF17" s="201"/>
      <c r="AG17" s="201"/>
      <c r="AH17" s="201"/>
      <c r="AI17" s="201"/>
      <c r="AJ17" s="201"/>
      <c r="AK17" s="201"/>
      <c r="AL17" s="201"/>
    </row>
    <row r="18" ht="22.5" customHeight="1">
      <c r="A18" s="187" t="str">
        <f>IFERROR(__xludf.DUMMYFUNCTION("""COMPUTED_VALUE"""),"Bryan Galvis")</f>
        <v>Bryan Galvis</v>
      </c>
      <c r="B18" s="188" t="str">
        <f>IFERROR(__xludf.DUMMYFUNCTION("""COMPUTED_VALUE"""),"Johana Villarreal")</f>
        <v>Johana Villarreal</v>
      </c>
      <c r="C18" s="236">
        <f>IFERROR(__xludf.DUMMYFUNCTION("""COMPUTED_VALUE"""),45859.0)</f>
        <v>45859</v>
      </c>
      <c r="D18" s="187">
        <f>IFERROR(__xludf.DUMMYFUNCTION("""COMPUTED_VALUE"""),28.0)</f>
        <v>28</v>
      </c>
      <c r="E18" s="187" t="str">
        <f>IFERROR(__xludf.DUMMYFUNCTION("""COMPUTED_VALUE"""),"Tickets")</f>
        <v>Tickets</v>
      </c>
      <c r="F18" s="187" t="str">
        <f>IFERROR(__xludf.DUMMYFUNCTION("""COMPUTED_VALUE"""),"C1289")</f>
        <v>C1289</v>
      </c>
      <c r="G18" s="185" t="str">
        <f>IFERROR(__xludf.DUMMYFUNCTION("""COMPUTED_VALUE"""),"johana.villarreal@buwelo.com")</f>
        <v>johana.villarreal@buwelo.com</v>
      </c>
      <c r="H18" s="185" t="str">
        <f>IFERROR(__xludf.DUMMYFUNCTION("""COMPUTED_VALUE"""),"ho.jvillarreal")</f>
        <v>ho.jvillarreal</v>
      </c>
      <c r="I18" s="185" t="str">
        <f>IFERROR(__xludf.DUMMYFUNCTION("""COMPUTED_VALUE"""),"Active")</f>
        <v>Active</v>
      </c>
      <c r="J18" s="230" t="s">
        <v>247</v>
      </c>
      <c r="K18" s="231" t="s">
        <v>220</v>
      </c>
      <c r="L18" s="232">
        <v>113.0</v>
      </c>
      <c r="M18" s="233">
        <v>0.2916666666666667</v>
      </c>
      <c r="N18" s="234" t="s">
        <v>248</v>
      </c>
      <c r="O18" s="234" t="s">
        <v>249</v>
      </c>
      <c r="P18" s="234" t="s">
        <v>246</v>
      </c>
      <c r="Q18" s="217"/>
      <c r="R18" s="225"/>
      <c r="S18" s="209">
        <v>125.0</v>
      </c>
      <c r="T18" s="209" t="s">
        <v>17</v>
      </c>
      <c r="U18" s="210" t="str">
        <f t="shared" si="1"/>
        <v>Brahian Prado</v>
      </c>
      <c r="V18" s="211" t="str">
        <f>IFERROR(__xludf.DUMMYFUNCTION("INDEX(FILTER(BvsL!F:F, BvsL!D:D=T18),20)
"),"08:00")</f>
        <v>08:00</v>
      </c>
      <c r="W18" s="212">
        <f t="shared" si="2"/>
        <v>0.7083333333</v>
      </c>
      <c r="X18" s="209" t="str">
        <f t="shared" si="3"/>
        <v>10:30 - 10:45</v>
      </c>
      <c r="Y18" s="209" t="str">
        <f t="shared" si="4"/>
        <v>13:30 - 14:00</v>
      </c>
      <c r="Z18" s="209" t="str">
        <f t="shared" si="5"/>
        <v>15:45 - 16:00</v>
      </c>
      <c r="AA18" s="213">
        <f t="shared" si="6"/>
        <v>18</v>
      </c>
      <c r="AB18" s="214"/>
      <c r="AC18" s="225"/>
      <c r="AD18" s="201"/>
      <c r="AE18" s="201"/>
      <c r="AF18" s="201"/>
      <c r="AG18" s="201"/>
      <c r="AH18" s="201"/>
      <c r="AI18" s="201"/>
      <c r="AJ18" s="201"/>
      <c r="AK18" s="201"/>
      <c r="AL18" s="201"/>
    </row>
    <row r="19" ht="22.5" customHeight="1">
      <c r="A19" s="187" t="str">
        <f>IFERROR(__xludf.DUMMYFUNCTION("""COMPUTED_VALUE"""),"Bryan Galvis")</f>
        <v>Bryan Galvis</v>
      </c>
      <c r="B19" s="188" t="str">
        <f>IFERROR(__xludf.DUMMYFUNCTION("""COMPUTED_VALUE"""),"Juan Ospina")</f>
        <v>Juan Ospina</v>
      </c>
      <c r="C19" s="189">
        <f>IFERROR(__xludf.DUMMYFUNCTION("""COMPUTED_VALUE"""),46041.0)</f>
        <v>46041</v>
      </c>
      <c r="D19" s="187">
        <f>IFERROR(__xludf.DUMMYFUNCTION("""COMPUTED_VALUE"""),34.0)</f>
        <v>34</v>
      </c>
      <c r="E19" s="187" t="str">
        <f>IFERROR(__xludf.DUMMYFUNCTION("""COMPUTED_VALUE"""),"Tickets")</f>
        <v>Tickets</v>
      </c>
      <c r="F19" s="187" t="str">
        <f>IFERROR(__xludf.DUMMYFUNCTION("""COMPUTED_VALUE"""),"C1484")</f>
        <v>C1484</v>
      </c>
      <c r="G19" s="185" t="str">
        <f>IFERROR(__xludf.DUMMYFUNCTION("""COMPUTED_VALUE"""),"juan.ospina@buwelo.com")</f>
        <v>juan.ospina@buwelo.com</v>
      </c>
      <c r="H19" s="185" t="str">
        <f>IFERROR(__xludf.DUMMYFUNCTION("""COMPUTED_VALUE"""),"ho.jospina")</f>
        <v>ho.jospina</v>
      </c>
      <c r="I19" s="185" t="str">
        <f>IFERROR(__xludf.DUMMYFUNCTION("""COMPUTED_VALUE"""),"Active")</f>
        <v>Active</v>
      </c>
      <c r="J19" s="230" t="s">
        <v>247</v>
      </c>
      <c r="K19" s="231"/>
      <c r="L19" s="232">
        <v>114.0</v>
      </c>
      <c r="M19" s="233">
        <v>0.2916666666666667</v>
      </c>
      <c r="N19" s="234" t="s">
        <v>241</v>
      </c>
      <c r="O19" s="234" t="s">
        <v>242</v>
      </c>
      <c r="P19" s="235" t="s">
        <v>243</v>
      </c>
      <c r="Q19" s="217"/>
      <c r="R19" s="237"/>
      <c r="S19" s="209">
        <v>126.0</v>
      </c>
      <c r="T19" s="209" t="s">
        <v>250</v>
      </c>
      <c r="U19" s="210" t="str">
        <f t="shared" si="1"/>
        <v>Brayan Franco</v>
      </c>
      <c r="V19" s="211" t="str">
        <f>IFERROR(__xludf.DUMMYFUNCTION("INDEX(FILTER(BvsL!F:F, BvsL!D:D=T19),15)
"),"")</f>
        <v/>
      </c>
      <c r="W19" s="212">
        <f t="shared" si="2"/>
        <v>0.375</v>
      </c>
      <c r="X19" s="209" t="str">
        <f t="shared" si="3"/>
        <v>10:45 - 11:00</v>
      </c>
      <c r="Y19" s="209" t="str">
        <f t="shared" si="4"/>
        <v>14:00 - 14:30</v>
      </c>
      <c r="Z19" s="209" t="str">
        <f t="shared" si="5"/>
        <v>15:45 - 16:00</v>
      </c>
      <c r="AA19" s="213">
        <f t="shared" si="6"/>
        <v>27</v>
      </c>
      <c r="AB19" s="214"/>
      <c r="AC19" s="237">
        <v>0.3333333333333333</v>
      </c>
      <c r="AD19" s="201" t="s">
        <v>244</v>
      </c>
      <c r="AE19" s="201" t="s">
        <v>251</v>
      </c>
      <c r="AF19" s="201" t="s">
        <v>243</v>
      </c>
      <c r="AH19" s="201"/>
      <c r="AI19" s="201"/>
      <c r="AJ19" s="201"/>
      <c r="AK19" s="201"/>
      <c r="AL19" s="201"/>
    </row>
    <row r="20" ht="22.5" customHeight="1">
      <c r="A20" s="187" t="str">
        <f>IFERROR(__xludf.DUMMYFUNCTION("""COMPUTED_VALUE"""),"Bryan Galvis")</f>
        <v>Bryan Galvis</v>
      </c>
      <c r="B20" s="188" t="str">
        <f>IFERROR(__xludf.DUMMYFUNCTION("""COMPUTED_VALUE"""),"Juan Sanchez")</f>
        <v>Juan Sanchez</v>
      </c>
      <c r="C20" s="189">
        <f>IFERROR(__xludf.DUMMYFUNCTION("""COMPUTED_VALUE"""),45719.0)</f>
        <v>45719</v>
      </c>
      <c r="D20" s="216">
        <f>IFERROR(__xludf.DUMMYFUNCTION("""COMPUTED_VALUE"""),24.0)</f>
        <v>24</v>
      </c>
      <c r="E20" s="187" t="str">
        <f>IFERROR(__xludf.DUMMYFUNCTION("""COMPUTED_VALUE"""),"Tickets")</f>
        <v>Tickets</v>
      </c>
      <c r="F20" s="187" t="str">
        <f>IFERROR(__xludf.DUMMYFUNCTION("""COMPUTED_VALUE"""),"C1171")</f>
        <v>C1171</v>
      </c>
      <c r="G20" s="185" t="str">
        <f>IFERROR(__xludf.DUMMYFUNCTION("""COMPUTED_VALUE"""),"juan.sanchez@buwelo.com")</f>
        <v>juan.sanchez@buwelo.com</v>
      </c>
      <c r="H20" s="185" t="str">
        <f>IFERROR(__xludf.DUMMYFUNCTION("""COMPUTED_VALUE"""),"ho.jusanchez")</f>
        <v>ho.jusanchez</v>
      </c>
      <c r="I20" s="185" t="str">
        <f>IFERROR(__xludf.DUMMYFUNCTION("""COMPUTED_VALUE"""),"Active")</f>
        <v>Active</v>
      </c>
      <c r="J20" s="230" t="s">
        <v>247</v>
      </c>
      <c r="K20" s="231"/>
      <c r="L20" s="232">
        <v>115.0</v>
      </c>
      <c r="M20" s="233">
        <v>0.2916666666666667</v>
      </c>
      <c r="N20" s="234" t="s">
        <v>244</v>
      </c>
      <c r="O20" s="234" t="s">
        <v>245</v>
      </c>
      <c r="P20" s="235" t="s">
        <v>246</v>
      </c>
      <c r="Q20" s="217"/>
      <c r="R20" s="238"/>
      <c r="S20" s="209">
        <v>111.0</v>
      </c>
      <c r="T20" s="209" t="s">
        <v>18</v>
      </c>
      <c r="U20" s="210" t="str">
        <f t="shared" si="1"/>
        <v>Brayan Montoya</v>
      </c>
      <c r="V20" s="211" t="str">
        <f>IFERROR(__xludf.DUMMYFUNCTION("INDEX(FILTER(BvsL!F:F, BvsL!D:D=T20),20)
"),"07:00")</f>
        <v>07:00</v>
      </c>
      <c r="W20" s="212">
        <f t="shared" si="2"/>
        <v>0.6666666667</v>
      </c>
      <c r="X20" s="209" t="str">
        <f t="shared" si="3"/>
        <v>09:00 - 09:15</v>
      </c>
      <c r="Y20" s="209" t="str">
        <f t="shared" si="4"/>
        <v>11:45 - 12:15</v>
      </c>
      <c r="Z20" s="209" t="str">
        <f t="shared" si="5"/>
        <v>14:30 - 14:45</v>
      </c>
      <c r="AA20" s="213">
        <f t="shared" si="6"/>
        <v>25</v>
      </c>
      <c r="AB20" s="214"/>
      <c r="AC20" s="238">
        <v>0.3333333333333333</v>
      </c>
      <c r="AD20" s="201" t="s">
        <v>248</v>
      </c>
      <c r="AE20" s="201" t="s">
        <v>249</v>
      </c>
      <c r="AF20" s="201" t="s">
        <v>246</v>
      </c>
      <c r="AH20" s="201"/>
      <c r="AI20" s="201"/>
      <c r="AJ20" s="201"/>
      <c r="AK20" s="201"/>
      <c r="AL20" s="201"/>
    </row>
    <row r="21" ht="22.5" customHeight="1">
      <c r="A21" s="187" t="str">
        <f>IFERROR(__xludf.DUMMYFUNCTION("""COMPUTED_VALUE"""),"Bryan Galvis")</f>
        <v>Bryan Galvis</v>
      </c>
      <c r="B21" s="188" t="str">
        <f>IFERROR(__xludf.DUMMYFUNCTION("""COMPUTED_VALUE"""),"Julian Higuita")</f>
        <v>Julian Higuita</v>
      </c>
      <c r="C21" s="189">
        <f>IFERROR(__xludf.DUMMYFUNCTION("""COMPUTED_VALUE"""),46062.0)</f>
        <v>46062</v>
      </c>
      <c r="D21" s="187">
        <f>IFERROR(__xludf.DUMMYFUNCTION("""COMPUTED_VALUE"""),35.0)</f>
        <v>35</v>
      </c>
      <c r="E21" s="187" t="str">
        <f>IFERROR(__xludf.DUMMYFUNCTION("""COMPUTED_VALUE"""),"Tickets")</f>
        <v>Tickets</v>
      </c>
      <c r="F21" s="187" t="str">
        <f>IFERROR(__xludf.DUMMYFUNCTION("""COMPUTED_VALUE"""),"C755")</f>
        <v>C755</v>
      </c>
      <c r="G21" s="185" t="str">
        <f>IFERROR(__xludf.DUMMYFUNCTION("""COMPUTED_VALUE"""),"julian.higuita@buwelo.com")</f>
        <v>julian.higuita@buwelo.com</v>
      </c>
      <c r="H21" s="185" t="str">
        <f>IFERROR(__xludf.DUMMYFUNCTION("""COMPUTED_VALUE"""),"ho.juhiguita")</f>
        <v>ho.juhiguita</v>
      </c>
      <c r="I21" s="185" t="str">
        <f>IFERROR(__xludf.DUMMYFUNCTION("""COMPUTED_VALUE"""),"Active")</f>
        <v>Active</v>
      </c>
      <c r="J21" s="230" t="s">
        <v>247</v>
      </c>
      <c r="K21" s="231"/>
      <c r="L21" s="232">
        <v>116.0</v>
      </c>
      <c r="M21" s="233">
        <v>0.2916666666666667</v>
      </c>
      <c r="N21" s="234" t="s">
        <v>248</v>
      </c>
      <c r="O21" s="234" t="s">
        <v>249</v>
      </c>
      <c r="P21" s="235" t="s">
        <v>246</v>
      </c>
      <c r="Q21" s="217"/>
      <c r="R21" s="238"/>
      <c r="S21" s="209">
        <v>121.0</v>
      </c>
      <c r="T21" s="209" t="s">
        <v>19</v>
      </c>
      <c r="U21" s="210" t="str">
        <f t="shared" si="1"/>
        <v>Breitner Benitez</v>
      </c>
      <c r="V21" s="211" t="str">
        <f>IFERROR(__xludf.DUMMYFUNCTION("INDEX(FILTER(BvsL!F:F, BvsL!D:D=T21),20)
"),"08:00")</f>
        <v>08:00</v>
      </c>
      <c r="W21" s="212">
        <f t="shared" si="2"/>
        <v>0.7083333333</v>
      </c>
      <c r="X21" s="209" t="str">
        <f t="shared" si="3"/>
        <v>09:15 - 09:30</v>
      </c>
      <c r="Y21" s="209" t="str">
        <f t="shared" si="4"/>
        <v>11:30 - 12:00</v>
      </c>
      <c r="Z21" s="209" t="str">
        <f t="shared" si="5"/>
        <v>14:30 - 14:45</v>
      </c>
      <c r="AA21" s="213">
        <f t="shared" si="6"/>
        <v>13</v>
      </c>
      <c r="AB21" s="214"/>
      <c r="AC21" s="238">
        <v>0.3333333333333333</v>
      </c>
      <c r="AD21" s="201" t="s">
        <v>252</v>
      </c>
      <c r="AE21" s="201" t="s">
        <v>253</v>
      </c>
      <c r="AF21" s="201" t="s">
        <v>254</v>
      </c>
      <c r="AH21" s="201"/>
      <c r="AI21" s="201"/>
      <c r="AJ21" s="201"/>
      <c r="AK21" s="201"/>
      <c r="AL21" s="201"/>
    </row>
    <row r="22" ht="22.5" customHeight="1">
      <c r="A22" s="187" t="str">
        <f>IFERROR(__xludf.DUMMYFUNCTION("""COMPUTED_VALUE"""),"Bryan Galvis")</f>
        <v>Bryan Galvis</v>
      </c>
      <c r="B22" s="188" t="str">
        <f>IFERROR(__xludf.DUMMYFUNCTION("""COMPUTED_VALUE"""),"Karen Martinez")</f>
        <v>Karen Martinez</v>
      </c>
      <c r="C22" s="189">
        <f>IFERROR(__xludf.DUMMYFUNCTION("""COMPUTED_VALUE"""),45023.0)</f>
        <v>45023</v>
      </c>
      <c r="D22" s="187">
        <f>IFERROR(__xludf.DUMMYFUNCTION("""COMPUTED_VALUE"""),4.0)</f>
        <v>4</v>
      </c>
      <c r="E22" s="187" t="str">
        <f>IFERROR(__xludf.DUMMYFUNCTION("""COMPUTED_VALUE"""),"Tickets")</f>
        <v>Tickets</v>
      </c>
      <c r="F22" s="187" t="str">
        <f>IFERROR(__xludf.DUMMYFUNCTION("""COMPUTED_VALUE"""),"C579")</f>
        <v>C579</v>
      </c>
      <c r="G22" s="185" t="str">
        <f>IFERROR(__xludf.DUMMYFUNCTION("""COMPUTED_VALUE"""),"karen.martinez@buwelo.com")</f>
        <v>karen.martinez@buwelo.com</v>
      </c>
      <c r="H22" s="185" t="str">
        <f>IFERROR(__xludf.DUMMYFUNCTION("""COMPUTED_VALUE"""),"ho.kmartinez")</f>
        <v>ho.kmartinez</v>
      </c>
      <c r="I22" s="185" t="str">
        <f>IFERROR(__xludf.DUMMYFUNCTION("""COMPUTED_VALUE"""),"Active")</f>
        <v>Active</v>
      </c>
      <c r="J22" s="239"/>
      <c r="K22" s="226"/>
      <c r="L22" s="227"/>
      <c r="M22" s="228"/>
      <c r="N22" s="240"/>
      <c r="O22" s="240"/>
      <c r="P22" s="241"/>
      <c r="Q22" s="217"/>
      <c r="R22" s="238"/>
      <c r="S22" s="209">
        <v>122.0</v>
      </c>
      <c r="T22" s="209" t="s">
        <v>22</v>
      </c>
      <c r="U22" s="210" t="str">
        <f t="shared" si="1"/>
        <v>Carolina Rios</v>
      </c>
      <c r="V22" s="211" t="str">
        <f>IFERROR(__xludf.DUMMYFUNCTION("INDEX(FILTER(BvsL!F:F, BvsL!D:D=T22),20)
"),"08:00")</f>
        <v>08:00</v>
      </c>
      <c r="W22" s="212">
        <f t="shared" si="2"/>
        <v>0.7083333333</v>
      </c>
      <c r="X22" s="209" t="str">
        <f t="shared" si="3"/>
        <v>09:30 - 09:45</v>
      </c>
      <c r="Y22" s="209" t="str">
        <f t="shared" si="4"/>
        <v>12:00 - 12:30</v>
      </c>
      <c r="Z22" s="209" t="str">
        <f t="shared" si="5"/>
        <v>14:45 - 15:00</v>
      </c>
      <c r="AA22" s="213">
        <f t="shared" si="6"/>
        <v>5</v>
      </c>
      <c r="AB22" s="214"/>
      <c r="AC22" s="238">
        <v>0.3333333333333333</v>
      </c>
      <c r="AD22" s="201" t="s">
        <v>255</v>
      </c>
      <c r="AE22" s="201" t="s">
        <v>256</v>
      </c>
      <c r="AF22" s="201" t="s">
        <v>257</v>
      </c>
      <c r="AH22" s="201"/>
      <c r="AI22" s="201"/>
      <c r="AJ22" s="201"/>
      <c r="AK22" s="201"/>
      <c r="AL22" s="201"/>
    </row>
    <row r="23" ht="22.5" customHeight="1">
      <c r="A23" s="187" t="str">
        <f>IFERROR(__xludf.DUMMYFUNCTION("""COMPUTED_VALUE"""),"Bryan Galvis")</f>
        <v>Bryan Galvis</v>
      </c>
      <c r="B23" s="188" t="str">
        <f>IFERROR(__xludf.DUMMYFUNCTION("""COMPUTED_VALUE"""),"Lina Cadena")</f>
        <v>Lina Cadena</v>
      </c>
      <c r="C23" s="189">
        <f>IFERROR(__xludf.DUMMYFUNCTION("""COMPUTED_VALUE"""),44953.0)</f>
        <v>44953</v>
      </c>
      <c r="D23" s="187">
        <f>IFERROR(__xludf.DUMMYFUNCTION("""COMPUTED_VALUE"""),2.0)</f>
        <v>2</v>
      </c>
      <c r="E23" s="187" t="str">
        <f>IFERROR(__xludf.DUMMYFUNCTION("""COMPUTED_VALUE"""),"Tickets")</f>
        <v>Tickets</v>
      </c>
      <c r="F23" s="187" t="str">
        <f>IFERROR(__xludf.DUMMYFUNCTION("""COMPUTED_VALUE"""),"C535")</f>
        <v>C535</v>
      </c>
      <c r="G23" s="185" t="str">
        <f>IFERROR(__xludf.DUMMYFUNCTION("""COMPUTED_VALUE"""),"lina.cadena@buwelo.com")</f>
        <v>lina.cadena@buwelo.com</v>
      </c>
      <c r="H23" s="185" t="str">
        <f>IFERROR(__xludf.DUMMYFUNCTION("""COMPUTED_VALUE"""),"ho.lcadena")</f>
        <v>ho.lcadena</v>
      </c>
      <c r="I23" s="185" t="str">
        <f>IFERROR(__xludf.DUMMYFUNCTION("""COMPUTED_VALUE"""),"Active")</f>
        <v>Active</v>
      </c>
      <c r="J23" s="242" t="s">
        <v>258</v>
      </c>
      <c r="K23" s="243" t="s">
        <v>259</v>
      </c>
      <c r="L23" s="244">
        <v>121.0</v>
      </c>
      <c r="M23" s="245">
        <v>0.3333333333333333</v>
      </c>
      <c r="N23" s="246" t="s">
        <v>260</v>
      </c>
      <c r="O23" s="246" t="s">
        <v>240</v>
      </c>
      <c r="P23" s="247" t="s">
        <v>243</v>
      </c>
      <c r="Q23" s="217"/>
      <c r="R23" s="238"/>
      <c r="S23" s="209">
        <v>123.0</v>
      </c>
      <c r="T23" s="209" t="s">
        <v>174</v>
      </c>
      <c r="U23" s="210" t="str">
        <f t="shared" si="1"/>
        <v>Cristian Ferreira</v>
      </c>
      <c r="V23" s="211" t="str">
        <f>IFERROR(__xludf.DUMMYFUNCTION("INDEX(FILTER(BvsL!F:F, BvsL!D:D=T23),22)
"),"08:00")</f>
        <v>08:00</v>
      </c>
      <c r="W23" s="212">
        <f t="shared" si="2"/>
        <v>0.7083333333</v>
      </c>
      <c r="X23" s="209" t="str">
        <f t="shared" si="3"/>
        <v>09:45 - 10:00 </v>
      </c>
      <c r="Y23" s="209" t="str">
        <f t="shared" si="4"/>
        <v>12:30 - 13:00</v>
      </c>
      <c r="Z23" s="209" t="str">
        <f t="shared" si="5"/>
        <v>15:00 - 15:15</v>
      </c>
      <c r="AA23" s="213">
        <f t="shared" si="6"/>
        <v>29</v>
      </c>
      <c r="AB23" s="214"/>
      <c r="AC23" s="238">
        <v>0.3333333333333333</v>
      </c>
      <c r="AD23" s="201" t="s">
        <v>261</v>
      </c>
      <c r="AE23" s="201" t="s">
        <v>262</v>
      </c>
      <c r="AF23" s="201" t="s">
        <v>263</v>
      </c>
      <c r="AH23" s="201"/>
      <c r="AI23" s="201"/>
      <c r="AJ23" s="201"/>
      <c r="AK23" s="201"/>
      <c r="AL23" s="201"/>
    </row>
    <row r="24" ht="22.5" customHeight="1">
      <c r="A24" s="187" t="str">
        <f>IFERROR(__xludf.DUMMYFUNCTION("""COMPUTED_VALUE"""),"Bryan Galvis")</f>
        <v>Bryan Galvis</v>
      </c>
      <c r="B24" s="188" t="str">
        <f>IFERROR(__xludf.DUMMYFUNCTION("""COMPUTED_VALUE"""),"Madelyn Jaramillo")</f>
        <v>Madelyn Jaramillo</v>
      </c>
      <c r="C24" s="248">
        <f>IFERROR(__xludf.DUMMYFUNCTION("""COMPUTED_VALUE"""),45798.0)</f>
        <v>45798</v>
      </c>
      <c r="D24" s="216">
        <f>IFERROR(__xludf.DUMMYFUNCTION("""COMPUTED_VALUE"""),26.0)</f>
        <v>26</v>
      </c>
      <c r="E24" s="187" t="str">
        <f>IFERROR(__xludf.DUMMYFUNCTION("""COMPUTED_VALUE"""),"Tickets")</f>
        <v>Tickets</v>
      </c>
      <c r="F24" s="187" t="str">
        <f>IFERROR(__xludf.DUMMYFUNCTION("""COMPUTED_VALUE"""),"C1219")</f>
        <v>C1219</v>
      </c>
      <c r="G24" s="185" t="str">
        <f>IFERROR(__xludf.DUMMYFUNCTION("""COMPUTED_VALUE"""),"madelyn.jaramillo@buwelo.com")</f>
        <v>madelyn.jaramillo@buwelo.com</v>
      </c>
      <c r="H24" s="185" t="str">
        <f>IFERROR(__xludf.DUMMYFUNCTION("""COMPUTED_VALUE"""),"ho.mjaramillo")</f>
        <v>ho.mjaramillo</v>
      </c>
      <c r="I24" s="185" t="str">
        <f>IFERROR(__xludf.DUMMYFUNCTION("""COMPUTED_VALUE"""),"Active")</f>
        <v>Active</v>
      </c>
      <c r="J24" s="242" t="s">
        <v>258</v>
      </c>
      <c r="K24" s="243" t="s">
        <v>259</v>
      </c>
      <c r="L24" s="244">
        <v>122.0</v>
      </c>
      <c r="M24" s="245">
        <v>0.3333333333333333</v>
      </c>
      <c r="N24" s="247" t="s">
        <v>244</v>
      </c>
      <c r="O24" s="247" t="s">
        <v>251</v>
      </c>
      <c r="P24" s="247" t="s">
        <v>246</v>
      </c>
      <c r="R24" s="237"/>
      <c r="S24" s="209">
        <v>124.0</v>
      </c>
      <c r="T24" s="209" t="s">
        <v>27</v>
      </c>
      <c r="U24" s="210" t="str">
        <f t="shared" si="1"/>
        <v>Edwuin Martinez</v>
      </c>
      <c r="V24" s="211" t="str">
        <f>IFERROR(__xludf.DUMMYFUNCTION("INDEX(FILTER(BvsL!F:F, BvsL!D:D=T24),20)
"),"08:00")</f>
        <v>08:00</v>
      </c>
      <c r="W24" s="212">
        <f t="shared" si="2"/>
        <v>0.7083333333</v>
      </c>
      <c r="X24" s="209" t="str">
        <f t="shared" si="3"/>
        <v>10:00 - 10:15</v>
      </c>
      <c r="Y24" s="209" t="str">
        <f t="shared" si="4"/>
        <v>13:00 - 13:30</v>
      </c>
      <c r="Z24" s="209" t="str">
        <f t="shared" si="5"/>
        <v>15:30 - 15:45</v>
      </c>
      <c r="AA24" s="213">
        <f t="shared" si="6"/>
        <v>27</v>
      </c>
      <c r="AB24" s="214"/>
      <c r="AC24" s="237">
        <v>0.3333333333333333</v>
      </c>
      <c r="AD24" s="201" t="s">
        <v>264</v>
      </c>
      <c r="AE24" s="201" t="s">
        <v>265</v>
      </c>
      <c r="AF24" s="201" t="s">
        <v>266</v>
      </c>
      <c r="AH24" s="201"/>
      <c r="AI24" s="201"/>
      <c r="AJ24" s="201"/>
      <c r="AK24" s="201"/>
      <c r="AL24" s="201"/>
    </row>
    <row r="25" ht="22.5" customHeight="1">
      <c r="A25" s="187" t="str">
        <f>IFERROR(__xludf.DUMMYFUNCTION("""COMPUTED_VALUE"""),"Bryan Galvis")</f>
        <v>Bryan Galvis</v>
      </c>
      <c r="B25" s="188" t="str">
        <f>IFERROR(__xludf.DUMMYFUNCTION("""COMPUTED_VALUE"""),"Manuela Moreno")</f>
        <v>Manuela Moreno</v>
      </c>
      <c r="C25" s="189">
        <f>IFERROR(__xludf.DUMMYFUNCTION("""COMPUTED_VALUE"""),45719.0)</f>
        <v>45719</v>
      </c>
      <c r="D25" s="187">
        <f>IFERROR(__xludf.DUMMYFUNCTION("""COMPUTED_VALUE"""),24.0)</f>
        <v>24</v>
      </c>
      <c r="E25" s="187" t="str">
        <f>IFERROR(__xludf.DUMMYFUNCTION("""COMPUTED_VALUE"""),"Tickets")</f>
        <v>Tickets</v>
      </c>
      <c r="F25" s="187" t="str">
        <f>IFERROR(__xludf.DUMMYFUNCTION("""COMPUTED_VALUE"""),"C1180")</f>
        <v>C1180</v>
      </c>
      <c r="G25" s="185" t="str">
        <f>IFERROR(__xludf.DUMMYFUNCTION("""COMPUTED_VALUE"""),"manuela.moreno@buwelo.com")</f>
        <v>manuela.moreno@buwelo.com</v>
      </c>
      <c r="H25" s="185" t="str">
        <f>IFERROR(__xludf.DUMMYFUNCTION("""COMPUTED_VALUE"""),"ho.mmoreno")</f>
        <v>ho.mmoreno</v>
      </c>
      <c r="I25" s="185" t="str">
        <f>IFERROR(__xludf.DUMMYFUNCTION("""COMPUTED_VALUE"""),"Active")</f>
        <v>Active</v>
      </c>
      <c r="J25" s="242" t="s">
        <v>258</v>
      </c>
      <c r="K25" s="243" t="s">
        <v>259</v>
      </c>
      <c r="L25" s="244">
        <v>123.0</v>
      </c>
      <c r="M25" s="245">
        <v>0.3333333333333333</v>
      </c>
      <c r="N25" s="246" t="s">
        <v>267</v>
      </c>
      <c r="O25" s="246" t="s">
        <v>249</v>
      </c>
      <c r="P25" s="246" t="s">
        <v>254</v>
      </c>
      <c r="Q25" s="217"/>
      <c r="R25" s="217"/>
      <c r="S25" s="209">
        <v>125.0</v>
      </c>
      <c r="T25" s="209" t="s">
        <v>29</v>
      </c>
      <c r="U25" s="210" t="str">
        <f t="shared" si="1"/>
        <v>Frank Marin</v>
      </c>
      <c r="V25" s="211" t="str">
        <f>IFERROR(__xludf.DUMMYFUNCTION("INDEX(FILTER(BvsL!F:F, BvsL!D:D=T25),20)
"),"08:00")</f>
        <v>08:00</v>
      </c>
      <c r="W25" s="212">
        <f t="shared" si="2"/>
        <v>0.7083333333</v>
      </c>
      <c r="X25" s="209" t="str">
        <f t="shared" si="3"/>
        <v>10:30 - 10:45</v>
      </c>
      <c r="Y25" s="209" t="str">
        <f t="shared" si="4"/>
        <v>13:30 - 14:00</v>
      </c>
      <c r="Z25" s="209" t="str">
        <f t="shared" si="5"/>
        <v>15:45 - 16:00</v>
      </c>
      <c r="AA25" s="213">
        <f t="shared" si="6"/>
        <v>6</v>
      </c>
      <c r="AB25" s="214"/>
      <c r="AC25" s="217"/>
      <c r="AD25" s="201"/>
      <c r="AE25" s="201"/>
      <c r="AF25" s="201"/>
      <c r="AG25" s="201"/>
      <c r="AH25" s="201"/>
      <c r="AI25" s="201"/>
      <c r="AJ25" s="201"/>
      <c r="AK25" s="201"/>
      <c r="AL25" s="201"/>
    </row>
    <row r="26" ht="22.5" customHeight="1">
      <c r="A26" s="187" t="str">
        <f>IFERROR(__xludf.DUMMYFUNCTION("""COMPUTED_VALUE"""),"Bryan Galvis")</f>
        <v>Bryan Galvis</v>
      </c>
      <c r="B26" s="188" t="str">
        <f>IFERROR(__xludf.DUMMYFUNCTION("""COMPUTED_VALUE"""),"Miguel Hoyos")</f>
        <v>Miguel Hoyos</v>
      </c>
      <c r="C26" s="189">
        <f>IFERROR(__xludf.DUMMYFUNCTION("""COMPUTED_VALUE"""),45523.0)</f>
        <v>45523</v>
      </c>
      <c r="D26" s="216">
        <f>IFERROR(__xludf.DUMMYFUNCTION("""COMPUTED_VALUE"""),17.0)</f>
        <v>17</v>
      </c>
      <c r="E26" s="187" t="str">
        <f>IFERROR(__xludf.DUMMYFUNCTION("""COMPUTED_VALUE"""),"Tickets")</f>
        <v>Tickets</v>
      </c>
      <c r="F26" s="187" t="str">
        <f>IFERROR(__xludf.DUMMYFUNCTION("""COMPUTED_VALUE"""),"C1065")</f>
        <v>C1065</v>
      </c>
      <c r="G26" s="185" t="str">
        <f>IFERROR(__xludf.DUMMYFUNCTION("""COMPUTED_VALUE"""),"miguel.hoyos@buwelo.com")</f>
        <v>miguel.hoyos@buwelo.com</v>
      </c>
      <c r="H26" s="185" t="str">
        <f>IFERROR(__xludf.DUMMYFUNCTION("""COMPUTED_VALUE"""),"ho.mhoyos")</f>
        <v>ho.mhoyos</v>
      </c>
      <c r="I26" s="185" t="str">
        <f>IFERROR(__xludf.DUMMYFUNCTION("""COMPUTED_VALUE"""),"Active")</f>
        <v>Active</v>
      </c>
      <c r="J26" s="242" t="s">
        <v>258</v>
      </c>
      <c r="K26" s="243" t="s">
        <v>259</v>
      </c>
      <c r="L26" s="249">
        <v>124.0</v>
      </c>
      <c r="M26" s="250">
        <v>0.3333333333333333</v>
      </c>
      <c r="N26" s="249" t="s">
        <v>268</v>
      </c>
      <c r="O26" s="249" t="s">
        <v>253</v>
      </c>
      <c r="P26" s="249" t="s">
        <v>263</v>
      </c>
      <c r="R26" s="225"/>
      <c r="S26" s="209">
        <v>154.0</v>
      </c>
      <c r="T26" s="209" t="s">
        <v>31</v>
      </c>
      <c r="U26" s="210" t="str">
        <f t="shared" si="1"/>
        <v>Gabriel Gomez</v>
      </c>
      <c r="V26" s="211" t="str">
        <f>IFERROR(__xludf.DUMMYFUNCTION("INDEX(FILTER(BvsL!F:F, BvsL!D:D=T26),22)
"),"11:00")</f>
        <v>11:00</v>
      </c>
      <c r="W26" s="212">
        <f t="shared" si="2"/>
        <v>0.8333333333</v>
      </c>
      <c r="X26" s="209" t="str">
        <f t="shared" si="3"/>
        <v>13:00 - 13:15</v>
      </c>
      <c r="Y26" s="209" t="str">
        <f t="shared" si="4"/>
        <v>15:15 - 15:45</v>
      </c>
      <c r="Z26" s="209" t="str">
        <f t="shared" si="5"/>
        <v>18:00 - 18:15</v>
      </c>
      <c r="AA26" s="213">
        <f t="shared" si="6"/>
        <v>34</v>
      </c>
      <c r="AB26" s="214"/>
      <c r="AC26" s="225">
        <v>0.375</v>
      </c>
      <c r="AD26" s="185" t="s">
        <v>255</v>
      </c>
      <c r="AE26" s="201" t="s">
        <v>249</v>
      </c>
      <c r="AF26" s="201" t="s">
        <v>257</v>
      </c>
      <c r="AG26" s="201"/>
      <c r="AH26" s="201"/>
      <c r="AI26" s="201"/>
      <c r="AJ26" s="201"/>
      <c r="AK26" s="201"/>
      <c r="AL26" s="201"/>
    </row>
    <row r="27" ht="22.5" customHeight="1">
      <c r="A27" s="187" t="str">
        <f>IFERROR(__xludf.DUMMYFUNCTION("""COMPUTED_VALUE"""),"Bryan Galvis")</f>
        <v>Bryan Galvis</v>
      </c>
      <c r="B27" s="188" t="str">
        <f>IFERROR(__xludf.DUMMYFUNCTION("""COMPUTED_VALUE"""),"Onel Olivera")</f>
        <v>Onel Olivera</v>
      </c>
      <c r="C27" s="189">
        <f>IFERROR(__xludf.DUMMYFUNCTION("""COMPUTED_VALUE"""),45062.0)</f>
        <v>45062</v>
      </c>
      <c r="D27" s="187">
        <f>IFERROR(__xludf.DUMMYFUNCTION("""COMPUTED_VALUE"""),1.0)</f>
        <v>1</v>
      </c>
      <c r="E27" s="187" t="str">
        <f>IFERROR(__xludf.DUMMYFUNCTION("""COMPUTED_VALUE"""),"Tickets")</f>
        <v>Tickets</v>
      </c>
      <c r="F27" s="187" t="str">
        <f>IFERROR(__xludf.DUMMYFUNCTION("""COMPUTED_VALUE"""),"C714")</f>
        <v>C714</v>
      </c>
      <c r="G27" s="185" t="str">
        <f>IFERROR(__xludf.DUMMYFUNCTION("""COMPUTED_VALUE"""),"onel.olivera@buwelo.com")</f>
        <v>onel.olivera@buwelo.com</v>
      </c>
      <c r="H27" s="185" t="str">
        <f>IFERROR(__xludf.DUMMYFUNCTION("""COMPUTED_VALUE"""),"ho.oolivera")</f>
        <v>ho.oolivera</v>
      </c>
      <c r="I27" s="185" t="str">
        <f>IFERROR(__xludf.DUMMYFUNCTION("""COMPUTED_VALUE"""),"Active")</f>
        <v>Active</v>
      </c>
      <c r="J27" s="242" t="s">
        <v>258</v>
      </c>
      <c r="K27" s="243" t="s">
        <v>259</v>
      </c>
      <c r="L27" s="249">
        <v>125.0</v>
      </c>
      <c r="M27" s="250">
        <v>0.3333333333333333</v>
      </c>
      <c r="N27" s="249" t="s">
        <v>261</v>
      </c>
      <c r="O27" s="249" t="s">
        <v>262</v>
      </c>
      <c r="P27" s="249" t="s">
        <v>266</v>
      </c>
      <c r="R27" s="225"/>
      <c r="S27" s="209">
        <v>126.0</v>
      </c>
      <c r="T27" s="209" t="s">
        <v>157</v>
      </c>
      <c r="U27" s="210" t="str">
        <f t="shared" si="1"/>
        <v>Gabriela Jimenez</v>
      </c>
      <c r="V27" s="211" t="str">
        <f>IFERROR(__xludf.DUMMYFUNCTION("INDEX(FILTER(BvsL!F:F, BvsL!D:D=T27),22)
"),"Free")</f>
        <v>Free</v>
      </c>
      <c r="W27" s="212" t="str">
        <f t="shared" si="2"/>
        <v>#VALUE!</v>
      </c>
      <c r="X27" s="209" t="str">
        <f t="shared" si="3"/>
        <v>10:45 - 11:00</v>
      </c>
      <c r="Y27" s="209" t="str">
        <f t="shared" si="4"/>
        <v>14:00 - 14:30</v>
      </c>
      <c r="Z27" s="209" t="str">
        <f t="shared" si="5"/>
        <v>15:45 - 16:00</v>
      </c>
      <c r="AA27" s="213">
        <f t="shared" si="6"/>
        <v>31</v>
      </c>
      <c r="AB27" s="214"/>
      <c r="AC27" s="225">
        <v>0.375</v>
      </c>
      <c r="AD27" s="185" t="s">
        <v>261</v>
      </c>
      <c r="AE27" s="201" t="s">
        <v>253</v>
      </c>
      <c r="AF27" s="201" t="s">
        <v>263</v>
      </c>
      <c r="AG27" s="201"/>
      <c r="AH27" s="201"/>
      <c r="AI27" s="201"/>
      <c r="AJ27" s="201"/>
      <c r="AK27" s="201"/>
      <c r="AL27" s="201"/>
    </row>
    <row r="28" ht="22.5" customHeight="1">
      <c r="A28" s="187" t="str">
        <f>IFERROR(__xludf.DUMMYFUNCTION("""COMPUTED_VALUE"""),"Bryan Galvis")</f>
        <v>Bryan Galvis</v>
      </c>
      <c r="B28" s="188" t="str">
        <f>IFERROR(__xludf.DUMMYFUNCTION("""COMPUTED_VALUE"""),"Sebastiam Vallejo")</f>
        <v>Sebastiam Vallejo</v>
      </c>
      <c r="C28" s="189">
        <f>IFERROR(__xludf.DUMMYFUNCTION("""COMPUTED_VALUE"""),45271.0)</f>
        <v>45271</v>
      </c>
      <c r="D28" s="216">
        <f>IFERROR(__xludf.DUMMYFUNCTION("""COMPUTED_VALUE"""),11.0)</f>
        <v>11</v>
      </c>
      <c r="E28" s="187" t="str">
        <f>IFERROR(__xludf.DUMMYFUNCTION("""COMPUTED_VALUE"""),"Tickets")</f>
        <v>Tickets</v>
      </c>
      <c r="F28" s="187" t="str">
        <f>IFERROR(__xludf.DUMMYFUNCTION("""COMPUTED_VALUE"""),"C902")</f>
        <v>C902</v>
      </c>
      <c r="G28" s="185" t="str">
        <f>IFERROR(__xludf.DUMMYFUNCTION("""COMPUTED_VALUE"""),"sebastiam.vallejo@buwelo.com")</f>
        <v>sebastiam.vallejo@buwelo.com</v>
      </c>
      <c r="H28" s="185" t="str">
        <f>IFERROR(__xludf.DUMMYFUNCTION("""COMPUTED_VALUE"""),"ho.svallejo")</f>
        <v>ho.svallejo</v>
      </c>
      <c r="I28" s="185" t="str">
        <f>IFERROR(__xludf.DUMMYFUNCTION("""COMPUTED_VALUE"""),"Active")</f>
        <v>Active</v>
      </c>
      <c r="J28" s="251" t="s">
        <v>258</v>
      </c>
      <c r="K28" s="252"/>
      <c r="L28" s="253">
        <v>126.0</v>
      </c>
      <c r="M28" s="254">
        <v>0.3333333333333333</v>
      </c>
      <c r="N28" s="253" t="s">
        <v>264</v>
      </c>
      <c r="O28" s="253" t="s">
        <v>269</v>
      </c>
      <c r="P28" s="253" t="s">
        <v>266</v>
      </c>
      <c r="R28" s="225"/>
      <c r="S28" s="209">
        <v>121.0</v>
      </c>
      <c r="T28" s="209" t="s">
        <v>32</v>
      </c>
      <c r="U28" s="210" t="str">
        <f t="shared" si="1"/>
        <v>Geraldine Correa</v>
      </c>
      <c r="V28" s="211" t="str">
        <f>IFERROR(__xludf.DUMMYFUNCTION("INDEX(FILTER(BvsL!F:F, BvsL!D:D=T28),20)
"),"08:00")</f>
        <v>08:00</v>
      </c>
      <c r="W28" s="212">
        <f t="shared" si="2"/>
        <v>0.7083333333</v>
      </c>
      <c r="X28" s="209" t="str">
        <f t="shared" si="3"/>
        <v>09:15 - 09:30</v>
      </c>
      <c r="Y28" s="209" t="str">
        <f t="shared" si="4"/>
        <v>11:30 - 12:00</v>
      </c>
      <c r="Z28" s="209" t="str">
        <f t="shared" si="5"/>
        <v>14:30 - 14:45</v>
      </c>
      <c r="AA28" s="213">
        <f t="shared" si="6"/>
        <v>23</v>
      </c>
      <c r="AB28" s="214"/>
      <c r="AC28" s="225">
        <v>0.375</v>
      </c>
      <c r="AD28" s="185" t="s">
        <v>270</v>
      </c>
      <c r="AE28" s="201" t="s">
        <v>262</v>
      </c>
      <c r="AF28" s="201" t="s">
        <v>266</v>
      </c>
      <c r="AG28" s="201"/>
      <c r="AH28" s="201"/>
      <c r="AI28" s="201"/>
      <c r="AJ28" s="201"/>
      <c r="AK28" s="201"/>
      <c r="AL28" s="201"/>
    </row>
    <row r="29" ht="22.5" customHeight="1">
      <c r="A29" s="187" t="str">
        <f>IFERROR(__xludf.DUMMYFUNCTION("""COMPUTED_VALUE"""),"Bryan Galvis")</f>
        <v>Bryan Galvis</v>
      </c>
      <c r="B29" s="188" t="str">
        <f>IFERROR(__xludf.DUMMYFUNCTION("""COMPUTED_VALUE"""),"Sebastian Quiroz")</f>
        <v>Sebastian Quiroz</v>
      </c>
      <c r="C29" s="189">
        <f>IFERROR(__xludf.DUMMYFUNCTION("""COMPUTED_VALUE"""),45936.0)</f>
        <v>45936</v>
      </c>
      <c r="D29" s="216">
        <f>IFERROR(__xludf.DUMMYFUNCTION("""COMPUTED_VALUE"""),31.0)</f>
        <v>31</v>
      </c>
      <c r="E29" s="187" t="str">
        <f>IFERROR(__xludf.DUMMYFUNCTION("""COMPUTED_VALUE"""),"Tickets")</f>
        <v>Tickets</v>
      </c>
      <c r="F29" s="187" t="str">
        <f>IFERROR(__xludf.DUMMYFUNCTION("""COMPUTED_VALUE"""),"C1376")</f>
        <v>C1376</v>
      </c>
      <c r="G29" s="185" t="str">
        <f>IFERROR(__xludf.DUMMYFUNCTION("""COMPUTED_VALUE"""),"sebastian.quiroz@buwelo.com")</f>
        <v>sebastian.quiroz@buwelo.com</v>
      </c>
      <c r="H29" s="185" t="str">
        <f>IFERROR(__xludf.DUMMYFUNCTION("""COMPUTED_VALUE"""),"ho.squiroz")</f>
        <v>ho.squiroz</v>
      </c>
      <c r="I29" s="185" t="str">
        <f>IFERROR(__xludf.DUMMYFUNCTION("""COMPUTED_VALUE"""),"Active")</f>
        <v>Active</v>
      </c>
      <c r="J29" s="218"/>
      <c r="K29" s="255"/>
      <c r="L29" s="256"/>
      <c r="M29" s="257"/>
      <c r="N29" s="256"/>
      <c r="O29" s="256"/>
      <c r="P29" s="256"/>
      <c r="R29" s="225"/>
      <c r="S29" s="209">
        <v>155.0</v>
      </c>
      <c r="T29" s="209" t="s">
        <v>34</v>
      </c>
      <c r="U29" s="210" t="str">
        <f t="shared" si="1"/>
        <v>Jasam Mejia</v>
      </c>
      <c r="V29" s="211" t="str">
        <f>IFERROR(__xludf.DUMMYFUNCTION("INDEX(FILTER(BvsL!F:F, BvsL!D:D=T29),20)
"),"11:00")</f>
        <v>11:00</v>
      </c>
      <c r="W29" s="212">
        <f t="shared" si="2"/>
        <v>0.8333333333</v>
      </c>
      <c r="X29" s="209" t="str">
        <f t="shared" si="3"/>
        <v>13:15 - 13:30</v>
      </c>
      <c r="Y29" s="209" t="str">
        <f t="shared" si="4"/>
        <v>15:45 - 16:15</v>
      </c>
      <c r="Z29" s="209" t="str">
        <f t="shared" si="5"/>
        <v>18:15 - 18:30</v>
      </c>
      <c r="AA29" s="213">
        <f t="shared" si="6"/>
        <v>34</v>
      </c>
      <c r="AB29" s="214"/>
      <c r="AC29" s="225">
        <v>0.375</v>
      </c>
      <c r="AD29" s="185" t="s">
        <v>271</v>
      </c>
      <c r="AE29" s="201" t="s">
        <v>265</v>
      </c>
      <c r="AF29" s="201" t="s">
        <v>272</v>
      </c>
      <c r="AG29" s="201"/>
      <c r="AH29" s="201"/>
      <c r="AI29" s="201"/>
      <c r="AJ29" s="201"/>
      <c r="AK29" s="201"/>
      <c r="AL29" s="201"/>
    </row>
    <row r="30" ht="22.5" customHeight="1">
      <c r="A30" s="187" t="str">
        <f>IFERROR(__xludf.DUMMYFUNCTION("""COMPUTED_VALUE"""),"Bryan Galvis")</f>
        <v>Bryan Galvis</v>
      </c>
      <c r="B30" s="188" t="str">
        <f>IFERROR(__xludf.DUMMYFUNCTION("""COMPUTED_VALUE"""),"Valery Escobar")</f>
        <v>Valery Escobar</v>
      </c>
      <c r="C30" s="189">
        <f>IFERROR(__xludf.DUMMYFUNCTION("""COMPUTED_VALUE"""),45642.0)</f>
        <v>45642</v>
      </c>
      <c r="D30" s="216">
        <f>IFERROR(__xludf.DUMMYFUNCTION("""COMPUTED_VALUE"""),21.0)</f>
        <v>21</v>
      </c>
      <c r="E30" s="187" t="str">
        <f>IFERROR(__xludf.DUMMYFUNCTION("""COMPUTED_VALUE"""),"Tickets")</f>
        <v>Tickets</v>
      </c>
      <c r="F30" s="187" t="str">
        <f>IFERROR(__xludf.DUMMYFUNCTION("""COMPUTED_VALUE"""),"C1126")</f>
        <v>C1126</v>
      </c>
      <c r="G30" s="185" t="str">
        <f>IFERROR(__xludf.DUMMYFUNCTION("""COMPUTED_VALUE"""),"valery.escobar@buwelo.com")</f>
        <v>valery.escobar@buwelo.com</v>
      </c>
      <c r="H30" s="185" t="str">
        <f>IFERROR(__xludf.DUMMYFUNCTION("""COMPUTED_VALUE"""),"ho.vescobar")</f>
        <v>ho.vescobar</v>
      </c>
      <c r="I30" s="185" t="str">
        <f>IFERROR(__xludf.DUMMYFUNCTION("""COMPUTED_VALUE"""),"Active")</f>
        <v>Active</v>
      </c>
      <c r="J30" s="258" t="s">
        <v>273</v>
      </c>
      <c r="K30" s="252" t="s">
        <v>259</v>
      </c>
      <c r="L30" s="253">
        <v>131.0</v>
      </c>
      <c r="M30" s="254">
        <v>0.375</v>
      </c>
      <c r="N30" s="253" t="s">
        <v>255</v>
      </c>
      <c r="O30" s="253" t="s">
        <v>249</v>
      </c>
      <c r="P30" s="253" t="s">
        <v>257</v>
      </c>
      <c r="Q30" s="259" t="s">
        <v>274</v>
      </c>
      <c r="R30" s="225"/>
      <c r="S30" s="209">
        <v>122.0</v>
      </c>
      <c r="T30" s="209" t="s">
        <v>36</v>
      </c>
      <c r="U30" s="210" t="str">
        <f t="shared" si="1"/>
        <v>Jhoam Quiroz</v>
      </c>
      <c r="V30" s="211" t="str">
        <f>IFERROR(__xludf.DUMMYFUNCTION("INDEX(FILTER(BvsL!F:F, BvsL!D:D=T30),20)
"),"08:00")</f>
        <v>08:00</v>
      </c>
      <c r="W30" s="212">
        <f t="shared" si="2"/>
        <v>0.7083333333</v>
      </c>
      <c r="X30" s="209" t="str">
        <f t="shared" si="3"/>
        <v>09:30 - 09:45</v>
      </c>
      <c r="Y30" s="209" t="str">
        <f t="shared" si="4"/>
        <v>12:00 - 12:30</v>
      </c>
      <c r="Z30" s="209" t="str">
        <f t="shared" si="5"/>
        <v>14:45 - 15:00</v>
      </c>
      <c r="AA30" s="213">
        <f t="shared" si="6"/>
        <v>1</v>
      </c>
      <c r="AB30" s="214"/>
      <c r="AC30" s="225">
        <v>0.375</v>
      </c>
      <c r="AD30" s="185" t="s">
        <v>275</v>
      </c>
      <c r="AE30" s="201" t="s">
        <v>276</v>
      </c>
      <c r="AF30" s="201" t="s">
        <v>277</v>
      </c>
      <c r="AG30" s="201"/>
      <c r="AH30" s="201"/>
      <c r="AI30" s="201"/>
      <c r="AJ30" s="201"/>
      <c r="AK30" s="201"/>
      <c r="AL30" s="201"/>
    </row>
    <row r="31" ht="22.5" customHeight="1">
      <c r="A31" s="187" t="str">
        <f>IFERROR(__xludf.DUMMYFUNCTION("""COMPUTED_VALUE"""),"Daniel Bustamante")</f>
        <v>Daniel Bustamante</v>
      </c>
      <c r="B31" s="188" t="str">
        <f>IFERROR(__xludf.DUMMYFUNCTION("""COMPUTED_VALUE"""),"Alejandro Malave")</f>
        <v>Alejandro Malave</v>
      </c>
      <c r="C31" s="189">
        <f>IFERROR(__xludf.DUMMYFUNCTION("""COMPUTED_VALUE"""),46083.0)</f>
        <v>46083</v>
      </c>
      <c r="D31" s="187">
        <f>IFERROR(__xludf.DUMMYFUNCTION("""COMPUTED_VALUE"""),36.0)</f>
        <v>36</v>
      </c>
      <c r="E31" s="187" t="str">
        <f>IFERROR(__xludf.DUMMYFUNCTION("""COMPUTED_VALUE"""),"Voice")</f>
        <v>Voice</v>
      </c>
      <c r="F31" s="187" t="str">
        <f>IFERROR(__xludf.DUMMYFUNCTION("""COMPUTED_VALUE"""),"C1107")</f>
        <v>C1107</v>
      </c>
      <c r="G31" s="185" t="str">
        <f>IFERROR(__xludf.DUMMYFUNCTION("""COMPUTED_VALUE"""),"@email")</f>
        <v>@email</v>
      </c>
      <c r="H31" s="185" t="str">
        <f>IFERROR(__xludf.DUMMYFUNCTION("""COMPUTED_VALUE"""),"ho.amalave")</f>
        <v>ho.amalave</v>
      </c>
      <c r="I31" s="185" t="str">
        <f>IFERROR(__xludf.DUMMYFUNCTION("""COMPUTED_VALUE"""),"Active")</f>
        <v>Active</v>
      </c>
      <c r="J31" s="258" t="s">
        <v>273</v>
      </c>
      <c r="K31" s="252" t="s">
        <v>259</v>
      </c>
      <c r="L31" s="253">
        <v>132.0</v>
      </c>
      <c r="M31" s="254">
        <v>0.375</v>
      </c>
      <c r="N31" s="253" t="s">
        <v>261</v>
      </c>
      <c r="O31" s="253" t="s">
        <v>253</v>
      </c>
      <c r="P31" s="253" t="s">
        <v>263</v>
      </c>
      <c r="R31" s="225"/>
      <c r="S31" s="209">
        <v>123.0</v>
      </c>
      <c r="T31" s="209" t="s">
        <v>161</v>
      </c>
      <c r="U31" s="210" t="str">
        <f t="shared" si="1"/>
        <v>Jose Zapata</v>
      </c>
      <c r="V31" s="211" t="str">
        <f>IFERROR(__xludf.DUMMYFUNCTION("INDEX(FILTER(BvsL!F:F, BvsL!D:D=T31),20)
"),"08:00")</f>
        <v>08:00</v>
      </c>
      <c r="W31" s="212">
        <f t="shared" si="2"/>
        <v>0.7083333333</v>
      </c>
      <c r="X31" s="209" t="str">
        <f t="shared" si="3"/>
        <v>09:45 - 10:00 </v>
      </c>
      <c r="Y31" s="209" t="str">
        <f t="shared" si="4"/>
        <v>12:30 - 13:00</v>
      </c>
      <c r="Z31" s="209" t="str">
        <f t="shared" si="5"/>
        <v>15:00 - 15:15</v>
      </c>
      <c r="AA31" s="213">
        <f t="shared" si="6"/>
        <v>32</v>
      </c>
      <c r="AB31" s="214"/>
      <c r="AC31" s="225">
        <v>0.375</v>
      </c>
      <c r="AD31" s="185" t="s">
        <v>278</v>
      </c>
      <c r="AE31" s="201" t="s">
        <v>279</v>
      </c>
      <c r="AF31" s="201" t="s">
        <v>280</v>
      </c>
      <c r="AG31" s="201"/>
      <c r="AH31" s="201"/>
      <c r="AI31" s="201"/>
      <c r="AJ31" s="201"/>
      <c r="AK31" s="201"/>
      <c r="AL31" s="201"/>
    </row>
    <row r="32" ht="22.5" customHeight="1">
      <c r="A32" s="187" t="str">
        <f>IFERROR(__xludf.DUMMYFUNCTION("""COMPUTED_VALUE"""),"Daniel Bustamante")</f>
        <v>Daniel Bustamante</v>
      </c>
      <c r="B32" s="188" t="str">
        <f>IFERROR(__xludf.DUMMYFUNCTION("""COMPUTED_VALUE"""),"Carlos Alzate")</f>
        <v>Carlos Alzate</v>
      </c>
      <c r="C32" s="189">
        <f>IFERROR(__xludf.DUMMYFUNCTION("""COMPUTED_VALUE"""),46083.0)</f>
        <v>46083</v>
      </c>
      <c r="D32" s="187">
        <f>IFERROR(__xludf.DUMMYFUNCTION("""COMPUTED_VALUE"""),36.0)</f>
        <v>36</v>
      </c>
      <c r="E32" s="187" t="str">
        <f>IFERROR(__xludf.DUMMYFUNCTION("""COMPUTED_VALUE"""),"Voice")</f>
        <v>Voice</v>
      </c>
      <c r="F32" s="187" t="str">
        <f>IFERROR(__xludf.DUMMYFUNCTION("""COMPUTED_VALUE"""),"C1535")</f>
        <v>C1535</v>
      </c>
      <c r="G32" s="185" t="str">
        <f>IFERROR(__xludf.DUMMYFUNCTION("""COMPUTED_VALUE"""),"@email")</f>
        <v>@email</v>
      </c>
      <c r="H32" s="185" t="str">
        <f>IFERROR(__xludf.DUMMYFUNCTION("""COMPUTED_VALUE"""),"ho.calzate")</f>
        <v>ho.calzate</v>
      </c>
      <c r="I32" s="185" t="str">
        <f>IFERROR(__xludf.DUMMYFUNCTION("""COMPUTED_VALUE"""),"Active")</f>
        <v>Active</v>
      </c>
      <c r="J32" s="258" t="s">
        <v>273</v>
      </c>
      <c r="K32" s="252" t="s">
        <v>259</v>
      </c>
      <c r="L32" s="253">
        <v>133.0</v>
      </c>
      <c r="M32" s="254">
        <v>0.375</v>
      </c>
      <c r="N32" s="253" t="s">
        <v>270</v>
      </c>
      <c r="O32" s="253" t="s">
        <v>262</v>
      </c>
      <c r="P32" s="253" t="s">
        <v>266</v>
      </c>
      <c r="S32" s="209">
        <v>500.0</v>
      </c>
      <c r="T32" s="209" t="s">
        <v>44</v>
      </c>
      <c r="U32" s="210" t="str">
        <f t="shared" si="1"/>
        <v>Juan Castilla</v>
      </c>
      <c r="V32" s="211" t="str">
        <f>IFERROR(__xludf.DUMMYFUNCTION("INDEX(FILTER(BvsL!F:F, BvsL!D:D=T32),20)
"),"08:00")</f>
        <v>08:00</v>
      </c>
      <c r="W32" s="212">
        <f t="shared" si="2"/>
        <v>0.7083333333</v>
      </c>
      <c r="X32" s="209" t="str">
        <f t="shared" si="3"/>
        <v>Team Leader</v>
      </c>
      <c r="Y32" s="209" t="str">
        <f t="shared" si="4"/>
        <v>Team Leader</v>
      </c>
      <c r="Z32" s="209" t="str">
        <f t="shared" si="5"/>
        <v/>
      </c>
      <c r="AA32" s="213">
        <f t="shared" si="6"/>
        <v>33</v>
      </c>
      <c r="AB32" s="214"/>
      <c r="AD32" s="185"/>
      <c r="AE32" s="201"/>
      <c r="AF32" s="201"/>
      <c r="AG32" s="201"/>
      <c r="AH32" s="201"/>
      <c r="AI32" s="201"/>
      <c r="AJ32" s="201"/>
      <c r="AK32" s="201"/>
      <c r="AL32" s="201"/>
    </row>
    <row r="33" ht="22.5" customHeight="1">
      <c r="A33" s="187" t="str">
        <f>IFERROR(__xludf.DUMMYFUNCTION("""COMPUTED_VALUE"""),"Daniel Bustamante")</f>
        <v>Daniel Bustamante</v>
      </c>
      <c r="B33" s="188" t="str">
        <f>IFERROR(__xludf.DUMMYFUNCTION("""COMPUTED_VALUE"""),"Carlos Palma")</f>
        <v>Carlos Palma</v>
      </c>
      <c r="C33" s="189">
        <f>IFERROR(__xludf.DUMMYFUNCTION("""COMPUTED_VALUE"""),46083.0)</f>
        <v>46083</v>
      </c>
      <c r="D33" s="187">
        <f>IFERROR(__xludf.DUMMYFUNCTION("""COMPUTED_VALUE"""),36.0)</f>
        <v>36</v>
      </c>
      <c r="E33" s="187" t="str">
        <f>IFERROR(__xludf.DUMMYFUNCTION("""COMPUTED_VALUE"""),"Voice")</f>
        <v>Voice</v>
      </c>
      <c r="F33" s="187" t="str">
        <f>IFERROR(__xludf.DUMMYFUNCTION("""COMPUTED_VALUE"""),"C1531")</f>
        <v>C1531</v>
      </c>
      <c r="G33" s="185" t="str">
        <f>IFERROR(__xludf.DUMMYFUNCTION("""COMPUTED_VALUE"""),"@email")</f>
        <v>@email</v>
      </c>
      <c r="H33" s="185" t="str">
        <f>IFERROR(__xludf.DUMMYFUNCTION("""COMPUTED_VALUE"""),"ho.cpalma")</f>
        <v>ho.cpalma</v>
      </c>
      <c r="I33" s="185" t="str">
        <f>IFERROR(__xludf.DUMMYFUNCTION("""COMPUTED_VALUE"""),"Active")</f>
        <v>Active</v>
      </c>
      <c r="J33" s="258" t="s">
        <v>273</v>
      </c>
      <c r="K33" s="252" t="s">
        <v>259</v>
      </c>
      <c r="L33" s="260">
        <v>134.0</v>
      </c>
      <c r="M33" s="254">
        <v>0.375</v>
      </c>
      <c r="N33" s="261" t="s">
        <v>271</v>
      </c>
      <c r="O33" s="261" t="s">
        <v>265</v>
      </c>
      <c r="P33" s="261" t="s">
        <v>272</v>
      </c>
      <c r="R33" s="262"/>
      <c r="S33" s="209">
        <v>125.0</v>
      </c>
      <c r="T33" s="209" t="s">
        <v>45</v>
      </c>
      <c r="U33" s="210" t="str">
        <f t="shared" si="1"/>
        <v>Juan Largacha</v>
      </c>
      <c r="V33" s="211" t="str">
        <f>IFERROR(__xludf.DUMMYFUNCTION("INDEX(FILTER(BvsL!F:F, BvsL!D:D=T33),20)
"),"08:00")</f>
        <v>08:00</v>
      </c>
      <c r="W33" s="212">
        <f t="shared" si="2"/>
        <v>0.7083333333</v>
      </c>
      <c r="X33" s="209" t="str">
        <f t="shared" si="3"/>
        <v>10:30 - 10:45</v>
      </c>
      <c r="Y33" s="209" t="str">
        <f t="shared" si="4"/>
        <v>13:30 - 14:00</v>
      </c>
      <c r="Z33" s="209" t="str">
        <f t="shared" si="5"/>
        <v>15:45 - 16:00</v>
      </c>
      <c r="AA33" s="213">
        <f t="shared" si="6"/>
        <v>22</v>
      </c>
      <c r="AB33" s="214"/>
      <c r="AC33" s="262"/>
      <c r="AD33" s="201"/>
      <c r="AE33" s="201"/>
      <c r="AF33" s="201"/>
      <c r="AG33" s="201"/>
      <c r="AH33" s="201"/>
      <c r="AI33" s="201"/>
      <c r="AJ33" s="201"/>
      <c r="AK33" s="201"/>
      <c r="AL33" s="201"/>
    </row>
    <row r="34" ht="22.5" customHeight="1">
      <c r="A34" s="187" t="str">
        <f>IFERROR(__xludf.DUMMYFUNCTION("""COMPUTED_VALUE"""),"Daniel Bustamante")</f>
        <v>Daniel Bustamante</v>
      </c>
      <c r="B34" s="188" t="str">
        <f>IFERROR(__xludf.DUMMYFUNCTION("""COMPUTED_VALUE"""),"Frey ortiz")</f>
        <v>Frey ortiz</v>
      </c>
      <c r="C34" s="189">
        <f>IFERROR(__xludf.DUMMYFUNCTION("""COMPUTED_VALUE"""),46093.0)</f>
        <v>46093</v>
      </c>
      <c r="D34" s="187">
        <f>IFERROR(__xludf.DUMMYFUNCTION("""COMPUTED_VALUE"""),37.0)</f>
        <v>37</v>
      </c>
      <c r="E34" s="187" t="str">
        <f>IFERROR(__xludf.DUMMYFUNCTION("""COMPUTED_VALUE"""),"Voice")</f>
        <v>Voice</v>
      </c>
      <c r="F34" s="187" t="str">
        <f>IFERROR(__xludf.DUMMYFUNCTION("""COMPUTED_VALUE"""),"C1548")</f>
        <v>C1548</v>
      </c>
      <c r="G34" s="185" t="str">
        <f>IFERROR(__xludf.DUMMYFUNCTION("""COMPUTED_VALUE"""),"@email")</f>
        <v>@email</v>
      </c>
      <c r="H34" s="185" t="str">
        <f>IFERROR(__xludf.DUMMYFUNCTION("""COMPUTED_VALUE"""),"ho.fortiz")</f>
        <v>ho.fortiz</v>
      </c>
      <c r="I34" s="185" t="str">
        <f>IFERROR(__xludf.DUMMYFUNCTION("""COMPUTED_VALUE"""),"Active")</f>
        <v>Active</v>
      </c>
      <c r="J34" s="258" t="s">
        <v>273</v>
      </c>
      <c r="K34" s="252" t="s">
        <v>259</v>
      </c>
      <c r="L34" s="260">
        <v>135.0</v>
      </c>
      <c r="M34" s="254">
        <v>0.375</v>
      </c>
      <c r="N34" s="261" t="s">
        <v>275</v>
      </c>
      <c r="O34" s="261" t="s">
        <v>276</v>
      </c>
      <c r="P34" s="261" t="s">
        <v>277</v>
      </c>
      <c r="R34" s="238"/>
      <c r="S34" s="209">
        <v>126.0</v>
      </c>
      <c r="T34" s="209" t="s">
        <v>141</v>
      </c>
      <c r="U34" s="210" t="str">
        <f t="shared" si="1"/>
        <v>Juan Ospina</v>
      </c>
      <c r="V34" s="211" t="str">
        <f>IFERROR(__xludf.DUMMYFUNCTION("INDEX(FILTER(BvsL!F:F, BvsL!D:D=T34),21)
"),"08:00")</f>
        <v>08:00</v>
      </c>
      <c r="W34" s="212">
        <f t="shared" si="2"/>
        <v>0.7083333333</v>
      </c>
      <c r="X34" s="209" t="str">
        <f t="shared" si="3"/>
        <v>10:45 - 11:00</v>
      </c>
      <c r="Y34" s="209" t="str">
        <f t="shared" si="4"/>
        <v>14:00 - 14:30</v>
      </c>
      <c r="Z34" s="209" t="str">
        <f t="shared" si="5"/>
        <v>15:45 - 16:00</v>
      </c>
      <c r="AA34" s="213">
        <f t="shared" si="6"/>
        <v>34</v>
      </c>
      <c r="AB34" s="214"/>
      <c r="AC34" s="238">
        <v>0.4166666666666667</v>
      </c>
      <c r="AD34" s="201" t="s">
        <v>275</v>
      </c>
      <c r="AE34" s="201" t="s">
        <v>256</v>
      </c>
      <c r="AF34" s="201" t="s">
        <v>280</v>
      </c>
      <c r="AH34" s="201"/>
      <c r="AI34" s="201"/>
      <c r="AJ34" s="201"/>
      <c r="AK34" s="201"/>
      <c r="AL34" s="201"/>
    </row>
    <row r="35" ht="22.5" customHeight="1">
      <c r="A35" s="187" t="str">
        <f>IFERROR(__xludf.DUMMYFUNCTION("""COMPUTED_VALUE"""),"Daniel Bustamante")</f>
        <v>Daniel Bustamante</v>
      </c>
      <c r="B35" s="188" t="str">
        <f>IFERROR(__xludf.DUMMYFUNCTION("""COMPUTED_VALUE"""),"Gabriel Gomez")</f>
        <v>Gabriel Gomez</v>
      </c>
      <c r="C35" s="189">
        <f>IFERROR(__xludf.DUMMYFUNCTION("""COMPUTED_VALUE"""),46041.0)</f>
        <v>46041</v>
      </c>
      <c r="D35" s="187">
        <f>IFERROR(__xludf.DUMMYFUNCTION("""COMPUTED_VALUE"""),34.0)</f>
        <v>34</v>
      </c>
      <c r="E35" s="187" t="str">
        <f>IFERROR(__xludf.DUMMYFUNCTION("""COMPUTED_VALUE"""),"Voice")</f>
        <v>Voice</v>
      </c>
      <c r="F35" s="187" t="str">
        <f>IFERROR(__xludf.DUMMYFUNCTION("""COMPUTED_VALUE"""),"C1486")</f>
        <v>C1486</v>
      </c>
      <c r="G35" s="185" t="str">
        <f>IFERROR(__xludf.DUMMYFUNCTION("""COMPUTED_VALUE"""),"gabriel.gomez@buwelo.com")</f>
        <v>gabriel.gomez@buwelo.com</v>
      </c>
      <c r="H35" s="185" t="str">
        <f>IFERROR(__xludf.DUMMYFUNCTION("""COMPUTED_VALUE"""),"ho.ggomez")</f>
        <v>ho.ggomez</v>
      </c>
      <c r="I35" s="185" t="str">
        <f>IFERROR(__xludf.DUMMYFUNCTION("""COMPUTED_VALUE"""),"Active")</f>
        <v>Active</v>
      </c>
      <c r="J35" s="258" t="s">
        <v>273</v>
      </c>
      <c r="K35" s="252" t="s">
        <v>259</v>
      </c>
      <c r="L35" s="260">
        <v>136.0</v>
      </c>
      <c r="M35" s="254">
        <v>0.375</v>
      </c>
      <c r="N35" s="261" t="s">
        <v>278</v>
      </c>
      <c r="O35" s="261" t="s">
        <v>279</v>
      </c>
      <c r="P35" s="261" t="s">
        <v>280</v>
      </c>
      <c r="R35" s="238"/>
      <c r="S35" s="209">
        <v>121.0</v>
      </c>
      <c r="T35" s="209" t="s">
        <v>47</v>
      </c>
      <c r="U35" s="210" t="str">
        <f t="shared" si="1"/>
        <v>Juan Parra</v>
      </c>
      <c r="V35" s="211" t="str">
        <f>IFERROR(__xludf.DUMMYFUNCTION("INDEX(FILTER(BvsL!F:F, BvsL!D:D=T35),20)
"),"08:00")</f>
        <v>08:00</v>
      </c>
      <c r="W35" s="212">
        <f t="shared" si="2"/>
        <v>0.7083333333</v>
      </c>
      <c r="X35" s="209" t="str">
        <f t="shared" si="3"/>
        <v>09:15 - 09:30</v>
      </c>
      <c r="Y35" s="209" t="str">
        <f t="shared" si="4"/>
        <v>11:30 - 12:00</v>
      </c>
      <c r="Z35" s="209" t="str">
        <f t="shared" si="5"/>
        <v>14:30 - 14:45</v>
      </c>
      <c r="AA35" s="213">
        <f t="shared" si="6"/>
        <v>32</v>
      </c>
      <c r="AB35" s="214"/>
      <c r="AC35" s="238">
        <v>0.4166666666666667</v>
      </c>
      <c r="AD35" s="202" t="s">
        <v>281</v>
      </c>
      <c r="AE35" s="201" t="s">
        <v>265</v>
      </c>
      <c r="AF35" s="202" t="s">
        <v>282</v>
      </c>
      <c r="AH35" s="201"/>
      <c r="AI35" s="201"/>
      <c r="AJ35" s="201"/>
      <c r="AK35" s="201"/>
      <c r="AL35" s="201"/>
    </row>
    <row r="36" ht="22.5" customHeight="1">
      <c r="A36" s="187" t="str">
        <f>IFERROR(__xludf.DUMMYFUNCTION("""COMPUTED_VALUE"""),"Daniel Bustamante")</f>
        <v>Daniel Bustamante</v>
      </c>
      <c r="B36" s="188" t="str">
        <f>IFERROR(__xludf.DUMMYFUNCTION("""COMPUTED_VALUE"""),"Gisel Moya")</f>
        <v>Gisel Moya</v>
      </c>
      <c r="C36" s="189">
        <f>IFERROR(__xludf.DUMMYFUNCTION("""COMPUTED_VALUE"""),46083.0)</f>
        <v>46083</v>
      </c>
      <c r="D36" s="187">
        <f>IFERROR(__xludf.DUMMYFUNCTION("""COMPUTED_VALUE"""),36.0)</f>
        <v>36</v>
      </c>
      <c r="E36" s="187" t="str">
        <f>IFERROR(__xludf.DUMMYFUNCTION("""COMPUTED_VALUE"""),"Voice")</f>
        <v>Voice</v>
      </c>
      <c r="F36" s="187" t="str">
        <f>IFERROR(__xludf.DUMMYFUNCTION("""COMPUTED_VALUE"""),"C1541")</f>
        <v>C1541</v>
      </c>
      <c r="G36" s="185" t="str">
        <f>IFERROR(__xludf.DUMMYFUNCTION("""COMPUTED_VALUE"""),"@email")</f>
        <v>@email</v>
      </c>
      <c r="H36" s="185" t="str">
        <f>IFERROR(__xludf.DUMMYFUNCTION("""COMPUTED_VALUE"""),"ho.gmoya")</f>
        <v>ho.gmoya</v>
      </c>
      <c r="I36" s="185" t="str">
        <f>IFERROR(__xludf.DUMMYFUNCTION("""COMPUTED_VALUE"""),"Active")</f>
        <v>Active</v>
      </c>
      <c r="J36" s="218"/>
      <c r="K36" s="255"/>
      <c r="L36" s="263"/>
      <c r="M36" s="257"/>
      <c r="N36" s="132"/>
      <c r="O36" s="132"/>
      <c r="P36" s="43"/>
      <c r="Q36" s="262"/>
      <c r="R36" s="238"/>
      <c r="S36" s="209">
        <v>122.0</v>
      </c>
      <c r="T36" s="209" t="s">
        <v>48</v>
      </c>
      <c r="U36" s="210" t="str">
        <f t="shared" si="1"/>
        <v>Juan Restrepo Restrepo</v>
      </c>
      <c r="V36" s="211" t="str">
        <f>IFERROR(__xludf.DUMMYFUNCTION("INDEX(FILTER(BvsL!F:F, BvsL!D:D=T36),20)
"),"08:00")</f>
        <v>08:00</v>
      </c>
      <c r="W36" s="212">
        <f t="shared" si="2"/>
        <v>0.7083333333</v>
      </c>
      <c r="X36" s="209" t="str">
        <f t="shared" si="3"/>
        <v>09:30 - 09:45</v>
      </c>
      <c r="Y36" s="209" t="str">
        <f t="shared" si="4"/>
        <v>12:00 - 12:30</v>
      </c>
      <c r="Z36" s="209" t="str">
        <f t="shared" si="5"/>
        <v>14:45 - 15:00</v>
      </c>
      <c r="AA36" s="213">
        <f t="shared" si="6"/>
        <v>33</v>
      </c>
      <c r="AB36" s="214"/>
      <c r="AC36" s="238">
        <v>0.4166666666666667</v>
      </c>
      <c r="AD36" s="201" t="s">
        <v>283</v>
      </c>
      <c r="AE36" s="201" t="s">
        <v>276</v>
      </c>
      <c r="AF36" s="201" t="s">
        <v>284</v>
      </c>
      <c r="AH36" s="201"/>
      <c r="AI36" s="201"/>
      <c r="AJ36" s="201"/>
      <c r="AK36" s="201"/>
      <c r="AL36" s="201"/>
    </row>
    <row r="37" ht="22.5" customHeight="1">
      <c r="A37" s="187" t="str">
        <f>IFERROR(__xludf.DUMMYFUNCTION("""COMPUTED_VALUE"""),"Daniel Bustamante")</f>
        <v>Daniel Bustamante</v>
      </c>
      <c r="B37" s="188" t="str">
        <f>IFERROR(__xludf.DUMMYFUNCTION("""COMPUTED_VALUE"""),"Jasam Mejia")</f>
        <v>Jasam Mejia</v>
      </c>
      <c r="C37" s="189">
        <f>IFERROR(__xludf.DUMMYFUNCTION("""COMPUTED_VALUE"""),46041.0)</f>
        <v>46041</v>
      </c>
      <c r="D37" s="187">
        <f>IFERROR(__xludf.DUMMYFUNCTION("""COMPUTED_VALUE"""),34.0)</f>
        <v>34</v>
      </c>
      <c r="E37" s="187" t="str">
        <f>IFERROR(__xludf.DUMMYFUNCTION("""COMPUTED_VALUE"""),"Voice")</f>
        <v>Voice</v>
      </c>
      <c r="F37" s="187" t="str">
        <f>IFERROR(__xludf.DUMMYFUNCTION("""COMPUTED_VALUE"""),"C1481")</f>
        <v>C1481</v>
      </c>
      <c r="G37" s="185" t="str">
        <f>IFERROR(__xludf.DUMMYFUNCTION("""COMPUTED_VALUE"""),"jasam.mejia@buwelo.com")</f>
        <v>jasam.mejia@buwelo.com</v>
      </c>
      <c r="H37" s="185" t="str">
        <f>IFERROR(__xludf.DUMMYFUNCTION("""COMPUTED_VALUE"""),"ho.jamejia")</f>
        <v>ho.jamejia</v>
      </c>
      <c r="I37" s="185" t="str">
        <f>IFERROR(__xludf.DUMMYFUNCTION("""COMPUTED_VALUE"""),"Active")</f>
        <v>Active</v>
      </c>
      <c r="J37" s="264" t="s">
        <v>285</v>
      </c>
      <c r="K37" s="265" t="s">
        <v>220</v>
      </c>
      <c r="L37" s="266">
        <v>141.0</v>
      </c>
      <c r="M37" s="267">
        <v>0.4166666666666667</v>
      </c>
      <c r="N37" s="268" t="s">
        <v>275</v>
      </c>
      <c r="O37" s="268" t="s">
        <v>256</v>
      </c>
      <c r="P37" s="268" t="s">
        <v>280</v>
      </c>
      <c r="Q37" s="262"/>
      <c r="R37" s="238"/>
      <c r="S37" s="209">
        <v>123.0</v>
      </c>
      <c r="T37" s="209" t="s">
        <v>50</v>
      </c>
      <c r="U37" s="210" t="str">
        <f t="shared" si="1"/>
        <v>Karen Lorena Martinez</v>
      </c>
      <c r="V37" s="211" t="str">
        <f>IFERROR(__xludf.DUMMYFUNCTION("INDEX(FILTER(BvsL!F:F, BvsL!D:D=T37),20)
"),"08:00")</f>
        <v>08:00</v>
      </c>
      <c r="W37" s="212">
        <f t="shared" si="2"/>
        <v>0.7083333333</v>
      </c>
      <c r="X37" s="209" t="str">
        <f t="shared" si="3"/>
        <v>09:45 - 10:00 </v>
      </c>
      <c r="Y37" s="209" t="str">
        <f t="shared" si="4"/>
        <v>12:30 - 13:00</v>
      </c>
      <c r="Z37" s="209" t="str">
        <f t="shared" si="5"/>
        <v>15:00 - 15:15</v>
      </c>
      <c r="AA37" s="213">
        <f t="shared" si="6"/>
        <v>32</v>
      </c>
      <c r="AB37" s="214"/>
      <c r="AC37" s="238">
        <v>0.4166666666666667</v>
      </c>
      <c r="AD37" s="201" t="s">
        <v>286</v>
      </c>
      <c r="AE37" s="201" t="s">
        <v>269</v>
      </c>
      <c r="AF37" s="201" t="s">
        <v>287</v>
      </c>
      <c r="AH37" s="201"/>
      <c r="AI37" s="201"/>
      <c r="AJ37" s="201"/>
      <c r="AK37" s="201"/>
      <c r="AL37" s="201"/>
    </row>
    <row r="38" ht="22.5" customHeight="1">
      <c r="A38" s="187" t="str">
        <f>IFERROR(__xludf.DUMMYFUNCTION("""COMPUTED_VALUE"""),"Daniel Bustamante")</f>
        <v>Daniel Bustamante</v>
      </c>
      <c r="B38" s="188" t="str">
        <f>IFERROR(__xludf.DUMMYFUNCTION("""COMPUTED_VALUE"""),"Juan Ocampo")</f>
        <v>Juan Ocampo</v>
      </c>
      <c r="C38" s="189">
        <f>IFERROR(__xludf.DUMMYFUNCTION("""COMPUTED_VALUE"""),46113.0)</f>
        <v>46113</v>
      </c>
      <c r="D38" s="187">
        <f>IFERROR(__xludf.DUMMYFUNCTION("""COMPUTED_VALUE"""),38.0)</f>
        <v>38</v>
      </c>
      <c r="E38" s="187" t="str">
        <f>IFERROR(__xludf.DUMMYFUNCTION("""COMPUTED_VALUE"""),"Voice")</f>
        <v>Voice</v>
      </c>
      <c r="F38" s="187" t="str">
        <f>IFERROR(__xludf.DUMMYFUNCTION("""COMPUTED_VALUE"""),"C1566")</f>
        <v>C1566</v>
      </c>
      <c r="G38" s="185" t="str">
        <f>IFERROR(__xludf.DUMMYFUNCTION("""COMPUTED_VALUE"""),"@email")</f>
        <v>@email</v>
      </c>
      <c r="H38" s="185" t="str">
        <f>IFERROR(__xludf.DUMMYFUNCTION("""COMPUTED_VALUE"""),"ho.jocampo")</f>
        <v>ho.jocampo</v>
      </c>
      <c r="I38" s="185" t="str">
        <f>IFERROR(__xludf.DUMMYFUNCTION("""COMPUTED_VALUE"""),"Active")</f>
        <v>Active</v>
      </c>
      <c r="J38" s="264" t="s">
        <v>285</v>
      </c>
      <c r="K38" s="265" t="s">
        <v>220</v>
      </c>
      <c r="L38" s="266">
        <v>142.0</v>
      </c>
      <c r="M38" s="267">
        <v>0.4166666666666667</v>
      </c>
      <c r="N38" s="269" t="s">
        <v>281</v>
      </c>
      <c r="O38" s="268" t="s">
        <v>265</v>
      </c>
      <c r="P38" s="269" t="s">
        <v>282</v>
      </c>
      <c r="Q38" s="262"/>
      <c r="R38" s="238"/>
      <c r="S38" s="209">
        <v>124.0</v>
      </c>
      <c r="T38" s="209" t="s">
        <v>51</v>
      </c>
      <c r="U38" s="210" t="str">
        <f t="shared" si="1"/>
        <v>Karen Panqueva</v>
      </c>
      <c r="V38" s="211" t="str">
        <f>IFERROR(__xludf.DUMMYFUNCTION("INDEX(FILTER(BvsL!F:F, BvsL!D:D=T38),20)
"),"08:00")</f>
        <v>08:00</v>
      </c>
      <c r="W38" s="212">
        <f t="shared" si="2"/>
        <v>0.7083333333</v>
      </c>
      <c r="X38" s="209" t="str">
        <f t="shared" si="3"/>
        <v>10:00 - 10:15</v>
      </c>
      <c r="Y38" s="209" t="str">
        <f t="shared" si="4"/>
        <v>13:00 - 13:30</v>
      </c>
      <c r="Z38" s="209" t="str">
        <f t="shared" si="5"/>
        <v>15:30 - 15:45</v>
      </c>
      <c r="AA38" s="213">
        <f t="shared" si="6"/>
        <v>19</v>
      </c>
      <c r="AB38" s="214"/>
      <c r="AC38" s="238">
        <v>0.4166666666666667</v>
      </c>
      <c r="AD38" s="201" t="s">
        <v>288</v>
      </c>
      <c r="AE38" s="201" t="s">
        <v>243</v>
      </c>
      <c r="AF38" s="201" t="s">
        <v>289</v>
      </c>
      <c r="AH38" s="201"/>
      <c r="AI38" s="201"/>
      <c r="AJ38" s="201"/>
      <c r="AK38" s="201"/>
      <c r="AL38" s="201"/>
    </row>
    <row r="39" ht="22.5" customHeight="1">
      <c r="A39" s="187" t="str">
        <f>IFERROR(__xludf.DUMMYFUNCTION("""COMPUTED_VALUE"""),"Daniel Bustamante")</f>
        <v>Daniel Bustamante</v>
      </c>
      <c r="B39" s="188" t="str">
        <f>IFERROR(__xludf.DUMMYFUNCTION("""COMPUTED_VALUE"""),"Leonerrichi Caicedo")</f>
        <v>Leonerrichi Caicedo</v>
      </c>
      <c r="C39" s="189">
        <f>IFERROR(__xludf.DUMMYFUNCTION("""COMPUTED_VALUE"""),46113.0)</f>
        <v>46113</v>
      </c>
      <c r="D39" s="187">
        <f>IFERROR(__xludf.DUMMYFUNCTION("""COMPUTED_VALUE"""),38.0)</f>
        <v>38</v>
      </c>
      <c r="E39" s="187" t="str">
        <f>IFERROR(__xludf.DUMMYFUNCTION("""COMPUTED_VALUE"""),"Voice")</f>
        <v>Voice</v>
      </c>
      <c r="F39" s="187" t="str">
        <f>IFERROR(__xludf.DUMMYFUNCTION("""COMPUTED_VALUE"""),"C1578")</f>
        <v>C1578</v>
      </c>
      <c r="G39" s="185" t="str">
        <f>IFERROR(__xludf.DUMMYFUNCTION("""COMPUTED_VALUE"""),"@email")</f>
        <v>@email</v>
      </c>
      <c r="H39" s="185" t="str">
        <f>IFERROR(__xludf.DUMMYFUNCTION("""COMPUTED_VALUE"""),"ho.lcaicedo")</f>
        <v>ho.lcaicedo</v>
      </c>
      <c r="I39" s="185" t="str">
        <f>IFERROR(__xludf.DUMMYFUNCTION("""COMPUTED_VALUE"""),"Active")</f>
        <v>Active</v>
      </c>
      <c r="J39" s="264" t="s">
        <v>285</v>
      </c>
      <c r="K39" s="265" t="s">
        <v>220</v>
      </c>
      <c r="L39" s="270">
        <v>143.0</v>
      </c>
      <c r="M39" s="267">
        <v>0.4166666666666667</v>
      </c>
      <c r="N39" s="268" t="s">
        <v>283</v>
      </c>
      <c r="O39" s="268" t="s">
        <v>276</v>
      </c>
      <c r="P39" s="268" t="s">
        <v>284</v>
      </c>
      <c r="Q39" s="217"/>
      <c r="R39" s="238"/>
      <c r="S39" s="209">
        <v>125.0</v>
      </c>
      <c r="T39" s="209" t="s">
        <v>52</v>
      </c>
      <c r="U39" s="210" t="str">
        <f t="shared" si="1"/>
        <v>Karol Pineda</v>
      </c>
      <c r="V39" s="211" t="str">
        <f>IFERROR(__xludf.DUMMYFUNCTION("INDEX(FILTER(BvsL!F:F, BvsL!D:D=T39),20)
"),"08:00")</f>
        <v>08:00</v>
      </c>
      <c r="W39" s="212">
        <f t="shared" si="2"/>
        <v>0.7083333333</v>
      </c>
      <c r="X39" s="209" t="str">
        <f t="shared" si="3"/>
        <v>10:30 - 10:45</v>
      </c>
      <c r="Y39" s="209" t="str">
        <f t="shared" si="4"/>
        <v>13:30 - 14:00</v>
      </c>
      <c r="Z39" s="209" t="str">
        <f t="shared" si="5"/>
        <v>15:45 - 16:00</v>
      </c>
      <c r="AA39" s="213">
        <f t="shared" si="6"/>
        <v>34</v>
      </c>
      <c r="AB39" s="214"/>
      <c r="AC39" s="238">
        <v>0.4166666666666667</v>
      </c>
      <c r="AD39" s="201" t="s">
        <v>290</v>
      </c>
      <c r="AE39" s="201" t="s">
        <v>279</v>
      </c>
      <c r="AF39" s="201" t="s">
        <v>291</v>
      </c>
      <c r="AH39" s="201"/>
      <c r="AI39" s="201"/>
      <c r="AJ39" s="201"/>
      <c r="AK39" s="201"/>
      <c r="AL39" s="201"/>
    </row>
    <row r="40" ht="22.5" customHeight="1">
      <c r="A40" s="187" t="str">
        <f>IFERROR(__xludf.DUMMYFUNCTION("""COMPUTED_VALUE"""),"Daniel Bustamante")</f>
        <v>Daniel Bustamante</v>
      </c>
      <c r="B40" s="188" t="str">
        <f>IFERROR(__xludf.DUMMYFUNCTION("""COMPUTED_VALUE"""),"Luna Morales")</f>
        <v>Luna Morales</v>
      </c>
      <c r="C40" s="189">
        <f>IFERROR(__xludf.DUMMYFUNCTION("""COMPUTED_VALUE"""),46113.0)</f>
        <v>46113</v>
      </c>
      <c r="D40" s="187">
        <f>IFERROR(__xludf.DUMMYFUNCTION("""COMPUTED_VALUE"""),38.0)</f>
        <v>38</v>
      </c>
      <c r="E40" s="187" t="str">
        <f>IFERROR(__xludf.DUMMYFUNCTION("""COMPUTED_VALUE"""),"Voice")</f>
        <v>Voice</v>
      </c>
      <c r="F40" s="187" t="str">
        <f>IFERROR(__xludf.DUMMYFUNCTION("""COMPUTED_VALUE"""),"C1577")</f>
        <v>C1577</v>
      </c>
      <c r="G40" s="185" t="str">
        <f>IFERROR(__xludf.DUMMYFUNCTION("""COMPUTED_VALUE"""),"@email")</f>
        <v>@email</v>
      </c>
      <c r="H40" s="185" t="str">
        <f>IFERROR(__xludf.DUMMYFUNCTION("""COMPUTED_VALUE"""),"ho.lmorales")</f>
        <v>ho.lmorales</v>
      </c>
      <c r="I40" s="185" t="str">
        <f>IFERROR(__xludf.DUMMYFUNCTION("""COMPUTED_VALUE"""),"Active")</f>
        <v>Active</v>
      </c>
      <c r="J40" s="264" t="s">
        <v>285</v>
      </c>
      <c r="K40" s="265"/>
      <c r="L40" s="266">
        <v>144.0</v>
      </c>
      <c r="M40" s="267">
        <v>0.4166666666666667</v>
      </c>
      <c r="N40" s="268" t="s">
        <v>286</v>
      </c>
      <c r="O40" s="268" t="s">
        <v>269</v>
      </c>
      <c r="P40" s="268" t="s">
        <v>287</v>
      </c>
      <c r="Q40" s="217"/>
      <c r="R40" s="217"/>
      <c r="S40" s="209">
        <v>112.0</v>
      </c>
      <c r="T40" s="209" t="s">
        <v>53</v>
      </c>
      <c r="U40" s="210" t="str">
        <f t="shared" si="1"/>
        <v>Kennedy Giraldo</v>
      </c>
      <c r="V40" s="211" t="str">
        <f>IFERROR(__xludf.DUMMYFUNCTION("INDEX(FILTER(BvsL!F:F, BvsL!D:D=T40),20)
"),"07:00")</f>
        <v>07:00</v>
      </c>
      <c r="W40" s="212">
        <f t="shared" si="2"/>
        <v>0.6666666667</v>
      </c>
      <c r="X40" s="209" t="str">
        <f t="shared" si="3"/>
        <v>09:30 - 09:45</v>
      </c>
      <c r="Y40" s="209" t="str">
        <f t="shared" si="4"/>
        <v>12:15 - 12:45</v>
      </c>
      <c r="Z40" s="209" t="str">
        <f t="shared" si="5"/>
        <v>14:45 - 15:00</v>
      </c>
      <c r="AA40" s="213">
        <f t="shared" si="6"/>
        <v>2</v>
      </c>
      <c r="AB40" s="214"/>
      <c r="AC40" s="217"/>
      <c r="AD40" s="201"/>
      <c r="AE40" s="201"/>
      <c r="AF40" s="201"/>
      <c r="AG40" s="201"/>
      <c r="AH40" s="201"/>
      <c r="AI40" s="201"/>
      <c r="AJ40" s="201"/>
      <c r="AK40" s="201"/>
      <c r="AL40" s="201"/>
    </row>
    <row r="41" ht="22.5" customHeight="1">
      <c r="A41" s="187" t="str">
        <f>IFERROR(__xludf.DUMMYFUNCTION("""COMPUTED_VALUE"""),"Daniel Bustamante")</f>
        <v>Daniel Bustamante</v>
      </c>
      <c r="B41" s="188" t="str">
        <f>IFERROR(__xludf.DUMMYFUNCTION("""COMPUTED_VALUE"""),"Oscar Roldan")</f>
        <v>Oscar Roldan</v>
      </c>
      <c r="C41" s="189">
        <f>IFERROR(__xludf.DUMMYFUNCTION("""COMPUTED_VALUE"""),46083.0)</f>
        <v>46083</v>
      </c>
      <c r="D41" s="187">
        <f>IFERROR(__xludf.DUMMYFUNCTION("""COMPUTED_VALUE"""),36.0)</f>
        <v>36</v>
      </c>
      <c r="E41" s="187" t="str">
        <f>IFERROR(__xludf.DUMMYFUNCTION("""COMPUTED_VALUE"""),"Voice")</f>
        <v>Voice</v>
      </c>
      <c r="F41" s="187" t="str">
        <f>IFERROR(__xludf.DUMMYFUNCTION("""COMPUTED_VALUE"""),"C1538")</f>
        <v>C1538</v>
      </c>
      <c r="G41" s="185" t="str">
        <f>IFERROR(__xludf.DUMMYFUNCTION("""COMPUTED_VALUE"""),"@email")</f>
        <v>@email</v>
      </c>
      <c r="H41" s="185" t="str">
        <f>IFERROR(__xludf.DUMMYFUNCTION("""COMPUTED_VALUE"""),"ho.oroldan")</f>
        <v>ho.oroldan</v>
      </c>
      <c r="I41" s="185" t="str">
        <f>IFERROR(__xludf.DUMMYFUNCTION("""COMPUTED_VALUE"""),"Active")</f>
        <v>Active</v>
      </c>
      <c r="J41" s="264" t="s">
        <v>285</v>
      </c>
      <c r="K41" s="265"/>
      <c r="L41" s="266">
        <v>145.0</v>
      </c>
      <c r="M41" s="267">
        <v>0.4166666666666667</v>
      </c>
      <c r="N41" s="268" t="s">
        <v>288</v>
      </c>
      <c r="O41" s="268" t="s">
        <v>292</v>
      </c>
      <c r="P41" s="268" t="s">
        <v>289</v>
      </c>
      <c r="Q41" s="217"/>
      <c r="R41" s="217"/>
      <c r="S41" s="209">
        <v>500.0</v>
      </c>
      <c r="T41" s="209" t="s">
        <v>58</v>
      </c>
      <c r="U41" s="210" t="str">
        <f t="shared" si="1"/>
        <v>Luis Lopez</v>
      </c>
      <c r="V41" s="211" t="str">
        <f>IFERROR(__xludf.DUMMYFUNCTION("INDEX(FILTER(BvsL!F:F, BvsL!D:D=T41),20)
"),"13:00")</f>
        <v>13:00</v>
      </c>
      <c r="W41" s="212">
        <f t="shared" si="2"/>
        <v>0.9166666667</v>
      </c>
      <c r="X41" s="209" t="str">
        <f t="shared" si="3"/>
        <v>Team Leader</v>
      </c>
      <c r="Y41" s="209" t="str">
        <f t="shared" si="4"/>
        <v>Team Leader</v>
      </c>
      <c r="Z41" s="209" t="str">
        <f t="shared" si="5"/>
        <v/>
      </c>
      <c r="AA41" s="213">
        <f t="shared" si="6"/>
        <v>32</v>
      </c>
      <c r="AB41" s="214"/>
      <c r="AC41" s="217"/>
      <c r="AD41" s="201"/>
      <c r="AE41" s="201"/>
      <c r="AF41" s="201"/>
      <c r="AG41" s="201"/>
      <c r="AH41" s="201"/>
      <c r="AI41" s="201"/>
      <c r="AJ41" s="201"/>
      <c r="AK41" s="201"/>
      <c r="AL41" s="201"/>
    </row>
    <row r="42" ht="22.5" customHeight="1">
      <c r="A42" s="187" t="str">
        <f>IFERROR(__xludf.DUMMYFUNCTION("""COMPUTED_VALUE"""),"Daniel Bustamante")</f>
        <v>Daniel Bustamante</v>
      </c>
      <c r="B42" s="188" t="str">
        <f>IFERROR(__xludf.DUMMYFUNCTION("""COMPUTED_VALUE"""),"Samuel Acevedo Cadavid")</f>
        <v>Samuel Acevedo Cadavid</v>
      </c>
      <c r="C42" s="189">
        <f>IFERROR(__xludf.DUMMYFUNCTION("""COMPUTED_VALUE"""),46113.0)</f>
        <v>46113</v>
      </c>
      <c r="D42" s="187">
        <f>IFERROR(__xludf.DUMMYFUNCTION("""COMPUTED_VALUE"""),38.0)</f>
        <v>38</v>
      </c>
      <c r="E42" s="187" t="str">
        <f>IFERROR(__xludf.DUMMYFUNCTION("""COMPUTED_VALUE"""),"Voice")</f>
        <v>Voice</v>
      </c>
      <c r="F42" s="187" t="str">
        <f>IFERROR(__xludf.DUMMYFUNCTION("""COMPUTED_VALUE"""),"C1564")</f>
        <v>C1564</v>
      </c>
      <c r="G42" s="185" t="str">
        <f>IFERROR(__xludf.DUMMYFUNCTION("""COMPUTED_VALUE"""),"@email")</f>
        <v>@email</v>
      </c>
      <c r="H42" s="185" t="str">
        <f>IFERROR(__xludf.DUMMYFUNCTION("""COMPUTED_VALUE"""),"ho.saacevedo")</f>
        <v>ho.saacevedo</v>
      </c>
      <c r="I42" s="185" t="str">
        <f>IFERROR(__xludf.DUMMYFUNCTION("""COMPUTED_VALUE"""),"Active")</f>
        <v>Active</v>
      </c>
      <c r="J42" s="264" t="s">
        <v>285</v>
      </c>
      <c r="K42" s="265"/>
      <c r="L42" s="266">
        <v>146.0</v>
      </c>
      <c r="M42" s="267">
        <v>0.4166666666666667</v>
      </c>
      <c r="N42" s="268" t="s">
        <v>290</v>
      </c>
      <c r="O42" s="268" t="s">
        <v>279</v>
      </c>
      <c r="P42" s="268" t="s">
        <v>291</v>
      </c>
      <c r="Q42" s="217"/>
      <c r="R42" s="271"/>
      <c r="S42" s="209">
        <v>126.0</v>
      </c>
      <c r="T42" s="209" t="s">
        <v>60</v>
      </c>
      <c r="U42" s="210" t="str">
        <f t="shared" si="1"/>
        <v>Luisa Gonzalez</v>
      </c>
      <c r="V42" s="211" t="str">
        <f>IFERROR(__xludf.DUMMYFUNCTION("INDEX(FILTER(BvsL!F:F, BvsL!D:D=T42),20)
"),"08:00")</f>
        <v>08:00</v>
      </c>
      <c r="W42" s="212">
        <f t="shared" si="2"/>
        <v>0.7083333333</v>
      </c>
      <c r="X42" s="209" t="str">
        <f t="shared" si="3"/>
        <v>10:45 - 11:00</v>
      </c>
      <c r="Y42" s="209" t="str">
        <f t="shared" si="4"/>
        <v>14:00 - 14:30</v>
      </c>
      <c r="Z42" s="209" t="str">
        <f t="shared" si="5"/>
        <v>15:45 - 16:00</v>
      </c>
      <c r="AA42" s="213">
        <f t="shared" si="6"/>
        <v>22</v>
      </c>
      <c r="AB42" s="214"/>
      <c r="AC42" s="271">
        <v>0.4583333333333333</v>
      </c>
      <c r="AD42" s="201" t="s">
        <v>288</v>
      </c>
      <c r="AE42" s="201" t="s">
        <v>269</v>
      </c>
      <c r="AF42" s="201" t="s">
        <v>287</v>
      </c>
      <c r="AH42" s="201"/>
      <c r="AI42" s="201"/>
      <c r="AJ42" s="201"/>
      <c r="AK42" s="201"/>
      <c r="AL42" s="201"/>
    </row>
    <row r="43" ht="22.5" customHeight="1">
      <c r="A43" s="187" t="str">
        <f>IFERROR(__xludf.DUMMYFUNCTION("""COMPUTED_VALUE"""),"Daniel Bustamante")</f>
        <v>Daniel Bustamante</v>
      </c>
      <c r="B43" s="188" t="str">
        <f>IFERROR(__xludf.DUMMYFUNCTION("""COMPUTED_VALUE"""),"Santiago Mora")</f>
        <v>Santiago Mora</v>
      </c>
      <c r="C43" s="189">
        <f>IFERROR(__xludf.DUMMYFUNCTION("""COMPUTED_VALUE"""),46076.0)</f>
        <v>46076</v>
      </c>
      <c r="D43" s="187">
        <f>IFERROR(__xludf.DUMMYFUNCTION("""COMPUTED_VALUE"""),35.0)</f>
        <v>35</v>
      </c>
      <c r="E43" s="187" t="str">
        <f>IFERROR(__xludf.DUMMYFUNCTION("""COMPUTED_VALUE"""),"Voice")</f>
        <v>Voice</v>
      </c>
      <c r="F43" s="187" t="str">
        <f>IFERROR(__xludf.DUMMYFUNCTION("""COMPUTED_VALUE"""),"C1406")</f>
        <v>C1406</v>
      </c>
      <c r="G43" s="185" t="str">
        <f>IFERROR(__xludf.DUMMYFUNCTION("""COMPUTED_VALUE"""),"email")</f>
        <v>email</v>
      </c>
      <c r="H43" s="185" t="str">
        <f>IFERROR(__xludf.DUMMYFUNCTION("""COMPUTED_VALUE"""),"ho.smora")</f>
        <v>ho.smora</v>
      </c>
      <c r="I43" s="185" t="str">
        <f>IFERROR(__xludf.DUMMYFUNCTION("""COMPUTED_VALUE"""),"Active")</f>
        <v>Active</v>
      </c>
      <c r="J43" s="218"/>
      <c r="K43" s="255"/>
      <c r="L43" s="263"/>
      <c r="M43" s="257"/>
      <c r="N43" s="132"/>
      <c r="O43" s="132"/>
      <c r="P43" s="43"/>
      <c r="Q43" s="217"/>
      <c r="R43" s="271"/>
      <c r="S43" s="209">
        <v>500.0</v>
      </c>
      <c r="T43" s="209" t="s">
        <v>147</v>
      </c>
      <c r="U43" s="210" t="str">
        <f t="shared" si="1"/>
        <v>Manuela Moreno</v>
      </c>
      <c r="V43" s="211" t="str">
        <f>IFERROR(__xludf.DUMMYFUNCTION("INDEX(FILTER(BvsL!F:F, BvsL!D:D=T43),21)
"),"09:00")</f>
        <v>09:00</v>
      </c>
      <c r="W43" s="212">
        <f t="shared" si="2"/>
        <v>0.75</v>
      </c>
      <c r="X43" s="209" t="str">
        <f t="shared" si="3"/>
        <v>Team Leader</v>
      </c>
      <c r="Y43" s="209" t="str">
        <f t="shared" si="4"/>
        <v>Team Leader</v>
      </c>
      <c r="Z43" s="209" t="str">
        <f t="shared" si="5"/>
        <v/>
      </c>
      <c r="AA43" s="213">
        <f t="shared" si="6"/>
        <v>24</v>
      </c>
      <c r="AB43" s="214"/>
      <c r="AC43" s="271">
        <v>0.4583333333333333</v>
      </c>
      <c r="AD43" s="201" t="s">
        <v>290</v>
      </c>
      <c r="AE43" s="201" t="s">
        <v>292</v>
      </c>
      <c r="AF43" s="201" t="s">
        <v>289</v>
      </c>
      <c r="AH43" s="201"/>
      <c r="AI43" s="201"/>
      <c r="AJ43" s="201"/>
      <c r="AK43" s="201"/>
      <c r="AL43" s="201"/>
    </row>
    <row r="44" ht="22.5" customHeight="1">
      <c r="A44" s="187" t="str">
        <f>IFERROR(__xludf.DUMMYFUNCTION("""COMPUTED_VALUE"""),"Daniel Bustamante")</f>
        <v>Daniel Bustamante</v>
      </c>
      <c r="B44" s="188" t="str">
        <f>IFERROR(__xludf.DUMMYFUNCTION("""COMPUTED_VALUE"""),"Sebastian Agudelo Londono")</f>
        <v>Sebastian Agudelo Londono</v>
      </c>
      <c r="C44" s="189">
        <f>IFERROR(__xludf.DUMMYFUNCTION("""COMPUTED_VALUE"""),46076.0)</f>
        <v>46076</v>
      </c>
      <c r="D44" s="187">
        <f>IFERROR(__xludf.DUMMYFUNCTION("""COMPUTED_VALUE"""),35.0)</f>
        <v>35</v>
      </c>
      <c r="E44" s="187" t="str">
        <f>IFERROR(__xludf.DUMMYFUNCTION("""COMPUTED_VALUE"""),"Voice")</f>
        <v>Voice</v>
      </c>
      <c r="F44" s="187" t="str">
        <f>IFERROR(__xludf.DUMMYFUNCTION("""COMPUTED_VALUE"""),"C1506")</f>
        <v>C1506</v>
      </c>
      <c r="G44" s="185" t="str">
        <f>IFERROR(__xludf.DUMMYFUNCTION("""COMPUTED_VALUE"""),"email")</f>
        <v>email</v>
      </c>
      <c r="H44" s="185" t="str">
        <f>IFERROR(__xludf.DUMMYFUNCTION("""COMPUTED_VALUE"""),"ho.sagudelo")</f>
        <v>ho.sagudelo</v>
      </c>
      <c r="I44" s="185" t="str">
        <f>IFERROR(__xludf.DUMMYFUNCTION("""COMPUTED_VALUE"""),"Active")</f>
        <v>Active</v>
      </c>
      <c r="J44" s="272"/>
      <c r="K44" s="255"/>
      <c r="L44" s="263"/>
      <c r="M44" s="257"/>
      <c r="N44" s="132"/>
      <c r="O44" s="132"/>
      <c r="P44" s="43"/>
      <c r="Q44" s="217"/>
      <c r="R44" s="271"/>
      <c r="S44" s="209">
        <v>121.0</v>
      </c>
      <c r="T44" s="209" t="s">
        <v>178</v>
      </c>
      <c r="U44" s="210" t="str">
        <f t="shared" si="1"/>
        <v>Mateo Vanegas</v>
      </c>
      <c r="V44" s="211" t="str">
        <f>IFERROR(__xludf.DUMMYFUNCTION("INDEX(FILTER(BvsL!F:F, BvsL!D:D=T44),21)
"),"08:00")</f>
        <v>08:00</v>
      </c>
      <c r="W44" s="212">
        <f t="shared" si="2"/>
        <v>0.7083333333</v>
      </c>
      <c r="X44" s="209" t="str">
        <f t="shared" si="3"/>
        <v>09:15 - 09:30</v>
      </c>
      <c r="Y44" s="209" t="str">
        <f t="shared" si="4"/>
        <v>11:30 - 12:00</v>
      </c>
      <c r="Z44" s="209" t="str">
        <f t="shared" si="5"/>
        <v>14:30 - 14:45</v>
      </c>
      <c r="AA44" s="213">
        <f t="shared" si="6"/>
        <v>32</v>
      </c>
      <c r="AB44" s="214"/>
      <c r="AC44" s="271">
        <v>0.4583333333333333</v>
      </c>
      <c r="AD44" s="201" t="s">
        <v>223</v>
      </c>
      <c r="AE44" s="201" t="s">
        <v>293</v>
      </c>
      <c r="AF44" s="201" t="s">
        <v>291</v>
      </c>
      <c r="AH44" s="201"/>
      <c r="AI44" s="201"/>
      <c r="AJ44" s="201"/>
      <c r="AK44" s="201"/>
      <c r="AL44" s="201"/>
    </row>
    <row r="45" ht="22.5" customHeight="1">
      <c r="A45" s="187" t="str">
        <f>IFERROR(__xludf.DUMMYFUNCTION("""COMPUTED_VALUE"""),"Daniel Bustamante")</f>
        <v>Daniel Bustamante</v>
      </c>
      <c r="B45" s="188" t="str">
        <f>IFERROR(__xludf.DUMMYFUNCTION("""COMPUTED_VALUE"""),"Sebastian Torres Gomez")</f>
        <v>Sebastian Torres Gomez</v>
      </c>
      <c r="C45" s="189">
        <f>IFERROR(__xludf.DUMMYFUNCTION("""COMPUTED_VALUE"""),45985.0)</f>
        <v>45985</v>
      </c>
      <c r="D45" s="187">
        <f>IFERROR(__xludf.DUMMYFUNCTION("""COMPUTED_VALUE"""),32.0)</f>
        <v>32</v>
      </c>
      <c r="E45" s="187" t="str">
        <f>IFERROR(__xludf.DUMMYFUNCTION("""COMPUTED_VALUE"""),"Voice")</f>
        <v>Voice</v>
      </c>
      <c r="F45" s="187" t="str">
        <f>IFERROR(__xludf.DUMMYFUNCTION("""COMPUTED_VALUE"""),"C1431")</f>
        <v>C1431</v>
      </c>
      <c r="G45" s="185" t="str">
        <f>IFERROR(__xludf.DUMMYFUNCTION("""COMPUTED_VALUE"""),"sebastian.torresg@buwelo.com")</f>
        <v>sebastian.torresg@buwelo.com</v>
      </c>
      <c r="H45" s="185" t="str">
        <f>IFERROR(__xludf.DUMMYFUNCTION("""COMPUTED_VALUE"""),"ho.setorres")</f>
        <v>ho.setorres</v>
      </c>
      <c r="I45" s="185" t="str">
        <f>IFERROR(__xludf.DUMMYFUNCTION("""COMPUTED_VALUE"""),"Active")</f>
        <v>Active</v>
      </c>
      <c r="J45" s="273"/>
      <c r="K45" s="255"/>
      <c r="L45" s="263"/>
      <c r="M45" s="257"/>
      <c r="N45" s="43"/>
      <c r="O45" s="40"/>
      <c r="P45" s="43"/>
      <c r="Q45" s="217"/>
      <c r="R45" s="271"/>
      <c r="S45" s="209">
        <v>122.0</v>
      </c>
      <c r="T45" s="209" t="s">
        <v>64</v>
      </c>
      <c r="U45" s="210" t="str">
        <f t="shared" si="1"/>
        <v>Miguel Betancur</v>
      </c>
      <c r="V45" s="211" t="str">
        <f>IFERROR(__xludf.DUMMYFUNCTION("INDEX(FILTER(BvsL!F:F, BvsL!D:D=T45),20)
"),"08:00")</f>
        <v>08:00</v>
      </c>
      <c r="W45" s="212">
        <f t="shared" si="2"/>
        <v>0.7083333333</v>
      </c>
      <c r="X45" s="209" t="str">
        <f t="shared" si="3"/>
        <v>09:30 - 09:45</v>
      </c>
      <c r="Y45" s="209" t="str">
        <f t="shared" si="4"/>
        <v>12:00 - 12:30</v>
      </c>
      <c r="Z45" s="209" t="str">
        <f t="shared" si="5"/>
        <v>14:45 - 15:00</v>
      </c>
      <c r="AA45" s="213">
        <f t="shared" si="6"/>
        <v>33</v>
      </c>
      <c r="AB45" s="214"/>
      <c r="AC45" s="271">
        <v>0.4583333333333333</v>
      </c>
      <c r="AD45" s="201" t="s">
        <v>229</v>
      </c>
      <c r="AE45" s="201" t="s">
        <v>294</v>
      </c>
      <c r="AF45" s="201" t="s">
        <v>295</v>
      </c>
      <c r="AH45" s="201"/>
      <c r="AI45" s="201"/>
      <c r="AJ45" s="201"/>
      <c r="AK45" s="201"/>
      <c r="AL45" s="201"/>
    </row>
    <row r="46" ht="22.5" customHeight="1">
      <c r="A46" s="187" t="str">
        <f>IFERROR(__xludf.DUMMYFUNCTION("""COMPUTED_VALUE"""),"Daniel Bustamante")</f>
        <v>Daniel Bustamante</v>
      </c>
      <c r="B46" s="188" t="str">
        <f>IFERROR(__xludf.DUMMYFUNCTION("""COMPUTED_VALUE"""),"Sergio Rojas")</f>
        <v>Sergio Rojas</v>
      </c>
      <c r="C46" s="189">
        <f>IFERROR(__xludf.DUMMYFUNCTION("""COMPUTED_VALUE"""),46113.0)</f>
        <v>46113</v>
      </c>
      <c r="D46" s="187">
        <f>IFERROR(__xludf.DUMMYFUNCTION("""COMPUTED_VALUE"""),38.0)</f>
        <v>38</v>
      </c>
      <c r="E46" s="187" t="str">
        <f>IFERROR(__xludf.DUMMYFUNCTION("""COMPUTED_VALUE"""),"Voice")</f>
        <v>Voice</v>
      </c>
      <c r="F46" s="187" t="str">
        <f>IFERROR(__xludf.DUMMYFUNCTION("""COMPUTED_VALUE"""),"C1565")</f>
        <v>C1565</v>
      </c>
      <c r="G46" s="185" t="str">
        <f>IFERROR(__xludf.DUMMYFUNCTION("""COMPUTED_VALUE"""),"@email")</f>
        <v>@email</v>
      </c>
      <c r="H46" s="185" t="str">
        <f>IFERROR(__xludf.DUMMYFUNCTION("""COMPUTED_VALUE"""),"ho.srojas")</f>
        <v>ho.srojas</v>
      </c>
      <c r="I46" s="185" t="str">
        <f>IFERROR(__xludf.DUMMYFUNCTION("""COMPUTED_VALUE"""),"Active")</f>
        <v>Active</v>
      </c>
      <c r="J46" s="273"/>
      <c r="K46" s="255"/>
      <c r="L46" s="227"/>
      <c r="M46" s="257"/>
      <c r="N46" s="43"/>
      <c r="O46" s="132"/>
      <c r="P46" s="43"/>
      <c r="Q46" s="217"/>
      <c r="R46" s="271"/>
      <c r="S46" s="209">
        <v>113.0</v>
      </c>
      <c r="T46" s="209" t="s">
        <v>65</v>
      </c>
      <c r="U46" s="210" t="str">
        <f t="shared" si="1"/>
        <v>Mikel Bowie</v>
      </c>
      <c r="V46" s="211" t="str">
        <f>IFERROR(__xludf.DUMMYFUNCTION("INDEX(FILTER(BvsL!F:F, BvsL!D:D=T46),20)
"),"08:00")</f>
        <v>08:00</v>
      </c>
      <c r="W46" s="212">
        <f t="shared" si="2"/>
        <v>0.7083333333</v>
      </c>
      <c r="X46" s="209" t="str">
        <f t="shared" si="3"/>
        <v>09:45 - 10:00</v>
      </c>
      <c r="Y46" s="209" t="str">
        <f t="shared" si="4"/>
        <v>12:30 - 13:00</v>
      </c>
      <c r="Z46" s="209" t="str">
        <f t="shared" si="5"/>
        <v>14:45 - 15:00</v>
      </c>
      <c r="AA46" s="213">
        <f t="shared" si="6"/>
        <v>20</v>
      </c>
      <c r="AB46" s="214"/>
      <c r="AC46" s="271">
        <v>0.4583333333333333</v>
      </c>
      <c r="AD46" s="201" t="s">
        <v>232</v>
      </c>
      <c r="AE46" s="201" t="s">
        <v>296</v>
      </c>
      <c r="AF46" s="201" t="s">
        <v>297</v>
      </c>
      <c r="AH46" s="201"/>
      <c r="AI46" s="201"/>
      <c r="AJ46" s="201"/>
      <c r="AK46" s="201"/>
      <c r="AL46" s="201"/>
    </row>
    <row r="47" ht="22.5" customHeight="1">
      <c r="A47" s="187" t="str">
        <f>IFERROR(__xludf.DUMMYFUNCTION("""COMPUTED_VALUE"""),"Daniel Bustamante")</f>
        <v>Daniel Bustamante</v>
      </c>
      <c r="B47" s="188" t="str">
        <f>IFERROR(__xludf.DUMMYFUNCTION("""COMPUTED_VALUE"""),"Simon Zuluaica")</f>
        <v>Simon Zuluaica</v>
      </c>
      <c r="C47" s="189">
        <f>IFERROR(__xludf.DUMMYFUNCTION("""COMPUTED_VALUE"""),46041.0)</f>
        <v>46041</v>
      </c>
      <c r="D47" s="187">
        <f>IFERROR(__xludf.DUMMYFUNCTION("""COMPUTED_VALUE"""),34.0)</f>
        <v>34</v>
      </c>
      <c r="E47" s="187" t="str">
        <f>IFERROR(__xludf.DUMMYFUNCTION("""COMPUTED_VALUE"""),"Voice")</f>
        <v>Voice</v>
      </c>
      <c r="F47" s="187" t="str">
        <f>IFERROR(__xludf.DUMMYFUNCTION("""COMPUTED_VALUE"""),"C1483")</f>
        <v>C1483</v>
      </c>
      <c r="G47" s="185" t="str">
        <f>IFERROR(__xludf.DUMMYFUNCTION("""COMPUTED_VALUE"""),"simon.zuluaica@buwelo.com")</f>
        <v>simon.zuluaica@buwelo.com</v>
      </c>
      <c r="H47" s="185" t="str">
        <f>IFERROR(__xludf.DUMMYFUNCTION("""COMPUTED_VALUE"""),"ho.szuluaica")</f>
        <v>ho.szuluaica</v>
      </c>
      <c r="I47" s="185" t="str">
        <f>IFERROR(__xludf.DUMMYFUNCTION("""COMPUTED_VALUE"""),"Active")</f>
        <v>Active</v>
      </c>
      <c r="J47" s="273"/>
      <c r="K47" s="226"/>
      <c r="L47" s="227"/>
      <c r="M47" s="257"/>
      <c r="N47" s="132"/>
      <c r="O47" s="132"/>
      <c r="P47" s="43"/>
      <c r="Q47" s="217"/>
      <c r="R47" s="271"/>
      <c r="S47" s="209">
        <v>123.0</v>
      </c>
      <c r="T47" s="209" t="s">
        <v>66</v>
      </c>
      <c r="U47" s="210" t="str">
        <f t="shared" si="1"/>
        <v>Natalia Cardona</v>
      </c>
      <c r="V47" s="211" t="str">
        <f>IFERROR(__xludf.DUMMYFUNCTION("INDEX(FILTER(BvsL!F:F, BvsL!D:D=T47),20)
"),"08:00")</f>
        <v>08:00</v>
      </c>
      <c r="W47" s="212">
        <f t="shared" si="2"/>
        <v>0.7083333333</v>
      </c>
      <c r="X47" s="209" t="str">
        <f t="shared" si="3"/>
        <v>09:45 - 10:00 </v>
      </c>
      <c r="Y47" s="209" t="str">
        <f t="shared" si="4"/>
        <v>12:30 - 13:00</v>
      </c>
      <c r="Z47" s="209" t="str">
        <f t="shared" si="5"/>
        <v>15:00 - 15:15</v>
      </c>
      <c r="AA47" s="213">
        <f t="shared" si="6"/>
        <v>24</v>
      </c>
      <c r="AB47" s="214"/>
      <c r="AC47" s="271">
        <v>0.4583333333333333</v>
      </c>
      <c r="AD47" s="201" t="s">
        <v>235</v>
      </c>
      <c r="AE47" s="201" t="s">
        <v>298</v>
      </c>
      <c r="AF47" s="201" t="s">
        <v>299</v>
      </c>
      <c r="AH47" s="201"/>
      <c r="AI47" s="201"/>
      <c r="AJ47" s="201"/>
      <c r="AK47" s="201"/>
      <c r="AL47" s="201"/>
    </row>
    <row r="48" ht="22.5" customHeight="1">
      <c r="A48" s="187" t="str">
        <f>IFERROR(__xludf.DUMMYFUNCTION("""COMPUTED_VALUE"""),"Edward Machado")</f>
        <v>Edward Machado</v>
      </c>
      <c r="B48" s="188" t="str">
        <f>IFERROR(__xludf.DUMMYFUNCTION("""COMPUTED_VALUE"""),"Alexis Arias")</f>
        <v>Alexis Arias</v>
      </c>
      <c r="C48" s="189">
        <f>IFERROR(__xludf.DUMMYFUNCTION("""COMPUTED_VALUE"""),45362.0)</f>
        <v>45362</v>
      </c>
      <c r="D48" s="187">
        <f>IFERROR(__xludf.DUMMYFUNCTION("""COMPUTED_VALUE"""),12.0)</f>
        <v>12</v>
      </c>
      <c r="E48" s="187" t="str">
        <f>IFERROR(__xludf.DUMMYFUNCTION("""COMPUTED_VALUE"""),"Tickets")</f>
        <v>Tickets</v>
      </c>
      <c r="F48" s="187" t="str">
        <f>IFERROR(__xludf.DUMMYFUNCTION("""COMPUTED_VALUE"""),"C935")</f>
        <v>C935</v>
      </c>
      <c r="G48" s="185" t="str">
        <f>IFERROR(__xludf.DUMMYFUNCTION("""COMPUTED_VALUE"""),"alexis.arias@buwelo.com")</f>
        <v>alexis.arias@buwelo.com</v>
      </c>
      <c r="H48" s="185" t="str">
        <f>IFERROR(__xludf.DUMMYFUNCTION("""COMPUTED_VALUE"""),"ho.aarias")</f>
        <v>ho.aarias</v>
      </c>
      <c r="I48" s="185" t="str">
        <f>IFERROR(__xludf.DUMMYFUNCTION("""COMPUTED_VALUE"""),"Active")</f>
        <v>Active</v>
      </c>
      <c r="J48" s="273"/>
      <c r="K48" s="226"/>
      <c r="L48" s="227"/>
      <c r="M48" s="257"/>
      <c r="N48" s="43"/>
      <c r="O48" s="132"/>
      <c r="P48" s="43"/>
      <c r="Q48" s="217"/>
      <c r="R48" s="217"/>
      <c r="S48" s="209">
        <v>124.0</v>
      </c>
      <c r="T48" s="209" t="s">
        <v>70</v>
      </c>
      <c r="U48" s="210" t="str">
        <f t="shared" si="1"/>
        <v>Salome Arias</v>
      </c>
      <c r="V48" s="211" t="str">
        <f>IFERROR(__xludf.DUMMYFUNCTION("INDEX(FILTER(BvsL!F:F, BvsL!D:D=T48),20)
"),"08:00")</f>
        <v>08:00</v>
      </c>
      <c r="W48" s="212">
        <f t="shared" si="2"/>
        <v>0.7083333333</v>
      </c>
      <c r="X48" s="209" t="str">
        <f t="shared" si="3"/>
        <v>10:00 - 10:15</v>
      </c>
      <c r="Y48" s="209" t="str">
        <f t="shared" si="4"/>
        <v>13:00 - 13:30</v>
      </c>
      <c r="Z48" s="209" t="str">
        <f t="shared" si="5"/>
        <v>15:30 - 15:45</v>
      </c>
      <c r="AA48" s="213">
        <f t="shared" si="6"/>
        <v>12</v>
      </c>
      <c r="AB48" s="214"/>
      <c r="AC48" s="217"/>
      <c r="AD48" s="201"/>
      <c r="AE48" s="201"/>
      <c r="AF48" s="201"/>
      <c r="AG48" s="201"/>
      <c r="AH48" s="201"/>
      <c r="AI48" s="201"/>
      <c r="AJ48" s="201"/>
      <c r="AK48" s="201"/>
      <c r="AL48" s="201"/>
    </row>
    <row r="49" ht="22.5" customHeight="1">
      <c r="A49" s="187" t="str">
        <f>IFERROR(__xludf.DUMMYFUNCTION("""COMPUTED_VALUE"""),"Edward Machado")</f>
        <v>Edward Machado</v>
      </c>
      <c r="B49" s="188" t="str">
        <f>IFERROR(__xludf.DUMMYFUNCTION("""COMPUTED_VALUE"""),"Ana Moreno")</f>
        <v>Ana Moreno</v>
      </c>
      <c r="C49" s="189">
        <f>IFERROR(__xludf.DUMMYFUNCTION("""COMPUTED_VALUE"""),45086.0)</f>
        <v>45086</v>
      </c>
      <c r="D49" s="187">
        <f>IFERROR(__xludf.DUMMYFUNCTION("""COMPUTED_VALUE"""),7.0)</f>
        <v>7</v>
      </c>
      <c r="E49" s="187" t="str">
        <f>IFERROR(__xludf.DUMMYFUNCTION("""COMPUTED_VALUE"""),"Tickets")</f>
        <v>Tickets</v>
      </c>
      <c r="F49" s="187" t="str">
        <f>IFERROR(__xludf.DUMMYFUNCTION("""COMPUTED_VALUE"""),"C727")</f>
        <v>C727</v>
      </c>
      <c r="G49" s="185" t="str">
        <f>IFERROR(__xludf.DUMMYFUNCTION("""COMPUTED_VALUE"""),"ana.moreno@buwelo.com")</f>
        <v>ana.moreno@buwelo.com</v>
      </c>
      <c r="H49" s="185" t="str">
        <f>IFERROR(__xludf.DUMMYFUNCTION("""COMPUTED_VALUE"""),"ho.amoreno")</f>
        <v>ho.amoreno</v>
      </c>
      <c r="I49" s="185" t="str">
        <f>IFERROR(__xludf.DUMMYFUNCTION("""COMPUTED_VALUE"""),"Active")</f>
        <v>Active</v>
      </c>
      <c r="J49" s="274"/>
      <c r="K49" s="226"/>
      <c r="L49" s="227"/>
      <c r="M49" s="257"/>
      <c r="N49" s="43"/>
      <c r="O49" s="132"/>
      <c r="P49" s="43"/>
      <c r="Q49" s="217"/>
      <c r="R49" s="217"/>
      <c r="S49" s="275">
        <v>125.0</v>
      </c>
      <c r="T49" s="275" t="s">
        <v>180</v>
      </c>
      <c r="U49" s="210" t="str">
        <f t="shared" si="1"/>
        <v>Santiago Gaviria</v>
      </c>
      <c r="V49" s="211" t="str">
        <f>IFERROR(__xludf.DUMMYFUNCTION("INDEX(FILTER(BvsL!F:F, BvsL!D:D=T49),22)
"),"08:00")</f>
        <v>08:00</v>
      </c>
      <c r="W49" s="212">
        <f t="shared" si="2"/>
        <v>0.7083333333</v>
      </c>
      <c r="X49" s="275" t="str">
        <f t="shared" si="3"/>
        <v>10:30 - 10:45</v>
      </c>
      <c r="Y49" s="275" t="str">
        <f t="shared" si="4"/>
        <v>13:30 - 14:00</v>
      </c>
      <c r="Z49" s="275" t="str">
        <f t="shared" si="5"/>
        <v>15:45 - 16:00</v>
      </c>
      <c r="AA49" s="213">
        <f t="shared" si="6"/>
        <v>24</v>
      </c>
      <c r="AB49" s="214"/>
      <c r="AC49" s="217"/>
      <c r="AD49" s="201"/>
      <c r="AE49" s="201"/>
      <c r="AF49" s="201"/>
      <c r="AG49" s="201"/>
      <c r="AH49" s="201"/>
      <c r="AI49" s="201"/>
      <c r="AJ49" s="201"/>
      <c r="AK49" s="201"/>
      <c r="AL49" s="201"/>
    </row>
    <row r="50" ht="22.5" customHeight="1">
      <c r="A50" s="187" t="str">
        <f>IFERROR(__xludf.DUMMYFUNCTION("""COMPUTED_VALUE"""),"Edward Machado")</f>
        <v>Edward Machado</v>
      </c>
      <c r="B50" s="188" t="str">
        <f>IFERROR(__xludf.DUMMYFUNCTION("""COMPUTED_VALUE"""),"Beatriz Montanez")</f>
        <v>Beatriz Montanez</v>
      </c>
      <c r="C50" s="189">
        <f>IFERROR(__xludf.DUMMYFUNCTION("""COMPUTED_VALUE"""),46076.0)</f>
        <v>46076</v>
      </c>
      <c r="D50" s="187">
        <f>IFERROR(__xludf.DUMMYFUNCTION("""COMPUTED_VALUE"""),35.0)</f>
        <v>35</v>
      </c>
      <c r="E50" s="187" t="str">
        <f>IFERROR(__xludf.DUMMYFUNCTION("""COMPUTED_VALUE"""),"Tickets")</f>
        <v>Tickets</v>
      </c>
      <c r="F50" s="187" t="str">
        <f>IFERROR(__xludf.DUMMYFUNCTION("""COMPUTED_VALUE"""),"C1504")</f>
        <v>C1504</v>
      </c>
      <c r="G50" s="185" t="str">
        <f>IFERROR(__xludf.DUMMYFUNCTION("""COMPUTED_VALUE"""),"email")</f>
        <v>email</v>
      </c>
      <c r="H50" s="185" t="str">
        <f>IFERROR(__xludf.DUMMYFUNCTION("""COMPUTED_VALUE"""),"ho.bmontanez")</f>
        <v>ho.bmontanez</v>
      </c>
      <c r="I50" s="185" t="str">
        <f>IFERROR(__xludf.DUMMYFUNCTION("""COMPUTED_VALUE"""),"Active")</f>
        <v>Active</v>
      </c>
      <c r="J50" s="239"/>
      <c r="K50" s="226"/>
      <c r="L50" s="227"/>
      <c r="M50" s="276"/>
      <c r="N50" s="240"/>
      <c r="O50" s="240"/>
      <c r="P50" s="240"/>
      <c r="Q50" s="217"/>
      <c r="R50" s="271"/>
      <c r="S50" s="275">
        <v>151.0</v>
      </c>
      <c r="T50" s="275" t="s">
        <v>74</v>
      </c>
      <c r="U50" s="210" t="str">
        <f t="shared" si="1"/>
        <v>Sebastian Torres Gomez</v>
      </c>
      <c r="V50" s="211" t="str">
        <f>IFERROR(__xludf.DUMMYFUNCTION("INDEX(FILTER(BvsL!F:F, BvsL!D:D=T50),22)
"),"11:00")</f>
        <v>11:00</v>
      </c>
      <c r="W50" s="212">
        <f t="shared" si="2"/>
        <v>0.8333333333</v>
      </c>
      <c r="X50" s="275" t="str">
        <f t="shared" si="3"/>
        <v>12:15 - 12:30</v>
      </c>
      <c r="Y50" s="275" t="str">
        <f t="shared" si="4"/>
        <v>14:00 - 14:30</v>
      </c>
      <c r="Z50" s="275" t="str">
        <f t="shared" si="5"/>
        <v>17:15 - 17:30</v>
      </c>
      <c r="AA50" s="213">
        <f t="shared" si="6"/>
        <v>32</v>
      </c>
      <c r="AB50" s="214"/>
      <c r="AC50" s="271">
        <v>0.5</v>
      </c>
      <c r="AD50" s="201" t="s">
        <v>232</v>
      </c>
      <c r="AE50" s="201" t="s">
        <v>300</v>
      </c>
      <c r="AF50" s="201" t="s">
        <v>263</v>
      </c>
      <c r="AG50" s="201"/>
      <c r="AH50" s="201"/>
      <c r="AI50" s="201"/>
      <c r="AJ50" s="201"/>
      <c r="AK50" s="201"/>
      <c r="AL50" s="201"/>
    </row>
    <row r="51" ht="22.5" customHeight="1">
      <c r="A51" s="187" t="str">
        <f>IFERROR(__xludf.DUMMYFUNCTION("""COMPUTED_VALUE"""),"Edward Machado")</f>
        <v>Edward Machado</v>
      </c>
      <c r="B51" s="188" t="str">
        <f>IFERROR(__xludf.DUMMYFUNCTION("""COMPUTED_VALUE"""),"Dahiana Cano")</f>
        <v>Dahiana Cano</v>
      </c>
      <c r="C51" s="189">
        <f>IFERROR(__xludf.DUMMYFUNCTION("""COMPUTED_VALUE"""),45023.0)</f>
        <v>45023</v>
      </c>
      <c r="D51" s="187">
        <f>IFERROR(__xludf.DUMMYFUNCTION("""COMPUTED_VALUE"""),4.0)</f>
        <v>4</v>
      </c>
      <c r="E51" s="187" t="str">
        <f>IFERROR(__xludf.DUMMYFUNCTION("""COMPUTED_VALUE"""),"Tickets")</f>
        <v>Tickets</v>
      </c>
      <c r="F51" s="187" t="str">
        <f>IFERROR(__xludf.DUMMYFUNCTION("""COMPUTED_VALUE"""),"C673")</f>
        <v>C673</v>
      </c>
      <c r="G51" s="185" t="str">
        <f>IFERROR(__xludf.DUMMYFUNCTION("""COMPUTED_VALUE"""),"dahiana.cano@buwelo.com")</f>
        <v>dahiana.cano@buwelo.com</v>
      </c>
      <c r="H51" s="185" t="str">
        <f>IFERROR(__xludf.DUMMYFUNCTION("""COMPUTED_VALUE"""),"ho.dcano")</f>
        <v>ho.dcano</v>
      </c>
      <c r="I51" s="185" t="str">
        <f>IFERROR(__xludf.DUMMYFUNCTION("""COMPUTED_VALUE"""),"Active")</f>
        <v>Active</v>
      </c>
      <c r="J51" s="277" t="s">
        <v>301</v>
      </c>
      <c r="K51" s="278" t="s">
        <v>220</v>
      </c>
      <c r="L51" s="279">
        <v>151.0</v>
      </c>
      <c r="M51" s="280">
        <v>0.4583333333333333</v>
      </c>
      <c r="N51" s="281" t="s">
        <v>288</v>
      </c>
      <c r="O51" s="281" t="s">
        <v>269</v>
      </c>
      <c r="P51" s="281" t="s">
        <v>287</v>
      </c>
      <c r="Q51" s="217"/>
      <c r="R51" s="271"/>
      <c r="S51" s="275">
        <v>126.0</v>
      </c>
      <c r="T51" s="275" t="s">
        <v>75</v>
      </c>
      <c r="U51" s="210" t="str">
        <f t="shared" si="1"/>
        <v>Sebastian Zapata</v>
      </c>
      <c r="V51" s="211" t="str">
        <f>IFERROR(__xludf.DUMMYFUNCTION("INDEX(FILTER(BvsL!F:F, BvsL!D:D=T51),20)
"),"08:00")</f>
        <v>08:00</v>
      </c>
      <c r="W51" s="212">
        <f t="shared" si="2"/>
        <v>0.7083333333</v>
      </c>
      <c r="X51" s="275" t="str">
        <f t="shared" si="3"/>
        <v>10:45 - 11:00</v>
      </c>
      <c r="Y51" s="275" t="str">
        <f t="shared" si="4"/>
        <v>14:00 - 14:30</v>
      </c>
      <c r="Z51" s="275" t="str">
        <f t="shared" si="5"/>
        <v>15:45 - 16:00</v>
      </c>
      <c r="AA51" s="213">
        <f t="shared" si="6"/>
        <v>12</v>
      </c>
      <c r="AB51" s="214"/>
      <c r="AC51" s="271">
        <v>0.5</v>
      </c>
      <c r="AD51" s="201" t="s">
        <v>235</v>
      </c>
      <c r="AE51" s="201" t="s">
        <v>302</v>
      </c>
      <c r="AF51" s="201" t="s">
        <v>266</v>
      </c>
      <c r="AG51" s="201"/>
      <c r="AH51" s="201"/>
      <c r="AI51" s="201"/>
      <c r="AJ51" s="201"/>
      <c r="AK51" s="201"/>
      <c r="AL51" s="201"/>
    </row>
    <row r="52" ht="22.5" customHeight="1">
      <c r="A52" s="187" t="str">
        <f>IFERROR(__xludf.DUMMYFUNCTION("""COMPUTED_VALUE"""),"Edward Machado")</f>
        <v>Edward Machado</v>
      </c>
      <c r="B52" s="188" t="str">
        <f>IFERROR(__xludf.DUMMYFUNCTION("""COMPUTED_VALUE"""),"Eliana Pena")</f>
        <v>Eliana Pena</v>
      </c>
      <c r="C52" s="189">
        <f>IFERROR(__xludf.DUMMYFUNCTION("""COMPUTED_VALUE"""),45798.0)</f>
        <v>45798</v>
      </c>
      <c r="D52" s="216">
        <f>IFERROR(__xludf.DUMMYFUNCTION("""COMPUTED_VALUE"""),26.0)</f>
        <v>26</v>
      </c>
      <c r="E52" s="187" t="str">
        <f>IFERROR(__xludf.DUMMYFUNCTION("""COMPUTED_VALUE"""),"Tickets")</f>
        <v>Tickets</v>
      </c>
      <c r="F52" s="187" t="str">
        <f>IFERROR(__xludf.DUMMYFUNCTION("""COMPUTED_VALUE"""),"C1216")</f>
        <v>C1216</v>
      </c>
      <c r="G52" s="185" t="str">
        <f>IFERROR(__xludf.DUMMYFUNCTION("""COMPUTED_VALUE"""),"eliana.pena@buwelo.com")</f>
        <v>eliana.pena@buwelo.com</v>
      </c>
      <c r="H52" s="185" t="str">
        <f>IFERROR(__xludf.DUMMYFUNCTION("""COMPUTED_VALUE"""),"ho.epena")</f>
        <v>ho.epena</v>
      </c>
      <c r="I52" s="185" t="str">
        <f>IFERROR(__xludf.DUMMYFUNCTION("""COMPUTED_VALUE"""),"Active")</f>
        <v>Active</v>
      </c>
      <c r="J52" s="277" t="s">
        <v>301</v>
      </c>
      <c r="K52" s="278" t="s">
        <v>220</v>
      </c>
      <c r="L52" s="279">
        <v>152.0</v>
      </c>
      <c r="M52" s="280">
        <v>0.4583333333333333</v>
      </c>
      <c r="N52" s="282" t="s">
        <v>290</v>
      </c>
      <c r="O52" s="282" t="s">
        <v>292</v>
      </c>
      <c r="P52" s="282" t="s">
        <v>289</v>
      </c>
      <c r="Q52" s="262"/>
      <c r="R52" s="271"/>
      <c r="S52" s="275">
        <v>152.0</v>
      </c>
      <c r="T52" s="275" t="s">
        <v>77</v>
      </c>
      <c r="U52" s="210" t="str">
        <f t="shared" si="1"/>
        <v>Simon Zuluaica</v>
      </c>
      <c r="V52" s="211" t="str">
        <f>IFERROR(__xludf.DUMMYFUNCTION("INDEX(FILTER(BvsL!F:F, BvsL!D:D=T52),20)
"),"11:00")</f>
        <v>11:00</v>
      </c>
      <c r="W52" s="212">
        <f t="shared" si="2"/>
        <v>0.8333333333</v>
      </c>
      <c r="X52" s="275" t="str">
        <f t="shared" si="3"/>
        <v>12:30 - 12:45</v>
      </c>
      <c r="Y52" s="275" t="str">
        <f t="shared" si="4"/>
        <v>14:30 - 15:00</v>
      </c>
      <c r="Z52" s="275" t="str">
        <f t="shared" si="5"/>
        <v>17:30 - 17:45</v>
      </c>
      <c r="AA52" s="213">
        <f t="shared" si="6"/>
        <v>34</v>
      </c>
      <c r="AB52" s="214"/>
      <c r="AC52" s="271">
        <v>0.5</v>
      </c>
      <c r="AD52" s="201" t="s">
        <v>238</v>
      </c>
      <c r="AE52" s="201" t="s">
        <v>303</v>
      </c>
      <c r="AF52" s="201" t="s">
        <v>272</v>
      </c>
      <c r="AG52" s="201"/>
      <c r="AH52" s="201"/>
      <c r="AI52" s="201"/>
      <c r="AJ52" s="201"/>
      <c r="AK52" s="201"/>
      <c r="AL52" s="201"/>
    </row>
    <row r="53" ht="22.5" customHeight="1">
      <c r="A53" s="187" t="str">
        <f>IFERROR(__xludf.DUMMYFUNCTION("""COMPUTED_VALUE"""),"Edward Machado")</f>
        <v>Edward Machado</v>
      </c>
      <c r="B53" s="188" t="str">
        <f>IFERROR(__xludf.DUMMYFUNCTION("""COMPUTED_VALUE"""),"Gabriela Jimenez")</f>
        <v>Gabriela Jimenez</v>
      </c>
      <c r="C53" s="189">
        <f>IFERROR(__xludf.DUMMYFUNCTION("""COMPUTED_VALUE"""),45936.0)</f>
        <v>45936</v>
      </c>
      <c r="D53" s="216">
        <f>IFERROR(__xludf.DUMMYFUNCTION("""COMPUTED_VALUE"""),31.0)</f>
        <v>31</v>
      </c>
      <c r="E53" s="187" t="str">
        <f>IFERROR(__xludf.DUMMYFUNCTION("""COMPUTED_VALUE"""),"Tickets")</f>
        <v>Tickets</v>
      </c>
      <c r="F53" s="187" t="str">
        <f>IFERROR(__xludf.DUMMYFUNCTION("""COMPUTED_VALUE"""),"C1369")</f>
        <v>C1369</v>
      </c>
      <c r="G53" s="185" t="str">
        <f>IFERROR(__xludf.DUMMYFUNCTION("""COMPUTED_VALUE"""),"gabriela.jimenez@buwelo.com")</f>
        <v>gabriela.jimenez@buwelo.com</v>
      </c>
      <c r="H53" s="185" t="str">
        <f>IFERROR(__xludf.DUMMYFUNCTION("""COMPUTED_VALUE"""),"ho.gjimenez")</f>
        <v>ho.gjimenez</v>
      </c>
      <c r="I53" s="185" t="str">
        <f>IFERROR(__xludf.DUMMYFUNCTION("""COMPUTED_VALUE"""),"Active")</f>
        <v>Active</v>
      </c>
      <c r="J53" s="277" t="s">
        <v>301</v>
      </c>
      <c r="K53" s="278" t="s">
        <v>220</v>
      </c>
      <c r="L53" s="279">
        <v>153.0</v>
      </c>
      <c r="M53" s="280">
        <v>0.4583333333333333</v>
      </c>
      <c r="N53" s="281" t="s">
        <v>223</v>
      </c>
      <c r="O53" s="281" t="s">
        <v>293</v>
      </c>
      <c r="P53" s="281" t="s">
        <v>291</v>
      </c>
      <c r="Q53" s="217"/>
      <c r="R53" s="271"/>
      <c r="S53" s="275">
        <v>121.0</v>
      </c>
      <c r="T53" s="275" t="s">
        <v>83</v>
      </c>
      <c r="U53" s="210" t="str">
        <f t="shared" si="1"/>
        <v>Wilson Martinez</v>
      </c>
      <c r="V53" s="211" t="str">
        <f>IFERROR(__xludf.DUMMYFUNCTION("INDEX(FILTER(BvsL!F:F, BvsL!D:D=T53),20)
"),"08:00")</f>
        <v>08:00</v>
      </c>
      <c r="W53" s="212">
        <f t="shared" si="2"/>
        <v>0.7083333333</v>
      </c>
      <c r="X53" s="275" t="str">
        <f t="shared" si="3"/>
        <v>09:15 - 09:30</v>
      </c>
      <c r="Y53" s="275" t="str">
        <f t="shared" si="4"/>
        <v>11:30 - 12:00</v>
      </c>
      <c r="Z53" s="275" t="str">
        <f t="shared" si="5"/>
        <v>14:30 - 14:45</v>
      </c>
      <c r="AA53" s="213">
        <f t="shared" si="6"/>
        <v>30</v>
      </c>
      <c r="AB53" s="214"/>
      <c r="AC53" s="271">
        <v>0.5</v>
      </c>
      <c r="AD53" s="201" t="s">
        <v>304</v>
      </c>
      <c r="AE53" s="201" t="s">
        <v>305</v>
      </c>
      <c r="AF53" s="201" t="s">
        <v>277</v>
      </c>
      <c r="AG53" s="201"/>
      <c r="AH53" s="201"/>
      <c r="AI53" s="201"/>
      <c r="AJ53" s="201"/>
      <c r="AK53" s="201"/>
      <c r="AL53" s="201"/>
    </row>
    <row r="54" ht="22.5" customHeight="1">
      <c r="A54" s="187" t="str">
        <f>IFERROR(__xludf.DUMMYFUNCTION("""COMPUTED_VALUE"""),"Edward Machado")</f>
        <v>Edward Machado</v>
      </c>
      <c r="B54" s="188" t="str">
        <f>IFERROR(__xludf.DUMMYFUNCTION("""COMPUTED_VALUE"""),"Ief Fabre")</f>
        <v>Ief Fabre</v>
      </c>
      <c r="C54" s="189">
        <f>IFERROR(__xludf.DUMMYFUNCTION("""COMPUTED_VALUE"""),45229.0)</f>
        <v>45229</v>
      </c>
      <c r="D54" s="216">
        <f>IFERROR(__xludf.DUMMYFUNCTION("""COMPUTED_VALUE"""),10.0)</f>
        <v>10</v>
      </c>
      <c r="E54" s="187" t="str">
        <f>IFERROR(__xludf.DUMMYFUNCTION("""COMPUTED_VALUE"""),"Tickets")</f>
        <v>Tickets</v>
      </c>
      <c r="F54" s="187" t="str">
        <f>IFERROR(__xludf.DUMMYFUNCTION("""COMPUTED_VALUE"""),"C860")</f>
        <v>C860</v>
      </c>
      <c r="G54" s="185" t="str">
        <f>IFERROR(__xludf.DUMMYFUNCTION("""COMPUTED_VALUE"""),"ief.fabre@buwelo.com")</f>
        <v>ief.fabre@buwelo.com</v>
      </c>
      <c r="H54" s="185" t="str">
        <f>IFERROR(__xludf.DUMMYFUNCTION("""COMPUTED_VALUE"""),"ho.ifabre")</f>
        <v>ho.ifabre</v>
      </c>
      <c r="I54" s="185" t="str">
        <f>IFERROR(__xludf.DUMMYFUNCTION("""COMPUTED_VALUE"""),"Active")</f>
        <v>Active</v>
      </c>
      <c r="J54" s="277" t="s">
        <v>301</v>
      </c>
      <c r="K54" s="278"/>
      <c r="L54" s="279">
        <v>154.0</v>
      </c>
      <c r="M54" s="280">
        <v>0.4583333333333333</v>
      </c>
      <c r="N54" s="281" t="s">
        <v>229</v>
      </c>
      <c r="O54" s="281" t="s">
        <v>294</v>
      </c>
      <c r="P54" s="281" t="s">
        <v>295</v>
      </c>
      <c r="Q54" s="283"/>
      <c r="R54" s="284"/>
      <c r="S54" s="275">
        <v>122.0</v>
      </c>
      <c r="T54" s="275" t="s">
        <v>84</v>
      </c>
      <c r="U54" s="210" t="str">
        <f t="shared" si="1"/>
        <v>Yaidy Mosquera</v>
      </c>
      <c r="V54" s="211" t="str">
        <f>IFERROR(__xludf.DUMMYFUNCTION("INDEX(FILTER(BvsL!F:F, BvsL!D:D=T54),20)
"),"08:00")</f>
        <v>08:00</v>
      </c>
      <c r="W54" s="212">
        <f t="shared" si="2"/>
        <v>0.7083333333</v>
      </c>
      <c r="X54" s="275" t="str">
        <f t="shared" si="3"/>
        <v>09:30 - 09:45</v>
      </c>
      <c r="Y54" s="275" t="str">
        <f t="shared" si="4"/>
        <v>12:00 - 12:30</v>
      </c>
      <c r="Z54" s="275" t="str">
        <f t="shared" si="5"/>
        <v>14:45 - 15:00</v>
      </c>
      <c r="AA54" s="213">
        <f t="shared" si="6"/>
        <v>24</v>
      </c>
      <c r="AB54" s="214"/>
      <c r="AC54" s="284"/>
      <c r="AD54" s="285"/>
      <c r="AE54" s="201"/>
      <c r="AF54" s="201"/>
      <c r="AG54" s="201"/>
      <c r="AH54" s="201"/>
      <c r="AI54" s="201"/>
      <c r="AJ54" s="201"/>
      <c r="AK54" s="201"/>
      <c r="AL54" s="201"/>
    </row>
    <row r="55" ht="22.5" customHeight="1">
      <c r="A55" s="187" t="str">
        <f>IFERROR(__xludf.DUMMYFUNCTION("""COMPUTED_VALUE"""),"Edward Machado")</f>
        <v>Edward Machado</v>
      </c>
      <c r="B55" s="188" t="str">
        <f>IFERROR(__xludf.DUMMYFUNCTION("""COMPUTED_VALUE"""),"Jeampierre Jaramillo")</f>
        <v>Jeampierre Jaramillo</v>
      </c>
      <c r="C55" s="189">
        <f>IFERROR(__xludf.DUMMYFUNCTION("""COMPUTED_VALUE"""),45894.0)</f>
        <v>45894</v>
      </c>
      <c r="D55" s="187">
        <f>IFERROR(__xludf.DUMMYFUNCTION("""COMPUTED_VALUE"""),29.0)</f>
        <v>29</v>
      </c>
      <c r="E55" s="187" t="str">
        <f>IFERROR(__xludf.DUMMYFUNCTION("""COMPUTED_VALUE"""),"Tickets")</f>
        <v>Tickets</v>
      </c>
      <c r="F55" s="187" t="str">
        <f>IFERROR(__xludf.DUMMYFUNCTION("""COMPUTED_VALUE"""),"C1318")</f>
        <v>C1318</v>
      </c>
      <c r="G55" s="185" t="str">
        <f>IFERROR(__xludf.DUMMYFUNCTION("""COMPUTED_VALUE"""),"jeampierre.jaramillo@buwelo.com")</f>
        <v>jeampierre.jaramillo@buwelo.com</v>
      </c>
      <c r="H55" s="185" t="str">
        <f>IFERROR(__xludf.DUMMYFUNCTION("""COMPUTED_VALUE"""),"ho.jjaramillo")</f>
        <v>ho.jjaramillo</v>
      </c>
      <c r="I55" s="185" t="str">
        <f>IFERROR(__xludf.DUMMYFUNCTION("""COMPUTED_VALUE"""),"Active")</f>
        <v>Active</v>
      </c>
      <c r="J55" s="277" t="s">
        <v>301</v>
      </c>
      <c r="K55" s="278"/>
      <c r="L55" s="279">
        <v>155.0</v>
      </c>
      <c r="M55" s="280">
        <v>0.4583333333333333</v>
      </c>
      <c r="N55" s="281" t="s">
        <v>232</v>
      </c>
      <c r="O55" s="281" t="s">
        <v>296</v>
      </c>
      <c r="P55" s="281" t="s">
        <v>297</v>
      </c>
      <c r="Q55" s="283"/>
      <c r="R55" s="284"/>
      <c r="S55" s="275">
        <v>153.0</v>
      </c>
      <c r="T55" s="275" t="s">
        <v>10</v>
      </c>
      <c r="U55" s="210" t="str">
        <f t="shared" si="1"/>
        <v>Alejandro Malave</v>
      </c>
      <c r="V55" s="211" t="str">
        <f>IFERROR(__xludf.DUMMYFUNCTION("INDEX(FILTER(BvsL!F:F, BvsL!D:D=T55),20)
"),"11:00")</f>
        <v>11:00</v>
      </c>
      <c r="W55" s="212">
        <f t="shared" si="2"/>
        <v>0.8333333333</v>
      </c>
      <c r="X55" s="275" t="str">
        <f t="shared" si="3"/>
        <v>12:45 - 13:00</v>
      </c>
      <c r="Y55" s="275" t="str">
        <f t="shared" si="4"/>
        <v>15:00 - 15:30</v>
      </c>
      <c r="Z55" s="275" t="str">
        <f t="shared" si="5"/>
        <v>17:45 - 18:00</v>
      </c>
      <c r="AA55" s="213">
        <f t="shared" si="6"/>
        <v>36</v>
      </c>
      <c r="AB55" s="214"/>
      <c r="AC55" s="284"/>
      <c r="AD55" s="285"/>
      <c r="AF55" s="201"/>
      <c r="AG55" s="201"/>
      <c r="AH55" s="201"/>
      <c r="AI55" s="201"/>
      <c r="AJ55" s="201"/>
      <c r="AK55" s="201"/>
      <c r="AL55" s="201"/>
    </row>
    <row r="56" ht="22.5" customHeight="1">
      <c r="A56" s="187" t="str">
        <f>IFERROR(__xludf.DUMMYFUNCTION("""COMPUTED_VALUE"""),"Edward Machado")</f>
        <v>Edward Machado</v>
      </c>
      <c r="B56" s="188" t="str">
        <f>IFERROR(__xludf.DUMMYFUNCTION("""COMPUTED_VALUE"""),"Jose Perez")</f>
        <v>Jose Perez</v>
      </c>
      <c r="C56" s="189">
        <f>IFERROR(__xludf.DUMMYFUNCTION("""COMPUTED_VALUE"""),45460.0)</f>
        <v>45460</v>
      </c>
      <c r="D56" s="187">
        <f>IFERROR(__xludf.DUMMYFUNCTION("""COMPUTED_VALUE"""),15.0)</f>
        <v>15</v>
      </c>
      <c r="E56" s="187" t="str">
        <f>IFERROR(__xludf.DUMMYFUNCTION("""COMPUTED_VALUE"""),"Tickets")</f>
        <v>Tickets</v>
      </c>
      <c r="F56" s="187" t="str">
        <f>IFERROR(__xludf.DUMMYFUNCTION("""COMPUTED_VALUE"""),"C1027")</f>
        <v>C1027</v>
      </c>
      <c r="G56" s="185" t="str">
        <f>IFERROR(__xludf.DUMMYFUNCTION("""COMPUTED_VALUE"""),"jose.perez@buwelo.com")</f>
        <v>jose.perez@buwelo.com</v>
      </c>
      <c r="H56" s="185" t="str">
        <f>IFERROR(__xludf.DUMMYFUNCTION("""COMPUTED_VALUE"""),"ho.jperez")</f>
        <v>ho.jperez</v>
      </c>
      <c r="I56" s="185" t="str">
        <f>IFERROR(__xludf.DUMMYFUNCTION("""COMPUTED_VALUE"""),"Active")</f>
        <v>Active</v>
      </c>
      <c r="J56" s="277" t="s">
        <v>301</v>
      </c>
      <c r="K56" s="278"/>
      <c r="L56" s="279">
        <v>156.0</v>
      </c>
      <c r="M56" s="280">
        <v>0.4583333333333333</v>
      </c>
      <c r="N56" s="281" t="s">
        <v>235</v>
      </c>
      <c r="O56" s="281" t="s">
        <v>298</v>
      </c>
      <c r="P56" s="281" t="s">
        <v>299</v>
      </c>
      <c r="Q56" s="283"/>
      <c r="R56" s="283"/>
      <c r="S56" s="275">
        <v>154.0</v>
      </c>
      <c r="T56" s="275" t="s">
        <v>20</v>
      </c>
      <c r="U56" s="210" t="str">
        <f t="shared" si="1"/>
        <v>Carlos Alzate</v>
      </c>
      <c r="V56" s="211" t="str">
        <f>IFERROR(__xludf.DUMMYFUNCTION("INDEX(FILTER(BvsL!F:F, BvsL!D:D=T56),21)
"),"11:00")</f>
        <v>11:00</v>
      </c>
      <c r="W56" s="212">
        <f t="shared" si="2"/>
        <v>0.8333333333</v>
      </c>
      <c r="X56" s="275" t="str">
        <f t="shared" si="3"/>
        <v>13:00 - 13:15</v>
      </c>
      <c r="Y56" s="275" t="str">
        <f t="shared" si="4"/>
        <v>15:15 - 15:45</v>
      </c>
      <c r="Z56" s="275" t="str">
        <f t="shared" si="5"/>
        <v>18:00 - 18:15</v>
      </c>
      <c r="AA56" s="213">
        <f t="shared" si="6"/>
        <v>36</v>
      </c>
      <c r="AB56" s="214"/>
      <c r="AC56" s="283"/>
      <c r="AD56" s="285"/>
      <c r="AF56" s="201"/>
      <c r="AG56" s="201"/>
      <c r="AH56" s="201"/>
      <c r="AI56" s="201"/>
      <c r="AJ56" s="201"/>
      <c r="AK56" s="201"/>
      <c r="AL56" s="201"/>
    </row>
    <row r="57" ht="22.5" customHeight="1">
      <c r="A57" s="187" t="str">
        <f>IFERROR(__xludf.DUMMYFUNCTION("""COMPUTED_VALUE"""),"Edward Machado")</f>
        <v>Edward Machado</v>
      </c>
      <c r="B57" s="188" t="str">
        <f>IFERROR(__xludf.DUMMYFUNCTION("""COMPUTED_VALUE"""),"Jose Zapata")</f>
        <v>Jose Zapata</v>
      </c>
      <c r="C57" s="189">
        <f>IFERROR(__xludf.DUMMYFUNCTION("""COMPUTED_VALUE"""),45985.0)</f>
        <v>45985</v>
      </c>
      <c r="D57" s="187">
        <f>IFERROR(__xludf.DUMMYFUNCTION("""COMPUTED_VALUE"""),32.0)</f>
        <v>32</v>
      </c>
      <c r="E57" s="187" t="str">
        <f>IFERROR(__xludf.DUMMYFUNCTION("""COMPUTED_VALUE"""),"Tickets")</f>
        <v>Tickets</v>
      </c>
      <c r="F57" s="187" t="str">
        <f>IFERROR(__xludf.DUMMYFUNCTION("""COMPUTED_VALUE"""),"C1426")</f>
        <v>C1426</v>
      </c>
      <c r="G57" s="185" t="str">
        <f>IFERROR(__xludf.DUMMYFUNCTION("""COMPUTED_VALUE"""),"jose.zapata@buwelo.com")</f>
        <v>jose.zapata@buwelo.com</v>
      </c>
      <c r="H57" s="185" t="str">
        <f>IFERROR(__xludf.DUMMYFUNCTION("""COMPUTED_VALUE"""),"ho.jzapata")</f>
        <v>ho.jzapata</v>
      </c>
      <c r="I57" s="185" t="str">
        <f>IFERROR(__xludf.DUMMYFUNCTION("""COMPUTED_VALUE"""),"Active")</f>
        <v>Active</v>
      </c>
      <c r="J57" s="239"/>
      <c r="K57" s="226"/>
      <c r="L57" s="227"/>
      <c r="M57" s="276"/>
      <c r="N57" s="240"/>
      <c r="O57" s="240"/>
      <c r="P57" s="240"/>
      <c r="Q57" s="283"/>
      <c r="R57" s="283"/>
      <c r="S57" s="275">
        <v>123.0</v>
      </c>
      <c r="T57" s="275" t="s">
        <v>21</v>
      </c>
      <c r="U57" s="210" t="str">
        <f t="shared" si="1"/>
        <v>Carlos Palma</v>
      </c>
      <c r="V57" s="211" t="str">
        <f>IFERROR(__xludf.DUMMYFUNCTION("INDEX(FILTER(BvsL!F:F, BvsL!D:D=T57),20)
"),"08:00")</f>
        <v>08:00</v>
      </c>
      <c r="W57" s="212">
        <f t="shared" si="2"/>
        <v>0.7083333333</v>
      </c>
      <c r="X57" s="275" t="str">
        <f t="shared" si="3"/>
        <v>09:45 - 10:00 </v>
      </c>
      <c r="Y57" s="275" t="str">
        <f t="shared" si="4"/>
        <v>12:30 - 13:00</v>
      </c>
      <c r="Z57" s="275" t="str">
        <f t="shared" si="5"/>
        <v>15:00 - 15:15</v>
      </c>
      <c r="AA57" s="213">
        <f t="shared" si="6"/>
        <v>36</v>
      </c>
      <c r="AB57" s="214"/>
      <c r="AC57" s="283"/>
      <c r="AD57" s="285"/>
      <c r="AF57" s="201"/>
      <c r="AG57" s="201"/>
      <c r="AH57" s="201"/>
      <c r="AI57" s="201"/>
      <c r="AJ57" s="201"/>
      <c r="AK57" s="201"/>
      <c r="AL57" s="201"/>
    </row>
    <row r="58" ht="22.5" customHeight="1">
      <c r="A58" s="187" t="str">
        <f>IFERROR(__xludf.DUMMYFUNCTION("""COMPUTED_VALUE"""),"Edward Machado")</f>
        <v>Edward Machado</v>
      </c>
      <c r="B58" s="188" t="str">
        <f>IFERROR(__xludf.DUMMYFUNCTION("""COMPUTED_VALUE"""),"Juan Durango")</f>
        <v>Juan Durango</v>
      </c>
      <c r="C58" s="189">
        <f>IFERROR(__xludf.DUMMYFUNCTION("""COMPUTED_VALUE"""),45086.0)</f>
        <v>45086</v>
      </c>
      <c r="D58" s="216">
        <f>IFERROR(__xludf.DUMMYFUNCTION("""COMPUTED_VALUE"""),7.0)</f>
        <v>7</v>
      </c>
      <c r="E58" s="187" t="str">
        <f>IFERROR(__xludf.DUMMYFUNCTION("""COMPUTED_VALUE"""),"Tickets")</f>
        <v>Tickets</v>
      </c>
      <c r="F58" s="187" t="str">
        <f>IFERROR(__xludf.DUMMYFUNCTION("""COMPUTED_VALUE"""),"C720")</f>
        <v>C720</v>
      </c>
      <c r="G58" s="185" t="str">
        <f>IFERROR(__xludf.DUMMYFUNCTION("""COMPUTED_VALUE"""),"juan.durango@buwelo.com")</f>
        <v>juan.durango@buwelo.com</v>
      </c>
      <c r="H58" s="185" t="str">
        <f>IFERROR(__xludf.DUMMYFUNCTION("""COMPUTED_VALUE"""),"ho.jdurango")</f>
        <v>ho.jdurango</v>
      </c>
      <c r="I58" s="185" t="str">
        <f>IFERROR(__xludf.DUMMYFUNCTION("""COMPUTED_VALUE"""),"Active")</f>
        <v>Active</v>
      </c>
      <c r="J58" s="286" t="s">
        <v>306</v>
      </c>
      <c r="K58" s="287" t="s">
        <v>220</v>
      </c>
      <c r="L58" s="288">
        <v>161.0</v>
      </c>
      <c r="M58" s="289">
        <v>0.5</v>
      </c>
      <c r="N58" s="290" t="s">
        <v>232</v>
      </c>
      <c r="O58" s="290" t="s">
        <v>300</v>
      </c>
      <c r="P58" s="290" t="s">
        <v>263</v>
      </c>
      <c r="Q58" s="283"/>
      <c r="R58" s="283"/>
      <c r="S58" s="275">
        <v>132.0</v>
      </c>
      <c r="T58" s="275" t="s">
        <v>23</v>
      </c>
      <c r="U58" s="210" t="str">
        <f t="shared" si="1"/>
        <v>Christian Ramirez</v>
      </c>
      <c r="V58" s="211" t="str">
        <f>IFERROR(__xludf.DUMMYFUNCTION("INDEX(FILTER(BvsL!F:F, BvsL!D:D=T58),22)
"),"Free")</f>
        <v>Free</v>
      </c>
      <c r="W58" s="212" t="str">
        <f t="shared" si="2"/>
        <v>#VALUE!</v>
      </c>
      <c r="X58" s="275" t="str">
        <f t="shared" si="3"/>
        <v>10:30 - 10:45</v>
      </c>
      <c r="Y58" s="275" t="str">
        <f t="shared" si="4"/>
        <v>13:00 - 13:30</v>
      </c>
      <c r="Z58" s="275" t="str">
        <f t="shared" si="5"/>
        <v>15:30 - 15:45</v>
      </c>
      <c r="AA58" s="213">
        <f t="shared" si="6"/>
        <v>36</v>
      </c>
      <c r="AB58" s="214"/>
      <c r="AC58" s="283"/>
      <c r="AD58" s="285"/>
      <c r="AF58" s="201"/>
      <c r="AG58" s="201"/>
      <c r="AH58" s="201"/>
      <c r="AI58" s="201"/>
      <c r="AJ58" s="201"/>
      <c r="AK58" s="201"/>
      <c r="AL58" s="201"/>
    </row>
    <row r="59" ht="22.5" customHeight="1">
      <c r="A59" s="187" t="str">
        <f>IFERROR(__xludf.DUMMYFUNCTION("""COMPUTED_VALUE"""),"Edward Machado")</f>
        <v>Edward Machado</v>
      </c>
      <c r="B59" s="188" t="str">
        <f>IFERROR(__xludf.DUMMYFUNCTION("""COMPUTED_VALUE"""),"Juan Restrepo")</f>
        <v>Juan Restrepo</v>
      </c>
      <c r="C59" s="189">
        <f>IFERROR(__xludf.DUMMYFUNCTION("""COMPUTED_VALUE"""),45894.0)</f>
        <v>45894</v>
      </c>
      <c r="D59" s="187">
        <f>IFERROR(__xludf.DUMMYFUNCTION("""COMPUTED_VALUE"""),29.0)</f>
        <v>29</v>
      </c>
      <c r="E59" s="187" t="str">
        <f>IFERROR(__xludf.DUMMYFUNCTION("""COMPUTED_VALUE"""),"Tickets")</f>
        <v>Tickets</v>
      </c>
      <c r="F59" s="187" t="str">
        <f>IFERROR(__xludf.DUMMYFUNCTION("""COMPUTED_VALUE"""),"C1327")</f>
        <v>C1327</v>
      </c>
      <c r="G59" s="185" t="str">
        <f>IFERROR(__xludf.DUMMYFUNCTION("""COMPUTED_VALUE"""),"juan.restrepo@buwelo.com")</f>
        <v>juan.restrepo@buwelo.com</v>
      </c>
      <c r="H59" s="185" t="str">
        <f>IFERROR(__xludf.DUMMYFUNCTION("""COMPUTED_VALUE"""),"ho.jrestrepo")</f>
        <v>ho.jrestrepo</v>
      </c>
      <c r="I59" s="185" t="str">
        <f>IFERROR(__xludf.DUMMYFUNCTION("""COMPUTED_VALUE"""),"Active")</f>
        <v>Active</v>
      </c>
      <c r="J59" s="286" t="s">
        <v>306</v>
      </c>
      <c r="K59" s="287" t="s">
        <v>220</v>
      </c>
      <c r="L59" s="288">
        <v>162.0</v>
      </c>
      <c r="M59" s="289">
        <v>0.5</v>
      </c>
      <c r="N59" s="291" t="s">
        <v>235</v>
      </c>
      <c r="O59" s="291" t="s">
        <v>302</v>
      </c>
      <c r="P59" s="291" t="s">
        <v>266</v>
      </c>
      <c r="Q59" s="16"/>
      <c r="R59" s="16"/>
      <c r="S59" s="275">
        <v>133.0</v>
      </c>
      <c r="T59" s="275" t="s">
        <v>25</v>
      </c>
      <c r="U59" s="210" t="str">
        <f t="shared" si="1"/>
        <v>Daniel Barrientos</v>
      </c>
      <c r="V59" s="211" t="str">
        <f>IFERROR(__xludf.DUMMYFUNCTION("INDEX(FILTER(BvsL!F:F, BvsL!D:D=T59),20)
"),"09:00")</f>
        <v>09:00</v>
      </c>
      <c r="W59" s="212">
        <f t="shared" si="2"/>
        <v>0.75</v>
      </c>
      <c r="X59" s="275" t="str">
        <f t="shared" si="3"/>
        <v>10:45 - 11:00 </v>
      </c>
      <c r="Y59" s="275" t="str">
        <f t="shared" si="4"/>
        <v>13:30 - 14:00</v>
      </c>
      <c r="Z59" s="275" t="str">
        <f t="shared" si="5"/>
        <v>15:45 - 16:00</v>
      </c>
      <c r="AA59" s="213">
        <f t="shared" si="6"/>
        <v>36</v>
      </c>
      <c r="AB59" s="214"/>
      <c r="AC59" s="16"/>
      <c r="AD59" s="185"/>
      <c r="AE59" s="201"/>
      <c r="AF59" s="201"/>
      <c r="AG59" s="201"/>
      <c r="AH59" s="201"/>
      <c r="AI59" s="201"/>
      <c r="AJ59" s="201"/>
      <c r="AK59" s="201"/>
      <c r="AL59" s="201"/>
    </row>
    <row r="60" ht="22.5" customHeight="1">
      <c r="A60" s="187" t="str">
        <f>IFERROR(__xludf.DUMMYFUNCTION("""COMPUTED_VALUE"""),"Edward Machado")</f>
        <v>Edward Machado</v>
      </c>
      <c r="B60" s="188" t="str">
        <f>IFERROR(__xludf.DUMMYFUNCTION("""COMPUTED_VALUE"""),"Juan Suarez")</f>
        <v>Juan Suarez</v>
      </c>
      <c r="C60" s="236">
        <f>IFERROR(__xludf.DUMMYFUNCTION("""COMPUTED_VALUE"""),45112.0)</f>
        <v>45112</v>
      </c>
      <c r="D60" s="216">
        <f>IFERROR(__xludf.DUMMYFUNCTION("""COMPUTED_VALUE"""),8.0)</f>
        <v>8</v>
      </c>
      <c r="E60" s="187" t="str">
        <f>IFERROR(__xludf.DUMMYFUNCTION("""COMPUTED_VALUE"""),"Tickets")</f>
        <v>Tickets</v>
      </c>
      <c r="F60" s="187" t="str">
        <f>IFERROR(__xludf.DUMMYFUNCTION("""COMPUTED_VALUE"""),"C743")</f>
        <v>C743</v>
      </c>
      <c r="G60" s="185" t="str">
        <f>IFERROR(__xludf.DUMMYFUNCTION("""COMPUTED_VALUE"""),"juan.suarez@buwelo.com")</f>
        <v>juan.suarez@buwelo.com</v>
      </c>
      <c r="H60" s="185" t="str">
        <f>IFERROR(__xludf.DUMMYFUNCTION("""COMPUTED_VALUE"""),"ho.jsuarez")</f>
        <v>ho.jsuarez</v>
      </c>
      <c r="I60" s="185" t="str">
        <f>IFERROR(__xludf.DUMMYFUNCTION("""COMPUTED_VALUE"""),"Active")</f>
        <v>Active</v>
      </c>
      <c r="J60" s="286" t="s">
        <v>306</v>
      </c>
      <c r="K60" s="287" t="s">
        <v>220</v>
      </c>
      <c r="L60" s="288">
        <v>163.0</v>
      </c>
      <c r="M60" s="289">
        <v>0.5</v>
      </c>
      <c r="N60" s="290" t="s">
        <v>238</v>
      </c>
      <c r="O60" s="290" t="s">
        <v>303</v>
      </c>
      <c r="P60" s="290" t="s">
        <v>272</v>
      </c>
      <c r="S60" s="275">
        <v>155.0</v>
      </c>
      <c r="T60" s="275" t="s">
        <v>33</v>
      </c>
      <c r="U60" s="210" t="str">
        <f t="shared" si="1"/>
        <v>Gisel Moya</v>
      </c>
      <c r="V60" s="211" t="str">
        <f>IFERROR(__xludf.DUMMYFUNCTION("INDEX(FILTER(BvsL!F:F, BvsL!D:D=T60),20)
"),"11:00")</f>
        <v>11:00</v>
      </c>
      <c r="W60" s="212">
        <f t="shared" si="2"/>
        <v>0.8333333333</v>
      </c>
      <c r="X60" s="275" t="str">
        <f t="shared" si="3"/>
        <v>13:15 - 13:30</v>
      </c>
      <c r="Y60" s="275" t="str">
        <f t="shared" si="4"/>
        <v>15:45 - 16:15</v>
      </c>
      <c r="Z60" s="275" t="str">
        <f t="shared" si="5"/>
        <v>18:15 - 18:30</v>
      </c>
      <c r="AA60" s="213">
        <f t="shared" si="6"/>
        <v>36</v>
      </c>
      <c r="AB60" s="2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22.5" customHeight="1">
      <c r="A61" s="187" t="str">
        <f>IFERROR(__xludf.DUMMYFUNCTION("""COMPUTED_VALUE"""),"Edward Machado")</f>
        <v>Edward Machado</v>
      </c>
      <c r="B61" s="188" t="str">
        <f>IFERROR(__xludf.DUMMYFUNCTION("""COMPUTED_VALUE"""),"Luisa Arenas")</f>
        <v>Luisa Arenas</v>
      </c>
      <c r="C61" s="189">
        <f>IFERROR(__xludf.DUMMYFUNCTION("""COMPUTED_VALUE"""),46062.0)</f>
        <v>46062</v>
      </c>
      <c r="D61" s="187">
        <f>IFERROR(__xludf.DUMMYFUNCTION("""COMPUTED_VALUE"""),35.0)</f>
        <v>35</v>
      </c>
      <c r="E61" s="187" t="str">
        <f>IFERROR(__xludf.DUMMYFUNCTION("""COMPUTED_VALUE"""),"Tickets")</f>
        <v>Tickets</v>
      </c>
      <c r="F61" s="187" t="str">
        <f>IFERROR(__xludf.DUMMYFUNCTION("""COMPUTED_VALUE"""),"C538")</f>
        <v>C538</v>
      </c>
      <c r="G61" s="185" t="str">
        <f>IFERROR(__xludf.DUMMYFUNCTION("""COMPUTED_VALUE"""),"luisa.arenas@buwelo.com")</f>
        <v>luisa.arenas@buwelo.com</v>
      </c>
      <c r="H61" s="185" t="str">
        <f>IFERROR(__xludf.DUMMYFUNCTION("""COMPUTED_VALUE"""),"ho.larenas")</f>
        <v>ho.larenas</v>
      </c>
      <c r="I61" s="185" t="str">
        <f>IFERROR(__xludf.DUMMYFUNCTION("""COMPUTED_VALUE"""),"Active")</f>
        <v>Active</v>
      </c>
      <c r="J61" s="286" t="s">
        <v>306</v>
      </c>
      <c r="K61" s="292"/>
      <c r="L61" s="293">
        <v>164.0</v>
      </c>
      <c r="M61" s="289">
        <v>0.5</v>
      </c>
      <c r="N61" s="290" t="s">
        <v>304</v>
      </c>
      <c r="O61" s="290" t="s">
        <v>305</v>
      </c>
      <c r="P61" s="290" t="s">
        <v>277</v>
      </c>
      <c r="S61" s="209">
        <v>134.0</v>
      </c>
      <c r="T61" s="275" t="s">
        <v>40</v>
      </c>
      <c r="U61" s="210" t="str">
        <f t="shared" si="1"/>
        <v>John Palacio</v>
      </c>
      <c r="V61" s="211" t="str">
        <f>IFERROR(__xludf.DUMMYFUNCTION("INDEX(FILTER(BvsL!F:F, BvsL!D:D=T61),20)
"),"09:00")</f>
        <v>09:00</v>
      </c>
      <c r="W61" s="212">
        <f t="shared" si="2"/>
        <v>0.75</v>
      </c>
      <c r="X61" s="275" t="str">
        <f t="shared" si="3"/>
        <v>11:00 - 11:15</v>
      </c>
      <c r="Y61" s="275" t="str">
        <f t="shared" si="4"/>
        <v>13:45 - 14:15</v>
      </c>
      <c r="Z61" s="275" t="str">
        <f t="shared" si="5"/>
        <v>16:00 - 16:15</v>
      </c>
      <c r="AA61" s="213">
        <f t="shared" si="6"/>
        <v>36</v>
      </c>
      <c r="AB61" s="214"/>
      <c r="AD61" s="14"/>
      <c r="AE61" s="14"/>
      <c r="AF61" s="14"/>
      <c r="AG61" s="14"/>
      <c r="AH61" s="14"/>
      <c r="AI61" s="14"/>
      <c r="AJ61" s="14"/>
      <c r="AK61" s="14"/>
      <c r="AL61" s="14"/>
    </row>
    <row r="62" ht="22.5" customHeight="1">
      <c r="A62" s="187" t="str">
        <f>IFERROR(__xludf.DUMMYFUNCTION("""COMPUTED_VALUE"""),"Edward Machado")</f>
        <v>Edward Machado</v>
      </c>
      <c r="B62" s="188" t="str">
        <f>IFERROR(__xludf.DUMMYFUNCTION("""COMPUTED_VALUE"""),"Mateo Agudelo")</f>
        <v>Mateo Agudelo</v>
      </c>
      <c r="C62" s="189">
        <f>IFERROR(__xludf.DUMMYFUNCTION("""COMPUTED_VALUE"""),45112.0)</f>
        <v>45112</v>
      </c>
      <c r="D62" s="216">
        <f>IFERROR(__xludf.DUMMYFUNCTION("""COMPUTED_VALUE"""),8.0)</f>
        <v>8</v>
      </c>
      <c r="E62" s="187" t="str">
        <f>IFERROR(__xludf.DUMMYFUNCTION("""COMPUTED_VALUE"""),"Tickets")</f>
        <v>Tickets</v>
      </c>
      <c r="F62" s="187" t="str">
        <f>IFERROR(__xludf.DUMMYFUNCTION("""COMPUTED_VALUE"""),"C740")</f>
        <v>C740</v>
      </c>
      <c r="G62" s="185" t="str">
        <f>IFERROR(__xludf.DUMMYFUNCTION("""COMPUTED_VALUE"""),"mateo.agudelo@buwelo.com")</f>
        <v>mateo.agudelo@buwelo.com</v>
      </c>
      <c r="H62" s="185" t="str">
        <f>IFERROR(__xludf.DUMMYFUNCTION("""COMPUTED_VALUE"""),"ho.magudelo")</f>
        <v>ho.magudelo</v>
      </c>
      <c r="I62" s="185" t="str">
        <f>IFERROR(__xludf.DUMMYFUNCTION("""COMPUTED_VALUE"""),"Active")</f>
        <v>Active</v>
      </c>
      <c r="J62" s="286" t="s">
        <v>306</v>
      </c>
      <c r="K62" s="292"/>
      <c r="L62" s="293">
        <v>165.0</v>
      </c>
      <c r="M62" s="289">
        <v>0.5</v>
      </c>
      <c r="N62" s="291" t="s">
        <v>232</v>
      </c>
      <c r="O62" s="291" t="s">
        <v>300</v>
      </c>
      <c r="P62" s="291" t="s">
        <v>263</v>
      </c>
      <c r="Q62" s="16"/>
      <c r="R62" s="16"/>
      <c r="S62" s="275">
        <v>124.0</v>
      </c>
      <c r="T62" s="275" t="s">
        <v>41</v>
      </c>
      <c r="U62" s="210" t="str">
        <f t="shared" si="1"/>
        <v>Johny Garcia</v>
      </c>
      <c r="V62" s="211" t="str">
        <f>IFERROR(__xludf.DUMMYFUNCTION("INDEX(FILTER(BvsL!F:F, BvsL!D:D=T62),20)
"),"08:00")</f>
        <v>08:00</v>
      </c>
      <c r="W62" s="212">
        <f t="shared" si="2"/>
        <v>0.7083333333</v>
      </c>
      <c r="X62" s="275" t="str">
        <f t="shared" si="3"/>
        <v>10:00 - 10:15</v>
      </c>
      <c r="Y62" s="275" t="str">
        <f t="shared" si="4"/>
        <v>13:00 - 13:30</v>
      </c>
      <c r="Z62" s="275" t="str">
        <f t="shared" si="5"/>
        <v>15:30 - 15:45</v>
      </c>
      <c r="AA62" s="213">
        <f t="shared" si="6"/>
        <v>36</v>
      </c>
      <c r="AB62" s="214"/>
      <c r="AC62" s="16"/>
      <c r="AD62" s="185"/>
      <c r="AE62" s="185"/>
      <c r="AF62" s="14"/>
      <c r="AG62" s="14"/>
      <c r="AH62" s="14"/>
      <c r="AI62" s="14"/>
      <c r="AJ62" s="14"/>
      <c r="AK62" s="14"/>
      <c r="AL62" s="14"/>
    </row>
    <row r="63" ht="22.5" customHeight="1">
      <c r="A63" s="187" t="str">
        <f>IFERROR(__xludf.DUMMYFUNCTION("""COMPUTED_VALUE"""),"Edward Machado")</f>
        <v>Edward Machado</v>
      </c>
      <c r="B63" s="188" t="str">
        <f>IFERROR(__xludf.DUMMYFUNCTION("""COMPUTED_VALUE"""),"Nelson Londono")</f>
        <v>Nelson Londono</v>
      </c>
      <c r="C63" s="189">
        <f>IFERROR(__xludf.DUMMYFUNCTION("""COMPUTED_VALUE"""),44953.0)</f>
        <v>44953</v>
      </c>
      <c r="D63" s="187">
        <f>IFERROR(__xludf.DUMMYFUNCTION("""COMPUTED_VALUE"""),2.0)</f>
        <v>2</v>
      </c>
      <c r="E63" s="187" t="str">
        <f>IFERROR(__xludf.DUMMYFUNCTION("""COMPUTED_VALUE"""),"Tickets")</f>
        <v>Tickets</v>
      </c>
      <c r="F63" s="187" t="str">
        <f>IFERROR(__xludf.DUMMYFUNCTION("""COMPUTED_VALUE"""),"C556")</f>
        <v>C556</v>
      </c>
      <c r="G63" s="185" t="str">
        <f>IFERROR(__xludf.DUMMYFUNCTION("""COMPUTED_VALUE"""),"nelson.londono@buwelo.com")</f>
        <v>nelson.londono@buwelo.com</v>
      </c>
      <c r="H63" s="185" t="str">
        <f>IFERROR(__xludf.DUMMYFUNCTION("""COMPUTED_VALUE"""),"ho.nlondono")</f>
        <v>ho.nlondono</v>
      </c>
      <c r="I63" s="185" t="str">
        <f>IFERROR(__xludf.DUMMYFUNCTION("""COMPUTED_VALUE"""),"Active")</f>
        <v>Active</v>
      </c>
      <c r="J63" s="286" t="s">
        <v>306</v>
      </c>
      <c r="K63" s="292"/>
      <c r="L63" s="293">
        <v>166.0</v>
      </c>
      <c r="M63" s="289">
        <v>0.5416666666666666</v>
      </c>
      <c r="N63" s="290" t="s">
        <v>235</v>
      </c>
      <c r="O63" s="290" t="s">
        <v>302</v>
      </c>
      <c r="P63" s="290" t="s">
        <v>266</v>
      </c>
      <c r="Q63" s="16"/>
      <c r="R63" s="16"/>
      <c r="S63" s="209">
        <v>125.0</v>
      </c>
      <c r="T63" s="275" t="s">
        <v>43</v>
      </c>
      <c r="U63" s="210" t="str">
        <f t="shared" si="1"/>
        <v>Juan Barrera</v>
      </c>
      <c r="V63" s="211" t="str">
        <f>IFERROR(__xludf.DUMMYFUNCTION("INDEX(FILTER(BvsL!F:F, BvsL!D:D=T63),20)
"),"08:00")</f>
        <v>08:00</v>
      </c>
      <c r="W63" s="212">
        <f t="shared" si="2"/>
        <v>0.7083333333</v>
      </c>
      <c r="X63" s="275" t="str">
        <f t="shared" si="3"/>
        <v>10:30 - 10:45</v>
      </c>
      <c r="Y63" s="275" t="str">
        <f t="shared" si="4"/>
        <v>13:30 - 14:00</v>
      </c>
      <c r="Z63" s="275" t="str">
        <f t="shared" si="5"/>
        <v>15:45 - 16:00</v>
      </c>
      <c r="AA63" s="213">
        <f t="shared" si="6"/>
        <v>36</v>
      </c>
      <c r="AB63" s="214"/>
      <c r="AC63" s="16"/>
      <c r="AD63" s="294"/>
      <c r="AE63" s="215"/>
      <c r="AF63" s="215"/>
      <c r="AG63" s="215"/>
      <c r="AH63" s="215"/>
      <c r="AI63" s="215"/>
      <c r="AJ63" s="215"/>
      <c r="AK63" s="215"/>
      <c r="AL63" s="215"/>
    </row>
    <row r="64" ht="22.5" customHeight="1">
      <c r="A64" s="187" t="str">
        <f>IFERROR(__xludf.DUMMYFUNCTION("""COMPUTED_VALUE"""),"Edward Machado")</f>
        <v>Edward Machado</v>
      </c>
      <c r="B64" s="188" t="str">
        <f>IFERROR(__xludf.DUMMYFUNCTION("""COMPUTED_VALUE"""),"Samuel Acevedo")</f>
        <v>Samuel Acevedo</v>
      </c>
      <c r="C64" s="236">
        <f>IFERROR(__xludf.DUMMYFUNCTION("""COMPUTED_VALUE"""),45845.0)</f>
        <v>45845</v>
      </c>
      <c r="D64" s="216">
        <f>IFERROR(__xludf.DUMMYFUNCTION("""COMPUTED_VALUE"""),27.0)</f>
        <v>27</v>
      </c>
      <c r="E64" s="187" t="str">
        <f>IFERROR(__xludf.DUMMYFUNCTION("""COMPUTED_VALUE"""),"Tickets")</f>
        <v>Tickets</v>
      </c>
      <c r="F64" s="187" t="str">
        <f>IFERROR(__xludf.DUMMYFUNCTION("""COMPUTED_VALUE"""),"C1282")</f>
        <v>C1282</v>
      </c>
      <c r="G64" s="185" t="str">
        <f>IFERROR(__xludf.DUMMYFUNCTION("""COMPUTED_VALUE"""),"samuel.acevedo@buwelo.com")</f>
        <v>samuel.acevedo@buwelo.com</v>
      </c>
      <c r="H64" s="185" t="str">
        <f>IFERROR(__xludf.DUMMYFUNCTION("""COMPUTED_VALUE"""),"ho.sacevedo")</f>
        <v>ho.sacevedo</v>
      </c>
      <c r="I64" s="185" t="str">
        <f>IFERROR(__xludf.DUMMYFUNCTION("""COMPUTED_VALUE"""),"Active")</f>
        <v>Active</v>
      </c>
      <c r="J64" s="179"/>
      <c r="K64" s="180"/>
      <c r="L64" s="295"/>
      <c r="M64" s="257"/>
      <c r="N64" s="256"/>
      <c r="O64" s="256"/>
      <c r="P64" s="256"/>
      <c r="Q64" s="16"/>
      <c r="R64" s="16"/>
      <c r="S64" s="275">
        <v>126.0</v>
      </c>
      <c r="T64" s="275" t="s">
        <v>59</v>
      </c>
      <c r="U64" s="210" t="str">
        <f t="shared" si="1"/>
        <v>Luis Munoz</v>
      </c>
      <c r="V64" s="211" t="str">
        <f>IFERROR(__xludf.DUMMYFUNCTION("INDEX(FILTER(BvsL!F:F, BvsL!D:D=T64),20)
"),"08:00")</f>
        <v>08:00</v>
      </c>
      <c r="W64" s="212">
        <f t="shared" si="2"/>
        <v>0.7083333333</v>
      </c>
      <c r="X64" s="275" t="str">
        <f t="shared" si="3"/>
        <v>10:45 - 11:00</v>
      </c>
      <c r="Y64" s="275" t="str">
        <f t="shared" si="4"/>
        <v>14:00 - 14:30</v>
      </c>
      <c r="Z64" s="275" t="str">
        <f t="shared" si="5"/>
        <v>15:45 - 16:00</v>
      </c>
      <c r="AA64" s="213">
        <f t="shared" si="6"/>
        <v>36</v>
      </c>
      <c r="AB64" s="214"/>
      <c r="AC64" s="16"/>
      <c r="AD64" s="201"/>
      <c r="AE64" s="201"/>
      <c r="AF64" s="201"/>
      <c r="AG64" s="201"/>
      <c r="AH64" s="201"/>
      <c r="AI64" s="201"/>
      <c r="AJ64" s="201"/>
      <c r="AK64" s="201"/>
      <c r="AL64" s="201"/>
    </row>
    <row r="65" ht="22.5" customHeight="1">
      <c r="A65" s="187" t="str">
        <f>IFERROR(__xludf.DUMMYFUNCTION("""COMPUTED_VALUE"""),"Edward Machado")</f>
        <v>Edward Machado</v>
      </c>
      <c r="B65" s="188" t="str">
        <f>IFERROR(__xludf.DUMMYFUNCTION("""COMPUTED_VALUE"""),"Sebastian Parra")</f>
        <v>Sebastian Parra</v>
      </c>
      <c r="C65" s="236">
        <f>IFERROR(__xludf.DUMMYFUNCTION("""COMPUTED_VALUE"""),45086.0)</f>
        <v>45086</v>
      </c>
      <c r="D65" s="216">
        <f>IFERROR(__xludf.DUMMYFUNCTION("""COMPUTED_VALUE"""),7.0)</f>
        <v>7</v>
      </c>
      <c r="E65" s="187" t="str">
        <f>IFERROR(__xludf.DUMMYFUNCTION("""COMPUTED_VALUE"""),"Tickets")</f>
        <v>Tickets</v>
      </c>
      <c r="F65" s="187" t="str">
        <f>IFERROR(__xludf.DUMMYFUNCTION("""COMPUTED_VALUE"""),"C723")</f>
        <v>C723</v>
      </c>
      <c r="G65" s="185" t="str">
        <f>IFERROR(__xludf.DUMMYFUNCTION("""COMPUTED_VALUE"""),"sebastian.parra@buwelo.com")</f>
        <v>sebastian.parra@buwelo.com</v>
      </c>
      <c r="H65" s="185" t="str">
        <f>IFERROR(__xludf.DUMMYFUNCTION("""COMPUTED_VALUE"""),"ho.sparra")</f>
        <v>ho.sparra</v>
      </c>
      <c r="I65" s="185" t="str">
        <f>IFERROR(__xludf.DUMMYFUNCTION("""COMPUTED_VALUE"""),"Active")</f>
        <v>Active</v>
      </c>
      <c r="J65" s="179"/>
      <c r="K65" s="180"/>
      <c r="L65" s="180"/>
      <c r="M65" s="180"/>
      <c r="N65" s="256"/>
      <c r="O65" s="256"/>
      <c r="P65" s="256"/>
      <c r="S65" s="275">
        <v>121.0</v>
      </c>
      <c r="T65" s="275" t="s">
        <v>63</v>
      </c>
      <c r="U65" s="210" t="str">
        <f t="shared" si="1"/>
        <v>Maria Mesa</v>
      </c>
      <c r="V65" s="211" t="str">
        <f>IFERROR(__xludf.DUMMYFUNCTION("INDEX(FILTER(BvsL!F:F, BvsL!D:D=T65),20)
"),"08:00")</f>
        <v>08:00</v>
      </c>
      <c r="W65" s="212">
        <f t="shared" si="2"/>
        <v>0.7083333333</v>
      </c>
      <c r="X65" s="275" t="str">
        <f t="shared" si="3"/>
        <v>09:15 - 09:30</v>
      </c>
      <c r="Y65" s="275" t="str">
        <f t="shared" si="4"/>
        <v>11:30 - 12:00</v>
      </c>
      <c r="Z65" s="275" t="str">
        <f t="shared" si="5"/>
        <v>14:30 - 14:45</v>
      </c>
      <c r="AA65" s="213">
        <f t="shared" si="6"/>
        <v>36</v>
      </c>
      <c r="AB65" s="214"/>
      <c r="AD65" s="296"/>
      <c r="AE65" s="201"/>
      <c r="AF65" s="201"/>
      <c r="AG65" s="201"/>
      <c r="AH65" s="201"/>
      <c r="AI65" s="201"/>
      <c r="AJ65" s="201"/>
      <c r="AK65" s="201"/>
      <c r="AL65" s="201"/>
    </row>
    <row r="66" ht="22.5" customHeight="1">
      <c r="A66" s="187" t="str">
        <f>IFERROR(__xludf.DUMMYFUNCTION("""COMPUTED_VALUE"""),"Edward Machado")</f>
        <v>Edward Machado</v>
      </c>
      <c r="B66" s="188" t="str">
        <f>IFERROR(__xludf.DUMMYFUNCTION("""COMPUTED_VALUE"""),"Sebastian Torres")</f>
        <v>Sebastian Torres</v>
      </c>
      <c r="C66" s="189">
        <f>IFERROR(__xludf.DUMMYFUNCTION("""COMPUTED_VALUE"""),45112.0)</f>
        <v>45112</v>
      </c>
      <c r="D66" s="187">
        <f>IFERROR(__xludf.DUMMYFUNCTION("""COMPUTED_VALUE"""),8.0)</f>
        <v>8</v>
      </c>
      <c r="E66" s="187" t="str">
        <f>IFERROR(__xludf.DUMMYFUNCTION("""COMPUTED_VALUE"""),"Tickets")</f>
        <v>Tickets</v>
      </c>
      <c r="F66" s="187" t="str">
        <f>IFERROR(__xludf.DUMMYFUNCTION("""COMPUTED_VALUE"""),"C602")</f>
        <v>C602</v>
      </c>
      <c r="G66" s="185" t="str">
        <f>IFERROR(__xludf.DUMMYFUNCTION("""COMPUTED_VALUE"""),"sebastian.torres@buwelo.com")</f>
        <v>sebastian.torres@buwelo.com</v>
      </c>
      <c r="H66" s="185" t="str">
        <f>IFERROR(__xludf.DUMMYFUNCTION("""COMPUTED_VALUE"""),"ho.storres")</f>
        <v>ho.storres</v>
      </c>
      <c r="I66" s="185" t="str">
        <f>IFERROR(__xludf.DUMMYFUNCTION("""COMPUTED_VALUE"""),"Active")</f>
        <v>Active</v>
      </c>
      <c r="J66" s="179"/>
      <c r="K66" s="180"/>
      <c r="L66" s="256"/>
      <c r="M66" s="257"/>
      <c r="N66" s="297"/>
      <c r="O66" s="295"/>
      <c r="P66" s="295"/>
      <c r="S66" s="275">
        <v>151.0</v>
      </c>
      <c r="T66" s="275" t="s">
        <v>68</v>
      </c>
      <c r="U66" s="210" t="str">
        <f t="shared" si="1"/>
        <v>Oscar Roldan</v>
      </c>
      <c r="V66" s="211" t="str">
        <f>IFERROR(__xludf.DUMMYFUNCTION("INDEX(FILTER(BvsL!F:F, BvsL!D:D=T66),20)
"),"11:00")</f>
        <v>11:00</v>
      </c>
      <c r="W66" s="212">
        <f t="shared" si="2"/>
        <v>0.8333333333</v>
      </c>
      <c r="X66" s="275" t="str">
        <f t="shared" si="3"/>
        <v>12:15 - 12:30</v>
      </c>
      <c r="Y66" s="275" t="str">
        <f t="shared" si="4"/>
        <v>14:00 - 14:30</v>
      </c>
      <c r="Z66" s="275" t="str">
        <f t="shared" si="5"/>
        <v>17:15 - 17:30</v>
      </c>
      <c r="AA66" s="213">
        <f t="shared" si="6"/>
        <v>36</v>
      </c>
      <c r="AB66" s="214"/>
      <c r="AD66" s="296"/>
      <c r="AE66" s="201"/>
      <c r="AF66" s="201"/>
      <c r="AG66" s="201"/>
      <c r="AH66" s="201"/>
      <c r="AI66" s="201"/>
      <c r="AJ66" s="201"/>
      <c r="AK66" s="201"/>
      <c r="AL66" s="201"/>
    </row>
    <row r="67" ht="22.5" customHeight="1">
      <c r="A67" s="187" t="str">
        <f>IFERROR(__xludf.DUMMYFUNCTION("""COMPUTED_VALUE"""),"Luis Vidal")</f>
        <v>Luis Vidal</v>
      </c>
      <c r="B67" s="188" t="str">
        <f>IFERROR(__xludf.DUMMYFUNCTION("""COMPUTED_VALUE"""),"Ana Ruiz")</f>
        <v>Ana Ruiz</v>
      </c>
      <c r="C67" s="236">
        <f>IFERROR(__xludf.DUMMYFUNCTION("""COMPUTED_VALUE"""),44970.0)</f>
        <v>44970</v>
      </c>
      <c r="D67" s="216">
        <f>IFERROR(__xludf.DUMMYFUNCTION("""COMPUTED_VALUE"""),3.0)</f>
        <v>3</v>
      </c>
      <c r="E67" s="187" t="str">
        <f>IFERROR(__xludf.DUMMYFUNCTION("""COMPUTED_VALUE"""),"Tickets")</f>
        <v>Tickets</v>
      </c>
      <c r="F67" s="187" t="str">
        <f>IFERROR(__xludf.DUMMYFUNCTION("""COMPUTED_VALUE"""),"C469")</f>
        <v>C469</v>
      </c>
      <c r="G67" s="185" t="str">
        <f>IFERROR(__xludf.DUMMYFUNCTION("""COMPUTED_VALUE"""),"ana.ruiz@buwelo.com")</f>
        <v>ana.ruiz@buwelo.com</v>
      </c>
      <c r="H67" s="185" t="str">
        <f>IFERROR(__xludf.DUMMYFUNCTION("""COMPUTED_VALUE"""),"ho.aruiz")</f>
        <v>ho.aruiz</v>
      </c>
      <c r="I67" s="185" t="str">
        <f>IFERROR(__xludf.DUMMYFUNCTION("""COMPUTED_VALUE"""),"Active")</f>
        <v>Active</v>
      </c>
      <c r="J67" s="298"/>
      <c r="K67" s="283"/>
      <c r="L67" s="299"/>
      <c r="M67" s="300"/>
      <c r="N67" s="301"/>
      <c r="O67" s="302"/>
      <c r="P67" s="302"/>
      <c r="S67" s="275">
        <v>122.0</v>
      </c>
      <c r="T67" s="275" t="s">
        <v>78</v>
      </c>
      <c r="U67" s="210" t="str">
        <f t="shared" si="1"/>
        <v>Tomas Perez</v>
      </c>
      <c r="V67" s="211" t="str">
        <f>IFERROR(__xludf.DUMMYFUNCTION("INDEX(FILTER(BvsL!F:F, BvsL!D:D=T67),21)
"),"08:00")</f>
        <v>08:00</v>
      </c>
      <c r="W67" s="212">
        <f t="shared" si="2"/>
        <v>0.7083333333</v>
      </c>
      <c r="X67" s="275" t="str">
        <f t="shared" si="3"/>
        <v>09:30 - 09:45</v>
      </c>
      <c r="Y67" s="275" t="str">
        <f t="shared" si="4"/>
        <v>12:00 - 12:30</v>
      </c>
      <c r="Z67" s="275" t="str">
        <f t="shared" si="5"/>
        <v>14:45 - 15:00</v>
      </c>
      <c r="AA67" s="213">
        <f t="shared" si="6"/>
        <v>36</v>
      </c>
      <c r="AB67" s="214"/>
      <c r="AD67" s="296"/>
      <c r="AE67" s="201"/>
      <c r="AF67" s="201"/>
      <c r="AG67" s="201"/>
      <c r="AH67" s="201"/>
      <c r="AI67" s="201"/>
      <c r="AJ67" s="201"/>
      <c r="AK67" s="201"/>
      <c r="AL67" s="201"/>
    </row>
    <row r="68" ht="22.5" customHeight="1">
      <c r="A68" s="187" t="str">
        <f>IFERROR(__xludf.DUMMYFUNCTION("""COMPUTED_VALUE"""),"Luis Vidal")</f>
        <v>Luis Vidal</v>
      </c>
      <c r="B68" s="188" t="str">
        <f>IFERROR(__xludf.DUMMYFUNCTION("""COMPUTED_VALUE"""),"Angie Rua")</f>
        <v>Angie Rua</v>
      </c>
      <c r="C68" s="236">
        <f>IFERROR(__xludf.DUMMYFUNCTION("""COMPUTED_VALUE"""),45719.0)</f>
        <v>45719</v>
      </c>
      <c r="D68" s="216">
        <f>IFERROR(__xludf.DUMMYFUNCTION("""COMPUTED_VALUE"""),24.0)</f>
        <v>24</v>
      </c>
      <c r="E68" s="187" t="str">
        <f>IFERROR(__xludf.DUMMYFUNCTION("""COMPUTED_VALUE"""),"Tickets")</f>
        <v>Tickets</v>
      </c>
      <c r="F68" s="187" t="str">
        <f>IFERROR(__xludf.DUMMYFUNCTION("""COMPUTED_VALUE"""),"C1167")</f>
        <v>C1167</v>
      </c>
      <c r="G68" s="185" t="str">
        <f>IFERROR(__xludf.DUMMYFUNCTION("""COMPUTED_VALUE"""),"angie.rua@buwelo.com")</f>
        <v>angie.rua@buwelo.com</v>
      </c>
      <c r="H68" s="185" t="str">
        <f>IFERROR(__xludf.DUMMYFUNCTION("""COMPUTED_VALUE"""),"ho.arua")</f>
        <v>ho.arua</v>
      </c>
      <c r="I68" s="185" t="str">
        <f>IFERROR(__xludf.DUMMYFUNCTION("""COMPUTED_VALUE"""),"Active")</f>
        <v>Active</v>
      </c>
      <c r="J68" s="298"/>
      <c r="K68" s="283"/>
      <c r="L68" s="299">
        <v>500.0</v>
      </c>
      <c r="M68" s="300"/>
      <c r="N68" s="299" t="s">
        <v>132</v>
      </c>
      <c r="O68" s="299" t="s">
        <v>132</v>
      </c>
      <c r="P68" s="302"/>
      <c r="S68" s="275">
        <v>135.0</v>
      </c>
      <c r="T68" s="275" t="s">
        <v>82</v>
      </c>
      <c r="U68" s="210" t="str">
        <f t="shared" si="1"/>
        <v>William Florez</v>
      </c>
      <c r="V68" s="211" t="str">
        <f>IFERROR(__xludf.DUMMYFUNCTION("INDEX(FILTER(BvsL!F:F, BvsL!D:D=T68),20)
"),"09:00")</f>
        <v>09:00</v>
      </c>
      <c r="W68" s="212">
        <f t="shared" si="2"/>
        <v>0.75</v>
      </c>
      <c r="X68" s="275" t="str">
        <f t="shared" si="3"/>
        <v>11:15 - 11:30</v>
      </c>
      <c r="Y68" s="275" t="str">
        <f t="shared" si="4"/>
        <v>14:15 - 14:45</v>
      </c>
      <c r="Z68" s="275" t="str">
        <f t="shared" si="5"/>
        <v>16:15 - 16:30</v>
      </c>
      <c r="AA68" s="213">
        <f t="shared" si="6"/>
        <v>36</v>
      </c>
      <c r="AB68" s="214"/>
      <c r="AD68" s="296"/>
      <c r="AE68" s="201"/>
      <c r="AF68" s="201"/>
      <c r="AG68" s="201"/>
      <c r="AH68" s="201"/>
      <c r="AI68" s="201"/>
      <c r="AJ68" s="201"/>
      <c r="AK68" s="201"/>
      <c r="AL68" s="201"/>
    </row>
    <row r="69" ht="22.5" customHeight="1">
      <c r="A69" s="187" t="str">
        <f>IFERROR(__xludf.DUMMYFUNCTION("""COMPUTED_VALUE"""),"Luis Vidal")</f>
        <v>Luis Vidal</v>
      </c>
      <c r="B69" s="188" t="str">
        <f>IFERROR(__xludf.DUMMYFUNCTION("""COMPUTED_VALUE"""),"Carmen Grajales")</f>
        <v>Carmen Grajales</v>
      </c>
      <c r="C69" s="236">
        <f>IFERROR(__xludf.DUMMYFUNCTION("""COMPUTED_VALUE"""),44953.0)</f>
        <v>44953</v>
      </c>
      <c r="D69" s="216">
        <f>IFERROR(__xludf.DUMMYFUNCTION("""COMPUTED_VALUE"""),2.0)</f>
        <v>2</v>
      </c>
      <c r="E69" s="187" t="str">
        <f>IFERROR(__xludf.DUMMYFUNCTION("""COMPUTED_VALUE"""),"Tickets")</f>
        <v>Tickets</v>
      </c>
      <c r="F69" s="187" t="str">
        <f>IFERROR(__xludf.DUMMYFUNCTION("""COMPUTED_VALUE"""),"C479")</f>
        <v>C479</v>
      </c>
      <c r="G69" s="185" t="str">
        <f>IFERROR(__xludf.DUMMYFUNCTION("""COMPUTED_VALUE"""),"carmen.grajales@buwelo.com")</f>
        <v>carmen.grajales@buwelo.com</v>
      </c>
      <c r="H69" s="185" t="str">
        <f>IFERROR(__xludf.DUMMYFUNCTION("""COMPUTED_VALUE"""),"ho.cgrajales")</f>
        <v>ho.cgrajales</v>
      </c>
      <c r="I69" s="185" t="str">
        <f>IFERROR(__xludf.DUMMYFUNCTION("""COMPUTED_VALUE"""),"Active")</f>
        <v>Active</v>
      </c>
      <c r="J69" s="298"/>
      <c r="K69" s="283"/>
      <c r="L69" s="299"/>
      <c r="M69" s="300"/>
      <c r="N69" s="301"/>
      <c r="O69" s="302"/>
      <c r="P69" s="302"/>
      <c r="S69" s="275">
        <v>123.0</v>
      </c>
      <c r="T69" s="275" t="s">
        <v>85</v>
      </c>
      <c r="U69" s="210" t="str">
        <f t="shared" si="1"/>
        <v>Yovanny Ceballos</v>
      </c>
      <c r="V69" s="211" t="str">
        <f>IFERROR(__xludf.DUMMYFUNCTION("INDEX(FILTER(BvsL!F:F, BvsL!D:D=T69),22)
"),"")</f>
        <v/>
      </c>
      <c r="W69" s="212">
        <f t="shared" si="2"/>
        <v>0.375</v>
      </c>
      <c r="X69" s="275" t="str">
        <f t="shared" si="3"/>
        <v>09:45 - 10:00 </v>
      </c>
      <c r="Y69" s="275" t="str">
        <f t="shared" si="4"/>
        <v>12:30 - 13:00</v>
      </c>
      <c r="Z69" s="275" t="str">
        <f t="shared" si="5"/>
        <v>15:00 - 15:15</v>
      </c>
      <c r="AA69" s="213">
        <f t="shared" si="6"/>
        <v>36</v>
      </c>
      <c r="AB69" s="214"/>
      <c r="AD69" s="296"/>
      <c r="AE69" s="201"/>
      <c r="AF69" s="201"/>
      <c r="AG69" s="201"/>
      <c r="AH69" s="201"/>
      <c r="AI69" s="201"/>
      <c r="AJ69" s="201"/>
      <c r="AK69" s="201"/>
      <c r="AL69" s="201"/>
    </row>
    <row r="70" ht="22.5" customHeight="1">
      <c r="A70" s="187" t="str">
        <f>IFERROR(__xludf.DUMMYFUNCTION("""COMPUTED_VALUE"""),"Luis Vidal")</f>
        <v>Luis Vidal</v>
      </c>
      <c r="B70" s="188" t="str">
        <f>IFERROR(__xludf.DUMMYFUNCTION("""COMPUTED_VALUE"""),"Cristian Ferreira")</f>
        <v>Cristian Ferreira</v>
      </c>
      <c r="C70" s="236">
        <f>IFERROR(__xludf.DUMMYFUNCTION("""COMPUTED_VALUE"""),45894.0)</f>
        <v>45894</v>
      </c>
      <c r="D70" s="187">
        <f>IFERROR(__xludf.DUMMYFUNCTION("""COMPUTED_VALUE"""),29.0)</f>
        <v>29</v>
      </c>
      <c r="E70" s="187" t="str">
        <f>IFERROR(__xludf.DUMMYFUNCTION("""COMPUTED_VALUE"""),"Tickets")</f>
        <v>Tickets</v>
      </c>
      <c r="F70" s="187" t="str">
        <f>IFERROR(__xludf.DUMMYFUNCTION("""COMPUTED_VALUE"""),"C1325")</f>
        <v>C1325</v>
      </c>
      <c r="G70" s="185" t="str">
        <f>IFERROR(__xludf.DUMMYFUNCTION("""COMPUTED_VALUE"""),"cristian.ferreira@buwelo.com")</f>
        <v>cristian.ferreira@buwelo.com</v>
      </c>
      <c r="H70" s="185" t="str">
        <f>IFERROR(__xludf.DUMMYFUNCTION("""COMPUTED_VALUE"""),"ho.cferreira")</f>
        <v>ho.cferreira</v>
      </c>
      <c r="I70" s="185" t="str">
        <f>IFERROR(__xludf.DUMMYFUNCTION("""COMPUTED_VALUE"""),"Active")</f>
        <v>Active</v>
      </c>
      <c r="J70" s="179"/>
      <c r="K70" s="180"/>
      <c r="L70" s="180"/>
      <c r="M70" s="180"/>
      <c r="N70" s="297"/>
      <c r="O70" s="297"/>
      <c r="P70" s="297"/>
      <c r="S70" s="275">
        <v>124.0</v>
      </c>
      <c r="T70" s="275" t="s">
        <v>39</v>
      </c>
      <c r="U70" s="210" t="str">
        <f t="shared" si="1"/>
        <v>John Atilano</v>
      </c>
      <c r="V70" s="211" t="str">
        <f>IFERROR(__xludf.DUMMYFUNCTION("INDEX(FILTER(BvsL!F:F, BvsL!D:D=T70),22)
"),"08:00")</f>
        <v>08:00</v>
      </c>
      <c r="W70" s="212">
        <f t="shared" si="2"/>
        <v>0.7083333333</v>
      </c>
      <c r="X70" s="275" t="str">
        <f t="shared" si="3"/>
        <v>10:00 - 10:15</v>
      </c>
      <c r="Y70" s="275" t="str">
        <f t="shared" si="4"/>
        <v>13:00 - 13:30</v>
      </c>
      <c r="Z70" s="275" t="str">
        <f t="shared" si="5"/>
        <v>15:30 - 15:45</v>
      </c>
      <c r="AA70" s="213">
        <f t="shared" si="6"/>
        <v>37</v>
      </c>
      <c r="AB70" s="214"/>
      <c r="AD70" s="296"/>
      <c r="AE70" s="201"/>
      <c r="AF70" s="201"/>
      <c r="AG70" s="201"/>
      <c r="AH70" s="201"/>
      <c r="AI70" s="201"/>
      <c r="AJ70" s="201"/>
      <c r="AK70" s="201"/>
      <c r="AL70" s="201"/>
    </row>
    <row r="71" ht="22.5" customHeight="1">
      <c r="A71" s="187" t="str">
        <f>IFERROR(__xludf.DUMMYFUNCTION("""COMPUTED_VALUE"""),"Luis Vidal")</f>
        <v>Luis Vidal</v>
      </c>
      <c r="B71" s="188" t="str">
        <f>IFERROR(__xludf.DUMMYFUNCTION("""COMPUTED_VALUE"""),"Daniel Urrego")</f>
        <v>Daniel Urrego</v>
      </c>
      <c r="C71" s="236">
        <f>IFERROR(__xludf.DUMMYFUNCTION("""COMPUTED_VALUE"""),45523.0)</f>
        <v>45523</v>
      </c>
      <c r="D71" s="216">
        <f>IFERROR(__xludf.DUMMYFUNCTION("""COMPUTED_VALUE"""),17.0)</f>
        <v>17</v>
      </c>
      <c r="E71" s="187" t="str">
        <f>IFERROR(__xludf.DUMMYFUNCTION("""COMPUTED_VALUE"""),"Tickets")</f>
        <v>Tickets</v>
      </c>
      <c r="F71" s="187" t="str">
        <f>IFERROR(__xludf.DUMMYFUNCTION("""COMPUTED_VALUE"""),"C1064")</f>
        <v>C1064</v>
      </c>
      <c r="G71" s="185" t="str">
        <f>IFERROR(__xludf.DUMMYFUNCTION("""COMPUTED_VALUE"""),"daniel.urrego@buwelo.com")</f>
        <v>daniel.urrego@buwelo.com</v>
      </c>
      <c r="H71" s="185" t="str">
        <f>IFERROR(__xludf.DUMMYFUNCTION("""COMPUTED_VALUE"""),"ho.durrego")</f>
        <v>ho.durrego</v>
      </c>
      <c r="I71" s="185" t="str">
        <f>IFERROR(__xludf.DUMMYFUNCTION("""COMPUTED_VALUE"""),"Active")</f>
        <v>Active</v>
      </c>
      <c r="J71" s="179"/>
      <c r="K71" s="180"/>
      <c r="L71" s="256"/>
      <c r="M71" s="257"/>
      <c r="N71" s="297"/>
      <c r="O71" s="295"/>
      <c r="P71" s="295"/>
      <c r="S71" s="275">
        <v>125.0</v>
      </c>
      <c r="T71" s="275" t="s">
        <v>81</v>
      </c>
      <c r="U71" s="210" t="str">
        <f t="shared" si="1"/>
        <v>Wendy Machado</v>
      </c>
      <c r="V71" s="211" t="str">
        <f>IFERROR(__xludf.DUMMYFUNCTION("INDEX(FILTER(BvsL!F:F, BvsL!D:D=T71),22)
"),"08:00")</f>
        <v>08:00</v>
      </c>
      <c r="W71" s="212">
        <f t="shared" si="2"/>
        <v>0.7083333333</v>
      </c>
      <c r="X71" s="275" t="str">
        <f t="shared" si="3"/>
        <v>10:30 - 10:45</v>
      </c>
      <c r="Y71" s="275" t="str">
        <f t="shared" si="4"/>
        <v>13:30 - 14:00</v>
      </c>
      <c r="Z71" s="275" t="str">
        <f t="shared" si="5"/>
        <v>15:45 - 16:00</v>
      </c>
      <c r="AA71" s="213">
        <f t="shared" si="6"/>
        <v>37</v>
      </c>
      <c r="AB71" s="214"/>
      <c r="AD71" s="296"/>
      <c r="AE71" s="201"/>
      <c r="AF71" s="201"/>
      <c r="AG71" s="201"/>
      <c r="AH71" s="201"/>
      <c r="AI71" s="201"/>
      <c r="AJ71" s="201"/>
      <c r="AK71" s="201"/>
      <c r="AL71" s="201"/>
    </row>
    <row r="72" ht="22.5" customHeight="1">
      <c r="A72" s="187" t="str">
        <f>IFERROR(__xludf.DUMMYFUNCTION("""COMPUTED_VALUE"""),"Luis Vidal")</f>
        <v>Luis Vidal</v>
      </c>
      <c r="B72" s="188" t="str">
        <f>IFERROR(__xludf.DUMMYFUNCTION("""COMPUTED_VALUE"""),"Julian Pineda")</f>
        <v>Julian Pineda</v>
      </c>
      <c r="C72" s="236">
        <f>IFERROR(__xludf.DUMMYFUNCTION("""COMPUTED_VALUE"""),46062.0)</f>
        <v>46062</v>
      </c>
      <c r="D72" s="187">
        <f>IFERROR(__xludf.DUMMYFUNCTION("""COMPUTED_VALUE"""),35.0)</f>
        <v>35</v>
      </c>
      <c r="E72" s="187" t="str">
        <f>IFERROR(__xludf.DUMMYFUNCTION("""COMPUTED_VALUE"""),"Tickets")</f>
        <v>Tickets</v>
      </c>
      <c r="F72" s="187" t="str">
        <f>IFERROR(__xludf.DUMMYFUNCTION("""COMPUTED_VALUE"""),"C525")</f>
        <v>C525</v>
      </c>
      <c r="G72" s="185" t="str">
        <f>IFERROR(__xludf.DUMMYFUNCTION("""COMPUTED_VALUE"""),"julian.pineda@buwelo.com")</f>
        <v>julian.pineda@buwelo.com</v>
      </c>
      <c r="H72" s="185" t="str">
        <f>IFERROR(__xludf.DUMMYFUNCTION("""COMPUTED_VALUE"""),"ho.jupineda")</f>
        <v>ho.jupineda</v>
      </c>
      <c r="I72" s="185" t="str">
        <f>IFERROR(__xludf.DUMMYFUNCTION("""COMPUTED_VALUE"""),"Active")</f>
        <v>Active</v>
      </c>
      <c r="J72" s="298"/>
      <c r="K72" s="283"/>
      <c r="L72" s="299"/>
      <c r="M72" s="300"/>
      <c r="N72" s="301"/>
      <c r="O72" s="302"/>
      <c r="P72" s="302"/>
      <c r="S72" s="275">
        <v>152.0</v>
      </c>
      <c r="T72" s="275" t="s">
        <v>30</v>
      </c>
      <c r="U72" s="303" t="str">
        <f t="shared" si="1"/>
        <v>Frey ortiz</v>
      </c>
      <c r="V72" s="211" t="str">
        <f>IFERROR(__xludf.DUMMYFUNCTION("INDEX(FILTER(BvsL!F:F, BvsL!D:D=T72),23)
"),"11:00")</f>
        <v>11:00</v>
      </c>
      <c r="W72" s="212">
        <f t="shared" si="2"/>
        <v>0.8333333333</v>
      </c>
      <c r="X72" s="275" t="str">
        <f t="shared" si="3"/>
        <v>12:30 - 12:45</v>
      </c>
      <c r="Y72" s="275" t="str">
        <f t="shared" si="4"/>
        <v>14:30 - 15:00</v>
      </c>
      <c r="Z72" s="275" t="str">
        <f t="shared" si="5"/>
        <v>17:30 - 17:45</v>
      </c>
      <c r="AA72" s="213">
        <f t="shared" si="6"/>
        <v>37</v>
      </c>
      <c r="AB72" s="214"/>
      <c r="AD72" s="296"/>
      <c r="AE72" s="201"/>
      <c r="AF72" s="201"/>
      <c r="AG72" s="201"/>
      <c r="AH72" s="201"/>
      <c r="AI72" s="201"/>
      <c r="AJ72" s="201"/>
      <c r="AK72" s="201"/>
      <c r="AL72" s="201"/>
    </row>
    <row r="73" ht="22.5" customHeight="1">
      <c r="A73" s="187" t="str">
        <f>IFERROR(__xludf.DUMMYFUNCTION("""COMPUTED_VALUE"""),"Luis Vidal")</f>
        <v>Luis Vidal</v>
      </c>
      <c r="B73" s="188" t="str">
        <f>IFERROR(__xludf.DUMMYFUNCTION("""COMPUTED_VALUE"""),"Leandry La Rosa")</f>
        <v>Leandry La Rosa</v>
      </c>
      <c r="C73" s="236">
        <f>IFERROR(__xludf.DUMMYFUNCTION("""COMPUTED_VALUE"""),44932.0)</f>
        <v>44932</v>
      </c>
      <c r="D73" s="187">
        <f>IFERROR(__xludf.DUMMYFUNCTION("""COMPUTED_VALUE"""),1.0)</f>
        <v>1</v>
      </c>
      <c r="E73" s="187" t="str">
        <f>IFERROR(__xludf.DUMMYFUNCTION("""COMPUTED_VALUE"""),"Tickets")</f>
        <v>Tickets</v>
      </c>
      <c r="F73" s="187" t="str">
        <f>IFERROR(__xludf.DUMMYFUNCTION("""COMPUTED_VALUE"""),"C534")</f>
        <v>C534</v>
      </c>
      <c r="G73" s="185" t="str">
        <f>IFERROR(__xludf.DUMMYFUNCTION("""COMPUTED_VALUE"""),"leandry.rosa@buwelo.com")</f>
        <v>leandry.rosa@buwelo.com</v>
      </c>
      <c r="H73" s="185" t="str">
        <f>IFERROR(__xludf.DUMMYFUNCTION("""COMPUTED_VALUE"""),"ho.lrosa")</f>
        <v>ho.lrosa</v>
      </c>
      <c r="I73" s="185" t="str">
        <f>IFERROR(__xludf.DUMMYFUNCTION("""COMPUTED_VALUE"""),"Active")</f>
        <v>Active</v>
      </c>
      <c r="J73" s="298"/>
      <c r="K73" s="283"/>
      <c r="L73" s="299"/>
      <c r="M73" s="300"/>
      <c r="N73" s="301"/>
      <c r="O73" s="302"/>
      <c r="P73" s="302"/>
      <c r="S73" s="275">
        <v>126.0</v>
      </c>
      <c r="T73" s="275" t="s">
        <v>35</v>
      </c>
      <c r="U73" s="303" t="str">
        <f t="shared" si="1"/>
        <v>Jeidin Vargas</v>
      </c>
      <c r="V73" s="211" t="str">
        <f>IFERROR(__xludf.DUMMYFUNCTION("INDEX(FILTER(BvsL!F:F, BvsL!D:D=T73),21)
"),"08:00")</f>
        <v>08:00</v>
      </c>
      <c r="W73" s="212">
        <f t="shared" si="2"/>
        <v>0.7083333333</v>
      </c>
      <c r="X73" s="275" t="str">
        <f t="shared" si="3"/>
        <v>10:45 - 11:00</v>
      </c>
      <c r="Y73" s="275" t="str">
        <f t="shared" si="4"/>
        <v>14:00 - 14:30</v>
      </c>
      <c r="Z73" s="275" t="str">
        <f t="shared" si="5"/>
        <v>15:45 - 16:00</v>
      </c>
      <c r="AA73" s="213">
        <f t="shared" si="6"/>
        <v>37</v>
      </c>
      <c r="AB73" s="214"/>
      <c r="AD73" s="296"/>
      <c r="AE73" s="201"/>
      <c r="AF73" s="201"/>
      <c r="AG73" s="201"/>
      <c r="AH73" s="201"/>
      <c r="AI73" s="201"/>
      <c r="AJ73" s="201"/>
      <c r="AK73" s="201"/>
      <c r="AL73" s="201"/>
    </row>
    <row r="74" ht="22.5" customHeight="1">
      <c r="A74" s="187" t="str">
        <f>IFERROR(__xludf.DUMMYFUNCTION("""COMPUTED_VALUE"""),"Luis Vidal")</f>
        <v>Luis Vidal</v>
      </c>
      <c r="B74" s="188" t="str">
        <f>IFERROR(__xludf.DUMMYFUNCTION("""COMPUTED_VALUE"""),"Mateo Vanegas")</f>
        <v>Mateo Vanegas</v>
      </c>
      <c r="C74" s="236">
        <f>IFERROR(__xludf.DUMMYFUNCTION("""COMPUTED_VALUE"""),45985.0)</f>
        <v>45985</v>
      </c>
      <c r="D74" s="187">
        <f>IFERROR(__xludf.DUMMYFUNCTION("""COMPUTED_VALUE"""),32.0)</f>
        <v>32</v>
      </c>
      <c r="E74" s="187" t="str">
        <f>IFERROR(__xludf.DUMMYFUNCTION("""COMPUTED_VALUE"""),"Tickets")</f>
        <v>Tickets</v>
      </c>
      <c r="F74" s="187" t="str">
        <f>IFERROR(__xludf.DUMMYFUNCTION("""COMPUTED_VALUE"""),"C1429")</f>
        <v>C1429</v>
      </c>
      <c r="G74" s="185" t="str">
        <f>IFERROR(__xludf.DUMMYFUNCTION("""COMPUTED_VALUE"""),"mateo.vanegas@buwelo.com")</f>
        <v>mateo.vanegas@buwelo.com</v>
      </c>
      <c r="H74" s="185" t="str">
        <f>IFERROR(__xludf.DUMMYFUNCTION("""COMPUTED_VALUE"""),"ho.mvanegas")</f>
        <v>ho.mvanegas</v>
      </c>
      <c r="I74" s="185" t="str">
        <f>IFERROR(__xludf.DUMMYFUNCTION("""COMPUTED_VALUE"""),"Active")</f>
        <v>Active</v>
      </c>
      <c r="J74" s="298"/>
      <c r="K74" s="283"/>
      <c r="L74" s="299"/>
      <c r="M74" s="300"/>
      <c r="N74" s="301"/>
      <c r="O74" s="302"/>
      <c r="P74" s="302"/>
      <c r="S74" s="275">
        <v>121.0</v>
      </c>
      <c r="T74" s="275" t="s">
        <v>79</v>
      </c>
      <c r="U74" s="303" t="str">
        <f t="shared" si="1"/>
        <v>Valentina Barreto</v>
      </c>
      <c r="V74" s="211" t="str">
        <f>IFERROR(__xludf.DUMMYFUNCTION("INDEX(FILTER(BvsL!F:F, BvsL!D:D=T74),21)
"),"08:00")</f>
        <v>08:00</v>
      </c>
      <c r="W74" s="212">
        <f t="shared" si="2"/>
        <v>0.7083333333</v>
      </c>
      <c r="X74" s="275" t="str">
        <f t="shared" si="3"/>
        <v>09:15 - 09:30</v>
      </c>
      <c r="Y74" s="275" t="str">
        <f t="shared" si="4"/>
        <v>11:30 - 12:00</v>
      </c>
      <c r="Z74" s="275" t="str">
        <f t="shared" si="5"/>
        <v>14:30 - 14:45</v>
      </c>
      <c r="AA74" s="213">
        <f t="shared" si="6"/>
        <v>37</v>
      </c>
      <c r="AB74" s="214"/>
      <c r="AD74" s="296"/>
      <c r="AE74" s="201"/>
      <c r="AF74" s="201"/>
      <c r="AG74" s="201"/>
      <c r="AH74" s="201"/>
      <c r="AI74" s="201"/>
      <c r="AJ74" s="201"/>
      <c r="AK74" s="201"/>
      <c r="AL74" s="201"/>
    </row>
    <row r="75" ht="22.5" customHeight="1">
      <c r="A75" s="187" t="str">
        <f>IFERROR(__xludf.DUMMYFUNCTION("""COMPUTED_VALUE"""),"Luis Vidal")</f>
        <v>Luis Vidal</v>
      </c>
      <c r="B75" s="188" t="str">
        <f>IFERROR(__xludf.DUMMYFUNCTION("""COMPUTED_VALUE"""),"Oscar Florez")</f>
        <v>Oscar Florez</v>
      </c>
      <c r="C75" s="236">
        <f>IFERROR(__xludf.DUMMYFUNCTION("""COMPUTED_VALUE"""),45719.0)</f>
        <v>45719</v>
      </c>
      <c r="D75" s="187">
        <f>IFERROR(__xludf.DUMMYFUNCTION("""COMPUTED_VALUE"""),24.0)</f>
        <v>24</v>
      </c>
      <c r="E75" s="187" t="str">
        <f>IFERROR(__xludf.DUMMYFUNCTION("""COMPUTED_VALUE"""),"Tickets")</f>
        <v>Tickets</v>
      </c>
      <c r="F75" s="187" t="str">
        <f>IFERROR(__xludf.DUMMYFUNCTION("""COMPUTED_VALUE"""),"C1164")</f>
        <v>C1164</v>
      </c>
      <c r="G75" s="185" t="str">
        <f>IFERROR(__xludf.DUMMYFUNCTION("""COMPUTED_VALUE"""),"oscar.florez@buwelo.com")</f>
        <v>oscar.florez@buwelo.com</v>
      </c>
      <c r="H75" s="185" t="str">
        <f>IFERROR(__xludf.DUMMYFUNCTION("""COMPUTED_VALUE"""),"ho.oflorez")</f>
        <v>ho.oflorez</v>
      </c>
      <c r="I75" s="185" t="str">
        <f>IFERROR(__xludf.DUMMYFUNCTION("""COMPUTED_VALUE"""),"Active")</f>
        <v>Active</v>
      </c>
      <c r="J75" s="298"/>
      <c r="K75" s="283"/>
      <c r="L75" s="299"/>
      <c r="M75" s="300"/>
      <c r="N75" s="301"/>
      <c r="O75" s="302"/>
      <c r="P75" s="302"/>
      <c r="S75" s="275">
        <v>122.0</v>
      </c>
      <c r="T75" s="275" t="s">
        <v>80</v>
      </c>
      <c r="U75" s="303" t="str">
        <f t="shared" si="1"/>
        <v>Valentina Castro</v>
      </c>
      <c r="V75" s="211" t="str">
        <f>IFERROR(__xludf.DUMMYFUNCTION("INDEX(FILTER(BvsL!F:F, BvsL!D:D=T75),23)
"),"08:00")</f>
        <v>08:00</v>
      </c>
      <c r="W75" s="212">
        <f t="shared" si="2"/>
        <v>0.7083333333</v>
      </c>
      <c r="X75" s="275" t="str">
        <f t="shared" si="3"/>
        <v>09:30 - 09:45</v>
      </c>
      <c r="Y75" s="275" t="str">
        <f t="shared" si="4"/>
        <v>12:00 - 12:30</v>
      </c>
      <c r="Z75" s="275" t="str">
        <f t="shared" si="5"/>
        <v>14:45 - 15:00</v>
      </c>
      <c r="AA75" s="213">
        <f t="shared" si="6"/>
        <v>37</v>
      </c>
      <c r="AB75" s="214"/>
      <c r="AD75" s="296"/>
      <c r="AE75" s="201"/>
      <c r="AF75" s="201"/>
      <c r="AG75" s="201"/>
      <c r="AH75" s="201"/>
      <c r="AI75" s="201"/>
      <c r="AJ75" s="201"/>
      <c r="AK75" s="201"/>
      <c r="AL75" s="201"/>
    </row>
    <row r="76" ht="22.5" customHeight="1">
      <c r="A76" s="187" t="str">
        <f>IFERROR(__xludf.DUMMYFUNCTION("""COMPUTED_VALUE"""),"Luis Vidal")</f>
        <v>Luis Vidal</v>
      </c>
      <c r="B76" s="188" t="str">
        <f>IFERROR(__xludf.DUMMYFUNCTION("""COMPUTED_VALUE"""),"Santiago Gaviria")</f>
        <v>Santiago Gaviria</v>
      </c>
      <c r="C76" s="236">
        <f>IFERROR(__xludf.DUMMYFUNCTION("""COMPUTED_VALUE"""),45719.0)</f>
        <v>45719</v>
      </c>
      <c r="D76" s="216">
        <f>IFERROR(__xludf.DUMMYFUNCTION("""COMPUTED_VALUE"""),24.0)</f>
        <v>24</v>
      </c>
      <c r="E76" s="187" t="str">
        <f>IFERROR(__xludf.DUMMYFUNCTION("""COMPUTED_VALUE"""),"Tickets")</f>
        <v>Tickets</v>
      </c>
      <c r="F76" s="187" t="str">
        <f>IFERROR(__xludf.DUMMYFUNCTION("""COMPUTED_VALUE"""),"C1168")</f>
        <v>C1168</v>
      </c>
      <c r="G76" s="185" t="str">
        <f>IFERROR(__xludf.DUMMYFUNCTION("""COMPUTED_VALUE"""),"santiago.gaviria@buwelo.com")</f>
        <v>santiago.gaviria@buwelo.com</v>
      </c>
      <c r="H76" s="185" t="str">
        <f>IFERROR(__xludf.DUMMYFUNCTION("""COMPUTED_VALUE"""),"ho.sgaviria")</f>
        <v>ho.sgaviria</v>
      </c>
      <c r="I76" s="185" t="str">
        <f>IFERROR(__xludf.DUMMYFUNCTION("""COMPUTED_VALUE"""),"Active")</f>
        <v>Active</v>
      </c>
      <c r="J76" s="298"/>
      <c r="K76" s="283"/>
      <c r="L76" s="299"/>
      <c r="M76" s="300"/>
      <c r="N76" s="301"/>
      <c r="O76" s="302"/>
      <c r="P76" s="302"/>
      <c r="S76" s="275">
        <v>131.0</v>
      </c>
      <c r="T76" s="275" t="s">
        <v>13</v>
      </c>
      <c r="U76" s="303" t="str">
        <f t="shared" si="1"/>
        <v>Andres Lopez</v>
      </c>
      <c r="V76" s="211" t="str">
        <f>IFERROR(__xludf.DUMMYFUNCTION("INDEX(FILTER(BvsL!F:F, BvsL!D:D=T76),22)
"),"09:00")</f>
        <v>09:00</v>
      </c>
      <c r="W76" s="212">
        <f t="shared" si="2"/>
        <v>0.75</v>
      </c>
      <c r="X76" s="275" t="str">
        <f t="shared" si="3"/>
        <v>10:15 - 10:30</v>
      </c>
      <c r="Y76" s="275" t="str">
        <f t="shared" si="4"/>
        <v>12:30 - 13:00</v>
      </c>
      <c r="Z76" s="275" t="str">
        <f t="shared" si="5"/>
        <v>15:15 - 15:30</v>
      </c>
      <c r="AA76" s="213">
        <f t="shared" si="6"/>
        <v>37</v>
      </c>
      <c r="AB76" s="214"/>
      <c r="AD76" s="296"/>
      <c r="AE76" s="201"/>
      <c r="AF76" s="201"/>
      <c r="AG76" s="201"/>
      <c r="AH76" s="201"/>
      <c r="AI76" s="201"/>
      <c r="AJ76" s="201"/>
      <c r="AK76" s="201"/>
      <c r="AL76" s="201"/>
    </row>
    <row r="77" ht="22.5" customHeight="1">
      <c r="A77" s="187" t="str">
        <f>IFERROR(__xludf.DUMMYFUNCTION("""COMPUTED_VALUE"""),"Luis Vidal")</f>
        <v>Luis Vidal</v>
      </c>
      <c r="B77" s="188" t="str">
        <f>IFERROR(__xludf.DUMMYFUNCTION("""COMPUTED_VALUE"""),"Santiago Gonzalez")</f>
        <v>Santiago Gonzalez</v>
      </c>
      <c r="C77" s="236">
        <f>IFERROR(__xludf.DUMMYFUNCTION("""COMPUTED_VALUE"""),45798.0)</f>
        <v>45798</v>
      </c>
      <c r="D77" s="187">
        <f>IFERROR(__xludf.DUMMYFUNCTION("""COMPUTED_VALUE"""),26.0)</f>
        <v>26</v>
      </c>
      <c r="E77" s="187" t="str">
        <f>IFERROR(__xludf.DUMMYFUNCTION("""COMPUTED_VALUE"""),"Tickets")</f>
        <v>Tickets</v>
      </c>
      <c r="F77" s="187" t="str">
        <f>IFERROR(__xludf.DUMMYFUNCTION("""COMPUTED_VALUE"""),"C1220")</f>
        <v>C1220</v>
      </c>
      <c r="G77" s="185" t="str">
        <f>IFERROR(__xludf.DUMMYFUNCTION("""COMPUTED_VALUE"""),"santiago.gonzalez@buwelo.com")</f>
        <v>santiago.gonzalez@buwelo.com</v>
      </c>
      <c r="H77" s="185" t="str">
        <f>IFERROR(__xludf.DUMMYFUNCTION("""COMPUTED_VALUE"""),"ho.sgonzalez")</f>
        <v>ho.sgonzalez</v>
      </c>
      <c r="I77" s="185" t="str">
        <f>IFERROR(__xludf.DUMMYFUNCTION("""COMPUTED_VALUE"""),"Active")</f>
        <v>Active</v>
      </c>
      <c r="J77" s="298"/>
      <c r="K77" s="283"/>
      <c r="L77" s="299"/>
      <c r="M77" s="300"/>
      <c r="N77" s="301"/>
      <c r="O77" s="302"/>
      <c r="P77" s="302"/>
      <c r="S77" s="275">
        <v>123.0</v>
      </c>
      <c r="T77" s="275" t="s">
        <v>28</v>
      </c>
      <c r="U77" s="303" t="str">
        <f t="shared" si="1"/>
        <v>Esteban Correa</v>
      </c>
      <c r="V77" s="304" t="str">
        <f>IFERROR(__xludf.DUMMYFUNCTION("INDEX(FILTER(BvsL!F:F, BvsL!D:D=T77),1)
"),"08:00")</f>
        <v>08:00</v>
      </c>
      <c r="W77" s="212">
        <f t="shared" si="2"/>
        <v>0.7083333333</v>
      </c>
      <c r="X77" s="275" t="str">
        <f t="shared" si="3"/>
        <v>09:45 - 10:00 </v>
      </c>
      <c r="Y77" s="275" t="str">
        <f t="shared" si="4"/>
        <v>12:30 - 13:00</v>
      </c>
      <c r="Z77" s="275" t="str">
        <f t="shared" si="5"/>
        <v>15:00 - 15:15</v>
      </c>
      <c r="AA77" s="213">
        <f t="shared" si="6"/>
        <v>38</v>
      </c>
      <c r="AD77" s="296"/>
      <c r="AE77" s="201"/>
      <c r="AF77" s="201"/>
      <c r="AG77" s="201"/>
      <c r="AH77" s="201"/>
      <c r="AI77" s="201"/>
      <c r="AJ77" s="201"/>
      <c r="AK77" s="201"/>
      <c r="AL77" s="201"/>
    </row>
    <row r="78" ht="22.5" customHeight="1">
      <c r="A78" s="187" t="str">
        <f>IFERROR(__xludf.DUMMYFUNCTION("""COMPUTED_VALUE"""),"Luis Vidal")</f>
        <v>Luis Vidal</v>
      </c>
      <c r="B78" s="188" t="str">
        <f>IFERROR(__xludf.DUMMYFUNCTION("""COMPUTED_VALUE"""),"Santiago Velasquez")</f>
        <v>Santiago Velasquez</v>
      </c>
      <c r="C78" s="236">
        <f>IFERROR(__xludf.DUMMYFUNCTION("""COMPUTED_VALUE"""),45748.0)</f>
        <v>45748</v>
      </c>
      <c r="D78" s="187">
        <f>IFERROR(__xludf.DUMMYFUNCTION("""COMPUTED_VALUE"""),25.0)</f>
        <v>25</v>
      </c>
      <c r="E78" s="187" t="str">
        <f>IFERROR(__xludf.DUMMYFUNCTION("""COMPUTED_VALUE"""),"Tickets")</f>
        <v>Tickets</v>
      </c>
      <c r="F78" s="187" t="str">
        <f>IFERROR(__xludf.DUMMYFUNCTION("""COMPUTED_VALUE"""),"C1199")</f>
        <v>C1199</v>
      </c>
      <c r="G78" s="185" t="str">
        <f>IFERROR(__xludf.DUMMYFUNCTION("""COMPUTED_VALUE"""),"santiago.velasquez@buwelo.com")</f>
        <v>santiago.velasquez@buwelo.com</v>
      </c>
      <c r="H78" s="185" t="str">
        <f>IFERROR(__xludf.DUMMYFUNCTION("""COMPUTED_VALUE"""),"ho.savelasquez")</f>
        <v>ho.savelasquez</v>
      </c>
      <c r="I78" s="185" t="str">
        <f>IFERROR(__xludf.DUMMYFUNCTION("""COMPUTED_VALUE"""),"Active")</f>
        <v>Active</v>
      </c>
      <c r="J78" s="298"/>
      <c r="K78" s="283"/>
      <c r="L78" s="299"/>
      <c r="M78" s="300"/>
      <c r="N78" s="301"/>
      <c r="O78" s="302"/>
      <c r="P78" s="302"/>
      <c r="S78" s="275">
        <v>124.0</v>
      </c>
      <c r="T78" s="275" t="s">
        <v>46</v>
      </c>
      <c r="U78" s="303" t="str">
        <f t="shared" si="1"/>
        <v>Juan Ocampo</v>
      </c>
      <c r="V78" s="304" t="str">
        <f>IFERROR(__xludf.DUMMYFUNCTION("INDEX(FILTER(BvsL!F:F, BvsL!D:D=T78),1)
"),"11:00")</f>
        <v>11:00</v>
      </c>
      <c r="W78" s="212">
        <f t="shared" si="2"/>
        <v>0.8333333333</v>
      </c>
      <c r="X78" s="275" t="str">
        <f t="shared" si="3"/>
        <v>10:00 - 10:15</v>
      </c>
      <c r="Y78" s="275" t="str">
        <f t="shared" si="4"/>
        <v>13:00 - 13:30</v>
      </c>
      <c r="Z78" s="275" t="str">
        <f t="shared" si="5"/>
        <v>15:30 - 15:45</v>
      </c>
      <c r="AA78" s="213">
        <f t="shared" si="6"/>
        <v>38</v>
      </c>
      <c r="AD78" s="296"/>
      <c r="AE78" s="201"/>
      <c r="AF78" s="201"/>
      <c r="AG78" s="201"/>
      <c r="AH78" s="201"/>
      <c r="AI78" s="201"/>
      <c r="AJ78" s="201"/>
      <c r="AK78" s="201"/>
      <c r="AL78" s="201"/>
    </row>
    <row r="79" ht="22.5" customHeight="1">
      <c r="A79" s="187" t="str">
        <f>IFERROR(__xludf.DUMMYFUNCTION("""COMPUTED_VALUE"""),"Luis Vidal")</f>
        <v>Luis Vidal</v>
      </c>
      <c r="B79" s="188" t="str">
        <f>IFERROR(__xludf.DUMMYFUNCTION("""COMPUTED_VALUE"""),"Sebastian Herrera")</f>
        <v>Sebastian Herrera</v>
      </c>
      <c r="C79" s="236">
        <f>IFERROR(__xludf.DUMMYFUNCTION("""COMPUTED_VALUE"""),45748.0)</f>
        <v>45748</v>
      </c>
      <c r="D79" s="187">
        <f>IFERROR(__xludf.DUMMYFUNCTION("""COMPUTED_VALUE"""),25.0)</f>
        <v>25</v>
      </c>
      <c r="E79" s="187" t="str">
        <f>IFERROR(__xludf.DUMMYFUNCTION("""COMPUTED_VALUE"""),"Tickets")</f>
        <v>Tickets</v>
      </c>
      <c r="F79" s="187" t="str">
        <f>IFERROR(__xludf.DUMMYFUNCTION("""COMPUTED_VALUE"""),"C1190")</f>
        <v>C1190</v>
      </c>
      <c r="G79" s="185" t="str">
        <f>IFERROR(__xludf.DUMMYFUNCTION("""COMPUTED_VALUE"""),"sebastian.herrera@buwelo.com")</f>
        <v>sebastian.herrera@buwelo.com</v>
      </c>
      <c r="H79" s="185" t="str">
        <f>IFERROR(__xludf.DUMMYFUNCTION("""COMPUTED_VALUE"""),"ho.sherrera")</f>
        <v>ho.sherrera</v>
      </c>
      <c r="I79" s="185" t="str">
        <f>IFERROR(__xludf.DUMMYFUNCTION("""COMPUTED_VALUE"""),"Active")</f>
        <v>Active</v>
      </c>
      <c r="J79" s="298"/>
      <c r="K79" s="283"/>
      <c r="L79" s="299"/>
      <c r="M79" s="300"/>
      <c r="N79" s="301"/>
      <c r="O79" s="302"/>
      <c r="P79" s="302"/>
      <c r="S79" s="275">
        <v>125.0</v>
      </c>
      <c r="T79" s="275" t="s">
        <v>56</v>
      </c>
      <c r="U79" s="303" t="str">
        <f t="shared" si="1"/>
        <v>Leonerrichi Caicedo</v>
      </c>
      <c r="V79" s="304" t="str">
        <f>IFERROR(__xludf.DUMMYFUNCTION("INDEX(FILTER(BvsL!F:F, BvsL!D:D=T79),1)
"),"08:00")</f>
        <v>08:00</v>
      </c>
      <c r="W79" s="212">
        <f t="shared" si="2"/>
        <v>0.7083333333</v>
      </c>
      <c r="X79" s="275" t="str">
        <f t="shared" si="3"/>
        <v>10:30 - 10:45</v>
      </c>
      <c r="Y79" s="275" t="str">
        <f t="shared" si="4"/>
        <v>13:30 - 14:00</v>
      </c>
      <c r="Z79" s="275" t="str">
        <f t="shared" si="5"/>
        <v>15:45 - 16:00</v>
      </c>
      <c r="AA79" s="213">
        <f t="shared" si="6"/>
        <v>38</v>
      </c>
      <c r="AD79" s="296"/>
      <c r="AE79" s="201"/>
      <c r="AF79" s="201"/>
      <c r="AG79" s="201"/>
      <c r="AH79" s="201"/>
      <c r="AI79" s="201"/>
      <c r="AJ79" s="201"/>
      <c r="AK79" s="201"/>
      <c r="AL79" s="201"/>
    </row>
    <row r="80" ht="22.5" customHeight="1">
      <c r="A80" s="187" t="str">
        <f>IFERROR(__xludf.DUMMYFUNCTION("""COMPUTED_VALUE"""),"Luis Vidal")</f>
        <v>Luis Vidal</v>
      </c>
      <c r="B80" s="188" t="str">
        <f>IFERROR(__xludf.DUMMYFUNCTION("""COMPUTED_VALUE"""),"Sebastian Martinez")</f>
        <v>Sebastian Martinez</v>
      </c>
      <c r="C80" s="236">
        <f>IFERROR(__xludf.DUMMYFUNCTION("""COMPUTED_VALUE"""),45062.0)</f>
        <v>45062</v>
      </c>
      <c r="D80" s="216">
        <f>IFERROR(__xludf.DUMMYFUNCTION("""COMPUTED_VALUE"""),6.0)</f>
        <v>6</v>
      </c>
      <c r="E80" s="187" t="str">
        <f>IFERROR(__xludf.DUMMYFUNCTION("""COMPUTED_VALUE"""),"Tickets")</f>
        <v>Tickets</v>
      </c>
      <c r="F80" s="187" t="str">
        <f>IFERROR(__xludf.DUMMYFUNCTION("""COMPUTED_VALUE"""),"C710")</f>
        <v>C710</v>
      </c>
      <c r="G80" s="185" t="str">
        <f>IFERROR(__xludf.DUMMYFUNCTION("""COMPUTED_VALUE"""),"sebastian.martinez@buwelo.com")</f>
        <v>sebastian.martinez@buwelo.com</v>
      </c>
      <c r="H80" s="185" t="str">
        <f>IFERROR(__xludf.DUMMYFUNCTION("""COMPUTED_VALUE"""),"ho.smartinez")</f>
        <v>ho.smartinez</v>
      </c>
      <c r="I80" s="185" t="str">
        <f>IFERROR(__xludf.DUMMYFUNCTION("""COMPUTED_VALUE"""),"Active")</f>
        <v>Active</v>
      </c>
      <c r="J80" s="298"/>
      <c r="K80" s="283"/>
      <c r="L80" s="299"/>
      <c r="M80" s="300"/>
      <c r="N80" s="301"/>
      <c r="O80" s="302"/>
      <c r="P80" s="302"/>
      <c r="S80" s="275">
        <v>126.0</v>
      </c>
      <c r="T80" s="275" t="s">
        <v>61</v>
      </c>
      <c r="U80" s="303" t="str">
        <f t="shared" si="1"/>
        <v>Luna Morales</v>
      </c>
      <c r="V80" s="304" t="str">
        <f>IFERROR(__xludf.DUMMYFUNCTION("INDEX(FILTER(BvsL!F:F, BvsL!D:D=T80),1)
"),"08:00")</f>
        <v>08:00</v>
      </c>
      <c r="W80" s="212">
        <f t="shared" si="2"/>
        <v>0.7083333333</v>
      </c>
      <c r="X80" s="275" t="str">
        <f t="shared" si="3"/>
        <v>10:45 - 11:00</v>
      </c>
      <c r="Y80" s="275" t="str">
        <f t="shared" si="4"/>
        <v>14:00 - 14:30</v>
      </c>
      <c r="Z80" s="275" t="str">
        <f t="shared" si="5"/>
        <v>15:45 - 16:00</v>
      </c>
      <c r="AA80" s="213">
        <f t="shared" si="6"/>
        <v>38</v>
      </c>
      <c r="AD80" s="296"/>
      <c r="AE80" s="201"/>
      <c r="AF80" s="201"/>
      <c r="AG80" s="201"/>
      <c r="AH80" s="201"/>
      <c r="AI80" s="201"/>
      <c r="AJ80" s="201"/>
      <c r="AK80" s="201"/>
      <c r="AL80" s="201"/>
    </row>
    <row r="81" ht="22.5" customHeight="1">
      <c r="A81" s="187" t="str">
        <f>IFERROR(__xludf.DUMMYFUNCTION("""COMPUTED_VALUE"""),"Luis Vidal")</f>
        <v>Luis Vidal</v>
      </c>
      <c r="B81" s="188" t="str">
        <f>IFERROR(__xludf.DUMMYFUNCTION("""COMPUTED_VALUE"""),"Sebastian Rodriguez")</f>
        <v>Sebastian Rodriguez</v>
      </c>
      <c r="C81" s="236">
        <f>IFERROR(__xludf.DUMMYFUNCTION("""COMPUTED_VALUE"""),45086.0)</f>
        <v>45086</v>
      </c>
      <c r="D81" s="187">
        <f>IFERROR(__xludf.DUMMYFUNCTION("""COMPUTED_VALUE"""),7.0)</f>
        <v>7</v>
      </c>
      <c r="E81" s="187" t="str">
        <f>IFERROR(__xludf.DUMMYFUNCTION("""COMPUTED_VALUE"""),"Tickets")</f>
        <v>Tickets</v>
      </c>
      <c r="F81" s="187" t="str">
        <f>IFERROR(__xludf.DUMMYFUNCTION("""COMPUTED_VALUE"""),"C726")</f>
        <v>C726</v>
      </c>
      <c r="G81" s="185" t="str">
        <f>IFERROR(__xludf.DUMMYFUNCTION("""COMPUTED_VALUE"""),"sebastian.rodriguez@buwelo.com")</f>
        <v>sebastian.rodriguez@buwelo.com</v>
      </c>
      <c r="H81" s="185" t="str">
        <f>IFERROR(__xludf.DUMMYFUNCTION("""COMPUTED_VALUE"""),"ho.srodriguez")</f>
        <v>ho.srodriguez</v>
      </c>
      <c r="I81" s="185" t="str">
        <f>IFERROR(__xludf.DUMMYFUNCTION("""COMPUTED_VALUE"""),"Active")</f>
        <v>Active</v>
      </c>
      <c r="J81" s="298"/>
      <c r="K81" s="283"/>
      <c r="L81" s="299"/>
      <c r="M81" s="300"/>
      <c r="N81" s="301"/>
      <c r="O81" s="302"/>
      <c r="P81" s="302"/>
      <c r="S81" s="275">
        <v>121.0</v>
      </c>
      <c r="T81" s="275" t="s">
        <v>71</v>
      </c>
      <c r="U81" s="303" t="str">
        <f t="shared" si="1"/>
        <v>Samuel Acevedo Cadavid</v>
      </c>
      <c r="V81" s="304" t="str">
        <f>IFERROR(__xludf.DUMMYFUNCTION("INDEX(FILTER(BvsL!F:F, BvsL!D:D=T81),1)
"),"11:00")</f>
        <v>11:00</v>
      </c>
      <c r="W81" s="212">
        <f t="shared" si="2"/>
        <v>0.8333333333</v>
      </c>
      <c r="X81" s="275" t="str">
        <f t="shared" si="3"/>
        <v>09:15 - 09:30</v>
      </c>
      <c r="Y81" s="275" t="str">
        <f t="shared" si="4"/>
        <v>11:30 - 12:00</v>
      </c>
      <c r="Z81" s="275" t="str">
        <f t="shared" si="5"/>
        <v>14:30 - 14:45</v>
      </c>
      <c r="AA81" s="213">
        <f t="shared" si="6"/>
        <v>38</v>
      </c>
      <c r="AD81" s="296"/>
      <c r="AE81" s="201"/>
      <c r="AF81" s="201"/>
      <c r="AG81" s="201"/>
      <c r="AH81" s="201"/>
      <c r="AI81" s="201"/>
      <c r="AJ81" s="201"/>
      <c r="AK81" s="201"/>
      <c r="AL81" s="201"/>
    </row>
    <row r="82" ht="22.5" customHeight="1">
      <c r="A82" s="187" t="str">
        <f>IFERROR(__xludf.DUMMYFUNCTION("""COMPUTED_VALUE"""),"Luis Vidal")</f>
        <v>Luis Vidal</v>
      </c>
      <c r="B82" s="188" t="str">
        <f>IFERROR(__xludf.DUMMYFUNCTION("""COMPUTED_VALUE"""),"Simon Atehortua")</f>
        <v>Simon Atehortua</v>
      </c>
      <c r="C82" s="236"/>
      <c r="D82" s="216">
        <f>IFERROR(__xludf.DUMMYFUNCTION("""COMPUTED_VALUE"""),32.0)</f>
        <v>32</v>
      </c>
      <c r="E82" s="187" t="str">
        <f>IFERROR(__xludf.DUMMYFUNCTION("""COMPUTED_VALUE"""),"Tickets")</f>
        <v>Tickets</v>
      </c>
      <c r="F82" s="187" t="str">
        <f>IFERROR(__xludf.DUMMYFUNCTION("""COMPUTED_VALUE"""),"C1478")</f>
        <v>C1478</v>
      </c>
      <c r="G82" s="185" t="str">
        <f>IFERROR(__xludf.DUMMYFUNCTION("""COMPUTED_VALUE"""),"simon.atehortua@buwelo.com")</f>
        <v>simon.atehortua@buwelo.com</v>
      </c>
      <c r="H82" s="185" t="str">
        <f>IFERROR(__xludf.DUMMYFUNCTION("""COMPUTED_VALUE"""),"ho.satehortua")</f>
        <v>ho.satehortua</v>
      </c>
      <c r="I82" s="185" t="str">
        <f>IFERROR(__xludf.DUMMYFUNCTION("""COMPUTED_VALUE"""),"Active")</f>
        <v>Active</v>
      </c>
      <c r="J82" s="298"/>
      <c r="K82" s="283"/>
      <c r="L82" s="299"/>
      <c r="M82" s="300"/>
      <c r="N82" s="301"/>
      <c r="O82" s="302"/>
      <c r="P82" s="302"/>
      <c r="S82" s="275">
        <v>122.0</v>
      </c>
      <c r="T82" s="275" t="s">
        <v>76</v>
      </c>
      <c r="U82" s="303" t="str">
        <f t="shared" si="1"/>
        <v>Sergio Rojas</v>
      </c>
      <c r="V82" s="304" t="str">
        <f>IFERROR(__xludf.DUMMYFUNCTION("INDEX(FILTER(BvsL!F:F, BvsL!D:D=T82),1)
"),"11:00")</f>
        <v>11:00</v>
      </c>
      <c r="W82" s="212">
        <f t="shared" si="2"/>
        <v>0.8333333333</v>
      </c>
      <c r="X82" s="275" t="str">
        <f t="shared" si="3"/>
        <v>09:30 - 09:45</v>
      </c>
      <c r="Y82" s="275" t="str">
        <f t="shared" si="4"/>
        <v>12:00 - 12:30</v>
      </c>
      <c r="Z82" s="275" t="str">
        <f t="shared" si="5"/>
        <v>14:45 - 15:00</v>
      </c>
      <c r="AA82" s="213">
        <f t="shared" si="6"/>
        <v>38</v>
      </c>
      <c r="AD82" s="296"/>
      <c r="AE82" s="201"/>
      <c r="AF82" s="201"/>
      <c r="AG82" s="201"/>
      <c r="AH82" s="201"/>
      <c r="AI82" s="201"/>
      <c r="AJ82" s="201"/>
      <c r="AK82" s="201"/>
      <c r="AL82" s="201"/>
    </row>
    <row r="83" ht="22.5" customHeight="1">
      <c r="A83" s="187" t="str">
        <f>IFERROR(__xludf.DUMMYFUNCTION("""COMPUTED_VALUE"""),"Luis Vidal")</f>
        <v>Luis Vidal</v>
      </c>
      <c r="B83" s="188" t="str">
        <f>IFERROR(__xludf.DUMMYFUNCTION("""COMPUTED_VALUE"""),"Wendy Navarro")</f>
        <v>Wendy Navarro</v>
      </c>
      <c r="C83" s="236">
        <f>IFERROR(__xludf.DUMMYFUNCTION("""COMPUTED_VALUE"""),45434.0)</f>
        <v>45434</v>
      </c>
      <c r="D83" s="216">
        <f>IFERROR(__xludf.DUMMYFUNCTION("""COMPUTED_VALUE"""),16.0)</f>
        <v>16</v>
      </c>
      <c r="E83" s="187" t="str">
        <f>IFERROR(__xludf.DUMMYFUNCTION("""COMPUTED_VALUE"""),"Tickets")</f>
        <v>Tickets</v>
      </c>
      <c r="F83" s="187" t="str">
        <f>IFERROR(__xludf.DUMMYFUNCTION("""COMPUTED_VALUE"""),"C786")</f>
        <v>C786</v>
      </c>
      <c r="G83" s="185" t="str">
        <f>IFERROR(__xludf.DUMMYFUNCTION("""COMPUTED_VALUE"""),"wendy.navarro@buwelo.com")</f>
        <v>wendy.navarro@buwelo.com</v>
      </c>
      <c r="H83" s="185" t="str">
        <f>IFERROR(__xludf.DUMMYFUNCTION("""COMPUTED_VALUE"""),"ho.wnavarro")</f>
        <v>ho.wnavarro</v>
      </c>
      <c r="I83" s="185" t="str">
        <f>IFERROR(__xludf.DUMMYFUNCTION("""COMPUTED_VALUE"""),"Active")</f>
        <v>Active</v>
      </c>
      <c r="J83" s="298"/>
      <c r="K83" s="283"/>
      <c r="L83" s="299"/>
      <c r="M83" s="300"/>
      <c r="N83" s="301"/>
      <c r="O83" s="302"/>
      <c r="P83" s="302"/>
      <c r="S83" s="275">
        <v>123.0</v>
      </c>
      <c r="T83" s="275" t="s">
        <v>11</v>
      </c>
      <c r="U83" s="303" t="str">
        <f t="shared" si="1"/>
        <v>Alexander Bartoli</v>
      </c>
      <c r="V83" s="304" t="str">
        <f>IFERROR(__xludf.DUMMYFUNCTION("INDEX(FILTER(BvsL!F:F, BvsL!D:D=T83),1)
"),"08:00")</f>
        <v>08:00</v>
      </c>
      <c r="W83" s="212">
        <f t="shared" si="2"/>
        <v>0.7083333333</v>
      </c>
      <c r="X83" s="275" t="str">
        <f t="shared" si="3"/>
        <v>09:45 - 10:00 </v>
      </c>
      <c r="Y83" s="275" t="str">
        <f t="shared" si="4"/>
        <v>12:30 - 13:00</v>
      </c>
      <c r="Z83" s="275" t="str">
        <f t="shared" si="5"/>
        <v>15:00 - 15:15</v>
      </c>
      <c r="AA83" s="213">
        <f t="shared" si="6"/>
        <v>38</v>
      </c>
      <c r="AD83" s="296"/>
      <c r="AE83" s="201"/>
      <c r="AF83" s="201"/>
      <c r="AG83" s="201"/>
      <c r="AH83" s="201"/>
      <c r="AI83" s="201"/>
      <c r="AJ83" s="201"/>
      <c r="AK83" s="201"/>
      <c r="AL83" s="201"/>
    </row>
    <row r="84" ht="22.5" customHeight="1">
      <c r="A84" s="187" t="str">
        <f>IFERROR(__xludf.DUMMYFUNCTION("""COMPUTED_VALUE"""),"Luis Vidal")</f>
        <v>Luis Vidal</v>
      </c>
      <c r="B84" s="188" t="str">
        <f>IFERROR(__xludf.DUMMYFUNCTION("""COMPUTED_VALUE"""),"Yeiner Tapias")</f>
        <v>Yeiner Tapias</v>
      </c>
      <c r="C84" s="236">
        <f>IFERROR(__xludf.DUMMYFUNCTION("""COMPUTED_VALUE"""),45614.0)</f>
        <v>45614</v>
      </c>
      <c r="D84" s="187">
        <f>IFERROR(__xludf.DUMMYFUNCTION("""COMPUTED_VALUE"""),20.0)</f>
        <v>20</v>
      </c>
      <c r="E84" s="187" t="str">
        <f>IFERROR(__xludf.DUMMYFUNCTION("""COMPUTED_VALUE"""),"Tickets")</f>
        <v>Tickets</v>
      </c>
      <c r="F84" s="187" t="str">
        <f>IFERROR(__xludf.DUMMYFUNCTION("""COMPUTED_VALUE"""),"C1108")</f>
        <v>C1108</v>
      </c>
      <c r="G84" s="185" t="str">
        <f>IFERROR(__xludf.DUMMYFUNCTION("""COMPUTED_VALUE"""),"yeiner.tapias@buwelo.com")</f>
        <v>yeiner.tapias@buwelo.com</v>
      </c>
      <c r="H84" s="185" t="str">
        <f>IFERROR(__xludf.DUMMYFUNCTION("""COMPUTED_VALUE"""),"ho.ytapias")</f>
        <v>ho.ytapias</v>
      </c>
      <c r="I84" s="185" t="str">
        <f>IFERROR(__xludf.DUMMYFUNCTION("""COMPUTED_VALUE"""),"Active")</f>
        <v>Active</v>
      </c>
      <c r="J84" s="298"/>
      <c r="K84" s="283"/>
      <c r="L84" s="299"/>
      <c r="M84" s="300"/>
      <c r="N84" s="301"/>
      <c r="O84" s="302"/>
      <c r="P84" s="302"/>
      <c r="S84" s="275">
        <v>124.0</v>
      </c>
      <c r="T84" s="275" t="s">
        <v>12</v>
      </c>
      <c r="U84" s="303" t="str">
        <f t="shared" si="1"/>
        <v>Ana Quintero</v>
      </c>
      <c r="V84" s="304" t="str">
        <f>IFERROR(__xludf.DUMMYFUNCTION("INDEX(FILTER(BvsL!F:F, BvsL!D:D=T84),1)
"),"Free")</f>
        <v>Free</v>
      </c>
      <c r="W84" s="212" t="str">
        <f t="shared" si="2"/>
        <v>#VALUE!</v>
      </c>
      <c r="X84" s="275" t="str">
        <f t="shared" si="3"/>
        <v>10:00 - 10:15</v>
      </c>
      <c r="Y84" s="275" t="str">
        <f t="shared" si="4"/>
        <v>13:00 - 13:30</v>
      </c>
      <c r="Z84" s="275" t="str">
        <f t="shared" si="5"/>
        <v>15:30 - 15:45</v>
      </c>
      <c r="AA84" s="213">
        <f t="shared" si="6"/>
        <v>38</v>
      </c>
      <c r="AD84" s="296"/>
      <c r="AE84" s="201"/>
      <c r="AF84" s="201"/>
      <c r="AG84" s="201"/>
      <c r="AH84" s="201"/>
      <c r="AI84" s="201"/>
      <c r="AJ84" s="201"/>
      <c r="AK84" s="201"/>
      <c r="AL84" s="201"/>
    </row>
    <row r="85" ht="22.5" customHeight="1">
      <c r="A85" s="187" t="str">
        <f>IFERROR(__xludf.DUMMYFUNCTION("""COMPUTED_VALUE"""),"Martin Salazar")</f>
        <v>Martin Salazar</v>
      </c>
      <c r="B85" s="188" t="str">
        <f>IFERROR(__xludf.DUMMYFUNCTION("""COMPUTED_VALUE"""),"Brahian Prado")</f>
        <v>Brahian Prado</v>
      </c>
      <c r="C85" s="236">
        <f>IFERROR(__xludf.DUMMYFUNCTION("""COMPUTED_VALUE"""),45551.0)</f>
        <v>45551</v>
      </c>
      <c r="D85" s="187">
        <f>IFERROR(__xludf.DUMMYFUNCTION("""COMPUTED_VALUE"""),18.0)</f>
        <v>18</v>
      </c>
      <c r="E85" s="187" t="str">
        <f>IFERROR(__xludf.DUMMYFUNCTION("""COMPUTED_VALUE"""),"Voice")</f>
        <v>Voice</v>
      </c>
      <c r="F85" s="187" t="str">
        <f>IFERROR(__xludf.DUMMYFUNCTION("""COMPUTED_VALUE"""),"C1077")</f>
        <v>C1077</v>
      </c>
      <c r="G85" s="185" t="str">
        <f>IFERROR(__xludf.DUMMYFUNCTION("""COMPUTED_VALUE"""),"brahian.prado@buwelo.com")</f>
        <v>brahian.prado@buwelo.com</v>
      </c>
      <c r="H85" s="185" t="str">
        <f>IFERROR(__xludf.DUMMYFUNCTION("""COMPUTED_VALUE"""),"ho.bprado")</f>
        <v>ho.bprado</v>
      </c>
      <c r="I85" s="185" t="str">
        <f>IFERROR(__xludf.DUMMYFUNCTION("""COMPUTED_VALUE"""),"Active")</f>
        <v>Active</v>
      </c>
      <c r="J85" s="298"/>
      <c r="K85" s="283"/>
      <c r="L85" s="299"/>
      <c r="M85" s="300"/>
      <c r="N85" s="301"/>
      <c r="O85" s="302"/>
      <c r="P85" s="302"/>
      <c r="S85" s="275">
        <v>125.0</v>
      </c>
      <c r="T85" s="275" t="s">
        <v>14</v>
      </c>
      <c r="U85" s="303" t="str">
        <f t="shared" si="1"/>
        <v>Andres Salazar</v>
      </c>
      <c r="V85" s="304" t="str">
        <f>IFERROR(__xludf.DUMMYFUNCTION("INDEX(FILTER(BvsL!F:F, BvsL!D:D=T85),1)
"),"08:00")</f>
        <v>08:00</v>
      </c>
      <c r="W85" s="212">
        <f t="shared" si="2"/>
        <v>0.7083333333</v>
      </c>
      <c r="X85" s="275" t="str">
        <f t="shared" si="3"/>
        <v>10:30 - 10:45</v>
      </c>
      <c r="Y85" s="275" t="str">
        <f t="shared" si="4"/>
        <v>13:30 - 14:00</v>
      </c>
      <c r="Z85" s="275" t="str">
        <f t="shared" si="5"/>
        <v>15:45 - 16:00</v>
      </c>
      <c r="AA85" s="213">
        <f t="shared" si="6"/>
        <v>38</v>
      </c>
      <c r="AD85" s="296"/>
      <c r="AE85" s="201"/>
      <c r="AF85" s="201"/>
      <c r="AG85" s="201"/>
      <c r="AH85" s="201"/>
      <c r="AI85" s="201"/>
      <c r="AJ85" s="201"/>
      <c r="AK85" s="201"/>
      <c r="AL85" s="201"/>
    </row>
    <row r="86" ht="22.5" customHeight="1">
      <c r="A86" s="187" t="str">
        <f>IFERROR(__xludf.DUMMYFUNCTION("""COMPUTED_VALUE"""),"Martin Salazar")</f>
        <v>Martin Salazar</v>
      </c>
      <c r="B86" s="188" t="str">
        <f>IFERROR(__xludf.DUMMYFUNCTION("""COMPUTED_VALUE"""),"Edwuin Martinez")</f>
        <v>Edwuin Martinez</v>
      </c>
      <c r="C86" s="236">
        <f>IFERROR(__xludf.DUMMYFUNCTION("""COMPUTED_VALUE"""),45845.0)</f>
        <v>45845</v>
      </c>
      <c r="D86" s="187">
        <f>IFERROR(__xludf.DUMMYFUNCTION("""COMPUTED_VALUE"""),27.0)</f>
        <v>27</v>
      </c>
      <c r="E86" s="187" t="str">
        <f>IFERROR(__xludf.DUMMYFUNCTION("""COMPUTED_VALUE"""),"Voice")</f>
        <v>Voice</v>
      </c>
      <c r="F86" s="187" t="str">
        <f>IFERROR(__xludf.DUMMYFUNCTION("""COMPUTED_VALUE"""),"C1277")</f>
        <v>C1277</v>
      </c>
      <c r="G86" s="185" t="str">
        <f>IFERROR(__xludf.DUMMYFUNCTION("""COMPUTED_VALUE"""),"edwuin.martinez@buwelo.com")</f>
        <v>edwuin.martinez@buwelo.com</v>
      </c>
      <c r="H86" s="185" t="str">
        <f>IFERROR(__xludf.DUMMYFUNCTION("""COMPUTED_VALUE"""),"ho.emartinez")</f>
        <v>ho.emartinez</v>
      </c>
      <c r="I86" s="185" t="str">
        <f>IFERROR(__xludf.DUMMYFUNCTION("""COMPUTED_VALUE"""),"Active")</f>
        <v>Active</v>
      </c>
      <c r="J86" s="298"/>
      <c r="K86" s="283"/>
      <c r="L86" s="299"/>
      <c r="M86" s="300"/>
      <c r="N86" s="301"/>
      <c r="O86" s="302"/>
      <c r="P86" s="302"/>
      <c r="S86" s="275">
        <v>126.0</v>
      </c>
      <c r="T86" s="275" t="s">
        <v>16</v>
      </c>
      <c r="U86" s="303" t="str">
        <f t="shared" si="1"/>
        <v>Anibal Munoz</v>
      </c>
      <c r="V86" s="304" t="str">
        <f>IFERROR(__xludf.DUMMYFUNCTION("INDEX(FILTER(BvsL!F:F, BvsL!D:D=T86),1)
"),"08:00")</f>
        <v>08:00</v>
      </c>
      <c r="W86" s="212">
        <f t="shared" si="2"/>
        <v>0.7083333333</v>
      </c>
      <c r="X86" s="275" t="str">
        <f t="shared" si="3"/>
        <v>10:45 - 11:00</v>
      </c>
      <c r="Y86" s="275" t="str">
        <f t="shared" si="4"/>
        <v>14:00 - 14:30</v>
      </c>
      <c r="Z86" s="275" t="str">
        <f t="shared" si="5"/>
        <v>15:45 - 16:00</v>
      </c>
      <c r="AA86" s="213">
        <f t="shared" si="6"/>
        <v>38</v>
      </c>
      <c r="AD86" s="296"/>
      <c r="AE86" s="201"/>
      <c r="AF86" s="201"/>
      <c r="AG86" s="201"/>
      <c r="AH86" s="201"/>
      <c r="AI86" s="201"/>
      <c r="AJ86" s="201"/>
      <c r="AK86" s="201"/>
      <c r="AL86" s="201"/>
    </row>
    <row r="87" ht="22.5" customHeight="1">
      <c r="A87" s="187" t="str">
        <f>IFERROR(__xludf.DUMMYFUNCTION("""COMPUTED_VALUE"""),"Martin Salazar")</f>
        <v>Martin Salazar</v>
      </c>
      <c r="B87" s="188" t="str">
        <f>IFERROR(__xludf.DUMMYFUNCTION("""COMPUTED_VALUE"""),"Frank Marin")</f>
        <v>Frank Marin</v>
      </c>
      <c r="C87" s="236">
        <f>IFERROR(__xludf.DUMMYFUNCTION("""COMPUTED_VALUE"""),45062.0)</f>
        <v>45062</v>
      </c>
      <c r="D87" s="187">
        <f>IFERROR(__xludf.DUMMYFUNCTION("""COMPUTED_VALUE"""),6.0)</f>
        <v>6</v>
      </c>
      <c r="E87" s="187" t="str">
        <f>IFERROR(__xludf.DUMMYFUNCTION("""COMPUTED_VALUE"""),"Voice")</f>
        <v>Voice</v>
      </c>
      <c r="F87" s="187" t="str">
        <f>IFERROR(__xludf.DUMMYFUNCTION("""COMPUTED_VALUE"""),"C713")</f>
        <v>C713</v>
      </c>
      <c r="G87" s="185" t="str">
        <f>IFERROR(__xludf.DUMMYFUNCTION("""COMPUTED_VALUE"""),"frank.marin@buwelo.com")</f>
        <v>frank.marin@buwelo.com</v>
      </c>
      <c r="H87" s="185" t="str">
        <f>IFERROR(__xludf.DUMMYFUNCTION("""COMPUTED_VALUE"""),"ho.fmarin")</f>
        <v>ho.fmarin</v>
      </c>
      <c r="I87" s="185" t="str">
        <f>IFERROR(__xludf.DUMMYFUNCTION("""COMPUTED_VALUE"""),"Active")</f>
        <v>Active</v>
      </c>
      <c r="J87" s="298"/>
      <c r="K87" s="283"/>
      <c r="L87" s="299"/>
      <c r="M87" s="300"/>
      <c r="N87" s="301"/>
      <c r="O87" s="302"/>
      <c r="P87" s="302"/>
      <c r="S87" s="275">
        <v>121.0</v>
      </c>
      <c r="T87" s="275" t="s">
        <v>42</v>
      </c>
      <c r="U87" s="303" t="str">
        <f t="shared" si="1"/>
        <v>Jorge Orozco</v>
      </c>
      <c r="V87" s="304" t="str">
        <f>IFERROR(__xludf.DUMMYFUNCTION("INDEX(FILTER(BvsL!F:F, BvsL!D:D=T87),1)
"),"08:00")</f>
        <v>08:00</v>
      </c>
      <c r="W87" s="212">
        <f t="shared" si="2"/>
        <v>0.7083333333</v>
      </c>
      <c r="X87" s="275" t="str">
        <f t="shared" si="3"/>
        <v>09:15 - 09:30</v>
      </c>
      <c r="Y87" s="275" t="str">
        <f t="shared" si="4"/>
        <v>11:30 - 12:00</v>
      </c>
      <c r="Z87" s="275" t="str">
        <f t="shared" si="5"/>
        <v>14:30 - 14:45</v>
      </c>
      <c r="AA87" s="213">
        <f t="shared" si="6"/>
        <v>38</v>
      </c>
      <c r="AD87" s="296"/>
      <c r="AE87" s="201"/>
      <c r="AF87" s="201"/>
      <c r="AG87" s="201"/>
      <c r="AH87" s="201"/>
      <c r="AI87" s="201"/>
      <c r="AJ87" s="201"/>
      <c r="AK87" s="201"/>
      <c r="AL87" s="201"/>
    </row>
    <row r="88" ht="22.5" customHeight="1">
      <c r="A88" s="187" t="str">
        <f>IFERROR(__xludf.DUMMYFUNCTION("""COMPUTED_VALUE"""),"Martin Salazar")</f>
        <v>Martin Salazar</v>
      </c>
      <c r="B88" s="188" t="str">
        <f>IFERROR(__xludf.DUMMYFUNCTION("""COMPUTED_VALUE"""),"Geraldine Correa")</f>
        <v>Geraldine Correa</v>
      </c>
      <c r="C88" s="236">
        <f>IFERROR(__xludf.DUMMYFUNCTION("""COMPUTED_VALUE"""),45698.0)</f>
        <v>45698</v>
      </c>
      <c r="D88" s="216">
        <f>IFERROR(__xludf.DUMMYFUNCTION("""COMPUTED_VALUE"""),23.0)</f>
        <v>23</v>
      </c>
      <c r="E88" s="187" t="str">
        <f>IFERROR(__xludf.DUMMYFUNCTION("""COMPUTED_VALUE"""),"Voice")</f>
        <v>Voice</v>
      </c>
      <c r="F88" s="187" t="str">
        <f>IFERROR(__xludf.DUMMYFUNCTION("""COMPUTED_VALUE"""),"C1017")</f>
        <v>C1017</v>
      </c>
      <c r="G88" s="185" t="str">
        <f>IFERROR(__xludf.DUMMYFUNCTION("""COMPUTED_VALUE"""),"geraldine.correa@buwelo.com")</f>
        <v>geraldine.correa@buwelo.com</v>
      </c>
      <c r="H88" s="185" t="str">
        <f>IFERROR(__xludf.DUMMYFUNCTION("""COMPUTED_VALUE"""),"ho.gecorrea")</f>
        <v>ho.gecorrea</v>
      </c>
      <c r="I88" s="185" t="str">
        <f>IFERROR(__xludf.DUMMYFUNCTION("""COMPUTED_VALUE"""),"Active")</f>
        <v>Active</v>
      </c>
      <c r="J88" s="298"/>
      <c r="K88" s="283"/>
      <c r="L88" s="299"/>
      <c r="M88" s="300"/>
      <c r="N88" s="301"/>
      <c r="O88" s="302"/>
      <c r="P88" s="302"/>
      <c r="S88" s="275">
        <v>122.0</v>
      </c>
      <c r="T88" s="275" t="s">
        <v>49</v>
      </c>
      <c r="U88" s="303" t="str">
        <f t="shared" si="1"/>
        <v>Juan Zapata</v>
      </c>
      <c r="V88" s="304" t="str">
        <f>IFERROR(__xludf.DUMMYFUNCTION("INDEX(FILTER(BvsL!F:F, BvsL!D:D=T88),1)
"),"08:00")</f>
        <v>08:00</v>
      </c>
      <c r="W88" s="212">
        <f t="shared" si="2"/>
        <v>0.7083333333</v>
      </c>
      <c r="X88" s="275" t="str">
        <f t="shared" si="3"/>
        <v>09:30 - 09:45</v>
      </c>
      <c r="Y88" s="275" t="str">
        <f t="shared" si="4"/>
        <v>12:00 - 12:30</v>
      </c>
      <c r="Z88" s="275" t="str">
        <f t="shared" si="5"/>
        <v>14:45 - 15:00</v>
      </c>
      <c r="AA88" s="213">
        <f t="shared" si="6"/>
        <v>38</v>
      </c>
      <c r="AD88" s="296"/>
      <c r="AE88" s="201"/>
      <c r="AF88" s="201"/>
      <c r="AG88" s="201"/>
      <c r="AH88" s="201"/>
      <c r="AI88" s="201"/>
      <c r="AJ88" s="201"/>
      <c r="AK88" s="201"/>
      <c r="AL88" s="201"/>
    </row>
    <row r="89" ht="22.5" customHeight="1">
      <c r="A89" s="187" t="str">
        <f>IFERROR(__xludf.DUMMYFUNCTION("""COMPUTED_VALUE"""),"Martin Salazar")</f>
        <v>Martin Salazar</v>
      </c>
      <c r="B89" s="188" t="str">
        <f>IFERROR(__xludf.DUMMYFUNCTION("""COMPUTED_VALUE"""),"Jeidin Vargas")</f>
        <v>Jeidin Vargas</v>
      </c>
      <c r="C89" s="236">
        <f>IFERROR(__xludf.DUMMYFUNCTION("""COMPUTED_VALUE"""),46093.0)</f>
        <v>46093</v>
      </c>
      <c r="D89" s="187">
        <f>IFERROR(__xludf.DUMMYFUNCTION("""COMPUTED_VALUE"""),37.0)</f>
        <v>37</v>
      </c>
      <c r="E89" s="187" t="str">
        <f>IFERROR(__xludf.DUMMYFUNCTION("""COMPUTED_VALUE"""),"Voice")</f>
        <v>Voice</v>
      </c>
      <c r="F89" s="187" t="str">
        <f>IFERROR(__xludf.DUMMYFUNCTION("""COMPUTED_VALUE"""),"C1550")</f>
        <v>C1550</v>
      </c>
      <c r="G89" s="185" t="str">
        <f>IFERROR(__xludf.DUMMYFUNCTION("""COMPUTED_VALUE"""),"@email")</f>
        <v>@email</v>
      </c>
      <c r="H89" s="185" t="str">
        <f>IFERROR(__xludf.DUMMYFUNCTION("""COMPUTED_VALUE"""),"ho.jvargas")</f>
        <v>ho.jvargas</v>
      </c>
      <c r="I89" s="185" t="str">
        <f>IFERROR(__xludf.DUMMYFUNCTION("""COMPUTED_VALUE"""),"Active")</f>
        <v>Active</v>
      </c>
      <c r="J89" s="298"/>
      <c r="K89" s="283"/>
      <c r="L89" s="299"/>
      <c r="M89" s="300"/>
      <c r="N89" s="301"/>
      <c r="O89" s="302"/>
      <c r="P89" s="302"/>
      <c r="S89" s="275">
        <v>123.0</v>
      </c>
      <c r="T89" s="275" t="s">
        <v>55</v>
      </c>
      <c r="U89" s="303" t="str">
        <f t="shared" si="1"/>
        <v>Laura Chamorro</v>
      </c>
      <c r="V89" s="304" t="str">
        <f>IFERROR(__xludf.DUMMYFUNCTION("INDEX(FILTER(BvsL!F:F, BvsL!D:D=T89),1)
"),"08:00")</f>
        <v>08:00</v>
      </c>
      <c r="W89" s="212">
        <f t="shared" si="2"/>
        <v>0.7083333333</v>
      </c>
      <c r="X89" s="275" t="str">
        <f t="shared" si="3"/>
        <v>09:45 - 10:00 </v>
      </c>
      <c r="Y89" s="275" t="str">
        <f t="shared" si="4"/>
        <v>12:30 - 13:00</v>
      </c>
      <c r="Z89" s="275" t="str">
        <f t="shared" si="5"/>
        <v>15:00 - 15:15</v>
      </c>
      <c r="AA89" s="213">
        <f t="shared" si="6"/>
        <v>38</v>
      </c>
      <c r="AD89" s="296"/>
      <c r="AE89" s="201"/>
      <c r="AF89" s="201"/>
      <c r="AG89" s="201"/>
      <c r="AH89" s="201"/>
      <c r="AI89" s="201"/>
      <c r="AJ89" s="201"/>
      <c r="AK89" s="201"/>
      <c r="AL89" s="201"/>
    </row>
    <row r="90" ht="22.5" customHeight="1">
      <c r="A90" s="187" t="str">
        <f>IFERROR(__xludf.DUMMYFUNCTION("""COMPUTED_VALUE"""),"Martin Salazar")</f>
        <v>Martin Salazar</v>
      </c>
      <c r="B90" s="188" t="str">
        <f>IFERROR(__xludf.DUMMYFUNCTION("""COMPUTED_VALUE"""),"Johny Garcia")</f>
        <v>Johny Garcia</v>
      </c>
      <c r="C90" s="236">
        <f>IFERROR(__xludf.DUMMYFUNCTION("""COMPUTED_VALUE"""),46083.0)</f>
        <v>46083</v>
      </c>
      <c r="D90" s="187">
        <f>IFERROR(__xludf.DUMMYFUNCTION("""COMPUTED_VALUE"""),36.0)</f>
        <v>36</v>
      </c>
      <c r="E90" s="187" t="str">
        <f>IFERROR(__xludf.DUMMYFUNCTION("""COMPUTED_VALUE"""),"Voice")</f>
        <v>Voice</v>
      </c>
      <c r="F90" s="187" t="str">
        <f>IFERROR(__xludf.DUMMYFUNCTION("""COMPUTED_VALUE"""),"C1542")</f>
        <v>C1542</v>
      </c>
      <c r="G90" s="185" t="str">
        <f>IFERROR(__xludf.DUMMYFUNCTION("""COMPUTED_VALUE"""),"@email")</f>
        <v>@email</v>
      </c>
      <c r="H90" s="185" t="str">
        <f>IFERROR(__xludf.DUMMYFUNCTION("""COMPUTED_VALUE"""),"ho.johgarcia")</f>
        <v>ho.johgarcia</v>
      </c>
      <c r="I90" s="185" t="str">
        <f>IFERROR(__xludf.DUMMYFUNCTION("""COMPUTED_VALUE"""),"Active")</f>
        <v>Active</v>
      </c>
      <c r="J90" s="298"/>
      <c r="K90" s="283"/>
      <c r="L90" s="299"/>
      <c r="M90" s="300"/>
      <c r="N90" s="301"/>
      <c r="O90" s="302"/>
      <c r="P90" s="302"/>
      <c r="S90" s="275"/>
      <c r="T90" s="275"/>
      <c r="U90" s="303" t="str">
        <f t="shared" si="1"/>
        <v/>
      </c>
      <c r="V90" s="304" t="str">
        <f>IFERROR(__xludf.DUMMYFUNCTION("INDEX(FILTER(BvsL!F:F, BvsL!D:D=T90),1)
"),"")</f>
        <v/>
      </c>
      <c r="W90" s="212">
        <f t="shared" si="2"/>
        <v>0.375</v>
      </c>
      <c r="X90" s="275" t="str">
        <f t="shared" si="3"/>
        <v/>
      </c>
      <c r="Y90" s="275" t="str">
        <f t="shared" si="4"/>
        <v/>
      </c>
      <c r="Z90" s="275" t="str">
        <f t="shared" si="5"/>
        <v/>
      </c>
      <c r="AA90" s="213" t="str">
        <f t="shared" si="6"/>
        <v/>
      </c>
      <c r="AD90" s="296"/>
      <c r="AE90" s="201"/>
      <c r="AF90" s="201"/>
      <c r="AG90" s="201"/>
      <c r="AH90" s="201"/>
      <c r="AI90" s="201"/>
      <c r="AJ90" s="201"/>
      <c r="AK90" s="201"/>
      <c r="AL90" s="201"/>
    </row>
    <row r="91" ht="22.5" customHeight="1">
      <c r="A91" s="187" t="str">
        <f>IFERROR(__xludf.DUMMYFUNCTION("""COMPUTED_VALUE"""),"Martin Salazar")</f>
        <v>Martin Salazar</v>
      </c>
      <c r="B91" s="188" t="str">
        <f>IFERROR(__xludf.DUMMYFUNCTION("""COMPUTED_VALUE"""),"Juan Barrera")</f>
        <v>Juan Barrera</v>
      </c>
      <c r="C91" s="236">
        <f>IFERROR(__xludf.DUMMYFUNCTION("""COMPUTED_VALUE"""),46083.0)</f>
        <v>46083</v>
      </c>
      <c r="D91" s="187">
        <f>IFERROR(__xludf.DUMMYFUNCTION("""COMPUTED_VALUE"""),36.0)</f>
        <v>36</v>
      </c>
      <c r="E91" s="187" t="str">
        <f>IFERROR(__xludf.DUMMYFUNCTION("""COMPUTED_VALUE"""),"Voice")</f>
        <v>Voice</v>
      </c>
      <c r="F91" s="187" t="str">
        <f>IFERROR(__xludf.DUMMYFUNCTION("""COMPUTED_VALUE"""),"C1533")</f>
        <v>C1533</v>
      </c>
      <c r="G91" s="185" t="str">
        <f>IFERROR(__xludf.DUMMYFUNCTION("""COMPUTED_VALUE"""),"@email")</f>
        <v>@email</v>
      </c>
      <c r="H91" s="185" t="str">
        <f>IFERROR(__xludf.DUMMYFUNCTION("""COMPUTED_VALUE"""),"ho.jbarrera")</f>
        <v>ho.jbarrera</v>
      </c>
      <c r="I91" s="185" t="str">
        <f>IFERROR(__xludf.DUMMYFUNCTION("""COMPUTED_VALUE"""),"Active")</f>
        <v>Active</v>
      </c>
      <c r="J91" s="298"/>
      <c r="K91" s="283"/>
      <c r="L91" s="299"/>
      <c r="M91" s="300"/>
      <c r="N91" s="301"/>
      <c r="O91" s="302"/>
      <c r="P91" s="302"/>
      <c r="S91" s="275"/>
      <c r="T91" s="275"/>
      <c r="U91" s="303" t="str">
        <f t="shared" si="1"/>
        <v/>
      </c>
      <c r="V91" s="304" t="str">
        <f>IFERROR(__xludf.DUMMYFUNCTION("INDEX(FILTER(BvsL!F:F, BvsL!D:D=T91),1)
"),"")</f>
        <v/>
      </c>
      <c r="W91" s="212">
        <f t="shared" si="2"/>
        <v>0.375</v>
      </c>
      <c r="X91" s="275" t="str">
        <f t="shared" si="3"/>
        <v/>
      </c>
      <c r="Y91" s="275" t="str">
        <f t="shared" si="4"/>
        <v/>
      </c>
      <c r="Z91" s="275" t="str">
        <f t="shared" si="5"/>
        <v/>
      </c>
      <c r="AA91" s="213" t="str">
        <f t="shared" si="6"/>
        <v/>
      </c>
      <c r="AD91" s="296"/>
      <c r="AE91" s="201"/>
      <c r="AF91" s="201"/>
      <c r="AG91" s="201"/>
      <c r="AH91" s="201"/>
      <c r="AI91" s="201"/>
      <c r="AJ91" s="201"/>
      <c r="AK91" s="201"/>
      <c r="AL91" s="201"/>
    </row>
    <row r="92" ht="22.5" customHeight="1">
      <c r="A92" s="187" t="str">
        <f>IFERROR(__xludf.DUMMYFUNCTION("""COMPUTED_VALUE"""),"Martin Salazar")</f>
        <v>Martin Salazar</v>
      </c>
      <c r="B92" s="188" t="str">
        <f>IFERROR(__xludf.DUMMYFUNCTION("""COMPUTED_VALUE"""),"Karen Lorena Martinez")</f>
        <v>Karen Lorena Martinez</v>
      </c>
      <c r="C92" s="236">
        <f>IFERROR(__xludf.DUMMYFUNCTION("""COMPUTED_VALUE"""),45985.0)</f>
        <v>45985</v>
      </c>
      <c r="D92" s="187">
        <f>IFERROR(__xludf.DUMMYFUNCTION("""COMPUTED_VALUE"""),32.0)</f>
        <v>32</v>
      </c>
      <c r="E92" s="187" t="str">
        <f>IFERROR(__xludf.DUMMYFUNCTION("""COMPUTED_VALUE"""),"Voice")</f>
        <v>Voice</v>
      </c>
      <c r="F92" s="187" t="str">
        <f>IFERROR(__xludf.DUMMYFUNCTION("""COMPUTED_VALUE"""),"C1427")</f>
        <v>C1427</v>
      </c>
      <c r="G92" s="185" t="str">
        <f>IFERROR(__xludf.DUMMYFUNCTION("""COMPUTED_VALUE"""),"karen.martineza@buwelo.com")</f>
        <v>karen.martineza@buwelo.com</v>
      </c>
      <c r="H92" s="185" t="str">
        <f>IFERROR(__xludf.DUMMYFUNCTION("""COMPUTED_VALUE"""),"ho.kamartinez")</f>
        <v>ho.kamartinez</v>
      </c>
      <c r="I92" s="185" t="str">
        <f>IFERROR(__xludf.DUMMYFUNCTION("""COMPUTED_VALUE"""),"Active")</f>
        <v>Active</v>
      </c>
      <c r="J92" s="298"/>
      <c r="K92" s="283"/>
      <c r="L92" s="299"/>
      <c r="M92" s="300"/>
      <c r="N92" s="301"/>
      <c r="O92" s="302"/>
      <c r="P92" s="302"/>
      <c r="S92" s="275"/>
      <c r="T92" s="275"/>
      <c r="U92" s="303" t="str">
        <f t="shared" si="1"/>
        <v/>
      </c>
      <c r="V92" s="304" t="str">
        <f>IFERROR(__xludf.DUMMYFUNCTION("INDEX(FILTER(BvsL!F:F, BvsL!D:D=T92),1)
"),"")</f>
        <v/>
      </c>
      <c r="W92" s="212">
        <f t="shared" si="2"/>
        <v>0.375</v>
      </c>
      <c r="X92" s="275" t="str">
        <f t="shared" si="3"/>
        <v/>
      </c>
      <c r="Y92" s="275" t="str">
        <f t="shared" si="4"/>
        <v/>
      </c>
      <c r="Z92" s="275" t="str">
        <f t="shared" si="5"/>
        <v/>
      </c>
      <c r="AA92" s="213" t="str">
        <f t="shared" si="6"/>
        <v/>
      </c>
      <c r="AD92" s="296"/>
      <c r="AE92" s="201"/>
      <c r="AF92" s="201"/>
      <c r="AG92" s="201"/>
      <c r="AH92" s="201"/>
      <c r="AI92" s="201"/>
      <c r="AJ92" s="201"/>
      <c r="AK92" s="201"/>
      <c r="AL92" s="201"/>
    </row>
    <row r="93" ht="22.5" customHeight="1">
      <c r="A93" s="187" t="str">
        <f>IFERROR(__xludf.DUMMYFUNCTION("""COMPUTED_VALUE"""),"Martin Salazar")</f>
        <v>Martin Salazar</v>
      </c>
      <c r="B93" s="188" t="str">
        <f>IFERROR(__xludf.DUMMYFUNCTION("""COMPUTED_VALUE"""),"Karol Pineda")</f>
        <v>Karol Pineda</v>
      </c>
      <c r="C93" s="236">
        <f>IFERROR(__xludf.DUMMYFUNCTION("""COMPUTED_VALUE"""),46041.0)</f>
        <v>46041</v>
      </c>
      <c r="D93" s="187">
        <f>IFERROR(__xludf.DUMMYFUNCTION("""COMPUTED_VALUE"""),34.0)</f>
        <v>34</v>
      </c>
      <c r="E93" s="187" t="str">
        <f>IFERROR(__xludf.DUMMYFUNCTION("""COMPUTED_VALUE"""),"Voice")</f>
        <v>Voice</v>
      </c>
      <c r="F93" s="187" t="str">
        <f>IFERROR(__xludf.DUMMYFUNCTION("""COMPUTED_VALUE"""),"C1492")</f>
        <v>C1492</v>
      </c>
      <c r="G93" s="185" t="str">
        <f>IFERROR(__xludf.DUMMYFUNCTION("""COMPUTED_VALUE"""),"karol.pineda@buwelo.com")</f>
        <v>karol.pineda@buwelo.com</v>
      </c>
      <c r="H93" s="185" t="str">
        <f>IFERROR(__xludf.DUMMYFUNCTION("""COMPUTED_VALUE"""),"ho.kpineda")</f>
        <v>ho.kpineda</v>
      </c>
      <c r="I93" s="185" t="str">
        <f>IFERROR(__xludf.DUMMYFUNCTION("""COMPUTED_VALUE"""),"Active")</f>
        <v>Active</v>
      </c>
      <c r="J93" s="298"/>
      <c r="K93" s="283"/>
      <c r="L93" s="299"/>
      <c r="M93" s="300"/>
      <c r="N93" s="301"/>
      <c r="O93" s="302"/>
      <c r="P93" s="302"/>
      <c r="S93" s="275"/>
      <c r="T93" s="275"/>
      <c r="U93" s="303" t="str">
        <f t="shared" si="1"/>
        <v/>
      </c>
      <c r="V93" s="304" t="str">
        <f>IFERROR(__xludf.DUMMYFUNCTION("INDEX(FILTER(BvsL!F:F, BvsL!D:D=T93),1)
"),"")</f>
        <v/>
      </c>
      <c r="W93" s="212">
        <f t="shared" si="2"/>
        <v>0.375</v>
      </c>
      <c r="X93" s="275" t="str">
        <f t="shared" si="3"/>
        <v/>
      </c>
      <c r="Y93" s="275" t="str">
        <f t="shared" si="4"/>
        <v/>
      </c>
      <c r="Z93" s="275" t="str">
        <f t="shared" si="5"/>
        <v/>
      </c>
      <c r="AA93" s="213" t="str">
        <f t="shared" si="6"/>
        <v/>
      </c>
      <c r="AD93" s="296"/>
      <c r="AE93" s="201"/>
      <c r="AF93" s="201"/>
      <c r="AG93" s="201"/>
      <c r="AH93" s="201"/>
      <c r="AI93" s="201"/>
      <c r="AJ93" s="201"/>
      <c r="AK93" s="201"/>
      <c r="AL93" s="201"/>
    </row>
    <row r="94" ht="22.5" customHeight="1">
      <c r="A94" s="187" t="str">
        <f>IFERROR(__xludf.DUMMYFUNCTION("""COMPUTED_VALUE"""),"Martin Salazar")</f>
        <v>Martin Salazar</v>
      </c>
      <c r="B94" s="188" t="str">
        <f>IFERROR(__xludf.DUMMYFUNCTION("""COMPUTED_VALUE"""),"Lisandro Alvarado")</f>
        <v>Lisandro Alvarado</v>
      </c>
      <c r="C94" s="236">
        <f>IFERROR(__xludf.DUMMYFUNCTION("""COMPUTED_VALUE"""),46076.0)</f>
        <v>46076</v>
      </c>
      <c r="D94" s="187">
        <f>IFERROR(__xludf.DUMMYFUNCTION("""COMPUTED_VALUE"""),35.0)</f>
        <v>35</v>
      </c>
      <c r="E94" s="187" t="str">
        <f>IFERROR(__xludf.DUMMYFUNCTION("""COMPUTED_VALUE"""),"Voice")</f>
        <v>Voice</v>
      </c>
      <c r="F94" s="187" t="str">
        <f>IFERROR(__xludf.DUMMYFUNCTION("""COMPUTED_VALUE"""),"C1517")</f>
        <v>C1517</v>
      </c>
      <c r="G94" s="185" t="str">
        <f>IFERROR(__xludf.DUMMYFUNCTION("""COMPUTED_VALUE"""),"email")</f>
        <v>email</v>
      </c>
      <c r="H94" s="185" t="str">
        <f>IFERROR(__xludf.DUMMYFUNCTION("""COMPUTED_VALUE"""),"ho.lalvarado")</f>
        <v>ho.lalvarado</v>
      </c>
      <c r="I94" s="185" t="str">
        <f>IFERROR(__xludf.DUMMYFUNCTION("""COMPUTED_VALUE"""),"Active")</f>
        <v>Active</v>
      </c>
      <c r="J94" s="298"/>
      <c r="K94" s="283"/>
      <c r="L94" s="299"/>
      <c r="M94" s="300"/>
      <c r="N94" s="301"/>
      <c r="O94" s="302"/>
      <c r="P94" s="302"/>
      <c r="S94" s="275"/>
      <c r="T94" s="275"/>
      <c r="U94" s="303" t="str">
        <f t="shared" si="1"/>
        <v/>
      </c>
      <c r="V94" s="304" t="str">
        <f>IFERROR(__xludf.DUMMYFUNCTION("INDEX(FILTER(BvsL!F:F, BvsL!D:D=T94),1)
"),"")</f>
        <v/>
      </c>
      <c r="W94" s="212">
        <f t="shared" si="2"/>
        <v>0.375</v>
      </c>
      <c r="X94" s="275" t="str">
        <f t="shared" si="3"/>
        <v/>
      </c>
      <c r="Y94" s="275" t="str">
        <f t="shared" si="4"/>
        <v/>
      </c>
      <c r="Z94" s="275" t="str">
        <f t="shared" si="5"/>
        <v/>
      </c>
      <c r="AA94" s="213" t="str">
        <f t="shared" si="6"/>
        <v/>
      </c>
      <c r="AD94" s="296"/>
      <c r="AE94" s="201"/>
      <c r="AF94" s="201"/>
      <c r="AG94" s="201"/>
      <c r="AH94" s="201"/>
      <c r="AI94" s="201"/>
      <c r="AJ94" s="201"/>
      <c r="AK94" s="201"/>
      <c r="AL94" s="201"/>
    </row>
    <row r="95" ht="22.5" customHeight="1">
      <c r="A95" s="187" t="str">
        <f>IFERROR(__xludf.DUMMYFUNCTION("""COMPUTED_VALUE"""),"Martin Salazar")</f>
        <v>Martin Salazar</v>
      </c>
      <c r="B95" s="188" t="str">
        <f>IFERROR(__xludf.DUMMYFUNCTION("""COMPUTED_VALUE"""),"Luis Munoz")</f>
        <v>Luis Munoz</v>
      </c>
      <c r="C95" s="236">
        <f>IFERROR(__xludf.DUMMYFUNCTION("""COMPUTED_VALUE"""),46083.0)</f>
        <v>46083</v>
      </c>
      <c r="D95" s="187">
        <f>IFERROR(__xludf.DUMMYFUNCTION("""COMPUTED_VALUE"""),36.0)</f>
        <v>36</v>
      </c>
      <c r="E95" s="187" t="str">
        <f>IFERROR(__xludf.DUMMYFUNCTION("""COMPUTED_VALUE"""),"Voice")</f>
        <v>Voice</v>
      </c>
      <c r="F95" s="187" t="str">
        <f>IFERROR(__xludf.DUMMYFUNCTION("""COMPUTED_VALUE"""),"C1534")</f>
        <v>C1534</v>
      </c>
      <c r="G95" s="185" t="str">
        <f>IFERROR(__xludf.DUMMYFUNCTION("""COMPUTED_VALUE"""),"@email")</f>
        <v>@email</v>
      </c>
      <c r="H95" s="185" t="str">
        <f>IFERROR(__xludf.DUMMYFUNCTION("""COMPUTED_VALUE"""),"ho.lmunoz")</f>
        <v>ho.lmunoz</v>
      </c>
      <c r="I95" s="185" t="str">
        <f>IFERROR(__xludf.DUMMYFUNCTION("""COMPUTED_VALUE"""),"Active")</f>
        <v>Active</v>
      </c>
      <c r="J95" s="298"/>
      <c r="K95" s="283"/>
      <c r="L95" s="299"/>
      <c r="M95" s="300"/>
      <c r="N95" s="301"/>
      <c r="O95" s="302"/>
      <c r="P95" s="302"/>
      <c r="S95" s="275"/>
      <c r="T95" s="275"/>
      <c r="U95" s="303" t="str">
        <f t="shared" si="1"/>
        <v/>
      </c>
      <c r="V95" s="304" t="str">
        <f>IFERROR(__xludf.DUMMYFUNCTION("INDEX(FILTER(BvsL!F:F, BvsL!D:D=T95),1)
"),"")</f>
        <v/>
      </c>
      <c r="W95" s="212">
        <f t="shared" si="2"/>
        <v>0.375</v>
      </c>
      <c r="X95" s="275" t="str">
        <f t="shared" si="3"/>
        <v/>
      </c>
      <c r="Y95" s="275" t="str">
        <f t="shared" si="4"/>
        <v/>
      </c>
      <c r="Z95" s="275" t="str">
        <f t="shared" si="5"/>
        <v/>
      </c>
      <c r="AA95" s="213" t="str">
        <f t="shared" si="6"/>
        <v/>
      </c>
      <c r="AD95" s="296"/>
      <c r="AE95" s="201"/>
      <c r="AF95" s="201"/>
      <c r="AG95" s="201"/>
      <c r="AH95" s="201"/>
      <c r="AI95" s="201"/>
      <c r="AJ95" s="201"/>
      <c r="AK95" s="201"/>
      <c r="AL95" s="201"/>
    </row>
    <row r="96" ht="22.5" customHeight="1">
      <c r="A96" s="187" t="str">
        <f>IFERROR(__xludf.DUMMYFUNCTION("""COMPUTED_VALUE"""),"Martin Salazar")</f>
        <v>Martin Salazar</v>
      </c>
      <c r="B96" s="188" t="str">
        <f>IFERROR(__xludf.DUMMYFUNCTION("""COMPUTED_VALUE"""),"Luisa Gonzalez")</f>
        <v>Luisa Gonzalez</v>
      </c>
      <c r="C96" s="236">
        <f>IFERROR(__xludf.DUMMYFUNCTION("""COMPUTED_VALUE"""),45670.0)</f>
        <v>45670</v>
      </c>
      <c r="D96" s="187">
        <f>IFERROR(__xludf.DUMMYFUNCTION("""COMPUTED_VALUE"""),22.0)</f>
        <v>22</v>
      </c>
      <c r="E96" s="187" t="str">
        <f>IFERROR(__xludf.DUMMYFUNCTION("""COMPUTED_VALUE"""),"Voice")</f>
        <v>Voice</v>
      </c>
      <c r="F96" s="187" t="str">
        <f>IFERROR(__xludf.DUMMYFUNCTION("""COMPUTED_VALUE"""),"C1136")</f>
        <v>C1136</v>
      </c>
      <c r="G96" s="185" t="str">
        <f>IFERROR(__xludf.DUMMYFUNCTION("""COMPUTED_VALUE"""),"luisa.gonzalez@buwelo.com")</f>
        <v>luisa.gonzalez@buwelo.com</v>
      </c>
      <c r="H96" s="185" t="str">
        <f>IFERROR(__xludf.DUMMYFUNCTION("""COMPUTED_VALUE"""),"ho.lgonzalez")</f>
        <v>ho.lgonzalez</v>
      </c>
      <c r="I96" s="185" t="str">
        <f>IFERROR(__xludf.DUMMYFUNCTION("""COMPUTED_VALUE"""),"Active")</f>
        <v>Active</v>
      </c>
      <c r="J96" s="298"/>
      <c r="K96" s="283"/>
      <c r="L96" s="299"/>
      <c r="M96" s="300"/>
      <c r="N96" s="301"/>
      <c r="O96" s="302"/>
      <c r="P96" s="302"/>
      <c r="S96" s="275"/>
      <c r="T96" s="275"/>
      <c r="U96" s="303" t="str">
        <f t="shared" si="1"/>
        <v/>
      </c>
      <c r="V96" s="304" t="str">
        <f>IFERROR(__xludf.DUMMYFUNCTION("INDEX(FILTER(BvsL!F:F, BvsL!D:D=T96),1)
"),"")</f>
        <v/>
      </c>
      <c r="W96" s="212">
        <f t="shared" si="2"/>
        <v>0.375</v>
      </c>
      <c r="X96" s="275" t="str">
        <f t="shared" si="3"/>
        <v/>
      </c>
      <c r="Y96" s="275" t="str">
        <f t="shared" si="4"/>
        <v/>
      </c>
      <c r="Z96" s="275" t="str">
        <f t="shared" si="5"/>
        <v/>
      </c>
      <c r="AA96" s="213" t="str">
        <f t="shared" si="6"/>
        <v/>
      </c>
      <c r="AD96" s="296"/>
      <c r="AE96" s="201"/>
      <c r="AF96" s="201"/>
      <c r="AG96" s="201"/>
      <c r="AH96" s="201"/>
      <c r="AI96" s="201"/>
      <c r="AJ96" s="201"/>
      <c r="AK96" s="201"/>
      <c r="AL96" s="201"/>
    </row>
    <row r="97" ht="22.5" customHeight="1">
      <c r="A97" s="187" t="str">
        <f>IFERROR(__xludf.DUMMYFUNCTION("""COMPUTED_VALUE"""),"Martin Salazar")</f>
        <v>Martin Salazar</v>
      </c>
      <c r="B97" s="188" t="str">
        <f>IFERROR(__xludf.DUMMYFUNCTION("""COMPUTED_VALUE"""),"Maria Mesa")</f>
        <v>Maria Mesa</v>
      </c>
      <c r="C97" s="236">
        <f>IFERROR(__xludf.DUMMYFUNCTION("""COMPUTED_VALUE"""),46083.0)</f>
        <v>46083</v>
      </c>
      <c r="D97" s="187">
        <f>IFERROR(__xludf.DUMMYFUNCTION("""COMPUTED_VALUE"""),36.0)</f>
        <v>36</v>
      </c>
      <c r="E97" s="187" t="str">
        <f>IFERROR(__xludf.DUMMYFUNCTION("""COMPUTED_VALUE"""),"Voice")</f>
        <v>Voice</v>
      </c>
      <c r="F97" s="187" t="str">
        <f>IFERROR(__xludf.DUMMYFUNCTION("""COMPUTED_VALUE"""),"C1536")</f>
        <v>C1536</v>
      </c>
      <c r="G97" s="185" t="str">
        <f>IFERROR(__xludf.DUMMYFUNCTION("""COMPUTED_VALUE"""),"@email")</f>
        <v>@email</v>
      </c>
      <c r="H97" s="185" t="str">
        <f>IFERROR(__xludf.DUMMYFUNCTION("""COMPUTED_VALUE"""),"ho.mmesa")</f>
        <v>ho.mmesa</v>
      </c>
      <c r="I97" s="185" t="str">
        <f>IFERROR(__xludf.DUMMYFUNCTION("""COMPUTED_VALUE"""),"Active")</f>
        <v>Active</v>
      </c>
      <c r="J97" s="298"/>
      <c r="K97" s="283"/>
      <c r="L97" s="299"/>
      <c r="M97" s="300"/>
      <c r="N97" s="301"/>
      <c r="O97" s="302"/>
      <c r="P97" s="302"/>
      <c r="S97" s="275"/>
      <c r="T97" s="275"/>
      <c r="U97" s="303" t="str">
        <f t="shared" si="1"/>
        <v/>
      </c>
      <c r="V97" s="304" t="str">
        <f>IFERROR(__xludf.DUMMYFUNCTION("INDEX(FILTER(BvsL!F:F, BvsL!D:D=T97),1)
"),"")</f>
        <v/>
      </c>
      <c r="W97" s="212">
        <f t="shared" si="2"/>
        <v>0.375</v>
      </c>
      <c r="X97" s="275" t="str">
        <f t="shared" si="3"/>
        <v/>
      </c>
      <c r="Y97" s="275" t="str">
        <f t="shared" si="4"/>
        <v/>
      </c>
      <c r="Z97" s="275" t="str">
        <f t="shared" si="5"/>
        <v/>
      </c>
      <c r="AA97" s="213" t="str">
        <f t="shared" si="6"/>
        <v/>
      </c>
      <c r="AD97" s="296"/>
      <c r="AE97" s="201"/>
      <c r="AF97" s="201"/>
      <c r="AG97" s="201"/>
      <c r="AH97" s="201"/>
      <c r="AI97" s="201"/>
      <c r="AJ97" s="201"/>
      <c r="AK97" s="201"/>
      <c r="AL97" s="201"/>
    </row>
    <row r="98" ht="22.5" customHeight="1">
      <c r="A98" s="187" t="str">
        <f>IFERROR(__xludf.DUMMYFUNCTION("""COMPUTED_VALUE"""),"Martin Salazar")</f>
        <v>Martin Salazar</v>
      </c>
      <c r="B98" s="188" t="str">
        <f>IFERROR(__xludf.DUMMYFUNCTION("""COMPUTED_VALUE"""),"Mikel Bowie")</f>
        <v>Mikel Bowie</v>
      </c>
      <c r="C98" s="236">
        <f>IFERROR(__xludf.DUMMYFUNCTION("""COMPUTED_VALUE"""),45614.0)</f>
        <v>45614</v>
      </c>
      <c r="D98" s="187">
        <f>IFERROR(__xludf.DUMMYFUNCTION("""COMPUTED_VALUE"""),20.0)</f>
        <v>20</v>
      </c>
      <c r="E98" s="187" t="str">
        <f>IFERROR(__xludf.DUMMYFUNCTION("""COMPUTED_VALUE"""),"Voice")</f>
        <v>Voice</v>
      </c>
      <c r="F98" s="187" t="str">
        <f>IFERROR(__xludf.DUMMYFUNCTION("""COMPUTED_VALUE"""),"C1114")</f>
        <v>C1114</v>
      </c>
      <c r="G98" s="185" t="str">
        <f>IFERROR(__xludf.DUMMYFUNCTION("""COMPUTED_VALUE"""),"mikel.bowie@buwelo.com")</f>
        <v>mikel.bowie@buwelo.com</v>
      </c>
      <c r="H98" s="185" t="str">
        <f>IFERROR(__xludf.DUMMYFUNCTION("""COMPUTED_VALUE"""),"ho.mbowie")</f>
        <v>ho.mbowie</v>
      </c>
      <c r="I98" s="185" t="str">
        <f>IFERROR(__xludf.DUMMYFUNCTION("""COMPUTED_VALUE"""),"Active")</f>
        <v>Active</v>
      </c>
      <c r="J98" s="298"/>
      <c r="K98" s="283"/>
      <c r="L98" s="299"/>
      <c r="M98" s="300"/>
      <c r="N98" s="301"/>
      <c r="O98" s="302"/>
      <c r="P98" s="302"/>
      <c r="S98" s="275"/>
      <c r="T98" s="275"/>
      <c r="U98" s="303" t="str">
        <f t="shared" si="1"/>
        <v/>
      </c>
      <c r="V98" s="304" t="str">
        <f>IFERROR(__xludf.DUMMYFUNCTION("INDEX(FILTER(BvsL!F:F, BvsL!D:D=T98),1)
"),"")</f>
        <v/>
      </c>
      <c r="W98" s="212">
        <f t="shared" si="2"/>
        <v>0.375</v>
      </c>
      <c r="X98" s="275" t="str">
        <f t="shared" si="3"/>
        <v/>
      </c>
      <c r="Y98" s="275" t="str">
        <f t="shared" si="4"/>
        <v/>
      </c>
      <c r="Z98" s="275" t="str">
        <f t="shared" si="5"/>
        <v/>
      </c>
      <c r="AA98" s="213" t="str">
        <f t="shared" si="6"/>
        <v/>
      </c>
      <c r="AD98" s="296"/>
      <c r="AE98" s="201"/>
      <c r="AF98" s="201"/>
      <c r="AG98" s="201"/>
      <c r="AH98" s="201"/>
      <c r="AI98" s="201"/>
      <c r="AJ98" s="201"/>
      <c r="AK98" s="201"/>
      <c r="AL98" s="201"/>
    </row>
    <row r="99" ht="22.5" customHeight="1">
      <c r="A99" s="187" t="str">
        <f>IFERROR(__xludf.DUMMYFUNCTION("""COMPUTED_VALUE"""),"Martin Salazar")</f>
        <v>Martin Salazar</v>
      </c>
      <c r="B99" s="188" t="str">
        <f>IFERROR(__xludf.DUMMYFUNCTION("""COMPUTED_VALUE"""),"Natalia Cardona")</f>
        <v>Natalia Cardona</v>
      </c>
      <c r="C99" s="236">
        <f>IFERROR(__xludf.DUMMYFUNCTION("""COMPUTED_VALUE"""),45719.0)</f>
        <v>45719</v>
      </c>
      <c r="D99" s="187">
        <f>IFERROR(__xludf.DUMMYFUNCTION("""COMPUTED_VALUE"""),24.0)</f>
        <v>24</v>
      </c>
      <c r="E99" s="187" t="str">
        <f>IFERROR(__xludf.DUMMYFUNCTION("""COMPUTED_VALUE"""),"Voice")</f>
        <v>Voice</v>
      </c>
      <c r="F99" s="187" t="str">
        <f>IFERROR(__xludf.DUMMYFUNCTION("""COMPUTED_VALUE"""),"C1163")</f>
        <v>C1163</v>
      </c>
      <c r="G99" s="185" t="str">
        <f>IFERROR(__xludf.DUMMYFUNCTION("""COMPUTED_VALUE"""),"natalia.cardona@buwelo.com")</f>
        <v>natalia.cardona@buwelo.com</v>
      </c>
      <c r="H99" s="185" t="str">
        <f>IFERROR(__xludf.DUMMYFUNCTION("""COMPUTED_VALUE"""),"ho.ncardona")</f>
        <v>ho.ncardona</v>
      </c>
      <c r="I99" s="185" t="str">
        <f>IFERROR(__xludf.DUMMYFUNCTION("""COMPUTED_VALUE"""),"Active")</f>
        <v>Active</v>
      </c>
      <c r="J99" s="298"/>
      <c r="K99" s="283"/>
      <c r="L99" s="299"/>
      <c r="M99" s="300"/>
      <c r="N99" s="301"/>
      <c r="O99" s="302"/>
      <c r="P99" s="302"/>
      <c r="S99" s="275"/>
      <c r="T99" s="275"/>
      <c r="U99" s="303" t="str">
        <f t="shared" si="1"/>
        <v/>
      </c>
      <c r="V99" s="304" t="str">
        <f>IFERROR(__xludf.DUMMYFUNCTION("INDEX(FILTER(BvsL!F:F, BvsL!D:D=T99),1)
"),"")</f>
        <v/>
      </c>
      <c r="W99" s="212">
        <f t="shared" si="2"/>
        <v>0.375</v>
      </c>
      <c r="X99" s="275" t="str">
        <f t="shared" si="3"/>
        <v/>
      </c>
      <c r="Y99" s="275" t="str">
        <f t="shared" si="4"/>
        <v/>
      </c>
      <c r="Z99" s="275" t="str">
        <f t="shared" si="5"/>
        <v/>
      </c>
      <c r="AA99" s="213" t="str">
        <f t="shared" si="6"/>
        <v/>
      </c>
      <c r="AD99" s="296"/>
      <c r="AE99" s="201"/>
      <c r="AF99" s="201"/>
      <c r="AG99" s="201"/>
      <c r="AH99" s="201"/>
      <c r="AI99" s="201"/>
      <c r="AJ99" s="201"/>
      <c r="AK99" s="201"/>
      <c r="AL99" s="201"/>
    </row>
    <row r="100" ht="22.5" customHeight="1">
      <c r="A100" s="187" t="str">
        <f>IFERROR(__xludf.DUMMYFUNCTION("""COMPUTED_VALUE"""),"Martin Salazar")</f>
        <v>Martin Salazar</v>
      </c>
      <c r="B100" s="188" t="str">
        <f>IFERROR(__xludf.DUMMYFUNCTION("""COMPUTED_VALUE"""),"Nicols Quinones")</f>
        <v>Nicols Quinones</v>
      </c>
      <c r="C100" s="236">
        <f>IFERROR(__xludf.DUMMYFUNCTION("""COMPUTED_VALUE"""),46076.0)</f>
        <v>46076</v>
      </c>
      <c r="D100" s="187">
        <f>IFERROR(__xludf.DUMMYFUNCTION("""COMPUTED_VALUE"""),35.0)</f>
        <v>35</v>
      </c>
      <c r="E100" s="187" t="str">
        <f>IFERROR(__xludf.DUMMYFUNCTION("""COMPUTED_VALUE"""),"Voice")</f>
        <v>Voice</v>
      </c>
      <c r="F100" s="187" t="str">
        <f>IFERROR(__xludf.DUMMYFUNCTION("""COMPUTED_VALUE"""),"C1507")</f>
        <v>C1507</v>
      </c>
      <c r="G100" s="185" t="str">
        <f>IFERROR(__xludf.DUMMYFUNCTION("""COMPUTED_VALUE"""),"email")</f>
        <v>email</v>
      </c>
      <c r="H100" s="185" t="str">
        <f>IFERROR(__xludf.DUMMYFUNCTION("""COMPUTED_VALUE"""),"ho.nquinones")</f>
        <v>ho.nquinones</v>
      </c>
      <c r="I100" s="185" t="str">
        <f>IFERROR(__xludf.DUMMYFUNCTION("""COMPUTED_VALUE"""),"Active")</f>
        <v>Active</v>
      </c>
      <c r="J100" s="298"/>
      <c r="K100" s="283"/>
      <c r="L100" s="299"/>
      <c r="M100" s="300"/>
      <c r="N100" s="301"/>
      <c r="O100" s="302"/>
      <c r="P100" s="302"/>
      <c r="S100" s="275"/>
      <c r="T100" s="275"/>
      <c r="U100" s="303" t="str">
        <f t="shared" si="1"/>
        <v/>
      </c>
      <c r="V100" s="304" t="str">
        <f>IFERROR(__xludf.DUMMYFUNCTION("INDEX(FILTER(BvsL!F:F, BvsL!D:D=T100),1)
"),"")</f>
        <v/>
      </c>
      <c r="W100" s="212">
        <f t="shared" si="2"/>
        <v>0.375</v>
      </c>
      <c r="X100" s="275" t="str">
        <f t="shared" si="3"/>
        <v/>
      </c>
      <c r="Y100" s="275" t="str">
        <f t="shared" si="4"/>
        <v/>
      </c>
      <c r="Z100" s="275" t="str">
        <f t="shared" si="5"/>
        <v/>
      </c>
      <c r="AA100" s="213" t="str">
        <f t="shared" si="6"/>
        <v/>
      </c>
      <c r="AD100" s="296"/>
      <c r="AE100" s="201"/>
      <c r="AF100" s="201"/>
      <c r="AG100" s="201"/>
      <c r="AH100" s="201"/>
      <c r="AI100" s="201"/>
      <c r="AJ100" s="201"/>
      <c r="AK100" s="201"/>
      <c r="AL100" s="201"/>
    </row>
    <row r="101" ht="22.5" customHeight="1">
      <c r="A101" s="187" t="str">
        <f>IFERROR(__xludf.DUMMYFUNCTION("""COMPUTED_VALUE"""),"Martin Salazar")</f>
        <v>Martin Salazar</v>
      </c>
      <c r="B101" s="188" t="str">
        <f>IFERROR(__xludf.DUMMYFUNCTION("""COMPUTED_VALUE"""),"Sebastian Zapata")</f>
        <v>Sebastian Zapata</v>
      </c>
      <c r="C101" s="236">
        <f>IFERROR(__xludf.DUMMYFUNCTION("""COMPUTED_VALUE"""),45362.0)</f>
        <v>45362</v>
      </c>
      <c r="D101" s="187">
        <f>IFERROR(__xludf.DUMMYFUNCTION("""COMPUTED_VALUE"""),12.0)</f>
        <v>12</v>
      </c>
      <c r="E101" s="187" t="str">
        <f>IFERROR(__xludf.DUMMYFUNCTION("""COMPUTED_VALUE"""),"Voice")</f>
        <v>Voice</v>
      </c>
      <c r="F101" s="187" t="str">
        <f>IFERROR(__xludf.DUMMYFUNCTION("""COMPUTED_VALUE"""),"C937")</f>
        <v>C937</v>
      </c>
      <c r="G101" s="185" t="str">
        <f>IFERROR(__xludf.DUMMYFUNCTION("""COMPUTED_VALUE"""),"sebastian.zapata@buwelo.com")</f>
        <v>sebastian.zapata@buwelo.com</v>
      </c>
      <c r="H101" s="185" t="str">
        <f>IFERROR(__xludf.DUMMYFUNCTION("""COMPUTED_VALUE"""),"ho.szapata")</f>
        <v>ho.szapata</v>
      </c>
      <c r="I101" s="185" t="str">
        <f>IFERROR(__xludf.DUMMYFUNCTION("""COMPUTED_VALUE"""),"Active")</f>
        <v>Active</v>
      </c>
      <c r="J101" s="298"/>
      <c r="K101" s="283"/>
      <c r="L101" s="299"/>
      <c r="M101" s="300"/>
      <c r="N101" s="301"/>
      <c r="O101" s="302"/>
      <c r="P101" s="302"/>
      <c r="S101" s="275"/>
      <c r="T101" s="275"/>
      <c r="U101" s="303" t="str">
        <f t="shared" si="1"/>
        <v/>
      </c>
      <c r="V101" s="304" t="str">
        <f>IFERROR(__xludf.DUMMYFUNCTION("INDEX(FILTER(BvsL!F:F, BvsL!D:D=T101),1)
"),"")</f>
        <v/>
      </c>
      <c r="W101" s="212">
        <f t="shared" si="2"/>
        <v>0.375</v>
      </c>
      <c r="X101" s="275" t="str">
        <f t="shared" si="3"/>
        <v/>
      </c>
      <c r="Y101" s="275" t="str">
        <f t="shared" si="4"/>
        <v/>
      </c>
      <c r="Z101" s="275" t="str">
        <f t="shared" si="5"/>
        <v/>
      </c>
      <c r="AA101" s="213" t="str">
        <f t="shared" si="6"/>
        <v/>
      </c>
      <c r="AD101" s="296"/>
      <c r="AE101" s="201"/>
      <c r="AF101" s="201"/>
      <c r="AG101" s="201"/>
      <c r="AH101" s="201"/>
      <c r="AI101" s="201"/>
      <c r="AJ101" s="201"/>
      <c r="AK101" s="201"/>
      <c r="AL101" s="201"/>
    </row>
    <row r="102" ht="22.5" customHeight="1">
      <c r="A102" s="187" t="str">
        <f>IFERROR(__xludf.DUMMYFUNCTION("""COMPUTED_VALUE"""),"Martin Salazar")</f>
        <v>Martin Salazar</v>
      </c>
      <c r="B102" s="188" t="str">
        <f>IFERROR(__xludf.DUMMYFUNCTION("""COMPUTED_VALUE"""),"Valentina Barreto")</f>
        <v>Valentina Barreto</v>
      </c>
      <c r="C102" s="236">
        <f>IFERROR(__xludf.DUMMYFUNCTION("""COMPUTED_VALUE"""),46093.0)</f>
        <v>46093</v>
      </c>
      <c r="D102" s="187">
        <f>IFERROR(__xludf.DUMMYFUNCTION("""COMPUTED_VALUE"""),37.0)</f>
        <v>37</v>
      </c>
      <c r="E102" s="187" t="str">
        <f>IFERROR(__xludf.DUMMYFUNCTION("""COMPUTED_VALUE"""),"Voice")</f>
        <v>Voice</v>
      </c>
      <c r="F102" s="187" t="str">
        <f>IFERROR(__xludf.DUMMYFUNCTION("""COMPUTED_VALUE"""),"C1547")</f>
        <v>C1547</v>
      </c>
      <c r="G102" s="185" t="str">
        <f>IFERROR(__xludf.DUMMYFUNCTION("""COMPUTED_VALUE"""),"@email")</f>
        <v>@email</v>
      </c>
      <c r="H102" s="185" t="str">
        <f>IFERROR(__xludf.DUMMYFUNCTION("""COMPUTED_VALUE"""),"ho.mbarreto")</f>
        <v>ho.mbarreto</v>
      </c>
      <c r="I102" s="185" t="str">
        <f>IFERROR(__xludf.DUMMYFUNCTION("""COMPUTED_VALUE"""),"Active")</f>
        <v>Active</v>
      </c>
      <c r="J102" s="298"/>
      <c r="K102" s="283"/>
      <c r="L102" s="299"/>
      <c r="M102" s="300"/>
      <c r="N102" s="301"/>
      <c r="O102" s="302"/>
      <c r="P102" s="302"/>
      <c r="S102" s="275"/>
      <c r="T102" s="275"/>
      <c r="U102" s="303" t="str">
        <f t="shared" si="1"/>
        <v/>
      </c>
      <c r="V102" s="304" t="str">
        <f>IFERROR(__xludf.DUMMYFUNCTION("INDEX(FILTER(BvsL!F:F, BvsL!D:D=T102),1)
"),"")</f>
        <v/>
      </c>
      <c r="W102" s="212">
        <f t="shared" si="2"/>
        <v>0.375</v>
      </c>
      <c r="X102" s="275" t="str">
        <f t="shared" si="3"/>
        <v/>
      </c>
      <c r="Y102" s="275" t="str">
        <f t="shared" si="4"/>
        <v/>
      </c>
      <c r="Z102" s="275" t="str">
        <f t="shared" si="5"/>
        <v/>
      </c>
      <c r="AA102" s="213" t="str">
        <f t="shared" si="6"/>
        <v/>
      </c>
      <c r="AD102" s="296"/>
      <c r="AE102" s="201"/>
      <c r="AF102" s="201"/>
      <c r="AG102" s="201"/>
      <c r="AH102" s="201"/>
      <c r="AI102" s="201"/>
      <c r="AJ102" s="201"/>
      <c r="AK102" s="201"/>
      <c r="AL102" s="201"/>
    </row>
    <row r="103" ht="22.5" customHeight="1">
      <c r="A103" s="187" t="str">
        <f>IFERROR(__xludf.DUMMYFUNCTION("""COMPUTED_VALUE"""),"Martin Salazar")</f>
        <v>Martin Salazar</v>
      </c>
      <c r="B103" s="188" t="str">
        <f>IFERROR(__xludf.DUMMYFUNCTION("""COMPUTED_VALUE"""),"Valentina Castro")</f>
        <v>Valentina Castro</v>
      </c>
      <c r="C103" s="236">
        <f>IFERROR(__xludf.DUMMYFUNCTION("""COMPUTED_VALUE"""),46093.0)</f>
        <v>46093</v>
      </c>
      <c r="D103" s="187">
        <f>IFERROR(__xludf.DUMMYFUNCTION("""COMPUTED_VALUE"""),37.0)</f>
        <v>37</v>
      </c>
      <c r="E103" s="187" t="str">
        <f>IFERROR(__xludf.DUMMYFUNCTION("""COMPUTED_VALUE"""),"Voice")</f>
        <v>Voice</v>
      </c>
      <c r="F103" s="187" t="str">
        <f>IFERROR(__xludf.DUMMYFUNCTION("""COMPUTED_VALUE"""),"C1553")</f>
        <v>C1553</v>
      </c>
      <c r="G103" s="185" t="str">
        <f>IFERROR(__xludf.DUMMYFUNCTION("""COMPUTED_VALUE"""),"@email")</f>
        <v>@email</v>
      </c>
      <c r="H103" s="185" t="str">
        <f>IFERROR(__xludf.DUMMYFUNCTION("""COMPUTED_VALUE"""),"ho.vcastro")</f>
        <v>ho.vcastro</v>
      </c>
      <c r="I103" s="185" t="str">
        <f>IFERROR(__xludf.DUMMYFUNCTION("""COMPUTED_VALUE"""),"Active")</f>
        <v>Active</v>
      </c>
      <c r="J103" s="298"/>
      <c r="K103" s="283"/>
      <c r="L103" s="299"/>
      <c r="M103" s="300"/>
      <c r="N103" s="301"/>
      <c r="O103" s="302"/>
      <c r="P103" s="302"/>
      <c r="S103" s="275"/>
      <c r="T103" s="275"/>
      <c r="U103" s="303" t="str">
        <f t="shared" si="1"/>
        <v/>
      </c>
      <c r="V103" s="304" t="str">
        <f>IFERROR(__xludf.DUMMYFUNCTION("INDEX(FILTER(BvsL!F:F, BvsL!D:D=T103),1)
"),"")</f>
        <v/>
      </c>
      <c r="W103" s="212">
        <f t="shared" si="2"/>
        <v>0.375</v>
      </c>
      <c r="X103" s="275" t="str">
        <f t="shared" si="3"/>
        <v/>
      </c>
      <c r="Y103" s="275" t="str">
        <f t="shared" si="4"/>
        <v/>
      </c>
      <c r="Z103" s="275" t="str">
        <f t="shared" si="5"/>
        <v/>
      </c>
      <c r="AA103" s="213" t="str">
        <f t="shared" si="6"/>
        <v/>
      </c>
      <c r="AD103" s="296"/>
      <c r="AE103" s="201"/>
      <c r="AF103" s="201"/>
      <c r="AG103" s="201"/>
      <c r="AH103" s="201"/>
      <c r="AI103" s="201"/>
      <c r="AJ103" s="201"/>
      <c r="AK103" s="201"/>
      <c r="AL103" s="201"/>
    </row>
    <row r="104" ht="22.5" customHeight="1">
      <c r="A104" s="187" t="str">
        <f>IFERROR(__xludf.DUMMYFUNCTION("""COMPUTED_VALUE"""),"Mateo Henao")</f>
        <v>Mateo Henao</v>
      </c>
      <c r="B104" s="188" t="str">
        <f>IFERROR(__xludf.DUMMYFUNCTION("""COMPUTED_VALUE"""),"Adriana Moncaleano")</f>
        <v>Adriana Moncaleano</v>
      </c>
      <c r="C104" s="236">
        <f>IFERROR(__xludf.DUMMYFUNCTION("""COMPUTED_VALUE"""),45798.0)</f>
        <v>45798</v>
      </c>
      <c r="D104" s="187">
        <f>IFERROR(__xludf.DUMMYFUNCTION("""COMPUTED_VALUE"""),23.0)</f>
        <v>23</v>
      </c>
      <c r="E104" s="187" t="str">
        <f>IFERROR(__xludf.DUMMYFUNCTION("""COMPUTED_VALUE"""),"Voice")</f>
        <v>Voice</v>
      </c>
      <c r="F104" s="187" t="str">
        <f>IFERROR(__xludf.DUMMYFUNCTION("""COMPUTED_VALUE"""),"C818")</f>
        <v>C818</v>
      </c>
      <c r="G104" s="185" t="str">
        <f>IFERROR(__xludf.DUMMYFUNCTION("""COMPUTED_VALUE"""),"adriana.moncaleano@buwelo.com")</f>
        <v>adriana.moncaleano@buwelo.com</v>
      </c>
      <c r="H104" s="185" t="str">
        <f>IFERROR(__xludf.DUMMYFUNCTION("""COMPUTED_VALUE"""),"ho.amoncaleano")</f>
        <v>ho.amoncaleano</v>
      </c>
      <c r="I104" s="185" t="str">
        <f>IFERROR(__xludf.DUMMYFUNCTION("""COMPUTED_VALUE"""),"Active")</f>
        <v>Active</v>
      </c>
      <c r="J104" s="298"/>
      <c r="K104" s="283"/>
      <c r="L104" s="299"/>
      <c r="M104" s="300"/>
      <c r="N104" s="301"/>
      <c r="O104" s="302"/>
      <c r="P104" s="302"/>
      <c r="S104" s="275"/>
      <c r="T104" s="275"/>
      <c r="U104" s="303" t="str">
        <f t="shared" si="1"/>
        <v/>
      </c>
      <c r="V104" s="304" t="str">
        <f>IFERROR(__xludf.DUMMYFUNCTION("INDEX(FILTER(BvsL!F:F, BvsL!D:D=T104),1)
"),"")</f>
        <v/>
      </c>
      <c r="W104" s="212">
        <f t="shared" si="2"/>
        <v>0.375</v>
      </c>
      <c r="X104" s="275" t="str">
        <f t="shared" si="3"/>
        <v/>
      </c>
      <c r="Y104" s="275" t="str">
        <f t="shared" si="4"/>
        <v/>
      </c>
      <c r="Z104" s="275" t="str">
        <f t="shared" si="5"/>
        <v/>
      </c>
      <c r="AA104" s="213" t="str">
        <f t="shared" si="6"/>
        <v/>
      </c>
      <c r="AD104" s="296"/>
      <c r="AE104" s="201"/>
      <c r="AF104" s="201"/>
      <c r="AG104" s="201"/>
      <c r="AH104" s="201"/>
      <c r="AI104" s="201"/>
      <c r="AJ104" s="201"/>
      <c r="AK104" s="201"/>
      <c r="AL104" s="201"/>
    </row>
    <row r="105" ht="22.5" customHeight="1">
      <c r="A105" s="187" t="str">
        <f>IFERROR(__xludf.DUMMYFUNCTION("""COMPUTED_VALUE"""),"Mateo Henao")</f>
        <v>Mateo Henao</v>
      </c>
      <c r="B105" s="188" t="str">
        <f>IFERROR(__xludf.DUMMYFUNCTION("""COMPUTED_VALUE"""),"Alexander Bartoli")</f>
        <v>Alexander Bartoli</v>
      </c>
      <c r="C105" s="236">
        <f>IFERROR(__xludf.DUMMYFUNCTION("""COMPUTED_VALUE"""),46113.0)</f>
        <v>46113</v>
      </c>
      <c r="D105" s="187">
        <f>IFERROR(__xludf.DUMMYFUNCTION("""COMPUTED_VALUE"""),38.0)</f>
        <v>38</v>
      </c>
      <c r="E105" s="187" t="str">
        <f>IFERROR(__xludf.DUMMYFUNCTION("""COMPUTED_VALUE"""),"Voice")</f>
        <v>Voice</v>
      </c>
      <c r="F105" s="187" t="str">
        <f>IFERROR(__xludf.DUMMYFUNCTION("""COMPUTED_VALUE"""),"C1570")</f>
        <v>C1570</v>
      </c>
      <c r="G105" s="185" t="str">
        <f>IFERROR(__xludf.DUMMYFUNCTION("""COMPUTED_VALUE"""),"@email")</f>
        <v>@email</v>
      </c>
      <c r="H105" s="185" t="str">
        <f>IFERROR(__xludf.DUMMYFUNCTION("""COMPUTED_VALUE"""),"ho.abartoli")</f>
        <v>ho.abartoli</v>
      </c>
      <c r="I105" s="185" t="str">
        <f>IFERROR(__xludf.DUMMYFUNCTION("""COMPUTED_VALUE"""),"Active")</f>
        <v>Active</v>
      </c>
      <c r="J105" s="298"/>
      <c r="K105" s="283"/>
      <c r="L105" s="299"/>
      <c r="M105" s="300"/>
      <c r="N105" s="301"/>
      <c r="O105" s="302"/>
      <c r="P105" s="302"/>
      <c r="S105" s="275"/>
      <c r="T105" s="275"/>
      <c r="U105" s="303" t="str">
        <f t="shared" si="1"/>
        <v/>
      </c>
      <c r="V105" s="304" t="str">
        <f>IFERROR(__xludf.DUMMYFUNCTION("INDEX(FILTER(BvsL!F:F, BvsL!D:D=T105),1)
"),"")</f>
        <v/>
      </c>
      <c r="W105" s="212">
        <f t="shared" si="2"/>
        <v>0.375</v>
      </c>
      <c r="X105" s="275" t="str">
        <f t="shared" si="3"/>
        <v/>
      </c>
      <c r="Y105" s="275" t="str">
        <f t="shared" si="4"/>
        <v/>
      </c>
      <c r="Z105" s="275" t="str">
        <f t="shared" si="5"/>
        <v/>
      </c>
      <c r="AA105" s="213" t="str">
        <f t="shared" si="6"/>
        <v/>
      </c>
      <c r="AD105" s="296"/>
      <c r="AE105" s="201"/>
      <c r="AF105" s="201"/>
      <c r="AG105" s="201"/>
      <c r="AH105" s="201"/>
      <c r="AI105" s="201"/>
      <c r="AJ105" s="201"/>
      <c r="AK105" s="201"/>
      <c r="AL105" s="201"/>
    </row>
    <row r="106" ht="22.5" customHeight="1">
      <c r="A106" s="187" t="str">
        <f>IFERROR(__xludf.DUMMYFUNCTION("""COMPUTED_VALUE"""),"Mateo Henao")</f>
        <v>Mateo Henao</v>
      </c>
      <c r="B106" s="188" t="str">
        <f>IFERROR(__xludf.DUMMYFUNCTION("""COMPUTED_VALUE"""),"Ana Quintero")</f>
        <v>Ana Quintero</v>
      </c>
      <c r="C106" s="236">
        <f>IFERROR(__xludf.DUMMYFUNCTION("""COMPUTED_VALUE"""),46113.0)</f>
        <v>46113</v>
      </c>
      <c r="D106" s="187">
        <f>IFERROR(__xludf.DUMMYFUNCTION("""COMPUTED_VALUE"""),38.0)</f>
        <v>38</v>
      </c>
      <c r="E106" s="187" t="str">
        <f>IFERROR(__xludf.DUMMYFUNCTION("""COMPUTED_VALUE"""),"Voice")</f>
        <v>Voice</v>
      </c>
      <c r="F106" s="187" t="str">
        <f>IFERROR(__xludf.DUMMYFUNCTION("""COMPUTED_VALUE"""),"C1574")</f>
        <v>C1574</v>
      </c>
      <c r="G106" s="185" t="str">
        <f>IFERROR(__xludf.DUMMYFUNCTION("""COMPUTED_VALUE"""),"@email")</f>
        <v>@email</v>
      </c>
      <c r="H106" s="185" t="str">
        <f>IFERROR(__xludf.DUMMYFUNCTION("""COMPUTED_VALUE"""),"ho.aquintero")</f>
        <v>ho.aquintero</v>
      </c>
      <c r="I106" s="185" t="str">
        <f>IFERROR(__xludf.DUMMYFUNCTION("""COMPUTED_VALUE"""),"Active")</f>
        <v>Active</v>
      </c>
      <c r="J106" s="298"/>
      <c r="K106" s="283"/>
      <c r="L106" s="299"/>
      <c r="M106" s="300"/>
      <c r="N106" s="301"/>
      <c r="O106" s="302"/>
      <c r="P106" s="302"/>
      <c r="S106" s="275"/>
      <c r="T106" s="275"/>
      <c r="U106" s="303" t="str">
        <f t="shared" si="1"/>
        <v/>
      </c>
      <c r="V106" s="304" t="str">
        <f>IFERROR(__xludf.DUMMYFUNCTION("INDEX(FILTER(BvsL!F:F, BvsL!D:D=T106),1)
"),"")</f>
        <v/>
      </c>
      <c r="W106" s="212">
        <f t="shared" si="2"/>
        <v>0.375</v>
      </c>
      <c r="X106" s="275" t="str">
        <f t="shared" si="3"/>
        <v/>
      </c>
      <c r="Y106" s="275" t="str">
        <f t="shared" si="4"/>
        <v/>
      </c>
      <c r="Z106" s="275" t="str">
        <f t="shared" si="5"/>
        <v/>
      </c>
      <c r="AA106" s="213" t="str">
        <f t="shared" si="6"/>
        <v/>
      </c>
      <c r="AD106" s="296"/>
      <c r="AE106" s="201"/>
      <c r="AF106" s="201"/>
      <c r="AG106" s="201"/>
      <c r="AH106" s="201"/>
      <c r="AI106" s="201"/>
      <c r="AJ106" s="201"/>
      <c r="AK106" s="201"/>
      <c r="AL106" s="201"/>
    </row>
    <row r="107" ht="22.5" customHeight="1">
      <c r="A107" s="187" t="str">
        <f>IFERROR(__xludf.DUMMYFUNCTION("""COMPUTED_VALUE"""),"Mateo Henao")</f>
        <v>Mateo Henao</v>
      </c>
      <c r="B107" s="188" t="str">
        <f>IFERROR(__xludf.DUMMYFUNCTION("""COMPUTED_VALUE"""),"Andres Lopez")</f>
        <v>Andres Lopez</v>
      </c>
      <c r="C107" s="236">
        <f>IFERROR(__xludf.DUMMYFUNCTION("""COMPUTED_VALUE"""),46093.0)</f>
        <v>46093</v>
      </c>
      <c r="D107" s="187">
        <f>IFERROR(__xludf.DUMMYFUNCTION("""COMPUTED_VALUE"""),37.0)</f>
        <v>37</v>
      </c>
      <c r="E107" s="187" t="str">
        <f>IFERROR(__xludf.DUMMYFUNCTION("""COMPUTED_VALUE"""),"Voice")</f>
        <v>Voice</v>
      </c>
      <c r="F107" s="187" t="str">
        <f>IFERROR(__xludf.DUMMYFUNCTION("""COMPUTED_VALUE"""),"C1554")</f>
        <v>C1554</v>
      </c>
      <c r="G107" s="185" t="str">
        <f>IFERROR(__xludf.DUMMYFUNCTION("""COMPUTED_VALUE"""),"@email")</f>
        <v>@email</v>
      </c>
      <c r="H107" s="185" t="str">
        <f>IFERROR(__xludf.DUMMYFUNCTION("""COMPUTED_VALUE"""),"ho.anlopez")</f>
        <v>ho.anlopez</v>
      </c>
      <c r="I107" s="185" t="str">
        <f>IFERROR(__xludf.DUMMYFUNCTION("""COMPUTED_VALUE"""),"Active")</f>
        <v>Active</v>
      </c>
      <c r="J107" s="298"/>
      <c r="K107" s="283"/>
      <c r="L107" s="299"/>
      <c r="M107" s="300"/>
      <c r="N107" s="301"/>
      <c r="O107" s="302"/>
      <c r="P107" s="302"/>
      <c r="S107" s="275"/>
      <c r="T107" s="275"/>
      <c r="U107" s="303" t="str">
        <f t="shared" si="1"/>
        <v/>
      </c>
      <c r="V107" s="304" t="str">
        <f>IFERROR(__xludf.DUMMYFUNCTION("INDEX(FILTER(BvsL!F:F, BvsL!D:D=T107),1)
"),"")</f>
        <v/>
      </c>
      <c r="W107" s="212">
        <f t="shared" si="2"/>
        <v>0.375</v>
      </c>
      <c r="X107" s="275" t="str">
        <f t="shared" si="3"/>
        <v/>
      </c>
      <c r="Y107" s="275" t="str">
        <f t="shared" si="4"/>
        <v/>
      </c>
      <c r="Z107" s="275" t="str">
        <f t="shared" si="5"/>
        <v/>
      </c>
      <c r="AA107" s="213" t="str">
        <f t="shared" si="6"/>
        <v/>
      </c>
      <c r="AD107" s="296"/>
      <c r="AE107" s="201"/>
      <c r="AF107" s="201"/>
      <c r="AG107" s="201"/>
      <c r="AH107" s="201"/>
      <c r="AI107" s="201"/>
      <c r="AJ107" s="201"/>
      <c r="AK107" s="201"/>
      <c r="AL107" s="201"/>
    </row>
    <row r="108" ht="22.5" customHeight="1">
      <c r="A108" s="187" t="str">
        <f>IFERROR(__xludf.DUMMYFUNCTION("""COMPUTED_VALUE"""),"Mateo Henao")</f>
        <v>Mateo Henao</v>
      </c>
      <c r="B108" s="188" t="str">
        <f>IFERROR(__xludf.DUMMYFUNCTION("""COMPUTED_VALUE"""),"Andres Salazar")</f>
        <v>Andres Salazar</v>
      </c>
      <c r="C108" s="236">
        <f>IFERROR(__xludf.DUMMYFUNCTION("""COMPUTED_VALUE"""),46113.0)</f>
        <v>46113</v>
      </c>
      <c r="D108" s="187">
        <f>IFERROR(__xludf.DUMMYFUNCTION("""COMPUTED_VALUE"""),38.0)</f>
        <v>38</v>
      </c>
      <c r="E108" s="187" t="str">
        <f>IFERROR(__xludf.DUMMYFUNCTION("""COMPUTED_VALUE"""),"Voice")</f>
        <v>Voice</v>
      </c>
      <c r="F108" s="187" t="str">
        <f>IFERROR(__xludf.DUMMYFUNCTION("""COMPUTED_VALUE"""),"C1567")</f>
        <v>C1567</v>
      </c>
      <c r="G108" s="185" t="str">
        <f>IFERROR(__xludf.DUMMYFUNCTION("""COMPUTED_VALUE"""),"@email")</f>
        <v>@email</v>
      </c>
      <c r="H108" s="185" t="str">
        <f>IFERROR(__xludf.DUMMYFUNCTION("""COMPUTED_VALUE"""),"ho.asalazar")</f>
        <v>ho.asalazar</v>
      </c>
      <c r="I108" s="185" t="str">
        <f>IFERROR(__xludf.DUMMYFUNCTION("""COMPUTED_VALUE"""),"Active")</f>
        <v>Active</v>
      </c>
      <c r="J108" s="298"/>
      <c r="K108" s="283"/>
      <c r="L108" s="299"/>
      <c r="M108" s="300"/>
      <c r="N108" s="301"/>
      <c r="O108" s="302"/>
      <c r="P108" s="302"/>
      <c r="S108" s="275"/>
      <c r="T108" s="275"/>
      <c r="U108" s="303" t="str">
        <f t="shared" si="1"/>
        <v/>
      </c>
      <c r="V108" s="304" t="str">
        <f>IFERROR(__xludf.DUMMYFUNCTION("INDEX(FILTER(BvsL!F:F, BvsL!D:D=T108),1)
"),"")</f>
        <v/>
      </c>
      <c r="W108" s="212">
        <f t="shared" si="2"/>
        <v>0.375</v>
      </c>
      <c r="X108" s="275" t="str">
        <f t="shared" si="3"/>
        <v/>
      </c>
      <c r="Y108" s="275" t="str">
        <f t="shared" si="4"/>
        <v/>
      </c>
      <c r="Z108" s="275" t="str">
        <f t="shared" si="5"/>
        <v/>
      </c>
      <c r="AA108" s="213" t="str">
        <f t="shared" si="6"/>
        <v/>
      </c>
      <c r="AD108" s="296"/>
      <c r="AE108" s="201"/>
      <c r="AF108" s="201"/>
      <c r="AG108" s="201"/>
      <c r="AH108" s="201"/>
      <c r="AI108" s="201"/>
      <c r="AJ108" s="201"/>
      <c r="AK108" s="201"/>
      <c r="AL108" s="201"/>
    </row>
    <row r="109" ht="22.5" customHeight="1">
      <c r="A109" s="187" t="str">
        <f>IFERROR(__xludf.DUMMYFUNCTION("""COMPUTED_VALUE"""),"Mateo Henao")</f>
        <v>Mateo Henao</v>
      </c>
      <c r="B109" s="188" t="str">
        <f>IFERROR(__xludf.DUMMYFUNCTION("""COMPUTED_VALUE"""),"Angelo Zapata")</f>
        <v>Angelo Zapata</v>
      </c>
      <c r="C109" s="236">
        <f>IFERROR(__xludf.DUMMYFUNCTION("""COMPUTED_VALUE"""),45908.0)</f>
        <v>45908</v>
      </c>
      <c r="D109" s="187">
        <f>IFERROR(__xludf.DUMMYFUNCTION("""COMPUTED_VALUE"""),30.0)</f>
        <v>30</v>
      </c>
      <c r="E109" s="187" t="str">
        <f>IFERROR(__xludf.DUMMYFUNCTION("""COMPUTED_VALUE"""),"Voice")</f>
        <v>Voice</v>
      </c>
      <c r="F109" s="187" t="str">
        <f>IFERROR(__xludf.DUMMYFUNCTION("""COMPUTED_VALUE"""),"C1348")</f>
        <v>C1348</v>
      </c>
      <c r="G109" s="185" t="str">
        <f>IFERROR(__xludf.DUMMYFUNCTION("""COMPUTED_VALUE"""),"angelo.zapata@buwelo.com")</f>
        <v>angelo.zapata@buwelo.com</v>
      </c>
      <c r="H109" s="185" t="str">
        <f>IFERROR(__xludf.DUMMYFUNCTION("""COMPUTED_VALUE"""),"ho.azapata")</f>
        <v>ho.azapata</v>
      </c>
      <c r="I109" s="185" t="str">
        <f>IFERROR(__xludf.DUMMYFUNCTION("""COMPUTED_VALUE"""),"Active")</f>
        <v>Active</v>
      </c>
      <c r="J109" s="298"/>
      <c r="K109" s="283"/>
      <c r="L109" s="299"/>
      <c r="M109" s="300"/>
      <c r="N109" s="301"/>
      <c r="O109" s="302"/>
      <c r="P109" s="302"/>
      <c r="S109" s="275"/>
      <c r="T109" s="275"/>
      <c r="U109" s="303" t="str">
        <f t="shared" si="1"/>
        <v/>
      </c>
      <c r="V109" s="304" t="str">
        <f>IFERROR(__xludf.DUMMYFUNCTION("INDEX(FILTER(BvsL!F:F, BvsL!D:D=T109),1)
"),"")</f>
        <v/>
      </c>
      <c r="W109" s="212">
        <f t="shared" si="2"/>
        <v>0.375</v>
      </c>
      <c r="X109" s="275" t="str">
        <f t="shared" si="3"/>
        <v/>
      </c>
      <c r="Y109" s="275" t="str">
        <f t="shared" si="4"/>
        <v/>
      </c>
      <c r="Z109" s="275" t="str">
        <f t="shared" si="5"/>
        <v/>
      </c>
      <c r="AA109" s="213" t="str">
        <f t="shared" si="6"/>
        <v/>
      </c>
      <c r="AD109" s="296"/>
      <c r="AE109" s="201"/>
      <c r="AF109" s="201"/>
      <c r="AG109" s="201"/>
      <c r="AH109" s="201"/>
      <c r="AI109" s="201"/>
      <c r="AJ109" s="201"/>
      <c r="AK109" s="201"/>
      <c r="AL109" s="201"/>
    </row>
    <row r="110" ht="22.5" customHeight="1">
      <c r="A110" s="187" t="str">
        <f>IFERROR(__xludf.DUMMYFUNCTION("""COMPUTED_VALUE"""),"Mateo Henao")</f>
        <v>Mateo Henao</v>
      </c>
      <c r="B110" s="188" t="str">
        <f>IFERROR(__xludf.DUMMYFUNCTION("""COMPUTED_VALUE"""),"Anibal Munoz")</f>
        <v>Anibal Munoz</v>
      </c>
      <c r="C110" s="236">
        <f>IFERROR(__xludf.DUMMYFUNCTION("""COMPUTED_VALUE"""),46113.0)</f>
        <v>46113</v>
      </c>
      <c r="D110" s="187">
        <f>IFERROR(__xludf.DUMMYFUNCTION("""COMPUTED_VALUE"""),38.0)</f>
        <v>38</v>
      </c>
      <c r="E110" s="187" t="str">
        <f>IFERROR(__xludf.DUMMYFUNCTION("""COMPUTED_VALUE"""),"Voice")</f>
        <v>Voice</v>
      </c>
      <c r="F110" s="187" t="str">
        <f>IFERROR(__xludf.DUMMYFUNCTION("""COMPUTED_VALUE"""),"C1579")</f>
        <v>C1579</v>
      </c>
      <c r="G110" s="185" t="str">
        <f>IFERROR(__xludf.DUMMYFUNCTION("""COMPUTED_VALUE"""),"@email")</f>
        <v>@email</v>
      </c>
      <c r="H110" s="185" t="str">
        <f>IFERROR(__xludf.DUMMYFUNCTION("""COMPUTED_VALUE"""),"ho.amunoz")</f>
        <v>ho.amunoz</v>
      </c>
      <c r="I110" s="185" t="str">
        <f>IFERROR(__xludf.DUMMYFUNCTION("""COMPUTED_VALUE"""),"Active")</f>
        <v>Active</v>
      </c>
      <c r="J110" s="298"/>
      <c r="K110" s="283"/>
      <c r="L110" s="299"/>
      <c r="M110" s="300"/>
      <c r="N110" s="301"/>
      <c r="O110" s="302"/>
      <c r="P110" s="302"/>
      <c r="S110" s="275"/>
      <c r="T110" s="275"/>
      <c r="U110" s="303" t="str">
        <f t="shared" si="1"/>
        <v/>
      </c>
      <c r="V110" s="304" t="str">
        <f>IFERROR(__xludf.DUMMYFUNCTION("INDEX(FILTER(BvsL!F:F, BvsL!D:D=T110),1)
"),"")</f>
        <v/>
      </c>
      <c r="W110" s="212">
        <f t="shared" si="2"/>
        <v>0.375</v>
      </c>
      <c r="X110" s="275" t="str">
        <f t="shared" si="3"/>
        <v/>
      </c>
      <c r="Y110" s="275" t="str">
        <f t="shared" si="4"/>
        <v/>
      </c>
      <c r="Z110" s="275" t="str">
        <f t="shared" si="5"/>
        <v/>
      </c>
      <c r="AA110" s="213" t="str">
        <f t="shared" si="6"/>
        <v/>
      </c>
      <c r="AD110" s="296"/>
      <c r="AE110" s="201"/>
      <c r="AF110" s="201"/>
      <c r="AG110" s="201"/>
      <c r="AH110" s="201"/>
      <c r="AI110" s="201"/>
      <c r="AJ110" s="201"/>
      <c r="AK110" s="201"/>
      <c r="AL110" s="201"/>
    </row>
    <row r="111" ht="22.5" customHeight="1">
      <c r="A111" s="187" t="str">
        <f>IFERROR(__xludf.DUMMYFUNCTION("""COMPUTED_VALUE"""),"Mateo Henao")</f>
        <v>Mateo Henao</v>
      </c>
      <c r="B111" s="188" t="str">
        <f>IFERROR(__xludf.DUMMYFUNCTION("""COMPUTED_VALUE"""),"Brayan Montoya")</f>
        <v>Brayan Montoya</v>
      </c>
      <c r="C111" s="236">
        <f>IFERROR(__xludf.DUMMYFUNCTION("""COMPUTED_VALUE"""),45748.0)</f>
        <v>45748</v>
      </c>
      <c r="D111" s="187">
        <f>IFERROR(__xludf.DUMMYFUNCTION("""COMPUTED_VALUE"""),25.0)</f>
        <v>25</v>
      </c>
      <c r="E111" s="187" t="str">
        <f>IFERROR(__xludf.DUMMYFUNCTION("""COMPUTED_VALUE"""),"Voice")</f>
        <v>Voice</v>
      </c>
      <c r="F111" s="187" t="str">
        <f>IFERROR(__xludf.DUMMYFUNCTION("""COMPUTED_VALUE"""),"C1191")</f>
        <v>C1191</v>
      </c>
      <c r="G111" s="185" t="str">
        <f>IFERROR(__xludf.DUMMYFUNCTION("""COMPUTED_VALUE"""),"brayan.montoya@buwelo.com")</f>
        <v>brayan.montoya@buwelo.com</v>
      </c>
      <c r="H111" s="185" t="str">
        <f>IFERROR(__xludf.DUMMYFUNCTION("""COMPUTED_VALUE"""),"ho.bmontoya")</f>
        <v>ho.bmontoya</v>
      </c>
      <c r="I111" s="185" t="str">
        <f>IFERROR(__xludf.DUMMYFUNCTION("""COMPUTED_VALUE"""),"Active")</f>
        <v>Active</v>
      </c>
      <c r="J111" s="298"/>
      <c r="K111" s="283"/>
      <c r="L111" s="299"/>
      <c r="M111" s="300"/>
      <c r="N111" s="301"/>
      <c r="O111" s="302"/>
      <c r="P111" s="302"/>
      <c r="S111" s="275"/>
      <c r="T111" s="275"/>
      <c r="U111" s="303" t="str">
        <f t="shared" si="1"/>
        <v/>
      </c>
      <c r="V111" s="304" t="str">
        <f>IFERROR(__xludf.DUMMYFUNCTION("INDEX(FILTER(BvsL!F:F, BvsL!D:D=T111),1)
"),"")</f>
        <v/>
      </c>
      <c r="W111" s="212">
        <f t="shared" si="2"/>
        <v>0.375</v>
      </c>
      <c r="X111" s="275" t="str">
        <f t="shared" si="3"/>
        <v/>
      </c>
      <c r="Y111" s="275" t="str">
        <f t="shared" si="4"/>
        <v/>
      </c>
      <c r="Z111" s="275" t="str">
        <f t="shared" si="5"/>
        <v/>
      </c>
      <c r="AA111" s="213" t="str">
        <f t="shared" si="6"/>
        <v/>
      </c>
      <c r="AD111" s="296"/>
      <c r="AE111" s="201"/>
      <c r="AF111" s="201"/>
      <c r="AG111" s="201"/>
      <c r="AH111" s="201"/>
      <c r="AI111" s="201"/>
      <c r="AJ111" s="201"/>
      <c r="AK111" s="201"/>
      <c r="AL111" s="201"/>
    </row>
    <row r="112" ht="22.5" customHeight="1">
      <c r="A112" s="187" t="str">
        <f>IFERROR(__xludf.DUMMYFUNCTION("""COMPUTED_VALUE"""),"Mateo Henao")</f>
        <v>Mateo Henao</v>
      </c>
      <c r="B112" s="188" t="str">
        <f>IFERROR(__xludf.DUMMYFUNCTION("""COMPUTED_VALUE"""),"Breitner Benitez")</f>
        <v>Breitner Benitez</v>
      </c>
      <c r="C112" s="236">
        <f>IFERROR(__xludf.DUMMYFUNCTION("""COMPUTED_VALUE"""),45390.0)</f>
        <v>45390</v>
      </c>
      <c r="D112" s="187">
        <f>IFERROR(__xludf.DUMMYFUNCTION("""COMPUTED_VALUE"""),13.0)</f>
        <v>13</v>
      </c>
      <c r="E112" s="187" t="str">
        <f>IFERROR(__xludf.DUMMYFUNCTION("""COMPUTED_VALUE"""),"Voice")</f>
        <v>Voice</v>
      </c>
      <c r="F112" s="187" t="str">
        <f>IFERROR(__xludf.DUMMYFUNCTION("""COMPUTED_VALUE"""),"C1526")</f>
        <v>C1526</v>
      </c>
      <c r="G112" s="185" t="str">
        <f>IFERROR(__xludf.DUMMYFUNCTION("""COMPUTED_VALUE"""),"breitner.benitez@buwelo.com")</f>
        <v>breitner.benitez@buwelo.com</v>
      </c>
      <c r="H112" s="185" t="str">
        <f>IFERROR(__xludf.DUMMYFUNCTION("""COMPUTED_VALUE"""),"ho.bbenitez")</f>
        <v>ho.bbenitez</v>
      </c>
      <c r="I112" s="185" t="str">
        <f>IFERROR(__xludf.DUMMYFUNCTION("""COMPUTED_VALUE"""),"Active")</f>
        <v>Active</v>
      </c>
      <c r="J112" s="298"/>
      <c r="K112" s="283"/>
      <c r="L112" s="299"/>
      <c r="M112" s="300"/>
      <c r="N112" s="301"/>
      <c r="O112" s="302"/>
      <c r="P112" s="302"/>
      <c r="S112" s="275"/>
      <c r="T112" s="275"/>
      <c r="U112" s="303" t="str">
        <f t="shared" si="1"/>
        <v/>
      </c>
      <c r="V112" s="304" t="str">
        <f>IFERROR(__xludf.DUMMYFUNCTION("INDEX(FILTER(BvsL!F:F, BvsL!D:D=T112),1)
"),"")</f>
        <v/>
      </c>
      <c r="W112" s="212">
        <f t="shared" si="2"/>
        <v>0.375</v>
      </c>
      <c r="X112" s="275" t="str">
        <f t="shared" si="3"/>
        <v/>
      </c>
      <c r="Y112" s="275" t="str">
        <f t="shared" si="4"/>
        <v/>
      </c>
      <c r="Z112" s="275" t="str">
        <f t="shared" si="5"/>
        <v/>
      </c>
      <c r="AA112" s="213" t="str">
        <f t="shared" si="6"/>
        <v/>
      </c>
      <c r="AD112" s="296"/>
      <c r="AE112" s="201"/>
      <c r="AF112" s="201"/>
      <c r="AG112" s="201"/>
      <c r="AH112" s="201"/>
      <c r="AI112" s="201"/>
      <c r="AJ112" s="201"/>
      <c r="AK112" s="201"/>
      <c r="AL112" s="201"/>
    </row>
    <row r="113" ht="22.5" customHeight="1">
      <c r="A113" s="187" t="str">
        <f>IFERROR(__xludf.DUMMYFUNCTION("""COMPUTED_VALUE"""),"Mateo Henao")</f>
        <v>Mateo Henao</v>
      </c>
      <c r="B113" s="188" t="str">
        <f>IFERROR(__xludf.DUMMYFUNCTION("""COMPUTED_VALUE"""),"Carolina Rios")</f>
        <v>Carolina Rios</v>
      </c>
      <c r="C113" s="236">
        <f>IFERROR(__xludf.DUMMYFUNCTION("""COMPUTED_VALUE"""),45042.0)</f>
        <v>45042</v>
      </c>
      <c r="D113" s="216">
        <f>IFERROR(__xludf.DUMMYFUNCTION("""COMPUTED_VALUE"""),5.0)</f>
        <v>5</v>
      </c>
      <c r="E113" s="187" t="str">
        <f>IFERROR(__xludf.DUMMYFUNCTION("""COMPUTED_VALUE"""),"Voice")</f>
        <v>Voice</v>
      </c>
      <c r="F113" s="187" t="str">
        <f>IFERROR(__xludf.DUMMYFUNCTION("""COMPUTED_VALUE"""),"C687")</f>
        <v>C687</v>
      </c>
      <c r="G113" s="185" t="str">
        <f>IFERROR(__xludf.DUMMYFUNCTION("""COMPUTED_VALUE"""),"carolina.rios@buwelo.com")</f>
        <v>carolina.rios@buwelo.com</v>
      </c>
      <c r="H113" s="185" t="str">
        <f>IFERROR(__xludf.DUMMYFUNCTION("""COMPUTED_VALUE"""),"ho.crios")</f>
        <v>ho.crios</v>
      </c>
      <c r="I113" s="185" t="str">
        <f>IFERROR(__xludf.DUMMYFUNCTION("""COMPUTED_VALUE"""),"Active")</f>
        <v>Active</v>
      </c>
      <c r="J113" s="298"/>
      <c r="K113" s="283"/>
      <c r="L113" s="299"/>
      <c r="M113" s="300"/>
      <c r="N113" s="301"/>
      <c r="O113" s="302"/>
      <c r="P113" s="302"/>
      <c r="S113" s="275"/>
      <c r="T113" s="275"/>
      <c r="U113" s="303" t="str">
        <f t="shared" si="1"/>
        <v/>
      </c>
      <c r="V113" s="304" t="str">
        <f>IFERROR(__xludf.DUMMYFUNCTION("INDEX(FILTER(BvsL!F:F, BvsL!D:D=T113),1)
"),"")</f>
        <v/>
      </c>
      <c r="W113" s="212">
        <f t="shared" si="2"/>
        <v>0.375</v>
      </c>
      <c r="X113" s="275" t="str">
        <f t="shared" si="3"/>
        <v/>
      </c>
      <c r="Y113" s="275" t="str">
        <f t="shared" si="4"/>
        <v/>
      </c>
      <c r="Z113" s="275" t="str">
        <f t="shared" si="5"/>
        <v/>
      </c>
      <c r="AA113" s="213" t="str">
        <f t="shared" si="6"/>
        <v/>
      </c>
      <c r="AD113" s="296"/>
      <c r="AE113" s="201"/>
      <c r="AF113" s="201"/>
      <c r="AG113" s="201"/>
      <c r="AH113" s="201"/>
      <c r="AI113" s="201"/>
      <c r="AJ113" s="201"/>
      <c r="AK113" s="201"/>
      <c r="AL113" s="201"/>
    </row>
    <row r="114" ht="22.5" customHeight="1">
      <c r="A114" s="187" t="str">
        <f>IFERROR(__xludf.DUMMYFUNCTION("""COMPUTED_VALUE"""),"Mateo Henao")</f>
        <v>Mateo Henao</v>
      </c>
      <c r="B114" s="188" t="str">
        <f>IFERROR(__xludf.DUMMYFUNCTION("""COMPUTED_VALUE"""),"Christian Ramirez")</f>
        <v>Christian Ramirez</v>
      </c>
      <c r="C114" s="236">
        <f>IFERROR(__xludf.DUMMYFUNCTION("""COMPUTED_VALUE"""),46083.0)</f>
        <v>46083</v>
      </c>
      <c r="D114" s="187">
        <f>IFERROR(__xludf.DUMMYFUNCTION("""COMPUTED_VALUE"""),36.0)</f>
        <v>36</v>
      </c>
      <c r="E114" s="187" t="str">
        <f>IFERROR(__xludf.DUMMYFUNCTION("""COMPUTED_VALUE"""),"Voice")</f>
        <v>Voice</v>
      </c>
      <c r="F114" s="187" t="str">
        <f>IFERROR(__xludf.DUMMYFUNCTION("""COMPUTED_VALUE"""),"C1528")</f>
        <v>C1528</v>
      </c>
      <c r="G114" s="185" t="str">
        <f>IFERROR(__xludf.DUMMYFUNCTION("""COMPUTED_VALUE"""),"@email")</f>
        <v>@email</v>
      </c>
      <c r="H114" s="185" t="str">
        <f>IFERROR(__xludf.DUMMYFUNCTION("""COMPUTED_VALUE"""),"ho.cramirez")</f>
        <v>ho.cramirez</v>
      </c>
      <c r="I114" s="185" t="str">
        <f>IFERROR(__xludf.DUMMYFUNCTION("""COMPUTED_VALUE"""),"Active")</f>
        <v>Active</v>
      </c>
      <c r="J114" s="298"/>
      <c r="K114" s="283"/>
      <c r="L114" s="299"/>
      <c r="M114" s="300"/>
      <c r="N114" s="301"/>
      <c r="O114" s="302"/>
      <c r="P114" s="302"/>
      <c r="S114" s="275"/>
      <c r="T114" s="275"/>
      <c r="U114" s="303" t="str">
        <f t="shared" si="1"/>
        <v/>
      </c>
      <c r="V114" s="304" t="str">
        <f>IFERROR(__xludf.DUMMYFUNCTION("INDEX(FILTER(BvsL!F:F, BvsL!D:D=T114),1)
"),"")</f>
        <v/>
      </c>
      <c r="W114" s="212">
        <f t="shared" si="2"/>
        <v>0.375</v>
      </c>
      <c r="X114" s="275" t="str">
        <f t="shared" si="3"/>
        <v/>
      </c>
      <c r="Y114" s="275" t="str">
        <f t="shared" si="4"/>
        <v/>
      </c>
      <c r="Z114" s="275" t="str">
        <f t="shared" si="5"/>
        <v/>
      </c>
      <c r="AA114" s="213" t="str">
        <f t="shared" si="6"/>
        <v/>
      </c>
      <c r="AD114" s="296"/>
      <c r="AE114" s="201"/>
      <c r="AF114" s="201"/>
      <c r="AG114" s="201"/>
      <c r="AH114" s="201"/>
      <c r="AI114" s="201"/>
      <c r="AJ114" s="201"/>
      <c r="AK114" s="201"/>
      <c r="AL114" s="201"/>
    </row>
    <row r="115" ht="22.5" customHeight="1">
      <c r="A115" s="187" t="str">
        <f>IFERROR(__xludf.DUMMYFUNCTION("""COMPUTED_VALUE"""),"Mateo Henao")</f>
        <v>Mateo Henao</v>
      </c>
      <c r="B115" s="188" t="str">
        <f>IFERROR(__xludf.DUMMYFUNCTION("""COMPUTED_VALUE"""),"Daniel Barrientos")</f>
        <v>Daniel Barrientos</v>
      </c>
      <c r="C115" s="236">
        <f>IFERROR(__xludf.DUMMYFUNCTION("""COMPUTED_VALUE"""),46083.0)</f>
        <v>46083</v>
      </c>
      <c r="D115" s="187">
        <f>IFERROR(__xludf.DUMMYFUNCTION("""COMPUTED_VALUE"""),36.0)</f>
        <v>36</v>
      </c>
      <c r="E115" s="187" t="str">
        <f>IFERROR(__xludf.DUMMYFUNCTION("""COMPUTED_VALUE"""),"Voice")</f>
        <v>Voice</v>
      </c>
      <c r="F115" s="187" t="str">
        <f>IFERROR(__xludf.DUMMYFUNCTION("""COMPUTED_VALUE"""),"C1529")</f>
        <v>C1529</v>
      </c>
      <c r="G115" s="185" t="str">
        <f>IFERROR(__xludf.DUMMYFUNCTION("""COMPUTED_VALUE"""),"@email")</f>
        <v>@email</v>
      </c>
      <c r="H115" s="185" t="str">
        <f>IFERROR(__xludf.DUMMYFUNCTION("""COMPUTED_VALUE"""),"ho.dabarrientos")</f>
        <v>ho.dabarrientos</v>
      </c>
      <c r="I115" s="185" t="str">
        <f>IFERROR(__xludf.DUMMYFUNCTION("""COMPUTED_VALUE"""),"Active")</f>
        <v>Active</v>
      </c>
      <c r="J115" s="298"/>
      <c r="K115" s="283"/>
      <c r="L115" s="299"/>
      <c r="M115" s="300"/>
      <c r="N115" s="301"/>
      <c r="O115" s="302"/>
      <c r="P115" s="302"/>
      <c r="S115" s="275"/>
      <c r="T115" s="275"/>
      <c r="U115" s="303" t="str">
        <f t="shared" si="1"/>
        <v/>
      </c>
      <c r="V115" s="304" t="str">
        <f>IFERROR(__xludf.DUMMYFUNCTION("INDEX(FILTER(BvsL!F:F, BvsL!D:D=T115),1)
"),"")</f>
        <v/>
      </c>
      <c r="W115" s="212">
        <f t="shared" si="2"/>
        <v>0.375</v>
      </c>
      <c r="X115" s="275" t="str">
        <f t="shared" si="3"/>
        <v/>
      </c>
      <c r="Y115" s="275" t="str">
        <f t="shared" si="4"/>
        <v/>
      </c>
      <c r="Z115" s="275" t="str">
        <f t="shared" si="5"/>
        <v/>
      </c>
      <c r="AA115" s="213" t="str">
        <f t="shared" si="6"/>
        <v/>
      </c>
      <c r="AD115" s="296"/>
      <c r="AE115" s="201"/>
      <c r="AF115" s="201"/>
      <c r="AG115" s="201"/>
      <c r="AH115" s="201"/>
      <c r="AI115" s="201"/>
      <c r="AJ115" s="201"/>
      <c r="AK115" s="201"/>
      <c r="AL115" s="201"/>
    </row>
    <row r="116" ht="22.5" customHeight="1">
      <c r="A116" s="187" t="str">
        <f>IFERROR(__xludf.DUMMYFUNCTION("""COMPUTED_VALUE"""),"Mateo Henao")</f>
        <v>Mateo Henao</v>
      </c>
      <c r="B116" s="188" t="str">
        <f>IFERROR(__xludf.DUMMYFUNCTION("""COMPUTED_VALUE"""),"David Patino")</f>
        <v>David Patino</v>
      </c>
      <c r="C116" s="236">
        <f>IFERROR(__xludf.DUMMYFUNCTION("""COMPUTED_VALUE"""),46076.0)</f>
        <v>46076</v>
      </c>
      <c r="D116" s="187">
        <f>IFERROR(__xludf.DUMMYFUNCTION("""COMPUTED_VALUE"""),35.0)</f>
        <v>35</v>
      </c>
      <c r="E116" s="187" t="str">
        <f>IFERROR(__xludf.DUMMYFUNCTION("""COMPUTED_VALUE"""),"Voice")</f>
        <v>Voice</v>
      </c>
      <c r="F116" s="187" t="str">
        <f>IFERROR(__xludf.DUMMYFUNCTION("""COMPUTED_VALUE"""),"C1513")</f>
        <v>C1513</v>
      </c>
      <c r="G116" s="185" t="str">
        <f>IFERROR(__xludf.DUMMYFUNCTION("""COMPUTED_VALUE"""),"email")</f>
        <v>email</v>
      </c>
      <c r="H116" s="185" t="str">
        <f>IFERROR(__xludf.DUMMYFUNCTION("""COMPUTED_VALUE"""),"ho.dpatino")</f>
        <v>ho.dpatino</v>
      </c>
      <c r="I116" s="185" t="str">
        <f>IFERROR(__xludf.DUMMYFUNCTION("""COMPUTED_VALUE"""),"Active")</f>
        <v>Active</v>
      </c>
      <c r="J116" s="298"/>
      <c r="K116" s="283"/>
      <c r="L116" s="299"/>
      <c r="M116" s="300"/>
      <c r="N116" s="301"/>
      <c r="O116" s="302"/>
      <c r="P116" s="302"/>
      <c r="S116" s="275"/>
      <c r="T116" s="275"/>
      <c r="U116" s="303" t="str">
        <f t="shared" si="1"/>
        <v/>
      </c>
      <c r="V116" s="304" t="str">
        <f>IFERROR(__xludf.DUMMYFUNCTION("INDEX(FILTER(BvsL!F:F, BvsL!D:D=T116),1)
"),"")</f>
        <v/>
      </c>
      <c r="W116" s="212">
        <f t="shared" si="2"/>
        <v>0.375</v>
      </c>
      <c r="X116" s="275" t="str">
        <f t="shared" si="3"/>
        <v/>
      </c>
      <c r="Y116" s="275" t="str">
        <f t="shared" si="4"/>
        <v/>
      </c>
      <c r="Z116" s="275" t="str">
        <f t="shared" si="5"/>
        <v/>
      </c>
      <c r="AA116" s="213" t="str">
        <f t="shared" si="6"/>
        <v/>
      </c>
      <c r="AD116" s="296"/>
      <c r="AE116" s="201"/>
      <c r="AF116" s="201"/>
      <c r="AG116" s="201"/>
      <c r="AH116" s="201"/>
      <c r="AI116" s="201"/>
      <c r="AJ116" s="201"/>
      <c r="AK116" s="201"/>
      <c r="AL116" s="201"/>
    </row>
    <row r="117" ht="22.5" customHeight="1">
      <c r="A117" s="187" t="str">
        <f>IFERROR(__xludf.DUMMYFUNCTION("""COMPUTED_VALUE"""),"Mateo Henao")</f>
        <v>Mateo Henao</v>
      </c>
      <c r="B117" s="188" t="str">
        <f>IFERROR(__xludf.DUMMYFUNCTION("""COMPUTED_VALUE"""),"Esteban Correa")</f>
        <v>Esteban Correa</v>
      </c>
      <c r="C117" s="236">
        <f>IFERROR(__xludf.DUMMYFUNCTION("""COMPUTED_VALUE"""),46113.0)</f>
        <v>46113</v>
      </c>
      <c r="D117" s="187">
        <f>IFERROR(__xludf.DUMMYFUNCTION("""COMPUTED_VALUE"""),38.0)</f>
        <v>38</v>
      </c>
      <c r="E117" s="187" t="str">
        <f>IFERROR(__xludf.DUMMYFUNCTION("""COMPUTED_VALUE"""),"Voice")</f>
        <v>Voice</v>
      </c>
      <c r="F117" s="187" t="str">
        <f>IFERROR(__xludf.DUMMYFUNCTION("""COMPUTED_VALUE"""),"C1573")</f>
        <v>C1573</v>
      </c>
      <c r="G117" s="185" t="str">
        <f>IFERROR(__xludf.DUMMYFUNCTION("""COMPUTED_VALUE"""),"@email")</f>
        <v>@email</v>
      </c>
      <c r="H117" s="185" t="str">
        <f>IFERROR(__xludf.DUMMYFUNCTION("""COMPUTED_VALUE"""),"ho.ecorrea")</f>
        <v>ho.ecorrea</v>
      </c>
      <c r="I117" s="185" t="str">
        <f>IFERROR(__xludf.DUMMYFUNCTION("""COMPUTED_VALUE"""),"Active")</f>
        <v>Active</v>
      </c>
      <c r="J117" s="298"/>
      <c r="K117" s="283"/>
      <c r="L117" s="299"/>
      <c r="M117" s="300"/>
      <c r="N117" s="301"/>
      <c r="O117" s="302"/>
      <c r="P117" s="302"/>
      <c r="S117" s="275"/>
      <c r="T117" s="275"/>
      <c r="U117" s="303" t="str">
        <f t="shared" si="1"/>
        <v/>
      </c>
      <c r="V117" s="304" t="str">
        <f>IFERROR(__xludf.DUMMYFUNCTION("INDEX(FILTER(BvsL!F:F, BvsL!D:D=T117),1)
"),"")</f>
        <v/>
      </c>
      <c r="W117" s="212">
        <f t="shared" si="2"/>
        <v>0.375</v>
      </c>
      <c r="X117" s="275" t="str">
        <f t="shared" si="3"/>
        <v/>
      </c>
      <c r="Y117" s="275" t="str">
        <f t="shared" si="4"/>
        <v/>
      </c>
      <c r="Z117" s="275" t="str">
        <f t="shared" si="5"/>
        <v/>
      </c>
      <c r="AA117" s="213" t="str">
        <f t="shared" si="6"/>
        <v/>
      </c>
      <c r="AD117" s="296"/>
      <c r="AE117" s="201"/>
      <c r="AF117" s="201"/>
      <c r="AG117" s="201"/>
      <c r="AH117" s="201"/>
      <c r="AI117" s="201"/>
      <c r="AJ117" s="201"/>
      <c r="AK117" s="201"/>
      <c r="AL117" s="201"/>
    </row>
    <row r="118" ht="22.5" customHeight="1">
      <c r="A118" s="187" t="str">
        <f>IFERROR(__xludf.DUMMYFUNCTION("""COMPUTED_VALUE"""),"Mateo Henao")</f>
        <v>Mateo Henao</v>
      </c>
      <c r="B118" s="188" t="str">
        <f>IFERROR(__xludf.DUMMYFUNCTION("""COMPUTED_VALUE"""),"Jhoam Quiroz")</f>
        <v>Jhoam Quiroz</v>
      </c>
      <c r="C118" s="236">
        <f>IFERROR(__xludf.DUMMYFUNCTION("""COMPUTED_VALUE"""),44932.0)</f>
        <v>44932</v>
      </c>
      <c r="D118" s="216">
        <f>IFERROR(__xludf.DUMMYFUNCTION("""COMPUTED_VALUE"""),1.0)</f>
        <v>1</v>
      </c>
      <c r="E118" s="187" t="str">
        <f>IFERROR(__xludf.DUMMYFUNCTION("""COMPUTED_VALUE"""),"Voice")</f>
        <v>Voice</v>
      </c>
      <c r="F118" s="187" t="str">
        <f>IFERROR(__xludf.DUMMYFUNCTION("""COMPUTED_VALUE"""),"C512")</f>
        <v>C512</v>
      </c>
      <c r="G118" s="185" t="str">
        <f>IFERROR(__xludf.DUMMYFUNCTION("""COMPUTED_VALUE"""),"jhoam.quiroz@buwelo.com")</f>
        <v>jhoam.quiroz@buwelo.com</v>
      </c>
      <c r="H118" s="185" t="str">
        <f>IFERROR(__xludf.DUMMYFUNCTION("""COMPUTED_VALUE"""),"ho.jquiroz")</f>
        <v>ho.jquiroz</v>
      </c>
      <c r="I118" s="185" t="str">
        <f>IFERROR(__xludf.DUMMYFUNCTION("""COMPUTED_VALUE"""),"Active")</f>
        <v>Active</v>
      </c>
      <c r="J118" s="298"/>
      <c r="K118" s="283"/>
      <c r="L118" s="299"/>
      <c r="M118" s="300"/>
      <c r="N118" s="301"/>
      <c r="O118" s="302"/>
      <c r="P118" s="302"/>
      <c r="S118" s="275"/>
      <c r="T118" s="275"/>
      <c r="U118" s="303" t="str">
        <f t="shared" si="1"/>
        <v/>
      </c>
      <c r="V118" s="304" t="str">
        <f>IFERROR(__xludf.DUMMYFUNCTION("INDEX(FILTER(BvsL!F:F, BvsL!D:D=T118),1)
"),"")</f>
        <v/>
      </c>
      <c r="W118" s="212">
        <f t="shared" si="2"/>
        <v>0.375</v>
      </c>
      <c r="X118" s="275" t="str">
        <f t="shared" si="3"/>
        <v/>
      </c>
      <c r="Y118" s="275" t="str">
        <f t="shared" si="4"/>
        <v/>
      </c>
      <c r="Z118" s="275" t="str">
        <f t="shared" si="5"/>
        <v/>
      </c>
      <c r="AA118" s="213" t="str">
        <f t="shared" si="6"/>
        <v/>
      </c>
      <c r="AD118" s="296"/>
      <c r="AE118" s="201"/>
      <c r="AF118" s="201"/>
      <c r="AG118" s="201"/>
      <c r="AH118" s="201"/>
      <c r="AI118" s="201"/>
      <c r="AJ118" s="201"/>
      <c r="AK118" s="201"/>
      <c r="AL118" s="201"/>
    </row>
    <row r="119" ht="22.5" customHeight="1">
      <c r="A119" s="187" t="str">
        <f>IFERROR(__xludf.DUMMYFUNCTION("""COMPUTED_VALUE"""),"Mateo Henao")</f>
        <v>Mateo Henao</v>
      </c>
      <c r="B119" s="188" t="str">
        <f>IFERROR(__xludf.DUMMYFUNCTION("""COMPUTED_VALUE"""),"Jhonatan Gomez")</f>
        <v>Jhonatan Gomez</v>
      </c>
      <c r="C119" s="236">
        <f>IFERROR(__xludf.DUMMYFUNCTION("""COMPUTED_VALUE"""),46076.0)</f>
        <v>46076</v>
      </c>
      <c r="D119" s="187">
        <f>IFERROR(__xludf.DUMMYFUNCTION("""COMPUTED_VALUE"""),35.0)</f>
        <v>35</v>
      </c>
      <c r="E119" s="187" t="str">
        <f>IFERROR(__xludf.DUMMYFUNCTION("""COMPUTED_VALUE"""),"Voice")</f>
        <v>Voice</v>
      </c>
      <c r="F119" s="187" t="str">
        <f>IFERROR(__xludf.DUMMYFUNCTION("""COMPUTED_VALUE"""),"C1509")</f>
        <v>C1509</v>
      </c>
      <c r="G119" s="185" t="str">
        <f>IFERROR(__xludf.DUMMYFUNCTION("""COMPUTED_VALUE"""),"email")</f>
        <v>email</v>
      </c>
      <c r="H119" s="185" t="str">
        <f>IFERROR(__xludf.DUMMYFUNCTION("""COMPUTED_VALUE"""),"ho.jhgomez")</f>
        <v>ho.jhgomez</v>
      </c>
      <c r="I119" s="185" t="str">
        <f>IFERROR(__xludf.DUMMYFUNCTION("""COMPUTED_VALUE"""),"Active")</f>
        <v>Active</v>
      </c>
      <c r="J119" s="298"/>
      <c r="K119" s="283"/>
      <c r="L119" s="299"/>
      <c r="M119" s="300"/>
      <c r="N119" s="301"/>
      <c r="O119" s="302"/>
      <c r="P119" s="302"/>
      <c r="S119" s="275"/>
      <c r="T119" s="275"/>
      <c r="U119" s="303" t="str">
        <f t="shared" si="1"/>
        <v/>
      </c>
      <c r="V119" s="304" t="str">
        <f>IFERROR(__xludf.DUMMYFUNCTION("INDEX(FILTER(BvsL!F:F, BvsL!D:D=T119),1)
"),"")</f>
        <v/>
      </c>
      <c r="W119" s="212">
        <f t="shared" si="2"/>
        <v>0.375</v>
      </c>
      <c r="X119" s="275" t="str">
        <f t="shared" si="3"/>
        <v/>
      </c>
      <c r="Y119" s="275" t="str">
        <f t="shared" si="4"/>
        <v/>
      </c>
      <c r="Z119" s="275" t="str">
        <f t="shared" si="5"/>
        <v/>
      </c>
      <c r="AA119" s="213" t="str">
        <f t="shared" si="6"/>
        <v/>
      </c>
      <c r="AD119" s="296"/>
      <c r="AE119" s="201"/>
      <c r="AF119" s="201"/>
      <c r="AG119" s="201"/>
      <c r="AH119" s="201"/>
      <c r="AI119" s="201"/>
      <c r="AJ119" s="201"/>
      <c r="AK119" s="201"/>
      <c r="AL119" s="201"/>
    </row>
    <row r="120" ht="22.5" customHeight="1">
      <c r="A120" s="187" t="str">
        <f>IFERROR(__xludf.DUMMYFUNCTION("""COMPUTED_VALUE"""),"Mateo Henao")</f>
        <v>Mateo Henao</v>
      </c>
      <c r="B120" s="188" t="str">
        <f>IFERROR(__xludf.DUMMYFUNCTION("""COMPUTED_VALUE"""),"Jorge Orozco")</f>
        <v>Jorge Orozco</v>
      </c>
      <c r="C120" s="236">
        <f>IFERROR(__xludf.DUMMYFUNCTION("""COMPUTED_VALUE"""),46113.0)</f>
        <v>46113</v>
      </c>
      <c r="D120" s="187">
        <f>IFERROR(__xludf.DUMMYFUNCTION("""COMPUTED_VALUE"""),38.0)</f>
        <v>38</v>
      </c>
      <c r="E120" s="187" t="str">
        <f>IFERROR(__xludf.DUMMYFUNCTION("""COMPUTED_VALUE"""),"Voice")</f>
        <v>Voice</v>
      </c>
      <c r="F120" s="187" t="str">
        <f>IFERROR(__xludf.DUMMYFUNCTION("""COMPUTED_VALUE"""),"C1569")</f>
        <v>C1569</v>
      </c>
      <c r="G120" s="185" t="str">
        <f>IFERROR(__xludf.DUMMYFUNCTION("""COMPUTED_VALUE"""),"@email")</f>
        <v>@email</v>
      </c>
      <c r="H120" s="185" t="str">
        <f>IFERROR(__xludf.DUMMYFUNCTION("""COMPUTED_VALUE"""),"ho.jorozco")</f>
        <v>ho.jorozco</v>
      </c>
      <c r="I120" s="185" t="str">
        <f>IFERROR(__xludf.DUMMYFUNCTION("""COMPUTED_VALUE"""),"Active")</f>
        <v>Active</v>
      </c>
      <c r="J120" s="298"/>
      <c r="K120" s="283"/>
      <c r="L120" s="299"/>
      <c r="M120" s="300"/>
      <c r="N120" s="301"/>
      <c r="O120" s="302"/>
      <c r="P120" s="302"/>
      <c r="S120" s="275"/>
      <c r="T120" s="275"/>
      <c r="U120" s="303" t="str">
        <f t="shared" si="1"/>
        <v/>
      </c>
      <c r="V120" s="304" t="str">
        <f>IFERROR(__xludf.DUMMYFUNCTION("INDEX(FILTER(BvsL!F:F, BvsL!D:D=T120),1)
"),"")</f>
        <v/>
      </c>
      <c r="W120" s="212">
        <f t="shared" si="2"/>
        <v>0.375</v>
      </c>
      <c r="X120" s="275" t="str">
        <f t="shared" si="3"/>
        <v/>
      </c>
      <c r="Y120" s="275" t="str">
        <f t="shared" si="4"/>
        <v/>
      </c>
      <c r="Z120" s="275" t="str">
        <f t="shared" si="5"/>
        <v/>
      </c>
      <c r="AA120" s="213" t="str">
        <f t="shared" si="6"/>
        <v/>
      </c>
      <c r="AD120" s="296"/>
      <c r="AE120" s="201"/>
      <c r="AF120" s="201"/>
      <c r="AG120" s="201"/>
      <c r="AH120" s="201"/>
      <c r="AI120" s="201"/>
      <c r="AJ120" s="201"/>
      <c r="AK120" s="201"/>
      <c r="AL120" s="201"/>
    </row>
    <row r="121" ht="22.5" customHeight="1">
      <c r="A121" s="187" t="str">
        <f>IFERROR(__xludf.DUMMYFUNCTION("""COMPUTED_VALUE"""),"Mateo Henao")</f>
        <v>Mateo Henao</v>
      </c>
      <c r="B121" s="188" t="str">
        <f>IFERROR(__xludf.DUMMYFUNCTION("""COMPUTED_VALUE"""),"Juan Largacha")</f>
        <v>Juan Largacha</v>
      </c>
      <c r="C121" s="236">
        <f>IFERROR(__xludf.DUMMYFUNCTION("""COMPUTED_VALUE"""),45670.0)</f>
        <v>45670</v>
      </c>
      <c r="D121" s="187">
        <f>IFERROR(__xludf.DUMMYFUNCTION("""COMPUTED_VALUE"""),22.0)</f>
        <v>22</v>
      </c>
      <c r="E121" s="187" t="str">
        <f>IFERROR(__xludf.DUMMYFUNCTION("""COMPUTED_VALUE"""),"Voice")</f>
        <v>Voice</v>
      </c>
      <c r="F121" s="187" t="str">
        <f>IFERROR(__xludf.DUMMYFUNCTION("""COMPUTED_VALUE"""),"C1139")</f>
        <v>C1139</v>
      </c>
      <c r="G121" s="185" t="str">
        <f>IFERROR(__xludf.DUMMYFUNCTION("""COMPUTED_VALUE"""),"juan.largacha@buwelo.com")</f>
        <v>juan.largacha@buwelo.com</v>
      </c>
      <c r="H121" s="185" t="str">
        <f>IFERROR(__xludf.DUMMYFUNCTION("""COMPUTED_VALUE"""),"ho.jlargacha")</f>
        <v>ho.jlargacha</v>
      </c>
      <c r="I121" s="185" t="str">
        <f>IFERROR(__xludf.DUMMYFUNCTION("""COMPUTED_VALUE"""),"Active")</f>
        <v>Active</v>
      </c>
      <c r="J121" s="298"/>
      <c r="K121" s="283"/>
      <c r="L121" s="299"/>
      <c r="M121" s="300"/>
      <c r="N121" s="301"/>
      <c r="O121" s="302"/>
      <c r="P121" s="302"/>
      <c r="S121" s="275"/>
      <c r="T121" s="275"/>
      <c r="U121" s="303" t="str">
        <f t="shared" si="1"/>
        <v/>
      </c>
      <c r="V121" s="304" t="str">
        <f>IFERROR(__xludf.DUMMYFUNCTION("INDEX(FILTER(BvsL!F:F, BvsL!D:D=T121),1)
"),"")</f>
        <v/>
      </c>
      <c r="W121" s="212">
        <f t="shared" si="2"/>
        <v>0.375</v>
      </c>
      <c r="X121" s="275" t="str">
        <f t="shared" si="3"/>
        <v/>
      </c>
      <c r="Y121" s="275" t="str">
        <f t="shared" si="4"/>
        <v/>
      </c>
      <c r="Z121" s="275" t="str">
        <f t="shared" si="5"/>
        <v/>
      </c>
      <c r="AA121" s="213" t="str">
        <f t="shared" si="6"/>
        <v/>
      </c>
      <c r="AD121" s="296"/>
      <c r="AE121" s="201"/>
      <c r="AF121" s="201"/>
      <c r="AG121" s="201"/>
      <c r="AH121" s="201"/>
      <c r="AI121" s="201"/>
      <c r="AJ121" s="201"/>
      <c r="AK121" s="201"/>
      <c r="AL121" s="201"/>
    </row>
    <row r="122">
      <c r="A122" s="187" t="str">
        <f>IFERROR(__xludf.DUMMYFUNCTION("""COMPUTED_VALUE"""),"Mateo Henao")</f>
        <v>Mateo Henao</v>
      </c>
      <c r="B122" s="188" t="str">
        <f>IFERROR(__xludf.DUMMYFUNCTION("""COMPUTED_VALUE"""),"Juan Parra")</f>
        <v>Juan Parra</v>
      </c>
      <c r="C122" s="236">
        <f>IFERROR(__xludf.DUMMYFUNCTION("""COMPUTED_VALUE"""),45985.0)</f>
        <v>45985</v>
      </c>
      <c r="D122" s="187">
        <f>IFERROR(__xludf.DUMMYFUNCTION("""COMPUTED_VALUE"""),32.0)</f>
        <v>32</v>
      </c>
      <c r="E122" s="187" t="str">
        <f>IFERROR(__xludf.DUMMYFUNCTION("""COMPUTED_VALUE"""),"Voice")</f>
        <v>Voice</v>
      </c>
      <c r="F122" s="187" t="str">
        <f>IFERROR(__xludf.DUMMYFUNCTION("""COMPUTED_VALUE"""),"C1413")</f>
        <v>C1413</v>
      </c>
      <c r="G122" s="185" t="str">
        <f>IFERROR(__xludf.DUMMYFUNCTION("""COMPUTED_VALUE"""),"juan.parra@buwelo.com")</f>
        <v>juan.parra@buwelo.com</v>
      </c>
      <c r="H122" s="185" t="str">
        <f>IFERROR(__xludf.DUMMYFUNCTION("""COMPUTED_VALUE"""),"ho.jparra")</f>
        <v>ho.jparra</v>
      </c>
      <c r="I122" s="185" t="str">
        <f>IFERROR(__xludf.DUMMYFUNCTION("""COMPUTED_VALUE"""),"Active")</f>
        <v>Active</v>
      </c>
      <c r="J122" s="298"/>
      <c r="K122" s="283"/>
      <c r="L122" s="299"/>
      <c r="M122" s="300"/>
      <c r="N122" s="301"/>
      <c r="O122" s="302"/>
      <c r="P122" s="302"/>
      <c r="AD122" s="296"/>
      <c r="AE122" s="201"/>
      <c r="AF122" s="201"/>
      <c r="AG122" s="201"/>
      <c r="AH122" s="201"/>
      <c r="AI122" s="201"/>
      <c r="AJ122" s="201"/>
      <c r="AK122" s="201"/>
      <c r="AL122" s="201"/>
    </row>
    <row r="123">
      <c r="A123" s="187" t="str">
        <f>IFERROR(__xludf.DUMMYFUNCTION("""COMPUTED_VALUE"""),"Mateo Henao")</f>
        <v>Mateo Henao</v>
      </c>
      <c r="B123" s="188" t="str">
        <f>IFERROR(__xludf.DUMMYFUNCTION("""COMPUTED_VALUE"""),"Juan Zapata")</f>
        <v>Juan Zapata</v>
      </c>
      <c r="C123" s="236">
        <f>IFERROR(__xludf.DUMMYFUNCTION("""COMPUTED_VALUE"""),46113.0)</f>
        <v>46113</v>
      </c>
      <c r="D123" s="187">
        <f>IFERROR(__xludf.DUMMYFUNCTION("""COMPUTED_VALUE"""),38.0)</f>
        <v>38</v>
      </c>
      <c r="E123" s="187" t="str">
        <f>IFERROR(__xludf.DUMMYFUNCTION("""COMPUTED_VALUE"""),"Voice")</f>
        <v>Voice</v>
      </c>
      <c r="F123" s="187" t="str">
        <f>IFERROR(__xludf.DUMMYFUNCTION("""COMPUTED_VALUE"""),"C1568")</f>
        <v>C1568</v>
      </c>
      <c r="G123" s="185" t="str">
        <f>IFERROR(__xludf.DUMMYFUNCTION("""COMPUTED_VALUE"""),"@email")</f>
        <v>@email</v>
      </c>
      <c r="H123" s="185" t="str">
        <f>IFERROR(__xludf.DUMMYFUNCTION("""COMPUTED_VALUE"""),"ho.juzapata")</f>
        <v>ho.juzapata</v>
      </c>
      <c r="I123" s="185" t="str">
        <f>IFERROR(__xludf.DUMMYFUNCTION("""COMPUTED_VALUE"""),"Active")</f>
        <v>Active</v>
      </c>
      <c r="J123" s="298"/>
      <c r="K123" s="283"/>
      <c r="L123" s="299"/>
      <c r="M123" s="300"/>
      <c r="N123" s="301"/>
      <c r="O123" s="302"/>
      <c r="P123" s="302"/>
      <c r="AD123" s="296"/>
      <c r="AE123" s="201"/>
      <c r="AF123" s="201"/>
      <c r="AG123" s="201"/>
      <c r="AH123" s="201"/>
      <c r="AI123" s="201"/>
      <c r="AJ123" s="201"/>
      <c r="AK123" s="201"/>
      <c r="AL123" s="201"/>
    </row>
    <row r="124">
      <c r="A124" s="187" t="str">
        <f>IFERROR(__xludf.DUMMYFUNCTION("""COMPUTED_VALUE"""),"Mateo Henao")</f>
        <v>Mateo Henao</v>
      </c>
      <c r="B124" s="188" t="str">
        <f>IFERROR(__xludf.DUMMYFUNCTION("""COMPUTED_VALUE"""),"Karen Panqueva")</f>
        <v>Karen Panqueva</v>
      </c>
      <c r="C124" s="236">
        <f>IFERROR(__xludf.DUMMYFUNCTION("""COMPUTED_VALUE"""),45586.0)</f>
        <v>45586</v>
      </c>
      <c r="D124" s="187">
        <f>IFERROR(__xludf.DUMMYFUNCTION("""COMPUTED_VALUE"""),19.0)</f>
        <v>19</v>
      </c>
      <c r="E124" s="187" t="str">
        <f>IFERROR(__xludf.DUMMYFUNCTION("""COMPUTED_VALUE"""),"Voice")</f>
        <v>Voice</v>
      </c>
      <c r="F124" s="187" t="str">
        <f>IFERROR(__xludf.DUMMYFUNCTION("""COMPUTED_VALUE"""),"C1086")</f>
        <v>C1086</v>
      </c>
      <c r="G124" s="185" t="str">
        <f>IFERROR(__xludf.DUMMYFUNCTION("""COMPUTED_VALUE"""),"karen.panqueva@buwelo.com")</f>
        <v>karen.panqueva@buwelo.com</v>
      </c>
      <c r="H124" s="185" t="str">
        <f>IFERROR(__xludf.DUMMYFUNCTION("""COMPUTED_VALUE"""),"ho.kpanqueva")</f>
        <v>ho.kpanqueva</v>
      </c>
      <c r="I124" s="185" t="str">
        <f>IFERROR(__xludf.DUMMYFUNCTION("""COMPUTED_VALUE"""),"Active")</f>
        <v>Active</v>
      </c>
      <c r="J124" s="298"/>
      <c r="K124" s="283"/>
      <c r="L124" s="299"/>
      <c r="M124" s="300"/>
      <c r="N124" s="301"/>
      <c r="O124" s="302"/>
      <c r="P124" s="302"/>
      <c r="S124" s="305"/>
      <c r="T124" s="305"/>
      <c r="U124" s="306"/>
      <c r="V124" s="305"/>
      <c r="W124" s="305"/>
      <c r="X124" s="305"/>
      <c r="Y124" s="305"/>
      <c r="Z124" s="305"/>
      <c r="AD124" s="296"/>
      <c r="AE124" s="201"/>
      <c r="AF124" s="201"/>
      <c r="AG124" s="201"/>
      <c r="AH124" s="201"/>
      <c r="AI124" s="201"/>
      <c r="AJ124" s="201"/>
      <c r="AK124" s="201"/>
      <c r="AL124" s="201"/>
    </row>
    <row r="125">
      <c r="A125" s="187" t="str">
        <f>IFERROR(__xludf.DUMMYFUNCTION("""COMPUTED_VALUE"""),"Mateo Henao")</f>
        <v>Mateo Henao</v>
      </c>
      <c r="B125" s="188" t="str">
        <f>IFERROR(__xludf.DUMMYFUNCTION("""COMPUTED_VALUE"""),"Laura Chamorro")</f>
        <v>Laura Chamorro</v>
      </c>
      <c r="C125" s="236">
        <f>IFERROR(__xludf.DUMMYFUNCTION("""COMPUTED_VALUE"""),46113.0)</f>
        <v>46113</v>
      </c>
      <c r="D125" s="187">
        <f>IFERROR(__xludf.DUMMYFUNCTION("""COMPUTED_VALUE"""),38.0)</f>
        <v>38</v>
      </c>
      <c r="E125" s="187" t="str">
        <f>IFERROR(__xludf.DUMMYFUNCTION("""COMPUTED_VALUE"""),"Voice")</f>
        <v>Voice</v>
      </c>
      <c r="F125" s="187" t="str">
        <f>IFERROR(__xludf.DUMMYFUNCTION("""COMPUTED_VALUE"""),"C1571")</f>
        <v>C1571</v>
      </c>
      <c r="G125" s="185" t="str">
        <f>IFERROR(__xludf.DUMMYFUNCTION("""COMPUTED_VALUE"""),"@email")</f>
        <v>@email</v>
      </c>
      <c r="H125" s="185" t="str">
        <f>IFERROR(__xludf.DUMMYFUNCTION("""COMPUTED_VALUE"""),"ho.lchamorro")</f>
        <v>ho.lchamorro</v>
      </c>
      <c r="I125" s="185" t="str">
        <f>IFERROR(__xludf.DUMMYFUNCTION("""COMPUTED_VALUE"""),"Active")</f>
        <v>Active</v>
      </c>
      <c r="J125" s="298"/>
      <c r="K125" s="283"/>
      <c r="L125" s="299"/>
      <c r="M125" s="300"/>
      <c r="N125" s="301"/>
      <c r="O125" s="302"/>
      <c r="P125" s="302"/>
      <c r="S125" s="305"/>
      <c r="T125" s="305"/>
      <c r="U125" s="306"/>
      <c r="V125" s="305"/>
      <c r="W125" s="305"/>
      <c r="X125" s="305"/>
      <c r="Y125" s="305"/>
      <c r="Z125" s="305"/>
      <c r="AD125" s="296"/>
      <c r="AE125" s="201"/>
      <c r="AF125" s="201"/>
      <c r="AG125" s="201"/>
      <c r="AH125" s="201"/>
      <c r="AI125" s="201"/>
      <c r="AJ125" s="201"/>
      <c r="AK125" s="201"/>
      <c r="AL125" s="201"/>
    </row>
    <row r="126">
      <c r="A126" s="187" t="str">
        <f>IFERROR(__xludf.DUMMYFUNCTION("""COMPUTED_VALUE"""),"Mateo Henao")</f>
        <v>Mateo Henao</v>
      </c>
      <c r="B126" s="188" t="str">
        <f>IFERROR(__xludf.DUMMYFUNCTION("""COMPUTED_VALUE"""),"Magda Foronda")</f>
        <v>Magda Foronda</v>
      </c>
      <c r="C126" s="236">
        <f>IFERROR(__xludf.DUMMYFUNCTION("""COMPUTED_VALUE"""),46076.0)</f>
        <v>46076</v>
      </c>
      <c r="D126" s="187">
        <f>IFERROR(__xludf.DUMMYFUNCTION("""COMPUTED_VALUE"""),35.0)</f>
        <v>35</v>
      </c>
      <c r="E126" s="187" t="str">
        <f>IFERROR(__xludf.DUMMYFUNCTION("""COMPUTED_VALUE"""),"Voice")</f>
        <v>Voice</v>
      </c>
      <c r="F126" s="187" t="str">
        <f>IFERROR(__xludf.DUMMYFUNCTION("""COMPUTED_VALUE"""),"C1516")</f>
        <v>C1516</v>
      </c>
      <c r="G126" s="185" t="str">
        <f>IFERROR(__xludf.DUMMYFUNCTION("""COMPUTED_VALUE"""),"email")</f>
        <v>email</v>
      </c>
      <c r="H126" s="185" t="str">
        <f>IFERROR(__xludf.DUMMYFUNCTION("""COMPUTED_VALUE"""),"ho.mforonda")</f>
        <v>ho.mforonda</v>
      </c>
      <c r="I126" s="185" t="str">
        <f>IFERROR(__xludf.DUMMYFUNCTION("""COMPUTED_VALUE"""),"Active")</f>
        <v>Active</v>
      </c>
      <c r="J126" s="298"/>
      <c r="K126" s="283"/>
      <c r="L126" s="299"/>
      <c r="M126" s="300"/>
      <c r="N126" s="301"/>
      <c r="O126" s="302"/>
      <c r="P126" s="302"/>
      <c r="S126" s="305"/>
      <c r="T126" s="305"/>
      <c r="U126" s="306"/>
      <c r="V126" s="305"/>
      <c r="W126" s="305"/>
      <c r="X126" s="305"/>
      <c r="Y126" s="305"/>
      <c r="Z126" s="305"/>
      <c r="AD126" s="296"/>
      <c r="AE126" s="201"/>
      <c r="AF126" s="201"/>
      <c r="AG126" s="201"/>
      <c r="AH126" s="201"/>
      <c r="AI126" s="201"/>
      <c r="AJ126" s="201"/>
      <c r="AK126" s="201"/>
      <c r="AL126" s="201"/>
    </row>
    <row r="127">
      <c r="A127" s="187" t="str">
        <f>IFERROR(__xludf.DUMMYFUNCTION("""COMPUTED_VALUE"""),"Mateo Henao")</f>
        <v>Mateo Henao</v>
      </c>
      <c r="B127" s="188" t="str">
        <f>IFERROR(__xludf.DUMMYFUNCTION("""COMPUTED_VALUE"""),"William Florez")</f>
        <v>William Florez</v>
      </c>
      <c r="C127" s="236">
        <f>IFERROR(__xludf.DUMMYFUNCTION("""COMPUTED_VALUE"""),46083.0)</f>
        <v>46083</v>
      </c>
      <c r="D127" s="187">
        <f>IFERROR(__xludf.DUMMYFUNCTION("""COMPUTED_VALUE"""),36.0)</f>
        <v>36</v>
      </c>
      <c r="E127" s="187" t="str">
        <f>IFERROR(__xludf.DUMMYFUNCTION("""COMPUTED_VALUE"""),"Voice")</f>
        <v>Voice</v>
      </c>
      <c r="F127" s="187" t="str">
        <f>IFERROR(__xludf.DUMMYFUNCTION("""COMPUTED_VALUE"""),"C1537")</f>
        <v>C1537</v>
      </c>
      <c r="G127" s="185" t="str">
        <f>IFERROR(__xludf.DUMMYFUNCTION("""COMPUTED_VALUE"""),"@email")</f>
        <v>@email</v>
      </c>
      <c r="H127" s="185" t="str">
        <f>IFERROR(__xludf.DUMMYFUNCTION("""COMPUTED_VALUE"""),"ho.wflorez")</f>
        <v>ho.wflorez</v>
      </c>
      <c r="I127" s="185" t="str">
        <f>IFERROR(__xludf.DUMMYFUNCTION("""COMPUTED_VALUE"""),"Active")</f>
        <v>Active</v>
      </c>
      <c r="J127" s="298"/>
      <c r="K127" s="283"/>
      <c r="L127" s="299"/>
      <c r="M127" s="300"/>
      <c r="N127" s="301"/>
      <c r="O127" s="302"/>
      <c r="P127" s="302"/>
      <c r="S127" s="305"/>
      <c r="T127" s="305"/>
      <c r="U127" s="306"/>
      <c r="V127" s="305"/>
      <c r="W127" s="305"/>
      <c r="X127" s="305"/>
      <c r="Y127" s="305"/>
      <c r="Z127" s="305"/>
      <c r="AD127" s="296"/>
      <c r="AE127" s="201"/>
      <c r="AF127" s="201"/>
      <c r="AG127" s="201"/>
      <c r="AH127" s="201"/>
      <c r="AI127" s="201"/>
      <c r="AJ127" s="201"/>
      <c r="AK127" s="201"/>
      <c r="AL127" s="201"/>
    </row>
    <row r="128">
      <c r="A128" s="187" t="str">
        <f>IFERROR(__xludf.DUMMYFUNCTION("""COMPUTED_VALUE"""),"Mateo Henao")</f>
        <v>Mateo Henao</v>
      </c>
      <c r="B128" s="188" t="str">
        <f>IFERROR(__xludf.DUMMYFUNCTION("""COMPUTED_VALUE"""),"Wilson Martinez")</f>
        <v>Wilson Martinez</v>
      </c>
      <c r="C128" s="236">
        <f>IFERROR(__xludf.DUMMYFUNCTION("""COMPUTED_VALUE"""),45908.0)</f>
        <v>45908</v>
      </c>
      <c r="D128" s="187">
        <f>IFERROR(__xludf.DUMMYFUNCTION("""COMPUTED_VALUE"""),30.0)</f>
        <v>30</v>
      </c>
      <c r="E128" s="187" t="str">
        <f>IFERROR(__xludf.DUMMYFUNCTION("""COMPUTED_VALUE"""),"Voice")</f>
        <v>Voice</v>
      </c>
      <c r="F128" s="187" t="str">
        <f>IFERROR(__xludf.DUMMYFUNCTION("""COMPUTED_VALUE"""),"C1353")</f>
        <v>C1353</v>
      </c>
      <c r="G128" s="185" t="str">
        <f>IFERROR(__xludf.DUMMYFUNCTION("""COMPUTED_VALUE"""),"wilson.martinez@buwelo.com")</f>
        <v>wilson.martinez@buwelo.com</v>
      </c>
      <c r="H128" s="185" t="str">
        <f>IFERROR(__xludf.DUMMYFUNCTION("""COMPUTED_VALUE"""),"ho.wmartinez")</f>
        <v>ho.wmartinez</v>
      </c>
      <c r="I128" s="185" t="str">
        <f>IFERROR(__xludf.DUMMYFUNCTION("""COMPUTED_VALUE"""),"Active")</f>
        <v>Active</v>
      </c>
      <c r="J128" s="298"/>
      <c r="K128" s="283"/>
      <c r="L128" s="299"/>
      <c r="M128" s="300"/>
      <c r="N128" s="301"/>
      <c r="O128" s="302"/>
      <c r="P128" s="302"/>
      <c r="S128" s="305"/>
      <c r="T128" s="305"/>
      <c r="U128" s="306"/>
      <c r="V128" s="305"/>
      <c r="W128" s="305"/>
      <c r="X128" s="305"/>
      <c r="Y128" s="305"/>
      <c r="Z128" s="305"/>
      <c r="AD128" s="296"/>
      <c r="AE128" s="201"/>
      <c r="AF128" s="201"/>
      <c r="AG128" s="201"/>
      <c r="AH128" s="201"/>
      <c r="AI128" s="201"/>
      <c r="AJ128" s="201"/>
      <c r="AK128" s="201"/>
      <c r="AL128" s="201"/>
    </row>
    <row r="129">
      <c r="A129" s="187" t="str">
        <f>IFERROR(__xludf.DUMMYFUNCTION("""COMPUTED_VALUE"""),"Daniel Bustamante")</f>
        <v>Daniel Bustamante</v>
      </c>
      <c r="B129" s="188" t="str">
        <f>IFERROR(__xludf.DUMMYFUNCTION("""COMPUTED_VALUE"""),"Huberney Durango")</f>
        <v>Huberney Durango</v>
      </c>
      <c r="C129" s="236">
        <f>IFERROR(__xludf.DUMMYFUNCTION("""COMPUTED_VALUE"""),46178.0)</f>
        <v>46178</v>
      </c>
      <c r="D129" s="187">
        <f>IFERROR(__xludf.DUMMYFUNCTION("""COMPUTED_VALUE"""),39.0)</f>
        <v>39</v>
      </c>
      <c r="E129" s="187" t="str">
        <f>IFERROR(__xludf.DUMMYFUNCTION("""COMPUTED_VALUE"""),"Voice")</f>
        <v>Voice</v>
      </c>
      <c r="F129" s="187" t="str">
        <f>IFERROR(__xludf.DUMMYFUNCTION("""COMPUTED_VALUE"""),"C1597")</f>
        <v>C1597</v>
      </c>
      <c r="G129" s="185" t="str">
        <f>IFERROR(__xludf.DUMMYFUNCTION("""COMPUTED_VALUE"""),"@email")</f>
        <v>@email</v>
      </c>
      <c r="H129" s="185" t="str">
        <f>IFERROR(__xludf.DUMMYFUNCTION("""COMPUTED_VALUE"""),"ho.hdurango")</f>
        <v>ho.hdurango</v>
      </c>
      <c r="I129" s="185" t="str">
        <f>IFERROR(__xludf.DUMMYFUNCTION("""COMPUTED_VALUE"""),"Active")</f>
        <v>Active</v>
      </c>
      <c r="J129" s="298"/>
      <c r="K129" s="283"/>
      <c r="L129" s="299"/>
      <c r="M129" s="300"/>
      <c r="N129" s="301"/>
      <c r="O129" s="302"/>
      <c r="P129" s="302"/>
      <c r="S129" s="305"/>
      <c r="T129" s="305"/>
      <c r="U129" s="306"/>
      <c r="V129" s="305"/>
      <c r="W129" s="305"/>
      <c r="X129" s="305"/>
      <c r="Y129" s="305"/>
      <c r="Z129" s="305"/>
      <c r="AD129" s="296"/>
      <c r="AE129" s="201"/>
      <c r="AF129" s="201"/>
      <c r="AG129" s="201"/>
      <c r="AH129" s="201"/>
      <c r="AI129" s="201"/>
      <c r="AJ129" s="201"/>
      <c r="AK129" s="201"/>
      <c r="AL129" s="201"/>
    </row>
    <row r="130">
      <c r="A130" s="187" t="str">
        <f>IFERROR(__xludf.DUMMYFUNCTION("""COMPUTED_VALUE"""),"Daniel Bustamante")</f>
        <v>Daniel Bustamante</v>
      </c>
      <c r="B130" s="188" t="str">
        <f>IFERROR(__xludf.DUMMYFUNCTION("""COMPUTED_VALUE"""),"Juan Gaitan")</f>
        <v>Juan Gaitan</v>
      </c>
      <c r="C130" s="236">
        <f>IFERROR(__xludf.DUMMYFUNCTION("""COMPUTED_VALUE"""),46178.0)</f>
        <v>46178</v>
      </c>
      <c r="D130" s="187">
        <f>IFERROR(__xludf.DUMMYFUNCTION("""COMPUTED_VALUE"""),39.0)</f>
        <v>39</v>
      </c>
      <c r="E130" s="187" t="str">
        <f>IFERROR(__xludf.DUMMYFUNCTION("""COMPUTED_VALUE"""),"Voice")</f>
        <v>Voice</v>
      </c>
      <c r="F130" s="187" t="str">
        <f>IFERROR(__xludf.DUMMYFUNCTION("""COMPUTED_VALUE"""),"C1595")</f>
        <v>C1595</v>
      </c>
      <c r="G130" s="185" t="str">
        <f>IFERROR(__xludf.DUMMYFUNCTION("""COMPUTED_VALUE"""),"@email")</f>
        <v>@email</v>
      </c>
      <c r="H130" s="185" t="str">
        <f>IFERROR(__xludf.DUMMYFUNCTION("""COMPUTED_VALUE"""),"ho.jgaitan")</f>
        <v>ho.jgaitan</v>
      </c>
      <c r="I130" s="185" t="str">
        <f>IFERROR(__xludf.DUMMYFUNCTION("""COMPUTED_VALUE"""),"Active")</f>
        <v>Active</v>
      </c>
      <c r="J130" s="298"/>
      <c r="K130" s="283"/>
      <c r="L130" s="299"/>
      <c r="M130" s="300"/>
      <c r="N130" s="301"/>
      <c r="O130" s="302"/>
      <c r="P130" s="302"/>
      <c r="S130" s="305"/>
      <c r="T130" s="305"/>
      <c r="U130" s="306"/>
      <c r="V130" s="305"/>
      <c r="W130" s="305"/>
      <c r="X130" s="305"/>
      <c r="Y130" s="305"/>
      <c r="Z130" s="305"/>
      <c r="AD130" s="296"/>
      <c r="AE130" s="201"/>
      <c r="AF130" s="201"/>
      <c r="AG130" s="201"/>
      <c r="AH130" s="201"/>
      <c r="AI130" s="201"/>
      <c r="AJ130" s="201"/>
      <c r="AK130" s="201"/>
      <c r="AL130" s="201"/>
    </row>
    <row r="131">
      <c r="A131" s="187" t="str">
        <f>IFERROR(__xludf.DUMMYFUNCTION("""COMPUTED_VALUE"""),"Andra Daza")</f>
        <v>Andra Daza</v>
      </c>
      <c r="B131" s="188" t="str">
        <f>IFERROR(__xludf.DUMMYFUNCTION("""COMPUTED_VALUE"""),"Juan Jimenez")</f>
        <v>Juan Jimenez</v>
      </c>
      <c r="C131" s="236">
        <f>IFERROR(__xludf.DUMMYFUNCTION("""COMPUTED_VALUE"""),46178.0)</f>
        <v>46178</v>
      </c>
      <c r="D131" s="187">
        <f>IFERROR(__xludf.DUMMYFUNCTION("""COMPUTED_VALUE"""),39.0)</f>
        <v>39</v>
      </c>
      <c r="E131" s="187" t="str">
        <f>IFERROR(__xludf.DUMMYFUNCTION("""COMPUTED_VALUE"""),"Voice")</f>
        <v>Voice</v>
      </c>
      <c r="F131" s="187" t="str">
        <f>IFERROR(__xludf.DUMMYFUNCTION("""COMPUTED_VALUE"""),"C1594")</f>
        <v>C1594</v>
      </c>
      <c r="G131" s="185" t="str">
        <f>IFERROR(__xludf.DUMMYFUNCTION("""COMPUTED_VALUE"""),"@email")</f>
        <v>@email</v>
      </c>
      <c r="H131" s="185" t="str">
        <f>IFERROR(__xludf.DUMMYFUNCTION("""COMPUTED_VALUE"""),"ho.jjimenez")</f>
        <v>ho.jjimenez</v>
      </c>
      <c r="I131" s="185" t="str">
        <f>IFERROR(__xludf.DUMMYFUNCTION("""COMPUTED_VALUE"""),"Active")</f>
        <v>Active</v>
      </c>
      <c r="J131" s="298"/>
      <c r="K131" s="283"/>
      <c r="L131" s="299"/>
      <c r="M131" s="300"/>
      <c r="N131" s="301"/>
      <c r="O131" s="302"/>
      <c r="P131" s="302"/>
      <c r="S131" s="305"/>
      <c r="T131" s="305"/>
      <c r="U131" s="306"/>
      <c r="V131" s="305"/>
      <c r="W131" s="305"/>
      <c r="X131" s="305"/>
      <c r="Y131" s="305"/>
      <c r="Z131" s="305"/>
      <c r="AD131" s="296"/>
      <c r="AE131" s="201"/>
      <c r="AF131" s="201"/>
      <c r="AG131" s="201"/>
      <c r="AH131" s="201"/>
      <c r="AI131" s="201"/>
      <c r="AJ131" s="201"/>
      <c r="AK131" s="201"/>
      <c r="AL131" s="201"/>
    </row>
    <row r="132">
      <c r="A132" s="187" t="str">
        <f>IFERROR(__xludf.DUMMYFUNCTION("""COMPUTED_VALUE"""),"Daniel Bustamante")</f>
        <v>Daniel Bustamante</v>
      </c>
      <c r="B132" s="188" t="str">
        <f>IFERROR(__xludf.DUMMYFUNCTION("""COMPUTED_VALUE"""),"Julian Ocampo")</f>
        <v>Julian Ocampo</v>
      </c>
      <c r="C132" s="236">
        <f>IFERROR(__xludf.DUMMYFUNCTION("""COMPUTED_VALUE"""),46178.0)</f>
        <v>46178</v>
      </c>
      <c r="D132" s="187">
        <f>IFERROR(__xludf.DUMMYFUNCTION("""COMPUTED_VALUE"""),39.0)</f>
        <v>39</v>
      </c>
      <c r="E132" s="187" t="str">
        <f>IFERROR(__xludf.DUMMYFUNCTION("""COMPUTED_VALUE"""),"Voice")</f>
        <v>Voice</v>
      </c>
      <c r="F132" s="187" t="str">
        <f>IFERROR(__xludf.DUMMYFUNCTION("""COMPUTED_VALUE"""),"C1591")</f>
        <v>C1591</v>
      </c>
      <c r="G132" s="185" t="str">
        <f>IFERROR(__xludf.DUMMYFUNCTION("""COMPUTED_VALUE"""),"@email")</f>
        <v>@email</v>
      </c>
      <c r="H132" s="185" t="str">
        <f>IFERROR(__xludf.DUMMYFUNCTION("""COMPUTED_VALUE"""),"ho.juocampo")</f>
        <v>ho.juocampo</v>
      </c>
      <c r="I132" s="185" t="str">
        <f>IFERROR(__xludf.DUMMYFUNCTION("""COMPUTED_VALUE"""),"Active")</f>
        <v>Active</v>
      </c>
      <c r="J132" s="298"/>
      <c r="K132" s="283"/>
      <c r="L132" s="299"/>
      <c r="M132" s="300"/>
      <c r="N132" s="301"/>
      <c r="O132" s="302"/>
      <c r="P132" s="302"/>
      <c r="S132" s="305"/>
      <c r="T132" s="305"/>
      <c r="U132" s="306"/>
      <c r="V132" s="305"/>
      <c r="W132" s="305"/>
      <c r="X132" s="305"/>
      <c r="Y132" s="305"/>
      <c r="Z132" s="305"/>
      <c r="AD132" s="296"/>
      <c r="AE132" s="201"/>
      <c r="AF132" s="201"/>
      <c r="AG132" s="201"/>
      <c r="AH132" s="201"/>
      <c r="AI132" s="201"/>
      <c r="AJ132" s="201"/>
      <c r="AK132" s="201"/>
      <c r="AL132" s="201"/>
    </row>
    <row r="133">
      <c r="A133" s="187" t="str">
        <f>IFERROR(__xludf.DUMMYFUNCTION("""COMPUTED_VALUE"""),"Andra Daza")</f>
        <v>Andra Daza</v>
      </c>
      <c r="B133" s="188" t="str">
        <f>IFERROR(__xludf.DUMMYFUNCTION("""COMPUTED_VALUE"""),"Luis Espinosa")</f>
        <v>Luis Espinosa</v>
      </c>
      <c r="C133" s="236">
        <f>IFERROR(__xludf.DUMMYFUNCTION("""COMPUTED_VALUE"""),46178.0)</f>
        <v>46178</v>
      </c>
      <c r="D133" s="187">
        <f>IFERROR(__xludf.DUMMYFUNCTION("""COMPUTED_VALUE"""),39.0)</f>
        <v>39</v>
      </c>
      <c r="E133" s="187" t="str">
        <f>IFERROR(__xludf.DUMMYFUNCTION("""COMPUTED_VALUE"""),"Voice")</f>
        <v>Voice</v>
      </c>
      <c r="F133" s="187" t="str">
        <f>IFERROR(__xludf.DUMMYFUNCTION("""COMPUTED_VALUE"""),"C1593")</f>
        <v>C1593</v>
      </c>
      <c r="G133" s="185" t="str">
        <f>IFERROR(__xludf.DUMMYFUNCTION("""COMPUTED_VALUE"""),"@email")</f>
        <v>@email</v>
      </c>
      <c r="H133" s="185" t="str">
        <f>IFERROR(__xludf.DUMMYFUNCTION("""COMPUTED_VALUE"""),"ho.lespinosa")</f>
        <v>ho.lespinosa</v>
      </c>
      <c r="I133" s="185" t="str">
        <f>IFERROR(__xludf.DUMMYFUNCTION("""COMPUTED_VALUE"""),"Active")</f>
        <v>Active</v>
      </c>
      <c r="J133" s="298"/>
      <c r="K133" s="283"/>
      <c r="L133" s="299"/>
      <c r="M133" s="300"/>
      <c r="N133" s="301"/>
      <c r="O133" s="302"/>
      <c r="P133" s="302"/>
      <c r="S133" s="305"/>
      <c r="T133" s="305"/>
      <c r="U133" s="306"/>
      <c r="V133" s="305"/>
      <c r="W133" s="305"/>
      <c r="X133" s="305"/>
      <c r="Y133" s="305"/>
      <c r="Z133" s="305"/>
      <c r="AD133" s="296"/>
      <c r="AE133" s="201"/>
      <c r="AF133" s="201"/>
      <c r="AG133" s="201"/>
      <c r="AH133" s="201"/>
      <c r="AI133" s="201"/>
      <c r="AJ133" s="201"/>
      <c r="AK133" s="201"/>
      <c r="AL133" s="201"/>
    </row>
    <row r="134">
      <c r="A134" s="187" t="str">
        <f>IFERROR(__xludf.DUMMYFUNCTION("""COMPUTED_VALUE"""),"Daniel Bustamante")</f>
        <v>Daniel Bustamante</v>
      </c>
      <c r="B134" s="188" t="str">
        <f>IFERROR(__xludf.DUMMYFUNCTION("""COMPUTED_VALUE"""),"Miguel Ruiz")</f>
        <v>Miguel Ruiz</v>
      </c>
      <c r="C134" s="236">
        <f>IFERROR(__xludf.DUMMYFUNCTION("""COMPUTED_VALUE"""),46178.0)</f>
        <v>46178</v>
      </c>
      <c r="D134" s="187">
        <f>IFERROR(__xludf.DUMMYFUNCTION("""COMPUTED_VALUE"""),39.0)</f>
        <v>39</v>
      </c>
      <c r="E134" s="187" t="str">
        <f>IFERROR(__xludf.DUMMYFUNCTION("""COMPUTED_VALUE"""),"Voice")</f>
        <v>Voice</v>
      </c>
      <c r="F134" s="187" t="str">
        <f>IFERROR(__xludf.DUMMYFUNCTION("""COMPUTED_VALUE"""),"C1598")</f>
        <v>C1598</v>
      </c>
      <c r="G134" s="185" t="str">
        <f>IFERROR(__xludf.DUMMYFUNCTION("""COMPUTED_VALUE"""),"@email")</f>
        <v>@email</v>
      </c>
      <c r="H134" s="185" t="str">
        <f>IFERROR(__xludf.DUMMYFUNCTION("""COMPUTED_VALUE"""),"ho.mruiz")</f>
        <v>ho.mruiz</v>
      </c>
      <c r="I134" s="185" t="str">
        <f>IFERROR(__xludf.DUMMYFUNCTION("""COMPUTED_VALUE"""),"Active")</f>
        <v>Active</v>
      </c>
      <c r="J134" s="298"/>
      <c r="K134" s="283"/>
      <c r="L134" s="299"/>
      <c r="M134" s="300"/>
      <c r="N134" s="301"/>
      <c r="O134" s="302"/>
      <c r="P134" s="302"/>
      <c r="S134" s="305"/>
      <c r="T134" s="305"/>
      <c r="U134" s="306"/>
      <c r="V134" s="305"/>
      <c r="W134" s="305"/>
      <c r="X134" s="305"/>
      <c r="Y134" s="305"/>
      <c r="Z134" s="305"/>
      <c r="AD134" s="296"/>
      <c r="AE134" s="201"/>
      <c r="AF134" s="201"/>
      <c r="AG134" s="201"/>
      <c r="AH134" s="201"/>
      <c r="AI134" s="201"/>
      <c r="AJ134" s="201"/>
      <c r="AK134" s="201"/>
      <c r="AL134" s="201"/>
    </row>
    <row r="135">
      <c r="A135" s="187" t="str">
        <f>IFERROR(__xludf.DUMMYFUNCTION("""COMPUTED_VALUE"""),"Martin Salazar")</f>
        <v>Martin Salazar</v>
      </c>
      <c r="B135" s="188" t="str">
        <f>IFERROR(__xludf.DUMMYFUNCTION("""COMPUTED_VALUE"""),"Miguel Tabares")</f>
        <v>Miguel Tabares</v>
      </c>
      <c r="C135" s="236">
        <f>IFERROR(__xludf.DUMMYFUNCTION("""COMPUTED_VALUE"""),46178.0)</f>
        <v>46178</v>
      </c>
      <c r="D135" s="187">
        <f>IFERROR(__xludf.DUMMYFUNCTION("""COMPUTED_VALUE"""),39.0)</f>
        <v>39</v>
      </c>
      <c r="E135" s="187" t="str">
        <f>IFERROR(__xludf.DUMMYFUNCTION("""COMPUTED_VALUE"""),"Voice")</f>
        <v>Voice</v>
      </c>
      <c r="F135" s="187" t="str">
        <f>IFERROR(__xludf.DUMMYFUNCTION("""COMPUTED_VALUE"""),"C1590")</f>
        <v>C1590</v>
      </c>
      <c r="G135" s="185" t="str">
        <f>IFERROR(__xludf.DUMMYFUNCTION("""COMPUTED_VALUE"""),"@email")</f>
        <v>@email</v>
      </c>
      <c r="H135" s="185" t="str">
        <f>IFERROR(__xludf.DUMMYFUNCTION("""COMPUTED_VALUE"""),"ho.mtabares")</f>
        <v>ho.mtabares</v>
      </c>
      <c r="I135" s="185" t="str">
        <f>IFERROR(__xludf.DUMMYFUNCTION("""COMPUTED_VALUE"""),"Active")</f>
        <v>Active</v>
      </c>
      <c r="J135" s="298"/>
      <c r="K135" s="283"/>
      <c r="L135" s="299"/>
      <c r="M135" s="300"/>
      <c r="N135" s="301"/>
      <c r="O135" s="302"/>
      <c r="P135" s="302"/>
      <c r="S135" s="305"/>
      <c r="T135" s="305"/>
      <c r="U135" s="306"/>
      <c r="V135" s="305"/>
      <c r="W135" s="305"/>
      <c r="X135" s="305"/>
      <c r="Y135" s="305"/>
      <c r="Z135" s="305"/>
      <c r="AD135" s="296"/>
      <c r="AE135" s="201"/>
      <c r="AF135" s="201"/>
      <c r="AG135" s="201"/>
      <c r="AH135" s="201"/>
      <c r="AI135" s="201"/>
      <c r="AJ135" s="201"/>
      <c r="AK135" s="201"/>
      <c r="AL135" s="201"/>
    </row>
    <row r="136">
      <c r="A136" s="187" t="str">
        <f>IFERROR(__xludf.DUMMYFUNCTION("""COMPUTED_VALUE"""),"Mateo Henao")</f>
        <v>Mateo Henao</v>
      </c>
      <c r="B136" s="188" t="str">
        <f>IFERROR(__xludf.DUMMYFUNCTION("""COMPUTED_VALUE"""),"Shierlys Santamaria")</f>
        <v>Shierlys Santamaria</v>
      </c>
      <c r="C136" s="236">
        <f>IFERROR(__xludf.DUMMYFUNCTION("""COMPUTED_VALUE"""),46178.0)</f>
        <v>46178</v>
      </c>
      <c r="D136" s="187">
        <f>IFERROR(__xludf.DUMMYFUNCTION("""COMPUTED_VALUE"""),39.0)</f>
        <v>39</v>
      </c>
      <c r="E136" s="187" t="str">
        <f>IFERROR(__xludf.DUMMYFUNCTION("""COMPUTED_VALUE"""),"Voice")</f>
        <v>Voice</v>
      </c>
      <c r="F136" s="187" t="str">
        <f>IFERROR(__xludf.DUMMYFUNCTION("""COMPUTED_VALUE"""),"C1592")</f>
        <v>C1592</v>
      </c>
      <c r="G136" s="185" t="str">
        <f>IFERROR(__xludf.DUMMYFUNCTION("""COMPUTED_VALUE"""),"@email")</f>
        <v>@email</v>
      </c>
      <c r="H136" s="185" t="str">
        <f>IFERROR(__xludf.DUMMYFUNCTION("""COMPUTED_VALUE"""),"ho.ssantamaria")</f>
        <v>ho.ssantamaria</v>
      </c>
      <c r="I136" s="185" t="str">
        <f>IFERROR(__xludf.DUMMYFUNCTION("""COMPUTED_VALUE"""),"Active")</f>
        <v>Active</v>
      </c>
      <c r="J136" s="298"/>
      <c r="K136" s="283"/>
      <c r="L136" s="299"/>
      <c r="M136" s="300"/>
      <c r="N136" s="301"/>
      <c r="O136" s="302"/>
      <c r="P136" s="302"/>
      <c r="S136" s="305"/>
      <c r="T136" s="305"/>
      <c r="U136" s="306"/>
      <c r="V136" s="305"/>
      <c r="W136" s="305"/>
      <c r="X136" s="305"/>
      <c r="Y136" s="305"/>
      <c r="Z136" s="305"/>
      <c r="AD136" s="296"/>
      <c r="AE136" s="201"/>
      <c r="AF136" s="201"/>
      <c r="AG136" s="201"/>
      <c r="AH136" s="201"/>
      <c r="AI136" s="201"/>
      <c r="AJ136" s="201"/>
      <c r="AK136" s="201"/>
      <c r="AL136" s="201"/>
    </row>
    <row r="137">
      <c r="A137" s="187"/>
      <c r="B137" s="188"/>
      <c r="C137" s="236"/>
      <c r="D137" s="187"/>
      <c r="E137" s="187"/>
      <c r="F137" s="187"/>
      <c r="G137" s="185"/>
      <c r="H137" s="185"/>
      <c r="I137" s="185"/>
      <c r="J137" s="298"/>
      <c r="K137" s="283"/>
      <c r="L137" s="299"/>
      <c r="M137" s="300"/>
      <c r="N137" s="301"/>
      <c r="O137" s="302"/>
      <c r="P137" s="302"/>
      <c r="S137" s="305"/>
      <c r="T137" s="305"/>
      <c r="U137" s="306"/>
      <c r="V137" s="305"/>
      <c r="W137" s="305"/>
      <c r="X137" s="305"/>
      <c r="Y137" s="305"/>
      <c r="Z137" s="305"/>
      <c r="AD137" s="296"/>
      <c r="AE137" s="201"/>
      <c r="AF137" s="201"/>
      <c r="AG137" s="201"/>
      <c r="AH137" s="201"/>
      <c r="AI137" s="201"/>
      <c r="AJ137" s="201"/>
      <c r="AK137" s="201"/>
      <c r="AL137" s="201"/>
    </row>
    <row r="138">
      <c r="A138" s="187"/>
      <c r="B138" s="188"/>
      <c r="C138" s="236"/>
      <c r="D138" s="187"/>
      <c r="E138" s="187"/>
      <c r="F138" s="187"/>
      <c r="G138" s="185"/>
      <c r="H138" s="185"/>
      <c r="I138" s="185"/>
      <c r="J138" s="298"/>
      <c r="K138" s="283"/>
      <c r="L138" s="299"/>
      <c r="M138" s="300"/>
      <c r="N138" s="301"/>
      <c r="O138" s="302"/>
      <c r="P138" s="302"/>
      <c r="S138" s="305"/>
      <c r="T138" s="305"/>
      <c r="U138" s="306"/>
      <c r="V138" s="305"/>
      <c r="W138" s="305"/>
      <c r="X138" s="305"/>
      <c r="Y138" s="305"/>
      <c r="Z138" s="305"/>
      <c r="AD138" s="296"/>
      <c r="AE138" s="201"/>
      <c r="AF138" s="201"/>
      <c r="AG138" s="201"/>
      <c r="AH138" s="201"/>
      <c r="AI138" s="201"/>
      <c r="AJ138" s="201"/>
      <c r="AK138" s="201"/>
      <c r="AL138" s="201"/>
    </row>
    <row r="139">
      <c r="A139" s="187"/>
      <c r="B139" s="188"/>
      <c r="C139" s="236"/>
      <c r="D139" s="187"/>
      <c r="E139" s="187"/>
      <c r="F139" s="187"/>
      <c r="G139" s="185"/>
      <c r="H139" s="185"/>
      <c r="I139" s="185"/>
      <c r="J139" s="298"/>
      <c r="K139" s="283"/>
      <c r="L139" s="299"/>
      <c r="M139" s="300"/>
      <c r="N139" s="301"/>
      <c r="O139" s="302"/>
      <c r="P139" s="302"/>
      <c r="S139" s="305"/>
      <c r="T139" s="305"/>
      <c r="U139" s="306"/>
      <c r="V139" s="305"/>
      <c r="W139" s="305"/>
      <c r="X139" s="305"/>
      <c r="Y139" s="305"/>
      <c r="Z139" s="305"/>
      <c r="AD139" s="296"/>
      <c r="AE139" s="201"/>
      <c r="AF139" s="201"/>
      <c r="AG139" s="201"/>
      <c r="AH139" s="201"/>
      <c r="AI139" s="201"/>
      <c r="AJ139" s="201"/>
      <c r="AK139" s="201"/>
      <c r="AL139" s="201"/>
    </row>
    <row r="140">
      <c r="A140" s="187"/>
      <c r="B140" s="188"/>
      <c r="C140" s="236"/>
      <c r="D140" s="187"/>
      <c r="E140" s="187"/>
      <c r="F140" s="187"/>
      <c r="G140" s="185"/>
      <c r="H140" s="185"/>
      <c r="I140" s="185"/>
      <c r="J140" s="298"/>
      <c r="K140" s="283"/>
      <c r="L140" s="299"/>
      <c r="M140" s="300"/>
      <c r="N140" s="301"/>
      <c r="O140" s="302"/>
      <c r="P140" s="302"/>
      <c r="S140" s="305"/>
      <c r="T140" s="305"/>
      <c r="U140" s="306"/>
      <c r="V140" s="305"/>
      <c r="W140" s="305"/>
      <c r="X140" s="305"/>
      <c r="Y140" s="305"/>
      <c r="Z140" s="305"/>
      <c r="AD140" s="296"/>
      <c r="AE140" s="201"/>
      <c r="AF140" s="201"/>
      <c r="AG140" s="201"/>
      <c r="AH140" s="201"/>
      <c r="AI140" s="201"/>
      <c r="AJ140" s="201"/>
      <c r="AK140" s="201"/>
      <c r="AL140" s="201"/>
    </row>
    <row r="141">
      <c r="A141" s="187"/>
      <c r="B141" s="188"/>
      <c r="C141" s="236"/>
      <c r="D141" s="187"/>
      <c r="E141" s="187"/>
      <c r="F141" s="187"/>
      <c r="G141" s="185"/>
      <c r="H141" s="185"/>
      <c r="I141" s="185"/>
      <c r="J141" s="298"/>
      <c r="K141" s="283"/>
      <c r="L141" s="299"/>
      <c r="M141" s="300"/>
      <c r="N141" s="301"/>
      <c r="O141" s="302"/>
      <c r="P141" s="302"/>
      <c r="S141" s="305"/>
      <c r="T141" s="305"/>
      <c r="U141" s="306"/>
      <c r="V141" s="305"/>
      <c r="W141" s="305"/>
      <c r="X141" s="305"/>
      <c r="Y141" s="305"/>
      <c r="Z141" s="305"/>
      <c r="AD141" s="296"/>
      <c r="AE141" s="201"/>
      <c r="AF141" s="201"/>
      <c r="AG141" s="201"/>
      <c r="AH141" s="201"/>
      <c r="AI141" s="201"/>
      <c r="AJ141" s="201"/>
      <c r="AK141" s="201"/>
      <c r="AL141" s="201"/>
    </row>
    <row r="142">
      <c r="A142" s="187"/>
      <c r="B142" s="188"/>
      <c r="C142" s="236"/>
      <c r="D142" s="187"/>
      <c r="E142" s="187"/>
      <c r="F142" s="187"/>
      <c r="G142" s="185"/>
      <c r="H142" s="185"/>
      <c r="I142" s="185"/>
      <c r="J142" s="298"/>
      <c r="K142" s="283"/>
      <c r="L142" s="299"/>
      <c r="M142" s="300"/>
      <c r="N142" s="301"/>
      <c r="O142" s="302"/>
      <c r="P142" s="302"/>
      <c r="S142" s="305"/>
      <c r="T142" s="305"/>
      <c r="U142" s="306"/>
      <c r="V142" s="305"/>
      <c r="W142" s="305"/>
      <c r="X142" s="305"/>
      <c r="Y142" s="305"/>
      <c r="Z142" s="305"/>
      <c r="AD142" s="296"/>
      <c r="AE142" s="201"/>
      <c r="AF142" s="201"/>
      <c r="AG142" s="201"/>
      <c r="AH142" s="201"/>
      <c r="AI142" s="201"/>
      <c r="AJ142" s="201"/>
      <c r="AK142" s="201"/>
      <c r="AL142" s="201"/>
    </row>
    <row r="143">
      <c r="A143" s="187"/>
      <c r="B143" s="188"/>
      <c r="C143" s="236"/>
      <c r="D143" s="187"/>
      <c r="E143" s="187"/>
      <c r="F143" s="187"/>
      <c r="G143" s="185"/>
      <c r="H143" s="185"/>
      <c r="I143" s="185"/>
      <c r="J143" s="298"/>
      <c r="K143" s="283"/>
      <c r="L143" s="299"/>
      <c r="M143" s="300"/>
      <c r="N143" s="301"/>
      <c r="O143" s="302"/>
      <c r="P143" s="302"/>
      <c r="S143" s="305"/>
      <c r="T143" s="305"/>
      <c r="U143" s="306"/>
      <c r="V143" s="305"/>
      <c r="W143" s="305"/>
      <c r="X143" s="305"/>
      <c r="Y143" s="305"/>
      <c r="Z143" s="305"/>
      <c r="AD143" s="296"/>
      <c r="AE143" s="201"/>
      <c r="AF143" s="201"/>
      <c r="AG143" s="201"/>
      <c r="AH143" s="201"/>
      <c r="AI143" s="201"/>
      <c r="AJ143" s="201"/>
      <c r="AK143" s="201"/>
      <c r="AL143" s="201"/>
    </row>
    <row r="144">
      <c r="A144" s="187"/>
      <c r="B144" s="188"/>
      <c r="C144" s="236"/>
      <c r="D144" s="187"/>
      <c r="E144" s="187"/>
      <c r="F144" s="187"/>
      <c r="G144" s="185"/>
      <c r="H144" s="185"/>
      <c r="I144" s="185"/>
      <c r="J144" s="298"/>
      <c r="K144" s="283"/>
      <c r="L144" s="299"/>
      <c r="M144" s="300"/>
      <c r="N144" s="301"/>
      <c r="O144" s="302"/>
      <c r="P144" s="302"/>
      <c r="S144" s="305"/>
      <c r="T144" s="305"/>
      <c r="U144" s="306"/>
      <c r="V144" s="305"/>
      <c r="W144" s="305"/>
      <c r="X144" s="305"/>
      <c r="Y144" s="305"/>
      <c r="Z144" s="305"/>
      <c r="AD144" s="296"/>
      <c r="AE144" s="201"/>
      <c r="AF144" s="201"/>
      <c r="AG144" s="201"/>
      <c r="AH144" s="201"/>
      <c r="AI144" s="201"/>
      <c r="AJ144" s="201"/>
      <c r="AK144" s="201"/>
      <c r="AL144" s="201"/>
    </row>
    <row r="145">
      <c r="A145" s="187"/>
      <c r="B145" s="188"/>
      <c r="C145" s="236"/>
      <c r="D145" s="187"/>
      <c r="E145" s="187"/>
      <c r="F145" s="187"/>
      <c r="G145" s="185"/>
      <c r="H145" s="185"/>
      <c r="I145" s="185"/>
      <c r="J145" s="298"/>
      <c r="K145" s="283"/>
      <c r="L145" s="299"/>
      <c r="M145" s="300"/>
      <c r="N145" s="301"/>
      <c r="O145" s="302"/>
      <c r="P145" s="302"/>
      <c r="S145" s="305"/>
      <c r="T145" s="305"/>
      <c r="U145" s="306"/>
      <c r="V145" s="305"/>
      <c r="W145" s="305"/>
      <c r="X145" s="305"/>
      <c r="Y145" s="305"/>
      <c r="Z145" s="305"/>
      <c r="AD145" s="296"/>
      <c r="AE145" s="201"/>
      <c r="AF145" s="201"/>
      <c r="AG145" s="201"/>
      <c r="AH145" s="201"/>
      <c r="AI145" s="201"/>
      <c r="AJ145" s="201"/>
      <c r="AK145" s="201"/>
      <c r="AL145" s="201"/>
    </row>
    <row r="146">
      <c r="A146" s="187"/>
      <c r="B146" s="188"/>
      <c r="C146" s="236"/>
      <c r="D146" s="187"/>
      <c r="E146" s="187"/>
      <c r="F146" s="187"/>
      <c r="G146" s="185"/>
      <c r="H146" s="185"/>
      <c r="I146" s="185"/>
      <c r="J146" s="298"/>
      <c r="K146" s="283"/>
      <c r="L146" s="299"/>
      <c r="M146" s="300"/>
      <c r="N146" s="301"/>
      <c r="O146" s="302"/>
      <c r="P146" s="302"/>
      <c r="S146" s="305"/>
      <c r="T146" s="305"/>
      <c r="U146" s="306"/>
      <c r="V146" s="305"/>
      <c r="W146" s="305"/>
      <c r="X146" s="305"/>
      <c r="Y146" s="305"/>
      <c r="Z146" s="305"/>
      <c r="AD146" s="296"/>
      <c r="AE146" s="201"/>
      <c r="AF146" s="201"/>
      <c r="AG146" s="201"/>
      <c r="AH146" s="201"/>
      <c r="AI146" s="201"/>
      <c r="AJ146" s="201"/>
      <c r="AK146" s="201"/>
      <c r="AL146" s="201"/>
    </row>
    <row r="147">
      <c r="A147" s="187"/>
      <c r="B147" s="188" t="str">
        <f>IFERROR(__xludf.DUMMYFUNCTION("""COMPUTED_VALUE"""),"Yrneh Tua")</f>
        <v>Yrneh Tua</v>
      </c>
      <c r="C147" s="236"/>
      <c r="D147" s="187"/>
      <c r="E147" s="187"/>
      <c r="F147" s="187"/>
      <c r="G147" s="185"/>
      <c r="H147" s="185"/>
      <c r="I147" s="185"/>
      <c r="J147" s="298"/>
      <c r="K147" s="283"/>
      <c r="L147" s="299"/>
      <c r="M147" s="300"/>
      <c r="N147" s="301"/>
      <c r="O147" s="302"/>
      <c r="P147" s="302"/>
      <c r="S147" s="305"/>
      <c r="T147" s="305"/>
      <c r="U147" s="306"/>
      <c r="V147" s="305"/>
      <c r="W147" s="305"/>
      <c r="X147" s="305"/>
      <c r="Y147" s="305"/>
      <c r="Z147" s="305"/>
      <c r="AD147" s="296"/>
      <c r="AE147" s="201"/>
      <c r="AF147" s="201"/>
      <c r="AG147" s="201"/>
      <c r="AH147" s="201"/>
      <c r="AI147" s="201"/>
      <c r="AJ147" s="201"/>
      <c r="AK147" s="201"/>
      <c r="AL147" s="201"/>
    </row>
    <row r="148">
      <c r="A148" s="187" t="str">
        <f>IFERROR(__xludf.DUMMYFUNCTION("""COMPUTED_VALUE"""),"Yrneh Tua")</f>
        <v>Yrneh Tua</v>
      </c>
      <c r="B148" s="188" t="str">
        <f>IFERROR(__xludf.DUMMYFUNCTION("""COMPUTED_VALUE"""),"Edward Machado")</f>
        <v>Edward Machado</v>
      </c>
      <c r="C148" s="236"/>
      <c r="D148" s="187"/>
      <c r="E148" s="187"/>
      <c r="F148" s="187"/>
      <c r="G148" s="185"/>
      <c r="H148" s="185"/>
      <c r="I148" s="185"/>
      <c r="J148" s="298"/>
      <c r="K148" s="283"/>
      <c r="L148" s="299"/>
      <c r="M148" s="300"/>
      <c r="N148" s="301"/>
      <c r="O148" s="302"/>
      <c r="P148" s="302"/>
      <c r="S148" s="305"/>
      <c r="T148" s="305"/>
      <c r="U148" s="306"/>
      <c r="V148" s="305"/>
      <c r="W148" s="305"/>
      <c r="X148" s="305"/>
      <c r="Y148" s="305"/>
      <c r="Z148" s="305"/>
      <c r="AD148" s="296"/>
      <c r="AE148" s="201"/>
      <c r="AF148" s="201"/>
      <c r="AG148" s="201"/>
      <c r="AH148" s="201"/>
      <c r="AI148" s="201"/>
      <c r="AJ148" s="201"/>
      <c r="AK148" s="201"/>
      <c r="AL148" s="201"/>
    </row>
    <row r="149">
      <c r="A149" s="187" t="str">
        <f>IFERROR(__xludf.DUMMYFUNCTION("""COMPUTED_VALUE"""),"Yrneh Tua")</f>
        <v>Yrneh Tua</v>
      </c>
      <c r="B149" s="188" t="str">
        <f>IFERROR(__xludf.DUMMYFUNCTION("""COMPUTED_VALUE"""),"Andra Daza")</f>
        <v>Andra Daza</v>
      </c>
      <c r="C149" s="236">
        <f>IFERROR(__xludf.DUMMYFUNCTION("""COMPUTED_VALUE"""),44970.0)</f>
        <v>44970</v>
      </c>
      <c r="D149" s="187">
        <f>IFERROR(__xludf.DUMMYFUNCTION("""COMPUTED_VALUE"""),3.0)</f>
        <v>3</v>
      </c>
      <c r="E149" s="187" t="str">
        <f>IFERROR(__xludf.DUMMYFUNCTION("""COMPUTED_VALUE"""),"TL")</f>
        <v>TL</v>
      </c>
      <c r="F149" s="187" t="str">
        <f>IFERROR(__xludf.DUMMYFUNCTION("""COMPUTED_VALUE"""),"C470")</f>
        <v>C470</v>
      </c>
      <c r="G149" s="185" t="str">
        <f>IFERROR(__xludf.DUMMYFUNCTION("""COMPUTED_VALUE"""),"Andra.daza@buwelo.com")</f>
        <v>Andra.daza@buwelo.com</v>
      </c>
      <c r="H149" s="185" t="str">
        <f>IFERROR(__xludf.DUMMYFUNCTION("""COMPUTED_VALUE"""),"ho.adaza")</f>
        <v>ho.adaza</v>
      </c>
      <c r="I149" s="185" t="str">
        <f>IFERROR(__xludf.DUMMYFUNCTION("""COMPUTED_VALUE"""),"TL")</f>
        <v>TL</v>
      </c>
      <c r="J149" s="298"/>
      <c r="K149" s="283"/>
      <c r="L149" s="299"/>
      <c r="M149" s="300"/>
      <c r="N149" s="301"/>
      <c r="O149" s="302"/>
      <c r="P149" s="302"/>
      <c r="S149" s="305"/>
      <c r="T149" s="305"/>
      <c r="U149" s="306"/>
      <c r="V149" s="305"/>
      <c r="W149" s="305"/>
      <c r="X149" s="305"/>
      <c r="Y149" s="305"/>
      <c r="Z149" s="305"/>
      <c r="AD149" s="296"/>
      <c r="AE149" s="201"/>
      <c r="AF149" s="201"/>
      <c r="AG149" s="201"/>
      <c r="AH149" s="201"/>
      <c r="AI149" s="201"/>
      <c r="AJ149" s="201"/>
      <c r="AK149" s="201"/>
      <c r="AL149" s="201"/>
    </row>
    <row r="150">
      <c r="A150" s="187" t="str">
        <f>IFERROR(__xludf.DUMMYFUNCTION("""COMPUTED_VALUE"""),"Gabriel Reyes")</f>
        <v>Gabriel Reyes</v>
      </c>
      <c r="B150" s="188" t="str">
        <f>IFERROR(__xludf.DUMMYFUNCTION("""COMPUTED_VALUE"""),"Alexander Isaza")</f>
        <v>Alexander Isaza</v>
      </c>
      <c r="C150" s="236">
        <f>IFERROR(__xludf.DUMMYFUNCTION("""COMPUTED_VALUE"""),45023.0)</f>
        <v>45023</v>
      </c>
      <c r="D150" s="187">
        <f>IFERROR(__xludf.DUMMYFUNCTION("""COMPUTED_VALUE"""),4.0)</f>
        <v>4</v>
      </c>
      <c r="E150" s="187" t="str">
        <f>IFERROR(__xludf.DUMMYFUNCTION("""COMPUTED_VALUE"""),"Voice")</f>
        <v>Voice</v>
      </c>
      <c r="F150" s="187" t="str">
        <f>IFERROR(__xludf.DUMMYFUNCTION("""COMPUTED_VALUE"""),"C058")</f>
        <v>C058</v>
      </c>
      <c r="G150" s="185" t="str">
        <f>IFERROR(__xludf.DUMMYFUNCTION("""COMPUTED_VALUE"""),"alexander.isaza@buwelo.com")</f>
        <v>alexander.isaza@buwelo.com</v>
      </c>
      <c r="H150" s="185" t="str">
        <f>IFERROR(__xludf.DUMMYFUNCTION("""COMPUTED_VALUE"""),"ho.aisaza")</f>
        <v>ho.aisaza</v>
      </c>
      <c r="I150" s="185" t="str">
        <f>IFERROR(__xludf.DUMMYFUNCTION("""COMPUTED_VALUE"""),"Active")</f>
        <v>Active</v>
      </c>
      <c r="J150" s="298"/>
      <c r="K150" s="283"/>
      <c r="L150" s="299"/>
      <c r="M150" s="300"/>
      <c r="N150" s="301"/>
      <c r="O150" s="302"/>
      <c r="P150" s="302"/>
      <c r="S150" s="305"/>
      <c r="T150" s="305"/>
      <c r="U150" s="306"/>
      <c r="V150" s="305"/>
      <c r="W150" s="305"/>
      <c r="X150" s="305"/>
      <c r="Y150" s="305"/>
      <c r="Z150" s="305"/>
      <c r="AD150" s="296"/>
      <c r="AE150" s="201"/>
      <c r="AF150" s="201"/>
      <c r="AG150" s="201"/>
      <c r="AH150" s="201"/>
      <c r="AI150" s="201"/>
      <c r="AJ150" s="201"/>
      <c r="AK150" s="201"/>
      <c r="AL150" s="201"/>
    </row>
    <row r="151">
      <c r="A151" s="187" t="str">
        <f>IFERROR(__xludf.DUMMYFUNCTION("""COMPUTED_VALUE"""),"Bryan Galvis")</f>
        <v>Bryan Galvis</v>
      </c>
      <c r="B151" s="188" t="str">
        <f>IFERROR(__xludf.DUMMYFUNCTION("""COMPUTED_VALUE"""),"Maria Jaen")</f>
        <v>Maria Jaen</v>
      </c>
      <c r="C151" s="236">
        <f>IFERROR(__xludf.DUMMYFUNCTION("""COMPUTED_VALUE"""),45142.0)</f>
        <v>45142</v>
      </c>
      <c r="D151" s="187">
        <f>IFERROR(__xludf.DUMMYFUNCTION("""COMPUTED_VALUE"""),9.0)</f>
        <v>9</v>
      </c>
      <c r="E151" s="187" t="str">
        <f>IFERROR(__xludf.DUMMYFUNCTION("""COMPUTED_VALUE"""),"Tickets")</f>
        <v>Tickets</v>
      </c>
      <c r="F151" s="187" t="str">
        <f>IFERROR(__xludf.DUMMYFUNCTION("""COMPUTED_VALUE"""),"C1119")</f>
        <v>C1119</v>
      </c>
      <c r="G151" s="185" t="str">
        <f>IFERROR(__xludf.DUMMYFUNCTION("""COMPUTED_VALUE"""),"maria.jaen@buwelo.com")</f>
        <v>maria.jaen@buwelo.com</v>
      </c>
      <c r="H151" s="185" t="str">
        <f>IFERROR(__xludf.DUMMYFUNCTION("""COMPUTED_VALUE"""),"ho.majaen")</f>
        <v>ho.majaen</v>
      </c>
      <c r="I151" s="185" t="str">
        <f>IFERROR(__xludf.DUMMYFUNCTION("""COMPUTED_VALUE"""),"Active")</f>
        <v>Active</v>
      </c>
      <c r="J151" s="298"/>
      <c r="K151" s="283"/>
      <c r="L151" s="299"/>
      <c r="M151" s="300"/>
      <c r="N151" s="301"/>
      <c r="O151" s="302"/>
      <c r="P151" s="302"/>
      <c r="S151" s="305"/>
      <c r="T151" s="305"/>
      <c r="U151" s="306"/>
      <c r="V151" s="305"/>
      <c r="W151" s="305"/>
      <c r="X151" s="305"/>
      <c r="Y151" s="305"/>
      <c r="Z151" s="305"/>
      <c r="AD151" s="296"/>
      <c r="AE151" s="201"/>
      <c r="AF151" s="201"/>
      <c r="AG151" s="201"/>
      <c r="AH151" s="201"/>
      <c r="AI151" s="201"/>
      <c r="AJ151" s="201"/>
      <c r="AK151" s="201"/>
      <c r="AL151" s="201"/>
    </row>
    <row r="152">
      <c r="A152" s="187"/>
      <c r="B152" s="188" t="str">
        <f>IFERROR(__xludf.DUMMYFUNCTION("""COMPUTED_VALUE"""),"Luis Vidal")</f>
        <v>Luis Vidal</v>
      </c>
      <c r="C152" s="236">
        <f>IFERROR(__xludf.DUMMYFUNCTION("""COMPUTED_VALUE"""),45362.0)</f>
        <v>45362</v>
      </c>
      <c r="D152" s="187">
        <f>IFERROR(__xludf.DUMMYFUNCTION("""COMPUTED_VALUE"""),12.0)</f>
        <v>12</v>
      </c>
      <c r="E152" s="187" t="str">
        <f>IFERROR(__xludf.DUMMYFUNCTION("""COMPUTED_VALUE"""),"Tickets")</f>
        <v>Tickets</v>
      </c>
      <c r="F152" s="187" t="str">
        <f>IFERROR(__xludf.DUMMYFUNCTION("""COMPUTED_VALUE"""),"C932")</f>
        <v>C932</v>
      </c>
      <c r="G152" s="185"/>
      <c r="H152" s="185" t="str">
        <f>IFERROR(__xludf.DUMMYFUNCTION("""COMPUTED_VALUE"""),"ho.lvidal")</f>
        <v>ho.lvidal</v>
      </c>
      <c r="I152" s="185" t="str">
        <f>IFERROR(__xludf.DUMMYFUNCTION("""COMPUTED_VALUE"""),"Active")</f>
        <v>Active</v>
      </c>
      <c r="J152" s="298"/>
      <c r="K152" s="283"/>
      <c r="L152" s="299"/>
      <c r="M152" s="300"/>
      <c r="N152" s="301"/>
      <c r="O152" s="302"/>
      <c r="P152" s="302"/>
      <c r="S152" s="305"/>
      <c r="T152" s="305"/>
      <c r="U152" s="306"/>
      <c r="V152" s="305"/>
      <c r="W152" s="305"/>
      <c r="X152" s="305"/>
      <c r="Y152" s="305"/>
      <c r="Z152" s="305"/>
      <c r="AD152" s="296"/>
      <c r="AE152" s="201"/>
      <c r="AF152" s="201"/>
      <c r="AG152" s="201"/>
      <c r="AH152" s="201"/>
      <c r="AI152" s="201"/>
      <c r="AJ152" s="201"/>
      <c r="AK152" s="201"/>
      <c r="AL152" s="201"/>
    </row>
    <row r="153">
      <c r="A153" s="187" t="str">
        <f>IFERROR(__xludf.DUMMYFUNCTION("""COMPUTED_VALUE"""),"Luis Vidal")</f>
        <v>Luis Vidal</v>
      </c>
      <c r="B153" s="188" t="str">
        <f>IFERROR(__xludf.DUMMYFUNCTION("""COMPUTED_VALUE"""),"Luis Vidal")</f>
        <v>Luis Vidal</v>
      </c>
      <c r="C153" s="236">
        <f>IFERROR(__xludf.DUMMYFUNCTION("""COMPUTED_VALUE"""),45362.0)</f>
        <v>45362</v>
      </c>
      <c r="D153" s="187">
        <f>IFERROR(__xludf.DUMMYFUNCTION("""COMPUTED_VALUE"""),12.0)</f>
        <v>12</v>
      </c>
      <c r="E153" s="187" t="str">
        <f>IFERROR(__xludf.DUMMYFUNCTION("""COMPUTED_VALUE"""),"Tickets")</f>
        <v>Tickets</v>
      </c>
      <c r="F153" s="187" t="str">
        <f>IFERROR(__xludf.DUMMYFUNCTION("""COMPUTED_VALUE"""),"C932")</f>
        <v>C932</v>
      </c>
      <c r="G153" s="185"/>
      <c r="H153" s="185" t="str">
        <f>IFERROR(__xludf.DUMMYFUNCTION("""COMPUTED_VALUE"""),"ho.lvidal")</f>
        <v>ho.lvidal</v>
      </c>
      <c r="I153" s="185" t="str">
        <f>IFERROR(__xludf.DUMMYFUNCTION("""COMPUTED_VALUE"""),"Active")</f>
        <v>Active</v>
      </c>
      <c r="J153" s="298"/>
      <c r="K153" s="283"/>
      <c r="L153" s="299"/>
      <c r="M153" s="300"/>
      <c r="N153" s="301"/>
      <c r="O153" s="302"/>
      <c r="P153" s="302"/>
      <c r="S153" s="305"/>
      <c r="T153" s="305"/>
      <c r="U153" s="306"/>
      <c r="V153" s="305"/>
      <c r="W153" s="305"/>
      <c r="X153" s="305"/>
      <c r="Y153" s="305"/>
      <c r="Z153" s="305"/>
      <c r="AD153" s="296"/>
      <c r="AE153" s="201"/>
      <c r="AF153" s="201"/>
      <c r="AG153" s="201"/>
      <c r="AH153" s="201"/>
      <c r="AI153" s="201"/>
      <c r="AJ153" s="201"/>
      <c r="AK153" s="201"/>
      <c r="AL153" s="201"/>
    </row>
    <row r="154">
      <c r="A154" s="187" t="str">
        <f>IFERROR(__xludf.DUMMYFUNCTION("""COMPUTED_VALUE"""),"Yrneh Tua")</f>
        <v>Yrneh Tua</v>
      </c>
      <c r="B154" s="188" t="str">
        <f>IFERROR(__xludf.DUMMYFUNCTION("""COMPUTED_VALUE"""),"Luis Graterol")</f>
        <v>Luis Graterol</v>
      </c>
      <c r="C154" s="236">
        <f>IFERROR(__xludf.DUMMYFUNCTION("""COMPUTED_VALUE"""),45523.0)</f>
        <v>45523</v>
      </c>
      <c r="D154" s="187">
        <f>IFERROR(__xludf.DUMMYFUNCTION("""COMPUTED_VALUE"""),17.0)</f>
        <v>17</v>
      </c>
      <c r="E154" s="187"/>
      <c r="F154" s="187" t="str">
        <f>IFERROR(__xludf.DUMMYFUNCTION("""COMPUTED_VALUE"""),"C1063")</f>
        <v>C1063</v>
      </c>
      <c r="G154" s="185"/>
      <c r="H154" s="185" t="str">
        <f>IFERROR(__xludf.DUMMYFUNCTION("""COMPUTED_VALUE"""),"ho.lgraterol")</f>
        <v>ho.lgraterol</v>
      </c>
      <c r="I154" s="185" t="str">
        <f>IFERROR(__xludf.DUMMYFUNCTION("""COMPUTED_VALUE"""),"Active")</f>
        <v>Active</v>
      </c>
      <c r="J154" s="298"/>
      <c r="K154" s="283"/>
      <c r="L154" s="299"/>
      <c r="M154" s="300"/>
      <c r="N154" s="301"/>
      <c r="O154" s="302"/>
      <c r="P154" s="302"/>
      <c r="S154" s="305"/>
      <c r="T154" s="305"/>
      <c r="U154" s="306"/>
      <c r="V154" s="305"/>
      <c r="W154" s="305"/>
      <c r="X154" s="305"/>
      <c r="Y154" s="305"/>
      <c r="Z154" s="305"/>
      <c r="AD154" s="296"/>
      <c r="AE154" s="201"/>
      <c r="AF154" s="201"/>
      <c r="AG154" s="201"/>
      <c r="AH154" s="201"/>
      <c r="AI154" s="201"/>
      <c r="AJ154" s="201"/>
      <c r="AK154" s="201"/>
      <c r="AL154" s="201"/>
    </row>
    <row r="155">
      <c r="A155" s="187" t="str">
        <f>IFERROR(__xludf.DUMMYFUNCTION("""COMPUTED_VALUE"""),"Yrneh Tua")</f>
        <v>Yrneh Tua</v>
      </c>
      <c r="B155" s="188" t="str">
        <f>IFERROR(__xludf.DUMMYFUNCTION("""COMPUTED_VALUE"""),"Mateo Henao")</f>
        <v>Mateo Henao</v>
      </c>
      <c r="C155" s="236"/>
      <c r="D155" s="187"/>
      <c r="E155" s="187"/>
      <c r="F155" s="187"/>
      <c r="G155" s="185"/>
      <c r="H155" s="185"/>
      <c r="I155" s="185"/>
      <c r="J155" s="298"/>
      <c r="K155" s="283"/>
      <c r="L155" s="299"/>
      <c r="M155" s="300"/>
      <c r="N155" s="301"/>
      <c r="O155" s="302"/>
      <c r="P155" s="302"/>
      <c r="S155" s="305"/>
      <c r="T155" s="305"/>
      <c r="U155" s="306"/>
      <c r="V155" s="305"/>
      <c r="W155" s="305"/>
      <c r="X155" s="305"/>
      <c r="Y155" s="305"/>
      <c r="Z155" s="305"/>
      <c r="AD155" s="296"/>
      <c r="AE155" s="201"/>
      <c r="AF155" s="201"/>
      <c r="AG155" s="201"/>
      <c r="AH155" s="201"/>
      <c r="AI155" s="201"/>
      <c r="AJ155" s="201"/>
      <c r="AK155" s="201"/>
      <c r="AL155" s="201"/>
    </row>
    <row r="156">
      <c r="A156" s="187" t="str">
        <f>IFERROR(__xludf.DUMMYFUNCTION("""COMPUTED_VALUE"""),"Yrneh Tua")</f>
        <v>Yrneh Tua</v>
      </c>
      <c r="B156" s="188" t="str">
        <f>IFERROR(__xludf.DUMMYFUNCTION("""COMPUTED_VALUE"""),"Bryan Galvis")</f>
        <v>Bryan Galvis</v>
      </c>
      <c r="C156" s="236"/>
      <c r="D156" s="187"/>
      <c r="E156" s="187"/>
      <c r="F156" s="187"/>
      <c r="G156" s="185"/>
      <c r="H156" s="185"/>
      <c r="I156" s="185"/>
      <c r="J156" s="298"/>
      <c r="K156" s="283"/>
      <c r="L156" s="299"/>
      <c r="M156" s="300"/>
      <c r="N156" s="301"/>
      <c r="O156" s="302"/>
      <c r="P156" s="302"/>
      <c r="S156" s="305"/>
      <c r="T156" s="305"/>
      <c r="U156" s="306"/>
      <c r="V156" s="305"/>
      <c r="W156" s="305"/>
      <c r="X156" s="305"/>
      <c r="Y156" s="305"/>
      <c r="Z156" s="305"/>
      <c r="AD156" s="296"/>
      <c r="AE156" s="201"/>
      <c r="AF156" s="201"/>
      <c r="AG156" s="201"/>
      <c r="AH156" s="201"/>
      <c r="AI156" s="201"/>
      <c r="AJ156" s="201"/>
      <c r="AK156" s="201"/>
      <c r="AL156" s="201"/>
    </row>
    <row r="157">
      <c r="A157" s="187" t="str">
        <f>IFERROR(__xludf.DUMMYFUNCTION("""COMPUTED_VALUE"""),"Yrneh Tua")</f>
        <v>Yrneh Tua</v>
      </c>
      <c r="B157" s="188" t="str">
        <f>IFERROR(__xludf.DUMMYFUNCTION("""COMPUTED_VALUE"""),"Martin Salazar")</f>
        <v>Martin Salazar</v>
      </c>
      <c r="C157" s="236"/>
      <c r="D157" s="187"/>
      <c r="E157" s="187"/>
      <c r="F157" s="187"/>
      <c r="G157" s="185"/>
      <c r="H157" s="185"/>
      <c r="I157" s="185"/>
      <c r="J157" s="298"/>
      <c r="K157" s="283"/>
      <c r="L157" s="299"/>
      <c r="M157" s="300"/>
      <c r="N157" s="301"/>
      <c r="O157" s="302"/>
      <c r="P157" s="302"/>
      <c r="S157" s="305"/>
      <c r="T157" s="305"/>
      <c r="U157" s="306"/>
      <c r="V157" s="305"/>
      <c r="W157" s="305"/>
      <c r="X157" s="305"/>
      <c r="Y157" s="305"/>
      <c r="Z157" s="305"/>
      <c r="AD157" s="296"/>
      <c r="AE157" s="201"/>
      <c r="AF157" s="201"/>
      <c r="AG157" s="201"/>
      <c r="AH157" s="201"/>
      <c r="AI157" s="201"/>
      <c r="AJ157" s="201"/>
      <c r="AK157" s="201"/>
      <c r="AL157" s="201"/>
    </row>
    <row r="158">
      <c r="A158" s="187" t="str">
        <f>IFERROR(__xludf.DUMMYFUNCTION("""COMPUTED_VALUE"""),"Yrneh Tua")</f>
        <v>Yrneh Tua</v>
      </c>
      <c r="B158" s="188" t="str">
        <f>IFERROR(__xludf.DUMMYFUNCTION("""COMPUTED_VALUE"""),"Gheraldyne Arango")</f>
        <v>Gheraldyne Arango</v>
      </c>
      <c r="C158" s="236"/>
      <c r="D158" s="187"/>
      <c r="E158" s="187"/>
      <c r="F158" s="187"/>
      <c r="G158" s="185"/>
      <c r="H158" s="185"/>
      <c r="I158" s="185"/>
      <c r="J158" s="298"/>
      <c r="K158" s="283"/>
      <c r="L158" s="299"/>
      <c r="M158" s="300"/>
      <c r="N158" s="301"/>
      <c r="O158" s="302"/>
      <c r="P158" s="302"/>
      <c r="S158" s="305"/>
      <c r="T158" s="305"/>
      <c r="U158" s="306"/>
      <c r="V158" s="305"/>
      <c r="W158" s="305"/>
      <c r="X158" s="305"/>
      <c r="Y158" s="305"/>
      <c r="Z158" s="305"/>
      <c r="AD158" s="296"/>
      <c r="AE158" s="201"/>
      <c r="AF158" s="201"/>
      <c r="AG158" s="201"/>
      <c r="AH158" s="201"/>
      <c r="AI158" s="201"/>
      <c r="AJ158" s="201"/>
      <c r="AK158" s="201"/>
      <c r="AL158" s="201"/>
    </row>
    <row r="159">
      <c r="A159" s="187" t="str">
        <f>IFERROR(__xludf.DUMMYFUNCTION("""COMPUTED_VALUE"""),"Yrneh Tua")</f>
        <v>Yrneh Tua</v>
      </c>
      <c r="B159" s="188" t="str">
        <f>IFERROR(__xludf.DUMMYFUNCTION("""COMPUTED_VALUE"""),"Jorge Garcia")</f>
        <v>Jorge Garcia</v>
      </c>
      <c r="C159" s="236"/>
      <c r="D159" s="187"/>
      <c r="E159" s="187"/>
      <c r="F159" s="187"/>
      <c r="G159" s="185"/>
      <c r="H159" s="185"/>
      <c r="I159" s="185"/>
      <c r="J159" s="298"/>
      <c r="K159" s="283"/>
      <c r="L159" s="299"/>
      <c r="M159" s="300"/>
      <c r="N159" s="301"/>
      <c r="O159" s="302"/>
      <c r="P159" s="302"/>
      <c r="S159" s="305"/>
      <c r="T159" s="305"/>
      <c r="U159" s="306"/>
      <c r="V159" s="305"/>
      <c r="W159" s="305"/>
      <c r="X159" s="305"/>
      <c r="Y159" s="305"/>
      <c r="Z159" s="305"/>
      <c r="AD159" s="296"/>
      <c r="AE159" s="201"/>
      <c r="AF159" s="201"/>
      <c r="AG159" s="201"/>
      <c r="AH159" s="201"/>
      <c r="AI159" s="201"/>
      <c r="AJ159" s="201"/>
      <c r="AK159" s="201"/>
      <c r="AL159" s="201"/>
    </row>
    <row r="160">
      <c r="A160" s="187"/>
      <c r="B160" s="188" t="str">
        <f>IFERROR(__xludf.DUMMYFUNCTION("""COMPUTED_VALUE"""),"Gabriel Reyes")</f>
        <v>Gabriel Reyes</v>
      </c>
      <c r="C160" s="236"/>
      <c r="D160" s="187"/>
      <c r="E160" s="187"/>
      <c r="F160" s="187"/>
      <c r="G160" s="185"/>
      <c r="H160" s="185"/>
      <c r="I160" s="185"/>
      <c r="J160" s="298"/>
      <c r="K160" s="283"/>
      <c r="L160" s="299"/>
      <c r="M160" s="300"/>
      <c r="N160" s="301"/>
      <c r="O160" s="302"/>
      <c r="P160" s="302"/>
      <c r="S160" s="305"/>
      <c r="T160" s="305"/>
      <c r="U160" s="306"/>
      <c r="V160" s="305"/>
      <c r="W160" s="305"/>
      <c r="X160" s="305"/>
      <c r="Y160" s="305"/>
      <c r="Z160" s="305"/>
      <c r="AD160" s="296"/>
      <c r="AE160" s="201"/>
      <c r="AF160" s="201"/>
      <c r="AG160" s="201"/>
      <c r="AH160" s="201"/>
      <c r="AI160" s="201"/>
      <c r="AJ160" s="201"/>
      <c r="AK160" s="201"/>
      <c r="AL160" s="201"/>
    </row>
    <row r="161">
      <c r="A161" s="187"/>
      <c r="B161" s="188" t="str">
        <f>IFERROR(__xludf.DUMMYFUNCTION("""COMPUTED_VALUE"""),"Daniel Bustamante")</f>
        <v>Daniel Bustamante</v>
      </c>
      <c r="C161" s="236"/>
      <c r="D161" s="187"/>
      <c r="E161" s="187"/>
      <c r="F161" s="187"/>
      <c r="G161" s="185"/>
      <c r="H161" s="185"/>
      <c r="I161" s="185"/>
      <c r="J161" s="298"/>
      <c r="K161" s="283"/>
      <c r="L161" s="299"/>
      <c r="M161" s="300"/>
      <c r="N161" s="301"/>
      <c r="O161" s="302"/>
      <c r="P161" s="302"/>
      <c r="S161" s="305"/>
      <c r="T161" s="305"/>
      <c r="U161" s="306"/>
      <c r="V161" s="305"/>
      <c r="W161" s="305"/>
      <c r="X161" s="305"/>
      <c r="Y161" s="305"/>
      <c r="Z161" s="305"/>
      <c r="AD161" s="296"/>
      <c r="AE161" s="201"/>
      <c r="AF161" s="201"/>
      <c r="AG161" s="201"/>
      <c r="AH161" s="201"/>
      <c r="AI161" s="201"/>
      <c r="AJ161" s="201"/>
      <c r="AK161" s="201"/>
      <c r="AL161" s="201"/>
    </row>
    <row r="162">
      <c r="A162" s="187"/>
      <c r="B162" s="188"/>
      <c r="C162" s="236"/>
      <c r="D162" s="187"/>
      <c r="E162" s="187"/>
      <c r="F162" s="187"/>
      <c r="G162" s="185"/>
      <c r="H162" s="185"/>
      <c r="I162" s="185"/>
      <c r="J162" s="298"/>
      <c r="K162" s="283"/>
      <c r="L162" s="299"/>
      <c r="M162" s="300"/>
      <c r="N162" s="301"/>
      <c r="O162" s="302"/>
      <c r="P162" s="302"/>
      <c r="S162" s="305"/>
      <c r="T162" s="305"/>
      <c r="U162" s="306"/>
      <c r="V162" s="305"/>
      <c r="W162" s="305"/>
      <c r="X162" s="305"/>
      <c r="Y162" s="305"/>
      <c r="Z162" s="305"/>
      <c r="AD162" s="296"/>
      <c r="AE162" s="201"/>
      <c r="AF162" s="201"/>
      <c r="AG162" s="201"/>
      <c r="AH162" s="201"/>
      <c r="AI162" s="201"/>
      <c r="AJ162" s="201"/>
      <c r="AK162" s="201"/>
      <c r="AL162" s="201"/>
    </row>
    <row r="163">
      <c r="A163" s="187"/>
      <c r="B163" s="188"/>
      <c r="C163" s="236"/>
      <c r="D163" s="187"/>
      <c r="E163" s="187"/>
      <c r="F163" s="187"/>
      <c r="G163" s="185"/>
      <c r="H163" s="185"/>
      <c r="I163" s="185"/>
      <c r="J163" s="298"/>
      <c r="K163" s="283"/>
      <c r="L163" s="299"/>
      <c r="M163" s="300"/>
      <c r="N163" s="301"/>
      <c r="O163" s="302"/>
      <c r="P163" s="302"/>
      <c r="S163" s="305"/>
      <c r="T163" s="305"/>
      <c r="U163" s="306"/>
      <c r="V163" s="305"/>
      <c r="W163" s="305"/>
      <c r="X163" s="305"/>
      <c r="Y163" s="305"/>
      <c r="Z163" s="305"/>
      <c r="AD163" s="296"/>
      <c r="AE163" s="201"/>
      <c r="AF163" s="201"/>
      <c r="AG163" s="201"/>
      <c r="AH163" s="201"/>
      <c r="AI163" s="201"/>
      <c r="AJ163" s="201"/>
      <c r="AK163" s="201"/>
      <c r="AL163" s="201"/>
    </row>
    <row r="164">
      <c r="A164" s="187"/>
      <c r="B164" s="188"/>
      <c r="C164" s="236"/>
      <c r="D164" s="187"/>
      <c r="E164" s="187"/>
      <c r="F164" s="187"/>
      <c r="G164" s="185"/>
      <c r="H164" s="185"/>
      <c r="I164" s="185"/>
      <c r="J164" s="298"/>
      <c r="K164" s="283"/>
      <c r="L164" s="299"/>
      <c r="M164" s="300"/>
      <c r="N164" s="301"/>
      <c r="O164" s="302"/>
      <c r="P164" s="302"/>
      <c r="S164" s="305"/>
      <c r="T164" s="305"/>
      <c r="U164" s="306"/>
      <c r="V164" s="305"/>
      <c r="W164" s="305"/>
      <c r="X164" s="305"/>
      <c r="Y164" s="305"/>
      <c r="Z164" s="305"/>
      <c r="AD164" s="296"/>
      <c r="AE164" s="201"/>
      <c r="AF164" s="201"/>
      <c r="AG164" s="201"/>
      <c r="AH164" s="201"/>
      <c r="AI164" s="201"/>
      <c r="AJ164" s="201"/>
      <c r="AK164" s="201"/>
      <c r="AL164" s="201"/>
    </row>
    <row r="165">
      <c r="A165" s="187"/>
      <c r="B165" s="188"/>
      <c r="C165" s="236"/>
      <c r="D165" s="187"/>
      <c r="E165" s="187"/>
      <c r="F165" s="187"/>
      <c r="G165" s="185"/>
      <c r="H165" s="185"/>
      <c r="I165" s="185"/>
      <c r="J165" s="298"/>
      <c r="K165" s="283"/>
      <c r="L165" s="299"/>
      <c r="M165" s="300"/>
      <c r="N165" s="301"/>
      <c r="O165" s="302"/>
      <c r="P165" s="302"/>
      <c r="S165" s="305"/>
      <c r="T165" s="305"/>
      <c r="U165" s="306"/>
      <c r="V165" s="305"/>
      <c r="W165" s="305"/>
      <c r="X165" s="305"/>
      <c r="Y165" s="305"/>
      <c r="Z165" s="305"/>
      <c r="AD165" s="296"/>
      <c r="AE165" s="201"/>
      <c r="AF165" s="201"/>
      <c r="AG165" s="201"/>
      <c r="AH165" s="201"/>
      <c r="AI165" s="201"/>
      <c r="AJ165" s="201"/>
      <c r="AK165" s="201"/>
      <c r="AL165" s="201"/>
    </row>
    <row r="166">
      <c r="A166" s="187"/>
      <c r="B166" s="188"/>
      <c r="C166" s="236"/>
      <c r="D166" s="187"/>
      <c r="E166" s="187"/>
      <c r="F166" s="187"/>
      <c r="G166" s="185"/>
      <c r="H166" s="185"/>
      <c r="I166" s="185"/>
      <c r="J166" s="298"/>
      <c r="K166" s="283"/>
      <c r="L166" s="299"/>
      <c r="M166" s="300"/>
      <c r="N166" s="301"/>
      <c r="O166" s="302"/>
      <c r="P166" s="302"/>
      <c r="S166" s="305"/>
      <c r="T166" s="305"/>
      <c r="U166" s="306"/>
      <c r="V166" s="305"/>
      <c r="W166" s="305"/>
      <c r="X166" s="305"/>
      <c r="Y166" s="305"/>
      <c r="Z166" s="305"/>
      <c r="AD166" s="296"/>
      <c r="AE166" s="201"/>
      <c r="AF166" s="201"/>
      <c r="AG166" s="201"/>
      <c r="AH166" s="201"/>
      <c r="AI166" s="201"/>
      <c r="AJ166" s="201"/>
      <c r="AK166" s="201"/>
      <c r="AL166" s="201"/>
    </row>
    <row r="167">
      <c r="A167" s="187"/>
      <c r="B167" s="188"/>
      <c r="C167" s="236"/>
      <c r="D167" s="187"/>
      <c r="E167" s="187"/>
      <c r="F167" s="187"/>
      <c r="G167" s="185"/>
      <c r="H167" s="185"/>
      <c r="I167" s="185"/>
      <c r="J167" s="298"/>
      <c r="K167" s="283"/>
      <c r="L167" s="299"/>
      <c r="M167" s="300"/>
      <c r="N167" s="301"/>
      <c r="O167" s="302"/>
      <c r="P167" s="302"/>
      <c r="S167" s="305"/>
      <c r="T167" s="305"/>
      <c r="U167" s="306"/>
      <c r="V167" s="305"/>
      <c r="W167" s="305"/>
      <c r="X167" s="305"/>
      <c r="Y167" s="305"/>
      <c r="Z167" s="305"/>
      <c r="AD167" s="296"/>
      <c r="AE167" s="201"/>
      <c r="AF167" s="201"/>
      <c r="AG167" s="201"/>
      <c r="AH167" s="201"/>
      <c r="AI167" s="201"/>
      <c r="AJ167" s="201"/>
      <c r="AK167" s="201"/>
      <c r="AL167" s="201"/>
    </row>
    <row r="168">
      <c r="A168" s="187"/>
      <c r="B168" s="188"/>
      <c r="C168" s="236"/>
      <c r="D168" s="187"/>
      <c r="E168" s="187"/>
      <c r="F168" s="187"/>
      <c r="G168" s="185"/>
      <c r="H168" s="185"/>
      <c r="I168" s="185"/>
      <c r="J168" s="298"/>
      <c r="K168" s="283"/>
      <c r="L168" s="299"/>
      <c r="M168" s="300"/>
      <c r="N168" s="301"/>
      <c r="O168" s="302"/>
      <c r="P168" s="302"/>
      <c r="S168" s="305"/>
      <c r="T168" s="305"/>
      <c r="U168" s="306"/>
      <c r="V168" s="305"/>
      <c r="W168" s="305"/>
      <c r="X168" s="305"/>
      <c r="Y168" s="305"/>
      <c r="Z168" s="305"/>
      <c r="AD168" s="296"/>
      <c r="AE168" s="201"/>
      <c r="AF168" s="201"/>
      <c r="AG168" s="201"/>
      <c r="AH168" s="201"/>
      <c r="AI168" s="201"/>
      <c r="AJ168" s="201"/>
      <c r="AK168" s="201"/>
      <c r="AL168" s="201"/>
    </row>
    <row r="169">
      <c r="A169" s="187"/>
      <c r="B169" s="188"/>
      <c r="C169" s="236"/>
      <c r="D169" s="187"/>
      <c r="E169" s="187"/>
      <c r="F169" s="187"/>
      <c r="G169" s="185"/>
      <c r="H169" s="185"/>
      <c r="I169" s="185"/>
      <c r="J169" s="298"/>
      <c r="K169" s="283"/>
      <c r="L169" s="299"/>
      <c r="M169" s="300"/>
      <c r="N169" s="301"/>
      <c r="O169" s="302"/>
      <c r="P169" s="302"/>
      <c r="S169" s="305"/>
      <c r="T169" s="305"/>
      <c r="U169" s="306"/>
      <c r="V169" s="305"/>
      <c r="W169" s="305"/>
      <c r="X169" s="305"/>
      <c r="Y169" s="305"/>
      <c r="Z169" s="305"/>
      <c r="AD169" s="296"/>
      <c r="AE169" s="201"/>
      <c r="AF169" s="201"/>
      <c r="AG169" s="201"/>
      <c r="AH169" s="201"/>
      <c r="AI169" s="201"/>
      <c r="AJ169" s="201"/>
      <c r="AK169" s="201"/>
      <c r="AL169" s="201"/>
    </row>
    <row r="170">
      <c r="A170" s="187" t="str">
        <f>IFERROR(__xludf.DUMMYFUNCTION("""COMPUTED_VALUE"""),"Andra Daza")</f>
        <v>Andra Daza</v>
      </c>
      <c r="B170" s="188" t="str">
        <f>IFERROR(__xludf.DUMMYFUNCTION("""COMPUTED_VALUE"""),"John Atilano")</f>
        <v>John Atilano</v>
      </c>
      <c r="C170" s="236">
        <f>IFERROR(__xludf.DUMMYFUNCTION("""COMPUTED_VALUE"""),46093.0)</f>
        <v>46093</v>
      </c>
      <c r="D170" s="187">
        <f>IFERROR(__xludf.DUMMYFUNCTION("""COMPUTED_VALUE"""),37.0)</f>
        <v>37</v>
      </c>
      <c r="E170" s="187" t="str">
        <f>IFERROR(__xludf.DUMMYFUNCTION("""COMPUTED_VALUE"""),"Voice")</f>
        <v>Voice</v>
      </c>
      <c r="F170" s="187" t="str">
        <f>IFERROR(__xludf.DUMMYFUNCTION("""COMPUTED_VALUE"""),"C1551")</f>
        <v>C1551</v>
      </c>
      <c r="G170" s="185" t="str">
        <f>IFERROR(__xludf.DUMMYFUNCTION("""COMPUTED_VALUE"""),"@email")</f>
        <v>@email</v>
      </c>
      <c r="H170" s="185" t="str">
        <f>IFERROR(__xludf.DUMMYFUNCTION("""COMPUTED_VALUE"""),"ho.jatilano")</f>
        <v>ho.jatilano</v>
      </c>
      <c r="I170" s="185" t="str">
        <f>IFERROR(__xludf.DUMMYFUNCTION("""COMPUTED_VALUE"""),"ATT")</f>
        <v>ATT</v>
      </c>
      <c r="J170" s="298"/>
      <c r="K170" s="283"/>
      <c r="L170" s="299"/>
      <c r="M170" s="300"/>
      <c r="N170" s="301"/>
      <c r="O170" s="302"/>
      <c r="P170" s="302"/>
      <c r="S170" s="305"/>
      <c r="T170" s="305"/>
      <c r="U170" s="306"/>
      <c r="V170" s="305"/>
      <c r="W170" s="305"/>
      <c r="X170" s="305"/>
      <c r="Y170" s="305"/>
      <c r="Z170" s="305"/>
      <c r="AD170" s="296"/>
      <c r="AE170" s="201"/>
      <c r="AF170" s="201"/>
      <c r="AG170" s="201"/>
      <c r="AH170" s="201"/>
      <c r="AI170" s="201"/>
      <c r="AJ170" s="201"/>
      <c r="AK170" s="201"/>
      <c r="AL170" s="201"/>
    </row>
    <row r="171">
      <c r="A171" s="187" t="str">
        <f>IFERROR(__xludf.DUMMYFUNCTION("""COMPUTED_VALUE"""),"Daniel Bustamante")</f>
        <v>Daniel Bustamante</v>
      </c>
      <c r="B171" s="188" t="str">
        <f>IFERROR(__xludf.DUMMYFUNCTION("""COMPUTED_VALUE"""),"Joan Perez")</f>
        <v>Joan Perez</v>
      </c>
      <c r="C171" s="236">
        <f>IFERROR(__xludf.DUMMYFUNCTION("""COMPUTED_VALUE"""),46076.0)</f>
        <v>46076</v>
      </c>
      <c r="D171" s="187">
        <f>IFERROR(__xludf.DUMMYFUNCTION("""COMPUTED_VALUE"""),35.0)</f>
        <v>35</v>
      </c>
      <c r="E171" s="187" t="str">
        <f>IFERROR(__xludf.DUMMYFUNCTION("""COMPUTED_VALUE"""),"Voice")</f>
        <v>Voice</v>
      </c>
      <c r="F171" s="187" t="str">
        <f>IFERROR(__xludf.DUMMYFUNCTION("""COMPUTED_VALUE"""),"C1515")</f>
        <v>C1515</v>
      </c>
      <c r="G171" s="185" t="str">
        <f>IFERROR(__xludf.DUMMYFUNCTION("""COMPUTED_VALUE"""),"email")</f>
        <v>email</v>
      </c>
      <c r="H171" s="185" t="str">
        <f>IFERROR(__xludf.DUMMYFUNCTION("""COMPUTED_VALUE"""),"ho.joperez")</f>
        <v>ho.joperez</v>
      </c>
      <c r="I171" s="185" t="str">
        <f>IFERROR(__xludf.DUMMYFUNCTION("""COMPUTED_VALUE"""),"ATT")</f>
        <v>ATT</v>
      </c>
      <c r="J171" s="298"/>
      <c r="K171" s="283"/>
      <c r="L171" s="299"/>
      <c r="M171" s="300"/>
      <c r="N171" s="301"/>
      <c r="O171" s="302"/>
      <c r="P171" s="302"/>
      <c r="S171" s="305"/>
      <c r="T171" s="305"/>
      <c r="U171" s="306"/>
      <c r="V171" s="305"/>
      <c r="W171" s="305"/>
      <c r="X171" s="305"/>
      <c r="Y171" s="305"/>
      <c r="Z171" s="305"/>
      <c r="AD171" s="296"/>
      <c r="AE171" s="201"/>
      <c r="AF171" s="201"/>
      <c r="AG171" s="201"/>
      <c r="AH171" s="201"/>
      <c r="AI171" s="201"/>
      <c r="AJ171" s="201"/>
      <c r="AK171" s="201"/>
      <c r="AL171" s="201"/>
    </row>
    <row r="172">
      <c r="A172" s="187" t="str">
        <f>IFERROR(__xludf.DUMMYFUNCTION("""COMPUTED_VALUE"""),"Daniel Bustamante")</f>
        <v>Daniel Bustamante</v>
      </c>
      <c r="B172" s="188" t="str">
        <f>IFERROR(__xludf.DUMMYFUNCTION("""COMPUTED_VALUE"""),"Yovanny Ceballos")</f>
        <v>Yovanny Ceballos</v>
      </c>
      <c r="C172" s="236">
        <f>IFERROR(__xludf.DUMMYFUNCTION("""COMPUTED_VALUE"""),46083.0)</f>
        <v>46083</v>
      </c>
      <c r="D172" s="187">
        <f>IFERROR(__xludf.DUMMYFUNCTION("""COMPUTED_VALUE"""),36.0)</f>
        <v>36</v>
      </c>
      <c r="E172" s="187" t="str">
        <f>IFERROR(__xludf.DUMMYFUNCTION("""COMPUTED_VALUE"""),"Voice")</f>
        <v>Voice</v>
      </c>
      <c r="F172" s="187" t="str">
        <f>IFERROR(__xludf.DUMMYFUNCTION("""COMPUTED_VALUE"""),"C1539")</f>
        <v>C1539</v>
      </c>
      <c r="G172" s="185" t="str">
        <f>IFERROR(__xludf.DUMMYFUNCTION("""COMPUTED_VALUE"""),"@email")</f>
        <v>@email</v>
      </c>
      <c r="H172" s="185" t="str">
        <f>IFERROR(__xludf.DUMMYFUNCTION("""COMPUTED_VALUE"""),"ho.yceballos")</f>
        <v>ho.yceballos</v>
      </c>
      <c r="I172" s="185" t="str">
        <f>IFERROR(__xludf.DUMMYFUNCTION("""COMPUTED_VALUE"""),"ATT")</f>
        <v>ATT</v>
      </c>
      <c r="J172" s="298"/>
      <c r="K172" s="283"/>
      <c r="L172" s="299"/>
      <c r="M172" s="300"/>
      <c r="N172" s="301"/>
      <c r="O172" s="302"/>
      <c r="P172" s="302"/>
      <c r="S172" s="305"/>
      <c r="T172" s="305"/>
      <c r="U172" s="306"/>
      <c r="V172" s="305"/>
      <c r="W172" s="305"/>
      <c r="X172" s="305"/>
      <c r="Y172" s="305"/>
      <c r="Z172" s="305"/>
      <c r="AD172" s="296"/>
      <c r="AE172" s="201"/>
      <c r="AF172" s="201"/>
      <c r="AG172" s="201"/>
      <c r="AH172" s="201"/>
      <c r="AI172" s="201"/>
      <c r="AJ172" s="201"/>
      <c r="AK172" s="201"/>
      <c r="AL172" s="201"/>
    </row>
    <row r="173">
      <c r="A173" s="187" t="str">
        <f>IFERROR(__xludf.DUMMYFUNCTION("""COMPUTED_VALUE"""),"Andra Daza")</f>
        <v>Andra Daza</v>
      </c>
      <c r="B173" s="188" t="str">
        <f>IFERROR(__xludf.DUMMYFUNCTION("""COMPUTED_VALUE"""),"Valentina Gallego")</f>
        <v>Valentina Gallego</v>
      </c>
      <c r="C173" s="236">
        <f>IFERROR(__xludf.DUMMYFUNCTION("""COMPUTED_VALUE"""),46076.0)</f>
        <v>46076</v>
      </c>
      <c r="D173" s="187">
        <f>IFERROR(__xludf.DUMMYFUNCTION("""COMPUTED_VALUE"""),35.0)</f>
        <v>35</v>
      </c>
      <c r="E173" s="187" t="str">
        <f>IFERROR(__xludf.DUMMYFUNCTION("""COMPUTED_VALUE"""),"Voice")</f>
        <v>Voice</v>
      </c>
      <c r="F173" s="187" t="str">
        <f>IFERROR(__xludf.DUMMYFUNCTION("""COMPUTED_VALUE"""),"C1502")</f>
        <v>C1502</v>
      </c>
      <c r="G173" s="185" t="str">
        <f>IFERROR(__xludf.DUMMYFUNCTION("""COMPUTED_VALUE"""),"email")</f>
        <v>email</v>
      </c>
      <c r="H173" s="185" t="str">
        <f>IFERROR(__xludf.DUMMYFUNCTION("""COMPUTED_VALUE"""),"ho.vgallego")</f>
        <v>ho.vgallego</v>
      </c>
      <c r="I173" s="185" t="str">
        <f>IFERROR(__xludf.DUMMYFUNCTION("""COMPUTED_VALUE"""),"ATT")</f>
        <v>ATT</v>
      </c>
      <c r="J173" s="298"/>
      <c r="K173" s="283"/>
      <c r="L173" s="299"/>
      <c r="M173" s="300"/>
      <c r="N173" s="301"/>
      <c r="O173" s="302"/>
      <c r="P173" s="302"/>
      <c r="S173" s="305"/>
      <c r="T173" s="305"/>
      <c r="U173" s="306"/>
      <c r="V173" s="305"/>
      <c r="W173" s="305"/>
      <c r="X173" s="305"/>
      <c r="Y173" s="305"/>
      <c r="Z173" s="305"/>
      <c r="AD173" s="296"/>
      <c r="AE173" s="201"/>
      <c r="AF173" s="201"/>
      <c r="AG173" s="201"/>
      <c r="AH173" s="201"/>
      <c r="AI173" s="201"/>
      <c r="AJ173" s="201"/>
      <c r="AK173" s="201"/>
      <c r="AL173" s="201"/>
    </row>
    <row r="174">
      <c r="A174" s="187" t="str">
        <f>IFERROR(__xludf.DUMMYFUNCTION("""COMPUTED_VALUE"""),"Daniel Bustamante")</f>
        <v>Daniel Bustamante</v>
      </c>
      <c r="B174" s="188" t="str">
        <f>IFERROR(__xludf.DUMMYFUNCTION("""COMPUTED_VALUE"""),"Sebastian Vanegas")</f>
        <v>Sebastian Vanegas</v>
      </c>
      <c r="C174" s="236">
        <f>IFERROR(__xludf.DUMMYFUNCTION("""COMPUTED_VALUE"""),46041.0)</f>
        <v>46041</v>
      </c>
      <c r="D174" s="187">
        <f>IFERROR(__xludf.DUMMYFUNCTION("""COMPUTED_VALUE"""),34.0)</f>
        <v>34</v>
      </c>
      <c r="E174" s="187" t="str">
        <f>IFERROR(__xludf.DUMMYFUNCTION("""COMPUTED_VALUE"""),"Voice")</f>
        <v>Voice</v>
      </c>
      <c r="F174" s="187" t="str">
        <f>IFERROR(__xludf.DUMMYFUNCTION("""COMPUTED_VALUE"""),"C1491")</f>
        <v>C1491</v>
      </c>
      <c r="G174" s="185" t="str">
        <f>IFERROR(__xludf.DUMMYFUNCTION("""COMPUTED_VALUE"""),"sebastian.vanegas@buwelo.com")</f>
        <v>sebastian.vanegas@buwelo.com</v>
      </c>
      <c r="H174" s="185" t="str">
        <f>IFERROR(__xludf.DUMMYFUNCTION("""COMPUTED_VALUE"""),"ho.svanegas")</f>
        <v>ho.svanegas</v>
      </c>
      <c r="I174" s="185" t="str">
        <f>IFERROR(__xludf.DUMMYFUNCTION("""COMPUTED_VALUE"""),"ATT")</f>
        <v>ATT</v>
      </c>
      <c r="J174" s="298"/>
      <c r="K174" s="283"/>
      <c r="L174" s="299"/>
      <c r="M174" s="300"/>
      <c r="N174" s="301"/>
      <c r="O174" s="302"/>
      <c r="P174" s="302"/>
      <c r="S174" s="305"/>
      <c r="T174" s="305"/>
      <c r="U174" s="306"/>
      <c r="V174" s="305"/>
      <c r="W174" s="305"/>
      <c r="X174" s="305"/>
      <c r="Y174" s="305"/>
      <c r="Z174" s="305"/>
      <c r="AD174" s="296"/>
      <c r="AE174" s="201"/>
      <c r="AF174" s="201"/>
      <c r="AG174" s="201"/>
      <c r="AH174" s="201"/>
      <c r="AI174" s="201"/>
      <c r="AJ174" s="201"/>
      <c r="AK174" s="201"/>
      <c r="AL174" s="201"/>
    </row>
    <row r="175">
      <c r="A175" s="187"/>
      <c r="B175" s="188"/>
      <c r="C175" s="236"/>
      <c r="D175" s="187"/>
      <c r="E175" s="187"/>
      <c r="F175" s="187"/>
      <c r="G175" s="185"/>
      <c r="H175" s="185"/>
      <c r="I175" s="185"/>
      <c r="J175" s="298"/>
      <c r="K175" s="283"/>
      <c r="L175" s="299"/>
      <c r="M175" s="300"/>
      <c r="N175" s="301"/>
      <c r="O175" s="302"/>
      <c r="P175" s="302"/>
      <c r="S175" s="305"/>
      <c r="T175" s="305"/>
      <c r="U175" s="306"/>
      <c r="V175" s="305"/>
      <c r="W175" s="305"/>
      <c r="X175" s="305"/>
      <c r="Y175" s="305"/>
      <c r="Z175" s="305"/>
      <c r="AD175" s="296"/>
      <c r="AE175" s="201"/>
      <c r="AF175" s="201"/>
      <c r="AG175" s="201"/>
      <c r="AH175" s="201"/>
      <c r="AI175" s="201"/>
      <c r="AJ175" s="201"/>
      <c r="AK175" s="201"/>
      <c r="AL175" s="201"/>
    </row>
    <row r="176">
      <c r="A176" s="187" t="str">
        <f>IFERROR(__xludf.DUMMYFUNCTION("""COMPUTED_VALUE"""),"Bryan Galvis")</f>
        <v>Bryan Galvis</v>
      </c>
      <c r="B176" s="188" t="str">
        <f>IFERROR(__xludf.DUMMYFUNCTION("""COMPUTED_VALUE"""),"Juan Fonnegra")</f>
        <v>Juan Fonnegra</v>
      </c>
      <c r="C176" s="236">
        <f>IFERROR(__xludf.DUMMYFUNCTION("""COMPUTED_VALUE"""),44932.0)</f>
        <v>44932</v>
      </c>
      <c r="D176" s="187">
        <f>IFERROR(__xludf.DUMMYFUNCTION("""COMPUTED_VALUE"""),1.0)</f>
        <v>1</v>
      </c>
      <c r="E176" s="187" t="str">
        <f>IFERROR(__xludf.DUMMYFUNCTION("""COMPUTED_VALUE"""),"Tickets")</f>
        <v>Tickets</v>
      </c>
      <c r="F176" s="187" t="str">
        <f>IFERROR(__xludf.DUMMYFUNCTION("""COMPUTED_VALUE"""),"C598")</f>
        <v>C598</v>
      </c>
      <c r="G176" s="185" t="str">
        <f>IFERROR(__xludf.DUMMYFUNCTION("""COMPUTED_VALUE"""),"juan.fonegra@buwelo.com")</f>
        <v>juan.fonegra@buwelo.com</v>
      </c>
      <c r="H176" s="185" t="str">
        <f>IFERROR(__xludf.DUMMYFUNCTION("""COMPUTED_VALUE"""),"ho.jfonegra")</f>
        <v>ho.jfonegra</v>
      </c>
      <c r="I176" s="185" t="str">
        <f>IFERROR(__xludf.DUMMYFUNCTION("""COMPUTED_VALUE"""),"ATT")</f>
        <v>ATT</v>
      </c>
      <c r="J176" s="298"/>
      <c r="K176" s="283"/>
      <c r="L176" s="299"/>
      <c r="M176" s="300"/>
      <c r="N176" s="301"/>
      <c r="O176" s="302"/>
      <c r="P176" s="302"/>
      <c r="S176" s="305"/>
      <c r="T176" s="305"/>
      <c r="U176" s="306"/>
      <c r="V176" s="305"/>
      <c r="W176" s="305"/>
      <c r="X176" s="305"/>
      <c r="Y176" s="305"/>
      <c r="Z176" s="305"/>
      <c r="AD176" s="296"/>
      <c r="AE176" s="201"/>
      <c r="AF176" s="201"/>
      <c r="AG176" s="201"/>
      <c r="AH176" s="201"/>
      <c r="AI176" s="201"/>
      <c r="AJ176" s="201"/>
      <c r="AK176" s="201"/>
      <c r="AL176" s="201"/>
    </row>
    <row r="177">
      <c r="A177" s="187" t="str">
        <f>IFERROR(__xludf.DUMMYFUNCTION("""COMPUTED_VALUE"""),"Martin Salazar")</f>
        <v>Martin Salazar</v>
      </c>
      <c r="B177" s="188" t="str">
        <f>IFERROR(__xludf.DUMMYFUNCTION("""COMPUTED_VALUE"""),"Brayan Franco")</f>
        <v>Brayan Franco</v>
      </c>
      <c r="C177" s="236">
        <f>IFERROR(__xludf.DUMMYFUNCTION("""COMPUTED_VALUE"""),45845.0)</f>
        <v>45845</v>
      </c>
      <c r="D177" s="187">
        <f>IFERROR(__xludf.DUMMYFUNCTION("""COMPUTED_VALUE"""),27.0)</f>
        <v>27</v>
      </c>
      <c r="E177" s="187" t="str">
        <f>IFERROR(__xludf.DUMMYFUNCTION("""COMPUTED_VALUE"""),"Voice")</f>
        <v>Voice</v>
      </c>
      <c r="F177" s="187" t="str">
        <f>IFERROR(__xludf.DUMMYFUNCTION("""COMPUTED_VALUE"""),"C1274")</f>
        <v>C1274</v>
      </c>
      <c r="G177" s="185" t="str">
        <f>IFERROR(__xludf.DUMMYFUNCTION("""COMPUTED_VALUE"""),"brayan.franco@buwelo.com")</f>
        <v>brayan.franco@buwelo.com</v>
      </c>
      <c r="H177" s="185" t="str">
        <f>IFERROR(__xludf.DUMMYFUNCTION("""COMPUTED_VALUE"""),"ho.bfranco")</f>
        <v>ho.bfranco</v>
      </c>
      <c r="I177" s="185" t="str">
        <f>IFERROR(__xludf.DUMMYFUNCTION("""COMPUTED_VALUE"""),"ATT")</f>
        <v>ATT</v>
      </c>
      <c r="J177" s="298"/>
      <c r="K177" s="283"/>
      <c r="L177" s="299"/>
      <c r="M177" s="300"/>
      <c r="N177" s="301"/>
      <c r="O177" s="302"/>
      <c r="P177" s="302"/>
      <c r="S177" s="305"/>
      <c r="T177" s="305"/>
      <c r="U177" s="306"/>
      <c r="V177" s="305"/>
      <c r="W177" s="305"/>
      <c r="X177" s="305"/>
      <c r="Y177" s="305"/>
      <c r="Z177" s="305"/>
      <c r="AD177" s="296"/>
      <c r="AE177" s="201"/>
      <c r="AF177" s="201"/>
      <c r="AG177" s="201"/>
      <c r="AH177" s="201"/>
      <c r="AI177" s="201"/>
      <c r="AJ177" s="201"/>
      <c r="AK177" s="201"/>
      <c r="AL177" s="201"/>
    </row>
    <row r="178">
      <c r="A178" s="187" t="str">
        <f>IFERROR(__xludf.DUMMYFUNCTION("""COMPUTED_VALUE"""),"Mateo Henao")</f>
        <v>Mateo Henao</v>
      </c>
      <c r="B178" s="188" t="str">
        <f>IFERROR(__xludf.DUMMYFUNCTION("""COMPUTED_VALUE"""),"Carlos Ruiz")</f>
        <v>Carlos Ruiz</v>
      </c>
      <c r="C178" s="236">
        <f>IFERROR(__xludf.DUMMYFUNCTION("""COMPUTED_VALUE"""),46113.0)</f>
        <v>46113</v>
      </c>
      <c r="D178" s="187">
        <f>IFERROR(__xludf.DUMMYFUNCTION("""COMPUTED_VALUE"""),38.0)</f>
        <v>38</v>
      </c>
      <c r="E178" s="187" t="str">
        <f>IFERROR(__xludf.DUMMYFUNCTION("""COMPUTED_VALUE"""),"Nesting")</f>
        <v>Nesting</v>
      </c>
      <c r="F178" s="187" t="str">
        <f>IFERROR(__xludf.DUMMYFUNCTION("""COMPUTED_VALUE"""),"C1576")</f>
        <v>C1576</v>
      </c>
      <c r="G178" s="185" t="str">
        <f>IFERROR(__xludf.DUMMYFUNCTION("""COMPUTED_VALUE"""),"@email")</f>
        <v>@email</v>
      </c>
      <c r="H178" s="185" t="str">
        <f>IFERROR(__xludf.DUMMYFUNCTION("""COMPUTED_VALUE"""),"ho.cruiz")</f>
        <v>ho.cruiz</v>
      </c>
      <c r="I178" s="185" t="str">
        <f>IFERROR(__xludf.DUMMYFUNCTION("""COMPUTED_VALUE"""),"ATT")</f>
        <v>ATT</v>
      </c>
      <c r="J178" s="298"/>
      <c r="K178" s="283"/>
      <c r="L178" s="299"/>
      <c r="M178" s="300"/>
      <c r="N178" s="301"/>
      <c r="O178" s="302"/>
      <c r="P178" s="302"/>
      <c r="S178" s="305"/>
      <c r="T178" s="305"/>
      <c r="U178" s="306"/>
      <c r="V178" s="305"/>
      <c r="W178" s="305"/>
      <c r="X178" s="305"/>
      <c r="Y178" s="305"/>
      <c r="Z178" s="305"/>
      <c r="AD178" s="296"/>
      <c r="AE178" s="201"/>
      <c r="AF178" s="201"/>
      <c r="AG178" s="201"/>
      <c r="AH178" s="201"/>
      <c r="AI178" s="201"/>
      <c r="AJ178" s="201"/>
      <c r="AK178" s="201"/>
      <c r="AL178" s="201"/>
    </row>
    <row r="179">
      <c r="A179" s="187" t="str">
        <f>IFERROR(__xludf.DUMMYFUNCTION("""COMPUTED_VALUE"""),"NoBorrar")</f>
        <v>NoBorrar</v>
      </c>
      <c r="B179" s="188" t="str">
        <f>IFERROR(__xludf.DUMMYFUNCTION("""COMPUTED_VALUE"""),"Esteban Cordoba")</f>
        <v>Esteban Cordoba</v>
      </c>
      <c r="C179" s="236" t="str">
        <f>IFERROR(__xludf.DUMMYFUNCTION("""COMPUTED_VALUE"""),"NoBorrar")</f>
        <v>NoBorrar</v>
      </c>
      <c r="D179" s="187" t="str">
        <f>IFERROR(__xludf.DUMMYFUNCTION("""COMPUTED_VALUE"""),"NoBorrar")</f>
        <v>NoBorrar</v>
      </c>
      <c r="E179" s="187" t="str">
        <f>IFERROR(__xludf.DUMMYFUNCTION("""COMPUTED_VALUE"""),"NoBorrar")</f>
        <v>NoBorrar</v>
      </c>
      <c r="F179" s="187" t="str">
        <f>IFERROR(__xludf.DUMMYFUNCTION("""COMPUTED_VALUE"""),"NoBorrar")</f>
        <v>NoBorrar</v>
      </c>
      <c r="G179" s="185" t="str">
        <f>IFERROR(__xludf.DUMMYFUNCTION("""COMPUTED_VALUE"""),"NoBorrar")</f>
        <v>NoBorrar</v>
      </c>
      <c r="H179" s="185" t="str">
        <f>IFERROR(__xludf.DUMMYFUNCTION("""COMPUTED_VALUE"""),"ah.ecordoba")</f>
        <v>ah.ecordoba</v>
      </c>
      <c r="I179" s="185" t="str">
        <f>IFERROR(__xludf.DUMMYFUNCTION("""COMPUTED_VALUE"""),"ATT")</f>
        <v>ATT</v>
      </c>
      <c r="J179" s="298"/>
      <c r="K179" s="283"/>
      <c r="L179" s="299"/>
      <c r="M179" s="300"/>
      <c r="N179" s="301"/>
      <c r="O179" s="302"/>
      <c r="P179" s="302"/>
      <c r="S179" s="305"/>
      <c r="T179" s="305"/>
      <c r="U179" s="306"/>
      <c r="V179" s="305"/>
      <c r="W179" s="305"/>
      <c r="X179" s="305"/>
      <c r="Y179" s="305"/>
      <c r="Z179" s="305"/>
      <c r="AD179" s="296"/>
      <c r="AE179" s="201"/>
      <c r="AF179" s="201"/>
      <c r="AG179" s="201"/>
      <c r="AH179" s="201"/>
      <c r="AI179" s="201"/>
      <c r="AJ179" s="201"/>
      <c r="AK179" s="201"/>
      <c r="AL179" s="201"/>
    </row>
    <row r="180">
      <c r="A180" s="187" t="str">
        <f>IFERROR(__xludf.DUMMYFUNCTION("""COMPUTED_VALUE"""),"Mateo Henao")</f>
        <v>Mateo Henao</v>
      </c>
      <c r="B180" s="188" t="str">
        <f>IFERROR(__xludf.DUMMYFUNCTION("""COMPUTED_VALUE"""),"Jaime Marulanda")</f>
        <v>Jaime Marulanda</v>
      </c>
      <c r="C180" s="236">
        <f>IFERROR(__xludf.DUMMYFUNCTION("""COMPUTED_VALUE"""),46093.0)</f>
        <v>46093</v>
      </c>
      <c r="D180" s="187">
        <f>IFERROR(__xludf.DUMMYFUNCTION("""COMPUTED_VALUE"""),37.0)</f>
        <v>37</v>
      </c>
      <c r="E180" s="187" t="str">
        <f>IFERROR(__xludf.DUMMYFUNCTION("""COMPUTED_VALUE"""),"Voice")</f>
        <v>Voice</v>
      </c>
      <c r="F180" s="187" t="str">
        <f>IFERROR(__xludf.DUMMYFUNCTION("""COMPUTED_VALUE"""),"C1549")</f>
        <v>C1549</v>
      </c>
      <c r="G180" s="185" t="str">
        <f>IFERROR(__xludf.DUMMYFUNCTION("""COMPUTED_VALUE"""),"@email")</f>
        <v>@email</v>
      </c>
      <c r="H180" s="185" t="str">
        <f>IFERROR(__xludf.DUMMYFUNCTION("""COMPUTED_VALUE"""),"ho.jmarulanda")</f>
        <v>ho.jmarulanda</v>
      </c>
      <c r="I180" s="185" t="str">
        <f>IFERROR(__xludf.DUMMYFUNCTION("""COMPUTED_VALUE"""),"ATT")</f>
        <v>ATT</v>
      </c>
      <c r="J180" s="298"/>
      <c r="K180" s="283"/>
      <c r="L180" s="299"/>
      <c r="M180" s="300"/>
      <c r="N180" s="301"/>
      <c r="O180" s="302"/>
      <c r="P180" s="302"/>
      <c r="S180" s="305"/>
      <c r="T180" s="305"/>
      <c r="U180" s="306"/>
      <c r="V180" s="305"/>
      <c r="W180" s="305"/>
      <c r="X180" s="305"/>
      <c r="Y180" s="305"/>
      <c r="Z180" s="305"/>
      <c r="AD180" s="296"/>
      <c r="AE180" s="201"/>
      <c r="AF180" s="201"/>
      <c r="AG180" s="201"/>
      <c r="AH180" s="201"/>
      <c r="AI180" s="201"/>
      <c r="AJ180" s="201"/>
      <c r="AK180" s="201"/>
      <c r="AL180" s="201"/>
    </row>
    <row r="181">
      <c r="A181" s="187" t="str">
        <f>IFERROR(__xludf.DUMMYFUNCTION("""COMPUTED_VALUE"""),"Bryan Galvis")</f>
        <v>Bryan Galvis</v>
      </c>
      <c r="B181" s="188" t="str">
        <f>IFERROR(__xludf.DUMMYFUNCTION("""COMPUTED_VALUE"""),"Santiago Garcia")</f>
        <v>Santiago Garcia</v>
      </c>
      <c r="C181" s="236">
        <f>IFERROR(__xludf.DUMMYFUNCTION("""COMPUTED_VALUE"""),45845.0)</f>
        <v>45845</v>
      </c>
      <c r="D181" s="187">
        <f>IFERROR(__xludf.DUMMYFUNCTION("""COMPUTED_VALUE"""),27.0)</f>
        <v>27</v>
      </c>
      <c r="E181" s="187" t="str">
        <f>IFERROR(__xludf.DUMMYFUNCTION("""COMPUTED_VALUE"""),"Tickets")</f>
        <v>Tickets</v>
      </c>
      <c r="F181" s="187" t="str">
        <f>IFERROR(__xludf.DUMMYFUNCTION("""COMPUTED_VALUE"""),"C1269")</f>
        <v>C1269</v>
      </c>
      <c r="G181" s="185" t="str">
        <f>IFERROR(__xludf.DUMMYFUNCTION("""COMPUTED_VALUE"""),"santiago.garcia@buwelo.com")</f>
        <v>santiago.garcia@buwelo.com</v>
      </c>
      <c r="H181" s="185" t="str">
        <f>IFERROR(__xludf.DUMMYFUNCTION("""COMPUTED_VALUE"""),"ho.sgarcia")</f>
        <v>ho.sgarcia</v>
      </c>
      <c r="I181" s="185" t="str">
        <f>IFERROR(__xludf.DUMMYFUNCTION("""COMPUTED_VALUE"""),"ATT")</f>
        <v>ATT</v>
      </c>
      <c r="J181" s="298"/>
      <c r="K181" s="283"/>
      <c r="L181" s="299"/>
      <c r="M181" s="300"/>
      <c r="N181" s="301"/>
      <c r="O181" s="302"/>
      <c r="P181" s="302"/>
      <c r="S181" s="305"/>
      <c r="T181" s="305"/>
      <c r="U181" s="306"/>
      <c r="V181" s="305"/>
      <c r="W181" s="305"/>
      <c r="X181" s="305"/>
      <c r="Y181" s="305"/>
      <c r="Z181" s="305"/>
      <c r="AD181" s="296"/>
      <c r="AE181" s="201"/>
      <c r="AF181" s="201"/>
      <c r="AG181" s="201"/>
      <c r="AH181" s="201"/>
      <c r="AI181" s="201"/>
      <c r="AJ181" s="201"/>
      <c r="AK181" s="201"/>
      <c r="AL181" s="201"/>
    </row>
    <row r="182">
      <c r="A182" s="187" t="str">
        <f>IFERROR(__xludf.DUMMYFUNCTION("""COMPUTED_VALUE"""),"Daniel Bustamante")</f>
        <v>Daniel Bustamante</v>
      </c>
      <c r="B182" s="188" t="str">
        <f>IFERROR(__xludf.DUMMYFUNCTION("""COMPUTED_VALUE"""),"Juan Gomez")</f>
        <v>Juan Gomez</v>
      </c>
      <c r="C182" s="236">
        <f>IFERROR(__xludf.DUMMYFUNCTION("""COMPUTED_VALUE"""),46083.0)</f>
        <v>46083</v>
      </c>
      <c r="D182" s="187">
        <f>IFERROR(__xludf.DUMMYFUNCTION("""COMPUTED_VALUE"""),36.0)</f>
        <v>36</v>
      </c>
      <c r="E182" s="187" t="str">
        <f>IFERROR(__xludf.DUMMYFUNCTION("""COMPUTED_VALUE"""),"Voice")</f>
        <v>Voice</v>
      </c>
      <c r="F182" s="187" t="str">
        <f>IFERROR(__xludf.DUMMYFUNCTION("""COMPUTED_VALUE"""),"C1375")</f>
        <v>C1375</v>
      </c>
      <c r="G182" s="185" t="str">
        <f>IFERROR(__xludf.DUMMYFUNCTION("""COMPUTED_VALUE"""),"@email")</f>
        <v>@email</v>
      </c>
      <c r="H182" s="185" t="str">
        <f>IFERROR(__xludf.DUMMYFUNCTION("""COMPUTED_VALUE"""),"ho.jgomez")</f>
        <v>ho.jgomez</v>
      </c>
      <c r="I182" s="185" t="str">
        <f>IFERROR(__xludf.DUMMYFUNCTION("""COMPUTED_VALUE"""),"ATT")</f>
        <v>ATT</v>
      </c>
      <c r="J182" s="298"/>
      <c r="K182" s="283"/>
      <c r="L182" s="299"/>
      <c r="M182" s="300"/>
      <c r="N182" s="301"/>
      <c r="O182" s="302"/>
      <c r="P182" s="302"/>
      <c r="S182" s="305"/>
      <c r="T182" s="305"/>
      <c r="U182" s="306"/>
      <c r="V182" s="305"/>
      <c r="W182" s="305"/>
      <c r="X182" s="305"/>
      <c r="Y182" s="305"/>
      <c r="Z182" s="305"/>
      <c r="AD182" s="296"/>
      <c r="AE182" s="201"/>
      <c r="AF182" s="201"/>
      <c r="AG182" s="201"/>
      <c r="AH182" s="201"/>
      <c r="AI182" s="201"/>
      <c r="AJ182" s="201"/>
      <c r="AK182" s="201"/>
      <c r="AL182" s="201"/>
    </row>
    <row r="183">
      <c r="A183" s="187" t="str">
        <f>IFERROR(__xludf.DUMMYFUNCTION("""COMPUTED_VALUE"""),"Luis Vidal")</f>
        <v>Luis Vidal</v>
      </c>
      <c r="B183" s="188" t="str">
        <f>IFERROR(__xludf.DUMMYFUNCTION("""COMPUTED_VALUE"""),"Laura Moreno")</f>
        <v>Laura Moreno</v>
      </c>
      <c r="C183" s="236">
        <f>IFERROR(__xludf.DUMMYFUNCTION("""COMPUTED_VALUE"""),45586.0)</f>
        <v>45586</v>
      </c>
      <c r="D183" s="187">
        <f>IFERROR(__xludf.DUMMYFUNCTION("""COMPUTED_VALUE"""),19.0)</f>
        <v>19</v>
      </c>
      <c r="E183" s="187" t="str">
        <f>IFERROR(__xludf.DUMMYFUNCTION("""COMPUTED_VALUE"""),"Tickets")</f>
        <v>Tickets</v>
      </c>
      <c r="F183" s="187" t="str">
        <f>IFERROR(__xludf.DUMMYFUNCTION("""COMPUTED_VALUE"""),"C1087")</f>
        <v>C1087</v>
      </c>
      <c r="G183" s="185" t="str">
        <f>IFERROR(__xludf.DUMMYFUNCTION("""COMPUTED_VALUE"""),"laura.moreno@buwelo.com")</f>
        <v>laura.moreno@buwelo.com</v>
      </c>
      <c r="H183" s="185" t="str">
        <f>IFERROR(__xludf.DUMMYFUNCTION("""COMPUTED_VALUE"""),"ho.lmoreno")</f>
        <v>ho.lmoreno</v>
      </c>
      <c r="I183" s="185" t="str">
        <f>IFERROR(__xludf.DUMMYFUNCTION("""COMPUTED_VALUE"""),"ATT")</f>
        <v>ATT</v>
      </c>
      <c r="J183" s="298"/>
      <c r="K183" s="283"/>
      <c r="L183" s="299"/>
      <c r="M183" s="300"/>
      <c r="N183" s="301"/>
      <c r="O183" s="302"/>
      <c r="P183" s="302"/>
      <c r="S183" s="305"/>
      <c r="T183" s="305"/>
      <c r="U183" s="306"/>
      <c r="V183" s="305"/>
      <c r="W183" s="305"/>
      <c r="X183" s="305"/>
      <c r="Y183" s="305"/>
      <c r="Z183" s="305"/>
      <c r="AD183" s="296"/>
      <c r="AE183" s="201"/>
      <c r="AF183" s="201"/>
      <c r="AG183" s="201"/>
      <c r="AH183" s="201"/>
      <c r="AI183" s="201"/>
      <c r="AJ183" s="201"/>
      <c r="AK183" s="201"/>
      <c r="AL183" s="201"/>
    </row>
    <row r="184">
      <c r="A184" s="187" t="str">
        <f>IFERROR(__xludf.DUMMYFUNCTION("""COMPUTED_VALUE"""),"Martin Salazar")</f>
        <v>Martin Salazar</v>
      </c>
      <c r="B184" s="188" t="str">
        <f>IFERROR(__xludf.DUMMYFUNCTION("""COMPUTED_VALUE"""),"Daniela Garces")</f>
        <v>Daniela Garces</v>
      </c>
      <c r="C184" s="236">
        <f>IFERROR(__xludf.DUMMYFUNCTION("""COMPUTED_VALUE"""),46041.0)</f>
        <v>46041</v>
      </c>
      <c r="D184" s="187">
        <f>IFERROR(__xludf.DUMMYFUNCTION("""COMPUTED_VALUE"""),34.0)</f>
        <v>34</v>
      </c>
      <c r="E184" s="187" t="str">
        <f>IFERROR(__xludf.DUMMYFUNCTION("""COMPUTED_VALUE"""),"Voice")</f>
        <v>Voice</v>
      </c>
      <c r="F184" s="187" t="str">
        <f>IFERROR(__xludf.DUMMYFUNCTION("""COMPUTED_VALUE"""),"C1480")</f>
        <v>C1480</v>
      </c>
      <c r="G184" s="185" t="str">
        <f>IFERROR(__xludf.DUMMYFUNCTION("""COMPUTED_VALUE"""),"daniela.garces@buwelo.com")</f>
        <v>daniela.garces@buwelo.com</v>
      </c>
      <c r="H184" s="185" t="str">
        <f>IFERROR(__xludf.DUMMYFUNCTION("""COMPUTED_VALUE"""),"ho.dgarces")</f>
        <v>ho.dgarces</v>
      </c>
      <c r="I184" s="185" t="str">
        <f>IFERROR(__xludf.DUMMYFUNCTION("""COMPUTED_VALUE"""),"ATT")</f>
        <v>ATT</v>
      </c>
      <c r="J184" s="298"/>
      <c r="K184" s="283"/>
      <c r="L184" s="299"/>
      <c r="M184" s="300"/>
      <c r="N184" s="301"/>
      <c r="O184" s="302"/>
      <c r="P184" s="302"/>
      <c r="S184" s="305"/>
      <c r="T184" s="305"/>
      <c r="U184" s="306"/>
      <c r="V184" s="305"/>
      <c r="W184" s="305"/>
      <c r="X184" s="305"/>
      <c r="Y184" s="305"/>
      <c r="Z184" s="305"/>
      <c r="AD184" s="296"/>
      <c r="AE184" s="201"/>
      <c r="AF184" s="201"/>
      <c r="AG184" s="201"/>
      <c r="AH184" s="201"/>
      <c r="AI184" s="201"/>
      <c r="AJ184" s="201"/>
      <c r="AK184" s="201"/>
      <c r="AL184" s="201"/>
    </row>
    <row r="185">
      <c r="A185" s="187" t="str">
        <f>IFERROR(__xludf.DUMMYFUNCTION("""COMPUTED_VALUE"""),"Mateo Henao")</f>
        <v>Mateo Henao</v>
      </c>
      <c r="B185" s="188" t="str">
        <f>IFERROR(__xludf.DUMMYFUNCTION("""COMPUTED_VALUE"""),"Sebastian Agudelo Serna")</f>
        <v>Sebastian Agudelo Serna</v>
      </c>
      <c r="C185" s="236">
        <f>IFERROR(__xludf.DUMMYFUNCTION("""COMPUTED_VALUE"""),46076.0)</f>
        <v>46076</v>
      </c>
      <c r="D185" s="187">
        <f>IFERROR(__xludf.DUMMYFUNCTION("""COMPUTED_VALUE"""),35.0)</f>
        <v>35</v>
      </c>
      <c r="E185" s="187" t="str">
        <f>IFERROR(__xludf.DUMMYFUNCTION("""COMPUTED_VALUE"""),"Voice")</f>
        <v>Voice</v>
      </c>
      <c r="F185" s="187" t="str">
        <f>IFERROR(__xludf.DUMMYFUNCTION("""COMPUTED_VALUE"""),"C1508")</f>
        <v>C1508</v>
      </c>
      <c r="G185" s="185" t="str">
        <f>IFERROR(__xludf.DUMMYFUNCTION("""COMPUTED_VALUE"""),"email")</f>
        <v>email</v>
      </c>
      <c r="H185" s="185" t="str">
        <f>IFERROR(__xludf.DUMMYFUNCTION("""COMPUTED_VALUE"""),"ho.seagudelo")</f>
        <v>ho.seagudelo</v>
      </c>
      <c r="I185" s="185" t="str">
        <f>IFERROR(__xludf.DUMMYFUNCTION("""COMPUTED_VALUE"""),"ATT")</f>
        <v>ATT</v>
      </c>
      <c r="J185" s="298"/>
      <c r="K185" s="283"/>
      <c r="L185" s="299"/>
      <c r="M185" s="300"/>
      <c r="N185" s="301"/>
      <c r="O185" s="302"/>
      <c r="P185" s="302"/>
      <c r="S185" s="305"/>
      <c r="T185" s="305"/>
      <c r="U185" s="306"/>
      <c r="V185" s="305"/>
      <c r="W185" s="305"/>
      <c r="X185" s="305"/>
      <c r="Y185" s="305"/>
      <c r="Z185" s="305"/>
      <c r="AD185" s="296"/>
      <c r="AE185" s="201"/>
      <c r="AF185" s="201"/>
      <c r="AG185" s="201"/>
      <c r="AH185" s="201"/>
      <c r="AI185" s="201"/>
      <c r="AJ185" s="201"/>
      <c r="AK185" s="201"/>
      <c r="AL185" s="201"/>
    </row>
    <row r="186">
      <c r="A186" s="187" t="str">
        <f>IFERROR(__xludf.DUMMYFUNCTION("""COMPUTED_VALUE"""),"Edward Machado")</f>
        <v>Edward Machado</v>
      </c>
      <c r="B186" s="188" t="str">
        <f>IFERROR(__xludf.DUMMYFUNCTION("""COMPUTED_VALUE"""),"William Venner")</f>
        <v>William Venner</v>
      </c>
      <c r="C186" s="236">
        <f>IFERROR(__xludf.DUMMYFUNCTION("""COMPUTED_VALUE"""),45023.0)</f>
        <v>45023</v>
      </c>
      <c r="D186" s="187">
        <f>IFERROR(__xludf.DUMMYFUNCTION("""COMPUTED_VALUE"""),9.0)</f>
        <v>9</v>
      </c>
      <c r="E186" s="187" t="str">
        <f>IFERROR(__xludf.DUMMYFUNCTION("""COMPUTED_VALUE"""),"Tickets")</f>
        <v>Tickets</v>
      </c>
      <c r="F186" s="187" t="str">
        <f>IFERROR(__xludf.DUMMYFUNCTION("""COMPUTED_VALUE"""),"C572")</f>
        <v>C572</v>
      </c>
      <c r="G186" s="185" t="str">
        <f>IFERROR(__xludf.DUMMYFUNCTION("""COMPUTED_VALUE"""),"william.venner@buwelo.com")</f>
        <v>william.venner@buwelo.com</v>
      </c>
      <c r="H186" s="185" t="str">
        <f>IFERROR(__xludf.DUMMYFUNCTION("""COMPUTED_VALUE"""),"ho.wvenner")</f>
        <v>ho.wvenner</v>
      </c>
      <c r="I186" s="185" t="str">
        <f>IFERROR(__xludf.DUMMYFUNCTION("""COMPUTED_VALUE"""),"ATT")</f>
        <v>ATT</v>
      </c>
      <c r="J186" s="298"/>
      <c r="K186" s="283"/>
      <c r="L186" s="299"/>
      <c r="M186" s="300"/>
      <c r="N186" s="301"/>
      <c r="O186" s="302"/>
      <c r="P186" s="302"/>
      <c r="S186" s="305"/>
      <c r="T186" s="305"/>
      <c r="U186" s="306"/>
      <c r="V186" s="305"/>
      <c r="W186" s="305"/>
      <c r="X186" s="305"/>
      <c r="Y186" s="305"/>
      <c r="Z186" s="305"/>
      <c r="AD186" s="296"/>
      <c r="AE186" s="201"/>
      <c r="AF186" s="201"/>
      <c r="AG186" s="201"/>
      <c r="AH186" s="201"/>
      <c r="AI186" s="201"/>
      <c r="AJ186" s="201"/>
      <c r="AK186" s="201"/>
      <c r="AL186" s="201"/>
    </row>
    <row r="187">
      <c r="A187" s="187" t="str">
        <f>IFERROR(__xludf.DUMMYFUNCTION("""COMPUTED_VALUE"""),"Martin Salazar")</f>
        <v>Martin Salazar</v>
      </c>
      <c r="B187" s="188" t="str">
        <f>IFERROR(__xludf.DUMMYFUNCTION("""COMPUTED_VALUE"""),"Juan Florez")</f>
        <v>Juan Florez</v>
      </c>
      <c r="C187" s="236">
        <f>IFERROR(__xludf.DUMMYFUNCTION("""COMPUTED_VALUE"""),45362.0)</f>
        <v>45362</v>
      </c>
      <c r="D187" s="187">
        <f>IFERROR(__xludf.DUMMYFUNCTION("""COMPUTED_VALUE"""),12.0)</f>
        <v>12</v>
      </c>
      <c r="E187" s="187" t="str">
        <f>IFERROR(__xludf.DUMMYFUNCTION("""COMPUTED_VALUE"""),"Voice")</f>
        <v>Voice</v>
      </c>
      <c r="F187" s="187" t="str">
        <f>IFERROR(__xludf.DUMMYFUNCTION("""COMPUTED_VALUE"""),"C942")</f>
        <v>C942</v>
      </c>
      <c r="G187" s="185" t="str">
        <f>IFERROR(__xludf.DUMMYFUNCTION("""COMPUTED_VALUE"""),"juan.florez@buwelo.com")</f>
        <v>juan.florez@buwelo.com</v>
      </c>
      <c r="H187" s="185" t="str">
        <f>IFERROR(__xludf.DUMMYFUNCTION("""COMPUTED_VALUE"""),"ho.jflorez")</f>
        <v>ho.jflorez</v>
      </c>
      <c r="I187" s="185" t="str">
        <f>IFERROR(__xludf.DUMMYFUNCTION("""COMPUTED_VALUE"""),"ATT")</f>
        <v>ATT</v>
      </c>
      <c r="J187" s="298"/>
      <c r="K187" s="283"/>
      <c r="L187" s="299"/>
      <c r="M187" s="300"/>
      <c r="N187" s="301"/>
      <c r="O187" s="302"/>
      <c r="P187" s="302"/>
      <c r="S187" s="305"/>
      <c r="T187" s="305"/>
      <c r="U187" s="306"/>
      <c r="V187" s="305"/>
      <c r="W187" s="305"/>
      <c r="X187" s="305"/>
      <c r="Y187" s="305"/>
      <c r="Z187" s="305"/>
      <c r="AD187" s="296"/>
      <c r="AE187" s="201"/>
      <c r="AF187" s="201"/>
      <c r="AG187" s="201"/>
      <c r="AH187" s="201"/>
      <c r="AI187" s="201"/>
      <c r="AJ187" s="201"/>
      <c r="AK187" s="201"/>
      <c r="AL187" s="201"/>
    </row>
    <row r="188">
      <c r="A188" s="187" t="str">
        <f>IFERROR(__xludf.DUMMYFUNCTION("""COMPUTED_VALUE"""),"Mateo Henao")</f>
        <v>Mateo Henao</v>
      </c>
      <c r="B188" s="188" t="str">
        <f>IFERROR(__xludf.DUMMYFUNCTION("""COMPUTED_VALUE"""),"Juan Arroyave")</f>
        <v>Juan Arroyave</v>
      </c>
      <c r="C188" s="236">
        <f>IFERROR(__xludf.DUMMYFUNCTION("""COMPUTED_VALUE"""),45985.0)</f>
        <v>45985</v>
      </c>
      <c r="D188" s="187">
        <f>IFERROR(__xludf.DUMMYFUNCTION("""COMPUTED_VALUE"""),32.0)</f>
        <v>32</v>
      </c>
      <c r="E188" s="187" t="str">
        <f>IFERROR(__xludf.DUMMYFUNCTION("""COMPUTED_VALUE"""),"Voice")</f>
        <v>Voice</v>
      </c>
      <c r="F188" s="187" t="str">
        <f>IFERROR(__xludf.DUMMYFUNCTION("""COMPUTED_VALUE"""),"C1428")</f>
        <v>C1428</v>
      </c>
      <c r="G188" s="185" t="str">
        <f>IFERROR(__xludf.DUMMYFUNCTION("""COMPUTED_VALUE"""),"juan.arroyave@buwelo.com")</f>
        <v>juan.arroyave@buwelo.com</v>
      </c>
      <c r="H188" s="185" t="str">
        <f>IFERROR(__xludf.DUMMYFUNCTION("""COMPUTED_VALUE"""),"ho.jarroyave")</f>
        <v>ho.jarroyave</v>
      </c>
      <c r="I188" s="185" t="str">
        <f>IFERROR(__xludf.DUMMYFUNCTION("""COMPUTED_VALUE"""),"ATT")</f>
        <v>ATT</v>
      </c>
      <c r="J188" s="298"/>
      <c r="K188" s="283"/>
      <c r="L188" s="299"/>
      <c r="M188" s="300"/>
      <c r="N188" s="301"/>
      <c r="O188" s="302"/>
      <c r="P188" s="302"/>
      <c r="S188" s="305"/>
      <c r="T188" s="305"/>
      <c r="U188" s="306"/>
      <c r="V188" s="305"/>
      <c r="W188" s="305"/>
      <c r="X188" s="305"/>
      <c r="Y188" s="305"/>
      <c r="Z188" s="305"/>
      <c r="AD188" s="296"/>
      <c r="AE188" s="201"/>
      <c r="AF188" s="201"/>
      <c r="AG188" s="201"/>
      <c r="AH188" s="201"/>
      <c r="AI188" s="201"/>
      <c r="AJ188" s="201"/>
      <c r="AK188" s="201"/>
      <c r="AL188" s="201"/>
    </row>
    <row r="189">
      <c r="A189" s="187" t="str">
        <f>IFERROR(__xludf.DUMMYFUNCTION("""COMPUTED_VALUE"""),"Daniel Bustamante")</f>
        <v>Daniel Bustamante</v>
      </c>
      <c r="B189" s="188" t="str">
        <f>IFERROR(__xludf.DUMMYFUNCTION("""COMPUTED_VALUE"""),"Andres Lopez")</f>
        <v>Andres Lopez</v>
      </c>
      <c r="C189" s="236">
        <f>IFERROR(__xludf.DUMMYFUNCTION("""COMPUTED_VALUE"""),46041.0)</f>
        <v>46041</v>
      </c>
      <c r="D189" s="187">
        <f>IFERROR(__xludf.DUMMYFUNCTION("""COMPUTED_VALUE"""),34.0)</f>
        <v>34</v>
      </c>
      <c r="E189" s="187" t="str">
        <f>IFERROR(__xludf.DUMMYFUNCTION("""COMPUTED_VALUE"""),"Voice")</f>
        <v>Voice</v>
      </c>
      <c r="F189" s="187" t="str">
        <f>IFERROR(__xludf.DUMMYFUNCTION("""COMPUTED_VALUE"""),"C1482")</f>
        <v>C1482</v>
      </c>
      <c r="G189" s="185" t="str">
        <f>IFERROR(__xludf.DUMMYFUNCTION("""COMPUTED_VALUE"""),"andres.lopez@buwelo.com")</f>
        <v>andres.lopez@buwelo.com</v>
      </c>
      <c r="H189" s="185" t="str">
        <f>IFERROR(__xludf.DUMMYFUNCTION("""COMPUTED_VALUE"""),"ho.alopez")</f>
        <v>ho.alopez</v>
      </c>
      <c r="I189" s="185" t="str">
        <f>IFERROR(__xludf.DUMMYFUNCTION("""COMPUTED_VALUE"""),"ATT")</f>
        <v>ATT</v>
      </c>
      <c r="J189" s="298"/>
      <c r="K189" s="283"/>
      <c r="L189" s="299"/>
      <c r="M189" s="300"/>
      <c r="N189" s="301"/>
      <c r="O189" s="302"/>
      <c r="P189" s="302"/>
      <c r="S189" s="305"/>
      <c r="T189" s="305"/>
      <c r="U189" s="306"/>
      <c r="V189" s="305"/>
      <c r="W189" s="305"/>
      <c r="X189" s="305"/>
      <c r="Y189" s="305"/>
      <c r="Z189" s="305"/>
      <c r="AD189" s="296"/>
      <c r="AE189" s="201"/>
      <c r="AF189" s="201"/>
      <c r="AG189" s="201"/>
      <c r="AH189" s="201"/>
      <c r="AI189" s="201"/>
      <c r="AJ189" s="201"/>
      <c r="AK189" s="201"/>
      <c r="AL189" s="201"/>
    </row>
    <row r="190">
      <c r="A190" s="187" t="str">
        <f>IFERROR(__xludf.DUMMYFUNCTION("""COMPUTED_VALUE"""),"Bryan Galvis")</f>
        <v>Bryan Galvis</v>
      </c>
      <c r="B190" s="188" t="str">
        <f>IFERROR(__xludf.DUMMYFUNCTION("""COMPUTED_VALUE"""),"Juan Gutierrez")</f>
        <v>Juan Gutierrez</v>
      </c>
      <c r="C190" s="236">
        <f>IFERROR(__xludf.DUMMYFUNCTION("""COMPUTED_VALUE"""),45845.0)</f>
        <v>45845</v>
      </c>
      <c r="D190" s="187">
        <f>IFERROR(__xludf.DUMMYFUNCTION("""COMPUTED_VALUE"""),27.0)</f>
        <v>27</v>
      </c>
      <c r="E190" s="187" t="str">
        <f>IFERROR(__xludf.DUMMYFUNCTION("""COMPUTED_VALUE"""),"Tickets")</f>
        <v>Tickets</v>
      </c>
      <c r="F190" s="187" t="str">
        <f>IFERROR(__xludf.DUMMYFUNCTION("""COMPUTED_VALUE"""),"C1271")</f>
        <v>C1271</v>
      </c>
      <c r="G190" s="185" t="str">
        <f>IFERROR(__xludf.DUMMYFUNCTION("""COMPUTED_VALUE"""),"juan.gutierrez@buwelo.com")</f>
        <v>juan.gutierrez@buwelo.com</v>
      </c>
      <c r="H190" s="185" t="str">
        <f>IFERROR(__xludf.DUMMYFUNCTION("""COMPUTED_VALUE"""),"ho.jgutierrez")</f>
        <v>ho.jgutierrez</v>
      </c>
      <c r="I190" s="185" t="str">
        <f>IFERROR(__xludf.DUMMYFUNCTION("""COMPUTED_VALUE"""),"ATT")</f>
        <v>ATT</v>
      </c>
      <c r="J190" s="298"/>
      <c r="K190" s="283"/>
      <c r="L190" s="299"/>
      <c r="M190" s="300"/>
      <c r="N190" s="301"/>
      <c r="O190" s="302"/>
      <c r="P190" s="302"/>
      <c r="S190" s="305"/>
      <c r="T190" s="305"/>
      <c r="U190" s="306"/>
      <c r="V190" s="305"/>
      <c r="W190" s="305"/>
      <c r="X190" s="305"/>
      <c r="Y190" s="305"/>
      <c r="Z190" s="305"/>
      <c r="AD190" s="296"/>
      <c r="AE190" s="201"/>
      <c r="AF190" s="201"/>
      <c r="AG190" s="201"/>
      <c r="AH190" s="201"/>
      <c r="AI190" s="201"/>
      <c r="AJ190" s="201"/>
      <c r="AK190" s="201"/>
      <c r="AL190" s="201"/>
    </row>
    <row r="191">
      <c r="A191" s="187" t="str">
        <f>IFERROR(__xludf.DUMMYFUNCTION("""COMPUTED_VALUE"""),"Luis Vidal")</f>
        <v>Luis Vidal</v>
      </c>
      <c r="B191" s="188" t="str">
        <f>IFERROR(__xludf.DUMMYFUNCTION("""COMPUTED_VALUE"""),"Daniel Durango")</f>
        <v>Daniel Durango</v>
      </c>
      <c r="C191" s="236">
        <f>IFERROR(__xludf.DUMMYFUNCTION("""COMPUTED_VALUE"""),44932.0)</f>
        <v>44932</v>
      </c>
      <c r="D191" s="216">
        <f>IFERROR(__xludf.DUMMYFUNCTION("""COMPUTED_VALUE"""),1.0)</f>
        <v>1</v>
      </c>
      <c r="E191" s="187" t="str">
        <f>IFERROR(__xludf.DUMMYFUNCTION("""COMPUTED_VALUE"""),"Tickets")</f>
        <v>Tickets</v>
      </c>
      <c r="F191" s="187" t="str">
        <f>IFERROR(__xludf.DUMMYFUNCTION("""COMPUTED_VALUE"""),"C308")</f>
        <v>C308</v>
      </c>
      <c r="G191" s="185" t="str">
        <f>IFERROR(__xludf.DUMMYFUNCTION("""COMPUTED_VALUE"""),"daniel.durango@buwelo.com")</f>
        <v>daniel.durango@buwelo.com</v>
      </c>
      <c r="H191" s="185" t="str">
        <f>IFERROR(__xludf.DUMMYFUNCTION("""COMPUTED_VALUE"""),"ho.ddurango")</f>
        <v>ho.ddurango</v>
      </c>
      <c r="I191" s="185" t="str">
        <f>IFERROR(__xludf.DUMMYFUNCTION("""COMPUTED_VALUE"""),"ATT")</f>
        <v>ATT</v>
      </c>
      <c r="J191" s="298"/>
      <c r="K191" s="283"/>
      <c r="L191" s="299"/>
      <c r="M191" s="300"/>
      <c r="N191" s="301"/>
      <c r="O191" s="302"/>
      <c r="P191" s="302"/>
      <c r="S191" s="305"/>
      <c r="T191" s="305"/>
      <c r="U191" s="306"/>
      <c r="V191" s="305"/>
      <c r="W191" s="305"/>
      <c r="X191" s="305"/>
      <c r="Y191" s="305"/>
      <c r="Z191" s="305"/>
      <c r="AD191" s="296"/>
      <c r="AE191" s="201"/>
      <c r="AF191" s="201"/>
      <c r="AG191" s="201"/>
      <c r="AH191" s="201"/>
      <c r="AI191" s="201"/>
      <c r="AJ191" s="201"/>
      <c r="AK191" s="201"/>
      <c r="AL191" s="201"/>
    </row>
    <row r="192">
      <c r="A192" s="187" t="str">
        <f>IFERROR(__xludf.DUMMYFUNCTION("""COMPUTED_VALUE"""),"Daniel Bustamante")</f>
        <v>Daniel Bustamante</v>
      </c>
      <c r="B192" s="188" t="str">
        <f>IFERROR(__xludf.DUMMYFUNCTION("""COMPUTED_VALUE"""),"Santiago Moreno")</f>
        <v>Santiago Moreno</v>
      </c>
      <c r="C192" s="236">
        <f>IFERROR(__xludf.DUMMYFUNCTION("""COMPUTED_VALUE"""),45894.0)</f>
        <v>45894</v>
      </c>
      <c r="D192" s="187">
        <f>IFERROR(__xludf.DUMMYFUNCTION("""COMPUTED_VALUE"""),29.0)</f>
        <v>29</v>
      </c>
      <c r="E192" s="187" t="str">
        <f>IFERROR(__xludf.DUMMYFUNCTION("""COMPUTED_VALUE"""),"Voice")</f>
        <v>Voice</v>
      </c>
      <c r="F192" s="187" t="str">
        <f>IFERROR(__xludf.DUMMYFUNCTION("""COMPUTED_VALUE"""),"C1323")</f>
        <v>C1323</v>
      </c>
      <c r="G192" s="185" t="str">
        <f>IFERROR(__xludf.DUMMYFUNCTION("""COMPUTED_VALUE"""),"santiago.moreno@buwelo.com")</f>
        <v>santiago.moreno@buwelo.com</v>
      </c>
      <c r="H192" s="185" t="str">
        <f>IFERROR(__xludf.DUMMYFUNCTION("""COMPUTED_VALUE"""),"ho.smoreno")</f>
        <v>ho.smoreno</v>
      </c>
      <c r="I192" s="185" t="str">
        <f>IFERROR(__xludf.DUMMYFUNCTION("""COMPUTED_VALUE"""),"ATT")</f>
        <v>ATT</v>
      </c>
      <c r="J192" s="298"/>
      <c r="K192" s="283"/>
      <c r="L192" s="299"/>
      <c r="M192" s="300"/>
      <c r="N192" s="301"/>
      <c r="O192" s="302"/>
      <c r="P192" s="302"/>
      <c r="S192" s="305"/>
      <c r="T192" s="305"/>
      <c r="U192" s="306"/>
      <c r="V192" s="305"/>
      <c r="W192" s="305"/>
      <c r="X192" s="305"/>
      <c r="Y192" s="305"/>
      <c r="Z192" s="305"/>
      <c r="AD192" s="296"/>
      <c r="AE192" s="201"/>
      <c r="AF192" s="201"/>
      <c r="AG192" s="201"/>
      <c r="AH192" s="201"/>
      <c r="AI192" s="201"/>
      <c r="AJ192" s="201"/>
      <c r="AK192" s="201"/>
      <c r="AL192" s="201"/>
    </row>
    <row r="193">
      <c r="A193" s="187" t="str">
        <f>IFERROR(__xludf.DUMMYFUNCTION("""COMPUTED_VALUE"""),"Daniel Bustamante")</f>
        <v>Daniel Bustamante</v>
      </c>
      <c r="B193" s="188" t="str">
        <f>IFERROR(__xludf.DUMMYFUNCTION("""COMPUTED_VALUE"""),"Maicol Vasco")</f>
        <v>Maicol Vasco</v>
      </c>
      <c r="C193" s="236">
        <f>IFERROR(__xludf.DUMMYFUNCTION("""COMPUTED_VALUE"""),45936.0)</f>
        <v>45936</v>
      </c>
      <c r="D193" s="187">
        <f>IFERROR(__xludf.DUMMYFUNCTION("""COMPUTED_VALUE"""),31.0)</f>
        <v>31</v>
      </c>
      <c r="E193" s="187" t="str">
        <f>IFERROR(__xludf.DUMMYFUNCTION("""COMPUTED_VALUE"""),"Voice")</f>
        <v>Voice</v>
      </c>
      <c r="F193" s="187" t="str">
        <f>IFERROR(__xludf.DUMMYFUNCTION("""COMPUTED_VALUE"""),"C1367")</f>
        <v>C1367</v>
      </c>
      <c r="G193" s="185" t="str">
        <f>IFERROR(__xludf.DUMMYFUNCTION("""COMPUTED_VALUE"""),"maicol.vasco@buwelo.com")</f>
        <v>maicol.vasco@buwelo.com</v>
      </c>
      <c r="H193" s="185" t="str">
        <f>IFERROR(__xludf.DUMMYFUNCTION("""COMPUTED_VALUE"""),"ho.mvasco")</f>
        <v>ho.mvasco</v>
      </c>
      <c r="I193" s="185" t="str">
        <f>IFERROR(__xludf.DUMMYFUNCTION("""COMPUTED_VALUE"""),"ATT")</f>
        <v>ATT</v>
      </c>
      <c r="J193" s="298"/>
      <c r="K193" s="283"/>
      <c r="L193" s="299"/>
      <c r="M193" s="300"/>
      <c r="N193" s="301"/>
      <c r="O193" s="302"/>
      <c r="P193" s="302"/>
      <c r="S193" s="305"/>
      <c r="T193" s="305"/>
      <c r="U193" s="306"/>
      <c r="V193" s="305"/>
      <c r="W193" s="305"/>
      <c r="X193" s="305"/>
      <c r="Y193" s="305"/>
      <c r="Z193" s="305"/>
      <c r="AD193" s="296"/>
      <c r="AE193" s="201"/>
      <c r="AF193" s="201"/>
      <c r="AG193" s="201"/>
      <c r="AH193" s="201"/>
      <c r="AI193" s="201"/>
      <c r="AJ193" s="201"/>
      <c r="AK193" s="201"/>
      <c r="AL193" s="201"/>
    </row>
    <row r="194">
      <c r="A194" s="187" t="str">
        <f>IFERROR(__xludf.DUMMYFUNCTION("""COMPUTED_VALUE"""),"Daniel Bustamante")</f>
        <v>Daniel Bustamante</v>
      </c>
      <c r="B194" s="188" t="str">
        <f>IFERROR(__xludf.DUMMYFUNCTION("""COMPUTED_VALUE"""),"Karen Ducuara")</f>
        <v>Karen Ducuara</v>
      </c>
      <c r="C194" s="236">
        <f>IFERROR(__xludf.DUMMYFUNCTION("""COMPUTED_VALUE"""),45859.0)</f>
        <v>45859</v>
      </c>
      <c r="D194" s="187">
        <f>IFERROR(__xludf.DUMMYFUNCTION("""COMPUTED_VALUE"""),28.0)</f>
        <v>28</v>
      </c>
      <c r="E194" s="187" t="str">
        <f>IFERROR(__xludf.DUMMYFUNCTION("""COMPUTED_VALUE"""),"Voice")</f>
        <v>Voice</v>
      </c>
      <c r="F194" s="187" t="str">
        <f>IFERROR(__xludf.DUMMYFUNCTION("""COMPUTED_VALUE"""),"C1291")</f>
        <v>C1291</v>
      </c>
      <c r="G194" s="185" t="str">
        <f>IFERROR(__xludf.DUMMYFUNCTION("""COMPUTED_VALUE"""),"karen.ducuara@buwelo.com")</f>
        <v>karen.ducuara@buwelo.com</v>
      </c>
      <c r="H194" s="185" t="str">
        <f>IFERROR(__xludf.DUMMYFUNCTION("""COMPUTED_VALUE"""),"ho.kducuara")</f>
        <v>ho.kducuara</v>
      </c>
      <c r="I194" s="185" t="str">
        <f>IFERROR(__xludf.DUMMYFUNCTION("""COMPUTED_VALUE"""),"ATT")</f>
        <v>ATT</v>
      </c>
      <c r="J194" s="298"/>
      <c r="K194" s="283"/>
      <c r="L194" s="299"/>
      <c r="M194" s="300"/>
      <c r="N194" s="301"/>
      <c r="O194" s="302"/>
      <c r="P194" s="302"/>
      <c r="S194" s="305"/>
      <c r="T194" s="305"/>
      <c r="U194" s="306"/>
      <c r="V194" s="305"/>
      <c r="W194" s="305"/>
      <c r="X194" s="305"/>
      <c r="Y194" s="305"/>
      <c r="Z194" s="305"/>
      <c r="AD194" s="296"/>
      <c r="AE194" s="201"/>
      <c r="AF194" s="201"/>
      <c r="AG194" s="201"/>
      <c r="AH194" s="201"/>
      <c r="AI194" s="201"/>
      <c r="AJ194" s="201"/>
      <c r="AK194" s="201"/>
      <c r="AL194" s="201"/>
    </row>
    <row r="195">
      <c r="A195" s="187" t="str">
        <f>IFERROR(__xludf.DUMMYFUNCTION("""COMPUTED_VALUE"""),"Andra Daza")</f>
        <v>Andra Daza</v>
      </c>
      <c r="B195" s="188" t="str">
        <f>IFERROR(__xludf.DUMMYFUNCTION("""COMPUTED_VALUE"""),"Yerson Hernandez")</f>
        <v>Yerson Hernandez</v>
      </c>
      <c r="C195" s="236">
        <f>IFERROR(__xludf.DUMMYFUNCTION("""COMPUTED_VALUE"""),46014.0)</f>
        <v>46014</v>
      </c>
      <c r="D195" s="187">
        <f>IFERROR(__xludf.DUMMYFUNCTION("""COMPUTED_VALUE"""),33.0)</f>
        <v>33</v>
      </c>
      <c r="E195" s="187" t="str">
        <f>IFERROR(__xludf.DUMMYFUNCTION("""COMPUTED_VALUE"""),"Voice")</f>
        <v>Voice</v>
      </c>
      <c r="F195" s="187" t="str">
        <f>IFERROR(__xludf.DUMMYFUNCTION("""COMPUTED_VALUE"""),"C1472")</f>
        <v>C1472</v>
      </c>
      <c r="G195" s="185" t="str">
        <f>IFERROR(__xludf.DUMMYFUNCTION("""COMPUTED_VALUE"""),"yerson.hernandez@buwelo.com")</f>
        <v>yerson.hernandez@buwelo.com</v>
      </c>
      <c r="H195" s="185" t="str">
        <f>IFERROR(__xludf.DUMMYFUNCTION("""COMPUTED_VALUE"""),"ho.yhernandez")</f>
        <v>ho.yhernandez</v>
      </c>
      <c r="I195" s="185" t="str">
        <f>IFERROR(__xludf.DUMMYFUNCTION("""COMPUTED_VALUE"""),"ATT")</f>
        <v>ATT</v>
      </c>
      <c r="J195" s="298"/>
      <c r="K195" s="283"/>
      <c r="L195" s="299"/>
      <c r="M195" s="300"/>
      <c r="N195" s="301"/>
      <c r="O195" s="302"/>
      <c r="P195" s="302"/>
      <c r="S195" s="305"/>
      <c r="T195" s="305"/>
      <c r="U195" s="306"/>
      <c r="V195" s="305"/>
      <c r="W195" s="305"/>
      <c r="X195" s="305"/>
      <c r="Y195" s="305"/>
      <c r="Z195" s="305"/>
      <c r="AD195" s="296"/>
      <c r="AE195" s="201"/>
      <c r="AF195" s="201"/>
      <c r="AG195" s="201"/>
      <c r="AH195" s="201"/>
      <c r="AI195" s="201"/>
      <c r="AJ195" s="201"/>
      <c r="AK195" s="201"/>
      <c r="AL195" s="201"/>
    </row>
    <row r="196">
      <c r="A196" s="187" t="str">
        <f>IFERROR(__xludf.DUMMYFUNCTION("""COMPUTED_VALUE"""),"Andra Daza")</f>
        <v>Andra Daza</v>
      </c>
      <c r="B196" s="188" t="str">
        <f>IFERROR(__xludf.DUMMYFUNCTION("""COMPUTED_VALUE"""),"Tomas Delgado")</f>
        <v>Tomas Delgado</v>
      </c>
      <c r="C196" s="236">
        <f>IFERROR(__xludf.DUMMYFUNCTION("""COMPUTED_VALUE"""),46014.0)</f>
        <v>46014</v>
      </c>
      <c r="D196" s="187">
        <f>IFERROR(__xludf.DUMMYFUNCTION("""COMPUTED_VALUE"""),33.0)</f>
        <v>33</v>
      </c>
      <c r="E196" s="187" t="str">
        <f>IFERROR(__xludf.DUMMYFUNCTION("""COMPUTED_VALUE"""),"Voice")</f>
        <v>Voice</v>
      </c>
      <c r="F196" s="187" t="str">
        <f>IFERROR(__xludf.DUMMYFUNCTION("""COMPUTED_VALUE"""),"C1466")</f>
        <v>C1466</v>
      </c>
      <c r="G196" s="185" t="str">
        <f>IFERROR(__xludf.DUMMYFUNCTION("""COMPUTED_VALUE"""),"tomas.delgado@buwelo.com")</f>
        <v>tomas.delgado@buwelo.com</v>
      </c>
      <c r="H196" s="185" t="str">
        <f>IFERROR(__xludf.DUMMYFUNCTION("""COMPUTED_VALUE"""),"ho.tdelgado")</f>
        <v>ho.tdelgado</v>
      </c>
      <c r="I196" s="185" t="str">
        <f>IFERROR(__xludf.DUMMYFUNCTION("""COMPUTED_VALUE"""),"ATT")</f>
        <v>ATT</v>
      </c>
      <c r="J196" s="298"/>
      <c r="K196" s="283"/>
      <c r="L196" s="299"/>
      <c r="M196" s="300"/>
      <c r="N196" s="301"/>
      <c r="O196" s="302"/>
      <c r="P196" s="302"/>
      <c r="S196" s="305"/>
      <c r="T196" s="305"/>
      <c r="U196" s="306"/>
      <c r="V196" s="305"/>
      <c r="W196" s="305"/>
      <c r="X196" s="305"/>
      <c r="Y196" s="305"/>
      <c r="Z196" s="305"/>
      <c r="AD196" s="296"/>
      <c r="AE196" s="201"/>
      <c r="AF196" s="201"/>
      <c r="AG196" s="201"/>
      <c r="AH196" s="201"/>
      <c r="AI196" s="201"/>
      <c r="AJ196" s="201"/>
      <c r="AK196" s="201"/>
      <c r="AL196" s="201"/>
    </row>
    <row r="197">
      <c r="A197" s="187" t="str">
        <f>IFERROR(__xludf.DUMMYFUNCTION("""COMPUTED_VALUE"""),"Andra Daza")</f>
        <v>Andra Daza</v>
      </c>
      <c r="B197" s="188" t="str">
        <f>IFERROR(__xludf.DUMMYFUNCTION("""COMPUTED_VALUE"""),"Johann Navarro")</f>
        <v>Johann Navarro</v>
      </c>
      <c r="C197" s="236">
        <f>IFERROR(__xludf.DUMMYFUNCTION("""COMPUTED_VALUE"""),46041.0)</f>
        <v>46041</v>
      </c>
      <c r="D197" s="187">
        <f>IFERROR(__xludf.DUMMYFUNCTION("""COMPUTED_VALUE"""),34.0)</f>
        <v>34</v>
      </c>
      <c r="E197" s="187" t="str">
        <f>IFERROR(__xludf.DUMMYFUNCTION("""COMPUTED_VALUE"""),"Voice")</f>
        <v>Voice</v>
      </c>
      <c r="F197" s="187" t="str">
        <f>IFERROR(__xludf.DUMMYFUNCTION("""COMPUTED_VALUE"""),"C1489")</f>
        <v>C1489</v>
      </c>
      <c r="G197" s="185" t="str">
        <f>IFERROR(__xludf.DUMMYFUNCTION("""COMPUTED_VALUE"""),"Johann Sebastian Navarro Guzman")</f>
        <v>Johann Sebastian Navarro Guzman</v>
      </c>
      <c r="H197" s="185" t="str">
        <f>IFERROR(__xludf.DUMMYFUNCTION("""COMPUTED_VALUE"""),"ho.jnavarro")</f>
        <v>ho.jnavarro</v>
      </c>
      <c r="I197" s="185" t="str">
        <f>IFERROR(__xludf.DUMMYFUNCTION("""COMPUTED_VALUE"""),"ATT")</f>
        <v>ATT</v>
      </c>
      <c r="J197" s="298"/>
      <c r="K197" s="283"/>
      <c r="L197" s="299"/>
      <c r="M197" s="300"/>
      <c r="N197" s="301"/>
      <c r="O197" s="302"/>
      <c r="P197" s="302"/>
      <c r="S197" s="305"/>
      <c r="T197" s="305"/>
      <c r="U197" s="306"/>
      <c r="V197" s="305"/>
      <c r="W197" s="305"/>
      <c r="X197" s="305"/>
      <c r="Y197" s="305"/>
      <c r="Z197" s="305"/>
      <c r="AD197" s="296"/>
      <c r="AE197" s="201"/>
      <c r="AF197" s="201"/>
      <c r="AG197" s="201"/>
      <c r="AH197" s="201"/>
      <c r="AI197" s="201"/>
      <c r="AJ197" s="201"/>
      <c r="AK197" s="201"/>
      <c r="AL197" s="201"/>
    </row>
    <row r="198">
      <c r="A198" s="187" t="str">
        <f>IFERROR(__xludf.DUMMYFUNCTION("""COMPUTED_VALUE"""),"Mateo Henao")</f>
        <v>Mateo Henao</v>
      </c>
      <c r="B198" s="188" t="str">
        <f>IFERROR(__xludf.DUMMYFUNCTION("""COMPUTED_VALUE"""),"Valentina Medina")</f>
        <v>Valentina Medina</v>
      </c>
      <c r="C198" s="236">
        <f>IFERROR(__xludf.DUMMYFUNCTION("""COMPUTED_VALUE"""),45936.0)</f>
        <v>45936</v>
      </c>
      <c r="D198" s="216">
        <f>IFERROR(__xludf.DUMMYFUNCTION("""COMPUTED_VALUE"""),31.0)</f>
        <v>31</v>
      </c>
      <c r="E198" s="187" t="str">
        <f>IFERROR(__xludf.DUMMYFUNCTION("""COMPUTED_VALUE"""),"Voice")</f>
        <v>Voice</v>
      </c>
      <c r="F198" s="187" t="str">
        <f>IFERROR(__xludf.DUMMYFUNCTION("""COMPUTED_VALUE"""),"C1372")</f>
        <v>C1372</v>
      </c>
      <c r="G198" s="185" t="str">
        <f>IFERROR(__xludf.DUMMYFUNCTION("""COMPUTED_VALUE"""),"valentina.medina@buwelo.com")</f>
        <v>valentina.medina@buwelo.com</v>
      </c>
      <c r="H198" s="185" t="str">
        <f>IFERROR(__xludf.DUMMYFUNCTION("""COMPUTED_VALUE"""),"ho.vamedina")</f>
        <v>ho.vamedina</v>
      </c>
      <c r="I198" s="185" t="str">
        <f>IFERROR(__xludf.DUMMYFUNCTION("""COMPUTED_VALUE"""),"ATT")</f>
        <v>ATT</v>
      </c>
      <c r="J198" s="298"/>
      <c r="K198" s="283"/>
      <c r="L198" s="299"/>
      <c r="M198" s="300"/>
      <c r="N198" s="301"/>
      <c r="O198" s="302"/>
      <c r="P198" s="302"/>
      <c r="S198" s="305"/>
      <c r="T198" s="305"/>
      <c r="U198" s="306"/>
      <c r="V198" s="305"/>
      <c r="W198" s="305"/>
      <c r="X198" s="305"/>
      <c r="Y198" s="305"/>
      <c r="Z198" s="305"/>
      <c r="AD198" s="296"/>
      <c r="AE198" s="201"/>
      <c r="AF198" s="201"/>
      <c r="AG198" s="201"/>
      <c r="AH198" s="201"/>
      <c r="AI198" s="201"/>
      <c r="AJ198" s="201"/>
      <c r="AK198" s="201"/>
      <c r="AL198" s="201"/>
    </row>
    <row r="199">
      <c r="A199" s="187" t="str">
        <f>IFERROR(__xludf.DUMMYFUNCTION("""COMPUTED_VALUE"""),"Martin Salazar")</f>
        <v>Martin Salazar</v>
      </c>
      <c r="B199" s="188" t="str">
        <f>IFERROR(__xludf.DUMMYFUNCTION("""COMPUTED_VALUE"""),"Edda Mitchell")</f>
        <v>Edda Mitchell</v>
      </c>
      <c r="C199" s="236">
        <f>IFERROR(__xludf.DUMMYFUNCTION("""COMPUTED_VALUE"""),46041.0)</f>
        <v>46041</v>
      </c>
      <c r="D199" s="216">
        <f>IFERROR(__xludf.DUMMYFUNCTION("""COMPUTED_VALUE"""),34.0)</f>
        <v>34</v>
      </c>
      <c r="E199" s="187" t="str">
        <f>IFERROR(__xludf.DUMMYFUNCTION("""COMPUTED_VALUE"""),"Voice")</f>
        <v>Voice</v>
      </c>
      <c r="F199" s="187" t="str">
        <f>IFERROR(__xludf.DUMMYFUNCTION("""COMPUTED_VALUE"""),"C1488")</f>
        <v>C1488</v>
      </c>
      <c r="G199" s="185" t="str">
        <f>IFERROR(__xludf.DUMMYFUNCTION("""COMPUTED_VALUE"""),"Edda Eugenia Mitchell Newball")</f>
        <v>Edda Eugenia Mitchell Newball</v>
      </c>
      <c r="H199" s="185" t="str">
        <f>IFERROR(__xludf.DUMMYFUNCTION("""COMPUTED_VALUE"""),"ho.emitchell")</f>
        <v>ho.emitchell</v>
      </c>
      <c r="I199" s="185" t="str">
        <f>IFERROR(__xludf.DUMMYFUNCTION("""COMPUTED_VALUE"""),"ATT")</f>
        <v>ATT</v>
      </c>
      <c r="J199" s="298"/>
      <c r="K199" s="283"/>
      <c r="L199" s="299"/>
      <c r="M199" s="300"/>
      <c r="N199" s="301"/>
      <c r="O199" s="302"/>
      <c r="P199" s="302"/>
      <c r="S199" s="305"/>
      <c r="T199" s="305"/>
      <c r="U199" s="306"/>
      <c r="V199" s="305"/>
      <c r="W199" s="305"/>
      <c r="X199" s="305"/>
      <c r="Y199" s="305"/>
      <c r="Z199" s="305"/>
      <c r="AD199" s="296"/>
      <c r="AE199" s="201"/>
      <c r="AF199" s="201"/>
      <c r="AG199" s="201"/>
      <c r="AH199" s="201"/>
      <c r="AI199" s="201"/>
      <c r="AJ199" s="201"/>
      <c r="AK199" s="201"/>
      <c r="AL199" s="201"/>
    </row>
    <row r="200">
      <c r="A200" s="187" t="str">
        <f>IFERROR(__xludf.DUMMYFUNCTION("""COMPUTED_VALUE"""),"Mateo Henao")</f>
        <v>Mateo Henao</v>
      </c>
      <c r="B200" s="188" t="str">
        <f>IFERROR(__xludf.DUMMYFUNCTION("""COMPUTED_VALUE"""),"David Echandia")</f>
        <v>David Echandia</v>
      </c>
      <c r="C200" s="236">
        <f>IFERROR(__xludf.DUMMYFUNCTION("""COMPUTED_VALUE"""),46041.0)</f>
        <v>46041</v>
      </c>
      <c r="D200" s="187">
        <f>IFERROR(__xludf.DUMMYFUNCTION("""COMPUTED_VALUE"""),34.0)</f>
        <v>34</v>
      </c>
      <c r="E200" s="187" t="str">
        <f>IFERROR(__xludf.DUMMYFUNCTION("""COMPUTED_VALUE"""),"Voice")</f>
        <v>Voice</v>
      </c>
      <c r="F200" s="187" t="str">
        <f>IFERROR(__xludf.DUMMYFUNCTION("""COMPUTED_VALUE"""),"C1490")</f>
        <v>C1490</v>
      </c>
      <c r="G200" s="185" t="str">
        <f>IFERROR(__xludf.DUMMYFUNCTION("""COMPUTED_VALUE"""),"David Echandia Piedrahita")</f>
        <v>David Echandia Piedrahita</v>
      </c>
      <c r="H200" s="185" t="str">
        <f>IFERROR(__xludf.DUMMYFUNCTION("""COMPUTED_VALUE"""),"ho.dechandia")</f>
        <v>ho.dechandia</v>
      </c>
      <c r="I200" s="185" t="str">
        <f>IFERROR(__xludf.DUMMYFUNCTION("""COMPUTED_VALUE"""),"ATT")</f>
        <v>ATT</v>
      </c>
      <c r="J200" s="298"/>
      <c r="K200" s="283"/>
      <c r="L200" s="299"/>
      <c r="M200" s="300"/>
      <c r="N200" s="301"/>
      <c r="O200" s="302"/>
      <c r="P200" s="302"/>
      <c r="S200" s="305"/>
      <c r="T200" s="305"/>
      <c r="U200" s="306"/>
      <c r="V200" s="305"/>
      <c r="W200" s="305"/>
      <c r="X200" s="305"/>
      <c r="Y200" s="305"/>
      <c r="Z200" s="305"/>
      <c r="AD200" s="296"/>
      <c r="AE200" s="201"/>
      <c r="AF200" s="201"/>
      <c r="AG200" s="201"/>
      <c r="AH200" s="201"/>
      <c r="AI200" s="201"/>
      <c r="AJ200" s="201"/>
      <c r="AK200" s="201"/>
      <c r="AL200" s="201"/>
    </row>
    <row r="201">
      <c r="A201" s="187" t="str">
        <f>IFERROR(__xludf.DUMMYFUNCTION("""COMPUTED_VALUE"""),"Andra Daza")</f>
        <v>Andra Daza</v>
      </c>
      <c r="B201" s="188" t="str">
        <f>IFERROR(__xludf.DUMMYFUNCTION("""COMPUTED_VALUE"""),"Jhon Mejia")</f>
        <v>Jhon Mejia</v>
      </c>
      <c r="C201" s="236">
        <f>IFERROR(__xludf.DUMMYFUNCTION("""COMPUTED_VALUE"""),46014.0)</f>
        <v>46014</v>
      </c>
      <c r="D201" s="216">
        <f>IFERROR(__xludf.DUMMYFUNCTION("""COMPUTED_VALUE"""),33.0)</f>
        <v>33</v>
      </c>
      <c r="E201" s="187" t="str">
        <f>IFERROR(__xludf.DUMMYFUNCTION("""COMPUTED_VALUE"""),"Voice")</f>
        <v>Voice</v>
      </c>
      <c r="F201" s="187" t="str">
        <f>IFERROR(__xludf.DUMMYFUNCTION("""COMPUTED_VALUE"""),"C1475")</f>
        <v>C1475</v>
      </c>
      <c r="G201" s="185" t="str">
        <f>IFERROR(__xludf.DUMMYFUNCTION("""COMPUTED_VALUE"""),"jhon.mejia@buwelo.com")</f>
        <v>jhon.mejia@buwelo.com</v>
      </c>
      <c r="H201" s="185" t="str">
        <f>IFERROR(__xludf.DUMMYFUNCTION("""COMPUTED_VALUE"""),"ho.jmejia")</f>
        <v>ho.jmejia</v>
      </c>
      <c r="I201" s="185" t="str">
        <f>IFERROR(__xludf.DUMMYFUNCTION("""COMPUTED_VALUE"""),"ATT")</f>
        <v>ATT</v>
      </c>
      <c r="J201" s="298"/>
      <c r="K201" s="283"/>
      <c r="L201" s="299"/>
      <c r="M201" s="300"/>
      <c r="N201" s="301"/>
      <c r="O201" s="302"/>
      <c r="P201" s="302"/>
      <c r="S201" s="305"/>
      <c r="T201" s="305"/>
      <c r="U201" s="306"/>
      <c r="V201" s="305"/>
      <c r="W201" s="305"/>
      <c r="X201" s="305"/>
      <c r="Y201" s="305"/>
      <c r="Z201" s="305"/>
      <c r="AD201" s="296"/>
      <c r="AE201" s="201"/>
      <c r="AF201" s="201"/>
      <c r="AG201" s="201"/>
      <c r="AH201" s="201"/>
      <c r="AI201" s="201"/>
      <c r="AJ201" s="201"/>
      <c r="AK201" s="201"/>
      <c r="AL201" s="201"/>
    </row>
    <row r="202">
      <c r="A202" s="187" t="str">
        <f>IFERROR(__xludf.DUMMYFUNCTION("""COMPUTED_VALUE"""),"Training")</f>
        <v>Training</v>
      </c>
      <c r="B202" s="188" t="str">
        <f>IFERROR(__xludf.DUMMYFUNCTION("""COMPUTED_VALUE"""),"Mateo Perez")</f>
        <v>Mateo Perez</v>
      </c>
      <c r="C202" s="236"/>
      <c r="D202" s="187">
        <f>IFERROR(__xludf.DUMMYFUNCTION("""COMPUTED_VALUE"""),34.0)</f>
        <v>34</v>
      </c>
      <c r="E202" s="187" t="str">
        <f>IFERROR(__xludf.DUMMYFUNCTION("""COMPUTED_VALUE"""),"Voice")</f>
        <v>Voice</v>
      </c>
      <c r="F202" s="187" t="str">
        <f>IFERROR(__xludf.DUMMYFUNCTION("""COMPUTED_VALUE"""),"C1487")</f>
        <v>C1487</v>
      </c>
      <c r="G202" s="185" t="str">
        <f>IFERROR(__xludf.DUMMYFUNCTION("""COMPUTED_VALUE"""),"Mateo Perez Valencia")</f>
        <v>Mateo Perez Valencia</v>
      </c>
      <c r="H202" s="185" t="str">
        <f>IFERROR(__xludf.DUMMYFUNCTION("""COMPUTED_VALUE"""),"ho.mperez")</f>
        <v>ho.mperez</v>
      </c>
      <c r="I202" s="185" t="str">
        <f>IFERROR(__xludf.DUMMYFUNCTION("""COMPUTED_VALUE"""),"ATT")</f>
        <v>ATT</v>
      </c>
      <c r="J202" s="298"/>
      <c r="K202" s="283"/>
      <c r="L202" s="299"/>
      <c r="M202" s="300"/>
      <c r="N202" s="301"/>
      <c r="O202" s="302"/>
      <c r="P202" s="302"/>
      <c r="S202" s="305"/>
      <c r="T202" s="305"/>
      <c r="U202" s="306"/>
      <c r="V202" s="305"/>
      <c r="W202" s="305"/>
      <c r="X202" s="305"/>
      <c r="Y202" s="305"/>
      <c r="Z202" s="305"/>
      <c r="AD202" s="296"/>
      <c r="AE202" s="201"/>
      <c r="AF202" s="201"/>
      <c r="AG202" s="201"/>
      <c r="AH202" s="201"/>
      <c r="AI202" s="201"/>
      <c r="AJ202" s="201"/>
      <c r="AK202" s="201"/>
      <c r="AL202" s="201"/>
    </row>
    <row r="203">
      <c r="A203" s="187" t="str">
        <f>IFERROR(__xludf.DUMMYFUNCTION("""COMPUTED_VALUE"""),"Daniel Bustamante")</f>
        <v>Daniel Bustamante</v>
      </c>
      <c r="B203" s="188" t="str">
        <f>IFERROR(__xludf.DUMMYFUNCTION("""COMPUTED_VALUE"""),"Santiago Arenas")</f>
        <v>Santiago Arenas</v>
      </c>
      <c r="C203" s="236">
        <f>IFERROR(__xludf.DUMMYFUNCTION("""COMPUTED_VALUE"""),45614.0)</f>
        <v>45614</v>
      </c>
      <c r="D203" s="187">
        <f>IFERROR(__xludf.DUMMYFUNCTION("""COMPUTED_VALUE"""),20.0)</f>
        <v>20</v>
      </c>
      <c r="E203" s="187" t="str">
        <f>IFERROR(__xludf.DUMMYFUNCTION("""COMPUTED_VALUE"""),"Voice")</f>
        <v>Voice</v>
      </c>
      <c r="F203" s="187" t="str">
        <f>IFERROR(__xludf.DUMMYFUNCTION("""COMPUTED_VALUE"""),"C1113")</f>
        <v>C1113</v>
      </c>
      <c r="G203" s="185"/>
      <c r="H203" s="185" t="str">
        <f>IFERROR(__xludf.DUMMYFUNCTION("""COMPUTED_VALUE"""),"ho.sarenas")</f>
        <v>ho.sarenas</v>
      </c>
      <c r="I203" s="185" t="str">
        <f>IFERROR(__xludf.DUMMYFUNCTION("""COMPUTED_VALUE"""),"ATT")</f>
        <v>ATT</v>
      </c>
      <c r="J203" s="298"/>
      <c r="K203" s="283"/>
      <c r="L203" s="299"/>
      <c r="M203" s="300"/>
      <c r="N203" s="301"/>
      <c r="O203" s="302"/>
      <c r="P203" s="302"/>
      <c r="S203" s="305"/>
      <c r="T203" s="305"/>
      <c r="U203" s="306"/>
      <c r="V203" s="305"/>
      <c r="W203" s="305"/>
      <c r="X203" s="305"/>
      <c r="Y203" s="305"/>
      <c r="Z203" s="305"/>
      <c r="AD203" s="296"/>
      <c r="AE203" s="201"/>
      <c r="AF203" s="201"/>
      <c r="AG203" s="201"/>
      <c r="AH203" s="201"/>
      <c r="AI203" s="201"/>
      <c r="AJ203" s="201"/>
      <c r="AK203" s="201"/>
      <c r="AL203" s="201"/>
    </row>
    <row r="204">
      <c r="A204" s="187" t="str">
        <f>IFERROR(__xludf.DUMMYFUNCTION("""COMPUTED_VALUE"""),"Martin Salazar")</f>
        <v>Martin Salazar</v>
      </c>
      <c r="B204" s="188" t="str">
        <f>IFERROR(__xludf.DUMMYFUNCTION("""COMPUTED_VALUE"""),"Samuel Velasquez")</f>
        <v>Samuel Velasquez</v>
      </c>
      <c r="C204" s="236">
        <f>IFERROR(__xludf.DUMMYFUNCTION("""COMPUTED_VALUE"""),45748.0)</f>
        <v>45748</v>
      </c>
      <c r="D204" s="187">
        <f>IFERROR(__xludf.DUMMYFUNCTION("""COMPUTED_VALUE"""),25.0)</f>
        <v>25</v>
      </c>
      <c r="E204" s="187" t="str">
        <f>IFERROR(__xludf.DUMMYFUNCTION("""COMPUTED_VALUE"""),"Voice")</f>
        <v>Voice</v>
      </c>
      <c r="F204" s="187" t="str">
        <f>IFERROR(__xludf.DUMMYFUNCTION("""COMPUTED_VALUE"""),"C1196")</f>
        <v>C1196</v>
      </c>
      <c r="G204" s="185" t="str">
        <f>IFERROR(__xludf.DUMMYFUNCTION("""COMPUTED_VALUE"""),"samuel.velasquez@buwelo.com")</f>
        <v>samuel.velasquez@buwelo.com</v>
      </c>
      <c r="H204" s="185" t="str">
        <f>IFERROR(__xludf.DUMMYFUNCTION("""COMPUTED_VALUE"""),"ho.svelasquez")</f>
        <v>ho.svelasquez</v>
      </c>
      <c r="I204" s="185" t="str">
        <f>IFERROR(__xludf.DUMMYFUNCTION("""COMPUTED_VALUE"""),"ATT")</f>
        <v>ATT</v>
      </c>
      <c r="J204" s="298"/>
      <c r="K204" s="283"/>
      <c r="L204" s="299"/>
      <c r="M204" s="300"/>
      <c r="N204" s="301"/>
      <c r="O204" s="302"/>
      <c r="P204" s="302"/>
      <c r="S204" s="305"/>
      <c r="T204" s="305"/>
      <c r="U204" s="306"/>
      <c r="V204" s="305"/>
      <c r="W204" s="305"/>
      <c r="X204" s="305"/>
      <c r="Y204" s="305"/>
      <c r="Z204" s="305"/>
      <c r="AD204" s="296"/>
      <c r="AE204" s="201"/>
      <c r="AF204" s="201"/>
      <c r="AG204" s="201"/>
      <c r="AH204" s="201"/>
      <c r="AI204" s="201"/>
      <c r="AJ204" s="201"/>
      <c r="AK204" s="201"/>
      <c r="AL204" s="201"/>
    </row>
    <row r="205">
      <c r="A205" s="187" t="str">
        <f>IFERROR(__xludf.DUMMYFUNCTION("""COMPUTED_VALUE"""),"Martin Salazar")</f>
        <v>Martin Salazar</v>
      </c>
      <c r="B205" s="188" t="str">
        <f>IFERROR(__xludf.DUMMYFUNCTION("""COMPUTED_VALUE"""),"Santiago Yepes")</f>
        <v>Santiago Yepes</v>
      </c>
      <c r="C205" s="236">
        <f>IFERROR(__xludf.DUMMYFUNCTION("""COMPUTED_VALUE"""),45985.0)</f>
        <v>45985</v>
      </c>
      <c r="D205" s="187">
        <f>IFERROR(__xludf.DUMMYFUNCTION("""COMPUTED_VALUE"""),32.0)</f>
        <v>32</v>
      </c>
      <c r="E205" s="187" t="str">
        <f>IFERROR(__xludf.DUMMYFUNCTION("""COMPUTED_VALUE"""),"Voice")</f>
        <v>Voice</v>
      </c>
      <c r="F205" s="187" t="str">
        <f>IFERROR(__xludf.DUMMYFUNCTION("""COMPUTED_VALUE"""),"C1430")</f>
        <v>C1430</v>
      </c>
      <c r="G205" s="185" t="str">
        <f>IFERROR(__xludf.DUMMYFUNCTION("""COMPUTED_VALUE"""),"santiago.yepes@buwelo.com")</f>
        <v>santiago.yepes@buwelo.com</v>
      </c>
      <c r="H205" s="185" t="str">
        <f>IFERROR(__xludf.DUMMYFUNCTION("""COMPUTED_VALUE"""),"ho.syepes")</f>
        <v>ho.syepes</v>
      </c>
      <c r="I205" s="185" t="str">
        <f>IFERROR(__xludf.DUMMYFUNCTION("""COMPUTED_VALUE"""),"ATT")</f>
        <v>ATT</v>
      </c>
      <c r="J205" s="298"/>
      <c r="K205" s="283"/>
      <c r="L205" s="299"/>
      <c r="M205" s="300"/>
      <c r="N205" s="301"/>
      <c r="O205" s="302"/>
      <c r="P205" s="302"/>
      <c r="S205" s="305"/>
      <c r="T205" s="305"/>
      <c r="U205" s="306"/>
      <c r="V205" s="305"/>
      <c r="W205" s="305"/>
      <c r="X205" s="305"/>
      <c r="Y205" s="305"/>
      <c r="Z205" s="305"/>
      <c r="AD205" s="296"/>
      <c r="AE205" s="201"/>
      <c r="AF205" s="201"/>
      <c r="AG205" s="201"/>
      <c r="AH205" s="201"/>
      <c r="AI205" s="201"/>
      <c r="AJ205" s="201"/>
      <c r="AK205" s="201"/>
      <c r="AL205" s="201"/>
    </row>
    <row r="206">
      <c r="A206" s="187" t="str">
        <f>IFERROR(__xludf.DUMMYFUNCTION("""COMPUTED_VALUE"""),"Mateo Henao")</f>
        <v>Mateo Henao</v>
      </c>
      <c r="B206" s="188" t="str">
        <f>IFERROR(__xludf.DUMMYFUNCTION("""COMPUTED_VALUE"""),"Andres Henao")</f>
        <v>Andres Henao</v>
      </c>
      <c r="C206" s="236">
        <f>IFERROR(__xludf.DUMMYFUNCTION("""COMPUTED_VALUE"""),45936.0)</f>
        <v>45936</v>
      </c>
      <c r="D206" s="187">
        <f>IFERROR(__xludf.DUMMYFUNCTION("""COMPUTED_VALUE"""),31.0)</f>
        <v>31</v>
      </c>
      <c r="E206" s="187" t="str">
        <f>IFERROR(__xludf.DUMMYFUNCTION("""COMPUTED_VALUE"""),"Voice")</f>
        <v>Voice</v>
      </c>
      <c r="F206" s="187" t="str">
        <f>IFERROR(__xludf.DUMMYFUNCTION("""COMPUTED_VALUE"""),"C1371")</f>
        <v>C1371</v>
      </c>
      <c r="G206" s="185" t="str">
        <f>IFERROR(__xludf.DUMMYFUNCTION("""COMPUTED_VALUE"""),"andres.henao@buwelo.com")</f>
        <v>andres.henao@buwelo.com</v>
      </c>
      <c r="H206" s="185" t="str">
        <f>IFERROR(__xludf.DUMMYFUNCTION("""COMPUTED_VALUE"""),"ho.ahenao")</f>
        <v>ho.ahenao</v>
      </c>
      <c r="I206" s="185" t="str">
        <f>IFERROR(__xludf.DUMMYFUNCTION("""COMPUTED_VALUE"""),"ATT")</f>
        <v>ATT</v>
      </c>
      <c r="J206" s="298"/>
      <c r="K206" s="283"/>
      <c r="L206" s="299"/>
      <c r="M206" s="300"/>
      <c r="N206" s="301"/>
      <c r="O206" s="302"/>
      <c r="P206" s="302"/>
      <c r="S206" s="305"/>
      <c r="T206" s="305"/>
      <c r="U206" s="306"/>
      <c r="V206" s="305"/>
      <c r="W206" s="305"/>
      <c r="X206" s="305"/>
      <c r="Y206" s="305"/>
      <c r="Z206" s="305"/>
      <c r="AD206" s="296"/>
      <c r="AE206" s="201"/>
      <c r="AF206" s="201"/>
      <c r="AG206" s="201"/>
      <c r="AH206" s="201"/>
      <c r="AI206" s="201"/>
      <c r="AJ206" s="201"/>
      <c r="AK206" s="201"/>
      <c r="AL206" s="201"/>
    </row>
    <row r="207">
      <c r="A207" s="187" t="str">
        <f>IFERROR(__xludf.DUMMYFUNCTION("""COMPUTED_VALUE"""),"Edward Machado")</f>
        <v>Edward Machado</v>
      </c>
      <c r="B207" s="188" t="str">
        <f>IFERROR(__xludf.DUMMYFUNCTION("""COMPUTED_VALUE"""),"Gabriel Atehortua")</f>
        <v>Gabriel Atehortua</v>
      </c>
      <c r="C207" s="236">
        <f>IFERROR(__xludf.DUMMYFUNCTION("""COMPUTED_VALUE"""),45845.0)</f>
        <v>45845</v>
      </c>
      <c r="D207" s="187">
        <f>IFERROR(__xludf.DUMMYFUNCTION("""COMPUTED_VALUE"""),27.0)</f>
        <v>27</v>
      </c>
      <c r="E207" s="187" t="str">
        <f>IFERROR(__xludf.DUMMYFUNCTION("""COMPUTED_VALUE"""),"Tickets")</f>
        <v>Tickets</v>
      </c>
      <c r="F207" s="187" t="str">
        <f>IFERROR(__xludf.DUMMYFUNCTION("""COMPUTED_VALUE"""),"C1279")</f>
        <v>C1279</v>
      </c>
      <c r="G207" s="185" t="str">
        <f>IFERROR(__xludf.DUMMYFUNCTION("""COMPUTED_VALUE"""),"gabriel.atehortua@buwelo.com")</f>
        <v>gabriel.atehortua@buwelo.com</v>
      </c>
      <c r="H207" s="185" t="str">
        <f>IFERROR(__xludf.DUMMYFUNCTION("""COMPUTED_VALUE"""),"ho.gatehortua")</f>
        <v>ho.gatehortua</v>
      </c>
      <c r="I207" s="185" t="str">
        <f>IFERROR(__xludf.DUMMYFUNCTION("""COMPUTED_VALUE"""),"ATT")</f>
        <v>ATT</v>
      </c>
      <c r="J207" s="298"/>
      <c r="K207" s="283"/>
      <c r="L207" s="299"/>
      <c r="M207" s="300"/>
      <c r="N207" s="301"/>
      <c r="O207" s="302"/>
      <c r="P207" s="302"/>
      <c r="S207" s="305"/>
      <c r="T207" s="305"/>
      <c r="U207" s="306"/>
      <c r="V207" s="305"/>
      <c r="W207" s="305"/>
      <c r="X207" s="305"/>
      <c r="Y207" s="305"/>
      <c r="Z207" s="305"/>
      <c r="AD207" s="296"/>
      <c r="AE207" s="201"/>
      <c r="AF207" s="201"/>
      <c r="AG207" s="201"/>
      <c r="AH207" s="201"/>
      <c r="AI207" s="201"/>
      <c r="AJ207" s="201"/>
      <c r="AK207" s="201"/>
      <c r="AL207" s="201"/>
    </row>
    <row r="208">
      <c r="A208" s="187" t="str">
        <f>IFERROR(__xludf.DUMMYFUNCTION("""COMPUTED_VALUE"""),"Andra Daza")</f>
        <v>Andra Daza</v>
      </c>
      <c r="B208" s="188" t="str">
        <f>IFERROR(__xludf.DUMMYFUNCTION("""COMPUTED_VALUE"""),"Miguel Chala")</f>
        <v>Miguel Chala</v>
      </c>
      <c r="C208" s="236">
        <f>IFERROR(__xludf.DUMMYFUNCTION("""COMPUTED_VALUE"""),46014.0)</f>
        <v>46014</v>
      </c>
      <c r="D208" s="187">
        <f>IFERROR(__xludf.DUMMYFUNCTION("""COMPUTED_VALUE"""),33.0)</f>
        <v>33</v>
      </c>
      <c r="E208" s="187" t="str">
        <f>IFERROR(__xludf.DUMMYFUNCTION("""COMPUTED_VALUE"""),"ATT")</f>
        <v>ATT</v>
      </c>
      <c r="F208" s="187" t="str">
        <f>IFERROR(__xludf.DUMMYFUNCTION("""COMPUTED_VALUE"""),"C1467")</f>
        <v>C1467</v>
      </c>
      <c r="G208" s="185" t="str">
        <f>IFERROR(__xludf.DUMMYFUNCTION("""COMPUTED_VALUE"""),"miguel.chala@buwelo.com")</f>
        <v>miguel.chala@buwelo.com</v>
      </c>
      <c r="H208" s="185" t="str">
        <f>IFERROR(__xludf.DUMMYFUNCTION("""COMPUTED_VALUE"""),"ho.mchala")</f>
        <v>ho.mchala</v>
      </c>
      <c r="I208" s="185" t="str">
        <f>IFERROR(__xludf.DUMMYFUNCTION("""COMPUTED_VALUE"""),"ATT")</f>
        <v>ATT</v>
      </c>
      <c r="J208" s="298"/>
      <c r="K208" s="283"/>
      <c r="L208" s="299"/>
      <c r="M208" s="300"/>
      <c r="N208" s="301"/>
      <c r="O208" s="302"/>
      <c r="P208" s="302"/>
      <c r="S208" s="305"/>
      <c r="T208" s="305"/>
      <c r="U208" s="306"/>
      <c r="V208" s="305"/>
      <c r="W208" s="305"/>
      <c r="X208" s="305"/>
      <c r="Y208" s="305"/>
      <c r="Z208" s="305"/>
      <c r="AD208" s="296"/>
      <c r="AE208" s="201"/>
      <c r="AF208" s="201"/>
      <c r="AG208" s="201"/>
      <c r="AH208" s="201"/>
      <c r="AI208" s="201"/>
      <c r="AJ208" s="201"/>
      <c r="AK208" s="201"/>
      <c r="AL208" s="201"/>
    </row>
    <row r="209">
      <c r="A209" s="187" t="str">
        <f>IFERROR(__xludf.DUMMYFUNCTION("""COMPUTED_VALUE"""),"Luis Vidal")</f>
        <v>Luis Vidal</v>
      </c>
      <c r="B209" s="188" t="str">
        <f>IFERROR(__xludf.DUMMYFUNCTION("""COMPUTED_VALUE"""),"Valentina Carmona")</f>
        <v>Valentina Carmona</v>
      </c>
      <c r="C209" s="236">
        <f>IFERROR(__xludf.DUMMYFUNCTION("""COMPUTED_VALUE"""),45748.0)</f>
        <v>45748</v>
      </c>
      <c r="D209" s="187">
        <f>IFERROR(__xludf.DUMMYFUNCTION("""COMPUTED_VALUE"""),25.0)</f>
        <v>25</v>
      </c>
      <c r="E209" s="187" t="str">
        <f>IFERROR(__xludf.DUMMYFUNCTION("""COMPUTED_VALUE"""),"ATT")</f>
        <v>ATT</v>
      </c>
      <c r="F209" s="187" t="str">
        <f>IFERROR(__xludf.DUMMYFUNCTION("""COMPUTED_VALUE"""),"C1189")</f>
        <v>C1189</v>
      </c>
      <c r="G209" s="185" t="str">
        <f>IFERROR(__xludf.DUMMYFUNCTION("""COMPUTED_VALUE"""),"valentina.carmona@buwelo.com")</f>
        <v>valentina.carmona@buwelo.com</v>
      </c>
      <c r="H209" s="185" t="str">
        <f>IFERROR(__xludf.DUMMYFUNCTION("""COMPUTED_VALUE"""),"ho.vcarmona")</f>
        <v>ho.vcarmona</v>
      </c>
      <c r="I209" s="185" t="str">
        <f>IFERROR(__xludf.DUMMYFUNCTION("""COMPUTED_VALUE"""),"ATT")</f>
        <v>ATT</v>
      </c>
      <c r="J209" s="298"/>
      <c r="K209" s="283"/>
      <c r="L209" s="299"/>
      <c r="M209" s="300"/>
      <c r="N209" s="301"/>
      <c r="O209" s="302"/>
      <c r="P209" s="302"/>
      <c r="S209" s="305"/>
      <c r="T209" s="305"/>
      <c r="U209" s="306"/>
      <c r="V209" s="305"/>
      <c r="W209" s="305"/>
      <c r="X209" s="305"/>
      <c r="Y209" s="305"/>
      <c r="Z209" s="305"/>
      <c r="AD209" s="296"/>
      <c r="AE209" s="201"/>
      <c r="AF209" s="201"/>
      <c r="AG209" s="201"/>
      <c r="AH209" s="201"/>
      <c r="AI209" s="201"/>
      <c r="AJ209" s="201"/>
      <c r="AK209" s="201"/>
      <c r="AL209" s="201"/>
    </row>
    <row r="210">
      <c r="A210" s="187" t="str">
        <f>IFERROR(__xludf.DUMMYFUNCTION("""COMPUTED_VALUE"""),"Bryan Galvis")</f>
        <v>Bryan Galvis</v>
      </c>
      <c r="B210" s="188" t="str">
        <f>IFERROR(__xludf.DUMMYFUNCTION("""COMPUTED_VALUE"""),"Jhojan Higuita")</f>
        <v>Jhojan Higuita</v>
      </c>
      <c r="C210" s="236">
        <f>IFERROR(__xludf.DUMMYFUNCTION("""COMPUTED_VALUE"""),45086.0)</f>
        <v>45086</v>
      </c>
      <c r="D210" s="187">
        <f>IFERROR(__xludf.DUMMYFUNCTION("""COMPUTED_VALUE"""),7.0)</f>
        <v>7</v>
      </c>
      <c r="E210" s="187" t="str">
        <f>IFERROR(__xludf.DUMMYFUNCTION("""COMPUTED_VALUE"""),"ATT")</f>
        <v>ATT</v>
      </c>
      <c r="F210" s="187" t="str">
        <f>IFERROR(__xludf.DUMMYFUNCTION("""COMPUTED_VALUE"""),"C718")</f>
        <v>C718</v>
      </c>
      <c r="G210" s="185" t="str">
        <f>IFERROR(__xludf.DUMMYFUNCTION("""COMPUTED_VALUE"""),"jhojan.higuita@buwelo.com")</f>
        <v>jhojan.higuita@buwelo.com</v>
      </c>
      <c r="H210" s="185" t="str">
        <f>IFERROR(__xludf.DUMMYFUNCTION("""COMPUTED_VALUE"""),"ho.jhiguita")</f>
        <v>ho.jhiguita</v>
      </c>
      <c r="I210" s="185" t="str">
        <f>IFERROR(__xludf.DUMMYFUNCTION("""COMPUTED_VALUE"""),"ATT")</f>
        <v>ATT</v>
      </c>
      <c r="J210" s="298"/>
      <c r="K210" s="283"/>
      <c r="L210" s="299"/>
      <c r="M210" s="300"/>
      <c r="N210" s="301"/>
      <c r="O210" s="302"/>
      <c r="P210" s="302"/>
      <c r="S210" s="305"/>
      <c r="T210" s="305"/>
      <c r="U210" s="306"/>
      <c r="V210" s="305"/>
      <c r="W210" s="305"/>
      <c r="X210" s="305"/>
      <c r="Y210" s="305"/>
      <c r="Z210" s="305"/>
      <c r="AD210" s="296"/>
      <c r="AE210" s="201"/>
      <c r="AF210" s="201"/>
      <c r="AG210" s="201"/>
      <c r="AH210" s="201"/>
      <c r="AI210" s="201"/>
      <c r="AJ210" s="201"/>
      <c r="AK210" s="201"/>
      <c r="AL210" s="201"/>
    </row>
    <row r="211">
      <c r="A211" s="187" t="str">
        <f>IFERROR(__xludf.DUMMYFUNCTION("""COMPUTED_VALUE"""),"Andra Daza")</f>
        <v>Andra Daza</v>
      </c>
      <c r="B211" s="188" t="str">
        <f>IFERROR(__xludf.DUMMYFUNCTION("""COMPUTED_VALUE"""),"Edwin Barandica")</f>
        <v>Edwin Barandica</v>
      </c>
      <c r="C211" s="236">
        <f>IFERROR(__xludf.DUMMYFUNCTION("""COMPUTED_VALUE"""),46014.0)</f>
        <v>46014</v>
      </c>
      <c r="D211" s="187">
        <f>IFERROR(__xludf.DUMMYFUNCTION("""COMPUTED_VALUE"""),33.0)</f>
        <v>33</v>
      </c>
      <c r="E211" s="187" t="str">
        <f>IFERROR(__xludf.DUMMYFUNCTION("""COMPUTED_VALUE"""),"ATT")</f>
        <v>ATT</v>
      </c>
      <c r="F211" s="187" t="str">
        <f>IFERROR(__xludf.DUMMYFUNCTION("""COMPUTED_VALUE"""),"C1474")</f>
        <v>C1474</v>
      </c>
      <c r="G211" s="185" t="str">
        <f>IFERROR(__xludf.DUMMYFUNCTION("""COMPUTED_VALUE"""),"edwin.barandica@buwelo.com")</f>
        <v>edwin.barandica@buwelo.com</v>
      </c>
      <c r="H211" s="185" t="str">
        <f>IFERROR(__xludf.DUMMYFUNCTION("""COMPUTED_VALUE"""),"ho.ebarandica")</f>
        <v>ho.ebarandica</v>
      </c>
      <c r="I211" s="185" t="str">
        <f>IFERROR(__xludf.DUMMYFUNCTION("""COMPUTED_VALUE"""),"ATT")</f>
        <v>ATT</v>
      </c>
      <c r="J211" s="298"/>
      <c r="K211" s="283"/>
      <c r="L211" s="299"/>
      <c r="M211" s="300"/>
      <c r="N211" s="301"/>
      <c r="O211" s="302"/>
      <c r="P211" s="302"/>
      <c r="S211" s="305"/>
      <c r="T211" s="305"/>
      <c r="U211" s="306"/>
      <c r="V211" s="305"/>
      <c r="W211" s="305"/>
      <c r="X211" s="305"/>
      <c r="Y211" s="305"/>
      <c r="Z211" s="305"/>
      <c r="AD211" s="296"/>
      <c r="AE211" s="201"/>
      <c r="AF211" s="201"/>
      <c r="AG211" s="201"/>
      <c r="AH211" s="201"/>
      <c r="AI211" s="201"/>
      <c r="AJ211" s="201"/>
      <c r="AK211" s="201"/>
      <c r="AL211" s="201"/>
    </row>
    <row r="212">
      <c r="A212" s="187" t="str">
        <f>IFERROR(__xludf.DUMMYFUNCTION("""COMPUTED_VALUE"""),"Andra Daza")</f>
        <v>Andra Daza</v>
      </c>
      <c r="B212" s="188" t="str">
        <f>IFERROR(__xludf.DUMMYFUNCTION("""COMPUTED_VALUE"""),"Juan Rodriguez")</f>
        <v>Juan Rodriguez</v>
      </c>
      <c r="C212" s="236">
        <f>IFERROR(__xludf.DUMMYFUNCTION("""COMPUTED_VALUE"""),46014.0)</f>
        <v>46014</v>
      </c>
      <c r="D212" s="187">
        <f>IFERROR(__xludf.DUMMYFUNCTION("""COMPUTED_VALUE"""),33.0)</f>
        <v>33</v>
      </c>
      <c r="E212" s="187" t="str">
        <f>IFERROR(__xludf.DUMMYFUNCTION("""COMPUTED_VALUE"""),"ATT")</f>
        <v>ATT</v>
      </c>
      <c r="F212" s="187" t="str">
        <f>IFERROR(__xludf.DUMMYFUNCTION("""COMPUTED_VALUE"""),"C1473")</f>
        <v>C1473</v>
      </c>
      <c r="G212" s="185" t="str">
        <f>IFERROR(__xludf.DUMMYFUNCTION("""COMPUTED_VALUE"""),"juan.rodriguez@buwelo.com")</f>
        <v>juan.rodriguez@buwelo.com</v>
      </c>
      <c r="H212" s="185" t="str">
        <f>IFERROR(__xludf.DUMMYFUNCTION("""COMPUTED_VALUE"""),"ho.jrodriguez")</f>
        <v>ho.jrodriguez</v>
      </c>
      <c r="I212" s="185" t="str">
        <f>IFERROR(__xludf.DUMMYFUNCTION("""COMPUTED_VALUE"""),"ATT")</f>
        <v>ATT</v>
      </c>
      <c r="J212" s="298"/>
      <c r="K212" s="283"/>
      <c r="L212" s="299"/>
      <c r="M212" s="300"/>
      <c r="N212" s="301"/>
      <c r="O212" s="302"/>
      <c r="P212" s="302"/>
      <c r="S212" s="305"/>
      <c r="T212" s="305"/>
      <c r="U212" s="306"/>
      <c r="V212" s="305"/>
      <c r="W212" s="305"/>
      <c r="X212" s="305"/>
      <c r="Y212" s="305"/>
      <c r="Z212" s="305"/>
      <c r="AD212" s="296"/>
      <c r="AE212" s="201"/>
      <c r="AF212" s="201"/>
      <c r="AG212" s="201"/>
      <c r="AH212" s="201"/>
      <c r="AI212" s="201"/>
      <c r="AJ212" s="201"/>
      <c r="AK212" s="201"/>
      <c r="AL212" s="201"/>
    </row>
    <row r="213">
      <c r="A213" s="187" t="str">
        <f>IFERROR(__xludf.DUMMYFUNCTION("""COMPUTED_VALUE"""),"Andra Daza")</f>
        <v>Andra Daza</v>
      </c>
      <c r="B213" s="188" t="str">
        <f>IFERROR(__xludf.DUMMYFUNCTION("""COMPUTED_VALUE"""),"Gabriela Nava")</f>
        <v>Gabriela Nava</v>
      </c>
      <c r="C213" s="236">
        <f>IFERROR(__xludf.DUMMYFUNCTION("""COMPUTED_VALUE"""),46014.0)</f>
        <v>46014</v>
      </c>
      <c r="D213" s="187">
        <f>IFERROR(__xludf.DUMMYFUNCTION("""COMPUTED_VALUE"""),33.0)</f>
        <v>33</v>
      </c>
      <c r="E213" s="187" t="str">
        <f>IFERROR(__xludf.DUMMYFUNCTION("""COMPUTED_VALUE"""),"ATT")</f>
        <v>ATT</v>
      </c>
      <c r="F213" s="187" t="str">
        <f>IFERROR(__xludf.DUMMYFUNCTION("""COMPUTED_VALUE"""),"C1470")</f>
        <v>C1470</v>
      </c>
      <c r="G213" s="185" t="str">
        <f>IFERROR(__xludf.DUMMYFUNCTION("""COMPUTED_VALUE"""),"gabriela.nava@buwelo.com")</f>
        <v>gabriela.nava@buwelo.com</v>
      </c>
      <c r="H213" s="185" t="str">
        <f>IFERROR(__xludf.DUMMYFUNCTION("""COMPUTED_VALUE"""),"ho.gnava")</f>
        <v>ho.gnava</v>
      </c>
      <c r="I213" s="185" t="str">
        <f>IFERROR(__xludf.DUMMYFUNCTION("""COMPUTED_VALUE"""),"ATT")</f>
        <v>ATT</v>
      </c>
      <c r="J213" s="298"/>
      <c r="K213" s="283"/>
      <c r="L213" s="299"/>
      <c r="M213" s="300"/>
      <c r="N213" s="301"/>
      <c r="O213" s="302"/>
      <c r="P213" s="302"/>
      <c r="S213" s="305"/>
      <c r="T213" s="305"/>
      <c r="U213" s="306"/>
      <c r="V213" s="305"/>
      <c r="W213" s="305"/>
      <c r="X213" s="305"/>
      <c r="Y213" s="305"/>
      <c r="Z213" s="305"/>
      <c r="AD213" s="296"/>
      <c r="AE213" s="201"/>
      <c r="AF213" s="201"/>
      <c r="AG213" s="201"/>
      <c r="AH213" s="201"/>
      <c r="AI213" s="201"/>
      <c r="AJ213" s="201"/>
      <c r="AK213" s="201"/>
      <c r="AL213" s="201"/>
    </row>
    <row r="214">
      <c r="A214" s="187" t="str">
        <f>IFERROR(__xludf.DUMMYFUNCTION("""COMPUTED_VALUE"""),"Edward Machado")</f>
        <v>Edward Machado</v>
      </c>
      <c r="B214" s="188" t="str">
        <f>IFERROR(__xludf.DUMMYFUNCTION("""COMPUTED_VALUE"""),"Nicolas Hernandez")</f>
        <v>Nicolas Hernandez</v>
      </c>
      <c r="C214" s="236">
        <f>IFERROR(__xludf.DUMMYFUNCTION("""COMPUTED_VALUE"""),45719.0)</f>
        <v>45719</v>
      </c>
      <c r="D214" s="187">
        <f>IFERROR(__xludf.DUMMYFUNCTION("""COMPUTED_VALUE"""),24.0)</f>
        <v>24</v>
      </c>
      <c r="E214" s="187" t="str">
        <f>IFERROR(__xludf.DUMMYFUNCTION("""COMPUTED_VALUE"""),"ATT")</f>
        <v>ATT</v>
      </c>
      <c r="F214" s="187" t="str">
        <f>IFERROR(__xludf.DUMMYFUNCTION("""COMPUTED_VALUE"""),"C1174")</f>
        <v>C1174</v>
      </c>
      <c r="G214" s="185" t="str">
        <f>IFERROR(__xludf.DUMMYFUNCTION("""COMPUTED_VALUE"""),"nicolas.hernandez@buwelo.com")</f>
        <v>nicolas.hernandez@buwelo.com</v>
      </c>
      <c r="H214" s="185" t="str">
        <f>IFERROR(__xludf.DUMMYFUNCTION("""COMPUTED_VALUE"""),"ho.nhernandez")</f>
        <v>ho.nhernandez</v>
      </c>
      <c r="I214" s="185" t="str">
        <f>IFERROR(__xludf.DUMMYFUNCTION("""COMPUTED_VALUE"""),"ATT")</f>
        <v>ATT</v>
      </c>
      <c r="J214" s="298"/>
      <c r="K214" s="283"/>
      <c r="L214" s="299"/>
      <c r="M214" s="300"/>
      <c r="N214" s="301"/>
      <c r="O214" s="302"/>
      <c r="P214" s="302"/>
      <c r="S214" s="305"/>
      <c r="T214" s="305"/>
      <c r="U214" s="306"/>
      <c r="V214" s="305"/>
      <c r="W214" s="305"/>
      <c r="X214" s="305"/>
      <c r="Y214" s="305"/>
      <c r="Z214" s="305"/>
      <c r="AD214" s="296"/>
      <c r="AE214" s="201"/>
      <c r="AF214" s="201"/>
      <c r="AG214" s="201"/>
      <c r="AH214" s="201"/>
      <c r="AI214" s="201"/>
      <c r="AJ214" s="201"/>
      <c r="AK214" s="201"/>
      <c r="AL214" s="201"/>
    </row>
    <row r="215">
      <c r="A215" s="187" t="str">
        <f>IFERROR(__xludf.DUMMYFUNCTION("""COMPUTED_VALUE"""),"Mateo Henao")</f>
        <v>Mateo Henao</v>
      </c>
      <c r="B215" s="188" t="str">
        <f>IFERROR(__xludf.DUMMYFUNCTION("""COMPUTED_VALUE"""),"Luisa Zapata")</f>
        <v>Luisa Zapata</v>
      </c>
      <c r="C215" s="236">
        <f>IFERROR(__xludf.DUMMYFUNCTION("""COMPUTED_VALUE"""),45936.0)</f>
        <v>45936</v>
      </c>
      <c r="D215" s="187">
        <f>IFERROR(__xludf.DUMMYFUNCTION("""COMPUTED_VALUE"""),31.0)</f>
        <v>31</v>
      </c>
      <c r="E215" s="187" t="str">
        <f>IFERROR(__xludf.DUMMYFUNCTION("""COMPUTED_VALUE"""),"ATT")</f>
        <v>ATT</v>
      </c>
      <c r="F215" s="187" t="str">
        <f>IFERROR(__xludf.DUMMYFUNCTION("""COMPUTED_VALUE"""),"C1370")</f>
        <v>C1370</v>
      </c>
      <c r="G215" s="185" t="str">
        <f>IFERROR(__xludf.DUMMYFUNCTION("""COMPUTED_VALUE"""),"luisa.zapata@buwelo.com")</f>
        <v>luisa.zapata@buwelo.com</v>
      </c>
      <c r="H215" s="185" t="str">
        <f>IFERROR(__xludf.DUMMYFUNCTION("""COMPUTED_VALUE"""),"ho.lzapata")</f>
        <v>ho.lzapata</v>
      </c>
      <c r="I215" s="185" t="str">
        <f>IFERROR(__xludf.DUMMYFUNCTION("""COMPUTED_VALUE"""),"ATT")</f>
        <v>ATT</v>
      </c>
      <c r="J215" s="298"/>
      <c r="K215" s="283"/>
      <c r="L215" s="299"/>
      <c r="M215" s="300"/>
      <c r="N215" s="301"/>
      <c r="O215" s="302"/>
      <c r="P215" s="302"/>
      <c r="S215" s="305"/>
      <c r="T215" s="305"/>
      <c r="U215" s="306"/>
      <c r="V215" s="305"/>
      <c r="W215" s="305"/>
      <c r="X215" s="305"/>
      <c r="Y215" s="305"/>
      <c r="Z215" s="305"/>
      <c r="AD215" s="296"/>
      <c r="AE215" s="201"/>
      <c r="AF215" s="201"/>
      <c r="AG215" s="201"/>
      <c r="AH215" s="201"/>
      <c r="AI215" s="201"/>
      <c r="AJ215" s="201"/>
      <c r="AK215" s="201"/>
      <c r="AL215" s="201"/>
    </row>
    <row r="216">
      <c r="A216" s="187" t="str">
        <f>IFERROR(__xludf.DUMMYFUNCTION("""COMPUTED_VALUE"""),"Martin Salazar")</f>
        <v>Martin Salazar</v>
      </c>
      <c r="B216" s="188" t="str">
        <f>IFERROR(__xludf.DUMMYFUNCTION("""COMPUTED_VALUE"""),"Sergio Ordonez")</f>
        <v>Sergio Ordonez</v>
      </c>
      <c r="C216" s="236">
        <f>IFERROR(__xludf.DUMMYFUNCTION("""COMPUTED_VALUE"""),45936.0)</f>
        <v>45936</v>
      </c>
      <c r="D216" s="187">
        <f>IFERROR(__xludf.DUMMYFUNCTION("""COMPUTED_VALUE"""),31.0)</f>
        <v>31</v>
      </c>
      <c r="E216" s="187" t="str">
        <f>IFERROR(__xludf.DUMMYFUNCTION("""COMPUTED_VALUE"""),"ATT")</f>
        <v>ATT</v>
      </c>
      <c r="F216" s="187" t="str">
        <f>IFERROR(__xludf.DUMMYFUNCTION("""COMPUTED_VALUE"""),"C1366")</f>
        <v>C1366</v>
      </c>
      <c r="G216" s="185" t="str">
        <f>IFERROR(__xludf.DUMMYFUNCTION("""COMPUTED_VALUE"""),"sergio.ordonez@buwelo.com")</f>
        <v>sergio.ordonez@buwelo.com</v>
      </c>
      <c r="H216" s="185" t="str">
        <f>IFERROR(__xludf.DUMMYFUNCTION("""COMPUTED_VALUE"""),"ho.sordonez")</f>
        <v>ho.sordonez</v>
      </c>
      <c r="I216" s="185" t="str">
        <f>IFERROR(__xludf.DUMMYFUNCTION("""COMPUTED_VALUE"""),"ATT")</f>
        <v>ATT</v>
      </c>
      <c r="J216" s="298"/>
      <c r="K216" s="283"/>
      <c r="L216" s="299"/>
      <c r="M216" s="300"/>
      <c r="N216" s="301"/>
      <c r="O216" s="302"/>
      <c r="P216" s="302"/>
      <c r="S216" s="305"/>
      <c r="T216" s="305"/>
      <c r="U216" s="306"/>
      <c r="V216" s="305"/>
      <c r="W216" s="305"/>
      <c r="X216" s="305"/>
      <c r="Y216" s="305"/>
      <c r="Z216" s="305"/>
      <c r="AD216" s="296"/>
      <c r="AE216" s="201"/>
      <c r="AF216" s="201"/>
      <c r="AG216" s="201"/>
      <c r="AH216" s="201"/>
      <c r="AI216" s="201"/>
      <c r="AJ216" s="201"/>
      <c r="AK216" s="201"/>
      <c r="AL216" s="201"/>
    </row>
    <row r="217">
      <c r="A217" s="187" t="str">
        <f>IFERROR(__xludf.DUMMYFUNCTION("""COMPUTED_VALUE"""),"Luis Vidal")</f>
        <v>Luis Vidal</v>
      </c>
      <c r="B217" s="188" t="str">
        <f>IFERROR(__xludf.DUMMYFUNCTION("""COMPUTED_VALUE"""),"Juan Salazar")</f>
        <v>Juan Salazar</v>
      </c>
      <c r="C217" s="236">
        <f>IFERROR(__xludf.DUMMYFUNCTION("""COMPUTED_VALUE"""),45551.0)</f>
        <v>45551</v>
      </c>
      <c r="D217" s="187">
        <f>IFERROR(__xludf.DUMMYFUNCTION("""COMPUTED_VALUE"""),18.0)</f>
        <v>18</v>
      </c>
      <c r="E217" s="187" t="str">
        <f>IFERROR(__xludf.DUMMYFUNCTION("""COMPUTED_VALUE"""),"ATT")</f>
        <v>ATT</v>
      </c>
      <c r="F217" s="187" t="str">
        <f>IFERROR(__xludf.DUMMYFUNCTION("""COMPUTED_VALUE"""),"C1076")</f>
        <v>C1076</v>
      </c>
      <c r="G217" s="185" t="str">
        <f>IFERROR(__xludf.DUMMYFUNCTION("""COMPUTED_VALUE"""),"juan.salazar@buwelo.com")</f>
        <v>juan.salazar@buwelo.com</v>
      </c>
      <c r="H217" s="185" t="str">
        <f>IFERROR(__xludf.DUMMYFUNCTION("""COMPUTED_VALUE"""),"ho.jsalazar")</f>
        <v>ho.jsalazar</v>
      </c>
      <c r="I217" s="185" t="str">
        <f>IFERROR(__xludf.DUMMYFUNCTION("""COMPUTED_VALUE"""),"ATT")</f>
        <v>ATT</v>
      </c>
      <c r="J217" s="298"/>
      <c r="K217" s="283"/>
      <c r="L217" s="299"/>
      <c r="M217" s="300"/>
      <c r="N217" s="301"/>
      <c r="O217" s="302"/>
      <c r="P217" s="302"/>
      <c r="S217" s="305"/>
      <c r="T217" s="305"/>
      <c r="U217" s="306"/>
      <c r="V217" s="305"/>
      <c r="W217" s="305"/>
      <c r="X217" s="305"/>
      <c r="Y217" s="305"/>
      <c r="Z217" s="305"/>
      <c r="AD217" s="296"/>
      <c r="AE217" s="201"/>
      <c r="AF217" s="201"/>
      <c r="AG217" s="201"/>
      <c r="AH217" s="201"/>
      <c r="AI217" s="201"/>
      <c r="AJ217" s="201"/>
      <c r="AK217" s="201"/>
      <c r="AL217" s="201"/>
    </row>
    <row r="218">
      <c r="A218" s="187" t="str">
        <f>IFERROR(__xludf.DUMMYFUNCTION("""COMPUTED_VALUE"""),"Bryan Galvis")</f>
        <v>Bryan Galvis</v>
      </c>
      <c r="B218" s="188" t="str">
        <f>IFERROR(__xludf.DUMMYFUNCTION("""COMPUTED_VALUE"""),"Grigori Castaneda")</f>
        <v>Grigori Castaneda</v>
      </c>
      <c r="C218" s="236">
        <f>IFERROR(__xludf.DUMMYFUNCTION("""COMPUTED_VALUE"""),45551.0)</f>
        <v>45551</v>
      </c>
      <c r="D218" s="187">
        <f>IFERROR(__xludf.DUMMYFUNCTION("""COMPUTED_VALUE"""),18.0)</f>
        <v>18</v>
      </c>
      <c r="E218" s="187" t="str">
        <f>IFERROR(__xludf.DUMMYFUNCTION("""COMPUTED_VALUE"""),"ATT")</f>
        <v>ATT</v>
      </c>
      <c r="F218" s="187" t="str">
        <f>IFERROR(__xludf.DUMMYFUNCTION("""COMPUTED_VALUE"""),"C1074")</f>
        <v>C1074</v>
      </c>
      <c r="G218" s="185" t="str">
        <f>IFERROR(__xludf.DUMMYFUNCTION("""COMPUTED_VALUE"""),"grigori.castaneda@buwelo.com")</f>
        <v>grigori.castaneda@buwelo.com</v>
      </c>
      <c r="H218" s="185" t="str">
        <f>IFERROR(__xludf.DUMMYFUNCTION("""COMPUTED_VALUE"""),"ho.gcastaneda")</f>
        <v>ho.gcastaneda</v>
      </c>
      <c r="I218" s="185" t="str">
        <f>IFERROR(__xludf.DUMMYFUNCTION("""COMPUTED_VALUE"""),"ATT")</f>
        <v>ATT</v>
      </c>
      <c r="J218" s="298"/>
      <c r="K218" s="283"/>
      <c r="L218" s="299"/>
      <c r="M218" s="300"/>
      <c r="N218" s="301"/>
      <c r="O218" s="302"/>
      <c r="P218" s="302"/>
      <c r="S218" s="305"/>
      <c r="T218" s="305"/>
      <c r="U218" s="306"/>
      <c r="V218" s="305"/>
      <c r="W218" s="305"/>
      <c r="X218" s="305"/>
      <c r="Y218" s="305"/>
      <c r="Z218" s="305"/>
      <c r="AD218" s="296"/>
      <c r="AE218" s="201"/>
      <c r="AF218" s="201"/>
      <c r="AG218" s="201"/>
      <c r="AH218" s="201"/>
      <c r="AI218" s="201"/>
      <c r="AJ218" s="201"/>
      <c r="AK218" s="201"/>
      <c r="AL218" s="201"/>
    </row>
    <row r="219">
      <c r="A219" s="187" t="str">
        <f>IFERROR(__xludf.DUMMYFUNCTION("""COMPUTED_VALUE"""),"Mateo Henao")</f>
        <v>Mateo Henao</v>
      </c>
      <c r="B219" s="188" t="str">
        <f>IFERROR(__xludf.DUMMYFUNCTION("""COMPUTED_VALUE"""),"Mateo Angel")</f>
        <v>Mateo Angel</v>
      </c>
      <c r="C219" s="236">
        <f>IFERROR(__xludf.DUMMYFUNCTION("""COMPUTED_VALUE"""),45894.0)</f>
        <v>45894</v>
      </c>
      <c r="D219" s="187">
        <f>IFERROR(__xludf.DUMMYFUNCTION("""COMPUTED_VALUE"""),29.0)</f>
        <v>29</v>
      </c>
      <c r="E219" s="187" t="str">
        <f>IFERROR(__xludf.DUMMYFUNCTION("""COMPUTED_VALUE"""),"ATT")</f>
        <v>ATT</v>
      </c>
      <c r="F219" s="187" t="str">
        <f>IFERROR(__xludf.DUMMYFUNCTION("""COMPUTED_VALUE"""),"C1319")</f>
        <v>C1319</v>
      </c>
      <c r="G219" s="185" t="str">
        <f>IFERROR(__xludf.DUMMYFUNCTION("""COMPUTED_VALUE"""),"mateo.angel@buwelo.com")</f>
        <v>mateo.angel@buwelo.com</v>
      </c>
      <c r="H219" s="185" t="str">
        <f>IFERROR(__xludf.DUMMYFUNCTION("""COMPUTED_VALUE"""),"ho.mangel")</f>
        <v>ho.mangel</v>
      </c>
      <c r="I219" s="185" t="str">
        <f>IFERROR(__xludf.DUMMYFUNCTION("""COMPUTED_VALUE"""),"ATT")</f>
        <v>ATT</v>
      </c>
      <c r="J219" s="298"/>
      <c r="K219" s="283"/>
      <c r="L219" s="299"/>
      <c r="M219" s="300"/>
      <c r="N219" s="301"/>
      <c r="O219" s="302"/>
      <c r="P219" s="302"/>
      <c r="S219" s="305"/>
      <c r="T219" s="305"/>
      <c r="U219" s="306"/>
      <c r="V219" s="305"/>
      <c r="W219" s="305"/>
      <c r="X219" s="305"/>
      <c r="Y219" s="305"/>
      <c r="Z219" s="305"/>
      <c r="AD219" s="296"/>
      <c r="AE219" s="201"/>
      <c r="AF219" s="201"/>
      <c r="AG219" s="201"/>
      <c r="AH219" s="201"/>
      <c r="AI219" s="201"/>
      <c r="AJ219" s="201"/>
      <c r="AK219" s="201"/>
      <c r="AL219" s="201"/>
    </row>
    <row r="220">
      <c r="A220" s="187" t="str">
        <f>IFERROR(__xludf.DUMMYFUNCTION("""COMPUTED_VALUE"""),"Bryan Galvis")</f>
        <v>Bryan Galvis</v>
      </c>
      <c r="B220" s="188" t="str">
        <f>IFERROR(__xludf.DUMMYFUNCTION("""COMPUTED_VALUE"""),"Estiven Garcia")</f>
        <v>Estiven Garcia</v>
      </c>
      <c r="C220" s="236">
        <f>IFERROR(__xludf.DUMMYFUNCTION("""COMPUTED_VALUE"""),45229.0)</f>
        <v>45229</v>
      </c>
      <c r="D220" s="187">
        <f>IFERROR(__xludf.DUMMYFUNCTION("""COMPUTED_VALUE"""),10.0)</f>
        <v>10</v>
      </c>
      <c r="E220" s="187" t="str">
        <f>IFERROR(__xludf.DUMMYFUNCTION("""COMPUTED_VALUE"""),"ATT")</f>
        <v>ATT</v>
      </c>
      <c r="F220" s="187" t="str">
        <f>IFERROR(__xludf.DUMMYFUNCTION("""COMPUTED_VALUE"""),"C868")</f>
        <v>C868</v>
      </c>
      <c r="G220" s="185" t="str">
        <f>IFERROR(__xludf.DUMMYFUNCTION("""COMPUTED_VALUE"""),"estiven.garcia@buwelo.com")</f>
        <v>estiven.garcia@buwelo.com</v>
      </c>
      <c r="H220" s="185" t="str">
        <f>IFERROR(__xludf.DUMMYFUNCTION("""COMPUTED_VALUE"""),"ho.egarcia")</f>
        <v>ho.egarcia</v>
      </c>
      <c r="I220" s="185" t="str">
        <f>IFERROR(__xludf.DUMMYFUNCTION("""COMPUTED_VALUE"""),"ATT")</f>
        <v>ATT</v>
      </c>
      <c r="J220" s="298"/>
      <c r="K220" s="283"/>
      <c r="L220" s="299"/>
      <c r="M220" s="300"/>
      <c r="N220" s="301"/>
      <c r="O220" s="302"/>
      <c r="P220" s="302"/>
      <c r="S220" s="305"/>
      <c r="T220" s="305"/>
      <c r="U220" s="306"/>
      <c r="V220" s="305"/>
      <c r="W220" s="305"/>
      <c r="X220" s="305"/>
      <c r="Y220" s="305"/>
      <c r="Z220" s="305"/>
      <c r="AD220" s="296"/>
      <c r="AE220" s="201"/>
      <c r="AF220" s="201"/>
      <c r="AG220" s="201"/>
      <c r="AH220" s="201"/>
      <c r="AI220" s="201"/>
      <c r="AJ220" s="201"/>
      <c r="AK220" s="201"/>
      <c r="AL220" s="201"/>
    </row>
    <row r="221">
      <c r="A221" s="187" t="str">
        <f>IFERROR(__xludf.DUMMYFUNCTION("""COMPUTED_VALUE"""),"Mateo Henao")</f>
        <v>Mateo Henao</v>
      </c>
      <c r="B221" s="188" t="str">
        <f>IFERROR(__xludf.DUMMYFUNCTION("""COMPUTED_VALUE"""),"Elen Preciado")</f>
        <v>Elen Preciado</v>
      </c>
      <c r="C221" s="236">
        <f>IFERROR(__xludf.DUMMYFUNCTION("""COMPUTED_VALUE"""),45908.0)</f>
        <v>45908</v>
      </c>
      <c r="D221" s="187">
        <f>IFERROR(__xludf.DUMMYFUNCTION("""COMPUTED_VALUE"""),30.0)</f>
        <v>30</v>
      </c>
      <c r="E221" s="187" t="str">
        <f>IFERROR(__xludf.DUMMYFUNCTION("""COMPUTED_VALUE"""),"ATT")</f>
        <v>ATT</v>
      </c>
      <c r="F221" s="187" t="str">
        <f>IFERROR(__xludf.DUMMYFUNCTION("""COMPUTED_VALUE"""),"C1347")</f>
        <v>C1347</v>
      </c>
      <c r="G221" s="185" t="str">
        <f>IFERROR(__xludf.DUMMYFUNCTION("""COMPUTED_VALUE"""),"elen.preciado@buwelo.com")</f>
        <v>elen.preciado@buwelo.com</v>
      </c>
      <c r="H221" s="185" t="str">
        <f>IFERROR(__xludf.DUMMYFUNCTION("""COMPUTED_VALUE"""),"ho.epreciado")</f>
        <v>ho.epreciado</v>
      </c>
      <c r="I221" s="185" t="str">
        <f>IFERROR(__xludf.DUMMYFUNCTION("""COMPUTED_VALUE"""),"ATT")</f>
        <v>ATT</v>
      </c>
      <c r="J221" s="298"/>
      <c r="K221" s="283"/>
      <c r="L221" s="299"/>
      <c r="M221" s="300"/>
      <c r="N221" s="301"/>
      <c r="O221" s="302"/>
      <c r="P221" s="302"/>
      <c r="S221" s="305"/>
      <c r="T221" s="305"/>
      <c r="U221" s="306"/>
      <c r="V221" s="305"/>
      <c r="W221" s="305"/>
      <c r="X221" s="305"/>
      <c r="Y221" s="305"/>
      <c r="Z221" s="305"/>
      <c r="AD221" s="296"/>
      <c r="AE221" s="201"/>
      <c r="AF221" s="201"/>
      <c r="AG221" s="201"/>
      <c r="AH221" s="201"/>
      <c r="AI221" s="201"/>
      <c r="AJ221" s="201"/>
      <c r="AK221" s="201"/>
      <c r="AL221" s="201"/>
    </row>
    <row r="222">
      <c r="A222" s="187"/>
      <c r="B222" s="188"/>
      <c r="C222" s="236"/>
      <c r="D222" s="187"/>
      <c r="E222" s="187"/>
      <c r="F222" s="187"/>
      <c r="G222" s="185"/>
      <c r="H222" s="185"/>
      <c r="I222" s="185"/>
      <c r="J222" s="298"/>
      <c r="K222" s="283"/>
      <c r="L222" s="299"/>
      <c r="M222" s="300"/>
      <c r="N222" s="301"/>
      <c r="O222" s="302"/>
      <c r="P222" s="302"/>
      <c r="S222" s="305"/>
      <c r="T222" s="305"/>
      <c r="U222" s="306"/>
      <c r="V222" s="305"/>
      <c r="W222" s="305"/>
      <c r="X222" s="305"/>
      <c r="Y222" s="305"/>
      <c r="Z222" s="305"/>
      <c r="AD222" s="296"/>
      <c r="AE222" s="201"/>
      <c r="AF222" s="201"/>
      <c r="AG222" s="201"/>
      <c r="AH222" s="201"/>
      <c r="AI222" s="201"/>
      <c r="AJ222" s="201"/>
      <c r="AK222" s="201"/>
      <c r="AL222" s="201"/>
    </row>
    <row r="223">
      <c r="A223" s="187" t="str">
        <f>IFERROR(__xludf.DUMMYFUNCTION("""COMPUTED_VALUE"""),"OTROS AGENTES")</f>
        <v>OTROS AGENTES</v>
      </c>
      <c r="B223" s="188" t="str">
        <f>IFERROR(__xludf.DUMMYFUNCTION("""COMPUTED_VALUE"""),"OTROS AGENTES")</f>
        <v>OTROS AGENTES</v>
      </c>
      <c r="C223" s="236" t="str">
        <f>IFERROR(__xludf.DUMMYFUNCTION("""COMPUTED_VALUE"""),"OTROS AGENTES")</f>
        <v>OTROS AGENTES</v>
      </c>
      <c r="D223" s="187" t="str">
        <f>IFERROR(__xludf.DUMMYFUNCTION("""COMPUTED_VALUE"""),"OTROS AGENTES")</f>
        <v>OTROS AGENTES</v>
      </c>
      <c r="E223" s="187" t="str">
        <f>IFERROR(__xludf.DUMMYFUNCTION("""COMPUTED_VALUE"""),"OTROS AGENTES")</f>
        <v>OTROS AGENTES</v>
      </c>
      <c r="F223" s="187" t="str">
        <f>IFERROR(__xludf.DUMMYFUNCTION("""COMPUTED_VALUE"""),"OTROS AGENTES")</f>
        <v>OTROS AGENTES</v>
      </c>
      <c r="G223" s="185" t="str">
        <f>IFERROR(__xludf.DUMMYFUNCTION("""COMPUTED_VALUE"""),"OTROS AGENTES")</f>
        <v>OTROS AGENTES</v>
      </c>
      <c r="H223" s="185" t="str">
        <f>IFERROR(__xludf.DUMMYFUNCTION("""COMPUTED_VALUE"""),"OTROS AGENTES")</f>
        <v>OTROS AGENTES</v>
      </c>
      <c r="I223" s="185" t="str">
        <f>IFERROR(__xludf.DUMMYFUNCTION("""COMPUTED_VALUE"""),"OTROS AGENTES")</f>
        <v>OTROS AGENTES</v>
      </c>
      <c r="J223" s="298"/>
      <c r="K223" s="283"/>
      <c r="L223" s="299"/>
      <c r="M223" s="300"/>
      <c r="N223" s="301"/>
      <c r="O223" s="302"/>
      <c r="P223" s="302"/>
      <c r="S223" s="305"/>
      <c r="T223" s="305"/>
      <c r="U223" s="306"/>
      <c r="V223" s="305"/>
      <c r="W223" s="305"/>
      <c r="X223" s="305"/>
      <c r="Y223" s="305"/>
      <c r="Z223" s="305"/>
      <c r="AD223" s="296"/>
      <c r="AE223" s="201"/>
      <c r="AF223" s="201"/>
      <c r="AG223" s="201"/>
      <c r="AH223" s="201"/>
      <c r="AI223" s="201"/>
      <c r="AJ223" s="201"/>
      <c r="AK223" s="201"/>
      <c r="AL223" s="201"/>
    </row>
    <row r="224">
      <c r="A224" s="187"/>
      <c r="B224" s="188" t="str">
        <f>IFERROR(__xludf.DUMMYFUNCTION("""COMPUTED_VALUE"""),"Christiane Mae Suga (Buw)")</f>
        <v>Christiane Mae Suga (Buw)</v>
      </c>
      <c r="C224" s="236"/>
      <c r="D224" s="187"/>
      <c r="E224" s="187"/>
      <c r="F224" s="187"/>
      <c r="G224" s="185"/>
      <c r="H224" s="185"/>
      <c r="I224" s="185"/>
      <c r="J224" s="298"/>
      <c r="K224" s="283"/>
      <c r="L224" s="299"/>
      <c r="M224" s="300"/>
      <c r="N224" s="301"/>
      <c r="O224" s="302"/>
      <c r="P224" s="302"/>
      <c r="S224" s="305"/>
      <c r="T224" s="305"/>
      <c r="U224" s="306"/>
      <c r="V224" s="305"/>
      <c r="W224" s="305"/>
      <c r="X224" s="305"/>
      <c r="Y224" s="305"/>
      <c r="Z224" s="305"/>
      <c r="AD224" s="296"/>
      <c r="AE224" s="201"/>
      <c r="AF224" s="201"/>
      <c r="AG224" s="201"/>
      <c r="AH224" s="201"/>
      <c r="AI224" s="201"/>
      <c r="AJ224" s="201"/>
      <c r="AK224" s="201"/>
      <c r="AL224" s="201"/>
    </row>
    <row r="225">
      <c r="A225" s="187"/>
      <c r="B225" s="188" t="str">
        <f>IFERROR(__xludf.DUMMYFUNCTION("""COMPUTED_VALUE"""),"Aleksander Dorado (Buwp)")</f>
        <v>Aleksander Dorado (Buwp)</v>
      </c>
      <c r="C225" s="236"/>
      <c r="D225" s="187"/>
      <c r="E225" s="187"/>
      <c r="F225" s="187"/>
      <c r="G225" s="185"/>
      <c r="H225" s="185"/>
      <c r="I225" s="185"/>
      <c r="J225" s="298"/>
      <c r="K225" s="283"/>
      <c r="L225" s="299"/>
      <c r="M225" s="300"/>
      <c r="N225" s="301"/>
      <c r="O225" s="302"/>
      <c r="P225" s="302"/>
      <c r="S225" s="305"/>
      <c r="T225" s="305"/>
      <c r="U225" s="306"/>
      <c r="V225" s="305"/>
      <c r="W225" s="305"/>
      <c r="X225" s="305"/>
      <c r="Y225" s="305"/>
      <c r="Z225" s="305"/>
      <c r="AD225" s="296"/>
      <c r="AE225" s="201"/>
      <c r="AF225" s="201"/>
      <c r="AG225" s="201"/>
      <c r="AH225" s="201"/>
      <c r="AI225" s="201"/>
      <c r="AJ225" s="201"/>
      <c r="AK225" s="201"/>
      <c r="AL225" s="201"/>
    </row>
    <row r="226">
      <c r="A226" s="187"/>
      <c r="B226" s="188" t="str">
        <f>IFERROR(__xludf.DUMMYFUNCTION("""COMPUTED_VALUE"""),"Mary Jane Comia (Buwp)")</f>
        <v>Mary Jane Comia (Buwp)</v>
      </c>
      <c r="C226" s="236"/>
      <c r="D226" s="187"/>
      <c r="E226" s="187"/>
      <c r="F226" s="187"/>
      <c r="G226" s="185"/>
      <c r="H226" s="185"/>
      <c r="I226" s="185"/>
      <c r="J226" s="298"/>
      <c r="K226" s="283"/>
      <c r="L226" s="299"/>
      <c r="M226" s="300"/>
      <c r="N226" s="301"/>
      <c r="O226" s="302"/>
      <c r="P226" s="302"/>
      <c r="S226" s="305"/>
      <c r="T226" s="305"/>
      <c r="U226" s="306"/>
      <c r="V226" s="305"/>
      <c r="W226" s="305"/>
      <c r="X226" s="305"/>
      <c r="Y226" s="305"/>
      <c r="Z226" s="305"/>
      <c r="AD226" s="296"/>
      <c r="AE226" s="201"/>
      <c r="AF226" s="201"/>
      <c r="AG226" s="201"/>
      <c r="AH226" s="201"/>
      <c r="AI226" s="201"/>
      <c r="AJ226" s="201"/>
      <c r="AK226" s="201"/>
      <c r="AL226" s="201"/>
    </row>
    <row r="227">
      <c r="A227" s="187"/>
      <c r="B227" s="188" t="str">
        <f>IFERROR(__xludf.DUMMYFUNCTION("""COMPUTED_VALUE"""),"Jesse Badua (Buwp)")</f>
        <v>Jesse Badua (Buwp)</v>
      </c>
      <c r="C227" s="236"/>
      <c r="D227" s="187"/>
      <c r="E227" s="187"/>
      <c r="F227" s="187"/>
      <c r="G227" s="185"/>
      <c r="H227" s="185"/>
      <c r="I227" s="185"/>
      <c r="J227" s="298"/>
      <c r="K227" s="283"/>
      <c r="L227" s="299"/>
      <c r="M227" s="300"/>
      <c r="N227" s="301"/>
      <c r="O227" s="302"/>
      <c r="P227" s="302"/>
      <c r="S227" s="305"/>
      <c r="T227" s="305"/>
      <c r="U227" s="306"/>
      <c r="V227" s="305"/>
      <c r="W227" s="305"/>
      <c r="X227" s="305"/>
      <c r="Y227" s="305"/>
      <c r="Z227" s="305"/>
      <c r="AD227" s="296"/>
      <c r="AE227" s="201"/>
      <c r="AF227" s="201"/>
      <c r="AG227" s="201"/>
      <c r="AH227" s="201"/>
      <c r="AI227" s="201"/>
      <c r="AJ227" s="201"/>
      <c r="AK227" s="201"/>
      <c r="AL227" s="201"/>
    </row>
    <row r="228">
      <c r="A228" s="187"/>
      <c r="B228" s="188" t="str">
        <f>IFERROR(__xludf.DUMMYFUNCTION("""COMPUTED_VALUE"""),"Joyce Del Pilar (Buwp)")</f>
        <v>Joyce Del Pilar (Buwp)</v>
      </c>
      <c r="C228" s="236"/>
      <c r="D228" s="187"/>
      <c r="E228" s="187"/>
      <c r="F228" s="187"/>
      <c r="G228" s="185"/>
      <c r="H228" s="185"/>
      <c r="I228" s="185"/>
      <c r="J228" s="298"/>
      <c r="K228" s="283"/>
      <c r="L228" s="299"/>
      <c r="M228" s="300"/>
      <c r="N228" s="301"/>
      <c r="O228" s="302"/>
      <c r="P228" s="302"/>
      <c r="S228" s="305"/>
      <c r="T228" s="305"/>
      <c r="U228" s="306"/>
      <c r="V228" s="305"/>
      <c r="W228" s="305"/>
      <c r="X228" s="305"/>
      <c r="Y228" s="305"/>
      <c r="Z228" s="305"/>
      <c r="AD228" s="296"/>
      <c r="AE228" s="201"/>
      <c r="AF228" s="201"/>
      <c r="AG228" s="201"/>
      <c r="AH228" s="201"/>
      <c r="AI228" s="201"/>
      <c r="AJ228" s="201"/>
      <c r="AK228" s="201"/>
      <c r="AL228" s="201"/>
    </row>
    <row r="229">
      <c r="A229" s="187"/>
      <c r="B229" s="188" t="str">
        <f>IFERROR(__xludf.DUMMYFUNCTION("""COMPUTED_VALUE"""),"Kramnik Dale Lobrigat (Buwp)")</f>
        <v>Kramnik Dale Lobrigat (Buwp)</v>
      </c>
      <c r="C229" s="236"/>
      <c r="D229" s="187"/>
      <c r="E229" s="187"/>
      <c r="F229" s="187"/>
      <c r="G229" s="185"/>
      <c r="H229" s="185"/>
      <c r="I229" s="185"/>
      <c r="J229" s="298"/>
      <c r="K229" s="283"/>
      <c r="L229" s="299"/>
      <c r="M229" s="300"/>
      <c r="N229" s="301"/>
      <c r="O229" s="302"/>
      <c r="P229" s="302"/>
      <c r="S229" s="305"/>
      <c r="T229" s="305"/>
      <c r="U229" s="306"/>
      <c r="V229" s="305"/>
      <c r="W229" s="305"/>
      <c r="X229" s="305"/>
      <c r="Y229" s="305"/>
      <c r="Z229" s="305"/>
      <c r="AD229" s="296"/>
      <c r="AE229" s="201"/>
      <c r="AF229" s="201"/>
      <c r="AG229" s="201"/>
      <c r="AH229" s="201"/>
      <c r="AI229" s="201"/>
      <c r="AJ229" s="201"/>
      <c r="AK229" s="201"/>
      <c r="AL229" s="201"/>
    </row>
    <row r="230">
      <c r="A230" s="187"/>
      <c r="B230" s="188" t="str">
        <f>IFERROR(__xludf.DUMMYFUNCTION("""COMPUTED_VALUE"""),"Joshua Custodio (Buwp)")</f>
        <v>Joshua Custodio (Buwp)</v>
      </c>
      <c r="C230" s="236"/>
      <c r="D230" s="187"/>
      <c r="E230" s="187"/>
      <c r="F230" s="187"/>
      <c r="G230" s="185"/>
      <c r="H230" s="185"/>
      <c r="I230" s="185"/>
      <c r="J230" s="298"/>
      <c r="K230" s="283"/>
      <c r="L230" s="299"/>
      <c r="M230" s="300"/>
      <c r="N230" s="301"/>
      <c r="O230" s="302"/>
      <c r="P230" s="302"/>
      <c r="S230" s="305"/>
      <c r="T230" s="305"/>
      <c r="U230" s="306"/>
      <c r="V230" s="305"/>
      <c r="W230" s="305"/>
      <c r="X230" s="305"/>
      <c r="Y230" s="305"/>
      <c r="Z230" s="305"/>
      <c r="AD230" s="296"/>
      <c r="AE230" s="201"/>
      <c r="AF230" s="201"/>
      <c r="AG230" s="201"/>
      <c r="AH230" s="201"/>
      <c r="AI230" s="201"/>
      <c r="AJ230" s="201"/>
      <c r="AK230" s="201"/>
      <c r="AL230" s="201"/>
    </row>
    <row r="231">
      <c r="A231" s="187"/>
      <c r="B231" s="188" t="str">
        <f>IFERROR(__xludf.DUMMYFUNCTION("""COMPUTED_VALUE"""),"Sharie Mae Albiento (Buwp)")</f>
        <v>Sharie Mae Albiento (Buwp)</v>
      </c>
      <c r="C231" s="236"/>
      <c r="D231" s="187"/>
      <c r="E231" s="187"/>
      <c r="F231" s="187"/>
      <c r="G231" s="185"/>
      <c r="H231" s="185"/>
      <c r="I231" s="185"/>
      <c r="J231" s="298"/>
      <c r="K231" s="283"/>
      <c r="L231" s="299"/>
      <c r="M231" s="300"/>
      <c r="N231" s="301"/>
      <c r="O231" s="302"/>
      <c r="P231" s="302"/>
      <c r="S231" s="305"/>
      <c r="T231" s="305"/>
      <c r="U231" s="306"/>
      <c r="V231" s="305"/>
      <c r="W231" s="305"/>
      <c r="X231" s="305"/>
      <c r="Y231" s="305"/>
      <c r="Z231" s="305"/>
      <c r="AD231" s="296"/>
      <c r="AE231" s="201"/>
      <c r="AF231" s="201"/>
      <c r="AG231" s="201"/>
      <c r="AH231" s="201"/>
      <c r="AI231" s="201"/>
      <c r="AJ231" s="201"/>
      <c r="AK231" s="201"/>
      <c r="AL231" s="201"/>
    </row>
    <row r="232">
      <c r="A232" s="187"/>
      <c r="B232" s="188" t="str">
        <f>IFERROR(__xludf.DUMMYFUNCTION("""COMPUTED_VALUE"""),"Edlyn Matinito (Buwp)")</f>
        <v>Edlyn Matinito (Buwp)</v>
      </c>
      <c r="C232" s="236"/>
      <c r="D232" s="187"/>
      <c r="E232" s="187"/>
      <c r="F232" s="187"/>
      <c r="G232" s="185"/>
      <c r="H232" s="185"/>
      <c r="I232" s="185"/>
      <c r="J232" s="298"/>
      <c r="K232" s="283"/>
      <c r="L232" s="299"/>
      <c r="M232" s="300"/>
      <c r="N232" s="301"/>
      <c r="O232" s="302"/>
      <c r="P232" s="302"/>
      <c r="S232" s="305"/>
      <c r="T232" s="305"/>
      <c r="U232" s="306"/>
      <c r="V232" s="305"/>
      <c r="W232" s="305"/>
      <c r="X232" s="305"/>
      <c r="Y232" s="305"/>
      <c r="Z232" s="305"/>
      <c r="AD232" s="296"/>
      <c r="AE232" s="201"/>
      <c r="AF232" s="201"/>
      <c r="AG232" s="201"/>
      <c r="AH232" s="201"/>
      <c r="AI232" s="201"/>
      <c r="AJ232" s="201"/>
      <c r="AK232" s="201"/>
      <c r="AL232" s="201"/>
    </row>
    <row r="233">
      <c r="A233" s="187"/>
      <c r="B233" s="188" t="str">
        <f>IFERROR(__xludf.DUMMYFUNCTION("""COMPUTED_VALUE"""),"Jomari Santos (Buwp)")</f>
        <v>Jomari Santos (Buwp)</v>
      </c>
      <c r="C233" s="236"/>
      <c r="D233" s="187"/>
      <c r="E233" s="187"/>
      <c r="F233" s="187"/>
      <c r="G233" s="185"/>
      <c r="H233" s="185"/>
      <c r="I233" s="185"/>
      <c r="J233" s="298"/>
      <c r="K233" s="283"/>
      <c r="L233" s="299"/>
      <c r="M233" s="300"/>
      <c r="N233" s="301"/>
      <c r="O233" s="302"/>
      <c r="P233" s="302"/>
      <c r="S233" s="305"/>
      <c r="T233" s="305"/>
      <c r="U233" s="306"/>
      <c r="V233" s="305"/>
      <c r="W233" s="305"/>
      <c r="X233" s="305"/>
      <c r="Y233" s="305"/>
      <c r="Z233" s="305"/>
      <c r="AD233" s="296"/>
      <c r="AE233" s="201"/>
      <c r="AF233" s="201"/>
      <c r="AG233" s="201"/>
      <c r="AH233" s="201"/>
      <c r="AI233" s="201"/>
      <c r="AJ233" s="201"/>
      <c r="AK233" s="201"/>
      <c r="AL233" s="201"/>
    </row>
    <row r="234">
      <c r="A234" s="187"/>
      <c r="B234" s="188" t="str">
        <f>IFERROR(__xludf.DUMMYFUNCTION("""COMPUTED_VALUE"""),"Jan Keith Ponce (Buwp)")</f>
        <v>Jan Keith Ponce (Buwp)</v>
      </c>
      <c r="C234" s="236"/>
      <c r="D234" s="187"/>
      <c r="E234" s="187"/>
      <c r="F234" s="187"/>
      <c r="G234" s="185"/>
      <c r="H234" s="185"/>
      <c r="I234" s="185"/>
      <c r="J234" s="298"/>
      <c r="K234" s="283"/>
      <c r="L234" s="299"/>
      <c r="M234" s="300"/>
      <c r="N234" s="301"/>
      <c r="O234" s="302"/>
      <c r="P234" s="302"/>
      <c r="S234" s="305"/>
      <c r="T234" s="305"/>
      <c r="U234" s="306"/>
      <c r="V234" s="305"/>
      <c r="W234" s="305"/>
      <c r="X234" s="305"/>
      <c r="Y234" s="305"/>
      <c r="Z234" s="305"/>
      <c r="AD234" s="296"/>
      <c r="AE234" s="201"/>
      <c r="AF234" s="201"/>
      <c r="AG234" s="201"/>
      <c r="AH234" s="201"/>
      <c r="AI234" s="201"/>
      <c r="AJ234" s="201"/>
      <c r="AK234" s="201"/>
      <c r="AL234" s="201"/>
    </row>
    <row r="235">
      <c r="A235" s="187"/>
      <c r="B235" s="188" t="str">
        <f>IFERROR(__xludf.DUMMYFUNCTION("""COMPUTED_VALUE"""),"Donde Millanes (Buwp)")</f>
        <v>Donde Millanes (Buwp)</v>
      </c>
      <c r="C235" s="236"/>
      <c r="D235" s="187"/>
      <c r="E235" s="187"/>
      <c r="F235" s="187"/>
      <c r="G235" s="185"/>
      <c r="H235" s="185"/>
      <c r="I235" s="185"/>
      <c r="J235" s="298"/>
      <c r="K235" s="283"/>
      <c r="L235" s="299"/>
      <c r="M235" s="300"/>
      <c r="N235" s="301"/>
      <c r="O235" s="302"/>
      <c r="P235" s="302"/>
      <c r="S235" s="305"/>
      <c r="T235" s="305"/>
      <c r="U235" s="306"/>
      <c r="V235" s="305"/>
      <c r="W235" s="305"/>
      <c r="X235" s="305"/>
      <c r="Y235" s="305"/>
      <c r="Z235" s="305"/>
      <c r="AD235" s="296"/>
      <c r="AE235" s="201"/>
      <c r="AF235" s="201"/>
      <c r="AG235" s="201"/>
      <c r="AH235" s="201"/>
      <c r="AI235" s="201"/>
      <c r="AJ235" s="201"/>
      <c r="AK235" s="201"/>
      <c r="AL235" s="201"/>
    </row>
    <row r="236">
      <c r="A236" s="187"/>
      <c r="B236" s="188" t="str">
        <f>IFERROR(__xludf.DUMMYFUNCTION("""COMPUTED_VALUE"""),"Paul Ayssabel Sison (Buwp)")</f>
        <v>Paul Ayssabel Sison (Buwp)</v>
      </c>
      <c r="C236" s="236"/>
      <c r="D236" s="187"/>
      <c r="E236" s="187"/>
      <c r="F236" s="187"/>
      <c r="G236" s="185"/>
      <c r="H236" s="185"/>
      <c r="I236" s="185"/>
      <c r="J236" s="298"/>
      <c r="K236" s="283"/>
      <c r="L236" s="299"/>
      <c r="M236" s="300"/>
      <c r="N236" s="301"/>
      <c r="O236" s="302"/>
      <c r="P236" s="302"/>
      <c r="S236" s="305"/>
      <c r="T236" s="305"/>
      <c r="U236" s="306"/>
      <c r="V236" s="305"/>
      <c r="W236" s="305"/>
      <c r="X236" s="305"/>
      <c r="Y236" s="305"/>
      <c r="Z236" s="305"/>
      <c r="AD236" s="296"/>
      <c r="AE236" s="201"/>
      <c r="AF236" s="201"/>
      <c r="AG236" s="201"/>
      <c r="AH236" s="201"/>
      <c r="AI236" s="201"/>
      <c r="AJ236" s="201"/>
      <c r="AK236" s="201"/>
      <c r="AL236" s="201"/>
    </row>
    <row r="237">
      <c r="A237" s="187"/>
      <c r="B237" s="188" t="str">
        <f>IFERROR(__xludf.DUMMYFUNCTION("""COMPUTED_VALUE"""),"Eduard Jacob (Buwp)")</f>
        <v>Eduard Jacob (Buwp)</v>
      </c>
      <c r="C237" s="236"/>
      <c r="D237" s="187"/>
      <c r="E237" s="187"/>
      <c r="F237" s="187"/>
      <c r="G237" s="185"/>
      <c r="H237" s="185"/>
      <c r="I237" s="185"/>
      <c r="J237" s="298"/>
      <c r="K237" s="283"/>
      <c r="L237" s="299"/>
      <c r="M237" s="300"/>
      <c r="N237" s="301"/>
      <c r="O237" s="302"/>
      <c r="P237" s="302"/>
      <c r="S237" s="305"/>
      <c r="T237" s="305"/>
      <c r="U237" s="306"/>
      <c r="V237" s="305"/>
      <c r="W237" s="305"/>
      <c r="X237" s="305"/>
      <c r="Y237" s="305"/>
      <c r="Z237" s="305"/>
      <c r="AD237" s="296"/>
      <c r="AE237" s="201"/>
      <c r="AF237" s="201"/>
      <c r="AG237" s="201"/>
      <c r="AH237" s="201"/>
      <c r="AI237" s="201"/>
      <c r="AJ237" s="201"/>
      <c r="AK237" s="201"/>
      <c r="AL237" s="201"/>
    </row>
    <row r="238">
      <c r="A238" s="187"/>
      <c r="B238" s="188" t="str">
        <f>IFERROR(__xludf.DUMMYFUNCTION("""COMPUTED_VALUE"""),"Ronelyn Mangosing (Buwp)")</f>
        <v>Ronelyn Mangosing (Buwp)</v>
      </c>
      <c r="C238" s="236"/>
      <c r="D238" s="187"/>
      <c r="E238" s="187"/>
      <c r="F238" s="187"/>
      <c r="G238" s="185"/>
      <c r="H238" s="185"/>
      <c r="I238" s="185"/>
      <c r="J238" s="298"/>
      <c r="K238" s="283"/>
      <c r="L238" s="299"/>
      <c r="M238" s="300"/>
      <c r="N238" s="301"/>
      <c r="O238" s="302"/>
      <c r="P238" s="302"/>
      <c r="S238" s="305"/>
      <c r="T238" s="305"/>
      <c r="U238" s="306"/>
      <c r="V238" s="305"/>
      <c r="W238" s="305"/>
      <c r="X238" s="305"/>
      <c r="Y238" s="305"/>
      <c r="Z238" s="305"/>
      <c r="AD238" s="296"/>
      <c r="AE238" s="201"/>
      <c r="AF238" s="201"/>
      <c r="AG238" s="201"/>
      <c r="AH238" s="201"/>
      <c r="AI238" s="201"/>
      <c r="AJ238" s="201"/>
      <c r="AK238" s="201"/>
      <c r="AL238" s="201"/>
    </row>
    <row r="239">
      <c r="A239" s="187"/>
      <c r="B239" s="188" t="str">
        <f>IFERROR(__xludf.DUMMYFUNCTION("""COMPUTED_VALUE"""),"Giana Monica Roquino (Buwp)")</f>
        <v>Giana Monica Roquino (Buwp)</v>
      </c>
      <c r="C239" s="236"/>
      <c r="D239" s="187"/>
      <c r="E239" s="187"/>
      <c r="F239" s="187"/>
      <c r="G239" s="185"/>
      <c r="H239" s="185"/>
      <c r="I239" s="185"/>
      <c r="J239" s="298"/>
      <c r="K239" s="283"/>
      <c r="L239" s="299"/>
      <c r="M239" s="300"/>
      <c r="N239" s="301"/>
      <c r="O239" s="302"/>
      <c r="P239" s="302"/>
      <c r="S239" s="305"/>
      <c r="T239" s="305"/>
      <c r="U239" s="306"/>
      <c r="V239" s="305"/>
      <c r="W239" s="305"/>
      <c r="X239" s="305"/>
      <c r="Y239" s="305"/>
      <c r="Z239" s="305"/>
      <c r="AD239" s="296"/>
      <c r="AE239" s="201"/>
      <c r="AF239" s="201"/>
      <c r="AG239" s="201"/>
      <c r="AH239" s="201"/>
      <c r="AI239" s="201"/>
      <c r="AJ239" s="201"/>
      <c r="AK239" s="201"/>
      <c r="AL239" s="201"/>
    </row>
    <row r="240">
      <c r="A240" s="187"/>
      <c r="B240" s="188" t="str">
        <f>IFERROR(__xludf.DUMMYFUNCTION("""COMPUTED_VALUE"""),"Yvonne Gorospe (Buwp)")</f>
        <v>Yvonne Gorospe (Buwp)</v>
      </c>
      <c r="C240" s="236"/>
      <c r="D240" s="187"/>
      <c r="E240" s="187"/>
      <c r="F240" s="187"/>
      <c r="G240" s="185"/>
      <c r="H240" s="185"/>
      <c r="I240" s="185"/>
      <c r="J240" s="298"/>
      <c r="K240" s="283"/>
      <c r="L240" s="299"/>
      <c r="M240" s="300"/>
      <c r="N240" s="301"/>
      <c r="O240" s="302"/>
      <c r="P240" s="302"/>
      <c r="S240" s="305"/>
      <c r="T240" s="305"/>
      <c r="U240" s="306"/>
      <c r="V240" s="305"/>
      <c r="W240" s="305"/>
      <c r="X240" s="305"/>
      <c r="Y240" s="305"/>
      <c r="Z240" s="305"/>
      <c r="AD240" s="296"/>
      <c r="AE240" s="201"/>
      <c r="AF240" s="201"/>
      <c r="AG240" s="201"/>
      <c r="AH240" s="201"/>
      <c r="AI240" s="201"/>
      <c r="AJ240" s="201"/>
      <c r="AK240" s="201"/>
      <c r="AL240" s="201"/>
    </row>
    <row r="241">
      <c r="A241" s="187"/>
      <c r="B241" s="188" t="str">
        <f>IFERROR(__xludf.DUMMYFUNCTION("""COMPUTED_VALUE"""),"Ericka Faye Frondozo (Buwp)")</f>
        <v>Ericka Faye Frondozo (Buwp)</v>
      </c>
      <c r="C241" s="236"/>
      <c r="D241" s="187"/>
      <c r="E241" s="187"/>
      <c r="F241" s="187"/>
      <c r="G241" s="185"/>
      <c r="H241" s="185"/>
      <c r="I241" s="185"/>
      <c r="J241" s="298"/>
      <c r="K241" s="283"/>
      <c r="L241" s="299"/>
      <c r="M241" s="300"/>
      <c r="N241" s="301"/>
      <c r="O241" s="302"/>
      <c r="P241" s="302"/>
      <c r="S241" s="305"/>
      <c r="T241" s="305"/>
      <c r="U241" s="306"/>
      <c r="V241" s="305"/>
      <c r="W241" s="305"/>
      <c r="X241" s="305"/>
      <c r="Y241" s="305"/>
      <c r="Z241" s="305"/>
      <c r="AD241" s="296"/>
      <c r="AE241" s="201"/>
      <c r="AF241" s="201"/>
      <c r="AG241" s="201"/>
      <c r="AH241" s="201"/>
      <c r="AI241" s="201"/>
      <c r="AJ241" s="201"/>
      <c r="AK241" s="201"/>
      <c r="AL241" s="201"/>
    </row>
    <row r="242">
      <c r="A242" s="187"/>
      <c r="B242" s="188" t="str">
        <f>IFERROR(__xludf.DUMMYFUNCTION("""COMPUTED_VALUE"""),"Don Carlos Valencia (Buw)")</f>
        <v>Don Carlos Valencia (Buw)</v>
      </c>
      <c r="C242" s="236"/>
      <c r="D242" s="187"/>
      <c r="E242" s="187"/>
      <c r="F242" s="187"/>
      <c r="G242" s="185"/>
      <c r="H242" s="185"/>
      <c r="I242" s="185"/>
      <c r="J242" s="298"/>
      <c r="K242" s="283"/>
      <c r="L242" s="299"/>
      <c r="M242" s="300"/>
      <c r="N242" s="301"/>
      <c r="O242" s="302"/>
      <c r="P242" s="302"/>
      <c r="S242" s="305"/>
      <c r="T242" s="305"/>
      <c r="U242" s="306"/>
      <c r="V242" s="305"/>
      <c r="W242" s="305"/>
      <c r="X242" s="305"/>
      <c r="Y242" s="305"/>
      <c r="Z242" s="305"/>
      <c r="AD242" s="296"/>
      <c r="AE242" s="201"/>
      <c r="AF242" s="201"/>
      <c r="AG242" s="201"/>
      <c r="AH242" s="201"/>
      <c r="AI242" s="201"/>
      <c r="AJ242" s="201"/>
      <c r="AK242" s="201"/>
      <c r="AL242" s="201"/>
    </row>
    <row r="243">
      <c r="A243" s="187"/>
      <c r="B243" s="188" t="str">
        <f>IFERROR(__xludf.DUMMYFUNCTION("""COMPUTED_VALUE"""),"John Carlo Torres (Buwp)")</f>
        <v>John Carlo Torres (Buwp)</v>
      </c>
      <c r="C243" s="236"/>
      <c r="D243" s="187"/>
      <c r="E243" s="187"/>
      <c r="F243" s="187"/>
      <c r="G243" s="185"/>
      <c r="H243" s="185"/>
      <c r="I243" s="185"/>
      <c r="J243" s="298"/>
      <c r="K243" s="283"/>
      <c r="L243" s="299"/>
      <c r="M243" s="300"/>
      <c r="N243" s="301"/>
      <c r="O243" s="302"/>
      <c r="P243" s="302"/>
      <c r="S243" s="305"/>
      <c r="T243" s="305"/>
      <c r="U243" s="306"/>
      <c r="V243" s="305"/>
      <c r="W243" s="305"/>
      <c r="X243" s="305"/>
      <c r="Y243" s="305"/>
      <c r="Z243" s="305"/>
      <c r="AD243" s="296"/>
      <c r="AE243" s="201"/>
      <c r="AF243" s="201"/>
      <c r="AG243" s="201"/>
      <c r="AH243" s="201"/>
      <c r="AI243" s="201"/>
      <c r="AJ243" s="201"/>
      <c r="AK243" s="201"/>
      <c r="AL243" s="201"/>
    </row>
    <row r="244">
      <c r="A244" s="187"/>
      <c r="B244" s="188" t="str">
        <f>IFERROR(__xludf.DUMMYFUNCTION("""COMPUTED_VALUE"""),"Andrea Gigante (Buwp)")</f>
        <v>Andrea Gigante (Buwp)</v>
      </c>
      <c r="C244" s="236"/>
      <c r="D244" s="187"/>
      <c r="E244" s="187"/>
      <c r="F244" s="187"/>
      <c r="G244" s="185"/>
      <c r="H244" s="185"/>
      <c r="I244" s="185"/>
      <c r="J244" s="298"/>
      <c r="K244" s="283"/>
      <c r="L244" s="299"/>
      <c r="M244" s="300"/>
      <c r="N244" s="301"/>
      <c r="O244" s="302"/>
      <c r="P244" s="302"/>
      <c r="S244" s="305"/>
      <c r="T244" s="305"/>
      <c r="U244" s="306"/>
      <c r="V244" s="305"/>
      <c r="W244" s="305"/>
      <c r="X244" s="305"/>
      <c r="Y244" s="305"/>
      <c r="Z244" s="305"/>
      <c r="AD244" s="296"/>
      <c r="AE244" s="201"/>
      <c r="AF244" s="201"/>
      <c r="AG244" s="201"/>
      <c r="AH244" s="201"/>
      <c r="AI244" s="201"/>
      <c r="AJ244" s="201"/>
      <c r="AK244" s="201"/>
      <c r="AL244" s="201"/>
    </row>
    <row r="245">
      <c r="A245" s="187"/>
      <c r="B245" s="188" t="str">
        <f>IFERROR(__xludf.DUMMYFUNCTION("""COMPUTED_VALUE"""),"Aidalyn Liong (Buwp)")</f>
        <v>Aidalyn Liong (Buwp)</v>
      </c>
      <c r="C245" s="236"/>
      <c r="D245" s="187"/>
      <c r="E245" s="187"/>
      <c r="F245" s="187"/>
      <c r="G245" s="185"/>
      <c r="H245" s="185"/>
      <c r="I245" s="185"/>
      <c r="J245" s="298"/>
      <c r="K245" s="283"/>
      <c r="L245" s="299"/>
      <c r="M245" s="300"/>
      <c r="N245" s="301"/>
      <c r="O245" s="302"/>
      <c r="P245" s="302"/>
      <c r="S245" s="305"/>
      <c r="T245" s="305"/>
      <c r="U245" s="306"/>
      <c r="V245" s="305"/>
      <c r="W245" s="305"/>
      <c r="X245" s="305"/>
      <c r="Y245" s="305"/>
      <c r="Z245" s="305"/>
      <c r="AD245" s="296"/>
      <c r="AE245" s="201"/>
      <c r="AF245" s="201"/>
      <c r="AG245" s="201"/>
      <c r="AH245" s="201"/>
      <c r="AI245" s="201"/>
      <c r="AJ245" s="201"/>
      <c r="AK245" s="201"/>
      <c r="AL245" s="201"/>
    </row>
    <row r="246">
      <c r="A246" s="187"/>
      <c r="B246" s="188" t="str">
        <f>IFERROR(__xludf.DUMMYFUNCTION("""COMPUTED_VALUE"""),"Roxanne Echague (Buwp)")</f>
        <v>Roxanne Echague (Buwp)</v>
      </c>
      <c r="C246" s="236"/>
      <c r="D246" s="187"/>
      <c r="E246" s="187"/>
      <c r="F246" s="187"/>
      <c r="G246" s="185"/>
      <c r="H246" s="185"/>
      <c r="I246" s="185"/>
      <c r="J246" s="298"/>
      <c r="K246" s="283"/>
      <c r="L246" s="299"/>
      <c r="M246" s="300"/>
      <c r="N246" s="301"/>
      <c r="O246" s="302"/>
      <c r="P246" s="302"/>
      <c r="S246" s="305"/>
      <c r="T246" s="305"/>
      <c r="U246" s="306"/>
      <c r="V246" s="305"/>
      <c r="W246" s="305"/>
      <c r="X246" s="305"/>
      <c r="Y246" s="305"/>
      <c r="Z246" s="305"/>
      <c r="AD246" s="296"/>
      <c r="AE246" s="201"/>
      <c r="AF246" s="201"/>
      <c r="AG246" s="201"/>
      <c r="AH246" s="201"/>
      <c r="AI246" s="201"/>
      <c r="AJ246" s="201"/>
      <c r="AK246" s="201"/>
      <c r="AL246" s="201"/>
    </row>
    <row r="247">
      <c r="A247" s="187"/>
      <c r="B247" s="188" t="str">
        <f>IFERROR(__xludf.DUMMYFUNCTION("""COMPUTED_VALUE"""),"Maxine Carpio (Buwp)")</f>
        <v>Maxine Carpio (Buwp)</v>
      </c>
      <c r="C247" s="236"/>
      <c r="D247" s="187"/>
      <c r="E247" s="187"/>
      <c r="F247" s="187"/>
      <c r="G247" s="185"/>
      <c r="H247" s="185"/>
      <c r="I247" s="185"/>
      <c r="J247" s="298"/>
      <c r="K247" s="283"/>
      <c r="L247" s="299"/>
      <c r="M247" s="300"/>
      <c r="N247" s="301"/>
      <c r="O247" s="302"/>
      <c r="P247" s="302"/>
      <c r="S247" s="305"/>
      <c r="T247" s="305"/>
      <c r="U247" s="306"/>
      <c r="V247" s="305"/>
      <c r="W247" s="305"/>
      <c r="X247" s="305"/>
      <c r="Y247" s="305"/>
      <c r="Z247" s="305"/>
      <c r="AD247" s="296"/>
      <c r="AE247" s="201"/>
      <c r="AF247" s="201"/>
      <c r="AG247" s="201"/>
      <c r="AH247" s="201"/>
      <c r="AI247" s="201"/>
      <c r="AJ247" s="201"/>
      <c r="AK247" s="201"/>
      <c r="AL247" s="201"/>
    </row>
    <row r="248">
      <c r="A248" s="187"/>
      <c r="B248" s="188" t="str">
        <f>IFERROR(__xludf.DUMMYFUNCTION("""COMPUTED_VALUE"""),"Katrinaanne Valdenibro (Buwp)")</f>
        <v>Katrinaanne Valdenibro (Buwp)</v>
      </c>
      <c r="C248" s="236"/>
      <c r="D248" s="187"/>
      <c r="E248" s="187"/>
      <c r="F248" s="187"/>
      <c r="G248" s="185"/>
      <c r="H248" s="185"/>
      <c r="I248" s="185"/>
      <c r="J248" s="298"/>
      <c r="K248" s="283"/>
      <c r="L248" s="299"/>
      <c r="M248" s="300"/>
      <c r="N248" s="301"/>
      <c r="O248" s="302"/>
      <c r="P248" s="302"/>
      <c r="S248" s="305"/>
      <c r="T248" s="305"/>
      <c r="U248" s="306"/>
      <c r="V248" s="305"/>
      <c r="W248" s="305"/>
      <c r="X248" s="305"/>
      <c r="Y248" s="305"/>
      <c r="Z248" s="305"/>
      <c r="AD248" s="296"/>
      <c r="AE248" s="201"/>
      <c r="AF248" s="201"/>
      <c r="AG248" s="201"/>
      <c r="AH248" s="201"/>
      <c r="AI248" s="201"/>
      <c r="AJ248" s="201"/>
      <c r="AK248" s="201"/>
      <c r="AL248" s="201"/>
    </row>
    <row r="249">
      <c r="A249" s="187"/>
      <c r="B249" s="188" t="str">
        <f>IFERROR(__xludf.DUMMYFUNCTION("""COMPUTED_VALUE"""),"Albemarle Antonio (Buwp)")</f>
        <v>Albemarle Antonio (Buwp)</v>
      </c>
      <c r="C249" s="236"/>
      <c r="D249" s="187"/>
      <c r="E249" s="187"/>
      <c r="F249" s="187"/>
      <c r="G249" s="185"/>
      <c r="H249" s="185"/>
      <c r="I249" s="185"/>
      <c r="J249" s="298"/>
      <c r="K249" s="283"/>
      <c r="L249" s="299"/>
      <c r="M249" s="300"/>
      <c r="N249" s="301"/>
      <c r="O249" s="302"/>
      <c r="P249" s="302"/>
      <c r="S249" s="305"/>
      <c r="T249" s="305"/>
      <c r="U249" s="306"/>
      <c r="V249" s="305"/>
      <c r="W249" s="305"/>
      <c r="X249" s="305"/>
      <c r="Y249" s="305"/>
      <c r="Z249" s="305"/>
      <c r="AD249" s="296"/>
      <c r="AE249" s="201"/>
      <c r="AF249" s="201"/>
      <c r="AG249" s="201"/>
      <c r="AH249" s="201"/>
      <c r="AI249" s="201"/>
      <c r="AJ249" s="201"/>
      <c r="AK249" s="201"/>
      <c r="AL249" s="201"/>
    </row>
    <row r="250">
      <c r="A250" s="187"/>
      <c r="B250" s="188" t="str">
        <f>IFERROR(__xludf.DUMMYFUNCTION("""COMPUTED_VALUE"""),"Farrah Francia (Buwp)")</f>
        <v>Farrah Francia (Buwp)</v>
      </c>
      <c r="C250" s="236"/>
      <c r="D250" s="187"/>
      <c r="E250" s="187"/>
      <c r="F250" s="187"/>
      <c r="G250" s="185"/>
      <c r="H250" s="185"/>
      <c r="I250" s="185"/>
      <c r="J250" s="298"/>
      <c r="K250" s="283"/>
      <c r="L250" s="299"/>
      <c r="M250" s="300"/>
      <c r="N250" s="301"/>
      <c r="O250" s="302"/>
      <c r="P250" s="302"/>
      <c r="S250" s="305"/>
      <c r="T250" s="305"/>
      <c r="U250" s="306"/>
      <c r="V250" s="305"/>
      <c r="W250" s="305"/>
      <c r="X250" s="305"/>
      <c r="Y250" s="305"/>
      <c r="Z250" s="305"/>
      <c r="AD250" s="296"/>
      <c r="AE250" s="201"/>
      <c r="AF250" s="201"/>
      <c r="AG250" s="201"/>
      <c r="AH250" s="201"/>
      <c r="AI250" s="201"/>
      <c r="AJ250" s="201"/>
      <c r="AK250" s="201"/>
      <c r="AL250" s="201"/>
    </row>
    <row r="251">
      <c r="A251" s="187"/>
      <c r="B251" s="188" t="str">
        <f>IFERROR(__xludf.DUMMYFUNCTION("""COMPUTED_VALUE"""),"Twinkle Amlog (Buw)")</f>
        <v>Twinkle Amlog (Buw)</v>
      </c>
      <c r="C251" s="236"/>
      <c r="D251" s="187"/>
      <c r="E251" s="187"/>
      <c r="F251" s="187"/>
      <c r="G251" s="185"/>
      <c r="H251" s="185"/>
      <c r="I251" s="185"/>
      <c r="J251" s="298"/>
      <c r="K251" s="283"/>
      <c r="L251" s="299"/>
      <c r="M251" s="300"/>
      <c r="N251" s="301"/>
      <c r="O251" s="302"/>
      <c r="P251" s="302"/>
      <c r="S251" s="305"/>
      <c r="T251" s="305"/>
      <c r="U251" s="306"/>
      <c r="V251" s="305"/>
      <c r="W251" s="305"/>
      <c r="X251" s="305"/>
      <c r="Y251" s="305"/>
      <c r="Z251" s="305"/>
      <c r="AD251" s="296"/>
      <c r="AE251" s="201"/>
      <c r="AF251" s="201"/>
      <c r="AG251" s="201"/>
      <c r="AH251" s="201"/>
      <c r="AI251" s="201"/>
      <c r="AJ251" s="201"/>
      <c r="AK251" s="201"/>
      <c r="AL251" s="201"/>
    </row>
    <row r="252">
      <c r="A252" s="187"/>
      <c r="B252" s="188"/>
      <c r="C252" s="236"/>
      <c r="D252" s="187"/>
      <c r="E252" s="187"/>
      <c r="F252" s="187"/>
      <c r="G252" s="185"/>
      <c r="H252" s="185"/>
      <c r="I252" s="185"/>
      <c r="J252" s="298"/>
      <c r="K252" s="283"/>
      <c r="L252" s="299"/>
      <c r="M252" s="300"/>
      <c r="N252" s="301"/>
      <c r="O252" s="302"/>
      <c r="P252" s="302"/>
      <c r="S252" s="305"/>
      <c r="T252" s="305"/>
      <c r="U252" s="306"/>
      <c r="V252" s="305"/>
      <c r="W252" s="305"/>
      <c r="X252" s="305"/>
      <c r="Y252" s="305"/>
      <c r="Z252" s="305"/>
      <c r="AD252" s="296"/>
      <c r="AE252" s="201"/>
      <c r="AF252" s="201"/>
      <c r="AG252" s="201"/>
      <c r="AH252" s="201"/>
      <c r="AI252" s="201"/>
      <c r="AJ252" s="201"/>
      <c r="AK252" s="201"/>
      <c r="AL252" s="201"/>
    </row>
    <row r="253">
      <c r="A253" s="187"/>
      <c r="B253" s="188" t="str">
        <f>IFERROR(__xludf.DUMMYFUNCTION("""COMPUTED_VALUE"""),"Jalen Quiambao (Buwp)")</f>
        <v>Jalen Quiambao (Buwp)</v>
      </c>
      <c r="C253" s="236"/>
      <c r="D253" s="187"/>
      <c r="E253" s="187"/>
      <c r="F253" s="187"/>
      <c r="G253" s="185"/>
      <c r="H253" s="185"/>
      <c r="I253" s="185"/>
      <c r="J253" s="298"/>
      <c r="K253" s="283"/>
      <c r="L253" s="299"/>
      <c r="M253" s="300"/>
      <c r="N253" s="301"/>
      <c r="O253" s="302"/>
      <c r="P253" s="302"/>
      <c r="S253" s="305"/>
      <c r="T253" s="305"/>
      <c r="U253" s="306"/>
      <c r="V253" s="305"/>
      <c r="W253" s="305"/>
      <c r="X253" s="305"/>
      <c r="Y253" s="305"/>
      <c r="Z253" s="305"/>
      <c r="AD253" s="296"/>
      <c r="AE253" s="201"/>
      <c r="AF253" s="201"/>
      <c r="AG253" s="201"/>
      <c r="AH253" s="201"/>
      <c r="AI253" s="201"/>
      <c r="AJ253" s="201"/>
      <c r="AK253" s="201"/>
      <c r="AL253" s="201"/>
    </row>
    <row r="254">
      <c r="A254" s="187"/>
      <c r="B254" s="188" t="str">
        <f>IFERROR(__xludf.DUMMYFUNCTION("""COMPUTED_VALUE"""),"Rae Marc Delacruz (Buwp)")</f>
        <v>Rae Marc Delacruz (Buwp)</v>
      </c>
      <c r="C254" s="236"/>
      <c r="D254" s="187"/>
      <c r="E254" s="187"/>
      <c r="F254" s="187"/>
      <c r="G254" s="185"/>
      <c r="H254" s="185"/>
      <c r="I254" s="185"/>
      <c r="J254" s="298"/>
      <c r="K254" s="283"/>
      <c r="L254" s="299"/>
      <c r="M254" s="300"/>
      <c r="N254" s="301"/>
      <c r="O254" s="302"/>
      <c r="P254" s="302"/>
      <c r="S254" s="305"/>
      <c r="T254" s="305"/>
      <c r="U254" s="306"/>
      <c r="V254" s="305"/>
      <c r="W254" s="305"/>
      <c r="X254" s="305"/>
      <c r="Y254" s="305"/>
      <c r="Z254" s="305"/>
      <c r="AD254" s="296"/>
      <c r="AE254" s="201"/>
      <c r="AF254" s="201"/>
      <c r="AG254" s="201"/>
      <c r="AH254" s="201"/>
      <c r="AI254" s="201"/>
      <c r="AJ254" s="201"/>
      <c r="AK254" s="201"/>
      <c r="AL254" s="201"/>
    </row>
    <row r="255">
      <c r="A255" s="187"/>
      <c r="B255" s="188" t="str">
        <f>IFERROR(__xludf.DUMMYFUNCTION("""COMPUTED_VALUE"""),"Stefen Moses Tan (Buwp)")</f>
        <v>Stefen Moses Tan (Buwp)</v>
      </c>
      <c r="C255" s="236"/>
      <c r="D255" s="187"/>
      <c r="E255" s="187"/>
      <c r="F255" s="187"/>
      <c r="G255" s="185"/>
      <c r="H255" s="185"/>
      <c r="I255" s="185"/>
      <c r="J255" s="298"/>
      <c r="K255" s="283"/>
      <c r="L255" s="299"/>
      <c r="M255" s="300"/>
      <c r="N255" s="301"/>
      <c r="O255" s="302"/>
      <c r="P255" s="302"/>
      <c r="S255" s="305"/>
      <c r="T255" s="305"/>
      <c r="U255" s="306"/>
      <c r="V255" s="305"/>
      <c r="W255" s="305"/>
      <c r="X255" s="305"/>
      <c r="Y255" s="305"/>
      <c r="Z255" s="305"/>
      <c r="AD255" s="296"/>
      <c r="AE255" s="201"/>
      <c r="AF255" s="201"/>
      <c r="AG255" s="201"/>
      <c r="AH255" s="201"/>
      <c r="AI255" s="201"/>
      <c r="AJ255" s="201"/>
      <c r="AK255" s="201"/>
      <c r="AL255" s="201"/>
    </row>
    <row r="256">
      <c r="A256" s="187"/>
      <c r="B256" s="188" t="str">
        <f>IFERROR(__xludf.DUMMYFUNCTION("""COMPUTED_VALUE"""),"Dyan Nicka Ignacio (Buwp)")</f>
        <v>Dyan Nicka Ignacio (Buwp)</v>
      </c>
      <c r="C256" s="236"/>
      <c r="D256" s="187"/>
      <c r="E256" s="187"/>
      <c r="F256" s="187"/>
      <c r="G256" s="185"/>
      <c r="H256" s="185"/>
      <c r="I256" s="185"/>
      <c r="J256" s="298"/>
      <c r="K256" s="283"/>
      <c r="L256" s="299"/>
      <c r="M256" s="300"/>
      <c r="N256" s="301"/>
      <c r="O256" s="302"/>
      <c r="P256" s="302"/>
      <c r="S256" s="305"/>
      <c r="T256" s="305"/>
      <c r="U256" s="306"/>
      <c r="V256" s="305"/>
      <c r="W256" s="305"/>
      <c r="X256" s="305"/>
      <c r="Y256" s="305"/>
      <c r="Z256" s="305"/>
      <c r="AD256" s="296"/>
      <c r="AE256" s="201"/>
      <c r="AF256" s="201"/>
      <c r="AG256" s="201"/>
      <c r="AH256" s="201"/>
      <c r="AI256" s="201"/>
      <c r="AJ256" s="201"/>
      <c r="AK256" s="201"/>
      <c r="AL256" s="201"/>
    </row>
    <row r="257">
      <c r="A257" s="187"/>
      <c r="B257" s="188"/>
      <c r="C257" s="236"/>
      <c r="D257" s="187"/>
      <c r="E257" s="187"/>
      <c r="F257" s="187"/>
      <c r="G257" s="185"/>
      <c r="H257" s="185"/>
      <c r="I257" s="185"/>
      <c r="J257" s="298"/>
      <c r="K257" s="283"/>
      <c r="L257" s="299"/>
      <c r="M257" s="300"/>
      <c r="N257" s="301"/>
      <c r="O257" s="302"/>
      <c r="P257" s="302"/>
      <c r="S257" s="305"/>
      <c r="T257" s="305"/>
      <c r="U257" s="306"/>
      <c r="V257" s="305"/>
      <c r="W257" s="305"/>
      <c r="X257" s="305"/>
      <c r="Y257" s="305"/>
      <c r="Z257" s="305"/>
      <c r="AD257" s="296"/>
      <c r="AE257" s="201"/>
      <c r="AF257" s="201"/>
      <c r="AG257" s="201"/>
      <c r="AH257" s="201"/>
      <c r="AI257" s="201"/>
      <c r="AJ257" s="201"/>
      <c r="AK257" s="201"/>
      <c r="AL257" s="201"/>
    </row>
    <row r="258">
      <c r="A258" s="187"/>
      <c r="B258" s="188" t="str">
        <f>IFERROR(__xludf.DUMMYFUNCTION("""COMPUTED_VALUE"""),"Att")</f>
        <v>Att</v>
      </c>
      <c r="C258" s="236"/>
      <c r="D258" s="187"/>
      <c r="E258" s="187"/>
      <c r="F258" s="187"/>
      <c r="G258" s="185"/>
      <c r="H258" s="185"/>
      <c r="I258" s="185"/>
      <c r="J258" s="298"/>
      <c r="K258" s="283"/>
      <c r="L258" s="299"/>
      <c r="M258" s="300"/>
      <c r="N258" s="301"/>
      <c r="O258" s="302"/>
      <c r="P258" s="302"/>
      <c r="S258" s="305"/>
      <c r="T258" s="305"/>
      <c r="U258" s="306"/>
      <c r="V258" s="305"/>
      <c r="W258" s="305"/>
      <c r="X258" s="305"/>
      <c r="Y258" s="305"/>
      <c r="Z258" s="305"/>
      <c r="AD258" s="296"/>
      <c r="AE258" s="201"/>
      <c r="AF258" s="201"/>
      <c r="AG258" s="201"/>
      <c r="AH258" s="201"/>
      <c r="AI258" s="201"/>
      <c r="AJ258" s="201"/>
      <c r="AK258" s="201"/>
      <c r="AL258" s="201"/>
    </row>
    <row r="259">
      <c r="A259" s="187"/>
      <c r="B259" s="188" t="str">
        <f>IFERROR(__xludf.DUMMYFUNCTION("""COMPUTED_VALUE"""),"Att")</f>
        <v>Att</v>
      </c>
      <c r="C259" s="236"/>
      <c r="D259" s="187"/>
      <c r="E259" s="187"/>
      <c r="F259" s="187"/>
      <c r="G259" s="185"/>
      <c r="H259" s="185"/>
      <c r="I259" s="185"/>
      <c r="J259" s="298"/>
      <c r="K259" s="283"/>
      <c r="L259" s="299"/>
      <c r="M259" s="300"/>
      <c r="N259" s="301"/>
      <c r="O259" s="302"/>
      <c r="P259" s="302"/>
      <c r="S259" s="305"/>
      <c r="T259" s="305"/>
      <c r="U259" s="306"/>
      <c r="V259" s="305"/>
      <c r="W259" s="305"/>
      <c r="X259" s="305"/>
      <c r="Y259" s="305"/>
      <c r="Z259" s="305"/>
      <c r="AD259" s="296"/>
      <c r="AE259" s="201"/>
      <c r="AF259" s="201"/>
      <c r="AG259" s="201"/>
      <c r="AH259" s="201"/>
      <c r="AI259" s="201"/>
      <c r="AJ259" s="201"/>
      <c r="AK259" s="201"/>
      <c r="AL259" s="201"/>
    </row>
    <row r="260">
      <c r="A260" s="187"/>
      <c r="B260" s="188" t="str">
        <f>IFERROR(__xludf.DUMMYFUNCTION("""COMPUTED_VALUE"""),"Junelsain Sachi (Buwp)")</f>
        <v>Junelsain Sachi (Buwp)</v>
      </c>
      <c r="C260" s="236"/>
      <c r="D260" s="187"/>
      <c r="E260" s="187"/>
      <c r="F260" s="187"/>
      <c r="G260" s="185"/>
      <c r="H260" s="185"/>
      <c r="I260" s="185"/>
      <c r="J260" s="298"/>
      <c r="K260" s="283"/>
      <c r="L260" s="299"/>
      <c r="M260" s="300"/>
      <c r="N260" s="301"/>
      <c r="O260" s="302"/>
      <c r="P260" s="302"/>
      <c r="S260" s="305"/>
      <c r="T260" s="305"/>
      <c r="U260" s="306"/>
      <c r="V260" s="305"/>
      <c r="W260" s="305"/>
      <c r="X260" s="305"/>
      <c r="Y260" s="305"/>
      <c r="Z260" s="305"/>
      <c r="AD260" s="296"/>
      <c r="AE260" s="201"/>
      <c r="AF260" s="201"/>
      <c r="AG260" s="201"/>
      <c r="AH260" s="201"/>
      <c r="AI260" s="201"/>
      <c r="AJ260" s="201"/>
      <c r="AK260" s="201"/>
      <c r="AL260" s="201"/>
    </row>
    <row r="261">
      <c r="A261" s="187"/>
      <c r="B261" s="188" t="str">
        <f>IFERROR(__xludf.DUMMYFUNCTION("""COMPUTED_VALUE"""),"Mark Vitus (Buwp)")</f>
        <v>Mark Vitus (Buwp)</v>
      </c>
      <c r="C261" s="236"/>
      <c r="D261" s="187"/>
      <c r="E261" s="187"/>
      <c r="F261" s="187"/>
      <c r="G261" s="185"/>
      <c r="H261" s="185"/>
      <c r="I261" s="185"/>
      <c r="J261" s="298"/>
      <c r="K261" s="283"/>
      <c r="L261" s="299"/>
      <c r="M261" s="300"/>
      <c r="N261" s="301"/>
      <c r="O261" s="302"/>
      <c r="P261" s="302"/>
      <c r="S261" s="305"/>
      <c r="T261" s="305"/>
      <c r="U261" s="306"/>
      <c r="V261" s="305"/>
      <c r="W261" s="305"/>
      <c r="X261" s="305"/>
      <c r="Y261" s="305"/>
      <c r="Z261" s="305"/>
      <c r="AD261" s="296"/>
      <c r="AE261" s="201"/>
      <c r="AF261" s="201"/>
      <c r="AG261" s="201"/>
      <c r="AH261" s="201"/>
      <c r="AI261" s="201"/>
      <c r="AJ261" s="201"/>
      <c r="AK261" s="201"/>
      <c r="AL261" s="201"/>
    </row>
    <row r="262">
      <c r="A262" s="187"/>
      <c r="B262" s="188" t="str">
        <f>IFERROR(__xludf.DUMMYFUNCTION("""COMPUTED_VALUE"""),"Johnny Carrillo")</f>
        <v>Johnny Carrillo</v>
      </c>
      <c r="C262" s="236"/>
      <c r="D262" s="187"/>
      <c r="E262" s="187"/>
      <c r="F262" s="187"/>
      <c r="G262" s="185"/>
      <c r="H262" s="185"/>
      <c r="I262" s="185"/>
      <c r="J262" s="298"/>
      <c r="K262" s="283"/>
      <c r="L262" s="299"/>
      <c r="M262" s="300"/>
      <c r="N262" s="301"/>
      <c r="O262" s="302"/>
      <c r="P262" s="302"/>
      <c r="S262" s="305"/>
      <c r="T262" s="305"/>
      <c r="U262" s="306"/>
      <c r="V262" s="305"/>
      <c r="W262" s="305"/>
      <c r="X262" s="305"/>
      <c r="Y262" s="305"/>
      <c r="Z262" s="305"/>
      <c r="AD262" s="296"/>
      <c r="AE262" s="201"/>
      <c r="AF262" s="201"/>
      <c r="AG262" s="201"/>
      <c r="AH262" s="201"/>
      <c r="AI262" s="201"/>
      <c r="AJ262" s="201"/>
      <c r="AK262" s="201"/>
      <c r="AL262" s="201"/>
    </row>
    <row r="263">
      <c r="A263" s="187"/>
      <c r="B263" s="188" t="str">
        <f>IFERROR(__xludf.DUMMYFUNCTION("""COMPUTED_VALUE"""),"Esteban Rodriguez")</f>
        <v>Esteban Rodriguez</v>
      </c>
      <c r="C263" s="236"/>
      <c r="D263" s="187"/>
      <c r="E263" s="187"/>
      <c r="F263" s="187"/>
      <c r="G263" s="185"/>
      <c r="H263" s="185"/>
      <c r="I263" s="185"/>
      <c r="J263" s="298"/>
      <c r="K263" s="283"/>
      <c r="L263" s="299"/>
      <c r="M263" s="300"/>
      <c r="N263" s="301"/>
      <c r="O263" s="302"/>
      <c r="P263" s="302"/>
      <c r="S263" s="305"/>
      <c r="T263" s="305"/>
      <c r="U263" s="306"/>
      <c r="V263" s="305"/>
      <c r="W263" s="305"/>
      <c r="X263" s="305"/>
      <c r="Y263" s="305"/>
      <c r="Z263" s="305"/>
      <c r="AD263" s="296"/>
      <c r="AE263" s="201"/>
      <c r="AF263" s="201"/>
      <c r="AG263" s="201"/>
      <c r="AH263" s="201"/>
      <c r="AI263" s="201"/>
      <c r="AJ263" s="201"/>
      <c r="AK263" s="201"/>
      <c r="AL263" s="201"/>
    </row>
    <row r="264">
      <c r="A264" s="187"/>
      <c r="B264" s="188" t="str">
        <f>IFERROR(__xludf.DUMMYFUNCTION("""COMPUTED_VALUE"""),"Meia Grace Navasca")</f>
        <v>Meia Grace Navasca</v>
      </c>
      <c r="C264" s="236"/>
      <c r="D264" s="187"/>
      <c r="E264" s="187"/>
      <c r="F264" s="187"/>
      <c r="G264" s="185"/>
      <c r="H264" s="185"/>
      <c r="I264" s="185"/>
      <c r="J264" s="298"/>
      <c r="K264" s="283"/>
      <c r="L264" s="299"/>
      <c r="M264" s="300"/>
      <c r="N264" s="301"/>
      <c r="O264" s="302"/>
      <c r="P264" s="302"/>
      <c r="S264" s="305"/>
      <c r="T264" s="305"/>
      <c r="U264" s="306"/>
      <c r="V264" s="305"/>
      <c r="W264" s="305"/>
      <c r="X264" s="305"/>
      <c r="Y264" s="305"/>
      <c r="Z264" s="305"/>
      <c r="AD264" s="296"/>
      <c r="AE264" s="201"/>
      <c r="AF264" s="201"/>
      <c r="AG264" s="201"/>
      <c r="AH264" s="201"/>
      <c r="AI264" s="201"/>
      <c r="AJ264" s="201"/>
      <c r="AK264" s="201"/>
      <c r="AL264" s="201"/>
    </row>
    <row r="265">
      <c r="A265" s="187"/>
      <c r="B265" s="188" t="str">
        <f>IFERROR(__xludf.DUMMYFUNCTION("""COMPUTED_VALUE"""),"Brian Ortega")</f>
        <v>Brian Ortega</v>
      </c>
      <c r="C265" s="236"/>
      <c r="D265" s="187"/>
      <c r="E265" s="187"/>
      <c r="F265" s="187"/>
      <c r="G265" s="185"/>
      <c r="H265" s="185"/>
      <c r="I265" s="185"/>
      <c r="J265" s="298"/>
      <c r="K265" s="283"/>
      <c r="L265" s="299"/>
      <c r="M265" s="300"/>
      <c r="N265" s="301"/>
      <c r="O265" s="302"/>
      <c r="P265" s="302"/>
      <c r="S265" s="305"/>
      <c r="T265" s="305"/>
      <c r="U265" s="306"/>
      <c r="V265" s="305"/>
      <c r="W265" s="305"/>
      <c r="X265" s="305"/>
      <c r="Y265" s="305"/>
      <c r="Z265" s="305"/>
      <c r="AD265" s="296"/>
      <c r="AE265" s="201"/>
      <c r="AF265" s="201"/>
      <c r="AG265" s="201"/>
      <c r="AH265" s="201"/>
      <c r="AI265" s="201"/>
      <c r="AJ265" s="201"/>
      <c r="AK265" s="201"/>
      <c r="AL265" s="201"/>
    </row>
    <row r="266">
      <c r="A266" s="187"/>
      <c r="B266" s="188" t="str">
        <f>IFERROR(__xludf.DUMMYFUNCTION("""COMPUTED_VALUE"""),"Beazarina Sulit")</f>
        <v>Beazarina Sulit</v>
      </c>
      <c r="C266" s="236"/>
      <c r="D266" s="187"/>
      <c r="E266" s="187"/>
      <c r="F266" s="187"/>
      <c r="G266" s="185"/>
      <c r="H266" s="185"/>
      <c r="I266" s="185"/>
      <c r="J266" s="298"/>
      <c r="K266" s="283"/>
      <c r="L266" s="299"/>
      <c r="M266" s="300"/>
      <c r="N266" s="301"/>
      <c r="O266" s="302"/>
      <c r="P266" s="302"/>
      <c r="S266" s="305"/>
      <c r="T266" s="305"/>
      <c r="U266" s="306"/>
      <c r="V266" s="305"/>
      <c r="W266" s="305"/>
      <c r="X266" s="305"/>
      <c r="Y266" s="305"/>
      <c r="Z266" s="305"/>
      <c r="AD266" s="296"/>
      <c r="AE266" s="201"/>
      <c r="AF266" s="201"/>
      <c r="AG266" s="201"/>
      <c r="AH266" s="201"/>
      <c r="AI266" s="201"/>
      <c r="AJ266" s="201"/>
      <c r="AK266" s="201"/>
      <c r="AL266" s="201"/>
    </row>
    <row r="267">
      <c r="A267" s="187"/>
      <c r="B267" s="188" t="str">
        <f>IFERROR(__xludf.DUMMYFUNCTION("""COMPUTED_VALUE"""),"Edward Morrison (Buwp)")</f>
        <v>Edward Morrison (Buwp)</v>
      </c>
      <c r="C267" s="236"/>
      <c r="D267" s="187"/>
      <c r="E267" s="187"/>
      <c r="F267" s="187"/>
      <c r="G267" s="185"/>
      <c r="H267" s="185"/>
      <c r="I267" s="185"/>
      <c r="J267" s="298"/>
      <c r="K267" s="283"/>
      <c r="L267" s="299"/>
      <c r="M267" s="300"/>
      <c r="N267" s="301"/>
      <c r="O267" s="302"/>
      <c r="P267" s="302"/>
      <c r="S267" s="305"/>
      <c r="T267" s="305"/>
      <c r="U267" s="306"/>
      <c r="V267" s="305"/>
      <c r="W267" s="305"/>
      <c r="X267" s="305"/>
      <c r="Y267" s="305"/>
      <c r="Z267" s="305"/>
      <c r="AD267" s="296"/>
      <c r="AE267" s="201"/>
      <c r="AF267" s="201"/>
      <c r="AG267" s="201"/>
      <c r="AH267" s="201"/>
      <c r="AI267" s="201"/>
      <c r="AJ267" s="201"/>
      <c r="AK267" s="201"/>
      <c r="AL267" s="201"/>
    </row>
    <row r="268">
      <c r="A268" s="187"/>
      <c r="B268" s="188" t="str">
        <f>IFERROR(__xludf.DUMMYFUNCTION("""COMPUTED_VALUE"""),"Joy Develez (Buwp)")</f>
        <v>Joy Develez (Buwp)</v>
      </c>
      <c r="C268" s="236"/>
      <c r="D268" s="187"/>
      <c r="E268" s="187"/>
      <c r="F268" s="187"/>
      <c r="G268" s="185"/>
      <c r="H268" s="185"/>
      <c r="I268" s="185"/>
      <c r="J268" s="298"/>
      <c r="K268" s="283"/>
      <c r="L268" s="299"/>
      <c r="M268" s="300"/>
      <c r="N268" s="301"/>
      <c r="O268" s="302"/>
      <c r="P268" s="302"/>
      <c r="S268" s="305"/>
      <c r="T268" s="305"/>
      <c r="U268" s="306"/>
      <c r="V268" s="305"/>
      <c r="W268" s="305"/>
      <c r="X268" s="305"/>
      <c r="Y268" s="305"/>
      <c r="Z268" s="305"/>
      <c r="AD268" s="296"/>
      <c r="AE268" s="201"/>
      <c r="AF268" s="201"/>
      <c r="AG268" s="201"/>
      <c r="AH268" s="201"/>
      <c r="AI268" s="201"/>
      <c r="AJ268" s="201"/>
      <c r="AK268" s="201"/>
      <c r="AL268" s="201"/>
    </row>
    <row r="269">
      <c r="A269" s="187"/>
      <c r="B269" s="188" t="str">
        <f>IFERROR(__xludf.DUMMYFUNCTION("""COMPUTED_VALUE"""),"Steissy Ramos (Buw)")</f>
        <v>Steissy Ramos (Buw)</v>
      </c>
      <c r="C269" s="236"/>
      <c r="D269" s="187"/>
      <c r="E269" s="187"/>
      <c r="F269" s="187"/>
      <c r="G269" s="185"/>
      <c r="H269" s="185"/>
      <c r="I269" s="185"/>
      <c r="J269" s="298"/>
      <c r="K269" s="283"/>
      <c r="L269" s="299"/>
      <c r="M269" s="300"/>
      <c r="N269" s="301"/>
      <c r="O269" s="302"/>
      <c r="P269" s="302"/>
      <c r="S269" s="305"/>
      <c r="T269" s="305"/>
      <c r="U269" s="306"/>
      <c r="V269" s="305"/>
      <c r="W269" s="305"/>
      <c r="X269" s="305"/>
      <c r="Y269" s="305"/>
      <c r="Z269" s="305"/>
      <c r="AD269" s="296"/>
      <c r="AE269" s="201"/>
      <c r="AF269" s="201"/>
      <c r="AG269" s="201"/>
      <c r="AH269" s="201"/>
      <c r="AI269" s="201"/>
      <c r="AJ269" s="201"/>
      <c r="AK269" s="201"/>
      <c r="AL269" s="201"/>
    </row>
    <row r="270">
      <c r="A270" s="187"/>
      <c r="B270" s="188" t="str">
        <f>IFERROR(__xludf.DUMMYFUNCTION("""COMPUTED_VALUE"""),"Verlene Labiano (Buwp)")</f>
        <v>Verlene Labiano (Buwp)</v>
      </c>
      <c r="C270" s="236"/>
      <c r="D270" s="187"/>
      <c r="E270" s="187"/>
      <c r="F270" s="187"/>
      <c r="G270" s="185"/>
      <c r="H270" s="185"/>
      <c r="I270" s="185"/>
      <c r="J270" s="298"/>
      <c r="K270" s="283"/>
      <c r="L270" s="299"/>
      <c r="M270" s="300"/>
      <c r="N270" s="301"/>
      <c r="O270" s="302"/>
      <c r="P270" s="302"/>
      <c r="S270" s="305"/>
      <c r="T270" s="305"/>
      <c r="U270" s="306"/>
      <c r="V270" s="305"/>
      <c r="W270" s="305"/>
      <c r="X270" s="305"/>
      <c r="Y270" s="305"/>
      <c r="Z270" s="305"/>
      <c r="AD270" s="296"/>
      <c r="AE270" s="201"/>
      <c r="AF270" s="201"/>
      <c r="AG270" s="201"/>
      <c r="AH270" s="201"/>
      <c r="AI270" s="201"/>
      <c r="AJ270" s="201"/>
      <c r="AK270" s="201"/>
      <c r="AL270" s="201"/>
    </row>
    <row r="271">
      <c r="A271" s="187"/>
      <c r="B271" s="188" t="str">
        <f>IFERROR(__xludf.DUMMYFUNCTION("""COMPUTED_VALUE"""),"Quim Vhenze Urena (Buwp)")</f>
        <v>Quim Vhenze Urena (Buwp)</v>
      </c>
      <c r="C271" s="236"/>
      <c r="D271" s="187"/>
      <c r="E271" s="187"/>
      <c r="F271" s="187"/>
      <c r="G271" s="185"/>
      <c r="H271" s="185"/>
      <c r="I271" s="185"/>
      <c r="J271" s="298"/>
      <c r="K271" s="283"/>
      <c r="L271" s="299"/>
      <c r="M271" s="300"/>
      <c r="N271" s="301"/>
      <c r="O271" s="302"/>
      <c r="P271" s="302"/>
      <c r="S271" s="305"/>
      <c r="T271" s="305"/>
      <c r="U271" s="306"/>
      <c r="V271" s="305"/>
      <c r="W271" s="305"/>
      <c r="X271" s="305"/>
      <c r="Y271" s="305"/>
      <c r="Z271" s="305"/>
      <c r="AD271" s="296"/>
      <c r="AE271" s="201"/>
      <c r="AF271" s="201"/>
      <c r="AG271" s="201"/>
      <c r="AH271" s="201"/>
      <c r="AI271" s="201"/>
      <c r="AJ271" s="201"/>
      <c r="AK271" s="201"/>
      <c r="AL271" s="201"/>
    </row>
    <row r="272">
      <c r="A272" s="187"/>
      <c r="B272" s="188" t="str">
        <f>IFERROR(__xludf.DUMMYFUNCTION("""COMPUTED_VALUE"""),"Ramon Maranan (Buwp)")</f>
        <v>Ramon Maranan (Buwp)</v>
      </c>
      <c r="C272" s="236"/>
      <c r="D272" s="187"/>
      <c r="E272" s="187"/>
      <c r="F272" s="187"/>
      <c r="G272" s="185"/>
      <c r="H272" s="185"/>
      <c r="I272" s="185"/>
      <c r="J272" s="298"/>
      <c r="K272" s="283"/>
      <c r="L272" s="299"/>
      <c r="M272" s="300"/>
      <c r="N272" s="301"/>
      <c r="O272" s="302"/>
      <c r="P272" s="302"/>
      <c r="S272" s="305"/>
      <c r="T272" s="305"/>
      <c r="U272" s="306"/>
      <c r="V272" s="305"/>
      <c r="W272" s="305"/>
      <c r="X272" s="305"/>
      <c r="Y272" s="305"/>
      <c r="Z272" s="305"/>
      <c r="AD272" s="296"/>
      <c r="AE272" s="201"/>
      <c r="AF272" s="201"/>
      <c r="AG272" s="201"/>
      <c r="AH272" s="201"/>
      <c r="AI272" s="201"/>
      <c r="AJ272" s="201"/>
      <c r="AK272" s="201"/>
      <c r="AL272" s="201"/>
    </row>
    <row r="273">
      <c r="A273" s="187"/>
      <c r="B273" s="188" t="str">
        <f>IFERROR(__xludf.DUMMYFUNCTION("""COMPUTED_VALUE"""),"Jeff Cuares (Buwp)")</f>
        <v>Jeff Cuares (Buwp)</v>
      </c>
      <c r="C273" s="236"/>
      <c r="D273" s="187"/>
      <c r="E273" s="187"/>
      <c r="F273" s="187"/>
      <c r="G273" s="185"/>
      <c r="H273" s="185"/>
      <c r="I273" s="185"/>
      <c r="J273" s="298"/>
      <c r="K273" s="283"/>
      <c r="L273" s="299"/>
      <c r="M273" s="300"/>
      <c r="N273" s="301"/>
      <c r="O273" s="302"/>
      <c r="P273" s="302"/>
      <c r="S273" s="305"/>
      <c r="T273" s="305"/>
      <c r="U273" s="306"/>
      <c r="V273" s="305"/>
      <c r="W273" s="305"/>
      <c r="X273" s="305"/>
      <c r="Y273" s="305"/>
      <c r="Z273" s="305"/>
      <c r="AD273" s="296"/>
      <c r="AE273" s="201"/>
      <c r="AF273" s="201"/>
      <c r="AG273" s="201"/>
      <c r="AH273" s="201"/>
      <c r="AI273" s="201"/>
      <c r="AJ273" s="201"/>
      <c r="AK273" s="201"/>
      <c r="AL273" s="201"/>
    </row>
    <row r="274">
      <c r="A274" s="187"/>
      <c r="B274" s="188" t="str">
        <f>IFERROR(__xludf.DUMMYFUNCTION("""COMPUTED_VALUE"""),"Carl Andrei Cava (Buwp)")</f>
        <v>Carl Andrei Cava (Buwp)</v>
      </c>
      <c r="C274" s="236"/>
      <c r="D274" s="187"/>
      <c r="E274" s="187"/>
      <c r="F274" s="187"/>
      <c r="G274" s="185"/>
      <c r="H274" s="185"/>
      <c r="I274" s="185"/>
      <c r="J274" s="298"/>
      <c r="K274" s="283"/>
      <c r="L274" s="299"/>
      <c r="M274" s="300"/>
      <c r="N274" s="301"/>
      <c r="O274" s="302"/>
      <c r="P274" s="302"/>
      <c r="S274" s="305"/>
      <c r="T274" s="305"/>
      <c r="U274" s="306"/>
      <c r="V274" s="305"/>
      <c r="W274" s="305"/>
      <c r="X274" s="305"/>
      <c r="Y274" s="305"/>
      <c r="Z274" s="305"/>
      <c r="AD274" s="296"/>
      <c r="AE274" s="201"/>
      <c r="AF274" s="201"/>
      <c r="AG274" s="201"/>
      <c r="AH274" s="201"/>
      <c r="AI274" s="201"/>
      <c r="AJ274" s="201"/>
      <c r="AK274" s="201"/>
      <c r="AL274" s="201"/>
    </row>
    <row r="275">
      <c r="A275" s="187"/>
      <c r="B275" s="188" t="str">
        <f>IFERROR(__xludf.DUMMYFUNCTION("""COMPUTED_VALUE"""),"Mary Donnah Galgalan (Buwp)")</f>
        <v>Mary Donnah Galgalan (Buwp)</v>
      </c>
      <c r="C275" s="236"/>
      <c r="D275" s="187"/>
      <c r="E275" s="187"/>
      <c r="F275" s="187"/>
      <c r="G275" s="185"/>
      <c r="H275" s="185"/>
      <c r="I275" s="185"/>
      <c r="J275" s="298"/>
      <c r="K275" s="283"/>
      <c r="L275" s="299"/>
      <c r="M275" s="300"/>
      <c r="N275" s="301"/>
      <c r="O275" s="302"/>
      <c r="P275" s="302"/>
      <c r="S275" s="305"/>
      <c r="T275" s="305"/>
      <c r="U275" s="306"/>
      <c r="V275" s="305"/>
      <c r="W275" s="305"/>
      <c r="X275" s="305"/>
      <c r="Y275" s="305"/>
      <c r="Z275" s="305"/>
      <c r="AD275" s="296"/>
      <c r="AE275" s="201"/>
      <c r="AF275" s="201"/>
      <c r="AG275" s="201"/>
      <c r="AH275" s="201"/>
      <c r="AI275" s="201"/>
      <c r="AJ275" s="201"/>
      <c r="AK275" s="201"/>
      <c r="AL275" s="201"/>
    </row>
    <row r="276">
      <c r="A276" s="187"/>
      <c r="B276" s="188" t="str">
        <f>IFERROR(__xludf.DUMMYFUNCTION("""COMPUTED_VALUE"""),"Angie Florez")</f>
        <v>Angie Florez</v>
      </c>
      <c r="C276" s="236"/>
      <c r="D276" s="187"/>
      <c r="E276" s="187"/>
      <c r="F276" s="187"/>
      <c r="G276" s="185"/>
      <c r="H276" s="185"/>
      <c r="I276" s="185"/>
      <c r="J276" s="298"/>
      <c r="K276" s="283"/>
      <c r="L276" s="299"/>
      <c r="M276" s="300"/>
      <c r="N276" s="301"/>
      <c r="O276" s="302"/>
      <c r="P276" s="302"/>
      <c r="S276" s="305"/>
      <c r="T276" s="305"/>
      <c r="U276" s="306"/>
      <c r="V276" s="305"/>
      <c r="W276" s="305"/>
      <c r="X276" s="305"/>
      <c r="Y276" s="305"/>
      <c r="Z276" s="305"/>
      <c r="AD276" s="296"/>
      <c r="AE276" s="201"/>
      <c r="AF276" s="201"/>
      <c r="AG276" s="201"/>
      <c r="AH276" s="201"/>
      <c r="AI276" s="201"/>
      <c r="AJ276" s="201"/>
      <c r="AK276" s="201"/>
      <c r="AL276" s="201"/>
    </row>
    <row r="277">
      <c r="A277" s="187"/>
      <c r="B277" s="188" t="str">
        <f>IFERROR(__xludf.DUMMYFUNCTION("""COMPUTED_VALUE"""),"Yrneh Tua")</f>
        <v>Yrneh Tua</v>
      </c>
      <c r="C277" s="236"/>
      <c r="D277" s="187"/>
      <c r="E277" s="187"/>
      <c r="F277" s="187"/>
      <c r="G277" s="185"/>
      <c r="H277" s="185"/>
      <c r="I277" s="185"/>
      <c r="J277" s="298"/>
      <c r="K277" s="283"/>
      <c r="L277" s="299"/>
      <c r="M277" s="300"/>
      <c r="N277" s="301"/>
      <c r="O277" s="302"/>
      <c r="P277" s="302"/>
      <c r="S277" s="305"/>
      <c r="T277" s="305"/>
      <c r="U277" s="306"/>
      <c r="V277" s="305"/>
      <c r="W277" s="305"/>
      <c r="X277" s="305"/>
      <c r="Y277" s="305"/>
      <c r="Z277" s="305"/>
      <c r="AD277" s="296"/>
      <c r="AE277" s="201"/>
      <c r="AF277" s="201"/>
      <c r="AG277" s="201"/>
      <c r="AH277" s="201"/>
      <c r="AI277" s="201"/>
      <c r="AJ277" s="201"/>
      <c r="AK277" s="201"/>
      <c r="AL277" s="201"/>
    </row>
    <row r="278">
      <c r="A278" s="187"/>
      <c r="B278" s="188" t="str">
        <f>IFERROR(__xludf.DUMMYFUNCTION("""COMPUTED_VALUE"""),"Edward Machado")</f>
        <v>Edward Machado</v>
      </c>
      <c r="C278" s="236"/>
      <c r="D278" s="187"/>
      <c r="E278" s="187"/>
      <c r="F278" s="187"/>
      <c r="G278" s="185"/>
      <c r="H278" s="185"/>
      <c r="I278" s="185"/>
      <c r="J278" s="298"/>
      <c r="K278" s="283"/>
      <c r="L278" s="299"/>
      <c r="M278" s="300"/>
      <c r="N278" s="301"/>
      <c r="O278" s="302"/>
      <c r="P278" s="302"/>
      <c r="S278" s="305"/>
      <c r="T278" s="305"/>
      <c r="U278" s="306"/>
      <c r="V278" s="305"/>
      <c r="W278" s="305"/>
      <c r="X278" s="305"/>
      <c r="Y278" s="305"/>
      <c r="Z278" s="305"/>
      <c r="AD278" s="296"/>
      <c r="AE278" s="201"/>
      <c r="AF278" s="201"/>
      <c r="AG278" s="201"/>
      <c r="AH278" s="201"/>
      <c r="AI278" s="201"/>
      <c r="AJ278" s="201"/>
      <c r="AK278" s="201"/>
      <c r="AL278" s="201"/>
    </row>
    <row r="279">
      <c r="A279" s="187"/>
      <c r="B279" s="188" t="str">
        <f>IFERROR(__xludf.DUMMYFUNCTION("""COMPUTED_VALUE"""),"Angie Florez")</f>
        <v>Angie Florez</v>
      </c>
      <c r="C279" s="236"/>
      <c r="D279" s="187"/>
      <c r="E279" s="187"/>
      <c r="F279" s="187"/>
      <c r="G279" s="185"/>
      <c r="H279" s="185"/>
      <c r="I279" s="185"/>
      <c r="J279" s="298"/>
      <c r="K279" s="283"/>
      <c r="L279" s="299"/>
      <c r="M279" s="300"/>
      <c r="N279" s="301"/>
      <c r="O279" s="302"/>
      <c r="P279" s="302"/>
      <c r="S279" s="305"/>
      <c r="T279" s="305"/>
      <c r="U279" s="306"/>
      <c r="V279" s="305"/>
      <c r="W279" s="305"/>
      <c r="X279" s="305"/>
      <c r="Y279" s="305"/>
      <c r="Z279" s="305"/>
      <c r="AD279" s="296"/>
      <c r="AE279" s="201"/>
      <c r="AF279" s="201"/>
      <c r="AG279" s="201"/>
      <c r="AH279" s="201"/>
      <c r="AI279" s="201"/>
      <c r="AJ279" s="201"/>
      <c r="AK279" s="201"/>
      <c r="AL279" s="201"/>
    </row>
    <row r="280">
      <c r="A280" s="187"/>
      <c r="B280" s="188" t="str">
        <f>IFERROR(__xludf.DUMMYFUNCTION("""COMPUTED_VALUE"""),"Diana Grace Macaspac (Buwp)")</f>
        <v>Diana Grace Macaspac (Buwp)</v>
      </c>
      <c r="C280" s="236"/>
      <c r="D280" s="187"/>
      <c r="E280" s="187"/>
      <c r="F280" s="187"/>
      <c r="G280" s="185"/>
      <c r="H280" s="185"/>
      <c r="I280" s="185"/>
      <c r="J280" s="298"/>
      <c r="K280" s="283"/>
      <c r="L280" s="299"/>
      <c r="M280" s="300"/>
      <c r="N280" s="301"/>
      <c r="O280" s="302"/>
      <c r="P280" s="302"/>
      <c r="S280" s="305"/>
      <c r="T280" s="305"/>
      <c r="U280" s="306"/>
      <c r="V280" s="305"/>
      <c r="W280" s="305"/>
      <c r="X280" s="305"/>
      <c r="Y280" s="305"/>
      <c r="Z280" s="305"/>
      <c r="AD280" s="296"/>
      <c r="AE280" s="201"/>
      <c r="AF280" s="201"/>
      <c r="AG280" s="201"/>
      <c r="AH280" s="201"/>
      <c r="AI280" s="201"/>
      <c r="AJ280" s="201"/>
      <c r="AK280" s="201"/>
      <c r="AL280" s="201"/>
    </row>
    <row r="281">
      <c r="A281" s="187"/>
      <c r="B281" s="188" t="str">
        <f>IFERROR(__xludf.DUMMYFUNCTION("""COMPUTED_VALUE"""),"Danize Ramirez (Buwp)")</f>
        <v>Danize Ramirez (Buwp)</v>
      </c>
      <c r="C281" s="236"/>
      <c r="D281" s="187"/>
      <c r="E281" s="187"/>
      <c r="F281" s="187"/>
      <c r="G281" s="185"/>
      <c r="H281" s="185"/>
      <c r="I281" s="185"/>
      <c r="J281" s="298"/>
      <c r="K281" s="283"/>
      <c r="L281" s="299"/>
      <c r="M281" s="300"/>
      <c r="N281" s="301"/>
      <c r="O281" s="302"/>
      <c r="P281" s="302"/>
      <c r="S281" s="305"/>
      <c r="T281" s="305"/>
      <c r="U281" s="306"/>
      <c r="V281" s="305"/>
      <c r="W281" s="305"/>
      <c r="X281" s="305"/>
      <c r="Y281" s="305"/>
      <c r="Z281" s="305"/>
      <c r="AD281" s="296"/>
      <c r="AE281" s="201"/>
      <c r="AF281" s="201"/>
      <c r="AG281" s="201"/>
      <c r="AH281" s="201"/>
      <c r="AI281" s="201"/>
      <c r="AJ281" s="201"/>
      <c r="AK281" s="201"/>
      <c r="AL281" s="201"/>
    </row>
    <row r="282">
      <c r="A282" s="187"/>
      <c r="B282" s="188" t="str">
        <f>IFERROR(__xludf.DUMMYFUNCTION("""COMPUTED_VALUE"""),"Romeo Francisco Perez")</f>
        <v>Romeo Francisco Perez</v>
      </c>
      <c r="C282" s="236"/>
      <c r="D282" s="187"/>
      <c r="E282" s="187"/>
      <c r="F282" s="187"/>
      <c r="G282" s="185"/>
      <c r="H282" s="185"/>
      <c r="I282" s="185"/>
      <c r="J282" s="298"/>
      <c r="K282" s="283"/>
      <c r="L282" s="299"/>
      <c r="M282" s="300"/>
      <c r="N282" s="301"/>
      <c r="O282" s="302"/>
      <c r="P282" s="302"/>
      <c r="S282" s="305"/>
      <c r="T282" s="305"/>
      <c r="U282" s="306"/>
      <c r="V282" s="305"/>
      <c r="W282" s="305"/>
      <c r="X282" s="305"/>
      <c r="Y282" s="305"/>
      <c r="Z282" s="305"/>
      <c r="AD282" s="296"/>
      <c r="AE282" s="201"/>
      <c r="AF282" s="201"/>
      <c r="AG282" s="201"/>
      <c r="AH282" s="201"/>
      <c r="AI282" s="201"/>
      <c r="AJ282" s="201"/>
      <c r="AK282" s="201"/>
      <c r="AL282" s="201"/>
    </row>
    <row r="283">
      <c r="A283" s="187"/>
      <c r="B283" s="188" t="str">
        <f>IFERROR(__xludf.DUMMYFUNCTION("""COMPUTED_VALUE"""),"Princess Lyca Donato (Buwp)")</f>
        <v>Princess Lyca Donato (Buwp)</v>
      </c>
      <c r="C283" s="236"/>
      <c r="D283" s="187"/>
      <c r="E283" s="187"/>
      <c r="F283" s="187"/>
      <c r="G283" s="185"/>
      <c r="H283" s="185"/>
      <c r="I283" s="185"/>
      <c r="J283" s="298"/>
      <c r="K283" s="283"/>
      <c r="L283" s="299"/>
      <c r="M283" s="300"/>
      <c r="N283" s="301"/>
      <c r="O283" s="302"/>
      <c r="P283" s="302"/>
      <c r="S283" s="305"/>
      <c r="T283" s="305"/>
      <c r="U283" s="306"/>
      <c r="V283" s="305"/>
      <c r="W283" s="305"/>
      <c r="X283" s="305"/>
      <c r="Y283" s="305"/>
      <c r="Z283" s="305"/>
      <c r="AD283" s="296"/>
      <c r="AE283" s="201"/>
      <c r="AF283" s="201"/>
      <c r="AG283" s="201"/>
      <c r="AH283" s="201"/>
      <c r="AI283" s="201"/>
      <c r="AJ283" s="201"/>
      <c r="AK283" s="201"/>
      <c r="AL283" s="201"/>
    </row>
    <row r="284">
      <c r="A284" s="187"/>
      <c r="B284" s="188" t="str">
        <f>IFERROR(__xludf.DUMMYFUNCTION("""COMPUTED_VALUE"""),"John Peter Gonzales (Buwp)")</f>
        <v>John Peter Gonzales (Buwp)</v>
      </c>
      <c r="C284" s="236"/>
      <c r="D284" s="187"/>
      <c r="E284" s="187"/>
      <c r="F284" s="187"/>
      <c r="G284" s="185"/>
      <c r="H284" s="185"/>
      <c r="I284" s="185"/>
      <c r="J284" s="298"/>
      <c r="K284" s="283"/>
      <c r="L284" s="299"/>
      <c r="M284" s="300"/>
      <c r="N284" s="301"/>
      <c r="O284" s="302"/>
      <c r="P284" s="302"/>
      <c r="S284" s="305"/>
      <c r="T284" s="305"/>
      <c r="U284" s="306"/>
      <c r="V284" s="305"/>
      <c r="W284" s="305"/>
      <c r="X284" s="305"/>
      <c r="Y284" s="305"/>
      <c r="Z284" s="305"/>
      <c r="AD284" s="296"/>
      <c r="AE284" s="201"/>
      <c r="AF284" s="201"/>
      <c r="AG284" s="201"/>
      <c r="AH284" s="201"/>
      <c r="AI284" s="201"/>
      <c r="AJ284" s="201"/>
      <c r="AK284" s="201"/>
      <c r="AL284" s="201"/>
    </row>
    <row r="285">
      <c r="A285" s="187"/>
      <c r="B285" s="188" t="str">
        <f>IFERROR(__xludf.DUMMYFUNCTION("""COMPUTED_VALUE"""),"Charly Acuna (Buw)")</f>
        <v>Charly Acuna (Buw)</v>
      </c>
      <c r="C285" s="236"/>
      <c r="D285" s="187"/>
      <c r="E285" s="187"/>
      <c r="F285" s="187"/>
      <c r="G285" s="185"/>
      <c r="H285" s="185"/>
      <c r="I285" s="185"/>
      <c r="J285" s="298"/>
      <c r="K285" s="283"/>
      <c r="L285" s="299"/>
      <c r="M285" s="300"/>
      <c r="N285" s="301"/>
      <c r="O285" s="302"/>
      <c r="P285" s="302"/>
      <c r="S285" s="305"/>
      <c r="T285" s="305"/>
      <c r="U285" s="306"/>
      <c r="V285" s="305"/>
      <c r="W285" s="305"/>
      <c r="X285" s="305"/>
      <c r="Y285" s="305"/>
      <c r="Z285" s="305"/>
      <c r="AD285" s="296"/>
      <c r="AE285" s="201"/>
      <c r="AF285" s="201"/>
      <c r="AG285" s="201"/>
      <c r="AH285" s="201"/>
      <c r="AI285" s="201"/>
      <c r="AJ285" s="201"/>
      <c r="AK285" s="201"/>
      <c r="AL285" s="201"/>
    </row>
    <row r="286">
      <c r="A286" s="187"/>
      <c r="B286" s="188" t="str">
        <f>IFERROR(__xludf.DUMMYFUNCTION("""COMPUTED_VALUE"""),"Cian Kyla Delosreyes (Buwp)")</f>
        <v>Cian Kyla Delosreyes (Buwp)</v>
      </c>
      <c r="C286" s="236"/>
      <c r="D286" s="187"/>
      <c r="E286" s="187"/>
      <c r="F286" s="187"/>
      <c r="G286" s="185"/>
      <c r="H286" s="185"/>
      <c r="I286" s="185"/>
      <c r="J286" s="298"/>
      <c r="K286" s="283"/>
      <c r="L286" s="299"/>
      <c r="M286" s="300"/>
      <c r="N286" s="301"/>
      <c r="O286" s="302"/>
      <c r="P286" s="302"/>
      <c r="S286" s="305"/>
      <c r="T286" s="305"/>
      <c r="U286" s="306"/>
      <c r="V286" s="305"/>
      <c r="W286" s="305"/>
      <c r="X286" s="305"/>
      <c r="Y286" s="305"/>
      <c r="Z286" s="305"/>
      <c r="AD286" s="296"/>
      <c r="AE286" s="201"/>
      <c r="AF286" s="201"/>
      <c r="AG286" s="201"/>
      <c r="AH286" s="201"/>
      <c r="AI286" s="201"/>
      <c r="AJ286" s="201"/>
      <c r="AK286" s="201"/>
      <c r="AL286" s="201"/>
    </row>
    <row r="287">
      <c r="A287" s="187"/>
      <c r="B287" s="188" t="str">
        <f>IFERROR(__xludf.DUMMYFUNCTION("""COMPUTED_VALUE"""),"Shiella Mae Royo (Tep)")</f>
        <v>Shiella Mae Royo (Tep)</v>
      </c>
      <c r="C287" s="236"/>
      <c r="D287" s="187"/>
      <c r="E287" s="187"/>
      <c r="F287" s="187"/>
      <c r="G287" s="185"/>
      <c r="H287" s="185"/>
      <c r="I287" s="185"/>
      <c r="J287" s="298"/>
      <c r="K287" s="283"/>
      <c r="L287" s="299"/>
      <c r="M287" s="300"/>
      <c r="N287" s="301"/>
      <c r="O287" s="302"/>
      <c r="P287" s="302"/>
      <c r="S287" s="305"/>
      <c r="T287" s="305"/>
      <c r="U287" s="306"/>
      <c r="V287" s="305"/>
      <c r="W287" s="305"/>
      <c r="X287" s="305"/>
      <c r="Y287" s="305"/>
      <c r="Z287" s="305"/>
      <c r="AD287" s="296"/>
      <c r="AE287" s="201"/>
      <c r="AF287" s="201"/>
      <c r="AG287" s="201"/>
      <c r="AH287" s="201"/>
      <c r="AI287" s="201"/>
      <c r="AJ287" s="201"/>
      <c r="AK287" s="201"/>
      <c r="AL287" s="201"/>
    </row>
    <row r="288">
      <c r="A288" s="187"/>
      <c r="B288" s="188" t="str">
        <f>IFERROR(__xludf.DUMMYFUNCTION("""COMPUTED_VALUE"""),"Meriam Rodriguez (Buwp)")</f>
        <v>Meriam Rodriguez (Buwp)</v>
      </c>
      <c r="C288" s="236"/>
      <c r="D288" s="187"/>
      <c r="E288" s="187"/>
      <c r="F288" s="187"/>
      <c r="G288" s="185"/>
      <c r="H288" s="185"/>
      <c r="I288" s="185"/>
      <c r="J288" s="298"/>
      <c r="K288" s="283"/>
      <c r="L288" s="299"/>
      <c r="M288" s="300"/>
      <c r="N288" s="301"/>
      <c r="O288" s="302"/>
      <c r="P288" s="302"/>
      <c r="S288" s="305"/>
      <c r="T288" s="305"/>
      <c r="U288" s="306"/>
      <c r="V288" s="305"/>
      <c r="W288" s="305"/>
      <c r="X288" s="305"/>
      <c r="Y288" s="305"/>
      <c r="Z288" s="305"/>
      <c r="AD288" s="296"/>
      <c r="AE288" s="201"/>
      <c r="AF288" s="201"/>
      <c r="AG288" s="201"/>
      <c r="AH288" s="201"/>
      <c r="AI288" s="201"/>
      <c r="AJ288" s="201"/>
      <c r="AK288" s="201"/>
      <c r="AL288" s="201"/>
    </row>
    <row r="289">
      <c r="A289" s="187"/>
      <c r="B289" s="188" t="str">
        <f>IFERROR(__xludf.DUMMYFUNCTION("""COMPUTED_VALUE"""),"Patrick Laurente (Buwp)")</f>
        <v>Patrick Laurente (Buwp)</v>
      </c>
      <c r="C289" s="236"/>
      <c r="D289" s="187"/>
      <c r="E289" s="187"/>
      <c r="F289" s="187"/>
      <c r="G289" s="185"/>
      <c r="H289" s="185"/>
      <c r="I289" s="185"/>
      <c r="J289" s="298"/>
      <c r="K289" s="283"/>
      <c r="L289" s="299"/>
      <c r="M289" s="300"/>
      <c r="N289" s="301"/>
      <c r="O289" s="302"/>
      <c r="P289" s="302"/>
      <c r="S289" s="305"/>
      <c r="T289" s="305"/>
      <c r="U289" s="306"/>
      <c r="V289" s="305"/>
      <c r="W289" s="305"/>
      <c r="X289" s="305"/>
      <c r="Y289" s="305"/>
      <c r="Z289" s="305"/>
      <c r="AD289" s="296"/>
      <c r="AE289" s="201"/>
      <c r="AF289" s="201"/>
      <c r="AG289" s="201"/>
      <c r="AH289" s="201"/>
      <c r="AI289" s="201"/>
      <c r="AJ289" s="201"/>
      <c r="AK289" s="201"/>
      <c r="AL289" s="201"/>
    </row>
    <row r="290">
      <c r="A290" s="187"/>
      <c r="B290" s="188" t="str">
        <f>IFERROR(__xludf.DUMMYFUNCTION("""COMPUTED_VALUE"""),"Tracy Beltran (Buwp)")</f>
        <v>Tracy Beltran (Buwp)</v>
      </c>
      <c r="C290" s="236"/>
      <c r="D290" s="187"/>
      <c r="E290" s="187"/>
      <c r="F290" s="187"/>
      <c r="G290" s="185"/>
      <c r="H290" s="185"/>
      <c r="I290" s="185"/>
      <c r="J290" s="298"/>
      <c r="K290" s="283"/>
      <c r="L290" s="299"/>
      <c r="M290" s="300"/>
      <c r="N290" s="301"/>
      <c r="O290" s="302"/>
      <c r="P290" s="302"/>
      <c r="S290" s="305"/>
      <c r="T290" s="305"/>
      <c r="U290" s="306"/>
      <c r="V290" s="305"/>
      <c r="W290" s="305"/>
      <c r="X290" s="305"/>
      <c r="Y290" s="305"/>
      <c r="Z290" s="305"/>
      <c r="AD290" s="296"/>
      <c r="AE290" s="201"/>
      <c r="AF290" s="201"/>
      <c r="AG290" s="201"/>
      <c r="AH290" s="201"/>
      <c r="AI290" s="201"/>
      <c r="AJ290" s="201"/>
      <c r="AK290" s="201"/>
      <c r="AL290" s="201"/>
    </row>
    <row r="291">
      <c r="A291" s="187"/>
      <c r="B291" s="188"/>
      <c r="C291" s="236"/>
      <c r="D291" s="187"/>
      <c r="E291" s="187"/>
      <c r="F291" s="187"/>
      <c r="G291" s="185"/>
      <c r="H291" s="185"/>
      <c r="I291" s="185"/>
      <c r="J291" s="298"/>
      <c r="K291" s="283"/>
      <c r="L291" s="299"/>
      <c r="M291" s="300"/>
      <c r="N291" s="301"/>
      <c r="O291" s="302"/>
      <c r="P291" s="302"/>
      <c r="S291" s="305"/>
      <c r="T291" s="305"/>
      <c r="U291" s="306"/>
      <c r="V291" s="305"/>
      <c r="W291" s="305"/>
      <c r="X291" s="305"/>
      <c r="Y291" s="305"/>
      <c r="Z291" s="305"/>
      <c r="AD291" s="296"/>
      <c r="AE291" s="201"/>
      <c r="AF291" s="201"/>
      <c r="AG291" s="201"/>
      <c r="AH291" s="201"/>
      <c r="AI291" s="201"/>
      <c r="AJ291" s="201"/>
      <c r="AK291" s="201"/>
      <c r="AL291" s="201"/>
    </row>
    <row r="292">
      <c r="A292" s="187"/>
      <c r="B292" s="188"/>
      <c r="C292" s="236"/>
      <c r="D292" s="187"/>
      <c r="E292" s="187"/>
      <c r="F292" s="187"/>
      <c r="G292" s="185"/>
      <c r="H292" s="185"/>
      <c r="I292" s="185"/>
      <c r="J292" s="298"/>
      <c r="K292" s="283"/>
      <c r="L292" s="299"/>
      <c r="M292" s="300"/>
      <c r="N292" s="301"/>
      <c r="O292" s="302"/>
      <c r="P292" s="302"/>
      <c r="S292" s="305"/>
      <c r="T292" s="305"/>
      <c r="U292" s="306"/>
      <c r="V292" s="305"/>
      <c r="W292" s="305"/>
      <c r="X292" s="305"/>
      <c r="Y292" s="305"/>
      <c r="Z292" s="305"/>
      <c r="AD292" s="296"/>
      <c r="AE292" s="201"/>
      <c r="AF292" s="201"/>
      <c r="AG292" s="201"/>
      <c r="AH292" s="201"/>
      <c r="AI292" s="201"/>
      <c r="AJ292" s="201"/>
      <c r="AK292" s="201"/>
      <c r="AL292" s="201"/>
    </row>
    <row r="293">
      <c r="A293" s="187"/>
      <c r="B293" s="188" t="str">
        <f>IFERROR(__xludf.DUMMYFUNCTION("""COMPUTED_VALUE"""),"Daquila Monterola (Buw)")</f>
        <v>Daquila Monterola (Buw)</v>
      </c>
      <c r="C293" s="236"/>
      <c r="D293" s="187"/>
      <c r="E293" s="187"/>
      <c r="F293" s="187"/>
      <c r="G293" s="185"/>
      <c r="H293" s="185"/>
      <c r="I293" s="185"/>
      <c r="J293" s="298"/>
      <c r="K293" s="283"/>
      <c r="L293" s="299"/>
      <c r="M293" s="300"/>
      <c r="N293" s="301"/>
      <c r="O293" s="302"/>
      <c r="P293" s="302"/>
      <c r="S293" s="305"/>
      <c r="T293" s="305"/>
      <c r="U293" s="306"/>
      <c r="V293" s="305"/>
      <c r="W293" s="305"/>
      <c r="X293" s="305"/>
      <c r="Y293" s="305"/>
      <c r="Z293" s="305"/>
      <c r="AD293" s="296"/>
      <c r="AE293" s="201"/>
      <c r="AF293" s="201"/>
      <c r="AG293" s="201"/>
      <c r="AH293" s="201"/>
      <c r="AI293" s="201"/>
      <c r="AJ293" s="201"/>
      <c r="AK293" s="201"/>
      <c r="AL293" s="201"/>
    </row>
    <row r="294">
      <c r="A294" s="187"/>
      <c r="B294" s="188" t="str">
        <f>IFERROR(__xludf.DUMMYFUNCTION("""COMPUTED_VALUE"""),"Ameer Borja (Buwp)")</f>
        <v>Ameer Borja (Buwp)</v>
      </c>
      <c r="C294" s="236"/>
      <c r="D294" s="187"/>
      <c r="E294" s="187"/>
      <c r="F294" s="187"/>
      <c r="G294" s="185"/>
      <c r="H294" s="185"/>
      <c r="I294" s="185"/>
      <c r="J294" s="298"/>
      <c r="K294" s="283"/>
      <c r="L294" s="299"/>
      <c r="M294" s="300"/>
      <c r="N294" s="301"/>
      <c r="O294" s="302"/>
      <c r="P294" s="302"/>
      <c r="S294" s="305"/>
      <c r="T294" s="305"/>
      <c r="U294" s="306"/>
      <c r="V294" s="305"/>
      <c r="W294" s="305"/>
      <c r="X294" s="305"/>
      <c r="Y294" s="305"/>
      <c r="Z294" s="305"/>
      <c r="AD294" s="296"/>
      <c r="AE294" s="201"/>
      <c r="AF294" s="201"/>
      <c r="AG294" s="201"/>
      <c r="AH294" s="201"/>
      <c r="AI294" s="201"/>
      <c r="AJ294" s="201"/>
      <c r="AK294" s="201"/>
      <c r="AL294" s="201"/>
    </row>
    <row r="295">
      <c r="A295" s="187"/>
      <c r="B295" s="188" t="str">
        <f>IFERROR(__xludf.DUMMYFUNCTION("""COMPUTED_VALUE"""),"Maria Eloisa Garay (Buwp)")</f>
        <v>Maria Eloisa Garay (Buwp)</v>
      </c>
      <c r="C295" s="236"/>
      <c r="D295" s="187"/>
      <c r="E295" s="187"/>
      <c r="F295" s="187"/>
      <c r="G295" s="185"/>
      <c r="H295" s="185"/>
      <c r="I295" s="185"/>
      <c r="J295" s="298"/>
      <c r="K295" s="283"/>
      <c r="L295" s="299"/>
      <c r="M295" s="300"/>
      <c r="N295" s="301"/>
      <c r="O295" s="302"/>
      <c r="P295" s="302"/>
      <c r="S295" s="305"/>
      <c r="T295" s="305"/>
      <c r="U295" s="306"/>
      <c r="V295" s="305"/>
      <c r="W295" s="305"/>
      <c r="X295" s="305"/>
      <c r="Y295" s="305"/>
      <c r="Z295" s="305"/>
      <c r="AD295" s="296"/>
      <c r="AE295" s="201"/>
      <c r="AF295" s="201"/>
      <c r="AG295" s="201"/>
      <c r="AH295" s="201"/>
      <c r="AI295" s="201"/>
      <c r="AJ295" s="201"/>
      <c r="AK295" s="201"/>
      <c r="AL295" s="201"/>
    </row>
    <row r="296">
      <c r="A296" s="187"/>
      <c r="B296" s="188" t="str">
        <f>IFERROR(__xludf.DUMMYFUNCTION("""COMPUTED_VALUE"""),"Samuel De Paz (Tep)")</f>
        <v>Samuel De Paz (Tep)</v>
      </c>
      <c r="C296" s="236"/>
      <c r="D296" s="187"/>
      <c r="E296" s="187"/>
      <c r="F296" s="187"/>
      <c r="G296" s="185"/>
      <c r="H296" s="185"/>
      <c r="I296" s="185"/>
      <c r="J296" s="298"/>
      <c r="K296" s="283"/>
      <c r="L296" s="299"/>
      <c r="M296" s="300"/>
      <c r="N296" s="301"/>
      <c r="O296" s="302"/>
      <c r="P296" s="302"/>
      <c r="S296" s="305"/>
      <c r="T296" s="305"/>
      <c r="U296" s="306"/>
      <c r="V296" s="305"/>
      <c r="W296" s="305"/>
      <c r="X296" s="305"/>
      <c r="Y296" s="305"/>
      <c r="Z296" s="305"/>
      <c r="AD296" s="296"/>
      <c r="AE296" s="201"/>
      <c r="AF296" s="201"/>
      <c r="AG296" s="201"/>
      <c r="AH296" s="201"/>
      <c r="AI296" s="201"/>
      <c r="AJ296" s="201"/>
      <c r="AK296" s="201"/>
      <c r="AL296" s="201"/>
    </row>
    <row r="297">
      <c r="A297" s="187"/>
      <c r="B297" s="188" t="str">
        <f>IFERROR(__xludf.DUMMYFUNCTION("""COMPUTED_VALUE"""),"Salome Lencioco (Wns)")</f>
        <v>Salome Lencioco (Wns)</v>
      </c>
      <c r="C297" s="236"/>
      <c r="D297" s="187"/>
      <c r="E297" s="187"/>
      <c r="F297" s="187"/>
      <c r="G297" s="185"/>
      <c r="H297" s="185"/>
      <c r="I297" s="185"/>
      <c r="J297" s="298"/>
      <c r="K297" s="283"/>
      <c r="L297" s="299"/>
      <c r="M297" s="300"/>
      <c r="N297" s="301"/>
      <c r="O297" s="302"/>
      <c r="P297" s="302"/>
      <c r="S297" s="305"/>
      <c r="T297" s="305"/>
      <c r="U297" s="306"/>
      <c r="V297" s="305"/>
      <c r="W297" s="305"/>
      <c r="X297" s="305"/>
      <c r="Y297" s="305"/>
      <c r="Z297" s="305"/>
      <c r="AD297" s="296"/>
      <c r="AE297" s="201"/>
      <c r="AF297" s="201"/>
      <c r="AG297" s="201"/>
      <c r="AH297" s="201"/>
      <c r="AI297" s="201"/>
      <c r="AJ297" s="201"/>
      <c r="AK297" s="201"/>
      <c r="AL297" s="201"/>
    </row>
    <row r="298">
      <c r="A298" s="187"/>
      <c r="B298" s="188" t="str">
        <f>IFERROR(__xludf.DUMMYFUNCTION("""COMPUTED_VALUE"""),"Del Sophia Ann Calderon (Buwp)")</f>
        <v>Del Sophia Ann Calderon (Buwp)</v>
      </c>
      <c r="C298" s="236"/>
      <c r="D298" s="187"/>
      <c r="E298" s="187"/>
      <c r="F298" s="187"/>
      <c r="G298" s="185"/>
      <c r="H298" s="185"/>
      <c r="I298" s="185"/>
      <c r="J298" s="298"/>
      <c r="K298" s="283"/>
      <c r="L298" s="299"/>
      <c r="M298" s="300"/>
      <c r="N298" s="301"/>
      <c r="O298" s="302"/>
      <c r="P298" s="302"/>
      <c r="S298" s="305"/>
      <c r="T298" s="305"/>
      <c r="U298" s="306"/>
      <c r="V298" s="305"/>
      <c r="W298" s="305"/>
      <c r="X298" s="305"/>
      <c r="Y298" s="305"/>
      <c r="Z298" s="305"/>
      <c r="AD298" s="296"/>
      <c r="AE298" s="201"/>
      <c r="AF298" s="201"/>
      <c r="AG298" s="201"/>
      <c r="AH298" s="201"/>
      <c r="AI298" s="201"/>
      <c r="AJ298" s="201"/>
      <c r="AK298" s="201"/>
      <c r="AL298" s="201"/>
    </row>
    <row r="299">
      <c r="A299" s="187"/>
      <c r="B299" s="188" t="str">
        <f>IFERROR(__xludf.DUMMYFUNCTION("""COMPUTED_VALUE"""),"Maureen Amenyape (Buw)")</f>
        <v>Maureen Amenyape (Buw)</v>
      </c>
      <c r="C299" s="236"/>
      <c r="D299" s="187"/>
      <c r="E299" s="187"/>
      <c r="F299" s="187"/>
      <c r="G299" s="185"/>
      <c r="H299" s="185"/>
      <c r="I299" s="185"/>
      <c r="J299" s="298"/>
      <c r="K299" s="283"/>
      <c r="L299" s="299"/>
      <c r="M299" s="300"/>
      <c r="N299" s="301"/>
      <c r="O299" s="302"/>
      <c r="P299" s="302"/>
      <c r="S299" s="305"/>
      <c r="T299" s="305"/>
      <c r="U299" s="306"/>
      <c r="V299" s="305"/>
      <c r="W299" s="305"/>
      <c r="X299" s="305"/>
      <c r="Y299" s="305"/>
      <c r="Z299" s="305"/>
      <c r="AD299" s="296"/>
      <c r="AE299" s="201"/>
      <c r="AF299" s="201"/>
      <c r="AG299" s="201"/>
      <c r="AH299" s="201"/>
      <c r="AI299" s="201"/>
      <c r="AJ299" s="201"/>
      <c r="AK299" s="201"/>
      <c r="AL299" s="201"/>
    </row>
    <row r="300">
      <c r="A300" s="187"/>
      <c r="B300" s="188" t="str">
        <f>IFERROR(__xludf.DUMMYFUNCTION("""COMPUTED_VALUE"""),"Deborah Amu (Buw)")</f>
        <v>Deborah Amu (Buw)</v>
      </c>
      <c r="C300" s="236"/>
      <c r="D300" s="187"/>
      <c r="E300" s="187"/>
      <c r="F300" s="187"/>
      <c r="G300" s="185"/>
      <c r="H300" s="185"/>
      <c r="I300" s="185"/>
      <c r="J300" s="298"/>
      <c r="K300" s="283"/>
      <c r="L300" s="299"/>
      <c r="M300" s="300"/>
      <c r="N300" s="301"/>
      <c r="O300" s="302"/>
      <c r="P300" s="302"/>
      <c r="S300" s="305"/>
      <c r="T300" s="305"/>
      <c r="U300" s="306"/>
      <c r="V300" s="305"/>
      <c r="W300" s="305"/>
      <c r="X300" s="305"/>
      <c r="Y300" s="305"/>
      <c r="Z300" s="305"/>
      <c r="AD300" s="296"/>
      <c r="AE300" s="201"/>
      <c r="AF300" s="201"/>
      <c r="AG300" s="201"/>
      <c r="AH300" s="201"/>
      <c r="AI300" s="201"/>
      <c r="AJ300" s="201"/>
      <c r="AK300" s="201"/>
      <c r="AL300" s="201"/>
    </row>
    <row r="301">
      <c r="A301" s="187"/>
      <c r="B301" s="188" t="str">
        <f>IFERROR(__xludf.DUMMYFUNCTION("""COMPUTED_VALUE"""),"Chrystian Restrepo (Buw)")</f>
        <v>Chrystian Restrepo (Buw)</v>
      </c>
      <c r="C301" s="236"/>
      <c r="D301" s="187"/>
      <c r="E301" s="187"/>
      <c r="F301" s="187"/>
      <c r="G301" s="185"/>
      <c r="H301" s="185"/>
      <c r="I301" s="185"/>
      <c r="J301" s="298"/>
      <c r="K301" s="283"/>
      <c r="L301" s="299"/>
      <c r="M301" s="300"/>
      <c r="N301" s="301"/>
      <c r="O301" s="302"/>
      <c r="P301" s="302"/>
      <c r="S301" s="305"/>
      <c r="T301" s="305"/>
      <c r="U301" s="306"/>
      <c r="V301" s="305"/>
      <c r="W301" s="305"/>
      <c r="X301" s="305"/>
      <c r="Y301" s="305"/>
      <c r="Z301" s="305"/>
      <c r="AD301" s="296"/>
      <c r="AE301" s="201"/>
      <c r="AF301" s="201"/>
      <c r="AG301" s="201"/>
      <c r="AH301" s="201"/>
      <c r="AI301" s="201"/>
      <c r="AJ301" s="201"/>
      <c r="AK301" s="201"/>
      <c r="AL301" s="201"/>
    </row>
    <row r="302">
      <c r="A302" s="187"/>
      <c r="B302" s="188" t="str">
        <f>IFERROR(__xludf.DUMMYFUNCTION("""COMPUTED_VALUE"""),"Carol Montoya (Buw)")</f>
        <v>Carol Montoya (Buw)</v>
      </c>
      <c r="C302" s="236"/>
      <c r="D302" s="187"/>
      <c r="E302" s="187"/>
      <c r="F302" s="187"/>
      <c r="G302" s="185"/>
      <c r="H302" s="185"/>
      <c r="I302" s="185"/>
      <c r="J302" s="298"/>
      <c r="K302" s="283"/>
      <c r="L302" s="299"/>
      <c r="M302" s="300"/>
      <c r="N302" s="301"/>
      <c r="O302" s="302"/>
      <c r="P302" s="302"/>
      <c r="S302" s="305"/>
      <c r="T302" s="305"/>
      <c r="U302" s="306"/>
      <c r="V302" s="305"/>
      <c r="W302" s="305"/>
      <c r="X302" s="305"/>
      <c r="Y302" s="305"/>
      <c r="Z302" s="305"/>
      <c r="AD302" s="296"/>
      <c r="AE302" s="201"/>
      <c r="AF302" s="201"/>
      <c r="AG302" s="201"/>
      <c r="AH302" s="201"/>
      <c r="AI302" s="201"/>
      <c r="AJ302" s="201"/>
      <c r="AK302" s="201"/>
      <c r="AL302" s="201"/>
    </row>
    <row r="303">
      <c r="A303" s="187"/>
      <c r="B303" s="188" t="str">
        <f>IFERROR(__xludf.DUMMYFUNCTION("""COMPUTED_VALUE"""),"Yaa Ampadu (Buw)")</f>
        <v>Yaa Ampadu (Buw)</v>
      </c>
      <c r="C303" s="236"/>
      <c r="D303" s="187"/>
      <c r="E303" s="187"/>
      <c r="F303" s="187"/>
      <c r="G303" s="185"/>
      <c r="H303" s="185"/>
      <c r="I303" s="185"/>
      <c r="J303" s="298"/>
      <c r="K303" s="283"/>
      <c r="L303" s="299"/>
      <c r="M303" s="300"/>
      <c r="N303" s="301"/>
      <c r="O303" s="302"/>
      <c r="P303" s="302"/>
      <c r="S303" s="305"/>
      <c r="T303" s="305"/>
      <c r="U303" s="306"/>
      <c r="V303" s="305"/>
      <c r="W303" s="305"/>
      <c r="X303" s="305"/>
      <c r="Y303" s="305"/>
      <c r="Z303" s="305"/>
      <c r="AD303" s="296"/>
      <c r="AE303" s="201"/>
      <c r="AF303" s="201"/>
      <c r="AG303" s="201"/>
      <c r="AH303" s="201"/>
      <c r="AI303" s="201"/>
      <c r="AJ303" s="201"/>
      <c r="AK303" s="201"/>
      <c r="AL303" s="201"/>
    </row>
    <row r="304">
      <c r="A304" s="187"/>
      <c r="B304" s="188" t="str">
        <f>IFERROR(__xludf.DUMMYFUNCTION("""COMPUTED_VALUE"""),"Jowleen Reyes (Buw)")</f>
        <v>Jowleen Reyes (Buw)</v>
      </c>
      <c r="C304" s="236"/>
      <c r="D304" s="187"/>
      <c r="E304" s="187"/>
      <c r="F304" s="187"/>
      <c r="G304" s="185"/>
      <c r="H304" s="185"/>
      <c r="I304" s="185"/>
      <c r="J304" s="298"/>
      <c r="K304" s="283"/>
      <c r="L304" s="299"/>
      <c r="M304" s="300"/>
      <c r="N304" s="301"/>
      <c r="O304" s="302"/>
      <c r="P304" s="302"/>
      <c r="S304" s="305"/>
      <c r="T304" s="305"/>
      <c r="U304" s="306"/>
      <c r="V304" s="305"/>
      <c r="W304" s="305"/>
      <c r="X304" s="305"/>
      <c r="Y304" s="305"/>
      <c r="Z304" s="305"/>
      <c r="AD304" s="296"/>
      <c r="AE304" s="201"/>
      <c r="AF304" s="201"/>
      <c r="AG304" s="201"/>
      <c r="AH304" s="201"/>
      <c r="AI304" s="201"/>
      <c r="AJ304" s="201"/>
      <c r="AK304" s="201"/>
      <c r="AL304" s="201"/>
    </row>
    <row r="305">
      <c r="A305" s="187"/>
      <c r="B305" s="188" t="str">
        <f>IFERROR(__xludf.DUMMYFUNCTION("""COMPUTED_VALUE"""),"William Akore (Buw)")</f>
        <v>William Akore (Buw)</v>
      </c>
      <c r="C305" s="236"/>
      <c r="D305" s="187"/>
      <c r="E305" s="187"/>
      <c r="F305" s="187"/>
      <c r="G305" s="185"/>
      <c r="H305" s="185"/>
      <c r="I305" s="185"/>
      <c r="J305" s="298"/>
      <c r="K305" s="283"/>
      <c r="L305" s="299"/>
      <c r="M305" s="300"/>
      <c r="N305" s="301"/>
      <c r="O305" s="302"/>
      <c r="P305" s="302"/>
      <c r="S305" s="305"/>
      <c r="T305" s="305"/>
      <c r="U305" s="306"/>
      <c r="V305" s="305"/>
      <c r="W305" s="305"/>
      <c r="X305" s="305"/>
      <c r="Y305" s="305"/>
      <c r="Z305" s="305"/>
      <c r="AD305" s="296"/>
      <c r="AE305" s="201"/>
      <c r="AF305" s="201"/>
      <c r="AG305" s="201"/>
      <c r="AH305" s="201"/>
      <c r="AI305" s="201"/>
      <c r="AJ305" s="201"/>
      <c r="AK305" s="201"/>
      <c r="AL305" s="201"/>
    </row>
    <row r="306">
      <c r="A306" s="187"/>
      <c r="B306" s="188" t="str">
        <f>IFERROR(__xludf.DUMMYFUNCTION("""COMPUTED_VALUE"""),"Helen Amanor (Buw)")</f>
        <v>Helen Amanor (Buw)</v>
      </c>
      <c r="C306" s="236"/>
      <c r="D306" s="187"/>
      <c r="E306" s="187"/>
      <c r="F306" s="187"/>
      <c r="G306" s="185"/>
      <c r="H306" s="185"/>
      <c r="I306" s="185"/>
      <c r="J306" s="298"/>
      <c r="K306" s="283"/>
      <c r="L306" s="299"/>
      <c r="M306" s="300"/>
      <c r="N306" s="301"/>
      <c r="O306" s="302"/>
      <c r="P306" s="302"/>
      <c r="S306" s="305"/>
      <c r="T306" s="305"/>
      <c r="U306" s="306"/>
      <c r="V306" s="305"/>
      <c r="W306" s="305"/>
      <c r="X306" s="305"/>
      <c r="Y306" s="305"/>
      <c r="Z306" s="305"/>
      <c r="AD306" s="296"/>
      <c r="AE306" s="201"/>
      <c r="AF306" s="201"/>
      <c r="AG306" s="201"/>
      <c r="AH306" s="201"/>
      <c r="AI306" s="201"/>
      <c r="AJ306" s="201"/>
      <c r="AK306" s="201"/>
      <c r="AL306" s="201"/>
    </row>
    <row r="307">
      <c r="A307" s="187"/>
      <c r="B307" s="188" t="str">
        <f>IFERROR(__xludf.DUMMYFUNCTION("""COMPUTED_VALUE"""),"Nana Bosomtwi-Sam (Buw)")</f>
        <v>Nana Bosomtwi-Sam (Buw)</v>
      </c>
      <c r="C307" s="236"/>
      <c r="D307" s="187"/>
      <c r="E307" s="187"/>
      <c r="F307" s="187"/>
      <c r="G307" s="185"/>
      <c r="H307" s="185"/>
      <c r="I307" s="185"/>
      <c r="J307" s="298"/>
      <c r="K307" s="283"/>
      <c r="L307" s="299"/>
      <c r="M307" s="300"/>
      <c r="N307" s="301"/>
      <c r="O307" s="302"/>
      <c r="P307" s="302"/>
      <c r="S307" s="305"/>
      <c r="T307" s="305"/>
      <c r="U307" s="306"/>
      <c r="V307" s="305"/>
      <c r="W307" s="305"/>
      <c r="X307" s="305"/>
      <c r="Y307" s="305"/>
      <c r="Z307" s="305"/>
      <c r="AD307" s="296"/>
      <c r="AE307" s="201"/>
      <c r="AF307" s="201"/>
      <c r="AG307" s="201"/>
      <c r="AH307" s="201"/>
      <c r="AI307" s="201"/>
      <c r="AJ307" s="201"/>
      <c r="AK307" s="201"/>
      <c r="AL307" s="201"/>
    </row>
    <row r="308">
      <c r="A308" s="187"/>
      <c r="B308" s="188" t="str">
        <f>IFERROR(__xludf.DUMMYFUNCTION("""COMPUTED_VALUE"""),"Moses Banyen (Buw)")</f>
        <v>Moses Banyen (Buw)</v>
      </c>
      <c r="C308" s="236"/>
      <c r="D308" s="187"/>
      <c r="E308" s="187"/>
      <c r="F308" s="187"/>
      <c r="G308" s="185"/>
      <c r="H308" s="185"/>
      <c r="I308" s="185"/>
      <c r="J308" s="298"/>
      <c r="K308" s="283"/>
      <c r="L308" s="299"/>
      <c r="M308" s="300"/>
      <c r="N308" s="301"/>
      <c r="O308" s="302"/>
      <c r="P308" s="302"/>
      <c r="S308" s="305"/>
      <c r="T308" s="305"/>
      <c r="U308" s="306"/>
      <c r="V308" s="305"/>
      <c r="W308" s="305"/>
      <c r="X308" s="305"/>
      <c r="Y308" s="305"/>
      <c r="Z308" s="305"/>
      <c r="AD308" s="296"/>
      <c r="AE308" s="201"/>
      <c r="AF308" s="201"/>
      <c r="AG308" s="201"/>
      <c r="AH308" s="201"/>
      <c r="AI308" s="201"/>
      <c r="AJ308" s="201"/>
      <c r="AK308" s="201"/>
      <c r="AL308" s="201"/>
    </row>
    <row r="309">
      <c r="A309" s="187"/>
      <c r="B309" s="188" t="str">
        <f>IFERROR(__xludf.DUMMYFUNCTION("""COMPUTED_VALUE"""),"Freda Mensah (Buw)")</f>
        <v>Freda Mensah (Buw)</v>
      </c>
      <c r="C309" s="236"/>
      <c r="D309" s="187"/>
      <c r="E309" s="187"/>
      <c r="F309" s="187"/>
      <c r="G309" s="185"/>
      <c r="H309" s="185"/>
      <c r="I309" s="185"/>
      <c r="J309" s="298"/>
      <c r="K309" s="283"/>
      <c r="L309" s="299"/>
      <c r="M309" s="300"/>
      <c r="N309" s="301"/>
      <c r="O309" s="302"/>
      <c r="P309" s="302"/>
      <c r="S309" s="305"/>
      <c r="T309" s="305"/>
      <c r="U309" s="306"/>
      <c r="V309" s="305"/>
      <c r="W309" s="305"/>
      <c r="X309" s="305"/>
      <c r="Y309" s="305"/>
      <c r="Z309" s="305"/>
      <c r="AD309" s="296"/>
      <c r="AE309" s="201"/>
      <c r="AF309" s="201"/>
      <c r="AG309" s="201"/>
      <c r="AH309" s="201"/>
      <c r="AI309" s="201"/>
      <c r="AJ309" s="201"/>
      <c r="AK309" s="201"/>
      <c r="AL309" s="201"/>
    </row>
    <row r="310">
      <c r="A310" s="187"/>
      <c r="B310" s="188" t="str">
        <f>IFERROR(__xludf.DUMMYFUNCTION("""COMPUTED_VALUE"""),"Ernest Aboagye-Mensah (Buw)")</f>
        <v>Ernest Aboagye-Mensah (Buw)</v>
      </c>
      <c r="C310" s="236"/>
      <c r="D310" s="187"/>
      <c r="E310" s="187"/>
      <c r="F310" s="187"/>
      <c r="G310" s="185"/>
      <c r="H310" s="185"/>
      <c r="I310" s="185"/>
      <c r="J310" s="298"/>
      <c r="K310" s="283"/>
      <c r="L310" s="299"/>
      <c r="M310" s="300"/>
      <c r="N310" s="301"/>
      <c r="O310" s="302"/>
      <c r="P310" s="302"/>
      <c r="S310" s="305"/>
      <c r="T310" s="305"/>
      <c r="U310" s="306"/>
      <c r="V310" s="305"/>
      <c r="W310" s="305"/>
      <c r="X310" s="305"/>
      <c r="Y310" s="305"/>
      <c r="Z310" s="305"/>
      <c r="AD310" s="296"/>
      <c r="AE310" s="201"/>
      <c r="AF310" s="201"/>
      <c r="AG310" s="201"/>
      <c r="AH310" s="201"/>
      <c r="AI310" s="201"/>
      <c r="AJ310" s="201"/>
      <c r="AK310" s="201"/>
      <c r="AL310" s="201"/>
    </row>
    <row r="311">
      <c r="A311" s="187"/>
      <c r="B311" s="188" t="str">
        <f>IFERROR(__xludf.DUMMYFUNCTION("""COMPUTED_VALUE"""),"Emmanuella Nkrumah (Buw)")</f>
        <v>Emmanuella Nkrumah (Buw)</v>
      </c>
      <c r="C311" s="236"/>
      <c r="D311" s="187"/>
      <c r="E311" s="187"/>
      <c r="F311" s="187"/>
      <c r="G311" s="185"/>
      <c r="H311" s="185"/>
      <c r="I311" s="185"/>
      <c r="J311" s="298"/>
      <c r="K311" s="283"/>
      <c r="L311" s="299"/>
      <c r="M311" s="300"/>
      <c r="N311" s="301"/>
      <c r="O311" s="302"/>
      <c r="P311" s="302"/>
      <c r="S311" s="305"/>
      <c r="T311" s="305"/>
      <c r="U311" s="306"/>
      <c r="V311" s="305"/>
      <c r="W311" s="305"/>
      <c r="X311" s="305"/>
      <c r="Y311" s="305"/>
      <c r="Z311" s="305"/>
      <c r="AD311" s="296"/>
      <c r="AE311" s="201"/>
      <c r="AF311" s="201"/>
      <c r="AG311" s="201"/>
      <c r="AH311" s="201"/>
      <c r="AI311" s="201"/>
      <c r="AJ311" s="201"/>
      <c r="AK311" s="201"/>
      <c r="AL311" s="201"/>
    </row>
    <row r="312">
      <c r="A312" s="187"/>
      <c r="B312" s="188" t="str">
        <f>IFERROR(__xludf.DUMMYFUNCTION("""COMPUTED_VALUE"""),"Dianne Jewel Rivera (Buwp)")</f>
        <v>Dianne Jewel Rivera (Buwp)</v>
      </c>
      <c r="C312" s="236"/>
      <c r="D312" s="187"/>
      <c r="E312" s="187"/>
      <c r="F312" s="187"/>
      <c r="G312" s="185"/>
      <c r="H312" s="185"/>
      <c r="I312" s="185"/>
      <c r="J312" s="298"/>
      <c r="K312" s="283"/>
      <c r="L312" s="299"/>
      <c r="M312" s="300"/>
      <c r="N312" s="301"/>
      <c r="O312" s="302"/>
      <c r="P312" s="302"/>
      <c r="S312" s="305"/>
      <c r="T312" s="305"/>
      <c r="U312" s="306"/>
      <c r="V312" s="305"/>
      <c r="W312" s="305"/>
      <c r="X312" s="305"/>
      <c r="Y312" s="305"/>
      <c r="Z312" s="305"/>
      <c r="AD312" s="296"/>
      <c r="AE312" s="201"/>
      <c r="AF312" s="201"/>
      <c r="AG312" s="201"/>
      <c r="AH312" s="201"/>
      <c r="AI312" s="201"/>
      <c r="AJ312" s="201"/>
      <c r="AK312" s="201"/>
      <c r="AL312" s="201"/>
    </row>
    <row r="313">
      <c r="A313" s="187"/>
      <c r="B313" s="188" t="str">
        <f>IFERROR(__xludf.DUMMYFUNCTION("""COMPUTED_VALUE"""),"Anastacia Azibere (Buw)")</f>
        <v>Anastacia Azibere (Buw)</v>
      </c>
      <c r="C313" s="236"/>
      <c r="D313" s="187"/>
      <c r="E313" s="187"/>
      <c r="F313" s="187"/>
      <c r="G313" s="185"/>
      <c r="H313" s="185"/>
      <c r="I313" s="185"/>
      <c r="J313" s="298"/>
      <c r="K313" s="283"/>
      <c r="L313" s="299"/>
      <c r="M313" s="300"/>
      <c r="N313" s="301"/>
      <c r="O313" s="302"/>
      <c r="P313" s="302"/>
      <c r="S313" s="305"/>
      <c r="T313" s="305"/>
      <c r="U313" s="306"/>
      <c r="V313" s="305"/>
      <c r="W313" s="305"/>
      <c r="X313" s="305"/>
      <c r="Y313" s="305"/>
      <c r="Z313" s="305"/>
      <c r="AD313" s="296"/>
      <c r="AE313" s="201"/>
      <c r="AF313" s="201"/>
      <c r="AG313" s="201"/>
      <c r="AH313" s="201"/>
      <c r="AI313" s="201"/>
      <c r="AJ313" s="201"/>
      <c r="AK313" s="201"/>
      <c r="AL313" s="201"/>
    </row>
    <row r="314">
      <c r="A314" s="187"/>
      <c r="B314" s="188" t="str">
        <f>IFERROR(__xludf.DUMMYFUNCTION("""COMPUTED_VALUE"""),"Agnes Akadjah (Buw)")</f>
        <v>Agnes Akadjah (Buw)</v>
      </c>
      <c r="C314" s="236"/>
      <c r="D314" s="187"/>
      <c r="E314" s="187"/>
      <c r="F314" s="187"/>
      <c r="G314" s="185"/>
      <c r="H314" s="185"/>
      <c r="I314" s="185"/>
      <c r="J314" s="298"/>
      <c r="K314" s="283"/>
      <c r="L314" s="299"/>
      <c r="M314" s="300"/>
      <c r="N314" s="301"/>
      <c r="O314" s="302"/>
      <c r="P314" s="302"/>
      <c r="S314" s="305"/>
      <c r="T314" s="305"/>
      <c r="U314" s="306"/>
      <c r="V314" s="305"/>
      <c r="W314" s="305"/>
      <c r="X314" s="305"/>
      <c r="Y314" s="305"/>
      <c r="Z314" s="305"/>
      <c r="AD314" s="296"/>
      <c r="AE314" s="201"/>
      <c r="AF314" s="201"/>
      <c r="AG314" s="201"/>
      <c r="AH314" s="201"/>
      <c r="AI314" s="201"/>
      <c r="AJ314" s="201"/>
      <c r="AK314" s="201"/>
      <c r="AL314" s="201"/>
    </row>
    <row r="315">
      <c r="A315" s="187"/>
      <c r="B315" s="188" t="str">
        <f>IFERROR(__xludf.DUMMYFUNCTION("""COMPUTED_VALUE"""),"Vanessa Donkor (Buw)")</f>
        <v>Vanessa Donkor (Buw)</v>
      </c>
      <c r="C315" s="236"/>
      <c r="D315" s="187"/>
      <c r="E315" s="187"/>
      <c r="F315" s="187"/>
      <c r="G315" s="185"/>
      <c r="H315" s="185"/>
      <c r="I315" s="185"/>
      <c r="J315" s="298"/>
      <c r="K315" s="283"/>
      <c r="L315" s="299"/>
      <c r="M315" s="300"/>
      <c r="N315" s="301"/>
      <c r="O315" s="302"/>
      <c r="P315" s="302"/>
      <c r="S315" s="305"/>
      <c r="T315" s="305"/>
      <c r="U315" s="306"/>
      <c r="V315" s="305"/>
      <c r="W315" s="305"/>
      <c r="X315" s="305"/>
      <c r="Y315" s="305"/>
      <c r="Z315" s="305"/>
      <c r="AD315" s="296"/>
      <c r="AE315" s="201"/>
      <c r="AF315" s="201"/>
      <c r="AG315" s="201"/>
      <c r="AH315" s="201"/>
      <c r="AI315" s="201"/>
      <c r="AJ315" s="201"/>
      <c r="AK315" s="201"/>
      <c r="AL315" s="201"/>
    </row>
    <row r="316">
      <c r="A316" s="187"/>
      <c r="B316" s="188" t="str">
        <f>IFERROR(__xludf.DUMMYFUNCTION("""COMPUTED_VALUE"""),"Eric Tweneboa (Buw)")</f>
        <v>Eric Tweneboa (Buw)</v>
      </c>
      <c r="C316" s="236"/>
      <c r="D316" s="187"/>
      <c r="E316" s="187"/>
      <c r="F316" s="187"/>
      <c r="G316" s="185"/>
      <c r="H316" s="185"/>
      <c r="I316" s="185"/>
      <c r="J316" s="298"/>
      <c r="K316" s="283"/>
      <c r="L316" s="299"/>
      <c r="M316" s="300"/>
      <c r="N316" s="301"/>
      <c r="O316" s="302"/>
      <c r="P316" s="302"/>
      <c r="S316" s="305"/>
      <c r="T316" s="305"/>
      <c r="U316" s="306"/>
      <c r="V316" s="305"/>
      <c r="W316" s="305"/>
      <c r="X316" s="305"/>
      <c r="Y316" s="305"/>
      <c r="Z316" s="305"/>
      <c r="AD316" s="296"/>
      <c r="AE316" s="201"/>
      <c r="AF316" s="201"/>
      <c r="AG316" s="201"/>
      <c r="AH316" s="201"/>
      <c r="AI316" s="201"/>
      <c r="AJ316" s="201"/>
      <c r="AK316" s="201"/>
      <c r="AL316" s="201"/>
    </row>
    <row r="317">
      <c r="A317" s="187"/>
      <c r="B317" s="188" t="str">
        <f>IFERROR(__xludf.DUMMYFUNCTION("""COMPUTED_VALUE"""),"tes9522375")</f>
        <v>tes9522375</v>
      </c>
      <c r="C317" s="236"/>
      <c r="D317" s="187"/>
      <c r="E317" s="187"/>
      <c r="F317" s="187"/>
      <c r="G317" s="185"/>
      <c r="H317" s="185"/>
      <c r="I317" s="185"/>
      <c r="J317" s="298"/>
      <c r="K317" s="283"/>
      <c r="L317" s="299"/>
      <c r="M317" s="300"/>
      <c r="N317" s="301"/>
      <c r="O317" s="302"/>
      <c r="P317" s="302"/>
      <c r="S317" s="305"/>
      <c r="T317" s="305"/>
      <c r="U317" s="306"/>
      <c r="V317" s="305"/>
      <c r="W317" s="305"/>
      <c r="X317" s="305"/>
      <c r="Y317" s="305"/>
      <c r="Z317" s="305"/>
      <c r="AD317" s="296"/>
      <c r="AE317" s="201"/>
      <c r="AF317" s="201"/>
      <c r="AG317" s="201"/>
      <c r="AH317" s="201"/>
      <c r="AI317" s="201"/>
      <c r="AJ317" s="201"/>
      <c r="AK317" s="201"/>
      <c r="AL317" s="201"/>
    </row>
    <row r="318">
      <c r="A318" s="187"/>
      <c r="B318" s="188" t="str">
        <f>IFERROR(__xludf.DUMMYFUNCTION("""COMPUTED_VALUE"""),"Rebecca Borketey (Buwg)")</f>
        <v>Rebecca Borketey (Buwg)</v>
      </c>
      <c r="C318" s="236"/>
      <c r="D318" s="187"/>
      <c r="E318" s="187"/>
      <c r="F318" s="187"/>
      <c r="G318" s="185"/>
      <c r="H318" s="185"/>
      <c r="I318" s="185"/>
      <c r="J318" s="298"/>
      <c r="K318" s="283"/>
      <c r="L318" s="299"/>
      <c r="M318" s="300"/>
      <c r="N318" s="301"/>
      <c r="O318" s="302"/>
      <c r="P318" s="302"/>
      <c r="S318" s="305"/>
      <c r="T318" s="305"/>
      <c r="U318" s="306"/>
      <c r="V318" s="305"/>
      <c r="W318" s="305"/>
      <c r="X318" s="305"/>
      <c r="Y318" s="305"/>
      <c r="Z318" s="305"/>
      <c r="AD318" s="296"/>
      <c r="AE318" s="201"/>
      <c r="AF318" s="201"/>
      <c r="AG318" s="201"/>
      <c r="AH318" s="201"/>
      <c r="AI318" s="201"/>
      <c r="AJ318" s="201"/>
      <c r="AK318" s="201"/>
      <c r="AL318" s="201"/>
    </row>
    <row r="319">
      <c r="A319" s="187"/>
      <c r="B319" s="188" t="str">
        <f>IFERROR(__xludf.DUMMYFUNCTION("""COMPUTED_VALUE"""),"Prince Ayertey (Buwg)")</f>
        <v>Prince Ayertey (Buwg)</v>
      </c>
      <c r="C319" s="236"/>
      <c r="D319" s="187"/>
      <c r="E319" s="187"/>
      <c r="F319" s="187"/>
      <c r="G319" s="185"/>
      <c r="H319" s="185"/>
      <c r="I319" s="185"/>
      <c r="J319" s="298"/>
      <c r="K319" s="283"/>
      <c r="L319" s="299"/>
      <c r="M319" s="300"/>
      <c r="N319" s="301"/>
      <c r="O319" s="302"/>
      <c r="P319" s="302"/>
      <c r="S319" s="305"/>
      <c r="T319" s="305"/>
      <c r="U319" s="306"/>
      <c r="V319" s="305"/>
      <c r="W319" s="305"/>
      <c r="X319" s="305"/>
      <c r="Y319" s="305"/>
      <c r="Z319" s="305"/>
      <c r="AD319" s="296"/>
      <c r="AE319" s="201"/>
      <c r="AF319" s="201"/>
      <c r="AG319" s="201"/>
      <c r="AH319" s="201"/>
      <c r="AI319" s="201"/>
      <c r="AJ319" s="201"/>
      <c r="AK319" s="201"/>
      <c r="AL319" s="201"/>
    </row>
    <row r="320">
      <c r="A320" s="187"/>
      <c r="B320" s="188" t="str">
        <f>IFERROR(__xludf.DUMMYFUNCTION("""COMPUTED_VALUE"""),"Persis Oduro (Buwg)")</f>
        <v>Persis Oduro (Buwg)</v>
      </c>
      <c r="C320" s="236"/>
      <c r="D320" s="187"/>
      <c r="E320" s="187"/>
      <c r="F320" s="187"/>
      <c r="G320" s="185"/>
      <c r="H320" s="185"/>
      <c r="I320" s="185"/>
      <c r="J320" s="298"/>
      <c r="K320" s="283"/>
      <c r="L320" s="299"/>
      <c r="M320" s="300"/>
      <c r="N320" s="301"/>
      <c r="O320" s="302"/>
      <c r="P320" s="302"/>
      <c r="S320" s="305"/>
      <c r="T320" s="305"/>
      <c r="U320" s="306"/>
      <c r="V320" s="305"/>
      <c r="W320" s="305"/>
      <c r="X320" s="305"/>
      <c r="Y320" s="305"/>
      <c r="Z320" s="305"/>
      <c r="AD320" s="296"/>
      <c r="AE320" s="201"/>
      <c r="AF320" s="201"/>
      <c r="AG320" s="201"/>
      <c r="AH320" s="201"/>
      <c r="AI320" s="201"/>
      <c r="AJ320" s="201"/>
      <c r="AK320" s="201"/>
      <c r="AL320" s="201"/>
    </row>
    <row r="321">
      <c r="A321" s="187"/>
      <c r="B321" s="188" t="str">
        <f>IFERROR(__xludf.DUMMYFUNCTION("""COMPUTED_VALUE"""),"Judith Nugbenyo (Buwg)")</f>
        <v>Judith Nugbenyo (Buwg)</v>
      </c>
      <c r="C321" s="236"/>
      <c r="D321" s="187"/>
      <c r="E321" s="187"/>
      <c r="F321" s="187"/>
      <c r="G321" s="185"/>
      <c r="H321" s="185"/>
      <c r="I321" s="185"/>
      <c r="J321" s="298"/>
      <c r="K321" s="283"/>
      <c r="L321" s="299"/>
      <c r="M321" s="300"/>
      <c r="N321" s="301"/>
      <c r="O321" s="302"/>
      <c r="P321" s="302"/>
      <c r="S321" s="305"/>
      <c r="T321" s="305"/>
      <c r="U321" s="306"/>
      <c r="V321" s="305"/>
      <c r="W321" s="305"/>
      <c r="X321" s="305"/>
      <c r="Y321" s="305"/>
      <c r="Z321" s="305"/>
      <c r="AD321" s="296"/>
      <c r="AE321" s="201"/>
      <c r="AF321" s="201"/>
      <c r="AG321" s="201"/>
      <c r="AH321" s="201"/>
      <c r="AI321" s="201"/>
      <c r="AJ321" s="201"/>
      <c r="AK321" s="201"/>
      <c r="AL321" s="201"/>
    </row>
    <row r="322">
      <c r="A322" s="187"/>
      <c r="B322" s="188" t="str">
        <f>IFERROR(__xludf.DUMMYFUNCTION("""COMPUTED_VALUE"""),"Josephine Manu (Buwg)")</f>
        <v>Josephine Manu (Buwg)</v>
      </c>
      <c r="C322" s="236"/>
      <c r="D322" s="187"/>
      <c r="E322" s="187"/>
      <c r="F322" s="187"/>
      <c r="G322" s="185"/>
      <c r="H322" s="185"/>
      <c r="I322" s="185"/>
      <c r="J322" s="298"/>
      <c r="K322" s="283"/>
      <c r="L322" s="299"/>
      <c r="M322" s="300"/>
      <c r="N322" s="301"/>
      <c r="O322" s="302"/>
      <c r="P322" s="302"/>
      <c r="S322" s="305"/>
      <c r="T322" s="305"/>
      <c r="U322" s="306"/>
      <c r="V322" s="305"/>
      <c r="W322" s="305"/>
      <c r="X322" s="305"/>
      <c r="Y322" s="305"/>
      <c r="Z322" s="305"/>
      <c r="AD322" s="296"/>
      <c r="AE322" s="201"/>
      <c r="AF322" s="201"/>
      <c r="AG322" s="201"/>
      <c r="AH322" s="201"/>
      <c r="AI322" s="201"/>
      <c r="AJ322" s="201"/>
      <c r="AK322" s="201"/>
      <c r="AL322" s="201"/>
    </row>
    <row r="323">
      <c r="A323" s="187"/>
      <c r="B323" s="188" t="str">
        <f>IFERROR(__xludf.DUMMYFUNCTION("""COMPUTED_VALUE"""),"Fruitful Addy (Buwg)")</f>
        <v>Fruitful Addy (Buwg)</v>
      </c>
      <c r="C323" s="236"/>
      <c r="D323" s="187"/>
      <c r="E323" s="187"/>
      <c r="F323" s="187"/>
      <c r="G323" s="185"/>
      <c r="H323" s="185"/>
      <c r="I323" s="185"/>
      <c r="J323" s="298"/>
      <c r="K323" s="283"/>
      <c r="L323" s="299"/>
      <c r="M323" s="300"/>
      <c r="N323" s="301"/>
      <c r="O323" s="302"/>
      <c r="P323" s="302"/>
      <c r="S323" s="305"/>
      <c r="T323" s="305"/>
      <c r="U323" s="306"/>
      <c r="V323" s="305"/>
      <c r="W323" s="305"/>
      <c r="X323" s="305"/>
      <c r="Y323" s="305"/>
      <c r="Z323" s="305"/>
      <c r="AD323" s="296"/>
      <c r="AE323" s="201"/>
      <c r="AF323" s="201"/>
      <c r="AG323" s="201"/>
      <c r="AH323" s="201"/>
      <c r="AI323" s="201"/>
      <c r="AJ323" s="201"/>
      <c r="AK323" s="201"/>
      <c r="AL323" s="201"/>
    </row>
    <row r="324">
      <c r="A324" s="187"/>
      <c r="B324" s="188" t="str">
        <f>IFERROR(__xludf.DUMMYFUNCTION("""COMPUTED_VALUE"""),"Eugenia Bonney (Buwg)")</f>
        <v>Eugenia Bonney (Buwg)</v>
      </c>
      <c r="C324" s="236"/>
      <c r="D324" s="187"/>
      <c r="E324" s="187"/>
      <c r="F324" s="187"/>
      <c r="G324" s="185"/>
      <c r="H324" s="185"/>
      <c r="I324" s="185"/>
      <c r="J324" s="298"/>
      <c r="K324" s="283"/>
      <c r="L324" s="299"/>
      <c r="M324" s="300"/>
      <c r="N324" s="301"/>
      <c r="O324" s="302"/>
      <c r="P324" s="302"/>
      <c r="S324" s="305"/>
      <c r="T324" s="305"/>
      <c r="U324" s="306"/>
      <c r="V324" s="305"/>
      <c r="W324" s="305"/>
      <c r="X324" s="305"/>
      <c r="Y324" s="305"/>
      <c r="Z324" s="305"/>
      <c r="AD324" s="296"/>
      <c r="AE324" s="201"/>
      <c r="AF324" s="201"/>
      <c r="AG324" s="201"/>
      <c r="AH324" s="201"/>
      <c r="AI324" s="201"/>
      <c r="AJ324" s="201"/>
      <c r="AK324" s="201"/>
      <c r="AL324" s="201"/>
    </row>
    <row r="325">
      <c r="A325" s="187"/>
      <c r="B325" s="188" t="str">
        <f>IFERROR(__xludf.DUMMYFUNCTION("""COMPUTED_VALUE"""),"David Evans (Buwg)")</f>
        <v>David Evans (Buwg)</v>
      </c>
      <c r="C325" s="236"/>
      <c r="D325" s="187"/>
      <c r="E325" s="187"/>
      <c r="F325" s="187"/>
      <c r="G325" s="185"/>
      <c r="H325" s="185"/>
      <c r="I325" s="185"/>
      <c r="J325" s="298"/>
      <c r="K325" s="283"/>
      <c r="L325" s="299"/>
      <c r="M325" s="300"/>
      <c r="N325" s="301"/>
      <c r="O325" s="302"/>
      <c r="P325" s="302"/>
      <c r="S325" s="305"/>
      <c r="T325" s="305"/>
      <c r="U325" s="306"/>
      <c r="V325" s="305"/>
      <c r="W325" s="305"/>
      <c r="X325" s="305"/>
      <c r="Y325" s="305"/>
      <c r="Z325" s="305"/>
      <c r="AD325" s="296"/>
      <c r="AE325" s="201"/>
      <c r="AF325" s="201"/>
      <c r="AG325" s="201"/>
      <c r="AH325" s="201"/>
      <c r="AI325" s="201"/>
      <c r="AJ325" s="201"/>
      <c r="AK325" s="201"/>
      <c r="AL325" s="201"/>
    </row>
    <row r="326">
      <c r="A326" s="187"/>
      <c r="B326" s="188" t="str">
        <f>IFERROR(__xludf.DUMMYFUNCTION("""COMPUTED_VALUE"""),"Cornelia Amankwah (Buwg)")</f>
        <v>Cornelia Amankwah (Buwg)</v>
      </c>
      <c r="C326" s="236"/>
      <c r="D326" s="187"/>
      <c r="E326" s="187"/>
      <c r="F326" s="187"/>
      <c r="G326" s="185"/>
      <c r="H326" s="185"/>
      <c r="I326" s="185"/>
      <c r="J326" s="298"/>
      <c r="K326" s="283"/>
      <c r="L326" s="299"/>
      <c r="M326" s="300"/>
      <c r="N326" s="301"/>
      <c r="O326" s="302"/>
      <c r="P326" s="302"/>
      <c r="S326" s="305"/>
      <c r="T326" s="305"/>
      <c r="U326" s="306"/>
      <c r="V326" s="305"/>
      <c r="W326" s="305"/>
      <c r="X326" s="305"/>
      <c r="Y326" s="305"/>
      <c r="Z326" s="305"/>
      <c r="AD326" s="296"/>
      <c r="AE326" s="201"/>
      <c r="AF326" s="201"/>
      <c r="AG326" s="201"/>
      <c r="AH326" s="201"/>
      <c r="AI326" s="201"/>
      <c r="AJ326" s="201"/>
      <c r="AK326" s="201"/>
      <c r="AL326" s="201"/>
    </row>
    <row r="327">
      <c r="A327" s="187"/>
      <c r="B327" s="188" t="str">
        <f>IFERROR(__xludf.DUMMYFUNCTION("""COMPUTED_VALUE"""),"Brenda Gilberts (Buwg)")</f>
        <v>Brenda Gilberts (Buwg)</v>
      </c>
      <c r="C327" s="236"/>
      <c r="D327" s="187"/>
      <c r="E327" s="187"/>
      <c r="F327" s="187"/>
      <c r="G327" s="185"/>
      <c r="H327" s="185"/>
      <c r="I327" s="185"/>
      <c r="J327" s="298"/>
      <c r="K327" s="283"/>
      <c r="L327" s="299"/>
      <c r="M327" s="300"/>
      <c r="N327" s="301"/>
      <c r="O327" s="302"/>
      <c r="P327" s="302"/>
      <c r="S327" s="305"/>
      <c r="T327" s="305"/>
      <c r="U327" s="306"/>
      <c r="V327" s="305"/>
      <c r="W327" s="305"/>
      <c r="X327" s="305"/>
      <c r="Y327" s="305"/>
      <c r="Z327" s="305"/>
      <c r="AD327" s="296"/>
      <c r="AE327" s="201"/>
      <c r="AF327" s="201"/>
      <c r="AG327" s="201"/>
      <c r="AH327" s="201"/>
      <c r="AI327" s="201"/>
      <c r="AJ327" s="201"/>
      <c r="AK327" s="201"/>
      <c r="AL327" s="201"/>
    </row>
    <row r="328">
      <c r="A328" s="187"/>
      <c r="B328" s="188" t="str">
        <f>IFERROR(__xludf.DUMMYFUNCTION("""COMPUTED_VALUE"""),"Andy Edzie (Buwg)")</f>
        <v>Andy Edzie (Buwg)</v>
      </c>
      <c r="C328" s="236"/>
      <c r="D328" s="187"/>
      <c r="E328" s="187"/>
      <c r="F328" s="187"/>
      <c r="G328" s="185"/>
      <c r="H328" s="185"/>
      <c r="I328" s="185"/>
      <c r="J328" s="298"/>
      <c r="K328" s="283"/>
      <c r="L328" s="299"/>
      <c r="M328" s="300"/>
      <c r="N328" s="301"/>
      <c r="O328" s="302"/>
      <c r="P328" s="302"/>
      <c r="S328" s="305"/>
      <c r="T328" s="305"/>
      <c r="U328" s="306"/>
      <c r="V328" s="305"/>
      <c r="W328" s="305"/>
      <c r="X328" s="305"/>
      <c r="Y328" s="305"/>
      <c r="Z328" s="305"/>
      <c r="AD328" s="296"/>
      <c r="AE328" s="201"/>
      <c r="AF328" s="201"/>
      <c r="AG328" s="201"/>
      <c r="AH328" s="201"/>
      <c r="AI328" s="201"/>
      <c r="AJ328" s="201"/>
      <c r="AK328" s="201"/>
      <c r="AL328" s="201"/>
    </row>
    <row r="329">
      <c r="A329" s="187"/>
      <c r="B329" s="188" t="str">
        <f>IFERROR(__xludf.DUMMYFUNCTION("""COMPUTED_VALUE"""),"Amanda Dufe (Buwg)")</f>
        <v>Amanda Dufe (Buwg)</v>
      </c>
      <c r="C329" s="236"/>
      <c r="D329" s="187"/>
      <c r="E329" s="187"/>
      <c r="F329" s="187"/>
      <c r="G329" s="185"/>
      <c r="H329" s="185"/>
      <c r="I329" s="185"/>
      <c r="J329" s="298"/>
      <c r="K329" s="283"/>
      <c r="L329" s="299"/>
      <c r="M329" s="300"/>
      <c r="N329" s="301"/>
      <c r="O329" s="302"/>
      <c r="P329" s="302"/>
      <c r="S329" s="305"/>
      <c r="T329" s="305"/>
      <c r="U329" s="306"/>
      <c r="V329" s="305"/>
      <c r="W329" s="305"/>
      <c r="X329" s="305"/>
      <c r="Y329" s="305"/>
      <c r="Z329" s="305"/>
      <c r="AD329" s="296"/>
      <c r="AE329" s="201"/>
      <c r="AF329" s="201"/>
      <c r="AG329" s="201"/>
      <c r="AH329" s="201"/>
      <c r="AI329" s="201"/>
      <c r="AJ329" s="201"/>
      <c r="AK329" s="201"/>
      <c r="AL329" s="201"/>
    </row>
    <row r="330">
      <c r="A330" s="187"/>
      <c r="B330" s="188" t="str">
        <f>IFERROR(__xludf.DUMMYFUNCTION("""COMPUTED_VALUE"""),"Francisca Dzifa Fusese (Buwg)")</f>
        <v>Francisca Dzifa Fusese (Buwg)</v>
      </c>
      <c r="C330" s="236"/>
      <c r="D330" s="187"/>
      <c r="E330" s="187"/>
      <c r="F330" s="187"/>
      <c r="G330" s="185"/>
      <c r="H330" s="185"/>
      <c r="I330" s="185"/>
      <c r="J330" s="298"/>
      <c r="K330" s="283"/>
      <c r="L330" s="299"/>
      <c r="M330" s="300"/>
      <c r="N330" s="301"/>
      <c r="O330" s="302"/>
      <c r="P330" s="302"/>
      <c r="S330" s="305"/>
      <c r="T330" s="305"/>
      <c r="U330" s="306"/>
      <c r="V330" s="305"/>
      <c r="W330" s="305"/>
      <c r="X330" s="305"/>
      <c r="Y330" s="305"/>
      <c r="Z330" s="305"/>
      <c r="AD330" s="296"/>
      <c r="AE330" s="201"/>
      <c r="AF330" s="201"/>
      <c r="AG330" s="201"/>
      <c r="AH330" s="201"/>
      <c r="AI330" s="201"/>
      <c r="AJ330" s="201"/>
      <c r="AK330" s="201"/>
      <c r="AL330" s="201"/>
    </row>
    <row r="331">
      <c r="A331" s="187"/>
      <c r="B331" s="188" t="str">
        <f>IFERROR(__xludf.DUMMYFUNCTION("""COMPUTED_VALUE"""),"Adjoa Brago Okyere (Buwg)")</f>
        <v>Adjoa Brago Okyere (Buwg)</v>
      </c>
      <c r="C331" s="236"/>
      <c r="D331" s="187"/>
      <c r="E331" s="187"/>
      <c r="F331" s="187"/>
      <c r="G331" s="185"/>
      <c r="H331" s="185"/>
      <c r="I331" s="185"/>
      <c r="J331" s="298"/>
      <c r="K331" s="283"/>
      <c r="L331" s="299"/>
      <c r="M331" s="300"/>
      <c r="N331" s="301"/>
      <c r="O331" s="302"/>
      <c r="P331" s="302"/>
      <c r="S331" s="305"/>
      <c r="T331" s="305"/>
      <c r="U331" s="306"/>
      <c r="V331" s="305"/>
      <c r="W331" s="305"/>
      <c r="X331" s="305"/>
      <c r="Y331" s="305"/>
      <c r="Z331" s="305"/>
      <c r="AD331" s="296"/>
      <c r="AE331" s="201"/>
      <c r="AF331" s="201"/>
      <c r="AG331" s="201"/>
      <c r="AH331" s="201"/>
      <c r="AI331" s="201"/>
      <c r="AJ331" s="201"/>
      <c r="AK331" s="201"/>
      <c r="AL331" s="201"/>
    </row>
    <row r="332">
      <c r="A332" s="187"/>
      <c r="B332" s="188" t="str">
        <f>IFERROR(__xludf.DUMMYFUNCTION("""COMPUTED_VALUE"""),"Aisha Abdallah (Buwg)")</f>
        <v>Aisha Abdallah (Buwg)</v>
      </c>
      <c r="C332" s="236"/>
      <c r="D332" s="187"/>
      <c r="E332" s="187"/>
      <c r="F332" s="187"/>
      <c r="G332" s="185"/>
      <c r="H332" s="185"/>
      <c r="I332" s="185"/>
      <c r="J332" s="298"/>
      <c r="K332" s="283"/>
      <c r="L332" s="299"/>
      <c r="M332" s="300"/>
      <c r="N332" s="301"/>
      <c r="O332" s="302"/>
      <c r="P332" s="302"/>
      <c r="S332" s="305"/>
      <c r="T332" s="305"/>
      <c r="U332" s="306"/>
      <c r="V332" s="305"/>
      <c r="W332" s="305"/>
      <c r="X332" s="305"/>
      <c r="Y332" s="305"/>
      <c r="Z332" s="305"/>
      <c r="AD332" s="296"/>
      <c r="AE332" s="201"/>
      <c r="AF332" s="201"/>
      <c r="AG332" s="201"/>
      <c r="AH332" s="201"/>
      <c r="AI332" s="201"/>
      <c r="AJ332" s="201"/>
      <c r="AK332" s="201"/>
      <c r="AL332" s="201"/>
    </row>
    <row r="333">
      <c r="A333" s="187"/>
      <c r="B333" s="188" t="str">
        <f>IFERROR(__xludf.DUMMYFUNCTION("""COMPUTED_VALUE"""),"Sandra Okyere (Buwg)")</f>
        <v>Sandra Okyere (Buwg)</v>
      </c>
      <c r="C333" s="236"/>
      <c r="D333" s="187"/>
      <c r="E333" s="187"/>
      <c r="F333" s="187"/>
      <c r="G333" s="185"/>
      <c r="H333" s="185"/>
      <c r="I333" s="185"/>
      <c r="J333" s="298"/>
      <c r="K333" s="283"/>
      <c r="L333" s="299"/>
      <c r="M333" s="300"/>
      <c r="N333" s="301"/>
      <c r="O333" s="302"/>
      <c r="P333" s="302"/>
      <c r="S333" s="305"/>
      <c r="T333" s="305"/>
      <c r="U333" s="306"/>
      <c r="V333" s="305"/>
      <c r="W333" s="305"/>
      <c r="X333" s="305"/>
      <c r="Y333" s="305"/>
      <c r="Z333" s="305"/>
      <c r="AD333" s="296"/>
      <c r="AE333" s="201"/>
      <c r="AF333" s="201"/>
      <c r="AG333" s="201"/>
      <c r="AH333" s="201"/>
      <c r="AI333" s="201"/>
      <c r="AJ333" s="201"/>
      <c r="AK333" s="201"/>
      <c r="AL333" s="201"/>
    </row>
    <row r="334">
      <c r="A334" s="187"/>
      <c r="B334" s="188" t="str">
        <f>IFERROR(__xludf.DUMMYFUNCTION("""COMPUTED_VALUE"""),"Eva Osafo-Goldsmith (Buwg)")</f>
        <v>Eva Osafo-Goldsmith (Buwg)</v>
      </c>
      <c r="C334" s="236"/>
      <c r="D334" s="187"/>
      <c r="E334" s="187"/>
      <c r="F334" s="187"/>
      <c r="G334" s="185"/>
      <c r="H334" s="185"/>
      <c r="I334" s="185"/>
      <c r="J334" s="298"/>
      <c r="K334" s="283"/>
      <c r="L334" s="299"/>
      <c r="M334" s="300"/>
      <c r="N334" s="301"/>
      <c r="O334" s="302"/>
      <c r="P334" s="302"/>
      <c r="S334" s="305"/>
      <c r="T334" s="305"/>
      <c r="U334" s="306"/>
      <c r="V334" s="305"/>
      <c r="W334" s="305"/>
      <c r="X334" s="305"/>
      <c r="Y334" s="305"/>
      <c r="Z334" s="305"/>
      <c r="AD334" s="296"/>
      <c r="AE334" s="201"/>
      <c r="AF334" s="201"/>
      <c r="AG334" s="201"/>
      <c r="AH334" s="201"/>
      <c r="AI334" s="201"/>
      <c r="AJ334" s="201"/>
      <c r="AK334" s="201"/>
      <c r="AL334" s="201"/>
    </row>
    <row r="335">
      <c r="A335" s="187"/>
      <c r="B335" s="188" t="str">
        <f>IFERROR(__xludf.DUMMYFUNCTION("""COMPUTED_VALUE"""),"Ophelia Naa-Arkoh-Otoo(Buwg)")</f>
        <v>Ophelia Naa-Arkoh-Otoo(Buwg)</v>
      </c>
      <c r="C335" s="236"/>
      <c r="D335" s="187"/>
      <c r="E335" s="187"/>
      <c r="F335" s="187"/>
      <c r="G335" s="185"/>
      <c r="H335" s="185"/>
      <c r="I335" s="185"/>
      <c r="J335" s="298"/>
      <c r="K335" s="283"/>
      <c r="L335" s="299"/>
      <c r="M335" s="300"/>
      <c r="N335" s="301"/>
      <c r="O335" s="302"/>
      <c r="P335" s="302"/>
      <c r="S335" s="305"/>
      <c r="T335" s="305"/>
      <c r="U335" s="306"/>
      <c r="V335" s="305"/>
      <c r="W335" s="305"/>
      <c r="X335" s="305"/>
      <c r="Y335" s="305"/>
      <c r="Z335" s="305"/>
      <c r="AD335" s="296"/>
      <c r="AE335" s="201"/>
      <c r="AF335" s="201"/>
      <c r="AG335" s="201"/>
      <c r="AH335" s="201"/>
      <c r="AI335" s="201"/>
      <c r="AJ335" s="201"/>
      <c r="AK335" s="201"/>
      <c r="AL335" s="201"/>
    </row>
    <row r="336">
      <c r="A336" s="187"/>
      <c r="B336" s="188" t="str">
        <f>IFERROR(__xludf.DUMMYFUNCTION("""COMPUTED_VALUE"""),"Portia Winifred-Adolwine (Buwg)")</f>
        <v>Portia Winifred-Adolwine (Buwg)</v>
      </c>
      <c r="C336" s="236"/>
      <c r="D336" s="187"/>
      <c r="E336" s="187"/>
      <c r="F336" s="187"/>
      <c r="G336" s="185"/>
      <c r="H336" s="185"/>
      <c r="I336" s="185"/>
      <c r="J336" s="298"/>
      <c r="K336" s="283"/>
      <c r="L336" s="299"/>
      <c r="M336" s="300"/>
      <c r="N336" s="301"/>
      <c r="O336" s="302"/>
      <c r="P336" s="302"/>
      <c r="S336" s="305"/>
      <c r="T336" s="305"/>
      <c r="U336" s="306"/>
      <c r="V336" s="305"/>
      <c r="W336" s="305"/>
      <c r="X336" s="305"/>
      <c r="Y336" s="305"/>
      <c r="Z336" s="305"/>
      <c r="AD336" s="296"/>
      <c r="AE336" s="201"/>
      <c r="AF336" s="201"/>
      <c r="AG336" s="201"/>
      <c r="AH336" s="201"/>
      <c r="AI336" s="201"/>
      <c r="AJ336" s="201"/>
      <c r="AK336" s="201"/>
      <c r="AL336" s="201"/>
    </row>
    <row r="337">
      <c r="A337" s="187"/>
      <c r="B337" s="188" t="str">
        <f>IFERROR(__xludf.DUMMYFUNCTION("""COMPUTED_VALUE"""),"Isaac Andoh-Kesson (Buwg)")</f>
        <v>Isaac Andoh-Kesson (Buwg)</v>
      </c>
      <c r="C337" s="236"/>
      <c r="D337" s="187"/>
      <c r="E337" s="187"/>
      <c r="F337" s="187"/>
      <c r="G337" s="185"/>
      <c r="H337" s="185"/>
      <c r="I337" s="185"/>
      <c r="J337" s="298"/>
      <c r="K337" s="283"/>
      <c r="L337" s="299"/>
      <c r="M337" s="300"/>
      <c r="N337" s="301"/>
      <c r="O337" s="302"/>
      <c r="P337" s="302"/>
      <c r="S337" s="305"/>
      <c r="T337" s="305"/>
      <c r="U337" s="306"/>
      <c r="V337" s="305"/>
      <c r="W337" s="305"/>
      <c r="X337" s="305"/>
      <c r="Y337" s="305"/>
      <c r="Z337" s="305"/>
      <c r="AD337" s="296"/>
      <c r="AE337" s="201"/>
      <c r="AF337" s="201"/>
      <c r="AG337" s="201"/>
      <c r="AH337" s="201"/>
      <c r="AI337" s="201"/>
      <c r="AJ337" s="201"/>
      <c r="AK337" s="201"/>
      <c r="AL337" s="201"/>
    </row>
    <row r="338">
      <c r="A338" s="187"/>
      <c r="B338" s="188" t="str">
        <f>IFERROR(__xludf.DUMMYFUNCTION("""COMPUTED_VALUE"""),"Stephen Anim (Buwg)")</f>
        <v>Stephen Anim (Buwg)</v>
      </c>
      <c r="C338" s="236"/>
      <c r="D338" s="187"/>
      <c r="E338" s="187"/>
      <c r="F338" s="187"/>
      <c r="G338" s="185"/>
      <c r="H338" s="185"/>
      <c r="I338" s="185"/>
      <c r="J338" s="298"/>
      <c r="K338" s="283"/>
      <c r="L338" s="299"/>
      <c r="M338" s="300"/>
      <c r="N338" s="301"/>
      <c r="O338" s="302"/>
      <c r="P338" s="302"/>
      <c r="S338" s="305"/>
      <c r="T338" s="305"/>
      <c r="U338" s="306"/>
      <c r="V338" s="305"/>
      <c r="W338" s="305"/>
      <c r="X338" s="305"/>
      <c r="Y338" s="305"/>
      <c r="Z338" s="305"/>
      <c r="AD338" s="296"/>
      <c r="AE338" s="201"/>
      <c r="AF338" s="201"/>
      <c r="AG338" s="201"/>
      <c r="AH338" s="201"/>
      <c r="AI338" s="201"/>
      <c r="AJ338" s="201"/>
      <c r="AK338" s="201"/>
      <c r="AL338" s="201"/>
    </row>
    <row r="339">
      <c r="A339" s="187"/>
      <c r="B339" s="188" t="str">
        <f>IFERROR(__xludf.DUMMYFUNCTION("""COMPUTED_VALUE"""),"Favour Okika (Buwg)")</f>
        <v>Favour Okika (Buwg)</v>
      </c>
      <c r="C339" s="236"/>
      <c r="D339" s="187"/>
      <c r="E339" s="187"/>
      <c r="F339" s="187"/>
      <c r="G339" s="185"/>
      <c r="H339" s="185"/>
      <c r="I339" s="185"/>
      <c r="J339" s="298"/>
      <c r="K339" s="283"/>
      <c r="L339" s="299"/>
      <c r="M339" s="300"/>
      <c r="N339" s="301"/>
      <c r="O339" s="302"/>
      <c r="P339" s="302"/>
      <c r="S339" s="305"/>
      <c r="T339" s="305"/>
      <c r="U339" s="306"/>
      <c r="V339" s="305"/>
      <c r="W339" s="305"/>
      <c r="X339" s="305"/>
      <c r="Y339" s="305"/>
      <c r="Z339" s="305"/>
      <c r="AD339" s="296"/>
      <c r="AE339" s="201"/>
      <c r="AF339" s="201"/>
      <c r="AG339" s="201"/>
      <c r="AH339" s="201"/>
      <c r="AI339" s="201"/>
      <c r="AJ339" s="201"/>
      <c r="AK339" s="201"/>
      <c r="AL339" s="201"/>
    </row>
    <row r="340">
      <c r="A340" s="187"/>
      <c r="B340" s="188" t="str">
        <f>IFERROR(__xludf.DUMMYFUNCTION("""COMPUTED_VALUE"""),"Thomas Lane (Buwg)")</f>
        <v>Thomas Lane (Buwg)</v>
      </c>
      <c r="C340" s="236"/>
      <c r="D340" s="187"/>
      <c r="E340" s="187"/>
      <c r="F340" s="187"/>
      <c r="G340" s="185"/>
      <c r="H340" s="185"/>
      <c r="I340" s="185"/>
      <c r="J340" s="298"/>
      <c r="K340" s="283"/>
      <c r="L340" s="299"/>
      <c r="M340" s="300"/>
      <c r="N340" s="301"/>
      <c r="O340" s="302"/>
      <c r="P340" s="302"/>
      <c r="S340" s="305"/>
      <c r="T340" s="305"/>
      <c r="U340" s="306"/>
      <c r="V340" s="305"/>
      <c r="W340" s="305"/>
      <c r="X340" s="305"/>
      <c r="Y340" s="305"/>
      <c r="Z340" s="305"/>
      <c r="AD340" s="296"/>
      <c r="AE340" s="201"/>
      <c r="AF340" s="201"/>
      <c r="AG340" s="201"/>
      <c r="AH340" s="201"/>
      <c r="AI340" s="201"/>
      <c r="AJ340" s="201"/>
      <c r="AK340" s="201"/>
      <c r="AL340" s="201"/>
    </row>
    <row r="341">
      <c r="A341" s="187"/>
      <c r="B341" s="188" t="str">
        <f>IFERROR(__xludf.DUMMYFUNCTION("""COMPUTED_VALUE"""),"Nana Acheamfour (Buwg)")</f>
        <v>Nana Acheamfour (Buwg)</v>
      </c>
      <c r="C341" s="236"/>
      <c r="D341" s="187"/>
      <c r="E341" s="187"/>
      <c r="F341" s="187"/>
      <c r="G341" s="185"/>
      <c r="H341" s="185"/>
      <c r="I341" s="185"/>
      <c r="J341" s="298"/>
      <c r="K341" s="283"/>
      <c r="L341" s="299"/>
      <c r="M341" s="300"/>
      <c r="N341" s="301"/>
      <c r="O341" s="302"/>
      <c r="P341" s="302"/>
      <c r="S341" s="305"/>
      <c r="T341" s="305"/>
      <c r="U341" s="306"/>
      <c r="V341" s="305"/>
      <c r="W341" s="305"/>
      <c r="X341" s="305"/>
      <c r="Y341" s="305"/>
      <c r="Z341" s="305"/>
      <c r="AD341" s="296"/>
      <c r="AE341" s="201"/>
      <c r="AF341" s="201"/>
      <c r="AG341" s="201"/>
      <c r="AH341" s="201"/>
      <c r="AI341" s="201"/>
      <c r="AJ341" s="201"/>
      <c r="AK341" s="201"/>
      <c r="AL341" s="201"/>
    </row>
    <row r="342">
      <c r="A342" s="187"/>
      <c r="B342" s="188" t="str">
        <f>IFERROR(__xludf.DUMMYFUNCTION("""COMPUTED_VALUE"""),"Princess Dansu (Buwg)")</f>
        <v>Princess Dansu (Buwg)</v>
      </c>
      <c r="C342" s="236"/>
      <c r="D342" s="187"/>
      <c r="E342" s="187"/>
      <c r="F342" s="187"/>
      <c r="G342" s="185"/>
      <c r="H342" s="185"/>
      <c r="I342" s="185"/>
      <c r="J342" s="298"/>
      <c r="K342" s="283"/>
      <c r="L342" s="299"/>
      <c r="M342" s="300"/>
      <c r="N342" s="301"/>
      <c r="O342" s="302"/>
      <c r="P342" s="302"/>
      <c r="S342" s="305"/>
      <c r="T342" s="305"/>
      <c r="U342" s="306"/>
      <c r="V342" s="305"/>
      <c r="W342" s="305"/>
      <c r="X342" s="305"/>
      <c r="Y342" s="305"/>
      <c r="Z342" s="305"/>
      <c r="AD342" s="296"/>
      <c r="AE342" s="201"/>
      <c r="AF342" s="201"/>
      <c r="AG342" s="201"/>
      <c r="AH342" s="201"/>
      <c r="AI342" s="201"/>
      <c r="AJ342" s="201"/>
      <c r="AK342" s="201"/>
      <c r="AL342" s="201"/>
    </row>
    <row r="343">
      <c r="A343" s="187"/>
      <c r="B343" s="188" t="str">
        <f>IFERROR(__xludf.DUMMYFUNCTION("""COMPUTED_VALUE"""),"Lilian Adams (Buwg)")</f>
        <v>Lilian Adams (Buwg)</v>
      </c>
      <c r="C343" s="236"/>
      <c r="D343" s="187"/>
      <c r="E343" s="187"/>
      <c r="F343" s="187"/>
      <c r="G343" s="185"/>
      <c r="H343" s="185"/>
      <c r="I343" s="185"/>
      <c r="J343" s="298"/>
      <c r="K343" s="283"/>
      <c r="L343" s="299"/>
      <c r="M343" s="300"/>
      <c r="N343" s="301"/>
      <c r="O343" s="302"/>
      <c r="P343" s="302"/>
      <c r="S343" s="305"/>
      <c r="T343" s="305"/>
      <c r="U343" s="306"/>
      <c r="V343" s="305"/>
      <c r="W343" s="305"/>
      <c r="X343" s="305"/>
      <c r="Y343" s="305"/>
      <c r="Z343" s="305"/>
      <c r="AD343" s="296"/>
      <c r="AE343" s="201"/>
      <c r="AF343" s="201"/>
      <c r="AG343" s="201"/>
      <c r="AH343" s="201"/>
      <c r="AI343" s="201"/>
      <c r="AJ343" s="201"/>
      <c r="AK343" s="201"/>
      <c r="AL343" s="201"/>
    </row>
    <row r="344">
      <c r="A344" s="187"/>
      <c r="B344" s="188" t="str">
        <f>IFERROR(__xludf.DUMMYFUNCTION("""COMPUTED_VALUE"""),"Solace Dodor (Buwg)")</f>
        <v>Solace Dodor (Buwg)</v>
      </c>
      <c r="C344" s="236"/>
      <c r="D344" s="187"/>
      <c r="E344" s="187"/>
      <c r="F344" s="187"/>
      <c r="G344" s="185"/>
      <c r="H344" s="185"/>
      <c r="I344" s="185"/>
      <c r="J344" s="298"/>
      <c r="K344" s="283"/>
      <c r="L344" s="299"/>
      <c r="M344" s="300"/>
      <c r="N344" s="301"/>
      <c r="O344" s="302"/>
      <c r="P344" s="302"/>
      <c r="S344" s="305"/>
      <c r="T344" s="305"/>
      <c r="U344" s="306"/>
      <c r="V344" s="305"/>
      <c r="W344" s="305"/>
      <c r="X344" s="305"/>
      <c r="Y344" s="305"/>
      <c r="Z344" s="305"/>
      <c r="AD344" s="296"/>
      <c r="AE344" s="201"/>
      <c r="AF344" s="201"/>
      <c r="AG344" s="201"/>
      <c r="AH344" s="201"/>
      <c r="AI344" s="201"/>
      <c r="AJ344" s="201"/>
      <c r="AK344" s="201"/>
      <c r="AL344" s="201"/>
    </row>
    <row r="345">
      <c r="A345" s="187"/>
      <c r="B345" s="188" t="str">
        <f>IFERROR(__xludf.DUMMYFUNCTION("""COMPUTED_VALUE"""),"Clinton Botchway (Buwg)")</f>
        <v>Clinton Botchway (Buwg)</v>
      </c>
      <c r="C345" s="236"/>
      <c r="D345" s="187"/>
      <c r="E345" s="187"/>
      <c r="F345" s="187"/>
      <c r="G345" s="185"/>
      <c r="H345" s="185"/>
      <c r="I345" s="185"/>
      <c r="J345" s="298"/>
      <c r="K345" s="283"/>
      <c r="L345" s="299"/>
      <c r="M345" s="300"/>
      <c r="N345" s="301"/>
      <c r="O345" s="302"/>
      <c r="P345" s="302"/>
      <c r="S345" s="305"/>
      <c r="T345" s="305"/>
      <c r="U345" s="306"/>
      <c r="V345" s="305"/>
      <c r="W345" s="305"/>
      <c r="X345" s="305"/>
      <c r="Y345" s="305"/>
      <c r="Z345" s="305"/>
      <c r="AD345" s="296"/>
      <c r="AE345" s="201"/>
      <c r="AF345" s="201"/>
      <c r="AG345" s="201"/>
      <c r="AH345" s="201"/>
      <c r="AI345" s="201"/>
      <c r="AJ345" s="201"/>
      <c r="AK345" s="201"/>
      <c r="AL345" s="201"/>
    </row>
    <row r="346">
      <c r="A346" s="187"/>
      <c r="B346" s="188" t="str">
        <f>IFERROR(__xludf.DUMMYFUNCTION("""COMPUTED_VALUE"""),"Frederick Ndabeah (Buwg)")</f>
        <v>Frederick Ndabeah (Buwg)</v>
      </c>
      <c r="C346" s="236"/>
      <c r="D346" s="187"/>
      <c r="E346" s="187"/>
      <c r="F346" s="187"/>
      <c r="G346" s="185"/>
      <c r="H346" s="185"/>
      <c r="I346" s="185"/>
      <c r="J346" s="298"/>
      <c r="K346" s="283"/>
      <c r="L346" s="299"/>
      <c r="M346" s="300"/>
      <c r="N346" s="301"/>
      <c r="O346" s="302"/>
      <c r="P346" s="302"/>
      <c r="S346" s="305"/>
      <c r="T346" s="305"/>
      <c r="U346" s="306"/>
      <c r="V346" s="305"/>
      <c r="W346" s="305"/>
      <c r="X346" s="305"/>
      <c r="Y346" s="305"/>
      <c r="Z346" s="305"/>
      <c r="AD346" s="296"/>
      <c r="AE346" s="201"/>
      <c r="AF346" s="201"/>
      <c r="AG346" s="201"/>
      <c r="AH346" s="201"/>
      <c r="AI346" s="201"/>
      <c r="AJ346" s="201"/>
      <c r="AK346" s="201"/>
      <c r="AL346" s="201"/>
    </row>
    <row r="347">
      <c r="A347" s="187"/>
      <c r="B347" s="188" t="str">
        <f>IFERROR(__xludf.DUMMYFUNCTION("""COMPUTED_VALUE"""),"Kwabena Panyini (Buwg)")</f>
        <v>Kwabena Panyini (Buwg)</v>
      </c>
      <c r="C347" s="236"/>
      <c r="D347" s="187"/>
      <c r="E347" s="187"/>
      <c r="F347" s="187"/>
      <c r="G347" s="185"/>
      <c r="H347" s="185"/>
      <c r="I347" s="185"/>
      <c r="J347" s="298"/>
      <c r="K347" s="283"/>
      <c r="L347" s="299"/>
      <c r="M347" s="300"/>
      <c r="N347" s="301"/>
      <c r="O347" s="302"/>
      <c r="P347" s="302"/>
      <c r="S347" s="305"/>
      <c r="T347" s="305"/>
      <c r="U347" s="306"/>
      <c r="V347" s="305"/>
      <c r="W347" s="305"/>
      <c r="X347" s="305"/>
      <c r="Y347" s="305"/>
      <c r="Z347" s="305"/>
      <c r="AD347" s="296"/>
      <c r="AE347" s="201"/>
      <c r="AF347" s="201"/>
      <c r="AG347" s="201"/>
      <c r="AH347" s="201"/>
      <c r="AI347" s="201"/>
      <c r="AJ347" s="201"/>
      <c r="AK347" s="201"/>
      <c r="AL347" s="201"/>
    </row>
    <row r="348">
      <c r="A348" s="187"/>
      <c r="B348" s="188" t="str">
        <f>IFERROR(__xludf.DUMMYFUNCTION("""COMPUTED_VALUE"""),"Keren Marley (Buwg)")</f>
        <v>Keren Marley (Buwg)</v>
      </c>
      <c r="C348" s="236"/>
      <c r="D348" s="187"/>
      <c r="E348" s="187"/>
      <c r="F348" s="187"/>
      <c r="G348" s="185"/>
      <c r="H348" s="185"/>
      <c r="I348" s="185"/>
      <c r="J348" s="298"/>
      <c r="K348" s="283"/>
      <c r="L348" s="299"/>
      <c r="M348" s="300"/>
      <c r="N348" s="301"/>
      <c r="O348" s="302"/>
      <c r="P348" s="302"/>
      <c r="S348" s="305"/>
      <c r="T348" s="305"/>
      <c r="U348" s="306"/>
      <c r="V348" s="305"/>
      <c r="W348" s="305"/>
      <c r="X348" s="305"/>
      <c r="Y348" s="305"/>
      <c r="Z348" s="305"/>
      <c r="AD348" s="296"/>
      <c r="AE348" s="201"/>
      <c r="AF348" s="201"/>
      <c r="AG348" s="201"/>
      <c r="AH348" s="201"/>
      <c r="AI348" s="201"/>
      <c r="AJ348" s="201"/>
      <c r="AK348" s="201"/>
      <c r="AL348" s="201"/>
    </row>
    <row r="349">
      <c r="A349" s="187"/>
      <c r="B349" s="188" t="str">
        <f>IFERROR(__xludf.DUMMYFUNCTION("""COMPUTED_VALUE"""),"Michael Edem Agbele (Buwg)")</f>
        <v>Michael Edem Agbele (Buwg)</v>
      </c>
      <c r="C349" s="236"/>
      <c r="D349" s="187"/>
      <c r="E349" s="187"/>
      <c r="F349" s="187"/>
      <c r="G349" s="185"/>
      <c r="H349" s="185"/>
      <c r="I349" s="185"/>
      <c r="J349" s="298"/>
      <c r="K349" s="283"/>
      <c r="L349" s="299"/>
      <c r="M349" s="300"/>
      <c r="N349" s="301"/>
      <c r="O349" s="302"/>
      <c r="P349" s="302"/>
      <c r="S349" s="305"/>
      <c r="T349" s="305"/>
      <c r="U349" s="306"/>
      <c r="V349" s="305"/>
      <c r="W349" s="305"/>
      <c r="X349" s="305"/>
      <c r="Y349" s="305"/>
      <c r="Z349" s="305"/>
      <c r="AD349" s="296"/>
      <c r="AE349" s="201"/>
      <c r="AF349" s="201"/>
      <c r="AG349" s="201"/>
      <c r="AH349" s="201"/>
      <c r="AI349" s="201"/>
      <c r="AJ349" s="201"/>
      <c r="AK349" s="201"/>
      <c r="AL349" s="201"/>
    </row>
    <row r="350">
      <c r="A350" s="187"/>
      <c r="B350" s="188" t="str">
        <f>IFERROR(__xludf.DUMMYFUNCTION("""COMPUTED_VALUE"""),"Nana Kwabena Ofosu-Oyere (Buwg)")</f>
        <v>Nana Kwabena Ofosu-Oyere (Buwg)</v>
      </c>
      <c r="C350" s="236"/>
      <c r="D350" s="187"/>
      <c r="E350" s="187"/>
      <c r="F350" s="187"/>
      <c r="G350" s="185"/>
      <c r="H350" s="185"/>
      <c r="I350" s="185"/>
      <c r="J350" s="298"/>
      <c r="K350" s="283"/>
      <c r="L350" s="299"/>
      <c r="M350" s="300"/>
      <c r="N350" s="301"/>
      <c r="O350" s="302"/>
      <c r="P350" s="302"/>
      <c r="S350" s="305"/>
      <c r="T350" s="305"/>
      <c r="U350" s="306"/>
      <c r="V350" s="305"/>
      <c r="W350" s="305"/>
      <c r="X350" s="305"/>
      <c r="Y350" s="305"/>
      <c r="Z350" s="305"/>
      <c r="AD350" s="296"/>
      <c r="AE350" s="201"/>
      <c r="AF350" s="201"/>
      <c r="AG350" s="201"/>
      <c r="AH350" s="201"/>
      <c r="AI350" s="201"/>
      <c r="AJ350" s="201"/>
      <c r="AK350" s="201"/>
      <c r="AL350" s="201"/>
    </row>
    <row r="351">
      <c r="A351" s="187"/>
      <c r="B351" s="188" t="str">
        <f>IFERROR(__xludf.DUMMYFUNCTION("""COMPUTED_VALUE"""),"Matthew Mensah (Buwg)")</f>
        <v>Matthew Mensah (Buwg)</v>
      </c>
      <c r="C351" s="236"/>
      <c r="D351" s="187"/>
      <c r="E351" s="187"/>
      <c r="F351" s="187"/>
      <c r="G351" s="185"/>
      <c r="H351" s="185"/>
      <c r="I351" s="185"/>
      <c r="J351" s="298"/>
      <c r="K351" s="283"/>
      <c r="L351" s="299"/>
      <c r="M351" s="300"/>
      <c r="N351" s="301"/>
      <c r="O351" s="302"/>
      <c r="P351" s="302"/>
      <c r="S351" s="305"/>
      <c r="T351" s="305"/>
      <c r="U351" s="306"/>
      <c r="V351" s="305"/>
      <c r="W351" s="305"/>
      <c r="X351" s="305"/>
      <c r="Y351" s="305"/>
      <c r="Z351" s="305"/>
      <c r="AD351" s="296"/>
      <c r="AE351" s="201"/>
      <c r="AF351" s="201"/>
      <c r="AG351" s="201"/>
      <c r="AH351" s="201"/>
      <c r="AI351" s="201"/>
      <c r="AJ351" s="201"/>
      <c r="AK351" s="201"/>
      <c r="AL351" s="201"/>
    </row>
    <row r="352">
      <c r="A352" s="187"/>
      <c r="B352" s="188" t="str">
        <f>IFERROR(__xludf.DUMMYFUNCTION("""COMPUTED_VALUE"""),"Esther Boadu (Buwg)")</f>
        <v>Esther Boadu (Buwg)</v>
      </c>
      <c r="C352" s="236"/>
      <c r="D352" s="187"/>
      <c r="E352" s="187"/>
      <c r="F352" s="187"/>
      <c r="G352" s="185"/>
      <c r="H352" s="185"/>
      <c r="I352" s="185"/>
      <c r="J352" s="298"/>
      <c r="K352" s="283"/>
      <c r="L352" s="299"/>
      <c r="M352" s="300"/>
      <c r="N352" s="301"/>
      <c r="O352" s="302"/>
      <c r="P352" s="302"/>
      <c r="S352" s="305"/>
      <c r="T352" s="305"/>
      <c r="U352" s="306"/>
      <c r="V352" s="305"/>
      <c r="W352" s="305"/>
      <c r="X352" s="305"/>
      <c r="Y352" s="305"/>
      <c r="Z352" s="305"/>
      <c r="AD352" s="296"/>
      <c r="AE352" s="201"/>
      <c r="AF352" s="201"/>
      <c r="AG352" s="201"/>
      <c r="AH352" s="201"/>
      <c r="AI352" s="201"/>
      <c r="AJ352" s="201"/>
      <c r="AK352" s="201"/>
      <c r="AL352" s="201"/>
    </row>
    <row r="353">
      <c r="A353" s="187"/>
      <c r="B353" s="188" t="str">
        <f>IFERROR(__xludf.DUMMYFUNCTION("""COMPUTED_VALUE"""),"Grace Akonnor (Buwg)")</f>
        <v>Grace Akonnor (Buwg)</v>
      </c>
      <c r="C353" s="236"/>
      <c r="D353" s="187"/>
      <c r="E353" s="187"/>
      <c r="F353" s="187"/>
      <c r="G353" s="185"/>
      <c r="H353" s="185"/>
      <c r="I353" s="185"/>
      <c r="J353" s="298"/>
      <c r="K353" s="283"/>
      <c r="L353" s="299"/>
      <c r="M353" s="300"/>
      <c r="N353" s="301"/>
      <c r="O353" s="302"/>
      <c r="P353" s="302"/>
      <c r="S353" s="305"/>
      <c r="T353" s="305"/>
      <c r="U353" s="306"/>
      <c r="V353" s="305"/>
      <c r="W353" s="305"/>
      <c r="X353" s="305"/>
      <c r="Y353" s="305"/>
      <c r="Z353" s="305"/>
      <c r="AD353" s="296"/>
      <c r="AE353" s="201"/>
      <c r="AF353" s="201"/>
      <c r="AG353" s="201"/>
      <c r="AH353" s="201"/>
      <c r="AI353" s="201"/>
      <c r="AJ353" s="201"/>
      <c r="AK353" s="201"/>
      <c r="AL353" s="201"/>
    </row>
    <row r="354">
      <c r="A354" s="187"/>
      <c r="B354" s="188" t="str">
        <f>IFERROR(__xludf.DUMMYFUNCTION("""COMPUTED_VALUE"""),"Ebenezer Sam (Buwg)")</f>
        <v>Ebenezer Sam (Buwg)</v>
      </c>
      <c r="C354" s="236"/>
      <c r="D354" s="187"/>
      <c r="E354" s="187"/>
      <c r="F354" s="187"/>
      <c r="G354" s="185"/>
      <c r="H354" s="185"/>
      <c r="I354" s="185"/>
      <c r="J354" s="298"/>
      <c r="K354" s="283"/>
      <c r="L354" s="299"/>
      <c r="M354" s="300"/>
      <c r="N354" s="301"/>
      <c r="O354" s="302"/>
      <c r="P354" s="302"/>
      <c r="S354" s="305"/>
      <c r="T354" s="305"/>
      <c r="U354" s="306"/>
      <c r="V354" s="305"/>
      <c r="W354" s="305"/>
      <c r="X354" s="305"/>
      <c r="Y354" s="305"/>
      <c r="Z354" s="305"/>
      <c r="AD354" s="296"/>
      <c r="AE354" s="201"/>
      <c r="AF354" s="201"/>
      <c r="AG354" s="201"/>
      <c r="AH354" s="201"/>
      <c r="AI354" s="201"/>
      <c r="AJ354" s="201"/>
      <c r="AK354" s="201"/>
      <c r="AL354" s="201"/>
    </row>
    <row r="355">
      <c r="A355" s="187"/>
      <c r="B355" s="188" t="str">
        <f>IFERROR(__xludf.DUMMYFUNCTION("""COMPUTED_VALUE"""),"Theresah Frimpong (Buwg)")</f>
        <v>Theresah Frimpong (Buwg)</v>
      </c>
      <c r="C355" s="236"/>
      <c r="D355" s="187"/>
      <c r="E355" s="187"/>
      <c r="F355" s="187"/>
      <c r="G355" s="185"/>
      <c r="H355" s="185"/>
      <c r="I355" s="185"/>
      <c r="J355" s="298"/>
      <c r="K355" s="283"/>
      <c r="L355" s="299"/>
      <c r="M355" s="300"/>
      <c r="N355" s="301"/>
      <c r="O355" s="302"/>
      <c r="P355" s="302"/>
      <c r="S355" s="305"/>
      <c r="T355" s="305"/>
      <c r="U355" s="306"/>
      <c r="V355" s="305"/>
      <c r="W355" s="305"/>
      <c r="X355" s="305"/>
      <c r="Y355" s="305"/>
      <c r="Z355" s="305"/>
      <c r="AD355" s="296"/>
      <c r="AE355" s="201"/>
      <c r="AF355" s="201"/>
      <c r="AG355" s="201"/>
      <c r="AH355" s="201"/>
      <c r="AI355" s="201"/>
      <c r="AJ355" s="201"/>
      <c r="AK355" s="201"/>
      <c r="AL355" s="201"/>
    </row>
    <row r="356">
      <c r="A356" s="187"/>
      <c r="B356" s="188" t="str">
        <f>IFERROR(__xludf.DUMMYFUNCTION("""COMPUTED_VALUE"""),"Priscilla Clark (Buwg)")</f>
        <v>Priscilla Clark (Buwg)</v>
      </c>
      <c r="C356" s="236"/>
      <c r="D356" s="187"/>
      <c r="E356" s="187"/>
      <c r="F356" s="187"/>
      <c r="G356" s="185"/>
      <c r="H356" s="185"/>
      <c r="I356" s="185"/>
      <c r="J356" s="298"/>
      <c r="K356" s="283"/>
      <c r="L356" s="299"/>
      <c r="M356" s="300"/>
      <c r="N356" s="301"/>
      <c r="O356" s="302"/>
      <c r="P356" s="302"/>
      <c r="S356" s="305"/>
      <c r="T356" s="305"/>
      <c r="U356" s="306"/>
      <c r="V356" s="305"/>
      <c r="W356" s="305"/>
      <c r="X356" s="305"/>
      <c r="Y356" s="305"/>
      <c r="Z356" s="305"/>
      <c r="AD356" s="296"/>
      <c r="AE356" s="201"/>
      <c r="AF356" s="201"/>
      <c r="AG356" s="201"/>
      <c r="AH356" s="201"/>
      <c r="AI356" s="201"/>
      <c r="AJ356" s="201"/>
      <c r="AK356" s="201"/>
      <c r="AL356" s="201"/>
    </row>
    <row r="357">
      <c r="A357" s="187"/>
      <c r="B357" s="188" t="str">
        <f>IFERROR(__xludf.DUMMYFUNCTION("""COMPUTED_VALUE"""),"Zakiyaa Brimah (Buwg)")</f>
        <v>Zakiyaa Brimah (Buwg)</v>
      </c>
      <c r="C357" s="236"/>
      <c r="D357" s="187"/>
      <c r="E357" s="187"/>
      <c r="F357" s="187"/>
      <c r="G357" s="185"/>
      <c r="H357" s="185"/>
      <c r="I357" s="185"/>
      <c r="J357" s="298"/>
      <c r="K357" s="283"/>
      <c r="L357" s="299"/>
      <c r="M357" s="300"/>
      <c r="N357" s="301"/>
      <c r="O357" s="302"/>
      <c r="P357" s="302"/>
      <c r="S357" s="305"/>
      <c r="T357" s="305"/>
      <c r="U357" s="306"/>
      <c r="V357" s="305"/>
      <c r="W357" s="305"/>
      <c r="X357" s="305"/>
      <c r="Y357" s="305"/>
      <c r="Z357" s="305"/>
      <c r="AD357" s="296"/>
      <c r="AE357" s="201"/>
      <c r="AF357" s="201"/>
      <c r="AG357" s="201"/>
      <c r="AH357" s="201"/>
      <c r="AI357" s="201"/>
      <c r="AJ357" s="201"/>
      <c r="AK357" s="201"/>
      <c r="AL357" s="201"/>
    </row>
    <row r="358">
      <c r="A358" s="187"/>
      <c r="B358" s="188" t="str">
        <f>IFERROR(__xludf.DUMMYFUNCTION("""COMPUTED_VALUE"""),"Aaron Adjetey (Buwg)")</f>
        <v>Aaron Adjetey (Buwg)</v>
      </c>
      <c r="C358" s="236"/>
      <c r="D358" s="187"/>
      <c r="E358" s="187"/>
      <c r="F358" s="187"/>
      <c r="G358" s="185"/>
      <c r="H358" s="185"/>
      <c r="I358" s="185"/>
      <c r="J358" s="298"/>
      <c r="K358" s="283"/>
      <c r="L358" s="299"/>
      <c r="M358" s="300"/>
      <c r="N358" s="301"/>
      <c r="O358" s="302"/>
      <c r="P358" s="302"/>
      <c r="S358" s="305"/>
      <c r="T358" s="305"/>
      <c r="U358" s="306"/>
      <c r="V358" s="305"/>
      <c r="W358" s="305"/>
      <c r="X358" s="305"/>
      <c r="Y358" s="305"/>
      <c r="Z358" s="305"/>
      <c r="AD358" s="296"/>
      <c r="AE358" s="201"/>
      <c r="AF358" s="201"/>
      <c r="AG358" s="201"/>
      <c r="AH358" s="201"/>
      <c r="AI358" s="201"/>
      <c r="AJ358" s="201"/>
      <c r="AK358" s="201"/>
      <c r="AL358" s="201"/>
    </row>
    <row r="359">
      <c r="A359" s="187"/>
      <c r="B359" s="188" t="str">
        <f>IFERROR(__xludf.DUMMYFUNCTION("""COMPUTED_VALUE"""),"Davida Addy (Buwg)")</f>
        <v>Davida Addy (Buwg)</v>
      </c>
      <c r="C359" s="236"/>
      <c r="D359" s="187"/>
      <c r="E359" s="187"/>
      <c r="F359" s="187"/>
      <c r="G359" s="185"/>
      <c r="H359" s="185"/>
      <c r="I359" s="185"/>
      <c r="J359" s="298"/>
      <c r="K359" s="283"/>
      <c r="L359" s="299"/>
      <c r="M359" s="300"/>
      <c r="N359" s="301"/>
      <c r="O359" s="302"/>
      <c r="P359" s="302"/>
      <c r="S359" s="305"/>
      <c r="T359" s="305"/>
      <c r="U359" s="306"/>
      <c r="V359" s="305"/>
      <c r="W359" s="305"/>
      <c r="X359" s="305"/>
      <c r="Y359" s="305"/>
      <c r="Z359" s="305"/>
      <c r="AD359" s="296"/>
      <c r="AE359" s="201"/>
      <c r="AF359" s="201"/>
      <c r="AG359" s="201"/>
      <c r="AH359" s="201"/>
      <c r="AI359" s="201"/>
      <c r="AJ359" s="201"/>
      <c r="AK359" s="201"/>
      <c r="AL359" s="201"/>
    </row>
    <row r="360">
      <c r="A360" s="187"/>
      <c r="B360" s="188" t="str">
        <f>IFERROR(__xludf.DUMMYFUNCTION("""COMPUTED_VALUE"""),"Dorcas Kwei (Buwg)")</f>
        <v>Dorcas Kwei (Buwg)</v>
      </c>
      <c r="C360" s="236"/>
      <c r="D360" s="187"/>
      <c r="E360" s="187"/>
      <c r="F360" s="187"/>
      <c r="G360" s="185"/>
      <c r="H360" s="185"/>
      <c r="I360" s="185"/>
      <c r="J360" s="298"/>
      <c r="K360" s="283"/>
      <c r="L360" s="299"/>
      <c r="M360" s="300"/>
      <c r="N360" s="301"/>
      <c r="O360" s="302"/>
      <c r="P360" s="302"/>
      <c r="S360" s="305"/>
      <c r="T360" s="305"/>
      <c r="U360" s="306"/>
      <c r="V360" s="305"/>
      <c r="W360" s="305"/>
      <c r="X360" s="305"/>
      <c r="Y360" s="305"/>
      <c r="Z360" s="305"/>
      <c r="AD360" s="296"/>
      <c r="AE360" s="201"/>
      <c r="AF360" s="201"/>
      <c r="AG360" s="201"/>
      <c r="AH360" s="201"/>
      <c r="AI360" s="201"/>
      <c r="AJ360" s="201"/>
      <c r="AK360" s="201"/>
      <c r="AL360" s="201"/>
    </row>
    <row r="361">
      <c r="A361" s="187"/>
      <c r="B361" s="188" t="str">
        <f>IFERROR(__xludf.DUMMYFUNCTION("""COMPUTED_VALUE"""),"Eunice Duffie (Buwg)")</f>
        <v>Eunice Duffie (Buwg)</v>
      </c>
      <c r="C361" s="236"/>
      <c r="D361" s="187"/>
      <c r="E361" s="187"/>
      <c r="F361" s="187"/>
      <c r="G361" s="185"/>
      <c r="H361" s="185"/>
      <c r="I361" s="185"/>
      <c r="J361" s="298"/>
      <c r="K361" s="283"/>
      <c r="L361" s="299"/>
      <c r="M361" s="300"/>
      <c r="N361" s="301"/>
      <c r="O361" s="302"/>
      <c r="P361" s="302"/>
      <c r="S361" s="305"/>
      <c r="T361" s="305"/>
      <c r="U361" s="306"/>
      <c r="V361" s="305"/>
      <c r="W361" s="305"/>
      <c r="X361" s="305"/>
      <c r="Y361" s="305"/>
      <c r="Z361" s="305"/>
      <c r="AD361" s="296"/>
      <c r="AE361" s="201"/>
      <c r="AF361" s="201"/>
      <c r="AG361" s="201"/>
      <c r="AH361" s="201"/>
      <c r="AI361" s="201"/>
      <c r="AJ361" s="201"/>
      <c r="AK361" s="201"/>
      <c r="AL361" s="201"/>
    </row>
    <row r="362">
      <c r="A362" s="187"/>
      <c r="B362" s="188" t="str">
        <f>IFERROR(__xludf.DUMMYFUNCTION("""COMPUTED_VALUE"""),"Priscilla Frempong (Buwg)")</f>
        <v>Priscilla Frempong (Buwg)</v>
      </c>
      <c r="C362" s="236"/>
      <c r="D362" s="187"/>
      <c r="E362" s="187"/>
      <c r="F362" s="187"/>
      <c r="G362" s="185"/>
      <c r="H362" s="185"/>
      <c r="I362" s="185"/>
      <c r="J362" s="298"/>
      <c r="K362" s="283"/>
      <c r="L362" s="299"/>
      <c r="M362" s="300"/>
      <c r="N362" s="301"/>
      <c r="O362" s="302"/>
      <c r="P362" s="302"/>
      <c r="S362" s="305"/>
      <c r="T362" s="305"/>
      <c r="U362" s="306"/>
      <c r="V362" s="305"/>
      <c r="W362" s="305"/>
      <c r="X362" s="305"/>
      <c r="Y362" s="305"/>
      <c r="Z362" s="305"/>
      <c r="AD362" s="296"/>
      <c r="AE362" s="201"/>
      <c r="AF362" s="201"/>
      <c r="AG362" s="201"/>
      <c r="AH362" s="201"/>
      <c r="AI362" s="201"/>
      <c r="AJ362" s="201"/>
      <c r="AK362" s="201"/>
      <c r="AL362" s="201"/>
    </row>
    <row r="363">
      <c r="A363" s="187"/>
      <c r="B363" s="188" t="str">
        <f>IFERROR(__xludf.DUMMYFUNCTION("""COMPUTED_VALUE"""),"Sefakor Ahegbebu (Buwg)")</f>
        <v>Sefakor Ahegbebu (Buwg)</v>
      </c>
      <c r="C363" s="236"/>
      <c r="D363" s="187"/>
      <c r="E363" s="187"/>
      <c r="F363" s="187"/>
      <c r="G363" s="185"/>
      <c r="H363" s="185"/>
      <c r="I363" s="185"/>
      <c r="J363" s="298"/>
      <c r="K363" s="283"/>
      <c r="L363" s="299"/>
      <c r="M363" s="300"/>
      <c r="N363" s="301"/>
      <c r="O363" s="302"/>
      <c r="P363" s="302"/>
      <c r="S363" s="305"/>
      <c r="T363" s="305"/>
      <c r="U363" s="306"/>
      <c r="V363" s="305"/>
      <c r="W363" s="305"/>
      <c r="X363" s="305"/>
      <c r="Y363" s="305"/>
      <c r="Z363" s="305"/>
      <c r="AD363" s="296"/>
      <c r="AE363" s="201"/>
      <c r="AF363" s="201"/>
      <c r="AG363" s="201"/>
      <c r="AH363" s="201"/>
      <c r="AI363" s="201"/>
      <c r="AJ363" s="201"/>
      <c r="AK363" s="201"/>
      <c r="AL363" s="201"/>
    </row>
    <row r="364">
      <c r="A364" s="187"/>
      <c r="B364" s="188" t="str">
        <f>IFERROR(__xludf.DUMMYFUNCTION("""COMPUTED_VALUE"""),"Lemuel Nielklu (Buwg)")</f>
        <v>Lemuel Nielklu (Buwg)</v>
      </c>
      <c r="C364" s="236"/>
      <c r="D364" s="187"/>
      <c r="E364" s="187"/>
      <c r="F364" s="187"/>
      <c r="G364" s="185"/>
      <c r="H364" s="185"/>
      <c r="I364" s="185"/>
      <c r="J364" s="298"/>
      <c r="K364" s="283"/>
      <c r="L364" s="299"/>
      <c r="M364" s="300"/>
      <c r="N364" s="301"/>
      <c r="O364" s="302"/>
      <c r="P364" s="302"/>
      <c r="S364" s="305"/>
      <c r="T364" s="305"/>
      <c r="U364" s="306"/>
      <c r="V364" s="305"/>
      <c r="W364" s="305"/>
      <c r="X364" s="305"/>
      <c r="Y364" s="305"/>
      <c r="Z364" s="305"/>
      <c r="AD364" s="296"/>
      <c r="AE364" s="201"/>
      <c r="AF364" s="201"/>
      <c r="AG364" s="201"/>
      <c r="AH364" s="201"/>
      <c r="AI364" s="201"/>
      <c r="AJ364" s="201"/>
      <c r="AK364" s="201"/>
      <c r="AL364" s="201"/>
    </row>
    <row r="365">
      <c r="A365" s="187"/>
      <c r="B365" s="188" t="str">
        <f>IFERROR(__xludf.DUMMYFUNCTION("""COMPUTED_VALUE"""),"Stanley Adjartey (Buwg)")</f>
        <v>Stanley Adjartey (Buwg)</v>
      </c>
      <c r="C365" s="236"/>
      <c r="D365" s="187"/>
      <c r="E365" s="187"/>
      <c r="F365" s="187"/>
      <c r="G365" s="185"/>
      <c r="H365" s="185"/>
      <c r="I365" s="185"/>
      <c r="J365" s="298"/>
      <c r="K365" s="283"/>
      <c r="L365" s="299"/>
      <c r="M365" s="300"/>
      <c r="N365" s="301"/>
      <c r="O365" s="302"/>
      <c r="P365" s="302"/>
      <c r="S365" s="305"/>
      <c r="T365" s="305"/>
      <c r="U365" s="306"/>
      <c r="V365" s="305"/>
      <c r="W365" s="305"/>
      <c r="X365" s="305"/>
      <c r="Y365" s="305"/>
      <c r="Z365" s="305"/>
      <c r="AD365" s="296"/>
      <c r="AE365" s="201"/>
      <c r="AF365" s="201"/>
      <c r="AG365" s="201"/>
      <c r="AH365" s="201"/>
      <c r="AI365" s="201"/>
      <c r="AJ365" s="201"/>
      <c r="AK365" s="201"/>
      <c r="AL365" s="201"/>
    </row>
    <row r="366">
      <c r="A366" s="187"/>
      <c r="B366" s="188" t="str">
        <f>IFERROR(__xludf.DUMMYFUNCTION("""COMPUTED_VALUE"""),"Ubaidul Laahi (Buwg)")</f>
        <v>Ubaidul Laahi (Buwg)</v>
      </c>
      <c r="C366" s="236"/>
      <c r="D366" s="187"/>
      <c r="E366" s="187"/>
      <c r="F366" s="187"/>
      <c r="G366" s="185"/>
      <c r="H366" s="185"/>
      <c r="I366" s="185"/>
      <c r="J366" s="298"/>
      <c r="K366" s="283"/>
      <c r="L366" s="299"/>
      <c r="M366" s="300"/>
      <c r="N366" s="301"/>
      <c r="O366" s="302"/>
      <c r="P366" s="302"/>
      <c r="S366" s="305"/>
      <c r="T366" s="305"/>
      <c r="U366" s="306"/>
      <c r="V366" s="305"/>
      <c r="W366" s="305"/>
      <c r="X366" s="305"/>
      <c r="Y366" s="305"/>
      <c r="Z366" s="305"/>
      <c r="AD366" s="296"/>
      <c r="AE366" s="201"/>
      <c r="AF366" s="201"/>
      <c r="AG366" s="201"/>
      <c r="AH366" s="201"/>
      <c r="AI366" s="201"/>
      <c r="AJ366" s="201"/>
      <c r="AK366" s="201"/>
      <c r="AL366" s="201"/>
    </row>
    <row r="367">
      <c r="A367" s="187"/>
      <c r="B367" s="188" t="str">
        <f>IFERROR(__xludf.DUMMYFUNCTION("""COMPUTED_VALUE"""),"Joshua Bansah (Buwg)")</f>
        <v>Joshua Bansah (Buwg)</v>
      </c>
      <c r="C367" s="236"/>
      <c r="D367" s="187"/>
      <c r="E367" s="187"/>
      <c r="F367" s="187"/>
      <c r="G367" s="185"/>
      <c r="H367" s="185"/>
      <c r="I367" s="185"/>
      <c r="J367" s="298"/>
      <c r="K367" s="283"/>
      <c r="L367" s="299"/>
      <c r="M367" s="300"/>
      <c r="N367" s="301"/>
      <c r="O367" s="302"/>
      <c r="P367" s="302"/>
      <c r="S367" s="305"/>
      <c r="T367" s="305"/>
      <c r="U367" s="306"/>
      <c r="V367" s="305"/>
      <c r="W367" s="305"/>
      <c r="X367" s="305"/>
      <c r="Y367" s="305"/>
      <c r="Z367" s="305"/>
      <c r="AD367" s="296"/>
      <c r="AE367" s="201"/>
      <c r="AF367" s="201"/>
      <c r="AG367" s="201"/>
      <c r="AH367" s="201"/>
      <c r="AI367" s="201"/>
      <c r="AJ367" s="201"/>
      <c r="AK367" s="201"/>
      <c r="AL367" s="201"/>
    </row>
    <row r="368">
      <c r="A368" s="187"/>
      <c r="B368" s="188" t="str">
        <f>IFERROR(__xludf.DUMMYFUNCTION("""COMPUTED_VALUE"""),"Andres Henao")</f>
        <v>Andres Henao</v>
      </c>
      <c r="C368" s="236"/>
      <c r="D368" s="187"/>
      <c r="E368" s="187"/>
      <c r="F368" s="187"/>
      <c r="G368" s="185"/>
      <c r="H368" s="185"/>
      <c r="I368" s="185"/>
      <c r="J368" s="298"/>
      <c r="K368" s="283"/>
      <c r="L368" s="299"/>
      <c r="M368" s="300"/>
      <c r="N368" s="301"/>
      <c r="O368" s="302"/>
      <c r="P368" s="302"/>
      <c r="S368" s="305"/>
      <c r="T368" s="305"/>
      <c r="U368" s="306"/>
      <c r="V368" s="305"/>
      <c r="W368" s="305"/>
      <c r="X368" s="305"/>
      <c r="Y368" s="305"/>
      <c r="Z368" s="305"/>
      <c r="AD368" s="296"/>
      <c r="AE368" s="201"/>
      <c r="AF368" s="201"/>
      <c r="AG368" s="201"/>
      <c r="AH368" s="201"/>
      <c r="AI368" s="201"/>
      <c r="AJ368" s="201"/>
      <c r="AK368" s="201"/>
      <c r="AL368" s="201"/>
    </row>
    <row r="369">
      <c r="A369" s="187"/>
      <c r="B369" s="188" t="str">
        <f>IFERROR(__xludf.DUMMYFUNCTION("""COMPUTED_VALUE"""),"Nathaniel Mills (Buwg)")</f>
        <v>Nathaniel Mills (Buwg)</v>
      </c>
      <c r="C369" s="236"/>
      <c r="D369" s="187"/>
      <c r="E369" s="187"/>
      <c r="F369" s="187"/>
      <c r="G369" s="185"/>
      <c r="H369" s="185"/>
      <c r="I369" s="185"/>
      <c r="J369" s="298"/>
      <c r="K369" s="283"/>
      <c r="L369" s="299"/>
      <c r="M369" s="300"/>
      <c r="N369" s="301"/>
      <c r="O369" s="302"/>
      <c r="P369" s="302"/>
      <c r="S369" s="305"/>
      <c r="T369" s="305"/>
      <c r="U369" s="306"/>
      <c r="V369" s="305"/>
      <c r="W369" s="305"/>
      <c r="X369" s="305"/>
      <c r="Y369" s="305"/>
      <c r="Z369" s="305"/>
      <c r="AD369" s="296"/>
      <c r="AE369" s="201"/>
      <c r="AF369" s="201"/>
      <c r="AG369" s="201"/>
      <c r="AH369" s="201"/>
      <c r="AI369" s="201"/>
      <c r="AJ369" s="201"/>
      <c r="AK369" s="201"/>
      <c r="AL369" s="201"/>
    </row>
    <row r="370">
      <c r="A370" s="187"/>
      <c r="B370" s="188" t="str">
        <f>IFERROR(__xludf.DUMMYFUNCTION("""COMPUTED_VALUE"""),"Farida Tijani (Buwg)")</f>
        <v>Farida Tijani (Buwg)</v>
      </c>
      <c r="C370" s="236"/>
      <c r="D370" s="187"/>
      <c r="E370" s="187"/>
      <c r="F370" s="187"/>
      <c r="G370" s="185"/>
      <c r="H370" s="185"/>
      <c r="I370" s="185"/>
      <c r="J370" s="298"/>
      <c r="K370" s="283"/>
      <c r="L370" s="299"/>
      <c r="M370" s="300"/>
      <c r="N370" s="301"/>
      <c r="O370" s="302"/>
      <c r="P370" s="302"/>
      <c r="S370" s="305"/>
      <c r="T370" s="305"/>
      <c r="U370" s="306"/>
      <c r="V370" s="305"/>
      <c r="W370" s="305"/>
      <c r="X370" s="305"/>
      <c r="Y370" s="305"/>
      <c r="Z370" s="305"/>
      <c r="AD370" s="296"/>
      <c r="AE370" s="201"/>
      <c r="AF370" s="201"/>
      <c r="AG370" s="201"/>
      <c r="AH370" s="201"/>
      <c r="AI370" s="201"/>
      <c r="AJ370" s="201"/>
      <c r="AK370" s="201"/>
      <c r="AL370" s="201"/>
    </row>
    <row r="371">
      <c r="A371" s="187"/>
      <c r="B371" s="188" t="str">
        <f>IFERROR(__xludf.DUMMYFUNCTION("""COMPUTED_VALUE"""),"Awuni Bukari (Buwg)")</f>
        <v>Awuni Bukari (Buwg)</v>
      </c>
      <c r="C371" s="236"/>
      <c r="D371" s="187"/>
      <c r="E371" s="187"/>
      <c r="F371" s="187"/>
      <c r="G371" s="185"/>
      <c r="H371" s="185"/>
      <c r="I371" s="185"/>
      <c r="J371" s="298"/>
      <c r="K371" s="283"/>
      <c r="L371" s="299"/>
      <c r="M371" s="300"/>
      <c r="N371" s="301"/>
      <c r="O371" s="302"/>
      <c r="P371" s="302"/>
      <c r="S371" s="305"/>
      <c r="T371" s="305"/>
      <c r="U371" s="306"/>
      <c r="V371" s="305"/>
      <c r="W371" s="305"/>
      <c r="X371" s="305"/>
      <c r="Y371" s="305"/>
      <c r="Z371" s="305"/>
      <c r="AD371" s="296"/>
      <c r="AE371" s="201"/>
      <c r="AF371" s="201"/>
      <c r="AG371" s="201"/>
      <c r="AH371" s="201"/>
      <c r="AI371" s="201"/>
      <c r="AJ371" s="201"/>
      <c r="AK371" s="201"/>
      <c r="AL371" s="201"/>
    </row>
    <row r="372">
      <c r="A372" s="187"/>
      <c r="B372" s="188" t="str">
        <f>IFERROR(__xludf.DUMMYFUNCTION("""COMPUTED_VALUE"""),"Carllian Nunoo (Buwg)")</f>
        <v>Carllian Nunoo (Buwg)</v>
      </c>
      <c r="C372" s="236"/>
      <c r="D372" s="187"/>
      <c r="E372" s="187"/>
      <c r="F372" s="187"/>
      <c r="G372" s="185"/>
      <c r="H372" s="185"/>
      <c r="I372" s="185"/>
      <c r="J372" s="298"/>
      <c r="K372" s="283"/>
      <c r="L372" s="299"/>
      <c r="M372" s="300"/>
      <c r="N372" s="301"/>
      <c r="O372" s="302"/>
      <c r="P372" s="302"/>
      <c r="S372" s="305"/>
      <c r="T372" s="305"/>
      <c r="U372" s="306"/>
      <c r="V372" s="305"/>
      <c r="W372" s="305"/>
      <c r="X372" s="305"/>
      <c r="Y372" s="305"/>
      <c r="Z372" s="305"/>
      <c r="AD372" s="296"/>
      <c r="AE372" s="201"/>
      <c r="AF372" s="201"/>
      <c r="AG372" s="201"/>
      <c r="AH372" s="201"/>
      <c r="AI372" s="201"/>
      <c r="AJ372" s="201"/>
      <c r="AK372" s="201"/>
      <c r="AL372" s="201"/>
    </row>
    <row r="373">
      <c r="A373" s="187"/>
      <c r="B373" s="188" t="str">
        <f>IFERROR(__xludf.DUMMYFUNCTION("""COMPUTED_VALUE"""),"Gifty Addo (Buwg)")</f>
        <v>Gifty Addo (Buwg)</v>
      </c>
      <c r="C373" s="236"/>
      <c r="D373" s="187"/>
      <c r="E373" s="187"/>
      <c r="F373" s="187"/>
      <c r="G373" s="185"/>
      <c r="H373" s="185"/>
      <c r="I373" s="185"/>
      <c r="J373" s="298"/>
      <c r="K373" s="283"/>
      <c r="L373" s="299"/>
      <c r="M373" s="300"/>
      <c r="N373" s="301"/>
      <c r="O373" s="302"/>
      <c r="P373" s="302"/>
      <c r="S373" s="305"/>
      <c r="T373" s="305"/>
      <c r="U373" s="306"/>
      <c r="V373" s="305"/>
      <c r="W373" s="305"/>
      <c r="X373" s="305"/>
      <c r="Y373" s="305"/>
      <c r="Z373" s="305"/>
      <c r="AD373" s="296"/>
      <c r="AE373" s="201"/>
      <c r="AF373" s="201"/>
      <c r="AG373" s="201"/>
      <c r="AH373" s="201"/>
      <c r="AI373" s="201"/>
      <c r="AJ373" s="201"/>
      <c r="AK373" s="201"/>
      <c r="AL373" s="201"/>
    </row>
    <row r="374">
      <c r="A374" s="187"/>
      <c r="B374" s="188" t="str">
        <f>IFERROR(__xludf.DUMMYFUNCTION("""COMPUTED_VALUE"""),"Prince Martey (Buwg)")</f>
        <v>Prince Martey (Buwg)</v>
      </c>
      <c r="C374" s="236"/>
      <c r="D374" s="187"/>
      <c r="E374" s="187"/>
      <c r="F374" s="187"/>
      <c r="G374" s="185"/>
      <c r="H374" s="185"/>
      <c r="I374" s="185"/>
      <c r="J374" s="298"/>
      <c r="K374" s="283"/>
      <c r="L374" s="299"/>
      <c r="M374" s="300"/>
      <c r="N374" s="301"/>
      <c r="O374" s="302"/>
      <c r="P374" s="302"/>
      <c r="S374" s="305"/>
      <c r="T374" s="305"/>
      <c r="U374" s="306"/>
      <c r="V374" s="305"/>
      <c r="W374" s="305"/>
      <c r="X374" s="305"/>
      <c r="Y374" s="305"/>
      <c r="Z374" s="305"/>
      <c r="AD374" s="296"/>
      <c r="AE374" s="201"/>
      <c r="AF374" s="201"/>
      <c r="AG374" s="201"/>
      <c r="AH374" s="201"/>
      <c r="AI374" s="201"/>
      <c r="AJ374" s="201"/>
      <c r="AK374" s="201"/>
      <c r="AL374" s="201"/>
    </row>
    <row r="375">
      <c r="A375" s="187"/>
      <c r="B375" s="188" t="str">
        <f>IFERROR(__xludf.DUMMYFUNCTION("""COMPUTED_VALUE"""),"Manuel Acquaye (Buwg)")</f>
        <v>Manuel Acquaye (Buwg)</v>
      </c>
      <c r="C375" s="236"/>
      <c r="D375" s="187"/>
      <c r="E375" s="187"/>
      <c r="F375" s="187"/>
      <c r="G375" s="185"/>
      <c r="H375" s="185"/>
      <c r="I375" s="185"/>
      <c r="J375" s="298"/>
      <c r="K375" s="283"/>
      <c r="L375" s="299"/>
      <c r="M375" s="300"/>
      <c r="N375" s="301"/>
      <c r="O375" s="302"/>
      <c r="P375" s="302"/>
      <c r="S375" s="305"/>
      <c r="T375" s="305"/>
      <c r="U375" s="306"/>
      <c r="V375" s="305"/>
      <c r="W375" s="305"/>
      <c r="X375" s="305"/>
      <c r="Y375" s="305"/>
      <c r="Z375" s="305"/>
      <c r="AD375" s="296"/>
      <c r="AE375" s="201"/>
      <c r="AF375" s="201"/>
      <c r="AG375" s="201"/>
      <c r="AH375" s="201"/>
      <c r="AI375" s="201"/>
      <c r="AJ375" s="201"/>
      <c r="AK375" s="201"/>
      <c r="AL375" s="201"/>
    </row>
    <row r="376">
      <c r="A376" s="187"/>
      <c r="B376" s="188" t="str">
        <f>IFERROR(__xludf.DUMMYFUNCTION("""COMPUTED_VALUE"""),"Benedict Mensah (Buwg)")</f>
        <v>Benedict Mensah (Buwg)</v>
      </c>
      <c r="C376" s="236"/>
      <c r="D376" s="187"/>
      <c r="E376" s="187"/>
      <c r="F376" s="187"/>
      <c r="G376" s="185"/>
      <c r="H376" s="185"/>
      <c r="I376" s="185"/>
      <c r="J376" s="298"/>
      <c r="K376" s="283"/>
      <c r="L376" s="299"/>
      <c r="M376" s="300"/>
      <c r="N376" s="301"/>
      <c r="O376" s="302"/>
      <c r="P376" s="302"/>
      <c r="S376" s="305"/>
      <c r="T376" s="305"/>
      <c r="U376" s="306"/>
      <c r="V376" s="305"/>
      <c r="W376" s="305"/>
      <c r="X376" s="305"/>
      <c r="Y376" s="305"/>
      <c r="Z376" s="305"/>
      <c r="AD376" s="296"/>
      <c r="AE376" s="201"/>
      <c r="AF376" s="201"/>
      <c r="AG376" s="201"/>
      <c r="AH376" s="201"/>
      <c r="AI376" s="201"/>
      <c r="AJ376" s="201"/>
      <c r="AK376" s="201"/>
      <c r="AL376" s="201"/>
    </row>
    <row r="377">
      <c r="A377" s="187"/>
      <c r="B377" s="188" t="str">
        <f>IFERROR(__xludf.DUMMYFUNCTION("""COMPUTED_VALUE"""),"Teye-Mensah Teinor (Buwg)")</f>
        <v>Teye-Mensah Teinor (Buwg)</v>
      </c>
      <c r="C377" s="236"/>
      <c r="D377" s="187"/>
      <c r="E377" s="187"/>
      <c r="F377" s="187"/>
      <c r="G377" s="185"/>
      <c r="H377" s="185"/>
      <c r="I377" s="185"/>
      <c r="J377" s="298"/>
      <c r="K377" s="283"/>
      <c r="L377" s="299"/>
      <c r="M377" s="300"/>
      <c r="N377" s="301"/>
      <c r="O377" s="302"/>
      <c r="P377" s="302"/>
      <c r="S377" s="305"/>
      <c r="T377" s="305"/>
      <c r="U377" s="306"/>
      <c r="V377" s="305"/>
      <c r="W377" s="305"/>
      <c r="X377" s="305"/>
      <c r="Y377" s="305"/>
      <c r="Z377" s="305"/>
      <c r="AD377" s="296"/>
      <c r="AE377" s="201"/>
      <c r="AF377" s="201"/>
      <c r="AG377" s="201"/>
      <c r="AH377" s="201"/>
      <c r="AI377" s="201"/>
      <c r="AJ377" s="201"/>
      <c r="AK377" s="201"/>
      <c r="AL377" s="201"/>
    </row>
    <row r="378">
      <c r="A378" s="187"/>
      <c r="B378" s="188" t="str">
        <f>IFERROR(__xludf.DUMMYFUNCTION("""COMPUTED_VALUE"""),"Mary Agbo Antwi (Buwg)")</f>
        <v>Mary Agbo Antwi (Buwg)</v>
      </c>
      <c r="C378" s="236"/>
      <c r="D378" s="187"/>
      <c r="E378" s="187"/>
      <c r="F378" s="187"/>
      <c r="G378" s="185"/>
      <c r="H378" s="185"/>
      <c r="I378" s="185"/>
      <c r="J378" s="298"/>
      <c r="K378" s="283"/>
      <c r="L378" s="299"/>
      <c r="M378" s="300"/>
      <c r="N378" s="301"/>
      <c r="O378" s="302"/>
      <c r="P378" s="302"/>
      <c r="S378" s="305"/>
      <c r="T378" s="305"/>
      <c r="U378" s="306"/>
      <c r="V378" s="305"/>
      <c r="W378" s="305"/>
      <c r="X378" s="305"/>
      <c r="Y378" s="305"/>
      <c r="Z378" s="305"/>
      <c r="AD378" s="296"/>
      <c r="AE378" s="201"/>
      <c r="AF378" s="201"/>
      <c r="AG378" s="201"/>
      <c r="AH378" s="201"/>
      <c r="AI378" s="201"/>
      <c r="AJ378" s="201"/>
      <c r="AK378" s="201"/>
      <c r="AL378" s="201"/>
    </row>
    <row r="379">
      <c r="A379" s="187"/>
      <c r="B379" s="188" t="str">
        <f>IFERROR(__xludf.DUMMYFUNCTION("""COMPUTED_VALUE"""),"Majurine Temeng (Buwg)")</f>
        <v>Majurine Temeng (Buwg)</v>
      </c>
      <c r="C379" s="236"/>
      <c r="D379" s="187"/>
      <c r="E379" s="187"/>
      <c r="F379" s="187"/>
      <c r="G379" s="185"/>
      <c r="H379" s="185"/>
      <c r="I379" s="185"/>
      <c r="J379" s="298"/>
      <c r="K379" s="283"/>
      <c r="L379" s="299"/>
      <c r="M379" s="300"/>
      <c r="N379" s="301"/>
      <c r="O379" s="302"/>
      <c r="P379" s="302"/>
      <c r="S379" s="305"/>
      <c r="T379" s="305"/>
      <c r="U379" s="306"/>
      <c r="V379" s="305"/>
      <c r="W379" s="305"/>
      <c r="X379" s="305"/>
      <c r="Y379" s="305"/>
      <c r="Z379" s="305"/>
      <c r="AD379" s="296"/>
      <c r="AE379" s="201"/>
      <c r="AF379" s="201"/>
      <c r="AG379" s="201"/>
      <c r="AH379" s="201"/>
      <c r="AI379" s="201"/>
      <c r="AJ379" s="201"/>
      <c r="AK379" s="201"/>
      <c r="AL379" s="201"/>
    </row>
    <row r="380">
      <c r="A380" s="187"/>
      <c r="B380" s="188" t="str">
        <f>IFERROR(__xludf.DUMMYFUNCTION("""COMPUTED_VALUE"""),"Kate Sowah (Buwg)")</f>
        <v>Kate Sowah (Buwg)</v>
      </c>
      <c r="C380" s="236"/>
      <c r="D380" s="187"/>
      <c r="E380" s="187"/>
      <c r="F380" s="187"/>
      <c r="G380" s="185"/>
      <c r="H380" s="185"/>
      <c r="I380" s="185"/>
      <c r="J380" s="298"/>
      <c r="K380" s="283"/>
      <c r="L380" s="299"/>
      <c r="M380" s="300"/>
      <c r="N380" s="301"/>
      <c r="O380" s="302"/>
      <c r="P380" s="302"/>
      <c r="S380" s="305"/>
      <c r="T380" s="305"/>
      <c r="U380" s="306"/>
      <c r="V380" s="305"/>
      <c r="W380" s="305"/>
      <c r="X380" s="305"/>
      <c r="Y380" s="305"/>
      <c r="Z380" s="305"/>
      <c r="AD380" s="296"/>
      <c r="AE380" s="201"/>
      <c r="AF380" s="201"/>
      <c r="AG380" s="201"/>
      <c r="AH380" s="201"/>
      <c r="AI380" s="201"/>
      <c r="AJ380" s="201"/>
      <c r="AK380" s="201"/>
      <c r="AL380" s="201"/>
    </row>
    <row r="381">
      <c r="A381" s="187"/>
      <c r="B381" s="188" t="str">
        <f>IFERROR(__xludf.DUMMYFUNCTION("""COMPUTED_VALUE"""),"Hannah Addai (Buwg)")</f>
        <v>Hannah Addai (Buwg)</v>
      </c>
      <c r="C381" s="236"/>
      <c r="D381" s="187"/>
      <c r="E381" s="187"/>
      <c r="F381" s="187"/>
      <c r="G381" s="185"/>
      <c r="H381" s="185"/>
      <c r="I381" s="185"/>
      <c r="J381" s="298"/>
      <c r="K381" s="283"/>
      <c r="L381" s="299"/>
      <c r="M381" s="300"/>
      <c r="N381" s="301"/>
      <c r="O381" s="302"/>
      <c r="P381" s="302"/>
      <c r="S381" s="305"/>
      <c r="T381" s="305"/>
      <c r="U381" s="306"/>
      <c r="V381" s="305"/>
      <c r="W381" s="305"/>
      <c r="X381" s="305"/>
      <c r="Y381" s="305"/>
      <c r="Z381" s="305"/>
      <c r="AD381" s="296"/>
      <c r="AE381" s="201"/>
      <c r="AF381" s="201"/>
      <c r="AG381" s="201"/>
      <c r="AH381" s="201"/>
      <c r="AI381" s="201"/>
      <c r="AJ381" s="201"/>
      <c r="AK381" s="201"/>
      <c r="AL381" s="201"/>
    </row>
    <row r="382">
      <c r="A382" s="187"/>
      <c r="B382" s="188" t="str">
        <f>IFERROR(__xludf.DUMMYFUNCTION("""COMPUTED_VALUE"""),"Gifty Ntiriwaa Adu (Buwg)")</f>
        <v>Gifty Ntiriwaa Adu (Buwg)</v>
      </c>
      <c r="C382" s="236"/>
      <c r="D382" s="187"/>
      <c r="E382" s="187"/>
      <c r="F382" s="187"/>
      <c r="G382" s="185"/>
      <c r="H382" s="185"/>
      <c r="I382" s="185"/>
      <c r="J382" s="298"/>
      <c r="K382" s="283"/>
      <c r="L382" s="299"/>
      <c r="M382" s="300"/>
      <c r="N382" s="301"/>
      <c r="O382" s="302"/>
      <c r="P382" s="302"/>
      <c r="S382" s="305"/>
      <c r="T382" s="305"/>
      <c r="U382" s="306"/>
      <c r="V382" s="305"/>
      <c r="W382" s="305"/>
      <c r="X382" s="305"/>
      <c r="Y382" s="305"/>
      <c r="Z382" s="305"/>
      <c r="AD382" s="296"/>
      <c r="AE382" s="201"/>
      <c r="AF382" s="201"/>
      <c r="AG382" s="201"/>
      <c r="AH382" s="201"/>
      <c r="AI382" s="201"/>
      <c r="AJ382" s="201"/>
      <c r="AK382" s="201"/>
      <c r="AL382" s="201"/>
    </row>
    <row r="383">
      <c r="A383" s="187"/>
      <c r="B383" s="188" t="str">
        <f>IFERROR(__xludf.DUMMYFUNCTION("""COMPUTED_VALUE"""),"Esther Adoma Sarfo (Buwg)")</f>
        <v>Esther Adoma Sarfo (Buwg)</v>
      </c>
      <c r="C383" s="236"/>
      <c r="D383" s="187"/>
      <c r="E383" s="187"/>
      <c r="F383" s="187"/>
      <c r="G383" s="185"/>
      <c r="H383" s="185"/>
      <c r="I383" s="185"/>
      <c r="J383" s="298"/>
      <c r="K383" s="283"/>
      <c r="L383" s="299"/>
      <c r="M383" s="300"/>
      <c r="N383" s="301"/>
      <c r="O383" s="302"/>
      <c r="P383" s="302"/>
      <c r="S383" s="305"/>
      <c r="T383" s="305"/>
      <c r="U383" s="306"/>
      <c r="V383" s="305"/>
      <c r="W383" s="305"/>
      <c r="X383" s="305"/>
      <c r="Y383" s="305"/>
      <c r="Z383" s="305"/>
      <c r="AD383" s="296"/>
      <c r="AE383" s="201"/>
      <c r="AF383" s="201"/>
      <c r="AG383" s="201"/>
      <c r="AH383" s="201"/>
      <c r="AI383" s="201"/>
      <c r="AJ383" s="201"/>
      <c r="AK383" s="201"/>
      <c r="AL383" s="201"/>
    </row>
    <row r="384">
      <c r="A384" s="187"/>
      <c r="B384" s="188" t="str">
        <f>IFERROR(__xludf.DUMMYFUNCTION("""COMPUTED_VALUE"""),"Elsie Pokua Ntiamoah (Buwg)")</f>
        <v>Elsie Pokua Ntiamoah (Buwg)</v>
      </c>
      <c r="C384" s="236"/>
      <c r="D384" s="187"/>
      <c r="E384" s="187"/>
      <c r="F384" s="187"/>
      <c r="G384" s="185"/>
      <c r="H384" s="185"/>
      <c r="I384" s="185"/>
      <c r="J384" s="298"/>
      <c r="K384" s="283"/>
      <c r="L384" s="299"/>
      <c r="M384" s="300"/>
      <c r="N384" s="301"/>
      <c r="O384" s="302"/>
      <c r="P384" s="302"/>
      <c r="S384" s="305"/>
      <c r="T384" s="305"/>
      <c r="U384" s="306"/>
      <c r="V384" s="305"/>
      <c r="W384" s="305"/>
      <c r="X384" s="305"/>
      <c r="Y384" s="305"/>
      <c r="Z384" s="305"/>
      <c r="AD384" s="296"/>
      <c r="AE384" s="201"/>
      <c r="AF384" s="201"/>
      <c r="AG384" s="201"/>
      <c r="AH384" s="201"/>
      <c r="AI384" s="201"/>
      <c r="AJ384" s="201"/>
      <c r="AK384" s="201"/>
      <c r="AL384" s="201"/>
    </row>
    <row r="385">
      <c r="A385" s="187"/>
      <c r="B385" s="188" t="str">
        <f>IFERROR(__xludf.DUMMYFUNCTION("""COMPUTED_VALUE"""),"Edwin Adjei (Buwg)")</f>
        <v>Edwin Adjei (Buwg)</v>
      </c>
      <c r="C385" s="236"/>
      <c r="D385" s="187"/>
      <c r="E385" s="187"/>
      <c r="F385" s="187"/>
      <c r="G385" s="185"/>
      <c r="H385" s="185"/>
      <c r="I385" s="185"/>
      <c r="J385" s="298"/>
      <c r="K385" s="283"/>
      <c r="L385" s="299"/>
      <c r="M385" s="300"/>
      <c r="N385" s="301"/>
      <c r="O385" s="302"/>
      <c r="P385" s="302"/>
      <c r="S385" s="305"/>
      <c r="T385" s="305"/>
      <c r="U385" s="306"/>
      <c r="V385" s="305"/>
      <c r="W385" s="305"/>
      <c r="X385" s="305"/>
      <c r="Y385" s="305"/>
      <c r="Z385" s="305"/>
      <c r="AD385" s="296"/>
      <c r="AE385" s="201"/>
      <c r="AF385" s="201"/>
      <c r="AG385" s="201"/>
      <c r="AH385" s="201"/>
      <c r="AI385" s="201"/>
      <c r="AJ385" s="201"/>
      <c r="AK385" s="201"/>
      <c r="AL385" s="201"/>
    </row>
    <row r="386">
      <c r="A386" s="187"/>
      <c r="B386" s="188" t="str">
        <f>IFERROR(__xludf.DUMMYFUNCTION("""COMPUTED_VALUE"""),"Bismark Anku (Buwg)")</f>
        <v>Bismark Anku (Buwg)</v>
      </c>
      <c r="C386" s="236"/>
      <c r="D386" s="187"/>
      <c r="E386" s="187"/>
      <c r="F386" s="187"/>
      <c r="G386" s="185"/>
      <c r="H386" s="185"/>
      <c r="I386" s="185"/>
      <c r="J386" s="298"/>
      <c r="K386" s="283"/>
      <c r="L386" s="299"/>
      <c r="M386" s="300"/>
      <c r="N386" s="301"/>
      <c r="O386" s="302"/>
      <c r="P386" s="302"/>
      <c r="S386" s="305"/>
      <c r="T386" s="305"/>
      <c r="U386" s="306"/>
      <c r="V386" s="305"/>
      <c r="W386" s="305"/>
      <c r="X386" s="305"/>
      <c r="Y386" s="305"/>
      <c r="Z386" s="305"/>
      <c r="AD386" s="296"/>
      <c r="AE386" s="201"/>
      <c r="AF386" s="201"/>
      <c r="AG386" s="201"/>
      <c r="AH386" s="201"/>
      <c r="AI386" s="201"/>
      <c r="AJ386" s="201"/>
      <c r="AK386" s="201"/>
      <c r="AL386" s="201"/>
    </row>
    <row r="387">
      <c r="A387" s="187"/>
      <c r="B387" s="188" t="str">
        <f>IFERROR(__xludf.DUMMYFUNCTION("""COMPUTED_VALUE"""),"Aaron Asare (Buwg)")</f>
        <v>Aaron Asare (Buwg)</v>
      </c>
      <c r="C387" s="236"/>
      <c r="D387" s="187"/>
      <c r="E387" s="187"/>
      <c r="F387" s="187"/>
      <c r="G387" s="185"/>
      <c r="H387" s="185"/>
      <c r="I387" s="185"/>
      <c r="J387" s="298"/>
      <c r="K387" s="283"/>
      <c r="L387" s="299"/>
      <c r="M387" s="300"/>
      <c r="N387" s="301"/>
      <c r="O387" s="302"/>
      <c r="P387" s="302"/>
      <c r="S387" s="305"/>
      <c r="T387" s="305"/>
      <c r="U387" s="306"/>
      <c r="V387" s="305"/>
      <c r="W387" s="305"/>
      <c r="X387" s="305"/>
      <c r="Y387" s="305"/>
      <c r="Z387" s="305"/>
      <c r="AD387" s="296"/>
      <c r="AE387" s="201"/>
      <c r="AF387" s="201"/>
      <c r="AG387" s="201"/>
      <c r="AH387" s="201"/>
      <c r="AI387" s="201"/>
      <c r="AJ387" s="201"/>
      <c r="AK387" s="201"/>
      <c r="AL387" s="201"/>
    </row>
    <row r="388">
      <c r="A388" s="187"/>
      <c r="B388" s="188" t="str">
        <f>IFERROR(__xludf.DUMMYFUNCTION("""COMPUTED_VALUE"""),"Anastacia Azibere (Buwg)")</f>
        <v>Anastacia Azibere (Buwg)</v>
      </c>
      <c r="C388" s="236"/>
      <c r="D388" s="187"/>
      <c r="E388" s="187"/>
      <c r="F388" s="187"/>
      <c r="G388" s="185"/>
      <c r="H388" s="185"/>
      <c r="I388" s="185"/>
      <c r="J388" s="298"/>
      <c r="K388" s="283"/>
      <c r="L388" s="299"/>
      <c r="M388" s="300"/>
      <c r="N388" s="301"/>
      <c r="O388" s="302"/>
      <c r="P388" s="302"/>
      <c r="S388" s="305"/>
      <c r="T388" s="305"/>
      <c r="U388" s="306"/>
      <c r="V388" s="305"/>
      <c r="W388" s="305"/>
      <c r="X388" s="305"/>
      <c r="Y388" s="305"/>
      <c r="Z388" s="305"/>
      <c r="AD388" s="296"/>
      <c r="AE388" s="201"/>
      <c r="AF388" s="201"/>
      <c r="AG388" s="201"/>
      <c r="AH388" s="201"/>
      <c r="AI388" s="201"/>
      <c r="AJ388" s="201"/>
      <c r="AK388" s="201"/>
      <c r="AL388" s="201"/>
    </row>
    <row r="389">
      <c r="A389" s="187"/>
      <c r="B389" s="188" t="str">
        <f>IFERROR(__xludf.DUMMYFUNCTION("""COMPUTED_VALUE"""),"Maicol Vasco (Buw)")</f>
        <v>Maicol Vasco (Buw)</v>
      </c>
      <c r="C389" s="236"/>
      <c r="D389" s="187"/>
      <c r="E389" s="187"/>
      <c r="F389" s="187"/>
      <c r="G389" s="185"/>
      <c r="H389" s="185"/>
      <c r="I389" s="185"/>
      <c r="J389" s="298"/>
      <c r="K389" s="283"/>
      <c r="L389" s="299"/>
      <c r="M389" s="300"/>
      <c r="N389" s="301"/>
      <c r="O389" s="302"/>
      <c r="P389" s="302"/>
      <c r="S389" s="305"/>
      <c r="T389" s="305"/>
      <c r="U389" s="306"/>
      <c r="V389" s="305"/>
      <c r="W389" s="305"/>
      <c r="X389" s="305"/>
      <c r="Y389" s="305"/>
      <c r="Z389" s="305"/>
      <c r="AD389" s="296"/>
      <c r="AE389" s="201"/>
      <c r="AF389" s="201"/>
      <c r="AG389" s="201"/>
      <c r="AH389" s="201"/>
      <c r="AI389" s="201"/>
      <c r="AJ389" s="201"/>
      <c r="AK389" s="201"/>
      <c r="AL389" s="201"/>
    </row>
    <row r="390">
      <c r="A390" s="187"/>
      <c r="B390" s="188" t="str">
        <f>IFERROR(__xludf.DUMMYFUNCTION("""COMPUTED_VALUE"""),"Raquel Mendoza (Con)")</f>
        <v>Raquel Mendoza (Con)</v>
      </c>
      <c r="C390" s="236"/>
      <c r="D390" s="187"/>
      <c r="E390" s="187"/>
      <c r="F390" s="187"/>
      <c r="G390" s="185"/>
      <c r="H390" s="185"/>
      <c r="I390" s="185"/>
      <c r="J390" s="298"/>
      <c r="K390" s="283"/>
      <c r="L390" s="299"/>
      <c r="M390" s="300"/>
      <c r="N390" s="301"/>
      <c r="O390" s="302"/>
      <c r="P390" s="302"/>
      <c r="S390" s="305"/>
      <c r="T390" s="305"/>
      <c r="U390" s="306"/>
      <c r="V390" s="305"/>
      <c r="W390" s="305"/>
      <c r="X390" s="305"/>
      <c r="Y390" s="305"/>
      <c r="Z390" s="305"/>
      <c r="AD390" s="296"/>
      <c r="AE390" s="201"/>
      <c r="AF390" s="201"/>
      <c r="AG390" s="201"/>
      <c r="AH390" s="201"/>
      <c r="AI390" s="201"/>
      <c r="AJ390" s="201"/>
      <c r="AK390" s="201"/>
      <c r="AL390" s="201"/>
    </row>
    <row r="391">
      <c r="A391" s="187"/>
      <c r="B391" s="188" t="str">
        <f>IFERROR(__xludf.DUMMYFUNCTION("""COMPUTED_VALUE"""),"Karen Caldas")</f>
        <v>Karen Caldas</v>
      </c>
      <c r="C391" s="236"/>
      <c r="D391" s="187"/>
      <c r="E391" s="187"/>
      <c r="F391" s="187"/>
      <c r="G391" s="185"/>
      <c r="H391" s="185"/>
      <c r="I391" s="185"/>
      <c r="J391" s="298"/>
      <c r="K391" s="283"/>
      <c r="L391" s="299"/>
      <c r="M391" s="300"/>
      <c r="N391" s="301"/>
      <c r="O391" s="302"/>
      <c r="P391" s="302"/>
      <c r="S391" s="305"/>
      <c r="T391" s="305"/>
      <c r="U391" s="306"/>
      <c r="V391" s="305"/>
      <c r="W391" s="305"/>
      <c r="X391" s="305"/>
      <c r="Y391" s="305"/>
      <c r="Z391" s="305"/>
      <c r="AD391" s="296"/>
      <c r="AE391" s="201"/>
      <c r="AF391" s="201"/>
      <c r="AG391" s="201"/>
      <c r="AH391" s="201"/>
      <c r="AI391" s="201"/>
      <c r="AJ391" s="201"/>
      <c r="AK391" s="201"/>
      <c r="AL391" s="201"/>
    </row>
    <row r="392">
      <c r="A392" s="187"/>
      <c r="B392" s="188" t="str">
        <f>IFERROR(__xludf.DUMMYFUNCTION("""COMPUTED_VALUE"""),"Lilian Penaflorida (Wns)")</f>
        <v>Lilian Penaflorida (Wns)</v>
      </c>
      <c r="C392" s="236"/>
      <c r="D392" s="187"/>
      <c r="E392" s="187"/>
      <c r="F392" s="187"/>
      <c r="G392" s="185"/>
      <c r="H392" s="185"/>
      <c r="I392" s="185"/>
      <c r="J392" s="298"/>
      <c r="K392" s="283"/>
      <c r="L392" s="299"/>
      <c r="M392" s="300"/>
      <c r="N392" s="301"/>
      <c r="O392" s="302"/>
      <c r="P392" s="302"/>
      <c r="S392" s="305"/>
      <c r="T392" s="305"/>
      <c r="U392" s="306"/>
      <c r="V392" s="305"/>
      <c r="W392" s="305"/>
      <c r="X392" s="305"/>
      <c r="Y392" s="305"/>
      <c r="Z392" s="305"/>
      <c r="AD392" s="296"/>
      <c r="AE392" s="201"/>
      <c r="AF392" s="201"/>
      <c r="AG392" s="201"/>
      <c r="AH392" s="201"/>
      <c r="AI392" s="201"/>
      <c r="AJ392" s="201"/>
      <c r="AK392" s="201"/>
      <c r="AL392" s="201"/>
    </row>
    <row r="393">
      <c r="A393" s="187"/>
      <c r="B393" s="188" t="str">
        <f>IFERROR(__xludf.DUMMYFUNCTION("""COMPUTED_VALUE"""),"Priscilla Clark (Buwg)")</f>
        <v>Priscilla Clark (Buwg)</v>
      </c>
      <c r="C393" s="236"/>
      <c r="D393" s="187"/>
      <c r="E393" s="187"/>
      <c r="F393" s="187"/>
      <c r="G393" s="185"/>
      <c r="H393" s="185"/>
      <c r="I393" s="185"/>
      <c r="J393" s="298"/>
      <c r="K393" s="283"/>
      <c r="L393" s="299"/>
      <c r="M393" s="300"/>
      <c r="N393" s="301"/>
      <c r="O393" s="302"/>
      <c r="P393" s="302"/>
      <c r="S393" s="305"/>
      <c r="T393" s="305"/>
      <c r="U393" s="306"/>
      <c r="V393" s="305"/>
      <c r="W393" s="305"/>
      <c r="X393" s="305"/>
      <c r="Y393" s="305"/>
      <c r="Z393" s="305"/>
      <c r="AD393" s="296"/>
      <c r="AE393" s="201"/>
      <c r="AF393" s="201"/>
      <c r="AG393" s="201"/>
      <c r="AH393" s="201"/>
      <c r="AI393" s="201"/>
      <c r="AJ393" s="201"/>
      <c r="AK393" s="201"/>
      <c r="AL393" s="201"/>
    </row>
    <row r="394">
      <c r="A394" s="187"/>
      <c r="B394" s="188"/>
      <c r="C394" s="236"/>
      <c r="D394" s="187"/>
      <c r="E394" s="187"/>
      <c r="F394" s="187"/>
      <c r="G394" s="185"/>
      <c r="H394" s="185"/>
      <c r="I394" s="185"/>
      <c r="J394" s="298"/>
      <c r="K394" s="283"/>
      <c r="L394" s="299"/>
      <c r="M394" s="300"/>
      <c r="N394" s="301"/>
      <c r="O394" s="302"/>
      <c r="P394" s="302"/>
      <c r="S394" s="305"/>
      <c r="T394" s="305"/>
      <c r="U394" s="306"/>
      <c r="V394" s="305"/>
      <c r="W394" s="305"/>
      <c r="X394" s="305"/>
      <c r="Y394" s="305"/>
      <c r="Z394" s="305"/>
      <c r="AD394" s="296"/>
      <c r="AE394" s="201"/>
      <c r="AF394" s="201"/>
      <c r="AG394" s="201"/>
      <c r="AH394" s="201"/>
      <c r="AI394" s="201"/>
      <c r="AJ394" s="201"/>
      <c r="AK394" s="201"/>
      <c r="AL394" s="201"/>
    </row>
    <row r="395">
      <c r="A395" s="187"/>
      <c r="B395" s="188"/>
      <c r="C395" s="236"/>
      <c r="D395" s="187"/>
      <c r="E395" s="187"/>
      <c r="F395" s="187"/>
      <c r="G395" s="185"/>
      <c r="H395" s="185"/>
      <c r="I395" s="185"/>
      <c r="J395" s="298"/>
      <c r="K395" s="283"/>
      <c r="L395" s="299"/>
      <c r="M395" s="300"/>
      <c r="N395" s="301"/>
      <c r="O395" s="302"/>
      <c r="P395" s="302"/>
      <c r="S395" s="305"/>
      <c r="T395" s="305"/>
      <c r="U395" s="306"/>
      <c r="V395" s="305"/>
      <c r="W395" s="305"/>
      <c r="X395" s="305"/>
      <c r="Y395" s="305"/>
      <c r="Z395" s="305"/>
      <c r="AD395" s="296"/>
      <c r="AE395" s="201"/>
      <c r="AF395" s="201"/>
      <c r="AG395" s="201"/>
      <c r="AH395" s="201"/>
      <c r="AI395" s="201"/>
      <c r="AJ395" s="201"/>
      <c r="AK395" s="201"/>
      <c r="AL395" s="201"/>
    </row>
    <row r="396">
      <c r="A396" s="187"/>
      <c r="B396" s="188"/>
      <c r="C396" s="236"/>
      <c r="D396" s="187"/>
      <c r="E396" s="187"/>
      <c r="F396" s="187"/>
      <c r="G396" s="185"/>
      <c r="H396" s="185"/>
      <c r="I396" s="185"/>
      <c r="J396" s="298"/>
      <c r="K396" s="283"/>
      <c r="L396" s="299"/>
      <c r="M396" s="300"/>
      <c r="N396" s="301"/>
      <c r="O396" s="302"/>
      <c r="P396" s="302"/>
      <c r="S396" s="305"/>
      <c r="T396" s="305"/>
      <c r="U396" s="306"/>
      <c r="V396" s="305"/>
      <c r="W396" s="305"/>
      <c r="X396" s="305"/>
      <c r="Y396" s="305"/>
      <c r="Z396" s="305"/>
      <c r="AD396" s="296"/>
      <c r="AE396" s="201"/>
      <c r="AF396" s="201"/>
      <c r="AG396" s="201"/>
      <c r="AH396" s="201"/>
      <c r="AI396" s="201"/>
      <c r="AJ396" s="201"/>
      <c r="AK396" s="201"/>
      <c r="AL396" s="201"/>
    </row>
    <row r="397">
      <c r="A397" s="187"/>
      <c r="B397" s="188"/>
      <c r="C397" s="236"/>
      <c r="D397" s="187"/>
      <c r="E397" s="187"/>
      <c r="F397" s="187"/>
      <c r="G397" s="185"/>
      <c r="H397" s="185"/>
      <c r="I397" s="185"/>
      <c r="J397" s="298"/>
      <c r="K397" s="283"/>
      <c r="L397" s="299"/>
      <c r="M397" s="300"/>
      <c r="N397" s="301"/>
      <c r="O397" s="302"/>
      <c r="P397" s="302"/>
      <c r="S397" s="305"/>
      <c r="T397" s="305"/>
      <c r="U397" s="306"/>
      <c r="V397" s="305"/>
      <c r="W397" s="305"/>
      <c r="X397" s="305"/>
      <c r="Y397" s="305"/>
      <c r="Z397" s="305"/>
      <c r="AD397" s="296"/>
      <c r="AE397" s="201"/>
      <c r="AF397" s="201"/>
      <c r="AG397" s="201"/>
      <c r="AH397" s="201"/>
      <c r="AI397" s="201"/>
      <c r="AJ397" s="201"/>
      <c r="AK397" s="201"/>
      <c r="AL397" s="201"/>
    </row>
    <row r="398">
      <c r="A398" s="187"/>
      <c r="B398" s="188"/>
      <c r="C398" s="236"/>
      <c r="D398" s="187"/>
      <c r="E398" s="187"/>
      <c r="F398" s="187"/>
      <c r="G398" s="185"/>
      <c r="H398" s="185"/>
      <c r="I398" s="185"/>
      <c r="J398" s="298"/>
      <c r="K398" s="283"/>
      <c r="L398" s="299"/>
      <c r="M398" s="300"/>
      <c r="N398" s="301"/>
      <c r="O398" s="302"/>
      <c r="P398" s="302"/>
      <c r="S398" s="305"/>
      <c r="T398" s="305"/>
      <c r="U398" s="306"/>
      <c r="V398" s="305"/>
      <c r="W398" s="305"/>
      <c r="X398" s="305"/>
      <c r="Y398" s="305"/>
      <c r="Z398" s="305"/>
      <c r="AD398" s="296"/>
      <c r="AE398" s="201"/>
      <c r="AF398" s="201"/>
      <c r="AG398" s="201"/>
      <c r="AH398" s="201"/>
      <c r="AI398" s="201"/>
      <c r="AJ398" s="201"/>
      <c r="AK398" s="201"/>
      <c r="AL398" s="201"/>
    </row>
    <row r="399">
      <c r="A399" s="187"/>
      <c r="B399" s="188"/>
      <c r="C399" s="236"/>
      <c r="D399" s="187"/>
      <c r="E399" s="187"/>
      <c r="F399" s="187"/>
      <c r="G399" s="185"/>
      <c r="H399" s="185"/>
      <c r="I399" s="185"/>
      <c r="J399" s="298"/>
      <c r="K399" s="283"/>
      <c r="L399" s="299"/>
      <c r="M399" s="300"/>
      <c r="N399" s="301"/>
      <c r="O399" s="302"/>
      <c r="P399" s="302"/>
      <c r="S399" s="305"/>
      <c r="T399" s="305"/>
      <c r="U399" s="306"/>
      <c r="V399" s="305"/>
      <c r="W399" s="305"/>
      <c r="X399" s="305"/>
      <c r="Y399" s="305"/>
      <c r="Z399" s="305"/>
      <c r="AD399" s="296"/>
      <c r="AE399" s="201"/>
      <c r="AF399" s="201"/>
      <c r="AG399" s="201"/>
      <c r="AH399" s="201"/>
      <c r="AI399" s="201"/>
      <c r="AJ399" s="201"/>
      <c r="AK399" s="201"/>
      <c r="AL399" s="201"/>
    </row>
    <row r="400">
      <c r="A400" s="187"/>
      <c r="B400" s="188"/>
      <c r="C400" s="236"/>
      <c r="D400" s="187"/>
      <c r="E400" s="187"/>
      <c r="F400" s="187"/>
      <c r="G400" s="185"/>
      <c r="H400" s="185"/>
      <c r="I400" s="185"/>
      <c r="J400" s="298"/>
      <c r="K400" s="283"/>
      <c r="L400" s="299"/>
      <c r="M400" s="300"/>
      <c r="N400" s="301"/>
      <c r="O400" s="302"/>
      <c r="P400" s="302"/>
      <c r="S400" s="305"/>
      <c r="T400" s="305"/>
      <c r="U400" s="306"/>
      <c r="V400" s="305"/>
      <c r="W400" s="305"/>
      <c r="X400" s="305"/>
      <c r="Y400" s="305"/>
      <c r="Z400" s="305"/>
      <c r="AD400" s="296"/>
      <c r="AE400" s="201"/>
      <c r="AF400" s="201"/>
      <c r="AG400" s="201"/>
      <c r="AH400" s="201"/>
      <c r="AI400" s="201"/>
      <c r="AJ400" s="201"/>
      <c r="AK400" s="201"/>
      <c r="AL400" s="201"/>
    </row>
    <row r="401">
      <c r="A401" s="187"/>
      <c r="B401" s="188"/>
      <c r="C401" s="236"/>
      <c r="D401" s="187"/>
      <c r="E401" s="187"/>
      <c r="F401" s="187"/>
      <c r="G401" s="185"/>
      <c r="H401" s="185"/>
      <c r="I401" s="185"/>
      <c r="J401" s="298"/>
      <c r="K401" s="283"/>
      <c r="L401" s="299"/>
      <c r="M401" s="300"/>
      <c r="N401" s="301"/>
      <c r="O401" s="302"/>
      <c r="P401" s="302"/>
      <c r="S401" s="305"/>
      <c r="T401" s="305"/>
      <c r="U401" s="306"/>
      <c r="V401" s="305"/>
      <c r="W401" s="305"/>
      <c r="X401" s="305"/>
      <c r="Y401" s="305"/>
      <c r="Z401" s="305"/>
      <c r="AD401" s="296"/>
      <c r="AE401" s="201"/>
      <c r="AF401" s="201"/>
      <c r="AG401" s="201"/>
      <c r="AH401" s="201"/>
      <c r="AI401" s="201"/>
      <c r="AJ401" s="201"/>
      <c r="AK401" s="201"/>
      <c r="AL401" s="201"/>
    </row>
    <row r="402">
      <c r="A402" s="187"/>
      <c r="B402" s="188"/>
      <c r="C402" s="236"/>
      <c r="D402" s="187"/>
      <c r="E402" s="187"/>
      <c r="F402" s="187"/>
      <c r="G402" s="185"/>
      <c r="H402" s="185"/>
      <c r="I402" s="185"/>
      <c r="J402" s="298"/>
      <c r="K402" s="283"/>
      <c r="L402" s="299"/>
      <c r="M402" s="300"/>
      <c r="N402" s="301"/>
      <c r="O402" s="302"/>
      <c r="P402" s="302"/>
      <c r="S402" s="305"/>
      <c r="T402" s="305"/>
      <c r="U402" s="306"/>
      <c r="V402" s="305"/>
      <c r="W402" s="305"/>
      <c r="X402" s="305"/>
      <c r="Y402" s="305"/>
      <c r="Z402" s="305"/>
      <c r="AD402" s="296"/>
      <c r="AE402" s="201"/>
      <c r="AF402" s="201"/>
      <c r="AG402" s="201"/>
      <c r="AH402" s="201"/>
      <c r="AI402" s="201"/>
      <c r="AJ402" s="201"/>
      <c r="AK402" s="201"/>
      <c r="AL402" s="201"/>
    </row>
    <row r="403">
      <c r="A403" s="187"/>
      <c r="B403" s="188"/>
      <c r="C403" s="236"/>
      <c r="D403" s="187"/>
      <c r="E403" s="187"/>
      <c r="F403" s="187"/>
      <c r="G403" s="185"/>
      <c r="H403" s="185"/>
      <c r="I403" s="185"/>
      <c r="J403" s="298"/>
      <c r="K403" s="283"/>
      <c r="L403" s="299"/>
      <c r="M403" s="300"/>
      <c r="N403" s="301"/>
      <c r="O403" s="302"/>
      <c r="P403" s="302"/>
      <c r="S403" s="305"/>
      <c r="T403" s="305"/>
      <c r="U403" s="306"/>
      <c r="V403" s="305"/>
      <c r="W403" s="305"/>
      <c r="X403" s="305"/>
      <c r="Y403" s="305"/>
      <c r="Z403" s="305"/>
      <c r="AD403" s="296"/>
      <c r="AE403" s="201"/>
      <c r="AF403" s="201"/>
      <c r="AG403" s="201"/>
      <c r="AH403" s="201"/>
      <c r="AI403" s="201"/>
      <c r="AJ403" s="201"/>
      <c r="AK403" s="201"/>
      <c r="AL403" s="201"/>
    </row>
    <row r="404">
      <c r="A404" s="187"/>
      <c r="B404" s="188"/>
      <c r="C404" s="236"/>
      <c r="D404" s="187"/>
      <c r="E404" s="187"/>
      <c r="F404" s="187"/>
      <c r="G404" s="185"/>
      <c r="H404" s="185"/>
      <c r="I404" s="185"/>
      <c r="J404" s="298"/>
      <c r="K404" s="283"/>
      <c r="L404" s="299"/>
      <c r="M404" s="300"/>
      <c r="N404" s="301"/>
      <c r="O404" s="302"/>
      <c r="P404" s="302"/>
      <c r="S404" s="305"/>
      <c r="T404" s="305"/>
      <c r="U404" s="306"/>
      <c r="V404" s="305"/>
      <c r="W404" s="305"/>
      <c r="X404" s="305"/>
      <c r="Y404" s="305"/>
      <c r="Z404" s="305"/>
      <c r="AD404" s="296"/>
      <c r="AE404" s="201"/>
      <c r="AF404" s="201"/>
      <c r="AG404" s="201"/>
      <c r="AH404" s="201"/>
      <c r="AI404" s="201"/>
      <c r="AJ404" s="201"/>
      <c r="AK404" s="201"/>
      <c r="AL404" s="201"/>
    </row>
    <row r="405">
      <c r="A405" s="187"/>
      <c r="B405" s="188"/>
      <c r="C405" s="236"/>
      <c r="D405" s="187"/>
      <c r="E405" s="187"/>
      <c r="F405" s="187"/>
      <c r="G405" s="185"/>
      <c r="H405" s="185"/>
      <c r="I405" s="185"/>
      <c r="J405" s="298"/>
      <c r="K405" s="283"/>
      <c r="L405" s="299"/>
      <c r="M405" s="300"/>
      <c r="N405" s="301"/>
      <c r="O405" s="302"/>
      <c r="P405" s="302"/>
      <c r="S405" s="305"/>
      <c r="T405" s="305"/>
      <c r="U405" s="306"/>
      <c r="V405" s="305"/>
      <c r="W405" s="305"/>
      <c r="X405" s="305"/>
      <c r="Y405" s="305"/>
      <c r="Z405" s="305"/>
      <c r="AD405" s="296"/>
      <c r="AE405" s="201"/>
      <c r="AF405" s="201"/>
      <c r="AG405" s="201"/>
      <c r="AH405" s="201"/>
      <c r="AI405" s="201"/>
      <c r="AJ405" s="201"/>
      <c r="AK405" s="201"/>
      <c r="AL405" s="201"/>
    </row>
    <row r="406">
      <c r="A406" s="187"/>
      <c r="B406" s="188"/>
      <c r="C406" s="236"/>
      <c r="D406" s="187"/>
      <c r="E406" s="187"/>
      <c r="F406" s="187"/>
      <c r="G406" s="185"/>
      <c r="H406" s="185"/>
      <c r="I406" s="185"/>
      <c r="J406" s="298"/>
      <c r="K406" s="283"/>
      <c r="L406" s="299"/>
      <c r="M406" s="300"/>
      <c r="N406" s="301"/>
      <c r="O406" s="302"/>
      <c r="P406" s="302"/>
      <c r="S406" s="305"/>
      <c r="T406" s="305"/>
      <c r="U406" s="306"/>
      <c r="V406" s="305"/>
      <c r="W406" s="305"/>
      <c r="X406" s="305"/>
      <c r="Y406" s="305"/>
      <c r="Z406" s="305"/>
      <c r="AD406" s="296"/>
      <c r="AE406" s="201"/>
      <c r="AF406" s="201"/>
      <c r="AG406" s="201"/>
      <c r="AH406" s="201"/>
      <c r="AI406" s="201"/>
      <c r="AJ406" s="201"/>
      <c r="AK406" s="201"/>
      <c r="AL406" s="201"/>
    </row>
    <row r="407">
      <c r="A407" s="187"/>
      <c r="B407" s="188"/>
      <c r="C407" s="236"/>
      <c r="D407" s="187"/>
      <c r="E407" s="187"/>
      <c r="F407" s="187"/>
      <c r="G407" s="185"/>
      <c r="H407" s="185"/>
      <c r="I407" s="185"/>
      <c r="J407" s="298"/>
      <c r="K407" s="283"/>
      <c r="L407" s="299"/>
      <c r="M407" s="300"/>
      <c r="N407" s="301"/>
      <c r="O407" s="302"/>
      <c r="P407" s="302"/>
      <c r="S407" s="305"/>
      <c r="T407" s="305"/>
      <c r="U407" s="306"/>
      <c r="V407" s="305"/>
      <c r="W407" s="305"/>
      <c r="X407" s="305"/>
      <c r="Y407" s="305"/>
      <c r="Z407" s="305"/>
      <c r="AD407" s="296"/>
      <c r="AE407" s="201"/>
      <c r="AF407" s="201"/>
      <c r="AG407" s="201"/>
      <c r="AH407" s="201"/>
      <c r="AI407" s="201"/>
      <c r="AJ407" s="201"/>
      <c r="AK407" s="201"/>
      <c r="AL407" s="201"/>
    </row>
    <row r="408">
      <c r="A408" s="187"/>
      <c r="B408" s="188"/>
      <c r="C408" s="236"/>
      <c r="D408" s="187"/>
      <c r="E408" s="187"/>
      <c r="F408" s="187"/>
      <c r="G408" s="185"/>
      <c r="H408" s="185"/>
      <c r="I408" s="185"/>
      <c r="J408" s="298"/>
      <c r="K408" s="283"/>
      <c r="L408" s="299"/>
      <c r="M408" s="300"/>
      <c r="N408" s="301"/>
      <c r="O408" s="302"/>
      <c r="P408" s="302"/>
      <c r="S408" s="305"/>
      <c r="T408" s="305"/>
      <c r="U408" s="306"/>
      <c r="V408" s="305"/>
      <c r="W408" s="305"/>
      <c r="X408" s="305"/>
      <c r="Y408" s="305"/>
      <c r="Z408" s="305"/>
      <c r="AD408" s="296"/>
      <c r="AE408" s="201"/>
      <c r="AF408" s="201"/>
      <c r="AG408" s="201"/>
      <c r="AH408" s="201"/>
      <c r="AI408" s="201"/>
      <c r="AJ408" s="201"/>
      <c r="AK408" s="201"/>
      <c r="AL408" s="201"/>
    </row>
    <row r="409">
      <c r="A409" s="187"/>
      <c r="B409" s="188"/>
      <c r="C409" s="236"/>
      <c r="D409" s="187"/>
      <c r="E409" s="187"/>
      <c r="F409" s="187"/>
      <c r="G409" s="185"/>
      <c r="H409" s="185"/>
      <c r="I409" s="185"/>
      <c r="J409" s="298"/>
      <c r="K409" s="283"/>
      <c r="L409" s="299"/>
      <c r="M409" s="300"/>
      <c r="N409" s="301"/>
      <c r="O409" s="302"/>
      <c r="P409" s="302"/>
      <c r="S409" s="305"/>
      <c r="T409" s="305"/>
      <c r="U409" s="306"/>
      <c r="V409" s="305"/>
      <c r="W409" s="305"/>
      <c r="X409" s="305"/>
      <c r="Y409" s="305"/>
      <c r="Z409" s="305"/>
      <c r="AD409" s="296"/>
      <c r="AE409" s="201"/>
      <c r="AF409" s="201"/>
      <c r="AG409" s="201"/>
      <c r="AH409" s="201"/>
      <c r="AI409" s="201"/>
      <c r="AJ409" s="201"/>
      <c r="AK409" s="201"/>
      <c r="AL409" s="201"/>
    </row>
    <row r="410">
      <c r="A410" s="187"/>
      <c r="B410" s="188"/>
      <c r="C410" s="236"/>
      <c r="D410" s="187"/>
      <c r="E410" s="187"/>
      <c r="F410" s="187"/>
      <c r="G410" s="185"/>
      <c r="H410" s="185"/>
      <c r="I410" s="185"/>
      <c r="J410" s="298"/>
      <c r="K410" s="283"/>
      <c r="L410" s="299"/>
      <c r="M410" s="300"/>
      <c r="N410" s="301"/>
      <c r="O410" s="302"/>
      <c r="P410" s="302"/>
      <c r="S410" s="305"/>
      <c r="T410" s="305"/>
      <c r="U410" s="306"/>
      <c r="V410" s="305"/>
      <c r="W410" s="305"/>
      <c r="X410" s="305"/>
      <c r="Y410" s="305"/>
      <c r="Z410" s="305"/>
      <c r="AD410" s="296"/>
      <c r="AE410" s="201"/>
      <c r="AF410" s="201"/>
      <c r="AG410" s="201"/>
      <c r="AH410" s="201"/>
      <c r="AI410" s="201"/>
      <c r="AJ410" s="201"/>
      <c r="AK410" s="201"/>
      <c r="AL410" s="201"/>
    </row>
    <row r="411">
      <c r="A411" s="187"/>
      <c r="B411" s="188"/>
      <c r="C411" s="236"/>
      <c r="D411" s="187"/>
      <c r="E411" s="187"/>
      <c r="F411" s="187"/>
      <c r="G411" s="185"/>
      <c r="H411" s="185"/>
      <c r="I411" s="185"/>
      <c r="J411" s="298"/>
      <c r="K411" s="283"/>
      <c r="L411" s="299"/>
      <c r="M411" s="300"/>
      <c r="N411" s="301"/>
      <c r="O411" s="302"/>
      <c r="P411" s="302"/>
      <c r="S411" s="305"/>
      <c r="T411" s="305"/>
      <c r="U411" s="306"/>
      <c r="V411" s="305"/>
      <c r="W411" s="305"/>
      <c r="X411" s="305"/>
      <c r="Y411" s="305"/>
      <c r="Z411" s="305"/>
      <c r="AD411" s="296"/>
      <c r="AE411" s="201"/>
      <c r="AF411" s="201"/>
      <c r="AG411" s="201"/>
      <c r="AH411" s="201"/>
      <c r="AI411" s="201"/>
      <c r="AJ411" s="201"/>
      <c r="AK411" s="201"/>
      <c r="AL411" s="201"/>
    </row>
    <row r="412">
      <c r="A412" s="187"/>
      <c r="B412" s="188"/>
      <c r="C412" s="236"/>
      <c r="D412" s="187"/>
      <c r="E412" s="187"/>
      <c r="F412" s="187"/>
      <c r="G412" s="185"/>
      <c r="H412" s="185"/>
      <c r="I412" s="185"/>
      <c r="J412" s="298"/>
      <c r="K412" s="283"/>
      <c r="L412" s="299"/>
      <c r="M412" s="300"/>
      <c r="N412" s="301"/>
      <c r="O412" s="302"/>
      <c r="P412" s="302"/>
      <c r="S412" s="305"/>
      <c r="T412" s="305"/>
      <c r="U412" s="306"/>
      <c r="V412" s="305"/>
      <c r="W412" s="305"/>
      <c r="X412" s="305"/>
      <c r="Y412" s="305"/>
      <c r="Z412" s="305"/>
      <c r="AD412" s="296"/>
      <c r="AE412" s="201"/>
      <c r="AF412" s="201"/>
      <c r="AG412" s="201"/>
      <c r="AH412" s="201"/>
      <c r="AI412" s="201"/>
      <c r="AJ412" s="201"/>
      <c r="AK412" s="201"/>
      <c r="AL412" s="201"/>
    </row>
    <row r="413">
      <c r="A413" s="187"/>
      <c r="B413" s="188"/>
      <c r="C413" s="236"/>
      <c r="D413" s="187"/>
      <c r="E413" s="187"/>
      <c r="F413" s="187"/>
      <c r="G413" s="185"/>
      <c r="H413" s="185"/>
      <c r="I413" s="185"/>
      <c r="J413" s="298"/>
      <c r="K413" s="283"/>
      <c r="L413" s="299"/>
      <c r="M413" s="300"/>
      <c r="N413" s="301"/>
      <c r="O413" s="302"/>
      <c r="P413" s="302"/>
      <c r="S413" s="305"/>
      <c r="T413" s="305"/>
      <c r="U413" s="306"/>
      <c r="V413" s="305"/>
      <c r="W413" s="305"/>
      <c r="X413" s="305"/>
      <c r="Y413" s="305"/>
      <c r="Z413" s="305"/>
      <c r="AD413" s="296"/>
      <c r="AE413" s="201"/>
      <c r="AF413" s="201"/>
      <c r="AG413" s="201"/>
      <c r="AH413" s="201"/>
      <c r="AI413" s="201"/>
      <c r="AJ413" s="201"/>
      <c r="AK413" s="201"/>
      <c r="AL413" s="201"/>
    </row>
    <row r="414">
      <c r="A414" s="187"/>
      <c r="B414" s="188"/>
      <c r="C414" s="236"/>
      <c r="D414" s="187"/>
      <c r="E414" s="187"/>
      <c r="F414" s="187"/>
      <c r="G414" s="185"/>
      <c r="H414" s="185"/>
      <c r="I414" s="185"/>
      <c r="J414" s="298"/>
      <c r="K414" s="283"/>
      <c r="L414" s="299"/>
      <c r="M414" s="300"/>
      <c r="N414" s="301"/>
      <c r="O414" s="302"/>
      <c r="P414" s="302"/>
      <c r="S414" s="305"/>
      <c r="T414" s="305"/>
      <c r="U414" s="306"/>
      <c r="V414" s="305"/>
      <c r="W414" s="305"/>
      <c r="X414" s="305"/>
      <c r="Y414" s="305"/>
      <c r="Z414" s="305"/>
      <c r="AD414" s="296"/>
      <c r="AE414" s="201"/>
      <c r="AF414" s="201"/>
      <c r="AG414" s="201"/>
      <c r="AH414" s="201"/>
      <c r="AI414" s="201"/>
      <c r="AJ414" s="201"/>
      <c r="AK414" s="201"/>
      <c r="AL414" s="201"/>
    </row>
    <row r="415">
      <c r="A415" s="187"/>
      <c r="B415" s="188"/>
      <c r="C415" s="236"/>
      <c r="D415" s="187"/>
      <c r="E415" s="187"/>
      <c r="F415" s="187"/>
      <c r="G415" s="185"/>
      <c r="H415" s="185"/>
      <c r="I415" s="185"/>
      <c r="J415" s="298"/>
      <c r="K415" s="283"/>
      <c r="L415" s="299"/>
      <c r="M415" s="300"/>
      <c r="N415" s="301"/>
      <c r="O415" s="302"/>
      <c r="P415" s="302"/>
      <c r="S415" s="305"/>
      <c r="T415" s="305"/>
      <c r="U415" s="306"/>
      <c r="V415" s="305"/>
      <c r="W415" s="305"/>
      <c r="X415" s="305"/>
      <c r="Y415" s="305"/>
      <c r="Z415" s="305"/>
      <c r="AD415" s="296"/>
      <c r="AE415" s="201"/>
      <c r="AF415" s="201"/>
      <c r="AG415" s="201"/>
      <c r="AH415" s="201"/>
      <c r="AI415" s="201"/>
      <c r="AJ415" s="201"/>
      <c r="AK415" s="201"/>
      <c r="AL415" s="201"/>
    </row>
    <row r="416">
      <c r="A416" s="187"/>
      <c r="B416" s="188"/>
      <c r="C416" s="236"/>
      <c r="D416" s="187"/>
      <c r="E416" s="187"/>
      <c r="F416" s="187"/>
      <c r="G416" s="185"/>
      <c r="H416" s="185"/>
      <c r="I416" s="185"/>
      <c r="J416" s="298"/>
      <c r="K416" s="283"/>
      <c r="L416" s="299"/>
      <c r="M416" s="300"/>
      <c r="N416" s="301"/>
      <c r="O416" s="302"/>
      <c r="P416" s="302"/>
      <c r="S416" s="305"/>
      <c r="T416" s="305"/>
      <c r="U416" s="306"/>
      <c r="V416" s="305"/>
      <c r="W416" s="305"/>
      <c r="X416" s="305"/>
      <c r="Y416" s="305"/>
      <c r="Z416" s="305"/>
      <c r="AD416" s="296"/>
      <c r="AE416" s="201"/>
      <c r="AF416" s="201"/>
      <c r="AG416" s="201"/>
      <c r="AH416" s="201"/>
      <c r="AI416" s="201"/>
      <c r="AJ416" s="201"/>
      <c r="AK416" s="201"/>
      <c r="AL416" s="201"/>
    </row>
    <row r="417">
      <c r="A417" s="187"/>
      <c r="B417" s="188"/>
      <c r="C417" s="236"/>
      <c r="D417" s="187"/>
      <c r="E417" s="187"/>
      <c r="F417" s="187"/>
      <c r="G417" s="185"/>
      <c r="H417" s="185"/>
      <c r="I417" s="185"/>
      <c r="J417" s="298"/>
      <c r="K417" s="283"/>
      <c r="L417" s="299"/>
      <c r="M417" s="300"/>
      <c r="N417" s="301"/>
      <c r="O417" s="302"/>
      <c r="P417" s="302"/>
      <c r="S417" s="305"/>
      <c r="T417" s="305"/>
      <c r="U417" s="306"/>
      <c r="V417" s="305"/>
      <c r="W417" s="305"/>
      <c r="X417" s="305"/>
      <c r="Y417" s="305"/>
      <c r="Z417" s="305"/>
      <c r="AD417" s="296"/>
      <c r="AE417" s="201"/>
      <c r="AF417" s="201"/>
      <c r="AG417" s="201"/>
      <c r="AH417" s="201"/>
      <c r="AI417" s="201"/>
      <c r="AJ417" s="201"/>
      <c r="AK417" s="201"/>
      <c r="AL417" s="201"/>
    </row>
    <row r="418">
      <c r="A418" s="187"/>
      <c r="B418" s="188"/>
      <c r="C418" s="236"/>
      <c r="D418" s="187"/>
      <c r="E418" s="187"/>
      <c r="F418" s="187"/>
      <c r="G418" s="185"/>
      <c r="H418" s="185"/>
      <c r="I418" s="185"/>
      <c r="J418" s="298"/>
      <c r="K418" s="283"/>
      <c r="L418" s="299"/>
      <c r="M418" s="300"/>
      <c r="N418" s="301"/>
      <c r="O418" s="302"/>
      <c r="P418" s="302"/>
      <c r="S418" s="305"/>
      <c r="T418" s="305"/>
      <c r="U418" s="306"/>
      <c r="V418" s="305"/>
      <c r="W418" s="305"/>
      <c r="X418" s="305"/>
      <c r="Y418" s="305"/>
      <c r="Z418" s="305"/>
      <c r="AD418" s="296"/>
      <c r="AE418" s="201"/>
      <c r="AF418" s="201"/>
      <c r="AG418" s="201"/>
      <c r="AH418" s="201"/>
      <c r="AI418" s="201"/>
      <c r="AJ418" s="201"/>
      <c r="AK418" s="201"/>
      <c r="AL418" s="201"/>
    </row>
    <row r="419">
      <c r="A419" s="187"/>
      <c r="B419" s="188"/>
      <c r="C419" s="236"/>
      <c r="D419" s="187"/>
      <c r="E419" s="187"/>
      <c r="F419" s="187"/>
      <c r="G419" s="185"/>
      <c r="H419" s="185"/>
      <c r="I419" s="185"/>
      <c r="J419" s="298"/>
      <c r="K419" s="283"/>
      <c r="L419" s="299"/>
      <c r="M419" s="300"/>
      <c r="N419" s="301"/>
      <c r="O419" s="302"/>
      <c r="P419" s="302"/>
      <c r="S419" s="305"/>
      <c r="T419" s="305"/>
      <c r="U419" s="306"/>
      <c r="V419" s="305"/>
      <c r="W419" s="305"/>
      <c r="X419" s="305"/>
      <c r="Y419" s="305"/>
      <c r="Z419" s="305"/>
      <c r="AD419" s="296"/>
      <c r="AE419" s="201"/>
      <c r="AF419" s="201"/>
      <c r="AG419" s="201"/>
      <c r="AH419" s="201"/>
      <c r="AI419" s="201"/>
      <c r="AJ419" s="201"/>
      <c r="AK419" s="201"/>
      <c r="AL419" s="201"/>
    </row>
    <row r="420">
      <c r="A420" s="187"/>
      <c r="B420" s="188"/>
      <c r="C420" s="236"/>
      <c r="D420" s="187"/>
      <c r="E420" s="187"/>
      <c r="F420" s="187"/>
      <c r="G420" s="185"/>
      <c r="H420" s="185"/>
      <c r="I420" s="185"/>
      <c r="J420" s="298"/>
      <c r="K420" s="283"/>
      <c r="L420" s="299"/>
      <c r="M420" s="300"/>
      <c r="N420" s="301"/>
      <c r="O420" s="302"/>
      <c r="P420" s="302"/>
      <c r="S420" s="305"/>
      <c r="T420" s="305"/>
      <c r="U420" s="306"/>
      <c r="V420" s="305"/>
      <c r="W420" s="305"/>
      <c r="X420" s="305"/>
      <c r="Y420" s="305"/>
      <c r="Z420" s="305"/>
      <c r="AD420" s="296"/>
      <c r="AE420" s="201"/>
      <c r="AF420" s="201"/>
      <c r="AG420" s="201"/>
      <c r="AH420" s="201"/>
      <c r="AI420" s="201"/>
      <c r="AJ420" s="201"/>
      <c r="AK420" s="201"/>
      <c r="AL420" s="201"/>
    </row>
    <row r="421">
      <c r="A421" s="187"/>
      <c r="B421" s="188"/>
      <c r="C421" s="236"/>
      <c r="D421" s="187"/>
      <c r="E421" s="187"/>
      <c r="F421" s="187"/>
      <c r="G421" s="185"/>
      <c r="H421" s="185"/>
      <c r="I421" s="185"/>
      <c r="J421" s="298"/>
      <c r="K421" s="283"/>
      <c r="L421" s="299"/>
      <c r="M421" s="300"/>
      <c r="N421" s="301"/>
      <c r="O421" s="302"/>
      <c r="P421" s="302"/>
      <c r="S421" s="305"/>
      <c r="T421" s="305"/>
      <c r="U421" s="306"/>
      <c r="V421" s="305"/>
      <c r="W421" s="305"/>
      <c r="X421" s="305"/>
      <c r="Y421" s="305"/>
      <c r="Z421" s="305"/>
      <c r="AD421" s="296"/>
      <c r="AE421" s="201"/>
      <c r="AF421" s="201"/>
      <c r="AG421" s="201"/>
      <c r="AH421" s="201"/>
      <c r="AI421" s="201"/>
      <c r="AJ421" s="201"/>
      <c r="AK421" s="201"/>
      <c r="AL421" s="201"/>
    </row>
    <row r="422">
      <c r="A422" s="187"/>
      <c r="B422" s="188"/>
      <c r="C422" s="236"/>
      <c r="D422" s="187"/>
      <c r="E422" s="187"/>
      <c r="F422" s="187"/>
      <c r="G422" s="185"/>
      <c r="H422" s="185"/>
      <c r="I422" s="185"/>
      <c r="J422" s="298"/>
      <c r="K422" s="283"/>
      <c r="L422" s="299"/>
      <c r="M422" s="300"/>
      <c r="N422" s="301"/>
      <c r="O422" s="302"/>
      <c r="P422" s="302"/>
      <c r="S422" s="305"/>
      <c r="T422" s="305"/>
      <c r="U422" s="306"/>
      <c r="V422" s="305"/>
      <c r="W422" s="305"/>
      <c r="X422" s="305"/>
      <c r="Y422" s="305"/>
      <c r="Z422" s="305"/>
      <c r="AD422" s="296"/>
      <c r="AE422" s="201"/>
      <c r="AF422" s="201"/>
      <c r="AG422" s="201"/>
      <c r="AH422" s="201"/>
      <c r="AI422" s="201"/>
      <c r="AJ422" s="201"/>
      <c r="AK422" s="201"/>
      <c r="AL422" s="201"/>
    </row>
    <row r="423">
      <c r="A423" s="187"/>
      <c r="B423" s="188"/>
      <c r="C423" s="236"/>
      <c r="D423" s="187"/>
      <c r="E423" s="187"/>
      <c r="F423" s="187"/>
      <c r="G423" s="185"/>
      <c r="H423" s="185"/>
      <c r="I423" s="185"/>
      <c r="J423" s="298"/>
      <c r="K423" s="283"/>
      <c r="L423" s="299"/>
      <c r="M423" s="300"/>
      <c r="N423" s="301"/>
      <c r="O423" s="302"/>
      <c r="P423" s="302"/>
      <c r="S423" s="305"/>
      <c r="T423" s="305"/>
      <c r="U423" s="306"/>
      <c r="V423" s="305"/>
      <c r="W423" s="305"/>
      <c r="X423" s="305"/>
      <c r="Y423" s="305"/>
      <c r="Z423" s="305"/>
      <c r="AD423" s="296"/>
      <c r="AE423" s="201"/>
      <c r="AF423" s="201"/>
      <c r="AG423" s="201"/>
      <c r="AH423" s="201"/>
      <c r="AI423" s="201"/>
      <c r="AJ423" s="201"/>
      <c r="AK423" s="201"/>
      <c r="AL423" s="201"/>
    </row>
    <row r="424">
      <c r="A424" s="187"/>
      <c r="B424" s="188"/>
      <c r="C424" s="236"/>
      <c r="D424" s="187"/>
      <c r="E424" s="187"/>
      <c r="F424" s="187"/>
      <c r="G424" s="185"/>
      <c r="H424" s="185"/>
      <c r="I424" s="185"/>
      <c r="J424" s="298"/>
      <c r="K424" s="283"/>
      <c r="L424" s="299"/>
      <c r="M424" s="300"/>
      <c r="N424" s="301"/>
      <c r="O424" s="302"/>
      <c r="P424" s="302"/>
      <c r="S424" s="305"/>
      <c r="T424" s="305"/>
      <c r="U424" s="306"/>
      <c r="V424" s="305"/>
      <c r="W424" s="305"/>
      <c r="X424" s="305"/>
      <c r="Y424" s="305"/>
      <c r="Z424" s="305"/>
      <c r="AD424" s="296"/>
      <c r="AE424" s="201"/>
      <c r="AF424" s="201"/>
      <c r="AG424" s="201"/>
      <c r="AH424" s="201"/>
      <c r="AI424" s="201"/>
      <c r="AJ424" s="201"/>
      <c r="AK424" s="201"/>
      <c r="AL424" s="201"/>
    </row>
    <row r="425">
      <c r="A425" s="187"/>
      <c r="B425" s="188"/>
      <c r="C425" s="236"/>
      <c r="D425" s="187"/>
      <c r="E425" s="187"/>
      <c r="F425" s="187"/>
      <c r="G425" s="185"/>
      <c r="H425" s="185"/>
      <c r="I425" s="185"/>
      <c r="J425" s="298"/>
      <c r="K425" s="283"/>
      <c r="L425" s="299"/>
      <c r="M425" s="300"/>
      <c r="N425" s="301"/>
      <c r="O425" s="302"/>
      <c r="P425" s="302"/>
      <c r="S425" s="305"/>
      <c r="T425" s="305"/>
      <c r="U425" s="306"/>
      <c r="V425" s="305"/>
      <c r="W425" s="305"/>
      <c r="X425" s="305"/>
      <c r="Y425" s="305"/>
      <c r="Z425" s="305"/>
      <c r="AD425" s="296"/>
      <c r="AE425" s="201"/>
      <c r="AF425" s="201"/>
      <c r="AG425" s="201"/>
      <c r="AH425" s="201"/>
      <c r="AI425" s="201"/>
      <c r="AJ425" s="201"/>
      <c r="AK425" s="201"/>
      <c r="AL425" s="201"/>
    </row>
    <row r="426">
      <c r="A426" s="187"/>
      <c r="B426" s="188"/>
      <c r="C426" s="236"/>
      <c r="D426" s="187"/>
      <c r="E426" s="187"/>
      <c r="F426" s="187"/>
      <c r="G426" s="185"/>
      <c r="H426" s="185"/>
      <c r="I426" s="185"/>
      <c r="J426" s="298"/>
      <c r="K426" s="283"/>
      <c r="L426" s="299"/>
      <c r="M426" s="300"/>
      <c r="N426" s="301"/>
      <c r="O426" s="302"/>
      <c r="P426" s="302"/>
      <c r="S426" s="305"/>
      <c r="T426" s="305"/>
      <c r="U426" s="306"/>
      <c r="V426" s="305"/>
      <c r="W426" s="305"/>
      <c r="X426" s="305"/>
      <c r="Y426" s="305"/>
      <c r="Z426" s="305"/>
      <c r="AD426" s="296"/>
      <c r="AE426" s="201"/>
      <c r="AF426" s="201"/>
      <c r="AG426" s="201"/>
      <c r="AH426" s="201"/>
      <c r="AI426" s="201"/>
      <c r="AJ426" s="201"/>
      <c r="AK426" s="201"/>
      <c r="AL426" s="201"/>
    </row>
    <row r="427">
      <c r="A427" s="187"/>
      <c r="B427" s="188"/>
      <c r="C427" s="236"/>
      <c r="D427" s="187"/>
      <c r="E427" s="187"/>
      <c r="F427" s="187"/>
      <c r="G427" s="185"/>
      <c r="H427" s="185"/>
      <c r="I427" s="185"/>
      <c r="J427" s="298"/>
      <c r="K427" s="283"/>
      <c r="L427" s="299"/>
      <c r="M427" s="300"/>
      <c r="N427" s="301"/>
      <c r="O427" s="302"/>
      <c r="P427" s="302"/>
      <c r="S427" s="305"/>
      <c r="T427" s="305"/>
      <c r="U427" s="306"/>
      <c r="V427" s="305"/>
      <c r="W427" s="305"/>
      <c r="X427" s="305"/>
      <c r="Y427" s="305"/>
      <c r="Z427" s="305"/>
      <c r="AD427" s="296"/>
      <c r="AE427" s="201"/>
      <c r="AF427" s="201"/>
      <c r="AG427" s="201"/>
      <c r="AH427" s="201"/>
      <c r="AI427" s="201"/>
      <c r="AJ427" s="201"/>
      <c r="AK427" s="201"/>
      <c r="AL427" s="201"/>
    </row>
    <row r="428">
      <c r="A428" s="187"/>
      <c r="B428" s="188"/>
      <c r="C428" s="236"/>
      <c r="D428" s="187"/>
      <c r="E428" s="187"/>
      <c r="F428" s="187"/>
      <c r="G428" s="185"/>
      <c r="H428" s="185"/>
      <c r="I428" s="185"/>
      <c r="J428" s="298"/>
      <c r="K428" s="283"/>
      <c r="L428" s="299"/>
      <c r="M428" s="300"/>
      <c r="N428" s="301"/>
      <c r="O428" s="302"/>
      <c r="P428" s="302"/>
      <c r="S428" s="305"/>
      <c r="T428" s="305"/>
      <c r="U428" s="306"/>
      <c r="V428" s="305"/>
      <c r="W428" s="305"/>
      <c r="X428" s="305"/>
      <c r="Y428" s="305"/>
      <c r="Z428" s="305"/>
      <c r="AD428" s="296"/>
      <c r="AE428" s="201"/>
      <c r="AF428" s="201"/>
      <c r="AG428" s="201"/>
      <c r="AH428" s="201"/>
      <c r="AI428" s="201"/>
      <c r="AJ428" s="201"/>
      <c r="AK428" s="201"/>
      <c r="AL428" s="201"/>
    </row>
    <row r="429">
      <c r="A429" s="187"/>
      <c r="B429" s="188"/>
      <c r="C429" s="236"/>
      <c r="D429" s="187"/>
      <c r="E429" s="187"/>
      <c r="F429" s="187"/>
      <c r="G429" s="185"/>
      <c r="H429" s="185"/>
      <c r="I429" s="185"/>
      <c r="J429" s="298"/>
      <c r="K429" s="283"/>
      <c r="L429" s="299"/>
      <c r="M429" s="300"/>
      <c r="N429" s="301"/>
      <c r="O429" s="302"/>
      <c r="P429" s="302"/>
      <c r="S429" s="305"/>
      <c r="T429" s="305"/>
      <c r="U429" s="306"/>
      <c r="V429" s="305"/>
      <c r="W429" s="305"/>
      <c r="X429" s="305"/>
      <c r="Y429" s="305"/>
      <c r="Z429" s="305"/>
      <c r="AD429" s="296"/>
      <c r="AE429" s="201"/>
      <c r="AF429" s="201"/>
      <c r="AG429" s="201"/>
      <c r="AH429" s="201"/>
      <c r="AI429" s="201"/>
      <c r="AJ429" s="201"/>
      <c r="AK429" s="201"/>
      <c r="AL429" s="201"/>
    </row>
    <row r="430">
      <c r="A430" s="187"/>
      <c r="B430" s="188"/>
      <c r="C430" s="236"/>
      <c r="D430" s="187"/>
      <c r="E430" s="187"/>
      <c r="F430" s="187"/>
      <c r="G430" s="185"/>
      <c r="H430" s="185"/>
      <c r="I430" s="185"/>
      <c r="J430" s="298"/>
      <c r="K430" s="283"/>
      <c r="L430" s="299"/>
      <c r="M430" s="300"/>
      <c r="N430" s="301"/>
      <c r="O430" s="302"/>
      <c r="P430" s="302"/>
      <c r="S430" s="305"/>
      <c r="T430" s="305"/>
      <c r="U430" s="306"/>
      <c r="V430" s="305"/>
      <c r="W430" s="305"/>
      <c r="X430" s="305"/>
      <c r="Y430" s="305"/>
      <c r="Z430" s="305"/>
      <c r="AD430" s="296"/>
      <c r="AE430" s="201"/>
      <c r="AF430" s="201"/>
      <c r="AG430" s="201"/>
      <c r="AH430" s="201"/>
      <c r="AI430" s="201"/>
      <c r="AJ430" s="201"/>
      <c r="AK430" s="201"/>
      <c r="AL430" s="201"/>
    </row>
    <row r="431">
      <c r="A431" s="187"/>
      <c r="B431" s="188"/>
      <c r="C431" s="236"/>
      <c r="D431" s="187"/>
      <c r="E431" s="187"/>
      <c r="F431" s="187"/>
      <c r="G431" s="185"/>
      <c r="H431" s="185"/>
      <c r="I431" s="185"/>
      <c r="J431" s="298"/>
      <c r="K431" s="283"/>
      <c r="L431" s="299"/>
      <c r="M431" s="300"/>
      <c r="N431" s="301"/>
      <c r="O431" s="302"/>
      <c r="P431" s="302"/>
      <c r="S431" s="305"/>
      <c r="T431" s="305"/>
      <c r="U431" s="306"/>
      <c r="V431" s="305"/>
      <c r="W431" s="305"/>
      <c r="X431" s="305"/>
      <c r="Y431" s="305"/>
      <c r="Z431" s="305"/>
      <c r="AD431" s="296"/>
      <c r="AE431" s="201"/>
      <c r="AF431" s="201"/>
      <c r="AG431" s="201"/>
      <c r="AH431" s="201"/>
      <c r="AI431" s="201"/>
      <c r="AJ431" s="201"/>
      <c r="AK431" s="201"/>
      <c r="AL431" s="201"/>
    </row>
    <row r="432">
      <c r="A432" s="187"/>
      <c r="B432" s="188"/>
      <c r="C432" s="236"/>
      <c r="D432" s="187"/>
      <c r="E432" s="187"/>
      <c r="F432" s="187"/>
      <c r="G432" s="185"/>
      <c r="H432" s="185"/>
      <c r="I432" s="185"/>
      <c r="J432" s="298"/>
      <c r="K432" s="283"/>
      <c r="L432" s="299"/>
      <c r="M432" s="300"/>
      <c r="N432" s="301"/>
      <c r="O432" s="302"/>
      <c r="P432" s="302"/>
      <c r="S432" s="305"/>
      <c r="T432" s="305"/>
      <c r="U432" s="306"/>
      <c r="V432" s="305"/>
      <c r="W432" s="305"/>
      <c r="X432" s="305"/>
      <c r="Y432" s="305"/>
      <c r="Z432" s="305"/>
      <c r="AD432" s="296"/>
      <c r="AE432" s="201"/>
      <c r="AF432" s="201"/>
      <c r="AG432" s="201"/>
      <c r="AH432" s="201"/>
      <c r="AI432" s="201"/>
      <c r="AJ432" s="201"/>
      <c r="AK432" s="201"/>
      <c r="AL432" s="201"/>
    </row>
    <row r="433">
      <c r="A433" s="187"/>
      <c r="B433" s="188"/>
      <c r="C433" s="236"/>
      <c r="D433" s="187"/>
      <c r="E433" s="187"/>
      <c r="F433" s="187"/>
      <c r="G433" s="185"/>
      <c r="H433" s="185"/>
      <c r="I433" s="185"/>
      <c r="J433" s="298"/>
      <c r="K433" s="283"/>
      <c r="L433" s="299"/>
      <c r="M433" s="300"/>
      <c r="N433" s="301"/>
      <c r="O433" s="302"/>
      <c r="P433" s="302"/>
      <c r="S433" s="305"/>
      <c r="T433" s="305"/>
      <c r="U433" s="306"/>
      <c r="V433" s="305"/>
      <c r="W433" s="305"/>
      <c r="X433" s="305"/>
      <c r="Y433" s="305"/>
      <c r="Z433" s="305"/>
      <c r="AD433" s="296"/>
      <c r="AE433" s="201"/>
      <c r="AF433" s="201"/>
      <c r="AG433" s="201"/>
      <c r="AH433" s="201"/>
      <c r="AI433" s="201"/>
      <c r="AJ433" s="201"/>
      <c r="AK433" s="201"/>
      <c r="AL433" s="201"/>
    </row>
    <row r="434">
      <c r="A434" s="187"/>
      <c r="B434" s="188"/>
      <c r="C434" s="236"/>
      <c r="D434" s="187"/>
      <c r="E434" s="187"/>
      <c r="F434" s="187"/>
      <c r="G434" s="185"/>
      <c r="H434" s="185"/>
      <c r="I434" s="185"/>
      <c r="J434" s="298"/>
      <c r="K434" s="283"/>
      <c r="L434" s="299"/>
      <c r="M434" s="300"/>
      <c r="N434" s="301"/>
      <c r="O434" s="302"/>
      <c r="P434" s="302"/>
      <c r="S434" s="305"/>
      <c r="T434" s="305"/>
      <c r="U434" s="306"/>
      <c r="V434" s="305"/>
      <c r="W434" s="305"/>
      <c r="X434" s="305"/>
      <c r="Y434" s="305"/>
      <c r="Z434" s="305"/>
      <c r="AD434" s="296"/>
      <c r="AE434" s="201"/>
      <c r="AF434" s="201"/>
      <c r="AG434" s="201"/>
      <c r="AH434" s="201"/>
      <c r="AI434" s="201"/>
      <c r="AJ434" s="201"/>
      <c r="AK434" s="201"/>
      <c r="AL434" s="201"/>
    </row>
    <row r="435">
      <c r="A435" s="187"/>
      <c r="B435" s="188"/>
      <c r="C435" s="236"/>
      <c r="D435" s="187"/>
      <c r="E435" s="187"/>
      <c r="F435" s="187"/>
      <c r="G435" s="185"/>
      <c r="H435" s="185"/>
      <c r="I435" s="185"/>
      <c r="J435" s="298"/>
      <c r="K435" s="283"/>
      <c r="L435" s="299"/>
      <c r="M435" s="300"/>
      <c r="N435" s="301"/>
      <c r="O435" s="302"/>
      <c r="P435" s="302"/>
      <c r="S435" s="305"/>
      <c r="T435" s="305"/>
      <c r="U435" s="306"/>
      <c r="V435" s="305"/>
      <c r="W435" s="305"/>
      <c r="X435" s="305"/>
      <c r="Y435" s="305"/>
      <c r="Z435" s="305"/>
      <c r="AD435" s="296"/>
      <c r="AE435" s="201"/>
      <c r="AF435" s="201"/>
      <c r="AG435" s="201"/>
      <c r="AH435" s="201"/>
      <c r="AI435" s="201"/>
      <c r="AJ435" s="201"/>
      <c r="AK435" s="201"/>
      <c r="AL435" s="201"/>
    </row>
    <row r="436">
      <c r="A436" s="187"/>
      <c r="B436" s="188"/>
      <c r="C436" s="236"/>
      <c r="D436" s="187"/>
      <c r="E436" s="187"/>
      <c r="F436" s="187"/>
      <c r="G436" s="185"/>
      <c r="H436" s="185"/>
      <c r="I436" s="185"/>
      <c r="J436" s="298"/>
      <c r="K436" s="283"/>
      <c r="L436" s="299"/>
      <c r="M436" s="300"/>
      <c r="N436" s="301"/>
      <c r="O436" s="302"/>
      <c r="P436" s="302"/>
      <c r="S436" s="305"/>
      <c r="T436" s="305"/>
      <c r="U436" s="306"/>
      <c r="V436" s="305"/>
      <c r="W436" s="305"/>
      <c r="X436" s="305"/>
      <c r="Y436" s="305"/>
      <c r="Z436" s="305"/>
      <c r="AD436" s="296"/>
      <c r="AE436" s="201"/>
      <c r="AF436" s="201"/>
      <c r="AG436" s="201"/>
      <c r="AH436" s="201"/>
      <c r="AI436" s="201"/>
      <c r="AJ436" s="201"/>
      <c r="AK436" s="201"/>
      <c r="AL436" s="201"/>
    </row>
    <row r="437">
      <c r="A437" s="187"/>
      <c r="B437" s="188"/>
      <c r="C437" s="236"/>
      <c r="D437" s="187"/>
      <c r="E437" s="187"/>
      <c r="F437" s="187"/>
      <c r="G437" s="185"/>
      <c r="H437" s="185"/>
      <c r="I437" s="185"/>
      <c r="J437" s="298"/>
      <c r="K437" s="283"/>
      <c r="L437" s="299"/>
      <c r="M437" s="300"/>
      <c r="N437" s="301"/>
      <c r="O437" s="302"/>
      <c r="P437" s="302"/>
      <c r="S437" s="305"/>
      <c r="T437" s="305"/>
      <c r="U437" s="306"/>
      <c r="V437" s="305"/>
      <c r="W437" s="305"/>
      <c r="X437" s="305"/>
      <c r="Y437" s="305"/>
      <c r="Z437" s="305"/>
      <c r="AD437" s="296"/>
      <c r="AE437" s="201"/>
      <c r="AF437" s="201"/>
      <c r="AG437" s="201"/>
      <c r="AH437" s="201"/>
      <c r="AI437" s="201"/>
      <c r="AJ437" s="201"/>
      <c r="AK437" s="201"/>
      <c r="AL437" s="201"/>
    </row>
    <row r="438">
      <c r="A438" s="187"/>
      <c r="B438" s="188"/>
      <c r="C438" s="236"/>
      <c r="D438" s="187"/>
      <c r="E438" s="187"/>
      <c r="F438" s="187"/>
      <c r="G438" s="185"/>
      <c r="H438" s="185"/>
      <c r="I438" s="185"/>
      <c r="J438" s="298"/>
      <c r="K438" s="283"/>
      <c r="L438" s="299"/>
      <c r="M438" s="300"/>
      <c r="N438" s="301"/>
      <c r="O438" s="302"/>
      <c r="P438" s="302"/>
      <c r="S438" s="305"/>
      <c r="T438" s="305"/>
      <c r="U438" s="306"/>
      <c r="V438" s="305"/>
      <c r="W438" s="305"/>
      <c r="X438" s="305"/>
      <c r="Y438" s="305"/>
      <c r="Z438" s="305"/>
      <c r="AD438" s="296"/>
      <c r="AE438" s="201"/>
      <c r="AF438" s="201"/>
      <c r="AG438" s="201"/>
      <c r="AH438" s="201"/>
      <c r="AI438" s="201"/>
      <c r="AJ438" s="201"/>
      <c r="AK438" s="201"/>
      <c r="AL438" s="201"/>
    </row>
    <row r="439">
      <c r="A439" s="187"/>
      <c r="B439" s="188"/>
      <c r="C439" s="236"/>
      <c r="D439" s="187"/>
      <c r="E439" s="187"/>
      <c r="F439" s="187"/>
      <c r="G439" s="185"/>
      <c r="H439" s="185"/>
      <c r="I439" s="185"/>
      <c r="J439" s="298"/>
      <c r="K439" s="283"/>
      <c r="L439" s="299"/>
      <c r="M439" s="300"/>
      <c r="N439" s="301"/>
      <c r="O439" s="302"/>
      <c r="P439" s="302"/>
      <c r="S439" s="305"/>
      <c r="T439" s="305"/>
      <c r="U439" s="306"/>
      <c r="V439" s="305"/>
      <c r="W439" s="305"/>
      <c r="X439" s="305"/>
      <c r="Y439" s="305"/>
      <c r="Z439" s="305"/>
      <c r="AD439" s="296"/>
      <c r="AE439" s="201"/>
      <c r="AF439" s="201"/>
      <c r="AG439" s="201"/>
      <c r="AH439" s="201"/>
      <c r="AI439" s="201"/>
      <c r="AJ439" s="201"/>
      <c r="AK439" s="201"/>
      <c r="AL439" s="201"/>
    </row>
    <row r="440">
      <c r="A440" s="187"/>
      <c r="B440" s="188"/>
      <c r="C440" s="236"/>
      <c r="D440" s="187"/>
      <c r="E440" s="187"/>
      <c r="F440" s="187"/>
      <c r="G440" s="185"/>
      <c r="H440" s="185"/>
      <c r="I440" s="185"/>
      <c r="J440" s="298"/>
      <c r="K440" s="283"/>
      <c r="L440" s="299"/>
      <c r="M440" s="300"/>
      <c r="N440" s="301"/>
      <c r="O440" s="302"/>
      <c r="P440" s="302"/>
      <c r="S440" s="305"/>
      <c r="T440" s="305"/>
      <c r="U440" s="306"/>
      <c r="V440" s="305"/>
      <c r="W440" s="305"/>
      <c r="X440" s="305"/>
      <c r="Y440" s="305"/>
      <c r="Z440" s="305"/>
      <c r="AD440" s="296"/>
      <c r="AE440" s="201"/>
      <c r="AF440" s="201"/>
      <c r="AG440" s="201"/>
      <c r="AH440" s="201"/>
      <c r="AI440" s="201"/>
      <c r="AJ440" s="201"/>
      <c r="AK440" s="201"/>
      <c r="AL440" s="201"/>
    </row>
    <row r="441">
      <c r="A441" s="187"/>
      <c r="B441" s="188"/>
      <c r="C441" s="236"/>
      <c r="D441" s="187"/>
      <c r="E441" s="187"/>
      <c r="F441" s="187"/>
      <c r="G441" s="185"/>
      <c r="H441" s="185"/>
      <c r="I441" s="185"/>
      <c r="J441" s="298"/>
      <c r="K441" s="283"/>
      <c r="L441" s="299"/>
      <c r="M441" s="300"/>
      <c r="N441" s="301"/>
      <c r="O441" s="302"/>
      <c r="P441" s="302"/>
      <c r="S441" s="305"/>
      <c r="T441" s="305"/>
      <c r="U441" s="306"/>
      <c r="V441" s="305"/>
      <c r="W441" s="305"/>
      <c r="X441" s="305"/>
      <c r="Y441" s="305"/>
      <c r="Z441" s="305"/>
      <c r="AD441" s="296"/>
      <c r="AE441" s="201"/>
      <c r="AF441" s="201"/>
      <c r="AG441" s="201"/>
      <c r="AH441" s="201"/>
      <c r="AI441" s="201"/>
      <c r="AJ441" s="201"/>
      <c r="AK441" s="201"/>
      <c r="AL441" s="201"/>
    </row>
    <row r="442">
      <c r="A442" s="187"/>
      <c r="B442" s="188"/>
      <c r="C442" s="236"/>
      <c r="D442" s="187"/>
      <c r="E442" s="187"/>
      <c r="F442" s="187"/>
      <c r="G442" s="185"/>
      <c r="H442" s="185"/>
      <c r="I442" s="185"/>
      <c r="J442" s="298"/>
      <c r="K442" s="283"/>
      <c r="L442" s="299"/>
      <c r="M442" s="300"/>
      <c r="N442" s="301"/>
      <c r="O442" s="302"/>
      <c r="P442" s="302"/>
      <c r="S442" s="305"/>
      <c r="T442" s="305"/>
      <c r="U442" s="306"/>
      <c r="V442" s="305"/>
      <c r="W442" s="305"/>
      <c r="X442" s="305"/>
      <c r="Y442" s="305"/>
      <c r="Z442" s="305"/>
      <c r="AD442" s="296"/>
      <c r="AE442" s="201"/>
      <c r="AF442" s="201"/>
      <c r="AG442" s="201"/>
      <c r="AH442" s="201"/>
      <c r="AI442" s="201"/>
      <c r="AJ442" s="201"/>
      <c r="AK442" s="201"/>
      <c r="AL442" s="201"/>
    </row>
    <row r="443">
      <c r="A443" s="187"/>
      <c r="B443" s="188"/>
      <c r="C443" s="236"/>
      <c r="D443" s="187"/>
      <c r="E443" s="187"/>
      <c r="F443" s="187"/>
      <c r="G443" s="185"/>
      <c r="H443" s="185"/>
      <c r="I443" s="185"/>
      <c r="J443" s="298"/>
      <c r="K443" s="283"/>
      <c r="L443" s="299"/>
      <c r="M443" s="300"/>
      <c r="N443" s="301"/>
      <c r="O443" s="302"/>
      <c r="P443" s="302"/>
      <c r="S443" s="305"/>
      <c r="T443" s="305"/>
      <c r="U443" s="306"/>
      <c r="V443" s="305"/>
      <c r="W443" s="305"/>
      <c r="X443" s="305"/>
      <c r="Y443" s="305"/>
      <c r="Z443" s="305"/>
      <c r="AD443" s="296"/>
      <c r="AE443" s="201"/>
      <c r="AF443" s="201"/>
      <c r="AG443" s="201"/>
      <c r="AH443" s="201"/>
      <c r="AI443" s="201"/>
      <c r="AJ443" s="201"/>
      <c r="AK443" s="201"/>
      <c r="AL443" s="201"/>
    </row>
    <row r="444">
      <c r="A444" s="187"/>
      <c r="B444" s="188"/>
      <c r="C444" s="236"/>
      <c r="D444" s="187"/>
      <c r="E444" s="187"/>
      <c r="F444" s="187"/>
      <c r="G444" s="185"/>
      <c r="H444" s="185"/>
      <c r="I444" s="185"/>
      <c r="J444" s="298"/>
      <c r="K444" s="283"/>
      <c r="L444" s="299"/>
      <c r="M444" s="300"/>
      <c r="N444" s="301"/>
      <c r="O444" s="302"/>
      <c r="P444" s="302"/>
      <c r="S444" s="305"/>
      <c r="T444" s="305"/>
      <c r="U444" s="306"/>
      <c r="V444" s="305"/>
      <c r="W444" s="305"/>
      <c r="X444" s="305"/>
      <c r="Y444" s="305"/>
      <c r="Z444" s="305"/>
      <c r="AD444" s="296"/>
      <c r="AE444" s="201"/>
      <c r="AF444" s="201"/>
      <c r="AG444" s="201"/>
      <c r="AH444" s="201"/>
      <c r="AI444" s="201"/>
      <c r="AJ444" s="201"/>
      <c r="AK444" s="201"/>
      <c r="AL444" s="201"/>
    </row>
    <row r="445">
      <c r="A445" s="187"/>
      <c r="B445" s="188"/>
      <c r="C445" s="236"/>
      <c r="D445" s="187"/>
      <c r="E445" s="187"/>
      <c r="F445" s="187"/>
      <c r="G445" s="185"/>
      <c r="H445" s="185"/>
      <c r="I445" s="185"/>
      <c r="J445" s="298"/>
      <c r="K445" s="283"/>
      <c r="L445" s="299"/>
      <c r="M445" s="300"/>
      <c r="N445" s="301"/>
      <c r="O445" s="302"/>
      <c r="P445" s="302"/>
      <c r="S445" s="305"/>
      <c r="T445" s="305"/>
      <c r="U445" s="306"/>
      <c r="V445" s="305"/>
      <c r="W445" s="305"/>
      <c r="X445" s="305"/>
      <c r="Y445" s="305"/>
      <c r="Z445" s="305"/>
      <c r="AD445" s="296"/>
      <c r="AE445" s="201"/>
      <c r="AF445" s="201"/>
      <c r="AG445" s="201"/>
      <c r="AH445" s="201"/>
      <c r="AI445" s="201"/>
      <c r="AJ445" s="201"/>
      <c r="AK445" s="201"/>
      <c r="AL445" s="201"/>
    </row>
    <row r="446">
      <c r="A446" s="187"/>
      <c r="B446" s="188"/>
      <c r="C446" s="236"/>
      <c r="D446" s="187"/>
      <c r="E446" s="187"/>
      <c r="F446" s="187"/>
      <c r="G446" s="185"/>
      <c r="H446" s="185"/>
      <c r="I446" s="185"/>
      <c r="J446" s="298"/>
      <c r="K446" s="283"/>
      <c r="L446" s="299"/>
      <c r="M446" s="300"/>
      <c r="N446" s="301"/>
      <c r="O446" s="302"/>
      <c r="P446" s="302"/>
      <c r="S446" s="305"/>
      <c r="T446" s="305"/>
      <c r="U446" s="306"/>
      <c r="V446" s="305"/>
      <c r="W446" s="305"/>
      <c r="X446" s="305"/>
      <c r="Y446" s="305"/>
      <c r="Z446" s="305"/>
      <c r="AD446" s="296"/>
      <c r="AE446" s="201"/>
      <c r="AF446" s="201"/>
      <c r="AG446" s="201"/>
      <c r="AH446" s="201"/>
      <c r="AI446" s="201"/>
      <c r="AJ446" s="201"/>
      <c r="AK446" s="201"/>
      <c r="AL446" s="201"/>
    </row>
    <row r="447">
      <c r="A447" s="187"/>
      <c r="B447" s="188"/>
      <c r="C447" s="236"/>
      <c r="D447" s="187"/>
      <c r="E447" s="187"/>
      <c r="F447" s="187"/>
      <c r="G447" s="185"/>
      <c r="H447" s="185"/>
      <c r="I447" s="185"/>
      <c r="J447" s="298"/>
      <c r="K447" s="283"/>
      <c r="L447" s="299"/>
      <c r="M447" s="300"/>
      <c r="N447" s="301"/>
      <c r="O447" s="302"/>
      <c r="P447" s="302"/>
      <c r="S447" s="305"/>
      <c r="T447" s="305"/>
      <c r="U447" s="306"/>
      <c r="V447" s="305"/>
      <c r="W447" s="305"/>
      <c r="X447" s="305"/>
      <c r="Y447" s="305"/>
      <c r="Z447" s="305"/>
      <c r="AD447" s="296"/>
      <c r="AE447" s="201"/>
      <c r="AF447" s="201"/>
      <c r="AG447" s="201"/>
      <c r="AH447" s="201"/>
      <c r="AI447" s="201"/>
      <c r="AJ447" s="201"/>
      <c r="AK447" s="201"/>
      <c r="AL447" s="201"/>
    </row>
    <row r="448">
      <c r="A448" s="187"/>
      <c r="B448" s="188"/>
      <c r="C448" s="236"/>
      <c r="D448" s="187"/>
      <c r="E448" s="187"/>
      <c r="F448" s="187"/>
      <c r="G448" s="185"/>
      <c r="H448" s="185"/>
      <c r="I448" s="185"/>
      <c r="J448" s="298"/>
      <c r="K448" s="283"/>
      <c r="L448" s="299"/>
      <c r="M448" s="300"/>
      <c r="N448" s="301"/>
      <c r="O448" s="302"/>
      <c r="P448" s="302"/>
      <c r="S448" s="305"/>
      <c r="T448" s="305"/>
      <c r="U448" s="306"/>
      <c r="V448" s="305"/>
      <c r="W448" s="305"/>
      <c r="X448" s="305"/>
      <c r="Y448" s="305"/>
      <c r="Z448" s="305"/>
      <c r="AD448" s="296"/>
      <c r="AE448" s="201"/>
      <c r="AF448" s="201"/>
      <c r="AG448" s="201"/>
      <c r="AH448" s="201"/>
      <c r="AI448" s="201"/>
      <c r="AJ448" s="201"/>
      <c r="AK448" s="201"/>
      <c r="AL448" s="201"/>
    </row>
    <row r="449">
      <c r="A449" s="187"/>
      <c r="B449" s="188"/>
      <c r="C449" s="236"/>
      <c r="D449" s="187"/>
      <c r="E449" s="187"/>
      <c r="F449" s="187"/>
      <c r="G449" s="185"/>
      <c r="H449" s="185"/>
      <c r="I449" s="185"/>
      <c r="J449" s="298"/>
      <c r="K449" s="283"/>
      <c r="L449" s="299"/>
      <c r="M449" s="300"/>
      <c r="N449" s="301"/>
      <c r="O449" s="302"/>
      <c r="P449" s="302"/>
      <c r="S449" s="305"/>
      <c r="T449" s="305"/>
      <c r="U449" s="306"/>
      <c r="V449" s="305"/>
      <c r="W449" s="305"/>
      <c r="X449" s="305"/>
      <c r="Y449" s="305"/>
      <c r="Z449" s="305"/>
      <c r="AD449" s="296"/>
      <c r="AE449" s="201"/>
      <c r="AF449" s="201"/>
      <c r="AG449" s="201"/>
      <c r="AH449" s="201"/>
      <c r="AI449" s="201"/>
      <c r="AJ449" s="201"/>
      <c r="AK449" s="201"/>
      <c r="AL449" s="201"/>
    </row>
    <row r="450">
      <c r="A450" s="187"/>
      <c r="B450" s="188"/>
      <c r="C450" s="236"/>
      <c r="D450" s="187"/>
      <c r="E450" s="187"/>
      <c r="F450" s="187"/>
      <c r="G450" s="185"/>
      <c r="H450" s="185"/>
      <c r="I450" s="185"/>
      <c r="J450" s="298"/>
      <c r="K450" s="283"/>
      <c r="L450" s="299"/>
      <c r="M450" s="300"/>
      <c r="N450" s="301"/>
      <c r="O450" s="302"/>
      <c r="P450" s="302"/>
      <c r="S450" s="305"/>
      <c r="T450" s="305"/>
      <c r="U450" s="306"/>
      <c r="V450" s="305"/>
      <c r="W450" s="305"/>
      <c r="X450" s="305"/>
      <c r="Y450" s="305"/>
      <c r="Z450" s="305"/>
      <c r="AD450" s="296"/>
      <c r="AE450" s="201"/>
      <c r="AF450" s="201"/>
      <c r="AG450" s="201"/>
      <c r="AH450" s="201"/>
      <c r="AI450" s="201"/>
      <c r="AJ450" s="201"/>
      <c r="AK450" s="201"/>
      <c r="AL450" s="201"/>
    </row>
    <row r="451">
      <c r="A451" s="187"/>
      <c r="B451" s="188"/>
      <c r="C451" s="236"/>
      <c r="D451" s="187"/>
      <c r="E451" s="187"/>
      <c r="F451" s="187"/>
      <c r="G451" s="185"/>
      <c r="H451" s="185"/>
      <c r="I451" s="185"/>
      <c r="J451" s="298"/>
      <c r="K451" s="283"/>
      <c r="L451" s="299"/>
      <c r="M451" s="300"/>
      <c r="N451" s="301"/>
      <c r="O451" s="302"/>
      <c r="P451" s="302"/>
      <c r="S451" s="305"/>
      <c r="T451" s="305"/>
      <c r="U451" s="306"/>
      <c r="V451" s="305"/>
      <c r="W451" s="305"/>
      <c r="X451" s="305"/>
      <c r="Y451" s="305"/>
      <c r="Z451" s="305"/>
      <c r="AD451" s="296"/>
      <c r="AE451" s="201"/>
      <c r="AF451" s="201"/>
      <c r="AG451" s="201"/>
      <c r="AH451" s="201"/>
      <c r="AI451" s="201"/>
      <c r="AJ451" s="201"/>
      <c r="AK451" s="201"/>
      <c r="AL451" s="201"/>
    </row>
    <row r="452">
      <c r="A452" s="187"/>
      <c r="B452" s="188"/>
      <c r="C452" s="236"/>
      <c r="D452" s="187"/>
      <c r="E452" s="187"/>
      <c r="F452" s="187"/>
      <c r="G452" s="185"/>
      <c r="H452" s="185"/>
      <c r="I452" s="185"/>
      <c r="J452" s="298"/>
      <c r="K452" s="283"/>
      <c r="L452" s="299"/>
      <c r="M452" s="300"/>
      <c r="N452" s="301"/>
      <c r="O452" s="302"/>
      <c r="P452" s="302"/>
      <c r="S452" s="305"/>
      <c r="T452" s="305"/>
      <c r="U452" s="306"/>
      <c r="V452" s="305"/>
      <c r="W452" s="305"/>
      <c r="X452" s="305"/>
      <c r="Y452" s="305"/>
      <c r="Z452" s="305"/>
      <c r="AD452" s="296"/>
      <c r="AE452" s="201"/>
      <c r="AF452" s="201"/>
      <c r="AG452" s="201"/>
      <c r="AH452" s="201"/>
      <c r="AI452" s="201"/>
      <c r="AJ452" s="201"/>
      <c r="AK452" s="201"/>
      <c r="AL452" s="201"/>
    </row>
    <row r="453">
      <c r="A453" s="187"/>
      <c r="B453" s="188"/>
      <c r="C453" s="236"/>
      <c r="D453" s="187"/>
      <c r="E453" s="187"/>
      <c r="F453" s="187"/>
      <c r="G453" s="185"/>
      <c r="H453" s="185"/>
      <c r="I453" s="185"/>
      <c r="J453" s="298"/>
      <c r="K453" s="283"/>
      <c r="L453" s="299"/>
      <c r="M453" s="300"/>
      <c r="N453" s="301"/>
      <c r="O453" s="302"/>
      <c r="P453" s="302"/>
      <c r="S453" s="305"/>
      <c r="T453" s="305"/>
      <c r="U453" s="306"/>
      <c r="V453" s="305"/>
      <c r="W453" s="305"/>
      <c r="X453" s="305"/>
      <c r="Y453" s="305"/>
      <c r="Z453" s="305"/>
      <c r="AD453" s="296"/>
      <c r="AE453" s="201"/>
      <c r="AF453" s="201"/>
      <c r="AG453" s="201"/>
      <c r="AH453" s="201"/>
      <c r="AI453" s="201"/>
      <c r="AJ453" s="201"/>
      <c r="AK453" s="201"/>
      <c r="AL453" s="201"/>
    </row>
    <row r="454">
      <c r="A454" s="187"/>
      <c r="B454" s="188"/>
      <c r="C454" s="236"/>
      <c r="D454" s="187"/>
      <c r="E454" s="187"/>
      <c r="F454" s="187"/>
      <c r="G454" s="185"/>
      <c r="H454" s="185"/>
      <c r="I454" s="185"/>
      <c r="J454" s="298"/>
      <c r="K454" s="283"/>
      <c r="L454" s="299"/>
      <c r="M454" s="300"/>
      <c r="N454" s="301"/>
      <c r="O454" s="302"/>
      <c r="P454" s="302"/>
      <c r="S454" s="305"/>
      <c r="T454" s="305"/>
      <c r="U454" s="306"/>
      <c r="V454" s="305"/>
      <c r="W454" s="305"/>
      <c r="X454" s="305"/>
      <c r="Y454" s="305"/>
      <c r="Z454" s="305"/>
      <c r="AD454" s="296"/>
      <c r="AE454" s="201"/>
      <c r="AF454" s="201"/>
      <c r="AG454" s="201"/>
      <c r="AH454" s="201"/>
      <c r="AI454" s="201"/>
      <c r="AJ454" s="201"/>
      <c r="AK454" s="201"/>
      <c r="AL454" s="201"/>
    </row>
    <row r="455">
      <c r="A455" s="187"/>
      <c r="B455" s="188"/>
      <c r="C455" s="236"/>
      <c r="D455" s="187"/>
      <c r="E455" s="187"/>
      <c r="F455" s="187"/>
      <c r="G455" s="185"/>
      <c r="H455" s="185"/>
      <c r="I455" s="185"/>
      <c r="J455" s="298"/>
      <c r="K455" s="283"/>
      <c r="L455" s="299"/>
      <c r="M455" s="300"/>
      <c r="N455" s="301"/>
      <c r="O455" s="302"/>
      <c r="P455" s="302"/>
      <c r="S455" s="305"/>
      <c r="T455" s="305"/>
      <c r="U455" s="306"/>
      <c r="V455" s="305"/>
      <c r="W455" s="305"/>
      <c r="X455" s="305"/>
      <c r="Y455" s="305"/>
      <c r="Z455" s="305"/>
      <c r="AD455" s="296"/>
      <c r="AE455" s="201"/>
      <c r="AF455" s="201"/>
      <c r="AG455" s="201"/>
      <c r="AH455" s="201"/>
      <c r="AI455" s="201"/>
      <c r="AJ455" s="201"/>
      <c r="AK455" s="201"/>
      <c r="AL455" s="201"/>
    </row>
    <row r="456">
      <c r="A456" s="187"/>
      <c r="B456" s="188"/>
      <c r="C456" s="236"/>
      <c r="D456" s="187"/>
      <c r="E456" s="187"/>
      <c r="F456" s="187"/>
      <c r="G456" s="185"/>
      <c r="H456" s="185"/>
      <c r="I456" s="185"/>
      <c r="J456" s="298"/>
      <c r="K456" s="283"/>
      <c r="L456" s="299"/>
      <c r="M456" s="300"/>
      <c r="N456" s="301"/>
      <c r="O456" s="302"/>
      <c r="P456" s="302"/>
      <c r="S456" s="305"/>
      <c r="T456" s="305"/>
      <c r="U456" s="306"/>
      <c r="V456" s="305"/>
      <c r="W456" s="305"/>
      <c r="X456" s="305"/>
      <c r="Y456" s="305"/>
      <c r="Z456" s="305"/>
      <c r="AD456" s="296"/>
      <c r="AE456" s="201"/>
      <c r="AF456" s="201"/>
      <c r="AG456" s="201"/>
      <c r="AH456" s="201"/>
      <c r="AI456" s="201"/>
      <c r="AJ456" s="201"/>
      <c r="AK456" s="201"/>
      <c r="AL456" s="201"/>
    </row>
    <row r="457">
      <c r="A457" s="187"/>
      <c r="B457" s="188"/>
      <c r="C457" s="236"/>
      <c r="D457" s="187"/>
      <c r="E457" s="187"/>
      <c r="F457" s="187"/>
      <c r="G457" s="185"/>
      <c r="H457" s="185"/>
      <c r="I457" s="185"/>
      <c r="J457" s="298"/>
      <c r="K457" s="283"/>
      <c r="L457" s="299"/>
      <c r="M457" s="300"/>
      <c r="N457" s="301"/>
      <c r="O457" s="302"/>
      <c r="P457" s="302"/>
      <c r="S457" s="305"/>
      <c r="T457" s="305"/>
      <c r="U457" s="306"/>
      <c r="V457" s="305"/>
      <c r="W457" s="305"/>
      <c r="X457" s="305"/>
      <c r="Y457" s="305"/>
      <c r="Z457" s="305"/>
      <c r="AD457" s="296"/>
      <c r="AE457" s="201"/>
      <c r="AF457" s="201"/>
      <c r="AG457" s="201"/>
      <c r="AH457" s="201"/>
      <c r="AI457" s="201"/>
      <c r="AJ457" s="201"/>
      <c r="AK457" s="201"/>
      <c r="AL457" s="201"/>
    </row>
    <row r="458">
      <c r="A458" s="187"/>
      <c r="B458" s="188"/>
      <c r="C458" s="236"/>
      <c r="D458" s="187"/>
      <c r="E458" s="187"/>
      <c r="F458" s="187"/>
      <c r="G458" s="185"/>
      <c r="H458" s="185"/>
      <c r="I458" s="185"/>
      <c r="J458" s="298"/>
      <c r="K458" s="283"/>
      <c r="L458" s="299"/>
      <c r="M458" s="300"/>
      <c r="N458" s="301"/>
      <c r="O458" s="302"/>
      <c r="P458" s="302"/>
      <c r="S458" s="305"/>
      <c r="T458" s="305"/>
      <c r="U458" s="306"/>
      <c r="V458" s="305"/>
      <c r="W458" s="305"/>
      <c r="X458" s="305"/>
      <c r="Y458" s="305"/>
      <c r="Z458" s="305"/>
      <c r="AD458" s="296"/>
      <c r="AE458" s="201"/>
      <c r="AF458" s="201"/>
      <c r="AG458" s="201"/>
      <c r="AH458" s="201"/>
      <c r="AI458" s="201"/>
      <c r="AJ458" s="201"/>
      <c r="AK458" s="201"/>
      <c r="AL458" s="201"/>
    </row>
    <row r="459">
      <c r="A459" s="187"/>
      <c r="B459" s="188"/>
      <c r="C459" s="236"/>
      <c r="D459" s="187"/>
      <c r="E459" s="187"/>
      <c r="F459" s="187"/>
      <c r="G459" s="185"/>
      <c r="H459" s="185"/>
      <c r="I459" s="185"/>
      <c r="J459" s="298"/>
      <c r="K459" s="283"/>
      <c r="L459" s="299"/>
      <c r="M459" s="300"/>
      <c r="N459" s="301"/>
      <c r="O459" s="302"/>
      <c r="P459" s="302"/>
      <c r="S459" s="305"/>
      <c r="T459" s="305"/>
      <c r="U459" s="306"/>
      <c r="V459" s="305"/>
      <c r="W459" s="305"/>
      <c r="X459" s="305"/>
      <c r="Y459" s="305"/>
      <c r="Z459" s="305"/>
      <c r="AD459" s="296"/>
      <c r="AE459" s="201"/>
      <c r="AF459" s="201"/>
      <c r="AG459" s="201"/>
      <c r="AH459" s="201"/>
      <c r="AI459" s="201"/>
      <c r="AJ459" s="201"/>
      <c r="AK459" s="201"/>
      <c r="AL459" s="201"/>
    </row>
    <row r="460">
      <c r="A460" s="187"/>
      <c r="B460" s="188"/>
      <c r="C460" s="236"/>
      <c r="D460" s="187"/>
      <c r="E460" s="187"/>
      <c r="F460" s="187"/>
      <c r="G460" s="185"/>
      <c r="H460" s="185"/>
      <c r="I460" s="185"/>
      <c r="J460" s="298"/>
      <c r="K460" s="283"/>
      <c r="L460" s="299"/>
      <c r="M460" s="300"/>
      <c r="N460" s="301"/>
      <c r="O460" s="302"/>
      <c r="P460" s="302"/>
      <c r="S460" s="305"/>
      <c r="T460" s="305"/>
      <c r="U460" s="306"/>
      <c r="V460" s="305"/>
      <c r="W460" s="305"/>
      <c r="X460" s="305"/>
      <c r="Y460" s="305"/>
      <c r="Z460" s="305"/>
      <c r="AD460" s="296"/>
      <c r="AE460" s="201"/>
      <c r="AF460" s="201"/>
      <c r="AG460" s="201"/>
      <c r="AH460" s="201"/>
      <c r="AI460" s="201"/>
      <c r="AJ460" s="201"/>
      <c r="AK460" s="201"/>
      <c r="AL460" s="201"/>
    </row>
    <row r="461">
      <c r="A461" s="187"/>
      <c r="B461" s="188"/>
      <c r="C461" s="236"/>
      <c r="D461" s="187"/>
      <c r="E461" s="187"/>
      <c r="F461" s="187"/>
      <c r="G461" s="185"/>
      <c r="H461" s="185"/>
      <c r="I461" s="185"/>
      <c r="J461" s="298"/>
      <c r="K461" s="283"/>
      <c r="L461" s="299"/>
      <c r="M461" s="300"/>
      <c r="N461" s="301"/>
      <c r="O461" s="302"/>
      <c r="P461" s="302"/>
      <c r="S461" s="305"/>
      <c r="T461" s="305"/>
      <c r="U461" s="306"/>
      <c r="V461" s="305"/>
      <c r="W461" s="305"/>
      <c r="X461" s="305"/>
      <c r="Y461" s="305"/>
      <c r="Z461" s="305"/>
      <c r="AD461" s="296"/>
      <c r="AE461" s="201"/>
      <c r="AF461" s="201"/>
      <c r="AG461" s="201"/>
      <c r="AH461" s="201"/>
      <c r="AI461" s="201"/>
      <c r="AJ461" s="201"/>
      <c r="AK461" s="201"/>
      <c r="AL461" s="201"/>
    </row>
    <row r="462">
      <c r="A462" s="187"/>
      <c r="B462" s="188"/>
      <c r="C462" s="236"/>
      <c r="D462" s="187"/>
      <c r="E462" s="187"/>
      <c r="F462" s="187"/>
      <c r="G462" s="185"/>
      <c r="H462" s="185"/>
      <c r="I462" s="185"/>
      <c r="J462" s="298"/>
      <c r="K462" s="283"/>
      <c r="L462" s="299"/>
      <c r="M462" s="300"/>
      <c r="N462" s="301"/>
      <c r="O462" s="302"/>
      <c r="P462" s="302"/>
      <c r="S462" s="305"/>
      <c r="T462" s="305"/>
      <c r="U462" s="306"/>
      <c r="V462" s="305"/>
      <c r="W462" s="305"/>
      <c r="X462" s="305"/>
      <c r="Y462" s="305"/>
      <c r="Z462" s="305"/>
      <c r="AD462" s="296"/>
      <c r="AE462" s="201"/>
      <c r="AF462" s="201"/>
      <c r="AG462" s="201"/>
      <c r="AH462" s="201"/>
      <c r="AI462" s="201"/>
      <c r="AJ462" s="201"/>
      <c r="AK462" s="201"/>
      <c r="AL462" s="201"/>
    </row>
    <row r="463">
      <c r="A463" s="187"/>
      <c r="B463" s="188"/>
      <c r="C463" s="236"/>
      <c r="D463" s="187"/>
      <c r="E463" s="187"/>
      <c r="F463" s="187"/>
      <c r="G463" s="185"/>
      <c r="H463" s="185"/>
      <c r="I463" s="185"/>
      <c r="J463" s="298"/>
      <c r="K463" s="283"/>
      <c r="L463" s="299"/>
      <c r="M463" s="300"/>
      <c r="N463" s="301"/>
      <c r="O463" s="302"/>
      <c r="P463" s="302"/>
      <c r="S463" s="305"/>
      <c r="T463" s="305"/>
      <c r="U463" s="306"/>
      <c r="V463" s="305"/>
      <c r="W463" s="305"/>
      <c r="X463" s="305"/>
      <c r="Y463" s="305"/>
      <c r="Z463" s="305"/>
      <c r="AD463" s="296"/>
      <c r="AE463" s="201"/>
      <c r="AF463" s="201"/>
      <c r="AG463" s="201"/>
      <c r="AH463" s="201"/>
      <c r="AI463" s="201"/>
      <c r="AJ463" s="201"/>
      <c r="AK463" s="201"/>
      <c r="AL463" s="201"/>
    </row>
    <row r="464">
      <c r="A464" s="187"/>
      <c r="B464" s="188"/>
      <c r="C464" s="236"/>
      <c r="D464" s="187"/>
      <c r="E464" s="187"/>
      <c r="F464" s="187"/>
      <c r="G464" s="185"/>
      <c r="H464" s="185"/>
      <c r="I464" s="185"/>
      <c r="J464" s="298"/>
      <c r="K464" s="283"/>
      <c r="L464" s="299"/>
      <c r="M464" s="300"/>
      <c r="N464" s="301"/>
      <c r="O464" s="302"/>
      <c r="P464" s="302"/>
      <c r="S464" s="305"/>
      <c r="T464" s="305"/>
      <c r="U464" s="306"/>
      <c r="V464" s="305"/>
      <c r="W464" s="305"/>
      <c r="X464" s="305"/>
      <c r="Y464" s="305"/>
      <c r="Z464" s="305"/>
      <c r="AD464" s="296"/>
      <c r="AE464" s="201"/>
      <c r="AF464" s="201"/>
      <c r="AG464" s="201"/>
      <c r="AH464" s="201"/>
      <c r="AI464" s="201"/>
      <c r="AJ464" s="201"/>
      <c r="AK464" s="201"/>
      <c r="AL464" s="201"/>
    </row>
    <row r="465">
      <c r="A465" s="187"/>
      <c r="B465" s="188"/>
      <c r="C465" s="236"/>
      <c r="D465" s="187"/>
      <c r="E465" s="187"/>
      <c r="F465" s="187"/>
      <c r="G465" s="185"/>
      <c r="H465" s="185"/>
      <c r="I465" s="185"/>
      <c r="J465" s="298"/>
      <c r="K465" s="283"/>
      <c r="L465" s="299"/>
      <c r="M465" s="300"/>
      <c r="N465" s="301"/>
      <c r="O465" s="302"/>
      <c r="P465" s="302"/>
      <c r="S465" s="305"/>
      <c r="T465" s="305"/>
      <c r="U465" s="306"/>
      <c r="V465" s="305"/>
      <c r="W465" s="305"/>
      <c r="X465" s="305"/>
      <c r="Y465" s="305"/>
      <c r="Z465" s="305"/>
      <c r="AD465" s="296"/>
      <c r="AE465" s="201"/>
      <c r="AF465" s="201"/>
      <c r="AG465" s="201"/>
      <c r="AH465" s="201"/>
      <c r="AI465" s="201"/>
      <c r="AJ465" s="201"/>
      <c r="AK465" s="201"/>
      <c r="AL465" s="201"/>
    </row>
    <row r="466">
      <c r="A466" s="187"/>
      <c r="B466" s="188"/>
      <c r="C466" s="236"/>
      <c r="D466" s="187"/>
      <c r="E466" s="187"/>
      <c r="F466" s="187"/>
      <c r="G466" s="185"/>
      <c r="H466" s="185"/>
      <c r="I466" s="185"/>
      <c r="J466" s="298"/>
      <c r="K466" s="283"/>
      <c r="L466" s="299"/>
      <c r="M466" s="300"/>
      <c r="N466" s="301"/>
      <c r="O466" s="302"/>
      <c r="P466" s="302"/>
      <c r="S466" s="305"/>
      <c r="T466" s="305"/>
      <c r="U466" s="306"/>
      <c r="V466" s="305"/>
      <c r="W466" s="305"/>
      <c r="X466" s="305"/>
      <c r="Y466" s="305"/>
      <c r="Z466" s="305"/>
      <c r="AD466" s="296"/>
      <c r="AE466" s="201"/>
      <c r="AF466" s="201"/>
      <c r="AG466" s="201"/>
      <c r="AH466" s="201"/>
      <c r="AI466" s="201"/>
      <c r="AJ466" s="201"/>
      <c r="AK466" s="201"/>
      <c r="AL466" s="201"/>
    </row>
    <row r="467">
      <c r="A467" s="187"/>
      <c r="B467" s="188"/>
      <c r="C467" s="236"/>
      <c r="D467" s="187"/>
      <c r="E467" s="187"/>
      <c r="F467" s="187"/>
      <c r="G467" s="185"/>
      <c r="H467" s="185"/>
      <c r="I467" s="185"/>
      <c r="J467" s="298"/>
      <c r="K467" s="283"/>
      <c r="L467" s="299"/>
      <c r="M467" s="300"/>
      <c r="N467" s="301"/>
      <c r="O467" s="302"/>
      <c r="P467" s="302"/>
      <c r="S467" s="305"/>
      <c r="T467" s="305"/>
      <c r="U467" s="306"/>
      <c r="V467" s="305"/>
      <c r="W467" s="305"/>
      <c r="X467" s="305"/>
      <c r="Y467" s="305"/>
      <c r="Z467" s="305"/>
      <c r="AD467" s="296"/>
      <c r="AE467" s="201"/>
      <c r="AF467" s="201"/>
      <c r="AG467" s="201"/>
      <c r="AH467" s="201"/>
      <c r="AI467" s="201"/>
      <c r="AJ467" s="201"/>
      <c r="AK467" s="201"/>
      <c r="AL467" s="201"/>
    </row>
    <row r="468">
      <c r="A468" s="187"/>
      <c r="B468" s="188"/>
      <c r="C468" s="236"/>
      <c r="D468" s="187"/>
      <c r="E468" s="187"/>
      <c r="F468" s="187"/>
      <c r="G468" s="185"/>
      <c r="H468" s="185"/>
      <c r="I468" s="185"/>
      <c r="J468" s="298"/>
      <c r="K468" s="283"/>
      <c r="L468" s="299"/>
      <c r="M468" s="300"/>
      <c r="N468" s="301"/>
      <c r="O468" s="302"/>
      <c r="P468" s="302"/>
      <c r="S468" s="305"/>
      <c r="T468" s="305"/>
      <c r="U468" s="306"/>
      <c r="V468" s="305"/>
      <c r="W468" s="305"/>
      <c r="X468" s="305"/>
      <c r="Y468" s="305"/>
      <c r="Z468" s="305"/>
      <c r="AD468" s="296"/>
      <c r="AE468" s="201"/>
      <c r="AF468" s="201"/>
      <c r="AG468" s="201"/>
      <c r="AH468" s="201"/>
      <c r="AI468" s="201"/>
      <c r="AJ468" s="201"/>
      <c r="AK468" s="201"/>
      <c r="AL468" s="201"/>
    </row>
    <row r="469">
      <c r="A469" s="187"/>
      <c r="B469" s="188"/>
      <c r="C469" s="236"/>
      <c r="D469" s="187"/>
      <c r="E469" s="187"/>
      <c r="F469" s="187"/>
      <c r="G469" s="185"/>
      <c r="H469" s="185"/>
      <c r="I469" s="185"/>
      <c r="J469" s="298"/>
      <c r="K469" s="283"/>
      <c r="L469" s="299"/>
      <c r="M469" s="300"/>
      <c r="N469" s="301"/>
      <c r="O469" s="302"/>
      <c r="P469" s="302"/>
      <c r="S469" s="305"/>
      <c r="T469" s="305"/>
      <c r="U469" s="306"/>
      <c r="V469" s="305"/>
      <c r="W469" s="305"/>
      <c r="X469" s="305"/>
      <c r="Y469" s="305"/>
      <c r="Z469" s="305"/>
      <c r="AD469" s="296"/>
      <c r="AE469" s="201"/>
      <c r="AF469" s="201"/>
      <c r="AG469" s="201"/>
      <c r="AH469" s="201"/>
      <c r="AI469" s="201"/>
      <c r="AJ469" s="201"/>
      <c r="AK469" s="201"/>
      <c r="AL469" s="201"/>
    </row>
    <row r="470">
      <c r="A470" s="187"/>
      <c r="B470" s="188"/>
      <c r="C470" s="236"/>
      <c r="D470" s="187"/>
      <c r="E470" s="187"/>
      <c r="F470" s="187"/>
      <c r="G470" s="185"/>
      <c r="H470" s="185"/>
      <c r="I470" s="185"/>
      <c r="J470" s="298"/>
      <c r="K470" s="283"/>
      <c r="L470" s="299"/>
      <c r="M470" s="300"/>
      <c r="N470" s="301"/>
      <c r="O470" s="302"/>
      <c r="P470" s="302"/>
      <c r="S470" s="305"/>
      <c r="T470" s="305"/>
      <c r="U470" s="306"/>
      <c r="V470" s="305"/>
      <c r="W470" s="305"/>
      <c r="X470" s="305"/>
      <c r="Y470" s="305"/>
      <c r="Z470" s="305"/>
      <c r="AD470" s="296"/>
      <c r="AE470" s="201"/>
      <c r="AF470" s="201"/>
      <c r="AG470" s="201"/>
      <c r="AH470" s="201"/>
      <c r="AI470" s="201"/>
      <c r="AJ470" s="201"/>
      <c r="AK470" s="201"/>
      <c r="AL470" s="201"/>
    </row>
    <row r="471">
      <c r="A471" s="187"/>
      <c r="B471" s="188"/>
      <c r="C471" s="236"/>
      <c r="D471" s="187"/>
      <c r="E471" s="187"/>
      <c r="F471" s="187"/>
      <c r="G471" s="185"/>
      <c r="H471" s="185"/>
      <c r="I471" s="185"/>
      <c r="J471" s="298"/>
      <c r="K471" s="283"/>
      <c r="L471" s="299"/>
      <c r="M471" s="300"/>
      <c r="N471" s="301"/>
      <c r="O471" s="302"/>
      <c r="P471" s="302"/>
      <c r="S471" s="305"/>
      <c r="T471" s="305"/>
      <c r="U471" s="306"/>
      <c r="V471" s="305"/>
      <c r="W471" s="305"/>
      <c r="X471" s="305"/>
      <c r="Y471" s="305"/>
      <c r="Z471" s="305"/>
      <c r="AD471" s="296"/>
      <c r="AE471" s="201"/>
      <c r="AF471" s="201"/>
      <c r="AG471" s="201"/>
      <c r="AH471" s="201"/>
      <c r="AI471" s="201"/>
      <c r="AJ471" s="201"/>
      <c r="AK471" s="201"/>
      <c r="AL471" s="201"/>
    </row>
    <row r="472">
      <c r="A472" s="187"/>
      <c r="B472" s="188"/>
      <c r="C472" s="236"/>
      <c r="D472" s="187"/>
      <c r="E472" s="187"/>
      <c r="F472" s="187"/>
      <c r="G472" s="185"/>
      <c r="H472" s="185"/>
      <c r="I472" s="185"/>
      <c r="J472" s="298"/>
      <c r="K472" s="283"/>
      <c r="L472" s="299"/>
      <c r="M472" s="300"/>
      <c r="N472" s="301"/>
      <c r="O472" s="302"/>
      <c r="P472" s="302"/>
      <c r="S472" s="305"/>
      <c r="T472" s="305"/>
      <c r="U472" s="306"/>
      <c r="V472" s="305"/>
      <c r="W472" s="305"/>
      <c r="X472" s="305"/>
      <c r="Y472" s="305"/>
      <c r="Z472" s="305"/>
      <c r="AD472" s="296"/>
      <c r="AE472" s="201"/>
      <c r="AF472" s="201"/>
      <c r="AG472" s="201"/>
      <c r="AH472" s="201"/>
      <c r="AI472" s="201"/>
      <c r="AJ472" s="201"/>
      <c r="AK472" s="201"/>
      <c r="AL472" s="201"/>
    </row>
    <row r="473">
      <c r="A473" s="187"/>
      <c r="B473" s="188"/>
      <c r="C473" s="236"/>
      <c r="D473" s="187"/>
      <c r="E473" s="187"/>
      <c r="F473" s="187"/>
      <c r="G473" s="185"/>
      <c r="H473" s="185"/>
      <c r="I473" s="185"/>
      <c r="J473" s="298"/>
      <c r="K473" s="283"/>
      <c r="L473" s="299"/>
      <c r="M473" s="300"/>
      <c r="N473" s="301"/>
      <c r="O473" s="302"/>
      <c r="P473" s="302"/>
      <c r="S473" s="305"/>
      <c r="T473" s="305"/>
      <c r="U473" s="306"/>
      <c r="V473" s="305"/>
      <c r="W473" s="305"/>
      <c r="X473" s="305"/>
      <c r="Y473" s="305"/>
      <c r="Z473" s="305"/>
      <c r="AD473" s="296"/>
      <c r="AE473" s="201"/>
      <c r="AF473" s="201"/>
      <c r="AG473" s="201"/>
      <c r="AH473" s="201"/>
      <c r="AI473" s="201"/>
      <c r="AJ473" s="201"/>
      <c r="AK473" s="201"/>
      <c r="AL473" s="201"/>
    </row>
    <row r="474">
      <c r="A474" s="187"/>
      <c r="B474" s="188"/>
      <c r="C474" s="236"/>
      <c r="D474" s="187"/>
      <c r="E474" s="187"/>
      <c r="F474" s="187"/>
      <c r="G474" s="185"/>
      <c r="H474" s="185"/>
      <c r="I474" s="185"/>
      <c r="J474" s="298"/>
      <c r="K474" s="283"/>
      <c r="L474" s="299"/>
      <c r="M474" s="300"/>
      <c r="N474" s="301"/>
      <c r="O474" s="302"/>
      <c r="P474" s="302"/>
      <c r="S474" s="305"/>
      <c r="T474" s="305"/>
      <c r="U474" s="306"/>
      <c r="V474" s="305"/>
      <c r="W474" s="305"/>
      <c r="X474" s="305"/>
      <c r="Y474" s="305"/>
      <c r="Z474" s="305"/>
      <c r="AD474" s="296"/>
      <c r="AE474" s="201"/>
      <c r="AF474" s="201"/>
      <c r="AG474" s="201"/>
      <c r="AH474" s="201"/>
      <c r="AI474" s="201"/>
      <c r="AJ474" s="201"/>
      <c r="AK474" s="201"/>
      <c r="AL474" s="201"/>
    </row>
    <row r="475">
      <c r="A475" s="187"/>
      <c r="B475" s="188"/>
      <c r="C475" s="236"/>
      <c r="D475" s="187"/>
      <c r="E475" s="187"/>
      <c r="F475" s="187"/>
      <c r="G475" s="185"/>
      <c r="H475" s="185"/>
      <c r="I475" s="185"/>
      <c r="J475" s="298"/>
      <c r="K475" s="283"/>
      <c r="L475" s="299"/>
      <c r="M475" s="300"/>
      <c r="N475" s="301"/>
      <c r="O475" s="302"/>
      <c r="P475" s="302"/>
      <c r="S475" s="305"/>
      <c r="T475" s="305"/>
      <c r="U475" s="306"/>
      <c r="V475" s="305"/>
      <c r="W475" s="305"/>
      <c r="X475" s="305"/>
      <c r="Y475" s="305"/>
      <c r="Z475" s="305"/>
      <c r="AD475" s="296"/>
      <c r="AE475" s="201"/>
      <c r="AF475" s="201"/>
      <c r="AG475" s="201"/>
      <c r="AH475" s="201"/>
      <c r="AI475" s="201"/>
      <c r="AJ475" s="201"/>
      <c r="AK475" s="201"/>
      <c r="AL475" s="201"/>
    </row>
    <row r="476">
      <c r="A476" s="187"/>
      <c r="B476" s="188"/>
      <c r="C476" s="236"/>
      <c r="D476" s="187"/>
      <c r="E476" s="187"/>
      <c r="F476" s="187"/>
      <c r="G476" s="185"/>
      <c r="H476" s="185"/>
      <c r="I476" s="185"/>
      <c r="J476" s="298"/>
      <c r="K476" s="283"/>
      <c r="L476" s="299"/>
      <c r="M476" s="300"/>
      <c r="N476" s="301"/>
      <c r="O476" s="302"/>
      <c r="P476" s="302"/>
      <c r="S476" s="305"/>
      <c r="T476" s="305"/>
      <c r="U476" s="306"/>
      <c r="V476" s="305"/>
      <c r="W476" s="305"/>
      <c r="X476" s="305"/>
      <c r="Y476" s="305"/>
      <c r="Z476" s="305"/>
      <c r="AD476" s="296"/>
      <c r="AE476" s="201"/>
      <c r="AF476" s="201"/>
      <c r="AG476" s="201"/>
      <c r="AH476" s="201"/>
      <c r="AI476" s="201"/>
      <c r="AJ476" s="201"/>
      <c r="AK476" s="201"/>
      <c r="AL476" s="201"/>
    </row>
    <row r="477">
      <c r="A477" s="187"/>
      <c r="B477" s="188"/>
      <c r="C477" s="236"/>
      <c r="D477" s="187"/>
      <c r="E477" s="187"/>
      <c r="F477" s="187"/>
      <c r="G477" s="185"/>
      <c r="H477" s="185"/>
      <c r="I477" s="185"/>
      <c r="J477" s="298"/>
      <c r="K477" s="283"/>
      <c r="L477" s="299"/>
      <c r="M477" s="300"/>
      <c r="N477" s="301"/>
      <c r="O477" s="302"/>
      <c r="P477" s="302"/>
      <c r="S477" s="305"/>
      <c r="T477" s="305"/>
      <c r="U477" s="306"/>
      <c r="V477" s="305"/>
      <c r="W477" s="305"/>
      <c r="X477" s="305"/>
      <c r="Y477" s="305"/>
      <c r="Z477" s="305"/>
      <c r="AD477" s="296"/>
      <c r="AE477" s="201"/>
      <c r="AF477" s="201"/>
      <c r="AG477" s="201"/>
      <c r="AH477" s="201"/>
      <c r="AI477" s="201"/>
      <c r="AJ477" s="201"/>
      <c r="AK477" s="201"/>
      <c r="AL477" s="201"/>
    </row>
    <row r="478">
      <c r="A478" s="187"/>
      <c r="B478" s="188"/>
      <c r="C478" s="236"/>
      <c r="D478" s="187"/>
      <c r="E478" s="187"/>
      <c r="F478" s="187"/>
      <c r="G478" s="185"/>
      <c r="H478" s="185"/>
      <c r="I478" s="185"/>
      <c r="J478" s="298"/>
      <c r="K478" s="283"/>
      <c r="L478" s="299"/>
      <c r="M478" s="300"/>
      <c r="N478" s="301"/>
      <c r="O478" s="302"/>
      <c r="P478" s="302"/>
      <c r="S478" s="305"/>
      <c r="T478" s="305"/>
      <c r="U478" s="306"/>
      <c r="V478" s="305"/>
      <c r="W478" s="305"/>
      <c r="X478" s="305"/>
      <c r="Y478" s="305"/>
      <c r="Z478" s="305"/>
      <c r="AD478" s="296"/>
      <c r="AE478" s="201"/>
      <c r="AF478" s="201"/>
      <c r="AG478" s="201"/>
      <c r="AH478" s="201"/>
      <c r="AI478" s="201"/>
      <c r="AJ478" s="201"/>
      <c r="AK478" s="201"/>
      <c r="AL478" s="201"/>
    </row>
    <row r="479">
      <c r="A479" s="187"/>
      <c r="B479" s="188"/>
      <c r="C479" s="236"/>
      <c r="D479" s="187"/>
      <c r="E479" s="187"/>
      <c r="F479" s="187"/>
      <c r="G479" s="185"/>
      <c r="H479" s="185"/>
      <c r="I479" s="185"/>
      <c r="J479" s="298"/>
      <c r="K479" s="283"/>
      <c r="L479" s="299"/>
      <c r="M479" s="300"/>
      <c r="N479" s="301"/>
      <c r="O479" s="302"/>
      <c r="P479" s="302"/>
      <c r="S479" s="305"/>
      <c r="T479" s="305"/>
      <c r="U479" s="306"/>
      <c r="V479" s="305"/>
      <c r="W479" s="305"/>
      <c r="X479" s="305"/>
      <c r="Y479" s="305"/>
      <c r="Z479" s="305"/>
      <c r="AD479" s="296"/>
      <c r="AE479" s="201"/>
      <c r="AF479" s="201"/>
      <c r="AG479" s="201"/>
      <c r="AH479" s="201"/>
      <c r="AI479" s="201"/>
      <c r="AJ479" s="201"/>
      <c r="AK479" s="201"/>
      <c r="AL479" s="201"/>
    </row>
    <row r="480">
      <c r="A480" s="187"/>
      <c r="B480" s="188"/>
      <c r="C480" s="236"/>
      <c r="D480" s="187"/>
      <c r="E480" s="187"/>
      <c r="F480" s="187"/>
      <c r="G480" s="185"/>
      <c r="H480" s="185"/>
      <c r="I480" s="185"/>
      <c r="J480" s="298"/>
      <c r="K480" s="283"/>
      <c r="L480" s="299"/>
      <c r="M480" s="300"/>
      <c r="N480" s="301"/>
      <c r="O480" s="302"/>
      <c r="P480" s="302"/>
      <c r="S480" s="305"/>
      <c r="T480" s="305"/>
      <c r="U480" s="306"/>
      <c r="V480" s="305"/>
      <c r="W480" s="305"/>
      <c r="X480" s="305"/>
      <c r="Y480" s="305"/>
      <c r="Z480" s="305"/>
      <c r="AD480" s="296"/>
      <c r="AE480" s="201"/>
      <c r="AF480" s="201"/>
      <c r="AG480" s="201"/>
      <c r="AH480" s="201"/>
      <c r="AI480" s="201"/>
      <c r="AJ480" s="201"/>
      <c r="AK480" s="201"/>
      <c r="AL480" s="201"/>
    </row>
    <row r="481">
      <c r="A481" s="187"/>
      <c r="B481" s="188"/>
      <c r="C481" s="236"/>
      <c r="D481" s="187"/>
      <c r="E481" s="187"/>
      <c r="F481" s="187"/>
      <c r="G481" s="185"/>
      <c r="H481" s="185"/>
      <c r="I481" s="185"/>
      <c r="J481" s="298"/>
      <c r="K481" s="283"/>
      <c r="L481" s="299"/>
      <c r="M481" s="300"/>
      <c r="N481" s="301"/>
      <c r="O481" s="302"/>
      <c r="P481" s="302"/>
      <c r="S481" s="305"/>
      <c r="T481" s="305"/>
      <c r="U481" s="306"/>
      <c r="V481" s="305"/>
      <c r="W481" s="305"/>
      <c r="X481" s="305"/>
      <c r="Y481" s="305"/>
      <c r="Z481" s="305"/>
      <c r="AD481" s="296"/>
      <c r="AE481" s="201"/>
      <c r="AF481" s="201"/>
      <c r="AG481" s="201"/>
      <c r="AH481" s="201"/>
      <c r="AI481" s="201"/>
      <c r="AJ481" s="201"/>
      <c r="AK481" s="201"/>
      <c r="AL481" s="201"/>
    </row>
    <row r="482">
      <c r="A482" s="187"/>
      <c r="B482" s="188"/>
      <c r="C482" s="236"/>
      <c r="D482" s="187"/>
      <c r="E482" s="187"/>
      <c r="F482" s="187"/>
      <c r="G482" s="185"/>
      <c r="H482" s="185"/>
      <c r="I482" s="185"/>
      <c r="J482" s="298"/>
      <c r="K482" s="283"/>
      <c r="L482" s="299"/>
      <c r="M482" s="300"/>
      <c r="N482" s="301"/>
      <c r="O482" s="302"/>
      <c r="P482" s="302"/>
      <c r="S482" s="305"/>
      <c r="T482" s="305"/>
      <c r="U482" s="306"/>
      <c r="V482" s="305"/>
      <c r="W482" s="305"/>
      <c r="X482" s="305"/>
      <c r="Y482" s="305"/>
      <c r="Z482" s="305"/>
      <c r="AD482" s="296"/>
      <c r="AE482" s="201"/>
      <c r="AF482" s="201"/>
      <c r="AG482" s="201"/>
      <c r="AH482" s="201"/>
      <c r="AI482" s="201"/>
      <c r="AJ482" s="201"/>
      <c r="AK482" s="201"/>
      <c r="AL482" s="201"/>
    </row>
    <row r="483">
      <c r="A483" s="187"/>
      <c r="B483" s="188"/>
      <c r="C483" s="236"/>
      <c r="D483" s="187"/>
      <c r="E483" s="187"/>
      <c r="F483" s="187"/>
      <c r="G483" s="185"/>
      <c r="H483" s="185"/>
      <c r="I483" s="185"/>
      <c r="J483" s="298"/>
      <c r="K483" s="283"/>
      <c r="L483" s="299"/>
      <c r="M483" s="300"/>
      <c r="N483" s="301"/>
      <c r="O483" s="302"/>
      <c r="P483" s="302"/>
      <c r="S483" s="305"/>
      <c r="T483" s="305"/>
      <c r="U483" s="306"/>
      <c r="V483" s="305"/>
      <c r="W483" s="305"/>
      <c r="X483" s="305"/>
      <c r="Y483" s="305"/>
      <c r="Z483" s="305"/>
      <c r="AD483" s="296"/>
      <c r="AE483" s="201"/>
      <c r="AF483" s="201"/>
      <c r="AG483" s="201"/>
      <c r="AH483" s="201"/>
      <c r="AI483" s="201"/>
      <c r="AJ483" s="201"/>
      <c r="AK483" s="201"/>
      <c r="AL483" s="201"/>
    </row>
    <row r="484">
      <c r="A484" s="187"/>
      <c r="B484" s="188"/>
      <c r="C484" s="236"/>
      <c r="D484" s="187"/>
      <c r="E484" s="187"/>
      <c r="F484" s="187"/>
      <c r="G484" s="185"/>
      <c r="H484" s="185"/>
      <c r="I484" s="185"/>
      <c r="J484" s="298"/>
      <c r="K484" s="283"/>
      <c r="L484" s="299"/>
      <c r="M484" s="300"/>
      <c r="N484" s="301"/>
      <c r="O484" s="302"/>
      <c r="P484" s="302"/>
      <c r="S484" s="305"/>
      <c r="T484" s="305"/>
      <c r="U484" s="306"/>
      <c r="V484" s="305"/>
      <c r="W484" s="305"/>
      <c r="X484" s="305"/>
      <c r="Y484" s="305"/>
      <c r="Z484" s="305"/>
      <c r="AD484" s="296"/>
      <c r="AE484" s="201"/>
      <c r="AF484" s="201"/>
      <c r="AG484" s="201"/>
      <c r="AH484" s="201"/>
      <c r="AI484" s="201"/>
      <c r="AJ484" s="201"/>
      <c r="AK484" s="201"/>
      <c r="AL484" s="201"/>
    </row>
    <row r="485">
      <c r="A485" s="187"/>
      <c r="B485" s="188"/>
      <c r="C485" s="236"/>
      <c r="D485" s="187"/>
      <c r="E485" s="187"/>
      <c r="F485" s="187"/>
      <c r="G485" s="185"/>
      <c r="H485" s="185"/>
      <c r="I485" s="185"/>
      <c r="J485" s="298"/>
      <c r="K485" s="283"/>
      <c r="L485" s="299"/>
      <c r="M485" s="300"/>
      <c r="N485" s="301"/>
      <c r="O485" s="302"/>
      <c r="P485" s="302"/>
      <c r="S485" s="305"/>
      <c r="T485" s="305"/>
      <c r="U485" s="306"/>
      <c r="V485" s="305"/>
      <c r="W485" s="305"/>
      <c r="X485" s="305"/>
      <c r="Y485" s="305"/>
      <c r="Z485" s="305"/>
      <c r="AD485" s="296"/>
      <c r="AE485" s="201"/>
      <c r="AF485" s="201"/>
      <c r="AG485" s="201"/>
      <c r="AH485" s="201"/>
      <c r="AI485" s="201"/>
      <c r="AJ485" s="201"/>
      <c r="AK485" s="201"/>
      <c r="AL485" s="201"/>
    </row>
    <row r="486">
      <c r="A486" s="187"/>
      <c r="B486" s="188"/>
      <c r="C486" s="236"/>
      <c r="D486" s="187"/>
      <c r="E486" s="187"/>
      <c r="F486" s="187"/>
      <c r="G486" s="185"/>
      <c r="H486" s="185"/>
      <c r="I486" s="185"/>
      <c r="J486" s="298"/>
      <c r="K486" s="283"/>
      <c r="L486" s="299"/>
      <c r="M486" s="300"/>
      <c r="N486" s="301"/>
      <c r="O486" s="302"/>
      <c r="P486" s="302"/>
      <c r="S486" s="305"/>
      <c r="T486" s="305"/>
      <c r="U486" s="306"/>
      <c r="V486" s="305"/>
      <c r="W486" s="305"/>
      <c r="X486" s="305"/>
      <c r="Y486" s="305"/>
      <c r="Z486" s="305"/>
      <c r="AD486" s="296"/>
      <c r="AE486" s="201"/>
      <c r="AF486" s="201"/>
      <c r="AG486" s="201"/>
      <c r="AH486" s="201"/>
      <c r="AI486" s="201"/>
      <c r="AJ486" s="201"/>
      <c r="AK486" s="201"/>
      <c r="AL486" s="201"/>
    </row>
    <row r="487">
      <c r="A487" s="187"/>
      <c r="B487" s="188"/>
      <c r="C487" s="236"/>
      <c r="D487" s="187"/>
      <c r="E487" s="187"/>
      <c r="F487" s="187"/>
      <c r="G487" s="185"/>
      <c r="H487" s="185"/>
      <c r="I487" s="185"/>
      <c r="J487" s="298"/>
      <c r="K487" s="283"/>
      <c r="L487" s="299"/>
      <c r="M487" s="300"/>
      <c r="N487" s="301"/>
      <c r="O487" s="302"/>
      <c r="P487" s="302"/>
      <c r="S487" s="305"/>
      <c r="T487" s="305"/>
      <c r="U487" s="306"/>
      <c r="V487" s="305"/>
      <c r="W487" s="305"/>
      <c r="X487" s="305"/>
      <c r="Y487" s="305"/>
      <c r="Z487" s="305"/>
      <c r="AD487" s="296"/>
      <c r="AE487" s="201"/>
      <c r="AF487" s="201"/>
      <c r="AG487" s="201"/>
      <c r="AH487" s="201"/>
      <c r="AI487" s="201"/>
      <c r="AJ487" s="201"/>
      <c r="AK487" s="201"/>
      <c r="AL487" s="201"/>
    </row>
    <row r="488">
      <c r="A488" s="187"/>
      <c r="B488" s="188"/>
      <c r="C488" s="236"/>
      <c r="D488" s="187"/>
      <c r="E488" s="187"/>
      <c r="F488" s="187"/>
      <c r="G488" s="185"/>
      <c r="H488" s="185"/>
      <c r="I488" s="185"/>
      <c r="J488" s="298"/>
      <c r="K488" s="283"/>
      <c r="L488" s="299"/>
      <c r="M488" s="300"/>
      <c r="N488" s="301"/>
      <c r="O488" s="302"/>
      <c r="P488" s="302"/>
      <c r="S488" s="305"/>
      <c r="T488" s="305"/>
      <c r="U488" s="306"/>
      <c r="V488" s="305"/>
      <c r="W488" s="305"/>
      <c r="X488" s="305"/>
      <c r="Y488" s="305"/>
      <c r="Z488" s="305"/>
      <c r="AD488" s="296"/>
      <c r="AE488" s="201"/>
      <c r="AF488" s="201"/>
      <c r="AG488" s="201"/>
      <c r="AH488" s="201"/>
      <c r="AI488" s="201"/>
      <c r="AJ488" s="201"/>
      <c r="AK488" s="201"/>
      <c r="AL488" s="201"/>
    </row>
    <row r="489">
      <c r="A489" s="187"/>
      <c r="B489" s="188"/>
      <c r="C489" s="236"/>
      <c r="D489" s="187"/>
      <c r="E489" s="187"/>
      <c r="F489" s="187"/>
      <c r="G489" s="185"/>
      <c r="H489" s="185"/>
      <c r="I489" s="185"/>
      <c r="J489" s="298"/>
      <c r="K489" s="283"/>
      <c r="L489" s="299"/>
      <c r="M489" s="300"/>
      <c r="N489" s="301"/>
      <c r="O489" s="302"/>
      <c r="P489" s="302"/>
      <c r="S489" s="305"/>
      <c r="T489" s="305"/>
      <c r="U489" s="306"/>
      <c r="V489" s="305"/>
      <c r="W489" s="305"/>
      <c r="X489" s="305"/>
      <c r="Y489" s="305"/>
      <c r="Z489" s="305"/>
      <c r="AD489" s="296"/>
      <c r="AE489" s="201"/>
      <c r="AF489" s="201"/>
      <c r="AG489" s="201"/>
      <c r="AH489" s="201"/>
      <c r="AI489" s="201"/>
      <c r="AJ489" s="201"/>
      <c r="AK489" s="201"/>
      <c r="AL489" s="201"/>
    </row>
    <row r="490">
      <c r="A490" s="187"/>
      <c r="B490" s="188"/>
      <c r="C490" s="236"/>
      <c r="D490" s="187"/>
      <c r="E490" s="187"/>
      <c r="F490" s="187"/>
      <c r="G490" s="185"/>
      <c r="H490" s="185"/>
      <c r="I490" s="185"/>
      <c r="J490" s="298"/>
      <c r="K490" s="283"/>
      <c r="L490" s="299"/>
      <c r="M490" s="300"/>
      <c r="N490" s="301"/>
      <c r="O490" s="302"/>
      <c r="P490" s="302"/>
      <c r="S490" s="305"/>
      <c r="T490" s="305"/>
      <c r="U490" s="306"/>
      <c r="V490" s="305"/>
      <c r="W490" s="305"/>
      <c r="X490" s="305"/>
      <c r="Y490" s="305"/>
      <c r="Z490" s="305"/>
      <c r="AD490" s="296"/>
      <c r="AE490" s="201"/>
      <c r="AF490" s="201"/>
      <c r="AG490" s="201"/>
      <c r="AH490" s="201"/>
      <c r="AI490" s="201"/>
      <c r="AJ490" s="201"/>
      <c r="AK490" s="201"/>
      <c r="AL490" s="201"/>
    </row>
    <row r="491">
      <c r="A491" s="187"/>
      <c r="B491" s="188"/>
      <c r="C491" s="236"/>
      <c r="D491" s="187"/>
      <c r="E491" s="187"/>
      <c r="F491" s="187"/>
      <c r="G491" s="185"/>
      <c r="H491" s="185"/>
      <c r="I491" s="185"/>
      <c r="J491" s="298"/>
      <c r="K491" s="283"/>
      <c r="L491" s="299"/>
      <c r="M491" s="300"/>
      <c r="N491" s="301"/>
      <c r="O491" s="302"/>
      <c r="P491" s="302"/>
      <c r="S491" s="305"/>
      <c r="T491" s="305"/>
      <c r="U491" s="306"/>
      <c r="V491" s="305"/>
      <c r="W491" s="305"/>
      <c r="X491" s="305"/>
      <c r="Y491" s="305"/>
      <c r="Z491" s="305"/>
      <c r="AD491" s="296"/>
      <c r="AE491" s="201"/>
      <c r="AF491" s="201"/>
      <c r="AG491" s="201"/>
      <c r="AH491" s="201"/>
      <c r="AI491" s="201"/>
      <c r="AJ491" s="201"/>
      <c r="AK491" s="201"/>
      <c r="AL491" s="201"/>
    </row>
    <row r="492">
      <c r="A492" s="187"/>
      <c r="B492" s="188"/>
      <c r="C492" s="236"/>
      <c r="D492" s="187"/>
      <c r="E492" s="187"/>
      <c r="F492" s="187"/>
      <c r="G492" s="185"/>
      <c r="H492" s="185"/>
      <c r="I492" s="185"/>
      <c r="J492" s="298"/>
      <c r="K492" s="283"/>
      <c r="L492" s="299"/>
      <c r="M492" s="300"/>
      <c r="N492" s="301"/>
      <c r="O492" s="302"/>
      <c r="P492" s="302"/>
      <c r="S492" s="305"/>
      <c r="T492" s="305"/>
      <c r="U492" s="306"/>
      <c r="V492" s="305"/>
      <c r="W492" s="305"/>
      <c r="X492" s="305"/>
      <c r="Y492" s="305"/>
      <c r="Z492" s="305"/>
      <c r="AD492" s="296"/>
      <c r="AE492" s="201"/>
      <c r="AF492" s="201"/>
      <c r="AG492" s="201"/>
      <c r="AH492" s="201"/>
      <c r="AI492" s="201"/>
      <c r="AJ492" s="201"/>
      <c r="AK492" s="201"/>
      <c r="AL492" s="201"/>
    </row>
    <row r="493">
      <c r="A493" s="187"/>
      <c r="B493" s="188"/>
      <c r="C493" s="236"/>
      <c r="D493" s="187"/>
      <c r="E493" s="187"/>
      <c r="F493" s="187"/>
      <c r="G493" s="185"/>
      <c r="H493" s="185"/>
      <c r="I493" s="185"/>
      <c r="J493" s="298"/>
      <c r="K493" s="283"/>
      <c r="L493" s="299"/>
      <c r="M493" s="300"/>
      <c r="N493" s="301"/>
      <c r="O493" s="302"/>
      <c r="P493" s="302"/>
      <c r="S493" s="305"/>
      <c r="T493" s="305"/>
      <c r="U493" s="306"/>
      <c r="V493" s="305"/>
      <c r="W493" s="305"/>
      <c r="X493" s="305"/>
      <c r="Y493" s="305"/>
      <c r="Z493" s="305"/>
      <c r="AD493" s="296"/>
      <c r="AE493" s="201"/>
      <c r="AF493" s="201"/>
      <c r="AG493" s="201"/>
      <c r="AH493" s="201"/>
      <c r="AI493" s="201"/>
      <c r="AJ493" s="201"/>
      <c r="AK493" s="201"/>
      <c r="AL493" s="201"/>
    </row>
    <row r="494">
      <c r="A494" s="187"/>
      <c r="B494" s="188"/>
      <c r="C494" s="236"/>
      <c r="D494" s="187"/>
      <c r="E494" s="187"/>
      <c r="F494" s="187"/>
      <c r="G494" s="185"/>
      <c r="H494" s="185"/>
      <c r="I494" s="185"/>
      <c r="J494" s="298"/>
      <c r="K494" s="283"/>
      <c r="L494" s="299"/>
      <c r="M494" s="300"/>
      <c r="N494" s="301"/>
      <c r="O494" s="302"/>
      <c r="P494" s="302"/>
      <c r="S494" s="305"/>
      <c r="T494" s="305"/>
      <c r="U494" s="306"/>
      <c r="V494" s="305"/>
      <c r="W494" s="305"/>
      <c r="X494" s="305"/>
      <c r="Y494" s="305"/>
      <c r="Z494" s="305"/>
      <c r="AD494" s="296"/>
      <c r="AE494" s="201"/>
      <c r="AF494" s="201"/>
      <c r="AG494" s="201"/>
      <c r="AH494" s="201"/>
      <c r="AI494" s="201"/>
      <c r="AJ494" s="201"/>
      <c r="AK494" s="201"/>
      <c r="AL494" s="201"/>
    </row>
    <row r="495">
      <c r="A495" s="187"/>
      <c r="B495" s="188"/>
      <c r="C495" s="236"/>
      <c r="D495" s="187"/>
      <c r="E495" s="187"/>
      <c r="F495" s="187"/>
      <c r="G495" s="185"/>
      <c r="H495" s="185"/>
      <c r="I495" s="185"/>
      <c r="J495" s="298"/>
      <c r="K495" s="283"/>
      <c r="L495" s="299"/>
      <c r="M495" s="300"/>
      <c r="N495" s="301"/>
      <c r="O495" s="302"/>
      <c r="P495" s="302"/>
      <c r="S495" s="305"/>
      <c r="T495" s="305"/>
      <c r="U495" s="306"/>
      <c r="V495" s="305"/>
      <c r="W495" s="305"/>
      <c r="X495" s="305"/>
      <c r="Y495" s="305"/>
      <c r="Z495" s="305"/>
      <c r="AD495" s="296"/>
      <c r="AE495" s="201"/>
      <c r="AF495" s="201"/>
      <c r="AG495" s="201"/>
      <c r="AH495" s="201"/>
      <c r="AI495" s="201"/>
      <c r="AJ495" s="201"/>
      <c r="AK495" s="201"/>
      <c r="AL495" s="201"/>
    </row>
    <row r="496">
      <c r="A496" s="187"/>
      <c r="B496" s="188"/>
      <c r="C496" s="236"/>
      <c r="D496" s="187"/>
      <c r="E496" s="187"/>
      <c r="F496" s="187"/>
      <c r="G496" s="185"/>
      <c r="H496" s="185"/>
      <c r="I496" s="185"/>
      <c r="J496" s="298"/>
      <c r="K496" s="283"/>
      <c r="L496" s="299"/>
      <c r="M496" s="300"/>
      <c r="N496" s="301"/>
      <c r="O496" s="302"/>
      <c r="P496" s="302"/>
      <c r="S496" s="305"/>
      <c r="T496" s="305"/>
      <c r="U496" s="306"/>
      <c r="V496" s="305"/>
      <c r="W496" s="305"/>
      <c r="X496" s="305"/>
      <c r="Y496" s="305"/>
      <c r="Z496" s="305"/>
      <c r="AD496" s="296"/>
      <c r="AE496" s="201"/>
      <c r="AF496" s="201"/>
      <c r="AG496" s="201"/>
      <c r="AH496" s="201"/>
      <c r="AI496" s="201"/>
      <c r="AJ496" s="201"/>
      <c r="AK496" s="201"/>
      <c r="AL496" s="201"/>
    </row>
    <row r="497">
      <c r="A497" s="187"/>
      <c r="B497" s="188"/>
      <c r="C497" s="236"/>
      <c r="D497" s="187"/>
      <c r="E497" s="187"/>
      <c r="F497" s="187"/>
      <c r="G497" s="185"/>
      <c r="H497" s="185"/>
      <c r="I497" s="185"/>
      <c r="J497" s="298"/>
      <c r="K497" s="283"/>
      <c r="L497" s="299"/>
      <c r="M497" s="300"/>
      <c r="N497" s="301"/>
      <c r="O497" s="302"/>
      <c r="P497" s="302"/>
      <c r="S497" s="305"/>
      <c r="T497" s="305"/>
      <c r="U497" s="306"/>
      <c r="V497" s="305"/>
      <c r="W497" s="305"/>
      <c r="X497" s="305"/>
      <c r="Y497" s="305"/>
      <c r="Z497" s="305"/>
      <c r="AD497" s="296"/>
      <c r="AE497" s="201"/>
      <c r="AF497" s="201"/>
      <c r="AG497" s="201"/>
      <c r="AH497" s="201"/>
      <c r="AI497" s="201"/>
      <c r="AJ497" s="201"/>
      <c r="AK497" s="201"/>
      <c r="AL497" s="201"/>
    </row>
    <row r="498">
      <c r="A498" s="187"/>
      <c r="B498" s="188"/>
      <c r="C498" s="236"/>
      <c r="D498" s="187"/>
      <c r="E498" s="187"/>
      <c r="F498" s="187"/>
      <c r="G498" s="185"/>
      <c r="H498" s="185"/>
      <c r="I498" s="185"/>
      <c r="J498" s="298"/>
      <c r="K498" s="283"/>
      <c r="L498" s="299"/>
      <c r="M498" s="300"/>
      <c r="N498" s="301"/>
      <c r="O498" s="302"/>
      <c r="P498" s="302"/>
      <c r="S498" s="305"/>
      <c r="T498" s="305"/>
      <c r="U498" s="306"/>
      <c r="V498" s="305"/>
      <c r="W498" s="305"/>
      <c r="X498" s="305"/>
      <c r="Y498" s="305"/>
      <c r="Z498" s="305"/>
      <c r="AD498" s="296"/>
      <c r="AE498" s="201"/>
      <c r="AF498" s="201"/>
      <c r="AG498" s="201"/>
      <c r="AH498" s="201"/>
      <c r="AI498" s="201"/>
      <c r="AJ498" s="201"/>
      <c r="AK498" s="201"/>
      <c r="AL498" s="201"/>
    </row>
    <row r="499">
      <c r="A499" s="187"/>
      <c r="B499" s="188"/>
      <c r="C499" s="236"/>
      <c r="D499" s="187"/>
      <c r="E499" s="187"/>
      <c r="F499" s="187"/>
      <c r="G499" s="185"/>
      <c r="H499" s="185"/>
      <c r="I499" s="185"/>
      <c r="J499" s="298"/>
      <c r="K499" s="283"/>
      <c r="L499" s="299"/>
      <c r="M499" s="300"/>
      <c r="N499" s="301"/>
      <c r="O499" s="302"/>
      <c r="P499" s="302"/>
      <c r="S499" s="305"/>
      <c r="T499" s="305"/>
      <c r="U499" s="306"/>
      <c r="V499" s="305"/>
      <c r="W499" s="305"/>
      <c r="X499" s="305"/>
      <c r="Y499" s="305"/>
      <c r="Z499" s="305"/>
      <c r="AD499" s="296"/>
      <c r="AE499" s="201"/>
      <c r="AF499" s="201"/>
      <c r="AG499" s="201"/>
      <c r="AH499" s="201"/>
      <c r="AI499" s="201"/>
      <c r="AJ499" s="201"/>
      <c r="AK499" s="201"/>
      <c r="AL499" s="201"/>
    </row>
    <row r="500">
      <c r="A500" s="187"/>
      <c r="B500" s="188"/>
      <c r="C500" s="236"/>
      <c r="D500" s="187"/>
      <c r="E500" s="187"/>
      <c r="F500" s="187"/>
      <c r="G500" s="185"/>
      <c r="H500" s="185"/>
      <c r="I500" s="185"/>
      <c r="J500" s="298"/>
      <c r="K500" s="283"/>
      <c r="L500" s="299"/>
      <c r="M500" s="300"/>
      <c r="N500" s="301"/>
      <c r="O500" s="302"/>
      <c r="P500" s="302"/>
      <c r="S500" s="305"/>
      <c r="T500" s="305"/>
      <c r="U500" s="306"/>
      <c r="V500" s="305"/>
      <c r="W500" s="305"/>
      <c r="X500" s="305"/>
      <c r="Y500" s="305"/>
      <c r="Z500" s="305"/>
      <c r="AD500" s="296"/>
      <c r="AE500" s="201"/>
      <c r="AF500" s="201"/>
      <c r="AG500" s="201"/>
      <c r="AH500" s="201"/>
      <c r="AI500" s="201"/>
      <c r="AJ500" s="201"/>
      <c r="AK500" s="201"/>
      <c r="AL500" s="201"/>
    </row>
    <row r="501">
      <c r="A501" s="187"/>
      <c r="B501" s="188"/>
      <c r="C501" s="236"/>
      <c r="D501" s="187"/>
      <c r="E501" s="187"/>
      <c r="F501" s="187"/>
      <c r="G501" s="185"/>
      <c r="H501" s="185"/>
      <c r="I501" s="185"/>
      <c r="J501" s="298"/>
      <c r="K501" s="283"/>
      <c r="L501" s="299"/>
      <c r="M501" s="300"/>
      <c r="N501" s="301"/>
      <c r="O501" s="302"/>
      <c r="P501" s="302"/>
      <c r="S501" s="305"/>
      <c r="T501" s="305"/>
      <c r="U501" s="306"/>
      <c r="V501" s="305"/>
      <c r="W501" s="305"/>
      <c r="X501" s="305"/>
      <c r="Y501" s="305"/>
      <c r="Z501" s="305"/>
      <c r="AD501" s="296"/>
      <c r="AE501" s="201"/>
      <c r="AF501" s="201"/>
      <c r="AG501" s="201"/>
      <c r="AH501" s="201"/>
      <c r="AI501" s="201"/>
      <c r="AJ501" s="201"/>
      <c r="AK501" s="201"/>
      <c r="AL501" s="201"/>
    </row>
    <row r="502">
      <c r="A502" s="187"/>
      <c r="B502" s="188"/>
      <c r="C502" s="236"/>
      <c r="D502" s="187"/>
      <c r="E502" s="187"/>
      <c r="F502" s="187"/>
      <c r="G502" s="185"/>
      <c r="H502" s="185"/>
      <c r="I502" s="185"/>
      <c r="J502" s="298"/>
      <c r="K502" s="283"/>
      <c r="L502" s="299"/>
      <c r="M502" s="300"/>
      <c r="N502" s="301"/>
      <c r="O502" s="302"/>
      <c r="P502" s="302"/>
      <c r="S502" s="305"/>
      <c r="T502" s="305"/>
      <c r="U502" s="306"/>
      <c r="V502" s="305"/>
      <c r="W502" s="305"/>
      <c r="X502" s="305"/>
      <c r="Y502" s="305"/>
      <c r="Z502" s="305"/>
      <c r="AD502" s="296"/>
      <c r="AE502" s="201"/>
      <c r="AF502" s="201"/>
      <c r="AG502" s="201"/>
      <c r="AH502" s="201"/>
      <c r="AI502" s="201"/>
      <c r="AJ502" s="201"/>
      <c r="AK502" s="201"/>
      <c r="AL502" s="201"/>
    </row>
    <row r="503">
      <c r="A503" s="187"/>
      <c r="B503" s="188"/>
      <c r="C503" s="236"/>
      <c r="D503" s="187"/>
      <c r="E503" s="187"/>
      <c r="F503" s="187"/>
      <c r="G503" s="185"/>
      <c r="H503" s="185"/>
      <c r="I503" s="185"/>
      <c r="J503" s="298"/>
      <c r="K503" s="283"/>
      <c r="L503" s="299"/>
      <c r="M503" s="300"/>
      <c r="N503" s="301"/>
      <c r="O503" s="302"/>
      <c r="P503" s="302"/>
      <c r="S503" s="305"/>
      <c r="T503" s="305"/>
      <c r="U503" s="306"/>
      <c r="V503" s="305"/>
      <c r="W503" s="305"/>
      <c r="X503" s="305"/>
      <c r="Y503" s="305"/>
      <c r="Z503" s="305"/>
      <c r="AD503" s="296"/>
      <c r="AE503" s="201"/>
      <c r="AF503" s="201"/>
      <c r="AG503" s="201"/>
      <c r="AH503" s="201"/>
      <c r="AI503" s="201"/>
      <c r="AJ503" s="201"/>
      <c r="AK503" s="201"/>
      <c r="AL503" s="201"/>
    </row>
    <row r="504">
      <c r="A504" s="187"/>
      <c r="B504" s="188"/>
      <c r="C504" s="236"/>
      <c r="D504" s="187"/>
      <c r="E504" s="187"/>
      <c r="F504" s="187"/>
      <c r="G504" s="185"/>
      <c r="H504" s="185"/>
      <c r="I504" s="185"/>
      <c r="J504" s="298"/>
      <c r="K504" s="283"/>
      <c r="L504" s="299"/>
      <c r="M504" s="300"/>
      <c r="N504" s="301"/>
      <c r="O504" s="302"/>
      <c r="P504" s="302"/>
      <c r="S504" s="305"/>
      <c r="T504" s="305"/>
      <c r="U504" s="306"/>
      <c r="V504" s="305"/>
      <c r="W504" s="305"/>
      <c r="X504" s="305"/>
      <c r="Y504" s="305"/>
      <c r="Z504" s="305"/>
      <c r="AD504" s="296"/>
      <c r="AE504" s="201"/>
      <c r="AF504" s="201"/>
      <c r="AG504" s="201"/>
      <c r="AH504" s="201"/>
      <c r="AI504" s="201"/>
      <c r="AJ504" s="201"/>
      <c r="AK504" s="201"/>
      <c r="AL504" s="201"/>
    </row>
    <row r="505">
      <c r="A505" s="187"/>
      <c r="B505" s="188"/>
      <c r="C505" s="236"/>
      <c r="D505" s="187"/>
      <c r="E505" s="187"/>
      <c r="F505" s="187"/>
      <c r="G505" s="185"/>
      <c r="H505" s="185"/>
      <c r="I505" s="185"/>
      <c r="J505" s="298"/>
      <c r="K505" s="283"/>
      <c r="L505" s="299"/>
      <c r="M505" s="300"/>
      <c r="N505" s="301"/>
      <c r="O505" s="302"/>
      <c r="P505" s="302"/>
      <c r="S505" s="305"/>
      <c r="T505" s="305"/>
      <c r="U505" s="306"/>
      <c r="V505" s="305"/>
      <c r="W505" s="305"/>
      <c r="X505" s="305"/>
      <c r="Y505" s="305"/>
      <c r="Z505" s="305"/>
      <c r="AD505" s="296"/>
      <c r="AE505" s="201"/>
      <c r="AF505" s="201"/>
      <c r="AG505" s="201"/>
      <c r="AH505" s="201"/>
      <c r="AI505" s="201"/>
      <c r="AJ505" s="201"/>
      <c r="AK505" s="201"/>
      <c r="AL505" s="201"/>
    </row>
    <row r="506">
      <c r="A506" s="187"/>
      <c r="B506" s="188"/>
      <c r="C506" s="236"/>
      <c r="D506" s="187"/>
      <c r="E506" s="187"/>
      <c r="F506" s="187"/>
      <c r="G506" s="185"/>
      <c r="H506" s="185"/>
      <c r="I506" s="185"/>
      <c r="J506" s="298"/>
      <c r="K506" s="283"/>
      <c r="L506" s="299"/>
      <c r="M506" s="300"/>
      <c r="N506" s="301"/>
      <c r="O506" s="302"/>
      <c r="P506" s="302"/>
      <c r="S506" s="305"/>
      <c r="T506" s="305"/>
      <c r="U506" s="306"/>
      <c r="V506" s="305"/>
      <c r="W506" s="305"/>
      <c r="X506" s="305"/>
      <c r="Y506" s="305"/>
      <c r="Z506" s="305"/>
      <c r="AD506" s="296"/>
      <c r="AE506" s="201"/>
      <c r="AF506" s="201"/>
      <c r="AG506" s="201"/>
      <c r="AH506" s="201"/>
      <c r="AI506" s="201"/>
      <c r="AJ506" s="201"/>
      <c r="AK506" s="201"/>
      <c r="AL506" s="201"/>
    </row>
    <row r="507">
      <c r="A507" s="187"/>
      <c r="B507" s="188"/>
      <c r="C507" s="236"/>
      <c r="D507" s="187"/>
      <c r="E507" s="187"/>
      <c r="F507" s="187"/>
      <c r="G507" s="185"/>
      <c r="H507" s="185"/>
      <c r="I507" s="185"/>
      <c r="J507" s="298"/>
      <c r="K507" s="283"/>
      <c r="L507" s="299"/>
      <c r="M507" s="300"/>
      <c r="N507" s="301"/>
      <c r="O507" s="302"/>
      <c r="P507" s="302"/>
      <c r="S507" s="305"/>
      <c r="T507" s="305"/>
      <c r="U507" s="306"/>
      <c r="V507" s="305"/>
      <c r="W507" s="305"/>
      <c r="X507" s="305"/>
      <c r="Y507" s="305"/>
      <c r="Z507" s="305"/>
      <c r="AD507" s="296"/>
      <c r="AE507" s="201"/>
      <c r="AF507" s="201"/>
      <c r="AG507" s="201"/>
      <c r="AH507" s="201"/>
      <c r="AI507" s="201"/>
      <c r="AJ507" s="201"/>
      <c r="AK507" s="201"/>
      <c r="AL507" s="201"/>
    </row>
    <row r="508">
      <c r="A508" s="187"/>
      <c r="B508" s="188"/>
      <c r="C508" s="236"/>
      <c r="D508" s="187"/>
      <c r="E508" s="187"/>
      <c r="F508" s="187"/>
      <c r="G508" s="185"/>
      <c r="H508" s="185"/>
      <c r="I508" s="185"/>
      <c r="J508" s="298"/>
      <c r="K508" s="283"/>
      <c r="L508" s="299"/>
      <c r="M508" s="300"/>
      <c r="N508" s="301"/>
      <c r="O508" s="302"/>
      <c r="P508" s="302"/>
      <c r="S508" s="305"/>
      <c r="T508" s="305"/>
      <c r="U508" s="306"/>
      <c r="V508" s="305"/>
      <c r="W508" s="305"/>
      <c r="X508" s="305"/>
      <c r="Y508" s="305"/>
      <c r="Z508" s="305"/>
      <c r="AD508" s="296"/>
      <c r="AE508" s="201"/>
      <c r="AF508" s="201"/>
      <c r="AG508" s="201"/>
      <c r="AH508" s="201"/>
      <c r="AI508" s="201"/>
      <c r="AJ508" s="201"/>
      <c r="AK508" s="201"/>
      <c r="AL508" s="201"/>
    </row>
    <row r="509">
      <c r="A509" s="187"/>
      <c r="B509" s="188"/>
      <c r="C509" s="236"/>
      <c r="D509" s="187"/>
      <c r="E509" s="187"/>
      <c r="F509" s="187"/>
      <c r="G509" s="185"/>
      <c r="H509" s="185"/>
      <c r="I509" s="185"/>
      <c r="J509" s="298"/>
      <c r="K509" s="283"/>
      <c r="L509" s="299"/>
      <c r="M509" s="300"/>
      <c r="N509" s="301"/>
      <c r="O509" s="302"/>
      <c r="P509" s="302"/>
      <c r="S509" s="305"/>
      <c r="T509" s="305"/>
      <c r="U509" s="306"/>
      <c r="V509" s="305"/>
      <c r="W509" s="305"/>
      <c r="X509" s="305"/>
      <c r="Y509" s="305"/>
      <c r="Z509" s="305"/>
      <c r="AD509" s="296"/>
      <c r="AE509" s="201"/>
      <c r="AF509" s="201"/>
      <c r="AG509" s="201"/>
      <c r="AH509" s="201"/>
      <c r="AI509" s="201"/>
      <c r="AJ509" s="201"/>
      <c r="AK509" s="201"/>
      <c r="AL509" s="201"/>
    </row>
    <row r="510">
      <c r="A510" s="187"/>
      <c r="B510" s="188"/>
      <c r="C510" s="236"/>
      <c r="D510" s="187"/>
      <c r="E510" s="187"/>
      <c r="F510" s="187"/>
      <c r="G510" s="185"/>
      <c r="H510" s="185"/>
      <c r="I510" s="185"/>
      <c r="J510" s="298"/>
      <c r="K510" s="283"/>
      <c r="L510" s="299"/>
      <c r="M510" s="300"/>
      <c r="N510" s="301"/>
      <c r="O510" s="302"/>
      <c r="P510" s="302"/>
      <c r="S510" s="305"/>
      <c r="T510" s="305"/>
      <c r="U510" s="306"/>
      <c r="V510" s="305"/>
      <c r="W510" s="305"/>
      <c r="X510" s="305"/>
      <c r="Y510" s="305"/>
      <c r="Z510" s="305"/>
      <c r="AD510" s="296"/>
      <c r="AE510" s="201"/>
      <c r="AF510" s="201"/>
      <c r="AG510" s="201"/>
      <c r="AH510" s="201"/>
      <c r="AI510" s="201"/>
      <c r="AJ510" s="201"/>
      <c r="AK510" s="201"/>
      <c r="AL510" s="201"/>
    </row>
    <row r="511">
      <c r="A511" s="187"/>
      <c r="B511" s="188"/>
      <c r="C511" s="236"/>
      <c r="D511" s="187"/>
      <c r="E511" s="187"/>
      <c r="F511" s="187"/>
      <c r="G511" s="185"/>
      <c r="H511" s="185"/>
      <c r="I511" s="185"/>
      <c r="J511" s="298"/>
      <c r="K511" s="283"/>
      <c r="L511" s="299"/>
      <c r="M511" s="300"/>
      <c r="N511" s="301"/>
      <c r="O511" s="302"/>
      <c r="P511" s="302"/>
      <c r="S511" s="305"/>
      <c r="T511" s="305"/>
      <c r="U511" s="306"/>
      <c r="V511" s="305"/>
      <c r="W511" s="305"/>
      <c r="X511" s="305"/>
      <c r="Y511" s="305"/>
      <c r="Z511" s="305"/>
      <c r="AD511" s="296"/>
      <c r="AE511" s="201"/>
      <c r="AF511" s="201"/>
      <c r="AG511" s="201"/>
      <c r="AH511" s="201"/>
      <c r="AI511" s="201"/>
      <c r="AJ511" s="201"/>
      <c r="AK511" s="201"/>
      <c r="AL511" s="201"/>
    </row>
    <row r="512">
      <c r="A512" s="187"/>
      <c r="B512" s="188"/>
      <c r="C512" s="236"/>
      <c r="D512" s="187"/>
      <c r="E512" s="187"/>
      <c r="F512" s="187"/>
      <c r="G512" s="185"/>
      <c r="H512" s="185"/>
      <c r="I512" s="185"/>
      <c r="J512" s="298"/>
      <c r="K512" s="283"/>
      <c r="L512" s="299"/>
      <c r="M512" s="300"/>
      <c r="N512" s="301"/>
      <c r="O512" s="302"/>
      <c r="P512" s="302"/>
      <c r="S512" s="305"/>
      <c r="T512" s="305"/>
      <c r="U512" s="306"/>
      <c r="V512" s="305"/>
      <c r="W512" s="305"/>
      <c r="X512" s="305"/>
      <c r="Y512" s="305"/>
      <c r="Z512" s="305"/>
      <c r="AD512" s="296"/>
      <c r="AE512" s="201"/>
      <c r="AF512" s="201"/>
      <c r="AG512" s="201"/>
      <c r="AH512" s="201"/>
      <c r="AI512" s="201"/>
      <c r="AJ512" s="201"/>
      <c r="AK512" s="201"/>
      <c r="AL512" s="201"/>
    </row>
    <row r="513">
      <c r="A513" s="187"/>
      <c r="B513" s="188"/>
      <c r="C513" s="236"/>
      <c r="D513" s="187"/>
      <c r="E513" s="187"/>
      <c r="F513" s="187"/>
      <c r="G513" s="185"/>
      <c r="H513" s="185"/>
      <c r="I513" s="185"/>
      <c r="J513" s="298"/>
      <c r="K513" s="283"/>
      <c r="L513" s="299"/>
      <c r="M513" s="300"/>
      <c r="N513" s="301"/>
      <c r="O513" s="302"/>
      <c r="P513" s="302"/>
      <c r="S513" s="305"/>
      <c r="T513" s="305"/>
      <c r="U513" s="306"/>
      <c r="V513" s="305"/>
      <c r="W513" s="305"/>
      <c r="X513" s="305"/>
      <c r="Y513" s="305"/>
      <c r="Z513" s="305"/>
      <c r="AD513" s="296"/>
      <c r="AE513" s="201"/>
      <c r="AF513" s="201"/>
      <c r="AG513" s="201"/>
      <c r="AH513" s="201"/>
      <c r="AI513" s="201"/>
      <c r="AJ513" s="201"/>
      <c r="AK513" s="201"/>
      <c r="AL513" s="201"/>
    </row>
    <row r="514">
      <c r="A514" s="187"/>
      <c r="B514" s="188"/>
      <c r="C514" s="236"/>
      <c r="D514" s="187"/>
      <c r="E514" s="187"/>
      <c r="F514" s="187"/>
      <c r="G514" s="185"/>
      <c r="H514" s="185"/>
      <c r="I514" s="185"/>
      <c r="J514" s="298"/>
      <c r="K514" s="283"/>
      <c r="L514" s="299"/>
      <c r="M514" s="300"/>
      <c r="N514" s="301"/>
      <c r="O514" s="302"/>
      <c r="P514" s="302"/>
      <c r="S514" s="305"/>
      <c r="T514" s="305"/>
      <c r="U514" s="306"/>
      <c r="V514" s="305"/>
      <c r="W514" s="305"/>
      <c r="X514" s="305"/>
      <c r="Y514" s="305"/>
      <c r="Z514" s="305"/>
      <c r="AD514" s="296"/>
      <c r="AE514" s="201"/>
      <c r="AF514" s="201"/>
      <c r="AG514" s="201"/>
      <c r="AH514" s="201"/>
      <c r="AI514" s="201"/>
      <c r="AJ514" s="201"/>
      <c r="AK514" s="201"/>
      <c r="AL514" s="201"/>
    </row>
    <row r="515">
      <c r="A515" s="187"/>
      <c r="B515" s="188"/>
      <c r="C515" s="236"/>
      <c r="D515" s="187"/>
      <c r="E515" s="187"/>
      <c r="F515" s="187"/>
      <c r="G515" s="185"/>
      <c r="H515" s="185"/>
      <c r="I515" s="185"/>
      <c r="J515" s="298"/>
      <c r="K515" s="283"/>
      <c r="L515" s="299"/>
      <c r="M515" s="300"/>
      <c r="N515" s="301"/>
      <c r="O515" s="302"/>
      <c r="P515" s="302"/>
      <c r="S515" s="305"/>
      <c r="T515" s="305"/>
      <c r="U515" s="306"/>
      <c r="V515" s="305"/>
      <c r="W515" s="305"/>
      <c r="X515" s="305"/>
      <c r="Y515" s="305"/>
      <c r="Z515" s="305"/>
      <c r="AD515" s="296"/>
      <c r="AE515" s="201"/>
      <c r="AF515" s="201"/>
      <c r="AG515" s="201"/>
      <c r="AH515" s="201"/>
      <c r="AI515" s="201"/>
      <c r="AJ515" s="201"/>
      <c r="AK515" s="201"/>
      <c r="AL515" s="201"/>
    </row>
    <row r="516">
      <c r="A516" s="187"/>
      <c r="B516" s="188"/>
      <c r="C516" s="236"/>
      <c r="D516" s="187"/>
      <c r="E516" s="187"/>
      <c r="F516" s="187"/>
      <c r="G516" s="185"/>
      <c r="H516" s="185"/>
      <c r="I516" s="185"/>
      <c r="J516" s="298"/>
      <c r="K516" s="283"/>
      <c r="L516" s="299"/>
      <c r="M516" s="300"/>
      <c r="N516" s="301"/>
      <c r="O516" s="302"/>
      <c r="P516" s="302"/>
      <c r="S516" s="305"/>
      <c r="T516" s="305"/>
      <c r="U516" s="306"/>
      <c r="V516" s="305"/>
      <c r="W516" s="305"/>
      <c r="X516" s="305"/>
      <c r="Y516" s="305"/>
      <c r="Z516" s="305"/>
      <c r="AD516" s="296"/>
      <c r="AE516" s="201"/>
      <c r="AF516" s="201"/>
      <c r="AG516" s="201"/>
      <c r="AH516" s="201"/>
      <c r="AI516" s="201"/>
      <c r="AJ516" s="201"/>
      <c r="AK516" s="201"/>
      <c r="AL516" s="201"/>
    </row>
    <row r="517">
      <c r="A517" s="187"/>
      <c r="B517" s="188"/>
      <c r="C517" s="236"/>
      <c r="D517" s="187"/>
      <c r="E517" s="187"/>
      <c r="F517" s="187"/>
      <c r="G517" s="185"/>
      <c r="H517" s="185"/>
      <c r="I517" s="185"/>
      <c r="J517" s="298"/>
      <c r="K517" s="283"/>
      <c r="L517" s="299"/>
      <c r="M517" s="300"/>
      <c r="N517" s="301"/>
      <c r="O517" s="302"/>
      <c r="P517" s="302"/>
      <c r="S517" s="305"/>
      <c r="T517" s="305"/>
      <c r="U517" s="306"/>
      <c r="V517" s="305"/>
      <c r="W517" s="305"/>
      <c r="X517" s="305"/>
      <c r="Y517" s="305"/>
      <c r="Z517" s="305"/>
      <c r="AD517" s="296"/>
      <c r="AE517" s="201"/>
      <c r="AF517" s="201"/>
      <c r="AG517" s="201"/>
      <c r="AH517" s="201"/>
      <c r="AI517" s="201"/>
      <c r="AJ517" s="201"/>
      <c r="AK517" s="201"/>
      <c r="AL517" s="201"/>
    </row>
    <row r="518">
      <c r="A518" s="187"/>
      <c r="B518" s="188"/>
      <c r="C518" s="236"/>
      <c r="D518" s="187"/>
      <c r="E518" s="187"/>
      <c r="F518" s="187"/>
      <c r="G518" s="185"/>
      <c r="H518" s="185"/>
      <c r="I518" s="185"/>
      <c r="J518" s="298"/>
      <c r="K518" s="283"/>
      <c r="L518" s="299"/>
      <c r="M518" s="300"/>
      <c r="N518" s="301"/>
      <c r="O518" s="302"/>
      <c r="P518" s="302"/>
      <c r="S518" s="305"/>
      <c r="T518" s="305"/>
      <c r="U518" s="306"/>
      <c r="V518" s="305"/>
      <c r="W518" s="305"/>
      <c r="X518" s="305"/>
      <c r="Y518" s="305"/>
      <c r="Z518" s="305"/>
      <c r="AD518" s="296"/>
      <c r="AE518" s="201"/>
      <c r="AF518" s="201"/>
      <c r="AG518" s="201"/>
      <c r="AH518" s="201"/>
      <c r="AI518" s="201"/>
      <c r="AJ518" s="201"/>
      <c r="AK518" s="201"/>
      <c r="AL518" s="201"/>
    </row>
    <row r="519">
      <c r="A519" s="187"/>
      <c r="B519" s="188"/>
      <c r="C519" s="236"/>
      <c r="D519" s="187"/>
      <c r="E519" s="187"/>
      <c r="F519" s="187"/>
      <c r="G519" s="185"/>
      <c r="H519" s="185"/>
      <c r="I519" s="185"/>
      <c r="J519" s="298"/>
      <c r="K519" s="283"/>
      <c r="L519" s="299"/>
      <c r="M519" s="300"/>
      <c r="N519" s="301"/>
      <c r="O519" s="302"/>
      <c r="P519" s="302"/>
      <c r="S519" s="305"/>
      <c r="T519" s="305"/>
      <c r="U519" s="306"/>
      <c r="V519" s="305"/>
      <c r="W519" s="305"/>
      <c r="X519" s="305"/>
      <c r="Y519" s="305"/>
      <c r="Z519" s="305"/>
      <c r="AD519" s="296"/>
      <c r="AE519" s="201"/>
      <c r="AF519" s="201"/>
      <c r="AG519" s="201"/>
      <c r="AH519" s="201"/>
      <c r="AI519" s="201"/>
      <c r="AJ519" s="201"/>
      <c r="AK519" s="201"/>
      <c r="AL519" s="201"/>
    </row>
    <row r="520">
      <c r="A520" s="187"/>
      <c r="B520" s="188"/>
      <c r="C520" s="236"/>
      <c r="D520" s="187"/>
      <c r="E520" s="187"/>
      <c r="F520" s="187"/>
      <c r="G520" s="185"/>
      <c r="H520" s="185"/>
      <c r="I520" s="185"/>
      <c r="J520" s="298"/>
      <c r="K520" s="283"/>
      <c r="L520" s="299"/>
      <c r="M520" s="300"/>
      <c r="N520" s="301"/>
      <c r="O520" s="302"/>
      <c r="P520" s="302"/>
      <c r="S520" s="305"/>
      <c r="T520" s="305"/>
      <c r="U520" s="306"/>
      <c r="V520" s="305"/>
      <c r="W520" s="305"/>
      <c r="X520" s="305"/>
      <c r="Y520" s="305"/>
      <c r="Z520" s="305"/>
      <c r="AD520" s="296"/>
      <c r="AE520" s="201"/>
      <c r="AF520" s="201"/>
      <c r="AG520" s="201"/>
      <c r="AH520" s="201"/>
      <c r="AI520" s="201"/>
      <c r="AJ520" s="201"/>
      <c r="AK520" s="201"/>
      <c r="AL520" s="201"/>
    </row>
    <row r="521">
      <c r="A521" s="187"/>
      <c r="B521" s="188"/>
      <c r="C521" s="236"/>
      <c r="D521" s="187"/>
      <c r="E521" s="187"/>
      <c r="F521" s="187"/>
      <c r="G521" s="185"/>
      <c r="H521" s="185"/>
      <c r="I521" s="185"/>
      <c r="J521" s="298"/>
      <c r="K521" s="283"/>
      <c r="L521" s="299"/>
      <c r="M521" s="300"/>
      <c r="N521" s="301"/>
      <c r="O521" s="302"/>
      <c r="P521" s="302"/>
      <c r="S521" s="305"/>
      <c r="T521" s="305"/>
      <c r="U521" s="306"/>
      <c r="V521" s="305"/>
      <c r="W521" s="305"/>
      <c r="X521" s="305"/>
      <c r="Y521" s="305"/>
      <c r="Z521" s="305"/>
      <c r="AD521" s="296"/>
      <c r="AE521" s="201"/>
      <c r="AF521" s="201"/>
      <c r="AG521" s="201"/>
      <c r="AH521" s="201"/>
      <c r="AI521" s="201"/>
      <c r="AJ521" s="201"/>
      <c r="AK521" s="201"/>
      <c r="AL521" s="201"/>
    </row>
    <row r="522">
      <c r="A522" s="187"/>
      <c r="B522" s="188"/>
      <c r="C522" s="236"/>
      <c r="D522" s="187"/>
      <c r="E522" s="187"/>
      <c r="F522" s="187"/>
      <c r="G522" s="185"/>
      <c r="H522" s="185"/>
      <c r="I522" s="185"/>
      <c r="J522" s="298"/>
      <c r="K522" s="283"/>
      <c r="L522" s="299"/>
      <c r="M522" s="300"/>
      <c r="N522" s="301"/>
      <c r="O522" s="302"/>
      <c r="P522" s="302"/>
      <c r="S522" s="305"/>
      <c r="T522" s="305"/>
      <c r="U522" s="306"/>
      <c r="V522" s="305"/>
      <c r="W522" s="305"/>
      <c r="X522" s="305"/>
      <c r="Y522" s="305"/>
      <c r="Z522" s="305"/>
      <c r="AD522" s="296"/>
      <c r="AE522" s="201"/>
      <c r="AF522" s="201"/>
      <c r="AG522" s="201"/>
      <c r="AH522" s="201"/>
      <c r="AI522" s="201"/>
      <c r="AJ522" s="201"/>
      <c r="AK522" s="201"/>
      <c r="AL522" s="201"/>
    </row>
    <row r="523">
      <c r="A523" s="187"/>
      <c r="B523" s="188"/>
      <c r="C523" s="236"/>
      <c r="D523" s="187"/>
      <c r="E523" s="187"/>
      <c r="F523" s="187"/>
      <c r="G523" s="185"/>
      <c r="H523" s="185"/>
      <c r="I523" s="185"/>
      <c r="J523" s="298"/>
      <c r="K523" s="283"/>
      <c r="L523" s="299"/>
      <c r="M523" s="300"/>
      <c r="N523" s="301"/>
      <c r="O523" s="302"/>
      <c r="P523" s="302"/>
      <c r="S523" s="305"/>
      <c r="T523" s="305"/>
      <c r="U523" s="306"/>
      <c r="V523" s="305"/>
      <c r="W523" s="305"/>
      <c r="X523" s="305"/>
      <c r="Y523" s="305"/>
      <c r="Z523" s="305"/>
      <c r="AD523" s="296"/>
      <c r="AE523" s="201"/>
      <c r="AF523" s="201"/>
      <c r="AG523" s="201"/>
      <c r="AH523" s="201"/>
      <c r="AI523" s="201"/>
      <c r="AJ523" s="201"/>
      <c r="AK523" s="201"/>
      <c r="AL523" s="201"/>
    </row>
    <row r="524">
      <c r="A524" s="187"/>
      <c r="B524" s="188"/>
      <c r="C524" s="236"/>
      <c r="D524" s="187"/>
      <c r="E524" s="187"/>
      <c r="F524" s="187"/>
      <c r="G524" s="185"/>
      <c r="H524" s="185"/>
      <c r="I524" s="185"/>
      <c r="J524" s="298"/>
      <c r="K524" s="283"/>
      <c r="L524" s="299"/>
      <c r="M524" s="300"/>
      <c r="N524" s="301"/>
      <c r="O524" s="302"/>
      <c r="P524" s="302"/>
      <c r="S524" s="305"/>
      <c r="T524" s="305"/>
      <c r="U524" s="306"/>
      <c r="V524" s="305"/>
      <c r="W524" s="305"/>
      <c r="X524" s="305"/>
      <c r="Y524" s="305"/>
      <c r="Z524" s="305"/>
      <c r="AD524" s="296"/>
      <c r="AE524" s="201"/>
      <c r="AF524" s="201"/>
      <c r="AG524" s="201"/>
      <c r="AH524" s="201"/>
      <c r="AI524" s="201"/>
      <c r="AJ524" s="201"/>
      <c r="AK524" s="201"/>
      <c r="AL524" s="201"/>
    </row>
    <row r="525">
      <c r="A525" s="187"/>
      <c r="B525" s="188"/>
      <c r="C525" s="236"/>
      <c r="D525" s="187"/>
      <c r="E525" s="187"/>
      <c r="F525" s="187"/>
      <c r="G525" s="185"/>
      <c r="H525" s="185"/>
      <c r="I525" s="185"/>
      <c r="J525" s="298"/>
      <c r="K525" s="283"/>
      <c r="L525" s="299"/>
      <c r="M525" s="300"/>
      <c r="N525" s="301"/>
      <c r="O525" s="302"/>
      <c r="P525" s="302"/>
      <c r="S525" s="305"/>
      <c r="T525" s="305"/>
      <c r="U525" s="306"/>
      <c r="V525" s="305"/>
      <c r="W525" s="305"/>
      <c r="X525" s="305"/>
      <c r="Y525" s="305"/>
      <c r="Z525" s="305"/>
      <c r="AD525" s="296"/>
      <c r="AE525" s="201"/>
      <c r="AF525" s="201"/>
      <c r="AG525" s="201"/>
      <c r="AH525" s="201"/>
      <c r="AI525" s="201"/>
      <c r="AJ525" s="201"/>
      <c r="AK525" s="201"/>
      <c r="AL525" s="201"/>
    </row>
    <row r="526">
      <c r="A526" s="187"/>
      <c r="B526" s="188"/>
      <c r="C526" s="236"/>
      <c r="D526" s="187"/>
      <c r="E526" s="187"/>
      <c r="F526" s="187"/>
      <c r="G526" s="185"/>
      <c r="H526" s="185"/>
      <c r="I526" s="185"/>
      <c r="J526" s="298"/>
      <c r="K526" s="283"/>
      <c r="L526" s="299"/>
      <c r="M526" s="300"/>
      <c r="N526" s="301"/>
      <c r="O526" s="302"/>
      <c r="P526" s="302"/>
      <c r="S526" s="305"/>
      <c r="T526" s="305"/>
      <c r="U526" s="306"/>
      <c r="V526" s="305"/>
      <c r="W526" s="305"/>
      <c r="X526" s="305"/>
      <c r="Y526" s="305"/>
      <c r="Z526" s="305"/>
      <c r="AD526" s="296"/>
      <c r="AE526" s="201"/>
      <c r="AF526" s="201"/>
      <c r="AG526" s="201"/>
      <c r="AH526" s="201"/>
      <c r="AI526" s="201"/>
      <c r="AJ526" s="201"/>
      <c r="AK526" s="201"/>
      <c r="AL526" s="201"/>
    </row>
    <row r="527">
      <c r="A527" s="187"/>
      <c r="B527" s="188"/>
      <c r="C527" s="236"/>
      <c r="D527" s="187"/>
      <c r="E527" s="187"/>
      <c r="F527" s="187"/>
      <c r="G527" s="185"/>
      <c r="H527" s="185"/>
      <c r="I527" s="185"/>
      <c r="J527" s="298"/>
      <c r="K527" s="283"/>
      <c r="L527" s="299"/>
      <c r="M527" s="300"/>
      <c r="N527" s="301"/>
      <c r="O527" s="302"/>
      <c r="P527" s="302"/>
      <c r="S527" s="305"/>
      <c r="T527" s="305"/>
      <c r="U527" s="306"/>
      <c r="V527" s="305"/>
      <c r="W527" s="305"/>
      <c r="X527" s="305"/>
      <c r="Y527" s="305"/>
      <c r="Z527" s="305"/>
      <c r="AD527" s="296"/>
      <c r="AE527" s="201"/>
      <c r="AF527" s="201"/>
      <c r="AG527" s="201"/>
      <c r="AH527" s="201"/>
      <c r="AI527" s="201"/>
      <c r="AJ527" s="201"/>
      <c r="AK527" s="201"/>
      <c r="AL527" s="201"/>
    </row>
    <row r="528">
      <c r="A528" s="187"/>
      <c r="B528" s="188"/>
      <c r="C528" s="236"/>
      <c r="D528" s="187"/>
      <c r="E528" s="187"/>
      <c r="F528" s="187"/>
      <c r="G528" s="185"/>
      <c r="H528" s="185"/>
      <c r="I528" s="185"/>
      <c r="J528" s="298"/>
      <c r="K528" s="283"/>
      <c r="L528" s="299"/>
      <c r="M528" s="300"/>
      <c r="N528" s="301"/>
      <c r="O528" s="302"/>
      <c r="P528" s="302"/>
      <c r="S528" s="305"/>
      <c r="T528" s="305"/>
      <c r="U528" s="306"/>
      <c r="V528" s="305"/>
      <c r="W528" s="305"/>
      <c r="X528" s="305"/>
      <c r="Y528" s="305"/>
      <c r="Z528" s="305"/>
      <c r="AD528" s="296"/>
      <c r="AE528" s="201"/>
      <c r="AF528" s="201"/>
      <c r="AG528" s="201"/>
      <c r="AH528" s="201"/>
      <c r="AI528" s="201"/>
      <c r="AJ528" s="201"/>
      <c r="AK528" s="201"/>
      <c r="AL528" s="201"/>
    </row>
    <row r="529">
      <c r="A529" s="187"/>
      <c r="B529" s="188"/>
      <c r="C529" s="236"/>
      <c r="D529" s="187"/>
      <c r="E529" s="187"/>
      <c r="F529" s="187"/>
      <c r="G529" s="185"/>
      <c r="H529" s="185"/>
      <c r="I529" s="185"/>
      <c r="J529" s="298"/>
      <c r="K529" s="283"/>
      <c r="L529" s="299"/>
      <c r="M529" s="300"/>
      <c r="N529" s="301"/>
      <c r="O529" s="302"/>
      <c r="P529" s="302"/>
      <c r="S529" s="305"/>
      <c r="T529" s="305"/>
      <c r="U529" s="306"/>
      <c r="V529" s="305"/>
      <c r="W529" s="305"/>
      <c r="X529" s="305"/>
      <c r="Y529" s="305"/>
      <c r="Z529" s="305"/>
      <c r="AD529" s="296"/>
      <c r="AE529" s="201"/>
      <c r="AF529" s="201"/>
      <c r="AG529" s="201"/>
      <c r="AH529" s="201"/>
      <c r="AI529" s="201"/>
      <c r="AJ529" s="201"/>
      <c r="AK529" s="201"/>
      <c r="AL529" s="201"/>
    </row>
    <row r="530">
      <c r="A530" s="187"/>
      <c r="B530" s="188"/>
      <c r="C530" s="236"/>
      <c r="D530" s="187"/>
      <c r="E530" s="187"/>
      <c r="F530" s="187"/>
      <c r="G530" s="185"/>
      <c r="H530" s="185"/>
      <c r="I530" s="185"/>
      <c r="J530" s="298"/>
      <c r="K530" s="283"/>
      <c r="L530" s="299"/>
      <c r="M530" s="300"/>
      <c r="N530" s="301"/>
      <c r="O530" s="302"/>
      <c r="P530" s="302"/>
      <c r="S530" s="305"/>
      <c r="T530" s="305"/>
      <c r="U530" s="306"/>
      <c r="V530" s="305"/>
      <c r="W530" s="305"/>
      <c r="X530" s="305"/>
      <c r="Y530" s="305"/>
      <c r="Z530" s="305"/>
      <c r="AD530" s="296"/>
      <c r="AE530" s="201"/>
      <c r="AF530" s="201"/>
      <c r="AG530" s="201"/>
      <c r="AH530" s="201"/>
      <c r="AI530" s="201"/>
      <c r="AJ530" s="201"/>
      <c r="AK530" s="201"/>
      <c r="AL530" s="201"/>
    </row>
    <row r="531">
      <c r="A531" s="187"/>
      <c r="B531" s="188"/>
      <c r="C531" s="236"/>
      <c r="D531" s="187"/>
      <c r="E531" s="187"/>
      <c r="F531" s="187"/>
      <c r="G531" s="185"/>
      <c r="H531" s="185"/>
      <c r="I531" s="185"/>
      <c r="J531" s="298"/>
      <c r="K531" s="283"/>
      <c r="L531" s="299"/>
      <c r="M531" s="300"/>
      <c r="N531" s="301"/>
      <c r="O531" s="302"/>
      <c r="P531" s="302"/>
      <c r="S531" s="305"/>
      <c r="T531" s="305"/>
      <c r="U531" s="306"/>
      <c r="V531" s="305"/>
      <c r="W531" s="305"/>
      <c r="X531" s="305"/>
      <c r="Y531" s="305"/>
      <c r="Z531" s="305"/>
      <c r="AD531" s="296"/>
      <c r="AE531" s="201"/>
      <c r="AF531" s="201"/>
      <c r="AG531" s="201"/>
      <c r="AH531" s="201"/>
      <c r="AI531" s="201"/>
      <c r="AJ531" s="201"/>
      <c r="AK531" s="201"/>
      <c r="AL531" s="201"/>
    </row>
    <row r="532">
      <c r="A532" s="187"/>
      <c r="B532" s="188"/>
      <c r="C532" s="236"/>
      <c r="D532" s="187"/>
      <c r="E532" s="187"/>
      <c r="F532" s="187"/>
      <c r="G532" s="185"/>
      <c r="H532" s="185"/>
      <c r="I532" s="185"/>
      <c r="J532" s="298"/>
      <c r="K532" s="283"/>
      <c r="L532" s="299"/>
      <c r="M532" s="300"/>
      <c r="N532" s="301"/>
      <c r="O532" s="302"/>
      <c r="P532" s="302"/>
      <c r="S532" s="305"/>
      <c r="T532" s="305"/>
      <c r="U532" s="306"/>
      <c r="V532" s="305"/>
      <c r="W532" s="305"/>
      <c r="X532" s="305"/>
      <c r="Y532" s="305"/>
      <c r="Z532" s="305"/>
      <c r="AD532" s="296"/>
      <c r="AE532" s="201"/>
      <c r="AF532" s="201"/>
      <c r="AG532" s="201"/>
      <c r="AH532" s="201"/>
      <c r="AI532" s="201"/>
      <c r="AJ532" s="201"/>
      <c r="AK532" s="201"/>
      <c r="AL532" s="201"/>
    </row>
    <row r="533">
      <c r="A533" s="187"/>
      <c r="B533" s="188"/>
      <c r="C533" s="236"/>
      <c r="D533" s="187"/>
      <c r="E533" s="187"/>
      <c r="F533" s="187"/>
      <c r="G533" s="185"/>
      <c r="H533" s="185"/>
      <c r="I533" s="185"/>
      <c r="J533" s="298"/>
      <c r="K533" s="283"/>
      <c r="L533" s="299"/>
      <c r="M533" s="300"/>
      <c r="N533" s="301"/>
      <c r="O533" s="302"/>
      <c r="P533" s="302"/>
      <c r="S533" s="305"/>
      <c r="T533" s="305"/>
      <c r="U533" s="306"/>
      <c r="V533" s="305"/>
      <c r="W533" s="305"/>
      <c r="X533" s="305"/>
      <c r="Y533" s="305"/>
      <c r="Z533" s="305"/>
      <c r="AD533" s="296"/>
      <c r="AE533" s="201"/>
      <c r="AF533" s="201"/>
      <c r="AG533" s="201"/>
      <c r="AH533" s="201"/>
      <c r="AI533" s="201"/>
      <c r="AJ533" s="201"/>
      <c r="AK533" s="201"/>
      <c r="AL533" s="201"/>
    </row>
    <row r="534">
      <c r="A534" s="187"/>
      <c r="B534" s="188"/>
      <c r="C534" s="236"/>
      <c r="D534" s="187"/>
      <c r="E534" s="187"/>
      <c r="F534" s="187"/>
      <c r="G534" s="185"/>
      <c r="H534" s="185"/>
      <c r="I534" s="185"/>
      <c r="J534" s="298"/>
      <c r="K534" s="283"/>
      <c r="L534" s="299"/>
      <c r="M534" s="300"/>
      <c r="N534" s="301"/>
      <c r="O534" s="302"/>
      <c r="P534" s="302"/>
      <c r="S534" s="305"/>
      <c r="T534" s="305"/>
      <c r="U534" s="306"/>
      <c r="V534" s="305"/>
      <c r="W534" s="305"/>
      <c r="X534" s="305"/>
      <c r="Y534" s="305"/>
      <c r="Z534" s="305"/>
      <c r="AD534" s="296"/>
      <c r="AE534" s="201"/>
      <c r="AF534" s="201"/>
      <c r="AG534" s="201"/>
      <c r="AH534" s="201"/>
      <c r="AI534" s="201"/>
      <c r="AJ534" s="201"/>
      <c r="AK534" s="201"/>
      <c r="AL534" s="201"/>
    </row>
    <row r="535">
      <c r="A535" s="187"/>
      <c r="B535" s="188"/>
      <c r="C535" s="236"/>
      <c r="D535" s="187"/>
      <c r="E535" s="187"/>
      <c r="F535" s="187"/>
      <c r="G535" s="185"/>
      <c r="H535" s="185"/>
      <c r="I535" s="185"/>
      <c r="J535" s="298"/>
      <c r="K535" s="283"/>
      <c r="L535" s="299"/>
      <c r="M535" s="300"/>
      <c r="N535" s="301"/>
      <c r="O535" s="302"/>
      <c r="P535" s="302"/>
      <c r="S535" s="305"/>
      <c r="T535" s="305"/>
      <c r="U535" s="306"/>
      <c r="V535" s="305"/>
      <c r="W535" s="305"/>
      <c r="X535" s="305"/>
      <c r="Y535" s="305"/>
      <c r="Z535" s="305"/>
      <c r="AD535" s="296"/>
      <c r="AE535" s="201"/>
      <c r="AF535" s="201"/>
      <c r="AG535" s="201"/>
      <c r="AH535" s="201"/>
      <c r="AI535" s="201"/>
      <c r="AJ535" s="201"/>
      <c r="AK535" s="201"/>
      <c r="AL535" s="201"/>
    </row>
    <row r="536">
      <c r="A536" s="187"/>
      <c r="B536" s="188"/>
      <c r="C536" s="236"/>
      <c r="D536" s="187"/>
      <c r="E536" s="187"/>
      <c r="F536" s="187"/>
      <c r="G536" s="185"/>
      <c r="H536" s="185"/>
      <c r="I536" s="185"/>
      <c r="J536" s="298"/>
      <c r="K536" s="283"/>
      <c r="L536" s="299"/>
      <c r="M536" s="300"/>
      <c r="N536" s="301"/>
      <c r="O536" s="302"/>
      <c r="P536" s="302"/>
      <c r="S536" s="305"/>
      <c r="T536" s="305"/>
      <c r="U536" s="306"/>
      <c r="V536" s="305"/>
      <c r="W536" s="305"/>
      <c r="X536" s="305"/>
      <c r="Y536" s="305"/>
      <c r="Z536" s="305"/>
      <c r="AD536" s="296"/>
      <c r="AE536" s="201"/>
      <c r="AF536" s="201"/>
      <c r="AG536" s="201"/>
      <c r="AH536" s="201"/>
      <c r="AI536" s="201"/>
      <c r="AJ536" s="201"/>
      <c r="AK536" s="201"/>
      <c r="AL536" s="201"/>
    </row>
    <row r="537">
      <c r="A537" s="187"/>
      <c r="B537" s="188"/>
      <c r="C537" s="236"/>
      <c r="D537" s="187"/>
      <c r="E537" s="187"/>
      <c r="F537" s="187"/>
      <c r="G537" s="185"/>
      <c r="H537" s="185"/>
      <c r="I537" s="185"/>
      <c r="J537" s="298"/>
      <c r="K537" s="283"/>
      <c r="L537" s="299"/>
      <c r="M537" s="300"/>
      <c r="N537" s="301"/>
      <c r="O537" s="302"/>
      <c r="P537" s="302"/>
      <c r="S537" s="305"/>
      <c r="T537" s="305"/>
      <c r="U537" s="306"/>
      <c r="V537" s="305"/>
      <c r="W537" s="305"/>
      <c r="X537" s="305"/>
      <c r="Y537" s="305"/>
      <c r="Z537" s="305"/>
      <c r="AD537" s="296"/>
      <c r="AE537" s="201"/>
      <c r="AF537" s="201"/>
      <c r="AG537" s="201"/>
      <c r="AH537" s="201"/>
      <c r="AI537" s="201"/>
      <c r="AJ537" s="201"/>
      <c r="AK537" s="201"/>
      <c r="AL537" s="201"/>
    </row>
    <row r="538">
      <c r="A538" s="187"/>
      <c r="B538" s="188"/>
      <c r="C538" s="236"/>
      <c r="D538" s="187"/>
      <c r="E538" s="187"/>
      <c r="F538" s="187"/>
      <c r="G538" s="185"/>
      <c r="H538" s="185"/>
      <c r="I538" s="185"/>
      <c r="J538" s="298"/>
      <c r="K538" s="283"/>
      <c r="L538" s="299"/>
      <c r="M538" s="300"/>
      <c r="N538" s="301"/>
      <c r="O538" s="302"/>
      <c r="P538" s="302"/>
      <c r="S538" s="305"/>
      <c r="T538" s="305"/>
      <c r="U538" s="306"/>
      <c r="V538" s="305"/>
      <c r="W538" s="305"/>
      <c r="X538" s="305"/>
      <c r="Y538" s="305"/>
      <c r="Z538" s="305"/>
      <c r="AD538" s="296"/>
      <c r="AE538" s="201"/>
      <c r="AF538" s="201"/>
      <c r="AG538" s="201"/>
      <c r="AH538" s="201"/>
      <c r="AI538" s="201"/>
      <c r="AJ538" s="201"/>
      <c r="AK538" s="201"/>
      <c r="AL538" s="201"/>
    </row>
    <row r="539">
      <c r="A539" s="187"/>
      <c r="B539" s="188"/>
      <c r="C539" s="236"/>
      <c r="D539" s="187"/>
      <c r="E539" s="187"/>
      <c r="F539" s="187"/>
      <c r="G539" s="185"/>
      <c r="H539" s="185"/>
      <c r="I539" s="185"/>
      <c r="J539" s="298"/>
      <c r="K539" s="283"/>
      <c r="L539" s="299"/>
      <c r="M539" s="300"/>
      <c r="N539" s="301"/>
      <c r="O539" s="302"/>
      <c r="P539" s="302"/>
      <c r="S539" s="305"/>
      <c r="T539" s="305"/>
      <c r="U539" s="306"/>
      <c r="V539" s="305"/>
      <c r="W539" s="305"/>
      <c r="X539" s="305"/>
      <c r="Y539" s="305"/>
      <c r="Z539" s="305"/>
      <c r="AD539" s="296"/>
      <c r="AE539" s="201"/>
      <c r="AF539" s="201"/>
      <c r="AG539" s="201"/>
      <c r="AH539" s="201"/>
      <c r="AI539" s="201"/>
      <c r="AJ539" s="201"/>
      <c r="AK539" s="201"/>
      <c r="AL539" s="201"/>
    </row>
    <row r="540">
      <c r="A540" s="187"/>
      <c r="B540" s="188"/>
      <c r="C540" s="236"/>
      <c r="D540" s="187"/>
      <c r="E540" s="187"/>
      <c r="F540" s="187"/>
      <c r="G540" s="185"/>
      <c r="H540" s="185"/>
      <c r="I540" s="185"/>
      <c r="J540" s="298"/>
      <c r="K540" s="283"/>
      <c r="L540" s="299"/>
      <c r="M540" s="300"/>
      <c r="N540" s="301"/>
      <c r="O540" s="302"/>
      <c r="P540" s="302"/>
      <c r="S540" s="305"/>
      <c r="T540" s="305"/>
      <c r="U540" s="306"/>
      <c r="V540" s="305"/>
      <c r="W540" s="305"/>
      <c r="X540" s="305"/>
      <c r="Y540" s="305"/>
      <c r="Z540" s="305"/>
      <c r="AD540" s="296"/>
      <c r="AE540" s="201"/>
      <c r="AF540" s="201"/>
      <c r="AG540" s="201"/>
      <c r="AH540" s="201"/>
      <c r="AI540" s="201"/>
      <c r="AJ540" s="201"/>
      <c r="AK540" s="201"/>
      <c r="AL540" s="201"/>
    </row>
    <row r="541">
      <c r="A541" s="187"/>
      <c r="B541" s="188"/>
      <c r="C541" s="236"/>
      <c r="D541" s="187"/>
      <c r="E541" s="187"/>
      <c r="F541" s="187"/>
      <c r="G541" s="185"/>
      <c r="H541" s="185"/>
      <c r="I541" s="185"/>
      <c r="J541" s="298"/>
      <c r="K541" s="283"/>
      <c r="L541" s="299"/>
      <c r="M541" s="300"/>
      <c r="N541" s="301"/>
      <c r="O541" s="302"/>
      <c r="P541" s="302"/>
      <c r="S541" s="305"/>
      <c r="T541" s="305"/>
      <c r="U541" s="306"/>
      <c r="V541" s="305"/>
      <c r="W541" s="305"/>
      <c r="X541" s="305"/>
      <c r="Y541" s="305"/>
      <c r="Z541" s="305"/>
      <c r="AD541" s="296"/>
      <c r="AE541" s="201"/>
      <c r="AF541" s="201"/>
      <c r="AG541" s="201"/>
      <c r="AH541" s="201"/>
      <c r="AI541" s="201"/>
      <c r="AJ541" s="201"/>
      <c r="AK541" s="201"/>
      <c r="AL541" s="201"/>
    </row>
    <row r="542">
      <c r="A542" s="187"/>
      <c r="B542" s="188"/>
      <c r="C542" s="236"/>
      <c r="D542" s="187"/>
      <c r="E542" s="187"/>
      <c r="F542" s="187"/>
      <c r="G542" s="185"/>
      <c r="H542" s="185"/>
      <c r="I542" s="185"/>
      <c r="J542" s="298"/>
      <c r="K542" s="283"/>
      <c r="L542" s="299"/>
      <c r="M542" s="300"/>
      <c r="N542" s="301"/>
      <c r="O542" s="302"/>
      <c r="P542" s="302"/>
      <c r="S542" s="305"/>
      <c r="T542" s="305"/>
      <c r="U542" s="306"/>
      <c r="V542" s="305"/>
      <c r="W542" s="305"/>
      <c r="X542" s="305"/>
      <c r="Y542" s="305"/>
      <c r="Z542" s="305"/>
      <c r="AD542" s="296"/>
      <c r="AE542" s="201"/>
      <c r="AF542" s="201"/>
      <c r="AG542" s="201"/>
      <c r="AH542" s="201"/>
      <c r="AI542" s="201"/>
      <c r="AJ542" s="201"/>
      <c r="AK542" s="201"/>
      <c r="AL542" s="201"/>
    </row>
    <row r="543">
      <c r="A543" s="187"/>
      <c r="B543" s="188"/>
      <c r="C543" s="236"/>
      <c r="D543" s="187"/>
      <c r="E543" s="187"/>
      <c r="F543" s="187"/>
      <c r="G543" s="185"/>
      <c r="H543" s="185"/>
      <c r="I543" s="185"/>
      <c r="J543" s="298"/>
      <c r="K543" s="283"/>
      <c r="L543" s="299"/>
      <c r="M543" s="300"/>
      <c r="N543" s="301"/>
      <c r="O543" s="302"/>
      <c r="P543" s="302"/>
      <c r="S543" s="305"/>
      <c r="T543" s="305"/>
      <c r="U543" s="306"/>
      <c r="V543" s="305"/>
      <c r="W543" s="305"/>
      <c r="X543" s="305"/>
      <c r="Y543" s="305"/>
      <c r="Z543" s="305"/>
      <c r="AD543" s="296"/>
      <c r="AE543" s="201"/>
      <c r="AF543" s="201"/>
      <c r="AG543" s="201"/>
      <c r="AH543" s="201"/>
      <c r="AI543" s="201"/>
      <c r="AJ543" s="201"/>
      <c r="AK543" s="201"/>
      <c r="AL543" s="201"/>
    </row>
    <row r="544">
      <c r="A544" s="187"/>
      <c r="B544" s="188"/>
      <c r="C544" s="236"/>
      <c r="D544" s="187"/>
      <c r="E544" s="187"/>
      <c r="F544" s="187"/>
      <c r="G544" s="185"/>
      <c r="H544" s="185"/>
      <c r="I544" s="185"/>
      <c r="J544" s="298"/>
      <c r="K544" s="283"/>
      <c r="L544" s="299"/>
      <c r="M544" s="300"/>
      <c r="N544" s="301"/>
      <c r="O544" s="302"/>
      <c r="P544" s="302"/>
      <c r="S544" s="305"/>
      <c r="T544" s="305"/>
      <c r="U544" s="306"/>
      <c r="V544" s="305"/>
      <c r="W544" s="305"/>
      <c r="X544" s="305"/>
      <c r="Y544" s="305"/>
      <c r="Z544" s="305"/>
      <c r="AD544" s="296"/>
      <c r="AE544" s="201"/>
      <c r="AF544" s="201"/>
      <c r="AG544" s="201"/>
      <c r="AH544" s="201"/>
      <c r="AI544" s="201"/>
      <c r="AJ544" s="201"/>
      <c r="AK544" s="201"/>
      <c r="AL544" s="201"/>
    </row>
    <row r="545">
      <c r="A545" s="187"/>
      <c r="B545" s="188"/>
      <c r="C545" s="236"/>
      <c r="D545" s="187"/>
      <c r="E545" s="187"/>
      <c r="F545" s="187"/>
      <c r="G545" s="185"/>
      <c r="H545" s="185"/>
      <c r="I545" s="185"/>
      <c r="J545" s="298"/>
      <c r="K545" s="283"/>
      <c r="L545" s="299"/>
      <c r="M545" s="300"/>
      <c r="N545" s="301"/>
      <c r="O545" s="302"/>
      <c r="P545" s="302"/>
      <c r="S545" s="305"/>
      <c r="T545" s="305"/>
      <c r="U545" s="306"/>
      <c r="V545" s="305"/>
      <c r="W545" s="305"/>
      <c r="X545" s="305"/>
      <c r="Y545" s="305"/>
      <c r="Z545" s="305"/>
      <c r="AD545" s="296"/>
      <c r="AE545" s="201"/>
      <c r="AF545" s="201"/>
      <c r="AG545" s="201"/>
      <c r="AH545" s="201"/>
      <c r="AI545" s="201"/>
      <c r="AJ545" s="201"/>
      <c r="AK545" s="201"/>
      <c r="AL545" s="201"/>
    </row>
    <row r="546">
      <c r="A546" s="187"/>
      <c r="B546" s="188"/>
      <c r="C546" s="236"/>
      <c r="D546" s="187"/>
      <c r="E546" s="187"/>
      <c r="F546" s="187"/>
      <c r="G546" s="185"/>
      <c r="H546" s="185"/>
      <c r="I546" s="185"/>
      <c r="J546" s="298"/>
      <c r="K546" s="283"/>
      <c r="L546" s="299"/>
      <c r="M546" s="300"/>
      <c r="N546" s="301"/>
      <c r="O546" s="302"/>
      <c r="P546" s="302"/>
      <c r="S546" s="305"/>
      <c r="T546" s="305"/>
      <c r="U546" s="306"/>
      <c r="V546" s="305"/>
      <c r="W546" s="305"/>
      <c r="X546" s="305"/>
      <c r="Y546" s="305"/>
      <c r="Z546" s="305"/>
      <c r="AD546" s="296"/>
      <c r="AE546" s="201"/>
      <c r="AF546" s="201"/>
      <c r="AG546" s="201"/>
      <c r="AH546" s="201"/>
      <c r="AI546" s="201"/>
      <c r="AJ546" s="201"/>
      <c r="AK546" s="201"/>
      <c r="AL546" s="201"/>
    </row>
    <row r="547">
      <c r="A547" s="187"/>
      <c r="B547" s="188"/>
      <c r="C547" s="236"/>
      <c r="D547" s="187"/>
      <c r="E547" s="187"/>
      <c r="F547" s="187"/>
      <c r="G547" s="185"/>
      <c r="H547" s="185"/>
      <c r="I547" s="185"/>
      <c r="J547" s="298"/>
      <c r="K547" s="283"/>
      <c r="L547" s="299"/>
      <c r="M547" s="300"/>
      <c r="N547" s="301"/>
      <c r="O547" s="302"/>
      <c r="P547" s="302"/>
      <c r="S547" s="305"/>
      <c r="T547" s="305"/>
      <c r="U547" s="306"/>
      <c r="V547" s="305"/>
      <c r="W547" s="305"/>
      <c r="X547" s="305"/>
      <c r="Y547" s="305"/>
      <c r="Z547" s="305"/>
      <c r="AD547" s="296"/>
      <c r="AE547" s="201"/>
      <c r="AF547" s="201"/>
      <c r="AG547" s="201"/>
      <c r="AH547" s="201"/>
      <c r="AI547" s="201"/>
      <c r="AJ547" s="201"/>
      <c r="AK547" s="201"/>
      <c r="AL547" s="201"/>
    </row>
    <row r="548">
      <c r="A548" s="187"/>
      <c r="B548" s="188"/>
      <c r="C548" s="236"/>
      <c r="D548" s="187"/>
      <c r="E548" s="187"/>
      <c r="F548" s="187"/>
      <c r="G548" s="185"/>
      <c r="H548" s="185"/>
      <c r="I548" s="185"/>
      <c r="J548" s="298"/>
      <c r="K548" s="283"/>
      <c r="L548" s="299"/>
      <c r="M548" s="300"/>
      <c r="N548" s="301"/>
      <c r="O548" s="302"/>
      <c r="P548" s="302"/>
      <c r="S548" s="305"/>
      <c r="T548" s="305"/>
      <c r="U548" s="306"/>
      <c r="V548" s="305"/>
      <c r="W548" s="305"/>
      <c r="X548" s="305"/>
      <c r="Y548" s="305"/>
      <c r="Z548" s="305"/>
      <c r="AD548" s="296"/>
      <c r="AE548" s="201"/>
      <c r="AF548" s="201"/>
      <c r="AG548" s="201"/>
      <c r="AH548" s="201"/>
      <c r="AI548" s="201"/>
      <c r="AJ548" s="201"/>
      <c r="AK548" s="201"/>
      <c r="AL548" s="201"/>
    </row>
    <row r="549">
      <c r="A549" s="187"/>
      <c r="B549" s="188"/>
      <c r="C549" s="236"/>
      <c r="D549" s="187"/>
      <c r="E549" s="187"/>
      <c r="F549" s="187"/>
      <c r="G549" s="185"/>
      <c r="H549" s="185"/>
      <c r="I549" s="185"/>
      <c r="J549" s="298"/>
      <c r="K549" s="283"/>
      <c r="L549" s="299"/>
      <c r="M549" s="300"/>
      <c r="N549" s="301"/>
      <c r="O549" s="302"/>
      <c r="P549" s="302"/>
      <c r="S549" s="305"/>
      <c r="T549" s="305"/>
      <c r="U549" s="306"/>
      <c r="V549" s="305"/>
      <c r="W549" s="305"/>
      <c r="X549" s="305"/>
      <c r="Y549" s="305"/>
      <c r="Z549" s="305"/>
      <c r="AD549" s="296"/>
      <c r="AE549" s="201"/>
      <c r="AF549" s="201"/>
      <c r="AG549" s="201"/>
      <c r="AH549" s="201"/>
      <c r="AI549" s="201"/>
      <c r="AJ549" s="201"/>
      <c r="AK549" s="201"/>
      <c r="AL549" s="201"/>
    </row>
    <row r="550">
      <c r="A550" s="187"/>
      <c r="B550" s="188"/>
      <c r="C550" s="236"/>
      <c r="D550" s="187"/>
      <c r="E550" s="187"/>
      <c r="F550" s="187"/>
      <c r="G550" s="185"/>
      <c r="H550" s="185"/>
      <c r="I550" s="185"/>
      <c r="J550" s="298"/>
      <c r="K550" s="283"/>
      <c r="L550" s="299"/>
      <c r="M550" s="300"/>
      <c r="N550" s="301"/>
      <c r="O550" s="302"/>
      <c r="P550" s="302"/>
      <c r="S550" s="305"/>
      <c r="T550" s="305"/>
      <c r="U550" s="306"/>
      <c r="V550" s="305"/>
      <c r="W550" s="305"/>
      <c r="X550" s="305"/>
      <c r="Y550" s="305"/>
      <c r="Z550" s="305"/>
      <c r="AD550" s="296"/>
      <c r="AE550" s="201"/>
      <c r="AF550" s="201"/>
      <c r="AG550" s="201"/>
      <c r="AH550" s="201"/>
      <c r="AI550" s="201"/>
      <c r="AJ550" s="201"/>
      <c r="AK550" s="201"/>
      <c r="AL550" s="201"/>
    </row>
    <row r="551">
      <c r="A551" s="187"/>
      <c r="B551" s="188"/>
      <c r="C551" s="236"/>
      <c r="D551" s="187"/>
      <c r="E551" s="187"/>
      <c r="F551" s="187"/>
      <c r="G551" s="185"/>
      <c r="H551" s="185"/>
      <c r="I551" s="185"/>
      <c r="J551" s="298"/>
      <c r="K551" s="283"/>
      <c r="L551" s="299"/>
      <c r="M551" s="300"/>
      <c r="N551" s="301"/>
      <c r="O551" s="302"/>
      <c r="P551" s="302"/>
      <c r="S551" s="305"/>
      <c r="T551" s="305"/>
      <c r="U551" s="306"/>
      <c r="V551" s="305"/>
      <c r="W551" s="305"/>
      <c r="X551" s="305"/>
      <c r="Y551" s="305"/>
      <c r="Z551" s="305"/>
      <c r="AD551" s="296"/>
      <c r="AE551" s="201"/>
      <c r="AF551" s="201"/>
      <c r="AG551" s="201"/>
      <c r="AH551" s="201"/>
      <c r="AI551" s="201"/>
      <c r="AJ551" s="201"/>
      <c r="AK551" s="201"/>
      <c r="AL551" s="201"/>
    </row>
    <row r="552">
      <c r="A552" s="187"/>
      <c r="B552" s="188"/>
      <c r="C552" s="236"/>
      <c r="D552" s="187"/>
      <c r="E552" s="187"/>
      <c r="F552" s="187"/>
      <c r="G552" s="185"/>
      <c r="H552" s="185"/>
      <c r="I552" s="185"/>
      <c r="J552" s="298"/>
      <c r="K552" s="283"/>
      <c r="L552" s="299"/>
      <c r="M552" s="300"/>
      <c r="N552" s="301"/>
      <c r="O552" s="302"/>
      <c r="P552" s="302"/>
      <c r="S552" s="305"/>
      <c r="T552" s="305"/>
      <c r="U552" s="306"/>
      <c r="V552" s="305"/>
      <c r="W552" s="305"/>
      <c r="X552" s="305"/>
      <c r="Y552" s="305"/>
      <c r="Z552" s="305"/>
      <c r="AD552" s="296"/>
      <c r="AE552" s="201"/>
      <c r="AF552" s="201"/>
      <c r="AG552" s="201"/>
      <c r="AH552" s="201"/>
      <c r="AI552" s="201"/>
      <c r="AJ552" s="201"/>
      <c r="AK552" s="201"/>
      <c r="AL552" s="201"/>
    </row>
    <row r="553">
      <c r="A553" s="187"/>
      <c r="B553" s="188"/>
      <c r="C553" s="236"/>
      <c r="D553" s="187"/>
      <c r="E553" s="187"/>
      <c r="F553" s="187"/>
      <c r="G553" s="185"/>
      <c r="H553" s="185"/>
      <c r="I553" s="185"/>
      <c r="J553" s="298"/>
      <c r="K553" s="283"/>
      <c r="L553" s="299"/>
      <c r="M553" s="300"/>
      <c r="N553" s="301"/>
      <c r="O553" s="302"/>
      <c r="P553" s="302"/>
      <c r="S553" s="305"/>
      <c r="T553" s="305"/>
      <c r="U553" s="306"/>
      <c r="V553" s="305"/>
      <c r="W553" s="305"/>
      <c r="X553" s="305"/>
      <c r="Y553" s="305"/>
      <c r="Z553" s="305"/>
      <c r="AD553" s="296"/>
      <c r="AE553" s="201"/>
      <c r="AF553" s="201"/>
      <c r="AG553" s="201"/>
      <c r="AH553" s="201"/>
      <c r="AI553" s="201"/>
      <c r="AJ553" s="201"/>
      <c r="AK553" s="201"/>
      <c r="AL553" s="201"/>
    </row>
    <row r="554">
      <c r="A554" s="187"/>
      <c r="B554" s="188"/>
      <c r="C554" s="236"/>
      <c r="D554" s="187"/>
      <c r="E554" s="187"/>
      <c r="F554" s="187"/>
      <c r="G554" s="185"/>
      <c r="H554" s="185"/>
      <c r="I554" s="185"/>
      <c r="J554" s="298"/>
      <c r="K554" s="283"/>
      <c r="L554" s="299"/>
      <c r="M554" s="300"/>
      <c r="N554" s="301"/>
      <c r="O554" s="302"/>
      <c r="P554" s="302"/>
      <c r="S554" s="305"/>
      <c r="T554" s="305"/>
      <c r="U554" s="306"/>
      <c r="V554" s="305"/>
      <c r="W554" s="305"/>
      <c r="X554" s="305"/>
      <c r="Y554" s="305"/>
      <c r="Z554" s="305"/>
      <c r="AD554" s="296"/>
      <c r="AE554" s="201"/>
      <c r="AF554" s="201"/>
      <c r="AG554" s="201"/>
      <c r="AH554" s="201"/>
      <c r="AI554" s="201"/>
      <c r="AJ554" s="201"/>
      <c r="AK554" s="201"/>
      <c r="AL554" s="201"/>
    </row>
    <row r="555">
      <c r="A555" s="187"/>
      <c r="B555" s="188"/>
      <c r="C555" s="236"/>
      <c r="D555" s="187"/>
      <c r="E555" s="187"/>
      <c r="F555" s="187"/>
      <c r="G555" s="185"/>
      <c r="H555" s="185"/>
      <c r="I555" s="185"/>
      <c r="J555" s="298"/>
      <c r="K555" s="283"/>
      <c r="L555" s="299"/>
      <c r="M555" s="300"/>
      <c r="N555" s="301"/>
      <c r="O555" s="302"/>
      <c r="P555" s="302"/>
      <c r="S555" s="305"/>
      <c r="T555" s="305"/>
      <c r="U555" s="306"/>
      <c r="V555" s="305"/>
      <c r="W555" s="305"/>
      <c r="X555" s="305"/>
      <c r="Y555" s="305"/>
      <c r="Z555" s="305"/>
      <c r="AD555" s="296"/>
      <c r="AE555" s="201"/>
      <c r="AF555" s="201"/>
      <c r="AG555" s="201"/>
      <c r="AH555" s="201"/>
      <c r="AI555" s="201"/>
      <c r="AJ555" s="201"/>
      <c r="AK555" s="201"/>
      <c r="AL555" s="201"/>
    </row>
    <row r="556">
      <c r="A556" s="187"/>
      <c r="B556" s="188"/>
      <c r="C556" s="236"/>
      <c r="D556" s="187"/>
      <c r="E556" s="187"/>
      <c r="F556" s="187"/>
      <c r="G556" s="185"/>
      <c r="H556" s="185"/>
      <c r="I556" s="185"/>
      <c r="J556" s="298"/>
      <c r="K556" s="283"/>
      <c r="L556" s="299"/>
      <c r="M556" s="300"/>
      <c r="N556" s="301"/>
      <c r="O556" s="302"/>
      <c r="P556" s="302"/>
      <c r="S556" s="305"/>
      <c r="T556" s="305"/>
      <c r="U556" s="306"/>
      <c r="V556" s="305"/>
      <c r="W556" s="305"/>
      <c r="X556" s="305"/>
      <c r="Y556" s="305"/>
      <c r="Z556" s="305"/>
      <c r="AD556" s="296"/>
      <c r="AE556" s="201"/>
      <c r="AF556" s="201"/>
      <c r="AG556" s="201"/>
      <c r="AH556" s="201"/>
      <c r="AI556" s="201"/>
      <c r="AJ556" s="201"/>
      <c r="AK556" s="201"/>
      <c r="AL556" s="201"/>
    </row>
    <row r="557">
      <c r="A557" s="187"/>
      <c r="B557" s="188"/>
      <c r="C557" s="236"/>
      <c r="D557" s="187"/>
      <c r="E557" s="187"/>
      <c r="F557" s="187"/>
      <c r="G557" s="185"/>
      <c r="H557" s="185"/>
      <c r="I557" s="185"/>
      <c r="J557" s="298"/>
      <c r="K557" s="283"/>
      <c r="L557" s="299"/>
      <c r="M557" s="300"/>
      <c r="N557" s="301"/>
      <c r="O557" s="302"/>
      <c r="P557" s="302"/>
      <c r="S557" s="305"/>
      <c r="T557" s="305"/>
      <c r="U557" s="306"/>
      <c r="V557" s="305"/>
      <c r="W557" s="305"/>
      <c r="X557" s="305"/>
      <c r="Y557" s="305"/>
      <c r="Z557" s="305"/>
      <c r="AD557" s="296"/>
      <c r="AE557" s="201"/>
      <c r="AF557" s="201"/>
      <c r="AG557" s="201"/>
      <c r="AH557" s="201"/>
      <c r="AI557" s="201"/>
      <c r="AJ557" s="201"/>
      <c r="AK557" s="201"/>
      <c r="AL557" s="201"/>
    </row>
    <row r="558">
      <c r="A558" s="187"/>
      <c r="B558" s="188"/>
      <c r="C558" s="236"/>
      <c r="D558" s="187"/>
      <c r="E558" s="187"/>
      <c r="F558" s="187"/>
      <c r="G558" s="185"/>
      <c r="H558" s="185"/>
      <c r="I558" s="185"/>
      <c r="J558" s="298"/>
      <c r="K558" s="283"/>
      <c r="L558" s="299"/>
      <c r="M558" s="300"/>
      <c r="N558" s="301"/>
      <c r="O558" s="302"/>
      <c r="P558" s="302"/>
      <c r="S558" s="305"/>
      <c r="T558" s="305"/>
      <c r="U558" s="306"/>
      <c r="V558" s="305"/>
      <c r="W558" s="305"/>
      <c r="X558" s="305"/>
      <c r="Y558" s="305"/>
      <c r="Z558" s="305"/>
      <c r="AD558" s="296"/>
      <c r="AE558" s="201"/>
      <c r="AF558" s="201"/>
      <c r="AG558" s="201"/>
      <c r="AH558" s="201"/>
      <c r="AI558" s="201"/>
      <c r="AJ558" s="201"/>
      <c r="AK558" s="201"/>
      <c r="AL558" s="201"/>
    </row>
    <row r="559">
      <c r="A559" s="187"/>
      <c r="B559" s="188"/>
      <c r="C559" s="236"/>
      <c r="D559" s="187"/>
      <c r="E559" s="187"/>
      <c r="F559" s="187"/>
      <c r="G559" s="185"/>
      <c r="H559" s="185"/>
      <c r="I559" s="185"/>
      <c r="J559" s="298"/>
      <c r="K559" s="283"/>
      <c r="L559" s="299"/>
      <c r="M559" s="300"/>
      <c r="N559" s="301"/>
      <c r="O559" s="302"/>
      <c r="P559" s="302"/>
      <c r="S559" s="305"/>
      <c r="T559" s="305"/>
      <c r="U559" s="306"/>
      <c r="V559" s="305"/>
      <c r="W559" s="305"/>
      <c r="X559" s="305"/>
      <c r="Y559" s="305"/>
      <c r="Z559" s="305"/>
      <c r="AD559" s="296"/>
      <c r="AE559" s="201"/>
      <c r="AF559" s="201"/>
      <c r="AG559" s="201"/>
      <c r="AH559" s="201"/>
      <c r="AI559" s="201"/>
      <c r="AJ559" s="201"/>
      <c r="AK559" s="201"/>
      <c r="AL559" s="201"/>
    </row>
    <row r="560">
      <c r="A560" s="187"/>
      <c r="B560" s="188"/>
      <c r="C560" s="236"/>
      <c r="D560" s="187"/>
      <c r="E560" s="187"/>
      <c r="F560" s="187"/>
      <c r="G560" s="185"/>
      <c r="H560" s="185"/>
      <c r="I560" s="185"/>
      <c r="J560" s="298"/>
      <c r="K560" s="283"/>
      <c r="L560" s="299"/>
      <c r="M560" s="300"/>
      <c r="N560" s="301"/>
      <c r="O560" s="302"/>
      <c r="P560" s="302"/>
      <c r="S560" s="305"/>
      <c r="T560" s="305"/>
      <c r="U560" s="306"/>
      <c r="V560" s="305"/>
      <c r="W560" s="305"/>
      <c r="X560" s="305"/>
      <c r="Y560" s="305"/>
      <c r="Z560" s="305"/>
      <c r="AD560" s="296"/>
      <c r="AE560" s="201"/>
      <c r="AF560" s="201"/>
      <c r="AG560" s="201"/>
      <c r="AH560" s="201"/>
      <c r="AI560" s="201"/>
      <c r="AJ560" s="201"/>
      <c r="AK560" s="201"/>
      <c r="AL560" s="201"/>
    </row>
    <row r="561">
      <c r="A561" s="187"/>
      <c r="B561" s="188"/>
      <c r="C561" s="236"/>
      <c r="D561" s="187"/>
      <c r="E561" s="187"/>
      <c r="F561" s="187"/>
      <c r="G561" s="185"/>
      <c r="H561" s="185"/>
      <c r="I561" s="185"/>
      <c r="J561" s="298"/>
      <c r="K561" s="283"/>
      <c r="L561" s="299"/>
      <c r="M561" s="300"/>
      <c r="N561" s="301"/>
      <c r="O561" s="302"/>
      <c r="P561" s="302"/>
      <c r="S561" s="305"/>
      <c r="T561" s="305"/>
      <c r="U561" s="306"/>
      <c r="V561" s="305"/>
      <c r="W561" s="305"/>
      <c r="X561" s="305"/>
      <c r="Y561" s="305"/>
      <c r="Z561" s="305"/>
      <c r="AD561" s="296"/>
      <c r="AE561" s="201"/>
      <c r="AF561" s="201"/>
      <c r="AG561" s="201"/>
      <c r="AH561" s="201"/>
      <c r="AI561" s="201"/>
      <c r="AJ561" s="201"/>
      <c r="AK561" s="201"/>
      <c r="AL561" s="201"/>
    </row>
    <row r="562">
      <c r="A562" s="187"/>
      <c r="B562" s="188"/>
      <c r="C562" s="236"/>
      <c r="D562" s="187"/>
      <c r="E562" s="187"/>
      <c r="F562" s="187"/>
      <c r="G562" s="185"/>
      <c r="H562" s="185"/>
      <c r="I562" s="185"/>
      <c r="J562" s="298"/>
      <c r="K562" s="283"/>
      <c r="L562" s="299"/>
      <c r="M562" s="300"/>
      <c r="N562" s="301"/>
      <c r="O562" s="302"/>
      <c r="P562" s="302"/>
      <c r="S562" s="305"/>
      <c r="T562" s="305"/>
      <c r="U562" s="306"/>
      <c r="V562" s="305"/>
      <c r="W562" s="305"/>
      <c r="X562" s="305"/>
      <c r="Y562" s="305"/>
      <c r="Z562" s="305"/>
      <c r="AD562" s="296"/>
      <c r="AE562" s="201"/>
      <c r="AF562" s="201"/>
      <c r="AG562" s="201"/>
      <c r="AH562" s="201"/>
      <c r="AI562" s="201"/>
      <c r="AJ562" s="201"/>
      <c r="AK562" s="201"/>
      <c r="AL562" s="201"/>
    </row>
    <row r="563">
      <c r="A563" s="187"/>
      <c r="B563" s="188"/>
      <c r="C563" s="236"/>
      <c r="D563" s="187"/>
      <c r="E563" s="187"/>
      <c r="F563" s="187"/>
      <c r="G563" s="185"/>
      <c r="H563" s="185"/>
      <c r="I563" s="185"/>
      <c r="J563" s="298"/>
      <c r="K563" s="283"/>
      <c r="L563" s="299"/>
      <c r="M563" s="300"/>
      <c r="N563" s="301"/>
      <c r="O563" s="302"/>
      <c r="P563" s="302"/>
      <c r="S563" s="305"/>
      <c r="T563" s="305"/>
      <c r="U563" s="306"/>
      <c r="V563" s="305"/>
      <c r="W563" s="305"/>
      <c r="X563" s="305"/>
      <c r="Y563" s="305"/>
      <c r="Z563" s="305"/>
      <c r="AD563" s="296"/>
      <c r="AE563" s="201"/>
      <c r="AF563" s="201"/>
      <c r="AG563" s="201"/>
      <c r="AH563" s="201"/>
      <c r="AI563" s="201"/>
      <c r="AJ563" s="201"/>
      <c r="AK563" s="201"/>
      <c r="AL563" s="201"/>
    </row>
    <row r="564">
      <c r="A564" s="187"/>
      <c r="B564" s="188"/>
      <c r="C564" s="236"/>
      <c r="D564" s="187"/>
      <c r="E564" s="187"/>
      <c r="F564" s="187"/>
      <c r="G564" s="185"/>
      <c r="H564" s="185"/>
      <c r="I564" s="185"/>
      <c r="J564" s="298"/>
      <c r="K564" s="283"/>
      <c r="L564" s="299"/>
      <c r="M564" s="300"/>
      <c r="N564" s="301"/>
      <c r="O564" s="302"/>
      <c r="P564" s="302"/>
      <c r="S564" s="305"/>
      <c r="T564" s="305"/>
      <c r="U564" s="306"/>
      <c r="V564" s="305"/>
      <c r="W564" s="305"/>
      <c r="X564" s="305"/>
      <c r="Y564" s="305"/>
      <c r="Z564" s="305"/>
      <c r="AD564" s="296"/>
      <c r="AE564" s="201"/>
      <c r="AF564" s="201"/>
      <c r="AG564" s="201"/>
      <c r="AH564" s="201"/>
      <c r="AI564" s="201"/>
      <c r="AJ564" s="201"/>
      <c r="AK564" s="201"/>
      <c r="AL564" s="201"/>
    </row>
    <row r="565">
      <c r="A565" s="187"/>
      <c r="B565" s="188"/>
      <c r="C565" s="236"/>
      <c r="D565" s="187"/>
      <c r="E565" s="187"/>
      <c r="F565" s="187"/>
      <c r="G565" s="185"/>
      <c r="H565" s="185"/>
      <c r="I565" s="185"/>
      <c r="J565" s="298"/>
      <c r="K565" s="283"/>
      <c r="L565" s="299"/>
      <c r="M565" s="300"/>
      <c r="N565" s="301"/>
      <c r="O565" s="302"/>
      <c r="P565" s="302"/>
      <c r="S565" s="305"/>
      <c r="T565" s="305"/>
      <c r="U565" s="306"/>
      <c r="V565" s="305"/>
      <c r="W565" s="305"/>
      <c r="X565" s="305"/>
      <c r="Y565" s="305"/>
      <c r="Z565" s="305"/>
      <c r="AD565" s="296"/>
      <c r="AE565" s="201"/>
      <c r="AF565" s="201"/>
      <c r="AG565" s="201"/>
      <c r="AH565" s="201"/>
      <c r="AI565" s="201"/>
      <c r="AJ565" s="201"/>
      <c r="AK565" s="201"/>
      <c r="AL565" s="201"/>
    </row>
    <row r="566">
      <c r="A566" s="187"/>
      <c r="B566" s="188"/>
      <c r="C566" s="236"/>
      <c r="D566" s="187"/>
      <c r="E566" s="187"/>
      <c r="F566" s="187"/>
      <c r="G566" s="185"/>
      <c r="H566" s="185"/>
      <c r="I566" s="185"/>
      <c r="J566" s="298"/>
      <c r="K566" s="283"/>
      <c r="L566" s="299"/>
      <c r="M566" s="300"/>
      <c r="N566" s="301"/>
      <c r="O566" s="302"/>
      <c r="P566" s="302"/>
      <c r="S566" s="305"/>
      <c r="T566" s="305"/>
      <c r="U566" s="306"/>
      <c r="V566" s="305"/>
      <c r="W566" s="305"/>
      <c r="X566" s="305"/>
      <c r="Y566" s="305"/>
      <c r="Z566" s="305"/>
      <c r="AD566" s="296"/>
      <c r="AE566" s="201"/>
      <c r="AF566" s="201"/>
      <c r="AG566" s="201"/>
      <c r="AH566" s="201"/>
      <c r="AI566" s="201"/>
      <c r="AJ566" s="201"/>
      <c r="AK566" s="201"/>
      <c r="AL566" s="201"/>
    </row>
    <row r="567">
      <c r="A567" s="187"/>
      <c r="B567" s="188"/>
      <c r="C567" s="236"/>
      <c r="D567" s="187"/>
      <c r="E567" s="187"/>
      <c r="F567" s="187"/>
      <c r="G567" s="185"/>
      <c r="H567" s="185"/>
      <c r="I567" s="185"/>
      <c r="J567" s="298"/>
      <c r="K567" s="283"/>
      <c r="L567" s="299"/>
      <c r="M567" s="300"/>
      <c r="N567" s="301"/>
      <c r="O567" s="302"/>
      <c r="P567" s="302"/>
      <c r="S567" s="305"/>
      <c r="T567" s="305"/>
      <c r="U567" s="306"/>
      <c r="V567" s="305"/>
      <c r="W567" s="305"/>
      <c r="X567" s="305"/>
      <c r="Y567" s="305"/>
      <c r="Z567" s="305"/>
      <c r="AD567" s="296"/>
      <c r="AE567" s="201"/>
      <c r="AF567" s="201"/>
      <c r="AG567" s="201"/>
      <c r="AH567" s="201"/>
      <c r="AI567" s="201"/>
      <c r="AJ567" s="201"/>
      <c r="AK567" s="201"/>
      <c r="AL567" s="201"/>
    </row>
    <row r="568">
      <c r="A568" s="187"/>
      <c r="B568" s="188"/>
      <c r="C568" s="236"/>
      <c r="D568" s="187"/>
      <c r="E568" s="187"/>
      <c r="F568" s="187"/>
      <c r="G568" s="185"/>
      <c r="H568" s="185"/>
      <c r="I568" s="185"/>
      <c r="J568" s="298"/>
      <c r="K568" s="283"/>
      <c r="L568" s="299"/>
      <c r="M568" s="300"/>
      <c r="N568" s="301"/>
      <c r="O568" s="302"/>
      <c r="P568" s="302"/>
      <c r="S568" s="305"/>
      <c r="T568" s="305"/>
      <c r="U568" s="306"/>
      <c r="V568" s="305"/>
      <c r="W568" s="305"/>
      <c r="X568" s="305"/>
      <c r="Y568" s="305"/>
      <c r="Z568" s="305"/>
      <c r="AD568" s="296"/>
      <c r="AE568" s="201"/>
      <c r="AF568" s="201"/>
      <c r="AG568" s="201"/>
      <c r="AH568" s="201"/>
      <c r="AI568" s="201"/>
      <c r="AJ568" s="201"/>
      <c r="AK568" s="201"/>
      <c r="AL568" s="201"/>
    </row>
    <row r="569">
      <c r="A569" s="187"/>
      <c r="B569" s="188"/>
      <c r="C569" s="236"/>
      <c r="D569" s="187"/>
      <c r="E569" s="187"/>
      <c r="F569" s="187"/>
      <c r="G569" s="185"/>
      <c r="H569" s="185"/>
      <c r="I569" s="185"/>
      <c r="J569" s="298"/>
      <c r="K569" s="283"/>
      <c r="L569" s="299"/>
      <c r="M569" s="300"/>
      <c r="N569" s="301"/>
      <c r="O569" s="302"/>
      <c r="P569" s="302"/>
      <c r="S569" s="305"/>
      <c r="T569" s="305"/>
      <c r="U569" s="306"/>
      <c r="V569" s="305"/>
      <c r="W569" s="305"/>
      <c r="X569" s="305"/>
      <c r="Y569" s="305"/>
      <c r="Z569" s="305"/>
      <c r="AD569" s="296"/>
      <c r="AE569" s="201"/>
      <c r="AF569" s="201"/>
      <c r="AG569" s="201"/>
      <c r="AH569" s="201"/>
      <c r="AI569" s="201"/>
      <c r="AJ569" s="201"/>
      <c r="AK569" s="201"/>
      <c r="AL569" s="201"/>
    </row>
    <row r="570">
      <c r="A570" s="187"/>
      <c r="B570" s="188"/>
      <c r="C570" s="236"/>
      <c r="D570" s="187"/>
      <c r="E570" s="187"/>
      <c r="F570" s="187"/>
      <c r="G570" s="185"/>
      <c r="H570" s="185"/>
      <c r="I570" s="185"/>
      <c r="J570" s="298"/>
      <c r="K570" s="283"/>
      <c r="L570" s="299"/>
      <c r="M570" s="300"/>
      <c r="N570" s="301"/>
      <c r="O570" s="302"/>
      <c r="P570" s="302"/>
      <c r="S570" s="305"/>
      <c r="T570" s="305"/>
      <c r="U570" s="306"/>
      <c r="V570" s="305"/>
      <c r="W570" s="305"/>
      <c r="X570" s="305"/>
      <c r="Y570" s="305"/>
      <c r="Z570" s="305"/>
      <c r="AD570" s="296"/>
      <c r="AE570" s="201"/>
      <c r="AF570" s="201"/>
      <c r="AG570" s="201"/>
      <c r="AH570" s="201"/>
      <c r="AI570" s="201"/>
      <c r="AJ570" s="201"/>
      <c r="AK570" s="201"/>
      <c r="AL570" s="201"/>
    </row>
    <row r="571">
      <c r="A571" s="187"/>
      <c r="B571" s="188"/>
      <c r="C571" s="236"/>
      <c r="D571" s="187"/>
      <c r="E571" s="187"/>
      <c r="F571" s="187"/>
      <c r="G571" s="185"/>
      <c r="H571" s="185"/>
      <c r="I571" s="185"/>
      <c r="J571" s="298"/>
      <c r="K571" s="283"/>
      <c r="L571" s="299"/>
      <c r="M571" s="300"/>
      <c r="N571" s="301"/>
      <c r="O571" s="302"/>
      <c r="P571" s="302"/>
      <c r="S571" s="305"/>
      <c r="T571" s="305"/>
      <c r="U571" s="306"/>
      <c r="V571" s="305"/>
      <c r="W571" s="305"/>
      <c r="X571" s="305"/>
      <c r="Y571" s="305"/>
      <c r="Z571" s="305"/>
      <c r="AD571" s="296"/>
      <c r="AE571" s="201"/>
      <c r="AF571" s="201"/>
      <c r="AG571" s="201"/>
      <c r="AH571" s="201"/>
      <c r="AI571" s="201"/>
      <c r="AJ571" s="201"/>
      <c r="AK571" s="201"/>
      <c r="AL571" s="201"/>
    </row>
    <row r="572">
      <c r="A572" s="187"/>
      <c r="B572" s="188"/>
      <c r="C572" s="236"/>
      <c r="D572" s="187"/>
      <c r="E572" s="187"/>
      <c r="F572" s="187"/>
      <c r="G572" s="185"/>
      <c r="H572" s="185"/>
      <c r="I572" s="185"/>
      <c r="J572" s="298"/>
      <c r="K572" s="283"/>
      <c r="L572" s="299"/>
      <c r="M572" s="300"/>
      <c r="N572" s="301"/>
      <c r="O572" s="302"/>
      <c r="P572" s="302"/>
      <c r="S572" s="305"/>
      <c r="T572" s="305"/>
      <c r="U572" s="306"/>
      <c r="V572" s="305"/>
      <c r="W572" s="305"/>
      <c r="X572" s="305"/>
      <c r="Y572" s="305"/>
      <c r="Z572" s="305"/>
      <c r="AD572" s="296"/>
      <c r="AE572" s="201"/>
      <c r="AF572" s="201"/>
      <c r="AG572" s="201"/>
      <c r="AH572" s="201"/>
      <c r="AI572" s="201"/>
      <c r="AJ572" s="201"/>
      <c r="AK572" s="201"/>
      <c r="AL572" s="201"/>
    </row>
    <row r="573">
      <c r="A573" s="187"/>
      <c r="B573" s="188"/>
      <c r="C573" s="236"/>
      <c r="D573" s="187"/>
      <c r="E573" s="187"/>
      <c r="F573" s="187"/>
      <c r="G573" s="185"/>
      <c r="H573" s="185"/>
      <c r="I573" s="185"/>
      <c r="J573" s="298"/>
      <c r="K573" s="283"/>
      <c r="L573" s="299"/>
      <c r="M573" s="300"/>
      <c r="N573" s="301"/>
      <c r="O573" s="302"/>
      <c r="P573" s="302"/>
      <c r="S573" s="305"/>
      <c r="T573" s="305"/>
      <c r="U573" s="306"/>
      <c r="V573" s="305"/>
      <c r="W573" s="305"/>
      <c r="X573" s="305"/>
      <c r="Y573" s="305"/>
      <c r="Z573" s="305"/>
      <c r="AD573" s="296"/>
      <c r="AE573" s="201"/>
      <c r="AF573" s="201"/>
      <c r="AG573" s="201"/>
      <c r="AH573" s="201"/>
      <c r="AI573" s="201"/>
      <c r="AJ573" s="201"/>
      <c r="AK573" s="201"/>
      <c r="AL573" s="201"/>
    </row>
    <row r="574">
      <c r="A574" s="187"/>
      <c r="B574" s="188"/>
      <c r="C574" s="236"/>
      <c r="D574" s="187"/>
      <c r="E574" s="187"/>
      <c r="F574" s="187"/>
      <c r="G574" s="185"/>
      <c r="H574" s="185"/>
      <c r="I574" s="185"/>
      <c r="J574" s="298"/>
      <c r="K574" s="283"/>
      <c r="L574" s="299"/>
      <c r="M574" s="300"/>
      <c r="N574" s="301"/>
      <c r="O574" s="302"/>
      <c r="P574" s="302"/>
      <c r="S574" s="305"/>
      <c r="T574" s="305"/>
      <c r="U574" s="306"/>
      <c r="V574" s="305"/>
      <c r="W574" s="305"/>
      <c r="X574" s="305"/>
      <c r="Y574" s="305"/>
      <c r="Z574" s="305"/>
      <c r="AD574" s="296"/>
      <c r="AE574" s="201"/>
      <c r="AF574" s="201"/>
      <c r="AG574" s="201"/>
      <c r="AH574" s="201"/>
      <c r="AI574" s="201"/>
      <c r="AJ574" s="201"/>
      <c r="AK574" s="201"/>
      <c r="AL574" s="201"/>
    </row>
    <row r="575">
      <c r="A575" s="187"/>
      <c r="B575" s="188"/>
      <c r="C575" s="236"/>
      <c r="D575" s="187"/>
      <c r="E575" s="187"/>
      <c r="F575" s="187"/>
      <c r="G575" s="185"/>
      <c r="H575" s="185"/>
      <c r="I575" s="185"/>
      <c r="J575" s="298"/>
      <c r="K575" s="283"/>
      <c r="L575" s="299"/>
      <c r="M575" s="300"/>
      <c r="N575" s="301"/>
      <c r="O575" s="302"/>
      <c r="P575" s="302"/>
      <c r="S575" s="305"/>
      <c r="T575" s="305"/>
      <c r="U575" s="306"/>
      <c r="V575" s="305"/>
      <c r="W575" s="305"/>
      <c r="X575" s="305"/>
      <c r="Y575" s="305"/>
      <c r="Z575" s="305"/>
      <c r="AD575" s="296"/>
      <c r="AE575" s="201"/>
      <c r="AF575" s="201"/>
      <c r="AG575" s="201"/>
      <c r="AH575" s="201"/>
      <c r="AI575" s="201"/>
      <c r="AJ575" s="201"/>
      <c r="AK575" s="201"/>
      <c r="AL575" s="201"/>
    </row>
    <row r="576">
      <c r="A576" s="187"/>
      <c r="B576" s="188"/>
      <c r="C576" s="236"/>
      <c r="D576" s="187"/>
      <c r="E576" s="187"/>
      <c r="F576" s="187"/>
      <c r="G576" s="185"/>
      <c r="H576" s="185"/>
      <c r="I576" s="185"/>
      <c r="J576" s="298"/>
      <c r="K576" s="283"/>
      <c r="L576" s="299"/>
      <c r="M576" s="300"/>
      <c r="N576" s="301"/>
      <c r="O576" s="302"/>
      <c r="P576" s="302"/>
      <c r="S576" s="305"/>
      <c r="T576" s="305"/>
      <c r="U576" s="306"/>
      <c r="V576" s="305"/>
      <c r="W576" s="305"/>
      <c r="X576" s="305"/>
      <c r="Y576" s="305"/>
      <c r="Z576" s="305"/>
      <c r="AD576" s="296"/>
      <c r="AE576" s="201"/>
      <c r="AF576" s="201"/>
      <c r="AG576" s="201"/>
      <c r="AH576" s="201"/>
      <c r="AI576" s="201"/>
      <c r="AJ576" s="201"/>
      <c r="AK576" s="201"/>
      <c r="AL576" s="201"/>
    </row>
    <row r="577">
      <c r="A577" s="187"/>
      <c r="B577" s="188"/>
      <c r="C577" s="236"/>
      <c r="D577" s="187"/>
      <c r="E577" s="187"/>
      <c r="F577" s="187"/>
      <c r="G577" s="185"/>
      <c r="H577" s="185"/>
      <c r="I577" s="185"/>
      <c r="J577" s="298"/>
      <c r="K577" s="283"/>
      <c r="L577" s="299"/>
      <c r="M577" s="300"/>
      <c r="N577" s="301"/>
      <c r="O577" s="302"/>
      <c r="P577" s="302"/>
      <c r="S577" s="305"/>
      <c r="T577" s="305"/>
      <c r="U577" s="306"/>
      <c r="V577" s="305"/>
      <c r="W577" s="305"/>
      <c r="X577" s="305"/>
      <c r="Y577" s="305"/>
      <c r="Z577" s="305"/>
      <c r="AD577" s="296"/>
      <c r="AE577" s="201"/>
      <c r="AF577" s="201"/>
      <c r="AG577" s="201"/>
      <c r="AH577" s="201"/>
      <c r="AI577" s="201"/>
      <c r="AJ577" s="201"/>
      <c r="AK577" s="201"/>
      <c r="AL577" s="201"/>
    </row>
    <row r="578">
      <c r="A578" s="187"/>
      <c r="B578" s="188"/>
      <c r="C578" s="236"/>
      <c r="D578" s="187"/>
      <c r="E578" s="187"/>
      <c r="F578" s="187"/>
      <c r="G578" s="185"/>
      <c r="H578" s="185"/>
      <c r="I578" s="185"/>
      <c r="J578" s="298"/>
      <c r="K578" s="283"/>
      <c r="L578" s="299"/>
      <c r="M578" s="300"/>
      <c r="N578" s="301"/>
      <c r="O578" s="302"/>
      <c r="P578" s="302"/>
      <c r="S578" s="305"/>
      <c r="T578" s="305"/>
      <c r="U578" s="306"/>
      <c r="V578" s="305"/>
      <c r="W578" s="305"/>
      <c r="X578" s="305"/>
      <c r="Y578" s="305"/>
      <c r="Z578" s="305"/>
      <c r="AD578" s="296"/>
      <c r="AE578" s="201"/>
      <c r="AF578" s="201"/>
      <c r="AG578" s="201"/>
      <c r="AH578" s="201"/>
      <c r="AI578" s="201"/>
      <c r="AJ578" s="201"/>
      <c r="AK578" s="201"/>
      <c r="AL578" s="201"/>
    </row>
    <row r="579">
      <c r="A579" s="187"/>
      <c r="B579" s="188"/>
      <c r="C579" s="236"/>
      <c r="D579" s="187"/>
      <c r="E579" s="187"/>
      <c r="F579" s="187"/>
      <c r="G579" s="185"/>
      <c r="H579" s="185"/>
      <c r="I579" s="185"/>
      <c r="J579" s="298"/>
      <c r="K579" s="283"/>
      <c r="L579" s="299"/>
      <c r="M579" s="300"/>
      <c r="N579" s="301"/>
      <c r="O579" s="302"/>
      <c r="P579" s="302"/>
      <c r="S579" s="305"/>
      <c r="T579" s="305"/>
      <c r="U579" s="306"/>
      <c r="V579" s="305"/>
      <c r="W579" s="305"/>
      <c r="X579" s="305"/>
      <c r="Y579" s="305"/>
      <c r="Z579" s="305"/>
      <c r="AD579" s="296"/>
      <c r="AE579" s="201"/>
      <c r="AF579" s="201"/>
      <c r="AG579" s="201"/>
      <c r="AH579" s="201"/>
      <c r="AI579" s="201"/>
      <c r="AJ579" s="201"/>
      <c r="AK579" s="201"/>
      <c r="AL579" s="201"/>
    </row>
    <row r="580">
      <c r="A580" s="187"/>
      <c r="B580" s="188"/>
      <c r="C580" s="236"/>
      <c r="D580" s="187"/>
      <c r="E580" s="187"/>
      <c r="F580" s="187"/>
      <c r="G580" s="185"/>
      <c r="H580" s="185"/>
      <c r="I580" s="185"/>
      <c r="J580" s="298"/>
      <c r="K580" s="283"/>
      <c r="L580" s="299"/>
      <c r="M580" s="300"/>
      <c r="N580" s="301"/>
      <c r="O580" s="302"/>
      <c r="P580" s="302"/>
      <c r="S580" s="305"/>
      <c r="T580" s="305"/>
      <c r="U580" s="306"/>
      <c r="V580" s="305"/>
      <c r="W580" s="305"/>
      <c r="X580" s="305"/>
      <c r="Y580" s="305"/>
      <c r="Z580" s="305"/>
      <c r="AD580" s="296"/>
      <c r="AE580" s="201"/>
      <c r="AF580" s="201"/>
      <c r="AG580" s="201"/>
      <c r="AH580" s="201"/>
      <c r="AI580" s="201"/>
      <c r="AJ580" s="201"/>
      <c r="AK580" s="201"/>
      <c r="AL580" s="201"/>
    </row>
    <row r="581">
      <c r="A581" s="187"/>
      <c r="B581" s="188"/>
      <c r="C581" s="236"/>
      <c r="D581" s="187"/>
      <c r="E581" s="187"/>
      <c r="F581" s="187"/>
      <c r="G581" s="185"/>
      <c r="H581" s="185"/>
      <c r="I581" s="185"/>
      <c r="J581" s="298"/>
      <c r="K581" s="283"/>
      <c r="L581" s="299"/>
      <c r="M581" s="300"/>
      <c r="N581" s="301"/>
      <c r="O581" s="302"/>
      <c r="P581" s="302"/>
      <c r="S581" s="305"/>
      <c r="T581" s="305"/>
      <c r="U581" s="306"/>
      <c r="V581" s="305"/>
      <c r="W581" s="305"/>
      <c r="X581" s="305"/>
      <c r="Y581" s="305"/>
      <c r="Z581" s="305"/>
      <c r="AD581" s="296"/>
      <c r="AE581" s="201"/>
      <c r="AF581" s="201"/>
      <c r="AG581" s="201"/>
      <c r="AH581" s="201"/>
      <c r="AI581" s="201"/>
      <c r="AJ581" s="201"/>
      <c r="AK581" s="201"/>
      <c r="AL581" s="201"/>
    </row>
    <row r="582">
      <c r="A582" s="187"/>
      <c r="B582" s="188"/>
      <c r="C582" s="236"/>
      <c r="D582" s="187"/>
      <c r="E582" s="187"/>
      <c r="F582" s="187"/>
      <c r="G582" s="185"/>
      <c r="H582" s="185"/>
      <c r="I582" s="185"/>
      <c r="J582" s="298"/>
      <c r="K582" s="283"/>
      <c r="L582" s="299"/>
      <c r="M582" s="300"/>
      <c r="N582" s="301"/>
      <c r="O582" s="302"/>
      <c r="P582" s="302"/>
      <c r="S582" s="305"/>
      <c r="T582" s="305"/>
      <c r="U582" s="306"/>
      <c r="V582" s="305"/>
      <c r="W582" s="305"/>
      <c r="X582" s="305"/>
      <c r="Y582" s="305"/>
      <c r="Z582" s="305"/>
      <c r="AD582" s="296"/>
      <c r="AE582" s="201"/>
      <c r="AF582" s="201"/>
      <c r="AG582" s="201"/>
      <c r="AH582" s="201"/>
      <c r="AI582" s="201"/>
      <c r="AJ582" s="201"/>
      <c r="AK582" s="201"/>
      <c r="AL582" s="201"/>
    </row>
    <row r="583">
      <c r="A583" s="187"/>
      <c r="B583" s="188"/>
      <c r="C583" s="236"/>
      <c r="D583" s="187"/>
      <c r="E583" s="187"/>
      <c r="F583" s="187"/>
      <c r="G583" s="185"/>
      <c r="H583" s="185"/>
      <c r="I583" s="185"/>
      <c r="J583" s="298"/>
      <c r="K583" s="283"/>
      <c r="L583" s="299"/>
      <c r="M583" s="300"/>
      <c r="N583" s="301"/>
      <c r="O583" s="302"/>
      <c r="P583" s="302"/>
      <c r="S583" s="305"/>
      <c r="T583" s="305"/>
      <c r="U583" s="306"/>
      <c r="V583" s="305"/>
      <c r="W583" s="305"/>
      <c r="X583" s="305"/>
      <c r="Y583" s="305"/>
      <c r="Z583" s="305"/>
      <c r="AD583" s="296"/>
      <c r="AE583" s="201"/>
      <c r="AF583" s="201"/>
      <c r="AG583" s="201"/>
      <c r="AH583" s="201"/>
      <c r="AI583" s="201"/>
      <c r="AJ583" s="201"/>
      <c r="AK583" s="201"/>
      <c r="AL583" s="201"/>
    </row>
    <row r="584">
      <c r="A584" s="187"/>
      <c r="B584" s="188"/>
      <c r="C584" s="236"/>
      <c r="D584" s="187"/>
      <c r="E584" s="187"/>
      <c r="F584" s="187"/>
      <c r="G584" s="185"/>
      <c r="H584" s="185"/>
      <c r="I584" s="185"/>
      <c r="J584" s="298"/>
      <c r="K584" s="283"/>
      <c r="L584" s="299"/>
      <c r="M584" s="300"/>
      <c r="N584" s="301"/>
      <c r="O584" s="302"/>
      <c r="P584" s="302"/>
      <c r="S584" s="305"/>
      <c r="T584" s="305"/>
      <c r="U584" s="306"/>
      <c r="V584" s="305"/>
      <c r="W584" s="305"/>
      <c r="X584" s="305"/>
      <c r="Y584" s="305"/>
      <c r="Z584" s="305"/>
      <c r="AD584" s="296"/>
      <c r="AE584" s="201"/>
      <c r="AF584" s="201"/>
      <c r="AG584" s="201"/>
      <c r="AH584" s="201"/>
      <c r="AI584" s="201"/>
      <c r="AJ584" s="201"/>
      <c r="AK584" s="201"/>
      <c r="AL584" s="201"/>
    </row>
    <row r="585">
      <c r="A585" s="187"/>
      <c r="B585" s="188"/>
      <c r="C585" s="236"/>
      <c r="D585" s="187"/>
      <c r="E585" s="187"/>
      <c r="F585" s="187"/>
      <c r="G585" s="185"/>
      <c r="H585" s="185"/>
      <c r="I585" s="185"/>
      <c r="J585" s="298"/>
      <c r="K585" s="283"/>
      <c r="L585" s="299"/>
      <c r="M585" s="300"/>
      <c r="N585" s="301"/>
      <c r="O585" s="302"/>
      <c r="P585" s="302"/>
      <c r="S585" s="305"/>
      <c r="T585" s="305"/>
      <c r="U585" s="306"/>
      <c r="V585" s="305"/>
      <c r="W585" s="305"/>
      <c r="X585" s="305"/>
      <c r="Y585" s="305"/>
      <c r="Z585" s="305"/>
      <c r="AD585" s="296"/>
      <c r="AE585" s="201"/>
      <c r="AF585" s="201"/>
      <c r="AG585" s="201"/>
      <c r="AH585" s="201"/>
      <c r="AI585" s="201"/>
      <c r="AJ585" s="201"/>
      <c r="AK585" s="201"/>
      <c r="AL585" s="201"/>
    </row>
    <row r="586">
      <c r="A586" s="187"/>
      <c r="B586" s="188"/>
      <c r="C586" s="236"/>
      <c r="D586" s="187"/>
      <c r="E586" s="187"/>
      <c r="F586" s="187"/>
      <c r="G586" s="185"/>
      <c r="H586" s="185"/>
      <c r="I586" s="185"/>
      <c r="J586" s="298"/>
      <c r="K586" s="283"/>
      <c r="L586" s="299"/>
      <c r="M586" s="300"/>
      <c r="N586" s="301"/>
      <c r="O586" s="302"/>
      <c r="P586" s="302"/>
      <c r="S586" s="305"/>
      <c r="T586" s="305"/>
      <c r="U586" s="306"/>
      <c r="V586" s="305"/>
      <c r="W586" s="305"/>
      <c r="X586" s="305"/>
      <c r="Y586" s="305"/>
      <c r="Z586" s="305"/>
      <c r="AD586" s="296"/>
      <c r="AE586" s="201"/>
      <c r="AF586" s="201"/>
      <c r="AG586" s="201"/>
      <c r="AH586" s="201"/>
      <c r="AI586" s="201"/>
      <c r="AJ586" s="201"/>
      <c r="AK586" s="201"/>
      <c r="AL586" s="201"/>
    </row>
    <row r="587">
      <c r="A587" s="187"/>
      <c r="B587" s="188"/>
      <c r="C587" s="236"/>
      <c r="D587" s="187"/>
      <c r="E587" s="187"/>
      <c r="F587" s="187"/>
      <c r="G587" s="185"/>
      <c r="H587" s="185"/>
      <c r="I587" s="185"/>
      <c r="J587" s="298"/>
      <c r="K587" s="283"/>
      <c r="L587" s="299"/>
      <c r="M587" s="300"/>
      <c r="N587" s="301"/>
      <c r="O587" s="302"/>
      <c r="P587" s="302"/>
      <c r="S587" s="305"/>
      <c r="T587" s="305"/>
      <c r="U587" s="306"/>
      <c r="V587" s="305"/>
      <c r="W587" s="305"/>
      <c r="X587" s="305"/>
      <c r="Y587" s="305"/>
      <c r="Z587" s="305"/>
      <c r="AD587" s="296"/>
      <c r="AE587" s="201"/>
      <c r="AF587" s="201"/>
      <c r="AG587" s="201"/>
      <c r="AH587" s="201"/>
      <c r="AI587" s="201"/>
      <c r="AJ587" s="201"/>
      <c r="AK587" s="201"/>
      <c r="AL587" s="201"/>
    </row>
    <row r="588">
      <c r="A588" s="187"/>
      <c r="B588" s="188"/>
      <c r="C588" s="236"/>
      <c r="D588" s="187"/>
      <c r="E588" s="187"/>
      <c r="F588" s="187"/>
      <c r="G588" s="185"/>
      <c r="H588" s="185"/>
      <c r="I588" s="185"/>
      <c r="J588" s="298"/>
      <c r="K588" s="283"/>
      <c r="L588" s="299"/>
      <c r="M588" s="300"/>
      <c r="N588" s="301"/>
      <c r="O588" s="302"/>
      <c r="P588" s="302"/>
      <c r="S588" s="305"/>
      <c r="T588" s="305"/>
      <c r="U588" s="306"/>
      <c r="V588" s="305"/>
      <c r="W588" s="305"/>
      <c r="X588" s="305"/>
      <c r="Y588" s="305"/>
      <c r="Z588" s="305"/>
      <c r="AD588" s="296"/>
      <c r="AE588" s="201"/>
      <c r="AF588" s="201"/>
      <c r="AG588" s="201"/>
      <c r="AH588" s="201"/>
      <c r="AI588" s="201"/>
      <c r="AJ588" s="201"/>
      <c r="AK588" s="201"/>
      <c r="AL588" s="201"/>
    </row>
    <row r="589">
      <c r="A589" s="187"/>
      <c r="B589" s="188"/>
      <c r="C589" s="236"/>
      <c r="D589" s="187"/>
      <c r="E589" s="187"/>
      <c r="F589" s="187"/>
      <c r="G589" s="185"/>
      <c r="H589" s="185"/>
      <c r="I589" s="185"/>
      <c r="J589" s="298"/>
      <c r="K589" s="283"/>
      <c r="L589" s="299"/>
      <c r="M589" s="300"/>
      <c r="N589" s="301"/>
      <c r="O589" s="302"/>
      <c r="P589" s="302"/>
      <c r="S589" s="305"/>
      <c r="T589" s="305"/>
      <c r="U589" s="306"/>
      <c r="V589" s="305"/>
      <c r="W589" s="305"/>
      <c r="X589" s="305"/>
      <c r="Y589" s="305"/>
      <c r="Z589" s="305"/>
      <c r="AD589" s="296"/>
      <c r="AE589" s="201"/>
      <c r="AF589" s="201"/>
      <c r="AG589" s="201"/>
      <c r="AH589" s="201"/>
      <c r="AI589" s="201"/>
      <c r="AJ589" s="201"/>
      <c r="AK589" s="201"/>
      <c r="AL589" s="201"/>
    </row>
    <row r="590">
      <c r="A590" s="187"/>
      <c r="B590" s="188"/>
      <c r="C590" s="236"/>
      <c r="D590" s="187"/>
      <c r="E590" s="187"/>
      <c r="F590" s="187"/>
      <c r="G590" s="185"/>
      <c r="H590" s="185"/>
      <c r="I590" s="185"/>
      <c r="J590" s="298"/>
      <c r="K590" s="283"/>
      <c r="L590" s="299"/>
      <c r="M590" s="300"/>
      <c r="N590" s="301"/>
      <c r="O590" s="302"/>
      <c r="P590" s="302"/>
      <c r="S590" s="305"/>
      <c r="T590" s="305"/>
      <c r="U590" s="306"/>
      <c r="V590" s="305"/>
      <c r="W590" s="305"/>
      <c r="X590" s="305"/>
      <c r="Y590" s="305"/>
      <c r="Z590" s="305"/>
      <c r="AD590" s="296"/>
      <c r="AE590" s="201"/>
      <c r="AF590" s="201"/>
      <c r="AG590" s="201"/>
      <c r="AH590" s="201"/>
      <c r="AI590" s="201"/>
      <c r="AJ590" s="201"/>
      <c r="AK590" s="201"/>
      <c r="AL590" s="201"/>
    </row>
    <row r="591">
      <c r="A591" s="187"/>
      <c r="B591" s="188"/>
      <c r="C591" s="236"/>
      <c r="D591" s="187"/>
      <c r="E591" s="187"/>
      <c r="F591" s="187"/>
      <c r="G591" s="185"/>
      <c r="H591" s="185"/>
      <c r="I591" s="185"/>
      <c r="J591" s="298"/>
      <c r="K591" s="283"/>
      <c r="L591" s="299"/>
      <c r="M591" s="300"/>
      <c r="N591" s="301"/>
      <c r="O591" s="302"/>
      <c r="P591" s="302"/>
      <c r="S591" s="305"/>
      <c r="T591" s="305"/>
      <c r="U591" s="306"/>
      <c r="V591" s="305"/>
      <c r="W591" s="305"/>
      <c r="X591" s="305"/>
      <c r="Y591" s="305"/>
      <c r="Z591" s="305"/>
      <c r="AD591" s="296"/>
      <c r="AE591" s="201"/>
      <c r="AF591" s="201"/>
      <c r="AG591" s="201"/>
      <c r="AH591" s="201"/>
      <c r="AI591" s="201"/>
      <c r="AJ591" s="201"/>
      <c r="AK591" s="201"/>
      <c r="AL591" s="201"/>
    </row>
    <row r="592">
      <c r="A592" s="187"/>
      <c r="B592" s="188"/>
      <c r="C592" s="236"/>
      <c r="D592" s="187"/>
      <c r="E592" s="187"/>
      <c r="F592" s="187"/>
      <c r="G592" s="185"/>
      <c r="H592" s="185"/>
      <c r="I592" s="185"/>
      <c r="J592" s="298"/>
      <c r="K592" s="283"/>
      <c r="L592" s="299"/>
      <c r="M592" s="300"/>
      <c r="N592" s="301"/>
      <c r="O592" s="302"/>
      <c r="P592" s="302"/>
      <c r="S592" s="305"/>
      <c r="T592" s="305"/>
      <c r="U592" s="306"/>
      <c r="V592" s="305"/>
      <c r="W592" s="305"/>
      <c r="X592" s="305"/>
      <c r="Y592" s="305"/>
      <c r="Z592" s="305"/>
      <c r="AD592" s="296"/>
      <c r="AE592" s="201"/>
      <c r="AF592" s="201"/>
      <c r="AG592" s="201"/>
      <c r="AH592" s="201"/>
      <c r="AI592" s="201"/>
      <c r="AJ592" s="201"/>
      <c r="AK592" s="201"/>
      <c r="AL592" s="201"/>
    </row>
    <row r="593">
      <c r="A593" s="187"/>
      <c r="B593" s="188"/>
      <c r="C593" s="236"/>
      <c r="D593" s="187"/>
      <c r="E593" s="187"/>
      <c r="F593" s="187"/>
      <c r="G593" s="185"/>
      <c r="H593" s="185"/>
      <c r="I593" s="185"/>
      <c r="J593" s="298"/>
      <c r="K593" s="283"/>
      <c r="L593" s="299"/>
      <c r="M593" s="300"/>
      <c r="N593" s="301"/>
      <c r="O593" s="302"/>
      <c r="P593" s="302"/>
      <c r="S593" s="305"/>
      <c r="T593" s="305"/>
      <c r="U593" s="306"/>
      <c r="V593" s="305"/>
      <c r="W593" s="305"/>
      <c r="X593" s="305"/>
      <c r="Y593" s="305"/>
      <c r="Z593" s="305"/>
      <c r="AD593" s="296"/>
      <c r="AE593" s="201"/>
      <c r="AF593" s="201"/>
      <c r="AG593" s="201"/>
      <c r="AH593" s="201"/>
      <c r="AI593" s="201"/>
      <c r="AJ593" s="201"/>
      <c r="AK593" s="201"/>
      <c r="AL593" s="201"/>
    </row>
    <row r="594">
      <c r="A594" s="187"/>
      <c r="B594" s="188"/>
      <c r="C594" s="236"/>
      <c r="D594" s="187"/>
      <c r="E594" s="187"/>
      <c r="F594" s="187"/>
      <c r="G594" s="185"/>
      <c r="H594" s="185"/>
      <c r="I594" s="185"/>
      <c r="J594" s="298"/>
      <c r="K594" s="283"/>
      <c r="L594" s="299"/>
      <c r="M594" s="300"/>
      <c r="N594" s="301"/>
      <c r="O594" s="302"/>
      <c r="P594" s="302"/>
      <c r="S594" s="305"/>
      <c r="T594" s="305"/>
      <c r="U594" s="306"/>
      <c r="V594" s="305"/>
      <c r="W594" s="305"/>
      <c r="X594" s="305"/>
      <c r="Y594" s="305"/>
      <c r="Z594" s="305"/>
      <c r="AD594" s="296"/>
      <c r="AE594" s="201"/>
      <c r="AF594" s="201"/>
      <c r="AG594" s="201"/>
      <c r="AH594" s="201"/>
      <c r="AI594" s="201"/>
      <c r="AJ594" s="201"/>
      <c r="AK594" s="201"/>
      <c r="AL594" s="201"/>
    </row>
    <row r="595">
      <c r="A595" s="187"/>
      <c r="B595" s="188"/>
      <c r="C595" s="236"/>
      <c r="D595" s="187"/>
      <c r="E595" s="187"/>
      <c r="F595" s="187"/>
      <c r="G595" s="185"/>
      <c r="H595" s="185"/>
      <c r="I595" s="185"/>
      <c r="J595" s="298"/>
      <c r="K595" s="283"/>
      <c r="L595" s="299"/>
      <c r="M595" s="300"/>
      <c r="N595" s="301"/>
      <c r="O595" s="302"/>
      <c r="P595" s="302"/>
      <c r="S595" s="305"/>
      <c r="T595" s="305"/>
      <c r="U595" s="306"/>
      <c r="V595" s="305"/>
      <c r="W595" s="305"/>
      <c r="X595" s="305"/>
      <c r="Y595" s="305"/>
      <c r="Z595" s="305"/>
      <c r="AD595" s="296"/>
      <c r="AE595" s="201"/>
      <c r="AF595" s="201"/>
      <c r="AG595" s="201"/>
      <c r="AH595" s="201"/>
      <c r="AI595" s="201"/>
      <c r="AJ595" s="201"/>
      <c r="AK595" s="201"/>
      <c r="AL595" s="201"/>
    </row>
    <row r="596">
      <c r="A596" s="187"/>
      <c r="B596" s="188"/>
      <c r="C596" s="236"/>
      <c r="D596" s="187"/>
      <c r="E596" s="187"/>
      <c r="F596" s="187"/>
      <c r="G596" s="185"/>
      <c r="H596" s="185"/>
      <c r="I596" s="185"/>
      <c r="J596" s="298"/>
      <c r="K596" s="283"/>
      <c r="L596" s="299"/>
      <c r="M596" s="300"/>
      <c r="N596" s="301"/>
      <c r="O596" s="302"/>
      <c r="P596" s="302"/>
      <c r="S596" s="305"/>
      <c r="T596" s="305"/>
      <c r="U596" s="306"/>
      <c r="V596" s="305"/>
      <c r="W596" s="305"/>
      <c r="X596" s="305"/>
      <c r="Y596" s="305"/>
      <c r="Z596" s="305"/>
      <c r="AD596" s="296"/>
      <c r="AE596" s="201"/>
      <c r="AF596" s="201"/>
      <c r="AG596" s="201"/>
      <c r="AH596" s="201"/>
      <c r="AI596" s="201"/>
      <c r="AJ596" s="201"/>
      <c r="AK596" s="201"/>
      <c r="AL596" s="201"/>
    </row>
    <row r="597">
      <c r="A597" s="187"/>
      <c r="B597" s="188"/>
      <c r="C597" s="236"/>
      <c r="D597" s="187"/>
      <c r="E597" s="187"/>
      <c r="F597" s="187"/>
      <c r="G597" s="185"/>
      <c r="H597" s="185"/>
      <c r="I597" s="185"/>
      <c r="J597" s="298"/>
      <c r="K597" s="283"/>
      <c r="L597" s="299"/>
      <c r="M597" s="300"/>
      <c r="N597" s="301"/>
      <c r="O597" s="302"/>
      <c r="P597" s="302"/>
      <c r="S597" s="305"/>
      <c r="T597" s="305"/>
      <c r="U597" s="306"/>
      <c r="V597" s="305"/>
      <c r="W597" s="305"/>
      <c r="X597" s="305"/>
      <c r="Y597" s="305"/>
      <c r="Z597" s="305"/>
      <c r="AD597" s="296"/>
      <c r="AE597" s="201"/>
      <c r="AF597" s="201"/>
      <c r="AG597" s="201"/>
      <c r="AH597" s="201"/>
      <c r="AI597" s="201"/>
      <c r="AJ597" s="201"/>
      <c r="AK597" s="201"/>
      <c r="AL597" s="201"/>
    </row>
    <row r="598">
      <c r="A598" s="187"/>
      <c r="B598" s="188"/>
      <c r="C598" s="236"/>
      <c r="D598" s="187"/>
      <c r="E598" s="187"/>
      <c r="F598" s="187"/>
      <c r="G598" s="185"/>
      <c r="H598" s="185"/>
      <c r="I598" s="185"/>
      <c r="J598" s="298"/>
      <c r="K598" s="283"/>
      <c r="L598" s="299"/>
      <c r="M598" s="300"/>
      <c r="N598" s="301"/>
      <c r="O598" s="302"/>
      <c r="P598" s="302"/>
      <c r="S598" s="305"/>
      <c r="T598" s="305"/>
      <c r="U598" s="306"/>
      <c r="V598" s="305"/>
      <c r="W598" s="305"/>
      <c r="X598" s="305"/>
      <c r="Y598" s="305"/>
      <c r="Z598" s="305"/>
      <c r="AD598" s="296"/>
      <c r="AE598" s="201"/>
      <c r="AF598" s="201"/>
      <c r="AG598" s="201"/>
      <c r="AH598" s="201"/>
      <c r="AI598" s="201"/>
      <c r="AJ598" s="201"/>
      <c r="AK598" s="201"/>
      <c r="AL598" s="201"/>
    </row>
    <row r="599">
      <c r="A599" s="187"/>
      <c r="B599" s="188"/>
      <c r="C599" s="236"/>
      <c r="D599" s="187"/>
      <c r="E599" s="187"/>
      <c r="F599" s="187"/>
      <c r="G599" s="185"/>
      <c r="H599" s="185"/>
      <c r="I599" s="185"/>
      <c r="J599" s="298"/>
      <c r="K599" s="283"/>
      <c r="L599" s="299"/>
      <c r="M599" s="300"/>
      <c r="N599" s="301"/>
      <c r="O599" s="302"/>
      <c r="P599" s="302"/>
      <c r="S599" s="305"/>
      <c r="T599" s="305"/>
      <c r="U599" s="306"/>
      <c r="V599" s="305"/>
      <c r="W599" s="305"/>
      <c r="X599" s="305"/>
      <c r="Y599" s="305"/>
      <c r="Z599" s="305"/>
      <c r="AD599" s="296"/>
      <c r="AE599" s="201"/>
      <c r="AF599" s="201"/>
      <c r="AG599" s="201"/>
      <c r="AH599" s="201"/>
      <c r="AI599" s="201"/>
      <c r="AJ599" s="201"/>
      <c r="AK599" s="201"/>
      <c r="AL599" s="201"/>
    </row>
    <row r="600">
      <c r="A600" s="187"/>
      <c r="B600" s="188"/>
      <c r="C600" s="236"/>
      <c r="D600" s="187"/>
      <c r="E600" s="187"/>
      <c r="F600" s="187"/>
      <c r="G600" s="185"/>
      <c r="H600" s="185"/>
      <c r="I600" s="185"/>
      <c r="J600" s="298"/>
      <c r="K600" s="283"/>
      <c r="L600" s="299"/>
      <c r="M600" s="300"/>
      <c r="N600" s="301"/>
      <c r="O600" s="302"/>
      <c r="P600" s="302"/>
      <c r="S600" s="305"/>
      <c r="T600" s="305"/>
      <c r="U600" s="306"/>
      <c r="V600" s="305"/>
      <c r="W600" s="305"/>
      <c r="X600" s="305"/>
      <c r="Y600" s="305"/>
      <c r="Z600" s="305"/>
      <c r="AD600" s="296"/>
      <c r="AE600" s="201"/>
      <c r="AF600" s="201"/>
      <c r="AG600" s="201"/>
      <c r="AH600" s="201"/>
      <c r="AI600" s="201"/>
      <c r="AJ600" s="201"/>
      <c r="AK600" s="201"/>
      <c r="AL600" s="201"/>
    </row>
    <row r="601">
      <c r="A601" s="187"/>
      <c r="B601" s="188"/>
      <c r="C601" s="236"/>
      <c r="D601" s="187"/>
      <c r="E601" s="187"/>
      <c r="F601" s="187"/>
      <c r="G601" s="185"/>
      <c r="H601" s="185"/>
      <c r="I601" s="185"/>
      <c r="J601" s="298"/>
      <c r="K601" s="283"/>
      <c r="L601" s="299"/>
      <c r="M601" s="300"/>
      <c r="N601" s="301"/>
      <c r="O601" s="302"/>
      <c r="P601" s="302"/>
      <c r="S601" s="305"/>
      <c r="T601" s="305"/>
      <c r="U601" s="306"/>
      <c r="V601" s="305"/>
      <c r="W601" s="305"/>
      <c r="X601" s="305"/>
      <c r="Y601" s="305"/>
      <c r="Z601" s="305"/>
      <c r="AD601" s="296"/>
      <c r="AE601" s="201"/>
      <c r="AF601" s="201"/>
      <c r="AG601" s="201"/>
      <c r="AH601" s="201"/>
      <c r="AI601" s="201"/>
      <c r="AJ601" s="201"/>
      <c r="AK601" s="201"/>
      <c r="AL601" s="201"/>
    </row>
    <row r="602">
      <c r="A602" s="187"/>
      <c r="B602" s="188"/>
      <c r="C602" s="236"/>
      <c r="D602" s="187"/>
      <c r="E602" s="187"/>
      <c r="F602" s="187"/>
      <c r="G602" s="185"/>
      <c r="H602" s="185"/>
      <c r="I602" s="185"/>
      <c r="J602" s="298"/>
      <c r="K602" s="283"/>
      <c r="L602" s="299"/>
      <c r="M602" s="300"/>
      <c r="N602" s="301"/>
      <c r="O602" s="302"/>
      <c r="P602" s="302"/>
      <c r="S602" s="305"/>
      <c r="T602" s="305"/>
      <c r="U602" s="306"/>
      <c r="V602" s="305"/>
      <c r="W602" s="305"/>
      <c r="X602" s="305"/>
      <c r="Y602" s="305"/>
      <c r="Z602" s="305"/>
      <c r="AD602" s="296"/>
      <c r="AE602" s="201"/>
      <c r="AF602" s="201"/>
      <c r="AG602" s="201"/>
      <c r="AH602" s="201"/>
      <c r="AI602" s="201"/>
      <c r="AJ602" s="201"/>
      <c r="AK602" s="201"/>
      <c r="AL602" s="201"/>
    </row>
    <row r="603">
      <c r="A603" s="187"/>
      <c r="B603" s="188"/>
      <c r="C603" s="236"/>
      <c r="D603" s="187"/>
      <c r="E603" s="187"/>
      <c r="F603" s="187"/>
      <c r="G603" s="185"/>
      <c r="H603" s="185"/>
      <c r="I603" s="185"/>
      <c r="J603" s="298"/>
      <c r="K603" s="283"/>
      <c r="L603" s="299"/>
      <c r="M603" s="300"/>
      <c r="N603" s="301"/>
      <c r="O603" s="302"/>
      <c r="P603" s="302"/>
      <c r="S603" s="305"/>
      <c r="T603" s="305"/>
      <c r="U603" s="306"/>
      <c r="V603" s="305"/>
      <c r="W603" s="305"/>
      <c r="X603" s="305"/>
      <c r="Y603" s="305"/>
      <c r="Z603" s="305"/>
      <c r="AD603" s="296"/>
      <c r="AE603" s="201"/>
      <c r="AF603" s="201"/>
      <c r="AG603" s="201"/>
      <c r="AH603" s="201"/>
      <c r="AI603" s="201"/>
      <c r="AJ603" s="201"/>
      <c r="AK603" s="201"/>
      <c r="AL603" s="201"/>
    </row>
    <row r="604">
      <c r="A604" s="187"/>
      <c r="B604" s="188"/>
      <c r="C604" s="236"/>
      <c r="D604" s="187"/>
      <c r="E604" s="187"/>
      <c r="F604" s="187"/>
      <c r="G604" s="185"/>
      <c r="H604" s="185"/>
      <c r="I604" s="185"/>
      <c r="J604" s="298"/>
      <c r="K604" s="283"/>
      <c r="L604" s="299"/>
      <c r="M604" s="300"/>
      <c r="N604" s="301"/>
      <c r="O604" s="302"/>
      <c r="P604" s="302"/>
      <c r="S604" s="305"/>
      <c r="T604" s="305"/>
      <c r="U604" s="306"/>
      <c r="V604" s="305"/>
      <c r="W604" s="305"/>
      <c r="X604" s="305"/>
      <c r="Y604" s="305"/>
      <c r="Z604" s="305"/>
      <c r="AD604" s="296"/>
      <c r="AE604" s="201"/>
      <c r="AF604" s="201"/>
      <c r="AG604" s="201"/>
      <c r="AH604" s="201"/>
      <c r="AI604" s="201"/>
      <c r="AJ604" s="201"/>
      <c r="AK604" s="201"/>
      <c r="AL604" s="201"/>
    </row>
    <row r="605">
      <c r="A605" s="187"/>
      <c r="B605" s="188"/>
      <c r="C605" s="236"/>
      <c r="D605" s="187"/>
      <c r="E605" s="187"/>
      <c r="F605" s="187"/>
      <c r="G605" s="185"/>
      <c r="H605" s="185"/>
      <c r="I605" s="185"/>
      <c r="J605" s="298"/>
      <c r="K605" s="283"/>
      <c r="L605" s="299"/>
      <c r="M605" s="300"/>
      <c r="N605" s="301"/>
      <c r="O605" s="302"/>
      <c r="P605" s="302"/>
      <c r="S605" s="305"/>
      <c r="T605" s="305"/>
      <c r="U605" s="306"/>
      <c r="V605" s="305"/>
      <c r="W605" s="305"/>
      <c r="X605" s="305"/>
      <c r="Y605" s="305"/>
      <c r="Z605" s="305"/>
      <c r="AD605" s="296"/>
      <c r="AE605" s="201"/>
      <c r="AF605" s="201"/>
      <c r="AG605" s="201"/>
      <c r="AH605" s="201"/>
      <c r="AI605" s="201"/>
      <c r="AJ605" s="201"/>
      <c r="AK605" s="201"/>
      <c r="AL605" s="201"/>
    </row>
    <row r="606">
      <c r="A606" s="187"/>
      <c r="B606" s="188"/>
      <c r="C606" s="236"/>
      <c r="D606" s="187"/>
      <c r="E606" s="187"/>
      <c r="F606" s="187"/>
      <c r="G606" s="185"/>
      <c r="H606" s="185"/>
      <c r="I606" s="185"/>
      <c r="J606" s="298"/>
      <c r="K606" s="283"/>
      <c r="L606" s="299"/>
      <c r="M606" s="300"/>
      <c r="N606" s="301"/>
      <c r="O606" s="302"/>
      <c r="P606" s="302"/>
      <c r="S606" s="305"/>
      <c r="T606" s="305"/>
      <c r="U606" s="306"/>
      <c r="V606" s="305"/>
      <c r="W606" s="305"/>
      <c r="X606" s="305"/>
      <c r="Y606" s="305"/>
      <c r="Z606" s="305"/>
      <c r="AD606" s="296"/>
      <c r="AE606" s="201"/>
      <c r="AF606" s="201"/>
      <c r="AG606" s="201"/>
      <c r="AH606" s="201"/>
      <c r="AI606" s="201"/>
      <c r="AJ606" s="201"/>
      <c r="AK606" s="201"/>
      <c r="AL606" s="201"/>
    </row>
    <row r="607">
      <c r="A607" s="187"/>
      <c r="B607" s="188"/>
      <c r="C607" s="236"/>
      <c r="D607" s="187"/>
      <c r="E607" s="187"/>
      <c r="F607" s="187"/>
      <c r="G607" s="185"/>
      <c r="H607" s="185"/>
      <c r="I607" s="185"/>
      <c r="J607" s="298"/>
      <c r="K607" s="283"/>
      <c r="L607" s="299"/>
      <c r="M607" s="300"/>
      <c r="N607" s="301"/>
      <c r="O607" s="302"/>
      <c r="P607" s="302"/>
      <c r="S607" s="305"/>
      <c r="T607" s="305"/>
      <c r="U607" s="306"/>
      <c r="V607" s="305"/>
      <c r="W607" s="305"/>
      <c r="X607" s="305"/>
      <c r="Y607" s="305"/>
      <c r="Z607" s="305"/>
      <c r="AD607" s="296"/>
      <c r="AE607" s="201"/>
      <c r="AF607" s="201"/>
      <c r="AG607" s="201"/>
      <c r="AH607" s="201"/>
      <c r="AI607" s="201"/>
      <c r="AJ607" s="201"/>
      <c r="AK607" s="201"/>
      <c r="AL607" s="201"/>
    </row>
    <row r="608">
      <c r="A608" s="187"/>
      <c r="B608" s="188"/>
      <c r="C608" s="236"/>
      <c r="D608" s="187"/>
      <c r="E608" s="187"/>
      <c r="F608" s="187"/>
      <c r="G608" s="185"/>
      <c r="H608" s="185"/>
      <c r="I608" s="185"/>
      <c r="J608" s="298"/>
      <c r="K608" s="283"/>
      <c r="L608" s="299"/>
      <c r="M608" s="300"/>
      <c r="N608" s="301"/>
      <c r="O608" s="302"/>
      <c r="P608" s="302"/>
      <c r="S608" s="305"/>
      <c r="T608" s="305"/>
      <c r="U608" s="306"/>
      <c r="V608" s="305"/>
      <c r="W608" s="305"/>
      <c r="X608" s="305"/>
      <c r="Y608" s="305"/>
      <c r="Z608" s="305"/>
      <c r="AD608" s="296"/>
      <c r="AE608" s="201"/>
      <c r="AF608" s="201"/>
      <c r="AG608" s="201"/>
      <c r="AH608" s="201"/>
      <c r="AI608" s="201"/>
      <c r="AJ608" s="201"/>
      <c r="AK608" s="201"/>
      <c r="AL608" s="201"/>
    </row>
    <row r="609">
      <c r="A609" s="187"/>
      <c r="B609" s="188"/>
      <c r="C609" s="236"/>
      <c r="D609" s="187"/>
      <c r="E609" s="187"/>
      <c r="F609" s="187"/>
      <c r="G609" s="185"/>
      <c r="H609" s="185"/>
      <c r="I609" s="185"/>
      <c r="J609" s="298"/>
      <c r="K609" s="283"/>
      <c r="L609" s="299"/>
      <c r="M609" s="300"/>
      <c r="N609" s="301"/>
      <c r="O609" s="302"/>
      <c r="P609" s="302"/>
      <c r="S609" s="305"/>
      <c r="T609" s="305"/>
      <c r="U609" s="306"/>
      <c r="V609" s="305"/>
      <c r="W609" s="305"/>
      <c r="X609" s="305"/>
      <c r="Y609" s="305"/>
      <c r="Z609" s="305"/>
      <c r="AD609" s="296"/>
      <c r="AE609" s="201"/>
      <c r="AF609" s="201"/>
      <c r="AG609" s="201"/>
      <c r="AH609" s="201"/>
      <c r="AI609" s="201"/>
      <c r="AJ609" s="201"/>
      <c r="AK609" s="201"/>
      <c r="AL609" s="201"/>
    </row>
    <row r="610">
      <c r="A610" s="187"/>
      <c r="B610" s="188"/>
      <c r="C610" s="236"/>
      <c r="D610" s="187"/>
      <c r="E610" s="187"/>
      <c r="F610" s="187"/>
      <c r="G610" s="185"/>
      <c r="H610" s="185"/>
      <c r="I610" s="185"/>
      <c r="J610" s="298"/>
      <c r="K610" s="283"/>
      <c r="L610" s="299"/>
      <c r="M610" s="300"/>
      <c r="N610" s="301"/>
      <c r="O610" s="302"/>
      <c r="P610" s="302"/>
      <c r="S610" s="305"/>
      <c r="T610" s="305"/>
      <c r="U610" s="306"/>
      <c r="V610" s="305"/>
      <c r="W610" s="305"/>
      <c r="X610" s="305"/>
      <c r="Y610" s="305"/>
      <c r="Z610" s="305"/>
      <c r="AD610" s="296"/>
      <c r="AE610" s="201"/>
      <c r="AF610" s="201"/>
      <c r="AG610" s="201"/>
      <c r="AH610" s="201"/>
      <c r="AI610" s="201"/>
      <c r="AJ610" s="201"/>
      <c r="AK610" s="201"/>
      <c r="AL610" s="201"/>
    </row>
    <row r="611">
      <c r="A611" s="187"/>
      <c r="B611" s="188"/>
      <c r="C611" s="236"/>
      <c r="D611" s="187"/>
      <c r="E611" s="187"/>
      <c r="F611" s="187"/>
      <c r="G611" s="185"/>
      <c r="H611" s="185"/>
      <c r="I611" s="185"/>
      <c r="J611" s="298"/>
      <c r="K611" s="283"/>
      <c r="L611" s="299"/>
      <c r="M611" s="300"/>
      <c r="N611" s="301"/>
      <c r="O611" s="302"/>
      <c r="P611" s="302"/>
      <c r="S611" s="305"/>
      <c r="T611" s="305"/>
      <c r="U611" s="306"/>
      <c r="V611" s="305"/>
      <c r="W611" s="305"/>
      <c r="X611" s="305"/>
      <c r="Y611" s="305"/>
      <c r="Z611" s="305"/>
      <c r="AD611" s="296"/>
      <c r="AE611" s="201"/>
      <c r="AF611" s="201"/>
      <c r="AG611" s="201"/>
      <c r="AH611" s="201"/>
      <c r="AI611" s="201"/>
      <c r="AJ611" s="201"/>
      <c r="AK611" s="201"/>
      <c r="AL611" s="201"/>
    </row>
    <row r="612">
      <c r="A612" s="187"/>
      <c r="B612" s="188"/>
      <c r="C612" s="236"/>
      <c r="D612" s="187"/>
      <c r="E612" s="187"/>
      <c r="F612" s="187"/>
      <c r="G612" s="185"/>
      <c r="H612" s="185"/>
      <c r="I612" s="185"/>
      <c r="J612" s="298"/>
      <c r="K612" s="283"/>
      <c r="L612" s="299"/>
      <c r="M612" s="300"/>
      <c r="N612" s="301"/>
      <c r="O612" s="302"/>
      <c r="P612" s="302"/>
      <c r="S612" s="305"/>
      <c r="T612" s="305"/>
      <c r="U612" s="306"/>
      <c r="V612" s="305"/>
      <c r="W612" s="305"/>
      <c r="X612" s="305"/>
      <c r="Y612" s="305"/>
      <c r="Z612" s="305"/>
      <c r="AD612" s="296"/>
      <c r="AE612" s="201"/>
      <c r="AF612" s="201"/>
      <c r="AG612" s="201"/>
      <c r="AH612" s="201"/>
      <c r="AI612" s="201"/>
      <c r="AJ612" s="201"/>
      <c r="AK612" s="201"/>
      <c r="AL612" s="201"/>
    </row>
    <row r="613">
      <c r="A613" s="187"/>
      <c r="B613" s="188"/>
      <c r="C613" s="236"/>
      <c r="D613" s="187"/>
      <c r="E613" s="187"/>
      <c r="F613" s="187"/>
      <c r="G613" s="185"/>
      <c r="H613" s="185"/>
      <c r="I613" s="185"/>
      <c r="J613" s="298"/>
      <c r="K613" s="283"/>
      <c r="L613" s="299"/>
      <c r="M613" s="300"/>
      <c r="N613" s="301"/>
      <c r="O613" s="302"/>
      <c r="P613" s="302"/>
      <c r="S613" s="305"/>
      <c r="T613" s="305"/>
      <c r="U613" s="306"/>
      <c r="V613" s="305"/>
      <c r="W613" s="305"/>
      <c r="X613" s="305"/>
      <c r="Y613" s="305"/>
      <c r="Z613" s="305"/>
      <c r="AD613" s="296"/>
      <c r="AE613" s="201"/>
      <c r="AF613" s="201"/>
      <c r="AG613" s="201"/>
      <c r="AH613" s="201"/>
      <c r="AI613" s="201"/>
      <c r="AJ613" s="201"/>
      <c r="AK613" s="201"/>
      <c r="AL613" s="201"/>
    </row>
    <row r="614">
      <c r="A614" s="187"/>
      <c r="B614" s="188"/>
      <c r="C614" s="236"/>
      <c r="D614" s="187"/>
      <c r="E614" s="187"/>
      <c r="F614" s="187"/>
      <c r="G614" s="185"/>
      <c r="H614" s="185"/>
      <c r="I614" s="185"/>
      <c r="J614" s="298"/>
      <c r="K614" s="283"/>
      <c r="L614" s="299"/>
      <c r="M614" s="300"/>
      <c r="N614" s="301"/>
      <c r="O614" s="302"/>
      <c r="P614" s="302"/>
      <c r="S614" s="305"/>
      <c r="T614" s="305"/>
      <c r="U614" s="306"/>
      <c r="V614" s="305"/>
      <c r="W614" s="305"/>
      <c r="X614" s="305"/>
      <c r="Y614" s="305"/>
      <c r="Z614" s="305"/>
      <c r="AD614" s="296"/>
      <c r="AE614" s="201"/>
      <c r="AF614" s="201"/>
      <c r="AG614" s="201"/>
      <c r="AH614" s="201"/>
      <c r="AI614" s="201"/>
      <c r="AJ614" s="201"/>
      <c r="AK614" s="201"/>
      <c r="AL614" s="201"/>
    </row>
    <row r="615">
      <c r="A615" s="187"/>
      <c r="B615" s="188"/>
      <c r="C615" s="236"/>
      <c r="D615" s="187"/>
      <c r="E615" s="187"/>
      <c r="F615" s="187"/>
      <c r="G615" s="185"/>
      <c r="H615" s="185"/>
      <c r="I615" s="185"/>
      <c r="J615" s="298"/>
      <c r="K615" s="283"/>
      <c r="L615" s="299"/>
      <c r="M615" s="300"/>
      <c r="N615" s="301"/>
      <c r="O615" s="302"/>
      <c r="P615" s="302"/>
      <c r="S615" s="305"/>
      <c r="T615" s="305"/>
      <c r="U615" s="306"/>
      <c r="V615" s="305"/>
      <c r="W615" s="305"/>
      <c r="X615" s="305"/>
      <c r="Y615" s="305"/>
      <c r="Z615" s="305"/>
      <c r="AD615" s="296"/>
      <c r="AE615" s="201"/>
      <c r="AF615" s="201"/>
      <c r="AG615" s="201"/>
      <c r="AH615" s="201"/>
      <c r="AI615" s="201"/>
      <c r="AJ615" s="201"/>
      <c r="AK615" s="201"/>
      <c r="AL615" s="201"/>
    </row>
    <row r="616">
      <c r="A616" s="187"/>
      <c r="B616" s="188"/>
      <c r="C616" s="236"/>
      <c r="D616" s="187"/>
      <c r="E616" s="187"/>
      <c r="F616" s="187"/>
      <c r="G616" s="185"/>
      <c r="H616" s="185"/>
      <c r="I616" s="185"/>
      <c r="J616" s="298"/>
      <c r="K616" s="283"/>
      <c r="L616" s="299"/>
      <c r="M616" s="300"/>
      <c r="N616" s="301"/>
      <c r="O616" s="302"/>
      <c r="P616" s="302"/>
      <c r="S616" s="305"/>
      <c r="T616" s="305"/>
      <c r="U616" s="306"/>
      <c r="V616" s="305"/>
      <c r="W616" s="305"/>
      <c r="X616" s="305"/>
      <c r="Y616" s="305"/>
      <c r="Z616" s="305"/>
      <c r="AD616" s="296"/>
      <c r="AE616" s="201"/>
      <c r="AF616" s="201"/>
      <c r="AG616" s="201"/>
      <c r="AH616" s="201"/>
      <c r="AI616" s="201"/>
      <c r="AJ616" s="201"/>
      <c r="AK616" s="201"/>
      <c r="AL616" s="201"/>
    </row>
    <row r="617">
      <c r="A617" s="187"/>
      <c r="B617" s="188"/>
      <c r="C617" s="236"/>
      <c r="D617" s="187"/>
      <c r="E617" s="187"/>
      <c r="F617" s="187"/>
      <c r="G617" s="185"/>
      <c r="H617" s="185"/>
      <c r="I617" s="185"/>
      <c r="J617" s="298"/>
      <c r="K617" s="283"/>
      <c r="L617" s="299"/>
      <c r="M617" s="300"/>
      <c r="N617" s="301"/>
      <c r="O617" s="302"/>
      <c r="P617" s="302"/>
      <c r="S617" s="305"/>
      <c r="T617" s="305"/>
      <c r="U617" s="306"/>
      <c r="V617" s="305"/>
      <c r="W617" s="305"/>
      <c r="X617" s="305"/>
      <c r="Y617" s="305"/>
      <c r="Z617" s="305"/>
      <c r="AD617" s="296"/>
      <c r="AE617" s="201"/>
      <c r="AF617" s="201"/>
      <c r="AG617" s="201"/>
      <c r="AH617" s="201"/>
      <c r="AI617" s="201"/>
      <c r="AJ617" s="201"/>
      <c r="AK617" s="201"/>
      <c r="AL617" s="201"/>
    </row>
    <row r="618">
      <c r="A618" s="187"/>
      <c r="B618" s="188"/>
      <c r="C618" s="236"/>
      <c r="D618" s="187"/>
      <c r="E618" s="187"/>
      <c r="F618" s="187"/>
      <c r="G618" s="185"/>
      <c r="H618" s="185"/>
      <c r="I618" s="185"/>
      <c r="J618" s="298"/>
      <c r="K618" s="283"/>
      <c r="L618" s="299"/>
      <c r="M618" s="300"/>
      <c r="N618" s="301"/>
      <c r="O618" s="302"/>
      <c r="P618" s="302"/>
      <c r="S618" s="305"/>
      <c r="T618" s="305"/>
      <c r="U618" s="306"/>
      <c r="V618" s="305"/>
      <c r="W618" s="305"/>
      <c r="X618" s="305"/>
      <c r="Y618" s="305"/>
      <c r="Z618" s="305"/>
      <c r="AD618" s="296"/>
      <c r="AE618" s="201"/>
      <c r="AF618" s="201"/>
      <c r="AG618" s="201"/>
      <c r="AH618" s="201"/>
      <c r="AI618" s="201"/>
      <c r="AJ618" s="201"/>
      <c r="AK618" s="201"/>
      <c r="AL618" s="201"/>
    </row>
    <row r="619">
      <c r="A619" s="187"/>
      <c r="B619" s="188"/>
      <c r="C619" s="236"/>
      <c r="D619" s="187"/>
      <c r="E619" s="187"/>
      <c r="F619" s="187"/>
      <c r="G619" s="185"/>
      <c r="H619" s="185"/>
      <c r="I619" s="185"/>
      <c r="J619" s="298"/>
      <c r="K619" s="283"/>
      <c r="L619" s="299"/>
      <c r="M619" s="300"/>
      <c r="N619" s="301"/>
      <c r="O619" s="302"/>
      <c r="P619" s="302"/>
      <c r="S619" s="305"/>
      <c r="T619" s="305"/>
      <c r="U619" s="306"/>
      <c r="V619" s="305"/>
      <c r="W619" s="305"/>
      <c r="X619" s="305"/>
      <c r="Y619" s="305"/>
      <c r="Z619" s="305"/>
      <c r="AD619" s="296"/>
      <c r="AE619" s="201"/>
      <c r="AF619" s="201"/>
      <c r="AG619" s="201"/>
      <c r="AH619" s="201"/>
      <c r="AI619" s="201"/>
      <c r="AJ619" s="201"/>
      <c r="AK619" s="201"/>
      <c r="AL619" s="201"/>
    </row>
    <row r="620">
      <c r="A620" s="187"/>
      <c r="B620" s="188"/>
      <c r="C620" s="236"/>
      <c r="D620" s="187"/>
      <c r="E620" s="187"/>
      <c r="F620" s="187"/>
      <c r="G620" s="185"/>
      <c r="H620" s="185"/>
      <c r="I620" s="185"/>
      <c r="J620" s="298"/>
      <c r="K620" s="283"/>
      <c r="L620" s="299"/>
      <c r="M620" s="300"/>
      <c r="N620" s="301"/>
      <c r="O620" s="302"/>
      <c r="P620" s="302"/>
      <c r="S620" s="305"/>
      <c r="T620" s="305"/>
      <c r="U620" s="306"/>
      <c r="V620" s="305"/>
      <c r="W620" s="305"/>
      <c r="X620" s="305"/>
      <c r="Y620" s="305"/>
      <c r="Z620" s="305"/>
      <c r="AD620" s="296"/>
      <c r="AE620" s="201"/>
      <c r="AF620" s="201"/>
      <c r="AG620" s="201"/>
      <c r="AH620" s="201"/>
      <c r="AI620" s="201"/>
      <c r="AJ620" s="201"/>
      <c r="AK620" s="201"/>
      <c r="AL620" s="201"/>
    </row>
    <row r="621">
      <c r="A621" s="187"/>
      <c r="B621" s="188"/>
      <c r="C621" s="236"/>
      <c r="D621" s="187"/>
      <c r="E621" s="187"/>
      <c r="F621" s="187"/>
      <c r="G621" s="185"/>
      <c r="H621" s="185"/>
      <c r="I621" s="185"/>
      <c r="J621" s="298"/>
      <c r="K621" s="283"/>
      <c r="L621" s="299"/>
      <c r="M621" s="300"/>
      <c r="N621" s="301"/>
      <c r="O621" s="302"/>
      <c r="P621" s="302"/>
      <c r="S621" s="305"/>
      <c r="T621" s="305"/>
      <c r="U621" s="306"/>
      <c r="V621" s="305"/>
      <c r="W621" s="305"/>
      <c r="X621" s="305"/>
      <c r="Y621" s="305"/>
      <c r="Z621" s="305"/>
      <c r="AD621" s="296"/>
      <c r="AE621" s="201"/>
      <c r="AF621" s="201"/>
      <c r="AG621" s="201"/>
      <c r="AH621" s="201"/>
      <c r="AI621" s="201"/>
      <c r="AJ621" s="201"/>
      <c r="AK621" s="201"/>
      <c r="AL621" s="201"/>
    </row>
    <row r="622">
      <c r="A622" s="187"/>
      <c r="B622" s="188"/>
      <c r="C622" s="236"/>
      <c r="D622" s="187"/>
      <c r="E622" s="187"/>
      <c r="F622" s="187"/>
      <c r="G622" s="185"/>
      <c r="H622" s="185"/>
      <c r="I622" s="185"/>
      <c r="J622" s="298"/>
      <c r="K622" s="283"/>
      <c r="L622" s="299"/>
      <c r="M622" s="300"/>
      <c r="N622" s="301"/>
      <c r="O622" s="302"/>
      <c r="P622" s="302"/>
      <c r="S622" s="305"/>
      <c r="T622" s="305"/>
      <c r="U622" s="306"/>
      <c r="V622" s="305"/>
      <c r="W622" s="305"/>
      <c r="X622" s="305"/>
      <c r="Y622" s="305"/>
      <c r="Z622" s="305"/>
      <c r="AD622" s="296"/>
      <c r="AE622" s="201"/>
      <c r="AF622" s="201"/>
      <c r="AG622" s="201"/>
      <c r="AH622" s="201"/>
      <c r="AI622" s="201"/>
      <c r="AJ622" s="201"/>
      <c r="AK622" s="201"/>
      <c r="AL622" s="201"/>
    </row>
    <row r="623">
      <c r="A623" s="187"/>
      <c r="B623" s="188"/>
      <c r="C623" s="236"/>
      <c r="D623" s="187"/>
      <c r="E623" s="187"/>
      <c r="F623" s="187"/>
      <c r="G623" s="185"/>
      <c r="H623" s="185"/>
      <c r="I623" s="185"/>
      <c r="J623" s="298"/>
      <c r="K623" s="283"/>
      <c r="L623" s="299"/>
      <c r="M623" s="300"/>
      <c r="N623" s="301"/>
      <c r="O623" s="302"/>
      <c r="P623" s="302"/>
      <c r="S623" s="305"/>
      <c r="T623" s="305"/>
      <c r="U623" s="306"/>
      <c r="V623" s="305"/>
      <c r="W623" s="305"/>
      <c r="X623" s="305"/>
      <c r="Y623" s="305"/>
      <c r="Z623" s="305"/>
      <c r="AD623" s="296"/>
      <c r="AE623" s="201"/>
      <c r="AF623" s="201"/>
      <c r="AG623" s="201"/>
      <c r="AH623" s="201"/>
      <c r="AI623" s="201"/>
      <c r="AJ623" s="201"/>
      <c r="AK623" s="201"/>
      <c r="AL623" s="201"/>
    </row>
    <row r="624">
      <c r="A624" s="187"/>
      <c r="B624" s="188"/>
      <c r="C624" s="236"/>
      <c r="D624" s="187"/>
      <c r="E624" s="187"/>
      <c r="F624" s="187"/>
      <c r="G624" s="185"/>
      <c r="H624" s="185"/>
      <c r="I624" s="185"/>
      <c r="J624" s="298"/>
      <c r="K624" s="283"/>
      <c r="L624" s="299"/>
      <c r="M624" s="300"/>
      <c r="N624" s="301"/>
      <c r="O624" s="302"/>
      <c r="P624" s="302"/>
      <c r="S624" s="305"/>
      <c r="T624" s="305"/>
      <c r="U624" s="306"/>
      <c r="V624" s="305"/>
      <c r="W624" s="305"/>
      <c r="X624" s="305"/>
      <c r="Y624" s="305"/>
      <c r="Z624" s="305"/>
      <c r="AD624" s="296"/>
      <c r="AE624" s="201"/>
      <c r="AF624" s="201"/>
      <c r="AG624" s="201"/>
      <c r="AH624" s="201"/>
      <c r="AI624" s="201"/>
      <c r="AJ624" s="201"/>
      <c r="AK624" s="201"/>
      <c r="AL624" s="201"/>
    </row>
    <row r="625">
      <c r="A625" s="187"/>
      <c r="B625" s="188"/>
      <c r="C625" s="236"/>
      <c r="D625" s="187"/>
      <c r="E625" s="187"/>
      <c r="F625" s="187"/>
      <c r="G625" s="185"/>
      <c r="H625" s="185"/>
      <c r="I625" s="185"/>
      <c r="J625" s="298"/>
      <c r="K625" s="283"/>
      <c r="L625" s="299"/>
      <c r="M625" s="300"/>
      <c r="N625" s="301"/>
      <c r="O625" s="302"/>
      <c r="P625" s="302"/>
      <c r="S625" s="305"/>
      <c r="T625" s="305"/>
      <c r="U625" s="306"/>
      <c r="V625" s="305"/>
      <c r="W625" s="305"/>
      <c r="X625" s="305"/>
      <c r="Y625" s="305"/>
      <c r="Z625" s="305"/>
      <c r="AD625" s="296"/>
      <c r="AE625" s="201"/>
      <c r="AF625" s="201"/>
      <c r="AG625" s="201"/>
      <c r="AH625" s="201"/>
      <c r="AI625" s="201"/>
      <c r="AJ625" s="201"/>
      <c r="AK625" s="201"/>
      <c r="AL625" s="201"/>
    </row>
    <row r="626">
      <c r="A626" s="187"/>
      <c r="B626" s="188"/>
      <c r="C626" s="236"/>
      <c r="D626" s="187"/>
      <c r="E626" s="187"/>
      <c r="F626" s="187"/>
      <c r="G626" s="185"/>
      <c r="H626" s="185"/>
      <c r="I626" s="185"/>
      <c r="J626" s="298"/>
      <c r="K626" s="283"/>
      <c r="L626" s="299"/>
      <c r="M626" s="300"/>
      <c r="N626" s="301"/>
      <c r="O626" s="302"/>
      <c r="P626" s="302"/>
      <c r="S626" s="305"/>
      <c r="T626" s="305"/>
      <c r="U626" s="306"/>
      <c r="V626" s="305"/>
      <c r="W626" s="305"/>
      <c r="X626" s="305"/>
      <c r="Y626" s="305"/>
      <c r="Z626" s="305"/>
      <c r="AD626" s="296"/>
      <c r="AE626" s="201"/>
      <c r="AF626" s="201"/>
      <c r="AG626" s="201"/>
      <c r="AH626" s="201"/>
      <c r="AI626" s="201"/>
      <c r="AJ626" s="201"/>
      <c r="AK626" s="201"/>
      <c r="AL626" s="201"/>
    </row>
    <row r="627">
      <c r="A627" s="187"/>
      <c r="B627" s="188"/>
      <c r="C627" s="236"/>
      <c r="D627" s="187"/>
      <c r="E627" s="187"/>
      <c r="F627" s="187"/>
      <c r="G627" s="185"/>
      <c r="H627" s="185"/>
      <c r="I627" s="185"/>
      <c r="J627" s="298"/>
      <c r="K627" s="283"/>
      <c r="L627" s="299"/>
      <c r="M627" s="300"/>
      <c r="N627" s="301"/>
      <c r="O627" s="302"/>
      <c r="P627" s="302"/>
      <c r="S627" s="305"/>
      <c r="T627" s="305"/>
      <c r="U627" s="306"/>
      <c r="V627" s="305"/>
      <c r="W627" s="305"/>
      <c r="X627" s="305"/>
      <c r="Y627" s="305"/>
      <c r="Z627" s="305"/>
      <c r="AD627" s="296"/>
      <c r="AE627" s="201"/>
      <c r="AF627" s="201"/>
      <c r="AG627" s="201"/>
      <c r="AH627" s="201"/>
      <c r="AI627" s="201"/>
      <c r="AJ627" s="201"/>
      <c r="AK627" s="201"/>
      <c r="AL627" s="201"/>
    </row>
    <row r="628">
      <c r="A628" s="187"/>
      <c r="B628" s="188"/>
      <c r="C628" s="236"/>
      <c r="D628" s="187"/>
      <c r="E628" s="187"/>
      <c r="F628" s="187"/>
      <c r="G628" s="185"/>
      <c r="H628" s="185"/>
      <c r="I628" s="185"/>
      <c r="J628" s="298"/>
      <c r="K628" s="283"/>
      <c r="L628" s="299"/>
      <c r="M628" s="300"/>
      <c r="N628" s="301"/>
      <c r="O628" s="302"/>
      <c r="P628" s="302"/>
      <c r="S628" s="305"/>
      <c r="T628" s="305"/>
      <c r="U628" s="306"/>
      <c r="V628" s="305"/>
      <c r="W628" s="305"/>
      <c r="X628" s="305"/>
      <c r="Y628" s="305"/>
      <c r="Z628" s="305"/>
      <c r="AD628" s="296"/>
      <c r="AE628" s="201"/>
      <c r="AF628" s="201"/>
      <c r="AG628" s="201"/>
      <c r="AH628" s="201"/>
      <c r="AI628" s="201"/>
      <c r="AJ628" s="201"/>
      <c r="AK628" s="201"/>
      <c r="AL628" s="201"/>
    </row>
    <row r="629">
      <c r="A629" s="187"/>
      <c r="B629" s="188"/>
      <c r="C629" s="236"/>
      <c r="D629" s="187"/>
      <c r="E629" s="187"/>
      <c r="F629" s="187"/>
      <c r="G629" s="185"/>
      <c r="H629" s="185"/>
      <c r="I629" s="185"/>
      <c r="J629" s="298"/>
      <c r="K629" s="283"/>
      <c r="L629" s="299"/>
      <c r="M629" s="300"/>
      <c r="N629" s="301"/>
      <c r="O629" s="302"/>
      <c r="P629" s="302"/>
      <c r="S629" s="305"/>
      <c r="T629" s="305"/>
      <c r="U629" s="306"/>
      <c r="V629" s="305"/>
      <c r="W629" s="305"/>
      <c r="X629" s="305"/>
      <c r="Y629" s="305"/>
      <c r="Z629" s="305"/>
      <c r="AD629" s="296"/>
      <c r="AE629" s="201"/>
      <c r="AF629" s="201"/>
      <c r="AG629" s="201"/>
      <c r="AH629" s="201"/>
      <c r="AI629" s="201"/>
      <c r="AJ629" s="201"/>
      <c r="AK629" s="201"/>
      <c r="AL629" s="201"/>
    </row>
    <row r="630">
      <c r="A630" s="187"/>
      <c r="B630" s="188"/>
      <c r="C630" s="236"/>
      <c r="D630" s="187"/>
      <c r="E630" s="187"/>
      <c r="F630" s="187"/>
      <c r="G630" s="185"/>
      <c r="H630" s="185"/>
      <c r="I630" s="185"/>
      <c r="J630" s="298"/>
      <c r="K630" s="283"/>
      <c r="L630" s="299"/>
      <c r="M630" s="300"/>
      <c r="N630" s="301"/>
      <c r="O630" s="302"/>
      <c r="P630" s="302"/>
      <c r="S630" s="305"/>
      <c r="T630" s="305"/>
      <c r="U630" s="306"/>
      <c r="V630" s="305"/>
      <c r="W630" s="305"/>
      <c r="X630" s="305"/>
      <c r="Y630" s="305"/>
      <c r="Z630" s="305"/>
      <c r="AD630" s="296"/>
      <c r="AE630" s="201"/>
      <c r="AF630" s="201"/>
      <c r="AG630" s="201"/>
      <c r="AH630" s="201"/>
      <c r="AI630" s="201"/>
      <c r="AJ630" s="201"/>
      <c r="AK630" s="201"/>
      <c r="AL630" s="201"/>
    </row>
    <row r="631">
      <c r="A631" s="187"/>
      <c r="B631" s="188"/>
      <c r="C631" s="236"/>
      <c r="D631" s="187"/>
      <c r="E631" s="187"/>
      <c r="F631" s="187"/>
      <c r="G631" s="185"/>
      <c r="H631" s="185"/>
      <c r="I631" s="185"/>
      <c r="J631" s="298"/>
      <c r="K631" s="283"/>
      <c r="L631" s="299"/>
      <c r="M631" s="300"/>
      <c r="N631" s="301"/>
      <c r="O631" s="302"/>
      <c r="P631" s="302"/>
      <c r="S631" s="305"/>
      <c r="T631" s="305"/>
      <c r="U631" s="306"/>
      <c r="V631" s="305"/>
      <c r="W631" s="305"/>
      <c r="X631" s="305"/>
      <c r="Y631" s="305"/>
      <c r="Z631" s="305"/>
      <c r="AD631" s="296"/>
      <c r="AE631" s="201"/>
      <c r="AF631" s="201"/>
      <c r="AG631" s="201"/>
      <c r="AH631" s="201"/>
      <c r="AI631" s="201"/>
      <c r="AJ631" s="201"/>
      <c r="AK631" s="201"/>
      <c r="AL631" s="201"/>
    </row>
    <row r="632">
      <c r="A632" s="187"/>
      <c r="B632" s="188"/>
      <c r="C632" s="236"/>
      <c r="D632" s="187"/>
      <c r="E632" s="187"/>
      <c r="F632" s="187"/>
      <c r="G632" s="185"/>
      <c r="H632" s="185"/>
      <c r="I632" s="185"/>
      <c r="J632" s="298"/>
      <c r="K632" s="283"/>
      <c r="L632" s="299"/>
      <c r="M632" s="300"/>
      <c r="N632" s="301"/>
      <c r="O632" s="302"/>
      <c r="P632" s="302"/>
      <c r="S632" s="305"/>
      <c r="T632" s="305"/>
      <c r="U632" s="306"/>
      <c r="V632" s="305"/>
      <c r="W632" s="305"/>
      <c r="X632" s="305"/>
      <c r="Y632" s="305"/>
      <c r="Z632" s="305"/>
      <c r="AD632" s="296"/>
      <c r="AE632" s="201"/>
      <c r="AF632" s="201"/>
      <c r="AG632" s="201"/>
      <c r="AH632" s="201"/>
      <c r="AI632" s="201"/>
      <c r="AJ632" s="201"/>
      <c r="AK632" s="201"/>
      <c r="AL632" s="201"/>
    </row>
    <row r="633">
      <c r="A633" s="187"/>
      <c r="B633" s="188"/>
      <c r="C633" s="236"/>
      <c r="D633" s="187"/>
      <c r="E633" s="187"/>
      <c r="F633" s="187"/>
      <c r="G633" s="185"/>
      <c r="H633" s="185"/>
      <c r="I633" s="185"/>
      <c r="J633" s="298"/>
      <c r="K633" s="283"/>
      <c r="L633" s="299"/>
      <c r="M633" s="300"/>
      <c r="N633" s="301"/>
      <c r="O633" s="302"/>
      <c r="P633" s="302"/>
      <c r="S633" s="305"/>
      <c r="T633" s="305"/>
      <c r="U633" s="306"/>
      <c r="V633" s="305"/>
      <c r="W633" s="305"/>
      <c r="X633" s="305"/>
      <c r="Y633" s="305"/>
      <c r="Z633" s="305"/>
      <c r="AD633" s="296"/>
      <c r="AE633" s="201"/>
      <c r="AF633" s="201"/>
      <c r="AG633" s="201"/>
      <c r="AH633" s="201"/>
      <c r="AI633" s="201"/>
      <c r="AJ633" s="201"/>
      <c r="AK633" s="201"/>
      <c r="AL633" s="201"/>
    </row>
    <row r="634">
      <c r="A634" s="187"/>
      <c r="B634" s="188"/>
      <c r="C634" s="236"/>
      <c r="D634" s="187"/>
      <c r="E634" s="187"/>
      <c r="F634" s="187"/>
      <c r="G634" s="185"/>
      <c r="H634" s="185"/>
      <c r="I634" s="185"/>
      <c r="J634" s="298"/>
      <c r="K634" s="283"/>
      <c r="L634" s="299"/>
      <c r="M634" s="300"/>
      <c r="N634" s="301"/>
      <c r="O634" s="302"/>
      <c r="P634" s="302"/>
      <c r="S634" s="305"/>
      <c r="T634" s="305"/>
      <c r="U634" s="306"/>
      <c r="V634" s="305"/>
      <c r="W634" s="305"/>
      <c r="X634" s="305"/>
      <c r="Y634" s="305"/>
      <c r="Z634" s="305"/>
      <c r="AD634" s="296"/>
      <c r="AE634" s="201"/>
      <c r="AF634" s="201"/>
      <c r="AG634" s="201"/>
      <c r="AH634" s="201"/>
      <c r="AI634" s="201"/>
      <c r="AJ634" s="201"/>
      <c r="AK634" s="201"/>
      <c r="AL634" s="201"/>
    </row>
    <row r="635">
      <c r="A635" s="187"/>
      <c r="B635" s="188"/>
      <c r="C635" s="236"/>
      <c r="D635" s="187"/>
      <c r="E635" s="187"/>
      <c r="F635" s="187"/>
      <c r="G635" s="185"/>
      <c r="H635" s="185"/>
      <c r="I635" s="185"/>
      <c r="J635" s="298"/>
      <c r="K635" s="283"/>
      <c r="L635" s="299"/>
      <c r="M635" s="300"/>
      <c r="N635" s="301"/>
      <c r="O635" s="302"/>
      <c r="P635" s="302"/>
      <c r="S635" s="305"/>
      <c r="T635" s="305"/>
      <c r="U635" s="306"/>
      <c r="V635" s="305"/>
      <c r="W635" s="305"/>
      <c r="X635" s="305"/>
      <c r="Y635" s="305"/>
      <c r="Z635" s="305"/>
      <c r="AD635" s="296"/>
      <c r="AE635" s="201"/>
      <c r="AF635" s="201"/>
      <c r="AG635" s="201"/>
      <c r="AH635" s="201"/>
      <c r="AI635" s="201"/>
      <c r="AJ635" s="201"/>
      <c r="AK635" s="201"/>
      <c r="AL635" s="201"/>
    </row>
    <row r="636">
      <c r="A636" s="187"/>
      <c r="B636" s="188"/>
      <c r="C636" s="236"/>
      <c r="D636" s="187"/>
      <c r="E636" s="187"/>
      <c r="F636" s="187"/>
      <c r="G636" s="185"/>
      <c r="H636" s="185"/>
      <c r="I636" s="185"/>
      <c r="J636" s="298"/>
      <c r="K636" s="283"/>
      <c r="L636" s="299"/>
      <c r="M636" s="300"/>
      <c r="N636" s="301"/>
      <c r="O636" s="302"/>
      <c r="P636" s="302"/>
      <c r="S636" s="305"/>
      <c r="T636" s="305"/>
      <c r="U636" s="306"/>
      <c r="V636" s="305"/>
      <c r="W636" s="305"/>
      <c r="X636" s="305"/>
      <c r="Y636" s="305"/>
      <c r="Z636" s="305"/>
      <c r="AD636" s="296"/>
      <c r="AE636" s="201"/>
      <c r="AF636" s="201"/>
      <c r="AG636" s="201"/>
      <c r="AH636" s="201"/>
      <c r="AI636" s="201"/>
      <c r="AJ636" s="201"/>
      <c r="AK636" s="201"/>
      <c r="AL636" s="201"/>
    </row>
    <row r="637">
      <c r="A637" s="187"/>
      <c r="B637" s="188"/>
      <c r="C637" s="236"/>
      <c r="D637" s="187"/>
      <c r="E637" s="187"/>
      <c r="F637" s="187"/>
      <c r="G637" s="185"/>
      <c r="H637" s="185"/>
      <c r="I637" s="185"/>
      <c r="J637" s="298"/>
      <c r="K637" s="283"/>
      <c r="L637" s="299"/>
      <c r="M637" s="300"/>
      <c r="N637" s="301"/>
      <c r="O637" s="302"/>
      <c r="P637" s="302"/>
      <c r="S637" s="305"/>
      <c r="T637" s="305"/>
      <c r="U637" s="306"/>
      <c r="V637" s="305"/>
      <c r="W637" s="305"/>
      <c r="X637" s="305"/>
      <c r="Y637" s="305"/>
      <c r="Z637" s="305"/>
      <c r="AD637" s="296"/>
      <c r="AE637" s="201"/>
      <c r="AF637" s="201"/>
      <c r="AG637" s="201"/>
      <c r="AH637" s="201"/>
      <c r="AI637" s="201"/>
      <c r="AJ637" s="201"/>
      <c r="AK637" s="201"/>
      <c r="AL637" s="201"/>
    </row>
    <row r="638">
      <c r="A638" s="187"/>
      <c r="B638" s="188"/>
      <c r="C638" s="236"/>
      <c r="D638" s="187"/>
      <c r="E638" s="187"/>
      <c r="F638" s="187"/>
      <c r="G638" s="185"/>
      <c r="H638" s="185"/>
      <c r="I638" s="185"/>
      <c r="J638" s="298"/>
      <c r="K638" s="283"/>
      <c r="L638" s="299"/>
      <c r="M638" s="300"/>
      <c r="N638" s="301"/>
      <c r="O638" s="302"/>
      <c r="P638" s="302"/>
      <c r="S638" s="305"/>
      <c r="T638" s="305"/>
      <c r="U638" s="306"/>
      <c r="V638" s="305"/>
      <c r="W638" s="305"/>
      <c r="X638" s="305"/>
      <c r="Y638" s="305"/>
      <c r="Z638" s="305"/>
      <c r="AD638" s="296"/>
      <c r="AE638" s="201"/>
      <c r="AF638" s="201"/>
      <c r="AG638" s="201"/>
      <c r="AH638" s="201"/>
      <c r="AI638" s="201"/>
      <c r="AJ638" s="201"/>
      <c r="AK638" s="201"/>
      <c r="AL638" s="201"/>
    </row>
    <row r="639">
      <c r="A639" s="187"/>
      <c r="B639" s="188"/>
      <c r="C639" s="236"/>
      <c r="D639" s="187"/>
      <c r="E639" s="187"/>
      <c r="F639" s="187"/>
      <c r="G639" s="185"/>
      <c r="H639" s="185"/>
      <c r="I639" s="185"/>
      <c r="J639" s="298"/>
      <c r="K639" s="283"/>
      <c r="L639" s="299"/>
      <c r="M639" s="300"/>
      <c r="N639" s="301"/>
      <c r="O639" s="302"/>
      <c r="P639" s="302"/>
      <c r="S639" s="305"/>
      <c r="T639" s="305"/>
      <c r="U639" s="306"/>
      <c r="V639" s="305"/>
      <c r="W639" s="305"/>
      <c r="X639" s="305"/>
      <c r="Y639" s="305"/>
      <c r="Z639" s="305"/>
      <c r="AD639" s="296"/>
      <c r="AE639" s="201"/>
      <c r="AF639" s="201"/>
      <c r="AG639" s="201"/>
      <c r="AH639" s="201"/>
      <c r="AI639" s="201"/>
      <c r="AJ639" s="201"/>
      <c r="AK639" s="201"/>
      <c r="AL639" s="201"/>
    </row>
    <row r="640">
      <c r="A640" s="187"/>
      <c r="B640" s="188"/>
      <c r="C640" s="236"/>
      <c r="D640" s="187"/>
      <c r="E640" s="187"/>
      <c r="F640" s="187"/>
      <c r="G640" s="185"/>
      <c r="H640" s="185"/>
      <c r="I640" s="185"/>
      <c r="J640" s="298"/>
      <c r="K640" s="283"/>
      <c r="L640" s="299"/>
      <c r="M640" s="300"/>
      <c r="N640" s="301"/>
      <c r="O640" s="302"/>
      <c r="P640" s="302"/>
      <c r="S640" s="305"/>
      <c r="T640" s="305"/>
      <c r="U640" s="306"/>
      <c r="V640" s="305"/>
      <c r="W640" s="305"/>
      <c r="X640" s="305"/>
      <c r="Y640" s="305"/>
      <c r="Z640" s="305"/>
      <c r="AD640" s="296"/>
      <c r="AE640" s="201"/>
      <c r="AF640" s="201"/>
      <c r="AG640" s="201"/>
      <c r="AH640" s="201"/>
      <c r="AI640" s="201"/>
      <c r="AJ640" s="201"/>
      <c r="AK640" s="201"/>
      <c r="AL640" s="201"/>
    </row>
    <row r="641">
      <c r="A641" s="187"/>
      <c r="B641" s="188"/>
      <c r="C641" s="236"/>
      <c r="D641" s="187"/>
      <c r="E641" s="187"/>
      <c r="F641" s="187"/>
      <c r="G641" s="185"/>
      <c r="H641" s="185"/>
      <c r="I641" s="185"/>
      <c r="J641" s="298"/>
      <c r="K641" s="283"/>
      <c r="L641" s="299"/>
      <c r="M641" s="300"/>
      <c r="N641" s="301"/>
      <c r="O641" s="302"/>
      <c r="P641" s="302"/>
      <c r="S641" s="305"/>
      <c r="T641" s="305"/>
      <c r="U641" s="306"/>
      <c r="V641" s="305"/>
      <c r="W641" s="305"/>
      <c r="X641" s="305"/>
      <c r="Y641" s="305"/>
      <c r="Z641" s="305"/>
      <c r="AD641" s="296"/>
      <c r="AE641" s="201"/>
      <c r="AF641" s="201"/>
      <c r="AG641" s="201"/>
      <c r="AH641" s="201"/>
      <c r="AI641" s="201"/>
      <c r="AJ641" s="201"/>
      <c r="AK641" s="201"/>
      <c r="AL641" s="201"/>
    </row>
    <row r="642">
      <c r="A642" s="187"/>
      <c r="B642" s="188"/>
      <c r="C642" s="236"/>
      <c r="D642" s="187"/>
      <c r="E642" s="187"/>
      <c r="F642" s="187"/>
      <c r="G642" s="185"/>
      <c r="H642" s="185"/>
      <c r="I642" s="185"/>
      <c r="J642" s="298"/>
      <c r="K642" s="283"/>
      <c r="L642" s="299"/>
      <c r="M642" s="300"/>
      <c r="N642" s="301"/>
      <c r="O642" s="302"/>
      <c r="P642" s="302"/>
      <c r="S642" s="305"/>
      <c r="T642" s="305"/>
      <c r="U642" s="306"/>
      <c r="V642" s="305"/>
      <c r="W642" s="305"/>
      <c r="X642" s="305"/>
      <c r="Y642" s="305"/>
      <c r="Z642" s="305"/>
      <c r="AD642" s="296"/>
      <c r="AE642" s="201"/>
      <c r="AF642" s="201"/>
      <c r="AG642" s="201"/>
      <c r="AH642" s="201"/>
      <c r="AI642" s="201"/>
      <c r="AJ642" s="201"/>
      <c r="AK642" s="201"/>
      <c r="AL642" s="201"/>
    </row>
    <row r="643">
      <c r="A643" s="187"/>
      <c r="B643" s="188"/>
      <c r="C643" s="236"/>
      <c r="D643" s="187"/>
      <c r="E643" s="187"/>
      <c r="F643" s="187"/>
      <c r="G643" s="185"/>
      <c r="H643" s="185"/>
      <c r="I643" s="185"/>
      <c r="J643" s="298"/>
      <c r="K643" s="283"/>
      <c r="L643" s="299"/>
      <c r="M643" s="300"/>
      <c r="N643" s="301"/>
      <c r="O643" s="302"/>
      <c r="P643" s="302"/>
      <c r="S643" s="305"/>
      <c r="T643" s="305"/>
      <c r="U643" s="306"/>
      <c r="V643" s="305"/>
      <c r="W643" s="305"/>
      <c r="X643" s="305"/>
      <c r="Y643" s="305"/>
      <c r="Z643" s="305"/>
      <c r="AD643" s="296"/>
      <c r="AE643" s="201"/>
      <c r="AF643" s="201"/>
      <c r="AG643" s="201"/>
      <c r="AH643" s="201"/>
      <c r="AI643" s="201"/>
      <c r="AJ643" s="201"/>
      <c r="AK643" s="201"/>
      <c r="AL643" s="201"/>
    </row>
    <row r="644">
      <c r="A644" s="187"/>
      <c r="B644" s="188"/>
      <c r="C644" s="236"/>
      <c r="D644" s="187"/>
      <c r="E644" s="187"/>
      <c r="F644" s="187"/>
      <c r="G644" s="185"/>
      <c r="H644" s="185"/>
      <c r="I644" s="185"/>
      <c r="J644" s="298"/>
      <c r="K644" s="283"/>
      <c r="L644" s="299"/>
      <c r="M644" s="300"/>
      <c r="N644" s="301"/>
      <c r="O644" s="302"/>
      <c r="P644" s="302"/>
      <c r="S644" s="305"/>
      <c r="T644" s="305"/>
      <c r="U644" s="306"/>
      <c r="V644" s="305"/>
      <c r="W644" s="305"/>
      <c r="X644" s="305"/>
      <c r="Y644" s="305"/>
      <c r="Z644" s="305"/>
      <c r="AD644" s="296"/>
      <c r="AE644" s="201"/>
      <c r="AF644" s="201"/>
      <c r="AG644" s="201"/>
      <c r="AH644" s="201"/>
      <c r="AI644" s="201"/>
      <c r="AJ644" s="201"/>
      <c r="AK644" s="201"/>
      <c r="AL644" s="201"/>
    </row>
    <row r="645">
      <c r="A645" s="187"/>
      <c r="B645" s="188"/>
      <c r="C645" s="236"/>
      <c r="D645" s="187"/>
      <c r="E645" s="187"/>
      <c r="F645" s="187"/>
      <c r="G645" s="185"/>
      <c r="H645" s="185"/>
      <c r="I645" s="185"/>
      <c r="J645" s="298"/>
      <c r="K645" s="283"/>
      <c r="L645" s="299"/>
      <c r="M645" s="300"/>
      <c r="N645" s="301"/>
      <c r="O645" s="302"/>
      <c r="P645" s="302"/>
      <c r="S645" s="305"/>
      <c r="T645" s="305"/>
      <c r="U645" s="306"/>
      <c r="V645" s="305"/>
      <c r="W645" s="305"/>
      <c r="X645" s="305"/>
      <c r="Y645" s="305"/>
      <c r="Z645" s="305"/>
      <c r="AD645" s="296"/>
      <c r="AE645" s="201"/>
      <c r="AF645" s="201"/>
      <c r="AG645" s="201"/>
      <c r="AH645" s="201"/>
      <c r="AI645" s="201"/>
      <c r="AJ645" s="201"/>
      <c r="AK645" s="201"/>
      <c r="AL645" s="201"/>
    </row>
    <row r="646">
      <c r="A646" s="187"/>
      <c r="B646" s="188"/>
      <c r="C646" s="236"/>
      <c r="D646" s="187"/>
      <c r="E646" s="187"/>
      <c r="F646" s="187"/>
      <c r="G646" s="185"/>
      <c r="H646" s="185"/>
      <c r="I646" s="185"/>
      <c r="J646" s="298"/>
      <c r="K646" s="283"/>
      <c r="L646" s="299"/>
      <c r="M646" s="300"/>
      <c r="N646" s="301"/>
      <c r="O646" s="302"/>
      <c r="P646" s="302"/>
      <c r="S646" s="305"/>
      <c r="T646" s="305"/>
      <c r="U646" s="306"/>
      <c r="V646" s="305"/>
      <c r="W646" s="305"/>
      <c r="X646" s="305"/>
      <c r="Y646" s="305"/>
      <c r="Z646" s="305"/>
      <c r="AD646" s="296"/>
      <c r="AE646" s="201"/>
      <c r="AF646" s="201"/>
      <c r="AG646" s="201"/>
      <c r="AH646" s="201"/>
      <c r="AI646" s="201"/>
      <c r="AJ646" s="201"/>
      <c r="AK646" s="201"/>
      <c r="AL646" s="201"/>
    </row>
    <row r="647">
      <c r="A647" s="187"/>
      <c r="B647" s="188"/>
      <c r="C647" s="236"/>
      <c r="D647" s="187"/>
      <c r="E647" s="187"/>
      <c r="F647" s="187"/>
      <c r="G647" s="185"/>
      <c r="H647" s="185"/>
      <c r="I647" s="185"/>
      <c r="J647" s="298"/>
      <c r="K647" s="283"/>
      <c r="L647" s="299"/>
      <c r="M647" s="300"/>
      <c r="N647" s="301"/>
      <c r="O647" s="302"/>
      <c r="P647" s="302"/>
      <c r="S647" s="305"/>
      <c r="T647" s="305"/>
      <c r="U647" s="306"/>
      <c r="V647" s="305"/>
      <c r="W647" s="305"/>
      <c r="X647" s="305"/>
      <c r="Y647" s="305"/>
      <c r="Z647" s="305"/>
      <c r="AD647" s="296"/>
      <c r="AE647" s="201"/>
      <c r="AF647" s="201"/>
      <c r="AG647" s="201"/>
      <c r="AH647" s="201"/>
      <c r="AI647" s="201"/>
      <c r="AJ647" s="201"/>
      <c r="AK647" s="201"/>
      <c r="AL647" s="201"/>
    </row>
    <row r="648">
      <c r="A648" s="187"/>
      <c r="B648" s="188"/>
      <c r="C648" s="236"/>
      <c r="D648" s="187"/>
      <c r="E648" s="187"/>
      <c r="F648" s="187"/>
      <c r="G648" s="185"/>
      <c r="H648" s="185"/>
      <c r="I648" s="185"/>
      <c r="J648" s="298"/>
      <c r="K648" s="283"/>
      <c r="L648" s="299"/>
      <c r="M648" s="300"/>
      <c r="N648" s="301"/>
      <c r="O648" s="302"/>
      <c r="P648" s="302"/>
      <c r="S648" s="305"/>
      <c r="T648" s="305"/>
      <c r="U648" s="306"/>
      <c r="V648" s="305"/>
      <c r="W648" s="305"/>
      <c r="X648" s="305"/>
      <c r="Y648" s="305"/>
      <c r="Z648" s="305"/>
      <c r="AD648" s="296"/>
      <c r="AE648" s="201"/>
      <c r="AF648" s="201"/>
      <c r="AG648" s="201"/>
      <c r="AH648" s="201"/>
      <c r="AI648" s="201"/>
      <c r="AJ648" s="201"/>
      <c r="AK648" s="201"/>
      <c r="AL648" s="201"/>
    </row>
    <row r="649">
      <c r="A649" s="187"/>
      <c r="B649" s="188"/>
      <c r="C649" s="236"/>
      <c r="D649" s="187"/>
      <c r="E649" s="187"/>
      <c r="F649" s="187"/>
      <c r="G649" s="185"/>
      <c r="H649" s="185"/>
      <c r="I649" s="185"/>
      <c r="J649" s="298"/>
      <c r="K649" s="283"/>
      <c r="L649" s="299"/>
      <c r="M649" s="300"/>
      <c r="N649" s="301"/>
      <c r="O649" s="302"/>
      <c r="P649" s="302"/>
      <c r="S649" s="305"/>
      <c r="T649" s="305"/>
      <c r="U649" s="306"/>
      <c r="V649" s="305"/>
      <c r="W649" s="305"/>
      <c r="X649" s="305"/>
      <c r="Y649" s="305"/>
      <c r="Z649" s="305"/>
      <c r="AD649" s="296"/>
      <c r="AE649" s="201"/>
      <c r="AF649" s="201"/>
      <c r="AG649" s="201"/>
      <c r="AH649" s="201"/>
      <c r="AI649" s="201"/>
      <c r="AJ649" s="201"/>
      <c r="AK649" s="201"/>
      <c r="AL649" s="201"/>
    </row>
    <row r="650">
      <c r="A650" s="187"/>
      <c r="B650" s="188"/>
      <c r="C650" s="236"/>
      <c r="D650" s="187"/>
      <c r="E650" s="187"/>
      <c r="F650" s="187"/>
      <c r="G650" s="185"/>
      <c r="H650" s="185"/>
      <c r="I650" s="185"/>
      <c r="J650" s="298"/>
      <c r="K650" s="283"/>
      <c r="L650" s="299"/>
      <c r="M650" s="300"/>
      <c r="N650" s="301"/>
      <c r="O650" s="302"/>
      <c r="P650" s="302"/>
      <c r="S650" s="305"/>
      <c r="T650" s="305"/>
      <c r="U650" s="306"/>
      <c r="V650" s="305"/>
      <c r="W650" s="305"/>
      <c r="X650" s="305"/>
      <c r="Y650" s="305"/>
      <c r="Z650" s="305"/>
      <c r="AD650" s="296"/>
      <c r="AE650" s="201"/>
      <c r="AF650" s="201"/>
      <c r="AG650" s="201"/>
      <c r="AH650" s="201"/>
      <c r="AI650" s="201"/>
      <c r="AJ650" s="201"/>
      <c r="AK650" s="201"/>
      <c r="AL650" s="201"/>
    </row>
    <row r="651">
      <c r="A651" s="187"/>
      <c r="B651" s="188"/>
      <c r="C651" s="236"/>
      <c r="D651" s="187"/>
      <c r="E651" s="187"/>
      <c r="F651" s="187"/>
      <c r="G651" s="185"/>
      <c r="H651" s="185"/>
      <c r="I651" s="185"/>
      <c r="J651" s="298"/>
      <c r="K651" s="283"/>
      <c r="L651" s="299"/>
      <c r="M651" s="300"/>
      <c r="N651" s="301"/>
      <c r="O651" s="302"/>
      <c r="P651" s="302"/>
      <c r="S651" s="305"/>
      <c r="T651" s="305"/>
      <c r="U651" s="306"/>
      <c r="V651" s="305"/>
      <c r="W651" s="305"/>
      <c r="X651" s="305"/>
      <c r="Y651" s="305"/>
      <c r="Z651" s="305"/>
      <c r="AD651" s="296"/>
      <c r="AE651" s="201"/>
      <c r="AF651" s="201"/>
      <c r="AG651" s="201"/>
      <c r="AH651" s="201"/>
      <c r="AI651" s="201"/>
      <c r="AJ651" s="201"/>
      <c r="AK651" s="201"/>
      <c r="AL651" s="201"/>
    </row>
    <row r="652">
      <c r="A652" s="187"/>
      <c r="B652" s="188"/>
      <c r="C652" s="236"/>
      <c r="D652" s="187"/>
      <c r="E652" s="187"/>
      <c r="F652" s="187"/>
      <c r="G652" s="185"/>
      <c r="H652" s="185"/>
      <c r="I652" s="185"/>
      <c r="J652" s="298"/>
      <c r="K652" s="283"/>
      <c r="L652" s="299"/>
      <c r="M652" s="300"/>
      <c r="N652" s="301"/>
      <c r="O652" s="302"/>
      <c r="P652" s="302"/>
      <c r="S652" s="305"/>
      <c r="T652" s="305"/>
      <c r="U652" s="306"/>
      <c r="V652" s="305"/>
      <c r="W652" s="305"/>
      <c r="X652" s="305"/>
      <c r="Y652" s="305"/>
      <c r="Z652" s="305"/>
      <c r="AD652" s="296"/>
      <c r="AE652" s="201"/>
      <c r="AF652" s="201"/>
      <c r="AG652" s="201"/>
      <c r="AH652" s="201"/>
      <c r="AI652" s="201"/>
      <c r="AJ652" s="201"/>
      <c r="AK652" s="201"/>
      <c r="AL652" s="201"/>
    </row>
    <row r="653">
      <c r="A653" s="187"/>
      <c r="B653" s="188"/>
      <c r="C653" s="236"/>
      <c r="D653" s="187"/>
      <c r="E653" s="187"/>
      <c r="F653" s="187"/>
      <c r="G653" s="185"/>
      <c r="H653" s="185"/>
      <c r="I653" s="185"/>
      <c r="J653" s="298"/>
      <c r="K653" s="283"/>
      <c r="L653" s="299"/>
      <c r="M653" s="300"/>
      <c r="N653" s="301"/>
      <c r="O653" s="302"/>
      <c r="P653" s="302"/>
      <c r="S653" s="305"/>
      <c r="T653" s="305"/>
      <c r="U653" s="306"/>
      <c r="V653" s="305"/>
      <c r="W653" s="305"/>
      <c r="X653" s="305"/>
      <c r="Y653" s="305"/>
      <c r="Z653" s="305"/>
      <c r="AD653" s="296"/>
      <c r="AE653" s="201"/>
      <c r="AF653" s="201"/>
      <c r="AG653" s="201"/>
      <c r="AH653" s="201"/>
      <c r="AI653" s="201"/>
      <c r="AJ653" s="201"/>
      <c r="AK653" s="201"/>
      <c r="AL653" s="201"/>
    </row>
    <row r="654">
      <c r="A654" s="187"/>
      <c r="B654" s="188"/>
      <c r="C654" s="236"/>
      <c r="D654" s="187"/>
      <c r="E654" s="187"/>
      <c r="F654" s="187"/>
      <c r="G654" s="185"/>
      <c r="H654" s="185"/>
      <c r="I654" s="185"/>
      <c r="J654" s="298"/>
      <c r="K654" s="283"/>
      <c r="L654" s="299"/>
      <c r="M654" s="300"/>
      <c r="N654" s="301"/>
      <c r="O654" s="302"/>
      <c r="P654" s="302"/>
      <c r="S654" s="305"/>
      <c r="T654" s="305"/>
      <c r="U654" s="306"/>
      <c r="V654" s="305"/>
      <c r="W654" s="305"/>
      <c r="X654" s="305"/>
      <c r="Y654" s="305"/>
      <c r="Z654" s="305"/>
      <c r="AD654" s="296"/>
      <c r="AE654" s="201"/>
      <c r="AF654" s="201"/>
      <c r="AG654" s="201"/>
      <c r="AH654" s="201"/>
      <c r="AI654" s="201"/>
      <c r="AJ654" s="201"/>
      <c r="AK654" s="201"/>
      <c r="AL654" s="201"/>
    </row>
    <row r="655">
      <c r="A655" s="187"/>
      <c r="B655" s="188"/>
      <c r="C655" s="236"/>
      <c r="D655" s="187"/>
      <c r="E655" s="187"/>
      <c r="F655" s="187"/>
      <c r="G655" s="185"/>
      <c r="H655" s="185"/>
      <c r="I655" s="185"/>
      <c r="J655" s="298"/>
      <c r="K655" s="283"/>
      <c r="L655" s="299"/>
      <c r="M655" s="300"/>
      <c r="N655" s="301"/>
      <c r="O655" s="302"/>
      <c r="P655" s="302"/>
      <c r="S655" s="305"/>
      <c r="T655" s="305"/>
      <c r="U655" s="306"/>
      <c r="V655" s="305"/>
      <c r="W655" s="305"/>
      <c r="X655" s="305"/>
      <c r="Y655" s="305"/>
      <c r="Z655" s="305"/>
      <c r="AD655" s="296"/>
      <c r="AE655" s="201"/>
      <c r="AF655" s="201"/>
      <c r="AG655" s="201"/>
      <c r="AH655" s="201"/>
      <c r="AI655" s="201"/>
      <c r="AJ655" s="201"/>
      <c r="AK655" s="201"/>
      <c r="AL655" s="201"/>
    </row>
    <row r="656">
      <c r="A656" s="187"/>
      <c r="B656" s="188"/>
      <c r="C656" s="236"/>
      <c r="D656" s="187"/>
      <c r="E656" s="187"/>
      <c r="F656" s="187"/>
      <c r="G656" s="185"/>
      <c r="H656" s="185"/>
      <c r="I656" s="185"/>
      <c r="J656" s="298"/>
      <c r="K656" s="283"/>
      <c r="L656" s="299"/>
      <c r="M656" s="300"/>
      <c r="N656" s="301"/>
      <c r="O656" s="302"/>
      <c r="P656" s="302"/>
      <c r="S656" s="305"/>
      <c r="T656" s="305"/>
      <c r="U656" s="306"/>
      <c r="V656" s="305"/>
      <c r="W656" s="305"/>
      <c r="X656" s="305"/>
      <c r="Y656" s="305"/>
      <c r="Z656" s="305"/>
      <c r="AD656" s="296"/>
      <c r="AE656" s="201"/>
      <c r="AF656" s="201"/>
      <c r="AG656" s="201"/>
      <c r="AH656" s="201"/>
      <c r="AI656" s="201"/>
      <c r="AJ656" s="201"/>
      <c r="AK656" s="201"/>
      <c r="AL656" s="201"/>
    </row>
    <row r="657">
      <c r="A657" s="187"/>
      <c r="B657" s="188"/>
      <c r="C657" s="236"/>
      <c r="D657" s="187"/>
      <c r="E657" s="187"/>
      <c r="F657" s="187"/>
      <c r="G657" s="185"/>
      <c r="H657" s="185"/>
      <c r="I657" s="185"/>
      <c r="J657" s="298"/>
      <c r="K657" s="283"/>
      <c r="L657" s="299"/>
      <c r="M657" s="300"/>
      <c r="N657" s="301"/>
      <c r="O657" s="302"/>
      <c r="P657" s="302"/>
      <c r="S657" s="305"/>
      <c r="T657" s="305"/>
      <c r="U657" s="306"/>
      <c r="V657" s="305"/>
      <c r="W657" s="305"/>
      <c r="X657" s="305"/>
      <c r="Y657" s="305"/>
      <c r="Z657" s="305"/>
      <c r="AD657" s="296"/>
      <c r="AE657" s="201"/>
      <c r="AF657" s="201"/>
      <c r="AG657" s="201"/>
      <c r="AH657" s="201"/>
      <c r="AI657" s="201"/>
      <c r="AJ657" s="201"/>
      <c r="AK657" s="201"/>
      <c r="AL657" s="201"/>
    </row>
    <row r="658">
      <c r="A658" s="187"/>
      <c r="B658" s="188"/>
      <c r="C658" s="236"/>
      <c r="D658" s="187"/>
      <c r="E658" s="187"/>
      <c r="F658" s="187"/>
      <c r="G658" s="185"/>
      <c r="H658" s="185"/>
      <c r="I658" s="185"/>
      <c r="J658" s="298"/>
      <c r="K658" s="283"/>
      <c r="L658" s="299"/>
      <c r="M658" s="300"/>
      <c r="N658" s="301"/>
      <c r="O658" s="302"/>
      <c r="P658" s="302"/>
      <c r="S658" s="305"/>
      <c r="T658" s="305"/>
      <c r="U658" s="306"/>
      <c r="V658" s="305"/>
      <c r="W658" s="305"/>
      <c r="X658" s="305"/>
      <c r="Y658" s="305"/>
      <c r="Z658" s="305"/>
      <c r="AD658" s="296"/>
      <c r="AE658" s="201"/>
      <c r="AF658" s="201"/>
      <c r="AG658" s="201"/>
      <c r="AH658" s="201"/>
      <c r="AI658" s="201"/>
      <c r="AJ658" s="201"/>
      <c r="AK658" s="201"/>
      <c r="AL658" s="201"/>
    </row>
    <row r="659">
      <c r="A659" s="187"/>
      <c r="B659" s="188"/>
      <c r="C659" s="236"/>
      <c r="D659" s="187"/>
      <c r="E659" s="187"/>
      <c r="F659" s="187"/>
      <c r="G659" s="185"/>
      <c r="H659" s="185"/>
      <c r="I659" s="185"/>
      <c r="J659" s="298"/>
      <c r="K659" s="283"/>
      <c r="L659" s="299"/>
      <c r="M659" s="300"/>
      <c r="N659" s="301"/>
      <c r="O659" s="302"/>
      <c r="P659" s="302"/>
      <c r="S659" s="305"/>
      <c r="T659" s="305"/>
      <c r="U659" s="306"/>
      <c r="V659" s="305"/>
      <c r="W659" s="305"/>
      <c r="X659" s="305"/>
      <c r="Y659" s="305"/>
      <c r="Z659" s="305"/>
      <c r="AD659" s="296"/>
      <c r="AE659" s="201"/>
      <c r="AF659" s="201"/>
      <c r="AG659" s="201"/>
      <c r="AH659" s="201"/>
      <c r="AI659" s="201"/>
      <c r="AJ659" s="201"/>
      <c r="AK659" s="201"/>
      <c r="AL659" s="201"/>
    </row>
    <row r="660">
      <c r="A660" s="187"/>
      <c r="B660" s="188"/>
      <c r="C660" s="236"/>
      <c r="D660" s="187"/>
      <c r="E660" s="187"/>
      <c r="F660" s="187"/>
      <c r="G660" s="185"/>
      <c r="H660" s="185"/>
      <c r="I660" s="185"/>
      <c r="J660" s="298"/>
      <c r="K660" s="283"/>
      <c r="L660" s="299"/>
      <c r="M660" s="300"/>
      <c r="N660" s="301"/>
      <c r="O660" s="302"/>
      <c r="P660" s="302"/>
      <c r="S660" s="305"/>
      <c r="T660" s="305"/>
      <c r="U660" s="306"/>
      <c r="V660" s="305"/>
      <c r="W660" s="305"/>
      <c r="X660" s="305"/>
      <c r="Y660" s="305"/>
      <c r="Z660" s="305"/>
      <c r="AD660" s="296"/>
      <c r="AE660" s="201"/>
      <c r="AF660" s="201"/>
      <c r="AG660" s="201"/>
      <c r="AH660" s="201"/>
      <c r="AI660" s="201"/>
      <c r="AJ660" s="201"/>
      <c r="AK660" s="201"/>
      <c r="AL660" s="201"/>
    </row>
    <row r="661">
      <c r="A661" s="187"/>
      <c r="B661" s="188"/>
      <c r="C661" s="236"/>
      <c r="D661" s="187"/>
      <c r="E661" s="187"/>
      <c r="F661" s="187"/>
      <c r="G661" s="185"/>
      <c r="H661" s="185"/>
      <c r="I661" s="185"/>
      <c r="J661" s="298"/>
      <c r="K661" s="283"/>
      <c r="L661" s="299"/>
      <c r="M661" s="300"/>
      <c r="N661" s="301"/>
      <c r="O661" s="302"/>
      <c r="P661" s="302"/>
      <c r="S661" s="305"/>
      <c r="T661" s="305"/>
      <c r="U661" s="306"/>
      <c r="V661" s="305"/>
      <c r="W661" s="305"/>
      <c r="X661" s="305"/>
      <c r="Y661" s="305"/>
      <c r="Z661" s="305"/>
      <c r="AD661" s="296"/>
      <c r="AE661" s="201"/>
      <c r="AF661" s="201"/>
      <c r="AG661" s="201"/>
      <c r="AH661" s="201"/>
      <c r="AI661" s="201"/>
      <c r="AJ661" s="201"/>
      <c r="AK661" s="201"/>
      <c r="AL661" s="201"/>
    </row>
    <row r="662">
      <c r="A662" s="187"/>
      <c r="B662" s="188"/>
      <c r="C662" s="236"/>
      <c r="D662" s="187"/>
      <c r="E662" s="187"/>
      <c r="F662" s="187"/>
      <c r="G662" s="185"/>
      <c r="H662" s="185"/>
      <c r="I662" s="185"/>
      <c r="J662" s="298"/>
      <c r="K662" s="283"/>
      <c r="L662" s="299"/>
      <c r="M662" s="300"/>
      <c r="N662" s="301"/>
      <c r="O662" s="302"/>
      <c r="P662" s="302"/>
      <c r="S662" s="305"/>
      <c r="T662" s="305"/>
      <c r="U662" s="306"/>
      <c r="V662" s="305"/>
      <c r="W662" s="305"/>
      <c r="X662" s="305"/>
      <c r="Y662" s="305"/>
      <c r="Z662" s="305"/>
      <c r="AD662" s="296"/>
      <c r="AE662" s="201"/>
      <c r="AF662" s="201"/>
      <c r="AG662" s="201"/>
      <c r="AH662" s="201"/>
      <c r="AI662" s="201"/>
      <c r="AJ662" s="201"/>
      <c r="AK662" s="201"/>
      <c r="AL662" s="201"/>
    </row>
    <row r="663">
      <c r="A663" s="187"/>
      <c r="B663" s="188"/>
      <c r="C663" s="236"/>
      <c r="D663" s="187"/>
      <c r="E663" s="187"/>
      <c r="F663" s="187"/>
      <c r="G663" s="185"/>
      <c r="H663" s="185"/>
      <c r="I663" s="185"/>
      <c r="J663" s="298"/>
      <c r="K663" s="283"/>
      <c r="L663" s="299"/>
      <c r="M663" s="300"/>
      <c r="N663" s="301"/>
      <c r="O663" s="302"/>
      <c r="P663" s="302"/>
      <c r="S663" s="305"/>
      <c r="T663" s="305"/>
      <c r="U663" s="306"/>
      <c r="V663" s="305"/>
      <c r="W663" s="305"/>
      <c r="X663" s="305"/>
      <c r="Y663" s="305"/>
      <c r="Z663" s="305"/>
      <c r="AD663" s="296"/>
      <c r="AE663" s="201"/>
      <c r="AF663" s="201"/>
      <c r="AG663" s="201"/>
      <c r="AH663" s="201"/>
      <c r="AI663" s="201"/>
      <c r="AJ663" s="201"/>
      <c r="AK663" s="201"/>
      <c r="AL663" s="201"/>
    </row>
    <row r="664">
      <c r="A664" s="187"/>
      <c r="B664" s="188"/>
      <c r="C664" s="236"/>
      <c r="D664" s="187"/>
      <c r="E664" s="187"/>
      <c r="F664" s="187"/>
      <c r="G664" s="185"/>
      <c r="H664" s="185"/>
      <c r="I664" s="185"/>
      <c r="J664" s="298"/>
      <c r="K664" s="283"/>
      <c r="L664" s="299"/>
      <c r="M664" s="300"/>
      <c r="N664" s="301"/>
      <c r="O664" s="302"/>
      <c r="P664" s="302"/>
      <c r="S664" s="305"/>
      <c r="T664" s="305"/>
      <c r="U664" s="306"/>
      <c r="V664" s="305"/>
      <c r="W664" s="305"/>
      <c r="X664" s="305"/>
      <c r="Y664" s="305"/>
      <c r="Z664" s="305"/>
      <c r="AD664" s="296"/>
      <c r="AE664" s="201"/>
      <c r="AF664" s="201"/>
      <c r="AG664" s="201"/>
      <c r="AH664" s="201"/>
      <c r="AI664" s="201"/>
      <c r="AJ664" s="201"/>
      <c r="AK664" s="201"/>
      <c r="AL664" s="201"/>
    </row>
    <row r="665">
      <c r="A665" s="187"/>
      <c r="B665" s="188"/>
      <c r="C665" s="236"/>
      <c r="D665" s="187"/>
      <c r="E665" s="187"/>
      <c r="F665" s="187"/>
      <c r="G665" s="185"/>
      <c r="H665" s="185"/>
      <c r="I665" s="185"/>
      <c r="J665" s="298"/>
      <c r="K665" s="283"/>
      <c r="L665" s="299"/>
      <c r="M665" s="300"/>
      <c r="N665" s="301"/>
      <c r="O665" s="302"/>
      <c r="P665" s="302"/>
      <c r="S665" s="305"/>
      <c r="T665" s="305"/>
      <c r="U665" s="306"/>
      <c r="V665" s="305"/>
      <c r="W665" s="305"/>
      <c r="X665" s="305"/>
      <c r="Y665" s="305"/>
      <c r="Z665" s="305"/>
      <c r="AD665" s="296"/>
      <c r="AE665" s="201"/>
      <c r="AF665" s="201"/>
      <c r="AG665" s="201"/>
      <c r="AH665" s="201"/>
      <c r="AI665" s="201"/>
      <c r="AJ665" s="201"/>
      <c r="AK665" s="201"/>
      <c r="AL665" s="201"/>
    </row>
    <row r="666">
      <c r="A666" s="187"/>
      <c r="B666" s="188"/>
      <c r="C666" s="236"/>
      <c r="D666" s="187"/>
      <c r="E666" s="187"/>
      <c r="F666" s="187"/>
      <c r="G666" s="185"/>
      <c r="H666" s="185"/>
      <c r="I666" s="185"/>
      <c r="J666" s="298"/>
      <c r="K666" s="283"/>
      <c r="L666" s="299"/>
      <c r="M666" s="300"/>
      <c r="N666" s="301"/>
      <c r="O666" s="302"/>
      <c r="P666" s="302"/>
      <c r="S666" s="305"/>
      <c r="T666" s="305"/>
      <c r="U666" s="306"/>
      <c r="V666" s="305"/>
      <c r="W666" s="305"/>
      <c r="X666" s="305"/>
      <c r="Y666" s="305"/>
      <c r="Z666" s="305"/>
      <c r="AD666" s="296"/>
      <c r="AE666" s="201"/>
      <c r="AF666" s="201"/>
      <c r="AG666" s="201"/>
      <c r="AH666" s="201"/>
      <c r="AI666" s="201"/>
      <c r="AJ666" s="201"/>
      <c r="AK666" s="201"/>
      <c r="AL666" s="201"/>
    </row>
    <row r="667">
      <c r="A667" s="187"/>
      <c r="B667" s="188"/>
      <c r="C667" s="236"/>
      <c r="D667" s="187"/>
      <c r="E667" s="187"/>
      <c r="F667" s="187"/>
      <c r="G667" s="185"/>
      <c r="H667" s="185"/>
      <c r="I667" s="185"/>
      <c r="J667" s="298"/>
      <c r="K667" s="283"/>
      <c r="L667" s="299"/>
      <c r="M667" s="300"/>
      <c r="N667" s="301"/>
      <c r="O667" s="302"/>
      <c r="P667" s="302"/>
      <c r="S667" s="305"/>
      <c r="T667" s="305"/>
      <c r="U667" s="306"/>
      <c r="V667" s="305"/>
      <c r="W667" s="305"/>
      <c r="X667" s="305"/>
      <c r="Y667" s="305"/>
      <c r="Z667" s="305"/>
      <c r="AD667" s="296"/>
      <c r="AE667" s="201"/>
      <c r="AF667" s="201"/>
      <c r="AG667" s="201"/>
      <c r="AH667" s="201"/>
      <c r="AI667" s="201"/>
      <c r="AJ667" s="201"/>
      <c r="AK667" s="201"/>
      <c r="AL667" s="201"/>
    </row>
    <row r="668">
      <c r="A668" s="187"/>
      <c r="B668" s="188"/>
      <c r="C668" s="236"/>
      <c r="D668" s="187"/>
      <c r="E668" s="187"/>
      <c r="F668" s="187"/>
      <c r="G668" s="185"/>
      <c r="H668" s="185"/>
      <c r="I668" s="185"/>
      <c r="J668" s="298"/>
      <c r="K668" s="283"/>
      <c r="L668" s="299"/>
      <c r="M668" s="300"/>
      <c r="N668" s="301"/>
      <c r="O668" s="302"/>
      <c r="P668" s="302"/>
      <c r="S668" s="305"/>
      <c r="T668" s="305"/>
      <c r="U668" s="306"/>
      <c r="V668" s="305"/>
      <c r="W668" s="305"/>
      <c r="X668" s="305"/>
      <c r="Y668" s="305"/>
      <c r="Z668" s="305"/>
      <c r="AD668" s="296"/>
      <c r="AE668" s="201"/>
      <c r="AF668" s="201"/>
      <c r="AG668" s="201"/>
      <c r="AH668" s="201"/>
      <c r="AI668" s="201"/>
      <c r="AJ668" s="201"/>
      <c r="AK668" s="201"/>
      <c r="AL668" s="201"/>
    </row>
    <row r="669">
      <c r="A669" s="187"/>
      <c r="B669" s="188"/>
      <c r="C669" s="236"/>
      <c r="D669" s="187"/>
      <c r="E669" s="187"/>
      <c r="F669" s="187"/>
      <c r="G669" s="185"/>
      <c r="H669" s="185"/>
      <c r="I669" s="185"/>
      <c r="J669" s="298"/>
      <c r="K669" s="283"/>
      <c r="L669" s="299"/>
      <c r="M669" s="300"/>
      <c r="N669" s="301"/>
      <c r="O669" s="302"/>
      <c r="P669" s="302"/>
      <c r="S669" s="305"/>
      <c r="T669" s="305"/>
      <c r="U669" s="306"/>
      <c r="V669" s="305"/>
      <c r="W669" s="305"/>
      <c r="X669" s="305"/>
      <c r="Y669" s="305"/>
      <c r="Z669" s="305"/>
      <c r="AD669" s="296"/>
      <c r="AE669" s="201"/>
      <c r="AF669" s="201"/>
      <c r="AG669" s="201"/>
      <c r="AH669" s="201"/>
      <c r="AI669" s="201"/>
      <c r="AJ669" s="201"/>
      <c r="AK669" s="201"/>
      <c r="AL669" s="201"/>
    </row>
    <row r="670">
      <c r="A670" s="187"/>
      <c r="B670" s="188"/>
      <c r="C670" s="236"/>
      <c r="D670" s="187"/>
      <c r="E670" s="187"/>
      <c r="F670" s="187"/>
      <c r="G670" s="185"/>
      <c r="H670" s="185"/>
      <c r="I670" s="185"/>
      <c r="J670" s="298"/>
      <c r="K670" s="283"/>
      <c r="L670" s="299"/>
      <c r="M670" s="300"/>
      <c r="N670" s="301"/>
      <c r="O670" s="302"/>
      <c r="P670" s="302"/>
      <c r="S670" s="305"/>
      <c r="T670" s="305"/>
      <c r="U670" s="306"/>
      <c r="V670" s="305"/>
      <c r="W670" s="305"/>
      <c r="X670" s="305"/>
      <c r="Y670" s="305"/>
      <c r="Z670" s="305"/>
      <c r="AD670" s="296"/>
      <c r="AE670" s="201"/>
      <c r="AF670" s="201"/>
      <c r="AG670" s="201"/>
      <c r="AH670" s="201"/>
      <c r="AI670" s="201"/>
      <c r="AJ670" s="201"/>
      <c r="AK670" s="201"/>
      <c r="AL670" s="201"/>
    </row>
    <row r="671">
      <c r="A671" s="187"/>
      <c r="B671" s="188"/>
      <c r="C671" s="236"/>
      <c r="D671" s="187"/>
      <c r="E671" s="187"/>
      <c r="F671" s="187"/>
      <c r="G671" s="185"/>
      <c r="H671" s="185"/>
      <c r="I671" s="185"/>
      <c r="J671" s="298"/>
      <c r="K671" s="283"/>
      <c r="L671" s="299"/>
      <c r="M671" s="300"/>
      <c r="N671" s="301"/>
      <c r="O671" s="302"/>
      <c r="P671" s="302"/>
      <c r="S671" s="305"/>
      <c r="T671" s="305"/>
      <c r="U671" s="306"/>
      <c r="V671" s="305"/>
      <c r="W671" s="305"/>
      <c r="X671" s="305"/>
      <c r="Y671" s="305"/>
      <c r="Z671" s="305"/>
      <c r="AD671" s="296"/>
      <c r="AE671" s="201"/>
      <c r="AF671" s="201"/>
      <c r="AG671" s="201"/>
      <c r="AH671" s="201"/>
      <c r="AI671" s="201"/>
      <c r="AJ671" s="201"/>
      <c r="AK671" s="201"/>
      <c r="AL671" s="201"/>
    </row>
    <row r="672">
      <c r="A672" s="187"/>
      <c r="B672" s="188"/>
      <c r="C672" s="236"/>
      <c r="D672" s="187"/>
      <c r="E672" s="187"/>
      <c r="F672" s="187"/>
      <c r="G672" s="185"/>
      <c r="H672" s="185"/>
      <c r="I672" s="185"/>
      <c r="J672" s="298"/>
      <c r="K672" s="283"/>
      <c r="L672" s="299"/>
      <c r="M672" s="300"/>
      <c r="N672" s="301"/>
      <c r="O672" s="302"/>
      <c r="P672" s="302"/>
      <c r="S672" s="305"/>
      <c r="T672" s="305"/>
      <c r="U672" s="306"/>
      <c r="V672" s="305"/>
      <c r="W672" s="305"/>
      <c r="X672" s="305"/>
      <c r="Y672" s="305"/>
      <c r="Z672" s="305"/>
      <c r="AD672" s="296"/>
      <c r="AE672" s="201"/>
      <c r="AF672" s="201"/>
      <c r="AG672" s="201"/>
      <c r="AH672" s="201"/>
      <c r="AI672" s="201"/>
      <c r="AJ672" s="201"/>
      <c r="AK672" s="201"/>
      <c r="AL672" s="201"/>
    </row>
    <row r="673">
      <c r="A673" s="187"/>
      <c r="B673" s="188"/>
      <c r="C673" s="236"/>
      <c r="D673" s="187"/>
      <c r="E673" s="187"/>
      <c r="F673" s="187"/>
      <c r="G673" s="185"/>
      <c r="H673" s="185"/>
      <c r="I673" s="185"/>
      <c r="J673" s="298"/>
      <c r="K673" s="283"/>
      <c r="L673" s="299"/>
      <c r="M673" s="300"/>
      <c r="N673" s="301"/>
      <c r="O673" s="302"/>
      <c r="P673" s="302"/>
      <c r="S673" s="305"/>
      <c r="T673" s="305"/>
      <c r="U673" s="306"/>
      <c r="V673" s="305"/>
      <c r="W673" s="305"/>
      <c r="X673" s="305"/>
      <c r="Y673" s="305"/>
      <c r="Z673" s="305"/>
      <c r="AD673" s="296"/>
      <c r="AE673" s="201"/>
      <c r="AF673" s="201"/>
      <c r="AG673" s="201"/>
      <c r="AH673" s="201"/>
      <c r="AI673" s="201"/>
      <c r="AJ673" s="201"/>
      <c r="AK673" s="201"/>
      <c r="AL673" s="201"/>
    </row>
    <row r="674">
      <c r="A674" s="187"/>
      <c r="B674" s="188"/>
      <c r="C674" s="236"/>
      <c r="D674" s="187"/>
      <c r="E674" s="187"/>
      <c r="F674" s="187"/>
      <c r="G674" s="185"/>
      <c r="H674" s="185"/>
      <c r="I674" s="185"/>
      <c r="J674" s="298"/>
      <c r="K674" s="283"/>
      <c r="L674" s="299"/>
      <c r="M674" s="300"/>
      <c r="N674" s="301"/>
      <c r="O674" s="302"/>
      <c r="P674" s="302"/>
      <c r="S674" s="305"/>
      <c r="T674" s="305"/>
      <c r="U674" s="306"/>
      <c r="V674" s="305"/>
      <c r="W674" s="305"/>
      <c r="X674" s="305"/>
      <c r="Y674" s="305"/>
      <c r="Z674" s="305"/>
      <c r="AD674" s="296"/>
      <c r="AE674" s="201"/>
      <c r="AF674" s="201"/>
      <c r="AG674" s="201"/>
      <c r="AH674" s="201"/>
      <c r="AI674" s="201"/>
      <c r="AJ674" s="201"/>
      <c r="AK674" s="201"/>
      <c r="AL674" s="201"/>
    </row>
    <row r="675">
      <c r="A675" s="187"/>
      <c r="B675" s="188"/>
      <c r="C675" s="236"/>
      <c r="D675" s="187"/>
      <c r="E675" s="187"/>
      <c r="F675" s="187"/>
      <c r="G675" s="185"/>
      <c r="H675" s="185"/>
      <c r="I675" s="185"/>
      <c r="J675" s="298"/>
      <c r="K675" s="283"/>
      <c r="L675" s="299"/>
      <c r="M675" s="300"/>
      <c r="N675" s="301"/>
      <c r="O675" s="302"/>
      <c r="P675" s="302"/>
      <c r="S675" s="305"/>
      <c r="T675" s="305"/>
      <c r="U675" s="306"/>
      <c r="V675" s="305"/>
      <c r="W675" s="305"/>
      <c r="X675" s="305"/>
      <c r="Y675" s="305"/>
      <c r="Z675" s="305"/>
      <c r="AD675" s="296"/>
      <c r="AE675" s="201"/>
      <c r="AF675" s="201"/>
      <c r="AG675" s="201"/>
      <c r="AH675" s="201"/>
      <c r="AI675" s="201"/>
      <c r="AJ675" s="201"/>
      <c r="AK675" s="201"/>
      <c r="AL675" s="201"/>
    </row>
    <row r="676">
      <c r="A676" s="187"/>
      <c r="B676" s="188"/>
      <c r="C676" s="236"/>
      <c r="D676" s="187"/>
      <c r="E676" s="187"/>
      <c r="F676" s="187"/>
      <c r="G676" s="185"/>
      <c r="H676" s="185"/>
      <c r="I676" s="185"/>
      <c r="J676" s="298"/>
      <c r="K676" s="283"/>
      <c r="L676" s="299"/>
      <c r="M676" s="300"/>
      <c r="N676" s="301"/>
      <c r="O676" s="302"/>
      <c r="P676" s="302"/>
      <c r="S676" s="305"/>
      <c r="T676" s="305"/>
      <c r="U676" s="306"/>
      <c r="V676" s="305"/>
      <c r="W676" s="305"/>
      <c r="X676" s="305"/>
      <c r="Y676" s="305"/>
      <c r="Z676" s="305"/>
      <c r="AD676" s="296"/>
      <c r="AE676" s="201"/>
      <c r="AF676" s="201"/>
      <c r="AG676" s="201"/>
      <c r="AH676" s="201"/>
      <c r="AI676" s="201"/>
      <c r="AJ676" s="201"/>
      <c r="AK676" s="201"/>
      <c r="AL676" s="201"/>
    </row>
    <row r="677">
      <c r="A677" s="187"/>
      <c r="B677" s="188"/>
      <c r="C677" s="236"/>
      <c r="D677" s="187"/>
      <c r="E677" s="187"/>
      <c r="F677" s="187"/>
      <c r="G677" s="185"/>
      <c r="H677" s="185"/>
      <c r="I677" s="185"/>
      <c r="J677" s="298"/>
      <c r="K677" s="283"/>
      <c r="L677" s="299"/>
      <c r="M677" s="300"/>
      <c r="N677" s="301"/>
      <c r="O677" s="302"/>
      <c r="P677" s="302"/>
      <c r="S677" s="305"/>
      <c r="T677" s="305"/>
      <c r="U677" s="306"/>
      <c r="V677" s="305"/>
      <c r="W677" s="305"/>
      <c r="X677" s="305"/>
      <c r="Y677" s="305"/>
      <c r="Z677" s="305"/>
      <c r="AD677" s="296"/>
      <c r="AE677" s="201"/>
      <c r="AF677" s="201"/>
      <c r="AG677" s="201"/>
      <c r="AH677" s="201"/>
      <c r="AI677" s="201"/>
      <c r="AJ677" s="201"/>
      <c r="AK677" s="201"/>
      <c r="AL677" s="201"/>
    </row>
    <row r="678">
      <c r="A678" s="187"/>
      <c r="B678" s="188"/>
      <c r="C678" s="236"/>
      <c r="D678" s="187"/>
      <c r="E678" s="187"/>
      <c r="F678" s="187"/>
      <c r="G678" s="185"/>
      <c r="H678" s="185"/>
      <c r="I678" s="185"/>
      <c r="J678" s="298"/>
      <c r="K678" s="283"/>
      <c r="L678" s="299"/>
      <c r="M678" s="300"/>
      <c r="N678" s="301"/>
      <c r="O678" s="302"/>
      <c r="P678" s="302"/>
      <c r="S678" s="305"/>
      <c r="T678" s="305"/>
      <c r="U678" s="306"/>
      <c r="V678" s="305"/>
      <c r="W678" s="305"/>
      <c r="X678" s="305"/>
      <c r="Y678" s="305"/>
      <c r="Z678" s="305"/>
      <c r="AD678" s="296"/>
      <c r="AE678" s="201"/>
      <c r="AF678" s="201"/>
      <c r="AG678" s="201"/>
      <c r="AH678" s="201"/>
      <c r="AI678" s="201"/>
      <c r="AJ678" s="201"/>
      <c r="AK678" s="201"/>
      <c r="AL678" s="201"/>
    </row>
    <row r="679">
      <c r="A679" s="187"/>
      <c r="B679" s="188"/>
      <c r="C679" s="236"/>
      <c r="D679" s="187"/>
      <c r="E679" s="187"/>
      <c r="F679" s="187"/>
      <c r="G679" s="185"/>
      <c r="H679" s="185"/>
      <c r="I679" s="185"/>
      <c r="J679" s="298"/>
      <c r="K679" s="283"/>
      <c r="L679" s="299"/>
      <c r="M679" s="300"/>
      <c r="N679" s="301"/>
      <c r="O679" s="302"/>
      <c r="P679" s="302"/>
      <c r="S679" s="305"/>
      <c r="T679" s="305"/>
      <c r="U679" s="306"/>
      <c r="V679" s="305"/>
      <c r="W679" s="305"/>
      <c r="X679" s="305"/>
      <c r="Y679" s="305"/>
      <c r="Z679" s="305"/>
      <c r="AD679" s="296"/>
      <c r="AE679" s="201"/>
      <c r="AF679" s="201"/>
      <c r="AG679" s="201"/>
      <c r="AH679" s="201"/>
      <c r="AI679" s="201"/>
      <c r="AJ679" s="201"/>
      <c r="AK679" s="201"/>
      <c r="AL679" s="201"/>
    </row>
    <row r="680">
      <c r="A680" s="187"/>
      <c r="B680" s="188"/>
      <c r="C680" s="236"/>
      <c r="D680" s="187"/>
      <c r="E680" s="187"/>
      <c r="F680" s="187"/>
      <c r="G680" s="185"/>
      <c r="H680" s="185"/>
      <c r="I680" s="185"/>
      <c r="J680" s="298"/>
      <c r="K680" s="283"/>
      <c r="L680" s="299"/>
      <c r="M680" s="300"/>
      <c r="N680" s="301"/>
      <c r="O680" s="302"/>
      <c r="P680" s="302"/>
      <c r="S680" s="305"/>
      <c r="T680" s="305"/>
      <c r="U680" s="306"/>
      <c r="V680" s="305"/>
      <c r="W680" s="305"/>
      <c r="X680" s="305"/>
      <c r="Y680" s="305"/>
      <c r="Z680" s="305"/>
      <c r="AD680" s="296"/>
      <c r="AE680" s="201"/>
      <c r="AF680" s="201"/>
      <c r="AG680" s="201"/>
      <c r="AH680" s="201"/>
      <c r="AI680" s="201"/>
      <c r="AJ680" s="201"/>
      <c r="AK680" s="201"/>
      <c r="AL680" s="201"/>
    </row>
    <row r="681">
      <c r="A681" s="187"/>
      <c r="B681" s="188"/>
      <c r="C681" s="236"/>
      <c r="D681" s="187"/>
      <c r="E681" s="187"/>
      <c r="F681" s="187"/>
      <c r="G681" s="185"/>
      <c r="H681" s="185"/>
      <c r="I681" s="185"/>
      <c r="J681" s="298"/>
      <c r="K681" s="283"/>
      <c r="L681" s="299"/>
      <c r="M681" s="300"/>
      <c r="N681" s="301"/>
      <c r="O681" s="302"/>
      <c r="P681" s="302"/>
      <c r="S681" s="305"/>
      <c r="T681" s="305"/>
      <c r="U681" s="306"/>
      <c r="V681" s="305"/>
      <c r="W681" s="305"/>
      <c r="X681" s="305"/>
      <c r="Y681" s="305"/>
      <c r="Z681" s="305"/>
      <c r="AD681" s="296"/>
      <c r="AE681" s="201"/>
      <c r="AF681" s="201"/>
      <c r="AG681" s="201"/>
      <c r="AH681" s="201"/>
      <c r="AI681" s="201"/>
      <c r="AJ681" s="201"/>
      <c r="AK681" s="201"/>
      <c r="AL681" s="201"/>
    </row>
    <row r="682">
      <c r="A682" s="187"/>
      <c r="B682" s="188"/>
      <c r="C682" s="236"/>
      <c r="D682" s="187"/>
      <c r="E682" s="187"/>
      <c r="F682" s="187"/>
      <c r="G682" s="185"/>
      <c r="H682" s="185"/>
      <c r="I682" s="185"/>
      <c r="J682" s="298"/>
      <c r="K682" s="283"/>
      <c r="L682" s="299"/>
      <c r="M682" s="300"/>
      <c r="N682" s="301"/>
      <c r="O682" s="302"/>
      <c r="P682" s="302"/>
      <c r="S682" s="305"/>
      <c r="T682" s="305"/>
      <c r="U682" s="306"/>
      <c r="V682" s="305"/>
      <c r="W682" s="305"/>
      <c r="X682" s="305"/>
      <c r="Y682" s="305"/>
      <c r="Z682" s="305"/>
      <c r="AD682" s="296"/>
      <c r="AE682" s="201"/>
      <c r="AF682" s="201"/>
      <c r="AG682" s="201"/>
      <c r="AH682" s="201"/>
      <c r="AI682" s="201"/>
      <c r="AJ682" s="201"/>
      <c r="AK682" s="201"/>
      <c r="AL682" s="201"/>
    </row>
    <row r="683">
      <c r="A683" s="187"/>
      <c r="B683" s="188"/>
      <c r="C683" s="236"/>
      <c r="D683" s="187"/>
      <c r="E683" s="187"/>
      <c r="F683" s="187"/>
      <c r="G683" s="185"/>
      <c r="H683" s="185"/>
      <c r="I683" s="185"/>
      <c r="J683" s="298"/>
      <c r="K683" s="283"/>
      <c r="L683" s="299"/>
      <c r="M683" s="300"/>
      <c r="N683" s="301"/>
      <c r="O683" s="302"/>
      <c r="P683" s="302"/>
      <c r="S683" s="305"/>
      <c r="T683" s="305"/>
      <c r="U683" s="306"/>
      <c r="V683" s="305"/>
      <c r="W683" s="305"/>
      <c r="X683" s="305"/>
      <c r="Y683" s="305"/>
      <c r="Z683" s="305"/>
      <c r="AD683" s="296"/>
      <c r="AE683" s="201"/>
      <c r="AF683" s="201"/>
      <c r="AG683" s="201"/>
      <c r="AH683" s="201"/>
      <c r="AI683" s="201"/>
      <c r="AJ683" s="201"/>
      <c r="AK683" s="201"/>
      <c r="AL683" s="201"/>
    </row>
    <row r="684">
      <c r="A684" s="187"/>
      <c r="B684" s="188"/>
      <c r="C684" s="236"/>
      <c r="D684" s="187"/>
      <c r="E684" s="187"/>
      <c r="F684" s="187"/>
      <c r="G684" s="185"/>
      <c r="H684" s="185"/>
      <c r="I684" s="185"/>
      <c r="J684" s="298"/>
      <c r="K684" s="283"/>
      <c r="L684" s="299"/>
      <c r="M684" s="300"/>
      <c r="N684" s="301"/>
      <c r="O684" s="302"/>
      <c r="P684" s="302"/>
      <c r="S684" s="305"/>
      <c r="T684" s="305"/>
      <c r="U684" s="306"/>
      <c r="V684" s="305"/>
      <c r="W684" s="305"/>
      <c r="X684" s="305"/>
      <c r="Y684" s="305"/>
      <c r="Z684" s="305"/>
      <c r="AD684" s="296"/>
      <c r="AE684" s="201"/>
      <c r="AF684" s="201"/>
      <c r="AG684" s="201"/>
      <c r="AH684" s="201"/>
      <c r="AI684" s="201"/>
      <c r="AJ684" s="201"/>
      <c r="AK684" s="201"/>
      <c r="AL684" s="201"/>
    </row>
    <row r="685">
      <c r="A685" s="187"/>
      <c r="B685" s="188"/>
      <c r="C685" s="236"/>
      <c r="D685" s="187"/>
      <c r="E685" s="187"/>
      <c r="F685" s="187"/>
      <c r="G685" s="185"/>
      <c r="H685" s="185"/>
      <c r="I685" s="185"/>
      <c r="J685" s="298"/>
      <c r="K685" s="283"/>
      <c r="L685" s="299"/>
      <c r="M685" s="300"/>
      <c r="N685" s="301"/>
      <c r="O685" s="302"/>
      <c r="P685" s="302"/>
      <c r="S685" s="305"/>
      <c r="T685" s="305"/>
      <c r="U685" s="306"/>
      <c r="V685" s="305"/>
      <c r="W685" s="305"/>
      <c r="X685" s="305"/>
      <c r="Y685" s="305"/>
      <c r="Z685" s="305"/>
      <c r="AD685" s="296"/>
      <c r="AE685" s="201"/>
      <c r="AF685" s="201"/>
      <c r="AG685" s="201"/>
      <c r="AH685" s="201"/>
      <c r="AI685" s="201"/>
      <c r="AJ685" s="201"/>
      <c r="AK685" s="201"/>
      <c r="AL685" s="201"/>
    </row>
    <row r="686">
      <c r="A686" s="187"/>
      <c r="B686" s="188"/>
      <c r="C686" s="236"/>
      <c r="D686" s="187"/>
      <c r="E686" s="187"/>
      <c r="F686" s="187"/>
      <c r="G686" s="185"/>
      <c r="H686" s="185"/>
      <c r="I686" s="185"/>
      <c r="J686" s="298"/>
      <c r="K686" s="283"/>
      <c r="L686" s="299"/>
      <c r="M686" s="300"/>
      <c r="N686" s="301"/>
      <c r="O686" s="302"/>
      <c r="P686" s="302"/>
      <c r="S686" s="305"/>
      <c r="T686" s="305"/>
      <c r="U686" s="306"/>
      <c r="V686" s="305"/>
      <c r="W686" s="305"/>
      <c r="X686" s="305"/>
      <c r="Y686" s="305"/>
      <c r="Z686" s="305"/>
      <c r="AD686" s="296"/>
      <c r="AE686" s="201"/>
      <c r="AF686" s="201"/>
      <c r="AG686" s="201"/>
      <c r="AH686" s="201"/>
      <c r="AI686" s="201"/>
      <c r="AJ686" s="201"/>
      <c r="AK686" s="201"/>
      <c r="AL686" s="201"/>
    </row>
    <row r="687">
      <c r="A687" s="187"/>
      <c r="B687" s="188"/>
      <c r="C687" s="236"/>
      <c r="D687" s="187"/>
      <c r="E687" s="187"/>
      <c r="F687" s="187"/>
      <c r="G687" s="185"/>
      <c r="H687" s="185"/>
      <c r="I687" s="185"/>
      <c r="J687" s="298"/>
      <c r="K687" s="283"/>
      <c r="L687" s="299"/>
      <c r="M687" s="300"/>
      <c r="N687" s="301"/>
      <c r="O687" s="302"/>
      <c r="P687" s="302"/>
      <c r="S687" s="305"/>
      <c r="T687" s="305"/>
      <c r="U687" s="306"/>
      <c r="V687" s="305"/>
      <c r="W687" s="305"/>
      <c r="X687" s="305"/>
      <c r="Y687" s="305"/>
      <c r="Z687" s="305"/>
      <c r="AD687" s="296"/>
      <c r="AE687" s="201"/>
      <c r="AF687" s="201"/>
      <c r="AG687" s="201"/>
      <c r="AH687" s="201"/>
      <c r="AI687" s="201"/>
      <c r="AJ687" s="201"/>
      <c r="AK687" s="201"/>
      <c r="AL687" s="201"/>
    </row>
    <row r="688">
      <c r="A688" s="187"/>
      <c r="B688" s="188"/>
      <c r="C688" s="236"/>
      <c r="D688" s="187"/>
      <c r="E688" s="187"/>
      <c r="F688" s="187"/>
      <c r="G688" s="185"/>
      <c r="H688" s="185"/>
      <c r="I688" s="185"/>
      <c r="J688" s="298"/>
      <c r="K688" s="283"/>
      <c r="L688" s="299"/>
      <c r="M688" s="300"/>
      <c r="N688" s="301"/>
      <c r="O688" s="302"/>
      <c r="P688" s="302"/>
      <c r="S688" s="305"/>
      <c r="T688" s="305"/>
      <c r="U688" s="306"/>
      <c r="V688" s="305"/>
      <c r="W688" s="305"/>
      <c r="X688" s="305"/>
      <c r="Y688" s="305"/>
      <c r="Z688" s="305"/>
      <c r="AD688" s="296"/>
      <c r="AE688" s="201"/>
      <c r="AF688" s="201"/>
      <c r="AG688" s="201"/>
      <c r="AH688" s="201"/>
      <c r="AI688" s="201"/>
      <c r="AJ688" s="201"/>
      <c r="AK688" s="201"/>
      <c r="AL688" s="201"/>
    </row>
    <row r="689">
      <c r="A689" s="187"/>
      <c r="B689" s="188"/>
      <c r="C689" s="236"/>
      <c r="D689" s="187"/>
      <c r="E689" s="187"/>
      <c r="F689" s="187"/>
      <c r="G689" s="185"/>
      <c r="H689" s="185"/>
      <c r="I689" s="185"/>
      <c r="J689" s="298"/>
      <c r="K689" s="283"/>
      <c r="L689" s="299"/>
      <c r="M689" s="300"/>
      <c r="N689" s="301"/>
      <c r="O689" s="302"/>
      <c r="P689" s="302"/>
      <c r="S689" s="305"/>
      <c r="T689" s="305"/>
      <c r="U689" s="306"/>
      <c r="V689" s="305"/>
      <c r="W689" s="305"/>
      <c r="X689" s="305"/>
      <c r="Y689" s="305"/>
      <c r="Z689" s="305"/>
      <c r="AD689" s="296"/>
      <c r="AE689" s="201"/>
      <c r="AF689" s="201"/>
      <c r="AG689" s="201"/>
      <c r="AH689" s="201"/>
      <c r="AI689" s="201"/>
      <c r="AJ689" s="201"/>
      <c r="AK689" s="201"/>
      <c r="AL689" s="201"/>
    </row>
    <row r="690">
      <c r="A690" s="187"/>
      <c r="B690" s="188"/>
      <c r="C690" s="236"/>
      <c r="D690" s="187"/>
      <c r="E690" s="187"/>
      <c r="F690" s="187"/>
      <c r="G690" s="185"/>
      <c r="H690" s="185"/>
      <c r="I690" s="185"/>
      <c r="J690" s="298"/>
      <c r="K690" s="283"/>
      <c r="L690" s="299"/>
      <c r="M690" s="300"/>
      <c r="N690" s="301"/>
      <c r="O690" s="302"/>
      <c r="P690" s="302"/>
      <c r="S690" s="305"/>
      <c r="T690" s="305"/>
      <c r="U690" s="306"/>
      <c r="V690" s="305"/>
      <c r="W690" s="305"/>
      <c r="X690" s="305"/>
      <c r="Y690" s="305"/>
      <c r="Z690" s="305"/>
      <c r="AD690" s="296"/>
      <c r="AE690" s="201"/>
      <c r="AF690" s="201"/>
      <c r="AG690" s="201"/>
      <c r="AH690" s="201"/>
      <c r="AI690" s="201"/>
      <c r="AJ690" s="201"/>
      <c r="AK690" s="201"/>
      <c r="AL690" s="201"/>
    </row>
    <row r="691">
      <c r="A691" s="187"/>
      <c r="B691" s="188"/>
      <c r="C691" s="236"/>
      <c r="D691" s="187"/>
      <c r="E691" s="187"/>
      <c r="F691" s="187"/>
      <c r="G691" s="185"/>
      <c r="H691" s="185"/>
      <c r="I691" s="185"/>
      <c r="J691" s="298"/>
      <c r="K691" s="283"/>
      <c r="L691" s="299"/>
      <c r="M691" s="300"/>
      <c r="N691" s="301"/>
      <c r="O691" s="302"/>
      <c r="P691" s="302"/>
      <c r="S691" s="305"/>
      <c r="T691" s="305"/>
      <c r="U691" s="306"/>
      <c r="V691" s="305"/>
      <c r="W691" s="305"/>
      <c r="X691" s="305"/>
      <c r="Y691" s="305"/>
      <c r="Z691" s="305"/>
      <c r="AD691" s="296"/>
      <c r="AE691" s="201"/>
      <c r="AF691" s="201"/>
      <c r="AG691" s="201"/>
      <c r="AH691" s="201"/>
      <c r="AI691" s="201"/>
      <c r="AJ691" s="201"/>
      <c r="AK691" s="201"/>
      <c r="AL691" s="201"/>
    </row>
    <row r="692">
      <c r="A692" s="187"/>
      <c r="B692" s="188"/>
      <c r="C692" s="236"/>
      <c r="D692" s="187"/>
      <c r="E692" s="187"/>
      <c r="F692" s="187"/>
      <c r="G692" s="185"/>
      <c r="H692" s="185"/>
      <c r="I692" s="185"/>
      <c r="J692" s="298"/>
      <c r="K692" s="283"/>
      <c r="L692" s="299"/>
      <c r="M692" s="300"/>
      <c r="N692" s="301"/>
      <c r="O692" s="302"/>
      <c r="P692" s="302"/>
      <c r="S692" s="305"/>
      <c r="T692" s="305"/>
      <c r="U692" s="306"/>
      <c r="V692" s="305"/>
      <c r="W692" s="305"/>
      <c r="X692" s="305"/>
      <c r="Y692" s="305"/>
      <c r="Z692" s="305"/>
      <c r="AD692" s="296"/>
      <c r="AE692" s="201"/>
      <c r="AF692" s="201"/>
      <c r="AG692" s="201"/>
      <c r="AH692" s="201"/>
      <c r="AI692" s="201"/>
      <c r="AJ692" s="201"/>
      <c r="AK692" s="201"/>
      <c r="AL692" s="201"/>
    </row>
    <row r="693">
      <c r="A693" s="187"/>
      <c r="B693" s="188"/>
      <c r="C693" s="236"/>
      <c r="D693" s="187"/>
      <c r="E693" s="187"/>
      <c r="F693" s="187"/>
      <c r="G693" s="185"/>
      <c r="H693" s="185"/>
      <c r="I693" s="185"/>
      <c r="J693" s="298"/>
      <c r="K693" s="283"/>
      <c r="L693" s="299"/>
      <c r="M693" s="300"/>
      <c r="N693" s="301"/>
      <c r="O693" s="302"/>
      <c r="P693" s="302"/>
      <c r="S693" s="305"/>
      <c r="T693" s="305"/>
      <c r="U693" s="306"/>
      <c r="V693" s="305"/>
      <c r="W693" s="305"/>
      <c r="X693" s="305"/>
      <c r="Y693" s="305"/>
      <c r="Z693" s="305"/>
      <c r="AD693" s="296"/>
      <c r="AE693" s="201"/>
      <c r="AF693" s="201"/>
      <c r="AG693" s="201"/>
      <c r="AH693" s="201"/>
      <c r="AI693" s="201"/>
      <c r="AJ693" s="201"/>
      <c r="AK693" s="201"/>
      <c r="AL693" s="201"/>
    </row>
    <row r="694">
      <c r="A694" s="187"/>
      <c r="B694" s="188"/>
      <c r="C694" s="236"/>
      <c r="D694" s="187"/>
      <c r="E694" s="187"/>
      <c r="F694" s="187"/>
      <c r="G694" s="185"/>
      <c r="H694" s="185"/>
      <c r="I694" s="185"/>
      <c r="J694" s="298"/>
      <c r="K694" s="283"/>
      <c r="L694" s="299"/>
      <c r="M694" s="300"/>
      <c r="N694" s="301"/>
      <c r="O694" s="302"/>
      <c r="P694" s="302"/>
      <c r="S694" s="305"/>
      <c r="T694" s="305"/>
      <c r="U694" s="306"/>
      <c r="V694" s="305"/>
      <c r="W694" s="305"/>
      <c r="X694" s="305"/>
      <c r="Y694" s="305"/>
      <c r="Z694" s="305"/>
      <c r="AD694" s="296"/>
      <c r="AE694" s="201"/>
      <c r="AF694" s="201"/>
      <c r="AG694" s="201"/>
      <c r="AH694" s="201"/>
      <c r="AI694" s="201"/>
      <c r="AJ694" s="201"/>
      <c r="AK694" s="201"/>
      <c r="AL694" s="201"/>
    </row>
    <row r="695">
      <c r="A695" s="187"/>
      <c r="B695" s="188"/>
      <c r="C695" s="236"/>
      <c r="D695" s="187"/>
      <c r="E695" s="187"/>
      <c r="F695" s="187"/>
      <c r="G695" s="185"/>
      <c r="H695" s="185"/>
      <c r="I695" s="185"/>
      <c r="J695" s="298"/>
      <c r="K695" s="283"/>
      <c r="L695" s="299"/>
      <c r="M695" s="300"/>
      <c r="N695" s="301"/>
      <c r="O695" s="302"/>
      <c r="P695" s="302"/>
      <c r="S695" s="305"/>
      <c r="T695" s="305"/>
      <c r="U695" s="306"/>
      <c r="V695" s="305"/>
      <c r="W695" s="305"/>
      <c r="X695" s="305"/>
      <c r="Y695" s="305"/>
      <c r="Z695" s="305"/>
      <c r="AD695" s="296"/>
      <c r="AE695" s="201"/>
      <c r="AF695" s="201"/>
      <c r="AG695" s="201"/>
      <c r="AH695" s="201"/>
      <c r="AI695" s="201"/>
      <c r="AJ695" s="201"/>
      <c r="AK695" s="201"/>
      <c r="AL695" s="201"/>
    </row>
    <row r="696">
      <c r="A696" s="187"/>
      <c r="B696" s="188"/>
      <c r="C696" s="236"/>
      <c r="D696" s="187"/>
      <c r="E696" s="187"/>
      <c r="F696" s="187"/>
      <c r="G696" s="185"/>
      <c r="H696" s="185"/>
      <c r="I696" s="185"/>
      <c r="J696" s="298"/>
      <c r="K696" s="283"/>
      <c r="L696" s="299"/>
      <c r="M696" s="300"/>
      <c r="N696" s="301"/>
      <c r="O696" s="302"/>
      <c r="P696" s="302"/>
      <c r="S696" s="305"/>
      <c r="T696" s="305"/>
      <c r="U696" s="306"/>
      <c r="V696" s="305"/>
      <c r="W696" s="305"/>
      <c r="X696" s="305"/>
      <c r="Y696" s="305"/>
      <c r="Z696" s="305"/>
      <c r="AD696" s="296"/>
      <c r="AE696" s="201"/>
      <c r="AF696" s="201"/>
      <c r="AG696" s="201"/>
      <c r="AH696" s="201"/>
      <c r="AI696" s="201"/>
      <c r="AJ696" s="201"/>
      <c r="AK696" s="201"/>
      <c r="AL696" s="201"/>
    </row>
    <row r="697">
      <c r="A697" s="187"/>
      <c r="B697" s="188"/>
      <c r="C697" s="236"/>
      <c r="D697" s="187"/>
      <c r="E697" s="187"/>
      <c r="F697" s="187"/>
      <c r="G697" s="185"/>
      <c r="H697" s="185"/>
      <c r="I697" s="185"/>
      <c r="J697" s="298"/>
      <c r="K697" s="283"/>
      <c r="L697" s="299"/>
      <c r="M697" s="300"/>
      <c r="N697" s="301"/>
      <c r="O697" s="302"/>
      <c r="P697" s="302"/>
      <c r="S697" s="305"/>
      <c r="T697" s="305"/>
      <c r="U697" s="306"/>
      <c r="V697" s="305"/>
      <c r="W697" s="305"/>
      <c r="X697" s="305"/>
      <c r="Y697" s="305"/>
      <c r="Z697" s="305"/>
      <c r="AD697" s="296"/>
      <c r="AE697" s="201"/>
      <c r="AF697" s="201"/>
      <c r="AG697" s="201"/>
      <c r="AH697" s="201"/>
      <c r="AI697" s="201"/>
      <c r="AJ697" s="201"/>
      <c r="AK697" s="201"/>
      <c r="AL697" s="201"/>
    </row>
    <row r="698">
      <c r="A698" s="187"/>
      <c r="B698" s="188"/>
      <c r="C698" s="236"/>
      <c r="D698" s="187"/>
      <c r="E698" s="187"/>
      <c r="F698" s="187"/>
      <c r="G698" s="185"/>
      <c r="H698" s="185"/>
      <c r="I698" s="185"/>
      <c r="J698" s="298"/>
      <c r="K698" s="283"/>
      <c r="L698" s="299"/>
      <c r="M698" s="300"/>
      <c r="N698" s="301"/>
      <c r="O698" s="302"/>
      <c r="P698" s="302"/>
      <c r="S698" s="305"/>
      <c r="T698" s="305"/>
      <c r="U698" s="306"/>
      <c r="V698" s="305"/>
      <c r="W698" s="305"/>
      <c r="X698" s="305"/>
      <c r="Y698" s="305"/>
      <c r="Z698" s="305"/>
      <c r="AD698" s="296"/>
      <c r="AE698" s="201"/>
      <c r="AF698" s="201"/>
      <c r="AG698" s="201"/>
      <c r="AH698" s="201"/>
      <c r="AI698" s="201"/>
      <c r="AJ698" s="201"/>
      <c r="AK698" s="201"/>
      <c r="AL698" s="201"/>
    </row>
    <row r="699">
      <c r="A699" s="187"/>
      <c r="B699" s="188"/>
      <c r="C699" s="236"/>
      <c r="D699" s="187"/>
      <c r="E699" s="187"/>
      <c r="F699" s="187"/>
      <c r="G699" s="185"/>
      <c r="H699" s="185"/>
      <c r="I699" s="185"/>
      <c r="J699" s="298"/>
      <c r="K699" s="283"/>
      <c r="L699" s="299"/>
      <c r="M699" s="300"/>
      <c r="N699" s="301"/>
      <c r="O699" s="302"/>
      <c r="P699" s="302"/>
      <c r="S699" s="305"/>
      <c r="T699" s="305"/>
      <c r="U699" s="306"/>
      <c r="V699" s="305"/>
      <c r="W699" s="305"/>
      <c r="X699" s="305"/>
      <c r="Y699" s="305"/>
      <c r="Z699" s="305"/>
      <c r="AD699" s="296"/>
      <c r="AE699" s="201"/>
      <c r="AF699" s="201"/>
      <c r="AG699" s="201"/>
      <c r="AH699" s="201"/>
      <c r="AI699" s="201"/>
      <c r="AJ699" s="201"/>
      <c r="AK699" s="201"/>
      <c r="AL699" s="201"/>
    </row>
    <row r="700">
      <c r="A700" s="187"/>
      <c r="B700" s="188"/>
      <c r="C700" s="236"/>
      <c r="D700" s="187"/>
      <c r="E700" s="187"/>
      <c r="F700" s="187"/>
      <c r="G700" s="185"/>
      <c r="H700" s="185"/>
      <c r="I700" s="185"/>
      <c r="J700" s="298"/>
      <c r="K700" s="283"/>
      <c r="L700" s="299"/>
      <c r="M700" s="300"/>
      <c r="N700" s="301"/>
      <c r="O700" s="302"/>
      <c r="P700" s="302"/>
      <c r="S700" s="305"/>
      <c r="T700" s="305"/>
      <c r="U700" s="306"/>
      <c r="V700" s="305"/>
      <c r="W700" s="305"/>
      <c r="X700" s="305"/>
      <c r="Y700" s="305"/>
      <c r="Z700" s="305"/>
      <c r="AD700" s="296"/>
      <c r="AE700" s="201"/>
      <c r="AF700" s="201"/>
      <c r="AG700" s="201"/>
      <c r="AH700" s="201"/>
      <c r="AI700" s="201"/>
      <c r="AJ700" s="201"/>
      <c r="AK700" s="201"/>
      <c r="AL700" s="201"/>
    </row>
    <row r="701">
      <c r="A701" s="187"/>
      <c r="B701" s="188"/>
      <c r="C701" s="236"/>
      <c r="D701" s="187"/>
      <c r="E701" s="187"/>
      <c r="F701" s="187"/>
      <c r="G701" s="185"/>
      <c r="H701" s="185"/>
      <c r="I701" s="185"/>
      <c r="J701" s="298"/>
      <c r="K701" s="283"/>
      <c r="L701" s="299"/>
      <c r="M701" s="300"/>
      <c r="N701" s="301"/>
      <c r="O701" s="302"/>
      <c r="P701" s="302"/>
      <c r="S701" s="305"/>
      <c r="T701" s="305"/>
      <c r="U701" s="306"/>
      <c r="V701" s="305"/>
      <c r="W701" s="305"/>
      <c r="X701" s="305"/>
      <c r="Y701" s="305"/>
      <c r="Z701" s="305"/>
      <c r="AD701" s="296"/>
      <c r="AE701" s="201"/>
      <c r="AF701" s="201"/>
      <c r="AG701" s="201"/>
      <c r="AH701" s="201"/>
      <c r="AI701" s="201"/>
      <c r="AJ701" s="201"/>
      <c r="AK701" s="201"/>
      <c r="AL701" s="201"/>
    </row>
    <row r="702">
      <c r="A702" s="187"/>
      <c r="B702" s="188"/>
      <c r="C702" s="236"/>
      <c r="D702" s="187"/>
      <c r="E702" s="187"/>
      <c r="F702" s="187"/>
      <c r="G702" s="185"/>
      <c r="H702" s="185"/>
      <c r="I702" s="185"/>
      <c r="J702" s="298"/>
      <c r="K702" s="283"/>
      <c r="L702" s="299"/>
      <c r="M702" s="300"/>
      <c r="N702" s="301"/>
      <c r="O702" s="302"/>
      <c r="P702" s="302"/>
      <c r="S702" s="305"/>
      <c r="T702" s="305"/>
      <c r="U702" s="306"/>
      <c r="V702" s="305"/>
      <c r="W702" s="305"/>
      <c r="X702" s="305"/>
      <c r="Y702" s="305"/>
      <c r="Z702" s="305"/>
      <c r="AD702" s="296"/>
      <c r="AE702" s="201"/>
      <c r="AF702" s="201"/>
      <c r="AG702" s="201"/>
      <c r="AH702" s="201"/>
      <c r="AI702" s="201"/>
      <c r="AJ702" s="201"/>
      <c r="AK702" s="201"/>
      <c r="AL702" s="201"/>
    </row>
    <row r="703">
      <c r="A703" s="187"/>
      <c r="B703" s="188"/>
      <c r="C703" s="236"/>
      <c r="D703" s="187"/>
      <c r="E703" s="187"/>
      <c r="F703" s="187"/>
      <c r="G703" s="185"/>
      <c r="H703" s="185"/>
      <c r="I703" s="185"/>
      <c r="J703" s="298"/>
      <c r="K703" s="283"/>
      <c r="L703" s="299"/>
      <c r="M703" s="300"/>
      <c r="N703" s="301"/>
      <c r="O703" s="302"/>
      <c r="P703" s="302"/>
      <c r="S703" s="305"/>
      <c r="T703" s="305"/>
      <c r="U703" s="306"/>
      <c r="V703" s="305"/>
      <c r="W703" s="305"/>
      <c r="X703" s="305"/>
      <c r="Y703" s="305"/>
      <c r="Z703" s="305"/>
      <c r="AD703" s="296"/>
      <c r="AE703" s="201"/>
      <c r="AF703" s="201"/>
      <c r="AG703" s="201"/>
      <c r="AH703" s="201"/>
      <c r="AI703" s="201"/>
      <c r="AJ703" s="201"/>
      <c r="AK703" s="201"/>
      <c r="AL703" s="201"/>
    </row>
    <row r="704">
      <c r="A704" s="187"/>
      <c r="B704" s="188"/>
      <c r="C704" s="236"/>
      <c r="D704" s="187"/>
      <c r="E704" s="187"/>
      <c r="F704" s="187"/>
      <c r="G704" s="185"/>
      <c r="H704" s="185"/>
      <c r="I704" s="185"/>
      <c r="J704" s="298"/>
      <c r="K704" s="283"/>
      <c r="L704" s="299"/>
      <c r="M704" s="300"/>
      <c r="N704" s="301"/>
      <c r="O704" s="302"/>
      <c r="P704" s="302"/>
      <c r="S704" s="305"/>
      <c r="T704" s="305"/>
      <c r="U704" s="306"/>
      <c r="V704" s="305"/>
      <c r="W704" s="305"/>
      <c r="X704" s="305"/>
      <c r="Y704" s="305"/>
      <c r="Z704" s="305"/>
      <c r="AD704" s="296"/>
      <c r="AE704" s="201"/>
      <c r="AF704" s="201"/>
      <c r="AG704" s="201"/>
      <c r="AH704" s="201"/>
      <c r="AI704" s="201"/>
      <c r="AJ704" s="201"/>
      <c r="AK704" s="201"/>
      <c r="AL704" s="201"/>
    </row>
    <row r="705">
      <c r="A705" s="187"/>
      <c r="B705" s="188"/>
      <c r="C705" s="236"/>
      <c r="D705" s="187"/>
      <c r="E705" s="187"/>
      <c r="F705" s="187"/>
      <c r="G705" s="185"/>
      <c r="H705" s="185"/>
      <c r="I705" s="185"/>
      <c r="J705" s="298"/>
      <c r="K705" s="283"/>
      <c r="L705" s="299"/>
      <c r="M705" s="300"/>
      <c r="N705" s="301"/>
      <c r="O705" s="302"/>
      <c r="P705" s="302"/>
      <c r="S705" s="305"/>
      <c r="T705" s="305"/>
      <c r="U705" s="306"/>
      <c r="V705" s="305"/>
      <c r="W705" s="305"/>
      <c r="X705" s="305"/>
      <c r="Y705" s="305"/>
      <c r="Z705" s="305"/>
      <c r="AD705" s="296"/>
      <c r="AE705" s="201"/>
      <c r="AF705" s="201"/>
      <c r="AG705" s="201"/>
      <c r="AH705" s="201"/>
      <c r="AI705" s="201"/>
      <c r="AJ705" s="201"/>
      <c r="AK705" s="201"/>
      <c r="AL705" s="201"/>
    </row>
    <row r="706">
      <c r="A706" s="187"/>
      <c r="B706" s="188"/>
      <c r="C706" s="236"/>
      <c r="D706" s="187"/>
      <c r="E706" s="187"/>
      <c r="F706" s="187"/>
      <c r="G706" s="185"/>
      <c r="H706" s="185"/>
      <c r="I706" s="185"/>
      <c r="J706" s="298"/>
      <c r="K706" s="283"/>
      <c r="L706" s="299"/>
      <c r="M706" s="300"/>
      <c r="N706" s="301"/>
      <c r="O706" s="302"/>
      <c r="P706" s="302"/>
      <c r="S706" s="305"/>
      <c r="T706" s="305"/>
      <c r="U706" s="306"/>
      <c r="V706" s="305"/>
      <c r="W706" s="305"/>
      <c r="X706" s="305"/>
      <c r="Y706" s="305"/>
      <c r="Z706" s="305"/>
      <c r="AD706" s="296"/>
      <c r="AE706" s="201"/>
      <c r="AF706" s="201"/>
      <c r="AG706" s="201"/>
      <c r="AH706" s="201"/>
      <c r="AI706" s="201"/>
      <c r="AJ706" s="201"/>
      <c r="AK706" s="201"/>
      <c r="AL706" s="201"/>
    </row>
    <row r="707">
      <c r="A707" s="187"/>
      <c r="B707" s="188"/>
      <c r="C707" s="236"/>
      <c r="D707" s="187"/>
      <c r="E707" s="187"/>
      <c r="F707" s="187"/>
      <c r="G707" s="185"/>
      <c r="H707" s="185"/>
      <c r="I707" s="185"/>
      <c r="J707" s="298"/>
      <c r="K707" s="283"/>
      <c r="L707" s="299"/>
      <c r="M707" s="300"/>
      <c r="N707" s="301"/>
      <c r="O707" s="302"/>
      <c r="P707" s="302"/>
      <c r="S707" s="305"/>
      <c r="T707" s="305"/>
      <c r="U707" s="306"/>
      <c r="V707" s="305"/>
      <c r="W707" s="305"/>
      <c r="X707" s="305"/>
      <c r="Y707" s="305"/>
      <c r="Z707" s="305"/>
      <c r="AD707" s="296"/>
      <c r="AE707" s="201"/>
      <c r="AF707" s="201"/>
      <c r="AG707" s="201"/>
      <c r="AH707" s="201"/>
      <c r="AI707" s="201"/>
      <c r="AJ707" s="201"/>
      <c r="AK707" s="201"/>
      <c r="AL707" s="201"/>
    </row>
    <row r="708">
      <c r="A708" s="187"/>
      <c r="B708" s="188"/>
      <c r="C708" s="236"/>
      <c r="D708" s="187"/>
      <c r="E708" s="187"/>
      <c r="F708" s="187"/>
      <c r="G708" s="185"/>
      <c r="H708" s="185"/>
      <c r="I708" s="185"/>
      <c r="J708" s="298"/>
      <c r="K708" s="283"/>
      <c r="L708" s="299"/>
      <c r="M708" s="300"/>
      <c r="N708" s="301"/>
      <c r="O708" s="302"/>
      <c r="P708" s="302"/>
      <c r="S708" s="305"/>
      <c r="T708" s="305"/>
      <c r="U708" s="306"/>
      <c r="V708" s="305"/>
      <c r="W708" s="305"/>
      <c r="X708" s="305"/>
      <c r="Y708" s="305"/>
      <c r="Z708" s="305"/>
      <c r="AD708" s="296"/>
      <c r="AE708" s="201"/>
      <c r="AF708" s="201"/>
      <c r="AG708" s="201"/>
      <c r="AH708" s="201"/>
      <c r="AI708" s="201"/>
      <c r="AJ708" s="201"/>
      <c r="AK708" s="201"/>
      <c r="AL708" s="201"/>
    </row>
    <row r="709">
      <c r="A709" s="187"/>
      <c r="B709" s="188"/>
      <c r="C709" s="236"/>
      <c r="D709" s="187"/>
      <c r="E709" s="187"/>
      <c r="F709" s="187"/>
      <c r="G709" s="185"/>
      <c r="H709" s="185"/>
      <c r="I709" s="185"/>
      <c r="J709" s="298"/>
      <c r="K709" s="283"/>
      <c r="L709" s="299"/>
      <c r="M709" s="300"/>
      <c r="N709" s="301"/>
      <c r="O709" s="302"/>
      <c r="P709" s="302"/>
      <c r="S709" s="305"/>
      <c r="T709" s="305"/>
      <c r="U709" s="306"/>
      <c r="V709" s="305"/>
      <c r="W709" s="305"/>
      <c r="X709" s="305"/>
      <c r="Y709" s="305"/>
      <c r="Z709" s="305"/>
      <c r="AD709" s="296"/>
      <c r="AE709" s="201"/>
      <c r="AF709" s="201"/>
      <c r="AG709" s="201"/>
      <c r="AH709" s="201"/>
      <c r="AI709" s="201"/>
      <c r="AJ709" s="201"/>
      <c r="AK709" s="201"/>
      <c r="AL709" s="201"/>
    </row>
    <row r="710">
      <c r="A710" s="187"/>
      <c r="B710" s="188"/>
      <c r="C710" s="236"/>
      <c r="D710" s="187"/>
      <c r="E710" s="187"/>
      <c r="F710" s="187"/>
      <c r="G710" s="185"/>
      <c r="H710" s="185"/>
      <c r="I710" s="185"/>
      <c r="J710" s="298"/>
      <c r="K710" s="283"/>
      <c r="L710" s="299"/>
      <c r="M710" s="300"/>
      <c r="N710" s="301"/>
      <c r="O710" s="302"/>
      <c r="P710" s="302"/>
      <c r="S710" s="305"/>
      <c r="T710" s="305"/>
      <c r="U710" s="306"/>
      <c r="V710" s="305"/>
      <c r="W710" s="305"/>
      <c r="X710" s="305"/>
      <c r="Y710" s="305"/>
      <c r="Z710" s="305"/>
      <c r="AD710" s="296"/>
      <c r="AE710" s="201"/>
      <c r="AF710" s="201"/>
      <c r="AG710" s="201"/>
      <c r="AH710" s="201"/>
      <c r="AI710" s="201"/>
      <c r="AJ710" s="201"/>
      <c r="AK710" s="201"/>
      <c r="AL710" s="201"/>
    </row>
    <row r="711">
      <c r="A711" s="187"/>
      <c r="B711" s="188"/>
      <c r="C711" s="236"/>
      <c r="D711" s="187"/>
      <c r="E711" s="187"/>
      <c r="F711" s="187"/>
      <c r="G711" s="185"/>
      <c r="H711" s="185"/>
      <c r="I711" s="185"/>
      <c r="J711" s="298"/>
      <c r="K711" s="283"/>
      <c r="L711" s="299"/>
      <c r="M711" s="300"/>
      <c r="N711" s="301"/>
      <c r="O711" s="302"/>
      <c r="P711" s="302"/>
      <c r="S711" s="305"/>
      <c r="T711" s="305"/>
      <c r="U711" s="306"/>
      <c r="V711" s="305"/>
      <c r="W711" s="305"/>
      <c r="X711" s="305"/>
      <c r="Y711" s="305"/>
      <c r="Z711" s="305"/>
      <c r="AD711" s="296"/>
      <c r="AE711" s="201"/>
      <c r="AF711" s="201"/>
      <c r="AG711" s="201"/>
      <c r="AH711" s="201"/>
      <c r="AI711" s="201"/>
      <c r="AJ711" s="201"/>
      <c r="AK711" s="201"/>
      <c r="AL711" s="201"/>
    </row>
    <row r="712">
      <c r="A712" s="187"/>
      <c r="B712" s="188"/>
      <c r="C712" s="236"/>
      <c r="D712" s="187"/>
      <c r="E712" s="187"/>
      <c r="F712" s="187"/>
      <c r="G712" s="185"/>
      <c r="H712" s="185"/>
      <c r="I712" s="185"/>
      <c r="J712" s="298"/>
      <c r="K712" s="283"/>
      <c r="L712" s="299"/>
      <c r="M712" s="300"/>
      <c r="N712" s="301"/>
      <c r="O712" s="302"/>
      <c r="P712" s="302"/>
      <c r="S712" s="305"/>
      <c r="T712" s="305"/>
      <c r="U712" s="306"/>
      <c r="V712" s="305"/>
      <c r="W712" s="305"/>
      <c r="X712" s="305"/>
      <c r="Y712" s="305"/>
      <c r="Z712" s="305"/>
      <c r="AD712" s="296"/>
      <c r="AE712" s="201"/>
      <c r="AF712" s="201"/>
      <c r="AG712" s="201"/>
      <c r="AH712" s="201"/>
      <c r="AI712" s="201"/>
      <c r="AJ712" s="201"/>
      <c r="AK712" s="201"/>
      <c r="AL712" s="201"/>
    </row>
    <row r="713">
      <c r="A713" s="187"/>
      <c r="B713" s="188"/>
      <c r="C713" s="236"/>
      <c r="D713" s="187"/>
      <c r="E713" s="187"/>
      <c r="F713" s="187"/>
      <c r="G713" s="185"/>
      <c r="H713" s="185"/>
      <c r="I713" s="185"/>
      <c r="J713" s="298"/>
      <c r="K713" s="283"/>
      <c r="L713" s="299"/>
      <c r="M713" s="300"/>
      <c r="N713" s="301"/>
      <c r="O713" s="302"/>
      <c r="P713" s="302"/>
      <c r="S713" s="305"/>
      <c r="T713" s="305"/>
      <c r="U713" s="306"/>
      <c r="V713" s="305"/>
      <c r="W713" s="305"/>
      <c r="X713" s="305"/>
      <c r="Y713" s="305"/>
      <c r="Z713" s="305"/>
      <c r="AD713" s="296"/>
      <c r="AE713" s="201"/>
      <c r="AF713" s="201"/>
      <c r="AG713" s="201"/>
      <c r="AH713" s="201"/>
      <c r="AI713" s="201"/>
      <c r="AJ713" s="201"/>
      <c r="AK713" s="201"/>
      <c r="AL713" s="201"/>
    </row>
    <row r="714">
      <c r="A714" s="187"/>
      <c r="B714" s="188"/>
      <c r="C714" s="236"/>
      <c r="D714" s="187"/>
      <c r="E714" s="187"/>
      <c r="F714" s="187"/>
      <c r="G714" s="185"/>
      <c r="H714" s="185"/>
      <c r="I714" s="185"/>
      <c r="J714" s="298"/>
      <c r="K714" s="283"/>
      <c r="L714" s="299"/>
      <c r="M714" s="300"/>
      <c r="N714" s="301"/>
      <c r="O714" s="302"/>
      <c r="P714" s="302"/>
      <c r="S714" s="305"/>
      <c r="T714" s="305"/>
      <c r="U714" s="306"/>
      <c r="V714" s="305"/>
      <c r="W714" s="305"/>
      <c r="X714" s="305"/>
      <c r="Y714" s="305"/>
      <c r="Z714" s="305"/>
      <c r="AD714" s="296"/>
      <c r="AE714" s="201"/>
      <c r="AF714" s="201"/>
      <c r="AG714" s="201"/>
      <c r="AH714" s="201"/>
      <c r="AI714" s="201"/>
      <c r="AJ714" s="201"/>
      <c r="AK714" s="201"/>
      <c r="AL714" s="201"/>
    </row>
    <row r="715">
      <c r="A715" s="187"/>
      <c r="B715" s="188"/>
      <c r="C715" s="236"/>
      <c r="D715" s="187"/>
      <c r="E715" s="187"/>
      <c r="F715" s="187"/>
      <c r="G715" s="185"/>
      <c r="H715" s="185"/>
      <c r="I715" s="185"/>
      <c r="J715" s="298"/>
      <c r="K715" s="283"/>
      <c r="L715" s="299"/>
      <c r="M715" s="300"/>
      <c r="N715" s="301"/>
      <c r="O715" s="302"/>
      <c r="P715" s="302"/>
      <c r="S715" s="305"/>
      <c r="T715" s="305"/>
      <c r="U715" s="306"/>
      <c r="V715" s="305"/>
      <c r="W715" s="305"/>
      <c r="X715" s="305"/>
      <c r="Y715" s="305"/>
      <c r="Z715" s="305"/>
      <c r="AD715" s="296"/>
      <c r="AE715" s="201"/>
      <c r="AF715" s="201"/>
      <c r="AG715" s="201"/>
      <c r="AH715" s="201"/>
      <c r="AI715" s="201"/>
      <c r="AJ715" s="201"/>
      <c r="AK715" s="201"/>
      <c r="AL715" s="201"/>
    </row>
    <row r="716">
      <c r="A716" s="187"/>
      <c r="B716" s="188"/>
      <c r="C716" s="236"/>
      <c r="D716" s="187"/>
      <c r="E716" s="187"/>
      <c r="F716" s="187"/>
      <c r="G716" s="185"/>
      <c r="H716" s="185"/>
      <c r="I716" s="185"/>
      <c r="J716" s="298"/>
      <c r="K716" s="283"/>
      <c r="L716" s="299"/>
      <c r="M716" s="300"/>
      <c r="N716" s="301"/>
      <c r="O716" s="302"/>
      <c r="P716" s="302"/>
      <c r="S716" s="305"/>
      <c r="T716" s="305"/>
      <c r="U716" s="306"/>
      <c r="V716" s="305"/>
      <c r="W716" s="305"/>
      <c r="X716" s="305"/>
      <c r="Y716" s="305"/>
      <c r="Z716" s="305"/>
      <c r="AD716" s="296"/>
      <c r="AE716" s="201"/>
      <c r="AF716" s="201"/>
      <c r="AG716" s="201"/>
      <c r="AH716" s="201"/>
      <c r="AI716" s="201"/>
      <c r="AJ716" s="201"/>
      <c r="AK716" s="201"/>
      <c r="AL716" s="201"/>
    </row>
    <row r="717">
      <c r="A717" s="187"/>
      <c r="B717" s="188"/>
      <c r="C717" s="236"/>
      <c r="D717" s="187"/>
      <c r="E717" s="187"/>
      <c r="F717" s="187"/>
      <c r="G717" s="185"/>
      <c r="H717" s="185"/>
      <c r="I717" s="185"/>
      <c r="J717" s="298"/>
      <c r="K717" s="283"/>
      <c r="L717" s="299"/>
      <c r="M717" s="300"/>
      <c r="N717" s="301"/>
      <c r="O717" s="302"/>
      <c r="P717" s="302"/>
      <c r="S717" s="305"/>
      <c r="T717" s="305"/>
      <c r="U717" s="306"/>
      <c r="V717" s="305"/>
      <c r="W717" s="305"/>
      <c r="X717" s="305"/>
      <c r="Y717" s="305"/>
      <c r="Z717" s="305"/>
      <c r="AD717" s="296"/>
      <c r="AE717" s="201"/>
      <c r="AF717" s="201"/>
      <c r="AG717" s="201"/>
      <c r="AH717" s="201"/>
      <c r="AI717" s="201"/>
      <c r="AJ717" s="201"/>
      <c r="AK717" s="201"/>
      <c r="AL717" s="201"/>
    </row>
    <row r="718">
      <c r="A718" s="187"/>
      <c r="B718" s="188"/>
      <c r="C718" s="236"/>
      <c r="D718" s="187"/>
      <c r="E718" s="187"/>
      <c r="F718" s="187"/>
      <c r="G718" s="185"/>
      <c r="H718" s="185"/>
      <c r="I718" s="185"/>
      <c r="J718" s="298"/>
      <c r="K718" s="283"/>
      <c r="L718" s="299"/>
      <c r="M718" s="300"/>
      <c r="N718" s="301"/>
      <c r="O718" s="302"/>
      <c r="P718" s="302"/>
      <c r="S718" s="305"/>
      <c r="T718" s="305"/>
      <c r="U718" s="306"/>
      <c r="V718" s="305"/>
      <c r="W718" s="305"/>
      <c r="X718" s="305"/>
      <c r="Y718" s="305"/>
      <c r="Z718" s="305"/>
      <c r="AD718" s="296"/>
      <c r="AE718" s="201"/>
      <c r="AF718" s="201"/>
      <c r="AG718" s="201"/>
      <c r="AH718" s="201"/>
      <c r="AI718" s="201"/>
      <c r="AJ718" s="201"/>
      <c r="AK718" s="201"/>
      <c r="AL718" s="201"/>
    </row>
    <row r="719">
      <c r="A719" s="187"/>
      <c r="B719" s="188"/>
      <c r="C719" s="236"/>
      <c r="D719" s="187"/>
      <c r="E719" s="187"/>
      <c r="F719" s="187"/>
      <c r="G719" s="185"/>
      <c r="H719" s="185"/>
      <c r="I719" s="185"/>
      <c r="J719" s="298"/>
      <c r="K719" s="283"/>
      <c r="L719" s="299"/>
      <c r="M719" s="300"/>
      <c r="N719" s="301"/>
      <c r="O719" s="302"/>
      <c r="P719" s="302"/>
      <c r="S719" s="305"/>
      <c r="T719" s="305"/>
      <c r="U719" s="306"/>
      <c r="V719" s="305"/>
      <c r="W719" s="305"/>
      <c r="X719" s="305"/>
      <c r="Y719" s="305"/>
      <c r="Z719" s="305"/>
      <c r="AD719" s="296"/>
      <c r="AE719" s="201"/>
      <c r="AF719" s="201"/>
      <c r="AG719" s="201"/>
      <c r="AH719" s="201"/>
      <c r="AI719" s="201"/>
      <c r="AJ719" s="201"/>
      <c r="AK719" s="201"/>
      <c r="AL719" s="201"/>
    </row>
    <row r="720">
      <c r="A720" s="187"/>
      <c r="B720" s="188"/>
      <c r="C720" s="236"/>
      <c r="D720" s="187"/>
      <c r="E720" s="187"/>
      <c r="F720" s="187"/>
      <c r="G720" s="185"/>
      <c r="H720" s="185"/>
      <c r="I720" s="185"/>
      <c r="J720" s="298"/>
      <c r="K720" s="283"/>
      <c r="L720" s="299"/>
      <c r="M720" s="300"/>
      <c r="N720" s="301"/>
      <c r="O720" s="302"/>
      <c r="P720" s="302"/>
      <c r="S720" s="305"/>
      <c r="T720" s="305"/>
      <c r="U720" s="306"/>
      <c r="V720" s="305"/>
      <c r="W720" s="305"/>
      <c r="X720" s="305"/>
      <c r="Y720" s="305"/>
      <c r="Z720" s="305"/>
      <c r="AD720" s="296"/>
      <c r="AE720" s="201"/>
      <c r="AF720" s="201"/>
      <c r="AG720" s="201"/>
      <c r="AH720" s="201"/>
      <c r="AI720" s="201"/>
      <c r="AJ720" s="201"/>
      <c r="AK720" s="201"/>
      <c r="AL720" s="201"/>
    </row>
    <row r="721">
      <c r="A721" s="187"/>
      <c r="B721" s="188"/>
      <c r="C721" s="236"/>
      <c r="D721" s="187"/>
      <c r="E721" s="187"/>
      <c r="F721" s="187"/>
      <c r="G721" s="185"/>
      <c r="H721" s="185"/>
      <c r="I721" s="185"/>
      <c r="J721" s="298"/>
      <c r="K721" s="283"/>
      <c r="L721" s="299"/>
      <c r="M721" s="300"/>
      <c r="N721" s="301"/>
      <c r="O721" s="302"/>
      <c r="P721" s="302"/>
      <c r="S721" s="305"/>
      <c r="T721" s="305"/>
      <c r="U721" s="306"/>
      <c r="V721" s="305"/>
      <c r="W721" s="305"/>
      <c r="X721" s="305"/>
      <c r="Y721" s="305"/>
      <c r="Z721" s="305"/>
      <c r="AD721" s="296"/>
      <c r="AE721" s="201"/>
      <c r="AF721" s="201"/>
      <c r="AG721" s="201"/>
      <c r="AH721" s="201"/>
      <c r="AI721" s="201"/>
      <c r="AJ721" s="201"/>
      <c r="AK721" s="201"/>
      <c r="AL721" s="201"/>
    </row>
    <row r="722">
      <c r="A722" s="187"/>
      <c r="B722" s="188"/>
      <c r="C722" s="236"/>
      <c r="D722" s="187"/>
      <c r="E722" s="187"/>
      <c r="F722" s="187"/>
      <c r="G722" s="185"/>
      <c r="H722" s="185"/>
      <c r="I722" s="185"/>
      <c r="J722" s="298"/>
      <c r="K722" s="283"/>
      <c r="L722" s="299"/>
      <c r="M722" s="300"/>
      <c r="N722" s="301"/>
      <c r="O722" s="302"/>
      <c r="P722" s="302"/>
      <c r="S722" s="305"/>
      <c r="T722" s="305"/>
      <c r="U722" s="306"/>
      <c r="V722" s="305"/>
      <c r="W722" s="305"/>
      <c r="X722" s="305"/>
      <c r="Y722" s="305"/>
      <c r="Z722" s="305"/>
      <c r="AD722" s="296"/>
      <c r="AE722" s="201"/>
      <c r="AF722" s="201"/>
      <c r="AG722" s="201"/>
      <c r="AH722" s="201"/>
      <c r="AI722" s="201"/>
      <c r="AJ722" s="201"/>
      <c r="AK722" s="201"/>
      <c r="AL722" s="201"/>
    </row>
    <row r="723">
      <c r="A723" s="187"/>
      <c r="B723" s="188"/>
      <c r="C723" s="236"/>
      <c r="D723" s="187"/>
      <c r="E723" s="187"/>
      <c r="F723" s="187"/>
      <c r="G723" s="185"/>
      <c r="H723" s="185"/>
      <c r="I723" s="185"/>
      <c r="J723" s="298"/>
      <c r="K723" s="283"/>
      <c r="L723" s="299"/>
      <c r="M723" s="300"/>
      <c r="N723" s="301"/>
      <c r="O723" s="302"/>
      <c r="P723" s="302"/>
      <c r="S723" s="305"/>
      <c r="T723" s="305"/>
      <c r="U723" s="306"/>
      <c r="V723" s="305"/>
      <c r="W723" s="305"/>
      <c r="X723" s="305"/>
      <c r="Y723" s="305"/>
      <c r="Z723" s="305"/>
      <c r="AD723" s="296"/>
      <c r="AE723" s="201"/>
      <c r="AF723" s="201"/>
      <c r="AG723" s="201"/>
      <c r="AH723" s="201"/>
      <c r="AI723" s="201"/>
      <c r="AJ723" s="201"/>
      <c r="AK723" s="201"/>
      <c r="AL723" s="201"/>
    </row>
    <row r="724">
      <c r="A724" s="187"/>
      <c r="B724" s="188"/>
      <c r="C724" s="236"/>
      <c r="D724" s="187"/>
      <c r="E724" s="187"/>
      <c r="F724" s="187"/>
      <c r="G724" s="185"/>
      <c r="H724" s="185"/>
      <c r="I724" s="185"/>
      <c r="J724" s="298"/>
      <c r="K724" s="283"/>
      <c r="L724" s="299"/>
      <c r="M724" s="300"/>
      <c r="N724" s="301"/>
      <c r="O724" s="302"/>
      <c r="P724" s="302"/>
      <c r="S724" s="305"/>
      <c r="T724" s="305"/>
      <c r="U724" s="306"/>
      <c r="V724" s="305"/>
      <c r="W724" s="305"/>
      <c r="X724" s="305"/>
      <c r="Y724" s="305"/>
      <c r="Z724" s="305"/>
      <c r="AD724" s="296"/>
      <c r="AE724" s="201"/>
      <c r="AF724" s="201"/>
      <c r="AG724" s="201"/>
      <c r="AH724" s="201"/>
      <c r="AI724" s="201"/>
      <c r="AJ724" s="201"/>
      <c r="AK724" s="201"/>
      <c r="AL724" s="201"/>
    </row>
    <row r="725">
      <c r="A725" s="187"/>
      <c r="B725" s="188"/>
      <c r="C725" s="236"/>
      <c r="D725" s="187"/>
      <c r="E725" s="187"/>
      <c r="F725" s="187"/>
      <c r="G725" s="185"/>
      <c r="H725" s="185"/>
      <c r="I725" s="185"/>
      <c r="J725" s="298"/>
      <c r="K725" s="283"/>
      <c r="L725" s="299"/>
      <c r="M725" s="300"/>
      <c r="N725" s="301"/>
      <c r="O725" s="302"/>
      <c r="P725" s="302"/>
      <c r="S725" s="305"/>
      <c r="T725" s="305"/>
      <c r="U725" s="306"/>
      <c r="V725" s="305"/>
      <c r="W725" s="305"/>
      <c r="X725" s="305"/>
      <c r="Y725" s="305"/>
      <c r="Z725" s="305"/>
      <c r="AD725" s="296"/>
      <c r="AE725" s="201"/>
      <c r="AF725" s="201"/>
      <c r="AG725" s="201"/>
      <c r="AH725" s="201"/>
      <c r="AI725" s="201"/>
      <c r="AJ725" s="201"/>
      <c r="AK725" s="201"/>
      <c r="AL725" s="201"/>
    </row>
    <row r="726">
      <c r="A726" s="187"/>
      <c r="B726" s="188"/>
      <c r="C726" s="236"/>
      <c r="D726" s="187"/>
      <c r="E726" s="187"/>
      <c r="F726" s="187"/>
      <c r="G726" s="185"/>
      <c r="H726" s="185"/>
      <c r="I726" s="185"/>
      <c r="J726" s="298"/>
      <c r="K726" s="283"/>
      <c r="L726" s="299"/>
      <c r="M726" s="300"/>
      <c r="N726" s="301"/>
      <c r="O726" s="302"/>
      <c r="P726" s="302"/>
      <c r="S726" s="305"/>
      <c r="T726" s="305"/>
      <c r="U726" s="306"/>
      <c r="V726" s="305"/>
      <c r="W726" s="305"/>
      <c r="X726" s="305"/>
      <c r="Y726" s="305"/>
      <c r="Z726" s="305"/>
      <c r="AD726" s="296"/>
      <c r="AE726" s="201"/>
      <c r="AF726" s="201"/>
      <c r="AG726" s="201"/>
      <c r="AH726" s="201"/>
      <c r="AI726" s="201"/>
      <c r="AJ726" s="201"/>
      <c r="AK726" s="201"/>
      <c r="AL726" s="201"/>
    </row>
    <row r="727">
      <c r="A727" s="187"/>
      <c r="B727" s="188"/>
      <c r="C727" s="236"/>
      <c r="D727" s="187"/>
      <c r="E727" s="187"/>
      <c r="F727" s="187"/>
      <c r="G727" s="185"/>
      <c r="H727" s="185"/>
      <c r="I727" s="185"/>
      <c r="J727" s="298"/>
      <c r="K727" s="283"/>
      <c r="L727" s="299"/>
      <c r="M727" s="300"/>
      <c r="N727" s="301"/>
      <c r="O727" s="302"/>
      <c r="P727" s="302"/>
      <c r="S727" s="305"/>
      <c r="T727" s="305"/>
      <c r="U727" s="306"/>
      <c r="V727" s="305"/>
      <c r="W727" s="305"/>
      <c r="X727" s="305"/>
      <c r="Y727" s="305"/>
      <c r="Z727" s="305"/>
      <c r="AD727" s="296"/>
      <c r="AE727" s="201"/>
      <c r="AF727" s="201"/>
      <c r="AG727" s="201"/>
      <c r="AH727" s="201"/>
      <c r="AI727" s="201"/>
      <c r="AJ727" s="201"/>
      <c r="AK727" s="201"/>
      <c r="AL727" s="201"/>
    </row>
    <row r="728">
      <c r="A728" s="187"/>
      <c r="B728" s="188"/>
      <c r="C728" s="236"/>
      <c r="D728" s="187"/>
      <c r="E728" s="187"/>
      <c r="F728" s="187"/>
      <c r="G728" s="185"/>
      <c r="H728" s="185"/>
      <c r="I728" s="185"/>
      <c r="J728" s="298"/>
      <c r="K728" s="283"/>
      <c r="L728" s="299"/>
      <c r="M728" s="300"/>
      <c r="N728" s="301"/>
      <c r="O728" s="302"/>
      <c r="P728" s="302"/>
      <c r="S728" s="305"/>
      <c r="T728" s="305"/>
      <c r="U728" s="306"/>
      <c r="V728" s="305"/>
      <c r="W728" s="305"/>
      <c r="X728" s="305"/>
      <c r="Y728" s="305"/>
      <c r="Z728" s="305"/>
      <c r="AD728" s="296"/>
      <c r="AE728" s="201"/>
      <c r="AF728" s="201"/>
      <c r="AG728" s="201"/>
      <c r="AH728" s="201"/>
      <c r="AI728" s="201"/>
      <c r="AJ728" s="201"/>
      <c r="AK728" s="201"/>
      <c r="AL728" s="201"/>
    </row>
    <row r="729">
      <c r="A729" s="187"/>
      <c r="B729" s="188"/>
      <c r="C729" s="236"/>
      <c r="D729" s="187"/>
      <c r="E729" s="187"/>
      <c r="F729" s="187"/>
      <c r="G729" s="185"/>
      <c r="H729" s="185"/>
      <c r="I729" s="185"/>
      <c r="J729" s="298"/>
      <c r="K729" s="283"/>
      <c r="L729" s="299"/>
      <c r="M729" s="300"/>
      <c r="N729" s="301"/>
      <c r="O729" s="302"/>
      <c r="P729" s="302"/>
      <c r="S729" s="305"/>
      <c r="T729" s="305"/>
      <c r="U729" s="306"/>
      <c r="V729" s="305"/>
      <c r="W729" s="305"/>
      <c r="X729" s="305"/>
      <c r="Y729" s="305"/>
      <c r="Z729" s="305"/>
      <c r="AD729" s="296"/>
      <c r="AE729" s="201"/>
      <c r="AF729" s="201"/>
      <c r="AG729" s="201"/>
      <c r="AH729" s="201"/>
      <c r="AI729" s="201"/>
      <c r="AJ729" s="201"/>
      <c r="AK729" s="201"/>
      <c r="AL729" s="201"/>
    </row>
    <row r="730">
      <c r="A730" s="187"/>
      <c r="B730" s="188"/>
      <c r="C730" s="236"/>
      <c r="D730" s="187"/>
      <c r="E730" s="187"/>
      <c r="F730" s="187"/>
      <c r="G730" s="185"/>
      <c r="H730" s="185"/>
      <c r="I730" s="185"/>
      <c r="J730" s="298"/>
      <c r="K730" s="283"/>
      <c r="L730" s="299"/>
      <c r="M730" s="300"/>
      <c r="N730" s="301"/>
      <c r="O730" s="302"/>
      <c r="P730" s="302"/>
      <c r="S730" s="305"/>
      <c r="T730" s="305"/>
      <c r="U730" s="306"/>
      <c r="V730" s="305"/>
      <c r="W730" s="305"/>
      <c r="X730" s="305"/>
      <c r="Y730" s="305"/>
      <c r="Z730" s="305"/>
      <c r="AD730" s="296"/>
      <c r="AE730" s="201"/>
      <c r="AF730" s="201"/>
      <c r="AG730" s="201"/>
      <c r="AH730" s="201"/>
      <c r="AI730" s="201"/>
      <c r="AJ730" s="201"/>
      <c r="AK730" s="201"/>
      <c r="AL730" s="201"/>
    </row>
    <row r="731">
      <c r="A731" s="187"/>
      <c r="B731" s="188"/>
      <c r="C731" s="236"/>
      <c r="D731" s="187"/>
      <c r="E731" s="187"/>
      <c r="F731" s="187"/>
      <c r="G731" s="185"/>
      <c r="H731" s="185"/>
      <c r="I731" s="185"/>
      <c r="J731" s="298"/>
      <c r="K731" s="283"/>
      <c r="L731" s="299"/>
      <c r="M731" s="300"/>
      <c r="N731" s="301"/>
      <c r="O731" s="302"/>
      <c r="P731" s="302"/>
      <c r="S731" s="305"/>
      <c r="T731" s="305"/>
      <c r="U731" s="306"/>
      <c r="V731" s="305"/>
      <c r="W731" s="305"/>
      <c r="X731" s="305"/>
      <c r="Y731" s="305"/>
      <c r="Z731" s="305"/>
      <c r="AD731" s="296"/>
      <c r="AE731" s="201"/>
      <c r="AF731" s="201"/>
      <c r="AG731" s="201"/>
      <c r="AH731" s="201"/>
      <c r="AI731" s="201"/>
      <c r="AJ731" s="201"/>
      <c r="AK731" s="201"/>
      <c r="AL731" s="201"/>
    </row>
    <row r="732">
      <c r="A732" s="187"/>
      <c r="B732" s="188"/>
      <c r="C732" s="236"/>
      <c r="D732" s="187"/>
      <c r="E732" s="187"/>
      <c r="F732" s="187"/>
      <c r="G732" s="185"/>
      <c r="H732" s="185"/>
      <c r="I732" s="185"/>
      <c r="J732" s="298"/>
      <c r="K732" s="283"/>
      <c r="L732" s="299"/>
      <c r="M732" s="300"/>
      <c r="N732" s="301"/>
      <c r="O732" s="302"/>
      <c r="P732" s="302"/>
      <c r="S732" s="305"/>
      <c r="T732" s="305"/>
      <c r="U732" s="306"/>
      <c r="V732" s="305"/>
      <c r="W732" s="305"/>
      <c r="X732" s="305"/>
      <c r="Y732" s="305"/>
      <c r="Z732" s="305"/>
      <c r="AD732" s="296"/>
      <c r="AE732" s="201"/>
      <c r="AF732" s="201"/>
      <c r="AG732" s="201"/>
      <c r="AH732" s="201"/>
      <c r="AI732" s="201"/>
      <c r="AJ732" s="201"/>
      <c r="AK732" s="201"/>
      <c r="AL732" s="201"/>
    </row>
    <row r="733">
      <c r="A733" s="187"/>
      <c r="B733" s="188"/>
      <c r="C733" s="236"/>
      <c r="D733" s="187"/>
      <c r="E733" s="187"/>
      <c r="F733" s="187"/>
      <c r="G733" s="185"/>
      <c r="H733" s="185"/>
      <c r="I733" s="185"/>
      <c r="J733" s="298"/>
      <c r="K733" s="283"/>
      <c r="L733" s="299"/>
      <c r="M733" s="300"/>
      <c r="N733" s="301"/>
      <c r="O733" s="302"/>
      <c r="P733" s="302"/>
      <c r="S733" s="305"/>
      <c r="T733" s="305"/>
      <c r="U733" s="306"/>
      <c r="V733" s="305"/>
      <c r="W733" s="305"/>
      <c r="X733" s="305"/>
      <c r="Y733" s="305"/>
      <c r="Z733" s="305"/>
      <c r="AD733" s="296"/>
      <c r="AE733" s="201"/>
      <c r="AF733" s="201"/>
      <c r="AG733" s="201"/>
      <c r="AH733" s="201"/>
      <c r="AI733" s="201"/>
      <c r="AJ733" s="201"/>
      <c r="AK733" s="201"/>
      <c r="AL733" s="201"/>
    </row>
    <row r="734">
      <c r="A734" s="187"/>
      <c r="B734" s="188"/>
      <c r="C734" s="236"/>
      <c r="D734" s="187"/>
      <c r="E734" s="187"/>
      <c r="F734" s="187"/>
      <c r="G734" s="185"/>
      <c r="H734" s="185"/>
      <c r="I734" s="185"/>
      <c r="J734" s="298"/>
      <c r="K734" s="283"/>
      <c r="L734" s="299"/>
      <c r="M734" s="300"/>
      <c r="N734" s="301"/>
      <c r="O734" s="302"/>
      <c r="P734" s="302"/>
      <c r="S734" s="305"/>
      <c r="T734" s="305"/>
      <c r="U734" s="306"/>
      <c r="V734" s="305"/>
      <c r="W734" s="305"/>
      <c r="X734" s="305"/>
      <c r="Y734" s="305"/>
      <c r="Z734" s="305"/>
      <c r="AD734" s="296"/>
      <c r="AE734" s="201"/>
      <c r="AF734" s="201"/>
      <c r="AG734" s="201"/>
      <c r="AH734" s="201"/>
      <c r="AI734" s="201"/>
      <c r="AJ734" s="201"/>
      <c r="AK734" s="201"/>
      <c r="AL734" s="201"/>
    </row>
    <row r="735">
      <c r="A735" s="187"/>
      <c r="B735" s="188"/>
      <c r="C735" s="236"/>
      <c r="D735" s="187"/>
      <c r="E735" s="187"/>
      <c r="F735" s="187"/>
      <c r="G735" s="185"/>
      <c r="H735" s="185"/>
      <c r="I735" s="185"/>
      <c r="J735" s="298"/>
      <c r="K735" s="283"/>
      <c r="L735" s="299"/>
      <c r="M735" s="300"/>
      <c r="N735" s="301"/>
      <c r="O735" s="302"/>
      <c r="P735" s="302"/>
      <c r="S735" s="305"/>
      <c r="T735" s="305"/>
      <c r="U735" s="306"/>
      <c r="V735" s="305"/>
      <c r="W735" s="305"/>
      <c r="X735" s="305"/>
      <c r="Y735" s="305"/>
      <c r="Z735" s="305"/>
      <c r="AD735" s="296"/>
      <c r="AE735" s="201"/>
      <c r="AF735" s="201"/>
      <c r="AG735" s="201"/>
      <c r="AH735" s="201"/>
      <c r="AI735" s="201"/>
      <c r="AJ735" s="201"/>
      <c r="AK735" s="201"/>
      <c r="AL735" s="201"/>
    </row>
    <row r="736">
      <c r="A736" s="187"/>
      <c r="B736" s="188"/>
      <c r="C736" s="236"/>
      <c r="D736" s="187"/>
      <c r="E736" s="187"/>
      <c r="F736" s="187"/>
      <c r="G736" s="185"/>
      <c r="H736" s="185"/>
      <c r="I736" s="185"/>
      <c r="J736" s="298"/>
      <c r="K736" s="283"/>
      <c r="L736" s="299"/>
      <c r="M736" s="300"/>
      <c r="N736" s="301"/>
      <c r="O736" s="302"/>
      <c r="P736" s="302"/>
      <c r="S736" s="305"/>
      <c r="T736" s="305"/>
      <c r="U736" s="306"/>
      <c r="V736" s="305"/>
      <c r="W736" s="305"/>
      <c r="X736" s="305"/>
      <c r="Y736" s="305"/>
      <c r="Z736" s="305"/>
      <c r="AD736" s="296"/>
      <c r="AE736" s="201"/>
      <c r="AF736" s="201"/>
      <c r="AG736" s="201"/>
      <c r="AH736" s="201"/>
      <c r="AI736" s="201"/>
      <c r="AJ736" s="201"/>
      <c r="AK736" s="201"/>
      <c r="AL736" s="201"/>
    </row>
    <row r="737">
      <c r="A737" s="187"/>
      <c r="B737" s="188"/>
      <c r="C737" s="236"/>
      <c r="D737" s="187"/>
      <c r="E737" s="187"/>
      <c r="F737" s="187"/>
      <c r="G737" s="185"/>
      <c r="H737" s="185"/>
      <c r="I737" s="185"/>
      <c r="J737" s="298"/>
      <c r="K737" s="283"/>
      <c r="L737" s="299"/>
      <c r="M737" s="300"/>
      <c r="N737" s="301"/>
      <c r="O737" s="302"/>
      <c r="P737" s="302"/>
      <c r="S737" s="305"/>
      <c r="T737" s="305"/>
      <c r="U737" s="306"/>
      <c r="V737" s="305"/>
      <c r="W737" s="305"/>
      <c r="X737" s="305"/>
      <c r="Y737" s="305"/>
      <c r="Z737" s="305"/>
      <c r="AD737" s="296"/>
      <c r="AE737" s="201"/>
      <c r="AF737" s="201"/>
      <c r="AG737" s="201"/>
      <c r="AH737" s="201"/>
      <c r="AI737" s="201"/>
      <c r="AJ737" s="201"/>
      <c r="AK737" s="201"/>
      <c r="AL737" s="201"/>
    </row>
    <row r="738">
      <c r="A738" s="187"/>
      <c r="B738" s="188"/>
      <c r="C738" s="236"/>
      <c r="D738" s="187"/>
      <c r="E738" s="187"/>
      <c r="F738" s="187"/>
      <c r="G738" s="185"/>
      <c r="H738" s="185"/>
      <c r="I738" s="185"/>
      <c r="J738" s="298"/>
      <c r="K738" s="283"/>
      <c r="L738" s="299"/>
      <c r="M738" s="300"/>
      <c r="N738" s="301"/>
      <c r="O738" s="302"/>
      <c r="P738" s="302"/>
      <c r="S738" s="305"/>
      <c r="T738" s="305"/>
      <c r="U738" s="306"/>
      <c r="V738" s="305"/>
      <c r="W738" s="305"/>
      <c r="X738" s="305"/>
      <c r="Y738" s="305"/>
      <c r="Z738" s="305"/>
      <c r="AD738" s="296"/>
      <c r="AE738" s="201"/>
      <c r="AF738" s="201"/>
      <c r="AG738" s="201"/>
      <c r="AH738" s="201"/>
      <c r="AI738" s="201"/>
      <c r="AJ738" s="201"/>
      <c r="AK738" s="201"/>
      <c r="AL738" s="201"/>
    </row>
    <row r="739">
      <c r="A739" s="187"/>
      <c r="B739" s="188"/>
      <c r="C739" s="236"/>
      <c r="D739" s="187"/>
      <c r="E739" s="187"/>
      <c r="F739" s="187"/>
      <c r="G739" s="185"/>
      <c r="H739" s="185"/>
      <c r="I739" s="185"/>
      <c r="J739" s="298"/>
      <c r="K739" s="283"/>
      <c r="L739" s="299"/>
      <c r="M739" s="300"/>
      <c r="N739" s="301"/>
      <c r="O739" s="302"/>
      <c r="P739" s="302"/>
      <c r="S739" s="305"/>
      <c r="T739" s="305"/>
      <c r="U739" s="306"/>
      <c r="V739" s="305"/>
      <c r="W739" s="305"/>
      <c r="X739" s="305"/>
      <c r="Y739" s="305"/>
      <c r="Z739" s="305"/>
      <c r="AD739" s="296"/>
      <c r="AE739" s="201"/>
      <c r="AF739" s="201"/>
      <c r="AG739" s="201"/>
      <c r="AH739" s="201"/>
      <c r="AI739" s="201"/>
      <c r="AJ739" s="201"/>
      <c r="AK739" s="201"/>
      <c r="AL739" s="201"/>
    </row>
    <row r="740">
      <c r="A740" s="187"/>
      <c r="B740" s="188"/>
      <c r="C740" s="236"/>
      <c r="D740" s="187"/>
      <c r="E740" s="187"/>
      <c r="F740" s="187"/>
      <c r="G740" s="185"/>
      <c r="H740" s="185"/>
      <c r="I740" s="185"/>
      <c r="J740" s="298"/>
      <c r="K740" s="283"/>
      <c r="L740" s="299"/>
      <c r="M740" s="300"/>
      <c r="N740" s="301"/>
      <c r="O740" s="302"/>
      <c r="P740" s="302"/>
      <c r="S740" s="305"/>
      <c r="T740" s="305"/>
      <c r="U740" s="306"/>
      <c r="V740" s="305"/>
      <c r="W740" s="305"/>
      <c r="X740" s="305"/>
      <c r="Y740" s="305"/>
      <c r="Z740" s="305"/>
      <c r="AD740" s="296"/>
      <c r="AE740" s="201"/>
      <c r="AF740" s="201"/>
      <c r="AG740" s="201"/>
      <c r="AH740" s="201"/>
      <c r="AI740" s="201"/>
      <c r="AJ740" s="201"/>
      <c r="AK740" s="201"/>
      <c r="AL740" s="201"/>
    </row>
    <row r="741">
      <c r="A741" s="187"/>
      <c r="B741" s="188"/>
      <c r="C741" s="236"/>
      <c r="D741" s="187"/>
      <c r="E741" s="187"/>
      <c r="F741" s="187"/>
      <c r="G741" s="185"/>
      <c r="H741" s="185"/>
      <c r="I741" s="185"/>
      <c r="J741" s="298"/>
      <c r="K741" s="283"/>
      <c r="L741" s="299"/>
      <c r="M741" s="300"/>
      <c r="N741" s="301"/>
      <c r="O741" s="302"/>
      <c r="P741" s="302"/>
      <c r="S741" s="305"/>
      <c r="T741" s="305"/>
      <c r="U741" s="306"/>
      <c r="V741" s="305"/>
      <c r="W741" s="305"/>
      <c r="X741" s="305"/>
      <c r="Y741" s="305"/>
      <c r="Z741" s="305"/>
      <c r="AD741" s="296"/>
      <c r="AE741" s="201"/>
      <c r="AF741" s="201"/>
      <c r="AG741" s="201"/>
      <c r="AH741" s="201"/>
      <c r="AI741" s="201"/>
      <c r="AJ741" s="201"/>
      <c r="AK741" s="201"/>
      <c r="AL741" s="201"/>
    </row>
    <row r="742">
      <c r="A742" s="187"/>
      <c r="B742" s="188"/>
      <c r="C742" s="236"/>
      <c r="D742" s="187"/>
      <c r="E742" s="187"/>
      <c r="F742" s="187"/>
      <c r="G742" s="185"/>
      <c r="H742" s="185"/>
      <c r="I742" s="185"/>
      <c r="J742" s="298"/>
      <c r="K742" s="283"/>
      <c r="L742" s="299"/>
      <c r="M742" s="300"/>
      <c r="N742" s="301"/>
      <c r="O742" s="302"/>
      <c r="P742" s="302"/>
      <c r="S742" s="305"/>
      <c r="T742" s="305"/>
      <c r="U742" s="306"/>
      <c r="V742" s="305"/>
      <c r="W742" s="305"/>
      <c r="X742" s="305"/>
      <c r="Y742" s="305"/>
      <c r="Z742" s="305"/>
      <c r="AD742" s="296"/>
      <c r="AE742" s="201"/>
      <c r="AF742" s="201"/>
      <c r="AG742" s="201"/>
      <c r="AH742" s="201"/>
      <c r="AI742" s="201"/>
      <c r="AJ742" s="201"/>
      <c r="AK742" s="201"/>
      <c r="AL742" s="201"/>
    </row>
    <row r="743">
      <c r="A743" s="187"/>
      <c r="B743" s="188"/>
      <c r="C743" s="236"/>
      <c r="D743" s="187"/>
      <c r="E743" s="187"/>
      <c r="F743" s="187"/>
      <c r="G743" s="185"/>
      <c r="H743" s="185"/>
      <c r="I743" s="185"/>
      <c r="J743" s="298"/>
      <c r="K743" s="283"/>
      <c r="L743" s="299"/>
      <c r="M743" s="300"/>
      <c r="N743" s="301"/>
      <c r="O743" s="302"/>
      <c r="P743" s="302"/>
      <c r="S743" s="305"/>
      <c r="T743" s="305"/>
      <c r="U743" s="306"/>
      <c r="V743" s="305"/>
      <c r="W743" s="305"/>
      <c r="X743" s="305"/>
      <c r="Y743" s="305"/>
      <c r="Z743" s="305"/>
      <c r="AD743" s="296"/>
      <c r="AE743" s="201"/>
      <c r="AF743" s="201"/>
      <c r="AG743" s="201"/>
      <c r="AH743" s="201"/>
      <c r="AI743" s="201"/>
      <c r="AJ743" s="201"/>
      <c r="AK743" s="201"/>
      <c r="AL743" s="201"/>
    </row>
    <row r="744">
      <c r="A744" s="187"/>
      <c r="B744" s="188"/>
      <c r="C744" s="236"/>
      <c r="D744" s="187"/>
      <c r="E744" s="187"/>
      <c r="F744" s="187"/>
      <c r="G744" s="185"/>
      <c r="H744" s="185"/>
      <c r="I744" s="185"/>
      <c r="J744" s="298"/>
      <c r="K744" s="283"/>
      <c r="L744" s="299"/>
      <c r="M744" s="300"/>
      <c r="N744" s="301"/>
      <c r="O744" s="302"/>
      <c r="P744" s="302"/>
      <c r="S744" s="305"/>
      <c r="T744" s="305"/>
      <c r="U744" s="306"/>
      <c r="V744" s="305"/>
      <c r="W744" s="305"/>
      <c r="X744" s="305"/>
      <c r="Y744" s="305"/>
      <c r="Z744" s="305"/>
      <c r="AD744" s="296"/>
      <c r="AE744" s="201"/>
      <c r="AF744" s="201"/>
      <c r="AG744" s="201"/>
      <c r="AH744" s="201"/>
      <c r="AI744" s="201"/>
      <c r="AJ744" s="201"/>
      <c r="AK744" s="201"/>
      <c r="AL744" s="201"/>
    </row>
    <row r="745">
      <c r="A745" s="187"/>
      <c r="B745" s="188"/>
      <c r="C745" s="236"/>
      <c r="D745" s="187"/>
      <c r="E745" s="187"/>
      <c r="F745" s="187"/>
      <c r="G745" s="185"/>
      <c r="H745" s="185"/>
      <c r="I745" s="185"/>
      <c r="J745" s="298"/>
      <c r="K745" s="283"/>
      <c r="L745" s="299"/>
      <c r="M745" s="300"/>
      <c r="N745" s="301"/>
      <c r="O745" s="302"/>
      <c r="P745" s="302"/>
      <c r="S745" s="305"/>
      <c r="T745" s="305"/>
      <c r="U745" s="306"/>
      <c r="V745" s="305"/>
      <c r="W745" s="305"/>
      <c r="X745" s="305"/>
      <c r="Y745" s="305"/>
      <c r="Z745" s="305"/>
      <c r="AD745" s="296"/>
      <c r="AE745" s="201"/>
      <c r="AF745" s="201"/>
      <c r="AG745" s="201"/>
      <c r="AH745" s="201"/>
      <c r="AI745" s="201"/>
      <c r="AJ745" s="201"/>
      <c r="AK745" s="201"/>
      <c r="AL745" s="201"/>
    </row>
    <row r="746">
      <c r="A746" s="187"/>
      <c r="B746" s="188"/>
      <c r="C746" s="236"/>
      <c r="D746" s="187"/>
      <c r="E746" s="187"/>
      <c r="F746" s="187"/>
      <c r="G746" s="185"/>
      <c r="H746" s="185"/>
      <c r="I746" s="185"/>
      <c r="J746" s="298"/>
      <c r="K746" s="283"/>
      <c r="L746" s="299"/>
      <c r="M746" s="300"/>
      <c r="N746" s="301"/>
      <c r="O746" s="302"/>
      <c r="P746" s="302"/>
      <c r="S746" s="305"/>
      <c r="T746" s="305"/>
      <c r="U746" s="306"/>
      <c r="V746" s="305"/>
      <c r="W746" s="305"/>
      <c r="X746" s="305"/>
      <c r="Y746" s="305"/>
      <c r="Z746" s="305"/>
      <c r="AD746" s="296"/>
      <c r="AE746" s="201"/>
      <c r="AF746" s="201"/>
      <c r="AG746" s="201"/>
      <c r="AH746" s="201"/>
      <c r="AI746" s="201"/>
      <c r="AJ746" s="201"/>
      <c r="AK746" s="201"/>
      <c r="AL746" s="201"/>
    </row>
    <row r="747">
      <c r="A747" s="187"/>
      <c r="B747" s="188"/>
      <c r="C747" s="236"/>
      <c r="D747" s="187"/>
      <c r="E747" s="187"/>
      <c r="F747" s="187"/>
      <c r="G747" s="185"/>
      <c r="H747" s="185"/>
      <c r="I747" s="185"/>
      <c r="J747" s="298"/>
      <c r="K747" s="283"/>
      <c r="L747" s="299"/>
      <c r="M747" s="300"/>
      <c r="N747" s="301"/>
      <c r="O747" s="302"/>
      <c r="P747" s="302"/>
      <c r="S747" s="305"/>
      <c r="T747" s="305"/>
      <c r="U747" s="306"/>
      <c r="V747" s="305"/>
      <c r="W747" s="305"/>
      <c r="X747" s="305"/>
      <c r="Y747" s="305"/>
      <c r="Z747" s="305"/>
      <c r="AD747" s="296"/>
      <c r="AE747" s="201"/>
      <c r="AF747" s="201"/>
      <c r="AG747" s="201"/>
      <c r="AH747" s="201"/>
      <c r="AI747" s="201"/>
      <c r="AJ747" s="201"/>
      <c r="AK747" s="201"/>
      <c r="AL747" s="201"/>
    </row>
  </sheetData>
  <mergeCells count="3">
    <mergeCell ref="S1:Z1"/>
    <mergeCell ref="Q30:Q35"/>
    <mergeCell ref="J44:J49"/>
  </mergeCells>
  <dataValidations>
    <dataValidation type="custom" allowBlank="1" showDropDown="1" sqref="AA4:AA121">
      <formula1>AND(ISNUMBER(AA4),(NOT(OR(NOT(ISERROR(DATEVALUE(AA4))), AND(ISNUMBER(AA4), LEFT(CELL("format", AA4))="D")))))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7.25"/>
    <col customWidth="1" min="3" max="3" width="11.75"/>
    <col customWidth="1" min="4" max="4" width="6.88"/>
    <col customWidth="1" min="5" max="5" width="19.38"/>
    <col customWidth="1" min="6" max="6" width="8.5"/>
    <col customWidth="1" min="7" max="7" width="9.88"/>
    <col customWidth="1" min="8" max="10" width="12.75"/>
    <col customWidth="1" min="17" max="17" width="16.13"/>
    <col customWidth="1" min="18" max="19" width="16.25"/>
  </cols>
  <sheetData>
    <row r="1">
      <c r="A1" s="14" t="str">
        <f t="shared" ref="A1:A3644" si="1">D1&amp;C1</f>
        <v>EDSDate</v>
      </c>
      <c r="B1" s="185" t="s">
        <v>224</v>
      </c>
      <c r="C1" s="185" t="s">
        <v>307</v>
      </c>
      <c r="D1" s="185" t="s">
        <v>2</v>
      </c>
      <c r="E1" s="307" t="str">
        <f t="array" ref="E1">(XLOOKUP(D1,Roster!F:F,Roster!B:B,"",0))</f>
        <v>Agent</v>
      </c>
      <c r="F1" s="308" t="s">
        <v>5</v>
      </c>
      <c r="G1" s="309" t="s">
        <v>225</v>
      </c>
      <c r="H1" s="308" t="s">
        <v>6</v>
      </c>
      <c r="I1" s="308" t="s">
        <v>7</v>
      </c>
      <c r="J1" s="308" t="s">
        <v>8</v>
      </c>
      <c r="K1" s="310" t="s">
        <v>308</v>
      </c>
      <c r="L1" s="311" t="s">
        <v>226</v>
      </c>
      <c r="M1" s="311" t="s">
        <v>309</v>
      </c>
      <c r="N1" s="185" t="s">
        <v>6</v>
      </c>
      <c r="O1" s="185" t="s">
        <v>7</v>
      </c>
      <c r="P1" s="185" t="s">
        <v>8</v>
      </c>
      <c r="Q1" s="312" t="s">
        <v>310</v>
      </c>
      <c r="R1" s="312" t="s">
        <v>311</v>
      </c>
      <c r="S1" s="312" t="s">
        <v>312</v>
      </c>
    </row>
    <row r="2">
      <c r="A2" s="14" t="str">
        <f t="shared" si="1"/>
        <v>C81846113</v>
      </c>
      <c r="B2" s="185">
        <f t="array" ref="B2">IF(F2="VL","",IF(F2="Free","Free",XLOOKUP(D2,Roster!T:T,Roster!S:S,"",0)))</f>
        <v>123</v>
      </c>
      <c r="C2" s="313">
        <v>46113.0</v>
      </c>
      <c r="D2" s="314" t="s">
        <v>9</v>
      </c>
      <c r="E2" s="307" t="str">
        <f t="array" ref="E2">(XLOOKUP(D2,Roster!F:F,Roster!B:B,"",0))</f>
        <v>Adriana Moncaleano</v>
      </c>
      <c r="F2" s="315" t="str">
        <f t="array" ref="F2">IF(B2=100,"Free",TEXT(XLOOKUP($D2,OperationVoice!$A:$A,OperationVoice!G:G,XLOOKUP($D2,OperationTickets!$A:$A,OperationTickets!G:G,"",0)),"hh:mm"))</f>
        <v>08:00</v>
      </c>
      <c r="G2" s="309">
        <f t="shared" ref="G2:G3644" si="3">IF(F2="Free","Free",IF(B2=100,"Free",IF(F2="","",IF(F2="ATT","ATT",IF(F2="VL","VL",F2+"09:00")))))</f>
        <v>0.7083333333</v>
      </c>
      <c r="H2" s="316" t="str">
        <f t="array" ref="H2">XLOOKUP(B2,Roster!L:L,Roster!N:N,XLOOKUP(D2,TicketsBreak!A:A,TicketsBreak!E:E,"",0),0)</f>
        <v>09:45 - 10:00 </v>
      </c>
      <c r="I2" s="316" t="str">
        <f t="array" ref="I2">XLOOKUP(B2,Roster!L:L,Roster!O:O,XLOOKUP(D2,TicketsBreak!A:A,TicketsBreak!F:F,"",0),0)</f>
        <v>12:30 - 13:00</v>
      </c>
      <c r="J2" s="316" t="str">
        <f t="array" ref="J2">XLOOKUP(B2,Roster!L:L,Roster!P:P,XLOOKUP(D2,TicketsBreak!A:A,TicketsBreak!G:G,"",0),0)</f>
        <v>15:00 - 15:15</v>
      </c>
      <c r="K2" s="310">
        <f t="shared" ref="K2:K3644" si="4">C2</f>
        <v>46113</v>
      </c>
      <c r="L2" s="317">
        <f t="array" ref="L2">(XLOOKUP(D2,Roster!F:F,Roster!D:D,"",0))</f>
        <v>23</v>
      </c>
      <c r="M2" s="317" t="str">
        <f t="array" ref="M2">XLOOKUP(D2,Roster!F:F,Roster!E:E)</f>
        <v>Voice</v>
      </c>
      <c r="N2" s="317" t="str">
        <f t="shared" ref="N2:P2" si="2">LEFT(H2,5)</f>
        <v>09:45</v>
      </c>
      <c r="O2" s="317" t="str">
        <f t="shared" si="2"/>
        <v>12:30</v>
      </c>
      <c r="P2" s="317" t="str">
        <f t="shared" si="2"/>
        <v>15:00</v>
      </c>
      <c r="Q2" s="318">
        <f t="shared" ref="Q2:Q89" si="6">IF(N2="","",$C2+N2)</f>
        <v>46113.40625</v>
      </c>
      <c r="R2" s="318">
        <f t="shared" ref="R2:R89" si="7">if(O2="","",$C2+O2)</f>
        <v>46113.52083</v>
      </c>
      <c r="S2" s="318">
        <f t="shared" ref="S2:S3644" si="8">IF(P2="","",$C2+P2)</f>
        <v>46113.625</v>
      </c>
    </row>
    <row r="3">
      <c r="A3" s="14" t="str">
        <f t="shared" si="1"/>
        <v>C110746113</v>
      </c>
      <c r="B3" s="185" t="str">
        <f t="array" ref="B3">IF(F3="VL","",IF(F3="Free","Free",XLOOKUP(D3,Roster!T:T,Roster!S:S,"",0)))</f>
        <v>Free</v>
      </c>
      <c r="C3" s="313">
        <v>46113.0</v>
      </c>
      <c r="D3" s="314" t="s">
        <v>10</v>
      </c>
      <c r="E3" s="307" t="str">
        <f t="array" ref="E3">(XLOOKUP(D3,Roster!F:F,Roster!B:B,"",0))</f>
        <v>Alejandro Malave</v>
      </c>
      <c r="F3" s="315" t="str">
        <f t="array" ref="F3">IF(B3=100,"Free",TEXT(XLOOKUP($D3,OperationVoice!$A:$A,OperationVoice!G:G,XLOOKUP($D3,OperationTickets!$A:$A,OperationTickets!G:G,"",0)),"hh:mm"))</f>
        <v>Free</v>
      </c>
      <c r="G3" s="309" t="str">
        <f t="shared" si="3"/>
        <v>Free</v>
      </c>
      <c r="H3" s="316" t="str">
        <f t="array" ref="H3">XLOOKUP(B3,Roster!L:L,Roster!N:N,XLOOKUP(D3,TicketsBreak!A:A,TicketsBreak!E:E,"",0),0)</f>
        <v/>
      </c>
      <c r="I3" s="316" t="str">
        <f t="array" ref="I3">XLOOKUP(B3,Roster!L:L,Roster!O:O,XLOOKUP(D3,TicketsBreak!A:A,TicketsBreak!F:F,"",0),0)</f>
        <v/>
      </c>
      <c r="J3" s="316" t="str">
        <f t="array" ref="J3">XLOOKUP(B3,Roster!L:L,Roster!P:P,XLOOKUP(D3,TicketsBreak!A:A,TicketsBreak!G:G,"",0),0)</f>
        <v/>
      </c>
      <c r="K3" s="310">
        <f t="shared" si="4"/>
        <v>46113</v>
      </c>
      <c r="L3" s="317">
        <f t="array" ref="L3">(XLOOKUP(D3,Roster!F:F,Roster!D:D,"",0))</f>
        <v>36</v>
      </c>
      <c r="M3" s="317" t="str">
        <f t="array" ref="M3">XLOOKUP(D3,Roster!F:F,Roster!E:E)</f>
        <v>Voice</v>
      </c>
      <c r="N3" s="317" t="str">
        <f t="shared" ref="N3:P3" si="5">LEFT(H3,5)</f>
        <v/>
      </c>
      <c r="O3" s="317" t="str">
        <f t="shared" si="5"/>
        <v/>
      </c>
      <c r="P3" s="317" t="str">
        <f t="shared" si="5"/>
        <v/>
      </c>
      <c r="Q3" s="318" t="str">
        <f t="shared" si="6"/>
        <v/>
      </c>
      <c r="R3" s="318" t="str">
        <f t="shared" si="7"/>
        <v/>
      </c>
      <c r="S3" s="318" t="str">
        <f t="shared" si="8"/>
        <v/>
      </c>
    </row>
    <row r="4">
      <c r="A4" s="14" t="str">
        <f t="shared" si="1"/>
        <v>C69946113</v>
      </c>
      <c r="B4" s="185" t="str">
        <f t="array" ref="B4">IF(F4="VL","",IF(F4="Free","Free",XLOOKUP(D4,Roster!T:T,Roster!S:S,"",0)))</f>
        <v/>
      </c>
      <c r="C4" s="313">
        <v>46113.0</v>
      </c>
      <c r="D4" s="314" t="s">
        <v>137</v>
      </c>
      <c r="E4" s="307" t="str">
        <f t="array" ref="E4">(XLOOKUP(D4,Roster!F:F,Roster!B:B,"",0))</f>
        <v>Alexa Arenas</v>
      </c>
      <c r="F4" s="315" t="str">
        <f t="array" ref="F4">IF(B4=100,"Free",TEXT(XLOOKUP($D4,OperationVoice!$A:$A,OperationVoice!G:G,XLOOKUP($D4,OperationTickets!$A:$A,OperationTickets!G:G,"",0)),"hh:mm"))</f>
        <v>08:00</v>
      </c>
      <c r="G4" s="309">
        <f t="shared" si="3"/>
        <v>0.7083333333</v>
      </c>
      <c r="H4" s="316">
        <f t="array" ref="H4">XLOOKUP(B4,Roster!L:L,Roster!N:N,XLOOKUP(D4,TicketsBreak!A:A,TicketsBreak!E:E,"",0),0)</f>
        <v>0.40625</v>
      </c>
      <c r="I4" s="316">
        <f t="array" ref="I4">XLOOKUP(B4,Roster!L:L,Roster!O:O,XLOOKUP(D4,TicketsBreak!A:A,TicketsBreak!F:F,"",0),0)</f>
        <v>0.5</v>
      </c>
      <c r="J4" s="316">
        <f t="array" ref="J4">XLOOKUP(B4,Roster!L:L,Roster!P:P,XLOOKUP(D4,TicketsBreak!A:A,TicketsBreak!G:G,"",0),0)</f>
        <v>0.65625</v>
      </c>
      <c r="K4" s="310">
        <f t="shared" si="4"/>
        <v>46113</v>
      </c>
      <c r="L4" s="317">
        <f t="array" ref="L4">(XLOOKUP(D4,Roster!F:F,Roster!D:D,"",0))</f>
        <v>5</v>
      </c>
      <c r="M4" s="317" t="str">
        <f t="array" ref="M4">XLOOKUP(D4,Roster!F:F,Roster!E:E)</f>
        <v>Tickets</v>
      </c>
      <c r="N4" s="317" t="str">
        <f t="shared" ref="N4:P4" si="9">LEFT(H4,5)</f>
        <v>09:45</v>
      </c>
      <c r="O4" s="317" t="str">
        <f t="shared" si="9"/>
        <v>12:00</v>
      </c>
      <c r="P4" s="317" t="str">
        <f t="shared" si="9"/>
        <v>15:45</v>
      </c>
      <c r="Q4" s="318">
        <f t="shared" si="6"/>
        <v>46113.40625</v>
      </c>
      <c r="R4" s="318">
        <f t="shared" si="7"/>
        <v>46113.5</v>
      </c>
      <c r="S4" s="318">
        <f t="shared" si="8"/>
        <v>46113.65625</v>
      </c>
    </row>
    <row r="5">
      <c r="A5" s="14" t="str">
        <f t="shared" si="1"/>
        <v>C157046113</v>
      </c>
      <c r="B5" s="185">
        <f t="array" ref="B5">IF(F5="VL","",IF(F5="Free","Free",XLOOKUP(D5,Roster!T:T,Roster!S:S,"",0)))</f>
        <v>123</v>
      </c>
      <c r="C5" s="313">
        <v>46113.0</v>
      </c>
      <c r="D5" s="314" t="s">
        <v>11</v>
      </c>
      <c r="E5" s="307" t="str">
        <f t="array" ref="E5">(XLOOKUP(D5,Roster!F:F,Roster!B:B,"",0))</f>
        <v>Alexander Bartoli</v>
      </c>
      <c r="F5" s="315" t="str">
        <f t="array" ref="F5">IF(B5=100,"Free",TEXT(XLOOKUP($D5,OperationVoice!$A:$A,OperationVoice!G:G,XLOOKUP($D5,OperationTickets!$A:$A,OperationTickets!G:G,"",0)),"hh:mm"))</f>
        <v>08:00</v>
      </c>
      <c r="G5" s="309">
        <f t="shared" si="3"/>
        <v>0.7083333333</v>
      </c>
      <c r="H5" s="316" t="str">
        <f t="array" ref="H5">XLOOKUP(B5,Roster!L:L,Roster!N:N,XLOOKUP(D5,TicketsBreak!A:A,TicketsBreak!E:E,"",0),0)</f>
        <v>09:45 - 10:00 </v>
      </c>
      <c r="I5" s="316" t="str">
        <f t="array" ref="I5">XLOOKUP(B5,Roster!L:L,Roster!O:O,XLOOKUP(D5,TicketsBreak!A:A,TicketsBreak!F:F,"",0),0)</f>
        <v>12:30 - 13:00</v>
      </c>
      <c r="J5" s="316" t="str">
        <f t="array" ref="J5">XLOOKUP(B5,Roster!L:L,Roster!P:P,XLOOKUP(D5,TicketsBreak!A:A,TicketsBreak!G:G,"",0),0)</f>
        <v>15:00 - 15:15</v>
      </c>
      <c r="K5" s="310">
        <f t="shared" si="4"/>
        <v>46113</v>
      </c>
      <c r="L5" s="317">
        <f t="array" ref="L5">(XLOOKUP(D5,Roster!F:F,Roster!D:D,"",0))</f>
        <v>38</v>
      </c>
      <c r="M5" s="317" t="str">
        <f t="array" ref="M5">XLOOKUP(D5,Roster!F:F,Roster!E:E)</f>
        <v>Voice</v>
      </c>
      <c r="N5" s="317" t="str">
        <f t="shared" ref="N5:P5" si="10">LEFT(H5,5)</f>
        <v>09:45</v>
      </c>
      <c r="O5" s="317" t="str">
        <f t="shared" si="10"/>
        <v>12:30</v>
      </c>
      <c r="P5" s="317" t="str">
        <f t="shared" si="10"/>
        <v>15:00</v>
      </c>
      <c r="Q5" s="318">
        <f t="shared" si="6"/>
        <v>46113.40625</v>
      </c>
      <c r="R5" s="318">
        <f t="shared" si="7"/>
        <v>46113.52083</v>
      </c>
      <c r="S5" s="318">
        <f t="shared" si="8"/>
        <v>46113.625</v>
      </c>
    </row>
    <row r="6">
      <c r="A6" s="14" t="str">
        <f t="shared" si="1"/>
        <v>C93546113</v>
      </c>
      <c r="B6" s="185" t="str">
        <f t="array" ref="B6">IF(F6="VL","",IF(F6="Free","Free",XLOOKUP(D6,Roster!T:T,Roster!S:S,"",0)))</f>
        <v/>
      </c>
      <c r="C6" s="313">
        <v>46113.0</v>
      </c>
      <c r="D6" s="314" t="s">
        <v>153</v>
      </c>
      <c r="E6" s="307" t="str">
        <f t="array" ref="E6">(XLOOKUP(D6,Roster!F:F,Roster!B:B,"",0))</f>
        <v>Alexis Arias</v>
      </c>
      <c r="F6" s="315" t="str">
        <f t="array" ref="F6">IF(B6=100,"Free",TEXT(XLOOKUP($D6,OperationVoice!$A:$A,OperationVoice!G:G,XLOOKUP($D6,OperationTickets!$A:$A,OperationTickets!G:G,"",0)),"hh:mm"))</f>
        <v>07:30</v>
      </c>
      <c r="G6" s="309">
        <f t="shared" si="3"/>
        <v>0.6875</v>
      </c>
      <c r="H6" s="316">
        <f t="array" ref="H6">XLOOKUP(B6,Roster!L:L,Roster!N:N,XLOOKUP(D6,TicketsBreak!A:A,TicketsBreak!E:E,"",0),0)</f>
        <v>0.4270833333</v>
      </c>
      <c r="I6" s="316">
        <f t="array" ref="I6">XLOOKUP(B6,Roster!L:L,Roster!O:O,XLOOKUP(D6,TicketsBreak!A:A,TicketsBreak!F:F,"",0),0)</f>
        <v>0.53125</v>
      </c>
      <c r="J6" s="316">
        <f t="array" ref="J6">XLOOKUP(B6,Roster!L:L,Roster!P:P,XLOOKUP(D6,TicketsBreak!A:A,TicketsBreak!G:G,"",0),0)</f>
        <v>0.6458333333</v>
      </c>
      <c r="K6" s="310">
        <f t="shared" si="4"/>
        <v>46113</v>
      </c>
      <c r="L6" s="317">
        <f t="array" ref="L6">(XLOOKUP(D6,Roster!F:F,Roster!D:D,"",0))</f>
        <v>12</v>
      </c>
      <c r="M6" s="317" t="str">
        <f t="array" ref="M6">XLOOKUP(D6,Roster!F:F,Roster!E:E)</f>
        <v>Tickets</v>
      </c>
      <c r="N6" s="317" t="str">
        <f t="shared" ref="N6:P6" si="11">LEFT(H6,5)</f>
        <v>10:15</v>
      </c>
      <c r="O6" s="317" t="str">
        <f t="shared" si="11"/>
        <v>12:45</v>
      </c>
      <c r="P6" s="317" t="str">
        <f t="shared" si="11"/>
        <v>15:30</v>
      </c>
      <c r="Q6" s="318">
        <f t="shared" si="6"/>
        <v>46113.42708</v>
      </c>
      <c r="R6" s="318">
        <f t="shared" si="7"/>
        <v>46113.53125</v>
      </c>
      <c r="S6" s="318">
        <f t="shared" si="8"/>
        <v>46113.64583</v>
      </c>
    </row>
    <row r="7">
      <c r="A7" s="14" t="str">
        <f t="shared" si="1"/>
        <v>C72746113</v>
      </c>
      <c r="B7" s="185" t="str">
        <f t="array" ref="B7">IF(F7="VL","",IF(F7="Free","Free",XLOOKUP(D7,Roster!T:T,Roster!S:S,"",0)))</f>
        <v/>
      </c>
      <c r="C7" s="313">
        <v>46113.0</v>
      </c>
      <c r="D7" s="314" t="s">
        <v>154</v>
      </c>
      <c r="E7" s="307" t="str">
        <f t="array" ref="E7">(XLOOKUP(D7,Roster!F:F,Roster!B:B,"",0))</f>
        <v>Ana Moreno</v>
      </c>
      <c r="F7" s="315" t="str">
        <f t="array" ref="F7">IF(B7=100,"Free",TEXT(XLOOKUP($D7,OperationVoice!$A:$A,OperationVoice!G:G,XLOOKUP($D7,OperationTickets!$A:$A,OperationTickets!G:G,"",0)),"hh:mm"))</f>
        <v>VL</v>
      </c>
      <c r="G7" s="309" t="str">
        <f t="shared" si="3"/>
        <v>VL</v>
      </c>
      <c r="H7" s="316">
        <f t="array" ref="H7">XLOOKUP(B7,Roster!L:L,Roster!N:N,XLOOKUP(D7,TicketsBreak!A:A,TicketsBreak!E:E,"",0),0)</f>
        <v>0.4166666667</v>
      </c>
      <c r="I7" s="316">
        <f t="array" ref="I7">XLOOKUP(B7,Roster!L:L,Roster!O:O,XLOOKUP(D7,TicketsBreak!A:A,TicketsBreak!F:F,"",0),0)</f>
        <v>0.5208333333</v>
      </c>
      <c r="J7" s="316">
        <f t="array" ref="J7">XLOOKUP(B7,Roster!L:L,Roster!P:P,XLOOKUP(D7,TicketsBreak!A:A,TicketsBreak!G:G,"",0),0)</f>
        <v>0.65625</v>
      </c>
      <c r="K7" s="310">
        <f t="shared" si="4"/>
        <v>46113</v>
      </c>
      <c r="L7" s="317">
        <f t="array" ref="L7">(XLOOKUP(D7,Roster!F:F,Roster!D:D,"",0))</f>
        <v>7</v>
      </c>
      <c r="M7" s="317" t="str">
        <f t="array" ref="M7">XLOOKUP(D7,Roster!F:F,Roster!E:E)</f>
        <v>Tickets</v>
      </c>
      <c r="N7" s="317" t="str">
        <f t="shared" ref="N7:P7" si="12">LEFT(H7,5)</f>
        <v>10:00</v>
      </c>
      <c r="O7" s="317" t="str">
        <f t="shared" si="12"/>
        <v>12:30</v>
      </c>
      <c r="P7" s="317" t="str">
        <f t="shared" si="12"/>
        <v>15:45</v>
      </c>
      <c r="Q7" s="318">
        <f t="shared" si="6"/>
        <v>46113.41667</v>
      </c>
      <c r="R7" s="318">
        <f t="shared" si="7"/>
        <v>46113.52083</v>
      </c>
      <c r="S7" s="318">
        <f t="shared" si="8"/>
        <v>46113.65625</v>
      </c>
    </row>
    <row r="8">
      <c r="A8" s="14" t="str">
        <f t="shared" si="1"/>
        <v>C157446113</v>
      </c>
      <c r="B8" s="185" t="str">
        <f t="array" ref="B8">IF(F8="VL","",IF(F8="Free","Free",XLOOKUP(D8,Roster!T:T,Roster!S:S,"",0)))</f>
        <v>Free</v>
      </c>
      <c r="C8" s="313">
        <v>46113.0</v>
      </c>
      <c r="D8" s="314" t="s">
        <v>12</v>
      </c>
      <c r="E8" s="307" t="str">
        <f t="array" ref="E8">(XLOOKUP(D8,Roster!F:F,Roster!B:B,"",0))</f>
        <v>Ana Quintero</v>
      </c>
      <c r="F8" s="315" t="str">
        <f t="array" ref="F8">IF(B8=100,"Free",TEXT(XLOOKUP($D8,OperationVoice!$A:$A,OperationVoice!G:G,XLOOKUP($D8,OperationTickets!$A:$A,OperationTickets!G:G,"",0)),"hh:mm"))</f>
        <v>Free</v>
      </c>
      <c r="G8" s="309" t="str">
        <f t="shared" si="3"/>
        <v>Free</v>
      </c>
      <c r="H8" s="316" t="str">
        <f t="array" ref="H8">XLOOKUP(B8,Roster!L:L,Roster!N:N,XLOOKUP(D8,TicketsBreak!A:A,TicketsBreak!E:E,"",0),0)</f>
        <v/>
      </c>
      <c r="I8" s="316" t="str">
        <f t="array" ref="I8">XLOOKUP(B8,Roster!L:L,Roster!O:O,XLOOKUP(D8,TicketsBreak!A:A,TicketsBreak!F:F,"",0),0)</f>
        <v/>
      </c>
      <c r="J8" s="316" t="str">
        <f t="array" ref="J8">XLOOKUP(B8,Roster!L:L,Roster!P:P,XLOOKUP(D8,TicketsBreak!A:A,TicketsBreak!G:G,"",0),0)</f>
        <v/>
      </c>
      <c r="K8" s="310">
        <f t="shared" si="4"/>
        <v>46113</v>
      </c>
      <c r="L8" s="317">
        <f t="array" ref="L8">(XLOOKUP(D8,Roster!F:F,Roster!D:D,"",0))</f>
        <v>38</v>
      </c>
      <c r="M8" s="317" t="str">
        <f t="array" ref="M8">XLOOKUP(D8,Roster!F:F,Roster!E:E)</f>
        <v>Voice</v>
      </c>
      <c r="N8" s="317" t="str">
        <f t="shared" ref="N8:P8" si="13">LEFT(H8,5)</f>
        <v/>
      </c>
      <c r="O8" s="317" t="str">
        <f t="shared" si="13"/>
        <v/>
      </c>
      <c r="P8" s="317" t="str">
        <f t="shared" si="13"/>
        <v/>
      </c>
      <c r="Q8" s="318" t="str">
        <f t="shared" si="6"/>
        <v/>
      </c>
      <c r="R8" s="318" t="str">
        <f t="shared" si="7"/>
        <v/>
      </c>
      <c r="S8" s="318" t="str">
        <f t="shared" si="8"/>
        <v/>
      </c>
    </row>
    <row r="9">
      <c r="A9" s="14" t="str">
        <f t="shared" si="1"/>
        <v>C46946113</v>
      </c>
      <c r="B9" s="185" t="str">
        <f t="array" ref="B9">IF(F9="VL","",IF(F9="Free","Free",XLOOKUP(D9,Roster!T:T,Roster!S:S,"",0)))</f>
        <v/>
      </c>
      <c r="C9" s="313">
        <v>46113.0</v>
      </c>
      <c r="D9" s="314" t="s">
        <v>171</v>
      </c>
      <c r="E9" s="307" t="str">
        <f t="array" ref="E9">(XLOOKUP(D9,Roster!F:F,Roster!B:B,"",0))</f>
        <v>Ana Ruiz</v>
      </c>
      <c r="F9" s="315" t="str">
        <f t="array" ref="F9">IF(B9=100,"Free",TEXT(XLOOKUP($D9,OperationVoice!$A:$A,OperationVoice!G:G,XLOOKUP($D9,OperationTickets!$A:$A,OperationTickets!G:G,"",0)),"hh:mm"))</f>
        <v>08:00</v>
      </c>
      <c r="G9" s="309">
        <f t="shared" si="3"/>
        <v>0.7083333333</v>
      </c>
      <c r="H9" s="316">
        <f t="array" ref="H9">XLOOKUP(B9,Roster!L:L,Roster!N:N,XLOOKUP(D9,TicketsBreak!A:A,TicketsBreak!E:E,"",0),0)</f>
        <v>0.3854166667</v>
      </c>
      <c r="I9" s="316">
        <f t="array" ref="I9">XLOOKUP(B9,Roster!L:L,Roster!O:O,XLOOKUP(D9,TicketsBreak!A:A,TicketsBreak!F:F,"",0),0)</f>
        <v>0.5</v>
      </c>
      <c r="J9" s="316">
        <f t="array" ref="J9">XLOOKUP(B9,Roster!L:L,Roster!P:P,XLOOKUP(D9,TicketsBreak!A:A,TicketsBreak!G:G,"",0),0)</f>
        <v>0.6041666667</v>
      </c>
      <c r="K9" s="310">
        <f t="shared" si="4"/>
        <v>46113</v>
      </c>
      <c r="L9" s="317">
        <f t="array" ref="L9">(XLOOKUP(D9,Roster!F:F,Roster!D:D,"",0))</f>
        <v>3</v>
      </c>
      <c r="M9" s="317" t="str">
        <f t="array" ref="M9">XLOOKUP(D9,Roster!F:F,Roster!E:E)</f>
        <v>Tickets</v>
      </c>
      <c r="N9" s="317" t="str">
        <f t="shared" ref="N9:P9" si="14">LEFT(H9,5)</f>
        <v>09:15</v>
      </c>
      <c r="O9" s="317" t="str">
        <f t="shared" si="14"/>
        <v>12:00</v>
      </c>
      <c r="P9" s="317" t="str">
        <f t="shared" si="14"/>
        <v>14:30</v>
      </c>
      <c r="Q9" s="318">
        <f t="shared" si="6"/>
        <v>46113.38542</v>
      </c>
      <c r="R9" s="318">
        <f t="shared" si="7"/>
        <v>46113.5</v>
      </c>
      <c r="S9" s="318">
        <f t="shared" si="8"/>
        <v>46113.60417</v>
      </c>
    </row>
    <row r="10">
      <c r="A10" s="14" t="str">
        <f t="shared" si="1"/>
        <v>C155446113</v>
      </c>
      <c r="B10" s="185" t="str">
        <f t="array" ref="B10">IF(F10="VL","",IF(F10="Free","Free",XLOOKUP(D10,Roster!T:T,Roster!S:S,"",0)))</f>
        <v>Free</v>
      </c>
      <c r="C10" s="313">
        <v>46113.0</v>
      </c>
      <c r="D10" s="314" t="s">
        <v>13</v>
      </c>
      <c r="E10" s="307" t="str">
        <f t="array" ref="E10">(XLOOKUP(D10,Roster!F:F,Roster!B:B,"",0))</f>
        <v>Andres Lopez</v>
      </c>
      <c r="F10" s="315" t="str">
        <f t="array" ref="F10">IF(B10=100,"Free",TEXT(XLOOKUP($D10,OperationVoice!$A:$A,OperationVoice!G:G,XLOOKUP($D10,OperationTickets!$A:$A,OperationTickets!G:G,"",0)),"hh:mm"))</f>
        <v>Free</v>
      </c>
      <c r="G10" s="309" t="str">
        <f t="shared" si="3"/>
        <v>Free</v>
      </c>
      <c r="H10" s="316" t="str">
        <f t="array" ref="H10">XLOOKUP(B10,Roster!L:L,Roster!N:N,XLOOKUP(D10,TicketsBreak!A:A,TicketsBreak!E:E,"",0),0)</f>
        <v/>
      </c>
      <c r="I10" s="316" t="str">
        <f t="array" ref="I10">XLOOKUP(B10,Roster!L:L,Roster!O:O,XLOOKUP(D10,TicketsBreak!A:A,TicketsBreak!F:F,"",0),0)</f>
        <v/>
      </c>
      <c r="J10" s="316" t="str">
        <f t="array" ref="J10">XLOOKUP(B10,Roster!L:L,Roster!P:P,XLOOKUP(D10,TicketsBreak!A:A,TicketsBreak!G:G,"",0),0)</f>
        <v/>
      </c>
      <c r="K10" s="310">
        <f t="shared" si="4"/>
        <v>46113</v>
      </c>
      <c r="L10" s="317">
        <f t="array" ref="L10">(XLOOKUP(D10,Roster!F:F,Roster!D:D,"",0))</f>
        <v>37</v>
      </c>
      <c r="M10" s="317" t="str">
        <f t="array" ref="M10">XLOOKUP(D10,Roster!F:F,Roster!E:E)</f>
        <v>Voice</v>
      </c>
      <c r="N10" s="317" t="str">
        <f t="shared" ref="N10:P10" si="15">LEFT(H10,5)</f>
        <v/>
      </c>
      <c r="O10" s="317" t="str">
        <f t="shared" si="15"/>
        <v/>
      </c>
      <c r="P10" s="317" t="str">
        <f t="shared" si="15"/>
        <v/>
      </c>
      <c r="Q10" s="318" t="str">
        <f t="shared" si="6"/>
        <v/>
      </c>
      <c r="R10" s="318" t="str">
        <f t="shared" si="7"/>
        <v/>
      </c>
      <c r="S10" s="318" t="str">
        <f t="shared" si="8"/>
        <v/>
      </c>
    </row>
    <row r="11">
      <c r="A11" s="14" t="str">
        <f t="shared" si="1"/>
        <v>C156746113</v>
      </c>
      <c r="B11" s="185">
        <f t="array" ref="B11">IF(F11="VL","",IF(F11="Free","Free",XLOOKUP(D11,Roster!T:T,Roster!S:S,"",0)))</f>
        <v>125</v>
      </c>
      <c r="C11" s="313">
        <v>46113.0</v>
      </c>
      <c r="D11" s="314" t="s">
        <v>14</v>
      </c>
      <c r="E11" s="307" t="str">
        <f t="array" ref="E11">(XLOOKUP(D11,Roster!F:F,Roster!B:B,"",0))</f>
        <v>Andres Salazar</v>
      </c>
      <c r="F11" s="315" t="str">
        <f t="array" ref="F11">IF(B11=100,"Free",TEXT(XLOOKUP($D11,OperationVoice!$A:$A,OperationVoice!G:G,XLOOKUP($D11,OperationTickets!$A:$A,OperationTickets!G:G,"",0)),"hh:mm"))</f>
        <v>08:00</v>
      </c>
      <c r="G11" s="309">
        <f t="shared" si="3"/>
        <v>0.7083333333</v>
      </c>
      <c r="H11" s="316" t="str">
        <f t="array" ref="H11">XLOOKUP(B11,Roster!L:L,Roster!N:N,XLOOKUP(D11,TicketsBreak!A:A,TicketsBreak!E:E,"",0),0)</f>
        <v>10:30 - 10:45</v>
      </c>
      <c r="I11" s="316" t="str">
        <f t="array" ref="I11">XLOOKUP(B11,Roster!L:L,Roster!O:O,XLOOKUP(D11,TicketsBreak!A:A,TicketsBreak!F:F,"",0),0)</f>
        <v>13:30 - 14:00</v>
      </c>
      <c r="J11" s="316" t="str">
        <f t="array" ref="J11">XLOOKUP(B11,Roster!L:L,Roster!P:P,XLOOKUP(D11,TicketsBreak!A:A,TicketsBreak!G:G,"",0),0)</f>
        <v>15:45 - 16:00</v>
      </c>
      <c r="K11" s="310">
        <f t="shared" si="4"/>
        <v>46113</v>
      </c>
      <c r="L11" s="317">
        <f t="array" ref="L11">(XLOOKUP(D11,Roster!F:F,Roster!D:D,"",0))</f>
        <v>38</v>
      </c>
      <c r="M11" s="317" t="str">
        <f t="array" ref="M11">XLOOKUP(D11,Roster!F:F,Roster!E:E)</f>
        <v>Voice</v>
      </c>
      <c r="N11" s="317" t="str">
        <f t="shared" ref="N11:P11" si="16">LEFT(H11,5)</f>
        <v>10:30</v>
      </c>
      <c r="O11" s="317" t="str">
        <f t="shared" si="16"/>
        <v>13:30</v>
      </c>
      <c r="P11" s="317" t="str">
        <f t="shared" si="16"/>
        <v>15:45</v>
      </c>
      <c r="Q11" s="318">
        <f t="shared" si="6"/>
        <v>46113.4375</v>
      </c>
      <c r="R11" s="318">
        <f t="shared" si="7"/>
        <v>46113.5625</v>
      </c>
      <c r="S11" s="318">
        <f t="shared" si="8"/>
        <v>46113.65625</v>
      </c>
    </row>
    <row r="12">
      <c r="A12" s="14" t="str">
        <f t="shared" si="1"/>
        <v>C134846113</v>
      </c>
      <c r="B12" s="185">
        <f t="array" ref="B12">IF(F12="VL","",IF(F12="Free","Free",XLOOKUP(D12,Roster!T:T,Roster!S:S,"",0)))</f>
        <v>124</v>
      </c>
      <c r="C12" s="313">
        <v>46113.0</v>
      </c>
      <c r="D12" s="314" t="s">
        <v>15</v>
      </c>
      <c r="E12" s="307" t="str">
        <f t="array" ref="E12">(XLOOKUP(D12,Roster!F:F,Roster!B:B,"",0))</f>
        <v>Angelo Zapata</v>
      </c>
      <c r="F12" s="315" t="str">
        <f t="array" ref="F12">IF(B12=100,"Free",TEXT(XLOOKUP($D12,OperationVoice!$A:$A,OperationVoice!G:G,XLOOKUP($D12,OperationTickets!$A:$A,OperationTickets!G:G,"",0)),"hh:mm"))</f>
        <v>08:00</v>
      </c>
      <c r="G12" s="309">
        <f t="shared" si="3"/>
        <v>0.7083333333</v>
      </c>
      <c r="H12" s="316" t="str">
        <f t="array" ref="H12">XLOOKUP(B12,Roster!L:L,Roster!N:N,XLOOKUP(D12,TicketsBreak!A:A,TicketsBreak!E:E,"",0),0)</f>
        <v>10:00 - 10:15</v>
      </c>
      <c r="I12" s="316" t="str">
        <f t="array" ref="I12">XLOOKUP(B12,Roster!L:L,Roster!O:O,XLOOKUP(D12,TicketsBreak!A:A,TicketsBreak!F:F,"",0),0)</f>
        <v>13:00 - 13:30</v>
      </c>
      <c r="J12" s="316" t="str">
        <f t="array" ref="J12">XLOOKUP(B12,Roster!L:L,Roster!P:P,XLOOKUP(D12,TicketsBreak!A:A,TicketsBreak!G:G,"",0),0)</f>
        <v>15:30 - 15:45</v>
      </c>
      <c r="K12" s="310">
        <f t="shared" si="4"/>
        <v>46113</v>
      </c>
      <c r="L12" s="317">
        <f t="array" ref="L12">(XLOOKUP(D12,Roster!F:F,Roster!D:D,"",0))</f>
        <v>30</v>
      </c>
      <c r="M12" s="317" t="str">
        <f t="array" ref="M12">XLOOKUP(D12,Roster!F:F,Roster!E:E)</f>
        <v>Voice</v>
      </c>
      <c r="N12" s="317" t="str">
        <f t="shared" ref="N12:P12" si="17">LEFT(H12,5)</f>
        <v>10:00</v>
      </c>
      <c r="O12" s="317" t="str">
        <f t="shared" si="17"/>
        <v>13:00</v>
      </c>
      <c r="P12" s="317" t="str">
        <f t="shared" si="17"/>
        <v>15:30</v>
      </c>
      <c r="Q12" s="318">
        <f t="shared" si="6"/>
        <v>46113.41667</v>
      </c>
      <c r="R12" s="318">
        <f t="shared" si="7"/>
        <v>46113.54167</v>
      </c>
      <c r="S12" s="318">
        <f t="shared" si="8"/>
        <v>46113.64583</v>
      </c>
    </row>
    <row r="13">
      <c r="A13" s="14" t="str">
        <f t="shared" si="1"/>
        <v>C116746113</v>
      </c>
      <c r="B13" s="185" t="str">
        <f t="array" ref="B13">IF(F13="VL","",IF(F13="Free","Free",XLOOKUP(D13,Roster!T:T,Roster!S:S,"",0)))</f>
        <v/>
      </c>
      <c r="C13" s="313">
        <v>46113.0</v>
      </c>
      <c r="D13" s="314" t="s">
        <v>172</v>
      </c>
      <c r="E13" s="307" t="str">
        <f t="array" ref="E13">(XLOOKUP(D13,Roster!F:F,Roster!B:B,"",0))</f>
        <v>Angie Rua</v>
      </c>
      <c r="F13" s="315" t="str">
        <f t="array" ref="F13">IF(B13=100,"Free",TEXT(XLOOKUP($D13,OperationVoice!$A:$A,OperationVoice!G:G,XLOOKUP($D13,OperationTickets!$A:$A,OperationTickets!G:G,"",0)),"hh:mm"))</f>
        <v>07:00</v>
      </c>
      <c r="G13" s="309">
        <f t="shared" si="3"/>
        <v>0.6666666667</v>
      </c>
      <c r="H13" s="316" t="str">
        <f t="array" ref="H13">XLOOKUP(B13,Roster!L:L,Roster!N:N,XLOOKUP(D13,TicketsBreak!A:A,TicketsBreak!E:E,"",0),0)</f>
        <v/>
      </c>
      <c r="I13" s="316" t="str">
        <f t="array" ref="I13">XLOOKUP(B13,Roster!L:L,Roster!O:O,XLOOKUP(D13,TicketsBreak!A:A,TicketsBreak!F:F,"",0),0)</f>
        <v/>
      </c>
      <c r="J13" s="316" t="str">
        <f t="array" ref="J13">XLOOKUP(B13,Roster!L:L,Roster!P:P,XLOOKUP(D13,TicketsBreak!A:A,TicketsBreak!G:G,"",0),0)</f>
        <v/>
      </c>
      <c r="K13" s="310">
        <f t="shared" si="4"/>
        <v>46113</v>
      </c>
      <c r="L13" s="317">
        <f t="array" ref="L13">(XLOOKUP(D13,Roster!F:F,Roster!D:D,"",0))</f>
        <v>24</v>
      </c>
      <c r="M13" s="317" t="str">
        <f t="array" ref="M13">XLOOKUP(D13,Roster!F:F,Roster!E:E)</f>
        <v>Tickets</v>
      </c>
      <c r="N13" s="317" t="str">
        <f t="shared" ref="N13:P13" si="18">LEFT(H13,5)</f>
        <v/>
      </c>
      <c r="O13" s="317" t="str">
        <f t="shared" si="18"/>
        <v/>
      </c>
      <c r="P13" s="317" t="str">
        <f t="shared" si="18"/>
        <v/>
      </c>
      <c r="Q13" s="318" t="str">
        <f t="shared" si="6"/>
        <v/>
      </c>
      <c r="R13" s="318" t="str">
        <f t="shared" si="7"/>
        <v/>
      </c>
      <c r="S13" s="318" t="str">
        <f t="shared" si="8"/>
        <v/>
      </c>
    </row>
    <row r="14">
      <c r="A14" s="14" t="str">
        <f t="shared" si="1"/>
        <v>C157946113</v>
      </c>
      <c r="B14" s="185">
        <f t="array" ref="B14">IF(F14="VL","",IF(F14="Free","Free",XLOOKUP(D14,Roster!T:T,Roster!S:S,"",0)))</f>
        <v>126</v>
      </c>
      <c r="C14" s="313">
        <v>46113.0</v>
      </c>
      <c r="D14" s="314" t="s">
        <v>16</v>
      </c>
      <c r="E14" s="307" t="str">
        <f t="array" ref="E14">(XLOOKUP(D14,Roster!F:F,Roster!B:B,"",0))</f>
        <v>Anibal Munoz</v>
      </c>
      <c r="F14" s="315" t="str">
        <f t="array" ref="F14">IF(B14=100,"Free",TEXT(XLOOKUP($D14,OperationVoice!$A:$A,OperationVoice!G:G,XLOOKUP($D14,OperationTickets!$A:$A,OperationTickets!G:G,"",0)),"hh:mm"))</f>
        <v>08:00</v>
      </c>
      <c r="G14" s="309">
        <f t="shared" si="3"/>
        <v>0.7083333333</v>
      </c>
      <c r="H14" s="316" t="str">
        <f t="array" ref="H14">XLOOKUP(B14,Roster!L:L,Roster!N:N,XLOOKUP(D14,TicketsBreak!A:A,TicketsBreak!E:E,"",0),0)</f>
        <v>10:45 - 11:00</v>
      </c>
      <c r="I14" s="316" t="str">
        <f t="array" ref="I14">XLOOKUP(B14,Roster!L:L,Roster!O:O,XLOOKUP(D14,TicketsBreak!A:A,TicketsBreak!F:F,"",0),0)</f>
        <v>14:00 - 14:30</v>
      </c>
      <c r="J14" s="316" t="str">
        <f t="array" ref="J14">XLOOKUP(B14,Roster!L:L,Roster!P:P,XLOOKUP(D14,TicketsBreak!A:A,TicketsBreak!G:G,"",0),0)</f>
        <v>15:45 - 16:00</v>
      </c>
      <c r="K14" s="310">
        <f t="shared" si="4"/>
        <v>46113</v>
      </c>
      <c r="L14" s="317">
        <f t="array" ref="L14">(XLOOKUP(D14,Roster!F:F,Roster!D:D,"",0))</f>
        <v>38</v>
      </c>
      <c r="M14" s="317" t="str">
        <f t="array" ref="M14">XLOOKUP(D14,Roster!F:F,Roster!E:E)</f>
        <v>Voice</v>
      </c>
      <c r="N14" s="317" t="str">
        <f t="shared" ref="N14:P14" si="19">LEFT(H14,5)</f>
        <v>10:45</v>
      </c>
      <c r="O14" s="317" t="str">
        <f t="shared" si="19"/>
        <v>14:00</v>
      </c>
      <c r="P14" s="317" t="str">
        <f t="shared" si="19"/>
        <v>15:45</v>
      </c>
      <c r="Q14" s="318">
        <f t="shared" si="6"/>
        <v>46113.44792</v>
      </c>
      <c r="R14" s="318">
        <f t="shared" si="7"/>
        <v>46113.58333</v>
      </c>
      <c r="S14" s="318">
        <f t="shared" si="8"/>
        <v>46113.65625</v>
      </c>
    </row>
    <row r="15">
      <c r="A15" s="14" t="str">
        <f t="shared" si="1"/>
        <v>C08046113</v>
      </c>
      <c r="B15" s="185" t="str">
        <f t="array" ref="B15">IF(F15="VL","",IF(F15="Free","Free",XLOOKUP(D15,Roster!T:T,Roster!S:S,"",0)))</f>
        <v/>
      </c>
      <c r="C15" s="313">
        <v>46113.0</v>
      </c>
      <c r="D15" s="314" t="s">
        <v>138</v>
      </c>
      <c r="E15" s="307" t="str">
        <f t="array" ref="E15">(XLOOKUP(D15,Roster!F:F,Roster!B:B,"",0))</f>
        <v>Arturo Padilla</v>
      </c>
      <c r="F15" s="315" t="str">
        <f t="array" ref="F15">IF(B15=100,"Free",TEXT(XLOOKUP($D15,OperationVoice!$A:$A,OperationVoice!G:G,XLOOKUP($D15,OperationTickets!$A:$A,OperationTickets!G:G,"",0)),"hh:mm"))</f>
        <v>08:00</v>
      </c>
      <c r="G15" s="309">
        <f t="shared" si="3"/>
        <v>0.7083333333</v>
      </c>
      <c r="H15" s="316">
        <f t="array" ref="H15">XLOOKUP(B15,Roster!L:L,Roster!N:N,XLOOKUP(D15,TicketsBreak!A:A,TicketsBreak!E:E,"",0),0)</f>
        <v>0.375</v>
      </c>
      <c r="I15" s="316">
        <f t="array" ref="I15">XLOOKUP(B15,Roster!L:L,Roster!O:O,XLOOKUP(D15,TicketsBreak!A:A,TicketsBreak!F:F,"",0),0)</f>
        <v>0.5</v>
      </c>
      <c r="J15" s="316">
        <f t="array" ref="J15">XLOOKUP(B15,Roster!L:L,Roster!P:P,XLOOKUP(D15,TicketsBreak!A:A,TicketsBreak!G:G,"",0),0)</f>
        <v>0.6458333333</v>
      </c>
      <c r="K15" s="310">
        <f t="shared" si="4"/>
        <v>46113</v>
      </c>
      <c r="L15" s="317">
        <f t="array" ref="L15">(XLOOKUP(D15,Roster!F:F,Roster!D:D,"",0))</f>
        <v>1</v>
      </c>
      <c r="M15" s="317" t="str">
        <f t="array" ref="M15">XLOOKUP(D15,Roster!F:F,Roster!E:E)</f>
        <v>Tickets</v>
      </c>
      <c r="N15" s="317" t="str">
        <f t="shared" ref="N15:P15" si="20">LEFT(H15,5)</f>
        <v>09:00</v>
      </c>
      <c r="O15" s="317" t="str">
        <f t="shared" si="20"/>
        <v>12:00</v>
      </c>
      <c r="P15" s="317" t="str">
        <f t="shared" si="20"/>
        <v>15:30</v>
      </c>
      <c r="Q15" s="318">
        <f t="shared" si="6"/>
        <v>46113.375</v>
      </c>
      <c r="R15" s="318">
        <f t="shared" si="7"/>
        <v>46113.5</v>
      </c>
      <c r="S15" s="318">
        <f t="shared" si="8"/>
        <v>46113.64583</v>
      </c>
    </row>
    <row r="16">
      <c r="A16" s="14" t="str">
        <f t="shared" si="1"/>
        <v>C150446113</v>
      </c>
      <c r="B16" s="185">
        <f t="array" ref="B16">IF(F16="VL","",IF(F16="Free","Free",XLOOKUP(D16,Roster!T:T,Roster!S:S,"",0)))</f>
        <v>123</v>
      </c>
      <c r="C16" s="313">
        <v>46113.0</v>
      </c>
      <c r="D16" s="314" t="s">
        <v>155</v>
      </c>
      <c r="E16" s="307" t="str">
        <f t="array" ref="E16">(XLOOKUP(D16,Roster!F:F,Roster!B:B,"",0))</f>
        <v>Beatriz Montanez</v>
      </c>
      <c r="F16" s="315" t="str">
        <f t="array" ref="F16">IF(B16=100,"Free",TEXT(XLOOKUP($D16,OperationVoice!$A:$A,OperationVoice!G:G,XLOOKUP($D16,OperationTickets!$A:$A,OperationTickets!G:G,"",0)),"hh:mm"))</f>
        <v>08:00</v>
      </c>
      <c r="G16" s="309">
        <f t="shared" si="3"/>
        <v>0.7083333333</v>
      </c>
      <c r="H16" s="316" t="str">
        <f t="array" ref="H16">XLOOKUP(B16,Roster!L:L,Roster!N:N,XLOOKUP(D16,TicketsBreak!A:A,TicketsBreak!E:E,"",0),0)</f>
        <v>09:45 - 10:00 </v>
      </c>
      <c r="I16" s="316" t="str">
        <f t="array" ref="I16">XLOOKUP(B16,Roster!L:L,Roster!O:O,XLOOKUP(D16,TicketsBreak!A:A,TicketsBreak!F:F,"",0),0)</f>
        <v>12:30 - 13:00</v>
      </c>
      <c r="J16" s="316" t="str">
        <f t="array" ref="J16">XLOOKUP(B16,Roster!L:L,Roster!P:P,XLOOKUP(D16,TicketsBreak!A:A,TicketsBreak!G:G,"",0),0)</f>
        <v>15:00 - 15:15</v>
      </c>
      <c r="K16" s="310">
        <f t="shared" si="4"/>
        <v>46113</v>
      </c>
      <c r="L16" s="317">
        <f t="array" ref="L16">(XLOOKUP(D16,Roster!F:F,Roster!D:D,"",0))</f>
        <v>35</v>
      </c>
      <c r="M16" s="317" t="str">
        <f t="array" ref="M16">XLOOKUP(D16,Roster!F:F,Roster!E:E)</f>
        <v>Tickets</v>
      </c>
      <c r="N16" s="317" t="str">
        <f t="shared" ref="N16:P16" si="21">LEFT(H16,5)</f>
        <v>09:45</v>
      </c>
      <c r="O16" s="317" t="str">
        <f t="shared" si="21"/>
        <v>12:30</v>
      </c>
      <c r="P16" s="317" t="str">
        <f t="shared" si="21"/>
        <v>15:00</v>
      </c>
      <c r="Q16" s="318">
        <f t="shared" si="6"/>
        <v>46113.40625</v>
      </c>
      <c r="R16" s="318">
        <f t="shared" si="7"/>
        <v>46113.52083</v>
      </c>
      <c r="S16" s="318">
        <f t="shared" si="8"/>
        <v>46113.625</v>
      </c>
    </row>
    <row r="17">
      <c r="A17" s="14" t="str">
        <f t="shared" si="1"/>
        <v>C107746113</v>
      </c>
      <c r="B17" s="185">
        <f t="array" ref="B17">IF(F17="VL","",IF(F17="Free","Free",XLOOKUP(D17,Roster!T:T,Roster!S:S,"",0)))</f>
        <v>125</v>
      </c>
      <c r="C17" s="313">
        <v>46113.0</v>
      </c>
      <c r="D17" s="314" t="s">
        <v>17</v>
      </c>
      <c r="E17" s="307" t="str">
        <f t="array" ref="E17">(XLOOKUP(D17,Roster!F:F,Roster!B:B,"",0))</f>
        <v>Brahian Prado</v>
      </c>
      <c r="F17" s="315" t="str">
        <f t="array" ref="F17">IF(B17=100,"Free",TEXT(XLOOKUP($D17,OperationVoice!$A:$A,OperationVoice!G:G,XLOOKUP($D17,OperationTickets!$A:$A,OperationTickets!G:G,"",0)),"hh:mm"))</f>
        <v>08:00</v>
      </c>
      <c r="G17" s="309">
        <f t="shared" si="3"/>
        <v>0.7083333333</v>
      </c>
      <c r="H17" s="316" t="str">
        <f t="array" ref="H17">XLOOKUP(B17,Roster!L:L,Roster!N:N,XLOOKUP(D17,TicketsBreak!A:A,TicketsBreak!E:E,"",0),0)</f>
        <v>10:30 - 10:45</v>
      </c>
      <c r="I17" s="316" t="str">
        <f t="array" ref="I17">XLOOKUP(B17,Roster!L:L,Roster!O:O,XLOOKUP(D17,TicketsBreak!A:A,TicketsBreak!F:F,"",0),0)</f>
        <v>13:30 - 14:00</v>
      </c>
      <c r="J17" s="316" t="str">
        <f t="array" ref="J17">XLOOKUP(B17,Roster!L:L,Roster!P:P,XLOOKUP(D17,TicketsBreak!A:A,TicketsBreak!G:G,"",0),0)</f>
        <v>15:45 - 16:00</v>
      </c>
      <c r="K17" s="310">
        <f t="shared" si="4"/>
        <v>46113</v>
      </c>
      <c r="L17" s="317">
        <f t="array" ref="L17">(XLOOKUP(D17,Roster!F:F,Roster!D:D,"",0))</f>
        <v>18</v>
      </c>
      <c r="M17" s="317" t="str">
        <f t="array" ref="M17">XLOOKUP(D17,Roster!F:F,Roster!E:E)</f>
        <v>Voice</v>
      </c>
      <c r="N17" s="317" t="str">
        <f t="shared" ref="N17:P17" si="22">LEFT(H17,5)</f>
        <v>10:30</v>
      </c>
      <c r="O17" s="317" t="str">
        <f t="shared" si="22"/>
        <v>13:30</v>
      </c>
      <c r="P17" s="317" t="str">
        <f t="shared" si="22"/>
        <v>15:45</v>
      </c>
      <c r="Q17" s="318">
        <f t="shared" si="6"/>
        <v>46113.4375</v>
      </c>
      <c r="R17" s="318">
        <f t="shared" si="7"/>
        <v>46113.5625</v>
      </c>
      <c r="S17" s="318">
        <f t="shared" si="8"/>
        <v>46113.65625</v>
      </c>
    </row>
    <row r="18">
      <c r="A18" s="14" t="str">
        <f t="shared" si="1"/>
        <v>C116546113</v>
      </c>
      <c r="B18" s="185" t="str">
        <f t="array" ref="B18">IF(F18="VL","",IF(F18="Free","Free",XLOOKUP(D18,Roster!T:T,Roster!S:S,"",0)))</f>
        <v>Free</v>
      </c>
      <c r="C18" s="313">
        <v>46113.0</v>
      </c>
      <c r="D18" s="314" t="s">
        <v>139</v>
      </c>
      <c r="E18" s="307" t="str">
        <f t="array" ref="E18">(XLOOKUP(D18,Roster!F:F,Roster!B:B,"",0))</f>
        <v>Braian Restrepo</v>
      </c>
      <c r="F18" s="315" t="str">
        <f t="array" ref="F18">IF(B18=100,"Free",TEXT(XLOOKUP($D18,OperationVoice!$A:$A,OperationVoice!G:G,XLOOKUP($D18,OperationTickets!$A:$A,OperationTickets!G:G,"",0)),"hh:mm"))</f>
        <v>Free</v>
      </c>
      <c r="G18" s="309" t="str">
        <f t="shared" si="3"/>
        <v>Free</v>
      </c>
      <c r="H18" s="316" t="str">
        <f t="array" ref="H18">XLOOKUP(B18,Roster!L:L,Roster!N:N,XLOOKUP(D18,TicketsBreak!A:A,TicketsBreak!E:E,"",0),0)</f>
        <v/>
      </c>
      <c r="I18" s="316" t="str">
        <f t="array" ref="I18">XLOOKUP(B18,Roster!L:L,Roster!O:O,XLOOKUP(D18,TicketsBreak!A:A,TicketsBreak!F:F,"",0),0)</f>
        <v/>
      </c>
      <c r="J18" s="316" t="str">
        <f t="array" ref="J18">XLOOKUP(B18,Roster!L:L,Roster!P:P,XLOOKUP(D18,TicketsBreak!A:A,TicketsBreak!G:G,"",0),0)</f>
        <v/>
      </c>
      <c r="K18" s="310">
        <f t="shared" si="4"/>
        <v>46113</v>
      </c>
      <c r="L18" s="317">
        <f t="array" ref="L18">(XLOOKUP(D18,Roster!F:F,Roster!D:D,"",0))</f>
        <v>24</v>
      </c>
      <c r="M18" s="317" t="str">
        <f t="array" ref="M18">XLOOKUP(D18,Roster!F:F,Roster!E:E)</f>
        <v>Tickets</v>
      </c>
      <c r="N18" s="317" t="str">
        <f t="shared" ref="N18:P18" si="23">LEFT(H18,5)</f>
        <v/>
      </c>
      <c r="O18" s="317" t="str">
        <f t="shared" si="23"/>
        <v/>
      </c>
      <c r="P18" s="317" t="str">
        <f t="shared" si="23"/>
        <v/>
      </c>
      <c r="Q18" s="318" t="str">
        <f t="shared" si="6"/>
        <v/>
      </c>
      <c r="R18" s="318" t="str">
        <f t="shared" si="7"/>
        <v/>
      </c>
      <c r="S18" s="318" t="str">
        <f t="shared" si="8"/>
        <v/>
      </c>
    </row>
    <row r="19">
      <c r="A19" s="14" t="str">
        <f t="shared" si="1"/>
        <v>C127446113</v>
      </c>
      <c r="B19" s="185">
        <f t="array" ref="B19">IF(F19="VL","",IF(F19="Free","Free",XLOOKUP(D19,Roster!T:T,Roster!S:S,"",0)))</f>
        <v>126</v>
      </c>
      <c r="C19" s="313">
        <v>46113.0</v>
      </c>
      <c r="D19" s="314" t="s">
        <v>250</v>
      </c>
      <c r="E19" s="307" t="str">
        <f t="array" ref="E19">(XLOOKUP(D19,Roster!F:F,Roster!B:B,"",0))</f>
        <v>Brayan Franco</v>
      </c>
      <c r="F19" s="315" t="str">
        <f t="array" ref="F19">IF(B19=100,"Free",TEXT(XLOOKUP($D19,OperationVoice!$A:$A,OperationVoice!G:G,XLOOKUP($D19,OperationTickets!$A:$A,OperationTickets!G:G,"",0)),"hh:mm"))</f>
        <v/>
      </c>
      <c r="G19" s="309" t="str">
        <f t="shared" si="3"/>
        <v/>
      </c>
      <c r="H19" s="316" t="str">
        <f t="array" ref="H19">XLOOKUP(B19,Roster!L:L,Roster!N:N,XLOOKUP(D19,TicketsBreak!A:A,TicketsBreak!E:E,"",0),0)</f>
        <v>10:45 - 11:00</v>
      </c>
      <c r="I19" s="316" t="str">
        <f t="array" ref="I19">XLOOKUP(B19,Roster!L:L,Roster!O:O,XLOOKUP(D19,TicketsBreak!A:A,TicketsBreak!F:F,"",0),0)</f>
        <v>14:00 - 14:30</v>
      </c>
      <c r="J19" s="316" t="str">
        <f t="array" ref="J19">XLOOKUP(B19,Roster!L:L,Roster!P:P,XLOOKUP(D19,TicketsBreak!A:A,TicketsBreak!G:G,"",0),0)</f>
        <v>15:45 - 16:00</v>
      </c>
      <c r="K19" s="310">
        <f t="shared" si="4"/>
        <v>46113</v>
      </c>
      <c r="L19" s="317">
        <f t="array" ref="L19">(XLOOKUP(D19,Roster!F:F,Roster!D:D,"",0))</f>
        <v>27</v>
      </c>
      <c r="M19" s="317" t="str">
        <f t="array" ref="M19">XLOOKUP(D19,Roster!F:F,Roster!E:E)</f>
        <v>Voice</v>
      </c>
      <c r="N19" s="317" t="str">
        <f t="shared" ref="N19:P19" si="24">LEFT(H19,5)</f>
        <v>10:45</v>
      </c>
      <c r="O19" s="317" t="str">
        <f t="shared" si="24"/>
        <v>14:00</v>
      </c>
      <c r="P19" s="317" t="str">
        <f t="shared" si="24"/>
        <v>15:45</v>
      </c>
      <c r="Q19" s="318">
        <f t="shared" si="6"/>
        <v>46113.44792</v>
      </c>
      <c r="R19" s="318">
        <f t="shared" si="7"/>
        <v>46113.58333</v>
      </c>
      <c r="S19" s="318">
        <f t="shared" si="8"/>
        <v>46113.65625</v>
      </c>
    </row>
    <row r="20">
      <c r="A20" s="14" t="str">
        <f t="shared" si="1"/>
        <v>C119146113</v>
      </c>
      <c r="B20" s="185">
        <f t="array" ref="B20">IF(F20="VL","",IF(F20="Free","Free",XLOOKUP(D20,Roster!T:T,Roster!S:S,"",0)))</f>
        <v>111</v>
      </c>
      <c r="C20" s="313">
        <v>46113.0</v>
      </c>
      <c r="D20" s="314" t="s">
        <v>18</v>
      </c>
      <c r="E20" s="307" t="str">
        <f t="array" ref="E20">(XLOOKUP(D20,Roster!F:F,Roster!B:B,"",0))</f>
        <v>Brayan Montoya</v>
      </c>
      <c r="F20" s="315" t="str">
        <f t="array" ref="F20">IF(B20=100,"Free",TEXT(XLOOKUP($D20,OperationVoice!$A:$A,OperationVoice!G:G,XLOOKUP($D20,OperationTickets!$A:$A,OperationTickets!G:G,"",0)),"hh:mm"))</f>
        <v>07:00</v>
      </c>
      <c r="G20" s="309">
        <f t="shared" si="3"/>
        <v>0.6666666667</v>
      </c>
      <c r="H20" s="316" t="str">
        <f t="array" ref="H20">XLOOKUP(B20,Roster!L:L,Roster!N:N,XLOOKUP(D20,TicketsBreak!A:A,TicketsBreak!E:E,"",0),0)</f>
        <v>09:00 - 09:15</v>
      </c>
      <c r="I20" s="316" t="str">
        <f t="array" ref="I20">XLOOKUP(B20,Roster!L:L,Roster!O:O,XLOOKUP(D20,TicketsBreak!A:A,TicketsBreak!F:F,"",0),0)</f>
        <v>11:45 - 12:15</v>
      </c>
      <c r="J20" s="316" t="str">
        <f t="array" ref="J20">XLOOKUP(B20,Roster!L:L,Roster!P:P,XLOOKUP(D20,TicketsBreak!A:A,TicketsBreak!G:G,"",0),0)</f>
        <v>14:30 - 14:45</v>
      </c>
      <c r="K20" s="310">
        <f t="shared" si="4"/>
        <v>46113</v>
      </c>
      <c r="L20" s="317">
        <f t="array" ref="L20">(XLOOKUP(D20,Roster!F:F,Roster!D:D,"",0))</f>
        <v>25</v>
      </c>
      <c r="M20" s="317" t="str">
        <f t="array" ref="M20">XLOOKUP(D20,Roster!F:F,Roster!E:E)</f>
        <v>Voice</v>
      </c>
      <c r="N20" s="317" t="str">
        <f t="shared" ref="N20:P20" si="25">LEFT(H20,5)</f>
        <v>09:00</v>
      </c>
      <c r="O20" s="317" t="str">
        <f t="shared" si="25"/>
        <v>11:45</v>
      </c>
      <c r="P20" s="317" t="str">
        <f t="shared" si="25"/>
        <v>14:30</v>
      </c>
      <c r="Q20" s="318">
        <f t="shared" si="6"/>
        <v>46113.375</v>
      </c>
      <c r="R20" s="318">
        <f t="shared" si="7"/>
        <v>46113.48958</v>
      </c>
      <c r="S20" s="318">
        <f t="shared" si="8"/>
        <v>46113.60417</v>
      </c>
    </row>
    <row r="21">
      <c r="A21" s="14" t="str">
        <f t="shared" si="1"/>
        <v>C152646113</v>
      </c>
      <c r="B21" s="185" t="str">
        <f t="array" ref="B21">IF(F21="VL","",IF(F21="Free","Free",XLOOKUP(D21,Roster!T:T,Roster!S:S,"",0)))</f>
        <v>Free</v>
      </c>
      <c r="C21" s="313">
        <v>46113.0</v>
      </c>
      <c r="D21" s="314" t="s">
        <v>19</v>
      </c>
      <c r="E21" s="307" t="str">
        <f t="array" ref="E21">(XLOOKUP(D21,Roster!F:F,Roster!B:B,"",0))</f>
        <v>Breitner Benitez</v>
      </c>
      <c r="F21" s="315" t="str">
        <f t="array" ref="F21">IF(B21=100,"Free",TEXT(XLOOKUP($D21,OperationVoice!$A:$A,OperationVoice!G:G,XLOOKUP($D21,OperationTickets!$A:$A,OperationTickets!G:G,"",0)),"hh:mm"))</f>
        <v>Free</v>
      </c>
      <c r="G21" s="309" t="str">
        <f t="shared" si="3"/>
        <v>Free</v>
      </c>
      <c r="H21" s="316" t="str">
        <f t="array" ref="H21">XLOOKUP(B21,Roster!L:L,Roster!N:N,XLOOKUP(D21,TicketsBreak!A:A,TicketsBreak!E:E,"",0),0)</f>
        <v/>
      </c>
      <c r="I21" s="316" t="str">
        <f t="array" ref="I21">XLOOKUP(B21,Roster!L:L,Roster!O:O,XLOOKUP(D21,TicketsBreak!A:A,TicketsBreak!F:F,"",0),0)</f>
        <v/>
      </c>
      <c r="J21" s="316" t="str">
        <f t="array" ref="J21">XLOOKUP(B21,Roster!L:L,Roster!P:P,XLOOKUP(D21,TicketsBreak!A:A,TicketsBreak!G:G,"",0),0)</f>
        <v/>
      </c>
      <c r="K21" s="310">
        <f t="shared" si="4"/>
        <v>46113</v>
      </c>
      <c r="L21" s="317">
        <f t="array" ref="L21">(XLOOKUP(D21,Roster!F:F,Roster!D:D,"",0))</f>
        <v>13</v>
      </c>
      <c r="M21" s="317" t="str">
        <f t="array" ref="M21">XLOOKUP(D21,Roster!F:F,Roster!E:E)</f>
        <v>Voice</v>
      </c>
      <c r="N21" s="317" t="str">
        <f t="shared" ref="N21:P21" si="26">LEFT(H21,5)</f>
        <v/>
      </c>
      <c r="O21" s="317" t="str">
        <f t="shared" si="26"/>
        <v/>
      </c>
      <c r="P21" s="317" t="str">
        <f t="shared" si="26"/>
        <v/>
      </c>
      <c r="Q21" s="318" t="str">
        <f t="shared" si="6"/>
        <v/>
      </c>
      <c r="R21" s="318" t="str">
        <f t="shared" si="7"/>
        <v/>
      </c>
      <c r="S21" s="318" t="str">
        <f t="shared" si="8"/>
        <v/>
      </c>
    </row>
    <row r="22">
      <c r="A22" s="14" t="str">
        <f t="shared" si="1"/>
        <v>C153546113</v>
      </c>
      <c r="B22" s="185">
        <f t="array" ref="B22">IF(F22="VL","",IF(F22="Free","Free",XLOOKUP(D22,Roster!T:T,Roster!S:S,"",0)))</f>
        <v>154</v>
      </c>
      <c r="C22" s="313">
        <v>46113.0</v>
      </c>
      <c r="D22" s="314" t="s">
        <v>20</v>
      </c>
      <c r="E22" s="307" t="str">
        <f t="array" ref="E22">(XLOOKUP(D22,Roster!F:F,Roster!B:B,"",0))</f>
        <v>Carlos Alzate</v>
      </c>
      <c r="F22" s="315" t="str">
        <f t="array" ref="F22">IF(B22=100,"Free",TEXT(XLOOKUP($D22,OperationVoice!$A:$A,OperationVoice!G:G,XLOOKUP($D22,OperationTickets!$A:$A,OperationTickets!G:G,"",0)),"hh:mm"))</f>
        <v>11:00</v>
      </c>
      <c r="G22" s="309">
        <f t="shared" si="3"/>
        <v>0.8333333333</v>
      </c>
      <c r="H22" s="316" t="str">
        <f t="array" ref="H22">XLOOKUP(B22,Roster!L:L,Roster!N:N,XLOOKUP(D22,TicketsBreak!A:A,TicketsBreak!E:E,"",0),0)</f>
        <v>13:00 - 13:15</v>
      </c>
      <c r="I22" s="316" t="str">
        <f t="array" ref="I22">XLOOKUP(B22,Roster!L:L,Roster!O:O,XLOOKUP(D22,TicketsBreak!A:A,TicketsBreak!F:F,"",0),0)</f>
        <v>15:15 - 15:45</v>
      </c>
      <c r="J22" s="316" t="str">
        <f t="array" ref="J22">XLOOKUP(B22,Roster!L:L,Roster!P:P,XLOOKUP(D22,TicketsBreak!A:A,TicketsBreak!G:G,"",0),0)</f>
        <v>18:00 - 18:15</v>
      </c>
      <c r="K22" s="310">
        <f t="shared" si="4"/>
        <v>46113</v>
      </c>
      <c r="L22" s="317">
        <f t="array" ref="L22">(XLOOKUP(D22,Roster!F:F,Roster!D:D,"",0))</f>
        <v>36</v>
      </c>
      <c r="M22" s="317" t="str">
        <f t="array" ref="M22">XLOOKUP(D22,Roster!F:F,Roster!E:E)</f>
        <v>Voice</v>
      </c>
      <c r="N22" s="317" t="str">
        <f t="shared" ref="N22:P22" si="27">LEFT(H22,5)</f>
        <v>13:00</v>
      </c>
      <c r="O22" s="317" t="str">
        <f t="shared" si="27"/>
        <v>15:15</v>
      </c>
      <c r="P22" s="317" t="str">
        <f t="shared" si="27"/>
        <v>18:00</v>
      </c>
      <c r="Q22" s="318">
        <f t="shared" si="6"/>
        <v>46113.54167</v>
      </c>
      <c r="R22" s="318">
        <f t="shared" si="7"/>
        <v>46113.63542</v>
      </c>
      <c r="S22" s="318">
        <f t="shared" si="8"/>
        <v>46113.75</v>
      </c>
    </row>
    <row r="23">
      <c r="A23" s="14" t="str">
        <f t="shared" si="1"/>
        <v>C153146113</v>
      </c>
      <c r="B23" s="185" t="str">
        <f t="array" ref="B23">IF(F23="VL","",IF(F23="Free","Free",XLOOKUP(D23,Roster!T:T,Roster!S:S,"",0)))</f>
        <v>Free</v>
      </c>
      <c r="C23" s="313">
        <v>46113.0</v>
      </c>
      <c r="D23" s="314" t="s">
        <v>21</v>
      </c>
      <c r="E23" s="307" t="str">
        <f t="array" ref="E23">(XLOOKUP(D23,Roster!F:F,Roster!B:B,"",0))</f>
        <v>Carlos Palma</v>
      </c>
      <c r="F23" s="315" t="str">
        <f t="array" ref="F23">IF(B23=100,"Free",TEXT(XLOOKUP($D23,OperationVoice!$A:$A,OperationVoice!G:G,XLOOKUP($D23,OperationTickets!$A:$A,OperationTickets!G:G,"",0)),"hh:mm"))</f>
        <v>Free</v>
      </c>
      <c r="G23" s="309" t="str">
        <f t="shared" si="3"/>
        <v>Free</v>
      </c>
      <c r="H23" s="316" t="str">
        <f t="array" ref="H23">XLOOKUP(B23,Roster!L:L,Roster!N:N,XLOOKUP(D23,TicketsBreak!A:A,TicketsBreak!E:E,"",0),0)</f>
        <v/>
      </c>
      <c r="I23" s="316" t="str">
        <f t="array" ref="I23">XLOOKUP(B23,Roster!L:L,Roster!O:O,XLOOKUP(D23,TicketsBreak!A:A,TicketsBreak!F:F,"",0),0)</f>
        <v/>
      </c>
      <c r="J23" s="316" t="str">
        <f t="array" ref="J23">XLOOKUP(B23,Roster!L:L,Roster!P:P,XLOOKUP(D23,TicketsBreak!A:A,TicketsBreak!G:G,"",0),0)</f>
        <v/>
      </c>
      <c r="K23" s="310">
        <f t="shared" si="4"/>
        <v>46113</v>
      </c>
      <c r="L23" s="317">
        <f t="array" ref="L23">(XLOOKUP(D23,Roster!F:F,Roster!D:D,"",0))</f>
        <v>36</v>
      </c>
      <c r="M23" s="317" t="str">
        <f t="array" ref="M23">XLOOKUP(D23,Roster!F:F,Roster!E:E)</f>
        <v>Voice</v>
      </c>
      <c r="N23" s="317" t="str">
        <f t="shared" ref="N23:P23" si="28">LEFT(H23,5)</f>
        <v/>
      </c>
      <c r="O23" s="317" t="str">
        <f t="shared" si="28"/>
        <v/>
      </c>
      <c r="P23" s="317" t="str">
        <f t="shared" si="28"/>
        <v/>
      </c>
      <c r="Q23" s="318" t="str">
        <f t="shared" si="6"/>
        <v/>
      </c>
      <c r="R23" s="318" t="str">
        <f t="shared" si="7"/>
        <v/>
      </c>
      <c r="S23" s="318" t="str">
        <f t="shared" si="8"/>
        <v/>
      </c>
    </row>
    <row r="24">
      <c r="A24" s="14" t="str">
        <f t="shared" si="1"/>
        <v>C157646113</v>
      </c>
      <c r="B24" s="185" t="str">
        <f t="array" ref="B24">IF(F24="VL","",IF(F24="Free","Free",XLOOKUP(D24,Roster!T:T,Roster!S:S,"",0)))</f>
        <v/>
      </c>
      <c r="C24" s="313">
        <v>46113.0</v>
      </c>
      <c r="D24" s="314" t="s">
        <v>313</v>
      </c>
      <c r="E24" s="307" t="str">
        <f t="array" ref="E24">(XLOOKUP(D24,Roster!F:F,Roster!B:B,"",0))</f>
        <v>Carlos Ruiz</v>
      </c>
      <c r="F24" s="315" t="str">
        <f t="array" ref="F24">IF(B24=100,"Free",TEXT(XLOOKUP($D24,OperationVoice!$A:$A,OperationVoice!G:G,XLOOKUP($D24,OperationTickets!$A:$A,OperationTickets!G:G,"",0)),"hh:mm"))</f>
        <v/>
      </c>
      <c r="G24" s="309" t="str">
        <f t="shared" si="3"/>
        <v/>
      </c>
      <c r="H24" s="316" t="str">
        <f t="array" ref="H24">XLOOKUP(B24,Roster!L:L,Roster!N:N,XLOOKUP(D24,TicketsBreak!A:A,TicketsBreak!E:E,"",0),0)</f>
        <v/>
      </c>
      <c r="I24" s="316" t="str">
        <f t="array" ref="I24">XLOOKUP(B24,Roster!L:L,Roster!O:O,XLOOKUP(D24,TicketsBreak!A:A,TicketsBreak!F:F,"",0),0)</f>
        <v/>
      </c>
      <c r="J24" s="316" t="str">
        <f t="array" ref="J24">XLOOKUP(B24,Roster!L:L,Roster!P:P,XLOOKUP(D24,TicketsBreak!A:A,TicketsBreak!G:G,"",0),0)</f>
        <v/>
      </c>
      <c r="K24" s="310">
        <f t="shared" si="4"/>
        <v>46113</v>
      </c>
      <c r="L24" s="317">
        <f t="array" ref="L24">(XLOOKUP(D24,Roster!F:F,Roster!D:D,"",0))</f>
        <v>38</v>
      </c>
      <c r="M24" s="317" t="str">
        <f t="array" ref="M24">XLOOKUP(D24,Roster!F:F,Roster!E:E)</f>
        <v>Nesting</v>
      </c>
      <c r="N24" s="317" t="str">
        <f t="shared" ref="N24:P24" si="29">LEFT(H24,5)</f>
        <v/>
      </c>
      <c r="O24" s="317" t="str">
        <f t="shared" si="29"/>
        <v/>
      </c>
      <c r="P24" s="317" t="str">
        <f t="shared" si="29"/>
        <v/>
      </c>
      <c r="Q24" s="318" t="str">
        <f t="shared" si="6"/>
        <v/>
      </c>
      <c r="R24" s="318" t="str">
        <f t="shared" si="7"/>
        <v/>
      </c>
      <c r="S24" s="318" t="str">
        <f t="shared" si="8"/>
        <v/>
      </c>
    </row>
    <row r="25">
      <c r="A25" s="14" t="str">
        <f t="shared" si="1"/>
        <v>C47946113</v>
      </c>
      <c r="B25" s="185" t="str">
        <f t="array" ref="B25">IF(F25="VL","",IF(F25="Free","Free",XLOOKUP(D25,Roster!T:T,Roster!S:S,"",0)))</f>
        <v/>
      </c>
      <c r="C25" s="313">
        <v>46113.0</v>
      </c>
      <c r="D25" s="314" t="s">
        <v>173</v>
      </c>
      <c r="E25" s="307" t="str">
        <f t="array" ref="E25">(XLOOKUP(D25,Roster!F:F,Roster!B:B,"",0))</f>
        <v>Carmen Grajales</v>
      </c>
      <c r="F25" s="315" t="str">
        <f t="array" ref="F25">IF(B25=100,"Free",TEXT(XLOOKUP($D25,OperationVoice!$A:$A,OperationVoice!G:G,XLOOKUP($D25,OperationTickets!$A:$A,OperationTickets!G:G,"",0)),"hh:mm"))</f>
        <v>08:00</v>
      </c>
      <c r="G25" s="309">
        <f t="shared" si="3"/>
        <v>0.7083333333</v>
      </c>
      <c r="H25" s="316">
        <f t="array" ref="H25">XLOOKUP(B25,Roster!L:L,Roster!N:N,XLOOKUP(D25,TicketsBreak!A:A,TicketsBreak!E:E,"",0),0)</f>
        <v>0.4270833333</v>
      </c>
      <c r="I25" s="316">
        <f t="array" ref="I25">XLOOKUP(B25,Roster!L:L,Roster!O:O,XLOOKUP(D25,TicketsBreak!A:A,TicketsBreak!F:F,"",0),0)</f>
        <v>0.53125</v>
      </c>
      <c r="J25" s="316">
        <f t="array" ref="J25">XLOOKUP(B25,Roster!L:L,Roster!P:P,XLOOKUP(D25,TicketsBreak!A:A,TicketsBreak!G:G,"",0),0)</f>
        <v>0.65625</v>
      </c>
      <c r="K25" s="310">
        <f t="shared" si="4"/>
        <v>46113</v>
      </c>
      <c r="L25" s="317">
        <f t="array" ref="L25">(XLOOKUP(D25,Roster!F:F,Roster!D:D,"",0))</f>
        <v>2</v>
      </c>
      <c r="M25" s="317" t="str">
        <f t="array" ref="M25">XLOOKUP(D25,Roster!F:F,Roster!E:E)</f>
        <v>Tickets</v>
      </c>
      <c r="N25" s="317" t="str">
        <f t="shared" ref="N25:P25" si="30">LEFT(H25,5)</f>
        <v>10:15</v>
      </c>
      <c r="O25" s="317" t="str">
        <f t="shared" si="30"/>
        <v>12:45</v>
      </c>
      <c r="P25" s="317" t="str">
        <f t="shared" si="30"/>
        <v>15:45</v>
      </c>
      <c r="Q25" s="318">
        <f t="shared" si="6"/>
        <v>46113.42708</v>
      </c>
      <c r="R25" s="318">
        <f t="shared" si="7"/>
        <v>46113.53125</v>
      </c>
      <c r="S25" s="318">
        <f t="shared" si="8"/>
        <v>46113.65625</v>
      </c>
    </row>
    <row r="26">
      <c r="A26" s="14" t="str">
        <f t="shared" si="1"/>
        <v>C68746113</v>
      </c>
      <c r="B26" s="185">
        <f t="array" ref="B26">IF(F26="VL","",IF(F26="Free","Free",XLOOKUP(D26,Roster!T:T,Roster!S:S,"",0)))</f>
        <v>122</v>
      </c>
      <c r="C26" s="313">
        <v>46113.0</v>
      </c>
      <c r="D26" s="314" t="s">
        <v>22</v>
      </c>
      <c r="E26" s="307" t="str">
        <f t="array" ref="E26">(XLOOKUP(D26,Roster!F:F,Roster!B:B,"",0))</f>
        <v>Carolina Rios</v>
      </c>
      <c r="F26" s="315" t="str">
        <f t="array" ref="F26">IF(B26=100,"Free",TEXT(XLOOKUP($D26,OperationVoice!$A:$A,OperationVoice!G:G,XLOOKUP($D26,OperationTickets!$A:$A,OperationTickets!G:G,"",0)),"hh:mm"))</f>
        <v>08:00</v>
      </c>
      <c r="G26" s="309">
        <f t="shared" si="3"/>
        <v>0.7083333333</v>
      </c>
      <c r="H26" s="316" t="str">
        <f t="array" ref="H26">XLOOKUP(B26,Roster!L:L,Roster!N:N,XLOOKUP(D26,TicketsBreak!A:A,TicketsBreak!E:E,"",0),0)</f>
        <v>09:30 - 09:45</v>
      </c>
      <c r="I26" s="316" t="str">
        <f t="array" ref="I26">XLOOKUP(B26,Roster!L:L,Roster!O:O,XLOOKUP(D26,TicketsBreak!A:A,TicketsBreak!F:F,"",0),0)</f>
        <v>12:00 - 12:30</v>
      </c>
      <c r="J26" s="316" t="str">
        <f t="array" ref="J26">XLOOKUP(B26,Roster!L:L,Roster!P:P,XLOOKUP(D26,TicketsBreak!A:A,TicketsBreak!G:G,"",0),0)</f>
        <v>14:45 - 15:00</v>
      </c>
      <c r="K26" s="310">
        <f t="shared" si="4"/>
        <v>46113</v>
      </c>
      <c r="L26" s="317">
        <f t="array" ref="L26">(XLOOKUP(D26,Roster!F:F,Roster!D:D,"",0))</f>
        <v>5</v>
      </c>
      <c r="M26" s="317" t="str">
        <f t="array" ref="M26">XLOOKUP(D26,Roster!F:F,Roster!E:E)</f>
        <v>Voice</v>
      </c>
      <c r="N26" s="317" t="str">
        <f t="shared" ref="N26:P26" si="31">LEFT(H26,5)</f>
        <v>09:30</v>
      </c>
      <c r="O26" s="317" t="str">
        <f t="shared" si="31"/>
        <v>12:00</v>
      </c>
      <c r="P26" s="317" t="str">
        <f t="shared" si="31"/>
        <v>14:45</v>
      </c>
      <c r="Q26" s="318">
        <f t="shared" si="6"/>
        <v>46113.39583</v>
      </c>
      <c r="R26" s="318">
        <f t="shared" si="7"/>
        <v>46113.5</v>
      </c>
      <c r="S26" s="318">
        <f t="shared" si="8"/>
        <v>46113.61458</v>
      </c>
    </row>
    <row r="27">
      <c r="A27" s="14" t="str">
        <f t="shared" si="1"/>
        <v>C152846113</v>
      </c>
      <c r="B27" s="185">
        <f t="array" ref="B27">IF(F27="VL","",IF(F27="Free","Free",XLOOKUP(D27,Roster!T:T,Roster!S:S,"",0)))</f>
        <v>132</v>
      </c>
      <c r="C27" s="313">
        <v>46113.0</v>
      </c>
      <c r="D27" s="314" t="s">
        <v>23</v>
      </c>
      <c r="E27" s="307" t="str">
        <f t="array" ref="E27">(XLOOKUP(D27,Roster!F:F,Roster!B:B,"",0))</f>
        <v>Christian Ramirez</v>
      </c>
      <c r="F27" s="315" t="str">
        <f t="array" ref="F27">IF(B27=100,"Free",TEXT(XLOOKUP($D27,OperationVoice!$A:$A,OperationVoice!G:G,XLOOKUP($D27,OperationTickets!$A:$A,OperationTickets!G:G,"",0)),"hh:mm"))</f>
        <v>08:00</v>
      </c>
      <c r="G27" s="309">
        <f t="shared" si="3"/>
        <v>0.7083333333</v>
      </c>
      <c r="H27" s="316" t="str">
        <f t="array" ref="H27">XLOOKUP(B27,Roster!L:L,Roster!N:N,XLOOKUP(D27,TicketsBreak!A:A,TicketsBreak!E:E,"",0),0)</f>
        <v>10:30 - 10:45</v>
      </c>
      <c r="I27" s="316" t="str">
        <f t="array" ref="I27">XLOOKUP(B27,Roster!L:L,Roster!O:O,XLOOKUP(D27,TicketsBreak!A:A,TicketsBreak!F:F,"",0),0)</f>
        <v>13:00 - 13:30</v>
      </c>
      <c r="J27" s="316" t="str">
        <f t="array" ref="J27">XLOOKUP(B27,Roster!L:L,Roster!P:P,XLOOKUP(D27,TicketsBreak!A:A,TicketsBreak!G:G,"",0),0)</f>
        <v>15:30 - 15:45</v>
      </c>
      <c r="K27" s="310">
        <f t="shared" si="4"/>
        <v>46113</v>
      </c>
      <c r="L27" s="317">
        <f t="array" ref="L27">(XLOOKUP(D27,Roster!F:F,Roster!D:D,"",0))</f>
        <v>36</v>
      </c>
      <c r="M27" s="317" t="str">
        <f t="array" ref="M27">XLOOKUP(D27,Roster!F:F,Roster!E:E)</f>
        <v>Voice</v>
      </c>
      <c r="N27" s="317" t="str">
        <f t="shared" ref="N27:P27" si="32">LEFT(H27,5)</f>
        <v>10:30</v>
      </c>
      <c r="O27" s="317" t="str">
        <f t="shared" si="32"/>
        <v>13:00</v>
      </c>
      <c r="P27" s="317" t="str">
        <f t="shared" si="32"/>
        <v>15:30</v>
      </c>
      <c r="Q27" s="318">
        <f t="shared" si="6"/>
        <v>46113.4375</v>
      </c>
      <c r="R27" s="318">
        <f t="shared" si="7"/>
        <v>46113.54167</v>
      </c>
      <c r="S27" s="318">
        <f t="shared" si="8"/>
        <v>46113.64583</v>
      </c>
    </row>
    <row r="28">
      <c r="A28" s="14" t="str">
        <f t="shared" si="1"/>
        <v>C132546113</v>
      </c>
      <c r="B28" s="185">
        <f t="array" ref="B28">IF(F28="VL","",IF(F28="Free","Free",XLOOKUP(D28,Roster!T:T,Roster!S:S,"",0)))</f>
        <v>123</v>
      </c>
      <c r="C28" s="313">
        <v>46113.0</v>
      </c>
      <c r="D28" s="314" t="s">
        <v>174</v>
      </c>
      <c r="E28" s="307" t="str">
        <f t="array" ref="E28">(XLOOKUP(D28,Roster!F:F,Roster!B:B,"",0))</f>
        <v>Cristian Ferreira</v>
      </c>
      <c r="F28" s="315" t="str">
        <f t="array" ref="F28">IF(B28=100,"Free",TEXT(XLOOKUP($D28,OperationVoice!$A:$A,OperationVoice!G:G,XLOOKUP($D28,OperationTickets!$A:$A,OperationTickets!G:G,"",0)),"hh:mm"))</f>
        <v>08:00</v>
      </c>
      <c r="G28" s="309">
        <f t="shared" si="3"/>
        <v>0.7083333333</v>
      </c>
      <c r="H28" s="316" t="str">
        <f t="array" ref="H28">XLOOKUP(B28,Roster!L:L,Roster!N:N,XLOOKUP(D28,TicketsBreak!A:A,TicketsBreak!E:E,"",0),0)</f>
        <v>09:45 - 10:00 </v>
      </c>
      <c r="I28" s="316" t="str">
        <f t="array" ref="I28">XLOOKUP(B28,Roster!L:L,Roster!O:O,XLOOKUP(D28,TicketsBreak!A:A,TicketsBreak!F:F,"",0),0)</f>
        <v>12:30 - 13:00</v>
      </c>
      <c r="J28" s="316" t="str">
        <f t="array" ref="J28">XLOOKUP(B28,Roster!L:L,Roster!P:P,XLOOKUP(D28,TicketsBreak!A:A,TicketsBreak!G:G,"",0),0)</f>
        <v>15:00 - 15:15</v>
      </c>
      <c r="K28" s="310">
        <f t="shared" si="4"/>
        <v>46113</v>
      </c>
      <c r="L28" s="317">
        <f t="array" ref="L28">(XLOOKUP(D28,Roster!F:F,Roster!D:D,"",0))</f>
        <v>29</v>
      </c>
      <c r="M28" s="317" t="str">
        <f t="array" ref="M28">XLOOKUP(D28,Roster!F:F,Roster!E:E)</f>
        <v>Tickets</v>
      </c>
      <c r="N28" s="317" t="str">
        <f t="shared" ref="N28:P28" si="33">LEFT(H28,5)</f>
        <v>09:45</v>
      </c>
      <c r="O28" s="317" t="str">
        <f t="shared" si="33"/>
        <v>12:30</v>
      </c>
      <c r="P28" s="317" t="str">
        <f t="shared" si="33"/>
        <v>15:00</v>
      </c>
      <c r="Q28" s="318">
        <f t="shared" si="6"/>
        <v>46113.40625</v>
      </c>
      <c r="R28" s="318">
        <f t="shared" si="7"/>
        <v>46113.52083</v>
      </c>
      <c r="S28" s="318">
        <f t="shared" si="8"/>
        <v>46113.625</v>
      </c>
    </row>
    <row r="29">
      <c r="A29" s="14" t="str">
        <f t="shared" si="1"/>
        <v>C151046113</v>
      </c>
      <c r="B29" s="185" t="str">
        <f t="array" ref="B29">IF(F29="VL","",IF(F29="Free","Free",XLOOKUP(D29,Roster!T:T,Roster!S:S,"",0)))</f>
        <v>Free</v>
      </c>
      <c r="C29" s="313">
        <v>46113.0</v>
      </c>
      <c r="D29" s="314" t="s">
        <v>24</v>
      </c>
      <c r="E29" s="307" t="str">
        <f t="array" ref="E29">(XLOOKUP(D29,Roster!F:F,Roster!B:B,"",0))</f>
        <v>Cristian Gomez</v>
      </c>
      <c r="F29" s="315" t="str">
        <f t="array" ref="F29">IF(B29=100,"Free",TEXT(XLOOKUP($D29,OperationVoice!$A:$A,OperationVoice!G:G,XLOOKUP($D29,OperationTickets!$A:$A,OperationTickets!G:G,"",0)),"hh:mm"))</f>
        <v>Free</v>
      </c>
      <c r="G29" s="309" t="str">
        <f t="shared" si="3"/>
        <v>Free</v>
      </c>
      <c r="H29" s="316" t="str">
        <f t="array" ref="H29">XLOOKUP(B29,Roster!L:L,Roster!N:N,XLOOKUP(D29,TicketsBreak!A:A,TicketsBreak!E:E,"",0),0)</f>
        <v/>
      </c>
      <c r="I29" s="316" t="str">
        <f t="array" ref="I29">XLOOKUP(B29,Roster!L:L,Roster!O:O,XLOOKUP(D29,TicketsBreak!A:A,TicketsBreak!F:F,"",0),0)</f>
        <v/>
      </c>
      <c r="J29" s="316" t="str">
        <f t="array" ref="J29">XLOOKUP(B29,Roster!L:L,Roster!P:P,XLOOKUP(D29,TicketsBreak!A:A,TicketsBreak!G:G,"",0),0)</f>
        <v/>
      </c>
      <c r="K29" s="310">
        <f t="shared" si="4"/>
        <v>46113</v>
      </c>
      <c r="L29" s="317">
        <f t="array" ref="L29">(XLOOKUP(D29,Roster!F:F,Roster!D:D,"",0))</f>
        <v>35</v>
      </c>
      <c r="M29" s="317" t="str">
        <f t="array" ref="M29">XLOOKUP(D29,Roster!F:F,Roster!E:E)</f>
        <v>Voice</v>
      </c>
      <c r="N29" s="317" t="str">
        <f t="shared" ref="N29:P29" si="34">LEFT(H29,5)</f>
        <v/>
      </c>
      <c r="O29" s="317" t="str">
        <f t="shared" si="34"/>
        <v/>
      </c>
      <c r="P29" s="317" t="str">
        <f t="shared" si="34"/>
        <v/>
      </c>
      <c r="Q29" s="318" t="str">
        <f t="shared" si="6"/>
        <v/>
      </c>
      <c r="R29" s="318" t="str">
        <f t="shared" si="7"/>
        <v/>
      </c>
      <c r="S29" s="318" t="str">
        <f t="shared" si="8"/>
        <v/>
      </c>
    </row>
    <row r="30">
      <c r="A30" s="14" t="str">
        <f t="shared" si="1"/>
        <v>C67346113</v>
      </c>
      <c r="B30" s="185" t="str">
        <f t="array" ref="B30">IF(F30="VL","",IF(F30="Free","Free",XLOOKUP(D30,Roster!T:T,Roster!S:S,"",0)))</f>
        <v/>
      </c>
      <c r="C30" s="313">
        <v>46113.0</v>
      </c>
      <c r="D30" s="314" t="s">
        <v>156</v>
      </c>
      <c r="E30" s="307" t="str">
        <f t="array" ref="E30">(XLOOKUP(D30,Roster!F:F,Roster!B:B,"",0))</f>
        <v>Dahiana Cano</v>
      </c>
      <c r="F30" s="315" t="str">
        <f t="array" ref="F30">IF(B30=100,"Free",TEXT(XLOOKUP($D30,OperationVoice!$A:$A,OperationVoice!G:G,XLOOKUP($D30,OperationTickets!$A:$A,OperationTickets!G:G,"",0)),"hh:mm"))</f>
        <v>08:00</v>
      </c>
      <c r="G30" s="309">
        <f t="shared" si="3"/>
        <v>0.7083333333</v>
      </c>
      <c r="H30" s="316">
        <f t="array" ref="H30">XLOOKUP(B30,Roster!L:L,Roster!N:N,XLOOKUP(D30,TicketsBreak!A:A,TicketsBreak!E:E,"",0),0)</f>
        <v>0.4583333333</v>
      </c>
      <c r="I30" s="316">
        <f t="array" ref="I30">XLOOKUP(B30,Roster!L:L,Roster!O:O,XLOOKUP(D30,TicketsBreak!A:A,TicketsBreak!F:F,"",0),0)</f>
        <v>0.5833333333</v>
      </c>
      <c r="J30" s="316">
        <f t="array" ref="J30">XLOOKUP(B30,Roster!L:L,Roster!P:P,XLOOKUP(D30,TicketsBreak!A:A,TicketsBreak!G:G,"",0),0)</f>
        <v>0.65625</v>
      </c>
      <c r="K30" s="310">
        <f t="shared" si="4"/>
        <v>46113</v>
      </c>
      <c r="L30" s="317">
        <f t="array" ref="L30">(XLOOKUP(D30,Roster!F:F,Roster!D:D,"",0))</f>
        <v>4</v>
      </c>
      <c r="M30" s="317" t="str">
        <f t="array" ref="M30">XLOOKUP(D30,Roster!F:F,Roster!E:E)</f>
        <v>Tickets</v>
      </c>
      <c r="N30" s="317" t="str">
        <f t="shared" ref="N30:P30" si="35">LEFT(H30,5)</f>
        <v>11:00</v>
      </c>
      <c r="O30" s="317" t="str">
        <f t="shared" si="35"/>
        <v>14:00</v>
      </c>
      <c r="P30" s="317" t="str">
        <f t="shared" si="35"/>
        <v>15:45</v>
      </c>
      <c r="Q30" s="318">
        <f t="shared" si="6"/>
        <v>46113.45833</v>
      </c>
      <c r="R30" s="318">
        <f t="shared" si="7"/>
        <v>46113.58333</v>
      </c>
      <c r="S30" s="318">
        <f t="shared" si="8"/>
        <v>46113.65625</v>
      </c>
    </row>
    <row r="31">
      <c r="A31" s="14" t="str">
        <f t="shared" si="1"/>
        <v>C152946113</v>
      </c>
      <c r="B31" s="185">
        <f t="array" ref="B31">IF(F31="VL","",IF(F31="Free","Free",XLOOKUP(D31,Roster!T:T,Roster!S:S,"",0)))</f>
        <v>133</v>
      </c>
      <c r="C31" s="313">
        <v>46113.0</v>
      </c>
      <c r="D31" s="314" t="s">
        <v>25</v>
      </c>
      <c r="E31" s="307" t="str">
        <f t="array" ref="E31">(XLOOKUP(D31,Roster!F:F,Roster!B:B,"",0))</f>
        <v>Daniel Barrientos</v>
      </c>
      <c r="F31" s="315" t="str">
        <f t="array" ref="F31">IF(B31=100,"Free",TEXT(XLOOKUP($D31,OperationVoice!$A:$A,OperationVoice!G:G,XLOOKUP($D31,OperationTickets!$A:$A,OperationTickets!G:G,"",0)),"hh:mm"))</f>
        <v>09:00</v>
      </c>
      <c r="G31" s="309">
        <f t="shared" si="3"/>
        <v>0.75</v>
      </c>
      <c r="H31" s="316" t="str">
        <f t="array" ref="H31">XLOOKUP(B31,Roster!L:L,Roster!N:N,XLOOKUP(D31,TicketsBreak!A:A,TicketsBreak!E:E,"",0),0)</f>
        <v>10:45 - 11:00 </v>
      </c>
      <c r="I31" s="316" t="str">
        <f t="array" ref="I31">XLOOKUP(B31,Roster!L:L,Roster!O:O,XLOOKUP(D31,TicketsBreak!A:A,TicketsBreak!F:F,"",0),0)</f>
        <v>13:30 - 14:00</v>
      </c>
      <c r="J31" s="316" t="str">
        <f t="array" ref="J31">XLOOKUP(B31,Roster!L:L,Roster!P:P,XLOOKUP(D31,TicketsBreak!A:A,TicketsBreak!G:G,"",0),0)</f>
        <v>15:45 - 16:00</v>
      </c>
      <c r="K31" s="310">
        <f t="shared" si="4"/>
        <v>46113</v>
      </c>
      <c r="L31" s="317">
        <f t="array" ref="L31">(XLOOKUP(D31,Roster!F:F,Roster!D:D,"",0))</f>
        <v>36</v>
      </c>
      <c r="M31" s="317" t="str">
        <f t="array" ref="M31">XLOOKUP(D31,Roster!F:F,Roster!E:E)</f>
        <v>Voice</v>
      </c>
      <c r="N31" s="317" t="str">
        <f t="shared" ref="N31:P31" si="36">LEFT(H31,5)</f>
        <v>10:45</v>
      </c>
      <c r="O31" s="317" t="str">
        <f t="shared" si="36"/>
        <v>13:30</v>
      </c>
      <c r="P31" s="317" t="str">
        <f t="shared" si="36"/>
        <v>15:45</v>
      </c>
      <c r="Q31" s="318">
        <f t="shared" si="6"/>
        <v>46113.44792</v>
      </c>
      <c r="R31" s="318">
        <f t="shared" si="7"/>
        <v>46113.5625</v>
      </c>
      <c r="S31" s="318">
        <f t="shared" si="8"/>
        <v>46113.65625</v>
      </c>
    </row>
    <row r="32">
      <c r="A32" s="14" t="str">
        <f t="shared" si="1"/>
        <v>C106446113</v>
      </c>
      <c r="B32" s="185" t="str">
        <f t="array" ref="B32">IF(F32="VL","",IF(F32="Free","Free",XLOOKUP(D32,Roster!T:T,Roster!S:S,"",0)))</f>
        <v>Free</v>
      </c>
      <c r="C32" s="313">
        <v>46113.0</v>
      </c>
      <c r="D32" s="314" t="s">
        <v>175</v>
      </c>
      <c r="E32" s="307" t="str">
        <f t="array" ref="E32">(XLOOKUP(D32,Roster!F:F,Roster!B:B,"",0))</f>
        <v>Daniel Urrego</v>
      </c>
      <c r="F32" s="315" t="str">
        <f t="array" ref="F32">IF(B32=100,"Free",TEXT(XLOOKUP($D32,OperationVoice!$A:$A,OperationVoice!G:G,XLOOKUP($D32,OperationTickets!$A:$A,OperationTickets!G:G,"",0)),"hh:mm"))</f>
        <v>Free</v>
      </c>
      <c r="G32" s="309" t="str">
        <f t="shared" si="3"/>
        <v>Free</v>
      </c>
      <c r="H32" s="316" t="str">
        <f t="array" ref="H32">XLOOKUP(B32,Roster!L:L,Roster!N:N,XLOOKUP(D32,TicketsBreak!A:A,TicketsBreak!E:E,"",0),0)</f>
        <v/>
      </c>
      <c r="I32" s="316" t="str">
        <f t="array" ref="I32">XLOOKUP(B32,Roster!L:L,Roster!O:O,XLOOKUP(D32,TicketsBreak!A:A,TicketsBreak!F:F,"",0),0)</f>
        <v/>
      </c>
      <c r="J32" s="316" t="str">
        <f t="array" ref="J32">XLOOKUP(B32,Roster!L:L,Roster!P:P,XLOOKUP(D32,TicketsBreak!A:A,TicketsBreak!G:G,"",0),0)</f>
        <v/>
      </c>
      <c r="K32" s="310">
        <f t="shared" si="4"/>
        <v>46113</v>
      </c>
      <c r="L32" s="317">
        <f t="array" ref="L32">(XLOOKUP(D32,Roster!F:F,Roster!D:D,"",0))</f>
        <v>17</v>
      </c>
      <c r="M32" s="317" t="str">
        <f t="array" ref="M32">XLOOKUP(D32,Roster!F:F,Roster!E:E)</f>
        <v>Tickets</v>
      </c>
      <c r="N32" s="317" t="str">
        <f t="shared" ref="N32:P32" si="37">LEFT(H32,5)</f>
        <v/>
      </c>
      <c r="O32" s="317" t="str">
        <f t="shared" si="37"/>
        <v/>
      </c>
      <c r="P32" s="317" t="str">
        <f t="shared" si="37"/>
        <v/>
      </c>
      <c r="Q32" s="318" t="str">
        <f t="shared" si="6"/>
        <v/>
      </c>
      <c r="R32" s="318" t="str">
        <f t="shared" si="7"/>
        <v/>
      </c>
      <c r="S32" s="318" t="str">
        <f t="shared" si="8"/>
        <v/>
      </c>
    </row>
    <row r="33">
      <c r="A33" s="14" t="str">
        <f t="shared" si="1"/>
        <v>C151346113</v>
      </c>
      <c r="B33" s="185">
        <f t="array" ref="B33">IF(F33="VL","",IF(F33="Free","Free",XLOOKUP(D33,Roster!T:T,Roster!S:S,"",0)))</f>
        <v>126</v>
      </c>
      <c r="C33" s="313">
        <v>46113.0</v>
      </c>
      <c r="D33" s="314" t="s">
        <v>26</v>
      </c>
      <c r="E33" s="307" t="str">
        <f t="array" ref="E33">(XLOOKUP(D33,Roster!F:F,Roster!B:B,"",0))</f>
        <v>David Patino</v>
      </c>
      <c r="F33" s="315" t="str">
        <f t="array" ref="F33">IF(B33=100,"Free",TEXT(XLOOKUP($D33,OperationVoice!$A:$A,OperationVoice!G:G,XLOOKUP($D33,OperationTickets!$A:$A,OperationTickets!G:G,"",0)),"hh:mm"))</f>
        <v>08:00</v>
      </c>
      <c r="G33" s="309">
        <f t="shared" si="3"/>
        <v>0.7083333333</v>
      </c>
      <c r="H33" s="316" t="str">
        <f t="array" ref="H33">XLOOKUP(B33,Roster!L:L,Roster!N:N,XLOOKUP(D33,TicketsBreak!A:A,TicketsBreak!E:E,"",0),0)</f>
        <v>10:45 - 11:00</v>
      </c>
      <c r="I33" s="316" t="str">
        <f t="array" ref="I33">XLOOKUP(B33,Roster!L:L,Roster!O:O,XLOOKUP(D33,TicketsBreak!A:A,TicketsBreak!F:F,"",0),0)</f>
        <v>14:00 - 14:30</v>
      </c>
      <c r="J33" s="316" t="str">
        <f t="array" ref="J33">XLOOKUP(B33,Roster!L:L,Roster!P:P,XLOOKUP(D33,TicketsBreak!A:A,TicketsBreak!G:G,"",0),0)</f>
        <v>15:45 - 16:00</v>
      </c>
      <c r="K33" s="310">
        <f t="shared" si="4"/>
        <v>46113</v>
      </c>
      <c r="L33" s="317">
        <f t="array" ref="L33">(XLOOKUP(D33,Roster!F:F,Roster!D:D,"",0))</f>
        <v>35</v>
      </c>
      <c r="M33" s="317" t="str">
        <f t="array" ref="M33">XLOOKUP(D33,Roster!F:F,Roster!E:E)</f>
        <v>Voice</v>
      </c>
      <c r="N33" s="317" t="str">
        <f t="shared" ref="N33:P33" si="38">LEFT(H33,5)</f>
        <v>10:45</v>
      </c>
      <c r="O33" s="317" t="str">
        <f t="shared" si="38"/>
        <v>14:00</v>
      </c>
      <c r="P33" s="317" t="str">
        <f t="shared" si="38"/>
        <v>15:45</v>
      </c>
      <c r="Q33" s="318">
        <f t="shared" si="6"/>
        <v>46113.44792</v>
      </c>
      <c r="R33" s="318">
        <f t="shared" si="7"/>
        <v>46113.58333</v>
      </c>
      <c r="S33" s="318">
        <f t="shared" si="8"/>
        <v>46113.65625</v>
      </c>
    </row>
    <row r="34">
      <c r="A34" s="14" t="str">
        <f t="shared" si="1"/>
        <v>C127746113</v>
      </c>
      <c r="B34" s="185">
        <f t="array" ref="B34">IF(F34="VL","",IF(F34="Free","Free",XLOOKUP(D34,Roster!T:T,Roster!S:S,"",0)))</f>
        <v>124</v>
      </c>
      <c r="C34" s="313">
        <v>46113.0</v>
      </c>
      <c r="D34" s="314" t="s">
        <v>27</v>
      </c>
      <c r="E34" s="307" t="str">
        <f t="array" ref="E34">(XLOOKUP(D34,Roster!F:F,Roster!B:B,"",0))</f>
        <v>Edwuin Martinez</v>
      </c>
      <c r="F34" s="315" t="str">
        <f t="array" ref="F34">IF(B34=100,"Free",TEXT(XLOOKUP($D34,OperationVoice!$A:$A,OperationVoice!G:G,XLOOKUP($D34,OperationTickets!$A:$A,OperationTickets!G:G,"",0)),"hh:mm"))</f>
        <v>08:00</v>
      </c>
      <c r="G34" s="309">
        <f t="shared" si="3"/>
        <v>0.7083333333</v>
      </c>
      <c r="H34" s="316" t="str">
        <f t="array" ref="H34">XLOOKUP(B34,Roster!L:L,Roster!N:N,XLOOKUP(D34,TicketsBreak!A:A,TicketsBreak!E:E,"",0),0)</f>
        <v>10:00 - 10:15</v>
      </c>
      <c r="I34" s="316" t="str">
        <f t="array" ref="I34">XLOOKUP(B34,Roster!L:L,Roster!O:O,XLOOKUP(D34,TicketsBreak!A:A,TicketsBreak!F:F,"",0),0)</f>
        <v>13:00 - 13:30</v>
      </c>
      <c r="J34" s="316" t="str">
        <f t="array" ref="J34">XLOOKUP(B34,Roster!L:L,Roster!P:P,XLOOKUP(D34,TicketsBreak!A:A,TicketsBreak!G:G,"",0),0)</f>
        <v>15:30 - 15:45</v>
      </c>
      <c r="K34" s="310">
        <f t="shared" si="4"/>
        <v>46113</v>
      </c>
      <c r="L34" s="317">
        <f t="array" ref="L34">(XLOOKUP(D34,Roster!F:F,Roster!D:D,"",0))</f>
        <v>27</v>
      </c>
      <c r="M34" s="317" t="str">
        <f t="array" ref="M34">XLOOKUP(D34,Roster!F:F,Roster!E:E)</f>
        <v>Voice</v>
      </c>
      <c r="N34" s="317" t="str">
        <f t="shared" ref="N34:P34" si="39">LEFT(H34,5)</f>
        <v>10:00</v>
      </c>
      <c r="O34" s="317" t="str">
        <f t="shared" si="39"/>
        <v>13:00</v>
      </c>
      <c r="P34" s="317" t="str">
        <f t="shared" si="39"/>
        <v>15:30</v>
      </c>
      <c r="Q34" s="318">
        <f t="shared" si="6"/>
        <v>46113.41667</v>
      </c>
      <c r="R34" s="318">
        <f t="shared" si="7"/>
        <v>46113.54167</v>
      </c>
      <c r="S34" s="318">
        <f t="shared" si="8"/>
        <v>46113.64583</v>
      </c>
    </row>
    <row r="35">
      <c r="A35" s="14" t="str">
        <f t="shared" si="1"/>
        <v>C121646113</v>
      </c>
      <c r="B35" s="185" t="str">
        <f t="array" ref="B35">IF(F35="VL","",IF(F35="Free","Free",XLOOKUP(D35,Roster!T:T,Roster!S:S,"",0)))</f>
        <v/>
      </c>
      <c r="C35" s="313">
        <v>46113.0</v>
      </c>
      <c r="D35" s="314" t="s">
        <v>134</v>
      </c>
      <c r="E35" s="307" t="str">
        <f t="array" ref="E35">(XLOOKUP(D35,Roster!F:F,Roster!B:B,"",0))</f>
        <v>Eliana Pena</v>
      </c>
      <c r="F35" s="315" t="str">
        <f t="array" ref="F35">IF(B35=100,"Free",TEXT(XLOOKUP($D35,OperationVoice!$A:$A,OperationVoice!G:G,XLOOKUP($D35,OperationTickets!$A:$A,OperationTickets!G:G,"",0)),"hh:mm"))</f>
        <v>08:00</v>
      </c>
      <c r="G35" s="309">
        <f t="shared" si="3"/>
        <v>0.7083333333</v>
      </c>
      <c r="H35" s="316">
        <f t="array" ref="H35">XLOOKUP(B35,Roster!L:L,Roster!N:N,XLOOKUP(D35,TicketsBreak!A:A,TicketsBreak!E:E,"",0),0)</f>
        <v>0.3958333333</v>
      </c>
      <c r="I35" s="316">
        <f t="array" ref="I35">XLOOKUP(B35,Roster!L:L,Roster!O:O,XLOOKUP(D35,TicketsBreak!A:A,TicketsBreak!F:F,"",0),0)</f>
        <v>0.5416666667</v>
      </c>
      <c r="J35" s="316">
        <f t="array" ref="J35">XLOOKUP(B35,Roster!L:L,Roster!P:P,XLOOKUP(D35,TicketsBreak!A:A,TicketsBreak!G:G,"",0),0)</f>
        <v>0.6354166667</v>
      </c>
      <c r="K35" s="310">
        <f t="shared" si="4"/>
        <v>46113</v>
      </c>
      <c r="L35" s="317">
        <f t="array" ref="L35">(XLOOKUP(D35,Roster!F:F,Roster!D:D,"",0))</f>
        <v>26</v>
      </c>
      <c r="M35" s="317" t="str">
        <f t="array" ref="M35">XLOOKUP(D35,Roster!F:F,Roster!E:E)</f>
        <v>Tickets</v>
      </c>
      <c r="N35" s="317" t="str">
        <f t="shared" ref="N35:P35" si="40">LEFT(H35,5)</f>
        <v>09:30</v>
      </c>
      <c r="O35" s="317" t="str">
        <f t="shared" si="40"/>
        <v>13:00</v>
      </c>
      <c r="P35" s="317" t="str">
        <f t="shared" si="40"/>
        <v>15:15</v>
      </c>
      <c r="Q35" s="318">
        <f t="shared" si="6"/>
        <v>46113.39583</v>
      </c>
      <c r="R35" s="318">
        <f t="shared" si="7"/>
        <v>46113.54167</v>
      </c>
      <c r="S35" s="318">
        <f t="shared" si="8"/>
        <v>46113.63542</v>
      </c>
    </row>
    <row r="36">
      <c r="A36" s="14" t="str">
        <f t="shared" si="1"/>
        <v>C157346113</v>
      </c>
      <c r="B36" s="185">
        <f t="array" ref="B36">IF(F36="VL","",IF(F36="Free","Free",XLOOKUP(D36,Roster!T:T,Roster!S:S,"",0)))</f>
        <v>123</v>
      </c>
      <c r="C36" s="313">
        <v>46113.0</v>
      </c>
      <c r="D36" s="314" t="s">
        <v>28</v>
      </c>
      <c r="E36" s="307" t="str">
        <f t="array" ref="E36">(XLOOKUP(D36,Roster!F:F,Roster!B:B,"",0))</f>
        <v>Esteban Correa</v>
      </c>
      <c r="F36" s="315" t="str">
        <f t="array" ref="F36">IF(B36=100,"Free",TEXT(XLOOKUP($D36,OperationVoice!$A:$A,OperationVoice!G:G,XLOOKUP($D36,OperationTickets!$A:$A,OperationTickets!G:G,"",0)),"hh:mm"))</f>
        <v>08:00</v>
      </c>
      <c r="G36" s="309">
        <f t="shared" si="3"/>
        <v>0.7083333333</v>
      </c>
      <c r="H36" s="316" t="str">
        <f t="array" ref="H36">XLOOKUP(B36,Roster!L:L,Roster!N:N,XLOOKUP(D36,TicketsBreak!A:A,TicketsBreak!E:E,"",0),0)</f>
        <v>09:45 - 10:00 </v>
      </c>
      <c r="I36" s="316" t="str">
        <f t="array" ref="I36">XLOOKUP(B36,Roster!L:L,Roster!O:O,XLOOKUP(D36,TicketsBreak!A:A,TicketsBreak!F:F,"",0),0)</f>
        <v>12:30 - 13:00</v>
      </c>
      <c r="J36" s="316" t="str">
        <f t="array" ref="J36">XLOOKUP(B36,Roster!L:L,Roster!P:P,XLOOKUP(D36,TicketsBreak!A:A,TicketsBreak!G:G,"",0),0)</f>
        <v>15:00 - 15:15</v>
      </c>
      <c r="K36" s="310">
        <f t="shared" si="4"/>
        <v>46113</v>
      </c>
      <c r="L36" s="317">
        <f t="array" ref="L36">(XLOOKUP(D36,Roster!F:F,Roster!D:D,"",0))</f>
        <v>38</v>
      </c>
      <c r="M36" s="317" t="str">
        <f t="array" ref="M36">XLOOKUP(D36,Roster!F:F,Roster!E:E)</f>
        <v>Voice</v>
      </c>
      <c r="N36" s="317" t="str">
        <f t="shared" ref="N36:P36" si="41">LEFT(H36,5)</f>
        <v>09:45</v>
      </c>
      <c r="O36" s="317" t="str">
        <f t="shared" si="41"/>
        <v>12:30</v>
      </c>
      <c r="P36" s="317" t="str">
        <f t="shared" si="41"/>
        <v>15:00</v>
      </c>
      <c r="Q36" s="318">
        <f t="shared" si="6"/>
        <v>46113.40625</v>
      </c>
      <c r="R36" s="318">
        <f t="shared" si="7"/>
        <v>46113.52083</v>
      </c>
      <c r="S36" s="318">
        <f t="shared" si="8"/>
        <v>46113.625</v>
      </c>
    </row>
    <row r="37">
      <c r="A37" s="14" t="str">
        <f t="shared" si="1"/>
        <v>C71346113</v>
      </c>
      <c r="B37" s="185">
        <f t="array" ref="B37">IF(F37="VL","",IF(F37="Free","Free",XLOOKUP(D37,Roster!T:T,Roster!S:S,"",0)))</f>
        <v>125</v>
      </c>
      <c r="C37" s="313">
        <v>46113.0</v>
      </c>
      <c r="D37" s="314" t="s">
        <v>29</v>
      </c>
      <c r="E37" s="307" t="str">
        <f t="array" ref="E37">(XLOOKUP(D37,Roster!F:F,Roster!B:B,"",0))</f>
        <v>Frank Marin</v>
      </c>
      <c r="F37" s="315" t="str">
        <f t="array" ref="F37">IF(B37=100,"Free",TEXT(XLOOKUP($D37,OperationVoice!$A:$A,OperationVoice!G:G,XLOOKUP($D37,OperationTickets!$A:$A,OperationTickets!G:G,"",0)),"hh:mm"))</f>
        <v>08:00</v>
      </c>
      <c r="G37" s="309">
        <f t="shared" si="3"/>
        <v>0.7083333333</v>
      </c>
      <c r="H37" s="316" t="str">
        <f t="array" ref="H37">XLOOKUP(B37,Roster!L:L,Roster!N:N,XLOOKUP(D37,TicketsBreak!A:A,TicketsBreak!E:E,"",0),0)</f>
        <v>10:30 - 10:45</v>
      </c>
      <c r="I37" s="316" t="str">
        <f t="array" ref="I37">XLOOKUP(B37,Roster!L:L,Roster!O:O,XLOOKUP(D37,TicketsBreak!A:A,TicketsBreak!F:F,"",0),0)</f>
        <v>13:30 - 14:00</v>
      </c>
      <c r="J37" s="316" t="str">
        <f t="array" ref="J37">XLOOKUP(B37,Roster!L:L,Roster!P:P,XLOOKUP(D37,TicketsBreak!A:A,TicketsBreak!G:G,"",0),0)</f>
        <v>15:45 - 16:00</v>
      </c>
      <c r="K37" s="310">
        <f t="shared" si="4"/>
        <v>46113</v>
      </c>
      <c r="L37" s="317">
        <f t="array" ref="L37">(XLOOKUP(D37,Roster!F:F,Roster!D:D,"",0))</f>
        <v>6</v>
      </c>
      <c r="M37" s="317" t="str">
        <f t="array" ref="M37">XLOOKUP(D37,Roster!F:F,Roster!E:E)</f>
        <v>Voice</v>
      </c>
      <c r="N37" s="317" t="str">
        <f t="shared" ref="N37:P37" si="42">LEFT(H37,5)</f>
        <v>10:30</v>
      </c>
      <c r="O37" s="317" t="str">
        <f t="shared" si="42"/>
        <v>13:30</v>
      </c>
      <c r="P37" s="317" t="str">
        <f t="shared" si="42"/>
        <v>15:45</v>
      </c>
      <c r="Q37" s="318">
        <f t="shared" si="6"/>
        <v>46113.4375</v>
      </c>
      <c r="R37" s="318">
        <f t="shared" si="7"/>
        <v>46113.5625</v>
      </c>
      <c r="S37" s="318">
        <f t="shared" si="8"/>
        <v>46113.65625</v>
      </c>
    </row>
    <row r="38">
      <c r="A38" s="14" t="str">
        <f t="shared" si="1"/>
        <v>C154846113</v>
      </c>
      <c r="B38" s="185">
        <f t="array" ref="B38">IF(F38="VL","",IF(F38="Free","Free",XLOOKUP(D38,Roster!T:T,Roster!S:S,"",0)))</f>
        <v>152</v>
      </c>
      <c r="C38" s="313">
        <v>46113.0</v>
      </c>
      <c r="D38" s="314" t="s">
        <v>30</v>
      </c>
      <c r="E38" s="307" t="str">
        <f t="array" ref="E38">(XLOOKUP(D38,Roster!F:F,Roster!B:B,"",0))</f>
        <v>Frey ortiz</v>
      </c>
      <c r="F38" s="315" t="str">
        <f t="array" ref="F38">IF(B38=100,"Free",TEXT(XLOOKUP($D38,OperationVoice!$A:$A,OperationVoice!G:G,XLOOKUP($D38,OperationTickets!$A:$A,OperationTickets!G:G,"",0)),"hh:mm"))</f>
        <v>11:00</v>
      </c>
      <c r="G38" s="309">
        <f t="shared" si="3"/>
        <v>0.8333333333</v>
      </c>
      <c r="H38" s="316" t="str">
        <f t="array" ref="H38">XLOOKUP(B38,Roster!L:L,Roster!N:N,XLOOKUP(D38,TicketsBreak!A:A,TicketsBreak!E:E,"",0),0)</f>
        <v>12:30 - 12:45</v>
      </c>
      <c r="I38" s="316" t="str">
        <f t="array" ref="I38">XLOOKUP(B38,Roster!L:L,Roster!O:O,XLOOKUP(D38,TicketsBreak!A:A,TicketsBreak!F:F,"",0),0)</f>
        <v>14:30 - 15:00</v>
      </c>
      <c r="J38" s="316" t="str">
        <f t="array" ref="J38">XLOOKUP(B38,Roster!L:L,Roster!P:P,XLOOKUP(D38,TicketsBreak!A:A,TicketsBreak!G:G,"",0),0)</f>
        <v>17:30 - 17:45</v>
      </c>
      <c r="K38" s="310">
        <f t="shared" si="4"/>
        <v>46113</v>
      </c>
      <c r="L38" s="317">
        <f t="array" ref="L38">(XLOOKUP(D38,Roster!F:F,Roster!D:D,"",0))</f>
        <v>37</v>
      </c>
      <c r="M38" s="317" t="str">
        <f t="array" ref="M38">XLOOKUP(D38,Roster!F:F,Roster!E:E)</f>
        <v>Voice</v>
      </c>
      <c r="N38" s="317" t="str">
        <f t="shared" ref="N38:P38" si="43">LEFT(H38,5)</f>
        <v>12:30</v>
      </c>
      <c r="O38" s="317" t="str">
        <f t="shared" si="43"/>
        <v>14:30</v>
      </c>
      <c r="P38" s="317" t="str">
        <f t="shared" si="43"/>
        <v>17:30</v>
      </c>
      <c r="Q38" s="318">
        <f t="shared" si="6"/>
        <v>46113.52083</v>
      </c>
      <c r="R38" s="318">
        <f t="shared" si="7"/>
        <v>46113.60417</v>
      </c>
      <c r="S38" s="318">
        <f t="shared" si="8"/>
        <v>46113.72917</v>
      </c>
    </row>
    <row r="39">
      <c r="A39" s="14" t="str">
        <f t="shared" si="1"/>
        <v>C148646113</v>
      </c>
      <c r="B39" s="185">
        <f t="array" ref="B39">IF(F39="VL","",IF(F39="Free","Free",XLOOKUP(D39,Roster!T:T,Roster!S:S,"",0)))</f>
        <v>154</v>
      </c>
      <c r="C39" s="313">
        <v>46113.0</v>
      </c>
      <c r="D39" s="314" t="s">
        <v>31</v>
      </c>
      <c r="E39" s="307" t="str">
        <f t="array" ref="E39">(XLOOKUP(D39,Roster!F:F,Roster!B:B,"",0))</f>
        <v>Gabriel Gomez</v>
      </c>
      <c r="F39" s="315" t="str">
        <f t="array" ref="F39">IF(B39=100,"Free",TEXT(XLOOKUP($D39,OperationVoice!$A:$A,OperationVoice!G:G,XLOOKUP($D39,OperationTickets!$A:$A,OperationTickets!G:G,"",0)),"hh:mm"))</f>
        <v>11:00</v>
      </c>
      <c r="G39" s="309">
        <f t="shared" si="3"/>
        <v>0.8333333333</v>
      </c>
      <c r="H39" s="316" t="str">
        <f t="array" ref="H39">XLOOKUP(B39,Roster!L:L,Roster!N:N,XLOOKUP(D39,TicketsBreak!A:A,TicketsBreak!E:E,"",0),0)</f>
        <v>13:00 - 13:15</v>
      </c>
      <c r="I39" s="316" t="str">
        <f t="array" ref="I39">XLOOKUP(B39,Roster!L:L,Roster!O:O,XLOOKUP(D39,TicketsBreak!A:A,TicketsBreak!F:F,"",0),0)</f>
        <v>15:15 - 15:45</v>
      </c>
      <c r="J39" s="316" t="str">
        <f t="array" ref="J39">XLOOKUP(B39,Roster!L:L,Roster!P:P,XLOOKUP(D39,TicketsBreak!A:A,TicketsBreak!G:G,"",0),0)</f>
        <v>18:00 - 18:15</v>
      </c>
      <c r="K39" s="310">
        <f t="shared" si="4"/>
        <v>46113</v>
      </c>
      <c r="L39" s="317">
        <f t="array" ref="L39">(XLOOKUP(D39,Roster!F:F,Roster!D:D,"",0))</f>
        <v>34</v>
      </c>
      <c r="M39" s="317" t="str">
        <f t="array" ref="M39">XLOOKUP(D39,Roster!F:F,Roster!E:E)</f>
        <v>Voice</v>
      </c>
      <c r="N39" s="317" t="str">
        <f t="shared" ref="N39:P39" si="44">LEFT(H39,5)</f>
        <v>13:00</v>
      </c>
      <c r="O39" s="317" t="str">
        <f t="shared" si="44"/>
        <v>15:15</v>
      </c>
      <c r="P39" s="317" t="str">
        <f t="shared" si="44"/>
        <v>18:00</v>
      </c>
      <c r="Q39" s="318">
        <f t="shared" si="6"/>
        <v>46113.54167</v>
      </c>
      <c r="R39" s="318">
        <f t="shared" si="7"/>
        <v>46113.63542</v>
      </c>
      <c r="S39" s="318">
        <f t="shared" si="8"/>
        <v>46113.75</v>
      </c>
    </row>
    <row r="40">
      <c r="A40" s="14" t="str">
        <f t="shared" si="1"/>
        <v>C136946113</v>
      </c>
      <c r="B40" s="185">
        <f t="array" ref="B40">IF(F40="VL","",IF(F40="Free","Free",XLOOKUP(D40,Roster!T:T,Roster!S:S,"",0)))</f>
        <v>126</v>
      </c>
      <c r="C40" s="313">
        <v>46113.0</v>
      </c>
      <c r="D40" s="314" t="s">
        <v>157</v>
      </c>
      <c r="E40" s="307" t="str">
        <f t="array" ref="E40">(XLOOKUP(D40,Roster!F:F,Roster!B:B,"",0))</f>
        <v>Gabriela Jimenez</v>
      </c>
      <c r="F40" s="315" t="str">
        <f t="array" ref="F40">IF(B40=100,"Free",TEXT(XLOOKUP($D40,OperationVoice!$A:$A,OperationVoice!G:G,XLOOKUP($D40,OperationTickets!$A:$A,OperationTickets!G:G,"",0)),"hh:mm"))</f>
        <v>08:00</v>
      </c>
      <c r="G40" s="309">
        <f t="shared" si="3"/>
        <v>0.7083333333</v>
      </c>
      <c r="H40" s="316" t="str">
        <f t="array" ref="H40">XLOOKUP(B40,Roster!L:L,Roster!N:N,XLOOKUP(D40,TicketsBreak!A:A,TicketsBreak!E:E,"",0),0)</f>
        <v>10:45 - 11:00</v>
      </c>
      <c r="I40" s="316" t="str">
        <f t="array" ref="I40">XLOOKUP(B40,Roster!L:L,Roster!O:O,XLOOKUP(D40,TicketsBreak!A:A,TicketsBreak!F:F,"",0),0)</f>
        <v>14:00 - 14:30</v>
      </c>
      <c r="J40" s="316" t="str">
        <f t="array" ref="J40">XLOOKUP(B40,Roster!L:L,Roster!P:P,XLOOKUP(D40,TicketsBreak!A:A,TicketsBreak!G:G,"",0),0)</f>
        <v>15:45 - 16:00</v>
      </c>
      <c r="K40" s="310">
        <f t="shared" si="4"/>
        <v>46113</v>
      </c>
      <c r="L40" s="317">
        <f t="array" ref="L40">(XLOOKUP(D40,Roster!F:F,Roster!D:D,"",0))</f>
        <v>31</v>
      </c>
      <c r="M40" s="317" t="str">
        <f t="array" ref="M40">XLOOKUP(D40,Roster!F:F,Roster!E:E)</f>
        <v>Tickets</v>
      </c>
      <c r="N40" s="317" t="str">
        <f t="shared" ref="N40:P40" si="45">LEFT(H40,5)</f>
        <v>10:45</v>
      </c>
      <c r="O40" s="317" t="str">
        <f t="shared" si="45"/>
        <v>14:00</v>
      </c>
      <c r="P40" s="317" t="str">
        <f t="shared" si="45"/>
        <v>15:45</v>
      </c>
      <c r="Q40" s="318">
        <f t="shared" si="6"/>
        <v>46113.44792</v>
      </c>
      <c r="R40" s="318">
        <f t="shared" si="7"/>
        <v>46113.58333</v>
      </c>
      <c r="S40" s="318">
        <f t="shared" si="8"/>
        <v>46113.65625</v>
      </c>
    </row>
    <row r="41">
      <c r="A41" s="14" t="str">
        <f t="shared" si="1"/>
        <v>C101746113</v>
      </c>
      <c r="B41" s="185">
        <f t="array" ref="B41">IF(F41="VL","",IF(F41="Free","Free",XLOOKUP(D41,Roster!T:T,Roster!S:S,"",0)))</f>
        <v>121</v>
      </c>
      <c r="C41" s="313">
        <v>46113.0</v>
      </c>
      <c r="D41" s="314" t="s">
        <v>32</v>
      </c>
      <c r="E41" s="307" t="str">
        <f t="array" ref="E41">(XLOOKUP(D41,Roster!F:F,Roster!B:B,"",0))</f>
        <v>Geraldine Correa</v>
      </c>
      <c r="F41" s="315" t="str">
        <f t="array" ref="F41">IF(B41=100,"Free",TEXT(XLOOKUP($D41,OperationVoice!$A:$A,OperationVoice!G:G,XLOOKUP($D41,OperationTickets!$A:$A,OperationTickets!G:G,"",0)),"hh:mm"))</f>
        <v>08:00</v>
      </c>
      <c r="G41" s="309">
        <f t="shared" si="3"/>
        <v>0.7083333333</v>
      </c>
      <c r="H41" s="316" t="str">
        <f t="array" ref="H41">XLOOKUP(B41,Roster!L:L,Roster!N:N,XLOOKUP(D41,TicketsBreak!A:A,TicketsBreak!E:E,"",0),0)</f>
        <v>09:15 - 09:30</v>
      </c>
      <c r="I41" s="316" t="str">
        <f t="array" ref="I41">XLOOKUP(B41,Roster!L:L,Roster!O:O,XLOOKUP(D41,TicketsBreak!A:A,TicketsBreak!F:F,"",0),0)</f>
        <v>11:30 - 12:00</v>
      </c>
      <c r="J41" s="316" t="str">
        <f t="array" ref="J41">XLOOKUP(B41,Roster!L:L,Roster!P:P,XLOOKUP(D41,TicketsBreak!A:A,TicketsBreak!G:G,"",0),0)</f>
        <v>14:30 - 14:45</v>
      </c>
      <c r="K41" s="310">
        <f t="shared" si="4"/>
        <v>46113</v>
      </c>
      <c r="L41" s="317">
        <f t="array" ref="L41">(XLOOKUP(D41,Roster!F:F,Roster!D:D,"",0))</f>
        <v>23</v>
      </c>
      <c r="M41" s="317" t="str">
        <f t="array" ref="M41">XLOOKUP(D41,Roster!F:F,Roster!E:E)</f>
        <v>Voice</v>
      </c>
      <c r="N41" s="317" t="str">
        <f t="shared" ref="N41:P41" si="46">LEFT(H41,5)</f>
        <v>09:15</v>
      </c>
      <c r="O41" s="317" t="str">
        <f t="shared" si="46"/>
        <v>11:30</v>
      </c>
      <c r="P41" s="317" t="str">
        <f t="shared" si="46"/>
        <v>14:30</v>
      </c>
      <c r="Q41" s="318">
        <f t="shared" si="6"/>
        <v>46113.38542</v>
      </c>
      <c r="R41" s="318">
        <f t="shared" si="7"/>
        <v>46113.47917</v>
      </c>
      <c r="S41" s="318">
        <f t="shared" si="8"/>
        <v>46113.60417</v>
      </c>
    </row>
    <row r="42">
      <c r="A42" s="14" t="str">
        <f t="shared" si="1"/>
        <v>C154146113</v>
      </c>
      <c r="B42" s="185" t="str">
        <f t="array" ref="B42">IF(F42="VL","",IF(F42="Free","Free",XLOOKUP(D42,Roster!T:T,Roster!S:S,"",0)))</f>
        <v>Free</v>
      </c>
      <c r="C42" s="313">
        <v>46113.0</v>
      </c>
      <c r="D42" s="314" t="s">
        <v>33</v>
      </c>
      <c r="E42" s="307" t="str">
        <f t="array" ref="E42">(XLOOKUP(D42,Roster!F:F,Roster!B:B,"",0))</f>
        <v>Gisel Moya</v>
      </c>
      <c r="F42" s="315" t="str">
        <f t="array" ref="F42">IF(B42=100,"Free",TEXT(XLOOKUP($D42,OperationVoice!$A:$A,OperationVoice!G:G,XLOOKUP($D42,OperationTickets!$A:$A,OperationTickets!G:G,"",0)),"hh:mm"))</f>
        <v>Free</v>
      </c>
      <c r="G42" s="309" t="str">
        <f t="shared" si="3"/>
        <v>Free</v>
      </c>
      <c r="H42" s="316" t="str">
        <f t="array" ref="H42">XLOOKUP(B42,Roster!L:L,Roster!N:N,XLOOKUP(D42,TicketsBreak!A:A,TicketsBreak!E:E,"",0),0)</f>
        <v/>
      </c>
      <c r="I42" s="316" t="str">
        <f t="array" ref="I42">XLOOKUP(B42,Roster!L:L,Roster!O:O,XLOOKUP(D42,TicketsBreak!A:A,TicketsBreak!F:F,"",0),0)</f>
        <v/>
      </c>
      <c r="J42" s="316" t="str">
        <f t="array" ref="J42">XLOOKUP(B42,Roster!L:L,Roster!P:P,XLOOKUP(D42,TicketsBreak!A:A,TicketsBreak!G:G,"",0),0)</f>
        <v/>
      </c>
      <c r="K42" s="310">
        <f t="shared" si="4"/>
        <v>46113</v>
      </c>
      <c r="L42" s="317">
        <f t="array" ref="L42">(XLOOKUP(D42,Roster!F:F,Roster!D:D,"",0))</f>
        <v>36</v>
      </c>
      <c r="M42" s="317" t="str">
        <f t="array" ref="M42">XLOOKUP(D42,Roster!F:F,Roster!E:E)</f>
        <v>Voice</v>
      </c>
      <c r="N42" s="317" t="str">
        <f t="shared" ref="N42:P42" si="47">LEFT(H42,5)</f>
        <v/>
      </c>
      <c r="O42" s="317" t="str">
        <f t="shared" si="47"/>
        <v/>
      </c>
      <c r="P42" s="317" t="str">
        <f t="shared" si="47"/>
        <v/>
      </c>
      <c r="Q42" s="318" t="str">
        <f t="shared" si="6"/>
        <v/>
      </c>
      <c r="R42" s="318" t="str">
        <f t="shared" si="7"/>
        <v/>
      </c>
      <c r="S42" s="318" t="str">
        <f t="shared" si="8"/>
        <v/>
      </c>
    </row>
    <row r="43">
      <c r="A43" s="14" t="str">
        <f t="shared" si="1"/>
        <v>C86046113</v>
      </c>
      <c r="B43" s="185" t="str">
        <f t="array" ref="B43">IF(F43="VL","",IF(F43="Free","Free",XLOOKUP(D43,Roster!T:T,Roster!S:S,"",0)))</f>
        <v/>
      </c>
      <c r="C43" s="313">
        <v>46113.0</v>
      </c>
      <c r="D43" s="314" t="s">
        <v>158</v>
      </c>
      <c r="E43" s="307" t="str">
        <f t="array" ref="E43">(XLOOKUP(D43,Roster!F:F,Roster!B:B,"",0))</f>
        <v>Ief Fabre</v>
      </c>
      <c r="F43" s="315" t="str">
        <f t="array" ref="F43">IF(B43=100,"Free",TEXT(XLOOKUP($D43,OperationVoice!$A:$A,OperationVoice!G:G,XLOOKUP($D43,OperationTickets!$A:$A,OperationTickets!G:G,"",0)),"hh:mm"))</f>
        <v>08:00</v>
      </c>
      <c r="G43" s="309">
        <f t="shared" si="3"/>
        <v>0.7083333333</v>
      </c>
      <c r="H43" s="316">
        <f t="array" ref="H43">XLOOKUP(B43,Roster!L:L,Roster!N:N,XLOOKUP(D43,TicketsBreak!A:A,TicketsBreak!E:E,"",0),0)</f>
        <v>0.4166666667</v>
      </c>
      <c r="I43" s="316">
        <f t="array" ref="I43">XLOOKUP(B43,Roster!L:L,Roster!O:O,XLOOKUP(D43,TicketsBreak!A:A,TicketsBreak!F:F,"",0),0)</f>
        <v>0.5</v>
      </c>
      <c r="J43" s="316">
        <f t="array" ref="J43">XLOOKUP(B43,Roster!L:L,Roster!P:P,XLOOKUP(D43,TicketsBreak!A:A,TicketsBreak!G:G,"",0),0)</f>
        <v>0.625</v>
      </c>
      <c r="K43" s="310">
        <f t="shared" si="4"/>
        <v>46113</v>
      </c>
      <c r="L43" s="317">
        <f t="array" ref="L43">(XLOOKUP(D43,Roster!F:F,Roster!D:D,"",0))</f>
        <v>10</v>
      </c>
      <c r="M43" s="317" t="str">
        <f t="array" ref="M43">XLOOKUP(D43,Roster!F:F,Roster!E:E)</f>
        <v>Tickets</v>
      </c>
      <c r="N43" s="317" t="str">
        <f t="shared" ref="N43:P43" si="48">LEFT(H43,5)</f>
        <v>10:00</v>
      </c>
      <c r="O43" s="317" t="str">
        <f t="shared" si="48"/>
        <v>12:00</v>
      </c>
      <c r="P43" s="317" t="str">
        <f t="shared" si="48"/>
        <v>15:00</v>
      </c>
      <c r="Q43" s="318">
        <f t="shared" si="6"/>
        <v>46113.41667</v>
      </c>
      <c r="R43" s="318">
        <f t="shared" si="7"/>
        <v>46113.5</v>
      </c>
      <c r="S43" s="318">
        <f t="shared" si="8"/>
        <v>46113.625</v>
      </c>
    </row>
    <row r="44">
      <c r="A44" s="14" t="str">
        <f t="shared" si="1"/>
        <v>C148146113</v>
      </c>
      <c r="B44" s="185">
        <f t="array" ref="B44">IF(F44="VL","",IF(F44="Free","Free",XLOOKUP(D44,Roster!T:T,Roster!S:S,"",0)))</f>
        <v>155</v>
      </c>
      <c r="C44" s="313">
        <v>46113.0</v>
      </c>
      <c r="D44" s="314" t="s">
        <v>34</v>
      </c>
      <c r="E44" s="307" t="str">
        <f t="array" ref="E44">(XLOOKUP(D44,Roster!F:F,Roster!B:B,"",0))</f>
        <v>Jasam Mejia</v>
      </c>
      <c r="F44" s="315" t="str">
        <f t="array" ref="F44">IF(B44=100,"Free",TEXT(XLOOKUP($D44,OperationVoice!$A:$A,OperationVoice!G:G,XLOOKUP($D44,OperationTickets!$A:$A,OperationTickets!G:G,"",0)),"hh:mm"))</f>
        <v>11:00</v>
      </c>
      <c r="G44" s="309">
        <f t="shared" si="3"/>
        <v>0.8333333333</v>
      </c>
      <c r="H44" s="316" t="str">
        <f t="array" ref="H44">XLOOKUP(B44,Roster!L:L,Roster!N:N,XLOOKUP(D44,TicketsBreak!A:A,TicketsBreak!E:E,"",0),0)</f>
        <v>13:15 - 13:30</v>
      </c>
      <c r="I44" s="316" t="str">
        <f t="array" ref="I44">XLOOKUP(B44,Roster!L:L,Roster!O:O,XLOOKUP(D44,TicketsBreak!A:A,TicketsBreak!F:F,"",0),0)</f>
        <v>15:45 - 16:15</v>
      </c>
      <c r="J44" s="316" t="str">
        <f t="array" ref="J44">XLOOKUP(B44,Roster!L:L,Roster!P:P,XLOOKUP(D44,TicketsBreak!A:A,TicketsBreak!G:G,"",0),0)</f>
        <v>18:15 - 18:30</v>
      </c>
      <c r="K44" s="310">
        <f t="shared" si="4"/>
        <v>46113</v>
      </c>
      <c r="L44" s="317">
        <f t="array" ref="L44">(XLOOKUP(D44,Roster!F:F,Roster!D:D,"",0))</f>
        <v>34</v>
      </c>
      <c r="M44" s="317" t="str">
        <f t="array" ref="M44">XLOOKUP(D44,Roster!F:F,Roster!E:E)</f>
        <v>Voice</v>
      </c>
      <c r="N44" s="317" t="str">
        <f t="shared" ref="N44:P44" si="49">LEFT(H44,5)</f>
        <v>13:15</v>
      </c>
      <c r="O44" s="317" t="str">
        <f t="shared" si="49"/>
        <v>15:45</v>
      </c>
      <c r="P44" s="317" t="str">
        <f t="shared" si="49"/>
        <v>18:15</v>
      </c>
      <c r="Q44" s="318">
        <f t="shared" si="6"/>
        <v>46113.55208</v>
      </c>
      <c r="R44" s="318">
        <f t="shared" si="7"/>
        <v>46113.65625</v>
      </c>
      <c r="S44" s="318">
        <f t="shared" si="8"/>
        <v>46113.76042</v>
      </c>
    </row>
    <row r="45">
      <c r="A45" s="14" t="str">
        <f t="shared" si="1"/>
        <v>C131846113</v>
      </c>
      <c r="B45" s="185" t="str">
        <f t="array" ref="B45">IF(F45="VL","",IF(F45="Free","Free",XLOOKUP(D45,Roster!T:T,Roster!S:S,"",0)))</f>
        <v/>
      </c>
      <c r="C45" s="313">
        <v>46113.0</v>
      </c>
      <c r="D45" s="314" t="s">
        <v>159</v>
      </c>
      <c r="E45" s="307" t="str">
        <f t="array" ref="E45">(XLOOKUP(D45,Roster!F:F,Roster!B:B,"",0))</f>
        <v>Jeampierre Jaramillo</v>
      </c>
      <c r="F45" s="315" t="str">
        <f t="array" ref="F45">IF(B45=100,"Free",TEXT(XLOOKUP($D45,OperationVoice!$A:$A,OperationVoice!G:G,XLOOKUP($D45,OperationTickets!$A:$A,OperationTickets!G:G,"",0)),"hh:mm"))</f>
        <v>07:00</v>
      </c>
      <c r="G45" s="309">
        <f t="shared" si="3"/>
        <v>0.6666666667</v>
      </c>
      <c r="H45" s="316" t="str">
        <f t="array" ref="H45">XLOOKUP(B45,Roster!L:L,Roster!N:N,XLOOKUP(D45,TicketsBreak!A:A,TicketsBreak!E:E,"",0),0)</f>
        <v/>
      </c>
      <c r="I45" s="316" t="str">
        <f t="array" ref="I45">XLOOKUP(B45,Roster!L:L,Roster!O:O,XLOOKUP(D45,TicketsBreak!A:A,TicketsBreak!F:F,"",0),0)</f>
        <v/>
      </c>
      <c r="J45" s="316" t="str">
        <f t="array" ref="J45">XLOOKUP(B45,Roster!L:L,Roster!P:P,XLOOKUP(D45,TicketsBreak!A:A,TicketsBreak!G:G,"",0),0)</f>
        <v/>
      </c>
      <c r="K45" s="310">
        <f t="shared" si="4"/>
        <v>46113</v>
      </c>
      <c r="L45" s="317">
        <f t="array" ref="L45">(XLOOKUP(D45,Roster!F:F,Roster!D:D,"",0))</f>
        <v>29</v>
      </c>
      <c r="M45" s="317" t="str">
        <f t="array" ref="M45">XLOOKUP(D45,Roster!F:F,Roster!E:E)</f>
        <v>Tickets</v>
      </c>
      <c r="N45" s="317" t="str">
        <f t="shared" ref="N45:P45" si="50">LEFT(H45,5)</f>
        <v/>
      </c>
      <c r="O45" s="317" t="str">
        <f t="shared" si="50"/>
        <v/>
      </c>
      <c r="P45" s="317" t="str">
        <f t="shared" si="50"/>
        <v/>
      </c>
      <c r="Q45" s="318" t="str">
        <f t="shared" si="6"/>
        <v/>
      </c>
      <c r="R45" s="318" t="str">
        <f t="shared" si="7"/>
        <v/>
      </c>
      <c r="S45" s="318" t="str">
        <f t="shared" si="8"/>
        <v/>
      </c>
    </row>
    <row r="46">
      <c r="A46" s="14" t="str">
        <f t="shared" si="1"/>
        <v>C155046113</v>
      </c>
      <c r="B46" s="185">
        <f t="array" ref="B46">IF(F46="VL","",IF(F46="Free","Free",XLOOKUP(D46,Roster!T:T,Roster!S:S,"",0)))</f>
        <v>126</v>
      </c>
      <c r="C46" s="313">
        <v>46113.0</v>
      </c>
      <c r="D46" s="314" t="s">
        <v>35</v>
      </c>
      <c r="E46" s="307" t="str">
        <f t="array" ref="E46">(XLOOKUP(D46,Roster!F:F,Roster!B:B,"",0))</f>
        <v>Jeidin Vargas</v>
      </c>
      <c r="F46" s="315" t="str">
        <f t="array" ref="F46">IF(B46=100,"Free",TEXT(XLOOKUP($D46,OperationVoice!$A:$A,OperationVoice!G:G,XLOOKUP($D46,OperationTickets!$A:$A,OperationTickets!G:G,"",0)),"hh:mm"))</f>
        <v>08:00</v>
      </c>
      <c r="G46" s="309">
        <f t="shared" si="3"/>
        <v>0.7083333333</v>
      </c>
      <c r="H46" s="316" t="str">
        <f t="array" ref="H46">XLOOKUP(B46,Roster!L:L,Roster!N:N,XLOOKUP(D46,TicketsBreak!A:A,TicketsBreak!E:E,"",0),0)</f>
        <v>10:45 - 11:00</v>
      </c>
      <c r="I46" s="316" t="str">
        <f t="array" ref="I46">XLOOKUP(B46,Roster!L:L,Roster!O:O,XLOOKUP(D46,TicketsBreak!A:A,TicketsBreak!F:F,"",0),0)</f>
        <v>14:00 - 14:30</v>
      </c>
      <c r="J46" s="316" t="str">
        <f t="array" ref="J46">XLOOKUP(B46,Roster!L:L,Roster!P:P,XLOOKUP(D46,TicketsBreak!A:A,TicketsBreak!G:G,"",0),0)</f>
        <v>15:45 - 16:00</v>
      </c>
      <c r="K46" s="310">
        <f t="shared" si="4"/>
        <v>46113</v>
      </c>
      <c r="L46" s="317">
        <f t="array" ref="L46">(XLOOKUP(D46,Roster!F:F,Roster!D:D,"",0))</f>
        <v>37</v>
      </c>
      <c r="M46" s="317" t="str">
        <f t="array" ref="M46">XLOOKUP(D46,Roster!F:F,Roster!E:E)</f>
        <v>Voice</v>
      </c>
      <c r="N46" s="317" t="str">
        <f t="shared" ref="N46:P46" si="51">LEFT(H46,5)</f>
        <v>10:45</v>
      </c>
      <c r="O46" s="317" t="str">
        <f t="shared" si="51"/>
        <v>14:00</v>
      </c>
      <c r="P46" s="317" t="str">
        <f t="shared" si="51"/>
        <v>15:45</v>
      </c>
      <c r="Q46" s="318">
        <f t="shared" si="6"/>
        <v>46113.44792</v>
      </c>
      <c r="R46" s="318">
        <f t="shared" si="7"/>
        <v>46113.58333</v>
      </c>
      <c r="S46" s="318">
        <f t="shared" si="8"/>
        <v>46113.65625</v>
      </c>
    </row>
    <row r="47">
      <c r="A47" s="14" t="str">
        <f t="shared" si="1"/>
        <v>C51246113</v>
      </c>
      <c r="B47" s="185">
        <f t="array" ref="B47">IF(F47="VL","",IF(F47="Free","Free",XLOOKUP(D47,Roster!T:T,Roster!S:S,"",0)))</f>
        <v>122</v>
      </c>
      <c r="C47" s="313">
        <v>46113.0</v>
      </c>
      <c r="D47" s="314" t="s">
        <v>36</v>
      </c>
      <c r="E47" s="307" t="str">
        <f t="array" ref="E47">(XLOOKUP(D47,Roster!F:F,Roster!B:B,"",0))</f>
        <v>Jhoam Quiroz</v>
      </c>
      <c r="F47" s="315" t="str">
        <f t="array" ref="F47">IF(B47=100,"Free",TEXT(XLOOKUP($D47,OperationVoice!$A:$A,OperationVoice!G:G,XLOOKUP($D47,OperationTickets!$A:$A,OperationTickets!G:G,"",0)),"hh:mm"))</f>
        <v>08:00</v>
      </c>
      <c r="G47" s="309">
        <f t="shared" si="3"/>
        <v>0.7083333333</v>
      </c>
      <c r="H47" s="316" t="str">
        <f t="array" ref="H47">XLOOKUP(B47,Roster!L:L,Roster!N:N,XLOOKUP(D47,TicketsBreak!A:A,TicketsBreak!E:E,"",0),0)</f>
        <v>09:30 - 09:45</v>
      </c>
      <c r="I47" s="316" t="str">
        <f t="array" ref="I47">XLOOKUP(B47,Roster!L:L,Roster!O:O,XLOOKUP(D47,TicketsBreak!A:A,TicketsBreak!F:F,"",0),0)</f>
        <v>12:00 - 12:30</v>
      </c>
      <c r="J47" s="316" t="str">
        <f t="array" ref="J47">XLOOKUP(B47,Roster!L:L,Roster!P:P,XLOOKUP(D47,TicketsBreak!A:A,TicketsBreak!G:G,"",0),0)</f>
        <v>14:45 - 15:00</v>
      </c>
      <c r="K47" s="310">
        <f t="shared" si="4"/>
        <v>46113</v>
      </c>
      <c r="L47" s="317">
        <f t="array" ref="L47">(XLOOKUP(D47,Roster!F:F,Roster!D:D,"",0))</f>
        <v>1</v>
      </c>
      <c r="M47" s="317" t="str">
        <f t="array" ref="M47">XLOOKUP(D47,Roster!F:F,Roster!E:E)</f>
        <v>Voice</v>
      </c>
      <c r="N47" s="317" t="str">
        <f t="shared" ref="N47:P47" si="52">LEFT(H47,5)</f>
        <v>09:30</v>
      </c>
      <c r="O47" s="317" t="str">
        <f t="shared" si="52"/>
        <v>12:00</v>
      </c>
      <c r="P47" s="317" t="str">
        <f t="shared" si="52"/>
        <v>14:45</v>
      </c>
      <c r="Q47" s="318">
        <f t="shared" si="6"/>
        <v>46113.39583</v>
      </c>
      <c r="R47" s="318">
        <f t="shared" si="7"/>
        <v>46113.5</v>
      </c>
      <c r="S47" s="318">
        <f t="shared" si="8"/>
        <v>46113.61458</v>
      </c>
    </row>
    <row r="48">
      <c r="A48" s="14" t="str">
        <f t="shared" si="1"/>
        <v>C150946113</v>
      </c>
      <c r="B48" s="185">
        <f t="array" ref="B48">IF(F48="VL","",IF(F48="Free","Free",XLOOKUP(D48,Roster!T:T,Roster!S:S,"",0)))</f>
        <v>121</v>
      </c>
      <c r="C48" s="313">
        <v>46113.0</v>
      </c>
      <c r="D48" s="314" t="s">
        <v>37</v>
      </c>
      <c r="E48" s="307" t="str">
        <f t="array" ref="E48">(XLOOKUP(D48,Roster!F:F,Roster!B:B,"",0))</f>
        <v>Jhonatan Gomez</v>
      </c>
      <c r="F48" s="315" t="str">
        <f t="array" ref="F48">IF(B48=100,"Free",TEXT(XLOOKUP($D48,OperationVoice!$A:$A,OperationVoice!G:G,XLOOKUP($D48,OperationTickets!$A:$A,OperationTickets!G:G,"",0)),"hh:mm"))</f>
        <v>08:00</v>
      </c>
      <c r="G48" s="309">
        <f t="shared" si="3"/>
        <v>0.7083333333</v>
      </c>
      <c r="H48" s="316" t="str">
        <f t="array" ref="H48">XLOOKUP(B48,Roster!L:L,Roster!N:N,XLOOKUP(D48,TicketsBreak!A:A,TicketsBreak!E:E,"",0),0)</f>
        <v>09:15 - 09:30</v>
      </c>
      <c r="I48" s="316" t="str">
        <f t="array" ref="I48">XLOOKUP(B48,Roster!L:L,Roster!O:O,XLOOKUP(D48,TicketsBreak!A:A,TicketsBreak!F:F,"",0),0)</f>
        <v>11:30 - 12:00</v>
      </c>
      <c r="J48" s="316" t="str">
        <f t="array" ref="J48">XLOOKUP(B48,Roster!L:L,Roster!P:P,XLOOKUP(D48,TicketsBreak!A:A,TicketsBreak!G:G,"",0),0)</f>
        <v>14:30 - 14:45</v>
      </c>
      <c r="K48" s="310">
        <f t="shared" si="4"/>
        <v>46113</v>
      </c>
      <c r="L48" s="317">
        <f t="array" ref="L48">(XLOOKUP(D48,Roster!F:F,Roster!D:D,"",0))</f>
        <v>35</v>
      </c>
      <c r="M48" s="317" t="str">
        <f t="array" ref="M48">XLOOKUP(D48,Roster!F:F,Roster!E:E)</f>
        <v>Voice</v>
      </c>
      <c r="N48" s="317" t="str">
        <f t="shared" ref="N48:P48" si="53">LEFT(H48,5)</f>
        <v>09:15</v>
      </c>
      <c r="O48" s="317" t="str">
        <f t="shared" si="53"/>
        <v>11:30</v>
      </c>
      <c r="P48" s="317" t="str">
        <f t="shared" si="53"/>
        <v>14:30</v>
      </c>
      <c r="Q48" s="318">
        <f t="shared" si="6"/>
        <v>46113.38542</v>
      </c>
      <c r="R48" s="318">
        <f t="shared" si="7"/>
        <v>46113.47917</v>
      </c>
      <c r="S48" s="318">
        <f t="shared" si="8"/>
        <v>46113.60417</v>
      </c>
    </row>
    <row r="49">
      <c r="A49" s="14" t="str">
        <f t="shared" si="1"/>
        <v>C151546113</v>
      </c>
      <c r="B49" s="185">
        <f t="array" ref="B49">IF(F49="VL","",IF(F49="Free","Free",XLOOKUP(D49,Roster!T:T,Roster!S:S,"",0)))</f>
        <v>151</v>
      </c>
      <c r="C49" s="313">
        <v>46113.0</v>
      </c>
      <c r="D49" s="314" t="s">
        <v>38</v>
      </c>
      <c r="E49" s="307" t="str">
        <f t="array" ref="E49">(XLOOKUP(D49,Roster!F:F,Roster!B:B,"",0))</f>
        <v>Joan Perez</v>
      </c>
      <c r="F49" s="315" t="str">
        <f t="array" ref="F49">IF(B49=100,"Free",TEXT(XLOOKUP($D49,OperationVoice!$A:$A,OperationVoice!G:G,XLOOKUP($D49,OperationTickets!$A:$A,OperationTickets!G:G,"",0)),"hh:mm"))</f>
        <v/>
      </c>
      <c r="G49" s="309" t="str">
        <f t="shared" si="3"/>
        <v/>
      </c>
      <c r="H49" s="316" t="str">
        <f t="array" ref="H49">XLOOKUP(B49,Roster!L:L,Roster!N:N,XLOOKUP(D49,TicketsBreak!A:A,TicketsBreak!E:E,"",0),0)</f>
        <v>12:15 - 12:30</v>
      </c>
      <c r="I49" s="316" t="str">
        <f t="array" ref="I49">XLOOKUP(B49,Roster!L:L,Roster!O:O,XLOOKUP(D49,TicketsBreak!A:A,TicketsBreak!F:F,"",0),0)</f>
        <v>14:00 - 14:30</v>
      </c>
      <c r="J49" s="316" t="str">
        <f t="array" ref="J49">XLOOKUP(B49,Roster!L:L,Roster!P:P,XLOOKUP(D49,TicketsBreak!A:A,TicketsBreak!G:G,"",0),0)</f>
        <v>17:15 - 17:30</v>
      </c>
      <c r="K49" s="310">
        <f t="shared" si="4"/>
        <v>46113</v>
      </c>
      <c r="L49" s="317">
        <f t="array" ref="L49">(XLOOKUP(D49,Roster!F:F,Roster!D:D,"",0))</f>
        <v>35</v>
      </c>
      <c r="M49" s="317" t="str">
        <f t="array" ref="M49">XLOOKUP(D49,Roster!F:F,Roster!E:E)</f>
        <v>Voice</v>
      </c>
      <c r="N49" s="317" t="str">
        <f t="shared" ref="N49:P49" si="54">LEFT(H49,5)</f>
        <v>12:15</v>
      </c>
      <c r="O49" s="317" t="str">
        <f t="shared" si="54"/>
        <v>14:00</v>
      </c>
      <c r="P49" s="317" t="str">
        <f t="shared" si="54"/>
        <v>17:15</v>
      </c>
      <c r="Q49" s="318">
        <f t="shared" si="6"/>
        <v>46113.51042</v>
      </c>
      <c r="R49" s="318">
        <f t="shared" si="7"/>
        <v>46113.58333</v>
      </c>
      <c r="S49" s="318">
        <f t="shared" si="8"/>
        <v>46113.71875</v>
      </c>
    </row>
    <row r="50">
      <c r="A50" s="14" t="str">
        <f t="shared" si="1"/>
        <v>C128946113</v>
      </c>
      <c r="B50" s="185" t="str">
        <f t="array" ref="B50">IF(F50="VL","",IF(F50="Free","Free",XLOOKUP(D50,Roster!T:T,Roster!S:S,"",0)))</f>
        <v/>
      </c>
      <c r="C50" s="313">
        <v>46113.0</v>
      </c>
      <c r="D50" s="314" t="s">
        <v>140</v>
      </c>
      <c r="E50" s="307" t="str">
        <f t="array" ref="E50">(XLOOKUP(D50,Roster!F:F,Roster!B:B,"",0))</f>
        <v>Johana Villarreal</v>
      </c>
      <c r="F50" s="315" t="str">
        <f t="array" ref="F50">IF(B50=100,"Free",TEXT(XLOOKUP($D50,OperationVoice!$A:$A,OperationVoice!G:G,XLOOKUP($D50,OperationTickets!$A:$A,OperationTickets!G:G,"",0)),"hh:mm"))</f>
        <v>07:00</v>
      </c>
      <c r="G50" s="309">
        <f t="shared" si="3"/>
        <v>0.6666666667</v>
      </c>
      <c r="H50" s="316" t="str">
        <f t="array" ref="H50">XLOOKUP(B50,Roster!L:L,Roster!N:N,XLOOKUP(D50,TicketsBreak!A:A,TicketsBreak!E:E,"",0),0)</f>
        <v/>
      </c>
      <c r="I50" s="316" t="str">
        <f t="array" ref="I50">XLOOKUP(B50,Roster!L:L,Roster!O:O,XLOOKUP(D50,TicketsBreak!A:A,TicketsBreak!F:F,"",0),0)</f>
        <v/>
      </c>
      <c r="J50" s="316" t="str">
        <f t="array" ref="J50">XLOOKUP(B50,Roster!L:L,Roster!P:P,XLOOKUP(D50,TicketsBreak!A:A,TicketsBreak!G:G,"",0),0)</f>
        <v/>
      </c>
      <c r="K50" s="310">
        <f t="shared" si="4"/>
        <v>46113</v>
      </c>
      <c r="L50" s="317">
        <f t="array" ref="L50">(XLOOKUP(D50,Roster!F:F,Roster!D:D,"",0))</f>
        <v>28</v>
      </c>
      <c r="M50" s="317" t="str">
        <f t="array" ref="M50">XLOOKUP(D50,Roster!F:F,Roster!E:E)</f>
        <v>Tickets</v>
      </c>
      <c r="N50" s="317" t="str">
        <f t="shared" ref="N50:P50" si="55">LEFT(H50,5)</f>
        <v/>
      </c>
      <c r="O50" s="317" t="str">
        <f t="shared" si="55"/>
        <v/>
      </c>
      <c r="P50" s="317" t="str">
        <f t="shared" si="55"/>
        <v/>
      </c>
      <c r="Q50" s="318" t="str">
        <f t="shared" si="6"/>
        <v/>
      </c>
      <c r="R50" s="318" t="str">
        <f t="shared" si="7"/>
        <v/>
      </c>
      <c r="S50" s="318" t="str">
        <f t="shared" si="8"/>
        <v/>
      </c>
    </row>
    <row r="51">
      <c r="A51" s="14" t="str">
        <f t="shared" si="1"/>
        <v>C155146113</v>
      </c>
      <c r="B51" s="185">
        <f t="array" ref="B51">IF(F51="VL","",IF(F51="Free","Free",XLOOKUP(D51,Roster!T:T,Roster!S:S,"",0)))</f>
        <v>124</v>
      </c>
      <c r="C51" s="313">
        <v>46113.0</v>
      </c>
      <c r="D51" s="314" t="s">
        <v>39</v>
      </c>
      <c r="E51" s="307" t="str">
        <f t="array" ref="E51">(XLOOKUP(D51,Roster!F:F,Roster!B:B,"",0))</f>
        <v>John Atilano</v>
      </c>
      <c r="F51" s="315" t="str">
        <f t="array" ref="F51">IF(B51=100,"Free",TEXT(XLOOKUP($D51,OperationVoice!$A:$A,OperationVoice!G:G,XLOOKUP($D51,OperationTickets!$A:$A,OperationTickets!G:G,"",0)),"hh:mm"))</f>
        <v>08:00</v>
      </c>
      <c r="G51" s="309">
        <f t="shared" si="3"/>
        <v>0.7083333333</v>
      </c>
      <c r="H51" s="316" t="str">
        <f t="array" ref="H51">XLOOKUP(B51,Roster!L:L,Roster!N:N,XLOOKUP(D51,TicketsBreak!A:A,TicketsBreak!E:E,"",0),0)</f>
        <v>10:00 - 10:15</v>
      </c>
      <c r="I51" s="316" t="str">
        <f t="array" ref="I51">XLOOKUP(B51,Roster!L:L,Roster!O:O,XLOOKUP(D51,TicketsBreak!A:A,TicketsBreak!F:F,"",0),0)</f>
        <v>13:00 - 13:30</v>
      </c>
      <c r="J51" s="316" t="str">
        <f t="array" ref="J51">XLOOKUP(B51,Roster!L:L,Roster!P:P,XLOOKUP(D51,TicketsBreak!A:A,TicketsBreak!G:G,"",0),0)</f>
        <v>15:30 - 15:45</v>
      </c>
      <c r="K51" s="310">
        <f t="shared" si="4"/>
        <v>46113</v>
      </c>
      <c r="L51" s="317">
        <f t="array" ref="L51">(XLOOKUP(D51,Roster!F:F,Roster!D:D,"",0))</f>
        <v>37</v>
      </c>
      <c r="M51" s="317" t="str">
        <f t="array" ref="M51">XLOOKUP(D51,Roster!F:F,Roster!E:E)</f>
        <v>Voice</v>
      </c>
      <c r="N51" s="317" t="str">
        <f t="shared" ref="N51:P51" si="56">LEFT(H51,5)</f>
        <v>10:00</v>
      </c>
      <c r="O51" s="317" t="str">
        <f t="shared" si="56"/>
        <v>13:00</v>
      </c>
      <c r="P51" s="317" t="str">
        <f t="shared" si="56"/>
        <v>15:30</v>
      </c>
      <c r="Q51" s="318">
        <f t="shared" si="6"/>
        <v>46113.41667</v>
      </c>
      <c r="R51" s="318">
        <f t="shared" si="7"/>
        <v>46113.54167</v>
      </c>
      <c r="S51" s="318">
        <f t="shared" si="8"/>
        <v>46113.64583</v>
      </c>
    </row>
    <row r="52">
      <c r="A52" s="14" t="str">
        <f t="shared" si="1"/>
        <v>C154346113</v>
      </c>
      <c r="B52" s="185">
        <f t="array" ref="B52">IF(F52="VL","",IF(F52="Free","Free",XLOOKUP(D52,Roster!T:T,Roster!S:S,"",0)))</f>
        <v>134</v>
      </c>
      <c r="C52" s="313">
        <v>46113.0</v>
      </c>
      <c r="D52" s="314" t="s">
        <v>40</v>
      </c>
      <c r="E52" s="307" t="str">
        <f t="array" ref="E52">(XLOOKUP(D52,Roster!F:F,Roster!B:B,"",0))</f>
        <v>John Palacio</v>
      </c>
      <c r="F52" s="315" t="str">
        <f t="array" ref="F52">IF(B52=100,"Free",TEXT(XLOOKUP($D52,OperationVoice!$A:$A,OperationVoice!G:G,XLOOKUP($D52,OperationTickets!$A:$A,OperationTickets!G:G,"",0)),"hh:mm"))</f>
        <v>09:00</v>
      </c>
      <c r="G52" s="309">
        <f t="shared" si="3"/>
        <v>0.75</v>
      </c>
      <c r="H52" s="316" t="str">
        <f t="array" ref="H52">XLOOKUP(B52,Roster!L:L,Roster!N:N,XLOOKUP(D52,TicketsBreak!A:A,TicketsBreak!E:E,"",0),0)</f>
        <v>11:00 - 11:15</v>
      </c>
      <c r="I52" s="316" t="str">
        <f t="array" ref="I52">XLOOKUP(B52,Roster!L:L,Roster!O:O,XLOOKUP(D52,TicketsBreak!A:A,TicketsBreak!F:F,"",0),0)</f>
        <v>13:45 - 14:15</v>
      </c>
      <c r="J52" s="316" t="str">
        <f t="array" ref="J52">XLOOKUP(B52,Roster!L:L,Roster!P:P,XLOOKUP(D52,TicketsBreak!A:A,TicketsBreak!G:G,"",0),0)</f>
        <v>16:00 - 16:15</v>
      </c>
      <c r="K52" s="310">
        <f t="shared" si="4"/>
        <v>46113</v>
      </c>
      <c r="L52" s="317">
        <f t="array" ref="L52">(XLOOKUP(D52,Roster!F:F,Roster!D:D,"",0))</f>
        <v>36</v>
      </c>
      <c r="M52" s="317" t="str">
        <f t="array" ref="M52">XLOOKUP(D52,Roster!F:F,Roster!E:E)</f>
        <v>Voice</v>
      </c>
      <c r="N52" s="317" t="str">
        <f t="shared" ref="N52:P52" si="57">LEFT(H52,5)</f>
        <v>11:00</v>
      </c>
      <c r="O52" s="317" t="str">
        <f t="shared" si="57"/>
        <v>13:45</v>
      </c>
      <c r="P52" s="317" t="str">
        <f t="shared" si="57"/>
        <v>16:00</v>
      </c>
      <c r="Q52" s="318">
        <f t="shared" si="6"/>
        <v>46113.45833</v>
      </c>
      <c r="R52" s="318">
        <f t="shared" si="7"/>
        <v>46113.57292</v>
      </c>
      <c r="S52" s="318">
        <f t="shared" si="8"/>
        <v>46113.66667</v>
      </c>
    </row>
    <row r="53">
      <c r="A53" s="14" t="str">
        <f t="shared" si="1"/>
        <v>C154246113</v>
      </c>
      <c r="B53" s="185">
        <f t="array" ref="B53">IF(F53="VL","",IF(F53="Free","Free",XLOOKUP(D53,Roster!T:T,Roster!S:S,"",0)))</f>
        <v>124</v>
      </c>
      <c r="C53" s="313">
        <v>46113.0</v>
      </c>
      <c r="D53" s="314" t="s">
        <v>41</v>
      </c>
      <c r="E53" s="307" t="str">
        <f t="array" ref="E53">(XLOOKUP(D53,Roster!F:F,Roster!B:B,"",0))</f>
        <v>Johny Garcia</v>
      </c>
      <c r="F53" s="315" t="str">
        <f t="array" ref="F53">IF(B53=100,"Free",TEXT(XLOOKUP($D53,OperationVoice!$A:$A,OperationVoice!G:G,XLOOKUP($D53,OperationTickets!$A:$A,OperationTickets!G:G,"",0)),"hh:mm"))</f>
        <v>08:00</v>
      </c>
      <c r="G53" s="309">
        <f t="shared" si="3"/>
        <v>0.7083333333</v>
      </c>
      <c r="H53" s="316" t="str">
        <f t="array" ref="H53">XLOOKUP(B53,Roster!L:L,Roster!N:N,XLOOKUP(D53,TicketsBreak!A:A,TicketsBreak!E:E,"",0),0)</f>
        <v>10:00 - 10:15</v>
      </c>
      <c r="I53" s="316" t="str">
        <f t="array" ref="I53">XLOOKUP(B53,Roster!L:L,Roster!O:O,XLOOKUP(D53,TicketsBreak!A:A,TicketsBreak!F:F,"",0),0)</f>
        <v>13:00 - 13:30</v>
      </c>
      <c r="J53" s="316" t="str">
        <f t="array" ref="J53">XLOOKUP(B53,Roster!L:L,Roster!P:P,XLOOKUP(D53,TicketsBreak!A:A,TicketsBreak!G:G,"",0),0)</f>
        <v>15:30 - 15:45</v>
      </c>
      <c r="K53" s="310">
        <f t="shared" si="4"/>
        <v>46113</v>
      </c>
      <c r="L53" s="317">
        <f t="array" ref="L53">(XLOOKUP(D53,Roster!F:F,Roster!D:D,"",0))</f>
        <v>36</v>
      </c>
      <c r="M53" s="317" t="str">
        <f t="array" ref="M53">XLOOKUP(D53,Roster!F:F,Roster!E:E)</f>
        <v>Voice</v>
      </c>
      <c r="N53" s="317" t="str">
        <f t="shared" ref="N53:P53" si="58">LEFT(H53,5)</f>
        <v>10:00</v>
      </c>
      <c r="O53" s="317" t="str">
        <f t="shared" si="58"/>
        <v>13:00</v>
      </c>
      <c r="P53" s="317" t="str">
        <f t="shared" si="58"/>
        <v>15:30</v>
      </c>
      <c r="Q53" s="318">
        <f t="shared" si="6"/>
        <v>46113.41667</v>
      </c>
      <c r="R53" s="318">
        <f t="shared" si="7"/>
        <v>46113.54167</v>
      </c>
      <c r="S53" s="318">
        <f t="shared" si="8"/>
        <v>46113.64583</v>
      </c>
    </row>
    <row r="54">
      <c r="A54" s="14" t="str">
        <f t="shared" si="1"/>
        <v>C156946113</v>
      </c>
      <c r="B54" s="185">
        <f t="array" ref="B54">IF(F54="VL","",IF(F54="Free","Free",XLOOKUP(D54,Roster!T:T,Roster!S:S,"",0)))</f>
        <v>121</v>
      </c>
      <c r="C54" s="313">
        <v>46113.0</v>
      </c>
      <c r="D54" s="314" t="s">
        <v>42</v>
      </c>
      <c r="E54" s="307" t="str">
        <f t="array" ref="E54">(XLOOKUP(D54,Roster!F:F,Roster!B:B,"",0))</f>
        <v>Jorge Orozco</v>
      </c>
      <c r="F54" s="315" t="str">
        <f t="array" ref="F54">IF(B54=100,"Free",TEXT(XLOOKUP($D54,OperationVoice!$A:$A,OperationVoice!G:G,XLOOKUP($D54,OperationTickets!$A:$A,OperationTickets!G:G,"",0)),"hh:mm"))</f>
        <v>08:00</v>
      </c>
      <c r="G54" s="309">
        <f t="shared" si="3"/>
        <v>0.7083333333</v>
      </c>
      <c r="H54" s="316" t="str">
        <f t="array" ref="H54">XLOOKUP(B54,Roster!L:L,Roster!N:N,XLOOKUP(D54,TicketsBreak!A:A,TicketsBreak!E:E,"",0),0)</f>
        <v>09:15 - 09:30</v>
      </c>
      <c r="I54" s="316" t="str">
        <f t="array" ref="I54">XLOOKUP(B54,Roster!L:L,Roster!O:O,XLOOKUP(D54,TicketsBreak!A:A,TicketsBreak!F:F,"",0),0)</f>
        <v>11:30 - 12:00</v>
      </c>
      <c r="J54" s="316" t="str">
        <f t="array" ref="J54">XLOOKUP(B54,Roster!L:L,Roster!P:P,XLOOKUP(D54,TicketsBreak!A:A,TicketsBreak!G:G,"",0),0)</f>
        <v>14:30 - 14:45</v>
      </c>
      <c r="K54" s="310">
        <f t="shared" si="4"/>
        <v>46113</v>
      </c>
      <c r="L54" s="317">
        <f t="array" ref="L54">(XLOOKUP(D54,Roster!F:F,Roster!D:D,"",0))</f>
        <v>38</v>
      </c>
      <c r="M54" s="317" t="str">
        <f t="array" ref="M54">XLOOKUP(D54,Roster!F:F,Roster!E:E)</f>
        <v>Voice</v>
      </c>
      <c r="N54" s="317" t="str">
        <f t="shared" ref="N54:P54" si="59">LEFT(H54,5)</f>
        <v>09:15</v>
      </c>
      <c r="O54" s="317" t="str">
        <f t="shared" si="59"/>
        <v>11:30</v>
      </c>
      <c r="P54" s="317" t="str">
        <f t="shared" si="59"/>
        <v>14:30</v>
      </c>
      <c r="Q54" s="318">
        <f t="shared" si="6"/>
        <v>46113.38542</v>
      </c>
      <c r="R54" s="318">
        <f t="shared" si="7"/>
        <v>46113.47917</v>
      </c>
      <c r="S54" s="318">
        <f t="shared" si="8"/>
        <v>46113.60417</v>
      </c>
    </row>
    <row r="55">
      <c r="A55" s="14" t="str">
        <f t="shared" si="1"/>
        <v>C102746113</v>
      </c>
      <c r="B55" s="185" t="str">
        <f t="array" ref="B55">IF(F55="VL","",IF(F55="Free","Free",XLOOKUP(D55,Roster!T:T,Roster!S:S,"",0)))</f>
        <v/>
      </c>
      <c r="C55" s="313">
        <v>46113.0</v>
      </c>
      <c r="D55" s="314" t="s">
        <v>160</v>
      </c>
      <c r="E55" s="307" t="str">
        <f t="array" ref="E55">(XLOOKUP(D55,Roster!F:F,Roster!B:B,"",0))</f>
        <v>Jose Perez</v>
      </c>
      <c r="F55" s="315" t="str">
        <f t="array" ref="F55">IF(B55=100,"Free",TEXT(XLOOKUP($D55,OperationVoice!$A:$A,OperationVoice!G:G,XLOOKUP($D55,OperationTickets!$A:$A,OperationTickets!G:G,"",0)),"hh:mm"))</f>
        <v>VL</v>
      </c>
      <c r="G55" s="309" t="str">
        <f t="shared" si="3"/>
        <v>VL</v>
      </c>
      <c r="H55" s="316">
        <f t="array" ref="H55">XLOOKUP(B55,Roster!L:L,Roster!N:N,XLOOKUP(D55,TicketsBreak!A:A,TicketsBreak!E:E,"",0),0)</f>
        <v>0.4166666667</v>
      </c>
      <c r="I55" s="316">
        <f t="array" ref="I55">XLOOKUP(B55,Roster!L:L,Roster!O:O,XLOOKUP(D55,TicketsBreak!A:A,TicketsBreak!F:F,"",0),0)</f>
        <v>0.5208333333</v>
      </c>
      <c r="J55" s="316">
        <f t="array" ref="J55">XLOOKUP(B55,Roster!L:L,Roster!P:P,XLOOKUP(D55,TicketsBreak!A:A,TicketsBreak!G:G,"",0),0)</f>
        <v>0.6354166667</v>
      </c>
      <c r="K55" s="310">
        <f t="shared" si="4"/>
        <v>46113</v>
      </c>
      <c r="L55" s="317">
        <f t="array" ref="L55">(XLOOKUP(D55,Roster!F:F,Roster!D:D,"",0))</f>
        <v>15</v>
      </c>
      <c r="M55" s="317" t="str">
        <f t="array" ref="M55">XLOOKUP(D55,Roster!F:F,Roster!E:E)</f>
        <v>Tickets</v>
      </c>
      <c r="N55" s="317" t="str">
        <f t="shared" ref="N55:P55" si="60">LEFT(H55,5)</f>
        <v>10:00</v>
      </c>
      <c r="O55" s="317" t="str">
        <f t="shared" si="60"/>
        <v>12:30</v>
      </c>
      <c r="P55" s="317" t="str">
        <f t="shared" si="60"/>
        <v>15:15</v>
      </c>
      <c r="Q55" s="318">
        <f t="shared" si="6"/>
        <v>46113.41667</v>
      </c>
      <c r="R55" s="318">
        <f t="shared" si="7"/>
        <v>46113.52083</v>
      </c>
      <c r="S55" s="318">
        <f t="shared" si="8"/>
        <v>46113.63542</v>
      </c>
    </row>
    <row r="56">
      <c r="A56" s="14" t="str">
        <f t="shared" si="1"/>
        <v>C142646113</v>
      </c>
      <c r="B56" s="185">
        <f t="array" ref="B56">IF(F56="VL","",IF(F56="Free","Free",XLOOKUP(D56,Roster!T:T,Roster!S:S,"",0)))</f>
        <v>123</v>
      </c>
      <c r="C56" s="313">
        <v>46113.0</v>
      </c>
      <c r="D56" s="314" t="s">
        <v>161</v>
      </c>
      <c r="E56" s="307" t="str">
        <f t="array" ref="E56">(XLOOKUP(D56,Roster!F:F,Roster!B:B,"",0))</f>
        <v>Jose Zapata</v>
      </c>
      <c r="F56" s="315" t="str">
        <f t="array" ref="F56">IF(B56=100,"Free",TEXT(XLOOKUP($D56,OperationVoice!$A:$A,OperationVoice!G:G,XLOOKUP($D56,OperationTickets!$A:$A,OperationTickets!G:G,"",0)),"hh:mm"))</f>
        <v>08:00</v>
      </c>
      <c r="G56" s="309">
        <f t="shared" si="3"/>
        <v>0.7083333333</v>
      </c>
      <c r="H56" s="316" t="str">
        <f t="array" ref="H56">XLOOKUP(B56,Roster!L:L,Roster!N:N,XLOOKUP(D56,TicketsBreak!A:A,TicketsBreak!E:E,"",0),0)</f>
        <v>09:45 - 10:00 </v>
      </c>
      <c r="I56" s="316" t="str">
        <f t="array" ref="I56">XLOOKUP(B56,Roster!L:L,Roster!O:O,XLOOKUP(D56,TicketsBreak!A:A,TicketsBreak!F:F,"",0),0)</f>
        <v>12:30 - 13:00</v>
      </c>
      <c r="J56" s="316" t="str">
        <f t="array" ref="J56">XLOOKUP(B56,Roster!L:L,Roster!P:P,XLOOKUP(D56,TicketsBreak!A:A,TicketsBreak!G:G,"",0),0)</f>
        <v>15:00 - 15:15</v>
      </c>
      <c r="K56" s="310">
        <f t="shared" si="4"/>
        <v>46113</v>
      </c>
      <c r="L56" s="317">
        <f t="array" ref="L56">(XLOOKUP(D56,Roster!F:F,Roster!D:D,"",0))</f>
        <v>32</v>
      </c>
      <c r="M56" s="317" t="str">
        <f t="array" ref="M56">XLOOKUP(D56,Roster!F:F,Roster!E:E)</f>
        <v>Tickets</v>
      </c>
      <c r="N56" s="317" t="str">
        <f t="shared" ref="N56:P56" si="61">LEFT(H56,5)</f>
        <v>09:45</v>
      </c>
      <c r="O56" s="317" t="str">
        <f t="shared" si="61"/>
        <v>12:30</v>
      </c>
      <c r="P56" s="317" t="str">
        <f t="shared" si="61"/>
        <v>15:00</v>
      </c>
      <c r="Q56" s="318">
        <f t="shared" si="6"/>
        <v>46113.40625</v>
      </c>
      <c r="R56" s="318">
        <f t="shared" si="7"/>
        <v>46113.52083</v>
      </c>
      <c r="S56" s="318">
        <f t="shared" si="8"/>
        <v>46113.625</v>
      </c>
    </row>
    <row r="57">
      <c r="A57" s="14" t="str">
        <f t="shared" si="1"/>
        <v>C153346113</v>
      </c>
      <c r="B57" s="185">
        <f t="array" ref="B57">IF(F57="VL","",IF(F57="Free","Free",XLOOKUP(D57,Roster!T:T,Roster!S:S,"",0)))</f>
        <v>125</v>
      </c>
      <c r="C57" s="313">
        <v>46113.0</v>
      </c>
      <c r="D57" s="314" t="s">
        <v>43</v>
      </c>
      <c r="E57" s="307" t="str">
        <f t="array" ref="E57">(XLOOKUP(D57,Roster!F:F,Roster!B:B,"",0))</f>
        <v>Juan Barrera</v>
      </c>
      <c r="F57" s="315" t="str">
        <f t="array" ref="F57">IF(B57=100,"Free",TEXT(XLOOKUP($D57,OperationVoice!$A:$A,OperationVoice!G:G,XLOOKUP($D57,OperationTickets!$A:$A,OperationTickets!G:G,"",0)),"hh:mm"))</f>
        <v>08:00</v>
      </c>
      <c r="G57" s="309">
        <f t="shared" si="3"/>
        <v>0.7083333333</v>
      </c>
      <c r="H57" s="316" t="str">
        <f t="array" ref="H57">XLOOKUP(B57,Roster!L:L,Roster!N:N,XLOOKUP(D57,TicketsBreak!A:A,TicketsBreak!E:E,"",0),0)</f>
        <v>10:30 - 10:45</v>
      </c>
      <c r="I57" s="316" t="str">
        <f t="array" ref="I57">XLOOKUP(B57,Roster!L:L,Roster!O:O,XLOOKUP(D57,TicketsBreak!A:A,TicketsBreak!F:F,"",0),0)</f>
        <v>13:30 - 14:00</v>
      </c>
      <c r="J57" s="316" t="str">
        <f t="array" ref="J57">XLOOKUP(B57,Roster!L:L,Roster!P:P,XLOOKUP(D57,TicketsBreak!A:A,TicketsBreak!G:G,"",0),0)</f>
        <v>15:45 - 16:00</v>
      </c>
      <c r="K57" s="310">
        <f t="shared" si="4"/>
        <v>46113</v>
      </c>
      <c r="L57" s="317">
        <f t="array" ref="L57">(XLOOKUP(D57,Roster!F:F,Roster!D:D,"",0))</f>
        <v>36</v>
      </c>
      <c r="M57" s="317" t="str">
        <f t="array" ref="M57">XLOOKUP(D57,Roster!F:F,Roster!E:E)</f>
        <v>Voice</v>
      </c>
      <c r="N57" s="317" t="str">
        <f t="shared" ref="N57:P57" si="62">LEFT(H57,5)</f>
        <v>10:30</v>
      </c>
      <c r="O57" s="317" t="str">
        <f t="shared" si="62"/>
        <v>13:30</v>
      </c>
      <c r="P57" s="317" t="str">
        <f t="shared" si="62"/>
        <v>15:45</v>
      </c>
      <c r="Q57" s="318">
        <f t="shared" si="6"/>
        <v>46113.4375</v>
      </c>
      <c r="R57" s="318">
        <f t="shared" si="7"/>
        <v>46113.5625</v>
      </c>
      <c r="S57" s="318">
        <f t="shared" si="8"/>
        <v>46113.65625</v>
      </c>
    </row>
    <row r="58">
      <c r="A58" s="14" t="str">
        <f t="shared" si="1"/>
        <v>C146546113</v>
      </c>
      <c r="B58" s="185">
        <f t="array" ref="B58">IF(F58="VL","",IF(F58="Free","Free",XLOOKUP(D58,Roster!T:T,Roster!S:S,"",0)))</f>
        <v>500</v>
      </c>
      <c r="C58" s="313">
        <v>46113.0</v>
      </c>
      <c r="D58" s="314" t="s">
        <v>44</v>
      </c>
      <c r="E58" s="307" t="str">
        <f t="array" ref="E58">(XLOOKUP(D58,Roster!F:F,Roster!B:B,"",0))</f>
        <v>Juan Castilla</v>
      </c>
      <c r="F58" s="315" t="str">
        <f t="array" ref="F58">IF(B58=100,"Free",TEXT(XLOOKUP($D58,OperationVoice!$A:$A,OperationVoice!G:G,XLOOKUP($D58,OperationTickets!$A:$A,OperationTickets!G:G,"",0)),"hh:mm"))</f>
        <v>08:00</v>
      </c>
      <c r="G58" s="309">
        <f t="shared" si="3"/>
        <v>0.7083333333</v>
      </c>
      <c r="H58" s="316" t="str">
        <f t="array" ref="H58">XLOOKUP(B58,Roster!L:L,Roster!N:N,XLOOKUP(D58,TicketsBreak!A:A,TicketsBreak!E:E,"",0),0)</f>
        <v>Team Leader</v>
      </c>
      <c r="I58" s="316" t="str">
        <f t="array" ref="I58">XLOOKUP(B58,Roster!L:L,Roster!O:O,XLOOKUP(D58,TicketsBreak!A:A,TicketsBreak!F:F,"",0),0)</f>
        <v>Team Leader</v>
      </c>
      <c r="J58" s="316" t="str">
        <f t="array" ref="J58">XLOOKUP(B58,Roster!L:L,Roster!P:P,XLOOKUP(D58,TicketsBreak!A:A,TicketsBreak!G:G,"",0),0)</f>
        <v/>
      </c>
      <c r="K58" s="310">
        <f t="shared" si="4"/>
        <v>46113</v>
      </c>
      <c r="L58" s="317">
        <f t="array" ref="L58">(XLOOKUP(D58,Roster!F:F,Roster!D:D,"",0))</f>
        <v>33</v>
      </c>
      <c r="M58" s="317" t="str">
        <f t="array" ref="M58">XLOOKUP(D58,Roster!F:F,Roster!E:E)</f>
        <v>Voice</v>
      </c>
      <c r="N58" s="317" t="str">
        <f t="shared" ref="N58:P58" si="63">LEFT(H58,5)</f>
        <v>Team </v>
      </c>
      <c r="O58" s="317" t="str">
        <f t="shared" si="63"/>
        <v>Team </v>
      </c>
      <c r="P58" s="317" t="str">
        <f t="shared" si="63"/>
        <v/>
      </c>
      <c r="Q58" s="318" t="str">
        <f t="shared" si="6"/>
        <v>#VALUE!</v>
      </c>
      <c r="R58" s="318" t="str">
        <f t="shared" si="7"/>
        <v>#VALUE!</v>
      </c>
      <c r="S58" s="318" t="str">
        <f t="shared" si="8"/>
        <v/>
      </c>
    </row>
    <row r="59">
      <c r="A59" s="14" t="str">
        <f t="shared" si="1"/>
        <v>C72046113</v>
      </c>
      <c r="B59" s="185" t="str">
        <f t="array" ref="B59">IF(F59="VL","",IF(F59="Free","Free",XLOOKUP(D59,Roster!T:T,Roster!S:S,"",0)))</f>
        <v/>
      </c>
      <c r="C59" s="313">
        <v>46113.0</v>
      </c>
      <c r="D59" s="314" t="s">
        <v>162</v>
      </c>
      <c r="E59" s="307" t="str">
        <f t="array" ref="E59">(XLOOKUP(D59,Roster!F:F,Roster!B:B,"",0))</f>
        <v>Juan Durango</v>
      </c>
      <c r="F59" s="315" t="str">
        <f t="array" ref="F59">IF(B59=100,"Free",TEXT(XLOOKUP($D59,OperationVoice!$A:$A,OperationVoice!G:G,XLOOKUP($D59,OperationTickets!$A:$A,OperationTickets!G:G,"",0)),"hh:mm"))</f>
        <v>08:00</v>
      </c>
      <c r="G59" s="309">
        <f t="shared" si="3"/>
        <v>0.7083333333</v>
      </c>
      <c r="H59" s="316">
        <f t="array" ref="H59">XLOOKUP(B59,Roster!L:L,Roster!N:N,XLOOKUP(D59,TicketsBreak!A:A,TicketsBreak!E:E,"",0),0)</f>
        <v>0.40625</v>
      </c>
      <c r="I59" s="316">
        <f t="array" ref="I59">XLOOKUP(B59,Roster!L:L,Roster!O:O,XLOOKUP(D59,TicketsBreak!A:A,TicketsBreak!F:F,"",0),0)</f>
        <v>0.5729166667</v>
      </c>
      <c r="J59" s="316">
        <f t="array" ref="J59">XLOOKUP(B59,Roster!L:L,Roster!P:P,XLOOKUP(D59,TicketsBreak!A:A,TicketsBreak!G:G,"",0),0)</f>
        <v>0.65625</v>
      </c>
      <c r="K59" s="310">
        <f t="shared" si="4"/>
        <v>46113</v>
      </c>
      <c r="L59" s="317">
        <f t="array" ref="L59">(XLOOKUP(D59,Roster!F:F,Roster!D:D,"",0))</f>
        <v>7</v>
      </c>
      <c r="M59" s="317" t="str">
        <f t="array" ref="M59">XLOOKUP(D59,Roster!F:F,Roster!E:E)</f>
        <v>Tickets</v>
      </c>
      <c r="N59" s="317" t="str">
        <f t="shared" ref="N59:P59" si="64">LEFT(H59,5)</f>
        <v>09:45</v>
      </c>
      <c r="O59" s="317" t="str">
        <f t="shared" si="64"/>
        <v>13:45</v>
      </c>
      <c r="P59" s="317" t="str">
        <f t="shared" si="64"/>
        <v>15:45</v>
      </c>
      <c r="Q59" s="318">
        <f t="shared" si="6"/>
        <v>46113.40625</v>
      </c>
      <c r="R59" s="318">
        <f t="shared" si="7"/>
        <v>46113.57292</v>
      </c>
      <c r="S59" s="318">
        <f t="shared" si="8"/>
        <v>46113.65625</v>
      </c>
    </row>
    <row r="60">
      <c r="A60" s="14" t="str">
        <f t="shared" si="1"/>
        <v>C59846113</v>
      </c>
      <c r="B60" s="185" t="str">
        <f t="array" ref="B60">IF(F60="VL","",IF(F60="Free","Free",XLOOKUP(D60,Roster!T:T,Roster!S:S,"",0)))</f>
        <v/>
      </c>
      <c r="C60" s="313">
        <v>46113.0</v>
      </c>
      <c r="D60" s="314" t="s">
        <v>314</v>
      </c>
      <c r="E60" s="307" t="str">
        <f t="array" ref="E60">(XLOOKUP(D60,Roster!F:F,Roster!B:B,"",0))</f>
        <v>Juan Fonnegra</v>
      </c>
      <c r="F60" s="315" t="str">
        <f t="array" ref="F60">IF(B60=100,"Free",TEXT(XLOOKUP($D60,OperationVoice!$A:$A,OperationVoice!G:G,XLOOKUP($D60,OperationTickets!$A:$A,OperationTickets!G:G,"",0)),"hh:mm"))</f>
        <v/>
      </c>
      <c r="G60" s="309" t="str">
        <f t="shared" si="3"/>
        <v/>
      </c>
      <c r="H60" s="316">
        <f t="array" ref="H60">XLOOKUP(B60,Roster!L:L,Roster!N:N,XLOOKUP(D60,TicketsBreak!A:A,TicketsBreak!E:E,"",0),0)</f>
        <v>0.4166666667</v>
      </c>
      <c r="I60" s="316">
        <f t="array" ref="I60">XLOOKUP(B60,Roster!L:L,Roster!O:O,XLOOKUP(D60,TicketsBreak!A:A,TicketsBreak!F:F,"",0),0)</f>
        <v>0.5208333333</v>
      </c>
      <c r="J60" s="316">
        <f t="array" ref="J60">XLOOKUP(B60,Roster!L:L,Roster!P:P,XLOOKUP(D60,TicketsBreak!A:A,TicketsBreak!G:G,"",0),0)</f>
        <v>0.65625</v>
      </c>
      <c r="K60" s="310">
        <f t="shared" si="4"/>
        <v>46113</v>
      </c>
      <c r="L60" s="317">
        <f t="array" ref="L60">(XLOOKUP(D60,Roster!F:F,Roster!D:D,"",0))</f>
        <v>1</v>
      </c>
      <c r="M60" s="317" t="str">
        <f t="array" ref="M60">XLOOKUP(D60,Roster!F:F,Roster!E:E)</f>
        <v>Tickets</v>
      </c>
      <c r="N60" s="317" t="str">
        <f t="shared" ref="N60:P60" si="65">LEFT(H60,5)</f>
        <v>10:00</v>
      </c>
      <c r="O60" s="317" t="str">
        <f t="shared" si="65"/>
        <v>12:30</v>
      </c>
      <c r="P60" s="317" t="str">
        <f t="shared" si="65"/>
        <v>15:45</v>
      </c>
      <c r="Q60" s="318">
        <f t="shared" si="6"/>
        <v>46113.41667</v>
      </c>
      <c r="R60" s="318">
        <f t="shared" si="7"/>
        <v>46113.52083</v>
      </c>
      <c r="S60" s="318">
        <f t="shared" si="8"/>
        <v>46113.65625</v>
      </c>
    </row>
    <row r="61">
      <c r="A61" s="14" t="str">
        <f t="shared" si="1"/>
        <v>C113946113</v>
      </c>
      <c r="B61" s="185">
        <f t="array" ref="B61">IF(F61="VL","",IF(F61="Free","Free",XLOOKUP(D61,Roster!T:T,Roster!S:S,"",0)))</f>
        <v>125</v>
      </c>
      <c r="C61" s="313">
        <v>46113.0</v>
      </c>
      <c r="D61" s="314" t="s">
        <v>45</v>
      </c>
      <c r="E61" s="307" t="str">
        <f t="array" ref="E61">(XLOOKUP(D61,Roster!F:F,Roster!B:B,"",0))</f>
        <v>Juan Largacha</v>
      </c>
      <c r="F61" s="315" t="str">
        <f t="array" ref="F61">IF(B61=100,"Free",TEXT(XLOOKUP($D61,OperationVoice!$A:$A,OperationVoice!G:G,XLOOKUP($D61,OperationTickets!$A:$A,OperationTickets!G:G,"",0)),"hh:mm"))</f>
        <v>08:00</v>
      </c>
      <c r="G61" s="309">
        <f t="shared" si="3"/>
        <v>0.7083333333</v>
      </c>
      <c r="H61" s="316" t="str">
        <f t="array" ref="H61">XLOOKUP(B61,Roster!L:L,Roster!N:N,XLOOKUP(D61,TicketsBreak!A:A,TicketsBreak!E:E,"",0),0)</f>
        <v>10:30 - 10:45</v>
      </c>
      <c r="I61" s="316" t="str">
        <f t="array" ref="I61">XLOOKUP(B61,Roster!L:L,Roster!O:O,XLOOKUP(D61,TicketsBreak!A:A,TicketsBreak!F:F,"",0),0)</f>
        <v>13:30 - 14:00</v>
      </c>
      <c r="J61" s="316" t="str">
        <f t="array" ref="J61">XLOOKUP(B61,Roster!L:L,Roster!P:P,XLOOKUP(D61,TicketsBreak!A:A,TicketsBreak!G:G,"",0),0)</f>
        <v>15:45 - 16:00</v>
      </c>
      <c r="K61" s="310">
        <f t="shared" si="4"/>
        <v>46113</v>
      </c>
      <c r="L61" s="317">
        <f t="array" ref="L61">(XLOOKUP(D61,Roster!F:F,Roster!D:D,"",0))</f>
        <v>22</v>
      </c>
      <c r="M61" s="317" t="str">
        <f t="array" ref="M61">XLOOKUP(D61,Roster!F:F,Roster!E:E)</f>
        <v>Voice</v>
      </c>
      <c r="N61" s="317" t="str">
        <f t="shared" ref="N61:P61" si="66">LEFT(H61,5)</f>
        <v>10:30</v>
      </c>
      <c r="O61" s="317" t="str">
        <f t="shared" si="66"/>
        <v>13:30</v>
      </c>
      <c r="P61" s="317" t="str">
        <f t="shared" si="66"/>
        <v>15:45</v>
      </c>
      <c r="Q61" s="318">
        <f t="shared" si="6"/>
        <v>46113.4375</v>
      </c>
      <c r="R61" s="318">
        <f t="shared" si="7"/>
        <v>46113.5625</v>
      </c>
      <c r="S61" s="318">
        <f t="shared" si="8"/>
        <v>46113.65625</v>
      </c>
    </row>
    <row r="62">
      <c r="A62" s="14" t="str">
        <f t="shared" si="1"/>
        <v>C156646113</v>
      </c>
      <c r="B62" s="185">
        <f t="array" ref="B62">IF(F62="VL","",IF(F62="Free","Free",XLOOKUP(D62,Roster!T:T,Roster!S:S,"",0)))</f>
        <v>124</v>
      </c>
      <c r="C62" s="313">
        <v>46113.0</v>
      </c>
      <c r="D62" s="314" t="s">
        <v>46</v>
      </c>
      <c r="E62" s="307" t="str">
        <f t="array" ref="E62">(XLOOKUP(D62,Roster!F:F,Roster!B:B,"",0))</f>
        <v>Juan Ocampo</v>
      </c>
      <c r="F62" s="315" t="str">
        <f t="array" ref="F62">IF(B62=100,"Free",TEXT(XLOOKUP($D62,OperationVoice!$A:$A,OperationVoice!G:G,XLOOKUP($D62,OperationTickets!$A:$A,OperationTickets!G:G,"",0)),"hh:mm"))</f>
        <v>11:00</v>
      </c>
      <c r="G62" s="309">
        <f t="shared" si="3"/>
        <v>0.8333333333</v>
      </c>
      <c r="H62" s="316" t="str">
        <f t="array" ref="H62">XLOOKUP(B62,Roster!L:L,Roster!N:N,XLOOKUP(D62,TicketsBreak!A:A,TicketsBreak!E:E,"",0),0)</f>
        <v>10:00 - 10:15</v>
      </c>
      <c r="I62" s="316" t="str">
        <f t="array" ref="I62">XLOOKUP(B62,Roster!L:L,Roster!O:O,XLOOKUP(D62,TicketsBreak!A:A,TicketsBreak!F:F,"",0),0)</f>
        <v>13:00 - 13:30</v>
      </c>
      <c r="J62" s="316" t="str">
        <f t="array" ref="J62">XLOOKUP(B62,Roster!L:L,Roster!P:P,XLOOKUP(D62,TicketsBreak!A:A,TicketsBreak!G:G,"",0),0)</f>
        <v>15:30 - 15:45</v>
      </c>
      <c r="K62" s="310">
        <f t="shared" si="4"/>
        <v>46113</v>
      </c>
      <c r="L62" s="317">
        <f t="array" ref="L62">(XLOOKUP(D62,Roster!F:F,Roster!D:D,"",0))</f>
        <v>38</v>
      </c>
      <c r="M62" s="317" t="str">
        <f t="array" ref="M62">XLOOKUP(D62,Roster!F:F,Roster!E:E)</f>
        <v>Voice</v>
      </c>
      <c r="N62" s="317" t="str">
        <f t="shared" ref="N62:P62" si="67">LEFT(H62,5)</f>
        <v>10:00</v>
      </c>
      <c r="O62" s="317" t="str">
        <f t="shared" si="67"/>
        <v>13:00</v>
      </c>
      <c r="P62" s="317" t="str">
        <f t="shared" si="67"/>
        <v>15:30</v>
      </c>
      <c r="Q62" s="318">
        <f t="shared" si="6"/>
        <v>46113.41667</v>
      </c>
      <c r="R62" s="318">
        <f t="shared" si="7"/>
        <v>46113.54167</v>
      </c>
      <c r="S62" s="318">
        <f t="shared" si="8"/>
        <v>46113.64583</v>
      </c>
    </row>
    <row r="63">
      <c r="A63" s="14" t="str">
        <f t="shared" si="1"/>
        <v>C148446113</v>
      </c>
      <c r="B63" s="185">
        <f t="array" ref="B63">IF(F63="VL","",IF(F63="Free","Free",XLOOKUP(D63,Roster!T:T,Roster!S:S,"",0)))</f>
        <v>126</v>
      </c>
      <c r="C63" s="313">
        <v>46113.0</v>
      </c>
      <c r="D63" s="314" t="s">
        <v>141</v>
      </c>
      <c r="E63" s="307" t="str">
        <f t="array" ref="E63">(XLOOKUP(D63,Roster!F:F,Roster!B:B,"",0))</f>
        <v>Juan Ospina</v>
      </c>
      <c r="F63" s="315" t="str">
        <f t="array" ref="F63">IF(B63=100,"Free",TEXT(XLOOKUP($D63,OperationVoice!$A:$A,OperationVoice!G:G,XLOOKUP($D63,OperationTickets!$A:$A,OperationTickets!G:G,"",0)),"hh:mm"))</f>
        <v>08:00</v>
      </c>
      <c r="G63" s="309">
        <f t="shared" si="3"/>
        <v>0.7083333333</v>
      </c>
      <c r="H63" s="316" t="str">
        <f t="array" ref="H63">XLOOKUP(B63,Roster!L:L,Roster!N:N,XLOOKUP(D63,TicketsBreak!A:A,TicketsBreak!E:E,"",0),0)</f>
        <v>10:45 - 11:00</v>
      </c>
      <c r="I63" s="316" t="str">
        <f t="array" ref="I63">XLOOKUP(B63,Roster!L:L,Roster!O:O,XLOOKUP(D63,TicketsBreak!A:A,TicketsBreak!F:F,"",0),0)</f>
        <v>14:00 - 14:30</v>
      </c>
      <c r="J63" s="316" t="str">
        <f t="array" ref="J63">XLOOKUP(B63,Roster!L:L,Roster!P:P,XLOOKUP(D63,TicketsBreak!A:A,TicketsBreak!G:G,"",0),0)</f>
        <v>15:45 - 16:00</v>
      </c>
      <c r="K63" s="310">
        <f t="shared" si="4"/>
        <v>46113</v>
      </c>
      <c r="L63" s="317">
        <f t="array" ref="L63">(XLOOKUP(D63,Roster!F:F,Roster!D:D,"",0))</f>
        <v>34</v>
      </c>
      <c r="M63" s="317" t="str">
        <f t="array" ref="M63">XLOOKUP(D63,Roster!F:F,Roster!E:E)</f>
        <v>Tickets</v>
      </c>
      <c r="N63" s="317" t="str">
        <f t="shared" ref="N63:P63" si="68">LEFT(H63,5)</f>
        <v>10:45</v>
      </c>
      <c r="O63" s="317" t="str">
        <f t="shared" si="68"/>
        <v>14:00</v>
      </c>
      <c r="P63" s="317" t="str">
        <f t="shared" si="68"/>
        <v>15:45</v>
      </c>
      <c r="Q63" s="318">
        <f t="shared" si="6"/>
        <v>46113.44792</v>
      </c>
      <c r="R63" s="318">
        <f t="shared" si="7"/>
        <v>46113.58333</v>
      </c>
      <c r="S63" s="318">
        <f t="shared" si="8"/>
        <v>46113.65625</v>
      </c>
    </row>
    <row r="64">
      <c r="A64" s="14" t="str">
        <f t="shared" si="1"/>
        <v>C141346113</v>
      </c>
      <c r="B64" s="185">
        <f t="array" ref="B64">IF(F64="VL","",IF(F64="Free","Free",XLOOKUP(D64,Roster!T:T,Roster!S:S,"",0)))</f>
        <v>121</v>
      </c>
      <c r="C64" s="313">
        <v>46113.0</v>
      </c>
      <c r="D64" s="314" t="s">
        <v>47</v>
      </c>
      <c r="E64" s="307" t="str">
        <f t="array" ref="E64">(XLOOKUP(D64,Roster!F:F,Roster!B:B,"",0))</f>
        <v>Juan Parra</v>
      </c>
      <c r="F64" s="315" t="str">
        <f t="array" ref="F64">IF(B64=100,"Free",TEXT(XLOOKUP($D64,OperationVoice!$A:$A,OperationVoice!G:G,XLOOKUP($D64,OperationTickets!$A:$A,OperationTickets!G:G,"",0)),"hh:mm"))</f>
        <v>08:00</v>
      </c>
      <c r="G64" s="309">
        <f t="shared" si="3"/>
        <v>0.7083333333</v>
      </c>
      <c r="H64" s="316" t="str">
        <f t="array" ref="H64">XLOOKUP(B64,Roster!L:L,Roster!N:N,XLOOKUP(D64,TicketsBreak!A:A,TicketsBreak!E:E,"",0),0)</f>
        <v>09:15 - 09:30</v>
      </c>
      <c r="I64" s="316" t="str">
        <f t="array" ref="I64">XLOOKUP(B64,Roster!L:L,Roster!O:O,XLOOKUP(D64,TicketsBreak!A:A,TicketsBreak!F:F,"",0),0)</f>
        <v>11:30 - 12:00</v>
      </c>
      <c r="J64" s="316" t="str">
        <f t="array" ref="J64">XLOOKUP(B64,Roster!L:L,Roster!P:P,XLOOKUP(D64,TicketsBreak!A:A,TicketsBreak!G:G,"",0),0)</f>
        <v>14:30 - 14:45</v>
      </c>
      <c r="K64" s="310">
        <f t="shared" si="4"/>
        <v>46113</v>
      </c>
      <c r="L64" s="317">
        <f t="array" ref="L64">(XLOOKUP(D64,Roster!F:F,Roster!D:D,"",0))</f>
        <v>32</v>
      </c>
      <c r="M64" s="317" t="str">
        <f t="array" ref="M64">XLOOKUP(D64,Roster!F:F,Roster!E:E)</f>
        <v>Voice</v>
      </c>
      <c r="N64" s="317" t="str">
        <f t="shared" ref="N64:P64" si="69">LEFT(H64,5)</f>
        <v>09:15</v>
      </c>
      <c r="O64" s="317" t="str">
        <f t="shared" si="69"/>
        <v>11:30</v>
      </c>
      <c r="P64" s="317" t="str">
        <f t="shared" si="69"/>
        <v>14:30</v>
      </c>
      <c r="Q64" s="318">
        <f t="shared" si="6"/>
        <v>46113.38542</v>
      </c>
      <c r="R64" s="318">
        <f t="shared" si="7"/>
        <v>46113.47917</v>
      </c>
      <c r="S64" s="318">
        <f t="shared" si="8"/>
        <v>46113.60417</v>
      </c>
    </row>
    <row r="65">
      <c r="A65" s="14" t="str">
        <f t="shared" si="1"/>
        <v>C132746113</v>
      </c>
      <c r="B65" s="185" t="str">
        <f t="array" ref="B65">IF(F65="VL","",IF(F65="Free","Free",XLOOKUP(D65,Roster!T:T,Roster!S:S,"",0)))</f>
        <v/>
      </c>
      <c r="C65" s="313">
        <v>46113.0</v>
      </c>
      <c r="D65" s="314" t="s">
        <v>163</v>
      </c>
      <c r="E65" s="307" t="str">
        <f t="array" ref="E65">(XLOOKUP(D65,Roster!F:F,Roster!B:B,"",0))</f>
        <v>Juan Restrepo</v>
      </c>
      <c r="F65" s="315" t="str">
        <f t="array" ref="F65">IF(B65=100,"Free",TEXT(XLOOKUP($D65,OperationVoice!$A:$A,OperationVoice!G:G,XLOOKUP($D65,OperationTickets!$A:$A,OperationTickets!G:G,"",0)),"hh:mm"))</f>
        <v>08:00</v>
      </c>
      <c r="G65" s="309">
        <f t="shared" si="3"/>
        <v>0.7083333333</v>
      </c>
      <c r="H65" s="316" t="str">
        <f t="array" ref="H65">XLOOKUP(B65,Roster!L:L,Roster!N:N,XLOOKUP(D65,TicketsBreak!A:A,TicketsBreak!E:E,"",0),0)</f>
        <v/>
      </c>
      <c r="I65" s="316" t="str">
        <f t="array" ref="I65">XLOOKUP(B65,Roster!L:L,Roster!O:O,XLOOKUP(D65,TicketsBreak!A:A,TicketsBreak!F:F,"",0),0)</f>
        <v/>
      </c>
      <c r="J65" s="316" t="str">
        <f t="array" ref="J65">XLOOKUP(B65,Roster!L:L,Roster!P:P,XLOOKUP(D65,TicketsBreak!A:A,TicketsBreak!G:G,"",0),0)</f>
        <v/>
      </c>
      <c r="K65" s="310">
        <f t="shared" si="4"/>
        <v>46113</v>
      </c>
      <c r="L65" s="317">
        <f t="array" ref="L65">(XLOOKUP(D65,Roster!F:F,Roster!D:D,"",0))</f>
        <v>29</v>
      </c>
      <c r="M65" s="317" t="str">
        <f t="array" ref="M65">XLOOKUP(D65,Roster!F:F,Roster!E:E)</f>
        <v>Tickets</v>
      </c>
      <c r="N65" s="317" t="str">
        <f t="shared" ref="N65:P65" si="70">LEFT(H65,5)</f>
        <v/>
      </c>
      <c r="O65" s="317" t="str">
        <f t="shared" si="70"/>
        <v/>
      </c>
      <c r="P65" s="317" t="str">
        <f t="shared" si="70"/>
        <v/>
      </c>
      <c r="Q65" s="318" t="str">
        <f t="shared" si="6"/>
        <v/>
      </c>
      <c r="R65" s="318" t="str">
        <f t="shared" si="7"/>
        <v/>
      </c>
      <c r="S65" s="318" t="str">
        <f t="shared" si="8"/>
        <v/>
      </c>
    </row>
    <row r="66">
      <c r="A66" s="14" t="str">
        <f t="shared" si="1"/>
        <v>C146946113</v>
      </c>
      <c r="B66" s="185">
        <f t="array" ref="B66">IF(F66="VL","",IF(F66="Free","Free",XLOOKUP(D66,Roster!T:T,Roster!S:S,"",0)))</f>
        <v>122</v>
      </c>
      <c r="C66" s="313">
        <v>46113.0</v>
      </c>
      <c r="D66" s="314" t="s">
        <v>48</v>
      </c>
      <c r="E66" s="307" t="str">
        <f t="array" ref="E66">(XLOOKUP(D66,Roster!F:F,Roster!B:B,"",0))</f>
        <v>Juan Restrepo Restrepo</v>
      </c>
      <c r="F66" s="315" t="str">
        <f t="array" ref="F66">IF(B66=100,"Free",TEXT(XLOOKUP($D66,OperationVoice!$A:$A,OperationVoice!G:G,XLOOKUP($D66,OperationTickets!$A:$A,OperationTickets!G:G,"",0)),"hh:mm"))</f>
        <v>08:00</v>
      </c>
      <c r="G66" s="309">
        <f t="shared" si="3"/>
        <v>0.7083333333</v>
      </c>
      <c r="H66" s="316" t="str">
        <f t="array" ref="H66">XLOOKUP(B66,Roster!L:L,Roster!N:N,XLOOKUP(D66,TicketsBreak!A:A,TicketsBreak!E:E,"",0),0)</f>
        <v>09:30 - 09:45</v>
      </c>
      <c r="I66" s="316" t="str">
        <f t="array" ref="I66">XLOOKUP(B66,Roster!L:L,Roster!O:O,XLOOKUP(D66,TicketsBreak!A:A,TicketsBreak!F:F,"",0),0)</f>
        <v>12:00 - 12:30</v>
      </c>
      <c r="J66" s="316" t="str">
        <f t="array" ref="J66">XLOOKUP(B66,Roster!L:L,Roster!P:P,XLOOKUP(D66,TicketsBreak!A:A,TicketsBreak!G:G,"",0),0)</f>
        <v>14:45 - 15:00</v>
      </c>
      <c r="K66" s="310">
        <f t="shared" si="4"/>
        <v>46113</v>
      </c>
      <c r="L66" s="317">
        <f t="array" ref="L66">(XLOOKUP(D66,Roster!F:F,Roster!D:D,"",0))</f>
        <v>33</v>
      </c>
      <c r="M66" s="317" t="str">
        <f t="array" ref="M66">XLOOKUP(D66,Roster!F:F,Roster!E:E)</f>
        <v>Voice</v>
      </c>
      <c r="N66" s="317" t="str">
        <f t="shared" ref="N66:P66" si="71">LEFT(H66,5)</f>
        <v>09:30</v>
      </c>
      <c r="O66" s="317" t="str">
        <f t="shared" si="71"/>
        <v>12:00</v>
      </c>
      <c r="P66" s="317" t="str">
        <f t="shared" si="71"/>
        <v>14:45</v>
      </c>
      <c r="Q66" s="318">
        <f t="shared" si="6"/>
        <v>46113.39583</v>
      </c>
      <c r="R66" s="318">
        <f t="shared" si="7"/>
        <v>46113.5</v>
      </c>
      <c r="S66" s="318">
        <f t="shared" si="8"/>
        <v>46113.61458</v>
      </c>
    </row>
    <row r="67">
      <c r="A67" s="14" t="str">
        <f t="shared" si="1"/>
        <v>C117146113</v>
      </c>
      <c r="B67" s="185" t="str">
        <f t="array" ref="B67">IF(F67="VL","",IF(F67="Free","Free",XLOOKUP(D67,Roster!T:T,Roster!S:S,"",0)))</f>
        <v/>
      </c>
      <c r="C67" s="313">
        <v>46113.0</v>
      </c>
      <c r="D67" s="314" t="s">
        <v>142</v>
      </c>
      <c r="E67" s="307" t="str">
        <f t="array" ref="E67">(XLOOKUP(D67,Roster!F:F,Roster!B:B,"",0))</f>
        <v>Juan Sanchez</v>
      </c>
      <c r="F67" s="315" t="str">
        <f t="array" ref="F67">IF(B67=100,"Free",TEXT(XLOOKUP($D67,OperationVoice!$A:$A,OperationVoice!G:G,XLOOKUP($D67,OperationTickets!$A:$A,OperationTickets!G:G,"",0)),"hh:mm"))</f>
        <v>08:00</v>
      </c>
      <c r="G67" s="309">
        <f t="shared" si="3"/>
        <v>0.7083333333</v>
      </c>
      <c r="H67" s="316" t="str">
        <f t="array" ref="H67">XLOOKUP(B67,Roster!L:L,Roster!N:N,XLOOKUP(D67,TicketsBreak!A:A,TicketsBreak!E:E,"",0),0)</f>
        <v/>
      </c>
      <c r="I67" s="316" t="str">
        <f t="array" ref="I67">XLOOKUP(B67,Roster!L:L,Roster!O:O,XLOOKUP(D67,TicketsBreak!A:A,TicketsBreak!F:F,"",0),0)</f>
        <v/>
      </c>
      <c r="J67" s="316" t="str">
        <f t="array" ref="J67">XLOOKUP(B67,Roster!L:L,Roster!P:P,XLOOKUP(D67,TicketsBreak!A:A,TicketsBreak!G:G,"",0),0)</f>
        <v/>
      </c>
      <c r="K67" s="310">
        <f t="shared" si="4"/>
        <v>46113</v>
      </c>
      <c r="L67" s="317">
        <f t="array" ref="L67">(XLOOKUP(D67,Roster!F:F,Roster!D:D,"",0))</f>
        <v>24</v>
      </c>
      <c r="M67" s="317" t="str">
        <f t="array" ref="M67">XLOOKUP(D67,Roster!F:F,Roster!E:E)</f>
        <v>Tickets</v>
      </c>
      <c r="N67" s="317" t="str">
        <f t="shared" ref="N67:P67" si="72">LEFT(H67,5)</f>
        <v/>
      </c>
      <c r="O67" s="317" t="str">
        <f t="shared" si="72"/>
        <v/>
      </c>
      <c r="P67" s="317" t="str">
        <f t="shared" si="72"/>
        <v/>
      </c>
      <c r="Q67" s="318" t="str">
        <f t="shared" si="6"/>
        <v/>
      </c>
      <c r="R67" s="318" t="str">
        <f t="shared" si="7"/>
        <v/>
      </c>
      <c r="S67" s="318" t="str">
        <f t="shared" si="8"/>
        <v/>
      </c>
    </row>
    <row r="68">
      <c r="A68" s="14" t="str">
        <f t="shared" si="1"/>
        <v>C74346113</v>
      </c>
      <c r="B68" s="185" t="str">
        <f t="array" ref="B68">IF(F68="VL","",IF(F68="Free","Free",XLOOKUP(D68,Roster!T:T,Roster!S:S,"",0)))</f>
        <v>Free</v>
      </c>
      <c r="C68" s="313">
        <v>46113.0</v>
      </c>
      <c r="D68" s="314" t="s">
        <v>164</v>
      </c>
      <c r="E68" s="307" t="str">
        <f t="array" ref="E68">(XLOOKUP(D68,Roster!F:F,Roster!B:B,"",0))</f>
        <v>Juan Suarez</v>
      </c>
      <c r="F68" s="315" t="str">
        <f t="array" ref="F68">IF(B68=100,"Free",TEXT(XLOOKUP($D68,OperationVoice!$A:$A,OperationVoice!G:G,XLOOKUP($D68,OperationTickets!$A:$A,OperationTickets!G:G,"",0)),"hh:mm"))</f>
        <v>Free</v>
      </c>
      <c r="G68" s="309" t="str">
        <f t="shared" si="3"/>
        <v>Free</v>
      </c>
      <c r="H68" s="316">
        <f t="array" ref="H68">XLOOKUP(B68,Roster!L:L,Roster!N:N,XLOOKUP(D68,TicketsBreak!A:A,TicketsBreak!E:E,"",0),0)</f>
        <v>0.3958333333</v>
      </c>
      <c r="I68" s="316">
        <f t="array" ref="I68">XLOOKUP(B68,Roster!L:L,Roster!O:O,XLOOKUP(D68,TicketsBreak!A:A,TicketsBreak!F:F,"",0),0)</f>
        <v>0.5208333333</v>
      </c>
      <c r="J68" s="316">
        <f t="array" ref="J68">XLOOKUP(B68,Roster!L:L,Roster!P:P,XLOOKUP(D68,TicketsBreak!A:A,TicketsBreak!G:G,"",0),0)</f>
        <v>0.6145833333</v>
      </c>
      <c r="K68" s="310">
        <f t="shared" si="4"/>
        <v>46113</v>
      </c>
      <c r="L68" s="317">
        <f t="array" ref="L68">(XLOOKUP(D68,Roster!F:F,Roster!D:D,"",0))</f>
        <v>8</v>
      </c>
      <c r="M68" s="317" t="str">
        <f t="array" ref="M68">XLOOKUP(D68,Roster!F:F,Roster!E:E)</f>
        <v>Tickets</v>
      </c>
      <c r="N68" s="317" t="str">
        <f t="shared" ref="N68:P68" si="73">LEFT(H68,5)</f>
        <v>09:30</v>
      </c>
      <c r="O68" s="317" t="str">
        <f t="shared" si="73"/>
        <v>12:30</v>
      </c>
      <c r="P68" s="317" t="str">
        <f t="shared" si="73"/>
        <v>14:45</v>
      </c>
      <c r="Q68" s="318">
        <f t="shared" si="6"/>
        <v>46113.39583</v>
      </c>
      <c r="R68" s="318">
        <f t="shared" si="7"/>
        <v>46113.52083</v>
      </c>
      <c r="S68" s="318">
        <f t="shared" si="8"/>
        <v>46113.61458</v>
      </c>
    </row>
    <row r="69">
      <c r="A69" s="14" t="str">
        <f t="shared" si="1"/>
        <v>C156846113</v>
      </c>
      <c r="B69" s="185">
        <f t="array" ref="B69">IF(F69="VL","",IF(F69="Free","Free",XLOOKUP(D69,Roster!T:T,Roster!S:S,"",0)))</f>
        <v>122</v>
      </c>
      <c r="C69" s="313">
        <v>46113.0</v>
      </c>
      <c r="D69" s="314" t="s">
        <v>49</v>
      </c>
      <c r="E69" s="307" t="str">
        <f t="array" ref="E69">(XLOOKUP(D69,Roster!F:F,Roster!B:B,"",0))</f>
        <v>Juan Zapata</v>
      </c>
      <c r="F69" s="315" t="str">
        <f t="array" ref="F69">IF(B69=100,"Free",TEXT(XLOOKUP($D69,OperationVoice!$A:$A,OperationVoice!G:G,XLOOKUP($D69,OperationTickets!$A:$A,OperationTickets!G:G,"",0)),"hh:mm"))</f>
        <v>08:00</v>
      </c>
      <c r="G69" s="309">
        <f t="shared" si="3"/>
        <v>0.7083333333</v>
      </c>
      <c r="H69" s="316" t="str">
        <f t="array" ref="H69">XLOOKUP(B69,Roster!L:L,Roster!N:N,XLOOKUP(D69,TicketsBreak!A:A,TicketsBreak!E:E,"",0),0)</f>
        <v>09:30 - 09:45</v>
      </c>
      <c r="I69" s="316" t="str">
        <f t="array" ref="I69">XLOOKUP(B69,Roster!L:L,Roster!O:O,XLOOKUP(D69,TicketsBreak!A:A,TicketsBreak!F:F,"",0),0)</f>
        <v>12:00 - 12:30</v>
      </c>
      <c r="J69" s="316" t="str">
        <f t="array" ref="J69">XLOOKUP(B69,Roster!L:L,Roster!P:P,XLOOKUP(D69,TicketsBreak!A:A,TicketsBreak!G:G,"",0),0)</f>
        <v>14:45 - 15:00</v>
      </c>
      <c r="K69" s="310">
        <f t="shared" si="4"/>
        <v>46113</v>
      </c>
      <c r="L69" s="317">
        <f t="array" ref="L69">(XLOOKUP(D69,Roster!F:F,Roster!D:D,"",0))</f>
        <v>38</v>
      </c>
      <c r="M69" s="317" t="str">
        <f t="array" ref="M69">XLOOKUP(D69,Roster!F:F,Roster!E:E)</f>
        <v>Voice</v>
      </c>
      <c r="N69" s="317" t="str">
        <f t="shared" ref="N69:P69" si="74">LEFT(H69,5)</f>
        <v>09:30</v>
      </c>
      <c r="O69" s="317" t="str">
        <f t="shared" si="74"/>
        <v>12:00</v>
      </c>
      <c r="P69" s="317" t="str">
        <f t="shared" si="74"/>
        <v>14:45</v>
      </c>
      <c r="Q69" s="318">
        <f t="shared" si="6"/>
        <v>46113.39583</v>
      </c>
      <c r="R69" s="318">
        <f t="shared" si="7"/>
        <v>46113.5</v>
      </c>
      <c r="S69" s="318">
        <f t="shared" si="8"/>
        <v>46113.61458</v>
      </c>
    </row>
    <row r="70">
      <c r="A70" s="14" t="str">
        <f t="shared" si="1"/>
        <v>C75546113</v>
      </c>
      <c r="B70" s="185" t="str">
        <f t="array" ref="B70">IF(F70="VL","",IF(F70="Free","Free",XLOOKUP(D70,Roster!T:T,Roster!S:S,"",0)))</f>
        <v/>
      </c>
      <c r="C70" s="313">
        <v>46113.0</v>
      </c>
      <c r="D70" s="314" t="s">
        <v>143</v>
      </c>
      <c r="E70" s="307" t="str">
        <f t="array" ref="E70">(XLOOKUP(D70,Roster!F:F,Roster!B:B,"",0))</f>
        <v>Julian Higuita</v>
      </c>
      <c r="F70" s="315" t="str">
        <f t="array" ref="F70">IF(B70=100,"Free",TEXT(XLOOKUP($D70,OperationVoice!$A:$A,OperationVoice!G:G,XLOOKUP($D70,OperationTickets!$A:$A,OperationTickets!G:G,"",0)),"hh:mm"))</f>
        <v>08:00</v>
      </c>
      <c r="G70" s="309">
        <f t="shared" si="3"/>
        <v>0.7083333333</v>
      </c>
      <c r="H70" s="316" t="str">
        <f t="array" ref="H70">XLOOKUP(B70,Roster!L:L,Roster!N:N,XLOOKUP(D70,TicketsBreak!A:A,TicketsBreak!E:E,"",0),0)</f>
        <v/>
      </c>
      <c r="I70" s="316" t="str">
        <f t="array" ref="I70">XLOOKUP(B70,Roster!L:L,Roster!O:O,XLOOKUP(D70,TicketsBreak!A:A,TicketsBreak!F:F,"",0),0)</f>
        <v/>
      </c>
      <c r="J70" s="316" t="str">
        <f t="array" ref="J70">XLOOKUP(B70,Roster!L:L,Roster!P:P,XLOOKUP(D70,TicketsBreak!A:A,TicketsBreak!G:G,"",0),0)</f>
        <v/>
      </c>
      <c r="K70" s="310">
        <f t="shared" si="4"/>
        <v>46113</v>
      </c>
      <c r="L70" s="317">
        <f t="array" ref="L70">(XLOOKUP(D70,Roster!F:F,Roster!D:D,"",0))</f>
        <v>35</v>
      </c>
      <c r="M70" s="317" t="str">
        <f t="array" ref="M70">XLOOKUP(D70,Roster!F:F,Roster!E:E)</f>
        <v>Tickets</v>
      </c>
      <c r="N70" s="317" t="str">
        <f t="shared" ref="N70:P70" si="75">LEFT(H70,5)</f>
        <v/>
      </c>
      <c r="O70" s="317" t="str">
        <f t="shared" si="75"/>
        <v/>
      </c>
      <c r="P70" s="317" t="str">
        <f t="shared" si="75"/>
        <v/>
      </c>
      <c r="Q70" s="318" t="str">
        <f t="shared" si="6"/>
        <v/>
      </c>
      <c r="R70" s="318" t="str">
        <f t="shared" si="7"/>
        <v/>
      </c>
      <c r="S70" s="318" t="str">
        <f t="shared" si="8"/>
        <v/>
      </c>
    </row>
    <row r="71">
      <c r="A71" s="14" t="str">
        <f t="shared" si="1"/>
        <v>C52546113</v>
      </c>
      <c r="B71" s="185" t="str">
        <f t="array" ref="B71">IF(F71="VL","",IF(F71="Free","Free",XLOOKUP(D71,Roster!T:T,Roster!S:S,"",0)))</f>
        <v/>
      </c>
      <c r="C71" s="313">
        <v>46113.0</v>
      </c>
      <c r="D71" s="314" t="s">
        <v>176</v>
      </c>
      <c r="E71" s="307" t="str">
        <f t="array" ref="E71">(XLOOKUP(D71,Roster!F:F,Roster!B:B,"",0))</f>
        <v>Julian Pineda</v>
      </c>
      <c r="F71" s="315" t="str">
        <f t="array" ref="F71">IF(B71=100,"Free",TEXT(XLOOKUP($D71,OperationVoice!$A:$A,OperationVoice!G:G,XLOOKUP($D71,OperationTickets!$A:$A,OperationTickets!G:G,"",0)),"hh:mm"))</f>
        <v>08:00</v>
      </c>
      <c r="G71" s="309">
        <f t="shared" si="3"/>
        <v>0.7083333333</v>
      </c>
      <c r="H71" s="316" t="str">
        <f t="array" ref="H71">XLOOKUP(B71,Roster!L:L,Roster!N:N,XLOOKUP(D71,TicketsBreak!A:A,TicketsBreak!E:E,"",0),0)</f>
        <v/>
      </c>
      <c r="I71" s="316" t="str">
        <f t="array" ref="I71">XLOOKUP(B71,Roster!L:L,Roster!O:O,XLOOKUP(D71,TicketsBreak!A:A,TicketsBreak!F:F,"",0),0)</f>
        <v/>
      </c>
      <c r="J71" s="316" t="str">
        <f t="array" ref="J71">XLOOKUP(B71,Roster!L:L,Roster!P:P,XLOOKUP(D71,TicketsBreak!A:A,TicketsBreak!G:G,"",0),0)</f>
        <v/>
      </c>
      <c r="K71" s="310">
        <f t="shared" si="4"/>
        <v>46113</v>
      </c>
      <c r="L71" s="317">
        <f t="array" ref="L71">(XLOOKUP(D71,Roster!F:F,Roster!D:D,"",0))</f>
        <v>35</v>
      </c>
      <c r="M71" s="317" t="str">
        <f t="array" ref="M71">XLOOKUP(D71,Roster!F:F,Roster!E:E)</f>
        <v>Tickets</v>
      </c>
      <c r="N71" s="317" t="str">
        <f t="shared" ref="N71:P71" si="76">LEFT(H71,5)</f>
        <v/>
      </c>
      <c r="O71" s="317" t="str">
        <f t="shared" si="76"/>
        <v/>
      </c>
      <c r="P71" s="317" t="str">
        <f t="shared" si="76"/>
        <v/>
      </c>
      <c r="Q71" s="318" t="str">
        <f t="shared" si="6"/>
        <v/>
      </c>
      <c r="R71" s="318" t="str">
        <f t="shared" si="7"/>
        <v/>
      </c>
      <c r="S71" s="318" t="str">
        <f t="shared" si="8"/>
        <v/>
      </c>
    </row>
    <row r="72">
      <c r="A72" s="14" t="str">
        <f t="shared" si="1"/>
        <v>C142746113</v>
      </c>
      <c r="B72" s="185">
        <f t="array" ref="B72">IF(F72="VL","",IF(F72="Free","Free",XLOOKUP(D72,Roster!T:T,Roster!S:S,"",0)))</f>
        <v>123</v>
      </c>
      <c r="C72" s="313">
        <v>46113.0</v>
      </c>
      <c r="D72" s="314" t="s">
        <v>50</v>
      </c>
      <c r="E72" s="307" t="str">
        <f t="array" ref="E72">(XLOOKUP(D72,Roster!F:F,Roster!B:B,"",0))</f>
        <v>Karen Lorena Martinez</v>
      </c>
      <c r="F72" s="315" t="str">
        <f t="array" ref="F72">IF(B72=100,"Free",TEXT(XLOOKUP($D72,OperationVoice!$A:$A,OperationVoice!G:G,XLOOKUP($D72,OperationTickets!$A:$A,OperationTickets!G:G,"",0)),"hh:mm"))</f>
        <v>08:00</v>
      </c>
      <c r="G72" s="309">
        <f t="shared" si="3"/>
        <v>0.7083333333</v>
      </c>
      <c r="H72" s="316" t="str">
        <f t="array" ref="H72">XLOOKUP(B72,Roster!L:L,Roster!N:N,XLOOKUP(D72,TicketsBreak!A:A,TicketsBreak!E:E,"",0),0)</f>
        <v>09:45 - 10:00 </v>
      </c>
      <c r="I72" s="316" t="str">
        <f t="array" ref="I72">XLOOKUP(B72,Roster!L:L,Roster!O:O,XLOOKUP(D72,TicketsBreak!A:A,TicketsBreak!F:F,"",0),0)</f>
        <v>12:30 - 13:00</v>
      </c>
      <c r="J72" s="316" t="str">
        <f t="array" ref="J72">XLOOKUP(B72,Roster!L:L,Roster!P:P,XLOOKUP(D72,TicketsBreak!A:A,TicketsBreak!G:G,"",0),0)</f>
        <v>15:00 - 15:15</v>
      </c>
      <c r="K72" s="310">
        <f t="shared" si="4"/>
        <v>46113</v>
      </c>
      <c r="L72" s="317">
        <f t="array" ref="L72">(XLOOKUP(D72,Roster!F:F,Roster!D:D,"",0))</f>
        <v>32</v>
      </c>
      <c r="M72" s="317" t="str">
        <f t="array" ref="M72">XLOOKUP(D72,Roster!F:F,Roster!E:E)</f>
        <v>Voice</v>
      </c>
      <c r="N72" s="317" t="str">
        <f t="shared" ref="N72:P72" si="77">LEFT(H72,5)</f>
        <v>09:45</v>
      </c>
      <c r="O72" s="317" t="str">
        <f t="shared" si="77"/>
        <v>12:30</v>
      </c>
      <c r="P72" s="317" t="str">
        <f t="shared" si="77"/>
        <v>15:00</v>
      </c>
      <c r="Q72" s="318">
        <f t="shared" si="6"/>
        <v>46113.40625</v>
      </c>
      <c r="R72" s="318">
        <f t="shared" si="7"/>
        <v>46113.52083</v>
      </c>
      <c r="S72" s="318">
        <f t="shared" si="8"/>
        <v>46113.625</v>
      </c>
    </row>
    <row r="73">
      <c r="A73" s="14" t="str">
        <f t="shared" si="1"/>
        <v>C57946113</v>
      </c>
      <c r="B73" s="185" t="str">
        <f t="array" ref="B73">IF(F73="VL","",IF(F73="Free","Free",XLOOKUP(D73,Roster!T:T,Roster!S:S,"",0)))</f>
        <v>Free</v>
      </c>
      <c r="C73" s="313">
        <v>46113.0</v>
      </c>
      <c r="D73" s="314" t="s">
        <v>144</v>
      </c>
      <c r="E73" s="307" t="str">
        <f t="array" ref="E73">(XLOOKUP(D73,Roster!F:F,Roster!B:B,"",0))</f>
        <v>Karen Martinez</v>
      </c>
      <c r="F73" s="315" t="str">
        <f t="array" ref="F73">IF(B73=100,"Free",TEXT(XLOOKUP($D73,OperationVoice!$A:$A,OperationVoice!G:G,XLOOKUP($D73,OperationTickets!$A:$A,OperationTickets!G:G,"",0)),"hh:mm"))</f>
        <v>Free</v>
      </c>
      <c r="G73" s="309" t="str">
        <f t="shared" si="3"/>
        <v>Free</v>
      </c>
      <c r="H73" s="316">
        <f t="array" ref="H73">XLOOKUP(B73,Roster!L:L,Roster!N:N,XLOOKUP(D73,TicketsBreak!A:A,TicketsBreak!E:E,"",0),0)</f>
        <v>0.4166666667</v>
      </c>
      <c r="I73" s="316">
        <f t="array" ref="I73">XLOOKUP(B73,Roster!L:L,Roster!O:O,XLOOKUP(D73,TicketsBreak!A:A,TicketsBreak!F:F,"",0),0)</f>
        <v>0.5</v>
      </c>
      <c r="J73" s="316">
        <f t="array" ref="J73">XLOOKUP(B73,Roster!L:L,Roster!P:P,XLOOKUP(D73,TicketsBreak!A:A,TicketsBreak!G:G,"",0),0)</f>
        <v>0.625</v>
      </c>
      <c r="K73" s="310">
        <f t="shared" si="4"/>
        <v>46113</v>
      </c>
      <c r="L73" s="317">
        <f t="array" ref="L73">(XLOOKUP(D73,Roster!F:F,Roster!D:D,"",0))</f>
        <v>4</v>
      </c>
      <c r="M73" s="317" t="str">
        <f t="array" ref="M73">XLOOKUP(D73,Roster!F:F,Roster!E:E)</f>
        <v>Tickets</v>
      </c>
      <c r="N73" s="317" t="str">
        <f t="shared" ref="N73:P73" si="78">LEFT(H73,5)</f>
        <v>10:00</v>
      </c>
      <c r="O73" s="317" t="str">
        <f t="shared" si="78"/>
        <v>12:00</v>
      </c>
      <c r="P73" s="317" t="str">
        <f t="shared" si="78"/>
        <v>15:00</v>
      </c>
      <c r="Q73" s="318">
        <f t="shared" si="6"/>
        <v>46113.41667</v>
      </c>
      <c r="R73" s="318">
        <f t="shared" si="7"/>
        <v>46113.5</v>
      </c>
      <c r="S73" s="318">
        <f t="shared" si="8"/>
        <v>46113.625</v>
      </c>
    </row>
    <row r="74">
      <c r="A74" s="14" t="str">
        <f t="shared" si="1"/>
        <v>C108646113</v>
      </c>
      <c r="B74" s="185" t="str">
        <f t="array" ref="B74">IF(F74="VL","",IF(F74="Free","Free",XLOOKUP(D74,Roster!T:T,Roster!S:S,"",0)))</f>
        <v>Free</v>
      </c>
      <c r="C74" s="313">
        <v>46113.0</v>
      </c>
      <c r="D74" s="314" t="s">
        <v>51</v>
      </c>
      <c r="E74" s="307" t="str">
        <f t="array" ref="E74">(XLOOKUP(D74,Roster!F:F,Roster!B:B,"",0))</f>
        <v>Karen Panqueva</v>
      </c>
      <c r="F74" s="315" t="str">
        <f t="array" ref="F74">IF(B74=100,"Free",TEXT(XLOOKUP($D74,OperationVoice!$A:$A,OperationVoice!G:G,XLOOKUP($D74,OperationTickets!$A:$A,OperationTickets!G:G,"",0)),"hh:mm"))</f>
        <v>Free</v>
      </c>
      <c r="G74" s="309" t="str">
        <f t="shared" si="3"/>
        <v>Free</v>
      </c>
      <c r="H74" s="316" t="str">
        <f t="array" ref="H74">XLOOKUP(B74,Roster!L:L,Roster!N:N,XLOOKUP(D74,TicketsBreak!A:A,TicketsBreak!E:E,"",0),0)</f>
        <v/>
      </c>
      <c r="I74" s="316" t="str">
        <f t="array" ref="I74">XLOOKUP(B74,Roster!L:L,Roster!O:O,XLOOKUP(D74,TicketsBreak!A:A,TicketsBreak!F:F,"",0),0)</f>
        <v/>
      </c>
      <c r="J74" s="316" t="str">
        <f t="array" ref="J74">XLOOKUP(B74,Roster!L:L,Roster!P:P,XLOOKUP(D74,TicketsBreak!A:A,TicketsBreak!G:G,"",0),0)</f>
        <v/>
      </c>
      <c r="K74" s="310">
        <f t="shared" si="4"/>
        <v>46113</v>
      </c>
      <c r="L74" s="317">
        <f t="array" ref="L74">(XLOOKUP(D74,Roster!F:F,Roster!D:D,"",0))</f>
        <v>19</v>
      </c>
      <c r="M74" s="317" t="str">
        <f t="array" ref="M74">XLOOKUP(D74,Roster!F:F,Roster!E:E)</f>
        <v>Voice</v>
      </c>
      <c r="N74" s="317" t="str">
        <f t="shared" ref="N74:P74" si="79">LEFT(H74,5)</f>
        <v/>
      </c>
      <c r="O74" s="317" t="str">
        <f t="shared" si="79"/>
        <v/>
      </c>
      <c r="P74" s="317" t="str">
        <f t="shared" si="79"/>
        <v/>
      </c>
      <c r="Q74" s="318" t="str">
        <f t="shared" si="6"/>
        <v/>
      </c>
      <c r="R74" s="318" t="str">
        <f t="shared" si="7"/>
        <v/>
      </c>
      <c r="S74" s="318" t="str">
        <f t="shared" si="8"/>
        <v/>
      </c>
    </row>
    <row r="75">
      <c r="A75" s="14" t="str">
        <f t="shared" si="1"/>
        <v>C149246113</v>
      </c>
      <c r="B75" s="185">
        <f t="array" ref="B75">IF(F75="VL","",IF(F75="Free","Free",XLOOKUP(D75,Roster!T:T,Roster!S:S,"",0)))</f>
        <v>125</v>
      </c>
      <c r="C75" s="313">
        <v>46113.0</v>
      </c>
      <c r="D75" s="314" t="s">
        <v>52</v>
      </c>
      <c r="E75" s="307" t="str">
        <f t="array" ref="E75">(XLOOKUP(D75,Roster!F:F,Roster!B:B,"",0))</f>
        <v>Karol Pineda</v>
      </c>
      <c r="F75" s="315" t="str">
        <f t="array" ref="F75">IF(B75=100,"Free",TEXT(XLOOKUP($D75,OperationVoice!$A:$A,OperationVoice!G:G,XLOOKUP($D75,OperationTickets!$A:$A,OperationTickets!G:G,"",0)),"hh:mm"))</f>
        <v>08:00</v>
      </c>
      <c r="G75" s="309">
        <f t="shared" si="3"/>
        <v>0.7083333333</v>
      </c>
      <c r="H75" s="316" t="str">
        <f t="array" ref="H75">XLOOKUP(B75,Roster!L:L,Roster!N:N,XLOOKUP(D75,TicketsBreak!A:A,TicketsBreak!E:E,"",0),0)</f>
        <v>10:30 - 10:45</v>
      </c>
      <c r="I75" s="316" t="str">
        <f t="array" ref="I75">XLOOKUP(B75,Roster!L:L,Roster!O:O,XLOOKUP(D75,TicketsBreak!A:A,TicketsBreak!F:F,"",0),0)</f>
        <v>13:30 - 14:00</v>
      </c>
      <c r="J75" s="316" t="str">
        <f t="array" ref="J75">XLOOKUP(B75,Roster!L:L,Roster!P:P,XLOOKUP(D75,TicketsBreak!A:A,TicketsBreak!G:G,"",0),0)</f>
        <v>15:45 - 16:00</v>
      </c>
      <c r="K75" s="310">
        <f t="shared" si="4"/>
        <v>46113</v>
      </c>
      <c r="L75" s="317">
        <f t="array" ref="L75">(XLOOKUP(D75,Roster!F:F,Roster!D:D,"",0))</f>
        <v>34</v>
      </c>
      <c r="M75" s="317" t="str">
        <f t="array" ref="M75">XLOOKUP(D75,Roster!F:F,Roster!E:E)</f>
        <v>Voice</v>
      </c>
      <c r="N75" s="317" t="str">
        <f t="shared" ref="N75:P75" si="80">LEFT(H75,5)</f>
        <v>10:30</v>
      </c>
      <c r="O75" s="317" t="str">
        <f t="shared" si="80"/>
        <v>13:30</v>
      </c>
      <c r="P75" s="317" t="str">
        <f t="shared" si="80"/>
        <v>15:45</v>
      </c>
      <c r="Q75" s="318">
        <f t="shared" si="6"/>
        <v>46113.4375</v>
      </c>
      <c r="R75" s="318">
        <f t="shared" si="7"/>
        <v>46113.5625</v>
      </c>
      <c r="S75" s="318">
        <f t="shared" si="8"/>
        <v>46113.65625</v>
      </c>
    </row>
    <row r="76">
      <c r="A76" s="14" t="str">
        <f t="shared" si="1"/>
        <v>C65846113</v>
      </c>
      <c r="B76" s="185">
        <f t="array" ref="B76">IF(F76="VL","",IF(F76="Free","Free",XLOOKUP(D76,Roster!T:T,Roster!S:S,"",0)))</f>
        <v>112</v>
      </c>
      <c r="C76" s="313">
        <v>46113.0</v>
      </c>
      <c r="D76" s="314" t="s">
        <v>53</v>
      </c>
      <c r="E76" s="307" t="str">
        <f t="array" ref="E76">(XLOOKUP(D76,Roster!F:F,Roster!B:B,"",0))</f>
        <v>Kennedy Giraldo</v>
      </c>
      <c r="F76" s="315" t="str">
        <f t="array" ref="F76">IF(B76=100,"Free",TEXT(XLOOKUP($D76,OperationVoice!$A:$A,OperationVoice!G:G,XLOOKUP($D76,OperationTickets!$A:$A,OperationTickets!G:G,"",0)),"hh:mm"))</f>
        <v>07:00</v>
      </c>
      <c r="G76" s="309">
        <f t="shared" si="3"/>
        <v>0.6666666667</v>
      </c>
      <c r="H76" s="316" t="str">
        <f t="array" ref="H76">XLOOKUP(B76,Roster!L:L,Roster!N:N,XLOOKUP(D76,TicketsBreak!A:A,TicketsBreak!E:E,"",0),0)</f>
        <v>09:30 - 09:45</v>
      </c>
      <c r="I76" s="316" t="str">
        <f t="array" ref="I76">XLOOKUP(B76,Roster!L:L,Roster!O:O,XLOOKUP(D76,TicketsBreak!A:A,TicketsBreak!F:F,"",0),0)</f>
        <v>12:15 - 12:45</v>
      </c>
      <c r="J76" s="316" t="str">
        <f t="array" ref="J76">XLOOKUP(B76,Roster!L:L,Roster!P:P,XLOOKUP(D76,TicketsBreak!A:A,TicketsBreak!G:G,"",0),0)</f>
        <v>14:45 - 15:00</v>
      </c>
      <c r="K76" s="310">
        <f t="shared" si="4"/>
        <v>46113</v>
      </c>
      <c r="L76" s="317">
        <f t="array" ref="L76">(XLOOKUP(D76,Roster!F:F,Roster!D:D,"",0))</f>
        <v>2</v>
      </c>
      <c r="M76" s="317" t="str">
        <f t="array" ref="M76">XLOOKUP(D76,Roster!F:F,Roster!E:E)</f>
        <v>Voice</v>
      </c>
      <c r="N76" s="317" t="str">
        <f t="shared" ref="N76:P76" si="81">LEFT(H76,5)</f>
        <v>09:30</v>
      </c>
      <c r="O76" s="317" t="str">
        <f t="shared" si="81"/>
        <v>12:15</v>
      </c>
      <c r="P76" s="317" t="str">
        <f t="shared" si="81"/>
        <v>14:45</v>
      </c>
      <c r="Q76" s="318">
        <f t="shared" si="6"/>
        <v>46113.39583</v>
      </c>
      <c r="R76" s="318">
        <f t="shared" si="7"/>
        <v>46113.51042</v>
      </c>
      <c r="S76" s="318">
        <f t="shared" si="8"/>
        <v>46113.61458</v>
      </c>
    </row>
    <row r="77">
      <c r="A77" s="14" t="str">
        <f t="shared" si="1"/>
        <v>C151446113</v>
      </c>
      <c r="B77" s="185">
        <f t="array" ref="B77">IF(F77="VL","",IF(F77="Free","Free",XLOOKUP(D77,Roster!T:T,Roster!S:S,"",0)))</f>
        <v>122</v>
      </c>
      <c r="C77" s="313">
        <v>46113.0</v>
      </c>
      <c r="D77" s="314" t="s">
        <v>54</v>
      </c>
      <c r="E77" s="307" t="str">
        <f t="array" ref="E77">(XLOOKUP(D77,Roster!F:F,Roster!B:B,"",0))</f>
        <v>Kevin Betancur</v>
      </c>
      <c r="F77" s="315" t="str">
        <f t="array" ref="F77">IF(B77=100,"Free",TEXT(XLOOKUP($D77,OperationVoice!$A:$A,OperationVoice!G:G,XLOOKUP($D77,OperationTickets!$A:$A,OperationTickets!G:G,"",0)),"hh:mm"))</f>
        <v>08:00</v>
      </c>
      <c r="G77" s="309">
        <f t="shared" si="3"/>
        <v>0.7083333333</v>
      </c>
      <c r="H77" s="316" t="str">
        <f t="array" ref="H77">XLOOKUP(B77,Roster!L:L,Roster!N:N,XLOOKUP(D77,TicketsBreak!A:A,TicketsBreak!E:E,"",0),0)</f>
        <v>09:30 - 09:45</v>
      </c>
      <c r="I77" s="316" t="str">
        <f t="array" ref="I77">XLOOKUP(B77,Roster!L:L,Roster!O:O,XLOOKUP(D77,TicketsBreak!A:A,TicketsBreak!F:F,"",0),0)</f>
        <v>12:00 - 12:30</v>
      </c>
      <c r="J77" s="316" t="str">
        <f t="array" ref="J77">XLOOKUP(B77,Roster!L:L,Roster!P:P,XLOOKUP(D77,TicketsBreak!A:A,TicketsBreak!G:G,"",0),0)</f>
        <v>14:45 - 15:00</v>
      </c>
      <c r="K77" s="310">
        <f t="shared" si="4"/>
        <v>46113</v>
      </c>
      <c r="L77" s="317">
        <f t="array" ref="L77">(XLOOKUP(D77,Roster!F:F,Roster!D:D,"",0))</f>
        <v>35</v>
      </c>
      <c r="M77" s="317" t="str">
        <f t="array" ref="M77">XLOOKUP(D77,Roster!F:F,Roster!E:E)</f>
        <v>Voice</v>
      </c>
      <c r="N77" s="317" t="str">
        <f t="shared" ref="N77:P77" si="82">LEFT(H77,5)</f>
        <v>09:30</v>
      </c>
      <c r="O77" s="317" t="str">
        <f t="shared" si="82"/>
        <v>12:00</v>
      </c>
      <c r="P77" s="317" t="str">
        <f t="shared" si="82"/>
        <v>14:45</v>
      </c>
      <c r="Q77" s="318">
        <f t="shared" si="6"/>
        <v>46113.39583</v>
      </c>
      <c r="R77" s="318">
        <f t="shared" si="7"/>
        <v>46113.5</v>
      </c>
      <c r="S77" s="318">
        <f t="shared" si="8"/>
        <v>46113.61458</v>
      </c>
    </row>
    <row r="78">
      <c r="A78" s="14" t="str">
        <f t="shared" si="1"/>
        <v>C157146113</v>
      </c>
      <c r="B78" s="185">
        <f t="array" ref="B78">IF(F78="VL","",IF(F78="Free","Free",XLOOKUP(D78,Roster!T:T,Roster!S:S,"",0)))</f>
        <v>123</v>
      </c>
      <c r="C78" s="313">
        <v>46113.0</v>
      </c>
      <c r="D78" s="314" t="s">
        <v>55</v>
      </c>
      <c r="E78" s="307" t="str">
        <f t="array" ref="E78">(XLOOKUP(D78,Roster!F:F,Roster!B:B,"",0))</f>
        <v>Laura Chamorro</v>
      </c>
      <c r="F78" s="315" t="str">
        <f t="array" ref="F78">IF(B78=100,"Free",TEXT(XLOOKUP($D78,OperationVoice!$A:$A,OperationVoice!G:G,XLOOKUP($D78,OperationTickets!$A:$A,OperationTickets!G:G,"",0)),"hh:mm"))</f>
        <v>08:00</v>
      </c>
      <c r="G78" s="309">
        <f t="shared" si="3"/>
        <v>0.7083333333</v>
      </c>
      <c r="H78" s="316" t="str">
        <f t="array" ref="H78">XLOOKUP(B78,Roster!L:L,Roster!N:N,XLOOKUP(D78,TicketsBreak!A:A,TicketsBreak!E:E,"",0),0)</f>
        <v>09:45 - 10:00 </v>
      </c>
      <c r="I78" s="316" t="str">
        <f t="array" ref="I78">XLOOKUP(B78,Roster!L:L,Roster!O:O,XLOOKUP(D78,TicketsBreak!A:A,TicketsBreak!F:F,"",0),0)</f>
        <v>12:30 - 13:00</v>
      </c>
      <c r="J78" s="316" t="str">
        <f t="array" ref="J78">XLOOKUP(B78,Roster!L:L,Roster!P:P,XLOOKUP(D78,TicketsBreak!A:A,TicketsBreak!G:G,"",0),0)</f>
        <v>15:00 - 15:15</v>
      </c>
      <c r="K78" s="310">
        <f t="shared" si="4"/>
        <v>46113</v>
      </c>
      <c r="L78" s="317">
        <f t="array" ref="L78">(XLOOKUP(D78,Roster!F:F,Roster!D:D,"",0))</f>
        <v>38</v>
      </c>
      <c r="M78" s="317" t="str">
        <f t="array" ref="M78">XLOOKUP(D78,Roster!F:F,Roster!E:E)</f>
        <v>Voice</v>
      </c>
      <c r="N78" s="317" t="str">
        <f t="shared" ref="N78:P78" si="83">LEFT(H78,5)</f>
        <v>09:45</v>
      </c>
      <c r="O78" s="317" t="str">
        <f t="shared" si="83"/>
        <v>12:30</v>
      </c>
      <c r="P78" s="317" t="str">
        <f t="shared" si="83"/>
        <v>15:00</v>
      </c>
      <c r="Q78" s="318">
        <f t="shared" si="6"/>
        <v>46113.40625</v>
      </c>
      <c r="R78" s="318">
        <f t="shared" si="7"/>
        <v>46113.52083</v>
      </c>
      <c r="S78" s="318">
        <f t="shared" si="8"/>
        <v>46113.625</v>
      </c>
    </row>
    <row r="79">
      <c r="A79" s="14" t="str">
        <f t="shared" si="1"/>
        <v>C53446113</v>
      </c>
      <c r="B79" s="185" t="str">
        <f t="array" ref="B79">IF(F79="VL","",IF(F79="Free","Free",XLOOKUP(D79,Roster!T:T,Roster!S:S,"",0)))</f>
        <v>Free</v>
      </c>
      <c r="C79" s="313">
        <v>46113.0</v>
      </c>
      <c r="D79" s="314" t="s">
        <v>177</v>
      </c>
      <c r="E79" s="307" t="str">
        <f t="array" ref="E79">(XLOOKUP(D79,Roster!F:F,Roster!B:B,"",0))</f>
        <v>Leandry La Rosa</v>
      </c>
      <c r="F79" s="315" t="str">
        <f t="array" ref="F79">IF(B79=100,"Free",TEXT(XLOOKUP($D79,OperationVoice!$A:$A,OperationVoice!G:G,XLOOKUP($D79,OperationTickets!$A:$A,OperationTickets!G:G,"",0)),"hh:mm"))</f>
        <v>Free</v>
      </c>
      <c r="G79" s="309" t="str">
        <f t="shared" si="3"/>
        <v>Free</v>
      </c>
      <c r="H79" s="316">
        <f t="array" ref="H79">XLOOKUP(B79,Roster!L:L,Roster!N:N,XLOOKUP(D79,TicketsBreak!A:A,TicketsBreak!E:E,"",0),0)</f>
        <v>0.40625</v>
      </c>
      <c r="I79" s="316">
        <f t="array" ref="I79">XLOOKUP(B79,Roster!L:L,Roster!O:O,XLOOKUP(D79,TicketsBreak!A:A,TicketsBreak!F:F,"",0),0)</f>
        <v>0.5416666667</v>
      </c>
      <c r="J79" s="316">
        <f t="array" ref="J79">XLOOKUP(B79,Roster!L:L,Roster!P:P,XLOOKUP(D79,TicketsBreak!A:A,TicketsBreak!G:G,"",0),0)</f>
        <v>0.65625</v>
      </c>
      <c r="K79" s="310">
        <f t="shared" si="4"/>
        <v>46113</v>
      </c>
      <c r="L79" s="317">
        <f t="array" ref="L79">(XLOOKUP(D79,Roster!F:F,Roster!D:D,"",0))</f>
        <v>1</v>
      </c>
      <c r="M79" s="317" t="str">
        <f t="array" ref="M79">XLOOKUP(D79,Roster!F:F,Roster!E:E)</f>
        <v>Tickets</v>
      </c>
      <c r="N79" s="317" t="str">
        <f t="shared" ref="N79:P79" si="84">LEFT(H79,5)</f>
        <v>09:45</v>
      </c>
      <c r="O79" s="317" t="str">
        <f t="shared" si="84"/>
        <v>13:00</v>
      </c>
      <c r="P79" s="317" t="str">
        <f t="shared" si="84"/>
        <v>15:45</v>
      </c>
      <c r="Q79" s="318">
        <f t="shared" si="6"/>
        <v>46113.40625</v>
      </c>
      <c r="R79" s="318">
        <f t="shared" si="7"/>
        <v>46113.54167</v>
      </c>
      <c r="S79" s="318">
        <f t="shared" si="8"/>
        <v>46113.65625</v>
      </c>
    </row>
    <row r="80">
      <c r="A80" s="14" t="str">
        <f t="shared" si="1"/>
        <v>C157846113</v>
      </c>
      <c r="B80" s="185">
        <f t="array" ref="B80">IF(F80="VL","",IF(F80="Free","Free",XLOOKUP(D80,Roster!T:T,Roster!S:S,"",0)))</f>
        <v>125</v>
      </c>
      <c r="C80" s="313">
        <v>46113.0</v>
      </c>
      <c r="D80" s="314" t="s">
        <v>56</v>
      </c>
      <c r="E80" s="307" t="str">
        <f t="array" ref="E80">(XLOOKUP(D80,Roster!F:F,Roster!B:B,"",0))</f>
        <v>Leonerrichi Caicedo</v>
      </c>
      <c r="F80" s="315" t="str">
        <f t="array" ref="F80">IF(B80=100,"Free",TEXT(XLOOKUP($D80,OperationVoice!$A:$A,OperationVoice!G:G,XLOOKUP($D80,OperationTickets!$A:$A,OperationTickets!G:G,"",0)),"hh:mm"))</f>
        <v>08:00</v>
      </c>
      <c r="G80" s="309">
        <f t="shared" si="3"/>
        <v>0.7083333333</v>
      </c>
      <c r="H80" s="316" t="str">
        <f t="array" ref="H80">XLOOKUP(B80,Roster!L:L,Roster!N:N,XLOOKUP(D80,TicketsBreak!A:A,TicketsBreak!E:E,"",0),0)</f>
        <v>10:30 - 10:45</v>
      </c>
      <c r="I80" s="316" t="str">
        <f t="array" ref="I80">XLOOKUP(B80,Roster!L:L,Roster!O:O,XLOOKUP(D80,TicketsBreak!A:A,TicketsBreak!F:F,"",0),0)</f>
        <v>13:30 - 14:00</v>
      </c>
      <c r="J80" s="316" t="str">
        <f t="array" ref="J80">XLOOKUP(B80,Roster!L:L,Roster!P:P,XLOOKUP(D80,TicketsBreak!A:A,TicketsBreak!G:G,"",0),0)</f>
        <v>15:45 - 16:00</v>
      </c>
      <c r="K80" s="310">
        <f t="shared" si="4"/>
        <v>46113</v>
      </c>
      <c r="L80" s="317">
        <f t="array" ref="L80">(XLOOKUP(D80,Roster!F:F,Roster!D:D,"",0))</f>
        <v>38</v>
      </c>
      <c r="M80" s="317" t="str">
        <f t="array" ref="M80">XLOOKUP(D80,Roster!F:F,Roster!E:E)</f>
        <v>Voice</v>
      </c>
      <c r="N80" s="317" t="str">
        <f t="shared" ref="N80:P80" si="85">LEFT(H80,5)</f>
        <v>10:30</v>
      </c>
      <c r="O80" s="317" t="str">
        <f t="shared" si="85"/>
        <v>13:30</v>
      </c>
      <c r="P80" s="317" t="str">
        <f t="shared" si="85"/>
        <v>15:45</v>
      </c>
      <c r="Q80" s="318">
        <f t="shared" si="6"/>
        <v>46113.4375</v>
      </c>
      <c r="R80" s="318">
        <f t="shared" si="7"/>
        <v>46113.5625</v>
      </c>
      <c r="S80" s="318">
        <f t="shared" si="8"/>
        <v>46113.65625</v>
      </c>
    </row>
    <row r="81">
      <c r="A81" s="14" t="str">
        <f t="shared" si="1"/>
        <v>C53546113</v>
      </c>
      <c r="B81" s="185" t="str">
        <f t="array" ref="B81">IF(F81="VL","",IF(F81="Free","Free",XLOOKUP(D81,Roster!T:T,Roster!S:S,"",0)))</f>
        <v/>
      </c>
      <c r="C81" s="313">
        <v>46113.0</v>
      </c>
      <c r="D81" s="314" t="s">
        <v>145</v>
      </c>
      <c r="E81" s="307" t="str">
        <f t="array" ref="E81">(XLOOKUP(D81,Roster!F:F,Roster!B:B,"",0))</f>
        <v>Lina Cadena</v>
      </c>
      <c r="F81" s="315" t="str">
        <f t="array" ref="F81">IF(B81=100,"Free",TEXT(XLOOKUP($D81,OperationVoice!$A:$A,OperationVoice!G:G,XLOOKUP($D81,OperationTickets!$A:$A,OperationTickets!G:G,"",0)),"hh:mm"))</f>
        <v>08:00</v>
      </c>
      <c r="G81" s="309">
        <f t="shared" si="3"/>
        <v>0.7083333333</v>
      </c>
      <c r="H81" s="316">
        <f t="array" ref="H81">XLOOKUP(B81,Roster!L:L,Roster!N:N,XLOOKUP(D81,TicketsBreak!A:A,TicketsBreak!E:E,"",0),0)</f>
        <v>0.3854166667</v>
      </c>
      <c r="I81" s="316">
        <f t="array" ref="I81">XLOOKUP(B81,Roster!L:L,Roster!O:O,XLOOKUP(D81,TicketsBreak!A:A,TicketsBreak!F:F,"",0),0)</f>
        <v>0.5833333333</v>
      </c>
      <c r="J81" s="316">
        <f t="array" ref="J81">XLOOKUP(B81,Roster!L:L,Roster!P:P,XLOOKUP(D81,TicketsBreak!A:A,TicketsBreak!G:G,"",0),0)</f>
        <v>0.6458333333</v>
      </c>
      <c r="K81" s="310">
        <f t="shared" si="4"/>
        <v>46113</v>
      </c>
      <c r="L81" s="317">
        <f t="array" ref="L81">(XLOOKUP(D81,Roster!F:F,Roster!D:D,"",0))</f>
        <v>2</v>
      </c>
      <c r="M81" s="317" t="str">
        <f t="array" ref="M81">XLOOKUP(D81,Roster!F:F,Roster!E:E)</f>
        <v>Tickets</v>
      </c>
      <c r="N81" s="317" t="str">
        <f t="shared" ref="N81:P81" si="86">LEFT(H81,5)</f>
        <v>09:15</v>
      </c>
      <c r="O81" s="317" t="str">
        <f t="shared" si="86"/>
        <v>14:00</v>
      </c>
      <c r="P81" s="317" t="str">
        <f t="shared" si="86"/>
        <v>15:30</v>
      </c>
      <c r="Q81" s="318">
        <f t="shared" si="6"/>
        <v>46113.38542</v>
      </c>
      <c r="R81" s="318">
        <f t="shared" si="7"/>
        <v>46113.58333</v>
      </c>
      <c r="S81" s="318">
        <f t="shared" si="8"/>
        <v>46113.64583</v>
      </c>
    </row>
    <row r="82">
      <c r="A82" s="14" t="str">
        <f t="shared" si="1"/>
        <v>C151746113</v>
      </c>
      <c r="B82" s="185">
        <f t="array" ref="B82">IF(F82="VL","",IF(F82="Free","Free",XLOOKUP(D82,Roster!T:T,Roster!S:S,"",0)))</f>
        <v>124</v>
      </c>
      <c r="C82" s="313">
        <v>46113.0</v>
      </c>
      <c r="D82" s="314" t="s">
        <v>57</v>
      </c>
      <c r="E82" s="307" t="str">
        <f t="array" ref="E82">(XLOOKUP(D82,Roster!F:F,Roster!B:B,"",0))</f>
        <v>Lisandro Alvarado</v>
      </c>
      <c r="F82" s="315" t="str">
        <f t="array" ref="F82">IF(B82=100,"Free",TEXT(XLOOKUP($D82,OperationVoice!$A:$A,OperationVoice!G:G,XLOOKUP($D82,OperationTickets!$A:$A,OperationTickets!G:G,"",0)),"hh:mm"))</f>
        <v>08:00</v>
      </c>
      <c r="G82" s="309">
        <f t="shared" si="3"/>
        <v>0.7083333333</v>
      </c>
      <c r="H82" s="316" t="str">
        <f t="array" ref="H82">XLOOKUP(B82,Roster!L:L,Roster!N:N,XLOOKUP(D82,TicketsBreak!A:A,TicketsBreak!E:E,"",0),0)</f>
        <v>10:00 - 10:15</v>
      </c>
      <c r="I82" s="316" t="str">
        <f t="array" ref="I82">XLOOKUP(B82,Roster!L:L,Roster!O:O,XLOOKUP(D82,TicketsBreak!A:A,TicketsBreak!F:F,"",0),0)</f>
        <v>13:00 - 13:30</v>
      </c>
      <c r="J82" s="316" t="str">
        <f t="array" ref="J82">XLOOKUP(B82,Roster!L:L,Roster!P:P,XLOOKUP(D82,TicketsBreak!A:A,TicketsBreak!G:G,"",0),0)</f>
        <v>15:30 - 15:45</v>
      </c>
      <c r="K82" s="310">
        <f t="shared" si="4"/>
        <v>46113</v>
      </c>
      <c r="L82" s="317">
        <f t="array" ref="L82">(XLOOKUP(D82,Roster!F:F,Roster!D:D,"",0))</f>
        <v>35</v>
      </c>
      <c r="M82" s="317" t="str">
        <f t="array" ref="M82">XLOOKUP(D82,Roster!F:F,Roster!E:E)</f>
        <v>Voice</v>
      </c>
      <c r="N82" s="317" t="str">
        <f t="shared" ref="N82:P82" si="87">LEFT(H82,5)</f>
        <v>10:00</v>
      </c>
      <c r="O82" s="317" t="str">
        <f t="shared" si="87"/>
        <v>13:00</v>
      </c>
      <c r="P82" s="317" t="str">
        <f t="shared" si="87"/>
        <v>15:30</v>
      </c>
      <c r="Q82" s="318">
        <f t="shared" si="6"/>
        <v>46113.41667</v>
      </c>
      <c r="R82" s="318">
        <f t="shared" si="7"/>
        <v>46113.54167</v>
      </c>
      <c r="S82" s="318">
        <f t="shared" si="8"/>
        <v>46113.64583</v>
      </c>
    </row>
    <row r="83">
      <c r="A83" s="14" t="str">
        <f t="shared" si="1"/>
        <v>C143346113</v>
      </c>
      <c r="B83" s="185">
        <f t="array" ref="B83">IF(F83="VL","",IF(F83="Free","Free",XLOOKUP(D83,Roster!T:T,Roster!S:S,"",0)))</f>
        <v>500</v>
      </c>
      <c r="C83" s="313">
        <v>46113.0</v>
      </c>
      <c r="D83" s="314" t="s">
        <v>58</v>
      </c>
      <c r="E83" s="307" t="str">
        <f t="array" ref="E83">(XLOOKUP(D83,Roster!F:F,Roster!B:B,"",0))</f>
        <v>Luis Lopez</v>
      </c>
      <c r="F83" s="315" t="str">
        <f t="array" ref="F83">IF(B83=100,"Free",TEXT(XLOOKUP($D83,OperationVoice!$A:$A,OperationVoice!G:G,XLOOKUP($D83,OperationTickets!$A:$A,OperationTickets!G:G,"",0)),"hh:mm"))</f>
        <v>10:00</v>
      </c>
      <c r="G83" s="309">
        <f t="shared" si="3"/>
        <v>0.7916666667</v>
      </c>
      <c r="H83" s="316" t="str">
        <f t="array" ref="H83">XLOOKUP(B83,Roster!L:L,Roster!N:N,XLOOKUP(D83,TicketsBreak!A:A,TicketsBreak!E:E,"",0),0)</f>
        <v>Team Leader</v>
      </c>
      <c r="I83" s="316" t="str">
        <f t="array" ref="I83">XLOOKUP(B83,Roster!L:L,Roster!O:O,XLOOKUP(D83,TicketsBreak!A:A,TicketsBreak!F:F,"",0),0)</f>
        <v>Team Leader</v>
      </c>
      <c r="J83" s="316" t="str">
        <f t="array" ref="J83">XLOOKUP(B83,Roster!L:L,Roster!P:P,XLOOKUP(D83,TicketsBreak!A:A,TicketsBreak!G:G,"",0),0)</f>
        <v/>
      </c>
      <c r="K83" s="310">
        <f t="shared" si="4"/>
        <v>46113</v>
      </c>
      <c r="L83" s="317">
        <f t="array" ref="L83">(XLOOKUP(D83,Roster!F:F,Roster!D:D,"",0))</f>
        <v>32</v>
      </c>
      <c r="M83" s="317" t="str">
        <f t="array" ref="M83">XLOOKUP(D83,Roster!F:F,Roster!E:E)</f>
        <v>Voice</v>
      </c>
      <c r="N83" s="317" t="str">
        <f t="shared" ref="N83:P83" si="88">LEFT(H83,5)</f>
        <v>Team </v>
      </c>
      <c r="O83" s="317" t="str">
        <f t="shared" si="88"/>
        <v>Team </v>
      </c>
      <c r="P83" s="317" t="str">
        <f t="shared" si="88"/>
        <v/>
      </c>
      <c r="Q83" s="318" t="str">
        <f t="shared" si="6"/>
        <v>#VALUE!</v>
      </c>
      <c r="R83" s="318" t="str">
        <f t="shared" si="7"/>
        <v>#VALUE!</v>
      </c>
      <c r="S83" s="318" t="str">
        <f t="shared" si="8"/>
        <v/>
      </c>
    </row>
    <row r="84">
      <c r="A84" s="14" t="str">
        <f t="shared" si="1"/>
        <v>C153446113</v>
      </c>
      <c r="B84" s="185" t="str">
        <f t="array" ref="B84">IF(F84="VL","",IF(F84="Free","Free",XLOOKUP(D84,Roster!T:T,Roster!S:S,"",0)))</f>
        <v>Free</v>
      </c>
      <c r="C84" s="313">
        <v>46113.0</v>
      </c>
      <c r="D84" s="314" t="s">
        <v>59</v>
      </c>
      <c r="E84" s="307" t="str">
        <f t="array" ref="E84">(XLOOKUP(D84,Roster!F:F,Roster!B:B,"",0))</f>
        <v>Luis Munoz</v>
      </c>
      <c r="F84" s="315" t="str">
        <f t="array" ref="F84">IF(B84=100,"Free",TEXT(XLOOKUP($D84,OperationVoice!$A:$A,OperationVoice!G:G,XLOOKUP($D84,OperationTickets!$A:$A,OperationTickets!G:G,"",0)),"hh:mm"))</f>
        <v>Free</v>
      </c>
      <c r="G84" s="309" t="str">
        <f t="shared" si="3"/>
        <v>Free</v>
      </c>
      <c r="H84" s="316" t="str">
        <f t="array" ref="H84">XLOOKUP(B84,Roster!L:L,Roster!N:N,XLOOKUP(D84,TicketsBreak!A:A,TicketsBreak!E:E,"",0),0)</f>
        <v/>
      </c>
      <c r="I84" s="316" t="str">
        <f t="array" ref="I84">XLOOKUP(B84,Roster!L:L,Roster!O:O,XLOOKUP(D84,TicketsBreak!A:A,TicketsBreak!F:F,"",0),0)</f>
        <v/>
      </c>
      <c r="J84" s="316" t="str">
        <f t="array" ref="J84">XLOOKUP(B84,Roster!L:L,Roster!P:P,XLOOKUP(D84,TicketsBreak!A:A,TicketsBreak!G:G,"",0),0)</f>
        <v/>
      </c>
      <c r="K84" s="310">
        <f t="shared" si="4"/>
        <v>46113</v>
      </c>
      <c r="L84" s="317">
        <f t="array" ref="L84">(XLOOKUP(D84,Roster!F:F,Roster!D:D,"",0))</f>
        <v>36</v>
      </c>
      <c r="M84" s="317" t="str">
        <f t="array" ref="M84">XLOOKUP(D84,Roster!F:F,Roster!E:E)</f>
        <v>Voice</v>
      </c>
      <c r="N84" s="317" t="str">
        <f t="shared" ref="N84:P84" si="89">LEFT(H84,5)</f>
        <v/>
      </c>
      <c r="O84" s="317" t="str">
        <f t="shared" si="89"/>
        <v/>
      </c>
      <c r="P84" s="317" t="str">
        <f t="shared" si="89"/>
        <v/>
      </c>
      <c r="Q84" s="318" t="str">
        <f t="shared" si="6"/>
        <v/>
      </c>
      <c r="R84" s="318" t="str">
        <f t="shared" si="7"/>
        <v/>
      </c>
      <c r="S84" s="318" t="str">
        <f t="shared" si="8"/>
        <v/>
      </c>
    </row>
    <row r="85">
      <c r="A85" s="14" t="str">
        <f t="shared" si="1"/>
        <v>C53846113</v>
      </c>
      <c r="B85" s="185" t="str">
        <f t="array" ref="B85">IF(F85="VL","",IF(F85="Free","Free",XLOOKUP(D85,Roster!T:T,Roster!S:S,"",0)))</f>
        <v/>
      </c>
      <c r="C85" s="313">
        <v>46113.0</v>
      </c>
      <c r="D85" s="314" t="s">
        <v>165</v>
      </c>
      <c r="E85" s="307" t="str">
        <f t="array" ref="E85">(XLOOKUP(D85,Roster!F:F,Roster!B:B,"",0))</f>
        <v>Luisa Arenas</v>
      </c>
      <c r="F85" s="315" t="str">
        <f t="array" ref="F85">IF(B85=100,"Free",TEXT(XLOOKUP($D85,OperationVoice!$A:$A,OperationVoice!G:G,XLOOKUP($D85,OperationTickets!$A:$A,OperationTickets!G:G,"",0)),"hh:mm"))</f>
        <v>08:00</v>
      </c>
      <c r="G85" s="309">
        <f t="shared" si="3"/>
        <v>0.7083333333</v>
      </c>
      <c r="H85" s="316" t="str">
        <f t="array" ref="H85">XLOOKUP(B85,Roster!L:L,Roster!N:N,XLOOKUP(D85,TicketsBreak!A:A,TicketsBreak!E:E,"",0),0)</f>
        <v/>
      </c>
      <c r="I85" s="316" t="str">
        <f t="array" ref="I85">XLOOKUP(B85,Roster!L:L,Roster!O:O,XLOOKUP(D85,TicketsBreak!A:A,TicketsBreak!F:F,"",0),0)</f>
        <v/>
      </c>
      <c r="J85" s="316" t="str">
        <f t="array" ref="J85">XLOOKUP(B85,Roster!L:L,Roster!P:P,XLOOKUP(D85,TicketsBreak!A:A,TicketsBreak!G:G,"",0),0)</f>
        <v/>
      </c>
      <c r="K85" s="310">
        <f t="shared" si="4"/>
        <v>46113</v>
      </c>
      <c r="L85" s="317">
        <f t="array" ref="L85">(XLOOKUP(D85,Roster!F:F,Roster!D:D,"",0))</f>
        <v>35</v>
      </c>
      <c r="M85" s="317" t="str">
        <f t="array" ref="M85">XLOOKUP(D85,Roster!F:F,Roster!E:E)</f>
        <v>Tickets</v>
      </c>
      <c r="N85" s="317" t="str">
        <f t="shared" ref="N85:P85" si="90">LEFT(H85,5)</f>
        <v/>
      </c>
      <c r="O85" s="317" t="str">
        <f t="shared" si="90"/>
        <v/>
      </c>
      <c r="P85" s="317" t="str">
        <f t="shared" si="90"/>
        <v/>
      </c>
      <c r="Q85" s="318" t="str">
        <f t="shared" si="6"/>
        <v/>
      </c>
      <c r="R85" s="318" t="str">
        <f t="shared" si="7"/>
        <v/>
      </c>
      <c r="S85" s="318" t="str">
        <f t="shared" si="8"/>
        <v/>
      </c>
    </row>
    <row r="86">
      <c r="A86" s="14" t="str">
        <f t="shared" si="1"/>
        <v>C113646113</v>
      </c>
      <c r="B86" s="185">
        <f t="array" ref="B86">IF(F86="VL","",IF(F86="Free","Free",XLOOKUP(D86,Roster!T:T,Roster!S:S,"",0)))</f>
        <v>126</v>
      </c>
      <c r="C86" s="313">
        <v>46113.0</v>
      </c>
      <c r="D86" s="314" t="s">
        <v>60</v>
      </c>
      <c r="E86" s="307" t="str">
        <f t="array" ref="E86">(XLOOKUP(D86,Roster!F:F,Roster!B:B,"",0))</f>
        <v>Luisa Gonzalez</v>
      </c>
      <c r="F86" s="315" t="str">
        <f t="array" ref="F86">IF(B86=100,"Free",TEXT(XLOOKUP($D86,OperationVoice!$A:$A,OperationVoice!G:G,XLOOKUP($D86,OperationTickets!$A:$A,OperationTickets!G:G,"",0)),"hh:mm"))</f>
        <v>08:00</v>
      </c>
      <c r="G86" s="309">
        <f t="shared" si="3"/>
        <v>0.7083333333</v>
      </c>
      <c r="H86" s="316" t="str">
        <f t="array" ref="H86">XLOOKUP(B86,Roster!L:L,Roster!N:N,XLOOKUP(D86,TicketsBreak!A:A,TicketsBreak!E:E,"",0),0)</f>
        <v>10:45 - 11:00</v>
      </c>
      <c r="I86" s="316" t="str">
        <f t="array" ref="I86">XLOOKUP(B86,Roster!L:L,Roster!O:O,XLOOKUP(D86,TicketsBreak!A:A,TicketsBreak!F:F,"",0),0)</f>
        <v>14:00 - 14:30</v>
      </c>
      <c r="J86" s="316" t="str">
        <f t="array" ref="J86">XLOOKUP(B86,Roster!L:L,Roster!P:P,XLOOKUP(D86,TicketsBreak!A:A,TicketsBreak!G:G,"",0),0)</f>
        <v>15:45 - 16:00</v>
      </c>
      <c r="K86" s="310">
        <f t="shared" si="4"/>
        <v>46113</v>
      </c>
      <c r="L86" s="317">
        <f t="array" ref="L86">(XLOOKUP(D86,Roster!F:F,Roster!D:D,"",0))</f>
        <v>22</v>
      </c>
      <c r="M86" s="317" t="str">
        <f t="array" ref="M86">XLOOKUP(D86,Roster!F:F,Roster!E:E)</f>
        <v>Voice</v>
      </c>
      <c r="N86" s="317" t="str">
        <f t="shared" ref="N86:P86" si="91">LEFT(H86,5)</f>
        <v>10:45</v>
      </c>
      <c r="O86" s="317" t="str">
        <f t="shared" si="91"/>
        <v>14:00</v>
      </c>
      <c r="P86" s="317" t="str">
        <f t="shared" si="91"/>
        <v>15:45</v>
      </c>
      <c r="Q86" s="318">
        <f t="shared" si="6"/>
        <v>46113.44792</v>
      </c>
      <c r="R86" s="318">
        <f t="shared" si="7"/>
        <v>46113.58333</v>
      </c>
      <c r="S86" s="318">
        <f t="shared" si="8"/>
        <v>46113.65625</v>
      </c>
    </row>
    <row r="87">
      <c r="A87" s="14" t="str">
        <f t="shared" si="1"/>
        <v>C157746113</v>
      </c>
      <c r="B87" s="185">
        <f t="array" ref="B87">IF(F87="VL","",IF(F87="Free","Free",XLOOKUP(D87,Roster!T:T,Roster!S:S,"",0)))</f>
        <v>126</v>
      </c>
      <c r="C87" s="313">
        <v>46113.0</v>
      </c>
      <c r="D87" s="314" t="s">
        <v>61</v>
      </c>
      <c r="E87" s="307" t="str">
        <f t="array" ref="E87">(XLOOKUP(D87,Roster!F:F,Roster!B:B,"",0))</f>
        <v>Luna Morales</v>
      </c>
      <c r="F87" s="315" t="str">
        <f t="array" ref="F87">IF(B87=100,"Free",TEXT(XLOOKUP($D87,OperationVoice!$A:$A,OperationVoice!G:G,XLOOKUP($D87,OperationTickets!$A:$A,OperationTickets!G:G,"",0)),"hh:mm"))</f>
        <v>08:00</v>
      </c>
      <c r="G87" s="309">
        <f t="shared" si="3"/>
        <v>0.7083333333</v>
      </c>
      <c r="H87" s="316" t="str">
        <f t="array" ref="H87">XLOOKUP(B87,Roster!L:L,Roster!N:N,XLOOKUP(D87,TicketsBreak!A:A,TicketsBreak!E:E,"",0),0)</f>
        <v>10:45 - 11:00</v>
      </c>
      <c r="I87" s="316" t="str">
        <f t="array" ref="I87">XLOOKUP(B87,Roster!L:L,Roster!O:O,XLOOKUP(D87,TicketsBreak!A:A,TicketsBreak!F:F,"",0),0)</f>
        <v>14:00 - 14:30</v>
      </c>
      <c r="J87" s="316" t="str">
        <f t="array" ref="J87">XLOOKUP(B87,Roster!L:L,Roster!P:P,XLOOKUP(D87,TicketsBreak!A:A,TicketsBreak!G:G,"",0),0)</f>
        <v>15:45 - 16:00</v>
      </c>
      <c r="K87" s="310">
        <f t="shared" si="4"/>
        <v>46113</v>
      </c>
      <c r="L87" s="317">
        <f t="array" ref="L87">(XLOOKUP(D87,Roster!F:F,Roster!D:D,"",0))</f>
        <v>38</v>
      </c>
      <c r="M87" s="317" t="str">
        <f t="array" ref="M87">XLOOKUP(D87,Roster!F:F,Roster!E:E)</f>
        <v>Voice</v>
      </c>
      <c r="N87" s="317" t="str">
        <f t="shared" ref="N87:P87" si="92">LEFT(H87,5)</f>
        <v>10:45</v>
      </c>
      <c r="O87" s="317" t="str">
        <f t="shared" si="92"/>
        <v>14:00</v>
      </c>
      <c r="P87" s="317" t="str">
        <f t="shared" si="92"/>
        <v>15:45</v>
      </c>
      <c r="Q87" s="318">
        <f t="shared" si="6"/>
        <v>46113.44792</v>
      </c>
      <c r="R87" s="318">
        <f t="shared" si="7"/>
        <v>46113.58333</v>
      </c>
      <c r="S87" s="318">
        <f t="shared" si="8"/>
        <v>46113.65625</v>
      </c>
    </row>
    <row r="88">
      <c r="A88" s="14" t="str">
        <f t="shared" si="1"/>
        <v>C121946113</v>
      </c>
      <c r="B88" s="185" t="str">
        <f t="array" ref="B88">IF(F88="VL","",IF(F88="Free","Free",XLOOKUP(D88,Roster!T:T,Roster!S:S,"",0)))</f>
        <v/>
      </c>
      <c r="C88" s="313">
        <v>46113.0</v>
      </c>
      <c r="D88" s="314" t="s">
        <v>146</v>
      </c>
      <c r="E88" s="307" t="str">
        <f t="array" ref="E88">(XLOOKUP(D88,Roster!F:F,Roster!B:B,"",0))</f>
        <v>Madelyn Jaramillo</v>
      </c>
      <c r="F88" s="315" t="str">
        <f t="array" ref="F88">IF(B88=100,"Free",TEXT(XLOOKUP($D88,OperationVoice!$A:$A,OperationVoice!G:G,XLOOKUP($D88,OperationTickets!$A:$A,OperationTickets!G:G,"",0)),"hh:mm"))</f>
        <v>08:00</v>
      </c>
      <c r="G88" s="309">
        <f t="shared" si="3"/>
        <v>0.7083333333</v>
      </c>
      <c r="H88" s="316" t="str">
        <f t="array" ref="H88">XLOOKUP(B88,Roster!L:L,Roster!N:N,XLOOKUP(D88,TicketsBreak!A:A,TicketsBreak!E:E,"",0),0)</f>
        <v/>
      </c>
      <c r="I88" s="316" t="str">
        <f t="array" ref="I88">XLOOKUP(B88,Roster!L:L,Roster!O:O,XLOOKUP(D88,TicketsBreak!A:A,TicketsBreak!F:F,"",0),0)</f>
        <v/>
      </c>
      <c r="J88" s="316" t="str">
        <f t="array" ref="J88">XLOOKUP(B88,Roster!L:L,Roster!P:P,XLOOKUP(D88,TicketsBreak!A:A,TicketsBreak!G:G,"",0),0)</f>
        <v/>
      </c>
      <c r="K88" s="310">
        <f t="shared" si="4"/>
        <v>46113</v>
      </c>
      <c r="L88" s="317">
        <f t="array" ref="L88">(XLOOKUP(D88,Roster!F:F,Roster!D:D,"",0))</f>
        <v>26</v>
      </c>
      <c r="M88" s="317" t="str">
        <f t="array" ref="M88">XLOOKUP(D88,Roster!F:F,Roster!E:E)</f>
        <v>Tickets</v>
      </c>
      <c r="N88" s="317" t="str">
        <f t="shared" ref="N88:P88" si="93">LEFT(H88,5)</f>
        <v/>
      </c>
      <c r="O88" s="317" t="str">
        <f t="shared" si="93"/>
        <v/>
      </c>
      <c r="P88" s="317" t="str">
        <f t="shared" si="93"/>
        <v/>
      </c>
      <c r="Q88" s="318" t="str">
        <f t="shared" si="6"/>
        <v/>
      </c>
      <c r="R88" s="318" t="str">
        <f t="shared" si="7"/>
        <v/>
      </c>
      <c r="S88" s="318" t="str">
        <f t="shared" si="8"/>
        <v/>
      </c>
    </row>
    <row r="89">
      <c r="A89" s="14" t="str">
        <f t="shared" si="1"/>
        <v>C151646113</v>
      </c>
      <c r="B89" s="185">
        <f t="array" ref="B89">IF(F89="VL","",IF(F89="Free","Free",XLOOKUP(D89,Roster!T:T,Roster!S:S,"",0)))</f>
        <v>122</v>
      </c>
      <c r="C89" s="313">
        <v>46113.0</v>
      </c>
      <c r="D89" s="314" t="s">
        <v>62</v>
      </c>
      <c r="E89" s="307" t="str">
        <f t="array" ref="E89">(XLOOKUP(D89,Roster!F:F,Roster!B:B,"",0))</f>
        <v>Magda Foronda</v>
      </c>
      <c r="F89" s="315" t="str">
        <f t="array" ref="F89">IF(B89=100,"Free",TEXT(XLOOKUP($D89,OperationVoice!$A:$A,OperationVoice!G:G,XLOOKUP($D89,OperationTickets!$A:$A,OperationTickets!G:G,"",0)),"hh:mm"))</f>
        <v>08:00</v>
      </c>
      <c r="G89" s="309">
        <f t="shared" si="3"/>
        <v>0.7083333333</v>
      </c>
      <c r="H89" s="316" t="str">
        <f t="array" ref="H89">XLOOKUP(B89,Roster!L:L,Roster!N:N,XLOOKUP(D89,TicketsBreak!A:A,TicketsBreak!E:E,"",0),0)</f>
        <v>09:30 - 09:45</v>
      </c>
      <c r="I89" s="316" t="str">
        <f t="array" ref="I89">XLOOKUP(B89,Roster!L:L,Roster!O:O,XLOOKUP(D89,TicketsBreak!A:A,TicketsBreak!F:F,"",0),0)</f>
        <v>12:00 - 12:30</v>
      </c>
      <c r="J89" s="316" t="str">
        <f t="array" ref="J89">XLOOKUP(B89,Roster!L:L,Roster!P:P,XLOOKUP(D89,TicketsBreak!A:A,TicketsBreak!G:G,"",0),0)</f>
        <v>14:45 - 15:00</v>
      </c>
      <c r="K89" s="310">
        <f t="shared" si="4"/>
        <v>46113</v>
      </c>
      <c r="L89" s="317">
        <f t="array" ref="L89">(XLOOKUP(D89,Roster!F:F,Roster!D:D,"",0))</f>
        <v>35</v>
      </c>
      <c r="M89" s="317" t="str">
        <f t="array" ref="M89">XLOOKUP(D89,Roster!F:F,Roster!E:E)</f>
        <v>Voice</v>
      </c>
      <c r="N89" s="317" t="str">
        <f t="shared" ref="N89:P89" si="94">LEFT(H89,5)</f>
        <v>09:30</v>
      </c>
      <c r="O89" s="317" t="str">
        <f t="shared" si="94"/>
        <v>12:00</v>
      </c>
      <c r="P89" s="317" t="str">
        <f t="shared" si="94"/>
        <v>14:45</v>
      </c>
      <c r="Q89" s="318">
        <f t="shared" si="6"/>
        <v>46113.39583</v>
      </c>
      <c r="R89" s="318">
        <f t="shared" si="7"/>
        <v>46113.5</v>
      </c>
      <c r="S89" s="318">
        <f t="shared" si="8"/>
        <v>46113.61458</v>
      </c>
    </row>
    <row r="90">
      <c r="A90" s="14" t="str">
        <f t="shared" si="1"/>
        <v>C118046113</v>
      </c>
      <c r="B90" s="185">
        <f t="array" ref="B90">IF(F90="VL","",IF(F90="Free","Free",XLOOKUP(D90,Roster!T:T,Roster!S:S,"",0)))</f>
        <v>500</v>
      </c>
      <c r="C90" s="313">
        <v>46113.0</v>
      </c>
      <c r="D90" s="314" t="s">
        <v>147</v>
      </c>
      <c r="E90" s="307" t="str">
        <f t="array" ref="E90">(XLOOKUP(D90,Roster!F:F,Roster!B:B,"",0))</f>
        <v>Manuela Moreno</v>
      </c>
      <c r="F90" s="315" t="str">
        <f t="array" ref="F90">IF(B90=100,"Free",TEXT(XLOOKUP($D90,OperationVoice!$A:$A,OperationVoice!G:G,XLOOKUP($D90,OperationTickets!$A:$A,OperationTickets!G:G,"",0)),"hh:mm"))</f>
        <v>09:00</v>
      </c>
      <c r="G90" s="309">
        <f t="shared" si="3"/>
        <v>0.75</v>
      </c>
      <c r="H90" s="316" t="str">
        <f t="array" ref="H90">XLOOKUP(B90,Roster!L:L,Roster!N:N,XLOOKUP(D90,TicketsBreak!A:A,TicketsBreak!E:E,"",0),0)</f>
        <v>Team Leader</v>
      </c>
      <c r="I90" s="316" t="str">
        <f t="array" ref="I90">XLOOKUP(B90,Roster!L:L,Roster!O:O,XLOOKUP(D90,TicketsBreak!A:A,TicketsBreak!F:F,"",0),0)</f>
        <v>Team Leader</v>
      </c>
      <c r="J90" s="316" t="str">
        <f t="array" ref="J90">XLOOKUP(B90,Roster!L:L,Roster!P:P,XLOOKUP(D90,TicketsBreak!A:A,TicketsBreak!G:G,"",0),0)</f>
        <v/>
      </c>
      <c r="K90" s="310">
        <f t="shared" si="4"/>
        <v>46113</v>
      </c>
      <c r="L90" s="317">
        <f t="array" ref="L90">(XLOOKUP(D90,Roster!F:F,Roster!D:D,"",0))</f>
        <v>24</v>
      </c>
      <c r="M90" s="317" t="str">
        <f t="array" ref="M90">XLOOKUP(D90,Roster!F:F,Roster!E:E)</f>
        <v>Tickets</v>
      </c>
      <c r="N90" s="317" t="str">
        <f t="shared" ref="N90:P90" si="95">LEFT(H90,5)</f>
        <v>Team </v>
      </c>
      <c r="O90" s="317" t="str">
        <f t="shared" si="95"/>
        <v>Team </v>
      </c>
      <c r="P90" s="317" t="str">
        <f t="shared" si="95"/>
        <v/>
      </c>
      <c r="Q90" s="318" t="str">
        <f>IF(P90="","",$C90+N90)</f>
        <v/>
      </c>
      <c r="R90" s="318" t="str">
        <f>if(P90="","",$C90+O90)</f>
        <v/>
      </c>
      <c r="S90" s="318" t="str">
        <f t="shared" si="8"/>
        <v/>
      </c>
    </row>
    <row r="91">
      <c r="A91" s="14" t="str">
        <f t="shared" si="1"/>
        <v>C153646113</v>
      </c>
      <c r="B91" s="185">
        <f t="array" ref="B91">IF(F91="VL","",IF(F91="Free","Free",XLOOKUP(D91,Roster!T:T,Roster!S:S,"",0)))</f>
        <v>121</v>
      </c>
      <c r="C91" s="313">
        <v>46113.0</v>
      </c>
      <c r="D91" s="314" t="s">
        <v>63</v>
      </c>
      <c r="E91" s="307" t="str">
        <f t="array" ref="E91">(XLOOKUP(D91,Roster!F:F,Roster!B:B,"",0))</f>
        <v>Maria Mesa</v>
      </c>
      <c r="F91" s="315" t="str">
        <f t="array" ref="F91">IF(B91=100,"Free",TEXT(XLOOKUP($D91,OperationVoice!$A:$A,OperationVoice!G:G,XLOOKUP($D91,OperationTickets!$A:$A,OperationTickets!G:G,"",0)),"hh:mm"))</f>
        <v>08:00</v>
      </c>
      <c r="G91" s="309">
        <f t="shared" si="3"/>
        <v>0.7083333333</v>
      </c>
      <c r="H91" s="316" t="str">
        <f t="array" ref="H91">XLOOKUP(B91,Roster!L:L,Roster!N:N,XLOOKUP(D91,TicketsBreak!A:A,TicketsBreak!E:E,"",0),0)</f>
        <v>09:15 - 09:30</v>
      </c>
      <c r="I91" s="316" t="str">
        <f t="array" ref="I91">XLOOKUP(B91,Roster!L:L,Roster!O:O,XLOOKUP(D91,TicketsBreak!A:A,TicketsBreak!F:F,"",0),0)</f>
        <v>11:30 - 12:00</v>
      </c>
      <c r="J91" s="316" t="str">
        <f t="array" ref="J91">XLOOKUP(B91,Roster!L:L,Roster!P:P,XLOOKUP(D91,TicketsBreak!A:A,TicketsBreak!G:G,"",0),0)</f>
        <v>14:30 - 14:45</v>
      </c>
      <c r="K91" s="310">
        <f t="shared" si="4"/>
        <v>46113</v>
      </c>
      <c r="L91" s="317">
        <f t="array" ref="L91">(XLOOKUP(D91,Roster!F:F,Roster!D:D,"",0))</f>
        <v>36</v>
      </c>
      <c r="M91" s="317" t="str">
        <f t="array" ref="M91">XLOOKUP(D91,Roster!F:F,Roster!E:E)</f>
        <v>Voice</v>
      </c>
      <c r="N91" s="317" t="str">
        <f t="shared" ref="N91:P91" si="96">LEFT(H91,5)</f>
        <v>09:15</v>
      </c>
      <c r="O91" s="317" t="str">
        <f t="shared" si="96"/>
        <v>11:30</v>
      </c>
      <c r="P91" s="317" t="str">
        <f t="shared" si="96"/>
        <v>14:30</v>
      </c>
      <c r="Q91" s="318">
        <f t="shared" ref="Q91:Q229" si="98">IF(N91="","",$C91+N91)</f>
        <v>46113.38542</v>
      </c>
      <c r="R91" s="318">
        <f t="shared" ref="R91:R229" si="99">if(O91="","",$C91+O91)</f>
        <v>46113.47917</v>
      </c>
      <c r="S91" s="318">
        <f t="shared" si="8"/>
        <v>46113.60417</v>
      </c>
    </row>
    <row r="92">
      <c r="A92" s="14" t="str">
        <f t="shared" si="1"/>
        <v>C74046113</v>
      </c>
      <c r="B92" s="185" t="str">
        <f t="array" ref="B92">IF(F92="VL","",IF(F92="Free","Free",XLOOKUP(D92,Roster!T:T,Roster!S:S,"",0)))</f>
        <v/>
      </c>
      <c r="C92" s="313">
        <v>46113.0</v>
      </c>
      <c r="D92" s="314" t="s">
        <v>166</v>
      </c>
      <c r="E92" s="307" t="str">
        <f t="array" ref="E92">(XLOOKUP(D92,Roster!F:F,Roster!B:B,"",0))</f>
        <v>Mateo Agudelo</v>
      </c>
      <c r="F92" s="315" t="str">
        <f t="array" ref="F92">IF(B92=100,"Free",TEXT(XLOOKUP($D92,OperationVoice!$A:$A,OperationVoice!G:G,XLOOKUP($D92,OperationTickets!$A:$A,OperationTickets!G:G,"",0)),"hh:mm"))</f>
        <v>08:00</v>
      </c>
      <c r="G92" s="309">
        <f t="shared" si="3"/>
        <v>0.7083333333</v>
      </c>
      <c r="H92" s="316">
        <f t="array" ref="H92">XLOOKUP(B92,Roster!L:L,Roster!N:N,XLOOKUP(D92,TicketsBreak!A:A,TicketsBreak!E:E,"",0),0)</f>
        <v>0.4166666667</v>
      </c>
      <c r="I92" s="316">
        <f t="array" ref="I92">XLOOKUP(B92,Roster!L:L,Roster!O:O,XLOOKUP(D92,TicketsBreak!A:A,TicketsBreak!F:F,"",0),0)</f>
        <v>0.5</v>
      </c>
      <c r="J92" s="316">
        <f t="array" ref="J92">XLOOKUP(B92,Roster!L:L,Roster!P:P,XLOOKUP(D92,TicketsBreak!A:A,TicketsBreak!G:G,"",0),0)</f>
        <v>0.65625</v>
      </c>
      <c r="K92" s="310">
        <f t="shared" si="4"/>
        <v>46113</v>
      </c>
      <c r="L92" s="317">
        <f t="array" ref="L92">(XLOOKUP(D92,Roster!F:F,Roster!D:D,"",0))</f>
        <v>8</v>
      </c>
      <c r="M92" s="317" t="str">
        <f t="array" ref="M92">XLOOKUP(D92,Roster!F:F,Roster!E:E)</f>
        <v>Tickets</v>
      </c>
      <c r="N92" s="317" t="str">
        <f t="shared" ref="N92:P92" si="97">LEFT(H92,5)</f>
        <v>10:00</v>
      </c>
      <c r="O92" s="317" t="str">
        <f t="shared" si="97"/>
        <v>12:00</v>
      </c>
      <c r="P92" s="317" t="str">
        <f t="shared" si="97"/>
        <v>15:45</v>
      </c>
      <c r="Q92" s="318">
        <f t="shared" si="98"/>
        <v>46113.41667</v>
      </c>
      <c r="R92" s="318">
        <f t="shared" si="99"/>
        <v>46113.5</v>
      </c>
      <c r="S92" s="318">
        <f t="shared" si="8"/>
        <v>46113.65625</v>
      </c>
    </row>
    <row r="93">
      <c r="A93" s="14" t="str">
        <f t="shared" si="1"/>
        <v>C142946113</v>
      </c>
      <c r="B93" s="185">
        <f t="array" ref="B93">IF(F93="VL","",IF(F93="Free","Free",XLOOKUP(D93,Roster!T:T,Roster!S:S,"",0)))</f>
        <v>121</v>
      </c>
      <c r="C93" s="313">
        <v>46113.0</v>
      </c>
      <c r="D93" s="314" t="s">
        <v>178</v>
      </c>
      <c r="E93" s="307" t="str">
        <f t="array" ref="E93">(XLOOKUP(D93,Roster!F:F,Roster!B:B,"",0))</f>
        <v>Mateo Vanegas</v>
      </c>
      <c r="F93" s="315" t="str">
        <f t="array" ref="F93">IF(B93=100,"Free",TEXT(XLOOKUP($D93,OperationVoice!$A:$A,OperationVoice!G:G,XLOOKUP($D93,OperationTickets!$A:$A,OperationTickets!G:G,"",0)),"hh:mm"))</f>
        <v>08:00</v>
      </c>
      <c r="G93" s="309">
        <f t="shared" si="3"/>
        <v>0.7083333333</v>
      </c>
      <c r="H93" s="316" t="str">
        <f t="array" ref="H93">XLOOKUP(B93,Roster!L:L,Roster!N:N,XLOOKUP(D93,TicketsBreak!A:A,TicketsBreak!E:E,"",0),0)</f>
        <v>09:15 - 09:30</v>
      </c>
      <c r="I93" s="316" t="str">
        <f t="array" ref="I93">XLOOKUP(B93,Roster!L:L,Roster!O:O,XLOOKUP(D93,TicketsBreak!A:A,TicketsBreak!F:F,"",0),0)</f>
        <v>11:30 - 12:00</v>
      </c>
      <c r="J93" s="316" t="str">
        <f t="array" ref="J93">XLOOKUP(B93,Roster!L:L,Roster!P:P,XLOOKUP(D93,TicketsBreak!A:A,TicketsBreak!G:G,"",0),0)</f>
        <v>14:30 - 14:45</v>
      </c>
      <c r="K93" s="310">
        <f t="shared" si="4"/>
        <v>46113</v>
      </c>
      <c r="L93" s="317">
        <f t="array" ref="L93">(XLOOKUP(D93,Roster!F:F,Roster!D:D,"",0))</f>
        <v>32</v>
      </c>
      <c r="M93" s="317" t="str">
        <f t="array" ref="M93">XLOOKUP(D93,Roster!F:F,Roster!E:E)</f>
        <v>Tickets</v>
      </c>
      <c r="N93" s="317" t="str">
        <f t="shared" ref="N93:P93" si="100">LEFT(H93,5)</f>
        <v>09:15</v>
      </c>
      <c r="O93" s="317" t="str">
        <f t="shared" si="100"/>
        <v>11:30</v>
      </c>
      <c r="P93" s="317" t="str">
        <f t="shared" si="100"/>
        <v>14:30</v>
      </c>
      <c r="Q93" s="318">
        <f t="shared" si="98"/>
        <v>46113.38542</v>
      </c>
      <c r="R93" s="318">
        <f t="shared" si="99"/>
        <v>46113.47917</v>
      </c>
      <c r="S93" s="318">
        <f t="shared" si="8"/>
        <v>46113.60417</v>
      </c>
    </row>
    <row r="94">
      <c r="A94" s="14" t="str">
        <f t="shared" si="1"/>
        <v>C146846113</v>
      </c>
      <c r="B94" s="185">
        <f t="array" ref="B94">IF(F94="VL","",IF(F94="Free","Free",XLOOKUP(D94,Roster!T:T,Roster!S:S,"",0)))</f>
        <v>122</v>
      </c>
      <c r="C94" s="313">
        <v>46113.0</v>
      </c>
      <c r="D94" s="314" t="s">
        <v>64</v>
      </c>
      <c r="E94" s="307" t="str">
        <f t="array" ref="E94">(XLOOKUP(D94,Roster!F:F,Roster!B:B,"",0))</f>
        <v>Miguel Betancur</v>
      </c>
      <c r="F94" s="315" t="str">
        <f t="array" ref="F94">IF(B94=100,"Free",TEXT(XLOOKUP($D94,OperationVoice!$A:$A,OperationVoice!G:G,XLOOKUP($D94,OperationTickets!$A:$A,OperationTickets!G:G,"",0)),"hh:mm"))</f>
        <v>08:00</v>
      </c>
      <c r="G94" s="309">
        <f t="shared" si="3"/>
        <v>0.7083333333</v>
      </c>
      <c r="H94" s="316" t="str">
        <f t="array" ref="H94">XLOOKUP(B94,Roster!L:L,Roster!N:N,XLOOKUP(D94,TicketsBreak!A:A,TicketsBreak!E:E,"",0),0)</f>
        <v>09:30 - 09:45</v>
      </c>
      <c r="I94" s="316" t="str">
        <f t="array" ref="I94">XLOOKUP(B94,Roster!L:L,Roster!O:O,XLOOKUP(D94,TicketsBreak!A:A,TicketsBreak!F:F,"",0),0)</f>
        <v>12:00 - 12:30</v>
      </c>
      <c r="J94" s="316" t="str">
        <f t="array" ref="J94">XLOOKUP(B94,Roster!L:L,Roster!P:P,XLOOKUP(D94,TicketsBreak!A:A,TicketsBreak!G:G,"",0),0)</f>
        <v>14:45 - 15:00</v>
      </c>
      <c r="K94" s="310">
        <f t="shared" si="4"/>
        <v>46113</v>
      </c>
      <c r="L94" s="317">
        <f t="array" ref="L94">(XLOOKUP(D94,Roster!F:F,Roster!D:D,"",0))</f>
        <v>33</v>
      </c>
      <c r="M94" s="317" t="str">
        <f t="array" ref="M94">XLOOKUP(D94,Roster!F:F,Roster!E:E)</f>
        <v>Voice</v>
      </c>
      <c r="N94" s="317" t="str">
        <f t="shared" ref="N94:P94" si="101">LEFT(H94,5)</f>
        <v>09:30</v>
      </c>
      <c r="O94" s="317" t="str">
        <f t="shared" si="101"/>
        <v>12:00</v>
      </c>
      <c r="P94" s="317" t="str">
        <f t="shared" si="101"/>
        <v>14:45</v>
      </c>
      <c r="Q94" s="318">
        <f t="shared" si="98"/>
        <v>46113.39583</v>
      </c>
      <c r="R94" s="318">
        <f t="shared" si="99"/>
        <v>46113.5</v>
      </c>
      <c r="S94" s="318">
        <f t="shared" si="8"/>
        <v>46113.61458</v>
      </c>
    </row>
    <row r="95">
      <c r="A95" s="14" t="str">
        <f t="shared" si="1"/>
        <v>C106546113</v>
      </c>
      <c r="B95" s="185" t="str">
        <f t="array" ref="B95">IF(F95="VL","",IF(F95="Free","Free",XLOOKUP(D95,Roster!T:T,Roster!S:S,"",0)))</f>
        <v/>
      </c>
      <c r="C95" s="313">
        <v>46113.0</v>
      </c>
      <c r="D95" s="314" t="s">
        <v>148</v>
      </c>
      <c r="E95" s="307" t="str">
        <f t="array" ref="E95">(XLOOKUP(D95,Roster!F:F,Roster!B:B,"",0))</f>
        <v>Miguel Hoyos</v>
      </c>
      <c r="F95" s="315" t="str">
        <f t="array" ref="F95">IF(B95=100,"Free",TEXT(XLOOKUP($D95,OperationVoice!$A:$A,OperationVoice!G:G,XLOOKUP($D95,OperationTickets!$A:$A,OperationTickets!G:G,"",0)),"hh:mm"))</f>
        <v>07:00</v>
      </c>
      <c r="G95" s="309">
        <f t="shared" si="3"/>
        <v>0.6666666667</v>
      </c>
      <c r="H95" s="316">
        <f t="array" ref="H95">XLOOKUP(B95,Roster!L:L,Roster!N:N,XLOOKUP(D95,TicketsBreak!A:A,TicketsBreak!E:E,"",0),0)</f>
        <v>0.4583333333</v>
      </c>
      <c r="I95" s="316">
        <f t="array" ref="I95">XLOOKUP(B95,Roster!L:L,Roster!O:O,XLOOKUP(D95,TicketsBreak!A:A,TicketsBreak!F:F,"",0),0)</f>
        <v>0.5625</v>
      </c>
      <c r="J95" s="316">
        <f t="array" ref="J95">XLOOKUP(B95,Roster!L:L,Roster!P:P,XLOOKUP(D95,TicketsBreak!A:A,TicketsBreak!G:G,"",0),0)</f>
        <v>0.65625</v>
      </c>
      <c r="K95" s="310">
        <f t="shared" si="4"/>
        <v>46113</v>
      </c>
      <c r="L95" s="317">
        <f t="array" ref="L95">(XLOOKUP(D95,Roster!F:F,Roster!D:D,"",0))</f>
        <v>17</v>
      </c>
      <c r="M95" s="317" t="str">
        <f t="array" ref="M95">XLOOKUP(D95,Roster!F:F,Roster!E:E)</f>
        <v>Tickets</v>
      </c>
      <c r="N95" s="317" t="str">
        <f t="shared" ref="N95:P95" si="102">LEFT(H95,5)</f>
        <v>11:00</v>
      </c>
      <c r="O95" s="317" t="str">
        <f t="shared" si="102"/>
        <v>13:30</v>
      </c>
      <c r="P95" s="317" t="str">
        <f t="shared" si="102"/>
        <v>15:45</v>
      </c>
      <c r="Q95" s="318">
        <f t="shared" si="98"/>
        <v>46113.45833</v>
      </c>
      <c r="R95" s="318">
        <f t="shared" si="99"/>
        <v>46113.5625</v>
      </c>
      <c r="S95" s="318">
        <f t="shared" si="8"/>
        <v>46113.65625</v>
      </c>
    </row>
    <row r="96">
      <c r="A96" s="14" t="str">
        <f t="shared" si="1"/>
        <v>C111446113</v>
      </c>
      <c r="B96" s="185">
        <f t="array" ref="B96">IF(F96="VL","",IF(F96="Free","Free",XLOOKUP(D96,Roster!T:T,Roster!S:S,"",0)))</f>
        <v>113</v>
      </c>
      <c r="C96" s="313">
        <v>46113.0</v>
      </c>
      <c r="D96" s="314" t="s">
        <v>65</v>
      </c>
      <c r="E96" s="307" t="str">
        <f t="array" ref="E96">(XLOOKUP(D96,Roster!F:F,Roster!B:B,"",0))</f>
        <v>Mikel Bowie</v>
      </c>
      <c r="F96" s="315" t="str">
        <f t="array" ref="F96">IF(B96=100,"Free",TEXT(XLOOKUP($D96,OperationVoice!$A:$A,OperationVoice!G:G,XLOOKUP($D96,OperationTickets!$A:$A,OperationTickets!G:G,"",0)),"hh:mm"))</f>
        <v>08:00</v>
      </c>
      <c r="G96" s="309">
        <f t="shared" si="3"/>
        <v>0.7083333333</v>
      </c>
      <c r="H96" s="316" t="str">
        <f t="array" ref="H96">XLOOKUP(B96,Roster!L:L,Roster!N:N,XLOOKUP(D96,TicketsBreak!A:A,TicketsBreak!E:E,"",0),0)</f>
        <v>09:45 - 10:00</v>
      </c>
      <c r="I96" s="316" t="str">
        <f t="array" ref="I96">XLOOKUP(B96,Roster!L:L,Roster!O:O,XLOOKUP(D96,TicketsBreak!A:A,TicketsBreak!F:F,"",0),0)</f>
        <v>12:30 - 13:00</v>
      </c>
      <c r="J96" s="316" t="str">
        <f t="array" ref="J96">XLOOKUP(B96,Roster!L:L,Roster!P:P,XLOOKUP(D96,TicketsBreak!A:A,TicketsBreak!G:G,"",0),0)</f>
        <v>14:45 - 15:00</v>
      </c>
      <c r="K96" s="310">
        <f t="shared" si="4"/>
        <v>46113</v>
      </c>
      <c r="L96" s="317">
        <f t="array" ref="L96">(XLOOKUP(D96,Roster!F:F,Roster!D:D,"",0))</f>
        <v>20</v>
      </c>
      <c r="M96" s="317" t="str">
        <f t="array" ref="M96">XLOOKUP(D96,Roster!F:F,Roster!E:E)</f>
        <v>Voice</v>
      </c>
      <c r="N96" s="317" t="str">
        <f t="shared" ref="N96:P96" si="103">LEFT(H96,5)</f>
        <v>09:45</v>
      </c>
      <c r="O96" s="317" t="str">
        <f t="shared" si="103"/>
        <v>12:30</v>
      </c>
      <c r="P96" s="317" t="str">
        <f t="shared" si="103"/>
        <v>14:45</v>
      </c>
      <c r="Q96" s="318">
        <f t="shared" si="98"/>
        <v>46113.40625</v>
      </c>
      <c r="R96" s="318">
        <f t="shared" si="99"/>
        <v>46113.52083</v>
      </c>
      <c r="S96" s="318">
        <f t="shared" si="8"/>
        <v>46113.61458</v>
      </c>
    </row>
    <row r="97">
      <c r="A97" s="14" t="str">
        <f t="shared" si="1"/>
        <v>C116346113</v>
      </c>
      <c r="B97" s="185">
        <f t="array" ref="B97">IF(F97="VL","",IF(F97="Free","Free",XLOOKUP(D97,Roster!T:T,Roster!S:S,"",0)))</f>
        <v>123</v>
      </c>
      <c r="C97" s="313">
        <v>46113.0</v>
      </c>
      <c r="D97" s="314" t="s">
        <v>66</v>
      </c>
      <c r="E97" s="307" t="str">
        <f t="array" ref="E97">(XLOOKUP(D97,Roster!F:F,Roster!B:B,"",0))</f>
        <v>Natalia Cardona</v>
      </c>
      <c r="F97" s="315" t="str">
        <f t="array" ref="F97">IF(B97=100,"Free",TEXT(XLOOKUP($D97,OperationVoice!$A:$A,OperationVoice!G:G,XLOOKUP($D97,OperationTickets!$A:$A,OperationTickets!G:G,"",0)),"hh:mm"))</f>
        <v>08:00</v>
      </c>
      <c r="G97" s="309">
        <f t="shared" si="3"/>
        <v>0.7083333333</v>
      </c>
      <c r="H97" s="316" t="str">
        <f t="array" ref="H97">XLOOKUP(B97,Roster!L:L,Roster!N:N,XLOOKUP(D97,TicketsBreak!A:A,TicketsBreak!E:E,"",0),0)</f>
        <v>09:45 - 10:00 </v>
      </c>
      <c r="I97" s="316" t="str">
        <f t="array" ref="I97">XLOOKUP(B97,Roster!L:L,Roster!O:O,XLOOKUP(D97,TicketsBreak!A:A,TicketsBreak!F:F,"",0),0)</f>
        <v>12:30 - 13:00</v>
      </c>
      <c r="J97" s="316" t="str">
        <f t="array" ref="J97">XLOOKUP(B97,Roster!L:L,Roster!P:P,XLOOKUP(D97,TicketsBreak!A:A,TicketsBreak!G:G,"",0),0)</f>
        <v>15:00 - 15:15</v>
      </c>
      <c r="K97" s="310">
        <f t="shared" si="4"/>
        <v>46113</v>
      </c>
      <c r="L97" s="317">
        <f t="array" ref="L97">(XLOOKUP(D97,Roster!F:F,Roster!D:D,"",0))</f>
        <v>24</v>
      </c>
      <c r="M97" s="317" t="str">
        <f t="array" ref="M97">XLOOKUP(D97,Roster!F:F,Roster!E:E)</f>
        <v>Voice</v>
      </c>
      <c r="N97" s="317" t="str">
        <f t="shared" ref="N97:P97" si="104">LEFT(H97,5)</f>
        <v>09:45</v>
      </c>
      <c r="O97" s="317" t="str">
        <f t="shared" si="104"/>
        <v>12:30</v>
      </c>
      <c r="P97" s="317" t="str">
        <f t="shared" si="104"/>
        <v>15:00</v>
      </c>
      <c r="Q97" s="318">
        <f t="shared" si="98"/>
        <v>46113.40625</v>
      </c>
      <c r="R97" s="318">
        <f t="shared" si="99"/>
        <v>46113.52083</v>
      </c>
      <c r="S97" s="318">
        <f t="shared" si="8"/>
        <v>46113.625</v>
      </c>
    </row>
    <row r="98">
      <c r="A98" s="14" t="str">
        <f t="shared" si="1"/>
        <v>C55646113</v>
      </c>
      <c r="B98" s="185" t="str">
        <f t="array" ref="B98">IF(F98="VL","",IF(F98="Free","Free",XLOOKUP(D98,Roster!T:T,Roster!S:S,"",0)))</f>
        <v/>
      </c>
      <c r="C98" s="313">
        <v>46113.0</v>
      </c>
      <c r="D98" s="314" t="s">
        <v>167</v>
      </c>
      <c r="E98" s="307" t="str">
        <f t="array" ref="E98">(XLOOKUP(D98,Roster!F:F,Roster!B:B,"",0))</f>
        <v>Nelson Londono</v>
      </c>
      <c r="F98" s="315" t="str">
        <f t="array" ref="F98">IF(B98=100,"Free",TEXT(XLOOKUP($D98,OperationVoice!$A:$A,OperationVoice!G:G,XLOOKUP($D98,OperationTickets!$A:$A,OperationTickets!G:G,"",0)),"hh:mm"))</f>
        <v>08:00</v>
      </c>
      <c r="G98" s="309">
        <f t="shared" si="3"/>
        <v>0.7083333333</v>
      </c>
      <c r="H98" s="316">
        <f t="array" ref="H98">XLOOKUP(B98,Roster!L:L,Roster!N:N,XLOOKUP(D98,TicketsBreak!A:A,TicketsBreak!E:E,"",0),0)</f>
        <v>0.3854166667</v>
      </c>
      <c r="I98" s="316">
        <f t="array" ref="I98">XLOOKUP(B98,Roster!L:L,Roster!O:O,XLOOKUP(D98,TicketsBreak!A:A,TicketsBreak!F:F,"",0),0)</f>
        <v>0.5833333333</v>
      </c>
      <c r="J98" s="316">
        <f t="array" ref="J98">XLOOKUP(B98,Roster!L:L,Roster!P:P,XLOOKUP(D98,TicketsBreak!A:A,TicketsBreak!G:G,"",0),0)</f>
        <v>0.6458333333</v>
      </c>
      <c r="K98" s="310">
        <f t="shared" si="4"/>
        <v>46113</v>
      </c>
      <c r="L98" s="317">
        <f t="array" ref="L98">(XLOOKUP(D98,Roster!F:F,Roster!D:D,"",0))</f>
        <v>2</v>
      </c>
      <c r="M98" s="317" t="str">
        <f t="array" ref="M98">XLOOKUP(D98,Roster!F:F,Roster!E:E)</f>
        <v>Tickets</v>
      </c>
      <c r="N98" s="317" t="str">
        <f t="shared" ref="N98:P98" si="105">LEFT(H98,5)</f>
        <v>09:15</v>
      </c>
      <c r="O98" s="317" t="str">
        <f t="shared" si="105"/>
        <v>14:00</v>
      </c>
      <c r="P98" s="317" t="str">
        <f t="shared" si="105"/>
        <v>15:30</v>
      </c>
      <c r="Q98" s="318">
        <f t="shared" si="98"/>
        <v>46113.38542</v>
      </c>
      <c r="R98" s="318">
        <f t="shared" si="99"/>
        <v>46113.58333</v>
      </c>
      <c r="S98" s="318">
        <f t="shared" si="8"/>
        <v>46113.64583</v>
      </c>
    </row>
    <row r="99">
      <c r="A99" s="14" t="str">
        <f t="shared" si="1"/>
        <v>C150746113</v>
      </c>
      <c r="B99" s="185">
        <f t="array" ref="B99">IF(F99="VL","",IF(F99="Free","Free",XLOOKUP(D99,Roster!T:T,Roster!S:S,"",0)))</f>
        <v>125</v>
      </c>
      <c r="C99" s="313">
        <v>46113.0</v>
      </c>
      <c r="D99" s="314" t="s">
        <v>67</v>
      </c>
      <c r="E99" s="307" t="str">
        <f t="array" ref="E99">(XLOOKUP(D99,Roster!F:F,Roster!B:B,"",0))</f>
        <v>Nicols Quinones</v>
      </c>
      <c r="F99" s="315" t="str">
        <f t="array" ref="F99">IF(B99=100,"Free",TEXT(XLOOKUP($D99,OperationVoice!$A:$A,OperationVoice!G:G,XLOOKUP($D99,OperationTickets!$A:$A,OperationTickets!G:G,"",0)),"hh:mm"))</f>
        <v>08:00</v>
      </c>
      <c r="G99" s="309">
        <f t="shared" si="3"/>
        <v>0.7083333333</v>
      </c>
      <c r="H99" s="316" t="str">
        <f t="array" ref="H99">XLOOKUP(B99,Roster!L:L,Roster!N:N,XLOOKUP(D99,TicketsBreak!A:A,TicketsBreak!E:E,"",0),0)</f>
        <v>10:30 - 10:45</v>
      </c>
      <c r="I99" s="316" t="str">
        <f t="array" ref="I99">XLOOKUP(B99,Roster!L:L,Roster!O:O,XLOOKUP(D99,TicketsBreak!A:A,TicketsBreak!F:F,"",0),0)</f>
        <v>13:30 - 14:00</v>
      </c>
      <c r="J99" s="316" t="str">
        <f t="array" ref="J99">XLOOKUP(B99,Roster!L:L,Roster!P:P,XLOOKUP(D99,TicketsBreak!A:A,TicketsBreak!G:G,"",0),0)</f>
        <v>15:45 - 16:00</v>
      </c>
      <c r="K99" s="310">
        <f t="shared" si="4"/>
        <v>46113</v>
      </c>
      <c r="L99" s="317">
        <f t="array" ref="L99">(XLOOKUP(D99,Roster!F:F,Roster!D:D,"",0))</f>
        <v>35</v>
      </c>
      <c r="M99" s="317" t="str">
        <f t="array" ref="M99">XLOOKUP(D99,Roster!F:F,Roster!E:E)</f>
        <v>Voice</v>
      </c>
      <c r="N99" s="317" t="str">
        <f t="shared" ref="N99:P99" si="106">LEFT(H99,5)</f>
        <v>10:30</v>
      </c>
      <c r="O99" s="317" t="str">
        <f t="shared" si="106"/>
        <v>13:30</v>
      </c>
      <c r="P99" s="317" t="str">
        <f t="shared" si="106"/>
        <v>15:45</v>
      </c>
      <c r="Q99" s="318">
        <f t="shared" si="98"/>
        <v>46113.4375</v>
      </c>
      <c r="R99" s="318">
        <f t="shared" si="99"/>
        <v>46113.5625</v>
      </c>
      <c r="S99" s="318">
        <f t="shared" si="8"/>
        <v>46113.65625</v>
      </c>
    </row>
    <row r="100">
      <c r="A100" s="14" t="str">
        <f t="shared" si="1"/>
        <v>C71446113</v>
      </c>
      <c r="B100" s="185" t="str">
        <f t="array" ref="B100">IF(F100="VL","",IF(F100="Free","Free",XLOOKUP(D100,Roster!T:T,Roster!S:S,"",0)))</f>
        <v/>
      </c>
      <c r="C100" s="313">
        <v>46113.0</v>
      </c>
      <c r="D100" s="314" t="s">
        <v>149</v>
      </c>
      <c r="E100" s="307" t="str">
        <f t="array" ref="E100">(XLOOKUP(D100,Roster!F:F,Roster!B:B,"",0))</f>
        <v>Onel Olivera</v>
      </c>
      <c r="F100" s="315" t="str">
        <f t="array" ref="F100">IF(B100=100,"Free",TEXT(XLOOKUP($D100,OperationVoice!$A:$A,OperationVoice!G:G,XLOOKUP($D100,OperationTickets!$A:$A,OperationTickets!G:G,"",0)),"hh:mm"))</f>
        <v>08:00</v>
      </c>
      <c r="G100" s="309">
        <f t="shared" si="3"/>
        <v>0.7083333333</v>
      </c>
      <c r="H100" s="316">
        <f t="array" ref="H100">XLOOKUP(B100,Roster!L:L,Roster!N:N,XLOOKUP(D100,TicketsBreak!A:A,TicketsBreak!E:E,"",0),0)</f>
        <v>0.4166666667</v>
      </c>
      <c r="I100" s="316">
        <f t="array" ref="I100">XLOOKUP(B100,Roster!L:L,Roster!O:O,XLOOKUP(D100,TicketsBreak!A:A,TicketsBreak!F:F,"",0),0)</f>
        <v>0.5</v>
      </c>
      <c r="J100" s="316">
        <f t="array" ref="J100">XLOOKUP(B100,Roster!L:L,Roster!P:P,XLOOKUP(D100,TicketsBreak!A:A,TicketsBreak!G:G,"",0),0)</f>
        <v>0.625</v>
      </c>
      <c r="K100" s="310">
        <f t="shared" si="4"/>
        <v>46113</v>
      </c>
      <c r="L100" s="317">
        <f t="array" ref="L100">(XLOOKUP(D100,Roster!F:F,Roster!D:D,"",0))</f>
        <v>1</v>
      </c>
      <c r="M100" s="317" t="str">
        <f t="array" ref="M100">XLOOKUP(D100,Roster!F:F,Roster!E:E)</f>
        <v>Tickets</v>
      </c>
      <c r="N100" s="317" t="str">
        <f t="shared" ref="N100:P100" si="107">LEFT(H100,5)</f>
        <v>10:00</v>
      </c>
      <c r="O100" s="317" t="str">
        <f t="shared" si="107"/>
        <v>12:00</v>
      </c>
      <c r="P100" s="317" t="str">
        <f t="shared" si="107"/>
        <v>15:00</v>
      </c>
      <c r="Q100" s="318">
        <f t="shared" si="98"/>
        <v>46113.41667</v>
      </c>
      <c r="R100" s="318">
        <f t="shared" si="99"/>
        <v>46113.5</v>
      </c>
      <c r="S100" s="318">
        <f t="shared" si="8"/>
        <v>46113.625</v>
      </c>
    </row>
    <row r="101">
      <c r="A101" s="14" t="str">
        <f t="shared" si="1"/>
        <v>C116446113</v>
      </c>
      <c r="B101" s="185" t="str">
        <f t="array" ref="B101">IF(F101="VL","",IF(F101="Free","Free",XLOOKUP(D101,Roster!T:T,Roster!S:S,"",0)))</f>
        <v/>
      </c>
      <c r="C101" s="313">
        <v>46113.0</v>
      </c>
      <c r="D101" s="314" t="s">
        <v>179</v>
      </c>
      <c r="E101" s="307" t="str">
        <f t="array" ref="E101">(XLOOKUP(D101,Roster!F:F,Roster!B:B,"",0))</f>
        <v>Oscar Florez</v>
      </c>
      <c r="F101" s="315" t="str">
        <f t="array" ref="F101">IF(B101=100,"Free",TEXT(XLOOKUP($D101,OperationVoice!$A:$A,OperationVoice!G:G,XLOOKUP($D101,OperationTickets!$A:$A,OperationTickets!G:G,"",0)),"hh:mm"))</f>
        <v>08:00</v>
      </c>
      <c r="G101" s="309">
        <f t="shared" si="3"/>
        <v>0.7083333333</v>
      </c>
      <c r="H101" s="316" t="str">
        <f t="array" ref="H101">XLOOKUP(B101,Roster!L:L,Roster!N:N,XLOOKUP(D101,TicketsBreak!A:A,TicketsBreak!E:E,"",0),0)</f>
        <v/>
      </c>
      <c r="I101" s="316" t="str">
        <f t="array" ref="I101">XLOOKUP(B101,Roster!L:L,Roster!O:O,XLOOKUP(D101,TicketsBreak!A:A,TicketsBreak!F:F,"",0),0)</f>
        <v/>
      </c>
      <c r="J101" s="316" t="str">
        <f t="array" ref="J101">XLOOKUP(B101,Roster!L:L,Roster!P:P,XLOOKUP(D101,TicketsBreak!A:A,TicketsBreak!G:G,"",0),0)</f>
        <v/>
      </c>
      <c r="K101" s="310">
        <f t="shared" si="4"/>
        <v>46113</v>
      </c>
      <c r="L101" s="317">
        <f t="array" ref="L101">(XLOOKUP(D101,Roster!F:F,Roster!D:D,"",0))</f>
        <v>24</v>
      </c>
      <c r="M101" s="317" t="str">
        <f t="array" ref="M101">XLOOKUP(D101,Roster!F:F,Roster!E:E)</f>
        <v>Tickets</v>
      </c>
      <c r="N101" s="317" t="str">
        <f t="shared" ref="N101:P101" si="108">LEFT(H101,5)</f>
        <v/>
      </c>
      <c r="O101" s="317" t="str">
        <f t="shared" si="108"/>
        <v/>
      </c>
      <c r="P101" s="317" t="str">
        <f t="shared" si="108"/>
        <v/>
      </c>
      <c r="Q101" s="318" t="str">
        <f t="shared" si="98"/>
        <v/>
      </c>
      <c r="R101" s="318" t="str">
        <f t="shared" si="99"/>
        <v/>
      </c>
      <c r="S101" s="318" t="str">
        <f t="shared" si="8"/>
        <v/>
      </c>
    </row>
    <row r="102">
      <c r="A102" s="14" t="str">
        <f t="shared" si="1"/>
        <v>C153846113</v>
      </c>
      <c r="B102" s="185">
        <f t="array" ref="B102">IF(F102="VL","",IF(F102="Free","Free",XLOOKUP(D102,Roster!T:T,Roster!S:S,"",0)))</f>
        <v>151</v>
      </c>
      <c r="C102" s="313">
        <v>46113.0</v>
      </c>
      <c r="D102" s="314" t="s">
        <v>68</v>
      </c>
      <c r="E102" s="307" t="str">
        <f t="array" ref="E102">(XLOOKUP(D102,Roster!F:F,Roster!B:B,"",0))</f>
        <v>Oscar Roldan</v>
      </c>
      <c r="F102" s="315" t="str">
        <f t="array" ref="F102">IF(B102=100,"Free",TEXT(XLOOKUP($D102,OperationVoice!$A:$A,OperationVoice!G:G,XLOOKUP($D102,OperationTickets!$A:$A,OperationTickets!G:G,"",0)),"hh:mm"))</f>
        <v>11:00</v>
      </c>
      <c r="G102" s="309">
        <f t="shared" si="3"/>
        <v>0.8333333333</v>
      </c>
      <c r="H102" s="316" t="str">
        <f t="array" ref="H102">XLOOKUP(B102,Roster!L:L,Roster!N:N,XLOOKUP(D102,TicketsBreak!A:A,TicketsBreak!E:E,"",0),0)</f>
        <v>12:15 - 12:30</v>
      </c>
      <c r="I102" s="316" t="str">
        <f t="array" ref="I102">XLOOKUP(B102,Roster!L:L,Roster!O:O,XLOOKUP(D102,TicketsBreak!A:A,TicketsBreak!F:F,"",0),0)</f>
        <v>14:00 - 14:30</v>
      </c>
      <c r="J102" s="316" t="str">
        <f t="array" ref="J102">XLOOKUP(B102,Roster!L:L,Roster!P:P,XLOOKUP(D102,TicketsBreak!A:A,TicketsBreak!G:G,"",0),0)</f>
        <v>17:15 - 17:30</v>
      </c>
      <c r="K102" s="310">
        <f t="shared" si="4"/>
        <v>46113</v>
      </c>
      <c r="L102" s="317">
        <f t="array" ref="L102">(XLOOKUP(D102,Roster!F:F,Roster!D:D,"",0))</f>
        <v>36</v>
      </c>
      <c r="M102" s="317" t="str">
        <f t="array" ref="M102">XLOOKUP(D102,Roster!F:F,Roster!E:E)</f>
        <v>Voice</v>
      </c>
      <c r="N102" s="317" t="str">
        <f t="shared" ref="N102:P102" si="109">LEFT(H102,5)</f>
        <v>12:15</v>
      </c>
      <c r="O102" s="317" t="str">
        <f t="shared" si="109"/>
        <v>14:00</v>
      </c>
      <c r="P102" s="317" t="str">
        <f t="shared" si="109"/>
        <v>17:15</v>
      </c>
      <c r="Q102" s="318">
        <f t="shared" si="98"/>
        <v>46113.51042</v>
      </c>
      <c r="R102" s="318">
        <f t="shared" si="99"/>
        <v>46113.58333</v>
      </c>
      <c r="S102" s="318">
        <f t="shared" si="8"/>
        <v>46113.71875</v>
      </c>
    </row>
    <row r="103">
      <c r="A103" s="14" t="str">
        <f t="shared" si="1"/>
        <v>C151146113</v>
      </c>
      <c r="B103" s="185" t="str">
        <f t="array" ref="B103">IF(F103="VL","",IF(F103="Free","Free",XLOOKUP(D103,Roster!T:T,Roster!S:S,"",0)))</f>
        <v>Free</v>
      </c>
      <c r="C103" s="313">
        <v>46113.0</v>
      </c>
      <c r="D103" s="314" t="s">
        <v>69</v>
      </c>
      <c r="E103" s="307" t="str">
        <f t="array" ref="E103">(XLOOKUP(D103,Roster!F:F,Roster!B:B,"",0))</f>
        <v>Salma Giraldo</v>
      </c>
      <c r="F103" s="315" t="str">
        <f t="array" ref="F103">IF(B103=100,"Free",TEXT(XLOOKUP($D103,OperationVoice!$A:$A,OperationVoice!G:G,XLOOKUP($D103,OperationTickets!$A:$A,OperationTickets!G:G,"",0)),"hh:mm"))</f>
        <v>Free</v>
      </c>
      <c r="G103" s="309" t="str">
        <f t="shared" si="3"/>
        <v>Free</v>
      </c>
      <c r="H103" s="316" t="str">
        <f t="array" ref="H103">XLOOKUP(B103,Roster!L:L,Roster!N:N,XLOOKUP(D103,TicketsBreak!A:A,TicketsBreak!E:E,"",0),0)</f>
        <v/>
      </c>
      <c r="I103" s="316" t="str">
        <f t="array" ref="I103">XLOOKUP(B103,Roster!L:L,Roster!O:O,XLOOKUP(D103,TicketsBreak!A:A,TicketsBreak!F:F,"",0),0)</f>
        <v/>
      </c>
      <c r="J103" s="316" t="str">
        <f t="array" ref="J103">XLOOKUP(B103,Roster!L:L,Roster!P:P,XLOOKUP(D103,TicketsBreak!A:A,TicketsBreak!G:G,"",0),0)</f>
        <v/>
      </c>
      <c r="K103" s="310">
        <f t="shared" si="4"/>
        <v>46113</v>
      </c>
      <c r="L103" s="317">
        <f t="array" ref="L103">(XLOOKUP(D103,Roster!F:F,Roster!D:D,"",0))</f>
        <v>35</v>
      </c>
      <c r="M103" s="317" t="str">
        <f t="array" ref="M103">XLOOKUP(D103,Roster!F:F,Roster!E:E)</f>
        <v>Voice</v>
      </c>
      <c r="N103" s="317" t="str">
        <f t="shared" ref="N103:P103" si="110">LEFT(H103,5)</f>
        <v/>
      </c>
      <c r="O103" s="317" t="str">
        <f t="shared" si="110"/>
        <v/>
      </c>
      <c r="P103" s="317" t="str">
        <f t="shared" si="110"/>
        <v/>
      </c>
      <c r="Q103" s="318" t="str">
        <f t="shared" si="98"/>
        <v/>
      </c>
      <c r="R103" s="318" t="str">
        <f t="shared" si="99"/>
        <v/>
      </c>
      <c r="S103" s="318" t="str">
        <f t="shared" si="8"/>
        <v/>
      </c>
    </row>
    <row r="104">
      <c r="A104" s="14" t="str">
        <f t="shared" si="1"/>
        <v>C93346113</v>
      </c>
      <c r="B104" s="185">
        <f t="array" ref="B104">IF(F104="VL","",IF(F104="Free","Free",XLOOKUP(D104,Roster!T:T,Roster!S:S,"",0)))</f>
        <v>124</v>
      </c>
      <c r="C104" s="313">
        <v>46113.0</v>
      </c>
      <c r="D104" s="314" t="s">
        <v>70</v>
      </c>
      <c r="E104" s="307" t="str">
        <f t="array" ref="E104">(XLOOKUP(D104,Roster!F:F,Roster!B:B,"",0))</f>
        <v>Salome Arias</v>
      </c>
      <c r="F104" s="315" t="str">
        <f t="array" ref="F104">IF(B104=100,"Free",TEXT(XLOOKUP($D104,OperationVoice!$A:$A,OperationVoice!G:G,XLOOKUP($D104,OperationTickets!$A:$A,OperationTickets!G:G,"",0)),"hh:mm"))</f>
        <v>08:00</v>
      </c>
      <c r="G104" s="309">
        <f t="shared" si="3"/>
        <v>0.7083333333</v>
      </c>
      <c r="H104" s="316" t="str">
        <f t="array" ref="H104">XLOOKUP(B104,Roster!L:L,Roster!N:N,XLOOKUP(D104,TicketsBreak!A:A,TicketsBreak!E:E,"",0),0)</f>
        <v>10:00 - 10:15</v>
      </c>
      <c r="I104" s="316" t="str">
        <f t="array" ref="I104">XLOOKUP(B104,Roster!L:L,Roster!O:O,XLOOKUP(D104,TicketsBreak!A:A,TicketsBreak!F:F,"",0),0)</f>
        <v>13:00 - 13:30</v>
      </c>
      <c r="J104" s="316" t="str">
        <f t="array" ref="J104">XLOOKUP(B104,Roster!L:L,Roster!P:P,XLOOKUP(D104,TicketsBreak!A:A,TicketsBreak!G:G,"",0),0)</f>
        <v>15:30 - 15:45</v>
      </c>
      <c r="K104" s="310">
        <f t="shared" si="4"/>
        <v>46113</v>
      </c>
      <c r="L104" s="317">
        <f t="array" ref="L104">(XLOOKUP(D104,Roster!F:F,Roster!D:D,"",0))</f>
        <v>12</v>
      </c>
      <c r="M104" s="317" t="str">
        <f t="array" ref="M104">XLOOKUP(D104,Roster!F:F,Roster!E:E)</f>
        <v>Voice</v>
      </c>
      <c r="N104" s="317" t="str">
        <f t="shared" ref="N104:P104" si="111">LEFT(H104,5)</f>
        <v>10:00</v>
      </c>
      <c r="O104" s="317" t="str">
        <f t="shared" si="111"/>
        <v>13:00</v>
      </c>
      <c r="P104" s="317" t="str">
        <f t="shared" si="111"/>
        <v>15:30</v>
      </c>
      <c r="Q104" s="318">
        <f t="shared" si="98"/>
        <v>46113.41667</v>
      </c>
      <c r="R104" s="318">
        <f t="shared" si="99"/>
        <v>46113.54167</v>
      </c>
      <c r="S104" s="318">
        <f t="shared" si="8"/>
        <v>46113.64583</v>
      </c>
    </row>
    <row r="105">
      <c r="A105" s="14" t="str">
        <f t="shared" si="1"/>
        <v>C128246113</v>
      </c>
      <c r="B105" s="185" t="str">
        <f t="array" ref="B105">IF(F105="VL","",IF(F105="Free","Free",XLOOKUP(D105,Roster!T:T,Roster!S:S,"",0)))</f>
        <v/>
      </c>
      <c r="C105" s="313">
        <v>46113.0</v>
      </c>
      <c r="D105" s="314" t="s">
        <v>168</v>
      </c>
      <c r="E105" s="307" t="str">
        <f t="array" ref="E105">(XLOOKUP(D105,Roster!F:F,Roster!B:B,"",0))</f>
        <v>Samuel Acevedo</v>
      </c>
      <c r="F105" s="315" t="str">
        <f t="array" ref="F105">IF(B105=100,"Free",TEXT(XLOOKUP($D105,OperationVoice!$A:$A,OperationVoice!G:G,XLOOKUP($D105,OperationTickets!$A:$A,OperationTickets!G:G,"",0)),"hh:mm"))</f>
        <v>08:00</v>
      </c>
      <c r="G105" s="309">
        <f t="shared" si="3"/>
        <v>0.7083333333</v>
      </c>
      <c r="H105" s="316" t="str">
        <f t="array" ref="H105">XLOOKUP(B105,Roster!L:L,Roster!N:N,XLOOKUP(D105,TicketsBreak!A:A,TicketsBreak!E:E,"",0),0)</f>
        <v/>
      </c>
      <c r="I105" s="316" t="str">
        <f t="array" ref="I105">XLOOKUP(B105,Roster!L:L,Roster!O:O,XLOOKUP(D105,TicketsBreak!A:A,TicketsBreak!F:F,"",0),0)</f>
        <v/>
      </c>
      <c r="J105" s="316" t="str">
        <f t="array" ref="J105">XLOOKUP(B105,Roster!L:L,Roster!P:P,XLOOKUP(D105,TicketsBreak!A:A,TicketsBreak!G:G,"",0),0)</f>
        <v/>
      </c>
      <c r="K105" s="310">
        <f t="shared" si="4"/>
        <v>46113</v>
      </c>
      <c r="L105" s="317">
        <f t="array" ref="L105">(XLOOKUP(D105,Roster!F:F,Roster!D:D,"",0))</f>
        <v>27</v>
      </c>
      <c r="M105" s="317" t="str">
        <f t="array" ref="M105">XLOOKUP(D105,Roster!F:F,Roster!E:E)</f>
        <v>Tickets</v>
      </c>
      <c r="N105" s="317" t="str">
        <f t="shared" ref="N105:P105" si="112">LEFT(H105,5)</f>
        <v/>
      </c>
      <c r="O105" s="317" t="str">
        <f t="shared" si="112"/>
        <v/>
      </c>
      <c r="P105" s="317" t="str">
        <f t="shared" si="112"/>
        <v/>
      </c>
      <c r="Q105" s="318" t="str">
        <f t="shared" si="98"/>
        <v/>
      </c>
      <c r="R105" s="318" t="str">
        <f t="shared" si="99"/>
        <v/>
      </c>
      <c r="S105" s="318" t="str">
        <f t="shared" si="8"/>
        <v/>
      </c>
    </row>
    <row r="106">
      <c r="A106" s="14" t="str">
        <f t="shared" si="1"/>
        <v>C156446113</v>
      </c>
      <c r="B106" s="185">
        <f t="array" ref="B106">IF(F106="VL","",IF(F106="Free","Free",XLOOKUP(D106,Roster!T:T,Roster!S:S,"",0)))</f>
        <v>121</v>
      </c>
      <c r="C106" s="313">
        <v>46113.0</v>
      </c>
      <c r="D106" s="314" t="s">
        <v>71</v>
      </c>
      <c r="E106" s="307" t="str">
        <f t="array" ref="E106">(XLOOKUP(D106,Roster!F:F,Roster!B:B,"",0))</f>
        <v>Samuel Acevedo Cadavid</v>
      </c>
      <c r="F106" s="315" t="str">
        <f t="array" ref="F106">IF(B106=100,"Free",TEXT(XLOOKUP($D106,OperationVoice!$A:$A,OperationVoice!G:G,XLOOKUP($D106,OperationTickets!$A:$A,OperationTickets!G:G,"",0)),"hh:mm"))</f>
        <v>11:00</v>
      </c>
      <c r="G106" s="309">
        <f t="shared" si="3"/>
        <v>0.8333333333</v>
      </c>
      <c r="H106" s="316" t="str">
        <f t="array" ref="H106">XLOOKUP(B106,Roster!L:L,Roster!N:N,XLOOKUP(D106,TicketsBreak!A:A,TicketsBreak!E:E,"",0),0)</f>
        <v>09:15 - 09:30</v>
      </c>
      <c r="I106" s="316" t="str">
        <f t="array" ref="I106">XLOOKUP(B106,Roster!L:L,Roster!O:O,XLOOKUP(D106,TicketsBreak!A:A,TicketsBreak!F:F,"",0),0)</f>
        <v>11:30 - 12:00</v>
      </c>
      <c r="J106" s="316" t="str">
        <f t="array" ref="J106">XLOOKUP(B106,Roster!L:L,Roster!P:P,XLOOKUP(D106,TicketsBreak!A:A,TicketsBreak!G:G,"",0),0)</f>
        <v>14:30 - 14:45</v>
      </c>
      <c r="K106" s="310">
        <f t="shared" si="4"/>
        <v>46113</v>
      </c>
      <c r="L106" s="317">
        <f t="array" ref="L106">(XLOOKUP(D106,Roster!F:F,Roster!D:D,"",0))</f>
        <v>38</v>
      </c>
      <c r="M106" s="317" t="str">
        <f t="array" ref="M106">XLOOKUP(D106,Roster!F:F,Roster!E:E)</f>
        <v>Voice</v>
      </c>
      <c r="N106" s="317" t="str">
        <f t="shared" ref="N106:P106" si="113">LEFT(H106,5)</f>
        <v>09:15</v>
      </c>
      <c r="O106" s="317" t="str">
        <f t="shared" si="113"/>
        <v>11:30</v>
      </c>
      <c r="P106" s="317" t="str">
        <f t="shared" si="113"/>
        <v>14:30</v>
      </c>
      <c r="Q106" s="318">
        <f t="shared" si="98"/>
        <v>46113.38542</v>
      </c>
      <c r="R106" s="318">
        <f t="shared" si="99"/>
        <v>46113.47917</v>
      </c>
      <c r="S106" s="318">
        <f t="shared" si="8"/>
        <v>46113.60417</v>
      </c>
    </row>
    <row r="107">
      <c r="A107" s="14" t="str">
        <f t="shared" si="1"/>
        <v>C116846113</v>
      </c>
      <c r="B107" s="185">
        <f t="array" ref="B107">IF(F107="VL","",IF(F107="Free","Free",XLOOKUP(D107,Roster!T:T,Roster!S:S,"",0)))</f>
        <v>125</v>
      </c>
      <c r="C107" s="313">
        <v>46113.0</v>
      </c>
      <c r="D107" s="314" t="s">
        <v>180</v>
      </c>
      <c r="E107" s="307" t="str">
        <f t="array" ref="E107">(XLOOKUP(D107,Roster!F:F,Roster!B:B,"",0))</f>
        <v>Santiago Gaviria</v>
      </c>
      <c r="F107" s="315" t="str">
        <f t="array" ref="F107">IF(B107=100,"Free",TEXT(XLOOKUP($D107,OperationVoice!$A:$A,OperationVoice!G:G,XLOOKUP($D107,OperationTickets!$A:$A,OperationTickets!G:G,"",0)),"hh:mm"))</f>
        <v>08:00</v>
      </c>
      <c r="G107" s="309">
        <f t="shared" si="3"/>
        <v>0.7083333333</v>
      </c>
      <c r="H107" s="316" t="str">
        <f t="array" ref="H107">XLOOKUP(B107,Roster!L:L,Roster!N:N,XLOOKUP(D107,TicketsBreak!A:A,TicketsBreak!E:E,"",0),0)</f>
        <v>10:30 - 10:45</v>
      </c>
      <c r="I107" s="316" t="str">
        <f t="array" ref="I107">XLOOKUP(B107,Roster!L:L,Roster!O:O,XLOOKUP(D107,TicketsBreak!A:A,TicketsBreak!F:F,"",0),0)</f>
        <v>13:30 - 14:00</v>
      </c>
      <c r="J107" s="316" t="str">
        <f t="array" ref="J107">XLOOKUP(B107,Roster!L:L,Roster!P:P,XLOOKUP(D107,TicketsBreak!A:A,TicketsBreak!G:G,"",0),0)</f>
        <v>15:45 - 16:00</v>
      </c>
      <c r="K107" s="310">
        <f t="shared" si="4"/>
        <v>46113</v>
      </c>
      <c r="L107" s="317">
        <f t="array" ref="L107">(XLOOKUP(D107,Roster!F:F,Roster!D:D,"",0))</f>
        <v>24</v>
      </c>
      <c r="M107" s="317" t="str">
        <f t="array" ref="M107">XLOOKUP(D107,Roster!F:F,Roster!E:E)</f>
        <v>Tickets</v>
      </c>
      <c r="N107" s="317" t="str">
        <f t="shared" ref="N107:P107" si="114">LEFT(H107,5)</f>
        <v>10:30</v>
      </c>
      <c r="O107" s="317" t="str">
        <f t="shared" si="114"/>
        <v>13:30</v>
      </c>
      <c r="P107" s="317" t="str">
        <f t="shared" si="114"/>
        <v>15:45</v>
      </c>
      <c r="Q107" s="318">
        <f t="shared" si="98"/>
        <v>46113.4375</v>
      </c>
      <c r="R107" s="318">
        <f t="shared" si="99"/>
        <v>46113.5625</v>
      </c>
      <c r="S107" s="318">
        <f t="shared" si="8"/>
        <v>46113.65625</v>
      </c>
    </row>
    <row r="108">
      <c r="A108" s="14" t="str">
        <f t="shared" si="1"/>
        <v>C122046113</v>
      </c>
      <c r="B108" s="185" t="str">
        <f t="array" ref="B108">IF(F108="VL","",IF(F108="Free","Free",XLOOKUP(D108,Roster!T:T,Roster!S:S,"",0)))</f>
        <v/>
      </c>
      <c r="C108" s="313">
        <v>46113.0</v>
      </c>
      <c r="D108" s="314" t="s">
        <v>181</v>
      </c>
      <c r="E108" s="307" t="str">
        <f t="array" ref="E108">(XLOOKUP(D108,Roster!F:F,Roster!B:B,"",0))</f>
        <v>Santiago Gonzalez</v>
      </c>
      <c r="F108" s="315" t="str">
        <f t="array" ref="F108">IF(B108=100,"Free",TEXT(XLOOKUP($D108,OperationVoice!$A:$A,OperationVoice!G:G,XLOOKUP($D108,OperationTickets!$A:$A,OperationTickets!G:G,"",0)),"hh:mm"))</f>
        <v>08:00</v>
      </c>
      <c r="G108" s="309">
        <f t="shared" si="3"/>
        <v>0.7083333333</v>
      </c>
      <c r="H108" s="316" t="str">
        <f t="array" ref="H108">XLOOKUP(B108,Roster!L:L,Roster!N:N,XLOOKUP(D108,TicketsBreak!A:A,TicketsBreak!E:E,"",0),0)</f>
        <v/>
      </c>
      <c r="I108" s="316" t="str">
        <f t="array" ref="I108">XLOOKUP(B108,Roster!L:L,Roster!O:O,XLOOKUP(D108,TicketsBreak!A:A,TicketsBreak!F:F,"",0),0)</f>
        <v/>
      </c>
      <c r="J108" s="316" t="str">
        <f t="array" ref="J108">XLOOKUP(B108,Roster!L:L,Roster!P:P,XLOOKUP(D108,TicketsBreak!A:A,TicketsBreak!G:G,"",0),0)</f>
        <v/>
      </c>
      <c r="K108" s="310">
        <f t="shared" si="4"/>
        <v>46113</v>
      </c>
      <c r="L108" s="317">
        <f t="array" ref="L108">(XLOOKUP(D108,Roster!F:F,Roster!D:D,"",0))</f>
        <v>26</v>
      </c>
      <c r="M108" s="317" t="str">
        <f t="array" ref="M108">XLOOKUP(D108,Roster!F:F,Roster!E:E)</f>
        <v>Tickets</v>
      </c>
      <c r="N108" s="317" t="str">
        <f t="shared" ref="N108:P108" si="115">LEFT(H108,5)</f>
        <v/>
      </c>
      <c r="O108" s="317" t="str">
        <f t="shared" si="115"/>
        <v/>
      </c>
      <c r="P108" s="317" t="str">
        <f t="shared" si="115"/>
        <v/>
      </c>
      <c r="Q108" s="318" t="str">
        <f t="shared" si="98"/>
        <v/>
      </c>
      <c r="R108" s="318" t="str">
        <f t="shared" si="99"/>
        <v/>
      </c>
      <c r="S108" s="318" t="str">
        <f t="shared" si="8"/>
        <v/>
      </c>
    </row>
    <row r="109">
      <c r="A109" s="14" t="str">
        <f t="shared" si="1"/>
        <v>C140646113</v>
      </c>
      <c r="B109" s="185">
        <f t="array" ref="B109">IF(F109="VL","",IF(F109="Free","Free",XLOOKUP(D109,Roster!T:T,Roster!S:S,"",0)))</f>
        <v>152</v>
      </c>
      <c r="C109" s="313">
        <v>46113.0</v>
      </c>
      <c r="D109" s="314" t="s">
        <v>72</v>
      </c>
      <c r="E109" s="307" t="str">
        <f t="array" ref="E109">(XLOOKUP(D109,Roster!F:F,Roster!B:B,"",0))</f>
        <v>Santiago Mora</v>
      </c>
      <c r="F109" s="315" t="str">
        <f t="array" ref="F109">IF(B109=100,"Free",TEXT(XLOOKUP($D109,OperationVoice!$A:$A,OperationVoice!G:G,XLOOKUP($D109,OperationTickets!$A:$A,OperationTickets!G:G,"",0)),"hh:mm"))</f>
        <v>11:00</v>
      </c>
      <c r="G109" s="309">
        <f t="shared" si="3"/>
        <v>0.8333333333</v>
      </c>
      <c r="H109" s="316" t="str">
        <f t="array" ref="H109">XLOOKUP(B109,Roster!L:L,Roster!N:N,XLOOKUP(D109,TicketsBreak!A:A,TicketsBreak!E:E,"",0),0)</f>
        <v>12:30 - 12:45</v>
      </c>
      <c r="I109" s="316" t="str">
        <f t="array" ref="I109">XLOOKUP(B109,Roster!L:L,Roster!O:O,XLOOKUP(D109,TicketsBreak!A:A,TicketsBreak!F:F,"",0),0)</f>
        <v>14:30 - 15:00</v>
      </c>
      <c r="J109" s="316" t="str">
        <f t="array" ref="J109">XLOOKUP(B109,Roster!L:L,Roster!P:P,XLOOKUP(D109,TicketsBreak!A:A,TicketsBreak!G:G,"",0),0)</f>
        <v>17:30 - 17:45</v>
      </c>
      <c r="K109" s="310">
        <f t="shared" si="4"/>
        <v>46113</v>
      </c>
      <c r="L109" s="317">
        <f t="array" ref="L109">(XLOOKUP(D109,Roster!F:F,Roster!D:D,"",0))</f>
        <v>35</v>
      </c>
      <c r="M109" s="317" t="str">
        <f t="array" ref="M109">XLOOKUP(D109,Roster!F:F,Roster!E:E)</f>
        <v>Voice</v>
      </c>
      <c r="N109" s="317" t="str">
        <f t="shared" ref="N109:P109" si="116">LEFT(H109,5)</f>
        <v>12:30</v>
      </c>
      <c r="O109" s="317" t="str">
        <f t="shared" si="116"/>
        <v>14:30</v>
      </c>
      <c r="P109" s="317" t="str">
        <f t="shared" si="116"/>
        <v>17:30</v>
      </c>
      <c r="Q109" s="318">
        <f t="shared" si="98"/>
        <v>46113.52083</v>
      </c>
      <c r="R109" s="318">
        <f t="shared" si="99"/>
        <v>46113.60417</v>
      </c>
      <c r="S109" s="318">
        <f t="shared" si="8"/>
        <v>46113.72917</v>
      </c>
    </row>
    <row r="110">
      <c r="A110" s="14" t="str">
        <f t="shared" si="1"/>
        <v>C119946113</v>
      </c>
      <c r="B110" s="185" t="str">
        <f t="array" ref="B110">IF(F110="VL","",IF(F110="Free","Free",XLOOKUP(D110,Roster!T:T,Roster!S:S,"",0)))</f>
        <v/>
      </c>
      <c r="C110" s="313">
        <v>46113.0</v>
      </c>
      <c r="D110" s="314" t="s">
        <v>182</v>
      </c>
      <c r="E110" s="307" t="str">
        <f t="array" ref="E110">(XLOOKUP(D110,Roster!F:F,Roster!B:B,"",0))</f>
        <v>Santiago Velasquez</v>
      </c>
      <c r="F110" s="315" t="str">
        <f t="array" ref="F110">IF(B110=100,"Free",TEXT(XLOOKUP($D110,OperationVoice!$A:$A,OperationVoice!G:G,XLOOKUP($D110,OperationTickets!$A:$A,OperationTickets!G:G,"",0)),"hh:mm"))</f>
        <v>08:00</v>
      </c>
      <c r="G110" s="309">
        <f t="shared" si="3"/>
        <v>0.7083333333</v>
      </c>
      <c r="H110" s="316" t="str">
        <f t="array" ref="H110">XLOOKUP(B110,Roster!L:L,Roster!N:N,XLOOKUP(D110,TicketsBreak!A:A,TicketsBreak!E:E,"",0),0)</f>
        <v/>
      </c>
      <c r="I110" s="316" t="str">
        <f t="array" ref="I110">XLOOKUP(B110,Roster!L:L,Roster!O:O,XLOOKUP(D110,TicketsBreak!A:A,TicketsBreak!F:F,"",0),0)</f>
        <v/>
      </c>
      <c r="J110" s="316" t="str">
        <f t="array" ref="J110">XLOOKUP(B110,Roster!L:L,Roster!P:P,XLOOKUP(D110,TicketsBreak!A:A,TicketsBreak!G:G,"",0),0)</f>
        <v/>
      </c>
      <c r="K110" s="310">
        <f t="shared" si="4"/>
        <v>46113</v>
      </c>
      <c r="L110" s="317">
        <f t="array" ref="L110">(XLOOKUP(D110,Roster!F:F,Roster!D:D,"",0))</f>
        <v>25</v>
      </c>
      <c r="M110" s="317" t="str">
        <f t="array" ref="M110">XLOOKUP(D110,Roster!F:F,Roster!E:E)</f>
        <v>Tickets</v>
      </c>
      <c r="N110" s="317" t="str">
        <f t="shared" ref="N110:P110" si="117">LEFT(H110,5)</f>
        <v/>
      </c>
      <c r="O110" s="317" t="str">
        <f t="shared" si="117"/>
        <v/>
      </c>
      <c r="P110" s="317" t="str">
        <f t="shared" si="117"/>
        <v/>
      </c>
      <c r="Q110" s="318" t="str">
        <f t="shared" si="98"/>
        <v/>
      </c>
      <c r="R110" s="318" t="str">
        <f t="shared" si="99"/>
        <v/>
      </c>
      <c r="S110" s="318" t="str">
        <f t="shared" si="8"/>
        <v/>
      </c>
    </row>
    <row r="111">
      <c r="A111" s="14" t="str">
        <f t="shared" si="1"/>
        <v>C90246113</v>
      </c>
      <c r="B111" s="185" t="str">
        <f t="array" ref="B111">IF(F111="VL","",IF(F111="Free","Free",XLOOKUP(D111,Roster!T:T,Roster!S:S,"",0)))</f>
        <v/>
      </c>
      <c r="C111" s="313">
        <v>46113.0</v>
      </c>
      <c r="D111" s="314" t="s">
        <v>150</v>
      </c>
      <c r="E111" s="307" t="str">
        <f t="array" ref="E111">(XLOOKUP(D111,Roster!F:F,Roster!B:B,"",0))</f>
        <v>Sebastiam Vallejo</v>
      </c>
      <c r="F111" s="315" t="str">
        <f t="array" ref="F111">IF(B111=100,"Free",TEXT(XLOOKUP($D111,OperationVoice!$A:$A,OperationVoice!G:G,XLOOKUP($D111,OperationTickets!$A:$A,OperationTickets!G:G,"",0)),"hh:mm"))</f>
        <v>08:00</v>
      </c>
      <c r="G111" s="309">
        <f t="shared" si="3"/>
        <v>0.7083333333</v>
      </c>
      <c r="H111" s="316">
        <f t="array" ref="H111">XLOOKUP(B111,Roster!L:L,Roster!N:N,XLOOKUP(D111,TicketsBreak!A:A,TicketsBreak!E:E,"",0),0)</f>
        <v>0.4375</v>
      </c>
      <c r="I111" s="316">
        <f t="array" ref="I111">XLOOKUP(B111,Roster!L:L,Roster!O:O,XLOOKUP(D111,TicketsBreak!A:A,TicketsBreak!F:F,"",0),0)</f>
        <v>0.6041666667</v>
      </c>
      <c r="J111" s="316">
        <f t="array" ref="J111">XLOOKUP(B111,Roster!L:L,Roster!P:P,XLOOKUP(D111,TicketsBreak!A:A,TicketsBreak!G:G,"",0),0)</f>
        <v>0.65625</v>
      </c>
      <c r="K111" s="310">
        <f t="shared" si="4"/>
        <v>46113</v>
      </c>
      <c r="L111" s="317">
        <f t="array" ref="L111">(XLOOKUP(D111,Roster!F:F,Roster!D:D,"",0))</f>
        <v>11</v>
      </c>
      <c r="M111" s="317" t="str">
        <f t="array" ref="M111">XLOOKUP(D111,Roster!F:F,Roster!E:E)</f>
        <v>Tickets</v>
      </c>
      <c r="N111" s="317" t="str">
        <f t="shared" ref="N111:P111" si="118">LEFT(H111,5)</f>
        <v>10:30</v>
      </c>
      <c r="O111" s="317" t="str">
        <f t="shared" si="118"/>
        <v>14:30</v>
      </c>
      <c r="P111" s="317" t="str">
        <f t="shared" si="118"/>
        <v>15:45</v>
      </c>
      <c r="Q111" s="318">
        <f t="shared" si="98"/>
        <v>46113.4375</v>
      </c>
      <c r="R111" s="318">
        <f t="shared" si="99"/>
        <v>46113.60417</v>
      </c>
      <c r="S111" s="318">
        <f t="shared" si="8"/>
        <v>46113.65625</v>
      </c>
    </row>
    <row r="112">
      <c r="A112" s="14" t="str">
        <f t="shared" si="1"/>
        <v>C150646113</v>
      </c>
      <c r="B112" s="185">
        <f t="array" ref="B112">IF(F112="VL","",IF(F112="Free","Free",XLOOKUP(D112,Roster!T:T,Roster!S:S,"",0)))</f>
        <v>153</v>
      </c>
      <c r="C112" s="313">
        <v>46113.0</v>
      </c>
      <c r="D112" s="314" t="s">
        <v>73</v>
      </c>
      <c r="E112" s="307" t="str">
        <f t="array" ref="E112">(XLOOKUP(D112,Roster!F:F,Roster!B:B,"",0))</f>
        <v>Sebastian Agudelo Londono</v>
      </c>
      <c r="F112" s="315" t="str">
        <f t="array" ref="F112">IF(B112=100,"Free",TEXT(XLOOKUP($D112,OperationVoice!$A:$A,OperationVoice!G:G,XLOOKUP($D112,OperationTickets!$A:$A,OperationTickets!G:G,"",0)),"hh:mm"))</f>
        <v>11:00</v>
      </c>
      <c r="G112" s="309">
        <f t="shared" si="3"/>
        <v>0.8333333333</v>
      </c>
      <c r="H112" s="316" t="str">
        <f t="array" ref="H112">XLOOKUP(B112,Roster!L:L,Roster!N:N,XLOOKUP(D112,TicketsBreak!A:A,TicketsBreak!E:E,"",0),0)</f>
        <v>12:45 - 13:00</v>
      </c>
      <c r="I112" s="316" t="str">
        <f t="array" ref="I112">XLOOKUP(B112,Roster!L:L,Roster!O:O,XLOOKUP(D112,TicketsBreak!A:A,TicketsBreak!F:F,"",0),0)</f>
        <v>15:00 - 15:30</v>
      </c>
      <c r="J112" s="316" t="str">
        <f t="array" ref="J112">XLOOKUP(B112,Roster!L:L,Roster!P:P,XLOOKUP(D112,TicketsBreak!A:A,TicketsBreak!G:G,"",0),0)</f>
        <v>17:45 - 18:00</v>
      </c>
      <c r="K112" s="310">
        <f t="shared" si="4"/>
        <v>46113</v>
      </c>
      <c r="L112" s="317">
        <f t="array" ref="L112">(XLOOKUP(D112,Roster!F:F,Roster!D:D,"",0))</f>
        <v>35</v>
      </c>
      <c r="M112" s="317" t="str">
        <f t="array" ref="M112">XLOOKUP(D112,Roster!F:F,Roster!E:E)</f>
        <v>Voice</v>
      </c>
      <c r="N112" s="317" t="str">
        <f t="shared" ref="N112:P112" si="119">LEFT(H112,5)</f>
        <v>12:45</v>
      </c>
      <c r="O112" s="317" t="str">
        <f t="shared" si="119"/>
        <v>15:00</v>
      </c>
      <c r="P112" s="317" t="str">
        <f t="shared" si="119"/>
        <v>17:45</v>
      </c>
      <c r="Q112" s="318">
        <f t="shared" si="98"/>
        <v>46113.53125</v>
      </c>
      <c r="R112" s="318">
        <f t="shared" si="99"/>
        <v>46113.625</v>
      </c>
      <c r="S112" s="318">
        <f t="shared" si="8"/>
        <v>46113.73958</v>
      </c>
    </row>
    <row r="113">
      <c r="A113" s="14" t="str">
        <f t="shared" si="1"/>
        <v>C119046113</v>
      </c>
      <c r="B113" s="185" t="str">
        <f t="array" ref="B113">IF(F113="VL","",IF(F113="Free","Free",XLOOKUP(D113,Roster!T:T,Roster!S:S,"",0)))</f>
        <v/>
      </c>
      <c r="C113" s="313">
        <v>46113.0</v>
      </c>
      <c r="D113" s="314" t="s">
        <v>183</v>
      </c>
      <c r="E113" s="307" t="str">
        <f t="array" ref="E113">(XLOOKUP(D113,Roster!F:F,Roster!B:B,"",0))</f>
        <v>Sebastian Herrera</v>
      </c>
      <c r="F113" s="315" t="str">
        <f t="array" ref="F113">IF(B113=100,"Free",TEXT(XLOOKUP($D113,OperationVoice!$A:$A,OperationVoice!G:G,XLOOKUP($D113,OperationTickets!$A:$A,OperationTickets!G:G,"",0)),"hh:mm"))</f>
        <v>07:00</v>
      </c>
      <c r="G113" s="309">
        <f t="shared" si="3"/>
        <v>0.6666666667</v>
      </c>
      <c r="H113" s="316">
        <f t="array" ref="H113">XLOOKUP(B113,Roster!L:L,Roster!N:N,XLOOKUP(D113,TicketsBreak!A:A,TicketsBreak!E:E,"",0),0)</f>
        <v>0.40625</v>
      </c>
      <c r="I113" s="316">
        <f t="array" ref="I113">XLOOKUP(B113,Roster!L:L,Roster!O:O,XLOOKUP(D113,TicketsBreak!A:A,TicketsBreak!F:F,"",0),0)</f>
        <v>0.5416666667</v>
      </c>
      <c r="J113" s="316">
        <f t="array" ref="J113">XLOOKUP(B113,Roster!L:L,Roster!P:P,XLOOKUP(D113,TicketsBreak!A:A,TicketsBreak!G:G,"",0),0)</f>
        <v>0.625</v>
      </c>
      <c r="K113" s="310">
        <f t="shared" si="4"/>
        <v>46113</v>
      </c>
      <c r="L113" s="317">
        <f t="array" ref="L113">(XLOOKUP(D113,Roster!F:F,Roster!D:D,"",0))</f>
        <v>25</v>
      </c>
      <c r="M113" s="317" t="str">
        <f t="array" ref="M113">XLOOKUP(D113,Roster!F:F,Roster!E:E)</f>
        <v>Tickets</v>
      </c>
      <c r="N113" s="317" t="str">
        <f t="shared" ref="N113:P113" si="120">LEFT(H113,5)</f>
        <v>09:45</v>
      </c>
      <c r="O113" s="317" t="str">
        <f t="shared" si="120"/>
        <v>13:00</v>
      </c>
      <c r="P113" s="317" t="str">
        <f t="shared" si="120"/>
        <v>15:00</v>
      </c>
      <c r="Q113" s="318">
        <f t="shared" si="98"/>
        <v>46113.40625</v>
      </c>
      <c r="R113" s="318">
        <f t="shared" si="99"/>
        <v>46113.54167</v>
      </c>
      <c r="S113" s="318">
        <f t="shared" si="8"/>
        <v>46113.625</v>
      </c>
    </row>
    <row r="114">
      <c r="A114" s="14" t="str">
        <f t="shared" si="1"/>
        <v>C71046113</v>
      </c>
      <c r="B114" s="185" t="str">
        <f t="array" ref="B114">IF(F114="VL","",IF(F114="Free","Free",XLOOKUP(D114,Roster!T:T,Roster!S:S,"",0)))</f>
        <v/>
      </c>
      <c r="C114" s="313">
        <v>46113.0</v>
      </c>
      <c r="D114" s="314" t="s">
        <v>184</v>
      </c>
      <c r="E114" s="307" t="str">
        <f t="array" ref="E114">(XLOOKUP(D114,Roster!F:F,Roster!B:B,"",0))</f>
        <v>Sebastian Martinez</v>
      </c>
      <c r="F114" s="315" t="str">
        <f t="array" ref="F114">IF(B114=100,"Free",TEXT(XLOOKUP($D114,OperationVoice!$A:$A,OperationVoice!G:G,XLOOKUP($D114,OperationTickets!$A:$A,OperationTickets!G:G,"",0)),"hh:mm"))</f>
        <v>08:00</v>
      </c>
      <c r="G114" s="309">
        <f t="shared" si="3"/>
        <v>0.7083333333</v>
      </c>
      <c r="H114" s="316">
        <f t="array" ref="H114">XLOOKUP(B114,Roster!L:L,Roster!N:N,XLOOKUP(D114,TicketsBreak!A:A,TicketsBreak!E:E,"",0),0)</f>
        <v>0.40625</v>
      </c>
      <c r="I114" s="316">
        <f t="array" ref="I114">XLOOKUP(B114,Roster!L:L,Roster!O:O,XLOOKUP(D114,TicketsBreak!A:A,TicketsBreak!F:F,"",0),0)</f>
        <v>0.5625</v>
      </c>
      <c r="J114" s="316">
        <f t="array" ref="J114">XLOOKUP(B114,Roster!L:L,Roster!P:P,XLOOKUP(D114,TicketsBreak!A:A,TicketsBreak!G:G,"",0),0)</f>
        <v>0.65625</v>
      </c>
      <c r="K114" s="310">
        <f t="shared" si="4"/>
        <v>46113</v>
      </c>
      <c r="L114" s="317">
        <f t="array" ref="L114">(XLOOKUP(D114,Roster!F:F,Roster!D:D,"",0))</f>
        <v>6</v>
      </c>
      <c r="M114" s="317" t="str">
        <f t="array" ref="M114">XLOOKUP(D114,Roster!F:F,Roster!E:E)</f>
        <v>Tickets</v>
      </c>
      <c r="N114" s="317" t="str">
        <f t="shared" ref="N114:P114" si="121">LEFT(H114,5)</f>
        <v>09:45</v>
      </c>
      <c r="O114" s="317" t="str">
        <f t="shared" si="121"/>
        <v>13:30</v>
      </c>
      <c r="P114" s="317" t="str">
        <f t="shared" si="121"/>
        <v>15:45</v>
      </c>
      <c r="Q114" s="318">
        <f t="shared" si="98"/>
        <v>46113.40625</v>
      </c>
      <c r="R114" s="318">
        <f t="shared" si="99"/>
        <v>46113.5625</v>
      </c>
      <c r="S114" s="318">
        <f t="shared" si="8"/>
        <v>46113.65625</v>
      </c>
    </row>
    <row r="115">
      <c r="A115" s="14" t="str">
        <f t="shared" si="1"/>
        <v>C72346113</v>
      </c>
      <c r="B115" s="185" t="str">
        <f t="array" ref="B115">IF(F115="VL","",IF(F115="Free","Free",XLOOKUP(D115,Roster!T:T,Roster!S:S,"",0)))</f>
        <v/>
      </c>
      <c r="C115" s="313">
        <v>46113.0</v>
      </c>
      <c r="D115" s="314" t="s">
        <v>169</v>
      </c>
      <c r="E115" s="307" t="str">
        <f t="array" ref="E115">(XLOOKUP(D115,Roster!F:F,Roster!B:B,"",0))</f>
        <v>Sebastian Parra</v>
      </c>
      <c r="F115" s="315" t="str">
        <f t="array" ref="F115">IF(B115=100,"Free",TEXT(XLOOKUP($D115,OperationVoice!$A:$A,OperationVoice!G:G,XLOOKUP($D115,OperationTickets!$A:$A,OperationTickets!G:G,"",0)),"hh:mm"))</f>
        <v>VL</v>
      </c>
      <c r="G115" s="309" t="str">
        <f t="shared" si="3"/>
        <v>VL</v>
      </c>
      <c r="H115" s="316">
        <f t="array" ref="H115">XLOOKUP(B115,Roster!L:L,Roster!N:N,XLOOKUP(D115,TicketsBreak!A:A,TicketsBreak!E:E,"",0),0)</f>
        <v>0.4166666667</v>
      </c>
      <c r="I115" s="316">
        <f t="array" ref="I115">XLOOKUP(B115,Roster!L:L,Roster!O:O,XLOOKUP(D115,TicketsBreak!A:A,TicketsBreak!F:F,"",0),0)</f>
        <v>0.5347222222</v>
      </c>
      <c r="J115" s="316">
        <f t="array" ref="J115">XLOOKUP(B115,Roster!L:L,Roster!P:P,XLOOKUP(D115,TicketsBreak!A:A,TicketsBreak!G:G,"",0),0)</f>
        <v>0.65625</v>
      </c>
      <c r="K115" s="310">
        <f t="shared" si="4"/>
        <v>46113</v>
      </c>
      <c r="L115" s="317">
        <f t="array" ref="L115">(XLOOKUP(D115,Roster!F:F,Roster!D:D,"",0))</f>
        <v>7</v>
      </c>
      <c r="M115" s="317" t="str">
        <f t="array" ref="M115">XLOOKUP(D115,Roster!F:F,Roster!E:E)</f>
        <v>Tickets</v>
      </c>
      <c r="N115" s="317" t="str">
        <f t="shared" ref="N115:P115" si="122">LEFT(H115,5)</f>
        <v>10:00</v>
      </c>
      <c r="O115" s="317" t="str">
        <f t="shared" si="122"/>
        <v>12:50</v>
      </c>
      <c r="P115" s="317" t="str">
        <f t="shared" si="122"/>
        <v>15:45</v>
      </c>
      <c r="Q115" s="318">
        <f t="shared" si="98"/>
        <v>46113.41667</v>
      </c>
      <c r="R115" s="318">
        <f t="shared" si="99"/>
        <v>46113.53472</v>
      </c>
      <c r="S115" s="318">
        <f t="shared" si="8"/>
        <v>46113.65625</v>
      </c>
    </row>
    <row r="116">
      <c r="A116" s="14" t="str">
        <f t="shared" si="1"/>
        <v>C137646113</v>
      </c>
      <c r="B116" s="185" t="str">
        <f t="array" ref="B116">IF(F116="VL","",IF(F116="Free","Free",XLOOKUP(D116,Roster!T:T,Roster!S:S,"",0)))</f>
        <v/>
      </c>
      <c r="C116" s="313">
        <v>46113.0</v>
      </c>
      <c r="D116" s="314" t="s">
        <v>151</v>
      </c>
      <c r="E116" s="307" t="str">
        <f t="array" ref="E116">(XLOOKUP(D116,Roster!F:F,Roster!B:B,"",0))</f>
        <v>Sebastian Quiroz</v>
      </c>
      <c r="F116" s="315" t="str">
        <f t="array" ref="F116">IF(B116=100,"Free",TEXT(XLOOKUP($D116,OperationVoice!$A:$A,OperationVoice!G:G,XLOOKUP($D116,OperationTickets!$A:$A,OperationTickets!G:G,"",0)),"hh:mm"))</f>
        <v>08:00</v>
      </c>
      <c r="G116" s="309">
        <f t="shared" si="3"/>
        <v>0.7083333333</v>
      </c>
      <c r="H116" s="316" t="str">
        <f t="array" ref="H116">XLOOKUP(B116,Roster!L:L,Roster!N:N,XLOOKUP(D116,TicketsBreak!A:A,TicketsBreak!E:E,"",0),0)</f>
        <v/>
      </c>
      <c r="I116" s="316" t="str">
        <f t="array" ref="I116">XLOOKUP(B116,Roster!L:L,Roster!O:O,XLOOKUP(D116,TicketsBreak!A:A,TicketsBreak!F:F,"",0),0)</f>
        <v/>
      </c>
      <c r="J116" s="316" t="str">
        <f t="array" ref="J116">XLOOKUP(B116,Roster!L:L,Roster!P:P,XLOOKUP(D116,TicketsBreak!A:A,TicketsBreak!G:G,"",0),0)</f>
        <v/>
      </c>
      <c r="K116" s="310">
        <f t="shared" si="4"/>
        <v>46113</v>
      </c>
      <c r="L116" s="317">
        <f t="array" ref="L116">(XLOOKUP(D116,Roster!F:F,Roster!D:D,"",0))</f>
        <v>31</v>
      </c>
      <c r="M116" s="317" t="str">
        <f t="array" ref="M116">XLOOKUP(D116,Roster!F:F,Roster!E:E)</f>
        <v>Tickets</v>
      </c>
      <c r="N116" s="317" t="str">
        <f t="shared" ref="N116:P116" si="123">LEFT(H116,5)</f>
        <v/>
      </c>
      <c r="O116" s="317" t="str">
        <f t="shared" si="123"/>
        <v/>
      </c>
      <c r="P116" s="317" t="str">
        <f t="shared" si="123"/>
        <v/>
      </c>
      <c r="Q116" s="318" t="str">
        <f t="shared" si="98"/>
        <v/>
      </c>
      <c r="R116" s="318" t="str">
        <f t="shared" si="99"/>
        <v/>
      </c>
      <c r="S116" s="318" t="str">
        <f t="shared" si="8"/>
        <v/>
      </c>
    </row>
    <row r="117">
      <c r="A117" s="14" t="str">
        <f t="shared" si="1"/>
        <v>C72646113</v>
      </c>
      <c r="B117" s="185" t="str">
        <f t="array" ref="B117">IF(F117="VL","",IF(F117="Free","Free",XLOOKUP(D117,Roster!T:T,Roster!S:S,"",0)))</f>
        <v/>
      </c>
      <c r="C117" s="313">
        <v>46113.0</v>
      </c>
      <c r="D117" s="314" t="s">
        <v>185</v>
      </c>
      <c r="E117" s="307" t="str">
        <f t="array" ref="E117">(XLOOKUP(D117,Roster!F:F,Roster!B:B,"",0))</f>
        <v>Sebastian Rodriguez</v>
      </c>
      <c r="F117" s="315" t="str">
        <f t="array" ref="F117">IF(B117=100,"Free",TEXT(XLOOKUP($D117,OperationVoice!$A:$A,OperationVoice!G:G,XLOOKUP($D117,OperationTickets!$A:$A,OperationTickets!G:G,"",0)),"hh:mm"))</f>
        <v>08:00</v>
      </c>
      <c r="G117" s="309">
        <f t="shared" si="3"/>
        <v>0.7083333333</v>
      </c>
      <c r="H117" s="316">
        <f t="array" ref="H117">XLOOKUP(B117,Roster!L:L,Roster!N:N,XLOOKUP(D117,TicketsBreak!A:A,TicketsBreak!E:E,"",0),0)</f>
        <v>0.4166666667</v>
      </c>
      <c r="I117" s="316">
        <f t="array" ref="I117">XLOOKUP(B117,Roster!L:L,Roster!O:O,XLOOKUP(D117,TicketsBreak!A:A,TicketsBreak!F:F,"",0),0)</f>
        <v>0.5625</v>
      </c>
      <c r="J117" s="316">
        <f t="array" ref="J117">XLOOKUP(B117,Roster!L:L,Roster!P:P,XLOOKUP(D117,TicketsBreak!A:A,TicketsBreak!G:G,"",0),0)</f>
        <v>0.6458333333</v>
      </c>
      <c r="K117" s="310">
        <f t="shared" si="4"/>
        <v>46113</v>
      </c>
      <c r="L117" s="317">
        <f t="array" ref="L117">(XLOOKUP(D117,Roster!F:F,Roster!D:D,"",0))</f>
        <v>7</v>
      </c>
      <c r="M117" s="317" t="str">
        <f t="array" ref="M117">XLOOKUP(D117,Roster!F:F,Roster!E:E)</f>
        <v>Tickets</v>
      </c>
      <c r="N117" s="317" t="str">
        <f t="shared" ref="N117:P117" si="124">LEFT(H117,5)</f>
        <v>10:00</v>
      </c>
      <c r="O117" s="317" t="str">
        <f t="shared" si="124"/>
        <v>13:30</v>
      </c>
      <c r="P117" s="317" t="str">
        <f t="shared" si="124"/>
        <v>15:30</v>
      </c>
      <c r="Q117" s="318">
        <f t="shared" si="98"/>
        <v>46113.41667</v>
      </c>
      <c r="R117" s="318">
        <f t="shared" si="99"/>
        <v>46113.5625</v>
      </c>
      <c r="S117" s="318">
        <f t="shared" si="8"/>
        <v>46113.64583</v>
      </c>
    </row>
    <row r="118">
      <c r="A118" s="14" t="str">
        <f t="shared" si="1"/>
        <v>C60246113</v>
      </c>
      <c r="B118" s="185" t="str">
        <f t="array" ref="B118">IF(F118="VL","",IF(F118="Free","Free",XLOOKUP(D118,Roster!T:T,Roster!S:S,"",0)))</f>
        <v/>
      </c>
      <c r="C118" s="313">
        <v>46113.0</v>
      </c>
      <c r="D118" s="314" t="s">
        <v>170</v>
      </c>
      <c r="E118" s="307" t="str">
        <f t="array" ref="E118">(XLOOKUP(D118,Roster!F:F,Roster!B:B,"",0))</f>
        <v>Sebastian Torres</v>
      </c>
      <c r="F118" s="315" t="str">
        <f t="array" ref="F118">IF(B118=100,"Free",TEXT(XLOOKUP($D118,OperationVoice!$A:$A,OperationVoice!G:G,XLOOKUP($D118,OperationTickets!$A:$A,OperationTickets!G:G,"",0)),"hh:mm"))</f>
        <v>08:00</v>
      </c>
      <c r="G118" s="309">
        <f t="shared" si="3"/>
        <v>0.7083333333</v>
      </c>
      <c r="H118" s="316">
        <f t="array" ref="H118">XLOOKUP(B118,Roster!L:L,Roster!N:N,XLOOKUP(D118,TicketsBreak!A:A,TicketsBreak!E:E,"",0),0)</f>
        <v>0.4583333333</v>
      </c>
      <c r="I118" s="316">
        <f t="array" ref="I118">XLOOKUP(B118,Roster!L:L,Roster!O:O,XLOOKUP(D118,TicketsBreak!A:A,TicketsBreak!F:F,"",0),0)</f>
        <v>0.5833333333</v>
      </c>
      <c r="J118" s="316">
        <f t="array" ref="J118">XLOOKUP(B118,Roster!L:L,Roster!P:P,XLOOKUP(D118,TicketsBreak!A:A,TicketsBreak!G:G,"",0),0)</f>
        <v>0.65625</v>
      </c>
      <c r="K118" s="310">
        <f t="shared" si="4"/>
        <v>46113</v>
      </c>
      <c r="L118" s="317">
        <f t="array" ref="L118">(XLOOKUP(D118,Roster!F:F,Roster!D:D,"",0))</f>
        <v>8</v>
      </c>
      <c r="M118" s="317" t="str">
        <f t="array" ref="M118">XLOOKUP(D118,Roster!F:F,Roster!E:E)</f>
        <v>Tickets</v>
      </c>
      <c r="N118" s="317" t="str">
        <f t="shared" ref="N118:P118" si="125">LEFT(H118,5)</f>
        <v>11:00</v>
      </c>
      <c r="O118" s="317" t="str">
        <f t="shared" si="125"/>
        <v>14:00</v>
      </c>
      <c r="P118" s="317" t="str">
        <f t="shared" si="125"/>
        <v>15:45</v>
      </c>
      <c r="Q118" s="318">
        <f t="shared" si="98"/>
        <v>46113.45833</v>
      </c>
      <c r="R118" s="318">
        <f t="shared" si="99"/>
        <v>46113.58333</v>
      </c>
      <c r="S118" s="318">
        <f t="shared" si="8"/>
        <v>46113.65625</v>
      </c>
    </row>
    <row r="119">
      <c r="A119" s="14" t="str">
        <f t="shared" si="1"/>
        <v>C143146113</v>
      </c>
      <c r="B119" s="185">
        <f t="array" ref="B119">IF(F119="VL","",IF(F119="Free","Free",XLOOKUP(D119,Roster!T:T,Roster!S:S,"",0)))</f>
        <v>151</v>
      </c>
      <c r="C119" s="313">
        <v>46113.0</v>
      </c>
      <c r="D119" s="314" t="s">
        <v>74</v>
      </c>
      <c r="E119" s="307" t="str">
        <f t="array" ref="E119">(XLOOKUP(D119,Roster!F:F,Roster!B:B,"",0))</f>
        <v>Sebastian Torres Gomez</v>
      </c>
      <c r="F119" s="315" t="str">
        <f t="array" ref="F119">IF(B119=100,"Free",TEXT(XLOOKUP($D119,OperationVoice!$A:$A,OperationVoice!G:G,XLOOKUP($D119,OperationTickets!$A:$A,OperationTickets!G:G,"",0)),"hh:mm"))</f>
        <v>11:00</v>
      </c>
      <c r="G119" s="309">
        <f t="shared" si="3"/>
        <v>0.8333333333</v>
      </c>
      <c r="H119" s="316" t="str">
        <f t="array" ref="H119">XLOOKUP(B119,Roster!L:L,Roster!N:N,XLOOKUP(D119,TicketsBreak!A:A,TicketsBreak!E:E,"",0),0)</f>
        <v>12:15 - 12:30</v>
      </c>
      <c r="I119" s="316" t="str">
        <f t="array" ref="I119">XLOOKUP(B119,Roster!L:L,Roster!O:O,XLOOKUP(D119,TicketsBreak!A:A,TicketsBreak!F:F,"",0),0)</f>
        <v>14:00 - 14:30</v>
      </c>
      <c r="J119" s="316" t="str">
        <f t="array" ref="J119">XLOOKUP(B119,Roster!L:L,Roster!P:P,XLOOKUP(D119,TicketsBreak!A:A,TicketsBreak!G:G,"",0),0)</f>
        <v>17:15 - 17:30</v>
      </c>
      <c r="K119" s="310">
        <f t="shared" si="4"/>
        <v>46113</v>
      </c>
      <c r="L119" s="317">
        <f t="array" ref="L119">(XLOOKUP(D119,Roster!F:F,Roster!D:D,"",0))</f>
        <v>32</v>
      </c>
      <c r="M119" s="317" t="str">
        <f t="array" ref="M119">XLOOKUP(D119,Roster!F:F,Roster!E:E)</f>
        <v>Voice</v>
      </c>
      <c r="N119" s="317" t="str">
        <f t="shared" ref="N119:P119" si="126">LEFT(H119,5)</f>
        <v>12:15</v>
      </c>
      <c r="O119" s="317" t="str">
        <f t="shared" si="126"/>
        <v>14:00</v>
      </c>
      <c r="P119" s="317" t="str">
        <f t="shared" si="126"/>
        <v>17:15</v>
      </c>
      <c r="Q119" s="318">
        <f t="shared" si="98"/>
        <v>46113.51042</v>
      </c>
      <c r="R119" s="318">
        <f t="shared" si="99"/>
        <v>46113.58333</v>
      </c>
      <c r="S119" s="318">
        <f t="shared" si="8"/>
        <v>46113.71875</v>
      </c>
    </row>
    <row r="120">
      <c r="A120" s="14" t="str">
        <f t="shared" si="1"/>
        <v>C149146113</v>
      </c>
      <c r="B120" s="185" t="str">
        <f t="array" ref="B120">IF(F120="VL","",IF(F120="Free","Free",XLOOKUP(D120,Roster!T:T,Roster!S:S,"",0)))</f>
        <v/>
      </c>
      <c r="C120" s="313">
        <v>46113.0</v>
      </c>
      <c r="D120" s="314" t="s">
        <v>315</v>
      </c>
      <c r="E120" s="307" t="str">
        <f t="array" ref="E120">(XLOOKUP(D120,Roster!F:F,Roster!B:B,"",0))</f>
        <v>Sebastian Vanegas</v>
      </c>
      <c r="F120" s="315" t="str">
        <f t="array" ref="F120">IF(B120=100,"Free",TEXT(XLOOKUP($D120,OperationVoice!$A:$A,OperationVoice!G:G,XLOOKUP($D120,OperationTickets!$A:$A,OperationTickets!G:G,"",0)),"hh:mm"))</f>
        <v/>
      </c>
      <c r="G120" s="309" t="str">
        <f t="shared" si="3"/>
        <v/>
      </c>
      <c r="H120" s="316" t="str">
        <f t="array" ref="H120">XLOOKUP(B120,Roster!L:L,Roster!N:N,XLOOKUP(D120,TicketsBreak!A:A,TicketsBreak!E:E,"",0),0)</f>
        <v/>
      </c>
      <c r="I120" s="316" t="str">
        <f t="array" ref="I120">XLOOKUP(B120,Roster!L:L,Roster!O:O,XLOOKUP(D120,TicketsBreak!A:A,TicketsBreak!F:F,"",0),0)</f>
        <v/>
      </c>
      <c r="J120" s="316" t="str">
        <f t="array" ref="J120">XLOOKUP(B120,Roster!L:L,Roster!P:P,XLOOKUP(D120,TicketsBreak!A:A,TicketsBreak!G:G,"",0),0)</f>
        <v/>
      </c>
      <c r="K120" s="310">
        <f t="shared" si="4"/>
        <v>46113</v>
      </c>
      <c r="L120" s="317">
        <f t="array" ref="L120">(XLOOKUP(D120,Roster!F:F,Roster!D:D,"",0))</f>
        <v>34</v>
      </c>
      <c r="M120" s="317" t="str">
        <f t="array" ref="M120">XLOOKUP(D120,Roster!F:F,Roster!E:E)</f>
        <v>Voice</v>
      </c>
      <c r="N120" s="317" t="str">
        <f t="shared" ref="N120:P120" si="127">LEFT(H120,5)</f>
        <v/>
      </c>
      <c r="O120" s="317" t="str">
        <f t="shared" si="127"/>
        <v/>
      </c>
      <c r="P120" s="317" t="str">
        <f t="shared" si="127"/>
        <v/>
      </c>
      <c r="Q120" s="318" t="str">
        <f t="shared" si="98"/>
        <v/>
      </c>
      <c r="R120" s="318" t="str">
        <f t="shared" si="99"/>
        <v/>
      </c>
      <c r="S120" s="318" t="str">
        <f t="shared" si="8"/>
        <v/>
      </c>
    </row>
    <row r="121">
      <c r="A121" s="14" t="str">
        <f t="shared" si="1"/>
        <v>C93746113</v>
      </c>
      <c r="B121" s="185">
        <f t="array" ref="B121">IF(F121="VL","",IF(F121="Free","Free",XLOOKUP(D121,Roster!T:T,Roster!S:S,"",0)))</f>
        <v>126</v>
      </c>
      <c r="C121" s="313">
        <v>46113.0</v>
      </c>
      <c r="D121" s="314" t="s">
        <v>75</v>
      </c>
      <c r="E121" s="307" t="str">
        <f t="array" ref="E121">(XLOOKUP(D121,Roster!F:F,Roster!B:B,"",0))</f>
        <v>Sebastian Zapata</v>
      </c>
      <c r="F121" s="315" t="str">
        <f t="array" ref="F121">IF(B121=100,"Free",TEXT(XLOOKUP($D121,OperationVoice!$A:$A,OperationVoice!G:G,XLOOKUP($D121,OperationTickets!$A:$A,OperationTickets!G:G,"",0)),"hh:mm"))</f>
        <v>08:00</v>
      </c>
      <c r="G121" s="309">
        <f t="shared" si="3"/>
        <v>0.7083333333</v>
      </c>
      <c r="H121" s="316" t="str">
        <f t="array" ref="H121">XLOOKUP(B121,Roster!L:L,Roster!N:N,XLOOKUP(D121,TicketsBreak!A:A,TicketsBreak!E:E,"",0),0)</f>
        <v>10:45 - 11:00</v>
      </c>
      <c r="I121" s="316" t="str">
        <f t="array" ref="I121">XLOOKUP(B121,Roster!L:L,Roster!O:O,XLOOKUP(D121,TicketsBreak!A:A,TicketsBreak!F:F,"",0),0)</f>
        <v>14:00 - 14:30</v>
      </c>
      <c r="J121" s="316" t="str">
        <f t="array" ref="J121">XLOOKUP(B121,Roster!L:L,Roster!P:P,XLOOKUP(D121,TicketsBreak!A:A,TicketsBreak!G:G,"",0),0)</f>
        <v>15:45 - 16:00</v>
      </c>
      <c r="K121" s="310">
        <f t="shared" si="4"/>
        <v>46113</v>
      </c>
      <c r="L121" s="317">
        <f t="array" ref="L121">(XLOOKUP(D121,Roster!F:F,Roster!D:D,"",0))</f>
        <v>12</v>
      </c>
      <c r="M121" s="317" t="str">
        <f t="array" ref="M121">XLOOKUP(D121,Roster!F:F,Roster!E:E)</f>
        <v>Voice</v>
      </c>
      <c r="N121" s="317" t="str">
        <f t="shared" ref="N121:P121" si="128">LEFT(H121,5)</f>
        <v>10:45</v>
      </c>
      <c r="O121" s="317" t="str">
        <f t="shared" si="128"/>
        <v>14:00</v>
      </c>
      <c r="P121" s="317" t="str">
        <f t="shared" si="128"/>
        <v>15:45</v>
      </c>
      <c r="Q121" s="318">
        <f t="shared" si="98"/>
        <v>46113.44792</v>
      </c>
      <c r="R121" s="318">
        <f t="shared" si="99"/>
        <v>46113.58333</v>
      </c>
      <c r="S121" s="318">
        <f t="shared" si="8"/>
        <v>46113.65625</v>
      </c>
    </row>
    <row r="122">
      <c r="A122" s="14" t="str">
        <f t="shared" si="1"/>
        <v>C156546113</v>
      </c>
      <c r="B122" s="185">
        <f t="array" ref="B122">IF(F122="VL","",IF(F122="Free","Free",XLOOKUP(D122,Roster!T:T,Roster!S:S,"",0)))</f>
        <v>122</v>
      </c>
      <c r="C122" s="313">
        <v>46113.0</v>
      </c>
      <c r="D122" s="314" t="s">
        <v>76</v>
      </c>
      <c r="E122" s="307" t="str">
        <f t="array" ref="E122">(XLOOKUP(D122,Roster!F:F,Roster!B:B,"",0))</f>
        <v>Sergio Rojas</v>
      </c>
      <c r="F122" s="315" t="str">
        <f t="array" ref="F122">IF(B122=100,"Free",TEXT(XLOOKUP($D122,OperationVoice!$A:$A,OperationVoice!G:G,XLOOKUP($D122,OperationTickets!$A:$A,OperationTickets!G:G,"",0)),"hh:mm"))</f>
        <v>11:00</v>
      </c>
      <c r="G122" s="309">
        <f t="shared" si="3"/>
        <v>0.8333333333</v>
      </c>
      <c r="H122" s="316" t="str">
        <f t="array" ref="H122">XLOOKUP(B122,Roster!L:L,Roster!N:N,XLOOKUP(D122,TicketsBreak!A:A,TicketsBreak!E:E,"",0),0)</f>
        <v>09:30 - 09:45</v>
      </c>
      <c r="I122" s="316" t="str">
        <f t="array" ref="I122">XLOOKUP(B122,Roster!L:L,Roster!O:O,XLOOKUP(D122,TicketsBreak!A:A,TicketsBreak!F:F,"",0),0)</f>
        <v>12:00 - 12:30</v>
      </c>
      <c r="J122" s="316" t="str">
        <f t="array" ref="J122">XLOOKUP(B122,Roster!L:L,Roster!P:P,XLOOKUP(D122,TicketsBreak!A:A,TicketsBreak!G:G,"",0),0)</f>
        <v>14:45 - 15:00</v>
      </c>
      <c r="K122" s="310">
        <f t="shared" si="4"/>
        <v>46113</v>
      </c>
      <c r="L122" s="317">
        <f t="array" ref="L122">(XLOOKUP(D122,Roster!F:F,Roster!D:D,"",0))</f>
        <v>38</v>
      </c>
      <c r="M122" s="317" t="str">
        <f t="array" ref="M122">XLOOKUP(D122,Roster!F:F,Roster!E:E)</f>
        <v>Voice</v>
      </c>
      <c r="N122" s="317" t="str">
        <f t="shared" ref="N122:P122" si="129">LEFT(H122,5)</f>
        <v>09:30</v>
      </c>
      <c r="O122" s="317" t="str">
        <f t="shared" si="129"/>
        <v>12:00</v>
      </c>
      <c r="P122" s="317" t="str">
        <f t="shared" si="129"/>
        <v>14:45</v>
      </c>
      <c r="Q122" s="318">
        <f t="shared" si="98"/>
        <v>46113.39583</v>
      </c>
      <c r="R122" s="318">
        <f t="shared" si="99"/>
        <v>46113.5</v>
      </c>
      <c r="S122" s="318">
        <f t="shared" si="8"/>
        <v>46113.61458</v>
      </c>
    </row>
    <row r="123">
      <c r="A123" s="14" t="str">
        <f t="shared" si="1"/>
        <v>C147846113</v>
      </c>
      <c r="B123" s="185" t="str">
        <f t="array" ref="B123">IF(F123="VL","",IF(F123="Free","Free",XLOOKUP(D123,Roster!T:T,Roster!S:S,"",0)))</f>
        <v/>
      </c>
      <c r="C123" s="313">
        <v>46113.0</v>
      </c>
      <c r="D123" s="314" t="s">
        <v>186</v>
      </c>
      <c r="E123" s="307" t="str">
        <f t="array" ref="E123">(XLOOKUP(D123,Roster!F:F,Roster!B:B,"",0))</f>
        <v>Simon Atehortua</v>
      </c>
      <c r="F123" s="315" t="str">
        <f t="array" ref="F123">IF(B123=100,"Free",TEXT(XLOOKUP($D123,OperationVoice!$A:$A,OperationVoice!G:G,XLOOKUP($D123,OperationTickets!$A:$A,OperationTickets!G:G,"",0)),"hh:mm"))</f>
        <v>07:00</v>
      </c>
      <c r="G123" s="309">
        <f t="shared" si="3"/>
        <v>0.6666666667</v>
      </c>
      <c r="H123" s="316" t="str">
        <f t="array" ref="H123">XLOOKUP(B123,Roster!L:L,Roster!N:N,XLOOKUP(D123,TicketsBreak!A:A,TicketsBreak!E:E,"",0),0)</f>
        <v/>
      </c>
      <c r="I123" s="316" t="str">
        <f t="array" ref="I123">XLOOKUP(B123,Roster!L:L,Roster!O:O,XLOOKUP(D123,TicketsBreak!A:A,TicketsBreak!F:F,"",0),0)</f>
        <v/>
      </c>
      <c r="J123" s="316" t="str">
        <f t="array" ref="J123">XLOOKUP(B123,Roster!L:L,Roster!P:P,XLOOKUP(D123,TicketsBreak!A:A,TicketsBreak!G:G,"",0),0)</f>
        <v/>
      </c>
      <c r="K123" s="310">
        <f t="shared" si="4"/>
        <v>46113</v>
      </c>
      <c r="L123" s="317">
        <f t="array" ref="L123">(XLOOKUP(D123,Roster!F:F,Roster!D:D,"",0))</f>
        <v>32</v>
      </c>
      <c r="M123" s="317" t="str">
        <f t="array" ref="M123">XLOOKUP(D123,Roster!F:F,Roster!E:E)</f>
        <v>Tickets</v>
      </c>
      <c r="N123" s="317" t="str">
        <f t="shared" ref="N123:P123" si="130">LEFT(H123,5)</f>
        <v/>
      </c>
      <c r="O123" s="317" t="str">
        <f t="shared" si="130"/>
        <v/>
      </c>
      <c r="P123" s="317" t="str">
        <f t="shared" si="130"/>
        <v/>
      </c>
      <c r="Q123" s="318" t="str">
        <f t="shared" si="98"/>
        <v/>
      </c>
      <c r="R123" s="318" t="str">
        <f t="shared" si="99"/>
        <v/>
      </c>
      <c r="S123" s="318" t="str">
        <f t="shared" si="8"/>
        <v/>
      </c>
    </row>
    <row r="124">
      <c r="A124" s="14" t="str">
        <f t="shared" si="1"/>
        <v>C148346113</v>
      </c>
      <c r="B124" s="185">
        <f t="array" ref="B124">IF(F124="VL","",IF(F124="Free","Free",XLOOKUP(D124,Roster!T:T,Roster!S:S,"",0)))</f>
        <v>152</v>
      </c>
      <c r="C124" s="313">
        <v>46113.0</v>
      </c>
      <c r="D124" s="314" t="s">
        <v>77</v>
      </c>
      <c r="E124" s="307" t="str">
        <f t="array" ref="E124">(XLOOKUP(D124,Roster!F:F,Roster!B:B,"",0))</f>
        <v>Simon Zuluaica</v>
      </c>
      <c r="F124" s="315" t="str">
        <f t="array" ref="F124">IF(B124=100,"Free",TEXT(XLOOKUP($D124,OperationVoice!$A:$A,OperationVoice!G:G,XLOOKUP($D124,OperationTickets!$A:$A,OperationTickets!G:G,"",0)),"hh:mm"))</f>
        <v>11:00</v>
      </c>
      <c r="G124" s="309">
        <f t="shared" si="3"/>
        <v>0.8333333333</v>
      </c>
      <c r="H124" s="316" t="str">
        <f t="array" ref="H124">XLOOKUP(B124,Roster!L:L,Roster!N:N,XLOOKUP(D124,TicketsBreak!A:A,TicketsBreak!E:E,"",0),0)</f>
        <v>12:30 - 12:45</v>
      </c>
      <c r="I124" s="316" t="str">
        <f t="array" ref="I124">XLOOKUP(B124,Roster!L:L,Roster!O:O,XLOOKUP(D124,TicketsBreak!A:A,TicketsBreak!F:F,"",0),0)</f>
        <v>14:30 - 15:00</v>
      </c>
      <c r="J124" s="316" t="str">
        <f t="array" ref="J124">XLOOKUP(B124,Roster!L:L,Roster!P:P,XLOOKUP(D124,TicketsBreak!A:A,TicketsBreak!G:G,"",0),0)</f>
        <v>17:30 - 17:45</v>
      </c>
      <c r="K124" s="310">
        <f t="shared" si="4"/>
        <v>46113</v>
      </c>
      <c r="L124" s="317">
        <f t="array" ref="L124">(XLOOKUP(D124,Roster!F:F,Roster!D:D,"",0))</f>
        <v>34</v>
      </c>
      <c r="M124" s="317" t="str">
        <f t="array" ref="M124">XLOOKUP(D124,Roster!F:F,Roster!E:E)</f>
        <v>Voice</v>
      </c>
      <c r="N124" s="317" t="str">
        <f t="shared" ref="N124:P124" si="131">LEFT(H124,5)</f>
        <v>12:30</v>
      </c>
      <c r="O124" s="317" t="str">
        <f t="shared" si="131"/>
        <v>14:30</v>
      </c>
      <c r="P124" s="317" t="str">
        <f t="shared" si="131"/>
        <v>17:30</v>
      </c>
      <c r="Q124" s="318">
        <f t="shared" si="98"/>
        <v>46113.52083</v>
      </c>
      <c r="R124" s="318">
        <f t="shared" si="99"/>
        <v>46113.60417</v>
      </c>
      <c r="S124" s="318">
        <f t="shared" si="8"/>
        <v>46113.72917</v>
      </c>
    </row>
    <row r="125">
      <c r="A125" s="14" t="str">
        <f t="shared" si="1"/>
        <v>C154046113</v>
      </c>
      <c r="B125" s="185">
        <f t="array" ref="B125">IF(F125="VL","",IF(F125="Free","Free",XLOOKUP(D125,Roster!T:T,Roster!S:S,"",0)))</f>
        <v>122</v>
      </c>
      <c r="C125" s="313">
        <v>46113.0</v>
      </c>
      <c r="D125" s="314" t="s">
        <v>78</v>
      </c>
      <c r="E125" s="307" t="str">
        <f t="array" ref="E125">(XLOOKUP(D125,Roster!F:F,Roster!B:B,"",0))</f>
        <v>Tomas Perez</v>
      </c>
      <c r="F125" s="315" t="str">
        <f t="array" ref="F125">IF(B125=100,"Free",TEXT(XLOOKUP($D125,OperationVoice!$A:$A,OperationVoice!G:G,XLOOKUP($D125,OperationTickets!$A:$A,OperationTickets!G:G,"",0)),"hh:mm"))</f>
        <v>08:00</v>
      </c>
      <c r="G125" s="309">
        <f t="shared" si="3"/>
        <v>0.7083333333</v>
      </c>
      <c r="H125" s="316" t="str">
        <f t="array" ref="H125">XLOOKUP(B125,Roster!L:L,Roster!N:N,XLOOKUP(D125,TicketsBreak!A:A,TicketsBreak!E:E,"",0),0)</f>
        <v>09:30 - 09:45</v>
      </c>
      <c r="I125" s="316" t="str">
        <f t="array" ref="I125">XLOOKUP(B125,Roster!L:L,Roster!O:O,XLOOKUP(D125,TicketsBreak!A:A,TicketsBreak!F:F,"",0),0)</f>
        <v>12:00 - 12:30</v>
      </c>
      <c r="J125" s="316" t="str">
        <f t="array" ref="J125">XLOOKUP(B125,Roster!L:L,Roster!P:P,XLOOKUP(D125,TicketsBreak!A:A,TicketsBreak!G:G,"",0),0)</f>
        <v>14:45 - 15:00</v>
      </c>
      <c r="K125" s="310">
        <f t="shared" si="4"/>
        <v>46113</v>
      </c>
      <c r="L125" s="317">
        <f t="array" ref="L125">(XLOOKUP(D125,Roster!F:F,Roster!D:D,"",0))</f>
        <v>36</v>
      </c>
      <c r="M125" s="317" t="str">
        <f t="array" ref="M125">XLOOKUP(D125,Roster!F:F,Roster!E:E)</f>
        <v>Voice</v>
      </c>
      <c r="N125" s="317" t="str">
        <f t="shared" ref="N125:P125" si="132">LEFT(H125,5)</f>
        <v>09:30</v>
      </c>
      <c r="O125" s="317" t="str">
        <f t="shared" si="132"/>
        <v>12:00</v>
      </c>
      <c r="P125" s="317" t="str">
        <f t="shared" si="132"/>
        <v>14:45</v>
      </c>
      <c r="Q125" s="318">
        <f t="shared" si="98"/>
        <v>46113.39583</v>
      </c>
      <c r="R125" s="318">
        <f t="shared" si="99"/>
        <v>46113.5</v>
      </c>
      <c r="S125" s="318">
        <f t="shared" si="8"/>
        <v>46113.61458</v>
      </c>
    </row>
    <row r="126">
      <c r="A126" s="14" t="str">
        <f t="shared" si="1"/>
        <v>C154746113</v>
      </c>
      <c r="B126" s="185">
        <f t="array" ref="B126">IF(F126="VL","",IF(F126="Free","Free",XLOOKUP(D126,Roster!T:T,Roster!S:S,"",0)))</f>
        <v>121</v>
      </c>
      <c r="C126" s="313">
        <v>46113.0</v>
      </c>
      <c r="D126" s="314" t="s">
        <v>79</v>
      </c>
      <c r="E126" s="307" t="str">
        <f t="array" ref="E126">(XLOOKUP(D126,Roster!F:F,Roster!B:B,"",0))</f>
        <v>Valentina Barreto</v>
      </c>
      <c r="F126" s="315" t="str">
        <f t="array" ref="F126">IF(B126=100,"Free",TEXT(XLOOKUP($D126,OperationVoice!$A:$A,OperationVoice!G:G,XLOOKUP($D126,OperationTickets!$A:$A,OperationTickets!G:G,"",0)),"hh:mm"))</f>
        <v>08:00</v>
      </c>
      <c r="G126" s="309">
        <f t="shared" si="3"/>
        <v>0.7083333333</v>
      </c>
      <c r="H126" s="316" t="str">
        <f t="array" ref="H126">XLOOKUP(B126,Roster!L:L,Roster!N:N,XLOOKUP(D126,TicketsBreak!A:A,TicketsBreak!E:E,"",0),0)</f>
        <v>09:15 - 09:30</v>
      </c>
      <c r="I126" s="316" t="str">
        <f t="array" ref="I126">XLOOKUP(B126,Roster!L:L,Roster!O:O,XLOOKUP(D126,TicketsBreak!A:A,TicketsBreak!F:F,"",0),0)</f>
        <v>11:30 - 12:00</v>
      </c>
      <c r="J126" s="316" t="str">
        <f t="array" ref="J126">XLOOKUP(B126,Roster!L:L,Roster!P:P,XLOOKUP(D126,TicketsBreak!A:A,TicketsBreak!G:G,"",0),0)</f>
        <v>14:30 - 14:45</v>
      </c>
      <c r="K126" s="310">
        <f t="shared" si="4"/>
        <v>46113</v>
      </c>
      <c r="L126" s="317">
        <f t="array" ref="L126">(XLOOKUP(D126,Roster!F:F,Roster!D:D,"",0))</f>
        <v>37</v>
      </c>
      <c r="M126" s="317" t="str">
        <f t="array" ref="M126">XLOOKUP(D126,Roster!F:F,Roster!E:E)</f>
        <v>Voice</v>
      </c>
      <c r="N126" s="317" t="str">
        <f t="shared" ref="N126:P126" si="133">LEFT(H126,5)</f>
        <v>09:15</v>
      </c>
      <c r="O126" s="317" t="str">
        <f t="shared" si="133"/>
        <v>11:30</v>
      </c>
      <c r="P126" s="317" t="str">
        <f t="shared" si="133"/>
        <v>14:30</v>
      </c>
      <c r="Q126" s="318">
        <f t="shared" si="98"/>
        <v>46113.38542</v>
      </c>
      <c r="R126" s="318">
        <f t="shared" si="99"/>
        <v>46113.47917</v>
      </c>
      <c r="S126" s="318">
        <f t="shared" si="8"/>
        <v>46113.60417</v>
      </c>
    </row>
    <row r="127">
      <c r="A127" s="14" t="str">
        <f t="shared" si="1"/>
        <v>C155346113</v>
      </c>
      <c r="B127" s="185" t="str">
        <f t="array" ref="B127">IF(F127="VL","",IF(F127="Free","Free",XLOOKUP(D127,Roster!T:T,Roster!S:S,"",0)))</f>
        <v>Free</v>
      </c>
      <c r="C127" s="313">
        <v>46113.0</v>
      </c>
      <c r="D127" s="314" t="s">
        <v>80</v>
      </c>
      <c r="E127" s="307" t="str">
        <f t="array" ref="E127">(XLOOKUP(D127,Roster!F:F,Roster!B:B,"",0))</f>
        <v>Valentina Castro</v>
      </c>
      <c r="F127" s="315" t="str">
        <f t="array" ref="F127">IF(B127=100,"Free",TEXT(XLOOKUP($D127,OperationVoice!$A:$A,OperationVoice!G:G,XLOOKUP($D127,OperationTickets!$A:$A,OperationTickets!G:G,"",0)),"hh:mm"))</f>
        <v>Free</v>
      </c>
      <c r="G127" s="309" t="str">
        <f t="shared" si="3"/>
        <v>Free</v>
      </c>
      <c r="H127" s="316" t="str">
        <f t="array" ref="H127">XLOOKUP(B127,Roster!L:L,Roster!N:N,XLOOKUP(D127,TicketsBreak!A:A,TicketsBreak!E:E,"",0),0)</f>
        <v/>
      </c>
      <c r="I127" s="316" t="str">
        <f t="array" ref="I127">XLOOKUP(B127,Roster!L:L,Roster!O:O,XLOOKUP(D127,TicketsBreak!A:A,TicketsBreak!F:F,"",0),0)</f>
        <v/>
      </c>
      <c r="J127" s="316" t="str">
        <f t="array" ref="J127">XLOOKUP(B127,Roster!L:L,Roster!P:P,XLOOKUP(D127,TicketsBreak!A:A,TicketsBreak!G:G,"",0),0)</f>
        <v/>
      </c>
      <c r="K127" s="310">
        <f t="shared" si="4"/>
        <v>46113</v>
      </c>
      <c r="L127" s="317">
        <f t="array" ref="L127">(XLOOKUP(D127,Roster!F:F,Roster!D:D,"",0))</f>
        <v>37</v>
      </c>
      <c r="M127" s="317" t="str">
        <f t="array" ref="M127">XLOOKUP(D127,Roster!F:F,Roster!E:E)</f>
        <v>Voice</v>
      </c>
      <c r="N127" s="317" t="str">
        <f t="shared" ref="N127:P127" si="134">LEFT(H127,5)</f>
        <v/>
      </c>
      <c r="O127" s="317" t="str">
        <f t="shared" si="134"/>
        <v/>
      </c>
      <c r="P127" s="317" t="str">
        <f t="shared" si="134"/>
        <v/>
      </c>
      <c r="Q127" s="318" t="str">
        <f t="shared" si="98"/>
        <v/>
      </c>
      <c r="R127" s="318" t="str">
        <f t="shared" si="99"/>
        <v/>
      </c>
      <c r="S127" s="318" t="str">
        <f t="shared" si="8"/>
        <v/>
      </c>
    </row>
    <row r="128">
      <c r="A128" s="14" t="str">
        <f t="shared" si="1"/>
        <v>C150246113</v>
      </c>
      <c r="B128" s="185" t="str">
        <f t="array" ref="B128">IF(F128="VL","",IF(F128="Free","Free",XLOOKUP(D128,Roster!T:T,Roster!S:S,"",0)))</f>
        <v/>
      </c>
      <c r="C128" s="313">
        <v>46113.0</v>
      </c>
      <c r="D128" s="314" t="s">
        <v>316</v>
      </c>
      <c r="E128" s="307" t="str">
        <f t="array" ref="E128">(XLOOKUP(D128,Roster!F:F,Roster!B:B,"",0))</f>
        <v>Valentina Gallego</v>
      </c>
      <c r="F128" s="315" t="str">
        <f t="array" ref="F128">IF(B128=100,"Free",TEXT(XLOOKUP($D128,OperationVoice!$A:$A,OperationVoice!G:G,XLOOKUP($D128,OperationTickets!$A:$A,OperationTickets!G:G,"",0)),"hh:mm"))</f>
        <v/>
      </c>
      <c r="G128" s="309" t="str">
        <f t="shared" si="3"/>
        <v/>
      </c>
      <c r="H128" s="316" t="str">
        <f t="array" ref="H128">XLOOKUP(B128,Roster!L:L,Roster!N:N,XLOOKUP(D128,TicketsBreak!A:A,TicketsBreak!E:E,"",0),0)</f>
        <v/>
      </c>
      <c r="I128" s="316" t="str">
        <f t="array" ref="I128">XLOOKUP(B128,Roster!L:L,Roster!O:O,XLOOKUP(D128,TicketsBreak!A:A,TicketsBreak!F:F,"",0),0)</f>
        <v/>
      </c>
      <c r="J128" s="316" t="str">
        <f t="array" ref="J128">XLOOKUP(B128,Roster!L:L,Roster!P:P,XLOOKUP(D128,TicketsBreak!A:A,TicketsBreak!G:G,"",0),0)</f>
        <v/>
      </c>
      <c r="K128" s="310">
        <f t="shared" si="4"/>
        <v>46113</v>
      </c>
      <c r="L128" s="317">
        <f t="array" ref="L128">(XLOOKUP(D128,Roster!F:F,Roster!D:D,"",0))</f>
        <v>35</v>
      </c>
      <c r="M128" s="317" t="str">
        <f t="array" ref="M128">XLOOKUP(D128,Roster!F:F,Roster!E:E)</f>
        <v>Voice</v>
      </c>
      <c r="N128" s="317" t="str">
        <f t="shared" ref="N128:P128" si="135">LEFT(H128,5)</f>
        <v/>
      </c>
      <c r="O128" s="317" t="str">
        <f t="shared" si="135"/>
        <v/>
      </c>
      <c r="P128" s="317" t="str">
        <f t="shared" si="135"/>
        <v/>
      </c>
      <c r="Q128" s="318" t="str">
        <f t="shared" si="98"/>
        <v/>
      </c>
      <c r="R128" s="318" t="str">
        <f t="shared" si="99"/>
        <v/>
      </c>
      <c r="S128" s="318" t="str">
        <f t="shared" si="8"/>
        <v/>
      </c>
    </row>
    <row r="129">
      <c r="A129" s="14" t="str">
        <f t="shared" si="1"/>
        <v>C112646113</v>
      </c>
      <c r="B129" s="185" t="str">
        <f t="array" ref="B129">IF(F129="VL","",IF(F129="Free","Free",XLOOKUP(D129,Roster!T:T,Roster!S:S,"",0)))</f>
        <v>Free</v>
      </c>
      <c r="C129" s="313">
        <v>46113.0</v>
      </c>
      <c r="D129" s="314" t="s">
        <v>152</v>
      </c>
      <c r="E129" s="307" t="str">
        <f t="array" ref="E129">(XLOOKUP(D129,Roster!F:F,Roster!B:B,"",0))</f>
        <v>Valery Escobar</v>
      </c>
      <c r="F129" s="315" t="str">
        <f t="array" ref="F129">IF(B129=100,"Free",TEXT(XLOOKUP($D129,OperationVoice!$A:$A,OperationVoice!G:G,XLOOKUP($D129,OperationTickets!$A:$A,OperationTickets!G:G,"",0)),"hh:mm"))</f>
        <v>Free</v>
      </c>
      <c r="G129" s="309" t="str">
        <f t="shared" si="3"/>
        <v>Free</v>
      </c>
      <c r="H129" s="316">
        <f t="array" ref="H129">XLOOKUP(B129,Roster!L:L,Roster!N:N,XLOOKUP(D129,TicketsBreak!A:A,TicketsBreak!E:E,"",0),0)</f>
        <v>0.3854166667</v>
      </c>
      <c r="I129" s="316">
        <f t="array" ref="I129">XLOOKUP(B129,Roster!L:L,Roster!O:O,XLOOKUP(D129,TicketsBreak!A:A,TicketsBreak!F:F,"",0),0)</f>
        <v>0.5</v>
      </c>
      <c r="J129" s="316">
        <f t="array" ref="J129">XLOOKUP(B129,Roster!L:L,Roster!P:P,XLOOKUP(D129,TicketsBreak!A:A,TicketsBreak!G:G,"",0),0)</f>
        <v>0.6041666667</v>
      </c>
      <c r="K129" s="310">
        <f t="shared" si="4"/>
        <v>46113</v>
      </c>
      <c r="L129" s="317">
        <f t="array" ref="L129">(XLOOKUP(D129,Roster!F:F,Roster!D:D,"",0))</f>
        <v>21</v>
      </c>
      <c r="M129" s="317" t="str">
        <f t="array" ref="M129">XLOOKUP(D129,Roster!F:F,Roster!E:E)</f>
        <v>Tickets</v>
      </c>
      <c r="N129" s="317" t="str">
        <f t="shared" ref="N129:P129" si="136">LEFT(H129,5)</f>
        <v>09:15</v>
      </c>
      <c r="O129" s="317" t="str">
        <f t="shared" si="136"/>
        <v>12:00</v>
      </c>
      <c r="P129" s="317" t="str">
        <f t="shared" si="136"/>
        <v>14:30</v>
      </c>
      <c r="Q129" s="318">
        <f t="shared" si="98"/>
        <v>46113.38542</v>
      </c>
      <c r="R129" s="318">
        <f t="shared" si="99"/>
        <v>46113.5</v>
      </c>
      <c r="S129" s="318">
        <f t="shared" si="8"/>
        <v>46113.60417</v>
      </c>
    </row>
    <row r="130">
      <c r="A130" s="14" t="str">
        <f t="shared" si="1"/>
        <v>C155246113</v>
      </c>
      <c r="B130" s="185">
        <f t="array" ref="B130">IF(F130="VL","",IF(F130="Free","Free",XLOOKUP(D130,Roster!T:T,Roster!S:S,"",0)))</f>
        <v>125</v>
      </c>
      <c r="C130" s="313">
        <v>46113.0</v>
      </c>
      <c r="D130" s="314" t="s">
        <v>81</v>
      </c>
      <c r="E130" s="307" t="str">
        <f t="array" ref="E130">(XLOOKUP(D130,Roster!F:F,Roster!B:B,"",0))</f>
        <v>Wendy Machado</v>
      </c>
      <c r="F130" s="315" t="str">
        <f t="array" ref="F130">IF(B130=100,"Free",TEXT(XLOOKUP($D130,OperationVoice!$A:$A,OperationVoice!G:G,XLOOKUP($D130,OperationTickets!$A:$A,OperationTickets!G:G,"",0)),"hh:mm"))</f>
        <v>08:00</v>
      </c>
      <c r="G130" s="309">
        <f t="shared" si="3"/>
        <v>0.7083333333</v>
      </c>
      <c r="H130" s="316" t="str">
        <f t="array" ref="H130">XLOOKUP(B130,Roster!L:L,Roster!N:N,XLOOKUP(D130,TicketsBreak!A:A,TicketsBreak!E:E,"",0),0)</f>
        <v>10:30 - 10:45</v>
      </c>
      <c r="I130" s="316" t="str">
        <f t="array" ref="I130">XLOOKUP(B130,Roster!L:L,Roster!O:O,XLOOKUP(D130,TicketsBreak!A:A,TicketsBreak!F:F,"",0),0)</f>
        <v>13:30 - 14:00</v>
      </c>
      <c r="J130" s="316" t="str">
        <f t="array" ref="J130">XLOOKUP(B130,Roster!L:L,Roster!P:P,XLOOKUP(D130,TicketsBreak!A:A,TicketsBreak!G:G,"",0),0)</f>
        <v>15:45 - 16:00</v>
      </c>
      <c r="K130" s="310">
        <f t="shared" si="4"/>
        <v>46113</v>
      </c>
      <c r="L130" s="317">
        <f t="array" ref="L130">(XLOOKUP(D130,Roster!F:F,Roster!D:D,"",0))</f>
        <v>37</v>
      </c>
      <c r="M130" s="317" t="str">
        <f t="array" ref="M130">XLOOKUP(D130,Roster!F:F,Roster!E:E)</f>
        <v>Voice</v>
      </c>
      <c r="N130" s="317" t="str">
        <f t="shared" ref="N130:P130" si="137">LEFT(H130,5)</f>
        <v>10:30</v>
      </c>
      <c r="O130" s="317" t="str">
        <f t="shared" si="137"/>
        <v>13:30</v>
      </c>
      <c r="P130" s="317" t="str">
        <f t="shared" si="137"/>
        <v>15:45</v>
      </c>
      <c r="Q130" s="318">
        <f t="shared" si="98"/>
        <v>46113.4375</v>
      </c>
      <c r="R130" s="318">
        <f t="shared" si="99"/>
        <v>46113.5625</v>
      </c>
      <c r="S130" s="318">
        <f t="shared" si="8"/>
        <v>46113.65625</v>
      </c>
    </row>
    <row r="131">
      <c r="A131" s="14" t="str">
        <f t="shared" si="1"/>
        <v>C78646113</v>
      </c>
      <c r="B131" s="185" t="str">
        <f t="array" ref="B131">IF(F131="VL","",IF(F131="Free","Free",XLOOKUP(D131,Roster!T:T,Roster!S:S,"",0)))</f>
        <v>Free</v>
      </c>
      <c r="C131" s="313">
        <v>46113.0</v>
      </c>
      <c r="D131" s="314" t="s">
        <v>136</v>
      </c>
      <c r="E131" s="307" t="str">
        <f t="array" ref="E131">(XLOOKUP(D131,Roster!F:F,Roster!B:B,"",0))</f>
        <v>Wendy Navarro</v>
      </c>
      <c r="F131" s="315" t="str">
        <f t="array" ref="F131">IF(B131=100,"Free",TEXT(XLOOKUP($D131,OperationVoice!$A:$A,OperationVoice!G:G,XLOOKUP($D131,OperationTickets!$A:$A,OperationTickets!G:G,"",0)),"hh:mm"))</f>
        <v>Free</v>
      </c>
      <c r="G131" s="309" t="str">
        <f t="shared" si="3"/>
        <v>Free</v>
      </c>
      <c r="H131" s="316">
        <f t="array" ref="H131">XLOOKUP(B131,Roster!L:L,Roster!N:N,XLOOKUP(D131,TicketsBreak!A:A,TicketsBreak!E:E,"",0),0)</f>
        <v>0.4166666667</v>
      </c>
      <c r="I131" s="316">
        <f t="array" ref="I131">XLOOKUP(B131,Roster!L:L,Roster!O:O,XLOOKUP(D131,TicketsBreak!A:A,TicketsBreak!F:F,"",0),0)</f>
        <v>0.5416666667</v>
      </c>
      <c r="J131" s="316">
        <f t="array" ref="J131">XLOOKUP(B131,Roster!L:L,Roster!P:P,XLOOKUP(D131,TicketsBreak!A:A,TicketsBreak!G:G,"",0),0)</f>
        <v>0.6458333333</v>
      </c>
      <c r="K131" s="310">
        <f t="shared" si="4"/>
        <v>46113</v>
      </c>
      <c r="L131" s="317">
        <f t="array" ref="L131">(XLOOKUP(D131,Roster!F:F,Roster!D:D,"",0))</f>
        <v>16</v>
      </c>
      <c r="M131" s="317" t="str">
        <f t="array" ref="M131">XLOOKUP(D131,Roster!F:F,Roster!E:E)</f>
        <v>Tickets</v>
      </c>
      <c r="N131" s="317" t="str">
        <f t="shared" ref="N131:P131" si="138">LEFT(H131,5)</f>
        <v>10:00</v>
      </c>
      <c r="O131" s="317" t="str">
        <f t="shared" si="138"/>
        <v>13:00</v>
      </c>
      <c r="P131" s="317" t="str">
        <f t="shared" si="138"/>
        <v>15:30</v>
      </c>
      <c r="Q131" s="318">
        <f t="shared" si="98"/>
        <v>46113.41667</v>
      </c>
      <c r="R131" s="318">
        <f t="shared" si="99"/>
        <v>46113.54167</v>
      </c>
      <c r="S131" s="318">
        <f t="shared" si="8"/>
        <v>46113.64583</v>
      </c>
    </row>
    <row r="132">
      <c r="A132" s="14" t="str">
        <f t="shared" si="1"/>
        <v>C153746113</v>
      </c>
      <c r="B132" s="185" t="str">
        <f t="array" ref="B132">IF(F132="VL","",IF(F132="Free","Free",XLOOKUP(D132,Roster!T:T,Roster!S:S,"",0)))</f>
        <v>Free</v>
      </c>
      <c r="C132" s="313">
        <v>46113.0</v>
      </c>
      <c r="D132" s="314" t="s">
        <v>82</v>
      </c>
      <c r="E132" s="307" t="str">
        <f t="array" ref="E132">(XLOOKUP(D132,Roster!F:F,Roster!B:B,"",0))</f>
        <v>William Florez</v>
      </c>
      <c r="F132" s="315" t="str">
        <f t="array" ref="F132">IF(B132=100,"Free",TEXT(XLOOKUP($D132,OperationVoice!$A:$A,OperationVoice!G:G,XLOOKUP($D132,OperationTickets!$A:$A,OperationTickets!G:G,"",0)),"hh:mm"))</f>
        <v>Free</v>
      </c>
      <c r="G132" s="309" t="str">
        <f t="shared" si="3"/>
        <v>Free</v>
      </c>
      <c r="H132" s="316" t="str">
        <f t="array" ref="H132">XLOOKUP(B132,Roster!L:L,Roster!N:N,XLOOKUP(D132,TicketsBreak!A:A,TicketsBreak!E:E,"",0),0)</f>
        <v/>
      </c>
      <c r="I132" s="316" t="str">
        <f t="array" ref="I132">XLOOKUP(B132,Roster!L:L,Roster!O:O,XLOOKUP(D132,TicketsBreak!A:A,TicketsBreak!F:F,"",0),0)</f>
        <v/>
      </c>
      <c r="J132" s="316" t="str">
        <f t="array" ref="J132">XLOOKUP(B132,Roster!L:L,Roster!P:P,XLOOKUP(D132,TicketsBreak!A:A,TicketsBreak!G:G,"",0),0)</f>
        <v/>
      </c>
      <c r="K132" s="310">
        <f t="shared" si="4"/>
        <v>46113</v>
      </c>
      <c r="L132" s="317">
        <f t="array" ref="L132">(XLOOKUP(D132,Roster!F:F,Roster!D:D,"",0))</f>
        <v>36</v>
      </c>
      <c r="M132" s="317" t="str">
        <f t="array" ref="M132">XLOOKUP(D132,Roster!F:F,Roster!E:E)</f>
        <v>Voice</v>
      </c>
      <c r="N132" s="317" t="str">
        <f t="shared" ref="N132:P132" si="139">LEFT(H132,5)</f>
        <v/>
      </c>
      <c r="O132" s="317" t="str">
        <f t="shared" si="139"/>
        <v/>
      </c>
      <c r="P132" s="317" t="str">
        <f t="shared" si="139"/>
        <v/>
      </c>
      <c r="Q132" s="318" t="str">
        <f t="shared" si="98"/>
        <v/>
      </c>
      <c r="R132" s="318" t="str">
        <f t="shared" si="99"/>
        <v/>
      </c>
      <c r="S132" s="318" t="str">
        <f t="shared" si="8"/>
        <v/>
      </c>
    </row>
    <row r="133">
      <c r="A133" s="14" t="str">
        <f t="shared" si="1"/>
        <v>C135346113</v>
      </c>
      <c r="B133" s="185">
        <f t="array" ref="B133">IF(F133="VL","",IF(F133="Free","Free",XLOOKUP(D133,Roster!T:T,Roster!S:S,"",0)))</f>
        <v>121</v>
      </c>
      <c r="C133" s="313">
        <v>46113.0</v>
      </c>
      <c r="D133" s="314" t="s">
        <v>83</v>
      </c>
      <c r="E133" s="307" t="str">
        <f t="array" ref="E133">(XLOOKUP(D133,Roster!F:F,Roster!B:B,"",0))</f>
        <v>Wilson Martinez</v>
      </c>
      <c r="F133" s="315" t="str">
        <f t="array" ref="F133">IF(B133=100,"Free",TEXT(XLOOKUP($D133,OperationVoice!$A:$A,OperationVoice!G:G,XLOOKUP($D133,OperationTickets!$A:$A,OperationTickets!G:G,"",0)),"hh:mm"))</f>
        <v>08:00</v>
      </c>
      <c r="G133" s="309">
        <f t="shared" si="3"/>
        <v>0.7083333333</v>
      </c>
      <c r="H133" s="316" t="str">
        <f t="array" ref="H133">XLOOKUP(B133,Roster!L:L,Roster!N:N,XLOOKUP(D133,TicketsBreak!A:A,TicketsBreak!E:E,"",0),0)</f>
        <v>09:15 - 09:30</v>
      </c>
      <c r="I133" s="316" t="str">
        <f t="array" ref="I133">XLOOKUP(B133,Roster!L:L,Roster!O:O,XLOOKUP(D133,TicketsBreak!A:A,TicketsBreak!F:F,"",0),0)</f>
        <v>11:30 - 12:00</v>
      </c>
      <c r="J133" s="316" t="str">
        <f t="array" ref="J133">XLOOKUP(B133,Roster!L:L,Roster!P:P,XLOOKUP(D133,TicketsBreak!A:A,TicketsBreak!G:G,"",0),0)</f>
        <v>14:30 - 14:45</v>
      </c>
      <c r="K133" s="310">
        <f t="shared" si="4"/>
        <v>46113</v>
      </c>
      <c r="L133" s="317">
        <f t="array" ref="L133">(XLOOKUP(D133,Roster!F:F,Roster!D:D,"",0))</f>
        <v>30</v>
      </c>
      <c r="M133" s="317" t="str">
        <f t="array" ref="M133">XLOOKUP(D133,Roster!F:F,Roster!E:E)</f>
        <v>Voice</v>
      </c>
      <c r="N133" s="317" t="str">
        <f t="shared" ref="N133:P133" si="140">LEFT(H133,5)</f>
        <v>09:15</v>
      </c>
      <c r="O133" s="317" t="str">
        <f t="shared" si="140"/>
        <v>11:30</v>
      </c>
      <c r="P133" s="317" t="str">
        <f t="shared" si="140"/>
        <v>14:30</v>
      </c>
      <c r="Q133" s="318">
        <f t="shared" si="98"/>
        <v>46113.38542</v>
      </c>
      <c r="R133" s="318">
        <f t="shared" si="99"/>
        <v>46113.47917</v>
      </c>
      <c r="S133" s="318">
        <f t="shared" si="8"/>
        <v>46113.60417</v>
      </c>
    </row>
    <row r="134">
      <c r="A134" s="14" t="str">
        <f t="shared" si="1"/>
        <v>C117346113</v>
      </c>
      <c r="B134" s="185">
        <f t="array" ref="B134">IF(F134="VL","",IF(F134="Free","Free",XLOOKUP(D134,Roster!T:T,Roster!S:S,"",0)))</f>
        <v>122</v>
      </c>
      <c r="C134" s="313">
        <v>46113.0</v>
      </c>
      <c r="D134" s="314" t="s">
        <v>84</v>
      </c>
      <c r="E134" s="307" t="str">
        <f t="array" ref="E134">(XLOOKUP(D134,Roster!F:F,Roster!B:B,"",0))</f>
        <v>Yaidy Mosquera</v>
      </c>
      <c r="F134" s="315" t="str">
        <f t="array" ref="F134">IF(B134=100,"Free",TEXT(XLOOKUP($D134,OperationVoice!$A:$A,OperationVoice!G:G,XLOOKUP($D134,OperationTickets!$A:$A,OperationTickets!G:G,"",0)),"hh:mm"))</f>
        <v>08:00</v>
      </c>
      <c r="G134" s="309">
        <f t="shared" si="3"/>
        <v>0.7083333333</v>
      </c>
      <c r="H134" s="316" t="str">
        <f t="array" ref="H134">XLOOKUP(B134,Roster!L:L,Roster!N:N,XLOOKUP(D134,TicketsBreak!A:A,TicketsBreak!E:E,"",0),0)</f>
        <v>09:30 - 09:45</v>
      </c>
      <c r="I134" s="316" t="str">
        <f t="array" ref="I134">XLOOKUP(B134,Roster!L:L,Roster!O:O,XLOOKUP(D134,TicketsBreak!A:A,TicketsBreak!F:F,"",0),0)</f>
        <v>12:00 - 12:30</v>
      </c>
      <c r="J134" s="316" t="str">
        <f t="array" ref="J134">XLOOKUP(B134,Roster!L:L,Roster!P:P,XLOOKUP(D134,TicketsBreak!A:A,TicketsBreak!G:G,"",0),0)</f>
        <v>14:45 - 15:00</v>
      </c>
      <c r="K134" s="310">
        <f t="shared" si="4"/>
        <v>46113</v>
      </c>
      <c r="L134" s="317">
        <f t="array" ref="L134">(XLOOKUP(D134,Roster!F:F,Roster!D:D,"",0))</f>
        <v>24</v>
      </c>
      <c r="M134" s="317" t="str">
        <f t="array" ref="M134">XLOOKUP(D134,Roster!F:F,Roster!E:E)</f>
        <v>Voice</v>
      </c>
      <c r="N134" s="317" t="str">
        <f t="shared" ref="N134:P134" si="141">LEFT(H134,5)</f>
        <v>09:30</v>
      </c>
      <c r="O134" s="317" t="str">
        <f t="shared" si="141"/>
        <v>12:00</v>
      </c>
      <c r="P134" s="317" t="str">
        <f t="shared" si="141"/>
        <v>14:45</v>
      </c>
      <c r="Q134" s="318">
        <f t="shared" si="98"/>
        <v>46113.39583</v>
      </c>
      <c r="R134" s="318">
        <f t="shared" si="99"/>
        <v>46113.5</v>
      </c>
      <c r="S134" s="318">
        <f t="shared" si="8"/>
        <v>46113.61458</v>
      </c>
    </row>
    <row r="135">
      <c r="A135" s="14" t="str">
        <f t="shared" si="1"/>
        <v>C110846113</v>
      </c>
      <c r="B135" s="185" t="str">
        <f t="array" ref="B135">IF(F135="VL","",IF(F135="Free","Free",XLOOKUP(D135,Roster!T:T,Roster!S:S,"",0)))</f>
        <v>Free</v>
      </c>
      <c r="C135" s="313">
        <v>46113.0</v>
      </c>
      <c r="D135" s="314" t="s">
        <v>187</v>
      </c>
      <c r="E135" s="307" t="str">
        <f t="array" ref="E135">(XLOOKUP(D135,Roster!F:F,Roster!B:B,"",0))</f>
        <v>Yeiner Tapias</v>
      </c>
      <c r="F135" s="315" t="str">
        <f t="array" ref="F135">IF(B135=100,"Free",TEXT(XLOOKUP($D135,OperationVoice!$A:$A,OperationVoice!G:G,XLOOKUP($D135,OperationTickets!$A:$A,OperationTickets!G:G,"",0)),"hh:mm"))</f>
        <v>Free</v>
      </c>
      <c r="G135" s="309" t="str">
        <f t="shared" si="3"/>
        <v>Free</v>
      </c>
      <c r="H135" s="316">
        <f t="array" ref="H135">XLOOKUP(B135,Roster!L:L,Roster!N:N,XLOOKUP(D135,TicketsBreak!A:A,TicketsBreak!E:E,"",0),0)</f>
        <v>0.3958333333</v>
      </c>
      <c r="I135" s="316">
        <f t="array" ref="I135">XLOOKUP(B135,Roster!L:L,Roster!O:O,XLOOKUP(D135,TicketsBreak!A:A,TicketsBreak!F:F,"",0),0)</f>
        <v>0.5208333333</v>
      </c>
      <c r="J135" s="316">
        <f t="array" ref="J135">XLOOKUP(B135,Roster!L:L,Roster!P:P,XLOOKUP(D135,TicketsBreak!A:A,TicketsBreak!G:G,"",0),0)</f>
        <v>0.6145833333</v>
      </c>
      <c r="K135" s="310">
        <f t="shared" si="4"/>
        <v>46113</v>
      </c>
      <c r="L135" s="317">
        <f t="array" ref="L135">(XLOOKUP(D135,Roster!F:F,Roster!D:D,"",0))</f>
        <v>20</v>
      </c>
      <c r="M135" s="317" t="str">
        <f t="array" ref="M135">XLOOKUP(D135,Roster!F:F,Roster!E:E)</f>
        <v>Tickets</v>
      </c>
      <c r="N135" s="317" t="str">
        <f t="shared" ref="N135:P135" si="142">LEFT(H135,5)</f>
        <v>09:30</v>
      </c>
      <c r="O135" s="317" t="str">
        <f t="shared" si="142"/>
        <v>12:30</v>
      </c>
      <c r="P135" s="317" t="str">
        <f t="shared" si="142"/>
        <v>14:45</v>
      </c>
      <c r="Q135" s="318">
        <f t="shared" si="98"/>
        <v>46113.39583</v>
      </c>
      <c r="R135" s="318">
        <f t="shared" si="99"/>
        <v>46113.52083</v>
      </c>
      <c r="S135" s="318">
        <f t="shared" si="8"/>
        <v>46113.61458</v>
      </c>
    </row>
    <row r="136">
      <c r="A136" s="14" t="str">
        <f t="shared" si="1"/>
        <v>C153946113</v>
      </c>
      <c r="B136" s="185">
        <f t="array" ref="B136">IF(F136="VL","",IF(F136="Free","Free",XLOOKUP(D136,Roster!T:T,Roster!S:S,"",0)))</f>
        <v>123</v>
      </c>
      <c r="C136" s="313">
        <v>46113.0</v>
      </c>
      <c r="D136" s="314" t="s">
        <v>85</v>
      </c>
      <c r="E136" s="307" t="str">
        <f t="array" ref="E136">(XLOOKUP(D136,Roster!F:F,Roster!B:B,"",0))</f>
        <v>Yovanny Ceballos</v>
      </c>
      <c r="F136" s="315" t="str">
        <f t="array" ref="F136">IF(B136=100,"Free",TEXT(XLOOKUP($D136,OperationVoice!$A:$A,OperationVoice!G:G,XLOOKUP($D136,OperationTickets!$A:$A,OperationTickets!G:G,"",0)),"hh:mm"))</f>
        <v/>
      </c>
      <c r="G136" s="309" t="str">
        <f t="shared" si="3"/>
        <v/>
      </c>
      <c r="H136" s="316" t="str">
        <f t="array" ref="H136">XLOOKUP(B136,Roster!L:L,Roster!N:N,XLOOKUP(D136,TicketsBreak!A:A,TicketsBreak!E:E,"",0),0)</f>
        <v>09:45 - 10:00 </v>
      </c>
      <c r="I136" s="316" t="str">
        <f t="array" ref="I136">XLOOKUP(B136,Roster!L:L,Roster!O:O,XLOOKUP(D136,TicketsBreak!A:A,TicketsBreak!F:F,"",0),0)</f>
        <v>12:30 - 13:00</v>
      </c>
      <c r="J136" s="316" t="str">
        <f t="array" ref="J136">XLOOKUP(B136,Roster!L:L,Roster!P:P,XLOOKUP(D136,TicketsBreak!A:A,TicketsBreak!G:G,"",0),0)</f>
        <v>15:00 - 15:15</v>
      </c>
      <c r="K136" s="310">
        <f t="shared" si="4"/>
        <v>46113</v>
      </c>
      <c r="L136" s="317">
        <f t="array" ref="L136">(XLOOKUP(D136,Roster!F:F,Roster!D:D,"",0))</f>
        <v>36</v>
      </c>
      <c r="M136" s="317" t="str">
        <f t="array" ref="M136">XLOOKUP(D136,Roster!F:F,Roster!E:E)</f>
        <v>Voice</v>
      </c>
      <c r="N136" s="317" t="str">
        <f t="shared" ref="N136:P136" si="143">LEFT(H136,5)</f>
        <v>09:45</v>
      </c>
      <c r="O136" s="317" t="str">
        <f t="shared" si="143"/>
        <v>12:30</v>
      </c>
      <c r="P136" s="317" t="str">
        <f t="shared" si="143"/>
        <v>15:00</v>
      </c>
      <c r="Q136" s="318">
        <f t="shared" si="98"/>
        <v>46113.40625</v>
      </c>
      <c r="R136" s="318">
        <f t="shared" si="99"/>
        <v>46113.52083</v>
      </c>
      <c r="S136" s="318">
        <f t="shared" si="8"/>
        <v>46113.625</v>
      </c>
    </row>
    <row r="137">
      <c r="A137" s="14" t="str">
        <f t="shared" si="1"/>
        <v>46113</v>
      </c>
      <c r="B137" s="185" t="str">
        <f t="array" ref="B137">IF(F137="VL","",IF(F137="Free","Free",XLOOKUP(D137,Roster!T:T,Roster!S:S,"",0)))</f>
        <v/>
      </c>
      <c r="C137" s="313">
        <v>46113.0</v>
      </c>
      <c r="D137" s="314"/>
      <c r="E137" s="307" t="str">
        <f t="array" ref="E137">(XLOOKUP(D137,Roster!F:F,Roster!B:B,"",0))</f>
        <v/>
      </c>
      <c r="F137" s="315" t="str">
        <f t="array" ref="F137">IF(B137=100,"Free",TEXT(XLOOKUP($D137,OperationVoice!$A:$A,OperationVoice!G:G,XLOOKUP($D137,OperationTickets!$A:$A,OperationTickets!G:G,"",0)),"hh:mm"))</f>
        <v/>
      </c>
      <c r="G137" s="309" t="str">
        <f t="shared" si="3"/>
        <v/>
      </c>
      <c r="H137" s="316" t="str">
        <f t="array" ref="H137">XLOOKUP(B137,Roster!L:L,Roster!N:N,XLOOKUP(D137,TicketsBreak!A:A,TicketsBreak!E:E,"",0),0)</f>
        <v/>
      </c>
      <c r="I137" s="316" t="str">
        <f t="array" ref="I137">XLOOKUP(B137,Roster!L:L,Roster!O:O,XLOOKUP(D137,TicketsBreak!A:A,TicketsBreak!F:F,"",0),0)</f>
        <v/>
      </c>
      <c r="J137" s="316" t="str">
        <f t="array" ref="J137">XLOOKUP(B137,Roster!L:L,Roster!P:P,XLOOKUP(D137,TicketsBreak!A:A,TicketsBreak!G:G,"",0),0)</f>
        <v/>
      </c>
      <c r="K137" s="310">
        <f t="shared" si="4"/>
        <v>46113</v>
      </c>
      <c r="L137" s="317" t="str">
        <f t="array" ref="L137">(XLOOKUP(D137,Roster!F:F,Roster!D:D,"",0))</f>
        <v/>
      </c>
      <c r="M137" s="317" t="str">
        <f t="array" ref="M137">XLOOKUP(D137,Roster!F:F,Roster!E:E)</f>
        <v>#N/A</v>
      </c>
      <c r="N137" s="317" t="str">
        <f t="shared" ref="N137:P137" si="144">LEFT(H137,5)</f>
        <v/>
      </c>
      <c r="O137" s="317" t="str">
        <f t="shared" si="144"/>
        <v/>
      </c>
      <c r="P137" s="317" t="str">
        <f t="shared" si="144"/>
        <v/>
      </c>
      <c r="Q137" s="318" t="str">
        <f t="shared" si="98"/>
        <v/>
      </c>
      <c r="R137" s="318" t="str">
        <f t="shared" si="99"/>
        <v/>
      </c>
      <c r="S137" s="318" t="str">
        <f t="shared" si="8"/>
        <v/>
      </c>
    </row>
    <row r="138">
      <c r="A138" s="14" t="str">
        <f t="shared" si="1"/>
        <v>46113</v>
      </c>
      <c r="B138" s="185" t="str">
        <f t="array" ref="B138">IF(F138="VL","",IF(F138="Free","Free",XLOOKUP(D138,Roster!T:T,Roster!S:S,"",0)))</f>
        <v/>
      </c>
      <c r="C138" s="313">
        <v>46113.0</v>
      </c>
      <c r="D138" s="314"/>
      <c r="E138" s="307" t="str">
        <f t="array" ref="E138">(XLOOKUP(D138,Roster!F:F,Roster!B:B,"",0))</f>
        <v/>
      </c>
      <c r="F138" s="315" t="str">
        <f t="array" ref="F138">IF(B138=100,"Free",TEXT(XLOOKUP($D138,OperationVoice!$A:$A,OperationVoice!G:G,XLOOKUP($D138,OperationTickets!$A:$A,OperationTickets!G:G,"",0)),"hh:mm"))</f>
        <v/>
      </c>
      <c r="G138" s="309" t="str">
        <f t="shared" si="3"/>
        <v/>
      </c>
      <c r="H138" s="316" t="str">
        <f t="array" ref="H138">XLOOKUP(B138,Roster!L:L,Roster!N:N,XLOOKUP(D138,TicketsBreak!A:A,TicketsBreak!E:E,"",0),0)</f>
        <v/>
      </c>
      <c r="I138" s="316" t="str">
        <f t="array" ref="I138">XLOOKUP(B138,Roster!L:L,Roster!O:O,XLOOKUP(D138,TicketsBreak!A:A,TicketsBreak!F:F,"",0),0)</f>
        <v/>
      </c>
      <c r="J138" s="316" t="str">
        <f t="array" ref="J138">XLOOKUP(B138,Roster!L:L,Roster!P:P,XLOOKUP(D138,TicketsBreak!A:A,TicketsBreak!G:G,"",0),0)</f>
        <v/>
      </c>
      <c r="K138" s="310">
        <f t="shared" si="4"/>
        <v>46113</v>
      </c>
      <c r="L138" s="317" t="str">
        <f t="array" ref="L138">(XLOOKUP(D138,Roster!F:F,Roster!D:D,"",0))</f>
        <v/>
      </c>
      <c r="M138" s="317" t="str">
        <f t="array" ref="M138">XLOOKUP(D138,Roster!F:F,Roster!E:E)</f>
        <v>#N/A</v>
      </c>
      <c r="N138" s="317" t="str">
        <f t="shared" ref="N138:P138" si="145">LEFT(H138,5)</f>
        <v/>
      </c>
      <c r="O138" s="317" t="str">
        <f t="shared" si="145"/>
        <v/>
      </c>
      <c r="P138" s="317" t="str">
        <f t="shared" si="145"/>
        <v/>
      </c>
      <c r="Q138" s="318" t="str">
        <f t="shared" si="98"/>
        <v/>
      </c>
      <c r="R138" s="318" t="str">
        <f t="shared" si="99"/>
        <v/>
      </c>
      <c r="S138" s="318" t="str">
        <f t="shared" si="8"/>
        <v/>
      </c>
    </row>
    <row r="139">
      <c r="A139" s="14" t="str">
        <f t="shared" si="1"/>
        <v>46113</v>
      </c>
      <c r="B139" s="185" t="str">
        <f t="array" ref="B139">IF(F139="VL","",IF(F139="Free","Free",XLOOKUP(D139,Roster!T:T,Roster!S:S,"",0)))</f>
        <v/>
      </c>
      <c r="C139" s="313">
        <v>46113.0</v>
      </c>
      <c r="D139" s="314"/>
      <c r="E139" s="307" t="str">
        <f t="array" ref="E139">(XLOOKUP(D139,Roster!F:F,Roster!B:B,"",0))</f>
        <v/>
      </c>
      <c r="F139" s="315" t="str">
        <f t="array" ref="F139">IF(B139=100,"Free",TEXT(XLOOKUP($D139,OperationVoice!$A:$A,OperationVoice!G:G,XLOOKUP($D139,OperationTickets!$A:$A,OperationTickets!G:G,"",0)),"hh:mm"))</f>
        <v/>
      </c>
      <c r="G139" s="309" t="str">
        <f t="shared" si="3"/>
        <v/>
      </c>
      <c r="H139" s="316" t="str">
        <f t="array" ref="H139">XLOOKUP(B139,Roster!L:L,Roster!N:N,XLOOKUP(D139,TicketsBreak!A:A,TicketsBreak!E:E,"",0),0)</f>
        <v/>
      </c>
      <c r="I139" s="316" t="str">
        <f t="array" ref="I139">XLOOKUP(B139,Roster!L:L,Roster!O:O,XLOOKUP(D139,TicketsBreak!A:A,TicketsBreak!F:F,"",0),0)</f>
        <v/>
      </c>
      <c r="J139" s="316" t="str">
        <f t="array" ref="J139">XLOOKUP(B139,Roster!L:L,Roster!P:P,XLOOKUP(D139,TicketsBreak!A:A,TicketsBreak!G:G,"",0),0)</f>
        <v/>
      </c>
      <c r="K139" s="310">
        <f t="shared" si="4"/>
        <v>46113</v>
      </c>
      <c r="L139" s="317" t="str">
        <f t="array" ref="L139">(XLOOKUP(D139,Roster!F:F,Roster!D:D,"",0))</f>
        <v/>
      </c>
      <c r="M139" s="317" t="str">
        <f t="array" ref="M139">XLOOKUP(D139,Roster!F:F,Roster!E:E)</f>
        <v>#N/A</v>
      </c>
      <c r="N139" s="317" t="str">
        <f t="shared" ref="N139:P139" si="146">LEFT(H139,5)</f>
        <v/>
      </c>
      <c r="O139" s="317" t="str">
        <f t="shared" si="146"/>
        <v/>
      </c>
      <c r="P139" s="317" t="str">
        <f t="shared" si="146"/>
        <v/>
      </c>
      <c r="Q139" s="318" t="str">
        <f t="shared" si="98"/>
        <v/>
      </c>
      <c r="R139" s="318" t="str">
        <f t="shared" si="99"/>
        <v/>
      </c>
      <c r="S139" s="318" t="str">
        <f t="shared" si="8"/>
        <v/>
      </c>
    </row>
    <row r="140">
      <c r="A140" s="14" t="str">
        <f t="shared" si="1"/>
        <v>46113</v>
      </c>
      <c r="B140" s="185" t="str">
        <f t="array" ref="B140">IF(F140="VL","",IF(F140="Free","Free",XLOOKUP(D140,Roster!T:T,Roster!S:S,"",0)))</f>
        <v/>
      </c>
      <c r="C140" s="313">
        <v>46113.0</v>
      </c>
      <c r="D140" s="314"/>
      <c r="E140" s="307" t="str">
        <f t="array" ref="E140">(XLOOKUP(D140,Roster!F:F,Roster!B:B,"",0))</f>
        <v/>
      </c>
      <c r="F140" s="315" t="str">
        <f t="array" ref="F140">IF(B140=100,"Free",TEXT(XLOOKUP($D140,OperationVoice!$A:$A,OperationVoice!G:G,XLOOKUP($D140,OperationTickets!$A:$A,OperationTickets!G:G,"",0)),"hh:mm"))</f>
        <v/>
      </c>
      <c r="G140" s="309" t="str">
        <f t="shared" si="3"/>
        <v/>
      </c>
      <c r="H140" s="316" t="str">
        <f t="array" ref="H140">XLOOKUP(B140,Roster!L:L,Roster!N:N,XLOOKUP(D140,TicketsBreak!A:A,TicketsBreak!E:E,"",0),0)</f>
        <v/>
      </c>
      <c r="I140" s="316" t="str">
        <f t="array" ref="I140">XLOOKUP(B140,Roster!L:L,Roster!O:O,XLOOKUP(D140,TicketsBreak!A:A,TicketsBreak!F:F,"",0),0)</f>
        <v/>
      </c>
      <c r="J140" s="316" t="str">
        <f t="array" ref="J140">XLOOKUP(B140,Roster!L:L,Roster!P:P,XLOOKUP(D140,TicketsBreak!A:A,TicketsBreak!G:G,"",0),0)</f>
        <v/>
      </c>
      <c r="K140" s="310">
        <f t="shared" si="4"/>
        <v>46113</v>
      </c>
      <c r="L140" s="317" t="str">
        <f t="array" ref="L140">(XLOOKUP(D140,Roster!F:F,Roster!D:D,"",0))</f>
        <v/>
      </c>
      <c r="M140" s="317" t="str">
        <f t="array" ref="M140">XLOOKUP(D140,Roster!F:F,Roster!E:E)</f>
        <v>#N/A</v>
      </c>
      <c r="N140" s="317" t="str">
        <f t="shared" ref="N140:P140" si="147">LEFT(H140,5)</f>
        <v/>
      </c>
      <c r="O140" s="317" t="str">
        <f t="shared" si="147"/>
        <v/>
      </c>
      <c r="P140" s="317" t="str">
        <f t="shared" si="147"/>
        <v/>
      </c>
      <c r="Q140" s="318" t="str">
        <f t="shared" si="98"/>
        <v/>
      </c>
      <c r="R140" s="318" t="str">
        <f t="shared" si="99"/>
        <v/>
      </c>
      <c r="S140" s="318" t="str">
        <f t="shared" si="8"/>
        <v/>
      </c>
    </row>
    <row r="141">
      <c r="A141" s="14" t="str">
        <f t="shared" si="1"/>
        <v>46113</v>
      </c>
      <c r="B141" s="185" t="str">
        <f t="array" ref="B141">IF(F141="VL","",IF(F141="Free","Free",XLOOKUP(D141,Roster!T:T,Roster!S:S,"",0)))</f>
        <v/>
      </c>
      <c r="C141" s="313">
        <v>46113.0</v>
      </c>
      <c r="D141" s="314"/>
      <c r="E141" s="307" t="str">
        <f t="array" ref="E141">(XLOOKUP(D141,Roster!F:F,Roster!B:B,"",0))</f>
        <v/>
      </c>
      <c r="F141" s="315" t="str">
        <f t="array" ref="F141">IF(B141=100,"Free",TEXT(XLOOKUP($D141,OperationVoice!$A:$A,OperationVoice!G:G,XLOOKUP($D141,OperationTickets!$A:$A,OperationTickets!G:G,"",0)),"hh:mm"))</f>
        <v/>
      </c>
      <c r="G141" s="309" t="str">
        <f t="shared" si="3"/>
        <v/>
      </c>
      <c r="H141" s="316" t="str">
        <f t="array" ref="H141">XLOOKUP(B141,Roster!L:L,Roster!N:N,XLOOKUP(D141,TicketsBreak!A:A,TicketsBreak!E:E,"",0),0)</f>
        <v/>
      </c>
      <c r="I141" s="316" t="str">
        <f t="array" ref="I141">XLOOKUP(B141,Roster!L:L,Roster!O:O,XLOOKUP(D141,TicketsBreak!A:A,TicketsBreak!F:F,"",0),0)</f>
        <v/>
      </c>
      <c r="J141" s="316" t="str">
        <f t="array" ref="J141">XLOOKUP(B141,Roster!L:L,Roster!P:P,XLOOKUP(D141,TicketsBreak!A:A,TicketsBreak!G:G,"",0),0)</f>
        <v/>
      </c>
      <c r="K141" s="310">
        <f t="shared" si="4"/>
        <v>46113</v>
      </c>
      <c r="L141" s="317" t="str">
        <f t="array" ref="L141">(XLOOKUP(D141,Roster!F:F,Roster!D:D,"",0))</f>
        <v/>
      </c>
      <c r="M141" s="317" t="str">
        <f t="array" ref="M141">XLOOKUP(D141,Roster!F:F,Roster!E:E)</f>
        <v>#N/A</v>
      </c>
      <c r="N141" s="317" t="str">
        <f t="shared" ref="N141:P141" si="148">LEFT(H141,5)</f>
        <v/>
      </c>
      <c r="O141" s="317" t="str">
        <f t="shared" si="148"/>
        <v/>
      </c>
      <c r="P141" s="317" t="str">
        <f t="shared" si="148"/>
        <v/>
      </c>
      <c r="Q141" s="318" t="str">
        <f t="shared" si="98"/>
        <v/>
      </c>
      <c r="R141" s="318" t="str">
        <f t="shared" si="99"/>
        <v/>
      </c>
      <c r="S141" s="318" t="str">
        <f t="shared" si="8"/>
        <v/>
      </c>
    </row>
    <row r="142">
      <c r="A142" s="14" t="str">
        <f t="shared" si="1"/>
        <v>C81846114</v>
      </c>
      <c r="B142" s="185">
        <f t="array" ref="B142">IF(F142="VL","",IF(F142="Free","Free",XLOOKUP(D142,Roster!T:T,Roster!S:S,"",0)))</f>
        <v>123</v>
      </c>
      <c r="C142" s="313">
        <v>46114.0</v>
      </c>
      <c r="D142" s="314" t="s">
        <v>9</v>
      </c>
      <c r="E142" s="307" t="str">
        <f t="array" ref="E142">(XLOOKUP(D142,Roster!F:F,Roster!B:B,"",0))</f>
        <v>Adriana Moncaleano</v>
      </c>
      <c r="F142" s="315" t="str">
        <f t="array" ref="F142">IF(B142=100,"Free",TEXT(XLOOKUP($D142,OperationVoice!$A:$A,OperationVoice!H:H,XLOOKUP($D142,OperationTickets!$A:$A,OperationTickets!H:H,"",0)),"hh:mm"))</f>
        <v>08:00</v>
      </c>
      <c r="G142" s="309">
        <f t="shared" si="3"/>
        <v>0.7083333333</v>
      </c>
      <c r="H142" s="316" t="str">
        <f t="array" ref="H142">XLOOKUP(B142,Roster!L:L,Roster!N:N,XLOOKUP(D142,TicketsBreak!A:A,TicketsBreak!E:E,"",0),0)</f>
        <v>09:45 - 10:00 </v>
      </c>
      <c r="I142" s="316" t="str">
        <f t="array" ref="I142">XLOOKUP(B142,Roster!L:L,Roster!O:O,XLOOKUP(D142,TicketsBreak!A:A,TicketsBreak!F:F,"",0),0)</f>
        <v>12:30 - 13:00</v>
      </c>
      <c r="J142" s="316" t="str">
        <f t="array" ref="J142">XLOOKUP(B142,Roster!L:L,Roster!P:P,XLOOKUP(D142,TicketsBreak!A:A,TicketsBreak!G:G,"",0),0)</f>
        <v>15:00 - 15:15</v>
      </c>
      <c r="K142" s="310">
        <f t="shared" si="4"/>
        <v>46114</v>
      </c>
      <c r="L142" s="317">
        <f t="array" ref="L142">(XLOOKUP(D142,Roster!F:F,Roster!D:D,"",0))</f>
        <v>23</v>
      </c>
      <c r="M142" s="317" t="str">
        <f t="array" ref="M142">XLOOKUP(D142,Roster!F:F,Roster!E:E)</f>
        <v>Voice</v>
      </c>
      <c r="N142" s="317" t="str">
        <f t="shared" ref="N142:P142" si="149">LEFT(H142,5)</f>
        <v>09:45</v>
      </c>
      <c r="O142" s="317" t="str">
        <f t="shared" si="149"/>
        <v>12:30</v>
      </c>
      <c r="P142" s="317" t="str">
        <f t="shared" si="149"/>
        <v>15:00</v>
      </c>
      <c r="Q142" s="318">
        <f t="shared" si="98"/>
        <v>46114.40625</v>
      </c>
      <c r="R142" s="318">
        <f t="shared" si="99"/>
        <v>46114.52083</v>
      </c>
      <c r="S142" s="318">
        <f t="shared" si="8"/>
        <v>46114.625</v>
      </c>
    </row>
    <row r="143">
      <c r="A143" s="14" t="str">
        <f t="shared" si="1"/>
        <v>C110746114</v>
      </c>
      <c r="B143" s="185">
        <f t="array" ref="B143">IF(F143="VL","",IF(F143="Free","Free",XLOOKUP(D143,Roster!T:T,Roster!S:S,"",0)))</f>
        <v>153</v>
      </c>
      <c r="C143" s="313">
        <v>46114.0</v>
      </c>
      <c r="D143" s="314" t="s">
        <v>10</v>
      </c>
      <c r="E143" s="307" t="str">
        <f t="array" ref="E143">(XLOOKUP(D143,Roster!F:F,Roster!B:B,"",0))</f>
        <v>Alejandro Malave</v>
      </c>
      <c r="F143" s="315" t="str">
        <f t="array" ref="F143">IF(B143=100,"Free",TEXT(XLOOKUP($D143,OperationVoice!$A:$A,OperationVoice!H:H,XLOOKUP($D143,OperationTickets!$A:$A,OperationTickets!H:H,"",0)),"hh:mm"))</f>
        <v>11:00</v>
      </c>
      <c r="G143" s="309">
        <f t="shared" si="3"/>
        <v>0.8333333333</v>
      </c>
      <c r="H143" s="316" t="str">
        <f t="array" ref="H143">XLOOKUP(B143,Roster!L:L,Roster!N:N,XLOOKUP(D143,TicketsBreak!A:A,TicketsBreak!E:E,"",0),0)</f>
        <v>12:45 - 13:00</v>
      </c>
      <c r="I143" s="316" t="str">
        <f t="array" ref="I143">XLOOKUP(B143,Roster!L:L,Roster!O:O,XLOOKUP(D143,TicketsBreak!A:A,TicketsBreak!F:F,"",0),0)</f>
        <v>15:00 - 15:30</v>
      </c>
      <c r="J143" s="316" t="str">
        <f t="array" ref="J143">XLOOKUP(B143,Roster!L:L,Roster!P:P,XLOOKUP(D143,TicketsBreak!A:A,TicketsBreak!G:G,"",0),0)</f>
        <v>17:45 - 18:00</v>
      </c>
      <c r="K143" s="310">
        <f t="shared" si="4"/>
        <v>46114</v>
      </c>
      <c r="L143" s="317">
        <f t="array" ref="L143">(XLOOKUP(D143,Roster!F:F,Roster!D:D,"",0))</f>
        <v>36</v>
      </c>
      <c r="M143" s="317" t="str">
        <f t="array" ref="M143">XLOOKUP(D143,Roster!F:F,Roster!E:E)</f>
        <v>Voice</v>
      </c>
      <c r="N143" s="317" t="str">
        <f t="shared" ref="N143:P143" si="150">LEFT(H143,5)</f>
        <v>12:45</v>
      </c>
      <c r="O143" s="317" t="str">
        <f t="shared" si="150"/>
        <v>15:00</v>
      </c>
      <c r="P143" s="317" t="str">
        <f t="shared" si="150"/>
        <v>17:45</v>
      </c>
      <c r="Q143" s="318">
        <f t="shared" si="98"/>
        <v>46114.53125</v>
      </c>
      <c r="R143" s="318">
        <f t="shared" si="99"/>
        <v>46114.625</v>
      </c>
      <c r="S143" s="318">
        <f t="shared" si="8"/>
        <v>46114.73958</v>
      </c>
    </row>
    <row r="144">
      <c r="A144" s="14" t="str">
        <f t="shared" si="1"/>
        <v>C69946114</v>
      </c>
      <c r="B144" s="185" t="str">
        <f t="array" ref="B144">IF(F144="VL","",IF(F144="Free","Free",XLOOKUP(D144,Roster!T:T,Roster!S:S,"",0)))</f>
        <v/>
      </c>
      <c r="C144" s="313">
        <v>46114.0</v>
      </c>
      <c r="D144" s="314" t="s">
        <v>137</v>
      </c>
      <c r="E144" s="307" t="str">
        <f t="array" ref="E144">(XLOOKUP(D144,Roster!F:F,Roster!B:B,"",0))</f>
        <v>Alexa Arenas</v>
      </c>
      <c r="F144" s="315" t="str">
        <f t="array" ref="F144">IF(B144=100,"Free",TEXT(XLOOKUP($D144,OperationVoice!$A:$A,OperationVoice!H:H,XLOOKUP($D144,OperationTickets!$A:$A,OperationTickets!H:H,"",0)),"hh:mm"))</f>
        <v>08:00</v>
      </c>
      <c r="G144" s="309">
        <f t="shared" si="3"/>
        <v>0.7083333333</v>
      </c>
      <c r="H144" s="316">
        <f t="array" ref="H144">XLOOKUP(B144,Roster!L:L,Roster!N:N,XLOOKUP(D144,TicketsBreak!A:A,TicketsBreak!E:E,"",0),0)</f>
        <v>0.40625</v>
      </c>
      <c r="I144" s="316">
        <f t="array" ref="I144">XLOOKUP(B144,Roster!L:L,Roster!O:O,XLOOKUP(D144,TicketsBreak!A:A,TicketsBreak!F:F,"",0),0)</f>
        <v>0.5</v>
      </c>
      <c r="J144" s="316">
        <f t="array" ref="J144">XLOOKUP(B144,Roster!L:L,Roster!P:P,XLOOKUP(D144,TicketsBreak!A:A,TicketsBreak!G:G,"",0),0)</f>
        <v>0.65625</v>
      </c>
      <c r="K144" s="310">
        <f t="shared" si="4"/>
        <v>46114</v>
      </c>
      <c r="L144" s="317">
        <f t="array" ref="L144">(XLOOKUP(D144,Roster!F:F,Roster!D:D,"",0))</f>
        <v>5</v>
      </c>
      <c r="M144" s="317" t="str">
        <f t="array" ref="M144">XLOOKUP(D144,Roster!F:F,Roster!E:E)</f>
        <v>Tickets</v>
      </c>
      <c r="N144" s="317" t="str">
        <f t="shared" ref="N144:P144" si="151">LEFT(H144,5)</f>
        <v>09:45</v>
      </c>
      <c r="O144" s="317" t="str">
        <f t="shared" si="151"/>
        <v>12:00</v>
      </c>
      <c r="P144" s="317" t="str">
        <f t="shared" si="151"/>
        <v>15:45</v>
      </c>
      <c r="Q144" s="318">
        <f t="shared" si="98"/>
        <v>46114.40625</v>
      </c>
      <c r="R144" s="318">
        <f t="shared" si="99"/>
        <v>46114.5</v>
      </c>
      <c r="S144" s="318">
        <f t="shared" si="8"/>
        <v>46114.65625</v>
      </c>
    </row>
    <row r="145">
      <c r="A145" s="14" t="str">
        <f t="shared" si="1"/>
        <v>C157046114</v>
      </c>
      <c r="B145" s="185">
        <f t="array" ref="B145">IF(F145="VL","",IF(F145="Free","Free",XLOOKUP(D145,Roster!T:T,Roster!S:S,"",0)))</f>
        <v>123</v>
      </c>
      <c r="C145" s="313">
        <v>46114.0</v>
      </c>
      <c r="D145" s="314" t="s">
        <v>11</v>
      </c>
      <c r="E145" s="307" t="str">
        <f t="array" ref="E145">(XLOOKUP(D145,Roster!F:F,Roster!B:B,"",0))</f>
        <v>Alexander Bartoli</v>
      </c>
      <c r="F145" s="315" t="str">
        <f t="array" ref="F145">IF(B145=100,"Free",TEXT(XLOOKUP($D145,OperationVoice!$A:$A,OperationVoice!H:H,XLOOKUP($D145,OperationTickets!$A:$A,OperationTickets!H:H,"",0)),"hh:mm"))</f>
        <v>08:00</v>
      </c>
      <c r="G145" s="309">
        <f t="shared" si="3"/>
        <v>0.7083333333</v>
      </c>
      <c r="H145" s="316" t="str">
        <f t="array" ref="H145">XLOOKUP(B145,Roster!L:L,Roster!N:N,XLOOKUP(D145,TicketsBreak!A:A,TicketsBreak!E:E,"",0),0)</f>
        <v>09:45 - 10:00 </v>
      </c>
      <c r="I145" s="316" t="str">
        <f t="array" ref="I145">XLOOKUP(B145,Roster!L:L,Roster!O:O,XLOOKUP(D145,TicketsBreak!A:A,TicketsBreak!F:F,"",0),0)</f>
        <v>12:30 - 13:00</v>
      </c>
      <c r="J145" s="316" t="str">
        <f t="array" ref="J145">XLOOKUP(B145,Roster!L:L,Roster!P:P,XLOOKUP(D145,TicketsBreak!A:A,TicketsBreak!G:G,"",0),0)</f>
        <v>15:00 - 15:15</v>
      </c>
      <c r="K145" s="310">
        <f t="shared" si="4"/>
        <v>46114</v>
      </c>
      <c r="L145" s="317">
        <f t="array" ref="L145">(XLOOKUP(D145,Roster!F:F,Roster!D:D,"",0))</f>
        <v>38</v>
      </c>
      <c r="M145" s="317" t="str">
        <f t="array" ref="M145">XLOOKUP(D145,Roster!F:F,Roster!E:E)</f>
        <v>Voice</v>
      </c>
      <c r="N145" s="317" t="str">
        <f t="shared" ref="N145:P145" si="152">LEFT(H145,5)</f>
        <v>09:45</v>
      </c>
      <c r="O145" s="317" t="str">
        <f t="shared" si="152"/>
        <v>12:30</v>
      </c>
      <c r="P145" s="317" t="str">
        <f t="shared" si="152"/>
        <v>15:00</v>
      </c>
      <c r="Q145" s="318">
        <f t="shared" si="98"/>
        <v>46114.40625</v>
      </c>
      <c r="R145" s="318">
        <f t="shared" si="99"/>
        <v>46114.52083</v>
      </c>
      <c r="S145" s="318">
        <f t="shared" si="8"/>
        <v>46114.625</v>
      </c>
    </row>
    <row r="146">
      <c r="A146" s="14" t="str">
        <f t="shared" si="1"/>
        <v>C93546114</v>
      </c>
      <c r="B146" s="185" t="str">
        <f t="array" ref="B146">IF(F146="VL","",IF(F146="Free","Free",XLOOKUP(D146,Roster!T:T,Roster!S:S,"",0)))</f>
        <v/>
      </c>
      <c r="C146" s="313">
        <v>46114.0</v>
      </c>
      <c r="D146" s="314" t="s">
        <v>153</v>
      </c>
      <c r="E146" s="307" t="str">
        <f t="array" ref="E146">(XLOOKUP(D146,Roster!F:F,Roster!B:B,"",0))</f>
        <v>Alexis Arias</v>
      </c>
      <c r="F146" s="315" t="str">
        <f t="array" ref="F146">IF(B146=100,"Free",TEXT(XLOOKUP($D146,OperationVoice!$A:$A,OperationVoice!H:H,XLOOKUP($D146,OperationTickets!$A:$A,OperationTickets!H:H,"",0)),"hh:mm"))</f>
        <v>07:30</v>
      </c>
      <c r="G146" s="309">
        <f t="shared" si="3"/>
        <v>0.6875</v>
      </c>
      <c r="H146" s="316">
        <f t="array" ref="H146">XLOOKUP(B146,Roster!L:L,Roster!N:N,XLOOKUP(D146,TicketsBreak!A:A,TicketsBreak!E:E,"",0),0)</f>
        <v>0.4270833333</v>
      </c>
      <c r="I146" s="316">
        <f t="array" ref="I146">XLOOKUP(B146,Roster!L:L,Roster!O:O,XLOOKUP(D146,TicketsBreak!A:A,TicketsBreak!F:F,"",0),0)</f>
        <v>0.53125</v>
      </c>
      <c r="J146" s="316">
        <f t="array" ref="J146">XLOOKUP(B146,Roster!L:L,Roster!P:P,XLOOKUP(D146,TicketsBreak!A:A,TicketsBreak!G:G,"",0),0)</f>
        <v>0.6458333333</v>
      </c>
      <c r="K146" s="310">
        <f t="shared" si="4"/>
        <v>46114</v>
      </c>
      <c r="L146" s="317">
        <f t="array" ref="L146">(XLOOKUP(D146,Roster!F:F,Roster!D:D,"",0))</f>
        <v>12</v>
      </c>
      <c r="M146" s="317" t="str">
        <f t="array" ref="M146">XLOOKUP(D146,Roster!F:F,Roster!E:E)</f>
        <v>Tickets</v>
      </c>
      <c r="N146" s="317" t="str">
        <f t="shared" ref="N146:P146" si="153">LEFT(H146,5)</f>
        <v>10:15</v>
      </c>
      <c r="O146" s="317" t="str">
        <f t="shared" si="153"/>
        <v>12:45</v>
      </c>
      <c r="P146" s="317" t="str">
        <f t="shared" si="153"/>
        <v>15:30</v>
      </c>
      <c r="Q146" s="318">
        <f t="shared" si="98"/>
        <v>46114.42708</v>
      </c>
      <c r="R146" s="318">
        <f t="shared" si="99"/>
        <v>46114.53125</v>
      </c>
      <c r="S146" s="318">
        <f t="shared" si="8"/>
        <v>46114.64583</v>
      </c>
    </row>
    <row r="147">
      <c r="A147" s="14" t="str">
        <f t="shared" si="1"/>
        <v>C72746114</v>
      </c>
      <c r="B147" s="185" t="str">
        <f t="array" ref="B147">IF(F147="VL","",IF(F147="Free","Free",XLOOKUP(D147,Roster!T:T,Roster!S:S,"",0)))</f>
        <v/>
      </c>
      <c r="C147" s="313">
        <v>46114.0</v>
      </c>
      <c r="D147" s="314" t="s">
        <v>154</v>
      </c>
      <c r="E147" s="307" t="str">
        <f t="array" ref="E147">(XLOOKUP(D147,Roster!F:F,Roster!B:B,"",0))</f>
        <v>Ana Moreno</v>
      </c>
      <c r="F147" s="315" t="str">
        <f t="array" ref="F147">IF(B147=100,"Free",TEXT(XLOOKUP($D147,OperationVoice!$A:$A,OperationVoice!H:H,XLOOKUP($D147,OperationTickets!$A:$A,OperationTickets!H:H,"",0)),"hh:mm"))</f>
        <v>VL</v>
      </c>
      <c r="G147" s="309" t="str">
        <f t="shared" si="3"/>
        <v>VL</v>
      </c>
      <c r="H147" s="316">
        <f t="array" ref="H147">XLOOKUP(B147,Roster!L:L,Roster!N:N,XLOOKUP(D147,TicketsBreak!A:A,TicketsBreak!E:E,"",0),0)</f>
        <v>0.4166666667</v>
      </c>
      <c r="I147" s="316">
        <f t="array" ref="I147">XLOOKUP(B147,Roster!L:L,Roster!O:O,XLOOKUP(D147,TicketsBreak!A:A,TicketsBreak!F:F,"",0),0)</f>
        <v>0.5208333333</v>
      </c>
      <c r="J147" s="316">
        <f t="array" ref="J147">XLOOKUP(B147,Roster!L:L,Roster!P:P,XLOOKUP(D147,TicketsBreak!A:A,TicketsBreak!G:G,"",0),0)</f>
        <v>0.65625</v>
      </c>
      <c r="K147" s="310">
        <f t="shared" si="4"/>
        <v>46114</v>
      </c>
      <c r="L147" s="317">
        <f t="array" ref="L147">(XLOOKUP(D147,Roster!F:F,Roster!D:D,"",0))</f>
        <v>7</v>
      </c>
      <c r="M147" s="317" t="str">
        <f t="array" ref="M147">XLOOKUP(D147,Roster!F:F,Roster!E:E)</f>
        <v>Tickets</v>
      </c>
      <c r="N147" s="317" t="str">
        <f t="shared" ref="N147:P147" si="154">LEFT(H147,5)</f>
        <v>10:00</v>
      </c>
      <c r="O147" s="317" t="str">
        <f t="shared" si="154"/>
        <v>12:30</v>
      </c>
      <c r="P147" s="317" t="str">
        <f t="shared" si="154"/>
        <v>15:45</v>
      </c>
      <c r="Q147" s="318">
        <f t="shared" si="98"/>
        <v>46114.41667</v>
      </c>
      <c r="R147" s="318">
        <f t="shared" si="99"/>
        <v>46114.52083</v>
      </c>
      <c r="S147" s="318">
        <f t="shared" si="8"/>
        <v>46114.65625</v>
      </c>
    </row>
    <row r="148">
      <c r="A148" s="14" t="str">
        <f t="shared" si="1"/>
        <v>C157446114</v>
      </c>
      <c r="B148" s="185">
        <f t="array" ref="B148">IF(F148="VL","",IF(F148="Free","Free",XLOOKUP(D148,Roster!T:T,Roster!S:S,"",0)))</f>
        <v>124</v>
      </c>
      <c r="C148" s="313">
        <v>46114.0</v>
      </c>
      <c r="D148" s="314" t="s">
        <v>12</v>
      </c>
      <c r="E148" s="307" t="str">
        <f t="array" ref="E148">(XLOOKUP(D148,Roster!F:F,Roster!B:B,"",0))</f>
        <v>Ana Quintero</v>
      </c>
      <c r="F148" s="315" t="str">
        <f t="array" ref="F148">IF(B148=100,"Free",TEXT(XLOOKUP($D148,OperationVoice!$A:$A,OperationVoice!H:H,XLOOKUP($D148,OperationTickets!$A:$A,OperationTickets!H:H,"",0)),"hh:mm"))</f>
        <v>08:00</v>
      </c>
      <c r="G148" s="309">
        <f t="shared" si="3"/>
        <v>0.7083333333</v>
      </c>
      <c r="H148" s="316" t="str">
        <f t="array" ref="H148">XLOOKUP(B148,Roster!L:L,Roster!N:N,XLOOKUP(D148,TicketsBreak!A:A,TicketsBreak!E:E,"",0),0)</f>
        <v>10:00 - 10:15</v>
      </c>
      <c r="I148" s="316" t="str">
        <f t="array" ref="I148">XLOOKUP(B148,Roster!L:L,Roster!O:O,XLOOKUP(D148,TicketsBreak!A:A,TicketsBreak!F:F,"",0),0)</f>
        <v>13:00 - 13:30</v>
      </c>
      <c r="J148" s="316" t="str">
        <f t="array" ref="J148">XLOOKUP(B148,Roster!L:L,Roster!P:P,XLOOKUP(D148,TicketsBreak!A:A,TicketsBreak!G:G,"",0),0)</f>
        <v>15:30 - 15:45</v>
      </c>
      <c r="K148" s="310">
        <f t="shared" si="4"/>
        <v>46114</v>
      </c>
      <c r="L148" s="317">
        <f t="array" ref="L148">(XLOOKUP(D148,Roster!F:F,Roster!D:D,"",0))</f>
        <v>38</v>
      </c>
      <c r="M148" s="317" t="str">
        <f t="array" ref="M148">XLOOKUP(D148,Roster!F:F,Roster!E:E)</f>
        <v>Voice</v>
      </c>
      <c r="N148" s="317" t="str">
        <f t="shared" ref="N148:P148" si="155">LEFT(H148,5)</f>
        <v>10:00</v>
      </c>
      <c r="O148" s="317" t="str">
        <f t="shared" si="155"/>
        <v>13:00</v>
      </c>
      <c r="P148" s="317" t="str">
        <f t="shared" si="155"/>
        <v>15:30</v>
      </c>
      <c r="Q148" s="318">
        <f t="shared" si="98"/>
        <v>46114.41667</v>
      </c>
      <c r="R148" s="318">
        <f t="shared" si="99"/>
        <v>46114.54167</v>
      </c>
      <c r="S148" s="318">
        <f t="shared" si="8"/>
        <v>46114.64583</v>
      </c>
    </row>
    <row r="149">
      <c r="A149" s="14" t="str">
        <f t="shared" si="1"/>
        <v>C46946114</v>
      </c>
      <c r="B149" s="185" t="str">
        <f t="array" ref="B149">IF(F149="VL","",IF(F149="Free","Free",XLOOKUP(D149,Roster!T:T,Roster!S:S,"",0)))</f>
        <v/>
      </c>
      <c r="C149" s="313">
        <v>46114.0</v>
      </c>
      <c r="D149" s="314" t="s">
        <v>171</v>
      </c>
      <c r="E149" s="307" t="str">
        <f t="array" ref="E149">(XLOOKUP(D149,Roster!F:F,Roster!B:B,"",0))</f>
        <v>Ana Ruiz</v>
      </c>
      <c r="F149" s="315" t="str">
        <f t="array" ref="F149">IF(B149=100,"Free",TEXT(XLOOKUP($D149,OperationVoice!$A:$A,OperationVoice!H:H,XLOOKUP($D149,OperationTickets!$A:$A,OperationTickets!H:H,"",0)),"hh:mm"))</f>
        <v>08:00</v>
      </c>
      <c r="G149" s="309">
        <f t="shared" si="3"/>
        <v>0.7083333333</v>
      </c>
      <c r="H149" s="316">
        <f t="array" ref="H149">XLOOKUP(B149,Roster!L:L,Roster!N:N,XLOOKUP(D149,TicketsBreak!A:A,TicketsBreak!E:E,"",0),0)</f>
        <v>0.3854166667</v>
      </c>
      <c r="I149" s="316">
        <f t="array" ref="I149">XLOOKUP(B149,Roster!L:L,Roster!O:O,XLOOKUP(D149,TicketsBreak!A:A,TicketsBreak!F:F,"",0),0)</f>
        <v>0.5</v>
      </c>
      <c r="J149" s="316">
        <f t="array" ref="J149">XLOOKUP(B149,Roster!L:L,Roster!P:P,XLOOKUP(D149,TicketsBreak!A:A,TicketsBreak!G:G,"",0),0)</f>
        <v>0.6041666667</v>
      </c>
      <c r="K149" s="310">
        <f t="shared" si="4"/>
        <v>46114</v>
      </c>
      <c r="L149" s="317">
        <f t="array" ref="L149">(XLOOKUP(D149,Roster!F:F,Roster!D:D,"",0))</f>
        <v>3</v>
      </c>
      <c r="M149" s="317" t="str">
        <f t="array" ref="M149">XLOOKUP(D149,Roster!F:F,Roster!E:E)</f>
        <v>Tickets</v>
      </c>
      <c r="N149" s="317" t="str">
        <f t="shared" ref="N149:P149" si="156">LEFT(H149,5)</f>
        <v>09:15</v>
      </c>
      <c r="O149" s="317" t="str">
        <f t="shared" si="156"/>
        <v>12:00</v>
      </c>
      <c r="P149" s="317" t="str">
        <f t="shared" si="156"/>
        <v>14:30</v>
      </c>
      <c r="Q149" s="318">
        <f t="shared" si="98"/>
        <v>46114.38542</v>
      </c>
      <c r="R149" s="318">
        <f t="shared" si="99"/>
        <v>46114.5</v>
      </c>
      <c r="S149" s="318">
        <f t="shared" si="8"/>
        <v>46114.60417</v>
      </c>
    </row>
    <row r="150">
      <c r="A150" s="14" t="str">
        <f t="shared" si="1"/>
        <v>C155446114</v>
      </c>
      <c r="B150" s="185">
        <f t="array" ref="B150">IF(F150="VL","",IF(F150="Free","Free",XLOOKUP(D150,Roster!T:T,Roster!S:S,"",0)))</f>
        <v>131</v>
      </c>
      <c r="C150" s="313">
        <v>46114.0</v>
      </c>
      <c r="D150" s="314" t="s">
        <v>13</v>
      </c>
      <c r="E150" s="307" t="str">
        <f t="array" ref="E150">(XLOOKUP(D150,Roster!F:F,Roster!B:B,"",0))</f>
        <v>Andres Lopez</v>
      </c>
      <c r="F150" s="315" t="str">
        <f t="array" ref="F150">IF(B150=100,"Free",TEXT(XLOOKUP($D150,OperationVoice!$A:$A,OperationVoice!H:H,XLOOKUP($D150,OperationTickets!$A:$A,OperationTickets!H:H,"",0)),"hh:mm"))</f>
        <v>09:00</v>
      </c>
      <c r="G150" s="309">
        <f t="shared" si="3"/>
        <v>0.75</v>
      </c>
      <c r="H150" s="316" t="str">
        <f t="array" ref="H150">XLOOKUP(B150,Roster!L:L,Roster!N:N,XLOOKUP(D150,TicketsBreak!A:A,TicketsBreak!E:E,"",0),0)</f>
        <v>10:15 - 10:30</v>
      </c>
      <c r="I150" s="316" t="str">
        <f t="array" ref="I150">XLOOKUP(B150,Roster!L:L,Roster!O:O,XLOOKUP(D150,TicketsBreak!A:A,TicketsBreak!F:F,"",0),0)</f>
        <v>12:30 - 13:00</v>
      </c>
      <c r="J150" s="316" t="str">
        <f t="array" ref="J150">XLOOKUP(B150,Roster!L:L,Roster!P:P,XLOOKUP(D150,TicketsBreak!A:A,TicketsBreak!G:G,"",0),0)</f>
        <v>15:15 - 15:30</v>
      </c>
      <c r="K150" s="310">
        <f t="shared" si="4"/>
        <v>46114</v>
      </c>
      <c r="L150" s="317">
        <f t="array" ref="L150">(XLOOKUP(D150,Roster!F:F,Roster!D:D,"",0))</f>
        <v>37</v>
      </c>
      <c r="M150" s="317" t="str">
        <f t="array" ref="M150">XLOOKUP(D150,Roster!F:F,Roster!E:E)</f>
        <v>Voice</v>
      </c>
      <c r="N150" s="317" t="str">
        <f t="shared" ref="N150:P150" si="157">LEFT(H150,5)</f>
        <v>10:15</v>
      </c>
      <c r="O150" s="317" t="str">
        <f t="shared" si="157"/>
        <v>12:30</v>
      </c>
      <c r="P150" s="317" t="str">
        <f t="shared" si="157"/>
        <v>15:15</v>
      </c>
      <c r="Q150" s="318">
        <f t="shared" si="98"/>
        <v>46114.42708</v>
      </c>
      <c r="R150" s="318">
        <f t="shared" si="99"/>
        <v>46114.52083</v>
      </c>
      <c r="S150" s="318">
        <f t="shared" si="8"/>
        <v>46114.63542</v>
      </c>
    </row>
    <row r="151">
      <c r="A151" s="14" t="str">
        <f t="shared" si="1"/>
        <v>C156746114</v>
      </c>
      <c r="B151" s="185">
        <f t="array" ref="B151">IF(F151="VL","",IF(F151="Free","Free",XLOOKUP(D151,Roster!T:T,Roster!S:S,"",0)))</f>
        <v>125</v>
      </c>
      <c r="C151" s="313">
        <v>46114.0</v>
      </c>
      <c r="D151" s="314" t="s">
        <v>14</v>
      </c>
      <c r="E151" s="307" t="str">
        <f t="array" ref="E151">(XLOOKUP(D151,Roster!F:F,Roster!B:B,"",0))</f>
        <v>Andres Salazar</v>
      </c>
      <c r="F151" s="315" t="str">
        <f t="array" ref="F151">IF(B151=100,"Free",TEXT(XLOOKUP($D151,OperationVoice!$A:$A,OperationVoice!H:H,XLOOKUP($D151,OperationTickets!$A:$A,OperationTickets!H:H,"",0)),"hh:mm"))</f>
        <v>08:00</v>
      </c>
      <c r="G151" s="309">
        <f t="shared" si="3"/>
        <v>0.7083333333</v>
      </c>
      <c r="H151" s="316" t="str">
        <f t="array" ref="H151">XLOOKUP(B151,Roster!L:L,Roster!N:N,XLOOKUP(D151,TicketsBreak!A:A,TicketsBreak!E:E,"",0),0)</f>
        <v>10:30 - 10:45</v>
      </c>
      <c r="I151" s="316" t="str">
        <f t="array" ref="I151">XLOOKUP(B151,Roster!L:L,Roster!O:O,XLOOKUP(D151,TicketsBreak!A:A,TicketsBreak!F:F,"",0),0)</f>
        <v>13:30 - 14:00</v>
      </c>
      <c r="J151" s="316" t="str">
        <f t="array" ref="J151">XLOOKUP(B151,Roster!L:L,Roster!P:P,XLOOKUP(D151,TicketsBreak!A:A,TicketsBreak!G:G,"",0),0)</f>
        <v>15:45 - 16:00</v>
      </c>
      <c r="K151" s="310">
        <f t="shared" si="4"/>
        <v>46114</v>
      </c>
      <c r="L151" s="317">
        <f t="array" ref="L151">(XLOOKUP(D151,Roster!F:F,Roster!D:D,"",0))</f>
        <v>38</v>
      </c>
      <c r="M151" s="317" t="str">
        <f t="array" ref="M151">XLOOKUP(D151,Roster!F:F,Roster!E:E)</f>
        <v>Voice</v>
      </c>
      <c r="N151" s="317" t="str">
        <f t="shared" ref="N151:P151" si="158">LEFT(H151,5)</f>
        <v>10:30</v>
      </c>
      <c r="O151" s="317" t="str">
        <f t="shared" si="158"/>
        <v>13:30</v>
      </c>
      <c r="P151" s="317" t="str">
        <f t="shared" si="158"/>
        <v>15:45</v>
      </c>
      <c r="Q151" s="318">
        <f t="shared" si="98"/>
        <v>46114.4375</v>
      </c>
      <c r="R151" s="318">
        <f t="shared" si="99"/>
        <v>46114.5625</v>
      </c>
      <c r="S151" s="318">
        <f t="shared" si="8"/>
        <v>46114.65625</v>
      </c>
    </row>
    <row r="152">
      <c r="A152" s="14" t="str">
        <f t="shared" si="1"/>
        <v>C134846114</v>
      </c>
      <c r="B152" s="185">
        <f t="array" ref="B152">IF(F152="VL","",IF(F152="Free","Free",XLOOKUP(D152,Roster!T:T,Roster!S:S,"",0)))</f>
        <v>124</v>
      </c>
      <c r="C152" s="313">
        <v>46114.0</v>
      </c>
      <c r="D152" s="314" t="s">
        <v>15</v>
      </c>
      <c r="E152" s="307" t="str">
        <f t="array" ref="E152">(XLOOKUP(D152,Roster!F:F,Roster!B:B,"",0))</f>
        <v>Angelo Zapata</v>
      </c>
      <c r="F152" s="315" t="str">
        <f t="array" ref="F152">IF(B152=100,"Free",TEXT(XLOOKUP($D152,OperationVoice!$A:$A,OperationVoice!H:H,XLOOKUP($D152,OperationTickets!$A:$A,OperationTickets!H:H,"",0)),"hh:mm"))</f>
        <v>08:00</v>
      </c>
      <c r="G152" s="309">
        <f t="shared" si="3"/>
        <v>0.7083333333</v>
      </c>
      <c r="H152" s="316" t="str">
        <f t="array" ref="H152">XLOOKUP(B152,Roster!L:L,Roster!N:N,XLOOKUP(D152,TicketsBreak!A:A,TicketsBreak!E:E,"",0),0)</f>
        <v>10:00 - 10:15</v>
      </c>
      <c r="I152" s="316" t="str">
        <f t="array" ref="I152">XLOOKUP(B152,Roster!L:L,Roster!O:O,XLOOKUP(D152,TicketsBreak!A:A,TicketsBreak!F:F,"",0),0)</f>
        <v>13:00 - 13:30</v>
      </c>
      <c r="J152" s="316" t="str">
        <f t="array" ref="J152">XLOOKUP(B152,Roster!L:L,Roster!P:P,XLOOKUP(D152,TicketsBreak!A:A,TicketsBreak!G:G,"",0),0)</f>
        <v>15:30 - 15:45</v>
      </c>
      <c r="K152" s="310">
        <f t="shared" si="4"/>
        <v>46114</v>
      </c>
      <c r="L152" s="317">
        <f t="array" ref="L152">(XLOOKUP(D152,Roster!F:F,Roster!D:D,"",0))</f>
        <v>30</v>
      </c>
      <c r="M152" s="317" t="str">
        <f t="array" ref="M152">XLOOKUP(D152,Roster!F:F,Roster!E:E)</f>
        <v>Voice</v>
      </c>
      <c r="N152" s="317" t="str">
        <f t="shared" ref="N152:P152" si="159">LEFT(H152,5)</f>
        <v>10:00</v>
      </c>
      <c r="O152" s="317" t="str">
        <f t="shared" si="159"/>
        <v>13:00</v>
      </c>
      <c r="P152" s="317" t="str">
        <f t="shared" si="159"/>
        <v>15:30</v>
      </c>
      <c r="Q152" s="318">
        <f t="shared" si="98"/>
        <v>46114.41667</v>
      </c>
      <c r="R152" s="318">
        <f t="shared" si="99"/>
        <v>46114.54167</v>
      </c>
      <c r="S152" s="318">
        <f t="shared" si="8"/>
        <v>46114.64583</v>
      </c>
    </row>
    <row r="153">
      <c r="A153" s="14" t="str">
        <f t="shared" si="1"/>
        <v>C116746114</v>
      </c>
      <c r="B153" s="185" t="str">
        <f t="array" ref="B153">IF(F153="VL","",IF(F153="Free","Free",XLOOKUP(D153,Roster!T:T,Roster!S:S,"",0)))</f>
        <v/>
      </c>
      <c r="C153" s="313">
        <v>46114.0</v>
      </c>
      <c r="D153" s="314" t="s">
        <v>172</v>
      </c>
      <c r="E153" s="307" t="str">
        <f t="array" ref="E153">(XLOOKUP(D153,Roster!F:F,Roster!B:B,"",0))</f>
        <v>Angie Rua</v>
      </c>
      <c r="F153" s="315" t="str">
        <f t="array" ref="F153">IF(B153=100,"Free",TEXT(XLOOKUP($D153,OperationVoice!$A:$A,OperationVoice!H:H,XLOOKUP($D153,OperationTickets!$A:$A,OperationTickets!H:H,"",0)),"hh:mm"))</f>
        <v>07:00</v>
      </c>
      <c r="G153" s="309">
        <f t="shared" si="3"/>
        <v>0.6666666667</v>
      </c>
      <c r="H153" s="316" t="str">
        <f t="array" ref="H153">XLOOKUP(B153,Roster!L:L,Roster!N:N,XLOOKUP(D153,TicketsBreak!A:A,TicketsBreak!E:E,"",0),0)</f>
        <v/>
      </c>
      <c r="I153" s="316" t="str">
        <f t="array" ref="I153">XLOOKUP(B153,Roster!L:L,Roster!O:O,XLOOKUP(D153,TicketsBreak!A:A,TicketsBreak!F:F,"",0),0)</f>
        <v/>
      </c>
      <c r="J153" s="316" t="str">
        <f t="array" ref="J153">XLOOKUP(B153,Roster!L:L,Roster!P:P,XLOOKUP(D153,TicketsBreak!A:A,TicketsBreak!G:G,"",0),0)</f>
        <v/>
      </c>
      <c r="K153" s="310">
        <f t="shared" si="4"/>
        <v>46114</v>
      </c>
      <c r="L153" s="317">
        <f t="array" ref="L153">(XLOOKUP(D153,Roster!F:F,Roster!D:D,"",0))</f>
        <v>24</v>
      </c>
      <c r="M153" s="317" t="str">
        <f t="array" ref="M153">XLOOKUP(D153,Roster!F:F,Roster!E:E)</f>
        <v>Tickets</v>
      </c>
      <c r="N153" s="317" t="str">
        <f t="shared" ref="N153:P153" si="160">LEFT(H153,5)</f>
        <v/>
      </c>
      <c r="O153" s="317" t="str">
        <f t="shared" si="160"/>
        <v/>
      </c>
      <c r="P153" s="317" t="str">
        <f t="shared" si="160"/>
        <v/>
      </c>
      <c r="Q153" s="318" t="str">
        <f t="shared" si="98"/>
        <v/>
      </c>
      <c r="R153" s="318" t="str">
        <f t="shared" si="99"/>
        <v/>
      </c>
      <c r="S153" s="318" t="str">
        <f t="shared" si="8"/>
        <v/>
      </c>
    </row>
    <row r="154">
      <c r="A154" s="14" t="str">
        <f t="shared" si="1"/>
        <v>C157946114</v>
      </c>
      <c r="B154" s="185">
        <f t="array" ref="B154">IF(F154="VL","",IF(F154="Free","Free",XLOOKUP(D154,Roster!T:T,Roster!S:S,"",0)))</f>
        <v>126</v>
      </c>
      <c r="C154" s="313">
        <v>46114.0</v>
      </c>
      <c r="D154" s="314" t="s">
        <v>16</v>
      </c>
      <c r="E154" s="307" t="str">
        <f t="array" ref="E154">(XLOOKUP(D154,Roster!F:F,Roster!B:B,"",0))</f>
        <v>Anibal Munoz</v>
      </c>
      <c r="F154" s="315" t="str">
        <f t="array" ref="F154">IF(B154=100,"Free",TEXT(XLOOKUP($D154,OperationVoice!$A:$A,OperationVoice!H:H,XLOOKUP($D154,OperationTickets!$A:$A,OperationTickets!H:H,"",0)),"hh:mm"))</f>
        <v>08:00</v>
      </c>
      <c r="G154" s="309">
        <f t="shared" si="3"/>
        <v>0.7083333333</v>
      </c>
      <c r="H154" s="316" t="str">
        <f t="array" ref="H154">XLOOKUP(B154,Roster!L:L,Roster!N:N,XLOOKUP(D154,TicketsBreak!A:A,TicketsBreak!E:E,"",0),0)</f>
        <v>10:45 - 11:00</v>
      </c>
      <c r="I154" s="316" t="str">
        <f t="array" ref="I154">XLOOKUP(B154,Roster!L:L,Roster!O:O,XLOOKUP(D154,TicketsBreak!A:A,TicketsBreak!F:F,"",0),0)</f>
        <v>14:00 - 14:30</v>
      </c>
      <c r="J154" s="316" t="str">
        <f t="array" ref="J154">XLOOKUP(B154,Roster!L:L,Roster!P:P,XLOOKUP(D154,TicketsBreak!A:A,TicketsBreak!G:G,"",0),0)</f>
        <v>15:45 - 16:00</v>
      </c>
      <c r="K154" s="310">
        <f t="shared" si="4"/>
        <v>46114</v>
      </c>
      <c r="L154" s="317">
        <f t="array" ref="L154">(XLOOKUP(D154,Roster!F:F,Roster!D:D,"",0))</f>
        <v>38</v>
      </c>
      <c r="M154" s="317" t="str">
        <f t="array" ref="M154">XLOOKUP(D154,Roster!F:F,Roster!E:E)</f>
        <v>Voice</v>
      </c>
      <c r="N154" s="317" t="str">
        <f t="shared" ref="N154:P154" si="161">LEFT(H154,5)</f>
        <v>10:45</v>
      </c>
      <c r="O154" s="317" t="str">
        <f t="shared" si="161"/>
        <v>14:00</v>
      </c>
      <c r="P154" s="317" t="str">
        <f t="shared" si="161"/>
        <v>15:45</v>
      </c>
      <c r="Q154" s="318">
        <f t="shared" si="98"/>
        <v>46114.44792</v>
      </c>
      <c r="R154" s="318">
        <f t="shared" si="99"/>
        <v>46114.58333</v>
      </c>
      <c r="S154" s="318">
        <f t="shared" si="8"/>
        <v>46114.65625</v>
      </c>
    </row>
    <row r="155">
      <c r="A155" s="14" t="str">
        <f t="shared" si="1"/>
        <v>C08046114</v>
      </c>
      <c r="B155" s="185" t="str">
        <f t="array" ref="B155">IF(F155="VL","",IF(F155="Free","Free",XLOOKUP(D155,Roster!T:T,Roster!S:S,"",0)))</f>
        <v/>
      </c>
      <c r="C155" s="313">
        <v>46114.0</v>
      </c>
      <c r="D155" s="314" t="s">
        <v>138</v>
      </c>
      <c r="E155" s="307" t="str">
        <f t="array" ref="E155">(XLOOKUP(D155,Roster!F:F,Roster!B:B,"",0))</f>
        <v>Arturo Padilla</v>
      </c>
      <c r="F155" s="315" t="str">
        <f t="array" ref="F155">IF(B155=100,"Free",TEXT(XLOOKUP($D155,OperationVoice!$A:$A,OperationVoice!H:H,XLOOKUP($D155,OperationTickets!$A:$A,OperationTickets!H:H,"",0)),"hh:mm"))</f>
        <v>08:00</v>
      </c>
      <c r="G155" s="309">
        <f t="shared" si="3"/>
        <v>0.7083333333</v>
      </c>
      <c r="H155" s="316">
        <f t="array" ref="H155">XLOOKUP(B155,Roster!L:L,Roster!N:N,XLOOKUP(D155,TicketsBreak!A:A,TicketsBreak!E:E,"",0),0)</f>
        <v>0.375</v>
      </c>
      <c r="I155" s="316">
        <f t="array" ref="I155">XLOOKUP(B155,Roster!L:L,Roster!O:O,XLOOKUP(D155,TicketsBreak!A:A,TicketsBreak!F:F,"",0),0)</f>
        <v>0.5</v>
      </c>
      <c r="J155" s="316">
        <f t="array" ref="J155">XLOOKUP(B155,Roster!L:L,Roster!P:P,XLOOKUP(D155,TicketsBreak!A:A,TicketsBreak!G:G,"",0),0)</f>
        <v>0.6458333333</v>
      </c>
      <c r="K155" s="310">
        <f t="shared" si="4"/>
        <v>46114</v>
      </c>
      <c r="L155" s="317">
        <f t="array" ref="L155">(XLOOKUP(D155,Roster!F:F,Roster!D:D,"",0))</f>
        <v>1</v>
      </c>
      <c r="M155" s="317" t="str">
        <f t="array" ref="M155">XLOOKUP(D155,Roster!F:F,Roster!E:E)</f>
        <v>Tickets</v>
      </c>
      <c r="N155" s="317" t="str">
        <f t="shared" ref="N155:P155" si="162">LEFT(H155,5)</f>
        <v>09:00</v>
      </c>
      <c r="O155" s="317" t="str">
        <f t="shared" si="162"/>
        <v>12:00</v>
      </c>
      <c r="P155" s="317" t="str">
        <f t="shared" si="162"/>
        <v>15:30</v>
      </c>
      <c r="Q155" s="318">
        <f t="shared" si="98"/>
        <v>46114.375</v>
      </c>
      <c r="R155" s="318">
        <f t="shared" si="99"/>
        <v>46114.5</v>
      </c>
      <c r="S155" s="318">
        <f t="shared" si="8"/>
        <v>46114.64583</v>
      </c>
    </row>
    <row r="156">
      <c r="A156" s="14" t="str">
        <f t="shared" si="1"/>
        <v>C150446114</v>
      </c>
      <c r="B156" s="185" t="str">
        <f t="array" ref="B156">IF(F156="VL","",IF(F156="Free","Free",XLOOKUP(D156,Roster!T:T,Roster!S:S,"",0)))</f>
        <v>Free</v>
      </c>
      <c r="C156" s="313">
        <v>46114.0</v>
      </c>
      <c r="D156" s="314" t="s">
        <v>155</v>
      </c>
      <c r="E156" s="307" t="str">
        <f t="array" ref="E156">(XLOOKUP(D156,Roster!F:F,Roster!B:B,"",0))</f>
        <v>Beatriz Montanez</v>
      </c>
      <c r="F156" s="315" t="str">
        <f t="array" ref="F156">IF(B156=100,"Free",TEXT(XLOOKUP($D156,OperationVoice!$A:$A,OperationVoice!H:H,XLOOKUP($D156,OperationTickets!$A:$A,OperationTickets!H:H,"",0)),"hh:mm"))</f>
        <v>Free</v>
      </c>
      <c r="G156" s="309" t="str">
        <f t="shared" si="3"/>
        <v>Free</v>
      </c>
      <c r="H156" s="316" t="str">
        <f t="array" ref="H156">XLOOKUP(B156,Roster!L:L,Roster!N:N,XLOOKUP(D156,TicketsBreak!A:A,TicketsBreak!E:E,"",0),0)</f>
        <v/>
      </c>
      <c r="I156" s="316" t="str">
        <f t="array" ref="I156">XLOOKUP(B156,Roster!L:L,Roster!O:O,XLOOKUP(D156,TicketsBreak!A:A,TicketsBreak!F:F,"",0),0)</f>
        <v/>
      </c>
      <c r="J156" s="316" t="str">
        <f t="array" ref="J156">XLOOKUP(B156,Roster!L:L,Roster!P:P,XLOOKUP(D156,TicketsBreak!A:A,TicketsBreak!G:G,"",0),0)</f>
        <v/>
      </c>
      <c r="K156" s="310">
        <f t="shared" si="4"/>
        <v>46114</v>
      </c>
      <c r="L156" s="317">
        <f t="array" ref="L156">(XLOOKUP(D156,Roster!F:F,Roster!D:D,"",0))</f>
        <v>35</v>
      </c>
      <c r="M156" s="317" t="str">
        <f t="array" ref="M156">XLOOKUP(D156,Roster!F:F,Roster!E:E)</f>
        <v>Tickets</v>
      </c>
      <c r="N156" s="317" t="str">
        <f t="shared" ref="N156:P156" si="163">LEFT(H156,5)</f>
        <v/>
      </c>
      <c r="O156" s="317" t="str">
        <f t="shared" si="163"/>
        <v/>
      </c>
      <c r="P156" s="317" t="str">
        <f t="shared" si="163"/>
        <v/>
      </c>
      <c r="Q156" s="318" t="str">
        <f t="shared" si="98"/>
        <v/>
      </c>
      <c r="R156" s="318" t="str">
        <f t="shared" si="99"/>
        <v/>
      </c>
      <c r="S156" s="318" t="str">
        <f t="shared" si="8"/>
        <v/>
      </c>
    </row>
    <row r="157">
      <c r="A157" s="14" t="str">
        <f t="shared" si="1"/>
        <v>C107746114</v>
      </c>
      <c r="B157" s="185">
        <f t="array" ref="B157">IF(F157="VL","",IF(F157="Free","Free",XLOOKUP(D157,Roster!T:T,Roster!S:S,"",0)))</f>
        <v>125</v>
      </c>
      <c r="C157" s="313">
        <v>46114.0</v>
      </c>
      <c r="D157" s="314" t="s">
        <v>17</v>
      </c>
      <c r="E157" s="307" t="str">
        <f t="array" ref="E157">(XLOOKUP(D157,Roster!F:F,Roster!B:B,"",0))</f>
        <v>Brahian Prado</v>
      </c>
      <c r="F157" s="315" t="str">
        <f t="array" ref="F157">IF(B157=100,"Free",TEXT(XLOOKUP($D157,OperationVoice!$A:$A,OperationVoice!H:H,XLOOKUP($D157,OperationTickets!$A:$A,OperationTickets!H:H,"",0)),"hh:mm"))</f>
        <v>08:00</v>
      </c>
      <c r="G157" s="309">
        <f t="shared" si="3"/>
        <v>0.7083333333</v>
      </c>
      <c r="H157" s="316" t="str">
        <f t="array" ref="H157">XLOOKUP(B157,Roster!L:L,Roster!N:N,XLOOKUP(D157,TicketsBreak!A:A,TicketsBreak!E:E,"",0),0)</f>
        <v>10:30 - 10:45</v>
      </c>
      <c r="I157" s="316" t="str">
        <f t="array" ref="I157">XLOOKUP(B157,Roster!L:L,Roster!O:O,XLOOKUP(D157,TicketsBreak!A:A,TicketsBreak!F:F,"",0),0)</f>
        <v>13:30 - 14:00</v>
      </c>
      <c r="J157" s="316" t="str">
        <f t="array" ref="J157">XLOOKUP(B157,Roster!L:L,Roster!P:P,XLOOKUP(D157,TicketsBreak!A:A,TicketsBreak!G:G,"",0),0)</f>
        <v>15:45 - 16:00</v>
      </c>
      <c r="K157" s="310">
        <f t="shared" si="4"/>
        <v>46114</v>
      </c>
      <c r="L157" s="317">
        <f t="array" ref="L157">(XLOOKUP(D157,Roster!F:F,Roster!D:D,"",0))</f>
        <v>18</v>
      </c>
      <c r="M157" s="317" t="str">
        <f t="array" ref="M157">XLOOKUP(D157,Roster!F:F,Roster!E:E)</f>
        <v>Voice</v>
      </c>
      <c r="N157" s="317" t="str">
        <f t="shared" ref="N157:P157" si="164">LEFT(H157,5)</f>
        <v>10:30</v>
      </c>
      <c r="O157" s="317" t="str">
        <f t="shared" si="164"/>
        <v>13:30</v>
      </c>
      <c r="P157" s="317" t="str">
        <f t="shared" si="164"/>
        <v>15:45</v>
      </c>
      <c r="Q157" s="318">
        <f t="shared" si="98"/>
        <v>46114.4375</v>
      </c>
      <c r="R157" s="318">
        <f t="shared" si="99"/>
        <v>46114.5625</v>
      </c>
      <c r="S157" s="318">
        <f t="shared" si="8"/>
        <v>46114.65625</v>
      </c>
    </row>
    <row r="158">
      <c r="A158" s="14" t="str">
        <f t="shared" si="1"/>
        <v>C116546114</v>
      </c>
      <c r="B158" s="185" t="str">
        <f t="array" ref="B158">IF(F158="VL","",IF(F158="Free","Free",XLOOKUP(D158,Roster!T:T,Roster!S:S,"",0)))</f>
        <v/>
      </c>
      <c r="C158" s="313">
        <v>46114.0</v>
      </c>
      <c r="D158" s="314" t="s">
        <v>139</v>
      </c>
      <c r="E158" s="307" t="str">
        <f t="array" ref="E158">(XLOOKUP(D158,Roster!F:F,Roster!B:B,"",0))</f>
        <v>Braian Restrepo</v>
      </c>
      <c r="F158" s="315" t="str">
        <f t="array" ref="F158">IF(B158=100,"Free",TEXT(XLOOKUP($D158,OperationVoice!$A:$A,OperationVoice!H:H,XLOOKUP($D158,OperationTickets!$A:$A,OperationTickets!H:H,"",0)),"hh:mm"))</f>
        <v>08:00</v>
      </c>
      <c r="G158" s="309">
        <f t="shared" si="3"/>
        <v>0.7083333333</v>
      </c>
      <c r="H158" s="316" t="str">
        <f t="array" ref="H158">XLOOKUP(B158,Roster!L:L,Roster!N:N,XLOOKUP(D158,TicketsBreak!A:A,TicketsBreak!E:E,"",0),0)</f>
        <v/>
      </c>
      <c r="I158" s="316" t="str">
        <f t="array" ref="I158">XLOOKUP(B158,Roster!L:L,Roster!O:O,XLOOKUP(D158,TicketsBreak!A:A,TicketsBreak!F:F,"",0),0)</f>
        <v/>
      </c>
      <c r="J158" s="316" t="str">
        <f t="array" ref="J158">XLOOKUP(B158,Roster!L:L,Roster!P:P,XLOOKUP(D158,TicketsBreak!A:A,TicketsBreak!G:G,"",0),0)</f>
        <v/>
      </c>
      <c r="K158" s="310">
        <f t="shared" si="4"/>
        <v>46114</v>
      </c>
      <c r="L158" s="317">
        <f t="array" ref="L158">(XLOOKUP(D158,Roster!F:F,Roster!D:D,"",0))</f>
        <v>24</v>
      </c>
      <c r="M158" s="317" t="str">
        <f t="array" ref="M158">XLOOKUP(D158,Roster!F:F,Roster!E:E)</f>
        <v>Tickets</v>
      </c>
      <c r="N158" s="317" t="str">
        <f t="shared" ref="N158:P158" si="165">LEFT(H158,5)</f>
        <v/>
      </c>
      <c r="O158" s="317" t="str">
        <f t="shared" si="165"/>
        <v/>
      </c>
      <c r="P158" s="317" t="str">
        <f t="shared" si="165"/>
        <v/>
      </c>
      <c r="Q158" s="318" t="str">
        <f t="shared" si="98"/>
        <v/>
      </c>
      <c r="R158" s="318" t="str">
        <f t="shared" si="99"/>
        <v/>
      </c>
      <c r="S158" s="318" t="str">
        <f t="shared" si="8"/>
        <v/>
      </c>
    </row>
    <row r="159">
      <c r="A159" s="14" t="str">
        <f t="shared" si="1"/>
        <v>C127446114</v>
      </c>
      <c r="B159" s="185">
        <f t="array" ref="B159">IF(F159="VL","",IF(F159="Free","Free",XLOOKUP(D159,Roster!T:T,Roster!S:S,"",0)))</f>
        <v>126</v>
      </c>
      <c r="C159" s="313">
        <v>46114.0</v>
      </c>
      <c r="D159" s="314" t="s">
        <v>250</v>
      </c>
      <c r="E159" s="307" t="str">
        <f t="array" ref="E159">(XLOOKUP(D159,Roster!F:F,Roster!B:B,"",0))</f>
        <v>Brayan Franco</v>
      </c>
      <c r="F159" s="315" t="str">
        <f t="array" ref="F159">IF(B159=100,"Free",TEXT(XLOOKUP($D159,OperationVoice!$A:$A,OperationVoice!H:H,XLOOKUP($D159,OperationTickets!$A:$A,OperationTickets!H:H,"",0)),"hh:mm"))</f>
        <v/>
      </c>
      <c r="G159" s="309" t="str">
        <f t="shared" si="3"/>
        <v/>
      </c>
      <c r="H159" s="316" t="str">
        <f t="array" ref="H159">XLOOKUP(B159,Roster!L:L,Roster!N:N,XLOOKUP(D159,TicketsBreak!A:A,TicketsBreak!E:E,"",0),0)</f>
        <v>10:45 - 11:00</v>
      </c>
      <c r="I159" s="316" t="str">
        <f t="array" ref="I159">XLOOKUP(B159,Roster!L:L,Roster!O:O,XLOOKUP(D159,TicketsBreak!A:A,TicketsBreak!F:F,"",0),0)</f>
        <v>14:00 - 14:30</v>
      </c>
      <c r="J159" s="316" t="str">
        <f t="array" ref="J159">XLOOKUP(B159,Roster!L:L,Roster!P:P,XLOOKUP(D159,TicketsBreak!A:A,TicketsBreak!G:G,"",0),0)</f>
        <v>15:45 - 16:00</v>
      </c>
      <c r="K159" s="310">
        <f t="shared" si="4"/>
        <v>46114</v>
      </c>
      <c r="L159" s="317">
        <f t="array" ref="L159">(XLOOKUP(D159,Roster!F:F,Roster!D:D,"",0))</f>
        <v>27</v>
      </c>
      <c r="M159" s="317" t="str">
        <f t="array" ref="M159">XLOOKUP(D159,Roster!F:F,Roster!E:E)</f>
        <v>Voice</v>
      </c>
      <c r="N159" s="317" t="str">
        <f t="shared" ref="N159:P159" si="166">LEFT(H159,5)</f>
        <v>10:45</v>
      </c>
      <c r="O159" s="317" t="str">
        <f t="shared" si="166"/>
        <v>14:00</v>
      </c>
      <c r="P159" s="317" t="str">
        <f t="shared" si="166"/>
        <v>15:45</v>
      </c>
      <c r="Q159" s="318">
        <f t="shared" si="98"/>
        <v>46114.44792</v>
      </c>
      <c r="R159" s="318">
        <f t="shared" si="99"/>
        <v>46114.58333</v>
      </c>
      <c r="S159" s="318">
        <f t="shared" si="8"/>
        <v>46114.65625</v>
      </c>
    </row>
    <row r="160">
      <c r="A160" s="14" t="str">
        <f t="shared" si="1"/>
        <v>C119146114</v>
      </c>
      <c r="B160" s="185">
        <f t="array" ref="B160">IF(F160="VL","",IF(F160="Free","Free",XLOOKUP(D160,Roster!T:T,Roster!S:S,"",0)))</f>
        <v>111</v>
      </c>
      <c r="C160" s="313">
        <v>46114.0</v>
      </c>
      <c r="D160" s="314" t="s">
        <v>18</v>
      </c>
      <c r="E160" s="307" t="str">
        <f t="array" ref="E160">(XLOOKUP(D160,Roster!F:F,Roster!B:B,"",0))</f>
        <v>Brayan Montoya</v>
      </c>
      <c r="F160" s="315" t="str">
        <f t="array" ref="F160">IF(B160=100,"Free",TEXT(XLOOKUP($D160,OperationVoice!$A:$A,OperationVoice!H:H,XLOOKUP($D160,OperationTickets!$A:$A,OperationTickets!H:H,"",0)),"hh:mm"))</f>
        <v>07:00</v>
      </c>
      <c r="G160" s="309">
        <f t="shared" si="3"/>
        <v>0.6666666667</v>
      </c>
      <c r="H160" s="316" t="str">
        <f t="array" ref="H160">XLOOKUP(B160,Roster!L:L,Roster!N:N,XLOOKUP(D160,TicketsBreak!A:A,TicketsBreak!E:E,"",0),0)</f>
        <v>09:00 - 09:15</v>
      </c>
      <c r="I160" s="316" t="str">
        <f t="array" ref="I160">XLOOKUP(B160,Roster!L:L,Roster!O:O,XLOOKUP(D160,TicketsBreak!A:A,TicketsBreak!F:F,"",0),0)</f>
        <v>11:45 - 12:15</v>
      </c>
      <c r="J160" s="316" t="str">
        <f t="array" ref="J160">XLOOKUP(B160,Roster!L:L,Roster!P:P,XLOOKUP(D160,TicketsBreak!A:A,TicketsBreak!G:G,"",0),0)</f>
        <v>14:30 - 14:45</v>
      </c>
      <c r="K160" s="310">
        <f t="shared" si="4"/>
        <v>46114</v>
      </c>
      <c r="L160" s="317">
        <f t="array" ref="L160">(XLOOKUP(D160,Roster!F:F,Roster!D:D,"",0))</f>
        <v>25</v>
      </c>
      <c r="M160" s="317" t="str">
        <f t="array" ref="M160">XLOOKUP(D160,Roster!F:F,Roster!E:E)</f>
        <v>Voice</v>
      </c>
      <c r="N160" s="317" t="str">
        <f t="shared" ref="N160:P160" si="167">LEFT(H160,5)</f>
        <v>09:00</v>
      </c>
      <c r="O160" s="317" t="str">
        <f t="shared" si="167"/>
        <v>11:45</v>
      </c>
      <c r="P160" s="317" t="str">
        <f t="shared" si="167"/>
        <v>14:30</v>
      </c>
      <c r="Q160" s="318">
        <f t="shared" si="98"/>
        <v>46114.375</v>
      </c>
      <c r="R160" s="318">
        <f t="shared" si="99"/>
        <v>46114.48958</v>
      </c>
      <c r="S160" s="318">
        <f t="shared" si="8"/>
        <v>46114.60417</v>
      </c>
    </row>
    <row r="161">
      <c r="A161" s="14" t="str">
        <f t="shared" si="1"/>
        <v>C152646114</v>
      </c>
      <c r="B161" s="185">
        <f t="array" ref="B161">IF(F161="VL","",IF(F161="Free","Free",XLOOKUP(D161,Roster!T:T,Roster!S:S,"",0)))</f>
        <v>121</v>
      </c>
      <c r="C161" s="313">
        <v>46114.0</v>
      </c>
      <c r="D161" s="314" t="s">
        <v>19</v>
      </c>
      <c r="E161" s="307" t="str">
        <f t="array" ref="E161">(XLOOKUP(D161,Roster!F:F,Roster!B:B,"",0))</f>
        <v>Breitner Benitez</v>
      </c>
      <c r="F161" s="315" t="str">
        <f t="array" ref="F161">IF(B161=100,"Free",TEXT(XLOOKUP($D161,OperationVoice!$A:$A,OperationVoice!H:H,XLOOKUP($D161,OperationTickets!$A:$A,OperationTickets!H:H,"",0)),"hh:mm"))</f>
        <v>08:00</v>
      </c>
      <c r="G161" s="309">
        <f t="shared" si="3"/>
        <v>0.7083333333</v>
      </c>
      <c r="H161" s="316" t="str">
        <f t="array" ref="H161">XLOOKUP(B161,Roster!L:L,Roster!N:N,XLOOKUP(D161,TicketsBreak!A:A,TicketsBreak!E:E,"",0),0)</f>
        <v>09:15 - 09:30</v>
      </c>
      <c r="I161" s="316" t="str">
        <f t="array" ref="I161">XLOOKUP(B161,Roster!L:L,Roster!O:O,XLOOKUP(D161,TicketsBreak!A:A,TicketsBreak!F:F,"",0),0)</f>
        <v>11:30 - 12:00</v>
      </c>
      <c r="J161" s="316" t="str">
        <f t="array" ref="J161">XLOOKUP(B161,Roster!L:L,Roster!P:P,XLOOKUP(D161,TicketsBreak!A:A,TicketsBreak!G:G,"",0),0)</f>
        <v>14:30 - 14:45</v>
      </c>
      <c r="K161" s="310">
        <f t="shared" si="4"/>
        <v>46114</v>
      </c>
      <c r="L161" s="317">
        <f t="array" ref="L161">(XLOOKUP(D161,Roster!F:F,Roster!D:D,"",0))</f>
        <v>13</v>
      </c>
      <c r="M161" s="317" t="str">
        <f t="array" ref="M161">XLOOKUP(D161,Roster!F:F,Roster!E:E)</f>
        <v>Voice</v>
      </c>
      <c r="N161" s="317" t="str">
        <f t="shared" ref="N161:P161" si="168">LEFT(H161,5)</f>
        <v>09:15</v>
      </c>
      <c r="O161" s="317" t="str">
        <f t="shared" si="168"/>
        <v>11:30</v>
      </c>
      <c r="P161" s="317" t="str">
        <f t="shared" si="168"/>
        <v>14:30</v>
      </c>
      <c r="Q161" s="318">
        <f t="shared" si="98"/>
        <v>46114.38542</v>
      </c>
      <c r="R161" s="318">
        <f t="shared" si="99"/>
        <v>46114.47917</v>
      </c>
      <c r="S161" s="318">
        <f t="shared" si="8"/>
        <v>46114.60417</v>
      </c>
    </row>
    <row r="162">
      <c r="A162" s="14" t="str">
        <f t="shared" si="1"/>
        <v>C153546114</v>
      </c>
      <c r="B162" s="185" t="str">
        <f t="array" ref="B162">IF(F162="VL","",IF(F162="Free","Free",XLOOKUP(D162,Roster!T:T,Roster!S:S,"",0)))</f>
        <v>Free</v>
      </c>
      <c r="C162" s="313">
        <v>46114.0</v>
      </c>
      <c r="D162" s="314" t="s">
        <v>20</v>
      </c>
      <c r="E162" s="307" t="str">
        <f t="array" ref="E162">(XLOOKUP(D162,Roster!F:F,Roster!B:B,"",0))</f>
        <v>Carlos Alzate</v>
      </c>
      <c r="F162" s="315" t="str">
        <f t="array" ref="F162">IF(B162=100,"Free",TEXT(XLOOKUP($D162,OperationVoice!$A:$A,OperationVoice!H:H,XLOOKUP($D162,OperationTickets!$A:$A,OperationTickets!H:H,"",0)),"hh:mm"))</f>
        <v>Free</v>
      </c>
      <c r="G162" s="309" t="str">
        <f t="shared" si="3"/>
        <v>Free</v>
      </c>
      <c r="H162" s="316" t="str">
        <f t="array" ref="H162">XLOOKUP(B162,Roster!L:L,Roster!N:N,XLOOKUP(D162,TicketsBreak!A:A,TicketsBreak!E:E,"",0),0)</f>
        <v/>
      </c>
      <c r="I162" s="316" t="str">
        <f t="array" ref="I162">XLOOKUP(B162,Roster!L:L,Roster!O:O,XLOOKUP(D162,TicketsBreak!A:A,TicketsBreak!F:F,"",0),0)</f>
        <v/>
      </c>
      <c r="J162" s="316" t="str">
        <f t="array" ref="J162">XLOOKUP(B162,Roster!L:L,Roster!P:P,XLOOKUP(D162,TicketsBreak!A:A,TicketsBreak!G:G,"",0),0)</f>
        <v/>
      </c>
      <c r="K162" s="310">
        <f t="shared" si="4"/>
        <v>46114</v>
      </c>
      <c r="L162" s="317">
        <f t="array" ref="L162">(XLOOKUP(D162,Roster!F:F,Roster!D:D,"",0))</f>
        <v>36</v>
      </c>
      <c r="M162" s="317" t="str">
        <f t="array" ref="M162">XLOOKUP(D162,Roster!F:F,Roster!E:E)</f>
        <v>Voice</v>
      </c>
      <c r="N162" s="317" t="str">
        <f t="shared" ref="N162:P162" si="169">LEFT(H162,5)</f>
        <v/>
      </c>
      <c r="O162" s="317" t="str">
        <f t="shared" si="169"/>
        <v/>
      </c>
      <c r="P162" s="317" t="str">
        <f t="shared" si="169"/>
        <v/>
      </c>
      <c r="Q162" s="318" t="str">
        <f t="shared" si="98"/>
        <v/>
      </c>
      <c r="R162" s="318" t="str">
        <f t="shared" si="99"/>
        <v/>
      </c>
      <c r="S162" s="318" t="str">
        <f t="shared" si="8"/>
        <v/>
      </c>
    </row>
    <row r="163">
      <c r="A163" s="14" t="str">
        <f t="shared" si="1"/>
        <v>C153146114</v>
      </c>
      <c r="B163" s="185">
        <f t="array" ref="B163">IF(F163="VL","",IF(F163="Free","Free",XLOOKUP(D163,Roster!T:T,Roster!S:S,"",0)))</f>
        <v>123</v>
      </c>
      <c r="C163" s="313">
        <v>46114.0</v>
      </c>
      <c r="D163" s="314" t="s">
        <v>21</v>
      </c>
      <c r="E163" s="307" t="str">
        <f t="array" ref="E163">(XLOOKUP(D163,Roster!F:F,Roster!B:B,"",0))</f>
        <v>Carlos Palma</v>
      </c>
      <c r="F163" s="315" t="str">
        <f t="array" ref="F163">IF(B163=100,"Free",TEXT(XLOOKUP($D163,OperationVoice!$A:$A,OperationVoice!H:H,XLOOKUP($D163,OperationTickets!$A:$A,OperationTickets!H:H,"",0)),"hh:mm"))</f>
        <v>08:00</v>
      </c>
      <c r="G163" s="309">
        <f t="shared" si="3"/>
        <v>0.7083333333</v>
      </c>
      <c r="H163" s="316" t="str">
        <f t="array" ref="H163">XLOOKUP(B163,Roster!L:L,Roster!N:N,XLOOKUP(D163,TicketsBreak!A:A,TicketsBreak!E:E,"",0),0)</f>
        <v>09:45 - 10:00 </v>
      </c>
      <c r="I163" s="316" t="str">
        <f t="array" ref="I163">XLOOKUP(B163,Roster!L:L,Roster!O:O,XLOOKUP(D163,TicketsBreak!A:A,TicketsBreak!F:F,"",0),0)</f>
        <v>12:30 - 13:00</v>
      </c>
      <c r="J163" s="316" t="str">
        <f t="array" ref="J163">XLOOKUP(B163,Roster!L:L,Roster!P:P,XLOOKUP(D163,TicketsBreak!A:A,TicketsBreak!G:G,"",0),0)</f>
        <v>15:00 - 15:15</v>
      </c>
      <c r="K163" s="310">
        <f t="shared" si="4"/>
        <v>46114</v>
      </c>
      <c r="L163" s="317">
        <f t="array" ref="L163">(XLOOKUP(D163,Roster!F:F,Roster!D:D,"",0))</f>
        <v>36</v>
      </c>
      <c r="M163" s="317" t="str">
        <f t="array" ref="M163">XLOOKUP(D163,Roster!F:F,Roster!E:E)</f>
        <v>Voice</v>
      </c>
      <c r="N163" s="317" t="str">
        <f t="shared" ref="N163:P163" si="170">LEFT(H163,5)</f>
        <v>09:45</v>
      </c>
      <c r="O163" s="317" t="str">
        <f t="shared" si="170"/>
        <v>12:30</v>
      </c>
      <c r="P163" s="317" t="str">
        <f t="shared" si="170"/>
        <v>15:00</v>
      </c>
      <c r="Q163" s="318">
        <f t="shared" si="98"/>
        <v>46114.40625</v>
      </c>
      <c r="R163" s="318">
        <f t="shared" si="99"/>
        <v>46114.52083</v>
      </c>
      <c r="S163" s="318">
        <f t="shared" si="8"/>
        <v>46114.625</v>
      </c>
    </row>
    <row r="164">
      <c r="A164" s="14" t="str">
        <f t="shared" si="1"/>
        <v>C157646114</v>
      </c>
      <c r="B164" s="185" t="str">
        <f t="array" ref="B164">IF(F164="VL","",IF(F164="Free","Free",XLOOKUP(D164,Roster!T:T,Roster!S:S,"",0)))</f>
        <v/>
      </c>
      <c r="C164" s="313">
        <v>46114.0</v>
      </c>
      <c r="D164" s="314" t="s">
        <v>313</v>
      </c>
      <c r="E164" s="307" t="str">
        <f t="array" ref="E164">(XLOOKUP(D164,Roster!F:F,Roster!B:B,"",0))</f>
        <v>Carlos Ruiz</v>
      </c>
      <c r="F164" s="315" t="str">
        <f t="array" ref="F164">IF(B164=100,"Free",TEXT(XLOOKUP($D164,OperationVoice!$A:$A,OperationVoice!H:H,XLOOKUP($D164,OperationTickets!$A:$A,OperationTickets!H:H,"",0)),"hh:mm"))</f>
        <v/>
      </c>
      <c r="G164" s="309" t="str">
        <f t="shared" si="3"/>
        <v/>
      </c>
      <c r="H164" s="316" t="str">
        <f t="array" ref="H164">XLOOKUP(B164,Roster!L:L,Roster!N:N,XLOOKUP(D164,TicketsBreak!A:A,TicketsBreak!E:E,"",0),0)</f>
        <v/>
      </c>
      <c r="I164" s="316" t="str">
        <f t="array" ref="I164">XLOOKUP(B164,Roster!L:L,Roster!O:O,XLOOKUP(D164,TicketsBreak!A:A,TicketsBreak!F:F,"",0),0)</f>
        <v/>
      </c>
      <c r="J164" s="316" t="str">
        <f t="array" ref="J164">XLOOKUP(B164,Roster!L:L,Roster!P:P,XLOOKUP(D164,TicketsBreak!A:A,TicketsBreak!G:G,"",0),0)</f>
        <v/>
      </c>
      <c r="K164" s="310">
        <f t="shared" si="4"/>
        <v>46114</v>
      </c>
      <c r="L164" s="317">
        <f t="array" ref="L164">(XLOOKUP(D164,Roster!F:F,Roster!D:D,"",0))</f>
        <v>38</v>
      </c>
      <c r="M164" s="317" t="str">
        <f t="array" ref="M164">XLOOKUP(D164,Roster!F:F,Roster!E:E)</f>
        <v>Nesting</v>
      </c>
      <c r="N164" s="317" t="str">
        <f t="shared" ref="N164:P164" si="171">LEFT(H164,5)</f>
        <v/>
      </c>
      <c r="O164" s="317" t="str">
        <f t="shared" si="171"/>
        <v/>
      </c>
      <c r="P164" s="317" t="str">
        <f t="shared" si="171"/>
        <v/>
      </c>
      <c r="Q164" s="318" t="str">
        <f t="shared" si="98"/>
        <v/>
      </c>
      <c r="R164" s="318" t="str">
        <f t="shared" si="99"/>
        <v/>
      </c>
      <c r="S164" s="318" t="str">
        <f t="shared" si="8"/>
        <v/>
      </c>
    </row>
    <row r="165">
      <c r="A165" s="14" t="str">
        <f t="shared" si="1"/>
        <v>C47946114</v>
      </c>
      <c r="B165" s="185" t="str">
        <f t="array" ref="B165">IF(F165="VL","",IF(F165="Free","Free",XLOOKUP(D165,Roster!T:T,Roster!S:S,"",0)))</f>
        <v>Free</v>
      </c>
      <c r="C165" s="313">
        <v>46114.0</v>
      </c>
      <c r="D165" s="314" t="s">
        <v>173</v>
      </c>
      <c r="E165" s="307" t="str">
        <f t="array" ref="E165">(XLOOKUP(D165,Roster!F:F,Roster!B:B,"",0))</f>
        <v>Carmen Grajales</v>
      </c>
      <c r="F165" s="315" t="str">
        <f t="array" ref="F165">IF(B165=100,"Free",TEXT(XLOOKUP($D165,OperationVoice!$A:$A,OperationVoice!H:H,XLOOKUP($D165,OperationTickets!$A:$A,OperationTickets!H:H,"",0)),"hh:mm"))</f>
        <v>Free</v>
      </c>
      <c r="G165" s="309" t="str">
        <f t="shared" si="3"/>
        <v>Free</v>
      </c>
      <c r="H165" s="316">
        <f t="array" ref="H165">XLOOKUP(B165,Roster!L:L,Roster!N:N,XLOOKUP(D165,TicketsBreak!A:A,TicketsBreak!E:E,"",0),0)</f>
        <v>0.4270833333</v>
      </c>
      <c r="I165" s="316">
        <f t="array" ref="I165">XLOOKUP(B165,Roster!L:L,Roster!O:O,XLOOKUP(D165,TicketsBreak!A:A,TicketsBreak!F:F,"",0),0)</f>
        <v>0.53125</v>
      </c>
      <c r="J165" s="316">
        <f t="array" ref="J165">XLOOKUP(B165,Roster!L:L,Roster!P:P,XLOOKUP(D165,TicketsBreak!A:A,TicketsBreak!G:G,"",0),0)</f>
        <v>0.65625</v>
      </c>
      <c r="K165" s="310">
        <f t="shared" si="4"/>
        <v>46114</v>
      </c>
      <c r="L165" s="317">
        <f t="array" ref="L165">(XLOOKUP(D165,Roster!F:F,Roster!D:D,"",0))</f>
        <v>2</v>
      </c>
      <c r="M165" s="317" t="str">
        <f t="array" ref="M165">XLOOKUP(D165,Roster!F:F,Roster!E:E)</f>
        <v>Tickets</v>
      </c>
      <c r="N165" s="317" t="str">
        <f t="shared" ref="N165:P165" si="172">LEFT(H165,5)</f>
        <v>10:15</v>
      </c>
      <c r="O165" s="317" t="str">
        <f t="shared" si="172"/>
        <v>12:45</v>
      </c>
      <c r="P165" s="317" t="str">
        <f t="shared" si="172"/>
        <v>15:45</v>
      </c>
      <c r="Q165" s="318">
        <f t="shared" si="98"/>
        <v>46114.42708</v>
      </c>
      <c r="R165" s="318">
        <f t="shared" si="99"/>
        <v>46114.53125</v>
      </c>
      <c r="S165" s="318">
        <f t="shared" si="8"/>
        <v>46114.65625</v>
      </c>
    </row>
    <row r="166">
      <c r="A166" s="14" t="str">
        <f t="shared" si="1"/>
        <v>C68746114</v>
      </c>
      <c r="B166" s="185">
        <f t="array" ref="B166">IF(F166="VL","",IF(F166="Free","Free",XLOOKUP(D166,Roster!T:T,Roster!S:S,"",0)))</f>
        <v>122</v>
      </c>
      <c r="C166" s="313">
        <v>46114.0</v>
      </c>
      <c r="D166" s="314" t="s">
        <v>22</v>
      </c>
      <c r="E166" s="307" t="str">
        <f t="array" ref="E166">(XLOOKUP(D166,Roster!F:F,Roster!B:B,"",0))</f>
        <v>Carolina Rios</v>
      </c>
      <c r="F166" s="315" t="str">
        <f t="array" ref="F166">IF(B166=100,"Free",TEXT(XLOOKUP($D166,OperationVoice!$A:$A,OperationVoice!H:H,XLOOKUP($D166,OperationTickets!$A:$A,OperationTickets!H:H,"",0)),"hh:mm"))</f>
        <v>08:00</v>
      </c>
      <c r="G166" s="309">
        <f t="shared" si="3"/>
        <v>0.7083333333</v>
      </c>
      <c r="H166" s="316" t="str">
        <f t="array" ref="H166">XLOOKUP(B166,Roster!L:L,Roster!N:N,XLOOKUP(D166,TicketsBreak!A:A,TicketsBreak!E:E,"",0),0)</f>
        <v>09:30 - 09:45</v>
      </c>
      <c r="I166" s="316" t="str">
        <f t="array" ref="I166">XLOOKUP(B166,Roster!L:L,Roster!O:O,XLOOKUP(D166,TicketsBreak!A:A,TicketsBreak!F:F,"",0),0)</f>
        <v>12:00 - 12:30</v>
      </c>
      <c r="J166" s="316" t="str">
        <f t="array" ref="J166">XLOOKUP(B166,Roster!L:L,Roster!P:P,XLOOKUP(D166,TicketsBreak!A:A,TicketsBreak!G:G,"",0),0)</f>
        <v>14:45 - 15:00</v>
      </c>
      <c r="K166" s="310">
        <f t="shared" si="4"/>
        <v>46114</v>
      </c>
      <c r="L166" s="317">
        <f t="array" ref="L166">(XLOOKUP(D166,Roster!F:F,Roster!D:D,"",0))</f>
        <v>5</v>
      </c>
      <c r="M166" s="317" t="str">
        <f t="array" ref="M166">XLOOKUP(D166,Roster!F:F,Roster!E:E)</f>
        <v>Voice</v>
      </c>
      <c r="N166" s="317" t="str">
        <f t="shared" ref="N166:P166" si="173">LEFT(H166,5)</f>
        <v>09:30</v>
      </c>
      <c r="O166" s="317" t="str">
        <f t="shared" si="173"/>
        <v>12:00</v>
      </c>
      <c r="P166" s="317" t="str">
        <f t="shared" si="173"/>
        <v>14:45</v>
      </c>
      <c r="Q166" s="318">
        <f t="shared" si="98"/>
        <v>46114.39583</v>
      </c>
      <c r="R166" s="318">
        <f t="shared" si="99"/>
        <v>46114.5</v>
      </c>
      <c r="S166" s="318">
        <f t="shared" si="8"/>
        <v>46114.61458</v>
      </c>
    </row>
    <row r="167">
      <c r="A167" s="14" t="str">
        <f t="shared" si="1"/>
        <v>C152846114</v>
      </c>
      <c r="B167" s="185">
        <f t="array" ref="B167">IF(F167="VL","",IF(F167="Free","Free",XLOOKUP(D167,Roster!T:T,Roster!S:S,"",0)))</f>
        <v>132</v>
      </c>
      <c r="C167" s="313">
        <v>46114.0</v>
      </c>
      <c r="D167" s="314" t="s">
        <v>23</v>
      </c>
      <c r="E167" s="307" t="str">
        <f t="array" ref="E167">(XLOOKUP(D167,Roster!F:F,Roster!B:B,"",0))</f>
        <v>Christian Ramirez</v>
      </c>
      <c r="F167" s="315" t="str">
        <f t="array" ref="F167">IF(B167=100,"Free",TEXT(XLOOKUP($D167,OperationVoice!$A:$A,OperationVoice!H:H,XLOOKUP($D167,OperationTickets!$A:$A,OperationTickets!H:H,"",0)),"hh:mm"))</f>
        <v>08:00</v>
      </c>
      <c r="G167" s="309">
        <f t="shared" si="3"/>
        <v>0.7083333333</v>
      </c>
      <c r="H167" s="316" t="str">
        <f t="array" ref="H167">XLOOKUP(B167,Roster!L:L,Roster!N:N,XLOOKUP(D167,TicketsBreak!A:A,TicketsBreak!E:E,"",0),0)</f>
        <v>10:30 - 10:45</v>
      </c>
      <c r="I167" s="316" t="str">
        <f t="array" ref="I167">XLOOKUP(B167,Roster!L:L,Roster!O:O,XLOOKUP(D167,TicketsBreak!A:A,TicketsBreak!F:F,"",0),0)</f>
        <v>13:00 - 13:30</v>
      </c>
      <c r="J167" s="316" t="str">
        <f t="array" ref="J167">XLOOKUP(B167,Roster!L:L,Roster!P:P,XLOOKUP(D167,TicketsBreak!A:A,TicketsBreak!G:G,"",0),0)</f>
        <v>15:30 - 15:45</v>
      </c>
      <c r="K167" s="310">
        <f t="shared" si="4"/>
        <v>46114</v>
      </c>
      <c r="L167" s="317">
        <f t="array" ref="L167">(XLOOKUP(D167,Roster!F:F,Roster!D:D,"",0))</f>
        <v>36</v>
      </c>
      <c r="M167" s="317" t="str">
        <f t="array" ref="M167">XLOOKUP(D167,Roster!F:F,Roster!E:E)</f>
        <v>Voice</v>
      </c>
      <c r="N167" s="317" t="str">
        <f t="shared" ref="N167:P167" si="174">LEFT(H167,5)</f>
        <v>10:30</v>
      </c>
      <c r="O167" s="317" t="str">
        <f t="shared" si="174"/>
        <v>13:00</v>
      </c>
      <c r="P167" s="317" t="str">
        <f t="shared" si="174"/>
        <v>15:30</v>
      </c>
      <c r="Q167" s="318">
        <f t="shared" si="98"/>
        <v>46114.4375</v>
      </c>
      <c r="R167" s="318">
        <f t="shared" si="99"/>
        <v>46114.54167</v>
      </c>
      <c r="S167" s="318">
        <f t="shared" si="8"/>
        <v>46114.64583</v>
      </c>
    </row>
    <row r="168">
      <c r="A168" s="14" t="str">
        <f t="shared" si="1"/>
        <v>C132546114</v>
      </c>
      <c r="B168" s="185" t="str">
        <f t="array" ref="B168">IF(F168="VL","",IF(F168="Free","Free",XLOOKUP(D168,Roster!T:T,Roster!S:S,"",0)))</f>
        <v>Free</v>
      </c>
      <c r="C168" s="313">
        <v>46114.0</v>
      </c>
      <c r="D168" s="314" t="s">
        <v>174</v>
      </c>
      <c r="E168" s="307" t="str">
        <f t="array" ref="E168">(XLOOKUP(D168,Roster!F:F,Roster!B:B,"",0))</f>
        <v>Cristian Ferreira</v>
      </c>
      <c r="F168" s="315" t="str">
        <f t="array" ref="F168">IF(B168=100,"Free",TEXT(XLOOKUP($D168,OperationVoice!$A:$A,OperationVoice!H:H,XLOOKUP($D168,OperationTickets!$A:$A,OperationTickets!H:H,"",0)),"hh:mm"))</f>
        <v>Free</v>
      </c>
      <c r="G168" s="309" t="str">
        <f t="shared" si="3"/>
        <v>Free</v>
      </c>
      <c r="H168" s="316" t="str">
        <f t="array" ref="H168">XLOOKUP(B168,Roster!L:L,Roster!N:N,XLOOKUP(D168,TicketsBreak!A:A,TicketsBreak!E:E,"",0),0)</f>
        <v/>
      </c>
      <c r="I168" s="316" t="str">
        <f t="array" ref="I168">XLOOKUP(B168,Roster!L:L,Roster!O:O,XLOOKUP(D168,TicketsBreak!A:A,TicketsBreak!F:F,"",0),0)</f>
        <v/>
      </c>
      <c r="J168" s="316" t="str">
        <f t="array" ref="J168">XLOOKUP(B168,Roster!L:L,Roster!P:P,XLOOKUP(D168,TicketsBreak!A:A,TicketsBreak!G:G,"",0),0)</f>
        <v/>
      </c>
      <c r="K168" s="310">
        <f t="shared" si="4"/>
        <v>46114</v>
      </c>
      <c r="L168" s="317">
        <f t="array" ref="L168">(XLOOKUP(D168,Roster!F:F,Roster!D:D,"",0))</f>
        <v>29</v>
      </c>
      <c r="M168" s="317" t="str">
        <f t="array" ref="M168">XLOOKUP(D168,Roster!F:F,Roster!E:E)</f>
        <v>Tickets</v>
      </c>
      <c r="N168" s="317" t="str">
        <f t="shared" ref="N168:P168" si="175">LEFT(H168,5)</f>
        <v/>
      </c>
      <c r="O168" s="317" t="str">
        <f t="shared" si="175"/>
        <v/>
      </c>
      <c r="P168" s="317" t="str">
        <f t="shared" si="175"/>
        <v/>
      </c>
      <c r="Q168" s="318" t="str">
        <f t="shared" si="98"/>
        <v/>
      </c>
      <c r="R168" s="318" t="str">
        <f t="shared" si="99"/>
        <v/>
      </c>
      <c r="S168" s="318" t="str">
        <f t="shared" si="8"/>
        <v/>
      </c>
    </row>
    <row r="169">
      <c r="A169" s="14" t="str">
        <f t="shared" si="1"/>
        <v>C151046114</v>
      </c>
      <c r="B169" s="185">
        <f t="array" ref="B169">IF(F169="VL","",IF(F169="Free","Free",XLOOKUP(D169,Roster!T:T,Roster!S:S,"",0)))</f>
        <v>121</v>
      </c>
      <c r="C169" s="313">
        <v>46114.0</v>
      </c>
      <c r="D169" s="314" t="s">
        <v>24</v>
      </c>
      <c r="E169" s="307" t="str">
        <f t="array" ref="E169">(XLOOKUP(D169,Roster!F:F,Roster!B:B,"",0))</f>
        <v>Cristian Gomez</v>
      </c>
      <c r="F169" s="315" t="str">
        <f t="array" ref="F169">IF(B169=100,"Free",TEXT(XLOOKUP($D169,OperationVoice!$A:$A,OperationVoice!H:H,XLOOKUP($D169,OperationTickets!$A:$A,OperationTickets!H:H,"",0)),"hh:mm"))</f>
        <v>08:00</v>
      </c>
      <c r="G169" s="309">
        <f t="shared" si="3"/>
        <v>0.7083333333</v>
      </c>
      <c r="H169" s="316" t="str">
        <f t="array" ref="H169">XLOOKUP(B169,Roster!L:L,Roster!N:N,XLOOKUP(D169,TicketsBreak!A:A,TicketsBreak!E:E,"",0),0)</f>
        <v>09:15 - 09:30</v>
      </c>
      <c r="I169" s="316" t="str">
        <f t="array" ref="I169">XLOOKUP(B169,Roster!L:L,Roster!O:O,XLOOKUP(D169,TicketsBreak!A:A,TicketsBreak!F:F,"",0),0)</f>
        <v>11:30 - 12:00</v>
      </c>
      <c r="J169" s="316" t="str">
        <f t="array" ref="J169">XLOOKUP(B169,Roster!L:L,Roster!P:P,XLOOKUP(D169,TicketsBreak!A:A,TicketsBreak!G:G,"",0),0)</f>
        <v>14:30 - 14:45</v>
      </c>
      <c r="K169" s="310">
        <f t="shared" si="4"/>
        <v>46114</v>
      </c>
      <c r="L169" s="317">
        <f t="array" ref="L169">(XLOOKUP(D169,Roster!F:F,Roster!D:D,"",0))</f>
        <v>35</v>
      </c>
      <c r="M169" s="317" t="str">
        <f t="array" ref="M169">XLOOKUP(D169,Roster!F:F,Roster!E:E)</f>
        <v>Voice</v>
      </c>
      <c r="N169" s="317" t="str">
        <f t="shared" ref="N169:P169" si="176">LEFT(H169,5)</f>
        <v>09:15</v>
      </c>
      <c r="O169" s="317" t="str">
        <f t="shared" si="176"/>
        <v>11:30</v>
      </c>
      <c r="P169" s="317" t="str">
        <f t="shared" si="176"/>
        <v>14:30</v>
      </c>
      <c r="Q169" s="318">
        <f t="shared" si="98"/>
        <v>46114.38542</v>
      </c>
      <c r="R169" s="318">
        <f t="shared" si="99"/>
        <v>46114.47917</v>
      </c>
      <c r="S169" s="318">
        <f t="shared" si="8"/>
        <v>46114.60417</v>
      </c>
    </row>
    <row r="170">
      <c r="A170" s="14" t="str">
        <f t="shared" si="1"/>
        <v>C67346114</v>
      </c>
      <c r="B170" s="185" t="str">
        <f t="array" ref="B170">IF(F170="VL","",IF(F170="Free","Free",XLOOKUP(D170,Roster!T:T,Roster!S:S,"",0)))</f>
        <v>Free</v>
      </c>
      <c r="C170" s="313">
        <v>46114.0</v>
      </c>
      <c r="D170" s="314" t="s">
        <v>156</v>
      </c>
      <c r="E170" s="307" t="str">
        <f t="array" ref="E170">(XLOOKUP(D170,Roster!F:F,Roster!B:B,"",0))</f>
        <v>Dahiana Cano</v>
      </c>
      <c r="F170" s="315" t="str">
        <f t="array" ref="F170">IF(B170=100,"Free",TEXT(XLOOKUP($D170,OperationVoice!$A:$A,OperationVoice!H:H,XLOOKUP($D170,OperationTickets!$A:$A,OperationTickets!H:H,"",0)),"hh:mm"))</f>
        <v>Free</v>
      </c>
      <c r="G170" s="309" t="str">
        <f t="shared" si="3"/>
        <v>Free</v>
      </c>
      <c r="H170" s="316">
        <f t="array" ref="H170">XLOOKUP(B170,Roster!L:L,Roster!N:N,XLOOKUP(D170,TicketsBreak!A:A,TicketsBreak!E:E,"",0),0)</f>
        <v>0.4583333333</v>
      </c>
      <c r="I170" s="316">
        <f t="array" ref="I170">XLOOKUP(B170,Roster!L:L,Roster!O:O,XLOOKUP(D170,TicketsBreak!A:A,TicketsBreak!F:F,"",0),0)</f>
        <v>0.5833333333</v>
      </c>
      <c r="J170" s="316">
        <f t="array" ref="J170">XLOOKUP(B170,Roster!L:L,Roster!P:P,XLOOKUP(D170,TicketsBreak!A:A,TicketsBreak!G:G,"",0),0)</f>
        <v>0.65625</v>
      </c>
      <c r="K170" s="310">
        <f t="shared" si="4"/>
        <v>46114</v>
      </c>
      <c r="L170" s="317">
        <f t="array" ref="L170">(XLOOKUP(D170,Roster!F:F,Roster!D:D,"",0))</f>
        <v>4</v>
      </c>
      <c r="M170" s="317" t="str">
        <f t="array" ref="M170">XLOOKUP(D170,Roster!F:F,Roster!E:E)</f>
        <v>Tickets</v>
      </c>
      <c r="N170" s="317" t="str">
        <f t="shared" ref="N170:P170" si="177">LEFT(H170,5)</f>
        <v>11:00</v>
      </c>
      <c r="O170" s="317" t="str">
        <f t="shared" si="177"/>
        <v>14:00</v>
      </c>
      <c r="P170" s="317" t="str">
        <f t="shared" si="177"/>
        <v>15:45</v>
      </c>
      <c r="Q170" s="318">
        <f t="shared" si="98"/>
        <v>46114.45833</v>
      </c>
      <c r="R170" s="318">
        <f t="shared" si="99"/>
        <v>46114.58333</v>
      </c>
      <c r="S170" s="318">
        <f t="shared" si="8"/>
        <v>46114.65625</v>
      </c>
    </row>
    <row r="171">
      <c r="A171" s="14" t="str">
        <f t="shared" si="1"/>
        <v>C152946114</v>
      </c>
      <c r="B171" s="185">
        <f t="array" ref="B171">IF(F171="VL","",IF(F171="Free","Free",XLOOKUP(D171,Roster!T:T,Roster!S:S,"",0)))</f>
        <v>133</v>
      </c>
      <c r="C171" s="313">
        <v>46114.0</v>
      </c>
      <c r="D171" s="314" t="s">
        <v>25</v>
      </c>
      <c r="E171" s="307" t="str">
        <f t="array" ref="E171">(XLOOKUP(D171,Roster!F:F,Roster!B:B,"",0))</f>
        <v>Daniel Barrientos</v>
      </c>
      <c r="F171" s="315" t="str">
        <f t="array" ref="F171">IF(B171=100,"Free",TEXT(XLOOKUP($D171,OperationVoice!$A:$A,OperationVoice!H:H,XLOOKUP($D171,OperationTickets!$A:$A,OperationTickets!H:H,"",0)),"hh:mm"))</f>
        <v>09:00</v>
      </c>
      <c r="G171" s="309">
        <f t="shared" si="3"/>
        <v>0.75</v>
      </c>
      <c r="H171" s="316" t="str">
        <f t="array" ref="H171">XLOOKUP(B171,Roster!L:L,Roster!N:N,XLOOKUP(D171,TicketsBreak!A:A,TicketsBreak!E:E,"",0),0)</f>
        <v>10:45 - 11:00 </v>
      </c>
      <c r="I171" s="316" t="str">
        <f t="array" ref="I171">XLOOKUP(B171,Roster!L:L,Roster!O:O,XLOOKUP(D171,TicketsBreak!A:A,TicketsBreak!F:F,"",0),0)</f>
        <v>13:30 - 14:00</v>
      </c>
      <c r="J171" s="316" t="str">
        <f t="array" ref="J171">XLOOKUP(B171,Roster!L:L,Roster!P:P,XLOOKUP(D171,TicketsBreak!A:A,TicketsBreak!G:G,"",0),0)</f>
        <v>15:45 - 16:00</v>
      </c>
      <c r="K171" s="310">
        <f t="shared" si="4"/>
        <v>46114</v>
      </c>
      <c r="L171" s="317">
        <f t="array" ref="L171">(XLOOKUP(D171,Roster!F:F,Roster!D:D,"",0))</f>
        <v>36</v>
      </c>
      <c r="M171" s="317" t="str">
        <f t="array" ref="M171">XLOOKUP(D171,Roster!F:F,Roster!E:E)</f>
        <v>Voice</v>
      </c>
      <c r="N171" s="317" t="str">
        <f t="shared" ref="N171:P171" si="178">LEFT(H171,5)</f>
        <v>10:45</v>
      </c>
      <c r="O171" s="317" t="str">
        <f t="shared" si="178"/>
        <v>13:30</v>
      </c>
      <c r="P171" s="317" t="str">
        <f t="shared" si="178"/>
        <v>15:45</v>
      </c>
      <c r="Q171" s="318">
        <f t="shared" si="98"/>
        <v>46114.44792</v>
      </c>
      <c r="R171" s="318">
        <f t="shared" si="99"/>
        <v>46114.5625</v>
      </c>
      <c r="S171" s="318">
        <f t="shared" si="8"/>
        <v>46114.65625</v>
      </c>
    </row>
    <row r="172">
      <c r="A172" s="14" t="str">
        <f t="shared" si="1"/>
        <v>C106446114</v>
      </c>
      <c r="B172" s="185" t="str">
        <f t="array" ref="B172">IF(F172="VL","",IF(F172="Free","Free",XLOOKUP(D172,Roster!T:T,Roster!S:S,"",0)))</f>
        <v/>
      </c>
      <c r="C172" s="313">
        <v>46114.0</v>
      </c>
      <c r="D172" s="314" t="s">
        <v>175</v>
      </c>
      <c r="E172" s="307" t="str">
        <f t="array" ref="E172">(XLOOKUP(D172,Roster!F:F,Roster!B:B,"",0))</f>
        <v>Daniel Urrego</v>
      </c>
      <c r="F172" s="315" t="str">
        <f t="array" ref="F172">IF(B172=100,"Free",TEXT(XLOOKUP($D172,OperationVoice!$A:$A,OperationVoice!H:H,XLOOKUP($D172,OperationTickets!$A:$A,OperationTickets!H:H,"",0)),"hh:mm"))</f>
        <v>08:00</v>
      </c>
      <c r="G172" s="309">
        <f t="shared" si="3"/>
        <v>0.7083333333</v>
      </c>
      <c r="H172" s="316" t="str">
        <f t="array" ref="H172">XLOOKUP(B172,Roster!L:L,Roster!N:N,XLOOKUP(D172,TicketsBreak!A:A,TicketsBreak!E:E,"",0),0)</f>
        <v/>
      </c>
      <c r="I172" s="316" t="str">
        <f t="array" ref="I172">XLOOKUP(B172,Roster!L:L,Roster!O:O,XLOOKUP(D172,TicketsBreak!A:A,TicketsBreak!F:F,"",0),0)</f>
        <v/>
      </c>
      <c r="J172" s="316" t="str">
        <f t="array" ref="J172">XLOOKUP(B172,Roster!L:L,Roster!P:P,XLOOKUP(D172,TicketsBreak!A:A,TicketsBreak!G:G,"",0),0)</f>
        <v/>
      </c>
      <c r="K172" s="310">
        <f t="shared" si="4"/>
        <v>46114</v>
      </c>
      <c r="L172" s="317">
        <f t="array" ref="L172">(XLOOKUP(D172,Roster!F:F,Roster!D:D,"",0))</f>
        <v>17</v>
      </c>
      <c r="M172" s="317" t="str">
        <f t="array" ref="M172">XLOOKUP(D172,Roster!F:F,Roster!E:E)</f>
        <v>Tickets</v>
      </c>
      <c r="N172" s="317" t="str">
        <f t="shared" ref="N172:P172" si="179">LEFT(H172,5)</f>
        <v/>
      </c>
      <c r="O172" s="317" t="str">
        <f t="shared" si="179"/>
        <v/>
      </c>
      <c r="P172" s="317" t="str">
        <f t="shared" si="179"/>
        <v/>
      </c>
      <c r="Q172" s="318" t="str">
        <f t="shared" si="98"/>
        <v/>
      </c>
      <c r="R172" s="318" t="str">
        <f t="shared" si="99"/>
        <v/>
      </c>
      <c r="S172" s="318" t="str">
        <f t="shared" si="8"/>
        <v/>
      </c>
    </row>
    <row r="173">
      <c r="A173" s="14" t="str">
        <f t="shared" si="1"/>
        <v>C151346114</v>
      </c>
      <c r="B173" s="185">
        <f t="array" ref="B173">IF(F173="VL","",IF(F173="Free","Free",XLOOKUP(D173,Roster!T:T,Roster!S:S,"",0)))</f>
        <v>126</v>
      </c>
      <c r="C173" s="313">
        <v>46114.0</v>
      </c>
      <c r="D173" s="314" t="s">
        <v>26</v>
      </c>
      <c r="E173" s="307" t="str">
        <f t="array" ref="E173">(XLOOKUP(D173,Roster!F:F,Roster!B:B,"",0))</f>
        <v>David Patino</v>
      </c>
      <c r="F173" s="315" t="str">
        <f t="array" ref="F173">IF(B173=100,"Free",TEXT(XLOOKUP($D173,OperationVoice!$A:$A,OperationVoice!H:H,XLOOKUP($D173,OperationTickets!$A:$A,OperationTickets!H:H,"",0)),"hh:mm"))</f>
        <v>08:00</v>
      </c>
      <c r="G173" s="309">
        <f t="shared" si="3"/>
        <v>0.7083333333</v>
      </c>
      <c r="H173" s="316" t="str">
        <f t="array" ref="H173">XLOOKUP(B173,Roster!L:L,Roster!N:N,XLOOKUP(D173,TicketsBreak!A:A,TicketsBreak!E:E,"",0),0)</f>
        <v>10:45 - 11:00</v>
      </c>
      <c r="I173" s="316" t="str">
        <f t="array" ref="I173">XLOOKUP(B173,Roster!L:L,Roster!O:O,XLOOKUP(D173,TicketsBreak!A:A,TicketsBreak!F:F,"",0),0)</f>
        <v>14:00 - 14:30</v>
      </c>
      <c r="J173" s="316" t="str">
        <f t="array" ref="J173">XLOOKUP(B173,Roster!L:L,Roster!P:P,XLOOKUP(D173,TicketsBreak!A:A,TicketsBreak!G:G,"",0),0)</f>
        <v>15:45 - 16:00</v>
      </c>
      <c r="K173" s="310">
        <f t="shared" si="4"/>
        <v>46114</v>
      </c>
      <c r="L173" s="317">
        <f t="array" ref="L173">(XLOOKUP(D173,Roster!F:F,Roster!D:D,"",0))</f>
        <v>35</v>
      </c>
      <c r="M173" s="317" t="str">
        <f t="array" ref="M173">XLOOKUP(D173,Roster!F:F,Roster!E:E)</f>
        <v>Voice</v>
      </c>
      <c r="N173" s="317" t="str">
        <f t="shared" ref="N173:P173" si="180">LEFT(H173,5)</f>
        <v>10:45</v>
      </c>
      <c r="O173" s="317" t="str">
        <f t="shared" si="180"/>
        <v>14:00</v>
      </c>
      <c r="P173" s="317" t="str">
        <f t="shared" si="180"/>
        <v>15:45</v>
      </c>
      <c r="Q173" s="318">
        <f t="shared" si="98"/>
        <v>46114.44792</v>
      </c>
      <c r="R173" s="318">
        <f t="shared" si="99"/>
        <v>46114.58333</v>
      </c>
      <c r="S173" s="318">
        <f t="shared" si="8"/>
        <v>46114.65625</v>
      </c>
    </row>
    <row r="174">
      <c r="A174" s="14" t="str">
        <f t="shared" si="1"/>
        <v>C127746114</v>
      </c>
      <c r="B174" s="185">
        <f t="array" ref="B174">IF(F174="VL","",IF(F174="Free","Free",XLOOKUP(D174,Roster!T:T,Roster!S:S,"",0)))</f>
        <v>124</v>
      </c>
      <c r="C174" s="313">
        <v>46114.0</v>
      </c>
      <c r="D174" s="314" t="s">
        <v>27</v>
      </c>
      <c r="E174" s="307" t="str">
        <f t="array" ref="E174">(XLOOKUP(D174,Roster!F:F,Roster!B:B,"",0))</f>
        <v>Edwuin Martinez</v>
      </c>
      <c r="F174" s="315" t="str">
        <f t="array" ref="F174">IF(B174=100,"Free",TEXT(XLOOKUP($D174,OperationVoice!$A:$A,OperationVoice!H:H,XLOOKUP($D174,OperationTickets!$A:$A,OperationTickets!H:H,"",0)),"hh:mm"))</f>
        <v>08:00</v>
      </c>
      <c r="G174" s="309">
        <f t="shared" si="3"/>
        <v>0.7083333333</v>
      </c>
      <c r="H174" s="316" t="str">
        <f t="array" ref="H174">XLOOKUP(B174,Roster!L:L,Roster!N:N,XLOOKUP(D174,TicketsBreak!A:A,TicketsBreak!E:E,"",0),0)</f>
        <v>10:00 - 10:15</v>
      </c>
      <c r="I174" s="316" t="str">
        <f t="array" ref="I174">XLOOKUP(B174,Roster!L:L,Roster!O:O,XLOOKUP(D174,TicketsBreak!A:A,TicketsBreak!F:F,"",0),0)</f>
        <v>13:00 - 13:30</v>
      </c>
      <c r="J174" s="316" t="str">
        <f t="array" ref="J174">XLOOKUP(B174,Roster!L:L,Roster!P:P,XLOOKUP(D174,TicketsBreak!A:A,TicketsBreak!G:G,"",0),0)</f>
        <v>15:30 - 15:45</v>
      </c>
      <c r="K174" s="310">
        <f t="shared" si="4"/>
        <v>46114</v>
      </c>
      <c r="L174" s="317">
        <f t="array" ref="L174">(XLOOKUP(D174,Roster!F:F,Roster!D:D,"",0))</f>
        <v>27</v>
      </c>
      <c r="M174" s="317" t="str">
        <f t="array" ref="M174">XLOOKUP(D174,Roster!F:F,Roster!E:E)</f>
        <v>Voice</v>
      </c>
      <c r="N174" s="317" t="str">
        <f t="shared" ref="N174:P174" si="181">LEFT(H174,5)</f>
        <v>10:00</v>
      </c>
      <c r="O174" s="317" t="str">
        <f t="shared" si="181"/>
        <v>13:00</v>
      </c>
      <c r="P174" s="317" t="str">
        <f t="shared" si="181"/>
        <v>15:30</v>
      </c>
      <c r="Q174" s="318">
        <f t="shared" si="98"/>
        <v>46114.41667</v>
      </c>
      <c r="R174" s="318">
        <f t="shared" si="99"/>
        <v>46114.54167</v>
      </c>
      <c r="S174" s="318">
        <f t="shared" si="8"/>
        <v>46114.64583</v>
      </c>
    </row>
    <row r="175">
      <c r="A175" s="14" t="str">
        <f t="shared" si="1"/>
        <v>C121646114</v>
      </c>
      <c r="B175" s="185" t="str">
        <f t="array" ref="B175">IF(F175="VL","",IF(F175="Free","Free",XLOOKUP(D175,Roster!T:T,Roster!S:S,"",0)))</f>
        <v>Free</v>
      </c>
      <c r="C175" s="313">
        <v>46114.0</v>
      </c>
      <c r="D175" s="314" t="s">
        <v>134</v>
      </c>
      <c r="E175" s="307" t="str">
        <f t="array" ref="E175">(XLOOKUP(D175,Roster!F:F,Roster!B:B,"",0))</f>
        <v>Eliana Pena</v>
      </c>
      <c r="F175" s="315" t="str">
        <f t="array" ref="F175">IF(B175=100,"Free",TEXT(XLOOKUP($D175,OperationVoice!$A:$A,OperationVoice!H:H,XLOOKUP($D175,OperationTickets!$A:$A,OperationTickets!H:H,"",0)),"hh:mm"))</f>
        <v>Free</v>
      </c>
      <c r="G175" s="309" t="str">
        <f t="shared" si="3"/>
        <v>Free</v>
      </c>
      <c r="H175" s="316">
        <f t="array" ref="H175">XLOOKUP(B175,Roster!L:L,Roster!N:N,XLOOKUP(D175,TicketsBreak!A:A,TicketsBreak!E:E,"",0),0)</f>
        <v>0.3958333333</v>
      </c>
      <c r="I175" s="316">
        <f t="array" ref="I175">XLOOKUP(B175,Roster!L:L,Roster!O:O,XLOOKUP(D175,TicketsBreak!A:A,TicketsBreak!F:F,"",0),0)</f>
        <v>0.5416666667</v>
      </c>
      <c r="J175" s="316">
        <f t="array" ref="J175">XLOOKUP(B175,Roster!L:L,Roster!P:P,XLOOKUP(D175,TicketsBreak!A:A,TicketsBreak!G:G,"",0),0)</f>
        <v>0.6354166667</v>
      </c>
      <c r="K175" s="310">
        <f t="shared" si="4"/>
        <v>46114</v>
      </c>
      <c r="L175" s="317">
        <f t="array" ref="L175">(XLOOKUP(D175,Roster!F:F,Roster!D:D,"",0))</f>
        <v>26</v>
      </c>
      <c r="M175" s="317" t="str">
        <f t="array" ref="M175">XLOOKUP(D175,Roster!F:F,Roster!E:E)</f>
        <v>Tickets</v>
      </c>
      <c r="N175" s="317" t="str">
        <f t="shared" ref="N175:P175" si="182">LEFT(H175,5)</f>
        <v>09:30</v>
      </c>
      <c r="O175" s="317" t="str">
        <f t="shared" si="182"/>
        <v>13:00</v>
      </c>
      <c r="P175" s="317" t="str">
        <f t="shared" si="182"/>
        <v>15:15</v>
      </c>
      <c r="Q175" s="318">
        <f t="shared" si="98"/>
        <v>46114.39583</v>
      </c>
      <c r="R175" s="318">
        <f t="shared" si="99"/>
        <v>46114.54167</v>
      </c>
      <c r="S175" s="318">
        <f t="shared" si="8"/>
        <v>46114.63542</v>
      </c>
    </row>
    <row r="176">
      <c r="A176" s="14" t="str">
        <f t="shared" si="1"/>
        <v>C157346114</v>
      </c>
      <c r="B176" s="185">
        <f t="array" ref="B176">IF(F176="VL","",IF(F176="Free","Free",XLOOKUP(D176,Roster!T:T,Roster!S:S,"",0)))</f>
        <v>123</v>
      </c>
      <c r="C176" s="313">
        <v>46114.0</v>
      </c>
      <c r="D176" s="314" t="s">
        <v>28</v>
      </c>
      <c r="E176" s="307" t="str">
        <f t="array" ref="E176">(XLOOKUP(D176,Roster!F:F,Roster!B:B,"",0))</f>
        <v>Esteban Correa</v>
      </c>
      <c r="F176" s="315" t="str">
        <f t="array" ref="F176">IF(B176=100,"Free",TEXT(XLOOKUP($D176,OperationVoice!$A:$A,OperationVoice!H:H,XLOOKUP($D176,OperationTickets!$A:$A,OperationTickets!H:H,"",0)),"hh:mm"))</f>
        <v>08:00</v>
      </c>
      <c r="G176" s="309">
        <f t="shared" si="3"/>
        <v>0.7083333333</v>
      </c>
      <c r="H176" s="316" t="str">
        <f t="array" ref="H176">XLOOKUP(B176,Roster!L:L,Roster!N:N,XLOOKUP(D176,TicketsBreak!A:A,TicketsBreak!E:E,"",0),0)</f>
        <v>09:45 - 10:00 </v>
      </c>
      <c r="I176" s="316" t="str">
        <f t="array" ref="I176">XLOOKUP(B176,Roster!L:L,Roster!O:O,XLOOKUP(D176,TicketsBreak!A:A,TicketsBreak!F:F,"",0),0)</f>
        <v>12:30 - 13:00</v>
      </c>
      <c r="J176" s="316" t="str">
        <f t="array" ref="J176">XLOOKUP(B176,Roster!L:L,Roster!P:P,XLOOKUP(D176,TicketsBreak!A:A,TicketsBreak!G:G,"",0),0)</f>
        <v>15:00 - 15:15</v>
      </c>
      <c r="K176" s="310">
        <f t="shared" si="4"/>
        <v>46114</v>
      </c>
      <c r="L176" s="317">
        <f t="array" ref="L176">(XLOOKUP(D176,Roster!F:F,Roster!D:D,"",0))</f>
        <v>38</v>
      </c>
      <c r="M176" s="317" t="str">
        <f t="array" ref="M176">XLOOKUP(D176,Roster!F:F,Roster!E:E)</f>
        <v>Voice</v>
      </c>
      <c r="N176" s="317" t="str">
        <f t="shared" ref="N176:P176" si="183">LEFT(H176,5)</f>
        <v>09:45</v>
      </c>
      <c r="O176" s="317" t="str">
        <f t="shared" si="183"/>
        <v>12:30</v>
      </c>
      <c r="P176" s="317" t="str">
        <f t="shared" si="183"/>
        <v>15:00</v>
      </c>
      <c r="Q176" s="318">
        <f t="shared" si="98"/>
        <v>46114.40625</v>
      </c>
      <c r="R176" s="318">
        <f t="shared" si="99"/>
        <v>46114.52083</v>
      </c>
      <c r="S176" s="318">
        <f t="shared" si="8"/>
        <v>46114.625</v>
      </c>
    </row>
    <row r="177">
      <c r="A177" s="14" t="str">
        <f t="shared" si="1"/>
        <v>C71346114</v>
      </c>
      <c r="B177" s="185">
        <f t="array" ref="B177">IF(F177="VL","",IF(F177="Free","Free",XLOOKUP(D177,Roster!T:T,Roster!S:S,"",0)))</f>
        <v>125</v>
      </c>
      <c r="C177" s="313">
        <v>46114.0</v>
      </c>
      <c r="D177" s="314" t="s">
        <v>29</v>
      </c>
      <c r="E177" s="307" t="str">
        <f t="array" ref="E177">(XLOOKUP(D177,Roster!F:F,Roster!B:B,"",0))</f>
        <v>Frank Marin</v>
      </c>
      <c r="F177" s="315" t="str">
        <f t="array" ref="F177">IF(B177=100,"Free",TEXT(XLOOKUP($D177,OperationVoice!$A:$A,OperationVoice!H:H,XLOOKUP($D177,OperationTickets!$A:$A,OperationTickets!H:H,"",0)),"hh:mm"))</f>
        <v>08:00</v>
      </c>
      <c r="G177" s="309">
        <f t="shared" si="3"/>
        <v>0.7083333333</v>
      </c>
      <c r="H177" s="316" t="str">
        <f t="array" ref="H177">XLOOKUP(B177,Roster!L:L,Roster!N:N,XLOOKUP(D177,TicketsBreak!A:A,TicketsBreak!E:E,"",0),0)</f>
        <v>10:30 - 10:45</v>
      </c>
      <c r="I177" s="316" t="str">
        <f t="array" ref="I177">XLOOKUP(B177,Roster!L:L,Roster!O:O,XLOOKUP(D177,TicketsBreak!A:A,TicketsBreak!F:F,"",0),0)</f>
        <v>13:30 - 14:00</v>
      </c>
      <c r="J177" s="316" t="str">
        <f t="array" ref="J177">XLOOKUP(B177,Roster!L:L,Roster!P:P,XLOOKUP(D177,TicketsBreak!A:A,TicketsBreak!G:G,"",0),0)</f>
        <v>15:45 - 16:00</v>
      </c>
      <c r="K177" s="310">
        <f t="shared" si="4"/>
        <v>46114</v>
      </c>
      <c r="L177" s="317">
        <f t="array" ref="L177">(XLOOKUP(D177,Roster!F:F,Roster!D:D,"",0))</f>
        <v>6</v>
      </c>
      <c r="M177" s="317" t="str">
        <f t="array" ref="M177">XLOOKUP(D177,Roster!F:F,Roster!E:E)</f>
        <v>Voice</v>
      </c>
      <c r="N177" s="317" t="str">
        <f t="shared" ref="N177:P177" si="184">LEFT(H177,5)</f>
        <v>10:30</v>
      </c>
      <c r="O177" s="317" t="str">
        <f t="shared" si="184"/>
        <v>13:30</v>
      </c>
      <c r="P177" s="317" t="str">
        <f t="shared" si="184"/>
        <v>15:45</v>
      </c>
      <c r="Q177" s="318">
        <f t="shared" si="98"/>
        <v>46114.4375</v>
      </c>
      <c r="R177" s="318">
        <f t="shared" si="99"/>
        <v>46114.5625</v>
      </c>
      <c r="S177" s="318">
        <f t="shared" si="8"/>
        <v>46114.65625</v>
      </c>
    </row>
    <row r="178">
      <c r="A178" s="14" t="str">
        <f t="shared" si="1"/>
        <v>C154846114</v>
      </c>
      <c r="B178" s="185" t="str">
        <f t="array" ref="B178">IF(F178="VL","",IF(F178="Free","Free",XLOOKUP(D178,Roster!T:T,Roster!S:S,"",0)))</f>
        <v>Free</v>
      </c>
      <c r="C178" s="313">
        <v>46114.0</v>
      </c>
      <c r="D178" s="314" t="s">
        <v>30</v>
      </c>
      <c r="E178" s="307" t="str">
        <f t="array" ref="E178">(XLOOKUP(D178,Roster!F:F,Roster!B:B,"",0))</f>
        <v>Frey ortiz</v>
      </c>
      <c r="F178" s="315" t="str">
        <f t="array" ref="F178">IF(B178=100,"Free",TEXT(XLOOKUP($D178,OperationVoice!$A:$A,OperationVoice!H:H,XLOOKUP($D178,OperationTickets!$A:$A,OperationTickets!H:H,"",0)),"hh:mm"))</f>
        <v>Free</v>
      </c>
      <c r="G178" s="309" t="str">
        <f t="shared" si="3"/>
        <v>Free</v>
      </c>
      <c r="H178" s="316" t="str">
        <f t="array" ref="H178">XLOOKUP(B178,Roster!L:L,Roster!N:N,XLOOKUP(D178,TicketsBreak!A:A,TicketsBreak!E:E,"",0),0)</f>
        <v/>
      </c>
      <c r="I178" s="316" t="str">
        <f t="array" ref="I178">XLOOKUP(B178,Roster!L:L,Roster!O:O,XLOOKUP(D178,TicketsBreak!A:A,TicketsBreak!F:F,"",0),0)</f>
        <v/>
      </c>
      <c r="J178" s="316" t="str">
        <f t="array" ref="J178">XLOOKUP(B178,Roster!L:L,Roster!P:P,XLOOKUP(D178,TicketsBreak!A:A,TicketsBreak!G:G,"",0),0)</f>
        <v/>
      </c>
      <c r="K178" s="310">
        <f t="shared" si="4"/>
        <v>46114</v>
      </c>
      <c r="L178" s="317">
        <f t="array" ref="L178">(XLOOKUP(D178,Roster!F:F,Roster!D:D,"",0))</f>
        <v>37</v>
      </c>
      <c r="M178" s="317" t="str">
        <f t="array" ref="M178">XLOOKUP(D178,Roster!F:F,Roster!E:E)</f>
        <v>Voice</v>
      </c>
      <c r="N178" s="317" t="str">
        <f t="shared" ref="N178:P178" si="185">LEFT(H178,5)</f>
        <v/>
      </c>
      <c r="O178" s="317" t="str">
        <f t="shared" si="185"/>
        <v/>
      </c>
      <c r="P178" s="317" t="str">
        <f t="shared" si="185"/>
        <v/>
      </c>
      <c r="Q178" s="318" t="str">
        <f t="shared" si="98"/>
        <v/>
      </c>
      <c r="R178" s="318" t="str">
        <f t="shared" si="99"/>
        <v/>
      </c>
      <c r="S178" s="318" t="str">
        <f t="shared" si="8"/>
        <v/>
      </c>
    </row>
    <row r="179">
      <c r="A179" s="14" t="str">
        <f t="shared" si="1"/>
        <v>C148646114</v>
      </c>
      <c r="B179" s="185" t="str">
        <f t="array" ref="B179">IF(F179="VL","",IF(F179="Free","Free",XLOOKUP(D179,Roster!T:T,Roster!S:S,"",0)))</f>
        <v>Free</v>
      </c>
      <c r="C179" s="313">
        <v>46114.0</v>
      </c>
      <c r="D179" s="314" t="s">
        <v>31</v>
      </c>
      <c r="E179" s="307" t="str">
        <f t="array" ref="E179">(XLOOKUP(D179,Roster!F:F,Roster!B:B,"",0))</f>
        <v>Gabriel Gomez</v>
      </c>
      <c r="F179" s="315" t="str">
        <f t="array" ref="F179">IF(B179=100,"Free",TEXT(XLOOKUP($D179,OperationVoice!$A:$A,OperationVoice!H:H,XLOOKUP($D179,OperationTickets!$A:$A,OperationTickets!H:H,"",0)),"hh:mm"))</f>
        <v>Free</v>
      </c>
      <c r="G179" s="309" t="str">
        <f t="shared" si="3"/>
        <v>Free</v>
      </c>
      <c r="H179" s="316" t="str">
        <f t="array" ref="H179">XLOOKUP(B179,Roster!L:L,Roster!N:N,XLOOKUP(D179,TicketsBreak!A:A,TicketsBreak!E:E,"",0),0)</f>
        <v/>
      </c>
      <c r="I179" s="316" t="str">
        <f t="array" ref="I179">XLOOKUP(B179,Roster!L:L,Roster!O:O,XLOOKUP(D179,TicketsBreak!A:A,TicketsBreak!F:F,"",0),0)</f>
        <v/>
      </c>
      <c r="J179" s="316" t="str">
        <f t="array" ref="J179">XLOOKUP(B179,Roster!L:L,Roster!P:P,XLOOKUP(D179,TicketsBreak!A:A,TicketsBreak!G:G,"",0),0)</f>
        <v/>
      </c>
      <c r="K179" s="310">
        <f t="shared" si="4"/>
        <v>46114</v>
      </c>
      <c r="L179" s="317">
        <f t="array" ref="L179">(XLOOKUP(D179,Roster!F:F,Roster!D:D,"",0))</f>
        <v>34</v>
      </c>
      <c r="M179" s="317" t="str">
        <f t="array" ref="M179">XLOOKUP(D179,Roster!F:F,Roster!E:E)</f>
        <v>Voice</v>
      </c>
      <c r="N179" s="317" t="str">
        <f t="shared" ref="N179:P179" si="186">LEFT(H179,5)</f>
        <v/>
      </c>
      <c r="O179" s="317" t="str">
        <f t="shared" si="186"/>
        <v/>
      </c>
      <c r="P179" s="317" t="str">
        <f t="shared" si="186"/>
        <v/>
      </c>
      <c r="Q179" s="318" t="str">
        <f t="shared" si="98"/>
        <v/>
      </c>
      <c r="R179" s="318" t="str">
        <f t="shared" si="99"/>
        <v/>
      </c>
      <c r="S179" s="318" t="str">
        <f t="shared" si="8"/>
        <v/>
      </c>
    </row>
    <row r="180">
      <c r="A180" s="14" t="str">
        <f t="shared" si="1"/>
        <v>C136946114</v>
      </c>
      <c r="B180" s="185" t="str">
        <f t="array" ref="B180">IF(F180="VL","",IF(F180="Free","Free",XLOOKUP(D180,Roster!T:T,Roster!S:S,"",0)))</f>
        <v>Free</v>
      </c>
      <c r="C180" s="313">
        <v>46114.0</v>
      </c>
      <c r="D180" s="314" t="s">
        <v>157</v>
      </c>
      <c r="E180" s="307" t="str">
        <f t="array" ref="E180">(XLOOKUP(D180,Roster!F:F,Roster!B:B,"",0))</f>
        <v>Gabriela Jimenez</v>
      </c>
      <c r="F180" s="315" t="str">
        <f t="array" ref="F180">IF(B180=100,"Free",TEXT(XLOOKUP($D180,OperationVoice!$A:$A,OperationVoice!H:H,XLOOKUP($D180,OperationTickets!$A:$A,OperationTickets!H:H,"",0)),"hh:mm"))</f>
        <v>Free</v>
      </c>
      <c r="G180" s="309" t="str">
        <f t="shared" si="3"/>
        <v>Free</v>
      </c>
      <c r="H180" s="316" t="str">
        <f t="array" ref="H180">XLOOKUP(B180,Roster!L:L,Roster!N:N,XLOOKUP(D180,TicketsBreak!A:A,TicketsBreak!E:E,"",0),0)</f>
        <v/>
      </c>
      <c r="I180" s="316" t="str">
        <f t="array" ref="I180">XLOOKUP(B180,Roster!L:L,Roster!O:O,XLOOKUP(D180,TicketsBreak!A:A,TicketsBreak!F:F,"",0),0)</f>
        <v/>
      </c>
      <c r="J180" s="316" t="str">
        <f t="array" ref="J180">XLOOKUP(B180,Roster!L:L,Roster!P:P,XLOOKUP(D180,TicketsBreak!A:A,TicketsBreak!G:G,"",0),0)</f>
        <v/>
      </c>
      <c r="K180" s="310">
        <f t="shared" si="4"/>
        <v>46114</v>
      </c>
      <c r="L180" s="317">
        <f t="array" ref="L180">(XLOOKUP(D180,Roster!F:F,Roster!D:D,"",0))</f>
        <v>31</v>
      </c>
      <c r="M180" s="317" t="str">
        <f t="array" ref="M180">XLOOKUP(D180,Roster!F:F,Roster!E:E)</f>
        <v>Tickets</v>
      </c>
      <c r="N180" s="317" t="str">
        <f t="shared" ref="N180:P180" si="187">LEFT(H180,5)</f>
        <v/>
      </c>
      <c r="O180" s="317" t="str">
        <f t="shared" si="187"/>
        <v/>
      </c>
      <c r="P180" s="317" t="str">
        <f t="shared" si="187"/>
        <v/>
      </c>
      <c r="Q180" s="318" t="str">
        <f t="shared" si="98"/>
        <v/>
      </c>
      <c r="R180" s="318" t="str">
        <f t="shared" si="99"/>
        <v/>
      </c>
      <c r="S180" s="318" t="str">
        <f t="shared" si="8"/>
        <v/>
      </c>
    </row>
    <row r="181">
      <c r="A181" s="14" t="str">
        <f t="shared" si="1"/>
        <v>C101746114</v>
      </c>
      <c r="B181" s="185">
        <f t="array" ref="B181">IF(F181="VL","",IF(F181="Free","Free",XLOOKUP(D181,Roster!T:T,Roster!S:S,"",0)))</f>
        <v>121</v>
      </c>
      <c r="C181" s="313">
        <v>46114.0</v>
      </c>
      <c r="D181" s="314" t="s">
        <v>32</v>
      </c>
      <c r="E181" s="307" t="str">
        <f t="array" ref="E181">(XLOOKUP(D181,Roster!F:F,Roster!B:B,"",0))</f>
        <v>Geraldine Correa</v>
      </c>
      <c r="F181" s="315" t="str">
        <f t="array" ref="F181">IF(B181=100,"Free",TEXT(XLOOKUP($D181,OperationVoice!$A:$A,OperationVoice!H:H,XLOOKUP($D181,OperationTickets!$A:$A,OperationTickets!H:H,"",0)),"hh:mm"))</f>
        <v>08:00</v>
      </c>
      <c r="G181" s="309">
        <f t="shared" si="3"/>
        <v>0.7083333333</v>
      </c>
      <c r="H181" s="316" t="str">
        <f t="array" ref="H181">XLOOKUP(B181,Roster!L:L,Roster!N:N,XLOOKUP(D181,TicketsBreak!A:A,TicketsBreak!E:E,"",0),0)</f>
        <v>09:15 - 09:30</v>
      </c>
      <c r="I181" s="316" t="str">
        <f t="array" ref="I181">XLOOKUP(B181,Roster!L:L,Roster!O:O,XLOOKUP(D181,TicketsBreak!A:A,TicketsBreak!F:F,"",0),0)</f>
        <v>11:30 - 12:00</v>
      </c>
      <c r="J181" s="316" t="str">
        <f t="array" ref="J181">XLOOKUP(B181,Roster!L:L,Roster!P:P,XLOOKUP(D181,TicketsBreak!A:A,TicketsBreak!G:G,"",0),0)</f>
        <v>14:30 - 14:45</v>
      </c>
      <c r="K181" s="310">
        <f t="shared" si="4"/>
        <v>46114</v>
      </c>
      <c r="L181" s="317">
        <f t="array" ref="L181">(XLOOKUP(D181,Roster!F:F,Roster!D:D,"",0))</f>
        <v>23</v>
      </c>
      <c r="M181" s="317" t="str">
        <f t="array" ref="M181">XLOOKUP(D181,Roster!F:F,Roster!E:E)</f>
        <v>Voice</v>
      </c>
      <c r="N181" s="317" t="str">
        <f t="shared" ref="N181:P181" si="188">LEFT(H181,5)</f>
        <v>09:15</v>
      </c>
      <c r="O181" s="317" t="str">
        <f t="shared" si="188"/>
        <v>11:30</v>
      </c>
      <c r="P181" s="317" t="str">
        <f t="shared" si="188"/>
        <v>14:30</v>
      </c>
      <c r="Q181" s="318">
        <f t="shared" si="98"/>
        <v>46114.38542</v>
      </c>
      <c r="R181" s="318">
        <f t="shared" si="99"/>
        <v>46114.47917</v>
      </c>
      <c r="S181" s="318">
        <f t="shared" si="8"/>
        <v>46114.60417</v>
      </c>
    </row>
    <row r="182">
      <c r="A182" s="14" t="str">
        <f t="shared" si="1"/>
        <v>C154146114</v>
      </c>
      <c r="B182" s="185">
        <f t="array" ref="B182">IF(F182="VL","",IF(F182="Free","Free",XLOOKUP(D182,Roster!T:T,Roster!S:S,"",0)))</f>
        <v>155</v>
      </c>
      <c r="C182" s="313">
        <v>46114.0</v>
      </c>
      <c r="D182" s="314" t="s">
        <v>33</v>
      </c>
      <c r="E182" s="307" t="str">
        <f t="array" ref="E182">(XLOOKUP(D182,Roster!F:F,Roster!B:B,"",0))</f>
        <v>Gisel Moya</v>
      </c>
      <c r="F182" s="315" t="str">
        <f t="array" ref="F182">IF(B182=100,"Free",TEXT(XLOOKUP($D182,OperationVoice!$A:$A,OperationVoice!H:H,XLOOKUP($D182,OperationTickets!$A:$A,OperationTickets!H:H,"",0)),"hh:mm"))</f>
        <v>11:00</v>
      </c>
      <c r="G182" s="309">
        <f t="shared" si="3"/>
        <v>0.8333333333</v>
      </c>
      <c r="H182" s="316" t="str">
        <f t="array" ref="H182">XLOOKUP(B182,Roster!L:L,Roster!N:N,XLOOKUP(D182,TicketsBreak!A:A,TicketsBreak!E:E,"",0),0)</f>
        <v>13:15 - 13:30</v>
      </c>
      <c r="I182" s="316" t="str">
        <f t="array" ref="I182">XLOOKUP(B182,Roster!L:L,Roster!O:O,XLOOKUP(D182,TicketsBreak!A:A,TicketsBreak!F:F,"",0),0)</f>
        <v>15:45 - 16:15</v>
      </c>
      <c r="J182" s="316" t="str">
        <f t="array" ref="J182">XLOOKUP(B182,Roster!L:L,Roster!P:P,XLOOKUP(D182,TicketsBreak!A:A,TicketsBreak!G:G,"",0),0)</f>
        <v>18:15 - 18:30</v>
      </c>
      <c r="K182" s="310">
        <f t="shared" si="4"/>
        <v>46114</v>
      </c>
      <c r="L182" s="317">
        <f t="array" ref="L182">(XLOOKUP(D182,Roster!F:F,Roster!D:D,"",0))</f>
        <v>36</v>
      </c>
      <c r="M182" s="317" t="str">
        <f t="array" ref="M182">XLOOKUP(D182,Roster!F:F,Roster!E:E)</f>
        <v>Voice</v>
      </c>
      <c r="N182" s="317" t="str">
        <f t="shared" ref="N182:P182" si="189">LEFT(H182,5)</f>
        <v>13:15</v>
      </c>
      <c r="O182" s="317" t="str">
        <f t="shared" si="189"/>
        <v>15:45</v>
      </c>
      <c r="P182" s="317" t="str">
        <f t="shared" si="189"/>
        <v>18:15</v>
      </c>
      <c r="Q182" s="318">
        <f t="shared" si="98"/>
        <v>46114.55208</v>
      </c>
      <c r="R182" s="318">
        <f t="shared" si="99"/>
        <v>46114.65625</v>
      </c>
      <c r="S182" s="318">
        <f t="shared" si="8"/>
        <v>46114.76042</v>
      </c>
    </row>
    <row r="183">
      <c r="A183" s="14" t="str">
        <f t="shared" si="1"/>
        <v>C86046114</v>
      </c>
      <c r="B183" s="185" t="str">
        <f t="array" ref="B183">IF(F183="VL","",IF(F183="Free","Free",XLOOKUP(D183,Roster!T:T,Roster!S:S,"",0)))</f>
        <v/>
      </c>
      <c r="C183" s="313">
        <v>46114.0</v>
      </c>
      <c r="D183" s="314" t="s">
        <v>158</v>
      </c>
      <c r="E183" s="307" t="str">
        <f t="array" ref="E183">(XLOOKUP(D183,Roster!F:F,Roster!B:B,"",0))</f>
        <v>Ief Fabre</v>
      </c>
      <c r="F183" s="315" t="str">
        <f t="array" ref="F183">IF(B183=100,"Free",TEXT(XLOOKUP($D183,OperationVoice!$A:$A,OperationVoice!H:H,XLOOKUP($D183,OperationTickets!$A:$A,OperationTickets!H:H,"",0)),"hh:mm"))</f>
        <v>08:00</v>
      </c>
      <c r="G183" s="309">
        <f t="shared" si="3"/>
        <v>0.7083333333</v>
      </c>
      <c r="H183" s="316">
        <f t="array" ref="H183">XLOOKUP(B183,Roster!L:L,Roster!N:N,XLOOKUP(D183,TicketsBreak!A:A,TicketsBreak!E:E,"",0),0)</f>
        <v>0.4166666667</v>
      </c>
      <c r="I183" s="316">
        <f t="array" ref="I183">XLOOKUP(B183,Roster!L:L,Roster!O:O,XLOOKUP(D183,TicketsBreak!A:A,TicketsBreak!F:F,"",0),0)</f>
        <v>0.5</v>
      </c>
      <c r="J183" s="316">
        <f t="array" ref="J183">XLOOKUP(B183,Roster!L:L,Roster!P:P,XLOOKUP(D183,TicketsBreak!A:A,TicketsBreak!G:G,"",0),0)</f>
        <v>0.625</v>
      </c>
      <c r="K183" s="310">
        <f t="shared" si="4"/>
        <v>46114</v>
      </c>
      <c r="L183" s="317">
        <f t="array" ref="L183">(XLOOKUP(D183,Roster!F:F,Roster!D:D,"",0))</f>
        <v>10</v>
      </c>
      <c r="M183" s="317" t="str">
        <f t="array" ref="M183">XLOOKUP(D183,Roster!F:F,Roster!E:E)</f>
        <v>Tickets</v>
      </c>
      <c r="N183" s="317" t="str">
        <f t="shared" ref="N183:P183" si="190">LEFT(H183,5)</f>
        <v>10:00</v>
      </c>
      <c r="O183" s="317" t="str">
        <f t="shared" si="190"/>
        <v>12:00</v>
      </c>
      <c r="P183" s="317" t="str">
        <f t="shared" si="190"/>
        <v>15:00</v>
      </c>
      <c r="Q183" s="318">
        <f t="shared" si="98"/>
        <v>46114.41667</v>
      </c>
      <c r="R183" s="318">
        <f t="shared" si="99"/>
        <v>46114.5</v>
      </c>
      <c r="S183" s="318">
        <f t="shared" si="8"/>
        <v>46114.625</v>
      </c>
    </row>
    <row r="184">
      <c r="A184" s="14" t="str">
        <f t="shared" si="1"/>
        <v>C148146114</v>
      </c>
      <c r="B184" s="185">
        <f t="array" ref="B184">IF(F184="VL","",IF(F184="Free","Free",XLOOKUP(D184,Roster!T:T,Roster!S:S,"",0)))</f>
        <v>155</v>
      </c>
      <c r="C184" s="313">
        <v>46114.0</v>
      </c>
      <c r="D184" s="314" t="s">
        <v>34</v>
      </c>
      <c r="E184" s="307" t="str">
        <f t="array" ref="E184">(XLOOKUP(D184,Roster!F:F,Roster!B:B,"",0))</f>
        <v>Jasam Mejia</v>
      </c>
      <c r="F184" s="315" t="str">
        <f t="array" ref="F184">IF(B184=100,"Free",TEXT(XLOOKUP($D184,OperationVoice!$A:$A,OperationVoice!H:H,XLOOKUP($D184,OperationTickets!$A:$A,OperationTickets!H:H,"",0)),"hh:mm"))</f>
        <v>11:00</v>
      </c>
      <c r="G184" s="309">
        <f t="shared" si="3"/>
        <v>0.8333333333</v>
      </c>
      <c r="H184" s="316" t="str">
        <f t="array" ref="H184">XLOOKUP(B184,Roster!L:L,Roster!N:N,XLOOKUP(D184,TicketsBreak!A:A,TicketsBreak!E:E,"",0),0)</f>
        <v>13:15 - 13:30</v>
      </c>
      <c r="I184" s="316" t="str">
        <f t="array" ref="I184">XLOOKUP(B184,Roster!L:L,Roster!O:O,XLOOKUP(D184,TicketsBreak!A:A,TicketsBreak!F:F,"",0),0)</f>
        <v>15:45 - 16:15</v>
      </c>
      <c r="J184" s="316" t="str">
        <f t="array" ref="J184">XLOOKUP(B184,Roster!L:L,Roster!P:P,XLOOKUP(D184,TicketsBreak!A:A,TicketsBreak!G:G,"",0),0)</f>
        <v>18:15 - 18:30</v>
      </c>
      <c r="K184" s="310">
        <f t="shared" si="4"/>
        <v>46114</v>
      </c>
      <c r="L184" s="317">
        <f t="array" ref="L184">(XLOOKUP(D184,Roster!F:F,Roster!D:D,"",0))</f>
        <v>34</v>
      </c>
      <c r="M184" s="317" t="str">
        <f t="array" ref="M184">XLOOKUP(D184,Roster!F:F,Roster!E:E)</f>
        <v>Voice</v>
      </c>
      <c r="N184" s="317" t="str">
        <f t="shared" ref="N184:P184" si="191">LEFT(H184,5)</f>
        <v>13:15</v>
      </c>
      <c r="O184" s="317" t="str">
        <f t="shared" si="191"/>
        <v>15:45</v>
      </c>
      <c r="P184" s="317" t="str">
        <f t="shared" si="191"/>
        <v>18:15</v>
      </c>
      <c r="Q184" s="318">
        <f t="shared" si="98"/>
        <v>46114.55208</v>
      </c>
      <c r="R184" s="318">
        <f t="shared" si="99"/>
        <v>46114.65625</v>
      </c>
      <c r="S184" s="318">
        <f t="shared" si="8"/>
        <v>46114.76042</v>
      </c>
    </row>
    <row r="185">
      <c r="A185" s="14" t="str">
        <f t="shared" si="1"/>
        <v>C131846114</v>
      </c>
      <c r="B185" s="185" t="str">
        <f t="array" ref="B185">IF(F185="VL","",IF(F185="Free","Free",XLOOKUP(D185,Roster!T:T,Roster!S:S,"",0)))</f>
        <v>Free</v>
      </c>
      <c r="C185" s="313">
        <v>46114.0</v>
      </c>
      <c r="D185" s="314" t="s">
        <v>159</v>
      </c>
      <c r="E185" s="307" t="str">
        <f t="array" ref="E185">(XLOOKUP(D185,Roster!F:F,Roster!B:B,"",0))</f>
        <v>Jeampierre Jaramillo</v>
      </c>
      <c r="F185" s="315" t="str">
        <f t="array" ref="F185">IF(B185=100,"Free",TEXT(XLOOKUP($D185,OperationVoice!$A:$A,OperationVoice!H:H,XLOOKUP($D185,OperationTickets!$A:$A,OperationTickets!H:H,"",0)),"hh:mm"))</f>
        <v>Free</v>
      </c>
      <c r="G185" s="309" t="str">
        <f t="shared" si="3"/>
        <v>Free</v>
      </c>
      <c r="H185" s="316" t="str">
        <f t="array" ref="H185">XLOOKUP(B185,Roster!L:L,Roster!N:N,XLOOKUP(D185,TicketsBreak!A:A,TicketsBreak!E:E,"",0),0)</f>
        <v/>
      </c>
      <c r="I185" s="316" t="str">
        <f t="array" ref="I185">XLOOKUP(B185,Roster!L:L,Roster!O:O,XLOOKUP(D185,TicketsBreak!A:A,TicketsBreak!F:F,"",0),0)</f>
        <v/>
      </c>
      <c r="J185" s="316" t="str">
        <f t="array" ref="J185">XLOOKUP(B185,Roster!L:L,Roster!P:P,XLOOKUP(D185,TicketsBreak!A:A,TicketsBreak!G:G,"",0),0)</f>
        <v/>
      </c>
      <c r="K185" s="310">
        <f t="shared" si="4"/>
        <v>46114</v>
      </c>
      <c r="L185" s="317">
        <f t="array" ref="L185">(XLOOKUP(D185,Roster!F:F,Roster!D:D,"",0))</f>
        <v>29</v>
      </c>
      <c r="M185" s="317" t="str">
        <f t="array" ref="M185">XLOOKUP(D185,Roster!F:F,Roster!E:E)</f>
        <v>Tickets</v>
      </c>
      <c r="N185" s="317" t="str">
        <f t="shared" ref="N185:P185" si="192">LEFT(H185,5)</f>
        <v/>
      </c>
      <c r="O185" s="317" t="str">
        <f t="shared" si="192"/>
        <v/>
      </c>
      <c r="P185" s="317" t="str">
        <f t="shared" si="192"/>
        <v/>
      </c>
      <c r="Q185" s="318" t="str">
        <f t="shared" si="98"/>
        <v/>
      </c>
      <c r="R185" s="318" t="str">
        <f t="shared" si="99"/>
        <v/>
      </c>
      <c r="S185" s="318" t="str">
        <f t="shared" si="8"/>
        <v/>
      </c>
    </row>
    <row r="186">
      <c r="A186" s="14" t="str">
        <f t="shared" si="1"/>
        <v>C155046114</v>
      </c>
      <c r="B186" s="185">
        <f t="array" ref="B186">IF(F186="VL","",IF(F186="Free","Free",XLOOKUP(D186,Roster!T:T,Roster!S:S,"",0)))</f>
        <v>126</v>
      </c>
      <c r="C186" s="313">
        <v>46114.0</v>
      </c>
      <c r="D186" s="314" t="s">
        <v>35</v>
      </c>
      <c r="E186" s="307" t="str">
        <f t="array" ref="E186">(XLOOKUP(D186,Roster!F:F,Roster!B:B,"",0))</f>
        <v>Jeidin Vargas</v>
      </c>
      <c r="F186" s="315" t="str">
        <f t="array" ref="F186">IF(B186=100,"Free",TEXT(XLOOKUP($D186,OperationVoice!$A:$A,OperationVoice!H:H,XLOOKUP($D186,OperationTickets!$A:$A,OperationTickets!H:H,"",0)),"hh:mm"))</f>
        <v>08:00</v>
      </c>
      <c r="G186" s="309">
        <f t="shared" si="3"/>
        <v>0.7083333333</v>
      </c>
      <c r="H186" s="316" t="str">
        <f t="array" ref="H186">XLOOKUP(B186,Roster!L:L,Roster!N:N,XLOOKUP(D186,TicketsBreak!A:A,TicketsBreak!E:E,"",0),0)</f>
        <v>10:45 - 11:00</v>
      </c>
      <c r="I186" s="316" t="str">
        <f t="array" ref="I186">XLOOKUP(B186,Roster!L:L,Roster!O:O,XLOOKUP(D186,TicketsBreak!A:A,TicketsBreak!F:F,"",0),0)</f>
        <v>14:00 - 14:30</v>
      </c>
      <c r="J186" s="316" t="str">
        <f t="array" ref="J186">XLOOKUP(B186,Roster!L:L,Roster!P:P,XLOOKUP(D186,TicketsBreak!A:A,TicketsBreak!G:G,"",0),0)</f>
        <v>15:45 - 16:00</v>
      </c>
      <c r="K186" s="310">
        <f t="shared" si="4"/>
        <v>46114</v>
      </c>
      <c r="L186" s="317">
        <f t="array" ref="L186">(XLOOKUP(D186,Roster!F:F,Roster!D:D,"",0))</f>
        <v>37</v>
      </c>
      <c r="M186" s="317" t="str">
        <f t="array" ref="M186">XLOOKUP(D186,Roster!F:F,Roster!E:E)</f>
        <v>Voice</v>
      </c>
      <c r="N186" s="317" t="str">
        <f t="shared" ref="N186:P186" si="193">LEFT(H186,5)</f>
        <v>10:45</v>
      </c>
      <c r="O186" s="317" t="str">
        <f t="shared" si="193"/>
        <v>14:00</v>
      </c>
      <c r="P186" s="317" t="str">
        <f t="shared" si="193"/>
        <v>15:45</v>
      </c>
      <c r="Q186" s="318">
        <f t="shared" si="98"/>
        <v>46114.44792</v>
      </c>
      <c r="R186" s="318">
        <f t="shared" si="99"/>
        <v>46114.58333</v>
      </c>
      <c r="S186" s="318">
        <f t="shared" si="8"/>
        <v>46114.65625</v>
      </c>
    </row>
    <row r="187">
      <c r="A187" s="14" t="str">
        <f t="shared" si="1"/>
        <v>C51246114</v>
      </c>
      <c r="B187" s="185">
        <f t="array" ref="B187">IF(F187="VL","",IF(F187="Free","Free",XLOOKUP(D187,Roster!T:T,Roster!S:S,"",0)))</f>
        <v>122</v>
      </c>
      <c r="C187" s="313">
        <v>46114.0</v>
      </c>
      <c r="D187" s="314" t="s">
        <v>36</v>
      </c>
      <c r="E187" s="307" t="str">
        <f t="array" ref="E187">(XLOOKUP(D187,Roster!F:F,Roster!B:B,"",0))</f>
        <v>Jhoam Quiroz</v>
      </c>
      <c r="F187" s="315" t="str">
        <f t="array" ref="F187">IF(B187=100,"Free",TEXT(XLOOKUP($D187,OperationVoice!$A:$A,OperationVoice!H:H,XLOOKUP($D187,OperationTickets!$A:$A,OperationTickets!H:H,"",0)),"hh:mm"))</f>
        <v>08:00</v>
      </c>
      <c r="G187" s="309">
        <f t="shared" si="3"/>
        <v>0.7083333333</v>
      </c>
      <c r="H187" s="316" t="str">
        <f t="array" ref="H187">XLOOKUP(B187,Roster!L:L,Roster!N:N,XLOOKUP(D187,TicketsBreak!A:A,TicketsBreak!E:E,"",0),0)</f>
        <v>09:30 - 09:45</v>
      </c>
      <c r="I187" s="316" t="str">
        <f t="array" ref="I187">XLOOKUP(B187,Roster!L:L,Roster!O:O,XLOOKUP(D187,TicketsBreak!A:A,TicketsBreak!F:F,"",0),0)</f>
        <v>12:00 - 12:30</v>
      </c>
      <c r="J187" s="316" t="str">
        <f t="array" ref="J187">XLOOKUP(B187,Roster!L:L,Roster!P:P,XLOOKUP(D187,TicketsBreak!A:A,TicketsBreak!G:G,"",0),0)</f>
        <v>14:45 - 15:00</v>
      </c>
      <c r="K187" s="310">
        <f t="shared" si="4"/>
        <v>46114</v>
      </c>
      <c r="L187" s="317">
        <f t="array" ref="L187">(XLOOKUP(D187,Roster!F:F,Roster!D:D,"",0))</f>
        <v>1</v>
      </c>
      <c r="M187" s="317" t="str">
        <f t="array" ref="M187">XLOOKUP(D187,Roster!F:F,Roster!E:E)</f>
        <v>Voice</v>
      </c>
      <c r="N187" s="317" t="str">
        <f t="shared" ref="N187:P187" si="194">LEFT(H187,5)</f>
        <v>09:30</v>
      </c>
      <c r="O187" s="317" t="str">
        <f t="shared" si="194"/>
        <v>12:00</v>
      </c>
      <c r="P187" s="317" t="str">
        <f t="shared" si="194"/>
        <v>14:45</v>
      </c>
      <c r="Q187" s="318">
        <f t="shared" si="98"/>
        <v>46114.39583</v>
      </c>
      <c r="R187" s="318">
        <f t="shared" si="99"/>
        <v>46114.5</v>
      </c>
      <c r="S187" s="318">
        <f t="shared" si="8"/>
        <v>46114.61458</v>
      </c>
    </row>
    <row r="188">
      <c r="A188" s="14" t="str">
        <f t="shared" si="1"/>
        <v>C150946114</v>
      </c>
      <c r="B188" s="185" t="str">
        <f t="array" ref="B188">IF(F188="VL","",IF(F188="Free","Free",XLOOKUP(D188,Roster!T:T,Roster!S:S,"",0)))</f>
        <v>Free</v>
      </c>
      <c r="C188" s="313">
        <v>46114.0</v>
      </c>
      <c r="D188" s="314" t="s">
        <v>37</v>
      </c>
      <c r="E188" s="307" t="str">
        <f t="array" ref="E188">(XLOOKUP(D188,Roster!F:F,Roster!B:B,"",0))</f>
        <v>Jhonatan Gomez</v>
      </c>
      <c r="F188" s="315" t="str">
        <f t="array" ref="F188">IF(B188=100,"Free",TEXT(XLOOKUP($D188,OperationVoice!$A:$A,OperationVoice!H:H,XLOOKUP($D188,OperationTickets!$A:$A,OperationTickets!H:H,"",0)),"hh:mm"))</f>
        <v>Free</v>
      </c>
      <c r="G188" s="309" t="str">
        <f t="shared" si="3"/>
        <v>Free</v>
      </c>
      <c r="H188" s="316" t="str">
        <f t="array" ref="H188">XLOOKUP(B188,Roster!L:L,Roster!N:N,XLOOKUP(D188,TicketsBreak!A:A,TicketsBreak!E:E,"",0),0)</f>
        <v/>
      </c>
      <c r="I188" s="316" t="str">
        <f t="array" ref="I188">XLOOKUP(B188,Roster!L:L,Roster!O:O,XLOOKUP(D188,TicketsBreak!A:A,TicketsBreak!F:F,"",0),0)</f>
        <v/>
      </c>
      <c r="J188" s="316" t="str">
        <f t="array" ref="J188">XLOOKUP(B188,Roster!L:L,Roster!P:P,XLOOKUP(D188,TicketsBreak!A:A,TicketsBreak!G:G,"",0),0)</f>
        <v/>
      </c>
      <c r="K188" s="310">
        <f t="shared" si="4"/>
        <v>46114</v>
      </c>
      <c r="L188" s="317">
        <f t="array" ref="L188">(XLOOKUP(D188,Roster!F:F,Roster!D:D,"",0))</f>
        <v>35</v>
      </c>
      <c r="M188" s="317" t="str">
        <f t="array" ref="M188">XLOOKUP(D188,Roster!F:F,Roster!E:E)</f>
        <v>Voice</v>
      </c>
      <c r="N188" s="317" t="str">
        <f t="shared" ref="N188:P188" si="195">LEFT(H188,5)</f>
        <v/>
      </c>
      <c r="O188" s="317" t="str">
        <f t="shared" si="195"/>
        <v/>
      </c>
      <c r="P188" s="317" t="str">
        <f t="shared" si="195"/>
        <v/>
      </c>
      <c r="Q188" s="318" t="str">
        <f t="shared" si="98"/>
        <v/>
      </c>
      <c r="R188" s="318" t="str">
        <f t="shared" si="99"/>
        <v/>
      </c>
      <c r="S188" s="318" t="str">
        <f t="shared" si="8"/>
        <v/>
      </c>
    </row>
    <row r="189">
      <c r="A189" s="14" t="str">
        <f t="shared" si="1"/>
        <v>C151546114</v>
      </c>
      <c r="B189" s="185">
        <f t="array" ref="B189">IF(F189="VL","",IF(F189="Free","Free",XLOOKUP(D189,Roster!T:T,Roster!S:S,"",0)))</f>
        <v>151</v>
      </c>
      <c r="C189" s="313">
        <v>46114.0</v>
      </c>
      <c r="D189" s="314" t="s">
        <v>38</v>
      </c>
      <c r="E189" s="307" t="str">
        <f t="array" ref="E189">(XLOOKUP(D189,Roster!F:F,Roster!B:B,"",0))</f>
        <v>Joan Perez</v>
      </c>
      <c r="F189" s="315" t="str">
        <f t="array" ref="F189">IF(B189=100,"Free",TEXT(XLOOKUP($D189,OperationVoice!$A:$A,OperationVoice!H:H,XLOOKUP($D189,OperationTickets!$A:$A,OperationTickets!H:H,"",0)),"hh:mm"))</f>
        <v/>
      </c>
      <c r="G189" s="309" t="str">
        <f t="shared" si="3"/>
        <v/>
      </c>
      <c r="H189" s="316" t="str">
        <f t="array" ref="H189">XLOOKUP(B189,Roster!L:L,Roster!N:N,XLOOKUP(D189,TicketsBreak!A:A,TicketsBreak!E:E,"",0),0)</f>
        <v>12:15 - 12:30</v>
      </c>
      <c r="I189" s="316" t="str">
        <f t="array" ref="I189">XLOOKUP(B189,Roster!L:L,Roster!O:O,XLOOKUP(D189,TicketsBreak!A:A,TicketsBreak!F:F,"",0),0)</f>
        <v>14:00 - 14:30</v>
      </c>
      <c r="J189" s="316" t="str">
        <f t="array" ref="J189">XLOOKUP(B189,Roster!L:L,Roster!P:P,XLOOKUP(D189,TicketsBreak!A:A,TicketsBreak!G:G,"",0),0)</f>
        <v>17:15 - 17:30</v>
      </c>
      <c r="K189" s="310">
        <f t="shared" si="4"/>
        <v>46114</v>
      </c>
      <c r="L189" s="317">
        <f t="array" ref="L189">(XLOOKUP(D189,Roster!F:F,Roster!D:D,"",0))</f>
        <v>35</v>
      </c>
      <c r="M189" s="317" t="str">
        <f t="array" ref="M189">XLOOKUP(D189,Roster!F:F,Roster!E:E)</f>
        <v>Voice</v>
      </c>
      <c r="N189" s="317" t="str">
        <f t="shared" ref="N189:P189" si="196">LEFT(H189,5)</f>
        <v>12:15</v>
      </c>
      <c r="O189" s="317" t="str">
        <f t="shared" si="196"/>
        <v>14:00</v>
      </c>
      <c r="P189" s="317" t="str">
        <f t="shared" si="196"/>
        <v>17:15</v>
      </c>
      <c r="Q189" s="318">
        <f t="shared" si="98"/>
        <v>46114.51042</v>
      </c>
      <c r="R189" s="318">
        <f t="shared" si="99"/>
        <v>46114.58333</v>
      </c>
      <c r="S189" s="318">
        <f t="shared" si="8"/>
        <v>46114.71875</v>
      </c>
    </row>
    <row r="190">
      <c r="A190" s="14" t="str">
        <f t="shared" si="1"/>
        <v>C128946114</v>
      </c>
      <c r="B190" s="185" t="str">
        <f t="array" ref="B190">IF(F190="VL","",IF(F190="Free","Free",XLOOKUP(D190,Roster!T:T,Roster!S:S,"",0)))</f>
        <v/>
      </c>
      <c r="C190" s="313">
        <v>46114.0</v>
      </c>
      <c r="D190" s="314" t="s">
        <v>140</v>
      </c>
      <c r="E190" s="307" t="str">
        <f t="array" ref="E190">(XLOOKUP(D190,Roster!F:F,Roster!B:B,"",0))</f>
        <v>Johana Villarreal</v>
      </c>
      <c r="F190" s="315" t="str">
        <f t="array" ref="F190">IF(B190=100,"Free",TEXT(XLOOKUP($D190,OperationVoice!$A:$A,OperationVoice!H:H,XLOOKUP($D190,OperationTickets!$A:$A,OperationTickets!H:H,"",0)),"hh:mm"))</f>
        <v>07:00</v>
      </c>
      <c r="G190" s="309">
        <f t="shared" si="3"/>
        <v>0.6666666667</v>
      </c>
      <c r="H190" s="316" t="str">
        <f t="array" ref="H190">XLOOKUP(B190,Roster!L:L,Roster!N:N,XLOOKUP(D190,TicketsBreak!A:A,TicketsBreak!E:E,"",0),0)</f>
        <v/>
      </c>
      <c r="I190" s="316" t="str">
        <f t="array" ref="I190">XLOOKUP(B190,Roster!L:L,Roster!O:O,XLOOKUP(D190,TicketsBreak!A:A,TicketsBreak!F:F,"",0),0)</f>
        <v/>
      </c>
      <c r="J190" s="316" t="str">
        <f t="array" ref="J190">XLOOKUP(B190,Roster!L:L,Roster!P:P,XLOOKUP(D190,TicketsBreak!A:A,TicketsBreak!G:G,"",0),0)</f>
        <v/>
      </c>
      <c r="K190" s="310">
        <f t="shared" si="4"/>
        <v>46114</v>
      </c>
      <c r="L190" s="317">
        <f t="array" ref="L190">(XLOOKUP(D190,Roster!F:F,Roster!D:D,"",0))</f>
        <v>28</v>
      </c>
      <c r="M190" s="317" t="str">
        <f t="array" ref="M190">XLOOKUP(D190,Roster!F:F,Roster!E:E)</f>
        <v>Tickets</v>
      </c>
      <c r="N190" s="317" t="str">
        <f t="shared" ref="N190:P190" si="197">LEFT(H190,5)</f>
        <v/>
      </c>
      <c r="O190" s="317" t="str">
        <f t="shared" si="197"/>
        <v/>
      </c>
      <c r="P190" s="317" t="str">
        <f t="shared" si="197"/>
        <v/>
      </c>
      <c r="Q190" s="318" t="str">
        <f t="shared" si="98"/>
        <v/>
      </c>
      <c r="R190" s="318" t="str">
        <f t="shared" si="99"/>
        <v/>
      </c>
      <c r="S190" s="318" t="str">
        <f t="shared" si="8"/>
        <v/>
      </c>
    </row>
    <row r="191">
      <c r="A191" s="14" t="str">
        <f t="shared" si="1"/>
        <v>C155146114</v>
      </c>
      <c r="B191" s="185">
        <f t="array" ref="B191">IF(F191="VL","",IF(F191="Free","Free",XLOOKUP(D191,Roster!T:T,Roster!S:S,"",0)))</f>
        <v>124</v>
      </c>
      <c r="C191" s="313">
        <v>46114.0</v>
      </c>
      <c r="D191" s="314" t="s">
        <v>39</v>
      </c>
      <c r="E191" s="307" t="str">
        <f t="array" ref="E191">(XLOOKUP(D191,Roster!F:F,Roster!B:B,"",0))</f>
        <v>John Atilano</v>
      </c>
      <c r="F191" s="315" t="str">
        <f t="array" ref="F191">IF(B191=100,"Free",TEXT(XLOOKUP($D191,OperationVoice!$A:$A,OperationVoice!H:H,XLOOKUP($D191,OperationTickets!$A:$A,OperationTickets!H:H,"",0)),"hh:mm"))</f>
        <v>08:00</v>
      </c>
      <c r="G191" s="309">
        <f t="shared" si="3"/>
        <v>0.7083333333</v>
      </c>
      <c r="H191" s="316" t="str">
        <f t="array" ref="H191">XLOOKUP(B191,Roster!L:L,Roster!N:N,XLOOKUP(D191,TicketsBreak!A:A,TicketsBreak!E:E,"",0),0)</f>
        <v>10:00 - 10:15</v>
      </c>
      <c r="I191" s="316" t="str">
        <f t="array" ref="I191">XLOOKUP(B191,Roster!L:L,Roster!O:O,XLOOKUP(D191,TicketsBreak!A:A,TicketsBreak!F:F,"",0),0)</f>
        <v>13:00 - 13:30</v>
      </c>
      <c r="J191" s="316" t="str">
        <f t="array" ref="J191">XLOOKUP(B191,Roster!L:L,Roster!P:P,XLOOKUP(D191,TicketsBreak!A:A,TicketsBreak!G:G,"",0),0)</f>
        <v>15:30 - 15:45</v>
      </c>
      <c r="K191" s="310">
        <f t="shared" si="4"/>
        <v>46114</v>
      </c>
      <c r="L191" s="317">
        <f t="array" ref="L191">(XLOOKUP(D191,Roster!F:F,Roster!D:D,"",0))</f>
        <v>37</v>
      </c>
      <c r="M191" s="317" t="str">
        <f t="array" ref="M191">XLOOKUP(D191,Roster!F:F,Roster!E:E)</f>
        <v>Voice</v>
      </c>
      <c r="N191" s="317" t="str">
        <f t="shared" ref="N191:P191" si="198">LEFT(H191,5)</f>
        <v>10:00</v>
      </c>
      <c r="O191" s="317" t="str">
        <f t="shared" si="198"/>
        <v>13:00</v>
      </c>
      <c r="P191" s="317" t="str">
        <f t="shared" si="198"/>
        <v>15:30</v>
      </c>
      <c r="Q191" s="318">
        <f t="shared" si="98"/>
        <v>46114.41667</v>
      </c>
      <c r="R191" s="318">
        <f t="shared" si="99"/>
        <v>46114.54167</v>
      </c>
      <c r="S191" s="318">
        <f t="shared" si="8"/>
        <v>46114.64583</v>
      </c>
    </row>
    <row r="192">
      <c r="A192" s="14" t="str">
        <f t="shared" si="1"/>
        <v>C154346114</v>
      </c>
      <c r="B192" s="185">
        <f t="array" ref="B192">IF(F192="VL","",IF(F192="Free","Free",XLOOKUP(D192,Roster!T:T,Roster!S:S,"",0)))</f>
        <v>134</v>
      </c>
      <c r="C192" s="313">
        <v>46114.0</v>
      </c>
      <c r="D192" s="314" t="s">
        <v>40</v>
      </c>
      <c r="E192" s="307" t="str">
        <f t="array" ref="E192">(XLOOKUP(D192,Roster!F:F,Roster!B:B,"",0))</f>
        <v>John Palacio</v>
      </c>
      <c r="F192" s="315" t="str">
        <f t="array" ref="F192">IF(B192=100,"Free",TEXT(XLOOKUP($D192,OperationVoice!$A:$A,OperationVoice!H:H,XLOOKUP($D192,OperationTickets!$A:$A,OperationTickets!H:H,"",0)),"hh:mm"))</f>
        <v>09:00</v>
      </c>
      <c r="G192" s="309">
        <f t="shared" si="3"/>
        <v>0.75</v>
      </c>
      <c r="H192" s="316" t="str">
        <f t="array" ref="H192">XLOOKUP(B192,Roster!L:L,Roster!N:N,XLOOKUP(D192,TicketsBreak!A:A,TicketsBreak!E:E,"",0),0)</f>
        <v>11:00 - 11:15</v>
      </c>
      <c r="I192" s="316" t="str">
        <f t="array" ref="I192">XLOOKUP(B192,Roster!L:L,Roster!O:O,XLOOKUP(D192,TicketsBreak!A:A,TicketsBreak!F:F,"",0),0)</f>
        <v>13:45 - 14:15</v>
      </c>
      <c r="J192" s="316" t="str">
        <f t="array" ref="J192">XLOOKUP(B192,Roster!L:L,Roster!P:P,XLOOKUP(D192,TicketsBreak!A:A,TicketsBreak!G:G,"",0),0)</f>
        <v>16:00 - 16:15</v>
      </c>
      <c r="K192" s="310">
        <f t="shared" si="4"/>
        <v>46114</v>
      </c>
      <c r="L192" s="317">
        <f t="array" ref="L192">(XLOOKUP(D192,Roster!F:F,Roster!D:D,"",0))</f>
        <v>36</v>
      </c>
      <c r="M192" s="317" t="str">
        <f t="array" ref="M192">XLOOKUP(D192,Roster!F:F,Roster!E:E)</f>
        <v>Voice</v>
      </c>
      <c r="N192" s="317" t="str">
        <f t="shared" ref="N192:P192" si="199">LEFT(H192,5)</f>
        <v>11:00</v>
      </c>
      <c r="O192" s="317" t="str">
        <f t="shared" si="199"/>
        <v>13:45</v>
      </c>
      <c r="P192" s="317" t="str">
        <f t="shared" si="199"/>
        <v>16:00</v>
      </c>
      <c r="Q192" s="318">
        <f t="shared" si="98"/>
        <v>46114.45833</v>
      </c>
      <c r="R192" s="318">
        <f t="shared" si="99"/>
        <v>46114.57292</v>
      </c>
      <c r="S192" s="318">
        <f t="shared" si="8"/>
        <v>46114.66667</v>
      </c>
    </row>
    <row r="193">
      <c r="A193" s="14" t="str">
        <f t="shared" si="1"/>
        <v>C154246114</v>
      </c>
      <c r="B193" s="185">
        <f t="array" ref="B193">IF(F193="VL","",IF(F193="Free","Free",XLOOKUP(D193,Roster!T:T,Roster!S:S,"",0)))</f>
        <v>124</v>
      </c>
      <c r="C193" s="313">
        <v>46114.0</v>
      </c>
      <c r="D193" s="314" t="s">
        <v>41</v>
      </c>
      <c r="E193" s="307" t="str">
        <f t="array" ref="E193">(XLOOKUP(D193,Roster!F:F,Roster!B:B,"",0))</f>
        <v>Johny Garcia</v>
      </c>
      <c r="F193" s="315" t="str">
        <f t="array" ref="F193">IF(B193=100,"Free",TEXT(XLOOKUP($D193,OperationVoice!$A:$A,OperationVoice!H:H,XLOOKUP($D193,OperationTickets!$A:$A,OperationTickets!H:H,"",0)),"hh:mm"))</f>
        <v>08:00</v>
      </c>
      <c r="G193" s="309">
        <f t="shared" si="3"/>
        <v>0.7083333333</v>
      </c>
      <c r="H193" s="316" t="str">
        <f t="array" ref="H193">XLOOKUP(B193,Roster!L:L,Roster!N:N,XLOOKUP(D193,TicketsBreak!A:A,TicketsBreak!E:E,"",0),0)</f>
        <v>10:00 - 10:15</v>
      </c>
      <c r="I193" s="316" t="str">
        <f t="array" ref="I193">XLOOKUP(B193,Roster!L:L,Roster!O:O,XLOOKUP(D193,TicketsBreak!A:A,TicketsBreak!F:F,"",0),0)</f>
        <v>13:00 - 13:30</v>
      </c>
      <c r="J193" s="316" t="str">
        <f t="array" ref="J193">XLOOKUP(B193,Roster!L:L,Roster!P:P,XLOOKUP(D193,TicketsBreak!A:A,TicketsBreak!G:G,"",0),0)</f>
        <v>15:30 - 15:45</v>
      </c>
      <c r="K193" s="310">
        <f t="shared" si="4"/>
        <v>46114</v>
      </c>
      <c r="L193" s="317">
        <f t="array" ref="L193">(XLOOKUP(D193,Roster!F:F,Roster!D:D,"",0))</f>
        <v>36</v>
      </c>
      <c r="M193" s="317" t="str">
        <f t="array" ref="M193">XLOOKUP(D193,Roster!F:F,Roster!E:E)</f>
        <v>Voice</v>
      </c>
      <c r="N193" s="317" t="str">
        <f t="shared" ref="N193:P193" si="200">LEFT(H193,5)</f>
        <v>10:00</v>
      </c>
      <c r="O193" s="317" t="str">
        <f t="shared" si="200"/>
        <v>13:00</v>
      </c>
      <c r="P193" s="317" t="str">
        <f t="shared" si="200"/>
        <v>15:30</v>
      </c>
      <c r="Q193" s="318">
        <f t="shared" si="98"/>
        <v>46114.41667</v>
      </c>
      <c r="R193" s="318">
        <f t="shared" si="99"/>
        <v>46114.54167</v>
      </c>
      <c r="S193" s="318">
        <f t="shared" si="8"/>
        <v>46114.64583</v>
      </c>
    </row>
    <row r="194">
      <c r="A194" s="14" t="str">
        <f t="shared" si="1"/>
        <v>C156946114</v>
      </c>
      <c r="B194" s="185" t="str">
        <f t="array" ref="B194">IF(F194="VL","",IF(F194="Free","Free",XLOOKUP(D194,Roster!T:T,Roster!S:S,"",0)))</f>
        <v>Free</v>
      </c>
      <c r="C194" s="313">
        <v>46114.0</v>
      </c>
      <c r="D194" s="314" t="s">
        <v>42</v>
      </c>
      <c r="E194" s="307" t="str">
        <f t="array" ref="E194">(XLOOKUP(D194,Roster!F:F,Roster!B:B,"",0))</f>
        <v>Jorge Orozco</v>
      </c>
      <c r="F194" s="315" t="str">
        <f t="array" ref="F194">IF(B194=100,"Free",TEXT(XLOOKUP($D194,OperationVoice!$A:$A,OperationVoice!H:H,XLOOKUP($D194,OperationTickets!$A:$A,OperationTickets!H:H,"",0)),"hh:mm"))</f>
        <v>Free</v>
      </c>
      <c r="G194" s="309" t="str">
        <f t="shared" si="3"/>
        <v>Free</v>
      </c>
      <c r="H194" s="316" t="str">
        <f t="array" ref="H194">XLOOKUP(B194,Roster!L:L,Roster!N:N,XLOOKUP(D194,TicketsBreak!A:A,TicketsBreak!E:E,"",0),0)</f>
        <v/>
      </c>
      <c r="I194" s="316" t="str">
        <f t="array" ref="I194">XLOOKUP(B194,Roster!L:L,Roster!O:O,XLOOKUP(D194,TicketsBreak!A:A,TicketsBreak!F:F,"",0),0)</f>
        <v/>
      </c>
      <c r="J194" s="316" t="str">
        <f t="array" ref="J194">XLOOKUP(B194,Roster!L:L,Roster!P:P,XLOOKUP(D194,TicketsBreak!A:A,TicketsBreak!G:G,"",0),0)</f>
        <v/>
      </c>
      <c r="K194" s="310">
        <f t="shared" si="4"/>
        <v>46114</v>
      </c>
      <c r="L194" s="317">
        <f t="array" ref="L194">(XLOOKUP(D194,Roster!F:F,Roster!D:D,"",0))</f>
        <v>38</v>
      </c>
      <c r="M194" s="317" t="str">
        <f t="array" ref="M194">XLOOKUP(D194,Roster!F:F,Roster!E:E)</f>
        <v>Voice</v>
      </c>
      <c r="N194" s="317" t="str">
        <f t="shared" ref="N194:P194" si="201">LEFT(H194,5)</f>
        <v/>
      </c>
      <c r="O194" s="317" t="str">
        <f t="shared" si="201"/>
        <v/>
      </c>
      <c r="P194" s="317" t="str">
        <f t="shared" si="201"/>
        <v/>
      </c>
      <c r="Q194" s="318" t="str">
        <f t="shared" si="98"/>
        <v/>
      </c>
      <c r="R194" s="318" t="str">
        <f t="shared" si="99"/>
        <v/>
      </c>
      <c r="S194" s="318" t="str">
        <f t="shared" si="8"/>
        <v/>
      </c>
    </row>
    <row r="195">
      <c r="A195" s="14" t="str">
        <f t="shared" si="1"/>
        <v>C102746114</v>
      </c>
      <c r="B195" s="185" t="str">
        <f t="array" ref="B195">IF(F195="VL","",IF(F195="Free","Free",XLOOKUP(D195,Roster!T:T,Roster!S:S,"",0)))</f>
        <v/>
      </c>
      <c r="C195" s="313">
        <v>46114.0</v>
      </c>
      <c r="D195" s="314" t="s">
        <v>160</v>
      </c>
      <c r="E195" s="307" t="str">
        <f t="array" ref="E195">(XLOOKUP(D195,Roster!F:F,Roster!B:B,"",0))</f>
        <v>Jose Perez</v>
      </c>
      <c r="F195" s="315" t="str">
        <f t="array" ref="F195">IF(B195=100,"Free",TEXT(XLOOKUP($D195,OperationVoice!$A:$A,OperationVoice!H:H,XLOOKUP($D195,OperationTickets!$A:$A,OperationTickets!H:H,"",0)),"hh:mm"))</f>
        <v>VL</v>
      </c>
      <c r="G195" s="309" t="str">
        <f t="shared" si="3"/>
        <v>VL</v>
      </c>
      <c r="H195" s="316">
        <f t="array" ref="H195">XLOOKUP(B195,Roster!L:L,Roster!N:N,XLOOKUP(D195,TicketsBreak!A:A,TicketsBreak!E:E,"",0),0)</f>
        <v>0.4166666667</v>
      </c>
      <c r="I195" s="316">
        <f t="array" ref="I195">XLOOKUP(B195,Roster!L:L,Roster!O:O,XLOOKUP(D195,TicketsBreak!A:A,TicketsBreak!F:F,"",0),0)</f>
        <v>0.5208333333</v>
      </c>
      <c r="J195" s="316">
        <f t="array" ref="J195">XLOOKUP(B195,Roster!L:L,Roster!P:P,XLOOKUP(D195,TicketsBreak!A:A,TicketsBreak!G:G,"",0),0)</f>
        <v>0.6354166667</v>
      </c>
      <c r="K195" s="310">
        <f t="shared" si="4"/>
        <v>46114</v>
      </c>
      <c r="L195" s="317">
        <f t="array" ref="L195">(XLOOKUP(D195,Roster!F:F,Roster!D:D,"",0))</f>
        <v>15</v>
      </c>
      <c r="M195" s="317" t="str">
        <f t="array" ref="M195">XLOOKUP(D195,Roster!F:F,Roster!E:E)</f>
        <v>Tickets</v>
      </c>
      <c r="N195" s="317" t="str">
        <f t="shared" ref="N195:P195" si="202">LEFT(H195,5)</f>
        <v>10:00</v>
      </c>
      <c r="O195" s="317" t="str">
        <f t="shared" si="202"/>
        <v>12:30</v>
      </c>
      <c r="P195" s="317" t="str">
        <f t="shared" si="202"/>
        <v>15:15</v>
      </c>
      <c r="Q195" s="318">
        <f t="shared" si="98"/>
        <v>46114.41667</v>
      </c>
      <c r="R195" s="318">
        <f t="shared" si="99"/>
        <v>46114.52083</v>
      </c>
      <c r="S195" s="318">
        <f t="shared" si="8"/>
        <v>46114.63542</v>
      </c>
    </row>
    <row r="196">
      <c r="A196" s="14" t="str">
        <f t="shared" si="1"/>
        <v>C142646114</v>
      </c>
      <c r="B196" s="185">
        <f t="array" ref="B196">IF(F196="VL","",IF(F196="Free","Free",XLOOKUP(D196,Roster!T:T,Roster!S:S,"",0)))</f>
        <v>123</v>
      </c>
      <c r="C196" s="313">
        <v>46114.0</v>
      </c>
      <c r="D196" s="314" t="s">
        <v>161</v>
      </c>
      <c r="E196" s="307" t="str">
        <f t="array" ref="E196">(XLOOKUP(D196,Roster!F:F,Roster!B:B,"",0))</f>
        <v>Jose Zapata</v>
      </c>
      <c r="F196" s="315" t="str">
        <f t="array" ref="F196">IF(B196=100,"Free",TEXT(XLOOKUP($D196,OperationVoice!$A:$A,OperationVoice!H:H,XLOOKUP($D196,OperationTickets!$A:$A,OperationTickets!H:H,"",0)),"hh:mm"))</f>
        <v>08:00</v>
      </c>
      <c r="G196" s="309">
        <f t="shared" si="3"/>
        <v>0.7083333333</v>
      </c>
      <c r="H196" s="316" t="str">
        <f t="array" ref="H196">XLOOKUP(B196,Roster!L:L,Roster!N:N,XLOOKUP(D196,TicketsBreak!A:A,TicketsBreak!E:E,"",0),0)</f>
        <v>09:45 - 10:00 </v>
      </c>
      <c r="I196" s="316" t="str">
        <f t="array" ref="I196">XLOOKUP(B196,Roster!L:L,Roster!O:O,XLOOKUP(D196,TicketsBreak!A:A,TicketsBreak!F:F,"",0),0)</f>
        <v>12:30 - 13:00</v>
      </c>
      <c r="J196" s="316" t="str">
        <f t="array" ref="J196">XLOOKUP(B196,Roster!L:L,Roster!P:P,XLOOKUP(D196,TicketsBreak!A:A,TicketsBreak!G:G,"",0),0)</f>
        <v>15:00 - 15:15</v>
      </c>
      <c r="K196" s="310">
        <f t="shared" si="4"/>
        <v>46114</v>
      </c>
      <c r="L196" s="317">
        <f t="array" ref="L196">(XLOOKUP(D196,Roster!F:F,Roster!D:D,"",0))</f>
        <v>32</v>
      </c>
      <c r="M196" s="317" t="str">
        <f t="array" ref="M196">XLOOKUP(D196,Roster!F:F,Roster!E:E)</f>
        <v>Tickets</v>
      </c>
      <c r="N196" s="317" t="str">
        <f t="shared" ref="N196:P196" si="203">LEFT(H196,5)</f>
        <v>09:45</v>
      </c>
      <c r="O196" s="317" t="str">
        <f t="shared" si="203"/>
        <v>12:30</v>
      </c>
      <c r="P196" s="317" t="str">
        <f t="shared" si="203"/>
        <v>15:00</v>
      </c>
      <c r="Q196" s="318">
        <f t="shared" si="98"/>
        <v>46114.40625</v>
      </c>
      <c r="R196" s="318">
        <f t="shared" si="99"/>
        <v>46114.52083</v>
      </c>
      <c r="S196" s="318">
        <f t="shared" si="8"/>
        <v>46114.625</v>
      </c>
    </row>
    <row r="197">
      <c r="A197" s="14" t="str">
        <f t="shared" si="1"/>
        <v>C153346114</v>
      </c>
      <c r="B197" s="185">
        <f t="array" ref="B197">IF(F197="VL","",IF(F197="Free","Free",XLOOKUP(D197,Roster!T:T,Roster!S:S,"",0)))</f>
        <v>125</v>
      </c>
      <c r="C197" s="313">
        <v>46114.0</v>
      </c>
      <c r="D197" s="314" t="s">
        <v>43</v>
      </c>
      <c r="E197" s="307" t="str">
        <f t="array" ref="E197">(XLOOKUP(D197,Roster!F:F,Roster!B:B,"",0))</f>
        <v>Juan Barrera</v>
      </c>
      <c r="F197" s="315" t="str">
        <f t="array" ref="F197">IF(B197=100,"Free",TEXT(XLOOKUP($D197,OperationVoice!$A:$A,OperationVoice!H:H,XLOOKUP($D197,OperationTickets!$A:$A,OperationTickets!H:H,"",0)),"hh:mm"))</f>
        <v>08:00</v>
      </c>
      <c r="G197" s="309">
        <f t="shared" si="3"/>
        <v>0.7083333333</v>
      </c>
      <c r="H197" s="316" t="str">
        <f t="array" ref="H197">XLOOKUP(B197,Roster!L:L,Roster!N:N,XLOOKUP(D197,TicketsBreak!A:A,TicketsBreak!E:E,"",0),0)</f>
        <v>10:30 - 10:45</v>
      </c>
      <c r="I197" s="316" t="str">
        <f t="array" ref="I197">XLOOKUP(B197,Roster!L:L,Roster!O:O,XLOOKUP(D197,TicketsBreak!A:A,TicketsBreak!F:F,"",0),0)</f>
        <v>13:30 - 14:00</v>
      </c>
      <c r="J197" s="316" t="str">
        <f t="array" ref="J197">XLOOKUP(B197,Roster!L:L,Roster!P:P,XLOOKUP(D197,TicketsBreak!A:A,TicketsBreak!G:G,"",0),0)</f>
        <v>15:45 - 16:00</v>
      </c>
      <c r="K197" s="310">
        <f t="shared" si="4"/>
        <v>46114</v>
      </c>
      <c r="L197" s="317">
        <f t="array" ref="L197">(XLOOKUP(D197,Roster!F:F,Roster!D:D,"",0))</f>
        <v>36</v>
      </c>
      <c r="M197" s="317" t="str">
        <f t="array" ref="M197">XLOOKUP(D197,Roster!F:F,Roster!E:E)</f>
        <v>Voice</v>
      </c>
      <c r="N197" s="317" t="str">
        <f t="shared" ref="N197:P197" si="204">LEFT(H197,5)</f>
        <v>10:30</v>
      </c>
      <c r="O197" s="317" t="str">
        <f t="shared" si="204"/>
        <v>13:30</v>
      </c>
      <c r="P197" s="317" t="str">
        <f t="shared" si="204"/>
        <v>15:45</v>
      </c>
      <c r="Q197" s="318">
        <f t="shared" si="98"/>
        <v>46114.4375</v>
      </c>
      <c r="R197" s="318">
        <f t="shared" si="99"/>
        <v>46114.5625</v>
      </c>
      <c r="S197" s="318">
        <f t="shared" si="8"/>
        <v>46114.65625</v>
      </c>
    </row>
    <row r="198">
      <c r="A198" s="14" t="str">
        <f t="shared" si="1"/>
        <v>C146546114</v>
      </c>
      <c r="B198" s="185">
        <f t="array" ref="B198">IF(F198="VL","",IF(F198="Free","Free",XLOOKUP(D198,Roster!T:T,Roster!S:S,"",0)))</f>
        <v>500</v>
      </c>
      <c r="C198" s="313">
        <v>46114.0</v>
      </c>
      <c r="D198" s="314" t="s">
        <v>44</v>
      </c>
      <c r="E198" s="307" t="str">
        <f t="array" ref="E198">(XLOOKUP(D198,Roster!F:F,Roster!B:B,"",0))</f>
        <v>Juan Castilla</v>
      </c>
      <c r="F198" s="315" t="str">
        <f t="array" ref="F198">IF(B198=100,"Free",TEXT(XLOOKUP($D198,OperationVoice!$A:$A,OperationVoice!H:H,XLOOKUP($D198,OperationTickets!$A:$A,OperationTickets!H:H,"",0)),"hh:mm"))</f>
        <v>08:00</v>
      </c>
      <c r="G198" s="309">
        <f t="shared" si="3"/>
        <v>0.7083333333</v>
      </c>
      <c r="H198" s="316" t="str">
        <f t="array" ref="H198">XLOOKUP(B198,Roster!L:L,Roster!N:N,XLOOKUP(D198,TicketsBreak!A:A,TicketsBreak!E:E,"",0),0)</f>
        <v>Team Leader</v>
      </c>
      <c r="I198" s="316" t="str">
        <f t="array" ref="I198">XLOOKUP(B198,Roster!L:L,Roster!O:O,XLOOKUP(D198,TicketsBreak!A:A,TicketsBreak!F:F,"",0),0)</f>
        <v>Team Leader</v>
      </c>
      <c r="J198" s="316" t="str">
        <f t="array" ref="J198">XLOOKUP(B198,Roster!L:L,Roster!P:P,XLOOKUP(D198,TicketsBreak!A:A,TicketsBreak!G:G,"",0),0)</f>
        <v/>
      </c>
      <c r="K198" s="310">
        <f t="shared" si="4"/>
        <v>46114</v>
      </c>
      <c r="L198" s="317">
        <f t="array" ref="L198">(XLOOKUP(D198,Roster!F:F,Roster!D:D,"",0))</f>
        <v>33</v>
      </c>
      <c r="M198" s="317" t="str">
        <f t="array" ref="M198">XLOOKUP(D198,Roster!F:F,Roster!E:E)</f>
        <v>Voice</v>
      </c>
      <c r="N198" s="317" t="str">
        <f t="shared" ref="N198:P198" si="205">LEFT(H198,5)</f>
        <v>Team </v>
      </c>
      <c r="O198" s="317" t="str">
        <f t="shared" si="205"/>
        <v>Team </v>
      </c>
      <c r="P198" s="317" t="str">
        <f t="shared" si="205"/>
        <v/>
      </c>
      <c r="Q198" s="318" t="str">
        <f t="shared" si="98"/>
        <v>#VALUE!</v>
      </c>
      <c r="R198" s="318" t="str">
        <f t="shared" si="99"/>
        <v>#VALUE!</v>
      </c>
      <c r="S198" s="318" t="str">
        <f t="shared" si="8"/>
        <v/>
      </c>
    </row>
    <row r="199">
      <c r="A199" s="14" t="str">
        <f t="shared" si="1"/>
        <v>C72046114</v>
      </c>
      <c r="B199" s="185" t="str">
        <f t="array" ref="B199">IF(F199="VL","",IF(F199="Free","Free",XLOOKUP(D199,Roster!T:T,Roster!S:S,"",0)))</f>
        <v>Free</v>
      </c>
      <c r="C199" s="313">
        <v>46114.0</v>
      </c>
      <c r="D199" s="314" t="s">
        <v>162</v>
      </c>
      <c r="E199" s="307" t="str">
        <f t="array" ref="E199">(XLOOKUP(D199,Roster!F:F,Roster!B:B,"",0))</f>
        <v>Juan Durango</v>
      </c>
      <c r="F199" s="315" t="str">
        <f t="array" ref="F199">IF(B199=100,"Free",TEXT(XLOOKUP($D199,OperationVoice!$A:$A,OperationVoice!H:H,XLOOKUP($D199,OperationTickets!$A:$A,OperationTickets!H:H,"",0)),"hh:mm"))</f>
        <v>Free</v>
      </c>
      <c r="G199" s="309" t="str">
        <f t="shared" si="3"/>
        <v>Free</v>
      </c>
      <c r="H199" s="316">
        <f t="array" ref="H199">XLOOKUP(B199,Roster!L:L,Roster!N:N,XLOOKUP(D199,TicketsBreak!A:A,TicketsBreak!E:E,"",0),0)</f>
        <v>0.40625</v>
      </c>
      <c r="I199" s="316">
        <f t="array" ref="I199">XLOOKUP(B199,Roster!L:L,Roster!O:O,XLOOKUP(D199,TicketsBreak!A:A,TicketsBreak!F:F,"",0),0)</f>
        <v>0.5729166667</v>
      </c>
      <c r="J199" s="316">
        <f t="array" ref="J199">XLOOKUP(B199,Roster!L:L,Roster!P:P,XLOOKUP(D199,TicketsBreak!A:A,TicketsBreak!G:G,"",0),0)</f>
        <v>0.65625</v>
      </c>
      <c r="K199" s="310">
        <f t="shared" si="4"/>
        <v>46114</v>
      </c>
      <c r="L199" s="317">
        <f t="array" ref="L199">(XLOOKUP(D199,Roster!F:F,Roster!D:D,"",0))</f>
        <v>7</v>
      </c>
      <c r="M199" s="317" t="str">
        <f t="array" ref="M199">XLOOKUP(D199,Roster!F:F,Roster!E:E)</f>
        <v>Tickets</v>
      </c>
      <c r="N199" s="317" t="str">
        <f t="shared" ref="N199:P199" si="206">LEFT(H199,5)</f>
        <v>09:45</v>
      </c>
      <c r="O199" s="317" t="str">
        <f t="shared" si="206"/>
        <v>13:45</v>
      </c>
      <c r="P199" s="317" t="str">
        <f t="shared" si="206"/>
        <v>15:45</v>
      </c>
      <c r="Q199" s="318">
        <f t="shared" si="98"/>
        <v>46114.40625</v>
      </c>
      <c r="R199" s="318">
        <f t="shared" si="99"/>
        <v>46114.57292</v>
      </c>
      <c r="S199" s="318">
        <f t="shared" si="8"/>
        <v>46114.65625</v>
      </c>
    </row>
    <row r="200">
      <c r="A200" s="14" t="str">
        <f t="shared" si="1"/>
        <v>C59846114</v>
      </c>
      <c r="B200" s="185" t="str">
        <f t="array" ref="B200">IF(F200="VL","",IF(F200="Free","Free",XLOOKUP(D200,Roster!T:T,Roster!S:S,"",0)))</f>
        <v/>
      </c>
      <c r="C200" s="313">
        <v>46114.0</v>
      </c>
      <c r="D200" s="314" t="s">
        <v>314</v>
      </c>
      <c r="E200" s="307" t="str">
        <f t="array" ref="E200">(XLOOKUP(D200,Roster!F:F,Roster!B:B,"",0))</f>
        <v>Juan Fonnegra</v>
      </c>
      <c r="F200" s="315" t="str">
        <f t="array" ref="F200">IF(B200=100,"Free",TEXT(XLOOKUP($D200,OperationVoice!$A:$A,OperationVoice!H:H,XLOOKUP($D200,OperationTickets!$A:$A,OperationTickets!H:H,"",0)),"hh:mm"))</f>
        <v/>
      </c>
      <c r="G200" s="309" t="str">
        <f t="shared" si="3"/>
        <v/>
      </c>
      <c r="H200" s="316">
        <f t="array" ref="H200">XLOOKUP(B200,Roster!L:L,Roster!N:N,XLOOKUP(D200,TicketsBreak!A:A,TicketsBreak!E:E,"",0),0)</f>
        <v>0.4166666667</v>
      </c>
      <c r="I200" s="316">
        <f t="array" ref="I200">XLOOKUP(B200,Roster!L:L,Roster!O:O,XLOOKUP(D200,TicketsBreak!A:A,TicketsBreak!F:F,"",0),0)</f>
        <v>0.5208333333</v>
      </c>
      <c r="J200" s="316">
        <f t="array" ref="J200">XLOOKUP(B200,Roster!L:L,Roster!P:P,XLOOKUP(D200,TicketsBreak!A:A,TicketsBreak!G:G,"",0),0)</f>
        <v>0.65625</v>
      </c>
      <c r="K200" s="310">
        <f t="shared" si="4"/>
        <v>46114</v>
      </c>
      <c r="L200" s="317">
        <f t="array" ref="L200">(XLOOKUP(D200,Roster!F:F,Roster!D:D,"",0))</f>
        <v>1</v>
      </c>
      <c r="M200" s="317" t="str">
        <f t="array" ref="M200">XLOOKUP(D200,Roster!F:F,Roster!E:E)</f>
        <v>Tickets</v>
      </c>
      <c r="N200" s="317" t="str">
        <f t="shared" ref="N200:P200" si="207">LEFT(H200,5)</f>
        <v>10:00</v>
      </c>
      <c r="O200" s="317" t="str">
        <f t="shared" si="207"/>
        <v>12:30</v>
      </c>
      <c r="P200" s="317" t="str">
        <f t="shared" si="207"/>
        <v>15:45</v>
      </c>
      <c r="Q200" s="318">
        <f t="shared" si="98"/>
        <v>46114.41667</v>
      </c>
      <c r="R200" s="318">
        <f t="shared" si="99"/>
        <v>46114.52083</v>
      </c>
      <c r="S200" s="318">
        <f t="shared" si="8"/>
        <v>46114.65625</v>
      </c>
    </row>
    <row r="201">
      <c r="A201" s="14" t="str">
        <f t="shared" si="1"/>
        <v>C113946114</v>
      </c>
      <c r="B201" s="185">
        <f t="array" ref="B201">IF(F201="VL","",IF(F201="Free","Free",XLOOKUP(D201,Roster!T:T,Roster!S:S,"",0)))</f>
        <v>125</v>
      </c>
      <c r="C201" s="313">
        <v>46114.0</v>
      </c>
      <c r="D201" s="314" t="s">
        <v>45</v>
      </c>
      <c r="E201" s="307" t="str">
        <f t="array" ref="E201">(XLOOKUP(D201,Roster!F:F,Roster!B:B,"",0))</f>
        <v>Juan Largacha</v>
      </c>
      <c r="F201" s="315" t="str">
        <f t="array" ref="F201">IF(B201=100,"Free",TEXT(XLOOKUP($D201,OperationVoice!$A:$A,OperationVoice!H:H,XLOOKUP($D201,OperationTickets!$A:$A,OperationTickets!H:H,"",0)),"hh:mm"))</f>
        <v>08:00</v>
      </c>
      <c r="G201" s="309">
        <f t="shared" si="3"/>
        <v>0.7083333333</v>
      </c>
      <c r="H201" s="316" t="str">
        <f t="array" ref="H201">XLOOKUP(B201,Roster!L:L,Roster!N:N,XLOOKUP(D201,TicketsBreak!A:A,TicketsBreak!E:E,"",0),0)</f>
        <v>10:30 - 10:45</v>
      </c>
      <c r="I201" s="316" t="str">
        <f t="array" ref="I201">XLOOKUP(B201,Roster!L:L,Roster!O:O,XLOOKUP(D201,TicketsBreak!A:A,TicketsBreak!F:F,"",0),0)</f>
        <v>13:30 - 14:00</v>
      </c>
      <c r="J201" s="316" t="str">
        <f t="array" ref="J201">XLOOKUP(B201,Roster!L:L,Roster!P:P,XLOOKUP(D201,TicketsBreak!A:A,TicketsBreak!G:G,"",0),0)</f>
        <v>15:45 - 16:00</v>
      </c>
      <c r="K201" s="310">
        <f t="shared" si="4"/>
        <v>46114</v>
      </c>
      <c r="L201" s="317">
        <f t="array" ref="L201">(XLOOKUP(D201,Roster!F:F,Roster!D:D,"",0))</f>
        <v>22</v>
      </c>
      <c r="M201" s="317" t="str">
        <f t="array" ref="M201">XLOOKUP(D201,Roster!F:F,Roster!E:E)</f>
        <v>Voice</v>
      </c>
      <c r="N201" s="317" t="str">
        <f t="shared" ref="N201:P201" si="208">LEFT(H201,5)</f>
        <v>10:30</v>
      </c>
      <c r="O201" s="317" t="str">
        <f t="shared" si="208"/>
        <v>13:30</v>
      </c>
      <c r="P201" s="317" t="str">
        <f t="shared" si="208"/>
        <v>15:45</v>
      </c>
      <c r="Q201" s="318">
        <f t="shared" si="98"/>
        <v>46114.4375</v>
      </c>
      <c r="R201" s="318">
        <f t="shared" si="99"/>
        <v>46114.5625</v>
      </c>
      <c r="S201" s="318">
        <f t="shared" si="8"/>
        <v>46114.65625</v>
      </c>
    </row>
    <row r="202">
      <c r="A202" s="14" t="str">
        <f t="shared" si="1"/>
        <v>C156646114</v>
      </c>
      <c r="B202" s="185">
        <f t="array" ref="B202">IF(F202="VL","",IF(F202="Free","Free",XLOOKUP(D202,Roster!T:T,Roster!S:S,"",0)))</f>
        <v>124</v>
      </c>
      <c r="C202" s="313">
        <v>46114.0</v>
      </c>
      <c r="D202" s="314" t="s">
        <v>46</v>
      </c>
      <c r="E202" s="307" t="str">
        <f t="array" ref="E202">(XLOOKUP(D202,Roster!F:F,Roster!B:B,"",0))</f>
        <v>Juan Ocampo</v>
      </c>
      <c r="F202" s="315" t="str">
        <f t="array" ref="F202">IF(B202=100,"Free",TEXT(XLOOKUP($D202,OperationVoice!$A:$A,OperationVoice!H:H,XLOOKUP($D202,OperationTickets!$A:$A,OperationTickets!H:H,"",0)),"hh:mm"))</f>
        <v>11:00</v>
      </c>
      <c r="G202" s="309">
        <f t="shared" si="3"/>
        <v>0.8333333333</v>
      </c>
      <c r="H202" s="316" t="str">
        <f t="array" ref="H202">XLOOKUP(B202,Roster!L:L,Roster!N:N,XLOOKUP(D202,TicketsBreak!A:A,TicketsBreak!E:E,"",0),0)</f>
        <v>10:00 - 10:15</v>
      </c>
      <c r="I202" s="316" t="str">
        <f t="array" ref="I202">XLOOKUP(B202,Roster!L:L,Roster!O:O,XLOOKUP(D202,TicketsBreak!A:A,TicketsBreak!F:F,"",0),0)</f>
        <v>13:00 - 13:30</v>
      </c>
      <c r="J202" s="316" t="str">
        <f t="array" ref="J202">XLOOKUP(B202,Roster!L:L,Roster!P:P,XLOOKUP(D202,TicketsBreak!A:A,TicketsBreak!G:G,"",0),0)</f>
        <v>15:30 - 15:45</v>
      </c>
      <c r="K202" s="310">
        <f t="shared" si="4"/>
        <v>46114</v>
      </c>
      <c r="L202" s="317">
        <f t="array" ref="L202">(XLOOKUP(D202,Roster!F:F,Roster!D:D,"",0))</f>
        <v>38</v>
      </c>
      <c r="M202" s="317" t="str">
        <f t="array" ref="M202">XLOOKUP(D202,Roster!F:F,Roster!E:E)</f>
        <v>Voice</v>
      </c>
      <c r="N202" s="317" t="str">
        <f t="shared" ref="N202:P202" si="209">LEFT(H202,5)</f>
        <v>10:00</v>
      </c>
      <c r="O202" s="317" t="str">
        <f t="shared" si="209"/>
        <v>13:00</v>
      </c>
      <c r="P202" s="317" t="str">
        <f t="shared" si="209"/>
        <v>15:30</v>
      </c>
      <c r="Q202" s="318">
        <f t="shared" si="98"/>
        <v>46114.41667</v>
      </c>
      <c r="R202" s="318">
        <f t="shared" si="99"/>
        <v>46114.54167</v>
      </c>
      <c r="S202" s="318">
        <f t="shared" si="8"/>
        <v>46114.64583</v>
      </c>
    </row>
    <row r="203">
      <c r="A203" s="14" t="str">
        <f t="shared" si="1"/>
        <v>C148446114</v>
      </c>
      <c r="B203" s="185">
        <f t="array" ref="B203">IF(F203="VL","",IF(F203="Free","Free",XLOOKUP(D203,Roster!T:T,Roster!S:S,"",0)))</f>
        <v>126</v>
      </c>
      <c r="C203" s="313">
        <v>46114.0</v>
      </c>
      <c r="D203" s="314" t="s">
        <v>141</v>
      </c>
      <c r="E203" s="307" t="str">
        <f t="array" ref="E203">(XLOOKUP(D203,Roster!F:F,Roster!B:B,"",0))</f>
        <v>Juan Ospina</v>
      </c>
      <c r="F203" s="315" t="str">
        <f t="array" ref="F203">IF(B203=100,"Free",TEXT(XLOOKUP($D203,OperationVoice!$A:$A,OperationVoice!H:H,XLOOKUP($D203,OperationTickets!$A:$A,OperationTickets!H:H,"",0)),"hh:mm"))</f>
        <v>08:00</v>
      </c>
      <c r="G203" s="309">
        <f t="shared" si="3"/>
        <v>0.7083333333</v>
      </c>
      <c r="H203" s="316" t="str">
        <f t="array" ref="H203">XLOOKUP(B203,Roster!L:L,Roster!N:N,XLOOKUP(D203,TicketsBreak!A:A,TicketsBreak!E:E,"",0),0)</f>
        <v>10:45 - 11:00</v>
      </c>
      <c r="I203" s="316" t="str">
        <f t="array" ref="I203">XLOOKUP(B203,Roster!L:L,Roster!O:O,XLOOKUP(D203,TicketsBreak!A:A,TicketsBreak!F:F,"",0),0)</f>
        <v>14:00 - 14:30</v>
      </c>
      <c r="J203" s="316" t="str">
        <f t="array" ref="J203">XLOOKUP(B203,Roster!L:L,Roster!P:P,XLOOKUP(D203,TicketsBreak!A:A,TicketsBreak!G:G,"",0),0)</f>
        <v>15:45 - 16:00</v>
      </c>
      <c r="K203" s="310">
        <f t="shared" si="4"/>
        <v>46114</v>
      </c>
      <c r="L203" s="317">
        <f t="array" ref="L203">(XLOOKUP(D203,Roster!F:F,Roster!D:D,"",0))</f>
        <v>34</v>
      </c>
      <c r="M203" s="317" t="str">
        <f t="array" ref="M203">XLOOKUP(D203,Roster!F:F,Roster!E:E)</f>
        <v>Tickets</v>
      </c>
      <c r="N203" s="317" t="str">
        <f t="shared" ref="N203:P203" si="210">LEFT(H203,5)</f>
        <v>10:45</v>
      </c>
      <c r="O203" s="317" t="str">
        <f t="shared" si="210"/>
        <v>14:00</v>
      </c>
      <c r="P203" s="317" t="str">
        <f t="shared" si="210"/>
        <v>15:45</v>
      </c>
      <c r="Q203" s="318">
        <f t="shared" si="98"/>
        <v>46114.44792</v>
      </c>
      <c r="R203" s="318">
        <f t="shared" si="99"/>
        <v>46114.58333</v>
      </c>
      <c r="S203" s="318">
        <f t="shared" si="8"/>
        <v>46114.65625</v>
      </c>
    </row>
    <row r="204">
      <c r="A204" s="14" t="str">
        <f t="shared" si="1"/>
        <v>C141346114</v>
      </c>
      <c r="B204" s="185">
        <f t="array" ref="B204">IF(F204="VL","",IF(F204="Free","Free",XLOOKUP(D204,Roster!T:T,Roster!S:S,"",0)))</f>
        <v>121</v>
      </c>
      <c r="C204" s="313">
        <v>46114.0</v>
      </c>
      <c r="D204" s="314" t="s">
        <v>47</v>
      </c>
      <c r="E204" s="307" t="str">
        <f t="array" ref="E204">(XLOOKUP(D204,Roster!F:F,Roster!B:B,"",0))</f>
        <v>Juan Parra</v>
      </c>
      <c r="F204" s="315" t="str">
        <f t="array" ref="F204">IF(B204=100,"Free",TEXT(XLOOKUP($D204,OperationVoice!$A:$A,OperationVoice!H:H,XLOOKUP($D204,OperationTickets!$A:$A,OperationTickets!H:H,"",0)),"hh:mm"))</f>
        <v>08:00</v>
      </c>
      <c r="G204" s="309">
        <f t="shared" si="3"/>
        <v>0.7083333333</v>
      </c>
      <c r="H204" s="316" t="str">
        <f t="array" ref="H204">XLOOKUP(B204,Roster!L:L,Roster!N:N,XLOOKUP(D204,TicketsBreak!A:A,TicketsBreak!E:E,"",0),0)</f>
        <v>09:15 - 09:30</v>
      </c>
      <c r="I204" s="316" t="str">
        <f t="array" ref="I204">XLOOKUP(B204,Roster!L:L,Roster!O:O,XLOOKUP(D204,TicketsBreak!A:A,TicketsBreak!F:F,"",0),0)</f>
        <v>11:30 - 12:00</v>
      </c>
      <c r="J204" s="316" t="str">
        <f t="array" ref="J204">XLOOKUP(B204,Roster!L:L,Roster!P:P,XLOOKUP(D204,TicketsBreak!A:A,TicketsBreak!G:G,"",0),0)</f>
        <v>14:30 - 14:45</v>
      </c>
      <c r="K204" s="310">
        <f t="shared" si="4"/>
        <v>46114</v>
      </c>
      <c r="L204" s="317">
        <f t="array" ref="L204">(XLOOKUP(D204,Roster!F:F,Roster!D:D,"",0))</f>
        <v>32</v>
      </c>
      <c r="M204" s="317" t="str">
        <f t="array" ref="M204">XLOOKUP(D204,Roster!F:F,Roster!E:E)</f>
        <v>Voice</v>
      </c>
      <c r="N204" s="317" t="str">
        <f t="shared" ref="N204:P204" si="211">LEFT(H204,5)</f>
        <v>09:15</v>
      </c>
      <c r="O204" s="317" t="str">
        <f t="shared" si="211"/>
        <v>11:30</v>
      </c>
      <c r="P204" s="317" t="str">
        <f t="shared" si="211"/>
        <v>14:30</v>
      </c>
      <c r="Q204" s="318">
        <f t="shared" si="98"/>
        <v>46114.38542</v>
      </c>
      <c r="R204" s="318">
        <f t="shared" si="99"/>
        <v>46114.47917</v>
      </c>
      <c r="S204" s="318">
        <f t="shared" si="8"/>
        <v>46114.60417</v>
      </c>
    </row>
    <row r="205">
      <c r="A205" s="14" t="str">
        <f t="shared" si="1"/>
        <v>C132746114</v>
      </c>
      <c r="B205" s="185" t="str">
        <f t="array" ref="B205">IF(F205="VL","",IF(F205="Free","Free",XLOOKUP(D205,Roster!T:T,Roster!S:S,"",0)))</f>
        <v/>
      </c>
      <c r="C205" s="313">
        <v>46114.0</v>
      </c>
      <c r="D205" s="314" t="s">
        <v>163</v>
      </c>
      <c r="E205" s="307" t="str">
        <f t="array" ref="E205">(XLOOKUP(D205,Roster!F:F,Roster!B:B,"",0))</f>
        <v>Juan Restrepo</v>
      </c>
      <c r="F205" s="315" t="str">
        <f t="array" ref="F205">IF(B205=100,"Free",TEXT(XLOOKUP($D205,OperationVoice!$A:$A,OperationVoice!H:H,XLOOKUP($D205,OperationTickets!$A:$A,OperationTickets!H:H,"",0)),"hh:mm"))</f>
        <v>08:00</v>
      </c>
      <c r="G205" s="309">
        <f t="shared" si="3"/>
        <v>0.7083333333</v>
      </c>
      <c r="H205" s="316" t="str">
        <f t="array" ref="H205">XLOOKUP(B205,Roster!L:L,Roster!N:N,XLOOKUP(D205,TicketsBreak!A:A,TicketsBreak!E:E,"",0),0)</f>
        <v/>
      </c>
      <c r="I205" s="316" t="str">
        <f t="array" ref="I205">XLOOKUP(B205,Roster!L:L,Roster!O:O,XLOOKUP(D205,TicketsBreak!A:A,TicketsBreak!F:F,"",0),0)</f>
        <v/>
      </c>
      <c r="J205" s="316" t="str">
        <f t="array" ref="J205">XLOOKUP(B205,Roster!L:L,Roster!P:P,XLOOKUP(D205,TicketsBreak!A:A,TicketsBreak!G:G,"",0),0)</f>
        <v/>
      </c>
      <c r="K205" s="310">
        <f t="shared" si="4"/>
        <v>46114</v>
      </c>
      <c r="L205" s="317">
        <f t="array" ref="L205">(XLOOKUP(D205,Roster!F:F,Roster!D:D,"",0))</f>
        <v>29</v>
      </c>
      <c r="M205" s="317" t="str">
        <f t="array" ref="M205">XLOOKUP(D205,Roster!F:F,Roster!E:E)</f>
        <v>Tickets</v>
      </c>
      <c r="N205" s="317" t="str">
        <f t="shared" ref="N205:P205" si="212">LEFT(H205,5)</f>
        <v/>
      </c>
      <c r="O205" s="317" t="str">
        <f t="shared" si="212"/>
        <v/>
      </c>
      <c r="P205" s="317" t="str">
        <f t="shared" si="212"/>
        <v/>
      </c>
      <c r="Q205" s="318" t="str">
        <f t="shared" si="98"/>
        <v/>
      </c>
      <c r="R205" s="318" t="str">
        <f t="shared" si="99"/>
        <v/>
      </c>
      <c r="S205" s="318" t="str">
        <f t="shared" si="8"/>
        <v/>
      </c>
    </row>
    <row r="206">
      <c r="A206" s="14" t="str">
        <f t="shared" si="1"/>
        <v>C146946114</v>
      </c>
      <c r="B206" s="185">
        <f t="array" ref="B206">IF(F206="VL","",IF(F206="Free","Free",XLOOKUP(D206,Roster!T:T,Roster!S:S,"",0)))</f>
        <v>122</v>
      </c>
      <c r="C206" s="313">
        <v>46114.0</v>
      </c>
      <c r="D206" s="314" t="s">
        <v>48</v>
      </c>
      <c r="E206" s="307" t="str">
        <f t="array" ref="E206">(XLOOKUP(D206,Roster!F:F,Roster!B:B,"",0))</f>
        <v>Juan Restrepo Restrepo</v>
      </c>
      <c r="F206" s="315" t="str">
        <f t="array" ref="F206">IF(B206=100,"Free",TEXT(XLOOKUP($D206,OperationVoice!$A:$A,OperationVoice!H:H,XLOOKUP($D206,OperationTickets!$A:$A,OperationTickets!H:H,"",0)),"hh:mm"))</f>
        <v>08:00</v>
      </c>
      <c r="G206" s="309">
        <f t="shared" si="3"/>
        <v>0.7083333333</v>
      </c>
      <c r="H206" s="316" t="str">
        <f t="array" ref="H206">XLOOKUP(B206,Roster!L:L,Roster!N:N,XLOOKUP(D206,TicketsBreak!A:A,TicketsBreak!E:E,"",0),0)</f>
        <v>09:30 - 09:45</v>
      </c>
      <c r="I206" s="316" t="str">
        <f t="array" ref="I206">XLOOKUP(B206,Roster!L:L,Roster!O:O,XLOOKUP(D206,TicketsBreak!A:A,TicketsBreak!F:F,"",0),0)</f>
        <v>12:00 - 12:30</v>
      </c>
      <c r="J206" s="316" t="str">
        <f t="array" ref="J206">XLOOKUP(B206,Roster!L:L,Roster!P:P,XLOOKUP(D206,TicketsBreak!A:A,TicketsBreak!G:G,"",0),0)</f>
        <v>14:45 - 15:00</v>
      </c>
      <c r="K206" s="310">
        <f t="shared" si="4"/>
        <v>46114</v>
      </c>
      <c r="L206" s="317">
        <f t="array" ref="L206">(XLOOKUP(D206,Roster!F:F,Roster!D:D,"",0))</f>
        <v>33</v>
      </c>
      <c r="M206" s="317" t="str">
        <f t="array" ref="M206">XLOOKUP(D206,Roster!F:F,Roster!E:E)</f>
        <v>Voice</v>
      </c>
      <c r="N206" s="317" t="str">
        <f t="shared" ref="N206:P206" si="213">LEFT(H206,5)</f>
        <v>09:30</v>
      </c>
      <c r="O206" s="317" t="str">
        <f t="shared" si="213"/>
        <v>12:00</v>
      </c>
      <c r="P206" s="317" t="str">
        <f t="shared" si="213"/>
        <v>14:45</v>
      </c>
      <c r="Q206" s="318">
        <f t="shared" si="98"/>
        <v>46114.39583</v>
      </c>
      <c r="R206" s="318">
        <f t="shared" si="99"/>
        <v>46114.5</v>
      </c>
      <c r="S206" s="318">
        <f t="shared" si="8"/>
        <v>46114.61458</v>
      </c>
    </row>
    <row r="207">
      <c r="A207" s="14" t="str">
        <f t="shared" si="1"/>
        <v>C117146114</v>
      </c>
      <c r="B207" s="185" t="str">
        <f t="array" ref="B207">IF(F207="VL","",IF(F207="Free","Free",XLOOKUP(D207,Roster!T:T,Roster!S:S,"",0)))</f>
        <v>Free</v>
      </c>
      <c r="C207" s="313">
        <v>46114.0</v>
      </c>
      <c r="D207" s="314" t="s">
        <v>142</v>
      </c>
      <c r="E207" s="307" t="str">
        <f t="array" ref="E207">(XLOOKUP(D207,Roster!F:F,Roster!B:B,"",0))</f>
        <v>Juan Sanchez</v>
      </c>
      <c r="F207" s="315" t="str">
        <f t="array" ref="F207">IF(B207=100,"Free",TEXT(XLOOKUP($D207,OperationVoice!$A:$A,OperationVoice!H:H,XLOOKUP($D207,OperationTickets!$A:$A,OperationTickets!H:H,"",0)),"hh:mm"))</f>
        <v>Free</v>
      </c>
      <c r="G207" s="309" t="str">
        <f t="shared" si="3"/>
        <v>Free</v>
      </c>
      <c r="H207" s="316" t="str">
        <f t="array" ref="H207">XLOOKUP(B207,Roster!L:L,Roster!N:N,XLOOKUP(D207,TicketsBreak!A:A,TicketsBreak!E:E,"",0),0)</f>
        <v/>
      </c>
      <c r="I207" s="316" t="str">
        <f t="array" ref="I207">XLOOKUP(B207,Roster!L:L,Roster!O:O,XLOOKUP(D207,TicketsBreak!A:A,TicketsBreak!F:F,"",0),0)</f>
        <v/>
      </c>
      <c r="J207" s="316" t="str">
        <f t="array" ref="J207">XLOOKUP(B207,Roster!L:L,Roster!P:P,XLOOKUP(D207,TicketsBreak!A:A,TicketsBreak!G:G,"",0),0)</f>
        <v/>
      </c>
      <c r="K207" s="310">
        <f t="shared" si="4"/>
        <v>46114</v>
      </c>
      <c r="L207" s="317">
        <f t="array" ref="L207">(XLOOKUP(D207,Roster!F:F,Roster!D:D,"",0))</f>
        <v>24</v>
      </c>
      <c r="M207" s="317" t="str">
        <f t="array" ref="M207">XLOOKUP(D207,Roster!F:F,Roster!E:E)</f>
        <v>Tickets</v>
      </c>
      <c r="N207" s="317" t="str">
        <f t="shared" ref="N207:P207" si="214">LEFT(H207,5)</f>
        <v/>
      </c>
      <c r="O207" s="317" t="str">
        <f t="shared" si="214"/>
        <v/>
      </c>
      <c r="P207" s="317" t="str">
        <f t="shared" si="214"/>
        <v/>
      </c>
      <c r="Q207" s="318" t="str">
        <f t="shared" si="98"/>
        <v/>
      </c>
      <c r="R207" s="318" t="str">
        <f t="shared" si="99"/>
        <v/>
      </c>
      <c r="S207" s="318" t="str">
        <f t="shared" si="8"/>
        <v/>
      </c>
    </row>
    <row r="208">
      <c r="A208" s="14" t="str">
        <f t="shared" si="1"/>
        <v>C74346114</v>
      </c>
      <c r="B208" s="185" t="str">
        <f t="array" ref="B208">IF(F208="VL","",IF(F208="Free","Free",XLOOKUP(D208,Roster!T:T,Roster!S:S,"",0)))</f>
        <v/>
      </c>
      <c r="C208" s="313">
        <v>46114.0</v>
      </c>
      <c r="D208" s="314" t="s">
        <v>164</v>
      </c>
      <c r="E208" s="307" t="str">
        <f t="array" ref="E208">(XLOOKUP(D208,Roster!F:F,Roster!B:B,"",0))</f>
        <v>Juan Suarez</v>
      </c>
      <c r="F208" s="315" t="str">
        <f t="array" ref="F208">IF(B208=100,"Free",TEXT(XLOOKUP($D208,OperationVoice!$A:$A,OperationVoice!H:H,XLOOKUP($D208,OperationTickets!$A:$A,OperationTickets!H:H,"",0)),"hh:mm"))</f>
        <v>08:30</v>
      </c>
      <c r="G208" s="309">
        <f t="shared" si="3"/>
        <v>0.7291666667</v>
      </c>
      <c r="H208" s="316">
        <f t="array" ref="H208">XLOOKUP(B208,Roster!L:L,Roster!N:N,XLOOKUP(D208,TicketsBreak!A:A,TicketsBreak!E:E,"",0),0)</f>
        <v>0.3958333333</v>
      </c>
      <c r="I208" s="316">
        <f t="array" ref="I208">XLOOKUP(B208,Roster!L:L,Roster!O:O,XLOOKUP(D208,TicketsBreak!A:A,TicketsBreak!F:F,"",0),0)</f>
        <v>0.5208333333</v>
      </c>
      <c r="J208" s="316">
        <f t="array" ref="J208">XLOOKUP(B208,Roster!L:L,Roster!P:P,XLOOKUP(D208,TicketsBreak!A:A,TicketsBreak!G:G,"",0),0)</f>
        <v>0.6145833333</v>
      </c>
      <c r="K208" s="310">
        <f t="shared" si="4"/>
        <v>46114</v>
      </c>
      <c r="L208" s="317">
        <f t="array" ref="L208">(XLOOKUP(D208,Roster!F:F,Roster!D:D,"",0))</f>
        <v>8</v>
      </c>
      <c r="M208" s="317" t="str">
        <f t="array" ref="M208">XLOOKUP(D208,Roster!F:F,Roster!E:E)</f>
        <v>Tickets</v>
      </c>
      <c r="N208" s="317" t="str">
        <f t="shared" ref="N208:P208" si="215">LEFT(H208,5)</f>
        <v>09:30</v>
      </c>
      <c r="O208" s="317" t="str">
        <f t="shared" si="215"/>
        <v>12:30</v>
      </c>
      <c r="P208" s="317" t="str">
        <f t="shared" si="215"/>
        <v>14:45</v>
      </c>
      <c r="Q208" s="318">
        <f t="shared" si="98"/>
        <v>46114.39583</v>
      </c>
      <c r="R208" s="318">
        <f t="shared" si="99"/>
        <v>46114.52083</v>
      </c>
      <c r="S208" s="318">
        <f t="shared" si="8"/>
        <v>46114.61458</v>
      </c>
    </row>
    <row r="209">
      <c r="A209" s="14" t="str">
        <f t="shared" si="1"/>
        <v>C156846114</v>
      </c>
      <c r="B209" s="185">
        <f t="array" ref="B209">IF(F209="VL","",IF(F209="Free","Free",XLOOKUP(D209,Roster!T:T,Roster!S:S,"",0)))</f>
        <v>122</v>
      </c>
      <c r="C209" s="313">
        <v>46114.0</v>
      </c>
      <c r="D209" s="314" t="s">
        <v>49</v>
      </c>
      <c r="E209" s="307" t="str">
        <f t="array" ref="E209">(XLOOKUP(D209,Roster!F:F,Roster!B:B,"",0))</f>
        <v>Juan Zapata</v>
      </c>
      <c r="F209" s="315" t="str">
        <f t="array" ref="F209">IF(B209=100,"Free",TEXT(XLOOKUP($D209,OperationVoice!$A:$A,OperationVoice!H:H,XLOOKUP($D209,OperationTickets!$A:$A,OperationTickets!H:H,"",0)),"hh:mm"))</f>
        <v>08:00</v>
      </c>
      <c r="G209" s="309">
        <f t="shared" si="3"/>
        <v>0.7083333333</v>
      </c>
      <c r="H209" s="316" t="str">
        <f t="array" ref="H209">XLOOKUP(B209,Roster!L:L,Roster!N:N,XLOOKUP(D209,TicketsBreak!A:A,TicketsBreak!E:E,"",0),0)</f>
        <v>09:30 - 09:45</v>
      </c>
      <c r="I209" s="316" t="str">
        <f t="array" ref="I209">XLOOKUP(B209,Roster!L:L,Roster!O:O,XLOOKUP(D209,TicketsBreak!A:A,TicketsBreak!F:F,"",0),0)</f>
        <v>12:00 - 12:30</v>
      </c>
      <c r="J209" s="316" t="str">
        <f t="array" ref="J209">XLOOKUP(B209,Roster!L:L,Roster!P:P,XLOOKUP(D209,TicketsBreak!A:A,TicketsBreak!G:G,"",0),0)</f>
        <v>14:45 - 15:00</v>
      </c>
      <c r="K209" s="310">
        <f t="shared" si="4"/>
        <v>46114</v>
      </c>
      <c r="L209" s="317">
        <f t="array" ref="L209">(XLOOKUP(D209,Roster!F:F,Roster!D:D,"",0))</f>
        <v>38</v>
      </c>
      <c r="M209" s="317" t="str">
        <f t="array" ref="M209">XLOOKUP(D209,Roster!F:F,Roster!E:E)</f>
        <v>Voice</v>
      </c>
      <c r="N209" s="317" t="str">
        <f t="shared" ref="N209:P209" si="216">LEFT(H209,5)</f>
        <v>09:30</v>
      </c>
      <c r="O209" s="317" t="str">
        <f t="shared" si="216"/>
        <v>12:00</v>
      </c>
      <c r="P209" s="317" t="str">
        <f t="shared" si="216"/>
        <v>14:45</v>
      </c>
      <c r="Q209" s="318">
        <f t="shared" si="98"/>
        <v>46114.39583</v>
      </c>
      <c r="R209" s="318">
        <f t="shared" si="99"/>
        <v>46114.5</v>
      </c>
      <c r="S209" s="318">
        <f t="shared" si="8"/>
        <v>46114.61458</v>
      </c>
    </row>
    <row r="210">
      <c r="A210" s="14" t="str">
        <f t="shared" si="1"/>
        <v>C75546114</v>
      </c>
      <c r="B210" s="185" t="str">
        <f t="array" ref="B210">IF(F210="VL","",IF(F210="Free","Free",XLOOKUP(D210,Roster!T:T,Roster!S:S,"",0)))</f>
        <v/>
      </c>
      <c r="C210" s="313">
        <v>46114.0</v>
      </c>
      <c r="D210" s="314" t="s">
        <v>143</v>
      </c>
      <c r="E210" s="307" t="str">
        <f t="array" ref="E210">(XLOOKUP(D210,Roster!F:F,Roster!B:B,"",0))</f>
        <v>Julian Higuita</v>
      </c>
      <c r="F210" s="315" t="str">
        <f t="array" ref="F210">IF(B210=100,"Free",TEXT(XLOOKUP($D210,OperationVoice!$A:$A,OperationVoice!H:H,XLOOKUP($D210,OperationTickets!$A:$A,OperationTickets!H:H,"",0)),"hh:mm"))</f>
        <v>10:00</v>
      </c>
      <c r="G210" s="309">
        <f t="shared" si="3"/>
        <v>0.7916666667</v>
      </c>
      <c r="H210" s="316" t="str">
        <f t="array" ref="H210">XLOOKUP(B210,Roster!L:L,Roster!N:N,XLOOKUP(D210,TicketsBreak!A:A,TicketsBreak!E:E,"",0),0)</f>
        <v/>
      </c>
      <c r="I210" s="316" t="str">
        <f t="array" ref="I210">XLOOKUP(B210,Roster!L:L,Roster!O:O,XLOOKUP(D210,TicketsBreak!A:A,TicketsBreak!F:F,"",0),0)</f>
        <v/>
      </c>
      <c r="J210" s="316" t="str">
        <f t="array" ref="J210">XLOOKUP(B210,Roster!L:L,Roster!P:P,XLOOKUP(D210,TicketsBreak!A:A,TicketsBreak!G:G,"",0),0)</f>
        <v/>
      </c>
      <c r="K210" s="310">
        <f t="shared" si="4"/>
        <v>46114</v>
      </c>
      <c r="L210" s="317">
        <f t="array" ref="L210">(XLOOKUP(D210,Roster!F:F,Roster!D:D,"",0))</f>
        <v>35</v>
      </c>
      <c r="M210" s="317" t="str">
        <f t="array" ref="M210">XLOOKUP(D210,Roster!F:F,Roster!E:E)</f>
        <v>Tickets</v>
      </c>
      <c r="N210" s="317" t="str">
        <f t="shared" ref="N210:P210" si="217">LEFT(H210,5)</f>
        <v/>
      </c>
      <c r="O210" s="317" t="str">
        <f t="shared" si="217"/>
        <v/>
      </c>
      <c r="P210" s="317" t="str">
        <f t="shared" si="217"/>
        <v/>
      </c>
      <c r="Q210" s="318" t="str">
        <f t="shared" si="98"/>
        <v/>
      </c>
      <c r="R210" s="318" t="str">
        <f t="shared" si="99"/>
        <v/>
      </c>
      <c r="S210" s="318" t="str">
        <f t="shared" si="8"/>
        <v/>
      </c>
    </row>
    <row r="211">
      <c r="A211" s="14" t="str">
        <f t="shared" si="1"/>
        <v>C52546114</v>
      </c>
      <c r="B211" s="185" t="str">
        <f t="array" ref="B211">IF(F211="VL","",IF(F211="Free","Free",XLOOKUP(D211,Roster!T:T,Roster!S:S,"",0)))</f>
        <v/>
      </c>
      <c r="C211" s="313">
        <v>46114.0</v>
      </c>
      <c r="D211" s="314" t="s">
        <v>176</v>
      </c>
      <c r="E211" s="307" t="str">
        <f t="array" ref="E211">(XLOOKUP(D211,Roster!F:F,Roster!B:B,"",0))</f>
        <v>Julian Pineda</v>
      </c>
      <c r="F211" s="315" t="str">
        <f t="array" ref="F211">IF(B211=100,"Free",TEXT(XLOOKUP($D211,OperationVoice!$A:$A,OperationVoice!H:H,XLOOKUP($D211,OperationTickets!$A:$A,OperationTickets!H:H,"",0)),"hh:mm"))</f>
        <v>08:00</v>
      </c>
      <c r="G211" s="309">
        <f t="shared" si="3"/>
        <v>0.7083333333</v>
      </c>
      <c r="H211" s="316" t="str">
        <f t="array" ref="H211">XLOOKUP(B211,Roster!L:L,Roster!N:N,XLOOKUP(D211,TicketsBreak!A:A,TicketsBreak!E:E,"",0),0)</f>
        <v/>
      </c>
      <c r="I211" s="316" t="str">
        <f t="array" ref="I211">XLOOKUP(B211,Roster!L:L,Roster!O:O,XLOOKUP(D211,TicketsBreak!A:A,TicketsBreak!F:F,"",0),0)</f>
        <v/>
      </c>
      <c r="J211" s="316" t="str">
        <f t="array" ref="J211">XLOOKUP(B211,Roster!L:L,Roster!P:P,XLOOKUP(D211,TicketsBreak!A:A,TicketsBreak!G:G,"",0),0)</f>
        <v/>
      </c>
      <c r="K211" s="310">
        <f t="shared" si="4"/>
        <v>46114</v>
      </c>
      <c r="L211" s="317">
        <f t="array" ref="L211">(XLOOKUP(D211,Roster!F:F,Roster!D:D,"",0))</f>
        <v>35</v>
      </c>
      <c r="M211" s="317" t="str">
        <f t="array" ref="M211">XLOOKUP(D211,Roster!F:F,Roster!E:E)</f>
        <v>Tickets</v>
      </c>
      <c r="N211" s="317" t="str">
        <f t="shared" ref="N211:P211" si="218">LEFT(H211,5)</f>
        <v/>
      </c>
      <c r="O211" s="317" t="str">
        <f t="shared" si="218"/>
        <v/>
      </c>
      <c r="P211" s="317" t="str">
        <f t="shared" si="218"/>
        <v/>
      </c>
      <c r="Q211" s="318" t="str">
        <f t="shared" si="98"/>
        <v/>
      </c>
      <c r="R211" s="318" t="str">
        <f t="shared" si="99"/>
        <v/>
      </c>
      <c r="S211" s="318" t="str">
        <f t="shared" si="8"/>
        <v/>
      </c>
    </row>
    <row r="212">
      <c r="A212" s="14" t="str">
        <f t="shared" si="1"/>
        <v>C142746114</v>
      </c>
      <c r="B212" s="185">
        <f t="array" ref="B212">IF(F212="VL","",IF(F212="Free","Free",XLOOKUP(D212,Roster!T:T,Roster!S:S,"",0)))</f>
        <v>123</v>
      </c>
      <c r="C212" s="313">
        <v>46114.0</v>
      </c>
      <c r="D212" s="314" t="s">
        <v>50</v>
      </c>
      <c r="E212" s="307" t="str">
        <f t="array" ref="E212">(XLOOKUP(D212,Roster!F:F,Roster!B:B,"",0))</f>
        <v>Karen Lorena Martinez</v>
      </c>
      <c r="F212" s="315" t="str">
        <f t="array" ref="F212">IF(B212=100,"Free",TEXT(XLOOKUP($D212,OperationVoice!$A:$A,OperationVoice!H:H,XLOOKUP($D212,OperationTickets!$A:$A,OperationTickets!H:H,"",0)),"hh:mm"))</f>
        <v>08:00</v>
      </c>
      <c r="G212" s="309">
        <f t="shared" si="3"/>
        <v>0.7083333333</v>
      </c>
      <c r="H212" s="316" t="str">
        <f t="array" ref="H212">XLOOKUP(B212,Roster!L:L,Roster!N:N,XLOOKUP(D212,TicketsBreak!A:A,TicketsBreak!E:E,"",0),0)</f>
        <v>09:45 - 10:00 </v>
      </c>
      <c r="I212" s="316" t="str">
        <f t="array" ref="I212">XLOOKUP(B212,Roster!L:L,Roster!O:O,XLOOKUP(D212,TicketsBreak!A:A,TicketsBreak!F:F,"",0),0)</f>
        <v>12:30 - 13:00</v>
      </c>
      <c r="J212" s="316" t="str">
        <f t="array" ref="J212">XLOOKUP(B212,Roster!L:L,Roster!P:P,XLOOKUP(D212,TicketsBreak!A:A,TicketsBreak!G:G,"",0),0)</f>
        <v>15:00 - 15:15</v>
      </c>
      <c r="K212" s="310">
        <f t="shared" si="4"/>
        <v>46114</v>
      </c>
      <c r="L212" s="317">
        <f t="array" ref="L212">(XLOOKUP(D212,Roster!F:F,Roster!D:D,"",0))</f>
        <v>32</v>
      </c>
      <c r="M212" s="317" t="str">
        <f t="array" ref="M212">XLOOKUP(D212,Roster!F:F,Roster!E:E)</f>
        <v>Voice</v>
      </c>
      <c r="N212" s="317" t="str">
        <f t="shared" ref="N212:P212" si="219">LEFT(H212,5)</f>
        <v>09:45</v>
      </c>
      <c r="O212" s="317" t="str">
        <f t="shared" si="219"/>
        <v>12:30</v>
      </c>
      <c r="P212" s="317" t="str">
        <f t="shared" si="219"/>
        <v>15:00</v>
      </c>
      <c r="Q212" s="318">
        <f t="shared" si="98"/>
        <v>46114.40625</v>
      </c>
      <c r="R212" s="318">
        <f t="shared" si="99"/>
        <v>46114.52083</v>
      </c>
      <c r="S212" s="318">
        <f t="shared" si="8"/>
        <v>46114.625</v>
      </c>
    </row>
    <row r="213">
      <c r="A213" s="14" t="str">
        <f t="shared" si="1"/>
        <v>C57946114</v>
      </c>
      <c r="B213" s="185" t="str">
        <f t="array" ref="B213">IF(F213="VL","",IF(F213="Free","Free",XLOOKUP(D213,Roster!T:T,Roster!S:S,"",0)))</f>
        <v/>
      </c>
      <c r="C213" s="313">
        <v>46114.0</v>
      </c>
      <c r="D213" s="314" t="s">
        <v>144</v>
      </c>
      <c r="E213" s="307" t="str">
        <f t="array" ref="E213">(XLOOKUP(D213,Roster!F:F,Roster!B:B,"",0))</f>
        <v>Karen Martinez</v>
      </c>
      <c r="F213" s="315" t="str">
        <f t="array" ref="F213">IF(B213=100,"Free",TEXT(XLOOKUP($D213,OperationVoice!$A:$A,OperationVoice!H:H,XLOOKUP($D213,OperationTickets!$A:$A,OperationTickets!H:H,"",0)),"hh:mm"))</f>
        <v>08:00</v>
      </c>
      <c r="G213" s="309">
        <f t="shared" si="3"/>
        <v>0.7083333333</v>
      </c>
      <c r="H213" s="316">
        <f t="array" ref="H213">XLOOKUP(B213,Roster!L:L,Roster!N:N,XLOOKUP(D213,TicketsBreak!A:A,TicketsBreak!E:E,"",0),0)</f>
        <v>0.4166666667</v>
      </c>
      <c r="I213" s="316">
        <f t="array" ref="I213">XLOOKUP(B213,Roster!L:L,Roster!O:O,XLOOKUP(D213,TicketsBreak!A:A,TicketsBreak!F:F,"",0),0)</f>
        <v>0.5</v>
      </c>
      <c r="J213" s="316">
        <f t="array" ref="J213">XLOOKUP(B213,Roster!L:L,Roster!P:P,XLOOKUP(D213,TicketsBreak!A:A,TicketsBreak!G:G,"",0),0)</f>
        <v>0.625</v>
      </c>
      <c r="K213" s="310">
        <f t="shared" si="4"/>
        <v>46114</v>
      </c>
      <c r="L213" s="317">
        <f t="array" ref="L213">(XLOOKUP(D213,Roster!F:F,Roster!D:D,"",0))</f>
        <v>4</v>
      </c>
      <c r="M213" s="317" t="str">
        <f t="array" ref="M213">XLOOKUP(D213,Roster!F:F,Roster!E:E)</f>
        <v>Tickets</v>
      </c>
      <c r="N213" s="317" t="str">
        <f t="shared" ref="N213:P213" si="220">LEFT(H213,5)</f>
        <v>10:00</v>
      </c>
      <c r="O213" s="317" t="str">
        <f t="shared" si="220"/>
        <v>12:00</v>
      </c>
      <c r="P213" s="317" t="str">
        <f t="shared" si="220"/>
        <v>15:00</v>
      </c>
      <c r="Q213" s="318">
        <f t="shared" si="98"/>
        <v>46114.41667</v>
      </c>
      <c r="R213" s="318">
        <f t="shared" si="99"/>
        <v>46114.5</v>
      </c>
      <c r="S213" s="318">
        <f t="shared" si="8"/>
        <v>46114.625</v>
      </c>
    </row>
    <row r="214">
      <c r="A214" s="14" t="str">
        <f t="shared" si="1"/>
        <v>C108646114</v>
      </c>
      <c r="B214" s="185">
        <f t="array" ref="B214">IF(F214="VL","",IF(F214="Free","Free",XLOOKUP(D214,Roster!T:T,Roster!S:S,"",0)))</f>
        <v>124</v>
      </c>
      <c r="C214" s="313">
        <v>46114.0</v>
      </c>
      <c r="D214" s="314" t="s">
        <v>51</v>
      </c>
      <c r="E214" s="307" t="str">
        <f t="array" ref="E214">(XLOOKUP(D214,Roster!F:F,Roster!B:B,"",0))</f>
        <v>Karen Panqueva</v>
      </c>
      <c r="F214" s="315" t="str">
        <f t="array" ref="F214">IF(B214=100,"Free",TEXT(XLOOKUP($D214,OperationVoice!$A:$A,OperationVoice!H:H,XLOOKUP($D214,OperationTickets!$A:$A,OperationTickets!H:H,"",0)),"hh:mm"))</f>
        <v>08:00</v>
      </c>
      <c r="G214" s="309">
        <f t="shared" si="3"/>
        <v>0.7083333333</v>
      </c>
      <c r="H214" s="316" t="str">
        <f t="array" ref="H214">XLOOKUP(B214,Roster!L:L,Roster!N:N,XLOOKUP(D214,TicketsBreak!A:A,TicketsBreak!E:E,"",0),0)</f>
        <v>10:00 - 10:15</v>
      </c>
      <c r="I214" s="316" t="str">
        <f t="array" ref="I214">XLOOKUP(B214,Roster!L:L,Roster!O:O,XLOOKUP(D214,TicketsBreak!A:A,TicketsBreak!F:F,"",0),0)</f>
        <v>13:00 - 13:30</v>
      </c>
      <c r="J214" s="316" t="str">
        <f t="array" ref="J214">XLOOKUP(B214,Roster!L:L,Roster!P:P,XLOOKUP(D214,TicketsBreak!A:A,TicketsBreak!G:G,"",0),0)</f>
        <v>15:30 - 15:45</v>
      </c>
      <c r="K214" s="310">
        <f t="shared" si="4"/>
        <v>46114</v>
      </c>
      <c r="L214" s="317">
        <f t="array" ref="L214">(XLOOKUP(D214,Roster!F:F,Roster!D:D,"",0))</f>
        <v>19</v>
      </c>
      <c r="M214" s="317" t="str">
        <f t="array" ref="M214">XLOOKUP(D214,Roster!F:F,Roster!E:E)</f>
        <v>Voice</v>
      </c>
      <c r="N214" s="317" t="str">
        <f t="shared" ref="N214:P214" si="221">LEFT(H214,5)</f>
        <v>10:00</v>
      </c>
      <c r="O214" s="317" t="str">
        <f t="shared" si="221"/>
        <v>13:00</v>
      </c>
      <c r="P214" s="317" t="str">
        <f t="shared" si="221"/>
        <v>15:30</v>
      </c>
      <c r="Q214" s="318">
        <f t="shared" si="98"/>
        <v>46114.41667</v>
      </c>
      <c r="R214" s="318">
        <f t="shared" si="99"/>
        <v>46114.54167</v>
      </c>
      <c r="S214" s="318">
        <f t="shared" si="8"/>
        <v>46114.64583</v>
      </c>
    </row>
    <row r="215">
      <c r="A215" s="14" t="str">
        <f t="shared" si="1"/>
        <v>C149246114</v>
      </c>
      <c r="B215" s="185">
        <f t="array" ref="B215">IF(F215="VL","",IF(F215="Free","Free",XLOOKUP(D215,Roster!T:T,Roster!S:S,"",0)))</f>
        <v>125</v>
      </c>
      <c r="C215" s="313">
        <v>46114.0</v>
      </c>
      <c r="D215" s="314" t="s">
        <v>52</v>
      </c>
      <c r="E215" s="307" t="str">
        <f t="array" ref="E215">(XLOOKUP(D215,Roster!F:F,Roster!B:B,"",0))</f>
        <v>Karol Pineda</v>
      </c>
      <c r="F215" s="315" t="str">
        <f t="array" ref="F215">IF(B215=100,"Free",TEXT(XLOOKUP($D215,OperationVoice!$A:$A,OperationVoice!H:H,XLOOKUP($D215,OperationTickets!$A:$A,OperationTickets!H:H,"",0)),"hh:mm"))</f>
        <v>08:00</v>
      </c>
      <c r="G215" s="309">
        <f t="shared" si="3"/>
        <v>0.7083333333</v>
      </c>
      <c r="H215" s="316" t="str">
        <f t="array" ref="H215">XLOOKUP(B215,Roster!L:L,Roster!N:N,XLOOKUP(D215,TicketsBreak!A:A,TicketsBreak!E:E,"",0),0)</f>
        <v>10:30 - 10:45</v>
      </c>
      <c r="I215" s="316" t="str">
        <f t="array" ref="I215">XLOOKUP(B215,Roster!L:L,Roster!O:O,XLOOKUP(D215,TicketsBreak!A:A,TicketsBreak!F:F,"",0),0)</f>
        <v>13:30 - 14:00</v>
      </c>
      <c r="J215" s="316" t="str">
        <f t="array" ref="J215">XLOOKUP(B215,Roster!L:L,Roster!P:P,XLOOKUP(D215,TicketsBreak!A:A,TicketsBreak!G:G,"",0),0)</f>
        <v>15:45 - 16:00</v>
      </c>
      <c r="K215" s="310">
        <f t="shared" si="4"/>
        <v>46114</v>
      </c>
      <c r="L215" s="317">
        <f t="array" ref="L215">(XLOOKUP(D215,Roster!F:F,Roster!D:D,"",0))</f>
        <v>34</v>
      </c>
      <c r="M215" s="317" t="str">
        <f t="array" ref="M215">XLOOKUP(D215,Roster!F:F,Roster!E:E)</f>
        <v>Voice</v>
      </c>
      <c r="N215" s="317" t="str">
        <f t="shared" ref="N215:P215" si="222">LEFT(H215,5)</f>
        <v>10:30</v>
      </c>
      <c r="O215" s="317" t="str">
        <f t="shared" si="222"/>
        <v>13:30</v>
      </c>
      <c r="P215" s="317" t="str">
        <f t="shared" si="222"/>
        <v>15:45</v>
      </c>
      <c r="Q215" s="318">
        <f t="shared" si="98"/>
        <v>46114.4375</v>
      </c>
      <c r="R215" s="318">
        <f t="shared" si="99"/>
        <v>46114.5625</v>
      </c>
      <c r="S215" s="318">
        <f t="shared" si="8"/>
        <v>46114.65625</v>
      </c>
    </row>
    <row r="216">
      <c r="A216" s="14" t="str">
        <f t="shared" si="1"/>
        <v>C65846114</v>
      </c>
      <c r="B216" s="185">
        <f t="array" ref="B216">IF(F216="VL","",IF(F216="Free","Free",XLOOKUP(D216,Roster!T:T,Roster!S:S,"",0)))</f>
        <v>112</v>
      </c>
      <c r="C216" s="313">
        <v>46114.0</v>
      </c>
      <c r="D216" s="314" t="s">
        <v>53</v>
      </c>
      <c r="E216" s="307" t="str">
        <f t="array" ref="E216">(XLOOKUP(D216,Roster!F:F,Roster!B:B,"",0))</f>
        <v>Kennedy Giraldo</v>
      </c>
      <c r="F216" s="315" t="str">
        <f t="array" ref="F216">IF(B216=100,"Free",TEXT(XLOOKUP($D216,OperationVoice!$A:$A,OperationVoice!H:H,XLOOKUP($D216,OperationTickets!$A:$A,OperationTickets!H:H,"",0)),"hh:mm"))</f>
        <v>07:00</v>
      </c>
      <c r="G216" s="309">
        <f t="shared" si="3"/>
        <v>0.6666666667</v>
      </c>
      <c r="H216" s="316" t="str">
        <f t="array" ref="H216">XLOOKUP(B216,Roster!L:L,Roster!N:N,XLOOKUP(D216,TicketsBreak!A:A,TicketsBreak!E:E,"",0),0)</f>
        <v>09:30 - 09:45</v>
      </c>
      <c r="I216" s="316" t="str">
        <f t="array" ref="I216">XLOOKUP(B216,Roster!L:L,Roster!O:O,XLOOKUP(D216,TicketsBreak!A:A,TicketsBreak!F:F,"",0),0)</f>
        <v>12:15 - 12:45</v>
      </c>
      <c r="J216" s="316" t="str">
        <f t="array" ref="J216">XLOOKUP(B216,Roster!L:L,Roster!P:P,XLOOKUP(D216,TicketsBreak!A:A,TicketsBreak!G:G,"",0),0)</f>
        <v>14:45 - 15:00</v>
      </c>
      <c r="K216" s="310">
        <f t="shared" si="4"/>
        <v>46114</v>
      </c>
      <c r="L216" s="317">
        <f t="array" ref="L216">(XLOOKUP(D216,Roster!F:F,Roster!D:D,"",0))</f>
        <v>2</v>
      </c>
      <c r="M216" s="317" t="str">
        <f t="array" ref="M216">XLOOKUP(D216,Roster!F:F,Roster!E:E)</f>
        <v>Voice</v>
      </c>
      <c r="N216" s="317" t="str">
        <f t="shared" ref="N216:P216" si="223">LEFT(H216,5)</f>
        <v>09:30</v>
      </c>
      <c r="O216" s="317" t="str">
        <f t="shared" si="223"/>
        <v>12:15</v>
      </c>
      <c r="P216" s="317" t="str">
        <f t="shared" si="223"/>
        <v>14:45</v>
      </c>
      <c r="Q216" s="318">
        <f t="shared" si="98"/>
        <v>46114.39583</v>
      </c>
      <c r="R216" s="318">
        <f t="shared" si="99"/>
        <v>46114.51042</v>
      </c>
      <c r="S216" s="318">
        <f t="shared" si="8"/>
        <v>46114.61458</v>
      </c>
    </row>
    <row r="217">
      <c r="A217" s="14" t="str">
        <f t="shared" si="1"/>
        <v>C151446114</v>
      </c>
      <c r="B217" s="185">
        <f t="array" ref="B217">IF(F217="VL","",IF(F217="Free","Free",XLOOKUP(D217,Roster!T:T,Roster!S:S,"",0)))</f>
        <v>122</v>
      </c>
      <c r="C217" s="313">
        <v>46114.0</v>
      </c>
      <c r="D217" s="314" t="s">
        <v>54</v>
      </c>
      <c r="E217" s="307" t="str">
        <f t="array" ref="E217">(XLOOKUP(D217,Roster!F:F,Roster!B:B,"",0))</f>
        <v>Kevin Betancur</v>
      </c>
      <c r="F217" s="315" t="str">
        <f t="array" ref="F217">IF(B217=100,"Free",TEXT(XLOOKUP($D217,OperationVoice!$A:$A,OperationVoice!H:H,XLOOKUP($D217,OperationTickets!$A:$A,OperationTickets!H:H,"",0)),"hh:mm"))</f>
        <v>08:00</v>
      </c>
      <c r="G217" s="309">
        <f t="shared" si="3"/>
        <v>0.7083333333</v>
      </c>
      <c r="H217" s="316" t="str">
        <f t="array" ref="H217">XLOOKUP(B217,Roster!L:L,Roster!N:N,XLOOKUP(D217,TicketsBreak!A:A,TicketsBreak!E:E,"",0),0)</f>
        <v>09:30 - 09:45</v>
      </c>
      <c r="I217" s="316" t="str">
        <f t="array" ref="I217">XLOOKUP(B217,Roster!L:L,Roster!O:O,XLOOKUP(D217,TicketsBreak!A:A,TicketsBreak!F:F,"",0),0)</f>
        <v>12:00 - 12:30</v>
      </c>
      <c r="J217" s="316" t="str">
        <f t="array" ref="J217">XLOOKUP(B217,Roster!L:L,Roster!P:P,XLOOKUP(D217,TicketsBreak!A:A,TicketsBreak!G:G,"",0),0)</f>
        <v>14:45 - 15:00</v>
      </c>
      <c r="K217" s="310">
        <f t="shared" si="4"/>
        <v>46114</v>
      </c>
      <c r="L217" s="317">
        <f t="array" ref="L217">(XLOOKUP(D217,Roster!F:F,Roster!D:D,"",0))</f>
        <v>35</v>
      </c>
      <c r="M217" s="317" t="str">
        <f t="array" ref="M217">XLOOKUP(D217,Roster!F:F,Roster!E:E)</f>
        <v>Voice</v>
      </c>
      <c r="N217" s="317" t="str">
        <f t="shared" ref="N217:P217" si="224">LEFT(H217,5)</f>
        <v>09:30</v>
      </c>
      <c r="O217" s="317" t="str">
        <f t="shared" si="224"/>
        <v>12:00</v>
      </c>
      <c r="P217" s="317" t="str">
        <f t="shared" si="224"/>
        <v>14:45</v>
      </c>
      <c r="Q217" s="318">
        <f t="shared" si="98"/>
        <v>46114.39583</v>
      </c>
      <c r="R217" s="318">
        <f t="shared" si="99"/>
        <v>46114.5</v>
      </c>
      <c r="S217" s="318">
        <f t="shared" si="8"/>
        <v>46114.61458</v>
      </c>
    </row>
    <row r="218">
      <c r="A218" s="14" t="str">
        <f t="shared" si="1"/>
        <v>C157146114</v>
      </c>
      <c r="B218" s="185">
        <f t="array" ref="B218">IF(F218="VL","",IF(F218="Free","Free",XLOOKUP(D218,Roster!T:T,Roster!S:S,"",0)))</f>
        <v>123</v>
      </c>
      <c r="C218" s="313">
        <v>46114.0</v>
      </c>
      <c r="D218" s="314" t="s">
        <v>55</v>
      </c>
      <c r="E218" s="307" t="str">
        <f t="array" ref="E218">(XLOOKUP(D218,Roster!F:F,Roster!B:B,"",0))</f>
        <v>Laura Chamorro</v>
      </c>
      <c r="F218" s="315" t="str">
        <f t="array" ref="F218">IF(B218=100,"Free",TEXT(XLOOKUP($D218,OperationVoice!$A:$A,OperationVoice!H:H,XLOOKUP($D218,OperationTickets!$A:$A,OperationTickets!H:H,"",0)),"hh:mm"))</f>
        <v>08:00</v>
      </c>
      <c r="G218" s="309">
        <f t="shared" si="3"/>
        <v>0.7083333333</v>
      </c>
      <c r="H218" s="316" t="str">
        <f t="array" ref="H218">XLOOKUP(B218,Roster!L:L,Roster!N:N,XLOOKUP(D218,TicketsBreak!A:A,TicketsBreak!E:E,"",0),0)</f>
        <v>09:45 - 10:00 </v>
      </c>
      <c r="I218" s="316" t="str">
        <f t="array" ref="I218">XLOOKUP(B218,Roster!L:L,Roster!O:O,XLOOKUP(D218,TicketsBreak!A:A,TicketsBreak!F:F,"",0),0)</f>
        <v>12:30 - 13:00</v>
      </c>
      <c r="J218" s="316" t="str">
        <f t="array" ref="J218">XLOOKUP(B218,Roster!L:L,Roster!P:P,XLOOKUP(D218,TicketsBreak!A:A,TicketsBreak!G:G,"",0),0)</f>
        <v>15:00 - 15:15</v>
      </c>
      <c r="K218" s="310">
        <f t="shared" si="4"/>
        <v>46114</v>
      </c>
      <c r="L218" s="317">
        <f t="array" ref="L218">(XLOOKUP(D218,Roster!F:F,Roster!D:D,"",0))</f>
        <v>38</v>
      </c>
      <c r="M218" s="317" t="str">
        <f t="array" ref="M218">XLOOKUP(D218,Roster!F:F,Roster!E:E)</f>
        <v>Voice</v>
      </c>
      <c r="N218" s="317" t="str">
        <f t="shared" ref="N218:P218" si="225">LEFT(H218,5)</f>
        <v>09:45</v>
      </c>
      <c r="O218" s="317" t="str">
        <f t="shared" si="225"/>
        <v>12:30</v>
      </c>
      <c r="P218" s="317" t="str">
        <f t="shared" si="225"/>
        <v>15:00</v>
      </c>
      <c r="Q218" s="318">
        <f t="shared" si="98"/>
        <v>46114.40625</v>
      </c>
      <c r="R218" s="318">
        <f t="shared" si="99"/>
        <v>46114.52083</v>
      </c>
      <c r="S218" s="318">
        <f t="shared" si="8"/>
        <v>46114.625</v>
      </c>
    </row>
    <row r="219">
      <c r="A219" s="14" t="str">
        <f t="shared" si="1"/>
        <v>C53446114</v>
      </c>
      <c r="B219" s="185" t="str">
        <f t="array" ref="B219">IF(F219="VL","",IF(F219="Free","Free",XLOOKUP(D219,Roster!T:T,Roster!S:S,"",0)))</f>
        <v/>
      </c>
      <c r="C219" s="313">
        <v>46114.0</v>
      </c>
      <c r="D219" s="314" t="s">
        <v>177</v>
      </c>
      <c r="E219" s="307" t="str">
        <f t="array" ref="E219">(XLOOKUP(D219,Roster!F:F,Roster!B:B,"",0))</f>
        <v>Leandry La Rosa</v>
      </c>
      <c r="F219" s="315" t="str">
        <f t="array" ref="F219">IF(B219=100,"Free",TEXT(XLOOKUP($D219,OperationVoice!$A:$A,OperationVoice!H:H,XLOOKUP($D219,OperationTickets!$A:$A,OperationTickets!H:H,"",0)),"hh:mm"))</f>
        <v>08:00</v>
      </c>
      <c r="G219" s="309">
        <f t="shared" si="3"/>
        <v>0.7083333333</v>
      </c>
      <c r="H219" s="316">
        <f t="array" ref="H219">XLOOKUP(B219,Roster!L:L,Roster!N:N,XLOOKUP(D219,TicketsBreak!A:A,TicketsBreak!E:E,"",0),0)</f>
        <v>0.40625</v>
      </c>
      <c r="I219" s="316">
        <f t="array" ref="I219">XLOOKUP(B219,Roster!L:L,Roster!O:O,XLOOKUP(D219,TicketsBreak!A:A,TicketsBreak!F:F,"",0),0)</f>
        <v>0.5416666667</v>
      </c>
      <c r="J219" s="316">
        <f t="array" ref="J219">XLOOKUP(B219,Roster!L:L,Roster!P:P,XLOOKUP(D219,TicketsBreak!A:A,TicketsBreak!G:G,"",0),0)</f>
        <v>0.65625</v>
      </c>
      <c r="K219" s="310">
        <f t="shared" si="4"/>
        <v>46114</v>
      </c>
      <c r="L219" s="317">
        <f t="array" ref="L219">(XLOOKUP(D219,Roster!F:F,Roster!D:D,"",0))</f>
        <v>1</v>
      </c>
      <c r="M219" s="317" t="str">
        <f t="array" ref="M219">XLOOKUP(D219,Roster!F:F,Roster!E:E)</f>
        <v>Tickets</v>
      </c>
      <c r="N219" s="317" t="str">
        <f t="shared" ref="N219:P219" si="226">LEFT(H219,5)</f>
        <v>09:45</v>
      </c>
      <c r="O219" s="317" t="str">
        <f t="shared" si="226"/>
        <v>13:00</v>
      </c>
      <c r="P219" s="317" t="str">
        <f t="shared" si="226"/>
        <v>15:45</v>
      </c>
      <c r="Q219" s="318">
        <f t="shared" si="98"/>
        <v>46114.40625</v>
      </c>
      <c r="R219" s="318">
        <f t="shared" si="99"/>
        <v>46114.54167</v>
      </c>
      <c r="S219" s="318">
        <f t="shared" si="8"/>
        <v>46114.65625</v>
      </c>
    </row>
    <row r="220">
      <c r="A220" s="14" t="str">
        <f t="shared" si="1"/>
        <v>C157846114</v>
      </c>
      <c r="B220" s="185" t="str">
        <f t="array" ref="B220">IF(F220="VL","",IF(F220="Free","Free",XLOOKUP(D220,Roster!T:T,Roster!S:S,"",0)))</f>
        <v>Free</v>
      </c>
      <c r="C220" s="313">
        <v>46114.0</v>
      </c>
      <c r="D220" s="314" t="s">
        <v>56</v>
      </c>
      <c r="E220" s="307" t="str">
        <f t="array" ref="E220">(XLOOKUP(D220,Roster!F:F,Roster!B:B,"",0))</f>
        <v>Leonerrichi Caicedo</v>
      </c>
      <c r="F220" s="315" t="str">
        <f t="array" ref="F220">IF(B220=100,"Free",TEXT(XLOOKUP($D220,OperationVoice!$A:$A,OperationVoice!H:H,XLOOKUP($D220,OperationTickets!$A:$A,OperationTickets!H:H,"",0)),"hh:mm"))</f>
        <v>Free</v>
      </c>
      <c r="G220" s="309" t="str">
        <f t="shared" si="3"/>
        <v>Free</v>
      </c>
      <c r="H220" s="316" t="str">
        <f t="array" ref="H220">XLOOKUP(B220,Roster!L:L,Roster!N:N,XLOOKUP(D220,TicketsBreak!A:A,TicketsBreak!E:E,"",0),0)</f>
        <v/>
      </c>
      <c r="I220" s="316" t="str">
        <f t="array" ref="I220">XLOOKUP(B220,Roster!L:L,Roster!O:O,XLOOKUP(D220,TicketsBreak!A:A,TicketsBreak!F:F,"",0),0)</f>
        <v/>
      </c>
      <c r="J220" s="316" t="str">
        <f t="array" ref="J220">XLOOKUP(B220,Roster!L:L,Roster!P:P,XLOOKUP(D220,TicketsBreak!A:A,TicketsBreak!G:G,"",0),0)</f>
        <v/>
      </c>
      <c r="K220" s="310">
        <f t="shared" si="4"/>
        <v>46114</v>
      </c>
      <c r="L220" s="317">
        <f t="array" ref="L220">(XLOOKUP(D220,Roster!F:F,Roster!D:D,"",0))</f>
        <v>38</v>
      </c>
      <c r="M220" s="317" t="str">
        <f t="array" ref="M220">XLOOKUP(D220,Roster!F:F,Roster!E:E)</f>
        <v>Voice</v>
      </c>
      <c r="N220" s="317" t="str">
        <f t="shared" ref="N220:P220" si="227">LEFT(H220,5)</f>
        <v/>
      </c>
      <c r="O220" s="317" t="str">
        <f t="shared" si="227"/>
        <v/>
      </c>
      <c r="P220" s="317" t="str">
        <f t="shared" si="227"/>
        <v/>
      </c>
      <c r="Q220" s="318" t="str">
        <f t="shared" si="98"/>
        <v/>
      </c>
      <c r="R220" s="318" t="str">
        <f t="shared" si="99"/>
        <v/>
      </c>
      <c r="S220" s="318" t="str">
        <f t="shared" si="8"/>
        <v/>
      </c>
    </row>
    <row r="221">
      <c r="A221" s="14" t="str">
        <f t="shared" si="1"/>
        <v>C53546114</v>
      </c>
      <c r="B221" s="185" t="str">
        <f t="array" ref="B221">IF(F221="VL","",IF(F221="Free","Free",XLOOKUP(D221,Roster!T:T,Roster!S:S,"",0)))</f>
        <v/>
      </c>
      <c r="C221" s="313">
        <v>46114.0</v>
      </c>
      <c r="D221" s="314" t="s">
        <v>145</v>
      </c>
      <c r="E221" s="307" t="str">
        <f t="array" ref="E221">(XLOOKUP(D221,Roster!F:F,Roster!B:B,"",0))</f>
        <v>Lina Cadena</v>
      </c>
      <c r="F221" s="315" t="str">
        <f t="array" ref="F221">IF(B221=100,"Free",TEXT(XLOOKUP($D221,OperationVoice!$A:$A,OperationVoice!H:H,XLOOKUP($D221,OperationTickets!$A:$A,OperationTickets!H:H,"",0)),"hh:mm"))</f>
        <v>08:00</v>
      </c>
      <c r="G221" s="309">
        <f t="shared" si="3"/>
        <v>0.7083333333</v>
      </c>
      <c r="H221" s="316">
        <f t="array" ref="H221">XLOOKUP(B221,Roster!L:L,Roster!N:N,XLOOKUP(D221,TicketsBreak!A:A,TicketsBreak!E:E,"",0),0)</f>
        <v>0.3854166667</v>
      </c>
      <c r="I221" s="316">
        <f t="array" ref="I221">XLOOKUP(B221,Roster!L:L,Roster!O:O,XLOOKUP(D221,TicketsBreak!A:A,TicketsBreak!F:F,"",0),0)</f>
        <v>0.5833333333</v>
      </c>
      <c r="J221" s="316">
        <f t="array" ref="J221">XLOOKUP(B221,Roster!L:L,Roster!P:P,XLOOKUP(D221,TicketsBreak!A:A,TicketsBreak!G:G,"",0),0)</f>
        <v>0.6458333333</v>
      </c>
      <c r="K221" s="310">
        <f t="shared" si="4"/>
        <v>46114</v>
      </c>
      <c r="L221" s="317">
        <f t="array" ref="L221">(XLOOKUP(D221,Roster!F:F,Roster!D:D,"",0))</f>
        <v>2</v>
      </c>
      <c r="M221" s="317" t="str">
        <f t="array" ref="M221">XLOOKUP(D221,Roster!F:F,Roster!E:E)</f>
        <v>Tickets</v>
      </c>
      <c r="N221" s="317" t="str">
        <f t="shared" ref="N221:P221" si="228">LEFT(H221,5)</f>
        <v>09:15</v>
      </c>
      <c r="O221" s="317" t="str">
        <f t="shared" si="228"/>
        <v>14:00</v>
      </c>
      <c r="P221" s="317" t="str">
        <f t="shared" si="228"/>
        <v>15:30</v>
      </c>
      <c r="Q221" s="318">
        <f t="shared" si="98"/>
        <v>46114.38542</v>
      </c>
      <c r="R221" s="318">
        <f t="shared" si="99"/>
        <v>46114.58333</v>
      </c>
      <c r="S221" s="318">
        <f t="shared" si="8"/>
        <v>46114.64583</v>
      </c>
    </row>
    <row r="222">
      <c r="A222" s="14" t="str">
        <f t="shared" si="1"/>
        <v>C151746114</v>
      </c>
      <c r="B222" s="185">
        <f t="array" ref="B222">IF(F222="VL","",IF(F222="Free","Free",XLOOKUP(D222,Roster!T:T,Roster!S:S,"",0)))</f>
        <v>124</v>
      </c>
      <c r="C222" s="313">
        <v>46114.0</v>
      </c>
      <c r="D222" s="314" t="s">
        <v>57</v>
      </c>
      <c r="E222" s="307" t="str">
        <f t="array" ref="E222">(XLOOKUP(D222,Roster!F:F,Roster!B:B,"",0))</f>
        <v>Lisandro Alvarado</v>
      </c>
      <c r="F222" s="315" t="str">
        <f t="array" ref="F222">IF(B222=100,"Free",TEXT(XLOOKUP($D222,OperationVoice!$A:$A,OperationVoice!H:H,XLOOKUP($D222,OperationTickets!$A:$A,OperationTickets!H:H,"",0)),"hh:mm"))</f>
        <v>08:00</v>
      </c>
      <c r="G222" s="309">
        <f t="shared" si="3"/>
        <v>0.7083333333</v>
      </c>
      <c r="H222" s="316" t="str">
        <f t="array" ref="H222">XLOOKUP(B222,Roster!L:L,Roster!N:N,XLOOKUP(D222,TicketsBreak!A:A,TicketsBreak!E:E,"",0),0)</f>
        <v>10:00 - 10:15</v>
      </c>
      <c r="I222" s="316" t="str">
        <f t="array" ref="I222">XLOOKUP(B222,Roster!L:L,Roster!O:O,XLOOKUP(D222,TicketsBreak!A:A,TicketsBreak!F:F,"",0),0)</f>
        <v>13:00 - 13:30</v>
      </c>
      <c r="J222" s="316" t="str">
        <f t="array" ref="J222">XLOOKUP(B222,Roster!L:L,Roster!P:P,XLOOKUP(D222,TicketsBreak!A:A,TicketsBreak!G:G,"",0),0)</f>
        <v>15:30 - 15:45</v>
      </c>
      <c r="K222" s="310">
        <f t="shared" si="4"/>
        <v>46114</v>
      </c>
      <c r="L222" s="317">
        <f t="array" ref="L222">(XLOOKUP(D222,Roster!F:F,Roster!D:D,"",0))</f>
        <v>35</v>
      </c>
      <c r="M222" s="317" t="str">
        <f t="array" ref="M222">XLOOKUP(D222,Roster!F:F,Roster!E:E)</f>
        <v>Voice</v>
      </c>
      <c r="N222" s="317" t="str">
        <f t="shared" ref="N222:P222" si="229">LEFT(H222,5)</f>
        <v>10:00</v>
      </c>
      <c r="O222" s="317" t="str">
        <f t="shared" si="229"/>
        <v>13:00</v>
      </c>
      <c r="P222" s="317" t="str">
        <f t="shared" si="229"/>
        <v>15:30</v>
      </c>
      <c r="Q222" s="318">
        <f t="shared" si="98"/>
        <v>46114.41667</v>
      </c>
      <c r="R222" s="318">
        <f t="shared" si="99"/>
        <v>46114.54167</v>
      </c>
      <c r="S222" s="318">
        <f t="shared" si="8"/>
        <v>46114.64583</v>
      </c>
    </row>
    <row r="223">
      <c r="A223" s="14" t="str">
        <f t="shared" si="1"/>
        <v>C143346114</v>
      </c>
      <c r="B223" s="185">
        <f t="array" ref="B223">IF(F223="VL","",IF(F223="Free","Free",XLOOKUP(D223,Roster!T:T,Roster!S:S,"",0)))</f>
        <v>500</v>
      </c>
      <c r="C223" s="313">
        <v>46114.0</v>
      </c>
      <c r="D223" s="314" t="s">
        <v>58</v>
      </c>
      <c r="E223" s="307" t="str">
        <f t="array" ref="E223">(XLOOKUP(D223,Roster!F:F,Roster!B:B,"",0))</f>
        <v>Luis Lopez</v>
      </c>
      <c r="F223" s="315" t="str">
        <f t="array" ref="F223">IF(B223=100,"Free",TEXT(XLOOKUP($D223,OperationVoice!$A:$A,OperationVoice!H:H,XLOOKUP($D223,OperationTickets!$A:$A,OperationTickets!H:H,"",0)),"hh:mm"))</f>
        <v>13:00</v>
      </c>
      <c r="G223" s="309">
        <f t="shared" si="3"/>
        <v>0.9166666667</v>
      </c>
      <c r="H223" s="316" t="str">
        <f t="array" ref="H223">XLOOKUP(B223,Roster!L:L,Roster!N:N,XLOOKUP(D223,TicketsBreak!A:A,TicketsBreak!E:E,"",0),0)</f>
        <v>Team Leader</v>
      </c>
      <c r="I223" s="316" t="str">
        <f t="array" ref="I223">XLOOKUP(B223,Roster!L:L,Roster!O:O,XLOOKUP(D223,TicketsBreak!A:A,TicketsBreak!F:F,"",0),0)</f>
        <v>Team Leader</v>
      </c>
      <c r="J223" s="316" t="str">
        <f t="array" ref="J223">XLOOKUP(B223,Roster!L:L,Roster!P:P,XLOOKUP(D223,TicketsBreak!A:A,TicketsBreak!G:G,"",0),0)</f>
        <v/>
      </c>
      <c r="K223" s="310">
        <f t="shared" si="4"/>
        <v>46114</v>
      </c>
      <c r="L223" s="317">
        <f t="array" ref="L223">(XLOOKUP(D223,Roster!F:F,Roster!D:D,"",0))</f>
        <v>32</v>
      </c>
      <c r="M223" s="317" t="str">
        <f t="array" ref="M223">XLOOKUP(D223,Roster!F:F,Roster!E:E)</f>
        <v>Voice</v>
      </c>
      <c r="N223" s="317" t="str">
        <f t="shared" ref="N223:P223" si="230">LEFT(H223,5)</f>
        <v>Team </v>
      </c>
      <c r="O223" s="317" t="str">
        <f t="shared" si="230"/>
        <v>Team </v>
      </c>
      <c r="P223" s="317" t="str">
        <f t="shared" si="230"/>
        <v/>
      </c>
      <c r="Q223" s="318" t="str">
        <f t="shared" si="98"/>
        <v>#VALUE!</v>
      </c>
      <c r="R223" s="318" t="str">
        <f t="shared" si="99"/>
        <v>#VALUE!</v>
      </c>
      <c r="S223" s="318" t="str">
        <f t="shared" si="8"/>
        <v/>
      </c>
    </row>
    <row r="224">
      <c r="A224" s="14" t="str">
        <f t="shared" si="1"/>
        <v>C153446114</v>
      </c>
      <c r="B224" s="185">
        <f t="array" ref="B224">IF(F224="VL","",IF(F224="Free","Free",XLOOKUP(D224,Roster!T:T,Roster!S:S,"",0)))</f>
        <v>126</v>
      </c>
      <c r="C224" s="313">
        <v>46114.0</v>
      </c>
      <c r="D224" s="314" t="s">
        <v>59</v>
      </c>
      <c r="E224" s="307" t="str">
        <f t="array" ref="E224">(XLOOKUP(D224,Roster!F:F,Roster!B:B,"",0))</f>
        <v>Luis Munoz</v>
      </c>
      <c r="F224" s="315" t="str">
        <f t="array" ref="F224">IF(B224=100,"Free",TEXT(XLOOKUP($D224,OperationVoice!$A:$A,OperationVoice!H:H,XLOOKUP($D224,OperationTickets!$A:$A,OperationTickets!H:H,"",0)),"hh:mm"))</f>
        <v>08:00</v>
      </c>
      <c r="G224" s="309">
        <f t="shared" si="3"/>
        <v>0.7083333333</v>
      </c>
      <c r="H224" s="316" t="str">
        <f t="array" ref="H224">XLOOKUP(B224,Roster!L:L,Roster!N:N,XLOOKUP(D224,TicketsBreak!A:A,TicketsBreak!E:E,"",0),0)</f>
        <v>10:45 - 11:00</v>
      </c>
      <c r="I224" s="316" t="str">
        <f t="array" ref="I224">XLOOKUP(B224,Roster!L:L,Roster!O:O,XLOOKUP(D224,TicketsBreak!A:A,TicketsBreak!F:F,"",0),0)</f>
        <v>14:00 - 14:30</v>
      </c>
      <c r="J224" s="316" t="str">
        <f t="array" ref="J224">XLOOKUP(B224,Roster!L:L,Roster!P:P,XLOOKUP(D224,TicketsBreak!A:A,TicketsBreak!G:G,"",0),0)</f>
        <v>15:45 - 16:00</v>
      </c>
      <c r="K224" s="310">
        <f t="shared" si="4"/>
        <v>46114</v>
      </c>
      <c r="L224" s="317">
        <f t="array" ref="L224">(XLOOKUP(D224,Roster!F:F,Roster!D:D,"",0))</f>
        <v>36</v>
      </c>
      <c r="M224" s="317" t="str">
        <f t="array" ref="M224">XLOOKUP(D224,Roster!F:F,Roster!E:E)</f>
        <v>Voice</v>
      </c>
      <c r="N224" s="317" t="str">
        <f t="shared" ref="N224:P224" si="231">LEFT(H224,5)</f>
        <v>10:45</v>
      </c>
      <c r="O224" s="317" t="str">
        <f t="shared" si="231"/>
        <v>14:00</v>
      </c>
      <c r="P224" s="317" t="str">
        <f t="shared" si="231"/>
        <v>15:45</v>
      </c>
      <c r="Q224" s="318">
        <f t="shared" si="98"/>
        <v>46114.44792</v>
      </c>
      <c r="R224" s="318">
        <f t="shared" si="99"/>
        <v>46114.58333</v>
      </c>
      <c r="S224" s="318">
        <f t="shared" si="8"/>
        <v>46114.65625</v>
      </c>
    </row>
    <row r="225">
      <c r="A225" s="14" t="str">
        <f t="shared" si="1"/>
        <v>C53846114</v>
      </c>
      <c r="B225" s="185" t="str">
        <f t="array" ref="B225">IF(F225="VL","",IF(F225="Free","Free",XLOOKUP(D225,Roster!T:T,Roster!S:S,"",0)))</f>
        <v/>
      </c>
      <c r="C225" s="313">
        <v>46114.0</v>
      </c>
      <c r="D225" s="314" t="s">
        <v>165</v>
      </c>
      <c r="E225" s="307" t="str">
        <f t="array" ref="E225">(XLOOKUP(D225,Roster!F:F,Roster!B:B,"",0))</f>
        <v>Luisa Arenas</v>
      </c>
      <c r="F225" s="315" t="str">
        <f t="array" ref="F225">IF(B225=100,"Free",TEXT(XLOOKUP($D225,OperationVoice!$A:$A,OperationVoice!H:H,XLOOKUP($D225,OperationTickets!$A:$A,OperationTickets!H:H,"",0)),"hh:mm"))</f>
        <v>08:00</v>
      </c>
      <c r="G225" s="309">
        <f t="shared" si="3"/>
        <v>0.7083333333</v>
      </c>
      <c r="H225" s="316" t="str">
        <f t="array" ref="H225">XLOOKUP(B225,Roster!L:L,Roster!N:N,XLOOKUP(D225,TicketsBreak!A:A,TicketsBreak!E:E,"",0),0)</f>
        <v/>
      </c>
      <c r="I225" s="316" t="str">
        <f t="array" ref="I225">XLOOKUP(B225,Roster!L:L,Roster!O:O,XLOOKUP(D225,TicketsBreak!A:A,TicketsBreak!F:F,"",0),0)</f>
        <v/>
      </c>
      <c r="J225" s="316" t="str">
        <f t="array" ref="J225">XLOOKUP(B225,Roster!L:L,Roster!P:P,XLOOKUP(D225,TicketsBreak!A:A,TicketsBreak!G:G,"",0),0)</f>
        <v/>
      </c>
      <c r="K225" s="310">
        <f t="shared" si="4"/>
        <v>46114</v>
      </c>
      <c r="L225" s="317">
        <f t="array" ref="L225">(XLOOKUP(D225,Roster!F:F,Roster!D:D,"",0))</f>
        <v>35</v>
      </c>
      <c r="M225" s="317" t="str">
        <f t="array" ref="M225">XLOOKUP(D225,Roster!F:F,Roster!E:E)</f>
        <v>Tickets</v>
      </c>
      <c r="N225" s="317" t="str">
        <f t="shared" ref="N225:P225" si="232">LEFT(H225,5)</f>
        <v/>
      </c>
      <c r="O225" s="317" t="str">
        <f t="shared" si="232"/>
        <v/>
      </c>
      <c r="P225" s="317" t="str">
        <f t="shared" si="232"/>
        <v/>
      </c>
      <c r="Q225" s="318" t="str">
        <f t="shared" si="98"/>
        <v/>
      </c>
      <c r="R225" s="318" t="str">
        <f t="shared" si="99"/>
        <v/>
      </c>
      <c r="S225" s="318" t="str">
        <f t="shared" si="8"/>
        <v/>
      </c>
    </row>
    <row r="226">
      <c r="A226" s="14" t="str">
        <f t="shared" si="1"/>
        <v>C113646114</v>
      </c>
      <c r="B226" s="185">
        <f t="array" ref="B226">IF(F226="VL","",IF(F226="Free","Free",XLOOKUP(D226,Roster!T:T,Roster!S:S,"",0)))</f>
        <v>126</v>
      </c>
      <c r="C226" s="313">
        <v>46114.0</v>
      </c>
      <c r="D226" s="314" t="s">
        <v>60</v>
      </c>
      <c r="E226" s="307" t="str">
        <f t="array" ref="E226">(XLOOKUP(D226,Roster!F:F,Roster!B:B,"",0))</f>
        <v>Luisa Gonzalez</v>
      </c>
      <c r="F226" s="315" t="str">
        <f t="array" ref="F226">IF(B226=100,"Free",TEXT(XLOOKUP($D226,OperationVoice!$A:$A,OperationVoice!H:H,XLOOKUP($D226,OperationTickets!$A:$A,OperationTickets!H:H,"",0)),"hh:mm"))</f>
        <v>08:00</v>
      </c>
      <c r="G226" s="309">
        <f t="shared" si="3"/>
        <v>0.7083333333</v>
      </c>
      <c r="H226" s="316" t="str">
        <f t="array" ref="H226">XLOOKUP(B226,Roster!L:L,Roster!N:N,XLOOKUP(D226,TicketsBreak!A:A,TicketsBreak!E:E,"",0),0)</f>
        <v>10:45 - 11:00</v>
      </c>
      <c r="I226" s="316" t="str">
        <f t="array" ref="I226">XLOOKUP(B226,Roster!L:L,Roster!O:O,XLOOKUP(D226,TicketsBreak!A:A,TicketsBreak!F:F,"",0),0)</f>
        <v>14:00 - 14:30</v>
      </c>
      <c r="J226" s="316" t="str">
        <f t="array" ref="J226">XLOOKUP(B226,Roster!L:L,Roster!P:P,XLOOKUP(D226,TicketsBreak!A:A,TicketsBreak!G:G,"",0),0)</f>
        <v>15:45 - 16:00</v>
      </c>
      <c r="K226" s="310">
        <f t="shared" si="4"/>
        <v>46114</v>
      </c>
      <c r="L226" s="317">
        <f t="array" ref="L226">(XLOOKUP(D226,Roster!F:F,Roster!D:D,"",0))</f>
        <v>22</v>
      </c>
      <c r="M226" s="317" t="str">
        <f t="array" ref="M226">XLOOKUP(D226,Roster!F:F,Roster!E:E)</f>
        <v>Voice</v>
      </c>
      <c r="N226" s="317" t="str">
        <f t="shared" ref="N226:P226" si="233">LEFT(H226,5)</f>
        <v>10:45</v>
      </c>
      <c r="O226" s="317" t="str">
        <f t="shared" si="233"/>
        <v>14:00</v>
      </c>
      <c r="P226" s="317" t="str">
        <f t="shared" si="233"/>
        <v>15:45</v>
      </c>
      <c r="Q226" s="318">
        <f t="shared" si="98"/>
        <v>46114.44792</v>
      </c>
      <c r="R226" s="318">
        <f t="shared" si="99"/>
        <v>46114.58333</v>
      </c>
      <c r="S226" s="318">
        <f t="shared" si="8"/>
        <v>46114.65625</v>
      </c>
    </row>
    <row r="227">
      <c r="A227" s="14" t="str">
        <f t="shared" si="1"/>
        <v>C157746114</v>
      </c>
      <c r="B227" s="185">
        <f t="array" ref="B227">IF(F227="VL","",IF(F227="Free","Free",XLOOKUP(D227,Roster!T:T,Roster!S:S,"",0)))</f>
        <v>126</v>
      </c>
      <c r="C227" s="313">
        <v>46114.0</v>
      </c>
      <c r="D227" s="314" t="s">
        <v>61</v>
      </c>
      <c r="E227" s="307" t="str">
        <f t="array" ref="E227">(XLOOKUP(D227,Roster!F:F,Roster!B:B,"",0))</f>
        <v>Luna Morales</v>
      </c>
      <c r="F227" s="315" t="str">
        <f t="array" ref="F227">IF(B227=100,"Free",TEXT(XLOOKUP($D227,OperationVoice!$A:$A,OperationVoice!H:H,XLOOKUP($D227,OperationTickets!$A:$A,OperationTickets!H:H,"",0)),"hh:mm"))</f>
        <v>11:00</v>
      </c>
      <c r="G227" s="309">
        <f t="shared" si="3"/>
        <v>0.8333333333</v>
      </c>
      <c r="H227" s="316" t="str">
        <f t="array" ref="H227">XLOOKUP(B227,Roster!L:L,Roster!N:N,XLOOKUP(D227,TicketsBreak!A:A,TicketsBreak!E:E,"",0),0)</f>
        <v>10:45 - 11:00</v>
      </c>
      <c r="I227" s="316" t="str">
        <f t="array" ref="I227">XLOOKUP(B227,Roster!L:L,Roster!O:O,XLOOKUP(D227,TicketsBreak!A:A,TicketsBreak!F:F,"",0),0)</f>
        <v>14:00 - 14:30</v>
      </c>
      <c r="J227" s="316" t="str">
        <f t="array" ref="J227">XLOOKUP(B227,Roster!L:L,Roster!P:P,XLOOKUP(D227,TicketsBreak!A:A,TicketsBreak!G:G,"",0),0)</f>
        <v>15:45 - 16:00</v>
      </c>
      <c r="K227" s="310">
        <f t="shared" si="4"/>
        <v>46114</v>
      </c>
      <c r="L227" s="317">
        <f t="array" ref="L227">(XLOOKUP(D227,Roster!F:F,Roster!D:D,"",0))</f>
        <v>38</v>
      </c>
      <c r="M227" s="317" t="str">
        <f t="array" ref="M227">XLOOKUP(D227,Roster!F:F,Roster!E:E)</f>
        <v>Voice</v>
      </c>
      <c r="N227" s="317" t="str">
        <f t="shared" ref="N227:P227" si="234">LEFT(H227,5)</f>
        <v>10:45</v>
      </c>
      <c r="O227" s="317" t="str">
        <f t="shared" si="234"/>
        <v>14:00</v>
      </c>
      <c r="P227" s="317" t="str">
        <f t="shared" si="234"/>
        <v>15:45</v>
      </c>
      <c r="Q227" s="318">
        <f t="shared" si="98"/>
        <v>46114.44792</v>
      </c>
      <c r="R227" s="318">
        <f t="shared" si="99"/>
        <v>46114.58333</v>
      </c>
      <c r="S227" s="318">
        <f t="shared" si="8"/>
        <v>46114.65625</v>
      </c>
    </row>
    <row r="228">
      <c r="A228" s="14" t="str">
        <f t="shared" si="1"/>
        <v>C121946114</v>
      </c>
      <c r="B228" s="185" t="str">
        <f t="array" ref="B228">IF(F228="VL","",IF(F228="Free","Free",XLOOKUP(D228,Roster!T:T,Roster!S:S,"",0)))</f>
        <v/>
      </c>
      <c r="C228" s="313">
        <v>46114.0</v>
      </c>
      <c r="D228" s="314" t="s">
        <v>146</v>
      </c>
      <c r="E228" s="307" t="str">
        <f t="array" ref="E228">(XLOOKUP(D228,Roster!F:F,Roster!B:B,"",0))</f>
        <v>Madelyn Jaramillo</v>
      </c>
      <c r="F228" s="315" t="str">
        <f t="array" ref="F228">IF(B228=100,"Free",TEXT(XLOOKUP($D228,OperationVoice!$A:$A,OperationVoice!H:H,XLOOKUP($D228,OperationTickets!$A:$A,OperationTickets!H:H,"",0)),"hh:mm"))</f>
        <v>08:00</v>
      </c>
      <c r="G228" s="309">
        <f t="shared" si="3"/>
        <v>0.7083333333</v>
      </c>
      <c r="H228" s="316" t="str">
        <f t="array" ref="H228">XLOOKUP(B228,Roster!L:L,Roster!N:N,XLOOKUP(D228,TicketsBreak!A:A,TicketsBreak!E:E,"",0),0)</f>
        <v/>
      </c>
      <c r="I228" s="316" t="str">
        <f t="array" ref="I228">XLOOKUP(B228,Roster!L:L,Roster!O:O,XLOOKUP(D228,TicketsBreak!A:A,TicketsBreak!F:F,"",0),0)</f>
        <v/>
      </c>
      <c r="J228" s="316" t="str">
        <f t="array" ref="J228">XLOOKUP(B228,Roster!L:L,Roster!P:P,XLOOKUP(D228,TicketsBreak!A:A,TicketsBreak!G:G,"",0),0)</f>
        <v/>
      </c>
      <c r="K228" s="310">
        <f t="shared" si="4"/>
        <v>46114</v>
      </c>
      <c r="L228" s="317">
        <f t="array" ref="L228">(XLOOKUP(D228,Roster!F:F,Roster!D:D,"",0))</f>
        <v>26</v>
      </c>
      <c r="M228" s="317" t="str">
        <f t="array" ref="M228">XLOOKUP(D228,Roster!F:F,Roster!E:E)</f>
        <v>Tickets</v>
      </c>
      <c r="N228" s="317" t="str">
        <f t="shared" ref="N228:P228" si="235">LEFT(H228,5)</f>
        <v/>
      </c>
      <c r="O228" s="317" t="str">
        <f t="shared" si="235"/>
        <v/>
      </c>
      <c r="P228" s="317" t="str">
        <f t="shared" si="235"/>
        <v/>
      </c>
      <c r="Q228" s="318" t="str">
        <f t="shared" si="98"/>
        <v/>
      </c>
      <c r="R228" s="318" t="str">
        <f t="shared" si="99"/>
        <v/>
      </c>
      <c r="S228" s="318" t="str">
        <f t="shared" si="8"/>
        <v/>
      </c>
    </row>
    <row r="229">
      <c r="A229" s="14" t="str">
        <f t="shared" si="1"/>
        <v>C151646114</v>
      </c>
      <c r="B229" s="185">
        <f t="array" ref="B229">IF(F229="VL","",IF(F229="Free","Free",XLOOKUP(D229,Roster!T:T,Roster!S:S,"",0)))</f>
        <v>122</v>
      </c>
      <c r="C229" s="313">
        <v>46114.0</v>
      </c>
      <c r="D229" s="314" t="s">
        <v>62</v>
      </c>
      <c r="E229" s="307" t="str">
        <f t="array" ref="E229">(XLOOKUP(D229,Roster!F:F,Roster!B:B,"",0))</f>
        <v>Magda Foronda</v>
      </c>
      <c r="F229" s="315" t="str">
        <f t="array" ref="F229">IF(B229=100,"Free",TEXT(XLOOKUP($D229,OperationVoice!$A:$A,OperationVoice!H:H,XLOOKUP($D229,OperationTickets!$A:$A,OperationTickets!H:H,"",0)),"hh:mm"))</f>
        <v>08:00</v>
      </c>
      <c r="G229" s="309">
        <f t="shared" si="3"/>
        <v>0.7083333333</v>
      </c>
      <c r="H229" s="316" t="str">
        <f t="array" ref="H229">XLOOKUP(B229,Roster!L:L,Roster!N:N,XLOOKUP(D229,TicketsBreak!A:A,TicketsBreak!E:E,"",0),0)</f>
        <v>09:30 - 09:45</v>
      </c>
      <c r="I229" s="316" t="str">
        <f t="array" ref="I229">XLOOKUP(B229,Roster!L:L,Roster!O:O,XLOOKUP(D229,TicketsBreak!A:A,TicketsBreak!F:F,"",0),0)</f>
        <v>12:00 - 12:30</v>
      </c>
      <c r="J229" s="316" t="str">
        <f t="array" ref="J229">XLOOKUP(B229,Roster!L:L,Roster!P:P,XLOOKUP(D229,TicketsBreak!A:A,TicketsBreak!G:G,"",0),0)</f>
        <v>14:45 - 15:00</v>
      </c>
      <c r="K229" s="310">
        <f t="shared" si="4"/>
        <v>46114</v>
      </c>
      <c r="L229" s="317">
        <f t="array" ref="L229">(XLOOKUP(D229,Roster!F:F,Roster!D:D,"",0))</f>
        <v>35</v>
      </c>
      <c r="M229" s="317" t="str">
        <f t="array" ref="M229">XLOOKUP(D229,Roster!F:F,Roster!E:E)</f>
        <v>Voice</v>
      </c>
      <c r="N229" s="317" t="str">
        <f t="shared" ref="N229:P229" si="236">LEFT(H229,5)</f>
        <v>09:30</v>
      </c>
      <c r="O229" s="317" t="str">
        <f t="shared" si="236"/>
        <v>12:00</v>
      </c>
      <c r="P229" s="317" t="str">
        <f t="shared" si="236"/>
        <v>14:45</v>
      </c>
      <c r="Q229" s="318">
        <f t="shared" si="98"/>
        <v>46114.39583</v>
      </c>
      <c r="R229" s="318">
        <f t="shared" si="99"/>
        <v>46114.5</v>
      </c>
      <c r="S229" s="318">
        <f t="shared" si="8"/>
        <v>46114.61458</v>
      </c>
    </row>
    <row r="230">
      <c r="A230" s="14" t="str">
        <f t="shared" si="1"/>
        <v>C118046114</v>
      </c>
      <c r="B230" s="185">
        <f t="array" ref="B230">IF(F230="VL","",IF(F230="Free","Free",XLOOKUP(D230,Roster!T:T,Roster!S:S,"",0)))</f>
        <v>500</v>
      </c>
      <c r="C230" s="313">
        <v>46114.0</v>
      </c>
      <c r="D230" s="314" t="s">
        <v>147</v>
      </c>
      <c r="E230" s="307" t="str">
        <f t="array" ref="E230">(XLOOKUP(D230,Roster!F:F,Roster!B:B,"",0))</f>
        <v>Manuela Moreno</v>
      </c>
      <c r="F230" s="315" t="str">
        <f t="array" ref="F230">IF(B230=100,"Free",TEXT(XLOOKUP($D230,OperationVoice!$A:$A,OperationVoice!H:H,XLOOKUP($D230,OperationTickets!$A:$A,OperationTickets!H:H,"",0)),"hh:mm"))</f>
        <v>09:00</v>
      </c>
      <c r="G230" s="309">
        <f t="shared" si="3"/>
        <v>0.75</v>
      </c>
      <c r="H230" s="316" t="str">
        <f t="array" ref="H230">XLOOKUP(B230,Roster!L:L,Roster!N:N,XLOOKUP(D230,TicketsBreak!A:A,TicketsBreak!E:E,"",0),0)</f>
        <v>Team Leader</v>
      </c>
      <c r="I230" s="316" t="str">
        <f t="array" ref="I230">XLOOKUP(B230,Roster!L:L,Roster!O:O,XLOOKUP(D230,TicketsBreak!A:A,TicketsBreak!F:F,"",0),0)</f>
        <v>Team Leader</v>
      </c>
      <c r="J230" s="316" t="str">
        <f t="array" ref="J230">XLOOKUP(B230,Roster!L:L,Roster!P:P,XLOOKUP(D230,TicketsBreak!A:A,TicketsBreak!G:G,"",0),0)</f>
        <v/>
      </c>
      <c r="K230" s="310">
        <f t="shared" si="4"/>
        <v>46114</v>
      </c>
      <c r="L230" s="317">
        <f t="array" ref="L230">(XLOOKUP(D230,Roster!F:F,Roster!D:D,"",0))</f>
        <v>24</v>
      </c>
      <c r="M230" s="317" t="str">
        <f t="array" ref="M230">XLOOKUP(D230,Roster!F:F,Roster!E:E)</f>
        <v>Tickets</v>
      </c>
      <c r="N230" s="317" t="str">
        <f t="shared" ref="N230:P230" si="237">LEFT(H230,5)</f>
        <v>Team </v>
      </c>
      <c r="O230" s="317" t="str">
        <f t="shared" si="237"/>
        <v>Team </v>
      </c>
      <c r="P230" s="317" t="str">
        <f t="shared" si="237"/>
        <v/>
      </c>
      <c r="Q230" s="318" t="str">
        <f>IF(P230="","",$C230+N230)</f>
        <v/>
      </c>
      <c r="R230" s="318" t="str">
        <f>if(P230="","",$C230+O230)</f>
        <v/>
      </c>
      <c r="S230" s="318" t="str">
        <f t="shared" si="8"/>
        <v/>
      </c>
    </row>
    <row r="231">
      <c r="A231" s="14" t="str">
        <f t="shared" si="1"/>
        <v>C153646114</v>
      </c>
      <c r="B231" s="185">
        <f t="array" ref="B231">IF(F231="VL","",IF(F231="Free","Free",XLOOKUP(D231,Roster!T:T,Roster!S:S,"",0)))</f>
        <v>121</v>
      </c>
      <c r="C231" s="313">
        <v>46114.0</v>
      </c>
      <c r="D231" s="314" t="s">
        <v>63</v>
      </c>
      <c r="E231" s="307" t="str">
        <f t="array" ref="E231">(XLOOKUP(D231,Roster!F:F,Roster!B:B,"",0))</f>
        <v>Maria Mesa</v>
      </c>
      <c r="F231" s="315" t="str">
        <f t="array" ref="F231">IF(B231=100,"Free",TEXT(XLOOKUP($D231,OperationVoice!$A:$A,OperationVoice!H:H,XLOOKUP($D231,OperationTickets!$A:$A,OperationTickets!H:H,"",0)),"hh:mm"))</f>
        <v>08:00</v>
      </c>
      <c r="G231" s="309">
        <f t="shared" si="3"/>
        <v>0.7083333333</v>
      </c>
      <c r="H231" s="316" t="str">
        <f t="array" ref="H231">XLOOKUP(B231,Roster!L:L,Roster!N:N,XLOOKUP(D231,TicketsBreak!A:A,TicketsBreak!E:E,"",0),0)</f>
        <v>09:15 - 09:30</v>
      </c>
      <c r="I231" s="316" t="str">
        <f t="array" ref="I231">XLOOKUP(B231,Roster!L:L,Roster!O:O,XLOOKUP(D231,TicketsBreak!A:A,TicketsBreak!F:F,"",0),0)</f>
        <v>11:30 - 12:00</v>
      </c>
      <c r="J231" s="316" t="str">
        <f t="array" ref="J231">XLOOKUP(B231,Roster!L:L,Roster!P:P,XLOOKUP(D231,TicketsBreak!A:A,TicketsBreak!G:G,"",0),0)</f>
        <v>14:30 - 14:45</v>
      </c>
      <c r="K231" s="310">
        <f t="shared" si="4"/>
        <v>46114</v>
      </c>
      <c r="L231" s="317">
        <f t="array" ref="L231">(XLOOKUP(D231,Roster!F:F,Roster!D:D,"",0))</f>
        <v>36</v>
      </c>
      <c r="M231" s="317" t="str">
        <f t="array" ref="M231">XLOOKUP(D231,Roster!F:F,Roster!E:E)</f>
        <v>Voice</v>
      </c>
      <c r="N231" s="317" t="str">
        <f t="shared" ref="N231:P231" si="238">LEFT(H231,5)</f>
        <v>09:15</v>
      </c>
      <c r="O231" s="317" t="str">
        <f t="shared" si="238"/>
        <v>11:30</v>
      </c>
      <c r="P231" s="317" t="str">
        <f t="shared" si="238"/>
        <v>14:30</v>
      </c>
      <c r="Q231" s="318">
        <f t="shared" ref="Q231:Q369" si="240">IF(N231="","",$C231+N231)</f>
        <v>46114.38542</v>
      </c>
      <c r="R231" s="318">
        <f t="shared" ref="R231:R369" si="241">if(O231="","",$C231+O231)</f>
        <v>46114.47917</v>
      </c>
      <c r="S231" s="318">
        <f t="shared" si="8"/>
        <v>46114.60417</v>
      </c>
    </row>
    <row r="232">
      <c r="A232" s="14" t="str">
        <f t="shared" si="1"/>
        <v>C74046114</v>
      </c>
      <c r="B232" s="185" t="str">
        <f t="array" ref="B232">IF(F232="VL","",IF(F232="Free","Free",XLOOKUP(D232,Roster!T:T,Roster!S:S,"",0)))</f>
        <v/>
      </c>
      <c r="C232" s="313">
        <v>46114.0</v>
      </c>
      <c r="D232" s="314" t="s">
        <v>166</v>
      </c>
      <c r="E232" s="307" t="str">
        <f t="array" ref="E232">(XLOOKUP(D232,Roster!F:F,Roster!B:B,"",0))</f>
        <v>Mateo Agudelo</v>
      </c>
      <c r="F232" s="315" t="str">
        <f t="array" ref="F232">IF(B232=100,"Free",TEXT(XLOOKUP($D232,OperationVoice!$A:$A,OperationVoice!H:H,XLOOKUP($D232,OperationTickets!$A:$A,OperationTickets!H:H,"",0)),"hh:mm"))</f>
        <v>08:00</v>
      </c>
      <c r="G232" s="309">
        <f t="shared" si="3"/>
        <v>0.7083333333</v>
      </c>
      <c r="H232" s="316">
        <f t="array" ref="H232">XLOOKUP(B232,Roster!L:L,Roster!N:N,XLOOKUP(D232,TicketsBreak!A:A,TicketsBreak!E:E,"",0),0)</f>
        <v>0.4166666667</v>
      </c>
      <c r="I232" s="316">
        <f t="array" ref="I232">XLOOKUP(B232,Roster!L:L,Roster!O:O,XLOOKUP(D232,TicketsBreak!A:A,TicketsBreak!F:F,"",0),0)</f>
        <v>0.5</v>
      </c>
      <c r="J232" s="316">
        <f t="array" ref="J232">XLOOKUP(B232,Roster!L:L,Roster!P:P,XLOOKUP(D232,TicketsBreak!A:A,TicketsBreak!G:G,"",0),0)</f>
        <v>0.65625</v>
      </c>
      <c r="K232" s="310">
        <f t="shared" si="4"/>
        <v>46114</v>
      </c>
      <c r="L232" s="317">
        <f t="array" ref="L232">(XLOOKUP(D232,Roster!F:F,Roster!D:D,"",0))</f>
        <v>8</v>
      </c>
      <c r="M232" s="317" t="str">
        <f t="array" ref="M232">XLOOKUP(D232,Roster!F:F,Roster!E:E)</f>
        <v>Tickets</v>
      </c>
      <c r="N232" s="317" t="str">
        <f t="shared" ref="N232:P232" si="239">LEFT(H232,5)</f>
        <v>10:00</v>
      </c>
      <c r="O232" s="317" t="str">
        <f t="shared" si="239"/>
        <v>12:00</v>
      </c>
      <c r="P232" s="317" t="str">
        <f t="shared" si="239"/>
        <v>15:45</v>
      </c>
      <c r="Q232" s="318">
        <f t="shared" si="240"/>
        <v>46114.41667</v>
      </c>
      <c r="R232" s="318">
        <f t="shared" si="241"/>
        <v>46114.5</v>
      </c>
      <c r="S232" s="318">
        <f t="shared" si="8"/>
        <v>46114.65625</v>
      </c>
    </row>
    <row r="233">
      <c r="A233" s="14" t="str">
        <f t="shared" si="1"/>
        <v>C142946114</v>
      </c>
      <c r="B233" s="185" t="str">
        <f t="array" ref="B233">IF(F233="VL","",IF(F233="Free","Free",XLOOKUP(D233,Roster!T:T,Roster!S:S,"",0)))</f>
        <v>Free</v>
      </c>
      <c r="C233" s="313">
        <v>46114.0</v>
      </c>
      <c r="D233" s="314" t="s">
        <v>178</v>
      </c>
      <c r="E233" s="307" t="str">
        <f t="array" ref="E233">(XLOOKUP(D233,Roster!F:F,Roster!B:B,"",0))</f>
        <v>Mateo Vanegas</v>
      </c>
      <c r="F233" s="315" t="str">
        <f t="array" ref="F233">IF(B233=100,"Free",TEXT(XLOOKUP($D233,OperationVoice!$A:$A,OperationVoice!H:H,XLOOKUP($D233,OperationTickets!$A:$A,OperationTickets!H:H,"",0)),"hh:mm"))</f>
        <v>Free</v>
      </c>
      <c r="G233" s="309" t="str">
        <f t="shared" si="3"/>
        <v>Free</v>
      </c>
      <c r="H233" s="316" t="str">
        <f t="array" ref="H233">XLOOKUP(B233,Roster!L:L,Roster!N:N,XLOOKUP(D233,TicketsBreak!A:A,TicketsBreak!E:E,"",0),0)</f>
        <v/>
      </c>
      <c r="I233" s="316" t="str">
        <f t="array" ref="I233">XLOOKUP(B233,Roster!L:L,Roster!O:O,XLOOKUP(D233,TicketsBreak!A:A,TicketsBreak!F:F,"",0),0)</f>
        <v/>
      </c>
      <c r="J233" s="316" t="str">
        <f t="array" ref="J233">XLOOKUP(B233,Roster!L:L,Roster!P:P,XLOOKUP(D233,TicketsBreak!A:A,TicketsBreak!G:G,"",0),0)</f>
        <v/>
      </c>
      <c r="K233" s="310">
        <f t="shared" si="4"/>
        <v>46114</v>
      </c>
      <c r="L233" s="317">
        <f t="array" ref="L233">(XLOOKUP(D233,Roster!F:F,Roster!D:D,"",0))</f>
        <v>32</v>
      </c>
      <c r="M233" s="317" t="str">
        <f t="array" ref="M233">XLOOKUP(D233,Roster!F:F,Roster!E:E)</f>
        <v>Tickets</v>
      </c>
      <c r="N233" s="317" t="str">
        <f t="shared" ref="N233:P233" si="242">LEFT(H233,5)</f>
        <v/>
      </c>
      <c r="O233" s="317" t="str">
        <f t="shared" si="242"/>
        <v/>
      </c>
      <c r="P233" s="317" t="str">
        <f t="shared" si="242"/>
        <v/>
      </c>
      <c r="Q233" s="318" t="str">
        <f t="shared" si="240"/>
        <v/>
      </c>
      <c r="R233" s="318" t="str">
        <f t="shared" si="241"/>
        <v/>
      </c>
      <c r="S233" s="318" t="str">
        <f t="shared" si="8"/>
        <v/>
      </c>
    </row>
    <row r="234">
      <c r="A234" s="14" t="str">
        <f t="shared" si="1"/>
        <v>C146846114</v>
      </c>
      <c r="B234" s="185">
        <f t="array" ref="B234">IF(F234="VL","",IF(F234="Free","Free",XLOOKUP(D234,Roster!T:T,Roster!S:S,"",0)))</f>
        <v>122</v>
      </c>
      <c r="C234" s="313">
        <v>46114.0</v>
      </c>
      <c r="D234" s="314" t="s">
        <v>64</v>
      </c>
      <c r="E234" s="307" t="str">
        <f t="array" ref="E234">(XLOOKUP(D234,Roster!F:F,Roster!B:B,"",0))</f>
        <v>Miguel Betancur</v>
      </c>
      <c r="F234" s="315" t="str">
        <f t="array" ref="F234">IF(B234=100,"Free",TEXT(XLOOKUP($D234,OperationVoice!$A:$A,OperationVoice!H:H,XLOOKUP($D234,OperationTickets!$A:$A,OperationTickets!H:H,"",0)),"hh:mm"))</f>
        <v>08:00</v>
      </c>
      <c r="G234" s="309">
        <f t="shared" si="3"/>
        <v>0.7083333333</v>
      </c>
      <c r="H234" s="316" t="str">
        <f t="array" ref="H234">XLOOKUP(B234,Roster!L:L,Roster!N:N,XLOOKUP(D234,TicketsBreak!A:A,TicketsBreak!E:E,"",0),0)</f>
        <v>09:30 - 09:45</v>
      </c>
      <c r="I234" s="316" t="str">
        <f t="array" ref="I234">XLOOKUP(B234,Roster!L:L,Roster!O:O,XLOOKUP(D234,TicketsBreak!A:A,TicketsBreak!F:F,"",0),0)</f>
        <v>12:00 - 12:30</v>
      </c>
      <c r="J234" s="316" t="str">
        <f t="array" ref="J234">XLOOKUP(B234,Roster!L:L,Roster!P:P,XLOOKUP(D234,TicketsBreak!A:A,TicketsBreak!G:G,"",0),0)</f>
        <v>14:45 - 15:00</v>
      </c>
      <c r="K234" s="310">
        <f t="shared" si="4"/>
        <v>46114</v>
      </c>
      <c r="L234" s="317">
        <f t="array" ref="L234">(XLOOKUP(D234,Roster!F:F,Roster!D:D,"",0))</f>
        <v>33</v>
      </c>
      <c r="M234" s="317" t="str">
        <f t="array" ref="M234">XLOOKUP(D234,Roster!F:F,Roster!E:E)</f>
        <v>Voice</v>
      </c>
      <c r="N234" s="317" t="str">
        <f t="shared" ref="N234:P234" si="243">LEFT(H234,5)</f>
        <v>09:30</v>
      </c>
      <c r="O234" s="317" t="str">
        <f t="shared" si="243"/>
        <v>12:00</v>
      </c>
      <c r="P234" s="317" t="str">
        <f t="shared" si="243"/>
        <v>14:45</v>
      </c>
      <c r="Q234" s="318">
        <f t="shared" si="240"/>
        <v>46114.39583</v>
      </c>
      <c r="R234" s="318">
        <f t="shared" si="241"/>
        <v>46114.5</v>
      </c>
      <c r="S234" s="318">
        <f t="shared" si="8"/>
        <v>46114.61458</v>
      </c>
    </row>
    <row r="235">
      <c r="A235" s="14" t="str">
        <f t="shared" si="1"/>
        <v>C106546114</v>
      </c>
      <c r="B235" s="185" t="str">
        <f t="array" ref="B235">IF(F235="VL","",IF(F235="Free","Free",XLOOKUP(D235,Roster!T:T,Roster!S:S,"",0)))</f>
        <v>Free</v>
      </c>
      <c r="C235" s="313">
        <v>46114.0</v>
      </c>
      <c r="D235" s="314" t="s">
        <v>148</v>
      </c>
      <c r="E235" s="307" t="str">
        <f t="array" ref="E235">(XLOOKUP(D235,Roster!F:F,Roster!B:B,"",0))</f>
        <v>Miguel Hoyos</v>
      </c>
      <c r="F235" s="315" t="str">
        <f t="array" ref="F235">IF(B235=100,"Free",TEXT(XLOOKUP($D235,OperationVoice!$A:$A,OperationVoice!H:H,XLOOKUP($D235,OperationTickets!$A:$A,OperationTickets!H:H,"",0)),"hh:mm"))</f>
        <v>Free</v>
      </c>
      <c r="G235" s="309" t="str">
        <f t="shared" si="3"/>
        <v>Free</v>
      </c>
      <c r="H235" s="316">
        <f t="array" ref="H235">XLOOKUP(B235,Roster!L:L,Roster!N:N,XLOOKUP(D235,TicketsBreak!A:A,TicketsBreak!E:E,"",0),0)</f>
        <v>0.4583333333</v>
      </c>
      <c r="I235" s="316">
        <f t="array" ref="I235">XLOOKUP(B235,Roster!L:L,Roster!O:O,XLOOKUP(D235,TicketsBreak!A:A,TicketsBreak!F:F,"",0),0)</f>
        <v>0.5625</v>
      </c>
      <c r="J235" s="316">
        <f t="array" ref="J235">XLOOKUP(B235,Roster!L:L,Roster!P:P,XLOOKUP(D235,TicketsBreak!A:A,TicketsBreak!G:G,"",0),0)</f>
        <v>0.65625</v>
      </c>
      <c r="K235" s="310">
        <f t="shared" si="4"/>
        <v>46114</v>
      </c>
      <c r="L235" s="317">
        <f t="array" ref="L235">(XLOOKUP(D235,Roster!F:F,Roster!D:D,"",0))</f>
        <v>17</v>
      </c>
      <c r="M235" s="317" t="str">
        <f t="array" ref="M235">XLOOKUP(D235,Roster!F:F,Roster!E:E)</f>
        <v>Tickets</v>
      </c>
      <c r="N235" s="317" t="str">
        <f t="shared" ref="N235:P235" si="244">LEFT(H235,5)</f>
        <v>11:00</v>
      </c>
      <c r="O235" s="317" t="str">
        <f t="shared" si="244"/>
        <v>13:30</v>
      </c>
      <c r="P235" s="317" t="str">
        <f t="shared" si="244"/>
        <v>15:45</v>
      </c>
      <c r="Q235" s="318">
        <f t="shared" si="240"/>
        <v>46114.45833</v>
      </c>
      <c r="R235" s="318">
        <f t="shared" si="241"/>
        <v>46114.5625</v>
      </c>
      <c r="S235" s="318">
        <f t="shared" si="8"/>
        <v>46114.65625</v>
      </c>
    </row>
    <row r="236">
      <c r="A236" s="14" t="str">
        <f t="shared" si="1"/>
        <v>C111446114</v>
      </c>
      <c r="B236" s="185">
        <f t="array" ref="B236">IF(F236="VL","",IF(F236="Free","Free",XLOOKUP(D236,Roster!T:T,Roster!S:S,"",0)))</f>
        <v>113</v>
      </c>
      <c r="C236" s="313">
        <v>46114.0</v>
      </c>
      <c r="D236" s="314" t="s">
        <v>65</v>
      </c>
      <c r="E236" s="307" t="str">
        <f t="array" ref="E236">(XLOOKUP(D236,Roster!F:F,Roster!B:B,"",0))</f>
        <v>Mikel Bowie</v>
      </c>
      <c r="F236" s="315" t="str">
        <f t="array" ref="F236">IF(B236=100,"Free",TEXT(XLOOKUP($D236,OperationVoice!$A:$A,OperationVoice!H:H,XLOOKUP($D236,OperationTickets!$A:$A,OperationTickets!H:H,"",0)),"hh:mm"))</f>
        <v>08:00</v>
      </c>
      <c r="G236" s="309">
        <f t="shared" si="3"/>
        <v>0.7083333333</v>
      </c>
      <c r="H236" s="316" t="str">
        <f t="array" ref="H236">XLOOKUP(B236,Roster!L:L,Roster!N:N,XLOOKUP(D236,TicketsBreak!A:A,TicketsBreak!E:E,"",0),0)</f>
        <v>09:45 - 10:00</v>
      </c>
      <c r="I236" s="316" t="str">
        <f t="array" ref="I236">XLOOKUP(B236,Roster!L:L,Roster!O:O,XLOOKUP(D236,TicketsBreak!A:A,TicketsBreak!F:F,"",0),0)</f>
        <v>12:30 - 13:00</v>
      </c>
      <c r="J236" s="316" t="str">
        <f t="array" ref="J236">XLOOKUP(B236,Roster!L:L,Roster!P:P,XLOOKUP(D236,TicketsBreak!A:A,TicketsBreak!G:G,"",0),0)</f>
        <v>14:45 - 15:00</v>
      </c>
      <c r="K236" s="310">
        <f t="shared" si="4"/>
        <v>46114</v>
      </c>
      <c r="L236" s="317">
        <f t="array" ref="L236">(XLOOKUP(D236,Roster!F:F,Roster!D:D,"",0))</f>
        <v>20</v>
      </c>
      <c r="M236" s="317" t="str">
        <f t="array" ref="M236">XLOOKUP(D236,Roster!F:F,Roster!E:E)</f>
        <v>Voice</v>
      </c>
      <c r="N236" s="317" t="str">
        <f t="shared" ref="N236:P236" si="245">LEFT(H236,5)</f>
        <v>09:45</v>
      </c>
      <c r="O236" s="317" t="str">
        <f t="shared" si="245"/>
        <v>12:30</v>
      </c>
      <c r="P236" s="317" t="str">
        <f t="shared" si="245"/>
        <v>14:45</v>
      </c>
      <c r="Q236" s="318">
        <f t="shared" si="240"/>
        <v>46114.40625</v>
      </c>
      <c r="R236" s="318">
        <f t="shared" si="241"/>
        <v>46114.52083</v>
      </c>
      <c r="S236" s="318">
        <f t="shared" si="8"/>
        <v>46114.61458</v>
      </c>
    </row>
    <row r="237">
      <c r="A237" s="14" t="str">
        <f t="shared" si="1"/>
        <v>C116346114</v>
      </c>
      <c r="B237" s="185">
        <f t="array" ref="B237">IF(F237="VL","",IF(F237="Free","Free",XLOOKUP(D237,Roster!T:T,Roster!S:S,"",0)))</f>
        <v>123</v>
      </c>
      <c r="C237" s="313">
        <v>46114.0</v>
      </c>
      <c r="D237" s="314" t="s">
        <v>66</v>
      </c>
      <c r="E237" s="307" t="str">
        <f t="array" ref="E237">(XLOOKUP(D237,Roster!F:F,Roster!B:B,"",0))</f>
        <v>Natalia Cardona</v>
      </c>
      <c r="F237" s="315" t="str">
        <f t="array" ref="F237">IF(B237=100,"Free",TEXT(XLOOKUP($D237,OperationVoice!$A:$A,OperationVoice!H:H,XLOOKUP($D237,OperationTickets!$A:$A,OperationTickets!H:H,"",0)),"hh:mm"))</f>
        <v>08:00</v>
      </c>
      <c r="G237" s="309">
        <f t="shared" si="3"/>
        <v>0.7083333333</v>
      </c>
      <c r="H237" s="316" t="str">
        <f t="array" ref="H237">XLOOKUP(B237,Roster!L:L,Roster!N:N,XLOOKUP(D237,TicketsBreak!A:A,TicketsBreak!E:E,"",0),0)</f>
        <v>09:45 - 10:00 </v>
      </c>
      <c r="I237" s="316" t="str">
        <f t="array" ref="I237">XLOOKUP(B237,Roster!L:L,Roster!O:O,XLOOKUP(D237,TicketsBreak!A:A,TicketsBreak!F:F,"",0),0)</f>
        <v>12:30 - 13:00</v>
      </c>
      <c r="J237" s="316" t="str">
        <f t="array" ref="J237">XLOOKUP(B237,Roster!L:L,Roster!P:P,XLOOKUP(D237,TicketsBreak!A:A,TicketsBreak!G:G,"",0),0)</f>
        <v>15:00 - 15:15</v>
      </c>
      <c r="K237" s="310">
        <f t="shared" si="4"/>
        <v>46114</v>
      </c>
      <c r="L237" s="317">
        <f t="array" ref="L237">(XLOOKUP(D237,Roster!F:F,Roster!D:D,"",0))</f>
        <v>24</v>
      </c>
      <c r="M237" s="317" t="str">
        <f t="array" ref="M237">XLOOKUP(D237,Roster!F:F,Roster!E:E)</f>
        <v>Voice</v>
      </c>
      <c r="N237" s="317" t="str">
        <f t="shared" ref="N237:P237" si="246">LEFT(H237,5)</f>
        <v>09:45</v>
      </c>
      <c r="O237" s="317" t="str">
        <f t="shared" si="246"/>
        <v>12:30</v>
      </c>
      <c r="P237" s="317" t="str">
        <f t="shared" si="246"/>
        <v>15:00</v>
      </c>
      <c r="Q237" s="318">
        <f t="shared" si="240"/>
        <v>46114.40625</v>
      </c>
      <c r="R237" s="318">
        <f t="shared" si="241"/>
        <v>46114.52083</v>
      </c>
      <c r="S237" s="318">
        <f t="shared" si="8"/>
        <v>46114.625</v>
      </c>
    </row>
    <row r="238">
      <c r="A238" s="14" t="str">
        <f t="shared" si="1"/>
        <v>C55646114</v>
      </c>
      <c r="B238" s="185" t="str">
        <f t="array" ref="B238">IF(F238="VL","",IF(F238="Free","Free",XLOOKUP(D238,Roster!T:T,Roster!S:S,"",0)))</f>
        <v/>
      </c>
      <c r="C238" s="313">
        <v>46114.0</v>
      </c>
      <c r="D238" s="314" t="s">
        <v>167</v>
      </c>
      <c r="E238" s="307" t="str">
        <f t="array" ref="E238">(XLOOKUP(D238,Roster!F:F,Roster!B:B,"",0))</f>
        <v>Nelson Londono</v>
      </c>
      <c r="F238" s="315" t="str">
        <f t="array" ref="F238">IF(B238=100,"Free",TEXT(XLOOKUP($D238,OperationVoice!$A:$A,OperationVoice!H:H,XLOOKUP($D238,OperationTickets!$A:$A,OperationTickets!H:H,"",0)),"hh:mm"))</f>
        <v>08:00</v>
      </c>
      <c r="G238" s="309">
        <f t="shared" si="3"/>
        <v>0.7083333333</v>
      </c>
      <c r="H238" s="316">
        <f t="array" ref="H238">XLOOKUP(B238,Roster!L:L,Roster!N:N,XLOOKUP(D238,TicketsBreak!A:A,TicketsBreak!E:E,"",0),0)</f>
        <v>0.3854166667</v>
      </c>
      <c r="I238" s="316">
        <f t="array" ref="I238">XLOOKUP(B238,Roster!L:L,Roster!O:O,XLOOKUP(D238,TicketsBreak!A:A,TicketsBreak!F:F,"",0),0)</f>
        <v>0.5833333333</v>
      </c>
      <c r="J238" s="316">
        <f t="array" ref="J238">XLOOKUP(B238,Roster!L:L,Roster!P:P,XLOOKUP(D238,TicketsBreak!A:A,TicketsBreak!G:G,"",0),0)</f>
        <v>0.6458333333</v>
      </c>
      <c r="K238" s="310">
        <f t="shared" si="4"/>
        <v>46114</v>
      </c>
      <c r="L238" s="317">
        <f t="array" ref="L238">(XLOOKUP(D238,Roster!F:F,Roster!D:D,"",0))</f>
        <v>2</v>
      </c>
      <c r="M238" s="317" t="str">
        <f t="array" ref="M238">XLOOKUP(D238,Roster!F:F,Roster!E:E)</f>
        <v>Tickets</v>
      </c>
      <c r="N238" s="317" t="str">
        <f t="shared" ref="N238:P238" si="247">LEFT(H238,5)</f>
        <v>09:15</v>
      </c>
      <c r="O238" s="317" t="str">
        <f t="shared" si="247"/>
        <v>14:00</v>
      </c>
      <c r="P238" s="317" t="str">
        <f t="shared" si="247"/>
        <v>15:30</v>
      </c>
      <c r="Q238" s="318">
        <f t="shared" si="240"/>
        <v>46114.38542</v>
      </c>
      <c r="R238" s="318">
        <f t="shared" si="241"/>
        <v>46114.58333</v>
      </c>
      <c r="S238" s="318">
        <f t="shared" si="8"/>
        <v>46114.64583</v>
      </c>
    </row>
    <row r="239">
      <c r="A239" s="14" t="str">
        <f t="shared" si="1"/>
        <v>C150746114</v>
      </c>
      <c r="B239" s="185">
        <f t="array" ref="B239">IF(F239="VL","",IF(F239="Free","Free",XLOOKUP(D239,Roster!T:T,Roster!S:S,"",0)))</f>
        <v>125</v>
      </c>
      <c r="C239" s="313">
        <v>46114.0</v>
      </c>
      <c r="D239" s="314" t="s">
        <v>67</v>
      </c>
      <c r="E239" s="307" t="str">
        <f t="array" ref="E239">(XLOOKUP(D239,Roster!F:F,Roster!B:B,"",0))</f>
        <v>Nicols Quinones</v>
      </c>
      <c r="F239" s="315" t="str">
        <f t="array" ref="F239">IF(B239=100,"Free",TEXT(XLOOKUP($D239,OperationVoice!$A:$A,OperationVoice!H:H,XLOOKUP($D239,OperationTickets!$A:$A,OperationTickets!H:H,"",0)),"hh:mm"))</f>
        <v>08:00</v>
      </c>
      <c r="G239" s="309">
        <f t="shared" si="3"/>
        <v>0.7083333333</v>
      </c>
      <c r="H239" s="316" t="str">
        <f t="array" ref="H239">XLOOKUP(B239,Roster!L:L,Roster!N:N,XLOOKUP(D239,TicketsBreak!A:A,TicketsBreak!E:E,"",0),0)</f>
        <v>10:30 - 10:45</v>
      </c>
      <c r="I239" s="316" t="str">
        <f t="array" ref="I239">XLOOKUP(B239,Roster!L:L,Roster!O:O,XLOOKUP(D239,TicketsBreak!A:A,TicketsBreak!F:F,"",0),0)</f>
        <v>13:30 - 14:00</v>
      </c>
      <c r="J239" s="316" t="str">
        <f t="array" ref="J239">XLOOKUP(B239,Roster!L:L,Roster!P:P,XLOOKUP(D239,TicketsBreak!A:A,TicketsBreak!G:G,"",0),0)</f>
        <v>15:45 - 16:00</v>
      </c>
      <c r="K239" s="310">
        <f t="shared" si="4"/>
        <v>46114</v>
      </c>
      <c r="L239" s="317">
        <f t="array" ref="L239">(XLOOKUP(D239,Roster!F:F,Roster!D:D,"",0))</f>
        <v>35</v>
      </c>
      <c r="M239" s="317" t="str">
        <f t="array" ref="M239">XLOOKUP(D239,Roster!F:F,Roster!E:E)</f>
        <v>Voice</v>
      </c>
      <c r="N239" s="317" t="str">
        <f t="shared" ref="N239:P239" si="248">LEFT(H239,5)</f>
        <v>10:30</v>
      </c>
      <c r="O239" s="317" t="str">
        <f t="shared" si="248"/>
        <v>13:30</v>
      </c>
      <c r="P239" s="317" t="str">
        <f t="shared" si="248"/>
        <v>15:45</v>
      </c>
      <c r="Q239" s="318">
        <f t="shared" si="240"/>
        <v>46114.4375</v>
      </c>
      <c r="R239" s="318">
        <f t="shared" si="241"/>
        <v>46114.5625</v>
      </c>
      <c r="S239" s="318">
        <f t="shared" si="8"/>
        <v>46114.65625</v>
      </c>
    </row>
    <row r="240">
      <c r="A240" s="14" t="str">
        <f t="shared" si="1"/>
        <v>C71446114</v>
      </c>
      <c r="B240" s="185" t="str">
        <f t="array" ref="B240">IF(F240="VL","",IF(F240="Free","Free",XLOOKUP(D240,Roster!T:T,Roster!S:S,"",0)))</f>
        <v/>
      </c>
      <c r="C240" s="313">
        <v>46114.0</v>
      </c>
      <c r="D240" s="314" t="s">
        <v>149</v>
      </c>
      <c r="E240" s="307" t="str">
        <f t="array" ref="E240">(XLOOKUP(D240,Roster!F:F,Roster!B:B,"",0))</f>
        <v>Onel Olivera</v>
      </c>
      <c r="F240" s="315" t="str">
        <f t="array" ref="F240">IF(B240=100,"Free",TEXT(XLOOKUP($D240,OperationVoice!$A:$A,OperationVoice!H:H,XLOOKUP($D240,OperationTickets!$A:$A,OperationTickets!H:H,"",0)),"hh:mm"))</f>
        <v>08:00</v>
      </c>
      <c r="G240" s="309">
        <f t="shared" si="3"/>
        <v>0.7083333333</v>
      </c>
      <c r="H240" s="316">
        <f t="array" ref="H240">XLOOKUP(B240,Roster!L:L,Roster!N:N,XLOOKUP(D240,TicketsBreak!A:A,TicketsBreak!E:E,"",0),0)</f>
        <v>0.4166666667</v>
      </c>
      <c r="I240" s="316">
        <f t="array" ref="I240">XLOOKUP(B240,Roster!L:L,Roster!O:O,XLOOKUP(D240,TicketsBreak!A:A,TicketsBreak!F:F,"",0),0)</f>
        <v>0.5</v>
      </c>
      <c r="J240" s="316">
        <f t="array" ref="J240">XLOOKUP(B240,Roster!L:L,Roster!P:P,XLOOKUP(D240,TicketsBreak!A:A,TicketsBreak!G:G,"",0),0)</f>
        <v>0.625</v>
      </c>
      <c r="K240" s="310">
        <f t="shared" si="4"/>
        <v>46114</v>
      </c>
      <c r="L240" s="317">
        <f t="array" ref="L240">(XLOOKUP(D240,Roster!F:F,Roster!D:D,"",0))</f>
        <v>1</v>
      </c>
      <c r="M240" s="317" t="str">
        <f t="array" ref="M240">XLOOKUP(D240,Roster!F:F,Roster!E:E)</f>
        <v>Tickets</v>
      </c>
      <c r="N240" s="317" t="str">
        <f t="shared" ref="N240:P240" si="249">LEFT(H240,5)</f>
        <v>10:00</v>
      </c>
      <c r="O240" s="317" t="str">
        <f t="shared" si="249"/>
        <v>12:00</v>
      </c>
      <c r="P240" s="317" t="str">
        <f t="shared" si="249"/>
        <v>15:00</v>
      </c>
      <c r="Q240" s="318">
        <f t="shared" si="240"/>
        <v>46114.41667</v>
      </c>
      <c r="R240" s="318">
        <f t="shared" si="241"/>
        <v>46114.5</v>
      </c>
      <c r="S240" s="318">
        <f t="shared" si="8"/>
        <v>46114.625</v>
      </c>
    </row>
    <row r="241">
      <c r="A241" s="14" t="str">
        <f t="shared" si="1"/>
        <v>C116446114</v>
      </c>
      <c r="B241" s="185" t="str">
        <f t="array" ref="B241">IF(F241="VL","",IF(F241="Free","Free",XLOOKUP(D241,Roster!T:T,Roster!S:S,"",0)))</f>
        <v/>
      </c>
      <c r="C241" s="313">
        <v>46114.0</v>
      </c>
      <c r="D241" s="314" t="s">
        <v>179</v>
      </c>
      <c r="E241" s="307" t="str">
        <f t="array" ref="E241">(XLOOKUP(D241,Roster!F:F,Roster!B:B,"",0))</f>
        <v>Oscar Florez</v>
      </c>
      <c r="F241" s="315" t="str">
        <f t="array" ref="F241">IF(B241=100,"Free",TEXT(XLOOKUP($D241,OperationVoice!$A:$A,OperationVoice!H:H,XLOOKUP($D241,OperationTickets!$A:$A,OperationTickets!H:H,"",0)),"hh:mm"))</f>
        <v>08:00</v>
      </c>
      <c r="G241" s="309">
        <f t="shared" si="3"/>
        <v>0.7083333333</v>
      </c>
      <c r="H241" s="316" t="str">
        <f t="array" ref="H241">XLOOKUP(B241,Roster!L:L,Roster!N:N,XLOOKUP(D241,TicketsBreak!A:A,TicketsBreak!E:E,"",0),0)</f>
        <v/>
      </c>
      <c r="I241" s="316" t="str">
        <f t="array" ref="I241">XLOOKUP(B241,Roster!L:L,Roster!O:O,XLOOKUP(D241,TicketsBreak!A:A,TicketsBreak!F:F,"",0),0)</f>
        <v/>
      </c>
      <c r="J241" s="316" t="str">
        <f t="array" ref="J241">XLOOKUP(B241,Roster!L:L,Roster!P:P,XLOOKUP(D241,TicketsBreak!A:A,TicketsBreak!G:G,"",0),0)</f>
        <v/>
      </c>
      <c r="K241" s="310">
        <f t="shared" si="4"/>
        <v>46114</v>
      </c>
      <c r="L241" s="317">
        <f t="array" ref="L241">(XLOOKUP(D241,Roster!F:F,Roster!D:D,"",0))</f>
        <v>24</v>
      </c>
      <c r="M241" s="317" t="str">
        <f t="array" ref="M241">XLOOKUP(D241,Roster!F:F,Roster!E:E)</f>
        <v>Tickets</v>
      </c>
      <c r="N241" s="317" t="str">
        <f t="shared" ref="N241:P241" si="250">LEFT(H241,5)</f>
        <v/>
      </c>
      <c r="O241" s="317" t="str">
        <f t="shared" si="250"/>
        <v/>
      </c>
      <c r="P241" s="317" t="str">
        <f t="shared" si="250"/>
        <v/>
      </c>
      <c r="Q241" s="318" t="str">
        <f t="shared" si="240"/>
        <v/>
      </c>
      <c r="R241" s="318" t="str">
        <f t="shared" si="241"/>
        <v/>
      </c>
      <c r="S241" s="318" t="str">
        <f t="shared" si="8"/>
        <v/>
      </c>
    </row>
    <row r="242">
      <c r="A242" s="14" t="str">
        <f t="shared" si="1"/>
        <v>C153846114</v>
      </c>
      <c r="B242" s="185">
        <f t="array" ref="B242">IF(F242="VL","",IF(F242="Free","Free",XLOOKUP(D242,Roster!T:T,Roster!S:S,"",0)))</f>
        <v>151</v>
      </c>
      <c r="C242" s="313">
        <v>46114.0</v>
      </c>
      <c r="D242" s="314" t="s">
        <v>68</v>
      </c>
      <c r="E242" s="307" t="str">
        <f t="array" ref="E242">(XLOOKUP(D242,Roster!F:F,Roster!B:B,"",0))</f>
        <v>Oscar Roldan</v>
      </c>
      <c r="F242" s="315" t="str">
        <f t="array" ref="F242">IF(B242=100,"Free",TEXT(XLOOKUP($D242,OperationVoice!$A:$A,OperationVoice!H:H,XLOOKUP($D242,OperationTickets!$A:$A,OperationTickets!H:H,"",0)),"hh:mm"))</f>
        <v>11:00</v>
      </c>
      <c r="G242" s="309">
        <f t="shared" si="3"/>
        <v>0.8333333333</v>
      </c>
      <c r="H242" s="316" t="str">
        <f t="array" ref="H242">XLOOKUP(B242,Roster!L:L,Roster!N:N,XLOOKUP(D242,TicketsBreak!A:A,TicketsBreak!E:E,"",0),0)</f>
        <v>12:15 - 12:30</v>
      </c>
      <c r="I242" s="316" t="str">
        <f t="array" ref="I242">XLOOKUP(B242,Roster!L:L,Roster!O:O,XLOOKUP(D242,TicketsBreak!A:A,TicketsBreak!F:F,"",0),0)</f>
        <v>14:00 - 14:30</v>
      </c>
      <c r="J242" s="316" t="str">
        <f t="array" ref="J242">XLOOKUP(B242,Roster!L:L,Roster!P:P,XLOOKUP(D242,TicketsBreak!A:A,TicketsBreak!G:G,"",0),0)</f>
        <v>17:15 - 17:30</v>
      </c>
      <c r="K242" s="310">
        <f t="shared" si="4"/>
        <v>46114</v>
      </c>
      <c r="L242" s="317">
        <f t="array" ref="L242">(XLOOKUP(D242,Roster!F:F,Roster!D:D,"",0))</f>
        <v>36</v>
      </c>
      <c r="M242" s="317" t="str">
        <f t="array" ref="M242">XLOOKUP(D242,Roster!F:F,Roster!E:E)</f>
        <v>Voice</v>
      </c>
      <c r="N242" s="317" t="str">
        <f t="shared" ref="N242:P242" si="251">LEFT(H242,5)</f>
        <v>12:15</v>
      </c>
      <c r="O242" s="317" t="str">
        <f t="shared" si="251"/>
        <v>14:00</v>
      </c>
      <c r="P242" s="317" t="str">
        <f t="shared" si="251"/>
        <v>17:15</v>
      </c>
      <c r="Q242" s="318">
        <f t="shared" si="240"/>
        <v>46114.51042</v>
      </c>
      <c r="R242" s="318">
        <f t="shared" si="241"/>
        <v>46114.58333</v>
      </c>
      <c r="S242" s="318">
        <f t="shared" si="8"/>
        <v>46114.71875</v>
      </c>
    </row>
    <row r="243">
      <c r="A243" s="14" t="str">
        <f t="shared" si="1"/>
        <v>C151146114</v>
      </c>
      <c r="B243" s="185">
        <f t="array" ref="B243">IF(F243="VL","",IF(F243="Free","Free",XLOOKUP(D243,Roster!T:T,Roster!S:S,"",0)))</f>
        <v>131</v>
      </c>
      <c r="C243" s="313">
        <v>46114.0</v>
      </c>
      <c r="D243" s="314" t="s">
        <v>69</v>
      </c>
      <c r="E243" s="307" t="str">
        <f t="array" ref="E243">(XLOOKUP(D243,Roster!F:F,Roster!B:B,"",0))</f>
        <v>Salma Giraldo</v>
      </c>
      <c r="F243" s="315" t="str">
        <f t="array" ref="F243">IF(B243=100,"Free",TEXT(XLOOKUP($D243,OperationVoice!$A:$A,OperationVoice!H:H,XLOOKUP($D243,OperationTickets!$A:$A,OperationTickets!H:H,"",0)),"hh:mm"))</f>
        <v>09:00</v>
      </c>
      <c r="G243" s="309">
        <f t="shared" si="3"/>
        <v>0.75</v>
      </c>
      <c r="H243" s="316" t="str">
        <f t="array" ref="H243">XLOOKUP(B243,Roster!L:L,Roster!N:N,XLOOKUP(D243,TicketsBreak!A:A,TicketsBreak!E:E,"",0),0)</f>
        <v>10:15 - 10:30</v>
      </c>
      <c r="I243" s="316" t="str">
        <f t="array" ref="I243">XLOOKUP(B243,Roster!L:L,Roster!O:O,XLOOKUP(D243,TicketsBreak!A:A,TicketsBreak!F:F,"",0),0)</f>
        <v>12:30 - 13:00</v>
      </c>
      <c r="J243" s="316" t="str">
        <f t="array" ref="J243">XLOOKUP(B243,Roster!L:L,Roster!P:P,XLOOKUP(D243,TicketsBreak!A:A,TicketsBreak!G:G,"",0),0)</f>
        <v>15:15 - 15:30</v>
      </c>
      <c r="K243" s="310">
        <f t="shared" si="4"/>
        <v>46114</v>
      </c>
      <c r="L243" s="317">
        <f t="array" ref="L243">(XLOOKUP(D243,Roster!F:F,Roster!D:D,"",0))</f>
        <v>35</v>
      </c>
      <c r="M243" s="317" t="str">
        <f t="array" ref="M243">XLOOKUP(D243,Roster!F:F,Roster!E:E)</f>
        <v>Voice</v>
      </c>
      <c r="N243" s="317" t="str">
        <f t="shared" ref="N243:P243" si="252">LEFT(H243,5)</f>
        <v>10:15</v>
      </c>
      <c r="O243" s="317" t="str">
        <f t="shared" si="252"/>
        <v>12:30</v>
      </c>
      <c r="P243" s="317" t="str">
        <f t="shared" si="252"/>
        <v>15:15</v>
      </c>
      <c r="Q243" s="318">
        <f t="shared" si="240"/>
        <v>46114.42708</v>
      </c>
      <c r="R243" s="318">
        <f t="shared" si="241"/>
        <v>46114.52083</v>
      </c>
      <c r="S243" s="318">
        <f t="shared" si="8"/>
        <v>46114.63542</v>
      </c>
    </row>
    <row r="244">
      <c r="A244" s="14" t="str">
        <f t="shared" si="1"/>
        <v>C93346114</v>
      </c>
      <c r="B244" s="185">
        <f t="array" ref="B244">IF(F244="VL","",IF(F244="Free","Free",XLOOKUP(D244,Roster!T:T,Roster!S:S,"",0)))</f>
        <v>124</v>
      </c>
      <c r="C244" s="313">
        <v>46114.0</v>
      </c>
      <c r="D244" s="314" t="s">
        <v>70</v>
      </c>
      <c r="E244" s="307" t="str">
        <f t="array" ref="E244">(XLOOKUP(D244,Roster!F:F,Roster!B:B,"",0))</f>
        <v>Salome Arias</v>
      </c>
      <c r="F244" s="315" t="str">
        <f t="array" ref="F244">IF(B244=100,"Free",TEXT(XLOOKUP($D244,OperationVoice!$A:$A,OperationVoice!H:H,XLOOKUP($D244,OperationTickets!$A:$A,OperationTickets!H:H,"",0)),"hh:mm"))</f>
        <v>08:00</v>
      </c>
      <c r="G244" s="309">
        <f t="shared" si="3"/>
        <v>0.7083333333</v>
      </c>
      <c r="H244" s="316" t="str">
        <f t="array" ref="H244">XLOOKUP(B244,Roster!L:L,Roster!N:N,XLOOKUP(D244,TicketsBreak!A:A,TicketsBreak!E:E,"",0),0)</f>
        <v>10:00 - 10:15</v>
      </c>
      <c r="I244" s="316" t="str">
        <f t="array" ref="I244">XLOOKUP(B244,Roster!L:L,Roster!O:O,XLOOKUP(D244,TicketsBreak!A:A,TicketsBreak!F:F,"",0),0)</f>
        <v>13:00 - 13:30</v>
      </c>
      <c r="J244" s="316" t="str">
        <f t="array" ref="J244">XLOOKUP(B244,Roster!L:L,Roster!P:P,XLOOKUP(D244,TicketsBreak!A:A,TicketsBreak!G:G,"",0),0)</f>
        <v>15:30 - 15:45</v>
      </c>
      <c r="K244" s="310">
        <f t="shared" si="4"/>
        <v>46114</v>
      </c>
      <c r="L244" s="317">
        <f t="array" ref="L244">(XLOOKUP(D244,Roster!F:F,Roster!D:D,"",0))</f>
        <v>12</v>
      </c>
      <c r="M244" s="317" t="str">
        <f t="array" ref="M244">XLOOKUP(D244,Roster!F:F,Roster!E:E)</f>
        <v>Voice</v>
      </c>
      <c r="N244" s="317" t="str">
        <f t="shared" ref="N244:P244" si="253">LEFT(H244,5)</f>
        <v>10:00</v>
      </c>
      <c r="O244" s="317" t="str">
        <f t="shared" si="253"/>
        <v>13:00</v>
      </c>
      <c r="P244" s="317" t="str">
        <f t="shared" si="253"/>
        <v>15:30</v>
      </c>
      <c r="Q244" s="318">
        <f t="shared" si="240"/>
        <v>46114.41667</v>
      </c>
      <c r="R244" s="318">
        <f t="shared" si="241"/>
        <v>46114.54167</v>
      </c>
      <c r="S244" s="318">
        <f t="shared" si="8"/>
        <v>46114.64583</v>
      </c>
    </row>
    <row r="245">
      <c r="A245" s="14" t="str">
        <f t="shared" si="1"/>
        <v>C128246114</v>
      </c>
      <c r="B245" s="185" t="str">
        <f t="array" ref="B245">IF(F245="VL","",IF(F245="Free","Free",XLOOKUP(D245,Roster!T:T,Roster!S:S,"",0)))</f>
        <v/>
      </c>
      <c r="C245" s="313">
        <v>46114.0</v>
      </c>
      <c r="D245" s="314" t="s">
        <v>168</v>
      </c>
      <c r="E245" s="307" t="str">
        <f t="array" ref="E245">(XLOOKUP(D245,Roster!F:F,Roster!B:B,"",0))</f>
        <v>Samuel Acevedo</v>
      </c>
      <c r="F245" s="315" t="str">
        <f t="array" ref="F245">IF(B245=100,"Free",TEXT(XLOOKUP($D245,OperationVoice!$A:$A,OperationVoice!H:H,XLOOKUP($D245,OperationTickets!$A:$A,OperationTickets!H:H,"",0)),"hh:mm"))</f>
        <v>08:00</v>
      </c>
      <c r="G245" s="309">
        <f t="shared" si="3"/>
        <v>0.7083333333</v>
      </c>
      <c r="H245" s="316" t="str">
        <f t="array" ref="H245">XLOOKUP(B245,Roster!L:L,Roster!N:N,XLOOKUP(D245,TicketsBreak!A:A,TicketsBreak!E:E,"",0),0)</f>
        <v/>
      </c>
      <c r="I245" s="316" t="str">
        <f t="array" ref="I245">XLOOKUP(B245,Roster!L:L,Roster!O:O,XLOOKUP(D245,TicketsBreak!A:A,TicketsBreak!F:F,"",0),0)</f>
        <v/>
      </c>
      <c r="J245" s="316" t="str">
        <f t="array" ref="J245">XLOOKUP(B245,Roster!L:L,Roster!P:P,XLOOKUP(D245,TicketsBreak!A:A,TicketsBreak!G:G,"",0),0)</f>
        <v/>
      </c>
      <c r="K245" s="310">
        <f t="shared" si="4"/>
        <v>46114</v>
      </c>
      <c r="L245" s="317">
        <f t="array" ref="L245">(XLOOKUP(D245,Roster!F:F,Roster!D:D,"",0))</f>
        <v>27</v>
      </c>
      <c r="M245" s="317" t="str">
        <f t="array" ref="M245">XLOOKUP(D245,Roster!F:F,Roster!E:E)</f>
        <v>Tickets</v>
      </c>
      <c r="N245" s="317" t="str">
        <f t="shared" ref="N245:P245" si="254">LEFT(H245,5)</f>
        <v/>
      </c>
      <c r="O245" s="317" t="str">
        <f t="shared" si="254"/>
        <v/>
      </c>
      <c r="P245" s="317" t="str">
        <f t="shared" si="254"/>
        <v/>
      </c>
      <c r="Q245" s="318" t="str">
        <f t="shared" si="240"/>
        <v/>
      </c>
      <c r="R245" s="318" t="str">
        <f t="shared" si="241"/>
        <v/>
      </c>
      <c r="S245" s="318" t="str">
        <f t="shared" si="8"/>
        <v/>
      </c>
    </row>
    <row r="246">
      <c r="A246" s="14" t="str">
        <f t="shared" si="1"/>
        <v>C156446114</v>
      </c>
      <c r="B246" s="185" t="str">
        <f t="array" ref="B246">IF(F246="VL","",IF(F246="Free","Free",XLOOKUP(D246,Roster!T:T,Roster!S:S,"",0)))</f>
        <v>Free</v>
      </c>
      <c r="C246" s="313">
        <v>46114.0</v>
      </c>
      <c r="D246" s="314" t="s">
        <v>71</v>
      </c>
      <c r="E246" s="307" t="str">
        <f t="array" ref="E246">(XLOOKUP(D246,Roster!F:F,Roster!B:B,"",0))</f>
        <v>Samuel Acevedo Cadavid</v>
      </c>
      <c r="F246" s="315" t="str">
        <f t="array" ref="F246">IF(B246=100,"Free",TEXT(XLOOKUP($D246,OperationVoice!$A:$A,OperationVoice!H:H,XLOOKUP($D246,OperationTickets!$A:$A,OperationTickets!H:H,"",0)),"hh:mm"))</f>
        <v>Free</v>
      </c>
      <c r="G246" s="309" t="str">
        <f t="shared" si="3"/>
        <v>Free</v>
      </c>
      <c r="H246" s="316" t="str">
        <f t="array" ref="H246">XLOOKUP(B246,Roster!L:L,Roster!N:N,XLOOKUP(D246,TicketsBreak!A:A,TicketsBreak!E:E,"",0),0)</f>
        <v/>
      </c>
      <c r="I246" s="316" t="str">
        <f t="array" ref="I246">XLOOKUP(B246,Roster!L:L,Roster!O:O,XLOOKUP(D246,TicketsBreak!A:A,TicketsBreak!F:F,"",0),0)</f>
        <v/>
      </c>
      <c r="J246" s="316" t="str">
        <f t="array" ref="J246">XLOOKUP(B246,Roster!L:L,Roster!P:P,XLOOKUP(D246,TicketsBreak!A:A,TicketsBreak!G:G,"",0),0)</f>
        <v/>
      </c>
      <c r="K246" s="310">
        <f t="shared" si="4"/>
        <v>46114</v>
      </c>
      <c r="L246" s="317">
        <f t="array" ref="L246">(XLOOKUP(D246,Roster!F:F,Roster!D:D,"",0))</f>
        <v>38</v>
      </c>
      <c r="M246" s="317" t="str">
        <f t="array" ref="M246">XLOOKUP(D246,Roster!F:F,Roster!E:E)</f>
        <v>Voice</v>
      </c>
      <c r="N246" s="317" t="str">
        <f t="shared" ref="N246:P246" si="255">LEFT(H246,5)</f>
        <v/>
      </c>
      <c r="O246" s="317" t="str">
        <f t="shared" si="255"/>
        <v/>
      </c>
      <c r="P246" s="317" t="str">
        <f t="shared" si="255"/>
        <v/>
      </c>
      <c r="Q246" s="318" t="str">
        <f t="shared" si="240"/>
        <v/>
      </c>
      <c r="R246" s="318" t="str">
        <f t="shared" si="241"/>
        <v/>
      </c>
      <c r="S246" s="318" t="str">
        <f t="shared" si="8"/>
        <v/>
      </c>
    </row>
    <row r="247">
      <c r="A247" s="14" t="str">
        <f t="shared" si="1"/>
        <v>C116846114</v>
      </c>
      <c r="B247" s="185">
        <f t="array" ref="B247">IF(F247="VL","",IF(F247="Free","Free",XLOOKUP(D247,Roster!T:T,Roster!S:S,"",0)))</f>
        <v>125</v>
      </c>
      <c r="C247" s="313">
        <v>46114.0</v>
      </c>
      <c r="D247" s="314" t="s">
        <v>180</v>
      </c>
      <c r="E247" s="307" t="str">
        <f t="array" ref="E247">(XLOOKUP(D247,Roster!F:F,Roster!B:B,"",0))</f>
        <v>Santiago Gaviria</v>
      </c>
      <c r="F247" s="315" t="str">
        <f t="array" ref="F247">IF(B247=100,"Free",TEXT(XLOOKUP($D247,OperationVoice!$A:$A,OperationVoice!H:H,XLOOKUP($D247,OperationTickets!$A:$A,OperationTickets!H:H,"",0)),"hh:mm"))</f>
        <v>08:00</v>
      </c>
      <c r="G247" s="309">
        <f t="shared" si="3"/>
        <v>0.7083333333</v>
      </c>
      <c r="H247" s="316" t="str">
        <f t="array" ref="H247">XLOOKUP(B247,Roster!L:L,Roster!N:N,XLOOKUP(D247,TicketsBreak!A:A,TicketsBreak!E:E,"",0),0)</f>
        <v>10:30 - 10:45</v>
      </c>
      <c r="I247" s="316" t="str">
        <f t="array" ref="I247">XLOOKUP(B247,Roster!L:L,Roster!O:O,XLOOKUP(D247,TicketsBreak!A:A,TicketsBreak!F:F,"",0),0)</f>
        <v>13:30 - 14:00</v>
      </c>
      <c r="J247" s="316" t="str">
        <f t="array" ref="J247">XLOOKUP(B247,Roster!L:L,Roster!P:P,XLOOKUP(D247,TicketsBreak!A:A,TicketsBreak!G:G,"",0),0)</f>
        <v>15:45 - 16:00</v>
      </c>
      <c r="K247" s="310">
        <f t="shared" si="4"/>
        <v>46114</v>
      </c>
      <c r="L247" s="317">
        <f t="array" ref="L247">(XLOOKUP(D247,Roster!F:F,Roster!D:D,"",0))</f>
        <v>24</v>
      </c>
      <c r="M247" s="317" t="str">
        <f t="array" ref="M247">XLOOKUP(D247,Roster!F:F,Roster!E:E)</f>
        <v>Tickets</v>
      </c>
      <c r="N247" s="317" t="str">
        <f t="shared" ref="N247:P247" si="256">LEFT(H247,5)</f>
        <v>10:30</v>
      </c>
      <c r="O247" s="317" t="str">
        <f t="shared" si="256"/>
        <v>13:30</v>
      </c>
      <c r="P247" s="317" t="str">
        <f t="shared" si="256"/>
        <v>15:45</v>
      </c>
      <c r="Q247" s="318">
        <f t="shared" si="240"/>
        <v>46114.4375</v>
      </c>
      <c r="R247" s="318">
        <f t="shared" si="241"/>
        <v>46114.5625</v>
      </c>
      <c r="S247" s="318">
        <f t="shared" si="8"/>
        <v>46114.65625</v>
      </c>
    </row>
    <row r="248">
      <c r="A248" s="14" t="str">
        <f t="shared" si="1"/>
        <v>C122046114</v>
      </c>
      <c r="B248" s="185" t="str">
        <f t="array" ref="B248">IF(F248="VL","",IF(F248="Free","Free",XLOOKUP(D248,Roster!T:T,Roster!S:S,"",0)))</f>
        <v>Free</v>
      </c>
      <c r="C248" s="313">
        <v>46114.0</v>
      </c>
      <c r="D248" s="314" t="s">
        <v>181</v>
      </c>
      <c r="E248" s="307" t="str">
        <f t="array" ref="E248">(XLOOKUP(D248,Roster!F:F,Roster!B:B,"",0))</f>
        <v>Santiago Gonzalez</v>
      </c>
      <c r="F248" s="315" t="str">
        <f t="array" ref="F248">IF(B248=100,"Free",TEXT(XLOOKUP($D248,OperationVoice!$A:$A,OperationVoice!H:H,XLOOKUP($D248,OperationTickets!$A:$A,OperationTickets!H:H,"",0)),"hh:mm"))</f>
        <v>Free</v>
      </c>
      <c r="G248" s="309" t="str">
        <f t="shared" si="3"/>
        <v>Free</v>
      </c>
      <c r="H248" s="316" t="str">
        <f t="array" ref="H248">XLOOKUP(B248,Roster!L:L,Roster!N:N,XLOOKUP(D248,TicketsBreak!A:A,TicketsBreak!E:E,"",0),0)</f>
        <v/>
      </c>
      <c r="I248" s="316" t="str">
        <f t="array" ref="I248">XLOOKUP(B248,Roster!L:L,Roster!O:O,XLOOKUP(D248,TicketsBreak!A:A,TicketsBreak!F:F,"",0),0)</f>
        <v/>
      </c>
      <c r="J248" s="316" t="str">
        <f t="array" ref="J248">XLOOKUP(B248,Roster!L:L,Roster!P:P,XLOOKUP(D248,TicketsBreak!A:A,TicketsBreak!G:G,"",0),0)</f>
        <v/>
      </c>
      <c r="K248" s="310">
        <f t="shared" si="4"/>
        <v>46114</v>
      </c>
      <c r="L248" s="317">
        <f t="array" ref="L248">(XLOOKUP(D248,Roster!F:F,Roster!D:D,"",0))</f>
        <v>26</v>
      </c>
      <c r="M248" s="317" t="str">
        <f t="array" ref="M248">XLOOKUP(D248,Roster!F:F,Roster!E:E)</f>
        <v>Tickets</v>
      </c>
      <c r="N248" s="317" t="str">
        <f t="shared" ref="N248:P248" si="257">LEFT(H248,5)</f>
        <v/>
      </c>
      <c r="O248" s="317" t="str">
        <f t="shared" si="257"/>
        <v/>
      </c>
      <c r="P248" s="317" t="str">
        <f t="shared" si="257"/>
        <v/>
      </c>
      <c r="Q248" s="318" t="str">
        <f t="shared" si="240"/>
        <v/>
      </c>
      <c r="R248" s="318" t="str">
        <f t="shared" si="241"/>
        <v/>
      </c>
      <c r="S248" s="318" t="str">
        <f t="shared" si="8"/>
        <v/>
      </c>
    </row>
    <row r="249">
      <c r="A249" s="14" t="str">
        <f t="shared" si="1"/>
        <v>C140646114</v>
      </c>
      <c r="B249" s="185">
        <f t="array" ref="B249">IF(F249="VL","",IF(F249="Free","Free",XLOOKUP(D249,Roster!T:T,Roster!S:S,"",0)))</f>
        <v>152</v>
      </c>
      <c r="C249" s="313">
        <v>46114.0</v>
      </c>
      <c r="D249" s="314" t="s">
        <v>72</v>
      </c>
      <c r="E249" s="307" t="str">
        <f t="array" ref="E249">(XLOOKUP(D249,Roster!F:F,Roster!B:B,"",0))</f>
        <v>Santiago Mora</v>
      </c>
      <c r="F249" s="315" t="str">
        <f t="array" ref="F249">IF(B249=100,"Free",TEXT(XLOOKUP($D249,OperationVoice!$A:$A,OperationVoice!H:H,XLOOKUP($D249,OperationTickets!$A:$A,OperationTickets!H:H,"",0)),"hh:mm"))</f>
        <v>11:00</v>
      </c>
      <c r="G249" s="309">
        <f t="shared" si="3"/>
        <v>0.8333333333</v>
      </c>
      <c r="H249" s="316" t="str">
        <f t="array" ref="H249">XLOOKUP(B249,Roster!L:L,Roster!N:N,XLOOKUP(D249,TicketsBreak!A:A,TicketsBreak!E:E,"",0),0)</f>
        <v>12:30 - 12:45</v>
      </c>
      <c r="I249" s="316" t="str">
        <f t="array" ref="I249">XLOOKUP(B249,Roster!L:L,Roster!O:O,XLOOKUP(D249,TicketsBreak!A:A,TicketsBreak!F:F,"",0),0)</f>
        <v>14:30 - 15:00</v>
      </c>
      <c r="J249" s="316" t="str">
        <f t="array" ref="J249">XLOOKUP(B249,Roster!L:L,Roster!P:P,XLOOKUP(D249,TicketsBreak!A:A,TicketsBreak!G:G,"",0),0)</f>
        <v>17:30 - 17:45</v>
      </c>
      <c r="K249" s="310">
        <f t="shared" si="4"/>
        <v>46114</v>
      </c>
      <c r="L249" s="317">
        <f t="array" ref="L249">(XLOOKUP(D249,Roster!F:F,Roster!D:D,"",0))</f>
        <v>35</v>
      </c>
      <c r="M249" s="317" t="str">
        <f t="array" ref="M249">XLOOKUP(D249,Roster!F:F,Roster!E:E)</f>
        <v>Voice</v>
      </c>
      <c r="N249" s="317" t="str">
        <f t="shared" ref="N249:P249" si="258">LEFT(H249,5)</f>
        <v>12:30</v>
      </c>
      <c r="O249" s="317" t="str">
        <f t="shared" si="258"/>
        <v>14:30</v>
      </c>
      <c r="P249" s="317" t="str">
        <f t="shared" si="258"/>
        <v>17:30</v>
      </c>
      <c r="Q249" s="318">
        <f t="shared" si="240"/>
        <v>46114.52083</v>
      </c>
      <c r="R249" s="318">
        <f t="shared" si="241"/>
        <v>46114.60417</v>
      </c>
      <c r="S249" s="318">
        <f t="shared" si="8"/>
        <v>46114.72917</v>
      </c>
    </row>
    <row r="250">
      <c r="A250" s="14" t="str">
        <f t="shared" si="1"/>
        <v>C119946114</v>
      </c>
      <c r="B250" s="185" t="str">
        <f t="array" ref="B250">IF(F250="VL","",IF(F250="Free","Free",XLOOKUP(D250,Roster!T:T,Roster!S:S,"",0)))</f>
        <v/>
      </c>
      <c r="C250" s="313">
        <v>46114.0</v>
      </c>
      <c r="D250" s="314" t="s">
        <v>182</v>
      </c>
      <c r="E250" s="307" t="str">
        <f t="array" ref="E250">(XLOOKUP(D250,Roster!F:F,Roster!B:B,"",0))</f>
        <v>Santiago Velasquez</v>
      </c>
      <c r="F250" s="315" t="str">
        <f t="array" ref="F250">IF(B250=100,"Free",TEXT(XLOOKUP($D250,OperationVoice!$A:$A,OperationVoice!H:H,XLOOKUP($D250,OperationTickets!$A:$A,OperationTickets!H:H,"",0)),"hh:mm"))</f>
        <v>08:00</v>
      </c>
      <c r="G250" s="309">
        <f t="shared" si="3"/>
        <v>0.7083333333</v>
      </c>
      <c r="H250" s="316" t="str">
        <f t="array" ref="H250">XLOOKUP(B250,Roster!L:L,Roster!N:N,XLOOKUP(D250,TicketsBreak!A:A,TicketsBreak!E:E,"",0),0)</f>
        <v/>
      </c>
      <c r="I250" s="316" t="str">
        <f t="array" ref="I250">XLOOKUP(B250,Roster!L:L,Roster!O:O,XLOOKUP(D250,TicketsBreak!A:A,TicketsBreak!F:F,"",0),0)</f>
        <v/>
      </c>
      <c r="J250" s="316" t="str">
        <f t="array" ref="J250">XLOOKUP(B250,Roster!L:L,Roster!P:P,XLOOKUP(D250,TicketsBreak!A:A,TicketsBreak!G:G,"",0),0)</f>
        <v/>
      </c>
      <c r="K250" s="310">
        <f t="shared" si="4"/>
        <v>46114</v>
      </c>
      <c r="L250" s="317">
        <f t="array" ref="L250">(XLOOKUP(D250,Roster!F:F,Roster!D:D,"",0))</f>
        <v>25</v>
      </c>
      <c r="M250" s="317" t="str">
        <f t="array" ref="M250">XLOOKUP(D250,Roster!F:F,Roster!E:E)</f>
        <v>Tickets</v>
      </c>
      <c r="N250" s="317" t="str">
        <f t="shared" ref="N250:P250" si="259">LEFT(H250,5)</f>
        <v/>
      </c>
      <c r="O250" s="317" t="str">
        <f t="shared" si="259"/>
        <v/>
      </c>
      <c r="P250" s="317" t="str">
        <f t="shared" si="259"/>
        <v/>
      </c>
      <c r="Q250" s="318" t="str">
        <f t="shared" si="240"/>
        <v/>
      </c>
      <c r="R250" s="318" t="str">
        <f t="shared" si="241"/>
        <v/>
      </c>
      <c r="S250" s="318" t="str">
        <f t="shared" si="8"/>
        <v/>
      </c>
    </row>
    <row r="251">
      <c r="A251" s="14" t="str">
        <f t="shared" si="1"/>
        <v>C90246114</v>
      </c>
      <c r="B251" s="185" t="str">
        <f t="array" ref="B251">IF(F251="VL","",IF(F251="Free","Free",XLOOKUP(D251,Roster!T:T,Roster!S:S,"",0)))</f>
        <v/>
      </c>
      <c r="C251" s="313">
        <v>46114.0</v>
      </c>
      <c r="D251" s="314" t="s">
        <v>150</v>
      </c>
      <c r="E251" s="307" t="str">
        <f t="array" ref="E251">(XLOOKUP(D251,Roster!F:F,Roster!B:B,"",0))</f>
        <v>Sebastiam Vallejo</v>
      </c>
      <c r="F251" s="315" t="str">
        <f t="array" ref="F251">IF(B251=100,"Free",TEXT(XLOOKUP($D251,OperationVoice!$A:$A,OperationVoice!H:H,XLOOKUP($D251,OperationTickets!$A:$A,OperationTickets!H:H,"",0)),"hh:mm"))</f>
        <v>08:00</v>
      </c>
      <c r="G251" s="309">
        <f t="shared" si="3"/>
        <v>0.7083333333</v>
      </c>
      <c r="H251" s="316">
        <f t="array" ref="H251">XLOOKUP(B251,Roster!L:L,Roster!N:N,XLOOKUP(D251,TicketsBreak!A:A,TicketsBreak!E:E,"",0),0)</f>
        <v>0.4375</v>
      </c>
      <c r="I251" s="316">
        <f t="array" ref="I251">XLOOKUP(B251,Roster!L:L,Roster!O:O,XLOOKUP(D251,TicketsBreak!A:A,TicketsBreak!F:F,"",0),0)</f>
        <v>0.6041666667</v>
      </c>
      <c r="J251" s="316">
        <f t="array" ref="J251">XLOOKUP(B251,Roster!L:L,Roster!P:P,XLOOKUP(D251,TicketsBreak!A:A,TicketsBreak!G:G,"",0),0)</f>
        <v>0.65625</v>
      </c>
      <c r="K251" s="310">
        <f t="shared" si="4"/>
        <v>46114</v>
      </c>
      <c r="L251" s="317">
        <f t="array" ref="L251">(XLOOKUP(D251,Roster!F:F,Roster!D:D,"",0))</f>
        <v>11</v>
      </c>
      <c r="M251" s="317" t="str">
        <f t="array" ref="M251">XLOOKUP(D251,Roster!F:F,Roster!E:E)</f>
        <v>Tickets</v>
      </c>
      <c r="N251" s="317" t="str">
        <f t="shared" ref="N251:P251" si="260">LEFT(H251,5)</f>
        <v>10:30</v>
      </c>
      <c r="O251" s="317" t="str">
        <f t="shared" si="260"/>
        <v>14:30</v>
      </c>
      <c r="P251" s="317" t="str">
        <f t="shared" si="260"/>
        <v>15:45</v>
      </c>
      <c r="Q251" s="318">
        <f t="shared" si="240"/>
        <v>46114.4375</v>
      </c>
      <c r="R251" s="318">
        <f t="shared" si="241"/>
        <v>46114.60417</v>
      </c>
      <c r="S251" s="318">
        <f t="shared" si="8"/>
        <v>46114.65625</v>
      </c>
    </row>
    <row r="252">
      <c r="A252" s="14" t="str">
        <f t="shared" si="1"/>
        <v>C150646114</v>
      </c>
      <c r="B252" s="185">
        <f t="array" ref="B252">IF(F252="VL","",IF(F252="Free","Free",XLOOKUP(D252,Roster!T:T,Roster!S:S,"",0)))</f>
        <v>153</v>
      </c>
      <c r="C252" s="313">
        <v>46114.0</v>
      </c>
      <c r="D252" s="314" t="s">
        <v>73</v>
      </c>
      <c r="E252" s="307" t="str">
        <f t="array" ref="E252">(XLOOKUP(D252,Roster!F:F,Roster!B:B,"",0))</f>
        <v>Sebastian Agudelo Londono</v>
      </c>
      <c r="F252" s="315" t="str">
        <f t="array" ref="F252">IF(B252=100,"Free",TEXT(XLOOKUP($D252,OperationVoice!$A:$A,OperationVoice!H:H,XLOOKUP($D252,OperationTickets!$A:$A,OperationTickets!H:H,"",0)),"hh:mm"))</f>
        <v>11:00</v>
      </c>
      <c r="G252" s="309">
        <f t="shared" si="3"/>
        <v>0.8333333333</v>
      </c>
      <c r="H252" s="316" t="str">
        <f t="array" ref="H252">XLOOKUP(B252,Roster!L:L,Roster!N:N,XLOOKUP(D252,TicketsBreak!A:A,TicketsBreak!E:E,"",0),0)</f>
        <v>12:45 - 13:00</v>
      </c>
      <c r="I252" s="316" t="str">
        <f t="array" ref="I252">XLOOKUP(B252,Roster!L:L,Roster!O:O,XLOOKUP(D252,TicketsBreak!A:A,TicketsBreak!F:F,"",0),0)</f>
        <v>15:00 - 15:30</v>
      </c>
      <c r="J252" s="316" t="str">
        <f t="array" ref="J252">XLOOKUP(B252,Roster!L:L,Roster!P:P,XLOOKUP(D252,TicketsBreak!A:A,TicketsBreak!G:G,"",0),0)</f>
        <v>17:45 - 18:00</v>
      </c>
      <c r="K252" s="310">
        <f t="shared" si="4"/>
        <v>46114</v>
      </c>
      <c r="L252" s="317">
        <f t="array" ref="L252">(XLOOKUP(D252,Roster!F:F,Roster!D:D,"",0))</f>
        <v>35</v>
      </c>
      <c r="M252" s="317" t="str">
        <f t="array" ref="M252">XLOOKUP(D252,Roster!F:F,Roster!E:E)</f>
        <v>Voice</v>
      </c>
      <c r="N252" s="317" t="str">
        <f t="shared" ref="N252:P252" si="261">LEFT(H252,5)</f>
        <v>12:45</v>
      </c>
      <c r="O252" s="317" t="str">
        <f t="shared" si="261"/>
        <v>15:00</v>
      </c>
      <c r="P252" s="317" t="str">
        <f t="shared" si="261"/>
        <v>17:45</v>
      </c>
      <c r="Q252" s="318">
        <f t="shared" si="240"/>
        <v>46114.53125</v>
      </c>
      <c r="R252" s="318">
        <f t="shared" si="241"/>
        <v>46114.625</v>
      </c>
      <c r="S252" s="318">
        <f t="shared" si="8"/>
        <v>46114.73958</v>
      </c>
    </row>
    <row r="253">
      <c r="A253" s="14" t="str">
        <f t="shared" si="1"/>
        <v>C119046114</v>
      </c>
      <c r="B253" s="185" t="str">
        <f t="array" ref="B253">IF(F253="VL","",IF(F253="Free","Free",XLOOKUP(D253,Roster!T:T,Roster!S:S,"",0)))</f>
        <v/>
      </c>
      <c r="C253" s="313">
        <v>46114.0</v>
      </c>
      <c r="D253" s="314" t="s">
        <v>183</v>
      </c>
      <c r="E253" s="307" t="str">
        <f t="array" ref="E253">(XLOOKUP(D253,Roster!F:F,Roster!B:B,"",0))</f>
        <v>Sebastian Herrera</v>
      </c>
      <c r="F253" s="315" t="str">
        <f t="array" ref="F253">IF(B253=100,"Free",TEXT(XLOOKUP($D253,OperationVoice!$A:$A,OperationVoice!H:H,XLOOKUP($D253,OperationTickets!$A:$A,OperationTickets!H:H,"",0)),"hh:mm"))</f>
        <v>07:00</v>
      </c>
      <c r="G253" s="309">
        <f t="shared" si="3"/>
        <v>0.6666666667</v>
      </c>
      <c r="H253" s="316">
        <f t="array" ref="H253">XLOOKUP(B253,Roster!L:L,Roster!N:N,XLOOKUP(D253,TicketsBreak!A:A,TicketsBreak!E:E,"",0),0)</f>
        <v>0.40625</v>
      </c>
      <c r="I253" s="316">
        <f t="array" ref="I253">XLOOKUP(B253,Roster!L:L,Roster!O:O,XLOOKUP(D253,TicketsBreak!A:A,TicketsBreak!F:F,"",0),0)</f>
        <v>0.5416666667</v>
      </c>
      <c r="J253" s="316">
        <f t="array" ref="J253">XLOOKUP(B253,Roster!L:L,Roster!P:P,XLOOKUP(D253,TicketsBreak!A:A,TicketsBreak!G:G,"",0),0)</f>
        <v>0.625</v>
      </c>
      <c r="K253" s="310">
        <f t="shared" si="4"/>
        <v>46114</v>
      </c>
      <c r="L253" s="317">
        <f t="array" ref="L253">(XLOOKUP(D253,Roster!F:F,Roster!D:D,"",0))</f>
        <v>25</v>
      </c>
      <c r="M253" s="317" t="str">
        <f t="array" ref="M253">XLOOKUP(D253,Roster!F:F,Roster!E:E)</f>
        <v>Tickets</v>
      </c>
      <c r="N253" s="317" t="str">
        <f t="shared" ref="N253:P253" si="262">LEFT(H253,5)</f>
        <v>09:45</v>
      </c>
      <c r="O253" s="317" t="str">
        <f t="shared" si="262"/>
        <v>13:00</v>
      </c>
      <c r="P253" s="317" t="str">
        <f t="shared" si="262"/>
        <v>15:00</v>
      </c>
      <c r="Q253" s="318">
        <f t="shared" si="240"/>
        <v>46114.40625</v>
      </c>
      <c r="R253" s="318">
        <f t="shared" si="241"/>
        <v>46114.54167</v>
      </c>
      <c r="S253" s="318">
        <f t="shared" si="8"/>
        <v>46114.625</v>
      </c>
    </row>
    <row r="254">
      <c r="A254" s="14" t="str">
        <f t="shared" si="1"/>
        <v>C71046114</v>
      </c>
      <c r="B254" s="185" t="str">
        <f t="array" ref="B254">IF(F254="VL","",IF(F254="Free","Free",XLOOKUP(D254,Roster!T:T,Roster!S:S,"",0)))</f>
        <v/>
      </c>
      <c r="C254" s="313">
        <v>46114.0</v>
      </c>
      <c r="D254" s="314" t="s">
        <v>184</v>
      </c>
      <c r="E254" s="307" t="str">
        <f t="array" ref="E254">(XLOOKUP(D254,Roster!F:F,Roster!B:B,"",0))</f>
        <v>Sebastian Martinez</v>
      </c>
      <c r="F254" s="315" t="str">
        <f t="array" ref="F254">IF(B254=100,"Free",TEXT(XLOOKUP($D254,OperationVoice!$A:$A,OperationVoice!H:H,XLOOKUP($D254,OperationTickets!$A:$A,OperationTickets!H:H,"",0)),"hh:mm"))</f>
        <v>08:00</v>
      </c>
      <c r="G254" s="309">
        <f t="shared" si="3"/>
        <v>0.7083333333</v>
      </c>
      <c r="H254" s="316">
        <f t="array" ref="H254">XLOOKUP(B254,Roster!L:L,Roster!N:N,XLOOKUP(D254,TicketsBreak!A:A,TicketsBreak!E:E,"",0),0)</f>
        <v>0.40625</v>
      </c>
      <c r="I254" s="316">
        <f t="array" ref="I254">XLOOKUP(B254,Roster!L:L,Roster!O:O,XLOOKUP(D254,TicketsBreak!A:A,TicketsBreak!F:F,"",0),0)</f>
        <v>0.5625</v>
      </c>
      <c r="J254" s="316">
        <f t="array" ref="J254">XLOOKUP(B254,Roster!L:L,Roster!P:P,XLOOKUP(D254,TicketsBreak!A:A,TicketsBreak!G:G,"",0),0)</f>
        <v>0.65625</v>
      </c>
      <c r="K254" s="310">
        <f t="shared" si="4"/>
        <v>46114</v>
      </c>
      <c r="L254" s="317">
        <f t="array" ref="L254">(XLOOKUP(D254,Roster!F:F,Roster!D:D,"",0))</f>
        <v>6</v>
      </c>
      <c r="M254" s="317" t="str">
        <f t="array" ref="M254">XLOOKUP(D254,Roster!F:F,Roster!E:E)</f>
        <v>Tickets</v>
      </c>
      <c r="N254" s="317" t="str">
        <f t="shared" ref="N254:P254" si="263">LEFT(H254,5)</f>
        <v>09:45</v>
      </c>
      <c r="O254" s="317" t="str">
        <f t="shared" si="263"/>
        <v>13:30</v>
      </c>
      <c r="P254" s="317" t="str">
        <f t="shared" si="263"/>
        <v>15:45</v>
      </c>
      <c r="Q254" s="318">
        <f t="shared" si="240"/>
        <v>46114.40625</v>
      </c>
      <c r="R254" s="318">
        <f t="shared" si="241"/>
        <v>46114.5625</v>
      </c>
      <c r="S254" s="318">
        <f t="shared" si="8"/>
        <v>46114.65625</v>
      </c>
    </row>
    <row r="255">
      <c r="A255" s="14" t="str">
        <f t="shared" si="1"/>
        <v>C72346114</v>
      </c>
      <c r="B255" s="185" t="str">
        <f t="array" ref="B255">IF(F255="VL","",IF(F255="Free","Free",XLOOKUP(D255,Roster!T:T,Roster!S:S,"",0)))</f>
        <v/>
      </c>
      <c r="C255" s="313">
        <v>46114.0</v>
      </c>
      <c r="D255" s="314" t="s">
        <v>169</v>
      </c>
      <c r="E255" s="307" t="str">
        <f t="array" ref="E255">(XLOOKUP(D255,Roster!F:F,Roster!B:B,"",0))</f>
        <v>Sebastian Parra</v>
      </c>
      <c r="F255" s="315" t="str">
        <f t="array" ref="F255">IF(B255=100,"Free",TEXT(XLOOKUP($D255,OperationVoice!$A:$A,OperationVoice!H:H,XLOOKUP($D255,OperationTickets!$A:$A,OperationTickets!H:H,"",0)),"hh:mm"))</f>
        <v>VL</v>
      </c>
      <c r="G255" s="309" t="str">
        <f t="shared" si="3"/>
        <v>VL</v>
      </c>
      <c r="H255" s="316">
        <f t="array" ref="H255">XLOOKUP(B255,Roster!L:L,Roster!N:N,XLOOKUP(D255,TicketsBreak!A:A,TicketsBreak!E:E,"",0),0)</f>
        <v>0.4166666667</v>
      </c>
      <c r="I255" s="316">
        <f t="array" ref="I255">XLOOKUP(B255,Roster!L:L,Roster!O:O,XLOOKUP(D255,TicketsBreak!A:A,TicketsBreak!F:F,"",0),0)</f>
        <v>0.5347222222</v>
      </c>
      <c r="J255" s="316">
        <f t="array" ref="J255">XLOOKUP(B255,Roster!L:L,Roster!P:P,XLOOKUP(D255,TicketsBreak!A:A,TicketsBreak!G:G,"",0),0)</f>
        <v>0.65625</v>
      </c>
      <c r="K255" s="310">
        <f t="shared" si="4"/>
        <v>46114</v>
      </c>
      <c r="L255" s="317">
        <f t="array" ref="L255">(XLOOKUP(D255,Roster!F:F,Roster!D:D,"",0))</f>
        <v>7</v>
      </c>
      <c r="M255" s="317" t="str">
        <f t="array" ref="M255">XLOOKUP(D255,Roster!F:F,Roster!E:E)</f>
        <v>Tickets</v>
      </c>
      <c r="N255" s="317" t="str">
        <f t="shared" ref="N255:P255" si="264">LEFT(H255,5)</f>
        <v>10:00</v>
      </c>
      <c r="O255" s="317" t="str">
        <f t="shared" si="264"/>
        <v>12:50</v>
      </c>
      <c r="P255" s="317" t="str">
        <f t="shared" si="264"/>
        <v>15:45</v>
      </c>
      <c r="Q255" s="318">
        <f t="shared" si="240"/>
        <v>46114.41667</v>
      </c>
      <c r="R255" s="318">
        <f t="shared" si="241"/>
        <v>46114.53472</v>
      </c>
      <c r="S255" s="318">
        <f t="shared" si="8"/>
        <v>46114.65625</v>
      </c>
    </row>
    <row r="256">
      <c r="A256" s="14" t="str">
        <f t="shared" si="1"/>
        <v>C137646114</v>
      </c>
      <c r="B256" s="185" t="str">
        <f t="array" ref="B256">IF(F256="VL","",IF(F256="Free","Free",XLOOKUP(D256,Roster!T:T,Roster!S:S,"",0)))</f>
        <v/>
      </c>
      <c r="C256" s="313">
        <v>46114.0</v>
      </c>
      <c r="D256" s="314" t="s">
        <v>151</v>
      </c>
      <c r="E256" s="307" t="str">
        <f t="array" ref="E256">(XLOOKUP(D256,Roster!F:F,Roster!B:B,"",0))</f>
        <v>Sebastian Quiroz</v>
      </c>
      <c r="F256" s="315" t="str">
        <f t="array" ref="F256">IF(B256=100,"Free",TEXT(XLOOKUP($D256,OperationVoice!$A:$A,OperationVoice!H:H,XLOOKUP($D256,OperationTickets!$A:$A,OperationTickets!H:H,"",0)),"hh:mm"))</f>
        <v>08:00</v>
      </c>
      <c r="G256" s="309">
        <f t="shared" si="3"/>
        <v>0.7083333333</v>
      </c>
      <c r="H256" s="316" t="str">
        <f t="array" ref="H256">XLOOKUP(B256,Roster!L:L,Roster!N:N,XLOOKUP(D256,TicketsBreak!A:A,TicketsBreak!E:E,"",0),0)</f>
        <v/>
      </c>
      <c r="I256" s="316" t="str">
        <f t="array" ref="I256">XLOOKUP(B256,Roster!L:L,Roster!O:O,XLOOKUP(D256,TicketsBreak!A:A,TicketsBreak!F:F,"",0),0)</f>
        <v/>
      </c>
      <c r="J256" s="316" t="str">
        <f t="array" ref="J256">XLOOKUP(B256,Roster!L:L,Roster!P:P,XLOOKUP(D256,TicketsBreak!A:A,TicketsBreak!G:G,"",0),0)</f>
        <v/>
      </c>
      <c r="K256" s="310">
        <f t="shared" si="4"/>
        <v>46114</v>
      </c>
      <c r="L256" s="317">
        <f t="array" ref="L256">(XLOOKUP(D256,Roster!F:F,Roster!D:D,"",0))</f>
        <v>31</v>
      </c>
      <c r="M256" s="317" t="str">
        <f t="array" ref="M256">XLOOKUP(D256,Roster!F:F,Roster!E:E)</f>
        <v>Tickets</v>
      </c>
      <c r="N256" s="317" t="str">
        <f t="shared" ref="N256:P256" si="265">LEFT(H256,5)</f>
        <v/>
      </c>
      <c r="O256" s="317" t="str">
        <f t="shared" si="265"/>
        <v/>
      </c>
      <c r="P256" s="317" t="str">
        <f t="shared" si="265"/>
        <v/>
      </c>
      <c r="Q256" s="318" t="str">
        <f t="shared" si="240"/>
        <v/>
      </c>
      <c r="R256" s="318" t="str">
        <f t="shared" si="241"/>
        <v/>
      </c>
      <c r="S256" s="318" t="str">
        <f t="shared" si="8"/>
        <v/>
      </c>
    </row>
    <row r="257">
      <c r="A257" s="14" t="str">
        <f t="shared" si="1"/>
        <v>C72646114</v>
      </c>
      <c r="B257" s="185" t="str">
        <f t="array" ref="B257">IF(F257="VL","",IF(F257="Free","Free",XLOOKUP(D257,Roster!T:T,Roster!S:S,"",0)))</f>
        <v>Free</v>
      </c>
      <c r="C257" s="313">
        <v>46114.0</v>
      </c>
      <c r="D257" s="314" t="s">
        <v>185</v>
      </c>
      <c r="E257" s="307" t="str">
        <f t="array" ref="E257">(XLOOKUP(D257,Roster!F:F,Roster!B:B,"",0))</f>
        <v>Sebastian Rodriguez</v>
      </c>
      <c r="F257" s="315" t="str">
        <f t="array" ref="F257">IF(B257=100,"Free",TEXT(XLOOKUP($D257,OperationVoice!$A:$A,OperationVoice!H:H,XLOOKUP($D257,OperationTickets!$A:$A,OperationTickets!H:H,"",0)),"hh:mm"))</f>
        <v>Free</v>
      </c>
      <c r="G257" s="309" t="str">
        <f t="shared" si="3"/>
        <v>Free</v>
      </c>
      <c r="H257" s="316">
        <f t="array" ref="H257">XLOOKUP(B257,Roster!L:L,Roster!N:N,XLOOKUP(D257,TicketsBreak!A:A,TicketsBreak!E:E,"",0),0)</f>
        <v>0.4166666667</v>
      </c>
      <c r="I257" s="316">
        <f t="array" ref="I257">XLOOKUP(B257,Roster!L:L,Roster!O:O,XLOOKUP(D257,TicketsBreak!A:A,TicketsBreak!F:F,"",0),0)</f>
        <v>0.5625</v>
      </c>
      <c r="J257" s="316">
        <f t="array" ref="J257">XLOOKUP(B257,Roster!L:L,Roster!P:P,XLOOKUP(D257,TicketsBreak!A:A,TicketsBreak!G:G,"",0),0)</f>
        <v>0.6458333333</v>
      </c>
      <c r="K257" s="310">
        <f t="shared" si="4"/>
        <v>46114</v>
      </c>
      <c r="L257" s="317">
        <f t="array" ref="L257">(XLOOKUP(D257,Roster!F:F,Roster!D:D,"",0))</f>
        <v>7</v>
      </c>
      <c r="M257" s="317" t="str">
        <f t="array" ref="M257">XLOOKUP(D257,Roster!F:F,Roster!E:E)</f>
        <v>Tickets</v>
      </c>
      <c r="N257" s="317" t="str">
        <f t="shared" ref="N257:P257" si="266">LEFT(H257,5)</f>
        <v>10:00</v>
      </c>
      <c r="O257" s="317" t="str">
        <f t="shared" si="266"/>
        <v>13:30</v>
      </c>
      <c r="P257" s="317" t="str">
        <f t="shared" si="266"/>
        <v>15:30</v>
      </c>
      <c r="Q257" s="318">
        <f t="shared" si="240"/>
        <v>46114.41667</v>
      </c>
      <c r="R257" s="318">
        <f t="shared" si="241"/>
        <v>46114.5625</v>
      </c>
      <c r="S257" s="318">
        <f t="shared" si="8"/>
        <v>46114.64583</v>
      </c>
    </row>
    <row r="258">
      <c r="A258" s="14" t="str">
        <f t="shared" si="1"/>
        <v>C60246114</v>
      </c>
      <c r="B258" s="185" t="str">
        <f t="array" ref="B258">IF(F258="VL","",IF(F258="Free","Free",XLOOKUP(D258,Roster!T:T,Roster!S:S,"",0)))</f>
        <v>Free</v>
      </c>
      <c r="C258" s="313">
        <v>46114.0</v>
      </c>
      <c r="D258" s="314" t="s">
        <v>170</v>
      </c>
      <c r="E258" s="307" t="str">
        <f t="array" ref="E258">(XLOOKUP(D258,Roster!F:F,Roster!B:B,"",0))</f>
        <v>Sebastian Torres</v>
      </c>
      <c r="F258" s="315" t="str">
        <f t="array" ref="F258">IF(B258=100,"Free",TEXT(XLOOKUP($D258,OperationVoice!$A:$A,OperationVoice!H:H,XLOOKUP($D258,OperationTickets!$A:$A,OperationTickets!H:H,"",0)),"hh:mm"))</f>
        <v>Free</v>
      </c>
      <c r="G258" s="309" t="str">
        <f t="shared" si="3"/>
        <v>Free</v>
      </c>
      <c r="H258" s="316">
        <f t="array" ref="H258">XLOOKUP(B258,Roster!L:L,Roster!N:N,XLOOKUP(D258,TicketsBreak!A:A,TicketsBreak!E:E,"",0),0)</f>
        <v>0.4583333333</v>
      </c>
      <c r="I258" s="316">
        <f t="array" ref="I258">XLOOKUP(B258,Roster!L:L,Roster!O:O,XLOOKUP(D258,TicketsBreak!A:A,TicketsBreak!F:F,"",0),0)</f>
        <v>0.5833333333</v>
      </c>
      <c r="J258" s="316">
        <f t="array" ref="J258">XLOOKUP(B258,Roster!L:L,Roster!P:P,XLOOKUP(D258,TicketsBreak!A:A,TicketsBreak!G:G,"",0),0)</f>
        <v>0.65625</v>
      </c>
      <c r="K258" s="310">
        <f t="shared" si="4"/>
        <v>46114</v>
      </c>
      <c r="L258" s="317">
        <f t="array" ref="L258">(XLOOKUP(D258,Roster!F:F,Roster!D:D,"",0))</f>
        <v>8</v>
      </c>
      <c r="M258" s="317" t="str">
        <f t="array" ref="M258">XLOOKUP(D258,Roster!F:F,Roster!E:E)</f>
        <v>Tickets</v>
      </c>
      <c r="N258" s="317" t="str">
        <f t="shared" ref="N258:P258" si="267">LEFT(H258,5)</f>
        <v>11:00</v>
      </c>
      <c r="O258" s="317" t="str">
        <f t="shared" si="267"/>
        <v>14:00</v>
      </c>
      <c r="P258" s="317" t="str">
        <f t="shared" si="267"/>
        <v>15:45</v>
      </c>
      <c r="Q258" s="318">
        <f t="shared" si="240"/>
        <v>46114.45833</v>
      </c>
      <c r="R258" s="318">
        <f t="shared" si="241"/>
        <v>46114.58333</v>
      </c>
      <c r="S258" s="318">
        <f t="shared" si="8"/>
        <v>46114.65625</v>
      </c>
    </row>
    <row r="259">
      <c r="A259" s="14" t="str">
        <f t="shared" si="1"/>
        <v>C143146114</v>
      </c>
      <c r="B259" s="185">
        <f t="array" ref="B259">IF(F259="VL","",IF(F259="Free","Free",XLOOKUP(D259,Roster!T:T,Roster!S:S,"",0)))</f>
        <v>151</v>
      </c>
      <c r="C259" s="313">
        <v>46114.0</v>
      </c>
      <c r="D259" s="314" t="s">
        <v>74</v>
      </c>
      <c r="E259" s="307" t="str">
        <f t="array" ref="E259">(XLOOKUP(D259,Roster!F:F,Roster!B:B,"",0))</f>
        <v>Sebastian Torres Gomez</v>
      </c>
      <c r="F259" s="315" t="str">
        <f t="array" ref="F259">IF(B259=100,"Free",TEXT(XLOOKUP($D259,OperationVoice!$A:$A,OperationVoice!H:H,XLOOKUP($D259,OperationTickets!$A:$A,OperationTickets!H:H,"",0)),"hh:mm"))</f>
        <v>11:00</v>
      </c>
      <c r="G259" s="309">
        <f t="shared" si="3"/>
        <v>0.8333333333</v>
      </c>
      <c r="H259" s="316" t="str">
        <f t="array" ref="H259">XLOOKUP(B259,Roster!L:L,Roster!N:N,XLOOKUP(D259,TicketsBreak!A:A,TicketsBreak!E:E,"",0),0)</f>
        <v>12:15 - 12:30</v>
      </c>
      <c r="I259" s="316" t="str">
        <f t="array" ref="I259">XLOOKUP(B259,Roster!L:L,Roster!O:O,XLOOKUP(D259,TicketsBreak!A:A,TicketsBreak!F:F,"",0),0)</f>
        <v>14:00 - 14:30</v>
      </c>
      <c r="J259" s="316" t="str">
        <f t="array" ref="J259">XLOOKUP(B259,Roster!L:L,Roster!P:P,XLOOKUP(D259,TicketsBreak!A:A,TicketsBreak!G:G,"",0),0)</f>
        <v>17:15 - 17:30</v>
      </c>
      <c r="K259" s="310">
        <f t="shared" si="4"/>
        <v>46114</v>
      </c>
      <c r="L259" s="317">
        <f t="array" ref="L259">(XLOOKUP(D259,Roster!F:F,Roster!D:D,"",0))</f>
        <v>32</v>
      </c>
      <c r="M259" s="317" t="str">
        <f t="array" ref="M259">XLOOKUP(D259,Roster!F:F,Roster!E:E)</f>
        <v>Voice</v>
      </c>
      <c r="N259" s="317" t="str">
        <f t="shared" ref="N259:P259" si="268">LEFT(H259,5)</f>
        <v>12:15</v>
      </c>
      <c r="O259" s="317" t="str">
        <f t="shared" si="268"/>
        <v>14:00</v>
      </c>
      <c r="P259" s="317" t="str">
        <f t="shared" si="268"/>
        <v>17:15</v>
      </c>
      <c r="Q259" s="318">
        <f t="shared" si="240"/>
        <v>46114.51042</v>
      </c>
      <c r="R259" s="318">
        <f t="shared" si="241"/>
        <v>46114.58333</v>
      </c>
      <c r="S259" s="318">
        <f t="shared" si="8"/>
        <v>46114.71875</v>
      </c>
    </row>
    <row r="260">
      <c r="A260" s="14" t="str">
        <f t="shared" si="1"/>
        <v>C149146114</v>
      </c>
      <c r="B260" s="185" t="str">
        <f t="array" ref="B260">IF(F260="VL","",IF(F260="Free","Free",XLOOKUP(D260,Roster!T:T,Roster!S:S,"",0)))</f>
        <v/>
      </c>
      <c r="C260" s="313">
        <v>46114.0</v>
      </c>
      <c r="D260" s="314" t="s">
        <v>315</v>
      </c>
      <c r="E260" s="307" t="str">
        <f t="array" ref="E260">(XLOOKUP(D260,Roster!F:F,Roster!B:B,"",0))</f>
        <v>Sebastian Vanegas</v>
      </c>
      <c r="F260" s="315" t="str">
        <f t="array" ref="F260">IF(B260=100,"Free",TEXT(XLOOKUP($D260,OperationVoice!$A:$A,OperationVoice!H:H,XLOOKUP($D260,OperationTickets!$A:$A,OperationTickets!H:H,"",0)),"hh:mm"))</f>
        <v/>
      </c>
      <c r="G260" s="309" t="str">
        <f t="shared" si="3"/>
        <v/>
      </c>
      <c r="H260" s="316" t="str">
        <f t="array" ref="H260">XLOOKUP(B260,Roster!L:L,Roster!N:N,XLOOKUP(D260,TicketsBreak!A:A,TicketsBreak!E:E,"",0),0)</f>
        <v/>
      </c>
      <c r="I260" s="316" t="str">
        <f t="array" ref="I260">XLOOKUP(B260,Roster!L:L,Roster!O:O,XLOOKUP(D260,TicketsBreak!A:A,TicketsBreak!F:F,"",0),0)</f>
        <v/>
      </c>
      <c r="J260" s="316" t="str">
        <f t="array" ref="J260">XLOOKUP(B260,Roster!L:L,Roster!P:P,XLOOKUP(D260,TicketsBreak!A:A,TicketsBreak!G:G,"",0),0)</f>
        <v/>
      </c>
      <c r="K260" s="310">
        <f t="shared" si="4"/>
        <v>46114</v>
      </c>
      <c r="L260" s="317">
        <f t="array" ref="L260">(XLOOKUP(D260,Roster!F:F,Roster!D:D,"",0))</f>
        <v>34</v>
      </c>
      <c r="M260" s="317" t="str">
        <f t="array" ref="M260">XLOOKUP(D260,Roster!F:F,Roster!E:E)</f>
        <v>Voice</v>
      </c>
      <c r="N260" s="317" t="str">
        <f t="shared" ref="N260:P260" si="269">LEFT(H260,5)</f>
        <v/>
      </c>
      <c r="O260" s="317" t="str">
        <f t="shared" si="269"/>
        <v/>
      </c>
      <c r="P260" s="317" t="str">
        <f t="shared" si="269"/>
        <v/>
      </c>
      <c r="Q260" s="318" t="str">
        <f t="shared" si="240"/>
        <v/>
      </c>
      <c r="R260" s="318" t="str">
        <f t="shared" si="241"/>
        <v/>
      </c>
      <c r="S260" s="318" t="str">
        <f t="shared" si="8"/>
        <v/>
      </c>
    </row>
    <row r="261">
      <c r="A261" s="14" t="str">
        <f t="shared" si="1"/>
        <v>C93746114</v>
      </c>
      <c r="B261" s="185">
        <f t="array" ref="B261">IF(F261="VL","",IF(F261="Free","Free",XLOOKUP(D261,Roster!T:T,Roster!S:S,"",0)))</f>
        <v>126</v>
      </c>
      <c r="C261" s="313">
        <v>46114.0</v>
      </c>
      <c r="D261" s="314" t="s">
        <v>75</v>
      </c>
      <c r="E261" s="307" t="str">
        <f t="array" ref="E261">(XLOOKUP(D261,Roster!F:F,Roster!B:B,"",0))</f>
        <v>Sebastian Zapata</v>
      </c>
      <c r="F261" s="315" t="str">
        <f t="array" ref="F261">IF(B261=100,"Free",TEXT(XLOOKUP($D261,OperationVoice!$A:$A,OperationVoice!H:H,XLOOKUP($D261,OperationTickets!$A:$A,OperationTickets!H:H,"",0)),"hh:mm"))</f>
        <v>08:00</v>
      </c>
      <c r="G261" s="309">
        <f t="shared" si="3"/>
        <v>0.7083333333</v>
      </c>
      <c r="H261" s="316" t="str">
        <f t="array" ref="H261">XLOOKUP(B261,Roster!L:L,Roster!N:N,XLOOKUP(D261,TicketsBreak!A:A,TicketsBreak!E:E,"",0),0)</f>
        <v>10:45 - 11:00</v>
      </c>
      <c r="I261" s="316" t="str">
        <f t="array" ref="I261">XLOOKUP(B261,Roster!L:L,Roster!O:O,XLOOKUP(D261,TicketsBreak!A:A,TicketsBreak!F:F,"",0),0)</f>
        <v>14:00 - 14:30</v>
      </c>
      <c r="J261" s="316" t="str">
        <f t="array" ref="J261">XLOOKUP(B261,Roster!L:L,Roster!P:P,XLOOKUP(D261,TicketsBreak!A:A,TicketsBreak!G:G,"",0),0)</f>
        <v>15:45 - 16:00</v>
      </c>
      <c r="K261" s="310">
        <f t="shared" si="4"/>
        <v>46114</v>
      </c>
      <c r="L261" s="317">
        <f t="array" ref="L261">(XLOOKUP(D261,Roster!F:F,Roster!D:D,"",0))</f>
        <v>12</v>
      </c>
      <c r="M261" s="317" t="str">
        <f t="array" ref="M261">XLOOKUP(D261,Roster!F:F,Roster!E:E)</f>
        <v>Voice</v>
      </c>
      <c r="N261" s="317" t="str">
        <f t="shared" ref="N261:P261" si="270">LEFT(H261,5)</f>
        <v>10:45</v>
      </c>
      <c r="O261" s="317" t="str">
        <f t="shared" si="270"/>
        <v>14:00</v>
      </c>
      <c r="P261" s="317" t="str">
        <f t="shared" si="270"/>
        <v>15:45</v>
      </c>
      <c r="Q261" s="318">
        <f t="shared" si="240"/>
        <v>46114.44792</v>
      </c>
      <c r="R261" s="318">
        <f t="shared" si="241"/>
        <v>46114.58333</v>
      </c>
      <c r="S261" s="318">
        <f t="shared" si="8"/>
        <v>46114.65625</v>
      </c>
    </row>
    <row r="262">
      <c r="A262" s="14" t="str">
        <f t="shared" si="1"/>
        <v>C156546114</v>
      </c>
      <c r="B262" s="185" t="str">
        <f t="array" ref="B262">IF(F262="VL","",IF(F262="Free","Free",XLOOKUP(D262,Roster!T:T,Roster!S:S,"",0)))</f>
        <v>Free</v>
      </c>
      <c r="C262" s="313">
        <v>46114.0</v>
      </c>
      <c r="D262" s="314" t="s">
        <v>76</v>
      </c>
      <c r="E262" s="307" t="str">
        <f t="array" ref="E262">(XLOOKUP(D262,Roster!F:F,Roster!B:B,"",0))</f>
        <v>Sergio Rojas</v>
      </c>
      <c r="F262" s="315" t="str">
        <f t="array" ref="F262">IF(B262=100,"Free",TEXT(XLOOKUP($D262,OperationVoice!$A:$A,OperationVoice!H:H,XLOOKUP($D262,OperationTickets!$A:$A,OperationTickets!H:H,"",0)),"hh:mm"))</f>
        <v>Free</v>
      </c>
      <c r="G262" s="309" t="str">
        <f t="shared" si="3"/>
        <v>Free</v>
      </c>
      <c r="H262" s="316" t="str">
        <f t="array" ref="H262">XLOOKUP(B262,Roster!L:L,Roster!N:N,XLOOKUP(D262,TicketsBreak!A:A,TicketsBreak!E:E,"",0),0)</f>
        <v/>
      </c>
      <c r="I262" s="316" t="str">
        <f t="array" ref="I262">XLOOKUP(B262,Roster!L:L,Roster!O:O,XLOOKUP(D262,TicketsBreak!A:A,TicketsBreak!F:F,"",0),0)</f>
        <v/>
      </c>
      <c r="J262" s="316" t="str">
        <f t="array" ref="J262">XLOOKUP(B262,Roster!L:L,Roster!P:P,XLOOKUP(D262,TicketsBreak!A:A,TicketsBreak!G:G,"",0),0)</f>
        <v/>
      </c>
      <c r="K262" s="310">
        <f t="shared" si="4"/>
        <v>46114</v>
      </c>
      <c r="L262" s="317">
        <f t="array" ref="L262">(XLOOKUP(D262,Roster!F:F,Roster!D:D,"",0))</f>
        <v>38</v>
      </c>
      <c r="M262" s="317" t="str">
        <f t="array" ref="M262">XLOOKUP(D262,Roster!F:F,Roster!E:E)</f>
        <v>Voice</v>
      </c>
      <c r="N262" s="317" t="str">
        <f t="shared" ref="N262:P262" si="271">LEFT(H262,5)</f>
        <v/>
      </c>
      <c r="O262" s="317" t="str">
        <f t="shared" si="271"/>
        <v/>
      </c>
      <c r="P262" s="317" t="str">
        <f t="shared" si="271"/>
        <v/>
      </c>
      <c r="Q262" s="318" t="str">
        <f t="shared" si="240"/>
        <v/>
      </c>
      <c r="R262" s="318" t="str">
        <f t="shared" si="241"/>
        <v/>
      </c>
      <c r="S262" s="318" t="str">
        <f t="shared" si="8"/>
        <v/>
      </c>
    </row>
    <row r="263">
      <c r="A263" s="14" t="str">
        <f t="shared" si="1"/>
        <v>C147846114</v>
      </c>
      <c r="B263" s="185" t="str">
        <f t="array" ref="B263">IF(F263="VL","",IF(F263="Free","Free",XLOOKUP(D263,Roster!T:T,Roster!S:S,"",0)))</f>
        <v/>
      </c>
      <c r="C263" s="313">
        <v>46114.0</v>
      </c>
      <c r="D263" s="314" t="s">
        <v>186</v>
      </c>
      <c r="E263" s="307" t="str">
        <f t="array" ref="E263">(XLOOKUP(D263,Roster!F:F,Roster!B:B,"",0))</f>
        <v>Simon Atehortua</v>
      </c>
      <c r="F263" s="315" t="str">
        <f t="array" ref="F263">IF(B263=100,"Free",TEXT(XLOOKUP($D263,OperationVoice!$A:$A,OperationVoice!H:H,XLOOKUP($D263,OperationTickets!$A:$A,OperationTickets!H:H,"",0)),"hh:mm"))</f>
        <v>07:00</v>
      </c>
      <c r="G263" s="309">
        <f t="shared" si="3"/>
        <v>0.6666666667</v>
      </c>
      <c r="H263" s="316" t="str">
        <f t="array" ref="H263">XLOOKUP(B263,Roster!L:L,Roster!N:N,XLOOKUP(D263,TicketsBreak!A:A,TicketsBreak!E:E,"",0),0)</f>
        <v/>
      </c>
      <c r="I263" s="316" t="str">
        <f t="array" ref="I263">XLOOKUP(B263,Roster!L:L,Roster!O:O,XLOOKUP(D263,TicketsBreak!A:A,TicketsBreak!F:F,"",0),0)</f>
        <v/>
      </c>
      <c r="J263" s="316" t="str">
        <f t="array" ref="J263">XLOOKUP(B263,Roster!L:L,Roster!P:P,XLOOKUP(D263,TicketsBreak!A:A,TicketsBreak!G:G,"",0),0)</f>
        <v/>
      </c>
      <c r="K263" s="310">
        <f t="shared" si="4"/>
        <v>46114</v>
      </c>
      <c r="L263" s="317">
        <f t="array" ref="L263">(XLOOKUP(D263,Roster!F:F,Roster!D:D,"",0))</f>
        <v>32</v>
      </c>
      <c r="M263" s="317" t="str">
        <f t="array" ref="M263">XLOOKUP(D263,Roster!F:F,Roster!E:E)</f>
        <v>Tickets</v>
      </c>
      <c r="N263" s="317" t="str">
        <f t="shared" ref="N263:P263" si="272">LEFT(H263,5)</f>
        <v/>
      </c>
      <c r="O263" s="317" t="str">
        <f t="shared" si="272"/>
        <v/>
      </c>
      <c r="P263" s="317" t="str">
        <f t="shared" si="272"/>
        <v/>
      </c>
      <c r="Q263" s="318" t="str">
        <f t="shared" si="240"/>
        <v/>
      </c>
      <c r="R263" s="318" t="str">
        <f t="shared" si="241"/>
        <v/>
      </c>
      <c r="S263" s="318" t="str">
        <f t="shared" si="8"/>
        <v/>
      </c>
    </row>
    <row r="264">
      <c r="A264" s="14" t="str">
        <f t="shared" si="1"/>
        <v>C148346114</v>
      </c>
      <c r="B264" s="185">
        <f t="array" ref="B264">IF(F264="VL","",IF(F264="Free","Free",XLOOKUP(D264,Roster!T:T,Roster!S:S,"",0)))</f>
        <v>152</v>
      </c>
      <c r="C264" s="313">
        <v>46114.0</v>
      </c>
      <c r="D264" s="314" t="s">
        <v>77</v>
      </c>
      <c r="E264" s="307" t="str">
        <f t="array" ref="E264">(XLOOKUP(D264,Roster!F:F,Roster!B:B,"",0))</f>
        <v>Simon Zuluaica</v>
      </c>
      <c r="F264" s="315" t="str">
        <f t="array" ref="F264">IF(B264=100,"Free",TEXT(XLOOKUP($D264,OperationVoice!$A:$A,OperationVoice!H:H,XLOOKUP($D264,OperationTickets!$A:$A,OperationTickets!H:H,"",0)),"hh:mm"))</f>
        <v>11:00</v>
      </c>
      <c r="G264" s="309">
        <f t="shared" si="3"/>
        <v>0.8333333333</v>
      </c>
      <c r="H264" s="316" t="str">
        <f t="array" ref="H264">XLOOKUP(B264,Roster!L:L,Roster!N:N,XLOOKUP(D264,TicketsBreak!A:A,TicketsBreak!E:E,"",0),0)</f>
        <v>12:30 - 12:45</v>
      </c>
      <c r="I264" s="316" t="str">
        <f t="array" ref="I264">XLOOKUP(B264,Roster!L:L,Roster!O:O,XLOOKUP(D264,TicketsBreak!A:A,TicketsBreak!F:F,"",0),0)</f>
        <v>14:30 - 15:00</v>
      </c>
      <c r="J264" s="316" t="str">
        <f t="array" ref="J264">XLOOKUP(B264,Roster!L:L,Roster!P:P,XLOOKUP(D264,TicketsBreak!A:A,TicketsBreak!G:G,"",0),0)</f>
        <v>17:30 - 17:45</v>
      </c>
      <c r="K264" s="310">
        <f t="shared" si="4"/>
        <v>46114</v>
      </c>
      <c r="L264" s="317">
        <f t="array" ref="L264">(XLOOKUP(D264,Roster!F:F,Roster!D:D,"",0))</f>
        <v>34</v>
      </c>
      <c r="M264" s="317" t="str">
        <f t="array" ref="M264">XLOOKUP(D264,Roster!F:F,Roster!E:E)</f>
        <v>Voice</v>
      </c>
      <c r="N264" s="317" t="str">
        <f t="shared" ref="N264:P264" si="273">LEFT(H264,5)</f>
        <v>12:30</v>
      </c>
      <c r="O264" s="317" t="str">
        <f t="shared" si="273"/>
        <v>14:30</v>
      </c>
      <c r="P264" s="317" t="str">
        <f t="shared" si="273"/>
        <v>17:30</v>
      </c>
      <c r="Q264" s="318">
        <f t="shared" si="240"/>
        <v>46114.52083</v>
      </c>
      <c r="R264" s="318">
        <f t="shared" si="241"/>
        <v>46114.60417</v>
      </c>
      <c r="S264" s="318">
        <f t="shared" si="8"/>
        <v>46114.72917</v>
      </c>
    </row>
    <row r="265">
      <c r="A265" s="14" t="str">
        <f t="shared" si="1"/>
        <v>C154046114</v>
      </c>
      <c r="B265" s="185" t="str">
        <f t="array" ref="B265">IF(F265="VL","",IF(F265="Free","Free",XLOOKUP(D265,Roster!T:T,Roster!S:S,"",0)))</f>
        <v>Free</v>
      </c>
      <c r="C265" s="313">
        <v>46114.0</v>
      </c>
      <c r="D265" s="314" t="s">
        <v>78</v>
      </c>
      <c r="E265" s="307" t="str">
        <f t="array" ref="E265">(XLOOKUP(D265,Roster!F:F,Roster!B:B,"",0))</f>
        <v>Tomas Perez</v>
      </c>
      <c r="F265" s="315" t="str">
        <f t="array" ref="F265">IF(B265=100,"Free",TEXT(XLOOKUP($D265,OperationVoice!$A:$A,OperationVoice!H:H,XLOOKUP($D265,OperationTickets!$A:$A,OperationTickets!H:H,"",0)),"hh:mm"))</f>
        <v>Free</v>
      </c>
      <c r="G265" s="309" t="str">
        <f t="shared" si="3"/>
        <v>Free</v>
      </c>
      <c r="H265" s="316" t="str">
        <f t="array" ref="H265">XLOOKUP(B265,Roster!L:L,Roster!N:N,XLOOKUP(D265,TicketsBreak!A:A,TicketsBreak!E:E,"",0),0)</f>
        <v/>
      </c>
      <c r="I265" s="316" t="str">
        <f t="array" ref="I265">XLOOKUP(B265,Roster!L:L,Roster!O:O,XLOOKUP(D265,TicketsBreak!A:A,TicketsBreak!F:F,"",0),0)</f>
        <v/>
      </c>
      <c r="J265" s="316" t="str">
        <f t="array" ref="J265">XLOOKUP(B265,Roster!L:L,Roster!P:P,XLOOKUP(D265,TicketsBreak!A:A,TicketsBreak!G:G,"",0),0)</f>
        <v/>
      </c>
      <c r="K265" s="310">
        <f t="shared" si="4"/>
        <v>46114</v>
      </c>
      <c r="L265" s="317">
        <f t="array" ref="L265">(XLOOKUP(D265,Roster!F:F,Roster!D:D,"",0))</f>
        <v>36</v>
      </c>
      <c r="M265" s="317" t="str">
        <f t="array" ref="M265">XLOOKUP(D265,Roster!F:F,Roster!E:E)</f>
        <v>Voice</v>
      </c>
      <c r="N265" s="317" t="str">
        <f t="shared" ref="N265:P265" si="274">LEFT(H265,5)</f>
        <v/>
      </c>
      <c r="O265" s="317" t="str">
        <f t="shared" si="274"/>
        <v/>
      </c>
      <c r="P265" s="317" t="str">
        <f t="shared" si="274"/>
        <v/>
      </c>
      <c r="Q265" s="318" t="str">
        <f t="shared" si="240"/>
        <v/>
      </c>
      <c r="R265" s="318" t="str">
        <f t="shared" si="241"/>
        <v/>
      </c>
      <c r="S265" s="318" t="str">
        <f t="shared" si="8"/>
        <v/>
      </c>
    </row>
    <row r="266">
      <c r="A266" s="14" t="str">
        <f t="shared" si="1"/>
        <v>C154746114</v>
      </c>
      <c r="B266" s="185">
        <f t="array" ref="B266">IF(F266="VL","",IF(F266="Free","Free",XLOOKUP(D266,Roster!T:T,Roster!S:S,"",0)))</f>
        <v>121</v>
      </c>
      <c r="C266" s="313">
        <v>46114.0</v>
      </c>
      <c r="D266" s="314" t="s">
        <v>79</v>
      </c>
      <c r="E266" s="307" t="str">
        <f t="array" ref="E266">(XLOOKUP(D266,Roster!F:F,Roster!B:B,"",0))</f>
        <v>Valentina Barreto</v>
      </c>
      <c r="F266" s="315" t="str">
        <f t="array" ref="F266">IF(B266=100,"Free",TEXT(XLOOKUP($D266,OperationVoice!$A:$A,OperationVoice!H:H,XLOOKUP($D266,OperationTickets!$A:$A,OperationTickets!H:H,"",0)),"hh:mm"))</f>
        <v>08:00</v>
      </c>
      <c r="G266" s="309">
        <f t="shared" si="3"/>
        <v>0.7083333333</v>
      </c>
      <c r="H266" s="316" t="str">
        <f t="array" ref="H266">XLOOKUP(B266,Roster!L:L,Roster!N:N,XLOOKUP(D266,TicketsBreak!A:A,TicketsBreak!E:E,"",0),0)</f>
        <v>09:15 - 09:30</v>
      </c>
      <c r="I266" s="316" t="str">
        <f t="array" ref="I266">XLOOKUP(B266,Roster!L:L,Roster!O:O,XLOOKUP(D266,TicketsBreak!A:A,TicketsBreak!F:F,"",0),0)</f>
        <v>11:30 - 12:00</v>
      </c>
      <c r="J266" s="316" t="str">
        <f t="array" ref="J266">XLOOKUP(B266,Roster!L:L,Roster!P:P,XLOOKUP(D266,TicketsBreak!A:A,TicketsBreak!G:G,"",0),0)</f>
        <v>14:30 - 14:45</v>
      </c>
      <c r="K266" s="310">
        <f t="shared" si="4"/>
        <v>46114</v>
      </c>
      <c r="L266" s="317">
        <f t="array" ref="L266">(XLOOKUP(D266,Roster!F:F,Roster!D:D,"",0))</f>
        <v>37</v>
      </c>
      <c r="M266" s="317" t="str">
        <f t="array" ref="M266">XLOOKUP(D266,Roster!F:F,Roster!E:E)</f>
        <v>Voice</v>
      </c>
      <c r="N266" s="317" t="str">
        <f t="shared" ref="N266:P266" si="275">LEFT(H266,5)</f>
        <v>09:15</v>
      </c>
      <c r="O266" s="317" t="str">
        <f t="shared" si="275"/>
        <v>11:30</v>
      </c>
      <c r="P266" s="317" t="str">
        <f t="shared" si="275"/>
        <v>14:30</v>
      </c>
      <c r="Q266" s="318">
        <f t="shared" si="240"/>
        <v>46114.38542</v>
      </c>
      <c r="R266" s="318">
        <f t="shared" si="241"/>
        <v>46114.47917</v>
      </c>
      <c r="S266" s="318">
        <f t="shared" si="8"/>
        <v>46114.60417</v>
      </c>
    </row>
    <row r="267">
      <c r="A267" s="14" t="str">
        <f t="shared" si="1"/>
        <v>C155346114</v>
      </c>
      <c r="B267" s="185">
        <f t="array" ref="B267">IF(F267="VL","",IF(F267="Free","Free",XLOOKUP(D267,Roster!T:T,Roster!S:S,"",0)))</f>
        <v>122</v>
      </c>
      <c r="C267" s="313">
        <v>46114.0</v>
      </c>
      <c r="D267" s="314" t="s">
        <v>80</v>
      </c>
      <c r="E267" s="307" t="str">
        <f t="array" ref="E267">(XLOOKUP(D267,Roster!F:F,Roster!B:B,"",0))</f>
        <v>Valentina Castro</v>
      </c>
      <c r="F267" s="315" t="str">
        <f t="array" ref="F267">IF(B267=100,"Free",TEXT(XLOOKUP($D267,OperationVoice!$A:$A,OperationVoice!H:H,XLOOKUP($D267,OperationTickets!$A:$A,OperationTickets!H:H,"",0)),"hh:mm"))</f>
        <v>08:00</v>
      </c>
      <c r="G267" s="309">
        <f t="shared" si="3"/>
        <v>0.7083333333</v>
      </c>
      <c r="H267" s="316" t="str">
        <f t="array" ref="H267">XLOOKUP(B267,Roster!L:L,Roster!N:N,XLOOKUP(D267,TicketsBreak!A:A,TicketsBreak!E:E,"",0),0)</f>
        <v>09:30 - 09:45</v>
      </c>
      <c r="I267" s="316" t="str">
        <f t="array" ref="I267">XLOOKUP(B267,Roster!L:L,Roster!O:O,XLOOKUP(D267,TicketsBreak!A:A,TicketsBreak!F:F,"",0),0)</f>
        <v>12:00 - 12:30</v>
      </c>
      <c r="J267" s="316" t="str">
        <f t="array" ref="J267">XLOOKUP(B267,Roster!L:L,Roster!P:P,XLOOKUP(D267,TicketsBreak!A:A,TicketsBreak!G:G,"",0),0)</f>
        <v>14:45 - 15:00</v>
      </c>
      <c r="K267" s="310">
        <f t="shared" si="4"/>
        <v>46114</v>
      </c>
      <c r="L267" s="317">
        <f t="array" ref="L267">(XLOOKUP(D267,Roster!F:F,Roster!D:D,"",0))</f>
        <v>37</v>
      </c>
      <c r="M267" s="317" t="str">
        <f t="array" ref="M267">XLOOKUP(D267,Roster!F:F,Roster!E:E)</f>
        <v>Voice</v>
      </c>
      <c r="N267" s="317" t="str">
        <f t="shared" ref="N267:P267" si="276">LEFT(H267,5)</f>
        <v>09:30</v>
      </c>
      <c r="O267" s="317" t="str">
        <f t="shared" si="276"/>
        <v>12:00</v>
      </c>
      <c r="P267" s="317" t="str">
        <f t="shared" si="276"/>
        <v>14:45</v>
      </c>
      <c r="Q267" s="318">
        <f t="shared" si="240"/>
        <v>46114.39583</v>
      </c>
      <c r="R267" s="318">
        <f t="shared" si="241"/>
        <v>46114.5</v>
      </c>
      <c r="S267" s="318">
        <f t="shared" si="8"/>
        <v>46114.61458</v>
      </c>
    </row>
    <row r="268">
      <c r="A268" s="14" t="str">
        <f t="shared" si="1"/>
        <v>C150246114</v>
      </c>
      <c r="B268" s="185" t="str">
        <f t="array" ref="B268">IF(F268="VL","",IF(F268="Free","Free",XLOOKUP(D268,Roster!T:T,Roster!S:S,"",0)))</f>
        <v/>
      </c>
      <c r="C268" s="313">
        <v>46114.0</v>
      </c>
      <c r="D268" s="314" t="s">
        <v>316</v>
      </c>
      <c r="E268" s="307" t="str">
        <f t="array" ref="E268">(XLOOKUP(D268,Roster!F:F,Roster!B:B,"",0))</f>
        <v>Valentina Gallego</v>
      </c>
      <c r="F268" s="315" t="str">
        <f t="array" ref="F268">IF(B268=100,"Free",TEXT(XLOOKUP($D268,OperationVoice!$A:$A,OperationVoice!H:H,XLOOKUP($D268,OperationTickets!$A:$A,OperationTickets!H:H,"",0)),"hh:mm"))</f>
        <v/>
      </c>
      <c r="G268" s="309" t="str">
        <f t="shared" si="3"/>
        <v/>
      </c>
      <c r="H268" s="316" t="str">
        <f t="array" ref="H268">XLOOKUP(B268,Roster!L:L,Roster!N:N,XLOOKUP(D268,TicketsBreak!A:A,TicketsBreak!E:E,"",0),0)</f>
        <v/>
      </c>
      <c r="I268" s="316" t="str">
        <f t="array" ref="I268">XLOOKUP(B268,Roster!L:L,Roster!O:O,XLOOKUP(D268,TicketsBreak!A:A,TicketsBreak!F:F,"",0),0)</f>
        <v/>
      </c>
      <c r="J268" s="316" t="str">
        <f t="array" ref="J268">XLOOKUP(B268,Roster!L:L,Roster!P:P,XLOOKUP(D268,TicketsBreak!A:A,TicketsBreak!G:G,"",0),0)</f>
        <v/>
      </c>
      <c r="K268" s="310">
        <f t="shared" si="4"/>
        <v>46114</v>
      </c>
      <c r="L268" s="317">
        <f t="array" ref="L268">(XLOOKUP(D268,Roster!F:F,Roster!D:D,"",0))</f>
        <v>35</v>
      </c>
      <c r="M268" s="317" t="str">
        <f t="array" ref="M268">XLOOKUP(D268,Roster!F:F,Roster!E:E)</f>
        <v>Voice</v>
      </c>
      <c r="N268" s="317" t="str">
        <f t="shared" ref="N268:P268" si="277">LEFT(H268,5)</f>
        <v/>
      </c>
      <c r="O268" s="317" t="str">
        <f t="shared" si="277"/>
        <v/>
      </c>
      <c r="P268" s="317" t="str">
        <f t="shared" si="277"/>
        <v/>
      </c>
      <c r="Q268" s="318" t="str">
        <f t="shared" si="240"/>
        <v/>
      </c>
      <c r="R268" s="318" t="str">
        <f t="shared" si="241"/>
        <v/>
      </c>
      <c r="S268" s="318" t="str">
        <f t="shared" si="8"/>
        <v/>
      </c>
    </row>
    <row r="269">
      <c r="A269" s="14" t="str">
        <f t="shared" si="1"/>
        <v>C112646114</v>
      </c>
      <c r="B269" s="185" t="str">
        <f t="array" ref="B269">IF(F269="VL","",IF(F269="Free","Free",XLOOKUP(D269,Roster!T:T,Roster!S:S,"",0)))</f>
        <v/>
      </c>
      <c r="C269" s="313">
        <v>46114.0</v>
      </c>
      <c r="D269" s="314" t="s">
        <v>152</v>
      </c>
      <c r="E269" s="307" t="str">
        <f t="array" ref="E269">(XLOOKUP(D269,Roster!F:F,Roster!B:B,"",0))</f>
        <v>Valery Escobar</v>
      </c>
      <c r="F269" s="315" t="str">
        <f t="array" ref="F269">IF(B269=100,"Free",TEXT(XLOOKUP($D269,OperationVoice!$A:$A,OperationVoice!H:H,XLOOKUP($D269,OperationTickets!$A:$A,OperationTickets!H:H,"",0)),"hh:mm"))</f>
        <v>08:00</v>
      </c>
      <c r="G269" s="309">
        <f t="shared" si="3"/>
        <v>0.7083333333</v>
      </c>
      <c r="H269" s="316">
        <f t="array" ref="H269">XLOOKUP(B269,Roster!L:L,Roster!N:N,XLOOKUP(D269,TicketsBreak!A:A,TicketsBreak!E:E,"",0),0)</f>
        <v>0.3854166667</v>
      </c>
      <c r="I269" s="316">
        <f t="array" ref="I269">XLOOKUP(B269,Roster!L:L,Roster!O:O,XLOOKUP(D269,TicketsBreak!A:A,TicketsBreak!F:F,"",0),0)</f>
        <v>0.5</v>
      </c>
      <c r="J269" s="316">
        <f t="array" ref="J269">XLOOKUP(B269,Roster!L:L,Roster!P:P,XLOOKUP(D269,TicketsBreak!A:A,TicketsBreak!G:G,"",0),0)</f>
        <v>0.6041666667</v>
      </c>
      <c r="K269" s="310">
        <f t="shared" si="4"/>
        <v>46114</v>
      </c>
      <c r="L269" s="317">
        <f t="array" ref="L269">(XLOOKUP(D269,Roster!F:F,Roster!D:D,"",0))</f>
        <v>21</v>
      </c>
      <c r="M269" s="317" t="str">
        <f t="array" ref="M269">XLOOKUP(D269,Roster!F:F,Roster!E:E)</f>
        <v>Tickets</v>
      </c>
      <c r="N269" s="317" t="str">
        <f t="shared" ref="N269:P269" si="278">LEFT(H269,5)</f>
        <v>09:15</v>
      </c>
      <c r="O269" s="317" t="str">
        <f t="shared" si="278"/>
        <v>12:00</v>
      </c>
      <c r="P269" s="317" t="str">
        <f t="shared" si="278"/>
        <v>14:30</v>
      </c>
      <c r="Q269" s="318">
        <f t="shared" si="240"/>
        <v>46114.38542</v>
      </c>
      <c r="R269" s="318">
        <f t="shared" si="241"/>
        <v>46114.5</v>
      </c>
      <c r="S269" s="318">
        <f t="shared" si="8"/>
        <v>46114.60417</v>
      </c>
    </row>
    <row r="270">
      <c r="A270" s="14" t="str">
        <f t="shared" si="1"/>
        <v>C155246114</v>
      </c>
      <c r="B270" s="185">
        <f t="array" ref="B270">IF(F270="VL","",IF(F270="Free","Free",XLOOKUP(D270,Roster!T:T,Roster!S:S,"",0)))</f>
        <v>125</v>
      </c>
      <c r="C270" s="313">
        <v>46114.0</v>
      </c>
      <c r="D270" s="314" t="s">
        <v>81</v>
      </c>
      <c r="E270" s="307" t="str">
        <f t="array" ref="E270">(XLOOKUP(D270,Roster!F:F,Roster!B:B,"",0))</f>
        <v>Wendy Machado</v>
      </c>
      <c r="F270" s="315" t="str">
        <f t="array" ref="F270">IF(B270=100,"Free",TEXT(XLOOKUP($D270,OperationVoice!$A:$A,OperationVoice!H:H,XLOOKUP($D270,OperationTickets!$A:$A,OperationTickets!H:H,"",0)),"hh:mm"))</f>
        <v>08:00</v>
      </c>
      <c r="G270" s="309">
        <f t="shared" si="3"/>
        <v>0.7083333333</v>
      </c>
      <c r="H270" s="316" t="str">
        <f t="array" ref="H270">XLOOKUP(B270,Roster!L:L,Roster!N:N,XLOOKUP(D270,TicketsBreak!A:A,TicketsBreak!E:E,"",0),0)</f>
        <v>10:30 - 10:45</v>
      </c>
      <c r="I270" s="316" t="str">
        <f t="array" ref="I270">XLOOKUP(B270,Roster!L:L,Roster!O:O,XLOOKUP(D270,TicketsBreak!A:A,TicketsBreak!F:F,"",0),0)</f>
        <v>13:30 - 14:00</v>
      </c>
      <c r="J270" s="316" t="str">
        <f t="array" ref="J270">XLOOKUP(B270,Roster!L:L,Roster!P:P,XLOOKUP(D270,TicketsBreak!A:A,TicketsBreak!G:G,"",0),0)</f>
        <v>15:45 - 16:00</v>
      </c>
      <c r="K270" s="310">
        <f t="shared" si="4"/>
        <v>46114</v>
      </c>
      <c r="L270" s="317">
        <f t="array" ref="L270">(XLOOKUP(D270,Roster!F:F,Roster!D:D,"",0))</f>
        <v>37</v>
      </c>
      <c r="M270" s="317" t="str">
        <f t="array" ref="M270">XLOOKUP(D270,Roster!F:F,Roster!E:E)</f>
        <v>Voice</v>
      </c>
      <c r="N270" s="317" t="str">
        <f t="shared" ref="N270:P270" si="279">LEFT(H270,5)</f>
        <v>10:30</v>
      </c>
      <c r="O270" s="317" t="str">
        <f t="shared" si="279"/>
        <v>13:30</v>
      </c>
      <c r="P270" s="317" t="str">
        <f t="shared" si="279"/>
        <v>15:45</v>
      </c>
      <c r="Q270" s="318">
        <f t="shared" si="240"/>
        <v>46114.4375</v>
      </c>
      <c r="R270" s="318">
        <f t="shared" si="241"/>
        <v>46114.5625</v>
      </c>
      <c r="S270" s="318">
        <f t="shared" si="8"/>
        <v>46114.65625</v>
      </c>
    </row>
    <row r="271">
      <c r="A271" s="14" t="str">
        <f t="shared" si="1"/>
        <v>C78646114</v>
      </c>
      <c r="B271" s="185" t="str">
        <f t="array" ref="B271">IF(F271="VL","",IF(F271="Free","Free",XLOOKUP(D271,Roster!T:T,Roster!S:S,"",0)))</f>
        <v/>
      </c>
      <c r="C271" s="313">
        <v>46114.0</v>
      </c>
      <c r="D271" s="314" t="s">
        <v>136</v>
      </c>
      <c r="E271" s="307" t="str">
        <f t="array" ref="E271">(XLOOKUP(D271,Roster!F:F,Roster!B:B,"",0))</f>
        <v>Wendy Navarro</v>
      </c>
      <c r="F271" s="315" t="str">
        <f t="array" ref="F271">IF(B271=100,"Free",TEXT(XLOOKUP($D271,OperationVoice!$A:$A,OperationVoice!H:H,XLOOKUP($D271,OperationTickets!$A:$A,OperationTickets!H:H,"",0)),"hh:mm"))</f>
        <v>08:00</v>
      </c>
      <c r="G271" s="309">
        <f t="shared" si="3"/>
        <v>0.7083333333</v>
      </c>
      <c r="H271" s="316">
        <f t="array" ref="H271">XLOOKUP(B271,Roster!L:L,Roster!N:N,XLOOKUP(D271,TicketsBreak!A:A,TicketsBreak!E:E,"",0),0)</f>
        <v>0.4166666667</v>
      </c>
      <c r="I271" s="316">
        <f t="array" ref="I271">XLOOKUP(B271,Roster!L:L,Roster!O:O,XLOOKUP(D271,TicketsBreak!A:A,TicketsBreak!F:F,"",0),0)</f>
        <v>0.5416666667</v>
      </c>
      <c r="J271" s="316">
        <f t="array" ref="J271">XLOOKUP(B271,Roster!L:L,Roster!P:P,XLOOKUP(D271,TicketsBreak!A:A,TicketsBreak!G:G,"",0),0)</f>
        <v>0.6458333333</v>
      </c>
      <c r="K271" s="310">
        <f t="shared" si="4"/>
        <v>46114</v>
      </c>
      <c r="L271" s="317">
        <f t="array" ref="L271">(XLOOKUP(D271,Roster!F:F,Roster!D:D,"",0))</f>
        <v>16</v>
      </c>
      <c r="M271" s="317" t="str">
        <f t="array" ref="M271">XLOOKUP(D271,Roster!F:F,Roster!E:E)</f>
        <v>Tickets</v>
      </c>
      <c r="N271" s="317" t="str">
        <f t="shared" ref="N271:P271" si="280">LEFT(H271,5)</f>
        <v>10:00</v>
      </c>
      <c r="O271" s="317" t="str">
        <f t="shared" si="280"/>
        <v>13:00</v>
      </c>
      <c r="P271" s="317" t="str">
        <f t="shared" si="280"/>
        <v>15:30</v>
      </c>
      <c r="Q271" s="318">
        <f t="shared" si="240"/>
        <v>46114.41667</v>
      </c>
      <c r="R271" s="318">
        <f t="shared" si="241"/>
        <v>46114.54167</v>
      </c>
      <c r="S271" s="318">
        <f t="shared" si="8"/>
        <v>46114.64583</v>
      </c>
    </row>
    <row r="272">
      <c r="A272" s="14" t="str">
        <f t="shared" si="1"/>
        <v>C153746114</v>
      </c>
      <c r="B272" s="185">
        <f t="array" ref="B272">IF(F272="VL","",IF(F272="Free","Free",XLOOKUP(D272,Roster!T:T,Roster!S:S,"",0)))</f>
        <v>135</v>
      </c>
      <c r="C272" s="313">
        <v>46114.0</v>
      </c>
      <c r="D272" s="314" t="s">
        <v>82</v>
      </c>
      <c r="E272" s="307" t="str">
        <f t="array" ref="E272">(XLOOKUP(D272,Roster!F:F,Roster!B:B,"",0))</f>
        <v>William Florez</v>
      </c>
      <c r="F272" s="315" t="str">
        <f t="array" ref="F272">IF(B272=100,"Free",TEXT(XLOOKUP($D272,OperationVoice!$A:$A,OperationVoice!H:H,XLOOKUP($D272,OperationTickets!$A:$A,OperationTickets!H:H,"",0)),"hh:mm"))</f>
        <v>09:00</v>
      </c>
      <c r="G272" s="309">
        <f t="shared" si="3"/>
        <v>0.75</v>
      </c>
      <c r="H272" s="316" t="str">
        <f t="array" ref="H272">XLOOKUP(B272,Roster!L:L,Roster!N:N,XLOOKUP(D272,TicketsBreak!A:A,TicketsBreak!E:E,"",0),0)</f>
        <v>11:15 - 11:30</v>
      </c>
      <c r="I272" s="316" t="str">
        <f t="array" ref="I272">XLOOKUP(B272,Roster!L:L,Roster!O:O,XLOOKUP(D272,TicketsBreak!A:A,TicketsBreak!F:F,"",0),0)</f>
        <v>14:15 - 14:45</v>
      </c>
      <c r="J272" s="316" t="str">
        <f t="array" ref="J272">XLOOKUP(B272,Roster!L:L,Roster!P:P,XLOOKUP(D272,TicketsBreak!A:A,TicketsBreak!G:G,"",0),0)</f>
        <v>16:15 - 16:30</v>
      </c>
      <c r="K272" s="310">
        <f t="shared" si="4"/>
        <v>46114</v>
      </c>
      <c r="L272" s="317">
        <f t="array" ref="L272">(XLOOKUP(D272,Roster!F:F,Roster!D:D,"",0))</f>
        <v>36</v>
      </c>
      <c r="M272" s="317" t="str">
        <f t="array" ref="M272">XLOOKUP(D272,Roster!F:F,Roster!E:E)</f>
        <v>Voice</v>
      </c>
      <c r="N272" s="317" t="str">
        <f t="shared" ref="N272:P272" si="281">LEFT(H272,5)</f>
        <v>11:15</v>
      </c>
      <c r="O272" s="317" t="str">
        <f t="shared" si="281"/>
        <v>14:15</v>
      </c>
      <c r="P272" s="317" t="str">
        <f t="shared" si="281"/>
        <v>16:15</v>
      </c>
      <c r="Q272" s="318">
        <f t="shared" si="240"/>
        <v>46114.46875</v>
      </c>
      <c r="R272" s="318">
        <f t="shared" si="241"/>
        <v>46114.59375</v>
      </c>
      <c r="S272" s="318">
        <f t="shared" si="8"/>
        <v>46114.67708</v>
      </c>
    </row>
    <row r="273">
      <c r="A273" s="14" t="str">
        <f t="shared" si="1"/>
        <v>C135346114</v>
      </c>
      <c r="B273" s="185">
        <f t="array" ref="B273">IF(F273="VL","",IF(F273="Free","Free",XLOOKUP(D273,Roster!T:T,Roster!S:S,"",0)))</f>
        <v>121</v>
      </c>
      <c r="C273" s="313">
        <v>46114.0</v>
      </c>
      <c r="D273" s="314" t="s">
        <v>83</v>
      </c>
      <c r="E273" s="307" t="str">
        <f t="array" ref="E273">(XLOOKUP(D273,Roster!F:F,Roster!B:B,"",0))</f>
        <v>Wilson Martinez</v>
      </c>
      <c r="F273" s="315" t="str">
        <f t="array" ref="F273">IF(B273=100,"Free",TEXT(XLOOKUP($D273,OperationVoice!$A:$A,OperationVoice!H:H,XLOOKUP($D273,OperationTickets!$A:$A,OperationTickets!H:H,"",0)),"hh:mm"))</f>
        <v>08:00</v>
      </c>
      <c r="G273" s="309">
        <f t="shared" si="3"/>
        <v>0.7083333333</v>
      </c>
      <c r="H273" s="316" t="str">
        <f t="array" ref="H273">XLOOKUP(B273,Roster!L:L,Roster!N:N,XLOOKUP(D273,TicketsBreak!A:A,TicketsBreak!E:E,"",0),0)</f>
        <v>09:15 - 09:30</v>
      </c>
      <c r="I273" s="316" t="str">
        <f t="array" ref="I273">XLOOKUP(B273,Roster!L:L,Roster!O:O,XLOOKUP(D273,TicketsBreak!A:A,TicketsBreak!F:F,"",0),0)</f>
        <v>11:30 - 12:00</v>
      </c>
      <c r="J273" s="316" t="str">
        <f t="array" ref="J273">XLOOKUP(B273,Roster!L:L,Roster!P:P,XLOOKUP(D273,TicketsBreak!A:A,TicketsBreak!G:G,"",0),0)</f>
        <v>14:30 - 14:45</v>
      </c>
      <c r="K273" s="310">
        <f t="shared" si="4"/>
        <v>46114</v>
      </c>
      <c r="L273" s="317">
        <f t="array" ref="L273">(XLOOKUP(D273,Roster!F:F,Roster!D:D,"",0))</f>
        <v>30</v>
      </c>
      <c r="M273" s="317" t="str">
        <f t="array" ref="M273">XLOOKUP(D273,Roster!F:F,Roster!E:E)</f>
        <v>Voice</v>
      </c>
      <c r="N273" s="317" t="str">
        <f t="shared" ref="N273:P273" si="282">LEFT(H273,5)</f>
        <v>09:15</v>
      </c>
      <c r="O273" s="317" t="str">
        <f t="shared" si="282"/>
        <v>11:30</v>
      </c>
      <c r="P273" s="317" t="str">
        <f t="shared" si="282"/>
        <v>14:30</v>
      </c>
      <c r="Q273" s="318">
        <f t="shared" si="240"/>
        <v>46114.38542</v>
      </c>
      <c r="R273" s="318">
        <f t="shared" si="241"/>
        <v>46114.47917</v>
      </c>
      <c r="S273" s="318">
        <f t="shared" si="8"/>
        <v>46114.60417</v>
      </c>
    </row>
    <row r="274">
      <c r="A274" s="14" t="str">
        <f t="shared" si="1"/>
        <v>C117346114</v>
      </c>
      <c r="B274" s="185">
        <f t="array" ref="B274">IF(F274="VL","",IF(F274="Free","Free",XLOOKUP(D274,Roster!T:T,Roster!S:S,"",0)))</f>
        <v>122</v>
      </c>
      <c r="C274" s="313">
        <v>46114.0</v>
      </c>
      <c r="D274" s="314" t="s">
        <v>84</v>
      </c>
      <c r="E274" s="307" t="str">
        <f t="array" ref="E274">(XLOOKUP(D274,Roster!F:F,Roster!B:B,"",0))</f>
        <v>Yaidy Mosquera</v>
      </c>
      <c r="F274" s="315" t="str">
        <f t="array" ref="F274">IF(B274=100,"Free",TEXT(XLOOKUP($D274,OperationVoice!$A:$A,OperationVoice!H:H,XLOOKUP($D274,OperationTickets!$A:$A,OperationTickets!H:H,"",0)),"hh:mm"))</f>
        <v>08:00</v>
      </c>
      <c r="G274" s="309">
        <f t="shared" si="3"/>
        <v>0.7083333333</v>
      </c>
      <c r="H274" s="316" t="str">
        <f t="array" ref="H274">XLOOKUP(B274,Roster!L:L,Roster!N:N,XLOOKUP(D274,TicketsBreak!A:A,TicketsBreak!E:E,"",0),0)</f>
        <v>09:30 - 09:45</v>
      </c>
      <c r="I274" s="316" t="str">
        <f t="array" ref="I274">XLOOKUP(B274,Roster!L:L,Roster!O:O,XLOOKUP(D274,TicketsBreak!A:A,TicketsBreak!F:F,"",0),0)</f>
        <v>12:00 - 12:30</v>
      </c>
      <c r="J274" s="316" t="str">
        <f t="array" ref="J274">XLOOKUP(B274,Roster!L:L,Roster!P:P,XLOOKUP(D274,TicketsBreak!A:A,TicketsBreak!G:G,"",0),0)</f>
        <v>14:45 - 15:00</v>
      </c>
      <c r="K274" s="310">
        <f t="shared" si="4"/>
        <v>46114</v>
      </c>
      <c r="L274" s="317">
        <f t="array" ref="L274">(XLOOKUP(D274,Roster!F:F,Roster!D:D,"",0))</f>
        <v>24</v>
      </c>
      <c r="M274" s="317" t="str">
        <f t="array" ref="M274">XLOOKUP(D274,Roster!F:F,Roster!E:E)</f>
        <v>Voice</v>
      </c>
      <c r="N274" s="317" t="str">
        <f t="shared" ref="N274:P274" si="283">LEFT(H274,5)</f>
        <v>09:30</v>
      </c>
      <c r="O274" s="317" t="str">
        <f t="shared" si="283"/>
        <v>12:00</v>
      </c>
      <c r="P274" s="317" t="str">
        <f t="shared" si="283"/>
        <v>14:45</v>
      </c>
      <c r="Q274" s="318">
        <f t="shared" si="240"/>
        <v>46114.39583</v>
      </c>
      <c r="R274" s="318">
        <f t="shared" si="241"/>
        <v>46114.5</v>
      </c>
      <c r="S274" s="318">
        <f t="shared" si="8"/>
        <v>46114.61458</v>
      </c>
    </row>
    <row r="275">
      <c r="A275" s="14" t="str">
        <f t="shared" si="1"/>
        <v>C110846114</v>
      </c>
      <c r="B275" s="185" t="str">
        <f t="array" ref="B275">IF(F275="VL","",IF(F275="Free","Free",XLOOKUP(D275,Roster!T:T,Roster!S:S,"",0)))</f>
        <v/>
      </c>
      <c r="C275" s="313">
        <v>46114.0</v>
      </c>
      <c r="D275" s="314" t="s">
        <v>187</v>
      </c>
      <c r="E275" s="307" t="str">
        <f t="array" ref="E275">(XLOOKUP(D275,Roster!F:F,Roster!B:B,"",0))</f>
        <v>Yeiner Tapias</v>
      </c>
      <c r="F275" s="315" t="str">
        <f t="array" ref="F275">IF(B275=100,"Free",TEXT(XLOOKUP($D275,OperationVoice!$A:$A,OperationVoice!H:H,XLOOKUP($D275,OperationTickets!$A:$A,OperationTickets!H:H,"",0)),"hh:mm"))</f>
        <v>08:00</v>
      </c>
      <c r="G275" s="309">
        <f t="shared" si="3"/>
        <v>0.7083333333</v>
      </c>
      <c r="H275" s="316">
        <f t="array" ref="H275">XLOOKUP(B275,Roster!L:L,Roster!N:N,XLOOKUP(D275,TicketsBreak!A:A,TicketsBreak!E:E,"",0),0)</f>
        <v>0.3958333333</v>
      </c>
      <c r="I275" s="316">
        <f t="array" ref="I275">XLOOKUP(B275,Roster!L:L,Roster!O:O,XLOOKUP(D275,TicketsBreak!A:A,TicketsBreak!F:F,"",0),0)</f>
        <v>0.5208333333</v>
      </c>
      <c r="J275" s="316">
        <f t="array" ref="J275">XLOOKUP(B275,Roster!L:L,Roster!P:P,XLOOKUP(D275,TicketsBreak!A:A,TicketsBreak!G:G,"",0),0)</f>
        <v>0.6145833333</v>
      </c>
      <c r="K275" s="310">
        <f t="shared" si="4"/>
        <v>46114</v>
      </c>
      <c r="L275" s="317">
        <f t="array" ref="L275">(XLOOKUP(D275,Roster!F:F,Roster!D:D,"",0))</f>
        <v>20</v>
      </c>
      <c r="M275" s="317" t="str">
        <f t="array" ref="M275">XLOOKUP(D275,Roster!F:F,Roster!E:E)</f>
        <v>Tickets</v>
      </c>
      <c r="N275" s="317" t="str">
        <f t="shared" ref="N275:P275" si="284">LEFT(H275,5)</f>
        <v>09:30</v>
      </c>
      <c r="O275" s="317" t="str">
        <f t="shared" si="284"/>
        <v>12:30</v>
      </c>
      <c r="P275" s="317" t="str">
        <f t="shared" si="284"/>
        <v>14:45</v>
      </c>
      <c r="Q275" s="318">
        <f t="shared" si="240"/>
        <v>46114.39583</v>
      </c>
      <c r="R275" s="318">
        <f t="shared" si="241"/>
        <v>46114.52083</v>
      </c>
      <c r="S275" s="318">
        <f t="shared" si="8"/>
        <v>46114.61458</v>
      </c>
    </row>
    <row r="276">
      <c r="A276" s="14" t="str">
        <f t="shared" si="1"/>
        <v>C153946114</v>
      </c>
      <c r="B276" s="185">
        <f t="array" ref="B276">IF(F276="VL","",IF(F276="Free","Free",XLOOKUP(D276,Roster!T:T,Roster!S:S,"",0)))</f>
        <v>123</v>
      </c>
      <c r="C276" s="313">
        <v>46114.0</v>
      </c>
      <c r="D276" s="314" t="s">
        <v>85</v>
      </c>
      <c r="E276" s="307" t="str">
        <f t="array" ref="E276">(XLOOKUP(D276,Roster!F:F,Roster!B:B,"",0))</f>
        <v>Yovanny Ceballos</v>
      </c>
      <c r="F276" s="315" t="str">
        <f t="array" ref="F276">IF(B276=100,"Free",TEXT(XLOOKUP($D276,OperationVoice!$A:$A,OperationVoice!H:H,XLOOKUP($D276,OperationTickets!$A:$A,OperationTickets!H:H,"",0)),"hh:mm"))</f>
        <v/>
      </c>
      <c r="G276" s="309" t="str">
        <f t="shared" si="3"/>
        <v/>
      </c>
      <c r="H276" s="316" t="str">
        <f t="array" ref="H276">XLOOKUP(B276,Roster!L:L,Roster!N:N,XLOOKUP(D276,TicketsBreak!A:A,TicketsBreak!E:E,"",0),0)</f>
        <v>09:45 - 10:00 </v>
      </c>
      <c r="I276" s="316" t="str">
        <f t="array" ref="I276">XLOOKUP(B276,Roster!L:L,Roster!O:O,XLOOKUP(D276,TicketsBreak!A:A,TicketsBreak!F:F,"",0),0)</f>
        <v>12:30 - 13:00</v>
      </c>
      <c r="J276" s="316" t="str">
        <f t="array" ref="J276">XLOOKUP(B276,Roster!L:L,Roster!P:P,XLOOKUP(D276,TicketsBreak!A:A,TicketsBreak!G:G,"",0),0)</f>
        <v>15:00 - 15:15</v>
      </c>
      <c r="K276" s="310">
        <f t="shared" si="4"/>
        <v>46114</v>
      </c>
      <c r="L276" s="317">
        <f t="array" ref="L276">(XLOOKUP(D276,Roster!F:F,Roster!D:D,"",0))</f>
        <v>36</v>
      </c>
      <c r="M276" s="317" t="str">
        <f t="array" ref="M276">XLOOKUP(D276,Roster!F:F,Roster!E:E)</f>
        <v>Voice</v>
      </c>
      <c r="N276" s="317" t="str">
        <f t="shared" ref="N276:P276" si="285">LEFT(H276,5)</f>
        <v>09:45</v>
      </c>
      <c r="O276" s="317" t="str">
        <f t="shared" si="285"/>
        <v>12:30</v>
      </c>
      <c r="P276" s="317" t="str">
        <f t="shared" si="285"/>
        <v>15:00</v>
      </c>
      <c r="Q276" s="318">
        <f t="shared" si="240"/>
        <v>46114.40625</v>
      </c>
      <c r="R276" s="318">
        <f t="shared" si="241"/>
        <v>46114.52083</v>
      </c>
      <c r="S276" s="318">
        <f t="shared" si="8"/>
        <v>46114.625</v>
      </c>
    </row>
    <row r="277">
      <c r="A277" s="14" t="str">
        <f t="shared" si="1"/>
        <v>46114</v>
      </c>
      <c r="B277" s="185" t="str">
        <f t="array" ref="B277">IF(F277="VL","",IF(F277="Free","Free",XLOOKUP(D277,Roster!T:T,Roster!S:S,"",0)))</f>
        <v/>
      </c>
      <c r="C277" s="313">
        <v>46114.0</v>
      </c>
      <c r="D277" s="314"/>
      <c r="E277" s="307" t="str">
        <f t="array" ref="E277">(XLOOKUP(D277,Roster!F:F,Roster!B:B,"",0))</f>
        <v/>
      </c>
      <c r="F277" s="315" t="str">
        <f t="array" ref="F277">IF(B277=100,"Free",TEXT(XLOOKUP($D277,OperationVoice!$A:$A,OperationVoice!H:H,XLOOKUP($D277,OperationTickets!$A:$A,OperationTickets!H:H,"",0)),"hh:mm"))</f>
        <v/>
      </c>
      <c r="G277" s="309" t="str">
        <f t="shared" si="3"/>
        <v/>
      </c>
      <c r="H277" s="316" t="str">
        <f t="array" ref="H277">XLOOKUP(B277,Roster!L:L,Roster!N:N,XLOOKUP(D277,TicketsBreak!A:A,TicketsBreak!E:E,"",0),0)</f>
        <v/>
      </c>
      <c r="I277" s="316" t="str">
        <f t="array" ref="I277">XLOOKUP(B277,Roster!L:L,Roster!O:O,XLOOKUP(D277,TicketsBreak!A:A,TicketsBreak!F:F,"",0),0)</f>
        <v/>
      </c>
      <c r="J277" s="316" t="str">
        <f t="array" ref="J277">XLOOKUP(B277,Roster!L:L,Roster!P:P,XLOOKUP(D277,TicketsBreak!A:A,TicketsBreak!G:G,"",0),0)</f>
        <v/>
      </c>
      <c r="K277" s="310">
        <f t="shared" si="4"/>
        <v>46114</v>
      </c>
      <c r="L277" s="317" t="str">
        <f t="array" ref="L277">(XLOOKUP(D277,Roster!F:F,Roster!D:D,"",0))</f>
        <v/>
      </c>
      <c r="M277" s="317" t="str">
        <f t="array" ref="M277">XLOOKUP(D277,Roster!F:F,Roster!E:E)</f>
        <v>#N/A</v>
      </c>
      <c r="N277" s="317" t="str">
        <f t="shared" ref="N277:P277" si="286">LEFT(H277,5)</f>
        <v/>
      </c>
      <c r="O277" s="317" t="str">
        <f t="shared" si="286"/>
        <v/>
      </c>
      <c r="P277" s="317" t="str">
        <f t="shared" si="286"/>
        <v/>
      </c>
      <c r="Q277" s="318" t="str">
        <f t="shared" si="240"/>
        <v/>
      </c>
      <c r="R277" s="318" t="str">
        <f t="shared" si="241"/>
        <v/>
      </c>
      <c r="S277" s="318" t="str">
        <f t="shared" si="8"/>
        <v/>
      </c>
    </row>
    <row r="278">
      <c r="A278" s="14" t="str">
        <f t="shared" si="1"/>
        <v>46114</v>
      </c>
      <c r="B278" s="185" t="str">
        <f t="array" ref="B278">IF(F278="VL","",IF(F278="Free","Free",XLOOKUP(D278,Roster!T:T,Roster!S:S,"",0)))</f>
        <v/>
      </c>
      <c r="C278" s="313">
        <v>46114.0</v>
      </c>
      <c r="D278" s="314"/>
      <c r="E278" s="307" t="str">
        <f t="array" ref="E278">(XLOOKUP(D278,Roster!F:F,Roster!B:B,"",0))</f>
        <v/>
      </c>
      <c r="F278" s="315" t="str">
        <f t="array" ref="F278">IF(B278=100,"Free",TEXT(XLOOKUP($D278,OperationVoice!$A:$A,OperationVoice!H:H,XLOOKUP($D278,OperationTickets!$A:$A,OperationTickets!H:H,"",0)),"hh:mm"))</f>
        <v/>
      </c>
      <c r="G278" s="309" t="str">
        <f t="shared" si="3"/>
        <v/>
      </c>
      <c r="H278" s="316" t="str">
        <f t="array" ref="H278">XLOOKUP(B278,Roster!L:L,Roster!N:N,XLOOKUP(D278,TicketsBreak!A:A,TicketsBreak!E:E,"",0),0)</f>
        <v/>
      </c>
      <c r="I278" s="316" t="str">
        <f t="array" ref="I278">XLOOKUP(B278,Roster!L:L,Roster!O:O,XLOOKUP(D278,TicketsBreak!A:A,TicketsBreak!F:F,"",0),0)</f>
        <v/>
      </c>
      <c r="J278" s="316" t="str">
        <f t="array" ref="J278">XLOOKUP(B278,Roster!L:L,Roster!P:P,XLOOKUP(D278,TicketsBreak!A:A,TicketsBreak!G:G,"",0),0)</f>
        <v/>
      </c>
      <c r="K278" s="310">
        <f t="shared" si="4"/>
        <v>46114</v>
      </c>
      <c r="L278" s="317" t="str">
        <f t="array" ref="L278">(XLOOKUP(D278,Roster!F:F,Roster!D:D,"",0))</f>
        <v/>
      </c>
      <c r="M278" s="317" t="str">
        <f t="array" ref="M278">XLOOKUP(D278,Roster!F:F,Roster!E:E)</f>
        <v>#N/A</v>
      </c>
      <c r="N278" s="317" t="str">
        <f t="shared" ref="N278:P278" si="287">LEFT(H278,5)</f>
        <v/>
      </c>
      <c r="O278" s="317" t="str">
        <f t="shared" si="287"/>
        <v/>
      </c>
      <c r="P278" s="317" t="str">
        <f t="shared" si="287"/>
        <v/>
      </c>
      <c r="Q278" s="318" t="str">
        <f t="shared" si="240"/>
        <v/>
      </c>
      <c r="R278" s="318" t="str">
        <f t="shared" si="241"/>
        <v/>
      </c>
      <c r="S278" s="318" t="str">
        <f t="shared" si="8"/>
        <v/>
      </c>
    </row>
    <row r="279">
      <c r="A279" s="14" t="str">
        <f t="shared" si="1"/>
        <v>46114</v>
      </c>
      <c r="B279" s="185" t="str">
        <f t="array" ref="B279">IF(F279="VL","",IF(F279="Free","Free",XLOOKUP(D279,Roster!T:T,Roster!S:S,"",0)))</f>
        <v/>
      </c>
      <c r="C279" s="313">
        <v>46114.0</v>
      </c>
      <c r="D279" s="314"/>
      <c r="E279" s="307" t="str">
        <f t="array" ref="E279">(XLOOKUP(D279,Roster!F:F,Roster!B:B,"",0))</f>
        <v/>
      </c>
      <c r="F279" s="315" t="str">
        <f t="array" ref="F279">IF(B279=100,"Free",TEXT(XLOOKUP($D279,OperationVoice!$A:$A,OperationVoice!H:H,XLOOKUP($D279,OperationTickets!$A:$A,OperationTickets!H:H,"",0)),"hh:mm"))</f>
        <v/>
      </c>
      <c r="G279" s="309" t="str">
        <f t="shared" si="3"/>
        <v/>
      </c>
      <c r="H279" s="316" t="str">
        <f t="array" ref="H279">XLOOKUP(B279,Roster!L:L,Roster!N:N,XLOOKUP(D279,TicketsBreak!A:A,TicketsBreak!E:E,"",0),0)</f>
        <v/>
      </c>
      <c r="I279" s="316" t="str">
        <f t="array" ref="I279">XLOOKUP(B279,Roster!L:L,Roster!O:O,XLOOKUP(D279,TicketsBreak!A:A,TicketsBreak!F:F,"",0),0)</f>
        <v/>
      </c>
      <c r="J279" s="316" t="str">
        <f t="array" ref="J279">XLOOKUP(B279,Roster!L:L,Roster!P:P,XLOOKUP(D279,TicketsBreak!A:A,TicketsBreak!G:G,"",0),0)</f>
        <v/>
      </c>
      <c r="K279" s="310">
        <f t="shared" si="4"/>
        <v>46114</v>
      </c>
      <c r="L279" s="317" t="str">
        <f t="array" ref="L279">(XLOOKUP(D279,Roster!F:F,Roster!D:D,"",0))</f>
        <v/>
      </c>
      <c r="M279" s="317" t="str">
        <f t="array" ref="M279">XLOOKUP(D279,Roster!F:F,Roster!E:E)</f>
        <v>#N/A</v>
      </c>
      <c r="N279" s="317" t="str">
        <f t="shared" ref="N279:P279" si="288">LEFT(H279,5)</f>
        <v/>
      </c>
      <c r="O279" s="317" t="str">
        <f t="shared" si="288"/>
        <v/>
      </c>
      <c r="P279" s="317" t="str">
        <f t="shared" si="288"/>
        <v/>
      </c>
      <c r="Q279" s="318" t="str">
        <f t="shared" si="240"/>
        <v/>
      </c>
      <c r="R279" s="318" t="str">
        <f t="shared" si="241"/>
        <v/>
      </c>
      <c r="S279" s="318" t="str">
        <f t="shared" si="8"/>
        <v/>
      </c>
    </row>
    <row r="280">
      <c r="A280" s="14" t="str">
        <f t="shared" si="1"/>
        <v>46114</v>
      </c>
      <c r="B280" s="185" t="str">
        <f t="array" ref="B280">IF(F280="VL","",IF(F280="Free","Free",XLOOKUP(D280,Roster!T:T,Roster!S:S,"",0)))</f>
        <v/>
      </c>
      <c r="C280" s="313">
        <v>46114.0</v>
      </c>
      <c r="D280" s="314"/>
      <c r="E280" s="307" t="str">
        <f t="array" ref="E280">(XLOOKUP(D280,Roster!F:F,Roster!B:B,"",0))</f>
        <v/>
      </c>
      <c r="F280" s="315" t="str">
        <f t="array" ref="F280">IF(B280=100,"Free",TEXT(XLOOKUP($D280,OperationVoice!$A:$A,OperationVoice!H:H,XLOOKUP($D280,OperationTickets!$A:$A,OperationTickets!H:H,"",0)),"hh:mm"))</f>
        <v/>
      </c>
      <c r="G280" s="309" t="str">
        <f t="shared" si="3"/>
        <v/>
      </c>
      <c r="H280" s="316" t="str">
        <f t="array" ref="H280">XLOOKUP(B280,Roster!L:L,Roster!N:N,XLOOKUP(D280,TicketsBreak!A:A,TicketsBreak!E:E,"",0),0)</f>
        <v/>
      </c>
      <c r="I280" s="316" t="str">
        <f t="array" ref="I280">XLOOKUP(B280,Roster!L:L,Roster!O:O,XLOOKUP(D280,TicketsBreak!A:A,TicketsBreak!F:F,"",0),0)</f>
        <v/>
      </c>
      <c r="J280" s="316" t="str">
        <f t="array" ref="J280">XLOOKUP(B280,Roster!L:L,Roster!P:P,XLOOKUP(D280,TicketsBreak!A:A,TicketsBreak!G:G,"",0),0)</f>
        <v/>
      </c>
      <c r="K280" s="310">
        <f t="shared" si="4"/>
        <v>46114</v>
      </c>
      <c r="L280" s="317" t="str">
        <f t="array" ref="L280">(XLOOKUP(D280,Roster!F:F,Roster!D:D,"",0))</f>
        <v/>
      </c>
      <c r="M280" s="317" t="str">
        <f t="array" ref="M280">XLOOKUP(D280,Roster!F:F,Roster!E:E)</f>
        <v>#N/A</v>
      </c>
      <c r="N280" s="317" t="str">
        <f t="shared" ref="N280:P280" si="289">LEFT(H280,5)</f>
        <v/>
      </c>
      <c r="O280" s="317" t="str">
        <f t="shared" si="289"/>
        <v/>
      </c>
      <c r="P280" s="317" t="str">
        <f t="shared" si="289"/>
        <v/>
      </c>
      <c r="Q280" s="318" t="str">
        <f t="shared" si="240"/>
        <v/>
      </c>
      <c r="R280" s="318" t="str">
        <f t="shared" si="241"/>
        <v/>
      </c>
      <c r="S280" s="318" t="str">
        <f t="shared" si="8"/>
        <v/>
      </c>
    </row>
    <row r="281">
      <c r="A281" s="14" t="str">
        <f t="shared" si="1"/>
        <v>46114</v>
      </c>
      <c r="B281" s="185" t="str">
        <f t="array" ref="B281">IF(F281="VL","",IF(F281="Free","Free",XLOOKUP(D281,Roster!T:T,Roster!S:S,"",0)))</f>
        <v/>
      </c>
      <c r="C281" s="313">
        <v>46114.0</v>
      </c>
      <c r="D281" s="314"/>
      <c r="E281" s="307" t="str">
        <f t="array" ref="E281">(XLOOKUP(D281,Roster!F:F,Roster!B:B,"",0))</f>
        <v/>
      </c>
      <c r="F281" s="315" t="str">
        <f t="array" ref="F281">IF(B281=100,"Free",TEXT(XLOOKUP($D281,OperationVoice!$A:$A,OperationVoice!H:H,XLOOKUP($D281,OperationTickets!$A:$A,OperationTickets!H:H,"",0)),"hh:mm"))</f>
        <v/>
      </c>
      <c r="G281" s="309" t="str">
        <f t="shared" si="3"/>
        <v/>
      </c>
      <c r="H281" s="316" t="str">
        <f t="array" ref="H281">XLOOKUP(B281,Roster!L:L,Roster!N:N,XLOOKUP(D281,TicketsBreak!A:A,TicketsBreak!E:E,"",0),0)</f>
        <v/>
      </c>
      <c r="I281" s="316" t="str">
        <f t="array" ref="I281">XLOOKUP(B281,Roster!L:L,Roster!O:O,XLOOKUP(D281,TicketsBreak!A:A,TicketsBreak!F:F,"",0),0)</f>
        <v/>
      </c>
      <c r="J281" s="316" t="str">
        <f t="array" ref="J281">XLOOKUP(B281,Roster!L:L,Roster!P:P,XLOOKUP(D281,TicketsBreak!A:A,TicketsBreak!G:G,"",0),0)</f>
        <v/>
      </c>
      <c r="K281" s="310">
        <f t="shared" si="4"/>
        <v>46114</v>
      </c>
      <c r="L281" s="317" t="str">
        <f t="array" ref="L281">(XLOOKUP(D281,Roster!F:F,Roster!D:D,"",0))</f>
        <v/>
      </c>
      <c r="M281" s="317" t="str">
        <f t="array" ref="M281">XLOOKUP(D281,Roster!F:F,Roster!E:E)</f>
        <v>#N/A</v>
      </c>
      <c r="N281" s="317" t="str">
        <f t="shared" ref="N281:P281" si="290">LEFT(H281,5)</f>
        <v/>
      </c>
      <c r="O281" s="317" t="str">
        <f t="shared" si="290"/>
        <v/>
      </c>
      <c r="P281" s="317" t="str">
        <f t="shared" si="290"/>
        <v/>
      </c>
      <c r="Q281" s="318" t="str">
        <f t="shared" si="240"/>
        <v/>
      </c>
      <c r="R281" s="318" t="str">
        <f t="shared" si="241"/>
        <v/>
      </c>
      <c r="S281" s="318" t="str">
        <f t="shared" si="8"/>
        <v/>
      </c>
    </row>
    <row r="282">
      <c r="A282" s="14" t="str">
        <f t="shared" si="1"/>
        <v>C81846115</v>
      </c>
      <c r="B282" s="185">
        <f t="array" ref="B282">IF(F282="VL","",IF(F282="Free","Free",XLOOKUP(D282,Roster!T:T,Roster!S:S,"",0)))</f>
        <v>123</v>
      </c>
      <c r="C282" s="313">
        <v>46115.0</v>
      </c>
      <c r="D282" s="314" t="s">
        <v>9</v>
      </c>
      <c r="E282" s="307" t="str">
        <f t="array" ref="E282">(XLOOKUP(D282,Roster!F:F,Roster!B:B,"",0))</f>
        <v>Adriana Moncaleano</v>
      </c>
      <c r="F282" s="315" t="str">
        <f t="array" ref="F282">IF(B282=100,"Free",TEXT(XLOOKUP($D282,OperationVoice!$A:$A,OperationVoice!I:I,XLOOKUP($D282,OperationTickets!$A:$A,OperationTickets!I:I,"",0)),"hh:mm"))</f>
        <v>08:00</v>
      </c>
      <c r="G282" s="309">
        <f t="shared" si="3"/>
        <v>0.7083333333</v>
      </c>
      <c r="H282" s="316" t="str">
        <f t="array" ref="H282">XLOOKUP(B282,Roster!L:L,Roster!N:N,XLOOKUP(D282,TicketsBreak!A:A,TicketsBreak!E:E,"",0),0)</f>
        <v>09:45 - 10:00 </v>
      </c>
      <c r="I282" s="316" t="str">
        <f t="array" ref="I282">XLOOKUP(B282,Roster!L:L,Roster!O:O,XLOOKUP(D282,TicketsBreak!A:A,TicketsBreak!F:F,"",0),0)</f>
        <v>12:30 - 13:00</v>
      </c>
      <c r="J282" s="316" t="str">
        <f t="array" ref="J282">XLOOKUP(B282,Roster!L:L,Roster!P:P,XLOOKUP(D282,TicketsBreak!A:A,TicketsBreak!G:G,"",0),0)</f>
        <v>15:00 - 15:15</v>
      </c>
      <c r="K282" s="310">
        <f t="shared" si="4"/>
        <v>46115</v>
      </c>
      <c r="L282" s="317">
        <f t="array" ref="L282">(XLOOKUP(D282,Roster!F:F,Roster!D:D,"",0))</f>
        <v>23</v>
      </c>
      <c r="M282" s="317" t="str">
        <f t="array" ref="M282">XLOOKUP(D282,Roster!F:F,Roster!E:E)</f>
        <v>Voice</v>
      </c>
      <c r="N282" s="317" t="str">
        <f t="shared" ref="N282:P282" si="291">LEFT(H282,5)</f>
        <v>09:45</v>
      </c>
      <c r="O282" s="317" t="str">
        <f t="shared" si="291"/>
        <v>12:30</v>
      </c>
      <c r="P282" s="317" t="str">
        <f t="shared" si="291"/>
        <v>15:00</v>
      </c>
      <c r="Q282" s="318">
        <f t="shared" si="240"/>
        <v>46115.40625</v>
      </c>
      <c r="R282" s="318">
        <f t="shared" si="241"/>
        <v>46115.52083</v>
      </c>
      <c r="S282" s="318">
        <f t="shared" si="8"/>
        <v>46115.625</v>
      </c>
    </row>
    <row r="283">
      <c r="A283" s="14" t="str">
        <f t="shared" si="1"/>
        <v>C110746115</v>
      </c>
      <c r="B283" s="185">
        <f t="array" ref="B283">IF(F283="VL","",IF(F283="Free","Free",XLOOKUP(D283,Roster!T:T,Roster!S:S,"",0)))</f>
        <v>153</v>
      </c>
      <c r="C283" s="313">
        <v>46115.0</v>
      </c>
      <c r="D283" s="314" t="s">
        <v>10</v>
      </c>
      <c r="E283" s="307" t="str">
        <f t="array" ref="E283">(XLOOKUP(D283,Roster!F:F,Roster!B:B,"",0))</f>
        <v>Alejandro Malave</v>
      </c>
      <c r="F283" s="315" t="str">
        <f t="array" ref="F283">IF(B283=100,"Free",TEXT(XLOOKUP($D283,OperationVoice!$A:$A,OperationVoice!I:I,XLOOKUP($D283,OperationTickets!$A:$A,OperationTickets!I:I,"",0)),"hh:mm"))</f>
        <v>11:00</v>
      </c>
      <c r="G283" s="309">
        <f t="shared" si="3"/>
        <v>0.8333333333</v>
      </c>
      <c r="H283" s="316" t="str">
        <f t="array" ref="H283">XLOOKUP(B283,Roster!L:L,Roster!N:N,XLOOKUP(D283,TicketsBreak!A:A,TicketsBreak!E:E,"",0),0)</f>
        <v>12:45 - 13:00</v>
      </c>
      <c r="I283" s="316" t="str">
        <f t="array" ref="I283">XLOOKUP(B283,Roster!L:L,Roster!O:O,XLOOKUP(D283,TicketsBreak!A:A,TicketsBreak!F:F,"",0),0)</f>
        <v>15:00 - 15:30</v>
      </c>
      <c r="J283" s="316" t="str">
        <f t="array" ref="J283">XLOOKUP(B283,Roster!L:L,Roster!P:P,XLOOKUP(D283,TicketsBreak!A:A,TicketsBreak!G:G,"",0),0)</f>
        <v>17:45 - 18:00</v>
      </c>
      <c r="K283" s="310">
        <f t="shared" si="4"/>
        <v>46115</v>
      </c>
      <c r="L283" s="317">
        <f t="array" ref="L283">(XLOOKUP(D283,Roster!F:F,Roster!D:D,"",0))</f>
        <v>36</v>
      </c>
      <c r="M283" s="317" t="str">
        <f t="array" ref="M283">XLOOKUP(D283,Roster!F:F,Roster!E:E)</f>
        <v>Voice</v>
      </c>
      <c r="N283" s="317" t="str">
        <f t="shared" ref="N283:P283" si="292">LEFT(H283,5)</f>
        <v>12:45</v>
      </c>
      <c r="O283" s="317" t="str">
        <f t="shared" si="292"/>
        <v>15:00</v>
      </c>
      <c r="P283" s="317" t="str">
        <f t="shared" si="292"/>
        <v>17:45</v>
      </c>
      <c r="Q283" s="318">
        <f t="shared" si="240"/>
        <v>46115.53125</v>
      </c>
      <c r="R283" s="318">
        <f t="shared" si="241"/>
        <v>46115.625</v>
      </c>
      <c r="S283" s="318">
        <f t="shared" si="8"/>
        <v>46115.73958</v>
      </c>
    </row>
    <row r="284">
      <c r="A284" s="14" t="str">
        <f t="shared" si="1"/>
        <v>C69946115</v>
      </c>
      <c r="B284" s="185" t="str">
        <f t="array" ref="B284">IF(F284="VL","",IF(F284="Free","Free",XLOOKUP(D284,Roster!T:T,Roster!S:S,"",0)))</f>
        <v/>
      </c>
      <c r="C284" s="313">
        <v>46115.0</v>
      </c>
      <c r="D284" s="314" t="s">
        <v>137</v>
      </c>
      <c r="E284" s="307" t="str">
        <f t="array" ref="E284">(XLOOKUP(D284,Roster!F:F,Roster!B:B,"",0))</f>
        <v>Alexa Arenas</v>
      </c>
      <c r="F284" s="315" t="str">
        <f t="array" ref="F284">IF(B284=100,"Free",TEXT(XLOOKUP($D284,OperationVoice!$A:$A,OperationVoice!I:I,XLOOKUP($D284,OperationTickets!$A:$A,OperationTickets!I:I,"",0)),"hh:mm"))</f>
        <v>08:00</v>
      </c>
      <c r="G284" s="309">
        <f t="shared" si="3"/>
        <v>0.7083333333</v>
      </c>
      <c r="H284" s="316">
        <f t="array" ref="H284">XLOOKUP(B284,Roster!L:L,Roster!N:N,XLOOKUP(D284,TicketsBreak!A:A,TicketsBreak!E:E,"",0),0)</f>
        <v>0.40625</v>
      </c>
      <c r="I284" s="316">
        <f t="array" ref="I284">XLOOKUP(B284,Roster!L:L,Roster!O:O,XLOOKUP(D284,TicketsBreak!A:A,TicketsBreak!F:F,"",0),0)</f>
        <v>0.5</v>
      </c>
      <c r="J284" s="316">
        <f t="array" ref="J284">XLOOKUP(B284,Roster!L:L,Roster!P:P,XLOOKUP(D284,TicketsBreak!A:A,TicketsBreak!G:G,"",0),0)</f>
        <v>0.65625</v>
      </c>
      <c r="K284" s="310">
        <f t="shared" si="4"/>
        <v>46115</v>
      </c>
      <c r="L284" s="317">
        <f t="array" ref="L284">(XLOOKUP(D284,Roster!F:F,Roster!D:D,"",0))</f>
        <v>5</v>
      </c>
      <c r="M284" s="317" t="str">
        <f t="array" ref="M284">XLOOKUP(D284,Roster!F:F,Roster!E:E)</f>
        <v>Tickets</v>
      </c>
      <c r="N284" s="317" t="str">
        <f t="shared" ref="N284:P284" si="293">LEFT(H284,5)</f>
        <v>09:45</v>
      </c>
      <c r="O284" s="317" t="str">
        <f t="shared" si="293"/>
        <v>12:00</v>
      </c>
      <c r="P284" s="317" t="str">
        <f t="shared" si="293"/>
        <v>15:45</v>
      </c>
      <c r="Q284" s="318">
        <f t="shared" si="240"/>
        <v>46115.40625</v>
      </c>
      <c r="R284" s="318">
        <f t="shared" si="241"/>
        <v>46115.5</v>
      </c>
      <c r="S284" s="318">
        <f t="shared" si="8"/>
        <v>46115.65625</v>
      </c>
    </row>
    <row r="285">
      <c r="A285" s="14" t="str">
        <f t="shared" si="1"/>
        <v>C157046115</v>
      </c>
      <c r="B285" s="185">
        <f t="array" ref="B285">IF(F285="VL","",IF(F285="Free","Free",XLOOKUP(D285,Roster!T:T,Roster!S:S,"",0)))</f>
        <v>123</v>
      </c>
      <c r="C285" s="313">
        <v>46115.0</v>
      </c>
      <c r="D285" s="314" t="s">
        <v>11</v>
      </c>
      <c r="E285" s="307" t="str">
        <f t="array" ref="E285">(XLOOKUP(D285,Roster!F:F,Roster!B:B,"",0))</f>
        <v>Alexander Bartoli</v>
      </c>
      <c r="F285" s="315" t="str">
        <f t="array" ref="F285">IF(B285=100,"Free",TEXT(XLOOKUP($D285,OperationVoice!$A:$A,OperationVoice!I:I,XLOOKUP($D285,OperationTickets!$A:$A,OperationTickets!I:I,"",0)),"hh:mm"))</f>
        <v>08:00</v>
      </c>
      <c r="G285" s="309">
        <f t="shared" si="3"/>
        <v>0.7083333333</v>
      </c>
      <c r="H285" s="316" t="str">
        <f t="array" ref="H285">XLOOKUP(B285,Roster!L:L,Roster!N:N,XLOOKUP(D285,TicketsBreak!A:A,TicketsBreak!E:E,"",0),0)</f>
        <v>09:45 - 10:00 </v>
      </c>
      <c r="I285" s="316" t="str">
        <f t="array" ref="I285">XLOOKUP(B285,Roster!L:L,Roster!O:O,XLOOKUP(D285,TicketsBreak!A:A,TicketsBreak!F:F,"",0),0)</f>
        <v>12:30 - 13:00</v>
      </c>
      <c r="J285" s="316" t="str">
        <f t="array" ref="J285">XLOOKUP(B285,Roster!L:L,Roster!P:P,XLOOKUP(D285,TicketsBreak!A:A,TicketsBreak!G:G,"",0),0)</f>
        <v>15:00 - 15:15</v>
      </c>
      <c r="K285" s="310">
        <f t="shared" si="4"/>
        <v>46115</v>
      </c>
      <c r="L285" s="317">
        <f t="array" ref="L285">(XLOOKUP(D285,Roster!F:F,Roster!D:D,"",0))</f>
        <v>38</v>
      </c>
      <c r="M285" s="317" t="str">
        <f t="array" ref="M285">XLOOKUP(D285,Roster!F:F,Roster!E:E)</f>
        <v>Voice</v>
      </c>
      <c r="N285" s="317" t="str">
        <f t="shared" ref="N285:P285" si="294">LEFT(H285,5)</f>
        <v>09:45</v>
      </c>
      <c r="O285" s="317" t="str">
        <f t="shared" si="294"/>
        <v>12:30</v>
      </c>
      <c r="P285" s="317" t="str">
        <f t="shared" si="294"/>
        <v>15:00</v>
      </c>
      <c r="Q285" s="318">
        <f t="shared" si="240"/>
        <v>46115.40625</v>
      </c>
      <c r="R285" s="318">
        <f t="shared" si="241"/>
        <v>46115.52083</v>
      </c>
      <c r="S285" s="318">
        <f t="shared" si="8"/>
        <v>46115.625</v>
      </c>
    </row>
    <row r="286">
      <c r="A286" s="14" t="str">
        <f t="shared" si="1"/>
        <v>C93546115</v>
      </c>
      <c r="B286" s="185" t="str">
        <f t="array" ref="B286">IF(F286="VL","",IF(F286="Free","Free",XLOOKUP(D286,Roster!T:T,Roster!S:S,"",0)))</f>
        <v/>
      </c>
      <c r="C286" s="313">
        <v>46115.0</v>
      </c>
      <c r="D286" s="314" t="s">
        <v>153</v>
      </c>
      <c r="E286" s="307" t="str">
        <f t="array" ref="E286">(XLOOKUP(D286,Roster!F:F,Roster!B:B,"",0))</f>
        <v>Alexis Arias</v>
      </c>
      <c r="F286" s="315" t="str">
        <f t="array" ref="F286">IF(B286=100,"Free",TEXT(XLOOKUP($D286,OperationVoice!$A:$A,OperationVoice!I:I,XLOOKUP($D286,OperationTickets!$A:$A,OperationTickets!I:I,"",0)),"hh:mm"))</f>
        <v>07:30</v>
      </c>
      <c r="G286" s="309">
        <f t="shared" si="3"/>
        <v>0.6875</v>
      </c>
      <c r="H286" s="316">
        <f t="array" ref="H286">XLOOKUP(B286,Roster!L:L,Roster!N:N,XLOOKUP(D286,TicketsBreak!A:A,TicketsBreak!E:E,"",0),0)</f>
        <v>0.4270833333</v>
      </c>
      <c r="I286" s="316">
        <f t="array" ref="I286">XLOOKUP(B286,Roster!L:L,Roster!O:O,XLOOKUP(D286,TicketsBreak!A:A,TicketsBreak!F:F,"",0),0)</f>
        <v>0.53125</v>
      </c>
      <c r="J286" s="316">
        <f t="array" ref="J286">XLOOKUP(B286,Roster!L:L,Roster!P:P,XLOOKUP(D286,TicketsBreak!A:A,TicketsBreak!G:G,"",0),0)</f>
        <v>0.6458333333</v>
      </c>
      <c r="K286" s="310">
        <f t="shared" si="4"/>
        <v>46115</v>
      </c>
      <c r="L286" s="317">
        <f t="array" ref="L286">(XLOOKUP(D286,Roster!F:F,Roster!D:D,"",0))</f>
        <v>12</v>
      </c>
      <c r="M286" s="317" t="str">
        <f t="array" ref="M286">XLOOKUP(D286,Roster!F:F,Roster!E:E)</f>
        <v>Tickets</v>
      </c>
      <c r="N286" s="317" t="str">
        <f t="shared" ref="N286:P286" si="295">LEFT(H286,5)</f>
        <v>10:15</v>
      </c>
      <c r="O286" s="317" t="str">
        <f t="shared" si="295"/>
        <v>12:45</v>
      </c>
      <c r="P286" s="317" t="str">
        <f t="shared" si="295"/>
        <v>15:30</v>
      </c>
      <c r="Q286" s="318">
        <f t="shared" si="240"/>
        <v>46115.42708</v>
      </c>
      <c r="R286" s="318">
        <f t="shared" si="241"/>
        <v>46115.53125</v>
      </c>
      <c r="S286" s="318">
        <f t="shared" si="8"/>
        <v>46115.64583</v>
      </c>
    </row>
    <row r="287">
      <c r="A287" s="14" t="str">
        <f t="shared" si="1"/>
        <v>C72746115</v>
      </c>
      <c r="B287" s="185" t="str">
        <f t="array" ref="B287">IF(F287="VL","",IF(F287="Free","Free",XLOOKUP(D287,Roster!T:T,Roster!S:S,"",0)))</f>
        <v/>
      </c>
      <c r="C287" s="313">
        <v>46115.0</v>
      </c>
      <c r="D287" s="314" t="s">
        <v>154</v>
      </c>
      <c r="E287" s="307" t="str">
        <f t="array" ref="E287">(XLOOKUP(D287,Roster!F:F,Roster!B:B,"",0))</f>
        <v>Ana Moreno</v>
      </c>
      <c r="F287" s="315" t="str">
        <f t="array" ref="F287">IF(B287=100,"Free",TEXT(XLOOKUP($D287,OperationVoice!$A:$A,OperationVoice!I:I,XLOOKUP($D287,OperationTickets!$A:$A,OperationTickets!I:I,"",0)),"hh:mm"))</f>
        <v>VL</v>
      </c>
      <c r="G287" s="309" t="str">
        <f t="shared" si="3"/>
        <v>VL</v>
      </c>
      <c r="H287" s="316">
        <f t="array" ref="H287">XLOOKUP(B287,Roster!L:L,Roster!N:N,XLOOKUP(D287,TicketsBreak!A:A,TicketsBreak!E:E,"",0),0)</f>
        <v>0.4166666667</v>
      </c>
      <c r="I287" s="316">
        <f t="array" ref="I287">XLOOKUP(B287,Roster!L:L,Roster!O:O,XLOOKUP(D287,TicketsBreak!A:A,TicketsBreak!F:F,"",0),0)</f>
        <v>0.5208333333</v>
      </c>
      <c r="J287" s="316">
        <f t="array" ref="J287">XLOOKUP(B287,Roster!L:L,Roster!P:P,XLOOKUP(D287,TicketsBreak!A:A,TicketsBreak!G:G,"",0),0)</f>
        <v>0.65625</v>
      </c>
      <c r="K287" s="310">
        <f t="shared" si="4"/>
        <v>46115</v>
      </c>
      <c r="L287" s="317">
        <f t="array" ref="L287">(XLOOKUP(D287,Roster!F:F,Roster!D:D,"",0))</f>
        <v>7</v>
      </c>
      <c r="M287" s="317" t="str">
        <f t="array" ref="M287">XLOOKUP(D287,Roster!F:F,Roster!E:E)</f>
        <v>Tickets</v>
      </c>
      <c r="N287" s="317" t="str">
        <f t="shared" ref="N287:P287" si="296">LEFT(H287,5)</f>
        <v>10:00</v>
      </c>
      <c r="O287" s="317" t="str">
        <f t="shared" si="296"/>
        <v>12:30</v>
      </c>
      <c r="P287" s="317" t="str">
        <f t="shared" si="296"/>
        <v>15:45</v>
      </c>
      <c r="Q287" s="318">
        <f t="shared" si="240"/>
        <v>46115.41667</v>
      </c>
      <c r="R287" s="318">
        <f t="shared" si="241"/>
        <v>46115.52083</v>
      </c>
      <c r="S287" s="318">
        <f t="shared" si="8"/>
        <v>46115.65625</v>
      </c>
    </row>
    <row r="288">
      <c r="A288" s="14" t="str">
        <f t="shared" si="1"/>
        <v>C157446115</v>
      </c>
      <c r="B288" s="185">
        <f t="array" ref="B288">IF(F288="VL","",IF(F288="Free","Free",XLOOKUP(D288,Roster!T:T,Roster!S:S,"",0)))</f>
        <v>124</v>
      </c>
      <c r="C288" s="313">
        <v>46115.0</v>
      </c>
      <c r="D288" s="314" t="s">
        <v>12</v>
      </c>
      <c r="E288" s="307" t="str">
        <f t="array" ref="E288">(XLOOKUP(D288,Roster!F:F,Roster!B:B,"",0))</f>
        <v>Ana Quintero</v>
      </c>
      <c r="F288" s="315" t="str">
        <f t="array" ref="F288">IF(B288=100,"Free",TEXT(XLOOKUP($D288,OperationVoice!$A:$A,OperationVoice!I:I,XLOOKUP($D288,OperationTickets!$A:$A,OperationTickets!I:I,"",0)),"hh:mm"))</f>
        <v>08:00</v>
      </c>
      <c r="G288" s="309">
        <f t="shared" si="3"/>
        <v>0.7083333333</v>
      </c>
      <c r="H288" s="316" t="str">
        <f t="array" ref="H288">XLOOKUP(B288,Roster!L:L,Roster!N:N,XLOOKUP(D288,TicketsBreak!A:A,TicketsBreak!E:E,"",0),0)</f>
        <v>10:00 - 10:15</v>
      </c>
      <c r="I288" s="316" t="str">
        <f t="array" ref="I288">XLOOKUP(B288,Roster!L:L,Roster!O:O,XLOOKUP(D288,TicketsBreak!A:A,TicketsBreak!F:F,"",0),0)</f>
        <v>13:00 - 13:30</v>
      </c>
      <c r="J288" s="316" t="str">
        <f t="array" ref="J288">XLOOKUP(B288,Roster!L:L,Roster!P:P,XLOOKUP(D288,TicketsBreak!A:A,TicketsBreak!G:G,"",0),0)</f>
        <v>15:30 - 15:45</v>
      </c>
      <c r="K288" s="310">
        <f t="shared" si="4"/>
        <v>46115</v>
      </c>
      <c r="L288" s="317">
        <f t="array" ref="L288">(XLOOKUP(D288,Roster!F:F,Roster!D:D,"",0))</f>
        <v>38</v>
      </c>
      <c r="M288" s="317" t="str">
        <f t="array" ref="M288">XLOOKUP(D288,Roster!F:F,Roster!E:E)</f>
        <v>Voice</v>
      </c>
      <c r="N288" s="317" t="str">
        <f t="shared" ref="N288:P288" si="297">LEFT(H288,5)</f>
        <v>10:00</v>
      </c>
      <c r="O288" s="317" t="str">
        <f t="shared" si="297"/>
        <v>13:00</v>
      </c>
      <c r="P288" s="317" t="str">
        <f t="shared" si="297"/>
        <v>15:30</v>
      </c>
      <c r="Q288" s="318">
        <f t="shared" si="240"/>
        <v>46115.41667</v>
      </c>
      <c r="R288" s="318">
        <f t="shared" si="241"/>
        <v>46115.54167</v>
      </c>
      <c r="S288" s="318">
        <f t="shared" si="8"/>
        <v>46115.64583</v>
      </c>
    </row>
    <row r="289">
      <c r="A289" s="14" t="str">
        <f t="shared" si="1"/>
        <v>C46946115</v>
      </c>
      <c r="B289" s="185" t="str">
        <f t="array" ref="B289">IF(F289="VL","",IF(F289="Free","Free",XLOOKUP(D289,Roster!T:T,Roster!S:S,"",0)))</f>
        <v/>
      </c>
      <c r="C289" s="313">
        <v>46115.0</v>
      </c>
      <c r="D289" s="314" t="s">
        <v>171</v>
      </c>
      <c r="E289" s="307" t="str">
        <f t="array" ref="E289">(XLOOKUP(D289,Roster!F:F,Roster!B:B,"",0))</f>
        <v>Ana Ruiz</v>
      </c>
      <c r="F289" s="315" t="str">
        <f t="array" ref="F289">IF(B289=100,"Free",TEXT(XLOOKUP($D289,OperationVoice!$A:$A,OperationVoice!I:I,XLOOKUP($D289,OperationTickets!$A:$A,OperationTickets!I:I,"",0)),"hh:mm"))</f>
        <v>08:00</v>
      </c>
      <c r="G289" s="309">
        <f t="shared" si="3"/>
        <v>0.7083333333</v>
      </c>
      <c r="H289" s="316">
        <f t="array" ref="H289">XLOOKUP(B289,Roster!L:L,Roster!N:N,XLOOKUP(D289,TicketsBreak!A:A,TicketsBreak!E:E,"",0),0)</f>
        <v>0.3854166667</v>
      </c>
      <c r="I289" s="316">
        <f t="array" ref="I289">XLOOKUP(B289,Roster!L:L,Roster!O:O,XLOOKUP(D289,TicketsBreak!A:A,TicketsBreak!F:F,"",0),0)</f>
        <v>0.5</v>
      </c>
      <c r="J289" s="316">
        <f t="array" ref="J289">XLOOKUP(B289,Roster!L:L,Roster!P:P,XLOOKUP(D289,TicketsBreak!A:A,TicketsBreak!G:G,"",0),0)</f>
        <v>0.6041666667</v>
      </c>
      <c r="K289" s="310">
        <f t="shared" si="4"/>
        <v>46115</v>
      </c>
      <c r="L289" s="317">
        <f t="array" ref="L289">(XLOOKUP(D289,Roster!F:F,Roster!D:D,"",0))</f>
        <v>3</v>
      </c>
      <c r="M289" s="317" t="str">
        <f t="array" ref="M289">XLOOKUP(D289,Roster!F:F,Roster!E:E)</f>
        <v>Tickets</v>
      </c>
      <c r="N289" s="317" t="str">
        <f t="shared" ref="N289:P289" si="298">LEFT(H289,5)</f>
        <v>09:15</v>
      </c>
      <c r="O289" s="317" t="str">
        <f t="shared" si="298"/>
        <v>12:00</v>
      </c>
      <c r="P289" s="317" t="str">
        <f t="shared" si="298"/>
        <v>14:30</v>
      </c>
      <c r="Q289" s="318">
        <f t="shared" si="240"/>
        <v>46115.38542</v>
      </c>
      <c r="R289" s="318">
        <f t="shared" si="241"/>
        <v>46115.5</v>
      </c>
      <c r="S289" s="318">
        <f t="shared" si="8"/>
        <v>46115.60417</v>
      </c>
    </row>
    <row r="290">
      <c r="A290" s="14" t="str">
        <f t="shared" si="1"/>
        <v>C155446115</v>
      </c>
      <c r="B290" s="185">
        <f t="array" ref="B290">IF(F290="VL","",IF(F290="Free","Free",XLOOKUP(D290,Roster!T:T,Roster!S:S,"",0)))</f>
        <v>131</v>
      </c>
      <c r="C290" s="313">
        <v>46115.0</v>
      </c>
      <c r="D290" s="314" t="s">
        <v>13</v>
      </c>
      <c r="E290" s="307" t="str">
        <f t="array" ref="E290">(XLOOKUP(D290,Roster!F:F,Roster!B:B,"",0))</f>
        <v>Andres Lopez</v>
      </c>
      <c r="F290" s="315" t="str">
        <f t="array" ref="F290">IF(B290=100,"Free",TEXT(XLOOKUP($D290,OperationVoice!$A:$A,OperationVoice!I:I,XLOOKUP($D290,OperationTickets!$A:$A,OperationTickets!I:I,"",0)),"hh:mm"))</f>
        <v>09:00</v>
      </c>
      <c r="G290" s="309">
        <f t="shared" si="3"/>
        <v>0.75</v>
      </c>
      <c r="H290" s="316" t="str">
        <f t="array" ref="H290">XLOOKUP(B290,Roster!L:L,Roster!N:N,XLOOKUP(D290,TicketsBreak!A:A,TicketsBreak!E:E,"",0),0)</f>
        <v>10:15 - 10:30</v>
      </c>
      <c r="I290" s="316" t="str">
        <f t="array" ref="I290">XLOOKUP(B290,Roster!L:L,Roster!O:O,XLOOKUP(D290,TicketsBreak!A:A,TicketsBreak!F:F,"",0),0)</f>
        <v>12:30 - 13:00</v>
      </c>
      <c r="J290" s="316" t="str">
        <f t="array" ref="J290">XLOOKUP(B290,Roster!L:L,Roster!P:P,XLOOKUP(D290,TicketsBreak!A:A,TicketsBreak!G:G,"",0),0)</f>
        <v>15:15 - 15:30</v>
      </c>
      <c r="K290" s="310">
        <f t="shared" si="4"/>
        <v>46115</v>
      </c>
      <c r="L290" s="317">
        <f t="array" ref="L290">(XLOOKUP(D290,Roster!F:F,Roster!D:D,"",0))</f>
        <v>37</v>
      </c>
      <c r="M290" s="317" t="str">
        <f t="array" ref="M290">XLOOKUP(D290,Roster!F:F,Roster!E:E)</f>
        <v>Voice</v>
      </c>
      <c r="N290" s="317" t="str">
        <f t="shared" ref="N290:P290" si="299">LEFT(H290,5)</f>
        <v>10:15</v>
      </c>
      <c r="O290" s="317" t="str">
        <f t="shared" si="299"/>
        <v>12:30</v>
      </c>
      <c r="P290" s="317" t="str">
        <f t="shared" si="299"/>
        <v>15:15</v>
      </c>
      <c r="Q290" s="318">
        <f t="shared" si="240"/>
        <v>46115.42708</v>
      </c>
      <c r="R290" s="318">
        <f t="shared" si="241"/>
        <v>46115.52083</v>
      </c>
      <c r="S290" s="318">
        <f t="shared" si="8"/>
        <v>46115.63542</v>
      </c>
    </row>
    <row r="291">
      <c r="A291" s="14" t="str">
        <f t="shared" si="1"/>
        <v>C156746115</v>
      </c>
      <c r="B291" s="185" t="str">
        <f t="array" ref="B291">IF(F291="VL","",IF(F291="Free","Free",XLOOKUP(D291,Roster!T:T,Roster!S:S,"",0)))</f>
        <v>Free</v>
      </c>
      <c r="C291" s="313">
        <v>46115.0</v>
      </c>
      <c r="D291" s="314" t="s">
        <v>14</v>
      </c>
      <c r="E291" s="307" t="str">
        <f t="array" ref="E291">(XLOOKUP(D291,Roster!F:F,Roster!B:B,"",0))</f>
        <v>Andres Salazar</v>
      </c>
      <c r="F291" s="315" t="str">
        <f t="array" ref="F291">IF(B291=100,"Free",TEXT(XLOOKUP($D291,OperationVoice!$A:$A,OperationVoice!I:I,XLOOKUP($D291,OperationTickets!$A:$A,OperationTickets!I:I,"",0)),"hh:mm"))</f>
        <v>Free</v>
      </c>
      <c r="G291" s="309" t="str">
        <f t="shared" si="3"/>
        <v>Free</v>
      </c>
      <c r="H291" s="316" t="str">
        <f t="array" ref="H291">XLOOKUP(B291,Roster!L:L,Roster!N:N,XLOOKUP(D291,TicketsBreak!A:A,TicketsBreak!E:E,"",0),0)</f>
        <v/>
      </c>
      <c r="I291" s="316" t="str">
        <f t="array" ref="I291">XLOOKUP(B291,Roster!L:L,Roster!O:O,XLOOKUP(D291,TicketsBreak!A:A,TicketsBreak!F:F,"",0),0)</f>
        <v/>
      </c>
      <c r="J291" s="316" t="str">
        <f t="array" ref="J291">XLOOKUP(B291,Roster!L:L,Roster!P:P,XLOOKUP(D291,TicketsBreak!A:A,TicketsBreak!G:G,"",0),0)</f>
        <v/>
      </c>
      <c r="K291" s="310">
        <f t="shared" si="4"/>
        <v>46115</v>
      </c>
      <c r="L291" s="317">
        <f t="array" ref="L291">(XLOOKUP(D291,Roster!F:F,Roster!D:D,"",0))</f>
        <v>38</v>
      </c>
      <c r="M291" s="317" t="str">
        <f t="array" ref="M291">XLOOKUP(D291,Roster!F:F,Roster!E:E)</f>
        <v>Voice</v>
      </c>
      <c r="N291" s="317" t="str">
        <f t="shared" ref="N291:P291" si="300">LEFT(H291,5)</f>
        <v/>
      </c>
      <c r="O291" s="317" t="str">
        <f t="shared" si="300"/>
        <v/>
      </c>
      <c r="P291" s="317" t="str">
        <f t="shared" si="300"/>
        <v/>
      </c>
      <c r="Q291" s="318" t="str">
        <f t="shared" si="240"/>
        <v/>
      </c>
      <c r="R291" s="318" t="str">
        <f t="shared" si="241"/>
        <v/>
      </c>
      <c r="S291" s="318" t="str">
        <f t="shared" si="8"/>
        <v/>
      </c>
    </row>
    <row r="292">
      <c r="A292" s="14" t="str">
        <f t="shared" si="1"/>
        <v>C134846115</v>
      </c>
      <c r="B292" s="185">
        <f t="array" ref="B292">IF(F292="VL","",IF(F292="Free","Free",XLOOKUP(D292,Roster!T:T,Roster!S:S,"",0)))</f>
        <v>124</v>
      </c>
      <c r="C292" s="313">
        <v>46115.0</v>
      </c>
      <c r="D292" s="314" t="s">
        <v>15</v>
      </c>
      <c r="E292" s="307" t="str">
        <f t="array" ref="E292">(XLOOKUP(D292,Roster!F:F,Roster!B:B,"",0))</f>
        <v>Angelo Zapata</v>
      </c>
      <c r="F292" s="315" t="str">
        <f t="array" ref="F292">IF(B292=100,"Free",TEXT(XLOOKUP($D292,OperationVoice!$A:$A,OperationVoice!I:I,XLOOKUP($D292,OperationTickets!$A:$A,OperationTickets!I:I,"",0)),"hh:mm"))</f>
        <v>08:00</v>
      </c>
      <c r="G292" s="309">
        <f t="shared" si="3"/>
        <v>0.7083333333</v>
      </c>
      <c r="H292" s="316" t="str">
        <f t="array" ref="H292">XLOOKUP(B292,Roster!L:L,Roster!N:N,XLOOKUP(D292,TicketsBreak!A:A,TicketsBreak!E:E,"",0),0)</f>
        <v>10:00 - 10:15</v>
      </c>
      <c r="I292" s="316" t="str">
        <f t="array" ref="I292">XLOOKUP(B292,Roster!L:L,Roster!O:O,XLOOKUP(D292,TicketsBreak!A:A,TicketsBreak!F:F,"",0),0)</f>
        <v>13:00 - 13:30</v>
      </c>
      <c r="J292" s="316" t="str">
        <f t="array" ref="J292">XLOOKUP(B292,Roster!L:L,Roster!P:P,XLOOKUP(D292,TicketsBreak!A:A,TicketsBreak!G:G,"",0),0)</f>
        <v>15:30 - 15:45</v>
      </c>
      <c r="K292" s="310">
        <f t="shared" si="4"/>
        <v>46115</v>
      </c>
      <c r="L292" s="317">
        <f t="array" ref="L292">(XLOOKUP(D292,Roster!F:F,Roster!D:D,"",0))</f>
        <v>30</v>
      </c>
      <c r="M292" s="317" t="str">
        <f t="array" ref="M292">XLOOKUP(D292,Roster!F:F,Roster!E:E)</f>
        <v>Voice</v>
      </c>
      <c r="N292" s="317" t="str">
        <f t="shared" ref="N292:P292" si="301">LEFT(H292,5)</f>
        <v>10:00</v>
      </c>
      <c r="O292" s="317" t="str">
        <f t="shared" si="301"/>
        <v>13:00</v>
      </c>
      <c r="P292" s="317" t="str">
        <f t="shared" si="301"/>
        <v>15:30</v>
      </c>
      <c r="Q292" s="318">
        <f t="shared" si="240"/>
        <v>46115.41667</v>
      </c>
      <c r="R292" s="318">
        <f t="shared" si="241"/>
        <v>46115.54167</v>
      </c>
      <c r="S292" s="318">
        <f t="shared" si="8"/>
        <v>46115.64583</v>
      </c>
    </row>
    <row r="293">
      <c r="A293" s="14" t="str">
        <f t="shared" si="1"/>
        <v>C116746115</v>
      </c>
      <c r="B293" s="185" t="str">
        <f t="array" ref="B293">IF(F293="VL","",IF(F293="Free","Free",XLOOKUP(D293,Roster!T:T,Roster!S:S,"",0)))</f>
        <v/>
      </c>
      <c r="C293" s="313">
        <v>46115.0</v>
      </c>
      <c r="D293" s="314" t="s">
        <v>172</v>
      </c>
      <c r="E293" s="307" t="str">
        <f t="array" ref="E293">(XLOOKUP(D293,Roster!F:F,Roster!B:B,"",0))</f>
        <v>Angie Rua</v>
      </c>
      <c r="F293" s="315" t="str">
        <f t="array" ref="F293">IF(B293=100,"Free",TEXT(XLOOKUP($D293,OperationVoice!$A:$A,OperationVoice!I:I,XLOOKUP($D293,OperationTickets!$A:$A,OperationTickets!I:I,"",0)),"hh:mm"))</f>
        <v>07:00</v>
      </c>
      <c r="G293" s="309">
        <f t="shared" si="3"/>
        <v>0.6666666667</v>
      </c>
      <c r="H293" s="316" t="str">
        <f t="array" ref="H293">XLOOKUP(B293,Roster!L:L,Roster!N:N,XLOOKUP(D293,TicketsBreak!A:A,TicketsBreak!E:E,"",0),0)</f>
        <v/>
      </c>
      <c r="I293" s="316" t="str">
        <f t="array" ref="I293">XLOOKUP(B293,Roster!L:L,Roster!O:O,XLOOKUP(D293,TicketsBreak!A:A,TicketsBreak!F:F,"",0),0)</f>
        <v/>
      </c>
      <c r="J293" s="316" t="str">
        <f t="array" ref="J293">XLOOKUP(B293,Roster!L:L,Roster!P:P,XLOOKUP(D293,TicketsBreak!A:A,TicketsBreak!G:G,"",0),0)</f>
        <v/>
      </c>
      <c r="K293" s="310">
        <f t="shared" si="4"/>
        <v>46115</v>
      </c>
      <c r="L293" s="317">
        <f t="array" ref="L293">(XLOOKUP(D293,Roster!F:F,Roster!D:D,"",0))</f>
        <v>24</v>
      </c>
      <c r="M293" s="317" t="str">
        <f t="array" ref="M293">XLOOKUP(D293,Roster!F:F,Roster!E:E)</f>
        <v>Tickets</v>
      </c>
      <c r="N293" s="317" t="str">
        <f t="shared" ref="N293:P293" si="302">LEFT(H293,5)</f>
        <v/>
      </c>
      <c r="O293" s="317" t="str">
        <f t="shared" si="302"/>
        <v/>
      </c>
      <c r="P293" s="317" t="str">
        <f t="shared" si="302"/>
        <v/>
      </c>
      <c r="Q293" s="318" t="str">
        <f t="shared" si="240"/>
        <v/>
      </c>
      <c r="R293" s="318" t="str">
        <f t="shared" si="241"/>
        <v/>
      </c>
      <c r="S293" s="318" t="str">
        <f t="shared" si="8"/>
        <v/>
      </c>
    </row>
    <row r="294">
      <c r="A294" s="14" t="str">
        <f t="shared" si="1"/>
        <v>C157946115</v>
      </c>
      <c r="B294" s="185">
        <f t="array" ref="B294">IF(F294="VL","",IF(F294="Free","Free",XLOOKUP(D294,Roster!T:T,Roster!S:S,"",0)))</f>
        <v>126</v>
      </c>
      <c r="C294" s="313">
        <v>46115.0</v>
      </c>
      <c r="D294" s="314" t="s">
        <v>16</v>
      </c>
      <c r="E294" s="307" t="str">
        <f t="array" ref="E294">(XLOOKUP(D294,Roster!F:F,Roster!B:B,"",0))</f>
        <v>Anibal Munoz</v>
      </c>
      <c r="F294" s="315" t="str">
        <f t="array" ref="F294">IF(B294=100,"Free",TEXT(XLOOKUP($D294,OperationVoice!$A:$A,OperationVoice!I:I,XLOOKUP($D294,OperationTickets!$A:$A,OperationTickets!I:I,"",0)),"hh:mm"))</f>
        <v>08:00</v>
      </c>
      <c r="G294" s="309">
        <f t="shared" si="3"/>
        <v>0.7083333333</v>
      </c>
      <c r="H294" s="316" t="str">
        <f t="array" ref="H294">XLOOKUP(B294,Roster!L:L,Roster!N:N,XLOOKUP(D294,TicketsBreak!A:A,TicketsBreak!E:E,"",0),0)</f>
        <v>10:45 - 11:00</v>
      </c>
      <c r="I294" s="316" t="str">
        <f t="array" ref="I294">XLOOKUP(B294,Roster!L:L,Roster!O:O,XLOOKUP(D294,TicketsBreak!A:A,TicketsBreak!F:F,"",0),0)</f>
        <v>14:00 - 14:30</v>
      </c>
      <c r="J294" s="316" t="str">
        <f t="array" ref="J294">XLOOKUP(B294,Roster!L:L,Roster!P:P,XLOOKUP(D294,TicketsBreak!A:A,TicketsBreak!G:G,"",0),0)</f>
        <v>15:45 - 16:00</v>
      </c>
      <c r="K294" s="310">
        <f t="shared" si="4"/>
        <v>46115</v>
      </c>
      <c r="L294" s="317">
        <f t="array" ref="L294">(XLOOKUP(D294,Roster!F:F,Roster!D:D,"",0))</f>
        <v>38</v>
      </c>
      <c r="M294" s="317" t="str">
        <f t="array" ref="M294">XLOOKUP(D294,Roster!F:F,Roster!E:E)</f>
        <v>Voice</v>
      </c>
      <c r="N294" s="317" t="str">
        <f t="shared" ref="N294:P294" si="303">LEFT(H294,5)</f>
        <v>10:45</v>
      </c>
      <c r="O294" s="317" t="str">
        <f t="shared" si="303"/>
        <v>14:00</v>
      </c>
      <c r="P294" s="317" t="str">
        <f t="shared" si="303"/>
        <v>15:45</v>
      </c>
      <c r="Q294" s="318">
        <f t="shared" si="240"/>
        <v>46115.44792</v>
      </c>
      <c r="R294" s="318">
        <f t="shared" si="241"/>
        <v>46115.58333</v>
      </c>
      <c r="S294" s="318">
        <f t="shared" si="8"/>
        <v>46115.65625</v>
      </c>
    </row>
    <row r="295">
      <c r="A295" s="14" t="str">
        <f t="shared" si="1"/>
        <v>C08046115</v>
      </c>
      <c r="B295" s="185" t="str">
        <f t="array" ref="B295">IF(F295="VL","",IF(F295="Free","Free",XLOOKUP(D295,Roster!T:T,Roster!S:S,"",0)))</f>
        <v/>
      </c>
      <c r="C295" s="313">
        <v>46115.0</v>
      </c>
      <c r="D295" s="314" t="s">
        <v>138</v>
      </c>
      <c r="E295" s="307" t="str">
        <f t="array" ref="E295">(XLOOKUP(D295,Roster!F:F,Roster!B:B,"",0))</f>
        <v>Arturo Padilla</v>
      </c>
      <c r="F295" s="315" t="str">
        <f t="array" ref="F295">IF(B295=100,"Free",TEXT(XLOOKUP($D295,OperationVoice!$A:$A,OperationVoice!I:I,XLOOKUP($D295,OperationTickets!$A:$A,OperationTickets!I:I,"",0)),"hh:mm"))</f>
        <v>08:00</v>
      </c>
      <c r="G295" s="309">
        <f t="shared" si="3"/>
        <v>0.7083333333</v>
      </c>
      <c r="H295" s="316">
        <f t="array" ref="H295">XLOOKUP(B295,Roster!L:L,Roster!N:N,XLOOKUP(D295,TicketsBreak!A:A,TicketsBreak!E:E,"",0),0)</f>
        <v>0.375</v>
      </c>
      <c r="I295" s="316">
        <f t="array" ref="I295">XLOOKUP(B295,Roster!L:L,Roster!O:O,XLOOKUP(D295,TicketsBreak!A:A,TicketsBreak!F:F,"",0),0)</f>
        <v>0.5</v>
      </c>
      <c r="J295" s="316">
        <f t="array" ref="J295">XLOOKUP(B295,Roster!L:L,Roster!P:P,XLOOKUP(D295,TicketsBreak!A:A,TicketsBreak!G:G,"",0),0)</f>
        <v>0.6458333333</v>
      </c>
      <c r="K295" s="310">
        <f t="shared" si="4"/>
        <v>46115</v>
      </c>
      <c r="L295" s="317">
        <f t="array" ref="L295">(XLOOKUP(D295,Roster!F:F,Roster!D:D,"",0))</f>
        <v>1</v>
      </c>
      <c r="M295" s="317" t="str">
        <f t="array" ref="M295">XLOOKUP(D295,Roster!F:F,Roster!E:E)</f>
        <v>Tickets</v>
      </c>
      <c r="N295" s="317" t="str">
        <f t="shared" ref="N295:P295" si="304">LEFT(H295,5)</f>
        <v>09:00</v>
      </c>
      <c r="O295" s="317" t="str">
        <f t="shared" si="304"/>
        <v>12:00</v>
      </c>
      <c r="P295" s="317" t="str">
        <f t="shared" si="304"/>
        <v>15:30</v>
      </c>
      <c r="Q295" s="318">
        <f t="shared" si="240"/>
        <v>46115.375</v>
      </c>
      <c r="R295" s="318">
        <f t="shared" si="241"/>
        <v>46115.5</v>
      </c>
      <c r="S295" s="318">
        <f t="shared" si="8"/>
        <v>46115.64583</v>
      </c>
    </row>
    <row r="296">
      <c r="A296" s="14" t="str">
        <f t="shared" si="1"/>
        <v>C150446115</v>
      </c>
      <c r="B296" s="185">
        <f t="array" ref="B296">IF(F296="VL","",IF(F296="Free","Free",XLOOKUP(D296,Roster!T:T,Roster!S:S,"",0)))</f>
        <v>123</v>
      </c>
      <c r="C296" s="313">
        <v>46115.0</v>
      </c>
      <c r="D296" s="314" t="s">
        <v>155</v>
      </c>
      <c r="E296" s="307" t="str">
        <f t="array" ref="E296">(XLOOKUP(D296,Roster!F:F,Roster!B:B,"",0))</f>
        <v>Beatriz Montanez</v>
      </c>
      <c r="F296" s="315" t="str">
        <f t="array" ref="F296">IF(B296=100,"Free",TEXT(XLOOKUP($D296,OperationVoice!$A:$A,OperationVoice!I:I,XLOOKUP($D296,OperationTickets!$A:$A,OperationTickets!I:I,"",0)),"hh:mm"))</f>
        <v>08:00</v>
      </c>
      <c r="G296" s="309">
        <f t="shared" si="3"/>
        <v>0.7083333333</v>
      </c>
      <c r="H296" s="316" t="str">
        <f t="array" ref="H296">XLOOKUP(B296,Roster!L:L,Roster!N:N,XLOOKUP(D296,TicketsBreak!A:A,TicketsBreak!E:E,"",0),0)</f>
        <v>09:45 - 10:00 </v>
      </c>
      <c r="I296" s="316" t="str">
        <f t="array" ref="I296">XLOOKUP(B296,Roster!L:L,Roster!O:O,XLOOKUP(D296,TicketsBreak!A:A,TicketsBreak!F:F,"",0),0)</f>
        <v>12:30 - 13:00</v>
      </c>
      <c r="J296" s="316" t="str">
        <f t="array" ref="J296">XLOOKUP(B296,Roster!L:L,Roster!P:P,XLOOKUP(D296,TicketsBreak!A:A,TicketsBreak!G:G,"",0),0)</f>
        <v>15:00 - 15:15</v>
      </c>
      <c r="K296" s="310">
        <f t="shared" si="4"/>
        <v>46115</v>
      </c>
      <c r="L296" s="317">
        <f t="array" ref="L296">(XLOOKUP(D296,Roster!F:F,Roster!D:D,"",0))</f>
        <v>35</v>
      </c>
      <c r="M296" s="317" t="str">
        <f t="array" ref="M296">XLOOKUP(D296,Roster!F:F,Roster!E:E)</f>
        <v>Tickets</v>
      </c>
      <c r="N296" s="317" t="str">
        <f t="shared" ref="N296:P296" si="305">LEFT(H296,5)</f>
        <v>09:45</v>
      </c>
      <c r="O296" s="317" t="str">
        <f t="shared" si="305"/>
        <v>12:30</v>
      </c>
      <c r="P296" s="317" t="str">
        <f t="shared" si="305"/>
        <v>15:00</v>
      </c>
      <c r="Q296" s="318">
        <f t="shared" si="240"/>
        <v>46115.40625</v>
      </c>
      <c r="R296" s="318">
        <f t="shared" si="241"/>
        <v>46115.52083</v>
      </c>
      <c r="S296" s="318">
        <f t="shared" si="8"/>
        <v>46115.625</v>
      </c>
    </row>
    <row r="297">
      <c r="A297" s="14" t="str">
        <f t="shared" si="1"/>
        <v>C107746115</v>
      </c>
      <c r="B297" s="185">
        <f t="array" ref="B297">IF(F297="VL","",IF(F297="Free","Free",XLOOKUP(D297,Roster!T:T,Roster!S:S,"",0)))</f>
        <v>125</v>
      </c>
      <c r="C297" s="313">
        <v>46115.0</v>
      </c>
      <c r="D297" s="314" t="s">
        <v>17</v>
      </c>
      <c r="E297" s="307" t="str">
        <f t="array" ref="E297">(XLOOKUP(D297,Roster!F:F,Roster!B:B,"",0))</f>
        <v>Brahian Prado</v>
      </c>
      <c r="F297" s="315" t="str">
        <f t="array" ref="F297">IF(B297=100,"Free",TEXT(XLOOKUP($D297,OperationVoice!$A:$A,OperationVoice!I:I,XLOOKUP($D297,OperationTickets!$A:$A,OperationTickets!I:I,"",0)),"hh:mm"))</f>
        <v>08:00</v>
      </c>
      <c r="G297" s="309">
        <f t="shared" si="3"/>
        <v>0.7083333333</v>
      </c>
      <c r="H297" s="316" t="str">
        <f t="array" ref="H297">XLOOKUP(B297,Roster!L:L,Roster!N:N,XLOOKUP(D297,TicketsBreak!A:A,TicketsBreak!E:E,"",0),0)</f>
        <v>10:30 - 10:45</v>
      </c>
      <c r="I297" s="316" t="str">
        <f t="array" ref="I297">XLOOKUP(B297,Roster!L:L,Roster!O:O,XLOOKUP(D297,TicketsBreak!A:A,TicketsBreak!F:F,"",0),0)</f>
        <v>13:30 - 14:00</v>
      </c>
      <c r="J297" s="316" t="str">
        <f t="array" ref="J297">XLOOKUP(B297,Roster!L:L,Roster!P:P,XLOOKUP(D297,TicketsBreak!A:A,TicketsBreak!G:G,"",0),0)</f>
        <v>15:45 - 16:00</v>
      </c>
      <c r="K297" s="310">
        <f t="shared" si="4"/>
        <v>46115</v>
      </c>
      <c r="L297" s="317">
        <f t="array" ref="L297">(XLOOKUP(D297,Roster!F:F,Roster!D:D,"",0))</f>
        <v>18</v>
      </c>
      <c r="M297" s="317" t="str">
        <f t="array" ref="M297">XLOOKUP(D297,Roster!F:F,Roster!E:E)</f>
        <v>Voice</v>
      </c>
      <c r="N297" s="317" t="str">
        <f t="shared" ref="N297:P297" si="306">LEFT(H297,5)</f>
        <v>10:30</v>
      </c>
      <c r="O297" s="317" t="str">
        <f t="shared" si="306"/>
        <v>13:30</v>
      </c>
      <c r="P297" s="317" t="str">
        <f t="shared" si="306"/>
        <v>15:45</v>
      </c>
      <c r="Q297" s="318">
        <f t="shared" si="240"/>
        <v>46115.4375</v>
      </c>
      <c r="R297" s="318">
        <f t="shared" si="241"/>
        <v>46115.5625</v>
      </c>
      <c r="S297" s="318">
        <f t="shared" si="8"/>
        <v>46115.65625</v>
      </c>
    </row>
    <row r="298">
      <c r="A298" s="14" t="str">
        <f t="shared" si="1"/>
        <v>C116546115</v>
      </c>
      <c r="B298" s="185" t="str">
        <f t="array" ref="B298">IF(F298="VL","",IF(F298="Free","Free",XLOOKUP(D298,Roster!T:T,Roster!S:S,"",0)))</f>
        <v/>
      </c>
      <c r="C298" s="313">
        <v>46115.0</v>
      </c>
      <c r="D298" s="314" t="s">
        <v>139</v>
      </c>
      <c r="E298" s="307" t="str">
        <f t="array" ref="E298">(XLOOKUP(D298,Roster!F:F,Roster!B:B,"",0))</f>
        <v>Braian Restrepo</v>
      </c>
      <c r="F298" s="315" t="str">
        <f t="array" ref="F298">IF(B298=100,"Free",TEXT(XLOOKUP($D298,OperationVoice!$A:$A,OperationVoice!I:I,XLOOKUP($D298,OperationTickets!$A:$A,OperationTickets!I:I,"",0)),"hh:mm"))</f>
        <v>08:00</v>
      </c>
      <c r="G298" s="309">
        <f t="shared" si="3"/>
        <v>0.7083333333</v>
      </c>
      <c r="H298" s="316" t="str">
        <f t="array" ref="H298">XLOOKUP(B298,Roster!L:L,Roster!N:N,XLOOKUP(D298,TicketsBreak!A:A,TicketsBreak!E:E,"",0),0)</f>
        <v/>
      </c>
      <c r="I298" s="316" t="str">
        <f t="array" ref="I298">XLOOKUP(B298,Roster!L:L,Roster!O:O,XLOOKUP(D298,TicketsBreak!A:A,TicketsBreak!F:F,"",0),0)</f>
        <v/>
      </c>
      <c r="J298" s="316" t="str">
        <f t="array" ref="J298">XLOOKUP(B298,Roster!L:L,Roster!P:P,XLOOKUP(D298,TicketsBreak!A:A,TicketsBreak!G:G,"",0),0)</f>
        <v/>
      </c>
      <c r="K298" s="310">
        <f t="shared" si="4"/>
        <v>46115</v>
      </c>
      <c r="L298" s="317">
        <f t="array" ref="L298">(XLOOKUP(D298,Roster!F:F,Roster!D:D,"",0))</f>
        <v>24</v>
      </c>
      <c r="M298" s="317" t="str">
        <f t="array" ref="M298">XLOOKUP(D298,Roster!F:F,Roster!E:E)</f>
        <v>Tickets</v>
      </c>
      <c r="N298" s="317" t="str">
        <f t="shared" ref="N298:P298" si="307">LEFT(H298,5)</f>
        <v/>
      </c>
      <c r="O298" s="317" t="str">
        <f t="shared" si="307"/>
        <v/>
      </c>
      <c r="P298" s="317" t="str">
        <f t="shared" si="307"/>
        <v/>
      </c>
      <c r="Q298" s="318" t="str">
        <f t="shared" si="240"/>
        <v/>
      </c>
      <c r="R298" s="318" t="str">
        <f t="shared" si="241"/>
        <v/>
      </c>
      <c r="S298" s="318" t="str">
        <f t="shared" si="8"/>
        <v/>
      </c>
    </row>
    <row r="299">
      <c r="A299" s="14" t="str">
        <f t="shared" si="1"/>
        <v>C127446115</v>
      </c>
      <c r="B299" s="185">
        <f t="array" ref="B299">IF(F299="VL","",IF(F299="Free","Free",XLOOKUP(D299,Roster!T:T,Roster!S:S,"",0)))</f>
        <v>126</v>
      </c>
      <c r="C299" s="313">
        <v>46115.0</v>
      </c>
      <c r="D299" s="314" t="s">
        <v>250</v>
      </c>
      <c r="E299" s="307" t="str">
        <f t="array" ref="E299">(XLOOKUP(D299,Roster!F:F,Roster!B:B,"",0))</f>
        <v>Brayan Franco</v>
      </c>
      <c r="F299" s="315" t="str">
        <f t="array" ref="F299">IF(B299=100,"Free",TEXT(XLOOKUP($D299,OperationVoice!$A:$A,OperationVoice!I:I,XLOOKUP($D299,OperationTickets!$A:$A,OperationTickets!I:I,"",0)),"hh:mm"))</f>
        <v/>
      </c>
      <c r="G299" s="309" t="str">
        <f t="shared" si="3"/>
        <v/>
      </c>
      <c r="H299" s="316" t="str">
        <f t="array" ref="H299">XLOOKUP(B299,Roster!L:L,Roster!N:N,XLOOKUP(D299,TicketsBreak!A:A,TicketsBreak!E:E,"",0),0)</f>
        <v>10:45 - 11:00</v>
      </c>
      <c r="I299" s="316" t="str">
        <f t="array" ref="I299">XLOOKUP(B299,Roster!L:L,Roster!O:O,XLOOKUP(D299,TicketsBreak!A:A,TicketsBreak!F:F,"",0),0)</f>
        <v>14:00 - 14:30</v>
      </c>
      <c r="J299" s="316" t="str">
        <f t="array" ref="J299">XLOOKUP(B299,Roster!L:L,Roster!P:P,XLOOKUP(D299,TicketsBreak!A:A,TicketsBreak!G:G,"",0),0)</f>
        <v>15:45 - 16:00</v>
      </c>
      <c r="K299" s="310">
        <f t="shared" si="4"/>
        <v>46115</v>
      </c>
      <c r="L299" s="317">
        <f t="array" ref="L299">(XLOOKUP(D299,Roster!F:F,Roster!D:D,"",0))</f>
        <v>27</v>
      </c>
      <c r="M299" s="317" t="str">
        <f t="array" ref="M299">XLOOKUP(D299,Roster!F:F,Roster!E:E)</f>
        <v>Voice</v>
      </c>
      <c r="N299" s="317" t="str">
        <f t="shared" ref="N299:P299" si="308">LEFT(H299,5)</f>
        <v>10:45</v>
      </c>
      <c r="O299" s="317" t="str">
        <f t="shared" si="308"/>
        <v>14:00</v>
      </c>
      <c r="P299" s="317" t="str">
        <f t="shared" si="308"/>
        <v>15:45</v>
      </c>
      <c r="Q299" s="318">
        <f t="shared" si="240"/>
        <v>46115.44792</v>
      </c>
      <c r="R299" s="318">
        <f t="shared" si="241"/>
        <v>46115.58333</v>
      </c>
      <c r="S299" s="318">
        <f t="shared" si="8"/>
        <v>46115.65625</v>
      </c>
    </row>
    <row r="300">
      <c r="A300" s="14" t="str">
        <f t="shared" si="1"/>
        <v>C119146115</v>
      </c>
      <c r="B300" s="185">
        <f t="array" ref="B300">IF(F300="VL","",IF(F300="Free","Free",XLOOKUP(D300,Roster!T:T,Roster!S:S,"",0)))</f>
        <v>111</v>
      </c>
      <c r="C300" s="313">
        <v>46115.0</v>
      </c>
      <c r="D300" s="314" t="s">
        <v>18</v>
      </c>
      <c r="E300" s="307" t="str">
        <f t="array" ref="E300">(XLOOKUP(D300,Roster!F:F,Roster!B:B,"",0))</f>
        <v>Brayan Montoya</v>
      </c>
      <c r="F300" s="315" t="str">
        <f t="array" ref="F300">IF(B300=100,"Free",TEXT(XLOOKUP($D300,OperationVoice!$A:$A,OperationVoice!I:I,XLOOKUP($D300,OperationTickets!$A:$A,OperationTickets!I:I,"",0)),"hh:mm"))</f>
        <v>07:00</v>
      </c>
      <c r="G300" s="309">
        <f t="shared" si="3"/>
        <v>0.6666666667</v>
      </c>
      <c r="H300" s="316" t="str">
        <f t="array" ref="H300">XLOOKUP(B300,Roster!L:L,Roster!N:N,XLOOKUP(D300,TicketsBreak!A:A,TicketsBreak!E:E,"",0),0)</f>
        <v>09:00 - 09:15</v>
      </c>
      <c r="I300" s="316" t="str">
        <f t="array" ref="I300">XLOOKUP(B300,Roster!L:L,Roster!O:O,XLOOKUP(D300,TicketsBreak!A:A,TicketsBreak!F:F,"",0),0)</f>
        <v>11:45 - 12:15</v>
      </c>
      <c r="J300" s="316" t="str">
        <f t="array" ref="J300">XLOOKUP(B300,Roster!L:L,Roster!P:P,XLOOKUP(D300,TicketsBreak!A:A,TicketsBreak!G:G,"",0),0)</f>
        <v>14:30 - 14:45</v>
      </c>
      <c r="K300" s="310">
        <f t="shared" si="4"/>
        <v>46115</v>
      </c>
      <c r="L300" s="317">
        <f t="array" ref="L300">(XLOOKUP(D300,Roster!F:F,Roster!D:D,"",0))</f>
        <v>25</v>
      </c>
      <c r="M300" s="317" t="str">
        <f t="array" ref="M300">XLOOKUP(D300,Roster!F:F,Roster!E:E)</f>
        <v>Voice</v>
      </c>
      <c r="N300" s="317" t="str">
        <f t="shared" ref="N300:P300" si="309">LEFT(H300,5)</f>
        <v>09:00</v>
      </c>
      <c r="O300" s="317" t="str">
        <f t="shared" si="309"/>
        <v>11:45</v>
      </c>
      <c r="P300" s="317" t="str">
        <f t="shared" si="309"/>
        <v>14:30</v>
      </c>
      <c r="Q300" s="318">
        <f t="shared" si="240"/>
        <v>46115.375</v>
      </c>
      <c r="R300" s="318">
        <f t="shared" si="241"/>
        <v>46115.48958</v>
      </c>
      <c r="S300" s="318">
        <f t="shared" si="8"/>
        <v>46115.60417</v>
      </c>
    </row>
    <row r="301">
      <c r="A301" s="14" t="str">
        <f t="shared" si="1"/>
        <v>C152646115</v>
      </c>
      <c r="B301" s="185">
        <f t="array" ref="B301">IF(F301="VL","",IF(F301="Free","Free",XLOOKUP(D301,Roster!T:T,Roster!S:S,"",0)))</f>
        <v>121</v>
      </c>
      <c r="C301" s="313">
        <v>46115.0</v>
      </c>
      <c r="D301" s="314" t="s">
        <v>19</v>
      </c>
      <c r="E301" s="307" t="str">
        <f t="array" ref="E301">(XLOOKUP(D301,Roster!F:F,Roster!B:B,"",0))</f>
        <v>Breitner Benitez</v>
      </c>
      <c r="F301" s="315" t="str">
        <f t="array" ref="F301">IF(B301=100,"Free",TEXT(XLOOKUP($D301,OperationVoice!$A:$A,OperationVoice!I:I,XLOOKUP($D301,OperationTickets!$A:$A,OperationTickets!I:I,"",0)),"hh:mm"))</f>
        <v>08:00</v>
      </c>
      <c r="G301" s="309">
        <f t="shared" si="3"/>
        <v>0.7083333333</v>
      </c>
      <c r="H301" s="316" t="str">
        <f t="array" ref="H301">XLOOKUP(B301,Roster!L:L,Roster!N:N,XLOOKUP(D301,TicketsBreak!A:A,TicketsBreak!E:E,"",0),0)</f>
        <v>09:15 - 09:30</v>
      </c>
      <c r="I301" s="316" t="str">
        <f t="array" ref="I301">XLOOKUP(B301,Roster!L:L,Roster!O:O,XLOOKUP(D301,TicketsBreak!A:A,TicketsBreak!F:F,"",0),0)</f>
        <v>11:30 - 12:00</v>
      </c>
      <c r="J301" s="316" t="str">
        <f t="array" ref="J301">XLOOKUP(B301,Roster!L:L,Roster!P:P,XLOOKUP(D301,TicketsBreak!A:A,TicketsBreak!G:G,"",0),0)</f>
        <v>14:30 - 14:45</v>
      </c>
      <c r="K301" s="310">
        <f t="shared" si="4"/>
        <v>46115</v>
      </c>
      <c r="L301" s="317">
        <f t="array" ref="L301">(XLOOKUP(D301,Roster!F:F,Roster!D:D,"",0))</f>
        <v>13</v>
      </c>
      <c r="M301" s="317" t="str">
        <f t="array" ref="M301">XLOOKUP(D301,Roster!F:F,Roster!E:E)</f>
        <v>Voice</v>
      </c>
      <c r="N301" s="317" t="str">
        <f t="shared" ref="N301:P301" si="310">LEFT(H301,5)</f>
        <v>09:15</v>
      </c>
      <c r="O301" s="317" t="str">
        <f t="shared" si="310"/>
        <v>11:30</v>
      </c>
      <c r="P301" s="317" t="str">
        <f t="shared" si="310"/>
        <v>14:30</v>
      </c>
      <c r="Q301" s="318">
        <f t="shared" si="240"/>
        <v>46115.38542</v>
      </c>
      <c r="R301" s="318">
        <f t="shared" si="241"/>
        <v>46115.47917</v>
      </c>
      <c r="S301" s="318">
        <f t="shared" si="8"/>
        <v>46115.60417</v>
      </c>
    </row>
    <row r="302">
      <c r="A302" s="14" t="str">
        <f t="shared" si="1"/>
        <v>C153546115</v>
      </c>
      <c r="B302" s="185">
        <f t="array" ref="B302">IF(F302="VL","",IF(F302="Free","Free",XLOOKUP(D302,Roster!T:T,Roster!S:S,"",0)))</f>
        <v>154</v>
      </c>
      <c r="C302" s="313">
        <v>46115.0</v>
      </c>
      <c r="D302" s="314" t="s">
        <v>20</v>
      </c>
      <c r="E302" s="307" t="str">
        <f t="array" ref="E302">(XLOOKUP(D302,Roster!F:F,Roster!B:B,"",0))</f>
        <v>Carlos Alzate</v>
      </c>
      <c r="F302" s="315" t="str">
        <f t="array" ref="F302">IF(B302=100,"Free",TEXT(XLOOKUP($D302,OperationVoice!$A:$A,OperationVoice!I:I,XLOOKUP($D302,OperationTickets!$A:$A,OperationTickets!I:I,"",0)),"hh:mm"))</f>
        <v>11:00</v>
      </c>
      <c r="G302" s="309">
        <f t="shared" si="3"/>
        <v>0.8333333333</v>
      </c>
      <c r="H302" s="316" t="str">
        <f t="array" ref="H302">XLOOKUP(B302,Roster!L:L,Roster!N:N,XLOOKUP(D302,TicketsBreak!A:A,TicketsBreak!E:E,"",0),0)</f>
        <v>13:00 - 13:15</v>
      </c>
      <c r="I302" s="316" t="str">
        <f t="array" ref="I302">XLOOKUP(B302,Roster!L:L,Roster!O:O,XLOOKUP(D302,TicketsBreak!A:A,TicketsBreak!F:F,"",0),0)</f>
        <v>15:15 - 15:45</v>
      </c>
      <c r="J302" s="316" t="str">
        <f t="array" ref="J302">XLOOKUP(B302,Roster!L:L,Roster!P:P,XLOOKUP(D302,TicketsBreak!A:A,TicketsBreak!G:G,"",0),0)</f>
        <v>18:00 - 18:15</v>
      </c>
      <c r="K302" s="310">
        <f t="shared" si="4"/>
        <v>46115</v>
      </c>
      <c r="L302" s="317">
        <f t="array" ref="L302">(XLOOKUP(D302,Roster!F:F,Roster!D:D,"",0))</f>
        <v>36</v>
      </c>
      <c r="M302" s="317" t="str">
        <f t="array" ref="M302">XLOOKUP(D302,Roster!F:F,Roster!E:E)</f>
        <v>Voice</v>
      </c>
      <c r="N302" s="317" t="str">
        <f t="shared" ref="N302:P302" si="311">LEFT(H302,5)</f>
        <v>13:00</v>
      </c>
      <c r="O302" s="317" t="str">
        <f t="shared" si="311"/>
        <v>15:15</v>
      </c>
      <c r="P302" s="317" t="str">
        <f t="shared" si="311"/>
        <v>18:00</v>
      </c>
      <c r="Q302" s="318">
        <f t="shared" si="240"/>
        <v>46115.54167</v>
      </c>
      <c r="R302" s="318">
        <f t="shared" si="241"/>
        <v>46115.63542</v>
      </c>
      <c r="S302" s="318">
        <f t="shared" si="8"/>
        <v>46115.75</v>
      </c>
    </row>
    <row r="303">
      <c r="A303" s="14" t="str">
        <f t="shared" si="1"/>
        <v>C153146115</v>
      </c>
      <c r="B303" s="185">
        <f t="array" ref="B303">IF(F303="VL","",IF(F303="Free","Free",XLOOKUP(D303,Roster!T:T,Roster!S:S,"",0)))</f>
        <v>123</v>
      </c>
      <c r="C303" s="313">
        <v>46115.0</v>
      </c>
      <c r="D303" s="314" t="s">
        <v>21</v>
      </c>
      <c r="E303" s="307" t="str">
        <f t="array" ref="E303">(XLOOKUP(D303,Roster!F:F,Roster!B:B,"",0))</f>
        <v>Carlos Palma</v>
      </c>
      <c r="F303" s="315" t="str">
        <f t="array" ref="F303">IF(B303=100,"Free",TEXT(XLOOKUP($D303,OperationVoice!$A:$A,OperationVoice!I:I,XLOOKUP($D303,OperationTickets!$A:$A,OperationTickets!I:I,"",0)),"hh:mm"))</f>
        <v>08:00</v>
      </c>
      <c r="G303" s="309">
        <f t="shared" si="3"/>
        <v>0.7083333333</v>
      </c>
      <c r="H303" s="316" t="str">
        <f t="array" ref="H303">XLOOKUP(B303,Roster!L:L,Roster!N:N,XLOOKUP(D303,TicketsBreak!A:A,TicketsBreak!E:E,"",0),0)</f>
        <v>09:45 - 10:00 </v>
      </c>
      <c r="I303" s="316" t="str">
        <f t="array" ref="I303">XLOOKUP(B303,Roster!L:L,Roster!O:O,XLOOKUP(D303,TicketsBreak!A:A,TicketsBreak!F:F,"",0),0)</f>
        <v>12:30 - 13:00</v>
      </c>
      <c r="J303" s="316" t="str">
        <f t="array" ref="J303">XLOOKUP(B303,Roster!L:L,Roster!P:P,XLOOKUP(D303,TicketsBreak!A:A,TicketsBreak!G:G,"",0),0)</f>
        <v>15:00 - 15:15</v>
      </c>
      <c r="K303" s="310">
        <f t="shared" si="4"/>
        <v>46115</v>
      </c>
      <c r="L303" s="317">
        <f t="array" ref="L303">(XLOOKUP(D303,Roster!F:F,Roster!D:D,"",0))</f>
        <v>36</v>
      </c>
      <c r="M303" s="317" t="str">
        <f t="array" ref="M303">XLOOKUP(D303,Roster!F:F,Roster!E:E)</f>
        <v>Voice</v>
      </c>
      <c r="N303" s="317" t="str">
        <f t="shared" ref="N303:P303" si="312">LEFT(H303,5)</f>
        <v>09:45</v>
      </c>
      <c r="O303" s="317" t="str">
        <f t="shared" si="312"/>
        <v>12:30</v>
      </c>
      <c r="P303" s="317" t="str">
        <f t="shared" si="312"/>
        <v>15:00</v>
      </c>
      <c r="Q303" s="318">
        <f t="shared" si="240"/>
        <v>46115.40625</v>
      </c>
      <c r="R303" s="318">
        <f t="shared" si="241"/>
        <v>46115.52083</v>
      </c>
      <c r="S303" s="318">
        <f t="shared" si="8"/>
        <v>46115.625</v>
      </c>
    </row>
    <row r="304">
      <c r="A304" s="14" t="str">
        <f t="shared" si="1"/>
        <v>C157646115</v>
      </c>
      <c r="B304" s="185" t="str">
        <f t="array" ref="B304">IF(F304="VL","",IF(F304="Free","Free",XLOOKUP(D304,Roster!T:T,Roster!S:S,"",0)))</f>
        <v/>
      </c>
      <c r="C304" s="313">
        <v>46115.0</v>
      </c>
      <c r="D304" s="314" t="s">
        <v>313</v>
      </c>
      <c r="E304" s="307" t="str">
        <f t="array" ref="E304">(XLOOKUP(D304,Roster!F:F,Roster!B:B,"",0))</f>
        <v>Carlos Ruiz</v>
      </c>
      <c r="F304" s="315" t="str">
        <f t="array" ref="F304">IF(B304=100,"Free",TEXT(XLOOKUP($D304,OperationVoice!$A:$A,OperationVoice!I:I,XLOOKUP($D304,OperationTickets!$A:$A,OperationTickets!I:I,"",0)),"hh:mm"))</f>
        <v/>
      </c>
      <c r="G304" s="309" t="str">
        <f t="shared" si="3"/>
        <v/>
      </c>
      <c r="H304" s="316" t="str">
        <f t="array" ref="H304">XLOOKUP(B304,Roster!L:L,Roster!N:N,XLOOKUP(D304,TicketsBreak!A:A,TicketsBreak!E:E,"",0),0)</f>
        <v/>
      </c>
      <c r="I304" s="316" t="str">
        <f t="array" ref="I304">XLOOKUP(B304,Roster!L:L,Roster!O:O,XLOOKUP(D304,TicketsBreak!A:A,TicketsBreak!F:F,"",0),0)</f>
        <v/>
      </c>
      <c r="J304" s="316" t="str">
        <f t="array" ref="J304">XLOOKUP(B304,Roster!L:L,Roster!P:P,XLOOKUP(D304,TicketsBreak!A:A,TicketsBreak!G:G,"",0),0)</f>
        <v/>
      </c>
      <c r="K304" s="310">
        <f t="shared" si="4"/>
        <v>46115</v>
      </c>
      <c r="L304" s="317">
        <f t="array" ref="L304">(XLOOKUP(D304,Roster!F:F,Roster!D:D,"",0))</f>
        <v>38</v>
      </c>
      <c r="M304" s="317" t="str">
        <f t="array" ref="M304">XLOOKUP(D304,Roster!F:F,Roster!E:E)</f>
        <v>Nesting</v>
      </c>
      <c r="N304" s="317" t="str">
        <f t="shared" ref="N304:P304" si="313">LEFT(H304,5)</f>
        <v/>
      </c>
      <c r="O304" s="317" t="str">
        <f t="shared" si="313"/>
        <v/>
      </c>
      <c r="P304" s="317" t="str">
        <f t="shared" si="313"/>
        <v/>
      </c>
      <c r="Q304" s="318" t="str">
        <f t="shared" si="240"/>
        <v/>
      </c>
      <c r="R304" s="318" t="str">
        <f t="shared" si="241"/>
        <v/>
      </c>
      <c r="S304" s="318" t="str">
        <f t="shared" si="8"/>
        <v/>
      </c>
    </row>
    <row r="305">
      <c r="A305" s="14" t="str">
        <f t="shared" si="1"/>
        <v>C47946115</v>
      </c>
      <c r="B305" s="185" t="str">
        <f t="array" ref="B305">IF(F305="VL","",IF(F305="Free","Free",XLOOKUP(D305,Roster!T:T,Roster!S:S,"",0)))</f>
        <v/>
      </c>
      <c r="C305" s="313">
        <v>46115.0</v>
      </c>
      <c r="D305" s="314" t="s">
        <v>173</v>
      </c>
      <c r="E305" s="307" t="str">
        <f t="array" ref="E305">(XLOOKUP(D305,Roster!F:F,Roster!B:B,"",0))</f>
        <v>Carmen Grajales</v>
      </c>
      <c r="F305" s="315" t="str">
        <f t="array" ref="F305">IF(B305=100,"Free",TEXT(XLOOKUP($D305,OperationVoice!$A:$A,OperationVoice!I:I,XLOOKUP($D305,OperationTickets!$A:$A,OperationTickets!I:I,"",0)),"hh:mm"))</f>
        <v>08:00</v>
      </c>
      <c r="G305" s="309">
        <f t="shared" si="3"/>
        <v>0.7083333333</v>
      </c>
      <c r="H305" s="316">
        <f t="array" ref="H305">XLOOKUP(B305,Roster!L:L,Roster!N:N,XLOOKUP(D305,TicketsBreak!A:A,TicketsBreak!E:E,"",0),0)</f>
        <v>0.4270833333</v>
      </c>
      <c r="I305" s="316">
        <f t="array" ref="I305">XLOOKUP(B305,Roster!L:L,Roster!O:O,XLOOKUP(D305,TicketsBreak!A:A,TicketsBreak!F:F,"",0),0)</f>
        <v>0.53125</v>
      </c>
      <c r="J305" s="316">
        <f t="array" ref="J305">XLOOKUP(B305,Roster!L:L,Roster!P:P,XLOOKUP(D305,TicketsBreak!A:A,TicketsBreak!G:G,"",0),0)</f>
        <v>0.65625</v>
      </c>
      <c r="K305" s="310">
        <f t="shared" si="4"/>
        <v>46115</v>
      </c>
      <c r="L305" s="317">
        <f t="array" ref="L305">(XLOOKUP(D305,Roster!F:F,Roster!D:D,"",0))</f>
        <v>2</v>
      </c>
      <c r="M305" s="317" t="str">
        <f t="array" ref="M305">XLOOKUP(D305,Roster!F:F,Roster!E:E)</f>
        <v>Tickets</v>
      </c>
      <c r="N305" s="317" t="str">
        <f t="shared" ref="N305:P305" si="314">LEFT(H305,5)</f>
        <v>10:15</v>
      </c>
      <c r="O305" s="317" t="str">
        <f t="shared" si="314"/>
        <v>12:45</v>
      </c>
      <c r="P305" s="317" t="str">
        <f t="shared" si="314"/>
        <v>15:45</v>
      </c>
      <c r="Q305" s="318">
        <f t="shared" si="240"/>
        <v>46115.42708</v>
      </c>
      <c r="R305" s="318">
        <f t="shared" si="241"/>
        <v>46115.53125</v>
      </c>
      <c r="S305" s="318">
        <f t="shared" si="8"/>
        <v>46115.65625</v>
      </c>
    </row>
    <row r="306">
      <c r="A306" s="14" t="str">
        <f t="shared" si="1"/>
        <v>C68746115</v>
      </c>
      <c r="B306" s="185">
        <f t="array" ref="B306">IF(F306="VL","",IF(F306="Free","Free",XLOOKUP(D306,Roster!T:T,Roster!S:S,"",0)))</f>
        <v>122</v>
      </c>
      <c r="C306" s="313">
        <v>46115.0</v>
      </c>
      <c r="D306" s="314" t="s">
        <v>22</v>
      </c>
      <c r="E306" s="307" t="str">
        <f t="array" ref="E306">(XLOOKUP(D306,Roster!F:F,Roster!B:B,"",0))</f>
        <v>Carolina Rios</v>
      </c>
      <c r="F306" s="315" t="str">
        <f t="array" ref="F306">IF(B306=100,"Free",TEXT(XLOOKUP($D306,OperationVoice!$A:$A,OperationVoice!I:I,XLOOKUP($D306,OperationTickets!$A:$A,OperationTickets!I:I,"",0)),"hh:mm"))</f>
        <v>08:00</v>
      </c>
      <c r="G306" s="309">
        <f t="shared" si="3"/>
        <v>0.7083333333</v>
      </c>
      <c r="H306" s="316" t="str">
        <f t="array" ref="H306">XLOOKUP(B306,Roster!L:L,Roster!N:N,XLOOKUP(D306,TicketsBreak!A:A,TicketsBreak!E:E,"",0),0)</f>
        <v>09:30 - 09:45</v>
      </c>
      <c r="I306" s="316" t="str">
        <f t="array" ref="I306">XLOOKUP(B306,Roster!L:L,Roster!O:O,XLOOKUP(D306,TicketsBreak!A:A,TicketsBreak!F:F,"",0),0)</f>
        <v>12:00 - 12:30</v>
      </c>
      <c r="J306" s="316" t="str">
        <f t="array" ref="J306">XLOOKUP(B306,Roster!L:L,Roster!P:P,XLOOKUP(D306,TicketsBreak!A:A,TicketsBreak!G:G,"",0),0)</f>
        <v>14:45 - 15:00</v>
      </c>
      <c r="K306" s="310">
        <f t="shared" si="4"/>
        <v>46115</v>
      </c>
      <c r="L306" s="317">
        <f t="array" ref="L306">(XLOOKUP(D306,Roster!F:F,Roster!D:D,"",0))</f>
        <v>5</v>
      </c>
      <c r="M306" s="317" t="str">
        <f t="array" ref="M306">XLOOKUP(D306,Roster!F:F,Roster!E:E)</f>
        <v>Voice</v>
      </c>
      <c r="N306" s="317" t="str">
        <f t="shared" ref="N306:P306" si="315">LEFT(H306,5)</f>
        <v>09:30</v>
      </c>
      <c r="O306" s="317" t="str">
        <f t="shared" si="315"/>
        <v>12:00</v>
      </c>
      <c r="P306" s="317" t="str">
        <f t="shared" si="315"/>
        <v>14:45</v>
      </c>
      <c r="Q306" s="318">
        <f t="shared" si="240"/>
        <v>46115.39583</v>
      </c>
      <c r="R306" s="318">
        <f t="shared" si="241"/>
        <v>46115.5</v>
      </c>
      <c r="S306" s="318">
        <f t="shared" si="8"/>
        <v>46115.61458</v>
      </c>
    </row>
    <row r="307">
      <c r="A307" s="14" t="str">
        <f t="shared" si="1"/>
        <v>C152846115</v>
      </c>
      <c r="B307" s="185">
        <f t="array" ref="B307">IF(F307="VL","",IF(F307="Free","Free",XLOOKUP(D307,Roster!T:T,Roster!S:S,"",0)))</f>
        <v>132</v>
      </c>
      <c r="C307" s="313">
        <v>46115.0</v>
      </c>
      <c r="D307" s="314" t="s">
        <v>23</v>
      </c>
      <c r="E307" s="307" t="str">
        <f t="array" ref="E307">(XLOOKUP(D307,Roster!F:F,Roster!B:B,"",0))</f>
        <v>Christian Ramirez</v>
      </c>
      <c r="F307" s="315" t="str">
        <f t="array" ref="F307">IF(B307=100,"Free",TEXT(XLOOKUP($D307,OperationVoice!$A:$A,OperationVoice!I:I,XLOOKUP($D307,OperationTickets!$A:$A,OperationTickets!I:I,"",0)),"hh:mm"))</f>
        <v>08:00</v>
      </c>
      <c r="G307" s="309">
        <f t="shared" si="3"/>
        <v>0.7083333333</v>
      </c>
      <c r="H307" s="316" t="str">
        <f t="array" ref="H307">XLOOKUP(B307,Roster!L:L,Roster!N:N,XLOOKUP(D307,TicketsBreak!A:A,TicketsBreak!E:E,"",0),0)</f>
        <v>10:30 - 10:45</v>
      </c>
      <c r="I307" s="316" t="str">
        <f t="array" ref="I307">XLOOKUP(B307,Roster!L:L,Roster!O:O,XLOOKUP(D307,TicketsBreak!A:A,TicketsBreak!F:F,"",0),0)</f>
        <v>13:00 - 13:30</v>
      </c>
      <c r="J307" s="316" t="str">
        <f t="array" ref="J307">XLOOKUP(B307,Roster!L:L,Roster!P:P,XLOOKUP(D307,TicketsBreak!A:A,TicketsBreak!G:G,"",0),0)</f>
        <v>15:30 - 15:45</v>
      </c>
      <c r="K307" s="310">
        <f t="shared" si="4"/>
        <v>46115</v>
      </c>
      <c r="L307" s="317">
        <f t="array" ref="L307">(XLOOKUP(D307,Roster!F:F,Roster!D:D,"",0))</f>
        <v>36</v>
      </c>
      <c r="M307" s="317" t="str">
        <f t="array" ref="M307">XLOOKUP(D307,Roster!F:F,Roster!E:E)</f>
        <v>Voice</v>
      </c>
      <c r="N307" s="317" t="str">
        <f t="shared" ref="N307:P307" si="316">LEFT(H307,5)</f>
        <v>10:30</v>
      </c>
      <c r="O307" s="317" t="str">
        <f t="shared" si="316"/>
        <v>13:00</v>
      </c>
      <c r="P307" s="317" t="str">
        <f t="shared" si="316"/>
        <v>15:30</v>
      </c>
      <c r="Q307" s="318">
        <f t="shared" si="240"/>
        <v>46115.4375</v>
      </c>
      <c r="R307" s="318">
        <f t="shared" si="241"/>
        <v>46115.54167</v>
      </c>
      <c r="S307" s="318">
        <f t="shared" si="8"/>
        <v>46115.64583</v>
      </c>
    </row>
    <row r="308">
      <c r="A308" s="14" t="str">
        <f t="shared" si="1"/>
        <v>C132546115</v>
      </c>
      <c r="B308" s="185">
        <f t="array" ref="B308">IF(F308="VL","",IF(F308="Free","Free",XLOOKUP(D308,Roster!T:T,Roster!S:S,"",0)))</f>
        <v>123</v>
      </c>
      <c r="C308" s="313">
        <v>46115.0</v>
      </c>
      <c r="D308" s="314" t="s">
        <v>174</v>
      </c>
      <c r="E308" s="307" t="str">
        <f t="array" ref="E308">(XLOOKUP(D308,Roster!F:F,Roster!B:B,"",0))</f>
        <v>Cristian Ferreira</v>
      </c>
      <c r="F308" s="315" t="str">
        <f t="array" ref="F308">IF(B308=100,"Free",TEXT(XLOOKUP($D308,OperationVoice!$A:$A,OperationVoice!I:I,XLOOKUP($D308,OperationTickets!$A:$A,OperationTickets!I:I,"",0)),"hh:mm"))</f>
        <v>08:00</v>
      </c>
      <c r="G308" s="309">
        <f t="shared" si="3"/>
        <v>0.7083333333</v>
      </c>
      <c r="H308" s="316" t="str">
        <f t="array" ref="H308">XLOOKUP(B308,Roster!L:L,Roster!N:N,XLOOKUP(D308,TicketsBreak!A:A,TicketsBreak!E:E,"",0),0)</f>
        <v>09:45 - 10:00 </v>
      </c>
      <c r="I308" s="316" t="str">
        <f t="array" ref="I308">XLOOKUP(B308,Roster!L:L,Roster!O:O,XLOOKUP(D308,TicketsBreak!A:A,TicketsBreak!F:F,"",0),0)</f>
        <v>12:30 - 13:00</v>
      </c>
      <c r="J308" s="316" t="str">
        <f t="array" ref="J308">XLOOKUP(B308,Roster!L:L,Roster!P:P,XLOOKUP(D308,TicketsBreak!A:A,TicketsBreak!G:G,"",0),0)</f>
        <v>15:00 - 15:15</v>
      </c>
      <c r="K308" s="310">
        <f t="shared" si="4"/>
        <v>46115</v>
      </c>
      <c r="L308" s="317">
        <f t="array" ref="L308">(XLOOKUP(D308,Roster!F:F,Roster!D:D,"",0))</f>
        <v>29</v>
      </c>
      <c r="M308" s="317" t="str">
        <f t="array" ref="M308">XLOOKUP(D308,Roster!F:F,Roster!E:E)</f>
        <v>Tickets</v>
      </c>
      <c r="N308" s="317" t="str">
        <f t="shared" ref="N308:P308" si="317">LEFT(H308,5)</f>
        <v>09:45</v>
      </c>
      <c r="O308" s="317" t="str">
        <f t="shared" si="317"/>
        <v>12:30</v>
      </c>
      <c r="P308" s="317" t="str">
        <f t="shared" si="317"/>
        <v>15:00</v>
      </c>
      <c r="Q308" s="318">
        <f t="shared" si="240"/>
        <v>46115.40625</v>
      </c>
      <c r="R308" s="318">
        <f t="shared" si="241"/>
        <v>46115.52083</v>
      </c>
      <c r="S308" s="318">
        <f t="shared" si="8"/>
        <v>46115.625</v>
      </c>
    </row>
    <row r="309">
      <c r="A309" s="14" t="str">
        <f t="shared" si="1"/>
        <v>C151046115</v>
      </c>
      <c r="B309" s="185">
        <f t="array" ref="B309">IF(F309="VL","",IF(F309="Free","Free",XLOOKUP(D309,Roster!T:T,Roster!S:S,"",0)))</f>
        <v>121</v>
      </c>
      <c r="C309" s="313">
        <v>46115.0</v>
      </c>
      <c r="D309" s="314" t="s">
        <v>24</v>
      </c>
      <c r="E309" s="307" t="str">
        <f t="array" ref="E309">(XLOOKUP(D309,Roster!F:F,Roster!B:B,"",0))</f>
        <v>Cristian Gomez</v>
      </c>
      <c r="F309" s="315" t="str">
        <f t="array" ref="F309">IF(B309=100,"Free",TEXT(XLOOKUP($D309,OperationVoice!$A:$A,OperationVoice!I:I,XLOOKUP($D309,OperationTickets!$A:$A,OperationTickets!I:I,"",0)),"hh:mm"))</f>
        <v>08:00</v>
      </c>
      <c r="G309" s="309">
        <f t="shared" si="3"/>
        <v>0.7083333333</v>
      </c>
      <c r="H309" s="316" t="str">
        <f t="array" ref="H309">XLOOKUP(B309,Roster!L:L,Roster!N:N,XLOOKUP(D309,TicketsBreak!A:A,TicketsBreak!E:E,"",0),0)</f>
        <v>09:15 - 09:30</v>
      </c>
      <c r="I309" s="316" t="str">
        <f t="array" ref="I309">XLOOKUP(B309,Roster!L:L,Roster!O:O,XLOOKUP(D309,TicketsBreak!A:A,TicketsBreak!F:F,"",0),0)</f>
        <v>11:30 - 12:00</v>
      </c>
      <c r="J309" s="316" t="str">
        <f t="array" ref="J309">XLOOKUP(B309,Roster!L:L,Roster!P:P,XLOOKUP(D309,TicketsBreak!A:A,TicketsBreak!G:G,"",0),0)</f>
        <v>14:30 - 14:45</v>
      </c>
      <c r="K309" s="310">
        <f t="shared" si="4"/>
        <v>46115</v>
      </c>
      <c r="L309" s="317">
        <f t="array" ref="L309">(XLOOKUP(D309,Roster!F:F,Roster!D:D,"",0))</f>
        <v>35</v>
      </c>
      <c r="M309" s="317" t="str">
        <f t="array" ref="M309">XLOOKUP(D309,Roster!F:F,Roster!E:E)</f>
        <v>Voice</v>
      </c>
      <c r="N309" s="317" t="str">
        <f t="shared" ref="N309:P309" si="318">LEFT(H309,5)</f>
        <v>09:15</v>
      </c>
      <c r="O309" s="317" t="str">
        <f t="shared" si="318"/>
        <v>11:30</v>
      </c>
      <c r="P309" s="317" t="str">
        <f t="shared" si="318"/>
        <v>14:30</v>
      </c>
      <c r="Q309" s="318">
        <f t="shared" si="240"/>
        <v>46115.38542</v>
      </c>
      <c r="R309" s="318">
        <f t="shared" si="241"/>
        <v>46115.47917</v>
      </c>
      <c r="S309" s="318">
        <f t="shared" si="8"/>
        <v>46115.60417</v>
      </c>
    </row>
    <row r="310">
      <c r="A310" s="14" t="str">
        <f t="shared" si="1"/>
        <v>C67346115</v>
      </c>
      <c r="B310" s="185" t="str">
        <f t="array" ref="B310">IF(F310="VL","",IF(F310="Free","Free",XLOOKUP(D310,Roster!T:T,Roster!S:S,"",0)))</f>
        <v/>
      </c>
      <c r="C310" s="313">
        <v>46115.0</v>
      </c>
      <c r="D310" s="314" t="s">
        <v>156</v>
      </c>
      <c r="E310" s="307" t="str">
        <f t="array" ref="E310">(XLOOKUP(D310,Roster!F:F,Roster!B:B,"",0))</f>
        <v>Dahiana Cano</v>
      </c>
      <c r="F310" s="315" t="str">
        <f t="array" ref="F310">IF(B310=100,"Free",TEXT(XLOOKUP($D310,OperationVoice!$A:$A,OperationVoice!I:I,XLOOKUP($D310,OperationTickets!$A:$A,OperationTickets!I:I,"",0)),"hh:mm"))</f>
        <v>08:00</v>
      </c>
      <c r="G310" s="309">
        <f t="shared" si="3"/>
        <v>0.7083333333</v>
      </c>
      <c r="H310" s="316">
        <f t="array" ref="H310">XLOOKUP(B310,Roster!L:L,Roster!N:N,XLOOKUP(D310,TicketsBreak!A:A,TicketsBreak!E:E,"",0),0)</f>
        <v>0.4583333333</v>
      </c>
      <c r="I310" s="316">
        <f t="array" ref="I310">XLOOKUP(B310,Roster!L:L,Roster!O:O,XLOOKUP(D310,TicketsBreak!A:A,TicketsBreak!F:F,"",0),0)</f>
        <v>0.5833333333</v>
      </c>
      <c r="J310" s="316">
        <f t="array" ref="J310">XLOOKUP(B310,Roster!L:L,Roster!P:P,XLOOKUP(D310,TicketsBreak!A:A,TicketsBreak!G:G,"",0),0)</f>
        <v>0.65625</v>
      </c>
      <c r="K310" s="310">
        <f t="shared" si="4"/>
        <v>46115</v>
      </c>
      <c r="L310" s="317">
        <f t="array" ref="L310">(XLOOKUP(D310,Roster!F:F,Roster!D:D,"",0))</f>
        <v>4</v>
      </c>
      <c r="M310" s="317" t="str">
        <f t="array" ref="M310">XLOOKUP(D310,Roster!F:F,Roster!E:E)</f>
        <v>Tickets</v>
      </c>
      <c r="N310" s="317" t="str">
        <f t="shared" ref="N310:P310" si="319">LEFT(H310,5)</f>
        <v>11:00</v>
      </c>
      <c r="O310" s="317" t="str">
        <f t="shared" si="319"/>
        <v>14:00</v>
      </c>
      <c r="P310" s="317" t="str">
        <f t="shared" si="319"/>
        <v>15:45</v>
      </c>
      <c r="Q310" s="318">
        <f t="shared" si="240"/>
        <v>46115.45833</v>
      </c>
      <c r="R310" s="318">
        <f t="shared" si="241"/>
        <v>46115.58333</v>
      </c>
      <c r="S310" s="318">
        <f t="shared" si="8"/>
        <v>46115.65625</v>
      </c>
    </row>
    <row r="311">
      <c r="A311" s="14" t="str">
        <f t="shared" si="1"/>
        <v>C152946115</v>
      </c>
      <c r="B311" s="185">
        <f t="array" ref="B311">IF(F311="VL","",IF(F311="Free","Free",XLOOKUP(D311,Roster!T:T,Roster!S:S,"",0)))</f>
        <v>133</v>
      </c>
      <c r="C311" s="313">
        <v>46115.0</v>
      </c>
      <c r="D311" s="314" t="s">
        <v>25</v>
      </c>
      <c r="E311" s="307" t="str">
        <f t="array" ref="E311">(XLOOKUP(D311,Roster!F:F,Roster!B:B,"",0))</f>
        <v>Daniel Barrientos</v>
      </c>
      <c r="F311" s="315" t="str">
        <f t="array" ref="F311">IF(B311=100,"Free",TEXT(XLOOKUP($D311,OperationVoice!$A:$A,OperationVoice!I:I,XLOOKUP($D311,OperationTickets!$A:$A,OperationTickets!I:I,"",0)),"hh:mm"))</f>
        <v>09:00</v>
      </c>
      <c r="G311" s="309">
        <f t="shared" si="3"/>
        <v>0.75</v>
      </c>
      <c r="H311" s="316" t="str">
        <f t="array" ref="H311">XLOOKUP(B311,Roster!L:L,Roster!N:N,XLOOKUP(D311,TicketsBreak!A:A,TicketsBreak!E:E,"",0),0)</f>
        <v>10:45 - 11:00 </v>
      </c>
      <c r="I311" s="316" t="str">
        <f t="array" ref="I311">XLOOKUP(B311,Roster!L:L,Roster!O:O,XLOOKUP(D311,TicketsBreak!A:A,TicketsBreak!F:F,"",0),0)</f>
        <v>13:30 - 14:00</v>
      </c>
      <c r="J311" s="316" t="str">
        <f t="array" ref="J311">XLOOKUP(B311,Roster!L:L,Roster!P:P,XLOOKUP(D311,TicketsBreak!A:A,TicketsBreak!G:G,"",0),0)</f>
        <v>15:45 - 16:00</v>
      </c>
      <c r="K311" s="310">
        <f t="shared" si="4"/>
        <v>46115</v>
      </c>
      <c r="L311" s="317">
        <f t="array" ref="L311">(XLOOKUP(D311,Roster!F:F,Roster!D:D,"",0))</f>
        <v>36</v>
      </c>
      <c r="M311" s="317" t="str">
        <f t="array" ref="M311">XLOOKUP(D311,Roster!F:F,Roster!E:E)</f>
        <v>Voice</v>
      </c>
      <c r="N311" s="317" t="str">
        <f t="shared" ref="N311:P311" si="320">LEFT(H311,5)</f>
        <v>10:45</v>
      </c>
      <c r="O311" s="317" t="str">
        <f t="shared" si="320"/>
        <v>13:30</v>
      </c>
      <c r="P311" s="317" t="str">
        <f t="shared" si="320"/>
        <v>15:45</v>
      </c>
      <c r="Q311" s="318">
        <f t="shared" si="240"/>
        <v>46115.44792</v>
      </c>
      <c r="R311" s="318">
        <f t="shared" si="241"/>
        <v>46115.5625</v>
      </c>
      <c r="S311" s="318">
        <f t="shared" si="8"/>
        <v>46115.65625</v>
      </c>
    </row>
    <row r="312">
      <c r="A312" s="14" t="str">
        <f t="shared" si="1"/>
        <v>C106446115</v>
      </c>
      <c r="B312" s="185" t="str">
        <f t="array" ref="B312">IF(F312="VL","",IF(F312="Free","Free",XLOOKUP(D312,Roster!T:T,Roster!S:S,"",0)))</f>
        <v/>
      </c>
      <c r="C312" s="313">
        <v>46115.0</v>
      </c>
      <c r="D312" s="314" t="s">
        <v>175</v>
      </c>
      <c r="E312" s="307" t="str">
        <f t="array" ref="E312">(XLOOKUP(D312,Roster!F:F,Roster!B:B,"",0))</f>
        <v>Daniel Urrego</v>
      </c>
      <c r="F312" s="315" t="str">
        <f t="array" ref="F312">IF(B312=100,"Free",TEXT(XLOOKUP($D312,OperationVoice!$A:$A,OperationVoice!I:I,XLOOKUP($D312,OperationTickets!$A:$A,OperationTickets!I:I,"",0)),"hh:mm"))</f>
        <v>08:00</v>
      </c>
      <c r="G312" s="309">
        <f t="shared" si="3"/>
        <v>0.7083333333</v>
      </c>
      <c r="H312" s="316" t="str">
        <f t="array" ref="H312">XLOOKUP(B312,Roster!L:L,Roster!N:N,XLOOKUP(D312,TicketsBreak!A:A,TicketsBreak!E:E,"",0),0)</f>
        <v/>
      </c>
      <c r="I312" s="316" t="str">
        <f t="array" ref="I312">XLOOKUP(B312,Roster!L:L,Roster!O:O,XLOOKUP(D312,TicketsBreak!A:A,TicketsBreak!F:F,"",0),0)</f>
        <v/>
      </c>
      <c r="J312" s="316" t="str">
        <f t="array" ref="J312">XLOOKUP(B312,Roster!L:L,Roster!P:P,XLOOKUP(D312,TicketsBreak!A:A,TicketsBreak!G:G,"",0),0)</f>
        <v/>
      </c>
      <c r="K312" s="310">
        <f t="shared" si="4"/>
        <v>46115</v>
      </c>
      <c r="L312" s="317">
        <f t="array" ref="L312">(XLOOKUP(D312,Roster!F:F,Roster!D:D,"",0))</f>
        <v>17</v>
      </c>
      <c r="M312" s="317" t="str">
        <f t="array" ref="M312">XLOOKUP(D312,Roster!F:F,Roster!E:E)</f>
        <v>Tickets</v>
      </c>
      <c r="N312" s="317" t="str">
        <f t="shared" ref="N312:P312" si="321">LEFT(H312,5)</f>
        <v/>
      </c>
      <c r="O312" s="317" t="str">
        <f t="shared" si="321"/>
        <v/>
      </c>
      <c r="P312" s="317" t="str">
        <f t="shared" si="321"/>
        <v/>
      </c>
      <c r="Q312" s="318" t="str">
        <f t="shared" si="240"/>
        <v/>
      </c>
      <c r="R312" s="318" t="str">
        <f t="shared" si="241"/>
        <v/>
      </c>
      <c r="S312" s="318" t="str">
        <f t="shared" si="8"/>
        <v/>
      </c>
    </row>
    <row r="313">
      <c r="A313" s="14" t="str">
        <f t="shared" si="1"/>
        <v>C151346115</v>
      </c>
      <c r="B313" s="185">
        <f t="array" ref="B313">IF(F313="VL","",IF(F313="Free","Free",XLOOKUP(D313,Roster!T:T,Roster!S:S,"",0)))</f>
        <v>126</v>
      </c>
      <c r="C313" s="313">
        <v>46115.0</v>
      </c>
      <c r="D313" s="314" t="s">
        <v>26</v>
      </c>
      <c r="E313" s="307" t="str">
        <f t="array" ref="E313">(XLOOKUP(D313,Roster!F:F,Roster!B:B,"",0))</f>
        <v>David Patino</v>
      </c>
      <c r="F313" s="315" t="str">
        <f t="array" ref="F313">IF(B313=100,"Free",TEXT(XLOOKUP($D313,OperationVoice!$A:$A,OperationVoice!I:I,XLOOKUP($D313,OperationTickets!$A:$A,OperationTickets!I:I,"",0)),"hh:mm"))</f>
        <v>08:00</v>
      </c>
      <c r="G313" s="309">
        <f t="shared" si="3"/>
        <v>0.7083333333</v>
      </c>
      <c r="H313" s="316" t="str">
        <f t="array" ref="H313">XLOOKUP(B313,Roster!L:L,Roster!N:N,XLOOKUP(D313,TicketsBreak!A:A,TicketsBreak!E:E,"",0),0)</f>
        <v>10:45 - 11:00</v>
      </c>
      <c r="I313" s="316" t="str">
        <f t="array" ref="I313">XLOOKUP(B313,Roster!L:L,Roster!O:O,XLOOKUP(D313,TicketsBreak!A:A,TicketsBreak!F:F,"",0),0)</f>
        <v>14:00 - 14:30</v>
      </c>
      <c r="J313" s="316" t="str">
        <f t="array" ref="J313">XLOOKUP(B313,Roster!L:L,Roster!P:P,XLOOKUP(D313,TicketsBreak!A:A,TicketsBreak!G:G,"",0),0)</f>
        <v>15:45 - 16:00</v>
      </c>
      <c r="K313" s="310">
        <f t="shared" si="4"/>
        <v>46115</v>
      </c>
      <c r="L313" s="317">
        <f t="array" ref="L313">(XLOOKUP(D313,Roster!F:F,Roster!D:D,"",0))</f>
        <v>35</v>
      </c>
      <c r="M313" s="317" t="str">
        <f t="array" ref="M313">XLOOKUP(D313,Roster!F:F,Roster!E:E)</f>
        <v>Voice</v>
      </c>
      <c r="N313" s="317" t="str">
        <f t="shared" ref="N313:P313" si="322">LEFT(H313,5)</f>
        <v>10:45</v>
      </c>
      <c r="O313" s="317" t="str">
        <f t="shared" si="322"/>
        <v>14:00</v>
      </c>
      <c r="P313" s="317" t="str">
        <f t="shared" si="322"/>
        <v>15:45</v>
      </c>
      <c r="Q313" s="318">
        <f t="shared" si="240"/>
        <v>46115.44792</v>
      </c>
      <c r="R313" s="318">
        <f t="shared" si="241"/>
        <v>46115.58333</v>
      </c>
      <c r="S313" s="318">
        <f t="shared" si="8"/>
        <v>46115.65625</v>
      </c>
    </row>
    <row r="314">
      <c r="A314" s="14" t="str">
        <f t="shared" si="1"/>
        <v>C127746115</v>
      </c>
      <c r="B314" s="185">
        <f t="array" ref="B314">IF(F314="VL","",IF(F314="Free","Free",XLOOKUP(D314,Roster!T:T,Roster!S:S,"",0)))</f>
        <v>124</v>
      </c>
      <c r="C314" s="313">
        <v>46115.0</v>
      </c>
      <c r="D314" s="314" t="s">
        <v>27</v>
      </c>
      <c r="E314" s="307" t="str">
        <f t="array" ref="E314">(XLOOKUP(D314,Roster!F:F,Roster!B:B,"",0))</f>
        <v>Edwuin Martinez</v>
      </c>
      <c r="F314" s="315" t="str">
        <f t="array" ref="F314">IF(B314=100,"Free",TEXT(XLOOKUP($D314,OperationVoice!$A:$A,OperationVoice!I:I,XLOOKUP($D314,OperationTickets!$A:$A,OperationTickets!I:I,"",0)),"hh:mm"))</f>
        <v>08:00</v>
      </c>
      <c r="G314" s="309">
        <f t="shared" si="3"/>
        <v>0.7083333333</v>
      </c>
      <c r="H314" s="316" t="str">
        <f t="array" ref="H314">XLOOKUP(B314,Roster!L:L,Roster!N:N,XLOOKUP(D314,TicketsBreak!A:A,TicketsBreak!E:E,"",0),0)</f>
        <v>10:00 - 10:15</v>
      </c>
      <c r="I314" s="316" t="str">
        <f t="array" ref="I314">XLOOKUP(B314,Roster!L:L,Roster!O:O,XLOOKUP(D314,TicketsBreak!A:A,TicketsBreak!F:F,"",0),0)</f>
        <v>13:00 - 13:30</v>
      </c>
      <c r="J314" s="316" t="str">
        <f t="array" ref="J314">XLOOKUP(B314,Roster!L:L,Roster!P:P,XLOOKUP(D314,TicketsBreak!A:A,TicketsBreak!G:G,"",0),0)</f>
        <v>15:30 - 15:45</v>
      </c>
      <c r="K314" s="310">
        <f t="shared" si="4"/>
        <v>46115</v>
      </c>
      <c r="L314" s="317">
        <f t="array" ref="L314">(XLOOKUP(D314,Roster!F:F,Roster!D:D,"",0))</f>
        <v>27</v>
      </c>
      <c r="M314" s="317" t="str">
        <f t="array" ref="M314">XLOOKUP(D314,Roster!F:F,Roster!E:E)</f>
        <v>Voice</v>
      </c>
      <c r="N314" s="317" t="str">
        <f t="shared" ref="N314:P314" si="323">LEFT(H314,5)</f>
        <v>10:00</v>
      </c>
      <c r="O314" s="317" t="str">
        <f t="shared" si="323"/>
        <v>13:00</v>
      </c>
      <c r="P314" s="317" t="str">
        <f t="shared" si="323"/>
        <v>15:30</v>
      </c>
      <c r="Q314" s="318">
        <f t="shared" si="240"/>
        <v>46115.41667</v>
      </c>
      <c r="R314" s="318">
        <f t="shared" si="241"/>
        <v>46115.54167</v>
      </c>
      <c r="S314" s="318">
        <f t="shared" si="8"/>
        <v>46115.64583</v>
      </c>
    </row>
    <row r="315">
      <c r="A315" s="14" t="str">
        <f t="shared" si="1"/>
        <v>C121646115</v>
      </c>
      <c r="B315" s="185" t="str">
        <f t="array" ref="B315">IF(F315="VL","",IF(F315="Free","Free",XLOOKUP(D315,Roster!T:T,Roster!S:S,"",0)))</f>
        <v/>
      </c>
      <c r="C315" s="313">
        <v>46115.0</v>
      </c>
      <c r="D315" s="314" t="s">
        <v>134</v>
      </c>
      <c r="E315" s="307" t="str">
        <f t="array" ref="E315">(XLOOKUP(D315,Roster!F:F,Roster!B:B,"",0))</f>
        <v>Eliana Pena</v>
      </c>
      <c r="F315" s="315" t="str">
        <f t="array" ref="F315">IF(B315=100,"Free",TEXT(XLOOKUP($D315,OperationVoice!$A:$A,OperationVoice!I:I,XLOOKUP($D315,OperationTickets!$A:$A,OperationTickets!I:I,"",0)),"hh:mm"))</f>
        <v>08:00</v>
      </c>
      <c r="G315" s="309">
        <f t="shared" si="3"/>
        <v>0.7083333333</v>
      </c>
      <c r="H315" s="316">
        <f t="array" ref="H315">XLOOKUP(B315,Roster!L:L,Roster!N:N,XLOOKUP(D315,TicketsBreak!A:A,TicketsBreak!E:E,"",0),0)</f>
        <v>0.3958333333</v>
      </c>
      <c r="I315" s="316">
        <f t="array" ref="I315">XLOOKUP(B315,Roster!L:L,Roster!O:O,XLOOKUP(D315,TicketsBreak!A:A,TicketsBreak!F:F,"",0),0)</f>
        <v>0.5416666667</v>
      </c>
      <c r="J315" s="316">
        <f t="array" ref="J315">XLOOKUP(B315,Roster!L:L,Roster!P:P,XLOOKUP(D315,TicketsBreak!A:A,TicketsBreak!G:G,"",0),0)</f>
        <v>0.6354166667</v>
      </c>
      <c r="K315" s="310">
        <f t="shared" si="4"/>
        <v>46115</v>
      </c>
      <c r="L315" s="317">
        <f t="array" ref="L315">(XLOOKUP(D315,Roster!F:F,Roster!D:D,"",0))</f>
        <v>26</v>
      </c>
      <c r="M315" s="317" t="str">
        <f t="array" ref="M315">XLOOKUP(D315,Roster!F:F,Roster!E:E)</f>
        <v>Tickets</v>
      </c>
      <c r="N315" s="317" t="str">
        <f t="shared" ref="N315:P315" si="324">LEFT(H315,5)</f>
        <v>09:30</v>
      </c>
      <c r="O315" s="317" t="str">
        <f t="shared" si="324"/>
        <v>13:00</v>
      </c>
      <c r="P315" s="317" t="str">
        <f t="shared" si="324"/>
        <v>15:15</v>
      </c>
      <c r="Q315" s="318">
        <f t="shared" si="240"/>
        <v>46115.39583</v>
      </c>
      <c r="R315" s="318">
        <f t="shared" si="241"/>
        <v>46115.54167</v>
      </c>
      <c r="S315" s="318">
        <f t="shared" si="8"/>
        <v>46115.63542</v>
      </c>
    </row>
    <row r="316">
      <c r="A316" s="14" t="str">
        <f t="shared" si="1"/>
        <v>C157346115</v>
      </c>
      <c r="B316" s="185" t="str">
        <f t="array" ref="B316">IF(F316="VL","",IF(F316="Free","Free",XLOOKUP(D316,Roster!T:T,Roster!S:S,"",0)))</f>
        <v>Free</v>
      </c>
      <c r="C316" s="313">
        <v>46115.0</v>
      </c>
      <c r="D316" s="314" t="s">
        <v>28</v>
      </c>
      <c r="E316" s="307" t="str">
        <f t="array" ref="E316">(XLOOKUP(D316,Roster!F:F,Roster!B:B,"",0))</f>
        <v>Esteban Correa</v>
      </c>
      <c r="F316" s="315" t="str">
        <f t="array" ref="F316">IF(B316=100,"Free",TEXT(XLOOKUP($D316,OperationVoice!$A:$A,OperationVoice!I:I,XLOOKUP($D316,OperationTickets!$A:$A,OperationTickets!I:I,"",0)),"hh:mm"))</f>
        <v>Free</v>
      </c>
      <c r="G316" s="309" t="str">
        <f t="shared" si="3"/>
        <v>Free</v>
      </c>
      <c r="H316" s="316" t="str">
        <f t="array" ref="H316">XLOOKUP(B316,Roster!L:L,Roster!N:N,XLOOKUP(D316,TicketsBreak!A:A,TicketsBreak!E:E,"",0),0)</f>
        <v/>
      </c>
      <c r="I316" s="316" t="str">
        <f t="array" ref="I316">XLOOKUP(B316,Roster!L:L,Roster!O:O,XLOOKUP(D316,TicketsBreak!A:A,TicketsBreak!F:F,"",0),0)</f>
        <v/>
      </c>
      <c r="J316" s="316" t="str">
        <f t="array" ref="J316">XLOOKUP(B316,Roster!L:L,Roster!P:P,XLOOKUP(D316,TicketsBreak!A:A,TicketsBreak!G:G,"",0),0)</f>
        <v/>
      </c>
      <c r="K316" s="310">
        <f t="shared" si="4"/>
        <v>46115</v>
      </c>
      <c r="L316" s="317">
        <f t="array" ref="L316">(XLOOKUP(D316,Roster!F:F,Roster!D:D,"",0))</f>
        <v>38</v>
      </c>
      <c r="M316" s="317" t="str">
        <f t="array" ref="M316">XLOOKUP(D316,Roster!F:F,Roster!E:E)</f>
        <v>Voice</v>
      </c>
      <c r="N316" s="317" t="str">
        <f t="shared" ref="N316:P316" si="325">LEFT(H316,5)</f>
        <v/>
      </c>
      <c r="O316" s="317" t="str">
        <f t="shared" si="325"/>
        <v/>
      </c>
      <c r="P316" s="317" t="str">
        <f t="shared" si="325"/>
        <v/>
      </c>
      <c r="Q316" s="318" t="str">
        <f t="shared" si="240"/>
        <v/>
      </c>
      <c r="R316" s="318" t="str">
        <f t="shared" si="241"/>
        <v/>
      </c>
      <c r="S316" s="318" t="str">
        <f t="shared" si="8"/>
        <v/>
      </c>
    </row>
    <row r="317">
      <c r="A317" s="14" t="str">
        <f t="shared" si="1"/>
        <v>C71346115</v>
      </c>
      <c r="B317" s="185">
        <f t="array" ref="B317">IF(F317="VL","",IF(F317="Free","Free",XLOOKUP(D317,Roster!T:T,Roster!S:S,"",0)))</f>
        <v>125</v>
      </c>
      <c r="C317" s="313">
        <v>46115.0</v>
      </c>
      <c r="D317" s="314" t="s">
        <v>29</v>
      </c>
      <c r="E317" s="307" t="str">
        <f t="array" ref="E317">(XLOOKUP(D317,Roster!F:F,Roster!B:B,"",0))</f>
        <v>Frank Marin</v>
      </c>
      <c r="F317" s="315" t="str">
        <f t="array" ref="F317">IF(B317=100,"Free",TEXT(XLOOKUP($D317,OperationVoice!$A:$A,OperationVoice!I:I,XLOOKUP($D317,OperationTickets!$A:$A,OperationTickets!I:I,"",0)),"hh:mm"))</f>
        <v>08:00</v>
      </c>
      <c r="G317" s="309">
        <f t="shared" si="3"/>
        <v>0.7083333333</v>
      </c>
      <c r="H317" s="316" t="str">
        <f t="array" ref="H317">XLOOKUP(B317,Roster!L:L,Roster!N:N,XLOOKUP(D317,TicketsBreak!A:A,TicketsBreak!E:E,"",0),0)</f>
        <v>10:30 - 10:45</v>
      </c>
      <c r="I317" s="316" t="str">
        <f t="array" ref="I317">XLOOKUP(B317,Roster!L:L,Roster!O:O,XLOOKUP(D317,TicketsBreak!A:A,TicketsBreak!F:F,"",0),0)</f>
        <v>13:30 - 14:00</v>
      </c>
      <c r="J317" s="316" t="str">
        <f t="array" ref="J317">XLOOKUP(B317,Roster!L:L,Roster!P:P,XLOOKUP(D317,TicketsBreak!A:A,TicketsBreak!G:G,"",0),0)</f>
        <v>15:45 - 16:00</v>
      </c>
      <c r="K317" s="310">
        <f t="shared" si="4"/>
        <v>46115</v>
      </c>
      <c r="L317" s="317">
        <f t="array" ref="L317">(XLOOKUP(D317,Roster!F:F,Roster!D:D,"",0))</f>
        <v>6</v>
      </c>
      <c r="M317" s="317" t="str">
        <f t="array" ref="M317">XLOOKUP(D317,Roster!F:F,Roster!E:E)</f>
        <v>Voice</v>
      </c>
      <c r="N317" s="317" t="str">
        <f t="shared" ref="N317:P317" si="326">LEFT(H317,5)</f>
        <v>10:30</v>
      </c>
      <c r="O317" s="317" t="str">
        <f t="shared" si="326"/>
        <v>13:30</v>
      </c>
      <c r="P317" s="317" t="str">
        <f t="shared" si="326"/>
        <v>15:45</v>
      </c>
      <c r="Q317" s="318">
        <f t="shared" si="240"/>
        <v>46115.4375</v>
      </c>
      <c r="R317" s="318">
        <f t="shared" si="241"/>
        <v>46115.5625</v>
      </c>
      <c r="S317" s="318">
        <f t="shared" si="8"/>
        <v>46115.65625</v>
      </c>
    </row>
    <row r="318">
      <c r="A318" s="14" t="str">
        <f t="shared" si="1"/>
        <v>C154846115</v>
      </c>
      <c r="B318" s="185">
        <f t="array" ref="B318">IF(F318="VL","",IF(F318="Free","Free",XLOOKUP(D318,Roster!T:T,Roster!S:S,"",0)))</f>
        <v>152</v>
      </c>
      <c r="C318" s="313">
        <v>46115.0</v>
      </c>
      <c r="D318" s="314" t="s">
        <v>30</v>
      </c>
      <c r="E318" s="307" t="str">
        <f t="array" ref="E318">(XLOOKUP(D318,Roster!F:F,Roster!B:B,"",0))</f>
        <v>Frey ortiz</v>
      </c>
      <c r="F318" s="315" t="str">
        <f t="array" ref="F318">IF(B318=100,"Free",TEXT(XLOOKUP($D318,OperationVoice!$A:$A,OperationVoice!I:I,XLOOKUP($D318,OperationTickets!$A:$A,OperationTickets!I:I,"",0)),"hh:mm"))</f>
        <v>11:00</v>
      </c>
      <c r="G318" s="309">
        <f t="shared" si="3"/>
        <v>0.8333333333</v>
      </c>
      <c r="H318" s="316" t="str">
        <f t="array" ref="H318">XLOOKUP(B318,Roster!L:L,Roster!N:N,XLOOKUP(D318,TicketsBreak!A:A,TicketsBreak!E:E,"",0),0)</f>
        <v>12:30 - 12:45</v>
      </c>
      <c r="I318" s="316" t="str">
        <f t="array" ref="I318">XLOOKUP(B318,Roster!L:L,Roster!O:O,XLOOKUP(D318,TicketsBreak!A:A,TicketsBreak!F:F,"",0),0)</f>
        <v>14:30 - 15:00</v>
      </c>
      <c r="J318" s="316" t="str">
        <f t="array" ref="J318">XLOOKUP(B318,Roster!L:L,Roster!P:P,XLOOKUP(D318,TicketsBreak!A:A,TicketsBreak!G:G,"",0),0)</f>
        <v>17:30 - 17:45</v>
      </c>
      <c r="K318" s="310">
        <f t="shared" si="4"/>
        <v>46115</v>
      </c>
      <c r="L318" s="317">
        <f t="array" ref="L318">(XLOOKUP(D318,Roster!F:F,Roster!D:D,"",0))</f>
        <v>37</v>
      </c>
      <c r="M318" s="317" t="str">
        <f t="array" ref="M318">XLOOKUP(D318,Roster!F:F,Roster!E:E)</f>
        <v>Voice</v>
      </c>
      <c r="N318" s="317" t="str">
        <f t="shared" ref="N318:P318" si="327">LEFT(H318,5)</f>
        <v>12:30</v>
      </c>
      <c r="O318" s="317" t="str">
        <f t="shared" si="327"/>
        <v>14:30</v>
      </c>
      <c r="P318" s="317" t="str">
        <f t="shared" si="327"/>
        <v>17:30</v>
      </c>
      <c r="Q318" s="318">
        <f t="shared" si="240"/>
        <v>46115.52083</v>
      </c>
      <c r="R318" s="318">
        <f t="shared" si="241"/>
        <v>46115.60417</v>
      </c>
      <c r="S318" s="318">
        <f t="shared" si="8"/>
        <v>46115.72917</v>
      </c>
    </row>
    <row r="319">
      <c r="A319" s="14" t="str">
        <f t="shared" si="1"/>
        <v>C148646115</v>
      </c>
      <c r="B319" s="185">
        <f t="array" ref="B319">IF(F319="VL","",IF(F319="Free","Free",XLOOKUP(D319,Roster!T:T,Roster!S:S,"",0)))</f>
        <v>154</v>
      </c>
      <c r="C319" s="313">
        <v>46115.0</v>
      </c>
      <c r="D319" s="314" t="s">
        <v>31</v>
      </c>
      <c r="E319" s="307" t="str">
        <f t="array" ref="E319">(XLOOKUP(D319,Roster!F:F,Roster!B:B,"",0))</f>
        <v>Gabriel Gomez</v>
      </c>
      <c r="F319" s="315" t="str">
        <f t="array" ref="F319">IF(B319=100,"Free",TEXT(XLOOKUP($D319,OperationVoice!$A:$A,OperationVoice!I:I,XLOOKUP($D319,OperationTickets!$A:$A,OperationTickets!I:I,"",0)),"hh:mm"))</f>
        <v>11:00</v>
      </c>
      <c r="G319" s="309">
        <f t="shared" si="3"/>
        <v>0.8333333333</v>
      </c>
      <c r="H319" s="316" t="str">
        <f t="array" ref="H319">XLOOKUP(B319,Roster!L:L,Roster!N:N,XLOOKUP(D319,TicketsBreak!A:A,TicketsBreak!E:E,"",0),0)</f>
        <v>13:00 - 13:15</v>
      </c>
      <c r="I319" s="316" t="str">
        <f t="array" ref="I319">XLOOKUP(B319,Roster!L:L,Roster!O:O,XLOOKUP(D319,TicketsBreak!A:A,TicketsBreak!F:F,"",0),0)</f>
        <v>15:15 - 15:45</v>
      </c>
      <c r="J319" s="316" t="str">
        <f t="array" ref="J319">XLOOKUP(B319,Roster!L:L,Roster!P:P,XLOOKUP(D319,TicketsBreak!A:A,TicketsBreak!G:G,"",0),0)</f>
        <v>18:00 - 18:15</v>
      </c>
      <c r="K319" s="310">
        <f t="shared" si="4"/>
        <v>46115</v>
      </c>
      <c r="L319" s="317">
        <f t="array" ref="L319">(XLOOKUP(D319,Roster!F:F,Roster!D:D,"",0))</f>
        <v>34</v>
      </c>
      <c r="M319" s="317" t="str">
        <f t="array" ref="M319">XLOOKUP(D319,Roster!F:F,Roster!E:E)</f>
        <v>Voice</v>
      </c>
      <c r="N319" s="317" t="str">
        <f t="shared" ref="N319:P319" si="328">LEFT(H319,5)</f>
        <v>13:00</v>
      </c>
      <c r="O319" s="317" t="str">
        <f t="shared" si="328"/>
        <v>15:15</v>
      </c>
      <c r="P319" s="317" t="str">
        <f t="shared" si="328"/>
        <v>18:00</v>
      </c>
      <c r="Q319" s="318">
        <f t="shared" si="240"/>
        <v>46115.54167</v>
      </c>
      <c r="R319" s="318">
        <f t="shared" si="241"/>
        <v>46115.63542</v>
      </c>
      <c r="S319" s="318">
        <f t="shared" si="8"/>
        <v>46115.75</v>
      </c>
    </row>
    <row r="320">
      <c r="A320" s="14" t="str">
        <f t="shared" si="1"/>
        <v>C136946115</v>
      </c>
      <c r="B320" s="185">
        <f t="array" ref="B320">IF(F320="VL","",IF(F320="Free","Free",XLOOKUP(D320,Roster!T:T,Roster!S:S,"",0)))</f>
        <v>126</v>
      </c>
      <c r="C320" s="313">
        <v>46115.0</v>
      </c>
      <c r="D320" s="314" t="s">
        <v>157</v>
      </c>
      <c r="E320" s="307" t="str">
        <f t="array" ref="E320">(XLOOKUP(D320,Roster!F:F,Roster!B:B,"",0))</f>
        <v>Gabriela Jimenez</v>
      </c>
      <c r="F320" s="315" t="str">
        <f t="array" ref="F320">IF(B320=100,"Free",TEXT(XLOOKUP($D320,OperationVoice!$A:$A,OperationVoice!I:I,XLOOKUP($D320,OperationTickets!$A:$A,OperationTickets!I:I,"",0)),"hh:mm"))</f>
        <v>08:00</v>
      </c>
      <c r="G320" s="309">
        <f t="shared" si="3"/>
        <v>0.7083333333</v>
      </c>
      <c r="H320" s="316" t="str">
        <f t="array" ref="H320">XLOOKUP(B320,Roster!L:L,Roster!N:N,XLOOKUP(D320,TicketsBreak!A:A,TicketsBreak!E:E,"",0),0)</f>
        <v>10:45 - 11:00</v>
      </c>
      <c r="I320" s="316" t="str">
        <f t="array" ref="I320">XLOOKUP(B320,Roster!L:L,Roster!O:O,XLOOKUP(D320,TicketsBreak!A:A,TicketsBreak!F:F,"",0),0)</f>
        <v>14:00 - 14:30</v>
      </c>
      <c r="J320" s="316" t="str">
        <f t="array" ref="J320">XLOOKUP(B320,Roster!L:L,Roster!P:P,XLOOKUP(D320,TicketsBreak!A:A,TicketsBreak!G:G,"",0),0)</f>
        <v>15:45 - 16:00</v>
      </c>
      <c r="K320" s="310">
        <f t="shared" si="4"/>
        <v>46115</v>
      </c>
      <c r="L320" s="317">
        <f t="array" ref="L320">(XLOOKUP(D320,Roster!F:F,Roster!D:D,"",0))</f>
        <v>31</v>
      </c>
      <c r="M320" s="317" t="str">
        <f t="array" ref="M320">XLOOKUP(D320,Roster!F:F,Roster!E:E)</f>
        <v>Tickets</v>
      </c>
      <c r="N320" s="317" t="str">
        <f t="shared" ref="N320:P320" si="329">LEFT(H320,5)</f>
        <v>10:45</v>
      </c>
      <c r="O320" s="317" t="str">
        <f t="shared" si="329"/>
        <v>14:00</v>
      </c>
      <c r="P320" s="317" t="str">
        <f t="shared" si="329"/>
        <v>15:45</v>
      </c>
      <c r="Q320" s="318">
        <f t="shared" si="240"/>
        <v>46115.44792</v>
      </c>
      <c r="R320" s="318">
        <f t="shared" si="241"/>
        <v>46115.58333</v>
      </c>
      <c r="S320" s="318">
        <f t="shared" si="8"/>
        <v>46115.65625</v>
      </c>
    </row>
    <row r="321">
      <c r="A321" s="14" t="str">
        <f t="shared" si="1"/>
        <v>C101746115</v>
      </c>
      <c r="B321" s="185">
        <f t="array" ref="B321">IF(F321="VL","",IF(F321="Free","Free",XLOOKUP(D321,Roster!T:T,Roster!S:S,"",0)))</f>
        <v>121</v>
      </c>
      <c r="C321" s="313">
        <v>46115.0</v>
      </c>
      <c r="D321" s="314" t="s">
        <v>32</v>
      </c>
      <c r="E321" s="307" t="str">
        <f t="array" ref="E321">(XLOOKUP(D321,Roster!F:F,Roster!B:B,"",0))</f>
        <v>Geraldine Correa</v>
      </c>
      <c r="F321" s="315" t="str">
        <f t="array" ref="F321">IF(B321=100,"Free",TEXT(XLOOKUP($D321,OperationVoice!$A:$A,OperationVoice!I:I,XLOOKUP($D321,OperationTickets!$A:$A,OperationTickets!I:I,"",0)),"hh:mm"))</f>
        <v>08:00</v>
      </c>
      <c r="G321" s="309">
        <f t="shared" si="3"/>
        <v>0.7083333333</v>
      </c>
      <c r="H321" s="316" t="str">
        <f t="array" ref="H321">XLOOKUP(B321,Roster!L:L,Roster!N:N,XLOOKUP(D321,TicketsBreak!A:A,TicketsBreak!E:E,"",0),0)</f>
        <v>09:15 - 09:30</v>
      </c>
      <c r="I321" s="316" t="str">
        <f t="array" ref="I321">XLOOKUP(B321,Roster!L:L,Roster!O:O,XLOOKUP(D321,TicketsBreak!A:A,TicketsBreak!F:F,"",0),0)</f>
        <v>11:30 - 12:00</v>
      </c>
      <c r="J321" s="316" t="str">
        <f t="array" ref="J321">XLOOKUP(B321,Roster!L:L,Roster!P:P,XLOOKUP(D321,TicketsBreak!A:A,TicketsBreak!G:G,"",0),0)</f>
        <v>14:30 - 14:45</v>
      </c>
      <c r="K321" s="310">
        <f t="shared" si="4"/>
        <v>46115</v>
      </c>
      <c r="L321" s="317">
        <f t="array" ref="L321">(XLOOKUP(D321,Roster!F:F,Roster!D:D,"",0))</f>
        <v>23</v>
      </c>
      <c r="M321" s="317" t="str">
        <f t="array" ref="M321">XLOOKUP(D321,Roster!F:F,Roster!E:E)</f>
        <v>Voice</v>
      </c>
      <c r="N321" s="317" t="str">
        <f t="shared" ref="N321:P321" si="330">LEFT(H321,5)</f>
        <v>09:15</v>
      </c>
      <c r="O321" s="317" t="str">
        <f t="shared" si="330"/>
        <v>11:30</v>
      </c>
      <c r="P321" s="317" t="str">
        <f t="shared" si="330"/>
        <v>14:30</v>
      </c>
      <c r="Q321" s="318">
        <f t="shared" si="240"/>
        <v>46115.38542</v>
      </c>
      <c r="R321" s="318">
        <f t="shared" si="241"/>
        <v>46115.47917</v>
      </c>
      <c r="S321" s="318">
        <f t="shared" si="8"/>
        <v>46115.60417</v>
      </c>
    </row>
    <row r="322">
      <c r="A322" s="14" t="str">
        <f t="shared" si="1"/>
        <v>C154146115</v>
      </c>
      <c r="B322" s="185">
        <f t="array" ref="B322">IF(F322="VL","",IF(F322="Free","Free",XLOOKUP(D322,Roster!T:T,Roster!S:S,"",0)))</f>
        <v>155</v>
      </c>
      <c r="C322" s="313">
        <v>46115.0</v>
      </c>
      <c r="D322" s="314" t="s">
        <v>33</v>
      </c>
      <c r="E322" s="307" t="str">
        <f t="array" ref="E322">(XLOOKUP(D322,Roster!F:F,Roster!B:B,"",0))</f>
        <v>Gisel Moya</v>
      </c>
      <c r="F322" s="315" t="str">
        <f t="array" ref="F322">IF(B322=100,"Free",TEXT(XLOOKUP($D322,OperationVoice!$A:$A,OperationVoice!I:I,XLOOKUP($D322,OperationTickets!$A:$A,OperationTickets!I:I,"",0)),"hh:mm"))</f>
        <v>11:00</v>
      </c>
      <c r="G322" s="309">
        <f t="shared" si="3"/>
        <v>0.8333333333</v>
      </c>
      <c r="H322" s="316" t="str">
        <f t="array" ref="H322">XLOOKUP(B322,Roster!L:L,Roster!N:N,XLOOKUP(D322,TicketsBreak!A:A,TicketsBreak!E:E,"",0),0)</f>
        <v>13:15 - 13:30</v>
      </c>
      <c r="I322" s="316" t="str">
        <f t="array" ref="I322">XLOOKUP(B322,Roster!L:L,Roster!O:O,XLOOKUP(D322,TicketsBreak!A:A,TicketsBreak!F:F,"",0),0)</f>
        <v>15:45 - 16:15</v>
      </c>
      <c r="J322" s="316" t="str">
        <f t="array" ref="J322">XLOOKUP(B322,Roster!L:L,Roster!P:P,XLOOKUP(D322,TicketsBreak!A:A,TicketsBreak!G:G,"",0),0)</f>
        <v>18:15 - 18:30</v>
      </c>
      <c r="K322" s="310">
        <f t="shared" si="4"/>
        <v>46115</v>
      </c>
      <c r="L322" s="317">
        <f t="array" ref="L322">(XLOOKUP(D322,Roster!F:F,Roster!D:D,"",0))</f>
        <v>36</v>
      </c>
      <c r="M322" s="317" t="str">
        <f t="array" ref="M322">XLOOKUP(D322,Roster!F:F,Roster!E:E)</f>
        <v>Voice</v>
      </c>
      <c r="N322" s="317" t="str">
        <f t="shared" ref="N322:P322" si="331">LEFT(H322,5)</f>
        <v>13:15</v>
      </c>
      <c r="O322" s="317" t="str">
        <f t="shared" si="331"/>
        <v>15:45</v>
      </c>
      <c r="P322" s="317" t="str">
        <f t="shared" si="331"/>
        <v>18:15</v>
      </c>
      <c r="Q322" s="318">
        <f t="shared" si="240"/>
        <v>46115.55208</v>
      </c>
      <c r="R322" s="318">
        <f t="shared" si="241"/>
        <v>46115.65625</v>
      </c>
      <c r="S322" s="318">
        <f t="shared" si="8"/>
        <v>46115.76042</v>
      </c>
    </row>
    <row r="323">
      <c r="A323" s="14" t="str">
        <f t="shared" si="1"/>
        <v>C86046115</v>
      </c>
      <c r="B323" s="185" t="str">
        <f t="array" ref="B323">IF(F323="VL","",IF(F323="Free","Free",XLOOKUP(D323,Roster!T:T,Roster!S:S,"",0)))</f>
        <v/>
      </c>
      <c r="C323" s="313">
        <v>46115.0</v>
      </c>
      <c r="D323" s="314" t="s">
        <v>158</v>
      </c>
      <c r="E323" s="307" t="str">
        <f t="array" ref="E323">(XLOOKUP(D323,Roster!F:F,Roster!B:B,"",0))</f>
        <v>Ief Fabre</v>
      </c>
      <c r="F323" s="315" t="str">
        <f t="array" ref="F323">IF(B323=100,"Free",TEXT(XLOOKUP($D323,OperationVoice!$A:$A,OperationVoice!I:I,XLOOKUP($D323,OperationTickets!$A:$A,OperationTickets!I:I,"",0)),"hh:mm"))</f>
        <v>08:00</v>
      </c>
      <c r="G323" s="309">
        <f t="shared" si="3"/>
        <v>0.7083333333</v>
      </c>
      <c r="H323" s="316">
        <f t="array" ref="H323">XLOOKUP(B323,Roster!L:L,Roster!N:N,XLOOKUP(D323,TicketsBreak!A:A,TicketsBreak!E:E,"",0),0)</f>
        <v>0.4166666667</v>
      </c>
      <c r="I323" s="316">
        <f t="array" ref="I323">XLOOKUP(B323,Roster!L:L,Roster!O:O,XLOOKUP(D323,TicketsBreak!A:A,TicketsBreak!F:F,"",0),0)</f>
        <v>0.5</v>
      </c>
      <c r="J323" s="316">
        <f t="array" ref="J323">XLOOKUP(B323,Roster!L:L,Roster!P:P,XLOOKUP(D323,TicketsBreak!A:A,TicketsBreak!G:G,"",0),0)</f>
        <v>0.625</v>
      </c>
      <c r="K323" s="310">
        <f t="shared" si="4"/>
        <v>46115</v>
      </c>
      <c r="L323" s="317">
        <f t="array" ref="L323">(XLOOKUP(D323,Roster!F:F,Roster!D:D,"",0))</f>
        <v>10</v>
      </c>
      <c r="M323" s="317" t="str">
        <f t="array" ref="M323">XLOOKUP(D323,Roster!F:F,Roster!E:E)</f>
        <v>Tickets</v>
      </c>
      <c r="N323" s="317" t="str">
        <f t="shared" ref="N323:P323" si="332">LEFT(H323,5)</f>
        <v>10:00</v>
      </c>
      <c r="O323" s="317" t="str">
        <f t="shared" si="332"/>
        <v>12:00</v>
      </c>
      <c r="P323" s="317" t="str">
        <f t="shared" si="332"/>
        <v>15:00</v>
      </c>
      <c r="Q323" s="318">
        <f t="shared" si="240"/>
        <v>46115.41667</v>
      </c>
      <c r="R323" s="318">
        <f t="shared" si="241"/>
        <v>46115.5</v>
      </c>
      <c r="S323" s="318">
        <f t="shared" si="8"/>
        <v>46115.625</v>
      </c>
    </row>
    <row r="324">
      <c r="A324" s="14" t="str">
        <f t="shared" si="1"/>
        <v>C148146115</v>
      </c>
      <c r="B324" s="185" t="str">
        <f t="array" ref="B324">IF(F324="VL","",IF(F324="Free","Free",XLOOKUP(D324,Roster!T:T,Roster!S:S,"",0)))</f>
        <v>Free</v>
      </c>
      <c r="C324" s="313">
        <v>46115.0</v>
      </c>
      <c r="D324" s="314" t="s">
        <v>34</v>
      </c>
      <c r="E324" s="307" t="str">
        <f t="array" ref="E324">(XLOOKUP(D324,Roster!F:F,Roster!B:B,"",0))</f>
        <v>Jasam Mejia</v>
      </c>
      <c r="F324" s="315" t="str">
        <f t="array" ref="F324">IF(B324=100,"Free",TEXT(XLOOKUP($D324,OperationVoice!$A:$A,OperationVoice!I:I,XLOOKUP($D324,OperationTickets!$A:$A,OperationTickets!I:I,"",0)),"hh:mm"))</f>
        <v>Free</v>
      </c>
      <c r="G324" s="309" t="str">
        <f t="shared" si="3"/>
        <v>Free</v>
      </c>
      <c r="H324" s="316" t="str">
        <f t="array" ref="H324">XLOOKUP(B324,Roster!L:L,Roster!N:N,XLOOKUP(D324,TicketsBreak!A:A,TicketsBreak!E:E,"",0),0)</f>
        <v/>
      </c>
      <c r="I324" s="316" t="str">
        <f t="array" ref="I324">XLOOKUP(B324,Roster!L:L,Roster!O:O,XLOOKUP(D324,TicketsBreak!A:A,TicketsBreak!F:F,"",0),0)</f>
        <v/>
      </c>
      <c r="J324" s="316" t="str">
        <f t="array" ref="J324">XLOOKUP(B324,Roster!L:L,Roster!P:P,XLOOKUP(D324,TicketsBreak!A:A,TicketsBreak!G:G,"",0),0)</f>
        <v/>
      </c>
      <c r="K324" s="310">
        <f t="shared" si="4"/>
        <v>46115</v>
      </c>
      <c r="L324" s="317">
        <f t="array" ref="L324">(XLOOKUP(D324,Roster!F:F,Roster!D:D,"",0))</f>
        <v>34</v>
      </c>
      <c r="M324" s="317" t="str">
        <f t="array" ref="M324">XLOOKUP(D324,Roster!F:F,Roster!E:E)</f>
        <v>Voice</v>
      </c>
      <c r="N324" s="317" t="str">
        <f t="shared" ref="N324:P324" si="333">LEFT(H324,5)</f>
        <v/>
      </c>
      <c r="O324" s="317" t="str">
        <f t="shared" si="333"/>
        <v/>
      </c>
      <c r="P324" s="317" t="str">
        <f t="shared" si="333"/>
        <v/>
      </c>
      <c r="Q324" s="318" t="str">
        <f t="shared" si="240"/>
        <v/>
      </c>
      <c r="R324" s="318" t="str">
        <f t="shared" si="241"/>
        <v/>
      </c>
      <c r="S324" s="318" t="str">
        <f t="shared" si="8"/>
        <v/>
      </c>
    </row>
    <row r="325">
      <c r="A325" s="14" t="str">
        <f t="shared" si="1"/>
        <v>C131846115</v>
      </c>
      <c r="B325" s="185" t="str">
        <f t="array" ref="B325">IF(F325="VL","",IF(F325="Free","Free",XLOOKUP(D325,Roster!T:T,Roster!S:S,"",0)))</f>
        <v/>
      </c>
      <c r="C325" s="313">
        <v>46115.0</v>
      </c>
      <c r="D325" s="314" t="s">
        <v>159</v>
      </c>
      <c r="E325" s="307" t="str">
        <f t="array" ref="E325">(XLOOKUP(D325,Roster!F:F,Roster!B:B,"",0))</f>
        <v>Jeampierre Jaramillo</v>
      </c>
      <c r="F325" s="315" t="str">
        <f t="array" ref="F325">IF(B325=100,"Free",TEXT(XLOOKUP($D325,OperationVoice!$A:$A,OperationVoice!I:I,XLOOKUP($D325,OperationTickets!$A:$A,OperationTickets!I:I,"",0)),"hh:mm"))</f>
        <v>07:00</v>
      </c>
      <c r="G325" s="309">
        <f t="shared" si="3"/>
        <v>0.6666666667</v>
      </c>
      <c r="H325" s="316" t="str">
        <f t="array" ref="H325">XLOOKUP(B325,Roster!L:L,Roster!N:N,XLOOKUP(D325,TicketsBreak!A:A,TicketsBreak!E:E,"",0),0)</f>
        <v/>
      </c>
      <c r="I325" s="316" t="str">
        <f t="array" ref="I325">XLOOKUP(B325,Roster!L:L,Roster!O:O,XLOOKUP(D325,TicketsBreak!A:A,TicketsBreak!F:F,"",0),0)</f>
        <v/>
      </c>
      <c r="J325" s="316" t="str">
        <f t="array" ref="J325">XLOOKUP(B325,Roster!L:L,Roster!P:P,XLOOKUP(D325,TicketsBreak!A:A,TicketsBreak!G:G,"",0),0)</f>
        <v/>
      </c>
      <c r="K325" s="310">
        <f t="shared" si="4"/>
        <v>46115</v>
      </c>
      <c r="L325" s="317">
        <f t="array" ref="L325">(XLOOKUP(D325,Roster!F:F,Roster!D:D,"",0))</f>
        <v>29</v>
      </c>
      <c r="M325" s="317" t="str">
        <f t="array" ref="M325">XLOOKUP(D325,Roster!F:F,Roster!E:E)</f>
        <v>Tickets</v>
      </c>
      <c r="N325" s="317" t="str">
        <f t="shared" ref="N325:P325" si="334">LEFT(H325,5)</f>
        <v/>
      </c>
      <c r="O325" s="317" t="str">
        <f t="shared" si="334"/>
        <v/>
      </c>
      <c r="P325" s="317" t="str">
        <f t="shared" si="334"/>
        <v/>
      </c>
      <c r="Q325" s="318" t="str">
        <f t="shared" si="240"/>
        <v/>
      </c>
      <c r="R325" s="318" t="str">
        <f t="shared" si="241"/>
        <v/>
      </c>
      <c r="S325" s="318" t="str">
        <f t="shared" si="8"/>
        <v/>
      </c>
    </row>
    <row r="326">
      <c r="A326" s="14" t="str">
        <f t="shared" si="1"/>
        <v>C155046115</v>
      </c>
      <c r="B326" s="185">
        <f t="array" ref="B326">IF(F326="VL","",IF(F326="Free","Free",XLOOKUP(D326,Roster!T:T,Roster!S:S,"",0)))</f>
        <v>126</v>
      </c>
      <c r="C326" s="313">
        <v>46115.0</v>
      </c>
      <c r="D326" s="314" t="s">
        <v>35</v>
      </c>
      <c r="E326" s="307" t="str">
        <f t="array" ref="E326">(XLOOKUP(D326,Roster!F:F,Roster!B:B,"",0))</f>
        <v>Jeidin Vargas</v>
      </c>
      <c r="F326" s="315" t="str">
        <f t="array" ref="F326">IF(B326=100,"Free",TEXT(XLOOKUP($D326,OperationVoice!$A:$A,OperationVoice!I:I,XLOOKUP($D326,OperationTickets!$A:$A,OperationTickets!I:I,"",0)),"hh:mm"))</f>
        <v>08:00</v>
      </c>
      <c r="G326" s="309">
        <f t="shared" si="3"/>
        <v>0.7083333333</v>
      </c>
      <c r="H326" s="316" t="str">
        <f t="array" ref="H326">XLOOKUP(B326,Roster!L:L,Roster!N:N,XLOOKUP(D326,TicketsBreak!A:A,TicketsBreak!E:E,"",0),0)</f>
        <v>10:45 - 11:00</v>
      </c>
      <c r="I326" s="316" t="str">
        <f t="array" ref="I326">XLOOKUP(B326,Roster!L:L,Roster!O:O,XLOOKUP(D326,TicketsBreak!A:A,TicketsBreak!F:F,"",0),0)</f>
        <v>14:00 - 14:30</v>
      </c>
      <c r="J326" s="316" t="str">
        <f t="array" ref="J326">XLOOKUP(B326,Roster!L:L,Roster!P:P,XLOOKUP(D326,TicketsBreak!A:A,TicketsBreak!G:G,"",0),0)</f>
        <v>15:45 - 16:00</v>
      </c>
      <c r="K326" s="310">
        <f t="shared" si="4"/>
        <v>46115</v>
      </c>
      <c r="L326" s="317">
        <f t="array" ref="L326">(XLOOKUP(D326,Roster!F:F,Roster!D:D,"",0))</f>
        <v>37</v>
      </c>
      <c r="M326" s="317" t="str">
        <f t="array" ref="M326">XLOOKUP(D326,Roster!F:F,Roster!E:E)</f>
        <v>Voice</v>
      </c>
      <c r="N326" s="317" t="str">
        <f t="shared" ref="N326:P326" si="335">LEFT(H326,5)</f>
        <v>10:45</v>
      </c>
      <c r="O326" s="317" t="str">
        <f t="shared" si="335"/>
        <v>14:00</v>
      </c>
      <c r="P326" s="317" t="str">
        <f t="shared" si="335"/>
        <v>15:45</v>
      </c>
      <c r="Q326" s="318">
        <f t="shared" si="240"/>
        <v>46115.44792</v>
      </c>
      <c r="R326" s="318">
        <f t="shared" si="241"/>
        <v>46115.58333</v>
      </c>
      <c r="S326" s="318">
        <f t="shared" si="8"/>
        <v>46115.65625</v>
      </c>
    </row>
    <row r="327">
      <c r="A327" s="14" t="str">
        <f t="shared" si="1"/>
        <v>C51246115</v>
      </c>
      <c r="B327" s="185">
        <f t="array" ref="B327">IF(F327="VL","",IF(F327="Free","Free",XLOOKUP(D327,Roster!T:T,Roster!S:S,"",0)))</f>
        <v>122</v>
      </c>
      <c r="C327" s="313">
        <v>46115.0</v>
      </c>
      <c r="D327" s="314" t="s">
        <v>36</v>
      </c>
      <c r="E327" s="307" t="str">
        <f t="array" ref="E327">(XLOOKUP(D327,Roster!F:F,Roster!B:B,"",0))</f>
        <v>Jhoam Quiroz</v>
      </c>
      <c r="F327" s="315" t="str">
        <f t="array" ref="F327">IF(B327=100,"Free",TEXT(XLOOKUP($D327,OperationVoice!$A:$A,OperationVoice!I:I,XLOOKUP($D327,OperationTickets!$A:$A,OperationTickets!I:I,"",0)),"hh:mm"))</f>
        <v>08:00</v>
      </c>
      <c r="G327" s="309">
        <f t="shared" si="3"/>
        <v>0.7083333333</v>
      </c>
      <c r="H327" s="316" t="str">
        <f t="array" ref="H327">XLOOKUP(B327,Roster!L:L,Roster!N:N,XLOOKUP(D327,TicketsBreak!A:A,TicketsBreak!E:E,"",0),0)</f>
        <v>09:30 - 09:45</v>
      </c>
      <c r="I327" s="316" t="str">
        <f t="array" ref="I327">XLOOKUP(B327,Roster!L:L,Roster!O:O,XLOOKUP(D327,TicketsBreak!A:A,TicketsBreak!F:F,"",0),0)</f>
        <v>12:00 - 12:30</v>
      </c>
      <c r="J327" s="316" t="str">
        <f t="array" ref="J327">XLOOKUP(B327,Roster!L:L,Roster!P:P,XLOOKUP(D327,TicketsBreak!A:A,TicketsBreak!G:G,"",0),0)</f>
        <v>14:45 - 15:00</v>
      </c>
      <c r="K327" s="310">
        <f t="shared" si="4"/>
        <v>46115</v>
      </c>
      <c r="L327" s="317">
        <f t="array" ref="L327">(XLOOKUP(D327,Roster!F:F,Roster!D:D,"",0))</f>
        <v>1</v>
      </c>
      <c r="M327" s="317" t="str">
        <f t="array" ref="M327">XLOOKUP(D327,Roster!F:F,Roster!E:E)</f>
        <v>Voice</v>
      </c>
      <c r="N327" s="317" t="str">
        <f t="shared" ref="N327:P327" si="336">LEFT(H327,5)</f>
        <v>09:30</v>
      </c>
      <c r="O327" s="317" t="str">
        <f t="shared" si="336"/>
        <v>12:00</v>
      </c>
      <c r="P327" s="317" t="str">
        <f t="shared" si="336"/>
        <v>14:45</v>
      </c>
      <c r="Q327" s="318">
        <f t="shared" si="240"/>
        <v>46115.39583</v>
      </c>
      <c r="R327" s="318">
        <f t="shared" si="241"/>
        <v>46115.5</v>
      </c>
      <c r="S327" s="318">
        <f t="shared" si="8"/>
        <v>46115.61458</v>
      </c>
    </row>
    <row r="328">
      <c r="A328" s="14" t="str">
        <f t="shared" si="1"/>
        <v>C150946115</v>
      </c>
      <c r="B328" s="185">
        <f t="array" ref="B328">IF(F328="VL","",IF(F328="Free","Free",XLOOKUP(D328,Roster!T:T,Roster!S:S,"",0)))</f>
        <v>121</v>
      </c>
      <c r="C328" s="313">
        <v>46115.0</v>
      </c>
      <c r="D328" s="314" t="s">
        <v>37</v>
      </c>
      <c r="E328" s="307" t="str">
        <f t="array" ref="E328">(XLOOKUP(D328,Roster!F:F,Roster!B:B,"",0))</f>
        <v>Jhonatan Gomez</v>
      </c>
      <c r="F328" s="315" t="str">
        <f t="array" ref="F328">IF(B328=100,"Free",TEXT(XLOOKUP($D328,OperationVoice!$A:$A,OperationVoice!I:I,XLOOKUP($D328,OperationTickets!$A:$A,OperationTickets!I:I,"",0)),"hh:mm"))</f>
        <v>08:00</v>
      </c>
      <c r="G328" s="309">
        <f t="shared" si="3"/>
        <v>0.7083333333</v>
      </c>
      <c r="H328" s="316" t="str">
        <f t="array" ref="H328">XLOOKUP(B328,Roster!L:L,Roster!N:N,XLOOKUP(D328,TicketsBreak!A:A,TicketsBreak!E:E,"",0),0)</f>
        <v>09:15 - 09:30</v>
      </c>
      <c r="I328" s="316" t="str">
        <f t="array" ref="I328">XLOOKUP(B328,Roster!L:L,Roster!O:O,XLOOKUP(D328,TicketsBreak!A:A,TicketsBreak!F:F,"",0),0)</f>
        <v>11:30 - 12:00</v>
      </c>
      <c r="J328" s="316" t="str">
        <f t="array" ref="J328">XLOOKUP(B328,Roster!L:L,Roster!P:P,XLOOKUP(D328,TicketsBreak!A:A,TicketsBreak!G:G,"",0),0)</f>
        <v>14:30 - 14:45</v>
      </c>
      <c r="K328" s="310">
        <f t="shared" si="4"/>
        <v>46115</v>
      </c>
      <c r="L328" s="317">
        <f t="array" ref="L328">(XLOOKUP(D328,Roster!F:F,Roster!D:D,"",0))</f>
        <v>35</v>
      </c>
      <c r="M328" s="317" t="str">
        <f t="array" ref="M328">XLOOKUP(D328,Roster!F:F,Roster!E:E)</f>
        <v>Voice</v>
      </c>
      <c r="N328" s="317" t="str">
        <f t="shared" ref="N328:P328" si="337">LEFT(H328,5)</f>
        <v>09:15</v>
      </c>
      <c r="O328" s="317" t="str">
        <f t="shared" si="337"/>
        <v>11:30</v>
      </c>
      <c r="P328" s="317" t="str">
        <f t="shared" si="337"/>
        <v>14:30</v>
      </c>
      <c r="Q328" s="318">
        <f t="shared" si="240"/>
        <v>46115.38542</v>
      </c>
      <c r="R328" s="318">
        <f t="shared" si="241"/>
        <v>46115.47917</v>
      </c>
      <c r="S328" s="318">
        <f t="shared" si="8"/>
        <v>46115.60417</v>
      </c>
    </row>
    <row r="329">
      <c r="A329" s="14" t="str">
        <f t="shared" si="1"/>
        <v>C151546115</v>
      </c>
      <c r="B329" s="185">
        <f t="array" ref="B329">IF(F329="VL","",IF(F329="Free","Free",XLOOKUP(D329,Roster!T:T,Roster!S:S,"",0)))</f>
        <v>151</v>
      </c>
      <c r="C329" s="313">
        <v>46115.0</v>
      </c>
      <c r="D329" s="314" t="s">
        <v>38</v>
      </c>
      <c r="E329" s="307" t="str">
        <f t="array" ref="E329">(XLOOKUP(D329,Roster!F:F,Roster!B:B,"",0))</f>
        <v>Joan Perez</v>
      </c>
      <c r="F329" s="315" t="str">
        <f t="array" ref="F329">IF(B329=100,"Free",TEXT(XLOOKUP($D329,OperationVoice!$A:$A,OperationVoice!I:I,XLOOKUP($D329,OperationTickets!$A:$A,OperationTickets!I:I,"",0)),"hh:mm"))</f>
        <v/>
      </c>
      <c r="G329" s="309" t="str">
        <f t="shared" si="3"/>
        <v/>
      </c>
      <c r="H329" s="316" t="str">
        <f t="array" ref="H329">XLOOKUP(B329,Roster!L:L,Roster!N:N,XLOOKUP(D329,TicketsBreak!A:A,TicketsBreak!E:E,"",0),0)</f>
        <v>12:15 - 12:30</v>
      </c>
      <c r="I329" s="316" t="str">
        <f t="array" ref="I329">XLOOKUP(B329,Roster!L:L,Roster!O:O,XLOOKUP(D329,TicketsBreak!A:A,TicketsBreak!F:F,"",0),0)</f>
        <v>14:00 - 14:30</v>
      </c>
      <c r="J329" s="316" t="str">
        <f t="array" ref="J329">XLOOKUP(B329,Roster!L:L,Roster!P:P,XLOOKUP(D329,TicketsBreak!A:A,TicketsBreak!G:G,"",0),0)</f>
        <v>17:15 - 17:30</v>
      </c>
      <c r="K329" s="310">
        <f t="shared" si="4"/>
        <v>46115</v>
      </c>
      <c r="L329" s="317">
        <f t="array" ref="L329">(XLOOKUP(D329,Roster!F:F,Roster!D:D,"",0))</f>
        <v>35</v>
      </c>
      <c r="M329" s="317" t="str">
        <f t="array" ref="M329">XLOOKUP(D329,Roster!F:F,Roster!E:E)</f>
        <v>Voice</v>
      </c>
      <c r="N329" s="317" t="str">
        <f t="shared" ref="N329:P329" si="338">LEFT(H329,5)</f>
        <v>12:15</v>
      </c>
      <c r="O329" s="317" t="str">
        <f t="shared" si="338"/>
        <v>14:00</v>
      </c>
      <c r="P329" s="317" t="str">
        <f t="shared" si="338"/>
        <v>17:15</v>
      </c>
      <c r="Q329" s="318">
        <f t="shared" si="240"/>
        <v>46115.51042</v>
      </c>
      <c r="R329" s="318">
        <f t="shared" si="241"/>
        <v>46115.58333</v>
      </c>
      <c r="S329" s="318">
        <f t="shared" si="8"/>
        <v>46115.71875</v>
      </c>
    </row>
    <row r="330">
      <c r="A330" s="14" t="str">
        <f t="shared" si="1"/>
        <v>C128946115</v>
      </c>
      <c r="B330" s="185" t="str">
        <f t="array" ref="B330">IF(F330="VL","",IF(F330="Free","Free",XLOOKUP(D330,Roster!T:T,Roster!S:S,"",0)))</f>
        <v/>
      </c>
      <c r="C330" s="313">
        <v>46115.0</v>
      </c>
      <c r="D330" s="314" t="s">
        <v>140</v>
      </c>
      <c r="E330" s="307" t="str">
        <f t="array" ref="E330">(XLOOKUP(D330,Roster!F:F,Roster!B:B,"",0))</f>
        <v>Johana Villarreal</v>
      </c>
      <c r="F330" s="315" t="str">
        <f t="array" ref="F330">IF(B330=100,"Free",TEXT(XLOOKUP($D330,OperationVoice!$A:$A,OperationVoice!I:I,XLOOKUP($D330,OperationTickets!$A:$A,OperationTickets!I:I,"",0)),"hh:mm"))</f>
        <v>07:00</v>
      </c>
      <c r="G330" s="309">
        <f t="shared" si="3"/>
        <v>0.6666666667</v>
      </c>
      <c r="H330" s="316" t="str">
        <f t="array" ref="H330">XLOOKUP(B330,Roster!L:L,Roster!N:N,XLOOKUP(D330,TicketsBreak!A:A,TicketsBreak!E:E,"",0),0)</f>
        <v/>
      </c>
      <c r="I330" s="316" t="str">
        <f t="array" ref="I330">XLOOKUP(B330,Roster!L:L,Roster!O:O,XLOOKUP(D330,TicketsBreak!A:A,TicketsBreak!F:F,"",0),0)</f>
        <v/>
      </c>
      <c r="J330" s="316" t="str">
        <f t="array" ref="J330">XLOOKUP(B330,Roster!L:L,Roster!P:P,XLOOKUP(D330,TicketsBreak!A:A,TicketsBreak!G:G,"",0),0)</f>
        <v/>
      </c>
      <c r="K330" s="310">
        <f t="shared" si="4"/>
        <v>46115</v>
      </c>
      <c r="L330" s="317">
        <f t="array" ref="L330">(XLOOKUP(D330,Roster!F:F,Roster!D:D,"",0))</f>
        <v>28</v>
      </c>
      <c r="M330" s="317" t="str">
        <f t="array" ref="M330">XLOOKUP(D330,Roster!F:F,Roster!E:E)</f>
        <v>Tickets</v>
      </c>
      <c r="N330" s="317" t="str">
        <f t="shared" ref="N330:P330" si="339">LEFT(H330,5)</f>
        <v/>
      </c>
      <c r="O330" s="317" t="str">
        <f t="shared" si="339"/>
        <v/>
      </c>
      <c r="P330" s="317" t="str">
        <f t="shared" si="339"/>
        <v/>
      </c>
      <c r="Q330" s="318" t="str">
        <f t="shared" si="240"/>
        <v/>
      </c>
      <c r="R330" s="318" t="str">
        <f t="shared" si="241"/>
        <v/>
      </c>
      <c r="S330" s="318" t="str">
        <f t="shared" si="8"/>
        <v/>
      </c>
    </row>
    <row r="331">
      <c r="A331" s="14" t="str">
        <f t="shared" si="1"/>
        <v>C155146115</v>
      </c>
      <c r="B331" s="185" t="str">
        <f t="array" ref="B331">IF(F331="VL","",IF(F331="Free","Free",XLOOKUP(D331,Roster!T:T,Roster!S:S,"",0)))</f>
        <v>Free</v>
      </c>
      <c r="C331" s="313">
        <v>46115.0</v>
      </c>
      <c r="D331" s="314" t="s">
        <v>39</v>
      </c>
      <c r="E331" s="307" t="str">
        <f t="array" ref="E331">(XLOOKUP(D331,Roster!F:F,Roster!B:B,"",0))</f>
        <v>John Atilano</v>
      </c>
      <c r="F331" s="315" t="str">
        <f t="array" ref="F331">IF(B331=100,"Free",TEXT(XLOOKUP($D331,OperationVoice!$A:$A,OperationVoice!I:I,XLOOKUP($D331,OperationTickets!$A:$A,OperationTickets!I:I,"",0)),"hh:mm"))</f>
        <v>Free</v>
      </c>
      <c r="G331" s="309" t="str">
        <f t="shared" si="3"/>
        <v>Free</v>
      </c>
      <c r="H331" s="316" t="str">
        <f t="array" ref="H331">XLOOKUP(B331,Roster!L:L,Roster!N:N,XLOOKUP(D331,TicketsBreak!A:A,TicketsBreak!E:E,"",0),0)</f>
        <v/>
      </c>
      <c r="I331" s="316" t="str">
        <f t="array" ref="I331">XLOOKUP(B331,Roster!L:L,Roster!O:O,XLOOKUP(D331,TicketsBreak!A:A,TicketsBreak!F:F,"",0),0)</f>
        <v/>
      </c>
      <c r="J331" s="316" t="str">
        <f t="array" ref="J331">XLOOKUP(B331,Roster!L:L,Roster!P:P,XLOOKUP(D331,TicketsBreak!A:A,TicketsBreak!G:G,"",0),0)</f>
        <v/>
      </c>
      <c r="K331" s="310">
        <f t="shared" si="4"/>
        <v>46115</v>
      </c>
      <c r="L331" s="317">
        <f t="array" ref="L331">(XLOOKUP(D331,Roster!F:F,Roster!D:D,"",0))</f>
        <v>37</v>
      </c>
      <c r="M331" s="317" t="str">
        <f t="array" ref="M331">XLOOKUP(D331,Roster!F:F,Roster!E:E)</f>
        <v>Voice</v>
      </c>
      <c r="N331" s="317" t="str">
        <f t="shared" ref="N331:P331" si="340">LEFT(H331,5)</f>
        <v/>
      </c>
      <c r="O331" s="317" t="str">
        <f t="shared" si="340"/>
        <v/>
      </c>
      <c r="P331" s="317" t="str">
        <f t="shared" si="340"/>
        <v/>
      </c>
      <c r="Q331" s="318" t="str">
        <f t="shared" si="240"/>
        <v/>
      </c>
      <c r="R331" s="318" t="str">
        <f t="shared" si="241"/>
        <v/>
      </c>
      <c r="S331" s="318" t="str">
        <f t="shared" si="8"/>
        <v/>
      </c>
    </row>
    <row r="332">
      <c r="A332" s="14" t="str">
        <f t="shared" si="1"/>
        <v>C154346115</v>
      </c>
      <c r="B332" s="185">
        <f t="array" ref="B332">IF(F332="VL","",IF(F332="Free","Free",XLOOKUP(D332,Roster!T:T,Roster!S:S,"",0)))</f>
        <v>134</v>
      </c>
      <c r="C332" s="313">
        <v>46115.0</v>
      </c>
      <c r="D332" s="314" t="s">
        <v>40</v>
      </c>
      <c r="E332" s="307" t="str">
        <f t="array" ref="E332">(XLOOKUP(D332,Roster!F:F,Roster!B:B,"",0))</f>
        <v>John Palacio</v>
      </c>
      <c r="F332" s="315" t="str">
        <f t="array" ref="F332">IF(B332=100,"Free",TEXT(XLOOKUP($D332,OperationVoice!$A:$A,OperationVoice!I:I,XLOOKUP($D332,OperationTickets!$A:$A,OperationTickets!I:I,"",0)),"hh:mm"))</f>
        <v>09:00</v>
      </c>
      <c r="G332" s="309">
        <f t="shared" si="3"/>
        <v>0.75</v>
      </c>
      <c r="H332" s="316" t="str">
        <f t="array" ref="H332">XLOOKUP(B332,Roster!L:L,Roster!N:N,XLOOKUP(D332,TicketsBreak!A:A,TicketsBreak!E:E,"",0),0)</f>
        <v>11:00 - 11:15</v>
      </c>
      <c r="I332" s="316" t="str">
        <f t="array" ref="I332">XLOOKUP(B332,Roster!L:L,Roster!O:O,XLOOKUP(D332,TicketsBreak!A:A,TicketsBreak!F:F,"",0),0)</f>
        <v>13:45 - 14:15</v>
      </c>
      <c r="J332" s="316" t="str">
        <f t="array" ref="J332">XLOOKUP(B332,Roster!L:L,Roster!P:P,XLOOKUP(D332,TicketsBreak!A:A,TicketsBreak!G:G,"",0),0)</f>
        <v>16:00 - 16:15</v>
      </c>
      <c r="K332" s="310">
        <f t="shared" si="4"/>
        <v>46115</v>
      </c>
      <c r="L332" s="317">
        <f t="array" ref="L332">(XLOOKUP(D332,Roster!F:F,Roster!D:D,"",0))</f>
        <v>36</v>
      </c>
      <c r="M332" s="317" t="str">
        <f t="array" ref="M332">XLOOKUP(D332,Roster!F:F,Roster!E:E)</f>
        <v>Voice</v>
      </c>
      <c r="N332" s="317" t="str">
        <f t="shared" ref="N332:P332" si="341">LEFT(H332,5)</f>
        <v>11:00</v>
      </c>
      <c r="O332" s="317" t="str">
        <f t="shared" si="341"/>
        <v>13:45</v>
      </c>
      <c r="P332" s="317" t="str">
        <f t="shared" si="341"/>
        <v>16:00</v>
      </c>
      <c r="Q332" s="318">
        <f t="shared" si="240"/>
        <v>46115.45833</v>
      </c>
      <c r="R332" s="318">
        <f t="shared" si="241"/>
        <v>46115.57292</v>
      </c>
      <c r="S332" s="318">
        <f t="shared" si="8"/>
        <v>46115.66667</v>
      </c>
    </row>
    <row r="333">
      <c r="A333" s="14" t="str">
        <f t="shared" si="1"/>
        <v>C154246115</v>
      </c>
      <c r="B333" s="185" t="str">
        <f t="array" ref="B333">IF(F333="VL","",IF(F333="Free","Free",XLOOKUP(D333,Roster!T:T,Roster!S:S,"",0)))</f>
        <v>Free</v>
      </c>
      <c r="C333" s="313">
        <v>46115.0</v>
      </c>
      <c r="D333" s="314" t="s">
        <v>41</v>
      </c>
      <c r="E333" s="307" t="str">
        <f t="array" ref="E333">(XLOOKUP(D333,Roster!F:F,Roster!B:B,"",0))</f>
        <v>Johny Garcia</v>
      </c>
      <c r="F333" s="315" t="str">
        <f t="array" ref="F333">IF(B333=100,"Free",TEXT(XLOOKUP($D333,OperationVoice!$A:$A,OperationVoice!I:I,XLOOKUP($D333,OperationTickets!$A:$A,OperationTickets!I:I,"",0)),"hh:mm"))</f>
        <v>Free</v>
      </c>
      <c r="G333" s="309" t="str">
        <f t="shared" si="3"/>
        <v>Free</v>
      </c>
      <c r="H333" s="316" t="str">
        <f t="array" ref="H333">XLOOKUP(B333,Roster!L:L,Roster!N:N,XLOOKUP(D333,TicketsBreak!A:A,TicketsBreak!E:E,"",0),0)</f>
        <v/>
      </c>
      <c r="I333" s="316" t="str">
        <f t="array" ref="I333">XLOOKUP(B333,Roster!L:L,Roster!O:O,XLOOKUP(D333,TicketsBreak!A:A,TicketsBreak!F:F,"",0),0)</f>
        <v/>
      </c>
      <c r="J333" s="316" t="str">
        <f t="array" ref="J333">XLOOKUP(B333,Roster!L:L,Roster!P:P,XLOOKUP(D333,TicketsBreak!A:A,TicketsBreak!G:G,"",0),0)</f>
        <v/>
      </c>
      <c r="K333" s="310">
        <f t="shared" si="4"/>
        <v>46115</v>
      </c>
      <c r="L333" s="317">
        <f t="array" ref="L333">(XLOOKUP(D333,Roster!F:F,Roster!D:D,"",0))</f>
        <v>36</v>
      </c>
      <c r="M333" s="317" t="str">
        <f t="array" ref="M333">XLOOKUP(D333,Roster!F:F,Roster!E:E)</f>
        <v>Voice</v>
      </c>
      <c r="N333" s="317" t="str">
        <f t="shared" ref="N333:P333" si="342">LEFT(H333,5)</f>
        <v/>
      </c>
      <c r="O333" s="317" t="str">
        <f t="shared" si="342"/>
        <v/>
      </c>
      <c r="P333" s="317" t="str">
        <f t="shared" si="342"/>
        <v/>
      </c>
      <c r="Q333" s="318" t="str">
        <f t="shared" si="240"/>
        <v/>
      </c>
      <c r="R333" s="318" t="str">
        <f t="shared" si="241"/>
        <v/>
      </c>
      <c r="S333" s="318" t="str">
        <f t="shared" si="8"/>
        <v/>
      </c>
    </row>
    <row r="334">
      <c r="A334" s="14" t="str">
        <f t="shared" si="1"/>
        <v>C156946115</v>
      </c>
      <c r="B334" s="185">
        <f t="array" ref="B334">IF(F334="VL","",IF(F334="Free","Free",XLOOKUP(D334,Roster!T:T,Roster!S:S,"",0)))</f>
        <v>121</v>
      </c>
      <c r="C334" s="313">
        <v>46115.0</v>
      </c>
      <c r="D334" s="314" t="s">
        <v>42</v>
      </c>
      <c r="E334" s="307" t="str">
        <f t="array" ref="E334">(XLOOKUP(D334,Roster!F:F,Roster!B:B,"",0))</f>
        <v>Jorge Orozco</v>
      </c>
      <c r="F334" s="315" t="str">
        <f t="array" ref="F334">IF(B334=100,"Free",TEXT(XLOOKUP($D334,OperationVoice!$A:$A,OperationVoice!I:I,XLOOKUP($D334,OperationTickets!$A:$A,OperationTickets!I:I,"",0)),"hh:mm"))</f>
        <v>08:00</v>
      </c>
      <c r="G334" s="309">
        <f t="shared" si="3"/>
        <v>0.7083333333</v>
      </c>
      <c r="H334" s="316" t="str">
        <f t="array" ref="H334">XLOOKUP(B334,Roster!L:L,Roster!N:N,XLOOKUP(D334,TicketsBreak!A:A,TicketsBreak!E:E,"",0),0)</f>
        <v>09:15 - 09:30</v>
      </c>
      <c r="I334" s="316" t="str">
        <f t="array" ref="I334">XLOOKUP(B334,Roster!L:L,Roster!O:O,XLOOKUP(D334,TicketsBreak!A:A,TicketsBreak!F:F,"",0),0)</f>
        <v>11:30 - 12:00</v>
      </c>
      <c r="J334" s="316" t="str">
        <f t="array" ref="J334">XLOOKUP(B334,Roster!L:L,Roster!P:P,XLOOKUP(D334,TicketsBreak!A:A,TicketsBreak!G:G,"",0),0)</f>
        <v>14:30 - 14:45</v>
      </c>
      <c r="K334" s="310">
        <f t="shared" si="4"/>
        <v>46115</v>
      </c>
      <c r="L334" s="317">
        <f t="array" ref="L334">(XLOOKUP(D334,Roster!F:F,Roster!D:D,"",0))</f>
        <v>38</v>
      </c>
      <c r="M334" s="317" t="str">
        <f t="array" ref="M334">XLOOKUP(D334,Roster!F:F,Roster!E:E)</f>
        <v>Voice</v>
      </c>
      <c r="N334" s="317" t="str">
        <f t="shared" ref="N334:P334" si="343">LEFT(H334,5)</f>
        <v>09:15</v>
      </c>
      <c r="O334" s="317" t="str">
        <f t="shared" si="343"/>
        <v>11:30</v>
      </c>
      <c r="P334" s="317" t="str">
        <f t="shared" si="343"/>
        <v>14:30</v>
      </c>
      <c r="Q334" s="318">
        <f t="shared" si="240"/>
        <v>46115.38542</v>
      </c>
      <c r="R334" s="318">
        <f t="shared" si="241"/>
        <v>46115.47917</v>
      </c>
      <c r="S334" s="318">
        <f t="shared" si="8"/>
        <v>46115.60417</v>
      </c>
    </row>
    <row r="335">
      <c r="A335" s="14" t="str">
        <f t="shared" si="1"/>
        <v>C102746115</v>
      </c>
      <c r="B335" s="185" t="str">
        <f t="array" ref="B335">IF(F335="VL","",IF(F335="Free","Free",XLOOKUP(D335,Roster!T:T,Roster!S:S,"",0)))</f>
        <v/>
      </c>
      <c r="C335" s="313">
        <v>46115.0</v>
      </c>
      <c r="D335" s="314" t="s">
        <v>160</v>
      </c>
      <c r="E335" s="307" t="str">
        <f t="array" ref="E335">(XLOOKUP(D335,Roster!F:F,Roster!B:B,"",0))</f>
        <v>Jose Perez</v>
      </c>
      <c r="F335" s="315" t="str">
        <f t="array" ref="F335">IF(B335=100,"Free",TEXT(XLOOKUP($D335,OperationVoice!$A:$A,OperationVoice!I:I,XLOOKUP($D335,OperationTickets!$A:$A,OperationTickets!I:I,"",0)),"hh:mm"))</f>
        <v>VL</v>
      </c>
      <c r="G335" s="309" t="str">
        <f t="shared" si="3"/>
        <v>VL</v>
      </c>
      <c r="H335" s="316">
        <f t="array" ref="H335">XLOOKUP(B335,Roster!L:L,Roster!N:N,XLOOKUP(D335,TicketsBreak!A:A,TicketsBreak!E:E,"",0),0)</f>
        <v>0.4166666667</v>
      </c>
      <c r="I335" s="316">
        <f t="array" ref="I335">XLOOKUP(B335,Roster!L:L,Roster!O:O,XLOOKUP(D335,TicketsBreak!A:A,TicketsBreak!F:F,"",0),0)</f>
        <v>0.5208333333</v>
      </c>
      <c r="J335" s="316">
        <f t="array" ref="J335">XLOOKUP(B335,Roster!L:L,Roster!P:P,XLOOKUP(D335,TicketsBreak!A:A,TicketsBreak!G:G,"",0),0)</f>
        <v>0.6354166667</v>
      </c>
      <c r="K335" s="310">
        <f t="shared" si="4"/>
        <v>46115</v>
      </c>
      <c r="L335" s="317">
        <f t="array" ref="L335">(XLOOKUP(D335,Roster!F:F,Roster!D:D,"",0))</f>
        <v>15</v>
      </c>
      <c r="M335" s="317" t="str">
        <f t="array" ref="M335">XLOOKUP(D335,Roster!F:F,Roster!E:E)</f>
        <v>Tickets</v>
      </c>
      <c r="N335" s="317" t="str">
        <f t="shared" ref="N335:P335" si="344">LEFT(H335,5)</f>
        <v>10:00</v>
      </c>
      <c r="O335" s="317" t="str">
        <f t="shared" si="344"/>
        <v>12:30</v>
      </c>
      <c r="P335" s="317" t="str">
        <f t="shared" si="344"/>
        <v>15:15</v>
      </c>
      <c r="Q335" s="318">
        <f t="shared" si="240"/>
        <v>46115.41667</v>
      </c>
      <c r="R335" s="318">
        <f t="shared" si="241"/>
        <v>46115.52083</v>
      </c>
      <c r="S335" s="318">
        <f t="shared" si="8"/>
        <v>46115.63542</v>
      </c>
    </row>
    <row r="336">
      <c r="A336" s="14" t="str">
        <f t="shared" si="1"/>
        <v>C142646115</v>
      </c>
      <c r="B336" s="185" t="str">
        <f t="array" ref="B336">IF(F336="VL","",IF(F336="Free","Free",XLOOKUP(D336,Roster!T:T,Roster!S:S,"",0)))</f>
        <v>Free</v>
      </c>
      <c r="C336" s="313">
        <v>46115.0</v>
      </c>
      <c r="D336" s="314" t="s">
        <v>161</v>
      </c>
      <c r="E336" s="307" t="str">
        <f t="array" ref="E336">(XLOOKUP(D336,Roster!F:F,Roster!B:B,"",0))</f>
        <v>Jose Zapata</v>
      </c>
      <c r="F336" s="315" t="str">
        <f t="array" ref="F336">IF(B336=100,"Free",TEXT(XLOOKUP($D336,OperationVoice!$A:$A,OperationVoice!I:I,XLOOKUP($D336,OperationTickets!$A:$A,OperationTickets!I:I,"",0)),"hh:mm"))</f>
        <v>Free</v>
      </c>
      <c r="G336" s="309" t="str">
        <f t="shared" si="3"/>
        <v>Free</v>
      </c>
      <c r="H336" s="316" t="str">
        <f t="array" ref="H336">XLOOKUP(B336,Roster!L:L,Roster!N:N,XLOOKUP(D336,TicketsBreak!A:A,TicketsBreak!E:E,"",0),0)</f>
        <v/>
      </c>
      <c r="I336" s="316" t="str">
        <f t="array" ref="I336">XLOOKUP(B336,Roster!L:L,Roster!O:O,XLOOKUP(D336,TicketsBreak!A:A,TicketsBreak!F:F,"",0),0)</f>
        <v/>
      </c>
      <c r="J336" s="316" t="str">
        <f t="array" ref="J336">XLOOKUP(B336,Roster!L:L,Roster!P:P,XLOOKUP(D336,TicketsBreak!A:A,TicketsBreak!G:G,"",0),0)</f>
        <v/>
      </c>
      <c r="K336" s="310">
        <f t="shared" si="4"/>
        <v>46115</v>
      </c>
      <c r="L336" s="317">
        <f t="array" ref="L336">(XLOOKUP(D336,Roster!F:F,Roster!D:D,"",0))</f>
        <v>32</v>
      </c>
      <c r="M336" s="317" t="str">
        <f t="array" ref="M336">XLOOKUP(D336,Roster!F:F,Roster!E:E)</f>
        <v>Tickets</v>
      </c>
      <c r="N336" s="317" t="str">
        <f t="shared" ref="N336:P336" si="345">LEFT(H336,5)</f>
        <v/>
      </c>
      <c r="O336" s="317" t="str">
        <f t="shared" si="345"/>
        <v/>
      </c>
      <c r="P336" s="317" t="str">
        <f t="shared" si="345"/>
        <v/>
      </c>
      <c r="Q336" s="318" t="str">
        <f t="shared" si="240"/>
        <v/>
      </c>
      <c r="R336" s="318" t="str">
        <f t="shared" si="241"/>
        <v/>
      </c>
      <c r="S336" s="318" t="str">
        <f t="shared" si="8"/>
        <v/>
      </c>
    </row>
    <row r="337">
      <c r="A337" s="14" t="str">
        <f t="shared" si="1"/>
        <v>C153346115</v>
      </c>
      <c r="B337" s="185">
        <f t="array" ref="B337">IF(F337="VL","",IF(F337="Free","Free",XLOOKUP(D337,Roster!T:T,Roster!S:S,"",0)))</f>
        <v>125</v>
      </c>
      <c r="C337" s="313">
        <v>46115.0</v>
      </c>
      <c r="D337" s="314" t="s">
        <v>43</v>
      </c>
      <c r="E337" s="307" t="str">
        <f t="array" ref="E337">(XLOOKUP(D337,Roster!F:F,Roster!B:B,"",0))</f>
        <v>Juan Barrera</v>
      </c>
      <c r="F337" s="315" t="str">
        <f t="array" ref="F337">IF(B337=100,"Free",TEXT(XLOOKUP($D337,OperationVoice!$A:$A,OperationVoice!I:I,XLOOKUP($D337,OperationTickets!$A:$A,OperationTickets!I:I,"",0)),"hh:mm"))</f>
        <v>08:00</v>
      </c>
      <c r="G337" s="309">
        <f t="shared" si="3"/>
        <v>0.7083333333</v>
      </c>
      <c r="H337" s="316" t="str">
        <f t="array" ref="H337">XLOOKUP(B337,Roster!L:L,Roster!N:N,XLOOKUP(D337,TicketsBreak!A:A,TicketsBreak!E:E,"",0),0)</f>
        <v>10:30 - 10:45</v>
      </c>
      <c r="I337" s="316" t="str">
        <f t="array" ref="I337">XLOOKUP(B337,Roster!L:L,Roster!O:O,XLOOKUP(D337,TicketsBreak!A:A,TicketsBreak!F:F,"",0),0)</f>
        <v>13:30 - 14:00</v>
      </c>
      <c r="J337" s="316" t="str">
        <f t="array" ref="J337">XLOOKUP(B337,Roster!L:L,Roster!P:P,XLOOKUP(D337,TicketsBreak!A:A,TicketsBreak!G:G,"",0),0)</f>
        <v>15:45 - 16:00</v>
      </c>
      <c r="K337" s="310">
        <f t="shared" si="4"/>
        <v>46115</v>
      </c>
      <c r="L337" s="317">
        <f t="array" ref="L337">(XLOOKUP(D337,Roster!F:F,Roster!D:D,"",0))</f>
        <v>36</v>
      </c>
      <c r="M337" s="317" t="str">
        <f t="array" ref="M337">XLOOKUP(D337,Roster!F:F,Roster!E:E)</f>
        <v>Voice</v>
      </c>
      <c r="N337" s="317" t="str">
        <f t="shared" ref="N337:P337" si="346">LEFT(H337,5)</f>
        <v>10:30</v>
      </c>
      <c r="O337" s="317" t="str">
        <f t="shared" si="346"/>
        <v>13:30</v>
      </c>
      <c r="P337" s="317" t="str">
        <f t="shared" si="346"/>
        <v>15:45</v>
      </c>
      <c r="Q337" s="318">
        <f t="shared" si="240"/>
        <v>46115.4375</v>
      </c>
      <c r="R337" s="318">
        <f t="shared" si="241"/>
        <v>46115.5625</v>
      </c>
      <c r="S337" s="318">
        <f t="shared" si="8"/>
        <v>46115.65625</v>
      </c>
    </row>
    <row r="338">
      <c r="A338" s="14" t="str">
        <f t="shared" si="1"/>
        <v>C146546115</v>
      </c>
      <c r="B338" s="185">
        <f t="array" ref="B338">IF(F338="VL","",IF(F338="Free","Free",XLOOKUP(D338,Roster!T:T,Roster!S:S,"",0)))</f>
        <v>500</v>
      </c>
      <c r="C338" s="313">
        <v>46115.0</v>
      </c>
      <c r="D338" s="314" t="s">
        <v>44</v>
      </c>
      <c r="E338" s="307" t="str">
        <f t="array" ref="E338">(XLOOKUP(D338,Roster!F:F,Roster!B:B,"",0))</f>
        <v>Juan Castilla</v>
      </c>
      <c r="F338" s="315" t="str">
        <f t="array" ref="F338">IF(B338=100,"Free",TEXT(XLOOKUP($D338,OperationVoice!$A:$A,OperationVoice!I:I,XLOOKUP($D338,OperationTickets!$A:$A,OperationTickets!I:I,"",0)),"hh:mm"))</f>
        <v>08:00</v>
      </c>
      <c r="G338" s="309">
        <f t="shared" si="3"/>
        <v>0.7083333333</v>
      </c>
      <c r="H338" s="316" t="str">
        <f t="array" ref="H338">XLOOKUP(B338,Roster!L:L,Roster!N:N,XLOOKUP(D338,TicketsBreak!A:A,TicketsBreak!E:E,"",0),0)</f>
        <v>Team Leader</v>
      </c>
      <c r="I338" s="316" t="str">
        <f t="array" ref="I338">XLOOKUP(B338,Roster!L:L,Roster!O:O,XLOOKUP(D338,TicketsBreak!A:A,TicketsBreak!F:F,"",0),0)</f>
        <v>Team Leader</v>
      </c>
      <c r="J338" s="316" t="str">
        <f t="array" ref="J338">XLOOKUP(B338,Roster!L:L,Roster!P:P,XLOOKUP(D338,TicketsBreak!A:A,TicketsBreak!G:G,"",0),0)</f>
        <v/>
      </c>
      <c r="K338" s="310">
        <f t="shared" si="4"/>
        <v>46115</v>
      </c>
      <c r="L338" s="317">
        <f t="array" ref="L338">(XLOOKUP(D338,Roster!F:F,Roster!D:D,"",0))</f>
        <v>33</v>
      </c>
      <c r="M338" s="317" t="str">
        <f t="array" ref="M338">XLOOKUP(D338,Roster!F:F,Roster!E:E)</f>
        <v>Voice</v>
      </c>
      <c r="N338" s="317" t="str">
        <f t="shared" ref="N338:P338" si="347">LEFT(H338,5)</f>
        <v>Team </v>
      </c>
      <c r="O338" s="317" t="str">
        <f t="shared" si="347"/>
        <v>Team </v>
      </c>
      <c r="P338" s="317" t="str">
        <f t="shared" si="347"/>
        <v/>
      </c>
      <c r="Q338" s="318" t="str">
        <f t="shared" si="240"/>
        <v>#VALUE!</v>
      </c>
      <c r="R338" s="318" t="str">
        <f t="shared" si="241"/>
        <v>#VALUE!</v>
      </c>
      <c r="S338" s="318" t="str">
        <f t="shared" si="8"/>
        <v/>
      </c>
    </row>
    <row r="339">
      <c r="A339" s="14" t="str">
        <f t="shared" si="1"/>
        <v>C72046115</v>
      </c>
      <c r="B339" s="185" t="str">
        <f t="array" ref="B339">IF(F339="VL","",IF(F339="Free","Free",XLOOKUP(D339,Roster!T:T,Roster!S:S,"",0)))</f>
        <v/>
      </c>
      <c r="C339" s="313">
        <v>46115.0</v>
      </c>
      <c r="D339" s="314" t="s">
        <v>162</v>
      </c>
      <c r="E339" s="307" t="str">
        <f t="array" ref="E339">(XLOOKUP(D339,Roster!F:F,Roster!B:B,"",0))</f>
        <v>Juan Durango</v>
      </c>
      <c r="F339" s="315" t="str">
        <f t="array" ref="F339">IF(B339=100,"Free",TEXT(XLOOKUP($D339,OperationVoice!$A:$A,OperationVoice!I:I,XLOOKUP($D339,OperationTickets!$A:$A,OperationTickets!I:I,"",0)),"hh:mm"))</f>
        <v>08:00</v>
      </c>
      <c r="G339" s="309">
        <f t="shared" si="3"/>
        <v>0.7083333333</v>
      </c>
      <c r="H339" s="316">
        <f t="array" ref="H339">XLOOKUP(B339,Roster!L:L,Roster!N:N,XLOOKUP(D339,TicketsBreak!A:A,TicketsBreak!E:E,"",0),0)</f>
        <v>0.40625</v>
      </c>
      <c r="I339" s="316">
        <f t="array" ref="I339">XLOOKUP(B339,Roster!L:L,Roster!O:O,XLOOKUP(D339,TicketsBreak!A:A,TicketsBreak!F:F,"",0),0)</f>
        <v>0.5729166667</v>
      </c>
      <c r="J339" s="316">
        <f t="array" ref="J339">XLOOKUP(B339,Roster!L:L,Roster!P:P,XLOOKUP(D339,TicketsBreak!A:A,TicketsBreak!G:G,"",0),0)</f>
        <v>0.65625</v>
      </c>
      <c r="K339" s="310">
        <f t="shared" si="4"/>
        <v>46115</v>
      </c>
      <c r="L339" s="317">
        <f t="array" ref="L339">(XLOOKUP(D339,Roster!F:F,Roster!D:D,"",0))</f>
        <v>7</v>
      </c>
      <c r="M339" s="317" t="str">
        <f t="array" ref="M339">XLOOKUP(D339,Roster!F:F,Roster!E:E)</f>
        <v>Tickets</v>
      </c>
      <c r="N339" s="317" t="str">
        <f t="shared" ref="N339:P339" si="348">LEFT(H339,5)</f>
        <v>09:45</v>
      </c>
      <c r="O339" s="317" t="str">
        <f t="shared" si="348"/>
        <v>13:45</v>
      </c>
      <c r="P339" s="317" t="str">
        <f t="shared" si="348"/>
        <v>15:45</v>
      </c>
      <c r="Q339" s="318">
        <f t="shared" si="240"/>
        <v>46115.40625</v>
      </c>
      <c r="R339" s="318">
        <f t="shared" si="241"/>
        <v>46115.57292</v>
      </c>
      <c r="S339" s="318">
        <f t="shared" si="8"/>
        <v>46115.65625</v>
      </c>
    </row>
    <row r="340">
      <c r="A340" s="14" t="str">
        <f t="shared" si="1"/>
        <v>C59846115</v>
      </c>
      <c r="B340" s="185" t="str">
        <f t="array" ref="B340">IF(F340="VL","",IF(F340="Free","Free",XLOOKUP(D340,Roster!T:T,Roster!S:S,"",0)))</f>
        <v/>
      </c>
      <c r="C340" s="313">
        <v>46115.0</v>
      </c>
      <c r="D340" s="314" t="s">
        <v>314</v>
      </c>
      <c r="E340" s="307" t="str">
        <f t="array" ref="E340">(XLOOKUP(D340,Roster!F:F,Roster!B:B,"",0))</f>
        <v>Juan Fonnegra</v>
      </c>
      <c r="F340" s="315" t="str">
        <f t="array" ref="F340">IF(B340=100,"Free",TEXT(XLOOKUP($D340,OperationVoice!$A:$A,OperationVoice!I:I,XLOOKUP($D340,OperationTickets!$A:$A,OperationTickets!I:I,"",0)),"hh:mm"))</f>
        <v/>
      </c>
      <c r="G340" s="309" t="str">
        <f t="shared" si="3"/>
        <v/>
      </c>
      <c r="H340" s="316">
        <f t="array" ref="H340">XLOOKUP(B340,Roster!L:L,Roster!N:N,XLOOKUP(D340,TicketsBreak!A:A,TicketsBreak!E:E,"",0),0)</f>
        <v>0.4166666667</v>
      </c>
      <c r="I340" s="316">
        <f t="array" ref="I340">XLOOKUP(B340,Roster!L:L,Roster!O:O,XLOOKUP(D340,TicketsBreak!A:A,TicketsBreak!F:F,"",0),0)</f>
        <v>0.5208333333</v>
      </c>
      <c r="J340" s="316">
        <f t="array" ref="J340">XLOOKUP(B340,Roster!L:L,Roster!P:P,XLOOKUP(D340,TicketsBreak!A:A,TicketsBreak!G:G,"",0),0)</f>
        <v>0.65625</v>
      </c>
      <c r="K340" s="310">
        <f t="shared" si="4"/>
        <v>46115</v>
      </c>
      <c r="L340" s="317">
        <f t="array" ref="L340">(XLOOKUP(D340,Roster!F:F,Roster!D:D,"",0))</f>
        <v>1</v>
      </c>
      <c r="M340" s="317" t="str">
        <f t="array" ref="M340">XLOOKUP(D340,Roster!F:F,Roster!E:E)</f>
        <v>Tickets</v>
      </c>
      <c r="N340" s="317" t="str">
        <f t="shared" ref="N340:P340" si="349">LEFT(H340,5)</f>
        <v>10:00</v>
      </c>
      <c r="O340" s="317" t="str">
        <f t="shared" si="349"/>
        <v>12:30</v>
      </c>
      <c r="P340" s="317" t="str">
        <f t="shared" si="349"/>
        <v>15:45</v>
      </c>
      <c r="Q340" s="318">
        <f t="shared" si="240"/>
        <v>46115.41667</v>
      </c>
      <c r="R340" s="318">
        <f t="shared" si="241"/>
        <v>46115.52083</v>
      </c>
      <c r="S340" s="318">
        <f t="shared" si="8"/>
        <v>46115.65625</v>
      </c>
    </row>
    <row r="341">
      <c r="A341" s="14" t="str">
        <f t="shared" si="1"/>
        <v>C113946115</v>
      </c>
      <c r="B341" s="185">
        <f t="array" ref="B341">IF(F341="VL","",IF(F341="Free","Free",XLOOKUP(D341,Roster!T:T,Roster!S:S,"",0)))</f>
        <v>125</v>
      </c>
      <c r="C341" s="313">
        <v>46115.0</v>
      </c>
      <c r="D341" s="314" t="s">
        <v>45</v>
      </c>
      <c r="E341" s="307" t="str">
        <f t="array" ref="E341">(XLOOKUP(D341,Roster!F:F,Roster!B:B,"",0))</f>
        <v>Juan Largacha</v>
      </c>
      <c r="F341" s="315" t="str">
        <f t="array" ref="F341">IF(B341=100,"Free",TEXT(XLOOKUP($D341,OperationVoice!$A:$A,OperationVoice!I:I,XLOOKUP($D341,OperationTickets!$A:$A,OperationTickets!I:I,"",0)),"hh:mm"))</f>
        <v>08:00</v>
      </c>
      <c r="G341" s="309">
        <f t="shared" si="3"/>
        <v>0.7083333333</v>
      </c>
      <c r="H341" s="316" t="str">
        <f t="array" ref="H341">XLOOKUP(B341,Roster!L:L,Roster!N:N,XLOOKUP(D341,TicketsBreak!A:A,TicketsBreak!E:E,"",0),0)</f>
        <v>10:30 - 10:45</v>
      </c>
      <c r="I341" s="316" t="str">
        <f t="array" ref="I341">XLOOKUP(B341,Roster!L:L,Roster!O:O,XLOOKUP(D341,TicketsBreak!A:A,TicketsBreak!F:F,"",0),0)</f>
        <v>13:30 - 14:00</v>
      </c>
      <c r="J341" s="316" t="str">
        <f t="array" ref="J341">XLOOKUP(B341,Roster!L:L,Roster!P:P,XLOOKUP(D341,TicketsBreak!A:A,TicketsBreak!G:G,"",0),0)</f>
        <v>15:45 - 16:00</v>
      </c>
      <c r="K341" s="310">
        <f t="shared" si="4"/>
        <v>46115</v>
      </c>
      <c r="L341" s="317">
        <f t="array" ref="L341">(XLOOKUP(D341,Roster!F:F,Roster!D:D,"",0))</f>
        <v>22</v>
      </c>
      <c r="M341" s="317" t="str">
        <f t="array" ref="M341">XLOOKUP(D341,Roster!F:F,Roster!E:E)</f>
        <v>Voice</v>
      </c>
      <c r="N341" s="317" t="str">
        <f t="shared" ref="N341:P341" si="350">LEFT(H341,5)</f>
        <v>10:30</v>
      </c>
      <c r="O341" s="317" t="str">
        <f t="shared" si="350"/>
        <v>13:30</v>
      </c>
      <c r="P341" s="317" t="str">
        <f t="shared" si="350"/>
        <v>15:45</v>
      </c>
      <c r="Q341" s="318">
        <f t="shared" si="240"/>
        <v>46115.4375</v>
      </c>
      <c r="R341" s="318">
        <f t="shared" si="241"/>
        <v>46115.5625</v>
      </c>
      <c r="S341" s="318">
        <f t="shared" si="8"/>
        <v>46115.65625</v>
      </c>
    </row>
    <row r="342">
      <c r="A342" s="14" t="str">
        <f t="shared" si="1"/>
        <v>C156646115</v>
      </c>
      <c r="B342" s="185">
        <f t="array" ref="B342">IF(F342="VL","",IF(F342="Free","Free",XLOOKUP(D342,Roster!T:T,Roster!S:S,"",0)))</f>
        <v>124</v>
      </c>
      <c r="C342" s="313">
        <v>46115.0</v>
      </c>
      <c r="D342" s="314" t="s">
        <v>46</v>
      </c>
      <c r="E342" s="307" t="str">
        <f t="array" ref="E342">(XLOOKUP(D342,Roster!F:F,Roster!B:B,"",0))</f>
        <v>Juan Ocampo</v>
      </c>
      <c r="F342" s="315" t="str">
        <f t="array" ref="F342">IF(B342=100,"Free",TEXT(XLOOKUP($D342,OperationVoice!$A:$A,OperationVoice!I:I,XLOOKUP($D342,OperationTickets!$A:$A,OperationTickets!I:I,"",0)),"hh:mm"))</f>
        <v>11:00</v>
      </c>
      <c r="G342" s="309">
        <f t="shared" si="3"/>
        <v>0.8333333333</v>
      </c>
      <c r="H342" s="316" t="str">
        <f t="array" ref="H342">XLOOKUP(B342,Roster!L:L,Roster!N:N,XLOOKUP(D342,TicketsBreak!A:A,TicketsBreak!E:E,"",0),0)</f>
        <v>10:00 - 10:15</v>
      </c>
      <c r="I342" s="316" t="str">
        <f t="array" ref="I342">XLOOKUP(B342,Roster!L:L,Roster!O:O,XLOOKUP(D342,TicketsBreak!A:A,TicketsBreak!F:F,"",0),0)</f>
        <v>13:00 - 13:30</v>
      </c>
      <c r="J342" s="316" t="str">
        <f t="array" ref="J342">XLOOKUP(B342,Roster!L:L,Roster!P:P,XLOOKUP(D342,TicketsBreak!A:A,TicketsBreak!G:G,"",0),0)</f>
        <v>15:30 - 15:45</v>
      </c>
      <c r="K342" s="310">
        <f t="shared" si="4"/>
        <v>46115</v>
      </c>
      <c r="L342" s="317">
        <f t="array" ref="L342">(XLOOKUP(D342,Roster!F:F,Roster!D:D,"",0))</f>
        <v>38</v>
      </c>
      <c r="M342" s="317" t="str">
        <f t="array" ref="M342">XLOOKUP(D342,Roster!F:F,Roster!E:E)</f>
        <v>Voice</v>
      </c>
      <c r="N342" s="317" t="str">
        <f t="shared" ref="N342:P342" si="351">LEFT(H342,5)</f>
        <v>10:00</v>
      </c>
      <c r="O342" s="317" t="str">
        <f t="shared" si="351"/>
        <v>13:00</v>
      </c>
      <c r="P342" s="317" t="str">
        <f t="shared" si="351"/>
        <v>15:30</v>
      </c>
      <c r="Q342" s="318">
        <f t="shared" si="240"/>
        <v>46115.41667</v>
      </c>
      <c r="R342" s="318">
        <f t="shared" si="241"/>
        <v>46115.54167</v>
      </c>
      <c r="S342" s="318">
        <f t="shared" si="8"/>
        <v>46115.64583</v>
      </c>
    </row>
    <row r="343">
      <c r="A343" s="14" t="str">
        <f t="shared" si="1"/>
        <v>C148446115</v>
      </c>
      <c r="B343" s="185">
        <f t="array" ref="B343">IF(F343="VL","",IF(F343="Free","Free",XLOOKUP(D343,Roster!T:T,Roster!S:S,"",0)))</f>
        <v>126</v>
      </c>
      <c r="C343" s="313">
        <v>46115.0</v>
      </c>
      <c r="D343" s="314" t="s">
        <v>141</v>
      </c>
      <c r="E343" s="307" t="str">
        <f t="array" ref="E343">(XLOOKUP(D343,Roster!F:F,Roster!B:B,"",0))</f>
        <v>Juan Ospina</v>
      </c>
      <c r="F343" s="315" t="str">
        <f t="array" ref="F343">IF(B343=100,"Free",TEXT(XLOOKUP($D343,OperationVoice!$A:$A,OperationVoice!I:I,XLOOKUP($D343,OperationTickets!$A:$A,OperationTickets!I:I,"",0)),"hh:mm"))</f>
        <v>08:00</v>
      </c>
      <c r="G343" s="309">
        <f t="shared" si="3"/>
        <v>0.7083333333</v>
      </c>
      <c r="H343" s="316" t="str">
        <f t="array" ref="H343">XLOOKUP(B343,Roster!L:L,Roster!N:N,XLOOKUP(D343,TicketsBreak!A:A,TicketsBreak!E:E,"",0),0)</f>
        <v>10:45 - 11:00</v>
      </c>
      <c r="I343" s="316" t="str">
        <f t="array" ref="I343">XLOOKUP(B343,Roster!L:L,Roster!O:O,XLOOKUP(D343,TicketsBreak!A:A,TicketsBreak!F:F,"",0),0)</f>
        <v>14:00 - 14:30</v>
      </c>
      <c r="J343" s="316" t="str">
        <f t="array" ref="J343">XLOOKUP(B343,Roster!L:L,Roster!P:P,XLOOKUP(D343,TicketsBreak!A:A,TicketsBreak!G:G,"",0),0)</f>
        <v>15:45 - 16:00</v>
      </c>
      <c r="K343" s="310">
        <f t="shared" si="4"/>
        <v>46115</v>
      </c>
      <c r="L343" s="317">
        <f t="array" ref="L343">(XLOOKUP(D343,Roster!F:F,Roster!D:D,"",0))</f>
        <v>34</v>
      </c>
      <c r="M343" s="317" t="str">
        <f t="array" ref="M343">XLOOKUP(D343,Roster!F:F,Roster!E:E)</f>
        <v>Tickets</v>
      </c>
      <c r="N343" s="317" t="str">
        <f t="shared" ref="N343:P343" si="352">LEFT(H343,5)</f>
        <v>10:45</v>
      </c>
      <c r="O343" s="317" t="str">
        <f t="shared" si="352"/>
        <v>14:00</v>
      </c>
      <c r="P343" s="317" t="str">
        <f t="shared" si="352"/>
        <v>15:45</v>
      </c>
      <c r="Q343" s="318">
        <f t="shared" si="240"/>
        <v>46115.44792</v>
      </c>
      <c r="R343" s="318">
        <f t="shared" si="241"/>
        <v>46115.58333</v>
      </c>
      <c r="S343" s="318">
        <f t="shared" si="8"/>
        <v>46115.65625</v>
      </c>
    </row>
    <row r="344">
      <c r="A344" s="14" t="str">
        <f t="shared" si="1"/>
        <v>C141346115</v>
      </c>
      <c r="B344" s="185">
        <f t="array" ref="B344">IF(F344="VL","",IF(F344="Free","Free",XLOOKUP(D344,Roster!T:T,Roster!S:S,"",0)))</f>
        <v>121</v>
      </c>
      <c r="C344" s="313">
        <v>46115.0</v>
      </c>
      <c r="D344" s="314" t="s">
        <v>47</v>
      </c>
      <c r="E344" s="307" t="str">
        <f t="array" ref="E344">(XLOOKUP(D344,Roster!F:F,Roster!B:B,"",0))</f>
        <v>Juan Parra</v>
      </c>
      <c r="F344" s="315" t="str">
        <f t="array" ref="F344">IF(B344=100,"Free",TEXT(XLOOKUP($D344,OperationVoice!$A:$A,OperationVoice!I:I,XLOOKUP($D344,OperationTickets!$A:$A,OperationTickets!I:I,"",0)),"hh:mm"))</f>
        <v>08:00</v>
      </c>
      <c r="G344" s="309">
        <f t="shared" si="3"/>
        <v>0.7083333333</v>
      </c>
      <c r="H344" s="316" t="str">
        <f t="array" ref="H344">XLOOKUP(B344,Roster!L:L,Roster!N:N,XLOOKUP(D344,TicketsBreak!A:A,TicketsBreak!E:E,"",0),0)</f>
        <v>09:15 - 09:30</v>
      </c>
      <c r="I344" s="316" t="str">
        <f t="array" ref="I344">XLOOKUP(B344,Roster!L:L,Roster!O:O,XLOOKUP(D344,TicketsBreak!A:A,TicketsBreak!F:F,"",0),0)</f>
        <v>11:30 - 12:00</v>
      </c>
      <c r="J344" s="316" t="str">
        <f t="array" ref="J344">XLOOKUP(B344,Roster!L:L,Roster!P:P,XLOOKUP(D344,TicketsBreak!A:A,TicketsBreak!G:G,"",0),0)</f>
        <v>14:30 - 14:45</v>
      </c>
      <c r="K344" s="310">
        <f t="shared" si="4"/>
        <v>46115</v>
      </c>
      <c r="L344" s="317">
        <f t="array" ref="L344">(XLOOKUP(D344,Roster!F:F,Roster!D:D,"",0))</f>
        <v>32</v>
      </c>
      <c r="M344" s="317" t="str">
        <f t="array" ref="M344">XLOOKUP(D344,Roster!F:F,Roster!E:E)</f>
        <v>Voice</v>
      </c>
      <c r="N344" s="317" t="str">
        <f t="shared" ref="N344:P344" si="353">LEFT(H344,5)</f>
        <v>09:15</v>
      </c>
      <c r="O344" s="317" t="str">
        <f t="shared" si="353"/>
        <v>11:30</v>
      </c>
      <c r="P344" s="317" t="str">
        <f t="shared" si="353"/>
        <v>14:30</v>
      </c>
      <c r="Q344" s="318">
        <f t="shared" si="240"/>
        <v>46115.38542</v>
      </c>
      <c r="R344" s="318">
        <f t="shared" si="241"/>
        <v>46115.47917</v>
      </c>
      <c r="S344" s="318">
        <f t="shared" si="8"/>
        <v>46115.60417</v>
      </c>
    </row>
    <row r="345">
      <c r="A345" s="14" t="str">
        <f t="shared" si="1"/>
        <v>C132746115</v>
      </c>
      <c r="B345" s="185" t="str">
        <f t="array" ref="B345">IF(F345="VL","",IF(F345="Free","Free",XLOOKUP(D345,Roster!T:T,Roster!S:S,"",0)))</f>
        <v/>
      </c>
      <c r="C345" s="313">
        <v>46115.0</v>
      </c>
      <c r="D345" s="314" t="s">
        <v>163</v>
      </c>
      <c r="E345" s="307" t="str">
        <f t="array" ref="E345">(XLOOKUP(D345,Roster!F:F,Roster!B:B,"",0))</f>
        <v>Juan Restrepo</v>
      </c>
      <c r="F345" s="315" t="str">
        <f t="array" ref="F345">IF(B345=100,"Free",TEXT(XLOOKUP($D345,OperationVoice!$A:$A,OperationVoice!I:I,XLOOKUP($D345,OperationTickets!$A:$A,OperationTickets!I:I,"",0)),"hh:mm"))</f>
        <v>08:00</v>
      </c>
      <c r="G345" s="309">
        <f t="shared" si="3"/>
        <v>0.7083333333</v>
      </c>
      <c r="H345" s="316" t="str">
        <f t="array" ref="H345">XLOOKUP(B345,Roster!L:L,Roster!N:N,XLOOKUP(D345,TicketsBreak!A:A,TicketsBreak!E:E,"",0),0)</f>
        <v/>
      </c>
      <c r="I345" s="316" t="str">
        <f t="array" ref="I345">XLOOKUP(B345,Roster!L:L,Roster!O:O,XLOOKUP(D345,TicketsBreak!A:A,TicketsBreak!F:F,"",0),0)</f>
        <v/>
      </c>
      <c r="J345" s="316" t="str">
        <f t="array" ref="J345">XLOOKUP(B345,Roster!L:L,Roster!P:P,XLOOKUP(D345,TicketsBreak!A:A,TicketsBreak!G:G,"",0),0)</f>
        <v/>
      </c>
      <c r="K345" s="310">
        <f t="shared" si="4"/>
        <v>46115</v>
      </c>
      <c r="L345" s="317">
        <f t="array" ref="L345">(XLOOKUP(D345,Roster!F:F,Roster!D:D,"",0))</f>
        <v>29</v>
      </c>
      <c r="M345" s="317" t="str">
        <f t="array" ref="M345">XLOOKUP(D345,Roster!F:F,Roster!E:E)</f>
        <v>Tickets</v>
      </c>
      <c r="N345" s="317" t="str">
        <f t="shared" ref="N345:P345" si="354">LEFT(H345,5)</f>
        <v/>
      </c>
      <c r="O345" s="317" t="str">
        <f t="shared" si="354"/>
        <v/>
      </c>
      <c r="P345" s="317" t="str">
        <f t="shared" si="354"/>
        <v/>
      </c>
      <c r="Q345" s="318" t="str">
        <f t="shared" si="240"/>
        <v/>
      </c>
      <c r="R345" s="318" t="str">
        <f t="shared" si="241"/>
        <v/>
      </c>
      <c r="S345" s="318" t="str">
        <f t="shared" si="8"/>
        <v/>
      </c>
    </row>
    <row r="346">
      <c r="A346" s="14" t="str">
        <f t="shared" si="1"/>
        <v>C146946115</v>
      </c>
      <c r="B346" s="185" t="str">
        <f t="array" ref="B346">IF(F346="VL","",IF(F346="Free","Free",XLOOKUP(D346,Roster!T:T,Roster!S:S,"",0)))</f>
        <v>Free</v>
      </c>
      <c r="C346" s="313">
        <v>46115.0</v>
      </c>
      <c r="D346" s="314" t="s">
        <v>48</v>
      </c>
      <c r="E346" s="307" t="str">
        <f t="array" ref="E346">(XLOOKUP(D346,Roster!F:F,Roster!B:B,"",0))</f>
        <v>Juan Restrepo Restrepo</v>
      </c>
      <c r="F346" s="315" t="str">
        <f t="array" ref="F346">IF(B346=100,"Free",TEXT(XLOOKUP($D346,OperationVoice!$A:$A,OperationVoice!I:I,XLOOKUP($D346,OperationTickets!$A:$A,OperationTickets!I:I,"",0)),"hh:mm"))</f>
        <v>Free</v>
      </c>
      <c r="G346" s="309" t="str">
        <f t="shared" si="3"/>
        <v>Free</v>
      </c>
      <c r="H346" s="316" t="str">
        <f t="array" ref="H346">XLOOKUP(B346,Roster!L:L,Roster!N:N,XLOOKUP(D346,TicketsBreak!A:A,TicketsBreak!E:E,"",0),0)</f>
        <v/>
      </c>
      <c r="I346" s="316" t="str">
        <f t="array" ref="I346">XLOOKUP(B346,Roster!L:L,Roster!O:O,XLOOKUP(D346,TicketsBreak!A:A,TicketsBreak!F:F,"",0),0)</f>
        <v/>
      </c>
      <c r="J346" s="316" t="str">
        <f t="array" ref="J346">XLOOKUP(B346,Roster!L:L,Roster!P:P,XLOOKUP(D346,TicketsBreak!A:A,TicketsBreak!G:G,"",0),0)</f>
        <v/>
      </c>
      <c r="K346" s="310">
        <f t="shared" si="4"/>
        <v>46115</v>
      </c>
      <c r="L346" s="317">
        <f t="array" ref="L346">(XLOOKUP(D346,Roster!F:F,Roster!D:D,"",0))</f>
        <v>33</v>
      </c>
      <c r="M346" s="317" t="str">
        <f t="array" ref="M346">XLOOKUP(D346,Roster!F:F,Roster!E:E)</f>
        <v>Voice</v>
      </c>
      <c r="N346" s="317" t="str">
        <f t="shared" ref="N346:P346" si="355">LEFT(H346,5)</f>
        <v/>
      </c>
      <c r="O346" s="317" t="str">
        <f t="shared" si="355"/>
        <v/>
      </c>
      <c r="P346" s="317" t="str">
        <f t="shared" si="355"/>
        <v/>
      </c>
      <c r="Q346" s="318" t="str">
        <f t="shared" si="240"/>
        <v/>
      </c>
      <c r="R346" s="318" t="str">
        <f t="shared" si="241"/>
        <v/>
      </c>
      <c r="S346" s="318" t="str">
        <f t="shared" si="8"/>
        <v/>
      </c>
    </row>
    <row r="347">
      <c r="A347" s="14" t="str">
        <f t="shared" si="1"/>
        <v>C117146115</v>
      </c>
      <c r="B347" s="185" t="str">
        <f t="array" ref="B347">IF(F347="VL","",IF(F347="Free","Free",XLOOKUP(D347,Roster!T:T,Roster!S:S,"",0)))</f>
        <v/>
      </c>
      <c r="C347" s="313">
        <v>46115.0</v>
      </c>
      <c r="D347" s="314" t="s">
        <v>142</v>
      </c>
      <c r="E347" s="307" t="str">
        <f t="array" ref="E347">(XLOOKUP(D347,Roster!F:F,Roster!B:B,"",0))</f>
        <v>Juan Sanchez</v>
      </c>
      <c r="F347" s="315" t="str">
        <f t="array" ref="F347">IF(B347=100,"Free",TEXT(XLOOKUP($D347,OperationVoice!$A:$A,OperationVoice!I:I,XLOOKUP($D347,OperationTickets!$A:$A,OperationTickets!I:I,"",0)),"hh:mm"))</f>
        <v>08:00</v>
      </c>
      <c r="G347" s="309">
        <f t="shared" si="3"/>
        <v>0.7083333333</v>
      </c>
      <c r="H347" s="316" t="str">
        <f t="array" ref="H347">XLOOKUP(B347,Roster!L:L,Roster!N:N,XLOOKUP(D347,TicketsBreak!A:A,TicketsBreak!E:E,"",0),0)</f>
        <v/>
      </c>
      <c r="I347" s="316" t="str">
        <f t="array" ref="I347">XLOOKUP(B347,Roster!L:L,Roster!O:O,XLOOKUP(D347,TicketsBreak!A:A,TicketsBreak!F:F,"",0),0)</f>
        <v/>
      </c>
      <c r="J347" s="316" t="str">
        <f t="array" ref="J347">XLOOKUP(B347,Roster!L:L,Roster!P:P,XLOOKUP(D347,TicketsBreak!A:A,TicketsBreak!G:G,"",0),0)</f>
        <v/>
      </c>
      <c r="K347" s="310">
        <f t="shared" si="4"/>
        <v>46115</v>
      </c>
      <c r="L347" s="317">
        <f t="array" ref="L347">(XLOOKUP(D347,Roster!F:F,Roster!D:D,"",0))</f>
        <v>24</v>
      </c>
      <c r="M347" s="317" t="str">
        <f t="array" ref="M347">XLOOKUP(D347,Roster!F:F,Roster!E:E)</f>
        <v>Tickets</v>
      </c>
      <c r="N347" s="317" t="str">
        <f t="shared" ref="N347:P347" si="356">LEFT(H347,5)</f>
        <v/>
      </c>
      <c r="O347" s="317" t="str">
        <f t="shared" si="356"/>
        <v/>
      </c>
      <c r="P347" s="317" t="str">
        <f t="shared" si="356"/>
        <v/>
      </c>
      <c r="Q347" s="318" t="str">
        <f t="shared" si="240"/>
        <v/>
      </c>
      <c r="R347" s="318" t="str">
        <f t="shared" si="241"/>
        <v/>
      </c>
      <c r="S347" s="318" t="str">
        <f t="shared" si="8"/>
        <v/>
      </c>
    </row>
    <row r="348">
      <c r="A348" s="14" t="str">
        <f t="shared" si="1"/>
        <v>C74346115</v>
      </c>
      <c r="B348" s="185" t="str">
        <f t="array" ref="B348">IF(F348="VL","",IF(F348="Free","Free",XLOOKUP(D348,Roster!T:T,Roster!S:S,"",0)))</f>
        <v/>
      </c>
      <c r="C348" s="313">
        <v>46115.0</v>
      </c>
      <c r="D348" s="314" t="s">
        <v>164</v>
      </c>
      <c r="E348" s="307" t="str">
        <f t="array" ref="E348">(XLOOKUP(D348,Roster!F:F,Roster!B:B,"",0))</f>
        <v>Juan Suarez</v>
      </c>
      <c r="F348" s="315" t="str">
        <f t="array" ref="F348">IF(B348=100,"Free",TEXT(XLOOKUP($D348,OperationVoice!$A:$A,OperationVoice!I:I,XLOOKUP($D348,OperationTickets!$A:$A,OperationTickets!I:I,"",0)),"hh:mm"))</f>
        <v>08:30</v>
      </c>
      <c r="G348" s="309">
        <f t="shared" si="3"/>
        <v>0.7291666667</v>
      </c>
      <c r="H348" s="316">
        <f t="array" ref="H348">XLOOKUP(B348,Roster!L:L,Roster!N:N,XLOOKUP(D348,TicketsBreak!A:A,TicketsBreak!E:E,"",0),0)</f>
        <v>0.3958333333</v>
      </c>
      <c r="I348" s="316">
        <f t="array" ref="I348">XLOOKUP(B348,Roster!L:L,Roster!O:O,XLOOKUP(D348,TicketsBreak!A:A,TicketsBreak!F:F,"",0),0)</f>
        <v>0.5208333333</v>
      </c>
      <c r="J348" s="316">
        <f t="array" ref="J348">XLOOKUP(B348,Roster!L:L,Roster!P:P,XLOOKUP(D348,TicketsBreak!A:A,TicketsBreak!G:G,"",0),0)</f>
        <v>0.6145833333</v>
      </c>
      <c r="K348" s="310">
        <f t="shared" si="4"/>
        <v>46115</v>
      </c>
      <c r="L348" s="317">
        <f t="array" ref="L348">(XLOOKUP(D348,Roster!F:F,Roster!D:D,"",0))</f>
        <v>8</v>
      </c>
      <c r="M348" s="317" t="str">
        <f t="array" ref="M348">XLOOKUP(D348,Roster!F:F,Roster!E:E)</f>
        <v>Tickets</v>
      </c>
      <c r="N348" s="317" t="str">
        <f t="shared" ref="N348:P348" si="357">LEFT(H348,5)</f>
        <v>09:30</v>
      </c>
      <c r="O348" s="317" t="str">
        <f t="shared" si="357"/>
        <v>12:30</v>
      </c>
      <c r="P348" s="317" t="str">
        <f t="shared" si="357"/>
        <v>14:45</v>
      </c>
      <c r="Q348" s="318">
        <f t="shared" si="240"/>
        <v>46115.39583</v>
      </c>
      <c r="R348" s="318">
        <f t="shared" si="241"/>
        <v>46115.52083</v>
      </c>
      <c r="S348" s="318">
        <f t="shared" si="8"/>
        <v>46115.61458</v>
      </c>
    </row>
    <row r="349">
      <c r="A349" s="14" t="str">
        <f t="shared" si="1"/>
        <v>C156846115</v>
      </c>
      <c r="B349" s="185">
        <f t="array" ref="B349">IF(F349="VL","",IF(F349="Free","Free",XLOOKUP(D349,Roster!T:T,Roster!S:S,"",0)))</f>
        <v>122</v>
      </c>
      <c r="C349" s="313">
        <v>46115.0</v>
      </c>
      <c r="D349" s="314" t="s">
        <v>49</v>
      </c>
      <c r="E349" s="307" t="str">
        <f t="array" ref="E349">(XLOOKUP(D349,Roster!F:F,Roster!B:B,"",0))</f>
        <v>Juan Zapata</v>
      </c>
      <c r="F349" s="315" t="str">
        <f t="array" ref="F349">IF(B349=100,"Free",TEXT(XLOOKUP($D349,OperationVoice!$A:$A,OperationVoice!I:I,XLOOKUP($D349,OperationTickets!$A:$A,OperationTickets!I:I,"",0)),"hh:mm"))</f>
        <v>08:00</v>
      </c>
      <c r="G349" s="309">
        <f t="shared" si="3"/>
        <v>0.7083333333</v>
      </c>
      <c r="H349" s="316" t="str">
        <f t="array" ref="H349">XLOOKUP(B349,Roster!L:L,Roster!N:N,XLOOKUP(D349,TicketsBreak!A:A,TicketsBreak!E:E,"",0),0)</f>
        <v>09:30 - 09:45</v>
      </c>
      <c r="I349" s="316" t="str">
        <f t="array" ref="I349">XLOOKUP(B349,Roster!L:L,Roster!O:O,XLOOKUP(D349,TicketsBreak!A:A,TicketsBreak!F:F,"",0),0)</f>
        <v>12:00 - 12:30</v>
      </c>
      <c r="J349" s="316" t="str">
        <f t="array" ref="J349">XLOOKUP(B349,Roster!L:L,Roster!P:P,XLOOKUP(D349,TicketsBreak!A:A,TicketsBreak!G:G,"",0),0)</f>
        <v>14:45 - 15:00</v>
      </c>
      <c r="K349" s="310">
        <f t="shared" si="4"/>
        <v>46115</v>
      </c>
      <c r="L349" s="317">
        <f t="array" ref="L349">(XLOOKUP(D349,Roster!F:F,Roster!D:D,"",0))</f>
        <v>38</v>
      </c>
      <c r="M349" s="317" t="str">
        <f t="array" ref="M349">XLOOKUP(D349,Roster!F:F,Roster!E:E)</f>
        <v>Voice</v>
      </c>
      <c r="N349" s="317" t="str">
        <f t="shared" ref="N349:P349" si="358">LEFT(H349,5)</f>
        <v>09:30</v>
      </c>
      <c r="O349" s="317" t="str">
        <f t="shared" si="358"/>
        <v>12:00</v>
      </c>
      <c r="P349" s="317" t="str">
        <f t="shared" si="358"/>
        <v>14:45</v>
      </c>
      <c r="Q349" s="318">
        <f t="shared" si="240"/>
        <v>46115.39583</v>
      </c>
      <c r="R349" s="318">
        <f t="shared" si="241"/>
        <v>46115.5</v>
      </c>
      <c r="S349" s="318">
        <f t="shared" si="8"/>
        <v>46115.61458</v>
      </c>
    </row>
    <row r="350">
      <c r="A350" s="14" t="str">
        <f t="shared" si="1"/>
        <v>C75546115</v>
      </c>
      <c r="B350" s="185" t="str">
        <f t="array" ref="B350">IF(F350="VL","",IF(F350="Free","Free",XLOOKUP(D350,Roster!T:T,Roster!S:S,"",0)))</f>
        <v/>
      </c>
      <c r="C350" s="313">
        <v>46115.0</v>
      </c>
      <c r="D350" s="314" t="s">
        <v>143</v>
      </c>
      <c r="E350" s="307" t="str">
        <f t="array" ref="E350">(XLOOKUP(D350,Roster!F:F,Roster!B:B,"",0))</f>
        <v>Julian Higuita</v>
      </c>
      <c r="F350" s="315" t="str">
        <f t="array" ref="F350">IF(B350=100,"Free",TEXT(XLOOKUP($D350,OperationVoice!$A:$A,OperationVoice!I:I,XLOOKUP($D350,OperationTickets!$A:$A,OperationTickets!I:I,"",0)),"hh:mm"))</f>
        <v>10:00</v>
      </c>
      <c r="G350" s="309">
        <f t="shared" si="3"/>
        <v>0.7916666667</v>
      </c>
      <c r="H350" s="316" t="str">
        <f t="array" ref="H350">XLOOKUP(B350,Roster!L:L,Roster!N:N,XLOOKUP(D350,TicketsBreak!A:A,TicketsBreak!E:E,"",0),0)</f>
        <v/>
      </c>
      <c r="I350" s="316" t="str">
        <f t="array" ref="I350">XLOOKUP(B350,Roster!L:L,Roster!O:O,XLOOKUP(D350,TicketsBreak!A:A,TicketsBreak!F:F,"",0),0)</f>
        <v/>
      </c>
      <c r="J350" s="316" t="str">
        <f t="array" ref="J350">XLOOKUP(B350,Roster!L:L,Roster!P:P,XLOOKUP(D350,TicketsBreak!A:A,TicketsBreak!G:G,"",0),0)</f>
        <v/>
      </c>
      <c r="K350" s="310">
        <f t="shared" si="4"/>
        <v>46115</v>
      </c>
      <c r="L350" s="317">
        <f t="array" ref="L350">(XLOOKUP(D350,Roster!F:F,Roster!D:D,"",0))</f>
        <v>35</v>
      </c>
      <c r="M350" s="317" t="str">
        <f t="array" ref="M350">XLOOKUP(D350,Roster!F:F,Roster!E:E)</f>
        <v>Tickets</v>
      </c>
      <c r="N350" s="317" t="str">
        <f t="shared" ref="N350:P350" si="359">LEFT(H350,5)</f>
        <v/>
      </c>
      <c r="O350" s="317" t="str">
        <f t="shared" si="359"/>
        <v/>
      </c>
      <c r="P350" s="317" t="str">
        <f t="shared" si="359"/>
        <v/>
      </c>
      <c r="Q350" s="318" t="str">
        <f t="shared" si="240"/>
        <v/>
      </c>
      <c r="R350" s="318" t="str">
        <f t="shared" si="241"/>
        <v/>
      </c>
      <c r="S350" s="318" t="str">
        <f t="shared" si="8"/>
        <v/>
      </c>
    </row>
    <row r="351">
      <c r="A351" s="14" t="str">
        <f t="shared" si="1"/>
        <v>C52546115</v>
      </c>
      <c r="B351" s="185" t="str">
        <f t="array" ref="B351">IF(F351="VL","",IF(F351="Free","Free",XLOOKUP(D351,Roster!T:T,Roster!S:S,"",0)))</f>
        <v/>
      </c>
      <c r="C351" s="313">
        <v>46115.0</v>
      </c>
      <c r="D351" s="314" t="s">
        <v>176</v>
      </c>
      <c r="E351" s="307" t="str">
        <f t="array" ref="E351">(XLOOKUP(D351,Roster!F:F,Roster!B:B,"",0))</f>
        <v>Julian Pineda</v>
      </c>
      <c r="F351" s="315" t="str">
        <f t="array" ref="F351">IF(B351=100,"Free",TEXT(XLOOKUP($D351,OperationVoice!$A:$A,OperationVoice!I:I,XLOOKUP($D351,OperationTickets!$A:$A,OperationTickets!I:I,"",0)),"hh:mm"))</f>
        <v>08:00</v>
      </c>
      <c r="G351" s="309">
        <f t="shared" si="3"/>
        <v>0.7083333333</v>
      </c>
      <c r="H351" s="316" t="str">
        <f t="array" ref="H351">XLOOKUP(B351,Roster!L:L,Roster!N:N,XLOOKUP(D351,TicketsBreak!A:A,TicketsBreak!E:E,"",0),0)</f>
        <v/>
      </c>
      <c r="I351" s="316" t="str">
        <f t="array" ref="I351">XLOOKUP(B351,Roster!L:L,Roster!O:O,XLOOKUP(D351,TicketsBreak!A:A,TicketsBreak!F:F,"",0),0)</f>
        <v/>
      </c>
      <c r="J351" s="316" t="str">
        <f t="array" ref="J351">XLOOKUP(B351,Roster!L:L,Roster!P:P,XLOOKUP(D351,TicketsBreak!A:A,TicketsBreak!G:G,"",0),0)</f>
        <v/>
      </c>
      <c r="K351" s="310">
        <f t="shared" si="4"/>
        <v>46115</v>
      </c>
      <c r="L351" s="317">
        <f t="array" ref="L351">(XLOOKUP(D351,Roster!F:F,Roster!D:D,"",0))</f>
        <v>35</v>
      </c>
      <c r="M351" s="317" t="str">
        <f t="array" ref="M351">XLOOKUP(D351,Roster!F:F,Roster!E:E)</f>
        <v>Tickets</v>
      </c>
      <c r="N351" s="317" t="str">
        <f t="shared" ref="N351:P351" si="360">LEFT(H351,5)</f>
        <v/>
      </c>
      <c r="O351" s="317" t="str">
        <f t="shared" si="360"/>
        <v/>
      </c>
      <c r="P351" s="317" t="str">
        <f t="shared" si="360"/>
        <v/>
      </c>
      <c r="Q351" s="318" t="str">
        <f t="shared" si="240"/>
        <v/>
      </c>
      <c r="R351" s="318" t="str">
        <f t="shared" si="241"/>
        <v/>
      </c>
      <c r="S351" s="318" t="str">
        <f t="shared" si="8"/>
        <v/>
      </c>
    </row>
    <row r="352">
      <c r="A352" s="14" t="str">
        <f t="shared" si="1"/>
        <v>C142746115</v>
      </c>
      <c r="B352" s="185">
        <f t="array" ref="B352">IF(F352="VL","",IF(F352="Free","Free",XLOOKUP(D352,Roster!T:T,Roster!S:S,"",0)))</f>
        <v>123</v>
      </c>
      <c r="C352" s="313">
        <v>46115.0</v>
      </c>
      <c r="D352" s="314" t="s">
        <v>50</v>
      </c>
      <c r="E352" s="307" t="str">
        <f t="array" ref="E352">(XLOOKUP(D352,Roster!F:F,Roster!B:B,"",0))</f>
        <v>Karen Lorena Martinez</v>
      </c>
      <c r="F352" s="315" t="str">
        <f t="array" ref="F352">IF(B352=100,"Free",TEXT(XLOOKUP($D352,OperationVoice!$A:$A,OperationVoice!I:I,XLOOKUP($D352,OperationTickets!$A:$A,OperationTickets!I:I,"",0)),"hh:mm"))</f>
        <v>08:00</v>
      </c>
      <c r="G352" s="309">
        <f t="shared" si="3"/>
        <v>0.7083333333</v>
      </c>
      <c r="H352" s="316" t="str">
        <f t="array" ref="H352">XLOOKUP(B352,Roster!L:L,Roster!N:N,XLOOKUP(D352,TicketsBreak!A:A,TicketsBreak!E:E,"",0),0)</f>
        <v>09:45 - 10:00 </v>
      </c>
      <c r="I352" s="316" t="str">
        <f t="array" ref="I352">XLOOKUP(B352,Roster!L:L,Roster!O:O,XLOOKUP(D352,TicketsBreak!A:A,TicketsBreak!F:F,"",0),0)</f>
        <v>12:30 - 13:00</v>
      </c>
      <c r="J352" s="316" t="str">
        <f t="array" ref="J352">XLOOKUP(B352,Roster!L:L,Roster!P:P,XLOOKUP(D352,TicketsBreak!A:A,TicketsBreak!G:G,"",0),0)</f>
        <v>15:00 - 15:15</v>
      </c>
      <c r="K352" s="310">
        <f t="shared" si="4"/>
        <v>46115</v>
      </c>
      <c r="L352" s="317">
        <f t="array" ref="L352">(XLOOKUP(D352,Roster!F:F,Roster!D:D,"",0))</f>
        <v>32</v>
      </c>
      <c r="M352" s="317" t="str">
        <f t="array" ref="M352">XLOOKUP(D352,Roster!F:F,Roster!E:E)</f>
        <v>Voice</v>
      </c>
      <c r="N352" s="317" t="str">
        <f t="shared" ref="N352:P352" si="361">LEFT(H352,5)</f>
        <v>09:45</v>
      </c>
      <c r="O352" s="317" t="str">
        <f t="shared" si="361"/>
        <v>12:30</v>
      </c>
      <c r="P352" s="317" t="str">
        <f t="shared" si="361"/>
        <v>15:00</v>
      </c>
      <c r="Q352" s="318">
        <f t="shared" si="240"/>
        <v>46115.40625</v>
      </c>
      <c r="R352" s="318">
        <f t="shared" si="241"/>
        <v>46115.52083</v>
      </c>
      <c r="S352" s="318">
        <f t="shared" si="8"/>
        <v>46115.625</v>
      </c>
    </row>
    <row r="353">
      <c r="A353" s="14" t="str">
        <f t="shared" si="1"/>
        <v>C57946115</v>
      </c>
      <c r="B353" s="185" t="str">
        <f t="array" ref="B353">IF(F353="VL","",IF(F353="Free","Free",XLOOKUP(D353,Roster!T:T,Roster!S:S,"",0)))</f>
        <v/>
      </c>
      <c r="C353" s="313">
        <v>46115.0</v>
      </c>
      <c r="D353" s="314" t="s">
        <v>144</v>
      </c>
      <c r="E353" s="307" t="str">
        <f t="array" ref="E353">(XLOOKUP(D353,Roster!F:F,Roster!B:B,"",0))</f>
        <v>Karen Martinez</v>
      </c>
      <c r="F353" s="315" t="str">
        <f t="array" ref="F353">IF(B353=100,"Free",TEXT(XLOOKUP($D353,OperationVoice!$A:$A,OperationVoice!I:I,XLOOKUP($D353,OperationTickets!$A:$A,OperationTickets!I:I,"",0)),"hh:mm"))</f>
        <v>08:00</v>
      </c>
      <c r="G353" s="309">
        <f t="shared" si="3"/>
        <v>0.7083333333</v>
      </c>
      <c r="H353" s="316">
        <f t="array" ref="H353">XLOOKUP(B353,Roster!L:L,Roster!N:N,XLOOKUP(D353,TicketsBreak!A:A,TicketsBreak!E:E,"",0),0)</f>
        <v>0.4166666667</v>
      </c>
      <c r="I353" s="316">
        <f t="array" ref="I353">XLOOKUP(B353,Roster!L:L,Roster!O:O,XLOOKUP(D353,TicketsBreak!A:A,TicketsBreak!F:F,"",0),0)</f>
        <v>0.5</v>
      </c>
      <c r="J353" s="316">
        <f t="array" ref="J353">XLOOKUP(B353,Roster!L:L,Roster!P:P,XLOOKUP(D353,TicketsBreak!A:A,TicketsBreak!G:G,"",0),0)</f>
        <v>0.625</v>
      </c>
      <c r="K353" s="310">
        <f t="shared" si="4"/>
        <v>46115</v>
      </c>
      <c r="L353" s="317">
        <f t="array" ref="L353">(XLOOKUP(D353,Roster!F:F,Roster!D:D,"",0))</f>
        <v>4</v>
      </c>
      <c r="M353" s="317" t="str">
        <f t="array" ref="M353">XLOOKUP(D353,Roster!F:F,Roster!E:E)</f>
        <v>Tickets</v>
      </c>
      <c r="N353" s="317" t="str">
        <f t="shared" ref="N353:P353" si="362">LEFT(H353,5)</f>
        <v>10:00</v>
      </c>
      <c r="O353" s="317" t="str">
        <f t="shared" si="362"/>
        <v>12:00</v>
      </c>
      <c r="P353" s="317" t="str">
        <f t="shared" si="362"/>
        <v>15:00</v>
      </c>
      <c r="Q353" s="318">
        <f t="shared" si="240"/>
        <v>46115.41667</v>
      </c>
      <c r="R353" s="318">
        <f t="shared" si="241"/>
        <v>46115.5</v>
      </c>
      <c r="S353" s="318">
        <f t="shared" si="8"/>
        <v>46115.625</v>
      </c>
    </row>
    <row r="354">
      <c r="A354" s="14" t="str">
        <f t="shared" si="1"/>
        <v>C108646115</v>
      </c>
      <c r="B354" s="185">
        <f t="array" ref="B354">IF(F354="VL","",IF(F354="Free","Free",XLOOKUP(D354,Roster!T:T,Roster!S:S,"",0)))</f>
        <v>124</v>
      </c>
      <c r="C354" s="313">
        <v>46115.0</v>
      </c>
      <c r="D354" s="314" t="s">
        <v>51</v>
      </c>
      <c r="E354" s="307" t="str">
        <f t="array" ref="E354">(XLOOKUP(D354,Roster!F:F,Roster!B:B,"",0))</f>
        <v>Karen Panqueva</v>
      </c>
      <c r="F354" s="315" t="str">
        <f t="array" ref="F354">IF(B354=100,"Free",TEXT(XLOOKUP($D354,OperationVoice!$A:$A,OperationVoice!I:I,XLOOKUP($D354,OperationTickets!$A:$A,OperationTickets!I:I,"",0)),"hh:mm"))</f>
        <v>08:00</v>
      </c>
      <c r="G354" s="309">
        <f t="shared" si="3"/>
        <v>0.7083333333</v>
      </c>
      <c r="H354" s="316" t="str">
        <f t="array" ref="H354">XLOOKUP(B354,Roster!L:L,Roster!N:N,XLOOKUP(D354,TicketsBreak!A:A,TicketsBreak!E:E,"",0),0)</f>
        <v>10:00 - 10:15</v>
      </c>
      <c r="I354" s="316" t="str">
        <f t="array" ref="I354">XLOOKUP(B354,Roster!L:L,Roster!O:O,XLOOKUP(D354,TicketsBreak!A:A,TicketsBreak!F:F,"",0),0)</f>
        <v>13:00 - 13:30</v>
      </c>
      <c r="J354" s="316" t="str">
        <f t="array" ref="J354">XLOOKUP(B354,Roster!L:L,Roster!P:P,XLOOKUP(D354,TicketsBreak!A:A,TicketsBreak!G:G,"",0),0)</f>
        <v>15:30 - 15:45</v>
      </c>
      <c r="K354" s="310">
        <f t="shared" si="4"/>
        <v>46115</v>
      </c>
      <c r="L354" s="317">
        <f t="array" ref="L354">(XLOOKUP(D354,Roster!F:F,Roster!D:D,"",0))</f>
        <v>19</v>
      </c>
      <c r="M354" s="317" t="str">
        <f t="array" ref="M354">XLOOKUP(D354,Roster!F:F,Roster!E:E)</f>
        <v>Voice</v>
      </c>
      <c r="N354" s="317" t="str">
        <f t="shared" ref="N354:P354" si="363">LEFT(H354,5)</f>
        <v>10:00</v>
      </c>
      <c r="O354" s="317" t="str">
        <f t="shared" si="363"/>
        <v>13:00</v>
      </c>
      <c r="P354" s="317" t="str">
        <f t="shared" si="363"/>
        <v>15:30</v>
      </c>
      <c r="Q354" s="318">
        <f t="shared" si="240"/>
        <v>46115.41667</v>
      </c>
      <c r="R354" s="318">
        <f t="shared" si="241"/>
        <v>46115.54167</v>
      </c>
      <c r="S354" s="318">
        <f t="shared" si="8"/>
        <v>46115.64583</v>
      </c>
    </row>
    <row r="355">
      <c r="A355" s="14" t="str">
        <f t="shared" si="1"/>
        <v>C149246115</v>
      </c>
      <c r="B355" s="185">
        <f t="array" ref="B355">IF(F355="VL","",IF(F355="Free","Free",XLOOKUP(D355,Roster!T:T,Roster!S:S,"",0)))</f>
        <v>125</v>
      </c>
      <c r="C355" s="313">
        <v>46115.0</v>
      </c>
      <c r="D355" s="314" t="s">
        <v>52</v>
      </c>
      <c r="E355" s="307" t="str">
        <f t="array" ref="E355">(XLOOKUP(D355,Roster!F:F,Roster!B:B,"",0))</f>
        <v>Karol Pineda</v>
      </c>
      <c r="F355" s="315" t="str">
        <f t="array" ref="F355">IF(B355=100,"Free",TEXT(XLOOKUP($D355,OperationVoice!$A:$A,OperationVoice!I:I,XLOOKUP($D355,OperationTickets!$A:$A,OperationTickets!I:I,"",0)),"hh:mm"))</f>
        <v>08:00</v>
      </c>
      <c r="G355" s="309">
        <f t="shared" si="3"/>
        <v>0.7083333333</v>
      </c>
      <c r="H355" s="316" t="str">
        <f t="array" ref="H355">XLOOKUP(B355,Roster!L:L,Roster!N:N,XLOOKUP(D355,TicketsBreak!A:A,TicketsBreak!E:E,"",0),0)</f>
        <v>10:30 - 10:45</v>
      </c>
      <c r="I355" s="316" t="str">
        <f t="array" ref="I355">XLOOKUP(B355,Roster!L:L,Roster!O:O,XLOOKUP(D355,TicketsBreak!A:A,TicketsBreak!F:F,"",0),0)</f>
        <v>13:30 - 14:00</v>
      </c>
      <c r="J355" s="316" t="str">
        <f t="array" ref="J355">XLOOKUP(B355,Roster!L:L,Roster!P:P,XLOOKUP(D355,TicketsBreak!A:A,TicketsBreak!G:G,"",0),0)</f>
        <v>15:45 - 16:00</v>
      </c>
      <c r="K355" s="310">
        <f t="shared" si="4"/>
        <v>46115</v>
      </c>
      <c r="L355" s="317">
        <f t="array" ref="L355">(XLOOKUP(D355,Roster!F:F,Roster!D:D,"",0))</f>
        <v>34</v>
      </c>
      <c r="M355" s="317" t="str">
        <f t="array" ref="M355">XLOOKUP(D355,Roster!F:F,Roster!E:E)</f>
        <v>Voice</v>
      </c>
      <c r="N355" s="317" t="str">
        <f t="shared" ref="N355:P355" si="364">LEFT(H355,5)</f>
        <v>10:30</v>
      </c>
      <c r="O355" s="317" t="str">
        <f t="shared" si="364"/>
        <v>13:30</v>
      </c>
      <c r="P355" s="317" t="str">
        <f t="shared" si="364"/>
        <v>15:45</v>
      </c>
      <c r="Q355" s="318">
        <f t="shared" si="240"/>
        <v>46115.4375</v>
      </c>
      <c r="R355" s="318">
        <f t="shared" si="241"/>
        <v>46115.5625</v>
      </c>
      <c r="S355" s="318">
        <f t="shared" si="8"/>
        <v>46115.65625</v>
      </c>
    </row>
    <row r="356">
      <c r="A356" s="14" t="str">
        <f t="shared" si="1"/>
        <v>C65846115</v>
      </c>
      <c r="B356" s="185">
        <f t="array" ref="B356">IF(F356="VL","",IF(F356="Free","Free",XLOOKUP(D356,Roster!T:T,Roster!S:S,"",0)))</f>
        <v>112</v>
      </c>
      <c r="C356" s="313">
        <v>46115.0</v>
      </c>
      <c r="D356" s="314" t="s">
        <v>53</v>
      </c>
      <c r="E356" s="307" t="str">
        <f t="array" ref="E356">(XLOOKUP(D356,Roster!F:F,Roster!B:B,"",0))</f>
        <v>Kennedy Giraldo</v>
      </c>
      <c r="F356" s="315" t="str">
        <f t="array" ref="F356">IF(B356=100,"Free",TEXT(XLOOKUP($D356,OperationVoice!$A:$A,OperationVoice!I:I,XLOOKUP($D356,OperationTickets!$A:$A,OperationTickets!I:I,"",0)),"hh:mm"))</f>
        <v>07:00</v>
      </c>
      <c r="G356" s="309">
        <f t="shared" si="3"/>
        <v>0.6666666667</v>
      </c>
      <c r="H356" s="316" t="str">
        <f t="array" ref="H356">XLOOKUP(B356,Roster!L:L,Roster!N:N,XLOOKUP(D356,TicketsBreak!A:A,TicketsBreak!E:E,"",0),0)</f>
        <v>09:30 - 09:45</v>
      </c>
      <c r="I356" s="316" t="str">
        <f t="array" ref="I356">XLOOKUP(B356,Roster!L:L,Roster!O:O,XLOOKUP(D356,TicketsBreak!A:A,TicketsBreak!F:F,"",0),0)</f>
        <v>12:15 - 12:45</v>
      </c>
      <c r="J356" s="316" t="str">
        <f t="array" ref="J356">XLOOKUP(B356,Roster!L:L,Roster!P:P,XLOOKUP(D356,TicketsBreak!A:A,TicketsBreak!G:G,"",0),0)</f>
        <v>14:45 - 15:00</v>
      </c>
      <c r="K356" s="310">
        <f t="shared" si="4"/>
        <v>46115</v>
      </c>
      <c r="L356" s="317">
        <f t="array" ref="L356">(XLOOKUP(D356,Roster!F:F,Roster!D:D,"",0))</f>
        <v>2</v>
      </c>
      <c r="M356" s="317" t="str">
        <f t="array" ref="M356">XLOOKUP(D356,Roster!F:F,Roster!E:E)</f>
        <v>Voice</v>
      </c>
      <c r="N356" s="317" t="str">
        <f t="shared" ref="N356:P356" si="365">LEFT(H356,5)</f>
        <v>09:30</v>
      </c>
      <c r="O356" s="317" t="str">
        <f t="shared" si="365"/>
        <v>12:15</v>
      </c>
      <c r="P356" s="317" t="str">
        <f t="shared" si="365"/>
        <v>14:45</v>
      </c>
      <c r="Q356" s="318">
        <f t="shared" si="240"/>
        <v>46115.39583</v>
      </c>
      <c r="R356" s="318">
        <f t="shared" si="241"/>
        <v>46115.51042</v>
      </c>
      <c r="S356" s="318">
        <f t="shared" si="8"/>
        <v>46115.61458</v>
      </c>
    </row>
    <row r="357">
      <c r="A357" s="14" t="str">
        <f t="shared" si="1"/>
        <v>C151446115</v>
      </c>
      <c r="B357" s="185">
        <f t="array" ref="B357">IF(F357="VL","",IF(F357="Free","Free",XLOOKUP(D357,Roster!T:T,Roster!S:S,"",0)))</f>
        <v>122</v>
      </c>
      <c r="C357" s="313">
        <v>46115.0</v>
      </c>
      <c r="D357" s="314" t="s">
        <v>54</v>
      </c>
      <c r="E357" s="307" t="str">
        <f t="array" ref="E357">(XLOOKUP(D357,Roster!F:F,Roster!B:B,"",0))</f>
        <v>Kevin Betancur</v>
      </c>
      <c r="F357" s="315" t="str">
        <f t="array" ref="F357">IF(B357=100,"Free",TEXT(XLOOKUP($D357,OperationVoice!$A:$A,OperationVoice!I:I,XLOOKUP($D357,OperationTickets!$A:$A,OperationTickets!I:I,"",0)),"hh:mm"))</f>
        <v>08:00</v>
      </c>
      <c r="G357" s="309">
        <f t="shared" si="3"/>
        <v>0.7083333333</v>
      </c>
      <c r="H357" s="316" t="str">
        <f t="array" ref="H357">XLOOKUP(B357,Roster!L:L,Roster!N:N,XLOOKUP(D357,TicketsBreak!A:A,TicketsBreak!E:E,"",0),0)</f>
        <v>09:30 - 09:45</v>
      </c>
      <c r="I357" s="316" t="str">
        <f t="array" ref="I357">XLOOKUP(B357,Roster!L:L,Roster!O:O,XLOOKUP(D357,TicketsBreak!A:A,TicketsBreak!F:F,"",0),0)</f>
        <v>12:00 - 12:30</v>
      </c>
      <c r="J357" s="316" t="str">
        <f t="array" ref="J357">XLOOKUP(B357,Roster!L:L,Roster!P:P,XLOOKUP(D357,TicketsBreak!A:A,TicketsBreak!G:G,"",0),0)</f>
        <v>14:45 - 15:00</v>
      </c>
      <c r="K357" s="310">
        <f t="shared" si="4"/>
        <v>46115</v>
      </c>
      <c r="L357" s="317">
        <f t="array" ref="L357">(XLOOKUP(D357,Roster!F:F,Roster!D:D,"",0))</f>
        <v>35</v>
      </c>
      <c r="M357" s="317" t="str">
        <f t="array" ref="M357">XLOOKUP(D357,Roster!F:F,Roster!E:E)</f>
        <v>Voice</v>
      </c>
      <c r="N357" s="317" t="str">
        <f t="shared" ref="N357:P357" si="366">LEFT(H357,5)</f>
        <v>09:30</v>
      </c>
      <c r="O357" s="317" t="str">
        <f t="shared" si="366"/>
        <v>12:00</v>
      </c>
      <c r="P357" s="317" t="str">
        <f t="shared" si="366"/>
        <v>14:45</v>
      </c>
      <c r="Q357" s="318">
        <f t="shared" si="240"/>
        <v>46115.39583</v>
      </c>
      <c r="R357" s="318">
        <f t="shared" si="241"/>
        <v>46115.5</v>
      </c>
      <c r="S357" s="318">
        <f t="shared" si="8"/>
        <v>46115.61458</v>
      </c>
    </row>
    <row r="358">
      <c r="A358" s="14" t="str">
        <f t="shared" si="1"/>
        <v>C157146115</v>
      </c>
      <c r="B358" s="185">
        <f t="array" ref="B358">IF(F358="VL","",IF(F358="Free","Free",XLOOKUP(D358,Roster!T:T,Roster!S:S,"",0)))</f>
        <v>123</v>
      </c>
      <c r="C358" s="313">
        <v>46115.0</v>
      </c>
      <c r="D358" s="314" t="s">
        <v>55</v>
      </c>
      <c r="E358" s="307" t="str">
        <f t="array" ref="E358">(XLOOKUP(D358,Roster!F:F,Roster!B:B,"",0))</f>
        <v>Laura Chamorro</v>
      </c>
      <c r="F358" s="315" t="str">
        <f t="array" ref="F358">IF(B358=100,"Free",TEXT(XLOOKUP($D358,OperationVoice!$A:$A,OperationVoice!I:I,XLOOKUP($D358,OperationTickets!$A:$A,OperationTickets!I:I,"",0)),"hh:mm"))</f>
        <v>08:00</v>
      </c>
      <c r="G358" s="309">
        <f t="shared" si="3"/>
        <v>0.7083333333</v>
      </c>
      <c r="H358" s="316" t="str">
        <f t="array" ref="H358">XLOOKUP(B358,Roster!L:L,Roster!N:N,XLOOKUP(D358,TicketsBreak!A:A,TicketsBreak!E:E,"",0),0)</f>
        <v>09:45 - 10:00 </v>
      </c>
      <c r="I358" s="316" t="str">
        <f t="array" ref="I358">XLOOKUP(B358,Roster!L:L,Roster!O:O,XLOOKUP(D358,TicketsBreak!A:A,TicketsBreak!F:F,"",0),0)</f>
        <v>12:30 - 13:00</v>
      </c>
      <c r="J358" s="316" t="str">
        <f t="array" ref="J358">XLOOKUP(B358,Roster!L:L,Roster!P:P,XLOOKUP(D358,TicketsBreak!A:A,TicketsBreak!G:G,"",0),0)</f>
        <v>15:00 - 15:15</v>
      </c>
      <c r="K358" s="310">
        <f t="shared" si="4"/>
        <v>46115</v>
      </c>
      <c r="L358" s="317">
        <f t="array" ref="L358">(XLOOKUP(D358,Roster!F:F,Roster!D:D,"",0))</f>
        <v>38</v>
      </c>
      <c r="M358" s="317" t="str">
        <f t="array" ref="M358">XLOOKUP(D358,Roster!F:F,Roster!E:E)</f>
        <v>Voice</v>
      </c>
      <c r="N358" s="317" t="str">
        <f t="shared" ref="N358:P358" si="367">LEFT(H358,5)</f>
        <v>09:45</v>
      </c>
      <c r="O358" s="317" t="str">
        <f t="shared" si="367"/>
        <v>12:30</v>
      </c>
      <c r="P358" s="317" t="str">
        <f t="shared" si="367"/>
        <v>15:00</v>
      </c>
      <c r="Q358" s="318">
        <f t="shared" si="240"/>
        <v>46115.40625</v>
      </c>
      <c r="R358" s="318">
        <f t="shared" si="241"/>
        <v>46115.52083</v>
      </c>
      <c r="S358" s="318">
        <f t="shared" si="8"/>
        <v>46115.625</v>
      </c>
    </row>
    <row r="359">
      <c r="A359" s="14" t="str">
        <f t="shared" si="1"/>
        <v>C53446115</v>
      </c>
      <c r="B359" s="185" t="str">
        <f t="array" ref="B359">IF(F359="VL","",IF(F359="Free","Free",XLOOKUP(D359,Roster!T:T,Roster!S:S,"",0)))</f>
        <v/>
      </c>
      <c r="C359" s="313">
        <v>46115.0</v>
      </c>
      <c r="D359" s="314" t="s">
        <v>177</v>
      </c>
      <c r="E359" s="307" t="str">
        <f t="array" ref="E359">(XLOOKUP(D359,Roster!F:F,Roster!B:B,"",0))</f>
        <v>Leandry La Rosa</v>
      </c>
      <c r="F359" s="315" t="str">
        <f t="array" ref="F359">IF(B359=100,"Free",TEXT(XLOOKUP($D359,OperationVoice!$A:$A,OperationVoice!I:I,XLOOKUP($D359,OperationTickets!$A:$A,OperationTickets!I:I,"",0)),"hh:mm"))</f>
        <v>08:00</v>
      </c>
      <c r="G359" s="309">
        <f t="shared" si="3"/>
        <v>0.7083333333</v>
      </c>
      <c r="H359" s="316">
        <f t="array" ref="H359">XLOOKUP(B359,Roster!L:L,Roster!N:N,XLOOKUP(D359,TicketsBreak!A:A,TicketsBreak!E:E,"",0),0)</f>
        <v>0.40625</v>
      </c>
      <c r="I359" s="316">
        <f t="array" ref="I359">XLOOKUP(B359,Roster!L:L,Roster!O:O,XLOOKUP(D359,TicketsBreak!A:A,TicketsBreak!F:F,"",0),0)</f>
        <v>0.5416666667</v>
      </c>
      <c r="J359" s="316">
        <f t="array" ref="J359">XLOOKUP(B359,Roster!L:L,Roster!P:P,XLOOKUP(D359,TicketsBreak!A:A,TicketsBreak!G:G,"",0),0)</f>
        <v>0.65625</v>
      </c>
      <c r="K359" s="310">
        <f t="shared" si="4"/>
        <v>46115</v>
      </c>
      <c r="L359" s="317">
        <f t="array" ref="L359">(XLOOKUP(D359,Roster!F:F,Roster!D:D,"",0))</f>
        <v>1</v>
      </c>
      <c r="M359" s="317" t="str">
        <f t="array" ref="M359">XLOOKUP(D359,Roster!F:F,Roster!E:E)</f>
        <v>Tickets</v>
      </c>
      <c r="N359" s="317" t="str">
        <f t="shared" ref="N359:P359" si="368">LEFT(H359,5)</f>
        <v>09:45</v>
      </c>
      <c r="O359" s="317" t="str">
        <f t="shared" si="368"/>
        <v>13:00</v>
      </c>
      <c r="P359" s="317" t="str">
        <f t="shared" si="368"/>
        <v>15:45</v>
      </c>
      <c r="Q359" s="318">
        <f t="shared" si="240"/>
        <v>46115.40625</v>
      </c>
      <c r="R359" s="318">
        <f t="shared" si="241"/>
        <v>46115.54167</v>
      </c>
      <c r="S359" s="318">
        <f t="shared" si="8"/>
        <v>46115.65625</v>
      </c>
    </row>
    <row r="360">
      <c r="A360" s="14" t="str">
        <f t="shared" si="1"/>
        <v>C157846115</v>
      </c>
      <c r="B360" s="185">
        <f t="array" ref="B360">IF(F360="VL","",IF(F360="Free","Free",XLOOKUP(D360,Roster!T:T,Roster!S:S,"",0)))</f>
        <v>125</v>
      </c>
      <c r="C360" s="313">
        <v>46115.0</v>
      </c>
      <c r="D360" s="314" t="s">
        <v>56</v>
      </c>
      <c r="E360" s="307" t="str">
        <f t="array" ref="E360">(XLOOKUP(D360,Roster!F:F,Roster!B:B,"",0))</f>
        <v>Leonerrichi Caicedo</v>
      </c>
      <c r="F360" s="315" t="str">
        <f t="array" ref="F360">IF(B360=100,"Free",TEXT(XLOOKUP($D360,OperationVoice!$A:$A,OperationVoice!I:I,XLOOKUP($D360,OperationTickets!$A:$A,OperationTickets!I:I,"",0)),"hh:mm"))</f>
        <v>08:00</v>
      </c>
      <c r="G360" s="309">
        <f t="shared" si="3"/>
        <v>0.7083333333</v>
      </c>
      <c r="H360" s="316" t="str">
        <f t="array" ref="H360">XLOOKUP(B360,Roster!L:L,Roster!N:N,XLOOKUP(D360,TicketsBreak!A:A,TicketsBreak!E:E,"",0),0)</f>
        <v>10:30 - 10:45</v>
      </c>
      <c r="I360" s="316" t="str">
        <f t="array" ref="I360">XLOOKUP(B360,Roster!L:L,Roster!O:O,XLOOKUP(D360,TicketsBreak!A:A,TicketsBreak!F:F,"",0),0)</f>
        <v>13:30 - 14:00</v>
      </c>
      <c r="J360" s="316" t="str">
        <f t="array" ref="J360">XLOOKUP(B360,Roster!L:L,Roster!P:P,XLOOKUP(D360,TicketsBreak!A:A,TicketsBreak!G:G,"",0),0)</f>
        <v>15:45 - 16:00</v>
      </c>
      <c r="K360" s="310">
        <f t="shared" si="4"/>
        <v>46115</v>
      </c>
      <c r="L360" s="317">
        <f t="array" ref="L360">(XLOOKUP(D360,Roster!F:F,Roster!D:D,"",0))</f>
        <v>38</v>
      </c>
      <c r="M360" s="317" t="str">
        <f t="array" ref="M360">XLOOKUP(D360,Roster!F:F,Roster!E:E)</f>
        <v>Voice</v>
      </c>
      <c r="N360" s="317" t="str">
        <f t="shared" ref="N360:P360" si="369">LEFT(H360,5)</f>
        <v>10:30</v>
      </c>
      <c r="O360" s="317" t="str">
        <f t="shared" si="369"/>
        <v>13:30</v>
      </c>
      <c r="P360" s="317" t="str">
        <f t="shared" si="369"/>
        <v>15:45</v>
      </c>
      <c r="Q360" s="318">
        <f t="shared" si="240"/>
        <v>46115.4375</v>
      </c>
      <c r="R360" s="318">
        <f t="shared" si="241"/>
        <v>46115.5625</v>
      </c>
      <c r="S360" s="318">
        <f t="shared" si="8"/>
        <v>46115.65625</v>
      </c>
    </row>
    <row r="361">
      <c r="A361" s="14" t="str">
        <f t="shared" si="1"/>
        <v>C53546115</v>
      </c>
      <c r="B361" s="185" t="str">
        <f t="array" ref="B361">IF(F361="VL","",IF(F361="Free","Free",XLOOKUP(D361,Roster!T:T,Roster!S:S,"",0)))</f>
        <v/>
      </c>
      <c r="C361" s="313">
        <v>46115.0</v>
      </c>
      <c r="D361" s="314" t="s">
        <v>145</v>
      </c>
      <c r="E361" s="307" t="str">
        <f t="array" ref="E361">(XLOOKUP(D361,Roster!F:F,Roster!B:B,"",0))</f>
        <v>Lina Cadena</v>
      </c>
      <c r="F361" s="315" t="str">
        <f t="array" ref="F361">IF(B361=100,"Free",TEXT(XLOOKUP($D361,OperationVoice!$A:$A,OperationVoice!I:I,XLOOKUP($D361,OperationTickets!$A:$A,OperationTickets!I:I,"",0)),"hh:mm"))</f>
        <v>08:00</v>
      </c>
      <c r="G361" s="309">
        <f t="shared" si="3"/>
        <v>0.7083333333</v>
      </c>
      <c r="H361" s="316">
        <f t="array" ref="H361">XLOOKUP(B361,Roster!L:L,Roster!N:N,XLOOKUP(D361,TicketsBreak!A:A,TicketsBreak!E:E,"",0),0)</f>
        <v>0.3854166667</v>
      </c>
      <c r="I361" s="316">
        <f t="array" ref="I361">XLOOKUP(B361,Roster!L:L,Roster!O:O,XLOOKUP(D361,TicketsBreak!A:A,TicketsBreak!F:F,"",0),0)</f>
        <v>0.5833333333</v>
      </c>
      <c r="J361" s="316">
        <f t="array" ref="J361">XLOOKUP(B361,Roster!L:L,Roster!P:P,XLOOKUP(D361,TicketsBreak!A:A,TicketsBreak!G:G,"",0),0)</f>
        <v>0.6458333333</v>
      </c>
      <c r="K361" s="310">
        <f t="shared" si="4"/>
        <v>46115</v>
      </c>
      <c r="L361" s="317">
        <f t="array" ref="L361">(XLOOKUP(D361,Roster!F:F,Roster!D:D,"",0))</f>
        <v>2</v>
      </c>
      <c r="M361" s="317" t="str">
        <f t="array" ref="M361">XLOOKUP(D361,Roster!F:F,Roster!E:E)</f>
        <v>Tickets</v>
      </c>
      <c r="N361" s="317" t="str">
        <f t="shared" ref="N361:P361" si="370">LEFT(H361,5)</f>
        <v>09:15</v>
      </c>
      <c r="O361" s="317" t="str">
        <f t="shared" si="370"/>
        <v>14:00</v>
      </c>
      <c r="P361" s="317" t="str">
        <f t="shared" si="370"/>
        <v>15:30</v>
      </c>
      <c r="Q361" s="318">
        <f t="shared" si="240"/>
        <v>46115.38542</v>
      </c>
      <c r="R361" s="318">
        <f t="shared" si="241"/>
        <v>46115.58333</v>
      </c>
      <c r="S361" s="318">
        <f t="shared" si="8"/>
        <v>46115.64583</v>
      </c>
    </row>
    <row r="362">
      <c r="A362" s="14" t="str">
        <f t="shared" si="1"/>
        <v>C151746115</v>
      </c>
      <c r="B362" s="185">
        <f t="array" ref="B362">IF(F362="VL","",IF(F362="Free","Free",XLOOKUP(D362,Roster!T:T,Roster!S:S,"",0)))</f>
        <v>124</v>
      </c>
      <c r="C362" s="313">
        <v>46115.0</v>
      </c>
      <c r="D362" s="314" t="s">
        <v>57</v>
      </c>
      <c r="E362" s="307" t="str">
        <f t="array" ref="E362">(XLOOKUP(D362,Roster!F:F,Roster!B:B,"",0))</f>
        <v>Lisandro Alvarado</v>
      </c>
      <c r="F362" s="315" t="str">
        <f t="array" ref="F362">IF(B362=100,"Free",TEXT(XLOOKUP($D362,OperationVoice!$A:$A,OperationVoice!I:I,XLOOKUP($D362,OperationTickets!$A:$A,OperationTickets!I:I,"",0)),"hh:mm"))</f>
        <v>08:00</v>
      </c>
      <c r="G362" s="309">
        <f t="shared" si="3"/>
        <v>0.7083333333</v>
      </c>
      <c r="H362" s="316" t="str">
        <f t="array" ref="H362">XLOOKUP(B362,Roster!L:L,Roster!N:N,XLOOKUP(D362,TicketsBreak!A:A,TicketsBreak!E:E,"",0),0)</f>
        <v>10:00 - 10:15</v>
      </c>
      <c r="I362" s="316" t="str">
        <f t="array" ref="I362">XLOOKUP(B362,Roster!L:L,Roster!O:O,XLOOKUP(D362,TicketsBreak!A:A,TicketsBreak!F:F,"",0),0)</f>
        <v>13:00 - 13:30</v>
      </c>
      <c r="J362" s="316" t="str">
        <f t="array" ref="J362">XLOOKUP(B362,Roster!L:L,Roster!P:P,XLOOKUP(D362,TicketsBreak!A:A,TicketsBreak!G:G,"",0),0)</f>
        <v>15:30 - 15:45</v>
      </c>
      <c r="K362" s="310">
        <f t="shared" si="4"/>
        <v>46115</v>
      </c>
      <c r="L362" s="317">
        <f t="array" ref="L362">(XLOOKUP(D362,Roster!F:F,Roster!D:D,"",0))</f>
        <v>35</v>
      </c>
      <c r="M362" s="317" t="str">
        <f t="array" ref="M362">XLOOKUP(D362,Roster!F:F,Roster!E:E)</f>
        <v>Voice</v>
      </c>
      <c r="N362" s="317" t="str">
        <f t="shared" ref="N362:P362" si="371">LEFT(H362,5)</f>
        <v>10:00</v>
      </c>
      <c r="O362" s="317" t="str">
        <f t="shared" si="371"/>
        <v>13:00</v>
      </c>
      <c r="P362" s="317" t="str">
        <f t="shared" si="371"/>
        <v>15:30</v>
      </c>
      <c r="Q362" s="318">
        <f t="shared" si="240"/>
        <v>46115.41667</v>
      </c>
      <c r="R362" s="318">
        <f t="shared" si="241"/>
        <v>46115.54167</v>
      </c>
      <c r="S362" s="318">
        <f t="shared" si="8"/>
        <v>46115.64583</v>
      </c>
    </row>
    <row r="363">
      <c r="A363" s="14" t="str">
        <f t="shared" si="1"/>
        <v>C143346115</v>
      </c>
      <c r="B363" s="185">
        <f t="array" ref="B363">IF(F363="VL","",IF(F363="Free","Free",XLOOKUP(D363,Roster!T:T,Roster!S:S,"",0)))</f>
        <v>500</v>
      </c>
      <c r="C363" s="313">
        <v>46115.0</v>
      </c>
      <c r="D363" s="314" t="s">
        <v>58</v>
      </c>
      <c r="E363" s="307" t="str">
        <f t="array" ref="E363">(XLOOKUP(D363,Roster!F:F,Roster!B:B,"",0))</f>
        <v>Luis Lopez</v>
      </c>
      <c r="F363" s="315" t="str">
        <f t="array" ref="F363">IF(B363=100,"Free",TEXT(XLOOKUP($D363,OperationVoice!$A:$A,OperationVoice!I:I,XLOOKUP($D363,OperationTickets!$A:$A,OperationTickets!I:I,"",0)),"hh:mm"))</f>
        <v>11:00</v>
      </c>
      <c r="G363" s="309">
        <f t="shared" si="3"/>
        <v>0.8333333333</v>
      </c>
      <c r="H363" s="316" t="str">
        <f t="array" ref="H363">XLOOKUP(B363,Roster!L:L,Roster!N:N,XLOOKUP(D363,TicketsBreak!A:A,TicketsBreak!E:E,"",0),0)</f>
        <v>Team Leader</v>
      </c>
      <c r="I363" s="316" t="str">
        <f t="array" ref="I363">XLOOKUP(B363,Roster!L:L,Roster!O:O,XLOOKUP(D363,TicketsBreak!A:A,TicketsBreak!F:F,"",0),0)</f>
        <v>Team Leader</v>
      </c>
      <c r="J363" s="316" t="str">
        <f t="array" ref="J363">XLOOKUP(B363,Roster!L:L,Roster!P:P,XLOOKUP(D363,TicketsBreak!A:A,TicketsBreak!G:G,"",0),0)</f>
        <v/>
      </c>
      <c r="K363" s="310">
        <f t="shared" si="4"/>
        <v>46115</v>
      </c>
      <c r="L363" s="317">
        <f t="array" ref="L363">(XLOOKUP(D363,Roster!F:F,Roster!D:D,"",0))</f>
        <v>32</v>
      </c>
      <c r="M363" s="317" t="str">
        <f t="array" ref="M363">XLOOKUP(D363,Roster!F:F,Roster!E:E)</f>
        <v>Voice</v>
      </c>
      <c r="N363" s="317" t="str">
        <f t="shared" ref="N363:P363" si="372">LEFT(H363,5)</f>
        <v>Team </v>
      </c>
      <c r="O363" s="317" t="str">
        <f t="shared" si="372"/>
        <v>Team </v>
      </c>
      <c r="P363" s="317" t="str">
        <f t="shared" si="372"/>
        <v/>
      </c>
      <c r="Q363" s="318" t="str">
        <f t="shared" si="240"/>
        <v>#VALUE!</v>
      </c>
      <c r="R363" s="318" t="str">
        <f t="shared" si="241"/>
        <v>#VALUE!</v>
      </c>
      <c r="S363" s="318" t="str">
        <f t="shared" si="8"/>
        <v/>
      </c>
    </row>
    <row r="364">
      <c r="A364" s="14" t="str">
        <f t="shared" si="1"/>
        <v>C153446115</v>
      </c>
      <c r="B364" s="185">
        <f t="array" ref="B364">IF(F364="VL","",IF(F364="Free","Free",XLOOKUP(D364,Roster!T:T,Roster!S:S,"",0)))</f>
        <v>126</v>
      </c>
      <c r="C364" s="313">
        <v>46115.0</v>
      </c>
      <c r="D364" s="314" t="s">
        <v>59</v>
      </c>
      <c r="E364" s="307" t="str">
        <f t="array" ref="E364">(XLOOKUP(D364,Roster!F:F,Roster!B:B,"",0))</f>
        <v>Luis Munoz</v>
      </c>
      <c r="F364" s="315" t="str">
        <f t="array" ref="F364">IF(B364=100,"Free",TEXT(XLOOKUP($D364,OperationVoice!$A:$A,OperationVoice!I:I,XLOOKUP($D364,OperationTickets!$A:$A,OperationTickets!I:I,"",0)),"hh:mm"))</f>
        <v>08:00</v>
      </c>
      <c r="G364" s="309">
        <f t="shared" si="3"/>
        <v>0.7083333333</v>
      </c>
      <c r="H364" s="316" t="str">
        <f t="array" ref="H364">XLOOKUP(B364,Roster!L:L,Roster!N:N,XLOOKUP(D364,TicketsBreak!A:A,TicketsBreak!E:E,"",0),0)</f>
        <v>10:45 - 11:00</v>
      </c>
      <c r="I364" s="316" t="str">
        <f t="array" ref="I364">XLOOKUP(B364,Roster!L:L,Roster!O:O,XLOOKUP(D364,TicketsBreak!A:A,TicketsBreak!F:F,"",0),0)</f>
        <v>14:00 - 14:30</v>
      </c>
      <c r="J364" s="316" t="str">
        <f t="array" ref="J364">XLOOKUP(B364,Roster!L:L,Roster!P:P,XLOOKUP(D364,TicketsBreak!A:A,TicketsBreak!G:G,"",0),0)</f>
        <v>15:45 - 16:00</v>
      </c>
      <c r="K364" s="310">
        <f t="shared" si="4"/>
        <v>46115</v>
      </c>
      <c r="L364" s="317">
        <f t="array" ref="L364">(XLOOKUP(D364,Roster!F:F,Roster!D:D,"",0))</f>
        <v>36</v>
      </c>
      <c r="M364" s="317" t="str">
        <f t="array" ref="M364">XLOOKUP(D364,Roster!F:F,Roster!E:E)</f>
        <v>Voice</v>
      </c>
      <c r="N364" s="317" t="str">
        <f t="shared" ref="N364:P364" si="373">LEFT(H364,5)</f>
        <v>10:45</v>
      </c>
      <c r="O364" s="317" t="str">
        <f t="shared" si="373"/>
        <v>14:00</v>
      </c>
      <c r="P364" s="317" t="str">
        <f t="shared" si="373"/>
        <v>15:45</v>
      </c>
      <c r="Q364" s="318">
        <f t="shared" si="240"/>
        <v>46115.44792</v>
      </c>
      <c r="R364" s="318">
        <f t="shared" si="241"/>
        <v>46115.58333</v>
      </c>
      <c r="S364" s="318">
        <f t="shared" si="8"/>
        <v>46115.65625</v>
      </c>
    </row>
    <row r="365">
      <c r="A365" s="14" t="str">
        <f t="shared" si="1"/>
        <v>C53846115</v>
      </c>
      <c r="B365" s="185" t="str">
        <f t="array" ref="B365">IF(F365="VL","",IF(F365="Free","Free",XLOOKUP(D365,Roster!T:T,Roster!S:S,"",0)))</f>
        <v/>
      </c>
      <c r="C365" s="313">
        <v>46115.0</v>
      </c>
      <c r="D365" s="314" t="s">
        <v>165</v>
      </c>
      <c r="E365" s="307" t="str">
        <f t="array" ref="E365">(XLOOKUP(D365,Roster!F:F,Roster!B:B,"",0))</f>
        <v>Luisa Arenas</v>
      </c>
      <c r="F365" s="315" t="str">
        <f t="array" ref="F365">IF(B365=100,"Free",TEXT(XLOOKUP($D365,OperationVoice!$A:$A,OperationVoice!I:I,XLOOKUP($D365,OperationTickets!$A:$A,OperationTickets!I:I,"",0)),"hh:mm"))</f>
        <v>08:00</v>
      </c>
      <c r="G365" s="309">
        <f t="shared" si="3"/>
        <v>0.7083333333</v>
      </c>
      <c r="H365" s="316" t="str">
        <f t="array" ref="H365">XLOOKUP(B365,Roster!L:L,Roster!N:N,XLOOKUP(D365,TicketsBreak!A:A,TicketsBreak!E:E,"",0),0)</f>
        <v/>
      </c>
      <c r="I365" s="316" t="str">
        <f t="array" ref="I365">XLOOKUP(B365,Roster!L:L,Roster!O:O,XLOOKUP(D365,TicketsBreak!A:A,TicketsBreak!F:F,"",0),0)</f>
        <v/>
      </c>
      <c r="J365" s="316" t="str">
        <f t="array" ref="J365">XLOOKUP(B365,Roster!L:L,Roster!P:P,XLOOKUP(D365,TicketsBreak!A:A,TicketsBreak!G:G,"",0),0)</f>
        <v/>
      </c>
      <c r="K365" s="310">
        <f t="shared" si="4"/>
        <v>46115</v>
      </c>
      <c r="L365" s="317">
        <f t="array" ref="L365">(XLOOKUP(D365,Roster!F:F,Roster!D:D,"",0))</f>
        <v>35</v>
      </c>
      <c r="M365" s="317" t="str">
        <f t="array" ref="M365">XLOOKUP(D365,Roster!F:F,Roster!E:E)</f>
        <v>Tickets</v>
      </c>
      <c r="N365" s="317" t="str">
        <f t="shared" ref="N365:P365" si="374">LEFT(H365,5)</f>
        <v/>
      </c>
      <c r="O365" s="317" t="str">
        <f t="shared" si="374"/>
        <v/>
      </c>
      <c r="P365" s="317" t="str">
        <f t="shared" si="374"/>
        <v/>
      </c>
      <c r="Q365" s="318" t="str">
        <f t="shared" si="240"/>
        <v/>
      </c>
      <c r="R365" s="318" t="str">
        <f t="shared" si="241"/>
        <v/>
      </c>
      <c r="S365" s="318" t="str">
        <f t="shared" si="8"/>
        <v/>
      </c>
    </row>
    <row r="366">
      <c r="A366" s="14" t="str">
        <f t="shared" si="1"/>
        <v>C113646115</v>
      </c>
      <c r="B366" s="185">
        <f t="array" ref="B366">IF(F366="VL","",IF(F366="Free","Free",XLOOKUP(D366,Roster!T:T,Roster!S:S,"",0)))</f>
        <v>126</v>
      </c>
      <c r="C366" s="313">
        <v>46115.0</v>
      </c>
      <c r="D366" s="314" t="s">
        <v>60</v>
      </c>
      <c r="E366" s="307" t="str">
        <f t="array" ref="E366">(XLOOKUP(D366,Roster!F:F,Roster!B:B,"",0))</f>
        <v>Luisa Gonzalez</v>
      </c>
      <c r="F366" s="315" t="str">
        <f t="array" ref="F366">IF(B366=100,"Free",TEXT(XLOOKUP($D366,OperationVoice!$A:$A,OperationVoice!I:I,XLOOKUP($D366,OperationTickets!$A:$A,OperationTickets!I:I,"",0)),"hh:mm"))</f>
        <v>08:00</v>
      </c>
      <c r="G366" s="309">
        <f t="shared" si="3"/>
        <v>0.7083333333</v>
      </c>
      <c r="H366" s="316" t="str">
        <f t="array" ref="H366">XLOOKUP(B366,Roster!L:L,Roster!N:N,XLOOKUP(D366,TicketsBreak!A:A,TicketsBreak!E:E,"",0),0)</f>
        <v>10:45 - 11:00</v>
      </c>
      <c r="I366" s="316" t="str">
        <f t="array" ref="I366">XLOOKUP(B366,Roster!L:L,Roster!O:O,XLOOKUP(D366,TicketsBreak!A:A,TicketsBreak!F:F,"",0),0)</f>
        <v>14:00 - 14:30</v>
      </c>
      <c r="J366" s="316" t="str">
        <f t="array" ref="J366">XLOOKUP(B366,Roster!L:L,Roster!P:P,XLOOKUP(D366,TicketsBreak!A:A,TicketsBreak!G:G,"",0),0)</f>
        <v>15:45 - 16:00</v>
      </c>
      <c r="K366" s="310">
        <f t="shared" si="4"/>
        <v>46115</v>
      </c>
      <c r="L366" s="317">
        <f t="array" ref="L366">(XLOOKUP(D366,Roster!F:F,Roster!D:D,"",0))</f>
        <v>22</v>
      </c>
      <c r="M366" s="317" t="str">
        <f t="array" ref="M366">XLOOKUP(D366,Roster!F:F,Roster!E:E)</f>
        <v>Voice</v>
      </c>
      <c r="N366" s="317" t="str">
        <f t="shared" ref="N366:P366" si="375">LEFT(H366,5)</f>
        <v>10:45</v>
      </c>
      <c r="O366" s="317" t="str">
        <f t="shared" si="375"/>
        <v>14:00</v>
      </c>
      <c r="P366" s="317" t="str">
        <f t="shared" si="375"/>
        <v>15:45</v>
      </c>
      <c r="Q366" s="318">
        <f t="shared" si="240"/>
        <v>46115.44792</v>
      </c>
      <c r="R366" s="318">
        <f t="shared" si="241"/>
        <v>46115.58333</v>
      </c>
      <c r="S366" s="318">
        <f t="shared" si="8"/>
        <v>46115.65625</v>
      </c>
    </row>
    <row r="367">
      <c r="A367" s="14" t="str">
        <f t="shared" si="1"/>
        <v>C157746115</v>
      </c>
      <c r="B367" s="185">
        <f t="array" ref="B367">IF(F367="VL","",IF(F367="Free","Free",XLOOKUP(D367,Roster!T:T,Roster!S:S,"",0)))</f>
        <v>126</v>
      </c>
      <c r="C367" s="313">
        <v>46115.0</v>
      </c>
      <c r="D367" s="314" t="s">
        <v>61</v>
      </c>
      <c r="E367" s="307" t="str">
        <f t="array" ref="E367">(XLOOKUP(D367,Roster!F:F,Roster!B:B,"",0))</f>
        <v>Luna Morales</v>
      </c>
      <c r="F367" s="315" t="str">
        <f t="array" ref="F367">IF(B367=100,"Free",TEXT(XLOOKUP($D367,OperationVoice!$A:$A,OperationVoice!I:I,XLOOKUP($D367,OperationTickets!$A:$A,OperationTickets!I:I,"",0)),"hh:mm"))</f>
        <v>08:00</v>
      </c>
      <c r="G367" s="309">
        <f t="shared" si="3"/>
        <v>0.7083333333</v>
      </c>
      <c r="H367" s="316" t="str">
        <f t="array" ref="H367">XLOOKUP(B367,Roster!L:L,Roster!N:N,XLOOKUP(D367,TicketsBreak!A:A,TicketsBreak!E:E,"",0),0)</f>
        <v>10:45 - 11:00</v>
      </c>
      <c r="I367" s="316" t="str">
        <f t="array" ref="I367">XLOOKUP(B367,Roster!L:L,Roster!O:O,XLOOKUP(D367,TicketsBreak!A:A,TicketsBreak!F:F,"",0),0)</f>
        <v>14:00 - 14:30</v>
      </c>
      <c r="J367" s="316" t="str">
        <f t="array" ref="J367">XLOOKUP(B367,Roster!L:L,Roster!P:P,XLOOKUP(D367,TicketsBreak!A:A,TicketsBreak!G:G,"",0),0)</f>
        <v>15:45 - 16:00</v>
      </c>
      <c r="K367" s="310">
        <f t="shared" si="4"/>
        <v>46115</v>
      </c>
      <c r="L367" s="317">
        <f t="array" ref="L367">(XLOOKUP(D367,Roster!F:F,Roster!D:D,"",0))</f>
        <v>38</v>
      </c>
      <c r="M367" s="317" t="str">
        <f t="array" ref="M367">XLOOKUP(D367,Roster!F:F,Roster!E:E)</f>
        <v>Voice</v>
      </c>
      <c r="N367" s="317" t="str">
        <f t="shared" ref="N367:P367" si="376">LEFT(H367,5)</f>
        <v>10:45</v>
      </c>
      <c r="O367" s="317" t="str">
        <f t="shared" si="376"/>
        <v>14:00</v>
      </c>
      <c r="P367" s="317" t="str">
        <f t="shared" si="376"/>
        <v>15:45</v>
      </c>
      <c r="Q367" s="318">
        <f t="shared" si="240"/>
        <v>46115.44792</v>
      </c>
      <c r="R367" s="318">
        <f t="shared" si="241"/>
        <v>46115.58333</v>
      </c>
      <c r="S367" s="318">
        <f t="shared" si="8"/>
        <v>46115.65625</v>
      </c>
    </row>
    <row r="368">
      <c r="A368" s="14" t="str">
        <f t="shared" si="1"/>
        <v>C121946115</v>
      </c>
      <c r="B368" s="185" t="str">
        <f t="array" ref="B368">IF(F368="VL","",IF(F368="Free","Free",XLOOKUP(D368,Roster!T:T,Roster!S:S,"",0)))</f>
        <v/>
      </c>
      <c r="C368" s="313">
        <v>46115.0</v>
      </c>
      <c r="D368" s="314" t="s">
        <v>146</v>
      </c>
      <c r="E368" s="307" t="str">
        <f t="array" ref="E368">(XLOOKUP(D368,Roster!F:F,Roster!B:B,"",0))</f>
        <v>Madelyn Jaramillo</v>
      </c>
      <c r="F368" s="315" t="str">
        <f t="array" ref="F368">IF(B368=100,"Free",TEXT(XLOOKUP($D368,OperationVoice!$A:$A,OperationVoice!I:I,XLOOKUP($D368,OperationTickets!$A:$A,OperationTickets!I:I,"",0)),"hh:mm"))</f>
        <v>08:00</v>
      </c>
      <c r="G368" s="309">
        <f t="shared" si="3"/>
        <v>0.7083333333</v>
      </c>
      <c r="H368" s="316" t="str">
        <f t="array" ref="H368">XLOOKUP(B368,Roster!L:L,Roster!N:N,XLOOKUP(D368,TicketsBreak!A:A,TicketsBreak!E:E,"",0),0)</f>
        <v/>
      </c>
      <c r="I368" s="316" t="str">
        <f t="array" ref="I368">XLOOKUP(B368,Roster!L:L,Roster!O:O,XLOOKUP(D368,TicketsBreak!A:A,TicketsBreak!F:F,"",0),0)</f>
        <v/>
      </c>
      <c r="J368" s="316" t="str">
        <f t="array" ref="J368">XLOOKUP(B368,Roster!L:L,Roster!P:P,XLOOKUP(D368,TicketsBreak!A:A,TicketsBreak!G:G,"",0),0)</f>
        <v/>
      </c>
      <c r="K368" s="310">
        <f t="shared" si="4"/>
        <v>46115</v>
      </c>
      <c r="L368" s="317">
        <f t="array" ref="L368">(XLOOKUP(D368,Roster!F:F,Roster!D:D,"",0))</f>
        <v>26</v>
      </c>
      <c r="M368" s="317" t="str">
        <f t="array" ref="M368">XLOOKUP(D368,Roster!F:F,Roster!E:E)</f>
        <v>Tickets</v>
      </c>
      <c r="N368" s="317" t="str">
        <f t="shared" ref="N368:P368" si="377">LEFT(H368,5)</f>
        <v/>
      </c>
      <c r="O368" s="317" t="str">
        <f t="shared" si="377"/>
        <v/>
      </c>
      <c r="P368" s="317" t="str">
        <f t="shared" si="377"/>
        <v/>
      </c>
      <c r="Q368" s="318" t="str">
        <f t="shared" si="240"/>
        <v/>
      </c>
      <c r="R368" s="318" t="str">
        <f t="shared" si="241"/>
        <v/>
      </c>
      <c r="S368" s="318" t="str">
        <f t="shared" si="8"/>
        <v/>
      </c>
    </row>
    <row r="369">
      <c r="A369" s="14" t="str">
        <f t="shared" si="1"/>
        <v>C151646115</v>
      </c>
      <c r="B369" s="185">
        <f t="array" ref="B369">IF(F369="VL","",IF(F369="Free","Free",XLOOKUP(D369,Roster!T:T,Roster!S:S,"",0)))</f>
        <v>122</v>
      </c>
      <c r="C369" s="313">
        <v>46115.0</v>
      </c>
      <c r="D369" s="314" t="s">
        <v>62</v>
      </c>
      <c r="E369" s="307" t="str">
        <f t="array" ref="E369">(XLOOKUP(D369,Roster!F:F,Roster!B:B,"",0))</f>
        <v>Magda Foronda</v>
      </c>
      <c r="F369" s="315" t="str">
        <f t="array" ref="F369">IF(B369=100,"Free",TEXT(XLOOKUP($D369,OperationVoice!$A:$A,OperationVoice!I:I,XLOOKUP($D369,OperationTickets!$A:$A,OperationTickets!I:I,"",0)),"hh:mm"))</f>
        <v>08:00</v>
      </c>
      <c r="G369" s="309">
        <f t="shared" si="3"/>
        <v>0.7083333333</v>
      </c>
      <c r="H369" s="316" t="str">
        <f t="array" ref="H369">XLOOKUP(B369,Roster!L:L,Roster!N:N,XLOOKUP(D369,TicketsBreak!A:A,TicketsBreak!E:E,"",0),0)</f>
        <v>09:30 - 09:45</v>
      </c>
      <c r="I369" s="316" t="str">
        <f t="array" ref="I369">XLOOKUP(B369,Roster!L:L,Roster!O:O,XLOOKUP(D369,TicketsBreak!A:A,TicketsBreak!F:F,"",0),0)</f>
        <v>12:00 - 12:30</v>
      </c>
      <c r="J369" s="316" t="str">
        <f t="array" ref="J369">XLOOKUP(B369,Roster!L:L,Roster!P:P,XLOOKUP(D369,TicketsBreak!A:A,TicketsBreak!G:G,"",0),0)</f>
        <v>14:45 - 15:00</v>
      </c>
      <c r="K369" s="310">
        <f t="shared" si="4"/>
        <v>46115</v>
      </c>
      <c r="L369" s="317">
        <f t="array" ref="L369">(XLOOKUP(D369,Roster!F:F,Roster!D:D,"",0))</f>
        <v>35</v>
      </c>
      <c r="M369" s="317" t="str">
        <f t="array" ref="M369">XLOOKUP(D369,Roster!F:F,Roster!E:E)</f>
        <v>Voice</v>
      </c>
      <c r="N369" s="317" t="str">
        <f t="shared" ref="N369:P369" si="378">LEFT(H369,5)</f>
        <v>09:30</v>
      </c>
      <c r="O369" s="317" t="str">
        <f t="shared" si="378"/>
        <v>12:00</v>
      </c>
      <c r="P369" s="317" t="str">
        <f t="shared" si="378"/>
        <v>14:45</v>
      </c>
      <c r="Q369" s="318">
        <f t="shared" si="240"/>
        <v>46115.39583</v>
      </c>
      <c r="R369" s="318">
        <f t="shared" si="241"/>
        <v>46115.5</v>
      </c>
      <c r="S369" s="318">
        <f t="shared" si="8"/>
        <v>46115.61458</v>
      </c>
    </row>
    <row r="370">
      <c r="A370" s="14" t="str">
        <f t="shared" si="1"/>
        <v>C118046115</v>
      </c>
      <c r="B370" s="185">
        <f t="array" ref="B370">IF(F370="VL","",IF(F370="Free","Free",XLOOKUP(D370,Roster!T:T,Roster!S:S,"",0)))</f>
        <v>500</v>
      </c>
      <c r="C370" s="313">
        <v>46115.0</v>
      </c>
      <c r="D370" s="314" t="s">
        <v>147</v>
      </c>
      <c r="E370" s="307" t="str">
        <f t="array" ref="E370">(XLOOKUP(D370,Roster!F:F,Roster!B:B,"",0))</f>
        <v>Manuela Moreno</v>
      </c>
      <c r="F370" s="315" t="str">
        <f t="array" ref="F370">IF(B370=100,"Free",TEXT(XLOOKUP($D370,OperationVoice!$A:$A,OperationVoice!I:I,XLOOKUP($D370,OperationTickets!$A:$A,OperationTickets!I:I,"",0)),"hh:mm"))</f>
        <v>09:00</v>
      </c>
      <c r="G370" s="309">
        <f t="shared" si="3"/>
        <v>0.75</v>
      </c>
      <c r="H370" s="316" t="str">
        <f t="array" ref="H370">XLOOKUP(B370,Roster!L:L,Roster!N:N,XLOOKUP(D370,TicketsBreak!A:A,TicketsBreak!E:E,"",0),0)</f>
        <v>Team Leader</v>
      </c>
      <c r="I370" s="316" t="str">
        <f t="array" ref="I370">XLOOKUP(B370,Roster!L:L,Roster!O:O,XLOOKUP(D370,TicketsBreak!A:A,TicketsBreak!F:F,"",0),0)</f>
        <v>Team Leader</v>
      </c>
      <c r="J370" s="316" t="str">
        <f t="array" ref="J370">XLOOKUP(B370,Roster!L:L,Roster!P:P,XLOOKUP(D370,TicketsBreak!A:A,TicketsBreak!G:G,"",0),0)</f>
        <v/>
      </c>
      <c r="K370" s="310">
        <f t="shared" si="4"/>
        <v>46115</v>
      </c>
      <c r="L370" s="317">
        <f t="array" ref="L370">(XLOOKUP(D370,Roster!F:F,Roster!D:D,"",0))</f>
        <v>24</v>
      </c>
      <c r="M370" s="317" t="str">
        <f t="array" ref="M370">XLOOKUP(D370,Roster!F:F,Roster!E:E)</f>
        <v>Tickets</v>
      </c>
      <c r="N370" s="317" t="str">
        <f t="shared" ref="N370:P370" si="379">LEFT(H370,5)</f>
        <v>Team </v>
      </c>
      <c r="O370" s="317" t="str">
        <f t="shared" si="379"/>
        <v>Team </v>
      </c>
      <c r="P370" s="317" t="str">
        <f t="shared" si="379"/>
        <v/>
      </c>
      <c r="Q370" s="318" t="str">
        <f>IF(P370="","",$C370+N370)</f>
        <v/>
      </c>
      <c r="R370" s="318" t="str">
        <f>if(P370="","",$C370+O370)</f>
        <v/>
      </c>
      <c r="S370" s="318" t="str">
        <f t="shared" si="8"/>
        <v/>
      </c>
    </row>
    <row r="371">
      <c r="A371" s="14" t="str">
        <f t="shared" si="1"/>
        <v>C153646115</v>
      </c>
      <c r="B371" s="185">
        <f t="array" ref="B371">IF(F371="VL","",IF(F371="Free","Free",XLOOKUP(D371,Roster!T:T,Roster!S:S,"",0)))</f>
        <v>121</v>
      </c>
      <c r="C371" s="313">
        <v>46115.0</v>
      </c>
      <c r="D371" s="314" t="s">
        <v>63</v>
      </c>
      <c r="E371" s="307" t="str">
        <f t="array" ref="E371">(XLOOKUP(D371,Roster!F:F,Roster!B:B,"",0))</f>
        <v>Maria Mesa</v>
      </c>
      <c r="F371" s="315" t="str">
        <f t="array" ref="F371">IF(B371=100,"Free",TEXT(XLOOKUP($D371,OperationVoice!$A:$A,OperationVoice!I:I,XLOOKUP($D371,OperationTickets!$A:$A,OperationTickets!I:I,"",0)),"hh:mm"))</f>
        <v>08:00</v>
      </c>
      <c r="G371" s="309">
        <f t="shared" si="3"/>
        <v>0.7083333333</v>
      </c>
      <c r="H371" s="316" t="str">
        <f t="array" ref="H371">XLOOKUP(B371,Roster!L:L,Roster!N:N,XLOOKUP(D371,TicketsBreak!A:A,TicketsBreak!E:E,"",0),0)</f>
        <v>09:15 - 09:30</v>
      </c>
      <c r="I371" s="316" t="str">
        <f t="array" ref="I371">XLOOKUP(B371,Roster!L:L,Roster!O:O,XLOOKUP(D371,TicketsBreak!A:A,TicketsBreak!F:F,"",0),0)</f>
        <v>11:30 - 12:00</v>
      </c>
      <c r="J371" s="316" t="str">
        <f t="array" ref="J371">XLOOKUP(B371,Roster!L:L,Roster!P:P,XLOOKUP(D371,TicketsBreak!A:A,TicketsBreak!G:G,"",0),0)</f>
        <v>14:30 - 14:45</v>
      </c>
      <c r="K371" s="310">
        <f t="shared" si="4"/>
        <v>46115</v>
      </c>
      <c r="L371" s="317">
        <f t="array" ref="L371">(XLOOKUP(D371,Roster!F:F,Roster!D:D,"",0))</f>
        <v>36</v>
      </c>
      <c r="M371" s="317" t="str">
        <f t="array" ref="M371">XLOOKUP(D371,Roster!F:F,Roster!E:E)</f>
        <v>Voice</v>
      </c>
      <c r="N371" s="317" t="str">
        <f t="shared" ref="N371:P371" si="380">LEFT(H371,5)</f>
        <v>09:15</v>
      </c>
      <c r="O371" s="317" t="str">
        <f t="shared" si="380"/>
        <v>11:30</v>
      </c>
      <c r="P371" s="317" t="str">
        <f t="shared" si="380"/>
        <v>14:30</v>
      </c>
      <c r="Q371" s="318">
        <f t="shared" ref="Q371:Q649" si="382">IF(N371="","",$C371+N371)</f>
        <v>46115.38542</v>
      </c>
      <c r="R371" s="318">
        <f t="shared" ref="R371:R649" si="383">if(O371="","",$C371+O371)</f>
        <v>46115.47917</v>
      </c>
      <c r="S371" s="318">
        <f t="shared" si="8"/>
        <v>46115.60417</v>
      </c>
    </row>
    <row r="372">
      <c r="A372" s="14" t="str">
        <f t="shared" si="1"/>
        <v>C74046115</v>
      </c>
      <c r="B372" s="185" t="str">
        <f t="array" ref="B372">IF(F372="VL","",IF(F372="Free","Free",XLOOKUP(D372,Roster!T:T,Roster!S:S,"",0)))</f>
        <v/>
      </c>
      <c r="C372" s="313">
        <v>46115.0</v>
      </c>
      <c r="D372" s="314" t="s">
        <v>166</v>
      </c>
      <c r="E372" s="307" t="str">
        <f t="array" ref="E372">(XLOOKUP(D372,Roster!F:F,Roster!B:B,"",0))</f>
        <v>Mateo Agudelo</v>
      </c>
      <c r="F372" s="315" t="str">
        <f t="array" ref="F372">IF(B372=100,"Free",TEXT(XLOOKUP($D372,OperationVoice!$A:$A,OperationVoice!I:I,XLOOKUP($D372,OperationTickets!$A:$A,OperationTickets!I:I,"",0)),"hh:mm"))</f>
        <v>08:00</v>
      </c>
      <c r="G372" s="309">
        <f t="shared" si="3"/>
        <v>0.7083333333</v>
      </c>
      <c r="H372" s="316">
        <f t="array" ref="H372">XLOOKUP(B372,Roster!L:L,Roster!N:N,XLOOKUP(D372,TicketsBreak!A:A,TicketsBreak!E:E,"",0),0)</f>
        <v>0.4166666667</v>
      </c>
      <c r="I372" s="316">
        <f t="array" ref="I372">XLOOKUP(B372,Roster!L:L,Roster!O:O,XLOOKUP(D372,TicketsBreak!A:A,TicketsBreak!F:F,"",0),0)</f>
        <v>0.5</v>
      </c>
      <c r="J372" s="316">
        <f t="array" ref="J372">XLOOKUP(B372,Roster!L:L,Roster!P:P,XLOOKUP(D372,TicketsBreak!A:A,TicketsBreak!G:G,"",0),0)</f>
        <v>0.65625</v>
      </c>
      <c r="K372" s="310">
        <f t="shared" si="4"/>
        <v>46115</v>
      </c>
      <c r="L372" s="317">
        <f t="array" ref="L372">(XLOOKUP(D372,Roster!F:F,Roster!D:D,"",0))</f>
        <v>8</v>
      </c>
      <c r="M372" s="317" t="str">
        <f t="array" ref="M372">XLOOKUP(D372,Roster!F:F,Roster!E:E)</f>
        <v>Tickets</v>
      </c>
      <c r="N372" s="317" t="str">
        <f t="shared" ref="N372:P372" si="381">LEFT(H372,5)</f>
        <v>10:00</v>
      </c>
      <c r="O372" s="317" t="str">
        <f t="shared" si="381"/>
        <v>12:00</v>
      </c>
      <c r="P372" s="317" t="str">
        <f t="shared" si="381"/>
        <v>15:45</v>
      </c>
      <c r="Q372" s="318">
        <f t="shared" si="382"/>
        <v>46115.41667</v>
      </c>
      <c r="R372" s="318">
        <f t="shared" si="383"/>
        <v>46115.5</v>
      </c>
      <c r="S372" s="318">
        <f t="shared" si="8"/>
        <v>46115.65625</v>
      </c>
    </row>
    <row r="373">
      <c r="A373" s="14" t="str">
        <f t="shared" si="1"/>
        <v>C142946115</v>
      </c>
      <c r="B373" s="185">
        <f t="array" ref="B373">IF(F373="VL","",IF(F373="Free","Free",XLOOKUP(D373,Roster!T:T,Roster!S:S,"",0)))</f>
        <v>121</v>
      </c>
      <c r="C373" s="313">
        <v>46115.0</v>
      </c>
      <c r="D373" s="314" t="s">
        <v>178</v>
      </c>
      <c r="E373" s="307" t="str">
        <f t="array" ref="E373">(XLOOKUP(D373,Roster!F:F,Roster!B:B,"",0))</f>
        <v>Mateo Vanegas</v>
      </c>
      <c r="F373" s="315" t="str">
        <f t="array" ref="F373">IF(B373=100,"Free",TEXT(XLOOKUP($D373,OperationVoice!$A:$A,OperationVoice!I:I,XLOOKUP($D373,OperationTickets!$A:$A,OperationTickets!I:I,"",0)),"hh:mm"))</f>
        <v>08:00</v>
      </c>
      <c r="G373" s="309">
        <f t="shared" si="3"/>
        <v>0.7083333333</v>
      </c>
      <c r="H373" s="316" t="str">
        <f t="array" ref="H373">XLOOKUP(B373,Roster!L:L,Roster!N:N,XLOOKUP(D373,TicketsBreak!A:A,TicketsBreak!E:E,"",0),0)</f>
        <v>09:15 - 09:30</v>
      </c>
      <c r="I373" s="316" t="str">
        <f t="array" ref="I373">XLOOKUP(B373,Roster!L:L,Roster!O:O,XLOOKUP(D373,TicketsBreak!A:A,TicketsBreak!F:F,"",0),0)</f>
        <v>11:30 - 12:00</v>
      </c>
      <c r="J373" s="316" t="str">
        <f t="array" ref="J373">XLOOKUP(B373,Roster!L:L,Roster!P:P,XLOOKUP(D373,TicketsBreak!A:A,TicketsBreak!G:G,"",0),0)</f>
        <v>14:30 - 14:45</v>
      </c>
      <c r="K373" s="310">
        <f t="shared" si="4"/>
        <v>46115</v>
      </c>
      <c r="L373" s="317">
        <f t="array" ref="L373">(XLOOKUP(D373,Roster!F:F,Roster!D:D,"",0))</f>
        <v>32</v>
      </c>
      <c r="M373" s="317" t="str">
        <f t="array" ref="M373">XLOOKUP(D373,Roster!F:F,Roster!E:E)</f>
        <v>Tickets</v>
      </c>
      <c r="N373" s="317" t="str">
        <f t="shared" ref="N373:P373" si="384">LEFT(H373,5)</f>
        <v>09:15</v>
      </c>
      <c r="O373" s="317" t="str">
        <f t="shared" si="384"/>
        <v>11:30</v>
      </c>
      <c r="P373" s="317" t="str">
        <f t="shared" si="384"/>
        <v>14:30</v>
      </c>
      <c r="Q373" s="318">
        <f t="shared" si="382"/>
        <v>46115.38542</v>
      </c>
      <c r="R373" s="318">
        <f t="shared" si="383"/>
        <v>46115.47917</v>
      </c>
      <c r="S373" s="318">
        <f t="shared" si="8"/>
        <v>46115.60417</v>
      </c>
    </row>
    <row r="374">
      <c r="A374" s="14" t="str">
        <f t="shared" si="1"/>
        <v>C146846115</v>
      </c>
      <c r="B374" s="185">
        <f t="array" ref="B374">IF(F374="VL","",IF(F374="Free","Free",XLOOKUP(D374,Roster!T:T,Roster!S:S,"",0)))</f>
        <v>122</v>
      </c>
      <c r="C374" s="313">
        <v>46115.0</v>
      </c>
      <c r="D374" s="314" t="s">
        <v>64</v>
      </c>
      <c r="E374" s="307" t="str">
        <f t="array" ref="E374">(XLOOKUP(D374,Roster!F:F,Roster!B:B,"",0))</f>
        <v>Miguel Betancur</v>
      </c>
      <c r="F374" s="315" t="str">
        <f t="array" ref="F374">IF(B374=100,"Free",TEXT(XLOOKUP($D374,OperationVoice!$A:$A,OperationVoice!I:I,XLOOKUP($D374,OperationTickets!$A:$A,OperationTickets!I:I,"",0)),"hh:mm"))</f>
        <v>08:00</v>
      </c>
      <c r="G374" s="309">
        <f t="shared" si="3"/>
        <v>0.7083333333</v>
      </c>
      <c r="H374" s="316" t="str">
        <f t="array" ref="H374">XLOOKUP(B374,Roster!L:L,Roster!N:N,XLOOKUP(D374,TicketsBreak!A:A,TicketsBreak!E:E,"",0),0)</f>
        <v>09:30 - 09:45</v>
      </c>
      <c r="I374" s="316" t="str">
        <f t="array" ref="I374">XLOOKUP(B374,Roster!L:L,Roster!O:O,XLOOKUP(D374,TicketsBreak!A:A,TicketsBreak!F:F,"",0),0)</f>
        <v>12:00 - 12:30</v>
      </c>
      <c r="J374" s="316" t="str">
        <f t="array" ref="J374">XLOOKUP(B374,Roster!L:L,Roster!P:P,XLOOKUP(D374,TicketsBreak!A:A,TicketsBreak!G:G,"",0),0)</f>
        <v>14:45 - 15:00</v>
      </c>
      <c r="K374" s="310">
        <f t="shared" si="4"/>
        <v>46115</v>
      </c>
      <c r="L374" s="317">
        <f t="array" ref="L374">(XLOOKUP(D374,Roster!F:F,Roster!D:D,"",0))</f>
        <v>33</v>
      </c>
      <c r="M374" s="317" t="str">
        <f t="array" ref="M374">XLOOKUP(D374,Roster!F:F,Roster!E:E)</f>
        <v>Voice</v>
      </c>
      <c r="N374" s="317" t="str">
        <f t="shared" ref="N374:P374" si="385">LEFT(H374,5)</f>
        <v>09:30</v>
      </c>
      <c r="O374" s="317" t="str">
        <f t="shared" si="385"/>
        <v>12:00</v>
      </c>
      <c r="P374" s="317" t="str">
        <f t="shared" si="385"/>
        <v>14:45</v>
      </c>
      <c r="Q374" s="318">
        <f t="shared" si="382"/>
        <v>46115.39583</v>
      </c>
      <c r="R374" s="318">
        <f t="shared" si="383"/>
        <v>46115.5</v>
      </c>
      <c r="S374" s="318">
        <f t="shared" si="8"/>
        <v>46115.61458</v>
      </c>
    </row>
    <row r="375">
      <c r="A375" s="14" t="str">
        <f t="shared" si="1"/>
        <v>C106546115</v>
      </c>
      <c r="B375" s="185" t="str">
        <f t="array" ref="B375">IF(F375="VL","",IF(F375="Free","Free",XLOOKUP(D375,Roster!T:T,Roster!S:S,"",0)))</f>
        <v/>
      </c>
      <c r="C375" s="313">
        <v>46115.0</v>
      </c>
      <c r="D375" s="314" t="s">
        <v>148</v>
      </c>
      <c r="E375" s="307" t="str">
        <f t="array" ref="E375">(XLOOKUP(D375,Roster!F:F,Roster!B:B,"",0))</f>
        <v>Miguel Hoyos</v>
      </c>
      <c r="F375" s="315" t="str">
        <f t="array" ref="F375">IF(B375=100,"Free",TEXT(XLOOKUP($D375,OperationVoice!$A:$A,OperationVoice!I:I,XLOOKUP($D375,OperationTickets!$A:$A,OperationTickets!I:I,"",0)),"hh:mm"))</f>
        <v>07:00</v>
      </c>
      <c r="G375" s="309">
        <f t="shared" si="3"/>
        <v>0.6666666667</v>
      </c>
      <c r="H375" s="316">
        <f t="array" ref="H375">XLOOKUP(B375,Roster!L:L,Roster!N:N,XLOOKUP(D375,TicketsBreak!A:A,TicketsBreak!E:E,"",0),0)</f>
        <v>0.4583333333</v>
      </c>
      <c r="I375" s="316">
        <f t="array" ref="I375">XLOOKUP(B375,Roster!L:L,Roster!O:O,XLOOKUP(D375,TicketsBreak!A:A,TicketsBreak!F:F,"",0),0)</f>
        <v>0.5625</v>
      </c>
      <c r="J375" s="316">
        <f t="array" ref="J375">XLOOKUP(B375,Roster!L:L,Roster!P:P,XLOOKUP(D375,TicketsBreak!A:A,TicketsBreak!G:G,"",0),0)</f>
        <v>0.65625</v>
      </c>
      <c r="K375" s="310">
        <f t="shared" si="4"/>
        <v>46115</v>
      </c>
      <c r="L375" s="317">
        <f t="array" ref="L375">(XLOOKUP(D375,Roster!F:F,Roster!D:D,"",0))</f>
        <v>17</v>
      </c>
      <c r="M375" s="317" t="str">
        <f t="array" ref="M375">XLOOKUP(D375,Roster!F:F,Roster!E:E)</f>
        <v>Tickets</v>
      </c>
      <c r="N375" s="317" t="str">
        <f t="shared" ref="N375:P375" si="386">LEFT(H375,5)</f>
        <v>11:00</v>
      </c>
      <c r="O375" s="317" t="str">
        <f t="shared" si="386"/>
        <v>13:30</v>
      </c>
      <c r="P375" s="317" t="str">
        <f t="shared" si="386"/>
        <v>15:45</v>
      </c>
      <c r="Q375" s="318">
        <f t="shared" si="382"/>
        <v>46115.45833</v>
      </c>
      <c r="R375" s="318">
        <f t="shared" si="383"/>
        <v>46115.5625</v>
      </c>
      <c r="S375" s="318">
        <f t="shared" si="8"/>
        <v>46115.65625</v>
      </c>
    </row>
    <row r="376">
      <c r="A376" s="14" t="str">
        <f t="shared" si="1"/>
        <v>C111446115</v>
      </c>
      <c r="B376" s="185">
        <f t="array" ref="B376">IF(F376="VL","",IF(F376="Free","Free",XLOOKUP(D376,Roster!T:T,Roster!S:S,"",0)))</f>
        <v>113</v>
      </c>
      <c r="C376" s="313">
        <v>46115.0</v>
      </c>
      <c r="D376" s="314" t="s">
        <v>65</v>
      </c>
      <c r="E376" s="307" t="str">
        <f t="array" ref="E376">(XLOOKUP(D376,Roster!F:F,Roster!B:B,"",0))</f>
        <v>Mikel Bowie</v>
      </c>
      <c r="F376" s="315" t="str">
        <f t="array" ref="F376">IF(B376=100,"Free",TEXT(XLOOKUP($D376,OperationVoice!$A:$A,OperationVoice!I:I,XLOOKUP($D376,OperationTickets!$A:$A,OperationTickets!I:I,"",0)),"hh:mm"))</f>
        <v>08:00</v>
      </c>
      <c r="G376" s="309">
        <f t="shared" si="3"/>
        <v>0.7083333333</v>
      </c>
      <c r="H376" s="316" t="str">
        <f t="array" ref="H376">XLOOKUP(B376,Roster!L:L,Roster!N:N,XLOOKUP(D376,TicketsBreak!A:A,TicketsBreak!E:E,"",0),0)</f>
        <v>09:45 - 10:00</v>
      </c>
      <c r="I376" s="316" t="str">
        <f t="array" ref="I376">XLOOKUP(B376,Roster!L:L,Roster!O:O,XLOOKUP(D376,TicketsBreak!A:A,TicketsBreak!F:F,"",0),0)</f>
        <v>12:30 - 13:00</v>
      </c>
      <c r="J376" s="316" t="str">
        <f t="array" ref="J376">XLOOKUP(B376,Roster!L:L,Roster!P:P,XLOOKUP(D376,TicketsBreak!A:A,TicketsBreak!G:G,"",0),0)</f>
        <v>14:45 - 15:00</v>
      </c>
      <c r="K376" s="310">
        <f t="shared" si="4"/>
        <v>46115</v>
      </c>
      <c r="L376" s="317">
        <f t="array" ref="L376">(XLOOKUP(D376,Roster!F:F,Roster!D:D,"",0))</f>
        <v>20</v>
      </c>
      <c r="M376" s="317" t="str">
        <f t="array" ref="M376">XLOOKUP(D376,Roster!F:F,Roster!E:E)</f>
        <v>Voice</v>
      </c>
      <c r="N376" s="317" t="str">
        <f t="shared" ref="N376:P376" si="387">LEFT(H376,5)</f>
        <v>09:45</v>
      </c>
      <c r="O376" s="317" t="str">
        <f t="shared" si="387"/>
        <v>12:30</v>
      </c>
      <c r="P376" s="317" t="str">
        <f t="shared" si="387"/>
        <v>14:45</v>
      </c>
      <c r="Q376" s="318">
        <f t="shared" si="382"/>
        <v>46115.40625</v>
      </c>
      <c r="R376" s="318">
        <f t="shared" si="383"/>
        <v>46115.52083</v>
      </c>
      <c r="S376" s="318">
        <f t="shared" si="8"/>
        <v>46115.61458</v>
      </c>
    </row>
    <row r="377">
      <c r="A377" s="14" t="str">
        <f t="shared" si="1"/>
        <v>C116346115</v>
      </c>
      <c r="B377" s="185">
        <f t="array" ref="B377">IF(F377="VL","",IF(F377="Free","Free",XLOOKUP(D377,Roster!T:T,Roster!S:S,"",0)))</f>
        <v>123</v>
      </c>
      <c r="C377" s="313">
        <v>46115.0</v>
      </c>
      <c r="D377" s="314" t="s">
        <v>66</v>
      </c>
      <c r="E377" s="307" t="str">
        <f t="array" ref="E377">(XLOOKUP(D377,Roster!F:F,Roster!B:B,"",0))</f>
        <v>Natalia Cardona</v>
      </c>
      <c r="F377" s="315" t="str">
        <f t="array" ref="F377">IF(B377=100,"Free",TEXT(XLOOKUP($D377,OperationVoice!$A:$A,OperationVoice!I:I,XLOOKUP($D377,OperationTickets!$A:$A,OperationTickets!I:I,"",0)),"hh:mm"))</f>
        <v>08:00</v>
      </c>
      <c r="G377" s="309">
        <f t="shared" si="3"/>
        <v>0.7083333333</v>
      </c>
      <c r="H377" s="316" t="str">
        <f t="array" ref="H377">XLOOKUP(B377,Roster!L:L,Roster!N:N,XLOOKUP(D377,TicketsBreak!A:A,TicketsBreak!E:E,"",0),0)</f>
        <v>09:45 - 10:00 </v>
      </c>
      <c r="I377" s="316" t="str">
        <f t="array" ref="I377">XLOOKUP(B377,Roster!L:L,Roster!O:O,XLOOKUP(D377,TicketsBreak!A:A,TicketsBreak!F:F,"",0),0)</f>
        <v>12:30 - 13:00</v>
      </c>
      <c r="J377" s="316" t="str">
        <f t="array" ref="J377">XLOOKUP(B377,Roster!L:L,Roster!P:P,XLOOKUP(D377,TicketsBreak!A:A,TicketsBreak!G:G,"",0),0)</f>
        <v>15:00 - 15:15</v>
      </c>
      <c r="K377" s="310">
        <f t="shared" si="4"/>
        <v>46115</v>
      </c>
      <c r="L377" s="317">
        <f t="array" ref="L377">(XLOOKUP(D377,Roster!F:F,Roster!D:D,"",0))</f>
        <v>24</v>
      </c>
      <c r="M377" s="317" t="str">
        <f t="array" ref="M377">XLOOKUP(D377,Roster!F:F,Roster!E:E)</f>
        <v>Voice</v>
      </c>
      <c r="N377" s="317" t="str">
        <f t="shared" ref="N377:P377" si="388">LEFT(H377,5)</f>
        <v>09:45</v>
      </c>
      <c r="O377" s="317" t="str">
        <f t="shared" si="388"/>
        <v>12:30</v>
      </c>
      <c r="P377" s="317" t="str">
        <f t="shared" si="388"/>
        <v>15:00</v>
      </c>
      <c r="Q377" s="318">
        <f t="shared" si="382"/>
        <v>46115.40625</v>
      </c>
      <c r="R377" s="318">
        <f t="shared" si="383"/>
        <v>46115.52083</v>
      </c>
      <c r="S377" s="318">
        <f t="shared" si="8"/>
        <v>46115.625</v>
      </c>
    </row>
    <row r="378">
      <c r="A378" s="14" t="str">
        <f t="shared" si="1"/>
        <v>C55646115</v>
      </c>
      <c r="B378" s="185" t="str">
        <f t="array" ref="B378">IF(F378="VL","",IF(F378="Free","Free",XLOOKUP(D378,Roster!T:T,Roster!S:S,"",0)))</f>
        <v/>
      </c>
      <c r="C378" s="313">
        <v>46115.0</v>
      </c>
      <c r="D378" s="314" t="s">
        <v>167</v>
      </c>
      <c r="E378" s="307" t="str">
        <f t="array" ref="E378">(XLOOKUP(D378,Roster!F:F,Roster!B:B,"",0))</f>
        <v>Nelson Londono</v>
      </c>
      <c r="F378" s="315" t="str">
        <f t="array" ref="F378">IF(B378=100,"Free",TEXT(XLOOKUP($D378,OperationVoice!$A:$A,OperationVoice!I:I,XLOOKUP($D378,OperationTickets!$A:$A,OperationTickets!I:I,"",0)),"hh:mm"))</f>
        <v>08:00</v>
      </c>
      <c r="G378" s="309">
        <f t="shared" si="3"/>
        <v>0.7083333333</v>
      </c>
      <c r="H378" s="316">
        <f t="array" ref="H378">XLOOKUP(B378,Roster!L:L,Roster!N:N,XLOOKUP(D378,TicketsBreak!A:A,TicketsBreak!E:E,"",0),0)</f>
        <v>0.3854166667</v>
      </c>
      <c r="I378" s="316">
        <f t="array" ref="I378">XLOOKUP(B378,Roster!L:L,Roster!O:O,XLOOKUP(D378,TicketsBreak!A:A,TicketsBreak!F:F,"",0),0)</f>
        <v>0.5833333333</v>
      </c>
      <c r="J378" s="316">
        <f t="array" ref="J378">XLOOKUP(B378,Roster!L:L,Roster!P:P,XLOOKUP(D378,TicketsBreak!A:A,TicketsBreak!G:G,"",0),0)</f>
        <v>0.6458333333</v>
      </c>
      <c r="K378" s="310">
        <f t="shared" si="4"/>
        <v>46115</v>
      </c>
      <c r="L378" s="317">
        <f t="array" ref="L378">(XLOOKUP(D378,Roster!F:F,Roster!D:D,"",0))</f>
        <v>2</v>
      </c>
      <c r="M378" s="317" t="str">
        <f t="array" ref="M378">XLOOKUP(D378,Roster!F:F,Roster!E:E)</f>
        <v>Tickets</v>
      </c>
      <c r="N378" s="317" t="str">
        <f t="shared" ref="N378:P378" si="389">LEFT(H378,5)</f>
        <v>09:15</v>
      </c>
      <c r="O378" s="317" t="str">
        <f t="shared" si="389"/>
        <v>14:00</v>
      </c>
      <c r="P378" s="317" t="str">
        <f t="shared" si="389"/>
        <v>15:30</v>
      </c>
      <c r="Q378" s="318">
        <f t="shared" si="382"/>
        <v>46115.38542</v>
      </c>
      <c r="R378" s="318">
        <f t="shared" si="383"/>
        <v>46115.58333</v>
      </c>
      <c r="S378" s="318">
        <f t="shared" si="8"/>
        <v>46115.64583</v>
      </c>
    </row>
    <row r="379">
      <c r="A379" s="14" t="str">
        <f t="shared" si="1"/>
        <v>C150746115</v>
      </c>
      <c r="B379" s="185">
        <f t="array" ref="B379">IF(F379="VL","",IF(F379="Free","Free",XLOOKUP(D379,Roster!T:T,Roster!S:S,"",0)))</f>
        <v>125</v>
      </c>
      <c r="C379" s="313">
        <v>46115.0</v>
      </c>
      <c r="D379" s="314" t="s">
        <v>67</v>
      </c>
      <c r="E379" s="307" t="str">
        <f t="array" ref="E379">(XLOOKUP(D379,Roster!F:F,Roster!B:B,"",0))</f>
        <v>Nicols Quinones</v>
      </c>
      <c r="F379" s="315" t="str">
        <f t="array" ref="F379">IF(B379=100,"Free",TEXT(XLOOKUP($D379,OperationVoice!$A:$A,OperationVoice!I:I,XLOOKUP($D379,OperationTickets!$A:$A,OperationTickets!I:I,"",0)),"hh:mm"))</f>
        <v>08:00</v>
      </c>
      <c r="G379" s="309">
        <f t="shared" si="3"/>
        <v>0.7083333333</v>
      </c>
      <c r="H379" s="316" t="str">
        <f t="array" ref="H379">XLOOKUP(B379,Roster!L:L,Roster!N:N,XLOOKUP(D379,TicketsBreak!A:A,TicketsBreak!E:E,"",0),0)</f>
        <v>10:30 - 10:45</v>
      </c>
      <c r="I379" s="316" t="str">
        <f t="array" ref="I379">XLOOKUP(B379,Roster!L:L,Roster!O:O,XLOOKUP(D379,TicketsBreak!A:A,TicketsBreak!F:F,"",0),0)</f>
        <v>13:30 - 14:00</v>
      </c>
      <c r="J379" s="316" t="str">
        <f t="array" ref="J379">XLOOKUP(B379,Roster!L:L,Roster!P:P,XLOOKUP(D379,TicketsBreak!A:A,TicketsBreak!G:G,"",0),0)</f>
        <v>15:45 - 16:00</v>
      </c>
      <c r="K379" s="310">
        <f t="shared" si="4"/>
        <v>46115</v>
      </c>
      <c r="L379" s="317">
        <f t="array" ref="L379">(XLOOKUP(D379,Roster!F:F,Roster!D:D,"",0))</f>
        <v>35</v>
      </c>
      <c r="M379" s="317" t="str">
        <f t="array" ref="M379">XLOOKUP(D379,Roster!F:F,Roster!E:E)</f>
        <v>Voice</v>
      </c>
      <c r="N379" s="317" t="str">
        <f t="shared" ref="N379:P379" si="390">LEFT(H379,5)</f>
        <v>10:30</v>
      </c>
      <c r="O379" s="317" t="str">
        <f t="shared" si="390"/>
        <v>13:30</v>
      </c>
      <c r="P379" s="317" t="str">
        <f t="shared" si="390"/>
        <v>15:45</v>
      </c>
      <c r="Q379" s="318">
        <f t="shared" si="382"/>
        <v>46115.4375</v>
      </c>
      <c r="R379" s="318">
        <f t="shared" si="383"/>
        <v>46115.5625</v>
      </c>
      <c r="S379" s="318">
        <f t="shared" si="8"/>
        <v>46115.65625</v>
      </c>
    </row>
    <row r="380">
      <c r="A380" s="14" t="str">
        <f t="shared" si="1"/>
        <v>C71446115</v>
      </c>
      <c r="B380" s="185" t="str">
        <f t="array" ref="B380">IF(F380="VL","",IF(F380="Free","Free",XLOOKUP(D380,Roster!T:T,Roster!S:S,"",0)))</f>
        <v/>
      </c>
      <c r="C380" s="313">
        <v>46115.0</v>
      </c>
      <c r="D380" s="314" t="s">
        <v>149</v>
      </c>
      <c r="E380" s="307" t="str">
        <f t="array" ref="E380">(XLOOKUP(D380,Roster!F:F,Roster!B:B,"",0))</f>
        <v>Onel Olivera</v>
      </c>
      <c r="F380" s="315" t="str">
        <f t="array" ref="F380">IF(B380=100,"Free",TEXT(XLOOKUP($D380,OperationVoice!$A:$A,OperationVoice!I:I,XLOOKUP($D380,OperationTickets!$A:$A,OperationTickets!I:I,"",0)),"hh:mm"))</f>
        <v>08:00</v>
      </c>
      <c r="G380" s="309">
        <f t="shared" si="3"/>
        <v>0.7083333333</v>
      </c>
      <c r="H380" s="316">
        <f t="array" ref="H380">XLOOKUP(B380,Roster!L:L,Roster!N:N,XLOOKUP(D380,TicketsBreak!A:A,TicketsBreak!E:E,"",0),0)</f>
        <v>0.4166666667</v>
      </c>
      <c r="I380" s="316">
        <f t="array" ref="I380">XLOOKUP(B380,Roster!L:L,Roster!O:O,XLOOKUP(D380,TicketsBreak!A:A,TicketsBreak!F:F,"",0),0)</f>
        <v>0.5</v>
      </c>
      <c r="J380" s="316">
        <f t="array" ref="J380">XLOOKUP(B380,Roster!L:L,Roster!P:P,XLOOKUP(D380,TicketsBreak!A:A,TicketsBreak!G:G,"",0),0)</f>
        <v>0.625</v>
      </c>
      <c r="K380" s="310">
        <f t="shared" si="4"/>
        <v>46115</v>
      </c>
      <c r="L380" s="317">
        <f t="array" ref="L380">(XLOOKUP(D380,Roster!F:F,Roster!D:D,"",0))</f>
        <v>1</v>
      </c>
      <c r="M380" s="317" t="str">
        <f t="array" ref="M380">XLOOKUP(D380,Roster!F:F,Roster!E:E)</f>
        <v>Tickets</v>
      </c>
      <c r="N380" s="317" t="str">
        <f t="shared" ref="N380:P380" si="391">LEFT(H380,5)</f>
        <v>10:00</v>
      </c>
      <c r="O380" s="317" t="str">
        <f t="shared" si="391"/>
        <v>12:00</v>
      </c>
      <c r="P380" s="317" t="str">
        <f t="shared" si="391"/>
        <v>15:00</v>
      </c>
      <c r="Q380" s="318">
        <f t="shared" si="382"/>
        <v>46115.41667</v>
      </c>
      <c r="R380" s="318">
        <f t="shared" si="383"/>
        <v>46115.5</v>
      </c>
      <c r="S380" s="318">
        <f t="shared" si="8"/>
        <v>46115.625</v>
      </c>
    </row>
    <row r="381">
      <c r="A381" s="14" t="str">
        <f t="shared" si="1"/>
        <v>C116446115</v>
      </c>
      <c r="B381" s="185" t="str">
        <f t="array" ref="B381">IF(F381="VL","",IF(F381="Free","Free",XLOOKUP(D381,Roster!T:T,Roster!S:S,"",0)))</f>
        <v/>
      </c>
      <c r="C381" s="313">
        <v>46115.0</v>
      </c>
      <c r="D381" s="314" t="s">
        <v>179</v>
      </c>
      <c r="E381" s="307" t="str">
        <f t="array" ref="E381">(XLOOKUP(D381,Roster!F:F,Roster!B:B,"",0))</f>
        <v>Oscar Florez</v>
      </c>
      <c r="F381" s="315" t="str">
        <f t="array" ref="F381">IF(B381=100,"Free",TEXT(XLOOKUP($D381,OperationVoice!$A:$A,OperationVoice!I:I,XLOOKUP($D381,OperationTickets!$A:$A,OperationTickets!I:I,"",0)),"hh:mm"))</f>
        <v>08:00</v>
      </c>
      <c r="G381" s="309">
        <f t="shared" si="3"/>
        <v>0.7083333333</v>
      </c>
      <c r="H381" s="316" t="str">
        <f t="array" ref="H381">XLOOKUP(B381,Roster!L:L,Roster!N:N,XLOOKUP(D381,TicketsBreak!A:A,TicketsBreak!E:E,"",0),0)</f>
        <v/>
      </c>
      <c r="I381" s="316" t="str">
        <f t="array" ref="I381">XLOOKUP(B381,Roster!L:L,Roster!O:O,XLOOKUP(D381,TicketsBreak!A:A,TicketsBreak!F:F,"",0),0)</f>
        <v/>
      </c>
      <c r="J381" s="316" t="str">
        <f t="array" ref="J381">XLOOKUP(B381,Roster!L:L,Roster!P:P,XLOOKUP(D381,TicketsBreak!A:A,TicketsBreak!G:G,"",0),0)</f>
        <v/>
      </c>
      <c r="K381" s="310">
        <f t="shared" si="4"/>
        <v>46115</v>
      </c>
      <c r="L381" s="317">
        <f t="array" ref="L381">(XLOOKUP(D381,Roster!F:F,Roster!D:D,"",0))</f>
        <v>24</v>
      </c>
      <c r="M381" s="317" t="str">
        <f t="array" ref="M381">XLOOKUP(D381,Roster!F:F,Roster!E:E)</f>
        <v>Tickets</v>
      </c>
      <c r="N381" s="317" t="str">
        <f t="shared" ref="N381:P381" si="392">LEFT(H381,5)</f>
        <v/>
      </c>
      <c r="O381" s="317" t="str">
        <f t="shared" si="392"/>
        <v/>
      </c>
      <c r="P381" s="317" t="str">
        <f t="shared" si="392"/>
        <v/>
      </c>
      <c r="Q381" s="318" t="str">
        <f t="shared" si="382"/>
        <v/>
      </c>
      <c r="R381" s="318" t="str">
        <f t="shared" si="383"/>
        <v/>
      </c>
      <c r="S381" s="318" t="str">
        <f t="shared" si="8"/>
        <v/>
      </c>
    </row>
    <row r="382">
      <c r="A382" s="14" t="str">
        <f t="shared" si="1"/>
        <v>C153846115</v>
      </c>
      <c r="B382" s="185" t="str">
        <f t="array" ref="B382">IF(F382="VL","",IF(F382="Free","Free",XLOOKUP(D382,Roster!T:T,Roster!S:S,"",0)))</f>
        <v>Free</v>
      </c>
      <c r="C382" s="313">
        <v>46115.0</v>
      </c>
      <c r="D382" s="314" t="s">
        <v>68</v>
      </c>
      <c r="E382" s="307" t="str">
        <f t="array" ref="E382">(XLOOKUP(D382,Roster!F:F,Roster!B:B,"",0))</f>
        <v>Oscar Roldan</v>
      </c>
      <c r="F382" s="315" t="str">
        <f t="array" ref="F382">IF(B382=100,"Free",TEXT(XLOOKUP($D382,OperationVoice!$A:$A,OperationVoice!I:I,XLOOKUP($D382,OperationTickets!$A:$A,OperationTickets!I:I,"",0)),"hh:mm"))</f>
        <v>Free</v>
      </c>
      <c r="G382" s="309" t="str">
        <f t="shared" si="3"/>
        <v>Free</v>
      </c>
      <c r="H382" s="316" t="str">
        <f t="array" ref="H382">XLOOKUP(B382,Roster!L:L,Roster!N:N,XLOOKUP(D382,TicketsBreak!A:A,TicketsBreak!E:E,"",0),0)</f>
        <v/>
      </c>
      <c r="I382" s="316" t="str">
        <f t="array" ref="I382">XLOOKUP(B382,Roster!L:L,Roster!O:O,XLOOKUP(D382,TicketsBreak!A:A,TicketsBreak!F:F,"",0),0)</f>
        <v/>
      </c>
      <c r="J382" s="316" t="str">
        <f t="array" ref="J382">XLOOKUP(B382,Roster!L:L,Roster!P:P,XLOOKUP(D382,TicketsBreak!A:A,TicketsBreak!G:G,"",0),0)</f>
        <v/>
      </c>
      <c r="K382" s="310">
        <f t="shared" si="4"/>
        <v>46115</v>
      </c>
      <c r="L382" s="317">
        <f t="array" ref="L382">(XLOOKUP(D382,Roster!F:F,Roster!D:D,"",0))</f>
        <v>36</v>
      </c>
      <c r="M382" s="317" t="str">
        <f t="array" ref="M382">XLOOKUP(D382,Roster!F:F,Roster!E:E)</f>
        <v>Voice</v>
      </c>
      <c r="N382" s="317" t="str">
        <f t="shared" ref="N382:P382" si="393">LEFT(H382,5)</f>
        <v/>
      </c>
      <c r="O382" s="317" t="str">
        <f t="shared" si="393"/>
        <v/>
      </c>
      <c r="P382" s="317" t="str">
        <f t="shared" si="393"/>
        <v/>
      </c>
      <c r="Q382" s="318" t="str">
        <f t="shared" si="382"/>
        <v/>
      </c>
      <c r="R382" s="318" t="str">
        <f t="shared" si="383"/>
        <v/>
      </c>
      <c r="S382" s="318" t="str">
        <f t="shared" si="8"/>
        <v/>
      </c>
    </row>
    <row r="383">
      <c r="A383" s="14" t="str">
        <f t="shared" si="1"/>
        <v>C151146115</v>
      </c>
      <c r="B383" s="185">
        <f t="array" ref="B383">IF(F383="VL","",IF(F383="Free","Free",XLOOKUP(D383,Roster!T:T,Roster!S:S,"",0)))</f>
        <v>131</v>
      </c>
      <c r="C383" s="313">
        <v>46115.0</v>
      </c>
      <c r="D383" s="314" t="s">
        <v>69</v>
      </c>
      <c r="E383" s="307" t="str">
        <f t="array" ref="E383">(XLOOKUP(D383,Roster!F:F,Roster!B:B,"",0))</f>
        <v>Salma Giraldo</v>
      </c>
      <c r="F383" s="315" t="str">
        <f t="array" ref="F383">IF(B383=100,"Free",TEXT(XLOOKUP($D383,OperationVoice!$A:$A,OperationVoice!I:I,XLOOKUP($D383,OperationTickets!$A:$A,OperationTickets!I:I,"",0)),"hh:mm"))</f>
        <v>09:00</v>
      </c>
      <c r="G383" s="309">
        <f t="shared" si="3"/>
        <v>0.75</v>
      </c>
      <c r="H383" s="316" t="str">
        <f t="array" ref="H383">XLOOKUP(B383,Roster!L:L,Roster!N:N,XLOOKUP(D383,TicketsBreak!A:A,TicketsBreak!E:E,"",0),0)</f>
        <v>10:15 - 10:30</v>
      </c>
      <c r="I383" s="316" t="str">
        <f t="array" ref="I383">XLOOKUP(B383,Roster!L:L,Roster!O:O,XLOOKUP(D383,TicketsBreak!A:A,TicketsBreak!F:F,"",0),0)</f>
        <v>12:30 - 13:00</v>
      </c>
      <c r="J383" s="316" t="str">
        <f t="array" ref="J383">XLOOKUP(B383,Roster!L:L,Roster!P:P,XLOOKUP(D383,TicketsBreak!A:A,TicketsBreak!G:G,"",0),0)</f>
        <v>15:15 - 15:30</v>
      </c>
      <c r="K383" s="310">
        <f t="shared" si="4"/>
        <v>46115</v>
      </c>
      <c r="L383" s="317">
        <f t="array" ref="L383">(XLOOKUP(D383,Roster!F:F,Roster!D:D,"",0))</f>
        <v>35</v>
      </c>
      <c r="M383" s="317" t="str">
        <f t="array" ref="M383">XLOOKUP(D383,Roster!F:F,Roster!E:E)</f>
        <v>Voice</v>
      </c>
      <c r="N383" s="317" t="str">
        <f t="shared" ref="N383:P383" si="394">LEFT(H383,5)</f>
        <v>10:15</v>
      </c>
      <c r="O383" s="317" t="str">
        <f t="shared" si="394"/>
        <v>12:30</v>
      </c>
      <c r="P383" s="317" t="str">
        <f t="shared" si="394"/>
        <v>15:15</v>
      </c>
      <c r="Q383" s="318">
        <f t="shared" si="382"/>
        <v>46115.42708</v>
      </c>
      <c r="R383" s="318">
        <f t="shared" si="383"/>
        <v>46115.52083</v>
      </c>
      <c r="S383" s="318">
        <f t="shared" si="8"/>
        <v>46115.63542</v>
      </c>
    </row>
    <row r="384">
      <c r="A384" s="14" t="str">
        <f t="shared" si="1"/>
        <v>C93346115</v>
      </c>
      <c r="B384" s="185">
        <f t="array" ref="B384">IF(F384="VL","",IF(F384="Free","Free",XLOOKUP(D384,Roster!T:T,Roster!S:S,"",0)))</f>
        <v>124</v>
      </c>
      <c r="C384" s="313">
        <v>46115.0</v>
      </c>
      <c r="D384" s="314" t="s">
        <v>70</v>
      </c>
      <c r="E384" s="307" t="str">
        <f t="array" ref="E384">(XLOOKUP(D384,Roster!F:F,Roster!B:B,"",0))</f>
        <v>Salome Arias</v>
      </c>
      <c r="F384" s="315" t="str">
        <f t="array" ref="F384">IF(B384=100,"Free",TEXT(XLOOKUP($D384,OperationVoice!$A:$A,OperationVoice!I:I,XLOOKUP($D384,OperationTickets!$A:$A,OperationTickets!I:I,"",0)),"hh:mm"))</f>
        <v>08:00</v>
      </c>
      <c r="G384" s="309">
        <f t="shared" si="3"/>
        <v>0.7083333333</v>
      </c>
      <c r="H384" s="316" t="str">
        <f t="array" ref="H384">XLOOKUP(B384,Roster!L:L,Roster!N:N,XLOOKUP(D384,TicketsBreak!A:A,TicketsBreak!E:E,"",0),0)</f>
        <v>10:00 - 10:15</v>
      </c>
      <c r="I384" s="316" t="str">
        <f t="array" ref="I384">XLOOKUP(B384,Roster!L:L,Roster!O:O,XLOOKUP(D384,TicketsBreak!A:A,TicketsBreak!F:F,"",0),0)</f>
        <v>13:00 - 13:30</v>
      </c>
      <c r="J384" s="316" t="str">
        <f t="array" ref="J384">XLOOKUP(B384,Roster!L:L,Roster!P:P,XLOOKUP(D384,TicketsBreak!A:A,TicketsBreak!G:G,"",0),0)</f>
        <v>15:30 - 15:45</v>
      </c>
      <c r="K384" s="310">
        <f t="shared" si="4"/>
        <v>46115</v>
      </c>
      <c r="L384" s="317">
        <f t="array" ref="L384">(XLOOKUP(D384,Roster!F:F,Roster!D:D,"",0))</f>
        <v>12</v>
      </c>
      <c r="M384" s="317" t="str">
        <f t="array" ref="M384">XLOOKUP(D384,Roster!F:F,Roster!E:E)</f>
        <v>Voice</v>
      </c>
      <c r="N384" s="317" t="str">
        <f t="shared" ref="N384:P384" si="395">LEFT(H384,5)</f>
        <v>10:00</v>
      </c>
      <c r="O384" s="317" t="str">
        <f t="shared" si="395"/>
        <v>13:00</v>
      </c>
      <c r="P384" s="317" t="str">
        <f t="shared" si="395"/>
        <v>15:30</v>
      </c>
      <c r="Q384" s="318">
        <f t="shared" si="382"/>
        <v>46115.41667</v>
      </c>
      <c r="R384" s="318">
        <f t="shared" si="383"/>
        <v>46115.54167</v>
      </c>
      <c r="S384" s="318">
        <f t="shared" si="8"/>
        <v>46115.64583</v>
      </c>
    </row>
    <row r="385">
      <c r="A385" s="14" t="str">
        <f t="shared" si="1"/>
        <v>C128246115</v>
      </c>
      <c r="B385" s="185" t="str">
        <f t="array" ref="B385">IF(F385="VL","",IF(F385="Free","Free",XLOOKUP(D385,Roster!T:T,Roster!S:S,"",0)))</f>
        <v/>
      </c>
      <c r="C385" s="313">
        <v>46115.0</v>
      </c>
      <c r="D385" s="314" t="s">
        <v>168</v>
      </c>
      <c r="E385" s="307" t="str">
        <f t="array" ref="E385">(XLOOKUP(D385,Roster!F:F,Roster!B:B,"",0))</f>
        <v>Samuel Acevedo</v>
      </c>
      <c r="F385" s="315" t="str">
        <f t="array" ref="F385">IF(B385=100,"Free",TEXT(XLOOKUP($D385,OperationVoice!$A:$A,OperationVoice!I:I,XLOOKUP($D385,OperationTickets!$A:$A,OperationTickets!I:I,"",0)),"hh:mm"))</f>
        <v>08:00</v>
      </c>
      <c r="G385" s="309">
        <f t="shared" si="3"/>
        <v>0.7083333333</v>
      </c>
      <c r="H385" s="316" t="str">
        <f t="array" ref="H385">XLOOKUP(B385,Roster!L:L,Roster!N:N,XLOOKUP(D385,TicketsBreak!A:A,TicketsBreak!E:E,"",0),0)</f>
        <v/>
      </c>
      <c r="I385" s="316" t="str">
        <f t="array" ref="I385">XLOOKUP(B385,Roster!L:L,Roster!O:O,XLOOKUP(D385,TicketsBreak!A:A,TicketsBreak!F:F,"",0),0)</f>
        <v/>
      </c>
      <c r="J385" s="316" t="str">
        <f t="array" ref="J385">XLOOKUP(B385,Roster!L:L,Roster!P:P,XLOOKUP(D385,TicketsBreak!A:A,TicketsBreak!G:G,"",0),0)</f>
        <v/>
      </c>
      <c r="K385" s="310">
        <f t="shared" si="4"/>
        <v>46115</v>
      </c>
      <c r="L385" s="317">
        <f t="array" ref="L385">(XLOOKUP(D385,Roster!F:F,Roster!D:D,"",0))</f>
        <v>27</v>
      </c>
      <c r="M385" s="317" t="str">
        <f t="array" ref="M385">XLOOKUP(D385,Roster!F:F,Roster!E:E)</f>
        <v>Tickets</v>
      </c>
      <c r="N385" s="317" t="str">
        <f t="shared" ref="N385:P385" si="396">LEFT(H385,5)</f>
        <v/>
      </c>
      <c r="O385" s="317" t="str">
        <f t="shared" si="396"/>
        <v/>
      </c>
      <c r="P385" s="317" t="str">
        <f t="shared" si="396"/>
        <v/>
      </c>
      <c r="Q385" s="318" t="str">
        <f t="shared" si="382"/>
        <v/>
      </c>
      <c r="R385" s="318" t="str">
        <f t="shared" si="383"/>
        <v/>
      </c>
      <c r="S385" s="318" t="str">
        <f t="shared" si="8"/>
        <v/>
      </c>
    </row>
    <row r="386">
      <c r="A386" s="14" t="str">
        <f t="shared" si="1"/>
        <v>C156446115</v>
      </c>
      <c r="B386" s="185">
        <f t="array" ref="B386">IF(F386="VL","",IF(F386="Free","Free",XLOOKUP(D386,Roster!T:T,Roster!S:S,"",0)))</f>
        <v>121</v>
      </c>
      <c r="C386" s="313">
        <v>46115.0</v>
      </c>
      <c r="D386" s="314" t="s">
        <v>71</v>
      </c>
      <c r="E386" s="307" t="str">
        <f t="array" ref="E386">(XLOOKUP(D386,Roster!F:F,Roster!B:B,"",0))</f>
        <v>Samuel Acevedo Cadavid</v>
      </c>
      <c r="F386" s="315" t="str">
        <f t="array" ref="F386">IF(B386=100,"Free",TEXT(XLOOKUP($D386,OperationVoice!$A:$A,OperationVoice!I:I,XLOOKUP($D386,OperationTickets!$A:$A,OperationTickets!I:I,"",0)),"hh:mm"))</f>
        <v>11:00</v>
      </c>
      <c r="G386" s="309">
        <f t="shared" si="3"/>
        <v>0.8333333333</v>
      </c>
      <c r="H386" s="316" t="str">
        <f t="array" ref="H386">XLOOKUP(B386,Roster!L:L,Roster!N:N,XLOOKUP(D386,TicketsBreak!A:A,TicketsBreak!E:E,"",0),0)</f>
        <v>09:15 - 09:30</v>
      </c>
      <c r="I386" s="316" t="str">
        <f t="array" ref="I386">XLOOKUP(B386,Roster!L:L,Roster!O:O,XLOOKUP(D386,TicketsBreak!A:A,TicketsBreak!F:F,"",0),0)</f>
        <v>11:30 - 12:00</v>
      </c>
      <c r="J386" s="316" t="str">
        <f t="array" ref="J386">XLOOKUP(B386,Roster!L:L,Roster!P:P,XLOOKUP(D386,TicketsBreak!A:A,TicketsBreak!G:G,"",0),0)</f>
        <v>14:30 - 14:45</v>
      </c>
      <c r="K386" s="310">
        <f t="shared" si="4"/>
        <v>46115</v>
      </c>
      <c r="L386" s="317">
        <f t="array" ref="L386">(XLOOKUP(D386,Roster!F:F,Roster!D:D,"",0))</f>
        <v>38</v>
      </c>
      <c r="M386" s="317" t="str">
        <f t="array" ref="M386">XLOOKUP(D386,Roster!F:F,Roster!E:E)</f>
        <v>Voice</v>
      </c>
      <c r="N386" s="317" t="str">
        <f t="shared" ref="N386:P386" si="397">LEFT(H386,5)</f>
        <v>09:15</v>
      </c>
      <c r="O386" s="317" t="str">
        <f t="shared" si="397"/>
        <v>11:30</v>
      </c>
      <c r="P386" s="317" t="str">
        <f t="shared" si="397"/>
        <v>14:30</v>
      </c>
      <c r="Q386" s="318">
        <f t="shared" si="382"/>
        <v>46115.38542</v>
      </c>
      <c r="R386" s="318">
        <f t="shared" si="383"/>
        <v>46115.47917</v>
      </c>
      <c r="S386" s="318">
        <f t="shared" si="8"/>
        <v>46115.60417</v>
      </c>
    </row>
    <row r="387">
      <c r="A387" s="14" t="str">
        <f t="shared" si="1"/>
        <v>C116846115</v>
      </c>
      <c r="B387" s="185">
        <f t="array" ref="B387">IF(F387="VL","",IF(F387="Free","Free",XLOOKUP(D387,Roster!T:T,Roster!S:S,"",0)))</f>
        <v>125</v>
      </c>
      <c r="C387" s="313">
        <v>46115.0</v>
      </c>
      <c r="D387" s="314" t="s">
        <v>180</v>
      </c>
      <c r="E387" s="307" t="str">
        <f t="array" ref="E387">(XLOOKUP(D387,Roster!F:F,Roster!B:B,"",0))</f>
        <v>Santiago Gaviria</v>
      </c>
      <c r="F387" s="315" t="str">
        <f t="array" ref="F387">IF(B387=100,"Free",TEXT(XLOOKUP($D387,OperationVoice!$A:$A,OperationVoice!I:I,XLOOKUP($D387,OperationTickets!$A:$A,OperationTickets!I:I,"",0)),"hh:mm"))</f>
        <v>08:00</v>
      </c>
      <c r="G387" s="309">
        <f t="shared" si="3"/>
        <v>0.7083333333</v>
      </c>
      <c r="H387" s="316" t="str">
        <f t="array" ref="H387">XLOOKUP(B387,Roster!L:L,Roster!N:N,XLOOKUP(D387,TicketsBreak!A:A,TicketsBreak!E:E,"",0),0)</f>
        <v>10:30 - 10:45</v>
      </c>
      <c r="I387" s="316" t="str">
        <f t="array" ref="I387">XLOOKUP(B387,Roster!L:L,Roster!O:O,XLOOKUP(D387,TicketsBreak!A:A,TicketsBreak!F:F,"",0),0)</f>
        <v>13:30 - 14:00</v>
      </c>
      <c r="J387" s="316" t="str">
        <f t="array" ref="J387">XLOOKUP(B387,Roster!L:L,Roster!P:P,XLOOKUP(D387,TicketsBreak!A:A,TicketsBreak!G:G,"",0),0)</f>
        <v>15:45 - 16:00</v>
      </c>
      <c r="K387" s="310">
        <f t="shared" si="4"/>
        <v>46115</v>
      </c>
      <c r="L387" s="317">
        <f t="array" ref="L387">(XLOOKUP(D387,Roster!F:F,Roster!D:D,"",0))</f>
        <v>24</v>
      </c>
      <c r="M387" s="317" t="str">
        <f t="array" ref="M387">XLOOKUP(D387,Roster!F:F,Roster!E:E)</f>
        <v>Tickets</v>
      </c>
      <c r="N387" s="317" t="str">
        <f t="shared" ref="N387:P387" si="398">LEFT(H387,5)</f>
        <v>10:30</v>
      </c>
      <c r="O387" s="317" t="str">
        <f t="shared" si="398"/>
        <v>13:30</v>
      </c>
      <c r="P387" s="317" t="str">
        <f t="shared" si="398"/>
        <v>15:45</v>
      </c>
      <c r="Q387" s="318">
        <f t="shared" si="382"/>
        <v>46115.4375</v>
      </c>
      <c r="R387" s="318">
        <f t="shared" si="383"/>
        <v>46115.5625</v>
      </c>
      <c r="S387" s="318">
        <f t="shared" si="8"/>
        <v>46115.65625</v>
      </c>
    </row>
    <row r="388">
      <c r="A388" s="14" t="str">
        <f t="shared" si="1"/>
        <v>C122046115</v>
      </c>
      <c r="B388" s="185" t="str">
        <f t="array" ref="B388">IF(F388="VL","",IF(F388="Free","Free",XLOOKUP(D388,Roster!T:T,Roster!S:S,"",0)))</f>
        <v/>
      </c>
      <c r="C388" s="313">
        <v>46115.0</v>
      </c>
      <c r="D388" s="314" t="s">
        <v>181</v>
      </c>
      <c r="E388" s="307" t="str">
        <f t="array" ref="E388">(XLOOKUP(D388,Roster!F:F,Roster!B:B,"",0))</f>
        <v>Santiago Gonzalez</v>
      </c>
      <c r="F388" s="315" t="str">
        <f t="array" ref="F388">IF(B388=100,"Free",TEXT(XLOOKUP($D388,OperationVoice!$A:$A,OperationVoice!I:I,XLOOKUP($D388,OperationTickets!$A:$A,OperationTickets!I:I,"",0)),"hh:mm"))</f>
        <v>08:00</v>
      </c>
      <c r="G388" s="309">
        <f t="shared" si="3"/>
        <v>0.7083333333</v>
      </c>
      <c r="H388" s="316" t="str">
        <f t="array" ref="H388">XLOOKUP(B388,Roster!L:L,Roster!N:N,XLOOKUP(D388,TicketsBreak!A:A,TicketsBreak!E:E,"",0),0)</f>
        <v/>
      </c>
      <c r="I388" s="316" t="str">
        <f t="array" ref="I388">XLOOKUP(B388,Roster!L:L,Roster!O:O,XLOOKUP(D388,TicketsBreak!A:A,TicketsBreak!F:F,"",0),0)</f>
        <v/>
      </c>
      <c r="J388" s="316" t="str">
        <f t="array" ref="J388">XLOOKUP(B388,Roster!L:L,Roster!P:P,XLOOKUP(D388,TicketsBreak!A:A,TicketsBreak!G:G,"",0),0)</f>
        <v/>
      </c>
      <c r="K388" s="310">
        <f t="shared" si="4"/>
        <v>46115</v>
      </c>
      <c r="L388" s="317">
        <f t="array" ref="L388">(XLOOKUP(D388,Roster!F:F,Roster!D:D,"",0))</f>
        <v>26</v>
      </c>
      <c r="M388" s="317" t="str">
        <f t="array" ref="M388">XLOOKUP(D388,Roster!F:F,Roster!E:E)</f>
        <v>Tickets</v>
      </c>
      <c r="N388" s="317" t="str">
        <f t="shared" ref="N388:P388" si="399">LEFT(H388,5)</f>
        <v/>
      </c>
      <c r="O388" s="317" t="str">
        <f t="shared" si="399"/>
        <v/>
      </c>
      <c r="P388" s="317" t="str">
        <f t="shared" si="399"/>
        <v/>
      </c>
      <c r="Q388" s="318" t="str">
        <f t="shared" si="382"/>
        <v/>
      </c>
      <c r="R388" s="318" t="str">
        <f t="shared" si="383"/>
        <v/>
      </c>
      <c r="S388" s="318" t="str">
        <f t="shared" si="8"/>
        <v/>
      </c>
    </row>
    <row r="389">
      <c r="A389" s="14" t="str">
        <f t="shared" si="1"/>
        <v>C140646115</v>
      </c>
      <c r="B389" s="185">
        <f t="array" ref="B389">IF(F389="VL","",IF(F389="Free","Free",XLOOKUP(D389,Roster!T:T,Roster!S:S,"",0)))</f>
        <v>152</v>
      </c>
      <c r="C389" s="313">
        <v>46115.0</v>
      </c>
      <c r="D389" s="314" t="s">
        <v>72</v>
      </c>
      <c r="E389" s="307" t="str">
        <f t="array" ref="E389">(XLOOKUP(D389,Roster!F:F,Roster!B:B,"",0))</f>
        <v>Santiago Mora</v>
      </c>
      <c r="F389" s="315" t="str">
        <f t="array" ref="F389">IF(B389=100,"Free",TEXT(XLOOKUP($D389,OperationVoice!$A:$A,OperationVoice!I:I,XLOOKUP($D389,OperationTickets!$A:$A,OperationTickets!I:I,"",0)),"hh:mm"))</f>
        <v>11:00</v>
      </c>
      <c r="G389" s="309">
        <f t="shared" si="3"/>
        <v>0.8333333333</v>
      </c>
      <c r="H389" s="316" t="str">
        <f t="array" ref="H389">XLOOKUP(B389,Roster!L:L,Roster!N:N,XLOOKUP(D389,TicketsBreak!A:A,TicketsBreak!E:E,"",0),0)</f>
        <v>12:30 - 12:45</v>
      </c>
      <c r="I389" s="316" t="str">
        <f t="array" ref="I389">XLOOKUP(B389,Roster!L:L,Roster!O:O,XLOOKUP(D389,TicketsBreak!A:A,TicketsBreak!F:F,"",0),0)</f>
        <v>14:30 - 15:00</v>
      </c>
      <c r="J389" s="316" t="str">
        <f t="array" ref="J389">XLOOKUP(B389,Roster!L:L,Roster!P:P,XLOOKUP(D389,TicketsBreak!A:A,TicketsBreak!G:G,"",0),0)</f>
        <v>17:30 - 17:45</v>
      </c>
      <c r="K389" s="310">
        <f t="shared" si="4"/>
        <v>46115</v>
      </c>
      <c r="L389" s="317">
        <f t="array" ref="L389">(XLOOKUP(D389,Roster!F:F,Roster!D:D,"",0))</f>
        <v>35</v>
      </c>
      <c r="M389" s="317" t="str">
        <f t="array" ref="M389">XLOOKUP(D389,Roster!F:F,Roster!E:E)</f>
        <v>Voice</v>
      </c>
      <c r="N389" s="317" t="str">
        <f t="shared" ref="N389:P389" si="400">LEFT(H389,5)</f>
        <v>12:30</v>
      </c>
      <c r="O389" s="317" t="str">
        <f t="shared" si="400"/>
        <v>14:30</v>
      </c>
      <c r="P389" s="317" t="str">
        <f t="shared" si="400"/>
        <v>17:30</v>
      </c>
      <c r="Q389" s="318">
        <f t="shared" si="382"/>
        <v>46115.52083</v>
      </c>
      <c r="R389" s="318">
        <f t="shared" si="383"/>
        <v>46115.60417</v>
      </c>
      <c r="S389" s="318">
        <f t="shared" si="8"/>
        <v>46115.72917</v>
      </c>
    </row>
    <row r="390">
      <c r="A390" s="14" t="str">
        <f t="shared" si="1"/>
        <v>C119946115</v>
      </c>
      <c r="B390" s="185" t="str">
        <f t="array" ref="B390">IF(F390="VL","",IF(F390="Free","Free",XLOOKUP(D390,Roster!T:T,Roster!S:S,"",0)))</f>
        <v/>
      </c>
      <c r="C390" s="313">
        <v>46115.0</v>
      </c>
      <c r="D390" s="314" t="s">
        <v>182</v>
      </c>
      <c r="E390" s="307" t="str">
        <f t="array" ref="E390">(XLOOKUP(D390,Roster!F:F,Roster!B:B,"",0))</f>
        <v>Santiago Velasquez</v>
      </c>
      <c r="F390" s="315" t="str">
        <f t="array" ref="F390">IF(B390=100,"Free",TEXT(XLOOKUP($D390,OperationVoice!$A:$A,OperationVoice!I:I,XLOOKUP($D390,OperationTickets!$A:$A,OperationTickets!I:I,"",0)),"hh:mm"))</f>
        <v>08:00</v>
      </c>
      <c r="G390" s="309">
        <f t="shared" si="3"/>
        <v>0.7083333333</v>
      </c>
      <c r="H390" s="316" t="str">
        <f t="array" ref="H390">XLOOKUP(B390,Roster!L:L,Roster!N:N,XLOOKUP(D390,TicketsBreak!A:A,TicketsBreak!E:E,"",0),0)</f>
        <v/>
      </c>
      <c r="I390" s="316" t="str">
        <f t="array" ref="I390">XLOOKUP(B390,Roster!L:L,Roster!O:O,XLOOKUP(D390,TicketsBreak!A:A,TicketsBreak!F:F,"",0),0)</f>
        <v/>
      </c>
      <c r="J390" s="316" t="str">
        <f t="array" ref="J390">XLOOKUP(B390,Roster!L:L,Roster!P:P,XLOOKUP(D390,TicketsBreak!A:A,TicketsBreak!G:G,"",0),0)</f>
        <v/>
      </c>
      <c r="K390" s="310">
        <f t="shared" si="4"/>
        <v>46115</v>
      </c>
      <c r="L390" s="317">
        <f t="array" ref="L390">(XLOOKUP(D390,Roster!F:F,Roster!D:D,"",0))</f>
        <v>25</v>
      </c>
      <c r="M390" s="317" t="str">
        <f t="array" ref="M390">XLOOKUP(D390,Roster!F:F,Roster!E:E)</f>
        <v>Tickets</v>
      </c>
      <c r="N390" s="317" t="str">
        <f t="shared" ref="N390:P390" si="401">LEFT(H390,5)</f>
        <v/>
      </c>
      <c r="O390" s="317" t="str">
        <f t="shared" si="401"/>
        <v/>
      </c>
      <c r="P390" s="317" t="str">
        <f t="shared" si="401"/>
        <v/>
      </c>
      <c r="Q390" s="318" t="str">
        <f t="shared" si="382"/>
        <v/>
      </c>
      <c r="R390" s="318" t="str">
        <f t="shared" si="383"/>
        <v/>
      </c>
      <c r="S390" s="318" t="str">
        <f t="shared" si="8"/>
        <v/>
      </c>
    </row>
    <row r="391">
      <c r="A391" s="14" t="str">
        <f t="shared" si="1"/>
        <v>C90246115</v>
      </c>
      <c r="B391" s="185" t="str">
        <f t="array" ref="B391">IF(F391="VL","",IF(F391="Free","Free",XLOOKUP(D391,Roster!T:T,Roster!S:S,"",0)))</f>
        <v/>
      </c>
      <c r="C391" s="313">
        <v>46115.0</v>
      </c>
      <c r="D391" s="314" t="s">
        <v>150</v>
      </c>
      <c r="E391" s="307" t="str">
        <f t="array" ref="E391">(XLOOKUP(D391,Roster!F:F,Roster!B:B,"",0))</f>
        <v>Sebastiam Vallejo</v>
      </c>
      <c r="F391" s="315" t="str">
        <f t="array" ref="F391">IF(B391=100,"Free",TEXT(XLOOKUP($D391,OperationVoice!$A:$A,OperationVoice!I:I,XLOOKUP($D391,OperationTickets!$A:$A,OperationTickets!I:I,"",0)),"hh:mm"))</f>
        <v>08:00</v>
      </c>
      <c r="G391" s="309">
        <f t="shared" si="3"/>
        <v>0.7083333333</v>
      </c>
      <c r="H391" s="316">
        <f t="array" ref="H391">XLOOKUP(B391,Roster!L:L,Roster!N:N,XLOOKUP(D391,TicketsBreak!A:A,TicketsBreak!E:E,"",0),0)</f>
        <v>0.4375</v>
      </c>
      <c r="I391" s="316">
        <f t="array" ref="I391">XLOOKUP(B391,Roster!L:L,Roster!O:O,XLOOKUP(D391,TicketsBreak!A:A,TicketsBreak!F:F,"",0),0)</f>
        <v>0.6041666667</v>
      </c>
      <c r="J391" s="316">
        <f t="array" ref="J391">XLOOKUP(B391,Roster!L:L,Roster!P:P,XLOOKUP(D391,TicketsBreak!A:A,TicketsBreak!G:G,"",0),0)</f>
        <v>0.65625</v>
      </c>
      <c r="K391" s="310">
        <f t="shared" si="4"/>
        <v>46115</v>
      </c>
      <c r="L391" s="317">
        <f t="array" ref="L391">(XLOOKUP(D391,Roster!F:F,Roster!D:D,"",0))</f>
        <v>11</v>
      </c>
      <c r="M391" s="317" t="str">
        <f t="array" ref="M391">XLOOKUP(D391,Roster!F:F,Roster!E:E)</f>
        <v>Tickets</v>
      </c>
      <c r="N391" s="317" t="str">
        <f t="shared" ref="N391:P391" si="402">LEFT(H391,5)</f>
        <v>10:30</v>
      </c>
      <c r="O391" s="317" t="str">
        <f t="shared" si="402"/>
        <v>14:30</v>
      </c>
      <c r="P391" s="317" t="str">
        <f t="shared" si="402"/>
        <v>15:45</v>
      </c>
      <c r="Q391" s="318">
        <f t="shared" si="382"/>
        <v>46115.4375</v>
      </c>
      <c r="R391" s="318">
        <f t="shared" si="383"/>
        <v>46115.60417</v>
      </c>
      <c r="S391" s="318">
        <f t="shared" si="8"/>
        <v>46115.65625</v>
      </c>
    </row>
    <row r="392">
      <c r="A392" s="14" t="str">
        <f t="shared" si="1"/>
        <v>C150646115</v>
      </c>
      <c r="B392" s="185">
        <f t="array" ref="B392">IF(F392="VL","",IF(F392="Free","Free",XLOOKUP(D392,Roster!T:T,Roster!S:S,"",0)))</f>
        <v>153</v>
      </c>
      <c r="C392" s="313">
        <v>46115.0</v>
      </c>
      <c r="D392" s="314" t="s">
        <v>73</v>
      </c>
      <c r="E392" s="307" t="str">
        <f t="array" ref="E392">(XLOOKUP(D392,Roster!F:F,Roster!B:B,"",0))</f>
        <v>Sebastian Agudelo Londono</v>
      </c>
      <c r="F392" s="315" t="str">
        <f t="array" ref="F392">IF(B392=100,"Free",TEXT(XLOOKUP($D392,OperationVoice!$A:$A,OperationVoice!I:I,XLOOKUP($D392,OperationTickets!$A:$A,OperationTickets!I:I,"",0)),"hh:mm"))</f>
        <v>11:00</v>
      </c>
      <c r="G392" s="309">
        <f t="shared" si="3"/>
        <v>0.8333333333</v>
      </c>
      <c r="H392" s="316" t="str">
        <f t="array" ref="H392">XLOOKUP(B392,Roster!L:L,Roster!N:N,XLOOKUP(D392,TicketsBreak!A:A,TicketsBreak!E:E,"",0),0)</f>
        <v>12:45 - 13:00</v>
      </c>
      <c r="I392" s="316" t="str">
        <f t="array" ref="I392">XLOOKUP(B392,Roster!L:L,Roster!O:O,XLOOKUP(D392,TicketsBreak!A:A,TicketsBreak!F:F,"",0),0)</f>
        <v>15:00 - 15:30</v>
      </c>
      <c r="J392" s="316" t="str">
        <f t="array" ref="J392">XLOOKUP(B392,Roster!L:L,Roster!P:P,XLOOKUP(D392,TicketsBreak!A:A,TicketsBreak!G:G,"",0),0)</f>
        <v>17:45 - 18:00</v>
      </c>
      <c r="K392" s="310">
        <f t="shared" si="4"/>
        <v>46115</v>
      </c>
      <c r="L392" s="317">
        <f t="array" ref="L392">(XLOOKUP(D392,Roster!F:F,Roster!D:D,"",0))</f>
        <v>35</v>
      </c>
      <c r="M392" s="317" t="str">
        <f t="array" ref="M392">XLOOKUP(D392,Roster!F:F,Roster!E:E)</f>
        <v>Voice</v>
      </c>
      <c r="N392" s="317" t="str">
        <f t="shared" ref="N392:P392" si="403">LEFT(H392,5)</f>
        <v>12:45</v>
      </c>
      <c r="O392" s="317" t="str">
        <f t="shared" si="403"/>
        <v>15:00</v>
      </c>
      <c r="P392" s="317" t="str">
        <f t="shared" si="403"/>
        <v>17:45</v>
      </c>
      <c r="Q392" s="318">
        <f t="shared" si="382"/>
        <v>46115.53125</v>
      </c>
      <c r="R392" s="318">
        <f t="shared" si="383"/>
        <v>46115.625</v>
      </c>
      <c r="S392" s="318">
        <f t="shared" si="8"/>
        <v>46115.73958</v>
      </c>
    </row>
    <row r="393">
      <c r="A393" s="14" t="str">
        <f t="shared" si="1"/>
        <v>C119046115</v>
      </c>
      <c r="B393" s="185" t="str">
        <f t="array" ref="B393">IF(F393="VL","",IF(F393="Free","Free",XLOOKUP(D393,Roster!T:T,Roster!S:S,"",0)))</f>
        <v/>
      </c>
      <c r="C393" s="313">
        <v>46115.0</v>
      </c>
      <c r="D393" s="314" t="s">
        <v>183</v>
      </c>
      <c r="E393" s="307" t="str">
        <f t="array" ref="E393">(XLOOKUP(D393,Roster!F:F,Roster!B:B,"",0))</f>
        <v>Sebastian Herrera</v>
      </c>
      <c r="F393" s="315" t="str">
        <f t="array" ref="F393">IF(B393=100,"Free",TEXT(XLOOKUP($D393,OperationVoice!$A:$A,OperationVoice!I:I,XLOOKUP($D393,OperationTickets!$A:$A,OperationTickets!I:I,"",0)),"hh:mm"))</f>
        <v>07:00</v>
      </c>
      <c r="G393" s="309">
        <f t="shared" si="3"/>
        <v>0.6666666667</v>
      </c>
      <c r="H393" s="316">
        <f t="array" ref="H393">XLOOKUP(B393,Roster!L:L,Roster!N:N,XLOOKUP(D393,TicketsBreak!A:A,TicketsBreak!E:E,"",0),0)</f>
        <v>0.40625</v>
      </c>
      <c r="I393" s="316">
        <f t="array" ref="I393">XLOOKUP(B393,Roster!L:L,Roster!O:O,XLOOKUP(D393,TicketsBreak!A:A,TicketsBreak!F:F,"",0),0)</f>
        <v>0.5416666667</v>
      </c>
      <c r="J393" s="316">
        <f t="array" ref="J393">XLOOKUP(B393,Roster!L:L,Roster!P:P,XLOOKUP(D393,TicketsBreak!A:A,TicketsBreak!G:G,"",0),0)</f>
        <v>0.625</v>
      </c>
      <c r="K393" s="310">
        <f t="shared" si="4"/>
        <v>46115</v>
      </c>
      <c r="L393" s="317">
        <f t="array" ref="L393">(XLOOKUP(D393,Roster!F:F,Roster!D:D,"",0))</f>
        <v>25</v>
      </c>
      <c r="M393" s="317" t="str">
        <f t="array" ref="M393">XLOOKUP(D393,Roster!F:F,Roster!E:E)</f>
        <v>Tickets</v>
      </c>
      <c r="N393" s="317" t="str">
        <f t="shared" ref="N393:P393" si="404">LEFT(H393,5)</f>
        <v>09:45</v>
      </c>
      <c r="O393" s="317" t="str">
        <f t="shared" si="404"/>
        <v>13:00</v>
      </c>
      <c r="P393" s="317" t="str">
        <f t="shared" si="404"/>
        <v>15:00</v>
      </c>
      <c r="Q393" s="318">
        <f t="shared" si="382"/>
        <v>46115.40625</v>
      </c>
      <c r="R393" s="318">
        <f t="shared" si="383"/>
        <v>46115.54167</v>
      </c>
      <c r="S393" s="318">
        <f t="shared" si="8"/>
        <v>46115.625</v>
      </c>
    </row>
    <row r="394">
      <c r="A394" s="14" t="str">
        <f t="shared" si="1"/>
        <v>C71046115</v>
      </c>
      <c r="B394" s="185" t="str">
        <f t="array" ref="B394">IF(F394="VL","",IF(F394="Free","Free",XLOOKUP(D394,Roster!T:T,Roster!S:S,"",0)))</f>
        <v/>
      </c>
      <c r="C394" s="313">
        <v>46115.0</v>
      </c>
      <c r="D394" s="314" t="s">
        <v>184</v>
      </c>
      <c r="E394" s="307" t="str">
        <f t="array" ref="E394">(XLOOKUP(D394,Roster!F:F,Roster!B:B,"",0))</f>
        <v>Sebastian Martinez</v>
      </c>
      <c r="F394" s="315" t="str">
        <f t="array" ref="F394">IF(B394=100,"Free",TEXT(XLOOKUP($D394,OperationVoice!$A:$A,OperationVoice!I:I,XLOOKUP($D394,OperationTickets!$A:$A,OperationTickets!I:I,"",0)),"hh:mm"))</f>
        <v>08:00</v>
      </c>
      <c r="G394" s="309">
        <f t="shared" si="3"/>
        <v>0.7083333333</v>
      </c>
      <c r="H394" s="316">
        <f t="array" ref="H394">XLOOKUP(B394,Roster!L:L,Roster!N:N,XLOOKUP(D394,TicketsBreak!A:A,TicketsBreak!E:E,"",0),0)</f>
        <v>0.40625</v>
      </c>
      <c r="I394" s="316">
        <f t="array" ref="I394">XLOOKUP(B394,Roster!L:L,Roster!O:O,XLOOKUP(D394,TicketsBreak!A:A,TicketsBreak!F:F,"",0),0)</f>
        <v>0.5625</v>
      </c>
      <c r="J394" s="316">
        <f t="array" ref="J394">XLOOKUP(B394,Roster!L:L,Roster!P:P,XLOOKUP(D394,TicketsBreak!A:A,TicketsBreak!G:G,"",0),0)</f>
        <v>0.65625</v>
      </c>
      <c r="K394" s="310">
        <f t="shared" si="4"/>
        <v>46115</v>
      </c>
      <c r="L394" s="317">
        <f t="array" ref="L394">(XLOOKUP(D394,Roster!F:F,Roster!D:D,"",0))</f>
        <v>6</v>
      </c>
      <c r="M394" s="317" t="str">
        <f t="array" ref="M394">XLOOKUP(D394,Roster!F:F,Roster!E:E)</f>
        <v>Tickets</v>
      </c>
      <c r="N394" s="317" t="str">
        <f t="shared" ref="N394:P394" si="405">LEFT(H394,5)</f>
        <v>09:45</v>
      </c>
      <c r="O394" s="317" t="str">
        <f t="shared" si="405"/>
        <v>13:30</v>
      </c>
      <c r="P394" s="317" t="str">
        <f t="shared" si="405"/>
        <v>15:45</v>
      </c>
      <c r="Q394" s="318">
        <f t="shared" si="382"/>
        <v>46115.40625</v>
      </c>
      <c r="R394" s="318">
        <f t="shared" si="383"/>
        <v>46115.5625</v>
      </c>
      <c r="S394" s="318">
        <f t="shared" si="8"/>
        <v>46115.65625</v>
      </c>
    </row>
    <row r="395">
      <c r="A395" s="14" t="str">
        <f t="shared" si="1"/>
        <v>C72346115</v>
      </c>
      <c r="B395" s="185" t="str">
        <f t="array" ref="B395">IF(F395="VL","",IF(F395="Free","Free",XLOOKUP(D395,Roster!T:T,Roster!S:S,"",0)))</f>
        <v/>
      </c>
      <c r="C395" s="313">
        <v>46115.0</v>
      </c>
      <c r="D395" s="314" t="s">
        <v>169</v>
      </c>
      <c r="E395" s="307" t="str">
        <f t="array" ref="E395">(XLOOKUP(D395,Roster!F:F,Roster!B:B,"",0))</f>
        <v>Sebastian Parra</v>
      </c>
      <c r="F395" s="315" t="str">
        <f t="array" ref="F395">IF(B395=100,"Free",TEXT(XLOOKUP($D395,OperationVoice!$A:$A,OperationVoice!I:I,XLOOKUP($D395,OperationTickets!$A:$A,OperationTickets!I:I,"",0)),"hh:mm"))</f>
        <v>VL</v>
      </c>
      <c r="G395" s="309" t="str">
        <f t="shared" si="3"/>
        <v>VL</v>
      </c>
      <c r="H395" s="316">
        <f t="array" ref="H395">XLOOKUP(B395,Roster!L:L,Roster!N:N,XLOOKUP(D395,TicketsBreak!A:A,TicketsBreak!E:E,"",0),0)</f>
        <v>0.4166666667</v>
      </c>
      <c r="I395" s="316">
        <f t="array" ref="I395">XLOOKUP(B395,Roster!L:L,Roster!O:O,XLOOKUP(D395,TicketsBreak!A:A,TicketsBreak!F:F,"",0),0)</f>
        <v>0.5347222222</v>
      </c>
      <c r="J395" s="316">
        <f t="array" ref="J395">XLOOKUP(B395,Roster!L:L,Roster!P:P,XLOOKUP(D395,TicketsBreak!A:A,TicketsBreak!G:G,"",0),0)</f>
        <v>0.65625</v>
      </c>
      <c r="K395" s="310">
        <f t="shared" si="4"/>
        <v>46115</v>
      </c>
      <c r="L395" s="317">
        <f t="array" ref="L395">(XLOOKUP(D395,Roster!F:F,Roster!D:D,"",0))</f>
        <v>7</v>
      </c>
      <c r="M395" s="317" t="str">
        <f t="array" ref="M395">XLOOKUP(D395,Roster!F:F,Roster!E:E)</f>
        <v>Tickets</v>
      </c>
      <c r="N395" s="317" t="str">
        <f t="shared" ref="N395:P395" si="406">LEFT(H395,5)</f>
        <v>10:00</v>
      </c>
      <c r="O395" s="317" t="str">
        <f t="shared" si="406"/>
        <v>12:50</v>
      </c>
      <c r="P395" s="317" t="str">
        <f t="shared" si="406"/>
        <v>15:45</v>
      </c>
      <c r="Q395" s="318">
        <f t="shared" si="382"/>
        <v>46115.41667</v>
      </c>
      <c r="R395" s="318">
        <f t="shared" si="383"/>
        <v>46115.53472</v>
      </c>
      <c r="S395" s="318">
        <f t="shared" si="8"/>
        <v>46115.65625</v>
      </c>
    </row>
    <row r="396">
      <c r="A396" s="14" t="str">
        <f t="shared" si="1"/>
        <v>C137646115</v>
      </c>
      <c r="B396" s="185" t="str">
        <f t="array" ref="B396">IF(F396="VL","",IF(F396="Free","Free",XLOOKUP(D396,Roster!T:T,Roster!S:S,"",0)))</f>
        <v/>
      </c>
      <c r="C396" s="313">
        <v>46115.0</v>
      </c>
      <c r="D396" s="314" t="s">
        <v>151</v>
      </c>
      <c r="E396" s="307" t="str">
        <f t="array" ref="E396">(XLOOKUP(D396,Roster!F:F,Roster!B:B,"",0))</f>
        <v>Sebastian Quiroz</v>
      </c>
      <c r="F396" s="315" t="str">
        <f t="array" ref="F396">IF(B396=100,"Free",TEXT(XLOOKUP($D396,OperationVoice!$A:$A,OperationVoice!I:I,XLOOKUP($D396,OperationTickets!$A:$A,OperationTickets!I:I,"",0)),"hh:mm"))</f>
        <v>08:00</v>
      </c>
      <c r="G396" s="309">
        <f t="shared" si="3"/>
        <v>0.7083333333</v>
      </c>
      <c r="H396" s="316" t="str">
        <f t="array" ref="H396">XLOOKUP(B396,Roster!L:L,Roster!N:N,XLOOKUP(D396,TicketsBreak!A:A,TicketsBreak!E:E,"",0),0)</f>
        <v/>
      </c>
      <c r="I396" s="316" t="str">
        <f t="array" ref="I396">XLOOKUP(B396,Roster!L:L,Roster!O:O,XLOOKUP(D396,TicketsBreak!A:A,TicketsBreak!F:F,"",0),0)</f>
        <v/>
      </c>
      <c r="J396" s="316" t="str">
        <f t="array" ref="J396">XLOOKUP(B396,Roster!L:L,Roster!P:P,XLOOKUP(D396,TicketsBreak!A:A,TicketsBreak!G:G,"",0),0)</f>
        <v/>
      </c>
      <c r="K396" s="310">
        <f t="shared" si="4"/>
        <v>46115</v>
      </c>
      <c r="L396" s="317">
        <f t="array" ref="L396">(XLOOKUP(D396,Roster!F:F,Roster!D:D,"",0))</f>
        <v>31</v>
      </c>
      <c r="M396" s="317" t="str">
        <f t="array" ref="M396">XLOOKUP(D396,Roster!F:F,Roster!E:E)</f>
        <v>Tickets</v>
      </c>
      <c r="N396" s="317" t="str">
        <f t="shared" ref="N396:P396" si="407">LEFT(H396,5)</f>
        <v/>
      </c>
      <c r="O396" s="317" t="str">
        <f t="shared" si="407"/>
        <v/>
      </c>
      <c r="P396" s="317" t="str">
        <f t="shared" si="407"/>
        <v/>
      </c>
      <c r="Q396" s="318" t="str">
        <f t="shared" si="382"/>
        <v/>
      </c>
      <c r="R396" s="318" t="str">
        <f t="shared" si="383"/>
        <v/>
      </c>
      <c r="S396" s="318" t="str">
        <f t="shared" si="8"/>
        <v/>
      </c>
    </row>
    <row r="397">
      <c r="A397" s="14" t="str">
        <f t="shared" si="1"/>
        <v>C72646115</v>
      </c>
      <c r="B397" s="185" t="str">
        <f t="array" ref="B397">IF(F397="VL","",IF(F397="Free","Free",XLOOKUP(D397,Roster!T:T,Roster!S:S,"",0)))</f>
        <v/>
      </c>
      <c r="C397" s="313">
        <v>46115.0</v>
      </c>
      <c r="D397" s="314" t="s">
        <v>185</v>
      </c>
      <c r="E397" s="307" t="str">
        <f t="array" ref="E397">(XLOOKUP(D397,Roster!F:F,Roster!B:B,"",0))</f>
        <v>Sebastian Rodriguez</v>
      </c>
      <c r="F397" s="315" t="str">
        <f t="array" ref="F397">IF(B397=100,"Free",TEXT(XLOOKUP($D397,OperationVoice!$A:$A,OperationVoice!I:I,XLOOKUP($D397,OperationTickets!$A:$A,OperationTickets!I:I,"",0)),"hh:mm"))</f>
        <v>08:00</v>
      </c>
      <c r="G397" s="309">
        <f t="shared" si="3"/>
        <v>0.7083333333</v>
      </c>
      <c r="H397" s="316">
        <f t="array" ref="H397">XLOOKUP(B397,Roster!L:L,Roster!N:N,XLOOKUP(D397,TicketsBreak!A:A,TicketsBreak!E:E,"",0),0)</f>
        <v>0.4166666667</v>
      </c>
      <c r="I397" s="316">
        <f t="array" ref="I397">XLOOKUP(B397,Roster!L:L,Roster!O:O,XLOOKUP(D397,TicketsBreak!A:A,TicketsBreak!F:F,"",0),0)</f>
        <v>0.5625</v>
      </c>
      <c r="J397" s="316">
        <f t="array" ref="J397">XLOOKUP(B397,Roster!L:L,Roster!P:P,XLOOKUP(D397,TicketsBreak!A:A,TicketsBreak!G:G,"",0),0)</f>
        <v>0.6458333333</v>
      </c>
      <c r="K397" s="310">
        <f t="shared" si="4"/>
        <v>46115</v>
      </c>
      <c r="L397" s="317">
        <f t="array" ref="L397">(XLOOKUP(D397,Roster!F:F,Roster!D:D,"",0))</f>
        <v>7</v>
      </c>
      <c r="M397" s="317" t="str">
        <f t="array" ref="M397">XLOOKUP(D397,Roster!F:F,Roster!E:E)</f>
        <v>Tickets</v>
      </c>
      <c r="N397" s="317" t="str">
        <f t="shared" ref="N397:P397" si="408">LEFT(H397,5)</f>
        <v>10:00</v>
      </c>
      <c r="O397" s="317" t="str">
        <f t="shared" si="408"/>
        <v>13:30</v>
      </c>
      <c r="P397" s="317" t="str">
        <f t="shared" si="408"/>
        <v>15:30</v>
      </c>
      <c r="Q397" s="318">
        <f t="shared" si="382"/>
        <v>46115.41667</v>
      </c>
      <c r="R397" s="318">
        <f t="shared" si="383"/>
        <v>46115.5625</v>
      </c>
      <c r="S397" s="318">
        <f t="shared" si="8"/>
        <v>46115.64583</v>
      </c>
    </row>
    <row r="398">
      <c r="A398" s="14" t="str">
        <f t="shared" si="1"/>
        <v>C60246115</v>
      </c>
      <c r="B398" s="185" t="str">
        <f t="array" ref="B398">IF(F398="VL","",IF(F398="Free","Free",XLOOKUP(D398,Roster!T:T,Roster!S:S,"",0)))</f>
        <v/>
      </c>
      <c r="C398" s="313">
        <v>46115.0</v>
      </c>
      <c r="D398" s="314" t="s">
        <v>170</v>
      </c>
      <c r="E398" s="307" t="str">
        <f t="array" ref="E398">(XLOOKUP(D398,Roster!F:F,Roster!B:B,"",0))</f>
        <v>Sebastian Torres</v>
      </c>
      <c r="F398" s="315" t="str">
        <f t="array" ref="F398">IF(B398=100,"Free",TEXT(XLOOKUP($D398,OperationVoice!$A:$A,OperationVoice!I:I,XLOOKUP($D398,OperationTickets!$A:$A,OperationTickets!I:I,"",0)),"hh:mm"))</f>
        <v>08:00</v>
      </c>
      <c r="G398" s="309">
        <f t="shared" si="3"/>
        <v>0.7083333333</v>
      </c>
      <c r="H398" s="316">
        <f t="array" ref="H398">XLOOKUP(B398,Roster!L:L,Roster!N:N,XLOOKUP(D398,TicketsBreak!A:A,TicketsBreak!E:E,"",0),0)</f>
        <v>0.4583333333</v>
      </c>
      <c r="I398" s="316">
        <f t="array" ref="I398">XLOOKUP(B398,Roster!L:L,Roster!O:O,XLOOKUP(D398,TicketsBreak!A:A,TicketsBreak!F:F,"",0),0)</f>
        <v>0.5833333333</v>
      </c>
      <c r="J398" s="316">
        <f t="array" ref="J398">XLOOKUP(B398,Roster!L:L,Roster!P:P,XLOOKUP(D398,TicketsBreak!A:A,TicketsBreak!G:G,"",0),0)</f>
        <v>0.65625</v>
      </c>
      <c r="K398" s="310">
        <f t="shared" si="4"/>
        <v>46115</v>
      </c>
      <c r="L398" s="317">
        <f t="array" ref="L398">(XLOOKUP(D398,Roster!F:F,Roster!D:D,"",0))</f>
        <v>8</v>
      </c>
      <c r="M398" s="317" t="str">
        <f t="array" ref="M398">XLOOKUP(D398,Roster!F:F,Roster!E:E)</f>
        <v>Tickets</v>
      </c>
      <c r="N398" s="317" t="str">
        <f t="shared" ref="N398:P398" si="409">LEFT(H398,5)</f>
        <v>11:00</v>
      </c>
      <c r="O398" s="317" t="str">
        <f t="shared" si="409"/>
        <v>14:00</v>
      </c>
      <c r="P398" s="317" t="str">
        <f t="shared" si="409"/>
        <v>15:45</v>
      </c>
      <c r="Q398" s="318">
        <f t="shared" si="382"/>
        <v>46115.45833</v>
      </c>
      <c r="R398" s="318">
        <f t="shared" si="383"/>
        <v>46115.58333</v>
      </c>
      <c r="S398" s="318">
        <f t="shared" si="8"/>
        <v>46115.65625</v>
      </c>
    </row>
    <row r="399">
      <c r="A399" s="14" t="str">
        <f t="shared" si="1"/>
        <v>C143146115</v>
      </c>
      <c r="B399" s="185">
        <f t="array" ref="B399">IF(F399="VL","",IF(F399="Free","Free",XLOOKUP(D399,Roster!T:T,Roster!S:S,"",0)))</f>
        <v>151</v>
      </c>
      <c r="C399" s="313">
        <v>46115.0</v>
      </c>
      <c r="D399" s="314" t="s">
        <v>74</v>
      </c>
      <c r="E399" s="307" t="str">
        <f t="array" ref="E399">(XLOOKUP(D399,Roster!F:F,Roster!B:B,"",0))</f>
        <v>Sebastian Torres Gomez</v>
      </c>
      <c r="F399" s="315" t="str">
        <f t="array" ref="F399">IF(B399=100,"Free",TEXT(XLOOKUP($D399,OperationVoice!$A:$A,OperationVoice!I:I,XLOOKUP($D399,OperationTickets!$A:$A,OperationTickets!I:I,"",0)),"hh:mm"))</f>
        <v>11:00</v>
      </c>
      <c r="G399" s="309">
        <f t="shared" si="3"/>
        <v>0.8333333333</v>
      </c>
      <c r="H399" s="316" t="str">
        <f t="array" ref="H399">XLOOKUP(B399,Roster!L:L,Roster!N:N,XLOOKUP(D399,TicketsBreak!A:A,TicketsBreak!E:E,"",0),0)</f>
        <v>12:15 - 12:30</v>
      </c>
      <c r="I399" s="316" t="str">
        <f t="array" ref="I399">XLOOKUP(B399,Roster!L:L,Roster!O:O,XLOOKUP(D399,TicketsBreak!A:A,TicketsBreak!F:F,"",0),0)</f>
        <v>14:00 - 14:30</v>
      </c>
      <c r="J399" s="316" t="str">
        <f t="array" ref="J399">XLOOKUP(B399,Roster!L:L,Roster!P:P,XLOOKUP(D399,TicketsBreak!A:A,TicketsBreak!G:G,"",0),0)</f>
        <v>17:15 - 17:30</v>
      </c>
      <c r="K399" s="310">
        <f t="shared" si="4"/>
        <v>46115</v>
      </c>
      <c r="L399" s="317">
        <f t="array" ref="L399">(XLOOKUP(D399,Roster!F:F,Roster!D:D,"",0))</f>
        <v>32</v>
      </c>
      <c r="M399" s="317" t="str">
        <f t="array" ref="M399">XLOOKUP(D399,Roster!F:F,Roster!E:E)</f>
        <v>Voice</v>
      </c>
      <c r="N399" s="317" t="str">
        <f t="shared" ref="N399:P399" si="410">LEFT(H399,5)</f>
        <v>12:15</v>
      </c>
      <c r="O399" s="317" t="str">
        <f t="shared" si="410"/>
        <v>14:00</v>
      </c>
      <c r="P399" s="317" t="str">
        <f t="shared" si="410"/>
        <v>17:15</v>
      </c>
      <c r="Q399" s="318">
        <f t="shared" si="382"/>
        <v>46115.51042</v>
      </c>
      <c r="R399" s="318">
        <f t="shared" si="383"/>
        <v>46115.58333</v>
      </c>
      <c r="S399" s="318">
        <f t="shared" si="8"/>
        <v>46115.71875</v>
      </c>
    </row>
    <row r="400">
      <c r="A400" s="14" t="str">
        <f t="shared" si="1"/>
        <v>C149146115</v>
      </c>
      <c r="B400" s="185" t="str">
        <f t="array" ref="B400">IF(F400="VL","",IF(F400="Free","Free",XLOOKUP(D400,Roster!T:T,Roster!S:S,"",0)))</f>
        <v/>
      </c>
      <c r="C400" s="313">
        <v>46115.0</v>
      </c>
      <c r="D400" s="314" t="s">
        <v>315</v>
      </c>
      <c r="E400" s="307" t="str">
        <f t="array" ref="E400">(XLOOKUP(D400,Roster!F:F,Roster!B:B,"",0))</f>
        <v>Sebastian Vanegas</v>
      </c>
      <c r="F400" s="315" t="str">
        <f t="array" ref="F400">IF(B400=100,"Free",TEXT(XLOOKUP($D400,OperationVoice!$A:$A,OperationVoice!I:I,XLOOKUP($D400,OperationTickets!$A:$A,OperationTickets!I:I,"",0)),"hh:mm"))</f>
        <v/>
      </c>
      <c r="G400" s="309" t="str">
        <f t="shared" si="3"/>
        <v/>
      </c>
      <c r="H400" s="316" t="str">
        <f t="array" ref="H400">XLOOKUP(B400,Roster!L:L,Roster!N:N,XLOOKUP(D400,TicketsBreak!A:A,TicketsBreak!E:E,"",0),0)</f>
        <v/>
      </c>
      <c r="I400" s="316" t="str">
        <f t="array" ref="I400">XLOOKUP(B400,Roster!L:L,Roster!O:O,XLOOKUP(D400,TicketsBreak!A:A,TicketsBreak!F:F,"",0),0)</f>
        <v/>
      </c>
      <c r="J400" s="316" t="str">
        <f t="array" ref="J400">XLOOKUP(B400,Roster!L:L,Roster!P:P,XLOOKUP(D400,TicketsBreak!A:A,TicketsBreak!G:G,"",0),0)</f>
        <v/>
      </c>
      <c r="K400" s="310">
        <f t="shared" si="4"/>
        <v>46115</v>
      </c>
      <c r="L400" s="317">
        <f t="array" ref="L400">(XLOOKUP(D400,Roster!F:F,Roster!D:D,"",0))</f>
        <v>34</v>
      </c>
      <c r="M400" s="317" t="str">
        <f t="array" ref="M400">XLOOKUP(D400,Roster!F:F,Roster!E:E)</f>
        <v>Voice</v>
      </c>
      <c r="N400" s="317" t="str">
        <f t="shared" ref="N400:P400" si="411">LEFT(H400,5)</f>
        <v/>
      </c>
      <c r="O400" s="317" t="str">
        <f t="shared" si="411"/>
        <v/>
      </c>
      <c r="P400" s="317" t="str">
        <f t="shared" si="411"/>
        <v/>
      </c>
      <c r="Q400" s="318" t="str">
        <f t="shared" si="382"/>
        <v/>
      </c>
      <c r="R400" s="318" t="str">
        <f t="shared" si="383"/>
        <v/>
      </c>
      <c r="S400" s="318" t="str">
        <f t="shared" si="8"/>
        <v/>
      </c>
    </row>
    <row r="401">
      <c r="A401" s="14" t="str">
        <f t="shared" si="1"/>
        <v>C93746115</v>
      </c>
      <c r="B401" s="185">
        <f t="array" ref="B401">IF(F401="VL","",IF(F401="Free","Free",XLOOKUP(D401,Roster!T:T,Roster!S:S,"",0)))</f>
        <v>126</v>
      </c>
      <c r="C401" s="313">
        <v>46115.0</v>
      </c>
      <c r="D401" s="314" t="s">
        <v>75</v>
      </c>
      <c r="E401" s="307" t="str">
        <f t="array" ref="E401">(XLOOKUP(D401,Roster!F:F,Roster!B:B,"",0))</f>
        <v>Sebastian Zapata</v>
      </c>
      <c r="F401" s="315" t="str">
        <f t="array" ref="F401">IF(B401=100,"Free",TEXT(XLOOKUP($D401,OperationVoice!$A:$A,OperationVoice!I:I,XLOOKUP($D401,OperationTickets!$A:$A,OperationTickets!I:I,"",0)),"hh:mm"))</f>
        <v>08:00</v>
      </c>
      <c r="G401" s="309">
        <f t="shared" si="3"/>
        <v>0.7083333333</v>
      </c>
      <c r="H401" s="316" t="str">
        <f t="array" ref="H401">XLOOKUP(B401,Roster!L:L,Roster!N:N,XLOOKUP(D401,TicketsBreak!A:A,TicketsBreak!E:E,"",0),0)</f>
        <v>10:45 - 11:00</v>
      </c>
      <c r="I401" s="316" t="str">
        <f t="array" ref="I401">XLOOKUP(B401,Roster!L:L,Roster!O:O,XLOOKUP(D401,TicketsBreak!A:A,TicketsBreak!F:F,"",0),0)</f>
        <v>14:00 - 14:30</v>
      </c>
      <c r="J401" s="316" t="str">
        <f t="array" ref="J401">XLOOKUP(B401,Roster!L:L,Roster!P:P,XLOOKUP(D401,TicketsBreak!A:A,TicketsBreak!G:G,"",0),0)</f>
        <v>15:45 - 16:00</v>
      </c>
      <c r="K401" s="310">
        <f t="shared" si="4"/>
        <v>46115</v>
      </c>
      <c r="L401" s="317">
        <f t="array" ref="L401">(XLOOKUP(D401,Roster!F:F,Roster!D:D,"",0))</f>
        <v>12</v>
      </c>
      <c r="M401" s="317" t="str">
        <f t="array" ref="M401">XLOOKUP(D401,Roster!F:F,Roster!E:E)</f>
        <v>Voice</v>
      </c>
      <c r="N401" s="317" t="str">
        <f t="shared" ref="N401:P401" si="412">LEFT(H401,5)</f>
        <v>10:45</v>
      </c>
      <c r="O401" s="317" t="str">
        <f t="shared" si="412"/>
        <v>14:00</v>
      </c>
      <c r="P401" s="317" t="str">
        <f t="shared" si="412"/>
        <v>15:45</v>
      </c>
      <c r="Q401" s="318">
        <f t="shared" si="382"/>
        <v>46115.44792</v>
      </c>
      <c r="R401" s="318">
        <f t="shared" si="383"/>
        <v>46115.58333</v>
      </c>
      <c r="S401" s="318">
        <f t="shared" si="8"/>
        <v>46115.65625</v>
      </c>
    </row>
    <row r="402">
      <c r="A402" s="14" t="str">
        <f t="shared" si="1"/>
        <v>C156546115</v>
      </c>
      <c r="B402" s="185">
        <f t="array" ref="B402">IF(F402="VL","",IF(F402="Free","Free",XLOOKUP(D402,Roster!T:T,Roster!S:S,"",0)))</f>
        <v>122</v>
      </c>
      <c r="C402" s="313">
        <v>46115.0</v>
      </c>
      <c r="D402" s="314" t="s">
        <v>76</v>
      </c>
      <c r="E402" s="307" t="str">
        <f t="array" ref="E402">(XLOOKUP(D402,Roster!F:F,Roster!B:B,"",0))</f>
        <v>Sergio Rojas</v>
      </c>
      <c r="F402" s="315" t="str">
        <f t="array" ref="F402">IF(B402=100,"Free",TEXT(XLOOKUP($D402,OperationVoice!$A:$A,OperationVoice!I:I,XLOOKUP($D402,OperationTickets!$A:$A,OperationTickets!I:I,"",0)),"hh:mm"))</f>
        <v>11:00</v>
      </c>
      <c r="G402" s="309">
        <f t="shared" si="3"/>
        <v>0.8333333333</v>
      </c>
      <c r="H402" s="316" t="str">
        <f t="array" ref="H402">XLOOKUP(B402,Roster!L:L,Roster!N:N,XLOOKUP(D402,TicketsBreak!A:A,TicketsBreak!E:E,"",0),0)</f>
        <v>09:30 - 09:45</v>
      </c>
      <c r="I402" s="316" t="str">
        <f t="array" ref="I402">XLOOKUP(B402,Roster!L:L,Roster!O:O,XLOOKUP(D402,TicketsBreak!A:A,TicketsBreak!F:F,"",0),0)</f>
        <v>12:00 - 12:30</v>
      </c>
      <c r="J402" s="316" t="str">
        <f t="array" ref="J402">XLOOKUP(B402,Roster!L:L,Roster!P:P,XLOOKUP(D402,TicketsBreak!A:A,TicketsBreak!G:G,"",0),0)</f>
        <v>14:45 - 15:00</v>
      </c>
      <c r="K402" s="310">
        <f t="shared" si="4"/>
        <v>46115</v>
      </c>
      <c r="L402" s="317">
        <f t="array" ref="L402">(XLOOKUP(D402,Roster!F:F,Roster!D:D,"",0))</f>
        <v>38</v>
      </c>
      <c r="M402" s="317" t="str">
        <f t="array" ref="M402">XLOOKUP(D402,Roster!F:F,Roster!E:E)</f>
        <v>Voice</v>
      </c>
      <c r="N402" s="317" t="str">
        <f t="shared" ref="N402:P402" si="413">LEFT(H402,5)</f>
        <v>09:30</v>
      </c>
      <c r="O402" s="317" t="str">
        <f t="shared" si="413"/>
        <v>12:00</v>
      </c>
      <c r="P402" s="317" t="str">
        <f t="shared" si="413"/>
        <v>14:45</v>
      </c>
      <c r="Q402" s="318">
        <f t="shared" si="382"/>
        <v>46115.39583</v>
      </c>
      <c r="R402" s="318">
        <f t="shared" si="383"/>
        <v>46115.5</v>
      </c>
      <c r="S402" s="318">
        <f t="shared" si="8"/>
        <v>46115.61458</v>
      </c>
    </row>
    <row r="403">
      <c r="A403" s="14" t="str">
        <f t="shared" si="1"/>
        <v>C147846115</v>
      </c>
      <c r="B403" s="185" t="str">
        <f t="array" ref="B403">IF(F403="VL","",IF(F403="Free","Free",XLOOKUP(D403,Roster!T:T,Roster!S:S,"",0)))</f>
        <v/>
      </c>
      <c r="C403" s="313">
        <v>46115.0</v>
      </c>
      <c r="D403" s="314" t="s">
        <v>186</v>
      </c>
      <c r="E403" s="307" t="str">
        <f t="array" ref="E403">(XLOOKUP(D403,Roster!F:F,Roster!B:B,"",0))</f>
        <v>Simon Atehortua</v>
      </c>
      <c r="F403" s="315" t="str">
        <f t="array" ref="F403">IF(B403=100,"Free",TEXT(XLOOKUP($D403,OperationVoice!$A:$A,OperationVoice!I:I,XLOOKUP($D403,OperationTickets!$A:$A,OperationTickets!I:I,"",0)),"hh:mm"))</f>
        <v>07:00</v>
      </c>
      <c r="G403" s="309">
        <f t="shared" si="3"/>
        <v>0.6666666667</v>
      </c>
      <c r="H403" s="316" t="str">
        <f t="array" ref="H403">XLOOKUP(B403,Roster!L:L,Roster!N:N,XLOOKUP(D403,TicketsBreak!A:A,TicketsBreak!E:E,"",0),0)</f>
        <v/>
      </c>
      <c r="I403" s="316" t="str">
        <f t="array" ref="I403">XLOOKUP(B403,Roster!L:L,Roster!O:O,XLOOKUP(D403,TicketsBreak!A:A,TicketsBreak!F:F,"",0),0)</f>
        <v/>
      </c>
      <c r="J403" s="316" t="str">
        <f t="array" ref="J403">XLOOKUP(B403,Roster!L:L,Roster!P:P,XLOOKUP(D403,TicketsBreak!A:A,TicketsBreak!G:G,"",0),0)</f>
        <v/>
      </c>
      <c r="K403" s="310">
        <f t="shared" si="4"/>
        <v>46115</v>
      </c>
      <c r="L403" s="317">
        <f t="array" ref="L403">(XLOOKUP(D403,Roster!F:F,Roster!D:D,"",0))</f>
        <v>32</v>
      </c>
      <c r="M403" s="317" t="str">
        <f t="array" ref="M403">XLOOKUP(D403,Roster!F:F,Roster!E:E)</f>
        <v>Tickets</v>
      </c>
      <c r="N403" s="317" t="str">
        <f t="shared" ref="N403:P403" si="414">LEFT(H403,5)</f>
        <v/>
      </c>
      <c r="O403" s="317" t="str">
        <f t="shared" si="414"/>
        <v/>
      </c>
      <c r="P403" s="317" t="str">
        <f t="shared" si="414"/>
        <v/>
      </c>
      <c r="Q403" s="318" t="str">
        <f t="shared" si="382"/>
        <v/>
      </c>
      <c r="R403" s="318" t="str">
        <f t="shared" si="383"/>
        <v/>
      </c>
      <c r="S403" s="318" t="str">
        <f t="shared" si="8"/>
        <v/>
      </c>
    </row>
    <row r="404">
      <c r="A404" s="14" t="str">
        <f t="shared" si="1"/>
        <v>C148346115</v>
      </c>
      <c r="B404" s="185">
        <f t="array" ref="B404">IF(F404="VL","",IF(F404="Free","Free",XLOOKUP(D404,Roster!T:T,Roster!S:S,"",0)))</f>
        <v>152</v>
      </c>
      <c r="C404" s="313">
        <v>46115.0</v>
      </c>
      <c r="D404" s="314" t="s">
        <v>77</v>
      </c>
      <c r="E404" s="307" t="str">
        <f t="array" ref="E404">(XLOOKUP(D404,Roster!F:F,Roster!B:B,"",0))</f>
        <v>Simon Zuluaica</v>
      </c>
      <c r="F404" s="315" t="str">
        <f t="array" ref="F404">IF(B404=100,"Free",TEXT(XLOOKUP($D404,OperationVoice!$A:$A,OperationVoice!I:I,XLOOKUP($D404,OperationTickets!$A:$A,OperationTickets!I:I,"",0)),"hh:mm"))</f>
        <v>11:00</v>
      </c>
      <c r="G404" s="309">
        <f t="shared" si="3"/>
        <v>0.8333333333</v>
      </c>
      <c r="H404" s="316" t="str">
        <f t="array" ref="H404">XLOOKUP(B404,Roster!L:L,Roster!N:N,XLOOKUP(D404,TicketsBreak!A:A,TicketsBreak!E:E,"",0),0)</f>
        <v>12:30 - 12:45</v>
      </c>
      <c r="I404" s="316" t="str">
        <f t="array" ref="I404">XLOOKUP(B404,Roster!L:L,Roster!O:O,XLOOKUP(D404,TicketsBreak!A:A,TicketsBreak!F:F,"",0),0)</f>
        <v>14:30 - 15:00</v>
      </c>
      <c r="J404" s="316" t="str">
        <f t="array" ref="J404">XLOOKUP(B404,Roster!L:L,Roster!P:P,XLOOKUP(D404,TicketsBreak!A:A,TicketsBreak!G:G,"",0),0)</f>
        <v>17:30 - 17:45</v>
      </c>
      <c r="K404" s="310">
        <f t="shared" si="4"/>
        <v>46115</v>
      </c>
      <c r="L404" s="317">
        <f t="array" ref="L404">(XLOOKUP(D404,Roster!F:F,Roster!D:D,"",0))</f>
        <v>34</v>
      </c>
      <c r="M404" s="317" t="str">
        <f t="array" ref="M404">XLOOKUP(D404,Roster!F:F,Roster!E:E)</f>
        <v>Voice</v>
      </c>
      <c r="N404" s="317" t="str">
        <f t="shared" ref="N404:P404" si="415">LEFT(H404,5)</f>
        <v>12:30</v>
      </c>
      <c r="O404" s="317" t="str">
        <f t="shared" si="415"/>
        <v>14:30</v>
      </c>
      <c r="P404" s="317" t="str">
        <f t="shared" si="415"/>
        <v>17:30</v>
      </c>
      <c r="Q404" s="318">
        <f t="shared" si="382"/>
        <v>46115.52083</v>
      </c>
      <c r="R404" s="318">
        <f t="shared" si="383"/>
        <v>46115.60417</v>
      </c>
      <c r="S404" s="318">
        <f t="shared" si="8"/>
        <v>46115.72917</v>
      </c>
    </row>
    <row r="405">
      <c r="A405" s="14" t="str">
        <f t="shared" si="1"/>
        <v>C154046115</v>
      </c>
      <c r="B405" s="185">
        <f t="array" ref="B405">IF(F405="VL","",IF(F405="Free","Free",XLOOKUP(D405,Roster!T:T,Roster!S:S,"",0)))</f>
        <v>122</v>
      </c>
      <c r="C405" s="313">
        <v>46115.0</v>
      </c>
      <c r="D405" s="314" t="s">
        <v>78</v>
      </c>
      <c r="E405" s="307" t="str">
        <f t="array" ref="E405">(XLOOKUP(D405,Roster!F:F,Roster!B:B,"",0))</f>
        <v>Tomas Perez</v>
      </c>
      <c r="F405" s="315" t="str">
        <f t="array" ref="F405">IF(B405=100,"Free",TEXT(XLOOKUP($D405,OperationVoice!$A:$A,OperationVoice!I:I,XLOOKUP($D405,OperationTickets!$A:$A,OperationTickets!I:I,"",0)),"hh:mm"))</f>
        <v>08:00</v>
      </c>
      <c r="G405" s="309">
        <f t="shared" si="3"/>
        <v>0.7083333333</v>
      </c>
      <c r="H405" s="316" t="str">
        <f t="array" ref="H405">XLOOKUP(B405,Roster!L:L,Roster!N:N,XLOOKUP(D405,TicketsBreak!A:A,TicketsBreak!E:E,"",0),0)</f>
        <v>09:30 - 09:45</v>
      </c>
      <c r="I405" s="316" t="str">
        <f t="array" ref="I405">XLOOKUP(B405,Roster!L:L,Roster!O:O,XLOOKUP(D405,TicketsBreak!A:A,TicketsBreak!F:F,"",0),0)</f>
        <v>12:00 - 12:30</v>
      </c>
      <c r="J405" s="316" t="str">
        <f t="array" ref="J405">XLOOKUP(B405,Roster!L:L,Roster!P:P,XLOOKUP(D405,TicketsBreak!A:A,TicketsBreak!G:G,"",0),0)</f>
        <v>14:45 - 15:00</v>
      </c>
      <c r="K405" s="310">
        <f t="shared" si="4"/>
        <v>46115</v>
      </c>
      <c r="L405" s="317">
        <f t="array" ref="L405">(XLOOKUP(D405,Roster!F:F,Roster!D:D,"",0))</f>
        <v>36</v>
      </c>
      <c r="M405" s="317" t="str">
        <f t="array" ref="M405">XLOOKUP(D405,Roster!F:F,Roster!E:E)</f>
        <v>Voice</v>
      </c>
      <c r="N405" s="317" t="str">
        <f t="shared" ref="N405:P405" si="416">LEFT(H405,5)</f>
        <v>09:30</v>
      </c>
      <c r="O405" s="317" t="str">
        <f t="shared" si="416"/>
        <v>12:00</v>
      </c>
      <c r="P405" s="317" t="str">
        <f t="shared" si="416"/>
        <v>14:45</v>
      </c>
      <c r="Q405" s="318">
        <f t="shared" si="382"/>
        <v>46115.39583</v>
      </c>
      <c r="R405" s="318">
        <f t="shared" si="383"/>
        <v>46115.5</v>
      </c>
      <c r="S405" s="318">
        <f t="shared" si="8"/>
        <v>46115.61458</v>
      </c>
    </row>
    <row r="406">
      <c r="A406" s="14" t="str">
        <f t="shared" si="1"/>
        <v>C154746115</v>
      </c>
      <c r="B406" s="185">
        <f t="array" ref="B406">IF(F406="VL","",IF(F406="Free","Free",XLOOKUP(D406,Roster!T:T,Roster!S:S,"",0)))</f>
        <v>121</v>
      </c>
      <c r="C406" s="313">
        <v>46115.0</v>
      </c>
      <c r="D406" s="314" t="s">
        <v>79</v>
      </c>
      <c r="E406" s="307" t="str">
        <f t="array" ref="E406">(XLOOKUP(D406,Roster!F:F,Roster!B:B,"",0))</f>
        <v>Valentina Barreto</v>
      </c>
      <c r="F406" s="315" t="str">
        <f t="array" ref="F406">IF(B406=100,"Free",TEXT(XLOOKUP($D406,OperationVoice!$A:$A,OperationVoice!I:I,XLOOKUP($D406,OperationTickets!$A:$A,OperationTickets!I:I,"",0)),"hh:mm"))</f>
        <v>08:00</v>
      </c>
      <c r="G406" s="309">
        <f t="shared" si="3"/>
        <v>0.7083333333</v>
      </c>
      <c r="H406" s="316" t="str">
        <f t="array" ref="H406">XLOOKUP(B406,Roster!L:L,Roster!N:N,XLOOKUP(D406,TicketsBreak!A:A,TicketsBreak!E:E,"",0),0)</f>
        <v>09:15 - 09:30</v>
      </c>
      <c r="I406" s="316" t="str">
        <f t="array" ref="I406">XLOOKUP(B406,Roster!L:L,Roster!O:O,XLOOKUP(D406,TicketsBreak!A:A,TicketsBreak!F:F,"",0),0)</f>
        <v>11:30 - 12:00</v>
      </c>
      <c r="J406" s="316" t="str">
        <f t="array" ref="J406">XLOOKUP(B406,Roster!L:L,Roster!P:P,XLOOKUP(D406,TicketsBreak!A:A,TicketsBreak!G:G,"",0),0)</f>
        <v>14:30 - 14:45</v>
      </c>
      <c r="K406" s="310">
        <f t="shared" si="4"/>
        <v>46115</v>
      </c>
      <c r="L406" s="317">
        <f t="array" ref="L406">(XLOOKUP(D406,Roster!F:F,Roster!D:D,"",0))</f>
        <v>37</v>
      </c>
      <c r="M406" s="317" t="str">
        <f t="array" ref="M406">XLOOKUP(D406,Roster!F:F,Roster!E:E)</f>
        <v>Voice</v>
      </c>
      <c r="N406" s="317" t="str">
        <f t="shared" ref="N406:P406" si="417">LEFT(H406,5)</f>
        <v>09:15</v>
      </c>
      <c r="O406" s="317" t="str">
        <f t="shared" si="417"/>
        <v>11:30</v>
      </c>
      <c r="P406" s="317" t="str">
        <f t="shared" si="417"/>
        <v>14:30</v>
      </c>
      <c r="Q406" s="318">
        <f t="shared" si="382"/>
        <v>46115.38542</v>
      </c>
      <c r="R406" s="318">
        <f t="shared" si="383"/>
        <v>46115.47917</v>
      </c>
      <c r="S406" s="318">
        <f t="shared" si="8"/>
        <v>46115.60417</v>
      </c>
    </row>
    <row r="407">
      <c r="A407" s="14" t="str">
        <f t="shared" si="1"/>
        <v>C155346115</v>
      </c>
      <c r="B407" s="185">
        <f t="array" ref="B407">IF(F407="VL","",IF(F407="Free","Free",XLOOKUP(D407,Roster!T:T,Roster!S:S,"",0)))</f>
        <v>122</v>
      </c>
      <c r="C407" s="313">
        <v>46115.0</v>
      </c>
      <c r="D407" s="314" t="s">
        <v>80</v>
      </c>
      <c r="E407" s="307" t="str">
        <f t="array" ref="E407">(XLOOKUP(D407,Roster!F:F,Roster!B:B,"",0))</f>
        <v>Valentina Castro</v>
      </c>
      <c r="F407" s="315" t="str">
        <f t="array" ref="F407">IF(B407=100,"Free",TEXT(XLOOKUP($D407,OperationVoice!$A:$A,OperationVoice!I:I,XLOOKUP($D407,OperationTickets!$A:$A,OperationTickets!I:I,"",0)),"hh:mm"))</f>
        <v>08:00</v>
      </c>
      <c r="G407" s="309">
        <f t="shared" si="3"/>
        <v>0.7083333333</v>
      </c>
      <c r="H407" s="316" t="str">
        <f t="array" ref="H407">XLOOKUP(B407,Roster!L:L,Roster!N:N,XLOOKUP(D407,TicketsBreak!A:A,TicketsBreak!E:E,"",0),0)</f>
        <v>09:30 - 09:45</v>
      </c>
      <c r="I407" s="316" t="str">
        <f t="array" ref="I407">XLOOKUP(B407,Roster!L:L,Roster!O:O,XLOOKUP(D407,TicketsBreak!A:A,TicketsBreak!F:F,"",0),0)</f>
        <v>12:00 - 12:30</v>
      </c>
      <c r="J407" s="316" t="str">
        <f t="array" ref="J407">XLOOKUP(B407,Roster!L:L,Roster!P:P,XLOOKUP(D407,TicketsBreak!A:A,TicketsBreak!G:G,"",0),0)</f>
        <v>14:45 - 15:00</v>
      </c>
      <c r="K407" s="310">
        <f t="shared" si="4"/>
        <v>46115</v>
      </c>
      <c r="L407" s="317">
        <f t="array" ref="L407">(XLOOKUP(D407,Roster!F:F,Roster!D:D,"",0))</f>
        <v>37</v>
      </c>
      <c r="M407" s="317" t="str">
        <f t="array" ref="M407">XLOOKUP(D407,Roster!F:F,Roster!E:E)</f>
        <v>Voice</v>
      </c>
      <c r="N407" s="317" t="str">
        <f t="shared" ref="N407:P407" si="418">LEFT(H407,5)</f>
        <v>09:30</v>
      </c>
      <c r="O407" s="317" t="str">
        <f t="shared" si="418"/>
        <v>12:00</v>
      </c>
      <c r="P407" s="317" t="str">
        <f t="shared" si="418"/>
        <v>14:45</v>
      </c>
      <c r="Q407" s="318">
        <f t="shared" si="382"/>
        <v>46115.39583</v>
      </c>
      <c r="R407" s="318">
        <f t="shared" si="383"/>
        <v>46115.5</v>
      </c>
      <c r="S407" s="318">
        <f t="shared" si="8"/>
        <v>46115.61458</v>
      </c>
    </row>
    <row r="408">
      <c r="A408" s="14" t="str">
        <f t="shared" si="1"/>
        <v>C150246115</v>
      </c>
      <c r="B408" s="185" t="str">
        <f t="array" ref="B408">IF(F408="VL","",IF(F408="Free","Free",XLOOKUP(D408,Roster!T:T,Roster!S:S,"",0)))</f>
        <v/>
      </c>
      <c r="C408" s="313">
        <v>46115.0</v>
      </c>
      <c r="D408" s="314" t="s">
        <v>316</v>
      </c>
      <c r="E408" s="307" t="str">
        <f t="array" ref="E408">(XLOOKUP(D408,Roster!F:F,Roster!B:B,"",0))</f>
        <v>Valentina Gallego</v>
      </c>
      <c r="F408" s="315" t="str">
        <f t="array" ref="F408">IF(B408=100,"Free",TEXT(XLOOKUP($D408,OperationVoice!$A:$A,OperationVoice!I:I,XLOOKUP($D408,OperationTickets!$A:$A,OperationTickets!I:I,"",0)),"hh:mm"))</f>
        <v/>
      </c>
      <c r="G408" s="309" t="str">
        <f t="shared" si="3"/>
        <v/>
      </c>
      <c r="H408" s="316" t="str">
        <f t="array" ref="H408">XLOOKUP(B408,Roster!L:L,Roster!N:N,XLOOKUP(D408,TicketsBreak!A:A,TicketsBreak!E:E,"",0),0)</f>
        <v/>
      </c>
      <c r="I408" s="316" t="str">
        <f t="array" ref="I408">XLOOKUP(B408,Roster!L:L,Roster!O:O,XLOOKUP(D408,TicketsBreak!A:A,TicketsBreak!F:F,"",0),0)</f>
        <v/>
      </c>
      <c r="J408" s="316" t="str">
        <f t="array" ref="J408">XLOOKUP(B408,Roster!L:L,Roster!P:P,XLOOKUP(D408,TicketsBreak!A:A,TicketsBreak!G:G,"",0),0)</f>
        <v/>
      </c>
      <c r="K408" s="310">
        <f t="shared" si="4"/>
        <v>46115</v>
      </c>
      <c r="L408" s="317">
        <f t="array" ref="L408">(XLOOKUP(D408,Roster!F:F,Roster!D:D,"",0))</f>
        <v>35</v>
      </c>
      <c r="M408" s="317" t="str">
        <f t="array" ref="M408">XLOOKUP(D408,Roster!F:F,Roster!E:E)</f>
        <v>Voice</v>
      </c>
      <c r="N408" s="317" t="str">
        <f t="shared" ref="N408:P408" si="419">LEFT(H408,5)</f>
        <v/>
      </c>
      <c r="O408" s="317" t="str">
        <f t="shared" si="419"/>
        <v/>
      </c>
      <c r="P408" s="317" t="str">
        <f t="shared" si="419"/>
        <v/>
      </c>
      <c r="Q408" s="318" t="str">
        <f t="shared" si="382"/>
        <v/>
      </c>
      <c r="R408" s="318" t="str">
        <f t="shared" si="383"/>
        <v/>
      </c>
      <c r="S408" s="318" t="str">
        <f t="shared" si="8"/>
        <v/>
      </c>
    </row>
    <row r="409">
      <c r="A409" s="14" t="str">
        <f t="shared" si="1"/>
        <v>C112646115</v>
      </c>
      <c r="B409" s="185" t="str">
        <f t="array" ref="B409">IF(F409="VL","",IF(F409="Free","Free",XLOOKUP(D409,Roster!T:T,Roster!S:S,"",0)))</f>
        <v/>
      </c>
      <c r="C409" s="313">
        <v>46115.0</v>
      </c>
      <c r="D409" s="314" t="s">
        <v>152</v>
      </c>
      <c r="E409" s="307" t="str">
        <f t="array" ref="E409">(XLOOKUP(D409,Roster!F:F,Roster!B:B,"",0))</f>
        <v>Valery Escobar</v>
      </c>
      <c r="F409" s="315" t="str">
        <f t="array" ref="F409">IF(B409=100,"Free",TEXT(XLOOKUP($D409,OperationVoice!$A:$A,OperationVoice!I:I,XLOOKUP($D409,OperationTickets!$A:$A,OperationTickets!I:I,"",0)),"hh:mm"))</f>
        <v>08:00</v>
      </c>
      <c r="G409" s="309">
        <f t="shared" si="3"/>
        <v>0.7083333333</v>
      </c>
      <c r="H409" s="316">
        <f t="array" ref="H409">XLOOKUP(B409,Roster!L:L,Roster!N:N,XLOOKUP(D409,TicketsBreak!A:A,TicketsBreak!E:E,"",0),0)</f>
        <v>0.3854166667</v>
      </c>
      <c r="I409" s="316">
        <f t="array" ref="I409">XLOOKUP(B409,Roster!L:L,Roster!O:O,XLOOKUP(D409,TicketsBreak!A:A,TicketsBreak!F:F,"",0),0)</f>
        <v>0.5</v>
      </c>
      <c r="J409" s="316">
        <f t="array" ref="J409">XLOOKUP(B409,Roster!L:L,Roster!P:P,XLOOKUP(D409,TicketsBreak!A:A,TicketsBreak!G:G,"",0),0)</f>
        <v>0.6041666667</v>
      </c>
      <c r="K409" s="310">
        <f t="shared" si="4"/>
        <v>46115</v>
      </c>
      <c r="L409" s="317">
        <f t="array" ref="L409">(XLOOKUP(D409,Roster!F:F,Roster!D:D,"",0))</f>
        <v>21</v>
      </c>
      <c r="M409" s="317" t="str">
        <f t="array" ref="M409">XLOOKUP(D409,Roster!F:F,Roster!E:E)</f>
        <v>Tickets</v>
      </c>
      <c r="N409" s="317" t="str">
        <f t="shared" ref="N409:P409" si="420">LEFT(H409,5)</f>
        <v>09:15</v>
      </c>
      <c r="O409" s="317" t="str">
        <f t="shared" si="420"/>
        <v>12:00</v>
      </c>
      <c r="P409" s="317" t="str">
        <f t="shared" si="420"/>
        <v>14:30</v>
      </c>
      <c r="Q409" s="318">
        <f t="shared" si="382"/>
        <v>46115.38542</v>
      </c>
      <c r="R409" s="318">
        <f t="shared" si="383"/>
        <v>46115.5</v>
      </c>
      <c r="S409" s="318">
        <f t="shared" si="8"/>
        <v>46115.60417</v>
      </c>
    </row>
    <row r="410">
      <c r="A410" s="14" t="str">
        <f t="shared" si="1"/>
        <v>C155246115</v>
      </c>
      <c r="B410" s="185">
        <f t="array" ref="B410">IF(F410="VL","",IF(F410="Free","Free",XLOOKUP(D410,Roster!T:T,Roster!S:S,"",0)))</f>
        <v>125</v>
      </c>
      <c r="C410" s="313">
        <v>46115.0</v>
      </c>
      <c r="D410" s="314" t="s">
        <v>81</v>
      </c>
      <c r="E410" s="307" t="str">
        <f t="array" ref="E410">(XLOOKUP(D410,Roster!F:F,Roster!B:B,"",0))</f>
        <v>Wendy Machado</v>
      </c>
      <c r="F410" s="315" t="str">
        <f t="array" ref="F410">IF(B410=100,"Free",TEXT(XLOOKUP($D410,OperationVoice!$A:$A,OperationVoice!I:I,XLOOKUP($D410,OperationTickets!$A:$A,OperationTickets!I:I,"",0)),"hh:mm"))</f>
        <v>08:00</v>
      </c>
      <c r="G410" s="309">
        <f t="shared" si="3"/>
        <v>0.7083333333</v>
      </c>
      <c r="H410" s="316" t="str">
        <f t="array" ref="H410">XLOOKUP(B410,Roster!L:L,Roster!N:N,XLOOKUP(D410,TicketsBreak!A:A,TicketsBreak!E:E,"",0),0)</f>
        <v>10:30 - 10:45</v>
      </c>
      <c r="I410" s="316" t="str">
        <f t="array" ref="I410">XLOOKUP(B410,Roster!L:L,Roster!O:O,XLOOKUP(D410,TicketsBreak!A:A,TicketsBreak!F:F,"",0),0)</f>
        <v>13:30 - 14:00</v>
      </c>
      <c r="J410" s="316" t="str">
        <f t="array" ref="J410">XLOOKUP(B410,Roster!L:L,Roster!P:P,XLOOKUP(D410,TicketsBreak!A:A,TicketsBreak!G:G,"",0),0)</f>
        <v>15:45 - 16:00</v>
      </c>
      <c r="K410" s="310">
        <f t="shared" si="4"/>
        <v>46115</v>
      </c>
      <c r="L410" s="317">
        <f t="array" ref="L410">(XLOOKUP(D410,Roster!F:F,Roster!D:D,"",0))</f>
        <v>37</v>
      </c>
      <c r="M410" s="317" t="str">
        <f t="array" ref="M410">XLOOKUP(D410,Roster!F:F,Roster!E:E)</f>
        <v>Voice</v>
      </c>
      <c r="N410" s="317" t="str">
        <f t="shared" ref="N410:P410" si="421">LEFT(H410,5)</f>
        <v>10:30</v>
      </c>
      <c r="O410" s="317" t="str">
        <f t="shared" si="421"/>
        <v>13:30</v>
      </c>
      <c r="P410" s="317" t="str">
        <f t="shared" si="421"/>
        <v>15:45</v>
      </c>
      <c r="Q410" s="318">
        <f t="shared" si="382"/>
        <v>46115.4375</v>
      </c>
      <c r="R410" s="318">
        <f t="shared" si="383"/>
        <v>46115.5625</v>
      </c>
      <c r="S410" s="318">
        <f t="shared" si="8"/>
        <v>46115.65625</v>
      </c>
    </row>
    <row r="411">
      <c r="A411" s="14" t="str">
        <f t="shared" si="1"/>
        <v>C78646115</v>
      </c>
      <c r="B411" s="185" t="str">
        <f t="array" ref="B411">IF(F411="VL","",IF(F411="Free","Free",XLOOKUP(D411,Roster!T:T,Roster!S:S,"",0)))</f>
        <v/>
      </c>
      <c r="C411" s="313">
        <v>46115.0</v>
      </c>
      <c r="D411" s="314" t="s">
        <v>136</v>
      </c>
      <c r="E411" s="307" t="str">
        <f t="array" ref="E411">(XLOOKUP(D411,Roster!F:F,Roster!B:B,"",0))</f>
        <v>Wendy Navarro</v>
      </c>
      <c r="F411" s="315" t="str">
        <f t="array" ref="F411">IF(B411=100,"Free",TEXT(XLOOKUP($D411,OperationVoice!$A:$A,OperationVoice!I:I,XLOOKUP($D411,OperationTickets!$A:$A,OperationTickets!I:I,"",0)),"hh:mm"))</f>
        <v>08:00</v>
      </c>
      <c r="G411" s="309">
        <f t="shared" si="3"/>
        <v>0.7083333333</v>
      </c>
      <c r="H411" s="316">
        <f t="array" ref="H411">XLOOKUP(B411,Roster!L:L,Roster!N:N,XLOOKUP(D411,TicketsBreak!A:A,TicketsBreak!E:E,"",0),0)</f>
        <v>0.4166666667</v>
      </c>
      <c r="I411" s="316">
        <f t="array" ref="I411">XLOOKUP(B411,Roster!L:L,Roster!O:O,XLOOKUP(D411,TicketsBreak!A:A,TicketsBreak!F:F,"",0),0)</f>
        <v>0.5416666667</v>
      </c>
      <c r="J411" s="316">
        <f t="array" ref="J411">XLOOKUP(B411,Roster!L:L,Roster!P:P,XLOOKUP(D411,TicketsBreak!A:A,TicketsBreak!G:G,"",0),0)</f>
        <v>0.6458333333</v>
      </c>
      <c r="K411" s="310">
        <f t="shared" si="4"/>
        <v>46115</v>
      </c>
      <c r="L411" s="317">
        <f t="array" ref="L411">(XLOOKUP(D411,Roster!F:F,Roster!D:D,"",0))</f>
        <v>16</v>
      </c>
      <c r="M411" s="317" t="str">
        <f t="array" ref="M411">XLOOKUP(D411,Roster!F:F,Roster!E:E)</f>
        <v>Tickets</v>
      </c>
      <c r="N411" s="317" t="str">
        <f t="shared" ref="N411:P411" si="422">LEFT(H411,5)</f>
        <v>10:00</v>
      </c>
      <c r="O411" s="317" t="str">
        <f t="shared" si="422"/>
        <v>13:00</v>
      </c>
      <c r="P411" s="317" t="str">
        <f t="shared" si="422"/>
        <v>15:30</v>
      </c>
      <c r="Q411" s="318">
        <f t="shared" si="382"/>
        <v>46115.41667</v>
      </c>
      <c r="R411" s="318">
        <f t="shared" si="383"/>
        <v>46115.54167</v>
      </c>
      <c r="S411" s="318">
        <f t="shared" si="8"/>
        <v>46115.64583</v>
      </c>
    </row>
    <row r="412">
      <c r="A412" s="14" t="str">
        <f t="shared" si="1"/>
        <v>C153746115</v>
      </c>
      <c r="B412" s="185">
        <f t="array" ref="B412">IF(F412="VL","",IF(F412="Free","Free",XLOOKUP(D412,Roster!T:T,Roster!S:S,"",0)))</f>
        <v>135</v>
      </c>
      <c r="C412" s="313">
        <v>46115.0</v>
      </c>
      <c r="D412" s="314" t="s">
        <v>82</v>
      </c>
      <c r="E412" s="307" t="str">
        <f t="array" ref="E412">(XLOOKUP(D412,Roster!F:F,Roster!B:B,"",0))</f>
        <v>William Florez</v>
      </c>
      <c r="F412" s="315" t="str">
        <f t="array" ref="F412">IF(B412=100,"Free",TEXT(XLOOKUP($D412,OperationVoice!$A:$A,OperationVoice!I:I,XLOOKUP($D412,OperationTickets!$A:$A,OperationTickets!I:I,"",0)),"hh:mm"))</f>
        <v>09:00</v>
      </c>
      <c r="G412" s="309">
        <f t="shared" si="3"/>
        <v>0.75</v>
      </c>
      <c r="H412" s="316" t="str">
        <f t="array" ref="H412">XLOOKUP(B412,Roster!L:L,Roster!N:N,XLOOKUP(D412,TicketsBreak!A:A,TicketsBreak!E:E,"",0),0)</f>
        <v>11:15 - 11:30</v>
      </c>
      <c r="I412" s="316" t="str">
        <f t="array" ref="I412">XLOOKUP(B412,Roster!L:L,Roster!O:O,XLOOKUP(D412,TicketsBreak!A:A,TicketsBreak!F:F,"",0),0)</f>
        <v>14:15 - 14:45</v>
      </c>
      <c r="J412" s="316" t="str">
        <f t="array" ref="J412">XLOOKUP(B412,Roster!L:L,Roster!P:P,XLOOKUP(D412,TicketsBreak!A:A,TicketsBreak!G:G,"",0),0)</f>
        <v>16:15 - 16:30</v>
      </c>
      <c r="K412" s="310">
        <f t="shared" si="4"/>
        <v>46115</v>
      </c>
      <c r="L412" s="317">
        <f t="array" ref="L412">(XLOOKUP(D412,Roster!F:F,Roster!D:D,"",0))</f>
        <v>36</v>
      </c>
      <c r="M412" s="317" t="str">
        <f t="array" ref="M412">XLOOKUP(D412,Roster!F:F,Roster!E:E)</f>
        <v>Voice</v>
      </c>
      <c r="N412" s="317" t="str">
        <f t="shared" ref="N412:P412" si="423">LEFT(H412,5)</f>
        <v>11:15</v>
      </c>
      <c r="O412" s="317" t="str">
        <f t="shared" si="423"/>
        <v>14:15</v>
      </c>
      <c r="P412" s="317" t="str">
        <f t="shared" si="423"/>
        <v>16:15</v>
      </c>
      <c r="Q412" s="318">
        <f t="shared" si="382"/>
        <v>46115.46875</v>
      </c>
      <c r="R412" s="318">
        <f t="shared" si="383"/>
        <v>46115.59375</v>
      </c>
      <c r="S412" s="318">
        <f t="shared" si="8"/>
        <v>46115.67708</v>
      </c>
    </row>
    <row r="413">
      <c r="A413" s="14" t="str">
        <f t="shared" si="1"/>
        <v>C135346115</v>
      </c>
      <c r="B413" s="185">
        <f t="array" ref="B413">IF(F413="VL","",IF(F413="Free","Free",XLOOKUP(D413,Roster!T:T,Roster!S:S,"",0)))</f>
        <v>121</v>
      </c>
      <c r="C413" s="313">
        <v>46115.0</v>
      </c>
      <c r="D413" s="314" t="s">
        <v>83</v>
      </c>
      <c r="E413" s="307" t="str">
        <f t="array" ref="E413">(XLOOKUP(D413,Roster!F:F,Roster!B:B,"",0))</f>
        <v>Wilson Martinez</v>
      </c>
      <c r="F413" s="315" t="str">
        <f t="array" ref="F413">IF(B413=100,"Free",TEXT(XLOOKUP($D413,OperationVoice!$A:$A,OperationVoice!I:I,XLOOKUP($D413,OperationTickets!$A:$A,OperationTickets!I:I,"",0)),"hh:mm"))</f>
        <v>08:00</v>
      </c>
      <c r="G413" s="309">
        <f t="shared" si="3"/>
        <v>0.7083333333</v>
      </c>
      <c r="H413" s="316" t="str">
        <f t="array" ref="H413">XLOOKUP(B413,Roster!L:L,Roster!N:N,XLOOKUP(D413,TicketsBreak!A:A,TicketsBreak!E:E,"",0),0)</f>
        <v>09:15 - 09:30</v>
      </c>
      <c r="I413" s="316" t="str">
        <f t="array" ref="I413">XLOOKUP(B413,Roster!L:L,Roster!O:O,XLOOKUP(D413,TicketsBreak!A:A,TicketsBreak!F:F,"",0),0)</f>
        <v>11:30 - 12:00</v>
      </c>
      <c r="J413" s="316" t="str">
        <f t="array" ref="J413">XLOOKUP(B413,Roster!L:L,Roster!P:P,XLOOKUP(D413,TicketsBreak!A:A,TicketsBreak!G:G,"",0),0)</f>
        <v>14:30 - 14:45</v>
      </c>
      <c r="K413" s="310">
        <f t="shared" si="4"/>
        <v>46115</v>
      </c>
      <c r="L413" s="317">
        <f t="array" ref="L413">(XLOOKUP(D413,Roster!F:F,Roster!D:D,"",0))</f>
        <v>30</v>
      </c>
      <c r="M413" s="317" t="str">
        <f t="array" ref="M413">XLOOKUP(D413,Roster!F:F,Roster!E:E)</f>
        <v>Voice</v>
      </c>
      <c r="N413" s="317" t="str">
        <f t="shared" ref="N413:P413" si="424">LEFT(H413,5)</f>
        <v>09:15</v>
      </c>
      <c r="O413" s="317" t="str">
        <f t="shared" si="424"/>
        <v>11:30</v>
      </c>
      <c r="P413" s="317" t="str">
        <f t="shared" si="424"/>
        <v>14:30</v>
      </c>
      <c r="Q413" s="318">
        <f t="shared" si="382"/>
        <v>46115.38542</v>
      </c>
      <c r="R413" s="318">
        <f t="shared" si="383"/>
        <v>46115.47917</v>
      </c>
      <c r="S413" s="318">
        <f t="shared" si="8"/>
        <v>46115.60417</v>
      </c>
    </row>
    <row r="414">
      <c r="A414" s="14" t="str">
        <f t="shared" si="1"/>
        <v>C117346115</v>
      </c>
      <c r="B414" s="185">
        <f t="array" ref="B414">IF(F414="VL","",IF(F414="Free","Free",XLOOKUP(D414,Roster!T:T,Roster!S:S,"",0)))</f>
        <v>122</v>
      </c>
      <c r="C414" s="313">
        <v>46115.0</v>
      </c>
      <c r="D414" s="314" t="s">
        <v>84</v>
      </c>
      <c r="E414" s="307" t="str">
        <f t="array" ref="E414">(XLOOKUP(D414,Roster!F:F,Roster!B:B,"",0))</f>
        <v>Yaidy Mosquera</v>
      </c>
      <c r="F414" s="315" t="str">
        <f t="array" ref="F414">IF(B414=100,"Free",TEXT(XLOOKUP($D414,OperationVoice!$A:$A,OperationVoice!I:I,XLOOKUP($D414,OperationTickets!$A:$A,OperationTickets!I:I,"",0)),"hh:mm"))</f>
        <v>08:00</v>
      </c>
      <c r="G414" s="309">
        <f t="shared" si="3"/>
        <v>0.7083333333</v>
      </c>
      <c r="H414" s="316" t="str">
        <f t="array" ref="H414">XLOOKUP(B414,Roster!L:L,Roster!N:N,XLOOKUP(D414,TicketsBreak!A:A,TicketsBreak!E:E,"",0),0)</f>
        <v>09:30 - 09:45</v>
      </c>
      <c r="I414" s="316" t="str">
        <f t="array" ref="I414">XLOOKUP(B414,Roster!L:L,Roster!O:O,XLOOKUP(D414,TicketsBreak!A:A,TicketsBreak!F:F,"",0),0)</f>
        <v>12:00 - 12:30</v>
      </c>
      <c r="J414" s="316" t="str">
        <f t="array" ref="J414">XLOOKUP(B414,Roster!L:L,Roster!P:P,XLOOKUP(D414,TicketsBreak!A:A,TicketsBreak!G:G,"",0),0)</f>
        <v>14:45 - 15:00</v>
      </c>
      <c r="K414" s="310">
        <f t="shared" si="4"/>
        <v>46115</v>
      </c>
      <c r="L414" s="317">
        <f t="array" ref="L414">(XLOOKUP(D414,Roster!F:F,Roster!D:D,"",0))</f>
        <v>24</v>
      </c>
      <c r="M414" s="317" t="str">
        <f t="array" ref="M414">XLOOKUP(D414,Roster!F:F,Roster!E:E)</f>
        <v>Voice</v>
      </c>
      <c r="N414" s="317" t="str">
        <f t="shared" ref="N414:P414" si="425">LEFT(H414,5)</f>
        <v>09:30</v>
      </c>
      <c r="O414" s="317" t="str">
        <f t="shared" si="425"/>
        <v>12:00</v>
      </c>
      <c r="P414" s="317" t="str">
        <f t="shared" si="425"/>
        <v>14:45</v>
      </c>
      <c r="Q414" s="318">
        <f t="shared" si="382"/>
        <v>46115.39583</v>
      </c>
      <c r="R414" s="318">
        <f t="shared" si="383"/>
        <v>46115.5</v>
      </c>
      <c r="S414" s="318">
        <f t="shared" si="8"/>
        <v>46115.61458</v>
      </c>
    </row>
    <row r="415">
      <c r="A415" s="14" t="str">
        <f t="shared" si="1"/>
        <v>C110846115</v>
      </c>
      <c r="B415" s="185" t="str">
        <f t="array" ref="B415">IF(F415="VL","",IF(F415="Free","Free",XLOOKUP(D415,Roster!T:T,Roster!S:S,"",0)))</f>
        <v/>
      </c>
      <c r="C415" s="313">
        <v>46115.0</v>
      </c>
      <c r="D415" s="314" t="s">
        <v>187</v>
      </c>
      <c r="E415" s="307" t="str">
        <f t="array" ref="E415">(XLOOKUP(D415,Roster!F:F,Roster!B:B,"",0))</f>
        <v>Yeiner Tapias</v>
      </c>
      <c r="F415" s="315" t="str">
        <f t="array" ref="F415">IF(B415=100,"Free",TEXT(XLOOKUP($D415,OperationVoice!$A:$A,OperationVoice!I:I,XLOOKUP($D415,OperationTickets!$A:$A,OperationTickets!I:I,"",0)),"hh:mm"))</f>
        <v>08:00</v>
      </c>
      <c r="G415" s="309">
        <f t="shared" si="3"/>
        <v>0.7083333333</v>
      </c>
      <c r="H415" s="316">
        <f t="array" ref="H415">XLOOKUP(B415,Roster!L:L,Roster!N:N,XLOOKUP(D415,TicketsBreak!A:A,TicketsBreak!E:E,"",0),0)</f>
        <v>0.3958333333</v>
      </c>
      <c r="I415" s="316">
        <f t="array" ref="I415">XLOOKUP(B415,Roster!L:L,Roster!O:O,XLOOKUP(D415,TicketsBreak!A:A,TicketsBreak!F:F,"",0),0)</f>
        <v>0.5208333333</v>
      </c>
      <c r="J415" s="316">
        <f t="array" ref="J415">XLOOKUP(B415,Roster!L:L,Roster!P:P,XLOOKUP(D415,TicketsBreak!A:A,TicketsBreak!G:G,"",0),0)</f>
        <v>0.6145833333</v>
      </c>
      <c r="K415" s="310">
        <f t="shared" si="4"/>
        <v>46115</v>
      </c>
      <c r="L415" s="317">
        <f t="array" ref="L415">(XLOOKUP(D415,Roster!F:F,Roster!D:D,"",0))</f>
        <v>20</v>
      </c>
      <c r="M415" s="317" t="str">
        <f t="array" ref="M415">XLOOKUP(D415,Roster!F:F,Roster!E:E)</f>
        <v>Tickets</v>
      </c>
      <c r="N415" s="317" t="str">
        <f t="shared" ref="N415:P415" si="426">LEFT(H415,5)</f>
        <v>09:30</v>
      </c>
      <c r="O415" s="317" t="str">
        <f t="shared" si="426"/>
        <v>12:30</v>
      </c>
      <c r="P415" s="317" t="str">
        <f t="shared" si="426"/>
        <v>14:45</v>
      </c>
      <c r="Q415" s="318">
        <f t="shared" si="382"/>
        <v>46115.39583</v>
      </c>
      <c r="R415" s="318">
        <f t="shared" si="383"/>
        <v>46115.52083</v>
      </c>
      <c r="S415" s="318">
        <f t="shared" si="8"/>
        <v>46115.61458</v>
      </c>
    </row>
    <row r="416">
      <c r="A416" s="14" t="str">
        <f t="shared" si="1"/>
        <v>C153946115</v>
      </c>
      <c r="B416" s="185">
        <f t="array" ref="B416">IF(F416="VL","",IF(F416="Free","Free",XLOOKUP(D416,Roster!T:T,Roster!S:S,"",0)))</f>
        <v>123</v>
      </c>
      <c r="C416" s="313">
        <v>46115.0</v>
      </c>
      <c r="D416" s="314" t="s">
        <v>85</v>
      </c>
      <c r="E416" s="307" t="str">
        <f t="array" ref="E416">(XLOOKUP(D416,Roster!F:F,Roster!B:B,"",0))</f>
        <v>Yovanny Ceballos</v>
      </c>
      <c r="F416" s="315" t="str">
        <f t="array" ref="F416">IF(B416=100,"Free",TEXT(XLOOKUP($D416,OperationVoice!$A:$A,OperationVoice!I:I,XLOOKUP($D416,OperationTickets!$A:$A,OperationTickets!I:I,"",0)),"hh:mm"))</f>
        <v/>
      </c>
      <c r="G416" s="309" t="str">
        <f t="shared" si="3"/>
        <v/>
      </c>
      <c r="H416" s="316" t="str">
        <f t="array" ref="H416">XLOOKUP(B416,Roster!L:L,Roster!N:N,XLOOKUP(D416,TicketsBreak!A:A,TicketsBreak!E:E,"",0),0)</f>
        <v>09:45 - 10:00 </v>
      </c>
      <c r="I416" s="316" t="str">
        <f t="array" ref="I416">XLOOKUP(B416,Roster!L:L,Roster!O:O,XLOOKUP(D416,TicketsBreak!A:A,TicketsBreak!F:F,"",0),0)</f>
        <v>12:30 - 13:00</v>
      </c>
      <c r="J416" s="316" t="str">
        <f t="array" ref="J416">XLOOKUP(B416,Roster!L:L,Roster!P:P,XLOOKUP(D416,TicketsBreak!A:A,TicketsBreak!G:G,"",0),0)</f>
        <v>15:00 - 15:15</v>
      </c>
      <c r="K416" s="310">
        <f t="shared" si="4"/>
        <v>46115</v>
      </c>
      <c r="L416" s="317">
        <f t="array" ref="L416">(XLOOKUP(D416,Roster!F:F,Roster!D:D,"",0))</f>
        <v>36</v>
      </c>
      <c r="M416" s="317" t="str">
        <f t="array" ref="M416">XLOOKUP(D416,Roster!F:F,Roster!E:E)</f>
        <v>Voice</v>
      </c>
      <c r="N416" s="317" t="str">
        <f t="shared" ref="N416:P416" si="427">LEFT(H416,5)</f>
        <v>09:45</v>
      </c>
      <c r="O416" s="317" t="str">
        <f t="shared" si="427"/>
        <v>12:30</v>
      </c>
      <c r="P416" s="317" t="str">
        <f t="shared" si="427"/>
        <v>15:00</v>
      </c>
      <c r="Q416" s="318">
        <f t="shared" si="382"/>
        <v>46115.40625</v>
      </c>
      <c r="R416" s="318">
        <f t="shared" si="383"/>
        <v>46115.52083</v>
      </c>
      <c r="S416" s="318">
        <f t="shared" si="8"/>
        <v>46115.625</v>
      </c>
    </row>
    <row r="417">
      <c r="A417" s="14" t="str">
        <f t="shared" si="1"/>
        <v>46115</v>
      </c>
      <c r="B417" s="185" t="str">
        <f t="array" ref="B417">IF(F417="VL","",IF(F417="Free","Free",XLOOKUP(D417,Roster!T:T,Roster!S:S,"",0)))</f>
        <v/>
      </c>
      <c r="C417" s="313">
        <v>46115.0</v>
      </c>
      <c r="D417" s="314"/>
      <c r="E417" s="307" t="str">
        <f t="array" ref="E417">(XLOOKUP(D417,Roster!F:F,Roster!B:B,"",0))</f>
        <v/>
      </c>
      <c r="F417" s="315" t="str">
        <f t="array" ref="F417">IF(B417=100,"Free",TEXT(XLOOKUP($D417,OperationVoice!$A:$A,OperationVoice!I:I,XLOOKUP($D417,OperationTickets!$A:$A,OperationTickets!I:I,"",0)),"hh:mm"))</f>
        <v/>
      </c>
      <c r="G417" s="309" t="str">
        <f t="shared" si="3"/>
        <v/>
      </c>
      <c r="H417" s="316" t="str">
        <f t="array" ref="H417">XLOOKUP(B417,Roster!L:L,Roster!N:N,XLOOKUP(D417,TicketsBreak!A:A,TicketsBreak!E:E,"",0),0)</f>
        <v/>
      </c>
      <c r="I417" s="316" t="str">
        <f t="array" ref="I417">XLOOKUP(B417,Roster!L:L,Roster!O:O,XLOOKUP(D417,TicketsBreak!A:A,TicketsBreak!F:F,"",0),0)</f>
        <v/>
      </c>
      <c r="J417" s="316" t="str">
        <f t="array" ref="J417">XLOOKUP(B417,Roster!L:L,Roster!P:P,XLOOKUP(D417,TicketsBreak!A:A,TicketsBreak!G:G,"",0),0)</f>
        <v/>
      </c>
      <c r="K417" s="310">
        <f t="shared" si="4"/>
        <v>46115</v>
      </c>
      <c r="L417" s="317" t="str">
        <f t="array" ref="L417">(XLOOKUP(D417,Roster!F:F,Roster!D:D,"",0))</f>
        <v/>
      </c>
      <c r="M417" s="317" t="str">
        <f t="array" ref="M417">XLOOKUP(D417,Roster!F:F,Roster!E:E)</f>
        <v>#N/A</v>
      </c>
      <c r="N417" s="317" t="str">
        <f t="shared" ref="N417:P417" si="428">LEFT(H417,5)</f>
        <v/>
      </c>
      <c r="O417" s="317" t="str">
        <f t="shared" si="428"/>
        <v/>
      </c>
      <c r="P417" s="317" t="str">
        <f t="shared" si="428"/>
        <v/>
      </c>
      <c r="Q417" s="318" t="str">
        <f t="shared" si="382"/>
        <v/>
      </c>
      <c r="R417" s="318" t="str">
        <f t="shared" si="383"/>
        <v/>
      </c>
      <c r="S417" s="318" t="str">
        <f t="shared" si="8"/>
        <v/>
      </c>
    </row>
    <row r="418">
      <c r="A418" s="14" t="str">
        <f t="shared" si="1"/>
        <v>46115</v>
      </c>
      <c r="B418" s="185" t="str">
        <f t="array" ref="B418">IF(F418="VL","",IF(F418="Free","Free",XLOOKUP(D418,Roster!T:T,Roster!S:S,"",0)))</f>
        <v/>
      </c>
      <c r="C418" s="313">
        <v>46115.0</v>
      </c>
      <c r="D418" s="314"/>
      <c r="E418" s="307" t="str">
        <f t="array" ref="E418">(XLOOKUP(D418,Roster!F:F,Roster!B:B,"",0))</f>
        <v/>
      </c>
      <c r="F418" s="315" t="str">
        <f t="array" ref="F418">IF(B418=100,"Free",TEXT(XLOOKUP($D418,OperationVoice!$A:$A,OperationVoice!I:I,XLOOKUP($D418,OperationTickets!$A:$A,OperationTickets!I:I,"",0)),"hh:mm"))</f>
        <v/>
      </c>
      <c r="G418" s="309" t="str">
        <f t="shared" si="3"/>
        <v/>
      </c>
      <c r="H418" s="316" t="str">
        <f t="array" ref="H418">XLOOKUP(B418,Roster!L:L,Roster!N:N,XLOOKUP(D418,TicketsBreak!A:A,TicketsBreak!E:E,"",0),0)</f>
        <v/>
      </c>
      <c r="I418" s="316" t="str">
        <f t="array" ref="I418">XLOOKUP(B418,Roster!L:L,Roster!O:O,XLOOKUP(D418,TicketsBreak!A:A,TicketsBreak!F:F,"",0),0)</f>
        <v/>
      </c>
      <c r="J418" s="316" t="str">
        <f t="array" ref="J418">XLOOKUP(B418,Roster!L:L,Roster!P:P,XLOOKUP(D418,TicketsBreak!A:A,TicketsBreak!G:G,"",0),0)</f>
        <v/>
      </c>
      <c r="K418" s="310">
        <f t="shared" si="4"/>
        <v>46115</v>
      </c>
      <c r="L418" s="317" t="str">
        <f t="array" ref="L418">(XLOOKUP(D418,Roster!F:F,Roster!D:D,"",0))</f>
        <v/>
      </c>
      <c r="M418" s="317" t="str">
        <f t="array" ref="M418">XLOOKUP(D418,Roster!F:F,Roster!E:E)</f>
        <v>#N/A</v>
      </c>
      <c r="N418" s="317" t="str">
        <f t="shared" ref="N418:P418" si="429">LEFT(H418,5)</f>
        <v/>
      </c>
      <c r="O418" s="317" t="str">
        <f t="shared" si="429"/>
        <v/>
      </c>
      <c r="P418" s="317" t="str">
        <f t="shared" si="429"/>
        <v/>
      </c>
      <c r="Q418" s="318" t="str">
        <f t="shared" si="382"/>
        <v/>
      </c>
      <c r="R418" s="318" t="str">
        <f t="shared" si="383"/>
        <v/>
      </c>
      <c r="S418" s="318" t="str">
        <f t="shared" si="8"/>
        <v/>
      </c>
    </row>
    <row r="419">
      <c r="A419" s="14" t="str">
        <f t="shared" si="1"/>
        <v>46115</v>
      </c>
      <c r="B419" s="185" t="str">
        <f t="array" ref="B419">IF(F419="VL","",IF(F419="Free","Free",XLOOKUP(D419,Roster!T:T,Roster!S:S,"",0)))</f>
        <v/>
      </c>
      <c r="C419" s="313">
        <v>46115.0</v>
      </c>
      <c r="D419" s="314"/>
      <c r="E419" s="307" t="str">
        <f t="array" ref="E419">(XLOOKUP(D419,Roster!F:F,Roster!B:B,"",0))</f>
        <v/>
      </c>
      <c r="F419" s="315" t="str">
        <f t="array" ref="F419">IF(B419=100,"Free",TEXT(XLOOKUP($D419,OperationVoice!$A:$A,OperationVoice!I:I,XLOOKUP($D419,OperationTickets!$A:$A,OperationTickets!I:I,"",0)),"hh:mm"))</f>
        <v/>
      </c>
      <c r="G419" s="309" t="str">
        <f t="shared" si="3"/>
        <v/>
      </c>
      <c r="H419" s="316" t="str">
        <f t="array" ref="H419">XLOOKUP(B419,Roster!L:L,Roster!N:N,XLOOKUP(D419,TicketsBreak!A:A,TicketsBreak!E:E,"",0),0)</f>
        <v/>
      </c>
      <c r="I419" s="316" t="str">
        <f t="array" ref="I419">XLOOKUP(B419,Roster!L:L,Roster!O:O,XLOOKUP(D419,TicketsBreak!A:A,TicketsBreak!F:F,"",0),0)</f>
        <v/>
      </c>
      <c r="J419" s="316" t="str">
        <f t="array" ref="J419">XLOOKUP(B419,Roster!L:L,Roster!P:P,XLOOKUP(D419,TicketsBreak!A:A,TicketsBreak!G:G,"",0),0)</f>
        <v/>
      </c>
      <c r="K419" s="310">
        <f t="shared" si="4"/>
        <v>46115</v>
      </c>
      <c r="L419" s="317" t="str">
        <f t="array" ref="L419">(XLOOKUP(D419,Roster!F:F,Roster!D:D,"",0))</f>
        <v/>
      </c>
      <c r="M419" s="317" t="str">
        <f t="array" ref="M419">XLOOKUP(D419,Roster!F:F,Roster!E:E)</f>
        <v>#N/A</v>
      </c>
      <c r="N419" s="317" t="str">
        <f t="shared" ref="N419:P419" si="430">LEFT(H419,5)</f>
        <v/>
      </c>
      <c r="O419" s="317" t="str">
        <f t="shared" si="430"/>
        <v/>
      </c>
      <c r="P419" s="317" t="str">
        <f t="shared" si="430"/>
        <v/>
      </c>
      <c r="Q419" s="318" t="str">
        <f t="shared" si="382"/>
        <v/>
      </c>
      <c r="R419" s="318" t="str">
        <f t="shared" si="383"/>
        <v/>
      </c>
      <c r="S419" s="318" t="str">
        <f t="shared" si="8"/>
        <v/>
      </c>
    </row>
    <row r="420">
      <c r="A420" s="14" t="str">
        <f t="shared" si="1"/>
        <v>46115</v>
      </c>
      <c r="B420" s="185" t="str">
        <f t="array" ref="B420">IF(F420="VL","",IF(F420="Free","Free",XLOOKUP(D420,Roster!T:T,Roster!S:S,"",0)))</f>
        <v/>
      </c>
      <c r="C420" s="313">
        <v>46115.0</v>
      </c>
      <c r="D420" s="314"/>
      <c r="E420" s="307" t="str">
        <f t="array" ref="E420">(XLOOKUP(D420,Roster!F:F,Roster!B:B,"",0))</f>
        <v/>
      </c>
      <c r="F420" s="315" t="str">
        <f t="array" ref="F420">IF(B420=100,"Free",TEXT(XLOOKUP($D420,OperationVoice!$A:$A,OperationVoice!I:I,XLOOKUP($D420,OperationTickets!$A:$A,OperationTickets!I:I,"",0)),"hh:mm"))</f>
        <v/>
      </c>
      <c r="G420" s="309" t="str">
        <f t="shared" si="3"/>
        <v/>
      </c>
      <c r="H420" s="316" t="str">
        <f t="array" ref="H420">XLOOKUP(B420,Roster!L:L,Roster!N:N,XLOOKUP(D420,TicketsBreak!A:A,TicketsBreak!E:E,"",0),0)</f>
        <v/>
      </c>
      <c r="I420" s="316" t="str">
        <f t="array" ref="I420">XLOOKUP(B420,Roster!L:L,Roster!O:O,XLOOKUP(D420,TicketsBreak!A:A,TicketsBreak!F:F,"",0),0)</f>
        <v/>
      </c>
      <c r="J420" s="316" t="str">
        <f t="array" ref="J420">XLOOKUP(B420,Roster!L:L,Roster!P:P,XLOOKUP(D420,TicketsBreak!A:A,TicketsBreak!G:G,"",0),0)</f>
        <v/>
      </c>
      <c r="K420" s="310">
        <f t="shared" si="4"/>
        <v>46115</v>
      </c>
      <c r="L420" s="317" t="str">
        <f t="array" ref="L420">(XLOOKUP(D420,Roster!F:F,Roster!D:D,"",0))</f>
        <v/>
      </c>
      <c r="M420" s="317" t="str">
        <f t="array" ref="M420">XLOOKUP(D420,Roster!F:F,Roster!E:E)</f>
        <v>#N/A</v>
      </c>
      <c r="N420" s="317" t="str">
        <f t="shared" ref="N420:P420" si="431">LEFT(H420,5)</f>
        <v/>
      </c>
      <c r="O420" s="317" t="str">
        <f t="shared" si="431"/>
        <v/>
      </c>
      <c r="P420" s="317" t="str">
        <f t="shared" si="431"/>
        <v/>
      </c>
      <c r="Q420" s="318" t="str">
        <f t="shared" si="382"/>
        <v/>
      </c>
      <c r="R420" s="318" t="str">
        <f t="shared" si="383"/>
        <v/>
      </c>
      <c r="S420" s="318" t="str">
        <f t="shared" si="8"/>
        <v/>
      </c>
    </row>
    <row r="421">
      <c r="A421" s="14" t="str">
        <f t="shared" si="1"/>
        <v>46115</v>
      </c>
      <c r="B421" s="185" t="str">
        <f t="array" ref="B421">IF(F421="VL","",IF(F421="Free","Free",XLOOKUP(D421,Roster!T:T,Roster!S:S,"",0)))</f>
        <v/>
      </c>
      <c r="C421" s="313">
        <v>46115.0</v>
      </c>
      <c r="D421" s="314"/>
      <c r="E421" s="307" t="str">
        <f t="array" ref="E421">(XLOOKUP(D421,Roster!F:F,Roster!B:B,"",0))</f>
        <v/>
      </c>
      <c r="F421" s="315" t="str">
        <f t="array" ref="F421">IF(B421=100,"Free",TEXT(XLOOKUP($D421,OperationVoice!$A:$A,OperationVoice!I:I,XLOOKUP($D421,OperationTickets!$A:$A,OperationTickets!I:I,"",0)),"hh:mm"))</f>
        <v/>
      </c>
      <c r="G421" s="309" t="str">
        <f t="shared" si="3"/>
        <v/>
      </c>
      <c r="H421" s="316" t="str">
        <f t="array" ref="H421">XLOOKUP(B421,Roster!L:L,Roster!N:N,XLOOKUP(D421,TicketsBreak!A:A,TicketsBreak!E:E,"",0),0)</f>
        <v/>
      </c>
      <c r="I421" s="316" t="str">
        <f t="array" ref="I421">XLOOKUP(B421,Roster!L:L,Roster!O:O,XLOOKUP(D421,TicketsBreak!A:A,TicketsBreak!F:F,"",0),0)</f>
        <v/>
      </c>
      <c r="J421" s="316" t="str">
        <f t="array" ref="J421">XLOOKUP(B421,Roster!L:L,Roster!P:P,XLOOKUP(D421,TicketsBreak!A:A,TicketsBreak!G:G,"",0),0)</f>
        <v/>
      </c>
      <c r="K421" s="310">
        <f t="shared" si="4"/>
        <v>46115</v>
      </c>
      <c r="L421" s="317" t="str">
        <f t="array" ref="L421">(XLOOKUP(D421,Roster!F:F,Roster!D:D,"",0))</f>
        <v/>
      </c>
      <c r="M421" s="317" t="str">
        <f t="array" ref="M421">XLOOKUP(D421,Roster!F:F,Roster!E:E)</f>
        <v>#N/A</v>
      </c>
      <c r="N421" s="317" t="str">
        <f t="shared" ref="N421:P421" si="432">LEFT(H421,5)</f>
        <v/>
      </c>
      <c r="O421" s="317" t="str">
        <f t="shared" si="432"/>
        <v/>
      </c>
      <c r="P421" s="317" t="str">
        <f t="shared" si="432"/>
        <v/>
      </c>
      <c r="Q421" s="318" t="str">
        <f t="shared" si="382"/>
        <v/>
      </c>
      <c r="R421" s="318" t="str">
        <f t="shared" si="383"/>
        <v/>
      </c>
      <c r="S421" s="318" t="str">
        <f t="shared" si="8"/>
        <v/>
      </c>
    </row>
    <row r="422">
      <c r="A422" s="14" t="str">
        <f t="shared" si="1"/>
        <v>C81846116</v>
      </c>
      <c r="B422" s="185" t="str">
        <f t="array" ref="B422">IF(F422="VL","",IF(F422="Free","Free",XLOOKUP(D422,Roster!T:T,Roster!S:S,"",0)))</f>
        <v>Free</v>
      </c>
      <c r="C422" s="313">
        <v>46116.0</v>
      </c>
      <c r="D422" s="314" t="s">
        <v>9</v>
      </c>
      <c r="E422" s="307" t="str">
        <f t="array" ref="E422">(XLOOKUP(D422,Roster!F:F,Roster!B:B,"",0))</f>
        <v>Adriana Moncaleano</v>
      </c>
      <c r="F422" s="315" t="str">
        <f t="array" ref="F422">IF(B422=100,"Free",TEXT(XLOOKUP($D422,OperationVoice!$A:$A,OperationVoice!J:J,XLOOKUP($D422,OperationTickets!$A:$A,OperationTickets!J:J,"",0)),"hh:mm"))</f>
        <v>Free</v>
      </c>
      <c r="G422" s="309" t="str">
        <f t="shared" si="3"/>
        <v>Free</v>
      </c>
      <c r="H422" s="316" t="str">
        <f t="array" ref="H422">XLOOKUP(B422,Roster!L:L,Roster!N:N,XLOOKUP(D422,TicketsBreak!A:A,TicketsBreak!E:E,"",0),0)</f>
        <v/>
      </c>
      <c r="I422" s="316" t="str">
        <f t="array" ref="I422">XLOOKUP(B422,Roster!L:L,Roster!O:O,XLOOKUP(D422,TicketsBreak!A:A,TicketsBreak!F:F,"",0),0)</f>
        <v/>
      </c>
      <c r="J422" s="316" t="str">
        <f t="array" ref="J422">XLOOKUP(B422,Roster!L:L,Roster!P:P,XLOOKUP(D422,TicketsBreak!A:A,TicketsBreak!G:G,"",0),0)</f>
        <v/>
      </c>
      <c r="K422" s="310">
        <f t="shared" si="4"/>
        <v>46116</v>
      </c>
      <c r="L422" s="317">
        <f t="array" ref="L422">(XLOOKUP(D422,Roster!F:F,Roster!D:D,"",0))</f>
        <v>23</v>
      </c>
      <c r="M422" s="317" t="str">
        <f t="array" ref="M422">XLOOKUP(D422,Roster!F:F,Roster!E:E)</f>
        <v>Voice</v>
      </c>
      <c r="N422" s="317" t="str">
        <f t="shared" ref="N422:P422" si="433">LEFT(H422,5)</f>
        <v/>
      </c>
      <c r="O422" s="317" t="str">
        <f t="shared" si="433"/>
        <v/>
      </c>
      <c r="P422" s="317" t="str">
        <f t="shared" si="433"/>
        <v/>
      </c>
      <c r="Q422" s="318" t="str">
        <f t="shared" si="382"/>
        <v/>
      </c>
      <c r="R422" s="318" t="str">
        <f t="shared" si="383"/>
        <v/>
      </c>
      <c r="S422" s="318" t="str">
        <f t="shared" si="8"/>
        <v/>
      </c>
    </row>
    <row r="423">
      <c r="A423" s="14" t="str">
        <f t="shared" si="1"/>
        <v>C110746116</v>
      </c>
      <c r="B423" s="185">
        <f t="array" ref="B423">IF(F423="VL","",IF(F423="Free","Free",XLOOKUP(D423,Roster!T:T,Roster!S:S,"",0)))</f>
        <v>153</v>
      </c>
      <c r="C423" s="313">
        <v>46116.0</v>
      </c>
      <c r="D423" s="314" t="s">
        <v>10</v>
      </c>
      <c r="E423" s="307" t="str">
        <f t="array" ref="E423">(XLOOKUP(D423,Roster!F:F,Roster!B:B,"",0))</f>
        <v>Alejandro Malave</v>
      </c>
      <c r="F423" s="315" t="str">
        <f t="array" ref="F423">IF(B423=100,"Free",TEXT(XLOOKUP($D423,OperationVoice!$A:$A,OperationVoice!J:J,XLOOKUP($D423,OperationTickets!$A:$A,OperationTickets!J:J,"",0)),"hh:mm"))</f>
        <v>11:00</v>
      </c>
      <c r="G423" s="309">
        <f t="shared" si="3"/>
        <v>0.8333333333</v>
      </c>
      <c r="H423" s="316" t="str">
        <f t="array" ref="H423">XLOOKUP(B423,Roster!L:L,Roster!N:N,XLOOKUP(D423,TicketsBreak!A:A,TicketsBreak!E:E,"",0),0)</f>
        <v>12:45 - 13:00</v>
      </c>
      <c r="I423" s="316" t="str">
        <f t="array" ref="I423">XLOOKUP(B423,Roster!L:L,Roster!O:O,XLOOKUP(D423,TicketsBreak!A:A,TicketsBreak!F:F,"",0),0)</f>
        <v>15:00 - 15:30</v>
      </c>
      <c r="J423" s="316" t="str">
        <f t="array" ref="J423">XLOOKUP(B423,Roster!L:L,Roster!P:P,XLOOKUP(D423,TicketsBreak!A:A,TicketsBreak!G:G,"",0),0)</f>
        <v>17:45 - 18:00</v>
      </c>
      <c r="K423" s="310">
        <f t="shared" si="4"/>
        <v>46116</v>
      </c>
      <c r="L423" s="317">
        <f t="array" ref="L423">(XLOOKUP(D423,Roster!F:F,Roster!D:D,"",0))</f>
        <v>36</v>
      </c>
      <c r="M423" s="317" t="str">
        <f t="array" ref="M423">XLOOKUP(D423,Roster!F:F,Roster!E:E)</f>
        <v>Voice</v>
      </c>
      <c r="N423" s="317" t="str">
        <f t="shared" ref="N423:P423" si="434">LEFT(H423,5)</f>
        <v>12:45</v>
      </c>
      <c r="O423" s="317" t="str">
        <f t="shared" si="434"/>
        <v>15:00</v>
      </c>
      <c r="P423" s="317" t="str">
        <f t="shared" si="434"/>
        <v>17:45</v>
      </c>
      <c r="Q423" s="318">
        <f t="shared" si="382"/>
        <v>46116.53125</v>
      </c>
      <c r="R423" s="318">
        <f t="shared" si="383"/>
        <v>46116.625</v>
      </c>
      <c r="S423" s="318">
        <f t="shared" si="8"/>
        <v>46116.73958</v>
      </c>
    </row>
    <row r="424">
      <c r="A424" s="14" t="str">
        <f t="shared" si="1"/>
        <v>C69946116</v>
      </c>
      <c r="B424" s="185" t="str">
        <f t="array" ref="B424">IF(F424="VL","",IF(F424="Free","Free",XLOOKUP(D424,Roster!T:T,Roster!S:S,"",0)))</f>
        <v>Free</v>
      </c>
      <c r="C424" s="313">
        <v>46116.0</v>
      </c>
      <c r="D424" s="314" t="s">
        <v>137</v>
      </c>
      <c r="E424" s="307" t="str">
        <f t="array" ref="E424">(XLOOKUP(D424,Roster!F:F,Roster!B:B,"",0))</f>
        <v>Alexa Arenas</v>
      </c>
      <c r="F424" s="315" t="str">
        <f t="array" ref="F424">IF(B424=100,"Free",TEXT(XLOOKUP($D424,OperationVoice!$A:$A,OperationVoice!J:J,XLOOKUP($D424,OperationTickets!$A:$A,OperationTickets!J:J,"",0)),"hh:mm"))</f>
        <v>Free</v>
      </c>
      <c r="G424" s="309" t="str">
        <f t="shared" si="3"/>
        <v>Free</v>
      </c>
      <c r="H424" s="316">
        <f t="array" ref="H424">XLOOKUP(B424,Roster!L:L,Roster!N:N,XLOOKUP(D424,TicketsBreak!A:A,TicketsBreak!E:E,"",0),0)</f>
        <v>0.40625</v>
      </c>
      <c r="I424" s="316">
        <f t="array" ref="I424">XLOOKUP(B424,Roster!L:L,Roster!O:O,XLOOKUP(D424,TicketsBreak!A:A,TicketsBreak!F:F,"",0),0)</f>
        <v>0.5</v>
      </c>
      <c r="J424" s="316">
        <f t="array" ref="J424">XLOOKUP(B424,Roster!L:L,Roster!P:P,XLOOKUP(D424,TicketsBreak!A:A,TicketsBreak!G:G,"",0),0)</f>
        <v>0.65625</v>
      </c>
      <c r="K424" s="310">
        <f t="shared" si="4"/>
        <v>46116</v>
      </c>
      <c r="L424" s="317">
        <f t="array" ref="L424">(XLOOKUP(D424,Roster!F:F,Roster!D:D,"",0))</f>
        <v>5</v>
      </c>
      <c r="M424" s="317" t="str">
        <f t="array" ref="M424">XLOOKUP(D424,Roster!F:F,Roster!E:E)</f>
        <v>Tickets</v>
      </c>
      <c r="N424" s="317" t="str">
        <f t="shared" ref="N424:P424" si="435">LEFT(H424,5)</f>
        <v>09:45</v>
      </c>
      <c r="O424" s="317" t="str">
        <f t="shared" si="435"/>
        <v>12:00</v>
      </c>
      <c r="P424" s="317" t="str">
        <f t="shared" si="435"/>
        <v>15:45</v>
      </c>
      <c r="Q424" s="318">
        <f t="shared" si="382"/>
        <v>46116.40625</v>
      </c>
      <c r="R424" s="318">
        <f t="shared" si="383"/>
        <v>46116.5</v>
      </c>
      <c r="S424" s="318">
        <f t="shared" si="8"/>
        <v>46116.65625</v>
      </c>
    </row>
    <row r="425">
      <c r="A425" s="14" t="str">
        <f t="shared" si="1"/>
        <v>C157046116</v>
      </c>
      <c r="B425" s="185">
        <f t="array" ref="B425">IF(F425="VL","",IF(F425="Free","Free",XLOOKUP(D425,Roster!T:T,Roster!S:S,"",0)))</f>
        <v>123</v>
      </c>
      <c r="C425" s="313">
        <v>46116.0</v>
      </c>
      <c r="D425" s="314" t="s">
        <v>11</v>
      </c>
      <c r="E425" s="307" t="str">
        <f t="array" ref="E425">(XLOOKUP(D425,Roster!F:F,Roster!B:B,"",0))</f>
        <v>Alexander Bartoli</v>
      </c>
      <c r="F425" s="315" t="str">
        <f t="array" ref="F425">IF(B425=100,"Free",TEXT(XLOOKUP($D425,OperationVoice!$A:$A,OperationVoice!J:J,XLOOKUP($D425,OperationTickets!$A:$A,OperationTickets!J:J,"",0)),"hh:mm"))</f>
        <v>08:00</v>
      </c>
      <c r="G425" s="309">
        <f t="shared" si="3"/>
        <v>0.7083333333</v>
      </c>
      <c r="H425" s="316" t="str">
        <f t="array" ref="H425">XLOOKUP(B425,Roster!L:L,Roster!N:N,XLOOKUP(D425,TicketsBreak!A:A,TicketsBreak!E:E,"",0),0)</f>
        <v>09:45 - 10:00 </v>
      </c>
      <c r="I425" s="316" t="str">
        <f t="array" ref="I425">XLOOKUP(B425,Roster!L:L,Roster!O:O,XLOOKUP(D425,TicketsBreak!A:A,TicketsBreak!F:F,"",0),0)</f>
        <v>12:30 - 13:00</v>
      </c>
      <c r="J425" s="316" t="str">
        <f t="array" ref="J425">XLOOKUP(B425,Roster!L:L,Roster!P:P,XLOOKUP(D425,TicketsBreak!A:A,TicketsBreak!G:G,"",0),0)</f>
        <v>15:00 - 15:15</v>
      </c>
      <c r="K425" s="310">
        <f t="shared" si="4"/>
        <v>46116</v>
      </c>
      <c r="L425" s="317">
        <f t="array" ref="L425">(XLOOKUP(D425,Roster!F:F,Roster!D:D,"",0))</f>
        <v>38</v>
      </c>
      <c r="M425" s="317" t="str">
        <f t="array" ref="M425">XLOOKUP(D425,Roster!F:F,Roster!E:E)</f>
        <v>Voice</v>
      </c>
      <c r="N425" s="317" t="str">
        <f t="shared" ref="N425:P425" si="436">LEFT(H425,5)</f>
        <v>09:45</v>
      </c>
      <c r="O425" s="317" t="str">
        <f t="shared" si="436"/>
        <v>12:30</v>
      </c>
      <c r="P425" s="317" t="str">
        <f t="shared" si="436"/>
        <v>15:00</v>
      </c>
      <c r="Q425" s="318">
        <f t="shared" si="382"/>
        <v>46116.40625</v>
      </c>
      <c r="R425" s="318">
        <f t="shared" si="383"/>
        <v>46116.52083</v>
      </c>
      <c r="S425" s="318">
        <f t="shared" si="8"/>
        <v>46116.625</v>
      </c>
    </row>
    <row r="426">
      <c r="A426" s="14" t="str">
        <f t="shared" si="1"/>
        <v>C93546116</v>
      </c>
      <c r="B426" s="185" t="str">
        <f t="array" ref="B426">IF(F426="VL","",IF(F426="Free","Free",XLOOKUP(D426,Roster!T:T,Roster!S:S,"",0)))</f>
        <v>Free</v>
      </c>
      <c r="C426" s="313">
        <v>46116.0</v>
      </c>
      <c r="D426" s="314" t="s">
        <v>153</v>
      </c>
      <c r="E426" s="307" t="str">
        <f t="array" ref="E426">(XLOOKUP(D426,Roster!F:F,Roster!B:B,"",0))</f>
        <v>Alexis Arias</v>
      </c>
      <c r="F426" s="315" t="str">
        <f t="array" ref="F426">IF(B426=100,"Free",TEXT(XLOOKUP($D426,OperationVoice!$A:$A,OperationVoice!J:J,XLOOKUP($D426,OperationTickets!$A:$A,OperationTickets!J:J,"",0)),"hh:mm"))</f>
        <v>Free</v>
      </c>
      <c r="G426" s="309" t="str">
        <f t="shared" si="3"/>
        <v>Free</v>
      </c>
      <c r="H426" s="316">
        <f t="array" ref="H426">XLOOKUP(B426,Roster!L:L,Roster!N:N,XLOOKUP(D426,TicketsBreak!A:A,TicketsBreak!E:E,"",0),0)</f>
        <v>0.4270833333</v>
      </c>
      <c r="I426" s="316">
        <f t="array" ref="I426">XLOOKUP(B426,Roster!L:L,Roster!O:O,XLOOKUP(D426,TicketsBreak!A:A,TicketsBreak!F:F,"",0),0)</f>
        <v>0.53125</v>
      </c>
      <c r="J426" s="316">
        <f t="array" ref="J426">XLOOKUP(B426,Roster!L:L,Roster!P:P,XLOOKUP(D426,TicketsBreak!A:A,TicketsBreak!G:G,"",0),0)</f>
        <v>0.6458333333</v>
      </c>
      <c r="K426" s="310">
        <f t="shared" si="4"/>
        <v>46116</v>
      </c>
      <c r="L426" s="317">
        <f t="array" ref="L426">(XLOOKUP(D426,Roster!F:F,Roster!D:D,"",0))</f>
        <v>12</v>
      </c>
      <c r="M426" s="317" t="str">
        <f t="array" ref="M426">XLOOKUP(D426,Roster!F:F,Roster!E:E)</f>
        <v>Tickets</v>
      </c>
      <c r="N426" s="317" t="str">
        <f t="shared" ref="N426:P426" si="437">LEFT(H426,5)</f>
        <v>10:15</v>
      </c>
      <c r="O426" s="317" t="str">
        <f t="shared" si="437"/>
        <v>12:45</v>
      </c>
      <c r="P426" s="317" t="str">
        <f t="shared" si="437"/>
        <v>15:30</v>
      </c>
      <c r="Q426" s="318">
        <f t="shared" si="382"/>
        <v>46116.42708</v>
      </c>
      <c r="R426" s="318">
        <f t="shared" si="383"/>
        <v>46116.53125</v>
      </c>
      <c r="S426" s="318">
        <f t="shared" si="8"/>
        <v>46116.64583</v>
      </c>
    </row>
    <row r="427">
      <c r="A427" s="14" t="str">
        <f t="shared" si="1"/>
        <v>C72746116</v>
      </c>
      <c r="B427" s="185" t="str">
        <f t="array" ref="B427">IF(F427="VL","",IF(F427="Free","Free",XLOOKUP(D427,Roster!T:T,Roster!S:S,"",0)))</f>
        <v/>
      </c>
      <c r="C427" s="313">
        <v>46116.0</v>
      </c>
      <c r="D427" s="314" t="s">
        <v>154</v>
      </c>
      <c r="E427" s="307" t="str">
        <f t="array" ref="E427">(XLOOKUP(D427,Roster!F:F,Roster!B:B,"",0))</f>
        <v>Ana Moreno</v>
      </c>
      <c r="F427" s="315" t="str">
        <f t="array" ref="F427">IF(B427=100,"Free",TEXT(XLOOKUP($D427,OperationVoice!$A:$A,OperationVoice!J:J,XLOOKUP($D427,OperationTickets!$A:$A,OperationTickets!J:J,"",0)),"hh:mm"))</f>
        <v>VL</v>
      </c>
      <c r="G427" s="309" t="str">
        <f t="shared" si="3"/>
        <v>VL</v>
      </c>
      <c r="H427" s="316">
        <f t="array" ref="H427">XLOOKUP(B427,Roster!L:L,Roster!N:N,XLOOKUP(D427,TicketsBreak!A:A,TicketsBreak!E:E,"",0),0)</f>
        <v>0.4166666667</v>
      </c>
      <c r="I427" s="316">
        <f t="array" ref="I427">XLOOKUP(B427,Roster!L:L,Roster!O:O,XLOOKUP(D427,TicketsBreak!A:A,TicketsBreak!F:F,"",0),0)</f>
        <v>0.5208333333</v>
      </c>
      <c r="J427" s="316">
        <f t="array" ref="J427">XLOOKUP(B427,Roster!L:L,Roster!P:P,XLOOKUP(D427,TicketsBreak!A:A,TicketsBreak!G:G,"",0),0)</f>
        <v>0.65625</v>
      </c>
      <c r="K427" s="310">
        <f t="shared" si="4"/>
        <v>46116</v>
      </c>
      <c r="L427" s="317">
        <f t="array" ref="L427">(XLOOKUP(D427,Roster!F:F,Roster!D:D,"",0))</f>
        <v>7</v>
      </c>
      <c r="M427" s="317" t="str">
        <f t="array" ref="M427">XLOOKUP(D427,Roster!F:F,Roster!E:E)</f>
        <v>Tickets</v>
      </c>
      <c r="N427" s="317" t="str">
        <f t="shared" ref="N427:P427" si="438">LEFT(H427,5)</f>
        <v>10:00</v>
      </c>
      <c r="O427" s="317" t="str">
        <f t="shared" si="438"/>
        <v>12:30</v>
      </c>
      <c r="P427" s="317" t="str">
        <f t="shared" si="438"/>
        <v>15:45</v>
      </c>
      <c r="Q427" s="318">
        <f t="shared" si="382"/>
        <v>46116.41667</v>
      </c>
      <c r="R427" s="318">
        <f t="shared" si="383"/>
        <v>46116.52083</v>
      </c>
      <c r="S427" s="318">
        <f t="shared" si="8"/>
        <v>46116.65625</v>
      </c>
    </row>
    <row r="428">
      <c r="A428" s="14" t="str">
        <f t="shared" si="1"/>
        <v>C157446116</v>
      </c>
      <c r="B428" s="185">
        <f t="array" ref="B428">IF(F428="VL","",IF(F428="Free","Free",XLOOKUP(D428,Roster!T:T,Roster!S:S,"",0)))</f>
        <v>124</v>
      </c>
      <c r="C428" s="313">
        <v>46116.0</v>
      </c>
      <c r="D428" s="314" t="s">
        <v>12</v>
      </c>
      <c r="E428" s="307" t="str">
        <f t="array" ref="E428">(XLOOKUP(D428,Roster!F:F,Roster!B:B,"",0))</f>
        <v>Ana Quintero</v>
      </c>
      <c r="F428" s="315" t="str">
        <f t="array" ref="F428">IF(B428=100,"Free",TEXT(XLOOKUP($D428,OperationVoice!$A:$A,OperationVoice!J:J,XLOOKUP($D428,OperationTickets!$A:$A,OperationTickets!J:J,"",0)),"hh:mm"))</f>
        <v>08:00</v>
      </c>
      <c r="G428" s="309">
        <f t="shared" si="3"/>
        <v>0.7083333333</v>
      </c>
      <c r="H428" s="316" t="str">
        <f t="array" ref="H428">XLOOKUP(B428,Roster!L:L,Roster!N:N,XLOOKUP(D428,TicketsBreak!A:A,TicketsBreak!E:E,"",0),0)</f>
        <v>10:00 - 10:15</v>
      </c>
      <c r="I428" s="316" t="str">
        <f t="array" ref="I428">XLOOKUP(B428,Roster!L:L,Roster!O:O,XLOOKUP(D428,TicketsBreak!A:A,TicketsBreak!F:F,"",0),0)</f>
        <v>13:00 - 13:30</v>
      </c>
      <c r="J428" s="316" t="str">
        <f t="array" ref="J428">XLOOKUP(B428,Roster!L:L,Roster!P:P,XLOOKUP(D428,TicketsBreak!A:A,TicketsBreak!G:G,"",0),0)</f>
        <v>15:30 - 15:45</v>
      </c>
      <c r="K428" s="310">
        <f t="shared" si="4"/>
        <v>46116</v>
      </c>
      <c r="L428" s="317">
        <f t="array" ref="L428">(XLOOKUP(D428,Roster!F:F,Roster!D:D,"",0))</f>
        <v>38</v>
      </c>
      <c r="M428" s="317" t="str">
        <f t="array" ref="M428">XLOOKUP(D428,Roster!F:F,Roster!E:E)</f>
        <v>Voice</v>
      </c>
      <c r="N428" s="317" t="str">
        <f t="shared" ref="N428:P428" si="439">LEFT(H428,5)</f>
        <v>10:00</v>
      </c>
      <c r="O428" s="317" t="str">
        <f t="shared" si="439"/>
        <v>13:00</v>
      </c>
      <c r="P428" s="317" t="str">
        <f t="shared" si="439"/>
        <v>15:30</v>
      </c>
      <c r="Q428" s="318">
        <f t="shared" si="382"/>
        <v>46116.41667</v>
      </c>
      <c r="R428" s="318">
        <f t="shared" si="383"/>
        <v>46116.54167</v>
      </c>
      <c r="S428" s="318">
        <f t="shared" si="8"/>
        <v>46116.64583</v>
      </c>
    </row>
    <row r="429">
      <c r="A429" s="14" t="str">
        <f t="shared" si="1"/>
        <v>C46946116</v>
      </c>
      <c r="B429" s="185" t="str">
        <f t="array" ref="B429">IF(F429="VL","",IF(F429="Free","Free",XLOOKUP(D429,Roster!T:T,Roster!S:S,"",0)))</f>
        <v>Free</v>
      </c>
      <c r="C429" s="313">
        <v>46116.0</v>
      </c>
      <c r="D429" s="314" t="s">
        <v>171</v>
      </c>
      <c r="E429" s="307" t="str">
        <f t="array" ref="E429">(XLOOKUP(D429,Roster!F:F,Roster!B:B,"",0))</f>
        <v>Ana Ruiz</v>
      </c>
      <c r="F429" s="315" t="str">
        <f t="array" ref="F429">IF(B429=100,"Free",TEXT(XLOOKUP($D429,OperationVoice!$A:$A,OperationVoice!J:J,XLOOKUP($D429,OperationTickets!$A:$A,OperationTickets!J:J,"",0)),"hh:mm"))</f>
        <v>Free</v>
      </c>
      <c r="G429" s="309" t="str">
        <f t="shared" si="3"/>
        <v>Free</v>
      </c>
      <c r="H429" s="316">
        <f t="array" ref="H429">XLOOKUP(B429,Roster!L:L,Roster!N:N,XLOOKUP(D429,TicketsBreak!A:A,TicketsBreak!E:E,"",0),0)</f>
        <v>0.3854166667</v>
      </c>
      <c r="I429" s="316">
        <f t="array" ref="I429">XLOOKUP(B429,Roster!L:L,Roster!O:O,XLOOKUP(D429,TicketsBreak!A:A,TicketsBreak!F:F,"",0),0)</f>
        <v>0.5</v>
      </c>
      <c r="J429" s="316">
        <f t="array" ref="J429">XLOOKUP(B429,Roster!L:L,Roster!P:P,XLOOKUP(D429,TicketsBreak!A:A,TicketsBreak!G:G,"",0),0)</f>
        <v>0.6041666667</v>
      </c>
      <c r="K429" s="310">
        <f t="shared" si="4"/>
        <v>46116</v>
      </c>
      <c r="L429" s="317">
        <f t="array" ref="L429">(XLOOKUP(D429,Roster!F:F,Roster!D:D,"",0))</f>
        <v>3</v>
      </c>
      <c r="M429" s="317" t="str">
        <f t="array" ref="M429">XLOOKUP(D429,Roster!F:F,Roster!E:E)</f>
        <v>Tickets</v>
      </c>
      <c r="N429" s="317" t="str">
        <f t="shared" ref="N429:P429" si="440">LEFT(H429,5)</f>
        <v>09:15</v>
      </c>
      <c r="O429" s="317" t="str">
        <f t="shared" si="440"/>
        <v>12:00</v>
      </c>
      <c r="P429" s="317" t="str">
        <f t="shared" si="440"/>
        <v>14:30</v>
      </c>
      <c r="Q429" s="318">
        <f t="shared" si="382"/>
        <v>46116.38542</v>
      </c>
      <c r="R429" s="318">
        <f t="shared" si="383"/>
        <v>46116.5</v>
      </c>
      <c r="S429" s="318">
        <f t="shared" si="8"/>
        <v>46116.60417</v>
      </c>
    </row>
    <row r="430">
      <c r="A430" s="14" t="str">
        <f t="shared" si="1"/>
        <v>C155446116</v>
      </c>
      <c r="B430" s="185">
        <f t="array" ref="B430">IF(F430="VL","",IF(F430="Free","Free",XLOOKUP(D430,Roster!T:T,Roster!S:S,"",0)))</f>
        <v>131</v>
      </c>
      <c r="C430" s="313">
        <v>46116.0</v>
      </c>
      <c r="D430" s="314" t="s">
        <v>13</v>
      </c>
      <c r="E430" s="307" t="str">
        <f t="array" ref="E430">(XLOOKUP(D430,Roster!F:F,Roster!B:B,"",0))</f>
        <v>Andres Lopez</v>
      </c>
      <c r="F430" s="315" t="str">
        <f t="array" ref="F430">IF(B430=100,"Free",TEXT(XLOOKUP($D430,OperationVoice!$A:$A,OperationVoice!J:J,XLOOKUP($D430,OperationTickets!$A:$A,OperationTickets!J:J,"",0)),"hh:mm"))</f>
        <v>09:00</v>
      </c>
      <c r="G430" s="309">
        <f t="shared" si="3"/>
        <v>0.75</v>
      </c>
      <c r="H430" s="316" t="str">
        <f t="array" ref="H430">XLOOKUP(B430,Roster!L:L,Roster!N:N,XLOOKUP(D430,TicketsBreak!A:A,TicketsBreak!E:E,"",0),0)</f>
        <v>10:15 - 10:30</v>
      </c>
      <c r="I430" s="316" t="str">
        <f t="array" ref="I430">XLOOKUP(B430,Roster!L:L,Roster!O:O,XLOOKUP(D430,TicketsBreak!A:A,TicketsBreak!F:F,"",0),0)</f>
        <v>12:30 - 13:00</v>
      </c>
      <c r="J430" s="316" t="str">
        <f t="array" ref="J430">XLOOKUP(B430,Roster!L:L,Roster!P:P,XLOOKUP(D430,TicketsBreak!A:A,TicketsBreak!G:G,"",0),0)</f>
        <v>15:15 - 15:30</v>
      </c>
      <c r="K430" s="310">
        <f t="shared" si="4"/>
        <v>46116</v>
      </c>
      <c r="L430" s="317">
        <f t="array" ref="L430">(XLOOKUP(D430,Roster!F:F,Roster!D:D,"",0))</f>
        <v>37</v>
      </c>
      <c r="M430" s="317" t="str">
        <f t="array" ref="M430">XLOOKUP(D430,Roster!F:F,Roster!E:E)</f>
        <v>Voice</v>
      </c>
      <c r="N430" s="317" t="str">
        <f t="shared" ref="N430:P430" si="441">LEFT(H430,5)</f>
        <v>10:15</v>
      </c>
      <c r="O430" s="317" t="str">
        <f t="shared" si="441"/>
        <v>12:30</v>
      </c>
      <c r="P430" s="317" t="str">
        <f t="shared" si="441"/>
        <v>15:15</v>
      </c>
      <c r="Q430" s="318">
        <f t="shared" si="382"/>
        <v>46116.42708</v>
      </c>
      <c r="R430" s="318">
        <f t="shared" si="383"/>
        <v>46116.52083</v>
      </c>
      <c r="S430" s="318">
        <f t="shared" si="8"/>
        <v>46116.63542</v>
      </c>
    </row>
    <row r="431">
      <c r="A431" s="14" t="str">
        <f t="shared" si="1"/>
        <v>C156746116</v>
      </c>
      <c r="B431" s="185">
        <f t="array" ref="B431">IF(F431="VL","",IF(F431="Free","Free",XLOOKUP(D431,Roster!T:T,Roster!S:S,"",0)))</f>
        <v>125</v>
      </c>
      <c r="C431" s="313">
        <v>46116.0</v>
      </c>
      <c r="D431" s="314" t="s">
        <v>14</v>
      </c>
      <c r="E431" s="307" t="str">
        <f t="array" ref="E431">(XLOOKUP(D431,Roster!F:F,Roster!B:B,"",0))</f>
        <v>Andres Salazar</v>
      </c>
      <c r="F431" s="315" t="str">
        <f t="array" ref="F431">IF(B431=100,"Free",TEXT(XLOOKUP($D431,OperationVoice!$A:$A,OperationVoice!J:J,XLOOKUP($D431,OperationTickets!$A:$A,OperationTickets!J:J,"",0)),"hh:mm"))</f>
        <v>08:00</v>
      </c>
      <c r="G431" s="309">
        <f t="shared" si="3"/>
        <v>0.7083333333</v>
      </c>
      <c r="H431" s="316" t="str">
        <f t="array" ref="H431">XLOOKUP(B431,Roster!L:L,Roster!N:N,XLOOKUP(D431,TicketsBreak!A:A,TicketsBreak!E:E,"",0),0)</f>
        <v>10:30 - 10:45</v>
      </c>
      <c r="I431" s="316" t="str">
        <f t="array" ref="I431">XLOOKUP(B431,Roster!L:L,Roster!O:O,XLOOKUP(D431,TicketsBreak!A:A,TicketsBreak!F:F,"",0),0)</f>
        <v>13:30 - 14:00</v>
      </c>
      <c r="J431" s="316" t="str">
        <f t="array" ref="J431">XLOOKUP(B431,Roster!L:L,Roster!P:P,XLOOKUP(D431,TicketsBreak!A:A,TicketsBreak!G:G,"",0),0)</f>
        <v>15:45 - 16:00</v>
      </c>
      <c r="K431" s="310">
        <f t="shared" si="4"/>
        <v>46116</v>
      </c>
      <c r="L431" s="317">
        <f t="array" ref="L431">(XLOOKUP(D431,Roster!F:F,Roster!D:D,"",0))</f>
        <v>38</v>
      </c>
      <c r="M431" s="317" t="str">
        <f t="array" ref="M431">XLOOKUP(D431,Roster!F:F,Roster!E:E)</f>
        <v>Voice</v>
      </c>
      <c r="N431" s="317" t="str">
        <f t="shared" ref="N431:P431" si="442">LEFT(H431,5)</f>
        <v>10:30</v>
      </c>
      <c r="O431" s="317" t="str">
        <f t="shared" si="442"/>
        <v>13:30</v>
      </c>
      <c r="P431" s="317" t="str">
        <f t="shared" si="442"/>
        <v>15:45</v>
      </c>
      <c r="Q431" s="318">
        <f t="shared" si="382"/>
        <v>46116.4375</v>
      </c>
      <c r="R431" s="318">
        <f t="shared" si="383"/>
        <v>46116.5625</v>
      </c>
      <c r="S431" s="318">
        <f t="shared" si="8"/>
        <v>46116.65625</v>
      </c>
    </row>
    <row r="432">
      <c r="A432" s="14" t="str">
        <f t="shared" si="1"/>
        <v>C134846116</v>
      </c>
      <c r="B432" s="185" t="str">
        <f t="array" ref="B432">IF(F432="VL","",IF(F432="Free","Free",XLOOKUP(D432,Roster!T:T,Roster!S:S,"",0)))</f>
        <v>Free</v>
      </c>
      <c r="C432" s="313">
        <v>46116.0</v>
      </c>
      <c r="D432" s="314" t="s">
        <v>15</v>
      </c>
      <c r="E432" s="307" t="str">
        <f t="array" ref="E432">(XLOOKUP(D432,Roster!F:F,Roster!B:B,"",0))</f>
        <v>Angelo Zapata</v>
      </c>
      <c r="F432" s="315" t="str">
        <f t="array" ref="F432">IF(B432=100,"Free",TEXT(XLOOKUP($D432,OperationVoice!$A:$A,OperationVoice!J:J,XLOOKUP($D432,OperationTickets!$A:$A,OperationTickets!J:J,"",0)),"hh:mm"))</f>
        <v>Free</v>
      </c>
      <c r="G432" s="309" t="str">
        <f t="shared" si="3"/>
        <v>Free</v>
      </c>
      <c r="H432" s="316" t="str">
        <f t="array" ref="H432">XLOOKUP(B432,Roster!L:L,Roster!N:N,XLOOKUP(D432,TicketsBreak!A:A,TicketsBreak!E:E,"",0),0)</f>
        <v/>
      </c>
      <c r="I432" s="316" t="str">
        <f t="array" ref="I432">XLOOKUP(B432,Roster!L:L,Roster!O:O,XLOOKUP(D432,TicketsBreak!A:A,TicketsBreak!F:F,"",0),0)</f>
        <v/>
      </c>
      <c r="J432" s="316" t="str">
        <f t="array" ref="J432">XLOOKUP(B432,Roster!L:L,Roster!P:P,XLOOKUP(D432,TicketsBreak!A:A,TicketsBreak!G:G,"",0),0)</f>
        <v/>
      </c>
      <c r="K432" s="310">
        <f t="shared" si="4"/>
        <v>46116</v>
      </c>
      <c r="L432" s="317">
        <f t="array" ref="L432">(XLOOKUP(D432,Roster!F:F,Roster!D:D,"",0))</f>
        <v>30</v>
      </c>
      <c r="M432" s="317" t="str">
        <f t="array" ref="M432">XLOOKUP(D432,Roster!F:F,Roster!E:E)</f>
        <v>Voice</v>
      </c>
      <c r="N432" s="317" t="str">
        <f t="shared" ref="N432:P432" si="443">LEFT(H432,5)</f>
        <v/>
      </c>
      <c r="O432" s="317" t="str">
        <f t="shared" si="443"/>
        <v/>
      </c>
      <c r="P432" s="317" t="str">
        <f t="shared" si="443"/>
        <v/>
      </c>
      <c r="Q432" s="318" t="str">
        <f t="shared" si="382"/>
        <v/>
      </c>
      <c r="R432" s="318" t="str">
        <f t="shared" si="383"/>
        <v/>
      </c>
      <c r="S432" s="318" t="str">
        <f t="shared" si="8"/>
        <v/>
      </c>
    </row>
    <row r="433">
      <c r="A433" s="14" t="str">
        <f t="shared" si="1"/>
        <v>C116746116</v>
      </c>
      <c r="B433" s="185" t="str">
        <f t="array" ref="B433">IF(F433="VL","",IF(F433="Free","Free",XLOOKUP(D433,Roster!T:T,Roster!S:S,"",0)))</f>
        <v>Free</v>
      </c>
      <c r="C433" s="313">
        <v>46116.0</v>
      </c>
      <c r="D433" s="314" t="s">
        <v>172</v>
      </c>
      <c r="E433" s="307" t="str">
        <f t="array" ref="E433">(XLOOKUP(D433,Roster!F:F,Roster!B:B,"",0))</f>
        <v>Angie Rua</v>
      </c>
      <c r="F433" s="315" t="str">
        <f t="array" ref="F433">IF(B433=100,"Free",TEXT(XLOOKUP($D433,OperationVoice!$A:$A,OperationVoice!J:J,XLOOKUP($D433,OperationTickets!$A:$A,OperationTickets!J:J,"",0)),"hh:mm"))</f>
        <v>Free</v>
      </c>
      <c r="G433" s="309" t="str">
        <f t="shared" si="3"/>
        <v>Free</v>
      </c>
      <c r="H433" s="316" t="str">
        <f t="array" ref="H433">XLOOKUP(B433,Roster!L:L,Roster!N:N,XLOOKUP(D433,TicketsBreak!A:A,TicketsBreak!E:E,"",0),0)</f>
        <v/>
      </c>
      <c r="I433" s="316" t="str">
        <f t="array" ref="I433">XLOOKUP(B433,Roster!L:L,Roster!O:O,XLOOKUP(D433,TicketsBreak!A:A,TicketsBreak!F:F,"",0),0)</f>
        <v/>
      </c>
      <c r="J433" s="316" t="str">
        <f t="array" ref="J433">XLOOKUP(B433,Roster!L:L,Roster!P:P,XLOOKUP(D433,TicketsBreak!A:A,TicketsBreak!G:G,"",0),0)</f>
        <v/>
      </c>
      <c r="K433" s="310">
        <f t="shared" si="4"/>
        <v>46116</v>
      </c>
      <c r="L433" s="317">
        <f t="array" ref="L433">(XLOOKUP(D433,Roster!F:F,Roster!D:D,"",0))</f>
        <v>24</v>
      </c>
      <c r="M433" s="317" t="str">
        <f t="array" ref="M433">XLOOKUP(D433,Roster!F:F,Roster!E:E)</f>
        <v>Tickets</v>
      </c>
      <c r="N433" s="317" t="str">
        <f t="shared" ref="N433:P433" si="444">LEFT(H433,5)</f>
        <v/>
      </c>
      <c r="O433" s="317" t="str">
        <f t="shared" si="444"/>
        <v/>
      </c>
      <c r="P433" s="317" t="str">
        <f t="shared" si="444"/>
        <v/>
      </c>
      <c r="Q433" s="318" t="str">
        <f t="shared" si="382"/>
        <v/>
      </c>
      <c r="R433" s="318" t="str">
        <f t="shared" si="383"/>
        <v/>
      </c>
      <c r="S433" s="318" t="str">
        <f t="shared" si="8"/>
        <v/>
      </c>
    </row>
    <row r="434">
      <c r="A434" s="14" t="str">
        <f t="shared" si="1"/>
        <v>C157946116</v>
      </c>
      <c r="B434" s="185" t="str">
        <f t="array" ref="B434">IF(F434="VL","",IF(F434="Free","Free",XLOOKUP(D434,Roster!T:T,Roster!S:S,"",0)))</f>
        <v>Free</v>
      </c>
      <c r="C434" s="313">
        <v>46116.0</v>
      </c>
      <c r="D434" s="314" t="s">
        <v>16</v>
      </c>
      <c r="E434" s="307" t="str">
        <f t="array" ref="E434">(XLOOKUP(D434,Roster!F:F,Roster!B:B,"",0))</f>
        <v>Anibal Munoz</v>
      </c>
      <c r="F434" s="315" t="str">
        <f t="array" ref="F434">IF(B434=100,"Free",TEXT(XLOOKUP($D434,OperationVoice!$A:$A,OperationVoice!J:J,XLOOKUP($D434,OperationTickets!$A:$A,OperationTickets!J:J,"",0)),"hh:mm"))</f>
        <v>Free</v>
      </c>
      <c r="G434" s="309" t="str">
        <f t="shared" si="3"/>
        <v>Free</v>
      </c>
      <c r="H434" s="316" t="str">
        <f t="array" ref="H434">XLOOKUP(B434,Roster!L:L,Roster!N:N,XLOOKUP(D434,TicketsBreak!A:A,TicketsBreak!E:E,"",0),0)</f>
        <v/>
      </c>
      <c r="I434" s="316" t="str">
        <f t="array" ref="I434">XLOOKUP(B434,Roster!L:L,Roster!O:O,XLOOKUP(D434,TicketsBreak!A:A,TicketsBreak!F:F,"",0),0)</f>
        <v/>
      </c>
      <c r="J434" s="316" t="str">
        <f t="array" ref="J434">XLOOKUP(B434,Roster!L:L,Roster!P:P,XLOOKUP(D434,TicketsBreak!A:A,TicketsBreak!G:G,"",0),0)</f>
        <v/>
      </c>
      <c r="K434" s="310">
        <f t="shared" si="4"/>
        <v>46116</v>
      </c>
      <c r="L434" s="317">
        <f t="array" ref="L434">(XLOOKUP(D434,Roster!F:F,Roster!D:D,"",0))</f>
        <v>38</v>
      </c>
      <c r="M434" s="317" t="str">
        <f t="array" ref="M434">XLOOKUP(D434,Roster!F:F,Roster!E:E)</f>
        <v>Voice</v>
      </c>
      <c r="N434" s="317" t="str">
        <f t="shared" ref="N434:P434" si="445">LEFT(H434,5)</f>
        <v/>
      </c>
      <c r="O434" s="317" t="str">
        <f t="shared" si="445"/>
        <v/>
      </c>
      <c r="P434" s="317" t="str">
        <f t="shared" si="445"/>
        <v/>
      </c>
      <c r="Q434" s="318" t="str">
        <f t="shared" si="382"/>
        <v/>
      </c>
      <c r="R434" s="318" t="str">
        <f t="shared" si="383"/>
        <v/>
      </c>
      <c r="S434" s="318" t="str">
        <f t="shared" si="8"/>
        <v/>
      </c>
    </row>
    <row r="435">
      <c r="A435" s="14" t="str">
        <f t="shared" si="1"/>
        <v>C08046116</v>
      </c>
      <c r="B435" s="185" t="str">
        <f t="array" ref="B435">IF(F435="VL","",IF(F435="Free","Free",XLOOKUP(D435,Roster!T:T,Roster!S:S,"",0)))</f>
        <v>Free</v>
      </c>
      <c r="C435" s="313">
        <v>46116.0</v>
      </c>
      <c r="D435" s="314" t="s">
        <v>138</v>
      </c>
      <c r="E435" s="307" t="str">
        <f t="array" ref="E435">(XLOOKUP(D435,Roster!F:F,Roster!B:B,"",0))</f>
        <v>Arturo Padilla</v>
      </c>
      <c r="F435" s="315" t="str">
        <f t="array" ref="F435">IF(B435=100,"Free",TEXT(XLOOKUP($D435,OperationVoice!$A:$A,OperationVoice!J:J,XLOOKUP($D435,OperationTickets!$A:$A,OperationTickets!J:J,"",0)),"hh:mm"))</f>
        <v>Free</v>
      </c>
      <c r="G435" s="309" t="str">
        <f t="shared" si="3"/>
        <v>Free</v>
      </c>
      <c r="H435" s="316">
        <f t="array" ref="H435">XLOOKUP(B435,Roster!L:L,Roster!N:N,XLOOKUP(D435,TicketsBreak!A:A,TicketsBreak!E:E,"",0),0)</f>
        <v>0.375</v>
      </c>
      <c r="I435" s="316">
        <f t="array" ref="I435">XLOOKUP(B435,Roster!L:L,Roster!O:O,XLOOKUP(D435,TicketsBreak!A:A,TicketsBreak!F:F,"",0),0)</f>
        <v>0.5</v>
      </c>
      <c r="J435" s="316">
        <f t="array" ref="J435">XLOOKUP(B435,Roster!L:L,Roster!P:P,XLOOKUP(D435,TicketsBreak!A:A,TicketsBreak!G:G,"",0),0)</f>
        <v>0.6458333333</v>
      </c>
      <c r="K435" s="310">
        <f t="shared" si="4"/>
        <v>46116</v>
      </c>
      <c r="L435" s="317">
        <f t="array" ref="L435">(XLOOKUP(D435,Roster!F:F,Roster!D:D,"",0))</f>
        <v>1</v>
      </c>
      <c r="M435" s="317" t="str">
        <f t="array" ref="M435">XLOOKUP(D435,Roster!F:F,Roster!E:E)</f>
        <v>Tickets</v>
      </c>
      <c r="N435" s="317" t="str">
        <f t="shared" ref="N435:P435" si="446">LEFT(H435,5)</f>
        <v>09:00</v>
      </c>
      <c r="O435" s="317" t="str">
        <f t="shared" si="446"/>
        <v>12:00</v>
      </c>
      <c r="P435" s="317" t="str">
        <f t="shared" si="446"/>
        <v>15:30</v>
      </c>
      <c r="Q435" s="318">
        <f t="shared" si="382"/>
        <v>46116.375</v>
      </c>
      <c r="R435" s="318">
        <f t="shared" si="383"/>
        <v>46116.5</v>
      </c>
      <c r="S435" s="318">
        <f t="shared" si="8"/>
        <v>46116.64583</v>
      </c>
    </row>
    <row r="436">
      <c r="A436" s="14" t="str">
        <f t="shared" si="1"/>
        <v>C150446116</v>
      </c>
      <c r="B436" s="185">
        <f t="array" ref="B436">IF(F436="VL","",IF(F436="Free","Free",XLOOKUP(D436,Roster!T:T,Roster!S:S,"",0)))</f>
        <v>123</v>
      </c>
      <c r="C436" s="313">
        <v>46116.0</v>
      </c>
      <c r="D436" s="314" t="s">
        <v>155</v>
      </c>
      <c r="E436" s="307" t="str">
        <f t="array" ref="E436">(XLOOKUP(D436,Roster!F:F,Roster!B:B,"",0))</f>
        <v>Beatriz Montanez</v>
      </c>
      <c r="F436" s="315" t="str">
        <f t="array" ref="F436">IF(B436=100,"Free",TEXT(XLOOKUP($D436,OperationVoice!$A:$A,OperationVoice!J:J,XLOOKUP($D436,OperationTickets!$A:$A,OperationTickets!J:J,"",0)),"hh:mm"))</f>
        <v>08:00</v>
      </c>
      <c r="G436" s="309">
        <f t="shared" si="3"/>
        <v>0.7083333333</v>
      </c>
      <c r="H436" s="316" t="str">
        <f t="array" ref="H436">XLOOKUP(B436,Roster!L:L,Roster!N:N,XLOOKUP(D436,TicketsBreak!A:A,TicketsBreak!E:E,"",0),0)</f>
        <v>09:45 - 10:00 </v>
      </c>
      <c r="I436" s="316" t="str">
        <f t="array" ref="I436">XLOOKUP(B436,Roster!L:L,Roster!O:O,XLOOKUP(D436,TicketsBreak!A:A,TicketsBreak!F:F,"",0),0)</f>
        <v>12:30 - 13:00</v>
      </c>
      <c r="J436" s="316" t="str">
        <f t="array" ref="J436">XLOOKUP(B436,Roster!L:L,Roster!P:P,XLOOKUP(D436,TicketsBreak!A:A,TicketsBreak!G:G,"",0),0)</f>
        <v>15:00 - 15:15</v>
      </c>
      <c r="K436" s="310">
        <f t="shared" si="4"/>
        <v>46116</v>
      </c>
      <c r="L436" s="317">
        <f t="array" ref="L436">(XLOOKUP(D436,Roster!F:F,Roster!D:D,"",0))</f>
        <v>35</v>
      </c>
      <c r="M436" s="317" t="str">
        <f t="array" ref="M436">XLOOKUP(D436,Roster!F:F,Roster!E:E)</f>
        <v>Tickets</v>
      </c>
      <c r="N436" s="317" t="str">
        <f t="shared" ref="N436:P436" si="447">LEFT(H436,5)</f>
        <v>09:45</v>
      </c>
      <c r="O436" s="317" t="str">
        <f t="shared" si="447"/>
        <v>12:30</v>
      </c>
      <c r="P436" s="317" t="str">
        <f t="shared" si="447"/>
        <v>15:00</v>
      </c>
      <c r="Q436" s="318">
        <f t="shared" si="382"/>
        <v>46116.40625</v>
      </c>
      <c r="R436" s="318">
        <f t="shared" si="383"/>
        <v>46116.52083</v>
      </c>
      <c r="S436" s="318">
        <f t="shared" si="8"/>
        <v>46116.625</v>
      </c>
    </row>
    <row r="437">
      <c r="A437" s="14" t="str">
        <f t="shared" si="1"/>
        <v>C107746116</v>
      </c>
      <c r="B437" s="185" t="str">
        <f t="array" ref="B437">IF(F437="VL","",IF(F437="Free","Free",XLOOKUP(D437,Roster!T:T,Roster!S:S,"",0)))</f>
        <v>Free</v>
      </c>
      <c r="C437" s="313">
        <v>46116.0</v>
      </c>
      <c r="D437" s="314" t="s">
        <v>17</v>
      </c>
      <c r="E437" s="307" t="str">
        <f t="array" ref="E437">(XLOOKUP(D437,Roster!F:F,Roster!B:B,"",0))</f>
        <v>Brahian Prado</v>
      </c>
      <c r="F437" s="315" t="str">
        <f t="array" ref="F437">IF(B437=100,"Free",TEXT(XLOOKUP($D437,OperationVoice!$A:$A,OperationVoice!J:J,XLOOKUP($D437,OperationTickets!$A:$A,OperationTickets!J:J,"",0)),"hh:mm"))</f>
        <v>Free</v>
      </c>
      <c r="G437" s="309" t="str">
        <f t="shared" si="3"/>
        <v>Free</v>
      </c>
      <c r="H437" s="316" t="str">
        <f t="array" ref="H437">XLOOKUP(B437,Roster!L:L,Roster!N:N,XLOOKUP(D437,TicketsBreak!A:A,TicketsBreak!E:E,"",0),0)</f>
        <v/>
      </c>
      <c r="I437" s="316" t="str">
        <f t="array" ref="I437">XLOOKUP(B437,Roster!L:L,Roster!O:O,XLOOKUP(D437,TicketsBreak!A:A,TicketsBreak!F:F,"",0),0)</f>
        <v/>
      </c>
      <c r="J437" s="316" t="str">
        <f t="array" ref="J437">XLOOKUP(B437,Roster!L:L,Roster!P:P,XLOOKUP(D437,TicketsBreak!A:A,TicketsBreak!G:G,"",0),0)</f>
        <v/>
      </c>
      <c r="K437" s="310">
        <f t="shared" si="4"/>
        <v>46116</v>
      </c>
      <c r="L437" s="317">
        <f t="array" ref="L437">(XLOOKUP(D437,Roster!F:F,Roster!D:D,"",0))</f>
        <v>18</v>
      </c>
      <c r="M437" s="317" t="str">
        <f t="array" ref="M437">XLOOKUP(D437,Roster!F:F,Roster!E:E)</f>
        <v>Voice</v>
      </c>
      <c r="N437" s="317" t="str">
        <f t="shared" ref="N437:P437" si="448">LEFT(H437,5)</f>
        <v/>
      </c>
      <c r="O437" s="317" t="str">
        <f t="shared" si="448"/>
        <v/>
      </c>
      <c r="P437" s="317" t="str">
        <f t="shared" si="448"/>
        <v/>
      </c>
      <c r="Q437" s="318" t="str">
        <f t="shared" si="382"/>
        <v/>
      </c>
      <c r="R437" s="318" t="str">
        <f t="shared" si="383"/>
        <v/>
      </c>
      <c r="S437" s="318" t="str">
        <f t="shared" si="8"/>
        <v/>
      </c>
    </row>
    <row r="438">
      <c r="A438" s="14" t="str">
        <f t="shared" si="1"/>
        <v>C116546116</v>
      </c>
      <c r="B438" s="185" t="str">
        <f t="array" ref="B438">IF(F438="VL","",IF(F438="Free","Free",XLOOKUP(D438,Roster!T:T,Roster!S:S,"",0)))</f>
        <v/>
      </c>
      <c r="C438" s="313">
        <v>46116.0</v>
      </c>
      <c r="D438" s="314" t="s">
        <v>139</v>
      </c>
      <c r="E438" s="307" t="str">
        <f t="array" ref="E438">(XLOOKUP(D438,Roster!F:F,Roster!B:B,"",0))</f>
        <v>Braian Restrepo</v>
      </c>
      <c r="F438" s="315" t="str">
        <f t="array" ref="F438">IF(B438=100,"Free",TEXT(XLOOKUP($D438,OperationVoice!$A:$A,OperationVoice!J:J,XLOOKUP($D438,OperationTickets!$A:$A,OperationTickets!J:J,"",0)),"hh:mm"))</f>
        <v>08:00</v>
      </c>
      <c r="G438" s="309">
        <f t="shared" si="3"/>
        <v>0.7083333333</v>
      </c>
      <c r="H438" s="316" t="str">
        <f t="array" ref="H438">XLOOKUP(B438,Roster!L:L,Roster!N:N,XLOOKUP(D438,TicketsBreak!A:A,TicketsBreak!E:E,"",0),0)</f>
        <v/>
      </c>
      <c r="I438" s="316" t="str">
        <f t="array" ref="I438">XLOOKUP(B438,Roster!L:L,Roster!O:O,XLOOKUP(D438,TicketsBreak!A:A,TicketsBreak!F:F,"",0),0)</f>
        <v/>
      </c>
      <c r="J438" s="316" t="str">
        <f t="array" ref="J438">XLOOKUP(B438,Roster!L:L,Roster!P:P,XLOOKUP(D438,TicketsBreak!A:A,TicketsBreak!G:G,"",0),0)</f>
        <v/>
      </c>
      <c r="K438" s="310">
        <f t="shared" si="4"/>
        <v>46116</v>
      </c>
      <c r="L438" s="317">
        <f t="array" ref="L438">(XLOOKUP(D438,Roster!F:F,Roster!D:D,"",0))</f>
        <v>24</v>
      </c>
      <c r="M438" s="317" t="str">
        <f t="array" ref="M438">XLOOKUP(D438,Roster!F:F,Roster!E:E)</f>
        <v>Tickets</v>
      </c>
      <c r="N438" s="317" t="str">
        <f t="shared" ref="N438:P438" si="449">LEFT(H438,5)</f>
        <v/>
      </c>
      <c r="O438" s="317" t="str">
        <f t="shared" si="449"/>
        <v/>
      </c>
      <c r="P438" s="317" t="str">
        <f t="shared" si="449"/>
        <v/>
      </c>
      <c r="Q438" s="318" t="str">
        <f t="shared" si="382"/>
        <v/>
      </c>
      <c r="R438" s="318" t="str">
        <f t="shared" si="383"/>
        <v/>
      </c>
      <c r="S438" s="318" t="str">
        <f t="shared" si="8"/>
        <v/>
      </c>
    </row>
    <row r="439">
      <c r="A439" s="14" t="str">
        <f t="shared" si="1"/>
        <v>C127446116</v>
      </c>
      <c r="B439" s="185">
        <f t="array" ref="B439">IF(F439="VL","",IF(F439="Free","Free",XLOOKUP(D439,Roster!T:T,Roster!S:S,"",0)))</f>
        <v>126</v>
      </c>
      <c r="C439" s="313">
        <v>46116.0</v>
      </c>
      <c r="D439" s="314" t="s">
        <v>250</v>
      </c>
      <c r="E439" s="307" t="str">
        <f t="array" ref="E439">(XLOOKUP(D439,Roster!F:F,Roster!B:B,"",0))</f>
        <v>Brayan Franco</v>
      </c>
      <c r="F439" s="315" t="str">
        <f t="array" ref="F439">IF(B439=100,"Free",TEXT(XLOOKUP($D439,OperationVoice!$A:$A,OperationVoice!J:J,XLOOKUP($D439,OperationTickets!$A:$A,OperationTickets!J:J,"",0)),"hh:mm"))</f>
        <v/>
      </c>
      <c r="G439" s="309" t="str">
        <f t="shared" si="3"/>
        <v/>
      </c>
      <c r="H439" s="316" t="str">
        <f t="array" ref="H439">XLOOKUP(B439,Roster!L:L,Roster!N:N,XLOOKUP(D439,TicketsBreak!A:A,TicketsBreak!E:E,"",0),0)</f>
        <v>10:45 - 11:00</v>
      </c>
      <c r="I439" s="316" t="str">
        <f t="array" ref="I439">XLOOKUP(B439,Roster!L:L,Roster!O:O,XLOOKUP(D439,TicketsBreak!A:A,TicketsBreak!F:F,"",0),0)</f>
        <v>14:00 - 14:30</v>
      </c>
      <c r="J439" s="316" t="str">
        <f t="array" ref="J439">XLOOKUP(B439,Roster!L:L,Roster!P:P,XLOOKUP(D439,TicketsBreak!A:A,TicketsBreak!G:G,"",0),0)</f>
        <v>15:45 - 16:00</v>
      </c>
      <c r="K439" s="310">
        <f t="shared" si="4"/>
        <v>46116</v>
      </c>
      <c r="L439" s="317">
        <f t="array" ref="L439">(XLOOKUP(D439,Roster!F:F,Roster!D:D,"",0))</f>
        <v>27</v>
      </c>
      <c r="M439" s="317" t="str">
        <f t="array" ref="M439">XLOOKUP(D439,Roster!F:F,Roster!E:E)</f>
        <v>Voice</v>
      </c>
      <c r="N439" s="317" t="str">
        <f t="shared" ref="N439:P439" si="450">LEFT(H439,5)</f>
        <v>10:45</v>
      </c>
      <c r="O439" s="317" t="str">
        <f t="shared" si="450"/>
        <v>14:00</v>
      </c>
      <c r="P439" s="317" t="str">
        <f t="shared" si="450"/>
        <v>15:45</v>
      </c>
      <c r="Q439" s="318">
        <f t="shared" si="382"/>
        <v>46116.44792</v>
      </c>
      <c r="R439" s="318">
        <f t="shared" si="383"/>
        <v>46116.58333</v>
      </c>
      <c r="S439" s="318">
        <f t="shared" si="8"/>
        <v>46116.65625</v>
      </c>
    </row>
    <row r="440">
      <c r="A440" s="14" t="str">
        <f t="shared" si="1"/>
        <v>C119146116</v>
      </c>
      <c r="B440" s="185" t="str">
        <f t="array" ref="B440">IF(F440="VL","",IF(F440="Free","Free",XLOOKUP(D440,Roster!T:T,Roster!S:S,"",0)))</f>
        <v>Free</v>
      </c>
      <c r="C440" s="313">
        <v>46116.0</v>
      </c>
      <c r="D440" s="314" t="s">
        <v>18</v>
      </c>
      <c r="E440" s="307" t="str">
        <f t="array" ref="E440">(XLOOKUP(D440,Roster!F:F,Roster!B:B,"",0))</f>
        <v>Brayan Montoya</v>
      </c>
      <c r="F440" s="315" t="str">
        <f t="array" ref="F440">IF(B440=100,"Free",TEXT(XLOOKUP($D440,OperationVoice!$A:$A,OperationVoice!J:J,XLOOKUP($D440,OperationTickets!$A:$A,OperationTickets!J:J,"",0)),"hh:mm"))</f>
        <v>Free</v>
      </c>
      <c r="G440" s="309" t="str">
        <f t="shared" si="3"/>
        <v>Free</v>
      </c>
      <c r="H440" s="316" t="str">
        <f t="array" ref="H440">XLOOKUP(B440,Roster!L:L,Roster!N:N,XLOOKUP(D440,TicketsBreak!A:A,TicketsBreak!E:E,"",0),0)</f>
        <v/>
      </c>
      <c r="I440" s="316" t="str">
        <f t="array" ref="I440">XLOOKUP(B440,Roster!L:L,Roster!O:O,XLOOKUP(D440,TicketsBreak!A:A,TicketsBreak!F:F,"",0),0)</f>
        <v/>
      </c>
      <c r="J440" s="316" t="str">
        <f t="array" ref="J440">XLOOKUP(B440,Roster!L:L,Roster!P:P,XLOOKUP(D440,TicketsBreak!A:A,TicketsBreak!G:G,"",0),0)</f>
        <v/>
      </c>
      <c r="K440" s="310">
        <f t="shared" si="4"/>
        <v>46116</v>
      </c>
      <c r="L440" s="317">
        <f t="array" ref="L440">(XLOOKUP(D440,Roster!F:F,Roster!D:D,"",0))</f>
        <v>25</v>
      </c>
      <c r="M440" s="317" t="str">
        <f t="array" ref="M440">XLOOKUP(D440,Roster!F:F,Roster!E:E)</f>
        <v>Voice</v>
      </c>
      <c r="N440" s="317" t="str">
        <f t="shared" ref="N440:P440" si="451">LEFT(H440,5)</f>
        <v/>
      </c>
      <c r="O440" s="317" t="str">
        <f t="shared" si="451"/>
        <v/>
      </c>
      <c r="P440" s="317" t="str">
        <f t="shared" si="451"/>
        <v/>
      </c>
      <c r="Q440" s="318" t="str">
        <f t="shared" si="382"/>
        <v/>
      </c>
      <c r="R440" s="318" t="str">
        <f t="shared" si="383"/>
        <v/>
      </c>
      <c r="S440" s="318" t="str">
        <f t="shared" si="8"/>
        <v/>
      </c>
    </row>
    <row r="441">
      <c r="A441" s="14" t="str">
        <f t="shared" si="1"/>
        <v>C152646116</v>
      </c>
      <c r="B441" s="185">
        <f t="array" ref="B441">IF(F441="VL","",IF(F441="Free","Free",XLOOKUP(D441,Roster!T:T,Roster!S:S,"",0)))</f>
        <v>121</v>
      </c>
      <c r="C441" s="313">
        <v>46116.0</v>
      </c>
      <c r="D441" s="314" t="s">
        <v>19</v>
      </c>
      <c r="E441" s="307" t="str">
        <f t="array" ref="E441">(XLOOKUP(D441,Roster!F:F,Roster!B:B,"",0))</f>
        <v>Breitner Benitez</v>
      </c>
      <c r="F441" s="315" t="str">
        <f t="array" ref="F441">IF(B441=100,"Free",TEXT(XLOOKUP($D441,OperationVoice!$A:$A,OperationVoice!J:J,XLOOKUP($D441,OperationTickets!$A:$A,OperationTickets!J:J,"",0)),"hh:mm"))</f>
        <v>08:00</v>
      </c>
      <c r="G441" s="309">
        <f t="shared" si="3"/>
        <v>0.7083333333</v>
      </c>
      <c r="H441" s="316" t="str">
        <f t="array" ref="H441">XLOOKUP(B441,Roster!L:L,Roster!N:N,XLOOKUP(D441,TicketsBreak!A:A,TicketsBreak!E:E,"",0),0)</f>
        <v>09:15 - 09:30</v>
      </c>
      <c r="I441" s="316" t="str">
        <f t="array" ref="I441">XLOOKUP(B441,Roster!L:L,Roster!O:O,XLOOKUP(D441,TicketsBreak!A:A,TicketsBreak!F:F,"",0),0)</f>
        <v>11:30 - 12:00</v>
      </c>
      <c r="J441" s="316" t="str">
        <f t="array" ref="J441">XLOOKUP(B441,Roster!L:L,Roster!P:P,XLOOKUP(D441,TicketsBreak!A:A,TicketsBreak!G:G,"",0),0)</f>
        <v>14:30 - 14:45</v>
      </c>
      <c r="K441" s="310">
        <f t="shared" si="4"/>
        <v>46116</v>
      </c>
      <c r="L441" s="317">
        <f t="array" ref="L441">(XLOOKUP(D441,Roster!F:F,Roster!D:D,"",0))</f>
        <v>13</v>
      </c>
      <c r="M441" s="317" t="str">
        <f t="array" ref="M441">XLOOKUP(D441,Roster!F:F,Roster!E:E)</f>
        <v>Voice</v>
      </c>
      <c r="N441" s="317" t="str">
        <f t="shared" ref="N441:P441" si="452">LEFT(H441,5)</f>
        <v>09:15</v>
      </c>
      <c r="O441" s="317" t="str">
        <f t="shared" si="452"/>
        <v>11:30</v>
      </c>
      <c r="P441" s="317" t="str">
        <f t="shared" si="452"/>
        <v>14:30</v>
      </c>
      <c r="Q441" s="318">
        <f t="shared" si="382"/>
        <v>46116.38542</v>
      </c>
      <c r="R441" s="318">
        <f t="shared" si="383"/>
        <v>46116.47917</v>
      </c>
      <c r="S441" s="318">
        <f t="shared" si="8"/>
        <v>46116.60417</v>
      </c>
    </row>
    <row r="442">
      <c r="A442" s="14" t="str">
        <f t="shared" si="1"/>
        <v>C153546116</v>
      </c>
      <c r="B442" s="185">
        <f t="array" ref="B442">IF(F442="VL","",IF(F442="Free","Free",XLOOKUP(D442,Roster!T:T,Roster!S:S,"",0)))</f>
        <v>154</v>
      </c>
      <c r="C442" s="313">
        <v>46116.0</v>
      </c>
      <c r="D442" s="314" t="s">
        <v>20</v>
      </c>
      <c r="E442" s="307" t="str">
        <f t="array" ref="E442">(XLOOKUP(D442,Roster!F:F,Roster!B:B,"",0))</f>
        <v>Carlos Alzate</v>
      </c>
      <c r="F442" s="315" t="str">
        <f t="array" ref="F442">IF(B442=100,"Free",TEXT(XLOOKUP($D442,OperationVoice!$A:$A,OperationVoice!J:J,XLOOKUP($D442,OperationTickets!$A:$A,OperationTickets!J:J,"",0)),"hh:mm"))</f>
        <v>11:00</v>
      </c>
      <c r="G442" s="309">
        <f t="shared" si="3"/>
        <v>0.8333333333</v>
      </c>
      <c r="H442" s="316" t="str">
        <f t="array" ref="H442">XLOOKUP(B442,Roster!L:L,Roster!N:N,XLOOKUP(D442,TicketsBreak!A:A,TicketsBreak!E:E,"",0),0)</f>
        <v>13:00 - 13:15</v>
      </c>
      <c r="I442" s="316" t="str">
        <f t="array" ref="I442">XLOOKUP(B442,Roster!L:L,Roster!O:O,XLOOKUP(D442,TicketsBreak!A:A,TicketsBreak!F:F,"",0),0)</f>
        <v>15:15 - 15:45</v>
      </c>
      <c r="J442" s="316" t="str">
        <f t="array" ref="J442">XLOOKUP(B442,Roster!L:L,Roster!P:P,XLOOKUP(D442,TicketsBreak!A:A,TicketsBreak!G:G,"",0),0)</f>
        <v>18:00 - 18:15</v>
      </c>
      <c r="K442" s="310">
        <f t="shared" si="4"/>
        <v>46116</v>
      </c>
      <c r="L442" s="317">
        <f t="array" ref="L442">(XLOOKUP(D442,Roster!F:F,Roster!D:D,"",0))</f>
        <v>36</v>
      </c>
      <c r="M442" s="317" t="str">
        <f t="array" ref="M442">XLOOKUP(D442,Roster!F:F,Roster!E:E)</f>
        <v>Voice</v>
      </c>
      <c r="N442" s="317" t="str">
        <f t="shared" ref="N442:P442" si="453">LEFT(H442,5)</f>
        <v>13:00</v>
      </c>
      <c r="O442" s="317" t="str">
        <f t="shared" si="453"/>
        <v>15:15</v>
      </c>
      <c r="P442" s="317" t="str">
        <f t="shared" si="453"/>
        <v>18:00</v>
      </c>
      <c r="Q442" s="318">
        <f t="shared" si="382"/>
        <v>46116.54167</v>
      </c>
      <c r="R442" s="318">
        <f t="shared" si="383"/>
        <v>46116.63542</v>
      </c>
      <c r="S442" s="318">
        <f t="shared" si="8"/>
        <v>46116.75</v>
      </c>
    </row>
    <row r="443">
      <c r="A443" s="14" t="str">
        <f t="shared" si="1"/>
        <v>C153146116</v>
      </c>
      <c r="B443" s="185">
        <f t="array" ref="B443">IF(F443="VL","",IF(F443="Free","Free",XLOOKUP(D443,Roster!T:T,Roster!S:S,"",0)))</f>
        <v>123</v>
      </c>
      <c r="C443" s="313">
        <v>46116.0</v>
      </c>
      <c r="D443" s="314" t="s">
        <v>21</v>
      </c>
      <c r="E443" s="307" t="str">
        <f t="array" ref="E443">(XLOOKUP(D443,Roster!F:F,Roster!B:B,"",0))</f>
        <v>Carlos Palma</v>
      </c>
      <c r="F443" s="315" t="str">
        <f t="array" ref="F443">IF(B443=100,"Free",TEXT(XLOOKUP($D443,OperationVoice!$A:$A,OperationVoice!J:J,XLOOKUP($D443,OperationTickets!$A:$A,OperationTickets!J:J,"",0)),"hh:mm"))</f>
        <v>08:00</v>
      </c>
      <c r="G443" s="309">
        <f t="shared" si="3"/>
        <v>0.7083333333</v>
      </c>
      <c r="H443" s="316" t="str">
        <f t="array" ref="H443">XLOOKUP(B443,Roster!L:L,Roster!N:N,XLOOKUP(D443,TicketsBreak!A:A,TicketsBreak!E:E,"",0),0)</f>
        <v>09:45 - 10:00 </v>
      </c>
      <c r="I443" s="316" t="str">
        <f t="array" ref="I443">XLOOKUP(B443,Roster!L:L,Roster!O:O,XLOOKUP(D443,TicketsBreak!A:A,TicketsBreak!F:F,"",0),0)</f>
        <v>12:30 - 13:00</v>
      </c>
      <c r="J443" s="316" t="str">
        <f t="array" ref="J443">XLOOKUP(B443,Roster!L:L,Roster!P:P,XLOOKUP(D443,TicketsBreak!A:A,TicketsBreak!G:G,"",0),0)</f>
        <v>15:00 - 15:15</v>
      </c>
      <c r="K443" s="310">
        <f t="shared" si="4"/>
        <v>46116</v>
      </c>
      <c r="L443" s="317">
        <f t="array" ref="L443">(XLOOKUP(D443,Roster!F:F,Roster!D:D,"",0))</f>
        <v>36</v>
      </c>
      <c r="M443" s="317" t="str">
        <f t="array" ref="M443">XLOOKUP(D443,Roster!F:F,Roster!E:E)</f>
        <v>Voice</v>
      </c>
      <c r="N443" s="317" t="str">
        <f t="shared" ref="N443:P443" si="454">LEFT(H443,5)</f>
        <v>09:45</v>
      </c>
      <c r="O443" s="317" t="str">
        <f t="shared" si="454"/>
        <v>12:30</v>
      </c>
      <c r="P443" s="317" t="str">
        <f t="shared" si="454"/>
        <v>15:00</v>
      </c>
      <c r="Q443" s="318">
        <f t="shared" si="382"/>
        <v>46116.40625</v>
      </c>
      <c r="R443" s="318">
        <f t="shared" si="383"/>
        <v>46116.52083</v>
      </c>
      <c r="S443" s="318">
        <f t="shared" si="8"/>
        <v>46116.625</v>
      </c>
    </row>
    <row r="444">
      <c r="A444" s="14" t="str">
        <f t="shared" si="1"/>
        <v>C157646116</v>
      </c>
      <c r="B444" s="185" t="str">
        <f t="array" ref="B444">IF(F444="VL","",IF(F444="Free","Free",XLOOKUP(D444,Roster!T:T,Roster!S:S,"",0)))</f>
        <v/>
      </c>
      <c r="C444" s="313">
        <v>46116.0</v>
      </c>
      <c r="D444" s="314" t="s">
        <v>313</v>
      </c>
      <c r="E444" s="307" t="str">
        <f t="array" ref="E444">(XLOOKUP(D444,Roster!F:F,Roster!B:B,"",0))</f>
        <v>Carlos Ruiz</v>
      </c>
      <c r="F444" s="315" t="str">
        <f t="array" ref="F444">IF(B444=100,"Free",TEXT(XLOOKUP($D444,OperationVoice!$A:$A,OperationVoice!J:J,XLOOKUP($D444,OperationTickets!$A:$A,OperationTickets!J:J,"",0)),"hh:mm"))</f>
        <v/>
      </c>
      <c r="G444" s="309" t="str">
        <f t="shared" si="3"/>
        <v/>
      </c>
      <c r="H444" s="316" t="str">
        <f t="array" ref="H444">XLOOKUP(B444,Roster!L:L,Roster!N:N,XLOOKUP(D444,TicketsBreak!A:A,TicketsBreak!E:E,"",0),0)</f>
        <v/>
      </c>
      <c r="I444" s="316" t="str">
        <f t="array" ref="I444">XLOOKUP(B444,Roster!L:L,Roster!O:O,XLOOKUP(D444,TicketsBreak!A:A,TicketsBreak!F:F,"",0),0)</f>
        <v/>
      </c>
      <c r="J444" s="316" t="str">
        <f t="array" ref="J444">XLOOKUP(B444,Roster!L:L,Roster!P:P,XLOOKUP(D444,TicketsBreak!A:A,TicketsBreak!G:G,"",0),0)</f>
        <v/>
      </c>
      <c r="K444" s="310">
        <f t="shared" si="4"/>
        <v>46116</v>
      </c>
      <c r="L444" s="317">
        <f t="array" ref="L444">(XLOOKUP(D444,Roster!F:F,Roster!D:D,"",0))</f>
        <v>38</v>
      </c>
      <c r="M444" s="317" t="str">
        <f t="array" ref="M444">XLOOKUP(D444,Roster!F:F,Roster!E:E)</f>
        <v>Nesting</v>
      </c>
      <c r="N444" s="317" t="str">
        <f t="shared" ref="N444:P444" si="455">LEFT(H444,5)</f>
        <v/>
      </c>
      <c r="O444" s="317" t="str">
        <f t="shared" si="455"/>
        <v/>
      </c>
      <c r="P444" s="317" t="str">
        <f t="shared" si="455"/>
        <v/>
      </c>
      <c r="Q444" s="318" t="str">
        <f t="shared" si="382"/>
        <v/>
      </c>
      <c r="R444" s="318" t="str">
        <f t="shared" si="383"/>
        <v/>
      </c>
      <c r="S444" s="318" t="str">
        <f t="shared" si="8"/>
        <v/>
      </c>
    </row>
    <row r="445">
      <c r="A445" s="14" t="str">
        <f t="shared" si="1"/>
        <v>C47946116</v>
      </c>
      <c r="B445" s="185" t="str">
        <f t="array" ref="B445">IF(F445="VL","",IF(F445="Free","Free",XLOOKUP(D445,Roster!T:T,Roster!S:S,"",0)))</f>
        <v/>
      </c>
      <c r="C445" s="313">
        <v>46116.0</v>
      </c>
      <c r="D445" s="314" t="s">
        <v>173</v>
      </c>
      <c r="E445" s="307" t="str">
        <f t="array" ref="E445">(XLOOKUP(D445,Roster!F:F,Roster!B:B,"",0))</f>
        <v>Carmen Grajales</v>
      </c>
      <c r="F445" s="315" t="str">
        <f t="array" ref="F445">IF(B445=100,"Free",TEXT(XLOOKUP($D445,OperationVoice!$A:$A,OperationVoice!J:J,XLOOKUP($D445,OperationTickets!$A:$A,OperationTickets!J:J,"",0)),"hh:mm"))</f>
        <v>08:00</v>
      </c>
      <c r="G445" s="309">
        <f t="shared" si="3"/>
        <v>0.7083333333</v>
      </c>
      <c r="H445" s="316">
        <f t="array" ref="H445">XLOOKUP(B445,Roster!L:L,Roster!N:N,XLOOKUP(D445,TicketsBreak!A:A,TicketsBreak!E:E,"",0),0)</f>
        <v>0.4270833333</v>
      </c>
      <c r="I445" s="316">
        <f t="array" ref="I445">XLOOKUP(B445,Roster!L:L,Roster!O:O,XLOOKUP(D445,TicketsBreak!A:A,TicketsBreak!F:F,"",0),0)</f>
        <v>0.53125</v>
      </c>
      <c r="J445" s="316">
        <f t="array" ref="J445">XLOOKUP(B445,Roster!L:L,Roster!P:P,XLOOKUP(D445,TicketsBreak!A:A,TicketsBreak!G:G,"",0),0)</f>
        <v>0.65625</v>
      </c>
      <c r="K445" s="310">
        <f t="shared" si="4"/>
        <v>46116</v>
      </c>
      <c r="L445" s="317">
        <f t="array" ref="L445">(XLOOKUP(D445,Roster!F:F,Roster!D:D,"",0))</f>
        <v>2</v>
      </c>
      <c r="M445" s="317" t="str">
        <f t="array" ref="M445">XLOOKUP(D445,Roster!F:F,Roster!E:E)</f>
        <v>Tickets</v>
      </c>
      <c r="N445" s="317" t="str">
        <f t="shared" ref="N445:P445" si="456">LEFT(H445,5)</f>
        <v>10:15</v>
      </c>
      <c r="O445" s="317" t="str">
        <f t="shared" si="456"/>
        <v>12:45</v>
      </c>
      <c r="P445" s="317" t="str">
        <f t="shared" si="456"/>
        <v>15:45</v>
      </c>
      <c r="Q445" s="318">
        <f t="shared" si="382"/>
        <v>46116.42708</v>
      </c>
      <c r="R445" s="318">
        <f t="shared" si="383"/>
        <v>46116.53125</v>
      </c>
      <c r="S445" s="318">
        <f t="shared" si="8"/>
        <v>46116.65625</v>
      </c>
    </row>
    <row r="446">
      <c r="A446" s="14" t="str">
        <f t="shared" si="1"/>
        <v>C68746116</v>
      </c>
      <c r="B446" s="185" t="str">
        <f t="array" ref="B446">IF(F446="VL","",IF(F446="Free","Free",XLOOKUP(D446,Roster!T:T,Roster!S:S,"",0)))</f>
        <v>Free</v>
      </c>
      <c r="C446" s="313">
        <v>46116.0</v>
      </c>
      <c r="D446" s="314" t="s">
        <v>22</v>
      </c>
      <c r="E446" s="307" t="str">
        <f t="array" ref="E446">(XLOOKUP(D446,Roster!F:F,Roster!B:B,"",0))</f>
        <v>Carolina Rios</v>
      </c>
      <c r="F446" s="315" t="str">
        <f t="array" ref="F446">IF(B446=100,"Free",TEXT(XLOOKUP($D446,OperationVoice!$A:$A,OperationVoice!J:J,XLOOKUP($D446,OperationTickets!$A:$A,OperationTickets!J:J,"",0)),"hh:mm"))</f>
        <v>Free</v>
      </c>
      <c r="G446" s="309" t="str">
        <f t="shared" si="3"/>
        <v>Free</v>
      </c>
      <c r="H446" s="316" t="str">
        <f t="array" ref="H446">XLOOKUP(B446,Roster!L:L,Roster!N:N,XLOOKUP(D446,TicketsBreak!A:A,TicketsBreak!E:E,"",0),0)</f>
        <v/>
      </c>
      <c r="I446" s="316" t="str">
        <f t="array" ref="I446">XLOOKUP(B446,Roster!L:L,Roster!O:O,XLOOKUP(D446,TicketsBreak!A:A,TicketsBreak!F:F,"",0),0)</f>
        <v/>
      </c>
      <c r="J446" s="316" t="str">
        <f t="array" ref="J446">XLOOKUP(B446,Roster!L:L,Roster!P:P,XLOOKUP(D446,TicketsBreak!A:A,TicketsBreak!G:G,"",0),0)</f>
        <v/>
      </c>
      <c r="K446" s="310">
        <f t="shared" si="4"/>
        <v>46116</v>
      </c>
      <c r="L446" s="317">
        <f t="array" ref="L446">(XLOOKUP(D446,Roster!F:F,Roster!D:D,"",0))</f>
        <v>5</v>
      </c>
      <c r="M446" s="317" t="str">
        <f t="array" ref="M446">XLOOKUP(D446,Roster!F:F,Roster!E:E)</f>
        <v>Voice</v>
      </c>
      <c r="N446" s="317" t="str">
        <f t="shared" ref="N446:P446" si="457">LEFT(H446,5)</f>
        <v/>
      </c>
      <c r="O446" s="317" t="str">
        <f t="shared" si="457"/>
        <v/>
      </c>
      <c r="P446" s="317" t="str">
        <f t="shared" si="457"/>
        <v/>
      </c>
      <c r="Q446" s="318" t="str">
        <f t="shared" si="382"/>
        <v/>
      </c>
      <c r="R446" s="318" t="str">
        <f t="shared" si="383"/>
        <v/>
      </c>
      <c r="S446" s="318" t="str">
        <f t="shared" si="8"/>
        <v/>
      </c>
    </row>
    <row r="447">
      <c r="A447" s="14" t="str">
        <f t="shared" si="1"/>
        <v>C152846116</v>
      </c>
      <c r="B447" s="185" t="str">
        <f t="array" ref="B447">IF(F447="VL","",IF(F447="Free","Free",XLOOKUP(D447,Roster!T:T,Roster!S:S,"",0)))</f>
        <v>Free</v>
      </c>
      <c r="C447" s="313">
        <v>46116.0</v>
      </c>
      <c r="D447" s="314" t="s">
        <v>23</v>
      </c>
      <c r="E447" s="307" t="str">
        <f t="array" ref="E447">(XLOOKUP(D447,Roster!F:F,Roster!B:B,"",0))</f>
        <v>Christian Ramirez</v>
      </c>
      <c r="F447" s="315" t="str">
        <f t="array" ref="F447">IF(B447=100,"Free",TEXT(XLOOKUP($D447,OperationVoice!$A:$A,OperationVoice!J:J,XLOOKUP($D447,OperationTickets!$A:$A,OperationTickets!J:J,"",0)),"hh:mm"))</f>
        <v>Free</v>
      </c>
      <c r="G447" s="309" t="str">
        <f t="shared" si="3"/>
        <v>Free</v>
      </c>
      <c r="H447" s="316" t="str">
        <f t="array" ref="H447">XLOOKUP(B447,Roster!L:L,Roster!N:N,XLOOKUP(D447,TicketsBreak!A:A,TicketsBreak!E:E,"",0),0)</f>
        <v/>
      </c>
      <c r="I447" s="316" t="str">
        <f t="array" ref="I447">XLOOKUP(B447,Roster!L:L,Roster!O:O,XLOOKUP(D447,TicketsBreak!A:A,TicketsBreak!F:F,"",0),0)</f>
        <v/>
      </c>
      <c r="J447" s="316" t="str">
        <f t="array" ref="J447">XLOOKUP(B447,Roster!L:L,Roster!P:P,XLOOKUP(D447,TicketsBreak!A:A,TicketsBreak!G:G,"",0),0)</f>
        <v/>
      </c>
      <c r="K447" s="310">
        <f t="shared" si="4"/>
        <v>46116</v>
      </c>
      <c r="L447" s="317">
        <f t="array" ref="L447">(XLOOKUP(D447,Roster!F:F,Roster!D:D,"",0))</f>
        <v>36</v>
      </c>
      <c r="M447" s="317" t="str">
        <f t="array" ref="M447">XLOOKUP(D447,Roster!F:F,Roster!E:E)</f>
        <v>Voice</v>
      </c>
      <c r="N447" s="317" t="str">
        <f t="shared" ref="N447:P447" si="458">LEFT(H447,5)</f>
        <v/>
      </c>
      <c r="O447" s="317" t="str">
        <f t="shared" si="458"/>
        <v/>
      </c>
      <c r="P447" s="317" t="str">
        <f t="shared" si="458"/>
        <v/>
      </c>
      <c r="Q447" s="318" t="str">
        <f t="shared" si="382"/>
        <v/>
      </c>
      <c r="R447" s="318" t="str">
        <f t="shared" si="383"/>
        <v/>
      </c>
      <c r="S447" s="318" t="str">
        <f t="shared" si="8"/>
        <v/>
      </c>
    </row>
    <row r="448">
      <c r="A448" s="14" t="str">
        <f t="shared" si="1"/>
        <v>C132546116</v>
      </c>
      <c r="B448" s="185">
        <f t="array" ref="B448">IF(F448="VL","",IF(F448="Free","Free",XLOOKUP(D448,Roster!T:T,Roster!S:S,"",0)))</f>
        <v>123</v>
      </c>
      <c r="C448" s="313">
        <v>46116.0</v>
      </c>
      <c r="D448" s="314" t="s">
        <v>174</v>
      </c>
      <c r="E448" s="307" t="str">
        <f t="array" ref="E448">(XLOOKUP(D448,Roster!F:F,Roster!B:B,"",0))</f>
        <v>Cristian Ferreira</v>
      </c>
      <c r="F448" s="315" t="str">
        <f t="array" ref="F448">IF(B448=100,"Free",TEXT(XLOOKUP($D448,OperationVoice!$A:$A,OperationVoice!J:J,XLOOKUP($D448,OperationTickets!$A:$A,OperationTickets!J:J,"",0)),"hh:mm"))</f>
        <v>08:00</v>
      </c>
      <c r="G448" s="309">
        <f t="shared" si="3"/>
        <v>0.7083333333</v>
      </c>
      <c r="H448" s="316" t="str">
        <f t="array" ref="H448">XLOOKUP(B448,Roster!L:L,Roster!N:N,XLOOKUP(D448,TicketsBreak!A:A,TicketsBreak!E:E,"",0),0)</f>
        <v>09:45 - 10:00 </v>
      </c>
      <c r="I448" s="316" t="str">
        <f t="array" ref="I448">XLOOKUP(B448,Roster!L:L,Roster!O:O,XLOOKUP(D448,TicketsBreak!A:A,TicketsBreak!F:F,"",0),0)</f>
        <v>12:30 - 13:00</v>
      </c>
      <c r="J448" s="316" t="str">
        <f t="array" ref="J448">XLOOKUP(B448,Roster!L:L,Roster!P:P,XLOOKUP(D448,TicketsBreak!A:A,TicketsBreak!G:G,"",0),0)</f>
        <v>15:00 - 15:15</v>
      </c>
      <c r="K448" s="310">
        <f t="shared" si="4"/>
        <v>46116</v>
      </c>
      <c r="L448" s="317">
        <f t="array" ref="L448">(XLOOKUP(D448,Roster!F:F,Roster!D:D,"",0))</f>
        <v>29</v>
      </c>
      <c r="M448" s="317" t="str">
        <f t="array" ref="M448">XLOOKUP(D448,Roster!F:F,Roster!E:E)</f>
        <v>Tickets</v>
      </c>
      <c r="N448" s="317" t="str">
        <f t="shared" ref="N448:P448" si="459">LEFT(H448,5)</f>
        <v>09:45</v>
      </c>
      <c r="O448" s="317" t="str">
        <f t="shared" si="459"/>
        <v>12:30</v>
      </c>
      <c r="P448" s="317" t="str">
        <f t="shared" si="459"/>
        <v>15:00</v>
      </c>
      <c r="Q448" s="318">
        <f t="shared" si="382"/>
        <v>46116.40625</v>
      </c>
      <c r="R448" s="318">
        <f t="shared" si="383"/>
        <v>46116.52083</v>
      </c>
      <c r="S448" s="318">
        <f t="shared" si="8"/>
        <v>46116.625</v>
      </c>
    </row>
    <row r="449">
      <c r="A449" s="14" t="str">
        <f t="shared" si="1"/>
        <v>C151046116</v>
      </c>
      <c r="B449" s="185">
        <f t="array" ref="B449">IF(F449="VL","",IF(F449="Free","Free",XLOOKUP(D449,Roster!T:T,Roster!S:S,"",0)))</f>
        <v>121</v>
      </c>
      <c r="C449" s="313">
        <v>46116.0</v>
      </c>
      <c r="D449" s="314" t="s">
        <v>24</v>
      </c>
      <c r="E449" s="307" t="str">
        <f t="array" ref="E449">(XLOOKUP(D449,Roster!F:F,Roster!B:B,"",0))</f>
        <v>Cristian Gomez</v>
      </c>
      <c r="F449" s="315" t="str">
        <f t="array" ref="F449">IF(B449=100,"Free",TEXT(XLOOKUP($D449,OperationVoice!$A:$A,OperationVoice!J:J,XLOOKUP($D449,OperationTickets!$A:$A,OperationTickets!J:J,"",0)),"hh:mm"))</f>
        <v>08:00</v>
      </c>
      <c r="G449" s="309">
        <f t="shared" si="3"/>
        <v>0.7083333333</v>
      </c>
      <c r="H449" s="316" t="str">
        <f t="array" ref="H449">XLOOKUP(B449,Roster!L:L,Roster!N:N,XLOOKUP(D449,TicketsBreak!A:A,TicketsBreak!E:E,"",0),0)</f>
        <v>09:15 - 09:30</v>
      </c>
      <c r="I449" s="316" t="str">
        <f t="array" ref="I449">XLOOKUP(B449,Roster!L:L,Roster!O:O,XLOOKUP(D449,TicketsBreak!A:A,TicketsBreak!F:F,"",0),0)</f>
        <v>11:30 - 12:00</v>
      </c>
      <c r="J449" s="316" t="str">
        <f t="array" ref="J449">XLOOKUP(B449,Roster!L:L,Roster!P:P,XLOOKUP(D449,TicketsBreak!A:A,TicketsBreak!G:G,"",0),0)</f>
        <v>14:30 - 14:45</v>
      </c>
      <c r="K449" s="310">
        <f t="shared" si="4"/>
        <v>46116</v>
      </c>
      <c r="L449" s="317">
        <f t="array" ref="L449">(XLOOKUP(D449,Roster!F:F,Roster!D:D,"",0))</f>
        <v>35</v>
      </c>
      <c r="M449" s="317" t="str">
        <f t="array" ref="M449">XLOOKUP(D449,Roster!F:F,Roster!E:E)</f>
        <v>Voice</v>
      </c>
      <c r="N449" s="317" t="str">
        <f t="shared" ref="N449:P449" si="460">LEFT(H449,5)</f>
        <v>09:15</v>
      </c>
      <c r="O449" s="317" t="str">
        <f t="shared" si="460"/>
        <v>11:30</v>
      </c>
      <c r="P449" s="317" t="str">
        <f t="shared" si="460"/>
        <v>14:30</v>
      </c>
      <c r="Q449" s="318">
        <f t="shared" si="382"/>
        <v>46116.38542</v>
      </c>
      <c r="R449" s="318">
        <f t="shared" si="383"/>
        <v>46116.47917</v>
      </c>
      <c r="S449" s="318">
        <f t="shared" si="8"/>
        <v>46116.60417</v>
      </c>
    </row>
    <row r="450">
      <c r="A450" s="14" t="str">
        <f t="shared" si="1"/>
        <v>C67346116</v>
      </c>
      <c r="B450" s="185" t="str">
        <f t="array" ref="B450">IF(F450="VL","",IF(F450="Free","Free",XLOOKUP(D450,Roster!T:T,Roster!S:S,"",0)))</f>
        <v/>
      </c>
      <c r="C450" s="313">
        <v>46116.0</v>
      </c>
      <c r="D450" s="314" t="s">
        <v>156</v>
      </c>
      <c r="E450" s="307" t="str">
        <f t="array" ref="E450">(XLOOKUP(D450,Roster!F:F,Roster!B:B,"",0))</f>
        <v>Dahiana Cano</v>
      </c>
      <c r="F450" s="315" t="str">
        <f t="array" ref="F450">IF(B450=100,"Free",TEXT(XLOOKUP($D450,OperationVoice!$A:$A,OperationVoice!J:J,XLOOKUP($D450,OperationTickets!$A:$A,OperationTickets!J:J,"",0)),"hh:mm"))</f>
        <v>08:00</v>
      </c>
      <c r="G450" s="309">
        <f t="shared" si="3"/>
        <v>0.7083333333</v>
      </c>
      <c r="H450" s="316">
        <f t="array" ref="H450">XLOOKUP(B450,Roster!L:L,Roster!N:N,XLOOKUP(D450,TicketsBreak!A:A,TicketsBreak!E:E,"",0),0)</f>
        <v>0.4583333333</v>
      </c>
      <c r="I450" s="316">
        <f t="array" ref="I450">XLOOKUP(B450,Roster!L:L,Roster!O:O,XLOOKUP(D450,TicketsBreak!A:A,TicketsBreak!F:F,"",0),0)</f>
        <v>0.5833333333</v>
      </c>
      <c r="J450" s="316">
        <f t="array" ref="J450">XLOOKUP(B450,Roster!L:L,Roster!P:P,XLOOKUP(D450,TicketsBreak!A:A,TicketsBreak!G:G,"",0),0)</f>
        <v>0.65625</v>
      </c>
      <c r="K450" s="310">
        <f t="shared" si="4"/>
        <v>46116</v>
      </c>
      <c r="L450" s="317">
        <f t="array" ref="L450">(XLOOKUP(D450,Roster!F:F,Roster!D:D,"",0))</f>
        <v>4</v>
      </c>
      <c r="M450" s="317" t="str">
        <f t="array" ref="M450">XLOOKUP(D450,Roster!F:F,Roster!E:E)</f>
        <v>Tickets</v>
      </c>
      <c r="N450" s="317" t="str">
        <f t="shared" ref="N450:P450" si="461">LEFT(H450,5)</f>
        <v>11:00</v>
      </c>
      <c r="O450" s="317" t="str">
        <f t="shared" si="461"/>
        <v>14:00</v>
      </c>
      <c r="P450" s="317" t="str">
        <f t="shared" si="461"/>
        <v>15:45</v>
      </c>
      <c r="Q450" s="318">
        <f t="shared" si="382"/>
        <v>46116.45833</v>
      </c>
      <c r="R450" s="318">
        <f t="shared" si="383"/>
        <v>46116.58333</v>
      </c>
      <c r="S450" s="318">
        <f t="shared" si="8"/>
        <v>46116.65625</v>
      </c>
    </row>
    <row r="451">
      <c r="A451" s="14" t="str">
        <f t="shared" si="1"/>
        <v>C152946116</v>
      </c>
      <c r="B451" s="185" t="str">
        <f t="array" ref="B451">IF(F451="VL","",IF(F451="Free","Free",XLOOKUP(D451,Roster!T:T,Roster!S:S,"",0)))</f>
        <v>Free</v>
      </c>
      <c r="C451" s="313">
        <v>46116.0</v>
      </c>
      <c r="D451" s="314" t="s">
        <v>25</v>
      </c>
      <c r="E451" s="307" t="str">
        <f t="array" ref="E451">(XLOOKUP(D451,Roster!F:F,Roster!B:B,"",0))</f>
        <v>Daniel Barrientos</v>
      </c>
      <c r="F451" s="315" t="str">
        <f t="array" ref="F451">IF(B451=100,"Free",TEXT(XLOOKUP($D451,OperationVoice!$A:$A,OperationVoice!J:J,XLOOKUP($D451,OperationTickets!$A:$A,OperationTickets!J:J,"",0)),"hh:mm"))</f>
        <v>Free</v>
      </c>
      <c r="G451" s="309" t="str">
        <f t="shared" si="3"/>
        <v>Free</v>
      </c>
      <c r="H451" s="316" t="str">
        <f t="array" ref="H451">XLOOKUP(B451,Roster!L:L,Roster!N:N,XLOOKUP(D451,TicketsBreak!A:A,TicketsBreak!E:E,"",0),0)</f>
        <v/>
      </c>
      <c r="I451" s="316" t="str">
        <f t="array" ref="I451">XLOOKUP(B451,Roster!L:L,Roster!O:O,XLOOKUP(D451,TicketsBreak!A:A,TicketsBreak!F:F,"",0),0)</f>
        <v/>
      </c>
      <c r="J451" s="316" t="str">
        <f t="array" ref="J451">XLOOKUP(B451,Roster!L:L,Roster!P:P,XLOOKUP(D451,TicketsBreak!A:A,TicketsBreak!G:G,"",0),0)</f>
        <v/>
      </c>
      <c r="K451" s="310">
        <f t="shared" si="4"/>
        <v>46116</v>
      </c>
      <c r="L451" s="317">
        <f t="array" ref="L451">(XLOOKUP(D451,Roster!F:F,Roster!D:D,"",0))</f>
        <v>36</v>
      </c>
      <c r="M451" s="317" t="str">
        <f t="array" ref="M451">XLOOKUP(D451,Roster!F:F,Roster!E:E)</f>
        <v>Voice</v>
      </c>
      <c r="N451" s="317" t="str">
        <f t="shared" ref="N451:P451" si="462">LEFT(H451,5)</f>
        <v/>
      </c>
      <c r="O451" s="317" t="str">
        <f t="shared" si="462"/>
        <v/>
      </c>
      <c r="P451" s="317" t="str">
        <f t="shared" si="462"/>
        <v/>
      </c>
      <c r="Q451" s="318" t="str">
        <f t="shared" si="382"/>
        <v/>
      </c>
      <c r="R451" s="318" t="str">
        <f t="shared" si="383"/>
        <v/>
      </c>
      <c r="S451" s="318" t="str">
        <f t="shared" si="8"/>
        <v/>
      </c>
    </row>
    <row r="452">
      <c r="A452" s="14" t="str">
        <f t="shared" si="1"/>
        <v>C106446116</v>
      </c>
      <c r="B452" s="185" t="str">
        <f t="array" ref="B452">IF(F452="VL","",IF(F452="Free","Free",XLOOKUP(D452,Roster!T:T,Roster!S:S,"",0)))</f>
        <v/>
      </c>
      <c r="C452" s="313">
        <v>46116.0</v>
      </c>
      <c r="D452" s="314" t="s">
        <v>175</v>
      </c>
      <c r="E452" s="307" t="str">
        <f t="array" ref="E452">(XLOOKUP(D452,Roster!F:F,Roster!B:B,"",0))</f>
        <v>Daniel Urrego</v>
      </c>
      <c r="F452" s="315" t="str">
        <f t="array" ref="F452">IF(B452=100,"Free",TEXT(XLOOKUP($D452,OperationVoice!$A:$A,OperationVoice!J:J,XLOOKUP($D452,OperationTickets!$A:$A,OperationTickets!J:J,"",0)),"hh:mm"))</f>
        <v>08:00</v>
      </c>
      <c r="G452" s="309">
        <f t="shared" si="3"/>
        <v>0.7083333333</v>
      </c>
      <c r="H452" s="316" t="str">
        <f t="array" ref="H452">XLOOKUP(B452,Roster!L:L,Roster!N:N,XLOOKUP(D452,TicketsBreak!A:A,TicketsBreak!E:E,"",0),0)</f>
        <v/>
      </c>
      <c r="I452" s="316" t="str">
        <f t="array" ref="I452">XLOOKUP(B452,Roster!L:L,Roster!O:O,XLOOKUP(D452,TicketsBreak!A:A,TicketsBreak!F:F,"",0),0)</f>
        <v/>
      </c>
      <c r="J452" s="316" t="str">
        <f t="array" ref="J452">XLOOKUP(B452,Roster!L:L,Roster!P:P,XLOOKUP(D452,TicketsBreak!A:A,TicketsBreak!G:G,"",0),0)</f>
        <v/>
      </c>
      <c r="K452" s="310">
        <f t="shared" si="4"/>
        <v>46116</v>
      </c>
      <c r="L452" s="317">
        <f t="array" ref="L452">(XLOOKUP(D452,Roster!F:F,Roster!D:D,"",0))</f>
        <v>17</v>
      </c>
      <c r="M452" s="317" t="str">
        <f t="array" ref="M452">XLOOKUP(D452,Roster!F:F,Roster!E:E)</f>
        <v>Tickets</v>
      </c>
      <c r="N452" s="317" t="str">
        <f t="shared" ref="N452:P452" si="463">LEFT(H452,5)</f>
        <v/>
      </c>
      <c r="O452" s="317" t="str">
        <f t="shared" si="463"/>
        <v/>
      </c>
      <c r="P452" s="317" t="str">
        <f t="shared" si="463"/>
        <v/>
      </c>
      <c r="Q452" s="318" t="str">
        <f t="shared" si="382"/>
        <v/>
      </c>
      <c r="R452" s="318" t="str">
        <f t="shared" si="383"/>
        <v/>
      </c>
      <c r="S452" s="318" t="str">
        <f t="shared" si="8"/>
        <v/>
      </c>
    </row>
    <row r="453">
      <c r="A453" s="14" t="str">
        <f t="shared" si="1"/>
        <v>C151346116</v>
      </c>
      <c r="B453" s="185">
        <f t="array" ref="B453">IF(F453="VL","",IF(F453="Free","Free",XLOOKUP(D453,Roster!T:T,Roster!S:S,"",0)))</f>
        <v>126</v>
      </c>
      <c r="C453" s="313">
        <v>46116.0</v>
      </c>
      <c r="D453" s="314" t="s">
        <v>26</v>
      </c>
      <c r="E453" s="307" t="str">
        <f t="array" ref="E453">(XLOOKUP(D453,Roster!F:F,Roster!B:B,"",0))</f>
        <v>David Patino</v>
      </c>
      <c r="F453" s="315" t="str">
        <f t="array" ref="F453">IF(B453=100,"Free",TEXT(XLOOKUP($D453,OperationVoice!$A:$A,OperationVoice!J:J,XLOOKUP($D453,OperationTickets!$A:$A,OperationTickets!J:J,"",0)),"hh:mm"))</f>
        <v>08:00</v>
      </c>
      <c r="G453" s="309">
        <f t="shared" si="3"/>
        <v>0.7083333333</v>
      </c>
      <c r="H453" s="316" t="str">
        <f t="array" ref="H453">XLOOKUP(B453,Roster!L:L,Roster!N:N,XLOOKUP(D453,TicketsBreak!A:A,TicketsBreak!E:E,"",0),0)</f>
        <v>10:45 - 11:00</v>
      </c>
      <c r="I453" s="316" t="str">
        <f t="array" ref="I453">XLOOKUP(B453,Roster!L:L,Roster!O:O,XLOOKUP(D453,TicketsBreak!A:A,TicketsBreak!F:F,"",0),0)</f>
        <v>14:00 - 14:30</v>
      </c>
      <c r="J453" s="316" t="str">
        <f t="array" ref="J453">XLOOKUP(B453,Roster!L:L,Roster!P:P,XLOOKUP(D453,TicketsBreak!A:A,TicketsBreak!G:G,"",0),0)</f>
        <v>15:45 - 16:00</v>
      </c>
      <c r="K453" s="310">
        <f t="shared" si="4"/>
        <v>46116</v>
      </c>
      <c r="L453" s="317">
        <f t="array" ref="L453">(XLOOKUP(D453,Roster!F:F,Roster!D:D,"",0))</f>
        <v>35</v>
      </c>
      <c r="M453" s="317" t="str">
        <f t="array" ref="M453">XLOOKUP(D453,Roster!F:F,Roster!E:E)</f>
        <v>Voice</v>
      </c>
      <c r="N453" s="317" t="str">
        <f t="shared" ref="N453:P453" si="464">LEFT(H453,5)</f>
        <v>10:45</v>
      </c>
      <c r="O453" s="317" t="str">
        <f t="shared" si="464"/>
        <v>14:00</v>
      </c>
      <c r="P453" s="317" t="str">
        <f t="shared" si="464"/>
        <v>15:45</v>
      </c>
      <c r="Q453" s="318">
        <f t="shared" si="382"/>
        <v>46116.44792</v>
      </c>
      <c r="R453" s="318">
        <f t="shared" si="383"/>
        <v>46116.58333</v>
      </c>
      <c r="S453" s="318">
        <f t="shared" si="8"/>
        <v>46116.65625</v>
      </c>
    </row>
    <row r="454">
      <c r="A454" s="14" t="str">
        <f t="shared" si="1"/>
        <v>C127746116</v>
      </c>
      <c r="B454" s="185">
        <f t="array" ref="B454">IF(F454="VL","",IF(F454="Free","Free",XLOOKUP(D454,Roster!T:T,Roster!S:S,"",0)))</f>
        <v>124</v>
      </c>
      <c r="C454" s="313">
        <v>46116.0</v>
      </c>
      <c r="D454" s="314" t="s">
        <v>27</v>
      </c>
      <c r="E454" s="307" t="str">
        <f t="array" ref="E454">(XLOOKUP(D454,Roster!F:F,Roster!B:B,"",0))</f>
        <v>Edwuin Martinez</v>
      </c>
      <c r="F454" s="315" t="str">
        <f t="array" ref="F454">IF(B454=100,"Free",TEXT(XLOOKUP($D454,OperationVoice!$A:$A,OperationVoice!J:J,XLOOKUP($D454,OperationTickets!$A:$A,OperationTickets!J:J,"",0)),"hh:mm"))</f>
        <v>08:00</v>
      </c>
      <c r="G454" s="309">
        <f t="shared" si="3"/>
        <v>0.7083333333</v>
      </c>
      <c r="H454" s="316" t="str">
        <f t="array" ref="H454">XLOOKUP(B454,Roster!L:L,Roster!N:N,XLOOKUP(D454,TicketsBreak!A:A,TicketsBreak!E:E,"",0),0)</f>
        <v>10:00 - 10:15</v>
      </c>
      <c r="I454" s="316" t="str">
        <f t="array" ref="I454">XLOOKUP(B454,Roster!L:L,Roster!O:O,XLOOKUP(D454,TicketsBreak!A:A,TicketsBreak!F:F,"",0),0)</f>
        <v>13:00 - 13:30</v>
      </c>
      <c r="J454" s="316" t="str">
        <f t="array" ref="J454">XLOOKUP(B454,Roster!L:L,Roster!P:P,XLOOKUP(D454,TicketsBreak!A:A,TicketsBreak!G:G,"",0),0)</f>
        <v>15:30 - 15:45</v>
      </c>
      <c r="K454" s="310">
        <f t="shared" si="4"/>
        <v>46116</v>
      </c>
      <c r="L454" s="317">
        <f t="array" ref="L454">(XLOOKUP(D454,Roster!F:F,Roster!D:D,"",0))</f>
        <v>27</v>
      </c>
      <c r="M454" s="317" t="str">
        <f t="array" ref="M454">XLOOKUP(D454,Roster!F:F,Roster!E:E)</f>
        <v>Voice</v>
      </c>
      <c r="N454" s="317" t="str">
        <f t="shared" ref="N454:P454" si="465">LEFT(H454,5)</f>
        <v>10:00</v>
      </c>
      <c r="O454" s="317" t="str">
        <f t="shared" si="465"/>
        <v>13:00</v>
      </c>
      <c r="P454" s="317" t="str">
        <f t="shared" si="465"/>
        <v>15:30</v>
      </c>
      <c r="Q454" s="318">
        <f t="shared" si="382"/>
        <v>46116.41667</v>
      </c>
      <c r="R454" s="318">
        <f t="shared" si="383"/>
        <v>46116.54167</v>
      </c>
      <c r="S454" s="318">
        <f t="shared" si="8"/>
        <v>46116.64583</v>
      </c>
    </row>
    <row r="455">
      <c r="A455" s="14" t="str">
        <f t="shared" si="1"/>
        <v>C121646116</v>
      </c>
      <c r="B455" s="185" t="str">
        <f t="array" ref="B455">IF(F455="VL","",IF(F455="Free","Free",XLOOKUP(D455,Roster!T:T,Roster!S:S,"",0)))</f>
        <v/>
      </c>
      <c r="C455" s="313">
        <v>46116.0</v>
      </c>
      <c r="D455" s="314" t="s">
        <v>134</v>
      </c>
      <c r="E455" s="307" t="str">
        <f t="array" ref="E455">(XLOOKUP(D455,Roster!F:F,Roster!B:B,"",0))</f>
        <v>Eliana Pena</v>
      </c>
      <c r="F455" s="315" t="str">
        <f t="array" ref="F455">IF(B455=100,"Free",TEXT(XLOOKUP($D455,OperationVoice!$A:$A,OperationVoice!J:J,XLOOKUP($D455,OperationTickets!$A:$A,OperationTickets!J:J,"",0)),"hh:mm"))</f>
        <v>08:00</v>
      </c>
      <c r="G455" s="309">
        <f t="shared" si="3"/>
        <v>0.7083333333</v>
      </c>
      <c r="H455" s="316">
        <f t="array" ref="H455">XLOOKUP(B455,Roster!L:L,Roster!N:N,XLOOKUP(D455,TicketsBreak!A:A,TicketsBreak!E:E,"",0),0)</f>
        <v>0.3958333333</v>
      </c>
      <c r="I455" s="316">
        <f t="array" ref="I455">XLOOKUP(B455,Roster!L:L,Roster!O:O,XLOOKUP(D455,TicketsBreak!A:A,TicketsBreak!F:F,"",0),0)</f>
        <v>0.5416666667</v>
      </c>
      <c r="J455" s="316">
        <f t="array" ref="J455">XLOOKUP(B455,Roster!L:L,Roster!P:P,XLOOKUP(D455,TicketsBreak!A:A,TicketsBreak!G:G,"",0),0)</f>
        <v>0.6354166667</v>
      </c>
      <c r="K455" s="310">
        <f t="shared" si="4"/>
        <v>46116</v>
      </c>
      <c r="L455" s="317">
        <f t="array" ref="L455">(XLOOKUP(D455,Roster!F:F,Roster!D:D,"",0))</f>
        <v>26</v>
      </c>
      <c r="M455" s="317" t="str">
        <f t="array" ref="M455">XLOOKUP(D455,Roster!F:F,Roster!E:E)</f>
        <v>Tickets</v>
      </c>
      <c r="N455" s="317" t="str">
        <f t="shared" ref="N455:P455" si="466">LEFT(H455,5)</f>
        <v>09:30</v>
      </c>
      <c r="O455" s="317" t="str">
        <f t="shared" si="466"/>
        <v>13:00</v>
      </c>
      <c r="P455" s="317" t="str">
        <f t="shared" si="466"/>
        <v>15:15</v>
      </c>
      <c r="Q455" s="318">
        <f t="shared" si="382"/>
        <v>46116.39583</v>
      </c>
      <c r="R455" s="318">
        <f t="shared" si="383"/>
        <v>46116.54167</v>
      </c>
      <c r="S455" s="318">
        <f t="shared" si="8"/>
        <v>46116.63542</v>
      </c>
    </row>
    <row r="456">
      <c r="A456" s="14" t="str">
        <f t="shared" si="1"/>
        <v>C157346116</v>
      </c>
      <c r="B456" s="185">
        <f t="array" ref="B456">IF(F456="VL","",IF(F456="Free","Free",XLOOKUP(D456,Roster!T:T,Roster!S:S,"",0)))</f>
        <v>123</v>
      </c>
      <c r="C456" s="313">
        <v>46116.0</v>
      </c>
      <c r="D456" s="314" t="s">
        <v>28</v>
      </c>
      <c r="E456" s="307" t="str">
        <f t="array" ref="E456">(XLOOKUP(D456,Roster!F:F,Roster!B:B,"",0))</f>
        <v>Esteban Correa</v>
      </c>
      <c r="F456" s="315" t="str">
        <f t="array" ref="F456">IF(B456=100,"Free",TEXT(XLOOKUP($D456,OperationVoice!$A:$A,OperationVoice!J:J,XLOOKUP($D456,OperationTickets!$A:$A,OperationTickets!J:J,"",0)),"hh:mm"))</f>
        <v>08:00</v>
      </c>
      <c r="G456" s="309">
        <f t="shared" si="3"/>
        <v>0.7083333333</v>
      </c>
      <c r="H456" s="316" t="str">
        <f t="array" ref="H456">XLOOKUP(B456,Roster!L:L,Roster!N:N,XLOOKUP(D456,TicketsBreak!A:A,TicketsBreak!E:E,"",0),0)</f>
        <v>09:45 - 10:00 </v>
      </c>
      <c r="I456" s="316" t="str">
        <f t="array" ref="I456">XLOOKUP(B456,Roster!L:L,Roster!O:O,XLOOKUP(D456,TicketsBreak!A:A,TicketsBreak!F:F,"",0),0)</f>
        <v>12:30 - 13:00</v>
      </c>
      <c r="J456" s="316" t="str">
        <f t="array" ref="J456">XLOOKUP(B456,Roster!L:L,Roster!P:P,XLOOKUP(D456,TicketsBreak!A:A,TicketsBreak!G:G,"",0),0)</f>
        <v>15:00 - 15:15</v>
      </c>
      <c r="K456" s="310">
        <f t="shared" si="4"/>
        <v>46116</v>
      </c>
      <c r="L456" s="317">
        <f t="array" ref="L456">(XLOOKUP(D456,Roster!F:F,Roster!D:D,"",0))</f>
        <v>38</v>
      </c>
      <c r="M456" s="317" t="str">
        <f t="array" ref="M456">XLOOKUP(D456,Roster!F:F,Roster!E:E)</f>
        <v>Voice</v>
      </c>
      <c r="N456" s="317" t="str">
        <f t="shared" ref="N456:P456" si="467">LEFT(H456,5)</f>
        <v>09:45</v>
      </c>
      <c r="O456" s="317" t="str">
        <f t="shared" si="467"/>
        <v>12:30</v>
      </c>
      <c r="P456" s="317" t="str">
        <f t="shared" si="467"/>
        <v>15:00</v>
      </c>
      <c r="Q456" s="318">
        <f t="shared" si="382"/>
        <v>46116.40625</v>
      </c>
      <c r="R456" s="318">
        <f t="shared" si="383"/>
        <v>46116.52083</v>
      </c>
      <c r="S456" s="318">
        <f t="shared" si="8"/>
        <v>46116.625</v>
      </c>
    </row>
    <row r="457">
      <c r="A457" s="14" t="str">
        <f t="shared" si="1"/>
        <v>C71346116</v>
      </c>
      <c r="B457" s="185" t="str">
        <f t="array" ref="B457">IF(F457="VL","",IF(F457="Free","Free",XLOOKUP(D457,Roster!T:T,Roster!S:S,"",0)))</f>
        <v>Free</v>
      </c>
      <c r="C457" s="313">
        <v>46116.0</v>
      </c>
      <c r="D457" s="314" t="s">
        <v>29</v>
      </c>
      <c r="E457" s="307" t="str">
        <f t="array" ref="E457">(XLOOKUP(D457,Roster!F:F,Roster!B:B,"",0))</f>
        <v>Frank Marin</v>
      </c>
      <c r="F457" s="315" t="str">
        <f t="array" ref="F457">IF(B457=100,"Free",TEXT(XLOOKUP($D457,OperationVoice!$A:$A,OperationVoice!J:J,XLOOKUP($D457,OperationTickets!$A:$A,OperationTickets!J:J,"",0)),"hh:mm"))</f>
        <v>Free</v>
      </c>
      <c r="G457" s="309" t="str">
        <f t="shared" si="3"/>
        <v>Free</v>
      </c>
      <c r="H457" s="316" t="str">
        <f t="array" ref="H457">XLOOKUP(B457,Roster!L:L,Roster!N:N,XLOOKUP(D457,TicketsBreak!A:A,TicketsBreak!E:E,"",0),0)</f>
        <v/>
      </c>
      <c r="I457" s="316" t="str">
        <f t="array" ref="I457">XLOOKUP(B457,Roster!L:L,Roster!O:O,XLOOKUP(D457,TicketsBreak!A:A,TicketsBreak!F:F,"",0),0)</f>
        <v/>
      </c>
      <c r="J457" s="316" t="str">
        <f t="array" ref="J457">XLOOKUP(B457,Roster!L:L,Roster!P:P,XLOOKUP(D457,TicketsBreak!A:A,TicketsBreak!G:G,"",0),0)</f>
        <v/>
      </c>
      <c r="K457" s="310">
        <f t="shared" si="4"/>
        <v>46116</v>
      </c>
      <c r="L457" s="317">
        <f t="array" ref="L457">(XLOOKUP(D457,Roster!F:F,Roster!D:D,"",0))</f>
        <v>6</v>
      </c>
      <c r="M457" s="317" t="str">
        <f t="array" ref="M457">XLOOKUP(D457,Roster!F:F,Roster!E:E)</f>
        <v>Voice</v>
      </c>
      <c r="N457" s="317" t="str">
        <f t="shared" ref="N457:P457" si="468">LEFT(H457,5)</f>
        <v/>
      </c>
      <c r="O457" s="317" t="str">
        <f t="shared" si="468"/>
        <v/>
      </c>
      <c r="P457" s="317" t="str">
        <f t="shared" si="468"/>
        <v/>
      </c>
      <c r="Q457" s="318" t="str">
        <f t="shared" si="382"/>
        <v/>
      </c>
      <c r="R457" s="318" t="str">
        <f t="shared" si="383"/>
        <v/>
      </c>
      <c r="S457" s="318" t="str">
        <f t="shared" si="8"/>
        <v/>
      </c>
    </row>
    <row r="458">
      <c r="A458" s="14" t="str">
        <f t="shared" si="1"/>
        <v>C154846116</v>
      </c>
      <c r="B458" s="185">
        <f t="array" ref="B458">IF(F458="VL","",IF(F458="Free","Free",XLOOKUP(D458,Roster!T:T,Roster!S:S,"",0)))</f>
        <v>152</v>
      </c>
      <c r="C458" s="313">
        <v>46116.0</v>
      </c>
      <c r="D458" s="314" t="s">
        <v>30</v>
      </c>
      <c r="E458" s="307" t="str">
        <f t="array" ref="E458">(XLOOKUP(D458,Roster!F:F,Roster!B:B,"",0))</f>
        <v>Frey ortiz</v>
      </c>
      <c r="F458" s="315" t="str">
        <f t="array" ref="F458">IF(B458=100,"Free",TEXT(XLOOKUP($D458,OperationVoice!$A:$A,OperationVoice!J:J,XLOOKUP($D458,OperationTickets!$A:$A,OperationTickets!J:J,"",0)),"hh:mm"))</f>
        <v>11:00</v>
      </c>
      <c r="G458" s="309">
        <f t="shared" si="3"/>
        <v>0.8333333333</v>
      </c>
      <c r="H458" s="316" t="str">
        <f t="array" ref="H458">XLOOKUP(B458,Roster!L:L,Roster!N:N,XLOOKUP(D458,TicketsBreak!A:A,TicketsBreak!E:E,"",0),0)</f>
        <v>12:30 - 12:45</v>
      </c>
      <c r="I458" s="316" t="str">
        <f t="array" ref="I458">XLOOKUP(B458,Roster!L:L,Roster!O:O,XLOOKUP(D458,TicketsBreak!A:A,TicketsBreak!F:F,"",0),0)</f>
        <v>14:30 - 15:00</v>
      </c>
      <c r="J458" s="316" t="str">
        <f t="array" ref="J458">XLOOKUP(B458,Roster!L:L,Roster!P:P,XLOOKUP(D458,TicketsBreak!A:A,TicketsBreak!G:G,"",0),0)</f>
        <v>17:30 - 17:45</v>
      </c>
      <c r="K458" s="310">
        <f t="shared" si="4"/>
        <v>46116</v>
      </c>
      <c r="L458" s="317">
        <f t="array" ref="L458">(XLOOKUP(D458,Roster!F:F,Roster!D:D,"",0))</f>
        <v>37</v>
      </c>
      <c r="M458" s="317" t="str">
        <f t="array" ref="M458">XLOOKUP(D458,Roster!F:F,Roster!E:E)</f>
        <v>Voice</v>
      </c>
      <c r="N458" s="317" t="str">
        <f t="shared" ref="N458:P458" si="469">LEFT(H458,5)</f>
        <v>12:30</v>
      </c>
      <c r="O458" s="317" t="str">
        <f t="shared" si="469"/>
        <v>14:30</v>
      </c>
      <c r="P458" s="317" t="str">
        <f t="shared" si="469"/>
        <v>17:30</v>
      </c>
      <c r="Q458" s="318">
        <f t="shared" si="382"/>
        <v>46116.52083</v>
      </c>
      <c r="R458" s="318">
        <f t="shared" si="383"/>
        <v>46116.60417</v>
      </c>
      <c r="S458" s="318">
        <f t="shared" si="8"/>
        <v>46116.72917</v>
      </c>
    </row>
    <row r="459">
      <c r="A459" s="14" t="str">
        <f t="shared" si="1"/>
        <v>C148646116</v>
      </c>
      <c r="B459" s="185">
        <f t="array" ref="B459">IF(F459="VL","",IF(F459="Free","Free",XLOOKUP(D459,Roster!T:T,Roster!S:S,"",0)))</f>
        <v>154</v>
      </c>
      <c r="C459" s="313">
        <v>46116.0</v>
      </c>
      <c r="D459" s="314" t="s">
        <v>31</v>
      </c>
      <c r="E459" s="307" t="str">
        <f t="array" ref="E459">(XLOOKUP(D459,Roster!F:F,Roster!B:B,"",0))</f>
        <v>Gabriel Gomez</v>
      </c>
      <c r="F459" s="315" t="str">
        <f t="array" ref="F459">IF(B459=100,"Free",TEXT(XLOOKUP($D459,OperationVoice!$A:$A,OperationVoice!J:J,XLOOKUP($D459,OperationTickets!$A:$A,OperationTickets!J:J,"",0)),"hh:mm"))</f>
        <v>11:00</v>
      </c>
      <c r="G459" s="309">
        <f t="shared" si="3"/>
        <v>0.8333333333</v>
      </c>
      <c r="H459" s="316" t="str">
        <f t="array" ref="H459">XLOOKUP(B459,Roster!L:L,Roster!N:N,XLOOKUP(D459,TicketsBreak!A:A,TicketsBreak!E:E,"",0),0)</f>
        <v>13:00 - 13:15</v>
      </c>
      <c r="I459" s="316" t="str">
        <f t="array" ref="I459">XLOOKUP(B459,Roster!L:L,Roster!O:O,XLOOKUP(D459,TicketsBreak!A:A,TicketsBreak!F:F,"",0),0)</f>
        <v>15:15 - 15:45</v>
      </c>
      <c r="J459" s="316" t="str">
        <f t="array" ref="J459">XLOOKUP(B459,Roster!L:L,Roster!P:P,XLOOKUP(D459,TicketsBreak!A:A,TicketsBreak!G:G,"",0),0)</f>
        <v>18:00 - 18:15</v>
      </c>
      <c r="K459" s="310">
        <f t="shared" si="4"/>
        <v>46116</v>
      </c>
      <c r="L459" s="317">
        <f t="array" ref="L459">(XLOOKUP(D459,Roster!F:F,Roster!D:D,"",0))</f>
        <v>34</v>
      </c>
      <c r="M459" s="317" t="str">
        <f t="array" ref="M459">XLOOKUP(D459,Roster!F:F,Roster!E:E)</f>
        <v>Voice</v>
      </c>
      <c r="N459" s="317" t="str">
        <f t="shared" ref="N459:P459" si="470">LEFT(H459,5)</f>
        <v>13:00</v>
      </c>
      <c r="O459" s="317" t="str">
        <f t="shared" si="470"/>
        <v>15:15</v>
      </c>
      <c r="P459" s="317" t="str">
        <f t="shared" si="470"/>
        <v>18:00</v>
      </c>
      <c r="Q459" s="318">
        <f t="shared" si="382"/>
        <v>46116.54167</v>
      </c>
      <c r="R459" s="318">
        <f t="shared" si="383"/>
        <v>46116.63542</v>
      </c>
      <c r="S459" s="318">
        <f t="shared" si="8"/>
        <v>46116.75</v>
      </c>
    </row>
    <row r="460">
      <c r="A460" s="14" t="str">
        <f t="shared" si="1"/>
        <v>C136946116</v>
      </c>
      <c r="B460" s="185">
        <f t="array" ref="B460">IF(F460="VL","",IF(F460="Free","Free",XLOOKUP(D460,Roster!T:T,Roster!S:S,"",0)))</f>
        <v>126</v>
      </c>
      <c r="C460" s="313">
        <v>46116.0</v>
      </c>
      <c r="D460" s="314" t="s">
        <v>157</v>
      </c>
      <c r="E460" s="307" t="str">
        <f t="array" ref="E460">(XLOOKUP(D460,Roster!F:F,Roster!B:B,"",0))</f>
        <v>Gabriela Jimenez</v>
      </c>
      <c r="F460" s="315" t="str">
        <f t="array" ref="F460">IF(B460=100,"Free",TEXT(XLOOKUP($D460,OperationVoice!$A:$A,OperationVoice!J:J,XLOOKUP($D460,OperationTickets!$A:$A,OperationTickets!J:J,"",0)),"hh:mm"))</f>
        <v>08:00</v>
      </c>
      <c r="G460" s="309">
        <f t="shared" si="3"/>
        <v>0.7083333333</v>
      </c>
      <c r="H460" s="316" t="str">
        <f t="array" ref="H460">XLOOKUP(B460,Roster!L:L,Roster!N:N,XLOOKUP(D460,TicketsBreak!A:A,TicketsBreak!E:E,"",0),0)</f>
        <v>10:45 - 11:00</v>
      </c>
      <c r="I460" s="316" t="str">
        <f t="array" ref="I460">XLOOKUP(B460,Roster!L:L,Roster!O:O,XLOOKUP(D460,TicketsBreak!A:A,TicketsBreak!F:F,"",0),0)</f>
        <v>14:00 - 14:30</v>
      </c>
      <c r="J460" s="316" t="str">
        <f t="array" ref="J460">XLOOKUP(B460,Roster!L:L,Roster!P:P,XLOOKUP(D460,TicketsBreak!A:A,TicketsBreak!G:G,"",0),0)</f>
        <v>15:45 - 16:00</v>
      </c>
      <c r="K460" s="310">
        <f t="shared" si="4"/>
        <v>46116</v>
      </c>
      <c r="L460" s="317">
        <f t="array" ref="L460">(XLOOKUP(D460,Roster!F:F,Roster!D:D,"",0))</f>
        <v>31</v>
      </c>
      <c r="M460" s="317" t="str">
        <f t="array" ref="M460">XLOOKUP(D460,Roster!F:F,Roster!E:E)</f>
        <v>Tickets</v>
      </c>
      <c r="N460" s="317" t="str">
        <f t="shared" ref="N460:P460" si="471">LEFT(H460,5)</f>
        <v>10:45</v>
      </c>
      <c r="O460" s="317" t="str">
        <f t="shared" si="471"/>
        <v>14:00</v>
      </c>
      <c r="P460" s="317" t="str">
        <f t="shared" si="471"/>
        <v>15:45</v>
      </c>
      <c r="Q460" s="318">
        <f t="shared" si="382"/>
        <v>46116.44792</v>
      </c>
      <c r="R460" s="318">
        <f t="shared" si="383"/>
        <v>46116.58333</v>
      </c>
      <c r="S460" s="318">
        <f t="shared" si="8"/>
        <v>46116.65625</v>
      </c>
    </row>
    <row r="461">
      <c r="A461" s="14" t="str">
        <f t="shared" si="1"/>
        <v>C101746116</v>
      </c>
      <c r="B461" s="185" t="str">
        <f t="array" ref="B461">IF(F461="VL","",IF(F461="Free","Free",XLOOKUP(D461,Roster!T:T,Roster!S:S,"",0)))</f>
        <v>Free</v>
      </c>
      <c r="C461" s="313">
        <v>46116.0</v>
      </c>
      <c r="D461" s="314" t="s">
        <v>32</v>
      </c>
      <c r="E461" s="307" t="str">
        <f t="array" ref="E461">(XLOOKUP(D461,Roster!F:F,Roster!B:B,"",0))</f>
        <v>Geraldine Correa</v>
      </c>
      <c r="F461" s="315" t="str">
        <f t="array" ref="F461">IF(B461=100,"Free",TEXT(XLOOKUP($D461,OperationVoice!$A:$A,OperationVoice!J:J,XLOOKUP($D461,OperationTickets!$A:$A,OperationTickets!J:J,"",0)),"hh:mm"))</f>
        <v>Free</v>
      </c>
      <c r="G461" s="309" t="str">
        <f t="shared" si="3"/>
        <v>Free</v>
      </c>
      <c r="H461" s="316" t="str">
        <f t="array" ref="H461">XLOOKUP(B461,Roster!L:L,Roster!N:N,XLOOKUP(D461,TicketsBreak!A:A,TicketsBreak!E:E,"",0),0)</f>
        <v/>
      </c>
      <c r="I461" s="316" t="str">
        <f t="array" ref="I461">XLOOKUP(B461,Roster!L:L,Roster!O:O,XLOOKUP(D461,TicketsBreak!A:A,TicketsBreak!F:F,"",0),0)</f>
        <v/>
      </c>
      <c r="J461" s="316" t="str">
        <f t="array" ref="J461">XLOOKUP(B461,Roster!L:L,Roster!P:P,XLOOKUP(D461,TicketsBreak!A:A,TicketsBreak!G:G,"",0),0)</f>
        <v/>
      </c>
      <c r="K461" s="310">
        <f t="shared" si="4"/>
        <v>46116</v>
      </c>
      <c r="L461" s="317">
        <f t="array" ref="L461">(XLOOKUP(D461,Roster!F:F,Roster!D:D,"",0))</f>
        <v>23</v>
      </c>
      <c r="M461" s="317" t="str">
        <f t="array" ref="M461">XLOOKUP(D461,Roster!F:F,Roster!E:E)</f>
        <v>Voice</v>
      </c>
      <c r="N461" s="317" t="str">
        <f t="shared" ref="N461:P461" si="472">LEFT(H461,5)</f>
        <v/>
      </c>
      <c r="O461" s="317" t="str">
        <f t="shared" si="472"/>
        <v/>
      </c>
      <c r="P461" s="317" t="str">
        <f t="shared" si="472"/>
        <v/>
      </c>
      <c r="Q461" s="318" t="str">
        <f t="shared" si="382"/>
        <v/>
      </c>
      <c r="R461" s="318" t="str">
        <f t="shared" si="383"/>
        <v/>
      </c>
      <c r="S461" s="318" t="str">
        <f t="shared" si="8"/>
        <v/>
      </c>
    </row>
    <row r="462">
      <c r="A462" s="14" t="str">
        <f t="shared" si="1"/>
        <v>C154146116</v>
      </c>
      <c r="B462" s="185">
        <f t="array" ref="B462">IF(F462="VL","",IF(F462="Free","Free",XLOOKUP(D462,Roster!T:T,Roster!S:S,"",0)))</f>
        <v>155</v>
      </c>
      <c r="C462" s="313">
        <v>46116.0</v>
      </c>
      <c r="D462" s="314" t="s">
        <v>33</v>
      </c>
      <c r="E462" s="307" t="str">
        <f t="array" ref="E462">(XLOOKUP(D462,Roster!F:F,Roster!B:B,"",0))</f>
        <v>Gisel Moya</v>
      </c>
      <c r="F462" s="315" t="str">
        <f t="array" ref="F462">IF(B462=100,"Free",TEXT(XLOOKUP($D462,OperationVoice!$A:$A,OperationVoice!J:J,XLOOKUP($D462,OperationTickets!$A:$A,OperationTickets!J:J,"",0)),"hh:mm"))</f>
        <v>11:00</v>
      </c>
      <c r="G462" s="309">
        <f t="shared" si="3"/>
        <v>0.8333333333</v>
      </c>
      <c r="H462" s="316" t="str">
        <f t="array" ref="H462">XLOOKUP(B462,Roster!L:L,Roster!N:N,XLOOKUP(D462,TicketsBreak!A:A,TicketsBreak!E:E,"",0),0)</f>
        <v>13:15 - 13:30</v>
      </c>
      <c r="I462" s="316" t="str">
        <f t="array" ref="I462">XLOOKUP(B462,Roster!L:L,Roster!O:O,XLOOKUP(D462,TicketsBreak!A:A,TicketsBreak!F:F,"",0),0)</f>
        <v>15:45 - 16:15</v>
      </c>
      <c r="J462" s="316" t="str">
        <f t="array" ref="J462">XLOOKUP(B462,Roster!L:L,Roster!P:P,XLOOKUP(D462,TicketsBreak!A:A,TicketsBreak!G:G,"",0),0)</f>
        <v>18:15 - 18:30</v>
      </c>
      <c r="K462" s="310">
        <f t="shared" si="4"/>
        <v>46116</v>
      </c>
      <c r="L462" s="317">
        <f t="array" ref="L462">(XLOOKUP(D462,Roster!F:F,Roster!D:D,"",0))</f>
        <v>36</v>
      </c>
      <c r="M462" s="317" t="str">
        <f t="array" ref="M462">XLOOKUP(D462,Roster!F:F,Roster!E:E)</f>
        <v>Voice</v>
      </c>
      <c r="N462" s="317" t="str">
        <f t="shared" ref="N462:P462" si="473">LEFT(H462,5)</f>
        <v>13:15</v>
      </c>
      <c r="O462" s="317" t="str">
        <f t="shared" si="473"/>
        <v>15:45</v>
      </c>
      <c r="P462" s="317" t="str">
        <f t="shared" si="473"/>
        <v>18:15</v>
      </c>
      <c r="Q462" s="318">
        <f t="shared" si="382"/>
        <v>46116.55208</v>
      </c>
      <c r="R462" s="318">
        <f t="shared" si="383"/>
        <v>46116.65625</v>
      </c>
      <c r="S462" s="318">
        <f t="shared" si="8"/>
        <v>46116.76042</v>
      </c>
    </row>
    <row r="463">
      <c r="A463" s="14" t="str">
        <f t="shared" si="1"/>
        <v>C86046116</v>
      </c>
      <c r="B463" s="185" t="str">
        <f t="array" ref="B463">IF(F463="VL","",IF(F463="Free","Free",XLOOKUP(D463,Roster!T:T,Roster!S:S,"",0)))</f>
        <v>Free</v>
      </c>
      <c r="C463" s="313">
        <v>46116.0</v>
      </c>
      <c r="D463" s="314" t="s">
        <v>158</v>
      </c>
      <c r="E463" s="307" t="str">
        <f t="array" ref="E463">(XLOOKUP(D463,Roster!F:F,Roster!B:B,"",0))</f>
        <v>Ief Fabre</v>
      </c>
      <c r="F463" s="315" t="str">
        <f t="array" ref="F463">IF(B463=100,"Free",TEXT(XLOOKUP($D463,OperationVoice!$A:$A,OperationVoice!J:J,XLOOKUP($D463,OperationTickets!$A:$A,OperationTickets!J:J,"",0)),"hh:mm"))</f>
        <v>Free</v>
      </c>
      <c r="G463" s="309" t="str">
        <f t="shared" si="3"/>
        <v>Free</v>
      </c>
      <c r="H463" s="316">
        <f t="array" ref="H463">XLOOKUP(B463,Roster!L:L,Roster!N:N,XLOOKUP(D463,TicketsBreak!A:A,TicketsBreak!E:E,"",0),0)</f>
        <v>0.4166666667</v>
      </c>
      <c r="I463" s="316">
        <f t="array" ref="I463">XLOOKUP(B463,Roster!L:L,Roster!O:O,XLOOKUP(D463,TicketsBreak!A:A,TicketsBreak!F:F,"",0),0)</f>
        <v>0.5</v>
      </c>
      <c r="J463" s="316">
        <f t="array" ref="J463">XLOOKUP(B463,Roster!L:L,Roster!P:P,XLOOKUP(D463,TicketsBreak!A:A,TicketsBreak!G:G,"",0),0)</f>
        <v>0.625</v>
      </c>
      <c r="K463" s="310">
        <f t="shared" si="4"/>
        <v>46116</v>
      </c>
      <c r="L463" s="317">
        <f t="array" ref="L463">(XLOOKUP(D463,Roster!F:F,Roster!D:D,"",0))</f>
        <v>10</v>
      </c>
      <c r="M463" s="317" t="str">
        <f t="array" ref="M463">XLOOKUP(D463,Roster!F:F,Roster!E:E)</f>
        <v>Tickets</v>
      </c>
      <c r="N463" s="317" t="str">
        <f t="shared" ref="N463:P463" si="474">LEFT(H463,5)</f>
        <v>10:00</v>
      </c>
      <c r="O463" s="317" t="str">
        <f t="shared" si="474"/>
        <v>12:00</v>
      </c>
      <c r="P463" s="317" t="str">
        <f t="shared" si="474"/>
        <v>15:00</v>
      </c>
      <c r="Q463" s="318">
        <f t="shared" si="382"/>
        <v>46116.41667</v>
      </c>
      <c r="R463" s="318">
        <f t="shared" si="383"/>
        <v>46116.5</v>
      </c>
      <c r="S463" s="318">
        <f t="shared" si="8"/>
        <v>46116.625</v>
      </c>
    </row>
    <row r="464">
      <c r="A464" s="14" t="str">
        <f t="shared" si="1"/>
        <v>C148146116</v>
      </c>
      <c r="B464" s="185">
        <f t="array" ref="B464">IF(F464="VL","",IF(F464="Free","Free",XLOOKUP(D464,Roster!T:T,Roster!S:S,"",0)))</f>
        <v>155</v>
      </c>
      <c r="C464" s="313">
        <v>46116.0</v>
      </c>
      <c r="D464" s="314" t="s">
        <v>34</v>
      </c>
      <c r="E464" s="307" t="str">
        <f t="array" ref="E464">(XLOOKUP(D464,Roster!F:F,Roster!B:B,"",0))</f>
        <v>Jasam Mejia</v>
      </c>
      <c r="F464" s="315" t="str">
        <f t="array" ref="F464">IF(B464=100,"Free",TEXT(XLOOKUP($D464,OperationVoice!$A:$A,OperationVoice!J:J,XLOOKUP($D464,OperationTickets!$A:$A,OperationTickets!J:J,"",0)),"hh:mm"))</f>
        <v>10:00</v>
      </c>
      <c r="G464" s="309">
        <f t="shared" si="3"/>
        <v>0.7916666667</v>
      </c>
      <c r="H464" s="316" t="str">
        <f t="array" ref="H464">XLOOKUP(B464,Roster!L:L,Roster!N:N,XLOOKUP(D464,TicketsBreak!A:A,TicketsBreak!E:E,"",0),0)</f>
        <v>13:15 - 13:30</v>
      </c>
      <c r="I464" s="316" t="str">
        <f t="array" ref="I464">XLOOKUP(B464,Roster!L:L,Roster!O:O,XLOOKUP(D464,TicketsBreak!A:A,TicketsBreak!F:F,"",0),0)</f>
        <v>15:45 - 16:15</v>
      </c>
      <c r="J464" s="316" t="str">
        <f t="array" ref="J464">XLOOKUP(B464,Roster!L:L,Roster!P:P,XLOOKUP(D464,TicketsBreak!A:A,TicketsBreak!G:G,"",0),0)</f>
        <v>18:15 - 18:30</v>
      </c>
      <c r="K464" s="310">
        <f t="shared" si="4"/>
        <v>46116</v>
      </c>
      <c r="L464" s="317">
        <f t="array" ref="L464">(XLOOKUP(D464,Roster!F:F,Roster!D:D,"",0))</f>
        <v>34</v>
      </c>
      <c r="M464" s="317" t="str">
        <f t="array" ref="M464">XLOOKUP(D464,Roster!F:F,Roster!E:E)</f>
        <v>Voice</v>
      </c>
      <c r="N464" s="317" t="str">
        <f t="shared" ref="N464:P464" si="475">LEFT(H464,5)</f>
        <v>13:15</v>
      </c>
      <c r="O464" s="317" t="str">
        <f t="shared" si="475"/>
        <v>15:45</v>
      </c>
      <c r="P464" s="317" t="str">
        <f t="shared" si="475"/>
        <v>18:15</v>
      </c>
      <c r="Q464" s="318">
        <f t="shared" si="382"/>
        <v>46116.55208</v>
      </c>
      <c r="R464" s="318">
        <f t="shared" si="383"/>
        <v>46116.65625</v>
      </c>
      <c r="S464" s="318">
        <f t="shared" si="8"/>
        <v>46116.76042</v>
      </c>
    </row>
    <row r="465">
      <c r="A465" s="14" t="str">
        <f t="shared" si="1"/>
        <v>C131846116</v>
      </c>
      <c r="B465" s="185" t="str">
        <f t="array" ref="B465">IF(F465="VL","",IF(F465="Free","Free",XLOOKUP(D465,Roster!T:T,Roster!S:S,"",0)))</f>
        <v/>
      </c>
      <c r="C465" s="313">
        <v>46116.0</v>
      </c>
      <c r="D465" s="314" t="s">
        <v>159</v>
      </c>
      <c r="E465" s="307" t="str">
        <f t="array" ref="E465">(XLOOKUP(D465,Roster!F:F,Roster!B:B,"",0))</f>
        <v>Jeampierre Jaramillo</v>
      </c>
      <c r="F465" s="315" t="str">
        <f t="array" ref="F465">IF(B465=100,"Free",TEXT(XLOOKUP($D465,OperationVoice!$A:$A,OperationVoice!J:J,XLOOKUP($D465,OperationTickets!$A:$A,OperationTickets!J:J,"",0)),"hh:mm"))</f>
        <v>07:00</v>
      </c>
      <c r="G465" s="309">
        <f t="shared" si="3"/>
        <v>0.6666666667</v>
      </c>
      <c r="H465" s="316" t="str">
        <f t="array" ref="H465">XLOOKUP(B465,Roster!L:L,Roster!N:N,XLOOKUP(D465,TicketsBreak!A:A,TicketsBreak!E:E,"",0),0)</f>
        <v/>
      </c>
      <c r="I465" s="316" t="str">
        <f t="array" ref="I465">XLOOKUP(B465,Roster!L:L,Roster!O:O,XLOOKUP(D465,TicketsBreak!A:A,TicketsBreak!F:F,"",0),0)</f>
        <v/>
      </c>
      <c r="J465" s="316" t="str">
        <f t="array" ref="J465">XLOOKUP(B465,Roster!L:L,Roster!P:P,XLOOKUP(D465,TicketsBreak!A:A,TicketsBreak!G:G,"",0),0)</f>
        <v/>
      </c>
      <c r="K465" s="310">
        <f t="shared" si="4"/>
        <v>46116</v>
      </c>
      <c r="L465" s="317">
        <f t="array" ref="L465">(XLOOKUP(D465,Roster!F:F,Roster!D:D,"",0))</f>
        <v>29</v>
      </c>
      <c r="M465" s="317" t="str">
        <f t="array" ref="M465">XLOOKUP(D465,Roster!F:F,Roster!E:E)</f>
        <v>Tickets</v>
      </c>
      <c r="N465" s="317" t="str">
        <f t="shared" ref="N465:P465" si="476">LEFT(H465,5)</f>
        <v/>
      </c>
      <c r="O465" s="317" t="str">
        <f t="shared" si="476"/>
        <v/>
      </c>
      <c r="P465" s="317" t="str">
        <f t="shared" si="476"/>
        <v/>
      </c>
      <c r="Q465" s="318" t="str">
        <f t="shared" si="382"/>
        <v/>
      </c>
      <c r="R465" s="318" t="str">
        <f t="shared" si="383"/>
        <v/>
      </c>
      <c r="S465" s="318" t="str">
        <f t="shared" si="8"/>
        <v/>
      </c>
    </row>
    <row r="466">
      <c r="A466" s="14" t="str">
        <f t="shared" si="1"/>
        <v>C155046116</v>
      </c>
      <c r="B466" s="185" t="str">
        <f t="array" ref="B466">IF(F466="VL","",IF(F466="Free","Free",XLOOKUP(D466,Roster!T:T,Roster!S:S,"",0)))</f>
        <v>Free</v>
      </c>
      <c r="C466" s="313">
        <v>46116.0</v>
      </c>
      <c r="D466" s="314" t="s">
        <v>35</v>
      </c>
      <c r="E466" s="307" t="str">
        <f t="array" ref="E466">(XLOOKUP(D466,Roster!F:F,Roster!B:B,"",0))</f>
        <v>Jeidin Vargas</v>
      </c>
      <c r="F466" s="315" t="str">
        <f t="array" ref="F466">IF(B466=100,"Free",TEXT(XLOOKUP($D466,OperationVoice!$A:$A,OperationVoice!J:J,XLOOKUP($D466,OperationTickets!$A:$A,OperationTickets!J:J,"",0)),"hh:mm"))</f>
        <v>Free</v>
      </c>
      <c r="G466" s="309" t="str">
        <f t="shared" si="3"/>
        <v>Free</v>
      </c>
      <c r="H466" s="316" t="str">
        <f t="array" ref="H466">XLOOKUP(B466,Roster!L:L,Roster!N:N,XLOOKUP(D466,TicketsBreak!A:A,TicketsBreak!E:E,"",0),0)</f>
        <v/>
      </c>
      <c r="I466" s="316" t="str">
        <f t="array" ref="I466">XLOOKUP(B466,Roster!L:L,Roster!O:O,XLOOKUP(D466,TicketsBreak!A:A,TicketsBreak!F:F,"",0),0)</f>
        <v/>
      </c>
      <c r="J466" s="316" t="str">
        <f t="array" ref="J466">XLOOKUP(B466,Roster!L:L,Roster!P:P,XLOOKUP(D466,TicketsBreak!A:A,TicketsBreak!G:G,"",0),0)</f>
        <v/>
      </c>
      <c r="K466" s="310">
        <f t="shared" si="4"/>
        <v>46116</v>
      </c>
      <c r="L466" s="317">
        <f t="array" ref="L466">(XLOOKUP(D466,Roster!F:F,Roster!D:D,"",0))</f>
        <v>37</v>
      </c>
      <c r="M466" s="317" t="str">
        <f t="array" ref="M466">XLOOKUP(D466,Roster!F:F,Roster!E:E)</f>
        <v>Voice</v>
      </c>
      <c r="N466" s="317" t="str">
        <f t="shared" ref="N466:P466" si="477">LEFT(H466,5)</f>
        <v/>
      </c>
      <c r="O466" s="317" t="str">
        <f t="shared" si="477"/>
        <v/>
      </c>
      <c r="P466" s="317" t="str">
        <f t="shared" si="477"/>
        <v/>
      </c>
      <c r="Q466" s="318" t="str">
        <f t="shared" si="382"/>
        <v/>
      </c>
      <c r="R466" s="318" t="str">
        <f t="shared" si="383"/>
        <v/>
      </c>
      <c r="S466" s="318" t="str">
        <f t="shared" si="8"/>
        <v/>
      </c>
    </row>
    <row r="467">
      <c r="A467" s="14" t="str">
        <f t="shared" si="1"/>
        <v>C51246116</v>
      </c>
      <c r="B467" s="185" t="str">
        <f t="array" ref="B467">IF(F467="VL","",IF(F467="Free","Free",XLOOKUP(D467,Roster!T:T,Roster!S:S,"",0)))</f>
        <v>Free</v>
      </c>
      <c r="C467" s="313">
        <v>46116.0</v>
      </c>
      <c r="D467" s="314" t="s">
        <v>36</v>
      </c>
      <c r="E467" s="307" t="str">
        <f t="array" ref="E467">(XLOOKUP(D467,Roster!F:F,Roster!B:B,"",0))</f>
        <v>Jhoam Quiroz</v>
      </c>
      <c r="F467" s="315" t="str">
        <f t="array" ref="F467">IF(B467=100,"Free",TEXT(XLOOKUP($D467,OperationVoice!$A:$A,OperationVoice!J:J,XLOOKUP($D467,OperationTickets!$A:$A,OperationTickets!J:J,"",0)),"hh:mm"))</f>
        <v>Free</v>
      </c>
      <c r="G467" s="309" t="str">
        <f t="shared" si="3"/>
        <v>Free</v>
      </c>
      <c r="H467" s="316" t="str">
        <f t="array" ref="H467">XLOOKUP(B467,Roster!L:L,Roster!N:N,XLOOKUP(D467,TicketsBreak!A:A,TicketsBreak!E:E,"",0),0)</f>
        <v/>
      </c>
      <c r="I467" s="316" t="str">
        <f t="array" ref="I467">XLOOKUP(B467,Roster!L:L,Roster!O:O,XLOOKUP(D467,TicketsBreak!A:A,TicketsBreak!F:F,"",0),0)</f>
        <v/>
      </c>
      <c r="J467" s="316" t="str">
        <f t="array" ref="J467">XLOOKUP(B467,Roster!L:L,Roster!P:P,XLOOKUP(D467,TicketsBreak!A:A,TicketsBreak!G:G,"",0),0)</f>
        <v/>
      </c>
      <c r="K467" s="310">
        <f t="shared" si="4"/>
        <v>46116</v>
      </c>
      <c r="L467" s="317">
        <f t="array" ref="L467">(XLOOKUP(D467,Roster!F:F,Roster!D:D,"",0))</f>
        <v>1</v>
      </c>
      <c r="M467" s="317" t="str">
        <f t="array" ref="M467">XLOOKUP(D467,Roster!F:F,Roster!E:E)</f>
        <v>Voice</v>
      </c>
      <c r="N467" s="317" t="str">
        <f t="shared" ref="N467:P467" si="478">LEFT(H467,5)</f>
        <v/>
      </c>
      <c r="O467" s="317" t="str">
        <f t="shared" si="478"/>
        <v/>
      </c>
      <c r="P467" s="317" t="str">
        <f t="shared" si="478"/>
        <v/>
      </c>
      <c r="Q467" s="318" t="str">
        <f t="shared" si="382"/>
        <v/>
      </c>
      <c r="R467" s="318" t="str">
        <f t="shared" si="383"/>
        <v/>
      </c>
      <c r="S467" s="318" t="str">
        <f t="shared" si="8"/>
        <v/>
      </c>
    </row>
    <row r="468">
      <c r="A468" s="14" t="str">
        <f t="shared" si="1"/>
        <v>C150946116</v>
      </c>
      <c r="B468" s="185">
        <f t="array" ref="B468">IF(F468="VL","",IF(F468="Free","Free",XLOOKUP(D468,Roster!T:T,Roster!S:S,"",0)))</f>
        <v>121</v>
      </c>
      <c r="C468" s="313">
        <v>46116.0</v>
      </c>
      <c r="D468" s="314" t="s">
        <v>37</v>
      </c>
      <c r="E468" s="307" t="str">
        <f t="array" ref="E468">(XLOOKUP(D468,Roster!F:F,Roster!B:B,"",0))</f>
        <v>Jhonatan Gomez</v>
      </c>
      <c r="F468" s="315" t="str">
        <f t="array" ref="F468">IF(B468=100,"Free",TEXT(XLOOKUP($D468,OperationVoice!$A:$A,OperationVoice!J:J,XLOOKUP($D468,OperationTickets!$A:$A,OperationTickets!J:J,"",0)),"hh:mm"))</f>
        <v>08:00</v>
      </c>
      <c r="G468" s="309">
        <f t="shared" si="3"/>
        <v>0.7083333333</v>
      </c>
      <c r="H468" s="316" t="str">
        <f t="array" ref="H468">XLOOKUP(B468,Roster!L:L,Roster!N:N,XLOOKUP(D468,TicketsBreak!A:A,TicketsBreak!E:E,"",0),0)</f>
        <v>09:15 - 09:30</v>
      </c>
      <c r="I468" s="316" t="str">
        <f t="array" ref="I468">XLOOKUP(B468,Roster!L:L,Roster!O:O,XLOOKUP(D468,TicketsBreak!A:A,TicketsBreak!F:F,"",0),0)</f>
        <v>11:30 - 12:00</v>
      </c>
      <c r="J468" s="316" t="str">
        <f t="array" ref="J468">XLOOKUP(B468,Roster!L:L,Roster!P:P,XLOOKUP(D468,TicketsBreak!A:A,TicketsBreak!G:G,"",0),0)</f>
        <v>14:30 - 14:45</v>
      </c>
      <c r="K468" s="310">
        <f t="shared" si="4"/>
        <v>46116</v>
      </c>
      <c r="L468" s="317">
        <f t="array" ref="L468">(XLOOKUP(D468,Roster!F:F,Roster!D:D,"",0))</f>
        <v>35</v>
      </c>
      <c r="M468" s="317" t="str">
        <f t="array" ref="M468">XLOOKUP(D468,Roster!F:F,Roster!E:E)</f>
        <v>Voice</v>
      </c>
      <c r="N468" s="317" t="str">
        <f t="shared" ref="N468:P468" si="479">LEFT(H468,5)</f>
        <v>09:15</v>
      </c>
      <c r="O468" s="317" t="str">
        <f t="shared" si="479"/>
        <v>11:30</v>
      </c>
      <c r="P468" s="317" t="str">
        <f t="shared" si="479"/>
        <v>14:30</v>
      </c>
      <c r="Q468" s="318">
        <f t="shared" si="382"/>
        <v>46116.38542</v>
      </c>
      <c r="R468" s="318">
        <f t="shared" si="383"/>
        <v>46116.47917</v>
      </c>
      <c r="S468" s="318">
        <f t="shared" si="8"/>
        <v>46116.60417</v>
      </c>
    </row>
    <row r="469">
      <c r="A469" s="14" t="str">
        <f t="shared" si="1"/>
        <v>C151546116</v>
      </c>
      <c r="B469" s="185">
        <f t="array" ref="B469">IF(F469="VL","",IF(F469="Free","Free",XLOOKUP(D469,Roster!T:T,Roster!S:S,"",0)))</f>
        <v>151</v>
      </c>
      <c r="C469" s="313">
        <v>46116.0</v>
      </c>
      <c r="D469" s="314" t="s">
        <v>38</v>
      </c>
      <c r="E469" s="307" t="str">
        <f t="array" ref="E469">(XLOOKUP(D469,Roster!F:F,Roster!B:B,"",0))</f>
        <v>Joan Perez</v>
      </c>
      <c r="F469" s="315" t="str">
        <f t="array" ref="F469">IF(B469=100,"Free",TEXT(XLOOKUP($D469,OperationVoice!$A:$A,OperationVoice!J:J,XLOOKUP($D469,OperationTickets!$A:$A,OperationTickets!J:J,"",0)),"hh:mm"))</f>
        <v/>
      </c>
      <c r="G469" s="309" t="str">
        <f t="shared" si="3"/>
        <v/>
      </c>
      <c r="H469" s="316" t="str">
        <f t="array" ref="H469">XLOOKUP(B469,Roster!L:L,Roster!N:N,XLOOKUP(D469,TicketsBreak!A:A,TicketsBreak!E:E,"",0),0)</f>
        <v>12:15 - 12:30</v>
      </c>
      <c r="I469" s="316" t="str">
        <f t="array" ref="I469">XLOOKUP(B469,Roster!L:L,Roster!O:O,XLOOKUP(D469,TicketsBreak!A:A,TicketsBreak!F:F,"",0),0)</f>
        <v>14:00 - 14:30</v>
      </c>
      <c r="J469" s="316" t="str">
        <f t="array" ref="J469">XLOOKUP(B469,Roster!L:L,Roster!P:P,XLOOKUP(D469,TicketsBreak!A:A,TicketsBreak!G:G,"",0),0)</f>
        <v>17:15 - 17:30</v>
      </c>
      <c r="K469" s="310">
        <f t="shared" si="4"/>
        <v>46116</v>
      </c>
      <c r="L469" s="317">
        <f t="array" ref="L469">(XLOOKUP(D469,Roster!F:F,Roster!D:D,"",0))</f>
        <v>35</v>
      </c>
      <c r="M469" s="317" t="str">
        <f t="array" ref="M469">XLOOKUP(D469,Roster!F:F,Roster!E:E)</f>
        <v>Voice</v>
      </c>
      <c r="N469" s="317" t="str">
        <f t="shared" ref="N469:P469" si="480">LEFT(H469,5)</f>
        <v>12:15</v>
      </c>
      <c r="O469" s="317" t="str">
        <f t="shared" si="480"/>
        <v>14:00</v>
      </c>
      <c r="P469" s="317" t="str">
        <f t="shared" si="480"/>
        <v>17:15</v>
      </c>
      <c r="Q469" s="318">
        <f t="shared" si="382"/>
        <v>46116.51042</v>
      </c>
      <c r="R469" s="318">
        <f t="shared" si="383"/>
        <v>46116.58333</v>
      </c>
      <c r="S469" s="318">
        <f t="shared" si="8"/>
        <v>46116.71875</v>
      </c>
    </row>
    <row r="470">
      <c r="A470" s="14" t="str">
        <f t="shared" si="1"/>
        <v>C128946116</v>
      </c>
      <c r="B470" s="185" t="str">
        <f t="array" ref="B470">IF(F470="VL","",IF(F470="Free","Free",XLOOKUP(D470,Roster!T:T,Roster!S:S,"",0)))</f>
        <v>Free</v>
      </c>
      <c r="C470" s="313">
        <v>46116.0</v>
      </c>
      <c r="D470" s="314" t="s">
        <v>140</v>
      </c>
      <c r="E470" s="307" t="str">
        <f t="array" ref="E470">(XLOOKUP(D470,Roster!F:F,Roster!B:B,"",0))</f>
        <v>Johana Villarreal</v>
      </c>
      <c r="F470" s="315" t="str">
        <f t="array" ref="F470">IF(B470=100,"Free",TEXT(XLOOKUP($D470,OperationVoice!$A:$A,OperationVoice!J:J,XLOOKUP($D470,OperationTickets!$A:$A,OperationTickets!J:J,"",0)),"hh:mm"))</f>
        <v>Free</v>
      </c>
      <c r="G470" s="309" t="str">
        <f t="shared" si="3"/>
        <v>Free</v>
      </c>
      <c r="H470" s="316" t="str">
        <f t="array" ref="H470">XLOOKUP(B470,Roster!L:L,Roster!N:N,XLOOKUP(D470,TicketsBreak!A:A,TicketsBreak!E:E,"",0),0)</f>
        <v/>
      </c>
      <c r="I470" s="316" t="str">
        <f t="array" ref="I470">XLOOKUP(B470,Roster!L:L,Roster!O:O,XLOOKUP(D470,TicketsBreak!A:A,TicketsBreak!F:F,"",0),0)</f>
        <v/>
      </c>
      <c r="J470" s="316" t="str">
        <f t="array" ref="J470">XLOOKUP(B470,Roster!L:L,Roster!P:P,XLOOKUP(D470,TicketsBreak!A:A,TicketsBreak!G:G,"",0),0)</f>
        <v/>
      </c>
      <c r="K470" s="310">
        <f t="shared" si="4"/>
        <v>46116</v>
      </c>
      <c r="L470" s="317">
        <f t="array" ref="L470">(XLOOKUP(D470,Roster!F:F,Roster!D:D,"",0))</f>
        <v>28</v>
      </c>
      <c r="M470" s="317" t="str">
        <f t="array" ref="M470">XLOOKUP(D470,Roster!F:F,Roster!E:E)</f>
        <v>Tickets</v>
      </c>
      <c r="N470" s="317" t="str">
        <f t="shared" ref="N470:P470" si="481">LEFT(H470,5)</f>
        <v/>
      </c>
      <c r="O470" s="317" t="str">
        <f t="shared" si="481"/>
        <v/>
      </c>
      <c r="P470" s="317" t="str">
        <f t="shared" si="481"/>
        <v/>
      </c>
      <c r="Q470" s="318" t="str">
        <f t="shared" si="382"/>
        <v/>
      </c>
      <c r="R470" s="318" t="str">
        <f t="shared" si="383"/>
        <v/>
      </c>
      <c r="S470" s="318" t="str">
        <f t="shared" si="8"/>
        <v/>
      </c>
    </row>
    <row r="471">
      <c r="A471" s="14" t="str">
        <f t="shared" si="1"/>
        <v>C155146116</v>
      </c>
      <c r="B471" s="185">
        <f t="array" ref="B471">IF(F471="VL","",IF(F471="Free","Free",XLOOKUP(D471,Roster!T:T,Roster!S:S,"",0)))</f>
        <v>124</v>
      </c>
      <c r="C471" s="313">
        <v>46116.0</v>
      </c>
      <c r="D471" s="314" t="s">
        <v>39</v>
      </c>
      <c r="E471" s="307" t="str">
        <f t="array" ref="E471">(XLOOKUP(D471,Roster!F:F,Roster!B:B,"",0))</f>
        <v>John Atilano</v>
      </c>
      <c r="F471" s="315" t="str">
        <f t="array" ref="F471">IF(B471=100,"Free",TEXT(XLOOKUP($D471,OperationVoice!$A:$A,OperationVoice!J:J,XLOOKUP($D471,OperationTickets!$A:$A,OperationTickets!J:J,"",0)),"hh:mm"))</f>
        <v>08:00</v>
      </c>
      <c r="G471" s="309">
        <f t="shared" si="3"/>
        <v>0.7083333333</v>
      </c>
      <c r="H471" s="316" t="str">
        <f t="array" ref="H471">XLOOKUP(B471,Roster!L:L,Roster!N:N,XLOOKUP(D471,TicketsBreak!A:A,TicketsBreak!E:E,"",0),0)</f>
        <v>10:00 - 10:15</v>
      </c>
      <c r="I471" s="316" t="str">
        <f t="array" ref="I471">XLOOKUP(B471,Roster!L:L,Roster!O:O,XLOOKUP(D471,TicketsBreak!A:A,TicketsBreak!F:F,"",0),0)</f>
        <v>13:00 - 13:30</v>
      </c>
      <c r="J471" s="316" t="str">
        <f t="array" ref="J471">XLOOKUP(B471,Roster!L:L,Roster!P:P,XLOOKUP(D471,TicketsBreak!A:A,TicketsBreak!G:G,"",0),0)</f>
        <v>15:30 - 15:45</v>
      </c>
      <c r="K471" s="310">
        <f t="shared" si="4"/>
        <v>46116</v>
      </c>
      <c r="L471" s="317">
        <f t="array" ref="L471">(XLOOKUP(D471,Roster!F:F,Roster!D:D,"",0))</f>
        <v>37</v>
      </c>
      <c r="M471" s="317" t="str">
        <f t="array" ref="M471">XLOOKUP(D471,Roster!F:F,Roster!E:E)</f>
        <v>Voice</v>
      </c>
      <c r="N471" s="317" t="str">
        <f t="shared" ref="N471:P471" si="482">LEFT(H471,5)</f>
        <v>10:00</v>
      </c>
      <c r="O471" s="317" t="str">
        <f t="shared" si="482"/>
        <v>13:00</v>
      </c>
      <c r="P471" s="317" t="str">
        <f t="shared" si="482"/>
        <v>15:30</v>
      </c>
      <c r="Q471" s="318">
        <f t="shared" si="382"/>
        <v>46116.41667</v>
      </c>
      <c r="R471" s="318">
        <f t="shared" si="383"/>
        <v>46116.54167</v>
      </c>
      <c r="S471" s="318">
        <f t="shared" si="8"/>
        <v>46116.64583</v>
      </c>
    </row>
    <row r="472">
      <c r="A472" s="14" t="str">
        <f t="shared" si="1"/>
        <v>C154346116</v>
      </c>
      <c r="B472" s="185" t="str">
        <f t="array" ref="B472">IF(F472="VL","",IF(F472="Free","Free",XLOOKUP(D472,Roster!T:T,Roster!S:S,"",0)))</f>
        <v>Free</v>
      </c>
      <c r="C472" s="313">
        <v>46116.0</v>
      </c>
      <c r="D472" s="314" t="s">
        <v>40</v>
      </c>
      <c r="E472" s="307" t="str">
        <f t="array" ref="E472">(XLOOKUP(D472,Roster!F:F,Roster!B:B,"",0))</f>
        <v>John Palacio</v>
      </c>
      <c r="F472" s="315" t="str">
        <f t="array" ref="F472">IF(B472=100,"Free",TEXT(XLOOKUP($D472,OperationVoice!$A:$A,OperationVoice!J:J,XLOOKUP($D472,OperationTickets!$A:$A,OperationTickets!J:J,"",0)),"hh:mm"))</f>
        <v>Free</v>
      </c>
      <c r="G472" s="309" t="str">
        <f t="shared" si="3"/>
        <v>Free</v>
      </c>
      <c r="H472" s="316" t="str">
        <f t="array" ref="H472">XLOOKUP(B472,Roster!L:L,Roster!N:N,XLOOKUP(D472,TicketsBreak!A:A,TicketsBreak!E:E,"",0),0)</f>
        <v/>
      </c>
      <c r="I472" s="316" t="str">
        <f t="array" ref="I472">XLOOKUP(B472,Roster!L:L,Roster!O:O,XLOOKUP(D472,TicketsBreak!A:A,TicketsBreak!F:F,"",0),0)</f>
        <v/>
      </c>
      <c r="J472" s="316" t="str">
        <f t="array" ref="J472">XLOOKUP(B472,Roster!L:L,Roster!P:P,XLOOKUP(D472,TicketsBreak!A:A,TicketsBreak!G:G,"",0),0)</f>
        <v/>
      </c>
      <c r="K472" s="310">
        <f t="shared" si="4"/>
        <v>46116</v>
      </c>
      <c r="L472" s="317">
        <f t="array" ref="L472">(XLOOKUP(D472,Roster!F:F,Roster!D:D,"",0))</f>
        <v>36</v>
      </c>
      <c r="M472" s="317" t="str">
        <f t="array" ref="M472">XLOOKUP(D472,Roster!F:F,Roster!E:E)</f>
        <v>Voice</v>
      </c>
      <c r="N472" s="317" t="str">
        <f t="shared" ref="N472:P472" si="483">LEFT(H472,5)</f>
        <v/>
      </c>
      <c r="O472" s="317" t="str">
        <f t="shared" si="483"/>
        <v/>
      </c>
      <c r="P472" s="317" t="str">
        <f t="shared" si="483"/>
        <v/>
      </c>
      <c r="Q472" s="318" t="str">
        <f t="shared" si="382"/>
        <v/>
      </c>
      <c r="R472" s="318" t="str">
        <f t="shared" si="383"/>
        <v/>
      </c>
      <c r="S472" s="318" t="str">
        <f t="shared" si="8"/>
        <v/>
      </c>
    </row>
    <row r="473">
      <c r="A473" s="14" t="str">
        <f t="shared" si="1"/>
        <v>C154246116</v>
      </c>
      <c r="B473" s="185">
        <f t="array" ref="B473">IF(F473="VL","",IF(F473="Free","Free",XLOOKUP(D473,Roster!T:T,Roster!S:S,"",0)))</f>
        <v>124</v>
      </c>
      <c r="C473" s="313">
        <v>46116.0</v>
      </c>
      <c r="D473" s="314" t="s">
        <v>41</v>
      </c>
      <c r="E473" s="307" t="str">
        <f t="array" ref="E473">(XLOOKUP(D473,Roster!F:F,Roster!B:B,"",0))</f>
        <v>Johny Garcia</v>
      </c>
      <c r="F473" s="315" t="str">
        <f t="array" ref="F473">IF(B473=100,"Free",TEXT(XLOOKUP($D473,OperationVoice!$A:$A,OperationVoice!J:J,XLOOKUP($D473,OperationTickets!$A:$A,OperationTickets!J:J,"",0)),"hh:mm"))</f>
        <v>08:00</v>
      </c>
      <c r="G473" s="309">
        <f t="shared" si="3"/>
        <v>0.7083333333</v>
      </c>
      <c r="H473" s="316" t="str">
        <f t="array" ref="H473">XLOOKUP(B473,Roster!L:L,Roster!N:N,XLOOKUP(D473,TicketsBreak!A:A,TicketsBreak!E:E,"",0),0)</f>
        <v>10:00 - 10:15</v>
      </c>
      <c r="I473" s="316" t="str">
        <f t="array" ref="I473">XLOOKUP(B473,Roster!L:L,Roster!O:O,XLOOKUP(D473,TicketsBreak!A:A,TicketsBreak!F:F,"",0),0)</f>
        <v>13:00 - 13:30</v>
      </c>
      <c r="J473" s="316" t="str">
        <f t="array" ref="J473">XLOOKUP(B473,Roster!L:L,Roster!P:P,XLOOKUP(D473,TicketsBreak!A:A,TicketsBreak!G:G,"",0),0)</f>
        <v>15:30 - 15:45</v>
      </c>
      <c r="K473" s="310">
        <f t="shared" si="4"/>
        <v>46116</v>
      </c>
      <c r="L473" s="317">
        <f t="array" ref="L473">(XLOOKUP(D473,Roster!F:F,Roster!D:D,"",0))</f>
        <v>36</v>
      </c>
      <c r="M473" s="317" t="str">
        <f t="array" ref="M473">XLOOKUP(D473,Roster!F:F,Roster!E:E)</f>
        <v>Voice</v>
      </c>
      <c r="N473" s="317" t="str">
        <f t="shared" ref="N473:P473" si="484">LEFT(H473,5)</f>
        <v>10:00</v>
      </c>
      <c r="O473" s="317" t="str">
        <f t="shared" si="484"/>
        <v>13:00</v>
      </c>
      <c r="P473" s="317" t="str">
        <f t="shared" si="484"/>
        <v>15:30</v>
      </c>
      <c r="Q473" s="318">
        <f t="shared" si="382"/>
        <v>46116.41667</v>
      </c>
      <c r="R473" s="318">
        <f t="shared" si="383"/>
        <v>46116.54167</v>
      </c>
      <c r="S473" s="318">
        <f t="shared" si="8"/>
        <v>46116.64583</v>
      </c>
    </row>
    <row r="474">
      <c r="A474" s="14" t="str">
        <f t="shared" si="1"/>
        <v>C156946116</v>
      </c>
      <c r="B474" s="185">
        <f t="array" ref="B474">IF(F474="VL","",IF(F474="Free","Free",XLOOKUP(D474,Roster!T:T,Roster!S:S,"",0)))</f>
        <v>121</v>
      </c>
      <c r="C474" s="313">
        <v>46116.0</v>
      </c>
      <c r="D474" s="314" t="s">
        <v>42</v>
      </c>
      <c r="E474" s="307" t="str">
        <f t="array" ref="E474">(XLOOKUP(D474,Roster!F:F,Roster!B:B,"",0))</f>
        <v>Jorge Orozco</v>
      </c>
      <c r="F474" s="315" t="str">
        <f t="array" ref="F474">IF(B474=100,"Free",TEXT(XLOOKUP($D474,OperationVoice!$A:$A,OperationVoice!J:J,XLOOKUP($D474,OperationTickets!$A:$A,OperationTickets!J:J,"",0)),"hh:mm"))</f>
        <v>08:00</v>
      </c>
      <c r="G474" s="309">
        <f t="shared" si="3"/>
        <v>0.7083333333</v>
      </c>
      <c r="H474" s="316" t="str">
        <f t="array" ref="H474">XLOOKUP(B474,Roster!L:L,Roster!N:N,XLOOKUP(D474,TicketsBreak!A:A,TicketsBreak!E:E,"",0),0)</f>
        <v>09:15 - 09:30</v>
      </c>
      <c r="I474" s="316" t="str">
        <f t="array" ref="I474">XLOOKUP(B474,Roster!L:L,Roster!O:O,XLOOKUP(D474,TicketsBreak!A:A,TicketsBreak!F:F,"",0),0)</f>
        <v>11:30 - 12:00</v>
      </c>
      <c r="J474" s="316" t="str">
        <f t="array" ref="J474">XLOOKUP(B474,Roster!L:L,Roster!P:P,XLOOKUP(D474,TicketsBreak!A:A,TicketsBreak!G:G,"",0),0)</f>
        <v>14:30 - 14:45</v>
      </c>
      <c r="K474" s="310">
        <f t="shared" si="4"/>
        <v>46116</v>
      </c>
      <c r="L474" s="317">
        <f t="array" ref="L474">(XLOOKUP(D474,Roster!F:F,Roster!D:D,"",0))</f>
        <v>38</v>
      </c>
      <c r="M474" s="317" t="str">
        <f t="array" ref="M474">XLOOKUP(D474,Roster!F:F,Roster!E:E)</f>
        <v>Voice</v>
      </c>
      <c r="N474" s="317" t="str">
        <f t="shared" ref="N474:P474" si="485">LEFT(H474,5)</f>
        <v>09:15</v>
      </c>
      <c r="O474" s="317" t="str">
        <f t="shared" si="485"/>
        <v>11:30</v>
      </c>
      <c r="P474" s="317" t="str">
        <f t="shared" si="485"/>
        <v>14:30</v>
      </c>
      <c r="Q474" s="318">
        <f t="shared" si="382"/>
        <v>46116.38542</v>
      </c>
      <c r="R474" s="318">
        <f t="shared" si="383"/>
        <v>46116.47917</v>
      </c>
      <c r="S474" s="318">
        <f t="shared" si="8"/>
        <v>46116.60417</v>
      </c>
    </row>
    <row r="475">
      <c r="A475" s="14" t="str">
        <f t="shared" si="1"/>
        <v>C102746116</v>
      </c>
      <c r="B475" s="185" t="str">
        <f t="array" ref="B475">IF(F475="VL","",IF(F475="Free","Free",XLOOKUP(D475,Roster!T:T,Roster!S:S,"",0)))</f>
        <v/>
      </c>
      <c r="C475" s="313">
        <v>46116.0</v>
      </c>
      <c r="D475" s="314" t="s">
        <v>160</v>
      </c>
      <c r="E475" s="307" t="str">
        <f t="array" ref="E475">(XLOOKUP(D475,Roster!F:F,Roster!B:B,"",0))</f>
        <v>Jose Perez</v>
      </c>
      <c r="F475" s="315" t="str">
        <f t="array" ref="F475">IF(B475=100,"Free",TEXT(XLOOKUP($D475,OperationVoice!$A:$A,OperationVoice!J:J,XLOOKUP($D475,OperationTickets!$A:$A,OperationTickets!J:J,"",0)),"hh:mm"))</f>
        <v>VL</v>
      </c>
      <c r="G475" s="309" t="str">
        <f t="shared" si="3"/>
        <v>VL</v>
      </c>
      <c r="H475" s="316">
        <f t="array" ref="H475">XLOOKUP(B475,Roster!L:L,Roster!N:N,XLOOKUP(D475,TicketsBreak!A:A,TicketsBreak!E:E,"",0),0)</f>
        <v>0.4166666667</v>
      </c>
      <c r="I475" s="316">
        <f t="array" ref="I475">XLOOKUP(B475,Roster!L:L,Roster!O:O,XLOOKUP(D475,TicketsBreak!A:A,TicketsBreak!F:F,"",0),0)</f>
        <v>0.5208333333</v>
      </c>
      <c r="J475" s="316">
        <f t="array" ref="J475">XLOOKUP(B475,Roster!L:L,Roster!P:P,XLOOKUP(D475,TicketsBreak!A:A,TicketsBreak!G:G,"",0),0)</f>
        <v>0.6354166667</v>
      </c>
      <c r="K475" s="310">
        <f t="shared" si="4"/>
        <v>46116</v>
      </c>
      <c r="L475" s="317">
        <f t="array" ref="L475">(XLOOKUP(D475,Roster!F:F,Roster!D:D,"",0))</f>
        <v>15</v>
      </c>
      <c r="M475" s="317" t="str">
        <f t="array" ref="M475">XLOOKUP(D475,Roster!F:F,Roster!E:E)</f>
        <v>Tickets</v>
      </c>
      <c r="N475" s="317" t="str">
        <f t="shared" ref="N475:P475" si="486">LEFT(H475,5)</f>
        <v>10:00</v>
      </c>
      <c r="O475" s="317" t="str">
        <f t="shared" si="486"/>
        <v>12:30</v>
      </c>
      <c r="P475" s="317" t="str">
        <f t="shared" si="486"/>
        <v>15:15</v>
      </c>
      <c r="Q475" s="318">
        <f t="shared" si="382"/>
        <v>46116.41667</v>
      </c>
      <c r="R475" s="318">
        <f t="shared" si="383"/>
        <v>46116.52083</v>
      </c>
      <c r="S475" s="318">
        <f t="shared" si="8"/>
        <v>46116.63542</v>
      </c>
    </row>
    <row r="476">
      <c r="A476" s="14" t="str">
        <f t="shared" si="1"/>
        <v>C142646116</v>
      </c>
      <c r="B476" s="185">
        <f t="array" ref="B476">IF(F476="VL","",IF(F476="Free","Free",XLOOKUP(D476,Roster!T:T,Roster!S:S,"",0)))</f>
        <v>123</v>
      </c>
      <c r="C476" s="313">
        <v>46116.0</v>
      </c>
      <c r="D476" s="314" t="s">
        <v>161</v>
      </c>
      <c r="E476" s="307" t="str">
        <f t="array" ref="E476">(XLOOKUP(D476,Roster!F:F,Roster!B:B,"",0))</f>
        <v>Jose Zapata</v>
      </c>
      <c r="F476" s="315" t="str">
        <f t="array" ref="F476">IF(B476=100,"Free",TEXT(XLOOKUP($D476,OperationVoice!$A:$A,OperationVoice!J:J,XLOOKUP($D476,OperationTickets!$A:$A,OperationTickets!J:J,"",0)),"hh:mm"))</f>
        <v>08:00</v>
      </c>
      <c r="G476" s="309">
        <f t="shared" si="3"/>
        <v>0.7083333333</v>
      </c>
      <c r="H476" s="316" t="str">
        <f t="array" ref="H476">XLOOKUP(B476,Roster!L:L,Roster!N:N,XLOOKUP(D476,TicketsBreak!A:A,TicketsBreak!E:E,"",0),0)</f>
        <v>09:45 - 10:00 </v>
      </c>
      <c r="I476" s="316" t="str">
        <f t="array" ref="I476">XLOOKUP(B476,Roster!L:L,Roster!O:O,XLOOKUP(D476,TicketsBreak!A:A,TicketsBreak!F:F,"",0),0)</f>
        <v>12:30 - 13:00</v>
      </c>
      <c r="J476" s="316" t="str">
        <f t="array" ref="J476">XLOOKUP(B476,Roster!L:L,Roster!P:P,XLOOKUP(D476,TicketsBreak!A:A,TicketsBreak!G:G,"",0),0)</f>
        <v>15:00 - 15:15</v>
      </c>
      <c r="K476" s="310">
        <f t="shared" si="4"/>
        <v>46116</v>
      </c>
      <c r="L476" s="317">
        <f t="array" ref="L476">(XLOOKUP(D476,Roster!F:F,Roster!D:D,"",0))</f>
        <v>32</v>
      </c>
      <c r="M476" s="317" t="str">
        <f t="array" ref="M476">XLOOKUP(D476,Roster!F:F,Roster!E:E)</f>
        <v>Tickets</v>
      </c>
      <c r="N476" s="317" t="str">
        <f t="shared" ref="N476:P476" si="487">LEFT(H476,5)</f>
        <v>09:45</v>
      </c>
      <c r="O476" s="317" t="str">
        <f t="shared" si="487"/>
        <v>12:30</v>
      </c>
      <c r="P476" s="317" t="str">
        <f t="shared" si="487"/>
        <v>15:00</v>
      </c>
      <c r="Q476" s="318">
        <f t="shared" si="382"/>
        <v>46116.40625</v>
      </c>
      <c r="R476" s="318">
        <f t="shared" si="383"/>
        <v>46116.52083</v>
      </c>
      <c r="S476" s="318">
        <f t="shared" si="8"/>
        <v>46116.625</v>
      </c>
    </row>
    <row r="477">
      <c r="A477" s="14" t="str">
        <f t="shared" si="1"/>
        <v>C153346116</v>
      </c>
      <c r="B477" s="185" t="str">
        <f t="array" ref="B477">IF(F477="VL","",IF(F477="Free","Free",XLOOKUP(D477,Roster!T:T,Roster!S:S,"",0)))</f>
        <v>Free</v>
      </c>
      <c r="C477" s="313">
        <v>46116.0</v>
      </c>
      <c r="D477" s="314" t="s">
        <v>43</v>
      </c>
      <c r="E477" s="307" t="str">
        <f t="array" ref="E477">(XLOOKUP(D477,Roster!F:F,Roster!B:B,"",0))</f>
        <v>Juan Barrera</v>
      </c>
      <c r="F477" s="315" t="str">
        <f t="array" ref="F477">IF(B477=100,"Free",TEXT(XLOOKUP($D477,OperationVoice!$A:$A,OperationVoice!J:J,XLOOKUP($D477,OperationTickets!$A:$A,OperationTickets!J:J,"",0)),"hh:mm"))</f>
        <v>Free</v>
      </c>
      <c r="G477" s="309" t="str">
        <f t="shared" si="3"/>
        <v>Free</v>
      </c>
      <c r="H477" s="316" t="str">
        <f t="array" ref="H477">XLOOKUP(B477,Roster!L:L,Roster!N:N,XLOOKUP(D477,TicketsBreak!A:A,TicketsBreak!E:E,"",0),0)</f>
        <v/>
      </c>
      <c r="I477" s="316" t="str">
        <f t="array" ref="I477">XLOOKUP(B477,Roster!L:L,Roster!O:O,XLOOKUP(D477,TicketsBreak!A:A,TicketsBreak!F:F,"",0),0)</f>
        <v/>
      </c>
      <c r="J477" s="316" t="str">
        <f t="array" ref="J477">XLOOKUP(B477,Roster!L:L,Roster!P:P,XLOOKUP(D477,TicketsBreak!A:A,TicketsBreak!G:G,"",0),0)</f>
        <v/>
      </c>
      <c r="K477" s="310">
        <f t="shared" si="4"/>
        <v>46116</v>
      </c>
      <c r="L477" s="317">
        <f t="array" ref="L477">(XLOOKUP(D477,Roster!F:F,Roster!D:D,"",0))</f>
        <v>36</v>
      </c>
      <c r="M477" s="317" t="str">
        <f t="array" ref="M477">XLOOKUP(D477,Roster!F:F,Roster!E:E)</f>
        <v>Voice</v>
      </c>
      <c r="N477" s="317" t="str">
        <f t="shared" ref="N477:P477" si="488">LEFT(H477,5)</f>
        <v/>
      </c>
      <c r="O477" s="317" t="str">
        <f t="shared" si="488"/>
        <v/>
      </c>
      <c r="P477" s="317" t="str">
        <f t="shared" si="488"/>
        <v/>
      </c>
      <c r="Q477" s="318" t="str">
        <f t="shared" si="382"/>
        <v/>
      </c>
      <c r="R477" s="318" t="str">
        <f t="shared" si="383"/>
        <v/>
      </c>
      <c r="S477" s="318" t="str">
        <f t="shared" si="8"/>
        <v/>
      </c>
    </row>
    <row r="478">
      <c r="A478" s="14" t="str">
        <f t="shared" si="1"/>
        <v>C146546116</v>
      </c>
      <c r="B478" s="185" t="str">
        <f t="array" ref="B478">IF(F478="VL","",IF(F478="Free","Free",XLOOKUP(D478,Roster!T:T,Roster!S:S,"",0)))</f>
        <v>Free</v>
      </c>
      <c r="C478" s="313">
        <v>46116.0</v>
      </c>
      <c r="D478" s="314" t="s">
        <v>44</v>
      </c>
      <c r="E478" s="307" t="str">
        <f t="array" ref="E478">(XLOOKUP(D478,Roster!F:F,Roster!B:B,"",0))</f>
        <v>Juan Castilla</v>
      </c>
      <c r="F478" s="315" t="str">
        <f t="array" ref="F478">IF(B478=100,"Free",TEXT(XLOOKUP($D478,OperationVoice!$A:$A,OperationVoice!J:J,XLOOKUP($D478,OperationTickets!$A:$A,OperationTickets!J:J,"",0)),"hh:mm"))</f>
        <v>Free</v>
      </c>
      <c r="G478" s="309" t="str">
        <f t="shared" si="3"/>
        <v>Free</v>
      </c>
      <c r="H478" s="316" t="str">
        <f t="array" ref="H478">XLOOKUP(B478,Roster!L:L,Roster!N:N,XLOOKUP(D478,TicketsBreak!A:A,TicketsBreak!E:E,"",0),0)</f>
        <v/>
      </c>
      <c r="I478" s="316" t="str">
        <f t="array" ref="I478">XLOOKUP(B478,Roster!L:L,Roster!O:O,XLOOKUP(D478,TicketsBreak!A:A,TicketsBreak!F:F,"",0),0)</f>
        <v/>
      </c>
      <c r="J478" s="316" t="str">
        <f t="array" ref="J478">XLOOKUP(B478,Roster!L:L,Roster!P:P,XLOOKUP(D478,TicketsBreak!A:A,TicketsBreak!G:G,"",0),0)</f>
        <v/>
      </c>
      <c r="K478" s="310">
        <f t="shared" si="4"/>
        <v>46116</v>
      </c>
      <c r="L478" s="317">
        <f t="array" ref="L478">(XLOOKUP(D478,Roster!F:F,Roster!D:D,"",0))</f>
        <v>33</v>
      </c>
      <c r="M478" s="317" t="str">
        <f t="array" ref="M478">XLOOKUP(D478,Roster!F:F,Roster!E:E)</f>
        <v>Voice</v>
      </c>
      <c r="N478" s="317" t="str">
        <f t="shared" ref="N478:P478" si="489">LEFT(H478,5)</f>
        <v/>
      </c>
      <c r="O478" s="317" t="str">
        <f t="shared" si="489"/>
        <v/>
      </c>
      <c r="P478" s="317" t="str">
        <f t="shared" si="489"/>
        <v/>
      </c>
      <c r="Q478" s="318" t="str">
        <f t="shared" si="382"/>
        <v/>
      </c>
      <c r="R478" s="318" t="str">
        <f t="shared" si="383"/>
        <v/>
      </c>
      <c r="S478" s="318" t="str">
        <f t="shared" si="8"/>
        <v/>
      </c>
    </row>
    <row r="479">
      <c r="A479" s="14" t="str">
        <f t="shared" si="1"/>
        <v>C72046116</v>
      </c>
      <c r="B479" s="185" t="str">
        <f t="array" ref="B479">IF(F479="VL","",IF(F479="Free","Free",XLOOKUP(D479,Roster!T:T,Roster!S:S,"",0)))</f>
        <v/>
      </c>
      <c r="C479" s="313">
        <v>46116.0</v>
      </c>
      <c r="D479" s="314" t="s">
        <v>162</v>
      </c>
      <c r="E479" s="307" t="str">
        <f t="array" ref="E479">(XLOOKUP(D479,Roster!F:F,Roster!B:B,"",0))</f>
        <v>Juan Durango</v>
      </c>
      <c r="F479" s="315" t="str">
        <f t="array" ref="F479">IF(B479=100,"Free",TEXT(XLOOKUP($D479,OperationVoice!$A:$A,OperationVoice!J:J,XLOOKUP($D479,OperationTickets!$A:$A,OperationTickets!J:J,"",0)),"hh:mm"))</f>
        <v>08:00</v>
      </c>
      <c r="G479" s="309">
        <f t="shared" si="3"/>
        <v>0.7083333333</v>
      </c>
      <c r="H479" s="316">
        <f t="array" ref="H479">XLOOKUP(B479,Roster!L:L,Roster!N:N,XLOOKUP(D479,TicketsBreak!A:A,TicketsBreak!E:E,"",0),0)</f>
        <v>0.40625</v>
      </c>
      <c r="I479" s="316">
        <f t="array" ref="I479">XLOOKUP(B479,Roster!L:L,Roster!O:O,XLOOKUP(D479,TicketsBreak!A:A,TicketsBreak!F:F,"",0),0)</f>
        <v>0.5729166667</v>
      </c>
      <c r="J479" s="316">
        <f t="array" ref="J479">XLOOKUP(B479,Roster!L:L,Roster!P:P,XLOOKUP(D479,TicketsBreak!A:A,TicketsBreak!G:G,"",0),0)</f>
        <v>0.65625</v>
      </c>
      <c r="K479" s="310">
        <f t="shared" si="4"/>
        <v>46116</v>
      </c>
      <c r="L479" s="317">
        <f t="array" ref="L479">(XLOOKUP(D479,Roster!F:F,Roster!D:D,"",0))</f>
        <v>7</v>
      </c>
      <c r="M479" s="317" t="str">
        <f t="array" ref="M479">XLOOKUP(D479,Roster!F:F,Roster!E:E)</f>
        <v>Tickets</v>
      </c>
      <c r="N479" s="317" t="str">
        <f t="shared" ref="N479:P479" si="490">LEFT(H479,5)</f>
        <v>09:45</v>
      </c>
      <c r="O479" s="317" t="str">
        <f t="shared" si="490"/>
        <v>13:45</v>
      </c>
      <c r="P479" s="317" t="str">
        <f t="shared" si="490"/>
        <v>15:45</v>
      </c>
      <c r="Q479" s="318">
        <f t="shared" si="382"/>
        <v>46116.40625</v>
      </c>
      <c r="R479" s="318">
        <f t="shared" si="383"/>
        <v>46116.57292</v>
      </c>
      <c r="S479" s="318">
        <f t="shared" si="8"/>
        <v>46116.65625</v>
      </c>
    </row>
    <row r="480">
      <c r="A480" s="14" t="str">
        <f t="shared" si="1"/>
        <v>C59846116</v>
      </c>
      <c r="B480" s="185" t="str">
        <f t="array" ref="B480">IF(F480="VL","",IF(F480="Free","Free",XLOOKUP(D480,Roster!T:T,Roster!S:S,"",0)))</f>
        <v/>
      </c>
      <c r="C480" s="313">
        <v>46116.0</v>
      </c>
      <c r="D480" s="314" t="s">
        <v>314</v>
      </c>
      <c r="E480" s="307" t="str">
        <f t="array" ref="E480">(XLOOKUP(D480,Roster!F:F,Roster!B:B,"",0))</f>
        <v>Juan Fonnegra</v>
      </c>
      <c r="F480" s="315" t="str">
        <f t="array" ref="F480">IF(B480=100,"Free",TEXT(XLOOKUP($D480,OperationVoice!$A:$A,OperationVoice!J:J,XLOOKUP($D480,OperationTickets!$A:$A,OperationTickets!J:J,"",0)),"hh:mm"))</f>
        <v/>
      </c>
      <c r="G480" s="309" t="str">
        <f t="shared" si="3"/>
        <v/>
      </c>
      <c r="H480" s="316">
        <f t="array" ref="H480">XLOOKUP(B480,Roster!L:L,Roster!N:N,XLOOKUP(D480,TicketsBreak!A:A,TicketsBreak!E:E,"",0),0)</f>
        <v>0.4166666667</v>
      </c>
      <c r="I480" s="316">
        <f t="array" ref="I480">XLOOKUP(B480,Roster!L:L,Roster!O:O,XLOOKUP(D480,TicketsBreak!A:A,TicketsBreak!F:F,"",0),0)</f>
        <v>0.5208333333</v>
      </c>
      <c r="J480" s="316">
        <f t="array" ref="J480">XLOOKUP(B480,Roster!L:L,Roster!P:P,XLOOKUP(D480,TicketsBreak!A:A,TicketsBreak!G:G,"",0),0)</f>
        <v>0.65625</v>
      </c>
      <c r="K480" s="310">
        <f t="shared" si="4"/>
        <v>46116</v>
      </c>
      <c r="L480" s="317">
        <f t="array" ref="L480">(XLOOKUP(D480,Roster!F:F,Roster!D:D,"",0))</f>
        <v>1</v>
      </c>
      <c r="M480" s="317" t="str">
        <f t="array" ref="M480">XLOOKUP(D480,Roster!F:F,Roster!E:E)</f>
        <v>Tickets</v>
      </c>
      <c r="N480" s="317" t="str">
        <f t="shared" ref="N480:P480" si="491">LEFT(H480,5)</f>
        <v>10:00</v>
      </c>
      <c r="O480" s="317" t="str">
        <f t="shared" si="491"/>
        <v>12:30</v>
      </c>
      <c r="P480" s="317" t="str">
        <f t="shared" si="491"/>
        <v>15:45</v>
      </c>
      <c r="Q480" s="318">
        <f t="shared" si="382"/>
        <v>46116.41667</v>
      </c>
      <c r="R480" s="318">
        <f t="shared" si="383"/>
        <v>46116.52083</v>
      </c>
      <c r="S480" s="318">
        <f t="shared" si="8"/>
        <v>46116.65625</v>
      </c>
    </row>
    <row r="481">
      <c r="A481" s="14" t="str">
        <f t="shared" si="1"/>
        <v>C113946116</v>
      </c>
      <c r="B481" s="185" t="str">
        <f t="array" ref="B481">IF(F481="VL","",IF(F481="Free","Free",XLOOKUP(D481,Roster!T:T,Roster!S:S,"",0)))</f>
        <v>Free</v>
      </c>
      <c r="C481" s="313">
        <v>46116.0</v>
      </c>
      <c r="D481" s="314" t="s">
        <v>45</v>
      </c>
      <c r="E481" s="307" t="str">
        <f t="array" ref="E481">(XLOOKUP(D481,Roster!F:F,Roster!B:B,"",0))</f>
        <v>Juan Largacha</v>
      </c>
      <c r="F481" s="315" t="str">
        <f t="array" ref="F481">IF(B481=100,"Free",TEXT(XLOOKUP($D481,OperationVoice!$A:$A,OperationVoice!J:J,XLOOKUP($D481,OperationTickets!$A:$A,OperationTickets!J:J,"",0)),"hh:mm"))</f>
        <v>Free</v>
      </c>
      <c r="G481" s="309" t="str">
        <f t="shared" si="3"/>
        <v>Free</v>
      </c>
      <c r="H481" s="316" t="str">
        <f t="array" ref="H481">XLOOKUP(B481,Roster!L:L,Roster!N:N,XLOOKUP(D481,TicketsBreak!A:A,TicketsBreak!E:E,"",0),0)</f>
        <v/>
      </c>
      <c r="I481" s="316" t="str">
        <f t="array" ref="I481">XLOOKUP(B481,Roster!L:L,Roster!O:O,XLOOKUP(D481,TicketsBreak!A:A,TicketsBreak!F:F,"",0),0)</f>
        <v/>
      </c>
      <c r="J481" s="316" t="str">
        <f t="array" ref="J481">XLOOKUP(B481,Roster!L:L,Roster!P:P,XLOOKUP(D481,TicketsBreak!A:A,TicketsBreak!G:G,"",0),0)</f>
        <v/>
      </c>
      <c r="K481" s="310">
        <f t="shared" si="4"/>
        <v>46116</v>
      </c>
      <c r="L481" s="317">
        <f t="array" ref="L481">(XLOOKUP(D481,Roster!F:F,Roster!D:D,"",0))</f>
        <v>22</v>
      </c>
      <c r="M481" s="317" t="str">
        <f t="array" ref="M481">XLOOKUP(D481,Roster!F:F,Roster!E:E)</f>
        <v>Voice</v>
      </c>
      <c r="N481" s="317" t="str">
        <f t="shared" ref="N481:P481" si="492">LEFT(H481,5)</f>
        <v/>
      </c>
      <c r="O481" s="317" t="str">
        <f t="shared" si="492"/>
        <v/>
      </c>
      <c r="P481" s="317" t="str">
        <f t="shared" si="492"/>
        <v/>
      </c>
      <c r="Q481" s="318" t="str">
        <f t="shared" si="382"/>
        <v/>
      </c>
      <c r="R481" s="318" t="str">
        <f t="shared" si="383"/>
        <v/>
      </c>
      <c r="S481" s="318" t="str">
        <f t="shared" si="8"/>
        <v/>
      </c>
    </row>
    <row r="482">
      <c r="A482" s="14" t="str">
        <f t="shared" si="1"/>
        <v>C156646116</v>
      </c>
      <c r="B482" s="185" t="str">
        <f t="array" ref="B482">IF(F482="VL","",IF(F482="Free","Free",XLOOKUP(D482,Roster!T:T,Roster!S:S,"",0)))</f>
        <v>Free</v>
      </c>
      <c r="C482" s="313">
        <v>46116.0</v>
      </c>
      <c r="D482" s="314" t="s">
        <v>46</v>
      </c>
      <c r="E482" s="307" t="str">
        <f t="array" ref="E482">(XLOOKUP(D482,Roster!F:F,Roster!B:B,"",0))</f>
        <v>Juan Ocampo</v>
      </c>
      <c r="F482" s="315" t="str">
        <f t="array" ref="F482">IF(B482=100,"Free",TEXT(XLOOKUP($D482,OperationVoice!$A:$A,OperationVoice!J:J,XLOOKUP($D482,OperationTickets!$A:$A,OperationTickets!J:J,"",0)),"hh:mm"))</f>
        <v>Free</v>
      </c>
      <c r="G482" s="309" t="str">
        <f t="shared" si="3"/>
        <v>Free</v>
      </c>
      <c r="H482" s="316" t="str">
        <f t="array" ref="H482">XLOOKUP(B482,Roster!L:L,Roster!N:N,XLOOKUP(D482,TicketsBreak!A:A,TicketsBreak!E:E,"",0),0)</f>
        <v/>
      </c>
      <c r="I482" s="316" t="str">
        <f t="array" ref="I482">XLOOKUP(B482,Roster!L:L,Roster!O:O,XLOOKUP(D482,TicketsBreak!A:A,TicketsBreak!F:F,"",0),0)</f>
        <v/>
      </c>
      <c r="J482" s="316" t="str">
        <f t="array" ref="J482">XLOOKUP(B482,Roster!L:L,Roster!P:P,XLOOKUP(D482,TicketsBreak!A:A,TicketsBreak!G:G,"",0),0)</f>
        <v/>
      </c>
      <c r="K482" s="310">
        <f t="shared" si="4"/>
        <v>46116</v>
      </c>
      <c r="L482" s="317">
        <f t="array" ref="L482">(XLOOKUP(D482,Roster!F:F,Roster!D:D,"",0))</f>
        <v>38</v>
      </c>
      <c r="M482" s="317" t="str">
        <f t="array" ref="M482">XLOOKUP(D482,Roster!F:F,Roster!E:E)</f>
        <v>Voice</v>
      </c>
      <c r="N482" s="317" t="str">
        <f t="shared" ref="N482:P482" si="493">LEFT(H482,5)</f>
        <v/>
      </c>
      <c r="O482" s="317" t="str">
        <f t="shared" si="493"/>
        <v/>
      </c>
      <c r="P482" s="317" t="str">
        <f t="shared" si="493"/>
        <v/>
      </c>
      <c r="Q482" s="318" t="str">
        <f t="shared" si="382"/>
        <v/>
      </c>
      <c r="R482" s="318" t="str">
        <f t="shared" si="383"/>
        <v/>
      </c>
      <c r="S482" s="318" t="str">
        <f t="shared" si="8"/>
        <v/>
      </c>
    </row>
    <row r="483">
      <c r="A483" s="14" t="str">
        <f t="shared" si="1"/>
        <v>C148446116</v>
      </c>
      <c r="B483" s="185" t="str">
        <f t="array" ref="B483">IF(F483="VL","",IF(F483="Free","Free",XLOOKUP(D483,Roster!T:T,Roster!S:S,"",0)))</f>
        <v>Free</v>
      </c>
      <c r="C483" s="313">
        <v>46116.0</v>
      </c>
      <c r="D483" s="314" t="s">
        <v>141</v>
      </c>
      <c r="E483" s="307" t="str">
        <f t="array" ref="E483">(XLOOKUP(D483,Roster!F:F,Roster!B:B,"",0))</f>
        <v>Juan Ospina</v>
      </c>
      <c r="F483" s="315" t="str">
        <f t="array" ref="F483">IF(B483=100,"Free",TEXT(XLOOKUP($D483,OperationVoice!$A:$A,OperationVoice!J:J,XLOOKUP($D483,OperationTickets!$A:$A,OperationTickets!J:J,"",0)),"hh:mm"))</f>
        <v>Free</v>
      </c>
      <c r="G483" s="309" t="str">
        <f t="shared" si="3"/>
        <v>Free</v>
      </c>
      <c r="H483" s="316" t="str">
        <f t="array" ref="H483">XLOOKUP(B483,Roster!L:L,Roster!N:N,XLOOKUP(D483,TicketsBreak!A:A,TicketsBreak!E:E,"",0),0)</f>
        <v/>
      </c>
      <c r="I483" s="316" t="str">
        <f t="array" ref="I483">XLOOKUP(B483,Roster!L:L,Roster!O:O,XLOOKUP(D483,TicketsBreak!A:A,TicketsBreak!F:F,"",0),0)</f>
        <v/>
      </c>
      <c r="J483" s="316" t="str">
        <f t="array" ref="J483">XLOOKUP(B483,Roster!L:L,Roster!P:P,XLOOKUP(D483,TicketsBreak!A:A,TicketsBreak!G:G,"",0),0)</f>
        <v/>
      </c>
      <c r="K483" s="310">
        <f t="shared" si="4"/>
        <v>46116</v>
      </c>
      <c r="L483" s="317">
        <f t="array" ref="L483">(XLOOKUP(D483,Roster!F:F,Roster!D:D,"",0))</f>
        <v>34</v>
      </c>
      <c r="M483" s="317" t="str">
        <f t="array" ref="M483">XLOOKUP(D483,Roster!F:F,Roster!E:E)</f>
        <v>Tickets</v>
      </c>
      <c r="N483" s="317" t="str">
        <f t="shared" ref="N483:P483" si="494">LEFT(H483,5)</f>
        <v/>
      </c>
      <c r="O483" s="317" t="str">
        <f t="shared" si="494"/>
        <v/>
      </c>
      <c r="P483" s="317" t="str">
        <f t="shared" si="494"/>
        <v/>
      </c>
      <c r="Q483" s="318" t="str">
        <f t="shared" si="382"/>
        <v/>
      </c>
      <c r="R483" s="318" t="str">
        <f t="shared" si="383"/>
        <v/>
      </c>
      <c r="S483" s="318" t="str">
        <f t="shared" si="8"/>
        <v/>
      </c>
    </row>
    <row r="484">
      <c r="A484" s="14" t="str">
        <f t="shared" si="1"/>
        <v>C141346116</v>
      </c>
      <c r="B484" s="185" t="str">
        <f t="array" ref="B484">IF(F484="VL","",IF(F484="Free","Free",XLOOKUP(D484,Roster!T:T,Roster!S:S,"",0)))</f>
        <v>Free</v>
      </c>
      <c r="C484" s="313">
        <v>46116.0</v>
      </c>
      <c r="D484" s="314" t="s">
        <v>47</v>
      </c>
      <c r="E484" s="307" t="str">
        <f t="array" ref="E484">(XLOOKUP(D484,Roster!F:F,Roster!B:B,"",0))</f>
        <v>Juan Parra</v>
      </c>
      <c r="F484" s="315" t="str">
        <f t="array" ref="F484">IF(B484=100,"Free",TEXT(XLOOKUP($D484,OperationVoice!$A:$A,OperationVoice!J:J,XLOOKUP($D484,OperationTickets!$A:$A,OperationTickets!J:J,"",0)),"hh:mm"))</f>
        <v>Free</v>
      </c>
      <c r="G484" s="309" t="str">
        <f t="shared" si="3"/>
        <v>Free</v>
      </c>
      <c r="H484" s="316" t="str">
        <f t="array" ref="H484">XLOOKUP(B484,Roster!L:L,Roster!N:N,XLOOKUP(D484,TicketsBreak!A:A,TicketsBreak!E:E,"",0),0)</f>
        <v/>
      </c>
      <c r="I484" s="316" t="str">
        <f t="array" ref="I484">XLOOKUP(B484,Roster!L:L,Roster!O:O,XLOOKUP(D484,TicketsBreak!A:A,TicketsBreak!F:F,"",0),0)</f>
        <v/>
      </c>
      <c r="J484" s="316" t="str">
        <f t="array" ref="J484">XLOOKUP(B484,Roster!L:L,Roster!P:P,XLOOKUP(D484,TicketsBreak!A:A,TicketsBreak!G:G,"",0),0)</f>
        <v/>
      </c>
      <c r="K484" s="310">
        <f t="shared" si="4"/>
        <v>46116</v>
      </c>
      <c r="L484" s="317">
        <f t="array" ref="L484">(XLOOKUP(D484,Roster!F:F,Roster!D:D,"",0))</f>
        <v>32</v>
      </c>
      <c r="M484" s="317" t="str">
        <f t="array" ref="M484">XLOOKUP(D484,Roster!F:F,Roster!E:E)</f>
        <v>Voice</v>
      </c>
      <c r="N484" s="317" t="str">
        <f t="shared" ref="N484:P484" si="495">LEFT(H484,5)</f>
        <v/>
      </c>
      <c r="O484" s="317" t="str">
        <f t="shared" si="495"/>
        <v/>
      </c>
      <c r="P484" s="317" t="str">
        <f t="shared" si="495"/>
        <v/>
      </c>
      <c r="Q484" s="318" t="str">
        <f t="shared" si="382"/>
        <v/>
      </c>
      <c r="R484" s="318" t="str">
        <f t="shared" si="383"/>
        <v/>
      </c>
      <c r="S484" s="318" t="str">
        <f t="shared" si="8"/>
        <v/>
      </c>
    </row>
    <row r="485">
      <c r="A485" s="14" t="str">
        <f t="shared" si="1"/>
        <v>C132746116</v>
      </c>
      <c r="B485" s="185" t="str">
        <f t="array" ref="B485">IF(F485="VL","",IF(F485="Free","Free",XLOOKUP(D485,Roster!T:T,Roster!S:S,"",0)))</f>
        <v>Free</v>
      </c>
      <c r="C485" s="313">
        <v>46116.0</v>
      </c>
      <c r="D485" s="314" t="s">
        <v>163</v>
      </c>
      <c r="E485" s="307" t="str">
        <f t="array" ref="E485">(XLOOKUP(D485,Roster!F:F,Roster!B:B,"",0))</f>
        <v>Juan Restrepo</v>
      </c>
      <c r="F485" s="315" t="str">
        <f t="array" ref="F485">IF(B485=100,"Free",TEXT(XLOOKUP($D485,OperationVoice!$A:$A,OperationVoice!J:J,XLOOKUP($D485,OperationTickets!$A:$A,OperationTickets!J:J,"",0)),"hh:mm"))</f>
        <v>Free</v>
      </c>
      <c r="G485" s="309" t="str">
        <f t="shared" si="3"/>
        <v>Free</v>
      </c>
      <c r="H485" s="316" t="str">
        <f t="array" ref="H485">XLOOKUP(B485,Roster!L:L,Roster!N:N,XLOOKUP(D485,TicketsBreak!A:A,TicketsBreak!E:E,"",0),0)</f>
        <v/>
      </c>
      <c r="I485" s="316" t="str">
        <f t="array" ref="I485">XLOOKUP(B485,Roster!L:L,Roster!O:O,XLOOKUP(D485,TicketsBreak!A:A,TicketsBreak!F:F,"",0),0)</f>
        <v/>
      </c>
      <c r="J485" s="316" t="str">
        <f t="array" ref="J485">XLOOKUP(B485,Roster!L:L,Roster!P:P,XLOOKUP(D485,TicketsBreak!A:A,TicketsBreak!G:G,"",0),0)</f>
        <v/>
      </c>
      <c r="K485" s="310">
        <f t="shared" si="4"/>
        <v>46116</v>
      </c>
      <c r="L485" s="317">
        <f t="array" ref="L485">(XLOOKUP(D485,Roster!F:F,Roster!D:D,"",0))</f>
        <v>29</v>
      </c>
      <c r="M485" s="317" t="str">
        <f t="array" ref="M485">XLOOKUP(D485,Roster!F:F,Roster!E:E)</f>
        <v>Tickets</v>
      </c>
      <c r="N485" s="317" t="str">
        <f t="shared" ref="N485:P485" si="496">LEFT(H485,5)</f>
        <v/>
      </c>
      <c r="O485" s="317" t="str">
        <f t="shared" si="496"/>
        <v/>
      </c>
      <c r="P485" s="317" t="str">
        <f t="shared" si="496"/>
        <v/>
      </c>
      <c r="Q485" s="318" t="str">
        <f t="shared" si="382"/>
        <v/>
      </c>
      <c r="R485" s="318" t="str">
        <f t="shared" si="383"/>
        <v/>
      </c>
      <c r="S485" s="318" t="str">
        <f t="shared" si="8"/>
        <v/>
      </c>
    </row>
    <row r="486">
      <c r="A486" s="14" t="str">
        <f t="shared" si="1"/>
        <v>C146946116</v>
      </c>
      <c r="B486" s="185">
        <f t="array" ref="B486">IF(F486="VL","",IF(F486="Free","Free",XLOOKUP(D486,Roster!T:T,Roster!S:S,"",0)))</f>
        <v>122</v>
      </c>
      <c r="C486" s="313">
        <v>46116.0</v>
      </c>
      <c r="D486" s="314" t="s">
        <v>48</v>
      </c>
      <c r="E486" s="307" t="str">
        <f t="array" ref="E486">(XLOOKUP(D486,Roster!F:F,Roster!B:B,"",0))</f>
        <v>Juan Restrepo Restrepo</v>
      </c>
      <c r="F486" s="315" t="str">
        <f t="array" ref="F486">IF(B486=100,"Free",TEXT(XLOOKUP($D486,OperationVoice!$A:$A,OperationVoice!J:J,XLOOKUP($D486,OperationTickets!$A:$A,OperationTickets!J:J,"",0)),"hh:mm"))</f>
        <v>08:00</v>
      </c>
      <c r="G486" s="309">
        <f t="shared" si="3"/>
        <v>0.7083333333</v>
      </c>
      <c r="H486" s="316" t="str">
        <f t="array" ref="H486">XLOOKUP(B486,Roster!L:L,Roster!N:N,XLOOKUP(D486,TicketsBreak!A:A,TicketsBreak!E:E,"",0),0)</f>
        <v>09:30 - 09:45</v>
      </c>
      <c r="I486" s="316" t="str">
        <f t="array" ref="I486">XLOOKUP(B486,Roster!L:L,Roster!O:O,XLOOKUP(D486,TicketsBreak!A:A,TicketsBreak!F:F,"",0),0)</f>
        <v>12:00 - 12:30</v>
      </c>
      <c r="J486" s="316" t="str">
        <f t="array" ref="J486">XLOOKUP(B486,Roster!L:L,Roster!P:P,XLOOKUP(D486,TicketsBreak!A:A,TicketsBreak!G:G,"",0),0)</f>
        <v>14:45 - 15:00</v>
      </c>
      <c r="K486" s="310">
        <f t="shared" si="4"/>
        <v>46116</v>
      </c>
      <c r="L486" s="317">
        <f t="array" ref="L486">(XLOOKUP(D486,Roster!F:F,Roster!D:D,"",0))</f>
        <v>33</v>
      </c>
      <c r="M486" s="317" t="str">
        <f t="array" ref="M486">XLOOKUP(D486,Roster!F:F,Roster!E:E)</f>
        <v>Voice</v>
      </c>
      <c r="N486" s="317" t="str">
        <f t="shared" ref="N486:P486" si="497">LEFT(H486,5)</f>
        <v>09:30</v>
      </c>
      <c r="O486" s="317" t="str">
        <f t="shared" si="497"/>
        <v>12:00</v>
      </c>
      <c r="P486" s="317" t="str">
        <f t="shared" si="497"/>
        <v>14:45</v>
      </c>
      <c r="Q486" s="318">
        <f t="shared" si="382"/>
        <v>46116.39583</v>
      </c>
      <c r="R486" s="318">
        <f t="shared" si="383"/>
        <v>46116.5</v>
      </c>
      <c r="S486" s="318">
        <f t="shared" si="8"/>
        <v>46116.61458</v>
      </c>
    </row>
    <row r="487">
      <c r="A487" s="14" t="str">
        <f t="shared" si="1"/>
        <v>C117146116</v>
      </c>
      <c r="B487" s="185" t="str">
        <f t="array" ref="B487">IF(F487="VL","",IF(F487="Free","Free",XLOOKUP(D487,Roster!T:T,Roster!S:S,"",0)))</f>
        <v/>
      </c>
      <c r="C487" s="313">
        <v>46116.0</v>
      </c>
      <c r="D487" s="314" t="s">
        <v>142</v>
      </c>
      <c r="E487" s="307" t="str">
        <f t="array" ref="E487">(XLOOKUP(D487,Roster!F:F,Roster!B:B,"",0))</f>
        <v>Juan Sanchez</v>
      </c>
      <c r="F487" s="315" t="str">
        <f t="array" ref="F487">IF(B487=100,"Free",TEXT(XLOOKUP($D487,OperationVoice!$A:$A,OperationVoice!J:J,XLOOKUP($D487,OperationTickets!$A:$A,OperationTickets!J:J,"",0)),"hh:mm"))</f>
        <v>08:00</v>
      </c>
      <c r="G487" s="309">
        <f t="shared" si="3"/>
        <v>0.7083333333</v>
      </c>
      <c r="H487" s="316" t="str">
        <f t="array" ref="H487">XLOOKUP(B487,Roster!L:L,Roster!N:N,XLOOKUP(D487,TicketsBreak!A:A,TicketsBreak!E:E,"",0),0)</f>
        <v/>
      </c>
      <c r="I487" s="316" t="str">
        <f t="array" ref="I487">XLOOKUP(B487,Roster!L:L,Roster!O:O,XLOOKUP(D487,TicketsBreak!A:A,TicketsBreak!F:F,"",0),0)</f>
        <v/>
      </c>
      <c r="J487" s="316" t="str">
        <f t="array" ref="J487">XLOOKUP(B487,Roster!L:L,Roster!P:P,XLOOKUP(D487,TicketsBreak!A:A,TicketsBreak!G:G,"",0),0)</f>
        <v/>
      </c>
      <c r="K487" s="310">
        <f t="shared" si="4"/>
        <v>46116</v>
      </c>
      <c r="L487" s="317">
        <f t="array" ref="L487">(XLOOKUP(D487,Roster!F:F,Roster!D:D,"",0))</f>
        <v>24</v>
      </c>
      <c r="M487" s="317" t="str">
        <f t="array" ref="M487">XLOOKUP(D487,Roster!F:F,Roster!E:E)</f>
        <v>Tickets</v>
      </c>
      <c r="N487" s="317" t="str">
        <f t="shared" ref="N487:P487" si="498">LEFT(H487,5)</f>
        <v/>
      </c>
      <c r="O487" s="317" t="str">
        <f t="shared" si="498"/>
        <v/>
      </c>
      <c r="P487" s="317" t="str">
        <f t="shared" si="498"/>
        <v/>
      </c>
      <c r="Q487" s="318" t="str">
        <f t="shared" si="382"/>
        <v/>
      </c>
      <c r="R487" s="318" t="str">
        <f t="shared" si="383"/>
        <v/>
      </c>
      <c r="S487" s="318" t="str">
        <f t="shared" si="8"/>
        <v/>
      </c>
    </row>
    <row r="488">
      <c r="A488" s="14" t="str">
        <f t="shared" si="1"/>
        <v>C74346116</v>
      </c>
      <c r="B488" s="185" t="str">
        <f t="array" ref="B488">IF(F488="VL","",IF(F488="Free","Free",XLOOKUP(D488,Roster!T:T,Roster!S:S,"",0)))</f>
        <v/>
      </c>
      <c r="C488" s="313">
        <v>46116.0</v>
      </c>
      <c r="D488" s="314" t="s">
        <v>164</v>
      </c>
      <c r="E488" s="307" t="str">
        <f t="array" ref="E488">(XLOOKUP(D488,Roster!F:F,Roster!B:B,"",0))</f>
        <v>Juan Suarez</v>
      </c>
      <c r="F488" s="315" t="str">
        <f t="array" ref="F488">IF(B488=100,"Free",TEXT(XLOOKUP($D488,OperationVoice!$A:$A,OperationVoice!J:J,XLOOKUP($D488,OperationTickets!$A:$A,OperationTickets!J:J,"",0)),"hh:mm"))</f>
        <v>08:30</v>
      </c>
      <c r="G488" s="309">
        <f t="shared" si="3"/>
        <v>0.7291666667</v>
      </c>
      <c r="H488" s="316">
        <f t="array" ref="H488">XLOOKUP(B488,Roster!L:L,Roster!N:N,XLOOKUP(D488,TicketsBreak!A:A,TicketsBreak!E:E,"",0),0)</f>
        <v>0.3958333333</v>
      </c>
      <c r="I488" s="316">
        <f t="array" ref="I488">XLOOKUP(B488,Roster!L:L,Roster!O:O,XLOOKUP(D488,TicketsBreak!A:A,TicketsBreak!F:F,"",0),0)</f>
        <v>0.5208333333</v>
      </c>
      <c r="J488" s="316">
        <f t="array" ref="J488">XLOOKUP(B488,Roster!L:L,Roster!P:P,XLOOKUP(D488,TicketsBreak!A:A,TicketsBreak!G:G,"",0),0)</f>
        <v>0.6145833333</v>
      </c>
      <c r="K488" s="310">
        <f t="shared" si="4"/>
        <v>46116</v>
      </c>
      <c r="L488" s="317">
        <f t="array" ref="L488">(XLOOKUP(D488,Roster!F:F,Roster!D:D,"",0))</f>
        <v>8</v>
      </c>
      <c r="M488" s="317" t="str">
        <f t="array" ref="M488">XLOOKUP(D488,Roster!F:F,Roster!E:E)</f>
        <v>Tickets</v>
      </c>
      <c r="N488" s="317" t="str">
        <f t="shared" ref="N488:P488" si="499">LEFT(H488,5)</f>
        <v>09:30</v>
      </c>
      <c r="O488" s="317" t="str">
        <f t="shared" si="499"/>
        <v>12:30</v>
      </c>
      <c r="P488" s="317" t="str">
        <f t="shared" si="499"/>
        <v>14:45</v>
      </c>
      <c r="Q488" s="318">
        <f t="shared" si="382"/>
        <v>46116.39583</v>
      </c>
      <c r="R488" s="318">
        <f t="shared" si="383"/>
        <v>46116.52083</v>
      </c>
      <c r="S488" s="318">
        <f t="shared" si="8"/>
        <v>46116.61458</v>
      </c>
    </row>
    <row r="489">
      <c r="A489" s="14" t="str">
        <f t="shared" si="1"/>
        <v>C156846116</v>
      </c>
      <c r="B489" s="185">
        <f t="array" ref="B489">IF(F489="VL","",IF(F489="Free","Free",XLOOKUP(D489,Roster!T:T,Roster!S:S,"",0)))</f>
        <v>122</v>
      </c>
      <c r="C489" s="313">
        <v>46116.0</v>
      </c>
      <c r="D489" s="314" t="s">
        <v>49</v>
      </c>
      <c r="E489" s="307" t="str">
        <f t="array" ref="E489">(XLOOKUP(D489,Roster!F:F,Roster!B:B,"",0))</f>
        <v>Juan Zapata</v>
      </c>
      <c r="F489" s="315" t="str">
        <f t="array" ref="F489">IF(B489=100,"Free",TEXT(XLOOKUP($D489,OperationVoice!$A:$A,OperationVoice!J:J,XLOOKUP($D489,OperationTickets!$A:$A,OperationTickets!J:J,"",0)),"hh:mm"))</f>
        <v>08:00</v>
      </c>
      <c r="G489" s="309">
        <f t="shared" si="3"/>
        <v>0.7083333333</v>
      </c>
      <c r="H489" s="316" t="str">
        <f t="array" ref="H489">XLOOKUP(B489,Roster!L:L,Roster!N:N,XLOOKUP(D489,TicketsBreak!A:A,TicketsBreak!E:E,"",0),0)</f>
        <v>09:30 - 09:45</v>
      </c>
      <c r="I489" s="316" t="str">
        <f t="array" ref="I489">XLOOKUP(B489,Roster!L:L,Roster!O:O,XLOOKUP(D489,TicketsBreak!A:A,TicketsBreak!F:F,"",0),0)</f>
        <v>12:00 - 12:30</v>
      </c>
      <c r="J489" s="316" t="str">
        <f t="array" ref="J489">XLOOKUP(B489,Roster!L:L,Roster!P:P,XLOOKUP(D489,TicketsBreak!A:A,TicketsBreak!G:G,"",0),0)</f>
        <v>14:45 - 15:00</v>
      </c>
      <c r="K489" s="310">
        <f t="shared" si="4"/>
        <v>46116</v>
      </c>
      <c r="L489" s="317">
        <f t="array" ref="L489">(XLOOKUP(D489,Roster!F:F,Roster!D:D,"",0))</f>
        <v>38</v>
      </c>
      <c r="M489" s="317" t="str">
        <f t="array" ref="M489">XLOOKUP(D489,Roster!F:F,Roster!E:E)</f>
        <v>Voice</v>
      </c>
      <c r="N489" s="317" t="str">
        <f t="shared" ref="N489:P489" si="500">LEFT(H489,5)</f>
        <v>09:30</v>
      </c>
      <c r="O489" s="317" t="str">
        <f t="shared" si="500"/>
        <v>12:00</v>
      </c>
      <c r="P489" s="317" t="str">
        <f t="shared" si="500"/>
        <v>14:45</v>
      </c>
      <c r="Q489" s="318">
        <f t="shared" si="382"/>
        <v>46116.39583</v>
      </c>
      <c r="R489" s="318">
        <f t="shared" si="383"/>
        <v>46116.5</v>
      </c>
      <c r="S489" s="318">
        <f t="shared" si="8"/>
        <v>46116.61458</v>
      </c>
    </row>
    <row r="490">
      <c r="A490" s="14" t="str">
        <f t="shared" si="1"/>
        <v>C75546116</v>
      </c>
      <c r="B490" s="185" t="str">
        <f t="array" ref="B490">IF(F490="VL","",IF(F490="Free","Free",XLOOKUP(D490,Roster!T:T,Roster!S:S,"",0)))</f>
        <v>Free</v>
      </c>
      <c r="C490" s="313">
        <v>46116.0</v>
      </c>
      <c r="D490" s="314" t="s">
        <v>143</v>
      </c>
      <c r="E490" s="307" t="str">
        <f t="array" ref="E490">(XLOOKUP(D490,Roster!F:F,Roster!B:B,"",0))</f>
        <v>Julian Higuita</v>
      </c>
      <c r="F490" s="315" t="str">
        <f t="array" ref="F490">IF(B490=100,"Free",TEXT(XLOOKUP($D490,OperationVoice!$A:$A,OperationVoice!J:J,XLOOKUP($D490,OperationTickets!$A:$A,OperationTickets!J:J,"",0)),"hh:mm"))</f>
        <v>Free</v>
      </c>
      <c r="G490" s="309" t="str">
        <f t="shared" si="3"/>
        <v>Free</v>
      </c>
      <c r="H490" s="316" t="str">
        <f t="array" ref="H490">XLOOKUP(B490,Roster!L:L,Roster!N:N,XLOOKUP(D490,TicketsBreak!A:A,TicketsBreak!E:E,"",0),0)</f>
        <v/>
      </c>
      <c r="I490" s="316" t="str">
        <f t="array" ref="I490">XLOOKUP(B490,Roster!L:L,Roster!O:O,XLOOKUP(D490,TicketsBreak!A:A,TicketsBreak!F:F,"",0),0)</f>
        <v/>
      </c>
      <c r="J490" s="316" t="str">
        <f t="array" ref="J490">XLOOKUP(B490,Roster!L:L,Roster!P:P,XLOOKUP(D490,TicketsBreak!A:A,TicketsBreak!G:G,"",0),0)</f>
        <v/>
      </c>
      <c r="K490" s="310">
        <f t="shared" si="4"/>
        <v>46116</v>
      </c>
      <c r="L490" s="317">
        <f t="array" ref="L490">(XLOOKUP(D490,Roster!F:F,Roster!D:D,"",0))</f>
        <v>35</v>
      </c>
      <c r="M490" s="317" t="str">
        <f t="array" ref="M490">XLOOKUP(D490,Roster!F:F,Roster!E:E)</f>
        <v>Tickets</v>
      </c>
      <c r="N490" s="317" t="str">
        <f t="shared" ref="N490:P490" si="501">LEFT(H490,5)</f>
        <v/>
      </c>
      <c r="O490" s="317" t="str">
        <f t="shared" si="501"/>
        <v/>
      </c>
      <c r="P490" s="317" t="str">
        <f t="shared" si="501"/>
        <v/>
      </c>
      <c r="Q490" s="318" t="str">
        <f t="shared" si="382"/>
        <v/>
      </c>
      <c r="R490" s="318" t="str">
        <f t="shared" si="383"/>
        <v/>
      </c>
      <c r="S490" s="318" t="str">
        <f t="shared" si="8"/>
        <v/>
      </c>
    </row>
    <row r="491">
      <c r="A491" s="14" t="str">
        <f t="shared" si="1"/>
        <v>C52546116</v>
      </c>
      <c r="B491" s="185" t="str">
        <f t="array" ref="B491">IF(F491="VL","",IF(F491="Free","Free",XLOOKUP(D491,Roster!T:T,Roster!S:S,"",0)))</f>
        <v>Free</v>
      </c>
      <c r="C491" s="313">
        <v>46116.0</v>
      </c>
      <c r="D491" s="314" t="s">
        <v>176</v>
      </c>
      <c r="E491" s="307" t="str">
        <f t="array" ref="E491">(XLOOKUP(D491,Roster!F:F,Roster!B:B,"",0))</f>
        <v>Julian Pineda</v>
      </c>
      <c r="F491" s="315" t="str">
        <f t="array" ref="F491">IF(B491=100,"Free",TEXT(XLOOKUP($D491,OperationVoice!$A:$A,OperationVoice!J:J,XLOOKUP($D491,OperationTickets!$A:$A,OperationTickets!J:J,"",0)),"hh:mm"))</f>
        <v>Free</v>
      </c>
      <c r="G491" s="309" t="str">
        <f t="shared" si="3"/>
        <v>Free</v>
      </c>
      <c r="H491" s="316" t="str">
        <f t="array" ref="H491">XLOOKUP(B491,Roster!L:L,Roster!N:N,XLOOKUP(D491,TicketsBreak!A:A,TicketsBreak!E:E,"",0),0)</f>
        <v/>
      </c>
      <c r="I491" s="316" t="str">
        <f t="array" ref="I491">XLOOKUP(B491,Roster!L:L,Roster!O:O,XLOOKUP(D491,TicketsBreak!A:A,TicketsBreak!F:F,"",0),0)</f>
        <v/>
      </c>
      <c r="J491" s="316" t="str">
        <f t="array" ref="J491">XLOOKUP(B491,Roster!L:L,Roster!P:P,XLOOKUP(D491,TicketsBreak!A:A,TicketsBreak!G:G,"",0),0)</f>
        <v/>
      </c>
      <c r="K491" s="310">
        <f t="shared" si="4"/>
        <v>46116</v>
      </c>
      <c r="L491" s="317">
        <f t="array" ref="L491">(XLOOKUP(D491,Roster!F:F,Roster!D:D,"",0))</f>
        <v>35</v>
      </c>
      <c r="M491" s="317" t="str">
        <f t="array" ref="M491">XLOOKUP(D491,Roster!F:F,Roster!E:E)</f>
        <v>Tickets</v>
      </c>
      <c r="N491" s="317" t="str">
        <f t="shared" ref="N491:P491" si="502">LEFT(H491,5)</f>
        <v/>
      </c>
      <c r="O491" s="317" t="str">
        <f t="shared" si="502"/>
        <v/>
      </c>
      <c r="P491" s="317" t="str">
        <f t="shared" si="502"/>
        <v/>
      </c>
      <c r="Q491" s="318" t="str">
        <f t="shared" si="382"/>
        <v/>
      </c>
      <c r="R491" s="318" t="str">
        <f t="shared" si="383"/>
        <v/>
      </c>
      <c r="S491" s="318" t="str">
        <f t="shared" si="8"/>
        <v/>
      </c>
    </row>
    <row r="492">
      <c r="A492" s="14" t="str">
        <f t="shared" si="1"/>
        <v>C142746116</v>
      </c>
      <c r="B492" s="185" t="str">
        <f t="array" ref="B492">IF(F492="VL","",IF(F492="Free","Free",XLOOKUP(D492,Roster!T:T,Roster!S:S,"",0)))</f>
        <v>Free</v>
      </c>
      <c r="C492" s="313">
        <v>46116.0</v>
      </c>
      <c r="D492" s="314" t="s">
        <v>50</v>
      </c>
      <c r="E492" s="307" t="str">
        <f t="array" ref="E492">(XLOOKUP(D492,Roster!F:F,Roster!B:B,"",0))</f>
        <v>Karen Lorena Martinez</v>
      </c>
      <c r="F492" s="315" t="str">
        <f t="array" ref="F492">IF(B492=100,"Free",TEXT(XLOOKUP($D492,OperationVoice!$A:$A,OperationVoice!J:J,XLOOKUP($D492,OperationTickets!$A:$A,OperationTickets!J:J,"",0)),"hh:mm"))</f>
        <v>Free</v>
      </c>
      <c r="G492" s="309" t="str">
        <f t="shared" si="3"/>
        <v>Free</v>
      </c>
      <c r="H492" s="316" t="str">
        <f t="array" ref="H492">XLOOKUP(B492,Roster!L:L,Roster!N:N,XLOOKUP(D492,TicketsBreak!A:A,TicketsBreak!E:E,"",0),0)</f>
        <v/>
      </c>
      <c r="I492" s="316" t="str">
        <f t="array" ref="I492">XLOOKUP(B492,Roster!L:L,Roster!O:O,XLOOKUP(D492,TicketsBreak!A:A,TicketsBreak!F:F,"",0),0)</f>
        <v/>
      </c>
      <c r="J492" s="316" t="str">
        <f t="array" ref="J492">XLOOKUP(B492,Roster!L:L,Roster!P:P,XLOOKUP(D492,TicketsBreak!A:A,TicketsBreak!G:G,"",0),0)</f>
        <v/>
      </c>
      <c r="K492" s="310">
        <f t="shared" si="4"/>
        <v>46116</v>
      </c>
      <c r="L492" s="317">
        <f t="array" ref="L492">(XLOOKUP(D492,Roster!F:F,Roster!D:D,"",0))</f>
        <v>32</v>
      </c>
      <c r="M492" s="317" t="str">
        <f t="array" ref="M492">XLOOKUP(D492,Roster!F:F,Roster!E:E)</f>
        <v>Voice</v>
      </c>
      <c r="N492" s="317" t="str">
        <f t="shared" ref="N492:P492" si="503">LEFT(H492,5)</f>
        <v/>
      </c>
      <c r="O492" s="317" t="str">
        <f t="shared" si="503"/>
        <v/>
      </c>
      <c r="P492" s="317" t="str">
        <f t="shared" si="503"/>
        <v/>
      </c>
      <c r="Q492" s="318" t="str">
        <f t="shared" si="382"/>
        <v/>
      </c>
      <c r="R492" s="318" t="str">
        <f t="shared" si="383"/>
        <v/>
      </c>
      <c r="S492" s="318" t="str">
        <f t="shared" si="8"/>
        <v/>
      </c>
    </row>
    <row r="493">
      <c r="A493" s="14" t="str">
        <f t="shared" si="1"/>
        <v>C57946116</v>
      </c>
      <c r="B493" s="185" t="str">
        <f t="array" ref="B493">IF(F493="VL","",IF(F493="Free","Free",XLOOKUP(D493,Roster!T:T,Roster!S:S,"",0)))</f>
        <v/>
      </c>
      <c r="C493" s="313">
        <v>46116.0</v>
      </c>
      <c r="D493" s="314" t="s">
        <v>144</v>
      </c>
      <c r="E493" s="307" t="str">
        <f t="array" ref="E493">(XLOOKUP(D493,Roster!F:F,Roster!B:B,"",0))</f>
        <v>Karen Martinez</v>
      </c>
      <c r="F493" s="315" t="str">
        <f t="array" ref="F493">IF(B493=100,"Free",TEXT(XLOOKUP($D493,OperationVoice!$A:$A,OperationVoice!J:J,XLOOKUP($D493,OperationTickets!$A:$A,OperationTickets!J:J,"",0)),"hh:mm"))</f>
        <v>08:00</v>
      </c>
      <c r="G493" s="309">
        <f t="shared" si="3"/>
        <v>0.7083333333</v>
      </c>
      <c r="H493" s="316">
        <f t="array" ref="H493">XLOOKUP(B493,Roster!L:L,Roster!N:N,XLOOKUP(D493,TicketsBreak!A:A,TicketsBreak!E:E,"",0),0)</f>
        <v>0.4166666667</v>
      </c>
      <c r="I493" s="316">
        <f t="array" ref="I493">XLOOKUP(B493,Roster!L:L,Roster!O:O,XLOOKUP(D493,TicketsBreak!A:A,TicketsBreak!F:F,"",0),0)</f>
        <v>0.5</v>
      </c>
      <c r="J493" s="316">
        <f t="array" ref="J493">XLOOKUP(B493,Roster!L:L,Roster!P:P,XLOOKUP(D493,TicketsBreak!A:A,TicketsBreak!G:G,"",0),0)</f>
        <v>0.625</v>
      </c>
      <c r="K493" s="310">
        <f t="shared" si="4"/>
        <v>46116</v>
      </c>
      <c r="L493" s="317">
        <f t="array" ref="L493">(XLOOKUP(D493,Roster!F:F,Roster!D:D,"",0))</f>
        <v>4</v>
      </c>
      <c r="M493" s="317" t="str">
        <f t="array" ref="M493">XLOOKUP(D493,Roster!F:F,Roster!E:E)</f>
        <v>Tickets</v>
      </c>
      <c r="N493" s="317" t="str">
        <f t="shared" ref="N493:P493" si="504">LEFT(H493,5)</f>
        <v>10:00</v>
      </c>
      <c r="O493" s="317" t="str">
        <f t="shared" si="504"/>
        <v>12:00</v>
      </c>
      <c r="P493" s="317" t="str">
        <f t="shared" si="504"/>
        <v>15:00</v>
      </c>
      <c r="Q493" s="318">
        <f t="shared" si="382"/>
        <v>46116.41667</v>
      </c>
      <c r="R493" s="318">
        <f t="shared" si="383"/>
        <v>46116.5</v>
      </c>
      <c r="S493" s="318">
        <f t="shared" si="8"/>
        <v>46116.625</v>
      </c>
    </row>
    <row r="494">
      <c r="A494" s="14" t="str">
        <f t="shared" si="1"/>
        <v>C108646116</v>
      </c>
      <c r="B494" s="185">
        <f t="array" ref="B494">IF(F494="VL","",IF(F494="Free","Free",XLOOKUP(D494,Roster!T:T,Roster!S:S,"",0)))</f>
        <v>124</v>
      </c>
      <c r="C494" s="313">
        <v>46116.0</v>
      </c>
      <c r="D494" s="314" t="s">
        <v>51</v>
      </c>
      <c r="E494" s="307" t="str">
        <f t="array" ref="E494">(XLOOKUP(D494,Roster!F:F,Roster!B:B,"",0))</f>
        <v>Karen Panqueva</v>
      </c>
      <c r="F494" s="315" t="str">
        <f t="array" ref="F494">IF(B494=100,"Free",TEXT(XLOOKUP($D494,OperationVoice!$A:$A,OperationVoice!J:J,XLOOKUP($D494,OperationTickets!$A:$A,OperationTickets!J:J,"",0)),"hh:mm"))</f>
        <v>08:00</v>
      </c>
      <c r="G494" s="309">
        <f t="shared" si="3"/>
        <v>0.7083333333</v>
      </c>
      <c r="H494" s="316" t="str">
        <f t="array" ref="H494">XLOOKUP(B494,Roster!L:L,Roster!N:N,XLOOKUP(D494,TicketsBreak!A:A,TicketsBreak!E:E,"",0),0)</f>
        <v>10:00 - 10:15</v>
      </c>
      <c r="I494" s="316" t="str">
        <f t="array" ref="I494">XLOOKUP(B494,Roster!L:L,Roster!O:O,XLOOKUP(D494,TicketsBreak!A:A,TicketsBreak!F:F,"",0),0)</f>
        <v>13:00 - 13:30</v>
      </c>
      <c r="J494" s="316" t="str">
        <f t="array" ref="J494">XLOOKUP(B494,Roster!L:L,Roster!P:P,XLOOKUP(D494,TicketsBreak!A:A,TicketsBreak!G:G,"",0),0)</f>
        <v>15:30 - 15:45</v>
      </c>
      <c r="K494" s="310">
        <f t="shared" si="4"/>
        <v>46116</v>
      </c>
      <c r="L494" s="317">
        <f t="array" ref="L494">(XLOOKUP(D494,Roster!F:F,Roster!D:D,"",0))</f>
        <v>19</v>
      </c>
      <c r="M494" s="317" t="str">
        <f t="array" ref="M494">XLOOKUP(D494,Roster!F:F,Roster!E:E)</f>
        <v>Voice</v>
      </c>
      <c r="N494" s="317" t="str">
        <f t="shared" ref="N494:P494" si="505">LEFT(H494,5)</f>
        <v>10:00</v>
      </c>
      <c r="O494" s="317" t="str">
        <f t="shared" si="505"/>
        <v>13:00</v>
      </c>
      <c r="P494" s="317" t="str">
        <f t="shared" si="505"/>
        <v>15:30</v>
      </c>
      <c r="Q494" s="318">
        <f t="shared" si="382"/>
        <v>46116.41667</v>
      </c>
      <c r="R494" s="318">
        <f t="shared" si="383"/>
        <v>46116.54167</v>
      </c>
      <c r="S494" s="318">
        <f t="shared" si="8"/>
        <v>46116.64583</v>
      </c>
    </row>
    <row r="495">
      <c r="A495" s="14" t="str">
        <f t="shared" si="1"/>
        <v>C149246116</v>
      </c>
      <c r="B495" s="185" t="str">
        <f t="array" ref="B495">IF(F495="VL","",IF(F495="Free","Free",XLOOKUP(D495,Roster!T:T,Roster!S:S,"",0)))</f>
        <v>Free</v>
      </c>
      <c r="C495" s="313">
        <v>46116.0</v>
      </c>
      <c r="D495" s="314" t="s">
        <v>52</v>
      </c>
      <c r="E495" s="307" t="str">
        <f t="array" ref="E495">(XLOOKUP(D495,Roster!F:F,Roster!B:B,"",0))</f>
        <v>Karol Pineda</v>
      </c>
      <c r="F495" s="315" t="str">
        <f t="array" ref="F495">IF(B495=100,"Free",TEXT(XLOOKUP($D495,OperationVoice!$A:$A,OperationVoice!J:J,XLOOKUP($D495,OperationTickets!$A:$A,OperationTickets!J:J,"",0)),"hh:mm"))</f>
        <v>Free</v>
      </c>
      <c r="G495" s="309" t="str">
        <f t="shared" si="3"/>
        <v>Free</v>
      </c>
      <c r="H495" s="316" t="str">
        <f t="array" ref="H495">XLOOKUP(B495,Roster!L:L,Roster!N:N,XLOOKUP(D495,TicketsBreak!A:A,TicketsBreak!E:E,"",0),0)</f>
        <v/>
      </c>
      <c r="I495" s="316" t="str">
        <f t="array" ref="I495">XLOOKUP(B495,Roster!L:L,Roster!O:O,XLOOKUP(D495,TicketsBreak!A:A,TicketsBreak!F:F,"",0),0)</f>
        <v/>
      </c>
      <c r="J495" s="316" t="str">
        <f t="array" ref="J495">XLOOKUP(B495,Roster!L:L,Roster!P:P,XLOOKUP(D495,TicketsBreak!A:A,TicketsBreak!G:G,"",0),0)</f>
        <v/>
      </c>
      <c r="K495" s="310">
        <f t="shared" si="4"/>
        <v>46116</v>
      </c>
      <c r="L495" s="317">
        <f t="array" ref="L495">(XLOOKUP(D495,Roster!F:F,Roster!D:D,"",0))</f>
        <v>34</v>
      </c>
      <c r="M495" s="317" t="str">
        <f t="array" ref="M495">XLOOKUP(D495,Roster!F:F,Roster!E:E)</f>
        <v>Voice</v>
      </c>
      <c r="N495" s="317" t="str">
        <f t="shared" ref="N495:P495" si="506">LEFT(H495,5)</f>
        <v/>
      </c>
      <c r="O495" s="317" t="str">
        <f t="shared" si="506"/>
        <v/>
      </c>
      <c r="P495" s="317" t="str">
        <f t="shared" si="506"/>
        <v/>
      </c>
      <c r="Q495" s="318" t="str">
        <f t="shared" si="382"/>
        <v/>
      </c>
      <c r="R495" s="318" t="str">
        <f t="shared" si="383"/>
        <v/>
      </c>
      <c r="S495" s="318" t="str">
        <f t="shared" si="8"/>
        <v/>
      </c>
    </row>
    <row r="496">
      <c r="A496" s="14" t="str">
        <f t="shared" si="1"/>
        <v>C65846116</v>
      </c>
      <c r="B496" s="185" t="str">
        <f t="array" ref="B496">IF(F496="VL","",IF(F496="Free","Free",XLOOKUP(D496,Roster!T:T,Roster!S:S,"",0)))</f>
        <v>Free</v>
      </c>
      <c r="C496" s="313">
        <v>46116.0</v>
      </c>
      <c r="D496" s="314" t="s">
        <v>53</v>
      </c>
      <c r="E496" s="307" t="str">
        <f t="array" ref="E496">(XLOOKUP(D496,Roster!F:F,Roster!B:B,"",0))</f>
        <v>Kennedy Giraldo</v>
      </c>
      <c r="F496" s="315" t="str">
        <f t="array" ref="F496">IF(B496=100,"Free",TEXT(XLOOKUP($D496,OperationVoice!$A:$A,OperationVoice!J:J,XLOOKUP($D496,OperationTickets!$A:$A,OperationTickets!J:J,"",0)),"hh:mm"))</f>
        <v>Free</v>
      </c>
      <c r="G496" s="309" t="str">
        <f t="shared" si="3"/>
        <v>Free</v>
      </c>
      <c r="H496" s="316" t="str">
        <f t="array" ref="H496">XLOOKUP(B496,Roster!L:L,Roster!N:N,XLOOKUP(D496,TicketsBreak!A:A,TicketsBreak!E:E,"",0),0)</f>
        <v/>
      </c>
      <c r="I496" s="316" t="str">
        <f t="array" ref="I496">XLOOKUP(B496,Roster!L:L,Roster!O:O,XLOOKUP(D496,TicketsBreak!A:A,TicketsBreak!F:F,"",0),0)</f>
        <v/>
      </c>
      <c r="J496" s="316" t="str">
        <f t="array" ref="J496">XLOOKUP(B496,Roster!L:L,Roster!P:P,XLOOKUP(D496,TicketsBreak!A:A,TicketsBreak!G:G,"",0),0)</f>
        <v/>
      </c>
      <c r="K496" s="310">
        <f t="shared" si="4"/>
        <v>46116</v>
      </c>
      <c r="L496" s="317">
        <f t="array" ref="L496">(XLOOKUP(D496,Roster!F:F,Roster!D:D,"",0))</f>
        <v>2</v>
      </c>
      <c r="M496" s="317" t="str">
        <f t="array" ref="M496">XLOOKUP(D496,Roster!F:F,Roster!E:E)</f>
        <v>Voice</v>
      </c>
      <c r="N496" s="317" t="str">
        <f t="shared" ref="N496:P496" si="507">LEFT(H496,5)</f>
        <v/>
      </c>
      <c r="O496" s="317" t="str">
        <f t="shared" si="507"/>
        <v/>
      </c>
      <c r="P496" s="317" t="str">
        <f t="shared" si="507"/>
        <v/>
      </c>
      <c r="Q496" s="318" t="str">
        <f t="shared" si="382"/>
        <v/>
      </c>
      <c r="R496" s="318" t="str">
        <f t="shared" si="383"/>
        <v/>
      </c>
      <c r="S496" s="318" t="str">
        <f t="shared" si="8"/>
        <v/>
      </c>
    </row>
    <row r="497">
      <c r="A497" s="14" t="str">
        <f t="shared" si="1"/>
        <v>C151446116</v>
      </c>
      <c r="B497" s="185" t="str">
        <f t="array" ref="B497">IF(F497="VL","",IF(F497="Free","Free",XLOOKUP(D497,Roster!T:T,Roster!S:S,"",0)))</f>
        <v>Free</v>
      </c>
      <c r="C497" s="313">
        <v>46116.0</v>
      </c>
      <c r="D497" s="314" t="s">
        <v>54</v>
      </c>
      <c r="E497" s="307" t="str">
        <f t="array" ref="E497">(XLOOKUP(D497,Roster!F:F,Roster!B:B,"",0))</f>
        <v>Kevin Betancur</v>
      </c>
      <c r="F497" s="315" t="str">
        <f t="array" ref="F497">IF(B497=100,"Free",TEXT(XLOOKUP($D497,OperationVoice!$A:$A,OperationVoice!J:J,XLOOKUP($D497,OperationTickets!$A:$A,OperationTickets!J:J,"",0)),"hh:mm"))</f>
        <v>Free</v>
      </c>
      <c r="G497" s="309" t="str">
        <f t="shared" si="3"/>
        <v>Free</v>
      </c>
      <c r="H497" s="316" t="str">
        <f t="array" ref="H497">XLOOKUP(B497,Roster!L:L,Roster!N:N,XLOOKUP(D497,TicketsBreak!A:A,TicketsBreak!E:E,"",0),0)</f>
        <v/>
      </c>
      <c r="I497" s="316" t="str">
        <f t="array" ref="I497">XLOOKUP(B497,Roster!L:L,Roster!O:O,XLOOKUP(D497,TicketsBreak!A:A,TicketsBreak!F:F,"",0),0)</f>
        <v/>
      </c>
      <c r="J497" s="316" t="str">
        <f t="array" ref="J497">XLOOKUP(B497,Roster!L:L,Roster!P:P,XLOOKUP(D497,TicketsBreak!A:A,TicketsBreak!G:G,"",0),0)</f>
        <v/>
      </c>
      <c r="K497" s="310">
        <f t="shared" si="4"/>
        <v>46116</v>
      </c>
      <c r="L497" s="317">
        <f t="array" ref="L497">(XLOOKUP(D497,Roster!F:F,Roster!D:D,"",0))</f>
        <v>35</v>
      </c>
      <c r="M497" s="317" t="str">
        <f t="array" ref="M497">XLOOKUP(D497,Roster!F:F,Roster!E:E)</f>
        <v>Voice</v>
      </c>
      <c r="N497" s="317" t="str">
        <f t="shared" ref="N497:P497" si="508">LEFT(H497,5)</f>
        <v/>
      </c>
      <c r="O497" s="317" t="str">
        <f t="shared" si="508"/>
        <v/>
      </c>
      <c r="P497" s="317" t="str">
        <f t="shared" si="508"/>
        <v/>
      </c>
      <c r="Q497" s="318" t="str">
        <f t="shared" si="382"/>
        <v/>
      </c>
      <c r="R497" s="318" t="str">
        <f t="shared" si="383"/>
        <v/>
      </c>
      <c r="S497" s="318" t="str">
        <f t="shared" si="8"/>
        <v/>
      </c>
    </row>
    <row r="498">
      <c r="A498" s="14" t="str">
        <f t="shared" si="1"/>
        <v>C157146116</v>
      </c>
      <c r="B498" s="185" t="str">
        <f t="array" ref="B498">IF(F498="VL","",IF(F498="Free","Free",XLOOKUP(D498,Roster!T:T,Roster!S:S,"",0)))</f>
        <v>Free</v>
      </c>
      <c r="C498" s="313">
        <v>46116.0</v>
      </c>
      <c r="D498" s="314" t="s">
        <v>55</v>
      </c>
      <c r="E498" s="307" t="str">
        <f t="array" ref="E498">(XLOOKUP(D498,Roster!F:F,Roster!B:B,"",0))</f>
        <v>Laura Chamorro</v>
      </c>
      <c r="F498" s="315" t="str">
        <f t="array" ref="F498">IF(B498=100,"Free",TEXT(XLOOKUP($D498,OperationVoice!$A:$A,OperationVoice!J:J,XLOOKUP($D498,OperationTickets!$A:$A,OperationTickets!J:J,"",0)),"hh:mm"))</f>
        <v>Free</v>
      </c>
      <c r="G498" s="309" t="str">
        <f t="shared" si="3"/>
        <v>Free</v>
      </c>
      <c r="H498" s="316" t="str">
        <f t="array" ref="H498">XLOOKUP(B498,Roster!L:L,Roster!N:N,XLOOKUP(D498,TicketsBreak!A:A,TicketsBreak!E:E,"",0),0)</f>
        <v/>
      </c>
      <c r="I498" s="316" t="str">
        <f t="array" ref="I498">XLOOKUP(B498,Roster!L:L,Roster!O:O,XLOOKUP(D498,TicketsBreak!A:A,TicketsBreak!F:F,"",0),0)</f>
        <v/>
      </c>
      <c r="J498" s="316" t="str">
        <f t="array" ref="J498">XLOOKUP(B498,Roster!L:L,Roster!P:P,XLOOKUP(D498,TicketsBreak!A:A,TicketsBreak!G:G,"",0),0)</f>
        <v/>
      </c>
      <c r="K498" s="310">
        <f t="shared" si="4"/>
        <v>46116</v>
      </c>
      <c r="L498" s="317">
        <f t="array" ref="L498">(XLOOKUP(D498,Roster!F:F,Roster!D:D,"",0))</f>
        <v>38</v>
      </c>
      <c r="M498" s="317" t="str">
        <f t="array" ref="M498">XLOOKUP(D498,Roster!F:F,Roster!E:E)</f>
        <v>Voice</v>
      </c>
      <c r="N498" s="317" t="str">
        <f t="shared" ref="N498:P498" si="509">LEFT(H498,5)</f>
        <v/>
      </c>
      <c r="O498" s="317" t="str">
        <f t="shared" si="509"/>
        <v/>
      </c>
      <c r="P498" s="317" t="str">
        <f t="shared" si="509"/>
        <v/>
      </c>
      <c r="Q498" s="318" t="str">
        <f t="shared" si="382"/>
        <v/>
      </c>
      <c r="R498" s="318" t="str">
        <f t="shared" si="383"/>
        <v/>
      </c>
      <c r="S498" s="318" t="str">
        <f t="shared" si="8"/>
        <v/>
      </c>
    </row>
    <row r="499">
      <c r="A499" s="14" t="str">
        <f t="shared" si="1"/>
        <v>C53446116</v>
      </c>
      <c r="B499" s="185" t="str">
        <f t="array" ref="B499">IF(F499="VL","",IF(F499="Free","Free",XLOOKUP(D499,Roster!T:T,Roster!S:S,"",0)))</f>
        <v/>
      </c>
      <c r="C499" s="313">
        <v>46116.0</v>
      </c>
      <c r="D499" s="314" t="s">
        <v>177</v>
      </c>
      <c r="E499" s="307" t="str">
        <f t="array" ref="E499">(XLOOKUP(D499,Roster!F:F,Roster!B:B,"",0))</f>
        <v>Leandry La Rosa</v>
      </c>
      <c r="F499" s="315" t="str">
        <f t="array" ref="F499">IF(B499=100,"Free",TEXT(XLOOKUP($D499,OperationVoice!$A:$A,OperationVoice!J:J,XLOOKUP($D499,OperationTickets!$A:$A,OperationTickets!J:J,"",0)),"hh:mm"))</f>
        <v>08:00</v>
      </c>
      <c r="G499" s="309">
        <f t="shared" si="3"/>
        <v>0.7083333333</v>
      </c>
      <c r="H499" s="316">
        <f t="array" ref="H499">XLOOKUP(B499,Roster!L:L,Roster!N:N,XLOOKUP(D499,TicketsBreak!A:A,TicketsBreak!E:E,"",0),0)</f>
        <v>0.40625</v>
      </c>
      <c r="I499" s="316">
        <f t="array" ref="I499">XLOOKUP(B499,Roster!L:L,Roster!O:O,XLOOKUP(D499,TicketsBreak!A:A,TicketsBreak!F:F,"",0),0)</f>
        <v>0.5416666667</v>
      </c>
      <c r="J499" s="316">
        <f t="array" ref="J499">XLOOKUP(B499,Roster!L:L,Roster!P:P,XLOOKUP(D499,TicketsBreak!A:A,TicketsBreak!G:G,"",0),0)</f>
        <v>0.65625</v>
      </c>
      <c r="K499" s="310">
        <f t="shared" si="4"/>
        <v>46116</v>
      </c>
      <c r="L499" s="317">
        <f t="array" ref="L499">(XLOOKUP(D499,Roster!F:F,Roster!D:D,"",0))</f>
        <v>1</v>
      </c>
      <c r="M499" s="317" t="str">
        <f t="array" ref="M499">XLOOKUP(D499,Roster!F:F,Roster!E:E)</f>
        <v>Tickets</v>
      </c>
      <c r="N499" s="317" t="str">
        <f t="shared" ref="N499:P499" si="510">LEFT(H499,5)</f>
        <v>09:45</v>
      </c>
      <c r="O499" s="317" t="str">
        <f t="shared" si="510"/>
        <v>13:00</v>
      </c>
      <c r="P499" s="317" t="str">
        <f t="shared" si="510"/>
        <v>15:45</v>
      </c>
      <c r="Q499" s="318">
        <f t="shared" si="382"/>
        <v>46116.40625</v>
      </c>
      <c r="R499" s="318">
        <f t="shared" si="383"/>
        <v>46116.54167</v>
      </c>
      <c r="S499" s="318">
        <f t="shared" si="8"/>
        <v>46116.65625</v>
      </c>
    </row>
    <row r="500">
      <c r="A500" s="14" t="str">
        <f t="shared" si="1"/>
        <v>C157846116</v>
      </c>
      <c r="B500" s="185">
        <f t="array" ref="B500">IF(F500="VL","",IF(F500="Free","Free",XLOOKUP(D500,Roster!T:T,Roster!S:S,"",0)))</f>
        <v>125</v>
      </c>
      <c r="C500" s="313">
        <v>46116.0</v>
      </c>
      <c r="D500" s="314" t="s">
        <v>56</v>
      </c>
      <c r="E500" s="307" t="str">
        <f t="array" ref="E500">(XLOOKUP(D500,Roster!F:F,Roster!B:B,"",0))</f>
        <v>Leonerrichi Caicedo</v>
      </c>
      <c r="F500" s="315" t="str">
        <f t="array" ref="F500">IF(B500=100,"Free",TEXT(XLOOKUP($D500,OperationVoice!$A:$A,OperationVoice!J:J,XLOOKUP($D500,OperationTickets!$A:$A,OperationTickets!J:J,"",0)),"hh:mm"))</f>
        <v>08:00</v>
      </c>
      <c r="G500" s="309">
        <f t="shared" si="3"/>
        <v>0.7083333333</v>
      </c>
      <c r="H500" s="316" t="str">
        <f t="array" ref="H500">XLOOKUP(B500,Roster!L:L,Roster!N:N,XLOOKUP(D500,TicketsBreak!A:A,TicketsBreak!E:E,"",0),0)</f>
        <v>10:30 - 10:45</v>
      </c>
      <c r="I500" s="316" t="str">
        <f t="array" ref="I500">XLOOKUP(B500,Roster!L:L,Roster!O:O,XLOOKUP(D500,TicketsBreak!A:A,TicketsBreak!F:F,"",0),0)</f>
        <v>13:30 - 14:00</v>
      </c>
      <c r="J500" s="316" t="str">
        <f t="array" ref="J500">XLOOKUP(B500,Roster!L:L,Roster!P:P,XLOOKUP(D500,TicketsBreak!A:A,TicketsBreak!G:G,"",0),0)</f>
        <v>15:45 - 16:00</v>
      </c>
      <c r="K500" s="310">
        <f t="shared" si="4"/>
        <v>46116</v>
      </c>
      <c r="L500" s="317">
        <f t="array" ref="L500">(XLOOKUP(D500,Roster!F:F,Roster!D:D,"",0))</f>
        <v>38</v>
      </c>
      <c r="M500" s="317" t="str">
        <f t="array" ref="M500">XLOOKUP(D500,Roster!F:F,Roster!E:E)</f>
        <v>Voice</v>
      </c>
      <c r="N500" s="317" t="str">
        <f t="shared" ref="N500:P500" si="511">LEFT(H500,5)</f>
        <v>10:30</v>
      </c>
      <c r="O500" s="317" t="str">
        <f t="shared" si="511"/>
        <v>13:30</v>
      </c>
      <c r="P500" s="317" t="str">
        <f t="shared" si="511"/>
        <v>15:45</v>
      </c>
      <c r="Q500" s="318">
        <f t="shared" si="382"/>
        <v>46116.4375</v>
      </c>
      <c r="R500" s="318">
        <f t="shared" si="383"/>
        <v>46116.5625</v>
      </c>
      <c r="S500" s="318">
        <f t="shared" si="8"/>
        <v>46116.65625</v>
      </c>
    </row>
    <row r="501">
      <c r="A501" s="14" t="str">
        <f t="shared" si="1"/>
        <v>C53546116</v>
      </c>
      <c r="B501" s="185" t="str">
        <f t="array" ref="B501">IF(F501="VL","",IF(F501="Free","Free",XLOOKUP(D501,Roster!T:T,Roster!S:S,"",0)))</f>
        <v/>
      </c>
      <c r="C501" s="313">
        <v>46116.0</v>
      </c>
      <c r="D501" s="314" t="s">
        <v>145</v>
      </c>
      <c r="E501" s="307" t="str">
        <f t="array" ref="E501">(XLOOKUP(D501,Roster!F:F,Roster!B:B,"",0))</f>
        <v>Lina Cadena</v>
      </c>
      <c r="F501" s="315" t="str">
        <f t="array" ref="F501">IF(B501=100,"Free",TEXT(XLOOKUP($D501,OperationVoice!$A:$A,OperationVoice!J:J,XLOOKUP($D501,OperationTickets!$A:$A,OperationTickets!J:J,"",0)),"hh:mm"))</f>
        <v>08:00</v>
      </c>
      <c r="G501" s="309">
        <f t="shared" si="3"/>
        <v>0.7083333333</v>
      </c>
      <c r="H501" s="316">
        <f t="array" ref="H501">XLOOKUP(B501,Roster!L:L,Roster!N:N,XLOOKUP(D501,TicketsBreak!A:A,TicketsBreak!E:E,"",0),0)</f>
        <v>0.3854166667</v>
      </c>
      <c r="I501" s="316">
        <f t="array" ref="I501">XLOOKUP(B501,Roster!L:L,Roster!O:O,XLOOKUP(D501,TicketsBreak!A:A,TicketsBreak!F:F,"",0),0)</f>
        <v>0.5833333333</v>
      </c>
      <c r="J501" s="316">
        <f t="array" ref="J501">XLOOKUP(B501,Roster!L:L,Roster!P:P,XLOOKUP(D501,TicketsBreak!A:A,TicketsBreak!G:G,"",0),0)</f>
        <v>0.6458333333</v>
      </c>
      <c r="K501" s="310">
        <f t="shared" si="4"/>
        <v>46116</v>
      </c>
      <c r="L501" s="317">
        <f t="array" ref="L501">(XLOOKUP(D501,Roster!F:F,Roster!D:D,"",0))</f>
        <v>2</v>
      </c>
      <c r="M501" s="317" t="str">
        <f t="array" ref="M501">XLOOKUP(D501,Roster!F:F,Roster!E:E)</f>
        <v>Tickets</v>
      </c>
      <c r="N501" s="317" t="str">
        <f t="shared" ref="N501:P501" si="512">LEFT(H501,5)</f>
        <v>09:15</v>
      </c>
      <c r="O501" s="317" t="str">
        <f t="shared" si="512"/>
        <v>14:00</v>
      </c>
      <c r="P501" s="317" t="str">
        <f t="shared" si="512"/>
        <v>15:30</v>
      </c>
      <c r="Q501" s="318">
        <f t="shared" si="382"/>
        <v>46116.38542</v>
      </c>
      <c r="R501" s="318">
        <f t="shared" si="383"/>
        <v>46116.58333</v>
      </c>
      <c r="S501" s="318">
        <f t="shared" si="8"/>
        <v>46116.64583</v>
      </c>
    </row>
    <row r="502">
      <c r="A502" s="14" t="str">
        <f t="shared" si="1"/>
        <v>C151746116</v>
      </c>
      <c r="B502" s="185" t="str">
        <f t="array" ref="B502">IF(F502="VL","",IF(F502="Free","Free",XLOOKUP(D502,Roster!T:T,Roster!S:S,"",0)))</f>
        <v>Free</v>
      </c>
      <c r="C502" s="313">
        <v>46116.0</v>
      </c>
      <c r="D502" s="314" t="s">
        <v>57</v>
      </c>
      <c r="E502" s="307" t="str">
        <f t="array" ref="E502">(XLOOKUP(D502,Roster!F:F,Roster!B:B,"",0))</f>
        <v>Lisandro Alvarado</v>
      </c>
      <c r="F502" s="315" t="str">
        <f t="array" ref="F502">IF(B502=100,"Free",TEXT(XLOOKUP($D502,OperationVoice!$A:$A,OperationVoice!J:J,XLOOKUP($D502,OperationTickets!$A:$A,OperationTickets!J:J,"",0)),"hh:mm"))</f>
        <v>Free</v>
      </c>
      <c r="G502" s="309" t="str">
        <f t="shared" si="3"/>
        <v>Free</v>
      </c>
      <c r="H502" s="316" t="str">
        <f t="array" ref="H502">XLOOKUP(B502,Roster!L:L,Roster!N:N,XLOOKUP(D502,TicketsBreak!A:A,TicketsBreak!E:E,"",0),0)</f>
        <v/>
      </c>
      <c r="I502" s="316" t="str">
        <f t="array" ref="I502">XLOOKUP(B502,Roster!L:L,Roster!O:O,XLOOKUP(D502,TicketsBreak!A:A,TicketsBreak!F:F,"",0),0)</f>
        <v/>
      </c>
      <c r="J502" s="316" t="str">
        <f t="array" ref="J502">XLOOKUP(B502,Roster!L:L,Roster!P:P,XLOOKUP(D502,TicketsBreak!A:A,TicketsBreak!G:G,"",0),0)</f>
        <v/>
      </c>
      <c r="K502" s="310">
        <f t="shared" si="4"/>
        <v>46116</v>
      </c>
      <c r="L502" s="317">
        <f t="array" ref="L502">(XLOOKUP(D502,Roster!F:F,Roster!D:D,"",0))</f>
        <v>35</v>
      </c>
      <c r="M502" s="317" t="str">
        <f t="array" ref="M502">XLOOKUP(D502,Roster!F:F,Roster!E:E)</f>
        <v>Voice</v>
      </c>
      <c r="N502" s="317" t="str">
        <f t="shared" ref="N502:P502" si="513">LEFT(H502,5)</f>
        <v/>
      </c>
      <c r="O502" s="317" t="str">
        <f t="shared" si="513"/>
        <v/>
      </c>
      <c r="P502" s="317" t="str">
        <f t="shared" si="513"/>
        <v/>
      </c>
      <c r="Q502" s="318" t="str">
        <f t="shared" si="382"/>
        <v/>
      </c>
      <c r="R502" s="318" t="str">
        <f t="shared" si="383"/>
        <v/>
      </c>
      <c r="S502" s="318" t="str">
        <f t="shared" si="8"/>
        <v/>
      </c>
    </row>
    <row r="503">
      <c r="A503" s="14" t="str">
        <f t="shared" si="1"/>
        <v>C143346116</v>
      </c>
      <c r="B503" s="185" t="str">
        <f t="array" ref="B503">IF(F503="VL","",IF(F503="Free","Free",XLOOKUP(D503,Roster!T:T,Roster!S:S,"",0)))</f>
        <v>Free</v>
      </c>
      <c r="C503" s="313">
        <v>46116.0</v>
      </c>
      <c r="D503" s="314" t="s">
        <v>58</v>
      </c>
      <c r="E503" s="307" t="str">
        <f t="array" ref="E503">(XLOOKUP(D503,Roster!F:F,Roster!B:B,"",0))</f>
        <v>Luis Lopez</v>
      </c>
      <c r="F503" s="315" t="str">
        <f t="array" ref="F503">IF(B503=100,"Free",TEXT(XLOOKUP($D503,OperationVoice!$A:$A,OperationVoice!J:J,XLOOKUP($D503,OperationTickets!$A:$A,OperationTickets!J:J,"",0)),"hh:mm"))</f>
        <v>Free</v>
      </c>
      <c r="G503" s="309" t="str">
        <f t="shared" si="3"/>
        <v>Free</v>
      </c>
      <c r="H503" s="316" t="str">
        <f t="array" ref="H503">XLOOKUP(B503,Roster!L:L,Roster!N:N,XLOOKUP(D503,TicketsBreak!A:A,TicketsBreak!E:E,"",0),0)</f>
        <v/>
      </c>
      <c r="I503" s="316" t="str">
        <f t="array" ref="I503">XLOOKUP(B503,Roster!L:L,Roster!O:O,XLOOKUP(D503,TicketsBreak!A:A,TicketsBreak!F:F,"",0),0)</f>
        <v/>
      </c>
      <c r="J503" s="316" t="str">
        <f t="array" ref="J503">XLOOKUP(B503,Roster!L:L,Roster!P:P,XLOOKUP(D503,TicketsBreak!A:A,TicketsBreak!G:G,"",0),0)</f>
        <v/>
      </c>
      <c r="K503" s="310">
        <f t="shared" si="4"/>
        <v>46116</v>
      </c>
      <c r="L503" s="317">
        <f t="array" ref="L503">(XLOOKUP(D503,Roster!F:F,Roster!D:D,"",0))</f>
        <v>32</v>
      </c>
      <c r="M503" s="317" t="str">
        <f t="array" ref="M503">XLOOKUP(D503,Roster!F:F,Roster!E:E)</f>
        <v>Voice</v>
      </c>
      <c r="N503" s="317" t="str">
        <f t="shared" ref="N503:P503" si="514">LEFT(H503,5)</f>
        <v/>
      </c>
      <c r="O503" s="317" t="str">
        <f t="shared" si="514"/>
        <v/>
      </c>
      <c r="P503" s="317" t="str">
        <f t="shared" si="514"/>
        <v/>
      </c>
      <c r="Q503" s="318" t="str">
        <f t="shared" si="382"/>
        <v/>
      </c>
      <c r="R503" s="318" t="str">
        <f t="shared" si="383"/>
        <v/>
      </c>
      <c r="S503" s="318" t="str">
        <f t="shared" si="8"/>
        <v/>
      </c>
    </row>
    <row r="504">
      <c r="A504" s="14" t="str">
        <f t="shared" si="1"/>
        <v>C153446116</v>
      </c>
      <c r="B504" s="185">
        <f t="array" ref="B504">IF(F504="VL","",IF(F504="Free","Free",XLOOKUP(D504,Roster!T:T,Roster!S:S,"",0)))</f>
        <v>126</v>
      </c>
      <c r="C504" s="313">
        <v>46116.0</v>
      </c>
      <c r="D504" s="314" t="s">
        <v>59</v>
      </c>
      <c r="E504" s="307" t="str">
        <f t="array" ref="E504">(XLOOKUP(D504,Roster!F:F,Roster!B:B,"",0))</f>
        <v>Luis Munoz</v>
      </c>
      <c r="F504" s="315" t="str">
        <f t="array" ref="F504">IF(B504=100,"Free",TEXT(XLOOKUP($D504,OperationVoice!$A:$A,OperationVoice!J:J,XLOOKUP($D504,OperationTickets!$A:$A,OperationTickets!J:J,"",0)),"hh:mm"))</f>
        <v>08:00</v>
      </c>
      <c r="G504" s="309">
        <f t="shared" si="3"/>
        <v>0.7083333333</v>
      </c>
      <c r="H504" s="316" t="str">
        <f t="array" ref="H504">XLOOKUP(B504,Roster!L:L,Roster!N:N,XLOOKUP(D504,TicketsBreak!A:A,TicketsBreak!E:E,"",0),0)</f>
        <v>10:45 - 11:00</v>
      </c>
      <c r="I504" s="316" t="str">
        <f t="array" ref="I504">XLOOKUP(B504,Roster!L:L,Roster!O:O,XLOOKUP(D504,TicketsBreak!A:A,TicketsBreak!F:F,"",0),0)</f>
        <v>14:00 - 14:30</v>
      </c>
      <c r="J504" s="316" t="str">
        <f t="array" ref="J504">XLOOKUP(B504,Roster!L:L,Roster!P:P,XLOOKUP(D504,TicketsBreak!A:A,TicketsBreak!G:G,"",0),0)</f>
        <v>15:45 - 16:00</v>
      </c>
      <c r="K504" s="310">
        <f t="shared" si="4"/>
        <v>46116</v>
      </c>
      <c r="L504" s="317">
        <f t="array" ref="L504">(XLOOKUP(D504,Roster!F:F,Roster!D:D,"",0))</f>
        <v>36</v>
      </c>
      <c r="M504" s="317" t="str">
        <f t="array" ref="M504">XLOOKUP(D504,Roster!F:F,Roster!E:E)</f>
        <v>Voice</v>
      </c>
      <c r="N504" s="317" t="str">
        <f t="shared" ref="N504:P504" si="515">LEFT(H504,5)</f>
        <v>10:45</v>
      </c>
      <c r="O504" s="317" t="str">
        <f t="shared" si="515"/>
        <v>14:00</v>
      </c>
      <c r="P504" s="317" t="str">
        <f t="shared" si="515"/>
        <v>15:45</v>
      </c>
      <c r="Q504" s="318">
        <f t="shared" si="382"/>
        <v>46116.44792</v>
      </c>
      <c r="R504" s="318">
        <f t="shared" si="383"/>
        <v>46116.58333</v>
      </c>
      <c r="S504" s="318">
        <f t="shared" si="8"/>
        <v>46116.65625</v>
      </c>
    </row>
    <row r="505">
      <c r="A505" s="14" t="str">
        <f t="shared" si="1"/>
        <v>C53846116</v>
      </c>
      <c r="B505" s="185" t="str">
        <f t="array" ref="B505">IF(F505="VL","",IF(F505="Free","Free",XLOOKUP(D505,Roster!T:T,Roster!S:S,"",0)))</f>
        <v>Free</v>
      </c>
      <c r="C505" s="313">
        <v>46116.0</v>
      </c>
      <c r="D505" s="314" t="s">
        <v>165</v>
      </c>
      <c r="E505" s="307" t="str">
        <f t="array" ref="E505">(XLOOKUP(D505,Roster!F:F,Roster!B:B,"",0))</f>
        <v>Luisa Arenas</v>
      </c>
      <c r="F505" s="315" t="str">
        <f t="array" ref="F505">IF(B505=100,"Free",TEXT(XLOOKUP($D505,OperationVoice!$A:$A,OperationVoice!J:J,XLOOKUP($D505,OperationTickets!$A:$A,OperationTickets!J:J,"",0)),"hh:mm"))</f>
        <v>Free</v>
      </c>
      <c r="G505" s="309" t="str">
        <f t="shared" si="3"/>
        <v>Free</v>
      </c>
      <c r="H505" s="316" t="str">
        <f t="array" ref="H505">XLOOKUP(B505,Roster!L:L,Roster!N:N,XLOOKUP(D505,TicketsBreak!A:A,TicketsBreak!E:E,"",0),0)</f>
        <v/>
      </c>
      <c r="I505" s="316" t="str">
        <f t="array" ref="I505">XLOOKUP(B505,Roster!L:L,Roster!O:O,XLOOKUP(D505,TicketsBreak!A:A,TicketsBreak!F:F,"",0),0)</f>
        <v/>
      </c>
      <c r="J505" s="316" t="str">
        <f t="array" ref="J505">XLOOKUP(B505,Roster!L:L,Roster!P:P,XLOOKUP(D505,TicketsBreak!A:A,TicketsBreak!G:G,"",0),0)</f>
        <v/>
      </c>
      <c r="K505" s="310">
        <f t="shared" si="4"/>
        <v>46116</v>
      </c>
      <c r="L505" s="317">
        <f t="array" ref="L505">(XLOOKUP(D505,Roster!F:F,Roster!D:D,"",0))</f>
        <v>35</v>
      </c>
      <c r="M505" s="317" t="str">
        <f t="array" ref="M505">XLOOKUP(D505,Roster!F:F,Roster!E:E)</f>
        <v>Tickets</v>
      </c>
      <c r="N505" s="317" t="str">
        <f t="shared" ref="N505:P505" si="516">LEFT(H505,5)</f>
        <v/>
      </c>
      <c r="O505" s="317" t="str">
        <f t="shared" si="516"/>
        <v/>
      </c>
      <c r="P505" s="317" t="str">
        <f t="shared" si="516"/>
        <v/>
      </c>
      <c r="Q505" s="318" t="str">
        <f t="shared" si="382"/>
        <v/>
      </c>
      <c r="R505" s="318" t="str">
        <f t="shared" si="383"/>
        <v/>
      </c>
      <c r="S505" s="318" t="str">
        <f t="shared" si="8"/>
        <v/>
      </c>
    </row>
    <row r="506">
      <c r="A506" s="14" t="str">
        <f t="shared" si="1"/>
        <v>C113646116</v>
      </c>
      <c r="B506" s="185" t="str">
        <f t="array" ref="B506">IF(F506="VL","",IF(F506="Free","Free",XLOOKUP(D506,Roster!T:T,Roster!S:S,"",0)))</f>
        <v>Free</v>
      </c>
      <c r="C506" s="313">
        <v>46116.0</v>
      </c>
      <c r="D506" s="314" t="s">
        <v>60</v>
      </c>
      <c r="E506" s="307" t="str">
        <f t="array" ref="E506">(XLOOKUP(D506,Roster!F:F,Roster!B:B,"",0))</f>
        <v>Luisa Gonzalez</v>
      </c>
      <c r="F506" s="315" t="str">
        <f t="array" ref="F506">IF(B506=100,"Free",TEXT(XLOOKUP($D506,OperationVoice!$A:$A,OperationVoice!J:J,XLOOKUP($D506,OperationTickets!$A:$A,OperationTickets!J:J,"",0)),"hh:mm"))</f>
        <v>Free</v>
      </c>
      <c r="G506" s="309" t="str">
        <f t="shared" si="3"/>
        <v>Free</v>
      </c>
      <c r="H506" s="316" t="str">
        <f t="array" ref="H506">XLOOKUP(B506,Roster!L:L,Roster!N:N,XLOOKUP(D506,TicketsBreak!A:A,TicketsBreak!E:E,"",0),0)</f>
        <v/>
      </c>
      <c r="I506" s="316" t="str">
        <f t="array" ref="I506">XLOOKUP(B506,Roster!L:L,Roster!O:O,XLOOKUP(D506,TicketsBreak!A:A,TicketsBreak!F:F,"",0),0)</f>
        <v/>
      </c>
      <c r="J506" s="316" t="str">
        <f t="array" ref="J506">XLOOKUP(B506,Roster!L:L,Roster!P:P,XLOOKUP(D506,TicketsBreak!A:A,TicketsBreak!G:G,"",0),0)</f>
        <v/>
      </c>
      <c r="K506" s="310">
        <f t="shared" si="4"/>
        <v>46116</v>
      </c>
      <c r="L506" s="317">
        <f t="array" ref="L506">(XLOOKUP(D506,Roster!F:F,Roster!D:D,"",0))</f>
        <v>22</v>
      </c>
      <c r="M506" s="317" t="str">
        <f t="array" ref="M506">XLOOKUP(D506,Roster!F:F,Roster!E:E)</f>
        <v>Voice</v>
      </c>
      <c r="N506" s="317" t="str">
        <f t="shared" ref="N506:P506" si="517">LEFT(H506,5)</f>
        <v/>
      </c>
      <c r="O506" s="317" t="str">
        <f t="shared" si="517"/>
        <v/>
      </c>
      <c r="P506" s="317" t="str">
        <f t="shared" si="517"/>
        <v/>
      </c>
      <c r="Q506" s="318" t="str">
        <f t="shared" si="382"/>
        <v/>
      </c>
      <c r="R506" s="318" t="str">
        <f t="shared" si="383"/>
        <v/>
      </c>
      <c r="S506" s="318" t="str">
        <f t="shared" si="8"/>
        <v/>
      </c>
    </row>
    <row r="507">
      <c r="A507" s="14" t="str">
        <f t="shared" si="1"/>
        <v>C157746116</v>
      </c>
      <c r="B507" s="185" t="str">
        <f t="array" ref="B507">IF(F507="VL","",IF(F507="Free","Free",XLOOKUP(D507,Roster!T:T,Roster!S:S,"",0)))</f>
        <v>Free</v>
      </c>
      <c r="C507" s="313">
        <v>46116.0</v>
      </c>
      <c r="D507" s="314" t="s">
        <v>61</v>
      </c>
      <c r="E507" s="307" t="str">
        <f t="array" ref="E507">(XLOOKUP(D507,Roster!F:F,Roster!B:B,"",0))</f>
        <v>Luna Morales</v>
      </c>
      <c r="F507" s="315" t="str">
        <f t="array" ref="F507">IF(B507=100,"Free",TEXT(XLOOKUP($D507,OperationVoice!$A:$A,OperationVoice!J:J,XLOOKUP($D507,OperationTickets!$A:$A,OperationTickets!J:J,"",0)),"hh:mm"))</f>
        <v>Free</v>
      </c>
      <c r="G507" s="309" t="str">
        <f t="shared" si="3"/>
        <v>Free</v>
      </c>
      <c r="H507" s="316" t="str">
        <f t="array" ref="H507">XLOOKUP(B507,Roster!L:L,Roster!N:N,XLOOKUP(D507,TicketsBreak!A:A,TicketsBreak!E:E,"",0),0)</f>
        <v/>
      </c>
      <c r="I507" s="316" t="str">
        <f t="array" ref="I507">XLOOKUP(B507,Roster!L:L,Roster!O:O,XLOOKUP(D507,TicketsBreak!A:A,TicketsBreak!F:F,"",0),0)</f>
        <v/>
      </c>
      <c r="J507" s="316" t="str">
        <f t="array" ref="J507">XLOOKUP(B507,Roster!L:L,Roster!P:P,XLOOKUP(D507,TicketsBreak!A:A,TicketsBreak!G:G,"",0),0)</f>
        <v/>
      </c>
      <c r="K507" s="310">
        <f t="shared" si="4"/>
        <v>46116</v>
      </c>
      <c r="L507" s="317">
        <f t="array" ref="L507">(XLOOKUP(D507,Roster!F:F,Roster!D:D,"",0))</f>
        <v>38</v>
      </c>
      <c r="M507" s="317" t="str">
        <f t="array" ref="M507">XLOOKUP(D507,Roster!F:F,Roster!E:E)</f>
        <v>Voice</v>
      </c>
      <c r="N507" s="317" t="str">
        <f t="shared" ref="N507:P507" si="518">LEFT(H507,5)</f>
        <v/>
      </c>
      <c r="O507" s="317" t="str">
        <f t="shared" si="518"/>
        <v/>
      </c>
      <c r="P507" s="317" t="str">
        <f t="shared" si="518"/>
        <v/>
      </c>
      <c r="Q507" s="318" t="str">
        <f t="shared" si="382"/>
        <v/>
      </c>
      <c r="R507" s="318" t="str">
        <f t="shared" si="383"/>
        <v/>
      </c>
      <c r="S507" s="318" t="str">
        <f t="shared" si="8"/>
        <v/>
      </c>
    </row>
    <row r="508">
      <c r="A508" s="14" t="str">
        <f t="shared" si="1"/>
        <v>C121946116</v>
      </c>
      <c r="B508" s="185" t="str">
        <f t="array" ref="B508">IF(F508="VL","",IF(F508="Free","Free",XLOOKUP(D508,Roster!T:T,Roster!S:S,"",0)))</f>
        <v>Free</v>
      </c>
      <c r="C508" s="313">
        <v>46116.0</v>
      </c>
      <c r="D508" s="314" t="s">
        <v>146</v>
      </c>
      <c r="E508" s="307" t="str">
        <f t="array" ref="E508">(XLOOKUP(D508,Roster!F:F,Roster!B:B,"",0))</f>
        <v>Madelyn Jaramillo</v>
      </c>
      <c r="F508" s="315" t="str">
        <f t="array" ref="F508">IF(B508=100,"Free",TEXT(XLOOKUP($D508,OperationVoice!$A:$A,OperationVoice!J:J,XLOOKUP($D508,OperationTickets!$A:$A,OperationTickets!J:J,"",0)),"hh:mm"))</f>
        <v>Free</v>
      </c>
      <c r="G508" s="309" t="str">
        <f t="shared" si="3"/>
        <v>Free</v>
      </c>
      <c r="H508" s="316" t="str">
        <f t="array" ref="H508">XLOOKUP(B508,Roster!L:L,Roster!N:N,XLOOKUP(D508,TicketsBreak!A:A,TicketsBreak!E:E,"",0),0)</f>
        <v/>
      </c>
      <c r="I508" s="316" t="str">
        <f t="array" ref="I508">XLOOKUP(B508,Roster!L:L,Roster!O:O,XLOOKUP(D508,TicketsBreak!A:A,TicketsBreak!F:F,"",0),0)</f>
        <v/>
      </c>
      <c r="J508" s="316" t="str">
        <f t="array" ref="J508">XLOOKUP(B508,Roster!L:L,Roster!P:P,XLOOKUP(D508,TicketsBreak!A:A,TicketsBreak!G:G,"",0),0)</f>
        <v/>
      </c>
      <c r="K508" s="310">
        <f t="shared" si="4"/>
        <v>46116</v>
      </c>
      <c r="L508" s="317">
        <f t="array" ref="L508">(XLOOKUP(D508,Roster!F:F,Roster!D:D,"",0))</f>
        <v>26</v>
      </c>
      <c r="M508" s="317" t="str">
        <f t="array" ref="M508">XLOOKUP(D508,Roster!F:F,Roster!E:E)</f>
        <v>Tickets</v>
      </c>
      <c r="N508" s="317" t="str">
        <f t="shared" ref="N508:P508" si="519">LEFT(H508,5)</f>
        <v/>
      </c>
      <c r="O508" s="317" t="str">
        <f t="shared" si="519"/>
        <v/>
      </c>
      <c r="P508" s="317" t="str">
        <f t="shared" si="519"/>
        <v/>
      </c>
      <c r="Q508" s="318" t="str">
        <f t="shared" si="382"/>
        <v/>
      </c>
      <c r="R508" s="318" t="str">
        <f t="shared" si="383"/>
        <v/>
      </c>
      <c r="S508" s="318" t="str">
        <f t="shared" si="8"/>
        <v/>
      </c>
    </row>
    <row r="509">
      <c r="A509" s="14" t="str">
        <f t="shared" si="1"/>
        <v>C151646116</v>
      </c>
      <c r="B509" s="185" t="str">
        <f t="array" ref="B509">IF(F509="VL","",IF(F509="Free","Free",XLOOKUP(D509,Roster!T:T,Roster!S:S,"",0)))</f>
        <v>Free</v>
      </c>
      <c r="C509" s="313">
        <v>46116.0</v>
      </c>
      <c r="D509" s="314" t="s">
        <v>62</v>
      </c>
      <c r="E509" s="307" t="str">
        <f t="array" ref="E509">(XLOOKUP(D509,Roster!F:F,Roster!B:B,"",0))</f>
        <v>Magda Foronda</v>
      </c>
      <c r="F509" s="315" t="str">
        <f t="array" ref="F509">IF(B509=100,"Free",TEXT(XLOOKUP($D509,OperationVoice!$A:$A,OperationVoice!J:J,XLOOKUP($D509,OperationTickets!$A:$A,OperationTickets!J:J,"",0)),"hh:mm"))</f>
        <v>Free</v>
      </c>
      <c r="G509" s="309" t="str">
        <f t="shared" si="3"/>
        <v>Free</v>
      </c>
      <c r="H509" s="316" t="str">
        <f t="array" ref="H509">XLOOKUP(B509,Roster!L:L,Roster!N:N,XLOOKUP(D509,TicketsBreak!A:A,TicketsBreak!E:E,"",0),0)</f>
        <v/>
      </c>
      <c r="I509" s="316" t="str">
        <f t="array" ref="I509">XLOOKUP(B509,Roster!L:L,Roster!O:O,XLOOKUP(D509,TicketsBreak!A:A,TicketsBreak!F:F,"",0),0)</f>
        <v/>
      </c>
      <c r="J509" s="316" t="str">
        <f t="array" ref="J509">XLOOKUP(B509,Roster!L:L,Roster!P:P,XLOOKUP(D509,TicketsBreak!A:A,TicketsBreak!G:G,"",0),0)</f>
        <v/>
      </c>
      <c r="K509" s="310">
        <f t="shared" si="4"/>
        <v>46116</v>
      </c>
      <c r="L509" s="317">
        <f t="array" ref="L509">(XLOOKUP(D509,Roster!F:F,Roster!D:D,"",0))</f>
        <v>35</v>
      </c>
      <c r="M509" s="317" t="str">
        <f t="array" ref="M509">XLOOKUP(D509,Roster!F:F,Roster!E:E)</f>
        <v>Voice</v>
      </c>
      <c r="N509" s="317" t="str">
        <f t="shared" ref="N509:P509" si="520">LEFT(H509,5)</f>
        <v/>
      </c>
      <c r="O509" s="317" t="str">
        <f t="shared" si="520"/>
        <v/>
      </c>
      <c r="P509" s="317" t="str">
        <f t="shared" si="520"/>
        <v/>
      </c>
      <c r="Q509" s="318" t="str">
        <f t="shared" si="382"/>
        <v/>
      </c>
      <c r="R509" s="318" t="str">
        <f t="shared" si="383"/>
        <v/>
      </c>
      <c r="S509" s="318" t="str">
        <f t="shared" si="8"/>
        <v/>
      </c>
    </row>
    <row r="510">
      <c r="A510" s="14" t="str">
        <f t="shared" si="1"/>
        <v>C118046116</v>
      </c>
      <c r="B510" s="185" t="str">
        <f t="array" ref="B510">IF(F510="VL","",IF(F510="Free","Free",XLOOKUP(D510,Roster!T:T,Roster!S:S,"",0)))</f>
        <v>Free</v>
      </c>
      <c r="C510" s="313">
        <v>46116.0</v>
      </c>
      <c r="D510" s="314" t="s">
        <v>147</v>
      </c>
      <c r="E510" s="307" t="str">
        <f t="array" ref="E510">(XLOOKUP(D510,Roster!F:F,Roster!B:B,"",0))</f>
        <v>Manuela Moreno</v>
      </c>
      <c r="F510" s="315" t="str">
        <f t="array" ref="F510">IF(B510=100,"Free",TEXT(XLOOKUP($D510,OperationVoice!$A:$A,OperationVoice!J:J,XLOOKUP($D510,OperationTickets!$A:$A,OperationTickets!J:J,"",0)),"hh:mm"))</f>
        <v>Free</v>
      </c>
      <c r="G510" s="309" t="str">
        <f t="shared" si="3"/>
        <v>Free</v>
      </c>
      <c r="H510" s="316" t="str">
        <f t="array" ref="H510">XLOOKUP(B510,Roster!L:L,Roster!N:N,XLOOKUP(D510,TicketsBreak!A:A,TicketsBreak!E:E,"",0),0)</f>
        <v/>
      </c>
      <c r="I510" s="316" t="str">
        <f t="array" ref="I510">XLOOKUP(B510,Roster!L:L,Roster!O:O,XLOOKUP(D510,TicketsBreak!A:A,TicketsBreak!F:F,"",0),0)</f>
        <v/>
      </c>
      <c r="J510" s="316" t="str">
        <f t="array" ref="J510">XLOOKUP(B510,Roster!L:L,Roster!P:P,XLOOKUP(D510,TicketsBreak!A:A,TicketsBreak!G:G,"",0),0)</f>
        <v/>
      </c>
      <c r="K510" s="310">
        <f t="shared" si="4"/>
        <v>46116</v>
      </c>
      <c r="L510" s="317">
        <f t="array" ref="L510">(XLOOKUP(D510,Roster!F:F,Roster!D:D,"",0))</f>
        <v>24</v>
      </c>
      <c r="M510" s="317" t="str">
        <f t="array" ref="M510">XLOOKUP(D510,Roster!F:F,Roster!E:E)</f>
        <v>Tickets</v>
      </c>
      <c r="N510" s="317" t="str">
        <f t="shared" ref="N510:P510" si="521">LEFT(H510,5)</f>
        <v/>
      </c>
      <c r="O510" s="317" t="str">
        <f t="shared" si="521"/>
        <v/>
      </c>
      <c r="P510" s="317" t="str">
        <f t="shared" si="521"/>
        <v/>
      </c>
      <c r="Q510" s="318" t="str">
        <f t="shared" si="382"/>
        <v/>
      </c>
      <c r="R510" s="318" t="str">
        <f t="shared" si="383"/>
        <v/>
      </c>
      <c r="S510" s="318" t="str">
        <f t="shared" si="8"/>
        <v/>
      </c>
    </row>
    <row r="511">
      <c r="A511" s="14" t="str">
        <f t="shared" si="1"/>
        <v>C153646116</v>
      </c>
      <c r="B511" s="185" t="str">
        <f t="array" ref="B511">IF(F511="VL","",IF(F511="Free","Free",XLOOKUP(D511,Roster!T:T,Roster!S:S,"",0)))</f>
        <v>Free</v>
      </c>
      <c r="C511" s="313">
        <v>46116.0</v>
      </c>
      <c r="D511" s="314" t="s">
        <v>63</v>
      </c>
      <c r="E511" s="307" t="str">
        <f t="array" ref="E511">(XLOOKUP(D511,Roster!F:F,Roster!B:B,"",0))</f>
        <v>Maria Mesa</v>
      </c>
      <c r="F511" s="315" t="str">
        <f t="array" ref="F511">IF(B511=100,"Free",TEXT(XLOOKUP($D511,OperationVoice!$A:$A,OperationVoice!J:J,XLOOKUP($D511,OperationTickets!$A:$A,OperationTickets!J:J,"",0)),"hh:mm"))</f>
        <v>Free</v>
      </c>
      <c r="G511" s="309" t="str">
        <f t="shared" si="3"/>
        <v>Free</v>
      </c>
      <c r="H511" s="316" t="str">
        <f t="array" ref="H511">XLOOKUP(B511,Roster!L:L,Roster!N:N,XLOOKUP(D511,TicketsBreak!A:A,TicketsBreak!E:E,"",0),0)</f>
        <v/>
      </c>
      <c r="I511" s="316" t="str">
        <f t="array" ref="I511">XLOOKUP(B511,Roster!L:L,Roster!O:O,XLOOKUP(D511,TicketsBreak!A:A,TicketsBreak!F:F,"",0),0)</f>
        <v/>
      </c>
      <c r="J511" s="316" t="str">
        <f t="array" ref="J511">XLOOKUP(B511,Roster!L:L,Roster!P:P,XLOOKUP(D511,TicketsBreak!A:A,TicketsBreak!G:G,"",0),0)</f>
        <v/>
      </c>
      <c r="K511" s="310">
        <f t="shared" si="4"/>
        <v>46116</v>
      </c>
      <c r="L511" s="317">
        <f t="array" ref="L511">(XLOOKUP(D511,Roster!F:F,Roster!D:D,"",0))</f>
        <v>36</v>
      </c>
      <c r="M511" s="317" t="str">
        <f t="array" ref="M511">XLOOKUP(D511,Roster!F:F,Roster!E:E)</f>
        <v>Voice</v>
      </c>
      <c r="N511" s="317" t="str">
        <f t="shared" ref="N511:P511" si="522">LEFT(H511,5)</f>
        <v/>
      </c>
      <c r="O511" s="317" t="str">
        <f t="shared" si="522"/>
        <v/>
      </c>
      <c r="P511" s="317" t="str">
        <f t="shared" si="522"/>
        <v/>
      </c>
      <c r="Q511" s="318" t="str">
        <f t="shared" si="382"/>
        <v/>
      </c>
      <c r="R511" s="318" t="str">
        <f t="shared" si="383"/>
        <v/>
      </c>
      <c r="S511" s="318" t="str">
        <f t="shared" si="8"/>
        <v/>
      </c>
    </row>
    <row r="512">
      <c r="A512" s="14" t="str">
        <f t="shared" si="1"/>
        <v>C74046116</v>
      </c>
      <c r="B512" s="185" t="str">
        <f t="array" ref="B512">IF(F512="VL","",IF(F512="Free","Free",XLOOKUP(D512,Roster!T:T,Roster!S:S,"",0)))</f>
        <v/>
      </c>
      <c r="C512" s="313">
        <v>46116.0</v>
      </c>
      <c r="D512" s="314" t="s">
        <v>166</v>
      </c>
      <c r="E512" s="307" t="str">
        <f t="array" ref="E512">(XLOOKUP(D512,Roster!F:F,Roster!B:B,"",0))</f>
        <v>Mateo Agudelo</v>
      </c>
      <c r="F512" s="315" t="str">
        <f t="array" ref="F512">IF(B512=100,"Free",TEXT(XLOOKUP($D512,OperationVoice!$A:$A,OperationVoice!J:J,XLOOKUP($D512,OperationTickets!$A:$A,OperationTickets!J:J,"",0)),"hh:mm"))</f>
        <v>08:00</v>
      </c>
      <c r="G512" s="309">
        <f t="shared" si="3"/>
        <v>0.7083333333</v>
      </c>
      <c r="H512" s="316">
        <f t="array" ref="H512">XLOOKUP(B512,Roster!L:L,Roster!N:N,XLOOKUP(D512,TicketsBreak!A:A,TicketsBreak!E:E,"",0),0)</f>
        <v>0.4166666667</v>
      </c>
      <c r="I512" s="316">
        <f t="array" ref="I512">XLOOKUP(B512,Roster!L:L,Roster!O:O,XLOOKUP(D512,TicketsBreak!A:A,TicketsBreak!F:F,"",0),0)</f>
        <v>0.5</v>
      </c>
      <c r="J512" s="316">
        <f t="array" ref="J512">XLOOKUP(B512,Roster!L:L,Roster!P:P,XLOOKUP(D512,TicketsBreak!A:A,TicketsBreak!G:G,"",0),0)</f>
        <v>0.65625</v>
      </c>
      <c r="K512" s="310">
        <f t="shared" si="4"/>
        <v>46116</v>
      </c>
      <c r="L512" s="317">
        <f t="array" ref="L512">(XLOOKUP(D512,Roster!F:F,Roster!D:D,"",0))</f>
        <v>8</v>
      </c>
      <c r="M512" s="317" t="str">
        <f t="array" ref="M512">XLOOKUP(D512,Roster!F:F,Roster!E:E)</f>
        <v>Tickets</v>
      </c>
      <c r="N512" s="317" t="str">
        <f t="shared" ref="N512:P512" si="523">LEFT(H512,5)</f>
        <v>10:00</v>
      </c>
      <c r="O512" s="317" t="str">
        <f t="shared" si="523"/>
        <v>12:00</v>
      </c>
      <c r="P512" s="317" t="str">
        <f t="shared" si="523"/>
        <v>15:45</v>
      </c>
      <c r="Q512" s="318">
        <f t="shared" si="382"/>
        <v>46116.41667</v>
      </c>
      <c r="R512" s="318">
        <f t="shared" si="383"/>
        <v>46116.5</v>
      </c>
      <c r="S512" s="318">
        <f t="shared" si="8"/>
        <v>46116.65625</v>
      </c>
    </row>
    <row r="513">
      <c r="A513" s="14" t="str">
        <f t="shared" si="1"/>
        <v>C142946116</v>
      </c>
      <c r="B513" s="185">
        <f t="array" ref="B513">IF(F513="VL","",IF(F513="Free","Free",XLOOKUP(D513,Roster!T:T,Roster!S:S,"",0)))</f>
        <v>121</v>
      </c>
      <c r="C513" s="313">
        <v>46116.0</v>
      </c>
      <c r="D513" s="314" t="s">
        <v>178</v>
      </c>
      <c r="E513" s="307" t="str">
        <f t="array" ref="E513">(XLOOKUP(D513,Roster!F:F,Roster!B:B,"",0))</f>
        <v>Mateo Vanegas</v>
      </c>
      <c r="F513" s="315" t="str">
        <f t="array" ref="F513">IF(B513=100,"Free",TEXT(XLOOKUP($D513,OperationVoice!$A:$A,OperationVoice!J:J,XLOOKUP($D513,OperationTickets!$A:$A,OperationTickets!J:J,"",0)),"hh:mm"))</f>
        <v>08:00</v>
      </c>
      <c r="G513" s="309">
        <f t="shared" si="3"/>
        <v>0.7083333333</v>
      </c>
      <c r="H513" s="316" t="str">
        <f t="array" ref="H513">XLOOKUP(B513,Roster!L:L,Roster!N:N,XLOOKUP(D513,TicketsBreak!A:A,TicketsBreak!E:E,"",0),0)</f>
        <v>09:15 - 09:30</v>
      </c>
      <c r="I513" s="316" t="str">
        <f t="array" ref="I513">XLOOKUP(B513,Roster!L:L,Roster!O:O,XLOOKUP(D513,TicketsBreak!A:A,TicketsBreak!F:F,"",0),0)</f>
        <v>11:30 - 12:00</v>
      </c>
      <c r="J513" s="316" t="str">
        <f t="array" ref="J513">XLOOKUP(B513,Roster!L:L,Roster!P:P,XLOOKUP(D513,TicketsBreak!A:A,TicketsBreak!G:G,"",0),0)</f>
        <v>14:30 - 14:45</v>
      </c>
      <c r="K513" s="310">
        <f t="shared" si="4"/>
        <v>46116</v>
      </c>
      <c r="L513" s="317">
        <f t="array" ref="L513">(XLOOKUP(D513,Roster!F:F,Roster!D:D,"",0))</f>
        <v>32</v>
      </c>
      <c r="M513" s="317" t="str">
        <f t="array" ref="M513">XLOOKUP(D513,Roster!F:F,Roster!E:E)</f>
        <v>Tickets</v>
      </c>
      <c r="N513" s="317" t="str">
        <f t="shared" ref="N513:P513" si="524">LEFT(H513,5)</f>
        <v>09:15</v>
      </c>
      <c r="O513" s="317" t="str">
        <f t="shared" si="524"/>
        <v>11:30</v>
      </c>
      <c r="P513" s="317" t="str">
        <f t="shared" si="524"/>
        <v>14:30</v>
      </c>
      <c r="Q513" s="318">
        <f t="shared" si="382"/>
        <v>46116.38542</v>
      </c>
      <c r="R513" s="318">
        <f t="shared" si="383"/>
        <v>46116.47917</v>
      </c>
      <c r="S513" s="318">
        <f t="shared" si="8"/>
        <v>46116.60417</v>
      </c>
    </row>
    <row r="514">
      <c r="A514" s="14" t="str">
        <f t="shared" si="1"/>
        <v>C146846116</v>
      </c>
      <c r="B514" s="185" t="str">
        <f t="array" ref="B514">IF(F514="VL","",IF(F514="Free","Free",XLOOKUP(D514,Roster!T:T,Roster!S:S,"",0)))</f>
        <v>Free</v>
      </c>
      <c r="C514" s="313">
        <v>46116.0</v>
      </c>
      <c r="D514" s="314" t="s">
        <v>64</v>
      </c>
      <c r="E514" s="307" t="str">
        <f t="array" ref="E514">(XLOOKUP(D514,Roster!F:F,Roster!B:B,"",0))</f>
        <v>Miguel Betancur</v>
      </c>
      <c r="F514" s="315" t="str">
        <f t="array" ref="F514">IF(B514=100,"Free",TEXT(XLOOKUP($D514,OperationVoice!$A:$A,OperationVoice!J:J,XLOOKUP($D514,OperationTickets!$A:$A,OperationTickets!J:J,"",0)),"hh:mm"))</f>
        <v>Free</v>
      </c>
      <c r="G514" s="309" t="str">
        <f t="shared" si="3"/>
        <v>Free</v>
      </c>
      <c r="H514" s="316" t="str">
        <f t="array" ref="H514">XLOOKUP(B514,Roster!L:L,Roster!N:N,XLOOKUP(D514,TicketsBreak!A:A,TicketsBreak!E:E,"",0),0)</f>
        <v/>
      </c>
      <c r="I514" s="316" t="str">
        <f t="array" ref="I514">XLOOKUP(B514,Roster!L:L,Roster!O:O,XLOOKUP(D514,TicketsBreak!A:A,TicketsBreak!F:F,"",0),0)</f>
        <v/>
      </c>
      <c r="J514" s="316" t="str">
        <f t="array" ref="J514">XLOOKUP(B514,Roster!L:L,Roster!P:P,XLOOKUP(D514,TicketsBreak!A:A,TicketsBreak!G:G,"",0),0)</f>
        <v/>
      </c>
      <c r="K514" s="310">
        <f t="shared" si="4"/>
        <v>46116</v>
      </c>
      <c r="L514" s="317">
        <f t="array" ref="L514">(XLOOKUP(D514,Roster!F:F,Roster!D:D,"",0))</f>
        <v>33</v>
      </c>
      <c r="M514" s="317" t="str">
        <f t="array" ref="M514">XLOOKUP(D514,Roster!F:F,Roster!E:E)</f>
        <v>Voice</v>
      </c>
      <c r="N514" s="317" t="str">
        <f t="shared" ref="N514:P514" si="525">LEFT(H514,5)</f>
        <v/>
      </c>
      <c r="O514" s="317" t="str">
        <f t="shared" si="525"/>
        <v/>
      </c>
      <c r="P514" s="317" t="str">
        <f t="shared" si="525"/>
        <v/>
      </c>
      <c r="Q514" s="318" t="str">
        <f t="shared" si="382"/>
        <v/>
      </c>
      <c r="R514" s="318" t="str">
        <f t="shared" si="383"/>
        <v/>
      </c>
      <c r="S514" s="318" t="str">
        <f t="shared" si="8"/>
        <v/>
      </c>
    </row>
    <row r="515">
      <c r="A515" s="14" t="str">
        <f t="shared" si="1"/>
        <v>C106546116</v>
      </c>
      <c r="B515" s="185" t="str">
        <f t="array" ref="B515">IF(F515="VL","",IF(F515="Free","Free",XLOOKUP(D515,Roster!T:T,Roster!S:S,"",0)))</f>
        <v/>
      </c>
      <c r="C515" s="313">
        <v>46116.0</v>
      </c>
      <c r="D515" s="314" t="s">
        <v>148</v>
      </c>
      <c r="E515" s="307" t="str">
        <f t="array" ref="E515">(XLOOKUP(D515,Roster!F:F,Roster!B:B,"",0))</f>
        <v>Miguel Hoyos</v>
      </c>
      <c r="F515" s="315" t="str">
        <f t="array" ref="F515">IF(B515=100,"Free",TEXT(XLOOKUP($D515,OperationVoice!$A:$A,OperationVoice!J:J,XLOOKUP($D515,OperationTickets!$A:$A,OperationTickets!J:J,"",0)),"hh:mm"))</f>
        <v>07:00</v>
      </c>
      <c r="G515" s="309">
        <f t="shared" si="3"/>
        <v>0.6666666667</v>
      </c>
      <c r="H515" s="316">
        <f t="array" ref="H515">XLOOKUP(B515,Roster!L:L,Roster!N:N,XLOOKUP(D515,TicketsBreak!A:A,TicketsBreak!E:E,"",0),0)</f>
        <v>0.4583333333</v>
      </c>
      <c r="I515" s="316">
        <f t="array" ref="I515">XLOOKUP(B515,Roster!L:L,Roster!O:O,XLOOKUP(D515,TicketsBreak!A:A,TicketsBreak!F:F,"",0),0)</f>
        <v>0.5625</v>
      </c>
      <c r="J515" s="316">
        <f t="array" ref="J515">XLOOKUP(B515,Roster!L:L,Roster!P:P,XLOOKUP(D515,TicketsBreak!A:A,TicketsBreak!G:G,"",0),0)</f>
        <v>0.65625</v>
      </c>
      <c r="K515" s="310">
        <f t="shared" si="4"/>
        <v>46116</v>
      </c>
      <c r="L515" s="317">
        <f t="array" ref="L515">(XLOOKUP(D515,Roster!F:F,Roster!D:D,"",0))</f>
        <v>17</v>
      </c>
      <c r="M515" s="317" t="str">
        <f t="array" ref="M515">XLOOKUP(D515,Roster!F:F,Roster!E:E)</f>
        <v>Tickets</v>
      </c>
      <c r="N515" s="317" t="str">
        <f t="shared" ref="N515:P515" si="526">LEFT(H515,5)</f>
        <v>11:00</v>
      </c>
      <c r="O515" s="317" t="str">
        <f t="shared" si="526"/>
        <v>13:30</v>
      </c>
      <c r="P515" s="317" t="str">
        <f t="shared" si="526"/>
        <v>15:45</v>
      </c>
      <c r="Q515" s="318">
        <f t="shared" si="382"/>
        <v>46116.45833</v>
      </c>
      <c r="R515" s="318">
        <f t="shared" si="383"/>
        <v>46116.5625</v>
      </c>
      <c r="S515" s="318">
        <f t="shared" si="8"/>
        <v>46116.65625</v>
      </c>
    </row>
    <row r="516">
      <c r="A516" s="14" t="str">
        <f t="shared" si="1"/>
        <v>C111446116</v>
      </c>
      <c r="B516" s="185" t="str">
        <f t="array" ref="B516">IF(F516="VL","",IF(F516="Free","Free",XLOOKUP(D516,Roster!T:T,Roster!S:S,"",0)))</f>
        <v>Free</v>
      </c>
      <c r="C516" s="313">
        <v>46116.0</v>
      </c>
      <c r="D516" s="314" t="s">
        <v>65</v>
      </c>
      <c r="E516" s="307" t="str">
        <f t="array" ref="E516">(XLOOKUP(D516,Roster!F:F,Roster!B:B,"",0))</f>
        <v>Mikel Bowie</v>
      </c>
      <c r="F516" s="315" t="str">
        <f t="array" ref="F516">IF(B516=100,"Free",TEXT(XLOOKUP($D516,OperationVoice!$A:$A,OperationVoice!J:J,XLOOKUP($D516,OperationTickets!$A:$A,OperationTickets!J:J,"",0)),"hh:mm"))</f>
        <v>Free</v>
      </c>
      <c r="G516" s="309" t="str">
        <f t="shared" si="3"/>
        <v>Free</v>
      </c>
      <c r="H516" s="316" t="str">
        <f t="array" ref="H516">XLOOKUP(B516,Roster!L:L,Roster!N:N,XLOOKUP(D516,TicketsBreak!A:A,TicketsBreak!E:E,"",0),0)</f>
        <v/>
      </c>
      <c r="I516" s="316" t="str">
        <f t="array" ref="I516">XLOOKUP(B516,Roster!L:L,Roster!O:O,XLOOKUP(D516,TicketsBreak!A:A,TicketsBreak!F:F,"",0),0)</f>
        <v/>
      </c>
      <c r="J516" s="316" t="str">
        <f t="array" ref="J516">XLOOKUP(B516,Roster!L:L,Roster!P:P,XLOOKUP(D516,TicketsBreak!A:A,TicketsBreak!G:G,"",0),0)</f>
        <v/>
      </c>
      <c r="K516" s="310">
        <f t="shared" si="4"/>
        <v>46116</v>
      </c>
      <c r="L516" s="317">
        <f t="array" ref="L516">(XLOOKUP(D516,Roster!F:F,Roster!D:D,"",0))</f>
        <v>20</v>
      </c>
      <c r="M516" s="317" t="str">
        <f t="array" ref="M516">XLOOKUP(D516,Roster!F:F,Roster!E:E)</f>
        <v>Voice</v>
      </c>
      <c r="N516" s="317" t="str">
        <f t="shared" ref="N516:P516" si="527">LEFT(H516,5)</f>
        <v/>
      </c>
      <c r="O516" s="317" t="str">
        <f t="shared" si="527"/>
        <v/>
      </c>
      <c r="P516" s="317" t="str">
        <f t="shared" si="527"/>
        <v/>
      </c>
      <c r="Q516" s="318" t="str">
        <f t="shared" si="382"/>
        <v/>
      </c>
      <c r="R516" s="318" t="str">
        <f t="shared" si="383"/>
        <v/>
      </c>
      <c r="S516" s="318" t="str">
        <f t="shared" si="8"/>
        <v/>
      </c>
    </row>
    <row r="517">
      <c r="A517" s="14" t="str">
        <f t="shared" si="1"/>
        <v>C116346116</v>
      </c>
      <c r="B517" s="185" t="str">
        <f t="array" ref="B517">IF(F517="VL","",IF(F517="Free","Free",XLOOKUP(D517,Roster!T:T,Roster!S:S,"",0)))</f>
        <v>Free</v>
      </c>
      <c r="C517" s="313">
        <v>46116.0</v>
      </c>
      <c r="D517" s="314" t="s">
        <v>66</v>
      </c>
      <c r="E517" s="307" t="str">
        <f t="array" ref="E517">(XLOOKUP(D517,Roster!F:F,Roster!B:B,"",0))</f>
        <v>Natalia Cardona</v>
      </c>
      <c r="F517" s="315" t="str">
        <f t="array" ref="F517">IF(B517=100,"Free",TEXT(XLOOKUP($D517,OperationVoice!$A:$A,OperationVoice!J:J,XLOOKUP($D517,OperationTickets!$A:$A,OperationTickets!J:J,"",0)),"hh:mm"))</f>
        <v>Free</v>
      </c>
      <c r="G517" s="309" t="str">
        <f t="shared" si="3"/>
        <v>Free</v>
      </c>
      <c r="H517" s="316" t="str">
        <f t="array" ref="H517">XLOOKUP(B517,Roster!L:L,Roster!N:N,XLOOKUP(D517,TicketsBreak!A:A,TicketsBreak!E:E,"",0),0)</f>
        <v/>
      </c>
      <c r="I517" s="316" t="str">
        <f t="array" ref="I517">XLOOKUP(B517,Roster!L:L,Roster!O:O,XLOOKUP(D517,TicketsBreak!A:A,TicketsBreak!F:F,"",0),0)</f>
        <v/>
      </c>
      <c r="J517" s="316" t="str">
        <f t="array" ref="J517">XLOOKUP(B517,Roster!L:L,Roster!P:P,XLOOKUP(D517,TicketsBreak!A:A,TicketsBreak!G:G,"",0),0)</f>
        <v/>
      </c>
      <c r="K517" s="310">
        <f t="shared" si="4"/>
        <v>46116</v>
      </c>
      <c r="L517" s="317">
        <f t="array" ref="L517">(XLOOKUP(D517,Roster!F:F,Roster!D:D,"",0))</f>
        <v>24</v>
      </c>
      <c r="M517" s="317" t="str">
        <f t="array" ref="M517">XLOOKUP(D517,Roster!F:F,Roster!E:E)</f>
        <v>Voice</v>
      </c>
      <c r="N517" s="317" t="str">
        <f t="shared" ref="N517:P517" si="528">LEFT(H517,5)</f>
        <v/>
      </c>
      <c r="O517" s="317" t="str">
        <f t="shared" si="528"/>
        <v/>
      </c>
      <c r="P517" s="317" t="str">
        <f t="shared" si="528"/>
        <v/>
      </c>
      <c r="Q517" s="318" t="str">
        <f t="shared" si="382"/>
        <v/>
      </c>
      <c r="R517" s="318" t="str">
        <f t="shared" si="383"/>
        <v/>
      </c>
      <c r="S517" s="318" t="str">
        <f t="shared" si="8"/>
        <v/>
      </c>
    </row>
    <row r="518">
      <c r="A518" s="14" t="str">
        <f t="shared" si="1"/>
        <v>C55646116</v>
      </c>
      <c r="B518" s="185" t="str">
        <f t="array" ref="B518">IF(F518="VL","",IF(F518="Free","Free",XLOOKUP(D518,Roster!T:T,Roster!S:S,"",0)))</f>
        <v/>
      </c>
      <c r="C518" s="313">
        <v>46116.0</v>
      </c>
      <c r="D518" s="314" t="s">
        <v>167</v>
      </c>
      <c r="E518" s="307" t="str">
        <f t="array" ref="E518">(XLOOKUP(D518,Roster!F:F,Roster!B:B,"",0))</f>
        <v>Nelson Londono</v>
      </c>
      <c r="F518" s="315" t="str">
        <f t="array" ref="F518">IF(B518=100,"Free",TEXT(XLOOKUP($D518,OperationVoice!$A:$A,OperationVoice!J:J,XLOOKUP($D518,OperationTickets!$A:$A,OperationTickets!J:J,"",0)),"hh:mm"))</f>
        <v>08:00</v>
      </c>
      <c r="G518" s="309">
        <f t="shared" si="3"/>
        <v>0.7083333333</v>
      </c>
      <c r="H518" s="316">
        <f t="array" ref="H518">XLOOKUP(B518,Roster!L:L,Roster!N:N,XLOOKUP(D518,TicketsBreak!A:A,TicketsBreak!E:E,"",0),0)</f>
        <v>0.3854166667</v>
      </c>
      <c r="I518" s="316">
        <f t="array" ref="I518">XLOOKUP(B518,Roster!L:L,Roster!O:O,XLOOKUP(D518,TicketsBreak!A:A,TicketsBreak!F:F,"",0),0)</f>
        <v>0.5833333333</v>
      </c>
      <c r="J518" s="316">
        <f t="array" ref="J518">XLOOKUP(B518,Roster!L:L,Roster!P:P,XLOOKUP(D518,TicketsBreak!A:A,TicketsBreak!G:G,"",0),0)</f>
        <v>0.6458333333</v>
      </c>
      <c r="K518" s="310">
        <f t="shared" si="4"/>
        <v>46116</v>
      </c>
      <c r="L518" s="317">
        <f t="array" ref="L518">(XLOOKUP(D518,Roster!F:F,Roster!D:D,"",0))</f>
        <v>2</v>
      </c>
      <c r="M518" s="317" t="str">
        <f t="array" ref="M518">XLOOKUP(D518,Roster!F:F,Roster!E:E)</f>
        <v>Tickets</v>
      </c>
      <c r="N518" s="317" t="str">
        <f t="shared" ref="N518:P518" si="529">LEFT(H518,5)</f>
        <v>09:15</v>
      </c>
      <c r="O518" s="317" t="str">
        <f t="shared" si="529"/>
        <v>14:00</v>
      </c>
      <c r="P518" s="317" t="str">
        <f t="shared" si="529"/>
        <v>15:30</v>
      </c>
      <c r="Q518" s="318">
        <f t="shared" si="382"/>
        <v>46116.38542</v>
      </c>
      <c r="R518" s="318">
        <f t="shared" si="383"/>
        <v>46116.58333</v>
      </c>
      <c r="S518" s="318">
        <f t="shared" si="8"/>
        <v>46116.64583</v>
      </c>
    </row>
    <row r="519">
      <c r="A519" s="14" t="str">
        <f t="shared" si="1"/>
        <v>C150746116</v>
      </c>
      <c r="B519" s="185" t="str">
        <f t="array" ref="B519">IF(F519="VL","",IF(F519="Free","Free",XLOOKUP(D519,Roster!T:T,Roster!S:S,"",0)))</f>
        <v>Free</v>
      </c>
      <c r="C519" s="313">
        <v>46116.0</v>
      </c>
      <c r="D519" s="314" t="s">
        <v>67</v>
      </c>
      <c r="E519" s="307" t="str">
        <f t="array" ref="E519">(XLOOKUP(D519,Roster!F:F,Roster!B:B,"",0))</f>
        <v>Nicols Quinones</v>
      </c>
      <c r="F519" s="315" t="str">
        <f t="array" ref="F519">IF(B519=100,"Free",TEXT(XLOOKUP($D519,OperationVoice!$A:$A,OperationVoice!J:J,XLOOKUP($D519,OperationTickets!$A:$A,OperationTickets!J:J,"",0)),"hh:mm"))</f>
        <v>Free</v>
      </c>
      <c r="G519" s="309" t="str">
        <f t="shared" si="3"/>
        <v>Free</v>
      </c>
      <c r="H519" s="316" t="str">
        <f t="array" ref="H519">XLOOKUP(B519,Roster!L:L,Roster!N:N,XLOOKUP(D519,TicketsBreak!A:A,TicketsBreak!E:E,"",0),0)</f>
        <v/>
      </c>
      <c r="I519" s="316" t="str">
        <f t="array" ref="I519">XLOOKUP(B519,Roster!L:L,Roster!O:O,XLOOKUP(D519,TicketsBreak!A:A,TicketsBreak!F:F,"",0),0)</f>
        <v/>
      </c>
      <c r="J519" s="316" t="str">
        <f t="array" ref="J519">XLOOKUP(B519,Roster!L:L,Roster!P:P,XLOOKUP(D519,TicketsBreak!A:A,TicketsBreak!G:G,"",0),0)</f>
        <v/>
      </c>
      <c r="K519" s="310">
        <f t="shared" si="4"/>
        <v>46116</v>
      </c>
      <c r="L519" s="317">
        <f t="array" ref="L519">(XLOOKUP(D519,Roster!F:F,Roster!D:D,"",0))</f>
        <v>35</v>
      </c>
      <c r="M519" s="317" t="str">
        <f t="array" ref="M519">XLOOKUP(D519,Roster!F:F,Roster!E:E)</f>
        <v>Voice</v>
      </c>
      <c r="N519" s="317" t="str">
        <f t="shared" ref="N519:P519" si="530">LEFT(H519,5)</f>
        <v/>
      </c>
      <c r="O519" s="317" t="str">
        <f t="shared" si="530"/>
        <v/>
      </c>
      <c r="P519" s="317" t="str">
        <f t="shared" si="530"/>
        <v/>
      </c>
      <c r="Q519" s="318" t="str">
        <f t="shared" si="382"/>
        <v/>
      </c>
      <c r="R519" s="318" t="str">
        <f t="shared" si="383"/>
        <v/>
      </c>
      <c r="S519" s="318" t="str">
        <f t="shared" si="8"/>
        <v/>
      </c>
    </row>
    <row r="520">
      <c r="A520" s="14" t="str">
        <f t="shared" si="1"/>
        <v>C71446116</v>
      </c>
      <c r="B520" s="185" t="str">
        <f t="array" ref="B520">IF(F520="VL","",IF(F520="Free","Free",XLOOKUP(D520,Roster!T:T,Roster!S:S,"",0)))</f>
        <v/>
      </c>
      <c r="C520" s="313">
        <v>46116.0</v>
      </c>
      <c r="D520" s="314" t="s">
        <v>149</v>
      </c>
      <c r="E520" s="307" t="str">
        <f t="array" ref="E520">(XLOOKUP(D520,Roster!F:F,Roster!B:B,"",0))</f>
        <v>Onel Olivera</v>
      </c>
      <c r="F520" s="315" t="str">
        <f t="array" ref="F520">IF(B520=100,"Free",TEXT(XLOOKUP($D520,OperationVoice!$A:$A,OperationVoice!J:J,XLOOKUP($D520,OperationTickets!$A:$A,OperationTickets!J:J,"",0)),"hh:mm"))</f>
        <v>08:00</v>
      </c>
      <c r="G520" s="309">
        <f t="shared" si="3"/>
        <v>0.7083333333</v>
      </c>
      <c r="H520" s="316">
        <f t="array" ref="H520">XLOOKUP(B520,Roster!L:L,Roster!N:N,XLOOKUP(D520,TicketsBreak!A:A,TicketsBreak!E:E,"",0),0)</f>
        <v>0.4166666667</v>
      </c>
      <c r="I520" s="316">
        <f t="array" ref="I520">XLOOKUP(B520,Roster!L:L,Roster!O:O,XLOOKUP(D520,TicketsBreak!A:A,TicketsBreak!F:F,"",0),0)</f>
        <v>0.5</v>
      </c>
      <c r="J520" s="316">
        <f t="array" ref="J520">XLOOKUP(B520,Roster!L:L,Roster!P:P,XLOOKUP(D520,TicketsBreak!A:A,TicketsBreak!G:G,"",0),0)</f>
        <v>0.625</v>
      </c>
      <c r="K520" s="310">
        <f t="shared" si="4"/>
        <v>46116</v>
      </c>
      <c r="L520" s="317">
        <f t="array" ref="L520">(XLOOKUP(D520,Roster!F:F,Roster!D:D,"",0))</f>
        <v>1</v>
      </c>
      <c r="M520" s="317" t="str">
        <f t="array" ref="M520">XLOOKUP(D520,Roster!F:F,Roster!E:E)</f>
        <v>Tickets</v>
      </c>
      <c r="N520" s="317" t="str">
        <f t="shared" ref="N520:P520" si="531">LEFT(H520,5)</f>
        <v>10:00</v>
      </c>
      <c r="O520" s="317" t="str">
        <f t="shared" si="531"/>
        <v>12:00</v>
      </c>
      <c r="P520" s="317" t="str">
        <f t="shared" si="531"/>
        <v>15:00</v>
      </c>
      <c r="Q520" s="318">
        <f t="shared" si="382"/>
        <v>46116.41667</v>
      </c>
      <c r="R520" s="318">
        <f t="shared" si="383"/>
        <v>46116.5</v>
      </c>
      <c r="S520" s="318">
        <f t="shared" si="8"/>
        <v>46116.625</v>
      </c>
    </row>
    <row r="521">
      <c r="A521" s="14" t="str">
        <f t="shared" si="1"/>
        <v>C116446116</v>
      </c>
      <c r="B521" s="185" t="str">
        <f t="array" ref="B521">IF(F521="VL","",IF(F521="Free","Free",XLOOKUP(D521,Roster!T:T,Roster!S:S,"",0)))</f>
        <v>Free</v>
      </c>
      <c r="C521" s="313">
        <v>46116.0</v>
      </c>
      <c r="D521" s="314" t="s">
        <v>179</v>
      </c>
      <c r="E521" s="307" t="str">
        <f t="array" ref="E521">(XLOOKUP(D521,Roster!F:F,Roster!B:B,"",0))</f>
        <v>Oscar Florez</v>
      </c>
      <c r="F521" s="315" t="str">
        <f t="array" ref="F521">IF(B521=100,"Free",TEXT(XLOOKUP($D521,OperationVoice!$A:$A,OperationVoice!J:J,XLOOKUP($D521,OperationTickets!$A:$A,OperationTickets!J:J,"",0)),"hh:mm"))</f>
        <v>Free</v>
      </c>
      <c r="G521" s="309" t="str">
        <f t="shared" si="3"/>
        <v>Free</v>
      </c>
      <c r="H521" s="316" t="str">
        <f t="array" ref="H521">XLOOKUP(B521,Roster!L:L,Roster!N:N,XLOOKUP(D521,TicketsBreak!A:A,TicketsBreak!E:E,"",0),0)</f>
        <v/>
      </c>
      <c r="I521" s="316" t="str">
        <f t="array" ref="I521">XLOOKUP(B521,Roster!L:L,Roster!O:O,XLOOKUP(D521,TicketsBreak!A:A,TicketsBreak!F:F,"",0),0)</f>
        <v/>
      </c>
      <c r="J521" s="316" t="str">
        <f t="array" ref="J521">XLOOKUP(B521,Roster!L:L,Roster!P:P,XLOOKUP(D521,TicketsBreak!A:A,TicketsBreak!G:G,"",0),0)</f>
        <v/>
      </c>
      <c r="K521" s="310">
        <f t="shared" si="4"/>
        <v>46116</v>
      </c>
      <c r="L521" s="317">
        <f t="array" ref="L521">(XLOOKUP(D521,Roster!F:F,Roster!D:D,"",0))</f>
        <v>24</v>
      </c>
      <c r="M521" s="317" t="str">
        <f t="array" ref="M521">XLOOKUP(D521,Roster!F:F,Roster!E:E)</f>
        <v>Tickets</v>
      </c>
      <c r="N521" s="317" t="str">
        <f t="shared" ref="N521:P521" si="532">LEFT(H521,5)</f>
        <v/>
      </c>
      <c r="O521" s="317" t="str">
        <f t="shared" si="532"/>
        <v/>
      </c>
      <c r="P521" s="317" t="str">
        <f t="shared" si="532"/>
        <v/>
      </c>
      <c r="Q521" s="318" t="str">
        <f t="shared" si="382"/>
        <v/>
      </c>
      <c r="R521" s="318" t="str">
        <f t="shared" si="383"/>
        <v/>
      </c>
      <c r="S521" s="318" t="str">
        <f t="shared" si="8"/>
        <v/>
      </c>
    </row>
    <row r="522">
      <c r="A522" s="14" t="str">
        <f t="shared" si="1"/>
        <v>C153846116</v>
      </c>
      <c r="B522" s="185">
        <f t="array" ref="B522">IF(F522="VL","",IF(F522="Free","Free",XLOOKUP(D522,Roster!T:T,Roster!S:S,"",0)))</f>
        <v>151</v>
      </c>
      <c r="C522" s="313">
        <v>46116.0</v>
      </c>
      <c r="D522" s="314" t="s">
        <v>68</v>
      </c>
      <c r="E522" s="307" t="str">
        <f t="array" ref="E522">(XLOOKUP(D522,Roster!F:F,Roster!B:B,"",0))</f>
        <v>Oscar Roldan</v>
      </c>
      <c r="F522" s="315" t="str">
        <f t="array" ref="F522">IF(B522=100,"Free",TEXT(XLOOKUP($D522,OperationVoice!$A:$A,OperationVoice!J:J,XLOOKUP($D522,OperationTickets!$A:$A,OperationTickets!J:J,"",0)),"hh:mm"))</f>
        <v>11:00</v>
      </c>
      <c r="G522" s="309">
        <f t="shared" si="3"/>
        <v>0.8333333333</v>
      </c>
      <c r="H522" s="316" t="str">
        <f t="array" ref="H522">XLOOKUP(B522,Roster!L:L,Roster!N:N,XLOOKUP(D522,TicketsBreak!A:A,TicketsBreak!E:E,"",0),0)</f>
        <v>12:15 - 12:30</v>
      </c>
      <c r="I522" s="316" t="str">
        <f t="array" ref="I522">XLOOKUP(B522,Roster!L:L,Roster!O:O,XLOOKUP(D522,TicketsBreak!A:A,TicketsBreak!F:F,"",0),0)</f>
        <v>14:00 - 14:30</v>
      </c>
      <c r="J522" s="316" t="str">
        <f t="array" ref="J522">XLOOKUP(B522,Roster!L:L,Roster!P:P,XLOOKUP(D522,TicketsBreak!A:A,TicketsBreak!G:G,"",0),0)</f>
        <v>17:15 - 17:30</v>
      </c>
      <c r="K522" s="310">
        <f t="shared" si="4"/>
        <v>46116</v>
      </c>
      <c r="L522" s="317">
        <f t="array" ref="L522">(XLOOKUP(D522,Roster!F:F,Roster!D:D,"",0))</f>
        <v>36</v>
      </c>
      <c r="M522" s="317" t="str">
        <f t="array" ref="M522">XLOOKUP(D522,Roster!F:F,Roster!E:E)</f>
        <v>Voice</v>
      </c>
      <c r="N522" s="317" t="str">
        <f t="shared" ref="N522:P522" si="533">LEFT(H522,5)</f>
        <v>12:15</v>
      </c>
      <c r="O522" s="317" t="str">
        <f t="shared" si="533"/>
        <v>14:00</v>
      </c>
      <c r="P522" s="317" t="str">
        <f t="shared" si="533"/>
        <v>17:15</v>
      </c>
      <c r="Q522" s="318">
        <f t="shared" si="382"/>
        <v>46116.51042</v>
      </c>
      <c r="R522" s="318">
        <f t="shared" si="383"/>
        <v>46116.58333</v>
      </c>
      <c r="S522" s="318">
        <f t="shared" si="8"/>
        <v>46116.71875</v>
      </c>
    </row>
    <row r="523">
      <c r="A523" s="14" t="str">
        <f t="shared" si="1"/>
        <v>C151146116</v>
      </c>
      <c r="B523" s="185">
        <f t="array" ref="B523">IF(F523="VL","",IF(F523="Free","Free",XLOOKUP(D523,Roster!T:T,Roster!S:S,"",0)))</f>
        <v>131</v>
      </c>
      <c r="C523" s="313">
        <v>46116.0</v>
      </c>
      <c r="D523" s="314" t="s">
        <v>69</v>
      </c>
      <c r="E523" s="307" t="str">
        <f t="array" ref="E523">(XLOOKUP(D523,Roster!F:F,Roster!B:B,"",0))</f>
        <v>Salma Giraldo</v>
      </c>
      <c r="F523" s="315" t="str">
        <f t="array" ref="F523">IF(B523=100,"Free",TEXT(XLOOKUP($D523,OperationVoice!$A:$A,OperationVoice!J:J,XLOOKUP($D523,OperationTickets!$A:$A,OperationTickets!J:J,"",0)),"hh:mm"))</f>
        <v>09:00</v>
      </c>
      <c r="G523" s="309">
        <f t="shared" si="3"/>
        <v>0.75</v>
      </c>
      <c r="H523" s="316" t="str">
        <f t="array" ref="H523">XLOOKUP(B523,Roster!L:L,Roster!N:N,XLOOKUP(D523,TicketsBreak!A:A,TicketsBreak!E:E,"",0),0)</f>
        <v>10:15 - 10:30</v>
      </c>
      <c r="I523" s="316" t="str">
        <f t="array" ref="I523">XLOOKUP(B523,Roster!L:L,Roster!O:O,XLOOKUP(D523,TicketsBreak!A:A,TicketsBreak!F:F,"",0),0)</f>
        <v>12:30 - 13:00</v>
      </c>
      <c r="J523" s="316" t="str">
        <f t="array" ref="J523">XLOOKUP(B523,Roster!L:L,Roster!P:P,XLOOKUP(D523,TicketsBreak!A:A,TicketsBreak!G:G,"",0),0)</f>
        <v>15:15 - 15:30</v>
      </c>
      <c r="K523" s="310">
        <f t="shared" si="4"/>
        <v>46116</v>
      </c>
      <c r="L523" s="317">
        <f t="array" ref="L523">(XLOOKUP(D523,Roster!F:F,Roster!D:D,"",0))</f>
        <v>35</v>
      </c>
      <c r="M523" s="317" t="str">
        <f t="array" ref="M523">XLOOKUP(D523,Roster!F:F,Roster!E:E)</f>
        <v>Voice</v>
      </c>
      <c r="N523" s="317" t="str">
        <f t="shared" ref="N523:P523" si="534">LEFT(H523,5)</f>
        <v>10:15</v>
      </c>
      <c r="O523" s="317" t="str">
        <f t="shared" si="534"/>
        <v>12:30</v>
      </c>
      <c r="P523" s="317" t="str">
        <f t="shared" si="534"/>
        <v>15:15</v>
      </c>
      <c r="Q523" s="318">
        <f t="shared" si="382"/>
        <v>46116.42708</v>
      </c>
      <c r="R523" s="318">
        <f t="shared" si="383"/>
        <v>46116.52083</v>
      </c>
      <c r="S523" s="318">
        <f t="shared" si="8"/>
        <v>46116.63542</v>
      </c>
    </row>
    <row r="524">
      <c r="A524" s="14" t="str">
        <f t="shared" si="1"/>
        <v>C93346116</v>
      </c>
      <c r="B524" s="185" t="str">
        <f t="array" ref="B524">IF(F524="VL","",IF(F524="Free","Free",XLOOKUP(D524,Roster!T:T,Roster!S:S,"",0)))</f>
        <v>Free</v>
      </c>
      <c r="C524" s="313">
        <v>46116.0</v>
      </c>
      <c r="D524" s="314" t="s">
        <v>70</v>
      </c>
      <c r="E524" s="307" t="str">
        <f t="array" ref="E524">(XLOOKUP(D524,Roster!F:F,Roster!B:B,"",0))</f>
        <v>Salome Arias</v>
      </c>
      <c r="F524" s="315" t="str">
        <f t="array" ref="F524">IF(B524=100,"Free",TEXT(XLOOKUP($D524,OperationVoice!$A:$A,OperationVoice!J:J,XLOOKUP($D524,OperationTickets!$A:$A,OperationTickets!J:J,"",0)),"hh:mm"))</f>
        <v>Free</v>
      </c>
      <c r="G524" s="309" t="str">
        <f t="shared" si="3"/>
        <v>Free</v>
      </c>
      <c r="H524" s="316" t="str">
        <f t="array" ref="H524">XLOOKUP(B524,Roster!L:L,Roster!N:N,XLOOKUP(D524,TicketsBreak!A:A,TicketsBreak!E:E,"",0),0)</f>
        <v/>
      </c>
      <c r="I524" s="316" t="str">
        <f t="array" ref="I524">XLOOKUP(B524,Roster!L:L,Roster!O:O,XLOOKUP(D524,TicketsBreak!A:A,TicketsBreak!F:F,"",0),0)</f>
        <v/>
      </c>
      <c r="J524" s="316" t="str">
        <f t="array" ref="J524">XLOOKUP(B524,Roster!L:L,Roster!P:P,XLOOKUP(D524,TicketsBreak!A:A,TicketsBreak!G:G,"",0),0)</f>
        <v/>
      </c>
      <c r="K524" s="310">
        <f t="shared" si="4"/>
        <v>46116</v>
      </c>
      <c r="L524" s="317">
        <f t="array" ref="L524">(XLOOKUP(D524,Roster!F:F,Roster!D:D,"",0))</f>
        <v>12</v>
      </c>
      <c r="M524" s="317" t="str">
        <f t="array" ref="M524">XLOOKUP(D524,Roster!F:F,Roster!E:E)</f>
        <v>Voice</v>
      </c>
      <c r="N524" s="317" t="str">
        <f t="shared" ref="N524:P524" si="535">LEFT(H524,5)</f>
        <v/>
      </c>
      <c r="O524" s="317" t="str">
        <f t="shared" si="535"/>
        <v/>
      </c>
      <c r="P524" s="317" t="str">
        <f t="shared" si="535"/>
        <v/>
      </c>
      <c r="Q524" s="318" t="str">
        <f t="shared" si="382"/>
        <v/>
      </c>
      <c r="R524" s="318" t="str">
        <f t="shared" si="383"/>
        <v/>
      </c>
      <c r="S524" s="318" t="str">
        <f t="shared" si="8"/>
        <v/>
      </c>
    </row>
    <row r="525">
      <c r="A525" s="14" t="str">
        <f t="shared" si="1"/>
        <v>C128246116</v>
      </c>
      <c r="B525" s="185" t="str">
        <f t="array" ref="B525">IF(F525="VL","",IF(F525="Free","Free",XLOOKUP(D525,Roster!T:T,Roster!S:S,"",0)))</f>
        <v/>
      </c>
      <c r="C525" s="313">
        <v>46116.0</v>
      </c>
      <c r="D525" s="314" t="s">
        <v>168</v>
      </c>
      <c r="E525" s="307" t="str">
        <f t="array" ref="E525">(XLOOKUP(D525,Roster!F:F,Roster!B:B,"",0))</f>
        <v>Samuel Acevedo</v>
      </c>
      <c r="F525" s="315" t="str">
        <f t="array" ref="F525">IF(B525=100,"Free",TEXT(XLOOKUP($D525,OperationVoice!$A:$A,OperationVoice!J:J,XLOOKUP($D525,OperationTickets!$A:$A,OperationTickets!J:J,"",0)),"hh:mm"))</f>
        <v>08:00</v>
      </c>
      <c r="G525" s="309">
        <f t="shared" si="3"/>
        <v>0.7083333333</v>
      </c>
      <c r="H525" s="316" t="str">
        <f t="array" ref="H525">XLOOKUP(B525,Roster!L:L,Roster!N:N,XLOOKUP(D525,TicketsBreak!A:A,TicketsBreak!E:E,"",0),0)</f>
        <v/>
      </c>
      <c r="I525" s="316" t="str">
        <f t="array" ref="I525">XLOOKUP(B525,Roster!L:L,Roster!O:O,XLOOKUP(D525,TicketsBreak!A:A,TicketsBreak!F:F,"",0),0)</f>
        <v/>
      </c>
      <c r="J525" s="316" t="str">
        <f t="array" ref="J525">XLOOKUP(B525,Roster!L:L,Roster!P:P,XLOOKUP(D525,TicketsBreak!A:A,TicketsBreak!G:G,"",0),0)</f>
        <v/>
      </c>
      <c r="K525" s="310">
        <f t="shared" si="4"/>
        <v>46116</v>
      </c>
      <c r="L525" s="317">
        <f t="array" ref="L525">(XLOOKUP(D525,Roster!F:F,Roster!D:D,"",0))</f>
        <v>27</v>
      </c>
      <c r="M525" s="317" t="str">
        <f t="array" ref="M525">XLOOKUP(D525,Roster!F:F,Roster!E:E)</f>
        <v>Tickets</v>
      </c>
      <c r="N525" s="317" t="str">
        <f t="shared" ref="N525:P525" si="536">LEFT(H525,5)</f>
        <v/>
      </c>
      <c r="O525" s="317" t="str">
        <f t="shared" si="536"/>
        <v/>
      </c>
      <c r="P525" s="317" t="str">
        <f t="shared" si="536"/>
        <v/>
      </c>
      <c r="Q525" s="318" t="str">
        <f t="shared" si="382"/>
        <v/>
      </c>
      <c r="R525" s="318" t="str">
        <f t="shared" si="383"/>
        <v/>
      </c>
      <c r="S525" s="318" t="str">
        <f t="shared" si="8"/>
        <v/>
      </c>
    </row>
    <row r="526">
      <c r="A526" s="14" t="str">
        <f t="shared" si="1"/>
        <v>C156446116</v>
      </c>
      <c r="B526" s="185">
        <f t="array" ref="B526">IF(F526="VL","",IF(F526="Free","Free",XLOOKUP(D526,Roster!T:T,Roster!S:S,"",0)))</f>
        <v>121</v>
      </c>
      <c r="C526" s="313">
        <v>46116.0</v>
      </c>
      <c r="D526" s="314" t="s">
        <v>71</v>
      </c>
      <c r="E526" s="307" t="str">
        <f t="array" ref="E526">(XLOOKUP(D526,Roster!F:F,Roster!B:B,"",0))</f>
        <v>Samuel Acevedo Cadavid</v>
      </c>
      <c r="F526" s="315" t="str">
        <f t="array" ref="F526">IF(B526=100,"Free",TEXT(XLOOKUP($D526,OperationVoice!$A:$A,OperationVoice!J:J,XLOOKUP($D526,OperationTickets!$A:$A,OperationTickets!J:J,"",0)),"hh:mm"))</f>
        <v>08:00</v>
      </c>
      <c r="G526" s="309">
        <f t="shared" si="3"/>
        <v>0.7083333333</v>
      </c>
      <c r="H526" s="316" t="str">
        <f t="array" ref="H526">XLOOKUP(B526,Roster!L:L,Roster!N:N,XLOOKUP(D526,TicketsBreak!A:A,TicketsBreak!E:E,"",0),0)</f>
        <v>09:15 - 09:30</v>
      </c>
      <c r="I526" s="316" t="str">
        <f t="array" ref="I526">XLOOKUP(B526,Roster!L:L,Roster!O:O,XLOOKUP(D526,TicketsBreak!A:A,TicketsBreak!F:F,"",0),0)</f>
        <v>11:30 - 12:00</v>
      </c>
      <c r="J526" s="316" t="str">
        <f t="array" ref="J526">XLOOKUP(B526,Roster!L:L,Roster!P:P,XLOOKUP(D526,TicketsBreak!A:A,TicketsBreak!G:G,"",0),0)</f>
        <v>14:30 - 14:45</v>
      </c>
      <c r="K526" s="310">
        <f t="shared" si="4"/>
        <v>46116</v>
      </c>
      <c r="L526" s="317">
        <f t="array" ref="L526">(XLOOKUP(D526,Roster!F:F,Roster!D:D,"",0))</f>
        <v>38</v>
      </c>
      <c r="M526" s="317" t="str">
        <f t="array" ref="M526">XLOOKUP(D526,Roster!F:F,Roster!E:E)</f>
        <v>Voice</v>
      </c>
      <c r="N526" s="317" t="str">
        <f t="shared" ref="N526:P526" si="537">LEFT(H526,5)</f>
        <v>09:15</v>
      </c>
      <c r="O526" s="317" t="str">
        <f t="shared" si="537"/>
        <v>11:30</v>
      </c>
      <c r="P526" s="317" t="str">
        <f t="shared" si="537"/>
        <v>14:30</v>
      </c>
      <c r="Q526" s="318">
        <f t="shared" si="382"/>
        <v>46116.38542</v>
      </c>
      <c r="R526" s="318">
        <f t="shared" si="383"/>
        <v>46116.47917</v>
      </c>
      <c r="S526" s="318">
        <f t="shared" si="8"/>
        <v>46116.60417</v>
      </c>
    </row>
    <row r="527">
      <c r="A527" s="14" t="str">
        <f t="shared" si="1"/>
        <v>C116846116</v>
      </c>
      <c r="B527" s="185">
        <f t="array" ref="B527">IF(F527="VL","",IF(F527="Free","Free",XLOOKUP(D527,Roster!T:T,Roster!S:S,"",0)))</f>
        <v>125</v>
      </c>
      <c r="C527" s="313">
        <v>46116.0</v>
      </c>
      <c r="D527" s="314" t="s">
        <v>180</v>
      </c>
      <c r="E527" s="307" t="str">
        <f t="array" ref="E527">(XLOOKUP(D527,Roster!F:F,Roster!B:B,"",0))</f>
        <v>Santiago Gaviria</v>
      </c>
      <c r="F527" s="315" t="str">
        <f t="array" ref="F527">IF(B527=100,"Free",TEXT(XLOOKUP($D527,OperationVoice!$A:$A,OperationVoice!J:J,XLOOKUP($D527,OperationTickets!$A:$A,OperationTickets!J:J,"",0)),"hh:mm"))</f>
        <v>08:00</v>
      </c>
      <c r="G527" s="309">
        <f t="shared" si="3"/>
        <v>0.7083333333</v>
      </c>
      <c r="H527" s="316" t="str">
        <f t="array" ref="H527">XLOOKUP(B527,Roster!L:L,Roster!N:N,XLOOKUP(D527,TicketsBreak!A:A,TicketsBreak!E:E,"",0),0)</f>
        <v>10:30 - 10:45</v>
      </c>
      <c r="I527" s="316" t="str">
        <f t="array" ref="I527">XLOOKUP(B527,Roster!L:L,Roster!O:O,XLOOKUP(D527,TicketsBreak!A:A,TicketsBreak!F:F,"",0),0)</f>
        <v>13:30 - 14:00</v>
      </c>
      <c r="J527" s="316" t="str">
        <f t="array" ref="J527">XLOOKUP(B527,Roster!L:L,Roster!P:P,XLOOKUP(D527,TicketsBreak!A:A,TicketsBreak!G:G,"",0),0)</f>
        <v>15:45 - 16:00</v>
      </c>
      <c r="K527" s="310">
        <f t="shared" si="4"/>
        <v>46116</v>
      </c>
      <c r="L527" s="317">
        <f t="array" ref="L527">(XLOOKUP(D527,Roster!F:F,Roster!D:D,"",0))</f>
        <v>24</v>
      </c>
      <c r="M527" s="317" t="str">
        <f t="array" ref="M527">XLOOKUP(D527,Roster!F:F,Roster!E:E)</f>
        <v>Tickets</v>
      </c>
      <c r="N527" s="317" t="str">
        <f t="shared" ref="N527:P527" si="538">LEFT(H527,5)</f>
        <v>10:30</v>
      </c>
      <c r="O527" s="317" t="str">
        <f t="shared" si="538"/>
        <v>13:30</v>
      </c>
      <c r="P527" s="317" t="str">
        <f t="shared" si="538"/>
        <v>15:45</v>
      </c>
      <c r="Q527" s="318">
        <f t="shared" si="382"/>
        <v>46116.4375</v>
      </c>
      <c r="R527" s="318">
        <f t="shared" si="383"/>
        <v>46116.5625</v>
      </c>
      <c r="S527" s="318">
        <f t="shared" si="8"/>
        <v>46116.65625</v>
      </c>
    </row>
    <row r="528">
      <c r="A528" s="14" t="str">
        <f t="shared" si="1"/>
        <v>C122046116</v>
      </c>
      <c r="B528" s="185" t="str">
        <f t="array" ref="B528">IF(F528="VL","",IF(F528="Free","Free",XLOOKUP(D528,Roster!T:T,Roster!S:S,"",0)))</f>
        <v/>
      </c>
      <c r="C528" s="313">
        <v>46116.0</v>
      </c>
      <c r="D528" s="314" t="s">
        <v>181</v>
      </c>
      <c r="E528" s="307" t="str">
        <f t="array" ref="E528">(XLOOKUP(D528,Roster!F:F,Roster!B:B,"",0))</f>
        <v>Santiago Gonzalez</v>
      </c>
      <c r="F528" s="315" t="str">
        <f t="array" ref="F528">IF(B528=100,"Free",TEXT(XLOOKUP($D528,OperationVoice!$A:$A,OperationVoice!J:J,XLOOKUP($D528,OperationTickets!$A:$A,OperationTickets!J:J,"",0)),"hh:mm"))</f>
        <v>08:00</v>
      </c>
      <c r="G528" s="309">
        <f t="shared" si="3"/>
        <v>0.7083333333</v>
      </c>
      <c r="H528" s="316" t="str">
        <f t="array" ref="H528">XLOOKUP(B528,Roster!L:L,Roster!N:N,XLOOKUP(D528,TicketsBreak!A:A,TicketsBreak!E:E,"",0),0)</f>
        <v/>
      </c>
      <c r="I528" s="316" t="str">
        <f t="array" ref="I528">XLOOKUP(B528,Roster!L:L,Roster!O:O,XLOOKUP(D528,TicketsBreak!A:A,TicketsBreak!F:F,"",0),0)</f>
        <v/>
      </c>
      <c r="J528" s="316" t="str">
        <f t="array" ref="J528">XLOOKUP(B528,Roster!L:L,Roster!P:P,XLOOKUP(D528,TicketsBreak!A:A,TicketsBreak!G:G,"",0),0)</f>
        <v/>
      </c>
      <c r="K528" s="310">
        <f t="shared" si="4"/>
        <v>46116</v>
      </c>
      <c r="L528" s="317">
        <f t="array" ref="L528">(XLOOKUP(D528,Roster!F:F,Roster!D:D,"",0))</f>
        <v>26</v>
      </c>
      <c r="M528" s="317" t="str">
        <f t="array" ref="M528">XLOOKUP(D528,Roster!F:F,Roster!E:E)</f>
        <v>Tickets</v>
      </c>
      <c r="N528" s="317" t="str">
        <f t="shared" ref="N528:P528" si="539">LEFT(H528,5)</f>
        <v/>
      </c>
      <c r="O528" s="317" t="str">
        <f t="shared" si="539"/>
        <v/>
      </c>
      <c r="P528" s="317" t="str">
        <f t="shared" si="539"/>
        <v/>
      </c>
      <c r="Q528" s="318" t="str">
        <f t="shared" si="382"/>
        <v/>
      </c>
      <c r="R528" s="318" t="str">
        <f t="shared" si="383"/>
        <v/>
      </c>
      <c r="S528" s="318" t="str">
        <f t="shared" si="8"/>
        <v/>
      </c>
    </row>
    <row r="529">
      <c r="A529" s="14" t="str">
        <f t="shared" si="1"/>
        <v>C140646116</v>
      </c>
      <c r="B529" s="185" t="str">
        <f t="array" ref="B529">IF(F529="VL","",IF(F529="Free","Free",XLOOKUP(D529,Roster!T:T,Roster!S:S,"",0)))</f>
        <v>Free</v>
      </c>
      <c r="C529" s="313">
        <v>46116.0</v>
      </c>
      <c r="D529" s="314" t="s">
        <v>72</v>
      </c>
      <c r="E529" s="307" t="str">
        <f t="array" ref="E529">(XLOOKUP(D529,Roster!F:F,Roster!B:B,"",0))</f>
        <v>Santiago Mora</v>
      </c>
      <c r="F529" s="315" t="str">
        <f t="array" ref="F529">IF(B529=100,"Free",TEXT(XLOOKUP($D529,OperationVoice!$A:$A,OperationVoice!J:J,XLOOKUP($D529,OperationTickets!$A:$A,OperationTickets!J:J,"",0)),"hh:mm"))</f>
        <v>Free</v>
      </c>
      <c r="G529" s="309" t="str">
        <f t="shared" si="3"/>
        <v>Free</v>
      </c>
      <c r="H529" s="316" t="str">
        <f t="array" ref="H529">XLOOKUP(B529,Roster!L:L,Roster!N:N,XLOOKUP(D529,TicketsBreak!A:A,TicketsBreak!E:E,"",0),0)</f>
        <v/>
      </c>
      <c r="I529" s="316" t="str">
        <f t="array" ref="I529">XLOOKUP(B529,Roster!L:L,Roster!O:O,XLOOKUP(D529,TicketsBreak!A:A,TicketsBreak!F:F,"",0),0)</f>
        <v/>
      </c>
      <c r="J529" s="316" t="str">
        <f t="array" ref="J529">XLOOKUP(B529,Roster!L:L,Roster!P:P,XLOOKUP(D529,TicketsBreak!A:A,TicketsBreak!G:G,"",0),0)</f>
        <v/>
      </c>
      <c r="K529" s="310">
        <f t="shared" si="4"/>
        <v>46116</v>
      </c>
      <c r="L529" s="317">
        <f t="array" ref="L529">(XLOOKUP(D529,Roster!F:F,Roster!D:D,"",0))</f>
        <v>35</v>
      </c>
      <c r="M529" s="317" t="str">
        <f t="array" ref="M529">XLOOKUP(D529,Roster!F:F,Roster!E:E)</f>
        <v>Voice</v>
      </c>
      <c r="N529" s="317" t="str">
        <f t="shared" ref="N529:P529" si="540">LEFT(H529,5)</f>
        <v/>
      </c>
      <c r="O529" s="317" t="str">
        <f t="shared" si="540"/>
        <v/>
      </c>
      <c r="P529" s="317" t="str">
        <f t="shared" si="540"/>
        <v/>
      </c>
      <c r="Q529" s="318" t="str">
        <f t="shared" si="382"/>
        <v/>
      </c>
      <c r="R529" s="318" t="str">
        <f t="shared" si="383"/>
        <v/>
      </c>
      <c r="S529" s="318" t="str">
        <f t="shared" si="8"/>
        <v/>
      </c>
    </row>
    <row r="530">
      <c r="A530" s="14" t="str">
        <f t="shared" si="1"/>
        <v>C119946116</v>
      </c>
      <c r="B530" s="185" t="str">
        <f t="array" ref="B530">IF(F530="VL","",IF(F530="Free","Free",XLOOKUP(D530,Roster!T:T,Roster!S:S,"",0)))</f>
        <v>Free</v>
      </c>
      <c r="C530" s="313">
        <v>46116.0</v>
      </c>
      <c r="D530" s="314" t="s">
        <v>182</v>
      </c>
      <c r="E530" s="307" t="str">
        <f t="array" ref="E530">(XLOOKUP(D530,Roster!F:F,Roster!B:B,"",0))</f>
        <v>Santiago Velasquez</v>
      </c>
      <c r="F530" s="315" t="str">
        <f t="array" ref="F530">IF(B530=100,"Free",TEXT(XLOOKUP($D530,OperationVoice!$A:$A,OperationVoice!J:J,XLOOKUP($D530,OperationTickets!$A:$A,OperationTickets!J:J,"",0)),"hh:mm"))</f>
        <v>Free</v>
      </c>
      <c r="G530" s="309" t="str">
        <f t="shared" si="3"/>
        <v>Free</v>
      </c>
      <c r="H530" s="316" t="str">
        <f t="array" ref="H530">XLOOKUP(B530,Roster!L:L,Roster!N:N,XLOOKUP(D530,TicketsBreak!A:A,TicketsBreak!E:E,"",0),0)</f>
        <v/>
      </c>
      <c r="I530" s="316" t="str">
        <f t="array" ref="I530">XLOOKUP(B530,Roster!L:L,Roster!O:O,XLOOKUP(D530,TicketsBreak!A:A,TicketsBreak!F:F,"",0),0)</f>
        <v/>
      </c>
      <c r="J530" s="316" t="str">
        <f t="array" ref="J530">XLOOKUP(B530,Roster!L:L,Roster!P:P,XLOOKUP(D530,TicketsBreak!A:A,TicketsBreak!G:G,"",0),0)</f>
        <v/>
      </c>
      <c r="K530" s="310">
        <f t="shared" si="4"/>
        <v>46116</v>
      </c>
      <c r="L530" s="317">
        <f t="array" ref="L530">(XLOOKUP(D530,Roster!F:F,Roster!D:D,"",0))</f>
        <v>25</v>
      </c>
      <c r="M530" s="317" t="str">
        <f t="array" ref="M530">XLOOKUP(D530,Roster!F:F,Roster!E:E)</f>
        <v>Tickets</v>
      </c>
      <c r="N530" s="317" t="str">
        <f t="shared" ref="N530:P530" si="541">LEFT(H530,5)</f>
        <v/>
      </c>
      <c r="O530" s="317" t="str">
        <f t="shared" si="541"/>
        <v/>
      </c>
      <c r="P530" s="317" t="str">
        <f t="shared" si="541"/>
        <v/>
      </c>
      <c r="Q530" s="318" t="str">
        <f t="shared" si="382"/>
        <v/>
      </c>
      <c r="R530" s="318" t="str">
        <f t="shared" si="383"/>
        <v/>
      </c>
      <c r="S530" s="318" t="str">
        <f t="shared" si="8"/>
        <v/>
      </c>
    </row>
    <row r="531">
      <c r="A531" s="14" t="str">
        <f t="shared" si="1"/>
        <v>C90246116</v>
      </c>
      <c r="B531" s="185" t="str">
        <f t="array" ref="B531">IF(F531="VL","",IF(F531="Free","Free",XLOOKUP(D531,Roster!T:T,Roster!S:S,"",0)))</f>
        <v>Free</v>
      </c>
      <c r="C531" s="313">
        <v>46116.0</v>
      </c>
      <c r="D531" s="314" t="s">
        <v>150</v>
      </c>
      <c r="E531" s="307" t="str">
        <f t="array" ref="E531">(XLOOKUP(D531,Roster!F:F,Roster!B:B,"",0))</f>
        <v>Sebastiam Vallejo</v>
      </c>
      <c r="F531" s="315" t="str">
        <f t="array" ref="F531">IF(B531=100,"Free",TEXT(XLOOKUP($D531,OperationVoice!$A:$A,OperationVoice!J:J,XLOOKUP($D531,OperationTickets!$A:$A,OperationTickets!J:J,"",0)),"hh:mm"))</f>
        <v>Free</v>
      </c>
      <c r="G531" s="309" t="str">
        <f t="shared" si="3"/>
        <v>Free</v>
      </c>
      <c r="H531" s="316">
        <f t="array" ref="H531">XLOOKUP(B531,Roster!L:L,Roster!N:N,XLOOKUP(D531,TicketsBreak!A:A,TicketsBreak!E:E,"",0),0)</f>
        <v>0.4375</v>
      </c>
      <c r="I531" s="316">
        <f t="array" ref="I531">XLOOKUP(B531,Roster!L:L,Roster!O:O,XLOOKUP(D531,TicketsBreak!A:A,TicketsBreak!F:F,"",0),0)</f>
        <v>0.6041666667</v>
      </c>
      <c r="J531" s="316">
        <f t="array" ref="J531">XLOOKUP(B531,Roster!L:L,Roster!P:P,XLOOKUP(D531,TicketsBreak!A:A,TicketsBreak!G:G,"",0),0)</f>
        <v>0.65625</v>
      </c>
      <c r="K531" s="310">
        <f t="shared" si="4"/>
        <v>46116</v>
      </c>
      <c r="L531" s="317">
        <f t="array" ref="L531">(XLOOKUP(D531,Roster!F:F,Roster!D:D,"",0))</f>
        <v>11</v>
      </c>
      <c r="M531" s="317" t="str">
        <f t="array" ref="M531">XLOOKUP(D531,Roster!F:F,Roster!E:E)</f>
        <v>Tickets</v>
      </c>
      <c r="N531" s="317" t="str">
        <f t="shared" ref="N531:P531" si="542">LEFT(H531,5)</f>
        <v>10:30</v>
      </c>
      <c r="O531" s="317" t="str">
        <f t="shared" si="542"/>
        <v>14:30</v>
      </c>
      <c r="P531" s="317" t="str">
        <f t="shared" si="542"/>
        <v>15:45</v>
      </c>
      <c r="Q531" s="318">
        <f t="shared" si="382"/>
        <v>46116.4375</v>
      </c>
      <c r="R531" s="318">
        <f t="shared" si="383"/>
        <v>46116.60417</v>
      </c>
      <c r="S531" s="318">
        <f t="shared" si="8"/>
        <v>46116.65625</v>
      </c>
    </row>
    <row r="532">
      <c r="A532" s="14" t="str">
        <f t="shared" si="1"/>
        <v>C150646116</v>
      </c>
      <c r="B532" s="185">
        <f t="array" ref="B532">IF(F532="VL","",IF(F532="Free","Free",XLOOKUP(D532,Roster!T:T,Roster!S:S,"",0)))</f>
        <v>153</v>
      </c>
      <c r="C532" s="313">
        <v>46116.0</v>
      </c>
      <c r="D532" s="314" t="s">
        <v>73</v>
      </c>
      <c r="E532" s="307" t="str">
        <f t="array" ref="E532">(XLOOKUP(D532,Roster!F:F,Roster!B:B,"",0))</f>
        <v>Sebastian Agudelo Londono</v>
      </c>
      <c r="F532" s="315" t="str">
        <f t="array" ref="F532">IF(B532=100,"Free",TEXT(XLOOKUP($D532,OperationVoice!$A:$A,OperationVoice!J:J,XLOOKUP($D532,OperationTickets!$A:$A,OperationTickets!J:J,"",0)),"hh:mm"))</f>
        <v>11:00</v>
      </c>
      <c r="G532" s="309">
        <f t="shared" si="3"/>
        <v>0.8333333333</v>
      </c>
      <c r="H532" s="316" t="str">
        <f t="array" ref="H532">XLOOKUP(B532,Roster!L:L,Roster!N:N,XLOOKUP(D532,TicketsBreak!A:A,TicketsBreak!E:E,"",0),0)</f>
        <v>12:45 - 13:00</v>
      </c>
      <c r="I532" s="316" t="str">
        <f t="array" ref="I532">XLOOKUP(B532,Roster!L:L,Roster!O:O,XLOOKUP(D532,TicketsBreak!A:A,TicketsBreak!F:F,"",0),0)</f>
        <v>15:00 - 15:30</v>
      </c>
      <c r="J532" s="316" t="str">
        <f t="array" ref="J532">XLOOKUP(B532,Roster!L:L,Roster!P:P,XLOOKUP(D532,TicketsBreak!A:A,TicketsBreak!G:G,"",0),0)</f>
        <v>17:45 - 18:00</v>
      </c>
      <c r="K532" s="310">
        <f t="shared" si="4"/>
        <v>46116</v>
      </c>
      <c r="L532" s="317">
        <f t="array" ref="L532">(XLOOKUP(D532,Roster!F:F,Roster!D:D,"",0))</f>
        <v>35</v>
      </c>
      <c r="M532" s="317" t="str">
        <f t="array" ref="M532">XLOOKUP(D532,Roster!F:F,Roster!E:E)</f>
        <v>Voice</v>
      </c>
      <c r="N532" s="317" t="str">
        <f t="shared" ref="N532:P532" si="543">LEFT(H532,5)</f>
        <v>12:45</v>
      </c>
      <c r="O532" s="317" t="str">
        <f t="shared" si="543"/>
        <v>15:00</v>
      </c>
      <c r="P532" s="317" t="str">
        <f t="shared" si="543"/>
        <v>17:45</v>
      </c>
      <c r="Q532" s="318">
        <f t="shared" si="382"/>
        <v>46116.53125</v>
      </c>
      <c r="R532" s="318">
        <f t="shared" si="383"/>
        <v>46116.625</v>
      </c>
      <c r="S532" s="318">
        <f t="shared" si="8"/>
        <v>46116.73958</v>
      </c>
    </row>
    <row r="533">
      <c r="A533" s="14" t="str">
        <f t="shared" si="1"/>
        <v>C119046116</v>
      </c>
      <c r="B533" s="185" t="str">
        <f t="array" ref="B533">IF(F533="VL","",IF(F533="Free","Free",XLOOKUP(D533,Roster!T:T,Roster!S:S,"",0)))</f>
        <v>Free</v>
      </c>
      <c r="C533" s="313">
        <v>46116.0</v>
      </c>
      <c r="D533" s="314" t="s">
        <v>183</v>
      </c>
      <c r="E533" s="307" t="str">
        <f t="array" ref="E533">(XLOOKUP(D533,Roster!F:F,Roster!B:B,"",0))</f>
        <v>Sebastian Herrera</v>
      </c>
      <c r="F533" s="315" t="str">
        <f t="array" ref="F533">IF(B533=100,"Free",TEXT(XLOOKUP($D533,OperationVoice!$A:$A,OperationVoice!J:J,XLOOKUP($D533,OperationTickets!$A:$A,OperationTickets!J:J,"",0)),"hh:mm"))</f>
        <v>Free</v>
      </c>
      <c r="G533" s="309" t="str">
        <f t="shared" si="3"/>
        <v>Free</v>
      </c>
      <c r="H533" s="316">
        <f t="array" ref="H533">XLOOKUP(B533,Roster!L:L,Roster!N:N,XLOOKUP(D533,TicketsBreak!A:A,TicketsBreak!E:E,"",0),0)</f>
        <v>0.40625</v>
      </c>
      <c r="I533" s="316">
        <f t="array" ref="I533">XLOOKUP(B533,Roster!L:L,Roster!O:O,XLOOKUP(D533,TicketsBreak!A:A,TicketsBreak!F:F,"",0),0)</f>
        <v>0.5416666667</v>
      </c>
      <c r="J533" s="316">
        <f t="array" ref="J533">XLOOKUP(B533,Roster!L:L,Roster!P:P,XLOOKUP(D533,TicketsBreak!A:A,TicketsBreak!G:G,"",0),0)</f>
        <v>0.625</v>
      </c>
      <c r="K533" s="310">
        <f t="shared" si="4"/>
        <v>46116</v>
      </c>
      <c r="L533" s="317">
        <f t="array" ref="L533">(XLOOKUP(D533,Roster!F:F,Roster!D:D,"",0))</f>
        <v>25</v>
      </c>
      <c r="M533" s="317" t="str">
        <f t="array" ref="M533">XLOOKUP(D533,Roster!F:F,Roster!E:E)</f>
        <v>Tickets</v>
      </c>
      <c r="N533" s="317" t="str">
        <f t="shared" ref="N533:P533" si="544">LEFT(H533,5)</f>
        <v>09:45</v>
      </c>
      <c r="O533" s="317" t="str">
        <f t="shared" si="544"/>
        <v>13:00</v>
      </c>
      <c r="P533" s="317" t="str">
        <f t="shared" si="544"/>
        <v>15:00</v>
      </c>
      <c r="Q533" s="318">
        <f t="shared" si="382"/>
        <v>46116.40625</v>
      </c>
      <c r="R533" s="318">
        <f t="shared" si="383"/>
        <v>46116.54167</v>
      </c>
      <c r="S533" s="318">
        <f t="shared" si="8"/>
        <v>46116.625</v>
      </c>
    </row>
    <row r="534">
      <c r="A534" s="14" t="str">
        <f t="shared" si="1"/>
        <v>C71046116</v>
      </c>
      <c r="B534" s="185" t="str">
        <f t="array" ref="B534">IF(F534="VL","",IF(F534="Free","Free",XLOOKUP(D534,Roster!T:T,Roster!S:S,"",0)))</f>
        <v>Free</v>
      </c>
      <c r="C534" s="313">
        <v>46116.0</v>
      </c>
      <c r="D534" s="314" t="s">
        <v>184</v>
      </c>
      <c r="E534" s="307" t="str">
        <f t="array" ref="E534">(XLOOKUP(D534,Roster!F:F,Roster!B:B,"",0))</f>
        <v>Sebastian Martinez</v>
      </c>
      <c r="F534" s="315" t="str">
        <f t="array" ref="F534">IF(B534=100,"Free",TEXT(XLOOKUP($D534,OperationVoice!$A:$A,OperationVoice!J:J,XLOOKUP($D534,OperationTickets!$A:$A,OperationTickets!J:J,"",0)),"hh:mm"))</f>
        <v>Free</v>
      </c>
      <c r="G534" s="309" t="str">
        <f t="shared" si="3"/>
        <v>Free</v>
      </c>
      <c r="H534" s="316">
        <f t="array" ref="H534">XLOOKUP(B534,Roster!L:L,Roster!N:N,XLOOKUP(D534,TicketsBreak!A:A,TicketsBreak!E:E,"",0),0)</f>
        <v>0.40625</v>
      </c>
      <c r="I534" s="316">
        <f t="array" ref="I534">XLOOKUP(B534,Roster!L:L,Roster!O:O,XLOOKUP(D534,TicketsBreak!A:A,TicketsBreak!F:F,"",0),0)</f>
        <v>0.5625</v>
      </c>
      <c r="J534" s="316">
        <f t="array" ref="J534">XLOOKUP(B534,Roster!L:L,Roster!P:P,XLOOKUP(D534,TicketsBreak!A:A,TicketsBreak!G:G,"",0),0)</f>
        <v>0.65625</v>
      </c>
      <c r="K534" s="310">
        <f t="shared" si="4"/>
        <v>46116</v>
      </c>
      <c r="L534" s="317">
        <f t="array" ref="L534">(XLOOKUP(D534,Roster!F:F,Roster!D:D,"",0))</f>
        <v>6</v>
      </c>
      <c r="M534" s="317" t="str">
        <f t="array" ref="M534">XLOOKUP(D534,Roster!F:F,Roster!E:E)</f>
        <v>Tickets</v>
      </c>
      <c r="N534" s="317" t="str">
        <f t="shared" ref="N534:P534" si="545">LEFT(H534,5)</f>
        <v>09:45</v>
      </c>
      <c r="O534" s="317" t="str">
        <f t="shared" si="545"/>
        <v>13:30</v>
      </c>
      <c r="P534" s="317" t="str">
        <f t="shared" si="545"/>
        <v>15:45</v>
      </c>
      <c r="Q534" s="318">
        <f t="shared" si="382"/>
        <v>46116.40625</v>
      </c>
      <c r="R534" s="318">
        <f t="shared" si="383"/>
        <v>46116.5625</v>
      </c>
      <c r="S534" s="318">
        <f t="shared" si="8"/>
        <v>46116.65625</v>
      </c>
    </row>
    <row r="535">
      <c r="A535" s="14" t="str">
        <f t="shared" si="1"/>
        <v>C72346116</v>
      </c>
      <c r="B535" s="185" t="str">
        <f t="array" ref="B535">IF(F535="VL","",IF(F535="Free","Free",XLOOKUP(D535,Roster!T:T,Roster!S:S,"",0)))</f>
        <v/>
      </c>
      <c r="C535" s="313">
        <v>46116.0</v>
      </c>
      <c r="D535" s="314" t="s">
        <v>169</v>
      </c>
      <c r="E535" s="307" t="str">
        <f t="array" ref="E535">(XLOOKUP(D535,Roster!F:F,Roster!B:B,"",0))</f>
        <v>Sebastian Parra</v>
      </c>
      <c r="F535" s="315" t="str">
        <f t="array" ref="F535">IF(B535=100,"Free",TEXT(XLOOKUP($D535,OperationVoice!$A:$A,OperationVoice!J:J,XLOOKUP($D535,OperationTickets!$A:$A,OperationTickets!J:J,"",0)),"hh:mm"))</f>
        <v>VL</v>
      </c>
      <c r="G535" s="309" t="str">
        <f t="shared" si="3"/>
        <v>VL</v>
      </c>
      <c r="H535" s="316">
        <f t="array" ref="H535">XLOOKUP(B535,Roster!L:L,Roster!N:N,XLOOKUP(D535,TicketsBreak!A:A,TicketsBreak!E:E,"",0),0)</f>
        <v>0.4166666667</v>
      </c>
      <c r="I535" s="316">
        <f t="array" ref="I535">XLOOKUP(B535,Roster!L:L,Roster!O:O,XLOOKUP(D535,TicketsBreak!A:A,TicketsBreak!F:F,"",0),0)</f>
        <v>0.5347222222</v>
      </c>
      <c r="J535" s="316">
        <f t="array" ref="J535">XLOOKUP(B535,Roster!L:L,Roster!P:P,XLOOKUP(D535,TicketsBreak!A:A,TicketsBreak!G:G,"",0),0)</f>
        <v>0.65625</v>
      </c>
      <c r="K535" s="310">
        <f t="shared" si="4"/>
        <v>46116</v>
      </c>
      <c r="L535" s="317">
        <f t="array" ref="L535">(XLOOKUP(D535,Roster!F:F,Roster!D:D,"",0))</f>
        <v>7</v>
      </c>
      <c r="M535" s="317" t="str">
        <f t="array" ref="M535">XLOOKUP(D535,Roster!F:F,Roster!E:E)</f>
        <v>Tickets</v>
      </c>
      <c r="N535" s="317" t="str">
        <f t="shared" ref="N535:P535" si="546">LEFT(H535,5)</f>
        <v>10:00</v>
      </c>
      <c r="O535" s="317" t="str">
        <f t="shared" si="546"/>
        <v>12:50</v>
      </c>
      <c r="P535" s="317" t="str">
        <f t="shared" si="546"/>
        <v>15:45</v>
      </c>
      <c r="Q535" s="318">
        <f t="shared" si="382"/>
        <v>46116.41667</v>
      </c>
      <c r="R535" s="318">
        <f t="shared" si="383"/>
        <v>46116.53472</v>
      </c>
      <c r="S535" s="318">
        <f t="shared" si="8"/>
        <v>46116.65625</v>
      </c>
    </row>
    <row r="536">
      <c r="A536" s="14" t="str">
        <f t="shared" si="1"/>
        <v>C137646116</v>
      </c>
      <c r="B536" s="185" t="str">
        <f t="array" ref="B536">IF(F536="VL","",IF(F536="Free","Free",XLOOKUP(D536,Roster!T:T,Roster!S:S,"",0)))</f>
        <v>Free</v>
      </c>
      <c r="C536" s="313">
        <v>46116.0</v>
      </c>
      <c r="D536" s="314" t="s">
        <v>151</v>
      </c>
      <c r="E536" s="307" t="str">
        <f t="array" ref="E536">(XLOOKUP(D536,Roster!F:F,Roster!B:B,"",0))</f>
        <v>Sebastian Quiroz</v>
      </c>
      <c r="F536" s="315" t="str">
        <f t="array" ref="F536">IF(B536=100,"Free",TEXT(XLOOKUP($D536,OperationVoice!$A:$A,OperationVoice!J:J,XLOOKUP($D536,OperationTickets!$A:$A,OperationTickets!J:J,"",0)),"hh:mm"))</f>
        <v>Free</v>
      </c>
      <c r="G536" s="309" t="str">
        <f t="shared" si="3"/>
        <v>Free</v>
      </c>
      <c r="H536" s="316" t="str">
        <f t="array" ref="H536">XLOOKUP(B536,Roster!L:L,Roster!N:N,XLOOKUP(D536,TicketsBreak!A:A,TicketsBreak!E:E,"",0),0)</f>
        <v/>
      </c>
      <c r="I536" s="316" t="str">
        <f t="array" ref="I536">XLOOKUP(B536,Roster!L:L,Roster!O:O,XLOOKUP(D536,TicketsBreak!A:A,TicketsBreak!F:F,"",0),0)</f>
        <v/>
      </c>
      <c r="J536" s="316" t="str">
        <f t="array" ref="J536">XLOOKUP(B536,Roster!L:L,Roster!P:P,XLOOKUP(D536,TicketsBreak!A:A,TicketsBreak!G:G,"",0),0)</f>
        <v/>
      </c>
      <c r="K536" s="310">
        <f t="shared" si="4"/>
        <v>46116</v>
      </c>
      <c r="L536" s="317">
        <f t="array" ref="L536">(XLOOKUP(D536,Roster!F:F,Roster!D:D,"",0))</f>
        <v>31</v>
      </c>
      <c r="M536" s="317" t="str">
        <f t="array" ref="M536">XLOOKUP(D536,Roster!F:F,Roster!E:E)</f>
        <v>Tickets</v>
      </c>
      <c r="N536" s="317" t="str">
        <f t="shared" ref="N536:P536" si="547">LEFT(H536,5)</f>
        <v/>
      </c>
      <c r="O536" s="317" t="str">
        <f t="shared" si="547"/>
        <v/>
      </c>
      <c r="P536" s="317" t="str">
        <f t="shared" si="547"/>
        <v/>
      </c>
      <c r="Q536" s="318" t="str">
        <f t="shared" si="382"/>
        <v/>
      </c>
      <c r="R536" s="318" t="str">
        <f t="shared" si="383"/>
        <v/>
      </c>
      <c r="S536" s="318" t="str">
        <f t="shared" si="8"/>
        <v/>
      </c>
    </row>
    <row r="537">
      <c r="A537" s="14" t="str">
        <f t="shared" si="1"/>
        <v>C72646116</v>
      </c>
      <c r="B537" s="185" t="str">
        <f t="array" ref="B537">IF(F537="VL","",IF(F537="Free","Free",XLOOKUP(D537,Roster!T:T,Roster!S:S,"",0)))</f>
        <v/>
      </c>
      <c r="C537" s="313">
        <v>46116.0</v>
      </c>
      <c r="D537" s="314" t="s">
        <v>185</v>
      </c>
      <c r="E537" s="307" t="str">
        <f t="array" ref="E537">(XLOOKUP(D537,Roster!F:F,Roster!B:B,"",0))</f>
        <v>Sebastian Rodriguez</v>
      </c>
      <c r="F537" s="315" t="str">
        <f t="array" ref="F537">IF(B537=100,"Free",TEXT(XLOOKUP($D537,OperationVoice!$A:$A,OperationVoice!J:J,XLOOKUP($D537,OperationTickets!$A:$A,OperationTickets!J:J,"",0)),"hh:mm"))</f>
        <v>08:00</v>
      </c>
      <c r="G537" s="309">
        <f t="shared" si="3"/>
        <v>0.7083333333</v>
      </c>
      <c r="H537" s="316">
        <f t="array" ref="H537">XLOOKUP(B537,Roster!L:L,Roster!N:N,XLOOKUP(D537,TicketsBreak!A:A,TicketsBreak!E:E,"",0),0)</f>
        <v>0.4166666667</v>
      </c>
      <c r="I537" s="316">
        <f t="array" ref="I537">XLOOKUP(B537,Roster!L:L,Roster!O:O,XLOOKUP(D537,TicketsBreak!A:A,TicketsBreak!F:F,"",0),0)</f>
        <v>0.5625</v>
      </c>
      <c r="J537" s="316">
        <f t="array" ref="J537">XLOOKUP(B537,Roster!L:L,Roster!P:P,XLOOKUP(D537,TicketsBreak!A:A,TicketsBreak!G:G,"",0),0)</f>
        <v>0.6458333333</v>
      </c>
      <c r="K537" s="310">
        <f t="shared" si="4"/>
        <v>46116</v>
      </c>
      <c r="L537" s="317">
        <f t="array" ref="L537">(XLOOKUP(D537,Roster!F:F,Roster!D:D,"",0))</f>
        <v>7</v>
      </c>
      <c r="M537" s="317" t="str">
        <f t="array" ref="M537">XLOOKUP(D537,Roster!F:F,Roster!E:E)</f>
        <v>Tickets</v>
      </c>
      <c r="N537" s="317" t="str">
        <f t="shared" ref="N537:P537" si="548">LEFT(H537,5)</f>
        <v>10:00</v>
      </c>
      <c r="O537" s="317" t="str">
        <f t="shared" si="548"/>
        <v>13:30</v>
      </c>
      <c r="P537" s="317" t="str">
        <f t="shared" si="548"/>
        <v>15:30</v>
      </c>
      <c r="Q537" s="318">
        <f t="shared" si="382"/>
        <v>46116.41667</v>
      </c>
      <c r="R537" s="318">
        <f t="shared" si="383"/>
        <v>46116.5625</v>
      </c>
      <c r="S537" s="318">
        <f t="shared" si="8"/>
        <v>46116.64583</v>
      </c>
    </row>
    <row r="538">
      <c r="A538" s="14" t="str">
        <f t="shared" si="1"/>
        <v>C60246116</v>
      </c>
      <c r="B538" s="185" t="str">
        <f t="array" ref="B538">IF(F538="VL","",IF(F538="Free","Free",XLOOKUP(D538,Roster!T:T,Roster!S:S,"",0)))</f>
        <v/>
      </c>
      <c r="C538" s="313">
        <v>46116.0</v>
      </c>
      <c r="D538" s="314" t="s">
        <v>170</v>
      </c>
      <c r="E538" s="307" t="str">
        <f t="array" ref="E538">(XLOOKUP(D538,Roster!F:F,Roster!B:B,"",0))</f>
        <v>Sebastian Torres</v>
      </c>
      <c r="F538" s="315" t="str">
        <f t="array" ref="F538">IF(B538=100,"Free",TEXT(XLOOKUP($D538,OperationVoice!$A:$A,OperationVoice!J:J,XLOOKUP($D538,OperationTickets!$A:$A,OperationTickets!J:J,"",0)),"hh:mm"))</f>
        <v>08:00</v>
      </c>
      <c r="G538" s="309">
        <f t="shared" si="3"/>
        <v>0.7083333333</v>
      </c>
      <c r="H538" s="316">
        <f t="array" ref="H538">XLOOKUP(B538,Roster!L:L,Roster!N:N,XLOOKUP(D538,TicketsBreak!A:A,TicketsBreak!E:E,"",0),0)</f>
        <v>0.4583333333</v>
      </c>
      <c r="I538" s="316">
        <f t="array" ref="I538">XLOOKUP(B538,Roster!L:L,Roster!O:O,XLOOKUP(D538,TicketsBreak!A:A,TicketsBreak!F:F,"",0),0)</f>
        <v>0.5833333333</v>
      </c>
      <c r="J538" s="316">
        <f t="array" ref="J538">XLOOKUP(B538,Roster!L:L,Roster!P:P,XLOOKUP(D538,TicketsBreak!A:A,TicketsBreak!G:G,"",0),0)</f>
        <v>0.65625</v>
      </c>
      <c r="K538" s="310">
        <f t="shared" si="4"/>
        <v>46116</v>
      </c>
      <c r="L538" s="317">
        <f t="array" ref="L538">(XLOOKUP(D538,Roster!F:F,Roster!D:D,"",0))</f>
        <v>8</v>
      </c>
      <c r="M538" s="317" t="str">
        <f t="array" ref="M538">XLOOKUP(D538,Roster!F:F,Roster!E:E)</f>
        <v>Tickets</v>
      </c>
      <c r="N538" s="317" t="str">
        <f t="shared" ref="N538:P538" si="549">LEFT(H538,5)</f>
        <v>11:00</v>
      </c>
      <c r="O538" s="317" t="str">
        <f t="shared" si="549"/>
        <v>14:00</v>
      </c>
      <c r="P538" s="317" t="str">
        <f t="shared" si="549"/>
        <v>15:45</v>
      </c>
      <c r="Q538" s="318">
        <f t="shared" si="382"/>
        <v>46116.45833</v>
      </c>
      <c r="R538" s="318">
        <f t="shared" si="383"/>
        <v>46116.58333</v>
      </c>
      <c r="S538" s="318">
        <f t="shared" si="8"/>
        <v>46116.65625</v>
      </c>
    </row>
    <row r="539">
      <c r="A539" s="14" t="str">
        <f t="shared" si="1"/>
        <v>C143146116</v>
      </c>
      <c r="B539" s="185">
        <f t="array" ref="B539">IF(F539="VL","",IF(F539="Free","Free",XLOOKUP(D539,Roster!T:T,Roster!S:S,"",0)))</f>
        <v>151</v>
      </c>
      <c r="C539" s="313">
        <v>46116.0</v>
      </c>
      <c r="D539" s="314" t="s">
        <v>74</v>
      </c>
      <c r="E539" s="307" t="str">
        <f t="array" ref="E539">(XLOOKUP(D539,Roster!F:F,Roster!B:B,"",0))</f>
        <v>Sebastian Torres Gomez</v>
      </c>
      <c r="F539" s="315" t="str">
        <f t="array" ref="F539">IF(B539=100,"Free",TEXT(XLOOKUP($D539,OperationVoice!$A:$A,OperationVoice!J:J,XLOOKUP($D539,OperationTickets!$A:$A,OperationTickets!J:J,"",0)),"hh:mm"))</f>
        <v>11:00</v>
      </c>
      <c r="G539" s="309">
        <f t="shared" si="3"/>
        <v>0.8333333333</v>
      </c>
      <c r="H539" s="316" t="str">
        <f t="array" ref="H539">XLOOKUP(B539,Roster!L:L,Roster!N:N,XLOOKUP(D539,TicketsBreak!A:A,TicketsBreak!E:E,"",0),0)</f>
        <v>12:15 - 12:30</v>
      </c>
      <c r="I539" s="316" t="str">
        <f t="array" ref="I539">XLOOKUP(B539,Roster!L:L,Roster!O:O,XLOOKUP(D539,TicketsBreak!A:A,TicketsBreak!F:F,"",0),0)</f>
        <v>14:00 - 14:30</v>
      </c>
      <c r="J539" s="316" t="str">
        <f t="array" ref="J539">XLOOKUP(B539,Roster!L:L,Roster!P:P,XLOOKUP(D539,TicketsBreak!A:A,TicketsBreak!G:G,"",0),0)</f>
        <v>17:15 - 17:30</v>
      </c>
      <c r="K539" s="310">
        <f t="shared" si="4"/>
        <v>46116</v>
      </c>
      <c r="L539" s="317">
        <f t="array" ref="L539">(XLOOKUP(D539,Roster!F:F,Roster!D:D,"",0))</f>
        <v>32</v>
      </c>
      <c r="M539" s="317" t="str">
        <f t="array" ref="M539">XLOOKUP(D539,Roster!F:F,Roster!E:E)</f>
        <v>Voice</v>
      </c>
      <c r="N539" s="317" t="str">
        <f t="shared" ref="N539:P539" si="550">LEFT(H539,5)</f>
        <v>12:15</v>
      </c>
      <c r="O539" s="317" t="str">
        <f t="shared" si="550"/>
        <v>14:00</v>
      </c>
      <c r="P539" s="317" t="str">
        <f t="shared" si="550"/>
        <v>17:15</v>
      </c>
      <c r="Q539" s="318">
        <f t="shared" si="382"/>
        <v>46116.51042</v>
      </c>
      <c r="R539" s="318">
        <f t="shared" si="383"/>
        <v>46116.58333</v>
      </c>
      <c r="S539" s="318">
        <f t="shared" si="8"/>
        <v>46116.71875</v>
      </c>
    </row>
    <row r="540">
      <c r="A540" s="14" t="str">
        <f t="shared" si="1"/>
        <v>C149146116</v>
      </c>
      <c r="B540" s="185" t="str">
        <f t="array" ref="B540">IF(F540="VL","",IF(F540="Free","Free",XLOOKUP(D540,Roster!T:T,Roster!S:S,"",0)))</f>
        <v/>
      </c>
      <c r="C540" s="313">
        <v>46116.0</v>
      </c>
      <c r="D540" s="314" t="s">
        <v>315</v>
      </c>
      <c r="E540" s="307" t="str">
        <f t="array" ref="E540">(XLOOKUP(D540,Roster!F:F,Roster!B:B,"",0))</f>
        <v>Sebastian Vanegas</v>
      </c>
      <c r="F540" s="315" t="str">
        <f t="array" ref="F540">IF(B540=100,"Free",TEXT(XLOOKUP($D540,OperationVoice!$A:$A,OperationVoice!J:J,XLOOKUP($D540,OperationTickets!$A:$A,OperationTickets!J:J,"",0)),"hh:mm"))</f>
        <v/>
      </c>
      <c r="G540" s="309" t="str">
        <f t="shared" si="3"/>
        <v/>
      </c>
      <c r="H540" s="316" t="str">
        <f t="array" ref="H540">XLOOKUP(B540,Roster!L:L,Roster!N:N,XLOOKUP(D540,TicketsBreak!A:A,TicketsBreak!E:E,"",0),0)</f>
        <v/>
      </c>
      <c r="I540" s="316" t="str">
        <f t="array" ref="I540">XLOOKUP(B540,Roster!L:L,Roster!O:O,XLOOKUP(D540,TicketsBreak!A:A,TicketsBreak!F:F,"",0),0)</f>
        <v/>
      </c>
      <c r="J540" s="316" t="str">
        <f t="array" ref="J540">XLOOKUP(B540,Roster!L:L,Roster!P:P,XLOOKUP(D540,TicketsBreak!A:A,TicketsBreak!G:G,"",0),0)</f>
        <v/>
      </c>
      <c r="K540" s="310">
        <f t="shared" si="4"/>
        <v>46116</v>
      </c>
      <c r="L540" s="317">
        <f t="array" ref="L540">(XLOOKUP(D540,Roster!F:F,Roster!D:D,"",0))</f>
        <v>34</v>
      </c>
      <c r="M540" s="317" t="str">
        <f t="array" ref="M540">XLOOKUP(D540,Roster!F:F,Roster!E:E)</f>
        <v>Voice</v>
      </c>
      <c r="N540" s="317" t="str">
        <f t="shared" ref="N540:P540" si="551">LEFT(H540,5)</f>
        <v/>
      </c>
      <c r="O540" s="317" t="str">
        <f t="shared" si="551"/>
        <v/>
      </c>
      <c r="P540" s="317" t="str">
        <f t="shared" si="551"/>
        <v/>
      </c>
      <c r="Q540" s="318" t="str">
        <f t="shared" si="382"/>
        <v/>
      </c>
      <c r="R540" s="318" t="str">
        <f t="shared" si="383"/>
        <v/>
      </c>
      <c r="S540" s="318" t="str">
        <f t="shared" si="8"/>
        <v/>
      </c>
    </row>
    <row r="541">
      <c r="A541" s="14" t="str">
        <f t="shared" si="1"/>
        <v>C93746116</v>
      </c>
      <c r="B541" s="185" t="str">
        <f t="array" ref="B541">IF(F541="VL","",IF(F541="Free","Free",XLOOKUP(D541,Roster!T:T,Roster!S:S,"",0)))</f>
        <v>Free</v>
      </c>
      <c r="C541" s="313">
        <v>46116.0</v>
      </c>
      <c r="D541" s="314" t="s">
        <v>75</v>
      </c>
      <c r="E541" s="307" t="str">
        <f t="array" ref="E541">(XLOOKUP(D541,Roster!F:F,Roster!B:B,"",0))</f>
        <v>Sebastian Zapata</v>
      </c>
      <c r="F541" s="315" t="str">
        <f t="array" ref="F541">IF(B541=100,"Free",TEXT(XLOOKUP($D541,OperationVoice!$A:$A,OperationVoice!J:J,XLOOKUP($D541,OperationTickets!$A:$A,OperationTickets!J:J,"",0)),"hh:mm"))</f>
        <v>Free</v>
      </c>
      <c r="G541" s="309" t="str">
        <f t="shared" si="3"/>
        <v>Free</v>
      </c>
      <c r="H541" s="316" t="str">
        <f t="array" ref="H541">XLOOKUP(B541,Roster!L:L,Roster!N:N,XLOOKUP(D541,TicketsBreak!A:A,TicketsBreak!E:E,"",0),0)</f>
        <v/>
      </c>
      <c r="I541" s="316" t="str">
        <f t="array" ref="I541">XLOOKUP(B541,Roster!L:L,Roster!O:O,XLOOKUP(D541,TicketsBreak!A:A,TicketsBreak!F:F,"",0),0)</f>
        <v/>
      </c>
      <c r="J541" s="316" t="str">
        <f t="array" ref="J541">XLOOKUP(B541,Roster!L:L,Roster!P:P,XLOOKUP(D541,TicketsBreak!A:A,TicketsBreak!G:G,"",0),0)</f>
        <v/>
      </c>
      <c r="K541" s="310">
        <f t="shared" si="4"/>
        <v>46116</v>
      </c>
      <c r="L541" s="317">
        <f t="array" ref="L541">(XLOOKUP(D541,Roster!F:F,Roster!D:D,"",0))</f>
        <v>12</v>
      </c>
      <c r="M541" s="317" t="str">
        <f t="array" ref="M541">XLOOKUP(D541,Roster!F:F,Roster!E:E)</f>
        <v>Voice</v>
      </c>
      <c r="N541" s="317" t="str">
        <f t="shared" ref="N541:P541" si="552">LEFT(H541,5)</f>
        <v/>
      </c>
      <c r="O541" s="317" t="str">
        <f t="shared" si="552"/>
        <v/>
      </c>
      <c r="P541" s="317" t="str">
        <f t="shared" si="552"/>
        <v/>
      </c>
      <c r="Q541" s="318" t="str">
        <f t="shared" si="382"/>
        <v/>
      </c>
      <c r="R541" s="318" t="str">
        <f t="shared" si="383"/>
        <v/>
      </c>
      <c r="S541" s="318" t="str">
        <f t="shared" si="8"/>
        <v/>
      </c>
    </row>
    <row r="542">
      <c r="A542" s="14" t="str">
        <f t="shared" si="1"/>
        <v>C156546116</v>
      </c>
      <c r="B542" s="185">
        <f t="array" ref="B542">IF(F542="VL","",IF(F542="Free","Free",XLOOKUP(D542,Roster!T:T,Roster!S:S,"",0)))</f>
        <v>122</v>
      </c>
      <c r="C542" s="313">
        <v>46116.0</v>
      </c>
      <c r="D542" s="314" t="s">
        <v>76</v>
      </c>
      <c r="E542" s="307" t="str">
        <f t="array" ref="E542">(XLOOKUP(D542,Roster!F:F,Roster!B:B,"",0))</f>
        <v>Sergio Rojas</v>
      </c>
      <c r="F542" s="315" t="str">
        <f t="array" ref="F542">IF(B542=100,"Free",TEXT(XLOOKUP($D542,OperationVoice!$A:$A,OperationVoice!J:J,XLOOKUP($D542,OperationTickets!$A:$A,OperationTickets!J:J,"",0)),"hh:mm"))</f>
        <v>11:00</v>
      </c>
      <c r="G542" s="309">
        <f t="shared" si="3"/>
        <v>0.8333333333</v>
      </c>
      <c r="H542" s="316" t="str">
        <f t="array" ref="H542">XLOOKUP(B542,Roster!L:L,Roster!N:N,XLOOKUP(D542,TicketsBreak!A:A,TicketsBreak!E:E,"",0),0)</f>
        <v>09:30 - 09:45</v>
      </c>
      <c r="I542" s="316" t="str">
        <f t="array" ref="I542">XLOOKUP(B542,Roster!L:L,Roster!O:O,XLOOKUP(D542,TicketsBreak!A:A,TicketsBreak!F:F,"",0),0)</f>
        <v>12:00 - 12:30</v>
      </c>
      <c r="J542" s="316" t="str">
        <f t="array" ref="J542">XLOOKUP(B542,Roster!L:L,Roster!P:P,XLOOKUP(D542,TicketsBreak!A:A,TicketsBreak!G:G,"",0),0)</f>
        <v>14:45 - 15:00</v>
      </c>
      <c r="K542" s="310">
        <f t="shared" si="4"/>
        <v>46116</v>
      </c>
      <c r="L542" s="317">
        <f t="array" ref="L542">(XLOOKUP(D542,Roster!F:F,Roster!D:D,"",0))</f>
        <v>38</v>
      </c>
      <c r="M542" s="317" t="str">
        <f t="array" ref="M542">XLOOKUP(D542,Roster!F:F,Roster!E:E)</f>
        <v>Voice</v>
      </c>
      <c r="N542" s="317" t="str">
        <f t="shared" ref="N542:P542" si="553">LEFT(H542,5)</f>
        <v>09:30</v>
      </c>
      <c r="O542" s="317" t="str">
        <f t="shared" si="553"/>
        <v>12:00</v>
      </c>
      <c r="P542" s="317" t="str">
        <f t="shared" si="553"/>
        <v>14:45</v>
      </c>
      <c r="Q542" s="318">
        <f t="shared" si="382"/>
        <v>46116.39583</v>
      </c>
      <c r="R542" s="318">
        <f t="shared" si="383"/>
        <v>46116.5</v>
      </c>
      <c r="S542" s="318">
        <f t="shared" si="8"/>
        <v>46116.61458</v>
      </c>
    </row>
    <row r="543">
      <c r="A543" s="14" t="str">
        <f t="shared" si="1"/>
        <v>C147846116</v>
      </c>
      <c r="B543" s="185" t="str">
        <f t="array" ref="B543">IF(F543="VL","",IF(F543="Free","Free",XLOOKUP(D543,Roster!T:T,Roster!S:S,"",0)))</f>
        <v>Free</v>
      </c>
      <c r="C543" s="313">
        <v>46116.0</v>
      </c>
      <c r="D543" s="314" t="s">
        <v>186</v>
      </c>
      <c r="E543" s="307" t="str">
        <f t="array" ref="E543">(XLOOKUP(D543,Roster!F:F,Roster!B:B,"",0))</f>
        <v>Simon Atehortua</v>
      </c>
      <c r="F543" s="315" t="str">
        <f t="array" ref="F543">IF(B543=100,"Free",TEXT(XLOOKUP($D543,OperationVoice!$A:$A,OperationVoice!J:J,XLOOKUP($D543,OperationTickets!$A:$A,OperationTickets!J:J,"",0)),"hh:mm"))</f>
        <v>Free</v>
      </c>
      <c r="G543" s="309" t="str">
        <f t="shared" si="3"/>
        <v>Free</v>
      </c>
      <c r="H543" s="316" t="str">
        <f t="array" ref="H543">XLOOKUP(B543,Roster!L:L,Roster!N:N,XLOOKUP(D543,TicketsBreak!A:A,TicketsBreak!E:E,"",0),0)</f>
        <v/>
      </c>
      <c r="I543" s="316" t="str">
        <f t="array" ref="I543">XLOOKUP(B543,Roster!L:L,Roster!O:O,XLOOKUP(D543,TicketsBreak!A:A,TicketsBreak!F:F,"",0),0)</f>
        <v/>
      </c>
      <c r="J543" s="316" t="str">
        <f t="array" ref="J543">XLOOKUP(B543,Roster!L:L,Roster!P:P,XLOOKUP(D543,TicketsBreak!A:A,TicketsBreak!G:G,"",0),0)</f>
        <v/>
      </c>
      <c r="K543" s="310">
        <f t="shared" si="4"/>
        <v>46116</v>
      </c>
      <c r="L543" s="317">
        <f t="array" ref="L543">(XLOOKUP(D543,Roster!F:F,Roster!D:D,"",0))</f>
        <v>32</v>
      </c>
      <c r="M543" s="317" t="str">
        <f t="array" ref="M543">XLOOKUP(D543,Roster!F:F,Roster!E:E)</f>
        <v>Tickets</v>
      </c>
      <c r="N543" s="317" t="str">
        <f t="shared" ref="N543:P543" si="554">LEFT(H543,5)</f>
        <v/>
      </c>
      <c r="O543" s="317" t="str">
        <f t="shared" si="554"/>
        <v/>
      </c>
      <c r="P543" s="317" t="str">
        <f t="shared" si="554"/>
        <v/>
      </c>
      <c r="Q543" s="318" t="str">
        <f t="shared" si="382"/>
        <v/>
      </c>
      <c r="R543" s="318" t="str">
        <f t="shared" si="383"/>
        <v/>
      </c>
      <c r="S543" s="318" t="str">
        <f t="shared" si="8"/>
        <v/>
      </c>
    </row>
    <row r="544">
      <c r="A544" s="14" t="str">
        <f t="shared" si="1"/>
        <v>C148346116</v>
      </c>
      <c r="B544" s="185" t="str">
        <f t="array" ref="B544">IF(F544="VL","",IF(F544="Free","Free",XLOOKUP(D544,Roster!T:T,Roster!S:S,"",0)))</f>
        <v>Free</v>
      </c>
      <c r="C544" s="313">
        <v>46116.0</v>
      </c>
      <c r="D544" s="314" t="s">
        <v>77</v>
      </c>
      <c r="E544" s="307" t="str">
        <f t="array" ref="E544">(XLOOKUP(D544,Roster!F:F,Roster!B:B,"",0))</f>
        <v>Simon Zuluaica</v>
      </c>
      <c r="F544" s="315" t="str">
        <f t="array" ref="F544">IF(B544=100,"Free",TEXT(XLOOKUP($D544,OperationVoice!$A:$A,OperationVoice!J:J,XLOOKUP($D544,OperationTickets!$A:$A,OperationTickets!J:J,"",0)),"hh:mm"))</f>
        <v>Free</v>
      </c>
      <c r="G544" s="309" t="str">
        <f t="shared" si="3"/>
        <v>Free</v>
      </c>
      <c r="H544" s="316" t="str">
        <f t="array" ref="H544">XLOOKUP(B544,Roster!L:L,Roster!N:N,XLOOKUP(D544,TicketsBreak!A:A,TicketsBreak!E:E,"",0),0)</f>
        <v/>
      </c>
      <c r="I544" s="316" t="str">
        <f t="array" ref="I544">XLOOKUP(B544,Roster!L:L,Roster!O:O,XLOOKUP(D544,TicketsBreak!A:A,TicketsBreak!F:F,"",0),0)</f>
        <v/>
      </c>
      <c r="J544" s="316" t="str">
        <f t="array" ref="J544">XLOOKUP(B544,Roster!L:L,Roster!P:P,XLOOKUP(D544,TicketsBreak!A:A,TicketsBreak!G:G,"",0),0)</f>
        <v/>
      </c>
      <c r="K544" s="310">
        <f t="shared" si="4"/>
        <v>46116</v>
      </c>
      <c r="L544" s="317">
        <f t="array" ref="L544">(XLOOKUP(D544,Roster!F:F,Roster!D:D,"",0))</f>
        <v>34</v>
      </c>
      <c r="M544" s="317" t="str">
        <f t="array" ref="M544">XLOOKUP(D544,Roster!F:F,Roster!E:E)</f>
        <v>Voice</v>
      </c>
      <c r="N544" s="317" t="str">
        <f t="shared" ref="N544:P544" si="555">LEFT(H544,5)</f>
        <v/>
      </c>
      <c r="O544" s="317" t="str">
        <f t="shared" si="555"/>
        <v/>
      </c>
      <c r="P544" s="317" t="str">
        <f t="shared" si="555"/>
        <v/>
      </c>
      <c r="Q544" s="318" t="str">
        <f t="shared" si="382"/>
        <v/>
      </c>
      <c r="R544" s="318" t="str">
        <f t="shared" si="383"/>
        <v/>
      </c>
      <c r="S544" s="318" t="str">
        <f t="shared" si="8"/>
        <v/>
      </c>
    </row>
    <row r="545">
      <c r="A545" s="14" t="str">
        <f t="shared" si="1"/>
        <v>C154046116</v>
      </c>
      <c r="B545" s="185">
        <f t="array" ref="B545">IF(F545="VL","",IF(F545="Free","Free",XLOOKUP(D545,Roster!T:T,Roster!S:S,"",0)))</f>
        <v>122</v>
      </c>
      <c r="C545" s="313">
        <v>46116.0</v>
      </c>
      <c r="D545" s="314" t="s">
        <v>78</v>
      </c>
      <c r="E545" s="307" t="str">
        <f t="array" ref="E545">(XLOOKUP(D545,Roster!F:F,Roster!B:B,"",0))</f>
        <v>Tomas Perez</v>
      </c>
      <c r="F545" s="315" t="str">
        <f t="array" ref="F545">IF(B545=100,"Free",TEXT(XLOOKUP($D545,OperationVoice!$A:$A,OperationVoice!J:J,XLOOKUP($D545,OperationTickets!$A:$A,OperationTickets!J:J,"",0)),"hh:mm"))</f>
        <v>08:00</v>
      </c>
      <c r="G545" s="309">
        <f t="shared" si="3"/>
        <v>0.7083333333</v>
      </c>
      <c r="H545" s="316" t="str">
        <f t="array" ref="H545">XLOOKUP(B545,Roster!L:L,Roster!N:N,XLOOKUP(D545,TicketsBreak!A:A,TicketsBreak!E:E,"",0),0)</f>
        <v>09:30 - 09:45</v>
      </c>
      <c r="I545" s="316" t="str">
        <f t="array" ref="I545">XLOOKUP(B545,Roster!L:L,Roster!O:O,XLOOKUP(D545,TicketsBreak!A:A,TicketsBreak!F:F,"",0),0)</f>
        <v>12:00 - 12:30</v>
      </c>
      <c r="J545" s="316" t="str">
        <f t="array" ref="J545">XLOOKUP(B545,Roster!L:L,Roster!P:P,XLOOKUP(D545,TicketsBreak!A:A,TicketsBreak!G:G,"",0),0)</f>
        <v>14:45 - 15:00</v>
      </c>
      <c r="K545" s="310">
        <f t="shared" si="4"/>
        <v>46116</v>
      </c>
      <c r="L545" s="317">
        <f t="array" ref="L545">(XLOOKUP(D545,Roster!F:F,Roster!D:D,"",0))</f>
        <v>36</v>
      </c>
      <c r="M545" s="317" t="str">
        <f t="array" ref="M545">XLOOKUP(D545,Roster!F:F,Roster!E:E)</f>
        <v>Voice</v>
      </c>
      <c r="N545" s="317" t="str">
        <f t="shared" ref="N545:P545" si="556">LEFT(H545,5)</f>
        <v>09:30</v>
      </c>
      <c r="O545" s="317" t="str">
        <f t="shared" si="556"/>
        <v>12:00</v>
      </c>
      <c r="P545" s="317" t="str">
        <f t="shared" si="556"/>
        <v>14:45</v>
      </c>
      <c r="Q545" s="318">
        <f t="shared" si="382"/>
        <v>46116.39583</v>
      </c>
      <c r="R545" s="318">
        <f t="shared" si="383"/>
        <v>46116.5</v>
      </c>
      <c r="S545" s="318">
        <f t="shared" si="8"/>
        <v>46116.61458</v>
      </c>
    </row>
    <row r="546">
      <c r="A546" s="14" t="str">
        <f t="shared" si="1"/>
        <v>C154746116</v>
      </c>
      <c r="B546" s="185" t="str">
        <f t="array" ref="B546">IF(F546="VL","",IF(F546="Free","Free",XLOOKUP(D546,Roster!T:T,Roster!S:S,"",0)))</f>
        <v>Free</v>
      </c>
      <c r="C546" s="313">
        <v>46116.0</v>
      </c>
      <c r="D546" s="314" t="s">
        <v>79</v>
      </c>
      <c r="E546" s="307" t="str">
        <f t="array" ref="E546">(XLOOKUP(D546,Roster!F:F,Roster!B:B,"",0))</f>
        <v>Valentina Barreto</v>
      </c>
      <c r="F546" s="315" t="str">
        <f t="array" ref="F546">IF(B546=100,"Free",TEXT(XLOOKUP($D546,OperationVoice!$A:$A,OperationVoice!J:J,XLOOKUP($D546,OperationTickets!$A:$A,OperationTickets!J:J,"",0)),"hh:mm"))</f>
        <v>Free</v>
      </c>
      <c r="G546" s="309" t="str">
        <f t="shared" si="3"/>
        <v>Free</v>
      </c>
      <c r="H546" s="316" t="str">
        <f t="array" ref="H546">XLOOKUP(B546,Roster!L:L,Roster!N:N,XLOOKUP(D546,TicketsBreak!A:A,TicketsBreak!E:E,"",0),0)</f>
        <v/>
      </c>
      <c r="I546" s="316" t="str">
        <f t="array" ref="I546">XLOOKUP(B546,Roster!L:L,Roster!O:O,XLOOKUP(D546,TicketsBreak!A:A,TicketsBreak!F:F,"",0),0)</f>
        <v/>
      </c>
      <c r="J546" s="316" t="str">
        <f t="array" ref="J546">XLOOKUP(B546,Roster!L:L,Roster!P:P,XLOOKUP(D546,TicketsBreak!A:A,TicketsBreak!G:G,"",0),0)</f>
        <v/>
      </c>
      <c r="K546" s="310">
        <f t="shared" si="4"/>
        <v>46116</v>
      </c>
      <c r="L546" s="317">
        <f t="array" ref="L546">(XLOOKUP(D546,Roster!F:F,Roster!D:D,"",0))</f>
        <v>37</v>
      </c>
      <c r="M546" s="317" t="str">
        <f t="array" ref="M546">XLOOKUP(D546,Roster!F:F,Roster!E:E)</f>
        <v>Voice</v>
      </c>
      <c r="N546" s="317" t="str">
        <f t="shared" ref="N546:P546" si="557">LEFT(H546,5)</f>
        <v/>
      </c>
      <c r="O546" s="317" t="str">
        <f t="shared" si="557"/>
        <v/>
      </c>
      <c r="P546" s="317" t="str">
        <f t="shared" si="557"/>
        <v/>
      </c>
      <c r="Q546" s="318" t="str">
        <f t="shared" si="382"/>
        <v/>
      </c>
      <c r="R546" s="318" t="str">
        <f t="shared" si="383"/>
        <v/>
      </c>
      <c r="S546" s="318" t="str">
        <f t="shared" si="8"/>
        <v/>
      </c>
    </row>
    <row r="547">
      <c r="A547" s="14" t="str">
        <f t="shared" si="1"/>
        <v>C155346116</v>
      </c>
      <c r="B547" s="185">
        <f t="array" ref="B547">IF(F547="VL","",IF(F547="Free","Free",XLOOKUP(D547,Roster!T:T,Roster!S:S,"",0)))</f>
        <v>122</v>
      </c>
      <c r="C547" s="313">
        <v>46116.0</v>
      </c>
      <c r="D547" s="314" t="s">
        <v>80</v>
      </c>
      <c r="E547" s="307" t="str">
        <f t="array" ref="E547">(XLOOKUP(D547,Roster!F:F,Roster!B:B,"",0))</f>
        <v>Valentina Castro</v>
      </c>
      <c r="F547" s="315" t="str">
        <f t="array" ref="F547">IF(B547=100,"Free",TEXT(XLOOKUP($D547,OperationVoice!$A:$A,OperationVoice!J:J,XLOOKUP($D547,OperationTickets!$A:$A,OperationTickets!J:J,"",0)),"hh:mm"))</f>
        <v>08:00</v>
      </c>
      <c r="G547" s="309">
        <f t="shared" si="3"/>
        <v>0.7083333333</v>
      </c>
      <c r="H547" s="316" t="str">
        <f t="array" ref="H547">XLOOKUP(B547,Roster!L:L,Roster!N:N,XLOOKUP(D547,TicketsBreak!A:A,TicketsBreak!E:E,"",0),0)</f>
        <v>09:30 - 09:45</v>
      </c>
      <c r="I547" s="316" t="str">
        <f t="array" ref="I547">XLOOKUP(B547,Roster!L:L,Roster!O:O,XLOOKUP(D547,TicketsBreak!A:A,TicketsBreak!F:F,"",0),0)</f>
        <v>12:00 - 12:30</v>
      </c>
      <c r="J547" s="316" t="str">
        <f t="array" ref="J547">XLOOKUP(B547,Roster!L:L,Roster!P:P,XLOOKUP(D547,TicketsBreak!A:A,TicketsBreak!G:G,"",0),0)</f>
        <v>14:45 - 15:00</v>
      </c>
      <c r="K547" s="310">
        <f t="shared" si="4"/>
        <v>46116</v>
      </c>
      <c r="L547" s="317">
        <f t="array" ref="L547">(XLOOKUP(D547,Roster!F:F,Roster!D:D,"",0))</f>
        <v>37</v>
      </c>
      <c r="M547" s="317" t="str">
        <f t="array" ref="M547">XLOOKUP(D547,Roster!F:F,Roster!E:E)</f>
        <v>Voice</v>
      </c>
      <c r="N547" s="317" t="str">
        <f t="shared" ref="N547:P547" si="558">LEFT(H547,5)</f>
        <v>09:30</v>
      </c>
      <c r="O547" s="317" t="str">
        <f t="shared" si="558"/>
        <v>12:00</v>
      </c>
      <c r="P547" s="317" t="str">
        <f t="shared" si="558"/>
        <v>14:45</v>
      </c>
      <c r="Q547" s="318">
        <f t="shared" si="382"/>
        <v>46116.39583</v>
      </c>
      <c r="R547" s="318">
        <f t="shared" si="383"/>
        <v>46116.5</v>
      </c>
      <c r="S547" s="318">
        <f t="shared" si="8"/>
        <v>46116.61458</v>
      </c>
    </row>
    <row r="548">
      <c r="A548" s="14" t="str">
        <f t="shared" si="1"/>
        <v>C150246116</v>
      </c>
      <c r="B548" s="185" t="str">
        <f t="array" ref="B548">IF(F548="VL","",IF(F548="Free","Free",XLOOKUP(D548,Roster!T:T,Roster!S:S,"",0)))</f>
        <v/>
      </c>
      <c r="C548" s="313">
        <v>46116.0</v>
      </c>
      <c r="D548" s="314" t="s">
        <v>316</v>
      </c>
      <c r="E548" s="307" t="str">
        <f t="array" ref="E548">(XLOOKUP(D548,Roster!F:F,Roster!B:B,"",0))</f>
        <v>Valentina Gallego</v>
      </c>
      <c r="F548" s="315" t="str">
        <f t="array" ref="F548">IF(B548=100,"Free",TEXT(XLOOKUP($D548,OperationVoice!$A:$A,OperationVoice!J:J,XLOOKUP($D548,OperationTickets!$A:$A,OperationTickets!J:J,"",0)),"hh:mm"))</f>
        <v/>
      </c>
      <c r="G548" s="309" t="str">
        <f t="shared" si="3"/>
        <v/>
      </c>
      <c r="H548" s="316" t="str">
        <f t="array" ref="H548">XLOOKUP(B548,Roster!L:L,Roster!N:N,XLOOKUP(D548,TicketsBreak!A:A,TicketsBreak!E:E,"",0),0)</f>
        <v/>
      </c>
      <c r="I548" s="316" t="str">
        <f t="array" ref="I548">XLOOKUP(B548,Roster!L:L,Roster!O:O,XLOOKUP(D548,TicketsBreak!A:A,TicketsBreak!F:F,"",0),0)</f>
        <v/>
      </c>
      <c r="J548" s="316" t="str">
        <f t="array" ref="J548">XLOOKUP(B548,Roster!L:L,Roster!P:P,XLOOKUP(D548,TicketsBreak!A:A,TicketsBreak!G:G,"",0),0)</f>
        <v/>
      </c>
      <c r="K548" s="310">
        <f t="shared" si="4"/>
        <v>46116</v>
      </c>
      <c r="L548" s="317">
        <f t="array" ref="L548">(XLOOKUP(D548,Roster!F:F,Roster!D:D,"",0))</f>
        <v>35</v>
      </c>
      <c r="M548" s="317" t="str">
        <f t="array" ref="M548">XLOOKUP(D548,Roster!F:F,Roster!E:E)</f>
        <v>Voice</v>
      </c>
      <c r="N548" s="317" t="str">
        <f t="shared" ref="N548:P548" si="559">LEFT(H548,5)</f>
        <v/>
      </c>
      <c r="O548" s="317" t="str">
        <f t="shared" si="559"/>
        <v/>
      </c>
      <c r="P548" s="317" t="str">
        <f t="shared" si="559"/>
        <v/>
      </c>
      <c r="Q548" s="318" t="str">
        <f t="shared" si="382"/>
        <v/>
      </c>
      <c r="R548" s="318" t="str">
        <f t="shared" si="383"/>
        <v/>
      </c>
      <c r="S548" s="318" t="str">
        <f t="shared" si="8"/>
        <v/>
      </c>
    </row>
    <row r="549">
      <c r="A549" s="14" t="str">
        <f t="shared" si="1"/>
        <v>C112646116</v>
      </c>
      <c r="B549" s="185" t="str">
        <f t="array" ref="B549">IF(F549="VL","",IF(F549="Free","Free",XLOOKUP(D549,Roster!T:T,Roster!S:S,"",0)))</f>
        <v/>
      </c>
      <c r="C549" s="313">
        <v>46116.0</v>
      </c>
      <c r="D549" s="314" t="s">
        <v>152</v>
      </c>
      <c r="E549" s="307" t="str">
        <f t="array" ref="E549">(XLOOKUP(D549,Roster!F:F,Roster!B:B,"",0))</f>
        <v>Valery Escobar</v>
      </c>
      <c r="F549" s="315" t="str">
        <f t="array" ref="F549">IF(B549=100,"Free",TEXT(XLOOKUP($D549,OperationVoice!$A:$A,OperationVoice!J:J,XLOOKUP($D549,OperationTickets!$A:$A,OperationTickets!J:J,"",0)),"hh:mm"))</f>
        <v>08:00</v>
      </c>
      <c r="G549" s="309">
        <f t="shared" si="3"/>
        <v>0.7083333333</v>
      </c>
      <c r="H549" s="316">
        <f t="array" ref="H549">XLOOKUP(B549,Roster!L:L,Roster!N:N,XLOOKUP(D549,TicketsBreak!A:A,TicketsBreak!E:E,"",0),0)</f>
        <v>0.3854166667</v>
      </c>
      <c r="I549" s="316">
        <f t="array" ref="I549">XLOOKUP(B549,Roster!L:L,Roster!O:O,XLOOKUP(D549,TicketsBreak!A:A,TicketsBreak!F:F,"",0),0)</f>
        <v>0.5</v>
      </c>
      <c r="J549" s="316">
        <f t="array" ref="J549">XLOOKUP(B549,Roster!L:L,Roster!P:P,XLOOKUP(D549,TicketsBreak!A:A,TicketsBreak!G:G,"",0),0)</f>
        <v>0.6041666667</v>
      </c>
      <c r="K549" s="310">
        <f t="shared" si="4"/>
        <v>46116</v>
      </c>
      <c r="L549" s="317">
        <f t="array" ref="L549">(XLOOKUP(D549,Roster!F:F,Roster!D:D,"",0))</f>
        <v>21</v>
      </c>
      <c r="M549" s="317" t="str">
        <f t="array" ref="M549">XLOOKUP(D549,Roster!F:F,Roster!E:E)</f>
        <v>Tickets</v>
      </c>
      <c r="N549" s="317" t="str">
        <f t="shared" ref="N549:P549" si="560">LEFT(H549,5)</f>
        <v>09:15</v>
      </c>
      <c r="O549" s="317" t="str">
        <f t="shared" si="560"/>
        <v>12:00</v>
      </c>
      <c r="P549" s="317" t="str">
        <f t="shared" si="560"/>
        <v>14:30</v>
      </c>
      <c r="Q549" s="318">
        <f t="shared" si="382"/>
        <v>46116.38542</v>
      </c>
      <c r="R549" s="318">
        <f t="shared" si="383"/>
        <v>46116.5</v>
      </c>
      <c r="S549" s="318">
        <f t="shared" si="8"/>
        <v>46116.60417</v>
      </c>
    </row>
    <row r="550">
      <c r="A550" s="14" t="str">
        <f t="shared" si="1"/>
        <v>C155246116</v>
      </c>
      <c r="B550" s="185">
        <f t="array" ref="B550">IF(F550="VL","",IF(F550="Free","Free",XLOOKUP(D550,Roster!T:T,Roster!S:S,"",0)))</f>
        <v>125</v>
      </c>
      <c r="C550" s="313">
        <v>46116.0</v>
      </c>
      <c r="D550" s="314" t="s">
        <v>81</v>
      </c>
      <c r="E550" s="307" t="str">
        <f t="array" ref="E550">(XLOOKUP(D550,Roster!F:F,Roster!B:B,"",0))</f>
        <v>Wendy Machado</v>
      </c>
      <c r="F550" s="315" t="str">
        <f t="array" ref="F550">IF(B550=100,"Free",TEXT(XLOOKUP($D550,OperationVoice!$A:$A,OperationVoice!J:J,XLOOKUP($D550,OperationTickets!$A:$A,OperationTickets!J:J,"",0)),"hh:mm"))</f>
        <v>08:00</v>
      </c>
      <c r="G550" s="309">
        <f t="shared" si="3"/>
        <v>0.7083333333</v>
      </c>
      <c r="H550" s="316" t="str">
        <f t="array" ref="H550">XLOOKUP(B550,Roster!L:L,Roster!N:N,XLOOKUP(D550,TicketsBreak!A:A,TicketsBreak!E:E,"",0),0)</f>
        <v>10:30 - 10:45</v>
      </c>
      <c r="I550" s="316" t="str">
        <f t="array" ref="I550">XLOOKUP(B550,Roster!L:L,Roster!O:O,XLOOKUP(D550,TicketsBreak!A:A,TicketsBreak!F:F,"",0),0)</f>
        <v>13:30 - 14:00</v>
      </c>
      <c r="J550" s="316" t="str">
        <f t="array" ref="J550">XLOOKUP(B550,Roster!L:L,Roster!P:P,XLOOKUP(D550,TicketsBreak!A:A,TicketsBreak!G:G,"",0),0)</f>
        <v>15:45 - 16:00</v>
      </c>
      <c r="K550" s="310">
        <f t="shared" si="4"/>
        <v>46116</v>
      </c>
      <c r="L550" s="317">
        <f t="array" ref="L550">(XLOOKUP(D550,Roster!F:F,Roster!D:D,"",0))</f>
        <v>37</v>
      </c>
      <c r="M550" s="317" t="str">
        <f t="array" ref="M550">XLOOKUP(D550,Roster!F:F,Roster!E:E)</f>
        <v>Voice</v>
      </c>
      <c r="N550" s="317" t="str">
        <f t="shared" ref="N550:P550" si="561">LEFT(H550,5)</f>
        <v>10:30</v>
      </c>
      <c r="O550" s="317" t="str">
        <f t="shared" si="561"/>
        <v>13:30</v>
      </c>
      <c r="P550" s="317" t="str">
        <f t="shared" si="561"/>
        <v>15:45</v>
      </c>
      <c r="Q550" s="318">
        <f t="shared" si="382"/>
        <v>46116.4375</v>
      </c>
      <c r="R550" s="318">
        <f t="shared" si="383"/>
        <v>46116.5625</v>
      </c>
      <c r="S550" s="318">
        <f t="shared" si="8"/>
        <v>46116.65625</v>
      </c>
    </row>
    <row r="551">
      <c r="A551" s="14" t="str">
        <f t="shared" si="1"/>
        <v>C78646116</v>
      </c>
      <c r="B551" s="185" t="str">
        <f t="array" ref="B551">IF(F551="VL","",IF(F551="Free","Free",XLOOKUP(D551,Roster!T:T,Roster!S:S,"",0)))</f>
        <v/>
      </c>
      <c r="C551" s="313">
        <v>46116.0</v>
      </c>
      <c r="D551" s="314" t="s">
        <v>136</v>
      </c>
      <c r="E551" s="307" t="str">
        <f t="array" ref="E551">(XLOOKUP(D551,Roster!F:F,Roster!B:B,"",0))</f>
        <v>Wendy Navarro</v>
      </c>
      <c r="F551" s="315" t="str">
        <f t="array" ref="F551">IF(B551=100,"Free",TEXT(XLOOKUP($D551,OperationVoice!$A:$A,OperationVoice!J:J,XLOOKUP($D551,OperationTickets!$A:$A,OperationTickets!J:J,"",0)),"hh:mm"))</f>
        <v>08:00</v>
      </c>
      <c r="G551" s="309">
        <f t="shared" si="3"/>
        <v>0.7083333333</v>
      </c>
      <c r="H551" s="316">
        <f t="array" ref="H551">XLOOKUP(B551,Roster!L:L,Roster!N:N,XLOOKUP(D551,TicketsBreak!A:A,TicketsBreak!E:E,"",0),0)</f>
        <v>0.4166666667</v>
      </c>
      <c r="I551" s="316">
        <f t="array" ref="I551">XLOOKUP(B551,Roster!L:L,Roster!O:O,XLOOKUP(D551,TicketsBreak!A:A,TicketsBreak!F:F,"",0),0)</f>
        <v>0.5416666667</v>
      </c>
      <c r="J551" s="316">
        <f t="array" ref="J551">XLOOKUP(B551,Roster!L:L,Roster!P:P,XLOOKUP(D551,TicketsBreak!A:A,TicketsBreak!G:G,"",0),0)</f>
        <v>0.6458333333</v>
      </c>
      <c r="K551" s="310">
        <f t="shared" si="4"/>
        <v>46116</v>
      </c>
      <c r="L551" s="317">
        <f t="array" ref="L551">(XLOOKUP(D551,Roster!F:F,Roster!D:D,"",0))</f>
        <v>16</v>
      </c>
      <c r="M551" s="317" t="str">
        <f t="array" ref="M551">XLOOKUP(D551,Roster!F:F,Roster!E:E)</f>
        <v>Tickets</v>
      </c>
      <c r="N551" s="317" t="str">
        <f t="shared" ref="N551:P551" si="562">LEFT(H551,5)</f>
        <v>10:00</v>
      </c>
      <c r="O551" s="317" t="str">
        <f t="shared" si="562"/>
        <v>13:00</v>
      </c>
      <c r="P551" s="317" t="str">
        <f t="shared" si="562"/>
        <v>15:30</v>
      </c>
      <c r="Q551" s="318">
        <f t="shared" si="382"/>
        <v>46116.41667</v>
      </c>
      <c r="R551" s="318">
        <f t="shared" si="383"/>
        <v>46116.54167</v>
      </c>
      <c r="S551" s="318">
        <f t="shared" si="8"/>
        <v>46116.64583</v>
      </c>
    </row>
    <row r="552">
      <c r="A552" s="14" t="str">
        <f t="shared" si="1"/>
        <v>C153746116</v>
      </c>
      <c r="B552" s="185">
        <f t="array" ref="B552">IF(F552="VL","",IF(F552="Free","Free",XLOOKUP(D552,Roster!T:T,Roster!S:S,"",0)))</f>
        <v>135</v>
      </c>
      <c r="C552" s="313">
        <v>46116.0</v>
      </c>
      <c r="D552" s="314" t="s">
        <v>82</v>
      </c>
      <c r="E552" s="307" t="str">
        <f t="array" ref="E552">(XLOOKUP(D552,Roster!F:F,Roster!B:B,"",0))</f>
        <v>William Florez</v>
      </c>
      <c r="F552" s="315" t="str">
        <f t="array" ref="F552">IF(B552=100,"Free",TEXT(XLOOKUP($D552,OperationVoice!$A:$A,OperationVoice!J:J,XLOOKUP($D552,OperationTickets!$A:$A,OperationTickets!J:J,"",0)),"hh:mm"))</f>
        <v>09:00</v>
      </c>
      <c r="G552" s="309">
        <f t="shared" si="3"/>
        <v>0.75</v>
      </c>
      <c r="H552" s="316" t="str">
        <f t="array" ref="H552">XLOOKUP(B552,Roster!L:L,Roster!N:N,XLOOKUP(D552,TicketsBreak!A:A,TicketsBreak!E:E,"",0),0)</f>
        <v>11:15 - 11:30</v>
      </c>
      <c r="I552" s="316" t="str">
        <f t="array" ref="I552">XLOOKUP(B552,Roster!L:L,Roster!O:O,XLOOKUP(D552,TicketsBreak!A:A,TicketsBreak!F:F,"",0),0)</f>
        <v>14:15 - 14:45</v>
      </c>
      <c r="J552" s="316" t="str">
        <f t="array" ref="J552">XLOOKUP(B552,Roster!L:L,Roster!P:P,XLOOKUP(D552,TicketsBreak!A:A,TicketsBreak!G:G,"",0),0)</f>
        <v>16:15 - 16:30</v>
      </c>
      <c r="K552" s="310">
        <f t="shared" si="4"/>
        <v>46116</v>
      </c>
      <c r="L552" s="317">
        <f t="array" ref="L552">(XLOOKUP(D552,Roster!F:F,Roster!D:D,"",0))</f>
        <v>36</v>
      </c>
      <c r="M552" s="317" t="str">
        <f t="array" ref="M552">XLOOKUP(D552,Roster!F:F,Roster!E:E)</f>
        <v>Voice</v>
      </c>
      <c r="N552" s="317" t="str">
        <f t="shared" ref="N552:P552" si="563">LEFT(H552,5)</f>
        <v>11:15</v>
      </c>
      <c r="O552" s="317" t="str">
        <f t="shared" si="563"/>
        <v>14:15</v>
      </c>
      <c r="P552" s="317" t="str">
        <f t="shared" si="563"/>
        <v>16:15</v>
      </c>
      <c r="Q552" s="318">
        <f t="shared" si="382"/>
        <v>46116.46875</v>
      </c>
      <c r="R552" s="318">
        <f t="shared" si="383"/>
        <v>46116.59375</v>
      </c>
      <c r="S552" s="318">
        <f t="shared" si="8"/>
        <v>46116.67708</v>
      </c>
    </row>
    <row r="553">
      <c r="A553" s="14" t="str">
        <f t="shared" si="1"/>
        <v>C135346116</v>
      </c>
      <c r="B553" s="185" t="str">
        <f t="array" ref="B553">IF(F553="VL","",IF(F553="Free","Free",XLOOKUP(D553,Roster!T:T,Roster!S:S,"",0)))</f>
        <v>Free</v>
      </c>
      <c r="C553" s="313">
        <v>46116.0</v>
      </c>
      <c r="D553" s="314" t="s">
        <v>83</v>
      </c>
      <c r="E553" s="307" t="str">
        <f t="array" ref="E553">(XLOOKUP(D553,Roster!F:F,Roster!B:B,"",0))</f>
        <v>Wilson Martinez</v>
      </c>
      <c r="F553" s="315" t="str">
        <f t="array" ref="F553">IF(B553=100,"Free",TEXT(XLOOKUP($D553,OperationVoice!$A:$A,OperationVoice!J:J,XLOOKUP($D553,OperationTickets!$A:$A,OperationTickets!J:J,"",0)),"hh:mm"))</f>
        <v>Free</v>
      </c>
      <c r="G553" s="309" t="str">
        <f t="shared" si="3"/>
        <v>Free</v>
      </c>
      <c r="H553" s="316" t="str">
        <f t="array" ref="H553">XLOOKUP(B553,Roster!L:L,Roster!N:N,XLOOKUP(D553,TicketsBreak!A:A,TicketsBreak!E:E,"",0),0)</f>
        <v/>
      </c>
      <c r="I553" s="316" t="str">
        <f t="array" ref="I553">XLOOKUP(B553,Roster!L:L,Roster!O:O,XLOOKUP(D553,TicketsBreak!A:A,TicketsBreak!F:F,"",0),0)</f>
        <v/>
      </c>
      <c r="J553" s="316" t="str">
        <f t="array" ref="J553">XLOOKUP(B553,Roster!L:L,Roster!P:P,XLOOKUP(D553,TicketsBreak!A:A,TicketsBreak!G:G,"",0),0)</f>
        <v/>
      </c>
      <c r="K553" s="310">
        <f t="shared" si="4"/>
        <v>46116</v>
      </c>
      <c r="L553" s="317">
        <f t="array" ref="L553">(XLOOKUP(D553,Roster!F:F,Roster!D:D,"",0))</f>
        <v>30</v>
      </c>
      <c r="M553" s="317" t="str">
        <f t="array" ref="M553">XLOOKUP(D553,Roster!F:F,Roster!E:E)</f>
        <v>Voice</v>
      </c>
      <c r="N553" s="317" t="str">
        <f t="shared" ref="N553:P553" si="564">LEFT(H553,5)</f>
        <v/>
      </c>
      <c r="O553" s="317" t="str">
        <f t="shared" si="564"/>
        <v/>
      </c>
      <c r="P553" s="317" t="str">
        <f t="shared" si="564"/>
        <v/>
      </c>
      <c r="Q553" s="318" t="str">
        <f t="shared" si="382"/>
        <v/>
      </c>
      <c r="R553" s="318" t="str">
        <f t="shared" si="383"/>
        <v/>
      </c>
      <c r="S553" s="318" t="str">
        <f t="shared" si="8"/>
        <v/>
      </c>
    </row>
    <row r="554">
      <c r="A554" s="14" t="str">
        <f t="shared" si="1"/>
        <v>C117346116</v>
      </c>
      <c r="B554" s="185" t="str">
        <f t="array" ref="B554">IF(F554="VL","",IF(F554="Free","Free",XLOOKUP(D554,Roster!T:T,Roster!S:S,"",0)))</f>
        <v>Free</v>
      </c>
      <c r="C554" s="313">
        <v>46116.0</v>
      </c>
      <c r="D554" s="314" t="s">
        <v>84</v>
      </c>
      <c r="E554" s="307" t="str">
        <f t="array" ref="E554">(XLOOKUP(D554,Roster!F:F,Roster!B:B,"",0))</f>
        <v>Yaidy Mosquera</v>
      </c>
      <c r="F554" s="315" t="str">
        <f t="array" ref="F554">IF(B554=100,"Free",TEXT(XLOOKUP($D554,OperationVoice!$A:$A,OperationVoice!J:J,XLOOKUP($D554,OperationTickets!$A:$A,OperationTickets!J:J,"",0)),"hh:mm"))</f>
        <v>Free</v>
      </c>
      <c r="G554" s="309" t="str">
        <f t="shared" si="3"/>
        <v>Free</v>
      </c>
      <c r="H554" s="316" t="str">
        <f t="array" ref="H554">XLOOKUP(B554,Roster!L:L,Roster!N:N,XLOOKUP(D554,TicketsBreak!A:A,TicketsBreak!E:E,"",0),0)</f>
        <v/>
      </c>
      <c r="I554" s="316" t="str">
        <f t="array" ref="I554">XLOOKUP(B554,Roster!L:L,Roster!O:O,XLOOKUP(D554,TicketsBreak!A:A,TicketsBreak!F:F,"",0),0)</f>
        <v/>
      </c>
      <c r="J554" s="316" t="str">
        <f t="array" ref="J554">XLOOKUP(B554,Roster!L:L,Roster!P:P,XLOOKUP(D554,TicketsBreak!A:A,TicketsBreak!G:G,"",0),0)</f>
        <v/>
      </c>
      <c r="K554" s="310">
        <f t="shared" si="4"/>
        <v>46116</v>
      </c>
      <c r="L554" s="317">
        <f t="array" ref="L554">(XLOOKUP(D554,Roster!F:F,Roster!D:D,"",0))</f>
        <v>24</v>
      </c>
      <c r="M554" s="317" t="str">
        <f t="array" ref="M554">XLOOKUP(D554,Roster!F:F,Roster!E:E)</f>
        <v>Voice</v>
      </c>
      <c r="N554" s="317" t="str">
        <f t="shared" ref="N554:P554" si="565">LEFT(H554,5)</f>
        <v/>
      </c>
      <c r="O554" s="317" t="str">
        <f t="shared" si="565"/>
        <v/>
      </c>
      <c r="P554" s="317" t="str">
        <f t="shared" si="565"/>
        <v/>
      </c>
      <c r="Q554" s="318" t="str">
        <f t="shared" si="382"/>
        <v/>
      </c>
      <c r="R554" s="318" t="str">
        <f t="shared" si="383"/>
        <v/>
      </c>
      <c r="S554" s="318" t="str">
        <f t="shared" si="8"/>
        <v/>
      </c>
    </row>
    <row r="555">
      <c r="A555" s="14" t="str">
        <f t="shared" si="1"/>
        <v>C110846116</v>
      </c>
      <c r="B555" s="185" t="str">
        <f t="array" ref="B555">IF(F555="VL","",IF(F555="Free","Free",XLOOKUP(D555,Roster!T:T,Roster!S:S,"",0)))</f>
        <v/>
      </c>
      <c r="C555" s="313">
        <v>46116.0</v>
      </c>
      <c r="D555" s="314" t="s">
        <v>187</v>
      </c>
      <c r="E555" s="307" t="str">
        <f t="array" ref="E555">(XLOOKUP(D555,Roster!F:F,Roster!B:B,"",0))</f>
        <v>Yeiner Tapias</v>
      </c>
      <c r="F555" s="315" t="str">
        <f t="array" ref="F555">IF(B555=100,"Free",TEXT(XLOOKUP($D555,OperationVoice!$A:$A,OperationVoice!J:J,XLOOKUP($D555,OperationTickets!$A:$A,OperationTickets!J:J,"",0)),"hh:mm"))</f>
        <v>08:00</v>
      </c>
      <c r="G555" s="309">
        <f t="shared" si="3"/>
        <v>0.7083333333</v>
      </c>
      <c r="H555" s="316">
        <f t="array" ref="H555">XLOOKUP(B555,Roster!L:L,Roster!N:N,XLOOKUP(D555,TicketsBreak!A:A,TicketsBreak!E:E,"",0),0)</f>
        <v>0.3958333333</v>
      </c>
      <c r="I555" s="316">
        <f t="array" ref="I555">XLOOKUP(B555,Roster!L:L,Roster!O:O,XLOOKUP(D555,TicketsBreak!A:A,TicketsBreak!F:F,"",0),0)</f>
        <v>0.5208333333</v>
      </c>
      <c r="J555" s="316">
        <f t="array" ref="J555">XLOOKUP(B555,Roster!L:L,Roster!P:P,XLOOKUP(D555,TicketsBreak!A:A,TicketsBreak!G:G,"",0),0)</f>
        <v>0.6145833333</v>
      </c>
      <c r="K555" s="310">
        <f t="shared" si="4"/>
        <v>46116</v>
      </c>
      <c r="L555" s="317">
        <f t="array" ref="L555">(XLOOKUP(D555,Roster!F:F,Roster!D:D,"",0))</f>
        <v>20</v>
      </c>
      <c r="M555" s="317" t="str">
        <f t="array" ref="M555">XLOOKUP(D555,Roster!F:F,Roster!E:E)</f>
        <v>Tickets</v>
      </c>
      <c r="N555" s="317" t="str">
        <f t="shared" ref="N555:P555" si="566">LEFT(H555,5)</f>
        <v>09:30</v>
      </c>
      <c r="O555" s="317" t="str">
        <f t="shared" si="566"/>
        <v>12:30</v>
      </c>
      <c r="P555" s="317" t="str">
        <f t="shared" si="566"/>
        <v>14:45</v>
      </c>
      <c r="Q555" s="318">
        <f t="shared" si="382"/>
        <v>46116.39583</v>
      </c>
      <c r="R555" s="318">
        <f t="shared" si="383"/>
        <v>46116.52083</v>
      </c>
      <c r="S555" s="318">
        <f t="shared" si="8"/>
        <v>46116.61458</v>
      </c>
    </row>
    <row r="556">
      <c r="A556" s="14" t="str">
        <f t="shared" si="1"/>
        <v>C153946116</v>
      </c>
      <c r="B556" s="185">
        <f t="array" ref="B556">IF(F556="VL","",IF(F556="Free","Free",XLOOKUP(D556,Roster!T:T,Roster!S:S,"",0)))</f>
        <v>123</v>
      </c>
      <c r="C556" s="313">
        <v>46116.0</v>
      </c>
      <c r="D556" s="314" t="s">
        <v>85</v>
      </c>
      <c r="E556" s="307" t="str">
        <f t="array" ref="E556">(XLOOKUP(D556,Roster!F:F,Roster!B:B,"",0))</f>
        <v>Yovanny Ceballos</v>
      </c>
      <c r="F556" s="315" t="str">
        <f t="array" ref="F556">IF(B556=100,"Free",TEXT(XLOOKUP($D556,OperationVoice!$A:$A,OperationVoice!J:J,XLOOKUP($D556,OperationTickets!$A:$A,OperationTickets!J:J,"",0)),"hh:mm"))</f>
        <v/>
      </c>
      <c r="G556" s="309" t="str">
        <f t="shared" si="3"/>
        <v/>
      </c>
      <c r="H556" s="316" t="str">
        <f t="array" ref="H556">XLOOKUP(B556,Roster!L:L,Roster!N:N,XLOOKUP(D556,TicketsBreak!A:A,TicketsBreak!E:E,"",0),0)</f>
        <v>09:45 - 10:00 </v>
      </c>
      <c r="I556" s="316" t="str">
        <f t="array" ref="I556">XLOOKUP(B556,Roster!L:L,Roster!O:O,XLOOKUP(D556,TicketsBreak!A:A,TicketsBreak!F:F,"",0),0)</f>
        <v>12:30 - 13:00</v>
      </c>
      <c r="J556" s="316" t="str">
        <f t="array" ref="J556">XLOOKUP(B556,Roster!L:L,Roster!P:P,XLOOKUP(D556,TicketsBreak!A:A,TicketsBreak!G:G,"",0),0)</f>
        <v>15:00 - 15:15</v>
      </c>
      <c r="K556" s="310">
        <f t="shared" si="4"/>
        <v>46116</v>
      </c>
      <c r="L556" s="317">
        <f t="array" ref="L556">(XLOOKUP(D556,Roster!F:F,Roster!D:D,"",0))</f>
        <v>36</v>
      </c>
      <c r="M556" s="317" t="str">
        <f t="array" ref="M556">XLOOKUP(D556,Roster!F:F,Roster!E:E)</f>
        <v>Voice</v>
      </c>
      <c r="N556" s="317" t="str">
        <f t="shared" ref="N556:P556" si="567">LEFT(H556,5)</f>
        <v>09:45</v>
      </c>
      <c r="O556" s="317" t="str">
        <f t="shared" si="567"/>
        <v>12:30</v>
      </c>
      <c r="P556" s="317" t="str">
        <f t="shared" si="567"/>
        <v>15:00</v>
      </c>
      <c r="Q556" s="318">
        <f t="shared" si="382"/>
        <v>46116.40625</v>
      </c>
      <c r="R556" s="318">
        <f t="shared" si="383"/>
        <v>46116.52083</v>
      </c>
      <c r="S556" s="318">
        <f t="shared" si="8"/>
        <v>46116.625</v>
      </c>
    </row>
    <row r="557">
      <c r="A557" s="14" t="str">
        <f t="shared" si="1"/>
        <v>46116</v>
      </c>
      <c r="B557" s="185" t="str">
        <f t="array" ref="B557">IF(F557="VL","",IF(F557="Free","Free",XLOOKUP(D557,Roster!T:T,Roster!S:S,"",0)))</f>
        <v/>
      </c>
      <c r="C557" s="313">
        <v>46116.0</v>
      </c>
      <c r="D557" s="314"/>
      <c r="E557" s="307" t="str">
        <f t="array" ref="E557">(XLOOKUP(D557,Roster!F:F,Roster!B:B,"",0))</f>
        <v/>
      </c>
      <c r="F557" s="315" t="str">
        <f t="array" ref="F557">IF(B557=100,"Free",TEXT(XLOOKUP($D557,OperationVoice!$A:$A,OperationVoice!J:J,XLOOKUP($D557,OperationTickets!$A:$A,OperationTickets!J:J,"",0)),"hh:mm"))</f>
        <v/>
      </c>
      <c r="G557" s="309" t="str">
        <f t="shared" si="3"/>
        <v/>
      </c>
      <c r="H557" s="316" t="str">
        <f t="array" ref="H557">XLOOKUP(B557,Roster!L:L,Roster!N:N,XLOOKUP(D557,TicketsBreak!A:A,TicketsBreak!E:E,"",0),0)</f>
        <v/>
      </c>
      <c r="I557" s="316" t="str">
        <f t="array" ref="I557">XLOOKUP(B557,Roster!L:L,Roster!O:O,XLOOKUP(D557,TicketsBreak!A:A,TicketsBreak!F:F,"",0),0)</f>
        <v/>
      </c>
      <c r="J557" s="316" t="str">
        <f t="array" ref="J557">XLOOKUP(B557,Roster!L:L,Roster!P:P,XLOOKUP(D557,TicketsBreak!A:A,TicketsBreak!G:G,"",0),0)</f>
        <v/>
      </c>
      <c r="K557" s="310">
        <f t="shared" si="4"/>
        <v>46116</v>
      </c>
      <c r="L557" s="317" t="str">
        <f t="array" ref="L557">(XLOOKUP(D557,Roster!F:F,Roster!D:D,"",0))</f>
        <v/>
      </c>
      <c r="M557" s="317" t="str">
        <f t="array" ref="M557">XLOOKUP(D557,Roster!F:F,Roster!E:E)</f>
        <v>#N/A</v>
      </c>
      <c r="N557" s="317" t="str">
        <f t="shared" ref="N557:P557" si="568">LEFT(H557,5)</f>
        <v/>
      </c>
      <c r="O557" s="317" t="str">
        <f t="shared" si="568"/>
        <v/>
      </c>
      <c r="P557" s="317" t="str">
        <f t="shared" si="568"/>
        <v/>
      </c>
      <c r="Q557" s="318" t="str">
        <f t="shared" si="382"/>
        <v/>
      </c>
      <c r="R557" s="318" t="str">
        <f t="shared" si="383"/>
        <v/>
      </c>
      <c r="S557" s="318" t="str">
        <f t="shared" si="8"/>
        <v/>
      </c>
    </row>
    <row r="558">
      <c r="A558" s="14" t="str">
        <f t="shared" si="1"/>
        <v>46116</v>
      </c>
      <c r="B558" s="185" t="str">
        <f t="array" ref="B558">IF(F558="VL","",IF(F558="Free","Free",XLOOKUP(D558,Roster!T:T,Roster!S:S,"",0)))</f>
        <v/>
      </c>
      <c r="C558" s="313">
        <v>46116.0</v>
      </c>
      <c r="D558" s="314"/>
      <c r="E558" s="307" t="str">
        <f t="array" ref="E558">(XLOOKUP(D558,Roster!F:F,Roster!B:B,"",0))</f>
        <v/>
      </c>
      <c r="F558" s="315" t="str">
        <f t="array" ref="F558">IF(B558=100,"Free",TEXT(XLOOKUP($D558,OperationVoice!$A:$A,OperationVoice!J:J,XLOOKUP($D558,OperationTickets!$A:$A,OperationTickets!J:J,"",0)),"hh:mm"))</f>
        <v/>
      </c>
      <c r="G558" s="309" t="str">
        <f t="shared" si="3"/>
        <v/>
      </c>
      <c r="H558" s="316" t="str">
        <f t="array" ref="H558">XLOOKUP(B558,Roster!L:L,Roster!N:N,XLOOKUP(D558,TicketsBreak!A:A,TicketsBreak!E:E,"",0),0)</f>
        <v/>
      </c>
      <c r="I558" s="316" t="str">
        <f t="array" ref="I558">XLOOKUP(B558,Roster!L:L,Roster!O:O,XLOOKUP(D558,TicketsBreak!A:A,TicketsBreak!F:F,"",0),0)</f>
        <v/>
      </c>
      <c r="J558" s="316" t="str">
        <f t="array" ref="J558">XLOOKUP(B558,Roster!L:L,Roster!P:P,XLOOKUP(D558,TicketsBreak!A:A,TicketsBreak!G:G,"",0),0)</f>
        <v/>
      </c>
      <c r="K558" s="310">
        <f t="shared" si="4"/>
        <v>46116</v>
      </c>
      <c r="L558" s="317" t="str">
        <f t="array" ref="L558">(XLOOKUP(D558,Roster!F:F,Roster!D:D,"",0))</f>
        <v/>
      </c>
      <c r="M558" s="317" t="str">
        <f t="array" ref="M558">XLOOKUP(D558,Roster!F:F,Roster!E:E)</f>
        <v>#N/A</v>
      </c>
      <c r="N558" s="317" t="str">
        <f t="shared" ref="N558:P558" si="569">LEFT(H558,5)</f>
        <v/>
      </c>
      <c r="O558" s="317" t="str">
        <f t="shared" si="569"/>
        <v/>
      </c>
      <c r="P558" s="317" t="str">
        <f t="shared" si="569"/>
        <v/>
      </c>
      <c r="Q558" s="318" t="str">
        <f t="shared" si="382"/>
        <v/>
      </c>
      <c r="R558" s="318" t="str">
        <f t="shared" si="383"/>
        <v/>
      </c>
      <c r="S558" s="318" t="str">
        <f t="shared" si="8"/>
        <v/>
      </c>
    </row>
    <row r="559">
      <c r="A559" s="14" t="str">
        <f t="shared" si="1"/>
        <v>46116</v>
      </c>
      <c r="B559" s="185" t="str">
        <f t="array" ref="B559">IF(F559="VL","",IF(F559="Free","Free",XLOOKUP(D559,Roster!T:T,Roster!S:S,"",0)))</f>
        <v/>
      </c>
      <c r="C559" s="313">
        <v>46116.0</v>
      </c>
      <c r="D559" s="314"/>
      <c r="E559" s="307" t="str">
        <f t="array" ref="E559">(XLOOKUP(D559,Roster!F:F,Roster!B:B,"",0))</f>
        <v/>
      </c>
      <c r="F559" s="315" t="str">
        <f t="array" ref="F559">IF(B559=100,"Free",TEXT(XLOOKUP($D559,OperationVoice!$A:$A,OperationVoice!J:J,XLOOKUP($D559,OperationTickets!$A:$A,OperationTickets!J:J,"",0)),"hh:mm"))</f>
        <v/>
      </c>
      <c r="G559" s="309" t="str">
        <f t="shared" si="3"/>
        <v/>
      </c>
      <c r="H559" s="316" t="str">
        <f t="array" ref="H559">XLOOKUP(B559,Roster!L:L,Roster!N:N,XLOOKUP(D559,TicketsBreak!A:A,TicketsBreak!E:E,"",0),0)</f>
        <v/>
      </c>
      <c r="I559" s="316" t="str">
        <f t="array" ref="I559">XLOOKUP(B559,Roster!L:L,Roster!O:O,XLOOKUP(D559,TicketsBreak!A:A,TicketsBreak!F:F,"",0),0)</f>
        <v/>
      </c>
      <c r="J559" s="316" t="str">
        <f t="array" ref="J559">XLOOKUP(B559,Roster!L:L,Roster!P:P,XLOOKUP(D559,TicketsBreak!A:A,TicketsBreak!G:G,"",0),0)</f>
        <v/>
      </c>
      <c r="K559" s="310">
        <f t="shared" si="4"/>
        <v>46116</v>
      </c>
      <c r="L559" s="317" t="str">
        <f t="array" ref="L559">(XLOOKUP(D559,Roster!F:F,Roster!D:D,"",0))</f>
        <v/>
      </c>
      <c r="M559" s="317" t="str">
        <f t="array" ref="M559">XLOOKUP(D559,Roster!F:F,Roster!E:E)</f>
        <v>#N/A</v>
      </c>
      <c r="N559" s="317" t="str">
        <f t="shared" ref="N559:P559" si="570">LEFT(H559,5)</f>
        <v/>
      </c>
      <c r="O559" s="317" t="str">
        <f t="shared" si="570"/>
        <v/>
      </c>
      <c r="P559" s="317" t="str">
        <f t="shared" si="570"/>
        <v/>
      </c>
      <c r="Q559" s="318" t="str">
        <f t="shared" si="382"/>
        <v/>
      </c>
      <c r="R559" s="318" t="str">
        <f t="shared" si="383"/>
        <v/>
      </c>
      <c r="S559" s="318" t="str">
        <f t="shared" si="8"/>
        <v/>
      </c>
    </row>
    <row r="560">
      <c r="A560" s="14" t="str">
        <f t="shared" si="1"/>
        <v>46116</v>
      </c>
      <c r="B560" s="185" t="str">
        <f t="array" ref="B560">IF(F560="VL","",IF(F560="Free","Free",XLOOKUP(D560,Roster!T:T,Roster!S:S,"",0)))</f>
        <v/>
      </c>
      <c r="C560" s="313">
        <v>46116.0</v>
      </c>
      <c r="D560" s="314"/>
      <c r="E560" s="307" t="str">
        <f t="array" ref="E560">(XLOOKUP(D560,Roster!F:F,Roster!B:B,"",0))</f>
        <v/>
      </c>
      <c r="F560" s="315" t="str">
        <f t="array" ref="F560">IF(B560=100,"Free",TEXT(XLOOKUP($D560,OperationVoice!$A:$A,OperationVoice!J:J,XLOOKUP($D560,OperationTickets!$A:$A,OperationTickets!J:J,"",0)),"hh:mm"))</f>
        <v/>
      </c>
      <c r="G560" s="309" t="str">
        <f t="shared" si="3"/>
        <v/>
      </c>
      <c r="H560" s="316" t="str">
        <f t="array" ref="H560">XLOOKUP(B560,Roster!L:L,Roster!N:N,XLOOKUP(D560,TicketsBreak!A:A,TicketsBreak!E:E,"",0),0)</f>
        <v/>
      </c>
      <c r="I560" s="316" t="str">
        <f t="array" ref="I560">XLOOKUP(B560,Roster!L:L,Roster!O:O,XLOOKUP(D560,TicketsBreak!A:A,TicketsBreak!F:F,"",0),0)</f>
        <v/>
      </c>
      <c r="J560" s="316" t="str">
        <f t="array" ref="J560">XLOOKUP(B560,Roster!L:L,Roster!P:P,XLOOKUP(D560,TicketsBreak!A:A,TicketsBreak!G:G,"",0),0)</f>
        <v/>
      </c>
      <c r="K560" s="310">
        <f t="shared" si="4"/>
        <v>46116</v>
      </c>
      <c r="L560" s="317" t="str">
        <f t="array" ref="L560">(XLOOKUP(D560,Roster!F:F,Roster!D:D,"",0))</f>
        <v/>
      </c>
      <c r="M560" s="317" t="str">
        <f t="array" ref="M560">XLOOKUP(D560,Roster!F:F,Roster!E:E)</f>
        <v>#N/A</v>
      </c>
      <c r="N560" s="317" t="str">
        <f t="shared" ref="N560:P560" si="571">LEFT(H560,5)</f>
        <v/>
      </c>
      <c r="O560" s="317" t="str">
        <f t="shared" si="571"/>
        <v/>
      </c>
      <c r="P560" s="317" t="str">
        <f t="shared" si="571"/>
        <v/>
      </c>
      <c r="Q560" s="318" t="str">
        <f t="shared" si="382"/>
        <v/>
      </c>
      <c r="R560" s="318" t="str">
        <f t="shared" si="383"/>
        <v/>
      </c>
      <c r="S560" s="318" t="str">
        <f t="shared" si="8"/>
        <v/>
      </c>
    </row>
    <row r="561">
      <c r="A561" s="14" t="str">
        <f t="shared" si="1"/>
        <v>46116</v>
      </c>
      <c r="B561" s="185" t="str">
        <f t="array" ref="B561">IF(F561="VL","",IF(F561="Free","Free",XLOOKUP(D561,Roster!T:T,Roster!S:S,"",0)))</f>
        <v/>
      </c>
      <c r="C561" s="313">
        <v>46116.0</v>
      </c>
      <c r="D561" s="314"/>
      <c r="E561" s="307" t="str">
        <f t="array" ref="E561">(XLOOKUP(D561,Roster!F:F,Roster!B:B,"",0))</f>
        <v/>
      </c>
      <c r="F561" s="315" t="str">
        <f t="array" ref="F561">IF(B561=100,"Free",TEXT(XLOOKUP($D561,OperationVoice!$A:$A,OperationVoice!J:J,XLOOKUP($D561,OperationTickets!$A:$A,OperationTickets!J:J,"",0)),"hh:mm"))</f>
        <v/>
      </c>
      <c r="G561" s="309" t="str">
        <f t="shared" si="3"/>
        <v/>
      </c>
      <c r="H561" s="316" t="str">
        <f t="array" ref="H561">XLOOKUP(B561,Roster!L:L,Roster!N:N,XLOOKUP(D561,TicketsBreak!A:A,TicketsBreak!E:E,"",0),0)</f>
        <v/>
      </c>
      <c r="I561" s="316" t="str">
        <f t="array" ref="I561">XLOOKUP(B561,Roster!L:L,Roster!O:O,XLOOKUP(D561,TicketsBreak!A:A,TicketsBreak!F:F,"",0),0)</f>
        <v/>
      </c>
      <c r="J561" s="316" t="str">
        <f t="array" ref="J561">XLOOKUP(B561,Roster!L:L,Roster!P:P,XLOOKUP(D561,TicketsBreak!A:A,TicketsBreak!G:G,"",0),0)</f>
        <v/>
      </c>
      <c r="K561" s="310">
        <f t="shared" si="4"/>
        <v>46116</v>
      </c>
      <c r="L561" s="317" t="str">
        <f t="array" ref="L561">(XLOOKUP(D561,Roster!F:F,Roster!D:D,"",0))</f>
        <v/>
      </c>
      <c r="M561" s="317" t="str">
        <f t="array" ref="M561">XLOOKUP(D561,Roster!F:F,Roster!E:E)</f>
        <v>#N/A</v>
      </c>
      <c r="N561" s="317" t="str">
        <f t="shared" ref="N561:P561" si="572">LEFT(H561,5)</f>
        <v/>
      </c>
      <c r="O561" s="317" t="str">
        <f t="shared" si="572"/>
        <v/>
      </c>
      <c r="P561" s="317" t="str">
        <f t="shared" si="572"/>
        <v/>
      </c>
      <c r="Q561" s="318" t="str">
        <f t="shared" si="382"/>
        <v/>
      </c>
      <c r="R561" s="318" t="str">
        <f t="shared" si="383"/>
        <v/>
      </c>
      <c r="S561" s="318" t="str">
        <f t="shared" si="8"/>
        <v/>
      </c>
    </row>
    <row r="562">
      <c r="A562" s="14" t="str">
        <f t="shared" si="1"/>
        <v>C81846118</v>
      </c>
      <c r="B562" s="185">
        <f t="array" ref="B562">IF(F562="VL","",IF(F562="Free","Free",XLOOKUP(D562,Roster!T:T,Roster!S:S,"",0)))</f>
        <v>123</v>
      </c>
      <c r="C562" s="313">
        <v>46118.0</v>
      </c>
      <c r="D562" s="314" t="s">
        <v>9</v>
      </c>
      <c r="E562" s="307" t="str">
        <f t="array" ref="E562">(XLOOKUP(D562,Roster!F:F,Roster!B:B,"",0))</f>
        <v>Adriana Moncaleano</v>
      </c>
      <c r="F562" s="315" t="str">
        <f t="array" ref="F562">IF(B562=100,"Free",TEXT(XLOOKUP($D562,OperationVoice!$A:$A,OperationVoice!L:L,XLOOKUP($D562,OperationTickets!$A:$A,OperationTickets!L:L,"",0)),"hh:mm"))</f>
        <v>08:00</v>
      </c>
      <c r="G562" s="309">
        <f t="shared" si="3"/>
        <v>0.7083333333</v>
      </c>
      <c r="H562" s="316" t="str">
        <f t="array" ref="H562">XLOOKUP(B562,Roster!L:L,Roster!N:N,XLOOKUP(D562,TicketsBreak!A:A,TicketsBreak!E:E,"",0),0)</f>
        <v>09:45 - 10:00 </v>
      </c>
      <c r="I562" s="316" t="str">
        <f t="array" ref="I562">XLOOKUP(B562,Roster!L:L,Roster!O:O,XLOOKUP(D562,TicketsBreak!A:A,TicketsBreak!F:F,"",0),0)</f>
        <v>12:30 - 13:00</v>
      </c>
      <c r="J562" s="316" t="str">
        <f t="array" ref="J562">XLOOKUP(B562,Roster!L:L,Roster!P:P,XLOOKUP(D562,TicketsBreak!A:A,TicketsBreak!G:G,"",0),0)</f>
        <v>15:00 - 15:15</v>
      </c>
      <c r="K562" s="310">
        <f t="shared" si="4"/>
        <v>46118</v>
      </c>
      <c r="L562" s="317">
        <f t="array" ref="L562">(XLOOKUP(D562,Roster!F:F,Roster!D:D,"",0))</f>
        <v>23</v>
      </c>
      <c r="M562" s="317" t="str">
        <f t="array" ref="M562">XLOOKUP(D562,Roster!F:F,Roster!E:E)</f>
        <v>Voice</v>
      </c>
      <c r="N562" s="317" t="str">
        <f t="shared" ref="N562:P562" si="573">LEFT(H562,5)</f>
        <v>09:45</v>
      </c>
      <c r="O562" s="317" t="str">
        <f t="shared" si="573"/>
        <v>12:30</v>
      </c>
      <c r="P562" s="317" t="str">
        <f t="shared" si="573"/>
        <v>15:00</v>
      </c>
      <c r="Q562" s="318">
        <f t="shared" si="382"/>
        <v>46118.40625</v>
      </c>
      <c r="R562" s="318">
        <f t="shared" si="383"/>
        <v>46118.52083</v>
      </c>
      <c r="S562" s="318">
        <f t="shared" si="8"/>
        <v>46118.625</v>
      </c>
    </row>
    <row r="563">
      <c r="A563" s="14" t="str">
        <f t="shared" si="1"/>
        <v>C110746118</v>
      </c>
      <c r="B563" s="185">
        <f t="array" ref="B563">IF(F563="VL","",IF(F563="Free","Free",XLOOKUP(D563,Roster!T:T,Roster!S:S,"",0)))</f>
        <v>153</v>
      </c>
      <c r="C563" s="313">
        <v>46118.0</v>
      </c>
      <c r="D563" s="314" t="s">
        <v>10</v>
      </c>
      <c r="E563" s="307" t="str">
        <f t="array" ref="E563">(XLOOKUP(D563,Roster!F:F,Roster!B:B,"",0))</f>
        <v>Alejandro Malave</v>
      </c>
      <c r="F563" s="315" t="str">
        <f t="array" ref="F563">IF(B563=100,"Free",TEXT(XLOOKUP($D563,OperationVoice!$A:$A,OperationVoice!L:L,XLOOKUP($D563,OperationTickets!$A:$A,OperationTickets!L:L,"",0)),"hh:mm"))</f>
        <v>11:00</v>
      </c>
      <c r="G563" s="309">
        <f t="shared" si="3"/>
        <v>0.8333333333</v>
      </c>
      <c r="H563" s="316" t="str">
        <f t="array" ref="H563">XLOOKUP(B563,Roster!L:L,Roster!N:N,XLOOKUP(D563,TicketsBreak!A:A,TicketsBreak!E:E,"",0),0)</f>
        <v>12:45 - 13:00</v>
      </c>
      <c r="I563" s="316" t="str">
        <f t="array" ref="I563">XLOOKUP(B563,Roster!L:L,Roster!O:O,XLOOKUP(D563,TicketsBreak!A:A,TicketsBreak!F:F,"",0),0)</f>
        <v>15:00 - 15:30</v>
      </c>
      <c r="J563" s="316" t="str">
        <f t="array" ref="J563">XLOOKUP(B563,Roster!L:L,Roster!P:P,XLOOKUP(D563,TicketsBreak!A:A,TicketsBreak!G:G,"",0),0)</f>
        <v>17:45 - 18:00</v>
      </c>
      <c r="K563" s="310">
        <f t="shared" si="4"/>
        <v>46118</v>
      </c>
      <c r="L563" s="317">
        <f t="array" ref="L563">(XLOOKUP(D563,Roster!F:F,Roster!D:D,"",0))</f>
        <v>36</v>
      </c>
      <c r="M563" s="317" t="str">
        <f t="array" ref="M563">XLOOKUP(D563,Roster!F:F,Roster!E:E)</f>
        <v>Voice</v>
      </c>
      <c r="N563" s="317" t="str">
        <f t="shared" ref="N563:P563" si="574">LEFT(H563,5)</f>
        <v>12:45</v>
      </c>
      <c r="O563" s="317" t="str">
        <f t="shared" si="574"/>
        <v>15:00</v>
      </c>
      <c r="P563" s="317" t="str">
        <f t="shared" si="574"/>
        <v>17:45</v>
      </c>
      <c r="Q563" s="318">
        <f t="shared" si="382"/>
        <v>46118.53125</v>
      </c>
      <c r="R563" s="318">
        <f t="shared" si="383"/>
        <v>46118.625</v>
      </c>
      <c r="S563" s="318">
        <f t="shared" si="8"/>
        <v>46118.73958</v>
      </c>
    </row>
    <row r="564">
      <c r="A564" s="14" t="str">
        <f t="shared" si="1"/>
        <v>C69946118</v>
      </c>
      <c r="B564" s="185" t="str">
        <f t="array" ref="B564">IF(F564="VL","",IF(F564="Free","Free",XLOOKUP(D564,Roster!T:T,Roster!S:S,"",0)))</f>
        <v/>
      </c>
      <c r="C564" s="313">
        <v>46118.0</v>
      </c>
      <c r="D564" s="314" t="s">
        <v>137</v>
      </c>
      <c r="E564" s="307" t="str">
        <f t="array" ref="E564">(XLOOKUP(D564,Roster!F:F,Roster!B:B,"",0))</f>
        <v>Alexa Arenas</v>
      </c>
      <c r="F564" s="315" t="str">
        <f t="array" ref="F564">IF(B564=100,"Free",TEXT(XLOOKUP($D564,OperationVoice!$A:$A,OperationVoice!L:L,XLOOKUP($D564,OperationTickets!$A:$A,OperationTickets!L:L,"",0)),"hh:mm"))</f>
        <v>08:00</v>
      </c>
      <c r="G564" s="309">
        <f t="shared" si="3"/>
        <v>0.7083333333</v>
      </c>
      <c r="H564" s="316">
        <f t="array" ref="H564">XLOOKUP(B564,Roster!L:L,Roster!N:N,XLOOKUP(D564,TicketsBreak!A:A,TicketsBreak!E:E,"",0),0)</f>
        <v>0.40625</v>
      </c>
      <c r="I564" s="316">
        <f t="array" ref="I564">XLOOKUP(B564,Roster!L:L,Roster!O:O,XLOOKUP(D564,TicketsBreak!A:A,TicketsBreak!F:F,"",0),0)</f>
        <v>0.5</v>
      </c>
      <c r="J564" s="316">
        <f t="array" ref="J564">XLOOKUP(B564,Roster!L:L,Roster!P:P,XLOOKUP(D564,TicketsBreak!A:A,TicketsBreak!G:G,"",0),0)</f>
        <v>0.65625</v>
      </c>
      <c r="K564" s="310">
        <f t="shared" si="4"/>
        <v>46118</v>
      </c>
      <c r="L564" s="317">
        <f t="array" ref="L564">(XLOOKUP(D564,Roster!F:F,Roster!D:D,"",0))</f>
        <v>5</v>
      </c>
      <c r="M564" s="317" t="str">
        <f t="array" ref="M564">XLOOKUP(D564,Roster!F:F,Roster!E:E)</f>
        <v>Tickets</v>
      </c>
      <c r="N564" s="317" t="str">
        <f t="shared" ref="N564:P564" si="575">LEFT(H564,5)</f>
        <v>09:45</v>
      </c>
      <c r="O564" s="317" t="str">
        <f t="shared" si="575"/>
        <v>12:00</v>
      </c>
      <c r="P564" s="317" t="str">
        <f t="shared" si="575"/>
        <v>15:45</v>
      </c>
      <c r="Q564" s="318">
        <f t="shared" si="382"/>
        <v>46118.40625</v>
      </c>
      <c r="R564" s="318">
        <f t="shared" si="383"/>
        <v>46118.5</v>
      </c>
      <c r="S564" s="318">
        <f t="shared" si="8"/>
        <v>46118.65625</v>
      </c>
    </row>
    <row r="565">
      <c r="A565" s="14" t="str">
        <f t="shared" si="1"/>
        <v>C157046118</v>
      </c>
      <c r="B565" s="185">
        <f t="array" ref="B565">IF(F565="VL","",IF(F565="Free","Free",XLOOKUP(D565,Roster!T:T,Roster!S:S,"",0)))</f>
        <v>123</v>
      </c>
      <c r="C565" s="313">
        <v>46118.0</v>
      </c>
      <c r="D565" s="314" t="s">
        <v>11</v>
      </c>
      <c r="E565" s="307" t="str">
        <f t="array" ref="E565">(XLOOKUP(D565,Roster!F:F,Roster!B:B,"",0))</f>
        <v>Alexander Bartoli</v>
      </c>
      <c r="F565" s="315" t="str">
        <f t="array" ref="F565">IF(B565=100,"Free",TEXT(XLOOKUP($D565,OperationVoice!$A:$A,OperationVoice!L:L,XLOOKUP($D565,OperationTickets!$A:$A,OperationTickets!L:L,"",0)),"hh:mm"))</f>
        <v>08:00</v>
      </c>
      <c r="G565" s="309">
        <f t="shared" si="3"/>
        <v>0.7083333333</v>
      </c>
      <c r="H565" s="316" t="str">
        <f t="array" ref="H565">XLOOKUP(B565,Roster!L:L,Roster!N:N,XLOOKUP(D565,TicketsBreak!A:A,TicketsBreak!E:E,"",0),0)</f>
        <v>09:45 - 10:00 </v>
      </c>
      <c r="I565" s="316" t="str">
        <f t="array" ref="I565">XLOOKUP(B565,Roster!L:L,Roster!O:O,XLOOKUP(D565,TicketsBreak!A:A,TicketsBreak!F:F,"",0),0)</f>
        <v>12:30 - 13:00</v>
      </c>
      <c r="J565" s="316" t="str">
        <f t="array" ref="J565">XLOOKUP(B565,Roster!L:L,Roster!P:P,XLOOKUP(D565,TicketsBreak!A:A,TicketsBreak!G:G,"",0),0)</f>
        <v>15:00 - 15:15</v>
      </c>
      <c r="K565" s="310">
        <f t="shared" si="4"/>
        <v>46118</v>
      </c>
      <c r="L565" s="317">
        <f t="array" ref="L565">(XLOOKUP(D565,Roster!F:F,Roster!D:D,"",0))</f>
        <v>38</v>
      </c>
      <c r="M565" s="317" t="str">
        <f t="array" ref="M565">XLOOKUP(D565,Roster!F:F,Roster!E:E)</f>
        <v>Voice</v>
      </c>
      <c r="N565" s="317" t="str">
        <f t="shared" ref="N565:P565" si="576">LEFT(H565,5)</f>
        <v>09:45</v>
      </c>
      <c r="O565" s="317" t="str">
        <f t="shared" si="576"/>
        <v>12:30</v>
      </c>
      <c r="P565" s="317" t="str">
        <f t="shared" si="576"/>
        <v>15:00</v>
      </c>
      <c r="Q565" s="318">
        <f t="shared" si="382"/>
        <v>46118.40625</v>
      </c>
      <c r="R565" s="318">
        <f t="shared" si="383"/>
        <v>46118.52083</v>
      </c>
      <c r="S565" s="318">
        <f t="shared" si="8"/>
        <v>46118.625</v>
      </c>
    </row>
    <row r="566">
      <c r="A566" s="14" t="str">
        <f t="shared" si="1"/>
        <v>C93546118</v>
      </c>
      <c r="B566" s="185" t="str">
        <f t="array" ref="B566">IF(F566="VL","",IF(F566="Free","Free",XLOOKUP(D566,Roster!T:T,Roster!S:S,"",0)))</f>
        <v/>
      </c>
      <c r="C566" s="313">
        <v>46118.0</v>
      </c>
      <c r="D566" s="314" t="s">
        <v>153</v>
      </c>
      <c r="E566" s="307" t="str">
        <f t="array" ref="E566">(XLOOKUP(D566,Roster!F:F,Roster!B:B,"",0))</f>
        <v>Alexis Arias</v>
      </c>
      <c r="F566" s="315" t="str">
        <f t="array" ref="F566">IF(B566=100,"Free",TEXT(XLOOKUP($D566,OperationVoice!$A:$A,OperationVoice!L:L,XLOOKUP($D566,OperationTickets!$A:$A,OperationTickets!L:L,"",0)),"hh:mm"))</f>
        <v>07:30</v>
      </c>
      <c r="G566" s="309">
        <f t="shared" si="3"/>
        <v>0.6875</v>
      </c>
      <c r="H566" s="316">
        <f t="array" ref="H566">XLOOKUP(B566,Roster!L:L,Roster!N:N,XLOOKUP(D566,TicketsBreak!A:A,TicketsBreak!E:E,"",0),0)</f>
        <v>0.4270833333</v>
      </c>
      <c r="I566" s="316">
        <f t="array" ref="I566">XLOOKUP(B566,Roster!L:L,Roster!O:O,XLOOKUP(D566,TicketsBreak!A:A,TicketsBreak!F:F,"",0),0)</f>
        <v>0.53125</v>
      </c>
      <c r="J566" s="316">
        <f t="array" ref="J566">XLOOKUP(B566,Roster!L:L,Roster!P:P,XLOOKUP(D566,TicketsBreak!A:A,TicketsBreak!G:G,"",0),0)</f>
        <v>0.6458333333</v>
      </c>
      <c r="K566" s="310">
        <f t="shared" si="4"/>
        <v>46118</v>
      </c>
      <c r="L566" s="317">
        <f t="array" ref="L566">(XLOOKUP(D566,Roster!F:F,Roster!D:D,"",0))</f>
        <v>12</v>
      </c>
      <c r="M566" s="317" t="str">
        <f t="array" ref="M566">XLOOKUP(D566,Roster!F:F,Roster!E:E)</f>
        <v>Tickets</v>
      </c>
      <c r="N566" s="317" t="str">
        <f t="shared" ref="N566:P566" si="577">LEFT(H566,5)</f>
        <v>10:15</v>
      </c>
      <c r="O566" s="317" t="str">
        <f t="shared" si="577"/>
        <v>12:45</v>
      </c>
      <c r="P566" s="317" t="str">
        <f t="shared" si="577"/>
        <v>15:30</v>
      </c>
      <c r="Q566" s="318">
        <f t="shared" si="382"/>
        <v>46118.42708</v>
      </c>
      <c r="R566" s="318">
        <f t="shared" si="383"/>
        <v>46118.53125</v>
      </c>
      <c r="S566" s="318">
        <f t="shared" si="8"/>
        <v>46118.64583</v>
      </c>
    </row>
    <row r="567">
      <c r="A567" s="14" t="str">
        <f t="shared" si="1"/>
        <v>C72746118</v>
      </c>
      <c r="B567" s="185" t="str">
        <f t="array" ref="B567">IF(F567="VL","",IF(F567="Free","Free",XLOOKUP(D567,Roster!T:T,Roster!S:S,"",0)))</f>
        <v/>
      </c>
      <c r="C567" s="313">
        <v>46118.0</v>
      </c>
      <c r="D567" s="314" t="s">
        <v>154</v>
      </c>
      <c r="E567" s="307" t="str">
        <f t="array" ref="E567">(XLOOKUP(D567,Roster!F:F,Roster!B:B,"",0))</f>
        <v>Ana Moreno</v>
      </c>
      <c r="F567" s="315" t="str">
        <f t="array" ref="F567">IF(B567=100,"Free",TEXT(XLOOKUP($D567,OperationVoice!$A:$A,OperationVoice!L:L,XLOOKUP($D567,OperationTickets!$A:$A,OperationTickets!L:L,"",0)),"hh:mm"))</f>
        <v>VL</v>
      </c>
      <c r="G567" s="309" t="str">
        <f t="shared" si="3"/>
        <v>VL</v>
      </c>
      <c r="H567" s="316">
        <f t="array" ref="H567">XLOOKUP(B567,Roster!L:L,Roster!N:N,XLOOKUP(D567,TicketsBreak!A:A,TicketsBreak!E:E,"",0),0)</f>
        <v>0.4166666667</v>
      </c>
      <c r="I567" s="316">
        <f t="array" ref="I567">XLOOKUP(B567,Roster!L:L,Roster!O:O,XLOOKUP(D567,TicketsBreak!A:A,TicketsBreak!F:F,"",0),0)</f>
        <v>0.5208333333</v>
      </c>
      <c r="J567" s="316">
        <f t="array" ref="J567">XLOOKUP(B567,Roster!L:L,Roster!P:P,XLOOKUP(D567,TicketsBreak!A:A,TicketsBreak!G:G,"",0),0)</f>
        <v>0.65625</v>
      </c>
      <c r="K567" s="310">
        <f t="shared" si="4"/>
        <v>46118</v>
      </c>
      <c r="L567" s="317">
        <f t="array" ref="L567">(XLOOKUP(D567,Roster!F:F,Roster!D:D,"",0))</f>
        <v>7</v>
      </c>
      <c r="M567" s="317" t="str">
        <f t="array" ref="M567">XLOOKUP(D567,Roster!F:F,Roster!E:E)</f>
        <v>Tickets</v>
      </c>
      <c r="N567" s="317" t="str">
        <f t="shared" ref="N567:P567" si="578">LEFT(H567,5)</f>
        <v>10:00</v>
      </c>
      <c r="O567" s="317" t="str">
        <f t="shared" si="578"/>
        <v>12:30</v>
      </c>
      <c r="P567" s="317" t="str">
        <f t="shared" si="578"/>
        <v>15:45</v>
      </c>
      <c r="Q567" s="318">
        <f t="shared" si="382"/>
        <v>46118.41667</v>
      </c>
      <c r="R567" s="318">
        <f t="shared" si="383"/>
        <v>46118.52083</v>
      </c>
      <c r="S567" s="318">
        <f t="shared" si="8"/>
        <v>46118.65625</v>
      </c>
    </row>
    <row r="568">
      <c r="A568" s="14" t="str">
        <f t="shared" si="1"/>
        <v>C157446118</v>
      </c>
      <c r="B568" s="185">
        <f t="array" ref="B568">IF(F568="VL","",IF(F568="Free","Free",XLOOKUP(D568,Roster!T:T,Roster!S:S,"",0)))</f>
        <v>124</v>
      </c>
      <c r="C568" s="313">
        <v>46118.0</v>
      </c>
      <c r="D568" s="314" t="s">
        <v>12</v>
      </c>
      <c r="E568" s="307" t="str">
        <f t="array" ref="E568">(XLOOKUP(D568,Roster!F:F,Roster!B:B,"",0))</f>
        <v>Ana Quintero</v>
      </c>
      <c r="F568" s="315" t="str">
        <f t="array" ref="F568">IF(B568=100,"Free",TEXT(XLOOKUP($D568,OperationVoice!$A:$A,OperationVoice!L:L,XLOOKUP($D568,OperationTickets!$A:$A,OperationTickets!L:L,"",0)),"hh:mm"))</f>
        <v>08:00</v>
      </c>
      <c r="G568" s="309">
        <f t="shared" si="3"/>
        <v>0.7083333333</v>
      </c>
      <c r="H568" s="316" t="str">
        <f t="array" ref="H568">XLOOKUP(B568,Roster!L:L,Roster!N:N,XLOOKUP(D568,TicketsBreak!A:A,TicketsBreak!E:E,"",0),0)</f>
        <v>10:00 - 10:15</v>
      </c>
      <c r="I568" s="316" t="str">
        <f t="array" ref="I568">XLOOKUP(B568,Roster!L:L,Roster!O:O,XLOOKUP(D568,TicketsBreak!A:A,TicketsBreak!F:F,"",0),0)</f>
        <v>13:00 - 13:30</v>
      </c>
      <c r="J568" s="316" t="str">
        <f t="array" ref="J568">XLOOKUP(B568,Roster!L:L,Roster!P:P,XLOOKUP(D568,TicketsBreak!A:A,TicketsBreak!G:G,"",0),0)</f>
        <v>15:30 - 15:45</v>
      </c>
      <c r="K568" s="310">
        <f t="shared" si="4"/>
        <v>46118</v>
      </c>
      <c r="L568" s="317">
        <f t="array" ref="L568">(XLOOKUP(D568,Roster!F:F,Roster!D:D,"",0))</f>
        <v>38</v>
      </c>
      <c r="M568" s="317" t="str">
        <f t="array" ref="M568">XLOOKUP(D568,Roster!F:F,Roster!E:E)</f>
        <v>Voice</v>
      </c>
      <c r="N568" s="317" t="str">
        <f t="shared" ref="N568:P568" si="579">LEFT(H568,5)</f>
        <v>10:00</v>
      </c>
      <c r="O568" s="317" t="str">
        <f t="shared" si="579"/>
        <v>13:00</v>
      </c>
      <c r="P568" s="317" t="str">
        <f t="shared" si="579"/>
        <v>15:30</v>
      </c>
      <c r="Q568" s="318">
        <f t="shared" si="382"/>
        <v>46118.41667</v>
      </c>
      <c r="R568" s="318">
        <f t="shared" si="383"/>
        <v>46118.54167</v>
      </c>
      <c r="S568" s="318">
        <f t="shared" si="8"/>
        <v>46118.64583</v>
      </c>
    </row>
    <row r="569">
      <c r="A569" s="14" t="str">
        <f t="shared" si="1"/>
        <v>C46946118</v>
      </c>
      <c r="B569" s="185" t="str">
        <f t="array" ref="B569">IF(F569="VL","",IF(F569="Free","Free",XLOOKUP(D569,Roster!T:T,Roster!S:S,"",0)))</f>
        <v/>
      </c>
      <c r="C569" s="313">
        <v>46118.0</v>
      </c>
      <c r="D569" s="314" t="s">
        <v>171</v>
      </c>
      <c r="E569" s="307" t="str">
        <f t="array" ref="E569">(XLOOKUP(D569,Roster!F:F,Roster!B:B,"",0))</f>
        <v>Ana Ruiz</v>
      </c>
      <c r="F569" s="315" t="str">
        <f t="array" ref="F569">IF(B569=100,"Free",TEXT(XLOOKUP($D569,OperationVoice!$A:$A,OperationVoice!L:L,XLOOKUP($D569,OperationTickets!$A:$A,OperationTickets!L:L,"",0)),"hh:mm"))</f>
        <v>08:00</v>
      </c>
      <c r="G569" s="309">
        <f t="shared" si="3"/>
        <v>0.7083333333</v>
      </c>
      <c r="H569" s="316">
        <f t="array" ref="H569">XLOOKUP(B569,Roster!L:L,Roster!N:N,XLOOKUP(D569,TicketsBreak!A:A,TicketsBreak!E:E,"",0),0)</f>
        <v>0.3854166667</v>
      </c>
      <c r="I569" s="316">
        <f t="array" ref="I569">XLOOKUP(B569,Roster!L:L,Roster!O:O,XLOOKUP(D569,TicketsBreak!A:A,TicketsBreak!F:F,"",0),0)</f>
        <v>0.5</v>
      </c>
      <c r="J569" s="316">
        <f t="array" ref="J569">XLOOKUP(B569,Roster!L:L,Roster!P:P,XLOOKUP(D569,TicketsBreak!A:A,TicketsBreak!G:G,"",0),0)</f>
        <v>0.6041666667</v>
      </c>
      <c r="K569" s="310">
        <f t="shared" si="4"/>
        <v>46118</v>
      </c>
      <c r="L569" s="317">
        <f t="array" ref="L569">(XLOOKUP(D569,Roster!F:F,Roster!D:D,"",0))</f>
        <v>3</v>
      </c>
      <c r="M569" s="317" t="str">
        <f t="array" ref="M569">XLOOKUP(D569,Roster!F:F,Roster!E:E)</f>
        <v>Tickets</v>
      </c>
      <c r="N569" s="317" t="str">
        <f t="shared" ref="N569:P569" si="580">LEFT(H569,5)</f>
        <v>09:15</v>
      </c>
      <c r="O569" s="317" t="str">
        <f t="shared" si="580"/>
        <v>12:00</v>
      </c>
      <c r="P569" s="317" t="str">
        <f t="shared" si="580"/>
        <v>14:30</v>
      </c>
      <c r="Q569" s="318">
        <f t="shared" si="382"/>
        <v>46118.38542</v>
      </c>
      <c r="R569" s="318">
        <f t="shared" si="383"/>
        <v>46118.5</v>
      </c>
      <c r="S569" s="318">
        <f t="shared" si="8"/>
        <v>46118.60417</v>
      </c>
    </row>
    <row r="570">
      <c r="A570" s="14" t="str">
        <f t="shared" si="1"/>
        <v>C155446118</v>
      </c>
      <c r="B570" s="185">
        <f t="array" ref="B570">IF(F570="VL","",IF(F570="Free","Free",XLOOKUP(D570,Roster!T:T,Roster!S:S,"",0)))</f>
        <v>131</v>
      </c>
      <c r="C570" s="313">
        <v>46118.0</v>
      </c>
      <c r="D570" s="314" t="s">
        <v>13</v>
      </c>
      <c r="E570" s="307" t="str">
        <f t="array" ref="E570">(XLOOKUP(D570,Roster!F:F,Roster!B:B,"",0))</f>
        <v>Andres Lopez</v>
      </c>
      <c r="F570" s="315" t="str">
        <f t="array" ref="F570">IF(B570=100,"Free",TEXT(XLOOKUP($D570,OperationVoice!$A:$A,OperationVoice!L:L,XLOOKUP($D570,OperationTickets!$A:$A,OperationTickets!L:L,"",0)),"hh:mm"))</f>
        <v>09:00</v>
      </c>
      <c r="G570" s="309">
        <f t="shared" si="3"/>
        <v>0.75</v>
      </c>
      <c r="H570" s="316" t="str">
        <f t="array" ref="H570">XLOOKUP(B570,Roster!L:L,Roster!N:N,XLOOKUP(D570,TicketsBreak!A:A,TicketsBreak!E:E,"",0),0)</f>
        <v>10:15 - 10:30</v>
      </c>
      <c r="I570" s="316" t="str">
        <f t="array" ref="I570">XLOOKUP(B570,Roster!L:L,Roster!O:O,XLOOKUP(D570,TicketsBreak!A:A,TicketsBreak!F:F,"",0),0)</f>
        <v>12:30 - 13:00</v>
      </c>
      <c r="J570" s="316" t="str">
        <f t="array" ref="J570">XLOOKUP(B570,Roster!L:L,Roster!P:P,XLOOKUP(D570,TicketsBreak!A:A,TicketsBreak!G:G,"",0),0)</f>
        <v>15:15 - 15:30</v>
      </c>
      <c r="K570" s="310">
        <f t="shared" si="4"/>
        <v>46118</v>
      </c>
      <c r="L570" s="317">
        <f t="array" ref="L570">(XLOOKUP(D570,Roster!F:F,Roster!D:D,"",0))</f>
        <v>37</v>
      </c>
      <c r="M570" s="317" t="str">
        <f t="array" ref="M570">XLOOKUP(D570,Roster!F:F,Roster!E:E)</f>
        <v>Voice</v>
      </c>
      <c r="N570" s="317" t="str">
        <f t="shared" ref="N570:P570" si="581">LEFT(H570,5)</f>
        <v>10:15</v>
      </c>
      <c r="O570" s="317" t="str">
        <f t="shared" si="581"/>
        <v>12:30</v>
      </c>
      <c r="P570" s="317" t="str">
        <f t="shared" si="581"/>
        <v>15:15</v>
      </c>
      <c r="Q570" s="318">
        <f t="shared" si="382"/>
        <v>46118.42708</v>
      </c>
      <c r="R570" s="318">
        <f t="shared" si="383"/>
        <v>46118.52083</v>
      </c>
      <c r="S570" s="318">
        <f t="shared" si="8"/>
        <v>46118.63542</v>
      </c>
    </row>
    <row r="571">
      <c r="A571" s="14" t="str">
        <f t="shared" si="1"/>
        <v>C156746118</v>
      </c>
      <c r="B571" s="185">
        <f t="array" ref="B571">IF(F571="VL","",IF(F571="Free","Free",XLOOKUP(D571,Roster!T:T,Roster!S:S,"",0)))</f>
        <v>125</v>
      </c>
      <c r="C571" s="313">
        <v>46118.0</v>
      </c>
      <c r="D571" s="314" t="s">
        <v>14</v>
      </c>
      <c r="E571" s="307" t="str">
        <f t="array" ref="E571">(XLOOKUP(D571,Roster!F:F,Roster!B:B,"",0))</f>
        <v>Andres Salazar</v>
      </c>
      <c r="F571" s="315" t="str">
        <f t="array" ref="F571">IF(B571=100,"Free",TEXT(XLOOKUP($D571,OperationVoice!$A:$A,OperationVoice!L:L,XLOOKUP($D571,OperationTickets!$A:$A,OperationTickets!L:L,"",0)),"hh:mm"))</f>
        <v>08:00</v>
      </c>
      <c r="G571" s="309">
        <f t="shared" si="3"/>
        <v>0.7083333333</v>
      </c>
      <c r="H571" s="316" t="str">
        <f t="array" ref="H571">XLOOKUP(B571,Roster!L:L,Roster!N:N,XLOOKUP(D571,TicketsBreak!A:A,TicketsBreak!E:E,"",0),0)</f>
        <v>10:30 - 10:45</v>
      </c>
      <c r="I571" s="316" t="str">
        <f t="array" ref="I571">XLOOKUP(B571,Roster!L:L,Roster!O:O,XLOOKUP(D571,TicketsBreak!A:A,TicketsBreak!F:F,"",0),0)</f>
        <v>13:30 - 14:00</v>
      </c>
      <c r="J571" s="316" t="str">
        <f t="array" ref="J571">XLOOKUP(B571,Roster!L:L,Roster!P:P,XLOOKUP(D571,TicketsBreak!A:A,TicketsBreak!G:G,"",0),0)</f>
        <v>15:45 - 16:00</v>
      </c>
      <c r="K571" s="310">
        <f t="shared" si="4"/>
        <v>46118</v>
      </c>
      <c r="L571" s="317">
        <f t="array" ref="L571">(XLOOKUP(D571,Roster!F:F,Roster!D:D,"",0))</f>
        <v>38</v>
      </c>
      <c r="M571" s="317" t="str">
        <f t="array" ref="M571">XLOOKUP(D571,Roster!F:F,Roster!E:E)</f>
        <v>Voice</v>
      </c>
      <c r="N571" s="317" t="str">
        <f t="shared" ref="N571:P571" si="582">LEFT(H571,5)</f>
        <v>10:30</v>
      </c>
      <c r="O571" s="317" t="str">
        <f t="shared" si="582"/>
        <v>13:30</v>
      </c>
      <c r="P571" s="317" t="str">
        <f t="shared" si="582"/>
        <v>15:45</v>
      </c>
      <c r="Q571" s="318">
        <f t="shared" si="382"/>
        <v>46118.4375</v>
      </c>
      <c r="R571" s="318">
        <f t="shared" si="383"/>
        <v>46118.5625</v>
      </c>
      <c r="S571" s="318">
        <f t="shared" si="8"/>
        <v>46118.65625</v>
      </c>
    </row>
    <row r="572">
      <c r="A572" s="14" t="str">
        <f t="shared" si="1"/>
        <v>C134846118</v>
      </c>
      <c r="B572" s="185">
        <f t="array" ref="B572">IF(F572="VL","",IF(F572="Free","Free",XLOOKUP(D572,Roster!T:T,Roster!S:S,"",0)))</f>
        <v>124</v>
      </c>
      <c r="C572" s="313">
        <v>46118.0</v>
      </c>
      <c r="D572" s="314" t="s">
        <v>15</v>
      </c>
      <c r="E572" s="307" t="str">
        <f t="array" ref="E572">(XLOOKUP(D572,Roster!F:F,Roster!B:B,"",0))</f>
        <v>Angelo Zapata</v>
      </c>
      <c r="F572" s="315" t="str">
        <f t="array" ref="F572">IF(B572=100,"Free",TEXT(XLOOKUP($D572,OperationVoice!$A:$A,OperationVoice!L:L,XLOOKUP($D572,OperationTickets!$A:$A,OperationTickets!L:L,"",0)),"hh:mm"))</f>
        <v>08:00</v>
      </c>
      <c r="G572" s="309">
        <f t="shared" si="3"/>
        <v>0.7083333333</v>
      </c>
      <c r="H572" s="316" t="str">
        <f t="array" ref="H572">XLOOKUP(B572,Roster!L:L,Roster!N:N,XLOOKUP(D572,TicketsBreak!A:A,TicketsBreak!E:E,"",0),0)</f>
        <v>10:00 - 10:15</v>
      </c>
      <c r="I572" s="316" t="str">
        <f t="array" ref="I572">XLOOKUP(B572,Roster!L:L,Roster!O:O,XLOOKUP(D572,TicketsBreak!A:A,TicketsBreak!F:F,"",0),0)</f>
        <v>13:00 - 13:30</v>
      </c>
      <c r="J572" s="316" t="str">
        <f t="array" ref="J572">XLOOKUP(B572,Roster!L:L,Roster!P:P,XLOOKUP(D572,TicketsBreak!A:A,TicketsBreak!G:G,"",0),0)</f>
        <v>15:30 - 15:45</v>
      </c>
      <c r="K572" s="310">
        <f t="shared" si="4"/>
        <v>46118</v>
      </c>
      <c r="L572" s="317">
        <f t="array" ref="L572">(XLOOKUP(D572,Roster!F:F,Roster!D:D,"",0))</f>
        <v>30</v>
      </c>
      <c r="M572" s="317" t="str">
        <f t="array" ref="M572">XLOOKUP(D572,Roster!F:F,Roster!E:E)</f>
        <v>Voice</v>
      </c>
      <c r="N572" s="317" t="str">
        <f t="shared" ref="N572:P572" si="583">LEFT(H572,5)</f>
        <v>10:00</v>
      </c>
      <c r="O572" s="317" t="str">
        <f t="shared" si="583"/>
        <v>13:00</v>
      </c>
      <c r="P572" s="317" t="str">
        <f t="shared" si="583"/>
        <v>15:30</v>
      </c>
      <c r="Q572" s="318">
        <f t="shared" si="382"/>
        <v>46118.41667</v>
      </c>
      <c r="R572" s="318">
        <f t="shared" si="383"/>
        <v>46118.54167</v>
      </c>
      <c r="S572" s="318">
        <f t="shared" si="8"/>
        <v>46118.64583</v>
      </c>
    </row>
    <row r="573">
      <c r="A573" s="14" t="str">
        <f t="shared" si="1"/>
        <v>C116746118</v>
      </c>
      <c r="B573" s="185" t="str">
        <f t="array" ref="B573">IF(F573="VL","",IF(F573="Free","Free",XLOOKUP(D573,Roster!T:T,Roster!S:S,"",0)))</f>
        <v/>
      </c>
      <c r="C573" s="313">
        <v>46118.0</v>
      </c>
      <c r="D573" s="314" t="s">
        <v>172</v>
      </c>
      <c r="E573" s="307" t="str">
        <f t="array" ref="E573">(XLOOKUP(D573,Roster!F:F,Roster!B:B,"",0))</f>
        <v>Angie Rua</v>
      </c>
      <c r="F573" s="315" t="str">
        <f t="array" ref="F573">IF(B573=100,"Free",TEXT(XLOOKUP($D573,OperationVoice!$A:$A,OperationVoice!L:L,XLOOKUP($D573,OperationTickets!$A:$A,OperationTickets!L:L,"",0)),"hh:mm"))</f>
        <v>12:00</v>
      </c>
      <c r="G573" s="309">
        <f t="shared" si="3"/>
        <v>0.875</v>
      </c>
      <c r="H573" s="316" t="str">
        <f t="array" ref="H573">XLOOKUP(B573,Roster!L:L,Roster!N:N,XLOOKUP(D573,TicketsBreak!A:A,TicketsBreak!E:E,"",0),0)</f>
        <v/>
      </c>
      <c r="I573" s="316" t="str">
        <f t="array" ref="I573">XLOOKUP(B573,Roster!L:L,Roster!O:O,XLOOKUP(D573,TicketsBreak!A:A,TicketsBreak!F:F,"",0),0)</f>
        <v/>
      </c>
      <c r="J573" s="316" t="str">
        <f t="array" ref="J573">XLOOKUP(B573,Roster!L:L,Roster!P:P,XLOOKUP(D573,TicketsBreak!A:A,TicketsBreak!G:G,"",0),0)</f>
        <v/>
      </c>
      <c r="K573" s="310">
        <f t="shared" si="4"/>
        <v>46118</v>
      </c>
      <c r="L573" s="317">
        <f t="array" ref="L573">(XLOOKUP(D573,Roster!F:F,Roster!D:D,"",0))</f>
        <v>24</v>
      </c>
      <c r="M573" s="317" t="str">
        <f t="array" ref="M573">XLOOKUP(D573,Roster!F:F,Roster!E:E)</f>
        <v>Tickets</v>
      </c>
      <c r="N573" s="317" t="str">
        <f t="shared" ref="N573:P573" si="584">LEFT(H573,5)</f>
        <v/>
      </c>
      <c r="O573" s="317" t="str">
        <f t="shared" si="584"/>
        <v/>
      </c>
      <c r="P573" s="317" t="str">
        <f t="shared" si="584"/>
        <v/>
      </c>
      <c r="Q573" s="318" t="str">
        <f t="shared" si="382"/>
        <v/>
      </c>
      <c r="R573" s="318" t="str">
        <f t="shared" si="383"/>
        <v/>
      </c>
      <c r="S573" s="318" t="str">
        <f t="shared" si="8"/>
        <v/>
      </c>
    </row>
    <row r="574">
      <c r="A574" s="14" t="str">
        <f t="shared" si="1"/>
        <v>C157946118</v>
      </c>
      <c r="B574" s="185">
        <f t="array" ref="B574">IF(F574="VL","",IF(F574="Free","Free",XLOOKUP(D574,Roster!T:T,Roster!S:S,"",0)))</f>
        <v>126</v>
      </c>
      <c r="C574" s="313">
        <v>46118.0</v>
      </c>
      <c r="D574" s="314" t="s">
        <v>16</v>
      </c>
      <c r="E574" s="307" t="str">
        <f t="array" ref="E574">(XLOOKUP(D574,Roster!F:F,Roster!B:B,"",0))</f>
        <v>Anibal Munoz</v>
      </c>
      <c r="F574" s="315" t="str">
        <f t="array" ref="F574">IF(B574=100,"Free",TEXT(XLOOKUP($D574,OperationVoice!$A:$A,OperationVoice!L:L,XLOOKUP($D574,OperationTickets!$A:$A,OperationTickets!L:L,"",0)),"hh:mm"))</f>
        <v>08:00</v>
      </c>
      <c r="G574" s="309">
        <f t="shared" si="3"/>
        <v>0.7083333333</v>
      </c>
      <c r="H574" s="316" t="str">
        <f t="array" ref="H574">XLOOKUP(B574,Roster!L:L,Roster!N:N,XLOOKUP(D574,TicketsBreak!A:A,TicketsBreak!E:E,"",0),0)</f>
        <v>10:45 - 11:00</v>
      </c>
      <c r="I574" s="316" t="str">
        <f t="array" ref="I574">XLOOKUP(B574,Roster!L:L,Roster!O:O,XLOOKUP(D574,TicketsBreak!A:A,TicketsBreak!F:F,"",0),0)</f>
        <v>14:00 - 14:30</v>
      </c>
      <c r="J574" s="316" t="str">
        <f t="array" ref="J574">XLOOKUP(B574,Roster!L:L,Roster!P:P,XLOOKUP(D574,TicketsBreak!A:A,TicketsBreak!G:G,"",0),0)</f>
        <v>15:45 - 16:00</v>
      </c>
      <c r="K574" s="310">
        <f t="shared" si="4"/>
        <v>46118</v>
      </c>
      <c r="L574" s="317">
        <f t="array" ref="L574">(XLOOKUP(D574,Roster!F:F,Roster!D:D,"",0))</f>
        <v>38</v>
      </c>
      <c r="M574" s="317" t="str">
        <f t="array" ref="M574">XLOOKUP(D574,Roster!F:F,Roster!E:E)</f>
        <v>Voice</v>
      </c>
      <c r="N574" s="317" t="str">
        <f t="shared" ref="N574:P574" si="585">LEFT(H574,5)</f>
        <v>10:45</v>
      </c>
      <c r="O574" s="317" t="str">
        <f t="shared" si="585"/>
        <v>14:00</v>
      </c>
      <c r="P574" s="317" t="str">
        <f t="shared" si="585"/>
        <v>15:45</v>
      </c>
      <c r="Q574" s="318">
        <f t="shared" si="382"/>
        <v>46118.44792</v>
      </c>
      <c r="R574" s="318">
        <f t="shared" si="383"/>
        <v>46118.58333</v>
      </c>
      <c r="S574" s="318">
        <f t="shared" si="8"/>
        <v>46118.65625</v>
      </c>
    </row>
    <row r="575">
      <c r="A575" s="14" t="str">
        <f t="shared" si="1"/>
        <v>C08046118</v>
      </c>
      <c r="B575" s="185" t="str">
        <f t="array" ref="B575">IF(F575="VL","",IF(F575="Free","Free",XLOOKUP(D575,Roster!T:T,Roster!S:S,"",0)))</f>
        <v/>
      </c>
      <c r="C575" s="313">
        <v>46118.0</v>
      </c>
      <c r="D575" s="314" t="s">
        <v>138</v>
      </c>
      <c r="E575" s="307" t="str">
        <f t="array" ref="E575">(XLOOKUP(D575,Roster!F:F,Roster!B:B,"",0))</f>
        <v>Arturo Padilla</v>
      </c>
      <c r="F575" s="315" t="str">
        <f t="array" ref="F575">IF(B575=100,"Free",TEXT(XLOOKUP($D575,OperationVoice!$A:$A,OperationVoice!L:L,XLOOKUP($D575,OperationTickets!$A:$A,OperationTickets!L:L,"",0)),"hh:mm"))</f>
        <v>08:00</v>
      </c>
      <c r="G575" s="309">
        <f t="shared" si="3"/>
        <v>0.7083333333</v>
      </c>
      <c r="H575" s="316">
        <f t="array" ref="H575">XLOOKUP(B575,Roster!L:L,Roster!N:N,XLOOKUP(D575,TicketsBreak!A:A,TicketsBreak!E:E,"",0),0)</f>
        <v>0.375</v>
      </c>
      <c r="I575" s="316">
        <f t="array" ref="I575">XLOOKUP(B575,Roster!L:L,Roster!O:O,XLOOKUP(D575,TicketsBreak!A:A,TicketsBreak!F:F,"",0),0)</f>
        <v>0.5</v>
      </c>
      <c r="J575" s="316">
        <f t="array" ref="J575">XLOOKUP(B575,Roster!L:L,Roster!P:P,XLOOKUP(D575,TicketsBreak!A:A,TicketsBreak!G:G,"",0),0)</f>
        <v>0.6458333333</v>
      </c>
      <c r="K575" s="310">
        <f t="shared" si="4"/>
        <v>46118</v>
      </c>
      <c r="L575" s="317">
        <f t="array" ref="L575">(XLOOKUP(D575,Roster!F:F,Roster!D:D,"",0))</f>
        <v>1</v>
      </c>
      <c r="M575" s="317" t="str">
        <f t="array" ref="M575">XLOOKUP(D575,Roster!F:F,Roster!E:E)</f>
        <v>Tickets</v>
      </c>
      <c r="N575" s="317" t="str">
        <f t="shared" ref="N575:P575" si="586">LEFT(H575,5)</f>
        <v>09:00</v>
      </c>
      <c r="O575" s="317" t="str">
        <f t="shared" si="586"/>
        <v>12:00</v>
      </c>
      <c r="P575" s="317" t="str">
        <f t="shared" si="586"/>
        <v>15:30</v>
      </c>
      <c r="Q575" s="318">
        <f t="shared" si="382"/>
        <v>46118.375</v>
      </c>
      <c r="R575" s="318">
        <f t="shared" si="383"/>
        <v>46118.5</v>
      </c>
      <c r="S575" s="318">
        <f t="shared" si="8"/>
        <v>46118.64583</v>
      </c>
    </row>
    <row r="576">
      <c r="A576" s="14" t="str">
        <f t="shared" si="1"/>
        <v>C150446118</v>
      </c>
      <c r="B576" s="185">
        <f t="array" ref="B576">IF(F576="VL","",IF(F576="Free","Free",XLOOKUP(D576,Roster!T:T,Roster!S:S,"",0)))</f>
        <v>123</v>
      </c>
      <c r="C576" s="313">
        <v>46118.0</v>
      </c>
      <c r="D576" s="314" t="s">
        <v>155</v>
      </c>
      <c r="E576" s="307" t="str">
        <f t="array" ref="E576">(XLOOKUP(D576,Roster!F:F,Roster!B:B,"",0))</f>
        <v>Beatriz Montanez</v>
      </c>
      <c r="F576" s="315" t="str">
        <f t="array" ref="F576">IF(B576=100,"Free",TEXT(XLOOKUP($D576,OperationVoice!$A:$A,OperationVoice!L:L,XLOOKUP($D576,OperationTickets!$A:$A,OperationTickets!L:L,"",0)),"hh:mm"))</f>
        <v>08:00</v>
      </c>
      <c r="G576" s="309">
        <f t="shared" si="3"/>
        <v>0.7083333333</v>
      </c>
      <c r="H576" s="316" t="str">
        <f t="array" ref="H576">XLOOKUP(B576,Roster!L:L,Roster!N:N,XLOOKUP(D576,TicketsBreak!A:A,TicketsBreak!E:E,"",0),0)</f>
        <v>09:45 - 10:00 </v>
      </c>
      <c r="I576" s="316" t="str">
        <f t="array" ref="I576">XLOOKUP(B576,Roster!L:L,Roster!O:O,XLOOKUP(D576,TicketsBreak!A:A,TicketsBreak!F:F,"",0),0)</f>
        <v>12:30 - 13:00</v>
      </c>
      <c r="J576" s="316" t="str">
        <f t="array" ref="J576">XLOOKUP(B576,Roster!L:L,Roster!P:P,XLOOKUP(D576,TicketsBreak!A:A,TicketsBreak!G:G,"",0),0)</f>
        <v>15:00 - 15:15</v>
      </c>
      <c r="K576" s="310">
        <f t="shared" si="4"/>
        <v>46118</v>
      </c>
      <c r="L576" s="317">
        <f t="array" ref="L576">(XLOOKUP(D576,Roster!F:F,Roster!D:D,"",0))</f>
        <v>35</v>
      </c>
      <c r="M576" s="317" t="str">
        <f t="array" ref="M576">XLOOKUP(D576,Roster!F:F,Roster!E:E)</f>
        <v>Tickets</v>
      </c>
      <c r="N576" s="317" t="str">
        <f t="shared" ref="N576:P576" si="587">LEFT(H576,5)</f>
        <v>09:45</v>
      </c>
      <c r="O576" s="317" t="str">
        <f t="shared" si="587"/>
        <v>12:30</v>
      </c>
      <c r="P576" s="317" t="str">
        <f t="shared" si="587"/>
        <v>15:00</v>
      </c>
      <c r="Q576" s="318">
        <f t="shared" si="382"/>
        <v>46118.40625</v>
      </c>
      <c r="R576" s="318">
        <f t="shared" si="383"/>
        <v>46118.52083</v>
      </c>
      <c r="S576" s="318">
        <f t="shared" si="8"/>
        <v>46118.625</v>
      </c>
    </row>
    <row r="577">
      <c r="A577" s="14" t="str">
        <f t="shared" si="1"/>
        <v>C107746118</v>
      </c>
      <c r="B577" s="185">
        <f t="array" ref="B577">IF(F577="VL","",IF(F577="Free","Free",XLOOKUP(D577,Roster!T:T,Roster!S:S,"",0)))</f>
        <v>125</v>
      </c>
      <c r="C577" s="313">
        <v>46118.0</v>
      </c>
      <c r="D577" s="314" t="s">
        <v>17</v>
      </c>
      <c r="E577" s="307" t="str">
        <f t="array" ref="E577">(XLOOKUP(D577,Roster!F:F,Roster!B:B,"",0))</f>
        <v>Brahian Prado</v>
      </c>
      <c r="F577" s="315" t="str">
        <f t="array" ref="F577">IF(B577=100,"Free",TEXT(XLOOKUP($D577,OperationVoice!$A:$A,OperationVoice!L:L,XLOOKUP($D577,OperationTickets!$A:$A,OperationTickets!L:L,"",0)),"hh:mm"))</f>
        <v>08:00</v>
      </c>
      <c r="G577" s="309">
        <f t="shared" si="3"/>
        <v>0.7083333333</v>
      </c>
      <c r="H577" s="316" t="str">
        <f t="array" ref="H577">XLOOKUP(B577,Roster!L:L,Roster!N:N,XLOOKUP(D577,TicketsBreak!A:A,TicketsBreak!E:E,"",0),0)</f>
        <v>10:30 - 10:45</v>
      </c>
      <c r="I577" s="316" t="str">
        <f t="array" ref="I577">XLOOKUP(B577,Roster!L:L,Roster!O:O,XLOOKUP(D577,TicketsBreak!A:A,TicketsBreak!F:F,"",0),0)</f>
        <v>13:30 - 14:00</v>
      </c>
      <c r="J577" s="316" t="str">
        <f t="array" ref="J577">XLOOKUP(B577,Roster!L:L,Roster!P:P,XLOOKUP(D577,TicketsBreak!A:A,TicketsBreak!G:G,"",0),0)</f>
        <v>15:45 - 16:00</v>
      </c>
      <c r="K577" s="310">
        <f t="shared" si="4"/>
        <v>46118</v>
      </c>
      <c r="L577" s="317">
        <f t="array" ref="L577">(XLOOKUP(D577,Roster!F:F,Roster!D:D,"",0))</f>
        <v>18</v>
      </c>
      <c r="M577" s="317" t="str">
        <f t="array" ref="M577">XLOOKUP(D577,Roster!F:F,Roster!E:E)</f>
        <v>Voice</v>
      </c>
      <c r="N577" s="317" t="str">
        <f t="shared" ref="N577:P577" si="588">LEFT(H577,5)</f>
        <v>10:30</v>
      </c>
      <c r="O577" s="317" t="str">
        <f t="shared" si="588"/>
        <v>13:30</v>
      </c>
      <c r="P577" s="317" t="str">
        <f t="shared" si="588"/>
        <v>15:45</v>
      </c>
      <c r="Q577" s="318">
        <f t="shared" si="382"/>
        <v>46118.4375</v>
      </c>
      <c r="R577" s="318">
        <f t="shared" si="383"/>
        <v>46118.5625</v>
      </c>
      <c r="S577" s="318">
        <f t="shared" si="8"/>
        <v>46118.65625</v>
      </c>
    </row>
    <row r="578">
      <c r="A578" s="14" t="str">
        <f t="shared" si="1"/>
        <v>C116546118</v>
      </c>
      <c r="B578" s="185" t="str">
        <f t="array" ref="B578">IF(F578="VL","",IF(F578="Free","Free",XLOOKUP(D578,Roster!T:T,Roster!S:S,"",0)))</f>
        <v/>
      </c>
      <c r="C578" s="313">
        <v>46118.0</v>
      </c>
      <c r="D578" s="314" t="s">
        <v>139</v>
      </c>
      <c r="E578" s="307" t="str">
        <f t="array" ref="E578">(XLOOKUP(D578,Roster!F:F,Roster!B:B,"",0))</f>
        <v>Braian Restrepo</v>
      </c>
      <c r="F578" s="315" t="str">
        <f t="array" ref="F578">IF(B578=100,"Free",TEXT(XLOOKUP($D578,OperationVoice!$A:$A,OperationVoice!L:L,XLOOKUP($D578,OperationTickets!$A:$A,OperationTickets!L:L,"",0)),"hh:mm"))</f>
        <v>08:00</v>
      </c>
      <c r="G578" s="309">
        <f t="shared" si="3"/>
        <v>0.7083333333</v>
      </c>
      <c r="H578" s="316" t="str">
        <f t="array" ref="H578">XLOOKUP(B578,Roster!L:L,Roster!N:N,XLOOKUP(D578,TicketsBreak!A:A,TicketsBreak!E:E,"",0),0)</f>
        <v/>
      </c>
      <c r="I578" s="316" t="str">
        <f t="array" ref="I578">XLOOKUP(B578,Roster!L:L,Roster!O:O,XLOOKUP(D578,TicketsBreak!A:A,TicketsBreak!F:F,"",0),0)</f>
        <v/>
      </c>
      <c r="J578" s="316" t="str">
        <f t="array" ref="J578">XLOOKUP(B578,Roster!L:L,Roster!P:P,XLOOKUP(D578,TicketsBreak!A:A,TicketsBreak!G:G,"",0),0)</f>
        <v/>
      </c>
      <c r="K578" s="310">
        <f t="shared" si="4"/>
        <v>46118</v>
      </c>
      <c r="L578" s="317">
        <f t="array" ref="L578">(XLOOKUP(D578,Roster!F:F,Roster!D:D,"",0))</f>
        <v>24</v>
      </c>
      <c r="M578" s="317" t="str">
        <f t="array" ref="M578">XLOOKUP(D578,Roster!F:F,Roster!E:E)</f>
        <v>Tickets</v>
      </c>
      <c r="N578" s="317" t="str">
        <f t="shared" ref="N578:P578" si="589">LEFT(H578,5)</f>
        <v/>
      </c>
      <c r="O578" s="317" t="str">
        <f t="shared" si="589"/>
        <v/>
      </c>
      <c r="P578" s="317" t="str">
        <f t="shared" si="589"/>
        <v/>
      </c>
      <c r="Q578" s="318" t="str">
        <f t="shared" si="382"/>
        <v/>
      </c>
      <c r="R578" s="318" t="str">
        <f t="shared" si="383"/>
        <v/>
      </c>
      <c r="S578" s="318" t="str">
        <f t="shared" si="8"/>
        <v/>
      </c>
    </row>
    <row r="579">
      <c r="A579" s="14" t="str">
        <f t="shared" si="1"/>
        <v>C127446118</v>
      </c>
      <c r="B579" s="185">
        <f t="array" ref="B579">IF(F579="VL","",IF(F579="Free","Free",XLOOKUP(D579,Roster!T:T,Roster!S:S,"",0)))</f>
        <v>126</v>
      </c>
      <c r="C579" s="313">
        <v>46118.0</v>
      </c>
      <c r="D579" s="314" t="s">
        <v>250</v>
      </c>
      <c r="E579" s="307" t="str">
        <f t="array" ref="E579">(XLOOKUP(D579,Roster!F:F,Roster!B:B,"",0))</f>
        <v>Brayan Franco</v>
      </c>
      <c r="F579" s="315" t="str">
        <f t="array" ref="F579">IF(B579=100,"Free",TEXT(XLOOKUP($D579,OperationVoice!$A:$A,OperationVoice!L:L,XLOOKUP($D579,OperationTickets!$A:$A,OperationTickets!L:L,"",0)),"hh:mm"))</f>
        <v/>
      </c>
      <c r="G579" s="309" t="str">
        <f t="shared" si="3"/>
        <v/>
      </c>
      <c r="H579" s="316" t="str">
        <f t="array" ref="H579">XLOOKUP(B579,Roster!L:L,Roster!N:N,XLOOKUP(D579,TicketsBreak!A:A,TicketsBreak!E:E,"",0),0)</f>
        <v>10:45 - 11:00</v>
      </c>
      <c r="I579" s="316" t="str">
        <f t="array" ref="I579">XLOOKUP(B579,Roster!L:L,Roster!O:O,XLOOKUP(D579,TicketsBreak!A:A,TicketsBreak!F:F,"",0),0)</f>
        <v>14:00 - 14:30</v>
      </c>
      <c r="J579" s="316" t="str">
        <f t="array" ref="J579">XLOOKUP(B579,Roster!L:L,Roster!P:P,XLOOKUP(D579,TicketsBreak!A:A,TicketsBreak!G:G,"",0),0)</f>
        <v>15:45 - 16:00</v>
      </c>
      <c r="K579" s="310">
        <f t="shared" si="4"/>
        <v>46118</v>
      </c>
      <c r="L579" s="317">
        <f t="array" ref="L579">(XLOOKUP(D579,Roster!F:F,Roster!D:D,"",0))</f>
        <v>27</v>
      </c>
      <c r="M579" s="317" t="str">
        <f t="array" ref="M579">XLOOKUP(D579,Roster!F:F,Roster!E:E)</f>
        <v>Voice</v>
      </c>
      <c r="N579" s="317" t="str">
        <f t="shared" ref="N579:P579" si="590">LEFT(H579,5)</f>
        <v>10:45</v>
      </c>
      <c r="O579" s="317" t="str">
        <f t="shared" si="590"/>
        <v>14:00</v>
      </c>
      <c r="P579" s="317" t="str">
        <f t="shared" si="590"/>
        <v>15:45</v>
      </c>
      <c r="Q579" s="318">
        <f t="shared" si="382"/>
        <v>46118.44792</v>
      </c>
      <c r="R579" s="318">
        <f t="shared" si="383"/>
        <v>46118.58333</v>
      </c>
      <c r="S579" s="318">
        <f t="shared" si="8"/>
        <v>46118.65625</v>
      </c>
    </row>
    <row r="580">
      <c r="A580" s="14" t="str">
        <f t="shared" si="1"/>
        <v>C119146118</v>
      </c>
      <c r="B580" s="185">
        <f t="array" ref="B580">IF(F580="VL","",IF(F580="Free","Free",XLOOKUP(D580,Roster!T:T,Roster!S:S,"",0)))</f>
        <v>111</v>
      </c>
      <c r="C580" s="313">
        <v>46118.0</v>
      </c>
      <c r="D580" s="314" t="s">
        <v>18</v>
      </c>
      <c r="E580" s="307" t="str">
        <f t="array" ref="E580">(XLOOKUP(D580,Roster!F:F,Roster!B:B,"",0))</f>
        <v>Brayan Montoya</v>
      </c>
      <c r="F580" s="315" t="str">
        <f t="array" ref="F580">IF(B580=100,"Free",TEXT(XLOOKUP($D580,OperationVoice!$A:$A,OperationVoice!L:L,XLOOKUP($D580,OperationTickets!$A:$A,OperationTickets!L:L,"",0)),"hh:mm"))</f>
        <v>07:00</v>
      </c>
      <c r="G580" s="309">
        <f t="shared" si="3"/>
        <v>0.6666666667</v>
      </c>
      <c r="H580" s="316" t="str">
        <f t="array" ref="H580">XLOOKUP(B580,Roster!L:L,Roster!N:N,XLOOKUP(D580,TicketsBreak!A:A,TicketsBreak!E:E,"",0),0)</f>
        <v>09:00 - 09:15</v>
      </c>
      <c r="I580" s="316" t="str">
        <f t="array" ref="I580">XLOOKUP(B580,Roster!L:L,Roster!O:O,XLOOKUP(D580,TicketsBreak!A:A,TicketsBreak!F:F,"",0),0)</f>
        <v>11:45 - 12:15</v>
      </c>
      <c r="J580" s="316" t="str">
        <f t="array" ref="J580">XLOOKUP(B580,Roster!L:L,Roster!P:P,XLOOKUP(D580,TicketsBreak!A:A,TicketsBreak!G:G,"",0),0)</f>
        <v>14:30 - 14:45</v>
      </c>
      <c r="K580" s="310">
        <f t="shared" si="4"/>
        <v>46118</v>
      </c>
      <c r="L580" s="317">
        <f t="array" ref="L580">(XLOOKUP(D580,Roster!F:F,Roster!D:D,"",0))</f>
        <v>25</v>
      </c>
      <c r="M580" s="317" t="str">
        <f t="array" ref="M580">XLOOKUP(D580,Roster!F:F,Roster!E:E)</f>
        <v>Voice</v>
      </c>
      <c r="N580" s="317" t="str">
        <f t="shared" ref="N580:P580" si="591">LEFT(H580,5)</f>
        <v>09:00</v>
      </c>
      <c r="O580" s="317" t="str">
        <f t="shared" si="591"/>
        <v>11:45</v>
      </c>
      <c r="P580" s="317" t="str">
        <f t="shared" si="591"/>
        <v>14:30</v>
      </c>
      <c r="Q580" s="318">
        <f t="shared" si="382"/>
        <v>46118.375</v>
      </c>
      <c r="R580" s="318">
        <f t="shared" si="383"/>
        <v>46118.48958</v>
      </c>
      <c r="S580" s="318">
        <f t="shared" si="8"/>
        <v>46118.60417</v>
      </c>
    </row>
    <row r="581">
      <c r="A581" s="14" t="str">
        <f t="shared" si="1"/>
        <v>C152646118</v>
      </c>
      <c r="B581" s="185">
        <f t="array" ref="B581">IF(F581="VL","",IF(F581="Free","Free",XLOOKUP(D581,Roster!T:T,Roster!S:S,"",0)))</f>
        <v>121</v>
      </c>
      <c r="C581" s="313">
        <v>46118.0</v>
      </c>
      <c r="D581" s="314" t="s">
        <v>19</v>
      </c>
      <c r="E581" s="307" t="str">
        <f t="array" ref="E581">(XLOOKUP(D581,Roster!F:F,Roster!B:B,"",0))</f>
        <v>Breitner Benitez</v>
      </c>
      <c r="F581" s="315" t="str">
        <f t="array" ref="F581">IF(B581=100,"Free",TEXT(XLOOKUP($D581,OperationVoice!$A:$A,OperationVoice!L:L,XLOOKUP($D581,OperationTickets!$A:$A,OperationTickets!L:L,"",0)),"hh:mm"))</f>
        <v>08:00</v>
      </c>
      <c r="G581" s="309">
        <f t="shared" si="3"/>
        <v>0.7083333333</v>
      </c>
      <c r="H581" s="316" t="str">
        <f t="array" ref="H581">XLOOKUP(B581,Roster!L:L,Roster!N:N,XLOOKUP(D581,TicketsBreak!A:A,TicketsBreak!E:E,"",0),0)</f>
        <v>09:15 - 09:30</v>
      </c>
      <c r="I581" s="316" t="str">
        <f t="array" ref="I581">XLOOKUP(B581,Roster!L:L,Roster!O:O,XLOOKUP(D581,TicketsBreak!A:A,TicketsBreak!F:F,"",0),0)</f>
        <v>11:30 - 12:00</v>
      </c>
      <c r="J581" s="316" t="str">
        <f t="array" ref="J581">XLOOKUP(B581,Roster!L:L,Roster!P:P,XLOOKUP(D581,TicketsBreak!A:A,TicketsBreak!G:G,"",0),0)</f>
        <v>14:30 - 14:45</v>
      </c>
      <c r="K581" s="310">
        <f t="shared" si="4"/>
        <v>46118</v>
      </c>
      <c r="L581" s="317">
        <f t="array" ref="L581">(XLOOKUP(D581,Roster!F:F,Roster!D:D,"",0))</f>
        <v>13</v>
      </c>
      <c r="M581" s="317" t="str">
        <f t="array" ref="M581">XLOOKUP(D581,Roster!F:F,Roster!E:E)</f>
        <v>Voice</v>
      </c>
      <c r="N581" s="317" t="str">
        <f t="shared" ref="N581:P581" si="592">LEFT(H581,5)</f>
        <v>09:15</v>
      </c>
      <c r="O581" s="317" t="str">
        <f t="shared" si="592"/>
        <v>11:30</v>
      </c>
      <c r="P581" s="317" t="str">
        <f t="shared" si="592"/>
        <v>14:30</v>
      </c>
      <c r="Q581" s="318">
        <f t="shared" si="382"/>
        <v>46118.38542</v>
      </c>
      <c r="R581" s="318">
        <f t="shared" si="383"/>
        <v>46118.47917</v>
      </c>
      <c r="S581" s="318">
        <f t="shared" si="8"/>
        <v>46118.60417</v>
      </c>
    </row>
    <row r="582">
      <c r="A582" s="14" t="str">
        <f t="shared" si="1"/>
        <v>C153546118</v>
      </c>
      <c r="B582" s="185">
        <f t="array" ref="B582">IF(F582="VL","",IF(F582="Free","Free",XLOOKUP(D582,Roster!T:T,Roster!S:S,"",0)))</f>
        <v>154</v>
      </c>
      <c r="C582" s="313">
        <v>46118.0</v>
      </c>
      <c r="D582" s="314" t="s">
        <v>20</v>
      </c>
      <c r="E582" s="307" t="str">
        <f t="array" ref="E582">(XLOOKUP(D582,Roster!F:F,Roster!B:B,"",0))</f>
        <v>Carlos Alzate</v>
      </c>
      <c r="F582" s="315" t="str">
        <f t="array" ref="F582">IF(B582=100,"Free",TEXT(XLOOKUP($D582,OperationVoice!$A:$A,OperationVoice!L:L,XLOOKUP($D582,OperationTickets!$A:$A,OperationTickets!L:L,"",0)),"hh:mm"))</f>
        <v>11:00</v>
      </c>
      <c r="G582" s="309">
        <f t="shared" si="3"/>
        <v>0.8333333333</v>
      </c>
      <c r="H582" s="316" t="str">
        <f t="array" ref="H582">XLOOKUP(B582,Roster!L:L,Roster!N:N,XLOOKUP(D582,TicketsBreak!A:A,TicketsBreak!E:E,"",0),0)</f>
        <v>13:00 - 13:15</v>
      </c>
      <c r="I582" s="316" t="str">
        <f t="array" ref="I582">XLOOKUP(B582,Roster!L:L,Roster!O:O,XLOOKUP(D582,TicketsBreak!A:A,TicketsBreak!F:F,"",0),0)</f>
        <v>15:15 - 15:45</v>
      </c>
      <c r="J582" s="316" t="str">
        <f t="array" ref="J582">XLOOKUP(B582,Roster!L:L,Roster!P:P,XLOOKUP(D582,TicketsBreak!A:A,TicketsBreak!G:G,"",0),0)</f>
        <v>18:00 - 18:15</v>
      </c>
      <c r="K582" s="310">
        <f t="shared" si="4"/>
        <v>46118</v>
      </c>
      <c r="L582" s="317">
        <f t="array" ref="L582">(XLOOKUP(D582,Roster!F:F,Roster!D:D,"",0))</f>
        <v>36</v>
      </c>
      <c r="M582" s="317" t="str">
        <f t="array" ref="M582">XLOOKUP(D582,Roster!F:F,Roster!E:E)</f>
        <v>Voice</v>
      </c>
      <c r="N582" s="317" t="str">
        <f t="shared" ref="N582:P582" si="593">LEFT(H582,5)</f>
        <v>13:00</v>
      </c>
      <c r="O582" s="317" t="str">
        <f t="shared" si="593"/>
        <v>15:15</v>
      </c>
      <c r="P582" s="317" t="str">
        <f t="shared" si="593"/>
        <v>18:00</v>
      </c>
      <c r="Q582" s="318">
        <f t="shared" si="382"/>
        <v>46118.54167</v>
      </c>
      <c r="R582" s="318">
        <f t="shared" si="383"/>
        <v>46118.63542</v>
      </c>
      <c r="S582" s="318">
        <f t="shared" si="8"/>
        <v>46118.75</v>
      </c>
    </row>
    <row r="583">
      <c r="A583" s="14" t="str">
        <f t="shared" si="1"/>
        <v>C153146118</v>
      </c>
      <c r="B583" s="185">
        <f t="array" ref="B583">IF(F583="VL","",IF(F583="Free","Free",XLOOKUP(D583,Roster!T:T,Roster!S:S,"",0)))</f>
        <v>123</v>
      </c>
      <c r="C583" s="313">
        <v>46118.0</v>
      </c>
      <c r="D583" s="314" t="s">
        <v>21</v>
      </c>
      <c r="E583" s="307" t="str">
        <f t="array" ref="E583">(XLOOKUP(D583,Roster!F:F,Roster!B:B,"",0))</f>
        <v>Carlos Palma</v>
      </c>
      <c r="F583" s="315" t="str">
        <f t="array" ref="F583">IF(B583=100,"Free",TEXT(XLOOKUP($D583,OperationVoice!$A:$A,OperationVoice!L:L,XLOOKUP($D583,OperationTickets!$A:$A,OperationTickets!L:L,"",0)),"hh:mm"))</f>
        <v>08:00</v>
      </c>
      <c r="G583" s="309">
        <f t="shared" si="3"/>
        <v>0.7083333333</v>
      </c>
      <c r="H583" s="316" t="str">
        <f t="array" ref="H583">XLOOKUP(B583,Roster!L:L,Roster!N:N,XLOOKUP(D583,TicketsBreak!A:A,TicketsBreak!E:E,"",0),0)</f>
        <v>09:45 - 10:00 </v>
      </c>
      <c r="I583" s="316" t="str">
        <f t="array" ref="I583">XLOOKUP(B583,Roster!L:L,Roster!O:O,XLOOKUP(D583,TicketsBreak!A:A,TicketsBreak!F:F,"",0),0)</f>
        <v>12:30 - 13:00</v>
      </c>
      <c r="J583" s="316" t="str">
        <f t="array" ref="J583">XLOOKUP(B583,Roster!L:L,Roster!P:P,XLOOKUP(D583,TicketsBreak!A:A,TicketsBreak!G:G,"",0),0)</f>
        <v>15:00 - 15:15</v>
      </c>
      <c r="K583" s="310">
        <f t="shared" si="4"/>
        <v>46118</v>
      </c>
      <c r="L583" s="317">
        <f t="array" ref="L583">(XLOOKUP(D583,Roster!F:F,Roster!D:D,"",0))</f>
        <v>36</v>
      </c>
      <c r="M583" s="317" t="str">
        <f t="array" ref="M583">XLOOKUP(D583,Roster!F:F,Roster!E:E)</f>
        <v>Voice</v>
      </c>
      <c r="N583" s="317" t="str">
        <f t="shared" ref="N583:P583" si="594">LEFT(H583,5)</f>
        <v>09:45</v>
      </c>
      <c r="O583" s="317" t="str">
        <f t="shared" si="594"/>
        <v>12:30</v>
      </c>
      <c r="P583" s="317" t="str">
        <f t="shared" si="594"/>
        <v>15:00</v>
      </c>
      <c r="Q583" s="318">
        <f t="shared" si="382"/>
        <v>46118.40625</v>
      </c>
      <c r="R583" s="318">
        <f t="shared" si="383"/>
        <v>46118.52083</v>
      </c>
      <c r="S583" s="318">
        <f t="shared" si="8"/>
        <v>46118.625</v>
      </c>
    </row>
    <row r="584">
      <c r="A584" s="14" t="str">
        <f t="shared" si="1"/>
        <v>C157646118</v>
      </c>
      <c r="B584" s="185" t="str">
        <f t="array" ref="B584">IF(F584="VL","",IF(F584="Free","Free",XLOOKUP(D584,Roster!T:T,Roster!S:S,"",0)))</f>
        <v/>
      </c>
      <c r="C584" s="313">
        <v>46118.0</v>
      </c>
      <c r="D584" s="314" t="s">
        <v>313</v>
      </c>
      <c r="E584" s="307" t="str">
        <f t="array" ref="E584">(XLOOKUP(D584,Roster!F:F,Roster!B:B,"",0))</f>
        <v>Carlos Ruiz</v>
      </c>
      <c r="F584" s="315" t="str">
        <f t="array" ref="F584">IF(B584=100,"Free",TEXT(XLOOKUP($D584,OperationVoice!$A:$A,OperationVoice!L:L,XLOOKUP($D584,OperationTickets!$A:$A,OperationTickets!L:L,"",0)),"hh:mm"))</f>
        <v/>
      </c>
      <c r="G584" s="309" t="str">
        <f t="shared" si="3"/>
        <v/>
      </c>
      <c r="H584" s="316" t="str">
        <f t="array" ref="H584">XLOOKUP(B584,Roster!L:L,Roster!N:N,XLOOKUP(D584,TicketsBreak!A:A,TicketsBreak!E:E,"",0),0)</f>
        <v/>
      </c>
      <c r="I584" s="316" t="str">
        <f t="array" ref="I584">XLOOKUP(B584,Roster!L:L,Roster!O:O,XLOOKUP(D584,TicketsBreak!A:A,TicketsBreak!F:F,"",0),0)</f>
        <v/>
      </c>
      <c r="J584" s="316" t="str">
        <f t="array" ref="J584">XLOOKUP(B584,Roster!L:L,Roster!P:P,XLOOKUP(D584,TicketsBreak!A:A,TicketsBreak!G:G,"",0),0)</f>
        <v/>
      </c>
      <c r="K584" s="310">
        <f t="shared" si="4"/>
        <v>46118</v>
      </c>
      <c r="L584" s="317">
        <f t="array" ref="L584">(XLOOKUP(D584,Roster!F:F,Roster!D:D,"",0))</f>
        <v>38</v>
      </c>
      <c r="M584" s="317" t="str">
        <f t="array" ref="M584">XLOOKUP(D584,Roster!F:F,Roster!E:E)</f>
        <v>Nesting</v>
      </c>
      <c r="N584" s="317" t="str">
        <f t="shared" ref="N584:P584" si="595">LEFT(H584,5)</f>
        <v/>
      </c>
      <c r="O584" s="317" t="str">
        <f t="shared" si="595"/>
        <v/>
      </c>
      <c r="P584" s="317" t="str">
        <f t="shared" si="595"/>
        <v/>
      </c>
      <c r="Q584" s="318" t="str">
        <f t="shared" si="382"/>
        <v/>
      </c>
      <c r="R584" s="318" t="str">
        <f t="shared" si="383"/>
        <v/>
      </c>
      <c r="S584" s="318" t="str">
        <f t="shared" si="8"/>
        <v/>
      </c>
    </row>
    <row r="585">
      <c r="A585" s="14" t="str">
        <f t="shared" si="1"/>
        <v>C47946118</v>
      </c>
      <c r="B585" s="185" t="str">
        <f t="array" ref="B585">IF(F585="VL","",IF(F585="Free","Free",XLOOKUP(D585,Roster!T:T,Roster!S:S,"",0)))</f>
        <v/>
      </c>
      <c r="C585" s="313">
        <v>46118.0</v>
      </c>
      <c r="D585" s="314" t="s">
        <v>173</v>
      </c>
      <c r="E585" s="307" t="str">
        <f t="array" ref="E585">(XLOOKUP(D585,Roster!F:F,Roster!B:B,"",0))</f>
        <v>Carmen Grajales</v>
      </c>
      <c r="F585" s="315" t="str">
        <f t="array" ref="F585">IF(B585=100,"Free",TEXT(XLOOKUP($D585,OperationVoice!$A:$A,OperationVoice!L:L,XLOOKUP($D585,OperationTickets!$A:$A,OperationTickets!L:L,"",0)),"hh:mm"))</f>
        <v>08:00</v>
      </c>
      <c r="G585" s="309">
        <f t="shared" si="3"/>
        <v>0.7083333333</v>
      </c>
      <c r="H585" s="316">
        <f t="array" ref="H585">XLOOKUP(B585,Roster!L:L,Roster!N:N,XLOOKUP(D585,TicketsBreak!A:A,TicketsBreak!E:E,"",0),0)</f>
        <v>0.4270833333</v>
      </c>
      <c r="I585" s="316">
        <f t="array" ref="I585">XLOOKUP(B585,Roster!L:L,Roster!O:O,XLOOKUP(D585,TicketsBreak!A:A,TicketsBreak!F:F,"",0),0)</f>
        <v>0.53125</v>
      </c>
      <c r="J585" s="316">
        <f t="array" ref="J585">XLOOKUP(B585,Roster!L:L,Roster!P:P,XLOOKUP(D585,TicketsBreak!A:A,TicketsBreak!G:G,"",0),0)</f>
        <v>0.65625</v>
      </c>
      <c r="K585" s="310">
        <f t="shared" si="4"/>
        <v>46118</v>
      </c>
      <c r="L585" s="317">
        <f t="array" ref="L585">(XLOOKUP(D585,Roster!F:F,Roster!D:D,"",0))</f>
        <v>2</v>
      </c>
      <c r="M585" s="317" t="str">
        <f t="array" ref="M585">XLOOKUP(D585,Roster!F:F,Roster!E:E)</f>
        <v>Tickets</v>
      </c>
      <c r="N585" s="317" t="str">
        <f t="shared" ref="N585:P585" si="596">LEFT(H585,5)</f>
        <v>10:15</v>
      </c>
      <c r="O585" s="317" t="str">
        <f t="shared" si="596"/>
        <v>12:45</v>
      </c>
      <c r="P585" s="317" t="str">
        <f t="shared" si="596"/>
        <v>15:45</v>
      </c>
      <c r="Q585" s="318">
        <f t="shared" si="382"/>
        <v>46118.42708</v>
      </c>
      <c r="R585" s="318">
        <f t="shared" si="383"/>
        <v>46118.53125</v>
      </c>
      <c r="S585" s="318">
        <f t="shared" si="8"/>
        <v>46118.65625</v>
      </c>
    </row>
    <row r="586">
      <c r="A586" s="14" t="str">
        <f t="shared" si="1"/>
        <v>C68746118</v>
      </c>
      <c r="B586" s="185">
        <f t="array" ref="B586">IF(F586="VL","",IF(F586="Free","Free",XLOOKUP(D586,Roster!T:T,Roster!S:S,"",0)))</f>
        <v>122</v>
      </c>
      <c r="C586" s="313">
        <v>46118.0</v>
      </c>
      <c r="D586" s="314" t="s">
        <v>22</v>
      </c>
      <c r="E586" s="307" t="str">
        <f t="array" ref="E586">(XLOOKUP(D586,Roster!F:F,Roster!B:B,"",0))</f>
        <v>Carolina Rios</v>
      </c>
      <c r="F586" s="315" t="str">
        <f t="array" ref="F586">IF(B586=100,"Free",TEXT(XLOOKUP($D586,OperationVoice!$A:$A,OperationVoice!L:L,XLOOKUP($D586,OperationTickets!$A:$A,OperationTickets!L:L,"",0)),"hh:mm"))</f>
        <v>08:00</v>
      </c>
      <c r="G586" s="309">
        <f t="shared" si="3"/>
        <v>0.7083333333</v>
      </c>
      <c r="H586" s="316" t="str">
        <f t="array" ref="H586">XLOOKUP(B586,Roster!L:L,Roster!N:N,XLOOKUP(D586,TicketsBreak!A:A,TicketsBreak!E:E,"",0),0)</f>
        <v>09:30 - 09:45</v>
      </c>
      <c r="I586" s="316" t="str">
        <f t="array" ref="I586">XLOOKUP(B586,Roster!L:L,Roster!O:O,XLOOKUP(D586,TicketsBreak!A:A,TicketsBreak!F:F,"",0),0)</f>
        <v>12:00 - 12:30</v>
      </c>
      <c r="J586" s="316" t="str">
        <f t="array" ref="J586">XLOOKUP(B586,Roster!L:L,Roster!P:P,XLOOKUP(D586,TicketsBreak!A:A,TicketsBreak!G:G,"",0),0)</f>
        <v>14:45 - 15:00</v>
      </c>
      <c r="K586" s="310">
        <f t="shared" si="4"/>
        <v>46118</v>
      </c>
      <c r="L586" s="317">
        <f t="array" ref="L586">(XLOOKUP(D586,Roster!F:F,Roster!D:D,"",0))</f>
        <v>5</v>
      </c>
      <c r="M586" s="317" t="str">
        <f t="array" ref="M586">XLOOKUP(D586,Roster!F:F,Roster!E:E)</f>
        <v>Voice</v>
      </c>
      <c r="N586" s="317" t="str">
        <f t="shared" ref="N586:P586" si="597">LEFT(H586,5)</f>
        <v>09:30</v>
      </c>
      <c r="O586" s="317" t="str">
        <f t="shared" si="597"/>
        <v>12:00</v>
      </c>
      <c r="P586" s="317" t="str">
        <f t="shared" si="597"/>
        <v>14:45</v>
      </c>
      <c r="Q586" s="318">
        <f t="shared" si="382"/>
        <v>46118.39583</v>
      </c>
      <c r="R586" s="318">
        <f t="shared" si="383"/>
        <v>46118.5</v>
      </c>
      <c r="S586" s="318">
        <f t="shared" si="8"/>
        <v>46118.61458</v>
      </c>
    </row>
    <row r="587">
      <c r="A587" s="14" t="str">
        <f t="shared" si="1"/>
        <v>C152846118</v>
      </c>
      <c r="B587" s="185">
        <f t="array" ref="B587">IF(F587="VL","",IF(F587="Free","Free",XLOOKUP(D587,Roster!T:T,Roster!S:S,"",0)))</f>
        <v>132</v>
      </c>
      <c r="C587" s="313">
        <v>46118.0</v>
      </c>
      <c r="D587" s="314" t="s">
        <v>23</v>
      </c>
      <c r="E587" s="307" t="str">
        <f t="array" ref="E587">(XLOOKUP(D587,Roster!F:F,Roster!B:B,"",0))</f>
        <v>Christian Ramirez</v>
      </c>
      <c r="F587" s="315" t="str">
        <f t="array" ref="F587">IF(B587=100,"Free",TEXT(XLOOKUP($D587,OperationVoice!$A:$A,OperationVoice!L:L,XLOOKUP($D587,OperationTickets!$A:$A,OperationTickets!L:L,"",0)),"hh:mm"))</f>
        <v>08:00</v>
      </c>
      <c r="G587" s="309">
        <f t="shared" si="3"/>
        <v>0.7083333333</v>
      </c>
      <c r="H587" s="316" t="str">
        <f t="array" ref="H587">XLOOKUP(B587,Roster!L:L,Roster!N:N,XLOOKUP(D587,TicketsBreak!A:A,TicketsBreak!E:E,"",0),0)</f>
        <v>10:30 - 10:45</v>
      </c>
      <c r="I587" s="316" t="str">
        <f t="array" ref="I587">XLOOKUP(B587,Roster!L:L,Roster!O:O,XLOOKUP(D587,TicketsBreak!A:A,TicketsBreak!F:F,"",0),0)</f>
        <v>13:00 - 13:30</v>
      </c>
      <c r="J587" s="316" t="str">
        <f t="array" ref="J587">XLOOKUP(B587,Roster!L:L,Roster!P:P,XLOOKUP(D587,TicketsBreak!A:A,TicketsBreak!G:G,"",0),0)</f>
        <v>15:30 - 15:45</v>
      </c>
      <c r="K587" s="310">
        <f t="shared" si="4"/>
        <v>46118</v>
      </c>
      <c r="L587" s="317">
        <f t="array" ref="L587">(XLOOKUP(D587,Roster!F:F,Roster!D:D,"",0))</f>
        <v>36</v>
      </c>
      <c r="M587" s="317" t="str">
        <f t="array" ref="M587">XLOOKUP(D587,Roster!F:F,Roster!E:E)</f>
        <v>Voice</v>
      </c>
      <c r="N587" s="317" t="str">
        <f t="shared" ref="N587:P587" si="598">LEFT(H587,5)</f>
        <v>10:30</v>
      </c>
      <c r="O587" s="317" t="str">
        <f t="shared" si="598"/>
        <v>13:00</v>
      </c>
      <c r="P587" s="317" t="str">
        <f t="shared" si="598"/>
        <v>15:30</v>
      </c>
      <c r="Q587" s="318">
        <f t="shared" si="382"/>
        <v>46118.4375</v>
      </c>
      <c r="R587" s="318">
        <f t="shared" si="383"/>
        <v>46118.54167</v>
      </c>
      <c r="S587" s="318">
        <f t="shared" si="8"/>
        <v>46118.64583</v>
      </c>
    </row>
    <row r="588">
      <c r="A588" s="14" t="str">
        <f t="shared" si="1"/>
        <v>C132546118</v>
      </c>
      <c r="B588" s="185">
        <f t="array" ref="B588">IF(F588="VL","",IF(F588="Free","Free",XLOOKUP(D588,Roster!T:T,Roster!S:S,"",0)))</f>
        <v>123</v>
      </c>
      <c r="C588" s="313">
        <v>46118.0</v>
      </c>
      <c r="D588" s="314" t="s">
        <v>174</v>
      </c>
      <c r="E588" s="307" t="str">
        <f t="array" ref="E588">(XLOOKUP(D588,Roster!F:F,Roster!B:B,"",0))</f>
        <v>Cristian Ferreira</v>
      </c>
      <c r="F588" s="315" t="str">
        <f t="array" ref="F588">IF(B588=100,"Free",TEXT(XLOOKUP($D588,OperationVoice!$A:$A,OperationVoice!L:L,XLOOKUP($D588,OperationTickets!$A:$A,OperationTickets!L:L,"",0)),"hh:mm"))</f>
        <v>08:00</v>
      </c>
      <c r="G588" s="309">
        <f t="shared" si="3"/>
        <v>0.7083333333</v>
      </c>
      <c r="H588" s="316" t="str">
        <f t="array" ref="H588">XLOOKUP(B588,Roster!L:L,Roster!N:N,XLOOKUP(D588,TicketsBreak!A:A,TicketsBreak!E:E,"",0),0)</f>
        <v>09:45 - 10:00 </v>
      </c>
      <c r="I588" s="316" t="str">
        <f t="array" ref="I588">XLOOKUP(B588,Roster!L:L,Roster!O:O,XLOOKUP(D588,TicketsBreak!A:A,TicketsBreak!F:F,"",0),0)</f>
        <v>12:30 - 13:00</v>
      </c>
      <c r="J588" s="316" t="str">
        <f t="array" ref="J588">XLOOKUP(B588,Roster!L:L,Roster!P:P,XLOOKUP(D588,TicketsBreak!A:A,TicketsBreak!G:G,"",0),0)</f>
        <v>15:00 - 15:15</v>
      </c>
      <c r="K588" s="310">
        <f t="shared" si="4"/>
        <v>46118</v>
      </c>
      <c r="L588" s="317">
        <f t="array" ref="L588">(XLOOKUP(D588,Roster!F:F,Roster!D:D,"",0))</f>
        <v>29</v>
      </c>
      <c r="M588" s="317" t="str">
        <f t="array" ref="M588">XLOOKUP(D588,Roster!F:F,Roster!E:E)</f>
        <v>Tickets</v>
      </c>
      <c r="N588" s="317" t="str">
        <f t="shared" ref="N588:P588" si="599">LEFT(H588,5)</f>
        <v>09:45</v>
      </c>
      <c r="O588" s="317" t="str">
        <f t="shared" si="599"/>
        <v>12:30</v>
      </c>
      <c r="P588" s="317" t="str">
        <f t="shared" si="599"/>
        <v>15:00</v>
      </c>
      <c r="Q588" s="318">
        <f t="shared" si="382"/>
        <v>46118.40625</v>
      </c>
      <c r="R588" s="318">
        <f t="shared" si="383"/>
        <v>46118.52083</v>
      </c>
      <c r="S588" s="318">
        <f t="shared" si="8"/>
        <v>46118.625</v>
      </c>
    </row>
    <row r="589">
      <c r="A589" s="14" t="str">
        <f t="shared" si="1"/>
        <v>C151046118</v>
      </c>
      <c r="B589" s="185">
        <f t="array" ref="B589">IF(F589="VL","",IF(F589="Free","Free",XLOOKUP(D589,Roster!T:T,Roster!S:S,"",0)))</f>
        <v>121</v>
      </c>
      <c r="C589" s="313">
        <v>46118.0</v>
      </c>
      <c r="D589" s="314" t="s">
        <v>24</v>
      </c>
      <c r="E589" s="307" t="str">
        <f t="array" ref="E589">(XLOOKUP(D589,Roster!F:F,Roster!B:B,"",0))</f>
        <v>Cristian Gomez</v>
      </c>
      <c r="F589" s="315" t="str">
        <f t="array" ref="F589">IF(B589=100,"Free",TEXT(XLOOKUP($D589,OperationVoice!$A:$A,OperationVoice!L:L,XLOOKUP($D589,OperationTickets!$A:$A,OperationTickets!L:L,"",0)),"hh:mm"))</f>
        <v>08:00</v>
      </c>
      <c r="G589" s="309">
        <f t="shared" si="3"/>
        <v>0.7083333333</v>
      </c>
      <c r="H589" s="316" t="str">
        <f t="array" ref="H589">XLOOKUP(B589,Roster!L:L,Roster!N:N,XLOOKUP(D589,TicketsBreak!A:A,TicketsBreak!E:E,"",0),0)</f>
        <v>09:15 - 09:30</v>
      </c>
      <c r="I589" s="316" t="str">
        <f t="array" ref="I589">XLOOKUP(B589,Roster!L:L,Roster!O:O,XLOOKUP(D589,TicketsBreak!A:A,TicketsBreak!F:F,"",0),0)</f>
        <v>11:30 - 12:00</v>
      </c>
      <c r="J589" s="316" t="str">
        <f t="array" ref="J589">XLOOKUP(B589,Roster!L:L,Roster!P:P,XLOOKUP(D589,TicketsBreak!A:A,TicketsBreak!G:G,"",0),0)</f>
        <v>14:30 - 14:45</v>
      </c>
      <c r="K589" s="310">
        <f t="shared" si="4"/>
        <v>46118</v>
      </c>
      <c r="L589" s="317">
        <f t="array" ref="L589">(XLOOKUP(D589,Roster!F:F,Roster!D:D,"",0))</f>
        <v>35</v>
      </c>
      <c r="M589" s="317" t="str">
        <f t="array" ref="M589">XLOOKUP(D589,Roster!F:F,Roster!E:E)</f>
        <v>Voice</v>
      </c>
      <c r="N589" s="317" t="str">
        <f t="shared" ref="N589:P589" si="600">LEFT(H589,5)</f>
        <v>09:15</v>
      </c>
      <c r="O589" s="317" t="str">
        <f t="shared" si="600"/>
        <v>11:30</v>
      </c>
      <c r="P589" s="317" t="str">
        <f t="shared" si="600"/>
        <v>14:30</v>
      </c>
      <c r="Q589" s="318">
        <f t="shared" si="382"/>
        <v>46118.38542</v>
      </c>
      <c r="R589" s="318">
        <f t="shared" si="383"/>
        <v>46118.47917</v>
      </c>
      <c r="S589" s="318">
        <f t="shared" si="8"/>
        <v>46118.60417</v>
      </c>
    </row>
    <row r="590">
      <c r="A590" s="14" t="str">
        <f t="shared" si="1"/>
        <v>C67346118</v>
      </c>
      <c r="B590" s="185" t="str">
        <f t="array" ref="B590">IF(F590="VL","",IF(F590="Free","Free",XLOOKUP(D590,Roster!T:T,Roster!S:S,"",0)))</f>
        <v/>
      </c>
      <c r="C590" s="313">
        <v>46118.0</v>
      </c>
      <c r="D590" s="314" t="s">
        <v>156</v>
      </c>
      <c r="E590" s="307" t="str">
        <f t="array" ref="E590">(XLOOKUP(D590,Roster!F:F,Roster!B:B,"",0))</f>
        <v>Dahiana Cano</v>
      </c>
      <c r="F590" s="315" t="str">
        <f t="array" ref="F590">IF(B590=100,"Free",TEXT(XLOOKUP($D590,OperationVoice!$A:$A,OperationVoice!L:L,XLOOKUP($D590,OperationTickets!$A:$A,OperationTickets!L:L,"",0)),"hh:mm"))</f>
        <v>08:00</v>
      </c>
      <c r="G590" s="309">
        <f t="shared" si="3"/>
        <v>0.7083333333</v>
      </c>
      <c r="H590" s="316">
        <f t="array" ref="H590">XLOOKUP(B590,Roster!L:L,Roster!N:N,XLOOKUP(D590,TicketsBreak!A:A,TicketsBreak!E:E,"",0),0)</f>
        <v>0.4583333333</v>
      </c>
      <c r="I590" s="316">
        <f t="array" ref="I590">XLOOKUP(B590,Roster!L:L,Roster!O:O,XLOOKUP(D590,TicketsBreak!A:A,TicketsBreak!F:F,"",0),0)</f>
        <v>0.5833333333</v>
      </c>
      <c r="J590" s="316">
        <f t="array" ref="J590">XLOOKUP(B590,Roster!L:L,Roster!P:P,XLOOKUP(D590,TicketsBreak!A:A,TicketsBreak!G:G,"",0),0)</f>
        <v>0.65625</v>
      </c>
      <c r="K590" s="310">
        <f t="shared" si="4"/>
        <v>46118</v>
      </c>
      <c r="L590" s="317">
        <f t="array" ref="L590">(XLOOKUP(D590,Roster!F:F,Roster!D:D,"",0))</f>
        <v>4</v>
      </c>
      <c r="M590" s="317" t="str">
        <f t="array" ref="M590">XLOOKUP(D590,Roster!F:F,Roster!E:E)</f>
        <v>Tickets</v>
      </c>
      <c r="N590" s="317" t="str">
        <f t="shared" ref="N590:P590" si="601">LEFT(H590,5)</f>
        <v>11:00</v>
      </c>
      <c r="O590" s="317" t="str">
        <f t="shared" si="601"/>
        <v>14:00</v>
      </c>
      <c r="P590" s="317" t="str">
        <f t="shared" si="601"/>
        <v>15:45</v>
      </c>
      <c r="Q590" s="318">
        <f t="shared" si="382"/>
        <v>46118.45833</v>
      </c>
      <c r="R590" s="318">
        <f t="shared" si="383"/>
        <v>46118.58333</v>
      </c>
      <c r="S590" s="318">
        <f t="shared" si="8"/>
        <v>46118.65625</v>
      </c>
    </row>
    <row r="591">
      <c r="A591" s="14" t="str">
        <f t="shared" si="1"/>
        <v>C152946118</v>
      </c>
      <c r="B591" s="185">
        <f t="array" ref="B591">IF(F591="VL","",IF(F591="Free","Free",XLOOKUP(D591,Roster!T:T,Roster!S:S,"",0)))</f>
        <v>133</v>
      </c>
      <c r="C591" s="313">
        <v>46118.0</v>
      </c>
      <c r="D591" s="314" t="s">
        <v>25</v>
      </c>
      <c r="E591" s="307" t="str">
        <f t="array" ref="E591">(XLOOKUP(D591,Roster!F:F,Roster!B:B,"",0))</f>
        <v>Daniel Barrientos</v>
      </c>
      <c r="F591" s="315" t="str">
        <f t="array" ref="F591">IF(B591=100,"Free",TEXT(XLOOKUP($D591,OperationVoice!$A:$A,OperationVoice!L:L,XLOOKUP($D591,OperationTickets!$A:$A,OperationTickets!L:L,"",0)),"hh:mm"))</f>
        <v>09:00</v>
      </c>
      <c r="G591" s="309">
        <f t="shared" si="3"/>
        <v>0.75</v>
      </c>
      <c r="H591" s="316" t="str">
        <f t="array" ref="H591">XLOOKUP(B591,Roster!L:L,Roster!N:N,XLOOKUP(D591,TicketsBreak!A:A,TicketsBreak!E:E,"",0),0)</f>
        <v>10:45 - 11:00 </v>
      </c>
      <c r="I591" s="316" t="str">
        <f t="array" ref="I591">XLOOKUP(B591,Roster!L:L,Roster!O:O,XLOOKUP(D591,TicketsBreak!A:A,TicketsBreak!F:F,"",0),0)</f>
        <v>13:30 - 14:00</v>
      </c>
      <c r="J591" s="316" t="str">
        <f t="array" ref="J591">XLOOKUP(B591,Roster!L:L,Roster!P:P,XLOOKUP(D591,TicketsBreak!A:A,TicketsBreak!G:G,"",0),0)</f>
        <v>15:45 - 16:00</v>
      </c>
      <c r="K591" s="310">
        <f t="shared" si="4"/>
        <v>46118</v>
      </c>
      <c r="L591" s="317">
        <f t="array" ref="L591">(XLOOKUP(D591,Roster!F:F,Roster!D:D,"",0))</f>
        <v>36</v>
      </c>
      <c r="M591" s="317" t="str">
        <f t="array" ref="M591">XLOOKUP(D591,Roster!F:F,Roster!E:E)</f>
        <v>Voice</v>
      </c>
      <c r="N591" s="317" t="str">
        <f t="shared" ref="N591:P591" si="602">LEFT(H591,5)</f>
        <v>10:45</v>
      </c>
      <c r="O591" s="317" t="str">
        <f t="shared" si="602"/>
        <v>13:30</v>
      </c>
      <c r="P591" s="317" t="str">
        <f t="shared" si="602"/>
        <v>15:45</v>
      </c>
      <c r="Q591" s="318">
        <f t="shared" si="382"/>
        <v>46118.44792</v>
      </c>
      <c r="R591" s="318">
        <f t="shared" si="383"/>
        <v>46118.5625</v>
      </c>
      <c r="S591" s="318">
        <f t="shared" si="8"/>
        <v>46118.65625</v>
      </c>
    </row>
    <row r="592">
      <c r="A592" s="14" t="str">
        <f t="shared" si="1"/>
        <v>C106446118</v>
      </c>
      <c r="B592" s="185" t="str">
        <f t="array" ref="B592">IF(F592="VL","",IF(F592="Free","Free",XLOOKUP(D592,Roster!T:T,Roster!S:S,"",0)))</f>
        <v/>
      </c>
      <c r="C592" s="313">
        <v>46118.0</v>
      </c>
      <c r="D592" s="314" t="s">
        <v>175</v>
      </c>
      <c r="E592" s="307" t="str">
        <f t="array" ref="E592">(XLOOKUP(D592,Roster!F:F,Roster!B:B,"",0))</f>
        <v>Daniel Urrego</v>
      </c>
      <c r="F592" s="315" t="str">
        <f t="array" ref="F592">IF(B592=100,"Free",TEXT(XLOOKUP($D592,OperationVoice!$A:$A,OperationVoice!L:L,XLOOKUP($D592,OperationTickets!$A:$A,OperationTickets!L:L,"",0)),"hh:mm"))</f>
        <v>08:00</v>
      </c>
      <c r="G592" s="309">
        <f t="shared" si="3"/>
        <v>0.7083333333</v>
      </c>
      <c r="H592" s="316" t="str">
        <f t="array" ref="H592">XLOOKUP(B592,Roster!L:L,Roster!N:N,XLOOKUP(D592,TicketsBreak!A:A,TicketsBreak!E:E,"",0),0)</f>
        <v/>
      </c>
      <c r="I592" s="316" t="str">
        <f t="array" ref="I592">XLOOKUP(B592,Roster!L:L,Roster!O:O,XLOOKUP(D592,TicketsBreak!A:A,TicketsBreak!F:F,"",0),0)</f>
        <v/>
      </c>
      <c r="J592" s="316" t="str">
        <f t="array" ref="J592">XLOOKUP(B592,Roster!L:L,Roster!P:P,XLOOKUP(D592,TicketsBreak!A:A,TicketsBreak!G:G,"",0),0)</f>
        <v/>
      </c>
      <c r="K592" s="310">
        <f t="shared" si="4"/>
        <v>46118</v>
      </c>
      <c r="L592" s="317">
        <f t="array" ref="L592">(XLOOKUP(D592,Roster!F:F,Roster!D:D,"",0))</f>
        <v>17</v>
      </c>
      <c r="M592" s="317" t="str">
        <f t="array" ref="M592">XLOOKUP(D592,Roster!F:F,Roster!E:E)</f>
        <v>Tickets</v>
      </c>
      <c r="N592" s="317" t="str">
        <f t="shared" ref="N592:P592" si="603">LEFT(H592,5)</f>
        <v/>
      </c>
      <c r="O592" s="317" t="str">
        <f t="shared" si="603"/>
        <v/>
      </c>
      <c r="P592" s="317" t="str">
        <f t="shared" si="603"/>
        <v/>
      </c>
      <c r="Q592" s="318" t="str">
        <f t="shared" si="382"/>
        <v/>
      </c>
      <c r="R592" s="318" t="str">
        <f t="shared" si="383"/>
        <v/>
      </c>
      <c r="S592" s="318" t="str">
        <f t="shared" si="8"/>
        <v/>
      </c>
    </row>
    <row r="593">
      <c r="A593" s="14" t="str">
        <f t="shared" si="1"/>
        <v>C151346118</v>
      </c>
      <c r="B593" s="185">
        <f t="array" ref="B593">IF(F593="VL","",IF(F593="Free","Free",XLOOKUP(D593,Roster!T:T,Roster!S:S,"",0)))</f>
        <v>126</v>
      </c>
      <c r="C593" s="313">
        <v>46118.0</v>
      </c>
      <c r="D593" s="314" t="s">
        <v>26</v>
      </c>
      <c r="E593" s="307" t="str">
        <f t="array" ref="E593">(XLOOKUP(D593,Roster!F:F,Roster!B:B,"",0))</f>
        <v>David Patino</v>
      </c>
      <c r="F593" s="315" t="str">
        <f t="array" ref="F593">IF(B593=100,"Free",TEXT(XLOOKUP($D593,OperationVoice!$A:$A,OperationVoice!L:L,XLOOKUP($D593,OperationTickets!$A:$A,OperationTickets!L:L,"",0)),"hh:mm"))</f>
        <v>08:00</v>
      </c>
      <c r="G593" s="309">
        <f t="shared" si="3"/>
        <v>0.7083333333</v>
      </c>
      <c r="H593" s="316" t="str">
        <f t="array" ref="H593">XLOOKUP(B593,Roster!L:L,Roster!N:N,XLOOKUP(D593,TicketsBreak!A:A,TicketsBreak!E:E,"",0),0)</f>
        <v>10:45 - 11:00</v>
      </c>
      <c r="I593" s="316" t="str">
        <f t="array" ref="I593">XLOOKUP(B593,Roster!L:L,Roster!O:O,XLOOKUP(D593,TicketsBreak!A:A,TicketsBreak!F:F,"",0),0)</f>
        <v>14:00 - 14:30</v>
      </c>
      <c r="J593" s="316" t="str">
        <f t="array" ref="J593">XLOOKUP(B593,Roster!L:L,Roster!P:P,XLOOKUP(D593,TicketsBreak!A:A,TicketsBreak!G:G,"",0),0)</f>
        <v>15:45 - 16:00</v>
      </c>
      <c r="K593" s="310">
        <f t="shared" si="4"/>
        <v>46118</v>
      </c>
      <c r="L593" s="317">
        <f t="array" ref="L593">(XLOOKUP(D593,Roster!F:F,Roster!D:D,"",0))</f>
        <v>35</v>
      </c>
      <c r="M593" s="317" t="str">
        <f t="array" ref="M593">XLOOKUP(D593,Roster!F:F,Roster!E:E)</f>
        <v>Voice</v>
      </c>
      <c r="N593" s="317" t="str">
        <f t="shared" ref="N593:P593" si="604">LEFT(H593,5)</f>
        <v>10:45</v>
      </c>
      <c r="O593" s="317" t="str">
        <f t="shared" si="604"/>
        <v>14:00</v>
      </c>
      <c r="P593" s="317" t="str">
        <f t="shared" si="604"/>
        <v>15:45</v>
      </c>
      <c r="Q593" s="318">
        <f t="shared" si="382"/>
        <v>46118.44792</v>
      </c>
      <c r="R593" s="318">
        <f t="shared" si="383"/>
        <v>46118.58333</v>
      </c>
      <c r="S593" s="318">
        <f t="shared" si="8"/>
        <v>46118.65625</v>
      </c>
    </row>
    <row r="594">
      <c r="A594" s="14" t="str">
        <f t="shared" si="1"/>
        <v>C127746118</v>
      </c>
      <c r="B594" s="185" t="str">
        <f t="array" ref="B594">IF(F594="VL","",IF(F594="Free","Free",XLOOKUP(D594,Roster!T:T,Roster!S:S,"",0)))</f>
        <v>Free</v>
      </c>
      <c r="C594" s="313">
        <v>46118.0</v>
      </c>
      <c r="D594" s="314" t="s">
        <v>27</v>
      </c>
      <c r="E594" s="307" t="str">
        <f t="array" ref="E594">(XLOOKUP(D594,Roster!F:F,Roster!B:B,"",0))</f>
        <v>Edwuin Martinez</v>
      </c>
      <c r="F594" s="315" t="str">
        <f t="array" ref="F594">IF(B594=100,"Free",TEXT(XLOOKUP($D594,OperationVoice!$A:$A,OperationVoice!L:L,XLOOKUP($D594,OperationTickets!$A:$A,OperationTickets!L:L,"",0)),"hh:mm"))</f>
        <v>Free</v>
      </c>
      <c r="G594" s="309" t="str">
        <f t="shared" si="3"/>
        <v>Free</v>
      </c>
      <c r="H594" s="316" t="str">
        <f t="array" ref="H594">XLOOKUP(B594,Roster!L:L,Roster!N:N,XLOOKUP(D594,TicketsBreak!A:A,TicketsBreak!E:E,"",0),0)</f>
        <v/>
      </c>
      <c r="I594" s="316" t="str">
        <f t="array" ref="I594">XLOOKUP(B594,Roster!L:L,Roster!O:O,XLOOKUP(D594,TicketsBreak!A:A,TicketsBreak!F:F,"",0),0)</f>
        <v/>
      </c>
      <c r="J594" s="316" t="str">
        <f t="array" ref="J594">XLOOKUP(B594,Roster!L:L,Roster!P:P,XLOOKUP(D594,TicketsBreak!A:A,TicketsBreak!G:G,"",0),0)</f>
        <v/>
      </c>
      <c r="K594" s="310">
        <f t="shared" si="4"/>
        <v>46118</v>
      </c>
      <c r="L594" s="317">
        <f t="array" ref="L594">(XLOOKUP(D594,Roster!F:F,Roster!D:D,"",0))</f>
        <v>27</v>
      </c>
      <c r="M594" s="317" t="str">
        <f t="array" ref="M594">XLOOKUP(D594,Roster!F:F,Roster!E:E)</f>
        <v>Voice</v>
      </c>
      <c r="N594" s="317" t="str">
        <f t="shared" ref="N594:P594" si="605">LEFT(H594,5)</f>
        <v/>
      </c>
      <c r="O594" s="317" t="str">
        <f t="shared" si="605"/>
        <v/>
      </c>
      <c r="P594" s="317" t="str">
        <f t="shared" si="605"/>
        <v/>
      </c>
      <c r="Q594" s="318" t="str">
        <f t="shared" si="382"/>
        <v/>
      </c>
      <c r="R594" s="318" t="str">
        <f t="shared" si="383"/>
        <v/>
      </c>
      <c r="S594" s="318" t="str">
        <f t="shared" si="8"/>
        <v/>
      </c>
    </row>
    <row r="595">
      <c r="A595" s="14" t="str">
        <f t="shared" si="1"/>
        <v>C121646118</v>
      </c>
      <c r="B595" s="185" t="str">
        <f t="array" ref="B595">IF(F595="VL","",IF(F595="Free","Free",XLOOKUP(D595,Roster!T:T,Roster!S:S,"",0)))</f>
        <v/>
      </c>
      <c r="C595" s="313">
        <v>46118.0</v>
      </c>
      <c r="D595" s="314" t="s">
        <v>134</v>
      </c>
      <c r="E595" s="307" t="str">
        <f t="array" ref="E595">(XLOOKUP(D595,Roster!F:F,Roster!B:B,"",0))</f>
        <v>Eliana Pena</v>
      </c>
      <c r="F595" s="315" t="str">
        <f t="array" ref="F595">IF(B595=100,"Free",TEXT(XLOOKUP($D595,OperationVoice!$A:$A,OperationVoice!L:L,XLOOKUP($D595,OperationTickets!$A:$A,OperationTickets!L:L,"",0)),"hh:mm"))</f>
        <v>08:00</v>
      </c>
      <c r="G595" s="309">
        <f t="shared" si="3"/>
        <v>0.7083333333</v>
      </c>
      <c r="H595" s="316">
        <f t="array" ref="H595">XLOOKUP(B595,Roster!L:L,Roster!N:N,XLOOKUP(D595,TicketsBreak!A:A,TicketsBreak!E:E,"",0),0)</f>
        <v>0.3958333333</v>
      </c>
      <c r="I595" s="316">
        <f t="array" ref="I595">XLOOKUP(B595,Roster!L:L,Roster!O:O,XLOOKUP(D595,TicketsBreak!A:A,TicketsBreak!F:F,"",0),0)</f>
        <v>0.5416666667</v>
      </c>
      <c r="J595" s="316">
        <f t="array" ref="J595">XLOOKUP(B595,Roster!L:L,Roster!P:P,XLOOKUP(D595,TicketsBreak!A:A,TicketsBreak!G:G,"",0),0)</f>
        <v>0.6354166667</v>
      </c>
      <c r="K595" s="310">
        <f t="shared" si="4"/>
        <v>46118</v>
      </c>
      <c r="L595" s="317">
        <f t="array" ref="L595">(XLOOKUP(D595,Roster!F:F,Roster!D:D,"",0))</f>
        <v>26</v>
      </c>
      <c r="M595" s="317" t="str">
        <f t="array" ref="M595">XLOOKUP(D595,Roster!F:F,Roster!E:E)</f>
        <v>Tickets</v>
      </c>
      <c r="N595" s="317" t="str">
        <f t="shared" ref="N595:P595" si="606">LEFT(H595,5)</f>
        <v>09:30</v>
      </c>
      <c r="O595" s="317" t="str">
        <f t="shared" si="606"/>
        <v>13:00</v>
      </c>
      <c r="P595" s="317" t="str">
        <f t="shared" si="606"/>
        <v>15:15</v>
      </c>
      <c r="Q595" s="318">
        <f t="shared" si="382"/>
        <v>46118.39583</v>
      </c>
      <c r="R595" s="318">
        <f t="shared" si="383"/>
        <v>46118.54167</v>
      </c>
      <c r="S595" s="318">
        <f t="shared" si="8"/>
        <v>46118.63542</v>
      </c>
    </row>
    <row r="596">
      <c r="A596" s="14" t="str">
        <f t="shared" si="1"/>
        <v>C157346118</v>
      </c>
      <c r="B596" s="185">
        <f t="array" ref="B596">IF(F596="VL","",IF(F596="Free","Free",XLOOKUP(D596,Roster!T:T,Roster!S:S,"",0)))</f>
        <v>123</v>
      </c>
      <c r="C596" s="313">
        <v>46118.0</v>
      </c>
      <c r="D596" s="314" t="s">
        <v>28</v>
      </c>
      <c r="E596" s="307" t="str">
        <f t="array" ref="E596">(XLOOKUP(D596,Roster!F:F,Roster!B:B,"",0))</f>
        <v>Esteban Correa</v>
      </c>
      <c r="F596" s="315" t="str">
        <f t="array" ref="F596">IF(B596=100,"Free",TEXT(XLOOKUP($D596,OperationVoice!$A:$A,OperationVoice!L:L,XLOOKUP($D596,OperationTickets!$A:$A,OperationTickets!L:L,"",0)),"hh:mm"))</f>
        <v>08:00</v>
      </c>
      <c r="G596" s="309">
        <f t="shared" si="3"/>
        <v>0.7083333333</v>
      </c>
      <c r="H596" s="316" t="str">
        <f t="array" ref="H596">XLOOKUP(B596,Roster!L:L,Roster!N:N,XLOOKUP(D596,TicketsBreak!A:A,TicketsBreak!E:E,"",0),0)</f>
        <v>09:45 - 10:00 </v>
      </c>
      <c r="I596" s="316" t="str">
        <f t="array" ref="I596">XLOOKUP(B596,Roster!L:L,Roster!O:O,XLOOKUP(D596,TicketsBreak!A:A,TicketsBreak!F:F,"",0),0)</f>
        <v>12:30 - 13:00</v>
      </c>
      <c r="J596" s="316" t="str">
        <f t="array" ref="J596">XLOOKUP(B596,Roster!L:L,Roster!P:P,XLOOKUP(D596,TicketsBreak!A:A,TicketsBreak!G:G,"",0),0)</f>
        <v>15:00 - 15:15</v>
      </c>
      <c r="K596" s="310">
        <f t="shared" si="4"/>
        <v>46118</v>
      </c>
      <c r="L596" s="317">
        <f t="array" ref="L596">(XLOOKUP(D596,Roster!F:F,Roster!D:D,"",0))</f>
        <v>38</v>
      </c>
      <c r="M596" s="317" t="str">
        <f t="array" ref="M596">XLOOKUP(D596,Roster!F:F,Roster!E:E)</f>
        <v>Voice</v>
      </c>
      <c r="N596" s="317" t="str">
        <f t="shared" ref="N596:P596" si="607">LEFT(H596,5)</f>
        <v>09:45</v>
      </c>
      <c r="O596" s="317" t="str">
        <f t="shared" si="607"/>
        <v>12:30</v>
      </c>
      <c r="P596" s="317" t="str">
        <f t="shared" si="607"/>
        <v>15:00</v>
      </c>
      <c r="Q596" s="318">
        <f t="shared" si="382"/>
        <v>46118.40625</v>
      </c>
      <c r="R596" s="318">
        <f t="shared" si="383"/>
        <v>46118.52083</v>
      </c>
      <c r="S596" s="318">
        <f t="shared" si="8"/>
        <v>46118.625</v>
      </c>
    </row>
    <row r="597">
      <c r="A597" s="14" t="str">
        <f t="shared" si="1"/>
        <v>C71346118</v>
      </c>
      <c r="B597" s="185">
        <f t="array" ref="B597">IF(F597="VL","",IF(F597="Free","Free",XLOOKUP(D597,Roster!T:T,Roster!S:S,"",0)))</f>
        <v>125</v>
      </c>
      <c r="C597" s="313">
        <v>46118.0</v>
      </c>
      <c r="D597" s="314" t="s">
        <v>29</v>
      </c>
      <c r="E597" s="307" t="str">
        <f t="array" ref="E597">(XLOOKUP(D597,Roster!F:F,Roster!B:B,"",0))</f>
        <v>Frank Marin</v>
      </c>
      <c r="F597" s="315" t="str">
        <f t="array" ref="F597">IF(B597=100,"Free",TEXT(XLOOKUP($D597,OperationVoice!$A:$A,OperationVoice!L:L,XLOOKUP($D597,OperationTickets!$A:$A,OperationTickets!L:L,"",0)),"hh:mm"))</f>
        <v>08:00</v>
      </c>
      <c r="G597" s="309">
        <f t="shared" si="3"/>
        <v>0.7083333333</v>
      </c>
      <c r="H597" s="316" t="str">
        <f t="array" ref="H597">XLOOKUP(B597,Roster!L:L,Roster!N:N,XLOOKUP(D597,TicketsBreak!A:A,TicketsBreak!E:E,"",0),0)</f>
        <v>10:30 - 10:45</v>
      </c>
      <c r="I597" s="316" t="str">
        <f t="array" ref="I597">XLOOKUP(B597,Roster!L:L,Roster!O:O,XLOOKUP(D597,TicketsBreak!A:A,TicketsBreak!F:F,"",0),0)</f>
        <v>13:30 - 14:00</v>
      </c>
      <c r="J597" s="316" t="str">
        <f t="array" ref="J597">XLOOKUP(B597,Roster!L:L,Roster!P:P,XLOOKUP(D597,TicketsBreak!A:A,TicketsBreak!G:G,"",0),0)</f>
        <v>15:45 - 16:00</v>
      </c>
      <c r="K597" s="310">
        <f t="shared" si="4"/>
        <v>46118</v>
      </c>
      <c r="L597" s="317">
        <f t="array" ref="L597">(XLOOKUP(D597,Roster!F:F,Roster!D:D,"",0))</f>
        <v>6</v>
      </c>
      <c r="M597" s="317" t="str">
        <f t="array" ref="M597">XLOOKUP(D597,Roster!F:F,Roster!E:E)</f>
        <v>Voice</v>
      </c>
      <c r="N597" s="317" t="str">
        <f t="shared" ref="N597:P597" si="608">LEFT(H597,5)</f>
        <v>10:30</v>
      </c>
      <c r="O597" s="317" t="str">
        <f t="shared" si="608"/>
        <v>13:30</v>
      </c>
      <c r="P597" s="317" t="str">
        <f t="shared" si="608"/>
        <v>15:45</v>
      </c>
      <c r="Q597" s="318">
        <f t="shared" si="382"/>
        <v>46118.4375</v>
      </c>
      <c r="R597" s="318">
        <f t="shared" si="383"/>
        <v>46118.5625</v>
      </c>
      <c r="S597" s="318">
        <f t="shared" si="8"/>
        <v>46118.65625</v>
      </c>
    </row>
    <row r="598">
      <c r="A598" s="14" t="str">
        <f t="shared" si="1"/>
        <v>C154846118</v>
      </c>
      <c r="B598" s="185">
        <f t="array" ref="B598">IF(F598="VL","",IF(F598="Free","Free",XLOOKUP(D598,Roster!T:T,Roster!S:S,"",0)))</f>
        <v>152</v>
      </c>
      <c r="C598" s="313">
        <v>46118.0</v>
      </c>
      <c r="D598" s="314" t="s">
        <v>30</v>
      </c>
      <c r="E598" s="307" t="str">
        <f t="array" ref="E598">(XLOOKUP(D598,Roster!F:F,Roster!B:B,"",0))</f>
        <v>Frey ortiz</v>
      </c>
      <c r="F598" s="315" t="str">
        <f t="array" ref="F598">IF(B598=100,"Free",TEXT(XLOOKUP($D598,OperationVoice!$A:$A,OperationVoice!L:L,XLOOKUP($D598,OperationTickets!$A:$A,OperationTickets!L:L,"",0)),"hh:mm"))</f>
        <v>11:00</v>
      </c>
      <c r="G598" s="309">
        <f t="shared" si="3"/>
        <v>0.8333333333</v>
      </c>
      <c r="H598" s="316" t="str">
        <f t="array" ref="H598">XLOOKUP(B598,Roster!L:L,Roster!N:N,XLOOKUP(D598,TicketsBreak!A:A,TicketsBreak!E:E,"",0),0)</f>
        <v>12:30 - 12:45</v>
      </c>
      <c r="I598" s="316" t="str">
        <f t="array" ref="I598">XLOOKUP(B598,Roster!L:L,Roster!O:O,XLOOKUP(D598,TicketsBreak!A:A,TicketsBreak!F:F,"",0),0)</f>
        <v>14:30 - 15:00</v>
      </c>
      <c r="J598" s="316" t="str">
        <f t="array" ref="J598">XLOOKUP(B598,Roster!L:L,Roster!P:P,XLOOKUP(D598,TicketsBreak!A:A,TicketsBreak!G:G,"",0),0)</f>
        <v>17:30 - 17:45</v>
      </c>
      <c r="K598" s="310">
        <f t="shared" si="4"/>
        <v>46118</v>
      </c>
      <c r="L598" s="317">
        <f t="array" ref="L598">(XLOOKUP(D598,Roster!F:F,Roster!D:D,"",0))</f>
        <v>37</v>
      </c>
      <c r="M598" s="317" t="str">
        <f t="array" ref="M598">XLOOKUP(D598,Roster!F:F,Roster!E:E)</f>
        <v>Voice</v>
      </c>
      <c r="N598" s="317" t="str">
        <f t="shared" ref="N598:P598" si="609">LEFT(H598,5)</f>
        <v>12:30</v>
      </c>
      <c r="O598" s="317" t="str">
        <f t="shared" si="609"/>
        <v>14:30</v>
      </c>
      <c r="P598" s="317" t="str">
        <f t="shared" si="609"/>
        <v>17:30</v>
      </c>
      <c r="Q598" s="318">
        <f t="shared" si="382"/>
        <v>46118.52083</v>
      </c>
      <c r="R598" s="318">
        <f t="shared" si="383"/>
        <v>46118.60417</v>
      </c>
      <c r="S598" s="318">
        <f t="shared" si="8"/>
        <v>46118.72917</v>
      </c>
    </row>
    <row r="599">
      <c r="A599" s="14" t="str">
        <f t="shared" si="1"/>
        <v>C148646118</v>
      </c>
      <c r="B599" s="185">
        <f t="array" ref="B599">IF(F599="VL","",IF(F599="Free","Free",XLOOKUP(D599,Roster!T:T,Roster!S:S,"",0)))</f>
        <v>154</v>
      </c>
      <c r="C599" s="313">
        <v>46118.0</v>
      </c>
      <c r="D599" s="314" t="s">
        <v>31</v>
      </c>
      <c r="E599" s="307" t="str">
        <f t="array" ref="E599">(XLOOKUP(D599,Roster!F:F,Roster!B:B,"",0))</f>
        <v>Gabriel Gomez</v>
      </c>
      <c r="F599" s="315" t="str">
        <f t="array" ref="F599">IF(B599=100,"Free",TEXT(XLOOKUP($D599,OperationVoice!$A:$A,OperationVoice!L:L,XLOOKUP($D599,OperationTickets!$A:$A,OperationTickets!L:L,"",0)),"hh:mm"))</f>
        <v>11:00</v>
      </c>
      <c r="G599" s="309">
        <f t="shared" si="3"/>
        <v>0.8333333333</v>
      </c>
      <c r="H599" s="316" t="str">
        <f t="array" ref="H599">XLOOKUP(B599,Roster!L:L,Roster!N:N,XLOOKUP(D599,TicketsBreak!A:A,TicketsBreak!E:E,"",0),0)</f>
        <v>13:00 - 13:15</v>
      </c>
      <c r="I599" s="316" t="str">
        <f t="array" ref="I599">XLOOKUP(B599,Roster!L:L,Roster!O:O,XLOOKUP(D599,TicketsBreak!A:A,TicketsBreak!F:F,"",0),0)</f>
        <v>15:15 - 15:45</v>
      </c>
      <c r="J599" s="316" t="str">
        <f t="array" ref="J599">XLOOKUP(B599,Roster!L:L,Roster!P:P,XLOOKUP(D599,TicketsBreak!A:A,TicketsBreak!G:G,"",0),0)</f>
        <v>18:00 - 18:15</v>
      </c>
      <c r="K599" s="310">
        <f t="shared" si="4"/>
        <v>46118</v>
      </c>
      <c r="L599" s="317">
        <f t="array" ref="L599">(XLOOKUP(D599,Roster!F:F,Roster!D:D,"",0))</f>
        <v>34</v>
      </c>
      <c r="M599" s="317" t="str">
        <f t="array" ref="M599">XLOOKUP(D599,Roster!F:F,Roster!E:E)</f>
        <v>Voice</v>
      </c>
      <c r="N599" s="317" t="str">
        <f t="shared" ref="N599:P599" si="610">LEFT(H599,5)</f>
        <v>13:00</v>
      </c>
      <c r="O599" s="317" t="str">
        <f t="shared" si="610"/>
        <v>15:15</v>
      </c>
      <c r="P599" s="317" t="str">
        <f t="shared" si="610"/>
        <v>18:00</v>
      </c>
      <c r="Q599" s="318">
        <f t="shared" si="382"/>
        <v>46118.54167</v>
      </c>
      <c r="R599" s="318">
        <f t="shared" si="383"/>
        <v>46118.63542</v>
      </c>
      <c r="S599" s="318">
        <f t="shared" si="8"/>
        <v>46118.75</v>
      </c>
    </row>
    <row r="600">
      <c r="A600" s="14" t="str">
        <f t="shared" si="1"/>
        <v>C136946118</v>
      </c>
      <c r="B600" s="185">
        <f t="array" ref="B600">IF(F600="VL","",IF(F600="Free","Free",XLOOKUP(D600,Roster!T:T,Roster!S:S,"",0)))</f>
        <v>126</v>
      </c>
      <c r="C600" s="313">
        <v>46118.0</v>
      </c>
      <c r="D600" s="314" t="s">
        <v>157</v>
      </c>
      <c r="E600" s="307" t="str">
        <f t="array" ref="E600">(XLOOKUP(D600,Roster!F:F,Roster!B:B,"",0))</f>
        <v>Gabriela Jimenez</v>
      </c>
      <c r="F600" s="315" t="str">
        <f t="array" ref="F600">IF(B600=100,"Free",TEXT(XLOOKUP($D600,OperationVoice!$A:$A,OperationVoice!L:L,XLOOKUP($D600,OperationTickets!$A:$A,OperationTickets!L:L,"",0)),"hh:mm"))</f>
        <v>08:00</v>
      </c>
      <c r="G600" s="309">
        <f t="shared" si="3"/>
        <v>0.7083333333</v>
      </c>
      <c r="H600" s="316" t="str">
        <f t="array" ref="H600">XLOOKUP(B600,Roster!L:L,Roster!N:N,XLOOKUP(D600,TicketsBreak!A:A,TicketsBreak!E:E,"",0),0)</f>
        <v>10:45 - 11:00</v>
      </c>
      <c r="I600" s="316" t="str">
        <f t="array" ref="I600">XLOOKUP(B600,Roster!L:L,Roster!O:O,XLOOKUP(D600,TicketsBreak!A:A,TicketsBreak!F:F,"",0),0)</f>
        <v>14:00 - 14:30</v>
      </c>
      <c r="J600" s="316" t="str">
        <f t="array" ref="J600">XLOOKUP(B600,Roster!L:L,Roster!P:P,XLOOKUP(D600,TicketsBreak!A:A,TicketsBreak!G:G,"",0),0)</f>
        <v>15:45 - 16:00</v>
      </c>
      <c r="K600" s="310">
        <f t="shared" si="4"/>
        <v>46118</v>
      </c>
      <c r="L600" s="317">
        <f t="array" ref="L600">(XLOOKUP(D600,Roster!F:F,Roster!D:D,"",0))</f>
        <v>31</v>
      </c>
      <c r="M600" s="317" t="str">
        <f t="array" ref="M600">XLOOKUP(D600,Roster!F:F,Roster!E:E)</f>
        <v>Tickets</v>
      </c>
      <c r="N600" s="317" t="str">
        <f t="shared" ref="N600:P600" si="611">LEFT(H600,5)</f>
        <v>10:45</v>
      </c>
      <c r="O600" s="317" t="str">
        <f t="shared" si="611"/>
        <v>14:00</v>
      </c>
      <c r="P600" s="317" t="str">
        <f t="shared" si="611"/>
        <v>15:45</v>
      </c>
      <c r="Q600" s="318">
        <f t="shared" si="382"/>
        <v>46118.44792</v>
      </c>
      <c r="R600" s="318">
        <f t="shared" si="383"/>
        <v>46118.58333</v>
      </c>
      <c r="S600" s="318">
        <f t="shared" si="8"/>
        <v>46118.65625</v>
      </c>
    </row>
    <row r="601">
      <c r="A601" s="14" t="str">
        <f t="shared" si="1"/>
        <v>C101746118</v>
      </c>
      <c r="B601" s="185">
        <f t="array" ref="B601">IF(F601="VL","",IF(F601="Free","Free",XLOOKUP(D601,Roster!T:T,Roster!S:S,"",0)))</f>
        <v>121</v>
      </c>
      <c r="C601" s="313">
        <v>46118.0</v>
      </c>
      <c r="D601" s="314" t="s">
        <v>32</v>
      </c>
      <c r="E601" s="307" t="str">
        <f t="array" ref="E601">(XLOOKUP(D601,Roster!F:F,Roster!B:B,"",0))</f>
        <v>Geraldine Correa</v>
      </c>
      <c r="F601" s="315" t="str">
        <f t="array" ref="F601">IF(B601=100,"Free",TEXT(XLOOKUP($D601,OperationVoice!$A:$A,OperationVoice!L:L,XLOOKUP($D601,OperationTickets!$A:$A,OperationTickets!L:L,"",0)),"hh:mm"))</f>
        <v>08:00</v>
      </c>
      <c r="G601" s="309">
        <f t="shared" si="3"/>
        <v>0.7083333333</v>
      </c>
      <c r="H601" s="316" t="str">
        <f t="array" ref="H601">XLOOKUP(B601,Roster!L:L,Roster!N:N,XLOOKUP(D601,TicketsBreak!A:A,TicketsBreak!E:E,"",0),0)</f>
        <v>09:15 - 09:30</v>
      </c>
      <c r="I601" s="316" t="str">
        <f t="array" ref="I601">XLOOKUP(B601,Roster!L:L,Roster!O:O,XLOOKUP(D601,TicketsBreak!A:A,TicketsBreak!F:F,"",0),0)</f>
        <v>11:30 - 12:00</v>
      </c>
      <c r="J601" s="316" t="str">
        <f t="array" ref="J601">XLOOKUP(B601,Roster!L:L,Roster!P:P,XLOOKUP(D601,TicketsBreak!A:A,TicketsBreak!G:G,"",0),0)</f>
        <v>14:30 - 14:45</v>
      </c>
      <c r="K601" s="310">
        <f t="shared" si="4"/>
        <v>46118</v>
      </c>
      <c r="L601" s="317">
        <f t="array" ref="L601">(XLOOKUP(D601,Roster!F:F,Roster!D:D,"",0))</f>
        <v>23</v>
      </c>
      <c r="M601" s="317" t="str">
        <f t="array" ref="M601">XLOOKUP(D601,Roster!F:F,Roster!E:E)</f>
        <v>Voice</v>
      </c>
      <c r="N601" s="317" t="str">
        <f t="shared" ref="N601:P601" si="612">LEFT(H601,5)</f>
        <v>09:15</v>
      </c>
      <c r="O601" s="317" t="str">
        <f t="shared" si="612"/>
        <v>11:30</v>
      </c>
      <c r="P601" s="317" t="str">
        <f t="shared" si="612"/>
        <v>14:30</v>
      </c>
      <c r="Q601" s="318">
        <f t="shared" si="382"/>
        <v>46118.38542</v>
      </c>
      <c r="R601" s="318">
        <f t="shared" si="383"/>
        <v>46118.47917</v>
      </c>
      <c r="S601" s="318">
        <f t="shared" si="8"/>
        <v>46118.60417</v>
      </c>
    </row>
    <row r="602">
      <c r="A602" s="14" t="str">
        <f t="shared" si="1"/>
        <v>C154146118</v>
      </c>
      <c r="B602" s="185">
        <f t="array" ref="B602">IF(F602="VL","",IF(F602="Free","Free",XLOOKUP(D602,Roster!T:T,Roster!S:S,"",0)))</f>
        <v>155</v>
      </c>
      <c r="C602" s="313">
        <v>46118.0</v>
      </c>
      <c r="D602" s="314" t="s">
        <v>33</v>
      </c>
      <c r="E602" s="307" t="str">
        <f t="array" ref="E602">(XLOOKUP(D602,Roster!F:F,Roster!B:B,"",0))</f>
        <v>Gisel Moya</v>
      </c>
      <c r="F602" s="315" t="str">
        <f t="array" ref="F602">IF(B602=100,"Free",TEXT(XLOOKUP($D602,OperationVoice!$A:$A,OperationVoice!L:L,XLOOKUP($D602,OperationTickets!$A:$A,OperationTickets!L:L,"",0)),"hh:mm"))</f>
        <v>11:00</v>
      </c>
      <c r="G602" s="309">
        <f t="shared" si="3"/>
        <v>0.8333333333</v>
      </c>
      <c r="H602" s="316" t="str">
        <f t="array" ref="H602">XLOOKUP(B602,Roster!L:L,Roster!N:N,XLOOKUP(D602,TicketsBreak!A:A,TicketsBreak!E:E,"",0),0)</f>
        <v>13:15 - 13:30</v>
      </c>
      <c r="I602" s="316" t="str">
        <f t="array" ref="I602">XLOOKUP(B602,Roster!L:L,Roster!O:O,XLOOKUP(D602,TicketsBreak!A:A,TicketsBreak!F:F,"",0),0)</f>
        <v>15:45 - 16:15</v>
      </c>
      <c r="J602" s="316" t="str">
        <f t="array" ref="J602">XLOOKUP(B602,Roster!L:L,Roster!P:P,XLOOKUP(D602,TicketsBreak!A:A,TicketsBreak!G:G,"",0),0)</f>
        <v>18:15 - 18:30</v>
      </c>
      <c r="K602" s="310">
        <f t="shared" si="4"/>
        <v>46118</v>
      </c>
      <c r="L602" s="317">
        <f t="array" ref="L602">(XLOOKUP(D602,Roster!F:F,Roster!D:D,"",0))</f>
        <v>36</v>
      </c>
      <c r="M602" s="317" t="str">
        <f t="array" ref="M602">XLOOKUP(D602,Roster!F:F,Roster!E:E)</f>
        <v>Voice</v>
      </c>
      <c r="N602" s="317" t="str">
        <f t="shared" ref="N602:P602" si="613">LEFT(H602,5)</f>
        <v>13:15</v>
      </c>
      <c r="O602" s="317" t="str">
        <f t="shared" si="613"/>
        <v>15:45</v>
      </c>
      <c r="P602" s="317" t="str">
        <f t="shared" si="613"/>
        <v>18:15</v>
      </c>
      <c r="Q602" s="318">
        <f t="shared" si="382"/>
        <v>46118.55208</v>
      </c>
      <c r="R602" s="318">
        <f t="shared" si="383"/>
        <v>46118.65625</v>
      </c>
      <c r="S602" s="318">
        <f t="shared" si="8"/>
        <v>46118.76042</v>
      </c>
    </row>
    <row r="603">
      <c r="A603" s="14" t="str">
        <f t="shared" si="1"/>
        <v>C86046118</v>
      </c>
      <c r="B603" s="185" t="str">
        <f t="array" ref="B603">IF(F603="VL","",IF(F603="Free","Free",XLOOKUP(D603,Roster!T:T,Roster!S:S,"",0)))</f>
        <v/>
      </c>
      <c r="C603" s="313">
        <v>46118.0</v>
      </c>
      <c r="D603" s="314" t="s">
        <v>158</v>
      </c>
      <c r="E603" s="307" t="str">
        <f t="array" ref="E603">(XLOOKUP(D603,Roster!F:F,Roster!B:B,"",0))</f>
        <v>Ief Fabre</v>
      </c>
      <c r="F603" s="315" t="str">
        <f t="array" ref="F603">IF(B603=100,"Free",TEXT(XLOOKUP($D603,OperationVoice!$A:$A,OperationVoice!L:L,XLOOKUP($D603,OperationTickets!$A:$A,OperationTickets!L:L,"",0)),"hh:mm"))</f>
        <v>08:00</v>
      </c>
      <c r="G603" s="309">
        <f t="shared" si="3"/>
        <v>0.7083333333</v>
      </c>
      <c r="H603" s="316">
        <f t="array" ref="H603">XLOOKUP(B603,Roster!L:L,Roster!N:N,XLOOKUP(D603,TicketsBreak!A:A,TicketsBreak!E:E,"",0),0)</f>
        <v>0.4166666667</v>
      </c>
      <c r="I603" s="316">
        <f t="array" ref="I603">XLOOKUP(B603,Roster!L:L,Roster!O:O,XLOOKUP(D603,TicketsBreak!A:A,TicketsBreak!F:F,"",0),0)</f>
        <v>0.5</v>
      </c>
      <c r="J603" s="316">
        <f t="array" ref="J603">XLOOKUP(B603,Roster!L:L,Roster!P:P,XLOOKUP(D603,TicketsBreak!A:A,TicketsBreak!G:G,"",0),0)</f>
        <v>0.625</v>
      </c>
      <c r="K603" s="310">
        <f t="shared" si="4"/>
        <v>46118</v>
      </c>
      <c r="L603" s="317">
        <f t="array" ref="L603">(XLOOKUP(D603,Roster!F:F,Roster!D:D,"",0))</f>
        <v>10</v>
      </c>
      <c r="M603" s="317" t="str">
        <f t="array" ref="M603">XLOOKUP(D603,Roster!F:F,Roster!E:E)</f>
        <v>Tickets</v>
      </c>
      <c r="N603" s="317" t="str">
        <f t="shared" ref="N603:P603" si="614">LEFT(H603,5)</f>
        <v>10:00</v>
      </c>
      <c r="O603" s="317" t="str">
        <f t="shared" si="614"/>
        <v>12:00</v>
      </c>
      <c r="P603" s="317" t="str">
        <f t="shared" si="614"/>
        <v>15:00</v>
      </c>
      <c r="Q603" s="318">
        <f t="shared" si="382"/>
        <v>46118.41667</v>
      </c>
      <c r="R603" s="318">
        <f t="shared" si="383"/>
        <v>46118.5</v>
      </c>
      <c r="S603" s="318">
        <f t="shared" si="8"/>
        <v>46118.625</v>
      </c>
    </row>
    <row r="604">
      <c r="A604" s="14" t="str">
        <f t="shared" si="1"/>
        <v>C148146118</v>
      </c>
      <c r="B604" s="185">
        <f t="array" ref="B604">IF(F604="VL","",IF(F604="Free","Free",XLOOKUP(D604,Roster!T:T,Roster!S:S,"",0)))</f>
        <v>155</v>
      </c>
      <c r="C604" s="313">
        <v>46118.0</v>
      </c>
      <c r="D604" s="314" t="s">
        <v>34</v>
      </c>
      <c r="E604" s="307" t="str">
        <f t="array" ref="E604">(XLOOKUP(D604,Roster!F:F,Roster!B:B,"",0))</f>
        <v>Jasam Mejia</v>
      </c>
      <c r="F604" s="315" t="str">
        <f t="array" ref="F604">IF(B604=100,"Free",TEXT(XLOOKUP($D604,OperationVoice!$A:$A,OperationVoice!L:L,XLOOKUP($D604,OperationTickets!$A:$A,OperationTickets!L:L,"",0)),"hh:mm"))</f>
        <v>11:00</v>
      </c>
      <c r="G604" s="309">
        <f t="shared" si="3"/>
        <v>0.8333333333</v>
      </c>
      <c r="H604" s="316" t="str">
        <f t="array" ref="H604">XLOOKUP(B604,Roster!L:L,Roster!N:N,XLOOKUP(D604,TicketsBreak!A:A,TicketsBreak!E:E,"",0),0)</f>
        <v>13:15 - 13:30</v>
      </c>
      <c r="I604" s="316" t="str">
        <f t="array" ref="I604">XLOOKUP(B604,Roster!L:L,Roster!O:O,XLOOKUP(D604,TicketsBreak!A:A,TicketsBreak!F:F,"",0),0)</f>
        <v>15:45 - 16:15</v>
      </c>
      <c r="J604" s="316" t="str">
        <f t="array" ref="J604">XLOOKUP(B604,Roster!L:L,Roster!P:P,XLOOKUP(D604,TicketsBreak!A:A,TicketsBreak!G:G,"",0),0)</f>
        <v>18:15 - 18:30</v>
      </c>
      <c r="K604" s="310">
        <f t="shared" si="4"/>
        <v>46118</v>
      </c>
      <c r="L604" s="317">
        <f t="array" ref="L604">(XLOOKUP(D604,Roster!F:F,Roster!D:D,"",0))</f>
        <v>34</v>
      </c>
      <c r="M604" s="317" t="str">
        <f t="array" ref="M604">XLOOKUP(D604,Roster!F:F,Roster!E:E)</f>
        <v>Voice</v>
      </c>
      <c r="N604" s="317" t="str">
        <f t="shared" ref="N604:P604" si="615">LEFT(H604,5)</f>
        <v>13:15</v>
      </c>
      <c r="O604" s="317" t="str">
        <f t="shared" si="615"/>
        <v>15:45</v>
      </c>
      <c r="P604" s="317" t="str">
        <f t="shared" si="615"/>
        <v>18:15</v>
      </c>
      <c r="Q604" s="318">
        <f t="shared" si="382"/>
        <v>46118.55208</v>
      </c>
      <c r="R604" s="318">
        <f t="shared" si="383"/>
        <v>46118.65625</v>
      </c>
      <c r="S604" s="318">
        <f t="shared" si="8"/>
        <v>46118.76042</v>
      </c>
    </row>
    <row r="605">
      <c r="A605" s="14" t="str">
        <f t="shared" si="1"/>
        <v>C131846118</v>
      </c>
      <c r="B605" s="185" t="str">
        <f t="array" ref="B605">IF(F605="VL","",IF(F605="Free","Free",XLOOKUP(D605,Roster!T:T,Roster!S:S,"",0)))</f>
        <v/>
      </c>
      <c r="C605" s="313">
        <v>46118.0</v>
      </c>
      <c r="D605" s="314" t="s">
        <v>159</v>
      </c>
      <c r="E605" s="307" t="str">
        <f t="array" ref="E605">(XLOOKUP(D605,Roster!F:F,Roster!B:B,"",0))</f>
        <v>Jeampierre Jaramillo</v>
      </c>
      <c r="F605" s="315" t="str">
        <f t="array" ref="F605">IF(B605=100,"Free",TEXT(XLOOKUP($D605,OperationVoice!$A:$A,OperationVoice!L:L,XLOOKUP($D605,OperationTickets!$A:$A,OperationTickets!L:L,"",0)),"hh:mm"))</f>
        <v>07:00</v>
      </c>
      <c r="G605" s="309">
        <f t="shared" si="3"/>
        <v>0.6666666667</v>
      </c>
      <c r="H605" s="316" t="str">
        <f t="array" ref="H605">XLOOKUP(B605,Roster!L:L,Roster!N:N,XLOOKUP(D605,TicketsBreak!A:A,TicketsBreak!E:E,"",0),0)</f>
        <v/>
      </c>
      <c r="I605" s="316" t="str">
        <f t="array" ref="I605">XLOOKUP(B605,Roster!L:L,Roster!O:O,XLOOKUP(D605,TicketsBreak!A:A,TicketsBreak!F:F,"",0),0)</f>
        <v/>
      </c>
      <c r="J605" s="316" t="str">
        <f t="array" ref="J605">XLOOKUP(B605,Roster!L:L,Roster!P:P,XLOOKUP(D605,TicketsBreak!A:A,TicketsBreak!G:G,"",0),0)</f>
        <v/>
      </c>
      <c r="K605" s="310">
        <f t="shared" si="4"/>
        <v>46118</v>
      </c>
      <c r="L605" s="317">
        <f t="array" ref="L605">(XLOOKUP(D605,Roster!F:F,Roster!D:D,"",0))</f>
        <v>29</v>
      </c>
      <c r="M605" s="317" t="str">
        <f t="array" ref="M605">XLOOKUP(D605,Roster!F:F,Roster!E:E)</f>
        <v>Tickets</v>
      </c>
      <c r="N605" s="317" t="str">
        <f t="shared" ref="N605:P605" si="616">LEFT(H605,5)</f>
        <v/>
      </c>
      <c r="O605" s="317" t="str">
        <f t="shared" si="616"/>
        <v/>
      </c>
      <c r="P605" s="317" t="str">
        <f t="shared" si="616"/>
        <v/>
      </c>
      <c r="Q605" s="318" t="str">
        <f t="shared" si="382"/>
        <v/>
      </c>
      <c r="R605" s="318" t="str">
        <f t="shared" si="383"/>
        <v/>
      </c>
      <c r="S605" s="318" t="str">
        <f t="shared" si="8"/>
        <v/>
      </c>
    </row>
    <row r="606">
      <c r="A606" s="14" t="str">
        <f t="shared" si="1"/>
        <v>C155046118</v>
      </c>
      <c r="B606" s="185">
        <f t="array" ref="B606">IF(F606="VL","",IF(F606="Free","Free",XLOOKUP(D606,Roster!T:T,Roster!S:S,"",0)))</f>
        <v>126</v>
      </c>
      <c r="C606" s="313">
        <v>46118.0</v>
      </c>
      <c r="D606" s="314" t="s">
        <v>35</v>
      </c>
      <c r="E606" s="307" t="str">
        <f t="array" ref="E606">(XLOOKUP(D606,Roster!F:F,Roster!B:B,"",0))</f>
        <v>Jeidin Vargas</v>
      </c>
      <c r="F606" s="315" t="str">
        <f t="array" ref="F606">IF(B606=100,"Free",TEXT(XLOOKUP($D606,OperationVoice!$A:$A,OperationVoice!L:L,XLOOKUP($D606,OperationTickets!$A:$A,OperationTickets!L:L,"",0)),"hh:mm"))</f>
        <v>08:00</v>
      </c>
      <c r="G606" s="309">
        <f t="shared" si="3"/>
        <v>0.7083333333</v>
      </c>
      <c r="H606" s="316" t="str">
        <f t="array" ref="H606">XLOOKUP(B606,Roster!L:L,Roster!N:N,XLOOKUP(D606,TicketsBreak!A:A,TicketsBreak!E:E,"",0),0)</f>
        <v>10:45 - 11:00</v>
      </c>
      <c r="I606" s="316" t="str">
        <f t="array" ref="I606">XLOOKUP(B606,Roster!L:L,Roster!O:O,XLOOKUP(D606,TicketsBreak!A:A,TicketsBreak!F:F,"",0),0)</f>
        <v>14:00 - 14:30</v>
      </c>
      <c r="J606" s="316" t="str">
        <f t="array" ref="J606">XLOOKUP(B606,Roster!L:L,Roster!P:P,XLOOKUP(D606,TicketsBreak!A:A,TicketsBreak!G:G,"",0),0)</f>
        <v>15:45 - 16:00</v>
      </c>
      <c r="K606" s="310">
        <f t="shared" si="4"/>
        <v>46118</v>
      </c>
      <c r="L606" s="317">
        <f t="array" ref="L606">(XLOOKUP(D606,Roster!F:F,Roster!D:D,"",0))</f>
        <v>37</v>
      </c>
      <c r="M606" s="317" t="str">
        <f t="array" ref="M606">XLOOKUP(D606,Roster!F:F,Roster!E:E)</f>
        <v>Voice</v>
      </c>
      <c r="N606" s="317" t="str">
        <f t="shared" ref="N606:P606" si="617">LEFT(H606,5)</f>
        <v>10:45</v>
      </c>
      <c r="O606" s="317" t="str">
        <f t="shared" si="617"/>
        <v>14:00</v>
      </c>
      <c r="P606" s="317" t="str">
        <f t="shared" si="617"/>
        <v>15:45</v>
      </c>
      <c r="Q606" s="318">
        <f t="shared" si="382"/>
        <v>46118.44792</v>
      </c>
      <c r="R606" s="318">
        <f t="shared" si="383"/>
        <v>46118.58333</v>
      </c>
      <c r="S606" s="318">
        <f t="shared" si="8"/>
        <v>46118.65625</v>
      </c>
    </row>
    <row r="607">
      <c r="A607" s="14" t="str">
        <f t="shared" si="1"/>
        <v>C51246118</v>
      </c>
      <c r="B607" s="185">
        <f t="array" ref="B607">IF(F607="VL","",IF(F607="Free","Free",XLOOKUP(D607,Roster!T:T,Roster!S:S,"",0)))</f>
        <v>122</v>
      </c>
      <c r="C607" s="313">
        <v>46118.0</v>
      </c>
      <c r="D607" s="314" t="s">
        <v>36</v>
      </c>
      <c r="E607" s="307" t="str">
        <f t="array" ref="E607">(XLOOKUP(D607,Roster!F:F,Roster!B:B,"",0))</f>
        <v>Jhoam Quiroz</v>
      </c>
      <c r="F607" s="315" t="str">
        <f t="array" ref="F607">IF(B607=100,"Free",TEXT(XLOOKUP($D607,OperationVoice!$A:$A,OperationVoice!L:L,XLOOKUP($D607,OperationTickets!$A:$A,OperationTickets!L:L,"",0)),"hh:mm"))</f>
        <v>08:00</v>
      </c>
      <c r="G607" s="309">
        <f t="shared" si="3"/>
        <v>0.7083333333</v>
      </c>
      <c r="H607" s="316" t="str">
        <f t="array" ref="H607">XLOOKUP(B607,Roster!L:L,Roster!N:N,XLOOKUP(D607,TicketsBreak!A:A,TicketsBreak!E:E,"",0),0)</f>
        <v>09:30 - 09:45</v>
      </c>
      <c r="I607" s="316" t="str">
        <f t="array" ref="I607">XLOOKUP(B607,Roster!L:L,Roster!O:O,XLOOKUP(D607,TicketsBreak!A:A,TicketsBreak!F:F,"",0),0)</f>
        <v>12:00 - 12:30</v>
      </c>
      <c r="J607" s="316" t="str">
        <f t="array" ref="J607">XLOOKUP(B607,Roster!L:L,Roster!P:P,XLOOKUP(D607,TicketsBreak!A:A,TicketsBreak!G:G,"",0),0)</f>
        <v>14:45 - 15:00</v>
      </c>
      <c r="K607" s="310">
        <f t="shared" si="4"/>
        <v>46118</v>
      </c>
      <c r="L607" s="317">
        <f t="array" ref="L607">(XLOOKUP(D607,Roster!F:F,Roster!D:D,"",0))</f>
        <v>1</v>
      </c>
      <c r="M607" s="317" t="str">
        <f t="array" ref="M607">XLOOKUP(D607,Roster!F:F,Roster!E:E)</f>
        <v>Voice</v>
      </c>
      <c r="N607" s="317" t="str">
        <f t="shared" ref="N607:P607" si="618">LEFT(H607,5)</f>
        <v>09:30</v>
      </c>
      <c r="O607" s="317" t="str">
        <f t="shared" si="618"/>
        <v>12:00</v>
      </c>
      <c r="P607" s="317" t="str">
        <f t="shared" si="618"/>
        <v>14:45</v>
      </c>
      <c r="Q607" s="318">
        <f t="shared" si="382"/>
        <v>46118.39583</v>
      </c>
      <c r="R607" s="318">
        <f t="shared" si="383"/>
        <v>46118.5</v>
      </c>
      <c r="S607" s="318">
        <f t="shared" si="8"/>
        <v>46118.61458</v>
      </c>
    </row>
    <row r="608">
      <c r="A608" s="14" t="str">
        <f t="shared" si="1"/>
        <v>C150946118</v>
      </c>
      <c r="B608" s="185">
        <f t="array" ref="B608">IF(F608="VL","",IF(F608="Free","Free",XLOOKUP(D608,Roster!T:T,Roster!S:S,"",0)))</f>
        <v>121</v>
      </c>
      <c r="C608" s="313">
        <v>46118.0</v>
      </c>
      <c r="D608" s="314" t="s">
        <v>37</v>
      </c>
      <c r="E608" s="307" t="str">
        <f t="array" ref="E608">(XLOOKUP(D608,Roster!F:F,Roster!B:B,"",0))</f>
        <v>Jhonatan Gomez</v>
      </c>
      <c r="F608" s="315" t="str">
        <f t="array" ref="F608">IF(B608=100,"Free",TEXT(XLOOKUP($D608,OperationVoice!$A:$A,OperationVoice!L:L,XLOOKUP($D608,OperationTickets!$A:$A,OperationTickets!L:L,"",0)),"hh:mm"))</f>
        <v>08:00</v>
      </c>
      <c r="G608" s="309">
        <f t="shared" si="3"/>
        <v>0.7083333333</v>
      </c>
      <c r="H608" s="316" t="str">
        <f t="array" ref="H608">XLOOKUP(B608,Roster!L:L,Roster!N:N,XLOOKUP(D608,TicketsBreak!A:A,TicketsBreak!E:E,"",0),0)</f>
        <v>09:15 - 09:30</v>
      </c>
      <c r="I608" s="316" t="str">
        <f t="array" ref="I608">XLOOKUP(B608,Roster!L:L,Roster!O:O,XLOOKUP(D608,TicketsBreak!A:A,TicketsBreak!F:F,"",0),0)</f>
        <v>11:30 - 12:00</v>
      </c>
      <c r="J608" s="316" t="str">
        <f t="array" ref="J608">XLOOKUP(B608,Roster!L:L,Roster!P:P,XLOOKUP(D608,TicketsBreak!A:A,TicketsBreak!G:G,"",0),0)</f>
        <v>14:30 - 14:45</v>
      </c>
      <c r="K608" s="310">
        <f t="shared" si="4"/>
        <v>46118</v>
      </c>
      <c r="L608" s="317">
        <f t="array" ref="L608">(XLOOKUP(D608,Roster!F:F,Roster!D:D,"",0))</f>
        <v>35</v>
      </c>
      <c r="M608" s="317" t="str">
        <f t="array" ref="M608">XLOOKUP(D608,Roster!F:F,Roster!E:E)</f>
        <v>Voice</v>
      </c>
      <c r="N608" s="317" t="str">
        <f t="shared" ref="N608:P608" si="619">LEFT(H608,5)</f>
        <v>09:15</v>
      </c>
      <c r="O608" s="317" t="str">
        <f t="shared" si="619"/>
        <v>11:30</v>
      </c>
      <c r="P608" s="317" t="str">
        <f t="shared" si="619"/>
        <v>14:30</v>
      </c>
      <c r="Q608" s="318">
        <f t="shared" si="382"/>
        <v>46118.38542</v>
      </c>
      <c r="R608" s="318">
        <f t="shared" si="383"/>
        <v>46118.47917</v>
      </c>
      <c r="S608" s="318">
        <f t="shared" si="8"/>
        <v>46118.60417</v>
      </c>
    </row>
    <row r="609">
      <c r="A609" s="14" t="str">
        <f t="shared" si="1"/>
        <v>C151546118</v>
      </c>
      <c r="B609" s="185">
        <f t="array" ref="B609">IF(F609="VL","",IF(F609="Free","Free",XLOOKUP(D609,Roster!T:T,Roster!S:S,"",0)))</f>
        <v>151</v>
      </c>
      <c r="C609" s="313">
        <v>46118.0</v>
      </c>
      <c r="D609" s="314" t="s">
        <v>38</v>
      </c>
      <c r="E609" s="307" t="str">
        <f t="array" ref="E609">(XLOOKUP(D609,Roster!F:F,Roster!B:B,"",0))</f>
        <v>Joan Perez</v>
      </c>
      <c r="F609" s="315" t="str">
        <f t="array" ref="F609">IF(B609=100,"Free",TEXT(XLOOKUP($D609,OperationVoice!$A:$A,OperationVoice!L:L,XLOOKUP($D609,OperationTickets!$A:$A,OperationTickets!L:L,"",0)),"hh:mm"))</f>
        <v/>
      </c>
      <c r="G609" s="309" t="str">
        <f t="shared" si="3"/>
        <v/>
      </c>
      <c r="H609" s="316" t="str">
        <f t="array" ref="H609">XLOOKUP(B609,Roster!L:L,Roster!N:N,XLOOKUP(D609,TicketsBreak!A:A,TicketsBreak!E:E,"",0),0)</f>
        <v>12:15 - 12:30</v>
      </c>
      <c r="I609" s="316" t="str">
        <f t="array" ref="I609">XLOOKUP(B609,Roster!L:L,Roster!O:O,XLOOKUP(D609,TicketsBreak!A:A,TicketsBreak!F:F,"",0),0)</f>
        <v>14:00 - 14:30</v>
      </c>
      <c r="J609" s="316" t="str">
        <f t="array" ref="J609">XLOOKUP(B609,Roster!L:L,Roster!P:P,XLOOKUP(D609,TicketsBreak!A:A,TicketsBreak!G:G,"",0),0)</f>
        <v>17:15 - 17:30</v>
      </c>
      <c r="K609" s="310">
        <f t="shared" si="4"/>
        <v>46118</v>
      </c>
      <c r="L609" s="317">
        <f t="array" ref="L609">(XLOOKUP(D609,Roster!F:F,Roster!D:D,"",0))</f>
        <v>35</v>
      </c>
      <c r="M609" s="317" t="str">
        <f t="array" ref="M609">XLOOKUP(D609,Roster!F:F,Roster!E:E)</f>
        <v>Voice</v>
      </c>
      <c r="N609" s="317" t="str">
        <f t="shared" ref="N609:P609" si="620">LEFT(H609,5)</f>
        <v>12:15</v>
      </c>
      <c r="O609" s="317" t="str">
        <f t="shared" si="620"/>
        <v>14:00</v>
      </c>
      <c r="P609" s="317" t="str">
        <f t="shared" si="620"/>
        <v>17:15</v>
      </c>
      <c r="Q609" s="318">
        <f t="shared" si="382"/>
        <v>46118.51042</v>
      </c>
      <c r="R609" s="318">
        <f t="shared" si="383"/>
        <v>46118.58333</v>
      </c>
      <c r="S609" s="318">
        <f t="shared" si="8"/>
        <v>46118.71875</v>
      </c>
    </row>
    <row r="610">
      <c r="A610" s="14" t="str">
        <f t="shared" si="1"/>
        <v>C128946118</v>
      </c>
      <c r="B610" s="185" t="str">
        <f t="array" ref="B610">IF(F610="VL","",IF(F610="Free","Free",XLOOKUP(D610,Roster!T:T,Roster!S:S,"",0)))</f>
        <v/>
      </c>
      <c r="C610" s="313">
        <v>46118.0</v>
      </c>
      <c r="D610" s="314" t="s">
        <v>140</v>
      </c>
      <c r="E610" s="307" t="str">
        <f t="array" ref="E610">(XLOOKUP(D610,Roster!F:F,Roster!B:B,"",0))</f>
        <v>Johana Villarreal</v>
      </c>
      <c r="F610" s="315" t="str">
        <f t="array" ref="F610">IF(B610=100,"Free",TEXT(XLOOKUP($D610,OperationVoice!$A:$A,OperationVoice!L:L,XLOOKUP($D610,OperationTickets!$A:$A,OperationTickets!L:L,"",0)),"hh:mm"))</f>
        <v>07:00</v>
      </c>
      <c r="G610" s="309">
        <f t="shared" si="3"/>
        <v>0.6666666667</v>
      </c>
      <c r="H610" s="316" t="str">
        <f t="array" ref="H610">XLOOKUP(B610,Roster!L:L,Roster!N:N,XLOOKUP(D610,TicketsBreak!A:A,TicketsBreak!E:E,"",0),0)</f>
        <v/>
      </c>
      <c r="I610" s="316" t="str">
        <f t="array" ref="I610">XLOOKUP(B610,Roster!L:L,Roster!O:O,XLOOKUP(D610,TicketsBreak!A:A,TicketsBreak!F:F,"",0),0)</f>
        <v/>
      </c>
      <c r="J610" s="316" t="str">
        <f t="array" ref="J610">XLOOKUP(B610,Roster!L:L,Roster!P:P,XLOOKUP(D610,TicketsBreak!A:A,TicketsBreak!G:G,"",0),0)</f>
        <v/>
      </c>
      <c r="K610" s="310">
        <f t="shared" si="4"/>
        <v>46118</v>
      </c>
      <c r="L610" s="317">
        <f t="array" ref="L610">(XLOOKUP(D610,Roster!F:F,Roster!D:D,"",0))</f>
        <v>28</v>
      </c>
      <c r="M610" s="317" t="str">
        <f t="array" ref="M610">XLOOKUP(D610,Roster!F:F,Roster!E:E)</f>
        <v>Tickets</v>
      </c>
      <c r="N610" s="317" t="str">
        <f t="shared" ref="N610:P610" si="621">LEFT(H610,5)</f>
        <v/>
      </c>
      <c r="O610" s="317" t="str">
        <f t="shared" si="621"/>
        <v/>
      </c>
      <c r="P610" s="317" t="str">
        <f t="shared" si="621"/>
        <v/>
      </c>
      <c r="Q610" s="318" t="str">
        <f t="shared" si="382"/>
        <v/>
      </c>
      <c r="R610" s="318" t="str">
        <f t="shared" si="383"/>
        <v/>
      </c>
      <c r="S610" s="318" t="str">
        <f t="shared" si="8"/>
        <v/>
      </c>
    </row>
    <row r="611">
      <c r="A611" s="14" t="str">
        <f t="shared" si="1"/>
        <v>C155146118</v>
      </c>
      <c r="B611" s="185">
        <f t="array" ref="B611">IF(F611="VL","",IF(F611="Free","Free",XLOOKUP(D611,Roster!T:T,Roster!S:S,"",0)))</f>
        <v>124</v>
      </c>
      <c r="C611" s="313">
        <v>46118.0</v>
      </c>
      <c r="D611" s="314" t="s">
        <v>39</v>
      </c>
      <c r="E611" s="307" t="str">
        <f t="array" ref="E611">(XLOOKUP(D611,Roster!F:F,Roster!B:B,"",0))</f>
        <v>John Atilano</v>
      </c>
      <c r="F611" s="315" t="str">
        <f t="array" ref="F611">IF(B611=100,"Free",TEXT(XLOOKUP($D611,OperationVoice!$A:$A,OperationVoice!L:L,XLOOKUP($D611,OperationTickets!$A:$A,OperationTickets!L:L,"",0)),"hh:mm"))</f>
        <v>08:00</v>
      </c>
      <c r="G611" s="309">
        <f t="shared" si="3"/>
        <v>0.7083333333</v>
      </c>
      <c r="H611" s="316" t="str">
        <f t="array" ref="H611">XLOOKUP(B611,Roster!L:L,Roster!N:N,XLOOKUP(D611,TicketsBreak!A:A,TicketsBreak!E:E,"",0),0)</f>
        <v>10:00 - 10:15</v>
      </c>
      <c r="I611" s="316" t="str">
        <f t="array" ref="I611">XLOOKUP(B611,Roster!L:L,Roster!O:O,XLOOKUP(D611,TicketsBreak!A:A,TicketsBreak!F:F,"",0),0)</f>
        <v>13:00 - 13:30</v>
      </c>
      <c r="J611" s="316" t="str">
        <f t="array" ref="J611">XLOOKUP(B611,Roster!L:L,Roster!P:P,XLOOKUP(D611,TicketsBreak!A:A,TicketsBreak!G:G,"",0),0)</f>
        <v>15:30 - 15:45</v>
      </c>
      <c r="K611" s="310">
        <f t="shared" si="4"/>
        <v>46118</v>
      </c>
      <c r="L611" s="317">
        <f t="array" ref="L611">(XLOOKUP(D611,Roster!F:F,Roster!D:D,"",0))</f>
        <v>37</v>
      </c>
      <c r="M611" s="317" t="str">
        <f t="array" ref="M611">XLOOKUP(D611,Roster!F:F,Roster!E:E)</f>
        <v>Voice</v>
      </c>
      <c r="N611" s="317" t="str">
        <f t="shared" ref="N611:P611" si="622">LEFT(H611,5)</f>
        <v>10:00</v>
      </c>
      <c r="O611" s="317" t="str">
        <f t="shared" si="622"/>
        <v>13:00</v>
      </c>
      <c r="P611" s="317" t="str">
        <f t="shared" si="622"/>
        <v>15:30</v>
      </c>
      <c r="Q611" s="318">
        <f t="shared" si="382"/>
        <v>46118.41667</v>
      </c>
      <c r="R611" s="318">
        <f t="shared" si="383"/>
        <v>46118.54167</v>
      </c>
      <c r="S611" s="318">
        <f t="shared" si="8"/>
        <v>46118.64583</v>
      </c>
    </row>
    <row r="612">
      <c r="A612" s="14" t="str">
        <f t="shared" si="1"/>
        <v>C154346118</v>
      </c>
      <c r="B612" s="185">
        <f t="array" ref="B612">IF(F612="VL","",IF(F612="Free","Free",XLOOKUP(D612,Roster!T:T,Roster!S:S,"",0)))</f>
        <v>134</v>
      </c>
      <c r="C612" s="313">
        <v>46118.0</v>
      </c>
      <c r="D612" s="314" t="s">
        <v>40</v>
      </c>
      <c r="E612" s="307" t="str">
        <f t="array" ref="E612">(XLOOKUP(D612,Roster!F:F,Roster!B:B,"",0))</f>
        <v>John Palacio</v>
      </c>
      <c r="F612" s="315" t="str">
        <f t="array" ref="F612">IF(B612=100,"Free",TEXT(XLOOKUP($D612,OperationVoice!$A:$A,OperationVoice!L:L,XLOOKUP($D612,OperationTickets!$A:$A,OperationTickets!L:L,"",0)),"hh:mm"))</f>
        <v>09:00</v>
      </c>
      <c r="G612" s="309">
        <f t="shared" si="3"/>
        <v>0.75</v>
      </c>
      <c r="H612" s="316" t="str">
        <f t="array" ref="H612">XLOOKUP(B612,Roster!L:L,Roster!N:N,XLOOKUP(D612,TicketsBreak!A:A,TicketsBreak!E:E,"",0),0)</f>
        <v>11:00 - 11:15</v>
      </c>
      <c r="I612" s="316" t="str">
        <f t="array" ref="I612">XLOOKUP(B612,Roster!L:L,Roster!O:O,XLOOKUP(D612,TicketsBreak!A:A,TicketsBreak!F:F,"",0),0)</f>
        <v>13:45 - 14:15</v>
      </c>
      <c r="J612" s="316" t="str">
        <f t="array" ref="J612">XLOOKUP(B612,Roster!L:L,Roster!P:P,XLOOKUP(D612,TicketsBreak!A:A,TicketsBreak!G:G,"",0),0)</f>
        <v>16:00 - 16:15</v>
      </c>
      <c r="K612" s="310">
        <f t="shared" si="4"/>
        <v>46118</v>
      </c>
      <c r="L612" s="317">
        <f t="array" ref="L612">(XLOOKUP(D612,Roster!F:F,Roster!D:D,"",0))</f>
        <v>36</v>
      </c>
      <c r="M612" s="317" t="str">
        <f t="array" ref="M612">XLOOKUP(D612,Roster!F:F,Roster!E:E)</f>
        <v>Voice</v>
      </c>
      <c r="N612" s="317" t="str">
        <f t="shared" ref="N612:P612" si="623">LEFT(H612,5)</f>
        <v>11:00</v>
      </c>
      <c r="O612" s="317" t="str">
        <f t="shared" si="623"/>
        <v>13:45</v>
      </c>
      <c r="P612" s="317" t="str">
        <f t="shared" si="623"/>
        <v>16:00</v>
      </c>
      <c r="Q612" s="318">
        <f t="shared" si="382"/>
        <v>46118.45833</v>
      </c>
      <c r="R612" s="318">
        <f t="shared" si="383"/>
        <v>46118.57292</v>
      </c>
      <c r="S612" s="318">
        <f t="shared" si="8"/>
        <v>46118.66667</v>
      </c>
    </row>
    <row r="613">
      <c r="A613" s="14" t="str">
        <f t="shared" si="1"/>
        <v>C154246118</v>
      </c>
      <c r="B613" s="185">
        <f t="array" ref="B613">IF(F613="VL","",IF(F613="Free","Free",XLOOKUP(D613,Roster!T:T,Roster!S:S,"",0)))</f>
        <v>124</v>
      </c>
      <c r="C613" s="313">
        <v>46118.0</v>
      </c>
      <c r="D613" s="314" t="s">
        <v>41</v>
      </c>
      <c r="E613" s="307" t="str">
        <f t="array" ref="E613">(XLOOKUP(D613,Roster!F:F,Roster!B:B,"",0))</f>
        <v>Johny Garcia</v>
      </c>
      <c r="F613" s="315" t="str">
        <f t="array" ref="F613">IF(B613=100,"Free",TEXT(XLOOKUP($D613,OperationVoice!$A:$A,OperationVoice!L:L,XLOOKUP($D613,OperationTickets!$A:$A,OperationTickets!L:L,"",0)),"hh:mm"))</f>
        <v>08:00</v>
      </c>
      <c r="G613" s="309">
        <f t="shared" si="3"/>
        <v>0.7083333333</v>
      </c>
      <c r="H613" s="316" t="str">
        <f t="array" ref="H613">XLOOKUP(B613,Roster!L:L,Roster!N:N,XLOOKUP(D613,TicketsBreak!A:A,TicketsBreak!E:E,"",0),0)</f>
        <v>10:00 - 10:15</v>
      </c>
      <c r="I613" s="316" t="str">
        <f t="array" ref="I613">XLOOKUP(B613,Roster!L:L,Roster!O:O,XLOOKUP(D613,TicketsBreak!A:A,TicketsBreak!F:F,"",0),0)</f>
        <v>13:00 - 13:30</v>
      </c>
      <c r="J613" s="316" t="str">
        <f t="array" ref="J613">XLOOKUP(B613,Roster!L:L,Roster!P:P,XLOOKUP(D613,TicketsBreak!A:A,TicketsBreak!G:G,"",0),0)</f>
        <v>15:30 - 15:45</v>
      </c>
      <c r="K613" s="310">
        <f t="shared" si="4"/>
        <v>46118</v>
      </c>
      <c r="L613" s="317">
        <f t="array" ref="L613">(XLOOKUP(D613,Roster!F:F,Roster!D:D,"",0))</f>
        <v>36</v>
      </c>
      <c r="M613" s="317" t="str">
        <f t="array" ref="M613">XLOOKUP(D613,Roster!F:F,Roster!E:E)</f>
        <v>Voice</v>
      </c>
      <c r="N613" s="317" t="str">
        <f t="shared" ref="N613:P613" si="624">LEFT(H613,5)</f>
        <v>10:00</v>
      </c>
      <c r="O613" s="317" t="str">
        <f t="shared" si="624"/>
        <v>13:00</v>
      </c>
      <c r="P613" s="317" t="str">
        <f t="shared" si="624"/>
        <v>15:30</v>
      </c>
      <c r="Q613" s="318">
        <f t="shared" si="382"/>
        <v>46118.41667</v>
      </c>
      <c r="R613" s="318">
        <f t="shared" si="383"/>
        <v>46118.54167</v>
      </c>
      <c r="S613" s="318">
        <f t="shared" si="8"/>
        <v>46118.64583</v>
      </c>
    </row>
    <row r="614">
      <c r="A614" s="14" t="str">
        <f t="shared" si="1"/>
        <v>C156946118</v>
      </c>
      <c r="B614" s="185">
        <f t="array" ref="B614">IF(F614="VL","",IF(F614="Free","Free",XLOOKUP(D614,Roster!T:T,Roster!S:S,"",0)))</f>
        <v>121</v>
      </c>
      <c r="C614" s="313">
        <v>46118.0</v>
      </c>
      <c r="D614" s="314" t="s">
        <v>42</v>
      </c>
      <c r="E614" s="307" t="str">
        <f t="array" ref="E614">(XLOOKUP(D614,Roster!F:F,Roster!B:B,"",0))</f>
        <v>Jorge Orozco</v>
      </c>
      <c r="F614" s="315" t="str">
        <f t="array" ref="F614">IF(B614=100,"Free",TEXT(XLOOKUP($D614,OperationVoice!$A:$A,OperationVoice!L:L,XLOOKUP($D614,OperationTickets!$A:$A,OperationTickets!L:L,"",0)),"hh:mm"))</f>
        <v>08:00</v>
      </c>
      <c r="G614" s="309">
        <f t="shared" si="3"/>
        <v>0.7083333333</v>
      </c>
      <c r="H614" s="316" t="str">
        <f t="array" ref="H614">XLOOKUP(B614,Roster!L:L,Roster!N:N,XLOOKUP(D614,TicketsBreak!A:A,TicketsBreak!E:E,"",0),0)</f>
        <v>09:15 - 09:30</v>
      </c>
      <c r="I614" s="316" t="str">
        <f t="array" ref="I614">XLOOKUP(B614,Roster!L:L,Roster!O:O,XLOOKUP(D614,TicketsBreak!A:A,TicketsBreak!F:F,"",0),0)</f>
        <v>11:30 - 12:00</v>
      </c>
      <c r="J614" s="316" t="str">
        <f t="array" ref="J614">XLOOKUP(B614,Roster!L:L,Roster!P:P,XLOOKUP(D614,TicketsBreak!A:A,TicketsBreak!G:G,"",0),0)</f>
        <v>14:30 - 14:45</v>
      </c>
      <c r="K614" s="310">
        <f t="shared" si="4"/>
        <v>46118</v>
      </c>
      <c r="L614" s="317">
        <f t="array" ref="L614">(XLOOKUP(D614,Roster!F:F,Roster!D:D,"",0))</f>
        <v>38</v>
      </c>
      <c r="M614" s="317" t="str">
        <f t="array" ref="M614">XLOOKUP(D614,Roster!F:F,Roster!E:E)</f>
        <v>Voice</v>
      </c>
      <c r="N614" s="317" t="str">
        <f t="shared" ref="N614:P614" si="625">LEFT(H614,5)</f>
        <v>09:15</v>
      </c>
      <c r="O614" s="317" t="str">
        <f t="shared" si="625"/>
        <v>11:30</v>
      </c>
      <c r="P614" s="317" t="str">
        <f t="shared" si="625"/>
        <v>14:30</v>
      </c>
      <c r="Q614" s="318">
        <f t="shared" si="382"/>
        <v>46118.38542</v>
      </c>
      <c r="R614" s="318">
        <f t="shared" si="383"/>
        <v>46118.47917</v>
      </c>
      <c r="S614" s="318">
        <f t="shared" si="8"/>
        <v>46118.60417</v>
      </c>
    </row>
    <row r="615">
      <c r="A615" s="14" t="str">
        <f t="shared" si="1"/>
        <v>C102746118</v>
      </c>
      <c r="B615" s="185" t="str">
        <f t="array" ref="B615">IF(F615="VL","",IF(F615="Free","Free",XLOOKUP(D615,Roster!T:T,Roster!S:S,"",0)))</f>
        <v/>
      </c>
      <c r="C615" s="313">
        <v>46118.0</v>
      </c>
      <c r="D615" s="314" t="s">
        <v>160</v>
      </c>
      <c r="E615" s="307" t="str">
        <f t="array" ref="E615">(XLOOKUP(D615,Roster!F:F,Roster!B:B,"",0))</f>
        <v>Jose Perez</v>
      </c>
      <c r="F615" s="315" t="str">
        <f t="array" ref="F615">IF(B615=100,"Free",TEXT(XLOOKUP($D615,OperationVoice!$A:$A,OperationVoice!L:L,XLOOKUP($D615,OperationTickets!$A:$A,OperationTickets!L:L,"",0)),"hh:mm"))</f>
        <v>VL</v>
      </c>
      <c r="G615" s="309" t="str">
        <f t="shared" si="3"/>
        <v>VL</v>
      </c>
      <c r="H615" s="316">
        <f t="array" ref="H615">XLOOKUP(B615,Roster!L:L,Roster!N:N,XLOOKUP(D615,TicketsBreak!A:A,TicketsBreak!E:E,"",0),0)</f>
        <v>0.4166666667</v>
      </c>
      <c r="I615" s="316">
        <f t="array" ref="I615">XLOOKUP(B615,Roster!L:L,Roster!O:O,XLOOKUP(D615,TicketsBreak!A:A,TicketsBreak!F:F,"",0),0)</f>
        <v>0.5208333333</v>
      </c>
      <c r="J615" s="316">
        <f t="array" ref="J615">XLOOKUP(B615,Roster!L:L,Roster!P:P,XLOOKUP(D615,TicketsBreak!A:A,TicketsBreak!G:G,"",0),0)</f>
        <v>0.6354166667</v>
      </c>
      <c r="K615" s="310">
        <f t="shared" si="4"/>
        <v>46118</v>
      </c>
      <c r="L615" s="317">
        <f t="array" ref="L615">(XLOOKUP(D615,Roster!F:F,Roster!D:D,"",0))</f>
        <v>15</v>
      </c>
      <c r="M615" s="317" t="str">
        <f t="array" ref="M615">XLOOKUP(D615,Roster!F:F,Roster!E:E)</f>
        <v>Tickets</v>
      </c>
      <c r="N615" s="317" t="str">
        <f t="shared" ref="N615:P615" si="626">LEFT(H615,5)</f>
        <v>10:00</v>
      </c>
      <c r="O615" s="317" t="str">
        <f t="shared" si="626"/>
        <v>12:30</v>
      </c>
      <c r="P615" s="317" t="str">
        <f t="shared" si="626"/>
        <v>15:15</v>
      </c>
      <c r="Q615" s="318">
        <f t="shared" si="382"/>
        <v>46118.41667</v>
      </c>
      <c r="R615" s="318">
        <f t="shared" si="383"/>
        <v>46118.52083</v>
      </c>
      <c r="S615" s="318">
        <f t="shared" si="8"/>
        <v>46118.63542</v>
      </c>
    </row>
    <row r="616">
      <c r="A616" s="14" t="str">
        <f t="shared" si="1"/>
        <v>C142646118</v>
      </c>
      <c r="B616" s="185">
        <f t="array" ref="B616">IF(F616="VL","",IF(F616="Free","Free",XLOOKUP(D616,Roster!T:T,Roster!S:S,"",0)))</f>
        <v>123</v>
      </c>
      <c r="C616" s="313">
        <v>46118.0</v>
      </c>
      <c r="D616" s="314" t="s">
        <v>161</v>
      </c>
      <c r="E616" s="307" t="str">
        <f t="array" ref="E616">(XLOOKUP(D616,Roster!F:F,Roster!B:B,"",0))</f>
        <v>Jose Zapata</v>
      </c>
      <c r="F616" s="315" t="str">
        <f t="array" ref="F616">IF(B616=100,"Free",TEXT(XLOOKUP($D616,OperationVoice!$A:$A,OperationVoice!L:L,XLOOKUP($D616,OperationTickets!$A:$A,OperationTickets!L:L,"",0)),"hh:mm"))</f>
        <v>08:00</v>
      </c>
      <c r="G616" s="309">
        <f t="shared" si="3"/>
        <v>0.7083333333</v>
      </c>
      <c r="H616" s="316" t="str">
        <f t="array" ref="H616">XLOOKUP(B616,Roster!L:L,Roster!N:N,XLOOKUP(D616,TicketsBreak!A:A,TicketsBreak!E:E,"",0),0)</f>
        <v>09:45 - 10:00 </v>
      </c>
      <c r="I616" s="316" t="str">
        <f t="array" ref="I616">XLOOKUP(B616,Roster!L:L,Roster!O:O,XLOOKUP(D616,TicketsBreak!A:A,TicketsBreak!F:F,"",0),0)</f>
        <v>12:30 - 13:00</v>
      </c>
      <c r="J616" s="316" t="str">
        <f t="array" ref="J616">XLOOKUP(B616,Roster!L:L,Roster!P:P,XLOOKUP(D616,TicketsBreak!A:A,TicketsBreak!G:G,"",0),0)</f>
        <v>15:00 - 15:15</v>
      </c>
      <c r="K616" s="310">
        <f t="shared" si="4"/>
        <v>46118</v>
      </c>
      <c r="L616" s="317">
        <f t="array" ref="L616">(XLOOKUP(D616,Roster!F:F,Roster!D:D,"",0))</f>
        <v>32</v>
      </c>
      <c r="M616" s="317" t="str">
        <f t="array" ref="M616">XLOOKUP(D616,Roster!F:F,Roster!E:E)</f>
        <v>Tickets</v>
      </c>
      <c r="N616" s="317" t="str">
        <f t="shared" ref="N616:P616" si="627">LEFT(H616,5)</f>
        <v>09:45</v>
      </c>
      <c r="O616" s="317" t="str">
        <f t="shared" si="627"/>
        <v>12:30</v>
      </c>
      <c r="P616" s="317" t="str">
        <f t="shared" si="627"/>
        <v>15:00</v>
      </c>
      <c r="Q616" s="318">
        <f t="shared" si="382"/>
        <v>46118.40625</v>
      </c>
      <c r="R616" s="318">
        <f t="shared" si="383"/>
        <v>46118.52083</v>
      </c>
      <c r="S616" s="318">
        <f t="shared" si="8"/>
        <v>46118.625</v>
      </c>
    </row>
    <row r="617">
      <c r="A617" s="14" t="str">
        <f t="shared" si="1"/>
        <v>C153346118</v>
      </c>
      <c r="B617" s="185">
        <f t="array" ref="B617">IF(F617="VL","",IF(F617="Free","Free",XLOOKUP(D617,Roster!T:T,Roster!S:S,"",0)))</f>
        <v>125</v>
      </c>
      <c r="C617" s="313">
        <v>46118.0</v>
      </c>
      <c r="D617" s="314" t="s">
        <v>43</v>
      </c>
      <c r="E617" s="307" t="str">
        <f t="array" ref="E617">(XLOOKUP(D617,Roster!F:F,Roster!B:B,"",0))</f>
        <v>Juan Barrera</v>
      </c>
      <c r="F617" s="315" t="str">
        <f t="array" ref="F617">IF(B617=100,"Free",TEXT(XLOOKUP($D617,OperationVoice!$A:$A,OperationVoice!L:L,XLOOKUP($D617,OperationTickets!$A:$A,OperationTickets!L:L,"",0)),"hh:mm"))</f>
        <v>08:00</v>
      </c>
      <c r="G617" s="309">
        <f t="shared" si="3"/>
        <v>0.7083333333</v>
      </c>
      <c r="H617" s="316" t="str">
        <f t="array" ref="H617">XLOOKUP(B617,Roster!L:L,Roster!N:N,XLOOKUP(D617,TicketsBreak!A:A,TicketsBreak!E:E,"",0),0)</f>
        <v>10:30 - 10:45</v>
      </c>
      <c r="I617" s="316" t="str">
        <f t="array" ref="I617">XLOOKUP(B617,Roster!L:L,Roster!O:O,XLOOKUP(D617,TicketsBreak!A:A,TicketsBreak!F:F,"",0),0)</f>
        <v>13:30 - 14:00</v>
      </c>
      <c r="J617" s="316" t="str">
        <f t="array" ref="J617">XLOOKUP(B617,Roster!L:L,Roster!P:P,XLOOKUP(D617,TicketsBreak!A:A,TicketsBreak!G:G,"",0),0)</f>
        <v>15:45 - 16:00</v>
      </c>
      <c r="K617" s="310">
        <f t="shared" si="4"/>
        <v>46118</v>
      </c>
      <c r="L617" s="317">
        <f t="array" ref="L617">(XLOOKUP(D617,Roster!F:F,Roster!D:D,"",0))</f>
        <v>36</v>
      </c>
      <c r="M617" s="317" t="str">
        <f t="array" ref="M617">XLOOKUP(D617,Roster!F:F,Roster!E:E)</f>
        <v>Voice</v>
      </c>
      <c r="N617" s="317" t="str">
        <f t="shared" ref="N617:P617" si="628">LEFT(H617,5)</f>
        <v>10:30</v>
      </c>
      <c r="O617" s="317" t="str">
        <f t="shared" si="628"/>
        <v>13:30</v>
      </c>
      <c r="P617" s="317" t="str">
        <f t="shared" si="628"/>
        <v>15:45</v>
      </c>
      <c r="Q617" s="318">
        <f t="shared" si="382"/>
        <v>46118.4375</v>
      </c>
      <c r="R617" s="318">
        <f t="shared" si="383"/>
        <v>46118.5625</v>
      </c>
      <c r="S617" s="318">
        <f t="shared" si="8"/>
        <v>46118.65625</v>
      </c>
    </row>
    <row r="618">
      <c r="A618" s="14" t="str">
        <f t="shared" si="1"/>
        <v>C146546118</v>
      </c>
      <c r="B618" s="185">
        <f t="array" ref="B618">IF(F618="VL","",IF(F618="Free","Free",XLOOKUP(D618,Roster!T:T,Roster!S:S,"",0)))</f>
        <v>500</v>
      </c>
      <c r="C618" s="313">
        <v>46118.0</v>
      </c>
      <c r="D618" s="314" t="s">
        <v>44</v>
      </c>
      <c r="E618" s="307" t="str">
        <f t="array" ref="E618">(XLOOKUP(D618,Roster!F:F,Roster!B:B,"",0))</f>
        <v>Juan Castilla</v>
      </c>
      <c r="F618" s="315" t="str">
        <f t="array" ref="F618">IF(B618=100,"Free",TEXT(XLOOKUP($D618,OperationVoice!$A:$A,OperationVoice!L:L,XLOOKUP($D618,OperationTickets!$A:$A,OperationTickets!L:L,"",0)),"hh:mm"))</f>
        <v>08:00</v>
      </c>
      <c r="G618" s="309">
        <f t="shared" si="3"/>
        <v>0.7083333333</v>
      </c>
      <c r="H618" s="316" t="str">
        <f t="array" ref="H618">XLOOKUP(B618,Roster!L:L,Roster!N:N,XLOOKUP(D618,TicketsBreak!A:A,TicketsBreak!E:E,"",0),0)</f>
        <v>Team Leader</v>
      </c>
      <c r="I618" s="316" t="str">
        <f t="array" ref="I618">XLOOKUP(B618,Roster!L:L,Roster!O:O,XLOOKUP(D618,TicketsBreak!A:A,TicketsBreak!F:F,"",0),0)</f>
        <v>Team Leader</v>
      </c>
      <c r="J618" s="316" t="str">
        <f t="array" ref="J618">XLOOKUP(B618,Roster!L:L,Roster!P:P,XLOOKUP(D618,TicketsBreak!A:A,TicketsBreak!G:G,"",0),0)</f>
        <v/>
      </c>
      <c r="K618" s="310">
        <f t="shared" si="4"/>
        <v>46118</v>
      </c>
      <c r="L618" s="317">
        <f t="array" ref="L618">(XLOOKUP(D618,Roster!F:F,Roster!D:D,"",0))</f>
        <v>33</v>
      </c>
      <c r="M618" s="317" t="str">
        <f t="array" ref="M618">XLOOKUP(D618,Roster!F:F,Roster!E:E)</f>
        <v>Voice</v>
      </c>
      <c r="N618" s="317" t="str">
        <f t="shared" ref="N618:P618" si="629">LEFT(H618,5)</f>
        <v>Team </v>
      </c>
      <c r="O618" s="317" t="str">
        <f t="shared" si="629"/>
        <v>Team </v>
      </c>
      <c r="P618" s="317" t="str">
        <f t="shared" si="629"/>
        <v/>
      </c>
      <c r="Q618" s="318" t="str">
        <f t="shared" si="382"/>
        <v>#VALUE!</v>
      </c>
      <c r="R618" s="318" t="str">
        <f t="shared" si="383"/>
        <v>#VALUE!</v>
      </c>
      <c r="S618" s="318" t="str">
        <f t="shared" si="8"/>
        <v/>
      </c>
    </row>
    <row r="619">
      <c r="A619" s="14" t="str">
        <f t="shared" si="1"/>
        <v>C72046118</v>
      </c>
      <c r="B619" s="185" t="str">
        <f t="array" ref="B619">IF(F619="VL","",IF(F619="Free","Free",XLOOKUP(D619,Roster!T:T,Roster!S:S,"",0)))</f>
        <v/>
      </c>
      <c r="C619" s="313">
        <v>46118.0</v>
      </c>
      <c r="D619" s="314" t="s">
        <v>162</v>
      </c>
      <c r="E619" s="307" t="str">
        <f t="array" ref="E619">(XLOOKUP(D619,Roster!F:F,Roster!B:B,"",0))</f>
        <v>Juan Durango</v>
      </c>
      <c r="F619" s="315" t="str">
        <f t="array" ref="F619">IF(B619=100,"Free",TEXT(XLOOKUP($D619,OperationVoice!$A:$A,OperationVoice!L:L,XLOOKUP($D619,OperationTickets!$A:$A,OperationTickets!L:L,"",0)),"hh:mm"))</f>
        <v>08:00</v>
      </c>
      <c r="G619" s="309">
        <f t="shared" si="3"/>
        <v>0.7083333333</v>
      </c>
      <c r="H619" s="316">
        <f t="array" ref="H619">XLOOKUP(B619,Roster!L:L,Roster!N:N,XLOOKUP(D619,TicketsBreak!A:A,TicketsBreak!E:E,"",0),0)</f>
        <v>0.40625</v>
      </c>
      <c r="I619" s="316">
        <f t="array" ref="I619">XLOOKUP(B619,Roster!L:L,Roster!O:O,XLOOKUP(D619,TicketsBreak!A:A,TicketsBreak!F:F,"",0),0)</f>
        <v>0.5729166667</v>
      </c>
      <c r="J619" s="316">
        <f t="array" ref="J619">XLOOKUP(B619,Roster!L:L,Roster!P:P,XLOOKUP(D619,TicketsBreak!A:A,TicketsBreak!G:G,"",0),0)</f>
        <v>0.65625</v>
      </c>
      <c r="K619" s="310">
        <f t="shared" si="4"/>
        <v>46118</v>
      </c>
      <c r="L619" s="317">
        <f t="array" ref="L619">(XLOOKUP(D619,Roster!F:F,Roster!D:D,"",0))</f>
        <v>7</v>
      </c>
      <c r="M619" s="317" t="str">
        <f t="array" ref="M619">XLOOKUP(D619,Roster!F:F,Roster!E:E)</f>
        <v>Tickets</v>
      </c>
      <c r="N619" s="317" t="str">
        <f t="shared" ref="N619:P619" si="630">LEFT(H619,5)</f>
        <v>09:45</v>
      </c>
      <c r="O619" s="317" t="str">
        <f t="shared" si="630"/>
        <v>13:45</v>
      </c>
      <c r="P619" s="317" t="str">
        <f t="shared" si="630"/>
        <v>15:45</v>
      </c>
      <c r="Q619" s="318">
        <f t="shared" si="382"/>
        <v>46118.40625</v>
      </c>
      <c r="R619" s="318">
        <f t="shared" si="383"/>
        <v>46118.57292</v>
      </c>
      <c r="S619" s="318">
        <f t="shared" si="8"/>
        <v>46118.65625</v>
      </c>
    </row>
    <row r="620">
      <c r="A620" s="14" t="str">
        <f t="shared" si="1"/>
        <v>C59846118</v>
      </c>
      <c r="B620" s="185" t="str">
        <f t="array" ref="B620">IF(F620="VL","",IF(F620="Free","Free",XLOOKUP(D620,Roster!T:T,Roster!S:S,"",0)))</f>
        <v/>
      </c>
      <c r="C620" s="313">
        <v>46118.0</v>
      </c>
      <c r="D620" s="314" t="s">
        <v>314</v>
      </c>
      <c r="E620" s="307" t="str">
        <f t="array" ref="E620">(XLOOKUP(D620,Roster!F:F,Roster!B:B,"",0))</f>
        <v>Juan Fonnegra</v>
      </c>
      <c r="F620" s="315" t="str">
        <f t="array" ref="F620">IF(B620=100,"Free",TEXT(XLOOKUP($D620,OperationVoice!$A:$A,OperationVoice!L:L,XLOOKUP($D620,OperationTickets!$A:$A,OperationTickets!L:L,"",0)),"hh:mm"))</f>
        <v/>
      </c>
      <c r="G620" s="309" t="str">
        <f t="shared" si="3"/>
        <v/>
      </c>
      <c r="H620" s="316">
        <f t="array" ref="H620">XLOOKUP(B620,Roster!L:L,Roster!N:N,XLOOKUP(D620,TicketsBreak!A:A,TicketsBreak!E:E,"",0),0)</f>
        <v>0.4166666667</v>
      </c>
      <c r="I620" s="316">
        <f t="array" ref="I620">XLOOKUP(B620,Roster!L:L,Roster!O:O,XLOOKUP(D620,TicketsBreak!A:A,TicketsBreak!F:F,"",0),0)</f>
        <v>0.5208333333</v>
      </c>
      <c r="J620" s="316">
        <f t="array" ref="J620">XLOOKUP(B620,Roster!L:L,Roster!P:P,XLOOKUP(D620,TicketsBreak!A:A,TicketsBreak!G:G,"",0),0)</f>
        <v>0.65625</v>
      </c>
      <c r="K620" s="310">
        <f t="shared" si="4"/>
        <v>46118</v>
      </c>
      <c r="L620" s="317">
        <f t="array" ref="L620">(XLOOKUP(D620,Roster!F:F,Roster!D:D,"",0))</f>
        <v>1</v>
      </c>
      <c r="M620" s="317" t="str">
        <f t="array" ref="M620">XLOOKUP(D620,Roster!F:F,Roster!E:E)</f>
        <v>Tickets</v>
      </c>
      <c r="N620" s="317" t="str">
        <f t="shared" ref="N620:P620" si="631">LEFT(H620,5)</f>
        <v>10:00</v>
      </c>
      <c r="O620" s="317" t="str">
        <f t="shared" si="631"/>
        <v>12:30</v>
      </c>
      <c r="P620" s="317" t="str">
        <f t="shared" si="631"/>
        <v>15:45</v>
      </c>
      <c r="Q620" s="318">
        <f t="shared" si="382"/>
        <v>46118.41667</v>
      </c>
      <c r="R620" s="318">
        <f t="shared" si="383"/>
        <v>46118.52083</v>
      </c>
      <c r="S620" s="318">
        <f t="shared" si="8"/>
        <v>46118.65625</v>
      </c>
    </row>
    <row r="621">
      <c r="A621" s="14" t="str">
        <f t="shared" si="1"/>
        <v>C113946118</v>
      </c>
      <c r="B621" s="185">
        <f t="array" ref="B621">IF(F621="VL","",IF(F621="Free","Free",XLOOKUP(D621,Roster!T:T,Roster!S:S,"",0)))</f>
        <v>125</v>
      </c>
      <c r="C621" s="313">
        <v>46118.0</v>
      </c>
      <c r="D621" s="314" t="s">
        <v>45</v>
      </c>
      <c r="E621" s="307" t="str">
        <f t="array" ref="E621">(XLOOKUP(D621,Roster!F:F,Roster!B:B,"",0))</f>
        <v>Juan Largacha</v>
      </c>
      <c r="F621" s="315" t="str">
        <f t="array" ref="F621">IF(B621=100,"Free",TEXT(XLOOKUP($D621,OperationVoice!$A:$A,OperationVoice!L:L,XLOOKUP($D621,OperationTickets!$A:$A,OperationTickets!L:L,"",0)),"hh:mm"))</f>
        <v>08:00</v>
      </c>
      <c r="G621" s="309">
        <f t="shared" si="3"/>
        <v>0.7083333333</v>
      </c>
      <c r="H621" s="316" t="str">
        <f t="array" ref="H621">XLOOKUP(B621,Roster!L:L,Roster!N:N,XLOOKUP(D621,TicketsBreak!A:A,TicketsBreak!E:E,"",0),0)</f>
        <v>10:30 - 10:45</v>
      </c>
      <c r="I621" s="316" t="str">
        <f t="array" ref="I621">XLOOKUP(B621,Roster!L:L,Roster!O:O,XLOOKUP(D621,TicketsBreak!A:A,TicketsBreak!F:F,"",0),0)</f>
        <v>13:30 - 14:00</v>
      </c>
      <c r="J621" s="316" t="str">
        <f t="array" ref="J621">XLOOKUP(B621,Roster!L:L,Roster!P:P,XLOOKUP(D621,TicketsBreak!A:A,TicketsBreak!G:G,"",0),0)</f>
        <v>15:45 - 16:00</v>
      </c>
      <c r="K621" s="310">
        <f t="shared" si="4"/>
        <v>46118</v>
      </c>
      <c r="L621" s="317">
        <f t="array" ref="L621">(XLOOKUP(D621,Roster!F:F,Roster!D:D,"",0))</f>
        <v>22</v>
      </c>
      <c r="M621" s="317" t="str">
        <f t="array" ref="M621">XLOOKUP(D621,Roster!F:F,Roster!E:E)</f>
        <v>Voice</v>
      </c>
      <c r="N621" s="317" t="str">
        <f t="shared" ref="N621:P621" si="632">LEFT(H621,5)</f>
        <v>10:30</v>
      </c>
      <c r="O621" s="317" t="str">
        <f t="shared" si="632"/>
        <v>13:30</v>
      </c>
      <c r="P621" s="317" t="str">
        <f t="shared" si="632"/>
        <v>15:45</v>
      </c>
      <c r="Q621" s="318">
        <f t="shared" si="382"/>
        <v>46118.4375</v>
      </c>
      <c r="R621" s="318">
        <f t="shared" si="383"/>
        <v>46118.5625</v>
      </c>
      <c r="S621" s="318">
        <f t="shared" si="8"/>
        <v>46118.65625</v>
      </c>
    </row>
    <row r="622">
      <c r="A622" s="14" t="str">
        <f t="shared" si="1"/>
        <v>C156646118</v>
      </c>
      <c r="B622" s="185">
        <f t="array" ref="B622">IF(F622="VL","",IF(F622="Free","Free",XLOOKUP(D622,Roster!T:T,Roster!S:S,"",0)))</f>
        <v>124</v>
      </c>
      <c r="C622" s="313">
        <v>46118.0</v>
      </c>
      <c r="D622" s="314" t="s">
        <v>46</v>
      </c>
      <c r="E622" s="307" t="str">
        <f t="array" ref="E622">(XLOOKUP(D622,Roster!F:F,Roster!B:B,"",0))</f>
        <v>Juan Ocampo</v>
      </c>
      <c r="F622" s="315" t="str">
        <f t="array" ref="F622">IF(B622=100,"Free",TEXT(XLOOKUP($D622,OperationVoice!$A:$A,OperationVoice!L:L,XLOOKUP($D622,OperationTickets!$A:$A,OperationTickets!L:L,"",0)),"hh:mm"))</f>
        <v>08:00</v>
      </c>
      <c r="G622" s="309">
        <f t="shared" si="3"/>
        <v>0.7083333333</v>
      </c>
      <c r="H622" s="316" t="str">
        <f t="array" ref="H622">XLOOKUP(B622,Roster!L:L,Roster!N:N,XLOOKUP(D622,TicketsBreak!A:A,TicketsBreak!E:E,"",0),0)</f>
        <v>10:00 - 10:15</v>
      </c>
      <c r="I622" s="316" t="str">
        <f t="array" ref="I622">XLOOKUP(B622,Roster!L:L,Roster!O:O,XLOOKUP(D622,TicketsBreak!A:A,TicketsBreak!F:F,"",0),0)</f>
        <v>13:00 - 13:30</v>
      </c>
      <c r="J622" s="316" t="str">
        <f t="array" ref="J622">XLOOKUP(B622,Roster!L:L,Roster!P:P,XLOOKUP(D622,TicketsBreak!A:A,TicketsBreak!G:G,"",0),0)</f>
        <v>15:30 - 15:45</v>
      </c>
      <c r="K622" s="310">
        <f t="shared" si="4"/>
        <v>46118</v>
      </c>
      <c r="L622" s="317">
        <f t="array" ref="L622">(XLOOKUP(D622,Roster!F:F,Roster!D:D,"",0))</f>
        <v>38</v>
      </c>
      <c r="M622" s="317" t="str">
        <f t="array" ref="M622">XLOOKUP(D622,Roster!F:F,Roster!E:E)</f>
        <v>Voice</v>
      </c>
      <c r="N622" s="317" t="str">
        <f t="shared" ref="N622:P622" si="633">LEFT(H622,5)</f>
        <v>10:00</v>
      </c>
      <c r="O622" s="317" t="str">
        <f t="shared" si="633"/>
        <v>13:00</v>
      </c>
      <c r="P622" s="317" t="str">
        <f t="shared" si="633"/>
        <v>15:30</v>
      </c>
      <c r="Q622" s="318">
        <f t="shared" si="382"/>
        <v>46118.41667</v>
      </c>
      <c r="R622" s="318">
        <f t="shared" si="383"/>
        <v>46118.54167</v>
      </c>
      <c r="S622" s="318">
        <f t="shared" si="8"/>
        <v>46118.64583</v>
      </c>
    </row>
    <row r="623" ht="21.0" customHeight="1">
      <c r="A623" s="14" t="str">
        <f t="shared" si="1"/>
        <v>C148446118</v>
      </c>
      <c r="B623" s="185">
        <f t="array" ref="B623">IF(F623="VL","",IF(F623="Free","Free",XLOOKUP(D623,Roster!T:T,Roster!S:S,"",0)))</f>
        <v>126</v>
      </c>
      <c r="C623" s="313">
        <v>46118.0</v>
      </c>
      <c r="D623" s="314" t="s">
        <v>141</v>
      </c>
      <c r="E623" s="307" t="str">
        <f t="array" ref="E623">(XLOOKUP(D623,Roster!F:F,Roster!B:B,"",0))</f>
        <v>Juan Ospina</v>
      </c>
      <c r="F623" s="315" t="str">
        <f t="array" ref="F623">IF(B623=100,"Free",TEXT(XLOOKUP($D623,OperationVoice!$A:$A,OperationVoice!L:L,XLOOKUP($D623,OperationTickets!$A:$A,OperationTickets!L:L,"",0)),"hh:mm"))</f>
        <v>08:00</v>
      </c>
      <c r="G623" s="309">
        <f t="shared" si="3"/>
        <v>0.7083333333</v>
      </c>
      <c r="H623" s="316" t="str">
        <f t="array" ref="H623">XLOOKUP(B623,Roster!L:L,Roster!N:N,XLOOKUP(D623,TicketsBreak!A:A,TicketsBreak!E:E,"",0),0)</f>
        <v>10:45 - 11:00</v>
      </c>
      <c r="I623" s="316" t="str">
        <f t="array" ref="I623">XLOOKUP(B623,Roster!L:L,Roster!O:O,XLOOKUP(D623,TicketsBreak!A:A,TicketsBreak!F:F,"",0),0)</f>
        <v>14:00 - 14:30</v>
      </c>
      <c r="J623" s="316" t="str">
        <f t="array" ref="J623">XLOOKUP(B623,Roster!L:L,Roster!P:P,XLOOKUP(D623,TicketsBreak!A:A,TicketsBreak!G:G,"",0),0)</f>
        <v>15:45 - 16:00</v>
      </c>
      <c r="K623" s="310">
        <f t="shared" si="4"/>
        <v>46118</v>
      </c>
      <c r="L623" s="317">
        <f t="array" ref="L623">(XLOOKUP(D623,Roster!F:F,Roster!D:D,"",0))</f>
        <v>34</v>
      </c>
      <c r="M623" s="317" t="str">
        <f t="array" ref="M623">XLOOKUP(D623,Roster!F:F,Roster!E:E)</f>
        <v>Tickets</v>
      </c>
      <c r="N623" s="317" t="str">
        <f t="shared" ref="N623:P623" si="634">LEFT(H623,5)</f>
        <v>10:45</v>
      </c>
      <c r="O623" s="317" t="str">
        <f t="shared" si="634"/>
        <v>14:00</v>
      </c>
      <c r="P623" s="317" t="str">
        <f t="shared" si="634"/>
        <v>15:45</v>
      </c>
      <c r="Q623" s="318">
        <f t="shared" si="382"/>
        <v>46118.44792</v>
      </c>
      <c r="R623" s="318">
        <f t="shared" si="383"/>
        <v>46118.58333</v>
      </c>
      <c r="S623" s="318">
        <f t="shared" si="8"/>
        <v>46118.65625</v>
      </c>
    </row>
    <row r="624">
      <c r="A624" s="14" t="str">
        <f t="shared" si="1"/>
        <v>C141346118</v>
      </c>
      <c r="B624" s="185">
        <f t="array" ref="B624">IF(F624="VL","",IF(F624="Free","Free",XLOOKUP(D624,Roster!T:T,Roster!S:S,"",0)))</f>
        <v>121</v>
      </c>
      <c r="C624" s="313">
        <v>46118.0</v>
      </c>
      <c r="D624" s="314" t="s">
        <v>47</v>
      </c>
      <c r="E624" s="307" t="str">
        <f t="array" ref="E624">(XLOOKUP(D624,Roster!F:F,Roster!B:B,"",0))</f>
        <v>Juan Parra</v>
      </c>
      <c r="F624" s="315" t="str">
        <f t="array" ref="F624">IF(B624=100,"Free",TEXT(XLOOKUP($D624,OperationVoice!$A:$A,OperationVoice!L:L,XLOOKUP($D624,OperationTickets!$A:$A,OperationTickets!L:L,"",0)),"hh:mm"))</f>
        <v>08:00</v>
      </c>
      <c r="G624" s="309">
        <f t="shared" si="3"/>
        <v>0.7083333333</v>
      </c>
      <c r="H624" s="316" t="str">
        <f t="array" ref="H624">XLOOKUP(B624,Roster!L:L,Roster!N:N,XLOOKUP(D624,TicketsBreak!A:A,TicketsBreak!E:E,"",0),0)</f>
        <v>09:15 - 09:30</v>
      </c>
      <c r="I624" s="316" t="str">
        <f t="array" ref="I624">XLOOKUP(B624,Roster!L:L,Roster!O:O,XLOOKUP(D624,TicketsBreak!A:A,TicketsBreak!F:F,"",0),0)</f>
        <v>11:30 - 12:00</v>
      </c>
      <c r="J624" s="316" t="str">
        <f t="array" ref="J624">XLOOKUP(B624,Roster!L:L,Roster!P:P,XLOOKUP(D624,TicketsBreak!A:A,TicketsBreak!G:G,"",0),0)</f>
        <v>14:30 - 14:45</v>
      </c>
      <c r="K624" s="310">
        <f t="shared" si="4"/>
        <v>46118</v>
      </c>
      <c r="L624" s="317">
        <f t="array" ref="L624">(XLOOKUP(D624,Roster!F:F,Roster!D:D,"",0))</f>
        <v>32</v>
      </c>
      <c r="M624" s="317" t="str">
        <f t="array" ref="M624">XLOOKUP(D624,Roster!F:F,Roster!E:E)</f>
        <v>Voice</v>
      </c>
      <c r="N624" s="317" t="str">
        <f t="shared" ref="N624:P624" si="635">LEFT(H624,5)</f>
        <v>09:15</v>
      </c>
      <c r="O624" s="317" t="str">
        <f t="shared" si="635"/>
        <v>11:30</v>
      </c>
      <c r="P624" s="317" t="str">
        <f t="shared" si="635"/>
        <v>14:30</v>
      </c>
      <c r="Q624" s="318">
        <f t="shared" si="382"/>
        <v>46118.38542</v>
      </c>
      <c r="R624" s="318">
        <f t="shared" si="383"/>
        <v>46118.47917</v>
      </c>
      <c r="S624" s="318">
        <f t="shared" si="8"/>
        <v>46118.60417</v>
      </c>
    </row>
    <row r="625">
      <c r="A625" s="14" t="str">
        <f t="shared" si="1"/>
        <v>C132746118</v>
      </c>
      <c r="B625" s="185" t="str">
        <f t="array" ref="B625">IF(F625="VL","",IF(F625="Free","Free",XLOOKUP(D625,Roster!T:T,Roster!S:S,"",0)))</f>
        <v/>
      </c>
      <c r="C625" s="313">
        <v>46118.0</v>
      </c>
      <c r="D625" s="314" t="s">
        <v>163</v>
      </c>
      <c r="E625" s="307" t="str">
        <f t="array" ref="E625">(XLOOKUP(D625,Roster!F:F,Roster!B:B,"",0))</f>
        <v>Juan Restrepo</v>
      </c>
      <c r="F625" s="315" t="str">
        <f t="array" ref="F625">IF(B625=100,"Free",TEXT(XLOOKUP($D625,OperationVoice!$A:$A,OperationVoice!L:L,XLOOKUP($D625,OperationTickets!$A:$A,OperationTickets!L:L,"",0)),"hh:mm"))</f>
        <v>07:00</v>
      </c>
      <c r="G625" s="309">
        <f t="shared" si="3"/>
        <v>0.6666666667</v>
      </c>
      <c r="H625" s="316" t="str">
        <f t="array" ref="H625">XLOOKUP(B625,Roster!L:L,Roster!N:N,XLOOKUP(D625,TicketsBreak!A:A,TicketsBreak!E:E,"",0),0)</f>
        <v/>
      </c>
      <c r="I625" s="316" t="str">
        <f t="array" ref="I625">XLOOKUP(B625,Roster!L:L,Roster!O:O,XLOOKUP(D625,TicketsBreak!A:A,TicketsBreak!F:F,"",0),0)</f>
        <v/>
      </c>
      <c r="J625" s="316" t="str">
        <f t="array" ref="J625">XLOOKUP(B625,Roster!L:L,Roster!P:P,XLOOKUP(D625,TicketsBreak!A:A,TicketsBreak!G:G,"",0),0)</f>
        <v/>
      </c>
      <c r="K625" s="310">
        <f t="shared" si="4"/>
        <v>46118</v>
      </c>
      <c r="L625" s="317">
        <f t="array" ref="L625">(XLOOKUP(D625,Roster!F:F,Roster!D:D,"",0))</f>
        <v>29</v>
      </c>
      <c r="M625" s="317" t="str">
        <f t="array" ref="M625">XLOOKUP(D625,Roster!F:F,Roster!E:E)</f>
        <v>Tickets</v>
      </c>
      <c r="N625" s="317" t="str">
        <f t="shared" ref="N625:P625" si="636">LEFT(H625,5)</f>
        <v/>
      </c>
      <c r="O625" s="317" t="str">
        <f t="shared" si="636"/>
        <v/>
      </c>
      <c r="P625" s="317" t="str">
        <f t="shared" si="636"/>
        <v/>
      </c>
      <c r="Q625" s="318" t="str">
        <f t="shared" si="382"/>
        <v/>
      </c>
      <c r="R625" s="318" t="str">
        <f t="shared" si="383"/>
        <v/>
      </c>
      <c r="S625" s="318" t="str">
        <f t="shared" si="8"/>
        <v/>
      </c>
    </row>
    <row r="626">
      <c r="A626" s="14" t="str">
        <f t="shared" si="1"/>
        <v>C146946118</v>
      </c>
      <c r="B626" s="185">
        <f t="array" ref="B626">IF(F626="VL","",IF(F626="Free","Free",XLOOKUP(D626,Roster!T:T,Roster!S:S,"",0)))</f>
        <v>122</v>
      </c>
      <c r="C626" s="313">
        <v>46118.0</v>
      </c>
      <c r="D626" s="314" t="s">
        <v>48</v>
      </c>
      <c r="E626" s="307" t="str">
        <f t="array" ref="E626">(XLOOKUP(D626,Roster!F:F,Roster!B:B,"",0))</f>
        <v>Juan Restrepo Restrepo</v>
      </c>
      <c r="F626" s="315" t="str">
        <f t="array" ref="F626">IF(B626=100,"Free",TEXT(XLOOKUP($D626,OperationVoice!$A:$A,OperationVoice!L:L,XLOOKUP($D626,OperationTickets!$A:$A,OperationTickets!L:L,"",0)),"hh:mm"))</f>
        <v>08:00</v>
      </c>
      <c r="G626" s="309">
        <f t="shared" si="3"/>
        <v>0.7083333333</v>
      </c>
      <c r="H626" s="316" t="str">
        <f t="array" ref="H626">XLOOKUP(B626,Roster!L:L,Roster!N:N,XLOOKUP(D626,TicketsBreak!A:A,TicketsBreak!E:E,"",0),0)</f>
        <v>09:30 - 09:45</v>
      </c>
      <c r="I626" s="316" t="str">
        <f t="array" ref="I626">XLOOKUP(B626,Roster!L:L,Roster!O:O,XLOOKUP(D626,TicketsBreak!A:A,TicketsBreak!F:F,"",0),0)</f>
        <v>12:00 - 12:30</v>
      </c>
      <c r="J626" s="316" t="str">
        <f t="array" ref="J626">XLOOKUP(B626,Roster!L:L,Roster!P:P,XLOOKUP(D626,TicketsBreak!A:A,TicketsBreak!G:G,"",0),0)</f>
        <v>14:45 - 15:00</v>
      </c>
      <c r="K626" s="310">
        <f t="shared" si="4"/>
        <v>46118</v>
      </c>
      <c r="L626" s="317">
        <f t="array" ref="L626">(XLOOKUP(D626,Roster!F:F,Roster!D:D,"",0))</f>
        <v>33</v>
      </c>
      <c r="M626" s="317" t="str">
        <f t="array" ref="M626">XLOOKUP(D626,Roster!F:F,Roster!E:E)</f>
        <v>Voice</v>
      </c>
      <c r="N626" s="317" t="str">
        <f t="shared" ref="N626:P626" si="637">LEFT(H626,5)</f>
        <v>09:30</v>
      </c>
      <c r="O626" s="317" t="str">
        <f t="shared" si="637"/>
        <v>12:00</v>
      </c>
      <c r="P626" s="317" t="str">
        <f t="shared" si="637"/>
        <v>14:45</v>
      </c>
      <c r="Q626" s="318">
        <f t="shared" si="382"/>
        <v>46118.39583</v>
      </c>
      <c r="R626" s="318">
        <f t="shared" si="383"/>
        <v>46118.5</v>
      </c>
      <c r="S626" s="318">
        <f t="shared" si="8"/>
        <v>46118.61458</v>
      </c>
    </row>
    <row r="627">
      <c r="A627" s="14" t="str">
        <f t="shared" si="1"/>
        <v>C117146118</v>
      </c>
      <c r="B627" s="185" t="str">
        <f t="array" ref="B627">IF(F627="VL","",IF(F627="Free","Free",XLOOKUP(D627,Roster!T:T,Roster!S:S,"",0)))</f>
        <v/>
      </c>
      <c r="C627" s="313">
        <v>46118.0</v>
      </c>
      <c r="D627" s="314" t="s">
        <v>142</v>
      </c>
      <c r="E627" s="307" t="str">
        <f t="array" ref="E627">(XLOOKUP(D627,Roster!F:F,Roster!B:B,"",0))</f>
        <v>Juan Sanchez</v>
      </c>
      <c r="F627" s="315" t="str">
        <f t="array" ref="F627">IF(B627=100,"Free",TEXT(XLOOKUP($D627,OperationVoice!$A:$A,OperationVoice!L:L,XLOOKUP($D627,OperationTickets!$A:$A,OperationTickets!L:L,"",0)),"hh:mm"))</f>
        <v>08:00</v>
      </c>
      <c r="G627" s="309">
        <f t="shared" si="3"/>
        <v>0.7083333333</v>
      </c>
      <c r="H627" s="316" t="str">
        <f t="array" ref="H627">XLOOKUP(B627,Roster!L:L,Roster!N:N,XLOOKUP(D627,TicketsBreak!A:A,TicketsBreak!E:E,"",0),0)</f>
        <v/>
      </c>
      <c r="I627" s="316" t="str">
        <f t="array" ref="I627">XLOOKUP(B627,Roster!L:L,Roster!O:O,XLOOKUP(D627,TicketsBreak!A:A,TicketsBreak!F:F,"",0),0)</f>
        <v/>
      </c>
      <c r="J627" s="316" t="str">
        <f t="array" ref="J627">XLOOKUP(B627,Roster!L:L,Roster!P:P,XLOOKUP(D627,TicketsBreak!A:A,TicketsBreak!G:G,"",0),0)</f>
        <v/>
      </c>
      <c r="K627" s="310">
        <f t="shared" si="4"/>
        <v>46118</v>
      </c>
      <c r="L627" s="317">
        <f t="array" ref="L627">(XLOOKUP(D627,Roster!F:F,Roster!D:D,"",0))</f>
        <v>24</v>
      </c>
      <c r="M627" s="317" t="str">
        <f t="array" ref="M627">XLOOKUP(D627,Roster!F:F,Roster!E:E)</f>
        <v>Tickets</v>
      </c>
      <c r="N627" s="317" t="str">
        <f t="shared" ref="N627:P627" si="638">LEFT(H627,5)</f>
        <v/>
      </c>
      <c r="O627" s="317" t="str">
        <f t="shared" si="638"/>
        <v/>
      </c>
      <c r="P627" s="317" t="str">
        <f t="shared" si="638"/>
        <v/>
      </c>
      <c r="Q627" s="318" t="str">
        <f t="shared" si="382"/>
        <v/>
      </c>
      <c r="R627" s="318" t="str">
        <f t="shared" si="383"/>
        <v/>
      </c>
      <c r="S627" s="318" t="str">
        <f t="shared" si="8"/>
        <v/>
      </c>
    </row>
    <row r="628">
      <c r="A628" s="14" t="str">
        <f t="shared" si="1"/>
        <v>C74346118</v>
      </c>
      <c r="B628" s="185" t="str">
        <f t="array" ref="B628">IF(F628="VL","",IF(F628="Free","Free",XLOOKUP(D628,Roster!T:T,Roster!S:S,"",0)))</f>
        <v/>
      </c>
      <c r="C628" s="313">
        <v>46118.0</v>
      </c>
      <c r="D628" s="314" t="s">
        <v>164</v>
      </c>
      <c r="E628" s="307" t="str">
        <f t="array" ref="E628">(XLOOKUP(D628,Roster!F:F,Roster!B:B,"",0))</f>
        <v>Juan Suarez</v>
      </c>
      <c r="F628" s="315" t="str">
        <f t="array" ref="F628">IF(B628=100,"Free",TEXT(XLOOKUP($D628,OperationVoice!$A:$A,OperationVoice!L:L,XLOOKUP($D628,OperationTickets!$A:$A,OperationTickets!L:L,"",0)),"hh:mm"))</f>
        <v>08:30</v>
      </c>
      <c r="G628" s="309">
        <f t="shared" si="3"/>
        <v>0.7291666667</v>
      </c>
      <c r="H628" s="316">
        <f t="array" ref="H628">XLOOKUP(B628,Roster!L:L,Roster!N:N,XLOOKUP(D628,TicketsBreak!A:A,TicketsBreak!E:E,"",0),0)</f>
        <v>0.3958333333</v>
      </c>
      <c r="I628" s="316">
        <f t="array" ref="I628">XLOOKUP(B628,Roster!L:L,Roster!O:O,XLOOKUP(D628,TicketsBreak!A:A,TicketsBreak!F:F,"",0),0)</f>
        <v>0.5208333333</v>
      </c>
      <c r="J628" s="316">
        <f t="array" ref="J628">XLOOKUP(B628,Roster!L:L,Roster!P:P,XLOOKUP(D628,TicketsBreak!A:A,TicketsBreak!G:G,"",0),0)</f>
        <v>0.6145833333</v>
      </c>
      <c r="K628" s="310">
        <f t="shared" si="4"/>
        <v>46118</v>
      </c>
      <c r="L628" s="317">
        <f t="array" ref="L628">(XLOOKUP(D628,Roster!F:F,Roster!D:D,"",0))</f>
        <v>8</v>
      </c>
      <c r="M628" s="317" t="str">
        <f t="array" ref="M628">XLOOKUP(D628,Roster!F:F,Roster!E:E)</f>
        <v>Tickets</v>
      </c>
      <c r="N628" s="317" t="str">
        <f t="shared" ref="N628:P628" si="639">LEFT(H628,5)</f>
        <v>09:30</v>
      </c>
      <c r="O628" s="317" t="str">
        <f t="shared" si="639"/>
        <v>12:30</v>
      </c>
      <c r="P628" s="317" t="str">
        <f t="shared" si="639"/>
        <v>14:45</v>
      </c>
      <c r="Q628" s="318">
        <f t="shared" si="382"/>
        <v>46118.39583</v>
      </c>
      <c r="R628" s="318">
        <f t="shared" si="383"/>
        <v>46118.52083</v>
      </c>
      <c r="S628" s="318">
        <f t="shared" si="8"/>
        <v>46118.61458</v>
      </c>
    </row>
    <row r="629">
      <c r="A629" s="14" t="str">
        <f t="shared" si="1"/>
        <v>C156846118</v>
      </c>
      <c r="B629" s="185">
        <f t="array" ref="B629">IF(F629="VL","",IF(F629="Free","Free",XLOOKUP(D629,Roster!T:T,Roster!S:S,"",0)))</f>
        <v>122</v>
      </c>
      <c r="C629" s="313">
        <v>46118.0</v>
      </c>
      <c r="D629" s="314" t="s">
        <v>49</v>
      </c>
      <c r="E629" s="307" t="str">
        <f t="array" ref="E629">(XLOOKUP(D629,Roster!F:F,Roster!B:B,"",0))</f>
        <v>Juan Zapata</v>
      </c>
      <c r="F629" s="315" t="str">
        <f t="array" ref="F629">IF(B629=100,"Free",TEXT(XLOOKUP($D629,OperationVoice!$A:$A,OperationVoice!L:L,XLOOKUP($D629,OperationTickets!$A:$A,OperationTickets!L:L,"",0)),"hh:mm"))</f>
        <v>08:00</v>
      </c>
      <c r="G629" s="309">
        <f t="shared" si="3"/>
        <v>0.7083333333</v>
      </c>
      <c r="H629" s="316" t="str">
        <f t="array" ref="H629">XLOOKUP(B629,Roster!L:L,Roster!N:N,XLOOKUP(D629,TicketsBreak!A:A,TicketsBreak!E:E,"",0),0)</f>
        <v>09:30 - 09:45</v>
      </c>
      <c r="I629" s="316" t="str">
        <f t="array" ref="I629">XLOOKUP(B629,Roster!L:L,Roster!O:O,XLOOKUP(D629,TicketsBreak!A:A,TicketsBreak!F:F,"",0),0)</f>
        <v>12:00 - 12:30</v>
      </c>
      <c r="J629" s="316" t="str">
        <f t="array" ref="J629">XLOOKUP(B629,Roster!L:L,Roster!P:P,XLOOKUP(D629,TicketsBreak!A:A,TicketsBreak!G:G,"",0),0)</f>
        <v>14:45 - 15:00</v>
      </c>
      <c r="K629" s="310">
        <f t="shared" si="4"/>
        <v>46118</v>
      </c>
      <c r="L629" s="317">
        <f t="array" ref="L629">(XLOOKUP(D629,Roster!F:F,Roster!D:D,"",0))</f>
        <v>38</v>
      </c>
      <c r="M629" s="317" t="str">
        <f t="array" ref="M629">XLOOKUP(D629,Roster!F:F,Roster!E:E)</f>
        <v>Voice</v>
      </c>
      <c r="N629" s="317" t="str">
        <f t="shared" ref="N629:P629" si="640">LEFT(H629,5)</f>
        <v>09:30</v>
      </c>
      <c r="O629" s="317" t="str">
        <f t="shared" si="640"/>
        <v>12:00</v>
      </c>
      <c r="P629" s="317" t="str">
        <f t="shared" si="640"/>
        <v>14:45</v>
      </c>
      <c r="Q629" s="318">
        <f t="shared" si="382"/>
        <v>46118.39583</v>
      </c>
      <c r="R629" s="318">
        <f t="shared" si="383"/>
        <v>46118.5</v>
      </c>
      <c r="S629" s="318">
        <f t="shared" si="8"/>
        <v>46118.61458</v>
      </c>
    </row>
    <row r="630">
      <c r="A630" s="14" t="str">
        <f t="shared" si="1"/>
        <v>C75546118</v>
      </c>
      <c r="B630" s="185" t="str">
        <f t="array" ref="B630">IF(F630="VL","",IF(F630="Free","Free",XLOOKUP(D630,Roster!T:T,Roster!S:S,"",0)))</f>
        <v/>
      </c>
      <c r="C630" s="313">
        <v>46118.0</v>
      </c>
      <c r="D630" s="314" t="s">
        <v>143</v>
      </c>
      <c r="E630" s="307" t="str">
        <f t="array" ref="E630">(XLOOKUP(D630,Roster!F:F,Roster!B:B,"",0))</f>
        <v>Julian Higuita</v>
      </c>
      <c r="F630" s="315" t="str">
        <f t="array" ref="F630">IF(B630=100,"Free",TEXT(XLOOKUP($D630,OperationVoice!$A:$A,OperationVoice!L:L,XLOOKUP($D630,OperationTickets!$A:$A,OperationTickets!L:L,"",0)),"hh:mm"))</f>
        <v>10:00</v>
      </c>
      <c r="G630" s="309">
        <f t="shared" si="3"/>
        <v>0.7916666667</v>
      </c>
      <c r="H630" s="316" t="str">
        <f t="array" ref="H630">XLOOKUP(B630,Roster!L:L,Roster!N:N,XLOOKUP(D630,TicketsBreak!A:A,TicketsBreak!E:E,"",0),0)</f>
        <v/>
      </c>
      <c r="I630" s="316" t="str">
        <f t="array" ref="I630">XLOOKUP(B630,Roster!L:L,Roster!O:O,XLOOKUP(D630,TicketsBreak!A:A,TicketsBreak!F:F,"",0),0)</f>
        <v/>
      </c>
      <c r="J630" s="316" t="str">
        <f t="array" ref="J630">XLOOKUP(B630,Roster!L:L,Roster!P:P,XLOOKUP(D630,TicketsBreak!A:A,TicketsBreak!G:G,"",0),0)</f>
        <v/>
      </c>
      <c r="K630" s="310">
        <f t="shared" si="4"/>
        <v>46118</v>
      </c>
      <c r="L630" s="317">
        <f t="array" ref="L630">(XLOOKUP(D630,Roster!F:F,Roster!D:D,"",0))</f>
        <v>35</v>
      </c>
      <c r="M630" s="317" t="str">
        <f t="array" ref="M630">XLOOKUP(D630,Roster!F:F,Roster!E:E)</f>
        <v>Tickets</v>
      </c>
      <c r="N630" s="317" t="str">
        <f t="shared" ref="N630:P630" si="641">LEFT(H630,5)</f>
        <v/>
      </c>
      <c r="O630" s="317" t="str">
        <f t="shared" si="641"/>
        <v/>
      </c>
      <c r="P630" s="317" t="str">
        <f t="shared" si="641"/>
        <v/>
      </c>
      <c r="Q630" s="318" t="str">
        <f t="shared" si="382"/>
        <v/>
      </c>
      <c r="R630" s="318" t="str">
        <f t="shared" si="383"/>
        <v/>
      </c>
      <c r="S630" s="318" t="str">
        <f t="shared" si="8"/>
        <v/>
      </c>
    </row>
    <row r="631">
      <c r="A631" s="14" t="str">
        <f t="shared" si="1"/>
        <v>C52546118</v>
      </c>
      <c r="B631" s="185" t="str">
        <f t="array" ref="B631">IF(F631="VL","",IF(F631="Free","Free",XLOOKUP(D631,Roster!T:T,Roster!S:S,"",0)))</f>
        <v/>
      </c>
      <c r="C631" s="313">
        <v>46118.0</v>
      </c>
      <c r="D631" s="314" t="s">
        <v>176</v>
      </c>
      <c r="E631" s="307" t="str">
        <f t="array" ref="E631">(XLOOKUP(D631,Roster!F:F,Roster!B:B,"",0))</f>
        <v>Julian Pineda</v>
      </c>
      <c r="F631" s="315" t="str">
        <f t="array" ref="F631">IF(B631=100,"Free",TEXT(XLOOKUP($D631,OperationVoice!$A:$A,OperationVoice!L:L,XLOOKUP($D631,OperationTickets!$A:$A,OperationTickets!L:L,"",0)),"hh:mm"))</f>
        <v>08:00</v>
      </c>
      <c r="G631" s="309">
        <f t="shared" si="3"/>
        <v>0.7083333333</v>
      </c>
      <c r="H631" s="316" t="str">
        <f t="array" ref="H631">XLOOKUP(B631,Roster!L:L,Roster!N:N,XLOOKUP(D631,TicketsBreak!A:A,TicketsBreak!E:E,"",0),0)</f>
        <v/>
      </c>
      <c r="I631" s="316" t="str">
        <f t="array" ref="I631">XLOOKUP(B631,Roster!L:L,Roster!O:O,XLOOKUP(D631,TicketsBreak!A:A,TicketsBreak!F:F,"",0),0)</f>
        <v/>
      </c>
      <c r="J631" s="316" t="str">
        <f t="array" ref="J631">XLOOKUP(B631,Roster!L:L,Roster!P:P,XLOOKUP(D631,TicketsBreak!A:A,TicketsBreak!G:G,"",0),0)</f>
        <v/>
      </c>
      <c r="K631" s="310">
        <f t="shared" si="4"/>
        <v>46118</v>
      </c>
      <c r="L631" s="317">
        <f t="array" ref="L631">(XLOOKUP(D631,Roster!F:F,Roster!D:D,"",0))</f>
        <v>35</v>
      </c>
      <c r="M631" s="317" t="str">
        <f t="array" ref="M631">XLOOKUP(D631,Roster!F:F,Roster!E:E)</f>
        <v>Tickets</v>
      </c>
      <c r="N631" s="317" t="str">
        <f t="shared" ref="N631:P631" si="642">LEFT(H631,5)</f>
        <v/>
      </c>
      <c r="O631" s="317" t="str">
        <f t="shared" si="642"/>
        <v/>
      </c>
      <c r="P631" s="317" t="str">
        <f t="shared" si="642"/>
        <v/>
      </c>
      <c r="Q631" s="318" t="str">
        <f t="shared" si="382"/>
        <v/>
      </c>
      <c r="R631" s="318" t="str">
        <f t="shared" si="383"/>
        <v/>
      </c>
      <c r="S631" s="318" t="str">
        <f t="shared" si="8"/>
        <v/>
      </c>
    </row>
    <row r="632">
      <c r="A632" s="14" t="str">
        <f t="shared" si="1"/>
        <v>C142746118</v>
      </c>
      <c r="B632" s="185">
        <f t="array" ref="B632">IF(F632="VL","",IF(F632="Free","Free",XLOOKUP(D632,Roster!T:T,Roster!S:S,"",0)))</f>
        <v>123</v>
      </c>
      <c r="C632" s="313">
        <v>46118.0</v>
      </c>
      <c r="D632" s="314" t="s">
        <v>50</v>
      </c>
      <c r="E632" s="307" t="str">
        <f t="array" ref="E632">(XLOOKUP(D632,Roster!F:F,Roster!B:B,"",0))</f>
        <v>Karen Lorena Martinez</v>
      </c>
      <c r="F632" s="315" t="str">
        <f t="array" ref="F632">IF(B632=100,"Free",TEXT(XLOOKUP($D632,OperationVoice!$A:$A,OperationVoice!L:L,XLOOKUP($D632,OperationTickets!$A:$A,OperationTickets!L:L,"",0)),"hh:mm"))</f>
        <v>08:00</v>
      </c>
      <c r="G632" s="309">
        <f t="shared" si="3"/>
        <v>0.7083333333</v>
      </c>
      <c r="H632" s="316" t="str">
        <f t="array" ref="H632">XLOOKUP(B632,Roster!L:L,Roster!N:N,XLOOKUP(D632,TicketsBreak!A:A,TicketsBreak!E:E,"",0),0)</f>
        <v>09:45 - 10:00 </v>
      </c>
      <c r="I632" s="316" t="str">
        <f t="array" ref="I632">XLOOKUP(B632,Roster!L:L,Roster!O:O,XLOOKUP(D632,TicketsBreak!A:A,TicketsBreak!F:F,"",0),0)</f>
        <v>12:30 - 13:00</v>
      </c>
      <c r="J632" s="316" t="str">
        <f t="array" ref="J632">XLOOKUP(B632,Roster!L:L,Roster!P:P,XLOOKUP(D632,TicketsBreak!A:A,TicketsBreak!G:G,"",0),0)</f>
        <v>15:00 - 15:15</v>
      </c>
      <c r="K632" s="310">
        <f t="shared" si="4"/>
        <v>46118</v>
      </c>
      <c r="L632" s="317">
        <f t="array" ref="L632">(XLOOKUP(D632,Roster!F:F,Roster!D:D,"",0))</f>
        <v>32</v>
      </c>
      <c r="M632" s="317" t="str">
        <f t="array" ref="M632">XLOOKUP(D632,Roster!F:F,Roster!E:E)</f>
        <v>Voice</v>
      </c>
      <c r="N632" s="317" t="str">
        <f t="shared" ref="N632:P632" si="643">LEFT(H632,5)</f>
        <v>09:45</v>
      </c>
      <c r="O632" s="317" t="str">
        <f t="shared" si="643"/>
        <v>12:30</v>
      </c>
      <c r="P632" s="317" t="str">
        <f t="shared" si="643"/>
        <v>15:00</v>
      </c>
      <c r="Q632" s="318">
        <f t="shared" si="382"/>
        <v>46118.40625</v>
      </c>
      <c r="R632" s="318">
        <f t="shared" si="383"/>
        <v>46118.52083</v>
      </c>
      <c r="S632" s="318">
        <f t="shared" si="8"/>
        <v>46118.625</v>
      </c>
    </row>
    <row r="633">
      <c r="A633" s="14" t="str">
        <f t="shared" si="1"/>
        <v>C57946118</v>
      </c>
      <c r="B633" s="185" t="str">
        <f t="array" ref="B633">IF(F633="VL","",IF(F633="Free","Free",XLOOKUP(D633,Roster!T:T,Roster!S:S,"",0)))</f>
        <v/>
      </c>
      <c r="C633" s="313">
        <v>46118.0</v>
      </c>
      <c r="D633" s="314" t="s">
        <v>144</v>
      </c>
      <c r="E633" s="307" t="str">
        <f t="array" ref="E633">(XLOOKUP(D633,Roster!F:F,Roster!B:B,"",0))</f>
        <v>Karen Martinez</v>
      </c>
      <c r="F633" s="315" t="str">
        <f t="array" ref="F633">IF(B633=100,"Free",TEXT(XLOOKUP($D633,OperationVoice!$A:$A,OperationVoice!L:L,XLOOKUP($D633,OperationTickets!$A:$A,OperationTickets!L:L,"",0)),"hh:mm"))</f>
        <v>08:00</v>
      </c>
      <c r="G633" s="309">
        <f t="shared" si="3"/>
        <v>0.7083333333</v>
      </c>
      <c r="H633" s="316">
        <f t="array" ref="H633">XLOOKUP(B633,Roster!L:L,Roster!N:N,XLOOKUP(D633,TicketsBreak!A:A,TicketsBreak!E:E,"",0),0)</f>
        <v>0.4166666667</v>
      </c>
      <c r="I633" s="316">
        <f t="array" ref="I633">XLOOKUP(B633,Roster!L:L,Roster!O:O,XLOOKUP(D633,TicketsBreak!A:A,TicketsBreak!F:F,"",0),0)</f>
        <v>0.5</v>
      </c>
      <c r="J633" s="316">
        <f t="array" ref="J633">XLOOKUP(B633,Roster!L:L,Roster!P:P,XLOOKUP(D633,TicketsBreak!A:A,TicketsBreak!G:G,"",0),0)</f>
        <v>0.625</v>
      </c>
      <c r="K633" s="310">
        <f t="shared" si="4"/>
        <v>46118</v>
      </c>
      <c r="L633" s="317">
        <f t="array" ref="L633">(XLOOKUP(D633,Roster!F:F,Roster!D:D,"",0))</f>
        <v>4</v>
      </c>
      <c r="M633" s="317" t="str">
        <f t="array" ref="M633">XLOOKUP(D633,Roster!F:F,Roster!E:E)</f>
        <v>Tickets</v>
      </c>
      <c r="N633" s="317" t="str">
        <f t="shared" ref="N633:P633" si="644">LEFT(H633,5)</f>
        <v>10:00</v>
      </c>
      <c r="O633" s="317" t="str">
        <f t="shared" si="644"/>
        <v>12:00</v>
      </c>
      <c r="P633" s="317" t="str">
        <f t="shared" si="644"/>
        <v>15:00</v>
      </c>
      <c r="Q633" s="318">
        <f t="shared" si="382"/>
        <v>46118.41667</v>
      </c>
      <c r="R633" s="318">
        <f t="shared" si="383"/>
        <v>46118.5</v>
      </c>
      <c r="S633" s="318">
        <f t="shared" si="8"/>
        <v>46118.625</v>
      </c>
    </row>
    <row r="634">
      <c r="A634" s="14" t="str">
        <f t="shared" si="1"/>
        <v>C108646118</v>
      </c>
      <c r="B634" s="185">
        <f t="array" ref="B634">IF(F634="VL","",IF(F634="Free","Free",XLOOKUP(D634,Roster!T:T,Roster!S:S,"",0)))</f>
        <v>124</v>
      </c>
      <c r="C634" s="313">
        <v>46118.0</v>
      </c>
      <c r="D634" s="314" t="s">
        <v>51</v>
      </c>
      <c r="E634" s="307" t="str">
        <f t="array" ref="E634">(XLOOKUP(D634,Roster!F:F,Roster!B:B,"",0))</f>
        <v>Karen Panqueva</v>
      </c>
      <c r="F634" s="315" t="str">
        <f t="array" ref="F634">IF(B634=100,"Free",TEXT(XLOOKUP($D634,OperationVoice!$A:$A,OperationVoice!L:L,XLOOKUP($D634,OperationTickets!$A:$A,OperationTickets!L:L,"",0)),"hh:mm"))</f>
        <v>08:00</v>
      </c>
      <c r="G634" s="309">
        <f t="shared" si="3"/>
        <v>0.7083333333</v>
      </c>
      <c r="H634" s="316" t="str">
        <f t="array" ref="H634">XLOOKUP(B634,Roster!L:L,Roster!N:N,XLOOKUP(D634,TicketsBreak!A:A,TicketsBreak!E:E,"",0),0)</f>
        <v>10:00 - 10:15</v>
      </c>
      <c r="I634" s="316" t="str">
        <f t="array" ref="I634">XLOOKUP(B634,Roster!L:L,Roster!O:O,XLOOKUP(D634,TicketsBreak!A:A,TicketsBreak!F:F,"",0),0)</f>
        <v>13:00 - 13:30</v>
      </c>
      <c r="J634" s="316" t="str">
        <f t="array" ref="J634">XLOOKUP(B634,Roster!L:L,Roster!P:P,XLOOKUP(D634,TicketsBreak!A:A,TicketsBreak!G:G,"",0),0)</f>
        <v>15:30 - 15:45</v>
      </c>
      <c r="K634" s="310">
        <f t="shared" si="4"/>
        <v>46118</v>
      </c>
      <c r="L634" s="317">
        <f t="array" ref="L634">(XLOOKUP(D634,Roster!F:F,Roster!D:D,"",0))</f>
        <v>19</v>
      </c>
      <c r="M634" s="317" t="str">
        <f t="array" ref="M634">XLOOKUP(D634,Roster!F:F,Roster!E:E)</f>
        <v>Voice</v>
      </c>
      <c r="N634" s="317" t="str">
        <f t="shared" ref="N634:P634" si="645">LEFT(H634,5)</f>
        <v>10:00</v>
      </c>
      <c r="O634" s="317" t="str">
        <f t="shared" si="645"/>
        <v>13:00</v>
      </c>
      <c r="P634" s="317" t="str">
        <f t="shared" si="645"/>
        <v>15:30</v>
      </c>
      <c r="Q634" s="318">
        <f t="shared" si="382"/>
        <v>46118.41667</v>
      </c>
      <c r="R634" s="318">
        <f t="shared" si="383"/>
        <v>46118.54167</v>
      </c>
      <c r="S634" s="318">
        <f t="shared" si="8"/>
        <v>46118.64583</v>
      </c>
    </row>
    <row r="635">
      <c r="A635" s="14" t="str">
        <f t="shared" si="1"/>
        <v>C149246118</v>
      </c>
      <c r="B635" s="185">
        <f t="array" ref="B635">IF(F635="VL","",IF(F635="Free","Free",XLOOKUP(D635,Roster!T:T,Roster!S:S,"",0)))</f>
        <v>125</v>
      </c>
      <c r="C635" s="313">
        <v>46118.0</v>
      </c>
      <c r="D635" s="314" t="s">
        <v>52</v>
      </c>
      <c r="E635" s="307" t="str">
        <f t="array" ref="E635">(XLOOKUP(D635,Roster!F:F,Roster!B:B,"",0))</f>
        <v>Karol Pineda</v>
      </c>
      <c r="F635" s="315" t="str">
        <f t="array" ref="F635">IF(B635=100,"Free",TEXT(XLOOKUP($D635,OperationVoice!$A:$A,OperationVoice!L:L,XLOOKUP($D635,OperationTickets!$A:$A,OperationTickets!L:L,"",0)),"hh:mm"))</f>
        <v>08:00</v>
      </c>
      <c r="G635" s="309">
        <f t="shared" si="3"/>
        <v>0.7083333333</v>
      </c>
      <c r="H635" s="316" t="str">
        <f t="array" ref="H635">XLOOKUP(B635,Roster!L:L,Roster!N:N,XLOOKUP(D635,TicketsBreak!A:A,TicketsBreak!E:E,"",0),0)</f>
        <v>10:30 - 10:45</v>
      </c>
      <c r="I635" s="316" t="str">
        <f t="array" ref="I635">XLOOKUP(B635,Roster!L:L,Roster!O:O,XLOOKUP(D635,TicketsBreak!A:A,TicketsBreak!F:F,"",0),0)</f>
        <v>13:30 - 14:00</v>
      </c>
      <c r="J635" s="316" t="str">
        <f t="array" ref="J635">XLOOKUP(B635,Roster!L:L,Roster!P:P,XLOOKUP(D635,TicketsBreak!A:A,TicketsBreak!G:G,"",0),0)</f>
        <v>15:45 - 16:00</v>
      </c>
      <c r="K635" s="310">
        <f t="shared" si="4"/>
        <v>46118</v>
      </c>
      <c r="L635" s="317">
        <f t="array" ref="L635">(XLOOKUP(D635,Roster!F:F,Roster!D:D,"",0))</f>
        <v>34</v>
      </c>
      <c r="M635" s="317" t="str">
        <f t="array" ref="M635">XLOOKUP(D635,Roster!F:F,Roster!E:E)</f>
        <v>Voice</v>
      </c>
      <c r="N635" s="317" t="str">
        <f t="shared" ref="N635:P635" si="646">LEFT(H635,5)</f>
        <v>10:30</v>
      </c>
      <c r="O635" s="317" t="str">
        <f t="shared" si="646"/>
        <v>13:30</v>
      </c>
      <c r="P635" s="317" t="str">
        <f t="shared" si="646"/>
        <v>15:45</v>
      </c>
      <c r="Q635" s="318">
        <f t="shared" si="382"/>
        <v>46118.4375</v>
      </c>
      <c r="R635" s="318">
        <f t="shared" si="383"/>
        <v>46118.5625</v>
      </c>
      <c r="S635" s="318">
        <f t="shared" si="8"/>
        <v>46118.65625</v>
      </c>
    </row>
    <row r="636">
      <c r="A636" s="14" t="str">
        <f t="shared" si="1"/>
        <v>C65846118</v>
      </c>
      <c r="B636" s="185">
        <f t="array" ref="B636">IF(F636="VL","",IF(F636="Free","Free",XLOOKUP(D636,Roster!T:T,Roster!S:S,"",0)))</f>
        <v>112</v>
      </c>
      <c r="C636" s="313">
        <v>46118.0</v>
      </c>
      <c r="D636" s="314" t="s">
        <v>53</v>
      </c>
      <c r="E636" s="307" t="str">
        <f t="array" ref="E636">(XLOOKUP(D636,Roster!F:F,Roster!B:B,"",0))</f>
        <v>Kennedy Giraldo</v>
      </c>
      <c r="F636" s="315" t="str">
        <f t="array" ref="F636">IF(B636=100,"Free",TEXT(XLOOKUP($D636,OperationVoice!$A:$A,OperationVoice!L:L,XLOOKUP($D636,OperationTickets!$A:$A,OperationTickets!L:L,"",0)),"hh:mm"))</f>
        <v>07:00</v>
      </c>
      <c r="G636" s="309">
        <f t="shared" si="3"/>
        <v>0.6666666667</v>
      </c>
      <c r="H636" s="316" t="str">
        <f t="array" ref="H636">XLOOKUP(B636,Roster!L:L,Roster!N:N,XLOOKUP(D636,TicketsBreak!A:A,TicketsBreak!E:E,"",0),0)</f>
        <v>09:30 - 09:45</v>
      </c>
      <c r="I636" s="316" t="str">
        <f t="array" ref="I636">XLOOKUP(B636,Roster!L:L,Roster!O:O,XLOOKUP(D636,TicketsBreak!A:A,TicketsBreak!F:F,"",0),0)</f>
        <v>12:15 - 12:45</v>
      </c>
      <c r="J636" s="316" t="str">
        <f t="array" ref="J636">XLOOKUP(B636,Roster!L:L,Roster!P:P,XLOOKUP(D636,TicketsBreak!A:A,TicketsBreak!G:G,"",0),0)</f>
        <v>14:45 - 15:00</v>
      </c>
      <c r="K636" s="310">
        <f t="shared" si="4"/>
        <v>46118</v>
      </c>
      <c r="L636" s="317">
        <f t="array" ref="L636">(XLOOKUP(D636,Roster!F:F,Roster!D:D,"",0))</f>
        <v>2</v>
      </c>
      <c r="M636" s="317" t="str">
        <f t="array" ref="M636">XLOOKUP(D636,Roster!F:F,Roster!E:E)</f>
        <v>Voice</v>
      </c>
      <c r="N636" s="317" t="str">
        <f t="shared" ref="N636:P636" si="647">LEFT(H636,5)</f>
        <v>09:30</v>
      </c>
      <c r="O636" s="317" t="str">
        <f t="shared" si="647"/>
        <v>12:15</v>
      </c>
      <c r="P636" s="317" t="str">
        <f t="shared" si="647"/>
        <v>14:45</v>
      </c>
      <c r="Q636" s="318">
        <f t="shared" si="382"/>
        <v>46118.39583</v>
      </c>
      <c r="R636" s="318">
        <f t="shared" si="383"/>
        <v>46118.51042</v>
      </c>
      <c r="S636" s="318">
        <f t="shared" si="8"/>
        <v>46118.61458</v>
      </c>
    </row>
    <row r="637">
      <c r="A637" s="14" t="str">
        <f t="shared" si="1"/>
        <v>C151446118</v>
      </c>
      <c r="B637" s="185">
        <f t="array" ref="B637">IF(F637="VL","",IF(F637="Free","Free",XLOOKUP(D637,Roster!T:T,Roster!S:S,"",0)))</f>
        <v>122</v>
      </c>
      <c r="C637" s="313">
        <v>46118.0</v>
      </c>
      <c r="D637" s="314" t="s">
        <v>54</v>
      </c>
      <c r="E637" s="307" t="str">
        <f t="array" ref="E637">(XLOOKUP(D637,Roster!F:F,Roster!B:B,"",0))</f>
        <v>Kevin Betancur</v>
      </c>
      <c r="F637" s="315" t="str">
        <f t="array" ref="F637">IF(B637=100,"Free",TEXT(XLOOKUP($D637,OperationVoice!$A:$A,OperationVoice!L:L,XLOOKUP($D637,OperationTickets!$A:$A,OperationTickets!L:L,"",0)),"hh:mm"))</f>
        <v>08:00</v>
      </c>
      <c r="G637" s="309">
        <f t="shared" si="3"/>
        <v>0.7083333333</v>
      </c>
      <c r="H637" s="316" t="str">
        <f t="array" ref="H637">XLOOKUP(B637,Roster!L:L,Roster!N:N,XLOOKUP(D637,TicketsBreak!A:A,TicketsBreak!E:E,"",0),0)</f>
        <v>09:30 - 09:45</v>
      </c>
      <c r="I637" s="316" t="str">
        <f t="array" ref="I637">XLOOKUP(B637,Roster!L:L,Roster!O:O,XLOOKUP(D637,TicketsBreak!A:A,TicketsBreak!F:F,"",0),0)</f>
        <v>12:00 - 12:30</v>
      </c>
      <c r="J637" s="316" t="str">
        <f t="array" ref="J637">XLOOKUP(B637,Roster!L:L,Roster!P:P,XLOOKUP(D637,TicketsBreak!A:A,TicketsBreak!G:G,"",0),0)</f>
        <v>14:45 - 15:00</v>
      </c>
      <c r="K637" s="310">
        <f t="shared" si="4"/>
        <v>46118</v>
      </c>
      <c r="L637" s="317">
        <f t="array" ref="L637">(XLOOKUP(D637,Roster!F:F,Roster!D:D,"",0))</f>
        <v>35</v>
      </c>
      <c r="M637" s="317" t="str">
        <f t="array" ref="M637">XLOOKUP(D637,Roster!F:F,Roster!E:E)</f>
        <v>Voice</v>
      </c>
      <c r="N637" s="317" t="str">
        <f t="shared" ref="N637:P637" si="648">LEFT(H637,5)</f>
        <v>09:30</v>
      </c>
      <c r="O637" s="317" t="str">
        <f t="shared" si="648"/>
        <v>12:00</v>
      </c>
      <c r="P637" s="317" t="str">
        <f t="shared" si="648"/>
        <v>14:45</v>
      </c>
      <c r="Q637" s="318">
        <f t="shared" si="382"/>
        <v>46118.39583</v>
      </c>
      <c r="R637" s="318">
        <f t="shared" si="383"/>
        <v>46118.5</v>
      </c>
      <c r="S637" s="318">
        <f t="shared" si="8"/>
        <v>46118.61458</v>
      </c>
    </row>
    <row r="638">
      <c r="A638" s="14" t="str">
        <f t="shared" si="1"/>
        <v>C157146118</v>
      </c>
      <c r="B638" s="185">
        <f t="array" ref="B638">IF(F638="VL","",IF(F638="Free","Free",XLOOKUP(D638,Roster!T:T,Roster!S:S,"",0)))</f>
        <v>123</v>
      </c>
      <c r="C638" s="313">
        <v>46118.0</v>
      </c>
      <c r="D638" s="314" t="s">
        <v>55</v>
      </c>
      <c r="E638" s="307" t="str">
        <f t="array" ref="E638">(XLOOKUP(D638,Roster!F:F,Roster!B:B,"",0))</f>
        <v>Laura Chamorro</v>
      </c>
      <c r="F638" s="315" t="str">
        <f t="array" ref="F638">IF(B638=100,"Free",TEXT(XLOOKUP($D638,OperationVoice!$A:$A,OperationVoice!L:L,XLOOKUP($D638,OperationTickets!$A:$A,OperationTickets!L:L,"",0)),"hh:mm"))</f>
        <v>08:00</v>
      </c>
      <c r="G638" s="309">
        <f t="shared" si="3"/>
        <v>0.7083333333</v>
      </c>
      <c r="H638" s="316" t="str">
        <f t="array" ref="H638">XLOOKUP(B638,Roster!L:L,Roster!N:N,XLOOKUP(D638,TicketsBreak!A:A,TicketsBreak!E:E,"",0),0)</f>
        <v>09:45 - 10:00 </v>
      </c>
      <c r="I638" s="316" t="str">
        <f t="array" ref="I638">XLOOKUP(B638,Roster!L:L,Roster!O:O,XLOOKUP(D638,TicketsBreak!A:A,TicketsBreak!F:F,"",0),0)</f>
        <v>12:30 - 13:00</v>
      </c>
      <c r="J638" s="316" t="str">
        <f t="array" ref="J638">XLOOKUP(B638,Roster!L:L,Roster!P:P,XLOOKUP(D638,TicketsBreak!A:A,TicketsBreak!G:G,"",0),0)</f>
        <v>15:00 - 15:15</v>
      </c>
      <c r="K638" s="310">
        <f t="shared" si="4"/>
        <v>46118</v>
      </c>
      <c r="L638" s="317">
        <f t="array" ref="L638">(XLOOKUP(D638,Roster!F:F,Roster!D:D,"",0))</f>
        <v>38</v>
      </c>
      <c r="M638" s="317" t="str">
        <f t="array" ref="M638">XLOOKUP(D638,Roster!F:F,Roster!E:E)</f>
        <v>Voice</v>
      </c>
      <c r="N638" s="317" t="str">
        <f t="shared" ref="N638:P638" si="649">LEFT(H638,5)</f>
        <v>09:45</v>
      </c>
      <c r="O638" s="317" t="str">
        <f t="shared" si="649"/>
        <v>12:30</v>
      </c>
      <c r="P638" s="317" t="str">
        <f t="shared" si="649"/>
        <v>15:00</v>
      </c>
      <c r="Q638" s="318">
        <f t="shared" si="382"/>
        <v>46118.40625</v>
      </c>
      <c r="R638" s="318">
        <f t="shared" si="383"/>
        <v>46118.52083</v>
      </c>
      <c r="S638" s="318">
        <f t="shared" si="8"/>
        <v>46118.625</v>
      </c>
    </row>
    <row r="639">
      <c r="A639" s="14" t="str">
        <f t="shared" si="1"/>
        <v>C53446118</v>
      </c>
      <c r="B639" s="185" t="str">
        <f t="array" ref="B639">IF(F639="VL","",IF(F639="Free","Free",XLOOKUP(D639,Roster!T:T,Roster!S:S,"",0)))</f>
        <v/>
      </c>
      <c r="C639" s="313">
        <v>46118.0</v>
      </c>
      <c r="D639" s="314" t="s">
        <v>177</v>
      </c>
      <c r="E639" s="307" t="str">
        <f t="array" ref="E639">(XLOOKUP(D639,Roster!F:F,Roster!B:B,"",0))</f>
        <v>Leandry La Rosa</v>
      </c>
      <c r="F639" s="315" t="str">
        <f t="array" ref="F639">IF(B639=100,"Free",TEXT(XLOOKUP($D639,OperationVoice!$A:$A,OperationVoice!L:L,XLOOKUP($D639,OperationTickets!$A:$A,OperationTickets!L:L,"",0)),"hh:mm"))</f>
        <v>08:00</v>
      </c>
      <c r="G639" s="309">
        <f t="shared" si="3"/>
        <v>0.7083333333</v>
      </c>
      <c r="H639" s="316">
        <f t="array" ref="H639">XLOOKUP(B639,Roster!L:L,Roster!N:N,XLOOKUP(D639,TicketsBreak!A:A,TicketsBreak!E:E,"",0),0)</f>
        <v>0.40625</v>
      </c>
      <c r="I639" s="316">
        <f t="array" ref="I639">XLOOKUP(B639,Roster!L:L,Roster!O:O,XLOOKUP(D639,TicketsBreak!A:A,TicketsBreak!F:F,"",0),0)</f>
        <v>0.5416666667</v>
      </c>
      <c r="J639" s="316">
        <f t="array" ref="J639">XLOOKUP(B639,Roster!L:L,Roster!P:P,XLOOKUP(D639,TicketsBreak!A:A,TicketsBreak!G:G,"",0),0)</f>
        <v>0.65625</v>
      </c>
      <c r="K639" s="310">
        <f t="shared" si="4"/>
        <v>46118</v>
      </c>
      <c r="L639" s="317">
        <f t="array" ref="L639">(XLOOKUP(D639,Roster!F:F,Roster!D:D,"",0))</f>
        <v>1</v>
      </c>
      <c r="M639" s="317" t="str">
        <f t="array" ref="M639">XLOOKUP(D639,Roster!F:F,Roster!E:E)</f>
        <v>Tickets</v>
      </c>
      <c r="N639" s="317" t="str">
        <f t="shared" ref="N639:P639" si="650">LEFT(H639,5)</f>
        <v>09:45</v>
      </c>
      <c r="O639" s="317" t="str">
        <f t="shared" si="650"/>
        <v>13:00</v>
      </c>
      <c r="P639" s="317" t="str">
        <f t="shared" si="650"/>
        <v>15:45</v>
      </c>
      <c r="Q639" s="318">
        <f t="shared" si="382"/>
        <v>46118.40625</v>
      </c>
      <c r="R639" s="318">
        <f t="shared" si="383"/>
        <v>46118.54167</v>
      </c>
      <c r="S639" s="318">
        <f t="shared" si="8"/>
        <v>46118.65625</v>
      </c>
    </row>
    <row r="640">
      <c r="A640" s="14" t="str">
        <f t="shared" si="1"/>
        <v>C157846118</v>
      </c>
      <c r="B640" s="185">
        <f t="array" ref="B640">IF(F640="VL","",IF(F640="Free","Free",XLOOKUP(D640,Roster!T:T,Roster!S:S,"",0)))</f>
        <v>125</v>
      </c>
      <c r="C640" s="313">
        <v>46118.0</v>
      </c>
      <c r="D640" s="314" t="s">
        <v>56</v>
      </c>
      <c r="E640" s="307" t="str">
        <f t="array" ref="E640">(XLOOKUP(D640,Roster!F:F,Roster!B:B,"",0))</f>
        <v>Leonerrichi Caicedo</v>
      </c>
      <c r="F640" s="315" t="str">
        <f t="array" ref="F640">IF(B640=100,"Free",TEXT(XLOOKUP($D640,OperationVoice!$A:$A,OperationVoice!L:L,XLOOKUP($D640,OperationTickets!$A:$A,OperationTickets!L:L,"",0)),"hh:mm"))</f>
        <v>08:00</v>
      </c>
      <c r="G640" s="309">
        <f t="shared" si="3"/>
        <v>0.7083333333</v>
      </c>
      <c r="H640" s="316" t="str">
        <f t="array" ref="H640">XLOOKUP(B640,Roster!L:L,Roster!N:N,XLOOKUP(D640,TicketsBreak!A:A,TicketsBreak!E:E,"",0),0)</f>
        <v>10:30 - 10:45</v>
      </c>
      <c r="I640" s="316" t="str">
        <f t="array" ref="I640">XLOOKUP(B640,Roster!L:L,Roster!O:O,XLOOKUP(D640,TicketsBreak!A:A,TicketsBreak!F:F,"",0),0)</f>
        <v>13:30 - 14:00</v>
      </c>
      <c r="J640" s="316" t="str">
        <f t="array" ref="J640">XLOOKUP(B640,Roster!L:L,Roster!P:P,XLOOKUP(D640,TicketsBreak!A:A,TicketsBreak!G:G,"",0),0)</f>
        <v>15:45 - 16:00</v>
      </c>
      <c r="K640" s="310">
        <f t="shared" si="4"/>
        <v>46118</v>
      </c>
      <c r="L640" s="317">
        <f t="array" ref="L640">(XLOOKUP(D640,Roster!F:F,Roster!D:D,"",0))</f>
        <v>38</v>
      </c>
      <c r="M640" s="317" t="str">
        <f t="array" ref="M640">XLOOKUP(D640,Roster!F:F,Roster!E:E)</f>
        <v>Voice</v>
      </c>
      <c r="N640" s="317" t="str">
        <f t="shared" ref="N640:P640" si="651">LEFT(H640,5)</f>
        <v>10:30</v>
      </c>
      <c r="O640" s="317" t="str">
        <f t="shared" si="651"/>
        <v>13:30</v>
      </c>
      <c r="P640" s="317" t="str">
        <f t="shared" si="651"/>
        <v>15:45</v>
      </c>
      <c r="Q640" s="318">
        <f t="shared" si="382"/>
        <v>46118.4375</v>
      </c>
      <c r="R640" s="318">
        <f t="shared" si="383"/>
        <v>46118.5625</v>
      </c>
      <c r="S640" s="318">
        <f t="shared" si="8"/>
        <v>46118.65625</v>
      </c>
    </row>
    <row r="641">
      <c r="A641" s="14" t="str">
        <f t="shared" si="1"/>
        <v>C53546118</v>
      </c>
      <c r="B641" s="185" t="str">
        <f t="array" ref="B641">IF(F641="VL","",IF(F641="Free","Free",XLOOKUP(D641,Roster!T:T,Roster!S:S,"",0)))</f>
        <v/>
      </c>
      <c r="C641" s="313">
        <v>46118.0</v>
      </c>
      <c r="D641" s="314" t="s">
        <v>145</v>
      </c>
      <c r="E641" s="307" t="str">
        <f t="array" ref="E641">(XLOOKUP(D641,Roster!F:F,Roster!B:B,"",0))</f>
        <v>Lina Cadena</v>
      </c>
      <c r="F641" s="315" t="str">
        <f t="array" ref="F641">IF(B641=100,"Free",TEXT(XLOOKUP($D641,OperationVoice!$A:$A,OperationVoice!L:L,XLOOKUP($D641,OperationTickets!$A:$A,OperationTickets!L:L,"",0)),"hh:mm"))</f>
        <v>08:00</v>
      </c>
      <c r="G641" s="309">
        <f t="shared" si="3"/>
        <v>0.7083333333</v>
      </c>
      <c r="H641" s="316">
        <f t="array" ref="H641">XLOOKUP(B641,Roster!L:L,Roster!N:N,XLOOKUP(D641,TicketsBreak!A:A,TicketsBreak!E:E,"",0),0)</f>
        <v>0.3854166667</v>
      </c>
      <c r="I641" s="316">
        <f t="array" ref="I641">XLOOKUP(B641,Roster!L:L,Roster!O:O,XLOOKUP(D641,TicketsBreak!A:A,TicketsBreak!F:F,"",0),0)</f>
        <v>0.5833333333</v>
      </c>
      <c r="J641" s="316">
        <f t="array" ref="J641">XLOOKUP(B641,Roster!L:L,Roster!P:P,XLOOKUP(D641,TicketsBreak!A:A,TicketsBreak!G:G,"",0),0)</f>
        <v>0.6458333333</v>
      </c>
      <c r="K641" s="310">
        <f t="shared" si="4"/>
        <v>46118</v>
      </c>
      <c r="L641" s="317">
        <f t="array" ref="L641">(XLOOKUP(D641,Roster!F:F,Roster!D:D,"",0))</f>
        <v>2</v>
      </c>
      <c r="M641" s="317" t="str">
        <f t="array" ref="M641">XLOOKUP(D641,Roster!F:F,Roster!E:E)</f>
        <v>Tickets</v>
      </c>
      <c r="N641" s="317" t="str">
        <f t="shared" ref="N641:P641" si="652">LEFT(H641,5)</f>
        <v>09:15</v>
      </c>
      <c r="O641" s="317" t="str">
        <f t="shared" si="652"/>
        <v>14:00</v>
      </c>
      <c r="P641" s="317" t="str">
        <f t="shared" si="652"/>
        <v>15:30</v>
      </c>
      <c r="Q641" s="318">
        <f t="shared" si="382"/>
        <v>46118.38542</v>
      </c>
      <c r="R641" s="318">
        <f t="shared" si="383"/>
        <v>46118.58333</v>
      </c>
      <c r="S641" s="318">
        <f t="shared" si="8"/>
        <v>46118.64583</v>
      </c>
    </row>
    <row r="642">
      <c r="A642" s="14" t="str">
        <f t="shared" si="1"/>
        <v>C151746118</v>
      </c>
      <c r="B642" s="185">
        <f t="array" ref="B642">IF(F642="VL","",IF(F642="Free","Free",XLOOKUP(D642,Roster!T:T,Roster!S:S,"",0)))</f>
        <v>124</v>
      </c>
      <c r="C642" s="313">
        <v>46118.0</v>
      </c>
      <c r="D642" s="314" t="s">
        <v>57</v>
      </c>
      <c r="E642" s="307" t="str">
        <f t="array" ref="E642">(XLOOKUP(D642,Roster!F:F,Roster!B:B,"",0))</f>
        <v>Lisandro Alvarado</v>
      </c>
      <c r="F642" s="315" t="str">
        <f t="array" ref="F642">IF(B642=100,"Free",TEXT(XLOOKUP($D642,OperationVoice!$A:$A,OperationVoice!L:L,XLOOKUP($D642,OperationTickets!$A:$A,OperationTickets!L:L,"",0)),"hh:mm"))</f>
        <v>08:00</v>
      </c>
      <c r="G642" s="309">
        <f t="shared" si="3"/>
        <v>0.7083333333</v>
      </c>
      <c r="H642" s="316" t="str">
        <f t="array" ref="H642">XLOOKUP(B642,Roster!L:L,Roster!N:N,XLOOKUP(D642,TicketsBreak!A:A,TicketsBreak!E:E,"",0),0)</f>
        <v>10:00 - 10:15</v>
      </c>
      <c r="I642" s="316" t="str">
        <f t="array" ref="I642">XLOOKUP(B642,Roster!L:L,Roster!O:O,XLOOKUP(D642,TicketsBreak!A:A,TicketsBreak!F:F,"",0),0)</f>
        <v>13:00 - 13:30</v>
      </c>
      <c r="J642" s="316" t="str">
        <f t="array" ref="J642">XLOOKUP(B642,Roster!L:L,Roster!P:P,XLOOKUP(D642,TicketsBreak!A:A,TicketsBreak!G:G,"",0),0)</f>
        <v>15:30 - 15:45</v>
      </c>
      <c r="K642" s="310">
        <f t="shared" si="4"/>
        <v>46118</v>
      </c>
      <c r="L642" s="317">
        <f t="array" ref="L642">(XLOOKUP(D642,Roster!F:F,Roster!D:D,"",0))</f>
        <v>35</v>
      </c>
      <c r="M642" s="317" t="str">
        <f t="array" ref="M642">XLOOKUP(D642,Roster!F:F,Roster!E:E)</f>
        <v>Voice</v>
      </c>
      <c r="N642" s="317" t="str">
        <f t="shared" ref="N642:P642" si="653">LEFT(H642,5)</f>
        <v>10:00</v>
      </c>
      <c r="O642" s="317" t="str">
        <f t="shared" si="653"/>
        <v>13:00</v>
      </c>
      <c r="P642" s="317" t="str">
        <f t="shared" si="653"/>
        <v>15:30</v>
      </c>
      <c r="Q642" s="318">
        <f t="shared" si="382"/>
        <v>46118.41667</v>
      </c>
      <c r="R642" s="318">
        <f t="shared" si="383"/>
        <v>46118.54167</v>
      </c>
      <c r="S642" s="318">
        <f t="shared" si="8"/>
        <v>46118.64583</v>
      </c>
    </row>
    <row r="643">
      <c r="A643" s="14" t="str">
        <f t="shared" si="1"/>
        <v>C143346118</v>
      </c>
      <c r="B643" s="185">
        <f t="array" ref="B643">IF(F643="VL","",IF(F643="Free","Free",XLOOKUP(D643,Roster!T:T,Roster!S:S,"",0)))</f>
        <v>500</v>
      </c>
      <c r="C643" s="313">
        <v>46118.0</v>
      </c>
      <c r="D643" s="314" t="s">
        <v>58</v>
      </c>
      <c r="E643" s="307" t="str">
        <f t="array" ref="E643">(XLOOKUP(D643,Roster!F:F,Roster!B:B,"",0))</f>
        <v>Luis Lopez</v>
      </c>
      <c r="F643" s="315" t="str">
        <f t="array" ref="F643">IF(B643=100,"Free",TEXT(XLOOKUP($D643,OperationVoice!$A:$A,OperationVoice!L:L,XLOOKUP($D643,OperationTickets!$A:$A,OperationTickets!L:L,"",0)),"hh:mm"))</f>
        <v>07:00</v>
      </c>
      <c r="G643" s="309">
        <f t="shared" si="3"/>
        <v>0.6666666667</v>
      </c>
      <c r="H643" s="316" t="str">
        <f t="array" ref="H643">XLOOKUP(B643,Roster!L:L,Roster!N:N,XLOOKUP(D643,TicketsBreak!A:A,TicketsBreak!E:E,"",0),0)</f>
        <v>Team Leader</v>
      </c>
      <c r="I643" s="316" t="str">
        <f t="array" ref="I643">XLOOKUP(B643,Roster!L:L,Roster!O:O,XLOOKUP(D643,TicketsBreak!A:A,TicketsBreak!F:F,"",0),0)</f>
        <v>Team Leader</v>
      </c>
      <c r="J643" s="316" t="str">
        <f t="array" ref="J643">XLOOKUP(B643,Roster!L:L,Roster!P:P,XLOOKUP(D643,TicketsBreak!A:A,TicketsBreak!G:G,"",0),0)</f>
        <v/>
      </c>
      <c r="K643" s="310">
        <f t="shared" si="4"/>
        <v>46118</v>
      </c>
      <c r="L643" s="317">
        <f t="array" ref="L643">(XLOOKUP(D643,Roster!F:F,Roster!D:D,"",0))</f>
        <v>32</v>
      </c>
      <c r="M643" s="317" t="str">
        <f t="array" ref="M643">XLOOKUP(D643,Roster!F:F,Roster!E:E)</f>
        <v>Voice</v>
      </c>
      <c r="N643" s="317" t="str">
        <f t="shared" ref="N643:P643" si="654">LEFT(H643,5)</f>
        <v>Team </v>
      </c>
      <c r="O643" s="317" t="str">
        <f t="shared" si="654"/>
        <v>Team </v>
      </c>
      <c r="P643" s="317" t="str">
        <f t="shared" si="654"/>
        <v/>
      </c>
      <c r="Q643" s="318" t="str">
        <f t="shared" si="382"/>
        <v>#VALUE!</v>
      </c>
      <c r="R643" s="318" t="str">
        <f t="shared" si="383"/>
        <v>#VALUE!</v>
      </c>
      <c r="S643" s="318" t="str">
        <f t="shared" si="8"/>
        <v/>
      </c>
    </row>
    <row r="644">
      <c r="A644" s="14" t="str">
        <f t="shared" si="1"/>
        <v>C153446118</v>
      </c>
      <c r="B644" s="185">
        <f t="array" ref="B644">IF(F644="VL","",IF(F644="Free","Free",XLOOKUP(D644,Roster!T:T,Roster!S:S,"",0)))</f>
        <v>126</v>
      </c>
      <c r="C644" s="313">
        <v>46118.0</v>
      </c>
      <c r="D644" s="314" t="s">
        <v>59</v>
      </c>
      <c r="E644" s="307" t="str">
        <f t="array" ref="E644">(XLOOKUP(D644,Roster!F:F,Roster!B:B,"",0))</f>
        <v>Luis Munoz</v>
      </c>
      <c r="F644" s="315" t="str">
        <f t="array" ref="F644">IF(B644=100,"Free",TEXT(XLOOKUP($D644,OperationVoice!$A:$A,OperationVoice!L:L,XLOOKUP($D644,OperationTickets!$A:$A,OperationTickets!L:L,"",0)),"hh:mm"))</f>
        <v>08:00</v>
      </c>
      <c r="G644" s="309">
        <f t="shared" si="3"/>
        <v>0.7083333333</v>
      </c>
      <c r="H644" s="316" t="str">
        <f t="array" ref="H644">XLOOKUP(B644,Roster!L:L,Roster!N:N,XLOOKUP(D644,TicketsBreak!A:A,TicketsBreak!E:E,"",0),0)</f>
        <v>10:45 - 11:00</v>
      </c>
      <c r="I644" s="316" t="str">
        <f t="array" ref="I644">XLOOKUP(B644,Roster!L:L,Roster!O:O,XLOOKUP(D644,TicketsBreak!A:A,TicketsBreak!F:F,"",0),0)</f>
        <v>14:00 - 14:30</v>
      </c>
      <c r="J644" s="316" t="str">
        <f t="array" ref="J644">XLOOKUP(B644,Roster!L:L,Roster!P:P,XLOOKUP(D644,TicketsBreak!A:A,TicketsBreak!G:G,"",0),0)</f>
        <v>15:45 - 16:00</v>
      </c>
      <c r="K644" s="310">
        <f t="shared" si="4"/>
        <v>46118</v>
      </c>
      <c r="L644" s="317">
        <f t="array" ref="L644">(XLOOKUP(D644,Roster!F:F,Roster!D:D,"",0))</f>
        <v>36</v>
      </c>
      <c r="M644" s="317" t="str">
        <f t="array" ref="M644">XLOOKUP(D644,Roster!F:F,Roster!E:E)</f>
        <v>Voice</v>
      </c>
      <c r="N644" s="317" t="str">
        <f t="shared" ref="N644:P644" si="655">LEFT(H644,5)</f>
        <v>10:45</v>
      </c>
      <c r="O644" s="317" t="str">
        <f t="shared" si="655"/>
        <v>14:00</v>
      </c>
      <c r="P644" s="317" t="str">
        <f t="shared" si="655"/>
        <v>15:45</v>
      </c>
      <c r="Q644" s="318">
        <f t="shared" si="382"/>
        <v>46118.44792</v>
      </c>
      <c r="R644" s="318">
        <f t="shared" si="383"/>
        <v>46118.58333</v>
      </c>
      <c r="S644" s="318">
        <f t="shared" si="8"/>
        <v>46118.65625</v>
      </c>
    </row>
    <row r="645">
      <c r="A645" s="14" t="str">
        <f t="shared" si="1"/>
        <v>C53846118</v>
      </c>
      <c r="B645" s="185" t="str">
        <f t="array" ref="B645">IF(F645="VL","",IF(F645="Free","Free",XLOOKUP(D645,Roster!T:T,Roster!S:S,"",0)))</f>
        <v/>
      </c>
      <c r="C645" s="313">
        <v>46118.0</v>
      </c>
      <c r="D645" s="314" t="s">
        <v>165</v>
      </c>
      <c r="E645" s="307" t="str">
        <f t="array" ref="E645">(XLOOKUP(D645,Roster!F:F,Roster!B:B,"",0))</f>
        <v>Luisa Arenas</v>
      </c>
      <c r="F645" s="315" t="str">
        <f t="array" ref="F645">IF(B645=100,"Free",TEXT(XLOOKUP($D645,OperationVoice!$A:$A,OperationVoice!L:L,XLOOKUP($D645,OperationTickets!$A:$A,OperationTickets!L:L,"",0)),"hh:mm"))</f>
        <v>08:00</v>
      </c>
      <c r="G645" s="309">
        <f t="shared" si="3"/>
        <v>0.7083333333</v>
      </c>
      <c r="H645" s="316" t="str">
        <f t="array" ref="H645">XLOOKUP(B645,Roster!L:L,Roster!N:N,XLOOKUP(D645,TicketsBreak!A:A,TicketsBreak!E:E,"",0),0)</f>
        <v/>
      </c>
      <c r="I645" s="316" t="str">
        <f t="array" ref="I645">XLOOKUP(B645,Roster!L:L,Roster!O:O,XLOOKUP(D645,TicketsBreak!A:A,TicketsBreak!F:F,"",0),0)</f>
        <v/>
      </c>
      <c r="J645" s="316" t="str">
        <f t="array" ref="J645">XLOOKUP(B645,Roster!L:L,Roster!P:P,XLOOKUP(D645,TicketsBreak!A:A,TicketsBreak!G:G,"",0),0)</f>
        <v/>
      </c>
      <c r="K645" s="310">
        <f t="shared" si="4"/>
        <v>46118</v>
      </c>
      <c r="L645" s="317">
        <f t="array" ref="L645">(XLOOKUP(D645,Roster!F:F,Roster!D:D,"",0))</f>
        <v>35</v>
      </c>
      <c r="M645" s="317" t="str">
        <f t="array" ref="M645">XLOOKUP(D645,Roster!F:F,Roster!E:E)</f>
        <v>Tickets</v>
      </c>
      <c r="N645" s="317" t="str">
        <f t="shared" ref="N645:P645" si="656">LEFT(H645,5)</f>
        <v/>
      </c>
      <c r="O645" s="317" t="str">
        <f t="shared" si="656"/>
        <v/>
      </c>
      <c r="P645" s="317" t="str">
        <f t="shared" si="656"/>
        <v/>
      </c>
      <c r="Q645" s="318" t="str">
        <f t="shared" si="382"/>
        <v/>
      </c>
      <c r="R645" s="318" t="str">
        <f t="shared" si="383"/>
        <v/>
      </c>
      <c r="S645" s="318" t="str">
        <f t="shared" si="8"/>
        <v/>
      </c>
    </row>
    <row r="646">
      <c r="A646" s="14" t="str">
        <f t="shared" si="1"/>
        <v>C113646118</v>
      </c>
      <c r="B646" s="185">
        <f t="array" ref="B646">IF(F646="VL","",IF(F646="Free","Free",XLOOKUP(D646,Roster!T:T,Roster!S:S,"",0)))</f>
        <v>126</v>
      </c>
      <c r="C646" s="313">
        <v>46118.0</v>
      </c>
      <c r="D646" s="314" t="s">
        <v>60</v>
      </c>
      <c r="E646" s="307" t="str">
        <f t="array" ref="E646">(XLOOKUP(D646,Roster!F:F,Roster!B:B,"",0))</f>
        <v>Luisa Gonzalez</v>
      </c>
      <c r="F646" s="315" t="str">
        <f t="array" ref="F646">IF(B646=100,"Free",TEXT(XLOOKUP($D646,OperationVoice!$A:$A,OperationVoice!L:L,XLOOKUP($D646,OperationTickets!$A:$A,OperationTickets!L:L,"",0)),"hh:mm"))</f>
        <v>08:00</v>
      </c>
      <c r="G646" s="309">
        <f t="shared" si="3"/>
        <v>0.7083333333</v>
      </c>
      <c r="H646" s="316" t="str">
        <f t="array" ref="H646">XLOOKUP(B646,Roster!L:L,Roster!N:N,XLOOKUP(D646,TicketsBreak!A:A,TicketsBreak!E:E,"",0),0)</f>
        <v>10:45 - 11:00</v>
      </c>
      <c r="I646" s="316" t="str">
        <f t="array" ref="I646">XLOOKUP(B646,Roster!L:L,Roster!O:O,XLOOKUP(D646,TicketsBreak!A:A,TicketsBreak!F:F,"",0),0)</f>
        <v>14:00 - 14:30</v>
      </c>
      <c r="J646" s="316" t="str">
        <f t="array" ref="J646">XLOOKUP(B646,Roster!L:L,Roster!P:P,XLOOKUP(D646,TicketsBreak!A:A,TicketsBreak!G:G,"",0),0)</f>
        <v>15:45 - 16:00</v>
      </c>
      <c r="K646" s="310">
        <f t="shared" si="4"/>
        <v>46118</v>
      </c>
      <c r="L646" s="317">
        <f t="array" ref="L646">(XLOOKUP(D646,Roster!F:F,Roster!D:D,"",0))</f>
        <v>22</v>
      </c>
      <c r="M646" s="317" t="str">
        <f t="array" ref="M646">XLOOKUP(D646,Roster!F:F,Roster!E:E)</f>
        <v>Voice</v>
      </c>
      <c r="N646" s="317" t="str">
        <f t="shared" ref="N646:P646" si="657">LEFT(H646,5)</f>
        <v>10:45</v>
      </c>
      <c r="O646" s="317" t="str">
        <f t="shared" si="657"/>
        <v>14:00</v>
      </c>
      <c r="P646" s="317" t="str">
        <f t="shared" si="657"/>
        <v>15:45</v>
      </c>
      <c r="Q646" s="318">
        <f t="shared" si="382"/>
        <v>46118.44792</v>
      </c>
      <c r="R646" s="318">
        <f t="shared" si="383"/>
        <v>46118.58333</v>
      </c>
      <c r="S646" s="318">
        <f t="shared" si="8"/>
        <v>46118.65625</v>
      </c>
    </row>
    <row r="647">
      <c r="A647" s="14" t="str">
        <f t="shared" si="1"/>
        <v>C157746118</v>
      </c>
      <c r="B647" s="185">
        <f t="array" ref="B647">IF(F647="VL","",IF(F647="Free","Free",XLOOKUP(D647,Roster!T:T,Roster!S:S,"",0)))</f>
        <v>126</v>
      </c>
      <c r="C647" s="313">
        <v>46118.0</v>
      </c>
      <c r="D647" s="314" t="s">
        <v>61</v>
      </c>
      <c r="E647" s="307" t="str">
        <f t="array" ref="E647">(XLOOKUP(D647,Roster!F:F,Roster!B:B,"",0))</f>
        <v>Luna Morales</v>
      </c>
      <c r="F647" s="315" t="str">
        <f t="array" ref="F647">IF(B647=100,"Free",TEXT(XLOOKUP($D647,OperationVoice!$A:$A,OperationVoice!L:L,XLOOKUP($D647,OperationTickets!$A:$A,OperationTickets!L:L,"",0)),"hh:mm"))</f>
        <v>08:00</v>
      </c>
      <c r="G647" s="309">
        <f t="shared" si="3"/>
        <v>0.7083333333</v>
      </c>
      <c r="H647" s="316" t="str">
        <f t="array" ref="H647">XLOOKUP(B647,Roster!L:L,Roster!N:N,XLOOKUP(D647,TicketsBreak!A:A,TicketsBreak!E:E,"",0),0)</f>
        <v>10:45 - 11:00</v>
      </c>
      <c r="I647" s="316" t="str">
        <f t="array" ref="I647">XLOOKUP(B647,Roster!L:L,Roster!O:O,XLOOKUP(D647,TicketsBreak!A:A,TicketsBreak!F:F,"",0),0)</f>
        <v>14:00 - 14:30</v>
      </c>
      <c r="J647" s="316" t="str">
        <f t="array" ref="J647">XLOOKUP(B647,Roster!L:L,Roster!P:P,XLOOKUP(D647,TicketsBreak!A:A,TicketsBreak!G:G,"",0),0)</f>
        <v>15:45 - 16:00</v>
      </c>
      <c r="K647" s="310">
        <f t="shared" si="4"/>
        <v>46118</v>
      </c>
      <c r="L647" s="317">
        <f t="array" ref="L647">(XLOOKUP(D647,Roster!F:F,Roster!D:D,"",0))</f>
        <v>38</v>
      </c>
      <c r="M647" s="317" t="str">
        <f t="array" ref="M647">XLOOKUP(D647,Roster!F:F,Roster!E:E)</f>
        <v>Voice</v>
      </c>
      <c r="N647" s="317" t="str">
        <f t="shared" ref="N647:P647" si="658">LEFT(H647,5)</f>
        <v>10:45</v>
      </c>
      <c r="O647" s="317" t="str">
        <f t="shared" si="658"/>
        <v>14:00</v>
      </c>
      <c r="P647" s="317" t="str">
        <f t="shared" si="658"/>
        <v>15:45</v>
      </c>
      <c r="Q647" s="318">
        <f t="shared" si="382"/>
        <v>46118.44792</v>
      </c>
      <c r="R647" s="318">
        <f t="shared" si="383"/>
        <v>46118.58333</v>
      </c>
      <c r="S647" s="318">
        <f t="shared" si="8"/>
        <v>46118.65625</v>
      </c>
    </row>
    <row r="648">
      <c r="A648" s="14" t="str">
        <f t="shared" si="1"/>
        <v>C121946118</v>
      </c>
      <c r="B648" s="185" t="str">
        <f t="array" ref="B648">IF(F648="VL","",IF(F648="Free","Free",XLOOKUP(D648,Roster!T:T,Roster!S:S,"",0)))</f>
        <v/>
      </c>
      <c r="C648" s="313">
        <v>46118.0</v>
      </c>
      <c r="D648" s="314" t="s">
        <v>146</v>
      </c>
      <c r="E648" s="307" t="str">
        <f t="array" ref="E648">(XLOOKUP(D648,Roster!F:F,Roster!B:B,"",0))</f>
        <v>Madelyn Jaramillo</v>
      </c>
      <c r="F648" s="315" t="str">
        <f t="array" ref="F648">IF(B648=100,"Free",TEXT(XLOOKUP($D648,OperationVoice!$A:$A,OperationVoice!L:L,XLOOKUP($D648,OperationTickets!$A:$A,OperationTickets!L:L,"",0)),"hh:mm"))</f>
        <v>08:00</v>
      </c>
      <c r="G648" s="309">
        <f t="shared" si="3"/>
        <v>0.7083333333</v>
      </c>
      <c r="H648" s="316" t="str">
        <f t="array" ref="H648">XLOOKUP(B648,Roster!L:L,Roster!N:N,XLOOKUP(D648,TicketsBreak!A:A,TicketsBreak!E:E,"",0),0)</f>
        <v/>
      </c>
      <c r="I648" s="316" t="str">
        <f t="array" ref="I648">XLOOKUP(B648,Roster!L:L,Roster!O:O,XLOOKUP(D648,TicketsBreak!A:A,TicketsBreak!F:F,"",0),0)</f>
        <v/>
      </c>
      <c r="J648" s="316" t="str">
        <f t="array" ref="J648">XLOOKUP(B648,Roster!L:L,Roster!P:P,XLOOKUP(D648,TicketsBreak!A:A,TicketsBreak!G:G,"",0),0)</f>
        <v/>
      </c>
      <c r="K648" s="310">
        <f t="shared" si="4"/>
        <v>46118</v>
      </c>
      <c r="L648" s="317">
        <f t="array" ref="L648">(XLOOKUP(D648,Roster!F:F,Roster!D:D,"",0))</f>
        <v>26</v>
      </c>
      <c r="M648" s="317" t="str">
        <f t="array" ref="M648">XLOOKUP(D648,Roster!F:F,Roster!E:E)</f>
        <v>Tickets</v>
      </c>
      <c r="N648" s="317" t="str">
        <f t="shared" ref="N648:P648" si="659">LEFT(H648,5)</f>
        <v/>
      </c>
      <c r="O648" s="317" t="str">
        <f t="shared" si="659"/>
        <v/>
      </c>
      <c r="P648" s="317" t="str">
        <f t="shared" si="659"/>
        <v/>
      </c>
      <c r="Q648" s="318" t="str">
        <f t="shared" si="382"/>
        <v/>
      </c>
      <c r="R648" s="318" t="str">
        <f t="shared" si="383"/>
        <v/>
      </c>
      <c r="S648" s="318" t="str">
        <f t="shared" si="8"/>
        <v/>
      </c>
    </row>
    <row r="649">
      <c r="A649" s="14" t="str">
        <f t="shared" si="1"/>
        <v>C151646118</v>
      </c>
      <c r="B649" s="185">
        <f t="array" ref="B649">IF(F649="VL","",IF(F649="Free","Free",XLOOKUP(D649,Roster!T:T,Roster!S:S,"",0)))</f>
        <v>122</v>
      </c>
      <c r="C649" s="313">
        <v>46118.0</v>
      </c>
      <c r="D649" s="314" t="s">
        <v>62</v>
      </c>
      <c r="E649" s="307" t="str">
        <f t="array" ref="E649">(XLOOKUP(D649,Roster!F:F,Roster!B:B,"",0))</f>
        <v>Magda Foronda</v>
      </c>
      <c r="F649" s="315" t="str">
        <f t="array" ref="F649">IF(B649=100,"Free",TEXT(XLOOKUP($D649,OperationVoice!$A:$A,OperationVoice!L:L,XLOOKUP($D649,OperationTickets!$A:$A,OperationTickets!L:L,"",0)),"hh:mm"))</f>
        <v>08:00</v>
      </c>
      <c r="G649" s="309">
        <f t="shared" si="3"/>
        <v>0.7083333333</v>
      </c>
      <c r="H649" s="316" t="str">
        <f t="array" ref="H649">XLOOKUP(B649,Roster!L:L,Roster!N:N,XLOOKUP(D649,TicketsBreak!A:A,TicketsBreak!E:E,"",0),0)</f>
        <v>09:30 - 09:45</v>
      </c>
      <c r="I649" s="316" t="str">
        <f t="array" ref="I649">XLOOKUP(B649,Roster!L:L,Roster!O:O,XLOOKUP(D649,TicketsBreak!A:A,TicketsBreak!F:F,"",0),0)</f>
        <v>12:00 - 12:30</v>
      </c>
      <c r="J649" s="316" t="str">
        <f t="array" ref="J649">XLOOKUP(B649,Roster!L:L,Roster!P:P,XLOOKUP(D649,TicketsBreak!A:A,TicketsBreak!G:G,"",0),0)</f>
        <v>14:45 - 15:00</v>
      </c>
      <c r="K649" s="310">
        <f t="shared" si="4"/>
        <v>46118</v>
      </c>
      <c r="L649" s="317">
        <f t="array" ref="L649">(XLOOKUP(D649,Roster!F:F,Roster!D:D,"",0))</f>
        <v>35</v>
      </c>
      <c r="M649" s="317" t="str">
        <f t="array" ref="M649">XLOOKUP(D649,Roster!F:F,Roster!E:E)</f>
        <v>Voice</v>
      </c>
      <c r="N649" s="317" t="str">
        <f t="shared" ref="N649:P649" si="660">LEFT(H649,5)</f>
        <v>09:30</v>
      </c>
      <c r="O649" s="317" t="str">
        <f t="shared" si="660"/>
        <v>12:00</v>
      </c>
      <c r="P649" s="317" t="str">
        <f t="shared" si="660"/>
        <v>14:45</v>
      </c>
      <c r="Q649" s="318">
        <f t="shared" si="382"/>
        <v>46118.39583</v>
      </c>
      <c r="R649" s="318">
        <f t="shared" si="383"/>
        <v>46118.5</v>
      </c>
      <c r="S649" s="318">
        <f t="shared" si="8"/>
        <v>46118.61458</v>
      </c>
    </row>
    <row r="650">
      <c r="A650" s="14" t="str">
        <f t="shared" si="1"/>
        <v>C118046118</v>
      </c>
      <c r="B650" s="185">
        <f t="array" ref="B650">IF(F650="VL","",IF(F650="Free","Free",XLOOKUP(D650,Roster!T:T,Roster!S:S,"",0)))</f>
        <v>500</v>
      </c>
      <c r="C650" s="313">
        <v>46118.0</v>
      </c>
      <c r="D650" s="314" t="s">
        <v>147</v>
      </c>
      <c r="E650" s="307" t="str">
        <f t="array" ref="E650">(XLOOKUP(D650,Roster!F:F,Roster!B:B,"",0))</f>
        <v>Manuela Moreno</v>
      </c>
      <c r="F650" s="315" t="str">
        <f t="array" ref="F650">IF(B650=100,"Free",TEXT(XLOOKUP($D650,OperationVoice!$A:$A,OperationVoice!L:L,XLOOKUP($D650,OperationTickets!$A:$A,OperationTickets!L:L,"",0)),"hh:mm"))</f>
        <v>09:00</v>
      </c>
      <c r="G650" s="309">
        <f t="shared" si="3"/>
        <v>0.75</v>
      </c>
      <c r="H650" s="316" t="str">
        <f t="array" ref="H650">XLOOKUP(B650,Roster!L:L,Roster!N:N,XLOOKUP(D650,TicketsBreak!A:A,TicketsBreak!E:E,"",0),0)</f>
        <v>Team Leader</v>
      </c>
      <c r="I650" s="316" t="str">
        <f t="array" ref="I650">XLOOKUP(B650,Roster!L:L,Roster!O:O,XLOOKUP(D650,TicketsBreak!A:A,TicketsBreak!F:F,"",0),0)</f>
        <v>Team Leader</v>
      </c>
      <c r="J650" s="316" t="str">
        <f t="array" ref="J650">XLOOKUP(B650,Roster!L:L,Roster!P:P,XLOOKUP(D650,TicketsBreak!A:A,TicketsBreak!G:G,"",0),0)</f>
        <v/>
      </c>
      <c r="K650" s="310">
        <f t="shared" si="4"/>
        <v>46118</v>
      </c>
      <c r="L650" s="317">
        <f t="array" ref="L650">(XLOOKUP(D650,Roster!F:F,Roster!D:D,"",0))</f>
        <v>24</v>
      </c>
      <c r="M650" s="317" t="str">
        <f t="array" ref="M650">XLOOKUP(D650,Roster!F:F,Roster!E:E)</f>
        <v>Tickets</v>
      </c>
      <c r="N650" s="317" t="str">
        <f t="shared" ref="N650:P650" si="661">LEFT(H650,5)</f>
        <v>Team </v>
      </c>
      <c r="O650" s="317" t="str">
        <f t="shared" si="661"/>
        <v>Team </v>
      </c>
      <c r="P650" s="317" t="str">
        <f t="shared" si="661"/>
        <v/>
      </c>
      <c r="Q650" s="318" t="str">
        <f>IF(P650="","",$C650+N650)</f>
        <v/>
      </c>
      <c r="R650" s="318" t="str">
        <f>if(P650="","",$C650+O650)</f>
        <v/>
      </c>
      <c r="S650" s="318" t="str">
        <f t="shared" si="8"/>
        <v/>
      </c>
    </row>
    <row r="651">
      <c r="A651" s="14" t="str">
        <f t="shared" si="1"/>
        <v>C153646118</v>
      </c>
      <c r="B651" s="185">
        <f t="array" ref="B651">IF(F651="VL","",IF(F651="Free","Free",XLOOKUP(D651,Roster!T:T,Roster!S:S,"",0)))</f>
        <v>121</v>
      </c>
      <c r="C651" s="313">
        <v>46118.0</v>
      </c>
      <c r="D651" s="314" t="s">
        <v>63</v>
      </c>
      <c r="E651" s="307" t="str">
        <f t="array" ref="E651">(XLOOKUP(D651,Roster!F:F,Roster!B:B,"",0))</f>
        <v>Maria Mesa</v>
      </c>
      <c r="F651" s="315" t="str">
        <f t="array" ref="F651">IF(B651=100,"Free",TEXT(XLOOKUP($D651,OperationVoice!$A:$A,OperationVoice!L:L,XLOOKUP($D651,OperationTickets!$A:$A,OperationTickets!L:L,"",0)),"hh:mm"))</f>
        <v>08:00</v>
      </c>
      <c r="G651" s="309">
        <f t="shared" si="3"/>
        <v>0.7083333333</v>
      </c>
      <c r="H651" s="316" t="str">
        <f t="array" ref="H651">XLOOKUP(B651,Roster!L:L,Roster!N:N,XLOOKUP(D651,TicketsBreak!A:A,TicketsBreak!E:E,"",0),0)</f>
        <v>09:15 - 09:30</v>
      </c>
      <c r="I651" s="316" t="str">
        <f t="array" ref="I651">XLOOKUP(B651,Roster!L:L,Roster!O:O,XLOOKUP(D651,TicketsBreak!A:A,TicketsBreak!F:F,"",0),0)</f>
        <v>11:30 - 12:00</v>
      </c>
      <c r="J651" s="316" t="str">
        <f t="array" ref="J651">XLOOKUP(B651,Roster!L:L,Roster!P:P,XLOOKUP(D651,TicketsBreak!A:A,TicketsBreak!G:G,"",0),0)</f>
        <v>14:30 - 14:45</v>
      </c>
      <c r="K651" s="310">
        <f t="shared" si="4"/>
        <v>46118</v>
      </c>
      <c r="L651" s="317">
        <f t="array" ref="L651">(XLOOKUP(D651,Roster!F:F,Roster!D:D,"",0))</f>
        <v>36</v>
      </c>
      <c r="M651" s="317" t="str">
        <f t="array" ref="M651">XLOOKUP(D651,Roster!F:F,Roster!E:E)</f>
        <v>Voice</v>
      </c>
      <c r="N651" s="317" t="str">
        <f t="shared" ref="N651:P651" si="662">LEFT(H651,5)</f>
        <v>09:15</v>
      </c>
      <c r="O651" s="317" t="str">
        <f t="shared" si="662"/>
        <v>11:30</v>
      </c>
      <c r="P651" s="317" t="str">
        <f t="shared" si="662"/>
        <v>14:30</v>
      </c>
      <c r="Q651" s="318">
        <f t="shared" ref="Q651:Q789" si="664">IF(N651="","",$C651+N651)</f>
        <v>46118.38542</v>
      </c>
      <c r="R651" s="318">
        <f t="shared" ref="R651:R789" si="665">if(O651="","",$C651+O651)</f>
        <v>46118.47917</v>
      </c>
      <c r="S651" s="318">
        <f t="shared" si="8"/>
        <v>46118.60417</v>
      </c>
    </row>
    <row r="652">
      <c r="A652" s="14" t="str">
        <f t="shared" si="1"/>
        <v>C74046118</v>
      </c>
      <c r="B652" s="185" t="str">
        <f t="array" ref="B652">IF(F652="VL","",IF(F652="Free","Free",XLOOKUP(D652,Roster!T:T,Roster!S:S,"",0)))</f>
        <v/>
      </c>
      <c r="C652" s="313">
        <v>46118.0</v>
      </c>
      <c r="D652" s="314" t="s">
        <v>166</v>
      </c>
      <c r="E652" s="307" t="str">
        <f t="array" ref="E652">(XLOOKUP(D652,Roster!F:F,Roster!B:B,"",0))</f>
        <v>Mateo Agudelo</v>
      </c>
      <c r="F652" s="315" t="str">
        <f t="array" ref="F652">IF(B652=100,"Free",TEXT(XLOOKUP($D652,OperationVoice!$A:$A,OperationVoice!L:L,XLOOKUP($D652,OperationTickets!$A:$A,OperationTickets!L:L,"",0)),"hh:mm"))</f>
        <v>08:00</v>
      </c>
      <c r="G652" s="309">
        <f t="shared" si="3"/>
        <v>0.7083333333</v>
      </c>
      <c r="H652" s="316">
        <f t="array" ref="H652">XLOOKUP(B652,Roster!L:L,Roster!N:N,XLOOKUP(D652,TicketsBreak!A:A,TicketsBreak!E:E,"",0),0)</f>
        <v>0.4166666667</v>
      </c>
      <c r="I652" s="316">
        <f t="array" ref="I652">XLOOKUP(B652,Roster!L:L,Roster!O:O,XLOOKUP(D652,TicketsBreak!A:A,TicketsBreak!F:F,"",0),0)</f>
        <v>0.5</v>
      </c>
      <c r="J652" s="316">
        <f t="array" ref="J652">XLOOKUP(B652,Roster!L:L,Roster!P:P,XLOOKUP(D652,TicketsBreak!A:A,TicketsBreak!G:G,"",0),0)</f>
        <v>0.65625</v>
      </c>
      <c r="K652" s="310">
        <f t="shared" si="4"/>
        <v>46118</v>
      </c>
      <c r="L652" s="317">
        <f t="array" ref="L652">(XLOOKUP(D652,Roster!F:F,Roster!D:D,"",0))</f>
        <v>8</v>
      </c>
      <c r="M652" s="317" t="str">
        <f t="array" ref="M652">XLOOKUP(D652,Roster!F:F,Roster!E:E)</f>
        <v>Tickets</v>
      </c>
      <c r="N652" s="317" t="str">
        <f t="shared" ref="N652:P652" si="663">LEFT(H652,5)</f>
        <v>10:00</v>
      </c>
      <c r="O652" s="317" t="str">
        <f t="shared" si="663"/>
        <v>12:00</v>
      </c>
      <c r="P652" s="317" t="str">
        <f t="shared" si="663"/>
        <v>15:45</v>
      </c>
      <c r="Q652" s="318">
        <f t="shared" si="664"/>
        <v>46118.41667</v>
      </c>
      <c r="R652" s="318">
        <f t="shared" si="665"/>
        <v>46118.5</v>
      </c>
      <c r="S652" s="318">
        <f t="shared" si="8"/>
        <v>46118.65625</v>
      </c>
    </row>
    <row r="653">
      <c r="A653" s="14" t="str">
        <f t="shared" si="1"/>
        <v>C142946118</v>
      </c>
      <c r="B653" s="185">
        <f t="array" ref="B653">IF(F653="VL","",IF(F653="Free","Free",XLOOKUP(D653,Roster!T:T,Roster!S:S,"",0)))</f>
        <v>121</v>
      </c>
      <c r="C653" s="313">
        <v>46118.0</v>
      </c>
      <c r="D653" s="314" t="s">
        <v>178</v>
      </c>
      <c r="E653" s="307" t="str">
        <f t="array" ref="E653">(XLOOKUP(D653,Roster!F:F,Roster!B:B,"",0))</f>
        <v>Mateo Vanegas</v>
      </c>
      <c r="F653" s="315" t="str">
        <f t="array" ref="F653">IF(B653=100,"Free",TEXT(XLOOKUP($D653,OperationVoice!$A:$A,OperationVoice!L:L,XLOOKUP($D653,OperationTickets!$A:$A,OperationTickets!L:L,"",0)),"hh:mm"))</f>
        <v>08:00</v>
      </c>
      <c r="G653" s="309">
        <f t="shared" si="3"/>
        <v>0.7083333333</v>
      </c>
      <c r="H653" s="316" t="str">
        <f t="array" ref="H653">XLOOKUP(B653,Roster!L:L,Roster!N:N,XLOOKUP(D653,TicketsBreak!A:A,TicketsBreak!E:E,"",0),0)</f>
        <v>09:15 - 09:30</v>
      </c>
      <c r="I653" s="316" t="str">
        <f t="array" ref="I653">XLOOKUP(B653,Roster!L:L,Roster!O:O,XLOOKUP(D653,TicketsBreak!A:A,TicketsBreak!F:F,"",0),0)</f>
        <v>11:30 - 12:00</v>
      </c>
      <c r="J653" s="316" t="str">
        <f t="array" ref="J653">XLOOKUP(B653,Roster!L:L,Roster!P:P,XLOOKUP(D653,TicketsBreak!A:A,TicketsBreak!G:G,"",0),0)</f>
        <v>14:30 - 14:45</v>
      </c>
      <c r="K653" s="310">
        <f t="shared" si="4"/>
        <v>46118</v>
      </c>
      <c r="L653" s="317">
        <f t="array" ref="L653">(XLOOKUP(D653,Roster!F:F,Roster!D:D,"",0))</f>
        <v>32</v>
      </c>
      <c r="M653" s="317" t="str">
        <f t="array" ref="M653">XLOOKUP(D653,Roster!F:F,Roster!E:E)</f>
        <v>Tickets</v>
      </c>
      <c r="N653" s="317" t="str">
        <f t="shared" ref="N653:P653" si="666">LEFT(H653,5)</f>
        <v>09:15</v>
      </c>
      <c r="O653" s="317" t="str">
        <f t="shared" si="666"/>
        <v>11:30</v>
      </c>
      <c r="P653" s="317" t="str">
        <f t="shared" si="666"/>
        <v>14:30</v>
      </c>
      <c r="Q653" s="318">
        <f t="shared" si="664"/>
        <v>46118.38542</v>
      </c>
      <c r="R653" s="318">
        <f t="shared" si="665"/>
        <v>46118.47917</v>
      </c>
      <c r="S653" s="318">
        <f t="shared" si="8"/>
        <v>46118.60417</v>
      </c>
    </row>
    <row r="654">
      <c r="A654" s="14" t="str">
        <f t="shared" si="1"/>
        <v>C146846118</v>
      </c>
      <c r="B654" s="185">
        <f t="array" ref="B654">IF(F654="VL","",IF(F654="Free","Free",XLOOKUP(D654,Roster!T:T,Roster!S:S,"",0)))</f>
        <v>122</v>
      </c>
      <c r="C654" s="313">
        <v>46118.0</v>
      </c>
      <c r="D654" s="314" t="s">
        <v>64</v>
      </c>
      <c r="E654" s="307" t="str">
        <f t="array" ref="E654">(XLOOKUP(D654,Roster!F:F,Roster!B:B,"",0))</f>
        <v>Miguel Betancur</v>
      </c>
      <c r="F654" s="315" t="str">
        <f t="array" ref="F654">IF(B654=100,"Free",TEXT(XLOOKUP($D654,OperationVoice!$A:$A,OperationVoice!L:L,XLOOKUP($D654,OperationTickets!$A:$A,OperationTickets!L:L,"",0)),"hh:mm"))</f>
        <v>08:00</v>
      </c>
      <c r="G654" s="309">
        <f t="shared" si="3"/>
        <v>0.7083333333</v>
      </c>
      <c r="H654" s="316" t="str">
        <f t="array" ref="H654">XLOOKUP(B654,Roster!L:L,Roster!N:N,XLOOKUP(D654,TicketsBreak!A:A,TicketsBreak!E:E,"",0),0)</f>
        <v>09:30 - 09:45</v>
      </c>
      <c r="I654" s="316" t="str">
        <f t="array" ref="I654">XLOOKUP(B654,Roster!L:L,Roster!O:O,XLOOKUP(D654,TicketsBreak!A:A,TicketsBreak!F:F,"",0),0)</f>
        <v>12:00 - 12:30</v>
      </c>
      <c r="J654" s="316" t="str">
        <f t="array" ref="J654">XLOOKUP(B654,Roster!L:L,Roster!P:P,XLOOKUP(D654,TicketsBreak!A:A,TicketsBreak!G:G,"",0),0)</f>
        <v>14:45 - 15:00</v>
      </c>
      <c r="K654" s="310">
        <f t="shared" si="4"/>
        <v>46118</v>
      </c>
      <c r="L654" s="317">
        <f t="array" ref="L654">(XLOOKUP(D654,Roster!F:F,Roster!D:D,"",0))</f>
        <v>33</v>
      </c>
      <c r="M654" s="317" t="str">
        <f t="array" ref="M654">XLOOKUP(D654,Roster!F:F,Roster!E:E)</f>
        <v>Voice</v>
      </c>
      <c r="N654" s="317" t="str">
        <f t="shared" ref="N654:P654" si="667">LEFT(H654,5)</f>
        <v>09:30</v>
      </c>
      <c r="O654" s="317" t="str">
        <f t="shared" si="667"/>
        <v>12:00</v>
      </c>
      <c r="P654" s="317" t="str">
        <f t="shared" si="667"/>
        <v>14:45</v>
      </c>
      <c r="Q654" s="318">
        <f t="shared" si="664"/>
        <v>46118.39583</v>
      </c>
      <c r="R654" s="318">
        <f t="shared" si="665"/>
        <v>46118.5</v>
      </c>
      <c r="S654" s="318">
        <f t="shared" si="8"/>
        <v>46118.61458</v>
      </c>
    </row>
    <row r="655">
      <c r="A655" s="14" t="str">
        <f t="shared" si="1"/>
        <v>C106546118</v>
      </c>
      <c r="B655" s="185" t="str">
        <f t="array" ref="B655">IF(F655="VL","",IF(F655="Free","Free",XLOOKUP(D655,Roster!T:T,Roster!S:S,"",0)))</f>
        <v/>
      </c>
      <c r="C655" s="313">
        <v>46118.0</v>
      </c>
      <c r="D655" s="314" t="s">
        <v>148</v>
      </c>
      <c r="E655" s="307" t="str">
        <f t="array" ref="E655">(XLOOKUP(D655,Roster!F:F,Roster!B:B,"",0))</f>
        <v>Miguel Hoyos</v>
      </c>
      <c r="F655" s="315" t="str">
        <f t="array" ref="F655">IF(B655=100,"Free",TEXT(XLOOKUP($D655,OperationVoice!$A:$A,OperationVoice!L:L,XLOOKUP($D655,OperationTickets!$A:$A,OperationTickets!L:L,"",0)),"hh:mm"))</f>
        <v>07:00</v>
      </c>
      <c r="G655" s="309">
        <f t="shared" si="3"/>
        <v>0.6666666667</v>
      </c>
      <c r="H655" s="316">
        <f t="array" ref="H655">XLOOKUP(B655,Roster!L:L,Roster!N:N,XLOOKUP(D655,TicketsBreak!A:A,TicketsBreak!E:E,"",0),0)</f>
        <v>0.4583333333</v>
      </c>
      <c r="I655" s="316">
        <f t="array" ref="I655">XLOOKUP(B655,Roster!L:L,Roster!O:O,XLOOKUP(D655,TicketsBreak!A:A,TicketsBreak!F:F,"",0),0)</f>
        <v>0.5625</v>
      </c>
      <c r="J655" s="316">
        <f t="array" ref="J655">XLOOKUP(B655,Roster!L:L,Roster!P:P,XLOOKUP(D655,TicketsBreak!A:A,TicketsBreak!G:G,"",0),0)</f>
        <v>0.65625</v>
      </c>
      <c r="K655" s="310">
        <f t="shared" si="4"/>
        <v>46118</v>
      </c>
      <c r="L655" s="317">
        <f t="array" ref="L655">(XLOOKUP(D655,Roster!F:F,Roster!D:D,"",0))</f>
        <v>17</v>
      </c>
      <c r="M655" s="317" t="str">
        <f t="array" ref="M655">XLOOKUP(D655,Roster!F:F,Roster!E:E)</f>
        <v>Tickets</v>
      </c>
      <c r="N655" s="317" t="str">
        <f t="shared" ref="N655:P655" si="668">LEFT(H655,5)</f>
        <v>11:00</v>
      </c>
      <c r="O655" s="317" t="str">
        <f t="shared" si="668"/>
        <v>13:30</v>
      </c>
      <c r="P655" s="317" t="str">
        <f t="shared" si="668"/>
        <v>15:45</v>
      </c>
      <c r="Q655" s="318">
        <f t="shared" si="664"/>
        <v>46118.45833</v>
      </c>
      <c r="R655" s="318">
        <f t="shared" si="665"/>
        <v>46118.5625</v>
      </c>
      <c r="S655" s="318">
        <f t="shared" si="8"/>
        <v>46118.65625</v>
      </c>
    </row>
    <row r="656">
      <c r="A656" s="14" t="str">
        <f t="shared" si="1"/>
        <v>C111446118</v>
      </c>
      <c r="B656" s="185">
        <f t="array" ref="B656">IF(F656="VL","",IF(F656="Free","Free",XLOOKUP(D656,Roster!T:T,Roster!S:S,"",0)))</f>
        <v>113</v>
      </c>
      <c r="C656" s="313">
        <v>46118.0</v>
      </c>
      <c r="D656" s="314" t="s">
        <v>65</v>
      </c>
      <c r="E656" s="307" t="str">
        <f t="array" ref="E656">(XLOOKUP(D656,Roster!F:F,Roster!B:B,"",0))</f>
        <v>Mikel Bowie</v>
      </c>
      <c r="F656" s="315" t="str">
        <f t="array" ref="F656">IF(B656=100,"Free",TEXT(XLOOKUP($D656,OperationVoice!$A:$A,OperationVoice!L:L,XLOOKUP($D656,OperationTickets!$A:$A,OperationTickets!L:L,"",0)),"hh:mm"))</f>
        <v>08:00</v>
      </c>
      <c r="G656" s="309">
        <f t="shared" si="3"/>
        <v>0.7083333333</v>
      </c>
      <c r="H656" s="316" t="str">
        <f t="array" ref="H656">XLOOKUP(B656,Roster!L:L,Roster!N:N,XLOOKUP(D656,TicketsBreak!A:A,TicketsBreak!E:E,"",0),0)</f>
        <v>09:45 - 10:00</v>
      </c>
      <c r="I656" s="316" t="str">
        <f t="array" ref="I656">XLOOKUP(B656,Roster!L:L,Roster!O:O,XLOOKUP(D656,TicketsBreak!A:A,TicketsBreak!F:F,"",0),0)</f>
        <v>12:30 - 13:00</v>
      </c>
      <c r="J656" s="316" t="str">
        <f t="array" ref="J656">XLOOKUP(B656,Roster!L:L,Roster!P:P,XLOOKUP(D656,TicketsBreak!A:A,TicketsBreak!G:G,"",0),0)</f>
        <v>14:45 - 15:00</v>
      </c>
      <c r="K656" s="310">
        <f t="shared" si="4"/>
        <v>46118</v>
      </c>
      <c r="L656" s="317">
        <f t="array" ref="L656">(XLOOKUP(D656,Roster!F:F,Roster!D:D,"",0))</f>
        <v>20</v>
      </c>
      <c r="M656" s="317" t="str">
        <f t="array" ref="M656">XLOOKUP(D656,Roster!F:F,Roster!E:E)</f>
        <v>Voice</v>
      </c>
      <c r="N656" s="317" t="str">
        <f t="shared" ref="N656:P656" si="669">LEFT(H656,5)</f>
        <v>09:45</v>
      </c>
      <c r="O656" s="317" t="str">
        <f t="shared" si="669"/>
        <v>12:30</v>
      </c>
      <c r="P656" s="317" t="str">
        <f t="shared" si="669"/>
        <v>14:45</v>
      </c>
      <c r="Q656" s="318">
        <f t="shared" si="664"/>
        <v>46118.40625</v>
      </c>
      <c r="R656" s="318">
        <f t="shared" si="665"/>
        <v>46118.52083</v>
      </c>
      <c r="S656" s="318">
        <f t="shared" si="8"/>
        <v>46118.61458</v>
      </c>
    </row>
    <row r="657">
      <c r="A657" s="14" t="str">
        <f t="shared" si="1"/>
        <v>C116346118</v>
      </c>
      <c r="B657" s="185">
        <f t="array" ref="B657">IF(F657="VL","",IF(F657="Free","Free",XLOOKUP(D657,Roster!T:T,Roster!S:S,"",0)))</f>
        <v>123</v>
      </c>
      <c r="C657" s="313">
        <v>46118.0</v>
      </c>
      <c r="D657" s="314" t="s">
        <v>66</v>
      </c>
      <c r="E657" s="307" t="str">
        <f t="array" ref="E657">(XLOOKUP(D657,Roster!F:F,Roster!B:B,"",0))</f>
        <v>Natalia Cardona</v>
      </c>
      <c r="F657" s="315" t="str">
        <f t="array" ref="F657">IF(B657=100,"Free",TEXT(XLOOKUP($D657,OperationVoice!$A:$A,OperationVoice!L:L,XLOOKUP($D657,OperationTickets!$A:$A,OperationTickets!L:L,"",0)),"hh:mm"))</f>
        <v>08:00</v>
      </c>
      <c r="G657" s="309">
        <f t="shared" si="3"/>
        <v>0.7083333333</v>
      </c>
      <c r="H657" s="316" t="str">
        <f t="array" ref="H657">XLOOKUP(B657,Roster!L:L,Roster!N:N,XLOOKUP(D657,TicketsBreak!A:A,TicketsBreak!E:E,"",0),0)</f>
        <v>09:45 - 10:00 </v>
      </c>
      <c r="I657" s="316" t="str">
        <f t="array" ref="I657">XLOOKUP(B657,Roster!L:L,Roster!O:O,XLOOKUP(D657,TicketsBreak!A:A,TicketsBreak!F:F,"",0),0)</f>
        <v>12:30 - 13:00</v>
      </c>
      <c r="J657" s="316" t="str">
        <f t="array" ref="J657">XLOOKUP(B657,Roster!L:L,Roster!P:P,XLOOKUP(D657,TicketsBreak!A:A,TicketsBreak!G:G,"",0),0)</f>
        <v>15:00 - 15:15</v>
      </c>
      <c r="K657" s="310">
        <f t="shared" si="4"/>
        <v>46118</v>
      </c>
      <c r="L657" s="317">
        <f t="array" ref="L657">(XLOOKUP(D657,Roster!F:F,Roster!D:D,"",0))</f>
        <v>24</v>
      </c>
      <c r="M657" s="317" t="str">
        <f t="array" ref="M657">XLOOKUP(D657,Roster!F:F,Roster!E:E)</f>
        <v>Voice</v>
      </c>
      <c r="N657" s="317" t="str">
        <f t="shared" ref="N657:P657" si="670">LEFT(H657,5)</f>
        <v>09:45</v>
      </c>
      <c r="O657" s="317" t="str">
        <f t="shared" si="670"/>
        <v>12:30</v>
      </c>
      <c r="P657" s="317" t="str">
        <f t="shared" si="670"/>
        <v>15:00</v>
      </c>
      <c r="Q657" s="318">
        <f t="shared" si="664"/>
        <v>46118.40625</v>
      </c>
      <c r="R657" s="318">
        <f t="shared" si="665"/>
        <v>46118.52083</v>
      </c>
      <c r="S657" s="318">
        <f t="shared" si="8"/>
        <v>46118.625</v>
      </c>
    </row>
    <row r="658">
      <c r="A658" s="14" t="str">
        <f t="shared" si="1"/>
        <v>C55646118</v>
      </c>
      <c r="B658" s="185" t="str">
        <f t="array" ref="B658">IF(F658="VL","",IF(F658="Free","Free",XLOOKUP(D658,Roster!T:T,Roster!S:S,"",0)))</f>
        <v/>
      </c>
      <c r="C658" s="313">
        <v>46118.0</v>
      </c>
      <c r="D658" s="314" t="s">
        <v>167</v>
      </c>
      <c r="E658" s="307" t="str">
        <f t="array" ref="E658">(XLOOKUP(D658,Roster!F:F,Roster!B:B,"",0))</f>
        <v>Nelson Londono</v>
      </c>
      <c r="F658" s="315" t="str">
        <f t="array" ref="F658">IF(B658=100,"Free",TEXT(XLOOKUP($D658,OperationVoice!$A:$A,OperationVoice!L:L,XLOOKUP($D658,OperationTickets!$A:$A,OperationTickets!L:L,"",0)),"hh:mm"))</f>
        <v>07:00</v>
      </c>
      <c r="G658" s="309">
        <f t="shared" si="3"/>
        <v>0.6666666667</v>
      </c>
      <c r="H658" s="316">
        <f t="array" ref="H658">XLOOKUP(B658,Roster!L:L,Roster!N:N,XLOOKUP(D658,TicketsBreak!A:A,TicketsBreak!E:E,"",0),0)</f>
        <v>0.3854166667</v>
      </c>
      <c r="I658" s="316">
        <f t="array" ref="I658">XLOOKUP(B658,Roster!L:L,Roster!O:O,XLOOKUP(D658,TicketsBreak!A:A,TicketsBreak!F:F,"",0),0)</f>
        <v>0.5833333333</v>
      </c>
      <c r="J658" s="316">
        <f t="array" ref="J658">XLOOKUP(B658,Roster!L:L,Roster!P:P,XLOOKUP(D658,TicketsBreak!A:A,TicketsBreak!G:G,"",0),0)</f>
        <v>0.6458333333</v>
      </c>
      <c r="K658" s="310">
        <f t="shared" si="4"/>
        <v>46118</v>
      </c>
      <c r="L658" s="317">
        <f t="array" ref="L658">(XLOOKUP(D658,Roster!F:F,Roster!D:D,"",0))</f>
        <v>2</v>
      </c>
      <c r="M658" s="317" t="str">
        <f t="array" ref="M658">XLOOKUP(D658,Roster!F:F,Roster!E:E)</f>
        <v>Tickets</v>
      </c>
      <c r="N658" s="317" t="str">
        <f t="shared" ref="N658:P658" si="671">LEFT(H658,5)</f>
        <v>09:15</v>
      </c>
      <c r="O658" s="317" t="str">
        <f t="shared" si="671"/>
        <v>14:00</v>
      </c>
      <c r="P658" s="317" t="str">
        <f t="shared" si="671"/>
        <v>15:30</v>
      </c>
      <c r="Q658" s="318">
        <f t="shared" si="664"/>
        <v>46118.38542</v>
      </c>
      <c r="R658" s="318">
        <f t="shared" si="665"/>
        <v>46118.58333</v>
      </c>
      <c r="S658" s="318">
        <f t="shared" si="8"/>
        <v>46118.64583</v>
      </c>
    </row>
    <row r="659">
      <c r="A659" s="14" t="str">
        <f t="shared" si="1"/>
        <v>C150746118</v>
      </c>
      <c r="B659" s="185">
        <f t="array" ref="B659">IF(F659="VL","",IF(F659="Free","Free",XLOOKUP(D659,Roster!T:T,Roster!S:S,"",0)))</f>
        <v>125</v>
      </c>
      <c r="C659" s="313">
        <v>46118.0</v>
      </c>
      <c r="D659" s="314" t="s">
        <v>67</v>
      </c>
      <c r="E659" s="307" t="str">
        <f t="array" ref="E659">(XLOOKUP(D659,Roster!F:F,Roster!B:B,"",0))</f>
        <v>Nicols Quinones</v>
      </c>
      <c r="F659" s="315" t="str">
        <f t="array" ref="F659">IF(B659=100,"Free",TEXT(XLOOKUP($D659,OperationVoice!$A:$A,OperationVoice!L:L,XLOOKUP($D659,OperationTickets!$A:$A,OperationTickets!L:L,"",0)),"hh:mm"))</f>
        <v>08:00</v>
      </c>
      <c r="G659" s="309">
        <f t="shared" si="3"/>
        <v>0.7083333333</v>
      </c>
      <c r="H659" s="316" t="str">
        <f t="array" ref="H659">XLOOKUP(B659,Roster!L:L,Roster!N:N,XLOOKUP(D659,TicketsBreak!A:A,TicketsBreak!E:E,"",0),0)</f>
        <v>10:30 - 10:45</v>
      </c>
      <c r="I659" s="316" t="str">
        <f t="array" ref="I659">XLOOKUP(B659,Roster!L:L,Roster!O:O,XLOOKUP(D659,TicketsBreak!A:A,TicketsBreak!F:F,"",0),0)</f>
        <v>13:30 - 14:00</v>
      </c>
      <c r="J659" s="316" t="str">
        <f t="array" ref="J659">XLOOKUP(B659,Roster!L:L,Roster!P:P,XLOOKUP(D659,TicketsBreak!A:A,TicketsBreak!G:G,"",0),0)</f>
        <v>15:45 - 16:00</v>
      </c>
      <c r="K659" s="310">
        <f t="shared" si="4"/>
        <v>46118</v>
      </c>
      <c r="L659" s="317">
        <f t="array" ref="L659">(XLOOKUP(D659,Roster!F:F,Roster!D:D,"",0))</f>
        <v>35</v>
      </c>
      <c r="M659" s="317" t="str">
        <f t="array" ref="M659">XLOOKUP(D659,Roster!F:F,Roster!E:E)</f>
        <v>Voice</v>
      </c>
      <c r="N659" s="317" t="str">
        <f t="shared" ref="N659:P659" si="672">LEFT(H659,5)</f>
        <v>10:30</v>
      </c>
      <c r="O659" s="317" t="str">
        <f t="shared" si="672"/>
        <v>13:30</v>
      </c>
      <c r="P659" s="317" t="str">
        <f t="shared" si="672"/>
        <v>15:45</v>
      </c>
      <c r="Q659" s="318">
        <f t="shared" si="664"/>
        <v>46118.4375</v>
      </c>
      <c r="R659" s="318">
        <f t="shared" si="665"/>
        <v>46118.5625</v>
      </c>
      <c r="S659" s="318">
        <f t="shared" si="8"/>
        <v>46118.65625</v>
      </c>
    </row>
    <row r="660">
      <c r="A660" s="14" t="str">
        <f t="shared" si="1"/>
        <v>C71446118</v>
      </c>
      <c r="B660" s="185" t="str">
        <f t="array" ref="B660">IF(F660="VL","",IF(F660="Free","Free",XLOOKUP(D660,Roster!T:T,Roster!S:S,"",0)))</f>
        <v/>
      </c>
      <c r="C660" s="313">
        <v>46118.0</v>
      </c>
      <c r="D660" s="314" t="s">
        <v>149</v>
      </c>
      <c r="E660" s="307" t="str">
        <f t="array" ref="E660">(XLOOKUP(D660,Roster!F:F,Roster!B:B,"",0))</f>
        <v>Onel Olivera</v>
      </c>
      <c r="F660" s="315" t="str">
        <f t="array" ref="F660">IF(B660=100,"Free",TEXT(XLOOKUP($D660,OperationVoice!$A:$A,OperationVoice!L:L,XLOOKUP($D660,OperationTickets!$A:$A,OperationTickets!L:L,"",0)),"hh:mm"))</f>
        <v>08:00</v>
      </c>
      <c r="G660" s="309">
        <f t="shared" si="3"/>
        <v>0.7083333333</v>
      </c>
      <c r="H660" s="316">
        <f t="array" ref="H660">XLOOKUP(B660,Roster!L:L,Roster!N:N,XLOOKUP(D660,TicketsBreak!A:A,TicketsBreak!E:E,"",0),0)</f>
        <v>0.4166666667</v>
      </c>
      <c r="I660" s="316">
        <f t="array" ref="I660">XLOOKUP(B660,Roster!L:L,Roster!O:O,XLOOKUP(D660,TicketsBreak!A:A,TicketsBreak!F:F,"",0),0)</f>
        <v>0.5</v>
      </c>
      <c r="J660" s="316">
        <f t="array" ref="J660">XLOOKUP(B660,Roster!L:L,Roster!P:P,XLOOKUP(D660,TicketsBreak!A:A,TicketsBreak!G:G,"",0),0)</f>
        <v>0.625</v>
      </c>
      <c r="K660" s="310">
        <f t="shared" si="4"/>
        <v>46118</v>
      </c>
      <c r="L660" s="317">
        <f t="array" ref="L660">(XLOOKUP(D660,Roster!F:F,Roster!D:D,"",0))</f>
        <v>1</v>
      </c>
      <c r="M660" s="317" t="str">
        <f t="array" ref="M660">XLOOKUP(D660,Roster!F:F,Roster!E:E)</f>
        <v>Tickets</v>
      </c>
      <c r="N660" s="317" t="str">
        <f t="shared" ref="N660:P660" si="673">LEFT(H660,5)</f>
        <v>10:00</v>
      </c>
      <c r="O660" s="317" t="str">
        <f t="shared" si="673"/>
        <v>12:00</v>
      </c>
      <c r="P660" s="317" t="str">
        <f t="shared" si="673"/>
        <v>15:00</v>
      </c>
      <c r="Q660" s="318">
        <f t="shared" si="664"/>
        <v>46118.41667</v>
      </c>
      <c r="R660" s="318">
        <f t="shared" si="665"/>
        <v>46118.5</v>
      </c>
      <c r="S660" s="318">
        <f t="shared" si="8"/>
        <v>46118.625</v>
      </c>
    </row>
    <row r="661">
      <c r="A661" s="14" t="str">
        <f t="shared" si="1"/>
        <v>C116446118</v>
      </c>
      <c r="B661" s="185" t="str">
        <f t="array" ref="B661">IF(F661="VL","",IF(F661="Free","Free",XLOOKUP(D661,Roster!T:T,Roster!S:S,"",0)))</f>
        <v/>
      </c>
      <c r="C661" s="313">
        <v>46118.0</v>
      </c>
      <c r="D661" s="314" t="s">
        <v>179</v>
      </c>
      <c r="E661" s="307" t="str">
        <f t="array" ref="E661">(XLOOKUP(D661,Roster!F:F,Roster!B:B,"",0))</f>
        <v>Oscar Florez</v>
      </c>
      <c r="F661" s="315" t="str">
        <f t="array" ref="F661">IF(B661=100,"Free",TEXT(XLOOKUP($D661,OperationVoice!$A:$A,OperationVoice!L:L,XLOOKUP($D661,OperationTickets!$A:$A,OperationTickets!L:L,"",0)),"hh:mm"))</f>
        <v>08:00</v>
      </c>
      <c r="G661" s="309">
        <f t="shared" si="3"/>
        <v>0.7083333333</v>
      </c>
      <c r="H661" s="316" t="str">
        <f t="array" ref="H661">XLOOKUP(B661,Roster!L:L,Roster!N:N,XLOOKUP(D661,TicketsBreak!A:A,TicketsBreak!E:E,"",0),0)</f>
        <v/>
      </c>
      <c r="I661" s="316" t="str">
        <f t="array" ref="I661">XLOOKUP(B661,Roster!L:L,Roster!O:O,XLOOKUP(D661,TicketsBreak!A:A,TicketsBreak!F:F,"",0),0)</f>
        <v/>
      </c>
      <c r="J661" s="316" t="str">
        <f t="array" ref="J661">XLOOKUP(B661,Roster!L:L,Roster!P:P,XLOOKUP(D661,TicketsBreak!A:A,TicketsBreak!G:G,"",0),0)</f>
        <v/>
      </c>
      <c r="K661" s="310">
        <f t="shared" si="4"/>
        <v>46118</v>
      </c>
      <c r="L661" s="317">
        <f t="array" ref="L661">(XLOOKUP(D661,Roster!F:F,Roster!D:D,"",0))</f>
        <v>24</v>
      </c>
      <c r="M661" s="317" t="str">
        <f t="array" ref="M661">XLOOKUP(D661,Roster!F:F,Roster!E:E)</f>
        <v>Tickets</v>
      </c>
      <c r="N661" s="317" t="str">
        <f t="shared" ref="N661:P661" si="674">LEFT(H661,5)</f>
        <v/>
      </c>
      <c r="O661" s="317" t="str">
        <f t="shared" si="674"/>
        <v/>
      </c>
      <c r="P661" s="317" t="str">
        <f t="shared" si="674"/>
        <v/>
      </c>
      <c r="Q661" s="318" t="str">
        <f t="shared" si="664"/>
        <v/>
      </c>
      <c r="R661" s="318" t="str">
        <f t="shared" si="665"/>
        <v/>
      </c>
      <c r="S661" s="318" t="str">
        <f t="shared" si="8"/>
        <v/>
      </c>
    </row>
    <row r="662">
      <c r="A662" s="14" t="str">
        <f t="shared" si="1"/>
        <v>C153846118</v>
      </c>
      <c r="B662" s="185">
        <f t="array" ref="B662">IF(F662="VL","",IF(F662="Free","Free",XLOOKUP(D662,Roster!T:T,Roster!S:S,"",0)))</f>
        <v>151</v>
      </c>
      <c r="C662" s="313">
        <v>46118.0</v>
      </c>
      <c r="D662" s="314" t="s">
        <v>68</v>
      </c>
      <c r="E662" s="307" t="str">
        <f t="array" ref="E662">(XLOOKUP(D662,Roster!F:F,Roster!B:B,"",0))</f>
        <v>Oscar Roldan</v>
      </c>
      <c r="F662" s="315" t="str">
        <f t="array" ref="F662">IF(B662=100,"Free",TEXT(XLOOKUP($D662,OperationVoice!$A:$A,OperationVoice!L:L,XLOOKUP($D662,OperationTickets!$A:$A,OperationTickets!L:L,"",0)),"hh:mm"))</f>
        <v>11:00</v>
      </c>
      <c r="G662" s="309">
        <f t="shared" si="3"/>
        <v>0.8333333333</v>
      </c>
      <c r="H662" s="316" t="str">
        <f t="array" ref="H662">XLOOKUP(B662,Roster!L:L,Roster!N:N,XLOOKUP(D662,TicketsBreak!A:A,TicketsBreak!E:E,"",0),0)</f>
        <v>12:15 - 12:30</v>
      </c>
      <c r="I662" s="316" t="str">
        <f t="array" ref="I662">XLOOKUP(B662,Roster!L:L,Roster!O:O,XLOOKUP(D662,TicketsBreak!A:A,TicketsBreak!F:F,"",0),0)</f>
        <v>14:00 - 14:30</v>
      </c>
      <c r="J662" s="316" t="str">
        <f t="array" ref="J662">XLOOKUP(B662,Roster!L:L,Roster!P:P,XLOOKUP(D662,TicketsBreak!A:A,TicketsBreak!G:G,"",0),0)</f>
        <v>17:15 - 17:30</v>
      </c>
      <c r="K662" s="310">
        <f t="shared" si="4"/>
        <v>46118</v>
      </c>
      <c r="L662" s="317">
        <f t="array" ref="L662">(XLOOKUP(D662,Roster!F:F,Roster!D:D,"",0))</f>
        <v>36</v>
      </c>
      <c r="M662" s="317" t="str">
        <f t="array" ref="M662">XLOOKUP(D662,Roster!F:F,Roster!E:E)</f>
        <v>Voice</v>
      </c>
      <c r="N662" s="317" t="str">
        <f t="shared" ref="N662:P662" si="675">LEFT(H662,5)</f>
        <v>12:15</v>
      </c>
      <c r="O662" s="317" t="str">
        <f t="shared" si="675"/>
        <v>14:00</v>
      </c>
      <c r="P662" s="317" t="str">
        <f t="shared" si="675"/>
        <v>17:15</v>
      </c>
      <c r="Q662" s="318">
        <f t="shared" si="664"/>
        <v>46118.51042</v>
      </c>
      <c r="R662" s="318">
        <f t="shared" si="665"/>
        <v>46118.58333</v>
      </c>
      <c r="S662" s="318">
        <f t="shared" si="8"/>
        <v>46118.71875</v>
      </c>
    </row>
    <row r="663">
      <c r="A663" s="14" t="str">
        <f t="shared" si="1"/>
        <v>C151146118</v>
      </c>
      <c r="B663" s="185">
        <f t="array" ref="B663">IF(F663="VL","",IF(F663="Free","Free",XLOOKUP(D663,Roster!T:T,Roster!S:S,"",0)))</f>
        <v>131</v>
      </c>
      <c r="C663" s="313">
        <v>46118.0</v>
      </c>
      <c r="D663" s="314" t="s">
        <v>69</v>
      </c>
      <c r="E663" s="307" t="str">
        <f t="array" ref="E663">(XLOOKUP(D663,Roster!F:F,Roster!B:B,"",0))</f>
        <v>Salma Giraldo</v>
      </c>
      <c r="F663" s="315" t="str">
        <f t="array" ref="F663">IF(B663=100,"Free",TEXT(XLOOKUP($D663,OperationVoice!$A:$A,OperationVoice!L:L,XLOOKUP($D663,OperationTickets!$A:$A,OperationTickets!L:L,"",0)),"hh:mm"))</f>
        <v>08:00</v>
      </c>
      <c r="G663" s="309">
        <f t="shared" si="3"/>
        <v>0.7083333333</v>
      </c>
      <c r="H663" s="316" t="str">
        <f t="array" ref="H663">XLOOKUP(B663,Roster!L:L,Roster!N:N,XLOOKUP(D663,TicketsBreak!A:A,TicketsBreak!E:E,"",0),0)</f>
        <v>10:15 - 10:30</v>
      </c>
      <c r="I663" s="316" t="str">
        <f t="array" ref="I663">XLOOKUP(B663,Roster!L:L,Roster!O:O,XLOOKUP(D663,TicketsBreak!A:A,TicketsBreak!F:F,"",0),0)</f>
        <v>12:30 - 13:00</v>
      </c>
      <c r="J663" s="316" t="str">
        <f t="array" ref="J663">XLOOKUP(B663,Roster!L:L,Roster!P:P,XLOOKUP(D663,TicketsBreak!A:A,TicketsBreak!G:G,"",0),0)</f>
        <v>15:15 - 15:30</v>
      </c>
      <c r="K663" s="310">
        <f t="shared" si="4"/>
        <v>46118</v>
      </c>
      <c r="L663" s="317">
        <f t="array" ref="L663">(XLOOKUP(D663,Roster!F:F,Roster!D:D,"",0))</f>
        <v>35</v>
      </c>
      <c r="M663" s="317" t="str">
        <f t="array" ref="M663">XLOOKUP(D663,Roster!F:F,Roster!E:E)</f>
        <v>Voice</v>
      </c>
      <c r="N663" s="317" t="str">
        <f t="shared" ref="N663:P663" si="676">LEFT(H663,5)</f>
        <v>10:15</v>
      </c>
      <c r="O663" s="317" t="str">
        <f t="shared" si="676"/>
        <v>12:30</v>
      </c>
      <c r="P663" s="317" t="str">
        <f t="shared" si="676"/>
        <v>15:15</v>
      </c>
      <c r="Q663" s="318">
        <f t="shared" si="664"/>
        <v>46118.42708</v>
      </c>
      <c r="R663" s="318">
        <f t="shared" si="665"/>
        <v>46118.52083</v>
      </c>
      <c r="S663" s="318">
        <f t="shared" si="8"/>
        <v>46118.63542</v>
      </c>
    </row>
    <row r="664">
      <c r="A664" s="14" t="str">
        <f t="shared" si="1"/>
        <v>C93346118</v>
      </c>
      <c r="B664" s="185">
        <f t="array" ref="B664">IF(F664="VL","",IF(F664="Free","Free",XLOOKUP(D664,Roster!T:T,Roster!S:S,"",0)))</f>
        <v>124</v>
      </c>
      <c r="C664" s="313">
        <v>46118.0</v>
      </c>
      <c r="D664" s="314" t="s">
        <v>70</v>
      </c>
      <c r="E664" s="307" t="str">
        <f t="array" ref="E664">(XLOOKUP(D664,Roster!F:F,Roster!B:B,"",0))</f>
        <v>Salome Arias</v>
      </c>
      <c r="F664" s="315" t="str">
        <f t="array" ref="F664">IF(B664=100,"Free",TEXT(XLOOKUP($D664,OperationVoice!$A:$A,OperationVoice!L:L,XLOOKUP($D664,OperationTickets!$A:$A,OperationTickets!L:L,"",0)),"hh:mm"))</f>
        <v>08:00</v>
      </c>
      <c r="G664" s="309">
        <f t="shared" si="3"/>
        <v>0.7083333333</v>
      </c>
      <c r="H664" s="316" t="str">
        <f t="array" ref="H664">XLOOKUP(B664,Roster!L:L,Roster!N:N,XLOOKUP(D664,TicketsBreak!A:A,TicketsBreak!E:E,"",0),0)</f>
        <v>10:00 - 10:15</v>
      </c>
      <c r="I664" s="316" t="str">
        <f t="array" ref="I664">XLOOKUP(B664,Roster!L:L,Roster!O:O,XLOOKUP(D664,TicketsBreak!A:A,TicketsBreak!F:F,"",0),0)</f>
        <v>13:00 - 13:30</v>
      </c>
      <c r="J664" s="316" t="str">
        <f t="array" ref="J664">XLOOKUP(B664,Roster!L:L,Roster!P:P,XLOOKUP(D664,TicketsBreak!A:A,TicketsBreak!G:G,"",0),0)</f>
        <v>15:30 - 15:45</v>
      </c>
      <c r="K664" s="310">
        <f t="shared" si="4"/>
        <v>46118</v>
      </c>
      <c r="L664" s="317">
        <f t="array" ref="L664">(XLOOKUP(D664,Roster!F:F,Roster!D:D,"",0))</f>
        <v>12</v>
      </c>
      <c r="M664" s="317" t="str">
        <f t="array" ref="M664">XLOOKUP(D664,Roster!F:F,Roster!E:E)</f>
        <v>Voice</v>
      </c>
      <c r="N664" s="317" t="str">
        <f t="shared" ref="N664:P664" si="677">LEFT(H664,5)</f>
        <v>10:00</v>
      </c>
      <c r="O664" s="317" t="str">
        <f t="shared" si="677"/>
        <v>13:00</v>
      </c>
      <c r="P664" s="317" t="str">
        <f t="shared" si="677"/>
        <v>15:30</v>
      </c>
      <c r="Q664" s="318">
        <f t="shared" si="664"/>
        <v>46118.41667</v>
      </c>
      <c r="R664" s="318">
        <f t="shared" si="665"/>
        <v>46118.54167</v>
      </c>
      <c r="S664" s="318">
        <f t="shared" si="8"/>
        <v>46118.64583</v>
      </c>
    </row>
    <row r="665">
      <c r="A665" s="14" t="str">
        <f t="shared" si="1"/>
        <v>C128246118</v>
      </c>
      <c r="B665" s="185" t="str">
        <f t="array" ref="B665">IF(F665="VL","",IF(F665="Free","Free",XLOOKUP(D665,Roster!T:T,Roster!S:S,"",0)))</f>
        <v/>
      </c>
      <c r="C665" s="313">
        <v>46118.0</v>
      </c>
      <c r="D665" s="314" t="s">
        <v>168</v>
      </c>
      <c r="E665" s="307" t="str">
        <f t="array" ref="E665">(XLOOKUP(D665,Roster!F:F,Roster!B:B,"",0))</f>
        <v>Samuel Acevedo</v>
      </c>
      <c r="F665" s="315" t="str">
        <f t="array" ref="F665">IF(B665=100,"Free",TEXT(XLOOKUP($D665,OperationVoice!$A:$A,OperationVoice!L:L,XLOOKUP($D665,OperationTickets!$A:$A,OperationTickets!L:L,"",0)),"hh:mm"))</f>
        <v>08:00</v>
      </c>
      <c r="G665" s="309">
        <f t="shared" si="3"/>
        <v>0.7083333333</v>
      </c>
      <c r="H665" s="316" t="str">
        <f t="array" ref="H665">XLOOKUP(B665,Roster!L:L,Roster!N:N,XLOOKUP(D665,TicketsBreak!A:A,TicketsBreak!E:E,"",0),0)</f>
        <v/>
      </c>
      <c r="I665" s="316" t="str">
        <f t="array" ref="I665">XLOOKUP(B665,Roster!L:L,Roster!O:O,XLOOKUP(D665,TicketsBreak!A:A,TicketsBreak!F:F,"",0),0)</f>
        <v/>
      </c>
      <c r="J665" s="316" t="str">
        <f t="array" ref="J665">XLOOKUP(B665,Roster!L:L,Roster!P:P,XLOOKUP(D665,TicketsBreak!A:A,TicketsBreak!G:G,"",0),0)</f>
        <v/>
      </c>
      <c r="K665" s="310">
        <f t="shared" si="4"/>
        <v>46118</v>
      </c>
      <c r="L665" s="317">
        <f t="array" ref="L665">(XLOOKUP(D665,Roster!F:F,Roster!D:D,"",0))</f>
        <v>27</v>
      </c>
      <c r="M665" s="317" t="str">
        <f t="array" ref="M665">XLOOKUP(D665,Roster!F:F,Roster!E:E)</f>
        <v>Tickets</v>
      </c>
      <c r="N665" s="317" t="str">
        <f t="shared" ref="N665:P665" si="678">LEFT(H665,5)</f>
        <v/>
      </c>
      <c r="O665" s="317" t="str">
        <f t="shared" si="678"/>
        <v/>
      </c>
      <c r="P665" s="317" t="str">
        <f t="shared" si="678"/>
        <v/>
      </c>
      <c r="Q665" s="318" t="str">
        <f t="shared" si="664"/>
        <v/>
      </c>
      <c r="R665" s="318" t="str">
        <f t="shared" si="665"/>
        <v/>
      </c>
      <c r="S665" s="318" t="str">
        <f t="shared" si="8"/>
        <v/>
      </c>
    </row>
    <row r="666">
      <c r="A666" s="14" t="str">
        <f t="shared" si="1"/>
        <v>C156446118</v>
      </c>
      <c r="B666" s="185">
        <f t="array" ref="B666">IF(F666="VL","",IF(F666="Free","Free",XLOOKUP(D666,Roster!T:T,Roster!S:S,"",0)))</f>
        <v>121</v>
      </c>
      <c r="C666" s="313">
        <v>46118.0</v>
      </c>
      <c r="D666" s="314" t="s">
        <v>71</v>
      </c>
      <c r="E666" s="307" t="str">
        <f t="array" ref="E666">(XLOOKUP(D666,Roster!F:F,Roster!B:B,"",0))</f>
        <v>Samuel Acevedo Cadavid</v>
      </c>
      <c r="F666" s="315" t="str">
        <f t="array" ref="F666">IF(B666=100,"Free",TEXT(XLOOKUP($D666,OperationVoice!$A:$A,OperationVoice!L:L,XLOOKUP($D666,OperationTickets!$A:$A,OperationTickets!L:L,"",0)),"hh:mm"))</f>
        <v>11:00</v>
      </c>
      <c r="G666" s="309">
        <f t="shared" si="3"/>
        <v>0.8333333333</v>
      </c>
      <c r="H666" s="316" t="str">
        <f t="array" ref="H666">XLOOKUP(B666,Roster!L:L,Roster!N:N,XLOOKUP(D666,TicketsBreak!A:A,TicketsBreak!E:E,"",0),0)</f>
        <v>09:15 - 09:30</v>
      </c>
      <c r="I666" s="316" t="str">
        <f t="array" ref="I666">XLOOKUP(B666,Roster!L:L,Roster!O:O,XLOOKUP(D666,TicketsBreak!A:A,TicketsBreak!F:F,"",0),0)</f>
        <v>11:30 - 12:00</v>
      </c>
      <c r="J666" s="316" t="str">
        <f t="array" ref="J666">XLOOKUP(B666,Roster!L:L,Roster!P:P,XLOOKUP(D666,TicketsBreak!A:A,TicketsBreak!G:G,"",0),0)</f>
        <v>14:30 - 14:45</v>
      </c>
      <c r="K666" s="310">
        <f t="shared" si="4"/>
        <v>46118</v>
      </c>
      <c r="L666" s="317">
        <f t="array" ref="L666">(XLOOKUP(D666,Roster!F:F,Roster!D:D,"",0))</f>
        <v>38</v>
      </c>
      <c r="M666" s="317" t="str">
        <f t="array" ref="M666">XLOOKUP(D666,Roster!F:F,Roster!E:E)</f>
        <v>Voice</v>
      </c>
      <c r="N666" s="317" t="str">
        <f t="shared" ref="N666:P666" si="679">LEFT(H666,5)</f>
        <v>09:15</v>
      </c>
      <c r="O666" s="317" t="str">
        <f t="shared" si="679"/>
        <v>11:30</v>
      </c>
      <c r="P666" s="317" t="str">
        <f t="shared" si="679"/>
        <v>14:30</v>
      </c>
      <c r="Q666" s="318">
        <f t="shared" si="664"/>
        <v>46118.38542</v>
      </c>
      <c r="R666" s="318">
        <f t="shared" si="665"/>
        <v>46118.47917</v>
      </c>
      <c r="S666" s="318">
        <f t="shared" si="8"/>
        <v>46118.60417</v>
      </c>
    </row>
    <row r="667">
      <c r="A667" s="14" t="str">
        <f t="shared" si="1"/>
        <v>C116846118</v>
      </c>
      <c r="B667" s="185">
        <f t="array" ref="B667">IF(F667="VL","",IF(F667="Free","Free",XLOOKUP(D667,Roster!T:T,Roster!S:S,"",0)))</f>
        <v>125</v>
      </c>
      <c r="C667" s="313">
        <v>46118.0</v>
      </c>
      <c r="D667" s="314" t="s">
        <v>180</v>
      </c>
      <c r="E667" s="307" t="str">
        <f t="array" ref="E667">(XLOOKUP(D667,Roster!F:F,Roster!B:B,"",0))</f>
        <v>Santiago Gaviria</v>
      </c>
      <c r="F667" s="315" t="str">
        <f t="array" ref="F667">IF(B667=100,"Free",TEXT(XLOOKUP($D667,OperationVoice!$A:$A,OperationVoice!L:L,XLOOKUP($D667,OperationTickets!$A:$A,OperationTickets!L:L,"",0)),"hh:mm"))</f>
        <v>08:00</v>
      </c>
      <c r="G667" s="309">
        <f t="shared" si="3"/>
        <v>0.7083333333</v>
      </c>
      <c r="H667" s="316" t="str">
        <f t="array" ref="H667">XLOOKUP(B667,Roster!L:L,Roster!N:N,XLOOKUP(D667,TicketsBreak!A:A,TicketsBreak!E:E,"",0),0)</f>
        <v>10:30 - 10:45</v>
      </c>
      <c r="I667" s="316" t="str">
        <f t="array" ref="I667">XLOOKUP(B667,Roster!L:L,Roster!O:O,XLOOKUP(D667,TicketsBreak!A:A,TicketsBreak!F:F,"",0),0)</f>
        <v>13:30 - 14:00</v>
      </c>
      <c r="J667" s="316" t="str">
        <f t="array" ref="J667">XLOOKUP(B667,Roster!L:L,Roster!P:P,XLOOKUP(D667,TicketsBreak!A:A,TicketsBreak!G:G,"",0),0)</f>
        <v>15:45 - 16:00</v>
      </c>
      <c r="K667" s="310">
        <f t="shared" si="4"/>
        <v>46118</v>
      </c>
      <c r="L667" s="317">
        <f t="array" ref="L667">(XLOOKUP(D667,Roster!F:F,Roster!D:D,"",0))</f>
        <v>24</v>
      </c>
      <c r="M667" s="317" t="str">
        <f t="array" ref="M667">XLOOKUP(D667,Roster!F:F,Roster!E:E)</f>
        <v>Tickets</v>
      </c>
      <c r="N667" s="317" t="str">
        <f t="shared" ref="N667:P667" si="680">LEFT(H667,5)</f>
        <v>10:30</v>
      </c>
      <c r="O667" s="317" t="str">
        <f t="shared" si="680"/>
        <v>13:30</v>
      </c>
      <c r="P667" s="317" t="str">
        <f t="shared" si="680"/>
        <v>15:45</v>
      </c>
      <c r="Q667" s="318">
        <f t="shared" si="664"/>
        <v>46118.4375</v>
      </c>
      <c r="R667" s="318">
        <f t="shared" si="665"/>
        <v>46118.5625</v>
      </c>
      <c r="S667" s="318">
        <f t="shared" si="8"/>
        <v>46118.65625</v>
      </c>
    </row>
    <row r="668">
      <c r="A668" s="14" t="str">
        <f t="shared" si="1"/>
        <v>C122046118</v>
      </c>
      <c r="B668" s="185" t="str">
        <f t="array" ref="B668">IF(F668="VL","",IF(F668="Free","Free",XLOOKUP(D668,Roster!T:T,Roster!S:S,"",0)))</f>
        <v/>
      </c>
      <c r="C668" s="313">
        <v>46118.0</v>
      </c>
      <c r="D668" s="314" t="s">
        <v>181</v>
      </c>
      <c r="E668" s="307" t="str">
        <f t="array" ref="E668">(XLOOKUP(D668,Roster!F:F,Roster!B:B,"",0))</f>
        <v>Santiago Gonzalez</v>
      </c>
      <c r="F668" s="315" t="str">
        <f t="array" ref="F668">IF(B668=100,"Free",TEXT(XLOOKUP($D668,OperationVoice!$A:$A,OperationVoice!L:L,XLOOKUP($D668,OperationTickets!$A:$A,OperationTickets!L:L,"",0)),"hh:mm"))</f>
        <v>08:00</v>
      </c>
      <c r="G668" s="309">
        <f t="shared" si="3"/>
        <v>0.7083333333</v>
      </c>
      <c r="H668" s="316" t="str">
        <f t="array" ref="H668">XLOOKUP(B668,Roster!L:L,Roster!N:N,XLOOKUP(D668,TicketsBreak!A:A,TicketsBreak!E:E,"",0),0)</f>
        <v/>
      </c>
      <c r="I668" s="316" t="str">
        <f t="array" ref="I668">XLOOKUP(B668,Roster!L:L,Roster!O:O,XLOOKUP(D668,TicketsBreak!A:A,TicketsBreak!F:F,"",0),0)</f>
        <v/>
      </c>
      <c r="J668" s="316" t="str">
        <f t="array" ref="J668">XLOOKUP(B668,Roster!L:L,Roster!P:P,XLOOKUP(D668,TicketsBreak!A:A,TicketsBreak!G:G,"",0),0)</f>
        <v/>
      </c>
      <c r="K668" s="310">
        <f t="shared" si="4"/>
        <v>46118</v>
      </c>
      <c r="L668" s="317">
        <f t="array" ref="L668">(XLOOKUP(D668,Roster!F:F,Roster!D:D,"",0))</f>
        <v>26</v>
      </c>
      <c r="M668" s="317" t="str">
        <f t="array" ref="M668">XLOOKUP(D668,Roster!F:F,Roster!E:E)</f>
        <v>Tickets</v>
      </c>
      <c r="N668" s="317" t="str">
        <f t="shared" ref="N668:P668" si="681">LEFT(H668,5)</f>
        <v/>
      </c>
      <c r="O668" s="317" t="str">
        <f t="shared" si="681"/>
        <v/>
      </c>
      <c r="P668" s="317" t="str">
        <f t="shared" si="681"/>
        <v/>
      </c>
      <c r="Q668" s="318" t="str">
        <f t="shared" si="664"/>
        <v/>
      </c>
      <c r="R668" s="318" t="str">
        <f t="shared" si="665"/>
        <v/>
      </c>
      <c r="S668" s="318" t="str">
        <f t="shared" si="8"/>
        <v/>
      </c>
    </row>
    <row r="669">
      <c r="A669" s="14" t="str">
        <f t="shared" si="1"/>
        <v>C140646118</v>
      </c>
      <c r="B669" s="185">
        <f t="array" ref="B669">IF(F669="VL","",IF(F669="Free","Free",XLOOKUP(D669,Roster!T:T,Roster!S:S,"",0)))</f>
        <v>152</v>
      </c>
      <c r="C669" s="313">
        <v>46118.0</v>
      </c>
      <c r="D669" s="314" t="s">
        <v>72</v>
      </c>
      <c r="E669" s="307" t="str">
        <f t="array" ref="E669">(XLOOKUP(D669,Roster!F:F,Roster!B:B,"",0))</f>
        <v>Santiago Mora</v>
      </c>
      <c r="F669" s="315" t="str">
        <f t="array" ref="F669">IF(B669=100,"Free",TEXT(XLOOKUP($D669,OperationVoice!$A:$A,OperationVoice!L:L,XLOOKUP($D669,OperationTickets!$A:$A,OperationTickets!L:L,"",0)),"hh:mm"))</f>
        <v>11:00</v>
      </c>
      <c r="G669" s="309">
        <f t="shared" si="3"/>
        <v>0.8333333333</v>
      </c>
      <c r="H669" s="316" t="str">
        <f t="array" ref="H669">XLOOKUP(B669,Roster!L:L,Roster!N:N,XLOOKUP(D669,TicketsBreak!A:A,TicketsBreak!E:E,"",0),0)</f>
        <v>12:30 - 12:45</v>
      </c>
      <c r="I669" s="316" t="str">
        <f t="array" ref="I669">XLOOKUP(B669,Roster!L:L,Roster!O:O,XLOOKUP(D669,TicketsBreak!A:A,TicketsBreak!F:F,"",0),0)</f>
        <v>14:30 - 15:00</v>
      </c>
      <c r="J669" s="316" t="str">
        <f t="array" ref="J669">XLOOKUP(B669,Roster!L:L,Roster!P:P,XLOOKUP(D669,TicketsBreak!A:A,TicketsBreak!G:G,"",0),0)</f>
        <v>17:30 - 17:45</v>
      </c>
      <c r="K669" s="310">
        <f t="shared" si="4"/>
        <v>46118</v>
      </c>
      <c r="L669" s="317">
        <f t="array" ref="L669">(XLOOKUP(D669,Roster!F:F,Roster!D:D,"",0))</f>
        <v>35</v>
      </c>
      <c r="M669" s="317" t="str">
        <f t="array" ref="M669">XLOOKUP(D669,Roster!F:F,Roster!E:E)</f>
        <v>Voice</v>
      </c>
      <c r="N669" s="317" t="str">
        <f t="shared" ref="N669:P669" si="682">LEFT(H669,5)</f>
        <v>12:30</v>
      </c>
      <c r="O669" s="317" t="str">
        <f t="shared" si="682"/>
        <v>14:30</v>
      </c>
      <c r="P669" s="317" t="str">
        <f t="shared" si="682"/>
        <v>17:30</v>
      </c>
      <c r="Q669" s="318">
        <f t="shared" si="664"/>
        <v>46118.52083</v>
      </c>
      <c r="R669" s="318">
        <f t="shared" si="665"/>
        <v>46118.60417</v>
      </c>
      <c r="S669" s="318">
        <f t="shared" si="8"/>
        <v>46118.72917</v>
      </c>
    </row>
    <row r="670">
      <c r="A670" s="14" t="str">
        <f t="shared" si="1"/>
        <v>C119946118</v>
      </c>
      <c r="B670" s="185" t="str">
        <f t="array" ref="B670">IF(F670="VL","",IF(F670="Free","Free",XLOOKUP(D670,Roster!T:T,Roster!S:S,"",0)))</f>
        <v/>
      </c>
      <c r="C670" s="313">
        <v>46118.0</v>
      </c>
      <c r="D670" s="314" t="s">
        <v>182</v>
      </c>
      <c r="E670" s="307" t="str">
        <f t="array" ref="E670">(XLOOKUP(D670,Roster!F:F,Roster!B:B,"",0))</f>
        <v>Santiago Velasquez</v>
      </c>
      <c r="F670" s="315" t="str">
        <f t="array" ref="F670">IF(B670=100,"Free",TEXT(XLOOKUP($D670,OperationVoice!$A:$A,OperationVoice!L:L,XLOOKUP($D670,OperationTickets!$A:$A,OperationTickets!L:L,"",0)),"hh:mm"))</f>
        <v>08:00</v>
      </c>
      <c r="G670" s="309">
        <f t="shared" si="3"/>
        <v>0.7083333333</v>
      </c>
      <c r="H670" s="316" t="str">
        <f t="array" ref="H670">XLOOKUP(B670,Roster!L:L,Roster!N:N,XLOOKUP(D670,TicketsBreak!A:A,TicketsBreak!E:E,"",0),0)</f>
        <v/>
      </c>
      <c r="I670" s="316" t="str">
        <f t="array" ref="I670">XLOOKUP(B670,Roster!L:L,Roster!O:O,XLOOKUP(D670,TicketsBreak!A:A,TicketsBreak!F:F,"",0),0)</f>
        <v/>
      </c>
      <c r="J670" s="316" t="str">
        <f t="array" ref="J670">XLOOKUP(B670,Roster!L:L,Roster!P:P,XLOOKUP(D670,TicketsBreak!A:A,TicketsBreak!G:G,"",0),0)</f>
        <v/>
      </c>
      <c r="K670" s="310">
        <f t="shared" si="4"/>
        <v>46118</v>
      </c>
      <c r="L670" s="317">
        <f t="array" ref="L670">(XLOOKUP(D670,Roster!F:F,Roster!D:D,"",0))</f>
        <v>25</v>
      </c>
      <c r="M670" s="317" t="str">
        <f t="array" ref="M670">XLOOKUP(D670,Roster!F:F,Roster!E:E)</f>
        <v>Tickets</v>
      </c>
      <c r="N670" s="317" t="str">
        <f t="shared" ref="N670:P670" si="683">LEFT(H670,5)</f>
        <v/>
      </c>
      <c r="O670" s="317" t="str">
        <f t="shared" si="683"/>
        <v/>
      </c>
      <c r="P670" s="317" t="str">
        <f t="shared" si="683"/>
        <v/>
      </c>
      <c r="Q670" s="318" t="str">
        <f t="shared" si="664"/>
        <v/>
      </c>
      <c r="R670" s="318" t="str">
        <f t="shared" si="665"/>
        <v/>
      </c>
      <c r="S670" s="318" t="str">
        <f t="shared" si="8"/>
        <v/>
      </c>
    </row>
    <row r="671">
      <c r="A671" s="14" t="str">
        <f t="shared" si="1"/>
        <v>C90246118</v>
      </c>
      <c r="B671" s="185" t="str">
        <f t="array" ref="B671">IF(F671="VL","",IF(F671="Free","Free",XLOOKUP(D671,Roster!T:T,Roster!S:S,"",0)))</f>
        <v/>
      </c>
      <c r="C671" s="313">
        <v>46118.0</v>
      </c>
      <c r="D671" s="314" t="s">
        <v>150</v>
      </c>
      <c r="E671" s="307" t="str">
        <f t="array" ref="E671">(XLOOKUP(D671,Roster!F:F,Roster!B:B,"",0))</f>
        <v>Sebastiam Vallejo</v>
      </c>
      <c r="F671" s="315" t="str">
        <f t="array" ref="F671">IF(B671=100,"Free",TEXT(XLOOKUP($D671,OperationVoice!$A:$A,OperationVoice!L:L,XLOOKUP($D671,OperationTickets!$A:$A,OperationTickets!L:L,"",0)),"hh:mm"))</f>
        <v>08:00</v>
      </c>
      <c r="G671" s="309">
        <f t="shared" si="3"/>
        <v>0.7083333333</v>
      </c>
      <c r="H671" s="316">
        <f t="array" ref="H671">XLOOKUP(B671,Roster!L:L,Roster!N:N,XLOOKUP(D671,TicketsBreak!A:A,TicketsBreak!E:E,"",0),0)</f>
        <v>0.4375</v>
      </c>
      <c r="I671" s="316">
        <f t="array" ref="I671">XLOOKUP(B671,Roster!L:L,Roster!O:O,XLOOKUP(D671,TicketsBreak!A:A,TicketsBreak!F:F,"",0),0)</f>
        <v>0.6041666667</v>
      </c>
      <c r="J671" s="316">
        <f t="array" ref="J671">XLOOKUP(B671,Roster!L:L,Roster!P:P,XLOOKUP(D671,TicketsBreak!A:A,TicketsBreak!G:G,"",0),0)</f>
        <v>0.65625</v>
      </c>
      <c r="K671" s="310">
        <f t="shared" si="4"/>
        <v>46118</v>
      </c>
      <c r="L671" s="317">
        <f t="array" ref="L671">(XLOOKUP(D671,Roster!F:F,Roster!D:D,"",0))</f>
        <v>11</v>
      </c>
      <c r="M671" s="317" t="str">
        <f t="array" ref="M671">XLOOKUP(D671,Roster!F:F,Roster!E:E)</f>
        <v>Tickets</v>
      </c>
      <c r="N671" s="317" t="str">
        <f t="shared" ref="N671:P671" si="684">LEFT(H671,5)</f>
        <v>10:30</v>
      </c>
      <c r="O671" s="317" t="str">
        <f t="shared" si="684"/>
        <v>14:30</v>
      </c>
      <c r="P671" s="317" t="str">
        <f t="shared" si="684"/>
        <v>15:45</v>
      </c>
      <c r="Q671" s="318">
        <f t="shared" si="664"/>
        <v>46118.4375</v>
      </c>
      <c r="R671" s="318">
        <f t="shared" si="665"/>
        <v>46118.60417</v>
      </c>
      <c r="S671" s="318">
        <f t="shared" si="8"/>
        <v>46118.65625</v>
      </c>
    </row>
    <row r="672">
      <c r="A672" s="14" t="str">
        <f t="shared" si="1"/>
        <v>C150646118</v>
      </c>
      <c r="B672" s="185">
        <f t="array" ref="B672">IF(F672="VL","",IF(F672="Free","Free",XLOOKUP(D672,Roster!T:T,Roster!S:S,"",0)))</f>
        <v>153</v>
      </c>
      <c r="C672" s="313">
        <v>46118.0</v>
      </c>
      <c r="D672" s="314" t="s">
        <v>73</v>
      </c>
      <c r="E672" s="307" t="str">
        <f t="array" ref="E672">(XLOOKUP(D672,Roster!F:F,Roster!B:B,"",0))</f>
        <v>Sebastian Agudelo Londono</v>
      </c>
      <c r="F672" s="315" t="str">
        <f t="array" ref="F672">IF(B672=100,"Free",TEXT(XLOOKUP($D672,OperationVoice!$A:$A,OperationVoice!L:L,XLOOKUP($D672,OperationTickets!$A:$A,OperationTickets!L:L,"",0)),"hh:mm"))</f>
        <v>11:00</v>
      </c>
      <c r="G672" s="309">
        <f t="shared" si="3"/>
        <v>0.8333333333</v>
      </c>
      <c r="H672" s="316" t="str">
        <f t="array" ref="H672">XLOOKUP(B672,Roster!L:L,Roster!N:N,XLOOKUP(D672,TicketsBreak!A:A,TicketsBreak!E:E,"",0),0)</f>
        <v>12:45 - 13:00</v>
      </c>
      <c r="I672" s="316" t="str">
        <f t="array" ref="I672">XLOOKUP(B672,Roster!L:L,Roster!O:O,XLOOKUP(D672,TicketsBreak!A:A,TicketsBreak!F:F,"",0),0)</f>
        <v>15:00 - 15:30</v>
      </c>
      <c r="J672" s="316" t="str">
        <f t="array" ref="J672">XLOOKUP(B672,Roster!L:L,Roster!P:P,XLOOKUP(D672,TicketsBreak!A:A,TicketsBreak!G:G,"",0),0)</f>
        <v>17:45 - 18:00</v>
      </c>
      <c r="K672" s="310">
        <f t="shared" si="4"/>
        <v>46118</v>
      </c>
      <c r="L672" s="317">
        <f t="array" ref="L672">(XLOOKUP(D672,Roster!F:F,Roster!D:D,"",0))</f>
        <v>35</v>
      </c>
      <c r="M672" s="317" t="str">
        <f t="array" ref="M672">XLOOKUP(D672,Roster!F:F,Roster!E:E)</f>
        <v>Voice</v>
      </c>
      <c r="N672" s="317" t="str">
        <f t="shared" ref="N672:P672" si="685">LEFT(H672,5)</f>
        <v>12:45</v>
      </c>
      <c r="O672" s="317" t="str">
        <f t="shared" si="685"/>
        <v>15:00</v>
      </c>
      <c r="P672" s="317" t="str">
        <f t="shared" si="685"/>
        <v>17:45</v>
      </c>
      <c r="Q672" s="318">
        <f t="shared" si="664"/>
        <v>46118.53125</v>
      </c>
      <c r="R672" s="318">
        <f t="shared" si="665"/>
        <v>46118.625</v>
      </c>
      <c r="S672" s="318">
        <f t="shared" si="8"/>
        <v>46118.73958</v>
      </c>
    </row>
    <row r="673">
      <c r="A673" s="14" t="str">
        <f t="shared" si="1"/>
        <v>C119046118</v>
      </c>
      <c r="B673" s="185" t="str">
        <f t="array" ref="B673">IF(F673="VL","",IF(F673="Free","Free",XLOOKUP(D673,Roster!T:T,Roster!S:S,"",0)))</f>
        <v/>
      </c>
      <c r="C673" s="313">
        <v>46118.0</v>
      </c>
      <c r="D673" s="314" t="s">
        <v>183</v>
      </c>
      <c r="E673" s="307" t="str">
        <f t="array" ref="E673">(XLOOKUP(D673,Roster!F:F,Roster!B:B,"",0))</f>
        <v>Sebastian Herrera</v>
      </c>
      <c r="F673" s="315" t="str">
        <f t="array" ref="F673">IF(B673=100,"Free",TEXT(XLOOKUP($D673,OperationVoice!$A:$A,OperationVoice!L:L,XLOOKUP($D673,OperationTickets!$A:$A,OperationTickets!L:L,"",0)),"hh:mm"))</f>
        <v>07:00</v>
      </c>
      <c r="G673" s="309">
        <f t="shared" si="3"/>
        <v>0.6666666667</v>
      </c>
      <c r="H673" s="316">
        <f t="array" ref="H673">XLOOKUP(B673,Roster!L:L,Roster!N:N,XLOOKUP(D673,TicketsBreak!A:A,TicketsBreak!E:E,"",0),0)</f>
        <v>0.40625</v>
      </c>
      <c r="I673" s="316">
        <f t="array" ref="I673">XLOOKUP(B673,Roster!L:L,Roster!O:O,XLOOKUP(D673,TicketsBreak!A:A,TicketsBreak!F:F,"",0),0)</f>
        <v>0.5416666667</v>
      </c>
      <c r="J673" s="316">
        <f t="array" ref="J673">XLOOKUP(B673,Roster!L:L,Roster!P:P,XLOOKUP(D673,TicketsBreak!A:A,TicketsBreak!G:G,"",0),0)</f>
        <v>0.625</v>
      </c>
      <c r="K673" s="310">
        <f t="shared" si="4"/>
        <v>46118</v>
      </c>
      <c r="L673" s="317">
        <f t="array" ref="L673">(XLOOKUP(D673,Roster!F:F,Roster!D:D,"",0))</f>
        <v>25</v>
      </c>
      <c r="M673" s="317" t="str">
        <f t="array" ref="M673">XLOOKUP(D673,Roster!F:F,Roster!E:E)</f>
        <v>Tickets</v>
      </c>
      <c r="N673" s="317" t="str">
        <f t="shared" ref="N673:P673" si="686">LEFT(H673,5)</f>
        <v>09:45</v>
      </c>
      <c r="O673" s="317" t="str">
        <f t="shared" si="686"/>
        <v>13:00</v>
      </c>
      <c r="P673" s="317" t="str">
        <f t="shared" si="686"/>
        <v>15:00</v>
      </c>
      <c r="Q673" s="318">
        <f t="shared" si="664"/>
        <v>46118.40625</v>
      </c>
      <c r="R673" s="318">
        <f t="shared" si="665"/>
        <v>46118.54167</v>
      </c>
      <c r="S673" s="318">
        <f t="shared" si="8"/>
        <v>46118.625</v>
      </c>
    </row>
    <row r="674">
      <c r="A674" s="14" t="str">
        <f t="shared" si="1"/>
        <v>C71046118</v>
      </c>
      <c r="B674" s="185" t="str">
        <f t="array" ref="B674">IF(F674="VL","",IF(F674="Free","Free",XLOOKUP(D674,Roster!T:T,Roster!S:S,"",0)))</f>
        <v/>
      </c>
      <c r="C674" s="313">
        <v>46118.0</v>
      </c>
      <c r="D674" s="314" t="s">
        <v>184</v>
      </c>
      <c r="E674" s="307" t="str">
        <f t="array" ref="E674">(XLOOKUP(D674,Roster!F:F,Roster!B:B,"",0))</f>
        <v>Sebastian Martinez</v>
      </c>
      <c r="F674" s="315" t="str">
        <f t="array" ref="F674">IF(B674=100,"Free",TEXT(XLOOKUP($D674,OperationVoice!$A:$A,OperationVoice!L:L,XLOOKUP($D674,OperationTickets!$A:$A,OperationTickets!L:L,"",0)),"hh:mm"))</f>
        <v>08:00</v>
      </c>
      <c r="G674" s="309">
        <f t="shared" si="3"/>
        <v>0.7083333333</v>
      </c>
      <c r="H674" s="316">
        <f t="array" ref="H674">XLOOKUP(B674,Roster!L:L,Roster!N:N,XLOOKUP(D674,TicketsBreak!A:A,TicketsBreak!E:E,"",0),0)</f>
        <v>0.40625</v>
      </c>
      <c r="I674" s="316">
        <f t="array" ref="I674">XLOOKUP(B674,Roster!L:L,Roster!O:O,XLOOKUP(D674,TicketsBreak!A:A,TicketsBreak!F:F,"",0),0)</f>
        <v>0.5625</v>
      </c>
      <c r="J674" s="316">
        <f t="array" ref="J674">XLOOKUP(B674,Roster!L:L,Roster!P:P,XLOOKUP(D674,TicketsBreak!A:A,TicketsBreak!G:G,"",0),0)</f>
        <v>0.65625</v>
      </c>
      <c r="K674" s="310">
        <f t="shared" si="4"/>
        <v>46118</v>
      </c>
      <c r="L674" s="317">
        <f t="array" ref="L674">(XLOOKUP(D674,Roster!F:F,Roster!D:D,"",0))</f>
        <v>6</v>
      </c>
      <c r="M674" s="317" t="str">
        <f t="array" ref="M674">XLOOKUP(D674,Roster!F:F,Roster!E:E)</f>
        <v>Tickets</v>
      </c>
      <c r="N674" s="317" t="str">
        <f t="shared" ref="N674:P674" si="687">LEFT(H674,5)</f>
        <v>09:45</v>
      </c>
      <c r="O674" s="317" t="str">
        <f t="shared" si="687"/>
        <v>13:30</v>
      </c>
      <c r="P674" s="317" t="str">
        <f t="shared" si="687"/>
        <v>15:45</v>
      </c>
      <c r="Q674" s="318">
        <f t="shared" si="664"/>
        <v>46118.40625</v>
      </c>
      <c r="R674" s="318">
        <f t="shared" si="665"/>
        <v>46118.5625</v>
      </c>
      <c r="S674" s="318">
        <f t="shared" si="8"/>
        <v>46118.65625</v>
      </c>
    </row>
    <row r="675">
      <c r="A675" s="14" t="str">
        <f t="shared" si="1"/>
        <v>C72346118</v>
      </c>
      <c r="B675" s="185" t="str">
        <f t="array" ref="B675">IF(F675="VL","",IF(F675="Free","Free",XLOOKUP(D675,Roster!T:T,Roster!S:S,"",0)))</f>
        <v/>
      </c>
      <c r="C675" s="313">
        <v>46118.0</v>
      </c>
      <c r="D675" s="314" t="s">
        <v>169</v>
      </c>
      <c r="E675" s="307" t="str">
        <f t="array" ref="E675">(XLOOKUP(D675,Roster!F:F,Roster!B:B,"",0))</f>
        <v>Sebastian Parra</v>
      </c>
      <c r="F675" s="315" t="str">
        <f t="array" ref="F675">IF(B675=100,"Free",TEXT(XLOOKUP($D675,OperationVoice!$A:$A,OperationVoice!L:L,XLOOKUP($D675,OperationTickets!$A:$A,OperationTickets!L:L,"",0)),"hh:mm"))</f>
        <v>08:00</v>
      </c>
      <c r="G675" s="309">
        <f t="shared" si="3"/>
        <v>0.7083333333</v>
      </c>
      <c r="H675" s="316">
        <f t="array" ref="H675">XLOOKUP(B675,Roster!L:L,Roster!N:N,XLOOKUP(D675,TicketsBreak!A:A,TicketsBreak!E:E,"",0),0)</f>
        <v>0.4166666667</v>
      </c>
      <c r="I675" s="316">
        <f t="array" ref="I675">XLOOKUP(B675,Roster!L:L,Roster!O:O,XLOOKUP(D675,TicketsBreak!A:A,TicketsBreak!F:F,"",0),0)</f>
        <v>0.5347222222</v>
      </c>
      <c r="J675" s="316">
        <f t="array" ref="J675">XLOOKUP(B675,Roster!L:L,Roster!P:P,XLOOKUP(D675,TicketsBreak!A:A,TicketsBreak!G:G,"",0),0)</f>
        <v>0.65625</v>
      </c>
      <c r="K675" s="310">
        <f t="shared" si="4"/>
        <v>46118</v>
      </c>
      <c r="L675" s="317">
        <f t="array" ref="L675">(XLOOKUP(D675,Roster!F:F,Roster!D:D,"",0))</f>
        <v>7</v>
      </c>
      <c r="M675" s="317" t="str">
        <f t="array" ref="M675">XLOOKUP(D675,Roster!F:F,Roster!E:E)</f>
        <v>Tickets</v>
      </c>
      <c r="N675" s="317" t="str">
        <f t="shared" ref="N675:P675" si="688">LEFT(H675,5)</f>
        <v>10:00</v>
      </c>
      <c r="O675" s="317" t="str">
        <f t="shared" si="688"/>
        <v>12:50</v>
      </c>
      <c r="P675" s="317" t="str">
        <f t="shared" si="688"/>
        <v>15:45</v>
      </c>
      <c r="Q675" s="318">
        <f t="shared" si="664"/>
        <v>46118.41667</v>
      </c>
      <c r="R675" s="318">
        <f t="shared" si="665"/>
        <v>46118.53472</v>
      </c>
      <c r="S675" s="318">
        <f t="shared" si="8"/>
        <v>46118.65625</v>
      </c>
    </row>
    <row r="676">
      <c r="A676" s="14" t="str">
        <f t="shared" si="1"/>
        <v>C137646118</v>
      </c>
      <c r="B676" s="185" t="str">
        <f t="array" ref="B676">IF(F676="VL","",IF(F676="Free","Free",XLOOKUP(D676,Roster!T:T,Roster!S:S,"",0)))</f>
        <v/>
      </c>
      <c r="C676" s="313">
        <v>46118.0</v>
      </c>
      <c r="D676" s="314" t="s">
        <v>151</v>
      </c>
      <c r="E676" s="307" t="str">
        <f t="array" ref="E676">(XLOOKUP(D676,Roster!F:F,Roster!B:B,"",0))</f>
        <v>Sebastian Quiroz</v>
      </c>
      <c r="F676" s="315" t="str">
        <f t="array" ref="F676">IF(B676=100,"Free",TEXT(XLOOKUP($D676,OperationVoice!$A:$A,OperationVoice!L:L,XLOOKUP($D676,OperationTickets!$A:$A,OperationTickets!L:L,"",0)),"hh:mm"))</f>
        <v>08:00</v>
      </c>
      <c r="G676" s="309">
        <f t="shared" si="3"/>
        <v>0.7083333333</v>
      </c>
      <c r="H676" s="316" t="str">
        <f t="array" ref="H676">XLOOKUP(B676,Roster!L:L,Roster!N:N,XLOOKUP(D676,TicketsBreak!A:A,TicketsBreak!E:E,"",0),0)</f>
        <v/>
      </c>
      <c r="I676" s="316" t="str">
        <f t="array" ref="I676">XLOOKUP(B676,Roster!L:L,Roster!O:O,XLOOKUP(D676,TicketsBreak!A:A,TicketsBreak!F:F,"",0),0)</f>
        <v/>
      </c>
      <c r="J676" s="316" t="str">
        <f t="array" ref="J676">XLOOKUP(B676,Roster!L:L,Roster!P:P,XLOOKUP(D676,TicketsBreak!A:A,TicketsBreak!G:G,"",0),0)</f>
        <v/>
      </c>
      <c r="K676" s="310">
        <f t="shared" si="4"/>
        <v>46118</v>
      </c>
      <c r="L676" s="317">
        <f t="array" ref="L676">(XLOOKUP(D676,Roster!F:F,Roster!D:D,"",0))</f>
        <v>31</v>
      </c>
      <c r="M676" s="317" t="str">
        <f t="array" ref="M676">XLOOKUP(D676,Roster!F:F,Roster!E:E)</f>
        <v>Tickets</v>
      </c>
      <c r="N676" s="317" t="str">
        <f t="shared" ref="N676:P676" si="689">LEFT(H676,5)</f>
        <v/>
      </c>
      <c r="O676" s="317" t="str">
        <f t="shared" si="689"/>
        <v/>
      </c>
      <c r="P676" s="317" t="str">
        <f t="shared" si="689"/>
        <v/>
      </c>
      <c r="Q676" s="318" t="str">
        <f t="shared" si="664"/>
        <v/>
      </c>
      <c r="R676" s="318" t="str">
        <f t="shared" si="665"/>
        <v/>
      </c>
      <c r="S676" s="318" t="str">
        <f t="shared" si="8"/>
        <v/>
      </c>
    </row>
    <row r="677">
      <c r="A677" s="14" t="str">
        <f t="shared" si="1"/>
        <v>C72646118</v>
      </c>
      <c r="B677" s="185" t="str">
        <f t="array" ref="B677">IF(F677="VL","",IF(F677="Free","Free",XLOOKUP(D677,Roster!T:T,Roster!S:S,"",0)))</f>
        <v/>
      </c>
      <c r="C677" s="313">
        <v>46118.0</v>
      </c>
      <c r="D677" s="314" t="s">
        <v>185</v>
      </c>
      <c r="E677" s="307" t="str">
        <f t="array" ref="E677">(XLOOKUP(D677,Roster!F:F,Roster!B:B,"",0))</f>
        <v>Sebastian Rodriguez</v>
      </c>
      <c r="F677" s="315" t="str">
        <f t="array" ref="F677">IF(B677=100,"Free",TEXT(XLOOKUP($D677,OperationVoice!$A:$A,OperationVoice!L:L,XLOOKUP($D677,OperationTickets!$A:$A,OperationTickets!L:L,"",0)),"hh:mm"))</f>
        <v>08:00</v>
      </c>
      <c r="G677" s="309">
        <f t="shared" si="3"/>
        <v>0.7083333333</v>
      </c>
      <c r="H677" s="316">
        <f t="array" ref="H677">XLOOKUP(B677,Roster!L:L,Roster!N:N,XLOOKUP(D677,TicketsBreak!A:A,TicketsBreak!E:E,"",0),0)</f>
        <v>0.4166666667</v>
      </c>
      <c r="I677" s="316">
        <f t="array" ref="I677">XLOOKUP(B677,Roster!L:L,Roster!O:O,XLOOKUP(D677,TicketsBreak!A:A,TicketsBreak!F:F,"",0),0)</f>
        <v>0.5625</v>
      </c>
      <c r="J677" s="316">
        <f t="array" ref="J677">XLOOKUP(B677,Roster!L:L,Roster!P:P,XLOOKUP(D677,TicketsBreak!A:A,TicketsBreak!G:G,"",0),0)</f>
        <v>0.6458333333</v>
      </c>
      <c r="K677" s="310">
        <f t="shared" si="4"/>
        <v>46118</v>
      </c>
      <c r="L677" s="317">
        <f t="array" ref="L677">(XLOOKUP(D677,Roster!F:F,Roster!D:D,"",0))</f>
        <v>7</v>
      </c>
      <c r="M677" s="317" t="str">
        <f t="array" ref="M677">XLOOKUP(D677,Roster!F:F,Roster!E:E)</f>
        <v>Tickets</v>
      </c>
      <c r="N677" s="317" t="str">
        <f t="shared" ref="N677:P677" si="690">LEFT(H677,5)</f>
        <v>10:00</v>
      </c>
      <c r="O677" s="317" t="str">
        <f t="shared" si="690"/>
        <v>13:30</v>
      </c>
      <c r="P677" s="317" t="str">
        <f t="shared" si="690"/>
        <v>15:30</v>
      </c>
      <c r="Q677" s="318">
        <f t="shared" si="664"/>
        <v>46118.41667</v>
      </c>
      <c r="R677" s="318">
        <f t="shared" si="665"/>
        <v>46118.5625</v>
      </c>
      <c r="S677" s="318">
        <f t="shared" si="8"/>
        <v>46118.64583</v>
      </c>
    </row>
    <row r="678">
      <c r="A678" s="14" t="str">
        <f t="shared" si="1"/>
        <v>C60246118</v>
      </c>
      <c r="B678" s="185" t="str">
        <f t="array" ref="B678">IF(F678="VL","",IF(F678="Free","Free",XLOOKUP(D678,Roster!T:T,Roster!S:S,"",0)))</f>
        <v/>
      </c>
      <c r="C678" s="313">
        <v>46118.0</v>
      </c>
      <c r="D678" s="314" t="s">
        <v>170</v>
      </c>
      <c r="E678" s="307" t="str">
        <f t="array" ref="E678">(XLOOKUP(D678,Roster!F:F,Roster!B:B,"",0))</f>
        <v>Sebastian Torres</v>
      </c>
      <c r="F678" s="315" t="str">
        <f t="array" ref="F678">IF(B678=100,"Free",TEXT(XLOOKUP($D678,OperationVoice!$A:$A,OperationVoice!L:L,XLOOKUP($D678,OperationTickets!$A:$A,OperationTickets!L:L,"",0)),"hh:mm"))</f>
        <v>08:00</v>
      </c>
      <c r="G678" s="309">
        <f t="shared" si="3"/>
        <v>0.7083333333</v>
      </c>
      <c r="H678" s="316">
        <f t="array" ref="H678">XLOOKUP(B678,Roster!L:L,Roster!N:N,XLOOKUP(D678,TicketsBreak!A:A,TicketsBreak!E:E,"",0),0)</f>
        <v>0.4583333333</v>
      </c>
      <c r="I678" s="316">
        <f t="array" ref="I678">XLOOKUP(B678,Roster!L:L,Roster!O:O,XLOOKUP(D678,TicketsBreak!A:A,TicketsBreak!F:F,"",0),0)</f>
        <v>0.5833333333</v>
      </c>
      <c r="J678" s="316">
        <f t="array" ref="J678">XLOOKUP(B678,Roster!L:L,Roster!P:P,XLOOKUP(D678,TicketsBreak!A:A,TicketsBreak!G:G,"",0),0)</f>
        <v>0.65625</v>
      </c>
      <c r="K678" s="310">
        <f t="shared" si="4"/>
        <v>46118</v>
      </c>
      <c r="L678" s="317">
        <f t="array" ref="L678">(XLOOKUP(D678,Roster!F:F,Roster!D:D,"",0))</f>
        <v>8</v>
      </c>
      <c r="M678" s="317" t="str">
        <f t="array" ref="M678">XLOOKUP(D678,Roster!F:F,Roster!E:E)</f>
        <v>Tickets</v>
      </c>
      <c r="N678" s="317" t="str">
        <f t="shared" ref="N678:P678" si="691">LEFT(H678,5)</f>
        <v>11:00</v>
      </c>
      <c r="O678" s="317" t="str">
        <f t="shared" si="691"/>
        <v>14:00</v>
      </c>
      <c r="P678" s="317" t="str">
        <f t="shared" si="691"/>
        <v>15:45</v>
      </c>
      <c r="Q678" s="318">
        <f t="shared" si="664"/>
        <v>46118.45833</v>
      </c>
      <c r="R678" s="318">
        <f t="shared" si="665"/>
        <v>46118.58333</v>
      </c>
      <c r="S678" s="318">
        <f t="shared" si="8"/>
        <v>46118.65625</v>
      </c>
    </row>
    <row r="679">
      <c r="A679" s="14" t="str">
        <f t="shared" si="1"/>
        <v>C143146118</v>
      </c>
      <c r="B679" s="185">
        <f t="array" ref="B679">IF(F679="VL","",IF(F679="Free","Free",XLOOKUP(D679,Roster!T:T,Roster!S:S,"",0)))</f>
        <v>151</v>
      </c>
      <c r="C679" s="313">
        <v>46118.0</v>
      </c>
      <c r="D679" s="314" t="s">
        <v>74</v>
      </c>
      <c r="E679" s="307" t="str">
        <f t="array" ref="E679">(XLOOKUP(D679,Roster!F:F,Roster!B:B,"",0))</f>
        <v>Sebastian Torres Gomez</v>
      </c>
      <c r="F679" s="315" t="str">
        <f t="array" ref="F679">IF(B679=100,"Free",TEXT(XLOOKUP($D679,OperationVoice!$A:$A,OperationVoice!L:L,XLOOKUP($D679,OperationTickets!$A:$A,OperationTickets!L:L,"",0)),"hh:mm"))</f>
        <v>11:00</v>
      </c>
      <c r="G679" s="309">
        <f t="shared" si="3"/>
        <v>0.8333333333</v>
      </c>
      <c r="H679" s="316" t="str">
        <f t="array" ref="H679">XLOOKUP(B679,Roster!L:L,Roster!N:N,XLOOKUP(D679,TicketsBreak!A:A,TicketsBreak!E:E,"",0),0)</f>
        <v>12:15 - 12:30</v>
      </c>
      <c r="I679" s="316" t="str">
        <f t="array" ref="I679">XLOOKUP(B679,Roster!L:L,Roster!O:O,XLOOKUP(D679,TicketsBreak!A:A,TicketsBreak!F:F,"",0),0)</f>
        <v>14:00 - 14:30</v>
      </c>
      <c r="J679" s="316" t="str">
        <f t="array" ref="J679">XLOOKUP(B679,Roster!L:L,Roster!P:P,XLOOKUP(D679,TicketsBreak!A:A,TicketsBreak!G:G,"",0),0)</f>
        <v>17:15 - 17:30</v>
      </c>
      <c r="K679" s="310">
        <f t="shared" si="4"/>
        <v>46118</v>
      </c>
      <c r="L679" s="317">
        <f t="array" ref="L679">(XLOOKUP(D679,Roster!F:F,Roster!D:D,"",0))</f>
        <v>32</v>
      </c>
      <c r="M679" s="317" t="str">
        <f t="array" ref="M679">XLOOKUP(D679,Roster!F:F,Roster!E:E)</f>
        <v>Voice</v>
      </c>
      <c r="N679" s="317" t="str">
        <f t="shared" ref="N679:P679" si="692">LEFT(H679,5)</f>
        <v>12:15</v>
      </c>
      <c r="O679" s="317" t="str">
        <f t="shared" si="692"/>
        <v>14:00</v>
      </c>
      <c r="P679" s="317" t="str">
        <f t="shared" si="692"/>
        <v>17:15</v>
      </c>
      <c r="Q679" s="318">
        <f t="shared" si="664"/>
        <v>46118.51042</v>
      </c>
      <c r="R679" s="318">
        <f t="shared" si="665"/>
        <v>46118.58333</v>
      </c>
      <c r="S679" s="318">
        <f t="shared" si="8"/>
        <v>46118.71875</v>
      </c>
    </row>
    <row r="680">
      <c r="A680" s="14" t="str">
        <f t="shared" si="1"/>
        <v>C149146118</v>
      </c>
      <c r="B680" s="185" t="str">
        <f t="array" ref="B680">IF(F680="VL","",IF(F680="Free","Free",XLOOKUP(D680,Roster!T:T,Roster!S:S,"",0)))</f>
        <v/>
      </c>
      <c r="C680" s="313">
        <v>46118.0</v>
      </c>
      <c r="D680" s="314" t="s">
        <v>315</v>
      </c>
      <c r="E680" s="307" t="str">
        <f t="array" ref="E680">(XLOOKUP(D680,Roster!F:F,Roster!B:B,"",0))</f>
        <v>Sebastian Vanegas</v>
      </c>
      <c r="F680" s="315" t="str">
        <f t="array" ref="F680">IF(B680=100,"Free",TEXT(XLOOKUP($D680,OperationVoice!$A:$A,OperationVoice!L:L,XLOOKUP($D680,OperationTickets!$A:$A,OperationTickets!L:L,"",0)),"hh:mm"))</f>
        <v/>
      </c>
      <c r="G680" s="309" t="str">
        <f t="shared" si="3"/>
        <v/>
      </c>
      <c r="H680" s="316" t="str">
        <f t="array" ref="H680">XLOOKUP(B680,Roster!L:L,Roster!N:N,XLOOKUP(D680,TicketsBreak!A:A,TicketsBreak!E:E,"",0),0)</f>
        <v/>
      </c>
      <c r="I680" s="316" t="str">
        <f t="array" ref="I680">XLOOKUP(B680,Roster!L:L,Roster!O:O,XLOOKUP(D680,TicketsBreak!A:A,TicketsBreak!F:F,"",0),0)</f>
        <v/>
      </c>
      <c r="J680" s="316" t="str">
        <f t="array" ref="J680">XLOOKUP(B680,Roster!L:L,Roster!P:P,XLOOKUP(D680,TicketsBreak!A:A,TicketsBreak!G:G,"",0),0)</f>
        <v/>
      </c>
      <c r="K680" s="310">
        <f t="shared" si="4"/>
        <v>46118</v>
      </c>
      <c r="L680" s="317">
        <f t="array" ref="L680">(XLOOKUP(D680,Roster!F:F,Roster!D:D,"",0))</f>
        <v>34</v>
      </c>
      <c r="M680" s="317" t="str">
        <f t="array" ref="M680">XLOOKUP(D680,Roster!F:F,Roster!E:E)</f>
        <v>Voice</v>
      </c>
      <c r="N680" s="317" t="str">
        <f t="shared" ref="N680:P680" si="693">LEFT(H680,5)</f>
        <v/>
      </c>
      <c r="O680" s="317" t="str">
        <f t="shared" si="693"/>
        <v/>
      </c>
      <c r="P680" s="317" t="str">
        <f t="shared" si="693"/>
        <v/>
      </c>
      <c r="Q680" s="318" t="str">
        <f t="shared" si="664"/>
        <v/>
      </c>
      <c r="R680" s="318" t="str">
        <f t="shared" si="665"/>
        <v/>
      </c>
      <c r="S680" s="318" t="str">
        <f t="shared" si="8"/>
        <v/>
      </c>
    </row>
    <row r="681">
      <c r="A681" s="14" t="str">
        <f t="shared" si="1"/>
        <v>C93746118</v>
      </c>
      <c r="B681" s="185">
        <f t="array" ref="B681">IF(F681="VL","",IF(F681="Free","Free",XLOOKUP(D681,Roster!T:T,Roster!S:S,"",0)))</f>
        <v>126</v>
      </c>
      <c r="C681" s="313">
        <v>46118.0</v>
      </c>
      <c r="D681" s="314" t="s">
        <v>75</v>
      </c>
      <c r="E681" s="307" t="str">
        <f t="array" ref="E681">(XLOOKUP(D681,Roster!F:F,Roster!B:B,"",0))</f>
        <v>Sebastian Zapata</v>
      </c>
      <c r="F681" s="315" t="str">
        <f t="array" ref="F681">IF(B681=100,"Free",TEXT(XLOOKUP($D681,OperationVoice!$A:$A,OperationVoice!L:L,XLOOKUP($D681,OperationTickets!$A:$A,OperationTickets!L:L,"",0)),"hh:mm"))</f>
        <v>08:00</v>
      </c>
      <c r="G681" s="309">
        <f t="shared" si="3"/>
        <v>0.7083333333</v>
      </c>
      <c r="H681" s="316" t="str">
        <f t="array" ref="H681">XLOOKUP(B681,Roster!L:L,Roster!N:N,XLOOKUP(D681,TicketsBreak!A:A,TicketsBreak!E:E,"",0),0)</f>
        <v>10:45 - 11:00</v>
      </c>
      <c r="I681" s="316" t="str">
        <f t="array" ref="I681">XLOOKUP(B681,Roster!L:L,Roster!O:O,XLOOKUP(D681,TicketsBreak!A:A,TicketsBreak!F:F,"",0),0)</f>
        <v>14:00 - 14:30</v>
      </c>
      <c r="J681" s="316" t="str">
        <f t="array" ref="J681">XLOOKUP(B681,Roster!L:L,Roster!P:P,XLOOKUP(D681,TicketsBreak!A:A,TicketsBreak!G:G,"",0),0)</f>
        <v>15:45 - 16:00</v>
      </c>
      <c r="K681" s="310">
        <f t="shared" si="4"/>
        <v>46118</v>
      </c>
      <c r="L681" s="317">
        <f t="array" ref="L681">(XLOOKUP(D681,Roster!F:F,Roster!D:D,"",0))</f>
        <v>12</v>
      </c>
      <c r="M681" s="317" t="str">
        <f t="array" ref="M681">XLOOKUP(D681,Roster!F:F,Roster!E:E)</f>
        <v>Voice</v>
      </c>
      <c r="N681" s="317" t="str">
        <f t="shared" ref="N681:P681" si="694">LEFT(H681,5)</f>
        <v>10:45</v>
      </c>
      <c r="O681" s="317" t="str">
        <f t="shared" si="694"/>
        <v>14:00</v>
      </c>
      <c r="P681" s="317" t="str">
        <f t="shared" si="694"/>
        <v>15:45</v>
      </c>
      <c r="Q681" s="318">
        <f t="shared" si="664"/>
        <v>46118.44792</v>
      </c>
      <c r="R681" s="318">
        <f t="shared" si="665"/>
        <v>46118.58333</v>
      </c>
      <c r="S681" s="318">
        <f t="shared" si="8"/>
        <v>46118.65625</v>
      </c>
    </row>
    <row r="682">
      <c r="A682" s="14" t="str">
        <f t="shared" si="1"/>
        <v>C156546118</v>
      </c>
      <c r="B682" s="185">
        <f t="array" ref="B682">IF(F682="VL","",IF(F682="Free","Free",XLOOKUP(D682,Roster!T:T,Roster!S:S,"",0)))</f>
        <v>122</v>
      </c>
      <c r="C682" s="313">
        <v>46118.0</v>
      </c>
      <c r="D682" s="314" t="s">
        <v>76</v>
      </c>
      <c r="E682" s="307" t="str">
        <f t="array" ref="E682">(XLOOKUP(D682,Roster!F:F,Roster!B:B,"",0))</f>
        <v>Sergio Rojas</v>
      </c>
      <c r="F682" s="315" t="str">
        <f t="array" ref="F682">IF(B682=100,"Free",TEXT(XLOOKUP($D682,OperationVoice!$A:$A,OperationVoice!L:L,XLOOKUP($D682,OperationTickets!$A:$A,OperationTickets!L:L,"",0)),"hh:mm"))</f>
        <v>11:00</v>
      </c>
      <c r="G682" s="309">
        <f t="shared" si="3"/>
        <v>0.8333333333</v>
      </c>
      <c r="H682" s="316" t="str">
        <f t="array" ref="H682">XLOOKUP(B682,Roster!L:L,Roster!N:N,XLOOKUP(D682,TicketsBreak!A:A,TicketsBreak!E:E,"",0),0)</f>
        <v>09:30 - 09:45</v>
      </c>
      <c r="I682" s="316" t="str">
        <f t="array" ref="I682">XLOOKUP(B682,Roster!L:L,Roster!O:O,XLOOKUP(D682,TicketsBreak!A:A,TicketsBreak!F:F,"",0),0)</f>
        <v>12:00 - 12:30</v>
      </c>
      <c r="J682" s="316" t="str">
        <f t="array" ref="J682">XLOOKUP(B682,Roster!L:L,Roster!P:P,XLOOKUP(D682,TicketsBreak!A:A,TicketsBreak!G:G,"",0),0)</f>
        <v>14:45 - 15:00</v>
      </c>
      <c r="K682" s="310">
        <f t="shared" si="4"/>
        <v>46118</v>
      </c>
      <c r="L682" s="317">
        <f t="array" ref="L682">(XLOOKUP(D682,Roster!F:F,Roster!D:D,"",0))</f>
        <v>38</v>
      </c>
      <c r="M682" s="317" t="str">
        <f t="array" ref="M682">XLOOKUP(D682,Roster!F:F,Roster!E:E)</f>
        <v>Voice</v>
      </c>
      <c r="N682" s="317" t="str">
        <f t="shared" ref="N682:P682" si="695">LEFT(H682,5)</f>
        <v>09:30</v>
      </c>
      <c r="O682" s="317" t="str">
        <f t="shared" si="695"/>
        <v>12:00</v>
      </c>
      <c r="P682" s="317" t="str">
        <f t="shared" si="695"/>
        <v>14:45</v>
      </c>
      <c r="Q682" s="318">
        <f t="shared" si="664"/>
        <v>46118.39583</v>
      </c>
      <c r="R682" s="318">
        <f t="shared" si="665"/>
        <v>46118.5</v>
      </c>
      <c r="S682" s="318">
        <f t="shared" si="8"/>
        <v>46118.61458</v>
      </c>
    </row>
    <row r="683">
      <c r="A683" s="14" t="str">
        <f t="shared" si="1"/>
        <v>C147846118</v>
      </c>
      <c r="B683" s="185" t="str">
        <f t="array" ref="B683">IF(F683="VL","",IF(F683="Free","Free",XLOOKUP(D683,Roster!T:T,Roster!S:S,"",0)))</f>
        <v/>
      </c>
      <c r="C683" s="313">
        <v>46118.0</v>
      </c>
      <c r="D683" s="314" t="s">
        <v>186</v>
      </c>
      <c r="E683" s="307" t="str">
        <f t="array" ref="E683">(XLOOKUP(D683,Roster!F:F,Roster!B:B,"",0))</f>
        <v>Simon Atehortua</v>
      </c>
      <c r="F683" s="315" t="str">
        <f t="array" ref="F683">IF(B683=100,"Free",TEXT(XLOOKUP($D683,OperationVoice!$A:$A,OperationVoice!L:L,XLOOKUP($D683,OperationTickets!$A:$A,OperationTickets!L:L,"",0)),"hh:mm"))</f>
        <v>07:00</v>
      </c>
      <c r="G683" s="309">
        <f t="shared" si="3"/>
        <v>0.6666666667</v>
      </c>
      <c r="H683" s="316" t="str">
        <f t="array" ref="H683">XLOOKUP(B683,Roster!L:L,Roster!N:N,XLOOKUP(D683,TicketsBreak!A:A,TicketsBreak!E:E,"",0),0)</f>
        <v/>
      </c>
      <c r="I683" s="316" t="str">
        <f t="array" ref="I683">XLOOKUP(B683,Roster!L:L,Roster!O:O,XLOOKUP(D683,TicketsBreak!A:A,TicketsBreak!F:F,"",0),0)</f>
        <v/>
      </c>
      <c r="J683" s="316" t="str">
        <f t="array" ref="J683">XLOOKUP(B683,Roster!L:L,Roster!P:P,XLOOKUP(D683,TicketsBreak!A:A,TicketsBreak!G:G,"",0),0)</f>
        <v/>
      </c>
      <c r="K683" s="310">
        <f t="shared" si="4"/>
        <v>46118</v>
      </c>
      <c r="L683" s="317">
        <f t="array" ref="L683">(XLOOKUP(D683,Roster!F:F,Roster!D:D,"",0))</f>
        <v>32</v>
      </c>
      <c r="M683" s="317" t="str">
        <f t="array" ref="M683">XLOOKUP(D683,Roster!F:F,Roster!E:E)</f>
        <v>Tickets</v>
      </c>
      <c r="N683" s="317" t="str">
        <f t="shared" ref="N683:P683" si="696">LEFT(H683,5)</f>
        <v/>
      </c>
      <c r="O683" s="317" t="str">
        <f t="shared" si="696"/>
        <v/>
      </c>
      <c r="P683" s="317" t="str">
        <f t="shared" si="696"/>
        <v/>
      </c>
      <c r="Q683" s="318" t="str">
        <f t="shared" si="664"/>
        <v/>
      </c>
      <c r="R683" s="318" t="str">
        <f t="shared" si="665"/>
        <v/>
      </c>
      <c r="S683" s="318" t="str">
        <f t="shared" si="8"/>
        <v/>
      </c>
    </row>
    <row r="684">
      <c r="A684" s="14" t="str">
        <f t="shared" si="1"/>
        <v>C148346118</v>
      </c>
      <c r="B684" s="185">
        <f t="array" ref="B684">IF(F684="VL","",IF(F684="Free","Free",XLOOKUP(D684,Roster!T:T,Roster!S:S,"",0)))</f>
        <v>152</v>
      </c>
      <c r="C684" s="313">
        <v>46118.0</v>
      </c>
      <c r="D684" s="314" t="s">
        <v>77</v>
      </c>
      <c r="E684" s="307" t="str">
        <f t="array" ref="E684">(XLOOKUP(D684,Roster!F:F,Roster!B:B,"",0))</f>
        <v>Simon Zuluaica</v>
      </c>
      <c r="F684" s="315" t="str">
        <f t="array" ref="F684">IF(B684=100,"Free",TEXT(XLOOKUP($D684,OperationVoice!$A:$A,OperationVoice!L:L,XLOOKUP($D684,OperationTickets!$A:$A,OperationTickets!L:L,"",0)),"hh:mm"))</f>
        <v>11:00</v>
      </c>
      <c r="G684" s="309">
        <f t="shared" si="3"/>
        <v>0.8333333333</v>
      </c>
      <c r="H684" s="316" t="str">
        <f t="array" ref="H684">XLOOKUP(B684,Roster!L:L,Roster!N:N,XLOOKUP(D684,TicketsBreak!A:A,TicketsBreak!E:E,"",0),0)</f>
        <v>12:30 - 12:45</v>
      </c>
      <c r="I684" s="316" t="str">
        <f t="array" ref="I684">XLOOKUP(B684,Roster!L:L,Roster!O:O,XLOOKUP(D684,TicketsBreak!A:A,TicketsBreak!F:F,"",0),0)</f>
        <v>14:30 - 15:00</v>
      </c>
      <c r="J684" s="316" t="str">
        <f t="array" ref="J684">XLOOKUP(B684,Roster!L:L,Roster!P:P,XLOOKUP(D684,TicketsBreak!A:A,TicketsBreak!G:G,"",0),0)</f>
        <v>17:30 - 17:45</v>
      </c>
      <c r="K684" s="310">
        <f t="shared" si="4"/>
        <v>46118</v>
      </c>
      <c r="L684" s="317">
        <f t="array" ref="L684">(XLOOKUP(D684,Roster!F:F,Roster!D:D,"",0))</f>
        <v>34</v>
      </c>
      <c r="M684" s="317" t="str">
        <f t="array" ref="M684">XLOOKUP(D684,Roster!F:F,Roster!E:E)</f>
        <v>Voice</v>
      </c>
      <c r="N684" s="317" t="str">
        <f t="shared" ref="N684:P684" si="697">LEFT(H684,5)</f>
        <v>12:30</v>
      </c>
      <c r="O684" s="317" t="str">
        <f t="shared" si="697"/>
        <v>14:30</v>
      </c>
      <c r="P684" s="317" t="str">
        <f t="shared" si="697"/>
        <v>17:30</v>
      </c>
      <c r="Q684" s="318">
        <f t="shared" si="664"/>
        <v>46118.52083</v>
      </c>
      <c r="R684" s="318">
        <f t="shared" si="665"/>
        <v>46118.60417</v>
      </c>
      <c r="S684" s="318">
        <f t="shared" si="8"/>
        <v>46118.72917</v>
      </c>
    </row>
    <row r="685">
      <c r="A685" s="14" t="str">
        <f t="shared" si="1"/>
        <v>C154046118</v>
      </c>
      <c r="B685" s="185">
        <f t="array" ref="B685">IF(F685="VL","",IF(F685="Free","Free",XLOOKUP(D685,Roster!T:T,Roster!S:S,"",0)))</f>
        <v>122</v>
      </c>
      <c r="C685" s="313">
        <v>46118.0</v>
      </c>
      <c r="D685" s="314" t="s">
        <v>78</v>
      </c>
      <c r="E685" s="307" t="str">
        <f t="array" ref="E685">(XLOOKUP(D685,Roster!F:F,Roster!B:B,"",0))</f>
        <v>Tomas Perez</v>
      </c>
      <c r="F685" s="315" t="str">
        <f t="array" ref="F685">IF(B685=100,"Free",TEXT(XLOOKUP($D685,OperationVoice!$A:$A,OperationVoice!L:L,XLOOKUP($D685,OperationTickets!$A:$A,OperationTickets!L:L,"",0)),"hh:mm"))</f>
        <v>08:00</v>
      </c>
      <c r="G685" s="309">
        <f t="shared" si="3"/>
        <v>0.7083333333</v>
      </c>
      <c r="H685" s="316" t="str">
        <f t="array" ref="H685">XLOOKUP(B685,Roster!L:L,Roster!N:N,XLOOKUP(D685,TicketsBreak!A:A,TicketsBreak!E:E,"",0),0)</f>
        <v>09:30 - 09:45</v>
      </c>
      <c r="I685" s="316" t="str">
        <f t="array" ref="I685">XLOOKUP(B685,Roster!L:L,Roster!O:O,XLOOKUP(D685,TicketsBreak!A:A,TicketsBreak!F:F,"",0),0)</f>
        <v>12:00 - 12:30</v>
      </c>
      <c r="J685" s="316" t="str">
        <f t="array" ref="J685">XLOOKUP(B685,Roster!L:L,Roster!P:P,XLOOKUP(D685,TicketsBreak!A:A,TicketsBreak!G:G,"",0),0)</f>
        <v>14:45 - 15:00</v>
      </c>
      <c r="K685" s="310">
        <f t="shared" si="4"/>
        <v>46118</v>
      </c>
      <c r="L685" s="317">
        <f t="array" ref="L685">(XLOOKUP(D685,Roster!F:F,Roster!D:D,"",0))</f>
        <v>36</v>
      </c>
      <c r="M685" s="317" t="str">
        <f t="array" ref="M685">XLOOKUP(D685,Roster!F:F,Roster!E:E)</f>
        <v>Voice</v>
      </c>
      <c r="N685" s="317" t="str">
        <f t="shared" ref="N685:P685" si="698">LEFT(H685,5)</f>
        <v>09:30</v>
      </c>
      <c r="O685" s="317" t="str">
        <f t="shared" si="698"/>
        <v>12:00</v>
      </c>
      <c r="P685" s="317" t="str">
        <f t="shared" si="698"/>
        <v>14:45</v>
      </c>
      <c r="Q685" s="318">
        <f t="shared" si="664"/>
        <v>46118.39583</v>
      </c>
      <c r="R685" s="318">
        <f t="shared" si="665"/>
        <v>46118.5</v>
      </c>
      <c r="S685" s="318">
        <f t="shared" si="8"/>
        <v>46118.61458</v>
      </c>
    </row>
    <row r="686">
      <c r="A686" s="14" t="str">
        <f t="shared" si="1"/>
        <v>C154746118</v>
      </c>
      <c r="B686" s="185">
        <f t="array" ref="B686">IF(F686="VL","",IF(F686="Free","Free",XLOOKUP(D686,Roster!T:T,Roster!S:S,"",0)))</f>
        <v>121</v>
      </c>
      <c r="C686" s="313">
        <v>46118.0</v>
      </c>
      <c r="D686" s="314" t="s">
        <v>79</v>
      </c>
      <c r="E686" s="307" t="str">
        <f t="array" ref="E686">(XLOOKUP(D686,Roster!F:F,Roster!B:B,"",0))</f>
        <v>Valentina Barreto</v>
      </c>
      <c r="F686" s="315" t="str">
        <f t="array" ref="F686">IF(B686=100,"Free",TEXT(XLOOKUP($D686,OperationVoice!$A:$A,OperationVoice!L:L,XLOOKUP($D686,OperationTickets!$A:$A,OperationTickets!L:L,"",0)),"hh:mm"))</f>
        <v>08:00</v>
      </c>
      <c r="G686" s="309">
        <f t="shared" si="3"/>
        <v>0.7083333333</v>
      </c>
      <c r="H686" s="316" t="str">
        <f t="array" ref="H686">XLOOKUP(B686,Roster!L:L,Roster!N:N,XLOOKUP(D686,TicketsBreak!A:A,TicketsBreak!E:E,"",0),0)</f>
        <v>09:15 - 09:30</v>
      </c>
      <c r="I686" s="316" t="str">
        <f t="array" ref="I686">XLOOKUP(B686,Roster!L:L,Roster!O:O,XLOOKUP(D686,TicketsBreak!A:A,TicketsBreak!F:F,"",0),0)</f>
        <v>11:30 - 12:00</v>
      </c>
      <c r="J686" s="316" t="str">
        <f t="array" ref="J686">XLOOKUP(B686,Roster!L:L,Roster!P:P,XLOOKUP(D686,TicketsBreak!A:A,TicketsBreak!G:G,"",0),0)</f>
        <v>14:30 - 14:45</v>
      </c>
      <c r="K686" s="310">
        <f t="shared" si="4"/>
        <v>46118</v>
      </c>
      <c r="L686" s="317">
        <f t="array" ref="L686">(XLOOKUP(D686,Roster!F:F,Roster!D:D,"",0))</f>
        <v>37</v>
      </c>
      <c r="M686" s="317" t="str">
        <f t="array" ref="M686">XLOOKUP(D686,Roster!F:F,Roster!E:E)</f>
        <v>Voice</v>
      </c>
      <c r="N686" s="317" t="str">
        <f t="shared" ref="N686:P686" si="699">LEFT(H686,5)</f>
        <v>09:15</v>
      </c>
      <c r="O686" s="317" t="str">
        <f t="shared" si="699"/>
        <v>11:30</v>
      </c>
      <c r="P686" s="317" t="str">
        <f t="shared" si="699"/>
        <v>14:30</v>
      </c>
      <c r="Q686" s="318">
        <f t="shared" si="664"/>
        <v>46118.38542</v>
      </c>
      <c r="R686" s="318">
        <f t="shared" si="665"/>
        <v>46118.47917</v>
      </c>
      <c r="S686" s="318">
        <f t="shared" si="8"/>
        <v>46118.60417</v>
      </c>
    </row>
    <row r="687">
      <c r="A687" s="14" t="str">
        <f t="shared" si="1"/>
        <v>C155346118</v>
      </c>
      <c r="B687" s="185">
        <f t="array" ref="B687">IF(F687="VL","",IF(F687="Free","Free",XLOOKUP(D687,Roster!T:T,Roster!S:S,"",0)))</f>
        <v>122</v>
      </c>
      <c r="C687" s="313">
        <v>46118.0</v>
      </c>
      <c r="D687" s="314" t="s">
        <v>80</v>
      </c>
      <c r="E687" s="307" t="str">
        <f t="array" ref="E687">(XLOOKUP(D687,Roster!F:F,Roster!B:B,"",0))</f>
        <v>Valentina Castro</v>
      </c>
      <c r="F687" s="315" t="str">
        <f t="array" ref="F687">IF(B687=100,"Free",TEXT(XLOOKUP($D687,OperationVoice!$A:$A,OperationVoice!L:L,XLOOKUP($D687,OperationTickets!$A:$A,OperationTickets!L:L,"",0)),"hh:mm"))</f>
        <v>08:00</v>
      </c>
      <c r="G687" s="309">
        <f t="shared" si="3"/>
        <v>0.7083333333</v>
      </c>
      <c r="H687" s="316" t="str">
        <f t="array" ref="H687">XLOOKUP(B687,Roster!L:L,Roster!N:N,XLOOKUP(D687,TicketsBreak!A:A,TicketsBreak!E:E,"",0),0)</f>
        <v>09:30 - 09:45</v>
      </c>
      <c r="I687" s="316" t="str">
        <f t="array" ref="I687">XLOOKUP(B687,Roster!L:L,Roster!O:O,XLOOKUP(D687,TicketsBreak!A:A,TicketsBreak!F:F,"",0),0)</f>
        <v>12:00 - 12:30</v>
      </c>
      <c r="J687" s="316" t="str">
        <f t="array" ref="J687">XLOOKUP(B687,Roster!L:L,Roster!P:P,XLOOKUP(D687,TicketsBreak!A:A,TicketsBreak!G:G,"",0),0)</f>
        <v>14:45 - 15:00</v>
      </c>
      <c r="K687" s="310">
        <f t="shared" si="4"/>
        <v>46118</v>
      </c>
      <c r="L687" s="317">
        <f t="array" ref="L687">(XLOOKUP(D687,Roster!F:F,Roster!D:D,"",0))</f>
        <v>37</v>
      </c>
      <c r="M687" s="317" t="str">
        <f t="array" ref="M687">XLOOKUP(D687,Roster!F:F,Roster!E:E)</f>
        <v>Voice</v>
      </c>
      <c r="N687" s="317" t="str">
        <f t="shared" ref="N687:P687" si="700">LEFT(H687,5)</f>
        <v>09:30</v>
      </c>
      <c r="O687" s="317" t="str">
        <f t="shared" si="700"/>
        <v>12:00</v>
      </c>
      <c r="P687" s="317" t="str">
        <f t="shared" si="700"/>
        <v>14:45</v>
      </c>
      <c r="Q687" s="318">
        <f t="shared" si="664"/>
        <v>46118.39583</v>
      </c>
      <c r="R687" s="318">
        <f t="shared" si="665"/>
        <v>46118.5</v>
      </c>
      <c r="S687" s="318">
        <f t="shared" si="8"/>
        <v>46118.61458</v>
      </c>
    </row>
    <row r="688">
      <c r="A688" s="14" t="str">
        <f t="shared" si="1"/>
        <v>C150246118</v>
      </c>
      <c r="B688" s="185" t="str">
        <f t="array" ref="B688">IF(F688="VL","",IF(F688="Free","Free",XLOOKUP(D688,Roster!T:T,Roster!S:S,"",0)))</f>
        <v/>
      </c>
      <c r="C688" s="313">
        <v>46118.0</v>
      </c>
      <c r="D688" s="314" t="s">
        <v>316</v>
      </c>
      <c r="E688" s="307" t="str">
        <f t="array" ref="E688">(XLOOKUP(D688,Roster!F:F,Roster!B:B,"",0))</f>
        <v>Valentina Gallego</v>
      </c>
      <c r="F688" s="315" t="str">
        <f t="array" ref="F688">IF(B688=100,"Free",TEXT(XLOOKUP($D688,OperationVoice!$A:$A,OperationVoice!L:L,XLOOKUP($D688,OperationTickets!$A:$A,OperationTickets!L:L,"",0)),"hh:mm"))</f>
        <v/>
      </c>
      <c r="G688" s="309" t="str">
        <f t="shared" si="3"/>
        <v/>
      </c>
      <c r="H688" s="316" t="str">
        <f t="array" ref="H688">XLOOKUP(B688,Roster!L:L,Roster!N:N,XLOOKUP(D688,TicketsBreak!A:A,TicketsBreak!E:E,"",0),0)</f>
        <v/>
      </c>
      <c r="I688" s="316" t="str">
        <f t="array" ref="I688">XLOOKUP(B688,Roster!L:L,Roster!O:O,XLOOKUP(D688,TicketsBreak!A:A,TicketsBreak!F:F,"",0),0)</f>
        <v/>
      </c>
      <c r="J688" s="316" t="str">
        <f t="array" ref="J688">XLOOKUP(B688,Roster!L:L,Roster!P:P,XLOOKUP(D688,TicketsBreak!A:A,TicketsBreak!G:G,"",0),0)</f>
        <v/>
      </c>
      <c r="K688" s="310">
        <f t="shared" si="4"/>
        <v>46118</v>
      </c>
      <c r="L688" s="317">
        <f t="array" ref="L688">(XLOOKUP(D688,Roster!F:F,Roster!D:D,"",0))</f>
        <v>35</v>
      </c>
      <c r="M688" s="317" t="str">
        <f t="array" ref="M688">XLOOKUP(D688,Roster!F:F,Roster!E:E)</f>
        <v>Voice</v>
      </c>
      <c r="N688" s="317" t="str">
        <f t="shared" ref="N688:P688" si="701">LEFT(H688,5)</f>
        <v/>
      </c>
      <c r="O688" s="317" t="str">
        <f t="shared" si="701"/>
        <v/>
      </c>
      <c r="P688" s="317" t="str">
        <f t="shared" si="701"/>
        <v/>
      </c>
      <c r="Q688" s="318" t="str">
        <f t="shared" si="664"/>
        <v/>
      </c>
      <c r="R688" s="318" t="str">
        <f t="shared" si="665"/>
        <v/>
      </c>
      <c r="S688" s="318" t="str">
        <f t="shared" si="8"/>
        <v/>
      </c>
    </row>
    <row r="689">
      <c r="A689" s="14" t="str">
        <f t="shared" si="1"/>
        <v>C112646118</v>
      </c>
      <c r="B689" s="185" t="str">
        <f t="array" ref="B689">IF(F689="VL","",IF(F689="Free","Free",XLOOKUP(D689,Roster!T:T,Roster!S:S,"",0)))</f>
        <v/>
      </c>
      <c r="C689" s="313">
        <v>46118.0</v>
      </c>
      <c r="D689" s="314" t="s">
        <v>152</v>
      </c>
      <c r="E689" s="307" t="str">
        <f t="array" ref="E689">(XLOOKUP(D689,Roster!F:F,Roster!B:B,"",0))</f>
        <v>Valery Escobar</v>
      </c>
      <c r="F689" s="315" t="str">
        <f t="array" ref="F689">IF(B689=100,"Free",TEXT(XLOOKUP($D689,OperationVoice!$A:$A,OperationVoice!L:L,XLOOKUP($D689,OperationTickets!$A:$A,OperationTickets!L:L,"",0)),"hh:mm"))</f>
        <v>08:00</v>
      </c>
      <c r="G689" s="309">
        <f t="shared" si="3"/>
        <v>0.7083333333</v>
      </c>
      <c r="H689" s="316">
        <f t="array" ref="H689">XLOOKUP(B689,Roster!L:L,Roster!N:N,XLOOKUP(D689,TicketsBreak!A:A,TicketsBreak!E:E,"",0),0)</f>
        <v>0.3854166667</v>
      </c>
      <c r="I689" s="316">
        <f t="array" ref="I689">XLOOKUP(B689,Roster!L:L,Roster!O:O,XLOOKUP(D689,TicketsBreak!A:A,TicketsBreak!F:F,"",0),0)</f>
        <v>0.5</v>
      </c>
      <c r="J689" s="316">
        <f t="array" ref="J689">XLOOKUP(B689,Roster!L:L,Roster!P:P,XLOOKUP(D689,TicketsBreak!A:A,TicketsBreak!G:G,"",0),0)</f>
        <v>0.6041666667</v>
      </c>
      <c r="K689" s="310">
        <f t="shared" si="4"/>
        <v>46118</v>
      </c>
      <c r="L689" s="317">
        <f t="array" ref="L689">(XLOOKUP(D689,Roster!F:F,Roster!D:D,"",0))</f>
        <v>21</v>
      </c>
      <c r="M689" s="317" t="str">
        <f t="array" ref="M689">XLOOKUP(D689,Roster!F:F,Roster!E:E)</f>
        <v>Tickets</v>
      </c>
      <c r="N689" s="317" t="str">
        <f t="shared" ref="N689:P689" si="702">LEFT(H689,5)</f>
        <v>09:15</v>
      </c>
      <c r="O689" s="317" t="str">
        <f t="shared" si="702"/>
        <v>12:00</v>
      </c>
      <c r="P689" s="317" t="str">
        <f t="shared" si="702"/>
        <v>14:30</v>
      </c>
      <c r="Q689" s="318">
        <f t="shared" si="664"/>
        <v>46118.38542</v>
      </c>
      <c r="R689" s="318">
        <f t="shared" si="665"/>
        <v>46118.5</v>
      </c>
      <c r="S689" s="318">
        <f t="shared" si="8"/>
        <v>46118.60417</v>
      </c>
    </row>
    <row r="690">
      <c r="A690" s="14" t="str">
        <f t="shared" si="1"/>
        <v>C155246118</v>
      </c>
      <c r="B690" s="185">
        <f t="array" ref="B690">IF(F690="VL","",IF(F690="Free","Free",XLOOKUP(D690,Roster!T:T,Roster!S:S,"",0)))</f>
        <v>125</v>
      </c>
      <c r="C690" s="313">
        <v>46118.0</v>
      </c>
      <c r="D690" s="314" t="s">
        <v>81</v>
      </c>
      <c r="E690" s="307" t="str">
        <f t="array" ref="E690">(XLOOKUP(D690,Roster!F:F,Roster!B:B,"",0))</f>
        <v>Wendy Machado</v>
      </c>
      <c r="F690" s="315" t="str">
        <f t="array" ref="F690">IF(B690=100,"Free",TEXT(XLOOKUP($D690,OperationVoice!$A:$A,OperationVoice!L:L,XLOOKUP($D690,OperationTickets!$A:$A,OperationTickets!L:L,"",0)),"hh:mm"))</f>
        <v>08:00</v>
      </c>
      <c r="G690" s="309">
        <f t="shared" si="3"/>
        <v>0.7083333333</v>
      </c>
      <c r="H690" s="316" t="str">
        <f t="array" ref="H690">XLOOKUP(B690,Roster!L:L,Roster!N:N,XLOOKUP(D690,TicketsBreak!A:A,TicketsBreak!E:E,"",0),0)</f>
        <v>10:30 - 10:45</v>
      </c>
      <c r="I690" s="316" t="str">
        <f t="array" ref="I690">XLOOKUP(B690,Roster!L:L,Roster!O:O,XLOOKUP(D690,TicketsBreak!A:A,TicketsBreak!F:F,"",0),0)</f>
        <v>13:30 - 14:00</v>
      </c>
      <c r="J690" s="316" t="str">
        <f t="array" ref="J690">XLOOKUP(B690,Roster!L:L,Roster!P:P,XLOOKUP(D690,TicketsBreak!A:A,TicketsBreak!G:G,"",0),0)</f>
        <v>15:45 - 16:00</v>
      </c>
      <c r="K690" s="310">
        <f t="shared" si="4"/>
        <v>46118</v>
      </c>
      <c r="L690" s="317">
        <f t="array" ref="L690">(XLOOKUP(D690,Roster!F:F,Roster!D:D,"",0))</f>
        <v>37</v>
      </c>
      <c r="M690" s="317" t="str">
        <f t="array" ref="M690">XLOOKUP(D690,Roster!F:F,Roster!E:E)</f>
        <v>Voice</v>
      </c>
      <c r="N690" s="317" t="str">
        <f t="shared" ref="N690:P690" si="703">LEFT(H690,5)</f>
        <v>10:30</v>
      </c>
      <c r="O690" s="317" t="str">
        <f t="shared" si="703"/>
        <v>13:30</v>
      </c>
      <c r="P690" s="317" t="str">
        <f t="shared" si="703"/>
        <v>15:45</v>
      </c>
      <c r="Q690" s="318">
        <f t="shared" si="664"/>
        <v>46118.4375</v>
      </c>
      <c r="R690" s="318">
        <f t="shared" si="665"/>
        <v>46118.5625</v>
      </c>
      <c r="S690" s="318">
        <f t="shared" si="8"/>
        <v>46118.65625</v>
      </c>
    </row>
    <row r="691">
      <c r="A691" s="14" t="str">
        <f t="shared" si="1"/>
        <v>C78646118</v>
      </c>
      <c r="B691" s="185" t="str">
        <f t="array" ref="B691">IF(F691="VL","",IF(F691="Free","Free",XLOOKUP(D691,Roster!T:T,Roster!S:S,"",0)))</f>
        <v/>
      </c>
      <c r="C691" s="313">
        <v>46118.0</v>
      </c>
      <c r="D691" s="314" t="s">
        <v>136</v>
      </c>
      <c r="E691" s="307" t="str">
        <f t="array" ref="E691">(XLOOKUP(D691,Roster!F:F,Roster!B:B,"",0))</f>
        <v>Wendy Navarro</v>
      </c>
      <c r="F691" s="315" t="str">
        <f t="array" ref="F691">IF(B691=100,"Free",TEXT(XLOOKUP($D691,OperationVoice!$A:$A,OperationVoice!L:L,XLOOKUP($D691,OperationTickets!$A:$A,OperationTickets!L:L,"",0)),"hh:mm"))</f>
        <v>08:00</v>
      </c>
      <c r="G691" s="309">
        <f t="shared" si="3"/>
        <v>0.7083333333</v>
      </c>
      <c r="H691" s="316">
        <f t="array" ref="H691">XLOOKUP(B691,Roster!L:L,Roster!N:N,XLOOKUP(D691,TicketsBreak!A:A,TicketsBreak!E:E,"",0),0)</f>
        <v>0.4166666667</v>
      </c>
      <c r="I691" s="316">
        <f t="array" ref="I691">XLOOKUP(B691,Roster!L:L,Roster!O:O,XLOOKUP(D691,TicketsBreak!A:A,TicketsBreak!F:F,"",0),0)</f>
        <v>0.5416666667</v>
      </c>
      <c r="J691" s="316">
        <f t="array" ref="J691">XLOOKUP(B691,Roster!L:L,Roster!P:P,XLOOKUP(D691,TicketsBreak!A:A,TicketsBreak!G:G,"",0),0)</f>
        <v>0.6458333333</v>
      </c>
      <c r="K691" s="310">
        <f t="shared" si="4"/>
        <v>46118</v>
      </c>
      <c r="L691" s="317">
        <f t="array" ref="L691">(XLOOKUP(D691,Roster!F:F,Roster!D:D,"",0))</f>
        <v>16</v>
      </c>
      <c r="M691" s="317" t="str">
        <f t="array" ref="M691">XLOOKUP(D691,Roster!F:F,Roster!E:E)</f>
        <v>Tickets</v>
      </c>
      <c r="N691" s="317" t="str">
        <f t="shared" ref="N691:P691" si="704">LEFT(H691,5)</f>
        <v>10:00</v>
      </c>
      <c r="O691" s="317" t="str">
        <f t="shared" si="704"/>
        <v>13:00</v>
      </c>
      <c r="P691" s="317" t="str">
        <f t="shared" si="704"/>
        <v>15:30</v>
      </c>
      <c r="Q691" s="318">
        <f t="shared" si="664"/>
        <v>46118.41667</v>
      </c>
      <c r="R691" s="318">
        <f t="shared" si="665"/>
        <v>46118.54167</v>
      </c>
      <c r="S691" s="318">
        <f t="shared" si="8"/>
        <v>46118.64583</v>
      </c>
    </row>
    <row r="692">
      <c r="A692" s="14" t="str">
        <f t="shared" si="1"/>
        <v>C153746118</v>
      </c>
      <c r="B692" s="185">
        <f t="array" ref="B692">IF(F692="VL","",IF(F692="Free","Free",XLOOKUP(D692,Roster!T:T,Roster!S:S,"",0)))</f>
        <v>135</v>
      </c>
      <c r="C692" s="313">
        <v>46118.0</v>
      </c>
      <c r="D692" s="314" t="s">
        <v>82</v>
      </c>
      <c r="E692" s="307" t="str">
        <f t="array" ref="E692">(XLOOKUP(D692,Roster!F:F,Roster!B:B,"",0))</f>
        <v>William Florez</v>
      </c>
      <c r="F692" s="315" t="str">
        <f t="array" ref="F692">IF(B692=100,"Free",TEXT(XLOOKUP($D692,OperationVoice!$A:$A,OperationVoice!L:L,XLOOKUP($D692,OperationTickets!$A:$A,OperationTickets!L:L,"",0)),"hh:mm"))</f>
        <v>09:00</v>
      </c>
      <c r="G692" s="309">
        <f t="shared" si="3"/>
        <v>0.75</v>
      </c>
      <c r="H692" s="316" t="str">
        <f t="array" ref="H692">XLOOKUP(B692,Roster!L:L,Roster!N:N,XLOOKUP(D692,TicketsBreak!A:A,TicketsBreak!E:E,"",0),0)</f>
        <v>11:15 - 11:30</v>
      </c>
      <c r="I692" s="316" t="str">
        <f t="array" ref="I692">XLOOKUP(B692,Roster!L:L,Roster!O:O,XLOOKUP(D692,TicketsBreak!A:A,TicketsBreak!F:F,"",0),0)</f>
        <v>14:15 - 14:45</v>
      </c>
      <c r="J692" s="316" t="str">
        <f t="array" ref="J692">XLOOKUP(B692,Roster!L:L,Roster!P:P,XLOOKUP(D692,TicketsBreak!A:A,TicketsBreak!G:G,"",0),0)</f>
        <v>16:15 - 16:30</v>
      </c>
      <c r="K692" s="310">
        <f t="shared" si="4"/>
        <v>46118</v>
      </c>
      <c r="L692" s="317">
        <f t="array" ref="L692">(XLOOKUP(D692,Roster!F:F,Roster!D:D,"",0))</f>
        <v>36</v>
      </c>
      <c r="M692" s="317" t="str">
        <f t="array" ref="M692">XLOOKUP(D692,Roster!F:F,Roster!E:E)</f>
        <v>Voice</v>
      </c>
      <c r="N692" s="317" t="str">
        <f t="shared" ref="N692:P692" si="705">LEFT(H692,5)</f>
        <v>11:15</v>
      </c>
      <c r="O692" s="317" t="str">
        <f t="shared" si="705"/>
        <v>14:15</v>
      </c>
      <c r="P692" s="317" t="str">
        <f t="shared" si="705"/>
        <v>16:15</v>
      </c>
      <c r="Q692" s="318">
        <f t="shared" si="664"/>
        <v>46118.46875</v>
      </c>
      <c r="R692" s="318">
        <f t="shared" si="665"/>
        <v>46118.59375</v>
      </c>
      <c r="S692" s="318">
        <f t="shared" si="8"/>
        <v>46118.67708</v>
      </c>
    </row>
    <row r="693">
      <c r="A693" s="14" t="str">
        <f t="shared" si="1"/>
        <v>C135346118</v>
      </c>
      <c r="B693" s="185">
        <f t="array" ref="B693">IF(F693="VL","",IF(F693="Free","Free",XLOOKUP(D693,Roster!T:T,Roster!S:S,"",0)))</f>
        <v>121</v>
      </c>
      <c r="C693" s="313">
        <v>46118.0</v>
      </c>
      <c r="D693" s="314" t="s">
        <v>83</v>
      </c>
      <c r="E693" s="307" t="str">
        <f t="array" ref="E693">(XLOOKUP(D693,Roster!F:F,Roster!B:B,"",0))</f>
        <v>Wilson Martinez</v>
      </c>
      <c r="F693" s="315" t="str">
        <f t="array" ref="F693">IF(B693=100,"Free",TEXT(XLOOKUP($D693,OperationVoice!$A:$A,OperationVoice!L:L,XLOOKUP($D693,OperationTickets!$A:$A,OperationTickets!L:L,"",0)),"hh:mm"))</f>
        <v>08:00</v>
      </c>
      <c r="G693" s="309">
        <f t="shared" si="3"/>
        <v>0.7083333333</v>
      </c>
      <c r="H693" s="316" t="str">
        <f t="array" ref="H693">XLOOKUP(B693,Roster!L:L,Roster!N:N,XLOOKUP(D693,TicketsBreak!A:A,TicketsBreak!E:E,"",0),0)</f>
        <v>09:15 - 09:30</v>
      </c>
      <c r="I693" s="316" t="str">
        <f t="array" ref="I693">XLOOKUP(B693,Roster!L:L,Roster!O:O,XLOOKUP(D693,TicketsBreak!A:A,TicketsBreak!F:F,"",0),0)</f>
        <v>11:30 - 12:00</v>
      </c>
      <c r="J693" s="316" t="str">
        <f t="array" ref="J693">XLOOKUP(B693,Roster!L:L,Roster!P:P,XLOOKUP(D693,TicketsBreak!A:A,TicketsBreak!G:G,"",0),0)</f>
        <v>14:30 - 14:45</v>
      </c>
      <c r="K693" s="310">
        <f t="shared" si="4"/>
        <v>46118</v>
      </c>
      <c r="L693" s="317">
        <f t="array" ref="L693">(XLOOKUP(D693,Roster!F:F,Roster!D:D,"",0))</f>
        <v>30</v>
      </c>
      <c r="M693" s="317" t="str">
        <f t="array" ref="M693">XLOOKUP(D693,Roster!F:F,Roster!E:E)</f>
        <v>Voice</v>
      </c>
      <c r="N693" s="317" t="str">
        <f t="shared" ref="N693:P693" si="706">LEFT(H693,5)</f>
        <v>09:15</v>
      </c>
      <c r="O693" s="317" t="str">
        <f t="shared" si="706"/>
        <v>11:30</v>
      </c>
      <c r="P693" s="317" t="str">
        <f t="shared" si="706"/>
        <v>14:30</v>
      </c>
      <c r="Q693" s="318">
        <f t="shared" si="664"/>
        <v>46118.38542</v>
      </c>
      <c r="R693" s="318">
        <f t="shared" si="665"/>
        <v>46118.47917</v>
      </c>
      <c r="S693" s="318">
        <f t="shared" si="8"/>
        <v>46118.60417</v>
      </c>
    </row>
    <row r="694">
      <c r="A694" s="14" t="str">
        <f t="shared" si="1"/>
        <v>C117346118</v>
      </c>
      <c r="B694" s="185">
        <f t="array" ref="B694">IF(F694="VL","",IF(F694="Free","Free",XLOOKUP(D694,Roster!T:T,Roster!S:S,"",0)))</f>
        <v>122</v>
      </c>
      <c r="C694" s="313">
        <v>46118.0</v>
      </c>
      <c r="D694" s="314" t="s">
        <v>84</v>
      </c>
      <c r="E694" s="307" t="str">
        <f t="array" ref="E694">(XLOOKUP(D694,Roster!F:F,Roster!B:B,"",0))</f>
        <v>Yaidy Mosquera</v>
      </c>
      <c r="F694" s="315" t="str">
        <f t="array" ref="F694">IF(B694=100,"Free",TEXT(XLOOKUP($D694,OperationVoice!$A:$A,OperationVoice!L:L,XLOOKUP($D694,OperationTickets!$A:$A,OperationTickets!L:L,"",0)),"hh:mm"))</f>
        <v>08:00</v>
      </c>
      <c r="G694" s="309">
        <f t="shared" si="3"/>
        <v>0.7083333333</v>
      </c>
      <c r="H694" s="316" t="str">
        <f t="array" ref="H694">XLOOKUP(B694,Roster!L:L,Roster!N:N,XLOOKUP(D694,TicketsBreak!A:A,TicketsBreak!E:E,"",0),0)</f>
        <v>09:30 - 09:45</v>
      </c>
      <c r="I694" s="316" t="str">
        <f t="array" ref="I694">XLOOKUP(B694,Roster!L:L,Roster!O:O,XLOOKUP(D694,TicketsBreak!A:A,TicketsBreak!F:F,"",0),0)</f>
        <v>12:00 - 12:30</v>
      </c>
      <c r="J694" s="316" t="str">
        <f t="array" ref="J694">XLOOKUP(B694,Roster!L:L,Roster!P:P,XLOOKUP(D694,TicketsBreak!A:A,TicketsBreak!G:G,"",0),0)</f>
        <v>14:45 - 15:00</v>
      </c>
      <c r="K694" s="310">
        <f t="shared" si="4"/>
        <v>46118</v>
      </c>
      <c r="L694" s="317">
        <f t="array" ref="L694">(XLOOKUP(D694,Roster!F:F,Roster!D:D,"",0))</f>
        <v>24</v>
      </c>
      <c r="M694" s="317" t="str">
        <f t="array" ref="M694">XLOOKUP(D694,Roster!F:F,Roster!E:E)</f>
        <v>Voice</v>
      </c>
      <c r="N694" s="317" t="str">
        <f t="shared" ref="N694:P694" si="707">LEFT(H694,5)</f>
        <v>09:30</v>
      </c>
      <c r="O694" s="317" t="str">
        <f t="shared" si="707"/>
        <v>12:00</v>
      </c>
      <c r="P694" s="317" t="str">
        <f t="shared" si="707"/>
        <v>14:45</v>
      </c>
      <c r="Q694" s="318">
        <f t="shared" si="664"/>
        <v>46118.39583</v>
      </c>
      <c r="R694" s="318">
        <f t="shared" si="665"/>
        <v>46118.5</v>
      </c>
      <c r="S694" s="318">
        <f t="shared" si="8"/>
        <v>46118.61458</v>
      </c>
    </row>
    <row r="695">
      <c r="A695" s="14" t="str">
        <f t="shared" si="1"/>
        <v>C110846118</v>
      </c>
      <c r="B695" s="185" t="str">
        <f t="array" ref="B695">IF(F695="VL","",IF(F695="Free","Free",XLOOKUP(D695,Roster!T:T,Roster!S:S,"",0)))</f>
        <v/>
      </c>
      <c r="C695" s="313">
        <v>46118.0</v>
      </c>
      <c r="D695" s="314" t="s">
        <v>187</v>
      </c>
      <c r="E695" s="307" t="str">
        <f t="array" ref="E695">(XLOOKUP(D695,Roster!F:F,Roster!B:B,"",0))</f>
        <v>Yeiner Tapias</v>
      </c>
      <c r="F695" s="315" t="str">
        <f t="array" ref="F695">IF(B695=100,"Free",TEXT(XLOOKUP($D695,OperationVoice!$A:$A,OperationVoice!L:L,XLOOKUP($D695,OperationTickets!$A:$A,OperationTickets!L:L,"",0)),"hh:mm"))</f>
        <v>08:00</v>
      </c>
      <c r="G695" s="309">
        <f t="shared" si="3"/>
        <v>0.7083333333</v>
      </c>
      <c r="H695" s="316">
        <f t="array" ref="H695">XLOOKUP(B695,Roster!L:L,Roster!N:N,XLOOKUP(D695,TicketsBreak!A:A,TicketsBreak!E:E,"",0),0)</f>
        <v>0.3958333333</v>
      </c>
      <c r="I695" s="316">
        <f t="array" ref="I695">XLOOKUP(B695,Roster!L:L,Roster!O:O,XLOOKUP(D695,TicketsBreak!A:A,TicketsBreak!F:F,"",0),0)</f>
        <v>0.5208333333</v>
      </c>
      <c r="J695" s="316">
        <f t="array" ref="J695">XLOOKUP(B695,Roster!L:L,Roster!P:P,XLOOKUP(D695,TicketsBreak!A:A,TicketsBreak!G:G,"",0),0)</f>
        <v>0.6145833333</v>
      </c>
      <c r="K695" s="310">
        <f t="shared" si="4"/>
        <v>46118</v>
      </c>
      <c r="L695" s="317">
        <f t="array" ref="L695">(XLOOKUP(D695,Roster!F:F,Roster!D:D,"",0))</f>
        <v>20</v>
      </c>
      <c r="M695" s="317" t="str">
        <f t="array" ref="M695">XLOOKUP(D695,Roster!F:F,Roster!E:E)</f>
        <v>Tickets</v>
      </c>
      <c r="N695" s="317" t="str">
        <f t="shared" ref="N695:P695" si="708">LEFT(H695,5)</f>
        <v>09:30</v>
      </c>
      <c r="O695" s="317" t="str">
        <f t="shared" si="708"/>
        <v>12:30</v>
      </c>
      <c r="P695" s="317" t="str">
        <f t="shared" si="708"/>
        <v>14:45</v>
      </c>
      <c r="Q695" s="318">
        <f t="shared" si="664"/>
        <v>46118.39583</v>
      </c>
      <c r="R695" s="318">
        <f t="shared" si="665"/>
        <v>46118.52083</v>
      </c>
      <c r="S695" s="318">
        <f t="shared" si="8"/>
        <v>46118.61458</v>
      </c>
    </row>
    <row r="696">
      <c r="A696" s="14" t="str">
        <f t="shared" si="1"/>
        <v>C153946118</v>
      </c>
      <c r="B696" s="185">
        <f t="array" ref="B696">IF(F696="VL","",IF(F696="Free","Free",XLOOKUP(D696,Roster!T:T,Roster!S:S,"",0)))</f>
        <v>123</v>
      </c>
      <c r="C696" s="313">
        <v>46118.0</v>
      </c>
      <c r="D696" s="314" t="s">
        <v>85</v>
      </c>
      <c r="E696" s="307" t="str">
        <f t="array" ref="E696">(XLOOKUP(D696,Roster!F:F,Roster!B:B,"",0))</f>
        <v>Yovanny Ceballos</v>
      </c>
      <c r="F696" s="315" t="str">
        <f t="array" ref="F696">IF(B696=100,"Free",TEXT(XLOOKUP($D696,OperationVoice!$A:$A,OperationVoice!L:L,XLOOKUP($D696,OperationTickets!$A:$A,OperationTickets!L:L,"",0)),"hh:mm"))</f>
        <v/>
      </c>
      <c r="G696" s="309" t="str">
        <f t="shared" si="3"/>
        <v/>
      </c>
      <c r="H696" s="316" t="str">
        <f t="array" ref="H696">XLOOKUP(B696,Roster!L:L,Roster!N:N,XLOOKUP(D696,TicketsBreak!A:A,TicketsBreak!E:E,"",0),0)</f>
        <v>09:45 - 10:00 </v>
      </c>
      <c r="I696" s="316" t="str">
        <f t="array" ref="I696">XLOOKUP(B696,Roster!L:L,Roster!O:O,XLOOKUP(D696,TicketsBreak!A:A,TicketsBreak!F:F,"",0),0)</f>
        <v>12:30 - 13:00</v>
      </c>
      <c r="J696" s="316" t="str">
        <f t="array" ref="J696">XLOOKUP(B696,Roster!L:L,Roster!P:P,XLOOKUP(D696,TicketsBreak!A:A,TicketsBreak!G:G,"",0),0)</f>
        <v>15:00 - 15:15</v>
      </c>
      <c r="K696" s="310">
        <f t="shared" si="4"/>
        <v>46118</v>
      </c>
      <c r="L696" s="317">
        <f t="array" ref="L696">(XLOOKUP(D696,Roster!F:F,Roster!D:D,"",0))</f>
        <v>36</v>
      </c>
      <c r="M696" s="317" t="str">
        <f t="array" ref="M696">XLOOKUP(D696,Roster!F:F,Roster!E:E)</f>
        <v>Voice</v>
      </c>
      <c r="N696" s="317" t="str">
        <f t="shared" ref="N696:P696" si="709">LEFT(H696,5)</f>
        <v>09:45</v>
      </c>
      <c r="O696" s="317" t="str">
        <f t="shared" si="709"/>
        <v>12:30</v>
      </c>
      <c r="P696" s="317" t="str">
        <f t="shared" si="709"/>
        <v>15:00</v>
      </c>
      <c r="Q696" s="318">
        <f t="shared" si="664"/>
        <v>46118.40625</v>
      </c>
      <c r="R696" s="318">
        <f t="shared" si="665"/>
        <v>46118.52083</v>
      </c>
      <c r="S696" s="318">
        <f t="shared" si="8"/>
        <v>46118.625</v>
      </c>
    </row>
    <row r="697">
      <c r="A697" s="14" t="str">
        <f t="shared" si="1"/>
        <v>46118</v>
      </c>
      <c r="B697" s="185" t="str">
        <f t="array" ref="B697">IF(F697="VL","",IF(F697="Free","Free",XLOOKUP(D697,Roster!T:T,Roster!S:S,"",0)))</f>
        <v/>
      </c>
      <c r="C697" s="313">
        <v>46118.0</v>
      </c>
      <c r="D697" s="314"/>
      <c r="E697" s="307" t="str">
        <f t="array" ref="E697">(XLOOKUP(D697,Roster!F:F,Roster!B:B,"",0))</f>
        <v/>
      </c>
      <c r="F697" s="315" t="str">
        <f t="array" ref="F697">IF(B697=100,"Free",TEXT(XLOOKUP($D697,OperationVoice!$A:$A,OperationVoice!L:L,XLOOKUP($D697,OperationTickets!$A:$A,OperationTickets!L:L,"",0)),"hh:mm"))</f>
        <v/>
      </c>
      <c r="G697" s="309" t="str">
        <f t="shared" si="3"/>
        <v/>
      </c>
      <c r="H697" s="316" t="str">
        <f t="array" ref="H697">XLOOKUP(B697,Roster!L:L,Roster!N:N,XLOOKUP(D697,TicketsBreak!A:A,TicketsBreak!E:E,"",0),0)</f>
        <v/>
      </c>
      <c r="I697" s="316" t="str">
        <f t="array" ref="I697">XLOOKUP(B697,Roster!L:L,Roster!O:O,XLOOKUP(D697,TicketsBreak!A:A,TicketsBreak!F:F,"",0),0)</f>
        <v/>
      </c>
      <c r="J697" s="316" t="str">
        <f t="array" ref="J697">XLOOKUP(B697,Roster!L:L,Roster!P:P,XLOOKUP(D697,TicketsBreak!A:A,TicketsBreak!G:G,"",0),0)</f>
        <v/>
      </c>
      <c r="K697" s="310">
        <f t="shared" si="4"/>
        <v>46118</v>
      </c>
      <c r="L697" s="317" t="str">
        <f t="array" ref="L697">(XLOOKUP(D697,Roster!F:F,Roster!D:D,"",0))</f>
        <v/>
      </c>
      <c r="M697" s="317" t="str">
        <f t="array" ref="M697">XLOOKUP(D697,Roster!F:F,Roster!E:E)</f>
        <v>#N/A</v>
      </c>
      <c r="N697" s="317" t="str">
        <f t="shared" ref="N697:P697" si="710">LEFT(H697,5)</f>
        <v/>
      </c>
      <c r="O697" s="317" t="str">
        <f t="shared" si="710"/>
        <v/>
      </c>
      <c r="P697" s="317" t="str">
        <f t="shared" si="710"/>
        <v/>
      </c>
      <c r="Q697" s="318" t="str">
        <f t="shared" si="664"/>
        <v/>
      </c>
      <c r="R697" s="318" t="str">
        <f t="shared" si="665"/>
        <v/>
      </c>
      <c r="S697" s="318" t="str">
        <f t="shared" si="8"/>
        <v/>
      </c>
    </row>
    <row r="698">
      <c r="A698" s="14" t="str">
        <f t="shared" si="1"/>
        <v>46118</v>
      </c>
      <c r="B698" s="185" t="str">
        <f t="array" ref="B698">IF(F698="VL","",IF(F698="Free","Free",XLOOKUP(D698,Roster!T:T,Roster!S:S,"",0)))</f>
        <v/>
      </c>
      <c r="C698" s="313">
        <v>46118.0</v>
      </c>
      <c r="D698" s="314"/>
      <c r="E698" s="307" t="str">
        <f t="array" ref="E698">(XLOOKUP(D698,Roster!F:F,Roster!B:B,"",0))</f>
        <v/>
      </c>
      <c r="F698" s="315" t="str">
        <f t="array" ref="F698">IF(B698=100,"Free",TEXT(XLOOKUP($D698,OperationVoice!$A:$A,OperationVoice!L:L,XLOOKUP($D698,OperationTickets!$A:$A,OperationTickets!L:L,"",0)),"hh:mm"))</f>
        <v/>
      </c>
      <c r="G698" s="309" t="str">
        <f t="shared" si="3"/>
        <v/>
      </c>
      <c r="H698" s="316" t="str">
        <f t="array" ref="H698">XLOOKUP(B698,Roster!L:L,Roster!N:N,XLOOKUP(D698,TicketsBreak!A:A,TicketsBreak!E:E,"",0),0)</f>
        <v/>
      </c>
      <c r="I698" s="316" t="str">
        <f t="array" ref="I698">XLOOKUP(B698,Roster!L:L,Roster!O:O,XLOOKUP(D698,TicketsBreak!A:A,TicketsBreak!F:F,"",0),0)</f>
        <v/>
      </c>
      <c r="J698" s="316" t="str">
        <f t="array" ref="J698">XLOOKUP(B698,Roster!L:L,Roster!P:P,XLOOKUP(D698,TicketsBreak!A:A,TicketsBreak!G:G,"",0),0)</f>
        <v/>
      </c>
      <c r="K698" s="310">
        <f t="shared" si="4"/>
        <v>46118</v>
      </c>
      <c r="L698" s="317" t="str">
        <f t="array" ref="L698">(XLOOKUP(D698,Roster!F:F,Roster!D:D,"",0))</f>
        <v/>
      </c>
      <c r="M698" s="317" t="str">
        <f t="array" ref="M698">XLOOKUP(D698,Roster!F:F,Roster!E:E)</f>
        <v>#N/A</v>
      </c>
      <c r="N698" s="317" t="str">
        <f t="shared" ref="N698:P698" si="711">LEFT(H698,5)</f>
        <v/>
      </c>
      <c r="O698" s="317" t="str">
        <f t="shared" si="711"/>
        <v/>
      </c>
      <c r="P698" s="317" t="str">
        <f t="shared" si="711"/>
        <v/>
      </c>
      <c r="Q698" s="318" t="str">
        <f t="shared" si="664"/>
        <v/>
      </c>
      <c r="R698" s="318" t="str">
        <f t="shared" si="665"/>
        <v/>
      </c>
      <c r="S698" s="318" t="str">
        <f t="shared" si="8"/>
        <v/>
      </c>
    </row>
    <row r="699">
      <c r="A699" s="14" t="str">
        <f t="shared" si="1"/>
        <v>46118</v>
      </c>
      <c r="B699" s="185" t="str">
        <f t="array" ref="B699">IF(F699="VL","",IF(F699="Free","Free",XLOOKUP(D699,Roster!T:T,Roster!S:S,"",0)))</f>
        <v/>
      </c>
      <c r="C699" s="313">
        <v>46118.0</v>
      </c>
      <c r="D699" s="314"/>
      <c r="E699" s="307" t="str">
        <f t="array" ref="E699">(XLOOKUP(D699,Roster!F:F,Roster!B:B,"",0))</f>
        <v/>
      </c>
      <c r="F699" s="315" t="str">
        <f t="array" ref="F699">IF(B699=100,"Free",TEXT(XLOOKUP($D699,OperationVoice!$A:$A,OperationVoice!L:L,XLOOKUP($D699,OperationTickets!$A:$A,OperationTickets!L:L,"",0)),"hh:mm"))</f>
        <v/>
      </c>
      <c r="G699" s="309" t="str">
        <f t="shared" si="3"/>
        <v/>
      </c>
      <c r="H699" s="316" t="str">
        <f t="array" ref="H699">XLOOKUP(B699,Roster!L:L,Roster!N:N,XLOOKUP(D699,TicketsBreak!A:A,TicketsBreak!E:E,"",0),0)</f>
        <v/>
      </c>
      <c r="I699" s="316" t="str">
        <f t="array" ref="I699">XLOOKUP(B699,Roster!L:L,Roster!O:O,XLOOKUP(D699,TicketsBreak!A:A,TicketsBreak!F:F,"",0),0)</f>
        <v/>
      </c>
      <c r="J699" s="316" t="str">
        <f t="array" ref="J699">XLOOKUP(B699,Roster!L:L,Roster!P:P,XLOOKUP(D699,TicketsBreak!A:A,TicketsBreak!G:G,"",0),0)</f>
        <v/>
      </c>
      <c r="K699" s="310">
        <f t="shared" si="4"/>
        <v>46118</v>
      </c>
      <c r="L699" s="317" t="str">
        <f t="array" ref="L699">(XLOOKUP(D699,Roster!F:F,Roster!D:D,"",0))</f>
        <v/>
      </c>
      <c r="M699" s="317" t="str">
        <f t="array" ref="M699">XLOOKUP(D699,Roster!F:F,Roster!E:E)</f>
        <v>#N/A</v>
      </c>
      <c r="N699" s="317" t="str">
        <f t="shared" ref="N699:P699" si="712">LEFT(H699,5)</f>
        <v/>
      </c>
      <c r="O699" s="317" t="str">
        <f t="shared" si="712"/>
        <v/>
      </c>
      <c r="P699" s="317" t="str">
        <f t="shared" si="712"/>
        <v/>
      </c>
      <c r="Q699" s="318" t="str">
        <f t="shared" si="664"/>
        <v/>
      </c>
      <c r="R699" s="318" t="str">
        <f t="shared" si="665"/>
        <v/>
      </c>
      <c r="S699" s="318" t="str">
        <f t="shared" si="8"/>
        <v/>
      </c>
    </row>
    <row r="700">
      <c r="A700" s="14" t="str">
        <f t="shared" si="1"/>
        <v>46118</v>
      </c>
      <c r="B700" s="185" t="str">
        <f t="array" ref="B700">IF(F700="VL","",IF(F700="Free","Free",XLOOKUP(D700,Roster!T:T,Roster!S:S,"",0)))</f>
        <v/>
      </c>
      <c r="C700" s="313">
        <v>46118.0</v>
      </c>
      <c r="D700" s="314"/>
      <c r="E700" s="307" t="str">
        <f t="array" ref="E700">(XLOOKUP(D700,Roster!F:F,Roster!B:B,"",0))</f>
        <v/>
      </c>
      <c r="F700" s="315" t="str">
        <f t="array" ref="F700">IF(B700=100,"Free",TEXT(XLOOKUP($D700,OperationVoice!$A:$A,OperationVoice!L:L,XLOOKUP($D700,OperationTickets!$A:$A,OperationTickets!L:L,"",0)),"hh:mm"))</f>
        <v/>
      </c>
      <c r="G700" s="309" t="str">
        <f t="shared" si="3"/>
        <v/>
      </c>
      <c r="H700" s="316" t="str">
        <f t="array" ref="H700">XLOOKUP(B700,Roster!L:L,Roster!N:N,XLOOKUP(D700,TicketsBreak!A:A,TicketsBreak!E:E,"",0),0)</f>
        <v/>
      </c>
      <c r="I700" s="316" t="str">
        <f t="array" ref="I700">XLOOKUP(B700,Roster!L:L,Roster!O:O,XLOOKUP(D700,TicketsBreak!A:A,TicketsBreak!F:F,"",0),0)</f>
        <v/>
      </c>
      <c r="J700" s="316" t="str">
        <f t="array" ref="J700">XLOOKUP(B700,Roster!L:L,Roster!P:P,XLOOKUP(D700,TicketsBreak!A:A,TicketsBreak!G:G,"",0),0)</f>
        <v/>
      </c>
      <c r="K700" s="310">
        <f t="shared" si="4"/>
        <v>46118</v>
      </c>
      <c r="L700" s="317" t="str">
        <f t="array" ref="L700">(XLOOKUP(D700,Roster!F:F,Roster!D:D,"",0))</f>
        <v/>
      </c>
      <c r="M700" s="317" t="str">
        <f t="array" ref="M700">XLOOKUP(D700,Roster!F:F,Roster!E:E)</f>
        <v>#N/A</v>
      </c>
      <c r="N700" s="317" t="str">
        <f t="shared" ref="N700:P700" si="713">LEFT(H700,5)</f>
        <v/>
      </c>
      <c r="O700" s="317" t="str">
        <f t="shared" si="713"/>
        <v/>
      </c>
      <c r="P700" s="317" t="str">
        <f t="shared" si="713"/>
        <v/>
      </c>
      <c r="Q700" s="318" t="str">
        <f t="shared" si="664"/>
        <v/>
      </c>
      <c r="R700" s="318" t="str">
        <f t="shared" si="665"/>
        <v/>
      </c>
      <c r="S700" s="318" t="str">
        <f t="shared" si="8"/>
        <v/>
      </c>
    </row>
    <row r="701">
      <c r="A701" s="14" t="str">
        <f t="shared" si="1"/>
        <v>46118</v>
      </c>
      <c r="B701" s="185" t="str">
        <f t="array" ref="B701">IF(F701="VL","",IF(F701="Free","Free",XLOOKUP(D701,Roster!T:T,Roster!S:S,"",0)))</f>
        <v/>
      </c>
      <c r="C701" s="313">
        <v>46118.0</v>
      </c>
      <c r="D701" s="314"/>
      <c r="E701" s="307" t="str">
        <f t="array" ref="E701">(XLOOKUP(D701,Roster!F:F,Roster!B:B,"",0))</f>
        <v/>
      </c>
      <c r="F701" s="315" t="str">
        <f t="array" ref="F701">IF(B701=100,"Free",TEXT(XLOOKUP($D701,OperationVoice!$A:$A,OperationVoice!L:L,XLOOKUP($D701,OperationTickets!$A:$A,OperationTickets!L:L,"",0)),"hh:mm"))</f>
        <v/>
      </c>
      <c r="G701" s="309" t="str">
        <f t="shared" si="3"/>
        <v/>
      </c>
      <c r="H701" s="316" t="str">
        <f t="array" ref="H701">XLOOKUP(B701,Roster!L:L,Roster!N:N,XLOOKUP(D701,TicketsBreak!A:A,TicketsBreak!E:E,"",0),0)</f>
        <v/>
      </c>
      <c r="I701" s="316" t="str">
        <f t="array" ref="I701">XLOOKUP(B701,Roster!L:L,Roster!O:O,XLOOKUP(D701,TicketsBreak!A:A,TicketsBreak!F:F,"",0),0)</f>
        <v/>
      </c>
      <c r="J701" s="316" t="str">
        <f t="array" ref="J701">XLOOKUP(B701,Roster!L:L,Roster!P:P,XLOOKUP(D701,TicketsBreak!A:A,TicketsBreak!G:G,"",0),0)</f>
        <v/>
      </c>
      <c r="K701" s="310">
        <f t="shared" si="4"/>
        <v>46118</v>
      </c>
      <c r="L701" s="317" t="str">
        <f t="array" ref="L701">(XLOOKUP(D701,Roster!F:F,Roster!D:D,"",0))</f>
        <v/>
      </c>
      <c r="M701" s="317" t="str">
        <f t="array" ref="M701">XLOOKUP(D701,Roster!F:F,Roster!E:E)</f>
        <v>#N/A</v>
      </c>
      <c r="N701" s="317" t="str">
        <f t="shared" ref="N701:P701" si="714">LEFT(H701,5)</f>
        <v/>
      </c>
      <c r="O701" s="317" t="str">
        <f t="shared" si="714"/>
        <v/>
      </c>
      <c r="P701" s="317" t="str">
        <f t="shared" si="714"/>
        <v/>
      </c>
      <c r="Q701" s="318" t="str">
        <f t="shared" si="664"/>
        <v/>
      </c>
      <c r="R701" s="318" t="str">
        <f t="shared" si="665"/>
        <v/>
      </c>
      <c r="S701" s="318" t="str">
        <f t="shared" si="8"/>
        <v/>
      </c>
    </row>
    <row r="702">
      <c r="A702" s="14" t="str">
        <f t="shared" si="1"/>
        <v>C81846119</v>
      </c>
      <c r="B702" s="185">
        <f t="array" ref="B702">IF(F702="VL","",IF(F702="Free","Free",XLOOKUP(D702,Roster!T:T,Roster!S:S,"",0)))</f>
        <v>123</v>
      </c>
      <c r="C702" s="313">
        <v>46119.0</v>
      </c>
      <c r="D702" s="314" t="s">
        <v>9</v>
      </c>
      <c r="E702" s="307" t="str">
        <f t="array" ref="E702">(XLOOKUP(D702,Roster!F:F,Roster!B:B,"",0))</f>
        <v>Adriana Moncaleano</v>
      </c>
      <c r="F702" s="315" t="str">
        <f t="array" ref="F702">IF(B702=100,"Free",TEXT(XLOOKUP($D702,OperationVoice!$A:$A,OperationVoice!M:M,XLOOKUP($D702,OperationTickets!$A:$A,OperationTickets!M:M,"",0)),"hh:mm"))</f>
        <v>08:00</v>
      </c>
      <c r="G702" s="309">
        <f t="shared" si="3"/>
        <v>0.7083333333</v>
      </c>
      <c r="H702" s="316" t="str">
        <f t="array" ref="H702">XLOOKUP(B702,Roster!L:L,Roster!N:N,XLOOKUP(D702,TicketsBreak!A:A,TicketsBreak!E:E,"",0),0)</f>
        <v>09:45 - 10:00 </v>
      </c>
      <c r="I702" s="316" t="str">
        <f t="array" ref="I702">XLOOKUP(B702,Roster!L:L,Roster!O:O,XLOOKUP(D702,TicketsBreak!A:A,TicketsBreak!F:F,"",0),0)</f>
        <v>12:30 - 13:00</v>
      </c>
      <c r="J702" s="316" t="str">
        <f t="array" ref="J702">XLOOKUP(B702,Roster!L:L,Roster!P:P,XLOOKUP(D702,TicketsBreak!A:A,TicketsBreak!G:G,"",0),0)</f>
        <v>15:00 - 15:15</v>
      </c>
      <c r="K702" s="310">
        <f t="shared" si="4"/>
        <v>46119</v>
      </c>
      <c r="L702" s="317">
        <f t="array" ref="L702">(XLOOKUP(D702,Roster!F:F,Roster!D:D,"",0))</f>
        <v>23</v>
      </c>
      <c r="M702" s="317" t="str">
        <f t="array" ref="M702">XLOOKUP(D702,Roster!F:F,Roster!E:E)</f>
        <v>Voice</v>
      </c>
      <c r="N702" s="317" t="str">
        <f t="shared" ref="N702:P702" si="715">LEFT(H702,5)</f>
        <v>09:45</v>
      </c>
      <c r="O702" s="317" t="str">
        <f t="shared" si="715"/>
        <v>12:30</v>
      </c>
      <c r="P702" s="317" t="str">
        <f t="shared" si="715"/>
        <v>15:00</v>
      </c>
      <c r="Q702" s="318">
        <f t="shared" si="664"/>
        <v>46119.40625</v>
      </c>
      <c r="R702" s="318">
        <f t="shared" si="665"/>
        <v>46119.52083</v>
      </c>
      <c r="S702" s="318">
        <f t="shared" si="8"/>
        <v>46119.625</v>
      </c>
    </row>
    <row r="703">
      <c r="A703" s="14" t="str">
        <f t="shared" si="1"/>
        <v>C110746119</v>
      </c>
      <c r="B703" s="185">
        <f t="array" ref="B703">IF(F703="VL","",IF(F703="Free","Free",XLOOKUP(D703,Roster!T:T,Roster!S:S,"",0)))</f>
        <v>153</v>
      </c>
      <c r="C703" s="313">
        <v>46119.0</v>
      </c>
      <c r="D703" s="314" t="s">
        <v>10</v>
      </c>
      <c r="E703" s="307" t="str">
        <f t="array" ref="E703">(XLOOKUP(D703,Roster!F:F,Roster!B:B,"",0))</f>
        <v>Alejandro Malave</v>
      </c>
      <c r="F703" s="315" t="str">
        <f t="array" ref="F703">IF(B703=100,"Free",TEXT(XLOOKUP($D703,OperationVoice!$A:$A,OperationVoice!M:M,XLOOKUP($D703,OperationTickets!$A:$A,OperationTickets!M:M,"",0)),"hh:mm"))</f>
        <v>11:00</v>
      </c>
      <c r="G703" s="309">
        <f t="shared" si="3"/>
        <v>0.8333333333</v>
      </c>
      <c r="H703" s="316" t="str">
        <f t="array" ref="H703">XLOOKUP(B703,Roster!L:L,Roster!N:N,XLOOKUP(D703,TicketsBreak!A:A,TicketsBreak!E:E,"",0),0)</f>
        <v>12:45 - 13:00</v>
      </c>
      <c r="I703" s="316" t="str">
        <f t="array" ref="I703">XLOOKUP(B703,Roster!L:L,Roster!O:O,XLOOKUP(D703,TicketsBreak!A:A,TicketsBreak!F:F,"",0),0)</f>
        <v>15:00 - 15:30</v>
      </c>
      <c r="J703" s="316" t="str">
        <f t="array" ref="J703">XLOOKUP(B703,Roster!L:L,Roster!P:P,XLOOKUP(D703,TicketsBreak!A:A,TicketsBreak!G:G,"",0),0)</f>
        <v>17:45 - 18:00</v>
      </c>
      <c r="K703" s="310">
        <f t="shared" si="4"/>
        <v>46119</v>
      </c>
      <c r="L703" s="317">
        <f t="array" ref="L703">(XLOOKUP(D703,Roster!F:F,Roster!D:D,"",0))</f>
        <v>36</v>
      </c>
      <c r="M703" s="317" t="str">
        <f t="array" ref="M703">XLOOKUP(D703,Roster!F:F,Roster!E:E)</f>
        <v>Voice</v>
      </c>
      <c r="N703" s="317" t="str">
        <f t="shared" ref="N703:P703" si="716">LEFT(H703,5)</f>
        <v>12:45</v>
      </c>
      <c r="O703" s="317" t="str">
        <f t="shared" si="716"/>
        <v>15:00</v>
      </c>
      <c r="P703" s="317" t="str">
        <f t="shared" si="716"/>
        <v>17:45</v>
      </c>
      <c r="Q703" s="318">
        <f t="shared" si="664"/>
        <v>46119.53125</v>
      </c>
      <c r="R703" s="318">
        <f t="shared" si="665"/>
        <v>46119.625</v>
      </c>
      <c r="S703" s="318">
        <f t="shared" si="8"/>
        <v>46119.73958</v>
      </c>
    </row>
    <row r="704">
      <c r="A704" s="14" t="str">
        <f t="shared" si="1"/>
        <v>C69946119</v>
      </c>
      <c r="B704" s="185" t="str">
        <f t="array" ref="B704">IF(F704="VL","",IF(F704="Free","Free",XLOOKUP(D704,Roster!T:T,Roster!S:S,"",0)))</f>
        <v/>
      </c>
      <c r="C704" s="313">
        <v>46119.0</v>
      </c>
      <c r="D704" s="314" t="s">
        <v>137</v>
      </c>
      <c r="E704" s="307" t="str">
        <f t="array" ref="E704">(XLOOKUP(D704,Roster!F:F,Roster!B:B,"",0))</f>
        <v>Alexa Arenas</v>
      </c>
      <c r="F704" s="315" t="str">
        <f t="array" ref="F704">IF(B704=100,"Free",TEXT(XLOOKUP($D704,OperationVoice!$A:$A,OperationVoice!M:M,XLOOKUP($D704,OperationTickets!$A:$A,OperationTickets!M:M,"",0)),"hh:mm"))</f>
        <v>08:00</v>
      </c>
      <c r="G704" s="309">
        <f t="shared" si="3"/>
        <v>0.7083333333</v>
      </c>
      <c r="H704" s="316">
        <f t="array" ref="H704">XLOOKUP(B704,Roster!L:L,Roster!N:N,XLOOKUP(D704,TicketsBreak!A:A,TicketsBreak!E:E,"",0),0)</f>
        <v>0.40625</v>
      </c>
      <c r="I704" s="316">
        <f t="array" ref="I704">XLOOKUP(B704,Roster!L:L,Roster!O:O,XLOOKUP(D704,TicketsBreak!A:A,TicketsBreak!F:F,"",0),0)</f>
        <v>0.5</v>
      </c>
      <c r="J704" s="316">
        <f t="array" ref="J704">XLOOKUP(B704,Roster!L:L,Roster!P:P,XLOOKUP(D704,TicketsBreak!A:A,TicketsBreak!G:G,"",0),0)</f>
        <v>0.65625</v>
      </c>
      <c r="K704" s="310">
        <f t="shared" si="4"/>
        <v>46119</v>
      </c>
      <c r="L704" s="317">
        <f t="array" ref="L704">(XLOOKUP(D704,Roster!F:F,Roster!D:D,"",0))</f>
        <v>5</v>
      </c>
      <c r="M704" s="317" t="str">
        <f t="array" ref="M704">XLOOKUP(D704,Roster!F:F,Roster!E:E)</f>
        <v>Tickets</v>
      </c>
      <c r="N704" s="317" t="str">
        <f t="shared" ref="N704:P704" si="717">LEFT(H704,5)</f>
        <v>09:45</v>
      </c>
      <c r="O704" s="317" t="str">
        <f t="shared" si="717"/>
        <v>12:00</v>
      </c>
      <c r="P704" s="317" t="str">
        <f t="shared" si="717"/>
        <v>15:45</v>
      </c>
      <c r="Q704" s="318">
        <f t="shared" si="664"/>
        <v>46119.40625</v>
      </c>
      <c r="R704" s="318">
        <f t="shared" si="665"/>
        <v>46119.5</v>
      </c>
      <c r="S704" s="318">
        <f t="shared" si="8"/>
        <v>46119.65625</v>
      </c>
    </row>
    <row r="705">
      <c r="A705" s="14" t="str">
        <f t="shared" si="1"/>
        <v>C157046119</v>
      </c>
      <c r="B705" s="185">
        <f t="array" ref="B705">IF(F705="VL","",IF(F705="Free","Free",XLOOKUP(D705,Roster!T:T,Roster!S:S,"",0)))</f>
        <v>123</v>
      </c>
      <c r="C705" s="313">
        <v>46119.0</v>
      </c>
      <c r="D705" s="314" t="s">
        <v>11</v>
      </c>
      <c r="E705" s="307" t="str">
        <f t="array" ref="E705">(XLOOKUP(D705,Roster!F:F,Roster!B:B,"",0))</f>
        <v>Alexander Bartoli</v>
      </c>
      <c r="F705" s="315" t="str">
        <f t="array" ref="F705">IF(B705=100,"Free",TEXT(XLOOKUP($D705,OperationVoice!$A:$A,OperationVoice!M:M,XLOOKUP($D705,OperationTickets!$A:$A,OperationTickets!M:M,"",0)),"hh:mm"))</f>
        <v>08:00</v>
      </c>
      <c r="G705" s="309">
        <f t="shared" si="3"/>
        <v>0.7083333333</v>
      </c>
      <c r="H705" s="316" t="str">
        <f t="array" ref="H705">XLOOKUP(B705,Roster!L:L,Roster!N:N,XLOOKUP(D705,TicketsBreak!A:A,TicketsBreak!E:E,"",0),0)</f>
        <v>09:45 - 10:00 </v>
      </c>
      <c r="I705" s="316" t="str">
        <f t="array" ref="I705">XLOOKUP(B705,Roster!L:L,Roster!O:O,XLOOKUP(D705,TicketsBreak!A:A,TicketsBreak!F:F,"",0),0)</f>
        <v>12:30 - 13:00</v>
      </c>
      <c r="J705" s="316" t="str">
        <f t="array" ref="J705">XLOOKUP(B705,Roster!L:L,Roster!P:P,XLOOKUP(D705,TicketsBreak!A:A,TicketsBreak!G:G,"",0),0)</f>
        <v>15:00 - 15:15</v>
      </c>
      <c r="K705" s="310">
        <f t="shared" si="4"/>
        <v>46119</v>
      </c>
      <c r="L705" s="317">
        <f t="array" ref="L705">(XLOOKUP(D705,Roster!F:F,Roster!D:D,"",0))</f>
        <v>38</v>
      </c>
      <c r="M705" s="317" t="str">
        <f t="array" ref="M705">XLOOKUP(D705,Roster!F:F,Roster!E:E)</f>
        <v>Voice</v>
      </c>
      <c r="N705" s="317" t="str">
        <f t="shared" ref="N705:P705" si="718">LEFT(H705,5)</f>
        <v>09:45</v>
      </c>
      <c r="O705" s="317" t="str">
        <f t="shared" si="718"/>
        <v>12:30</v>
      </c>
      <c r="P705" s="317" t="str">
        <f t="shared" si="718"/>
        <v>15:00</v>
      </c>
      <c r="Q705" s="318">
        <f t="shared" si="664"/>
        <v>46119.40625</v>
      </c>
      <c r="R705" s="318">
        <f t="shared" si="665"/>
        <v>46119.52083</v>
      </c>
      <c r="S705" s="318">
        <f t="shared" si="8"/>
        <v>46119.625</v>
      </c>
    </row>
    <row r="706">
      <c r="A706" s="14" t="str">
        <f t="shared" si="1"/>
        <v>C93546119</v>
      </c>
      <c r="B706" s="185" t="str">
        <f t="array" ref="B706">IF(F706="VL","",IF(F706="Free","Free",XLOOKUP(D706,Roster!T:T,Roster!S:S,"",0)))</f>
        <v/>
      </c>
      <c r="C706" s="313">
        <v>46119.0</v>
      </c>
      <c r="D706" s="314" t="s">
        <v>153</v>
      </c>
      <c r="E706" s="307" t="str">
        <f t="array" ref="E706">(XLOOKUP(D706,Roster!F:F,Roster!B:B,"",0))</f>
        <v>Alexis Arias</v>
      </c>
      <c r="F706" s="315" t="str">
        <f t="array" ref="F706">IF(B706=100,"Free",TEXT(XLOOKUP($D706,OperationVoice!$A:$A,OperationVoice!M:M,XLOOKUP($D706,OperationTickets!$A:$A,OperationTickets!M:M,"",0)),"hh:mm"))</f>
        <v>07:30</v>
      </c>
      <c r="G706" s="309">
        <f t="shared" si="3"/>
        <v>0.6875</v>
      </c>
      <c r="H706" s="316">
        <f t="array" ref="H706">XLOOKUP(B706,Roster!L:L,Roster!N:N,XLOOKUP(D706,TicketsBreak!A:A,TicketsBreak!E:E,"",0),0)</f>
        <v>0.4270833333</v>
      </c>
      <c r="I706" s="316">
        <f t="array" ref="I706">XLOOKUP(B706,Roster!L:L,Roster!O:O,XLOOKUP(D706,TicketsBreak!A:A,TicketsBreak!F:F,"",0),0)</f>
        <v>0.53125</v>
      </c>
      <c r="J706" s="316">
        <f t="array" ref="J706">XLOOKUP(B706,Roster!L:L,Roster!P:P,XLOOKUP(D706,TicketsBreak!A:A,TicketsBreak!G:G,"",0),0)</f>
        <v>0.6458333333</v>
      </c>
      <c r="K706" s="310">
        <f t="shared" si="4"/>
        <v>46119</v>
      </c>
      <c r="L706" s="317">
        <f t="array" ref="L706">(XLOOKUP(D706,Roster!F:F,Roster!D:D,"",0))</f>
        <v>12</v>
      </c>
      <c r="M706" s="317" t="str">
        <f t="array" ref="M706">XLOOKUP(D706,Roster!F:F,Roster!E:E)</f>
        <v>Tickets</v>
      </c>
      <c r="N706" s="317" t="str">
        <f t="shared" ref="N706:P706" si="719">LEFT(H706,5)</f>
        <v>10:15</v>
      </c>
      <c r="O706" s="317" t="str">
        <f t="shared" si="719"/>
        <v>12:45</v>
      </c>
      <c r="P706" s="317" t="str">
        <f t="shared" si="719"/>
        <v>15:30</v>
      </c>
      <c r="Q706" s="318">
        <f t="shared" si="664"/>
        <v>46119.42708</v>
      </c>
      <c r="R706" s="318">
        <f t="shared" si="665"/>
        <v>46119.53125</v>
      </c>
      <c r="S706" s="318">
        <f t="shared" si="8"/>
        <v>46119.64583</v>
      </c>
    </row>
    <row r="707">
      <c r="A707" s="14" t="str">
        <f t="shared" si="1"/>
        <v>C72746119</v>
      </c>
      <c r="B707" s="185" t="str">
        <f t="array" ref="B707">IF(F707="VL","",IF(F707="Free","Free",XLOOKUP(D707,Roster!T:T,Roster!S:S,"",0)))</f>
        <v/>
      </c>
      <c r="C707" s="313">
        <v>46119.0</v>
      </c>
      <c r="D707" s="314" t="s">
        <v>154</v>
      </c>
      <c r="E707" s="307" t="str">
        <f t="array" ref="E707">(XLOOKUP(D707,Roster!F:F,Roster!B:B,"",0))</f>
        <v>Ana Moreno</v>
      </c>
      <c r="F707" s="315" t="str">
        <f t="array" ref="F707">IF(B707=100,"Free",TEXT(XLOOKUP($D707,OperationVoice!$A:$A,OperationVoice!M:M,XLOOKUP($D707,OperationTickets!$A:$A,OperationTickets!M:M,"",0)),"hh:mm"))</f>
        <v>VL</v>
      </c>
      <c r="G707" s="309" t="str">
        <f t="shared" si="3"/>
        <v>VL</v>
      </c>
      <c r="H707" s="316">
        <f t="array" ref="H707">XLOOKUP(B707,Roster!L:L,Roster!N:N,XLOOKUP(D707,TicketsBreak!A:A,TicketsBreak!E:E,"",0),0)</f>
        <v>0.4166666667</v>
      </c>
      <c r="I707" s="316">
        <f t="array" ref="I707">XLOOKUP(B707,Roster!L:L,Roster!O:O,XLOOKUP(D707,TicketsBreak!A:A,TicketsBreak!F:F,"",0),0)</f>
        <v>0.5208333333</v>
      </c>
      <c r="J707" s="316">
        <f t="array" ref="J707">XLOOKUP(B707,Roster!L:L,Roster!P:P,XLOOKUP(D707,TicketsBreak!A:A,TicketsBreak!G:G,"",0),0)</f>
        <v>0.65625</v>
      </c>
      <c r="K707" s="310">
        <f t="shared" si="4"/>
        <v>46119</v>
      </c>
      <c r="L707" s="317">
        <f t="array" ref="L707">(XLOOKUP(D707,Roster!F:F,Roster!D:D,"",0))</f>
        <v>7</v>
      </c>
      <c r="M707" s="317" t="str">
        <f t="array" ref="M707">XLOOKUP(D707,Roster!F:F,Roster!E:E)</f>
        <v>Tickets</v>
      </c>
      <c r="N707" s="317" t="str">
        <f t="shared" ref="N707:P707" si="720">LEFT(H707,5)</f>
        <v>10:00</v>
      </c>
      <c r="O707" s="317" t="str">
        <f t="shared" si="720"/>
        <v>12:30</v>
      </c>
      <c r="P707" s="317" t="str">
        <f t="shared" si="720"/>
        <v>15:45</v>
      </c>
      <c r="Q707" s="318">
        <f t="shared" si="664"/>
        <v>46119.41667</v>
      </c>
      <c r="R707" s="318">
        <f t="shared" si="665"/>
        <v>46119.52083</v>
      </c>
      <c r="S707" s="318">
        <f t="shared" si="8"/>
        <v>46119.65625</v>
      </c>
    </row>
    <row r="708">
      <c r="A708" s="14" t="str">
        <f t="shared" si="1"/>
        <v>C157446119</v>
      </c>
      <c r="B708" s="185">
        <f t="array" ref="B708">IF(F708="VL","",IF(F708="Free","Free",XLOOKUP(D708,Roster!T:T,Roster!S:S,"",0)))</f>
        <v>124</v>
      </c>
      <c r="C708" s="313">
        <v>46119.0</v>
      </c>
      <c r="D708" s="314" t="s">
        <v>12</v>
      </c>
      <c r="E708" s="307" t="str">
        <f t="array" ref="E708">(XLOOKUP(D708,Roster!F:F,Roster!B:B,"",0))</f>
        <v>Ana Quintero</v>
      </c>
      <c r="F708" s="315" t="str">
        <f t="array" ref="F708">IF(B708=100,"Free",TEXT(XLOOKUP($D708,OperationVoice!$A:$A,OperationVoice!M:M,XLOOKUP($D708,OperationTickets!$A:$A,OperationTickets!M:M,"",0)),"hh:mm"))</f>
        <v>08:00</v>
      </c>
      <c r="G708" s="309">
        <f t="shared" si="3"/>
        <v>0.7083333333</v>
      </c>
      <c r="H708" s="316" t="str">
        <f t="array" ref="H708">XLOOKUP(B708,Roster!L:L,Roster!N:N,XLOOKUP(D708,TicketsBreak!A:A,TicketsBreak!E:E,"",0),0)</f>
        <v>10:00 - 10:15</v>
      </c>
      <c r="I708" s="316" t="str">
        <f t="array" ref="I708">XLOOKUP(B708,Roster!L:L,Roster!O:O,XLOOKUP(D708,TicketsBreak!A:A,TicketsBreak!F:F,"",0),0)</f>
        <v>13:00 - 13:30</v>
      </c>
      <c r="J708" s="316" t="str">
        <f t="array" ref="J708">XLOOKUP(B708,Roster!L:L,Roster!P:P,XLOOKUP(D708,TicketsBreak!A:A,TicketsBreak!G:G,"",0),0)</f>
        <v>15:30 - 15:45</v>
      </c>
      <c r="K708" s="310">
        <f t="shared" si="4"/>
        <v>46119</v>
      </c>
      <c r="L708" s="317">
        <f t="array" ref="L708">(XLOOKUP(D708,Roster!F:F,Roster!D:D,"",0))</f>
        <v>38</v>
      </c>
      <c r="M708" s="317" t="str">
        <f t="array" ref="M708">XLOOKUP(D708,Roster!F:F,Roster!E:E)</f>
        <v>Voice</v>
      </c>
      <c r="N708" s="317" t="str">
        <f t="shared" ref="N708:P708" si="721">LEFT(H708,5)</f>
        <v>10:00</v>
      </c>
      <c r="O708" s="317" t="str">
        <f t="shared" si="721"/>
        <v>13:00</v>
      </c>
      <c r="P708" s="317" t="str">
        <f t="shared" si="721"/>
        <v>15:30</v>
      </c>
      <c r="Q708" s="318">
        <f t="shared" si="664"/>
        <v>46119.41667</v>
      </c>
      <c r="R708" s="318">
        <f t="shared" si="665"/>
        <v>46119.54167</v>
      </c>
      <c r="S708" s="318">
        <f t="shared" si="8"/>
        <v>46119.64583</v>
      </c>
    </row>
    <row r="709">
      <c r="A709" s="14" t="str">
        <f t="shared" si="1"/>
        <v>C46946119</v>
      </c>
      <c r="B709" s="185" t="str">
        <f t="array" ref="B709">IF(F709="VL","",IF(F709="Free","Free",XLOOKUP(D709,Roster!T:T,Roster!S:S,"",0)))</f>
        <v/>
      </c>
      <c r="C709" s="313">
        <v>46119.0</v>
      </c>
      <c r="D709" s="314" t="s">
        <v>171</v>
      </c>
      <c r="E709" s="307" t="str">
        <f t="array" ref="E709">(XLOOKUP(D709,Roster!F:F,Roster!B:B,"",0))</f>
        <v>Ana Ruiz</v>
      </c>
      <c r="F709" s="315" t="str">
        <f t="array" ref="F709">IF(B709=100,"Free",TEXT(XLOOKUP($D709,OperationVoice!$A:$A,OperationVoice!M:M,XLOOKUP($D709,OperationTickets!$A:$A,OperationTickets!M:M,"",0)),"hh:mm"))</f>
        <v>08:00</v>
      </c>
      <c r="G709" s="309">
        <f t="shared" si="3"/>
        <v>0.7083333333</v>
      </c>
      <c r="H709" s="316">
        <f t="array" ref="H709">XLOOKUP(B709,Roster!L:L,Roster!N:N,XLOOKUP(D709,TicketsBreak!A:A,TicketsBreak!E:E,"",0),0)</f>
        <v>0.3854166667</v>
      </c>
      <c r="I709" s="316">
        <f t="array" ref="I709">XLOOKUP(B709,Roster!L:L,Roster!O:O,XLOOKUP(D709,TicketsBreak!A:A,TicketsBreak!F:F,"",0),0)</f>
        <v>0.5</v>
      </c>
      <c r="J709" s="316">
        <f t="array" ref="J709">XLOOKUP(B709,Roster!L:L,Roster!P:P,XLOOKUP(D709,TicketsBreak!A:A,TicketsBreak!G:G,"",0),0)</f>
        <v>0.6041666667</v>
      </c>
      <c r="K709" s="310">
        <f t="shared" si="4"/>
        <v>46119</v>
      </c>
      <c r="L709" s="317">
        <f t="array" ref="L709">(XLOOKUP(D709,Roster!F:F,Roster!D:D,"",0))</f>
        <v>3</v>
      </c>
      <c r="M709" s="317" t="str">
        <f t="array" ref="M709">XLOOKUP(D709,Roster!F:F,Roster!E:E)</f>
        <v>Tickets</v>
      </c>
      <c r="N709" s="317" t="str">
        <f t="shared" ref="N709:P709" si="722">LEFT(H709,5)</f>
        <v>09:15</v>
      </c>
      <c r="O709" s="317" t="str">
        <f t="shared" si="722"/>
        <v>12:00</v>
      </c>
      <c r="P709" s="317" t="str">
        <f t="shared" si="722"/>
        <v>14:30</v>
      </c>
      <c r="Q709" s="318">
        <f t="shared" si="664"/>
        <v>46119.38542</v>
      </c>
      <c r="R709" s="318">
        <f t="shared" si="665"/>
        <v>46119.5</v>
      </c>
      <c r="S709" s="318">
        <f t="shared" si="8"/>
        <v>46119.60417</v>
      </c>
    </row>
    <row r="710">
      <c r="A710" s="14" t="str">
        <f t="shared" si="1"/>
        <v>C155446119</v>
      </c>
      <c r="B710" s="185">
        <f t="array" ref="B710">IF(F710="VL","",IF(F710="Free","Free",XLOOKUP(D710,Roster!T:T,Roster!S:S,"",0)))</f>
        <v>131</v>
      </c>
      <c r="C710" s="313">
        <v>46119.0</v>
      </c>
      <c r="D710" s="314" t="s">
        <v>13</v>
      </c>
      <c r="E710" s="307" t="str">
        <f t="array" ref="E710">(XLOOKUP(D710,Roster!F:F,Roster!B:B,"",0))</f>
        <v>Andres Lopez</v>
      </c>
      <c r="F710" s="315" t="str">
        <f t="array" ref="F710">IF(B710=100,"Free",TEXT(XLOOKUP($D710,OperationVoice!$A:$A,OperationVoice!M:M,XLOOKUP($D710,OperationTickets!$A:$A,OperationTickets!M:M,"",0)),"hh:mm"))</f>
        <v>09:00</v>
      </c>
      <c r="G710" s="309">
        <f t="shared" si="3"/>
        <v>0.75</v>
      </c>
      <c r="H710" s="316" t="str">
        <f t="array" ref="H710">XLOOKUP(B710,Roster!L:L,Roster!N:N,XLOOKUP(D710,TicketsBreak!A:A,TicketsBreak!E:E,"",0),0)</f>
        <v>10:15 - 10:30</v>
      </c>
      <c r="I710" s="316" t="str">
        <f t="array" ref="I710">XLOOKUP(B710,Roster!L:L,Roster!O:O,XLOOKUP(D710,TicketsBreak!A:A,TicketsBreak!F:F,"",0),0)</f>
        <v>12:30 - 13:00</v>
      </c>
      <c r="J710" s="316" t="str">
        <f t="array" ref="J710">XLOOKUP(B710,Roster!L:L,Roster!P:P,XLOOKUP(D710,TicketsBreak!A:A,TicketsBreak!G:G,"",0),0)</f>
        <v>15:15 - 15:30</v>
      </c>
      <c r="K710" s="310">
        <f t="shared" si="4"/>
        <v>46119</v>
      </c>
      <c r="L710" s="317">
        <f t="array" ref="L710">(XLOOKUP(D710,Roster!F:F,Roster!D:D,"",0))</f>
        <v>37</v>
      </c>
      <c r="M710" s="317" t="str">
        <f t="array" ref="M710">XLOOKUP(D710,Roster!F:F,Roster!E:E)</f>
        <v>Voice</v>
      </c>
      <c r="N710" s="317" t="str">
        <f t="shared" ref="N710:P710" si="723">LEFT(H710,5)</f>
        <v>10:15</v>
      </c>
      <c r="O710" s="317" t="str">
        <f t="shared" si="723"/>
        <v>12:30</v>
      </c>
      <c r="P710" s="317" t="str">
        <f t="shared" si="723"/>
        <v>15:15</v>
      </c>
      <c r="Q710" s="318">
        <f t="shared" si="664"/>
        <v>46119.42708</v>
      </c>
      <c r="R710" s="318">
        <f t="shared" si="665"/>
        <v>46119.52083</v>
      </c>
      <c r="S710" s="318">
        <f t="shared" si="8"/>
        <v>46119.63542</v>
      </c>
    </row>
    <row r="711">
      <c r="A711" s="14" t="str">
        <f t="shared" si="1"/>
        <v>C156746119</v>
      </c>
      <c r="B711" s="185">
        <f t="array" ref="B711">IF(F711="VL","",IF(F711="Free","Free",XLOOKUP(D711,Roster!T:T,Roster!S:S,"",0)))</f>
        <v>125</v>
      </c>
      <c r="C711" s="313">
        <v>46119.0</v>
      </c>
      <c r="D711" s="314" t="s">
        <v>14</v>
      </c>
      <c r="E711" s="307" t="str">
        <f t="array" ref="E711">(XLOOKUP(D711,Roster!F:F,Roster!B:B,"",0))</f>
        <v>Andres Salazar</v>
      </c>
      <c r="F711" s="315" t="str">
        <f t="array" ref="F711">IF(B711=100,"Free",TEXT(XLOOKUP($D711,OperationVoice!$A:$A,OperationVoice!M:M,XLOOKUP($D711,OperationTickets!$A:$A,OperationTickets!M:M,"",0)),"hh:mm"))</f>
        <v>08:00</v>
      </c>
      <c r="G711" s="309">
        <f t="shared" si="3"/>
        <v>0.7083333333</v>
      </c>
      <c r="H711" s="316" t="str">
        <f t="array" ref="H711">XLOOKUP(B711,Roster!L:L,Roster!N:N,XLOOKUP(D711,TicketsBreak!A:A,TicketsBreak!E:E,"",0),0)</f>
        <v>10:30 - 10:45</v>
      </c>
      <c r="I711" s="316" t="str">
        <f t="array" ref="I711">XLOOKUP(B711,Roster!L:L,Roster!O:O,XLOOKUP(D711,TicketsBreak!A:A,TicketsBreak!F:F,"",0),0)</f>
        <v>13:30 - 14:00</v>
      </c>
      <c r="J711" s="316" t="str">
        <f t="array" ref="J711">XLOOKUP(B711,Roster!L:L,Roster!P:P,XLOOKUP(D711,TicketsBreak!A:A,TicketsBreak!G:G,"",0),0)</f>
        <v>15:45 - 16:00</v>
      </c>
      <c r="K711" s="310">
        <f t="shared" si="4"/>
        <v>46119</v>
      </c>
      <c r="L711" s="317">
        <f t="array" ref="L711">(XLOOKUP(D711,Roster!F:F,Roster!D:D,"",0))</f>
        <v>38</v>
      </c>
      <c r="M711" s="317" t="str">
        <f t="array" ref="M711">XLOOKUP(D711,Roster!F:F,Roster!E:E)</f>
        <v>Voice</v>
      </c>
      <c r="N711" s="317" t="str">
        <f t="shared" ref="N711:P711" si="724">LEFT(H711,5)</f>
        <v>10:30</v>
      </c>
      <c r="O711" s="317" t="str">
        <f t="shared" si="724"/>
        <v>13:30</v>
      </c>
      <c r="P711" s="317" t="str">
        <f t="shared" si="724"/>
        <v>15:45</v>
      </c>
      <c r="Q711" s="318">
        <f t="shared" si="664"/>
        <v>46119.4375</v>
      </c>
      <c r="R711" s="318">
        <f t="shared" si="665"/>
        <v>46119.5625</v>
      </c>
      <c r="S711" s="318">
        <f t="shared" si="8"/>
        <v>46119.65625</v>
      </c>
    </row>
    <row r="712">
      <c r="A712" s="14" t="str">
        <f t="shared" si="1"/>
        <v>C134846119</v>
      </c>
      <c r="B712" s="185">
        <f t="array" ref="B712">IF(F712="VL","",IF(F712="Free","Free",XLOOKUP(D712,Roster!T:T,Roster!S:S,"",0)))</f>
        <v>124</v>
      </c>
      <c r="C712" s="313">
        <v>46119.0</v>
      </c>
      <c r="D712" s="314" t="s">
        <v>15</v>
      </c>
      <c r="E712" s="307" t="str">
        <f t="array" ref="E712">(XLOOKUP(D712,Roster!F:F,Roster!B:B,"",0))</f>
        <v>Angelo Zapata</v>
      </c>
      <c r="F712" s="315" t="str">
        <f t="array" ref="F712">IF(B712=100,"Free",TEXT(XLOOKUP($D712,OperationVoice!$A:$A,OperationVoice!M:M,XLOOKUP($D712,OperationTickets!$A:$A,OperationTickets!M:M,"",0)),"hh:mm"))</f>
        <v>08:00</v>
      </c>
      <c r="G712" s="309">
        <f t="shared" si="3"/>
        <v>0.7083333333</v>
      </c>
      <c r="H712" s="316" t="str">
        <f t="array" ref="H712">XLOOKUP(B712,Roster!L:L,Roster!N:N,XLOOKUP(D712,TicketsBreak!A:A,TicketsBreak!E:E,"",0),0)</f>
        <v>10:00 - 10:15</v>
      </c>
      <c r="I712" s="316" t="str">
        <f t="array" ref="I712">XLOOKUP(B712,Roster!L:L,Roster!O:O,XLOOKUP(D712,TicketsBreak!A:A,TicketsBreak!F:F,"",0),0)</f>
        <v>13:00 - 13:30</v>
      </c>
      <c r="J712" s="316" t="str">
        <f t="array" ref="J712">XLOOKUP(B712,Roster!L:L,Roster!P:P,XLOOKUP(D712,TicketsBreak!A:A,TicketsBreak!G:G,"",0),0)</f>
        <v>15:30 - 15:45</v>
      </c>
      <c r="K712" s="310">
        <f t="shared" si="4"/>
        <v>46119</v>
      </c>
      <c r="L712" s="317">
        <f t="array" ref="L712">(XLOOKUP(D712,Roster!F:F,Roster!D:D,"",0))</f>
        <v>30</v>
      </c>
      <c r="M712" s="317" t="str">
        <f t="array" ref="M712">XLOOKUP(D712,Roster!F:F,Roster!E:E)</f>
        <v>Voice</v>
      </c>
      <c r="N712" s="317" t="str">
        <f t="shared" ref="N712:P712" si="725">LEFT(H712,5)</f>
        <v>10:00</v>
      </c>
      <c r="O712" s="317" t="str">
        <f t="shared" si="725"/>
        <v>13:00</v>
      </c>
      <c r="P712" s="317" t="str">
        <f t="shared" si="725"/>
        <v>15:30</v>
      </c>
      <c r="Q712" s="318">
        <f t="shared" si="664"/>
        <v>46119.41667</v>
      </c>
      <c r="R712" s="318">
        <f t="shared" si="665"/>
        <v>46119.54167</v>
      </c>
      <c r="S712" s="318">
        <f t="shared" si="8"/>
        <v>46119.64583</v>
      </c>
    </row>
    <row r="713">
      <c r="A713" s="14" t="str">
        <f t="shared" si="1"/>
        <v>C116746119</v>
      </c>
      <c r="B713" s="185" t="str">
        <f t="array" ref="B713">IF(F713="VL","",IF(F713="Free","Free",XLOOKUP(D713,Roster!T:T,Roster!S:S,"",0)))</f>
        <v/>
      </c>
      <c r="C713" s="313">
        <v>46119.0</v>
      </c>
      <c r="D713" s="314" t="s">
        <v>172</v>
      </c>
      <c r="E713" s="307" t="str">
        <f t="array" ref="E713">(XLOOKUP(D713,Roster!F:F,Roster!B:B,"",0))</f>
        <v>Angie Rua</v>
      </c>
      <c r="F713" s="315" t="str">
        <f t="array" ref="F713">IF(B713=100,"Free",TEXT(XLOOKUP($D713,OperationVoice!$A:$A,OperationVoice!M:M,XLOOKUP($D713,OperationTickets!$A:$A,OperationTickets!M:M,"",0)),"hh:mm"))</f>
        <v>07:00</v>
      </c>
      <c r="G713" s="309">
        <f t="shared" si="3"/>
        <v>0.6666666667</v>
      </c>
      <c r="H713" s="316" t="str">
        <f t="array" ref="H713">XLOOKUP(B713,Roster!L:L,Roster!N:N,XLOOKUP(D713,TicketsBreak!A:A,TicketsBreak!E:E,"",0),0)</f>
        <v/>
      </c>
      <c r="I713" s="316" t="str">
        <f t="array" ref="I713">XLOOKUP(B713,Roster!L:L,Roster!O:O,XLOOKUP(D713,TicketsBreak!A:A,TicketsBreak!F:F,"",0),0)</f>
        <v/>
      </c>
      <c r="J713" s="316" t="str">
        <f t="array" ref="J713">XLOOKUP(B713,Roster!L:L,Roster!P:P,XLOOKUP(D713,TicketsBreak!A:A,TicketsBreak!G:G,"",0),0)</f>
        <v/>
      </c>
      <c r="K713" s="310">
        <f t="shared" si="4"/>
        <v>46119</v>
      </c>
      <c r="L713" s="317">
        <f t="array" ref="L713">(XLOOKUP(D713,Roster!F:F,Roster!D:D,"",0))</f>
        <v>24</v>
      </c>
      <c r="M713" s="317" t="str">
        <f t="array" ref="M713">XLOOKUP(D713,Roster!F:F,Roster!E:E)</f>
        <v>Tickets</v>
      </c>
      <c r="N713" s="317" t="str">
        <f t="shared" ref="N713:P713" si="726">LEFT(H713,5)</f>
        <v/>
      </c>
      <c r="O713" s="317" t="str">
        <f t="shared" si="726"/>
        <v/>
      </c>
      <c r="P713" s="317" t="str">
        <f t="shared" si="726"/>
        <v/>
      </c>
      <c r="Q713" s="318" t="str">
        <f t="shared" si="664"/>
        <v/>
      </c>
      <c r="R713" s="318" t="str">
        <f t="shared" si="665"/>
        <v/>
      </c>
      <c r="S713" s="318" t="str">
        <f t="shared" si="8"/>
        <v/>
      </c>
    </row>
    <row r="714">
      <c r="A714" s="14" t="str">
        <f t="shared" si="1"/>
        <v>C157946119</v>
      </c>
      <c r="B714" s="185">
        <f t="array" ref="B714">IF(F714="VL","",IF(F714="Free","Free",XLOOKUP(D714,Roster!T:T,Roster!S:S,"",0)))</f>
        <v>126</v>
      </c>
      <c r="C714" s="313">
        <v>46119.0</v>
      </c>
      <c r="D714" s="314" t="s">
        <v>16</v>
      </c>
      <c r="E714" s="307" t="str">
        <f t="array" ref="E714">(XLOOKUP(D714,Roster!F:F,Roster!B:B,"",0))</f>
        <v>Anibal Munoz</v>
      </c>
      <c r="F714" s="315" t="str">
        <f t="array" ref="F714">IF(B714=100,"Free",TEXT(XLOOKUP($D714,OperationVoice!$A:$A,OperationVoice!M:M,XLOOKUP($D714,OperationTickets!$A:$A,OperationTickets!M:M,"",0)),"hh:mm"))</f>
        <v>08:00</v>
      </c>
      <c r="G714" s="309">
        <f t="shared" si="3"/>
        <v>0.7083333333</v>
      </c>
      <c r="H714" s="316" t="str">
        <f t="array" ref="H714">XLOOKUP(B714,Roster!L:L,Roster!N:N,XLOOKUP(D714,TicketsBreak!A:A,TicketsBreak!E:E,"",0),0)</f>
        <v>10:45 - 11:00</v>
      </c>
      <c r="I714" s="316" t="str">
        <f t="array" ref="I714">XLOOKUP(B714,Roster!L:L,Roster!O:O,XLOOKUP(D714,TicketsBreak!A:A,TicketsBreak!F:F,"",0),0)</f>
        <v>14:00 - 14:30</v>
      </c>
      <c r="J714" s="316" t="str">
        <f t="array" ref="J714">XLOOKUP(B714,Roster!L:L,Roster!P:P,XLOOKUP(D714,TicketsBreak!A:A,TicketsBreak!G:G,"",0),0)</f>
        <v>15:45 - 16:00</v>
      </c>
      <c r="K714" s="310">
        <f t="shared" si="4"/>
        <v>46119</v>
      </c>
      <c r="L714" s="317">
        <f t="array" ref="L714">(XLOOKUP(D714,Roster!F:F,Roster!D:D,"",0))</f>
        <v>38</v>
      </c>
      <c r="M714" s="317" t="str">
        <f t="array" ref="M714">XLOOKUP(D714,Roster!F:F,Roster!E:E)</f>
        <v>Voice</v>
      </c>
      <c r="N714" s="317" t="str">
        <f t="shared" ref="N714:P714" si="727">LEFT(H714,5)</f>
        <v>10:45</v>
      </c>
      <c r="O714" s="317" t="str">
        <f t="shared" si="727"/>
        <v>14:00</v>
      </c>
      <c r="P714" s="317" t="str">
        <f t="shared" si="727"/>
        <v>15:45</v>
      </c>
      <c r="Q714" s="318">
        <f t="shared" si="664"/>
        <v>46119.44792</v>
      </c>
      <c r="R714" s="318">
        <f t="shared" si="665"/>
        <v>46119.58333</v>
      </c>
      <c r="S714" s="318">
        <f t="shared" si="8"/>
        <v>46119.65625</v>
      </c>
    </row>
    <row r="715">
      <c r="A715" s="14" t="str">
        <f t="shared" si="1"/>
        <v>C08046119</v>
      </c>
      <c r="B715" s="185" t="str">
        <f t="array" ref="B715">IF(F715="VL","",IF(F715="Free","Free",XLOOKUP(D715,Roster!T:T,Roster!S:S,"",0)))</f>
        <v/>
      </c>
      <c r="C715" s="313">
        <v>46119.0</v>
      </c>
      <c r="D715" s="314" t="s">
        <v>138</v>
      </c>
      <c r="E715" s="307" t="str">
        <f t="array" ref="E715">(XLOOKUP(D715,Roster!F:F,Roster!B:B,"",0))</f>
        <v>Arturo Padilla</v>
      </c>
      <c r="F715" s="315" t="str">
        <f t="array" ref="F715">IF(B715=100,"Free",TEXT(XLOOKUP($D715,OperationVoice!$A:$A,OperationVoice!M:M,XLOOKUP($D715,OperationTickets!$A:$A,OperationTickets!M:M,"",0)),"hh:mm"))</f>
        <v>08:00</v>
      </c>
      <c r="G715" s="309">
        <f t="shared" si="3"/>
        <v>0.7083333333</v>
      </c>
      <c r="H715" s="316">
        <f t="array" ref="H715">XLOOKUP(B715,Roster!L:L,Roster!N:N,XLOOKUP(D715,TicketsBreak!A:A,TicketsBreak!E:E,"",0),0)</f>
        <v>0.375</v>
      </c>
      <c r="I715" s="316">
        <f t="array" ref="I715">XLOOKUP(B715,Roster!L:L,Roster!O:O,XLOOKUP(D715,TicketsBreak!A:A,TicketsBreak!F:F,"",0),0)</f>
        <v>0.5</v>
      </c>
      <c r="J715" s="316">
        <f t="array" ref="J715">XLOOKUP(B715,Roster!L:L,Roster!P:P,XLOOKUP(D715,TicketsBreak!A:A,TicketsBreak!G:G,"",0),0)</f>
        <v>0.6458333333</v>
      </c>
      <c r="K715" s="310">
        <f t="shared" si="4"/>
        <v>46119</v>
      </c>
      <c r="L715" s="317">
        <f t="array" ref="L715">(XLOOKUP(D715,Roster!F:F,Roster!D:D,"",0))</f>
        <v>1</v>
      </c>
      <c r="M715" s="317" t="str">
        <f t="array" ref="M715">XLOOKUP(D715,Roster!F:F,Roster!E:E)</f>
        <v>Tickets</v>
      </c>
      <c r="N715" s="317" t="str">
        <f t="shared" ref="N715:P715" si="728">LEFT(H715,5)</f>
        <v>09:00</v>
      </c>
      <c r="O715" s="317" t="str">
        <f t="shared" si="728"/>
        <v>12:00</v>
      </c>
      <c r="P715" s="317" t="str">
        <f t="shared" si="728"/>
        <v>15:30</v>
      </c>
      <c r="Q715" s="318">
        <f t="shared" si="664"/>
        <v>46119.375</v>
      </c>
      <c r="R715" s="318">
        <f t="shared" si="665"/>
        <v>46119.5</v>
      </c>
      <c r="S715" s="318">
        <f t="shared" si="8"/>
        <v>46119.64583</v>
      </c>
    </row>
    <row r="716">
      <c r="A716" s="14" t="str">
        <f t="shared" si="1"/>
        <v>C150446119</v>
      </c>
      <c r="B716" s="185">
        <f t="array" ref="B716">IF(F716="VL","",IF(F716="Free","Free",XLOOKUP(D716,Roster!T:T,Roster!S:S,"",0)))</f>
        <v>123</v>
      </c>
      <c r="C716" s="313">
        <v>46119.0</v>
      </c>
      <c r="D716" s="314" t="s">
        <v>155</v>
      </c>
      <c r="E716" s="307" t="str">
        <f t="array" ref="E716">(XLOOKUP(D716,Roster!F:F,Roster!B:B,"",0))</f>
        <v>Beatriz Montanez</v>
      </c>
      <c r="F716" s="315" t="str">
        <f t="array" ref="F716">IF(B716=100,"Free",TEXT(XLOOKUP($D716,OperationVoice!$A:$A,OperationVoice!M:M,XLOOKUP($D716,OperationTickets!$A:$A,OperationTickets!M:M,"",0)),"hh:mm"))</f>
        <v>08:00</v>
      </c>
      <c r="G716" s="309">
        <f t="shared" si="3"/>
        <v>0.7083333333</v>
      </c>
      <c r="H716" s="316" t="str">
        <f t="array" ref="H716">XLOOKUP(B716,Roster!L:L,Roster!N:N,XLOOKUP(D716,TicketsBreak!A:A,TicketsBreak!E:E,"",0),0)</f>
        <v>09:45 - 10:00 </v>
      </c>
      <c r="I716" s="316" t="str">
        <f t="array" ref="I716">XLOOKUP(B716,Roster!L:L,Roster!O:O,XLOOKUP(D716,TicketsBreak!A:A,TicketsBreak!F:F,"",0),0)</f>
        <v>12:30 - 13:00</v>
      </c>
      <c r="J716" s="316" t="str">
        <f t="array" ref="J716">XLOOKUP(B716,Roster!L:L,Roster!P:P,XLOOKUP(D716,TicketsBreak!A:A,TicketsBreak!G:G,"",0),0)</f>
        <v>15:00 - 15:15</v>
      </c>
      <c r="K716" s="310">
        <f t="shared" si="4"/>
        <v>46119</v>
      </c>
      <c r="L716" s="317">
        <f t="array" ref="L716">(XLOOKUP(D716,Roster!F:F,Roster!D:D,"",0))</f>
        <v>35</v>
      </c>
      <c r="M716" s="317" t="str">
        <f t="array" ref="M716">XLOOKUP(D716,Roster!F:F,Roster!E:E)</f>
        <v>Tickets</v>
      </c>
      <c r="N716" s="317" t="str">
        <f t="shared" ref="N716:P716" si="729">LEFT(H716,5)</f>
        <v>09:45</v>
      </c>
      <c r="O716" s="317" t="str">
        <f t="shared" si="729"/>
        <v>12:30</v>
      </c>
      <c r="P716" s="317" t="str">
        <f t="shared" si="729"/>
        <v>15:00</v>
      </c>
      <c r="Q716" s="318">
        <f t="shared" si="664"/>
        <v>46119.40625</v>
      </c>
      <c r="R716" s="318">
        <f t="shared" si="665"/>
        <v>46119.52083</v>
      </c>
      <c r="S716" s="318">
        <f t="shared" si="8"/>
        <v>46119.625</v>
      </c>
    </row>
    <row r="717">
      <c r="A717" s="14" t="str">
        <f t="shared" si="1"/>
        <v>C107746119</v>
      </c>
      <c r="B717" s="185">
        <f t="array" ref="B717">IF(F717="VL","",IF(F717="Free","Free",XLOOKUP(D717,Roster!T:T,Roster!S:S,"",0)))</f>
        <v>125</v>
      </c>
      <c r="C717" s="313">
        <v>46119.0</v>
      </c>
      <c r="D717" s="314" t="s">
        <v>17</v>
      </c>
      <c r="E717" s="307" t="str">
        <f t="array" ref="E717">(XLOOKUP(D717,Roster!F:F,Roster!B:B,"",0))</f>
        <v>Brahian Prado</v>
      </c>
      <c r="F717" s="315" t="str">
        <f t="array" ref="F717">IF(B717=100,"Free",TEXT(XLOOKUP($D717,OperationVoice!$A:$A,OperationVoice!M:M,XLOOKUP($D717,OperationTickets!$A:$A,OperationTickets!M:M,"",0)),"hh:mm"))</f>
        <v>08:00</v>
      </c>
      <c r="G717" s="309">
        <f t="shared" si="3"/>
        <v>0.7083333333</v>
      </c>
      <c r="H717" s="316" t="str">
        <f t="array" ref="H717">XLOOKUP(B717,Roster!L:L,Roster!N:N,XLOOKUP(D717,TicketsBreak!A:A,TicketsBreak!E:E,"",0),0)</f>
        <v>10:30 - 10:45</v>
      </c>
      <c r="I717" s="316" t="str">
        <f t="array" ref="I717">XLOOKUP(B717,Roster!L:L,Roster!O:O,XLOOKUP(D717,TicketsBreak!A:A,TicketsBreak!F:F,"",0),0)</f>
        <v>13:30 - 14:00</v>
      </c>
      <c r="J717" s="316" t="str">
        <f t="array" ref="J717">XLOOKUP(B717,Roster!L:L,Roster!P:P,XLOOKUP(D717,TicketsBreak!A:A,TicketsBreak!G:G,"",0),0)</f>
        <v>15:45 - 16:00</v>
      </c>
      <c r="K717" s="310">
        <f t="shared" si="4"/>
        <v>46119</v>
      </c>
      <c r="L717" s="317">
        <f t="array" ref="L717">(XLOOKUP(D717,Roster!F:F,Roster!D:D,"",0))</f>
        <v>18</v>
      </c>
      <c r="M717" s="317" t="str">
        <f t="array" ref="M717">XLOOKUP(D717,Roster!F:F,Roster!E:E)</f>
        <v>Voice</v>
      </c>
      <c r="N717" s="317" t="str">
        <f t="shared" ref="N717:P717" si="730">LEFT(H717,5)</f>
        <v>10:30</v>
      </c>
      <c r="O717" s="317" t="str">
        <f t="shared" si="730"/>
        <v>13:30</v>
      </c>
      <c r="P717" s="317" t="str">
        <f t="shared" si="730"/>
        <v>15:45</v>
      </c>
      <c r="Q717" s="318">
        <f t="shared" si="664"/>
        <v>46119.4375</v>
      </c>
      <c r="R717" s="318">
        <f t="shared" si="665"/>
        <v>46119.5625</v>
      </c>
      <c r="S717" s="318">
        <f t="shared" si="8"/>
        <v>46119.65625</v>
      </c>
    </row>
    <row r="718">
      <c r="A718" s="14" t="str">
        <f t="shared" si="1"/>
        <v>C116546119</v>
      </c>
      <c r="B718" s="185" t="str">
        <f t="array" ref="B718">IF(F718="VL","",IF(F718="Free","Free",XLOOKUP(D718,Roster!T:T,Roster!S:S,"",0)))</f>
        <v/>
      </c>
      <c r="C718" s="313">
        <v>46119.0</v>
      </c>
      <c r="D718" s="314" t="s">
        <v>139</v>
      </c>
      <c r="E718" s="307" t="str">
        <f t="array" ref="E718">(XLOOKUP(D718,Roster!F:F,Roster!B:B,"",0))</f>
        <v>Braian Restrepo</v>
      </c>
      <c r="F718" s="315" t="str">
        <f t="array" ref="F718">IF(B718=100,"Free",TEXT(XLOOKUP($D718,OperationVoice!$A:$A,OperationVoice!M:M,XLOOKUP($D718,OperationTickets!$A:$A,OperationTickets!M:M,"",0)),"hh:mm"))</f>
        <v>08:00</v>
      </c>
      <c r="G718" s="309">
        <f t="shared" si="3"/>
        <v>0.7083333333</v>
      </c>
      <c r="H718" s="316" t="str">
        <f t="array" ref="H718">XLOOKUP(B718,Roster!L:L,Roster!N:N,XLOOKUP(D718,TicketsBreak!A:A,TicketsBreak!E:E,"",0),0)</f>
        <v/>
      </c>
      <c r="I718" s="316" t="str">
        <f t="array" ref="I718">XLOOKUP(B718,Roster!L:L,Roster!O:O,XLOOKUP(D718,TicketsBreak!A:A,TicketsBreak!F:F,"",0),0)</f>
        <v/>
      </c>
      <c r="J718" s="316" t="str">
        <f t="array" ref="J718">XLOOKUP(B718,Roster!L:L,Roster!P:P,XLOOKUP(D718,TicketsBreak!A:A,TicketsBreak!G:G,"",0),0)</f>
        <v/>
      </c>
      <c r="K718" s="310">
        <f t="shared" si="4"/>
        <v>46119</v>
      </c>
      <c r="L718" s="317">
        <f t="array" ref="L718">(XLOOKUP(D718,Roster!F:F,Roster!D:D,"",0))</f>
        <v>24</v>
      </c>
      <c r="M718" s="317" t="str">
        <f t="array" ref="M718">XLOOKUP(D718,Roster!F:F,Roster!E:E)</f>
        <v>Tickets</v>
      </c>
      <c r="N718" s="317" t="str">
        <f t="shared" ref="N718:P718" si="731">LEFT(H718,5)</f>
        <v/>
      </c>
      <c r="O718" s="317" t="str">
        <f t="shared" si="731"/>
        <v/>
      </c>
      <c r="P718" s="317" t="str">
        <f t="shared" si="731"/>
        <v/>
      </c>
      <c r="Q718" s="318" t="str">
        <f t="shared" si="664"/>
        <v/>
      </c>
      <c r="R718" s="318" t="str">
        <f t="shared" si="665"/>
        <v/>
      </c>
      <c r="S718" s="318" t="str">
        <f t="shared" si="8"/>
        <v/>
      </c>
    </row>
    <row r="719">
      <c r="A719" s="14" t="str">
        <f t="shared" si="1"/>
        <v>C127446119</v>
      </c>
      <c r="B719" s="185">
        <f t="array" ref="B719">IF(F719="VL","",IF(F719="Free","Free",XLOOKUP(D719,Roster!T:T,Roster!S:S,"",0)))</f>
        <v>126</v>
      </c>
      <c r="C719" s="313">
        <v>46119.0</v>
      </c>
      <c r="D719" s="314" t="s">
        <v>250</v>
      </c>
      <c r="E719" s="307" t="str">
        <f t="array" ref="E719">(XLOOKUP(D719,Roster!F:F,Roster!B:B,"",0))</f>
        <v>Brayan Franco</v>
      </c>
      <c r="F719" s="315" t="str">
        <f t="array" ref="F719">IF(B719=100,"Free",TEXT(XLOOKUP($D719,OperationVoice!$A:$A,OperationVoice!M:M,XLOOKUP($D719,OperationTickets!$A:$A,OperationTickets!M:M,"",0)),"hh:mm"))</f>
        <v/>
      </c>
      <c r="G719" s="309" t="str">
        <f t="shared" si="3"/>
        <v/>
      </c>
      <c r="H719" s="316" t="str">
        <f t="array" ref="H719">XLOOKUP(B719,Roster!L:L,Roster!N:N,XLOOKUP(D719,TicketsBreak!A:A,TicketsBreak!E:E,"",0),0)</f>
        <v>10:45 - 11:00</v>
      </c>
      <c r="I719" s="316" t="str">
        <f t="array" ref="I719">XLOOKUP(B719,Roster!L:L,Roster!O:O,XLOOKUP(D719,TicketsBreak!A:A,TicketsBreak!F:F,"",0),0)</f>
        <v>14:00 - 14:30</v>
      </c>
      <c r="J719" s="316" t="str">
        <f t="array" ref="J719">XLOOKUP(B719,Roster!L:L,Roster!P:P,XLOOKUP(D719,TicketsBreak!A:A,TicketsBreak!G:G,"",0),0)</f>
        <v>15:45 - 16:00</v>
      </c>
      <c r="K719" s="310">
        <f t="shared" si="4"/>
        <v>46119</v>
      </c>
      <c r="L719" s="317">
        <f t="array" ref="L719">(XLOOKUP(D719,Roster!F:F,Roster!D:D,"",0))</f>
        <v>27</v>
      </c>
      <c r="M719" s="317" t="str">
        <f t="array" ref="M719">XLOOKUP(D719,Roster!F:F,Roster!E:E)</f>
        <v>Voice</v>
      </c>
      <c r="N719" s="317" t="str">
        <f t="shared" ref="N719:P719" si="732">LEFT(H719,5)</f>
        <v>10:45</v>
      </c>
      <c r="O719" s="317" t="str">
        <f t="shared" si="732"/>
        <v>14:00</v>
      </c>
      <c r="P719" s="317" t="str">
        <f t="shared" si="732"/>
        <v>15:45</v>
      </c>
      <c r="Q719" s="318">
        <f t="shared" si="664"/>
        <v>46119.44792</v>
      </c>
      <c r="R719" s="318">
        <f t="shared" si="665"/>
        <v>46119.58333</v>
      </c>
      <c r="S719" s="318">
        <f t="shared" si="8"/>
        <v>46119.65625</v>
      </c>
    </row>
    <row r="720">
      <c r="A720" s="14" t="str">
        <f t="shared" si="1"/>
        <v>C119146119</v>
      </c>
      <c r="B720" s="185">
        <f t="array" ref="B720">IF(F720="VL","",IF(F720="Free","Free",XLOOKUP(D720,Roster!T:T,Roster!S:S,"",0)))</f>
        <v>111</v>
      </c>
      <c r="C720" s="313">
        <v>46119.0</v>
      </c>
      <c r="D720" s="314" t="s">
        <v>18</v>
      </c>
      <c r="E720" s="307" t="str">
        <f t="array" ref="E720">(XLOOKUP(D720,Roster!F:F,Roster!B:B,"",0))</f>
        <v>Brayan Montoya</v>
      </c>
      <c r="F720" s="315" t="str">
        <f t="array" ref="F720">IF(B720=100,"Free",TEXT(XLOOKUP($D720,OperationVoice!$A:$A,OperationVoice!M:M,XLOOKUP($D720,OperationTickets!$A:$A,OperationTickets!M:M,"",0)),"hh:mm"))</f>
        <v>07:00</v>
      </c>
      <c r="G720" s="309">
        <f t="shared" si="3"/>
        <v>0.6666666667</v>
      </c>
      <c r="H720" s="316" t="str">
        <f t="array" ref="H720">XLOOKUP(B720,Roster!L:L,Roster!N:N,XLOOKUP(D720,TicketsBreak!A:A,TicketsBreak!E:E,"",0),0)</f>
        <v>09:00 - 09:15</v>
      </c>
      <c r="I720" s="316" t="str">
        <f t="array" ref="I720">XLOOKUP(B720,Roster!L:L,Roster!O:O,XLOOKUP(D720,TicketsBreak!A:A,TicketsBreak!F:F,"",0),0)</f>
        <v>11:45 - 12:15</v>
      </c>
      <c r="J720" s="316" t="str">
        <f t="array" ref="J720">XLOOKUP(B720,Roster!L:L,Roster!P:P,XLOOKUP(D720,TicketsBreak!A:A,TicketsBreak!G:G,"",0),0)</f>
        <v>14:30 - 14:45</v>
      </c>
      <c r="K720" s="310">
        <f t="shared" si="4"/>
        <v>46119</v>
      </c>
      <c r="L720" s="317">
        <f t="array" ref="L720">(XLOOKUP(D720,Roster!F:F,Roster!D:D,"",0))</f>
        <v>25</v>
      </c>
      <c r="M720" s="317" t="str">
        <f t="array" ref="M720">XLOOKUP(D720,Roster!F:F,Roster!E:E)</f>
        <v>Voice</v>
      </c>
      <c r="N720" s="317" t="str">
        <f t="shared" ref="N720:P720" si="733">LEFT(H720,5)</f>
        <v>09:00</v>
      </c>
      <c r="O720" s="317" t="str">
        <f t="shared" si="733"/>
        <v>11:45</v>
      </c>
      <c r="P720" s="317" t="str">
        <f t="shared" si="733"/>
        <v>14:30</v>
      </c>
      <c r="Q720" s="318">
        <f t="shared" si="664"/>
        <v>46119.375</v>
      </c>
      <c r="R720" s="318">
        <f t="shared" si="665"/>
        <v>46119.48958</v>
      </c>
      <c r="S720" s="318">
        <f t="shared" si="8"/>
        <v>46119.60417</v>
      </c>
    </row>
    <row r="721">
      <c r="A721" s="14" t="str">
        <f t="shared" si="1"/>
        <v>C152646119</v>
      </c>
      <c r="B721" s="185">
        <f t="array" ref="B721">IF(F721="VL","",IF(F721="Free","Free",XLOOKUP(D721,Roster!T:T,Roster!S:S,"",0)))</f>
        <v>121</v>
      </c>
      <c r="C721" s="313">
        <v>46119.0</v>
      </c>
      <c r="D721" s="314" t="s">
        <v>19</v>
      </c>
      <c r="E721" s="307" t="str">
        <f t="array" ref="E721">(XLOOKUP(D721,Roster!F:F,Roster!B:B,"",0))</f>
        <v>Breitner Benitez</v>
      </c>
      <c r="F721" s="315" t="str">
        <f t="array" ref="F721">IF(B721=100,"Free",TEXT(XLOOKUP($D721,OperationVoice!$A:$A,OperationVoice!M:M,XLOOKUP($D721,OperationTickets!$A:$A,OperationTickets!M:M,"",0)),"hh:mm"))</f>
        <v>08:00</v>
      </c>
      <c r="G721" s="309">
        <f t="shared" si="3"/>
        <v>0.7083333333</v>
      </c>
      <c r="H721" s="316" t="str">
        <f t="array" ref="H721">XLOOKUP(B721,Roster!L:L,Roster!N:N,XLOOKUP(D721,TicketsBreak!A:A,TicketsBreak!E:E,"",0),0)</f>
        <v>09:15 - 09:30</v>
      </c>
      <c r="I721" s="316" t="str">
        <f t="array" ref="I721">XLOOKUP(B721,Roster!L:L,Roster!O:O,XLOOKUP(D721,TicketsBreak!A:A,TicketsBreak!F:F,"",0),0)</f>
        <v>11:30 - 12:00</v>
      </c>
      <c r="J721" s="316" t="str">
        <f t="array" ref="J721">XLOOKUP(B721,Roster!L:L,Roster!P:P,XLOOKUP(D721,TicketsBreak!A:A,TicketsBreak!G:G,"",0),0)</f>
        <v>14:30 - 14:45</v>
      </c>
      <c r="K721" s="310">
        <f t="shared" si="4"/>
        <v>46119</v>
      </c>
      <c r="L721" s="317">
        <f t="array" ref="L721">(XLOOKUP(D721,Roster!F:F,Roster!D:D,"",0))</f>
        <v>13</v>
      </c>
      <c r="M721" s="317" t="str">
        <f t="array" ref="M721">XLOOKUP(D721,Roster!F:F,Roster!E:E)</f>
        <v>Voice</v>
      </c>
      <c r="N721" s="317" t="str">
        <f t="shared" ref="N721:P721" si="734">LEFT(H721,5)</f>
        <v>09:15</v>
      </c>
      <c r="O721" s="317" t="str">
        <f t="shared" si="734"/>
        <v>11:30</v>
      </c>
      <c r="P721" s="317" t="str">
        <f t="shared" si="734"/>
        <v>14:30</v>
      </c>
      <c r="Q721" s="318">
        <f t="shared" si="664"/>
        <v>46119.38542</v>
      </c>
      <c r="R721" s="318">
        <f t="shared" si="665"/>
        <v>46119.47917</v>
      </c>
      <c r="S721" s="318">
        <f t="shared" si="8"/>
        <v>46119.60417</v>
      </c>
    </row>
    <row r="722">
      <c r="A722" s="14" t="str">
        <f t="shared" si="1"/>
        <v>C153546119</v>
      </c>
      <c r="B722" s="185">
        <f t="array" ref="B722">IF(F722="VL","",IF(F722="Free","Free",XLOOKUP(D722,Roster!T:T,Roster!S:S,"",0)))</f>
        <v>154</v>
      </c>
      <c r="C722" s="313">
        <v>46119.0</v>
      </c>
      <c r="D722" s="314" t="s">
        <v>20</v>
      </c>
      <c r="E722" s="307" t="str">
        <f t="array" ref="E722">(XLOOKUP(D722,Roster!F:F,Roster!B:B,"",0))</f>
        <v>Carlos Alzate</v>
      </c>
      <c r="F722" s="315" t="str">
        <f t="array" ref="F722">IF(B722=100,"Free",TEXT(XLOOKUP($D722,OperationVoice!$A:$A,OperationVoice!M:M,XLOOKUP($D722,OperationTickets!$A:$A,OperationTickets!M:M,"",0)),"hh:mm"))</f>
        <v>11:00</v>
      </c>
      <c r="G722" s="309">
        <f t="shared" si="3"/>
        <v>0.8333333333</v>
      </c>
      <c r="H722" s="316" t="str">
        <f t="array" ref="H722">XLOOKUP(B722,Roster!L:L,Roster!N:N,XLOOKUP(D722,TicketsBreak!A:A,TicketsBreak!E:E,"",0),0)</f>
        <v>13:00 - 13:15</v>
      </c>
      <c r="I722" s="316" t="str">
        <f t="array" ref="I722">XLOOKUP(B722,Roster!L:L,Roster!O:O,XLOOKUP(D722,TicketsBreak!A:A,TicketsBreak!F:F,"",0),0)</f>
        <v>15:15 - 15:45</v>
      </c>
      <c r="J722" s="316" t="str">
        <f t="array" ref="J722">XLOOKUP(B722,Roster!L:L,Roster!P:P,XLOOKUP(D722,TicketsBreak!A:A,TicketsBreak!G:G,"",0),0)</f>
        <v>18:00 - 18:15</v>
      </c>
      <c r="K722" s="310">
        <f t="shared" si="4"/>
        <v>46119</v>
      </c>
      <c r="L722" s="317">
        <f t="array" ref="L722">(XLOOKUP(D722,Roster!F:F,Roster!D:D,"",0))</f>
        <v>36</v>
      </c>
      <c r="M722" s="317" t="str">
        <f t="array" ref="M722">XLOOKUP(D722,Roster!F:F,Roster!E:E)</f>
        <v>Voice</v>
      </c>
      <c r="N722" s="317" t="str">
        <f t="shared" ref="N722:P722" si="735">LEFT(H722,5)</f>
        <v>13:00</v>
      </c>
      <c r="O722" s="317" t="str">
        <f t="shared" si="735"/>
        <v>15:15</v>
      </c>
      <c r="P722" s="317" t="str">
        <f t="shared" si="735"/>
        <v>18:00</v>
      </c>
      <c r="Q722" s="318">
        <f t="shared" si="664"/>
        <v>46119.54167</v>
      </c>
      <c r="R722" s="318">
        <f t="shared" si="665"/>
        <v>46119.63542</v>
      </c>
      <c r="S722" s="318">
        <f t="shared" si="8"/>
        <v>46119.75</v>
      </c>
    </row>
    <row r="723">
      <c r="A723" s="14" t="str">
        <f t="shared" si="1"/>
        <v>C153146119</v>
      </c>
      <c r="B723" s="185">
        <f t="array" ref="B723">IF(F723="VL","",IF(F723="Free","Free",XLOOKUP(D723,Roster!T:T,Roster!S:S,"",0)))</f>
        <v>123</v>
      </c>
      <c r="C723" s="313">
        <v>46119.0</v>
      </c>
      <c r="D723" s="314" t="s">
        <v>21</v>
      </c>
      <c r="E723" s="307" t="str">
        <f t="array" ref="E723">(XLOOKUP(D723,Roster!F:F,Roster!B:B,"",0))</f>
        <v>Carlos Palma</v>
      </c>
      <c r="F723" s="315" t="str">
        <f t="array" ref="F723">IF(B723=100,"Free",TEXT(XLOOKUP($D723,OperationVoice!$A:$A,OperationVoice!M:M,XLOOKUP($D723,OperationTickets!$A:$A,OperationTickets!M:M,"",0)),"hh:mm"))</f>
        <v>08:00</v>
      </c>
      <c r="G723" s="309">
        <f t="shared" si="3"/>
        <v>0.7083333333</v>
      </c>
      <c r="H723" s="316" t="str">
        <f t="array" ref="H723">XLOOKUP(B723,Roster!L:L,Roster!N:N,XLOOKUP(D723,TicketsBreak!A:A,TicketsBreak!E:E,"",0),0)</f>
        <v>09:45 - 10:00 </v>
      </c>
      <c r="I723" s="316" t="str">
        <f t="array" ref="I723">XLOOKUP(B723,Roster!L:L,Roster!O:O,XLOOKUP(D723,TicketsBreak!A:A,TicketsBreak!F:F,"",0),0)</f>
        <v>12:30 - 13:00</v>
      </c>
      <c r="J723" s="316" t="str">
        <f t="array" ref="J723">XLOOKUP(B723,Roster!L:L,Roster!P:P,XLOOKUP(D723,TicketsBreak!A:A,TicketsBreak!G:G,"",0),0)</f>
        <v>15:00 - 15:15</v>
      </c>
      <c r="K723" s="310">
        <f t="shared" si="4"/>
        <v>46119</v>
      </c>
      <c r="L723" s="317">
        <f t="array" ref="L723">(XLOOKUP(D723,Roster!F:F,Roster!D:D,"",0))</f>
        <v>36</v>
      </c>
      <c r="M723" s="317" t="str">
        <f t="array" ref="M723">XLOOKUP(D723,Roster!F:F,Roster!E:E)</f>
        <v>Voice</v>
      </c>
      <c r="N723" s="317" t="str">
        <f t="shared" ref="N723:P723" si="736">LEFT(H723,5)</f>
        <v>09:45</v>
      </c>
      <c r="O723" s="317" t="str">
        <f t="shared" si="736"/>
        <v>12:30</v>
      </c>
      <c r="P723" s="317" t="str">
        <f t="shared" si="736"/>
        <v>15:00</v>
      </c>
      <c r="Q723" s="318">
        <f t="shared" si="664"/>
        <v>46119.40625</v>
      </c>
      <c r="R723" s="318">
        <f t="shared" si="665"/>
        <v>46119.52083</v>
      </c>
      <c r="S723" s="318">
        <f t="shared" si="8"/>
        <v>46119.625</v>
      </c>
    </row>
    <row r="724">
      <c r="A724" s="14" t="str">
        <f t="shared" si="1"/>
        <v>C157646119</v>
      </c>
      <c r="B724" s="185" t="str">
        <f t="array" ref="B724">IF(F724="VL","",IF(F724="Free","Free",XLOOKUP(D724,Roster!T:T,Roster!S:S,"",0)))</f>
        <v/>
      </c>
      <c r="C724" s="313">
        <v>46119.0</v>
      </c>
      <c r="D724" s="314" t="s">
        <v>313</v>
      </c>
      <c r="E724" s="307" t="str">
        <f t="array" ref="E724">(XLOOKUP(D724,Roster!F:F,Roster!B:B,"",0))</f>
        <v>Carlos Ruiz</v>
      </c>
      <c r="F724" s="315" t="str">
        <f t="array" ref="F724">IF(B724=100,"Free",TEXT(XLOOKUP($D724,OperationVoice!$A:$A,OperationVoice!M:M,XLOOKUP($D724,OperationTickets!$A:$A,OperationTickets!M:M,"",0)),"hh:mm"))</f>
        <v/>
      </c>
      <c r="G724" s="309" t="str">
        <f t="shared" si="3"/>
        <v/>
      </c>
      <c r="H724" s="316" t="str">
        <f t="array" ref="H724">XLOOKUP(B724,Roster!L:L,Roster!N:N,XLOOKUP(D724,TicketsBreak!A:A,TicketsBreak!E:E,"",0),0)</f>
        <v/>
      </c>
      <c r="I724" s="316" t="str">
        <f t="array" ref="I724">XLOOKUP(B724,Roster!L:L,Roster!O:O,XLOOKUP(D724,TicketsBreak!A:A,TicketsBreak!F:F,"",0),0)</f>
        <v/>
      </c>
      <c r="J724" s="316" t="str">
        <f t="array" ref="J724">XLOOKUP(B724,Roster!L:L,Roster!P:P,XLOOKUP(D724,TicketsBreak!A:A,TicketsBreak!G:G,"",0),0)</f>
        <v/>
      </c>
      <c r="K724" s="310">
        <f t="shared" si="4"/>
        <v>46119</v>
      </c>
      <c r="L724" s="317">
        <f t="array" ref="L724">(XLOOKUP(D724,Roster!F:F,Roster!D:D,"",0))</f>
        <v>38</v>
      </c>
      <c r="M724" s="317" t="str">
        <f t="array" ref="M724">XLOOKUP(D724,Roster!F:F,Roster!E:E)</f>
        <v>Nesting</v>
      </c>
      <c r="N724" s="317" t="str">
        <f t="shared" ref="N724:P724" si="737">LEFT(H724,5)</f>
        <v/>
      </c>
      <c r="O724" s="317" t="str">
        <f t="shared" si="737"/>
        <v/>
      </c>
      <c r="P724" s="317" t="str">
        <f t="shared" si="737"/>
        <v/>
      </c>
      <c r="Q724" s="318" t="str">
        <f t="shared" si="664"/>
        <v/>
      </c>
      <c r="R724" s="318" t="str">
        <f t="shared" si="665"/>
        <v/>
      </c>
      <c r="S724" s="318" t="str">
        <f t="shared" si="8"/>
        <v/>
      </c>
    </row>
    <row r="725">
      <c r="A725" s="14" t="str">
        <f t="shared" si="1"/>
        <v>C47946119</v>
      </c>
      <c r="B725" s="185" t="str">
        <f t="array" ref="B725">IF(F725="VL","",IF(F725="Free","Free",XLOOKUP(D725,Roster!T:T,Roster!S:S,"",0)))</f>
        <v/>
      </c>
      <c r="C725" s="313">
        <v>46119.0</v>
      </c>
      <c r="D725" s="314" t="s">
        <v>173</v>
      </c>
      <c r="E725" s="307" t="str">
        <f t="array" ref="E725">(XLOOKUP(D725,Roster!F:F,Roster!B:B,"",0))</f>
        <v>Carmen Grajales</v>
      </c>
      <c r="F725" s="315" t="str">
        <f t="array" ref="F725">IF(B725=100,"Free",TEXT(XLOOKUP($D725,OperationVoice!$A:$A,OperationVoice!M:M,XLOOKUP($D725,OperationTickets!$A:$A,OperationTickets!M:M,"",0)),"hh:mm"))</f>
        <v>08:00</v>
      </c>
      <c r="G725" s="309">
        <f t="shared" si="3"/>
        <v>0.7083333333</v>
      </c>
      <c r="H725" s="316">
        <f t="array" ref="H725">XLOOKUP(B725,Roster!L:L,Roster!N:N,XLOOKUP(D725,TicketsBreak!A:A,TicketsBreak!E:E,"",0),0)</f>
        <v>0.4270833333</v>
      </c>
      <c r="I725" s="316">
        <f t="array" ref="I725">XLOOKUP(B725,Roster!L:L,Roster!O:O,XLOOKUP(D725,TicketsBreak!A:A,TicketsBreak!F:F,"",0),0)</f>
        <v>0.53125</v>
      </c>
      <c r="J725" s="316">
        <f t="array" ref="J725">XLOOKUP(B725,Roster!L:L,Roster!P:P,XLOOKUP(D725,TicketsBreak!A:A,TicketsBreak!G:G,"",0),0)</f>
        <v>0.65625</v>
      </c>
      <c r="K725" s="310">
        <f t="shared" si="4"/>
        <v>46119</v>
      </c>
      <c r="L725" s="317">
        <f t="array" ref="L725">(XLOOKUP(D725,Roster!F:F,Roster!D:D,"",0))</f>
        <v>2</v>
      </c>
      <c r="M725" s="317" t="str">
        <f t="array" ref="M725">XLOOKUP(D725,Roster!F:F,Roster!E:E)</f>
        <v>Tickets</v>
      </c>
      <c r="N725" s="317" t="str">
        <f t="shared" ref="N725:P725" si="738">LEFT(H725,5)</f>
        <v>10:15</v>
      </c>
      <c r="O725" s="317" t="str">
        <f t="shared" si="738"/>
        <v>12:45</v>
      </c>
      <c r="P725" s="317" t="str">
        <f t="shared" si="738"/>
        <v>15:45</v>
      </c>
      <c r="Q725" s="318">
        <f t="shared" si="664"/>
        <v>46119.42708</v>
      </c>
      <c r="R725" s="318">
        <f t="shared" si="665"/>
        <v>46119.53125</v>
      </c>
      <c r="S725" s="318">
        <f t="shared" si="8"/>
        <v>46119.65625</v>
      </c>
    </row>
    <row r="726">
      <c r="A726" s="14" t="str">
        <f t="shared" si="1"/>
        <v>C68746119</v>
      </c>
      <c r="B726" s="185">
        <f t="array" ref="B726">IF(F726="VL","",IF(F726="Free","Free",XLOOKUP(D726,Roster!T:T,Roster!S:S,"",0)))</f>
        <v>122</v>
      </c>
      <c r="C726" s="313">
        <v>46119.0</v>
      </c>
      <c r="D726" s="314" t="s">
        <v>22</v>
      </c>
      <c r="E726" s="307" t="str">
        <f t="array" ref="E726">(XLOOKUP(D726,Roster!F:F,Roster!B:B,"",0))</f>
        <v>Carolina Rios</v>
      </c>
      <c r="F726" s="315" t="str">
        <f t="array" ref="F726">IF(B726=100,"Free",TEXT(XLOOKUP($D726,OperationVoice!$A:$A,OperationVoice!M:M,XLOOKUP($D726,OperationTickets!$A:$A,OperationTickets!M:M,"",0)),"hh:mm"))</f>
        <v>08:00</v>
      </c>
      <c r="G726" s="309">
        <f t="shared" si="3"/>
        <v>0.7083333333</v>
      </c>
      <c r="H726" s="316" t="str">
        <f t="array" ref="H726">XLOOKUP(B726,Roster!L:L,Roster!N:N,XLOOKUP(D726,TicketsBreak!A:A,TicketsBreak!E:E,"",0),0)</f>
        <v>09:30 - 09:45</v>
      </c>
      <c r="I726" s="316" t="str">
        <f t="array" ref="I726">XLOOKUP(B726,Roster!L:L,Roster!O:O,XLOOKUP(D726,TicketsBreak!A:A,TicketsBreak!F:F,"",0),0)</f>
        <v>12:00 - 12:30</v>
      </c>
      <c r="J726" s="316" t="str">
        <f t="array" ref="J726">XLOOKUP(B726,Roster!L:L,Roster!P:P,XLOOKUP(D726,TicketsBreak!A:A,TicketsBreak!G:G,"",0),0)</f>
        <v>14:45 - 15:00</v>
      </c>
      <c r="K726" s="310">
        <f t="shared" si="4"/>
        <v>46119</v>
      </c>
      <c r="L726" s="317">
        <f t="array" ref="L726">(XLOOKUP(D726,Roster!F:F,Roster!D:D,"",0))</f>
        <v>5</v>
      </c>
      <c r="M726" s="317" t="str">
        <f t="array" ref="M726">XLOOKUP(D726,Roster!F:F,Roster!E:E)</f>
        <v>Voice</v>
      </c>
      <c r="N726" s="317" t="str">
        <f t="shared" ref="N726:P726" si="739">LEFT(H726,5)</f>
        <v>09:30</v>
      </c>
      <c r="O726" s="317" t="str">
        <f t="shared" si="739"/>
        <v>12:00</v>
      </c>
      <c r="P726" s="317" t="str">
        <f t="shared" si="739"/>
        <v>14:45</v>
      </c>
      <c r="Q726" s="318">
        <f t="shared" si="664"/>
        <v>46119.39583</v>
      </c>
      <c r="R726" s="318">
        <f t="shared" si="665"/>
        <v>46119.5</v>
      </c>
      <c r="S726" s="318">
        <f t="shared" si="8"/>
        <v>46119.61458</v>
      </c>
    </row>
    <row r="727">
      <c r="A727" s="14" t="str">
        <f t="shared" si="1"/>
        <v>C152846119</v>
      </c>
      <c r="B727" s="185">
        <f t="array" ref="B727">IF(F727="VL","",IF(F727="Free","Free",XLOOKUP(D727,Roster!T:T,Roster!S:S,"",0)))</f>
        <v>132</v>
      </c>
      <c r="C727" s="313">
        <v>46119.0</v>
      </c>
      <c r="D727" s="314" t="s">
        <v>23</v>
      </c>
      <c r="E727" s="307" t="str">
        <f t="array" ref="E727">(XLOOKUP(D727,Roster!F:F,Roster!B:B,"",0))</f>
        <v>Christian Ramirez</v>
      </c>
      <c r="F727" s="315" t="str">
        <f t="array" ref="F727">IF(B727=100,"Free",TEXT(XLOOKUP($D727,OperationVoice!$A:$A,OperationVoice!M:M,XLOOKUP($D727,OperationTickets!$A:$A,OperationTickets!M:M,"",0)),"hh:mm"))</f>
        <v>08:00</v>
      </c>
      <c r="G727" s="309">
        <f t="shared" si="3"/>
        <v>0.7083333333</v>
      </c>
      <c r="H727" s="316" t="str">
        <f t="array" ref="H727">XLOOKUP(B727,Roster!L:L,Roster!N:N,XLOOKUP(D727,TicketsBreak!A:A,TicketsBreak!E:E,"",0),0)</f>
        <v>10:30 - 10:45</v>
      </c>
      <c r="I727" s="316" t="str">
        <f t="array" ref="I727">XLOOKUP(B727,Roster!L:L,Roster!O:O,XLOOKUP(D727,TicketsBreak!A:A,TicketsBreak!F:F,"",0),0)</f>
        <v>13:00 - 13:30</v>
      </c>
      <c r="J727" s="316" t="str">
        <f t="array" ref="J727">XLOOKUP(B727,Roster!L:L,Roster!P:P,XLOOKUP(D727,TicketsBreak!A:A,TicketsBreak!G:G,"",0),0)</f>
        <v>15:30 - 15:45</v>
      </c>
      <c r="K727" s="310">
        <f t="shared" si="4"/>
        <v>46119</v>
      </c>
      <c r="L727" s="317">
        <f t="array" ref="L727">(XLOOKUP(D727,Roster!F:F,Roster!D:D,"",0))</f>
        <v>36</v>
      </c>
      <c r="M727" s="317" t="str">
        <f t="array" ref="M727">XLOOKUP(D727,Roster!F:F,Roster!E:E)</f>
        <v>Voice</v>
      </c>
      <c r="N727" s="317" t="str">
        <f t="shared" ref="N727:P727" si="740">LEFT(H727,5)</f>
        <v>10:30</v>
      </c>
      <c r="O727" s="317" t="str">
        <f t="shared" si="740"/>
        <v>13:00</v>
      </c>
      <c r="P727" s="317" t="str">
        <f t="shared" si="740"/>
        <v>15:30</v>
      </c>
      <c r="Q727" s="318">
        <f t="shared" si="664"/>
        <v>46119.4375</v>
      </c>
      <c r="R727" s="318">
        <f t="shared" si="665"/>
        <v>46119.54167</v>
      </c>
      <c r="S727" s="318">
        <f t="shared" si="8"/>
        <v>46119.64583</v>
      </c>
    </row>
    <row r="728">
      <c r="A728" s="14" t="str">
        <f t="shared" si="1"/>
        <v>C132546119</v>
      </c>
      <c r="B728" s="185">
        <f t="array" ref="B728">IF(F728="VL","",IF(F728="Free","Free",XLOOKUP(D728,Roster!T:T,Roster!S:S,"",0)))</f>
        <v>123</v>
      </c>
      <c r="C728" s="313">
        <v>46119.0</v>
      </c>
      <c r="D728" s="314" t="s">
        <v>174</v>
      </c>
      <c r="E728" s="307" t="str">
        <f t="array" ref="E728">(XLOOKUP(D728,Roster!F:F,Roster!B:B,"",0))</f>
        <v>Cristian Ferreira</v>
      </c>
      <c r="F728" s="315" t="str">
        <f t="array" ref="F728">IF(B728=100,"Free",TEXT(XLOOKUP($D728,OperationVoice!$A:$A,OperationVoice!M:M,XLOOKUP($D728,OperationTickets!$A:$A,OperationTickets!M:M,"",0)),"hh:mm"))</f>
        <v>08:00</v>
      </c>
      <c r="G728" s="309">
        <f t="shared" si="3"/>
        <v>0.7083333333</v>
      </c>
      <c r="H728" s="316" t="str">
        <f t="array" ref="H728">XLOOKUP(B728,Roster!L:L,Roster!N:N,XLOOKUP(D728,TicketsBreak!A:A,TicketsBreak!E:E,"",0),0)</f>
        <v>09:45 - 10:00 </v>
      </c>
      <c r="I728" s="316" t="str">
        <f t="array" ref="I728">XLOOKUP(B728,Roster!L:L,Roster!O:O,XLOOKUP(D728,TicketsBreak!A:A,TicketsBreak!F:F,"",0),0)</f>
        <v>12:30 - 13:00</v>
      </c>
      <c r="J728" s="316" t="str">
        <f t="array" ref="J728">XLOOKUP(B728,Roster!L:L,Roster!P:P,XLOOKUP(D728,TicketsBreak!A:A,TicketsBreak!G:G,"",0),0)</f>
        <v>15:00 - 15:15</v>
      </c>
      <c r="K728" s="310">
        <f t="shared" si="4"/>
        <v>46119</v>
      </c>
      <c r="L728" s="317">
        <f t="array" ref="L728">(XLOOKUP(D728,Roster!F:F,Roster!D:D,"",0))</f>
        <v>29</v>
      </c>
      <c r="M728" s="317" t="str">
        <f t="array" ref="M728">XLOOKUP(D728,Roster!F:F,Roster!E:E)</f>
        <v>Tickets</v>
      </c>
      <c r="N728" s="317" t="str">
        <f t="shared" ref="N728:P728" si="741">LEFT(H728,5)</f>
        <v>09:45</v>
      </c>
      <c r="O728" s="317" t="str">
        <f t="shared" si="741"/>
        <v>12:30</v>
      </c>
      <c r="P728" s="317" t="str">
        <f t="shared" si="741"/>
        <v>15:00</v>
      </c>
      <c r="Q728" s="318">
        <f t="shared" si="664"/>
        <v>46119.40625</v>
      </c>
      <c r="R728" s="318">
        <f t="shared" si="665"/>
        <v>46119.52083</v>
      </c>
      <c r="S728" s="318">
        <f t="shared" si="8"/>
        <v>46119.625</v>
      </c>
    </row>
    <row r="729">
      <c r="A729" s="14" t="str">
        <f t="shared" si="1"/>
        <v>C151046119</v>
      </c>
      <c r="B729" s="185">
        <f t="array" ref="B729">IF(F729="VL","",IF(F729="Free","Free",XLOOKUP(D729,Roster!T:T,Roster!S:S,"",0)))</f>
        <v>121</v>
      </c>
      <c r="C729" s="313">
        <v>46119.0</v>
      </c>
      <c r="D729" s="314" t="s">
        <v>24</v>
      </c>
      <c r="E729" s="307" t="str">
        <f t="array" ref="E729">(XLOOKUP(D729,Roster!F:F,Roster!B:B,"",0))</f>
        <v>Cristian Gomez</v>
      </c>
      <c r="F729" s="315" t="str">
        <f t="array" ref="F729">IF(B729=100,"Free",TEXT(XLOOKUP($D729,OperationVoice!$A:$A,OperationVoice!M:M,XLOOKUP($D729,OperationTickets!$A:$A,OperationTickets!M:M,"",0)),"hh:mm"))</f>
        <v>08:00</v>
      </c>
      <c r="G729" s="309">
        <f t="shared" si="3"/>
        <v>0.7083333333</v>
      </c>
      <c r="H729" s="316" t="str">
        <f t="array" ref="H729">XLOOKUP(B729,Roster!L:L,Roster!N:N,XLOOKUP(D729,TicketsBreak!A:A,TicketsBreak!E:E,"",0),0)</f>
        <v>09:15 - 09:30</v>
      </c>
      <c r="I729" s="316" t="str">
        <f t="array" ref="I729">XLOOKUP(B729,Roster!L:L,Roster!O:O,XLOOKUP(D729,TicketsBreak!A:A,TicketsBreak!F:F,"",0),0)</f>
        <v>11:30 - 12:00</v>
      </c>
      <c r="J729" s="316" t="str">
        <f t="array" ref="J729">XLOOKUP(B729,Roster!L:L,Roster!P:P,XLOOKUP(D729,TicketsBreak!A:A,TicketsBreak!G:G,"",0),0)</f>
        <v>14:30 - 14:45</v>
      </c>
      <c r="K729" s="310">
        <f t="shared" si="4"/>
        <v>46119</v>
      </c>
      <c r="L729" s="317">
        <f t="array" ref="L729">(XLOOKUP(D729,Roster!F:F,Roster!D:D,"",0))</f>
        <v>35</v>
      </c>
      <c r="M729" s="317" t="str">
        <f t="array" ref="M729">XLOOKUP(D729,Roster!F:F,Roster!E:E)</f>
        <v>Voice</v>
      </c>
      <c r="N729" s="317" t="str">
        <f t="shared" ref="N729:P729" si="742">LEFT(H729,5)</f>
        <v>09:15</v>
      </c>
      <c r="O729" s="317" t="str">
        <f t="shared" si="742"/>
        <v>11:30</v>
      </c>
      <c r="P729" s="317" t="str">
        <f t="shared" si="742"/>
        <v>14:30</v>
      </c>
      <c r="Q729" s="318">
        <f t="shared" si="664"/>
        <v>46119.38542</v>
      </c>
      <c r="R729" s="318">
        <f t="shared" si="665"/>
        <v>46119.47917</v>
      </c>
      <c r="S729" s="318">
        <f t="shared" si="8"/>
        <v>46119.60417</v>
      </c>
    </row>
    <row r="730">
      <c r="A730" s="14" t="str">
        <f t="shared" si="1"/>
        <v>C67346119</v>
      </c>
      <c r="B730" s="185" t="str">
        <f t="array" ref="B730">IF(F730="VL","",IF(F730="Free","Free",XLOOKUP(D730,Roster!T:T,Roster!S:S,"",0)))</f>
        <v/>
      </c>
      <c r="C730" s="313">
        <v>46119.0</v>
      </c>
      <c r="D730" s="314" t="s">
        <v>156</v>
      </c>
      <c r="E730" s="307" t="str">
        <f t="array" ref="E730">(XLOOKUP(D730,Roster!F:F,Roster!B:B,"",0))</f>
        <v>Dahiana Cano</v>
      </c>
      <c r="F730" s="315" t="str">
        <f t="array" ref="F730">IF(B730=100,"Free",TEXT(XLOOKUP($D730,OperationVoice!$A:$A,OperationVoice!M:M,XLOOKUP($D730,OperationTickets!$A:$A,OperationTickets!M:M,"",0)),"hh:mm"))</f>
        <v>08:00</v>
      </c>
      <c r="G730" s="309">
        <f t="shared" si="3"/>
        <v>0.7083333333</v>
      </c>
      <c r="H730" s="316">
        <f t="array" ref="H730">XLOOKUP(B730,Roster!L:L,Roster!N:N,XLOOKUP(D730,TicketsBreak!A:A,TicketsBreak!E:E,"",0),0)</f>
        <v>0.4583333333</v>
      </c>
      <c r="I730" s="316">
        <f t="array" ref="I730">XLOOKUP(B730,Roster!L:L,Roster!O:O,XLOOKUP(D730,TicketsBreak!A:A,TicketsBreak!F:F,"",0),0)</f>
        <v>0.5833333333</v>
      </c>
      <c r="J730" s="316">
        <f t="array" ref="J730">XLOOKUP(B730,Roster!L:L,Roster!P:P,XLOOKUP(D730,TicketsBreak!A:A,TicketsBreak!G:G,"",0),0)</f>
        <v>0.65625</v>
      </c>
      <c r="K730" s="310">
        <f t="shared" si="4"/>
        <v>46119</v>
      </c>
      <c r="L730" s="317">
        <f t="array" ref="L730">(XLOOKUP(D730,Roster!F:F,Roster!D:D,"",0))</f>
        <v>4</v>
      </c>
      <c r="M730" s="317" t="str">
        <f t="array" ref="M730">XLOOKUP(D730,Roster!F:F,Roster!E:E)</f>
        <v>Tickets</v>
      </c>
      <c r="N730" s="317" t="str">
        <f t="shared" ref="N730:P730" si="743">LEFT(H730,5)</f>
        <v>11:00</v>
      </c>
      <c r="O730" s="317" t="str">
        <f t="shared" si="743"/>
        <v>14:00</v>
      </c>
      <c r="P730" s="317" t="str">
        <f t="shared" si="743"/>
        <v>15:45</v>
      </c>
      <c r="Q730" s="318">
        <f t="shared" si="664"/>
        <v>46119.45833</v>
      </c>
      <c r="R730" s="318">
        <f t="shared" si="665"/>
        <v>46119.58333</v>
      </c>
      <c r="S730" s="318">
        <f t="shared" si="8"/>
        <v>46119.65625</v>
      </c>
    </row>
    <row r="731">
      <c r="A731" s="14" t="str">
        <f t="shared" si="1"/>
        <v>C152946119</v>
      </c>
      <c r="B731" s="185">
        <f t="array" ref="B731">IF(F731="VL","",IF(F731="Free","Free",XLOOKUP(D731,Roster!T:T,Roster!S:S,"",0)))</f>
        <v>133</v>
      </c>
      <c r="C731" s="313">
        <v>46119.0</v>
      </c>
      <c r="D731" s="314" t="s">
        <v>25</v>
      </c>
      <c r="E731" s="307" t="str">
        <f t="array" ref="E731">(XLOOKUP(D731,Roster!F:F,Roster!B:B,"",0))</f>
        <v>Daniel Barrientos</v>
      </c>
      <c r="F731" s="315" t="str">
        <f t="array" ref="F731">IF(B731=100,"Free",TEXT(XLOOKUP($D731,OperationVoice!$A:$A,OperationVoice!M:M,XLOOKUP($D731,OperationTickets!$A:$A,OperationTickets!M:M,"",0)),"hh:mm"))</f>
        <v>09:00</v>
      </c>
      <c r="G731" s="309">
        <f t="shared" si="3"/>
        <v>0.75</v>
      </c>
      <c r="H731" s="316" t="str">
        <f t="array" ref="H731">XLOOKUP(B731,Roster!L:L,Roster!N:N,XLOOKUP(D731,TicketsBreak!A:A,TicketsBreak!E:E,"",0),0)</f>
        <v>10:45 - 11:00 </v>
      </c>
      <c r="I731" s="316" t="str">
        <f t="array" ref="I731">XLOOKUP(B731,Roster!L:L,Roster!O:O,XLOOKUP(D731,TicketsBreak!A:A,TicketsBreak!F:F,"",0),0)</f>
        <v>13:30 - 14:00</v>
      </c>
      <c r="J731" s="316" t="str">
        <f t="array" ref="J731">XLOOKUP(B731,Roster!L:L,Roster!P:P,XLOOKUP(D731,TicketsBreak!A:A,TicketsBreak!G:G,"",0),0)</f>
        <v>15:45 - 16:00</v>
      </c>
      <c r="K731" s="310">
        <f t="shared" si="4"/>
        <v>46119</v>
      </c>
      <c r="L731" s="317">
        <f t="array" ref="L731">(XLOOKUP(D731,Roster!F:F,Roster!D:D,"",0))</f>
        <v>36</v>
      </c>
      <c r="M731" s="317" t="str">
        <f t="array" ref="M731">XLOOKUP(D731,Roster!F:F,Roster!E:E)</f>
        <v>Voice</v>
      </c>
      <c r="N731" s="317" t="str">
        <f t="shared" ref="N731:P731" si="744">LEFT(H731,5)</f>
        <v>10:45</v>
      </c>
      <c r="O731" s="317" t="str">
        <f t="shared" si="744"/>
        <v>13:30</v>
      </c>
      <c r="P731" s="317" t="str">
        <f t="shared" si="744"/>
        <v>15:45</v>
      </c>
      <c r="Q731" s="318">
        <f t="shared" si="664"/>
        <v>46119.44792</v>
      </c>
      <c r="R731" s="318">
        <f t="shared" si="665"/>
        <v>46119.5625</v>
      </c>
      <c r="S731" s="318">
        <f t="shared" si="8"/>
        <v>46119.65625</v>
      </c>
    </row>
    <row r="732">
      <c r="A732" s="14" t="str">
        <f t="shared" si="1"/>
        <v>C106446119</v>
      </c>
      <c r="B732" s="185" t="str">
        <f t="array" ref="B732">IF(F732="VL","",IF(F732="Free","Free",XLOOKUP(D732,Roster!T:T,Roster!S:S,"",0)))</f>
        <v/>
      </c>
      <c r="C732" s="313">
        <v>46119.0</v>
      </c>
      <c r="D732" s="314" t="s">
        <v>175</v>
      </c>
      <c r="E732" s="307" t="str">
        <f t="array" ref="E732">(XLOOKUP(D732,Roster!F:F,Roster!B:B,"",0))</f>
        <v>Daniel Urrego</v>
      </c>
      <c r="F732" s="315" t="str">
        <f t="array" ref="F732">IF(B732=100,"Free",TEXT(XLOOKUP($D732,OperationVoice!$A:$A,OperationVoice!M:M,XLOOKUP($D732,OperationTickets!$A:$A,OperationTickets!M:M,"",0)),"hh:mm"))</f>
        <v>08:00</v>
      </c>
      <c r="G732" s="309">
        <f t="shared" si="3"/>
        <v>0.7083333333</v>
      </c>
      <c r="H732" s="316" t="str">
        <f t="array" ref="H732">XLOOKUP(B732,Roster!L:L,Roster!N:N,XLOOKUP(D732,TicketsBreak!A:A,TicketsBreak!E:E,"",0),0)</f>
        <v/>
      </c>
      <c r="I732" s="316" t="str">
        <f t="array" ref="I732">XLOOKUP(B732,Roster!L:L,Roster!O:O,XLOOKUP(D732,TicketsBreak!A:A,TicketsBreak!F:F,"",0),0)</f>
        <v/>
      </c>
      <c r="J732" s="316" t="str">
        <f t="array" ref="J732">XLOOKUP(B732,Roster!L:L,Roster!P:P,XLOOKUP(D732,TicketsBreak!A:A,TicketsBreak!G:G,"",0),0)</f>
        <v/>
      </c>
      <c r="K732" s="310">
        <f t="shared" si="4"/>
        <v>46119</v>
      </c>
      <c r="L732" s="317">
        <f t="array" ref="L732">(XLOOKUP(D732,Roster!F:F,Roster!D:D,"",0))</f>
        <v>17</v>
      </c>
      <c r="M732" s="317" t="str">
        <f t="array" ref="M732">XLOOKUP(D732,Roster!F:F,Roster!E:E)</f>
        <v>Tickets</v>
      </c>
      <c r="N732" s="317" t="str">
        <f t="shared" ref="N732:P732" si="745">LEFT(H732,5)</f>
        <v/>
      </c>
      <c r="O732" s="317" t="str">
        <f t="shared" si="745"/>
        <v/>
      </c>
      <c r="P732" s="317" t="str">
        <f t="shared" si="745"/>
        <v/>
      </c>
      <c r="Q732" s="318" t="str">
        <f t="shared" si="664"/>
        <v/>
      </c>
      <c r="R732" s="318" t="str">
        <f t="shared" si="665"/>
        <v/>
      </c>
      <c r="S732" s="318" t="str">
        <f t="shared" si="8"/>
        <v/>
      </c>
    </row>
    <row r="733">
      <c r="A733" s="14" t="str">
        <f t="shared" si="1"/>
        <v>C151346119</v>
      </c>
      <c r="B733" s="185" t="str">
        <f t="array" ref="B733">IF(F733="VL","",IF(F733="Free","Free",XLOOKUP(D733,Roster!T:T,Roster!S:S,"",0)))</f>
        <v>Free</v>
      </c>
      <c r="C733" s="313">
        <v>46119.0</v>
      </c>
      <c r="D733" s="314" t="s">
        <v>26</v>
      </c>
      <c r="E733" s="307" t="str">
        <f t="array" ref="E733">(XLOOKUP(D733,Roster!F:F,Roster!B:B,"",0))</f>
        <v>David Patino</v>
      </c>
      <c r="F733" s="315" t="str">
        <f t="array" ref="F733">IF(B733=100,"Free",TEXT(XLOOKUP($D733,OperationVoice!$A:$A,OperationVoice!M:M,XLOOKUP($D733,OperationTickets!$A:$A,OperationTickets!M:M,"",0)),"hh:mm"))</f>
        <v>Free</v>
      </c>
      <c r="G733" s="309" t="str">
        <f t="shared" si="3"/>
        <v>Free</v>
      </c>
      <c r="H733" s="316" t="str">
        <f t="array" ref="H733">XLOOKUP(B733,Roster!L:L,Roster!N:N,XLOOKUP(D733,TicketsBreak!A:A,TicketsBreak!E:E,"",0),0)</f>
        <v/>
      </c>
      <c r="I733" s="316" t="str">
        <f t="array" ref="I733">XLOOKUP(B733,Roster!L:L,Roster!O:O,XLOOKUP(D733,TicketsBreak!A:A,TicketsBreak!F:F,"",0),0)</f>
        <v/>
      </c>
      <c r="J733" s="316" t="str">
        <f t="array" ref="J733">XLOOKUP(B733,Roster!L:L,Roster!P:P,XLOOKUP(D733,TicketsBreak!A:A,TicketsBreak!G:G,"",0),0)</f>
        <v/>
      </c>
      <c r="K733" s="310">
        <f t="shared" si="4"/>
        <v>46119</v>
      </c>
      <c r="L733" s="317">
        <f t="array" ref="L733">(XLOOKUP(D733,Roster!F:F,Roster!D:D,"",0))</f>
        <v>35</v>
      </c>
      <c r="M733" s="317" t="str">
        <f t="array" ref="M733">XLOOKUP(D733,Roster!F:F,Roster!E:E)</f>
        <v>Voice</v>
      </c>
      <c r="N733" s="317" t="str">
        <f t="shared" ref="N733:P733" si="746">LEFT(H733,5)</f>
        <v/>
      </c>
      <c r="O733" s="317" t="str">
        <f t="shared" si="746"/>
        <v/>
      </c>
      <c r="P733" s="317" t="str">
        <f t="shared" si="746"/>
        <v/>
      </c>
      <c r="Q733" s="318" t="str">
        <f t="shared" si="664"/>
        <v/>
      </c>
      <c r="R733" s="318" t="str">
        <f t="shared" si="665"/>
        <v/>
      </c>
      <c r="S733" s="318" t="str">
        <f t="shared" si="8"/>
        <v/>
      </c>
    </row>
    <row r="734">
      <c r="A734" s="14" t="str">
        <f t="shared" si="1"/>
        <v>C127746119</v>
      </c>
      <c r="B734" s="185">
        <f t="array" ref="B734">IF(F734="VL","",IF(F734="Free","Free",XLOOKUP(D734,Roster!T:T,Roster!S:S,"",0)))</f>
        <v>124</v>
      </c>
      <c r="C734" s="313">
        <v>46119.0</v>
      </c>
      <c r="D734" s="314" t="s">
        <v>27</v>
      </c>
      <c r="E734" s="307" t="str">
        <f t="array" ref="E734">(XLOOKUP(D734,Roster!F:F,Roster!B:B,"",0))</f>
        <v>Edwuin Martinez</v>
      </c>
      <c r="F734" s="315" t="str">
        <f t="array" ref="F734">IF(B734=100,"Free",TEXT(XLOOKUP($D734,OperationVoice!$A:$A,OperationVoice!M:M,XLOOKUP($D734,OperationTickets!$A:$A,OperationTickets!M:M,"",0)),"hh:mm"))</f>
        <v>08:00</v>
      </c>
      <c r="G734" s="309">
        <f t="shared" si="3"/>
        <v>0.7083333333</v>
      </c>
      <c r="H734" s="316" t="str">
        <f t="array" ref="H734">XLOOKUP(B734,Roster!L:L,Roster!N:N,XLOOKUP(D734,TicketsBreak!A:A,TicketsBreak!E:E,"",0),0)</f>
        <v>10:00 - 10:15</v>
      </c>
      <c r="I734" s="316" t="str">
        <f t="array" ref="I734">XLOOKUP(B734,Roster!L:L,Roster!O:O,XLOOKUP(D734,TicketsBreak!A:A,TicketsBreak!F:F,"",0),0)</f>
        <v>13:00 - 13:30</v>
      </c>
      <c r="J734" s="316" t="str">
        <f t="array" ref="J734">XLOOKUP(B734,Roster!L:L,Roster!P:P,XLOOKUP(D734,TicketsBreak!A:A,TicketsBreak!G:G,"",0),0)</f>
        <v>15:30 - 15:45</v>
      </c>
      <c r="K734" s="310">
        <f t="shared" si="4"/>
        <v>46119</v>
      </c>
      <c r="L734" s="317">
        <f t="array" ref="L734">(XLOOKUP(D734,Roster!F:F,Roster!D:D,"",0))</f>
        <v>27</v>
      </c>
      <c r="M734" s="317" t="str">
        <f t="array" ref="M734">XLOOKUP(D734,Roster!F:F,Roster!E:E)</f>
        <v>Voice</v>
      </c>
      <c r="N734" s="317" t="str">
        <f t="shared" ref="N734:P734" si="747">LEFT(H734,5)</f>
        <v>10:00</v>
      </c>
      <c r="O734" s="317" t="str">
        <f t="shared" si="747"/>
        <v>13:00</v>
      </c>
      <c r="P734" s="317" t="str">
        <f t="shared" si="747"/>
        <v>15:30</v>
      </c>
      <c r="Q734" s="318">
        <f t="shared" si="664"/>
        <v>46119.41667</v>
      </c>
      <c r="R734" s="318">
        <f t="shared" si="665"/>
        <v>46119.54167</v>
      </c>
      <c r="S734" s="318">
        <f t="shared" si="8"/>
        <v>46119.64583</v>
      </c>
    </row>
    <row r="735">
      <c r="A735" s="14" t="str">
        <f t="shared" si="1"/>
        <v>C121646119</v>
      </c>
      <c r="B735" s="185" t="str">
        <f t="array" ref="B735">IF(F735="VL","",IF(F735="Free","Free",XLOOKUP(D735,Roster!T:T,Roster!S:S,"",0)))</f>
        <v/>
      </c>
      <c r="C735" s="313">
        <v>46119.0</v>
      </c>
      <c r="D735" s="314" t="s">
        <v>134</v>
      </c>
      <c r="E735" s="307" t="str">
        <f t="array" ref="E735">(XLOOKUP(D735,Roster!F:F,Roster!B:B,"",0))</f>
        <v>Eliana Pena</v>
      </c>
      <c r="F735" s="315" t="str">
        <f t="array" ref="F735">IF(B735=100,"Free",TEXT(XLOOKUP($D735,OperationVoice!$A:$A,OperationVoice!M:M,XLOOKUP($D735,OperationTickets!$A:$A,OperationTickets!M:M,"",0)),"hh:mm"))</f>
        <v>08:00</v>
      </c>
      <c r="G735" s="309">
        <f t="shared" si="3"/>
        <v>0.7083333333</v>
      </c>
      <c r="H735" s="316">
        <f t="array" ref="H735">XLOOKUP(B735,Roster!L:L,Roster!N:N,XLOOKUP(D735,TicketsBreak!A:A,TicketsBreak!E:E,"",0),0)</f>
        <v>0.3958333333</v>
      </c>
      <c r="I735" s="316">
        <f t="array" ref="I735">XLOOKUP(B735,Roster!L:L,Roster!O:O,XLOOKUP(D735,TicketsBreak!A:A,TicketsBreak!F:F,"",0),0)</f>
        <v>0.5416666667</v>
      </c>
      <c r="J735" s="316">
        <f t="array" ref="J735">XLOOKUP(B735,Roster!L:L,Roster!P:P,XLOOKUP(D735,TicketsBreak!A:A,TicketsBreak!G:G,"",0),0)</f>
        <v>0.6354166667</v>
      </c>
      <c r="K735" s="310">
        <f t="shared" si="4"/>
        <v>46119</v>
      </c>
      <c r="L735" s="317">
        <f t="array" ref="L735">(XLOOKUP(D735,Roster!F:F,Roster!D:D,"",0))</f>
        <v>26</v>
      </c>
      <c r="M735" s="317" t="str">
        <f t="array" ref="M735">XLOOKUP(D735,Roster!F:F,Roster!E:E)</f>
        <v>Tickets</v>
      </c>
      <c r="N735" s="317" t="str">
        <f t="shared" ref="N735:P735" si="748">LEFT(H735,5)</f>
        <v>09:30</v>
      </c>
      <c r="O735" s="317" t="str">
        <f t="shared" si="748"/>
        <v>13:00</v>
      </c>
      <c r="P735" s="317" t="str">
        <f t="shared" si="748"/>
        <v>15:15</v>
      </c>
      <c r="Q735" s="318">
        <f t="shared" si="664"/>
        <v>46119.39583</v>
      </c>
      <c r="R735" s="318">
        <f t="shared" si="665"/>
        <v>46119.54167</v>
      </c>
      <c r="S735" s="318">
        <f t="shared" si="8"/>
        <v>46119.63542</v>
      </c>
    </row>
    <row r="736">
      <c r="A736" s="14" t="str">
        <f t="shared" si="1"/>
        <v>C157346119</v>
      </c>
      <c r="B736" s="185">
        <f t="array" ref="B736">IF(F736="VL","",IF(F736="Free","Free",XLOOKUP(D736,Roster!T:T,Roster!S:S,"",0)))</f>
        <v>123</v>
      </c>
      <c r="C736" s="313">
        <v>46119.0</v>
      </c>
      <c r="D736" s="314" t="s">
        <v>28</v>
      </c>
      <c r="E736" s="307" t="str">
        <f t="array" ref="E736">(XLOOKUP(D736,Roster!F:F,Roster!B:B,"",0))</f>
        <v>Esteban Correa</v>
      </c>
      <c r="F736" s="315" t="str">
        <f t="array" ref="F736">IF(B736=100,"Free",TEXT(XLOOKUP($D736,OperationVoice!$A:$A,OperationVoice!M:M,XLOOKUP($D736,OperationTickets!$A:$A,OperationTickets!M:M,"",0)),"hh:mm"))</f>
        <v>08:00</v>
      </c>
      <c r="G736" s="309">
        <f t="shared" si="3"/>
        <v>0.7083333333</v>
      </c>
      <c r="H736" s="316" t="str">
        <f t="array" ref="H736">XLOOKUP(B736,Roster!L:L,Roster!N:N,XLOOKUP(D736,TicketsBreak!A:A,TicketsBreak!E:E,"",0),0)</f>
        <v>09:45 - 10:00 </v>
      </c>
      <c r="I736" s="316" t="str">
        <f t="array" ref="I736">XLOOKUP(B736,Roster!L:L,Roster!O:O,XLOOKUP(D736,TicketsBreak!A:A,TicketsBreak!F:F,"",0),0)</f>
        <v>12:30 - 13:00</v>
      </c>
      <c r="J736" s="316" t="str">
        <f t="array" ref="J736">XLOOKUP(B736,Roster!L:L,Roster!P:P,XLOOKUP(D736,TicketsBreak!A:A,TicketsBreak!G:G,"",0),0)</f>
        <v>15:00 - 15:15</v>
      </c>
      <c r="K736" s="310">
        <f t="shared" si="4"/>
        <v>46119</v>
      </c>
      <c r="L736" s="317">
        <f t="array" ref="L736">(XLOOKUP(D736,Roster!F:F,Roster!D:D,"",0))</f>
        <v>38</v>
      </c>
      <c r="M736" s="317" t="str">
        <f t="array" ref="M736">XLOOKUP(D736,Roster!F:F,Roster!E:E)</f>
        <v>Voice</v>
      </c>
      <c r="N736" s="317" t="str">
        <f t="shared" ref="N736:P736" si="749">LEFT(H736,5)</f>
        <v>09:45</v>
      </c>
      <c r="O736" s="317" t="str">
        <f t="shared" si="749"/>
        <v>12:30</v>
      </c>
      <c r="P736" s="317" t="str">
        <f t="shared" si="749"/>
        <v>15:00</v>
      </c>
      <c r="Q736" s="318">
        <f t="shared" si="664"/>
        <v>46119.40625</v>
      </c>
      <c r="R736" s="318">
        <f t="shared" si="665"/>
        <v>46119.52083</v>
      </c>
      <c r="S736" s="318">
        <f t="shared" si="8"/>
        <v>46119.625</v>
      </c>
    </row>
    <row r="737">
      <c r="A737" s="14" t="str">
        <f t="shared" si="1"/>
        <v>C71346119</v>
      </c>
      <c r="B737" s="185">
        <f t="array" ref="B737">IF(F737="VL","",IF(F737="Free","Free",XLOOKUP(D737,Roster!T:T,Roster!S:S,"",0)))</f>
        <v>125</v>
      </c>
      <c r="C737" s="313">
        <v>46119.0</v>
      </c>
      <c r="D737" s="314" t="s">
        <v>29</v>
      </c>
      <c r="E737" s="307" t="str">
        <f t="array" ref="E737">(XLOOKUP(D737,Roster!F:F,Roster!B:B,"",0))</f>
        <v>Frank Marin</v>
      </c>
      <c r="F737" s="315" t="str">
        <f t="array" ref="F737">IF(B737=100,"Free",TEXT(XLOOKUP($D737,OperationVoice!$A:$A,OperationVoice!M:M,XLOOKUP($D737,OperationTickets!$A:$A,OperationTickets!M:M,"",0)),"hh:mm"))</f>
        <v>08:00</v>
      </c>
      <c r="G737" s="309">
        <f t="shared" si="3"/>
        <v>0.7083333333</v>
      </c>
      <c r="H737" s="316" t="str">
        <f t="array" ref="H737">XLOOKUP(B737,Roster!L:L,Roster!N:N,XLOOKUP(D737,TicketsBreak!A:A,TicketsBreak!E:E,"",0),0)</f>
        <v>10:30 - 10:45</v>
      </c>
      <c r="I737" s="316" t="str">
        <f t="array" ref="I737">XLOOKUP(B737,Roster!L:L,Roster!O:O,XLOOKUP(D737,TicketsBreak!A:A,TicketsBreak!F:F,"",0),0)</f>
        <v>13:30 - 14:00</v>
      </c>
      <c r="J737" s="316" t="str">
        <f t="array" ref="J737">XLOOKUP(B737,Roster!L:L,Roster!P:P,XLOOKUP(D737,TicketsBreak!A:A,TicketsBreak!G:G,"",0),0)</f>
        <v>15:45 - 16:00</v>
      </c>
      <c r="K737" s="310">
        <f t="shared" si="4"/>
        <v>46119</v>
      </c>
      <c r="L737" s="317">
        <f t="array" ref="L737">(XLOOKUP(D737,Roster!F:F,Roster!D:D,"",0))</f>
        <v>6</v>
      </c>
      <c r="M737" s="317" t="str">
        <f t="array" ref="M737">XLOOKUP(D737,Roster!F:F,Roster!E:E)</f>
        <v>Voice</v>
      </c>
      <c r="N737" s="317" t="str">
        <f t="shared" ref="N737:P737" si="750">LEFT(H737,5)</f>
        <v>10:30</v>
      </c>
      <c r="O737" s="317" t="str">
        <f t="shared" si="750"/>
        <v>13:30</v>
      </c>
      <c r="P737" s="317" t="str">
        <f t="shared" si="750"/>
        <v>15:45</v>
      </c>
      <c r="Q737" s="318">
        <f t="shared" si="664"/>
        <v>46119.4375</v>
      </c>
      <c r="R737" s="318">
        <f t="shared" si="665"/>
        <v>46119.5625</v>
      </c>
      <c r="S737" s="318">
        <f t="shared" si="8"/>
        <v>46119.65625</v>
      </c>
    </row>
    <row r="738">
      <c r="A738" s="14" t="str">
        <f t="shared" si="1"/>
        <v>C154846119</v>
      </c>
      <c r="B738" s="185">
        <f t="array" ref="B738">IF(F738="VL","",IF(F738="Free","Free",XLOOKUP(D738,Roster!T:T,Roster!S:S,"",0)))</f>
        <v>152</v>
      </c>
      <c r="C738" s="313">
        <v>46119.0</v>
      </c>
      <c r="D738" s="314" t="s">
        <v>30</v>
      </c>
      <c r="E738" s="307" t="str">
        <f t="array" ref="E738">(XLOOKUP(D738,Roster!F:F,Roster!B:B,"",0))</f>
        <v>Frey ortiz</v>
      </c>
      <c r="F738" s="315" t="str">
        <f t="array" ref="F738">IF(B738=100,"Free",TEXT(XLOOKUP($D738,OperationVoice!$A:$A,OperationVoice!M:M,XLOOKUP($D738,OperationTickets!$A:$A,OperationTickets!M:M,"",0)),"hh:mm"))</f>
        <v>11:00</v>
      </c>
      <c r="G738" s="309">
        <f t="shared" si="3"/>
        <v>0.8333333333</v>
      </c>
      <c r="H738" s="316" t="str">
        <f t="array" ref="H738">XLOOKUP(B738,Roster!L:L,Roster!N:N,XLOOKUP(D738,TicketsBreak!A:A,TicketsBreak!E:E,"",0),0)</f>
        <v>12:30 - 12:45</v>
      </c>
      <c r="I738" s="316" t="str">
        <f t="array" ref="I738">XLOOKUP(B738,Roster!L:L,Roster!O:O,XLOOKUP(D738,TicketsBreak!A:A,TicketsBreak!F:F,"",0),0)</f>
        <v>14:30 - 15:00</v>
      </c>
      <c r="J738" s="316" t="str">
        <f t="array" ref="J738">XLOOKUP(B738,Roster!L:L,Roster!P:P,XLOOKUP(D738,TicketsBreak!A:A,TicketsBreak!G:G,"",0),0)</f>
        <v>17:30 - 17:45</v>
      </c>
      <c r="K738" s="310">
        <f t="shared" si="4"/>
        <v>46119</v>
      </c>
      <c r="L738" s="317">
        <f t="array" ref="L738">(XLOOKUP(D738,Roster!F:F,Roster!D:D,"",0))</f>
        <v>37</v>
      </c>
      <c r="M738" s="317" t="str">
        <f t="array" ref="M738">XLOOKUP(D738,Roster!F:F,Roster!E:E)</f>
        <v>Voice</v>
      </c>
      <c r="N738" s="317" t="str">
        <f t="shared" ref="N738:P738" si="751">LEFT(H738,5)</f>
        <v>12:30</v>
      </c>
      <c r="O738" s="317" t="str">
        <f t="shared" si="751"/>
        <v>14:30</v>
      </c>
      <c r="P738" s="317" t="str">
        <f t="shared" si="751"/>
        <v>17:30</v>
      </c>
      <c r="Q738" s="318">
        <f t="shared" si="664"/>
        <v>46119.52083</v>
      </c>
      <c r="R738" s="318">
        <f t="shared" si="665"/>
        <v>46119.60417</v>
      </c>
      <c r="S738" s="318">
        <f t="shared" si="8"/>
        <v>46119.72917</v>
      </c>
    </row>
    <row r="739">
      <c r="A739" s="14" t="str">
        <f t="shared" si="1"/>
        <v>C148646119</v>
      </c>
      <c r="B739" s="185">
        <f t="array" ref="B739">IF(F739="VL","",IF(F739="Free","Free",XLOOKUP(D739,Roster!T:T,Roster!S:S,"",0)))</f>
        <v>154</v>
      </c>
      <c r="C739" s="313">
        <v>46119.0</v>
      </c>
      <c r="D739" s="314" t="s">
        <v>31</v>
      </c>
      <c r="E739" s="307" t="str">
        <f t="array" ref="E739">(XLOOKUP(D739,Roster!F:F,Roster!B:B,"",0))</f>
        <v>Gabriel Gomez</v>
      </c>
      <c r="F739" s="315" t="str">
        <f t="array" ref="F739">IF(B739=100,"Free",TEXT(XLOOKUP($D739,OperationVoice!$A:$A,OperationVoice!M:M,XLOOKUP($D739,OperationTickets!$A:$A,OperationTickets!M:M,"",0)),"hh:mm"))</f>
        <v>11:00</v>
      </c>
      <c r="G739" s="309">
        <f t="shared" si="3"/>
        <v>0.8333333333</v>
      </c>
      <c r="H739" s="316" t="str">
        <f t="array" ref="H739">XLOOKUP(B739,Roster!L:L,Roster!N:N,XLOOKUP(D739,TicketsBreak!A:A,TicketsBreak!E:E,"",0),0)</f>
        <v>13:00 - 13:15</v>
      </c>
      <c r="I739" s="316" t="str">
        <f t="array" ref="I739">XLOOKUP(B739,Roster!L:L,Roster!O:O,XLOOKUP(D739,TicketsBreak!A:A,TicketsBreak!F:F,"",0),0)</f>
        <v>15:15 - 15:45</v>
      </c>
      <c r="J739" s="316" t="str">
        <f t="array" ref="J739">XLOOKUP(B739,Roster!L:L,Roster!P:P,XLOOKUP(D739,TicketsBreak!A:A,TicketsBreak!G:G,"",0),0)</f>
        <v>18:00 - 18:15</v>
      </c>
      <c r="K739" s="310">
        <f t="shared" si="4"/>
        <v>46119</v>
      </c>
      <c r="L739" s="317">
        <f t="array" ref="L739">(XLOOKUP(D739,Roster!F:F,Roster!D:D,"",0))</f>
        <v>34</v>
      </c>
      <c r="M739" s="317" t="str">
        <f t="array" ref="M739">XLOOKUP(D739,Roster!F:F,Roster!E:E)</f>
        <v>Voice</v>
      </c>
      <c r="N739" s="317" t="str">
        <f t="shared" ref="N739:P739" si="752">LEFT(H739,5)</f>
        <v>13:00</v>
      </c>
      <c r="O739" s="317" t="str">
        <f t="shared" si="752"/>
        <v>15:15</v>
      </c>
      <c r="P739" s="317" t="str">
        <f t="shared" si="752"/>
        <v>18:00</v>
      </c>
      <c r="Q739" s="318">
        <f t="shared" si="664"/>
        <v>46119.54167</v>
      </c>
      <c r="R739" s="318">
        <f t="shared" si="665"/>
        <v>46119.63542</v>
      </c>
      <c r="S739" s="318">
        <f t="shared" si="8"/>
        <v>46119.75</v>
      </c>
    </row>
    <row r="740">
      <c r="A740" s="14" t="str">
        <f t="shared" si="1"/>
        <v>C136946119</v>
      </c>
      <c r="B740" s="185">
        <f t="array" ref="B740">IF(F740="VL","",IF(F740="Free","Free",XLOOKUP(D740,Roster!T:T,Roster!S:S,"",0)))</f>
        <v>126</v>
      </c>
      <c r="C740" s="313">
        <v>46119.0</v>
      </c>
      <c r="D740" s="314" t="s">
        <v>157</v>
      </c>
      <c r="E740" s="307" t="str">
        <f t="array" ref="E740">(XLOOKUP(D740,Roster!F:F,Roster!B:B,"",0))</f>
        <v>Gabriela Jimenez</v>
      </c>
      <c r="F740" s="315" t="str">
        <f t="array" ref="F740">IF(B740=100,"Free",TEXT(XLOOKUP($D740,OperationVoice!$A:$A,OperationVoice!M:M,XLOOKUP($D740,OperationTickets!$A:$A,OperationTickets!M:M,"",0)),"hh:mm"))</f>
        <v>08:00</v>
      </c>
      <c r="G740" s="309">
        <f t="shared" si="3"/>
        <v>0.7083333333</v>
      </c>
      <c r="H740" s="316" t="str">
        <f t="array" ref="H740">XLOOKUP(B740,Roster!L:L,Roster!N:N,XLOOKUP(D740,TicketsBreak!A:A,TicketsBreak!E:E,"",0),0)</f>
        <v>10:45 - 11:00</v>
      </c>
      <c r="I740" s="316" t="str">
        <f t="array" ref="I740">XLOOKUP(B740,Roster!L:L,Roster!O:O,XLOOKUP(D740,TicketsBreak!A:A,TicketsBreak!F:F,"",0),0)</f>
        <v>14:00 - 14:30</v>
      </c>
      <c r="J740" s="316" t="str">
        <f t="array" ref="J740">XLOOKUP(B740,Roster!L:L,Roster!P:P,XLOOKUP(D740,TicketsBreak!A:A,TicketsBreak!G:G,"",0),0)</f>
        <v>15:45 - 16:00</v>
      </c>
      <c r="K740" s="310">
        <f t="shared" si="4"/>
        <v>46119</v>
      </c>
      <c r="L740" s="317">
        <f t="array" ref="L740">(XLOOKUP(D740,Roster!F:F,Roster!D:D,"",0))</f>
        <v>31</v>
      </c>
      <c r="M740" s="317" t="str">
        <f t="array" ref="M740">XLOOKUP(D740,Roster!F:F,Roster!E:E)</f>
        <v>Tickets</v>
      </c>
      <c r="N740" s="317" t="str">
        <f t="shared" ref="N740:P740" si="753">LEFT(H740,5)</f>
        <v>10:45</v>
      </c>
      <c r="O740" s="317" t="str">
        <f t="shared" si="753"/>
        <v>14:00</v>
      </c>
      <c r="P740" s="317" t="str">
        <f t="shared" si="753"/>
        <v>15:45</v>
      </c>
      <c r="Q740" s="318">
        <f t="shared" si="664"/>
        <v>46119.44792</v>
      </c>
      <c r="R740" s="318">
        <f t="shared" si="665"/>
        <v>46119.58333</v>
      </c>
      <c r="S740" s="318">
        <f t="shared" si="8"/>
        <v>46119.65625</v>
      </c>
    </row>
    <row r="741">
      <c r="A741" s="14" t="str">
        <f t="shared" si="1"/>
        <v>C101746119</v>
      </c>
      <c r="B741" s="185">
        <f t="array" ref="B741">IF(F741="VL","",IF(F741="Free","Free",XLOOKUP(D741,Roster!T:T,Roster!S:S,"",0)))</f>
        <v>121</v>
      </c>
      <c r="C741" s="313">
        <v>46119.0</v>
      </c>
      <c r="D741" s="314" t="s">
        <v>32</v>
      </c>
      <c r="E741" s="307" t="str">
        <f t="array" ref="E741">(XLOOKUP(D741,Roster!F:F,Roster!B:B,"",0))</f>
        <v>Geraldine Correa</v>
      </c>
      <c r="F741" s="315" t="str">
        <f t="array" ref="F741">IF(B741=100,"Free",TEXT(XLOOKUP($D741,OperationVoice!$A:$A,OperationVoice!M:M,XLOOKUP($D741,OperationTickets!$A:$A,OperationTickets!M:M,"",0)),"hh:mm"))</f>
        <v>08:00</v>
      </c>
      <c r="G741" s="309">
        <f t="shared" si="3"/>
        <v>0.7083333333</v>
      </c>
      <c r="H741" s="316" t="str">
        <f t="array" ref="H741">XLOOKUP(B741,Roster!L:L,Roster!N:N,XLOOKUP(D741,TicketsBreak!A:A,TicketsBreak!E:E,"",0),0)</f>
        <v>09:15 - 09:30</v>
      </c>
      <c r="I741" s="316" t="str">
        <f t="array" ref="I741">XLOOKUP(B741,Roster!L:L,Roster!O:O,XLOOKUP(D741,TicketsBreak!A:A,TicketsBreak!F:F,"",0),0)</f>
        <v>11:30 - 12:00</v>
      </c>
      <c r="J741" s="316" t="str">
        <f t="array" ref="J741">XLOOKUP(B741,Roster!L:L,Roster!P:P,XLOOKUP(D741,TicketsBreak!A:A,TicketsBreak!G:G,"",0),0)</f>
        <v>14:30 - 14:45</v>
      </c>
      <c r="K741" s="310">
        <f t="shared" si="4"/>
        <v>46119</v>
      </c>
      <c r="L741" s="317">
        <f t="array" ref="L741">(XLOOKUP(D741,Roster!F:F,Roster!D:D,"",0))</f>
        <v>23</v>
      </c>
      <c r="M741" s="317" t="str">
        <f t="array" ref="M741">XLOOKUP(D741,Roster!F:F,Roster!E:E)</f>
        <v>Voice</v>
      </c>
      <c r="N741" s="317" t="str">
        <f t="shared" ref="N741:P741" si="754">LEFT(H741,5)</f>
        <v>09:15</v>
      </c>
      <c r="O741" s="317" t="str">
        <f t="shared" si="754"/>
        <v>11:30</v>
      </c>
      <c r="P741" s="317" t="str">
        <f t="shared" si="754"/>
        <v>14:30</v>
      </c>
      <c r="Q741" s="318">
        <f t="shared" si="664"/>
        <v>46119.38542</v>
      </c>
      <c r="R741" s="318">
        <f t="shared" si="665"/>
        <v>46119.47917</v>
      </c>
      <c r="S741" s="318">
        <f t="shared" si="8"/>
        <v>46119.60417</v>
      </c>
    </row>
    <row r="742">
      <c r="A742" s="14" t="str">
        <f t="shared" si="1"/>
        <v>C154146119</v>
      </c>
      <c r="B742" s="185">
        <f t="array" ref="B742">IF(F742="VL","",IF(F742="Free","Free",XLOOKUP(D742,Roster!T:T,Roster!S:S,"",0)))</f>
        <v>155</v>
      </c>
      <c r="C742" s="313">
        <v>46119.0</v>
      </c>
      <c r="D742" s="314" t="s">
        <v>33</v>
      </c>
      <c r="E742" s="307" t="str">
        <f t="array" ref="E742">(XLOOKUP(D742,Roster!F:F,Roster!B:B,"",0))</f>
        <v>Gisel Moya</v>
      </c>
      <c r="F742" s="315" t="str">
        <f t="array" ref="F742">IF(B742=100,"Free",TEXT(XLOOKUP($D742,OperationVoice!$A:$A,OperationVoice!M:M,XLOOKUP($D742,OperationTickets!$A:$A,OperationTickets!M:M,"",0)),"hh:mm"))</f>
        <v>11:00</v>
      </c>
      <c r="G742" s="309">
        <f t="shared" si="3"/>
        <v>0.8333333333</v>
      </c>
      <c r="H742" s="316" t="str">
        <f t="array" ref="H742">XLOOKUP(B742,Roster!L:L,Roster!N:N,XLOOKUP(D742,TicketsBreak!A:A,TicketsBreak!E:E,"",0),0)</f>
        <v>13:15 - 13:30</v>
      </c>
      <c r="I742" s="316" t="str">
        <f t="array" ref="I742">XLOOKUP(B742,Roster!L:L,Roster!O:O,XLOOKUP(D742,TicketsBreak!A:A,TicketsBreak!F:F,"",0),0)</f>
        <v>15:45 - 16:15</v>
      </c>
      <c r="J742" s="316" t="str">
        <f t="array" ref="J742">XLOOKUP(B742,Roster!L:L,Roster!P:P,XLOOKUP(D742,TicketsBreak!A:A,TicketsBreak!G:G,"",0),0)</f>
        <v>18:15 - 18:30</v>
      </c>
      <c r="K742" s="310">
        <f t="shared" si="4"/>
        <v>46119</v>
      </c>
      <c r="L742" s="317">
        <f t="array" ref="L742">(XLOOKUP(D742,Roster!F:F,Roster!D:D,"",0))</f>
        <v>36</v>
      </c>
      <c r="M742" s="317" t="str">
        <f t="array" ref="M742">XLOOKUP(D742,Roster!F:F,Roster!E:E)</f>
        <v>Voice</v>
      </c>
      <c r="N742" s="317" t="str">
        <f t="shared" ref="N742:P742" si="755">LEFT(H742,5)</f>
        <v>13:15</v>
      </c>
      <c r="O742" s="317" t="str">
        <f t="shared" si="755"/>
        <v>15:45</v>
      </c>
      <c r="P742" s="317" t="str">
        <f t="shared" si="755"/>
        <v>18:15</v>
      </c>
      <c r="Q742" s="318">
        <f t="shared" si="664"/>
        <v>46119.55208</v>
      </c>
      <c r="R742" s="318">
        <f t="shared" si="665"/>
        <v>46119.65625</v>
      </c>
      <c r="S742" s="318">
        <f t="shared" si="8"/>
        <v>46119.76042</v>
      </c>
    </row>
    <row r="743">
      <c r="A743" s="14" t="str">
        <f t="shared" si="1"/>
        <v>C86046119</v>
      </c>
      <c r="B743" s="185" t="str">
        <f t="array" ref="B743">IF(F743="VL","",IF(F743="Free","Free",XLOOKUP(D743,Roster!T:T,Roster!S:S,"",0)))</f>
        <v/>
      </c>
      <c r="C743" s="313">
        <v>46119.0</v>
      </c>
      <c r="D743" s="314" t="s">
        <v>158</v>
      </c>
      <c r="E743" s="307" t="str">
        <f t="array" ref="E743">(XLOOKUP(D743,Roster!F:F,Roster!B:B,"",0))</f>
        <v>Ief Fabre</v>
      </c>
      <c r="F743" s="315" t="str">
        <f t="array" ref="F743">IF(B743=100,"Free",TEXT(XLOOKUP($D743,OperationVoice!$A:$A,OperationVoice!M:M,XLOOKUP($D743,OperationTickets!$A:$A,OperationTickets!M:M,"",0)),"hh:mm"))</f>
        <v>08:00</v>
      </c>
      <c r="G743" s="309">
        <f t="shared" si="3"/>
        <v>0.7083333333</v>
      </c>
      <c r="H743" s="316">
        <f t="array" ref="H743">XLOOKUP(B743,Roster!L:L,Roster!N:N,XLOOKUP(D743,TicketsBreak!A:A,TicketsBreak!E:E,"",0),0)</f>
        <v>0.4166666667</v>
      </c>
      <c r="I743" s="316">
        <f t="array" ref="I743">XLOOKUP(B743,Roster!L:L,Roster!O:O,XLOOKUP(D743,TicketsBreak!A:A,TicketsBreak!F:F,"",0),0)</f>
        <v>0.5</v>
      </c>
      <c r="J743" s="316">
        <f t="array" ref="J743">XLOOKUP(B743,Roster!L:L,Roster!P:P,XLOOKUP(D743,TicketsBreak!A:A,TicketsBreak!G:G,"",0),0)</f>
        <v>0.625</v>
      </c>
      <c r="K743" s="310">
        <f t="shared" si="4"/>
        <v>46119</v>
      </c>
      <c r="L743" s="317">
        <f t="array" ref="L743">(XLOOKUP(D743,Roster!F:F,Roster!D:D,"",0))</f>
        <v>10</v>
      </c>
      <c r="M743" s="317" t="str">
        <f t="array" ref="M743">XLOOKUP(D743,Roster!F:F,Roster!E:E)</f>
        <v>Tickets</v>
      </c>
      <c r="N743" s="317" t="str">
        <f t="shared" ref="N743:P743" si="756">LEFT(H743,5)</f>
        <v>10:00</v>
      </c>
      <c r="O743" s="317" t="str">
        <f t="shared" si="756"/>
        <v>12:00</v>
      </c>
      <c r="P743" s="317" t="str">
        <f t="shared" si="756"/>
        <v>15:00</v>
      </c>
      <c r="Q743" s="318">
        <f t="shared" si="664"/>
        <v>46119.41667</v>
      </c>
      <c r="R743" s="318">
        <f t="shared" si="665"/>
        <v>46119.5</v>
      </c>
      <c r="S743" s="318">
        <f t="shared" si="8"/>
        <v>46119.625</v>
      </c>
    </row>
    <row r="744">
      <c r="A744" s="14" t="str">
        <f t="shared" si="1"/>
        <v>C148146119</v>
      </c>
      <c r="B744" s="185">
        <f t="array" ref="B744">IF(F744="VL","",IF(F744="Free","Free",XLOOKUP(D744,Roster!T:T,Roster!S:S,"",0)))</f>
        <v>155</v>
      </c>
      <c r="C744" s="313">
        <v>46119.0</v>
      </c>
      <c r="D744" s="314" t="s">
        <v>34</v>
      </c>
      <c r="E744" s="307" t="str">
        <f t="array" ref="E744">(XLOOKUP(D744,Roster!F:F,Roster!B:B,"",0))</f>
        <v>Jasam Mejia</v>
      </c>
      <c r="F744" s="315" t="str">
        <f t="array" ref="F744">IF(B744=100,"Free",TEXT(XLOOKUP($D744,OperationVoice!$A:$A,OperationVoice!M:M,XLOOKUP($D744,OperationTickets!$A:$A,OperationTickets!M:M,"",0)),"hh:mm"))</f>
        <v>12:00</v>
      </c>
      <c r="G744" s="309">
        <f t="shared" si="3"/>
        <v>0.875</v>
      </c>
      <c r="H744" s="316" t="str">
        <f t="array" ref="H744">XLOOKUP(B744,Roster!L:L,Roster!N:N,XLOOKUP(D744,TicketsBreak!A:A,TicketsBreak!E:E,"",0),0)</f>
        <v>13:15 - 13:30</v>
      </c>
      <c r="I744" s="316" t="str">
        <f t="array" ref="I744">XLOOKUP(B744,Roster!L:L,Roster!O:O,XLOOKUP(D744,TicketsBreak!A:A,TicketsBreak!F:F,"",0),0)</f>
        <v>15:45 - 16:15</v>
      </c>
      <c r="J744" s="316" t="str">
        <f t="array" ref="J744">XLOOKUP(B744,Roster!L:L,Roster!P:P,XLOOKUP(D744,TicketsBreak!A:A,TicketsBreak!G:G,"",0),0)</f>
        <v>18:15 - 18:30</v>
      </c>
      <c r="K744" s="310">
        <f t="shared" si="4"/>
        <v>46119</v>
      </c>
      <c r="L744" s="317">
        <f t="array" ref="L744">(XLOOKUP(D744,Roster!F:F,Roster!D:D,"",0))</f>
        <v>34</v>
      </c>
      <c r="M744" s="317" t="str">
        <f t="array" ref="M744">XLOOKUP(D744,Roster!F:F,Roster!E:E)</f>
        <v>Voice</v>
      </c>
      <c r="N744" s="317" t="str">
        <f t="shared" ref="N744:P744" si="757">LEFT(H744,5)</f>
        <v>13:15</v>
      </c>
      <c r="O744" s="317" t="str">
        <f t="shared" si="757"/>
        <v>15:45</v>
      </c>
      <c r="P744" s="317" t="str">
        <f t="shared" si="757"/>
        <v>18:15</v>
      </c>
      <c r="Q744" s="318">
        <f t="shared" si="664"/>
        <v>46119.55208</v>
      </c>
      <c r="R744" s="318">
        <f t="shared" si="665"/>
        <v>46119.65625</v>
      </c>
      <c r="S744" s="318">
        <f t="shared" si="8"/>
        <v>46119.76042</v>
      </c>
    </row>
    <row r="745">
      <c r="A745" s="14" t="str">
        <f t="shared" si="1"/>
        <v>C131846119</v>
      </c>
      <c r="B745" s="185" t="str">
        <f t="array" ref="B745">IF(F745="VL","",IF(F745="Free","Free",XLOOKUP(D745,Roster!T:T,Roster!S:S,"",0)))</f>
        <v/>
      </c>
      <c r="C745" s="313">
        <v>46119.0</v>
      </c>
      <c r="D745" s="314" t="s">
        <v>159</v>
      </c>
      <c r="E745" s="307" t="str">
        <f t="array" ref="E745">(XLOOKUP(D745,Roster!F:F,Roster!B:B,"",0))</f>
        <v>Jeampierre Jaramillo</v>
      </c>
      <c r="F745" s="315" t="str">
        <f t="array" ref="F745">IF(B745=100,"Free",TEXT(XLOOKUP($D745,OperationVoice!$A:$A,OperationVoice!M:M,XLOOKUP($D745,OperationTickets!$A:$A,OperationTickets!M:M,"",0)),"hh:mm"))</f>
        <v>07:00</v>
      </c>
      <c r="G745" s="309">
        <f t="shared" si="3"/>
        <v>0.6666666667</v>
      </c>
      <c r="H745" s="316" t="str">
        <f t="array" ref="H745">XLOOKUP(B745,Roster!L:L,Roster!N:N,XLOOKUP(D745,TicketsBreak!A:A,TicketsBreak!E:E,"",0),0)</f>
        <v/>
      </c>
      <c r="I745" s="316" t="str">
        <f t="array" ref="I745">XLOOKUP(B745,Roster!L:L,Roster!O:O,XLOOKUP(D745,TicketsBreak!A:A,TicketsBreak!F:F,"",0),0)</f>
        <v/>
      </c>
      <c r="J745" s="316" t="str">
        <f t="array" ref="J745">XLOOKUP(B745,Roster!L:L,Roster!P:P,XLOOKUP(D745,TicketsBreak!A:A,TicketsBreak!G:G,"",0),0)</f>
        <v/>
      </c>
      <c r="K745" s="310">
        <f t="shared" si="4"/>
        <v>46119</v>
      </c>
      <c r="L745" s="317">
        <f t="array" ref="L745">(XLOOKUP(D745,Roster!F:F,Roster!D:D,"",0))</f>
        <v>29</v>
      </c>
      <c r="M745" s="317" t="str">
        <f t="array" ref="M745">XLOOKUP(D745,Roster!F:F,Roster!E:E)</f>
        <v>Tickets</v>
      </c>
      <c r="N745" s="317" t="str">
        <f t="shared" ref="N745:P745" si="758">LEFT(H745,5)</f>
        <v/>
      </c>
      <c r="O745" s="317" t="str">
        <f t="shared" si="758"/>
        <v/>
      </c>
      <c r="P745" s="317" t="str">
        <f t="shared" si="758"/>
        <v/>
      </c>
      <c r="Q745" s="318" t="str">
        <f t="shared" si="664"/>
        <v/>
      </c>
      <c r="R745" s="318" t="str">
        <f t="shared" si="665"/>
        <v/>
      </c>
      <c r="S745" s="318" t="str">
        <f t="shared" si="8"/>
        <v/>
      </c>
    </row>
    <row r="746">
      <c r="A746" s="14" t="str">
        <f t="shared" si="1"/>
        <v>C155046119</v>
      </c>
      <c r="B746" s="185">
        <f t="array" ref="B746">IF(F746="VL","",IF(F746="Free","Free",XLOOKUP(D746,Roster!T:T,Roster!S:S,"",0)))</f>
        <v>126</v>
      </c>
      <c r="C746" s="313">
        <v>46119.0</v>
      </c>
      <c r="D746" s="314" t="s">
        <v>35</v>
      </c>
      <c r="E746" s="307" t="str">
        <f t="array" ref="E746">(XLOOKUP(D746,Roster!F:F,Roster!B:B,"",0))</f>
        <v>Jeidin Vargas</v>
      </c>
      <c r="F746" s="315" t="str">
        <f t="array" ref="F746">IF(B746=100,"Free",TEXT(XLOOKUP($D746,OperationVoice!$A:$A,OperationVoice!M:M,XLOOKUP($D746,OperationTickets!$A:$A,OperationTickets!M:M,"",0)),"hh:mm"))</f>
        <v>08:00</v>
      </c>
      <c r="G746" s="309">
        <f t="shared" si="3"/>
        <v>0.7083333333</v>
      </c>
      <c r="H746" s="316" t="str">
        <f t="array" ref="H746">XLOOKUP(B746,Roster!L:L,Roster!N:N,XLOOKUP(D746,TicketsBreak!A:A,TicketsBreak!E:E,"",0),0)</f>
        <v>10:45 - 11:00</v>
      </c>
      <c r="I746" s="316" t="str">
        <f t="array" ref="I746">XLOOKUP(B746,Roster!L:L,Roster!O:O,XLOOKUP(D746,TicketsBreak!A:A,TicketsBreak!F:F,"",0),0)</f>
        <v>14:00 - 14:30</v>
      </c>
      <c r="J746" s="316" t="str">
        <f t="array" ref="J746">XLOOKUP(B746,Roster!L:L,Roster!P:P,XLOOKUP(D746,TicketsBreak!A:A,TicketsBreak!G:G,"",0),0)</f>
        <v>15:45 - 16:00</v>
      </c>
      <c r="K746" s="310">
        <f t="shared" si="4"/>
        <v>46119</v>
      </c>
      <c r="L746" s="317">
        <f t="array" ref="L746">(XLOOKUP(D746,Roster!F:F,Roster!D:D,"",0))</f>
        <v>37</v>
      </c>
      <c r="M746" s="317" t="str">
        <f t="array" ref="M746">XLOOKUP(D746,Roster!F:F,Roster!E:E)</f>
        <v>Voice</v>
      </c>
      <c r="N746" s="317" t="str">
        <f t="shared" ref="N746:P746" si="759">LEFT(H746,5)</f>
        <v>10:45</v>
      </c>
      <c r="O746" s="317" t="str">
        <f t="shared" si="759"/>
        <v>14:00</v>
      </c>
      <c r="P746" s="317" t="str">
        <f t="shared" si="759"/>
        <v>15:45</v>
      </c>
      <c r="Q746" s="318">
        <f t="shared" si="664"/>
        <v>46119.44792</v>
      </c>
      <c r="R746" s="318">
        <f t="shared" si="665"/>
        <v>46119.58333</v>
      </c>
      <c r="S746" s="318">
        <f t="shared" si="8"/>
        <v>46119.65625</v>
      </c>
    </row>
    <row r="747">
      <c r="A747" s="14" t="str">
        <f t="shared" si="1"/>
        <v>C51246119</v>
      </c>
      <c r="B747" s="185">
        <f t="array" ref="B747">IF(F747="VL","",IF(F747="Free","Free",XLOOKUP(D747,Roster!T:T,Roster!S:S,"",0)))</f>
        <v>122</v>
      </c>
      <c r="C747" s="313">
        <v>46119.0</v>
      </c>
      <c r="D747" s="314" t="s">
        <v>36</v>
      </c>
      <c r="E747" s="307" t="str">
        <f t="array" ref="E747">(XLOOKUP(D747,Roster!F:F,Roster!B:B,"",0))</f>
        <v>Jhoam Quiroz</v>
      </c>
      <c r="F747" s="315" t="str">
        <f t="array" ref="F747">IF(B747=100,"Free",TEXT(XLOOKUP($D747,OperationVoice!$A:$A,OperationVoice!M:M,XLOOKUP($D747,OperationTickets!$A:$A,OperationTickets!M:M,"",0)),"hh:mm"))</f>
        <v>08:00</v>
      </c>
      <c r="G747" s="309">
        <f t="shared" si="3"/>
        <v>0.7083333333</v>
      </c>
      <c r="H747" s="316" t="str">
        <f t="array" ref="H747">XLOOKUP(B747,Roster!L:L,Roster!N:N,XLOOKUP(D747,TicketsBreak!A:A,TicketsBreak!E:E,"",0),0)</f>
        <v>09:30 - 09:45</v>
      </c>
      <c r="I747" s="316" t="str">
        <f t="array" ref="I747">XLOOKUP(B747,Roster!L:L,Roster!O:O,XLOOKUP(D747,TicketsBreak!A:A,TicketsBreak!F:F,"",0),0)</f>
        <v>12:00 - 12:30</v>
      </c>
      <c r="J747" s="316" t="str">
        <f t="array" ref="J747">XLOOKUP(B747,Roster!L:L,Roster!P:P,XLOOKUP(D747,TicketsBreak!A:A,TicketsBreak!G:G,"",0),0)</f>
        <v>14:45 - 15:00</v>
      </c>
      <c r="K747" s="310">
        <f t="shared" si="4"/>
        <v>46119</v>
      </c>
      <c r="L747" s="317">
        <f t="array" ref="L747">(XLOOKUP(D747,Roster!F:F,Roster!D:D,"",0))</f>
        <v>1</v>
      </c>
      <c r="M747" s="317" t="str">
        <f t="array" ref="M747">XLOOKUP(D747,Roster!F:F,Roster!E:E)</f>
        <v>Voice</v>
      </c>
      <c r="N747" s="317" t="str">
        <f t="shared" ref="N747:P747" si="760">LEFT(H747,5)</f>
        <v>09:30</v>
      </c>
      <c r="O747" s="317" t="str">
        <f t="shared" si="760"/>
        <v>12:00</v>
      </c>
      <c r="P747" s="317" t="str">
        <f t="shared" si="760"/>
        <v>14:45</v>
      </c>
      <c r="Q747" s="318">
        <f t="shared" si="664"/>
        <v>46119.39583</v>
      </c>
      <c r="R747" s="318">
        <f t="shared" si="665"/>
        <v>46119.5</v>
      </c>
      <c r="S747" s="318">
        <f t="shared" si="8"/>
        <v>46119.61458</v>
      </c>
    </row>
    <row r="748">
      <c r="A748" s="14" t="str">
        <f t="shared" si="1"/>
        <v>C150946119</v>
      </c>
      <c r="B748" s="185">
        <f t="array" ref="B748">IF(F748="VL","",IF(F748="Free","Free",XLOOKUP(D748,Roster!T:T,Roster!S:S,"",0)))</f>
        <v>121</v>
      </c>
      <c r="C748" s="313">
        <v>46119.0</v>
      </c>
      <c r="D748" s="314" t="s">
        <v>37</v>
      </c>
      <c r="E748" s="307" t="str">
        <f t="array" ref="E748">(XLOOKUP(D748,Roster!F:F,Roster!B:B,"",0))</f>
        <v>Jhonatan Gomez</v>
      </c>
      <c r="F748" s="315" t="str">
        <f t="array" ref="F748">IF(B748=100,"Free",TEXT(XLOOKUP($D748,OperationVoice!$A:$A,OperationVoice!M:M,XLOOKUP($D748,OperationTickets!$A:$A,OperationTickets!M:M,"",0)),"hh:mm"))</f>
        <v>08:00</v>
      </c>
      <c r="G748" s="309">
        <f t="shared" si="3"/>
        <v>0.7083333333</v>
      </c>
      <c r="H748" s="316" t="str">
        <f t="array" ref="H748">XLOOKUP(B748,Roster!L:L,Roster!N:N,XLOOKUP(D748,TicketsBreak!A:A,TicketsBreak!E:E,"",0),0)</f>
        <v>09:15 - 09:30</v>
      </c>
      <c r="I748" s="316" t="str">
        <f t="array" ref="I748">XLOOKUP(B748,Roster!L:L,Roster!O:O,XLOOKUP(D748,TicketsBreak!A:A,TicketsBreak!F:F,"",0),0)</f>
        <v>11:30 - 12:00</v>
      </c>
      <c r="J748" s="316" t="str">
        <f t="array" ref="J748">XLOOKUP(B748,Roster!L:L,Roster!P:P,XLOOKUP(D748,TicketsBreak!A:A,TicketsBreak!G:G,"",0),0)</f>
        <v>14:30 - 14:45</v>
      </c>
      <c r="K748" s="310">
        <f t="shared" si="4"/>
        <v>46119</v>
      </c>
      <c r="L748" s="317">
        <f t="array" ref="L748">(XLOOKUP(D748,Roster!F:F,Roster!D:D,"",0))</f>
        <v>35</v>
      </c>
      <c r="M748" s="317" t="str">
        <f t="array" ref="M748">XLOOKUP(D748,Roster!F:F,Roster!E:E)</f>
        <v>Voice</v>
      </c>
      <c r="N748" s="317" t="str">
        <f t="shared" ref="N748:P748" si="761">LEFT(H748,5)</f>
        <v>09:15</v>
      </c>
      <c r="O748" s="317" t="str">
        <f t="shared" si="761"/>
        <v>11:30</v>
      </c>
      <c r="P748" s="317" t="str">
        <f t="shared" si="761"/>
        <v>14:30</v>
      </c>
      <c r="Q748" s="318">
        <f t="shared" si="664"/>
        <v>46119.38542</v>
      </c>
      <c r="R748" s="318">
        <f t="shared" si="665"/>
        <v>46119.47917</v>
      </c>
      <c r="S748" s="318">
        <f t="shared" si="8"/>
        <v>46119.60417</v>
      </c>
    </row>
    <row r="749">
      <c r="A749" s="14" t="str">
        <f t="shared" si="1"/>
        <v>C151546119</v>
      </c>
      <c r="B749" s="185">
        <f t="array" ref="B749">IF(F749="VL","",IF(F749="Free","Free",XLOOKUP(D749,Roster!T:T,Roster!S:S,"",0)))</f>
        <v>151</v>
      </c>
      <c r="C749" s="313">
        <v>46119.0</v>
      </c>
      <c r="D749" s="314" t="s">
        <v>38</v>
      </c>
      <c r="E749" s="307" t="str">
        <f t="array" ref="E749">(XLOOKUP(D749,Roster!F:F,Roster!B:B,"",0))</f>
        <v>Joan Perez</v>
      </c>
      <c r="F749" s="315" t="str">
        <f t="array" ref="F749">IF(B749=100,"Free",TEXT(XLOOKUP($D749,OperationVoice!$A:$A,OperationVoice!M:M,XLOOKUP($D749,OperationTickets!$A:$A,OperationTickets!M:M,"",0)),"hh:mm"))</f>
        <v/>
      </c>
      <c r="G749" s="309" t="str">
        <f t="shared" si="3"/>
        <v/>
      </c>
      <c r="H749" s="316" t="str">
        <f t="array" ref="H749">XLOOKUP(B749,Roster!L:L,Roster!N:N,XLOOKUP(D749,TicketsBreak!A:A,TicketsBreak!E:E,"",0),0)</f>
        <v>12:15 - 12:30</v>
      </c>
      <c r="I749" s="316" t="str">
        <f t="array" ref="I749">XLOOKUP(B749,Roster!L:L,Roster!O:O,XLOOKUP(D749,TicketsBreak!A:A,TicketsBreak!F:F,"",0),0)</f>
        <v>14:00 - 14:30</v>
      </c>
      <c r="J749" s="316" t="str">
        <f t="array" ref="J749">XLOOKUP(B749,Roster!L:L,Roster!P:P,XLOOKUP(D749,TicketsBreak!A:A,TicketsBreak!G:G,"",0),0)</f>
        <v>17:15 - 17:30</v>
      </c>
      <c r="K749" s="310">
        <f t="shared" si="4"/>
        <v>46119</v>
      </c>
      <c r="L749" s="317">
        <f t="array" ref="L749">(XLOOKUP(D749,Roster!F:F,Roster!D:D,"",0))</f>
        <v>35</v>
      </c>
      <c r="M749" s="317" t="str">
        <f t="array" ref="M749">XLOOKUP(D749,Roster!F:F,Roster!E:E)</f>
        <v>Voice</v>
      </c>
      <c r="N749" s="317" t="str">
        <f t="shared" ref="N749:P749" si="762">LEFT(H749,5)</f>
        <v>12:15</v>
      </c>
      <c r="O749" s="317" t="str">
        <f t="shared" si="762"/>
        <v>14:00</v>
      </c>
      <c r="P749" s="317" t="str">
        <f t="shared" si="762"/>
        <v>17:15</v>
      </c>
      <c r="Q749" s="318">
        <f t="shared" si="664"/>
        <v>46119.51042</v>
      </c>
      <c r="R749" s="318">
        <f t="shared" si="665"/>
        <v>46119.58333</v>
      </c>
      <c r="S749" s="318">
        <f t="shared" si="8"/>
        <v>46119.71875</v>
      </c>
    </row>
    <row r="750">
      <c r="A750" s="14" t="str">
        <f t="shared" si="1"/>
        <v>C128946119</v>
      </c>
      <c r="B750" s="185" t="str">
        <f t="array" ref="B750">IF(F750="VL","",IF(F750="Free","Free",XLOOKUP(D750,Roster!T:T,Roster!S:S,"",0)))</f>
        <v/>
      </c>
      <c r="C750" s="313">
        <v>46119.0</v>
      </c>
      <c r="D750" s="314" t="s">
        <v>140</v>
      </c>
      <c r="E750" s="307" t="str">
        <f t="array" ref="E750">(XLOOKUP(D750,Roster!F:F,Roster!B:B,"",0))</f>
        <v>Johana Villarreal</v>
      </c>
      <c r="F750" s="315" t="str">
        <f t="array" ref="F750">IF(B750=100,"Free",TEXT(XLOOKUP($D750,OperationVoice!$A:$A,OperationVoice!M:M,XLOOKUP($D750,OperationTickets!$A:$A,OperationTickets!M:M,"",0)),"hh:mm"))</f>
        <v>07:00</v>
      </c>
      <c r="G750" s="309">
        <f t="shared" si="3"/>
        <v>0.6666666667</v>
      </c>
      <c r="H750" s="316" t="str">
        <f t="array" ref="H750">XLOOKUP(B750,Roster!L:L,Roster!N:N,XLOOKUP(D750,TicketsBreak!A:A,TicketsBreak!E:E,"",0),0)</f>
        <v/>
      </c>
      <c r="I750" s="316" t="str">
        <f t="array" ref="I750">XLOOKUP(B750,Roster!L:L,Roster!O:O,XLOOKUP(D750,TicketsBreak!A:A,TicketsBreak!F:F,"",0),0)</f>
        <v/>
      </c>
      <c r="J750" s="316" t="str">
        <f t="array" ref="J750">XLOOKUP(B750,Roster!L:L,Roster!P:P,XLOOKUP(D750,TicketsBreak!A:A,TicketsBreak!G:G,"",0),0)</f>
        <v/>
      </c>
      <c r="K750" s="310">
        <f t="shared" si="4"/>
        <v>46119</v>
      </c>
      <c r="L750" s="317">
        <f t="array" ref="L750">(XLOOKUP(D750,Roster!F:F,Roster!D:D,"",0))</f>
        <v>28</v>
      </c>
      <c r="M750" s="317" t="str">
        <f t="array" ref="M750">XLOOKUP(D750,Roster!F:F,Roster!E:E)</f>
        <v>Tickets</v>
      </c>
      <c r="N750" s="317" t="str">
        <f t="shared" ref="N750:P750" si="763">LEFT(H750,5)</f>
        <v/>
      </c>
      <c r="O750" s="317" t="str">
        <f t="shared" si="763"/>
        <v/>
      </c>
      <c r="P750" s="317" t="str">
        <f t="shared" si="763"/>
        <v/>
      </c>
      <c r="Q750" s="318" t="str">
        <f t="shared" si="664"/>
        <v/>
      </c>
      <c r="R750" s="318" t="str">
        <f t="shared" si="665"/>
        <v/>
      </c>
      <c r="S750" s="318" t="str">
        <f t="shared" si="8"/>
        <v/>
      </c>
    </row>
    <row r="751">
      <c r="A751" s="14" t="str">
        <f t="shared" si="1"/>
        <v>C155146119</v>
      </c>
      <c r="B751" s="185">
        <f t="array" ref="B751">IF(F751="VL","",IF(F751="Free","Free",XLOOKUP(D751,Roster!T:T,Roster!S:S,"",0)))</f>
        <v>124</v>
      </c>
      <c r="C751" s="313">
        <v>46119.0</v>
      </c>
      <c r="D751" s="314" t="s">
        <v>39</v>
      </c>
      <c r="E751" s="307" t="str">
        <f t="array" ref="E751">(XLOOKUP(D751,Roster!F:F,Roster!B:B,"",0))</f>
        <v>John Atilano</v>
      </c>
      <c r="F751" s="315" t="str">
        <f t="array" ref="F751">IF(B751=100,"Free",TEXT(XLOOKUP($D751,OperationVoice!$A:$A,OperationVoice!M:M,XLOOKUP($D751,OperationTickets!$A:$A,OperationTickets!M:M,"",0)),"hh:mm"))</f>
        <v>08:00</v>
      </c>
      <c r="G751" s="309">
        <f t="shared" si="3"/>
        <v>0.7083333333</v>
      </c>
      <c r="H751" s="316" t="str">
        <f t="array" ref="H751">XLOOKUP(B751,Roster!L:L,Roster!N:N,XLOOKUP(D751,TicketsBreak!A:A,TicketsBreak!E:E,"",0),0)</f>
        <v>10:00 - 10:15</v>
      </c>
      <c r="I751" s="316" t="str">
        <f t="array" ref="I751">XLOOKUP(B751,Roster!L:L,Roster!O:O,XLOOKUP(D751,TicketsBreak!A:A,TicketsBreak!F:F,"",0),0)</f>
        <v>13:00 - 13:30</v>
      </c>
      <c r="J751" s="316" t="str">
        <f t="array" ref="J751">XLOOKUP(B751,Roster!L:L,Roster!P:P,XLOOKUP(D751,TicketsBreak!A:A,TicketsBreak!G:G,"",0),0)</f>
        <v>15:30 - 15:45</v>
      </c>
      <c r="K751" s="310">
        <f t="shared" si="4"/>
        <v>46119</v>
      </c>
      <c r="L751" s="317">
        <f t="array" ref="L751">(XLOOKUP(D751,Roster!F:F,Roster!D:D,"",0))</f>
        <v>37</v>
      </c>
      <c r="M751" s="317" t="str">
        <f t="array" ref="M751">XLOOKUP(D751,Roster!F:F,Roster!E:E)</f>
        <v>Voice</v>
      </c>
      <c r="N751" s="317" t="str">
        <f t="shared" ref="N751:P751" si="764">LEFT(H751,5)</f>
        <v>10:00</v>
      </c>
      <c r="O751" s="317" t="str">
        <f t="shared" si="764"/>
        <v>13:00</v>
      </c>
      <c r="P751" s="317" t="str">
        <f t="shared" si="764"/>
        <v>15:30</v>
      </c>
      <c r="Q751" s="318">
        <f t="shared" si="664"/>
        <v>46119.41667</v>
      </c>
      <c r="R751" s="318">
        <f t="shared" si="665"/>
        <v>46119.54167</v>
      </c>
      <c r="S751" s="318">
        <f t="shared" si="8"/>
        <v>46119.64583</v>
      </c>
    </row>
    <row r="752">
      <c r="A752" s="14" t="str">
        <f t="shared" si="1"/>
        <v>C154346119</v>
      </c>
      <c r="B752" s="185">
        <f t="array" ref="B752">IF(F752="VL","",IF(F752="Free","Free",XLOOKUP(D752,Roster!T:T,Roster!S:S,"",0)))</f>
        <v>134</v>
      </c>
      <c r="C752" s="313">
        <v>46119.0</v>
      </c>
      <c r="D752" s="314" t="s">
        <v>40</v>
      </c>
      <c r="E752" s="307" t="str">
        <f t="array" ref="E752">(XLOOKUP(D752,Roster!F:F,Roster!B:B,"",0))</f>
        <v>John Palacio</v>
      </c>
      <c r="F752" s="315" t="str">
        <f t="array" ref="F752">IF(B752=100,"Free",TEXT(XLOOKUP($D752,OperationVoice!$A:$A,OperationVoice!M:M,XLOOKUP($D752,OperationTickets!$A:$A,OperationTickets!M:M,"",0)),"hh:mm"))</f>
        <v>09:00</v>
      </c>
      <c r="G752" s="309">
        <f t="shared" si="3"/>
        <v>0.75</v>
      </c>
      <c r="H752" s="316" t="str">
        <f t="array" ref="H752">XLOOKUP(B752,Roster!L:L,Roster!N:N,XLOOKUP(D752,TicketsBreak!A:A,TicketsBreak!E:E,"",0),0)</f>
        <v>11:00 - 11:15</v>
      </c>
      <c r="I752" s="316" t="str">
        <f t="array" ref="I752">XLOOKUP(B752,Roster!L:L,Roster!O:O,XLOOKUP(D752,TicketsBreak!A:A,TicketsBreak!F:F,"",0),0)</f>
        <v>13:45 - 14:15</v>
      </c>
      <c r="J752" s="316" t="str">
        <f t="array" ref="J752">XLOOKUP(B752,Roster!L:L,Roster!P:P,XLOOKUP(D752,TicketsBreak!A:A,TicketsBreak!G:G,"",0),0)</f>
        <v>16:00 - 16:15</v>
      </c>
      <c r="K752" s="310">
        <f t="shared" si="4"/>
        <v>46119</v>
      </c>
      <c r="L752" s="317">
        <f t="array" ref="L752">(XLOOKUP(D752,Roster!F:F,Roster!D:D,"",0))</f>
        <v>36</v>
      </c>
      <c r="M752" s="317" t="str">
        <f t="array" ref="M752">XLOOKUP(D752,Roster!F:F,Roster!E:E)</f>
        <v>Voice</v>
      </c>
      <c r="N752" s="317" t="str">
        <f t="shared" ref="N752:P752" si="765">LEFT(H752,5)</f>
        <v>11:00</v>
      </c>
      <c r="O752" s="317" t="str">
        <f t="shared" si="765"/>
        <v>13:45</v>
      </c>
      <c r="P752" s="317" t="str">
        <f t="shared" si="765"/>
        <v>16:00</v>
      </c>
      <c r="Q752" s="318">
        <f t="shared" si="664"/>
        <v>46119.45833</v>
      </c>
      <c r="R752" s="318">
        <f t="shared" si="665"/>
        <v>46119.57292</v>
      </c>
      <c r="S752" s="318">
        <f t="shared" si="8"/>
        <v>46119.66667</v>
      </c>
    </row>
    <row r="753">
      <c r="A753" s="14" t="str">
        <f t="shared" si="1"/>
        <v>C154246119</v>
      </c>
      <c r="B753" s="185">
        <f t="array" ref="B753">IF(F753="VL","",IF(F753="Free","Free",XLOOKUP(D753,Roster!T:T,Roster!S:S,"",0)))</f>
        <v>124</v>
      </c>
      <c r="C753" s="313">
        <v>46119.0</v>
      </c>
      <c r="D753" s="314" t="s">
        <v>41</v>
      </c>
      <c r="E753" s="307" t="str">
        <f t="array" ref="E753">(XLOOKUP(D753,Roster!F:F,Roster!B:B,"",0))</f>
        <v>Johny Garcia</v>
      </c>
      <c r="F753" s="315" t="str">
        <f t="array" ref="F753">IF(B753=100,"Free",TEXT(XLOOKUP($D753,OperationVoice!$A:$A,OperationVoice!M:M,XLOOKUP($D753,OperationTickets!$A:$A,OperationTickets!M:M,"",0)),"hh:mm"))</f>
        <v>08:00</v>
      </c>
      <c r="G753" s="309">
        <f t="shared" si="3"/>
        <v>0.7083333333</v>
      </c>
      <c r="H753" s="316" t="str">
        <f t="array" ref="H753">XLOOKUP(B753,Roster!L:L,Roster!N:N,XLOOKUP(D753,TicketsBreak!A:A,TicketsBreak!E:E,"",0),0)</f>
        <v>10:00 - 10:15</v>
      </c>
      <c r="I753" s="316" t="str">
        <f t="array" ref="I753">XLOOKUP(B753,Roster!L:L,Roster!O:O,XLOOKUP(D753,TicketsBreak!A:A,TicketsBreak!F:F,"",0),0)</f>
        <v>13:00 - 13:30</v>
      </c>
      <c r="J753" s="316" t="str">
        <f t="array" ref="J753">XLOOKUP(B753,Roster!L:L,Roster!P:P,XLOOKUP(D753,TicketsBreak!A:A,TicketsBreak!G:G,"",0),0)</f>
        <v>15:30 - 15:45</v>
      </c>
      <c r="K753" s="310">
        <f t="shared" si="4"/>
        <v>46119</v>
      </c>
      <c r="L753" s="317">
        <f t="array" ref="L753">(XLOOKUP(D753,Roster!F:F,Roster!D:D,"",0))</f>
        <v>36</v>
      </c>
      <c r="M753" s="317" t="str">
        <f t="array" ref="M753">XLOOKUP(D753,Roster!F:F,Roster!E:E)</f>
        <v>Voice</v>
      </c>
      <c r="N753" s="317" t="str">
        <f t="shared" ref="N753:P753" si="766">LEFT(H753,5)</f>
        <v>10:00</v>
      </c>
      <c r="O753" s="317" t="str">
        <f t="shared" si="766"/>
        <v>13:00</v>
      </c>
      <c r="P753" s="317" t="str">
        <f t="shared" si="766"/>
        <v>15:30</v>
      </c>
      <c r="Q753" s="318">
        <f t="shared" si="664"/>
        <v>46119.41667</v>
      </c>
      <c r="R753" s="318">
        <f t="shared" si="665"/>
        <v>46119.54167</v>
      </c>
      <c r="S753" s="318">
        <f t="shared" si="8"/>
        <v>46119.64583</v>
      </c>
    </row>
    <row r="754">
      <c r="A754" s="14" t="str">
        <f t="shared" si="1"/>
        <v>C156946119</v>
      </c>
      <c r="B754" s="185">
        <f t="array" ref="B754">IF(F754="VL","",IF(F754="Free","Free",XLOOKUP(D754,Roster!T:T,Roster!S:S,"",0)))</f>
        <v>121</v>
      </c>
      <c r="C754" s="313">
        <v>46119.0</v>
      </c>
      <c r="D754" s="314" t="s">
        <v>42</v>
      </c>
      <c r="E754" s="307" t="str">
        <f t="array" ref="E754">(XLOOKUP(D754,Roster!F:F,Roster!B:B,"",0))</f>
        <v>Jorge Orozco</v>
      </c>
      <c r="F754" s="315" t="str">
        <f t="array" ref="F754">IF(B754=100,"Free",TEXT(XLOOKUP($D754,OperationVoice!$A:$A,OperationVoice!M:M,XLOOKUP($D754,OperationTickets!$A:$A,OperationTickets!M:M,"",0)),"hh:mm"))</f>
        <v>08:00</v>
      </c>
      <c r="G754" s="309">
        <f t="shared" si="3"/>
        <v>0.7083333333</v>
      </c>
      <c r="H754" s="316" t="str">
        <f t="array" ref="H754">XLOOKUP(B754,Roster!L:L,Roster!N:N,XLOOKUP(D754,TicketsBreak!A:A,TicketsBreak!E:E,"",0),0)</f>
        <v>09:15 - 09:30</v>
      </c>
      <c r="I754" s="316" t="str">
        <f t="array" ref="I754">XLOOKUP(B754,Roster!L:L,Roster!O:O,XLOOKUP(D754,TicketsBreak!A:A,TicketsBreak!F:F,"",0),0)</f>
        <v>11:30 - 12:00</v>
      </c>
      <c r="J754" s="316" t="str">
        <f t="array" ref="J754">XLOOKUP(B754,Roster!L:L,Roster!P:P,XLOOKUP(D754,TicketsBreak!A:A,TicketsBreak!G:G,"",0),0)</f>
        <v>14:30 - 14:45</v>
      </c>
      <c r="K754" s="310">
        <f t="shared" si="4"/>
        <v>46119</v>
      </c>
      <c r="L754" s="317">
        <f t="array" ref="L754">(XLOOKUP(D754,Roster!F:F,Roster!D:D,"",0))</f>
        <v>38</v>
      </c>
      <c r="M754" s="317" t="str">
        <f t="array" ref="M754">XLOOKUP(D754,Roster!F:F,Roster!E:E)</f>
        <v>Voice</v>
      </c>
      <c r="N754" s="317" t="str">
        <f t="shared" ref="N754:P754" si="767">LEFT(H754,5)</f>
        <v>09:15</v>
      </c>
      <c r="O754" s="317" t="str">
        <f t="shared" si="767"/>
        <v>11:30</v>
      </c>
      <c r="P754" s="317" t="str">
        <f t="shared" si="767"/>
        <v>14:30</v>
      </c>
      <c r="Q754" s="318">
        <f t="shared" si="664"/>
        <v>46119.38542</v>
      </c>
      <c r="R754" s="318">
        <f t="shared" si="665"/>
        <v>46119.47917</v>
      </c>
      <c r="S754" s="318">
        <f t="shared" si="8"/>
        <v>46119.60417</v>
      </c>
    </row>
    <row r="755">
      <c r="A755" s="14" t="str">
        <f t="shared" si="1"/>
        <v>C102746119</v>
      </c>
      <c r="B755" s="185" t="str">
        <f t="array" ref="B755">IF(F755="VL","",IF(F755="Free","Free",XLOOKUP(D755,Roster!T:T,Roster!S:S,"",0)))</f>
        <v/>
      </c>
      <c r="C755" s="313">
        <v>46119.0</v>
      </c>
      <c r="D755" s="314" t="s">
        <v>160</v>
      </c>
      <c r="E755" s="307" t="str">
        <f t="array" ref="E755">(XLOOKUP(D755,Roster!F:F,Roster!B:B,"",0))</f>
        <v>Jose Perez</v>
      </c>
      <c r="F755" s="315" t="str">
        <f t="array" ref="F755">IF(B755=100,"Free",TEXT(XLOOKUP($D755,OperationVoice!$A:$A,OperationVoice!M:M,XLOOKUP($D755,OperationTickets!$A:$A,OperationTickets!M:M,"",0)),"hh:mm"))</f>
        <v>VL</v>
      </c>
      <c r="G755" s="309" t="str">
        <f t="shared" si="3"/>
        <v>VL</v>
      </c>
      <c r="H755" s="316">
        <f t="array" ref="H755">XLOOKUP(B755,Roster!L:L,Roster!N:N,XLOOKUP(D755,TicketsBreak!A:A,TicketsBreak!E:E,"",0),0)</f>
        <v>0.4166666667</v>
      </c>
      <c r="I755" s="316">
        <f t="array" ref="I755">XLOOKUP(B755,Roster!L:L,Roster!O:O,XLOOKUP(D755,TicketsBreak!A:A,TicketsBreak!F:F,"",0),0)</f>
        <v>0.5208333333</v>
      </c>
      <c r="J755" s="316">
        <f t="array" ref="J755">XLOOKUP(B755,Roster!L:L,Roster!P:P,XLOOKUP(D755,TicketsBreak!A:A,TicketsBreak!G:G,"",0),0)</f>
        <v>0.6354166667</v>
      </c>
      <c r="K755" s="310">
        <f t="shared" si="4"/>
        <v>46119</v>
      </c>
      <c r="L755" s="317">
        <f t="array" ref="L755">(XLOOKUP(D755,Roster!F:F,Roster!D:D,"",0))</f>
        <v>15</v>
      </c>
      <c r="M755" s="317" t="str">
        <f t="array" ref="M755">XLOOKUP(D755,Roster!F:F,Roster!E:E)</f>
        <v>Tickets</v>
      </c>
      <c r="N755" s="317" t="str">
        <f t="shared" ref="N755:P755" si="768">LEFT(H755,5)</f>
        <v>10:00</v>
      </c>
      <c r="O755" s="317" t="str">
        <f t="shared" si="768"/>
        <v>12:30</v>
      </c>
      <c r="P755" s="317" t="str">
        <f t="shared" si="768"/>
        <v>15:15</v>
      </c>
      <c r="Q755" s="318">
        <f t="shared" si="664"/>
        <v>46119.41667</v>
      </c>
      <c r="R755" s="318">
        <f t="shared" si="665"/>
        <v>46119.52083</v>
      </c>
      <c r="S755" s="318">
        <f t="shared" si="8"/>
        <v>46119.63542</v>
      </c>
    </row>
    <row r="756">
      <c r="A756" s="14" t="str">
        <f t="shared" si="1"/>
        <v>C142646119</v>
      </c>
      <c r="B756" s="185">
        <f t="array" ref="B756">IF(F756="VL","",IF(F756="Free","Free",XLOOKUP(D756,Roster!T:T,Roster!S:S,"",0)))</f>
        <v>123</v>
      </c>
      <c r="C756" s="313">
        <v>46119.0</v>
      </c>
      <c r="D756" s="314" t="s">
        <v>161</v>
      </c>
      <c r="E756" s="307" t="str">
        <f t="array" ref="E756">(XLOOKUP(D756,Roster!F:F,Roster!B:B,"",0))</f>
        <v>Jose Zapata</v>
      </c>
      <c r="F756" s="315" t="str">
        <f t="array" ref="F756">IF(B756=100,"Free",TEXT(XLOOKUP($D756,OperationVoice!$A:$A,OperationVoice!M:M,XLOOKUP($D756,OperationTickets!$A:$A,OperationTickets!M:M,"",0)),"hh:mm"))</f>
        <v>08:00</v>
      </c>
      <c r="G756" s="309">
        <f t="shared" si="3"/>
        <v>0.7083333333</v>
      </c>
      <c r="H756" s="316" t="str">
        <f t="array" ref="H756">XLOOKUP(B756,Roster!L:L,Roster!N:N,XLOOKUP(D756,TicketsBreak!A:A,TicketsBreak!E:E,"",0),0)</f>
        <v>09:45 - 10:00 </v>
      </c>
      <c r="I756" s="316" t="str">
        <f t="array" ref="I756">XLOOKUP(B756,Roster!L:L,Roster!O:O,XLOOKUP(D756,TicketsBreak!A:A,TicketsBreak!F:F,"",0),0)</f>
        <v>12:30 - 13:00</v>
      </c>
      <c r="J756" s="316" t="str">
        <f t="array" ref="J756">XLOOKUP(B756,Roster!L:L,Roster!P:P,XLOOKUP(D756,TicketsBreak!A:A,TicketsBreak!G:G,"",0),0)</f>
        <v>15:00 - 15:15</v>
      </c>
      <c r="K756" s="310">
        <f t="shared" si="4"/>
        <v>46119</v>
      </c>
      <c r="L756" s="317">
        <f t="array" ref="L756">(XLOOKUP(D756,Roster!F:F,Roster!D:D,"",0))</f>
        <v>32</v>
      </c>
      <c r="M756" s="317" t="str">
        <f t="array" ref="M756">XLOOKUP(D756,Roster!F:F,Roster!E:E)</f>
        <v>Tickets</v>
      </c>
      <c r="N756" s="317" t="str">
        <f t="shared" ref="N756:P756" si="769">LEFT(H756,5)</f>
        <v>09:45</v>
      </c>
      <c r="O756" s="317" t="str">
        <f t="shared" si="769"/>
        <v>12:30</v>
      </c>
      <c r="P756" s="317" t="str">
        <f t="shared" si="769"/>
        <v>15:00</v>
      </c>
      <c r="Q756" s="318">
        <f t="shared" si="664"/>
        <v>46119.40625</v>
      </c>
      <c r="R756" s="318">
        <f t="shared" si="665"/>
        <v>46119.52083</v>
      </c>
      <c r="S756" s="318">
        <f t="shared" si="8"/>
        <v>46119.625</v>
      </c>
    </row>
    <row r="757">
      <c r="A757" s="14" t="str">
        <f t="shared" si="1"/>
        <v>C153346119</v>
      </c>
      <c r="B757" s="185">
        <f t="array" ref="B757">IF(F757="VL","",IF(F757="Free","Free",XLOOKUP(D757,Roster!T:T,Roster!S:S,"",0)))</f>
        <v>125</v>
      </c>
      <c r="C757" s="313">
        <v>46119.0</v>
      </c>
      <c r="D757" s="314" t="s">
        <v>43</v>
      </c>
      <c r="E757" s="307" t="str">
        <f t="array" ref="E757">(XLOOKUP(D757,Roster!F:F,Roster!B:B,"",0))</f>
        <v>Juan Barrera</v>
      </c>
      <c r="F757" s="315" t="str">
        <f t="array" ref="F757">IF(B757=100,"Free",TEXT(XLOOKUP($D757,OperationVoice!$A:$A,OperationVoice!M:M,XLOOKUP($D757,OperationTickets!$A:$A,OperationTickets!M:M,"",0)),"hh:mm"))</f>
        <v>08:00</v>
      </c>
      <c r="G757" s="309">
        <f t="shared" si="3"/>
        <v>0.7083333333</v>
      </c>
      <c r="H757" s="316" t="str">
        <f t="array" ref="H757">XLOOKUP(B757,Roster!L:L,Roster!N:N,XLOOKUP(D757,TicketsBreak!A:A,TicketsBreak!E:E,"",0),0)</f>
        <v>10:30 - 10:45</v>
      </c>
      <c r="I757" s="316" t="str">
        <f t="array" ref="I757">XLOOKUP(B757,Roster!L:L,Roster!O:O,XLOOKUP(D757,TicketsBreak!A:A,TicketsBreak!F:F,"",0),0)</f>
        <v>13:30 - 14:00</v>
      </c>
      <c r="J757" s="316" t="str">
        <f t="array" ref="J757">XLOOKUP(B757,Roster!L:L,Roster!P:P,XLOOKUP(D757,TicketsBreak!A:A,TicketsBreak!G:G,"",0),0)</f>
        <v>15:45 - 16:00</v>
      </c>
      <c r="K757" s="310">
        <f t="shared" si="4"/>
        <v>46119</v>
      </c>
      <c r="L757" s="317">
        <f t="array" ref="L757">(XLOOKUP(D757,Roster!F:F,Roster!D:D,"",0))</f>
        <v>36</v>
      </c>
      <c r="M757" s="317" t="str">
        <f t="array" ref="M757">XLOOKUP(D757,Roster!F:F,Roster!E:E)</f>
        <v>Voice</v>
      </c>
      <c r="N757" s="317" t="str">
        <f t="shared" ref="N757:P757" si="770">LEFT(H757,5)</f>
        <v>10:30</v>
      </c>
      <c r="O757" s="317" t="str">
        <f t="shared" si="770"/>
        <v>13:30</v>
      </c>
      <c r="P757" s="317" t="str">
        <f t="shared" si="770"/>
        <v>15:45</v>
      </c>
      <c r="Q757" s="318">
        <f t="shared" si="664"/>
        <v>46119.4375</v>
      </c>
      <c r="R757" s="318">
        <f t="shared" si="665"/>
        <v>46119.5625</v>
      </c>
      <c r="S757" s="318">
        <f t="shared" si="8"/>
        <v>46119.65625</v>
      </c>
    </row>
    <row r="758">
      <c r="A758" s="14" t="str">
        <f t="shared" si="1"/>
        <v>C146546119</v>
      </c>
      <c r="B758" s="185">
        <f t="array" ref="B758">IF(F758="VL","",IF(F758="Free","Free",XLOOKUP(D758,Roster!T:T,Roster!S:S,"",0)))</f>
        <v>500</v>
      </c>
      <c r="C758" s="313">
        <v>46119.0</v>
      </c>
      <c r="D758" s="314" t="s">
        <v>44</v>
      </c>
      <c r="E758" s="307" t="str">
        <f t="array" ref="E758">(XLOOKUP(D758,Roster!F:F,Roster!B:B,"",0))</f>
        <v>Juan Castilla</v>
      </c>
      <c r="F758" s="315" t="str">
        <f t="array" ref="F758">IF(B758=100,"Free",TEXT(XLOOKUP($D758,OperationVoice!$A:$A,OperationVoice!M:M,XLOOKUP($D758,OperationTickets!$A:$A,OperationTickets!M:M,"",0)),"hh:mm"))</f>
        <v>08:00</v>
      </c>
      <c r="G758" s="309">
        <f t="shared" si="3"/>
        <v>0.7083333333</v>
      </c>
      <c r="H758" s="316" t="str">
        <f t="array" ref="H758">XLOOKUP(B758,Roster!L:L,Roster!N:N,XLOOKUP(D758,TicketsBreak!A:A,TicketsBreak!E:E,"",0),0)</f>
        <v>Team Leader</v>
      </c>
      <c r="I758" s="316" t="str">
        <f t="array" ref="I758">XLOOKUP(B758,Roster!L:L,Roster!O:O,XLOOKUP(D758,TicketsBreak!A:A,TicketsBreak!F:F,"",0),0)</f>
        <v>Team Leader</v>
      </c>
      <c r="J758" s="316" t="str">
        <f t="array" ref="J758">XLOOKUP(B758,Roster!L:L,Roster!P:P,XLOOKUP(D758,TicketsBreak!A:A,TicketsBreak!G:G,"",0),0)</f>
        <v/>
      </c>
      <c r="K758" s="310">
        <f t="shared" si="4"/>
        <v>46119</v>
      </c>
      <c r="L758" s="317">
        <f t="array" ref="L758">(XLOOKUP(D758,Roster!F:F,Roster!D:D,"",0))</f>
        <v>33</v>
      </c>
      <c r="M758" s="317" t="str">
        <f t="array" ref="M758">XLOOKUP(D758,Roster!F:F,Roster!E:E)</f>
        <v>Voice</v>
      </c>
      <c r="N758" s="317" t="str">
        <f t="shared" ref="N758:P758" si="771">LEFT(H758,5)</f>
        <v>Team </v>
      </c>
      <c r="O758" s="317" t="str">
        <f t="shared" si="771"/>
        <v>Team </v>
      </c>
      <c r="P758" s="317" t="str">
        <f t="shared" si="771"/>
        <v/>
      </c>
      <c r="Q758" s="318" t="str">
        <f t="shared" si="664"/>
        <v>#VALUE!</v>
      </c>
      <c r="R758" s="318" t="str">
        <f t="shared" si="665"/>
        <v>#VALUE!</v>
      </c>
      <c r="S758" s="318" t="str">
        <f t="shared" si="8"/>
        <v/>
      </c>
    </row>
    <row r="759">
      <c r="A759" s="14" t="str">
        <f t="shared" si="1"/>
        <v>C72046119</v>
      </c>
      <c r="B759" s="185" t="str">
        <f t="array" ref="B759">IF(F759="VL","",IF(F759="Free","Free",XLOOKUP(D759,Roster!T:T,Roster!S:S,"",0)))</f>
        <v/>
      </c>
      <c r="C759" s="313">
        <v>46119.0</v>
      </c>
      <c r="D759" s="314" t="s">
        <v>162</v>
      </c>
      <c r="E759" s="307" t="str">
        <f t="array" ref="E759">(XLOOKUP(D759,Roster!F:F,Roster!B:B,"",0))</f>
        <v>Juan Durango</v>
      </c>
      <c r="F759" s="315" t="str">
        <f t="array" ref="F759">IF(B759=100,"Free",TEXT(XLOOKUP($D759,OperationVoice!$A:$A,OperationVoice!M:M,XLOOKUP($D759,OperationTickets!$A:$A,OperationTickets!M:M,"",0)),"hh:mm"))</f>
        <v>08:00</v>
      </c>
      <c r="G759" s="309">
        <f t="shared" si="3"/>
        <v>0.7083333333</v>
      </c>
      <c r="H759" s="316">
        <f t="array" ref="H759">XLOOKUP(B759,Roster!L:L,Roster!N:N,XLOOKUP(D759,TicketsBreak!A:A,TicketsBreak!E:E,"",0),0)</f>
        <v>0.40625</v>
      </c>
      <c r="I759" s="316">
        <f t="array" ref="I759">XLOOKUP(B759,Roster!L:L,Roster!O:O,XLOOKUP(D759,TicketsBreak!A:A,TicketsBreak!F:F,"",0),0)</f>
        <v>0.5729166667</v>
      </c>
      <c r="J759" s="316">
        <f t="array" ref="J759">XLOOKUP(B759,Roster!L:L,Roster!P:P,XLOOKUP(D759,TicketsBreak!A:A,TicketsBreak!G:G,"",0),0)</f>
        <v>0.65625</v>
      </c>
      <c r="K759" s="310">
        <f t="shared" si="4"/>
        <v>46119</v>
      </c>
      <c r="L759" s="317">
        <f t="array" ref="L759">(XLOOKUP(D759,Roster!F:F,Roster!D:D,"",0))</f>
        <v>7</v>
      </c>
      <c r="M759" s="317" t="str">
        <f t="array" ref="M759">XLOOKUP(D759,Roster!F:F,Roster!E:E)</f>
        <v>Tickets</v>
      </c>
      <c r="N759" s="317" t="str">
        <f t="shared" ref="N759:P759" si="772">LEFT(H759,5)</f>
        <v>09:45</v>
      </c>
      <c r="O759" s="317" t="str">
        <f t="shared" si="772"/>
        <v>13:45</v>
      </c>
      <c r="P759" s="317" t="str">
        <f t="shared" si="772"/>
        <v>15:45</v>
      </c>
      <c r="Q759" s="318">
        <f t="shared" si="664"/>
        <v>46119.40625</v>
      </c>
      <c r="R759" s="318">
        <f t="shared" si="665"/>
        <v>46119.57292</v>
      </c>
      <c r="S759" s="318">
        <f t="shared" si="8"/>
        <v>46119.65625</v>
      </c>
    </row>
    <row r="760">
      <c r="A760" s="14" t="str">
        <f t="shared" si="1"/>
        <v>C59846119</v>
      </c>
      <c r="B760" s="185" t="str">
        <f t="array" ref="B760">IF(F760="VL","",IF(F760="Free","Free",XLOOKUP(D760,Roster!T:T,Roster!S:S,"",0)))</f>
        <v/>
      </c>
      <c r="C760" s="313">
        <v>46119.0</v>
      </c>
      <c r="D760" s="314" t="s">
        <v>314</v>
      </c>
      <c r="E760" s="307" t="str">
        <f t="array" ref="E760">(XLOOKUP(D760,Roster!F:F,Roster!B:B,"",0))</f>
        <v>Juan Fonnegra</v>
      </c>
      <c r="F760" s="315" t="str">
        <f t="array" ref="F760">IF(B760=100,"Free",TEXT(XLOOKUP($D760,OperationVoice!$A:$A,OperationVoice!M:M,XLOOKUP($D760,OperationTickets!$A:$A,OperationTickets!M:M,"",0)),"hh:mm"))</f>
        <v/>
      </c>
      <c r="G760" s="309" t="str">
        <f t="shared" si="3"/>
        <v/>
      </c>
      <c r="H760" s="316">
        <f t="array" ref="H760">XLOOKUP(B760,Roster!L:L,Roster!N:N,XLOOKUP(D760,TicketsBreak!A:A,TicketsBreak!E:E,"",0),0)</f>
        <v>0.4166666667</v>
      </c>
      <c r="I760" s="316">
        <f t="array" ref="I760">XLOOKUP(B760,Roster!L:L,Roster!O:O,XLOOKUP(D760,TicketsBreak!A:A,TicketsBreak!F:F,"",0),0)</f>
        <v>0.5208333333</v>
      </c>
      <c r="J760" s="316">
        <f t="array" ref="J760">XLOOKUP(B760,Roster!L:L,Roster!P:P,XLOOKUP(D760,TicketsBreak!A:A,TicketsBreak!G:G,"",0),0)</f>
        <v>0.65625</v>
      </c>
      <c r="K760" s="310">
        <f t="shared" si="4"/>
        <v>46119</v>
      </c>
      <c r="L760" s="317">
        <f t="array" ref="L760">(XLOOKUP(D760,Roster!F:F,Roster!D:D,"",0))</f>
        <v>1</v>
      </c>
      <c r="M760" s="317" t="str">
        <f t="array" ref="M760">XLOOKUP(D760,Roster!F:F,Roster!E:E)</f>
        <v>Tickets</v>
      </c>
      <c r="N760" s="317" t="str">
        <f t="shared" ref="N760:P760" si="773">LEFT(H760,5)</f>
        <v>10:00</v>
      </c>
      <c r="O760" s="317" t="str">
        <f t="shared" si="773"/>
        <v>12:30</v>
      </c>
      <c r="P760" s="317" t="str">
        <f t="shared" si="773"/>
        <v>15:45</v>
      </c>
      <c r="Q760" s="318">
        <f t="shared" si="664"/>
        <v>46119.41667</v>
      </c>
      <c r="R760" s="318">
        <f t="shared" si="665"/>
        <v>46119.52083</v>
      </c>
      <c r="S760" s="318">
        <f t="shared" si="8"/>
        <v>46119.65625</v>
      </c>
    </row>
    <row r="761">
      <c r="A761" s="14" t="str">
        <f t="shared" si="1"/>
        <v>C113946119</v>
      </c>
      <c r="B761" s="185">
        <f t="array" ref="B761">IF(F761="VL","",IF(F761="Free","Free",XLOOKUP(D761,Roster!T:T,Roster!S:S,"",0)))</f>
        <v>125</v>
      </c>
      <c r="C761" s="313">
        <v>46119.0</v>
      </c>
      <c r="D761" s="314" t="s">
        <v>45</v>
      </c>
      <c r="E761" s="307" t="str">
        <f t="array" ref="E761">(XLOOKUP(D761,Roster!F:F,Roster!B:B,"",0))</f>
        <v>Juan Largacha</v>
      </c>
      <c r="F761" s="315" t="str">
        <f t="array" ref="F761">IF(B761=100,"Free",TEXT(XLOOKUP($D761,OperationVoice!$A:$A,OperationVoice!M:M,XLOOKUP($D761,OperationTickets!$A:$A,OperationTickets!M:M,"",0)),"hh:mm"))</f>
        <v>08:00</v>
      </c>
      <c r="G761" s="309">
        <f t="shared" si="3"/>
        <v>0.7083333333</v>
      </c>
      <c r="H761" s="316" t="str">
        <f t="array" ref="H761">XLOOKUP(B761,Roster!L:L,Roster!N:N,XLOOKUP(D761,TicketsBreak!A:A,TicketsBreak!E:E,"",0),0)</f>
        <v>10:30 - 10:45</v>
      </c>
      <c r="I761" s="316" t="str">
        <f t="array" ref="I761">XLOOKUP(B761,Roster!L:L,Roster!O:O,XLOOKUP(D761,TicketsBreak!A:A,TicketsBreak!F:F,"",0),0)</f>
        <v>13:30 - 14:00</v>
      </c>
      <c r="J761" s="316" t="str">
        <f t="array" ref="J761">XLOOKUP(B761,Roster!L:L,Roster!P:P,XLOOKUP(D761,TicketsBreak!A:A,TicketsBreak!G:G,"",0),0)</f>
        <v>15:45 - 16:00</v>
      </c>
      <c r="K761" s="310">
        <f t="shared" si="4"/>
        <v>46119</v>
      </c>
      <c r="L761" s="317">
        <f t="array" ref="L761">(XLOOKUP(D761,Roster!F:F,Roster!D:D,"",0))</f>
        <v>22</v>
      </c>
      <c r="M761" s="317" t="str">
        <f t="array" ref="M761">XLOOKUP(D761,Roster!F:F,Roster!E:E)</f>
        <v>Voice</v>
      </c>
      <c r="N761" s="317" t="str">
        <f t="shared" ref="N761:P761" si="774">LEFT(H761,5)</f>
        <v>10:30</v>
      </c>
      <c r="O761" s="317" t="str">
        <f t="shared" si="774"/>
        <v>13:30</v>
      </c>
      <c r="P761" s="317" t="str">
        <f t="shared" si="774"/>
        <v>15:45</v>
      </c>
      <c r="Q761" s="318">
        <f t="shared" si="664"/>
        <v>46119.4375</v>
      </c>
      <c r="R761" s="318">
        <f t="shared" si="665"/>
        <v>46119.5625</v>
      </c>
      <c r="S761" s="318">
        <f t="shared" si="8"/>
        <v>46119.65625</v>
      </c>
    </row>
    <row r="762">
      <c r="A762" s="14" t="str">
        <f t="shared" si="1"/>
        <v>C156646119</v>
      </c>
      <c r="B762" s="185">
        <f t="array" ref="B762">IF(F762="VL","",IF(F762="Free","Free",XLOOKUP(D762,Roster!T:T,Roster!S:S,"",0)))</f>
        <v>124</v>
      </c>
      <c r="C762" s="313">
        <v>46119.0</v>
      </c>
      <c r="D762" s="314" t="s">
        <v>46</v>
      </c>
      <c r="E762" s="307" t="str">
        <f t="array" ref="E762">(XLOOKUP(D762,Roster!F:F,Roster!B:B,"",0))</f>
        <v>Juan Ocampo</v>
      </c>
      <c r="F762" s="315" t="str">
        <f t="array" ref="F762">IF(B762=100,"Free",TEXT(XLOOKUP($D762,OperationVoice!$A:$A,OperationVoice!M:M,XLOOKUP($D762,OperationTickets!$A:$A,OperationTickets!M:M,"",0)),"hh:mm"))</f>
        <v>08:00</v>
      </c>
      <c r="G762" s="309">
        <f t="shared" si="3"/>
        <v>0.7083333333</v>
      </c>
      <c r="H762" s="316" t="str">
        <f t="array" ref="H762">XLOOKUP(B762,Roster!L:L,Roster!N:N,XLOOKUP(D762,TicketsBreak!A:A,TicketsBreak!E:E,"",0),0)</f>
        <v>10:00 - 10:15</v>
      </c>
      <c r="I762" s="316" t="str">
        <f t="array" ref="I762">XLOOKUP(B762,Roster!L:L,Roster!O:O,XLOOKUP(D762,TicketsBreak!A:A,TicketsBreak!F:F,"",0),0)</f>
        <v>13:00 - 13:30</v>
      </c>
      <c r="J762" s="316" t="str">
        <f t="array" ref="J762">XLOOKUP(B762,Roster!L:L,Roster!P:P,XLOOKUP(D762,TicketsBreak!A:A,TicketsBreak!G:G,"",0),0)</f>
        <v>15:30 - 15:45</v>
      </c>
      <c r="K762" s="310">
        <f t="shared" si="4"/>
        <v>46119</v>
      </c>
      <c r="L762" s="317">
        <f t="array" ref="L762">(XLOOKUP(D762,Roster!F:F,Roster!D:D,"",0))</f>
        <v>38</v>
      </c>
      <c r="M762" s="317" t="str">
        <f t="array" ref="M762">XLOOKUP(D762,Roster!F:F,Roster!E:E)</f>
        <v>Voice</v>
      </c>
      <c r="N762" s="317" t="str">
        <f t="shared" ref="N762:P762" si="775">LEFT(H762,5)</f>
        <v>10:00</v>
      </c>
      <c r="O762" s="317" t="str">
        <f t="shared" si="775"/>
        <v>13:00</v>
      </c>
      <c r="P762" s="317" t="str">
        <f t="shared" si="775"/>
        <v>15:30</v>
      </c>
      <c r="Q762" s="318">
        <f t="shared" si="664"/>
        <v>46119.41667</v>
      </c>
      <c r="R762" s="318">
        <f t="shared" si="665"/>
        <v>46119.54167</v>
      </c>
      <c r="S762" s="318">
        <f t="shared" si="8"/>
        <v>46119.64583</v>
      </c>
    </row>
    <row r="763">
      <c r="A763" s="14" t="str">
        <f t="shared" si="1"/>
        <v>C148446119</v>
      </c>
      <c r="B763" s="185">
        <f t="array" ref="B763">IF(F763="VL","",IF(F763="Free","Free",XLOOKUP(D763,Roster!T:T,Roster!S:S,"",0)))</f>
        <v>126</v>
      </c>
      <c r="C763" s="313">
        <v>46119.0</v>
      </c>
      <c r="D763" s="314" t="s">
        <v>141</v>
      </c>
      <c r="E763" s="307" t="str">
        <f t="array" ref="E763">(XLOOKUP(D763,Roster!F:F,Roster!B:B,"",0))</f>
        <v>Juan Ospina</v>
      </c>
      <c r="F763" s="315" t="str">
        <f t="array" ref="F763">IF(B763=100,"Free",TEXT(XLOOKUP($D763,OperationVoice!$A:$A,OperationVoice!M:M,XLOOKUP($D763,OperationTickets!$A:$A,OperationTickets!M:M,"",0)),"hh:mm"))</f>
        <v>08:00</v>
      </c>
      <c r="G763" s="309">
        <f t="shared" si="3"/>
        <v>0.7083333333</v>
      </c>
      <c r="H763" s="316" t="str">
        <f t="array" ref="H763">XLOOKUP(B763,Roster!L:L,Roster!N:N,XLOOKUP(D763,TicketsBreak!A:A,TicketsBreak!E:E,"",0),0)</f>
        <v>10:45 - 11:00</v>
      </c>
      <c r="I763" s="316" t="str">
        <f t="array" ref="I763">XLOOKUP(B763,Roster!L:L,Roster!O:O,XLOOKUP(D763,TicketsBreak!A:A,TicketsBreak!F:F,"",0),0)</f>
        <v>14:00 - 14:30</v>
      </c>
      <c r="J763" s="316" t="str">
        <f t="array" ref="J763">XLOOKUP(B763,Roster!L:L,Roster!P:P,XLOOKUP(D763,TicketsBreak!A:A,TicketsBreak!G:G,"",0),0)</f>
        <v>15:45 - 16:00</v>
      </c>
      <c r="K763" s="310">
        <f t="shared" si="4"/>
        <v>46119</v>
      </c>
      <c r="L763" s="317">
        <f t="array" ref="L763">(XLOOKUP(D763,Roster!F:F,Roster!D:D,"",0))</f>
        <v>34</v>
      </c>
      <c r="M763" s="317" t="str">
        <f t="array" ref="M763">XLOOKUP(D763,Roster!F:F,Roster!E:E)</f>
        <v>Tickets</v>
      </c>
      <c r="N763" s="317" t="str">
        <f t="shared" ref="N763:P763" si="776">LEFT(H763,5)</f>
        <v>10:45</v>
      </c>
      <c r="O763" s="317" t="str">
        <f t="shared" si="776"/>
        <v>14:00</v>
      </c>
      <c r="P763" s="317" t="str">
        <f t="shared" si="776"/>
        <v>15:45</v>
      </c>
      <c r="Q763" s="318">
        <f t="shared" si="664"/>
        <v>46119.44792</v>
      </c>
      <c r="R763" s="318">
        <f t="shared" si="665"/>
        <v>46119.58333</v>
      </c>
      <c r="S763" s="318">
        <f t="shared" si="8"/>
        <v>46119.65625</v>
      </c>
    </row>
    <row r="764">
      <c r="A764" s="14" t="str">
        <f t="shared" si="1"/>
        <v>C141346119</v>
      </c>
      <c r="B764" s="185">
        <f t="array" ref="B764">IF(F764="VL","",IF(F764="Free","Free",XLOOKUP(D764,Roster!T:T,Roster!S:S,"",0)))</f>
        <v>121</v>
      </c>
      <c r="C764" s="313">
        <v>46119.0</v>
      </c>
      <c r="D764" s="314" t="s">
        <v>47</v>
      </c>
      <c r="E764" s="307" t="str">
        <f t="array" ref="E764">(XLOOKUP(D764,Roster!F:F,Roster!B:B,"",0))</f>
        <v>Juan Parra</v>
      </c>
      <c r="F764" s="315" t="str">
        <f t="array" ref="F764">IF(B764=100,"Free",TEXT(XLOOKUP($D764,OperationVoice!$A:$A,OperationVoice!M:M,XLOOKUP($D764,OperationTickets!$A:$A,OperationTickets!M:M,"",0)),"hh:mm"))</f>
        <v>08:00</v>
      </c>
      <c r="G764" s="309">
        <f t="shared" si="3"/>
        <v>0.7083333333</v>
      </c>
      <c r="H764" s="316" t="str">
        <f t="array" ref="H764">XLOOKUP(B764,Roster!L:L,Roster!N:N,XLOOKUP(D764,TicketsBreak!A:A,TicketsBreak!E:E,"",0),0)</f>
        <v>09:15 - 09:30</v>
      </c>
      <c r="I764" s="316" t="str">
        <f t="array" ref="I764">XLOOKUP(B764,Roster!L:L,Roster!O:O,XLOOKUP(D764,TicketsBreak!A:A,TicketsBreak!F:F,"",0),0)</f>
        <v>11:30 - 12:00</v>
      </c>
      <c r="J764" s="316" t="str">
        <f t="array" ref="J764">XLOOKUP(B764,Roster!L:L,Roster!P:P,XLOOKUP(D764,TicketsBreak!A:A,TicketsBreak!G:G,"",0),0)</f>
        <v>14:30 - 14:45</v>
      </c>
      <c r="K764" s="310">
        <f t="shared" si="4"/>
        <v>46119</v>
      </c>
      <c r="L764" s="317">
        <f t="array" ref="L764">(XLOOKUP(D764,Roster!F:F,Roster!D:D,"",0))</f>
        <v>32</v>
      </c>
      <c r="M764" s="317" t="str">
        <f t="array" ref="M764">XLOOKUP(D764,Roster!F:F,Roster!E:E)</f>
        <v>Voice</v>
      </c>
      <c r="N764" s="317" t="str">
        <f t="shared" ref="N764:P764" si="777">LEFT(H764,5)</f>
        <v>09:15</v>
      </c>
      <c r="O764" s="317" t="str">
        <f t="shared" si="777"/>
        <v>11:30</v>
      </c>
      <c r="P764" s="317" t="str">
        <f t="shared" si="777"/>
        <v>14:30</v>
      </c>
      <c r="Q764" s="318">
        <f t="shared" si="664"/>
        <v>46119.38542</v>
      </c>
      <c r="R764" s="318">
        <f t="shared" si="665"/>
        <v>46119.47917</v>
      </c>
      <c r="S764" s="318">
        <f t="shared" si="8"/>
        <v>46119.60417</v>
      </c>
    </row>
    <row r="765">
      <c r="A765" s="14" t="str">
        <f t="shared" si="1"/>
        <v>C132746119</v>
      </c>
      <c r="B765" s="185" t="str">
        <f t="array" ref="B765">IF(F765="VL","",IF(F765="Free","Free",XLOOKUP(D765,Roster!T:T,Roster!S:S,"",0)))</f>
        <v>Free</v>
      </c>
      <c r="C765" s="313">
        <v>46119.0</v>
      </c>
      <c r="D765" s="314" t="s">
        <v>163</v>
      </c>
      <c r="E765" s="307" t="str">
        <f t="array" ref="E765">(XLOOKUP(D765,Roster!F:F,Roster!B:B,"",0))</f>
        <v>Juan Restrepo</v>
      </c>
      <c r="F765" s="315" t="str">
        <f t="array" ref="F765">IF(B765=100,"Free",TEXT(XLOOKUP($D765,OperationVoice!$A:$A,OperationVoice!M:M,XLOOKUP($D765,OperationTickets!$A:$A,OperationTickets!M:M,"",0)),"hh:mm"))</f>
        <v>Free</v>
      </c>
      <c r="G765" s="309" t="str">
        <f t="shared" si="3"/>
        <v>Free</v>
      </c>
      <c r="H765" s="316" t="str">
        <f t="array" ref="H765">XLOOKUP(B765,Roster!L:L,Roster!N:N,XLOOKUP(D765,TicketsBreak!A:A,TicketsBreak!E:E,"",0),0)</f>
        <v/>
      </c>
      <c r="I765" s="316" t="str">
        <f t="array" ref="I765">XLOOKUP(B765,Roster!L:L,Roster!O:O,XLOOKUP(D765,TicketsBreak!A:A,TicketsBreak!F:F,"",0),0)</f>
        <v/>
      </c>
      <c r="J765" s="316" t="str">
        <f t="array" ref="J765">XLOOKUP(B765,Roster!L:L,Roster!P:P,XLOOKUP(D765,TicketsBreak!A:A,TicketsBreak!G:G,"",0),0)</f>
        <v/>
      </c>
      <c r="K765" s="310">
        <f t="shared" si="4"/>
        <v>46119</v>
      </c>
      <c r="L765" s="317">
        <f t="array" ref="L765">(XLOOKUP(D765,Roster!F:F,Roster!D:D,"",0))</f>
        <v>29</v>
      </c>
      <c r="M765" s="317" t="str">
        <f t="array" ref="M765">XLOOKUP(D765,Roster!F:F,Roster!E:E)</f>
        <v>Tickets</v>
      </c>
      <c r="N765" s="317" t="str">
        <f t="shared" ref="N765:P765" si="778">LEFT(H765,5)</f>
        <v/>
      </c>
      <c r="O765" s="317" t="str">
        <f t="shared" si="778"/>
        <v/>
      </c>
      <c r="P765" s="317" t="str">
        <f t="shared" si="778"/>
        <v/>
      </c>
      <c r="Q765" s="318" t="str">
        <f t="shared" si="664"/>
        <v/>
      </c>
      <c r="R765" s="318" t="str">
        <f t="shared" si="665"/>
        <v/>
      </c>
      <c r="S765" s="318" t="str">
        <f t="shared" si="8"/>
        <v/>
      </c>
    </row>
    <row r="766">
      <c r="A766" s="14" t="str">
        <f t="shared" si="1"/>
        <v>C146946119</v>
      </c>
      <c r="B766" s="185">
        <f t="array" ref="B766">IF(F766="VL","",IF(F766="Free","Free",XLOOKUP(D766,Roster!T:T,Roster!S:S,"",0)))</f>
        <v>122</v>
      </c>
      <c r="C766" s="313">
        <v>46119.0</v>
      </c>
      <c r="D766" s="314" t="s">
        <v>48</v>
      </c>
      <c r="E766" s="307" t="str">
        <f t="array" ref="E766">(XLOOKUP(D766,Roster!F:F,Roster!B:B,"",0))</f>
        <v>Juan Restrepo Restrepo</v>
      </c>
      <c r="F766" s="315" t="str">
        <f t="array" ref="F766">IF(B766=100,"Free",TEXT(XLOOKUP($D766,OperationVoice!$A:$A,OperationVoice!M:M,XLOOKUP($D766,OperationTickets!$A:$A,OperationTickets!M:M,"",0)),"hh:mm"))</f>
        <v>08:00</v>
      </c>
      <c r="G766" s="309">
        <f t="shared" si="3"/>
        <v>0.7083333333</v>
      </c>
      <c r="H766" s="316" t="str">
        <f t="array" ref="H766">XLOOKUP(B766,Roster!L:L,Roster!N:N,XLOOKUP(D766,TicketsBreak!A:A,TicketsBreak!E:E,"",0),0)</f>
        <v>09:30 - 09:45</v>
      </c>
      <c r="I766" s="316" t="str">
        <f t="array" ref="I766">XLOOKUP(B766,Roster!L:L,Roster!O:O,XLOOKUP(D766,TicketsBreak!A:A,TicketsBreak!F:F,"",0),0)</f>
        <v>12:00 - 12:30</v>
      </c>
      <c r="J766" s="316" t="str">
        <f t="array" ref="J766">XLOOKUP(B766,Roster!L:L,Roster!P:P,XLOOKUP(D766,TicketsBreak!A:A,TicketsBreak!G:G,"",0),0)</f>
        <v>14:45 - 15:00</v>
      </c>
      <c r="K766" s="310">
        <f t="shared" si="4"/>
        <v>46119</v>
      </c>
      <c r="L766" s="317">
        <f t="array" ref="L766">(XLOOKUP(D766,Roster!F:F,Roster!D:D,"",0))</f>
        <v>33</v>
      </c>
      <c r="M766" s="317" t="str">
        <f t="array" ref="M766">XLOOKUP(D766,Roster!F:F,Roster!E:E)</f>
        <v>Voice</v>
      </c>
      <c r="N766" s="317" t="str">
        <f t="shared" ref="N766:P766" si="779">LEFT(H766,5)</f>
        <v>09:30</v>
      </c>
      <c r="O766" s="317" t="str">
        <f t="shared" si="779"/>
        <v>12:00</v>
      </c>
      <c r="P766" s="317" t="str">
        <f t="shared" si="779"/>
        <v>14:45</v>
      </c>
      <c r="Q766" s="318">
        <f t="shared" si="664"/>
        <v>46119.39583</v>
      </c>
      <c r="R766" s="318">
        <f t="shared" si="665"/>
        <v>46119.5</v>
      </c>
      <c r="S766" s="318">
        <f t="shared" si="8"/>
        <v>46119.61458</v>
      </c>
    </row>
    <row r="767">
      <c r="A767" s="14" t="str">
        <f t="shared" si="1"/>
        <v>C117146119</v>
      </c>
      <c r="B767" s="185" t="str">
        <f t="array" ref="B767">IF(F767="VL","",IF(F767="Free","Free",XLOOKUP(D767,Roster!T:T,Roster!S:S,"",0)))</f>
        <v/>
      </c>
      <c r="C767" s="313">
        <v>46119.0</v>
      </c>
      <c r="D767" s="314" t="s">
        <v>142</v>
      </c>
      <c r="E767" s="307" t="str">
        <f t="array" ref="E767">(XLOOKUP(D767,Roster!F:F,Roster!B:B,"",0))</f>
        <v>Juan Sanchez</v>
      </c>
      <c r="F767" s="315" t="str">
        <f t="array" ref="F767">IF(B767=100,"Free",TEXT(XLOOKUP($D767,OperationVoice!$A:$A,OperationVoice!M:M,XLOOKUP($D767,OperationTickets!$A:$A,OperationTickets!M:M,"",0)),"hh:mm"))</f>
        <v>08:00</v>
      </c>
      <c r="G767" s="309">
        <f t="shared" si="3"/>
        <v>0.7083333333</v>
      </c>
      <c r="H767" s="316" t="str">
        <f t="array" ref="H767">XLOOKUP(B767,Roster!L:L,Roster!N:N,XLOOKUP(D767,TicketsBreak!A:A,TicketsBreak!E:E,"",0),0)</f>
        <v/>
      </c>
      <c r="I767" s="316" t="str">
        <f t="array" ref="I767">XLOOKUP(B767,Roster!L:L,Roster!O:O,XLOOKUP(D767,TicketsBreak!A:A,TicketsBreak!F:F,"",0),0)</f>
        <v/>
      </c>
      <c r="J767" s="316" t="str">
        <f t="array" ref="J767">XLOOKUP(B767,Roster!L:L,Roster!P:P,XLOOKUP(D767,TicketsBreak!A:A,TicketsBreak!G:G,"",0),0)</f>
        <v/>
      </c>
      <c r="K767" s="310">
        <f t="shared" si="4"/>
        <v>46119</v>
      </c>
      <c r="L767" s="317">
        <f t="array" ref="L767">(XLOOKUP(D767,Roster!F:F,Roster!D:D,"",0))</f>
        <v>24</v>
      </c>
      <c r="M767" s="317" t="str">
        <f t="array" ref="M767">XLOOKUP(D767,Roster!F:F,Roster!E:E)</f>
        <v>Tickets</v>
      </c>
      <c r="N767" s="317" t="str">
        <f t="shared" ref="N767:P767" si="780">LEFT(H767,5)</f>
        <v/>
      </c>
      <c r="O767" s="317" t="str">
        <f t="shared" si="780"/>
        <v/>
      </c>
      <c r="P767" s="317" t="str">
        <f t="shared" si="780"/>
        <v/>
      </c>
      <c r="Q767" s="318" t="str">
        <f t="shared" si="664"/>
        <v/>
      </c>
      <c r="R767" s="318" t="str">
        <f t="shared" si="665"/>
        <v/>
      </c>
      <c r="S767" s="318" t="str">
        <f t="shared" si="8"/>
        <v/>
      </c>
    </row>
    <row r="768">
      <c r="A768" s="14" t="str">
        <f t="shared" si="1"/>
        <v>C74346119</v>
      </c>
      <c r="B768" s="185" t="str">
        <f t="array" ref="B768">IF(F768="VL","",IF(F768="Free","Free",XLOOKUP(D768,Roster!T:T,Roster!S:S,"",0)))</f>
        <v>Free</v>
      </c>
      <c r="C768" s="313">
        <v>46119.0</v>
      </c>
      <c r="D768" s="314" t="s">
        <v>164</v>
      </c>
      <c r="E768" s="307" t="str">
        <f t="array" ref="E768">(XLOOKUP(D768,Roster!F:F,Roster!B:B,"",0))</f>
        <v>Juan Suarez</v>
      </c>
      <c r="F768" s="315" t="str">
        <f t="array" ref="F768">IF(B768=100,"Free",TEXT(XLOOKUP($D768,OperationVoice!$A:$A,OperationVoice!M:M,XLOOKUP($D768,OperationTickets!$A:$A,OperationTickets!M:M,"",0)),"hh:mm"))</f>
        <v>Free</v>
      </c>
      <c r="G768" s="309" t="str">
        <f t="shared" si="3"/>
        <v>Free</v>
      </c>
      <c r="H768" s="316">
        <f t="array" ref="H768">XLOOKUP(B768,Roster!L:L,Roster!N:N,XLOOKUP(D768,TicketsBreak!A:A,TicketsBreak!E:E,"",0),0)</f>
        <v>0.3958333333</v>
      </c>
      <c r="I768" s="316">
        <f t="array" ref="I768">XLOOKUP(B768,Roster!L:L,Roster!O:O,XLOOKUP(D768,TicketsBreak!A:A,TicketsBreak!F:F,"",0),0)</f>
        <v>0.5208333333</v>
      </c>
      <c r="J768" s="316">
        <f t="array" ref="J768">XLOOKUP(B768,Roster!L:L,Roster!P:P,XLOOKUP(D768,TicketsBreak!A:A,TicketsBreak!G:G,"",0),0)</f>
        <v>0.6145833333</v>
      </c>
      <c r="K768" s="310">
        <f t="shared" si="4"/>
        <v>46119</v>
      </c>
      <c r="L768" s="317">
        <f t="array" ref="L768">(XLOOKUP(D768,Roster!F:F,Roster!D:D,"",0))</f>
        <v>8</v>
      </c>
      <c r="M768" s="317" t="str">
        <f t="array" ref="M768">XLOOKUP(D768,Roster!F:F,Roster!E:E)</f>
        <v>Tickets</v>
      </c>
      <c r="N768" s="317" t="str">
        <f t="shared" ref="N768:P768" si="781">LEFT(H768,5)</f>
        <v>09:30</v>
      </c>
      <c r="O768" s="317" t="str">
        <f t="shared" si="781"/>
        <v>12:30</v>
      </c>
      <c r="P768" s="317" t="str">
        <f t="shared" si="781"/>
        <v>14:45</v>
      </c>
      <c r="Q768" s="318">
        <f t="shared" si="664"/>
        <v>46119.39583</v>
      </c>
      <c r="R768" s="318">
        <f t="shared" si="665"/>
        <v>46119.52083</v>
      </c>
      <c r="S768" s="318">
        <f t="shared" si="8"/>
        <v>46119.61458</v>
      </c>
    </row>
    <row r="769">
      <c r="A769" s="14" t="str">
        <f t="shared" si="1"/>
        <v>C156846119</v>
      </c>
      <c r="B769" s="185" t="str">
        <f t="array" ref="B769">IF(F769="VL","",IF(F769="Free","Free",XLOOKUP(D769,Roster!T:T,Roster!S:S,"",0)))</f>
        <v>Free</v>
      </c>
      <c r="C769" s="313">
        <v>46119.0</v>
      </c>
      <c r="D769" s="314" t="s">
        <v>49</v>
      </c>
      <c r="E769" s="307" t="str">
        <f t="array" ref="E769">(XLOOKUP(D769,Roster!F:F,Roster!B:B,"",0))</f>
        <v>Juan Zapata</v>
      </c>
      <c r="F769" s="315" t="str">
        <f t="array" ref="F769">IF(B769=100,"Free",TEXT(XLOOKUP($D769,OperationVoice!$A:$A,OperationVoice!M:M,XLOOKUP($D769,OperationTickets!$A:$A,OperationTickets!M:M,"",0)),"hh:mm"))</f>
        <v>Free</v>
      </c>
      <c r="G769" s="309" t="str">
        <f t="shared" si="3"/>
        <v>Free</v>
      </c>
      <c r="H769" s="316" t="str">
        <f t="array" ref="H769">XLOOKUP(B769,Roster!L:L,Roster!N:N,XLOOKUP(D769,TicketsBreak!A:A,TicketsBreak!E:E,"",0),0)</f>
        <v/>
      </c>
      <c r="I769" s="316" t="str">
        <f t="array" ref="I769">XLOOKUP(B769,Roster!L:L,Roster!O:O,XLOOKUP(D769,TicketsBreak!A:A,TicketsBreak!F:F,"",0),0)</f>
        <v/>
      </c>
      <c r="J769" s="316" t="str">
        <f t="array" ref="J769">XLOOKUP(B769,Roster!L:L,Roster!P:P,XLOOKUP(D769,TicketsBreak!A:A,TicketsBreak!G:G,"",0),0)</f>
        <v/>
      </c>
      <c r="K769" s="310">
        <f t="shared" si="4"/>
        <v>46119</v>
      </c>
      <c r="L769" s="317">
        <f t="array" ref="L769">(XLOOKUP(D769,Roster!F:F,Roster!D:D,"",0))</f>
        <v>38</v>
      </c>
      <c r="M769" s="317" t="str">
        <f t="array" ref="M769">XLOOKUP(D769,Roster!F:F,Roster!E:E)</f>
        <v>Voice</v>
      </c>
      <c r="N769" s="317" t="str">
        <f t="shared" ref="N769:P769" si="782">LEFT(H769,5)</f>
        <v/>
      </c>
      <c r="O769" s="317" t="str">
        <f t="shared" si="782"/>
        <v/>
      </c>
      <c r="P769" s="317" t="str">
        <f t="shared" si="782"/>
        <v/>
      </c>
      <c r="Q769" s="318" t="str">
        <f t="shared" si="664"/>
        <v/>
      </c>
      <c r="R769" s="318" t="str">
        <f t="shared" si="665"/>
        <v/>
      </c>
      <c r="S769" s="318" t="str">
        <f t="shared" si="8"/>
        <v/>
      </c>
    </row>
    <row r="770">
      <c r="A770" s="14" t="str">
        <f t="shared" si="1"/>
        <v>C75546119</v>
      </c>
      <c r="B770" s="185" t="str">
        <f t="array" ref="B770">IF(F770="VL","",IF(F770="Free","Free",XLOOKUP(D770,Roster!T:T,Roster!S:S,"",0)))</f>
        <v>Free</v>
      </c>
      <c r="C770" s="313">
        <v>46119.0</v>
      </c>
      <c r="D770" s="314" t="s">
        <v>143</v>
      </c>
      <c r="E770" s="307" t="str">
        <f t="array" ref="E770">(XLOOKUP(D770,Roster!F:F,Roster!B:B,"",0))</f>
        <v>Julian Higuita</v>
      </c>
      <c r="F770" s="315" t="str">
        <f t="array" ref="F770">IF(B770=100,"Free",TEXT(XLOOKUP($D770,OperationVoice!$A:$A,OperationVoice!M:M,XLOOKUP($D770,OperationTickets!$A:$A,OperationTickets!M:M,"",0)),"hh:mm"))</f>
        <v>Free</v>
      </c>
      <c r="G770" s="309" t="str">
        <f t="shared" si="3"/>
        <v>Free</v>
      </c>
      <c r="H770" s="316" t="str">
        <f t="array" ref="H770">XLOOKUP(B770,Roster!L:L,Roster!N:N,XLOOKUP(D770,TicketsBreak!A:A,TicketsBreak!E:E,"",0),0)</f>
        <v/>
      </c>
      <c r="I770" s="316" t="str">
        <f t="array" ref="I770">XLOOKUP(B770,Roster!L:L,Roster!O:O,XLOOKUP(D770,TicketsBreak!A:A,TicketsBreak!F:F,"",0),0)</f>
        <v/>
      </c>
      <c r="J770" s="316" t="str">
        <f t="array" ref="J770">XLOOKUP(B770,Roster!L:L,Roster!P:P,XLOOKUP(D770,TicketsBreak!A:A,TicketsBreak!G:G,"",0),0)</f>
        <v/>
      </c>
      <c r="K770" s="310">
        <f t="shared" si="4"/>
        <v>46119</v>
      </c>
      <c r="L770" s="317">
        <f t="array" ref="L770">(XLOOKUP(D770,Roster!F:F,Roster!D:D,"",0))</f>
        <v>35</v>
      </c>
      <c r="M770" s="317" t="str">
        <f t="array" ref="M770">XLOOKUP(D770,Roster!F:F,Roster!E:E)</f>
        <v>Tickets</v>
      </c>
      <c r="N770" s="317" t="str">
        <f t="shared" ref="N770:P770" si="783">LEFT(H770,5)</f>
        <v/>
      </c>
      <c r="O770" s="317" t="str">
        <f t="shared" si="783"/>
        <v/>
      </c>
      <c r="P770" s="317" t="str">
        <f t="shared" si="783"/>
        <v/>
      </c>
      <c r="Q770" s="318" t="str">
        <f t="shared" si="664"/>
        <v/>
      </c>
      <c r="R770" s="318" t="str">
        <f t="shared" si="665"/>
        <v/>
      </c>
      <c r="S770" s="318" t="str">
        <f t="shared" si="8"/>
        <v/>
      </c>
    </row>
    <row r="771">
      <c r="A771" s="14" t="str">
        <f t="shared" si="1"/>
        <v>C52546119</v>
      </c>
      <c r="B771" s="185" t="str">
        <f t="array" ref="B771">IF(F771="VL","",IF(F771="Free","Free",XLOOKUP(D771,Roster!T:T,Roster!S:S,"",0)))</f>
        <v/>
      </c>
      <c r="C771" s="313">
        <v>46119.0</v>
      </c>
      <c r="D771" s="314" t="s">
        <v>176</v>
      </c>
      <c r="E771" s="307" t="str">
        <f t="array" ref="E771">(XLOOKUP(D771,Roster!F:F,Roster!B:B,"",0))</f>
        <v>Julian Pineda</v>
      </c>
      <c r="F771" s="315" t="str">
        <f t="array" ref="F771">IF(B771=100,"Free",TEXT(XLOOKUP($D771,OperationVoice!$A:$A,OperationVoice!M:M,XLOOKUP($D771,OperationTickets!$A:$A,OperationTickets!M:M,"",0)),"hh:mm"))</f>
        <v>08:00</v>
      </c>
      <c r="G771" s="309">
        <f t="shared" si="3"/>
        <v>0.7083333333</v>
      </c>
      <c r="H771" s="316" t="str">
        <f t="array" ref="H771">XLOOKUP(B771,Roster!L:L,Roster!N:N,XLOOKUP(D771,TicketsBreak!A:A,TicketsBreak!E:E,"",0),0)</f>
        <v/>
      </c>
      <c r="I771" s="316" t="str">
        <f t="array" ref="I771">XLOOKUP(B771,Roster!L:L,Roster!O:O,XLOOKUP(D771,TicketsBreak!A:A,TicketsBreak!F:F,"",0),0)</f>
        <v/>
      </c>
      <c r="J771" s="316" t="str">
        <f t="array" ref="J771">XLOOKUP(B771,Roster!L:L,Roster!P:P,XLOOKUP(D771,TicketsBreak!A:A,TicketsBreak!G:G,"",0),0)</f>
        <v/>
      </c>
      <c r="K771" s="310">
        <f t="shared" si="4"/>
        <v>46119</v>
      </c>
      <c r="L771" s="317">
        <f t="array" ref="L771">(XLOOKUP(D771,Roster!F:F,Roster!D:D,"",0))</f>
        <v>35</v>
      </c>
      <c r="M771" s="317" t="str">
        <f t="array" ref="M771">XLOOKUP(D771,Roster!F:F,Roster!E:E)</f>
        <v>Tickets</v>
      </c>
      <c r="N771" s="317" t="str">
        <f t="shared" ref="N771:P771" si="784">LEFT(H771,5)</f>
        <v/>
      </c>
      <c r="O771" s="317" t="str">
        <f t="shared" si="784"/>
        <v/>
      </c>
      <c r="P771" s="317" t="str">
        <f t="shared" si="784"/>
        <v/>
      </c>
      <c r="Q771" s="318" t="str">
        <f t="shared" si="664"/>
        <v/>
      </c>
      <c r="R771" s="318" t="str">
        <f t="shared" si="665"/>
        <v/>
      </c>
      <c r="S771" s="318" t="str">
        <f t="shared" si="8"/>
        <v/>
      </c>
    </row>
    <row r="772">
      <c r="A772" s="14" t="str">
        <f t="shared" si="1"/>
        <v>C142746119</v>
      </c>
      <c r="B772" s="185">
        <f t="array" ref="B772">IF(F772="VL","",IF(F772="Free","Free",XLOOKUP(D772,Roster!T:T,Roster!S:S,"",0)))</f>
        <v>123</v>
      </c>
      <c r="C772" s="313">
        <v>46119.0</v>
      </c>
      <c r="D772" s="314" t="s">
        <v>50</v>
      </c>
      <c r="E772" s="307" t="str">
        <f t="array" ref="E772">(XLOOKUP(D772,Roster!F:F,Roster!B:B,"",0))</f>
        <v>Karen Lorena Martinez</v>
      </c>
      <c r="F772" s="315" t="str">
        <f t="array" ref="F772">IF(B772=100,"Free",TEXT(XLOOKUP($D772,OperationVoice!$A:$A,OperationVoice!M:M,XLOOKUP($D772,OperationTickets!$A:$A,OperationTickets!M:M,"",0)),"hh:mm"))</f>
        <v>08:00</v>
      </c>
      <c r="G772" s="309">
        <f t="shared" si="3"/>
        <v>0.7083333333</v>
      </c>
      <c r="H772" s="316" t="str">
        <f t="array" ref="H772">XLOOKUP(B772,Roster!L:L,Roster!N:N,XLOOKUP(D772,TicketsBreak!A:A,TicketsBreak!E:E,"",0),0)</f>
        <v>09:45 - 10:00 </v>
      </c>
      <c r="I772" s="316" t="str">
        <f t="array" ref="I772">XLOOKUP(B772,Roster!L:L,Roster!O:O,XLOOKUP(D772,TicketsBreak!A:A,TicketsBreak!F:F,"",0),0)</f>
        <v>12:30 - 13:00</v>
      </c>
      <c r="J772" s="316" t="str">
        <f t="array" ref="J772">XLOOKUP(B772,Roster!L:L,Roster!P:P,XLOOKUP(D772,TicketsBreak!A:A,TicketsBreak!G:G,"",0),0)</f>
        <v>15:00 - 15:15</v>
      </c>
      <c r="K772" s="310">
        <f t="shared" si="4"/>
        <v>46119</v>
      </c>
      <c r="L772" s="317">
        <f t="array" ref="L772">(XLOOKUP(D772,Roster!F:F,Roster!D:D,"",0))</f>
        <v>32</v>
      </c>
      <c r="M772" s="317" t="str">
        <f t="array" ref="M772">XLOOKUP(D772,Roster!F:F,Roster!E:E)</f>
        <v>Voice</v>
      </c>
      <c r="N772" s="317" t="str">
        <f t="shared" ref="N772:P772" si="785">LEFT(H772,5)</f>
        <v>09:45</v>
      </c>
      <c r="O772" s="317" t="str">
        <f t="shared" si="785"/>
        <v>12:30</v>
      </c>
      <c r="P772" s="317" t="str">
        <f t="shared" si="785"/>
        <v>15:00</v>
      </c>
      <c r="Q772" s="318">
        <f t="shared" si="664"/>
        <v>46119.40625</v>
      </c>
      <c r="R772" s="318">
        <f t="shared" si="665"/>
        <v>46119.52083</v>
      </c>
      <c r="S772" s="318">
        <f t="shared" si="8"/>
        <v>46119.625</v>
      </c>
    </row>
    <row r="773">
      <c r="A773" s="14" t="str">
        <f t="shared" si="1"/>
        <v>C57946119</v>
      </c>
      <c r="B773" s="185" t="str">
        <f t="array" ref="B773">IF(F773="VL","",IF(F773="Free","Free",XLOOKUP(D773,Roster!T:T,Roster!S:S,"",0)))</f>
        <v/>
      </c>
      <c r="C773" s="313">
        <v>46119.0</v>
      </c>
      <c r="D773" s="314" t="s">
        <v>144</v>
      </c>
      <c r="E773" s="307" t="str">
        <f t="array" ref="E773">(XLOOKUP(D773,Roster!F:F,Roster!B:B,"",0))</f>
        <v>Karen Martinez</v>
      </c>
      <c r="F773" s="315" t="str">
        <f t="array" ref="F773">IF(B773=100,"Free",TEXT(XLOOKUP($D773,OperationVoice!$A:$A,OperationVoice!M:M,XLOOKUP($D773,OperationTickets!$A:$A,OperationTickets!M:M,"",0)),"hh:mm"))</f>
        <v>08:00</v>
      </c>
      <c r="G773" s="309">
        <f t="shared" si="3"/>
        <v>0.7083333333</v>
      </c>
      <c r="H773" s="316">
        <f t="array" ref="H773">XLOOKUP(B773,Roster!L:L,Roster!N:N,XLOOKUP(D773,TicketsBreak!A:A,TicketsBreak!E:E,"",0),0)</f>
        <v>0.4166666667</v>
      </c>
      <c r="I773" s="316">
        <f t="array" ref="I773">XLOOKUP(B773,Roster!L:L,Roster!O:O,XLOOKUP(D773,TicketsBreak!A:A,TicketsBreak!F:F,"",0),0)</f>
        <v>0.5</v>
      </c>
      <c r="J773" s="316">
        <f t="array" ref="J773">XLOOKUP(B773,Roster!L:L,Roster!P:P,XLOOKUP(D773,TicketsBreak!A:A,TicketsBreak!G:G,"",0),0)</f>
        <v>0.625</v>
      </c>
      <c r="K773" s="310">
        <f t="shared" si="4"/>
        <v>46119</v>
      </c>
      <c r="L773" s="317">
        <f t="array" ref="L773">(XLOOKUP(D773,Roster!F:F,Roster!D:D,"",0))</f>
        <v>4</v>
      </c>
      <c r="M773" s="317" t="str">
        <f t="array" ref="M773">XLOOKUP(D773,Roster!F:F,Roster!E:E)</f>
        <v>Tickets</v>
      </c>
      <c r="N773" s="317" t="str">
        <f t="shared" ref="N773:P773" si="786">LEFT(H773,5)</f>
        <v>10:00</v>
      </c>
      <c r="O773" s="317" t="str">
        <f t="shared" si="786"/>
        <v>12:00</v>
      </c>
      <c r="P773" s="317" t="str">
        <f t="shared" si="786"/>
        <v>15:00</v>
      </c>
      <c r="Q773" s="318">
        <f t="shared" si="664"/>
        <v>46119.41667</v>
      </c>
      <c r="R773" s="318">
        <f t="shared" si="665"/>
        <v>46119.5</v>
      </c>
      <c r="S773" s="318">
        <f t="shared" si="8"/>
        <v>46119.625</v>
      </c>
    </row>
    <row r="774">
      <c r="A774" s="14" t="str">
        <f t="shared" si="1"/>
        <v>C108646119</v>
      </c>
      <c r="B774" s="185">
        <f t="array" ref="B774">IF(F774="VL","",IF(F774="Free","Free",XLOOKUP(D774,Roster!T:T,Roster!S:S,"",0)))</f>
        <v>124</v>
      </c>
      <c r="C774" s="313">
        <v>46119.0</v>
      </c>
      <c r="D774" s="314" t="s">
        <v>51</v>
      </c>
      <c r="E774" s="307" t="str">
        <f t="array" ref="E774">(XLOOKUP(D774,Roster!F:F,Roster!B:B,"",0))</f>
        <v>Karen Panqueva</v>
      </c>
      <c r="F774" s="315" t="str">
        <f t="array" ref="F774">IF(B774=100,"Free",TEXT(XLOOKUP($D774,OperationVoice!$A:$A,OperationVoice!M:M,XLOOKUP($D774,OperationTickets!$A:$A,OperationTickets!M:M,"",0)),"hh:mm"))</f>
        <v>08:00</v>
      </c>
      <c r="G774" s="309">
        <f t="shared" si="3"/>
        <v>0.7083333333</v>
      </c>
      <c r="H774" s="316" t="str">
        <f t="array" ref="H774">XLOOKUP(B774,Roster!L:L,Roster!N:N,XLOOKUP(D774,TicketsBreak!A:A,TicketsBreak!E:E,"",0),0)</f>
        <v>10:00 - 10:15</v>
      </c>
      <c r="I774" s="316" t="str">
        <f t="array" ref="I774">XLOOKUP(B774,Roster!L:L,Roster!O:O,XLOOKUP(D774,TicketsBreak!A:A,TicketsBreak!F:F,"",0),0)</f>
        <v>13:00 - 13:30</v>
      </c>
      <c r="J774" s="316" t="str">
        <f t="array" ref="J774">XLOOKUP(B774,Roster!L:L,Roster!P:P,XLOOKUP(D774,TicketsBreak!A:A,TicketsBreak!G:G,"",0),0)</f>
        <v>15:30 - 15:45</v>
      </c>
      <c r="K774" s="310">
        <f t="shared" si="4"/>
        <v>46119</v>
      </c>
      <c r="L774" s="317">
        <f t="array" ref="L774">(XLOOKUP(D774,Roster!F:F,Roster!D:D,"",0))</f>
        <v>19</v>
      </c>
      <c r="M774" s="317" t="str">
        <f t="array" ref="M774">XLOOKUP(D774,Roster!F:F,Roster!E:E)</f>
        <v>Voice</v>
      </c>
      <c r="N774" s="317" t="str">
        <f t="shared" ref="N774:P774" si="787">LEFT(H774,5)</f>
        <v>10:00</v>
      </c>
      <c r="O774" s="317" t="str">
        <f t="shared" si="787"/>
        <v>13:00</v>
      </c>
      <c r="P774" s="317" t="str">
        <f t="shared" si="787"/>
        <v>15:30</v>
      </c>
      <c r="Q774" s="318">
        <f t="shared" si="664"/>
        <v>46119.41667</v>
      </c>
      <c r="R774" s="318">
        <f t="shared" si="665"/>
        <v>46119.54167</v>
      </c>
      <c r="S774" s="318">
        <f t="shared" si="8"/>
        <v>46119.64583</v>
      </c>
    </row>
    <row r="775">
      <c r="A775" s="14" t="str">
        <f t="shared" si="1"/>
        <v>C149246119</v>
      </c>
      <c r="B775" s="185">
        <f t="array" ref="B775">IF(F775="VL","",IF(F775="Free","Free",XLOOKUP(D775,Roster!T:T,Roster!S:S,"",0)))</f>
        <v>125</v>
      </c>
      <c r="C775" s="313">
        <v>46119.0</v>
      </c>
      <c r="D775" s="314" t="s">
        <v>52</v>
      </c>
      <c r="E775" s="307" t="str">
        <f t="array" ref="E775">(XLOOKUP(D775,Roster!F:F,Roster!B:B,"",0))</f>
        <v>Karol Pineda</v>
      </c>
      <c r="F775" s="315" t="str">
        <f t="array" ref="F775">IF(B775=100,"Free",TEXT(XLOOKUP($D775,OperationVoice!$A:$A,OperationVoice!M:M,XLOOKUP($D775,OperationTickets!$A:$A,OperationTickets!M:M,"",0)),"hh:mm"))</f>
        <v>08:00</v>
      </c>
      <c r="G775" s="309">
        <f t="shared" si="3"/>
        <v>0.7083333333</v>
      </c>
      <c r="H775" s="316" t="str">
        <f t="array" ref="H775">XLOOKUP(B775,Roster!L:L,Roster!N:N,XLOOKUP(D775,TicketsBreak!A:A,TicketsBreak!E:E,"",0),0)</f>
        <v>10:30 - 10:45</v>
      </c>
      <c r="I775" s="316" t="str">
        <f t="array" ref="I775">XLOOKUP(B775,Roster!L:L,Roster!O:O,XLOOKUP(D775,TicketsBreak!A:A,TicketsBreak!F:F,"",0),0)</f>
        <v>13:30 - 14:00</v>
      </c>
      <c r="J775" s="316" t="str">
        <f t="array" ref="J775">XLOOKUP(B775,Roster!L:L,Roster!P:P,XLOOKUP(D775,TicketsBreak!A:A,TicketsBreak!G:G,"",0),0)</f>
        <v>15:45 - 16:00</v>
      </c>
      <c r="K775" s="310">
        <f t="shared" si="4"/>
        <v>46119</v>
      </c>
      <c r="L775" s="317">
        <f t="array" ref="L775">(XLOOKUP(D775,Roster!F:F,Roster!D:D,"",0))</f>
        <v>34</v>
      </c>
      <c r="M775" s="317" t="str">
        <f t="array" ref="M775">XLOOKUP(D775,Roster!F:F,Roster!E:E)</f>
        <v>Voice</v>
      </c>
      <c r="N775" s="317" t="str">
        <f t="shared" ref="N775:P775" si="788">LEFT(H775,5)</f>
        <v>10:30</v>
      </c>
      <c r="O775" s="317" t="str">
        <f t="shared" si="788"/>
        <v>13:30</v>
      </c>
      <c r="P775" s="317" t="str">
        <f t="shared" si="788"/>
        <v>15:45</v>
      </c>
      <c r="Q775" s="318">
        <f t="shared" si="664"/>
        <v>46119.4375</v>
      </c>
      <c r="R775" s="318">
        <f t="shared" si="665"/>
        <v>46119.5625</v>
      </c>
      <c r="S775" s="318">
        <f t="shared" si="8"/>
        <v>46119.65625</v>
      </c>
    </row>
    <row r="776">
      <c r="A776" s="14" t="str">
        <f t="shared" si="1"/>
        <v>C65846119</v>
      </c>
      <c r="B776" s="185">
        <f t="array" ref="B776">IF(F776="VL","",IF(F776="Free","Free",XLOOKUP(D776,Roster!T:T,Roster!S:S,"",0)))</f>
        <v>112</v>
      </c>
      <c r="C776" s="313">
        <v>46119.0</v>
      </c>
      <c r="D776" s="314" t="s">
        <v>53</v>
      </c>
      <c r="E776" s="307" t="str">
        <f t="array" ref="E776">(XLOOKUP(D776,Roster!F:F,Roster!B:B,"",0))</f>
        <v>Kennedy Giraldo</v>
      </c>
      <c r="F776" s="315" t="str">
        <f t="array" ref="F776">IF(B776=100,"Free",TEXT(XLOOKUP($D776,OperationVoice!$A:$A,OperationVoice!M:M,XLOOKUP($D776,OperationTickets!$A:$A,OperationTickets!M:M,"",0)),"hh:mm"))</f>
        <v>07:00</v>
      </c>
      <c r="G776" s="309">
        <f t="shared" si="3"/>
        <v>0.6666666667</v>
      </c>
      <c r="H776" s="316" t="str">
        <f t="array" ref="H776">XLOOKUP(B776,Roster!L:L,Roster!N:N,XLOOKUP(D776,TicketsBreak!A:A,TicketsBreak!E:E,"",0),0)</f>
        <v>09:30 - 09:45</v>
      </c>
      <c r="I776" s="316" t="str">
        <f t="array" ref="I776">XLOOKUP(B776,Roster!L:L,Roster!O:O,XLOOKUP(D776,TicketsBreak!A:A,TicketsBreak!F:F,"",0),0)</f>
        <v>12:15 - 12:45</v>
      </c>
      <c r="J776" s="316" t="str">
        <f t="array" ref="J776">XLOOKUP(B776,Roster!L:L,Roster!P:P,XLOOKUP(D776,TicketsBreak!A:A,TicketsBreak!G:G,"",0),0)</f>
        <v>14:45 - 15:00</v>
      </c>
      <c r="K776" s="310">
        <f t="shared" si="4"/>
        <v>46119</v>
      </c>
      <c r="L776" s="317">
        <f t="array" ref="L776">(XLOOKUP(D776,Roster!F:F,Roster!D:D,"",0))</f>
        <v>2</v>
      </c>
      <c r="M776" s="317" t="str">
        <f t="array" ref="M776">XLOOKUP(D776,Roster!F:F,Roster!E:E)</f>
        <v>Voice</v>
      </c>
      <c r="N776" s="317" t="str">
        <f t="shared" ref="N776:P776" si="789">LEFT(H776,5)</f>
        <v>09:30</v>
      </c>
      <c r="O776" s="317" t="str">
        <f t="shared" si="789"/>
        <v>12:15</v>
      </c>
      <c r="P776" s="317" t="str">
        <f t="shared" si="789"/>
        <v>14:45</v>
      </c>
      <c r="Q776" s="318">
        <f t="shared" si="664"/>
        <v>46119.39583</v>
      </c>
      <c r="R776" s="318">
        <f t="shared" si="665"/>
        <v>46119.51042</v>
      </c>
      <c r="S776" s="318">
        <f t="shared" si="8"/>
        <v>46119.61458</v>
      </c>
    </row>
    <row r="777">
      <c r="A777" s="14" t="str">
        <f t="shared" si="1"/>
        <v>C151446119</v>
      </c>
      <c r="B777" s="185">
        <f t="array" ref="B777">IF(F777="VL","",IF(F777="Free","Free",XLOOKUP(D777,Roster!T:T,Roster!S:S,"",0)))</f>
        <v>122</v>
      </c>
      <c r="C777" s="313">
        <v>46119.0</v>
      </c>
      <c r="D777" s="314" t="s">
        <v>54</v>
      </c>
      <c r="E777" s="307" t="str">
        <f t="array" ref="E777">(XLOOKUP(D777,Roster!F:F,Roster!B:B,"",0))</f>
        <v>Kevin Betancur</v>
      </c>
      <c r="F777" s="315" t="str">
        <f t="array" ref="F777">IF(B777=100,"Free",TEXT(XLOOKUP($D777,OperationVoice!$A:$A,OperationVoice!M:M,XLOOKUP($D777,OperationTickets!$A:$A,OperationTickets!M:M,"",0)),"hh:mm"))</f>
        <v>08:00</v>
      </c>
      <c r="G777" s="309">
        <f t="shared" si="3"/>
        <v>0.7083333333</v>
      </c>
      <c r="H777" s="316" t="str">
        <f t="array" ref="H777">XLOOKUP(B777,Roster!L:L,Roster!N:N,XLOOKUP(D777,TicketsBreak!A:A,TicketsBreak!E:E,"",0),0)</f>
        <v>09:30 - 09:45</v>
      </c>
      <c r="I777" s="316" t="str">
        <f t="array" ref="I777">XLOOKUP(B777,Roster!L:L,Roster!O:O,XLOOKUP(D777,TicketsBreak!A:A,TicketsBreak!F:F,"",0),0)</f>
        <v>12:00 - 12:30</v>
      </c>
      <c r="J777" s="316" t="str">
        <f t="array" ref="J777">XLOOKUP(B777,Roster!L:L,Roster!P:P,XLOOKUP(D777,TicketsBreak!A:A,TicketsBreak!G:G,"",0),0)</f>
        <v>14:45 - 15:00</v>
      </c>
      <c r="K777" s="310">
        <f t="shared" si="4"/>
        <v>46119</v>
      </c>
      <c r="L777" s="317">
        <f t="array" ref="L777">(XLOOKUP(D777,Roster!F:F,Roster!D:D,"",0))</f>
        <v>35</v>
      </c>
      <c r="M777" s="317" t="str">
        <f t="array" ref="M777">XLOOKUP(D777,Roster!F:F,Roster!E:E)</f>
        <v>Voice</v>
      </c>
      <c r="N777" s="317" t="str">
        <f t="shared" ref="N777:P777" si="790">LEFT(H777,5)</f>
        <v>09:30</v>
      </c>
      <c r="O777" s="317" t="str">
        <f t="shared" si="790"/>
        <v>12:00</v>
      </c>
      <c r="P777" s="317" t="str">
        <f t="shared" si="790"/>
        <v>14:45</v>
      </c>
      <c r="Q777" s="318">
        <f t="shared" si="664"/>
        <v>46119.39583</v>
      </c>
      <c r="R777" s="318">
        <f t="shared" si="665"/>
        <v>46119.5</v>
      </c>
      <c r="S777" s="318">
        <f t="shared" si="8"/>
        <v>46119.61458</v>
      </c>
    </row>
    <row r="778">
      <c r="A778" s="14" t="str">
        <f t="shared" si="1"/>
        <v>C157146119</v>
      </c>
      <c r="B778" s="185">
        <f t="array" ref="B778">IF(F778="VL","",IF(F778="Free","Free",XLOOKUP(D778,Roster!T:T,Roster!S:S,"",0)))</f>
        <v>123</v>
      </c>
      <c r="C778" s="313">
        <v>46119.0</v>
      </c>
      <c r="D778" s="314" t="s">
        <v>55</v>
      </c>
      <c r="E778" s="307" t="str">
        <f t="array" ref="E778">(XLOOKUP(D778,Roster!F:F,Roster!B:B,"",0))</f>
        <v>Laura Chamorro</v>
      </c>
      <c r="F778" s="315" t="str">
        <f t="array" ref="F778">IF(B778=100,"Free",TEXT(XLOOKUP($D778,OperationVoice!$A:$A,OperationVoice!M:M,XLOOKUP($D778,OperationTickets!$A:$A,OperationTickets!M:M,"",0)),"hh:mm"))</f>
        <v>08:00</v>
      </c>
      <c r="G778" s="309">
        <f t="shared" si="3"/>
        <v>0.7083333333</v>
      </c>
      <c r="H778" s="316" t="str">
        <f t="array" ref="H778">XLOOKUP(B778,Roster!L:L,Roster!N:N,XLOOKUP(D778,TicketsBreak!A:A,TicketsBreak!E:E,"",0),0)</f>
        <v>09:45 - 10:00 </v>
      </c>
      <c r="I778" s="316" t="str">
        <f t="array" ref="I778">XLOOKUP(B778,Roster!L:L,Roster!O:O,XLOOKUP(D778,TicketsBreak!A:A,TicketsBreak!F:F,"",0),0)</f>
        <v>12:30 - 13:00</v>
      </c>
      <c r="J778" s="316" t="str">
        <f t="array" ref="J778">XLOOKUP(B778,Roster!L:L,Roster!P:P,XLOOKUP(D778,TicketsBreak!A:A,TicketsBreak!G:G,"",0),0)</f>
        <v>15:00 - 15:15</v>
      </c>
      <c r="K778" s="310">
        <f t="shared" si="4"/>
        <v>46119</v>
      </c>
      <c r="L778" s="317">
        <f t="array" ref="L778">(XLOOKUP(D778,Roster!F:F,Roster!D:D,"",0))</f>
        <v>38</v>
      </c>
      <c r="M778" s="317" t="str">
        <f t="array" ref="M778">XLOOKUP(D778,Roster!F:F,Roster!E:E)</f>
        <v>Voice</v>
      </c>
      <c r="N778" s="317" t="str">
        <f t="shared" ref="N778:P778" si="791">LEFT(H778,5)</f>
        <v>09:45</v>
      </c>
      <c r="O778" s="317" t="str">
        <f t="shared" si="791"/>
        <v>12:30</v>
      </c>
      <c r="P778" s="317" t="str">
        <f t="shared" si="791"/>
        <v>15:00</v>
      </c>
      <c r="Q778" s="318">
        <f t="shared" si="664"/>
        <v>46119.40625</v>
      </c>
      <c r="R778" s="318">
        <f t="shared" si="665"/>
        <v>46119.52083</v>
      </c>
      <c r="S778" s="318">
        <f t="shared" si="8"/>
        <v>46119.625</v>
      </c>
    </row>
    <row r="779">
      <c r="A779" s="14" t="str">
        <f t="shared" si="1"/>
        <v>C53446119</v>
      </c>
      <c r="B779" s="185" t="str">
        <f t="array" ref="B779">IF(F779="VL","",IF(F779="Free","Free",XLOOKUP(D779,Roster!T:T,Roster!S:S,"",0)))</f>
        <v/>
      </c>
      <c r="C779" s="313">
        <v>46119.0</v>
      </c>
      <c r="D779" s="314" t="s">
        <v>177</v>
      </c>
      <c r="E779" s="307" t="str">
        <f t="array" ref="E779">(XLOOKUP(D779,Roster!F:F,Roster!B:B,"",0))</f>
        <v>Leandry La Rosa</v>
      </c>
      <c r="F779" s="315" t="str">
        <f t="array" ref="F779">IF(B779=100,"Free",TEXT(XLOOKUP($D779,OperationVoice!$A:$A,OperationVoice!M:M,XLOOKUP($D779,OperationTickets!$A:$A,OperationTickets!M:M,"",0)),"hh:mm"))</f>
        <v>08:00</v>
      </c>
      <c r="G779" s="309">
        <f t="shared" si="3"/>
        <v>0.7083333333</v>
      </c>
      <c r="H779" s="316">
        <f t="array" ref="H779">XLOOKUP(B779,Roster!L:L,Roster!N:N,XLOOKUP(D779,TicketsBreak!A:A,TicketsBreak!E:E,"",0),0)</f>
        <v>0.40625</v>
      </c>
      <c r="I779" s="316">
        <f t="array" ref="I779">XLOOKUP(B779,Roster!L:L,Roster!O:O,XLOOKUP(D779,TicketsBreak!A:A,TicketsBreak!F:F,"",0),0)</f>
        <v>0.5416666667</v>
      </c>
      <c r="J779" s="316">
        <f t="array" ref="J779">XLOOKUP(B779,Roster!L:L,Roster!P:P,XLOOKUP(D779,TicketsBreak!A:A,TicketsBreak!G:G,"",0),0)</f>
        <v>0.65625</v>
      </c>
      <c r="K779" s="310">
        <f t="shared" si="4"/>
        <v>46119</v>
      </c>
      <c r="L779" s="317">
        <f t="array" ref="L779">(XLOOKUP(D779,Roster!F:F,Roster!D:D,"",0))</f>
        <v>1</v>
      </c>
      <c r="M779" s="317" t="str">
        <f t="array" ref="M779">XLOOKUP(D779,Roster!F:F,Roster!E:E)</f>
        <v>Tickets</v>
      </c>
      <c r="N779" s="317" t="str">
        <f t="shared" ref="N779:P779" si="792">LEFT(H779,5)</f>
        <v>09:45</v>
      </c>
      <c r="O779" s="317" t="str">
        <f t="shared" si="792"/>
        <v>13:00</v>
      </c>
      <c r="P779" s="317" t="str">
        <f t="shared" si="792"/>
        <v>15:45</v>
      </c>
      <c r="Q779" s="318">
        <f t="shared" si="664"/>
        <v>46119.40625</v>
      </c>
      <c r="R779" s="318">
        <f t="shared" si="665"/>
        <v>46119.54167</v>
      </c>
      <c r="S779" s="318">
        <f t="shared" si="8"/>
        <v>46119.65625</v>
      </c>
    </row>
    <row r="780">
      <c r="A780" s="14" t="str">
        <f t="shared" si="1"/>
        <v>C157846119</v>
      </c>
      <c r="B780" s="185">
        <f t="array" ref="B780">IF(F780="VL","",IF(F780="Free","Free",XLOOKUP(D780,Roster!T:T,Roster!S:S,"",0)))</f>
        <v>125</v>
      </c>
      <c r="C780" s="313">
        <v>46119.0</v>
      </c>
      <c r="D780" s="314" t="s">
        <v>56</v>
      </c>
      <c r="E780" s="307" t="str">
        <f t="array" ref="E780">(XLOOKUP(D780,Roster!F:F,Roster!B:B,"",0))</f>
        <v>Leonerrichi Caicedo</v>
      </c>
      <c r="F780" s="315" t="str">
        <f t="array" ref="F780">IF(B780=100,"Free",TEXT(XLOOKUP($D780,OperationVoice!$A:$A,OperationVoice!M:M,XLOOKUP($D780,OperationTickets!$A:$A,OperationTickets!M:M,"",0)),"hh:mm"))</f>
        <v>08:00</v>
      </c>
      <c r="G780" s="309">
        <f t="shared" si="3"/>
        <v>0.7083333333</v>
      </c>
      <c r="H780" s="316" t="str">
        <f t="array" ref="H780">XLOOKUP(B780,Roster!L:L,Roster!N:N,XLOOKUP(D780,TicketsBreak!A:A,TicketsBreak!E:E,"",0),0)</f>
        <v>10:30 - 10:45</v>
      </c>
      <c r="I780" s="316" t="str">
        <f t="array" ref="I780">XLOOKUP(B780,Roster!L:L,Roster!O:O,XLOOKUP(D780,TicketsBreak!A:A,TicketsBreak!F:F,"",0),0)</f>
        <v>13:30 - 14:00</v>
      </c>
      <c r="J780" s="316" t="str">
        <f t="array" ref="J780">XLOOKUP(B780,Roster!L:L,Roster!P:P,XLOOKUP(D780,TicketsBreak!A:A,TicketsBreak!G:G,"",0),0)</f>
        <v>15:45 - 16:00</v>
      </c>
      <c r="K780" s="310">
        <f t="shared" si="4"/>
        <v>46119</v>
      </c>
      <c r="L780" s="317">
        <f t="array" ref="L780">(XLOOKUP(D780,Roster!F:F,Roster!D:D,"",0))</f>
        <v>38</v>
      </c>
      <c r="M780" s="317" t="str">
        <f t="array" ref="M780">XLOOKUP(D780,Roster!F:F,Roster!E:E)</f>
        <v>Voice</v>
      </c>
      <c r="N780" s="317" t="str">
        <f t="shared" ref="N780:P780" si="793">LEFT(H780,5)</f>
        <v>10:30</v>
      </c>
      <c r="O780" s="317" t="str">
        <f t="shared" si="793"/>
        <v>13:30</v>
      </c>
      <c r="P780" s="317" t="str">
        <f t="shared" si="793"/>
        <v>15:45</v>
      </c>
      <c r="Q780" s="318">
        <f t="shared" si="664"/>
        <v>46119.4375</v>
      </c>
      <c r="R780" s="318">
        <f t="shared" si="665"/>
        <v>46119.5625</v>
      </c>
      <c r="S780" s="318">
        <f t="shared" si="8"/>
        <v>46119.65625</v>
      </c>
    </row>
    <row r="781">
      <c r="A781" s="14" t="str">
        <f t="shared" si="1"/>
        <v>C53546119</v>
      </c>
      <c r="B781" s="185" t="str">
        <f t="array" ref="B781">IF(F781="VL","",IF(F781="Free","Free",XLOOKUP(D781,Roster!T:T,Roster!S:S,"",0)))</f>
        <v/>
      </c>
      <c r="C781" s="313">
        <v>46119.0</v>
      </c>
      <c r="D781" s="314" t="s">
        <v>145</v>
      </c>
      <c r="E781" s="307" t="str">
        <f t="array" ref="E781">(XLOOKUP(D781,Roster!F:F,Roster!B:B,"",0))</f>
        <v>Lina Cadena</v>
      </c>
      <c r="F781" s="315" t="str">
        <f t="array" ref="F781">IF(B781=100,"Free",TEXT(XLOOKUP($D781,OperationVoice!$A:$A,OperationVoice!M:M,XLOOKUP($D781,OperationTickets!$A:$A,OperationTickets!M:M,"",0)),"hh:mm"))</f>
        <v>08:00</v>
      </c>
      <c r="G781" s="309">
        <f t="shared" si="3"/>
        <v>0.7083333333</v>
      </c>
      <c r="H781" s="316">
        <f t="array" ref="H781">XLOOKUP(B781,Roster!L:L,Roster!N:N,XLOOKUP(D781,TicketsBreak!A:A,TicketsBreak!E:E,"",0),0)</f>
        <v>0.3854166667</v>
      </c>
      <c r="I781" s="316">
        <f t="array" ref="I781">XLOOKUP(B781,Roster!L:L,Roster!O:O,XLOOKUP(D781,TicketsBreak!A:A,TicketsBreak!F:F,"",0),0)</f>
        <v>0.5833333333</v>
      </c>
      <c r="J781" s="316">
        <f t="array" ref="J781">XLOOKUP(B781,Roster!L:L,Roster!P:P,XLOOKUP(D781,TicketsBreak!A:A,TicketsBreak!G:G,"",0),0)</f>
        <v>0.6458333333</v>
      </c>
      <c r="K781" s="310">
        <f t="shared" si="4"/>
        <v>46119</v>
      </c>
      <c r="L781" s="317">
        <f t="array" ref="L781">(XLOOKUP(D781,Roster!F:F,Roster!D:D,"",0))</f>
        <v>2</v>
      </c>
      <c r="M781" s="317" t="str">
        <f t="array" ref="M781">XLOOKUP(D781,Roster!F:F,Roster!E:E)</f>
        <v>Tickets</v>
      </c>
      <c r="N781" s="317" t="str">
        <f t="shared" ref="N781:P781" si="794">LEFT(H781,5)</f>
        <v>09:15</v>
      </c>
      <c r="O781" s="317" t="str">
        <f t="shared" si="794"/>
        <v>14:00</v>
      </c>
      <c r="P781" s="317" t="str">
        <f t="shared" si="794"/>
        <v>15:30</v>
      </c>
      <c r="Q781" s="318">
        <f t="shared" si="664"/>
        <v>46119.38542</v>
      </c>
      <c r="R781" s="318">
        <f t="shared" si="665"/>
        <v>46119.58333</v>
      </c>
      <c r="S781" s="318">
        <f t="shared" si="8"/>
        <v>46119.64583</v>
      </c>
    </row>
    <row r="782">
      <c r="A782" s="14" t="str">
        <f t="shared" si="1"/>
        <v>C151746119</v>
      </c>
      <c r="B782" s="185">
        <f t="array" ref="B782">IF(F782="VL","",IF(F782="Free","Free",XLOOKUP(D782,Roster!T:T,Roster!S:S,"",0)))</f>
        <v>124</v>
      </c>
      <c r="C782" s="313">
        <v>46119.0</v>
      </c>
      <c r="D782" s="314" t="s">
        <v>57</v>
      </c>
      <c r="E782" s="307" t="str">
        <f t="array" ref="E782">(XLOOKUP(D782,Roster!F:F,Roster!B:B,"",0))</f>
        <v>Lisandro Alvarado</v>
      </c>
      <c r="F782" s="315" t="str">
        <f t="array" ref="F782">IF(B782=100,"Free",TEXT(XLOOKUP($D782,OperationVoice!$A:$A,OperationVoice!M:M,XLOOKUP($D782,OperationTickets!$A:$A,OperationTickets!M:M,"",0)),"hh:mm"))</f>
        <v>08:00</v>
      </c>
      <c r="G782" s="309">
        <f t="shared" si="3"/>
        <v>0.7083333333</v>
      </c>
      <c r="H782" s="316" t="str">
        <f t="array" ref="H782">XLOOKUP(B782,Roster!L:L,Roster!N:N,XLOOKUP(D782,TicketsBreak!A:A,TicketsBreak!E:E,"",0),0)</f>
        <v>10:00 - 10:15</v>
      </c>
      <c r="I782" s="316" t="str">
        <f t="array" ref="I782">XLOOKUP(B782,Roster!L:L,Roster!O:O,XLOOKUP(D782,TicketsBreak!A:A,TicketsBreak!F:F,"",0),0)</f>
        <v>13:00 - 13:30</v>
      </c>
      <c r="J782" s="316" t="str">
        <f t="array" ref="J782">XLOOKUP(B782,Roster!L:L,Roster!P:P,XLOOKUP(D782,TicketsBreak!A:A,TicketsBreak!G:G,"",0),0)</f>
        <v>15:30 - 15:45</v>
      </c>
      <c r="K782" s="310">
        <f t="shared" si="4"/>
        <v>46119</v>
      </c>
      <c r="L782" s="317">
        <f t="array" ref="L782">(XLOOKUP(D782,Roster!F:F,Roster!D:D,"",0))</f>
        <v>35</v>
      </c>
      <c r="M782" s="317" t="str">
        <f t="array" ref="M782">XLOOKUP(D782,Roster!F:F,Roster!E:E)</f>
        <v>Voice</v>
      </c>
      <c r="N782" s="317" t="str">
        <f t="shared" ref="N782:P782" si="795">LEFT(H782,5)</f>
        <v>10:00</v>
      </c>
      <c r="O782" s="317" t="str">
        <f t="shared" si="795"/>
        <v>13:00</v>
      </c>
      <c r="P782" s="317" t="str">
        <f t="shared" si="795"/>
        <v>15:30</v>
      </c>
      <c r="Q782" s="318">
        <f t="shared" si="664"/>
        <v>46119.41667</v>
      </c>
      <c r="R782" s="318">
        <f t="shared" si="665"/>
        <v>46119.54167</v>
      </c>
      <c r="S782" s="318">
        <f t="shared" si="8"/>
        <v>46119.64583</v>
      </c>
    </row>
    <row r="783">
      <c r="A783" s="14" t="str">
        <f t="shared" si="1"/>
        <v>C143346119</v>
      </c>
      <c r="B783" s="185">
        <f t="array" ref="B783">IF(F783="VL","",IF(F783="Free","Free",XLOOKUP(D783,Roster!T:T,Roster!S:S,"",0)))</f>
        <v>500</v>
      </c>
      <c r="C783" s="313">
        <v>46119.0</v>
      </c>
      <c r="D783" s="314" t="s">
        <v>58</v>
      </c>
      <c r="E783" s="307" t="str">
        <f t="array" ref="E783">(XLOOKUP(D783,Roster!F:F,Roster!B:B,"",0))</f>
        <v>Luis Lopez</v>
      </c>
      <c r="F783" s="315" t="str">
        <f t="array" ref="F783">IF(B783=100,"Free",TEXT(XLOOKUP($D783,OperationVoice!$A:$A,OperationVoice!M:M,XLOOKUP($D783,OperationTickets!$A:$A,OperationTickets!M:M,"",0)),"hh:mm"))</f>
        <v>15:00</v>
      </c>
      <c r="G783" s="309">
        <f t="shared" si="3"/>
        <v>1</v>
      </c>
      <c r="H783" s="316" t="str">
        <f t="array" ref="H783">XLOOKUP(B783,Roster!L:L,Roster!N:N,XLOOKUP(D783,TicketsBreak!A:A,TicketsBreak!E:E,"",0),0)</f>
        <v>Team Leader</v>
      </c>
      <c r="I783" s="316" t="str">
        <f t="array" ref="I783">XLOOKUP(B783,Roster!L:L,Roster!O:O,XLOOKUP(D783,TicketsBreak!A:A,TicketsBreak!F:F,"",0),0)</f>
        <v>Team Leader</v>
      </c>
      <c r="J783" s="316" t="str">
        <f t="array" ref="J783">XLOOKUP(B783,Roster!L:L,Roster!P:P,XLOOKUP(D783,TicketsBreak!A:A,TicketsBreak!G:G,"",0),0)</f>
        <v/>
      </c>
      <c r="K783" s="310">
        <f t="shared" si="4"/>
        <v>46119</v>
      </c>
      <c r="L783" s="317">
        <f t="array" ref="L783">(XLOOKUP(D783,Roster!F:F,Roster!D:D,"",0))</f>
        <v>32</v>
      </c>
      <c r="M783" s="317" t="str">
        <f t="array" ref="M783">XLOOKUP(D783,Roster!F:F,Roster!E:E)</f>
        <v>Voice</v>
      </c>
      <c r="N783" s="317" t="str">
        <f t="shared" ref="N783:P783" si="796">LEFT(H783,5)</f>
        <v>Team </v>
      </c>
      <c r="O783" s="317" t="str">
        <f t="shared" si="796"/>
        <v>Team </v>
      </c>
      <c r="P783" s="317" t="str">
        <f t="shared" si="796"/>
        <v/>
      </c>
      <c r="Q783" s="318" t="str">
        <f t="shared" si="664"/>
        <v>#VALUE!</v>
      </c>
      <c r="R783" s="318" t="str">
        <f t="shared" si="665"/>
        <v>#VALUE!</v>
      </c>
      <c r="S783" s="318" t="str">
        <f t="shared" si="8"/>
        <v/>
      </c>
    </row>
    <row r="784">
      <c r="A784" s="14" t="str">
        <f t="shared" si="1"/>
        <v>C153446119</v>
      </c>
      <c r="B784" s="185">
        <f t="array" ref="B784">IF(F784="VL","",IF(F784="Free","Free",XLOOKUP(D784,Roster!T:T,Roster!S:S,"",0)))</f>
        <v>126</v>
      </c>
      <c r="C784" s="313">
        <v>46119.0</v>
      </c>
      <c r="D784" s="314" t="s">
        <v>59</v>
      </c>
      <c r="E784" s="307" t="str">
        <f t="array" ref="E784">(XLOOKUP(D784,Roster!F:F,Roster!B:B,"",0))</f>
        <v>Luis Munoz</v>
      </c>
      <c r="F784" s="315" t="str">
        <f t="array" ref="F784">IF(B784=100,"Free",TEXT(XLOOKUP($D784,OperationVoice!$A:$A,OperationVoice!M:M,XLOOKUP($D784,OperationTickets!$A:$A,OperationTickets!M:M,"",0)),"hh:mm"))</f>
        <v>08:00</v>
      </c>
      <c r="G784" s="309">
        <f t="shared" si="3"/>
        <v>0.7083333333</v>
      </c>
      <c r="H784" s="316" t="str">
        <f t="array" ref="H784">XLOOKUP(B784,Roster!L:L,Roster!N:N,XLOOKUP(D784,TicketsBreak!A:A,TicketsBreak!E:E,"",0),0)</f>
        <v>10:45 - 11:00</v>
      </c>
      <c r="I784" s="316" t="str">
        <f t="array" ref="I784">XLOOKUP(B784,Roster!L:L,Roster!O:O,XLOOKUP(D784,TicketsBreak!A:A,TicketsBreak!F:F,"",0),0)</f>
        <v>14:00 - 14:30</v>
      </c>
      <c r="J784" s="316" t="str">
        <f t="array" ref="J784">XLOOKUP(B784,Roster!L:L,Roster!P:P,XLOOKUP(D784,TicketsBreak!A:A,TicketsBreak!G:G,"",0),0)</f>
        <v>15:45 - 16:00</v>
      </c>
      <c r="K784" s="310">
        <f t="shared" si="4"/>
        <v>46119</v>
      </c>
      <c r="L784" s="317">
        <f t="array" ref="L784">(XLOOKUP(D784,Roster!F:F,Roster!D:D,"",0))</f>
        <v>36</v>
      </c>
      <c r="M784" s="317" t="str">
        <f t="array" ref="M784">XLOOKUP(D784,Roster!F:F,Roster!E:E)</f>
        <v>Voice</v>
      </c>
      <c r="N784" s="317" t="str">
        <f t="shared" ref="N784:P784" si="797">LEFT(H784,5)</f>
        <v>10:45</v>
      </c>
      <c r="O784" s="317" t="str">
        <f t="shared" si="797"/>
        <v>14:00</v>
      </c>
      <c r="P784" s="317" t="str">
        <f t="shared" si="797"/>
        <v>15:45</v>
      </c>
      <c r="Q784" s="318">
        <f t="shared" si="664"/>
        <v>46119.44792</v>
      </c>
      <c r="R784" s="318">
        <f t="shared" si="665"/>
        <v>46119.58333</v>
      </c>
      <c r="S784" s="318">
        <f t="shared" si="8"/>
        <v>46119.65625</v>
      </c>
    </row>
    <row r="785">
      <c r="A785" s="14" t="str">
        <f t="shared" si="1"/>
        <v>C53846119</v>
      </c>
      <c r="B785" s="185" t="str">
        <f t="array" ref="B785">IF(F785="VL","",IF(F785="Free","Free",XLOOKUP(D785,Roster!T:T,Roster!S:S,"",0)))</f>
        <v/>
      </c>
      <c r="C785" s="313">
        <v>46119.0</v>
      </c>
      <c r="D785" s="314" t="s">
        <v>165</v>
      </c>
      <c r="E785" s="307" t="str">
        <f t="array" ref="E785">(XLOOKUP(D785,Roster!F:F,Roster!B:B,"",0))</f>
        <v>Luisa Arenas</v>
      </c>
      <c r="F785" s="315" t="str">
        <f t="array" ref="F785">IF(B785=100,"Free",TEXT(XLOOKUP($D785,OperationVoice!$A:$A,OperationVoice!M:M,XLOOKUP($D785,OperationTickets!$A:$A,OperationTickets!M:M,"",0)),"hh:mm"))</f>
        <v>08:00</v>
      </c>
      <c r="G785" s="309">
        <f t="shared" si="3"/>
        <v>0.7083333333</v>
      </c>
      <c r="H785" s="316" t="str">
        <f t="array" ref="H785">XLOOKUP(B785,Roster!L:L,Roster!N:N,XLOOKUP(D785,TicketsBreak!A:A,TicketsBreak!E:E,"",0),0)</f>
        <v/>
      </c>
      <c r="I785" s="316" t="str">
        <f t="array" ref="I785">XLOOKUP(B785,Roster!L:L,Roster!O:O,XLOOKUP(D785,TicketsBreak!A:A,TicketsBreak!F:F,"",0),0)</f>
        <v/>
      </c>
      <c r="J785" s="316" t="str">
        <f t="array" ref="J785">XLOOKUP(B785,Roster!L:L,Roster!P:P,XLOOKUP(D785,TicketsBreak!A:A,TicketsBreak!G:G,"",0),0)</f>
        <v/>
      </c>
      <c r="K785" s="310">
        <f t="shared" si="4"/>
        <v>46119</v>
      </c>
      <c r="L785" s="317">
        <f t="array" ref="L785">(XLOOKUP(D785,Roster!F:F,Roster!D:D,"",0))</f>
        <v>35</v>
      </c>
      <c r="M785" s="317" t="str">
        <f t="array" ref="M785">XLOOKUP(D785,Roster!F:F,Roster!E:E)</f>
        <v>Tickets</v>
      </c>
      <c r="N785" s="317" t="str">
        <f t="shared" ref="N785:P785" si="798">LEFT(H785,5)</f>
        <v/>
      </c>
      <c r="O785" s="317" t="str">
        <f t="shared" si="798"/>
        <v/>
      </c>
      <c r="P785" s="317" t="str">
        <f t="shared" si="798"/>
        <v/>
      </c>
      <c r="Q785" s="318" t="str">
        <f t="shared" si="664"/>
        <v/>
      </c>
      <c r="R785" s="318" t="str">
        <f t="shared" si="665"/>
        <v/>
      </c>
      <c r="S785" s="318" t="str">
        <f t="shared" si="8"/>
        <v/>
      </c>
    </row>
    <row r="786">
      <c r="A786" s="14" t="str">
        <f t="shared" si="1"/>
        <v>C113646119</v>
      </c>
      <c r="B786" s="185">
        <f t="array" ref="B786">IF(F786="VL","",IF(F786="Free","Free",XLOOKUP(D786,Roster!T:T,Roster!S:S,"",0)))</f>
        <v>126</v>
      </c>
      <c r="C786" s="313">
        <v>46119.0</v>
      </c>
      <c r="D786" s="314" t="s">
        <v>60</v>
      </c>
      <c r="E786" s="307" t="str">
        <f t="array" ref="E786">(XLOOKUP(D786,Roster!F:F,Roster!B:B,"",0))</f>
        <v>Luisa Gonzalez</v>
      </c>
      <c r="F786" s="315" t="str">
        <f t="array" ref="F786">IF(B786=100,"Free",TEXT(XLOOKUP($D786,OperationVoice!$A:$A,OperationVoice!M:M,XLOOKUP($D786,OperationTickets!$A:$A,OperationTickets!M:M,"",0)),"hh:mm"))</f>
        <v>08:00</v>
      </c>
      <c r="G786" s="309">
        <f t="shared" si="3"/>
        <v>0.7083333333</v>
      </c>
      <c r="H786" s="316" t="str">
        <f t="array" ref="H786">XLOOKUP(B786,Roster!L:L,Roster!N:N,XLOOKUP(D786,TicketsBreak!A:A,TicketsBreak!E:E,"",0),0)</f>
        <v>10:45 - 11:00</v>
      </c>
      <c r="I786" s="316" t="str">
        <f t="array" ref="I786">XLOOKUP(B786,Roster!L:L,Roster!O:O,XLOOKUP(D786,TicketsBreak!A:A,TicketsBreak!F:F,"",0),0)</f>
        <v>14:00 - 14:30</v>
      </c>
      <c r="J786" s="316" t="str">
        <f t="array" ref="J786">XLOOKUP(B786,Roster!L:L,Roster!P:P,XLOOKUP(D786,TicketsBreak!A:A,TicketsBreak!G:G,"",0),0)</f>
        <v>15:45 - 16:00</v>
      </c>
      <c r="K786" s="310">
        <f t="shared" si="4"/>
        <v>46119</v>
      </c>
      <c r="L786" s="317">
        <f t="array" ref="L786">(XLOOKUP(D786,Roster!F:F,Roster!D:D,"",0))</f>
        <v>22</v>
      </c>
      <c r="M786" s="317" t="str">
        <f t="array" ref="M786">XLOOKUP(D786,Roster!F:F,Roster!E:E)</f>
        <v>Voice</v>
      </c>
      <c r="N786" s="317" t="str">
        <f t="shared" ref="N786:P786" si="799">LEFT(H786,5)</f>
        <v>10:45</v>
      </c>
      <c r="O786" s="317" t="str">
        <f t="shared" si="799"/>
        <v>14:00</v>
      </c>
      <c r="P786" s="317" t="str">
        <f t="shared" si="799"/>
        <v>15:45</v>
      </c>
      <c r="Q786" s="318">
        <f t="shared" si="664"/>
        <v>46119.44792</v>
      </c>
      <c r="R786" s="318">
        <f t="shared" si="665"/>
        <v>46119.58333</v>
      </c>
      <c r="S786" s="318">
        <f t="shared" si="8"/>
        <v>46119.65625</v>
      </c>
    </row>
    <row r="787">
      <c r="A787" s="14" t="str">
        <f t="shared" si="1"/>
        <v>C157746119</v>
      </c>
      <c r="B787" s="185">
        <f t="array" ref="B787">IF(F787="VL","",IF(F787="Free","Free",XLOOKUP(D787,Roster!T:T,Roster!S:S,"",0)))</f>
        <v>126</v>
      </c>
      <c r="C787" s="313">
        <v>46119.0</v>
      </c>
      <c r="D787" s="314" t="s">
        <v>61</v>
      </c>
      <c r="E787" s="307" t="str">
        <f t="array" ref="E787">(XLOOKUP(D787,Roster!F:F,Roster!B:B,"",0))</f>
        <v>Luna Morales</v>
      </c>
      <c r="F787" s="315" t="str">
        <f t="array" ref="F787">IF(B787=100,"Free",TEXT(XLOOKUP($D787,OperationVoice!$A:$A,OperationVoice!M:M,XLOOKUP($D787,OperationTickets!$A:$A,OperationTickets!M:M,"",0)),"hh:mm"))</f>
        <v>08:00</v>
      </c>
      <c r="G787" s="309">
        <f t="shared" si="3"/>
        <v>0.7083333333</v>
      </c>
      <c r="H787" s="316" t="str">
        <f t="array" ref="H787">XLOOKUP(B787,Roster!L:L,Roster!N:N,XLOOKUP(D787,TicketsBreak!A:A,TicketsBreak!E:E,"",0),0)</f>
        <v>10:45 - 11:00</v>
      </c>
      <c r="I787" s="316" t="str">
        <f t="array" ref="I787">XLOOKUP(B787,Roster!L:L,Roster!O:O,XLOOKUP(D787,TicketsBreak!A:A,TicketsBreak!F:F,"",0),0)</f>
        <v>14:00 - 14:30</v>
      </c>
      <c r="J787" s="316" t="str">
        <f t="array" ref="J787">XLOOKUP(B787,Roster!L:L,Roster!P:P,XLOOKUP(D787,TicketsBreak!A:A,TicketsBreak!G:G,"",0),0)</f>
        <v>15:45 - 16:00</v>
      </c>
      <c r="K787" s="310">
        <f t="shared" si="4"/>
        <v>46119</v>
      </c>
      <c r="L787" s="317">
        <f t="array" ref="L787">(XLOOKUP(D787,Roster!F:F,Roster!D:D,"",0))</f>
        <v>38</v>
      </c>
      <c r="M787" s="317" t="str">
        <f t="array" ref="M787">XLOOKUP(D787,Roster!F:F,Roster!E:E)</f>
        <v>Voice</v>
      </c>
      <c r="N787" s="317" t="str">
        <f t="shared" ref="N787:P787" si="800">LEFT(H787,5)</f>
        <v>10:45</v>
      </c>
      <c r="O787" s="317" t="str">
        <f t="shared" si="800"/>
        <v>14:00</v>
      </c>
      <c r="P787" s="317" t="str">
        <f t="shared" si="800"/>
        <v>15:45</v>
      </c>
      <c r="Q787" s="318">
        <f t="shared" si="664"/>
        <v>46119.44792</v>
      </c>
      <c r="R787" s="318">
        <f t="shared" si="665"/>
        <v>46119.58333</v>
      </c>
      <c r="S787" s="318">
        <f t="shared" si="8"/>
        <v>46119.65625</v>
      </c>
    </row>
    <row r="788">
      <c r="A788" s="14" t="str">
        <f t="shared" si="1"/>
        <v>C121946119</v>
      </c>
      <c r="B788" s="185" t="str">
        <f t="array" ref="B788">IF(F788="VL","",IF(F788="Free","Free",XLOOKUP(D788,Roster!T:T,Roster!S:S,"",0)))</f>
        <v/>
      </c>
      <c r="C788" s="313">
        <v>46119.0</v>
      </c>
      <c r="D788" s="314" t="s">
        <v>146</v>
      </c>
      <c r="E788" s="307" t="str">
        <f t="array" ref="E788">(XLOOKUP(D788,Roster!F:F,Roster!B:B,"",0))</f>
        <v>Madelyn Jaramillo</v>
      </c>
      <c r="F788" s="315" t="str">
        <f t="array" ref="F788">IF(B788=100,"Free",TEXT(XLOOKUP($D788,OperationVoice!$A:$A,OperationVoice!M:M,XLOOKUP($D788,OperationTickets!$A:$A,OperationTickets!M:M,"",0)),"hh:mm"))</f>
        <v>08:00</v>
      </c>
      <c r="G788" s="309">
        <f t="shared" si="3"/>
        <v>0.7083333333</v>
      </c>
      <c r="H788" s="316" t="str">
        <f t="array" ref="H788">XLOOKUP(B788,Roster!L:L,Roster!N:N,XLOOKUP(D788,TicketsBreak!A:A,TicketsBreak!E:E,"",0),0)</f>
        <v/>
      </c>
      <c r="I788" s="316" t="str">
        <f t="array" ref="I788">XLOOKUP(B788,Roster!L:L,Roster!O:O,XLOOKUP(D788,TicketsBreak!A:A,TicketsBreak!F:F,"",0),0)</f>
        <v/>
      </c>
      <c r="J788" s="316" t="str">
        <f t="array" ref="J788">XLOOKUP(B788,Roster!L:L,Roster!P:P,XLOOKUP(D788,TicketsBreak!A:A,TicketsBreak!G:G,"",0),0)</f>
        <v/>
      </c>
      <c r="K788" s="310">
        <f t="shared" si="4"/>
        <v>46119</v>
      </c>
      <c r="L788" s="317">
        <f t="array" ref="L788">(XLOOKUP(D788,Roster!F:F,Roster!D:D,"",0))</f>
        <v>26</v>
      </c>
      <c r="M788" s="317" t="str">
        <f t="array" ref="M788">XLOOKUP(D788,Roster!F:F,Roster!E:E)</f>
        <v>Tickets</v>
      </c>
      <c r="N788" s="317" t="str">
        <f t="shared" ref="N788:P788" si="801">LEFT(H788,5)</f>
        <v/>
      </c>
      <c r="O788" s="317" t="str">
        <f t="shared" si="801"/>
        <v/>
      </c>
      <c r="P788" s="317" t="str">
        <f t="shared" si="801"/>
        <v/>
      </c>
      <c r="Q788" s="318" t="str">
        <f t="shared" si="664"/>
        <v/>
      </c>
      <c r="R788" s="318" t="str">
        <f t="shared" si="665"/>
        <v/>
      </c>
      <c r="S788" s="318" t="str">
        <f t="shared" si="8"/>
        <v/>
      </c>
    </row>
    <row r="789">
      <c r="A789" s="14" t="str">
        <f t="shared" si="1"/>
        <v>C151646119</v>
      </c>
      <c r="B789" s="185">
        <f t="array" ref="B789">IF(F789="VL","",IF(F789="Free","Free",XLOOKUP(D789,Roster!T:T,Roster!S:S,"",0)))</f>
        <v>122</v>
      </c>
      <c r="C789" s="313">
        <v>46119.0</v>
      </c>
      <c r="D789" s="314" t="s">
        <v>62</v>
      </c>
      <c r="E789" s="307" t="str">
        <f t="array" ref="E789">(XLOOKUP(D789,Roster!F:F,Roster!B:B,"",0))</f>
        <v>Magda Foronda</v>
      </c>
      <c r="F789" s="315" t="str">
        <f t="array" ref="F789">IF(B789=100,"Free",TEXT(XLOOKUP($D789,OperationVoice!$A:$A,OperationVoice!M:M,XLOOKUP($D789,OperationTickets!$A:$A,OperationTickets!M:M,"",0)),"hh:mm"))</f>
        <v>08:00</v>
      </c>
      <c r="G789" s="309">
        <f t="shared" si="3"/>
        <v>0.7083333333</v>
      </c>
      <c r="H789" s="316" t="str">
        <f t="array" ref="H789">XLOOKUP(B789,Roster!L:L,Roster!N:N,XLOOKUP(D789,TicketsBreak!A:A,TicketsBreak!E:E,"",0),0)</f>
        <v>09:30 - 09:45</v>
      </c>
      <c r="I789" s="316" t="str">
        <f t="array" ref="I789">XLOOKUP(B789,Roster!L:L,Roster!O:O,XLOOKUP(D789,TicketsBreak!A:A,TicketsBreak!F:F,"",0),0)</f>
        <v>12:00 - 12:30</v>
      </c>
      <c r="J789" s="316" t="str">
        <f t="array" ref="J789">XLOOKUP(B789,Roster!L:L,Roster!P:P,XLOOKUP(D789,TicketsBreak!A:A,TicketsBreak!G:G,"",0),0)</f>
        <v>14:45 - 15:00</v>
      </c>
      <c r="K789" s="310">
        <f t="shared" si="4"/>
        <v>46119</v>
      </c>
      <c r="L789" s="317">
        <f t="array" ref="L789">(XLOOKUP(D789,Roster!F:F,Roster!D:D,"",0))</f>
        <v>35</v>
      </c>
      <c r="M789" s="317" t="str">
        <f t="array" ref="M789">XLOOKUP(D789,Roster!F:F,Roster!E:E)</f>
        <v>Voice</v>
      </c>
      <c r="N789" s="317" t="str">
        <f t="shared" ref="N789:P789" si="802">LEFT(H789,5)</f>
        <v>09:30</v>
      </c>
      <c r="O789" s="317" t="str">
        <f t="shared" si="802"/>
        <v>12:00</v>
      </c>
      <c r="P789" s="317" t="str">
        <f t="shared" si="802"/>
        <v>14:45</v>
      </c>
      <c r="Q789" s="318">
        <f t="shared" si="664"/>
        <v>46119.39583</v>
      </c>
      <c r="R789" s="318">
        <f t="shared" si="665"/>
        <v>46119.5</v>
      </c>
      <c r="S789" s="318">
        <f t="shared" si="8"/>
        <v>46119.61458</v>
      </c>
    </row>
    <row r="790">
      <c r="A790" s="14" t="str">
        <f t="shared" si="1"/>
        <v>C118046119</v>
      </c>
      <c r="B790" s="185">
        <f t="array" ref="B790">IF(F790="VL","",IF(F790="Free","Free",XLOOKUP(D790,Roster!T:T,Roster!S:S,"",0)))</f>
        <v>500</v>
      </c>
      <c r="C790" s="313">
        <v>46119.0</v>
      </c>
      <c r="D790" s="314" t="s">
        <v>147</v>
      </c>
      <c r="E790" s="307" t="str">
        <f t="array" ref="E790">(XLOOKUP(D790,Roster!F:F,Roster!B:B,"",0))</f>
        <v>Manuela Moreno</v>
      </c>
      <c r="F790" s="315" t="str">
        <f t="array" ref="F790">IF(B790=100,"Free",TEXT(XLOOKUP($D790,OperationVoice!$A:$A,OperationVoice!M:M,XLOOKUP($D790,OperationTickets!$A:$A,OperationTickets!M:M,"",0)),"hh:mm"))</f>
        <v>09:00</v>
      </c>
      <c r="G790" s="309">
        <f t="shared" si="3"/>
        <v>0.75</v>
      </c>
      <c r="H790" s="316" t="str">
        <f t="array" ref="H790">XLOOKUP(B790,Roster!L:L,Roster!N:N,XLOOKUP(D790,TicketsBreak!A:A,TicketsBreak!E:E,"",0),0)</f>
        <v>Team Leader</v>
      </c>
      <c r="I790" s="316" t="str">
        <f t="array" ref="I790">XLOOKUP(B790,Roster!L:L,Roster!O:O,XLOOKUP(D790,TicketsBreak!A:A,TicketsBreak!F:F,"",0),0)</f>
        <v>Team Leader</v>
      </c>
      <c r="J790" s="316" t="str">
        <f t="array" ref="J790">XLOOKUP(B790,Roster!L:L,Roster!P:P,XLOOKUP(D790,TicketsBreak!A:A,TicketsBreak!G:G,"",0),0)</f>
        <v/>
      </c>
      <c r="K790" s="310">
        <f t="shared" si="4"/>
        <v>46119</v>
      </c>
      <c r="L790" s="317">
        <f t="array" ref="L790">(XLOOKUP(D790,Roster!F:F,Roster!D:D,"",0))</f>
        <v>24</v>
      </c>
      <c r="M790" s="317" t="str">
        <f t="array" ref="M790">XLOOKUP(D790,Roster!F:F,Roster!E:E)</f>
        <v>Tickets</v>
      </c>
      <c r="N790" s="317" t="str">
        <f t="shared" ref="N790:P790" si="803">LEFT(H790,5)</f>
        <v>Team </v>
      </c>
      <c r="O790" s="317" t="str">
        <f t="shared" si="803"/>
        <v>Team </v>
      </c>
      <c r="P790" s="317" t="str">
        <f t="shared" si="803"/>
        <v/>
      </c>
      <c r="Q790" s="318" t="str">
        <f>IF(P790="","",$C790+N790)</f>
        <v/>
      </c>
      <c r="R790" s="318" t="str">
        <f>if(P790="","",$C790+O790)</f>
        <v/>
      </c>
      <c r="S790" s="318" t="str">
        <f t="shared" si="8"/>
        <v/>
      </c>
    </row>
    <row r="791">
      <c r="A791" s="14" t="str">
        <f t="shared" si="1"/>
        <v>C153646119</v>
      </c>
      <c r="B791" s="185">
        <f t="array" ref="B791">IF(F791="VL","",IF(F791="Free","Free",XLOOKUP(D791,Roster!T:T,Roster!S:S,"",0)))</f>
        <v>121</v>
      </c>
      <c r="C791" s="313">
        <v>46119.0</v>
      </c>
      <c r="D791" s="314" t="s">
        <v>63</v>
      </c>
      <c r="E791" s="307" t="str">
        <f t="array" ref="E791">(XLOOKUP(D791,Roster!F:F,Roster!B:B,"",0))</f>
        <v>Maria Mesa</v>
      </c>
      <c r="F791" s="315" t="str">
        <f t="array" ref="F791">IF(B791=100,"Free",TEXT(XLOOKUP($D791,OperationVoice!$A:$A,OperationVoice!M:M,XLOOKUP($D791,OperationTickets!$A:$A,OperationTickets!M:M,"",0)),"hh:mm"))</f>
        <v>08:00</v>
      </c>
      <c r="G791" s="309">
        <f t="shared" si="3"/>
        <v>0.7083333333</v>
      </c>
      <c r="H791" s="316" t="str">
        <f t="array" ref="H791">XLOOKUP(B791,Roster!L:L,Roster!N:N,XLOOKUP(D791,TicketsBreak!A:A,TicketsBreak!E:E,"",0),0)</f>
        <v>09:15 - 09:30</v>
      </c>
      <c r="I791" s="316" t="str">
        <f t="array" ref="I791">XLOOKUP(B791,Roster!L:L,Roster!O:O,XLOOKUP(D791,TicketsBreak!A:A,TicketsBreak!F:F,"",0),0)</f>
        <v>11:30 - 12:00</v>
      </c>
      <c r="J791" s="316" t="str">
        <f t="array" ref="J791">XLOOKUP(B791,Roster!L:L,Roster!P:P,XLOOKUP(D791,TicketsBreak!A:A,TicketsBreak!G:G,"",0),0)</f>
        <v>14:30 - 14:45</v>
      </c>
      <c r="K791" s="310">
        <f t="shared" si="4"/>
        <v>46119</v>
      </c>
      <c r="L791" s="317">
        <f t="array" ref="L791">(XLOOKUP(D791,Roster!F:F,Roster!D:D,"",0))</f>
        <v>36</v>
      </c>
      <c r="M791" s="317" t="str">
        <f t="array" ref="M791">XLOOKUP(D791,Roster!F:F,Roster!E:E)</f>
        <v>Voice</v>
      </c>
      <c r="N791" s="317" t="str">
        <f t="shared" ref="N791:P791" si="804">LEFT(H791,5)</f>
        <v>09:15</v>
      </c>
      <c r="O791" s="317" t="str">
        <f t="shared" si="804"/>
        <v>11:30</v>
      </c>
      <c r="P791" s="317" t="str">
        <f t="shared" si="804"/>
        <v>14:30</v>
      </c>
      <c r="Q791" s="318">
        <f t="shared" ref="Q791:Q929" si="806">IF(N791="","",$C791+N791)</f>
        <v>46119.38542</v>
      </c>
      <c r="R791" s="318">
        <f t="shared" ref="R791:R929" si="807">if(O791="","",$C791+O791)</f>
        <v>46119.47917</v>
      </c>
      <c r="S791" s="318">
        <f t="shared" si="8"/>
        <v>46119.60417</v>
      </c>
    </row>
    <row r="792">
      <c r="A792" s="14" t="str">
        <f t="shared" si="1"/>
        <v>C74046119</v>
      </c>
      <c r="B792" s="185" t="str">
        <f t="array" ref="B792">IF(F792="VL","",IF(F792="Free","Free",XLOOKUP(D792,Roster!T:T,Roster!S:S,"",0)))</f>
        <v>Free</v>
      </c>
      <c r="C792" s="313">
        <v>46119.0</v>
      </c>
      <c r="D792" s="314" t="s">
        <v>166</v>
      </c>
      <c r="E792" s="307" t="str">
        <f t="array" ref="E792">(XLOOKUP(D792,Roster!F:F,Roster!B:B,"",0))</f>
        <v>Mateo Agudelo</v>
      </c>
      <c r="F792" s="315" t="str">
        <f t="array" ref="F792">IF(B792=100,"Free",TEXT(XLOOKUP($D792,OperationVoice!$A:$A,OperationVoice!M:M,XLOOKUP($D792,OperationTickets!$A:$A,OperationTickets!M:M,"",0)),"hh:mm"))</f>
        <v>Free</v>
      </c>
      <c r="G792" s="309" t="str">
        <f t="shared" si="3"/>
        <v>Free</v>
      </c>
      <c r="H792" s="316">
        <f t="array" ref="H792">XLOOKUP(B792,Roster!L:L,Roster!N:N,XLOOKUP(D792,TicketsBreak!A:A,TicketsBreak!E:E,"",0),0)</f>
        <v>0.4166666667</v>
      </c>
      <c r="I792" s="316">
        <f t="array" ref="I792">XLOOKUP(B792,Roster!L:L,Roster!O:O,XLOOKUP(D792,TicketsBreak!A:A,TicketsBreak!F:F,"",0),0)</f>
        <v>0.5</v>
      </c>
      <c r="J792" s="316">
        <f t="array" ref="J792">XLOOKUP(B792,Roster!L:L,Roster!P:P,XLOOKUP(D792,TicketsBreak!A:A,TicketsBreak!G:G,"",0),0)</f>
        <v>0.65625</v>
      </c>
      <c r="K792" s="310">
        <f t="shared" si="4"/>
        <v>46119</v>
      </c>
      <c r="L792" s="317">
        <f t="array" ref="L792">(XLOOKUP(D792,Roster!F:F,Roster!D:D,"",0))</f>
        <v>8</v>
      </c>
      <c r="M792" s="317" t="str">
        <f t="array" ref="M792">XLOOKUP(D792,Roster!F:F,Roster!E:E)</f>
        <v>Tickets</v>
      </c>
      <c r="N792" s="317" t="str">
        <f t="shared" ref="N792:P792" si="805">LEFT(H792,5)</f>
        <v>10:00</v>
      </c>
      <c r="O792" s="317" t="str">
        <f t="shared" si="805"/>
        <v>12:00</v>
      </c>
      <c r="P792" s="317" t="str">
        <f t="shared" si="805"/>
        <v>15:45</v>
      </c>
      <c r="Q792" s="318">
        <f t="shared" si="806"/>
        <v>46119.41667</v>
      </c>
      <c r="R792" s="318">
        <f t="shared" si="807"/>
        <v>46119.5</v>
      </c>
      <c r="S792" s="318">
        <f t="shared" si="8"/>
        <v>46119.65625</v>
      </c>
    </row>
    <row r="793">
      <c r="A793" s="14" t="str">
        <f t="shared" si="1"/>
        <v>C142946119</v>
      </c>
      <c r="B793" s="185">
        <f t="array" ref="B793">IF(F793="VL","",IF(F793="Free","Free",XLOOKUP(D793,Roster!T:T,Roster!S:S,"",0)))</f>
        <v>121</v>
      </c>
      <c r="C793" s="313">
        <v>46119.0</v>
      </c>
      <c r="D793" s="314" t="s">
        <v>178</v>
      </c>
      <c r="E793" s="307" t="str">
        <f t="array" ref="E793">(XLOOKUP(D793,Roster!F:F,Roster!B:B,"",0))</f>
        <v>Mateo Vanegas</v>
      </c>
      <c r="F793" s="315" t="str">
        <f t="array" ref="F793">IF(B793=100,"Free",TEXT(XLOOKUP($D793,OperationVoice!$A:$A,OperationVoice!M:M,XLOOKUP($D793,OperationTickets!$A:$A,OperationTickets!M:M,"",0)),"hh:mm"))</f>
        <v>08:00</v>
      </c>
      <c r="G793" s="309">
        <f t="shared" si="3"/>
        <v>0.7083333333</v>
      </c>
      <c r="H793" s="316" t="str">
        <f t="array" ref="H793">XLOOKUP(B793,Roster!L:L,Roster!N:N,XLOOKUP(D793,TicketsBreak!A:A,TicketsBreak!E:E,"",0),0)</f>
        <v>09:15 - 09:30</v>
      </c>
      <c r="I793" s="316" t="str">
        <f t="array" ref="I793">XLOOKUP(B793,Roster!L:L,Roster!O:O,XLOOKUP(D793,TicketsBreak!A:A,TicketsBreak!F:F,"",0),0)</f>
        <v>11:30 - 12:00</v>
      </c>
      <c r="J793" s="316" t="str">
        <f t="array" ref="J793">XLOOKUP(B793,Roster!L:L,Roster!P:P,XLOOKUP(D793,TicketsBreak!A:A,TicketsBreak!G:G,"",0),0)</f>
        <v>14:30 - 14:45</v>
      </c>
      <c r="K793" s="310">
        <f t="shared" si="4"/>
        <v>46119</v>
      </c>
      <c r="L793" s="317">
        <f t="array" ref="L793">(XLOOKUP(D793,Roster!F:F,Roster!D:D,"",0))</f>
        <v>32</v>
      </c>
      <c r="M793" s="317" t="str">
        <f t="array" ref="M793">XLOOKUP(D793,Roster!F:F,Roster!E:E)</f>
        <v>Tickets</v>
      </c>
      <c r="N793" s="317" t="str">
        <f t="shared" ref="N793:P793" si="808">LEFT(H793,5)</f>
        <v>09:15</v>
      </c>
      <c r="O793" s="317" t="str">
        <f t="shared" si="808"/>
        <v>11:30</v>
      </c>
      <c r="P793" s="317" t="str">
        <f t="shared" si="808"/>
        <v>14:30</v>
      </c>
      <c r="Q793" s="318">
        <f t="shared" si="806"/>
        <v>46119.38542</v>
      </c>
      <c r="R793" s="318">
        <f t="shared" si="807"/>
        <v>46119.47917</v>
      </c>
      <c r="S793" s="318">
        <f t="shared" si="8"/>
        <v>46119.60417</v>
      </c>
    </row>
    <row r="794">
      <c r="A794" s="14" t="str">
        <f t="shared" si="1"/>
        <v>C146846119</v>
      </c>
      <c r="B794" s="185">
        <f t="array" ref="B794">IF(F794="VL","",IF(F794="Free","Free",XLOOKUP(D794,Roster!T:T,Roster!S:S,"",0)))</f>
        <v>122</v>
      </c>
      <c r="C794" s="313">
        <v>46119.0</v>
      </c>
      <c r="D794" s="314" t="s">
        <v>64</v>
      </c>
      <c r="E794" s="307" t="str">
        <f t="array" ref="E794">(XLOOKUP(D794,Roster!F:F,Roster!B:B,"",0))</f>
        <v>Miguel Betancur</v>
      </c>
      <c r="F794" s="315" t="str">
        <f t="array" ref="F794">IF(B794=100,"Free",TEXT(XLOOKUP($D794,OperationVoice!$A:$A,OperationVoice!M:M,XLOOKUP($D794,OperationTickets!$A:$A,OperationTickets!M:M,"",0)),"hh:mm"))</f>
        <v>08:00</v>
      </c>
      <c r="G794" s="309">
        <f t="shared" si="3"/>
        <v>0.7083333333</v>
      </c>
      <c r="H794" s="316" t="str">
        <f t="array" ref="H794">XLOOKUP(B794,Roster!L:L,Roster!N:N,XLOOKUP(D794,TicketsBreak!A:A,TicketsBreak!E:E,"",0),0)</f>
        <v>09:30 - 09:45</v>
      </c>
      <c r="I794" s="316" t="str">
        <f t="array" ref="I794">XLOOKUP(B794,Roster!L:L,Roster!O:O,XLOOKUP(D794,TicketsBreak!A:A,TicketsBreak!F:F,"",0),0)</f>
        <v>12:00 - 12:30</v>
      </c>
      <c r="J794" s="316" t="str">
        <f t="array" ref="J794">XLOOKUP(B794,Roster!L:L,Roster!P:P,XLOOKUP(D794,TicketsBreak!A:A,TicketsBreak!G:G,"",0),0)</f>
        <v>14:45 - 15:00</v>
      </c>
      <c r="K794" s="310">
        <f t="shared" si="4"/>
        <v>46119</v>
      </c>
      <c r="L794" s="317">
        <f t="array" ref="L794">(XLOOKUP(D794,Roster!F:F,Roster!D:D,"",0))</f>
        <v>33</v>
      </c>
      <c r="M794" s="317" t="str">
        <f t="array" ref="M794">XLOOKUP(D794,Roster!F:F,Roster!E:E)</f>
        <v>Voice</v>
      </c>
      <c r="N794" s="317" t="str">
        <f t="shared" ref="N794:P794" si="809">LEFT(H794,5)</f>
        <v>09:30</v>
      </c>
      <c r="O794" s="317" t="str">
        <f t="shared" si="809"/>
        <v>12:00</v>
      </c>
      <c r="P794" s="317" t="str">
        <f t="shared" si="809"/>
        <v>14:45</v>
      </c>
      <c r="Q794" s="318">
        <f t="shared" si="806"/>
        <v>46119.39583</v>
      </c>
      <c r="R794" s="318">
        <f t="shared" si="807"/>
        <v>46119.5</v>
      </c>
      <c r="S794" s="318">
        <f t="shared" si="8"/>
        <v>46119.61458</v>
      </c>
    </row>
    <row r="795">
      <c r="A795" s="14" t="str">
        <f t="shared" si="1"/>
        <v>C106546119</v>
      </c>
      <c r="B795" s="185" t="str">
        <f t="array" ref="B795">IF(F795="VL","",IF(F795="Free","Free",XLOOKUP(D795,Roster!T:T,Roster!S:S,"",0)))</f>
        <v/>
      </c>
      <c r="C795" s="313">
        <v>46119.0</v>
      </c>
      <c r="D795" s="314" t="s">
        <v>148</v>
      </c>
      <c r="E795" s="307" t="str">
        <f t="array" ref="E795">(XLOOKUP(D795,Roster!F:F,Roster!B:B,"",0))</f>
        <v>Miguel Hoyos</v>
      </c>
      <c r="F795" s="315" t="str">
        <f t="array" ref="F795">IF(B795=100,"Free",TEXT(XLOOKUP($D795,OperationVoice!$A:$A,OperationVoice!M:M,XLOOKUP($D795,OperationTickets!$A:$A,OperationTickets!M:M,"",0)),"hh:mm"))</f>
        <v>07:00</v>
      </c>
      <c r="G795" s="309">
        <f t="shared" si="3"/>
        <v>0.6666666667</v>
      </c>
      <c r="H795" s="316">
        <f t="array" ref="H795">XLOOKUP(B795,Roster!L:L,Roster!N:N,XLOOKUP(D795,TicketsBreak!A:A,TicketsBreak!E:E,"",0),0)</f>
        <v>0.4583333333</v>
      </c>
      <c r="I795" s="316">
        <f t="array" ref="I795">XLOOKUP(B795,Roster!L:L,Roster!O:O,XLOOKUP(D795,TicketsBreak!A:A,TicketsBreak!F:F,"",0),0)</f>
        <v>0.5625</v>
      </c>
      <c r="J795" s="316">
        <f t="array" ref="J795">XLOOKUP(B795,Roster!L:L,Roster!P:P,XLOOKUP(D795,TicketsBreak!A:A,TicketsBreak!G:G,"",0),0)</f>
        <v>0.65625</v>
      </c>
      <c r="K795" s="310">
        <f t="shared" si="4"/>
        <v>46119</v>
      </c>
      <c r="L795" s="317">
        <f t="array" ref="L795">(XLOOKUP(D795,Roster!F:F,Roster!D:D,"",0))</f>
        <v>17</v>
      </c>
      <c r="M795" s="317" t="str">
        <f t="array" ref="M795">XLOOKUP(D795,Roster!F:F,Roster!E:E)</f>
        <v>Tickets</v>
      </c>
      <c r="N795" s="317" t="str">
        <f t="shared" ref="N795:P795" si="810">LEFT(H795,5)</f>
        <v>11:00</v>
      </c>
      <c r="O795" s="317" t="str">
        <f t="shared" si="810"/>
        <v>13:30</v>
      </c>
      <c r="P795" s="317" t="str">
        <f t="shared" si="810"/>
        <v>15:45</v>
      </c>
      <c r="Q795" s="318">
        <f t="shared" si="806"/>
        <v>46119.45833</v>
      </c>
      <c r="R795" s="318">
        <f t="shared" si="807"/>
        <v>46119.5625</v>
      </c>
      <c r="S795" s="318">
        <f t="shared" si="8"/>
        <v>46119.65625</v>
      </c>
    </row>
    <row r="796">
      <c r="A796" s="14" t="str">
        <f t="shared" si="1"/>
        <v>C111446119</v>
      </c>
      <c r="B796" s="185">
        <f t="array" ref="B796">IF(F796="VL","",IF(F796="Free","Free",XLOOKUP(D796,Roster!T:T,Roster!S:S,"",0)))</f>
        <v>113</v>
      </c>
      <c r="C796" s="313">
        <v>46119.0</v>
      </c>
      <c r="D796" s="314" t="s">
        <v>65</v>
      </c>
      <c r="E796" s="307" t="str">
        <f t="array" ref="E796">(XLOOKUP(D796,Roster!F:F,Roster!B:B,"",0))</f>
        <v>Mikel Bowie</v>
      </c>
      <c r="F796" s="315" t="str">
        <f t="array" ref="F796">IF(B796=100,"Free",TEXT(XLOOKUP($D796,OperationVoice!$A:$A,OperationVoice!M:M,XLOOKUP($D796,OperationTickets!$A:$A,OperationTickets!M:M,"",0)),"hh:mm"))</f>
        <v>08:00</v>
      </c>
      <c r="G796" s="309">
        <f t="shared" si="3"/>
        <v>0.7083333333</v>
      </c>
      <c r="H796" s="316" t="str">
        <f t="array" ref="H796">XLOOKUP(B796,Roster!L:L,Roster!N:N,XLOOKUP(D796,TicketsBreak!A:A,TicketsBreak!E:E,"",0),0)</f>
        <v>09:45 - 10:00</v>
      </c>
      <c r="I796" s="316" t="str">
        <f t="array" ref="I796">XLOOKUP(B796,Roster!L:L,Roster!O:O,XLOOKUP(D796,TicketsBreak!A:A,TicketsBreak!F:F,"",0),0)</f>
        <v>12:30 - 13:00</v>
      </c>
      <c r="J796" s="316" t="str">
        <f t="array" ref="J796">XLOOKUP(B796,Roster!L:L,Roster!P:P,XLOOKUP(D796,TicketsBreak!A:A,TicketsBreak!G:G,"",0),0)</f>
        <v>14:45 - 15:00</v>
      </c>
      <c r="K796" s="310">
        <f t="shared" si="4"/>
        <v>46119</v>
      </c>
      <c r="L796" s="317">
        <f t="array" ref="L796">(XLOOKUP(D796,Roster!F:F,Roster!D:D,"",0))</f>
        <v>20</v>
      </c>
      <c r="M796" s="317" t="str">
        <f t="array" ref="M796">XLOOKUP(D796,Roster!F:F,Roster!E:E)</f>
        <v>Voice</v>
      </c>
      <c r="N796" s="317" t="str">
        <f t="shared" ref="N796:P796" si="811">LEFT(H796,5)</f>
        <v>09:45</v>
      </c>
      <c r="O796" s="317" t="str">
        <f t="shared" si="811"/>
        <v>12:30</v>
      </c>
      <c r="P796" s="317" t="str">
        <f t="shared" si="811"/>
        <v>14:45</v>
      </c>
      <c r="Q796" s="318">
        <f t="shared" si="806"/>
        <v>46119.40625</v>
      </c>
      <c r="R796" s="318">
        <f t="shared" si="807"/>
        <v>46119.52083</v>
      </c>
      <c r="S796" s="318">
        <f t="shared" si="8"/>
        <v>46119.61458</v>
      </c>
    </row>
    <row r="797">
      <c r="A797" s="14" t="str">
        <f t="shared" si="1"/>
        <v>C116346119</v>
      </c>
      <c r="B797" s="185">
        <f t="array" ref="B797">IF(F797="VL","",IF(F797="Free","Free",XLOOKUP(D797,Roster!T:T,Roster!S:S,"",0)))</f>
        <v>123</v>
      </c>
      <c r="C797" s="313">
        <v>46119.0</v>
      </c>
      <c r="D797" s="314" t="s">
        <v>66</v>
      </c>
      <c r="E797" s="307" t="str">
        <f t="array" ref="E797">(XLOOKUP(D797,Roster!F:F,Roster!B:B,"",0))</f>
        <v>Natalia Cardona</v>
      </c>
      <c r="F797" s="315" t="str">
        <f t="array" ref="F797">IF(B797=100,"Free",TEXT(XLOOKUP($D797,OperationVoice!$A:$A,OperationVoice!M:M,XLOOKUP($D797,OperationTickets!$A:$A,OperationTickets!M:M,"",0)),"hh:mm"))</f>
        <v>08:00</v>
      </c>
      <c r="G797" s="309">
        <f t="shared" si="3"/>
        <v>0.7083333333</v>
      </c>
      <c r="H797" s="316" t="str">
        <f t="array" ref="H797">XLOOKUP(B797,Roster!L:L,Roster!N:N,XLOOKUP(D797,TicketsBreak!A:A,TicketsBreak!E:E,"",0),0)</f>
        <v>09:45 - 10:00 </v>
      </c>
      <c r="I797" s="316" t="str">
        <f t="array" ref="I797">XLOOKUP(B797,Roster!L:L,Roster!O:O,XLOOKUP(D797,TicketsBreak!A:A,TicketsBreak!F:F,"",0),0)</f>
        <v>12:30 - 13:00</v>
      </c>
      <c r="J797" s="316" t="str">
        <f t="array" ref="J797">XLOOKUP(B797,Roster!L:L,Roster!P:P,XLOOKUP(D797,TicketsBreak!A:A,TicketsBreak!G:G,"",0),0)</f>
        <v>15:00 - 15:15</v>
      </c>
      <c r="K797" s="310">
        <f t="shared" si="4"/>
        <v>46119</v>
      </c>
      <c r="L797" s="317">
        <f t="array" ref="L797">(XLOOKUP(D797,Roster!F:F,Roster!D:D,"",0))</f>
        <v>24</v>
      </c>
      <c r="M797" s="317" t="str">
        <f t="array" ref="M797">XLOOKUP(D797,Roster!F:F,Roster!E:E)</f>
        <v>Voice</v>
      </c>
      <c r="N797" s="317" t="str">
        <f t="shared" ref="N797:P797" si="812">LEFT(H797,5)</f>
        <v>09:45</v>
      </c>
      <c r="O797" s="317" t="str">
        <f t="shared" si="812"/>
        <v>12:30</v>
      </c>
      <c r="P797" s="317" t="str">
        <f t="shared" si="812"/>
        <v>15:00</v>
      </c>
      <c r="Q797" s="318">
        <f t="shared" si="806"/>
        <v>46119.40625</v>
      </c>
      <c r="R797" s="318">
        <f t="shared" si="807"/>
        <v>46119.52083</v>
      </c>
      <c r="S797" s="318">
        <f t="shared" si="8"/>
        <v>46119.625</v>
      </c>
    </row>
    <row r="798">
      <c r="A798" s="14" t="str">
        <f t="shared" si="1"/>
        <v>C55646119</v>
      </c>
      <c r="B798" s="185" t="str">
        <f t="array" ref="B798">IF(F798="VL","",IF(F798="Free","Free",XLOOKUP(D798,Roster!T:T,Roster!S:S,"",0)))</f>
        <v/>
      </c>
      <c r="C798" s="313">
        <v>46119.0</v>
      </c>
      <c r="D798" s="314" t="s">
        <v>167</v>
      </c>
      <c r="E798" s="307" t="str">
        <f t="array" ref="E798">(XLOOKUP(D798,Roster!F:F,Roster!B:B,"",0))</f>
        <v>Nelson Londono</v>
      </c>
      <c r="F798" s="315" t="str">
        <f t="array" ref="F798">IF(B798=100,"Free",TEXT(XLOOKUP($D798,OperationVoice!$A:$A,OperationVoice!M:M,XLOOKUP($D798,OperationTickets!$A:$A,OperationTickets!M:M,"",0)),"hh:mm"))</f>
        <v>07:00</v>
      </c>
      <c r="G798" s="309">
        <f t="shared" si="3"/>
        <v>0.6666666667</v>
      </c>
      <c r="H798" s="316">
        <f t="array" ref="H798">XLOOKUP(B798,Roster!L:L,Roster!N:N,XLOOKUP(D798,TicketsBreak!A:A,TicketsBreak!E:E,"",0),0)</f>
        <v>0.3854166667</v>
      </c>
      <c r="I798" s="316">
        <f t="array" ref="I798">XLOOKUP(B798,Roster!L:L,Roster!O:O,XLOOKUP(D798,TicketsBreak!A:A,TicketsBreak!F:F,"",0),0)</f>
        <v>0.5833333333</v>
      </c>
      <c r="J798" s="316">
        <f t="array" ref="J798">XLOOKUP(B798,Roster!L:L,Roster!P:P,XLOOKUP(D798,TicketsBreak!A:A,TicketsBreak!G:G,"",0),0)</f>
        <v>0.6458333333</v>
      </c>
      <c r="K798" s="310">
        <f t="shared" si="4"/>
        <v>46119</v>
      </c>
      <c r="L798" s="317">
        <f t="array" ref="L798">(XLOOKUP(D798,Roster!F:F,Roster!D:D,"",0))</f>
        <v>2</v>
      </c>
      <c r="M798" s="317" t="str">
        <f t="array" ref="M798">XLOOKUP(D798,Roster!F:F,Roster!E:E)</f>
        <v>Tickets</v>
      </c>
      <c r="N798" s="317" t="str">
        <f t="shared" ref="N798:P798" si="813">LEFT(H798,5)</f>
        <v>09:15</v>
      </c>
      <c r="O798" s="317" t="str">
        <f t="shared" si="813"/>
        <v>14:00</v>
      </c>
      <c r="P798" s="317" t="str">
        <f t="shared" si="813"/>
        <v>15:30</v>
      </c>
      <c r="Q798" s="318">
        <f t="shared" si="806"/>
        <v>46119.38542</v>
      </c>
      <c r="R798" s="318">
        <f t="shared" si="807"/>
        <v>46119.58333</v>
      </c>
      <c r="S798" s="318">
        <f t="shared" si="8"/>
        <v>46119.64583</v>
      </c>
    </row>
    <row r="799">
      <c r="A799" s="14" t="str">
        <f t="shared" si="1"/>
        <v>C150746119</v>
      </c>
      <c r="B799" s="185">
        <f t="array" ref="B799">IF(F799="VL","",IF(F799="Free","Free",XLOOKUP(D799,Roster!T:T,Roster!S:S,"",0)))</f>
        <v>125</v>
      </c>
      <c r="C799" s="313">
        <v>46119.0</v>
      </c>
      <c r="D799" s="314" t="s">
        <v>67</v>
      </c>
      <c r="E799" s="307" t="str">
        <f t="array" ref="E799">(XLOOKUP(D799,Roster!F:F,Roster!B:B,"",0))</f>
        <v>Nicols Quinones</v>
      </c>
      <c r="F799" s="315" t="str">
        <f t="array" ref="F799">IF(B799=100,"Free",TEXT(XLOOKUP($D799,OperationVoice!$A:$A,OperationVoice!M:M,XLOOKUP($D799,OperationTickets!$A:$A,OperationTickets!M:M,"",0)),"hh:mm"))</f>
        <v>08:00</v>
      </c>
      <c r="G799" s="309">
        <f t="shared" si="3"/>
        <v>0.7083333333</v>
      </c>
      <c r="H799" s="316" t="str">
        <f t="array" ref="H799">XLOOKUP(B799,Roster!L:L,Roster!N:N,XLOOKUP(D799,TicketsBreak!A:A,TicketsBreak!E:E,"",0),0)</f>
        <v>10:30 - 10:45</v>
      </c>
      <c r="I799" s="316" t="str">
        <f t="array" ref="I799">XLOOKUP(B799,Roster!L:L,Roster!O:O,XLOOKUP(D799,TicketsBreak!A:A,TicketsBreak!F:F,"",0),0)</f>
        <v>13:30 - 14:00</v>
      </c>
      <c r="J799" s="316" t="str">
        <f t="array" ref="J799">XLOOKUP(B799,Roster!L:L,Roster!P:P,XLOOKUP(D799,TicketsBreak!A:A,TicketsBreak!G:G,"",0),0)</f>
        <v>15:45 - 16:00</v>
      </c>
      <c r="K799" s="310">
        <f t="shared" si="4"/>
        <v>46119</v>
      </c>
      <c r="L799" s="317">
        <f t="array" ref="L799">(XLOOKUP(D799,Roster!F:F,Roster!D:D,"",0))</f>
        <v>35</v>
      </c>
      <c r="M799" s="317" t="str">
        <f t="array" ref="M799">XLOOKUP(D799,Roster!F:F,Roster!E:E)</f>
        <v>Voice</v>
      </c>
      <c r="N799" s="317" t="str">
        <f t="shared" ref="N799:P799" si="814">LEFT(H799,5)</f>
        <v>10:30</v>
      </c>
      <c r="O799" s="317" t="str">
        <f t="shared" si="814"/>
        <v>13:30</v>
      </c>
      <c r="P799" s="317" t="str">
        <f t="shared" si="814"/>
        <v>15:45</v>
      </c>
      <c r="Q799" s="318">
        <f t="shared" si="806"/>
        <v>46119.4375</v>
      </c>
      <c r="R799" s="318">
        <f t="shared" si="807"/>
        <v>46119.5625</v>
      </c>
      <c r="S799" s="318">
        <f t="shared" si="8"/>
        <v>46119.65625</v>
      </c>
    </row>
    <row r="800">
      <c r="A800" s="14" t="str">
        <f t="shared" si="1"/>
        <v>C71446119</v>
      </c>
      <c r="B800" s="185" t="str">
        <f t="array" ref="B800">IF(F800="VL","",IF(F800="Free","Free",XLOOKUP(D800,Roster!T:T,Roster!S:S,"",0)))</f>
        <v/>
      </c>
      <c r="C800" s="313">
        <v>46119.0</v>
      </c>
      <c r="D800" s="314" t="s">
        <v>149</v>
      </c>
      <c r="E800" s="307" t="str">
        <f t="array" ref="E800">(XLOOKUP(D800,Roster!F:F,Roster!B:B,"",0))</f>
        <v>Onel Olivera</v>
      </c>
      <c r="F800" s="315" t="str">
        <f t="array" ref="F800">IF(B800=100,"Free",TEXT(XLOOKUP($D800,OperationVoice!$A:$A,OperationVoice!M:M,XLOOKUP($D800,OperationTickets!$A:$A,OperationTickets!M:M,"",0)),"hh:mm"))</f>
        <v>08:00</v>
      </c>
      <c r="G800" s="309">
        <f t="shared" si="3"/>
        <v>0.7083333333</v>
      </c>
      <c r="H800" s="316">
        <f t="array" ref="H800">XLOOKUP(B800,Roster!L:L,Roster!N:N,XLOOKUP(D800,TicketsBreak!A:A,TicketsBreak!E:E,"",0),0)</f>
        <v>0.4166666667</v>
      </c>
      <c r="I800" s="316">
        <f t="array" ref="I800">XLOOKUP(B800,Roster!L:L,Roster!O:O,XLOOKUP(D800,TicketsBreak!A:A,TicketsBreak!F:F,"",0),0)</f>
        <v>0.5</v>
      </c>
      <c r="J800" s="316">
        <f t="array" ref="J800">XLOOKUP(B800,Roster!L:L,Roster!P:P,XLOOKUP(D800,TicketsBreak!A:A,TicketsBreak!G:G,"",0),0)</f>
        <v>0.625</v>
      </c>
      <c r="K800" s="310">
        <f t="shared" si="4"/>
        <v>46119</v>
      </c>
      <c r="L800" s="317">
        <f t="array" ref="L800">(XLOOKUP(D800,Roster!F:F,Roster!D:D,"",0))</f>
        <v>1</v>
      </c>
      <c r="M800" s="317" t="str">
        <f t="array" ref="M800">XLOOKUP(D800,Roster!F:F,Roster!E:E)</f>
        <v>Tickets</v>
      </c>
      <c r="N800" s="317" t="str">
        <f t="shared" ref="N800:P800" si="815">LEFT(H800,5)</f>
        <v>10:00</v>
      </c>
      <c r="O800" s="317" t="str">
        <f t="shared" si="815"/>
        <v>12:00</v>
      </c>
      <c r="P800" s="317" t="str">
        <f t="shared" si="815"/>
        <v>15:00</v>
      </c>
      <c r="Q800" s="318">
        <f t="shared" si="806"/>
        <v>46119.41667</v>
      </c>
      <c r="R800" s="318">
        <f t="shared" si="807"/>
        <v>46119.5</v>
      </c>
      <c r="S800" s="318">
        <f t="shared" si="8"/>
        <v>46119.625</v>
      </c>
    </row>
    <row r="801">
      <c r="A801" s="14" t="str">
        <f t="shared" si="1"/>
        <v>C116446119</v>
      </c>
      <c r="B801" s="185" t="str">
        <f t="array" ref="B801">IF(F801="VL","",IF(F801="Free","Free",XLOOKUP(D801,Roster!T:T,Roster!S:S,"",0)))</f>
        <v/>
      </c>
      <c r="C801" s="313">
        <v>46119.0</v>
      </c>
      <c r="D801" s="314" t="s">
        <v>179</v>
      </c>
      <c r="E801" s="307" t="str">
        <f t="array" ref="E801">(XLOOKUP(D801,Roster!F:F,Roster!B:B,"",0))</f>
        <v>Oscar Florez</v>
      </c>
      <c r="F801" s="315" t="str">
        <f t="array" ref="F801">IF(B801=100,"Free",TEXT(XLOOKUP($D801,OperationVoice!$A:$A,OperationVoice!M:M,XLOOKUP($D801,OperationTickets!$A:$A,OperationTickets!M:M,"",0)),"hh:mm"))</f>
        <v>08:00</v>
      </c>
      <c r="G801" s="309">
        <f t="shared" si="3"/>
        <v>0.7083333333</v>
      </c>
      <c r="H801" s="316" t="str">
        <f t="array" ref="H801">XLOOKUP(B801,Roster!L:L,Roster!N:N,XLOOKUP(D801,TicketsBreak!A:A,TicketsBreak!E:E,"",0),0)</f>
        <v/>
      </c>
      <c r="I801" s="316" t="str">
        <f t="array" ref="I801">XLOOKUP(B801,Roster!L:L,Roster!O:O,XLOOKUP(D801,TicketsBreak!A:A,TicketsBreak!F:F,"",0),0)</f>
        <v/>
      </c>
      <c r="J801" s="316" t="str">
        <f t="array" ref="J801">XLOOKUP(B801,Roster!L:L,Roster!P:P,XLOOKUP(D801,TicketsBreak!A:A,TicketsBreak!G:G,"",0),0)</f>
        <v/>
      </c>
      <c r="K801" s="310">
        <f t="shared" si="4"/>
        <v>46119</v>
      </c>
      <c r="L801" s="317">
        <f t="array" ref="L801">(XLOOKUP(D801,Roster!F:F,Roster!D:D,"",0))</f>
        <v>24</v>
      </c>
      <c r="M801" s="317" t="str">
        <f t="array" ref="M801">XLOOKUP(D801,Roster!F:F,Roster!E:E)</f>
        <v>Tickets</v>
      </c>
      <c r="N801" s="317" t="str">
        <f t="shared" ref="N801:P801" si="816">LEFT(H801,5)</f>
        <v/>
      </c>
      <c r="O801" s="317" t="str">
        <f t="shared" si="816"/>
        <v/>
      </c>
      <c r="P801" s="317" t="str">
        <f t="shared" si="816"/>
        <v/>
      </c>
      <c r="Q801" s="318" t="str">
        <f t="shared" si="806"/>
        <v/>
      </c>
      <c r="R801" s="318" t="str">
        <f t="shared" si="807"/>
        <v/>
      </c>
      <c r="S801" s="318" t="str">
        <f t="shared" si="8"/>
        <v/>
      </c>
    </row>
    <row r="802">
      <c r="A802" s="14" t="str">
        <f t="shared" si="1"/>
        <v>C153846119</v>
      </c>
      <c r="B802" s="185">
        <f t="array" ref="B802">IF(F802="VL","",IF(F802="Free","Free",XLOOKUP(D802,Roster!T:T,Roster!S:S,"",0)))</f>
        <v>151</v>
      </c>
      <c r="C802" s="313">
        <v>46119.0</v>
      </c>
      <c r="D802" s="314" t="s">
        <v>68</v>
      </c>
      <c r="E802" s="307" t="str">
        <f t="array" ref="E802">(XLOOKUP(D802,Roster!F:F,Roster!B:B,"",0))</f>
        <v>Oscar Roldan</v>
      </c>
      <c r="F802" s="315" t="str">
        <f t="array" ref="F802">IF(B802=100,"Free",TEXT(XLOOKUP($D802,OperationVoice!$A:$A,OperationVoice!M:M,XLOOKUP($D802,OperationTickets!$A:$A,OperationTickets!M:M,"",0)),"hh:mm"))</f>
        <v>11:00</v>
      </c>
      <c r="G802" s="309">
        <f t="shared" si="3"/>
        <v>0.8333333333</v>
      </c>
      <c r="H802" s="316" t="str">
        <f t="array" ref="H802">XLOOKUP(B802,Roster!L:L,Roster!N:N,XLOOKUP(D802,TicketsBreak!A:A,TicketsBreak!E:E,"",0),0)</f>
        <v>12:15 - 12:30</v>
      </c>
      <c r="I802" s="316" t="str">
        <f t="array" ref="I802">XLOOKUP(B802,Roster!L:L,Roster!O:O,XLOOKUP(D802,TicketsBreak!A:A,TicketsBreak!F:F,"",0),0)</f>
        <v>14:00 - 14:30</v>
      </c>
      <c r="J802" s="316" t="str">
        <f t="array" ref="J802">XLOOKUP(B802,Roster!L:L,Roster!P:P,XLOOKUP(D802,TicketsBreak!A:A,TicketsBreak!G:G,"",0),0)</f>
        <v>17:15 - 17:30</v>
      </c>
      <c r="K802" s="310">
        <f t="shared" si="4"/>
        <v>46119</v>
      </c>
      <c r="L802" s="317">
        <f t="array" ref="L802">(XLOOKUP(D802,Roster!F:F,Roster!D:D,"",0))</f>
        <v>36</v>
      </c>
      <c r="M802" s="317" t="str">
        <f t="array" ref="M802">XLOOKUP(D802,Roster!F:F,Roster!E:E)</f>
        <v>Voice</v>
      </c>
      <c r="N802" s="317" t="str">
        <f t="shared" ref="N802:P802" si="817">LEFT(H802,5)</f>
        <v>12:15</v>
      </c>
      <c r="O802" s="317" t="str">
        <f t="shared" si="817"/>
        <v>14:00</v>
      </c>
      <c r="P802" s="317" t="str">
        <f t="shared" si="817"/>
        <v>17:15</v>
      </c>
      <c r="Q802" s="318">
        <f t="shared" si="806"/>
        <v>46119.51042</v>
      </c>
      <c r="R802" s="318">
        <f t="shared" si="807"/>
        <v>46119.58333</v>
      </c>
      <c r="S802" s="318">
        <f t="shared" si="8"/>
        <v>46119.71875</v>
      </c>
    </row>
    <row r="803">
      <c r="A803" s="14" t="str">
        <f t="shared" si="1"/>
        <v>C151146119</v>
      </c>
      <c r="B803" s="185">
        <f t="array" ref="B803">IF(F803="VL","",IF(F803="Free","Free",XLOOKUP(D803,Roster!T:T,Roster!S:S,"",0)))</f>
        <v>131</v>
      </c>
      <c r="C803" s="313">
        <v>46119.0</v>
      </c>
      <c r="D803" s="314" t="s">
        <v>69</v>
      </c>
      <c r="E803" s="307" t="str">
        <f t="array" ref="E803">(XLOOKUP(D803,Roster!F:F,Roster!B:B,"",0))</f>
        <v>Salma Giraldo</v>
      </c>
      <c r="F803" s="315" t="str">
        <f t="array" ref="F803">IF(B803=100,"Free",TEXT(XLOOKUP($D803,OperationVoice!$A:$A,OperationVoice!M:M,XLOOKUP($D803,OperationTickets!$A:$A,OperationTickets!M:M,"",0)),"hh:mm"))</f>
        <v>08:00</v>
      </c>
      <c r="G803" s="309">
        <f t="shared" si="3"/>
        <v>0.7083333333</v>
      </c>
      <c r="H803" s="316" t="str">
        <f t="array" ref="H803">XLOOKUP(B803,Roster!L:L,Roster!N:N,XLOOKUP(D803,TicketsBreak!A:A,TicketsBreak!E:E,"",0),0)</f>
        <v>10:15 - 10:30</v>
      </c>
      <c r="I803" s="316" t="str">
        <f t="array" ref="I803">XLOOKUP(B803,Roster!L:L,Roster!O:O,XLOOKUP(D803,TicketsBreak!A:A,TicketsBreak!F:F,"",0),0)</f>
        <v>12:30 - 13:00</v>
      </c>
      <c r="J803" s="316" t="str">
        <f t="array" ref="J803">XLOOKUP(B803,Roster!L:L,Roster!P:P,XLOOKUP(D803,TicketsBreak!A:A,TicketsBreak!G:G,"",0),0)</f>
        <v>15:15 - 15:30</v>
      </c>
      <c r="K803" s="310">
        <f t="shared" si="4"/>
        <v>46119</v>
      </c>
      <c r="L803" s="317">
        <f t="array" ref="L803">(XLOOKUP(D803,Roster!F:F,Roster!D:D,"",0))</f>
        <v>35</v>
      </c>
      <c r="M803" s="317" t="str">
        <f t="array" ref="M803">XLOOKUP(D803,Roster!F:F,Roster!E:E)</f>
        <v>Voice</v>
      </c>
      <c r="N803" s="317" t="str">
        <f t="shared" ref="N803:P803" si="818">LEFT(H803,5)</f>
        <v>10:15</v>
      </c>
      <c r="O803" s="317" t="str">
        <f t="shared" si="818"/>
        <v>12:30</v>
      </c>
      <c r="P803" s="317" t="str">
        <f t="shared" si="818"/>
        <v>15:15</v>
      </c>
      <c r="Q803" s="318">
        <f t="shared" si="806"/>
        <v>46119.42708</v>
      </c>
      <c r="R803" s="318">
        <f t="shared" si="807"/>
        <v>46119.52083</v>
      </c>
      <c r="S803" s="318">
        <f t="shared" si="8"/>
        <v>46119.63542</v>
      </c>
    </row>
    <row r="804">
      <c r="A804" s="14" t="str">
        <f t="shared" si="1"/>
        <v>C93346119</v>
      </c>
      <c r="B804" s="185">
        <f t="array" ref="B804">IF(F804="VL","",IF(F804="Free","Free",XLOOKUP(D804,Roster!T:T,Roster!S:S,"",0)))</f>
        <v>124</v>
      </c>
      <c r="C804" s="313">
        <v>46119.0</v>
      </c>
      <c r="D804" s="314" t="s">
        <v>70</v>
      </c>
      <c r="E804" s="307" t="str">
        <f t="array" ref="E804">(XLOOKUP(D804,Roster!F:F,Roster!B:B,"",0))</f>
        <v>Salome Arias</v>
      </c>
      <c r="F804" s="315" t="str">
        <f t="array" ref="F804">IF(B804=100,"Free",TEXT(XLOOKUP($D804,OperationVoice!$A:$A,OperationVoice!M:M,XLOOKUP($D804,OperationTickets!$A:$A,OperationTickets!M:M,"",0)),"hh:mm"))</f>
        <v>08:00</v>
      </c>
      <c r="G804" s="309">
        <f t="shared" si="3"/>
        <v>0.7083333333</v>
      </c>
      <c r="H804" s="316" t="str">
        <f t="array" ref="H804">XLOOKUP(B804,Roster!L:L,Roster!N:N,XLOOKUP(D804,TicketsBreak!A:A,TicketsBreak!E:E,"",0),0)</f>
        <v>10:00 - 10:15</v>
      </c>
      <c r="I804" s="316" t="str">
        <f t="array" ref="I804">XLOOKUP(B804,Roster!L:L,Roster!O:O,XLOOKUP(D804,TicketsBreak!A:A,TicketsBreak!F:F,"",0),0)</f>
        <v>13:00 - 13:30</v>
      </c>
      <c r="J804" s="316" t="str">
        <f t="array" ref="J804">XLOOKUP(B804,Roster!L:L,Roster!P:P,XLOOKUP(D804,TicketsBreak!A:A,TicketsBreak!G:G,"",0),0)</f>
        <v>15:30 - 15:45</v>
      </c>
      <c r="K804" s="310">
        <f t="shared" si="4"/>
        <v>46119</v>
      </c>
      <c r="L804" s="317">
        <f t="array" ref="L804">(XLOOKUP(D804,Roster!F:F,Roster!D:D,"",0))</f>
        <v>12</v>
      </c>
      <c r="M804" s="317" t="str">
        <f t="array" ref="M804">XLOOKUP(D804,Roster!F:F,Roster!E:E)</f>
        <v>Voice</v>
      </c>
      <c r="N804" s="317" t="str">
        <f t="shared" ref="N804:P804" si="819">LEFT(H804,5)</f>
        <v>10:00</v>
      </c>
      <c r="O804" s="317" t="str">
        <f t="shared" si="819"/>
        <v>13:00</v>
      </c>
      <c r="P804" s="317" t="str">
        <f t="shared" si="819"/>
        <v>15:30</v>
      </c>
      <c r="Q804" s="318">
        <f t="shared" si="806"/>
        <v>46119.41667</v>
      </c>
      <c r="R804" s="318">
        <f t="shared" si="807"/>
        <v>46119.54167</v>
      </c>
      <c r="S804" s="318">
        <f t="shared" si="8"/>
        <v>46119.64583</v>
      </c>
    </row>
    <row r="805">
      <c r="A805" s="14" t="str">
        <f t="shared" si="1"/>
        <v>C128246119</v>
      </c>
      <c r="B805" s="185" t="str">
        <f t="array" ref="B805">IF(F805="VL","",IF(F805="Free","Free",XLOOKUP(D805,Roster!T:T,Roster!S:S,"",0)))</f>
        <v/>
      </c>
      <c r="C805" s="313">
        <v>46119.0</v>
      </c>
      <c r="D805" s="314" t="s">
        <v>168</v>
      </c>
      <c r="E805" s="307" t="str">
        <f t="array" ref="E805">(XLOOKUP(D805,Roster!F:F,Roster!B:B,"",0))</f>
        <v>Samuel Acevedo</v>
      </c>
      <c r="F805" s="315" t="str">
        <f t="array" ref="F805">IF(B805=100,"Free",TEXT(XLOOKUP($D805,OperationVoice!$A:$A,OperationVoice!M:M,XLOOKUP($D805,OperationTickets!$A:$A,OperationTickets!M:M,"",0)),"hh:mm"))</f>
        <v>08:00</v>
      </c>
      <c r="G805" s="309">
        <f t="shared" si="3"/>
        <v>0.7083333333</v>
      </c>
      <c r="H805" s="316" t="str">
        <f t="array" ref="H805">XLOOKUP(B805,Roster!L:L,Roster!N:N,XLOOKUP(D805,TicketsBreak!A:A,TicketsBreak!E:E,"",0),0)</f>
        <v/>
      </c>
      <c r="I805" s="316" t="str">
        <f t="array" ref="I805">XLOOKUP(B805,Roster!L:L,Roster!O:O,XLOOKUP(D805,TicketsBreak!A:A,TicketsBreak!F:F,"",0),0)</f>
        <v/>
      </c>
      <c r="J805" s="316" t="str">
        <f t="array" ref="J805">XLOOKUP(B805,Roster!L:L,Roster!P:P,XLOOKUP(D805,TicketsBreak!A:A,TicketsBreak!G:G,"",0),0)</f>
        <v/>
      </c>
      <c r="K805" s="310">
        <f t="shared" si="4"/>
        <v>46119</v>
      </c>
      <c r="L805" s="317">
        <f t="array" ref="L805">(XLOOKUP(D805,Roster!F:F,Roster!D:D,"",0))</f>
        <v>27</v>
      </c>
      <c r="M805" s="317" t="str">
        <f t="array" ref="M805">XLOOKUP(D805,Roster!F:F,Roster!E:E)</f>
        <v>Tickets</v>
      </c>
      <c r="N805" s="317" t="str">
        <f t="shared" ref="N805:P805" si="820">LEFT(H805,5)</f>
        <v/>
      </c>
      <c r="O805" s="317" t="str">
        <f t="shared" si="820"/>
        <v/>
      </c>
      <c r="P805" s="317" t="str">
        <f t="shared" si="820"/>
        <v/>
      </c>
      <c r="Q805" s="318" t="str">
        <f t="shared" si="806"/>
        <v/>
      </c>
      <c r="R805" s="318" t="str">
        <f t="shared" si="807"/>
        <v/>
      </c>
      <c r="S805" s="318" t="str">
        <f t="shared" si="8"/>
        <v/>
      </c>
    </row>
    <row r="806">
      <c r="A806" s="14" t="str">
        <f t="shared" si="1"/>
        <v>C156446119</v>
      </c>
      <c r="B806" s="185">
        <f t="array" ref="B806">IF(F806="VL","",IF(F806="Free","Free",XLOOKUP(D806,Roster!T:T,Roster!S:S,"",0)))</f>
        <v>121</v>
      </c>
      <c r="C806" s="313">
        <v>46119.0</v>
      </c>
      <c r="D806" s="314" t="s">
        <v>71</v>
      </c>
      <c r="E806" s="307" t="str">
        <f t="array" ref="E806">(XLOOKUP(D806,Roster!F:F,Roster!B:B,"",0))</f>
        <v>Samuel Acevedo Cadavid</v>
      </c>
      <c r="F806" s="315" t="str">
        <f t="array" ref="F806">IF(B806=100,"Free",TEXT(XLOOKUP($D806,OperationVoice!$A:$A,OperationVoice!M:M,XLOOKUP($D806,OperationTickets!$A:$A,OperationTickets!M:M,"",0)),"hh:mm"))</f>
        <v>11:00</v>
      </c>
      <c r="G806" s="309">
        <f t="shared" si="3"/>
        <v>0.8333333333</v>
      </c>
      <c r="H806" s="316" t="str">
        <f t="array" ref="H806">XLOOKUP(B806,Roster!L:L,Roster!N:N,XLOOKUP(D806,TicketsBreak!A:A,TicketsBreak!E:E,"",0),0)</f>
        <v>09:15 - 09:30</v>
      </c>
      <c r="I806" s="316" t="str">
        <f t="array" ref="I806">XLOOKUP(B806,Roster!L:L,Roster!O:O,XLOOKUP(D806,TicketsBreak!A:A,TicketsBreak!F:F,"",0),0)</f>
        <v>11:30 - 12:00</v>
      </c>
      <c r="J806" s="316" t="str">
        <f t="array" ref="J806">XLOOKUP(B806,Roster!L:L,Roster!P:P,XLOOKUP(D806,TicketsBreak!A:A,TicketsBreak!G:G,"",0),0)</f>
        <v>14:30 - 14:45</v>
      </c>
      <c r="K806" s="310">
        <f t="shared" si="4"/>
        <v>46119</v>
      </c>
      <c r="L806" s="317">
        <f t="array" ref="L806">(XLOOKUP(D806,Roster!F:F,Roster!D:D,"",0))</f>
        <v>38</v>
      </c>
      <c r="M806" s="317" t="str">
        <f t="array" ref="M806">XLOOKUP(D806,Roster!F:F,Roster!E:E)</f>
        <v>Voice</v>
      </c>
      <c r="N806" s="317" t="str">
        <f t="shared" ref="N806:P806" si="821">LEFT(H806,5)</f>
        <v>09:15</v>
      </c>
      <c r="O806" s="317" t="str">
        <f t="shared" si="821"/>
        <v>11:30</v>
      </c>
      <c r="P806" s="317" t="str">
        <f t="shared" si="821"/>
        <v>14:30</v>
      </c>
      <c r="Q806" s="318">
        <f t="shared" si="806"/>
        <v>46119.38542</v>
      </c>
      <c r="R806" s="318">
        <f t="shared" si="807"/>
        <v>46119.47917</v>
      </c>
      <c r="S806" s="318">
        <f t="shared" si="8"/>
        <v>46119.60417</v>
      </c>
    </row>
    <row r="807">
      <c r="A807" s="14" t="str">
        <f t="shared" si="1"/>
        <v>C116846119</v>
      </c>
      <c r="B807" s="185" t="str">
        <f t="array" ref="B807">IF(F807="VL","",IF(F807="Free","Free",XLOOKUP(D807,Roster!T:T,Roster!S:S,"",0)))</f>
        <v>Free</v>
      </c>
      <c r="C807" s="313">
        <v>46119.0</v>
      </c>
      <c r="D807" s="314" t="s">
        <v>180</v>
      </c>
      <c r="E807" s="307" t="str">
        <f t="array" ref="E807">(XLOOKUP(D807,Roster!F:F,Roster!B:B,"",0))</f>
        <v>Santiago Gaviria</v>
      </c>
      <c r="F807" s="315" t="str">
        <f t="array" ref="F807">IF(B807=100,"Free",TEXT(XLOOKUP($D807,OperationVoice!$A:$A,OperationVoice!M:M,XLOOKUP($D807,OperationTickets!$A:$A,OperationTickets!M:M,"",0)),"hh:mm"))</f>
        <v>Free</v>
      </c>
      <c r="G807" s="309" t="str">
        <f t="shared" si="3"/>
        <v>Free</v>
      </c>
      <c r="H807" s="316" t="str">
        <f t="array" ref="H807">XLOOKUP(B807,Roster!L:L,Roster!N:N,XLOOKUP(D807,TicketsBreak!A:A,TicketsBreak!E:E,"",0),0)</f>
        <v/>
      </c>
      <c r="I807" s="316" t="str">
        <f t="array" ref="I807">XLOOKUP(B807,Roster!L:L,Roster!O:O,XLOOKUP(D807,TicketsBreak!A:A,TicketsBreak!F:F,"",0),0)</f>
        <v/>
      </c>
      <c r="J807" s="316" t="str">
        <f t="array" ref="J807">XLOOKUP(B807,Roster!L:L,Roster!P:P,XLOOKUP(D807,TicketsBreak!A:A,TicketsBreak!G:G,"",0),0)</f>
        <v/>
      </c>
      <c r="K807" s="310">
        <f t="shared" si="4"/>
        <v>46119</v>
      </c>
      <c r="L807" s="317">
        <f t="array" ref="L807">(XLOOKUP(D807,Roster!F:F,Roster!D:D,"",0))</f>
        <v>24</v>
      </c>
      <c r="M807" s="317" t="str">
        <f t="array" ref="M807">XLOOKUP(D807,Roster!F:F,Roster!E:E)</f>
        <v>Tickets</v>
      </c>
      <c r="N807" s="317" t="str">
        <f t="shared" ref="N807:P807" si="822">LEFT(H807,5)</f>
        <v/>
      </c>
      <c r="O807" s="317" t="str">
        <f t="shared" si="822"/>
        <v/>
      </c>
      <c r="P807" s="317" t="str">
        <f t="shared" si="822"/>
        <v/>
      </c>
      <c r="Q807" s="318" t="str">
        <f t="shared" si="806"/>
        <v/>
      </c>
      <c r="R807" s="318" t="str">
        <f t="shared" si="807"/>
        <v/>
      </c>
      <c r="S807" s="318" t="str">
        <f t="shared" si="8"/>
        <v/>
      </c>
    </row>
    <row r="808">
      <c r="A808" s="14" t="str">
        <f t="shared" si="1"/>
        <v>C122046119</v>
      </c>
      <c r="B808" s="185" t="str">
        <f t="array" ref="B808">IF(F808="VL","",IF(F808="Free","Free",XLOOKUP(D808,Roster!T:T,Roster!S:S,"",0)))</f>
        <v/>
      </c>
      <c r="C808" s="313">
        <v>46119.0</v>
      </c>
      <c r="D808" s="314" t="s">
        <v>181</v>
      </c>
      <c r="E808" s="307" t="str">
        <f t="array" ref="E808">(XLOOKUP(D808,Roster!F:F,Roster!B:B,"",0))</f>
        <v>Santiago Gonzalez</v>
      </c>
      <c r="F808" s="315" t="str">
        <f t="array" ref="F808">IF(B808=100,"Free",TEXT(XLOOKUP($D808,OperationVoice!$A:$A,OperationVoice!M:M,XLOOKUP($D808,OperationTickets!$A:$A,OperationTickets!M:M,"",0)),"hh:mm"))</f>
        <v>08:00</v>
      </c>
      <c r="G808" s="309">
        <f t="shared" si="3"/>
        <v>0.7083333333</v>
      </c>
      <c r="H808" s="316" t="str">
        <f t="array" ref="H808">XLOOKUP(B808,Roster!L:L,Roster!N:N,XLOOKUP(D808,TicketsBreak!A:A,TicketsBreak!E:E,"",0),0)</f>
        <v/>
      </c>
      <c r="I808" s="316" t="str">
        <f t="array" ref="I808">XLOOKUP(B808,Roster!L:L,Roster!O:O,XLOOKUP(D808,TicketsBreak!A:A,TicketsBreak!F:F,"",0),0)</f>
        <v/>
      </c>
      <c r="J808" s="316" t="str">
        <f t="array" ref="J808">XLOOKUP(B808,Roster!L:L,Roster!P:P,XLOOKUP(D808,TicketsBreak!A:A,TicketsBreak!G:G,"",0),0)</f>
        <v/>
      </c>
      <c r="K808" s="310">
        <f t="shared" si="4"/>
        <v>46119</v>
      </c>
      <c r="L808" s="317">
        <f t="array" ref="L808">(XLOOKUP(D808,Roster!F:F,Roster!D:D,"",0))</f>
        <v>26</v>
      </c>
      <c r="M808" s="317" t="str">
        <f t="array" ref="M808">XLOOKUP(D808,Roster!F:F,Roster!E:E)</f>
        <v>Tickets</v>
      </c>
      <c r="N808" s="317" t="str">
        <f t="shared" ref="N808:P808" si="823">LEFT(H808,5)</f>
        <v/>
      </c>
      <c r="O808" s="317" t="str">
        <f t="shared" si="823"/>
        <v/>
      </c>
      <c r="P808" s="317" t="str">
        <f t="shared" si="823"/>
        <v/>
      </c>
      <c r="Q808" s="318" t="str">
        <f t="shared" si="806"/>
        <v/>
      </c>
      <c r="R808" s="318" t="str">
        <f t="shared" si="807"/>
        <v/>
      </c>
      <c r="S808" s="318" t="str">
        <f t="shared" si="8"/>
        <v/>
      </c>
    </row>
    <row r="809">
      <c r="A809" s="14" t="str">
        <f t="shared" si="1"/>
        <v>C140646119</v>
      </c>
      <c r="B809" s="185">
        <f t="array" ref="B809">IF(F809="VL","",IF(F809="Free","Free",XLOOKUP(D809,Roster!T:T,Roster!S:S,"",0)))</f>
        <v>152</v>
      </c>
      <c r="C809" s="313">
        <v>46119.0</v>
      </c>
      <c r="D809" s="314" t="s">
        <v>72</v>
      </c>
      <c r="E809" s="307" t="str">
        <f t="array" ref="E809">(XLOOKUP(D809,Roster!F:F,Roster!B:B,"",0))</f>
        <v>Santiago Mora</v>
      </c>
      <c r="F809" s="315" t="str">
        <f t="array" ref="F809">IF(B809=100,"Free",TEXT(XLOOKUP($D809,OperationVoice!$A:$A,OperationVoice!M:M,XLOOKUP($D809,OperationTickets!$A:$A,OperationTickets!M:M,"",0)),"hh:mm"))</f>
        <v>11:00</v>
      </c>
      <c r="G809" s="309">
        <f t="shared" si="3"/>
        <v>0.8333333333</v>
      </c>
      <c r="H809" s="316" t="str">
        <f t="array" ref="H809">XLOOKUP(B809,Roster!L:L,Roster!N:N,XLOOKUP(D809,TicketsBreak!A:A,TicketsBreak!E:E,"",0),0)</f>
        <v>12:30 - 12:45</v>
      </c>
      <c r="I809" s="316" t="str">
        <f t="array" ref="I809">XLOOKUP(B809,Roster!L:L,Roster!O:O,XLOOKUP(D809,TicketsBreak!A:A,TicketsBreak!F:F,"",0),0)</f>
        <v>14:30 - 15:00</v>
      </c>
      <c r="J809" s="316" t="str">
        <f t="array" ref="J809">XLOOKUP(B809,Roster!L:L,Roster!P:P,XLOOKUP(D809,TicketsBreak!A:A,TicketsBreak!G:G,"",0),0)</f>
        <v>17:30 - 17:45</v>
      </c>
      <c r="K809" s="310">
        <f t="shared" si="4"/>
        <v>46119</v>
      </c>
      <c r="L809" s="317">
        <f t="array" ref="L809">(XLOOKUP(D809,Roster!F:F,Roster!D:D,"",0))</f>
        <v>35</v>
      </c>
      <c r="M809" s="317" t="str">
        <f t="array" ref="M809">XLOOKUP(D809,Roster!F:F,Roster!E:E)</f>
        <v>Voice</v>
      </c>
      <c r="N809" s="317" t="str">
        <f t="shared" ref="N809:P809" si="824">LEFT(H809,5)</f>
        <v>12:30</v>
      </c>
      <c r="O809" s="317" t="str">
        <f t="shared" si="824"/>
        <v>14:30</v>
      </c>
      <c r="P809" s="317" t="str">
        <f t="shared" si="824"/>
        <v>17:30</v>
      </c>
      <c r="Q809" s="318">
        <f t="shared" si="806"/>
        <v>46119.52083</v>
      </c>
      <c r="R809" s="318">
        <f t="shared" si="807"/>
        <v>46119.60417</v>
      </c>
      <c r="S809" s="318">
        <f t="shared" si="8"/>
        <v>46119.72917</v>
      </c>
    </row>
    <row r="810">
      <c r="A810" s="14" t="str">
        <f t="shared" si="1"/>
        <v>C119946119</v>
      </c>
      <c r="B810" s="185" t="str">
        <f t="array" ref="B810">IF(F810="VL","",IF(F810="Free","Free",XLOOKUP(D810,Roster!T:T,Roster!S:S,"",0)))</f>
        <v/>
      </c>
      <c r="C810" s="313">
        <v>46119.0</v>
      </c>
      <c r="D810" s="314" t="s">
        <v>182</v>
      </c>
      <c r="E810" s="307" t="str">
        <f t="array" ref="E810">(XLOOKUP(D810,Roster!F:F,Roster!B:B,"",0))</f>
        <v>Santiago Velasquez</v>
      </c>
      <c r="F810" s="315" t="str">
        <f t="array" ref="F810">IF(B810=100,"Free",TEXT(XLOOKUP($D810,OperationVoice!$A:$A,OperationVoice!M:M,XLOOKUP($D810,OperationTickets!$A:$A,OperationTickets!M:M,"",0)),"hh:mm"))</f>
        <v>08:00</v>
      </c>
      <c r="G810" s="309">
        <f t="shared" si="3"/>
        <v>0.7083333333</v>
      </c>
      <c r="H810" s="316" t="str">
        <f t="array" ref="H810">XLOOKUP(B810,Roster!L:L,Roster!N:N,XLOOKUP(D810,TicketsBreak!A:A,TicketsBreak!E:E,"",0),0)</f>
        <v/>
      </c>
      <c r="I810" s="316" t="str">
        <f t="array" ref="I810">XLOOKUP(B810,Roster!L:L,Roster!O:O,XLOOKUP(D810,TicketsBreak!A:A,TicketsBreak!F:F,"",0),0)</f>
        <v/>
      </c>
      <c r="J810" s="316" t="str">
        <f t="array" ref="J810">XLOOKUP(B810,Roster!L:L,Roster!P:P,XLOOKUP(D810,TicketsBreak!A:A,TicketsBreak!G:G,"",0),0)</f>
        <v/>
      </c>
      <c r="K810" s="310">
        <f t="shared" si="4"/>
        <v>46119</v>
      </c>
      <c r="L810" s="317">
        <f t="array" ref="L810">(XLOOKUP(D810,Roster!F:F,Roster!D:D,"",0))</f>
        <v>25</v>
      </c>
      <c r="M810" s="317" t="str">
        <f t="array" ref="M810">XLOOKUP(D810,Roster!F:F,Roster!E:E)</f>
        <v>Tickets</v>
      </c>
      <c r="N810" s="317" t="str">
        <f t="shared" ref="N810:P810" si="825">LEFT(H810,5)</f>
        <v/>
      </c>
      <c r="O810" s="317" t="str">
        <f t="shared" si="825"/>
        <v/>
      </c>
      <c r="P810" s="317" t="str">
        <f t="shared" si="825"/>
        <v/>
      </c>
      <c r="Q810" s="318" t="str">
        <f t="shared" si="806"/>
        <v/>
      </c>
      <c r="R810" s="318" t="str">
        <f t="shared" si="807"/>
        <v/>
      </c>
      <c r="S810" s="318" t="str">
        <f t="shared" si="8"/>
        <v/>
      </c>
    </row>
    <row r="811">
      <c r="A811" s="14" t="str">
        <f t="shared" si="1"/>
        <v>C90246119</v>
      </c>
      <c r="B811" s="185" t="str">
        <f t="array" ref="B811">IF(F811="VL","",IF(F811="Free","Free",XLOOKUP(D811,Roster!T:T,Roster!S:S,"",0)))</f>
        <v/>
      </c>
      <c r="C811" s="313">
        <v>46119.0</v>
      </c>
      <c r="D811" s="314" t="s">
        <v>150</v>
      </c>
      <c r="E811" s="307" t="str">
        <f t="array" ref="E811">(XLOOKUP(D811,Roster!F:F,Roster!B:B,"",0))</f>
        <v>Sebastiam Vallejo</v>
      </c>
      <c r="F811" s="315" t="str">
        <f t="array" ref="F811">IF(B811=100,"Free",TEXT(XLOOKUP($D811,OperationVoice!$A:$A,OperationVoice!M:M,XLOOKUP($D811,OperationTickets!$A:$A,OperationTickets!M:M,"",0)),"hh:mm"))</f>
        <v>08:00</v>
      </c>
      <c r="G811" s="309">
        <f t="shared" si="3"/>
        <v>0.7083333333</v>
      </c>
      <c r="H811" s="316">
        <f t="array" ref="H811">XLOOKUP(B811,Roster!L:L,Roster!N:N,XLOOKUP(D811,TicketsBreak!A:A,TicketsBreak!E:E,"",0),0)</f>
        <v>0.4375</v>
      </c>
      <c r="I811" s="316">
        <f t="array" ref="I811">XLOOKUP(B811,Roster!L:L,Roster!O:O,XLOOKUP(D811,TicketsBreak!A:A,TicketsBreak!F:F,"",0),0)</f>
        <v>0.6041666667</v>
      </c>
      <c r="J811" s="316">
        <f t="array" ref="J811">XLOOKUP(B811,Roster!L:L,Roster!P:P,XLOOKUP(D811,TicketsBreak!A:A,TicketsBreak!G:G,"",0),0)</f>
        <v>0.65625</v>
      </c>
      <c r="K811" s="310">
        <f t="shared" si="4"/>
        <v>46119</v>
      </c>
      <c r="L811" s="317">
        <f t="array" ref="L811">(XLOOKUP(D811,Roster!F:F,Roster!D:D,"",0))</f>
        <v>11</v>
      </c>
      <c r="M811" s="317" t="str">
        <f t="array" ref="M811">XLOOKUP(D811,Roster!F:F,Roster!E:E)</f>
        <v>Tickets</v>
      </c>
      <c r="N811" s="317" t="str">
        <f t="shared" ref="N811:P811" si="826">LEFT(H811,5)</f>
        <v>10:30</v>
      </c>
      <c r="O811" s="317" t="str">
        <f t="shared" si="826"/>
        <v>14:30</v>
      </c>
      <c r="P811" s="317" t="str">
        <f t="shared" si="826"/>
        <v>15:45</v>
      </c>
      <c r="Q811" s="318">
        <f t="shared" si="806"/>
        <v>46119.4375</v>
      </c>
      <c r="R811" s="318">
        <f t="shared" si="807"/>
        <v>46119.60417</v>
      </c>
      <c r="S811" s="318">
        <f t="shared" si="8"/>
        <v>46119.65625</v>
      </c>
    </row>
    <row r="812">
      <c r="A812" s="14" t="str">
        <f t="shared" si="1"/>
        <v>C150646119</v>
      </c>
      <c r="B812" s="185" t="str">
        <f t="array" ref="B812">IF(F812="VL","",IF(F812="Free","Free",XLOOKUP(D812,Roster!T:T,Roster!S:S,"",0)))</f>
        <v>Free</v>
      </c>
      <c r="C812" s="313">
        <v>46119.0</v>
      </c>
      <c r="D812" s="314" t="s">
        <v>73</v>
      </c>
      <c r="E812" s="307" t="str">
        <f t="array" ref="E812">(XLOOKUP(D812,Roster!F:F,Roster!B:B,"",0))</f>
        <v>Sebastian Agudelo Londono</v>
      </c>
      <c r="F812" s="315" t="str">
        <f t="array" ref="F812">IF(B812=100,"Free",TEXT(XLOOKUP($D812,OperationVoice!$A:$A,OperationVoice!M:M,XLOOKUP($D812,OperationTickets!$A:$A,OperationTickets!M:M,"",0)),"hh:mm"))</f>
        <v>Free</v>
      </c>
      <c r="G812" s="309" t="str">
        <f t="shared" si="3"/>
        <v>Free</v>
      </c>
      <c r="H812" s="316" t="str">
        <f t="array" ref="H812">XLOOKUP(B812,Roster!L:L,Roster!N:N,XLOOKUP(D812,TicketsBreak!A:A,TicketsBreak!E:E,"",0),0)</f>
        <v/>
      </c>
      <c r="I812" s="316" t="str">
        <f t="array" ref="I812">XLOOKUP(B812,Roster!L:L,Roster!O:O,XLOOKUP(D812,TicketsBreak!A:A,TicketsBreak!F:F,"",0),0)</f>
        <v/>
      </c>
      <c r="J812" s="316" t="str">
        <f t="array" ref="J812">XLOOKUP(B812,Roster!L:L,Roster!P:P,XLOOKUP(D812,TicketsBreak!A:A,TicketsBreak!G:G,"",0),0)</f>
        <v/>
      </c>
      <c r="K812" s="310">
        <f t="shared" si="4"/>
        <v>46119</v>
      </c>
      <c r="L812" s="317">
        <f t="array" ref="L812">(XLOOKUP(D812,Roster!F:F,Roster!D:D,"",0))</f>
        <v>35</v>
      </c>
      <c r="M812" s="317" t="str">
        <f t="array" ref="M812">XLOOKUP(D812,Roster!F:F,Roster!E:E)</f>
        <v>Voice</v>
      </c>
      <c r="N812" s="317" t="str">
        <f t="shared" ref="N812:P812" si="827">LEFT(H812,5)</f>
        <v/>
      </c>
      <c r="O812" s="317" t="str">
        <f t="shared" si="827"/>
        <v/>
      </c>
      <c r="P812" s="317" t="str">
        <f t="shared" si="827"/>
        <v/>
      </c>
      <c r="Q812" s="318" t="str">
        <f t="shared" si="806"/>
        <v/>
      </c>
      <c r="R812" s="318" t="str">
        <f t="shared" si="807"/>
        <v/>
      </c>
      <c r="S812" s="318" t="str">
        <f t="shared" si="8"/>
        <v/>
      </c>
    </row>
    <row r="813">
      <c r="A813" s="14" t="str">
        <f t="shared" si="1"/>
        <v>C119046119</v>
      </c>
      <c r="B813" s="185" t="str">
        <f t="array" ref="B813">IF(F813="VL","",IF(F813="Free","Free",XLOOKUP(D813,Roster!T:T,Roster!S:S,"",0)))</f>
        <v/>
      </c>
      <c r="C813" s="313">
        <v>46119.0</v>
      </c>
      <c r="D813" s="314" t="s">
        <v>183</v>
      </c>
      <c r="E813" s="307" t="str">
        <f t="array" ref="E813">(XLOOKUP(D813,Roster!F:F,Roster!B:B,"",0))</f>
        <v>Sebastian Herrera</v>
      </c>
      <c r="F813" s="315" t="str">
        <f t="array" ref="F813">IF(B813=100,"Free",TEXT(XLOOKUP($D813,OperationVoice!$A:$A,OperationVoice!M:M,XLOOKUP($D813,OperationTickets!$A:$A,OperationTickets!M:M,"",0)),"hh:mm"))</f>
        <v>07:00</v>
      </c>
      <c r="G813" s="309">
        <f t="shared" si="3"/>
        <v>0.6666666667</v>
      </c>
      <c r="H813" s="316">
        <f t="array" ref="H813">XLOOKUP(B813,Roster!L:L,Roster!N:N,XLOOKUP(D813,TicketsBreak!A:A,TicketsBreak!E:E,"",0),0)</f>
        <v>0.40625</v>
      </c>
      <c r="I813" s="316">
        <f t="array" ref="I813">XLOOKUP(B813,Roster!L:L,Roster!O:O,XLOOKUP(D813,TicketsBreak!A:A,TicketsBreak!F:F,"",0),0)</f>
        <v>0.5416666667</v>
      </c>
      <c r="J813" s="316">
        <f t="array" ref="J813">XLOOKUP(B813,Roster!L:L,Roster!P:P,XLOOKUP(D813,TicketsBreak!A:A,TicketsBreak!G:G,"",0),0)</f>
        <v>0.625</v>
      </c>
      <c r="K813" s="310">
        <f t="shared" si="4"/>
        <v>46119</v>
      </c>
      <c r="L813" s="317">
        <f t="array" ref="L813">(XLOOKUP(D813,Roster!F:F,Roster!D:D,"",0))</f>
        <v>25</v>
      </c>
      <c r="M813" s="317" t="str">
        <f t="array" ref="M813">XLOOKUP(D813,Roster!F:F,Roster!E:E)</f>
        <v>Tickets</v>
      </c>
      <c r="N813" s="317" t="str">
        <f t="shared" ref="N813:P813" si="828">LEFT(H813,5)</f>
        <v>09:45</v>
      </c>
      <c r="O813" s="317" t="str">
        <f t="shared" si="828"/>
        <v>13:00</v>
      </c>
      <c r="P813" s="317" t="str">
        <f t="shared" si="828"/>
        <v>15:00</v>
      </c>
      <c r="Q813" s="318">
        <f t="shared" si="806"/>
        <v>46119.40625</v>
      </c>
      <c r="R813" s="318">
        <f t="shared" si="807"/>
        <v>46119.54167</v>
      </c>
      <c r="S813" s="318">
        <f t="shared" si="8"/>
        <v>46119.625</v>
      </c>
    </row>
    <row r="814">
      <c r="A814" s="14" t="str">
        <f t="shared" si="1"/>
        <v>C71046119</v>
      </c>
      <c r="B814" s="185" t="str">
        <f t="array" ref="B814">IF(F814="VL","",IF(F814="Free","Free",XLOOKUP(D814,Roster!T:T,Roster!S:S,"",0)))</f>
        <v/>
      </c>
      <c r="C814" s="313">
        <v>46119.0</v>
      </c>
      <c r="D814" s="314" t="s">
        <v>184</v>
      </c>
      <c r="E814" s="307" t="str">
        <f t="array" ref="E814">(XLOOKUP(D814,Roster!F:F,Roster!B:B,"",0))</f>
        <v>Sebastian Martinez</v>
      </c>
      <c r="F814" s="315" t="str">
        <f t="array" ref="F814">IF(B814=100,"Free",TEXT(XLOOKUP($D814,OperationVoice!$A:$A,OperationVoice!M:M,XLOOKUP($D814,OperationTickets!$A:$A,OperationTickets!M:M,"",0)),"hh:mm"))</f>
        <v>08:00</v>
      </c>
      <c r="G814" s="309">
        <f t="shared" si="3"/>
        <v>0.7083333333</v>
      </c>
      <c r="H814" s="316">
        <f t="array" ref="H814">XLOOKUP(B814,Roster!L:L,Roster!N:N,XLOOKUP(D814,TicketsBreak!A:A,TicketsBreak!E:E,"",0),0)</f>
        <v>0.40625</v>
      </c>
      <c r="I814" s="316">
        <f t="array" ref="I814">XLOOKUP(B814,Roster!L:L,Roster!O:O,XLOOKUP(D814,TicketsBreak!A:A,TicketsBreak!F:F,"",0),0)</f>
        <v>0.5625</v>
      </c>
      <c r="J814" s="316">
        <f t="array" ref="J814">XLOOKUP(B814,Roster!L:L,Roster!P:P,XLOOKUP(D814,TicketsBreak!A:A,TicketsBreak!G:G,"",0),0)</f>
        <v>0.65625</v>
      </c>
      <c r="K814" s="310">
        <f t="shared" si="4"/>
        <v>46119</v>
      </c>
      <c r="L814" s="317">
        <f t="array" ref="L814">(XLOOKUP(D814,Roster!F:F,Roster!D:D,"",0))</f>
        <v>6</v>
      </c>
      <c r="M814" s="317" t="str">
        <f t="array" ref="M814">XLOOKUP(D814,Roster!F:F,Roster!E:E)</f>
        <v>Tickets</v>
      </c>
      <c r="N814" s="317" t="str">
        <f t="shared" ref="N814:P814" si="829">LEFT(H814,5)</f>
        <v>09:45</v>
      </c>
      <c r="O814" s="317" t="str">
        <f t="shared" si="829"/>
        <v>13:30</v>
      </c>
      <c r="P814" s="317" t="str">
        <f t="shared" si="829"/>
        <v>15:45</v>
      </c>
      <c r="Q814" s="318">
        <f t="shared" si="806"/>
        <v>46119.40625</v>
      </c>
      <c r="R814" s="318">
        <f t="shared" si="807"/>
        <v>46119.5625</v>
      </c>
      <c r="S814" s="318">
        <f t="shared" si="8"/>
        <v>46119.65625</v>
      </c>
    </row>
    <row r="815">
      <c r="A815" s="14" t="str">
        <f t="shared" si="1"/>
        <v>C72346119</v>
      </c>
      <c r="B815" s="185" t="str">
        <f t="array" ref="B815">IF(F815="VL","",IF(F815="Free","Free",XLOOKUP(D815,Roster!T:T,Roster!S:S,"",0)))</f>
        <v>Free</v>
      </c>
      <c r="C815" s="313">
        <v>46119.0</v>
      </c>
      <c r="D815" s="314" t="s">
        <v>169</v>
      </c>
      <c r="E815" s="307" t="str">
        <f t="array" ref="E815">(XLOOKUP(D815,Roster!F:F,Roster!B:B,"",0))</f>
        <v>Sebastian Parra</v>
      </c>
      <c r="F815" s="315" t="str">
        <f t="array" ref="F815">IF(B815=100,"Free",TEXT(XLOOKUP($D815,OperationVoice!$A:$A,OperationVoice!M:M,XLOOKUP($D815,OperationTickets!$A:$A,OperationTickets!M:M,"",0)),"hh:mm"))</f>
        <v>Free</v>
      </c>
      <c r="G815" s="309" t="str">
        <f t="shared" si="3"/>
        <v>Free</v>
      </c>
      <c r="H815" s="316">
        <f t="array" ref="H815">XLOOKUP(B815,Roster!L:L,Roster!N:N,XLOOKUP(D815,TicketsBreak!A:A,TicketsBreak!E:E,"",0),0)</f>
        <v>0.4166666667</v>
      </c>
      <c r="I815" s="316">
        <f t="array" ref="I815">XLOOKUP(B815,Roster!L:L,Roster!O:O,XLOOKUP(D815,TicketsBreak!A:A,TicketsBreak!F:F,"",0),0)</f>
        <v>0.5347222222</v>
      </c>
      <c r="J815" s="316">
        <f t="array" ref="J815">XLOOKUP(B815,Roster!L:L,Roster!P:P,XLOOKUP(D815,TicketsBreak!A:A,TicketsBreak!G:G,"",0),0)</f>
        <v>0.65625</v>
      </c>
      <c r="K815" s="310">
        <f t="shared" si="4"/>
        <v>46119</v>
      </c>
      <c r="L815" s="317">
        <f t="array" ref="L815">(XLOOKUP(D815,Roster!F:F,Roster!D:D,"",0))</f>
        <v>7</v>
      </c>
      <c r="M815" s="317" t="str">
        <f t="array" ref="M815">XLOOKUP(D815,Roster!F:F,Roster!E:E)</f>
        <v>Tickets</v>
      </c>
      <c r="N815" s="317" t="str">
        <f t="shared" ref="N815:P815" si="830">LEFT(H815,5)</f>
        <v>10:00</v>
      </c>
      <c r="O815" s="317" t="str">
        <f t="shared" si="830"/>
        <v>12:50</v>
      </c>
      <c r="P815" s="317" t="str">
        <f t="shared" si="830"/>
        <v>15:45</v>
      </c>
      <c r="Q815" s="318">
        <f t="shared" si="806"/>
        <v>46119.41667</v>
      </c>
      <c r="R815" s="318">
        <f t="shared" si="807"/>
        <v>46119.53472</v>
      </c>
      <c r="S815" s="318">
        <f t="shared" si="8"/>
        <v>46119.65625</v>
      </c>
    </row>
    <row r="816">
      <c r="A816" s="14" t="str">
        <f t="shared" si="1"/>
        <v>C137646119</v>
      </c>
      <c r="B816" s="185" t="str">
        <f t="array" ref="B816">IF(F816="VL","",IF(F816="Free","Free",XLOOKUP(D816,Roster!T:T,Roster!S:S,"",0)))</f>
        <v/>
      </c>
      <c r="C816" s="313">
        <v>46119.0</v>
      </c>
      <c r="D816" s="314" t="s">
        <v>151</v>
      </c>
      <c r="E816" s="307" t="str">
        <f t="array" ref="E816">(XLOOKUP(D816,Roster!F:F,Roster!B:B,"",0))</f>
        <v>Sebastian Quiroz</v>
      </c>
      <c r="F816" s="315" t="str">
        <f t="array" ref="F816">IF(B816=100,"Free",TEXT(XLOOKUP($D816,OperationVoice!$A:$A,OperationVoice!M:M,XLOOKUP($D816,OperationTickets!$A:$A,OperationTickets!M:M,"",0)),"hh:mm"))</f>
        <v>08:00</v>
      </c>
      <c r="G816" s="309">
        <f t="shared" si="3"/>
        <v>0.7083333333</v>
      </c>
      <c r="H816" s="316" t="str">
        <f t="array" ref="H816">XLOOKUP(B816,Roster!L:L,Roster!N:N,XLOOKUP(D816,TicketsBreak!A:A,TicketsBreak!E:E,"",0),0)</f>
        <v/>
      </c>
      <c r="I816" s="316" t="str">
        <f t="array" ref="I816">XLOOKUP(B816,Roster!L:L,Roster!O:O,XLOOKUP(D816,TicketsBreak!A:A,TicketsBreak!F:F,"",0),0)</f>
        <v/>
      </c>
      <c r="J816" s="316" t="str">
        <f t="array" ref="J816">XLOOKUP(B816,Roster!L:L,Roster!P:P,XLOOKUP(D816,TicketsBreak!A:A,TicketsBreak!G:G,"",0),0)</f>
        <v/>
      </c>
      <c r="K816" s="310">
        <f t="shared" si="4"/>
        <v>46119</v>
      </c>
      <c r="L816" s="317">
        <f t="array" ref="L816">(XLOOKUP(D816,Roster!F:F,Roster!D:D,"",0))</f>
        <v>31</v>
      </c>
      <c r="M816" s="317" t="str">
        <f t="array" ref="M816">XLOOKUP(D816,Roster!F:F,Roster!E:E)</f>
        <v>Tickets</v>
      </c>
      <c r="N816" s="317" t="str">
        <f t="shared" ref="N816:P816" si="831">LEFT(H816,5)</f>
        <v/>
      </c>
      <c r="O816" s="317" t="str">
        <f t="shared" si="831"/>
        <v/>
      </c>
      <c r="P816" s="317" t="str">
        <f t="shared" si="831"/>
        <v/>
      </c>
      <c r="Q816" s="318" t="str">
        <f t="shared" si="806"/>
        <v/>
      </c>
      <c r="R816" s="318" t="str">
        <f t="shared" si="807"/>
        <v/>
      </c>
      <c r="S816" s="318" t="str">
        <f t="shared" si="8"/>
        <v/>
      </c>
    </row>
    <row r="817">
      <c r="A817" s="14" t="str">
        <f t="shared" si="1"/>
        <v>C72646119</v>
      </c>
      <c r="B817" s="185" t="str">
        <f t="array" ref="B817">IF(F817="VL","",IF(F817="Free","Free",XLOOKUP(D817,Roster!T:T,Roster!S:S,"",0)))</f>
        <v/>
      </c>
      <c r="C817" s="313">
        <v>46119.0</v>
      </c>
      <c r="D817" s="314" t="s">
        <v>185</v>
      </c>
      <c r="E817" s="307" t="str">
        <f t="array" ref="E817">(XLOOKUP(D817,Roster!F:F,Roster!B:B,"",0))</f>
        <v>Sebastian Rodriguez</v>
      </c>
      <c r="F817" s="315" t="str">
        <f t="array" ref="F817">IF(B817=100,"Free",TEXT(XLOOKUP($D817,OperationVoice!$A:$A,OperationVoice!M:M,XLOOKUP($D817,OperationTickets!$A:$A,OperationTickets!M:M,"",0)),"hh:mm"))</f>
        <v>08:00</v>
      </c>
      <c r="G817" s="309">
        <f t="shared" si="3"/>
        <v>0.7083333333</v>
      </c>
      <c r="H817" s="316">
        <f t="array" ref="H817">XLOOKUP(B817,Roster!L:L,Roster!N:N,XLOOKUP(D817,TicketsBreak!A:A,TicketsBreak!E:E,"",0),0)</f>
        <v>0.4166666667</v>
      </c>
      <c r="I817" s="316">
        <f t="array" ref="I817">XLOOKUP(B817,Roster!L:L,Roster!O:O,XLOOKUP(D817,TicketsBreak!A:A,TicketsBreak!F:F,"",0),0)</f>
        <v>0.5625</v>
      </c>
      <c r="J817" s="316">
        <f t="array" ref="J817">XLOOKUP(B817,Roster!L:L,Roster!P:P,XLOOKUP(D817,TicketsBreak!A:A,TicketsBreak!G:G,"",0),0)</f>
        <v>0.6458333333</v>
      </c>
      <c r="K817" s="310">
        <f t="shared" si="4"/>
        <v>46119</v>
      </c>
      <c r="L817" s="317">
        <f t="array" ref="L817">(XLOOKUP(D817,Roster!F:F,Roster!D:D,"",0))</f>
        <v>7</v>
      </c>
      <c r="M817" s="317" t="str">
        <f t="array" ref="M817">XLOOKUP(D817,Roster!F:F,Roster!E:E)</f>
        <v>Tickets</v>
      </c>
      <c r="N817" s="317" t="str">
        <f t="shared" ref="N817:P817" si="832">LEFT(H817,5)</f>
        <v>10:00</v>
      </c>
      <c r="O817" s="317" t="str">
        <f t="shared" si="832"/>
        <v>13:30</v>
      </c>
      <c r="P817" s="317" t="str">
        <f t="shared" si="832"/>
        <v>15:30</v>
      </c>
      <c r="Q817" s="318">
        <f t="shared" si="806"/>
        <v>46119.41667</v>
      </c>
      <c r="R817" s="318">
        <f t="shared" si="807"/>
        <v>46119.5625</v>
      </c>
      <c r="S817" s="318">
        <f t="shared" si="8"/>
        <v>46119.64583</v>
      </c>
    </row>
    <row r="818">
      <c r="A818" s="14" t="str">
        <f t="shared" si="1"/>
        <v>C60246119</v>
      </c>
      <c r="B818" s="185" t="str">
        <f t="array" ref="B818">IF(F818="VL","",IF(F818="Free","Free",XLOOKUP(D818,Roster!T:T,Roster!S:S,"",0)))</f>
        <v/>
      </c>
      <c r="C818" s="313">
        <v>46119.0</v>
      </c>
      <c r="D818" s="314" t="s">
        <v>170</v>
      </c>
      <c r="E818" s="307" t="str">
        <f t="array" ref="E818">(XLOOKUP(D818,Roster!F:F,Roster!B:B,"",0))</f>
        <v>Sebastian Torres</v>
      </c>
      <c r="F818" s="315" t="str">
        <f t="array" ref="F818">IF(B818=100,"Free",TEXT(XLOOKUP($D818,OperationVoice!$A:$A,OperationVoice!M:M,XLOOKUP($D818,OperationTickets!$A:$A,OperationTickets!M:M,"",0)),"hh:mm"))</f>
        <v>08:00</v>
      </c>
      <c r="G818" s="309">
        <f t="shared" si="3"/>
        <v>0.7083333333</v>
      </c>
      <c r="H818" s="316">
        <f t="array" ref="H818">XLOOKUP(B818,Roster!L:L,Roster!N:N,XLOOKUP(D818,TicketsBreak!A:A,TicketsBreak!E:E,"",0),0)</f>
        <v>0.4583333333</v>
      </c>
      <c r="I818" s="316">
        <f t="array" ref="I818">XLOOKUP(B818,Roster!L:L,Roster!O:O,XLOOKUP(D818,TicketsBreak!A:A,TicketsBreak!F:F,"",0),0)</f>
        <v>0.5833333333</v>
      </c>
      <c r="J818" s="316">
        <f t="array" ref="J818">XLOOKUP(B818,Roster!L:L,Roster!P:P,XLOOKUP(D818,TicketsBreak!A:A,TicketsBreak!G:G,"",0),0)</f>
        <v>0.65625</v>
      </c>
      <c r="K818" s="310">
        <f t="shared" si="4"/>
        <v>46119</v>
      </c>
      <c r="L818" s="317">
        <f t="array" ref="L818">(XLOOKUP(D818,Roster!F:F,Roster!D:D,"",0))</f>
        <v>8</v>
      </c>
      <c r="M818" s="317" t="str">
        <f t="array" ref="M818">XLOOKUP(D818,Roster!F:F,Roster!E:E)</f>
        <v>Tickets</v>
      </c>
      <c r="N818" s="317" t="str">
        <f t="shared" ref="N818:P818" si="833">LEFT(H818,5)</f>
        <v>11:00</v>
      </c>
      <c r="O818" s="317" t="str">
        <f t="shared" si="833"/>
        <v>14:00</v>
      </c>
      <c r="P818" s="317" t="str">
        <f t="shared" si="833"/>
        <v>15:45</v>
      </c>
      <c r="Q818" s="318">
        <f t="shared" si="806"/>
        <v>46119.45833</v>
      </c>
      <c r="R818" s="318">
        <f t="shared" si="807"/>
        <v>46119.58333</v>
      </c>
      <c r="S818" s="318">
        <f t="shared" si="8"/>
        <v>46119.65625</v>
      </c>
    </row>
    <row r="819">
      <c r="A819" s="14" t="str">
        <f t="shared" si="1"/>
        <v>C143146119</v>
      </c>
      <c r="B819" s="185" t="str">
        <f t="array" ref="B819">IF(F819="VL","",IF(F819="Free","Free",XLOOKUP(D819,Roster!T:T,Roster!S:S,"",0)))</f>
        <v>Free</v>
      </c>
      <c r="C819" s="313">
        <v>46119.0</v>
      </c>
      <c r="D819" s="314" t="s">
        <v>74</v>
      </c>
      <c r="E819" s="307" t="str">
        <f t="array" ref="E819">(XLOOKUP(D819,Roster!F:F,Roster!B:B,"",0))</f>
        <v>Sebastian Torres Gomez</v>
      </c>
      <c r="F819" s="315" t="str">
        <f t="array" ref="F819">IF(B819=100,"Free",TEXT(XLOOKUP($D819,OperationVoice!$A:$A,OperationVoice!M:M,XLOOKUP($D819,OperationTickets!$A:$A,OperationTickets!M:M,"",0)),"hh:mm"))</f>
        <v>Free</v>
      </c>
      <c r="G819" s="309" t="str">
        <f t="shared" si="3"/>
        <v>Free</v>
      </c>
      <c r="H819" s="316" t="str">
        <f t="array" ref="H819">XLOOKUP(B819,Roster!L:L,Roster!N:N,XLOOKUP(D819,TicketsBreak!A:A,TicketsBreak!E:E,"",0),0)</f>
        <v/>
      </c>
      <c r="I819" s="316" t="str">
        <f t="array" ref="I819">XLOOKUP(B819,Roster!L:L,Roster!O:O,XLOOKUP(D819,TicketsBreak!A:A,TicketsBreak!F:F,"",0),0)</f>
        <v/>
      </c>
      <c r="J819" s="316" t="str">
        <f t="array" ref="J819">XLOOKUP(B819,Roster!L:L,Roster!P:P,XLOOKUP(D819,TicketsBreak!A:A,TicketsBreak!G:G,"",0),0)</f>
        <v/>
      </c>
      <c r="K819" s="310">
        <f t="shared" si="4"/>
        <v>46119</v>
      </c>
      <c r="L819" s="317">
        <f t="array" ref="L819">(XLOOKUP(D819,Roster!F:F,Roster!D:D,"",0))</f>
        <v>32</v>
      </c>
      <c r="M819" s="317" t="str">
        <f t="array" ref="M819">XLOOKUP(D819,Roster!F:F,Roster!E:E)</f>
        <v>Voice</v>
      </c>
      <c r="N819" s="317" t="str">
        <f t="shared" ref="N819:P819" si="834">LEFT(H819,5)</f>
        <v/>
      </c>
      <c r="O819" s="317" t="str">
        <f t="shared" si="834"/>
        <v/>
      </c>
      <c r="P819" s="317" t="str">
        <f t="shared" si="834"/>
        <v/>
      </c>
      <c r="Q819" s="318" t="str">
        <f t="shared" si="806"/>
        <v/>
      </c>
      <c r="R819" s="318" t="str">
        <f t="shared" si="807"/>
        <v/>
      </c>
      <c r="S819" s="318" t="str">
        <f t="shared" si="8"/>
        <v/>
      </c>
    </row>
    <row r="820">
      <c r="A820" s="14" t="str">
        <f t="shared" si="1"/>
        <v>C149146119</v>
      </c>
      <c r="B820" s="185" t="str">
        <f t="array" ref="B820">IF(F820="VL","",IF(F820="Free","Free",XLOOKUP(D820,Roster!T:T,Roster!S:S,"",0)))</f>
        <v/>
      </c>
      <c r="C820" s="313">
        <v>46119.0</v>
      </c>
      <c r="D820" s="314" t="s">
        <v>315</v>
      </c>
      <c r="E820" s="307" t="str">
        <f t="array" ref="E820">(XLOOKUP(D820,Roster!F:F,Roster!B:B,"",0))</f>
        <v>Sebastian Vanegas</v>
      </c>
      <c r="F820" s="315" t="str">
        <f t="array" ref="F820">IF(B820=100,"Free",TEXT(XLOOKUP($D820,OperationVoice!$A:$A,OperationVoice!M:M,XLOOKUP($D820,OperationTickets!$A:$A,OperationTickets!M:M,"",0)),"hh:mm"))</f>
        <v/>
      </c>
      <c r="G820" s="309" t="str">
        <f t="shared" si="3"/>
        <v/>
      </c>
      <c r="H820" s="316" t="str">
        <f t="array" ref="H820">XLOOKUP(B820,Roster!L:L,Roster!N:N,XLOOKUP(D820,TicketsBreak!A:A,TicketsBreak!E:E,"",0),0)</f>
        <v/>
      </c>
      <c r="I820" s="316" t="str">
        <f t="array" ref="I820">XLOOKUP(B820,Roster!L:L,Roster!O:O,XLOOKUP(D820,TicketsBreak!A:A,TicketsBreak!F:F,"",0),0)</f>
        <v/>
      </c>
      <c r="J820" s="316" t="str">
        <f t="array" ref="J820">XLOOKUP(B820,Roster!L:L,Roster!P:P,XLOOKUP(D820,TicketsBreak!A:A,TicketsBreak!G:G,"",0),0)</f>
        <v/>
      </c>
      <c r="K820" s="310">
        <f t="shared" si="4"/>
        <v>46119</v>
      </c>
      <c r="L820" s="317">
        <f t="array" ref="L820">(XLOOKUP(D820,Roster!F:F,Roster!D:D,"",0))</f>
        <v>34</v>
      </c>
      <c r="M820" s="317" t="str">
        <f t="array" ref="M820">XLOOKUP(D820,Roster!F:F,Roster!E:E)</f>
        <v>Voice</v>
      </c>
      <c r="N820" s="317" t="str">
        <f t="shared" ref="N820:P820" si="835">LEFT(H820,5)</f>
        <v/>
      </c>
      <c r="O820" s="317" t="str">
        <f t="shared" si="835"/>
        <v/>
      </c>
      <c r="P820" s="317" t="str">
        <f t="shared" si="835"/>
        <v/>
      </c>
      <c r="Q820" s="318" t="str">
        <f t="shared" si="806"/>
        <v/>
      </c>
      <c r="R820" s="318" t="str">
        <f t="shared" si="807"/>
        <v/>
      </c>
      <c r="S820" s="318" t="str">
        <f t="shared" si="8"/>
        <v/>
      </c>
    </row>
    <row r="821">
      <c r="A821" s="14" t="str">
        <f t="shared" si="1"/>
        <v>C93746119</v>
      </c>
      <c r="B821" s="185">
        <f t="array" ref="B821">IF(F821="VL","",IF(F821="Free","Free",XLOOKUP(D821,Roster!T:T,Roster!S:S,"",0)))</f>
        <v>126</v>
      </c>
      <c r="C821" s="313">
        <v>46119.0</v>
      </c>
      <c r="D821" s="314" t="s">
        <v>75</v>
      </c>
      <c r="E821" s="307" t="str">
        <f t="array" ref="E821">(XLOOKUP(D821,Roster!F:F,Roster!B:B,"",0))</f>
        <v>Sebastian Zapata</v>
      </c>
      <c r="F821" s="315" t="str">
        <f t="array" ref="F821">IF(B821=100,"Free",TEXT(XLOOKUP($D821,OperationVoice!$A:$A,OperationVoice!M:M,XLOOKUP($D821,OperationTickets!$A:$A,OperationTickets!M:M,"",0)),"hh:mm"))</f>
        <v>08:00</v>
      </c>
      <c r="G821" s="309">
        <f t="shared" si="3"/>
        <v>0.7083333333</v>
      </c>
      <c r="H821" s="316" t="str">
        <f t="array" ref="H821">XLOOKUP(B821,Roster!L:L,Roster!N:N,XLOOKUP(D821,TicketsBreak!A:A,TicketsBreak!E:E,"",0),0)</f>
        <v>10:45 - 11:00</v>
      </c>
      <c r="I821" s="316" t="str">
        <f t="array" ref="I821">XLOOKUP(B821,Roster!L:L,Roster!O:O,XLOOKUP(D821,TicketsBreak!A:A,TicketsBreak!F:F,"",0),0)</f>
        <v>14:00 - 14:30</v>
      </c>
      <c r="J821" s="316" t="str">
        <f t="array" ref="J821">XLOOKUP(B821,Roster!L:L,Roster!P:P,XLOOKUP(D821,TicketsBreak!A:A,TicketsBreak!G:G,"",0),0)</f>
        <v>15:45 - 16:00</v>
      </c>
      <c r="K821" s="310">
        <f t="shared" si="4"/>
        <v>46119</v>
      </c>
      <c r="L821" s="317">
        <f t="array" ref="L821">(XLOOKUP(D821,Roster!F:F,Roster!D:D,"",0))</f>
        <v>12</v>
      </c>
      <c r="M821" s="317" t="str">
        <f t="array" ref="M821">XLOOKUP(D821,Roster!F:F,Roster!E:E)</f>
        <v>Voice</v>
      </c>
      <c r="N821" s="317" t="str">
        <f t="shared" ref="N821:P821" si="836">LEFT(H821,5)</f>
        <v>10:45</v>
      </c>
      <c r="O821" s="317" t="str">
        <f t="shared" si="836"/>
        <v>14:00</v>
      </c>
      <c r="P821" s="317" t="str">
        <f t="shared" si="836"/>
        <v>15:45</v>
      </c>
      <c r="Q821" s="318">
        <f t="shared" si="806"/>
        <v>46119.44792</v>
      </c>
      <c r="R821" s="318">
        <f t="shared" si="807"/>
        <v>46119.58333</v>
      </c>
      <c r="S821" s="318">
        <f t="shared" si="8"/>
        <v>46119.65625</v>
      </c>
    </row>
    <row r="822">
      <c r="A822" s="14" t="str">
        <f t="shared" si="1"/>
        <v>C156546119</v>
      </c>
      <c r="B822" s="185">
        <f t="array" ref="B822">IF(F822="VL","",IF(F822="Free","Free",XLOOKUP(D822,Roster!T:T,Roster!S:S,"",0)))</f>
        <v>122</v>
      </c>
      <c r="C822" s="313">
        <v>46119.0</v>
      </c>
      <c r="D822" s="314" t="s">
        <v>76</v>
      </c>
      <c r="E822" s="307" t="str">
        <f t="array" ref="E822">(XLOOKUP(D822,Roster!F:F,Roster!B:B,"",0))</f>
        <v>Sergio Rojas</v>
      </c>
      <c r="F822" s="315" t="str">
        <f t="array" ref="F822">IF(B822=100,"Free",TEXT(XLOOKUP($D822,OperationVoice!$A:$A,OperationVoice!M:M,XLOOKUP($D822,OperationTickets!$A:$A,OperationTickets!M:M,"",0)),"hh:mm"))</f>
        <v>11:00</v>
      </c>
      <c r="G822" s="309">
        <f t="shared" si="3"/>
        <v>0.8333333333</v>
      </c>
      <c r="H822" s="316" t="str">
        <f t="array" ref="H822">XLOOKUP(B822,Roster!L:L,Roster!N:N,XLOOKUP(D822,TicketsBreak!A:A,TicketsBreak!E:E,"",0),0)</f>
        <v>09:30 - 09:45</v>
      </c>
      <c r="I822" s="316" t="str">
        <f t="array" ref="I822">XLOOKUP(B822,Roster!L:L,Roster!O:O,XLOOKUP(D822,TicketsBreak!A:A,TicketsBreak!F:F,"",0),0)</f>
        <v>12:00 - 12:30</v>
      </c>
      <c r="J822" s="316" t="str">
        <f t="array" ref="J822">XLOOKUP(B822,Roster!L:L,Roster!P:P,XLOOKUP(D822,TicketsBreak!A:A,TicketsBreak!G:G,"",0),0)</f>
        <v>14:45 - 15:00</v>
      </c>
      <c r="K822" s="310">
        <f t="shared" si="4"/>
        <v>46119</v>
      </c>
      <c r="L822" s="317">
        <f t="array" ref="L822">(XLOOKUP(D822,Roster!F:F,Roster!D:D,"",0))</f>
        <v>38</v>
      </c>
      <c r="M822" s="317" t="str">
        <f t="array" ref="M822">XLOOKUP(D822,Roster!F:F,Roster!E:E)</f>
        <v>Voice</v>
      </c>
      <c r="N822" s="317" t="str">
        <f t="shared" ref="N822:P822" si="837">LEFT(H822,5)</f>
        <v>09:30</v>
      </c>
      <c r="O822" s="317" t="str">
        <f t="shared" si="837"/>
        <v>12:00</v>
      </c>
      <c r="P822" s="317" t="str">
        <f t="shared" si="837"/>
        <v>14:45</v>
      </c>
      <c r="Q822" s="318">
        <f t="shared" si="806"/>
        <v>46119.39583</v>
      </c>
      <c r="R822" s="318">
        <f t="shared" si="807"/>
        <v>46119.5</v>
      </c>
      <c r="S822" s="318">
        <f t="shared" si="8"/>
        <v>46119.61458</v>
      </c>
    </row>
    <row r="823">
      <c r="A823" s="14" t="str">
        <f t="shared" si="1"/>
        <v>C147846119</v>
      </c>
      <c r="B823" s="185" t="str">
        <f t="array" ref="B823">IF(F823="VL","",IF(F823="Free","Free",XLOOKUP(D823,Roster!T:T,Roster!S:S,"",0)))</f>
        <v/>
      </c>
      <c r="C823" s="313">
        <v>46119.0</v>
      </c>
      <c r="D823" s="314" t="s">
        <v>186</v>
      </c>
      <c r="E823" s="307" t="str">
        <f t="array" ref="E823">(XLOOKUP(D823,Roster!F:F,Roster!B:B,"",0))</f>
        <v>Simon Atehortua</v>
      </c>
      <c r="F823" s="315" t="str">
        <f t="array" ref="F823">IF(B823=100,"Free",TEXT(XLOOKUP($D823,OperationVoice!$A:$A,OperationVoice!M:M,XLOOKUP($D823,OperationTickets!$A:$A,OperationTickets!M:M,"",0)),"hh:mm"))</f>
        <v>07:00</v>
      </c>
      <c r="G823" s="309">
        <f t="shared" si="3"/>
        <v>0.6666666667</v>
      </c>
      <c r="H823" s="316" t="str">
        <f t="array" ref="H823">XLOOKUP(B823,Roster!L:L,Roster!N:N,XLOOKUP(D823,TicketsBreak!A:A,TicketsBreak!E:E,"",0),0)</f>
        <v/>
      </c>
      <c r="I823" s="316" t="str">
        <f t="array" ref="I823">XLOOKUP(B823,Roster!L:L,Roster!O:O,XLOOKUP(D823,TicketsBreak!A:A,TicketsBreak!F:F,"",0),0)</f>
        <v/>
      </c>
      <c r="J823" s="316" t="str">
        <f t="array" ref="J823">XLOOKUP(B823,Roster!L:L,Roster!P:P,XLOOKUP(D823,TicketsBreak!A:A,TicketsBreak!G:G,"",0),0)</f>
        <v/>
      </c>
      <c r="K823" s="310">
        <f t="shared" si="4"/>
        <v>46119</v>
      </c>
      <c r="L823" s="317">
        <f t="array" ref="L823">(XLOOKUP(D823,Roster!F:F,Roster!D:D,"",0))</f>
        <v>32</v>
      </c>
      <c r="M823" s="317" t="str">
        <f t="array" ref="M823">XLOOKUP(D823,Roster!F:F,Roster!E:E)</f>
        <v>Tickets</v>
      </c>
      <c r="N823" s="317" t="str">
        <f t="shared" ref="N823:P823" si="838">LEFT(H823,5)</f>
        <v/>
      </c>
      <c r="O823" s="317" t="str">
        <f t="shared" si="838"/>
        <v/>
      </c>
      <c r="P823" s="317" t="str">
        <f t="shared" si="838"/>
        <v/>
      </c>
      <c r="Q823" s="318" t="str">
        <f t="shared" si="806"/>
        <v/>
      </c>
      <c r="R823" s="318" t="str">
        <f t="shared" si="807"/>
        <v/>
      </c>
      <c r="S823" s="318" t="str">
        <f t="shared" si="8"/>
        <v/>
      </c>
    </row>
    <row r="824">
      <c r="A824" s="14" t="str">
        <f t="shared" si="1"/>
        <v>C148346119</v>
      </c>
      <c r="B824" s="185">
        <f t="array" ref="B824">IF(F824="VL","",IF(F824="Free","Free",XLOOKUP(D824,Roster!T:T,Roster!S:S,"",0)))</f>
        <v>152</v>
      </c>
      <c r="C824" s="313">
        <v>46119.0</v>
      </c>
      <c r="D824" s="314" t="s">
        <v>77</v>
      </c>
      <c r="E824" s="307" t="str">
        <f t="array" ref="E824">(XLOOKUP(D824,Roster!F:F,Roster!B:B,"",0))</f>
        <v>Simon Zuluaica</v>
      </c>
      <c r="F824" s="315" t="str">
        <f t="array" ref="F824">IF(B824=100,"Free",TEXT(XLOOKUP($D824,OperationVoice!$A:$A,OperationVoice!M:M,XLOOKUP($D824,OperationTickets!$A:$A,OperationTickets!M:M,"",0)),"hh:mm"))</f>
        <v>11:00</v>
      </c>
      <c r="G824" s="309">
        <f t="shared" si="3"/>
        <v>0.8333333333</v>
      </c>
      <c r="H824" s="316" t="str">
        <f t="array" ref="H824">XLOOKUP(B824,Roster!L:L,Roster!N:N,XLOOKUP(D824,TicketsBreak!A:A,TicketsBreak!E:E,"",0),0)</f>
        <v>12:30 - 12:45</v>
      </c>
      <c r="I824" s="316" t="str">
        <f t="array" ref="I824">XLOOKUP(B824,Roster!L:L,Roster!O:O,XLOOKUP(D824,TicketsBreak!A:A,TicketsBreak!F:F,"",0),0)</f>
        <v>14:30 - 15:00</v>
      </c>
      <c r="J824" s="316" t="str">
        <f t="array" ref="J824">XLOOKUP(B824,Roster!L:L,Roster!P:P,XLOOKUP(D824,TicketsBreak!A:A,TicketsBreak!G:G,"",0),0)</f>
        <v>17:30 - 17:45</v>
      </c>
      <c r="K824" s="310">
        <f t="shared" si="4"/>
        <v>46119</v>
      </c>
      <c r="L824" s="317">
        <f t="array" ref="L824">(XLOOKUP(D824,Roster!F:F,Roster!D:D,"",0))</f>
        <v>34</v>
      </c>
      <c r="M824" s="317" t="str">
        <f t="array" ref="M824">XLOOKUP(D824,Roster!F:F,Roster!E:E)</f>
        <v>Voice</v>
      </c>
      <c r="N824" s="317" t="str">
        <f t="shared" ref="N824:P824" si="839">LEFT(H824,5)</f>
        <v>12:30</v>
      </c>
      <c r="O824" s="317" t="str">
        <f t="shared" si="839"/>
        <v>14:30</v>
      </c>
      <c r="P824" s="317" t="str">
        <f t="shared" si="839"/>
        <v>17:30</v>
      </c>
      <c r="Q824" s="318">
        <f t="shared" si="806"/>
        <v>46119.52083</v>
      </c>
      <c r="R824" s="318">
        <f t="shared" si="807"/>
        <v>46119.60417</v>
      </c>
      <c r="S824" s="318">
        <f t="shared" si="8"/>
        <v>46119.72917</v>
      </c>
    </row>
    <row r="825">
      <c r="A825" s="14" t="str">
        <f t="shared" si="1"/>
        <v>C154046119</v>
      </c>
      <c r="B825" s="185">
        <f t="array" ref="B825">IF(F825="VL","",IF(F825="Free","Free",XLOOKUP(D825,Roster!T:T,Roster!S:S,"",0)))</f>
        <v>122</v>
      </c>
      <c r="C825" s="313">
        <v>46119.0</v>
      </c>
      <c r="D825" s="314" t="s">
        <v>78</v>
      </c>
      <c r="E825" s="307" t="str">
        <f t="array" ref="E825">(XLOOKUP(D825,Roster!F:F,Roster!B:B,"",0))</f>
        <v>Tomas Perez</v>
      </c>
      <c r="F825" s="315" t="str">
        <f t="array" ref="F825">IF(B825=100,"Free",TEXT(XLOOKUP($D825,OperationVoice!$A:$A,OperationVoice!M:M,XLOOKUP($D825,OperationTickets!$A:$A,OperationTickets!M:M,"",0)),"hh:mm"))</f>
        <v>08:00</v>
      </c>
      <c r="G825" s="309">
        <f t="shared" si="3"/>
        <v>0.7083333333</v>
      </c>
      <c r="H825" s="316" t="str">
        <f t="array" ref="H825">XLOOKUP(B825,Roster!L:L,Roster!N:N,XLOOKUP(D825,TicketsBreak!A:A,TicketsBreak!E:E,"",0),0)</f>
        <v>09:30 - 09:45</v>
      </c>
      <c r="I825" s="316" t="str">
        <f t="array" ref="I825">XLOOKUP(B825,Roster!L:L,Roster!O:O,XLOOKUP(D825,TicketsBreak!A:A,TicketsBreak!F:F,"",0),0)</f>
        <v>12:00 - 12:30</v>
      </c>
      <c r="J825" s="316" t="str">
        <f t="array" ref="J825">XLOOKUP(B825,Roster!L:L,Roster!P:P,XLOOKUP(D825,TicketsBreak!A:A,TicketsBreak!G:G,"",0),0)</f>
        <v>14:45 - 15:00</v>
      </c>
      <c r="K825" s="310">
        <f t="shared" si="4"/>
        <v>46119</v>
      </c>
      <c r="L825" s="317">
        <f t="array" ref="L825">(XLOOKUP(D825,Roster!F:F,Roster!D:D,"",0))</f>
        <v>36</v>
      </c>
      <c r="M825" s="317" t="str">
        <f t="array" ref="M825">XLOOKUP(D825,Roster!F:F,Roster!E:E)</f>
        <v>Voice</v>
      </c>
      <c r="N825" s="317" t="str">
        <f t="shared" ref="N825:P825" si="840">LEFT(H825,5)</f>
        <v>09:30</v>
      </c>
      <c r="O825" s="317" t="str">
        <f t="shared" si="840"/>
        <v>12:00</v>
      </c>
      <c r="P825" s="317" t="str">
        <f t="shared" si="840"/>
        <v>14:45</v>
      </c>
      <c r="Q825" s="318">
        <f t="shared" si="806"/>
        <v>46119.39583</v>
      </c>
      <c r="R825" s="318">
        <f t="shared" si="807"/>
        <v>46119.5</v>
      </c>
      <c r="S825" s="318">
        <f t="shared" si="8"/>
        <v>46119.61458</v>
      </c>
    </row>
    <row r="826">
      <c r="A826" s="14" t="str">
        <f t="shared" si="1"/>
        <v>C154746119</v>
      </c>
      <c r="B826" s="185">
        <f t="array" ref="B826">IF(F826="VL","",IF(F826="Free","Free",XLOOKUP(D826,Roster!T:T,Roster!S:S,"",0)))</f>
        <v>121</v>
      </c>
      <c r="C826" s="313">
        <v>46119.0</v>
      </c>
      <c r="D826" s="314" t="s">
        <v>79</v>
      </c>
      <c r="E826" s="307" t="str">
        <f t="array" ref="E826">(XLOOKUP(D826,Roster!F:F,Roster!B:B,"",0))</f>
        <v>Valentina Barreto</v>
      </c>
      <c r="F826" s="315" t="str">
        <f t="array" ref="F826">IF(B826=100,"Free",TEXT(XLOOKUP($D826,OperationVoice!$A:$A,OperationVoice!M:M,XLOOKUP($D826,OperationTickets!$A:$A,OperationTickets!M:M,"",0)),"hh:mm"))</f>
        <v>08:00</v>
      </c>
      <c r="G826" s="309">
        <f t="shared" si="3"/>
        <v>0.7083333333</v>
      </c>
      <c r="H826" s="316" t="str">
        <f t="array" ref="H826">XLOOKUP(B826,Roster!L:L,Roster!N:N,XLOOKUP(D826,TicketsBreak!A:A,TicketsBreak!E:E,"",0),0)</f>
        <v>09:15 - 09:30</v>
      </c>
      <c r="I826" s="316" t="str">
        <f t="array" ref="I826">XLOOKUP(B826,Roster!L:L,Roster!O:O,XLOOKUP(D826,TicketsBreak!A:A,TicketsBreak!F:F,"",0),0)</f>
        <v>11:30 - 12:00</v>
      </c>
      <c r="J826" s="316" t="str">
        <f t="array" ref="J826">XLOOKUP(B826,Roster!L:L,Roster!P:P,XLOOKUP(D826,TicketsBreak!A:A,TicketsBreak!G:G,"",0),0)</f>
        <v>14:30 - 14:45</v>
      </c>
      <c r="K826" s="310">
        <f t="shared" si="4"/>
        <v>46119</v>
      </c>
      <c r="L826" s="317">
        <f t="array" ref="L826">(XLOOKUP(D826,Roster!F:F,Roster!D:D,"",0))</f>
        <v>37</v>
      </c>
      <c r="M826" s="317" t="str">
        <f t="array" ref="M826">XLOOKUP(D826,Roster!F:F,Roster!E:E)</f>
        <v>Voice</v>
      </c>
      <c r="N826" s="317" t="str">
        <f t="shared" ref="N826:P826" si="841">LEFT(H826,5)</f>
        <v>09:15</v>
      </c>
      <c r="O826" s="317" t="str">
        <f t="shared" si="841"/>
        <v>11:30</v>
      </c>
      <c r="P826" s="317" t="str">
        <f t="shared" si="841"/>
        <v>14:30</v>
      </c>
      <c r="Q826" s="318">
        <f t="shared" si="806"/>
        <v>46119.38542</v>
      </c>
      <c r="R826" s="318">
        <f t="shared" si="807"/>
        <v>46119.47917</v>
      </c>
      <c r="S826" s="318">
        <f t="shared" si="8"/>
        <v>46119.60417</v>
      </c>
    </row>
    <row r="827">
      <c r="A827" s="14" t="str">
        <f t="shared" si="1"/>
        <v>C155346119</v>
      </c>
      <c r="B827" s="185">
        <f t="array" ref="B827">IF(F827="VL","",IF(F827="Free","Free",XLOOKUP(D827,Roster!T:T,Roster!S:S,"",0)))</f>
        <v>122</v>
      </c>
      <c r="C827" s="313">
        <v>46119.0</v>
      </c>
      <c r="D827" s="314" t="s">
        <v>80</v>
      </c>
      <c r="E827" s="307" t="str">
        <f t="array" ref="E827">(XLOOKUP(D827,Roster!F:F,Roster!B:B,"",0))</f>
        <v>Valentina Castro</v>
      </c>
      <c r="F827" s="315" t="str">
        <f t="array" ref="F827">IF(B827=100,"Free",TEXT(XLOOKUP($D827,OperationVoice!$A:$A,OperationVoice!M:M,XLOOKUP($D827,OperationTickets!$A:$A,OperationTickets!M:M,"",0)),"hh:mm"))</f>
        <v>08:00</v>
      </c>
      <c r="G827" s="309">
        <f t="shared" si="3"/>
        <v>0.7083333333</v>
      </c>
      <c r="H827" s="316" t="str">
        <f t="array" ref="H827">XLOOKUP(B827,Roster!L:L,Roster!N:N,XLOOKUP(D827,TicketsBreak!A:A,TicketsBreak!E:E,"",0),0)</f>
        <v>09:30 - 09:45</v>
      </c>
      <c r="I827" s="316" t="str">
        <f t="array" ref="I827">XLOOKUP(B827,Roster!L:L,Roster!O:O,XLOOKUP(D827,TicketsBreak!A:A,TicketsBreak!F:F,"",0),0)</f>
        <v>12:00 - 12:30</v>
      </c>
      <c r="J827" s="316" t="str">
        <f t="array" ref="J827">XLOOKUP(B827,Roster!L:L,Roster!P:P,XLOOKUP(D827,TicketsBreak!A:A,TicketsBreak!G:G,"",0),0)</f>
        <v>14:45 - 15:00</v>
      </c>
      <c r="K827" s="310">
        <f t="shared" si="4"/>
        <v>46119</v>
      </c>
      <c r="L827" s="317">
        <f t="array" ref="L827">(XLOOKUP(D827,Roster!F:F,Roster!D:D,"",0))</f>
        <v>37</v>
      </c>
      <c r="M827" s="317" t="str">
        <f t="array" ref="M827">XLOOKUP(D827,Roster!F:F,Roster!E:E)</f>
        <v>Voice</v>
      </c>
      <c r="N827" s="317" t="str">
        <f t="shared" ref="N827:P827" si="842">LEFT(H827,5)</f>
        <v>09:30</v>
      </c>
      <c r="O827" s="317" t="str">
        <f t="shared" si="842"/>
        <v>12:00</v>
      </c>
      <c r="P827" s="317" t="str">
        <f t="shared" si="842"/>
        <v>14:45</v>
      </c>
      <c r="Q827" s="318">
        <f t="shared" si="806"/>
        <v>46119.39583</v>
      </c>
      <c r="R827" s="318">
        <f t="shared" si="807"/>
        <v>46119.5</v>
      </c>
      <c r="S827" s="318">
        <f t="shared" si="8"/>
        <v>46119.61458</v>
      </c>
    </row>
    <row r="828">
      <c r="A828" s="14" t="str">
        <f t="shared" si="1"/>
        <v>C150246119</v>
      </c>
      <c r="B828" s="185" t="str">
        <f t="array" ref="B828">IF(F828="VL","",IF(F828="Free","Free",XLOOKUP(D828,Roster!T:T,Roster!S:S,"",0)))</f>
        <v/>
      </c>
      <c r="C828" s="313">
        <v>46119.0</v>
      </c>
      <c r="D828" s="314" t="s">
        <v>316</v>
      </c>
      <c r="E828" s="307" t="str">
        <f t="array" ref="E828">(XLOOKUP(D828,Roster!F:F,Roster!B:B,"",0))</f>
        <v>Valentina Gallego</v>
      </c>
      <c r="F828" s="315" t="str">
        <f t="array" ref="F828">IF(B828=100,"Free",TEXT(XLOOKUP($D828,OperationVoice!$A:$A,OperationVoice!M:M,XLOOKUP($D828,OperationTickets!$A:$A,OperationTickets!M:M,"",0)),"hh:mm"))</f>
        <v/>
      </c>
      <c r="G828" s="309" t="str">
        <f t="shared" si="3"/>
        <v/>
      </c>
      <c r="H828" s="316" t="str">
        <f t="array" ref="H828">XLOOKUP(B828,Roster!L:L,Roster!N:N,XLOOKUP(D828,TicketsBreak!A:A,TicketsBreak!E:E,"",0),0)</f>
        <v/>
      </c>
      <c r="I828" s="316" t="str">
        <f t="array" ref="I828">XLOOKUP(B828,Roster!L:L,Roster!O:O,XLOOKUP(D828,TicketsBreak!A:A,TicketsBreak!F:F,"",0),0)</f>
        <v/>
      </c>
      <c r="J828" s="316" t="str">
        <f t="array" ref="J828">XLOOKUP(B828,Roster!L:L,Roster!P:P,XLOOKUP(D828,TicketsBreak!A:A,TicketsBreak!G:G,"",0),0)</f>
        <v/>
      </c>
      <c r="K828" s="310">
        <f t="shared" si="4"/>
        <v>46119</v>
      </c>
      <c r="L828" s="317">
        <f t="array" ref="L828">(XLOOKUP(D828,Roster!F:F,Roster!D:D,"",0))</f>
        <v>35</v>
      </c>
      <c r="M828" s="317" t="str">
        <f t="array" ref="M828">XLOOKUP(D828,Roster!F:F,Roster!E:E)</f>
        <v>Voice</v>
      </c>
      <c r="N828" s="317" t="str">
        <f t="shared" ref="N828:P828" si="843">LEFT(H828,5)</f>
        <v/>
      </c>
      <c r="O828" s="317" t="str">
        <f t="shared" si="843"/>
        <v/>
      </c>
      <c r="P828" s="317" t="str">
        <f t="shared" si="843"/>
        <v/>
      </c>
      <c r="Q828" s="318" t="str">
        <f t="shared" si="806"/>
        <v/>
      </c>
      <c r="R828" s="318" t="str">
        <f t="shared" si="807"/>
        <v/>
      </c>
      <c r="S828" s="318" t="str">
        <f t="shared" si="8"/>
        <v/>
      </c>
    </row>
    <row r="829">
      <c r="A829" s="14" t="str">
        <f t="shared" si="1"/>
        <v>C112646119</v>
      </c>
      <c r="B829" s="185" t="str">
        <f t="array" ref="B829">IF(F829="VL","",IF(F829="Free","Free",XLOOKUP(D829,Roster!T:T,Roster!S:S,"",0)))</f>
        <v/>
      </c>
      <c r="C829" s="313">
        <v>46119.0</v>
      </c>
      <c r="D829" s="314" t="s">
        <v>152</v>
      </c>
      <c r="E829" s="307" t="str">
        <f t="array" ref="E829">(XLOOKUP(D829,Roster!F:F,Roster!B:B,"",0))</f>
        <v>Valery Escobar</v>
      </c>
      <c r="F829" s="315" t="str">
        <f t="array" ref="F829">IF(B829=100,"Free",TEXT(XLOOKUP($D829,OperationVoice!$A:$A,OperationVoice!M:M,XLOOKUP($D829,OperationTickets!$A:$A,OperationTickets!M:M,"",0)),"hh:mm"))</f>
        <v>08:00</v>
      </c>
      <c r="G829" s="309">
        <f t="shared" si="3"/>
        <v>0.7083333333</v>
      </c>
      <c r="H829" s="316">
        <f t="array" ref="H829">XLOOKUP(B829,Roster!L:L,Roster!N:N,XLOOKUP(D829,TicketsBreak!A:A,TicketsBreak!E:E,"",0),0)</f>
        <v>0.3854166667</v>
      </c>
      <c r="I829" s="316">
        <f t="array" ref="I829">XLOOKUP(B829,Roster!L:L,Roster!O:O,XLOOKUP(D829,TicketsBreak!A:A,TicketsBreak!F:F,"",0),0)</f>
        <v>0.5</v>
      </c>
      <c r="J829" s="316">
        <f t="array" ref="J829">XLOOKUP(B829,Roster!L:L,Roster!P:P,XLOOKUP(D829,TicketsBreak!A:A,TicketsBreak!G:G,"",0),0)</f>
        <v>0.6041666667</v>
      </c>
      <c r="K829" s="310">
        <f t="shared" si="4"/>
        <v>46119</v>
      </c>
      <c r="L829" s="317">
        <f t="array" ref="L829">(XLOOKUP(D829,Roster!F:F,Roster!D:D,"",0))</f>
        <v>21</v>
      </c>
      <c r="M829" s="317" t="str">
        <f t="array" ref="M829">XLOOKUP(D829,Roster!F:F,Roster!E:E)</f>
        <v>Tickets</v>
      </c>
      <c r="N829" s="317" t="str">
        <f t="shared" ref="N829:P829" si="844">LEFT(H829,5)</f>
        <v>09:15</v>
      </c>
      <c r="O829" s="317" t="str">
        <f t="shared" si="844"/>
        <v>12:00</v>
      </c>
      <c r="P829" s="317" t="str">
        <f t="shared" si="844"/>
        <v>14:30</v>
      </c>
      <c r="Q829" s="318">
        <f t="shared" si="806"/>
        <v>46119.38542</v>
      </c>
      <c r="R829" s="318">
        <f t="shared" si="807"/>
        <v>46119.5</v>
      </c>
      <c r="S829" s="318">
        <f t="shared" si="8"/>
        <v>46119.60417</v>
      </c>
    </row>
    <row r="830">
      <c r="A830" s="14" t="str">
        <f t="shared" si="1"/>
        <v>C155246119</v>
      </c>
      <c r="B830" s="185">
        <f t="array" ref="B830">IF(F830="VL","",IF(F830="Free","Free",XLOOKUP(D830,Roster!T:T,Roster!S:S,"",0)))</f>
        <v>125</v>
      </c>
      <c r="C830" s="313">
        <v>46119.0</v>
      </c>
      <c r="D830" s="314" t="s">
        <v>81</v>
      </c>
      <c r="E830" s="307" t="str">
        <f t="array" ref="E830">(XLOOKUP(D830,Roster!F:F,Roster!B:B,"",0))</f>
        <v>Wendy Machado</v>
      </c>
      <c r="F830" s="315" t="str">
        <f t="array" ref="F830">IF(B830=100,"Free",TEXT(XLOOKUP($D830,OperationVoice!$A:$A,OperationVoice!M:M,XLOOKUP($D830,OperationTickets!$A:$A,OperationTickets!M:M,"",0)),"hh:mm"))</f>
        <v>08:00</v>
      </c>
      <c r="G830" s="309">
        <f t="shared" si="3"/>
        <v>0.7083333333</v>
      </c>
      <c r="H830" s="316" t="str">
        <f t="array" ref="H830">XLOOKUP(B830,Roster!L:L,Roster!N:N,XLOOKUP(D830,TicketsBreak!A:A,TicketsBreak!E:E,"",0),0)</f>
        <v>10:30 - 10:45</v>
      </c>
      <c r="I830" s="316" t="str">
        <f t="array" ref="I830">XLOOKUP(B830,Roster!L:L,Roster!O:O,XLOOKUP(D830,TicketsBreak!A:A,TicketsBreak!F:F,"",0),0)</f>
        <v>13:30 - 14:00</v>
      </c>
      <c r="J830" s="316" t="str">
        <f t="array" ref="J830">XLOOKUP(B830,Roster!L:L,Roster!P:P,XLOOKUP(D830,TicketsBreak!A:A,TicketsBreak!G:G,"",0),0)</f>
        <v>15:45 - 16:00</v>
      </c>
      <c r="K830" s="310">
        <f t="shared" si="4"/>
        <v>46119</v>
      </c>
      <c r="L830" s="317">
        <f t="array" ref="L830">(XLOOKUP(D830,Roster!F:F,Roster!D:D,"",0))</f>
        <v>37</v>
      </c>
      <c r="M830" s="317" t="str">
        <f t="array" ref="M830">XLOOKUP(D830,Roster!F:F,Roster!E:E)</f>
        <v>Voice</v>
      </c>
      <c r="N830" s="317" t="str">
        <f t="shared" ref="N830:P830" si="845">LEFT(H830,5)</f>
        <v>10:30</v>
      </c>
      <c r="O830" s="317" t="str">
        <f t="shared" si="845"/>
        <v>13:30</v>
      </c>
      <c r="P830" s="317" t="str">
        <f t="shared" si="845"/>
        <v>15:45</v>
      </c>
      <c r="Q830" s="318">
        <f t="shared" si="806"/>
        <v>46119.4375</v>
      </c>
      <c r="R830" s="318">
        <f t="shared" si="807"/>
        <v>46119.5625</v>
      </c>
      <c r="S830" s="318">
        <f t="shared" si="8"/>
        <v>46119.65625</v>
      </c>
    </row>
    <row r="831">
      <c r="A831" s="14" t="str">
        <f t="shared" si="1"/>
        <v>C78646119</v>
      </c>
      <c r="B831" s="185" t="str">
        <f t="array" ref="B831">IF(F831="VL","",IF(F831="Free","Free",XLOOKUP(D831,Roster!T:T,Roster!S:S,"",0)))</f>
        <v/>
      </c>
      <c r="C831" s="313">
        <v>46119.0</v>
      </c>
      <c r="D831" s="314" t="s">
        <v>136</v>
      </c>
      <c r="E831" s="307" t="str">
        <f t="array" ref="E831">(XLOOKUP(D831,Roster!F:F,Roster!B:B,"",0))</f>
        <v>Wendy Navarro</v>
      </c>
      <c r="F831" s="315" t="str">
        <f t="array" ref="F831">IF(B831=100,"Free",TEXT(XLOOKUP($D831,OperationVoice!$A:$A,OperationVoice!M:M,XLOOKUP($D831,OperationTickets!$A:$A,OperationTickets!M:M,"",0)),"hh:mm"))</f>
        <v>08:00</v>
      </c>
      <c r="G831" s="309">
        <f t="shared" si="3"/>
        <v>0.7083333333</v>
      </c>
      <c r="H831" s="316">
        <f t="array" ref="H831">XLOOKUP(B831,Roster!L:L,Roster!N:N,XLOOKUP(D831,TicketsBreak!A:A,TicketsBreak!E:E,"",0),0)</f>
        <v>0.4166666667</v>
      </c>
      <c r="I831" s="316">
        <f t="array" ref="I831">XLOOKUP(B831,Roster!L:L,Roster!O:O,XLOOKUP(D831,TicketsBreak!A:A,TicketsBreak!F:F,"",0),0)</f>
        <v>0.5416666667</v>
      </c>
      <c r="J831" s="316">
        <f t="array" ref="J831">XLOOKUP(B831,Roster!L:L,Roster!P:P,XLOOKUP(D831,TicketsBreak!A:A,TicketsBreak!G:G,"",0),0)</f>
        <v>0.6458333333</v>
      </c>
      <c r="K831" s="310">
        <f t="shared" si="4"/>
        <v>46119</v>
      </c>
      <c r="L831" s="317">
        <f t="array" ref="L831">(XLOOKUP(D831,Roster!F:F,Roster!D:D,"",0))</f>
        <v>16</v>
      </c>
      <c r="M831" s="317" t="str">
        <f t="array" ref="M831">XLOOKUP(D831,Roster!F:F,Roster!E:E)</f>
        <v>Tickets</v>
      </c>
      <c r="N831" s="317" t="str">
        <f t="shared" ref="N831:P831" si="846">LEFT(H831,5)</f>
        <v>10:00</v>
      </c>
      <c r="O831" s="317" t="str">
        <f t="shared" si="846"/>
        <v>13:00</v>
      </c>
      <c r="P831" s="317" t="str">
        <f t="shared" si="846"/>
        <v>15:30</v>
      </c>
      <c r="Q831" s="318">
        <f t="shared" si="806"/>
        <v>46119.41667</v>
      </c>
      <c r="R831" s="318">
        <f t="shared" si="807"/>
        <v>46119.54167</v>
      </c>
      <c r="S831" s="318">
        <f t="shared" si="8"/>
        <v>46119.64583</v>
      </c>
    </row>
    <row r="832">
      <c r="A832" s="14" t="str">
        <f t="shared" si="1"/>
        <v>C153746119</v>
      </c>
      <c r="B832" s="185">
        <f t="array" ref="B832">IF(F832="VL","",IF(F832="Free","Free",XLOOKUP(D832,Roster!T:T,Roster!S:S,"",0)))</f>
        <v>135</v>
      </c>
      <c r="C832" s="313">
        <v>46119.0</v>
      </c>
      <c r="D832" s="314" t="s">
        <v>82</v>
      </c>
      <c r="E832" s="307" t="str">
        <f t="array" ref="E832">(XLOOKUP(D832,Roster!F:F,Roster!B:B,"",0))</f>
        <v>William Florez</v>
      </c>
      <c r="F832" s="315" t="str">
        <f t="array" ref="F832">IF(B832=100,"Free",TEXT(XLOOKUP($D832,OperationVoice!$A:$A,OperationVoice!M:M,XLOOKUP($D832,OperationTickets!$A:$A,OperationTickets!M:M,"",0)),"hh:mm"))</f>
        <v>09:00</v>
      </c>
      <c r="G832" s="309">
        <f t="shared" si="3"/>
        <v>0.75</v>
      </c>
      <c r="H832" s="316" t="str">
        <f t="array" ref="H832">XLOOKUP(B832,Roster!L:L,Roster!N:N,XLOOKUP(D832,TicketsBreak!A:A,TicketsBreak!E:E,"",0),0)</f>
        <v>11:15 - 11:30</v>
      </c>
      <c r="I832" s="316" t="str">
        <f t="array" ref="I832">XLOOKUP(B832,Roster!L:L,Roster!O:O,XLOOKUP(D832,TicketsBreak!A:A,TicketsBreak!F:F,"",0),0)</f>
        <v>14:15 - 14:45</v>
      </c>
      <c r="J832" s="316" t="str">
        <f t="array" ref="J832">XLOOKUP(B832,Roster!L:L,Roster!P:P,XLOOKUP(D832,TicketsBreak!A:A,TicketsBreak!G:G,"",0),0)</f>
        <v>16:15 - 16:30</v>
      </c>
      <c r="K832" s="310">
        <f t="shared" si="4"/>
        <v>46119</v>
      </c>
      <c r="L832" s="317">
        <f t="array" ref="L832">(XLOOKUP(D832,Roster!F:F,Roster!D:D,"",0))</f>
        <v>36</v>
      </c>
      <c r="M832" s="317" t="str">
        <f t="array" ref="M832">XLOOKUP(D832,Roster!F:F,Roster!E:E)</f>
        <v>Voice</v>
      </c>
      <c r="N832" s="317" t="str">
        <f t="shared" ref="N832:P832" si="847">LEFT(H832,5)</f>
        <v>11:15</v>
      </c>
      <c r="O832" s="317" t="str">
        <f t="shared" si="847"/>
        <v>14:15</v>
      </c>
      <c r="P832" s="317" t="str">
        <f t="shared" si="847"/>
        <v>16:15</v>
      </c>
      <c r="Q832" s="318">
        <f t="shared" si="806"/>
        <v>46119.46875</v>
      </c>
      <c r="R832" s="318">
        <f t="shared" si="807"/>
        <v>46119.59375</v>
      </c>
      <c r="S832" s="318">
        <f t="shared" si="8"/>
        <v>46119.67708</v>
      </c>
    </row>
    <row r="833">
      <c r="A833" s="14" t="str">
        <f t="shared" si="1"/>
        <v>C135346119</v>
      </c>
      <c r="B833" s="185">
        <f t="array" ref="B833">IF(F833="VL","",IF(F833="Free","Free",XLOOKUP(D833,Roster!T:T,Roster!S:S,"",0)))</f>
        <v>121</v>
      </c>
      <c r="C833" s="313">
        <v>46119.0</v>
      </c>
      <c r="D833" s="314" t="s">
        <v>83</v>
      </c>
      <c r="E833" s="307" t="str">
        <f t="array" ref="E833">(XLOOKUP(D833,Roster!F:F,Roster!B:B,"",0))</f>
        <v>Wilson Martinez</v>
      </c>
      <c r="F833" s="315" t="str">
        <f t="array" ref="F833">IF(B833=100,"Free",TEXT(XLOOKUP($D833,OperationVoice!$A:$A,OperationVoice!M:M,XLOOKUP($D833,OperationTickets!$A:$A,OperationTickets!M:M,"",0)),"hh:mm"))</f>
        <v>08:00</v>
      </c>
      <c r="G833" s="309">
        <f t="shared" si="3"/>
        <v>0.7083333333</v>
      </c>
      <c r="H833" s="316" t="str">
        <f t="array" ref="H833">XLOOKUP(B833,Roster!L:L,Roster!N:N,XLOOKUP(D833,TicketsBreak!A:A,TicketsBreak!E:E,"",0),0)</f>
        <v>09:15 - 09:30</v>
      </c>
      <c r="I833" s="316" t="str">
        <f t="array" ref="I833">XLOOKUP(B833,Roster!L:L,Roster!O:O,XLOOKUP(D833,TicketsBreak!A:A,TicketsBreak!F:F,"",0),0)</f>
        <v>11:30 - 12:00</v>
      </c>
      <c r="J833" s="316" t="str">
        <f t="array" ref="J833">XLOOKUP(B833,Roster!L:L,Roster!P:P,XLOOKUP(D833,TicketsBreak!A:A,TicketsBreak!G:G,"",0),0)</f>
        <v>14:30 - 14:45</v>
      </c>
      <c r="K833" s="310">
        <f t="shared" si="4"/>
        <v>46119</v>
      </c>
      <c r="L833" s="317">
        <f t="array" ref="L833">(XLOOKUP(D833,Roster!F:F,Roster!D:D,"",0))</f>
        <v>30</v>
      </c>
      <c r="M833" s="317" t="str">
        <f t="array" ref="M833">XLOOKUP(D833,Roster!F:F,Roster!E:E)</f>
        <v>Voice</v>
      </c>
      <c r="N833" s="317" t="str">
        <f t="shared" ref="N833:P833" si="848">LEFT(H833,5)</f>
        <v>09:15</v>
      </c>
      <c r="O833" s="317" t="str">
        <f t="shared" si="848"/>
        <v>11:30</v>
      </c>
      <c r="P833" s="317" t="str">
        <f t="shared" si="848"/>
        <v>14:30</v>
      </c>
      <c r="Q833" s="318">
        <f t="shared" si="806"/>
        <v>46119.38542</v>
      </c>
      <c r="R833" s="318">
        <f t="shared" si="807"/>
        <v>46119.47917</v>
      </c>
      <c r="S833" s="318">
        <f t="shared" si="8"/>
        <v>46119.60417</v>
      </c>
    </row>
    <row r="834">
      <c r="A834" s="14" t="str">
        <f t="shared" si="1"/>
        <v>C117346119</v>
      </c>
      <c r="B834" s="185">
        <f t="array" ref="B834">IF(F834="VL","",IF(F834="Free","Free",XLOOKUP(D834,Roster!T:T,Roster!S:S,"",0)))</f>
        <v>122</v>
      </c>
      <c r="C834" s="313">
        <v>46119.0</v>
      </c>
      <c r="D834" s="314" t="s">
        <v>84</v>
      </c>
      <c r="E834" s="307" t="str">
        <f t="array" ref="E834">(XLOOKUP(D834,Roster!F:F,Roster!B:B,"",0))</f>
        <v>Yaidy Mosquera</v>
      </c>
      <c r="F834" s="315" t="str">
        <f t="array" ref="F834">IF(B834=100,"Free",TEXT(XLOOKUP($D834,OperationVoice!$A:$A,OperationVoice!M:M,XLOOKUP($D834,OperationTickets!$A:$A,OperationTickets!M:M,"",0)),"hh:mm"))</f>
        <v>08:00</v>
      </c>
      <c r="G834" s="309">
        <f t="shared" si="3"/>
        <v>0.7083333333</v>
      </c>
      <c r="H834" s="316" t="str">
        <f t="array" ref="H834">XLOOKUP(B834,Roster!L:L,Roster!N:N,XLOOKUP(D834,TicketsBreak!A:A,TicketsBreak!E:E,"",0),0)</f>
        <v>09:30 - 09:45</v>
      </c>
      <c r="I834" s="316" t="str">
        <f t="array" ref="I834">XLOOKUP(B834,Roster!L:L,Roster!O:O,XLOOKUP(D834,TicketsBreak!A:A,TicketsBreak!F:F,"",0),0)</f>
        <v>12:00 - 12:30</v>
      </c>
      <c r="J834" s="316" t="str">
        <f t="array" ref="J834">XLOOKUP(B834,Roster!L:L,Roster!P:P,XLOOKUP(D834,TicketsBreak!A:A,TicketsBreak!G:G,"",0),0)</f>
        <v>14:45 - 15:00</v>
      </c>
      <c r="K834" s="310">
        <f t="shared" si="4"/>
        <v>46119</v>
      </c>
      <c r="L834" s="317">
        <f t="array" ref="L834">(XLOOKUP(D834,Roster!F:F,Roster!D:D,"",0))</f>
        <v>24</v>
      </c>
      <c r="M834" s="317" t="str">
        <f t="array" ref="M834">XLOOKUP(D834,Roster!F:F,Roster!E:E)</f>
        <v>Voice</v>
      </c>
      <c r="N834" s="317" t="str">
        <f t="shared" ref="N834:P834" si="849">LEFT(H834,5)</f>
        <v>09:30</v>
      </c>
      <c r="O834" s="317" t="str">
        <f t="shared" si="849"/>
        <v>12:00</v>
      </c>
      <c r="P834" s="317" t="str">
        <f t="shared" si="849"/>
        <v>14:45</v>
      </c>
      <c r="Q834" s="318">
        <f t="shared" si="806"/>
        <v>46119.39583</v>
      </c>
      <c r="R834" s="318">
        <f t="shared" si="807"/>
        <v>46119.5</v>
      </c>
      <c r="S834" s="318">
        <f t="shared" si="8"/>
        <v>46119.61458</v>
      </c>
    </row>
    <row r="835">
      <c r="A835" s="14" t="str">
        <f t="shared" si="1"/>
        <v>C110846119</v>
      </c>
      <c r="B835" s="185" t="str">
        <f t="array" ref="B835">IF(F835="VL","",IF(F835="Free","Free",XLOOKUP(D835,Roster!T:T,Roster!S:S,"",0)))</f>
        <v/>
      </c>
      <c r="C835" s="313">
        <v>46119.0</v>
      </c>
      <c r="D835" s="314" t="s">
        <v>187</v>
      </c>
      <c r="E835" s="307" t="str">
        <f t="array" ref="E835">(XLOOKUP(D835,Roster!F:F,Roster!B:B,"",0))</f>
        <v>Yeiner Tapias</v>
      </c>
      <c r="F835" s="315" t="str">
        <f t="array" ref="F835">IF(B835=100,"Free",TEXT(XLOOKUP($D835,OperationVoice!$A:$A,OperationVoice!M:M,XLOOKUP($D835,OperationTickets!$A:$A,OperationTickets!M:M,"",0)),"hh:mm"))</f>
        <v>08:00</v>
      </c>
      <c r="G835" s="309">
        <f t="shared" si="3"/>
        <v>0.7083333333</v>
      </c>
      <c r="H835" s="316">
        <f t="array" ref="H835">XLOOKUP(B835,Roster!L:L,Roster!N:N,XLOOKUP(D835,TicketsBreak!A:A,TicketsBreak!E:E,"",0),0)</f>
        <v>0.3958333333</v>
      </c>
      <c r="I835" s="316">
        <f t="array" ref="I835">XLOOKUP(B835,Roster!L:L,Roster!O:O,XLOOKUP(D835,TicketsBreak!A:A,TicketsBreak!F:F,"",0),0)</f>
        <v>0.5208333333</v>
      </c>
      <c r="J835" s="316">
        <f t="array" ref="J835">XLOOKUP(B835,Roster!L:L,Roster!P:P,XLOOKUP(D835,TicketsBreak!A:A,TicketsBreak!G:G,"",0),0)</f>
        <v>0.6145833333</v>
      </c>
      <c r="K835" s="310">
        <f t="shared" si="4"/>
        <v>46119</v>
      </c>
      <c r="L835" s="317">
        <f t="array" ref="L835">(XLOOKUP(D835,Roster!F:F,Roster!D:D,"",0))</f>
        <v>20</v>
      </c>
      <c r="M835" s="317" t="str">
        <f t="array" ref="M835">XLOOKUP(D835,Roster!F:F,Roster!E:E)</f>
        <v>Tickets</v>
      </c>
      <c r="N835" s="317" t="str">
        <f t="shared" ref="N835:P835" si="850">LEFT(H835,5)</f>
        <v>09:30</v>
      </c>
      <c r="O835" s="317" t="str">
        <f t="shared" si="850"/>
        <v>12:30</v>
      </c>
      <c r="P835" s="317" t="str">
        <f t="shared" si="850"/>
        <v>14:45</v>
      </c>
      <c r="Q835" s="318">
        <f t="shared" si="806"/>
        <v>46119.39583</v>
      </c>
      <c r="R835" s="318">
        <f t="shared" si="807"/>
        <v>46119.52083</v>
      </c>
      <c r="S835" s="318">
        <f t="shared" si="8"/>
        <v>46119.61458</v>
      </c>
    </row>
    <row r="836">
      <c r="A836" s="14" t="str">
        <f t="shared" si="1"/>
        <v>C153946119</v>
      </c>
      <c r="B836" s="185">
        <f t="array" ref="B836">IF(F836="VL","",IF(F836="Free","Free",XLOOKUP(D836,Roster!T:T,Roster!S:S,"",0)))</f>
        <v>123</v>
      </c>
      <c r="C836" s="313">
        <v>46119.0</v>
      </c>
      <c r="D836" s="314" t="s">
        <v>85</v>
      </c>
      <c r="E836" s="307" t="str">
        <f t="array" ref="E836">(XLOOKUP(D836,Roster!F:F,Roster!B:B,"",0))</f>
        <v>Yovanny Ceballos</v>
      </c>
      <c r="F836" s="315" t="str">
        <f t="array" ref="F836">IF(B836=100,"Free",TEXT(XLOOKUP($D836,OperationVoice!$A:$A,OperationVoice!M:M,XLOOKUP($D836,OperationTickets!$A:$A,OperationTickets!M:M,"",0)),"hh:mm"))</f>
        <v/>
      </c>
      <c r="G836" s="309" t="str">
        <f t="shared" si="3"/>
        <v/>
      </c>
      <c r="H836" s="316" t="str">
        <f t="array" ref="H836">XLOOKUP(B836,Roster!L:L,Roster!N:N,XLOOKUP(D836,TicketsBreak!A:A,TicketsBreak!E:E,"",0),0)</f>
        <v>09:45 - 10:00 </v>
      </c>
      <c r="I836" s="316" t="str">
        <f t="array" ref="I836">XLOOKUP(B836,Roster!L:L,Roster!O:O,XLOOKUP(D836,TicketsBreak!A:A,TicketsBreak!F:F,"",0),0)</f>
        <v>12:30 - 13:00</v>
      </c>
      <c r="J836" s="316" t="str">
        <f t="array" ref="J836">XLOOKUP(B836,Roster!L:L,Roster!P:P,XLOOKUP(D836,TicketsBreak!A:A,TicketsBreak!G:G,"",0),0)</f>
        <v>15:00 - 15:15</v>
      </c>
      <c r="K836" s="310">
        <f t="shared" si="4"/>
        <v>46119</v>
      </c>
      <c r="L836" s="317">
        <f t="array" ref="L836">(XLOOKUP(D836,Roster!F:F,Roster!D:D,"",0))</f>
        <v>36</v>
      </c>
      <c r="M836" s="317" t="str">
        <f t="array" ref="M836">XLOOKUP(D836,Roster!F:F,Roster!E:E)</f>
        <v>Voice</v>
      </c>
      <c r="N836" s="317" t="str">
        <f t="shared" ref="N836:P836" si="851">LEFT(H836,5)</f>
        <v>09:45</v>
      </c>
      <c r="O836" s="317" t="str">
        <f t="shared" si="851"/>
        <v>12:30</v>
      </c>
      <c r="P836" s="317" t="str">
        <f t="shared" si="851"/>
        <v>15:00</v>
      </c>
      <c r="Q836" s="318">
        <f t="shared" si="806"/>
        <v>46119.40625</v>
      </c>
      <c r="R836" s="318">
        <f t="shared" si="807"/>
        <v>46119.52083</v>
      </c>
      <c r="S836" s="318">
        <f t="shared" si="8"/>
        <v>46119.625</v>
      </c>
    </row>
    <row r="837">
      <c r="A837" s="14" t="str">
        <f t="shared" si="1"/>
        <v>46119</v>
      </c>
      <c r="B837" s="185" t="str">
        <f t="array" ref="B837">IF(F837="VL","",IF(F837="Free","Free",XLOOKUP(D837,Roster!T:T,Roster!S:S,"",0)))</f>
        <v/>
      </c>
      <c r="C837" s="313">
        <v>46119.0</v>
      </c>
      <c r="D837" s="314"/>
      <c r="E837" s="307" t="str">
        <f t="array" ref="E837">(XLOOKUP(D837,Roster!F:F,Roster!B:B,"",0))</f>
        <v/>
      </c>
      <c r="F837" s="315" t="str">
        <f t="array" ref="F837">IF(B837=100,"Free",TEXT(XLOOKUP($D837,OperationVoice!$A:$A,OperationVoice!M:M,XLOOKUP($D837,OperationTickets!$A:$A,OperationTickets!M:M,"",0)),"hh:mm"))</f>
        <v/>
      </c>
      <c r="G837" s="309" t="str">
        <f t="shared" si="3"/>
        <v/>
      </c>
      <c r="H837" s="316" t="str">
        <f t="array" ref="H837">XLOOKUP(B837,Roster!L:L,Roster!N:N,XLOOKUP(D837,TicketsBreak!A:A,TicketsBreak!E:E,"",0),0)</f>
        <v/>
      </c>
      <c r="I837" s="316" t="str">
        <f t="array" ref="I837">XLOOKUP(B837,Roster!L:L,Roster!O:O,XLOOKUP(D837,TicketsBreak!A:A,TicketsBreak!F:F,"",0),0)</f>
        <v/>
      </c>
      <c r="J837" s="316" t="str">
        <f t="array" ref="J837">XLOOKUP(B837,Roster!L:L,Roster!P:P,XLOOKUP(D837,TicketsBreak!A:A,TicketsBreak!G:G,"",0),0)</f>
        <v/>
      </c>
      <c r="K837" s="310">
        <f t="shared" si="4"/>
        <v>46119</v>
      </c>
      <c r="L837" s="317" t="str">
        <f t="array" ref="L837">(XLOOKUP(D837,Roster!F:F,Roster!D:D,"",0))</f>
        <v/>
      </c>
      <c r="M837" s="317" t="str">
        <f t="array" ref="M837">XLOOKUP(D837,Roster!F:F,Roster!E:E)</f>
        <v>#N/A</v>
      </c>
      <c r="N837" s="317" t="str">
        <f t="shared" ref="N837:P837" si="852">LEFT(H837,5)</f>
        <v/>
      </c>
      <c r="O837" s="317" t="str">
        <f t="shared" si="852"/>
        <v/>
      </c>
      <c r="P837" s="317" t="str">
        <f t="shared" si="852"/>
        <v/>
      </c>
      <c r="Q837" s="318" t="str">
        <f t="shared" si="806"/>
        <v/>
      </c>
      <c r="R837" s="318" t="str">
        <f t="shared" si="807"/>
        <v/>
      </c>
      <c r="S837" s="318" t="str">
        <f t="shared" si="8"/>
        <v/>
      </c>
    </row>
    <row r="838">
      <c r="A838" s="14" t="str">
        <f t="shared" si="1"/>
        <v>46119</v>
      </c>
      <c r="B838" s="185" t="str">
        <f t="array" ref="B838">IF(F838="VL","",IF(F838="Free","Free",XLOOKUP(D838,Roster!T:T,Roster!S:S,"",0)))</f>
        <v/>
      </c>
      <c r="C838" s="313">
        <v>46119.0</v>
      </c>
      <c r="D838" s="314"/>
      <c r="E838" s="307" t="str">
        <f t="array" ref="E838">(XLOOKUP(D838,Roster!F:F,Roster!B:B,"",0))</f>
        <v/>
      </c>
      <c r="F838" s="315" t="str">
        <f t="array" ref="F838">IF(B838=100,"Free",TEXT(XLOOKUP($D838,OperationVoice!$A:$A,OperationVoice!M:M,XLOOKUP($D838,OperationTickets!$A:$A,OperationTickets!M:M,"",0)),"hh:mm"))</f>
        <v/>
      </c>
      <c r="G838" s="309" t="str">
        <f t="shared" si="3"/>
        <v/>
      </c>
      <c r="H838" s="316" t="str">
        <f t="array" ref="H838">XLOOKUP(B838,Roster!L:L,Roster!N:N,XLOOKUP(D838,TicketsBreak!A:A,TicketsBreak!E:E,"",0),0)</f>
        <v/>
      </c>
      <c r="I838" s="316" t="str">
        <f t="array" ref="I838">XLOOKUP(B838,Roster!L:L,Roster!O:O,XLOOKUP(D838,TicketsBreak!A:A,TicketsBreak!F:F,"",0),0)</f>
        <v/>
      </c>
      <c r="J838" s="316" t="str">
        <f t="array" ref="J838">XLOOKUP(B838,Roster!L:L,Roster!P:P,XLOOKUP(D838,TicketsBreak!A:A,TicketsBreak!G:G,"",0),0)</f>
        <v/>
      </c>
      <c r="K838" s="310">
        <f t="shared" si="4"/>
        <v>46119</v>
      </c>
      <c r="L838" s="317" t="str">
        <f t="array" ref="L838">(XLOOKUP(D838,Roster!F:F,Roster!D:D,"",0))</f>
        <v/>
      </c>
      <c r="M838" s="317" t="str">
        <f t="array" ref="M838">XLOOKUP(D838,Roster!F:F,Roster!E:E)</f>
        <v>#N/A</v>
      </c>
      <c r="N838" s="317" t="str">
        <f t="shared" ref="N838:P838" si="853">LEFT(H838,5)</f>
        <v/>
      </c>
      <c r="O838" s="317" t="str">
        <f t="shared" si="853"/>
        <v/>
      </c>
      <c r="P838" s="317" t="str">
        <f t="shared" si="853"/>
        <v/>
      </c>
      <c r="Q838" s="318" t="str">
        <f t="shared" si="806"/>
        <v/>
      </c>
      <c r="R838" s="318" t="str">
        <f t="shared" si="807"/>
        <v/>
      </c>
      <c r="S838" s="318" t="str">
        <f t="shared" si="8"/>
        <v/>
      </c>
    </row>
    <row r="839">
      <c r="A839" s="14" t="str">
        <f t="shared" si="1"/>
        <v>46119</v>
      </c>
      <c r="B839" s="185" t="str">
        <f t="array" ref="B839">IF(F839="VL","",IF(F839="Free","Free",XLOOKUP(D839,Roster!T:T,Roster!S:S,"",0)))</f>
        <v/>
      </c>
      <c r="C839" s="313">
        <v>46119.0</v>
      </c>
      <c r="D839" s="314"/>
      <c r="E839" s="307" t="str">
        <f t="array" ref="E839">(XLOOKUP(D839,Roster!F:F,Roster!B:B,"",0))</f>
        <v/>
      </c>
      <c r="F839" s="315" t="str">
        <f t="array" ref="F839">IF(B839=100,"Free",TEXT(XLOOKUP($D839,OperationVoice!$A:$A,OperationVoice!M:M,XLOOKUP($D839,OperationTickets!$A:$A,OperationTickets!M:M,"",0)),"hh:mm"))</f>
        <v/>
      </c>
      <c r="G839" s="309" t="str">
        <f t="shared" si="3"/>
        <v/>
      </c>
      <c r="H839" s="316" t="str">
        <f t="array" ref="H839">XLOOKUP(B839,Roster!L:L,Roster!N:N,XLOOKUP(D839,TicketsBreak!A:A,TicketsBreak!E:E,"",0),0)</f>
        <v/>
      </c>
      <c r="I839" s="316" t="str">
        <f t="array" ref="I839">XLOOKUP(B839,Roster!L:L,Roster!O:O,XLOOKUP(D839,TicketsBreak!A:A,TicketsBreak!F:F,"",0),0)</f>
        <v/>
      </c>
      <c r="J839" s="316" t="str">
        <f t="array" ref="J839">XLOOKUP(B839,Roster!L:L,Roster!P:P,XLOOKUP(D839,TicketsBreak!A:A,TicketsBreak!G:G,"",0),0)</f>
        <v/>
      </c>
      <c r="K839" s="310">
        <f t="shared" si="4"/>
        <v>46119</v>
      </c>
      <c r="L839" s="317" t="str">
        <f t="array" ref="L839">(XLOOKUP(D839,Roster!F:F,Roster!D:D,"",0))</f>
        <v/>
      </c>
      <c r="M839" s="317" t="str">
        <f t="array" ref="M839">XLOOKUP(D839,Roster!F:F,Roster!E:E)</f>
        <v>#N/A</v>
      </c>
      <c r="N839" s="317" t="str">
        <f t="shared" ref="N839:P839" si="854">LEFT(H839,5)</f>
        <v/>
      </c>
      <c r="O839" s="317" t="str">
        <f t="shared" si="854"/>
        <v/>
      </c>
      <c r="P839" s="317" t="str">
        <f t="shared" si="854"/>
        <v/>
      </c>
      <c r="Q839" s="318" t="str">
        <f t="shared" si="806"/>
        <v/>
      </c>
      <c r="R839" s="318" t="str">
        <f t="shared" si="807"/>
        <v/>
      </c>
      <c r="S839" s="318" t="str">
        <f t="shared" si="8"/>
        <v/>
      </c>
    </row>
    <row r="840">
      <c r="A840" s="14" t="str">
        <f t="shared" si="1"/>
        <v>46119</v>
      </c>
      <c r="B840" s="185" t="str">
        <f t="array" ref="B840">IF(F840="VL","",IF(F840="Free","Free",XLOOKUP(D840,Roster!T:T,Roster!S:S,"",0)))</f>
        <v/>
      </c>
      <c r="C840" s="313">
        <v>46119.0</v>
      </c>
      <c r="D840" s="314"/>
      <c r="E840" s="307" t="str">
        <f t="array" ref="E840">(XLOOKUP(D840,Roster!F:F,Roster!B:B,"",0))</f>
        <v/>
      </c>
      <c r="F840" s="315" t="str">
        <f t="array" ref="F840">IF(B840=100,"Free",TEXT(XLOOKUP($D840,OperationVoice!$A:$A,OperationVoice!M:M,XLOOKUP($D840,OperationTickets!$A:$A,OperationTickets!M:M,"",0)),"hh:mm"))</f>
        <v/>
      </c>
      <c r="G840" s="309" t="str">
        <f t="shared" si="3"/>
        <v/>
      </c>
      <c r="H840" s="316" t="str">
        <f t="array" ref="H840">XLOOKUP(B840,Roster!L:L,Roster!N:N,XLOOKUP(D840,TicketsBreak!A:A,TicketsBreak!E:E,"",0),0)</f>
        <v/>
      </c>
      <c r="I840" s="316" t="str">
        <f t="array" ref="I840">XLOOKUP(B840,Roster!L:L,Roster!O:O,XLOOKUP(D840,TicketsBreak!A:A,TicketsBreak!F:F,"",0),0)</f>
        <v/>
      </c>
      <c r="J840" s="316" t="str">
        <f t="array" ref="J840">XLOOKUP(B840,Roster!L:L,Roster!P:P,XLOOKUP(D840,TicketsBreak!A:A,TicketsBreak!G:G,"",0),0)</f>
        <v/>
      </c>
      <c r="K840" s="310">
        <f t="shared" si="4"/>
        <v>46119</v>
      </c>
      <c r="L840" s="317" t="str">
        <f t="array" ref="L840">(XLOOKUP(D840,Roster!F:F,Roster!D:D,"",0))</f>
        <v/>
      </c>
      <c r="M840" s="317" t="str">
        <f t="array" ref="M840">XLOOKUP(D840,Roster!F:F,Roster!E:E)</f>
        <v>#N/A</v>
      </c>
      <c r="N840" s="317" t="str">
        <f t="shared" ref="N840:P840" si="855">LEFT(H840,5)</f>
        <v/>
      </c>
      <c r="O840" s="317" t="str">
        <f t="shared" si="855"/>
        <v/>
      </c>
      <c r="P840" s="317" t="str">
        <f t="shared" si="855"/>
        <v/>
      </c>
      <c r="Q840" s="318" t="str">
        <f t="shared" si="806"/>
        <v/>
      </c>
      <c r="R840" s="318" t="str">
        <f t="shared" si="807"/>
        <v/>
      </c>
      <c r="S840" s="318" t="str">
        <f t="shared" si="8"/>
        <v/>
      </c>
    </row>
    <row r="841">
      <c r="A841" s="14" t="str">
        <f t="shared" si="1"/>
        <v>46119</v>
      </c>
      <c r="B841" s="185" t="str">
        <f t="array" ref="B841">IF(F841="VL","",IF(F841="Free","Free",XLOOKUP(D841,Roster!T:T,Roster!S:S,"",0)))</f>
        <v/>
      </c>
      <c r="C841" s="313">
        <v>46119.0</v>
      </c>
      <c r="D841" s="314"/>
      <c r="E841" s="307" t="str">
        <f t="array" ref="E841">(XLOOKUP(D841,Roster!F:F,Roster!B:B,"",0))</f>
        <v/>
      </c>
      <c r="F841" s="315" t="str">
        <f t="array" ref="F841">IF(B841=100,"Free",TEXT(XLOOKUP($D841,OperationVoice!$A:$A,OperationVoice!M:M,XLOOKUP($D841,OperationTickets!$A:$A,OperationTickets!M:M,"",0)),"hh:mm"))</f>
        <v/>
      </c>
      <c r="G841" s="309" t="str">
        <f t="shared" si="3"/>
        <v/>
      </c>
      <c r="H841" s="316" t="str">
        <f t="array" ref="H841">XLOOKUP(B841,Roster!L:L,Roster!N:N,XLOOKUP(D841,TicketsBreak!A:A,TicketsBreak!E:E,"",0),0)</f>
        <v/>
      </c>
      <c r="I841" s="316" t="str">
        <f t="array" ref="I841">XLOOKUP(B841,Roster!L:L,Roster!O:O,XLOOKUP(D841,TicketsBreak!A:A,TicketsBreak!F:F,"",0),0)</f>
        <v/>
      </c>
      <c r="J841" s="316" t="str">
        <f t="array" ref="J841">XLOOKUP(B841,Roster!L:L,Roster!P:P,XLOOKUP(D841,TicketsBreak!A:A,TicketsBreak!G:G,"",0),0)</f>
        <v/>
      </c>
      <c r="K841" s="310">
        <f t="shared" si="4"/>
        <v>46119</v>
      </c>
      <c r="L841" s="317" t="str">
        <f t="array" ref="L841">(XLOOKUP(D841,Roster!F:F,Roster!D:D,"",0))</f>
        <v/>
      </c>
      <c r="M841" s="317" t="str">
        <f t="array" ref="M841">XLOOKUP(D841,Roster!F:F,Roster!E:E)</f>
        <v>#N/A</v>
      </c>
      <c r="N841" s="317" t="str">
        <f t="shared" ref="N841:P841" si="856">LEFT(H841,5)</f>
        <v/>
      </c>
      <c r="O841" s="317" t="str">
        <f t="shared" si="856"/>
        <v/>
      </c>
      <c r="P841" s="317" t="str">
        <f t="shared" si="856"/>
        <v/>
      </c>
      <c r="Q841" s="318" t="str">
        <f t="shared" si="806"/>
        <v/>
      </c>
      <c r="R841" s="318" t="str">
        <f t="shared" si="807"/>
        <v/>
      </c>
      <c r="S841" s="318" t="str">
        <f t="shared" si="8"/>
        <v/>
      </c>
    </row>
    <row r="842">
      <c r="A842" s="14" t="str">
        <f t="shared" si="1"/>
        <v>C81846120</v>
      </c>
      <c r="B842" s="185">
        <f t="array" ref="B842">IF(F842="VL","",IF(F842="Free","Free",XLOOKUP(D842,Roster!T:T,Roster!S:S,"",0)))</f>
        <v>123</v>
      </c>
      <c r="C842" s="313">
        <v>46120.0</v>
      </c>
      <c r="D842" s="314" t="s">
        <v>9</v>
      </c>
      <c r="E842" s="307" t="str">
        <f t="array" ref="E842">(XLOOKUP(D842,Roster!F:F,Roster!B:B,"",0))</f>
        <v>Adriana Moncaleano</v>
      </c>
      <c r="F842" s="315" t="str">
        <f t="array" ref="F842">IF(B842=100,"Free",TEXT(XLOOKUP($D842,OperationVoice!$A:$A,OperationVoice!N:N,XLOOKUP($D842,OperationTickets!$A:$A,OperationTickets!N:N,"",0)),"hh:mm"))</f>
        <v>08:00</v>
      </c>
      <c r="G842" s="309">
        <f t="shared" si="3"/>
        <v>0.7083333333</v>
      </c>
      <c r="H842" s="316" t="str">
        <f t="array" ref="H842">XLOOKUP(B842,Roster!L:L,Roster!N:N,XLOOKUP(D842,TicketsBreak!A:A,TicketsBreak!E:E,"",0),0)</f>
        <v>09:45 - 10:00 </v>
      </c>
      <c r="I842" s="316" t="str">
        <f t="array" ref="I842">XLOOKUP(B842,Roster!L:L,Roster!O:O,XLOOKUP(D842,TicketsBreak!A:A,TicketsBreak!F:F,"",0),0)</f>
        <v>12:30 - 13:00</v>
      </c>
      <c r="J842" s="316" t="str">
        <f t="array" ref="J842">XLOOKUP(B842,Roster!L:L,Roster!P:P,XLOOKUP(D842,TicketsBreak!A:A,TicketsBreak!G:G,"",0),0)</f>
        <v>15:00 - 15:15</v>
      </c>
      <c r="K842" s="310">
        <f t="shared" si="4"/>
        <v>46120</v>
      </c>
      <c r="L842" s="317">
        <f t="array" ref="L842">(XLOOKUP(D842,Roster!F:F,Roster!D:D,"",0))</f>
        <v>23</v>
      </c>
      <c r="M842" s="317" t="str">
        <f t="array" ref="M842">XLOOKUP(D842,Roster!F:F,Roster!E:E)</f>
        <v>Voice</v>
      </c>
      <c r="N842" s="317" t="str">
        <f t="shared" ref="N842:P842" si="857">LEFT(H842,5)</f>
        <v>09:45</v>
      </c>
      <c r="O842" s="317" t="str">
        <f t="shared" si="857"/>
        <v>12:30</v>
      </c>
      <c r="P842" s="317" t="str">
        <f t="shared" si="857"/>
        <v>15:00</v>
      </c>
      <c r="Q842" s="318">
        <f t="shared" si="806"/>
        <v>46120.40625</v>
      </c>
      <c r="R842" s="318">
        <f t="shared" si="807"/>
        <v>46120.52083</v>
      </c>
      <c r="S842" s="318">
        <f t="shared" si="8"/>
        <v>46120.625</v>
      </c>
    </row>
    <row r="843">
      <c r="A843" s="14" t="str">
        <f t="shared" si="1"/>
        <v>C110746120</v>
      </c>
      <c r="B843" s="185" t="str">
        <f t="array" ref="B843">IF(F843="VL","",IF(F843="Free","Free",XLOOKUP(D843,Roster!T:T,Roster!S:S,"",0)))</f>
        <v>Free</v>
      </c>
      <c r="C843" s="313">
        <v>46120.0</v>
      </c>
      <c r="D843" s="314" t="s">
        <v>10</v>
      </c>
      <c r="E843" s="307" t="str">
        <f t="array" ref="E843">(XLOOKUP(D843,Roster!F:F,Roster!B:B,"",0))</f>
        <v>Alejandro Malave</v>
      </c>
      <c r="F843" s="315" t="str">
        <f t="array" ref="F843">IF(B843=100,"Free",TEXT(XLOOKUP($D843,OperationVoice!$A:$A,OperationVoice!N:N,XLOOKUP($D843,OperationTickets!$A:$A,OperationTickets!N:N,"",0)),"hh:mm"))</f>
        <v>Free</v>
      </c>
      <c r="G843" s="309" t="str">
        <f t="shared" si="3"/>
        <v>Free</v>
      </c>
      <c r="H843" s="316" t="str">
        <f t="array" ref="H843">XLOOKUP(B843,Roster!L:L,Roster!N:N,XLOOKUP(D843,TicketsBreak!A:A,TicketsBreak!E:E,"",0),0)</f>
        <v/>
      </c>
      <c r="I843" s="316" t="str">
        <f t="array" ref="I843">XLOOKUP(B843,Roster!L:L,Roster!O:O,XLOOKUP(D843,TicketsBreak!A:A,TicketsBreak!F:F,"",0),0)</f>
        <v/>
      </c>
      <c r="J843" s="316" t="str">
        <f t="array" ref="J843">XLOOKUP(B843,Roster!L:L,Roster!P:P,XLOOKUP(D843,TicketsBreak!A:A,TicketsBreak!G:G,"",0),0)</f>
        <v/>
      </c>
      <c r="K843" s="310">
        <f t="shared" si="4"/>
        <v>46120</v>
      </c>
      <c r="L843" s="317">
        <f t="array" ref="L843">(XLOOKUP(D843,Roster!F:F,Roster!D:D,"",0))</f>
        <v>36</v>
      </c>
      <c r="M843" s="317" t="str">
        <f t="array" ref="M843">XLOOKUP(D843,Roster!F:F,Roster!E:E)</f>
        <v>Voice</v>
      </c>
      <c r="N843" s="317" t="str">
        <f t="shared" ref="N843:P843" si="858">LEFT(H843,5)</f>
        <v/>
      </c>
      <c r="O843" s="317" t="str">
        <f t="shared" si="858"/>
        <v/>
      </c>
      <c r="P843" s="317" t="str">
        <f t="shared" si="858"/>
        <v/>
      </c>
      <c r="Q843" s="318" t="str">
        <f t="shared" si="806"/>
        <v/>
      </c>
      <c r="R843" s="318" t="str">
        <f t="shared" si="807"/>
        <v/>
      </c>
      <c r="S843" s="318" t="str">
        <f t="shared" si="8"/>
        <v/>
      </c>
    </row>
    <row r="844">
      <c r="A844" s="14" t="str">
        <f t="shared" si="1"/>
        <v>C69946120</v>
      </c>
      <c r="B844" s="185" t="str">
        <f t="array" ref="B844">IF(F844="VL","",IF(F844="Free","Free",XLOOKUP(D844,Roster!T:T,Roster!S:S,"",0)))</f>
        <v/>
      </c>
      <c r="C844" s="313">
        <v>46120.0</v>
      </c>
      <c r="D844" s="314" t="s">
        <v>137</v>
      </c>
      <c r="E844" s="307" t="str">
        <f t="array" ref="E844">(XLOOKUP(D844,Roster!F:F,Roster!B:B,"",0))</f>
        <v>Alexa Arenas</v>
      </c>
      <c r="F844" s="315" t="str">
        <f t="array" ref="F844">IF(B844=100,"Free",TEXT(XLOOKUP($D844,OperationVoice!$A:$A,OperationVoice!N:N,XLOOKUP($D844,OperationTickets!$A:$A,OperationTickets!N:N,"",0)),"hh:mm"))</f>
        <v>08:00</v>
      </c>
      <c r="G844" s="309">
        <f t="shared" si="3"/>
        <v>0.7083333333</v>
      </c>
      <c r="H844" s="316">
        <f t="array" ref="H844">XLOOKUP(B844,Roster!L:L,Roster!N:N,XLOOKUP(D844,TicketsBreak!A:A,TicketsBreak!E:E,"",0),0)</f>
        <v>0.40625</v>
      </c>
      <c r="I844" s="316">
        <f t="array" ref="I844">XLOOKUP(B844,Roster!L:L,Roster!O:O,XLOOKUP(D844,TicketsBreak!A:A,TicketsBreak!F:F,"",0),0)</f>
        <v>0.5</v>
      </c>
      <c r="J844" s="316">
        <f t="array" ref="J844">XLOOKUP(B844,Roster!L:L,Roster!P:P,XLOOKUP(D844,TicketsBreak!A:A,TicketsBreak!G:G,"",0),0)</f>
        <v>0.65625</v>
      </c>
      <c r="K844" s="310">
        <f t="shared" si="4"/>
        <v>46120</v>
      </c>
      <c r="L844" s="317">
        <f t="array" ref="L844">(XLOOKUP(D844,Roster!F:F,Roster!D:D,"",0))</f>
        <v>5</v>
      </c>
      <c r="M844" s="317" t="str">
        <f t="array" ref="M844">XLOOKUP(D844,Roster!F:F,Roster!E:E)</f>
        <v>Tickets</v>
      </c>
      <c r="N844" s="317" t="str">
        <f t="shared" ref="N844:P844" si="859">LEFT(H844,5)</f>
        <v>09:45</v>
      </c>
      <c r="O844" s="317" t="str">
        <f t="shared" si="859"/>
        <v>12:00</v>
      </c>
      <c r="P844" s="317" t="str">
        <f t="shared" si="859"/>
        <v>15:45</v>
      </c>
      <c r="Q844" s="318">
        <f t="shared" si="806"/>
        <v>46120.40625</v>
      </c>
      <c r="R844" s="318">
        <f t="shared" si="807"/>
        <v>46120.5</v>
      </c>
      <c r="S844" s="318">
        <f t="shared" si="8"/>
        <v>46120.65625</v>
      </c>
    </row>
    <row r="845">
      <c r="A845" s="14" t="str">
        <f t="shared" si="1"/>
        <v>C157046120</v>
      </c>
      <c r="B845" s="185" t="str">
        <f t="array" ref="B845">IF(F845="VL","",IF(F845="Free","Free",XLOOKUP(D845,Roster!T:T,Roster!S:S,"",0)))</f>
        <v>Free</v>
      </c>
      <c r="C845" s="313">
        <v>46120.0</v>
      </c>
      <c r="D845" s="314" t="s">
        <v>11</v>
      </c>
      <c r="E845" s="307" t="str">
        <f t="array" ref="E845">(XLOOKUP(D845,Roster!F:F,Roster!B:B,"",0))</f>
        <v>Alexander Bartoli</v>
      </c>
      <c r="F845" s="315" t="str">
        <f t="array" ref="F845">IF(B845=100,"Free",TEXT(XLOOKUP($D845,OperationVoice!$A:$A,OperationVoice!N:N,XLOOKUP($D845,OperationTickets!$A:$A,OperationTickets!N:N,"",0)),"hh:mm"))</f>
        <v>Free</v>
      </c>
      <c r="G845" s="309" t="str">
        <f t="shared" si="3"/>
        <v>Free</v>
      </c>
      <c r="H845" s="316" t="str">
        <f t="array" ref="H845">XLOOKUP(B845,Roster!L:L,Roster!N:N,XLOOKUP(D845,TicketsBreak!A:A,TicketsBreak!E:E,"",0),0)</f>
        <v/>
      </c>
      <c r="I845" s="316" t="str">
        <f t="array" ref="I845">XLOOKUP(B845,Roster!L:L,Roster!O:O,XLOOKUP(D845,TicketsBreak!A:A,TicketsBreak!F:F,"",0),0)</f>
        <v/>
      </c>
      <c r="J845" s="316" t="str">
        <f t="array" ref="J845">XLOOKUP(B845,Roster!L:L,Roster!P:P,XLOOKUP(D845,TicketsBreak!A:A,TicketsBreak!G:G,"",0),0)</f>
        <v/>
      </c>
      <c r="K845" s="310">
        <f t="shared" si="4"/>
        <v>46120</v>
      </c>
      <c r="L845" s="317">
        <f t="array" ref="L845">(XLOOKUP(D845,Roster!F:F,Roster!D:D,"",0))</f>
        <v>38</v>
      </c>
      <c r="M845" s="317" t="str">
        <f t="array" ref="M845">XLOOKUP(D845,Roster!F:F,Roster!E:E)</f>
        <v>Voice</v>
      </c>
      <c r="N845" s="317" t="str">
        <f t="shared" ref="N845:P845" si="860">LEFT(H845,5)</f>
        <v/>
      </c>
      <c r="O845" s="317" t="str">
        <f t="shared" si="860"/>
        <v/>
      </c>
      <c r="P845" s="317" t="str">
        <f t="shared" si="860"/>
        <v/>
      </c>
      <c r="Q845" s="318" t="str">
        <f t="shared" si="806"/>
        <v/>
      </c>
      <c r="R845" s="318" t="str">
        <f t="shared" si="807"/>
        <v/>
      </c>
      <c r="S845" s="318" t="str">
        <f t="shared" si="8"/>
        <v/>
      </c>
    </row>
    <row r="846">
      <c r="A846" s="14" t="str">
        <f t="shared" si="1"/>
        <v>C93546120</v>
      </c>
      <c r="B846" s="185" t="str">
        <f t="array" ref="B846">IF(F846="VL","",IF(F846="Free","Free",XLOOKUP(D846,Roster!T:T,Roster!S:S,"",0)))</f>
        <v>Free</v>
      </c>
      <c r="C846" s="313">
        <v>46120.0</v>
      </c>
      <c r="D846" s="314" t="s">
        <v>153</v>
      </c>
      <c r="E846" s="307" t="str">
        <f t="array" ref="E846">(XLOOKUP(D846,Roster!F:F,Roster!B:B,"",0))</f>
        <v>Alexis Arias</v>
      </c>
      <c r="F846" s="315" t="str">
        <f t="array" ref="F846">IF(B846=100,"Free",TEXT(XLOOKUP($D846,OperationVoice!$A:$A,OperationVoice!N:N,XLOOKUP($D846,OperationTickets!$A:$A,OperationTickets!N:N,"",0)),"hh:mm"))</f>
        <v>Free</v>
      </c>
      <c r="G846" s="309" t="str">
        <f t="shared" si="3"/>
        <v>Free</v>
      </c>
      <c r="H846" s="316">
        <f t="array" ref="H846">XLOOKUP(B846,Roster!L:L,Roster!N:N,XLOOKUP(D846,TicketsBreak!A:A,TicketsBreak!E:E,"",0),0)</f>
        <v>0.4270833333</v>
      </c>
      <c r="I846" s="316">
        <f t="array" ref="I846">XLOOKUP(B846,Roster!L:L,Roster!O:O,XLOOKUP(D846,TicketsBreak!A:A,TicketsBreak!F:F,"",0),0)</f>
        <v>0.53125</v>
      </c>
      <c r="J846" s="316">
        <f t="array" ref="J846">XLOOKUP(B846,Roster!L:L,Roster!P:P,XLOOKUP(D846,TicketsBreak!A:A,TicketsBreak!G:G,"",0),0)</f>
        <v>0.6458333333</v>
      </c>
      <c r="K846" s="310">
        <f t="shared" si="4"/>
        <v>46120</v>
      </c>
      <c r="L846" s="317">
        <f t="array" ref="L846">(XLOOKUP(D846,Roster!F:F,Roster!D:D,"",0))</f>
        <v>12</v>
      </c>
      <c r="M846" s="317" t="str">
        <f t="array" ref="M846">XLOOKUP(D846,Roster!F:F,Roster!E:E)</f>
        <v>Tickets</v>
      </c>
      <c r="N846" s="317" t="str">
        <f t="shared" ref="N846:P846" si="861">LEFT(H846,5)</f>
        <v>10:15</v>
      </c>
      <c r="O846" s="317" t="str">
        <f t="shared" si="861"/>
        <v>12:45</v>
      </c>
      <c r="P846" s="317" t="str">
        <f t="shared" si="861"/>
        <v>15:30</v>
      </c>
      <c r="Q846" s="318">
        <f t="shared" si="806"/>
        <v>46120.42708</v>
      </c>
      <c r="R846" s="318">
        <f t="shared" si="807"/>
        <v>46120.53125</v>
      </c>
      <c r="S846" s="318">
        <f t="shared" si="8"/>
        <v>46120.64583</v>
      </c>
    </row>
    <row r="847">
      <c r="A847" s="14" t="str">
        <f t="shared" si="1"/>
        <v>C72746120</v>
      </c>
      <c r="B847" s="185" t="str">
        <f t="array" ref="B847">IF(F847="VL","",IF(F847="Free","Free",XLOOKUP(D847,Roster!T:T,Roster!S:S,"",0)))</f>
        <v/>
      </c>
      <c r="C847" s="313">
        <v>46120.0</v>
      </c>
      <c r="D847" s="314" t="s">
        <v>154</v>
      </c>
      <c r="E847" s="307" t="str">
        <f t="array" ref="E847">(XLOOKUP(D847,Roster!F:F,Roster!B:B,"",0))</f>
        <v>Ana Moreno</v>
      </c>
      <c r="F847" s="315" t="str">
        <f t="array" ref="F847">IF(B847=100,"Free",TEXT(XLOOKUP($D847,OperationVoice!$A:$A,OperationVoice!N:N,XLOOKUP($D847,OperationTickets!$A:$A,OperationTickets!N:N,"",0)),"hh:mm"))</f>
        <v>VL</v>
      </c>
      <c r="G847" s="309" t="str">
        <f t="shared" si="3"/>
        <v>VL</v>
      </c>
      <c r="H847" s="316">
        <f t="array" ref="H847">XLOOKUP(B847,Roster!L:L,Roster!N:N,XLOOKUP(D847,TicketsBreak!A:A,TicketsBreak!E:E,"",0),0)</f>
        <v>0.4166666667</v>
      </c>
      <c r="I847" s="316">
        <f t="array" ref="I847">XLOOKUP(B847,Roster!L:L,Roster!O:O,XLOOKUP(D847,TicketsBreak!A:A,TicketsBreak!F:F,"",0),0)</f>
        <v>0.5208333333</v>
      </c>
      <c r="J847" s="316">
        <f t="array" ref="J847">XLOOKUP(B847,Roster!L:L,Roster!P:P,XLOOKUP(D847,TicketsBreak!A:A,TicketsBreak!G:G,"",0),0)</f>
        <v>0.65625</v>
      </c>
      <c r="K847" s="310">
        <f t="shared" si="4"/>
        <v>46120</v>
      </c>
      <c r="L847" s="317">
        <f t="array" ref="L847">(XLOOKUP(D847,Roster!F:F,Roster!D:D,"",0))</f>
        <v>7</v>
      </c>
      <c r="M847" s="317" t="str">
        <f t="array" ref="M847">XLOOKUP(D847,Roster!F:F,Roster!E:E)</f>
        <v>Tickets</v>
      </c>
      <c r="N847" s="317" t="str">
        <f t="shared" ref="N847:P847" si="862">LEFT(H847,5)</f>
        <v>10:00</v>
      </c>
      <c r="O847" s="317" t="str">
        <f t="shared" si="862"/>
        <v>12:30</v>
      </c>
      <c r="P847" s="317" t="str">
        <f t="shared" si="862"/>
        <v>15:45</v>
      </c>
      <c r="Q847" s="318">
        <f t="shared" si="806"/>
        <v>46120.41667</v>
      </c>
      <c r="R847" s="318">
        <f t="shared" si="807"/>
        <v>46120.52083</v>
      </c>
      <c r="S847" s="318">
        <f t="shared" si="8"/>
        <v>46120.65625</v>
      </c>
    </row>
    <row r="848">
      <c r="A848" s="14" t="str">
        <f t="shared" si="1"/>
        <v>C157446120</v>
      </c>
      <c r="B848" s="185" t="str">
        <f t="array" ref="B848">IF(F848="VL","",IF(F848="Free","Free",XLOOKUP(D848,Roster!T:T,Roster!S:S,"",0)))</f>
        <v>Free</v>
      </c>
      <c r="C848" s="313">
        <v>46120.0</v>
      </c>
      <c r="D848" s="314" t="s">
        <v>12</v>
      </c>
      <c r="E848" s="307" t="str">
        <f t="array" ref="E848">(XLOOKUP(D848,Roster!F:F,Roster!B:B,"",0))</f>
        <v>Ana Quintero</v>
      </c>
      <c r="F848" s="315" t="str">
        <f t="array" ref="F848">IF(B848=100,"Free",TEXT(XLOOKUP($D848,OperationVoice!$A:$A,OperationVoice!N:N,XLOOKUP($D848,OperationTickets!$A:$A,OperationTickets!N:N,"",0)),"hh:mm"))</f>
        <v>Free</v>
      </c>
      <c r="G848" s="309" t="str">
        <f t="shared" si="3"/>
        <v>Free</v>
      </c>
      <c r="H848" s="316" t="str">
        <f t="array" ref="H848">XLOOKUP(B848,Roster!L:L,Roster!N:N,XLOOKUP(D848,TicketsBreak!A:A,TicketsBreak!E:E,"",0),0)</f>
        <v/>
      </c>
      <c r="I848" s="316" t="str">
        <f t="array" ref="I848">XLOOKUP(B848,Roster!L:L,Roster!O:O,XLOOKUP(D848,TicketsBreak!A:A,TicketsBreak!F:F,"",0),0)</f>
        <v/>
      </c>
      <c r="J848" s="316" t="str">
        <f t="array" ref="J848">XLOOKUP(B848,Roster!L:L,Roster!P:P,XLOOKUP(D848,TicketsBreak!A:A,TicketsBreak!G:G,"",0),0)</f>
        <v/>
      </c>
      <c r="K848" s="310">
        <f t="shared" si="4"/>
        <v>46120</v>
      </c>
      <c r="L848" s="317">
        <f t="array" ref="L848">(XLOOKUP(D848,Roster!F:F,Roster!D:D,"",0))</f>
        <v>38</v>
      </c>
      <c r="M848" s="317" t="str">
        <f t="array" ref="M848">XLOOKUP(D848,Roster!F:F,Roster!E:E)</f>
        <v>Voice</v>
      </c>
      <c r="N848" s="317" t="str">
        <f t="shared" ref="N848:P848" si="863">LEFT(H848,5)</f>
        <v/>
      </c>
      <c r="O848" s="317" t="str">
        <f t="shared" si="863"/>
        <v/>
      </c>
      <c r="P848" s="317" t="str">
        <f t="shared" si="863"/>
        <v/>
      </c>
      <c r="Q848" s="318" t="str">
        <f t="shared" si="806"/>
        <v/>
      </c>
      <c r="R848" s="318" t="str">
        <f t="shared" si="807"/>
        <v/>
      </c>
      <c r="S848" s="318" t="str">
        <f t="shared" si="8"/>
        <v/>
      </c>
    </row>
    <row r="849">
      <c r="A849" s="14" t="str">
        <f t="shared" si="1"/>
        <v>C46946120</v>
      </c>
      <c r="B849" s="185" t="str">
        <f t="array" ref="B849">IF(F849="VL","",IF(F849="Free","Free",XLOOKUP(D849,Roster!T:T,Roster!S:S,"",0)))</f>
        <v>Free</v>
      </c>
      <c r="C849" s="313">
        <v>46120.0</v>
      </c>
      <c r="D849" s="314" t="s">
        <v>171</v>
      </c>
      <c r="E849" s="307" t="str">
        <f t="array" ref="E849">(XLOOKUP(D849,Roster!F:F,Roster!B:B,"",0))</f>
        <v>Ana Ruiz</v>
      </c>
      <c r="F849" s="315" t="str">
        <f t="array" ref="F849">IF(B849=100,"Free",TEXT(XLOOKUP($D849,OperationVoice!$A:$A,OperationVoice!N:N,XLOOKUP($D849,OperationTickets!$A:$A,OperationTickets!N:N,"",0)),"hh:mm"))</f>
        <v>Free</v>
      </c>
      <c r="G849" s="309" t="str">
        <f t="shared" si="3"/>
        <v>Free</v>
      </c>
      <c r="H849" s="316">
        <f t="array" ref="H849">XLOOKUP(B849,Roster!L:L,Roster!N:N,XLOOKUP(D849,TicketsBreak!A:A,TicketsBreak!E:E,"",0),0)</f>
        <v>0.3854166667</v>
      </c>
      <c r="I849" s="316">
        <f t="array" ref="I849">XLOOKUP(B849,Roster!L:L,Roster!O:O,XLOOKUP(D849,TicketsBreak!A:A,TicketsBreak!F:F,"",0),0)</f>
        <v>0.5</v>
      </c>
      <c r="J849" s="316">
        <f t="array" ref="J849">XLOOKUP(B849,Roster!L:L,Roster!P:P,XLOOKUP(D849,TicketsBreak!A:A,TicketsBreak!G:G,"",0),0)</f>
        <v>0.6041666667</v>
      </c>
      <c r="K849" s="310">
        <f t="shared" si="4"/>
        <v>46120</v>
      </c>
      <c r="L849" s="317">
        <f t="array" ref="L849">(XLOOKUP(D849,Roster!F:F,Roster!D:D,"",0))</f>
        <v>3</v>
      </c>
      <c r="M849" s="317" t="str">
        <f t="array" ref="M849">XLOOKUP(D849,Roster!F:F,Roster!E:E)</f>
        <v>Tickets</v>
      </c>
      <c r="N849" s="317" t="str">
        <f t="shared" ref="N849:P849" si="864">LEFT(H849,5)</f>
        <v>09:15</v>
      </c>
      <c r="O849" s="317" t="str">
        <f t="shared" si="864"/>
        <v>12:00</v>
      </c>
      <c r="P849" s="317" t="str">
        <f t="shared" si="864"/>
        <v>14:30</v>
      </c>
      <c r="Q849" s="318">
        <f t="shared" si="806"/>
        <v>46120.38542</v>
      </c>
      <c r="R849" s="318">
        <f t="shared" si="807"/>
        <v>46120.5</v>
      </c>
      <c r="S849" s="318">
        <f t="shared" si="8"/>
        <v>46120.60417</v>
      </c>
    </row>
    <row r="850">
      <c r="A850" s="14" t="str">
        <f t="shared" si="1"/>
        <v>C155446120</v>
      </c>
      <c r="B850" s="185" t="str">
        <f t="array" ref="B850">IF(F850="VL","",IF(F850="Free","Free",XLOOKUP(D850,Roster!T:T,Roster!S:S,"",0)))</f>
        <v>Free</v>
      </c>
      <c r="C850" s="313">
        <v>46120.0</v>
      </c>
      <c r="D850" s="314" t="s">
        <v>13</v>
      </c>
      <c r="E850" s="307" t="str">
        <f t="array" ref="E850">(XLOOKUP(D850,Roster!F:F,Roster!B:B,"",0))</f>
        <v>Andres Lopez</v>
      </c>
      <c r="F850" s="315" t="str">
        <f t="array" ref="F850">IF(B850=100,"Free",TEXT(XLOOKUP($D850,OperationVoice!$A:$A,OperationVoice!N:N,XLOOKUP($D850,OperationTickets!$A:$A,OperationTickets!N:N,"",0)),"hh:mm"))</f>
        <v>Free</v>
      </c>
      <c r="G850" s="309" t="str">
        <f t="shared" si="3"/>
        <v>Free</v>
      </c>
      <c r="H850" s="316" t="str">
        <f t="array" ref="H850">XLOOKUP(B850,Roster!L:L,Roster!N:N,XLOOKUP(D850,TicketsBreak!A:A,TicketsBreak!E:E,"",0),0)</f>
        <v/>
      </c>
      <c r="I850" s="316" t="str">
        <f t="array" ref="I850">XLOOKUP(B850,Roster!L:L,Roster!O:O,XLOOKUP(D850,TicketsBreak!A:A,TicketsBreak!F:F,"",0),0)</f>
        <v/>
      </c>
      <c r="J850" s="316" t="str">
        <f t="array" ref="J850">XLOOKUP(B850,Roster!L:L,Roster!P:P,XLOOKUP(D850,TicketsBreak!A:A,TicketsBreak!G:G,"",0),0)</f>
        <v/>
      </c>
      <c r="K850" s="310">
        <f t="shared" si="4"/>
        <v>46120</v>
      </c>
      <c r="L850" s="317">
        <f t="array" ref="L850">(XLOOKUP(D850,Roster!F:F,Roster!D:D,"",0))</f>
        <v>37</v>
      </c>
      <c r="M850" s="317" t="str">
        <f t="array" ref="M850">XLOOKUP(D850,Roster!F:F,Roster!E:E)</f>
        <v>Voice</v>
      </c>
      <c r="N850" s="317" t="str">
        <f t="shared" ref="N850:P850" si="865">LEFT(H850,5)</f>
        <v/>
      </c>
      <c r="O850" s="317" t="str">
        <f t="shared" si="865"/>
        <v/>
      </c>
      <c r="P850" s="317" t="str">
        <f t="shared" si="865"/>
        <v/>
      </c>
      <c r="Q850" s="318" t="str">
        <f t="shared" si="806"/>
        <v/>
      </c>
      <c r="R850" s="318" t="str">
        <f t="shared" si="807"/>
        <v/>
      </c>
      <c r="S850" s="318" t="str">
        <f t="shared" si="8"/>
        <v/>
      </c>
    </row>
    <row r="851">
      <c r="A851" s="14" t="str">
        <f t="shared" si="1"/>
        <v>C156746120</v>
      </c>
      <c r="B851" s="185">
        <f t="array" ref="B851">IF(F851="VL","",IF(F851="Free","Free",XLOOKUP(D851,Roster!T:T,Roster!S:S,"",0)))</f>
        <v>125</v>
      </c>
      <c r="C851" s="313">
        <v>46120.0</v>
      </c>
      <c r="D851" s="314" t="s">
        <v>14</v>
      </c>
      <c r="E851" s="307" t="str">
        <f t="array" ref="E851">(XLOOKUP(D851,Roster!F:F,Roster!B:B,"",0))</f>
        <v>Andres Salazar</v>
      </c>
      <c r="F851" s="315" t="str">
        <f t="array" ref="F851">IF(B851=100,"Free",TEXT(XLOOKUP($D851,OperationVoice!$A:$A,OperationVoice!N:N,XLOOKUP($D851,OperationTickets!$A:$A,OperationTickets!N:N,"",0)),"hh:mm"))</f>
        <v>08:00</v>
      </c>
      <c r="G851" s="309">
        <f t="shared" si="3"/>
        <v>0.7083333333</v>
      </c>
      <c r="H851" s="316" t="str">
        <f t="array" ref="H851">XLOOKUP(B851,Roster!L:L,Roster!N:N,XLOOKUP(D851,TicketsBreak!A:A,TicketsBreak!E:E,"",0),0)</f>
        <v>10:30 - 10:45</v>
      </c>
      <c r="I851" s="316" t="str">
        <f t="array" ref="I851">XLOOKUP(B851,Roster!L:L,Roster!O:O,XLOOKUP(D851,TicketsBreak!A:A,TicketsBreak!F:F,"",0),0)</f>
        <v>13:30 - 14:00</v>
      </c>
      <c r="J851" s="316" t="str">
        <f t="array" ref="J851">XLOOKUP(B851,Roster!L:L,Roster!P:P,XLOOKUP(D851,TicketsBreak!A:A,TicketsBreak!G:G,"",0),0)</f>
        <v>15:45 - 16:00</v>
      </c>
      <c r="K851" s="310">
        <f t="shared" si="4"/>
        <v>46120</v>
      </c>
      <c r="L851" s="317">
        <f t="array" ref="L851">(XLOOKUP(D851,Roster!F:F,Roster!D:D,"",0))</f>
        <v>38</v>
      </c>
      <c r="M851" s="317" t="str">
        <f t="array" ref="M851">XLOOKUP(D851,Roster!F:F,Roster!E:E)</f>
        <v>Voice</v>
      </c>
      <c r="N851" s="317" t="str">
        <f t="shared" ref="N851:P851" si="866">LEFT(H851,5)</f>
        <v>10:30</v>
      </c>
      <c r="O851" s="317" t="str">
        <f t="shared" si="866"/>
        <v>13:30</v>
      </c>
      <c r="P851" s="317" t="str">
        <f t="shared" si="866"/>
        <v>15:45</v>
      </c>
      <c r="Q851" s="318">
        <f t="shared" si="806"/>
        <v>46120.4375</v>
      </c>
      <c r="R851" s="318">
        <f t="shared" si="807"/>
        <v>46120.5625</v>
      </c>
      <c r="S851" s="318">
        <f t="shared" si="8"/>
        <v>46120.65625</v>
      </c>
    </row>
    <row r="852">
      <c r="A852" s="14" t="str">
        <f t="shared" si="1"/>
        <v>C134846120</v>
      </c>
      <c r="B852" s="185">
        <f t="array" ref="B852">IF(F852="VL","",IF(F852="Free","Free",XLOOKUP(D852,Roster!T:T,Roster!S:S,"",0)))</f>
        <v>124</v>
      </c>
      <c r="C852" s="313">
        <v>46120.0</v>
      </c>
      <c r="D852" s="314" t="s">
        <v>15</v>
      </c>
      <c r="E852" s="307" t="str">
        <f t="array" ref="E852">(XLOOKUP(D852,Roster!F:F,Roster!B:B,"",0))</f>
        <v>Angelo Zapata</v>
      </c>
      <c r="F852" s="315" t="str">
        <f t="array" ref="F852">IF(B852=100,"Free",TEXT(XLOOKUP($D852,OperationVoice!$A:$A,OperationVoice!N:N,XLOOKUP($D852,OperationTickets!$A:$A,OperationTickets!N:N,"",0)),"hh:mm"))</f>
        <v>08:00</v>
      </c>
      <c r="G852" s="309">
        <f t="shared" si="3"/>
        <v>0.7083333333</v>
      </c>
      <c r="H852" s="316" t="str">
        <f t="array" ref="H852">XLOOKUP(B852,Roster!L:L,Roster!N:N,XLOOKUP(D852,TicketsBreak!A:A,TicketsBreak!E:E,"",0),0)</f>
        <v>10:00 - 10:15</v>
      </c>
      <c r="I852" s="316" t="str">
        <f t="array" ref="I852">XLOOKUP(B852,Roster!L:L,Roster!O:O,XLOOKUP(D852,TicketsBreak!A:A,TicketsBreak!F:F,"",0),0)</f>
        <v>13:00 - 13:30</v>
      </c>
      <c r="J852" s="316" t="str">
        <f t="array" ref="J852">XLOOKUP(B852,Roster!L:L,Roster!P:P,XLOOKUP(D852,TicketsBreak!A:A,TicketsBreak!G:G,"",0),0)</f>
        <v>15:30 - 15:45</v>
      </c>
      <c r="K852" s="310">
        <f t="shared" si="4"/>
        <v>46120</v>
      </c>
      <c r="L852" s="317">
        <f t="array" ref="L852">(XLOOKUP(D852,Roster!F:F,Roster!D:D,"",0))</f>
        <v>30</v>
      </c>
      <c r="M852" s="317" t="str">
        <f t="array" ref="M852">XLOOKUP(D852,Roster!F:F,Roster!E:E)</f>
        <v>Voice</v>
      </c>
      <c r="N852" s="317" t="str">
        <f t="shared" ref="N852:P852" si="867">LEFT(H852,5)</f>
        <v>10:00</v>
      </c>
      <c r="O852" s="317" t="str">
        <f t="shared" si="867"/>
        <v>13:00</v>
      </c>
      <c r="P852" s="317" t="str">
        <f t="shared" si="867"/>
        <v>15:30</v>
      </c>
      <c r="Q852" s="318">
        <f t="shared" si="806"/>
        <v>46120.41667</v>
      </c>
      <c r="R852" s="318">
        <f t="shared" si="807"/>
        <v>46120.54167</v>
      </c>
      <c r="S852" s="318">
        <f t="shared" si="8"/>
        <v>46120.64583</v>
      </c>
    </row>
    <row r="853">
      <c r="A853" s="14" t="str">
        <f t="shared" si="1"/>
        <v>C116746120</v>
      </c>
      <c r="B853" s="185" t="str">
        <f t="array" ref="B853">IF(F853="VL","",IF(F853="Free","Free",XLOOKUP(D853,Roster!T:T,Roster!S:S,"",0)))</f>
        <v/>
      </c>
      <c r="C853" s="313">
        <v>46120.0</v>
      </c>
      <c r="D853" s="314" t="s">
        <v>172</v>
      </c>
      <c r="E853" s="307" t="str">
        <f t="array" ref="E853">(XLOOKUP(D853,Roster!F:F,Roster!B:B,"",0))</f>
        <v>Angie Rua</v>
      </c>
      <c r="F853" s="315" t="str">
        <f t="array" ref="F853">IF(B853=100,"Free",TEXT(XLOOKUP($D853,OperationVoice!$A:$A,OperationVoice!N:N,XLOOKUP($D853,OperationTickets!$A:$A,OperationTickets!N:N,"",0)),"hh:mm"))</f>
        <v>07:00</v>
      </c>
      <c r="G853" s="309">
        <f t="shared" si="3"/>
        <v>0.6666666667</v>
      </c>
      <c r="H853" s="316" t="str">
        <f t="array" ref="H853">XLOOKUP(B853,Roster!L:L,Roster!N:N,XLOOKUP(D853,TicketsBreak!A:A,TicketsBreak!E:E,"",0),0)</f>
        <v/>
      </c>
      <c r="I853" s="316" t="str">
        <f t="array" ref="I853">XLOOKUP(B853,Roster!L:L,Roster!O:O,XLOOKUP(D853,TicketsBreak!A:A,TicketsBreak!F:F,"",0),0)</f>
        <v/>
      </c>
      <c r="J853" s="316" t="str">
        <f t="array" ref="J853">XLOOKUP(B853,Roster!L:L,Roster!P:P,XLOOKUP(D853,TicketsBreak!A:A,TicketsBreak!G:G,"",0),0)</f>
        <v/>
      </c>
      <c r="K853" s="310">
        <f t="shared" si="4"/>
        <v>46120</v>
      </c>
      <c r="L853" s="317">
        <f t="array" ref="L853">(XLOOKUP(D853,Roster!F:F,Roster!D:D,"",0))</f>
        <v>24</v>
      </c>
      <c r="M853" s="317" t="str">
        <f t="array" ref="M853">XLOOKUP(D853,Roster!F:F,Roster!E:E)</f>
        <v>Tickets</v>
      </c>
      <c r="N853" s="317" t="str">
        <f t="shared" ref="N853:P853" si="868">LEFT(H853,5)</f>
        <v/>
      </c>
      <c r="O853" s="317" t="str">
        <f t="shared" si="868"/>
        <v/>
      </c>
      <c r="P853" s="317" t="str">
        <f t="shared" si="868"/>
        <v/>
      </c>
      <c r="Q853" s="318" t="str">
        <f t="shared" si="806"/>
        <v/>
      </c>
      <c r="R853" s="318" t="str">
        <f t="shared" si="807"/>
        <v/>
      </c>
      <c r="S853" s="318" t="str">
        <f t="shared" si="8"/>
        <v/>
      </c>
    </row>
    <row r="854">
      <c r="A854" s="14" t="str">
        <f t="shared" si="1"/>
        <v>C157946120</v>
      </c>
      <c r="B854" s="185">
        <f t="array" ref="B854">IF(F854="VL","",IF(F854="Free","Free",XLOOKUP(D854,Roster!T:T,Roster!S:S,"",0)))</f>
        <v>126</v>
      </c>
      <c r="C854" s="313">
        <v>46120.0</v>
      </c>
      <c r="D854" s="314" t="s">
        <v>16</v>
      </c>
      <c r="E854" s="307" t="str">
        <f t="array" ref="E854">(XLOOKUP(D854,Roster!F:F,Roster!B:B,"",0))</f>
        <v>Anibal Munoz</v>
      </c>
      <c r="F854" s="315" t="str">
        <f t="array" ref="F854">IF(B854=100,"Free",TEXT(XLOOKUP($D854,OperationVoice!$A:$A,OperationVoice!N:N,XLOOKUP($D854,OperationTickets!$A:$A,OperationTickets!N:N,"",0)),"hh:mm"))</f>
        <v>08:00</v>
      </c>
      <c r="G854" s="309">
        <f t="shared" si="3"/>
        <v>0.7083333333</v>
      </c>
      <c r="H854" s="316" t="str">
        <f t="array" ref="H854">XLOOKUP(B854,Roster!L:L,Roster!N:N,XLOOKUP(D854,TicketsBreak!A:A,TicketsBreak!E:E,"",0),0)</f>
        <v>10:45 - 11:00</v>
      </c>
      <c r="I854" s="316" t="str">
        <f t="array" ref="I854">XLOOKUP(B854,Roster!L:L,Roster!O:O,XLOOKUP(D854,TicketsBreak!A:A,TicketsBreak!F:F,"",0),0)</f>
        <v>14:00 - 14:30</v>
      </c>
      <c r="J854" s="316" t="str">
        <f t="array" ref="J854">XLOOKUP(B854,Roster!L:L,Roster!P:P,XLOOKUP(D854,TicketsBreak!A:A,TicketsBreak!G:G,"",0),0)</f>
        <v>15:45 - 16:00</v>
      </c>
      <c r="K854" s="310">
        <f t="shared" si="4"/>
        <v>46120</v>
      </c>
      <c r="L854" s="317">
        <f t="array" ref="L854">(XLOOKUP(D854,Roster!F:F,Roster!D:D,"",0))</f>
        <v>38</v>
      </c>
      <c r="M854" s="317" t="str">
        <f t="array" ref="M854">XLOOKUP(D854,Roster!F:F,Roster!E:E)</f>
        <v>Voice</v>
      </c>
      <c r="N854" s="317" t="str">
        <f t="shared" ref="N854:P854" si="869">LEFT(H854,5)</f>
        <v>10:45</v>
      </c>
      <c r="O854" s="317" t="str">
        <f t="shared" si="869"/>
        <v>14:00</v>
      </c>
      <c r="P854" s="317" t="str">
        <f t="shared" si="869"/>
        <v>15:45</v>
      </c>
      <c r="Q854" s="318">
        <f t="shared" si="806"/>
        <v>46120.44792</v>
      </c>
      <c r="R854" s="318">
        <f t="shared" si="807"/>
        <v>46120.58333</v>
      </c>
      <c r="S854" s="318">
        <f t="shared" si="8"/>
        <v>46120.65625</v>
      </c>
    </row>
    <row r="855">
      <c r="A855" s="14" t="str">
        <f t="shared" si="1"/>
        <v>C08046120</v>
      </c>
      <c r="B855" s="185" t="str">
        <f t="array" ref="B855">IF(F855="VL","",IF(F855="Free","Free",XLOOKUP(D855,Roster!T:T,Roster!S:S,"",0)))</f>
        <v/>
      </c>
      <c r="C855" s="313">
        <v>46120.0</v>
      </c>
      <c r="D855" s="314" t="s">
        <v>138</v>
      </c>
      <c r="E855" s="307" t="str">
        <f t="array" ref="E855">(XLOOKUP(D855,Roster!F:F,Roster!B:B,"",0))</f>
        <v>Arturo Padilla</v>
      </c>
      <c r="F855" s="315" t="str">
        <f t="array" ref="F855">IF(B855=100,"Free",TEXT(XLOOKUP($D855,OperationVoice!$A:$A,OperationVoice!N:N,XLOOKUP($D855,OperationTickets!$A:$A,OperationTickets!N:N,"",0)),"hh:mm"))</f>
        <v>08:00</v>
      </c>
      <c r="G855" s="309">
        <f t="shared" si="3"/>
        <v>0.7083333333</v>
      </c>
      <c r="H855" s="316">
        <f t="array" ref="H855">XLOOKUP(B855,Roster!L:L,Roster!N:N,XLOOKUP(D855,TicketsBreak!A:A,TicketsBreak!E:E,"",0),0)</f>
        <v>0.375</v>
      </c>
      <c r="I855" s="316">
        <f t="array" ref="I855">XLOOKUP(B855,Roster!L:L,Roster!O:O,XLOOKUP(D855,TicketsBreak!A:A,TicketsBreak!F:F,"",0),0)</f>
        <v>0.5</v>
      </c>
      <c r="J855" s="316">
        <f t="array" ref="J855">XLOOKUP(B855,Roster!L:L,Roster!P:P,XLOOKUP(D855,TicketsBreak!A:A,TicketsBreak!G:G,"",0),0)</f>
        <v>0.6458333333</v>
      </c>
      <c r="K855" s="310">
        <f t="shared" si="4"/>
        <v>46120</v>
      </c>
      <c r="L855" s="317">
        <f t="array" ref="L855">(XLOOKUP(D855,Roster!F:F,Roster!D:D,"",0))</f>
        <v>1</v>
      </c>
      <c r="M855" s="317" t="str">
        <f t="array" ref="M855">XLOOKUP(D855,Roster!F:F,Roster!E:E)</f>
        <v>Tickets</v>
      </c>
      <c r="N855" s="317" t="str">
        <f t="shared" ref="N855:P855" si="870">LEFT(H855,5)</f>
        <v>09:00</v>
      </c>
      <c r="O855" s="317" t="str">
        <f t="shared" si="870"/>
        <v>12:00</v>
      </c>
      <c r="P855" s="317" t="str">
        <f t="shared" si="870"/>
        <v>15:30</v>
      </c>
      <c r="Q855" s="318">
        <f t="shared" si="806"/>
        <v>46120.375</v>
      </c>
      <c r="R855" s="318">
        <f t="shared" si="807"/>
        <v>46120.5</v>
      </c>
      <c r="S855" s="318">
        <f t="shared" si="8"/>
        <v>46120.64583</v>
      </c>
    </row>
    <row r="856">
      <c r="A856" s="14" t="str">
        <f t="shared" si="1"/>
        <v>C150446120</v>
      </c>
      <c r="B856" s="185">
        <f t="array" ref="B856">IF(F856="VL","",IF(F856="Free","Free",XLOOKUP(D856,Roster!T:T,Roster!S:S,"",0)))</f>
        <v>123</v>
      </c>
      <c r="C856" s="313">
        <v>46120.0</v>
      </c>
      <c r="D856" s="314" t="s">
        <v>155</v>
      </c>
      <c r="E856" s="307" t="str">
        <f t="array" ref="E856">(XLOOKUP(D856,Roster!F:F,Roster!B:B,"",0))</f>
        <v>Beatriz Montanez</v>
      </c>
      <c r="F856" s="315" t="str">
        <f t="array" ref="F856">IF(B856=100,"Free",TEXT(XLOOKUP($D856,OperationVoice!$A:$A,OperationVoice!N:N,XLOOKUP($D856,OperationTickets!$A:$A,OperationTickets!N:N,"",0)),"hh:mm"))</f>
        <v>08:00</v>
      </c>
      <c r="G856" s="309">
        <f t="shared" si="3"/>
        <v>0.7083333333</v>
      </c>
      <c r="H856" s="316" t="str">
        <f t="array" ref="H856">XLOOKUP(B856,Roster!L:L,Roster!N:N,XLOOKUP(D856,TicketsBreak!A:A,TicketsBreak!E:E,"",0),0)</f>
        <v>09:45 - 10:00 </v>
      </c>
      <c r="I856" s="316" t="str">
        <f t="array" ref="I856">XLOOKUP(B856,Roster!L:L,Roster!O:O,XLOOKUP(D856,TicketsBreak!A:A,TicketsBreak!F:F,"",0),0)</f>
        <v>12:30 - 13:00</v>
      </c>
      <c r="J856" s="316" t="str">
        <f t="array" ref="J856">XLOOKUP(B856,Roster!L:L,Roster!P:P,XLOOKUP(D856,TicketsBreak!A:A,TicketsBreak!G:G,"",0),0)</f>
        <v>15:00 - 15:15</v>
      </c>
      <c r="K856" s="310">
        <f t="shared" si="4"/>
        <v>46120</v>
      </c>
      <c r="L856" s="317">
        <f t="array" ref="L856">(XLOOKUP(D856,Roster!F:F,Roster!D:D,"",0))</f>
        <v>35</v>
      </c>
      <c r="M856" s="317" t="str">
        <f t="array" ref="M856">XLOOKUP(D856,Roster!F:F,Roster!E:E)</f>
        <v>Tickets</v>
      </c>
      <c r="N856" s="317" t="str">
        <f t="shared" ref="N856:P856" si="871">LEFT(H856,5)</f>
        <v>09:45</v>
      </c>
      <c r="O856" s="317" t="str">
        <f t="shared" si="871"/>
        <v>12:30</v>
      </c>
      <c r="P856" s="317" t="str">
        <f t="shared" si="871"/>
        <v>15:00</v>
      </c>
      <c r="Q856" s="318">
        <f t="shared" si="806"/>
        <v>46120.40625</v>
      </c>
      <c r="R856" s="318">
        <f t="shared" si="807"/>
        <v>46120.52083</v>
      </c>
      <c r="S856" s="318">
        <f t="shared" si="8"/>
        <v>46120.625</v>
      </c>
    </row>
    <row r="857">
      <c r="A857" s="14" t="str">
        <f t="shared" si="1"/>
        <v>C107746120</v>
      </c>
      <c r="B857" s="185">
        <f t="array" ref="B857">IF(F857="VL","",IF(F857="Free","Free",XLOOKUP(D857,Roster!T:T,Roster!S:S,"",0)))</f>
        <v>125</v>
      </c>
      <c r="C857" s="313">
        <v>46120.0</v>
      </c>
      <c r="D857" s="314" t="s">
        <v>17</v>
      </c>
      <c r="E857" s="307" t="str">
        <f t="array" ref="E857">(XLOOKUP(D857,Roster!F:F,Roster!B:B,"",0))</f>
        <v>Brahian Prado</v>
      </c>
      <c r="F857" s="315" t="str">
        <f t="array" ref="F857">IF(B857=100,"Free",TEXT(XLOOKUP($D857,OperationVoice!$A:$A,OperationVoice!N:N,XLOOKUP($D857,OperationTickets!$A:$A,OperationTickets!N:N,"",0)),"hh:mm"))</f>
        <v>08:00</v>
      </c>
      <c r="G857" s="309">
        <f t="shared" si="3"/>
        <v>0.7083333333</v>
      </c>
      <c r="H857" s="316" t="str">
        <f t="array" ref="H857">XLOOKUP(B857,Roster!L:L,Roster!N:N,XLOOKUP(D857,TicketsBreak!A:A,TicketsBreak!E:E,"",0),0)</f>
        <v>10:30 - 10:45</v>
      </c>
      <c r="I857" s="316" t="str">
        <f t="array" ref="I857">XLOOKUP(B857,Roster!L:L,Roster!O:O,XLOOKUP(D857,TicketsBreak!A:A,TicketsBreak!F:F,"",0),0)</f>
        <v>13:30 - 14:00</v>
      </c>
      <c r="J857" s="316" t="str">
        <f t="array" ref="J857">XLOOKUP(B857,Roster!L:L,Roster!P:P,XLOOKUP(D857,TicketsBreak!A:A,TicketsBreak!G:G,"",0),0)</f>
        <v>15:45 - 16:00</v>
      </c>
      <c r="K857" s="310">
        <f t="shared" si="4"/>
        <v>46120</v>
      </c>
      <c r="L857" s="317">
        <f t="array" ref="L857">(XLOOKUP(D857,Roster!F:F,Roster!D:D,"",0))</f>
        <v>18</v>
      </c>
      <c r="M857" s="317" t="str">
        <f t="array" ref="M857">XLOOKUP(D857,Roster!F:F,Roster!E:E)</f>
        <v>Voice</v>
      </c>
      <c r="N857" s="317" t="str">
        <f t="shared" ref="N857:P857" si="872">LEFT(H857,5)</f>
        <v>10:30</v>
      </c>
      <c r="O857" s="317" t="str">
        <f t="shared" si="872"/>
        <v>13:30</v>
      </c>
      <c r="P857" s="317" t="str">
        <f t="shared" si="872"/>
        <v>15:45</v>
      </c>
      <c r="Q857" s="318">
        <f t="shared" si="806"/>
        <v>46120.4375</v>
      </c>
      <c r="R857" s="318">
        <f t="shared" si="807"/>
        <v>46120.5625</v>
      </c>
      <c r="S857" s="318">
        <f t="shared" si="8"/>
        <v>46120.65625</v>
      </c>
    </row>
    <row r="858">
      <c r="A858" s="14" t="str">
        <f t="shared" si="1"/>
        <v>C116546120</v>
      </c>
      <c r="B858" s="185" t="str">
        <f t="array" ref="B858">IF(F858="VL","",IF(F858="Free","Free",XLOOKUP(D858,Roster!T:T,Roster!S:S,"",0)))</f>
        <v/>
      </c>
      <c r="C858" s="313">
        <v>46120.0</v>
      </c>
      <c r="D858" s="314" t="s">
        <v>139</v>
      </c>
      <c r="E858" s="307" t="str">
        <f t="array" ref="E858">(XLOOKUP(D858,Roster!F:F,Roster!B:B,"",0))</f>
        <v>Braian Restrepo</v>
      </c>
      <c r="F858" s="315" t="str">
        <f t="array" ref="F858">IF(B858=100,"Free",TEXT(XLOOKUP($D858,OperationVoice!$A:$A,OperationVoice!N:N,XLOOKUP($D858,OperationTickets!$A:$A,OperationTickets!N:N,"",0)),"hh:mm"))</f>
        <v>08:00</v>
      </c>
      <c r="G858" s="309">
        <f t="shared" si="3"/>
        <v>0.7083333333</v>
      </c>
      <c r="H858" s="316" t="str">
        <f t="array" ref="H858">XLOOKUP(B858,Roster!L:L,Roster!N:N,XLOOKUP(D858,TicketsBreak!A:A,TicketsBreak!E:E,"",0),0)</f>
        <v/>
      </c>
      <c r="I858" s="316" t="str">
        <f t="array" ref="I858">XLOOKUP(B858,Roster!L:L,Roster!O:O,XLOOKUP(D858,TicketsBreak!A:A,TicketsBreak!F:F,"",0),0)</f>
        <v/>
      </c>
      <c r="J858" s="316" t="str">
        <f t="array" ref="J858">XLOOKUP(B858,Roster!L:L,Roster!P:P,XLOOKUP(D858,TicketsBreak!A:A,TicketsBreak!G:G,"",0),0)</f>
        <v/>
      </c>
      <c r="K858" s="310">
        <f t="shared" si="4"/>
        <v>46120</v>
      </c>
      <c r="L858" s="317">
        <f t="array" ref="L858">(XLOOKUP(D858,Roster!F:F,Roster!D:D,"",0))</f>
        <v>24</v>
      </c>
      <c r="M858" s="317" t="str">
        <f t="array" ref="M858">XLOOKUP(D858,Roster!F:F,Roster!E:E)</f>
        <v>Tickets</v>
      </c>
      <c r="N858" s="317" t="str">
        <f t="shared" ref="N858:P858" si="873">LEFT(H858,5)</f>
        <v/>
      </c>
      <c r="O858" s="317" t="str">
        <f t="shared" si="873"/>
        <v/>
      </c>
      <c r="P858" s="317" t="str">
        <f t="shared" si="873"/>
        <v/>
      </c>
      <c r="Q858" s="318" t="str">
        <f t="shared" si="806"/>
        <v/>
      </c>
      <c r="R858" s="318" t="str">
        <f t="shared" si="807"/>
        <v/>
      </c>
      <c r="S858" s="318" t="str">
        <f t="shared" si="8"/>
        <v/>
      </c>
    </row>
    <row r="859">
      <c r="A859" s="14" t="str">
        <f t="shared" si="1"/>
        <v>C127446120</v>
      </c>
      <c r="B859" s="185">
        <f t="array" ref="B859">IF(F859="VL","",IF(F859="Free","Free",XLOOKUP(D859,Roster!T:T,Roster!S:S,"",0)))</f>
        <v>126</v>
      </c>
      <c r="C859" s="313">
        <v>46120.0</v>
      </c>
      <c r="D859" s="314" t="s">
        <v>250</v>
      </c>
      <c r="E859" s="307" t="str">
        <f t="array" ref="E859">(XLOOKUP(D859,Roster!F:F,Roster!B:B,"",0))</f>
        <v>Brayan Franco</v>
      </c>
      <c r="F859" s="315" t="str">
        <f t="array" ref="F859">IF(B859=100,"Free",TEXT(XLOOKUP($D859,OperationVoice!$A:$A,OperationVoice!N:N,XLOOKUP($D859,OperationTickets!$A:$A,OperationTickets!N:N,"",0)),"hh:mm"))</f>
        <v/>
      </c>
      <c r="G859" s="309" t="str">
        <f t="shared" si="3"/>
        <v/>
      </c>
      <c r="H859" s="316" t="str">
        <f t="array" ref="H859">XLOOKUP(B859,Roster!L:L,Roster!N:N,XLOOKUP(D859,TicketsBreak!A:A,TicketsBreak!E:E,"",0),0)</f>
        <v>10:45 - 11:00</v>
      </c>
      <c r="I859" s="316" t="str">
        <f t="array" ref="I859">XLOOKUP(B859,Roster!L:L,Roster!O:O,XLOOKUP(D859,TicketsBreak!A:A,TicketsBreak!F:F,"",0),0)</f>
        <v>14:00 - 14:30</v>
      </c>
      <c r="J859" s="316" t="str">
        <f t="array" ref="J859">XLOOKUP(B859,Roster!L:L,Roster!P:P,XLOOKUP(D859,TicketsBreak!A:A,TicketsBreak!G:G,"",0),0)</f>
        <v>15:45 - 16:00</v>
      </c>
      <c r="K859" s="310">
        <f t="shared" si="4"/>
        <v>46120</v>
      </c>
      <c r="L859" s="317">
        <f t="array" ref="L859">(XLOOKUP(D859,Roster!F:F,Roster!D:D,"",0))</f>
        <v>27</v>
      </c>
      <c r="M859" s="317" t="str">
        <f t="array" ref="M859">XLOOKUP(D859,Roster!F:F,Roster!E:E)</f>
        <v>Voice</v>
      </c>
      <c r="N859" s="317" t="str">
        <f t="shared" ref="N859:P859" si="874">LEFT(H859,5)</f>
        <v>10:45</v>
      </c>
      <c r="O859" s="317" t="str">
        <f t="shared" si="874"/>
        <v>14:00</v>
      </c>
      <c r="P859" s="317" t="str">
        <f t="shared" si="874"/>
        <v>15:45</v>
      </c>
      <c r="Q859" s="318">
        <f t="shared" si="806"/>
        <v>46120.44792</v>
      </c>
      <c r="R859" s="318">
        <f t="shared" si="807"/>
        <v>46120.58333</v>
      </c>
      <c r="S859" s="318">
        <f t="shared" si="8"/>
        <v>46120.65625</v>
      </c>
    </row>
    <row r="860">
      <c r="A860" s="14" t="str">
        <f t="shared" si="1"/>
        <v>C119146120</v>
      </c>
      <c r="B860" s="185">
        <f t="array" ref="B860">IF(F860="VL","",IF(F860="Free","Free",XLOOKUP(D860,Roster!T:T,Roster!S:S,"",0)))</f>
        <v>111</v>
      </c>
      <c r="C860" s="313">
        <v>46120.0</v>
      </c>
      <c r="D860" s="314" t="s">
        <v>18</v>
      </c>
      <c r="E860" s="307" t="str">
        <f t="array" ref="E860">(XLOOKUP(D860,Roster!F:F,Roster!B:B,"",0))</f>
        <v>Brayan Montoya</v>
      </c>
      <c r="F860" s="315" t="str">
        <f t="array" ref="F860">IF(B860=100,"Free",TEXT(XLOOKUP($D860,OperationVoice!$A:$A,OperationVoice!N:N,XLOOKUP($D860,OperationTickets!$A:$A,OperationTickets!N:N,"",0)),"hh:mm"))</f>
        <v>07:00</v>
      </c>
      <c r="G860" s="309">
        <f t="shared" si="3"/>
        <v>0.6666666667</v>
      </c>
      <c r="H860" s="316" t="str">
        <f t="array" ref="H860">XLOOKUP(B860,Roster!L:L,Roster!N:N,XLOOKUP(D860,TicketsBreak!A:A,TicketsBreak!E:E,"",0),0)</f>
        <v>09:00 - 09:15</v>
      </c>
      <c r="I860" s="316" t="str">
        <f t="array" ref="I860">XLOOKUP(B860,Roster!L:L,Roster!O:O,XLOOKUP(D860,TicketsBreak!A:A,TicketsBreak!F:F,"",0),0)</f>
        <v>11:45 - 12:15</v>
      </c>
      <c r="J860" s="316" t="str">
        <f t="array" ref="J860">XLOOKUP(B860,Roster!L:L,Roster!P:P,XLOOKUP(D860,TicketsBreak!A:A,TicketsBreak!G:G,"",0),0)</f>
        <v>14:30 - 14:45</v>
      </c>
      <c r="K860" s="310">
        <f t="shared" si="4"/>
        <v>46120</v>
      </c>
      <c r="L860" s="317">
        <f t="array" ref="L860">(XLOOKUP(D860,Roster!F:F,Roster!D:D,"",0))</f>
        <v>25</v>
      </c>
      <c r="M860" s="317" t="str">
        <f t="array" ref="M860">XLOOKUP(D860,Roster!F:F,Roster!E:E)</f>
        <v>Voice</v>
      </c>
      <c r="N860" s="317" t="str">
        <f t="shared" ref="N860:P860" si="875">LEFT(H860,5)</f>
        <v>09:00</v>
      </c>
      <c r="O860" s="317" t="str">
        <f t="shared" si="875"/>
        <v>11:45</v>
      </c>
      <c r="P860" s="317" t="str">
        <f t="shared" si="875"/>
        <v>14:30</v>
      </c>
      <c r="Q860" s="318">
        <f t="shared" si="806"/>
        <v>46120.375</v>
      </c>
      <c r="R860" s="318">
        <f t="shared" si="807"/>
        <v>46120.48958</v>
      </c>
      <c r="S860" s="318">
        <f t="shared" si="8"/>
        <v>46120.60417</v>
      </c>
    </row>
    <row r="861">
      <c r="A861" s="14" t="str">
        <f t="shared" si="1"/>
        <v>C152646120</v>
      </c>
      <c r="B861" s="185" t="str">
        <f t="array" ref="B861">IF(F861="VL","",IF(F861="Free","Free",XLOOKUP(D861,Roster!T:T,Roster!S:S,"",0)))</f>
        <v>Free</v>
      </c>
      <c r="C861" s="313">
        <v>46120.0</v>
      </c>
      <c r="D861" s="314" t="s">
        <v>19</v>
      </c>
      <c r="E861" s="307" t="str">
        <f t="array" ref="E861">(XLOOKUP(D861,Roster!F:F,Roster!B:B,"",0))</f>
        <v>Breitner Benitez</v>
      </c>
      <c r="F861" s="315" t="str">
        <f t="array" ref="F861">IF(B861=100,"Free",TEXT(XLOOKUP($D861,OperationVoice!$A:$A,OperationVoice!N:N,XLOOKUP($D861,OperationTickets!$A:$A,OperationTickets!N:N,"",0)),"hh:mm"))</f>
        <v>Free</v>
      </c>
      <c r="G861" s="309" t="str">
        <f t="shared" si="3"/>
        <v>Free</v>
      </c>
      <c r="H861" s="316" t="str">
        <f t="array" ref="H861">XLOOKUP(B861,Roster!L:L,Roster!N:N,XLOOKUP(D861,TicketsBreak!A:A,TicketsBreak!E:E,"",0),0)</f>
        <v/>
      </c>
      <c r="I861" s="316" t="str">
        <f t="array" ref="I861">XLOOKUP(B861,Roster!L:L,Roster!O:O,XLOOKUP(D861,TicketsBreak!A:A,TicketsBreak!F:F,"",0),0)</f>
        <v/>
      </c>
      <c r="J861" s="316" t="str">
        <f t="array" ref="J861">XLOOKUP(B861,Roster!L:L,Roster!P:P,XLOOKUP(D861,TicketsBreak!A:A,TicketsBreak!G:G,"",0),0)</f>
        <v/>
      </c>
      <c r="K861" s="310">
        <f t="shared" si="4"/>
        <v>46120</v>
      </c>
      <c r="L861" s="317">
        <f t="array" ref="L861">(XLOOKUP(D861,Roster!F:F,Roster!D:D,"",0))</f>
        <v>13</v>
      </c>
      <c r="M861" s="317" t="str">
        <f t="array" ref="M861">XLOOKUP(D861,Roster!F:F,Roster!E:E)</f>
        <v>Voice</v>
      </c>
      <c r="N861" s="317" t="str">
        <f t="shared" ref="N861:P861" si="876">LEFT(H861,5)</f>
        <v/>
      </c>
      <c r="O861" s="317" t="str">
        <f t="shared" si="876"/>
        <v/>
      </c>
      <c r="P861" s="317" t="str">
        <f t="shared" si="876"/>
        <v/>
      </c>
      <c r="Q861" s="318" t="str">
        <f t="shared" si="806"/>
        <v/>
      </c>
      <c r="R861" s="318" t="str">
        <f t="shared" si="807"/>
        <v/>
      </c>
      <c r="S861" s="318" t="str">
        <f t="shared" si="8"/>
        <v/>
      </c>
    </row>
    <row r="862">
      <c r="A862" s="14" t="str">
        <f t="shared" si="1"/>
        <v>C153546120</v>
      </c>
      <c r="B862" s="185">
        <f t="array" ref="B862">IF(F862="VL","",IF(F862="Free","Free",XLOOKUP(D862,Roster!T:T,Roster!S:S,"",0)))</f>
        <v>154</v>
      </c>
      <c r="C862" s="313">
        <v>46120.0</v>
      </c>
      <c r="D862" s="314" t="s">
        <v>20</v>
      </c>
      <c r="E862" s="307" t="str">
        <f t="array" ref="E862">(XLOOKUP(D862,Roster!F:F,Roster!B:B,"",0))</f>
        <v>Carlos Alzate</v>
      </c>
      <c r="F862" s="315" t="str">
        <f t="array" ref="F862">IF(B862=100,"Free",TEXT(XLOOKUP($D862,OperationVoice!$A:$A,OperationVoice!N:N,XLOOKUP($D862,OperationTickets!$A:$A,OperationTickets!N:N,"",0)),"hh:mm"))</f>
        <v>11:00</v>
      </c>
      <c r="G862" s="309">
        <f t="shared" si="3"/>
        <v>0.8333333333</v>
      </c>
      <c r="H862" s="316" t="str">
        <f t="array" ref="H862">XLOOKUP(B862,Roster!L:L,Roster!N:N,XLOOKUP(D862,TicketsBreak!A:A,TicketsBreak!E:E,"",0),0)</f>
        <v>13:00 - 13:15</v>
      </c>
      <c r="I862" s="316" t="str">
        <f t="array" ref="I862">XLOOKUP(B862,Roster!L:L,Roster!O:O,XLOOKUP(D862,TicketsBreak!A:A,TicketsBreak!F:F,"",0),0)</f>
        <v>15:15 - 15:45</v>
      </c>
      <c r="J862" s="316" t="str">
        <f t="array" ref="J862">XLOOKUP(B862,Roster!L:L,Roster!P:P,XLOOKUP(D862,TicketsBreak!A:A,TicketsBreak!G:G,"",0),0)</f>
        <v>18:00 - 18:15</v>
      </c>
      <c r="K862" s="310">
        <f t="shared" si="4"/>
        <v>46120</v>
      </c>
      <c r="L862" s="317">
        <f t="array" ref="L862">(XLOOKUP(D862,Roster!F:F,Roster!D:D,"",0))</f>
        <v>36</v>
      </c>
      <c r="M862" s="317" t="str">
        <f t="array" ref="M862">XLOOKUP(D862,Roster!F:F,Roster!E:E)</f>
        <v>Voice</v>
      </c>
      <c r="N862" s="317" t="str">
        <f t="shared" ref="N862:P862" si="877">LEFT(H862,5)</f>
        <v>13:00</v>
      </c>
      <c r="O862" s="317" t="str">
        <f t="shared" si="877"/>
        <v>15:15</v>
      </c>
      <c r="P862" s="317" t="str">
        <f t="shared" si="877"/>
        <v>18:00</v>
      </c>
      <c r="Q862" s="318">
        <f t="shared" si="806"/>
        <v>46120.54167</v>
      </c>
      <c r="R862" s="318">
        <f t="shared" si="807"/>
        <v>46120.63542</v>
      </c>
      <c r="S862" s="318">
        <f t="shared" si="8"/>
        <v>46120.75</v>
      </c>
    </row>
    <row r="863">
      <c r="A863" s="14" t="str">
        <f t="shared" si="1"/>
        <v>C153146120</v>
      </c>
      <c r="B863" s="185" t="str">
        <f t="array" ref="B863">IF(F863="VL","",IF(F863="Free","Free",XLOOKUP(D863,Roster!T:T,Roster!S:S,"",0)))</f>
        <v>Free</v>
      </c>
      <c r="C863" s="313">
        <v>46120.0</v>
      </c>
      <c r="D863" s="314" t="s">
        <v>21</v>
      </c>
      <c r="E863" s="307" t="str">
        <f t="array" ref="E863">(XLOOKUP(D863,Roster!F:F,Roster!B:B,"",0))</f>
        <v>Carlos Palma</v>
      </c>
      <c r="F863" s="315" t="str">
        <f t="array" ref="F863">IF(B863=100,"Free",TEXT(XLOOKUP($D863,OperationVoice!$A:$A,OperationVoice!N:N,XLOOKUP($D863,OperationTickets!$A:$A,OperationTickets!N:N,"",0)),"hh:mm"))</f>
        <v>Free</v>
      </c>
      <c r="G863" s="309" t="str">
        <f t="shared" si="3"/>
        <v>Free</v>
      </c>
      <c r="H863" s="316" t="str">
        <f t="array" ref="H863">XLOOKUP(B863,Roster!L:L,Roster!N:N,XLOOKUP(D863,TicketsBreak!A:A,TicketsBreak!E:E,"",0),0)</f>
        <v/>
      </c>
      <c r="I863" s="316" t="str">
        <f t="array" ref="I863">XLOOKUP(B863,Roster!L:L,Roster!O:O,XLOOKUP(D863,TicketsBreak!A:A,TicketsBreak!F:F,"",0),0)</f>
        <v/>
      </c>
      <c r="J863" s="316" t="str">
        <f t="array" ref="J863">XLOOKUP(B863,Roster!L:L,Roster!P:P,XLOOKUP(D863,TicketsBreak!A:A,TicketsBreak!G:G,"",0),0)</f>
        <v/>
      </c>
      <c r="K863" s="310">
        <f t="shared" si="4"/>
        <v>46120</v>
      </c>
      <c r="L863" s="317">
        <f t="array" ref="L863">(XLOOKUP(D863,Roster!F:F,Roster!D:D,"",0))</f>
        <v>36</v>
      </c>
      <c r="M863" s="317" t="str">
        <f t="array" ref="M863">XLOOKUP(D863,Roster!F:F,Roster!E:E)</f>
        <v>Voice</v>
      </c>
      <c r="N863" s="317" t="str">
        <f t="shared" ref="N863:P863" si="878">LEFT(H863,5)</f>
        <v/>
      </c>
      <c r="O863" s="317" t="str">
        <f t="shared" si="878"/>
        <v/>
      </c>
      <c r="P863" s="317" t="str">
        <f t="shared" si="878"/>
        <v/>
      </c>
      <c r="Q863" s="318" t="str">
        <f t="shared" si="806"/>
        <v/>
      </c>
      <c r="R863" s="318" t="str">
        <f t="shared" si="807"/>
        <v/>
      </c>
      <c r="S863" s="318" t="str">
        <f t="shared" si="8"/>
        <v/>
      </c>
    </row>
    <row r="864">
      <c r="A864" s="14" t="str">
        <f t="shared" si="1"/>
        <v>C157646120</v>
      </c>
      <c r="B864" s="185" t="str">
        <f t="array" ref="B864">IF(F864="VL","",IF(F864="Free","Free",XLOOKUP(D864,Roster!T:T,Roster!S:S,"",0)))</f>
        <v/>
      </c>
      <c r="C864" s="313">
        <v>46120.0</v>
      </c>
      <c r="D864" s="314" t="s">
        <v>313</v>
      </c>
      <c r="E864" s="307" t="str">
        <f t="array" ref="E864">(XLOOKUP(D864,Roster!F:F,Roster!B:B,"",0))</f>
        <v>Carlos Ruiz</v>
      </c>
      <c r="F864" s="315" t="str">
        <f t="array" ref="F864">IF(B864=100,"Free",TEXT(XLOOKUP($D864,OperationVoice!$A:$A,OperationVoice!N:N,XLOOKUP($D864,OperationTickets!$A:$A,OperationTickets!N:N,"",0)),"hh:mm"))</f>
        <v/>
      </c>
      <c r="G864" s="309" t="str">
        <f t="shared" si="3"/>
        <v/>
      </c>
      <c r="H864" s="316" t="str">
        <f t="array" ref="H864">XLOOKUP(B864,Roster!L:L,Roster!N:N,XLOOKUP(D864,TicketsBreak!A:A,TicketsBreak!E:E,"",0),0)</f>
        <v/>
      </c>
      <c r="I864" s="316" t="str">
        <f t="array" ref="I864">XLOOKUP(B864,Roster!L:L,Roster!O:O,XLOOKUP(D864,TicketsBreak!A:A,TicketsBreak!F:F,"",0),0)</f>
        <v/>
      </c>
      <c r="J864" s="316" t="str">
        <f t="array" ref="J864">XLOOKUP(B864,Roster!L:L,Roster!P:P,XLOOKUP(D864,TicketsBreak!A:A,TicketsBreak!G:G,"",0),0)</f>
        <v/>
      </c>
      <c r="K864" s="310">
        <f t="shared" si="4"/>
        <v>46120</v>
      </c>
      <c r="L864" s="317">
        <f t="array" ref="L864">(XLOOKUP(D864,Roster!F:F,Roster!D:D,"",0))</f>
        <v>38</v>
      </c>
      <c r="M864" s="317" t="str">
        <f t="array" ref="M864">XLOOKUP(D864,Roster!F:F,Roster!E:E)</f>
        <v>Nesting</v>
      </c>
      <c r="N864" s="317" t="str">
        <f t="shared" ref="N864:P864" si="879">LEFT(H864,5)</f>
        <v/>
      </c>
      <c r="O864" s="317" t="str">
        <f t="shared" si="879"/>
        <v/>
      </c>
      <c r="P864" s="317" t="str">
        <f t="shared" si="879"/>
        <v/>
      </c>
      <c r="Q864" s="318" t="str">
        <f t="shared" si="806"/>
        <v/>
      </c>
      <c r="R864" s="318" t="str">
        <f t="shared" si="807"/>
        <v/>
      </c>
      <c r="S864" s="318" t="str">
        <f t="shared" si="8"/>
        <v/>
      </c>
    </row>
    <row r="865">
      <c r="A865" s="14" t="str">
        <f t="shared" si="1"/>
        <v>C47946120</v>
      </c>
      <c r="B865" s="185" t="str">
        <f t="array" ref="B865">IF(F865="VL","",IF(F865="Free","Free",XLOOKUP(D865,Roster!T:T,Roster!S:S,"",0)))</f>
        <v/>
      </c>
      <c r="C865" s="313">
        <v>46120.0</v>
      </c>
      <c r="D865" s="314" t="s">
        <v>173</v>
      </c>
      <c r="E865" s="307" t="str">
        <f t="array" ref="E865">(XLOOKUP(D865,Roster!F:F,Roster!B:B,"",0))</f>
        <v>Carmen Grajales</v>
      </c>
      <c r="F865" s="315" t="str">
        <f t="array" ref="F865">IF(B865=100,"Free",TEXT(XLOOKUP($D865,OperationVoice!$A:$A,OperationVoice!N:N,XLOOKUP($D865,OperationTickets!$A:$A,OperationTickets!N:N,"",0)),"hh:mm"))</f>
        <v>08:00</v>
      </c>
      <c r="G865" s="309">
        <f t="shared" si="3"/>
        <v>0.7083333333</v>
      </c>
      <c r="H865" s="316">
        <f t="array" ref="H865">XLOOKUP(B865,Roster!L:L,Roster!N:N,XLOOKUP(D865,TicketsBreak!A:A,TicketsBreak!E:E,"",0),0)</f>
        <v>0.4270833333</v>
      </c>
      <c r="I865" s="316">
        <f t="array" ref="I865">XLOOKUP(B865,Roster!L:L,Roster!O:O,XLOOKUP(D865,TicketsBreak!A:A,TicketsBreak!F:F,"",0),0)</f>
        <v>0.53125</v>
      </c>
      <c r="J865" s="316">
        <f t="array" ref="J865">XLOOKUP(B865,Roster!L:L,Roster!P:P,XLOOKUP(D865,TicketsBreak!A:A,TicketsBreak!G:G,"",0),0)</f>
        <v>0.65625</v>
      </c>
      <c r="K865" s="310">
        <f t="shared" si="4"/>
        <v>46120</v>
      </c>
      <c r="L865" s="317">
        <f t="array" ref="L865">(XLOOKUP(D865,Roster!F:F,Roster!D:D,"",0))</f>
        <v>2</v>
      </c>
      <c r="M865" s="317" t="str">
        <f t="array" ref="M865">XLOOKUP(D865,Roster!F:F,Roster!E:E)</f>
        <v>Tickets</v>
      </c>
      <c r="N865" s="317" t="str">
        <f t="shared" ref="N865:P865" si="880">LEFT(H865,5)</f>
        <v>10:15</v>
      </c>
      <c r="O865" s="317" t="str">
        <f t="shared" si="880"/>
        <v>12:45</v>
      </c>
      <c r="P865" s="317" t="str">
        <f t="shared" si="880"/>
        <v>15:45</v>
      </c>
      <c r="Q865" s="318">
        <f t="shared" si="806"/>
        <v>46120.42708</v>
      </c>
      <c r="R865" s="318">
        <f t="shared" si="807"/>
        <v>46120.53125</v>
      </c>
      <c r="S865" s="318">
        <f t="shared" si="8"/>
        <v>46120.65625</v>
      </c>
    </row>
    <row r="866">
      <c r="A866" s="14" t="str">
        <f t="shared" si="1"/>
        <v>C68746120</v>
      </c>
      <c r="B866" s="185">
        <f t="array" ref="B866">IF(F866="VL","",IF(F866="Free","Free",XLOOKUP(D866,Roster!T:T,Roster!S:S,"",0)))</f>
        <v>122</v>
      </c>
      <c r="C866" s="313">
        <v>46120.0</v>
      </c>
      <c r="D866" s="314" t="s">
        <v>22</v>
      </c>
      <c r="E866" s="307" t="str">
        <f t="array" ref="E866">(XLOOKUP(D866,Roster!F:F,Roster!B:B,"",0))</f>
        <v>Carolina Rios</v>
      </c>
      <c r="F866" s="315" t="str">
        <f t="array" ref="F866">IF(B866=100,"Free",TEXT(XLOOKUP($D866,OperationVoice!$A:$A,OperationVoice!N:N,XLOOKUP($D866,OperationTickets!$A:$A,OperationTickets!N:N,"",0)),"hh:mm"))</f>
        <v>08:00</v>
      </c>
      <c r="G866" s="309">
        <f t="shared" si="3"/>
        <v>0.7083333333</v>
      </c>
      <c r="H866" s="316" t="str">
        <f t="array" ref="H866">XLOOKUP(B866,Roster!L:L,Roster!N:N,XLOOKUP(D866,TicketsBreak!A:A,TicketsBreak!E:E,"",0),0)</f>
        <v>09:30 - 09:45</v>
      </c>
      <c r="I866" s="316" t="str">
        <f t="array" ref="I866">XLOOKUP(B866,Roster!L:L,Roster!O:O,XLOOKUP(D866,TicketsBreak!A:A,TicketsBreak!F:F,"",0),0)</f>
        <v>12:00 - 12:30</v>
      </c>
      <c r="J866" s="316" t="str">
        <f t="array" ref="J866">XLOOKUP(B866,Roster!L:L,Roster!P:P,XLOOKUP(D866,TicketsBreak!A:A,TicketsBreak!G:G,"",0),0)</f>
        <v>14:45 - 15:00</v>
      </c>
      <c r="K866" s="310">
        <f t="shared" si="4"/>
        <v>46120</v>
      </c>
      <c r="L866" s="317">
        <f t="array" ref="L866">(XLOOKUP(D866,Roster!F:F,Roster!D:D,"",0))</f>
        <v>5</v>
      </c>
      <c r="M866" s="317" t="str">
        <f t="array" ref="M866">XLOOKUP(D866,Roster!F:F,Roster!E:E)</f>
        <v>Voice</v>
      </c>
      <c r="N866" s="317" t="str">
        <f t="shared" ref="N866:P866" si="881">LEFT(H866,5)</f>
        <v>09:30</v>
      </c>
      <c r="O866" s="317" t="str">
        <f t="shared" si="881"/>
        <v>12:00</v>
      </c>
      <c r="P866" s="317" t="str">
        <f t="shared" si="881"/>
        <v>14:45</v>
      </c>
      <c r="Q866" s="318">
        <f t="shared" si="806"/>
        <v>46120.39583</v>
      </c>
      <c r="R866" s="318">
        <f t="shared" si="807"/>
        <v>46120.5</v>
      </c>
      <c r="S866" s="318">
        <f t="shared" si="8"/>
        <v>46120.61458</v>
      </c>
    </row>
    <row r="867">
      <c r="A867" s="14" t="str">
        <f t="shared" si="1"/>
        <v>C152846120</v>
      </c>
      <c r="B867" s="185">
        <f t="array" ref="B867">IF(F867="VL","",IF(F867="Free","Free",XLOOKUP(D867,Roster!T:T,Roster!S:S,"",0)))</f>
        <v>132</v>
      </c>
      <c r="C867" s="313">
        <v>46120.0</v>
      </c>
      <c r="D867" s="314" t="s">
        <v>23</v>
      </c>
      <c r="E867" s="307" t="str">
        <f t="array" ref="E867">(XLOOKUP(D867,Roster!F:F,Roster!B:B,"",0))</f>
        <v>Christian Ramirez</v>
      </c>
      <c r="F867" s="315" t="str">
        <f t="array" ref="F867">IF(B867=100,"Free",TEXT(XLOOKUP($D867,OperationVoice!$A:$A,OperationVoice!N:N,XLOOKUP($D867,OperationTickets!$A:$A,OperationTickets!N:N,"",0)),"hh:mm"))</f>
        <v>08:00</v>
      </c>
      <c r="G867" s="309">
        <f t="shared" si="3"/>
        <v>0.7083333333</v>
      </c>
      <c r="H867" s="316" t="str">
        <f t="array" ref="H867">XLOOKUP(B867,Roster!L:L,Roster!N:N,XLOOKUP(D867,TicketsBreak!A:A,TicketsBreak!E:E,"",0),0)</f>
        <v>10:30 - 10:45</v>
      </c>
      <c r="I867" s="316" t="str">
        <f t="array" ref="I867">XLOOKUP(B867,Roster!L:L,Roster!O:O,XLOOKUP(D867,TicketsBreak!A:A,TicketsBreak!F:F,"",0),0)</f>
        <v>13:00 - 13:30</v>
      </c>
      <c r="J867" s="316" t="str">
        <f t="array" ref="J867">XLOOKUP(B867,Roster!L:L,Roster!P:P,XLOOKUP(D867,TicketsBreak!A:A,TicketsBreak!G:G,"",0),0)</f>
        <v>15:30 - 15:45</v>
      </c>
      <c r="K867" s="310">
        <f t="shared" si="4"/>
        <v>46120</v>
      </c>
      <c r="L867" s="317">
        <f t="array" ref="L867">(XLOOKUP(D867,Roster!F:F,Roster!D:D,"",0))</f>
        <v>36</v>
      </c>
      <c r="M867" s="317" t="str">
        <f t="array" ref="M867">XLOOKUP(D867,Roster!F:F,Roster!E:E)</f>
        <v>Voice</v>
      </c>
      <c r="N867" s="317" t="str">
        <f t="shared" ref="N867:P867" si="882">LEFT(H867,5)</f>
        <v>10:30</v>
      </c>
      <c r="O867" s="317" t="str">
        <f t="shared" si="882"/>
        <v>13:00</v>
      </c>
      <c r="P867" s="317" t="str">
        <f t="shared" si="882"/>
        <v>15:30</v>
      </c>
      <c r="Q867" s="318">
        <f t="shared" si="806"/>
        <v>46120.4375</v>
      </c>
      <c r="R867" s="318">
        <f t="shared" si="807"/>
        <v>46120.54167</v>
      </c>
      <c r="S867" s="318">
        <f t="shared" si="8"/>
        <v>46120.64583</v>
      </c>
    </row>
    <row r="868">
      <c r="A868" s="14" t="str">
        <f t="shared" si="1"/>
        <v>C132546120</v>
      </c>
      <c r="B868" s="185">
        <f t="array" ref="B868">IF(F868="VL","",IF(F868="Free","Free",XLOOKUP(D868,Roster!T:T,Roster!S:S,"",0)))</f>
        <v>123</v>
      </c>
      <c r="C868" s="313">
        <v>46120.0</v>
      </c>
      <c r="D868" s="314" t="s">
        <v>174</v>
      </c>
      <c r="E868" s="307" t="str">
        <f t="array" ref="E868">(XLOOKUP(D868,Roster!F:F,Roster!B:B,"",0))</f>
        <v>Cristian Ferreira</v>
      </c>
      <c r="F868" s="315" t="str">
        <f t="array" ref="F868">IF(B868=100,"Free",TEXT(XLOOKUP($D868,OperationVoice!$A:$A,OperationVoice!N:N,XLOOKUP($D868,OperationTickets!$A:$A,OperationTickets!N:N,"",0)),"hh:mm"))</f>
        <v>08:00</v>
      </c>
      <c r="G868" s="309">
        <f t="shared" si="3"/>
        <v>0.7083333333</v>
      </c>
      <c r="H868" s="316" t="str">
        <f t="array" ref="H868">XLOOKUP(B868,Roster!L:L,Roster!N:N,XLOOKUP(D868,TicketsBreak!A:A,TicketsBreak!E:E,"",0),0)</f>
        <v>09:45 - 10:00 </v>
      </c>
      <c r="I868" s="316" t="str">
        <f t="array" ref="I868">XLOOKUP(B868,Roster!L:L,Roster!O:O,XLOOKUP(D868,TicketsBreak!A:A,TicketsBreak!F:F,"",0),0)</f>
        <v>12:30 - 13:00</v>
      </c>
      <c r="J868" s="316" t="str">
        <f t="array" ref="J868">XLOOKUP(B868,Roster!L:L,Roster!P:P,XLOOKUP(D868,TicketsBreak!A:A,TicketsBreak!G:G,"",0),0)</f>
        <v>15:00 - 15:15</v>
      </c>
      <c r="K868" s="310">
        <f t="shared" si="4"/>
        <v>46120</v>
      </c>
      <c r="L868" s="317">
        <f t="array" ref="L868">(XLOOKUP(D868,Roster!F:F,Roster!D:D,"",0))</f>
        <v>29</v>
      </c>
      <c r="M868" s="317" t="str">
        <f t="array" ref="M868">XLOOKUP(D868,Roster!F:F,Roster!E:E)</f>
        <v>Tickets</v>
      </c>
      <c r="N868" s="317" t="str">
        <f t="shared" ref="N868:P868" si="883">LEFT(H868,5)</f>
        <v>09:45</v>
      </c>
      <c r="O868" s="317" t="str">
        <f t="shared" si="883"/>
        <v>12:30</v>
      </c>
      <c r="P868" s="317" t="str">
        <f t="shared" si="883"/>
        <v>15:00</v>
      </c>
      <c r="Q868" s="318">
        <f t="shared" si="806"/>
        <v>46120.40625</v>
      </c>
      <c r="R868" s="318">
        <f t="shared" si="807"/>
        <v>46120.52083</v>
      </c>
      <c r="S868" s="318">
        <f t="shared" si="8"/>
        <v>46120.625</v>
      </c>
    </row>
    <row r="869">
      <c r="A869" s="14" t="str">
        <f t="shared" si="1"/>
        <v>C151046120</v>
      </c>
      <c r="B869" s="185" t="str">
        <f t="array" ref="B869">IF(F869="VL","",IF(F869="Free","Free",XLOOKUP(D869,Roster!T:T,Roster!S:S,"",0)))</f>
        <v>Free</v>
      </c>
      <c r="C869" s="313">
        <v>46120.0</v>
      </c>
      <c r="D869" s="314" t="s">
        <v>24</v>
      </c>
      <c r="E869" s="307" t="str">
        <f t="array" ref="E869">(XLOOKUP(D869,Roster!F:F,Roster!B:B,"",0))</f>
        <v>Cristian Gomez</v>
      </c>
      <c r="F869" s="315" t="str">
        <f t="array" ref="F869">IF(B869=100,"Free",TEXT(XLOOKUP($D869,OperationVoice!$A:$A,OperationVoice!N:N,XLOOKUP($D869,OperationTickets!$A:$A,OperationTickets!N:N,"",0)),"hh:mm"))</f>
        <v>Free</v>
      </c>
      <c r="G869" s="309" t="str">
        <f t="shared" si="3"/>
        <v>Free</v>
      </c>
      <c r="H869" s="316" t="str">
        <f t="array" ref="H869">XLOOKUP(B869,Roster!L:L,Roster!N:N,XLOOKUP(D869,TicketsBreak!A:A,TicketsBreak!E:E,"",0),0)</f>
        <v/>
      </c>
      <c r="I869" s="316" t="str">
        <f t="array" ref="I869">XLOOKUP(B869,Roster!L:L,Roster!O:O,XLOOKUP(D869,TicketsBreak!A:A,TicketsBreak!F:F,"",0),0)</f>
        <v/>
      </c>
      <c r="J869" s="316" t="str">
        <f t="array" ref="J869">XLOOKUP(B869,Roster!L:L,Roster!P:P,XLOOKUP(D869,TicketsBreak!A:A,TicketsBreak!G:G,"",0),0)</f>
        <v/>
      </c>
      <c r="K869" s="310">
        <f t="shared" si="4"/>
        <v>46120</v>
      </c>
      <c r="L869" s="317">
        <f t="array" ref="L869">(XLOOKUP(D869,Roster!F:F,Roster!D:D,"",0))</f>
        <v>35</v>
      </c>
      <c r="M869" s="317" t="str">
        <f t="array" ref="M869">XLOOKUP(D869,Roster!F:F,Roster!E:E)</f>
        <v>Voice</v>
      </c>
      <c r="N869" s="317" t="str">
        <f t="shared" ref="N869:P869" si="884">LEFT(H869,5)</f>
        <v/>
      </c>
      <c r="O869" s="317" t="str">
        <f t="shared" si="884"/>
        <v/>
      </c>
      <c r="P869" s="317" t="str">
        <f t="shared" si="884"/>
        <v/>
      </c>
      <c r="Q869" s="318" t="str">
        <f t="shared" si="806"/>
        <v/>
      </c>
      <c r="R869" s="318" t="str">
        <f t="shared" si="807"/>
        <v/>
      </c>
      <c r="S869" s="318" t="str">
        <f t="shared" si="8"/>
        <v/>
      </c>
    </row>
    <row r="870">
      <c r="A870" s="14" t="str">
        <f t="shared" si="1"/>
        <v>C67346120</v>
      </c>
      <c r="B870" s="185" t="str">
        <f t="array" ref="B870">IF(F870="VL","",IF(F870="Free","Free",XLOOKUP(D870,Roster!T:T,Roster!S:S,"",0)))</f>
        <v>Free</v>
      </c>
      <c r="C870" s="313">
        <v>46120.0</v>
      </c>
      <c r="D870" s="314" t="s">
        <v>156</v>
      </c>
      <c r="E870" s="307" t="str">
        <f t="array" ref="E870">(XLOOKUP(D870,Roster!F:F,Roster!B:B,"",0))</f>
        <v>Dahiana Cano</v>
      </c>
      <c r="F870" s="315" t="str">
        <f t="array" ref="F870">IF(B870=100,"Free",TEXT(XLOOKUP($D870,OperationVoice!$A:$A,OperationVoice!N:N,XLOOKUP($D870,OperationTickets!$A:$A,OperationTickets!N:N,"",0)),"hh:mm"))</f>
        <v>Free</v>
      </c>
      <c r="G870" s="309" t="str">
        <f t="shared" si="3"/>
        <v>Free</v>
      </c>
      <c r="H870" s="316">
        <f t="array" ref="H870">XLOOKUP(B870,Roster!L:L,Roster!N:N,XLOOKUP(D870,TicketsBreak!A:A,TicketsBreak!E:E,"",0),0)</f>
        <v>0.4583333333</v>
      </c>
      <c r="I870" s="316">
        <f t="array" ref="I870">XLOOKUP(B870,Roster!L:L,Roster!O:O,XLOOKUP(D870,TicketsBreak!A:A,TicketsBreak!F:F,"",0),0)</f>
        <v>0.5833333333</v>
      </c>
      <c r="J870" s="316">
        <f t="array" ref="J870">XLOOKUP(B870,Roster!L:L,Roster!P:P,XLOOKUP(D870,TicketsBreak!A:A,TicketsBreak!G:G,"",0),0)</f>
        <v>0.65625</v>
      </c>
      <c r="K870" s="310">
        <f t="shared" si="4"/>
        <v>46120</v>
      </c>
      <c r="L870" s="317">
        <f t="array" ref="L870">(XLOOKUP(D870,Roster!F:F,Roster!D:D,"",0))</f>
        <v>4</v>
      </c>
      <c r="M870" s="317" t="str">
        <f t="array" ref="M870">XLOOKUP(D870,Roster!F:F,Roster!E:E)</f>
        <v>Tickets</v>
      </c>
      <c r="N870" s="317" t="str">
        <f t="shared" ref="N870:P870" si="885">LEFT(H870,5)</f>
        <v>11:00</v>
      </c>
      <c r="O870" s="317" t="str">
        <f t="shared" si="885"/>
        <v>14:00</v>
      </c>
      <c r="P870" s="317" t="str">
        <f t="shared" si="885"/>
        <v>15:45</v>
      </c>
      <c r="Q870" s="318">
        <f t="shared" si="806"/>
        <v>46120.45833</v>
      </c>
      <c r="R870" s="318">
        <f t="shared" si="807"/>
        <v>46120.58333</v>
      </c>
      <c r="S870" s="318">
        <f t="shared" si="8"/>
        <v>46120.65625</v>
      </c>
    </row>
    <row r="871">
      <c r="A871" s="14" t="str">
        <f t="shared" si="1"/>
        <v>C152946120</v>
      </c>
      <c r="B871" s="185">
        <f t="array" ref="B871">IF(F871="VL","",IF(F871="Free","Free",XLOOKUP(D871,Roster!T:T,Roster!S:S,"",0)))</f>
        <v>133</v>
      </c>
      <c r="C871" s="313">
        <v>46120.0</v>
      </c>
      <c r="D871" s="314" t="s">
        <v>25</v>
      </c>
      <c r="E871" s="307" t="str">
        <f t="array" ref="E871">(XLOOKUP(D871,Roster!F:F,Roster!B:B,"",0))</f>
        <v>Daniel Barrientos</v>
      </c>
      <c r="F871" s="315" t="str">
        <f t="array" ref="F871">IF(B871=100,"Free",TEXT(XLOOKUP($D871,OperationVoice!$A:$A,OperationVoice!N:N,XLOOKUP($D871,OperationTickets!$A:$A,OperationTickets!N:N,"",0)),"hh:mm"))</f>
        <v>09:00</v>
      </c>
      <c r="G871" s="309">
        <f t="shared" si="3"/>
        <v>0.75</v>
      </c>
      <c r="H871" s="316" t="str">
        <f t="array" ref="H871">XLOOKUP(B871,Roster!L:L,Roster!N:N,XLOOKUP(D871,TicketsBreak!A:A,TicketsBreak!E:E,"",0),0)</f>
        <v>10:45 - 11:00 </v>
      </c>
      <c r="I871" s="316" t="str">
        <f t="array" ref="I871">XLOOKUP(B871,Roster!L:L,Roster!O:O,XLOOKUP(D871,TicketsBreak!A:A,TicketsBreak!F:F,"",0),0)</f>
        <v>13:30 - 14:00</v>
      </c>
      <c r="J871" s="316" t="str">
        <f t="array" ref="J871">XLOOKUP(B871,Roster!L:L,Roster!P:P,XLOOKUP(D871,TicketsBreak!A:A,TicketsBreak!G:G,"",0),0)</f>
        <v>15:45 - 16:00</v>
      </c>
      <c r="K871" s="310">
        <f t="shared" si="4"/>
        <v>46120</v>
      </c>
      <c r="L871" s="317">
        <f t="array" ref="L871">(XLOOKUP(D871,Roster!F:F,Roster!D:D,"",0))</f>
        <v>36</v>
      </c>
      <c r="M871" s="317" t="str">
        <f t="array" ref="M871">XLOOKUP(D871,Roster!F:F,Roster!E:E)</f>
        <v>Voice</v>
      </c>
      <c r="N871" s="317" t="str">
        <f t="shared" ref="N871:P871" si="886">LEFT(H871,5)</f>
        <v>10:45</v>
      </c>
      <c r="O871" s="317" t="str">
        <f t="shared" si="886"/>
        <v>13:30</v>
      </c>
      <c r="P871" s="317" t="str">
        <f t="shared" si="886"/>
        <v>15:45</v>
      </c>
      <c r="Q871" s="318">
        <f t="shared" si="806"/>
        <v>46120.44792</v>
      </c>
      <c r="R871" s="318">
        <f t="shared" si="807"/>
        <v>46120.5625</v>
      </c>
      <c r="S871" s="318">
        <f t="shared" si="8"/>
        <v>46120.65625</v>
      </c>
    </row>
    <row r="872">
      <c r="A872" s="14" t="str">
        <f t="shared" si="1"/>
        <v>C106446120</v>
      </c>
      <c r="B872" s="185" t="str">
        <f t="array" ref="B872">IF(F872="VL","",IF(F872="Free","Free",XLOOKUP(D872,Roster!T:T,Roster!S:S,"",0)))</f>
        <v>Free</v>
      </c>
      <c r="C872" s="313">
        <v>46120.0</v>
      </c>
      <c r="D872" s="314" t="s">
        <v>175</v>
      </c>
      <c r="E872" s="307" t="str">
        <f t="array" ref="E872">(XLOOKUP(D872,Roster!F:F,Roster!B:B,"",0))</f>
        <v>Daniel Urrego</v>
      </c>
      <c r="F872" s="315" t="str">
        <f t="array" ref="F872">IF(B872=100,"Free",TEXT(XLOOKUP($D872,OperationVoice!$A:$A,OperationVoice!N:N,XLOOKUP($D872,OperationTickets!$A:$A,OperationTickets!N:N,"",0)),"hh:mm"))</f>
        <v>Free</v>
      </c>
      <c r="G872" s="309" t="str">
        <f t="shared" si="3"/>
        <v>Free</v>
      </c>
      <c r="H872" s="316" t="str">
        <f t="array" ref="H872">XLOOKUP(B872,Roster!L:L,Roster!N:N,XLOOKUP(D872,TicketsBreak!A:A,TicketsBreak!E:E,"",0),0)</f>
        <v/>
      </c>
      <c r="I872" s="316" t="str">
        <f t="array" ref="I872">XLOOKUP(B872,Roster!L:L,Roster!O:O,XLOOKUP(D872,TicketsBreak!A:A,TicketsBreak!F:F,"",0),0)</f>
        <v/>
      </c>
      <c r="J872" s="316" t="str">
        <f t="array" ref="J872">XLOOKUP(B872,Roster!L:L,Roster!P:P,XLOOKUP(D872,TicketsBreak!A:A,TicketsBreak!G:G,"",0),0)</f>
        <v/>
      </c>
      <c r="K872" s="310">
        <f t="shared" si="4"/>
        <v>46120</v>
      </c>
      <c r="L872" s="317">
        <f t="array" ref="L872">(XLOOKUP(D872,Roster!F:F,Roster!D:D,"",0))</f>
        <v>17</v>
      </c>
      <c r="M872" s="317" t="str">
        <f t="array" ref="M872">XLOOKUP(D872,Roster!F:F,Roster!E:E)</f>
        <v>Tickets</v>
      </c>
      <c r="N872" s="317" t="str">
        <f t="shared" ref="N872:P872" si="887">LEFT(H872,5)</f>
        <v/>
      </c>
      <c r="O872" s="317" t="str">
        <f t="shared" si="887"/>
        <v/>
      </c>
      <c r="P872" s="317" t="str">
        <f t="shared" si="887"/>
        <v/>
      </c>
      <c r="Q872" s="318" t="str">
        <f t="shared" si="806"/>
        <v/>
      </c>
      <c r="R872" s="318" t="str">
        <f t="shared" si="807"/>
        <v/>
      </c>
      <c r="S872" s="318" t="str">
        <f t="shared" si="8"/>
        <v/>
      </c>
    </row>
    <row r="873">
      <c r="A873" s="14" t="str">
        <f t="shared" si="1"/>
        <v>C151346120</v>
      </c>
      <c r="B873" s="185">
        <f t="array" ref="B873">IF(F873="VL","",IF(F873="Free","Free",XLOOKUP(D873,Roster!T:T,Roster!S:S,"",0)))</f>
        <v>126</v>
      </c>
      <c r="C873" s="313">
        <v>46120.0</v>
      </c>
      <c r="D873" s="314" t="s">
        <v>26</v>
      </c>
      <c r="E873" s="307" t="str">
        <f t="array" ref="E873">(XLOOKUP(D873,Roster!F:F,Roster!B:B,"",0))</f>
        <v>David Patino</v>
      </c>
      <c r="F873" s="315" t="str">
        <f t="array" ref="F873">IF(B873=100,"Free",TEXT(XLOOKUP($D873,OperationVoice!$A:$A,OperationVoice!N:N,XLOOKUP($D873,OperationTickets!$A:$A,OperationTickets!N:N,"",0)),"hh:mm"))</f>
        <v>08:00</v>
      </c>
      <c r="G873" s="309">
        <f t="shared" si="3"/>
        <v>0.7083333333</v>
      </c>
      <c r="H873" s="316" t="str">
        <f t="array" ref="H873">XLOOKUP(B873,Roster!L:L,Roster!N:N,XLOOKUP(D873,TicketsBreak!A:A,TicketsBreak!E:E,"",0),0)</f>
        <v>10:45 - 11:00</v>
      </c>
      <c r="I873" s="316" t="str">
        <f t="array" ref="I873">XLOOKUP(B873,Roster!L:L,Roster!O:O,XLOOKUP(D873,TicketsBreak!A:A,TicketsBreak!F:F,"",0),0)</f>
        <v>14:00 - 14:30</v>
      </c>
      <c r="J873" s="316" t="str">
        <f t="array" ref="J873">XLOOKUP(B873,Roster!L:L,Roster!P:P,XLOOKUP(D873,TicketsBreak!A:A,TicketsBreak!G:G,"",0),0)</f>
        <v>15:45 - 16:00</v>
      </c>
      <c r="K873" s="310">
        <f t="shared" si="4"/>
        <v>46120</v>
      </c>
      <c r="L873" s="317">
        <f t="array" ref="L873">(XLOOKUP(D873,Roster!F:F,Roster!D:D,"",0))</f>
        <v>35</v>
      </c>
      <c r="M873" s="317" t="str">
        <f t="array" ref="M873">XLOOKUP(D873,Roster!F:F,Roster!E:E)</f>
        <v>Voice</v>
      </c>
      <c r="N873" s="317" t="str">
        <f t="shared" ref="N873:P873" si="888">LEFT(H873,5)</f>
        <v>10:45</v>
      </c>
      <c r="O873" s="317" t="str">
        <f t="shared" si="888"/>
        <v>14:00</v>
      </c>
      <c r="P873" s="317" t="str">
        <f t="shared" si="888"/>
        <v>15:45</v>
      </c>
      <c r="Q873" s="318">
        <f t="shared" si="806"/>
        <v>46120.44792</v>
      </c>
      <c r="R873" s="318">
        <f t="shared" si="807"/>
        <v>46120.58333</v>
      </c>
      <c r="S873" s="318">
        <f t="shared" si="8"/>
        <v>46120.65625</v>
      </c>
    </row>
    <row r="874">
      <c r="A874" s="14" t="str">
        <f t="shared" si="1"/>
        <v>C127746120</v>
      </c>
      <c r="B874" s="185">
        <f t="array" ref="B874">IF(F874="VL","",IF(F874="Free","Free",XLOOKUP(D874,Roster!T:T,Roster!S:S,"",0)))</f>
        <v>124</v>
      </c>
      <c r="C874" s="313">
        <v>46120.0</v>
      </c>
      <c r="D874" s="314" t="s">
        <v>27</v>
      </c>
      <c r="E874" s="307" t="str">
        <f t="array" ref="E874">(XLOOKUP(D874,Roster!F:F,Roster!B:B,"",0))</f>
        <v>Edwuin Martinez</v>
      </c>
      <c r="F874" s="315" t="str">
        <f t="array" ref="F874">IF(B874=100,"Free",TEXT(XLOOKUP($D874,OperationVoice!$A:$A,OperationVoice!N:N,XLOOKUP($D874,OperationTickets!$A:$A,OperationTickets!N:N,"",0)),"hh:mm"))</f>
        <v>08:00</v>
      </c>
      <c r="G874" s="309">
        <f t="shared" si="3"/>
        <v>0.7083333333</v>
      </c>
      <c r="H874" s="316" t="str">
        <f t="array" ref="H874">XLOOKUP(B874,Roster!L:L,Roster!N:N,XLOOKUP(D874,TicketsBreak!A:A,TicketsBreak!E:E,"",0),0)</f>
        <v>10:00 - 10:15</v>
      </c>
      <c r="I874" s="316" t="str">
        <f t="array" ref="I874">XLOOKUP(B874,Roster!L:L,Roster!O:O,XLOOKUP(D874,TicketsBreak!A:A,TicketsBreak!F:F,"",0),0)</f>
        <v>13:00 - 13:30</v>
      </c>
      <c r="J874" s="316" t="str">
        <f t="array" ref="J874">XLOOKUP(B874,Roster!L:L,Roster!P:P,XLOOKUP(D874,TicketsBreak!A:A,TicketsBreak!G:G,"",0),0)</f>
        <v>15:30 - 15:45</v>
      </c>
      <c r="K874" s="310">
        <f t="shared" si="4"/>
        <v>46120</v>
      </c>
      <c r="L874" s="317">
        <f t="array" ref="L874">(XLOOKUP(D874,Roster!F:F,Roster!D:D,"",0))</f>
        <v>27</v>
      </c>
      <c r="M874" s="317" t="str">
        <f t="array" ref="M874">XLOOKUP(D874,Roster!F:F,Roster!E:E)</f>
        <v>Voice</v>
      </c>
      <c r="N874" s="317" t="str">
        <f t="shared" ref="N874:P874" si="889">LEFT(H874,5)</f>
        <v>10:00</v>
      </c>
      <c r="O874" s="317" t="str">
        <f t="shared" si="889"/>
        <v>13:00</v>
      </c>
      <c r="P874" s="317" t="str">
        <f t="shared" si="889"/>
        <v>15:30</v>
      </c>
      <c r="Q874" s="318">
        <f t="shared" si="806"/>
        <v>46120.41667</v>
      </c>
      <c r="R874" s="318">
        <f t="shared" si="807"/>
        <v>46120.54167</v>
      </c>
      <c r="S874" s="318">
        <f t="shared" si="8"/>
        <v>46120.64583</v>
      </c>
    </row>
    <row r="875">
      <c r="A875" s="14" t="str">
        <f t="shared" si="1"/>
        <v>C121646120</v>
      </c>
      <c r="B875" s="185" t="str">
        <f t="array" ref="B875">IF(F875="VL","",IF(F875="Free","Free",XLOOKUP(D875,Roster!T:T,Roster!S:S,"",0)))</f>
        <v/>
      </c>
      <c r="C875" s="313">
        <v>46120.0</v>
      </c>
      <c r="D875" s="314" t="s">
        <v>134</v>
      </c>
      <c r="E875" s="307" t="str">
        <f t="array" ref="E875">(XLOOKUP(D875,Roster!F:F,Roster!B:B,"",0))</f>
        <v>Eliana Pena</v>
      </c>
      <c r="F875" s="315" t="str">
        <f t="array" ref="F875">IF(B875=100,"Free",TEXT(XLOOKUP($D875,OperationVoice!$A:$A,OperationVoice!N:N,XLOOKUP($D875,OperationTickets!$A:$A,OperationTickets!N:N,"",0)),"hh:mm"))</f>
        <v>08:00</v>
      </c>
      <c r="G875" s="309">
        <f t="shared" si="3"/>
        <v>0.7083333333</v>
      </c>
      <c r="H875" s="316">
        <f t="array" ref="H875">XLOOKUP(B875,Roster!L:L,Roster!N:N,XLOOKUP(D875,TicketsBreak!A:A,TicketsBreak!E:E,"",0),0)</f>
        <v>0.3958333333</v>
      </c>
      <c r="I875" s="316">
        <f t="array" ref="I875">XLOOKUP(B875,Roster!L:L,Roster!O:O,XLOOKUP(D875,TicketsBreak!A:A,TicketsBreak!F:F,"",0),0)</f>
        <v>0.5416666667</v>
      </c>
      <c r="J875" s="316">
        <f t="array" ref="J875">XLOOKUP(B875,Roster!L:L,Roster!P:P,XLOOKUP(D875,TicketsBreak!A:A,TicketsBreak!G:G,"",0),0)</f>
        <v>0.6354166667</v>
      </c>
      <c r="K875" s="310">
        <f t="shared" si="4"/>
        <v>46120</v>
      </c>
      <c r="L875" s="317">
        <f t="array" ref="L875">(XLOOKUP(D875,Roster!F:F,Roster!D:D,"",0))</f>
        <v>26</v>
      </c>
      <c r="M875" s="317" t="str">
        <f t="array" ref="M875">XLOOKUP(D875,Roster!F:F,Roster!E:E)</f>
        <v>Tickets</v>
      </c>
      <c r="N875" s="317" t="str">
        <f t="shared" ref="N875:P875" si="890">LEFT(H875,5)</f>
        <v>09:30</v>
      </c>
      <c r="O875" s="317" t="str">
        <f t="shared" si="890"/>
        <v>13:00</v>
      </c>
      <c r="P875" s="317" t="str">
        <f t="shared" si="890"/>
        <v>15:15</v>
      </c>
      <c r="Q875" s="318">
        <f t="shared" si="806"/>
        <v>46120.39583</v>
      </c>
      <c r="R875" s="318">
        <f t="shared" si="807"/>
        <v>46120.54167</v>
      </c>
      <c r="S875" s="318">
        <f t="shared" si="8"/>
        <v>46120.63542</v>
      </c>
    </row>
    <row r="876">
      <c r="A876" s="14" t="str">
        <f t="shared" si="1"/>
        <v>C157346120</v>
      </c>
      <c r="B876" s="185">
        <f t="array" ref="B876">IF(F876="VL","",IF(F876="Free","Free",XLOOKUP(D876,Roster!T:T,Roster!S:S,"",0)))</f>
        <v>123</v>
      </c>
      <c r="C876" s="313">
        <v>46120.0</v>
      </c>
      <c r="D876" s="314" t="s">
        <v>28</v>
      </c>
      <c r="E876" s="307" t="str">
        <f t="array" ref="E876">(XLOOKUP(D876,Roster!F:F,Roster!B:B,"",0))</f>
        <v>Esteban Correa</v>
      </c>
      <c r="F876" s="315" t="str">
        <f t="array" ref="F876">IF(B876=100,"Free",TEXT(XLOOKUP($D876,OperationVoice!$A:$A,OperationVoice!N:N,XLOOKUP($D876,OperationTickets!$A:$A,OperationTickets!N:N,"",0)),"hh:mm"))</f>
        <v>08:00</v>
      </c>
      <c r="G876" s="309">
        <f t="shared" si="3"/>
        <v>0.7083333333</v>
      </c>
      <c r="H876" s="316" t="str">
        <f t="array" ref="H876">XLOOKUP(B876,Roster!L:L,Roster!N:N,XLOOKUP(D876,TicketsBreak!A:A,TicketsBreak!E:E,"",0),0)</f>
        <v>09:45 - 10:00 </v>
      </c>
      <c r="I876" s="316" t="str">
        <f t="array" ref="I876">XLOOKUP(B876,Roster!L:L,Roster!O:O,XLOOKUP(D876,TicketsBreak!A:A,TicketsBreak!F:F,"",0),0)</f>
        <v>12:30 - 13:00</v>
      </c>
      <c r="J876" s="316" t="str">
        <f t="array" ref="J876">XLOOKUP(B876,Roster!L:L,Roster!P:P,XLOOKUP(D876,TicketsBreak!A:A,TicketsBreak!G:G,"",0),0)</f>
        <v>15:00 - 15:15</v>
      </c>
      <c r="K876" s="310">
        <f t="shared" si="4"/>
        <v>46120</v>
      </c>
      <c r="L876" s="317">
        <f t="array" ref="L876">(XLOOKUP(D876,Roster!F:F,Roster!D:D,"",0))</f>
        <v>38</v>
      </c>
      <c r="M876" s="317" t="str">
        <f t="array" ref="M876">XLOOKUP(D876,Roster!F:F,Roster!E:E)</f>
        <v>Voice</v>
      </c>
      <c r="N876" s="317" t="str">
        <f t="shared" ref="N876:P876" si="891">LEFT(H876,5)</f>
        <v>09:45</v>
      </c>
      <c r="O876" s="317" t="str">
        <f t="shared" si="891"/>
        <v>12:30</v>
      </c>
      <c r="P876" s="317" t="str">
        <f t="shared" si="891"/>
        <v>15:00</v>
      </c>
      <c r="Q876" s="318">
        <f t="shared" si="806"/>
        <v>46120.40625</v>
      </c>
      <c r="R876" s="318">
        <f t="shared" si="807"/>
        <v>46120.52083</v>
      </c>
      <c r="S876" s="318">
        <f t="shared" si="8"/>
        <v>46120.625</v>
      </c>
    </row>
    <row r="877">
      <c r="A877" s="14" t="str">
        <f t="shared" si="1"/>
        <v>C71346120</v>
      </c>
      <c r="B877" s="185">
        <f t="array" ref="B877">IF(F877="VL","",IF(F877="Free","Free",XLOOKUP(D877,Roster!T:T,Roster!S:S,"",0)))</f>
        <v>125</v>
      </c>
      <c r="C877" s="313">
        <v>46120.0</v>
      </c>
      <c r="D877" s="314" t="s">
        <v>29</v>
      </c>
      <c r="E877" s="307" t="str">
        <f t="array" ref="E877">(XLOOKUP(D877,Roster!F:F,Roster!B:B,"",0))</f>
        <v>Frank Marin</v>
      </c>
      <c r="F877" s="315" t="str">
        <f t="array" ref="F877">IF(B877=100,"Free",TEXT(XLOOKUP($D877,OperationVoice!$A:$A,OperationVoice!N:N,XLOOKUP($D877,OperationTickets!$A:$A,OperationTickets!N:N,"",0)),"hh:mm"))</f>
        <v>08:00</v>
      </c>
      <c r="G877" s="309">
        <f t="shared" si="3"/>
        <v>0.7083333333</v>
      </c>
      <c r="H877" s="316" t="str">
        <f t="array" ref="H877">XLOOKUP(B877,Roster!L:L,Roster!N:N,XLOOKUP(D877,TicketsBreak!A:A,TicketsBreak!E:E,"",0),0)</f>
        <v>10:30 - 10:45</v>
      </c>
      <c r="I877" s="316" t="str">
        <f t="array" ref="I877">XLOOKUP(B877,Roster!L:L,Roster!O:O,XLOOKUP(D877,TicketsBreak!A:A,TicketsBreak!F:F,"",0),0)</f>
        <v>13:30 - 14:00</v>
      </c>
      <c r="J877" s="316" t="str">
        <f t="array" ref="J877">XLOOKUP(B877,Roster!L:L,Roster!P:P,XLOOKUP(D877,TicketsBreak!A:A,TicketsBreak!G:G,"",0),0)</f>
        <v>15:45 - 16:00</v>
      </c>
      <c r="K877" s="310">
        <f t="shared" si="4"/>
        <v>46120</v>
      </c>
      <c r="L877" s="317">
        <f t="array" ref="L877">(XLOOKUP(D877,Roster!F:F,Roster!D:D,"",0))</f>
        <v>6</v>
      </c>
      <c r="M877" s="317" t="str">
        <f t="array" ref="M877">XLOOKUP(D877,Roster!F:F,Roster!E:E)</f>
        <v>Voice</v>
      </c>
      <c r="N877" s="317" t="str">
        <f t="shared" ref="N877:P877" si="892">LEFT(H877,5)</f>
        <v>10:30</v>
      </c>
      <c r="O877" s="317" t="str">
        <f t="shared" si="892"/>
        <v>13:30</v>
      </c>
      <c r="P877" s="317" t="str">
        <f t="shared" si="892"/>
        <v>15:45</v>
      </c>
      <c r="Q877" s="318">
        <f t="shared" si="806"/>
        <v>46120.4375</v>
      </c>
      <c r="R877" s="318">
        <f t="shared" si="807"/>
        <v>46120.5625</v>
      </c>
      <c r="S877" s="318">
        <f t="shared" si="8"/>
        <v>46120.65625</v>
      </c>
    </row>
    <row r="878">
      <c r="A878" s="14" t="str">
        <f t="shared" si="1"/>
        <v>C154846120</v>
      </c>
      <c r="B878" s="185">
        <f t="array" ref="B878">IF(F878="VL","",IF(F878="Free","Free",XLOOKUP(D878,Roster!T:T,Roster!S:S,"",0)))</f>
        <v>152</v>
      </c>
      <c r="C878" s="313">
        <v>46120.0</v>
      </c>
      <c r="D878" s="314" t="s">
        <v>30</v>
      </c>
      <c r="E878" s="307" t="str">
        <f t="array" ref="E878">(XLOOKUP(D878,Roster!F:F,Roster!B:B,"",0))</f>
        <v>Frey ortiz</v>
      </c>
      <c r="F878" s="315" t="str">
        <f t="array" ref="F878">IF(B878=100,"Free",TEXT(XLOOKUP($D878,OperationVoice!$A:$A,OperationVoice!N:N,XLOOKUP($D878,OperationTickets!$A:$A,OperationTickets!N:N,"",0)),"hh:mm"))</f>
        <v>11:00</v>
      </c>
      <c r="G878" s="309">
        <f t="shared" si="3"/>
        <v>0.8333333333</v>
      </c>
      <c r="H878" s="316" t="str">
        <f t="array" ref="H878">XLOOKUP(B878,Roster!L:L,Roster!N:N,XLOOKUP(D878,TicketsBreak!A:A,TicketsBreak!E:E,"",0),0)</f>
        <v>12:30 - 12:45</v>
      </c>
      <c r="I878" s="316" t="str">
        <f t="array" ref="I878">XLOOKUP(B878,Roster!L:L,Roster!O:O,XLOOKUP(D878,TicketsBreak!A:A,TicketsBreak!F:F,"",0),0)</f>
        <v>14:30 - 15:00</v>
      </c>
      <c r="J878" s="316" t="str">
        <f t="array" ref="J878">XLOOKUP(B878,Roster!L:L,Roster!P:P,XLOOKUP(D878,TicketsBreak!A:A,TicketsBreak!G:G,"",0),0)</f>
        <v>17:30 - 17:45</v>
      </c>
      <c r="K878" s="310">
        <f t="shared" si="4"/>
        <v>46120</v>
      </c>
      <c r="L878" s="317">
        <f t="array" ref="L878">(XLOOKUP(D878,Roster!F:F,Roster!D:D,"",0))</f>
        <v>37</v>
      </c>
      <c r="M878" s="317" t="str">
        <f t="array" ref="M878">XLOOKUP(D878,Roster!F:F,Roster!E:E)</f>
        <v>Voice</v>
      </c>
      <c r="N878" s="317" t="str">
        <f t="shared" ref="N878:P878" si="893">LEFT(H878,5)</f>
        <v>12:30</v>
      </c>
      <c r="O878" s="317" t="str">
        <f t="shared" si="893"/>
        <v>14:30</v>
      </c>
      <c r="P878" s="317" t="str">
        <f t="shared" si="893"/>
        <v>17:30</v>
      </c>
      <c r="Q878" s="318">
        <f t="shared" si="806"/>
        <v>46120.52083</v>
      </c>
      <c r="R878" s="318">
        <f t="shared" si="807"/>
        <v>46120.60417</v>
      </c>
      <c r="S878" s="318">
        <f t="shared" si="8"/>
        <v>46120.72917</v>
      </c>
    </row>
    <row r="879">
      <c r="A879" s="14" t="str">
        <f t="shared" si="1"/>
        <v>C148646120</v>
      </c>
      <c r="B879" s="185">
        <f t="array" ref="B879">IF(F879="VL","",IF(F879="Free","Free",XLOOKUP(D879,Roster!T:T,Roster!S:S,"",0)))</f>
        <v>154</v>
      </c>
      <c r="C879" s="313">
        <v>46120.0</v>
      </c>
      <c r="D879" s="314" t="s">
        <v>31</v>
      </c>
      <c r="E879" s="307" t="str">
        <f t="array" ref="E879">(XLOOKUP(D879,Roster!F:F,Roster!B:B,"",0))</f>
        <v>Gabriel Gomez</v>
      </c>
      <c r="F879" s="315" t="str">
        <f t="array" ref="F879">IF(B879=100,"Free",TEXT(XLOOKUP($D879,OperationVoice!$A:$A,OperationVoice!N:N,XLOOKUP($D879,OperationTickets!$A:$A,OperationTickets!N:N,"",0)),"hh:mm"))</f>
        <v>11:00</v>
      </c>
      <c r="G879" s="309">
        <f t="shared" si="3"/>
        <v>0.8333333333</v>
      </c>
      <c r="H879" s="316" t="str">
        <f t="array" ref="H879">XLOOKUP(B879,Roster!L:L,Roster!N:N,XLOOKUP(D879,TicketsBreak!A:A,TicketsBreak!E:E,"",0),0)</f>
        <v>13:00 - 13:15</v>
      </c>
      <c r="I879" s="316" t="str">
        <f t="array" ref="I879">XLOOKUP(B879,Roster!L:L,Roster!O:O,XLOOKUP(D879,TicketsBreak!A:A,TicketsBreak!F:F,"",0),0)</f>
        <v>15:15 - 15:45</v>
      </c>
      <c r="J879" s="316" t="str">
        <f t="array" ref="J879">XLOOKUP(B879,Roster!L:L,Roster!P:P,XLOOKUP(D879,TicketsBreak!A:A,TicketsBreak!G:G,"",0),0)</f>
        <v>18:00 - 18:15</v>
      </c>
      <c r="K879" s="310">
        <f t="shared" si="4"/>
        <v>46120</v>
      </c>
      <c r="L879" s="317">
        <f t="array" ref="L879">(XLOOKUP(D879,Roster!F:F,Roster!D:D,"",0))</f>
        <v>34</v>
      </c>
      <c r="M879" s="317" t="str">
        <f t="array" ref="M879">XLOOKUP(D879,Roster!F:F,Roster!E:E)</f>
        <v>Voice</v>
      </c>
      <c r="N879" s="317" t="str">
        <f t="shared" ref="N879:P879" si="894">LEFT(H879,5)</f>
        <v>13:00</v>
      </c>
      <c r="O879" s="317" t="str">
        <f t="shared" si="894"/>
        <v>15:15</v>
      </c>
      <c r="P879" s="317" t="str">
        <f t="shared" si="894"/>
        <v>18:00</v>
      </c>
      <c r="Q879" s="318">
        <f t="shared" si="806"/>
        <v>46120.54167</v>
      </c>
      <c r="R879" s="318">
        <f t="shared" si="807"/>
        <v>46120.63542</v>
      </c>
      <c r="S879" s="318">
        <f t="shared" si="8"/>
        <v>46120.75</v>
      </c>
    </row>
    <row r="880">
      <c r="A880" s="14" t="str">
        <f t="shared" si="1"/>
        <v>C136946120</v>
      </c>
      <c r="B880" s="185">
        <f t="array" ref="B880">IF(F880="VL","",IF(F880="Free","Free",XLOOKUP(D880,Roster!T:T,Roster!S:S,"",0)))</f>
        <v>126</v>
      </c>
      <c r="C880" s="313">
        <v>46120.0</v>
      </c>
      <c r="D880" s="314" t="s">
        <v>157</v>
      </c>
      <c r="E880" s="307" t="str">
        <f t="array" ref="E880">(XLOOKUP(D880,Roster!F:F,Roster!B:B,"",0))</f>
        <v>Gabriela Jimenez</v>
      </c>
      <c r="F880" s="315" t="str">
        <f t="array" ref="F880">IF(B880=100,"Free",TEXT(XLOOKUP($D880,OperationVoice!$A:$A,OperationVoice!N:N,XLOOKUP($D880,OperationTickets!$A:$A,OperationTickets!N:N,"",0)),"hh:mm"))</f>
        <v>08:00</v>
      </c>
      <c r="G880" s="309">
        <f t="shared" si="3"/>
        <v>0.7083333333</v>
      </c>
      <c r="H880" s="316" t="str">
        <f t="array" ref="H880">XLOOKUP(B880,Roster!L:L,Roster!N:N,XLOOKUP(D880,TicketsBreak!A:A,TicketsBreak!E:E,"",0),0)</f>
        <v>10:45 - 11:00</v>
      </c>
      <c r="I880" s="316" t="str">
        <f t="array" ref="I880">XLOOKUP(B880,Roster!L:L,Roster!O:O,XLOOKUP(D880,TicketsBreak!A:A,TicketsBreak!F:F,"",0),0)</f>
        <v>14:00 - 14:30</v>
      </c>
      <c r="J880" s="316" t="str">
        <f t="array" ref="J880">XLOOKUP(B880,Roster!L:L,Roster!P:P,XLOOKUP(D880,TicketsBreak!A:A,TicketsBreak!G:G,"",0),0)</f>
        <v>15:45 - 16:00</v>
      </c>
      <c r="K880" s="310">
        <f t="shared" si="4"/>
        <v>46120</v>
      </c>
      <c r="L880" s="317">
        <f t="array" ref="L880">(XLOOKUP(D880,Roster!F:F,Roster!D:D,"",0))</f>
        <v>31</v>
      </c>
      <c r="M880" s="317" t="str">
        <f t="array" ref="M880">XLOOKUP(D880,Roster!F:F,Roster!E:E)</f>
        <v>Tickets</v>
      </c>
      <c r="N880" s="317" t="str">
        <f t="shared" ref="N880:P880" si="895">LEFT(H880,5)</f>
        <v>10:45</v>
      </c>
      <c r="O880" s="317" t="str">
        <f t="shared" si="895"/>
        <v>14:00</v>
      </c>
      <c r="P880" s="317" t="str">
        <f t="shared" si="895"/>
        <v>15:45</v>
      </c>
      <c r="Q880" s="318">
        <f t="shared" si="806"/>
        <v>46120.44792</v>
      </c>
      <c r="R880" s="318">
        <f t="shared" si="807"/>
        <v>46120.58333</v>
      </c>
      <c r="S880" s="318">
        <f t="shared" si="8"/>
        <v>46120.65625</v>
      </c>
    </row>
    <row r="881">
      <c r="A881" s="14" t="str">
        <f t="shared" si="1"/>
        <v>C101746120</v>
      </c>
      <c r="B881" s="185">
        <f t="array" ref="B881">IF(F881="VL","",IF(F881="Free","Free",XLOOKUP(D881,Roster!T:T,Roster!S:S,"",0)))</f>
        <v>121</v>
      </c>
      <c r="C881" s="313">
        <v>46120.0</v>
      </c>
      <c r="D881" s="314" t="s">
        <v>32</v>
      </c>
      <c r="E881" s="307" t="str">
        <f t="array" ref="E881">(XLOOKUP(D881,Roster!F:F,Roster!B:B,"",0))</f>
        <v>Geraldine Correa</v>
      </c>
      <c r="F881" s="315" t="str">
        <f t="array" ref="F881">IF(B881=100,"Free",TEXT(XLOOKUP($D881,OperationVoice!$A:$A,OperationVoice!N:N,XLOOKUP($D881,OperationTickets!$A:$A,OperationTickets!N:N,"",0)),"hh:mm"))</f>
        <v>08:00</v>
      </c>
      <c r="G881" s="309">
        <f t="shared" si="3"/>
        <v>0.7083333333</v>
      </c>
      <c r="H881" s="316" t="str">
        <f t="array" ref="H881">XLOOKUP(B881,Roster!L:L,Roster!N:N,XLOOKUP(D881,TicketsBreak!A:A,TicketsBreak!E:E,"",0),0)</f>
        <v>09:15 - 09:30</v>
      </c>
      <c r="I881" s="316" t="str">
        <f t="array" ref="I881">XLOOKUP(B881,Roster!L:L,Roster!O:O,XLOOKUP(D881,TicketsBreak!A:A,TicketsBreak!F:F,"",0),0)</f>
        <v>11:30 - 12:00</v>
      </c>
      <c r="J881" s="316" t="str">
        <f t="array" ref="J881">XLOOKUP(B881,Roster!L:L,Roster!P:P,XLOOKUP(D881,TicketsBreak!A:A,TicketsBreak!G:G,"",0),0)</f>
        <v>14:30 - 14:45</v>
      </c>
      <c r="K881" s="310">
        <f t="shared" si="4"/>
        <v>46120</v>
      </c>
      <c r="L881" s="317">
        <f t="array" ref="L881">(XLOOKUP(D881,Roster!F:F,Roster!D:D,"",0))</f>
        <v>23</v>
      </c>
      <c r="M881" s="317" t="str">
        <f t="array" ref="M881">XLOOKUP(D881,Roster!F:F,Roster!E:E)</f>
        <v>Voice</v>
      </c>
      <c r="N881" s="317" t="str">
        <f t="shared" ref="N881:P881" si="896">LEFT(H881,5)</f>
        <v>09:15</v>
      </c>
      <c r="O881" s="317" t="str">
        <f t="shared" si="896"/>
        <v>11:30</v>
      </c>
      <c r="P881" s="317" t="str">
        <f t="shared" si="896"/>
        <v>14:30</v>
      </c>
      <c r="Q881" s="318">
        <f t="shared" si="806"/>
        <v>46120.38542</v>
      </c>
      <c r="R881" s="318">
        <f t="shared" si="807"/>
        <v>46120.47917</v>
      </c>
      <c r="S881" s="318">
        <f t="shared" si="8"/>
        <v>46120.60417</v>
      </c>
    </row>
    <row r="882">
      <c r="A882" s="14" t="str">
        <f t="shared" si="1"/>
        <v>C154146120</v>
      </c>
      <c r="B882" s="185" t="str">
        <f t="array" ref="B882">IF(F882="VL","",IF(F882="Free","Free",XLOOKUP(D882,Roster!T:T,Roster!S:S,"",0)))</f>
        <v>Free</v>
      </c>
      <c r="C882" s="313">
        <v>46120.0</v>
      </c>
      <c r="D882" s="314" t="s">
        <v>33</v>
      </c>
      <c r="E882" s="307" t="str">
        <f t="array" ref="E882">(XLOOKUP(D882,Roster!F:F,Roster!B:B,"",0))</f>
        <v>Gisel Moya</v>
      </c>
      <c r="F882" s="315" t="str">
        <f t="array" ref="F882">IF(B882=100,"Free",TEXT(XLOOKUP($D882,OperationVoice!$A:$A,OperationVoice!N:N,XLOOKUP($D882,OperationTickets!$A:$A,OperationTickets!N:N,"",0)),"hh:mm"))</f>
        <v>Free</v>
      </c>
      <c r="G882" s="309" t="str">
        <f t="shared" si="3"/>
        <v>Free</v>
      </c>
      <c r="H882" s="316" t="str">
        <f t="array" ref="H882">XLOOKUP(B882,Roster!L:L,Roster!N:N,XLOOKUP(D882,TicketsBreak!A:A,TicketsBreak!E:E,"",0),0)</f>
        <v/>
      </c>
      <c r="I882" s="316" t="str">
        <f t="array" ref="I882">XLOOKUP(B882,Roster!L:L,Roster!O:O,XLOOKUP(D882,TicketsBreak!A:A,TicketsBreak!F:F,"",0),0)</f>
        <v/>
      </c>
      <c r="J882" s="316" t="str">
        <f t="array" ref="J882">XLOOKUP(B882,Roster!L:L,Roster!P:P,XLOOKUP(D882,TicketsBreak!A:A,TicketsBreak!G:G,"",0),0)</f>
        <v/>
      </c>
      <c r="K882" s="310">
        <f t="shared" si="4"/>
        <v>46120</v>
      </c>
      <c r="L882" s="317">
        <f t="array" ref="L882">(XLOOKUP(D882,Roster!F:F,Roster!D:D,"",0))</f>
        <v>36</v>
      </c>
      <c r="M882" s="317" t="str">
        <f t="array" ref="M882">XLOOKUP(D882,Roster!F:F,Roster!E:E)</f>
        <v>Voice</v>
      </c>
      <c r="N882" s="317" t="str">
        <f t="shared" ref="N882:P882" si="897">LEFT(H882,5)</f>
        <v/>
      </c>
      <c r="O882" s="317" t="str">
        <f t="shared" si="897"/>
        <v/>
      </c>
      <c r="P882" s="317" t="str">
        <f t="shared" si="897"/>
        <v/>
      </c>
      <c r="Q882" s="318" t="str">
        <f t="shared" si="806"/>
        <v/>
      </c>
      <c r="R882" s="318" t="str">
        <f t="shared" si="807"/>
        <v/>
      </c>
      <c r="S882" s="318" t="str">
        <f t="shared" si="8"/>
        <v/>
      </c>
    </row>
    <row r="883">
      <c r="A883" s="14" t="str">
        <f t="shared" si="1"/>
        <v>C86046120</v>
      </c>
      <c r="B883" s="185" t="str">
        <f t="array" ref="B883">IF(F883="VL","",IF(F883="Free","Free",XLOOKUP(D883,Roster!T:T,Roster!S:S,"",0)))</f>
        <v/>
      </c>
      <c r="C883" s="313">
        <v>46120.0</v>
      </c>
      <c r="D883" s="314" t="s">
        <v>158</v>
      </c>
      <c r="E883" s="307" t="str">
        <f t="array" ref="E883">(XLOOKUP(D883,Roster!F:F,Roster!B:B,"",0))</f>
        <v>Ief Fabre</v>
      </c>
      <c r="F883" s="315" t="str">
        <f t="array" ref="F883">IF(B883=100,"Free",TEXT(XLOOKUP($D883,OperationVoice!$A:$A,OperationVoice!N:N,XLOOKUP($D883,OperationTickets!$A:$A,OperationTickets!N:N,"",0)),"hh:mm"))</f>
        <v>08:00</v>
      </c>
      <c r="G883" s="309">
        <f t="shared" si="3"/>
        <v>0.7083333333</v>
      </c>
      <c r="H883" s="316">
        <f t="array" ref="H883">XLOOKUP(B883,Roster!L:L,Roster!N:N,XLOOKUP(D883,TicketsBreak!A:A,TicketsBreak!E:E,"",0),0)</f>
        <v>0.4166666667</v>
      </c>
      <c r="I883" s="316">
        <f t="array" ref="I883">XLOOKUP(B883,Roster!L:L,Roster!O:O,XLOOKUP(D883,TicketsBreak!A:A,TicketsBreak!F:F,"",0),0)</f>
        <v>0.5</v>
      </c>
      <c r="J883" s="316">
        <f t="array" ref="J883">XLOOKUP(B883,Roster!L:L,Roster!P:P,XLOOKUP(D883,TicketsBreak!A:A,TicketsBreak!G:G,"",0),0)</f>
        <v>0.625</v>
      </c>
      <c r="K883" s="310">
        <f t="shared" si="4"/>
        <v>46120</v>
      </c>
      <c r="L883" s="317">
        <f t="array" ref="L883">(XLOOKUP(D883,Roster!F:F,Roster!D:D,"",0))</f>
        <v>10</v>
      </c>
      <c r="M883" s="317" t="str">
        <f t="array" ref="M883">XLOOKUP(D883,Roster!F:F,Roster!E:E)</f>
        <v>Tickets</v>
      </c>
      <c r="N883" s="317" t="str">
        <f t="shared" ref="N883:P883" si="898">LEFT(H883,5)</f>
        <v>10:00</v>
      </c>
      <c r="O883" s="317" t="str">
        <f t="shared" si="898"/>
        <v>12:00</v>
      </c>
      <c r="P883" s="317" t="str">
        <f t="shared" si="898"/>
        <v>15:00</v>
      </c>
      <c r="Q883" s="318">
        <f t="shared" si="806"/>
        <v>46120.41667</v>
      </c>
      <c r="R883" s="318">
        <f t="shared" si="807"/>
        <v>46120.5</v>
      </c>
      <c r="S883" s="318">
        <f t="shared" si="8"/>
        <v>46120.625</v>
      </c>
    </row>
    <row r="884">
      <c r="A884" s="14" t="str">
        <f t="shared" si="1"/>
        <v>C148146120</v>
      </c>
      <c r="B884" s="185">
        <f t="array" ref="B884">IF(F884="VL","",IF(F884="Free","Free",XLOOKUP(D884,Roster!T:T,Roster!S:S,"",0)))</f>
        <v>155</v>
      </c>
      <c r="C884" s="313">
        <v>46120.0</v>
      </c>
      <c r="D884" s="314" t="s">
        <v>34</v>
      </c>
      <c r="E884" s="307" t="str">
        <f t="array" ref="E884">(XLOOKUP(D884,Roster!F:F,Roster!B:B,"",0))</f>
        <v>Jasam Mejia</v>
      </c>
      <c r="F884" s="315" t="str">
        <f t="array" ref="F884">IF(B884=100,"Free",TEXT(XLOOKUP($D884,OperationVoice!$A:$A,OperationVoice!N:N,XLOOKUP($D884,OperationTickets!$A:$A,OperationTickets!N:N,"",0)),"hh:mm"))</f>
        <v>11:00</v>
      </c>
      <c r="G884" s="309">
        <f t="shared" si="3"/>
        <v>0.8333333333</v>
      </c>
      <c r="H884" s="316" t="str">
        <f t="array" ref="H884">XLOOKUP(B884,Roster!L:L,Roster!N:N,XLOOKUP(D884,TicketsBreak!A:A,TicketsBreak!E:E,"",0),0)</f>
        <v>13:15 - 13:30</v>
      </c>
      <c r="I884" s="316" t="str">
        <f t="array" ref="I884">XLOOKUP(B884,Roster!L:L,Roster!O:O,XLOOKUP(D884,TicketsBreak!A:A,TicketsBreak!F:F,"",0),0)</f>
        <v>15:45 - 16:15</v>
      </c>
      <c r="J884" s="316" t="str">
        <f t="array" ref="J884">XLOOKUP(B884,Roster!L:L,Roster!P:P,XLOOKUP(D884,TicketsBreak!A:A,TicketsBreak!G:G,"",0),0)</f>
        <v>18:15 - 18:30</v>
      </c>
      <c r="K884" s="310">
        <f t="shared" si="4"/>
        <v>46120</v>
      </c>
      <c r="L884" s="317">
        <f t="array" ref="L884">(XLOOKUP(D884,Roster!F:F,Roster!D:D,"",0))</f>
        <v>34</v>
      </c>
      <c r="M884" s="317" t="str">
        <f t="array" ref="M884">XLOOKUP(D884,Roster!F:F,Roster!E:E)</f>
        <v>Voice</v>
      </c>
      <c r="N884" s="317" t="str">
        <f t="shared" ref="N884:P884" si="899">LEFT(H884,5)</f>
        <v>13:15</v>
      </c>
      <c r="O884" s="317" t="str">
        <f t="shared" si="899"/>
        <v>15:45</v>
      </c>
      <c r="P884" s="317" t="str">
        <f t="shared" si="899"/>
        <v>18:15</v>
      </c>
      <c r="Q884" s="318">
        <f t="shared" si="806"/>
        <v>46120.55208</v>
      </c>
      <c r="R884" s="318">
        <f t="shared" si="807"/>
        <v>46120.65625</v>
      </c>
      <c r="S884" s="318">
        <f t="shared" si="8"/>
        <v>46120.76042</v>
      </c>
    </row>
    <row r="885">
      <c r="A885" s="14" t="str">
        <f t="shared" si="1"/>
        <v>C131846120</v>
      </c>
      <c r="B885" s="185" t="str">
        <f t="array" ref="B885">IF(F885="VL","",IF(F885="Free","Free",XLOOKUP(D885,Roster!T:T,Roster!S:S,"",0)))</f>
        <v/>
      </c>
      <c r="C885" s="313">
        <v>46120.0</v>
      </c>
      <c r="D885" s="314" t="s">
        <v>159</v>
      </c>
      <c r="E885" s="307" t="str">
        <f t="array" ref="E885">(XLOOKUP(D885,Roster!F:F,Roster!B:B,"",0))</f>
        <v>Jeampierre Jaramillo</v>
      </c>
      <c r="F885" s="315" t="str">
        <f t="array" ref="F885">IF(B885=100,"Free",TEXT(XLOOKUP($D885,OperationVoice!$A:$A,OperationVoice!N:N,XLOOKUP($D885,OperationTickets!$A:$A,OperationTickets!N:N,"",0)),"hh:mm"))</f>
        <v>07:00</v>
      </c>
      <c r="G885" s="309">
        <f t="shared" si="3"/>
        <v>0.6666666667</v>
      </c>
      <c r="H885" s="316" t="str">
        <f t="array" ref="H885">XLOOKUP(B885,Roster!L:L,Roster!N:N,XLOOKUP(D885,TicketsBreak!A:A,TicketsBreak!E:E,"",0),0)</f>
        <v/>
      </c>
      <c r="I885" s="316" t="str">
        <f t="array" ref="I885">XLOOKUP(B885,Roster!L:L,Roster!O:O,XLOOKUP(D885,TicketsBreak!A:A,TicketsBreak!F:F,"",0),0)</f>
        <v/>
      </c>
      <c r="J885" s="316" t="str">
        <f t="array" ref="J885">XLOOKUP(B885,Roster!L:L,Roster!P:P,XLOOKUP(D885,TicketsBreak!A:A,TicketsBreak!G:G,"",0),0)</f>
        <v/>
      </c>
      <c r="K885" s="310">
        <f t="shared" si="4"/>
        <v>46120</v>
      </c>
      <c r="L885" s="317">
        <f t="array" ref="L885">(XLOOKUP(D885,Roster!F:F,Roster!D:D,"",0))</f>
        <v>29</v>
      </c>
      <c r="M885" s="317" t="str">
        <f t="array" ref="M885">XLOOKUP(D885,Roster!F:F,Roster!E:E)</f>
        <v>Tickets</v>
      </c>
      <c r="N885" s="317" t="str">
        <f t="shared" ref="N885:P885" si="900">LEFT(H885,5)</f>
        <v/>
      </c>
      <c r="O885" s="317" t="str">
        <f t="shared" si="900"/>
        <v/>
      </c>
      <c r="P885" s="317" t="str">
        <f t="shared" si="900"/>
        <v/>
      </c>
      <c r="Q885" s="318" t="str">
        <f t="shared" si="806"/>
        <v/>
      </c>
      <c r="R885" s="318" t="str">
        <f t="shared" si="807"/>
        <v/>
      </c>
      <c r="S885" s="318" t="str">
        <f t="shared" si="8"/>
        <v/>
      </c>
    </row>
    <row r="886">
      <c r="A886" s="14" t="str">
        <f t="shared" si="1"/>
        <v>C155046120</v>
      </c>
      <c r="B886" s="185">
        <f t="array" ref="B886">IF(F886="VL","",IF(F886="Free","Free",XLOOKUP(D886,Roster!T:T,Roster!S:S,"",0)))</f>
        <v>126</v>
      </c>
      <c r="C886" s="313">
        <v>46120.0</v>
      </c>
      <c r="D886" s="314" t="s">
        <v>35</v>
      </c>
      <c r="E886" s="307" t="str">
        <f t="array" ref="E886">(XLOOKUP(D886,Roster!F:F,Roster!B:B,"",0))</f>
        <v>Jeidin Vargas</v>
      </c>
      <c r="F886" s="315" t="str">
        <f t="array" ref="F886">IF(B886=100,"Free",TEXT(XLOOKUP($D886,OperationVoice!$A:$A,OperationVoice!N:N,XLOOKUP($D886,OperationTickets!$A:$A,OperationTickets!N:N,"",0)),"hh:mm"))</f>
        <v>08:00</v>
      </c>
      <c r="G886" s="309">
        <f t="shared" si="3"/>
        <v>0.7083333333</v>
      </c>
      <c r="H886" s="316" t="str">
        <f t="array" ref="H886">XLOOKUP(B886,Roster!L:L,Roster!N:N,XLOOKUP(D886,TicketsBreak!A:A,TicketsBreak!E:E,"",0),0)</f>
        <v>10:45 - 11:00</v>
      </c>
      <c r="I886" s="316" t="str">
        <f t="array" ref="I886">XLOOKUP(B886,Roster!L:L,Roster!O:O,XLOOKUP(D886,TicketsBreak!A:A,TicketsBreak!F:F,"",0),0)</f>
        <v>14:00 - 14:30</v>
      </c>
      <c r="J886" s="316" t="str">
        <f t="array" ref="J886">XLOOKUP(B886,Roster!L:L,Roster!P:P,XLOOKUP(D886,TicketsBreak!A:A,TicketsBreak!G:G,"",0),0)</f>
        <v>15:45 - 16:00</v>
      </c>
      <c r="K886" s="310">
        <f t="shared" si="4"/>
        <v>46120</v>
      </c>
      <c r="L886" s="317">
        <f t="array" ref="L886">(XLOOKUP(D886,Roster!F:F,Roster!D:D,"",0))</f>
        <v>37</v>
      </c>
      <c r="M886" s="317" t="str">
        <f t="array" ref="M886">XLOOKUP(D886,Roster!F:F,Roster!E:E)</f>
        <v>Voice</v>
      </c>
      <c r="N886" s="317" t="str">
        <f t="shared" ref="N886:P886" si="901">LEFT(H886,5)</f>
        <v>10:45</v>
      </c>
      <c r="O886" s="317" t="str">
        <f t="shared" si="901"/>
        <v>14:00</v>
      </c>
      <c r="P886" s="317" t="str">
        <f t="shared" si="901"/>
        <v>15:45</v>
      </c>
      <c r="Q886" s="318">
        <f t="shared" si="806"/>
        <v>46120.44792</v>
      </c>
      <c r="R886" s="318">
        <f t="shared" si="807"/>
        <v>46120.58333</v>
      </c>
      <c r="S886" s="318">
        <f t="shared" si="8"/>
        <v>46120.65625</v>
      </c>
    </row>
    <row r="887">
      <c r="A887" s="14" t="str">
        <f t="shared" si="1"/>
        <v>C51246120</v>
      </c>
      <c r="B887" s="185">
        <f t="array" ref="B887">IF(F887="VL","",IF(F887="Free","Free",XLOOKUP(D887,Roster!T:T,Roster!S:S,"",0)))</f>
        <v>122</v>
      </c>
      <c r="C887" s="313">
        <v>46120.0</v>
      </c>
      <c r="D887" s="314" t="s">
        <v>36</v>
      </c>
      <c r="E887" s="307" t="str">
        <f t="array" ref="E887">(XLOOKUP(D887,Roster!F:F,Roster!B:B,"",0))</f>
        <v>Jhoam Quiroz</v>
      </c>
      <c r="F887" s="315" t="str">
        <f t="array" ref="F887">IF(B887=100,"Free",TEXT(XLOOKUP($D887,OperationVoice!$A:$A,OperationVoice!N:N,XLOOKUP($D887,OperationTickets!$A:$A,OperationTickets!N:N,"",0)),"hh:mm"))</f>
        <v>08:00</v>
      </c>
      <c r="G887" s="309">
        <f t="shared" si="3"/>
        <v>0.7083333333</v>
      </c>
      <c r="H887" s="316" t="str">
        <f t="array" ref="H887">XLOOKUP(B887,Roster!L:L,Roster!N:N,XLOOKUP(D887,TicketsBreak!A:A,TicketsBreak!E:E,"",0),0)</f>
        <v>09:30 - 09:45</v>
      </c>
      <c r="I887" s="316" t="str">
        <f t="array" ref="I887">XLOOKUP(B887,Roster!L:L,Roster!O:O,XLOOKUP(D887,TicketsBreak!A:A,TicketsBreak!F:F,"",0),0)</f>
        <v>12:00 - 12:30</v>
      </c>
      <c r="J887" s="316" t="str">
        <f t="array" ref="J887">XLOOKUP(B887,Roster!L:L,Roster!P:P,XLOOKUP(D887,TicketsBreak!A:A,TicketsBreak!G:G,"",0),0)</f>
        <v>14:45 - 15:00</v>
      </c>
      <c r="K887" s="310">
        <f t="shared" si="4"/>
        <v>46120</v>
      </c>
      <c r="L887" s="317">
        <f t="array" ref="L887">(XLOOKUP(D887,Roster!F:F,Roster!D:D,"",0))</f>
        <v>1</v>
      </c>
      <c r="M887" s="317" t="str">
        <f t="array" ref="M887">XLOOKUP(D887,Roster!F:F,Roster!E:E)</f>
        <v>Voice</v>
      </c>
      <c r="N887" s="317" t="str">
        <f t="shared" ref="N887:P887" si="902">LEFT(H887,5)</f>
        <v>09:30</v>
      </c>
      <c r="O887" s="317" t="str">
        <f t="shared" si="902"/>
        <v>12:00</v>
      </c>
      <c r="P887" s="317" t="str">
        <f t="shared" si="902"/>
        <v>14:45</v>
      </c>
      <c r="Q887" s="318">
        <f t="shared" si="806"/>
        <v>46120.39583</v>
      </c>
      <c r="R887" s="318">
        <f t="shared" si="807"/>
        <v>46120.5</v>
      </c>
      <c r="S887" s="318">
        <f t="shared" si="8"/>
        <v>46120.61458</v>
      </c>
    </row>
    <row r="888">
      <c r="A888" s="14" t="str">
        <f t="shared" si="1"/>
        <v>C150946120</v>
      </c>
      <c r="B888" s="185">
        <f t="array" ref="B888">IF(F888="VL","",IF(F888="Free","Free",XLOOKUP(D888,Roster!T:T,Roster!S:S,"",0)))</f>
        <v>121</v>
      </c>
      <c r="C888" s="313">
        <v>46120.0</v>
      </c>
      <c r="D888" s="314" t="s">
        <v>37</v>
      </c>
      <c r="E888" s="307" t="str">
        <f t="array" ref="E888">(XLOOKUP(D888,Roster!F:F,Roster!B:B,"",0))</f>
        <v>Jhonatan Gomez</v>
      </c>
      <c r="F888" s="315" t="str">
        <f t="array" ref="F888">IF(B888=100,"Free",TEXT(XLOOKUP($D888,OperationVoice!$A:$A,OperationVoice!N:N,XLOOKUP($D888,OperationTickets!$A:$A,OperationTickets!N:N,"",0)),"hh:mm"))</f>
        <v>08:00</v>
      </c>
      <c r="G888" s="309">
        <f t="shared" si="3"/>
        <v>0.7083333333</v>
      </c>
      <c r="H888" s="316" t="str">
        <f t="array" ref="H888">XLOOKUP(B888,Roster!L:L,Roster!N:N,XLOOKUP(D888,TicketsBreak!A:A,TicketsBreak!E:E,"",0),0)</f>
        <v>09:15 - 09:30</v>
      </c>
      <c r="I888" s="316" t="str">
        <f t="array" ref="I888">XLOOKUP(B888,Roster!L:L,Roster!O:O,XLOOKUP(D888,TicketsBreak!A:A,TicketsBreak!F:F,"",0),0)</f>
        <v>11:30 - 12:00</v>
      </c>
      <c r="J888" s="316" t="str">
        <f t="array" ref="J888">XLOOKUP(B888,Roster!L:L,Roster!P:P,XLOOKUP(D888,TicketsBreak!A:A,TicketsBreak!G:G,"",0),0)</f>
        <v>14:30 - 14:45</v>
      </c>
      <c r="K888" s="310">
        <f t="shared" si="4"/>
        <v>46120</v>
      </c>
      <c r="L888" s="317">
        <f t="array" ref="L888">(XLOOKUP(D888,Roster!F:F,Roster!D:D,"",0))</f>
        <v>35</v>
      </c>
      <c r="M888" s="317" t="str">
        <f t="array" ref="M888">XLOOKUP(D888,Roster!F:F,Roster!E:E)</f>
        <v>Voice</v>
      </c>
      <c r="N888" s="317" t="str">
        <f t="shared" ref="N888:P888" si="903">LEFT(H888,5)</f>
        <v>09:15</v>
      </c>
      <c r="O888" s="317" t="str">
        <f t="shared" si="903"/>
        <v>11:30</v>
      </c>
      <c r="P888" s="317" t="str">
        <f t="shared" si="903"/>
        <v>14:30</v>
      </c>
      <c r="Q888" s="318">
        <f t="shared" si="806"/>
        <v>46120.38542</v>
      </c>
      <c r="R888" s="318">
        <f t="shared" si="807"/>
        <v>46120.47917</v>
      </c>
      <c r="S888" s="318">
        <f t="shared" si="8"/>
        <v>46120.60417</v>
      </c>
    </row>
    <row r="889">
      <c r="A889" s="14" t="str">
        <f t="shared" si="1"/>
        <v>C151546120</v>
      </c>
      <c r="B889" s="185">
        <f t="array" ref="B889">IF(F889="VL","",IF(F889="Free","Free",XLOOKUP(D889,Roster!T:T,Roster!S:S,"",0)))</f>
        <v>151</v>
      </c>
      <c r="C889" s="313">
        <v>46120.0</v>
      </c>
      <c r="D889" s="314" t="s">
        <v>38</v>
      </c>
      <c r="E889" s="307" t="str">
        <f t="array" ref="E889">(XLOOKUP(D889,Roster!F:F,Roster!B:B,"",0))</f>
        <v>Joan Perez</v>
      </c>
      <c r="F889" s="315" t="str">
        <f t="array" ref="F889">IF(B889=100,"Free",TEXT(XLOOKUP($D889,OperationVoice!$A:$A,OperationVoice!N:N,XLOOKUP($D889,OperationTickets!$A:$A,OperationTickets!N:N,"",0)),"hh:mm"))</f>
        <v/>
      </c>
      <c r="G889" s="309" t="str">
        <f t="shared" si="3"/>
        <v/>
      </c>
      <c r="H889" s="316" t="str">
        <f t="array" ref="H889">XLOOKUP(B889,Roster!L:L,Roster!N:N,XLOOKUP(D889,TicketsBreak!A:A,TicketsBreak!E:E,"",0),0)</f>
        <v>12:15 - 12:30</v>
      </c>
      <c r="I889" s="316" t="str">
        <f t="array" ref="I889">XLOOKUP(B889,Roster!L:L,Roster!O:O,XLOOKUP(D889,TicketsBreak!A:A,TicketsBreak!F:F,"",0),0)</f>
        <v>14:00 - 14:30</v>
      </c>
      <c r="J889" s="316" t="str">
        <f t="array" ref="J889">XLOOKUP(B889,Roster!L:L,Roster!P:P,XLOOKUP(D889,TicketsBreak!A:A,TicketsBreak!G:G,"",0),0)</f>
        <v>17:15 - 17:30</v>
      </c>
      <c r="K889" s="310">
        <f t="shared" si="4"/>
        <v>46120</v>
      </c>
      <c r="L889" s="317">
        <f t="array" ref="L889">(XLOOKUP(D889,Roster!F:F,Roster!D:D,"",0))</f>
        <v>35</v>
      </c>
      <c r="M889" s="317" t="str">
        <f t="array" ref="M889">XLOOKUP(D889,Roster!F:F,Roster!E:E)</f>
        <v>Voice</v>
      </c>
      <c r="N889" s="317" t="str">
        <f t="shared" ref="N889:P889" si="904">LEFT(H889,5)</f>
        <v>12:15</v>
      </c>
      <c r="O889" s="317" t="str">
        <f t="shared" si="904"/>
        <v>14:00</v>
      </c>
      <c r="P889" s="317" t="str">
        <f t="shared" si="904"/>
        <v>17:15</v>
      </c>
      <c r="Q889" s="318">
        <f t="shared" si="806"/>
        <v>46120.51042</v>
      </c>
      <c r="R889" s="318">
        <f t="shared" si="807"/>
        <v>46120.58333</v>
      </c>
      <c r="S889" s="318">
        <f t="shared" si="8"/>
        <v>46120.71875</v>
      </c>
    </row>
    <row r="890">
      <c r="A890" s="14" t="str">
        <f t="shared" si="1"/>
        <v>C128946120</v>
      </c>
      <c r="B890" s="185" t="str">
        <f t="array" ref="B890">IF(F890="VL","",IF(F890="Free","Free",XLOOKUP(D890,Roster!T:T,Roster!S:S,"",0)))</f>
        <v/>
      </c>
      <c r="C890" s="313">
        <v>46120.0</v>
      </c>
      <c r="D890" s="314" t="s">
        <v>140</v>
      </c>
      <c r="E890" s="307" t="str">
        <f t="array" ref="E890">(XLOOKUP(D890,Roster!F:F,Roster!B:B,"",0))</f>
        <v>Johana Villarreal</v>
      </c>
      <c r="F890" s="315" t="str">
        <f t="array" ref="F890">IF(B890=100,"Free",TEXT(XLOOKUP($D890,OperationVoice!$A:$A,OperationVoice!N:N,XLOOKUP($D890,OperationTickets!$A:$A,OperationTickets!N:N,"",0)),"hh:mm"))</f>
        <v>07:00</v>
      </c>
      <c r="G890" s="309">
        <f t="shared" si="3"/>
        <v>0.6666666667</v>
      </c>
      <c r="H890" s="316" t="str">
        <f t="array" ref="H890">XLOOKUP(B890,Roster!L:L,Roster!N:N,XLOOKUP(D890,TicketsBreak!A:A,TicketsBreak!E:E,"",0),0)</f>
        <v/>
      </c>
      <c r="I890" s="316" t="str">
        <f t="array" ref="I890">XLOOKUP(B890,Roster!L:L,Roster!O:O,XLOOKUP(D890,TicketsBreak!A:A,TicketsBreak!F:F,"",0),0)</f>
        <v/>
      </c>
      <c r="J890" s="316" t="str">
        <f t="array" ref="J890">XLOOKUP(B890,Roster!L:L,Roster!P:P,XLOOKUP(D890,TicketsBreak!A:A,TicketsBreak!G:G,"",0),0)</f>
        <v/>
      </c>
      <c r="K890" s="310">
        <f t="shared" si="4"/>
        <v>46120</v>
      </c>
      <c r="L890" s="317">
        <f t="array" ref="L890">(XLOOKUP(D890,Roster!F:F,Roster!D:D,"",0))</f>
        <v>28</v>
      </c>
      <c r="M890" s="317" t="str">
        <f t="array" ref="M890">XLOOKUP(D890,Roster!F:F,Roster!E:E)</f>
        <v>Tickets</v>
      </c>
      <c r="N890" s="317" t="str">
        <f t="shared" ref="N890:P890" si="905">LEFT(H890,5)</f>
        <v/>
      </c>
      <c r="O890" s="317" t="str">
        <f t="shared" si="905"/>
        <v/>
      </c>
      <c r="P890" s="317" t="str">
        <f t="shared" si="905"/>
        <v/>
      </c>
      <c r="Q890" s="318" t="str">
        <f t="shared" si="806"/>
        <v/>
      </c>
      <c r="R890" s="318" t="str">
        <f t="shared" si="807"/>
        <v/>
      </c>
      <c r="S890" s="318" t="str">
        <f t="shared" si="8"/>
        <v/>
      </c>
    </row>
    <row r="891">
      <c r="A891" s="14" t="str">
        <f t="shared" si="1"/>
        <v>C155146120</v>
      </c>
      <c r="B891" s="185">
        <f t="array" ref="B891">IF(F891="VL","",IF(F891="Free","Free",XLOOKUP(D891,Roster!T:T,Roster!S:S,"",0)))</f>
        <v>124</v>
      </c>
      <c r="C891" s="313">
        <v>46120.0</v>
      </c>
      <c r="D891" s="314" t="s">
        <v>39</v>
      </c>
      <c r="E891" s="307" t="str">
        <f t="array" ref="E891">(XLOOKUP(D891,Roster!F:F,Roster!B:B,"",0))</f>
        <v>John Atilano</v>
      </c>
      <c r="F891" s="315" t="str">
        <f t="array" ref="F891">IF(B891=100,"Free",TEXT(XLOOKUP($D891,OperationVoice!$A:$A,OperationVoice!N:N,XLOOKUP($D891,OperationTickets!$A:$A,OperationTickets!N:N,"",0)),"hh:mm"))</f>
        <v>08:00</v>
      </c>
      <c r="G891" s="309">
        <f t="shared" si="3"/>
        <v>0.7083333333</v>
      </c>
      <c r="H891" s="316" t="str">
        <f t="array" ref="H891">XLOOKUP(B891,Roster!L:L,Roster!N:N,XLOOKUP(D891,TicketsBreak!A:A,TicketsBreak!E:E,"",0),0)</f>
        <v>10:00 - 10:15</v>
      </c>
      <c r="I891" s="316" t="str">
        <f t="array" ref="I891">XLOOKUP(B891,Roster!L:L,Roster!O:O,XLOOKUP(D891,TicketsBreak!A:A,TicketsBreak!F:F,"",0),0)</f>
        <v>13:00 - 13:30</v>
      </c>
      <c r="J891" s="316" t="str">
        <f t="array" ref="J891">XLOOKUP(B891,Roster!L:L,Roster!P:P,XLOOKUP(D891,TicketsBreak!A:A,TicketsBreak!G:G,"",0),0)</f>
        <v>15:30 - 15:45</v>
      </c>
      <c r="K891" s="310">
        <f t="shared" si="4"/>
        <v>46120</v>
      </c>
      <c r="L891" s="317">
        <f t="array" ref="L891">(XLOOKUP(D891,Roster!F:F,Roster!D:D,"",0))</f>
        <v>37</v>
      </c>
      <c r="M891" s="317" t="str">
        <f t="array" ref="M891">XLOOKUP(D891,Roster!F:F,Roster!E:E)</f>
        <v>Voice</v>
      </c>
      <c r="N891" s="317" t="str">
        <f t="shared" ref="N891:P891" si="906">LEFT(H891,5)</f>
        <v>10:00</v>
      </c>
      <c r="O891" s="317" t="str">
        <f t="shared" si="906"/>
        <v>13:00</v>
      </c>
      <c r="P891" s="317" t="str">
        <f t="shared" si="906"/>
        <v>15:30</v>
      </c>
      <c r="Q891" s="318">
        <f t="shared" si="806"/>
        <v>46120.41667</v>
      </c>
      <c r="R891" s="318">
        <f t="shared" si="807"/>
        <v>46120.54167</v>
      </c>
      <c r="S891" s="318">
        <f t="shared" si="8"/>
        <v>46120.64583</v>
      </c>
    </row>
    <row r="892">
      <c r="A892" s="14" t="str">
        <f t="shared" si="1"/>
        <v>C154346120</v>
      </c>
      <c r="B892" s="185">
        <f t="array" ref="B892">IF(F892="VL","",IF(F892="Free","Free",XLOOKUP(D892,Roster!T:T,Roster!S:S,"",0)))</f>
        <v>134</v>
      </c>
      <c r="C892" s="313">
        <v>46120.0</v>
      </c>
      <c r="D892" s="314" t="s">
        <v>40</v>
      </c>
      <c r="E892" s="307" t="str">
        <f t="array" ref="E892">(XLOOKUP(D892,Roster!F:F,Roster!B:B,"",0))</f>
        <v>John Palacio</v>
      </c>
      <c r="F892" s="315" t="str">
        <f t="array" ref="F892">IF(B892=100,"Free",TEXT(XLOOKUP($D892,OperationVoice!$A:$A,OperationVoice!N:N,XLOOKUP($D892,OperationTickets!$A:$A,OperationTickets!N:N,"",0)),"hh:mm"))</f>
        <v>09:00</v>
      </c>
      <c r="G892" s="309">
        <f t="shared" si="3"/>
        <v>0.75</v>
      </c>
      <c r="H892" s="316" t="str">
        <f t="array" ref="H892">XLOOKUP(B892,Roster!L:L,Roster!N:N,XLOOKUP(D892,TicketsBreak!A:A,TicketsBreak!E:E,"",0),0)</f>
        <v>11:00 - 11:15</v>
      </c>
      <c r="I892" s="316" t="str">
        <f t="array" ref="I892">XLOOKUP(B892,Roster!L:L,Roster!O:O,XLOOKUP(D892,TicketsBreak!A:A,TicketsBreak!F:F,"",0),0)</f>
        <v>13:45 - 14:15</v>
      </c>
      <c r="J892" s="316" t="str">
        <f t="array" ref="J892">XLOOKUP(B892,Roster!L:L,Roster!P:P,XLOOKUP(D892,TicketsBreak!A:A,TicketsBreak!G:G,"",0),0)</f>
        <v>16:00 - 16:15</v>
      </c>
      <c r="K892" s="310">
        <f t="shared" si="4"/>
        <v>46120</v>
      </c>
      <c r="L892" s="317">
        <f t="array" ref="L892">(XLOOKUP(D892,Roster!F:F,Roster!D:D,"",0))</f>
        <v>36</v>
      </c>
      <c r="M892" s="317" t="str">
        <f t="array" ref="M892">XLOOKUP(D892,Roster!F:F,Roster!E:E)</f>
        <v>Voice</v>
      </c>
      <c r="N892" s="317" t="str">
        <f t="shared" ref="N892:P892" si="907">LEFT(H892,5)</f>
        <v>11:00</v>
      </c>
      <c r="O892" s="317" t="str">
        <f t="shared" si="907"/>
        <v>13:45</v>
      </c>
      <c r="P892" s="317" t="str">
        <f t="shared" si="907"/>
        <v>16:00</v>
      </c>
      <c r="Q892" s="318">
        <f t="shared" si="806"/>
        <v>46120.45833</v>
      </c>
      <c r="R892" s="318">
        <f t="shared" si="807"/>
        <v>46120.57292</v>
      </c>
      <c r="S892" s="318">
        <f t="shared" si="8"/>
        <v>46120.66667</v>
      </c>
    </row>
    <row r="893">
      <c r="A893" s="14" t="str">
        <f t="shared" si="1"/>
        <v>C154246120</v>
      </c>
      <c r="B893" s="185">
        <f t="array" ref="B893">IF(F893="VL","",IF(F893="Free","Free",XLOOKUP(D893,Roster!T:T,Roster!S:S,"",0)))</f>
        <v>124</v>
      </c>
      <c r="C893" s="313">
        <v>46120.0</v>
      </c>
      <c r="D893" s="314" t="s">
        <v>41</v>
      </c>
      <c r="E893" s="307" t="str">
        <f t="array" ref="E893">(XLOOKUP(D893,Roster!F:F,Roster!B:B,"",0))</f>
        <v>Johny Garcia</v>
      </c>
      <c r="F893" s="315" t="str">
        <f t="array" ref="F893">IF(B893=100,"Free",TEXT(XLOOKUP($D893,OperationVoice!$A:$A,OperationVoice!N:N,XLOOKUP($D893,OperationTickets!$A:$A,OperationTickets!N:N,"",0)),"hh:mm"))</f>
        <v>08:00</v>
      </c>
      <c r="G893" s="309">
        <f t="shared" si="3"/>
        <v>0.7083333333</v>
      </c>
      <c r="H893" s="316" t="str">
        <f t="array" ref="H893">XLOOKUP(B893,Roster!L:L,Roster!N:N,XLOOKUP(D893,TicketsBreak!A:A,TicketsBreak!E:E,"",0),0)</f>
        <v>10:00 - 10:15</v>
      </c>
      <c r="I893" s="316" t="str">
        <f t="array" ref="I893">XLOOKUP(B893,Roster!L:L,Roster!O:O,XLOOKUP(D893,TicketsBreak!A:A,TicketsBreak!F:F,"",0),0)</f>
        <v>13:00 - 13:30</v>
      </c>
      <c r="J893" s="316" t="str">
        <f t="array" ref="J893">XLOOKUP(B893,Roster!L:L,Roster!P:P,XLOOKUP(D893,TicketsBreak!A:A,TicketsBreak!G:G,"",0),0)</f>
        <v>15:30 - 15:45</v>
      </c>
      <c r="K893" s="310">
        <f t="shared" si="4"/>
        <v>46120</v>
      </c>
      <c r="L893" s="317">
        <f t="array" ref="L893">(XLOOKUP(D893,Roster!F:F,Roster!D:D,"",0))</f>
        <v>36</v>
      </c>
      <c r="M893" s="317" t="str">
        <f t="array" ref="M893">XLOOKUP(D893,Roster!F:F,Roster!E:E)</f>
        <v>Voice</v>
      </c>
      <c r="N893" s="317" t="str">
        <f t="shared" ref="N893:P893" si="908">LEFT(H893,5)</f>
        <v>10:00</v>
      </c>
      <c r="O893" s="317" t="str">
        <f t="shared" si="908"/>
        <v>13:00</v>
      </c>
      <c r="P893" s="317" t="str">
        <f t="shared" si="908"/>
        <v>15:30</v>
      </c>
      <c r="Q893" s="318">
        <f t="shared" si="806"/>
        <v>46120.41667</v>
      </c>
      <c r="R893" s="318">
        <f t="shared" si="807"/>
        <v>46120.54167</v>
      </c>
      <c r="S893" s="318">
        <f t="shared" si="8"/>
        <v>46120.64583</v>
      </c>
    </row>
    <row r="894">
      <c r="A894" s="14" t="str">
        <f t="shared" si="1"/>
        <v>C156946120</v>
      </c>
      <c r="B894" s="185">
        <f t="array" ref="B894">IF(F894="VL","",IF(F894="Free","Free",XLOOKUP(D894,Roster!T:T,Roster!S:S,"",0)))</f>
        <v>121</v>
      </c>
      <c r="C894" s="313">
        <v>46120.0</v>
      </c>
      <c r="D894" s="314" t="s">
        <v>42</v>
      </c>
      <c r="E894" s="307" t="str">
        <f t="array" ref="E894">(XLOOKUP(D894,Roster!F:F,Roster!B:B,"",0))</f>
        <v>Jorge Orozco</v>
      </c>
      <c r="F894" s="315" t="str">
        <f t="array" ref="F894">IF(B894=100,"Free",TEXT(XLOOKUP($D894,OperationVoice!$A:$A,OperationVoice!N:N,XLOOKUP($D894,OperationTickets!$A:$A,OperationTickets!N:N,"",0)),"hh:mm"))</f>
        <v>08:00</v>
      </c>
      <c r="G894" s="309">
        <f t="shared" si="3"/>
        <v>0.7083333333</v>
      </c>
      <c r="H894" s="316" t="str">
        <f t="array" ref="H894">XLOOKUP(B894,Roster!L:L,Roster!N:N,XLOOKUP(D894,TicketsBreak!A:A,TicketsBreak!E:E,"",0),0)</f>
        <v>09:15 - 09:30</v>
      </c>
      <c r="I894" s="316" t="str">
        <f t="array" ref="I894">XLOOKUP(B894,Roster!L:L,Roster!O:O,XLOOKUP(D894,TicketsBreak!A:A,TicketsBreak!F:F,"",0),0)</f>
        <v>11:30 - 12:00</v>
      </c>
      <c r="J894" s="316" t="str">
        <f t="array" ref="J894">XLOOKUP(B894,Roster!L:L,Roster!P:P,XLOOKUP(D894,TicketsBreak!A:A,TicketsBreak!G:G,"",0),0)</f>
        <v>14:30 - 14:45</v>
      </c>
      <c r="K894" s="310">
        <f t="shared" si="4"/>
        <v>46120</v>
      </c>
      <c r="L894" s="317">
        <f t="array" ref="L894">(XLOOKUP(D894,Roster!F:F,Roster!D:D,"",0))</f>
        <v>38</v>
      </c>
      <c r="M894" s="317" t="str">
        <f t="array" ref="M894">XLOOKUP(D894,Roster!F:F,Roster!E:E)</f>
        <v>Voice</v>
      </c>
      <c r="N894" s="317" t="str">
        <f t="shared" ref="N894:P894" si="909">LEFT(H894,5)</f>
        <v>09:15</v>
      </c>
      <c r="O894" s="317" t="str">
        <f t="shared" si="909"/>
        <v>11:30</v>
      </c>
      <c r="P894" s="317" t="str">
        <f t="shared" si="909"/>
        <v>14:30</v>
      </c>
      <c r="Q894" s="318">
        <f t="shared" si="806"/>
        <v>46120.38542</v>
      </c>
      <c r="R894" s="318">
        <f t="shared" si="807"/>
        <v>46120.47917</v>
      </c>
      <c r="S894" s="318">
        <f t="shared" si="8"/>
        <v>46120.60417</v>
      </c>
    </row>
    <row r="895">
      <c r="A895" s="14" t="str">
        <f t="shared" si="1"/>
        <v>C102746120</v>
      </c>
      <c r="B895" s="185" t="str">
        <f t="array" ref="B895">IF(F895="VL","",IF(F895="Free","Free",XLOOKUP(D895,Roster!T:T,Roster!S:S,"",0)))</f>
        <v/>
      </c>
      <c r="C895" s="313">
        <v>46120.0</v>
      </c>
      <c r="D895" s="314" t="s">
        <v>160</v>
      </c>
      <c r="E895" s="307" t="str">
        <f t="array" ref="E895">(XLOOKUP(D895,Roster!F:F,Roster!B:B,"",0))</f>
        <v>Jose Perez</v>
      </c>
      <c r="F895" s="315" t="str">
        <f t="array" ref="F895">IF(B895=100,"Free",TEXT(XLOOKUP($D895,OperationVoice!$A:$A,OperationVoice!N:N,XLOOKUP($D895,OperationTickets!$A:$A,OperationTickets!N:N,"",0)),"hh:mm"))</f>
        <v>VL</v>
      </c>
      <c r="G895" s="309" t="str">
        <f t="shared" si="3"/>
        <v>VL</v>
      </c>
      <c r="H895" s="316">
        <f t="array" ref="H895">XLOOKUP(B895,Roster!L:L,Roster!N:N,XLOOKUP(D895,TicketsBreak!A:A,TicketsBreak!E:E,"",0),0)</f>
        <v>0.4166666667</v>
      </c>
      <c r="I895" s="316">
        <f t="array" ref="I895">XLOOKUP(B895,Roster!L:L,Roster!O:O,XLOOKUP(D895,TicketsBreak!A:A,TicketsBreak!F:F,"",0),0)</f>
        <v>0.5208333333</v>
      </c>
      <c r="J895" s="316">
        <f t="array" ref="J895">XLOOKUP(B895,Roster!L:L,Roster!P:P,XLOOKUP(D895,TicketsBreak!A:A,TicketsBreak!G:G,"",0),0)</f>
        <v>0.6354166667</v>
      </c>
      <c r="K895" s="310">
        <f t="shared" si="4"/>
        <v>46120</v>
      </c>
      <c r="L895" s="317">
        <f t="array" ref="L895">(XLOOKUP(D895,Roster!F:F,Roster!D:D,"",0))</f>
        <v>15</v>
      </c>
      <c r="M895" s="317" t="str">
        <f t="array" ref="M895">XLOOKUP(D895,Roster!F:F,Roster!E:E)</f>
        <v>Tickets</v>
      </c>
      <c r="N895" s="317" t="str">
        <f t="shared" ref="N895:P895" si="910">LEFT(H895,5)</f>
        <v>10:00</v>
      </c>
      <c r="O895" s="317" t="str">
        <f t="shared" si="910"/>
        <v>12:30</v>
      </c>
      <c r="P895" s="317" t="str">
        <f t="shared" si="910"/>
        <v>15:15</v>
      </c>
      <c r="Q895" s="318">
        <f t="shared" si="806"/>
        <v>46120.41667</v>
      </c>
      <c r="R895" s="318">
        <f t="shared" si="807"/>
        <v>46120.52083</v>
      </c>
      <c r="S895" s="318">
        <f t="shared" si="8"/>
        <v>46120.63542</v>
      </c>
    </row>
    <row r="896">
      <c r="A896" s="14" t="str">
        <f t="shared" si="1"/>
        <v>C142646120</v>
      </c>
      <c r="B896" s="185">
        <f t="array" ref="B896">IF(F896="VL","",IF(F896="Free","Free",XLOOKUP(D896,Roster!T:T,Roster!S:S,"",0)))</f>
        <v>123</v>
      </c>
      <c r="C896" s="313">
        <v>46120.0</v>
      </c>
      <c r="D896" s="314" t="s">
        <v>161</v>
      </c>
      <c r="E896" s="307" t="str">
        <f t="array" ref="E896">(XLOOKUP(D896,Roster!F:F,Roster!B:B,"",0))</f>
        <v>Jose Zapata</v>
      </c>
      <c r="F896" s="315" t="str">
        <f t="array" ref="F896">IF(B896=100,"Free",TEXT(XLOOKUP($D896,OperationVoice!$A:$A,OperationVoice!N:N,XLOOKUP($D896,OperationTickets!$A:$A,OperationTickets!N:N,"",0)),"hh:mm"))</f>
        <v>08:00</v>
      </c>
      <c r="G896" s="309">
        <f t="shared" si="3"/>
        <v>0.7083333333</v>
      </c>
      <c r="H896" s="316" t="str">
        <f t="array" ref="H896">XLOOKUP(B896,Roster!L:L,Roster!N:N,XLOOKUP(D896,TicketsBreak!A:A,TicketsBreak!E:E,"",0),0)</f>
        <v>09:45 - 10:00 </v>
      </c>
      <c r="I896" s="316" t="str">
        <f t="array" ref="I896">XLOOKUP(B896,Roster!L:L,Roster!O:O,XLOOKUP(D896,TicketsBreak!A:A,TicketsBreak!F:F,"",0),0)</f>
        <v>12:30 - 13:00</v>
      </c>
      <c r="J896" s="316" t="str">
        <f t="array" ref="J896">XLOOKUP(B896,Roster!L:L,Roster!P:P,XLOOKUP(D896,TicketsBreak!A:A,TicketsBreak!G:G,"",0),0)</f>
        <v>15:00 - 15:15</v>
      </c>
      <c r="K896" s="310">
        <f t="shared" si="4"/>
        <v>46120</v>
      </c>
      <c r="L896" s="317">
        <f t="array" ref="L896">(XLOOKUP(D896,Roster!F:F,Roster!D:D,"",0))</f>
        <v>32</v>
      </c>
      <c r="M896" s="317" t="str">
        <f t="array" ref="M896">XLOOKUP(D896,Roster!F:F,Roster!E:E)</f>
        <v>Tickets</v>
      </c>
      <c r="N896" s="317" t="str">
        <f t="shared" ref="N896:P896" si="911">LEFT(H896,5)</f>
        <v>09:45</v>
      </c>
      <c r="O896" s="317" t="str">
        <f t="shared" si="911"/>
        <v>12:30</v>
      </c>
      <c r="P896" s="317" t="str">
        <f t="shared" si="911"/>
        <v>15:00</v>
      </c>
      <c r="Q896" s="318">
        <f t="shared" si="806"/>
        <v>46120.40625</v>
      </c>
      <c r="R896" s="318">
        <f t="shared" si="807"/>
        <v>46120.52083</v>
      </c>
      <c r="S896" s="318">
        <f t="shared" si="8"/>
        <v>46120.625</v>
      </c>
    </row>
    <row r="897">
      <c r="A897" s="14" t="str">
        <f t="shared" si="1"/>
        <v>C153346120</v>
      </c>
      <c r="B897" s="185">
        <f t="array" ref="B897">IF(F897="VL","",IF(F897="Free","Free",XLOOKUP(D897,Roster!T:T,Roster!S:S,"",0)))</f>
        <v>125</v>
      </c>
      <c r="C897" s="313">
        <v>46120.0</v>
      </c>
      <c r="D897" s="314" t="s">
        <v>43</v>
      </c>
      <c r="E897" s="307" t="str">
        <f t="array" ref="E897">(XLOOKUP(D897,Roster!F:F,Roster!B:B,"",0))</f>
        <v>Juan Barrera</v>
      </c>
      <c r="F897" s="315" t="str">
        <f t="array" ref="F897">IF(B897=100,"Free",TEXT(XLOOKUP($D897,OperationVoice!$A:$A,OperationVoice!N:N,XLOOKUP($D897,OperationTickets!$A:$A,OperationTickets!N:N,"",0)),"hh:mm"))</f>
        <v>08:00</v>
      </c>
      <c r="G897" s="309">
        <f t="shared" si="3"/>
        <v>0.7083333333</v>
      </c>
      <c r="H897" s="316" t="str">
        <f t="array" ref="H897">XLOOKUP(B897,Roster!L:L,Roster!N:N,XLOOKUP(D897,TicketsBreak!A:A,TicketsBreak!E:E,"",0),0)</f>
        <v>10:30 - 10:45</v>
      </c>
      <c r="I897" s="316" t="str">
        <f t="array" ref="I897">XLOOKUP(B897,Roster!L:L,Roster!O:O,XLOOKUP(D897,TicketsBreak!A:A,TicketsBreak!F:F,"",0),0)</f>
        <v>13:30 - 14:00</v>
      </c>
      <c r="J897" s="316" t="str">
        <f t="array" ref="J897">XLOOKUP(B897,Roster!L:L,Roster!P:P,XLOOKUP(D897,TicketsBreak!A:A,TicketsBreak!G:G,"",0),0)</f>
        <v>15:45 - 16:00</v>
      </c>
      <c r="K897" s="310">
        <f t="shared" si="4"/>
        <v>46120</v>
      </c>
      <c r="L897" s="317">
        <f t="array" ref="L897">(XLOOKUP(D897,Roster!F:F,Roster!D:D,"",0))</f>
        <v>36</v>
      </c>
      <c r="M897" s="317" t="str">
        <f t="array" ref="M897">XLOOKUP(D897,Roster!F:F,Roster!E:E)</f>
        <v>Voice</v>
      </c>
      <c r="N897" s="317" t="str">
        <f t="shared" ref="N897:P897" si="912">LEFT(H897,5)</f>
        <v>10:30</v>
      </c>
      <c r="O897" s="317" t="str">
        <f t="shared" si="912"/>
        <v>13:30</v>
      </c>
      <c r="P897" s="317" t="str">
        <f t="shared" si="912"/>
        <v>15:45</v>
      </c>
      <c r="Q897" s="318">
        <f t="shared" si="806"/>
        <v>46120.4375</v>
      </c>
      <c r="R897" s="318">
        <f t="shared" si="807"/>
        <v>46120.5625</v>
      </c>
      <c r="S897" s="318">
        <f t="shared" si="8"/>
        <v>46120.65625</v>
      </c>
    </row>
    <row r="898">
      <c r="A898" s="14" t="str">
        <f t="shared" si="1"/>
        <v>C146546120</v>
      </c>
      <c r="B898" s="185">
        <f t="array" ref="B898">IF(F898="VL","",IF(F898="Free","Free",XLOOKUP(D898,Roster!T:T,Roster!S:S,"",0)))</f>
        <v>500</v>
      </c>
      <c r="C898" s="313">
        <v>46120.0</v>
      </c>
      <c r="D898" s="314" t="s">
        <v>44</v>
      </c>
      <c r="E898" s="307" t="str">
        <f t="array" ref="E898">(XLOOKUP(D898,Roster!F:F,Roster!B:B,"",0))</f>
        <v>Juan Castilla</v>
      </c>
      <c r="F898" s="315" t="str">
        <f t="array" ref="F898">IF(B898=100,"Free",TEXT(XLOOKUP($D898,OperationVoice!$A:$A,OperationVoice!N:N,XLOOKUP($D898,OperationTickets!$A:$A,OperationTickets!N:N,"",0)),"hh:mm"))</f>
        <v>08:00</v>
      </c>
      <c r="G898" s="309">
        <f t="shared" si="3"/>
        <v>0.7083333333</v>
      </c>
      <c r="H898" s="316" t="str">
        <f t="array" ref="H898">XLOOKUP(B898,Roster!L:L,Roster!N:N,XLOOKUP(D898,TicketsBreak!A:A,TicketsBreak!E:E,"",0),0)</f>
        <v>Team Leader</v>
      </c>
      <c r="I898" s="316" t="str">
        <f t="array" ref="I898">XLOOKUP(B898,Roster!L:L,Roster!O:O,XLOOKUP(D898,TicketsBreak!A:A,TicketsBreak!F:F,"",0),0)</f>
        <v>Team Leader</v>
      </c>
      <c r="J898" s="316" t="str">
        <f t="array" ref="J898">XLOOKUP(B898,Roster!L:L,Roster!P:P,XLOOKUP(D898,TicketsBreak!A:A,TicketsBreak!G:G,"",0),0)</f>
        <v/>
      </c>
      <c r="K898" s="310">
        <f t="shared" si="4"/>
        <v>46120</v>
      </c>
      <c r="L898" s="317">
        <f t="array" ref="L898">(XLOOKUP(D898,Roster!F:F,Roster!D:D,"",0))</f>
        <v>33</v>
      </c>
      <c r="M898" s="317" t="str">
        <f t="array" ref="M898">XLOOKUP(D898,Roster!F:F,Roster!E:E)</f>
        <v>Voice</v>
      </c>
      <c r="N898" s="317" t="str">
        <f t="shared" ref="N898:P898" si="913">LEFT(H898,5)</f>
        <v>Team </v>
      </c>
      <c r="O898" s="317" t="str">
        <f t="shared" si="913"/>
        <v>Team </v>
      </c>
      <c r="P898" s="317" t="str">
        <f t="shared" si="913"/>
        <v/>
      </c>
      <c r="Q898" s="318" t="str">
        <f t="shared" si="806"/>
        <v>#VALUE!</v>
      </c>
      <c r="R898" s="318" t="str">
        <f t="shared" si="807"/>
        <v>#VALUE!</v>
      </c>
      <c r="S898" s="318" t="str">
        <f t="shared" si="8"/>
        <v/>
      </c>
    </row>
    <row r="899">
      <c r="A899" s="14" t="str">
        <f t="shared" si="1"/>
        <v>C72046120</v>
      </c>
      <c r="B899" s="185" t="str">
        <f t="array" ref="B899">IF(F899="VL","",IF(F899="Free","Free",XLOOKUP(D899,Roster!T:T,Roster!S:S,"",0)))</f>
        <v/>
      </c>
      <c r="C899" s="313">
        <v>46120.0</v>
      </c>
      <c r="D899" s="314" t="s">
        <v>162</v>
      </c>
      <c r="E899" s="307" t="str">
        <f t="array" ref="E899">(XLOOKUP(D899,Roster!F:F,Roster!B:B,"",0))</f>
        <v>Juan Durango</v>
      </c>
      <c r="F899" s="315" t="str">
        <f t="array" ref="F899">IF(B899=100,"Free",TEXT(XLOOKUP($D899,OperationVoice!$A:$A,OperationVoice!N:N,XLOOKUP($D899,OperationTickets!$A:$A,OperationTickets!N:N,"",0)),"hh:mm"))</f>
        <v>08:00</v>
      </c>
      <c r="G899" s="309">
        <f t="shared" si="3"/>
        <v>0.7083333333</v>
      </c>
      <c r="H899" s="316">
        <f t="array" ref="H899">XLOOKUP(B899,Roster!L:L,Roster!N:N,XLOOKUP(D899,TicketsBreak!A:A,TicketsBreak!E:E,"",0),0)</f>
        <v>0.40625</v>
      </c>
      <c r="I899" s="316">
        <f t="array" ref="I899">XLOOKUP(B899,Roster!L:L,Roster!O:O,XLOOKUP(D899,TicketsBreak!A:A,TicketsBreak!F:F,"",0),0)</f>
        <v>0.5729166667</v>
      </c>
      <c r="J899" s="316">
        <f t="array" ref="J899">XLOOKUP(B899,Roster!L:L,Roster!P:P,XLOOKUP(D899,TicketsBreak!A:A,TicketsBreak!G:G,"",0),0)</f>
        <v>0.65625</v>
      </c>
      <c r="K899" s="310">
        <f t="shared" si="4"/>
        <v>46120</v>
      </c>
      <c r="L899" s="317">
        <f t="array" ref="L899">(XLOOKUP(D899,Roster!F:F,Roster!D:D,"",0))</f>
        <v>7</v>
      </c>
      <c r="M899" s="317" t="str">
        <f t="array" ref="M899">XLOOKUP(D899,Roster!F:F,Roster!E:E)</f>
        <v>Tickets</v>
      </c>
      <c r="N899" s="317" t="str">
        <f t="shared" ref="N899:P899" si="914">LEFT(H899,5)</f>
        <v>09:45</v>
      </c>
      <c r="O899" s="317" t="str">
        <f t="shared" si="914"/>
        <v>13:45</v>
      </c>
      <c r="P899" s="317" t="str">
        <f t="shared" si="914"/>
        <v>15:45</v>
      </c>
      <c r="Q899" s="318">
        <f t="shared" si="806"/>
        <v>46120.40625</v>
      </c>
      <c r="R899" s="318">
        <f t="shared" si="807"/>
        <v>46120.57292</v>
      </c>
      <c r="S899" s="318">
        <f t="shared" si="8"/>
        <v>46120.65625</v>
      </c>
    </row>
    <row r="900">
      <c r="A900" s="14" t="str">
        <f t="shared" si="1"/>
        <v>C59846120</v>
      </c>
      <c r="B900" s="185" t="str">
        <f t="array" ref="B900">IF(F900="VL","",IF(F900="Free","Free",XLOOKUP(D900,Roster!T:T,Roster!S:S,"",0)))</f>
        <v/>
      </c>
      <c r="C900" s="313">
        <v>46120.0</v>
      </c>
      <c r="D900" s="314" t="s">
        <v>314</v>
      </c>
      <c r="E900" s="307" t="str">
        <f t="array" ref="E900">(XLOOKUP(D900,Roster!F:F,Roster!B:B,"",0))</f>
        <v>Juan Fonnegra</v>
      </c>
      <c r="F900" s="315" t="str">
        <f t="array" ref="F900">IF(B900=100,"Free",TEXT(XLOOKUP($D900,OperationVoice!$A:$A,OperationVoice!N:N,XLOOKUP($D900,OperationTickets!$A:$A,OperationTickets!N:N,"",0)),"hh:mm"))</f>
        <v/>
      </c>
      <c r="G900" s="309" t="str">
        <f t="shared" si="3"/>
        <v/>
      </c>
      <c r="H900" s="316">
        <f t="array" ref="H900">XLOOKUP(B900,Roster!L:L,Roster!N:N,XLOOKUP(D900,TicketsBreak!A:A,TicketsBreak!E:E,"",0),0)</f>
        <v>0.4166666667</v>
      </c>
      <c r="I900" s="316">
        <f t="array" ref="I900">XLOOKUP(B900,Roster!L:L,Roster!O:O,XLOOKUP(D900,TicketsBreak!A:A,TicketsBreak!F:F,"",0),0)</f>
        <v>0.5208333333</v>
      </c>
      <c r="J900" s="316">
        <f t="array" ref="J900">XLOOKUP(B900,Roster!L:L,Roster!P:P,XLOOKUP(D900,TicketsBreak!A:A,TicketsBreak!G:G,"",0),0)</f>
        <v>0.65625</v>
      </c>
      <c r="K900" s="310">
        <f t="shared" si="4"/>
        <v>46120</v>
      </c>
      <c r="L900" s="317">
        <f t="array" ref="L900">(XLOOKUP(D900,Roster!F:F,Roster!D:D,"",0))</f>
        <v>1</v>
      </c>
      <c r="M900" s="317" t="str">
        <f t="array" ref="M900">XLOOKUP(D900,Roster!F:F,Roster!E:E)</f>
        <v>Tickets</v>
      </c>
      <c r="N900" s="317" t="str">
        <f t="shared" ref="N900:P900" si="915">LEFT(H900,5)</f>
        <v>10:00</v>
      </c>
      <c r="O900" s="317" t="str">
        <f t="shared" si="915"/>
        <v>12:30</v>
      </c>
      <c r="P900" s="317" t="str">
        <f t="shared" si="915"/>
        <v>15:45</v>
      </c>
      <c r="Q900" s="318">
        <f t="shared" si="806"/>
        <v>46120.41667</v>
      </c>
      <c r="R900" s="318">
        <f t="shared" si="807"/>
        <v>46120.52083</v>
      </c>
      <c r="S900" s="318">
        <f t="shared" si="8"/>
        <v>46120.65625</v>
      </c>
    </row>
    <row r="901">
      <c r="A901" s="14" t="str">
        <f t="shared" si="1"/>
        <v>C113946120</v>
      </c>
      <c r="B901" s="185">
        <f t="array" ref="B901">IF(F901="VL","",IF(F901="Free","Free",XLOOKUP(D901,Roster!T:T,Roster!S:S,"",0)))</f>
        <v>125</v>
      </c>
      <c r="C901" s="313">
        <v>46120.0</v>
      </c>
      <c r="D901" s="314" t="s">
        <v>45</v>
      </c>
      <c r="E901" s="307" t="str">
        <f t="array" ref="E901">(XLOOKUP(D901,Roster!F:F,Roster!B:B,"",0))</f>
        <v>Juan Largacha</v>
      </c>
      <c r="F901" s="315" t="str">
        <f t="array" ref="F901">IF(B901=100,"Free",TEXT(XLOOKUP($D901,OperationVoice!$A:$A,OperationVoice!N:N,XLOOKUP($D901,OperationTickets!$A:$A,OperationTickets!N:N,"",0)),"hh:mm"))</f>
        <v>08:00</v>
      </c>
      <c r="G901" s="309">
        <f t="shared" si="3"/>
        <v>0.7083333333</v>
      </c>
      <c r="H901" s="316" t="str">
        <f t="array" ref="H901">XLOOKUP(B901,Roster!L:L,Roster!N:N,XLOOKUP(D901,TicketsBreak!A:A,TicketsBreak!E:E,"",0),0)</f>
        <v>10:30 - 10:45</v>
      </c>
      <c r="I901" s="316" t="str">
        <f t="array" ref="I901">XLOOKUP(B901,Roster!L:L,Roster!O:O,XLOOKUP(D901,TicketsBreak!A:A,TicketsBreak!F:F,"",0),0)</f>
        <v>13:30 - 14:00</v>
      </c>
      <c r="J901" s="316" t="str">
        <f t="array" ref="J901">XLOOKUP(B901,Roster!L:L,Roster!P:P,XLOOKUP(D901,TicketsBreak!A:A,TicketsBreak!G:G,"",0),0)</f>
        <v>15:45 - 16:00</v>
      </c>
      <c r="K901" s="310">
        <f t="shared" si="4"/>
        <v>46120</v>
      </c>
      <c r="L901" s="317">
        <f t="array" ref="L901">(XLOOKUP(D901,Roster!F:F,Roster!D:D,"",0))</f>
        <v>22</v>
      </c>
      <c r="M901" s="317" t="str">
        <f t="array" ref="M901">XLOOKUP(D901,Roster!F:F,Roster!E:E)</f>
        <v>Voice</v>
      </c>
      <c r="N901" s="317" t="str">
        <f t="shared" ref="N901:P901" si="916">LEFT(H901,5)</f>
        <v>10:30</v>
      </c>
      <c r="O901" s="317" t="str">
        <f t="shared" si="916"/>
        <v>13:30</v>
      </c>
      <c r="P901" s="317" t="str">
        <f t="shared" si="916"/>
        <v>15:45</v>
      </c>
      <c r="Q901" s="318">
        <f t="shared" si="806"/>
        <v>46120.4375</v>
      </c>
      <c r="R901" s="318">
        <f t="shared" si="807"/>
        <v>46120.5625</v>
      </c>
      <c r="S901" s="318">
        <f t="shared" si="8"/>
        <v>46120.65625</v>
      </c>
    </row>
    <row r="902">
      <c r="A902" s="14" t="str">
        <f t="shared" si="1"/>
        <v>C156646120</v>
      </c>
      <c r="B902" s="185">
        <f t="array" ref="B902">IF(F902="VL","",IF(F902="Free","Free",XLOOKUP(D902,Roster!T:T,Roster!S:S,"",0)))</f>
        <v>124</v>
      </c>
      <c r="C902" s="313">
        <v>46120.0</v>
      </c>
      <c r="D902" s="314" t="s">
        <v>46</v>
      </c>
      <c r="E902" s="307" t="str">
        <f t="array" ref="E902">(XLOOKUP(D902,Roster!F:F,Roster!B:B,"",0))</f>
        <v>Juan Ocampo</v>
      </c>
      <c r="F902" s="315" t="str">
        <f t="array" ref="F902">IF(B902=100,"Free",TEXT(XLOOKUP($D902,OperationVoice!$A:$A,OperationVoice!N:N,XLOOKUP($D902,OperationTickets!$A:$A,OperationTickets!N:N,"",0)),"hh:mm"))</f>
        <v>08:00</v>
      </c>
      <c r="G902" s="309">
        <f t="shared" si="3"/>
        <v>0.7083333333</v>
      </c>
      <c r="H902" s="316" t="str">
        <f t="array" ref="H902">XLOOKUP(B902,Roster!L:L,Roster!N:N,XLOOKUP(D902,TicketsBreak!A:A,TicketsBreak!E:E,"",0),0)</f>
        <v>10:00 - 10:15</v>
      </c>
      <c r="I902" s="316" t="str">
        <f t="array" ref="I902">XLOOKUP(B902,Roster!L:L,Roster!O:O,XLOOKUP(D902,TicketsBreak!A:A,TicketsBreak!F:F,"",0),0)</f>
        <v>13:00 - 13:30</v>
      </c>
      <c r="J902" s="316" t="str">
        <f t="array" ref="J902">XLOOKUP(B902,Roster!L:L,Roster!P:P,XLOOKUP(D902,TicketsBreak!A:A,TicketsBreak!G:G,"",0),0)</f>
        <v>15:30 - 15:45</v>
      </c>
      <c r="K902" s="310">
        <f t="shared" si="4"/>
        <v>46120</v>
      </c>
      <c r="L902" s="317">
        <f t="array" ref="L902">(XLOOKUP(D902,Roster!F:F,Roster!D:D,"",0))</f>
        <v>38</v>
      </c>
      <c r="M902" s="317" t="str">
        <f t="array" ref="M902">XLOOKUP(D902,Roster!F:F,Roster!E:E)</f>
        <v>Voice</v>
      </c>
      <c r="N902" s="317" t="str">
        <f t="shared" ref="N902:P902" si="917">LEFT(H902,5)</f>
        <v>10:00</v>
      </c>
      <c r="O902" s="317" t="str">
        <f t="shared" si="917"/>
        <v>13:00</v>
      </c>
      <c r="P902" s="317" t="str">
        <f t="shared" si="917"/>
        <v>15:30</v>
      </c>
      <c r="Q902" s="318">
        <f t="shared" si="806"/>
        <v>46120.41667</v>
      </c>
      <c r="R902" s="318">
        <f t="shared" si="807"/>
        <v>46120.54167</v>
      </c>
      <c r="S902" s="318">
        <f t="shared" si="8"/>
        <v>46120.64583</v>
      </c>
    </row>
    <row r="903">
      <c r="A903" s="14" t="str">
        <f t="shared" si="1"/>
        <v>C148446120</v>
      </c>
      <c r="B903" s="185">
        <f t="array" ref="B903">IF(F903="VL","",IF(F903="Free","Free",XLOOKUP(D903,Roster!T:T,Roster!S:S,"",0)))</f>
        <v>126</v>
      </c>
      <c r="C903" s="313">
        <v>46120.0</v>
      </c>
      <c r="D903" s="314" t="s">
        <v>141</v>
      </c>
      <c r="E903" s="307" t="str">
        <f t="array" ref="E903">(XLOOKUP(D903,Roster!F:F,Roster!B:B,"",0))</f>
        <v>Juan Ospina</v>
      </c>
      <c r="F903" s="315" t="str">
        <f t="array" ref="F903">IF(B903=100,"Free",TEXT(XLOOKUP($D903,OperationVoice!$A:$A,OperationVoice!N:N,XLOOKUP($D903,OperationTickets!$A:$A,OperationTickets!N:N,"",0)),"hh:mm"))</f>
        <v>08:00</v>
      </c>
      <c r="G903" s="309">
        <f t="shared" si="3"/>
        <v>0.7083333333</v>
      </c>
      <c r="H903" s="316" t="str">
        <f t="array" ref="H903">XLOOKUP(B903,Roster!L:L,Roster!N:N,XLOOKUP(D903,TicketsBreak!A:A,TicketsBreak!E:E,"",0),0)</f>
        <v>10:45 - 11:00</v>
      </c>
      <c r="I903" s="316" t="str">
        <f t="array" ref="I903">XLOOKUP(B903,Roster!L:L,Roster!O:O,XLOOKUP(D903,TicketsBreak!A:A,TicketsBreak!F:F,"",0),0)</f>
        <v>14:00 - 14:30</v>
      </c>
      <c r="J903" s="316" t="str">
        <f t="array" ref="J903">XLOOKUP(B903,Roster!L:L,Roster!P:P,XLOOKUP(D903,TicketsBreak!A:A,TicketsBreak!G:G,"",0),0)</f>
        <v>15:45 - 16:00</v>
      </c>
      <c r="K903" s="310">
        <f t="shared" si="4"/>
        <v>46120</v>
      </c>
      <c r="L903" s="317">
        <f t="array" ref="L903">(XLOOKUP(D903,Roster!F:F,Roster!D:D,"",0))</f>
        <v>34</v>
      </c>
      <c r="M903" s="317" t="str">
        <f t="array" ref="M903">XLOOKUP(D903,Roster!F:F,Roster!E:E)</f>
        <v>Tickets</v>
      </c>
      <c r="N903" s="317" t="str">
        <f t="shared" ref="N903:P903" si="918">LEFT(H903,5)</f>
        <v>10:45</v>
      </c>
      <c r="O903" s="317" t="str">
        <f t="shared" si="918"/>
        <v>14:00</v>
      </c>
      <c r="P903" s="317" t="str">
        <f t="shared" si="918"/>
        <v>15:45</v>
      </c>
      <c r="Q903" s="318">
        <f t="shared" si="806"/>
        <v>46120.44792</v>
      </c>
      <c r="R903" s="318">
        <f t="shared" si="807"/>
        <v>46120.58333</v>
      </c>
      <c r="S903" s="318">
        <f t="shared" si="8"/>
        <v>46120.65625</v>
      </c>
    </row>
    <row r="904">
      <c r="A904" s="14" t="str">
        <f t="shared" si="1"/>
        <v>C141346120</v>
      </c>
      <c r="B904" s="185">
        <f t="array" ref="B904">IF(F904="VL","",IF(F904="Free","Free",XLOOKUP(D904,Roster!T:T,Roster!S:S,"",0)))</f>
        <v>121</v>
      </c>
      <c r="C904" s="313">
        <v>46120.0</v>
      </c>
      <c r="D904" s="314" t="s">
        <v>47</v>
      </c>
      <c r="E904" s="307" t="str">
        <f t="array" ref="E904">(XLOOKUP(D904,Roster!F:F,Roster!B:B,"",0))</f>
        <v>Juan Parra</v>
      </c>
      <c r="F904" s="315" t="str">
        <f t="array" ref="F904">IF(B904=100,"Free",TEXT(XLOOKUP($D904,OperationVoice!$A:$A,OperationVoice!N:N,XLOOKUP($D904,OperationTickets!$A:$A,OperationTickets!N:N,"",0)),"hh:mm"))</f>
        <v>08:00</v>
      </c>
      <c r="G904" s="309">
        <f t="shared" si="3"/>
        <v>0.7083333333</v>
      </c>
      <c r="H904" s="316" t="str">
        <f t="array" ref="H904">XLOOKUP(B904,Roster!L:L,Roster!N:N,XLOOKUP(D904,TicketsBreak!A:A,TicketsBreak!E:E,"",0),0)</f>
        <v>09:15 - 09:30</v>
      </c>
      <c r="I904" s="316" t="str">
        <f t="array" ref="I904">XLOOKUP(B904,Roster!L:L,Roster!O:O,XLOOKUP(D904,TicketsBreak!A:A,TicketsBreak!F:F,"",0),0)</f>
        <v>11:30 - 12:00</v>
      </c>
      <c r="J904" s="316" t="str">
        <f t="array" ref="J904">XLOOKUP(B904,Roster!L:L,Roster!P:P,XLOOKUP(D904,TicketsBreak!A:A,TicketsBreak!G:G,"",0),0)</f>
        <v>14:30 - 14:45</v>
      </c>
      <c r="K904" s="310">
        <f t="shared" si="4"/>
        <v>46120</v>
      </c>
      <c r="L904" s="317">
        <f t="array" ref="L904">(XLOOKUP(D904,Roster!F:F,Roster!D:D,"",0))</f>
        <v>32</v>
      </c>
      <c r="M904" s="317" t="str">
        <f t="array" ref="M904">XLOOKUP(D904,Roster!F:F,Roster!E:E)</f>
        <v>Voice</v>
      </c>
      <c r="N904" s="317" t="str">
        <f t="shared" ref="N904:P904" si="919">LEFT(H904,5)</f>
        <v>09:15</v>
      </c>
      <c r="O904" s="317" t="str">
        <f t="shared" si="919"/>
        <v>11:30</v>
      </c>
      <c r="P904" s="317" t="str">
        <f t="shared" si="919"/>
        <v>14:30</v>
      </c>
      <c r="Q904" s="318">
        <f t="shared" si="806"/>
        <v>46120.38542</v>
      </c>
      <c r="R904" s="318">
        <f t="shared" si="807"/>
        <v>46120.47917</v>
      </c>
      <c r="S904" s="318">
        <f t="shared" si="8"/>
        <v>46120.60417</v>
      </c>
    </row>
    <row r="905">
      <c r="A905" s="14" t="str">
        <f t="shared" si="1"/>
        <v>C132746120</v>
      </c>
      <c r="B905" s="185" t="str">
        <f t="array" ref="B905">IF(F905="VL","",IF(F905="Free","Free",XLOOKUP(D905,Roster!T:T,Roster!S:S,"",0)))</f>
        <v/>
      </c>
      <c r="C905" s="313">
        <v>46120.0</v>
      </c>
      <c r="D905" s="314" t="s">
        <v>163</v>
      </c>
      <c r="E905" s="307" t="str">
        <f t="array" ref="E905">(XLOOKUP(D905,Roster!F:F,Roster!B:B,"",0))</f>
        <v>Juan Restrepo</v>
      </c>
      <c r="F905" s="315" t="str">
        <f t="array" ref="F905">IF(B905=100,"Free",TEXT(XLOOKUP($D905,OperationVoice!$A:$A,OperationVoice!N:N,XLOOKUP($D905,OperationTickets!$A:$A,OperationTickets!N:N,"",0)),"hh:mm"))</f>
        <v>07:00</v>
      </c>
      <c r="G905" s="309">
        <f t="shared" si="3"/>
        <v>0.6666666667</v>
      </c>
      <c r="H905" s="316" t="str">
        <f t="array" ref="H905">XLOOKUP(B905,Roster!L:L,Roster!N:N,XLOOKUP(D905,TicketsBreak!A:A,TicketsBreak!E:E,"",0),0)</f>
        <v/>
      </c>
      <c r="I905" s="316" t="str">
        <f t="array" ref="I905">XLOOKUP(B905,Roster!L:L,Roster!O:O,XLOOKUP(D905,TicketsBreak!A:A,TicketsBreak!F:F,"",0),0)</f>
        <v/>
      </c>
      <c r="J905" s="316" t="str">
        <f t="array" ref="J905">XLOOKUP(B905,Roster!L:L,Roster!P:P,XLOOKUP(D905,TicketsBreak!A:A,TicketsBreak!G:G,"",0),0)</f>
        <v/>
      </c>
      <c r="K905" s="310">
        <f t="shared" si="4"/>
        <v>46120</v>
      </c>
      <c r="L905" s="317">
        <f t="array" ref="L905">(XLOOKUP(D905,Roster!F:F,Roster!D:D,"",0))</f>
        <v>29</v>
      </c>
      <c r="M905" s="317" t="str">
        <f t="array" ref="M905">XLOOKUP(D905,Roster!F:F,Roster!E:E)</f>
        <v>Tickets</v>
      </c>
      <c r="N905" s="317" t="str">
        <f t="shared" ref="N905:P905" si="920">LEFT(H905,5)</f>
        <v/>
      </c>
      <c r="O905" s="317" t="str">
        <f t="shared" si="920"/>
        <v/>
      </c>
      <c r="P905" s="317" t="str">
        <f t="shared" si="920"/>
        <v/>
      </c>
      <c r="Q905" s="318" t="str">
        <f t="shared" si="806"/>
        <v/>
      </c>
      <c r="R905" s="318" t="str">
        <f t="shared" si="807"/>
        <v/>
      </c>
      <c r="S905" s="318" t="str">
        <f t="shared" si="8"/>
        <v/>
      </c>
    </row>
    <row r="906">
      <c r="A906" s="14" t="str">
        <f t="shared" si="1"/>
        <v>C146946120</v>
      </c>
      <c r="B906" s="185">
        <f t="array" ref="B906">IF(F906="VL","",IF(F906="Free","Free",XLOOKUP(D906,Roster!T:T,Roster!S:S,"",0)))</f>
        <v>122</v>
      </c>
      <c r="C906" s="313">
        <v>46120.0</v>
      </c>
      <c r="D906" s="314" t="s">
        <v>48</v>
      </c>
      <c r="E906" s="307" t="str">
        <f t="array" ref="E906">(XLOOKUP(D906,Roster!F:F,Roster!B:B,"",0))</f>
        <v>Juan Restrepo Restrepo</v>
      </c>
      <c r="F906" s="315" t="str">
        <f t="array" ref="F906">IF(B906=100,"Free",TEXT(XLOOKUP($D906,OperationVoice!$A:$A,OperationVoice!N:N,XLOOKUP($D906,OperationTickets!$A:$A,OperationTickets!N:N,"",0)),"hh:mm"))</f>
        <v>08:00</v>
      </c>
      <c r="G906" s="309">
        <f t="shared" si="3"/>
        <v>0.7083333333</v>
      </c>
      <c r="H906" s="316" t="str">
        <f t="array" ref="H906">XLOOKUP(B906,Roster!L:L,Roster!N:N,XLOOKUP(D906,TicketsBreak!A:A,TicketsBreak!E:E,"",0),0)</f>
        <v>09:30 - 09:45</v>
      </c>
      <c r="I906" s="316" t="str">
        <f t="array" ref="I906">XLOOKUP(B906,Roster!L:L,Roster!O:O,XLOOKUP(D906,TicketsBreak!A:A,TicketsBreak!F:F,"",0),0)</f>
        <v>12:00 - 12:30</v>
      </c>
      <c r="J906" s="316" t="str">
        <f t="array" ref="J906">XLOOKUP(B906,Roster!L:L,Roster!P:P,XLOOKUP(D906,TicketsBreak!A:A,TicketsBreak!G:G,"",0),0)</f>
        <v>14:45 - 15:00</v>
      </c>
      <c r="K906" s="310">
        <f t="shared" si="4"/>
        <v>46120</v>
      </c>
      <c r="L906" s="317">
        <f t="array" ref="L906">(XLOOKUP(D906,Roster!F:F,Roster!D:D,"",0))</f>
        <v>33</v>
      </c>
      <c r="M906" s="317" t="str">
        <f t="array" ref="M906">XLOOKUP(D906,Roster!F:F,Roster!E:E)</f>
        <v>Voice</v>
      </c>
      <c r="N906" s="317" t="str">
        <f t="shared" ref="N906:P906" si="921">LEFT(H906,5)</f>
        <v>09:30</v>
      </c>
      <c r="O906" s="317" t="str">
        <f t="shared" si="921"/>
        <v>12:00</v>
      </c>
      <c r="P906" s="317" t="str">
        <f t="shared" si="921"/>
        <v>14:45</v>
      </c>
      <c r="Q906" s="318">
        <f t="shared" si="806"/>
        <v>46120.39583</v>
      </c>
      <c r="R906" s="318">
        <f t="shared" si="807"/>
        <v>46120.5</v>
      </c>
      <c r="S906" s="318">
        <f t="shared" si="8"/>
        <v>46120.61458</v>
      </c>
    </row>
    <row r="907">
      <c r="A907" s="14" t="str">
        <f t="shared" si="1"/>
        <v>C117146120</v>
      </c>
      <c r="B907" s="185" t="str">
        <f t="array" ref="B907">IF(F907="VL","",IF(F907="Free","Free",XLOOKUP(D907,Roster!T:T,Roster!S:S,"",0)))</f>
        <v/>
      </c>
      <c r="C907" s="313">
        <v>46120.0</v>
      </c>
      <c r="D907" s="314" t="s">
        <v>142</v>
      </c>
      <c r="E907" s="307" t="str">
        <f t="array" ref="E907">(XLOOKUP(D907,Roster!F:F,Roster!B:B,"",0))</f>
        <v>Juan Sanchez</v>
      </c>
      <c r="F907" s="315" t="str">
        <f t="array" ref="F907">IF(B907=100,"Free",TEXT(XLOOKUP($D907,OperationVoice!$A:$A,OperationVoice!N:N,XLOOKUP($D907,OperationTickets!$A:$A,OperationTickets!N:N,"",0)),"hh:mm"))</f>
        <v>08:00</v>
      </c>
      <c r="G907" s="309">
        <f t="shared" si="3"/>
        <v>0.7083333333</v>
      </c>
      <c r="H907" s="316" t="str">
        <f t="array" ref="H907">XLOOKUP(B907,Roster!L:L,Roster!N:N,XLOOKUP(D907,TicketsBreak!A:A,TicketsBreak!E:E,"",0),0)</f>
        <v/>
      </c>
      <c r="I907" s="316" t="str">
        <f t="array" ref="I907">XLOOKUP(B907,Roster!L:L,Roster!O:O,XLOOKUP(D907,TicketsBreak!A:A,TicketsBreak!F:F,"",0),0)</f>
        <v/>
      </c>
      <c r="J907" s="316" t="str">
        <f t="array" ref="J907">XLOOKUP(B907,Roster!L:L,Roster!P:P,XLOOKUP(D907,TicketsBreak!A:A,TicketsBreak!G:G,"",0),0)</f>
        <v/>
      </c>
      <c r="K907" s="310">
        <f t="shared" si="4"/>
        <v>46120</v>
      </c>
      <c r="L907" s="317">
        <f t="array" ref="L907">(XLOOKUP(D907,Roster!F:F,Roster!D:D,"",0))</f>
        <v>24</v>
      </c>
      <c r="M907" s="317" t="str">
        <f t="array" ref="M907">XLOOKUP(D907,Roster!F:F,Roster!E:E)</f>
        <v>Tickets</v>
      </c>
      <c r="N907" s="317" t="str">
        <f t="shared" ref="N907:P907" si="922">LEFT(H907,5)</f>
        <v/>
      </c>
      <c r="O907" s="317" t="str">
        <f t="shared" si="922"/>
        <v/>
      </c>
      <c r="P907" s="317" t="str">
        <f t="shared" si="922"/>
        <v/>
      </c>
      <c r="Q907" s="318" t="str">
        <f t="shared" si="806"/>
        <v/>
      </c>
      <c r="R907" s="318" t="str">
        <f t="shared" si="807"/>
        <v/>
      </c>
      <c r="S907" s="318" t="str">
        <f t="shared" si="8"/>
        <v/>
      </c>
    </row>
    <row r="908">
      <c r="A908" s="14" t="str">
        <f t="shared" si="1"/>
        <v>C74346120</v>
      </c>
      <c r="B908" s="185" t="str">
        <f t="array" ref="B908">IF(F908="VL","",IF(F908="Free","Free",XLOOKUP(D908,Roster!T:T,Roster!S:S,"",0)))</f>
        <v/>
      </c>
      <c r="C908" s="313">
        <v>46120.0</v>
      </c>
      <c r="D908" s="314" t="s">
        <v>164</v>
      </c>
      <c r="E908" s="307" t="str">
        <f t="array" ref="E908">(XLOOKUP(D908,Roster!F:F,Roster!B:B,"",0))</f>
        <v>Juan Suarez</v>
      </c>
      <c r="F908" s="315" t="str">
        <f t="array" ref="F908">IF(B908=100,"Free",TEXT(XLOOKUP($D908,OperationVoice!$A:$A,OperationVoice!N:N,XLOOKUP($D908,OperationTickets!$A:$A,OperationTickets!N:N,"",0)),"hh:mm"))</f>
        <v>08:30</v>
      </c>
      <c r="G908" s="309">
        <f t="shared" si="3"/>
        <v>0.7291666667</v>
      </c>
      <c r="H908" s="316">
        <f t="array" ref="H908">XLOOKUP(B908,Roster!L:L,Roster!N:N,XLOOKUP(D908,TicketsBreak!A:A,TicketsBreak!E:E,"",0),0)</f>
        <v>0.3958333333</v>
      </c>
      <c r="I908" s="316">
        <f t="array" ref="I908">XLOOKUP(B908,Roster!L:L,Roster!O:O,XLOOKUP(D908,TicketsBreak!A:A,TicketsBreak!F:F,"",0),0)</f>
        <v>0.5208333333</v>
      </c>
      <c r="J908" s="316">
        <f t="array" ref="J908">XLOOKUP(B908,Roster!L:L,Roster!P:P,XLOOKUP(D908,TicketsBreak!A:A,TicketsBreak!G:G,"",0),0)</f>
        <v>0.6145833333</v>
      </c>
      <c r="K908" s="310">
        <f t="shared" si="4"/>
        <v>46120</v>
      </c>
      <c r="L908" s="317">
        <f t="array" ref="L908">(XLOOKUP(D908,Roster!F:F,Roster!D:D,"",0))</f>
        <v>8</v>
      </c>
      <c r="M908" s="317" t="str">
        <f t="array" ref="M908">XLOOKUP(D908,Roster!F:F,Roster!E:E)</f>
        <v>Tickets</v>
      </c>
      <c r="N908" s="317" t="str">
        <f t="shared" ref="N908:P908" si="923">LEFT(H908,5)</f>
        <v>09:30</v>
      </c>
      <c r="O908" s="317" t="str">
        <f t="shared" si="923"/>
        <v>12:30</v>
      </c>
      <c r="P908" s="317" t="str">
        <f t="shared" si="923"/>
        <v>14:45</v>
      </c>
      <c r="Q908" s="318">
        <f t="shared" si="806"/>
        <v>46120.39583</v>
      </c>
      <c r="R908" s="318">
        <f t="shared" si="807"/>
        <v>46120.52083</v>
      </c>
      <c r="S908" s="318">
        <f t="shared" si="8"/>
        <v>46120.61458</v>
      </c>
    </row>
    <row r="909">
      <c r="A909" s="14" t="str">
        <f t="shared" si="1"/>
        <v>C156846120</v>
      </c>
      <c r="B909" s="185">
        <f t="array" ref="B909">IF(F909="VL","",IF(F909="Free","Free",XLOOKUP(D909,Roster!T:T,Roster!S:S,"",0)))</f>
        <v>122</v>
      </c>
      <c r="C909" s="313">
        <v>46120.0</v>
      </c>
      <c r="D909" s="314" t="s">
        <v>49</v>
      </c>
      <c r="E909" s="307" t="str">
        <f t="array" ref="E909">(XLOOKUP(D909,Roster!F:F,Roster!B:B,"",0))</f>
        <v>Juan Zapata</v>
      </c>
      <c r="F909" s="315" t="str">
        <f t="array" ref="F909">IF(B909=100,"Free",TEXT(XLOOKUP($D909,OperationVoice!$A:$A,OperationVoice!N:N,XLOOKUP($D909,OperationTickets!$A:$A,OperationTickets!N:N,"",0)),"hh:mm"))</f>
        <v>08:00</v>
      </c>
      <c r="G909" s="309">
        <f t="shared" si="3"/>
        <v>0.7083333333</v>
      </c>
      <c r="H909" s="316" t="str">
        <f t="array" ref="H909">XLOOKUP(B909,Roster!L:L,Roster!N:N,XLOOKUP(D909,TicketsBreak!A:A,TicketsBreak!E:E,"",0),0)</f>
        <v>09:30 - 09:45</v>
      </c>
      <c r="I909" s="316" t="str">
        <f t="array" ref="I909">XLOOKUP(B909,Roster!L:L,Roster!O:O,XLOOKUP(D909,TicketsBreak!A:A,TicketsBreak!F:F,"",0),0)</f>
        <v>12:00 - 12:30</v>
      </c>
      <c r="J909" s="316" t="str">
        <f t="array" ref="J909">XLOOKUP(B909,Roster!L:L,Roster!P:P,XLOOKUP(D909,TicketsBreak!A:A,TicketsBreak!G:G,"",0),0)</f>
        <v>14:45 - 15:00</v>
      </c>
      <c r="K909" s="310">
        <f t="shared" si="4"/>
        <v>46120</v>
      </c>
      <c r="L909" s="317">
        <f t="array" ref="L909">(XLOOKUP(D909,Roster!F:F,Roster!D:D,"",0))</f>
        <v>38</v>
      </c>
      <c r="M909" s="317" t="str">
        <f t="array" ref="M909">XLOOKUP(D909,Roster!F:F,Roster!E:E)</f>
        <v>Voice</v>
      </c>
      <c r="N909" s="317" t="str">
        <f t="shared" ref="N909:P909" si="924">LEFT(H909,5)</f>
        <v>09:30</v>
      </c>
      <c r="O909" s="317" t="str">
        <f t="shared" si="924"/>
        <v>12:00</v>
      </c>
      <c r="P909" s="317" t="str">
        <f t="shared" si="924"/>
        <v>14:45</v>
      </c>
      <c r="Q909" s="318">
        <f t="shared" si="806"/>
        <v>46120.39583</v>
      </c>
      <c r="R909" s="318">
        <f t="shared" si="807"/>
        <v>46120.5</v>
      </c>
      <c r="S909" s="318">
        <f t="shared" si="8"/>
        <v>46120.61458</v>
      </c>
    </row>
    <row r="910">
      <c r="A910" s="14" t="str">
        <f t="shared" si="1"/>
        <v>C75546120</v>
      </c>
      <c r="B910" s="185" t="str">
        <f t="array" ref="B910">IF(F910="VL","",IF(F910="Free","Free",XLOOKUP(D910,Roster!T:T,Roster!S:S,"",0)))</f>
        <v/>
      </c>
      <c r="C910" s="313">
        <v>46120.0</v>
      </c>
      <c r="D910" s="314" t="s">
        <v>143</v>
      </c>
      <c r="E910" s="307" t="str">
        <f t="array" ref="E910">(XLOOKUP(D910,Roster!F:F,Roster!B:B,"",0))</f>
        <v>Julian Higuita</v>
      </c>
      <c r="F910" s="315" t="str">
        <f t="array" ref="F910">IF(B910=100,"Free",TEXT(XLOOKUP($D910,OperationVoice!$A:$A,OperationVoice!N:N,XLOOKUP($D910,OperationTickets!$A:$A,OperationTickets!N:N,"",0)),"hh:mm"))</f>
        <v>08:00</v>
      </c>
      <c r="G910" s="309">
        <f t="shared" si="3"/>
        <v>0.7083333333</v>
      </c>
      <c r="H910" s="316" t="str">
        <f t="array" ref="H910">XLOOKUP(B910,Roster!L:L,Roster!N:N,XLOOKUP(D910,TicketsBreak!A:A,TicketsBreak!E:E,"",0),0)</f>
        <v/>
      </c>
      <c r="I910" s="316" t="str">
        <f t="array" ref="I910">XLOOKUP(B910,Roster!L:L,Roster!O:O,XLOOKUP(D910,TicketsBreak!A:A,TicketsBreak!F:F,"",0),0)</f>
        <v/>
      </c>
      <c r="J910" s="316" t="str">
        <f t="array" ref="J910">XLOOKUP(B910,Roster!L:L,Roster!P:P,XLOOKUP(D910,TicketsBreak!A:A,TicketsBreak!G:G,"",0),0)</f>
        <v/>
      </c>
      <c r="K910" s="310">
        <f t="shared" si="4"/>
        <v>46120</v>
      </c>
      <c r="L910" s="317">
        <f t="array" ref="L910">(XLOOKUP(D910,Roster!F:F,Roster!D:D,"",0))</f>
        <v>35</v>
      </c>
      <c r="M910" s="317" t="str">
        <f t="array" ref="M910">XLOOKUP(D910,Roster!F:F,Roster!E:E)</f>
        <v>Tickets</v>
      </c>
      <c r="N910" s="317" t="str">
        <f t="shared" ref="N910:P910" si="925">LEFT(H910,5)</f>
        <v/>
      </c>
      <c r="O910" s="317" t="str">
        <f t="shared" si="925"/>
        <v/>
      </c>
      <c r="P910" s="317" t="str">
        <f t="shared" si="925"/>
        <v/>
      </c>
      <c r="Q910" s="318" t="str">
        <f t="shared" si="806"/>
        <v/>
      </c>
      <c r="R910" s="318" t="str">
        <f t="shared" si="807"/>
        <v/>
      </c>
      <c r="S910" s="318" t="str">
        <f t="shared" si="8"/>
        <v/>
      </c>
    </row>
    <row r="911">
      <c r="A911" s="14" t="str">
        <f t="shared" si="1"/>
        <v>C52546120</v>
      </c>
      <c r="B911" s="185" t="str">
        <f t="array" ref="B911">IF(F911="VL","",IF(F911="Free","Free",XLOOKUP(D911,Roster!T:T,Roster!S:S,"",0)))</f>
        <v>Free</v>
      </c>
      <c r="C911" s="313">
        <v>46120.0</v>
      </c>
      <c r="D911" s="314" t="s">
        <v>176</v>
      </c>
      <c r="E911" s="307" t="str">
        <f t="array" ref="E911">(XLOOKUP(D911,Roster!F:F,Roster!B:B,"",0))</f>
        <v>Julian Pineda</v>
      </c>
      <c r="F911" s="315" t="str">
        <f t="array" ref="F911">IF(B911=100,"Free",TEXT(XLOOKUP($D911,OperationVoice!$A:$A,OperationVoice!N:N,XLOOKUP($D911,OperationTickets!$A:$A,OperationTickets!N:N,"",0)),"hh:mm"))</f>
        <v>Free</v>
      </c>
      <c r="G911" s="309" t="str">
        <f t="shared" si="3"/>
        <v>Free</v>
      </c>
      <c r="H911" s="316" t="str">
        <f t="array" ref="H911">XLOOKUP(B911,Roster!L:L,Roster!N:N,XLOOKUP(D911,TicketsBreak!A:A,TicketsBreak!E:E,"",0),0)</f>
        <v/>
      </c>
      <c r="I911" s="316" t="str">
        <f t="array" ref="I911">XLOOKUP(B911,Roster!L:L,Roster!O:O,XLOOKUP(D911,TicketsBreak!A:A,TicketsBreak!F:F,"",0),0)</f>
        <v/>
      </c>
      <c r="J911" s="316" t="str">
        <f t="array" ref="J911">XLOOKUP(B911,Roster!L:L,Roster!P:P,XLOOKUP(D911,TicketsBreak!A:A,TicketsBreak!G:G,"",0),0)</f>
        <v/>
      </c>
      <c r="K911" s="310">
        <f t="shared" si="4"/>
        <v>46120</v>
      </c>
      <c r="L911" s="317">
        <f t="array" ref="L911">(XLOOKUP(D911,Roster!F:F,Roster!D:D,"",0))</f>
        <v>35</v>
      </c>
      <c r="M911" s="317" t="str">
        <f t="array" ref="M911">XLOOKUP(D911,Roster!F:F,Roster!E:E)</f>
        <v>Tickets</v>
      </c>
      <c r="N911" s="317" t="str">
        <f t="shared" ref="N911:P911" si="926">LEFT(H911,5)</f>
        <v/>
      </c>
      <c r="O911" s="317" t="str">
        <f t="shared" si="926"/>
        <v/>
      </c>
      <c r="P911" s="317" t="str">
        <f t="shared" si="926"/>
        <v/>
      </c>
      <c r="Q911" s="318" t="str">
        <f t="shared" si="806"/>
        <v/>
      </c>
      <c r="R911" s="318" t="str">
        <f t="shared" si="807"/>
        <v/>
      </c>
      <c r="S911" s="318" t="str">
        <f t="shared" si="8"/>
        <v/>
      </c>
    </row>
    <row r="912">
      <c r="A912" s="14" t="str">
        <f t="shared" si="1"/>
        <v>C142746120</v>
      </c>
      <c r="B912" s="185">
        <f t="array" ref="B912">IF(F912="VL","",IF(F912="Free","Free",XLOOKUP(D912,Roster!T:T,Roster!S:S,"",0)))</f>
        <v>123</v>
      </c>
      <c r="C912" s="313">
        <v>46120.0</v>
      </c>
      <c r="D912" s="314" t="s">
        <v>50</v>
      </c>
      <c r="E912" s="307" t="str">
        <f t="array" ref="E912">(XLOOKUP(D912,Roster!F:F,Roster!B:B,"",0))</f>
        <v>Karen Lorena Martinez</v>
      </c>
      <c r="F912" s="315" t="str">
        <f t="array" ref="F912">IF(B912=100,"Free",TEXT(XLOOKUP($D912,OperationVoice!$A:$A,OperationVoice!N:N,XLOOKUP($D912,OperationTickets!$A:$A,OperationTickets!N:N,"",0)),"hh:mm"))</f>
        <v>08:00</v>
      </c>
      <c r="G912" s="309">
        <f t="shared" si="3"/>
        <v>0.7083333333</v>
      </c>
      <c r="H912" s="316" t="str">
        <f t="array" ref="H912">XLOOKUP(B912,Roster!L:L,Roster!N:N,XLOOKUP(D912,TicketsBreak!A:A,TicketsBreak!E:E,"",0),0)</f>
        <v>09:45 - 10:00 </v>
      </c>
      <c r="I912" s="316" t="str">
        <f t="array" ref="I912">XLOOKUP(B912,Roster!L:L,Roster!O:O,XLOOKUP(D912,TicketsBreak!A:A,TicketsBreak!F:F,"",0),0)</f>
        <v>12:30 - 13:00</v>
      </c>
      <c r="J912" s="316" t="str">
        <f t="array" ref="J912">XLOOKUP(B912,Roster!L:L,Roster!P:P,XLOOKUP(D912,TicketsBreak!A:A,TicketsBreak!G:G,"",0),0)</f>
        <v>15:00 - 15:15</v>
      </c>
      <c r="K912" s="310">
        <f t="shared" si="4"/>
        <v>46120</v>
      </c>
      <c r="L912" s="317">
        <f t="array" ref="L912">(XLOOKUP(D912,Roster!F:F,Roster!D:D,"",0))</f>
        <v>32</v>
      </c>
      <c r="M912" s="317" t="str">
        <f t="array" ref="M912">XLOOKUP(D912,Roster!F:F,Roster!E:E)</f>
        <v>Voice</v>
      </c>
      <c r="N912" s="317" t="str">
        <f t="shared" ref="N912:P912" si="927">LEFT(H912,5)</f>
        <v>09:45</v>
      </c>
      <c r="O912" s="317" t="str">
        <f t="shared" si="927"/>
        <v>12:30</v>
      </c>
      <c r="P912" s="317" t="str">
        <f t="shared" si="927"/>
        <v>15:00</v>
      </c>
      <c r="Q912" s="318">
        <f t="shared" si="806"/>
        <v>46120.40625</v>
      </c>
      <c r="R912" s="318">
        <f t="shared" si="807"/>
        <v>46120.52083</v>
      </c>
      <c r="S912" s="318">
        <f t="shared" si="8"/>
        <v>46120.625</v>
      </c>
    </row>
    <row r="913">
      <c r="A913" s="14" t="str">
        <f t="shared" si="1"/>
        <v>C57946120</v>
      </c>
      <c r="B913" s="185" t="str">
        <f t="array" ref="B913">IF(F913="VL","",IF(F913="Free","Free",XLOOKUP(D913,Roster!T:T,Roster!S:S,"",0)))</f>
        <v/>
      </c>
      <c r="C913" s="313">
        <v>46120.0</v>
      </c>
      <c r="D913" s="314" t="s">
        <v>144</v>
      </c>
      <c r="E913" s="307" t="str">
        <f t="array" ref="E913">(XLOOKUP(D913,Roster!F:F,Roster!B:B,"",0))</f>
        <v>Karen Martinez</v>
      </c>
      <c r="F913" s="315" t="str">
        <f t="array" ref="F913">IF(B913=100,"Free",TEXT(XLOOKUP($D913,OperationVoice!$A:$A,OperationVoice!N:N,XLOOKUP($D913,OperationTickets!$A:$A,OperationTickets!N:N,"",0)),"hh:mm"))</f>
        <v>08:00</v>
      </c>
      <c r="G913" s="309">
        <f t="shared" si="3"/>
        <v>0.7083333333</v>
      </c>
      <c r="H913" s="316">
        <f t="array" ref="H913">XLOOKUP(B913,Roster!L:L,Roster!N:N,XLOOKUP(D913,TicketsBreak!A:A,TicketsBreak!E:E,"",0),0)</f>
        <v>0.4166666667</v>
      </c>
      <c r="I913" s="316">
        <f t="array" ref="I913">XLOOKUP(B913,Roster!L:L,Roster!O:O,XLOOKUP(D913,TicketsBreak!A:A,TicketsBreak!F:F,"",0),0)</f>
        <v>0.5</v>
      </c>
      <c r="J913" s="316">
        <f t="array" ref="J913">XLOOKUP(B913,Roster!L:L,Roster!P:P,XLOOKUP(D913,TicketsBreak!A:A,TicketsBreak!G:G,"",0),0)</f>
        <v>0.625</v>
      </c>
      <c r="K913" s="310">
        <f t="shared" si="4"/>
        <v>46120</v>
      </c>
      <c r="L913" s="317">
        <f t="array" ref="L913">(XLOOKUP(D913,Roster!F:F,Roster!D:D,"",0))</f>
        <v>4</v>
      </c>
      <c r="M913" s="317" t="str">
        <f t="array" ref="M913">XLOOKUP(D913,Roster!F:F,Roster!E:E)</f>
        <v>Tickets</v>
      </c>
      <c r="N913" s="317" t="str">
        <f t="shared" ref="N913:P913" si="928">LEFT(H913,5)</f>
        <v>10:00</v>
      </c>
      <c r="O913" s="317" t="str">
        <f t="shared" si="928"/>
        <v>12:00</v>
      </c>
      <c r="P913" s="317" t="str">
        <f t="shared" si="928"/>
        <v>15:00</v>
      </c>
      <c r="Q913" s="318">
        <f t="shared" si="806"/>
        <v>46120.41667</v>
      </c>
      <c r="R913" s="318">
        <f t="shared" si="807"/>
        <v>46120.5</v>
      </c>
      <c r="S913" s="318">
        <f t="shared" si="8"/>
        <v>46120.625</v>
      </c>
    </row>
    <row r="914">
      <c r="A914" s="14" t="str">
        <f t="shared" si="1"/>
        <v>C108646120</v>
      </c>
      <c r="B914" s="185">
        <f t="array" ref="B914">IF(F914="VL","",IF(F914="Free","Free",XLOOKUP(D914,Roster!T:T,Roster!S:S,"",0)))</f>
        <v>124</v>
      </c>
      <c r="C914" s="313">
        <v>46120.0</v>
      </c>
      <c r="D914" s="314" t="s">
        <v>51</v>
      </c>
      <c r="E914" s="307" t="str">
        <f t="array" ref="E914">(XLOOKUP(D914,Roster!F:F,Roster!B:B,"",0))</f>
        <v>Karen Panqueva</v>
      </c>
      <c r="F914" s="315" t="str">
        <f t="array" ref="F914">IF(B914=100,"Free",TEXT(XLOOKUP($D914,OperationVoice!$A:$A,OperationVoice!N:N,XLOOKUP($D914,OperationTickets!$A:$A,OperationTickets!N:N,"",0)),"hh:mm"))</f>
        <v>08:00</v>
      </c>
      <c r="G914" s="309">
        <f t="shared" si="3"/>
        <v>0.7083333333</v>
      </c>
      <c r="H914" s="316" t="str">
        <f t="array" ref="H914">XLOOKUP(B914,Roster!L:L,Roster!N:N,XLOOKUP(D914,TicketsBreak!A:A,TicketsBreak!E:E,"",0),0)</f>
        <v>10:00 - 10:15</v>
      </c>
      <c r="I914" s="316" t="str">
        <f t="array" ref="I914">XLOOKUP(B914,Roster!L:L,Roster!O:O,XLOOKUP(D914,TicketsBreak!A:A,TicketsBreak!F:F,"",0),0)</f>
        <v>13:00 - 13:30</v>
      </c>
      <c r="J914" s="316" t="str">
        <f t="array" ref="J914">XLOOKUP(B914,Roster!L:L,Roster!P:P,XLOOKUP(D914,TicketsBreak!A:A,TicketsBreak!G:G,"",0),0)</f>
        <v>15:30 - 15:45</v>
      </c>
      <c r="K914" s="310">
        <f t="shared" si="4"/>
        <v>46120</v>
      </c>
      <c r="L914" s="317">
        <f t="array" ref="L914">(XLOOKUP(D914,Roster!F:F,Roster!D:D,"",0))</f>
        <v>19</v>
      </c>
      <c r="M914" s="317" t="str">
        <f t="array" ref="M914">XLOOKUP(D914,Roster!F:F,Roster!E:E)</f>
        <v>Voice</v>
      </c>
      <c r="N914" s="317" t="str">
        <f t="shared" ref="N914:P914" si="929">LEFT(H914,5)</f>
        <v>10:00</v>
      </c>
      <c r="O914" s="317" t="str">
        <f t="shared" si="929"/>
        <v>13:00</v>
      </c>
      <c r="P914" s="317" t="str">
        <f t="shared" si="929"/>
        <v>15:30</v>
      </c>
      <c r="Q914" s="318">
        <f t="shared" si="806"/>
        <v>46120.41667</v>
      </c>
      <c r="R914" s="318">
        <f t="shared" si="807"/>
        <v>46120.54167</v>
      </c>
      <c r="S914" s="318">
        <f t="shared" si="8"/>
        <v>46120.64583</v>
      </c>
    </row>
    <row r="915">
      <c r="A915" s="14" t="str">
        <f t="shared" si="1"/>
        <v>C149246120</v>
      </c>
      <c r="B915" s="185">
        <f t="array" ref="B915">IF(F915="VL","",IF(F915="Free","Free",XLOOKUP(D915,Roster!T:T,Roster!S:S,"",0)))</f>
        <v>125</v>
      </c>
      <c r="C915" s="313">
        <v>46120.0</v>
      </c>
      <c r="D915" s="314" t="s">
        <v>52</v>
      </c>
      <c r="E915" s="307" t="str">
        <f t="array" ref="E915">(XLOOKUP(D915,Roster!F:F,Roster!B:B,"",0))</f>
        <v>Karol Pineda</v>
      </c>
      <c r="F915" s="315" t="str">
        <f t="array" ref="F915">IF(B915=100,"Free",TEXT(XLOOKUP($D915,OperationVoice!$A:$A,OperationVoice!N:N,XLOOKUP($D915,OperationTickets!$A:$A,OperationTickets!N:N,"",0)),"hh:mm"))</f>
        <v>08:00</v>
      </c>
      <c r="G915" s="309">
        <f t="shared" si="3"/>
        <v>0.7083333333</v>
      </c>
      <c r="H915" s="316" t="str">
        <f t="array" ref="H915">XLOOKUP(B915,Roster!L:L,Roster!N:N,XLOOKUP(D915,TicketsBreak!A:A,TicketsBreak!E:E,"",0),0)</f>
        <v>10:30 - 10:45</v>
      </c>
      <c r="I915" s="316" t="str">
        <f t="array" ref="I915">XLOOKUP(B915,Roster!L:L,Roster!O:O,XLOOKUP(D915,TicketsBreak!A:A,TicketsBreak!F:F,"",0),0)</f>
        <v>13:30 - 14:00</v>
      </c>
      <c r="J915" s="316" t="str">
        <f t="array" ref="J915">XLOOKUP(B915,Roster!L:L,Roster!P:P,XLOOKUP(D915,TicketsBreak!A:A,TicketsBreak!G:G,"",0),0)</f>
        <v>15:45 - 16:00</v>
      </c>
      <c r="K915" s="310">
        <f t="shared" si="4"/>
        <v>46120</v>
      </c>
      <c r="L915" s="317">
        <f t="array" ref="L915">(XLOOKUP(D915,Roster!F:F,Roster!D:D,"",0))</f>
        <v>34</v>
      </c>
      <c r="M915" s="317" t="str">
        <f t="array" ref="M915">XLOOKUP(D915,Roster!F:F,Roster!E:E)</f>
        <v>Voice</v>
      </c>
      <c r="N915" s="317" t="str">
        <f t="shared" ref="N915:P915" si="930">LEFT(H915,5)</f>
        <v>10:30</v>
      </c>
      <c r="O915" s="317" t="str">
        <f t="shared" si="930"/>
        <v>13:30</v>
      </c>
      <c r="P915" s="317" t="str">
        <f t="shared" si="930"/>
        <v>15:45</v>
      </c>
      <c r="Q915" s="318">
        <f t="shared" si="806"/>
        <v>46120.4375</v>
      </c>
      <c r="R915" s="318">
        <f t="shared" si="807"/>
        <v>46120.5625</v>
      </c>
      <c r="S915" s="318">
        <f t="shared" si="8"/>
        <v>46120.65625</v>
      </c>
    </row>
    <row r="916">
      <c r="A916" s="14" t="str">
        <f t="shared" si="1"/>
        <v>C65846120</v>
      </c>
      <c r="B916" s="185">
        <f t="array" ref="B916">IF(F916="VL","",IF(F916="Free","Free",XLOOKUP(D916,Roster!T:T,Roster!S:S,"",0)))</f>
        <v>112</v>
      </c>
      <c r="C916" s="313">
        <v>46120.0</v>
      </c>
      <c r="D916" s="314" t="s">
        <v>53</v>
      </c>
      <c r="E916" s="307" t="str">
        <f t="array" ref="E916">(XLOOKUP(D916,Roster!F:F,Roster!B:B,"",0))</f>
        <v>Kennedy Giraldo</v>
      </c>
      <c r="F916" s="315" t="str">
        <f t="array" ref="F916">IF(B916=100,"Free",TEXT(XLOOKUP($D916,OperationVoice!$A:$A,OperationVoice!N:N,XLOOKUP($D916,OperationTickets!$A:$A,OperationTickets!N:N,"",0)),"hh:mm"))</f>
        <v>07:00</v>
      </c>
      <c r="G916" s="309">
        <f t="shared" si="3"/>
        <v>0.6666666667</v>
      </c>
      <c r="H916" s="316" t="str">
        <f t="array" ref="H916">XLOOKUP(B916,Roster!L:L,Roster!N:N,XLOOKUP(D916,TicketsBreak!A:A,TicketsBreak!E:E,"",0),0)</f>
        <v>09:30 - 09:45</v>
      </c>
      <c r="I916" s="316" t="str">
        <f t="array" ref="I916">XLOOKUP(B916,Roster!L:L,Roster!O:O,XLOOKUP(D916,TicketsBreak!A:A,TicketsBreak!F:F,"",0),0)</f>
        <v>12:15 - 12:45</v>
      </c>
      <c r="J916" s="316" t="str">
        <f t="array" ref="J916">XLOOKUP(B916,Roster!L:L,Roster!P:P,XLOOKUP(D916,TicketsBreak!A:A,TicketsBreak!G:G,"",0),0)</f>
        <v>14:45 - 15:00</v>
      </c>
      <c r="K916" s="310">
        <f t="shared" si="4"/>
        <v>46120</v>
      </c>
      <c r="L916" s="317">
        <f t="array" ref="L916">(XLOOKUP(D916,Roster!F:F,Roster!D:D,"",0))</f>
        <v>2</v>
      </c>
      <c r="M916" s="317" t="str">
        <f t="array" ref="M916">XLOOKUP(D916,Roster!F:F,Roster!E:E)</f>
        <v>Voice</v>
      </c>
      <c r="N916" s="317" t="str">
        <f t="shared" ref="N916:P916" si="931">LEFT(H916,5)</f>
        <v>09:30</v>
      </c>
      <c r="O916" s="317" t="str">
        <f t="shared" si="931"/>
        <v>12:15</v>
      </c>
      <c r="P916" s="317" t="str">
        <f t="shared" si="931"/>
        <v>14:45</v>
      </c>
      <c r="Q916" s="318">
        <f t="shared" si="806"/>
        <v>46120.39583</v>
      </c>
      <c r="R916" s="318">
        <f t="shared" si="807"/>
        <v>46120.51042</v>
      </c>
      <c r="S916" s="318">
        <f t="shared" si="8"/>
        <v>46120.61458</v>
      </c>
    </row>
    <row r="917">
      <c r="A917" s="14" t="str">
        <f t="shared" si="1"/>
        <v>C151446120</v>
      </c>
      <c r="B917" s="185">
        <f t="array" ref="B917">IF(F917="VL","",IF(F917="Free","Free",XLOOKUP(D917,Roster!T:T,Roster!S:S,"",0)))</f>
        <v>122</v>
      </c>
      <c r="C917" s="313">
        <v>46120.0</v>
      </c>
      <c r="D917" s="314" t="s">
        <v>54</v>
      </c>
      <c r="E917" s="307" t="str">
        <f t="array" ref="E917">(XLOOKUP(D917,Roster!F:F,Roster!B:B,"",0))</f>
        <v>Kevin Betancur</v>
      </c>
      <c r="F917" s="315" t="str">
        <f t="array" ref="F917">IF(B917=100,"Free",TEXT(XLOOKUP($D917,OperationVoice!$A:$A,OperationVoice!N:N,XLOOKUP($D917,OperationTickets!$A:$A,OperationTickets!N:N,"",0)),"hh:mm"))</f>
        <v>08:00</v>
      </c>
      <c r="G917" s="309">
        <f t="shared" si="3"/>
        <v>0.7083333333</v>
      </c>
      <c r="H917" s="316" t="str">
        <f t="array" ref="H917">XLOOKUP(B917,Roster!L:L,Roster!N:N,XLOOKUP(D917,TicketsBreak!A:A,TicketsBreak!E:E,"",0),0)</f>
        <v>09:30 - 09:45</v>
      </c>
      <c r="I917" s="316" t="str">
        <f t="array" ref="I917">XLOOKUP(B917,Roster!L:L,Roster!O:O,XLOOKUP(D917,TicketsBreak!A:A,TicketsBreak!F:F,"",0),0)</f>
        <v>12:00 - 12:30</v>
      </c>
      <c r="J917" s="316" t="str">
        <f t="array" ref="J917">XLOOKUP(B917,Roster!L:L,Roster!P:P,XLOOKUP(D917,TicketsBreak!A:A,TicketsBreak!G:G,"",0),0)</f>
        <v>14:45 - 15:00</v>
      </c>
      <c r="K917" s="310">
        <f t="shared" si="4"/>
        <v>46120</v>
      </c>
      <c r="L917" s="317">
        <f t="array" ref="L917">(XLOOKUP(D917,Roster!F:F,Roster!D:D,"",0))</f>
        <v>35</v>
      </c>
      <c r="M917" s="317" t="str">
        <f t="array" ref="M917">XLOOKUP(D917,Roster!F:F,Roster!E:E)</f>
        <v>Voice</v>
      </c>
      <c r="N917" s="317" t="str">
        <f t="shared" ref="N917:P917" si="932">LEFT(H917,5)</f>
        <v>09:30</v>
      </c>
      <c r="O917" s="317" t="str">
        <f t="shared" si="932"/>
        <v>12:00</v>
      </c>
      <c r="P917" s="317" t="str">
        <f t="shared" si="932"/>
        <v>14:45</v>
      </c>
      <c r="Q917" s="318">
        <f t="shared" si="806"/>
        <v>46120.39583</v>
      </c>
      <c r="R917" s="318">
        <f t="shared" si="807"/>
        <v>46120.5</v>
      </c>
      <c r="S917" s="318">
        <f t="shared" si="8"/>
        <v>46120.61458</v>
      </c>
    </row>
    <row r="918">
      <c r="A918" s="14" t="str">
        <f t="shared" si="1"/>
        <v>C157146120</v>
      </c>
      <c r="B918" s="185">
        <f t="array" ref="B918">IF(F918="VL","",IF(F918="Free","Free",XLOOKUP(D918,Roster!T:T,Roster!S:S,"",0)))</f>
        <v>123</v>
      </c>
      <c r="C918" s="313">
        <v>46120.0</v>
      </c>
      <c r="D918" s="314" t="s">
        <v>55</v>
      </c>
      <c r="E918" s="307" t="str">
        <f t="array" ref="E918">(XLOOKUP(D918,Roster!F:F,Roster!B:B,"",0))</f>
        <v>Laura Chamorro</v>
      </c>
      <c r="F918" s="315" t="str">
        <f t="array" ref="F918">IF(B918=100,"Free",TEXT(XLOOKUP($D918,OperationVoice!$A:$A,OperationVoice!N:N,XLOOKUP($D918,OperationTickets!$A:$A,OperationTickets!N:N,"",0)),"hh:mm"))</f>
        <v>08:00</v>
      </c>
      <c r="G918" s="309">
        <f t="shared" si="3"/>
        <v>0.7083333333</v>
      </c>
      <c r="H918" s="316" t="str">
        <f t="array" ref="H918">XLOOKUP(B918,Roster!L:L,Roster!N:N,XLOOKUP(D918,TicketsBreak!A:A,TicketsBreak!E:E,"",0),0)</f>
        <v>09:45 - 10:00 </v>
      </c>
      <c r="I918" s="316" t="str">
        <f t="array" ref="I918">XLOOKUP(B918,Roster!L:L,Roster!O:O,XLOOKUP(D918,TicketsBreak!A:A,TicketsBreak!F:F,"",0),0)</f>
        <v>12:30 - 13:00</v>
      </c>
      <c r="J918" s="316" t="str">
        <f t="array" ref="J918">XLOOKUP(B918,Roster!L:L,Roster!P:P,XLOOKUP(D918,TicketsBreak!A:A,TicketsBreak!G:G,"",0),0)</f>
        <v>15:00 - 15:15</v>
      </c>
      <c r="K918" s="310">
        <f t="shared" si="4"/>
        <v>46120</v>
      </c>
      <c r="L918" s="317">
        <f t="array" ref="L918">(XLOOKUP(D918,Roster!F:F,Roster!D:D,"",0))</f>
        <v>38</v>
      </c>
      <c r="M918" s="317" t="str">
        <f t="array" ref="M918">XLOOKUP(D918,Roster!F:F,Roster!E:E)</f>
        <v>Voice</v>
      </c>
      <c r="N918" s="317" t="str">
        <f t="shared" ref="N918:P918" si="933">LEFT(H918,5)</f>
        <v>09:45</v>
      </c>
      <c r="O918" s="317" t="str">
        <f t="shared" si="933"/>
        <v>12:30</v>
      </c>
      <c r="P918" s="317" t="str">
        <f t="shared" si="933"/>
        <v>15:00</v>
      </c>
      <c r="Q918" s="318">
        <f t="shared" si="806"/>
        <v>46120.40625</v>
      </c>
      <c r="R918" s="318">
        <f t="shared" si="807"/>
        <v>46120.52083</v>
      </c>
      <c r="S918" s="318">
        <f t="shared" si="8"/>
        <v>46120.625</v>
      </c>
    </row>
    <row r="919">
      <c r="A919" s="14" t="str">
        <f t="shared" si="1"/>
        <v>C53446120</v>
      </c>
      <c r="B919" s="185" t="str">
        <f t="array" ref="B919">IF(F919="VL","",IF(F919="Free","Free",XLOOKUP(D919,Roster!T:T,Roster!S:S,"",0)))</f>
        <v/>
      </c>
      <c r="C919" s="313">
        <v>46120.0</v>
      </c>
      <c r="D919" s="314" t="s">
        <v>177</v>
      </c>
      <c r="E919" s="307" t="str">
        <f t="array" ref="E919">(XLOOKUP(D919,Roster!F:F,Roster!B:B,"",0))</f>
        <v>Leandry La Rosa</v>
      </c>
      <c r="F919" s="315" t="str">
        <f t="array" ref="F919">IF(B919=100,"Free",TEXT(XLOOKUP($D919,OperationVoice!$A:$A,OperationVoice!N:N,XLOOKUP($D919,OperationTickets!$A:$A,OperationTickets!N:N,"",0)),"hh:mm"))</f>
        <v>08:00</v>
      </c>
      <c r="G919" s="309">
        <f t="shared" si="3"/>
        <v>0.7083333333</v>
      </c>
      <c r="H919" s="316">
        <f t="array" ref="H919">XLOOKUP(B919,Roster!L:L,Roster!N:N,XLOOKUP(D919,TicketsBreak!A:A,TicketsBreak!E:E,"",0),0)</f>
        <v>0.40625</v>
      </c>
      <c r="I919" s="316">
        <f t="array" ref="I919">XLOOKUP(B919,Roster!L:L,Roster!O:O,XLOOKUP(D919,TicketsBreak!A:A,TicketsBreak!F:F,"",0),0)</f>
        <v>0.5416666667</v>
      </c>
      <c r="J919" s="316">
        <f t="array" ref="J919">XLOOKUP(B919,Roster!L:L,Roster!P:P,XLOOKUP(D919,TicketsBreak!A:A,TicketsBreak!G:G,"",0),0)</f>
        <v>0.65625</v>
      </c>
      <c r="K919" s="310">
        <f t="shared" si="4"/>
        <v>46120</v>
      </c>
      <c r="L919" s="317">
        <f t="array" ref="L919">(XLOOKUP(D919,Roster!F:F,Roster!D:D,"",0))</f>
        <v>1</v>
      </c>
      <c r="M919" s="317" t="str">
        <f t="array" ref="M919">XLOOKUP(D919,Roster!F:F,Roster!E:E)</f>
        <v>Tickets</v>
      </c>
      <c r="N919" s="317" t="str">
        <f t="shared" ref="N919:P919" si="934">LEFT(H919,5)</f>
        <v>09:45</v>
      </c>
      <c r="O919" s="317" t="str">
        <f t="shared" si="934"/>
        <v>13:00</v>
      </c>
      <c r="P919" s="317" t="str">
        <f t="shared" si="934"/>
        <v>15:45</v>
      </c>
      <c r="Q919" s="318">
        <f t="shared" si="806"/>
        <v>46120.40625</v>
      </c>
      <c r="R919" s="318">
        <f t="shared" si="807"/>
        <v>46120.54167</v>
      </c>
      <c r="S919" s="318">
        <f t="shared" si="8"/>
        <v>46120.65625</v>
      </c>
    </row>
    <row r="920">
      <c r="A920" s="14" t="str">
        <f t="shared" si="1"/>
        <v>C157846120</v>
      </c>
      <c r="B920" s="185">
        <f t="array" ref="B920">IF(F920="VL","",IF(F920="Free","Free",XLOOKUP(D920,Roster!T:T,Roster!S:S,"",0)))</f>
        <v>125</v>
      </c>
      <c r="C920" s="313">
        <v>46120.0</v>
      </c>
      <c r="D920" s="314" t="s">
        <v>56</v>
      </c>
      <c r="E920" s="307" t="str">
        <f t="array" ref="E920">(XLOOKUP(D920,Roster!F:F,Roster!B:B,"",0))</f>
        <v>Leonerrichi Caicedo</v>
      </c>
      <c r="F920" s="315" t="str">
        <f t="array" ref="F920">IF(B920=100,"Free",TEXT(XLOOKUP($D920,OperationVoice!$A:$A,OperationVoice!N:N,XLOOKUP($D920,OperationTickets!$A:$A,OperationTickets!N:N,"",0)),"hh:mm"))</f>
        <v>08:00</v>
      </c>
      <c r="G920" s="309">
        <f t="shared" si="3"/>
        <v>0.7083333333</v>
      </c>
      <c r="H920" s="316" t="str">
        <f t="array" ref="H920">XLOOKUP(B920,Roster!L:L,Roster!N:N,XLOOKUP(D920,TicketsBreak!A:A,TicketsBreak!E:E,"",0),0)</f>
        <v>10:30 - 10:45</v>
      </c>
      <c r="I920" s="316" t="str">
        <f t="array" ref="I920">XLOOKUP(B920,Roster!L:L,Roster!O:O,XLOOKUP(D920,TicketsBreak!A:A,TicketsBreak!F:F,"",0),0)</f>
        <v>13:30 - 14:00</v>
      </c>
      <c r="J920" s="316" t="str">
        <f t="array" ref="J920">XLOOKUP(B920,Roster!L:L,Roster!P:P,XLOOKUP(D920,TicketsBreak!A:A,TicketsBreak!G:G,"",0),0)</f>
        <v>15:45 - 16:00</v>
      </c>
      <c r="K920" s="310">
        <f t="shared" si="4"/>
        <v>46120</v>
      </c>
      <c r="L920" s="317">
        <f t="array" ref="L920">(XLOOKUP(D920,Roster!F:F,Roster!D:D,"",0))</f>
        <v>38</v>
      </c>
      <c r="M920" s="317" t="str">
        <f t="array" ref="M920">XLOOKUP(D920,Roster!F:F,Roster!E:E)</f>
        <v>Voice</v>
      </c>
      <c r="N920" s="317" t="str">
        <f t="shared" ref="N920:P920" si="935">LEFT(H920,5)</f>
        <v>10:30</v>
      </c>
      <c r="O920" s="317" t="str">
        <f t="shared" si="935"/>
        <v>13:30</v>
      </c>
      <c r="P920" s="317" t="str">
        <f t="shared" si="935"/>
        <v>15:45</v>
      </c>
      <c r="Q920" s="318">
        <f t="shared" si="806"/>
        <v>46120.4375</v>
      </c>
      <c r="R920" s="318">
        <f t="shared" si="807"/>
        <v>46120.5625</v>
      </c>
      <c r="S920" s="318">
        <f t="shared" si="8"/>
        <v>46120.65625</v>
      </c>
    </row>
    <row r="921">
      <c r="A921" s="14" t="str">
        <f t="shared" si="1"/>
        <v>C53546120</v>
      </c>
      <c r="B921" s="185" t="str">
        <f t="array" ref="B921">IF(F921="VL","",IF(F921="Free","Free",XLOOKUP(D921,Roster!T:T,Roster!S:S,"",0)))</f>
        <v/>
      </c>
      <c r="C921" s="313">
        <v>46120.0</v>
      </c>
      <c r="D921" s="314" t="s">
        <v>145</v>
      </c>
      <c r="E921" s="307" t="str">
        <f t="array" ref="E921">(XLOOKUP(D921,Roster!F:F,Roster!B:B,"",0))</f>
        <v>Lina Cadena</v>
      </c>
      <c r="F921" s="315" t="str">
        <f t="array" ref="F921">IF(B921=100,"Free",TEXT(XLOOKUP($D921,OperationVoice!$A:$A,OperationVoice!N:N,XLOOKUP($D921,OperationTickets!$A:$A,OperationTickets!N:N,"",0)),"hh:mm"))</f>
        <v>08:00</v>
      </c>
      <c r="G921" s="309">
        <f t="shared" si="3"/>
        <v>0.7083333333</v>
      </c>
      <c r="H921" s="316">
        <f t="array" ref="H921">XLOOKUP(B921,Roster!L:L,Roster!N:N,XLOOKUP(D921,TicketsBreak!A:A,TicketsBreak!E:E,"",0),0)</f>
        <v>0.3854166667</v>
      </c>
      <c r="I921" s="316">
        <f t="array" ref="I921">XLOOKUP(B921,Roster!L:L,Roster!O:O,XLOOKUP(D921,TicketsBreak!A:A,TicketsBreak!F:F,"",0),0)</f>
        <v>0.5833333333</v>
      </c>
      <c r="J921" s="316">
        <f t="array" ref="J921">XLOOKUP(B921,Roster!L:L,Roster!P:P,XLOOKUP(D921,TicketsBreak!A:A,TicketsBreak!G:G,"",0),0)</f>
        <v>0.6458333333</v>
      </c>
      <c r="K921" s="310">
        <f t="shared" si="4"/>
        <v>46120</v>
      </c>
      <c r="L921" s="317">
        <f t="array" ref="L921">(XLOOKUP(D921,Roster!F:F,Roster!D:D,"",0))</f>
        <v>2</v>
      </c>
      <c r="M921" s="317" t="str">
        <f t="array" ref="M921">XLOOKUP(D921,Roster!F:F,Roster!E:E)</f>
        <v>Tickets</v>
      </c>
      <c r="N921" s="317" t="str">
        <f t="shared" ref="N921:P921" si="936">LEFT(H921,5)</f>
        <v>09:15</v>
      </c>
      <c r="O921" s="317" t="str">
        <f t="shared" si="936"/>
        <v>14:00</v>
      </c>
      <c r="P921" s="317" t="str">
        <f t="shared" si="936"/>
        <v>15:30</v>
      </c>
      <c r="Q921" s="318">
        <f t="shared" si="806"/>
        <v>46120.38542</v>
      </c>
      <c r="R921" s="318">
        <f t="shared" si="807"/>
        <v>46120.58333</v>
      </c>
      <c r="S921" s="318">
        <f t="shared" si="8"/>
        <v>46120.64583</v>
      </c>
    </row>
    <row r="922">
      <c r="A922" s="14" t="str">
        <f t="shared" si="1"/>
        <v>C151746120</v>
      </c>
      <c r="B922" s="185">
        <f t="array" ref="B922">IF(F922="VL","",IF(F922="Free","Free",XLOOKUP(D922,Roster!T:T,Roster!S:S,"",0)))</f>
        <v>124</v>
      </c>
      <c r="C922" s="313">
        <v>46120.0</v>
      </c>
      <c r="D922" s="314" t="s">
        <v>57</v>
      </c>
      <c r="E922" s="307" t="str">
        <f t="array" ref="E922">(XLOOKUP(D922,Roster!F:F,Roster!B:B,"",0))</f>
        <v>Lisandro Alvarado</v>
      </c>
      <c r="F922" s="315" t="str">
        <f t="array" ref="F922">IF(B922=100,"Free",TEXT(XLOOKUP($D922,OperationVoice!$A:$A,OperationVoice!N:N,XLOOKUP($D922,OperationTickets!$A:$A,OperationTickets!N:N,"",0)),"hh:mm"))</f>
        <v>08:00</v>
      </c>
      <c r="G922" s="309">
        <f t="shared" si="3"/>
        <v>0.7083333333</v>
      </c>
      <c r="H922" s="316" t="str">
        <f t="array" ref="H922">XLOOKUP(B922,Roster!L:L,Roster!N:N,XLOOKUP(D922,TicketsBreak!A:A,TicketsBreak!E:E,"",0),0)</f>
        <v>10:00 - 10:15</v>
      </c>
      <c r="I922" s="316" t="str">
        <f t="array" ref="I922">XLOOKUP(B922,Roster!L:L,Roster!O:O,XLOOKUP(D922,TicketsBreak!A:A,TicketsBreak!F:F,"",0),0)</f>
        <v>13:00 - 13:30</v>
      </c>
      <c r="J922" s="316" t="str">
        <f t="array" ref="J922">XLOOKUP(B922,Roster!L:L,Roster!P:P,XLOOKUP(D922,TicketsBreak!A:A,TicketsBreak!G:G,"",0),0)</f>
        <v>15:30 - 15:45</v>
      </c>
      <c r="K922" s="310">
        <f t="shared" si="4"/>
        <v>46120</v>
      </c>
      <c r="L922" s="317">
        <f t="array" ref="L922">(XLOOKUP(D922,Roster!F:F,Roster!D:D,"",0))</f>
        <v>35</v>
      </c>
      <c r="M922" s="317" t="str">
        <f t="array" ref="M922">XLOOKUP(D922,Roster!F:F,Roster!E:E)</f>
        <v>Voice</v>
      </c>
      <c r="N922" s="317" t="str">
        <f t="shared" ref="N922:P922" si="937">LEFT(H922,5)</f>
        <v>10:00</v>
      </c>
      <c r="O922" s="317" t="str">
        <f t="shared" si="937"/>
        <v>13:00</v>
      </c>
      <c r="P922" s="317" t="str">
        <f t="shared" si="937"/>
        <v>15:30</v>
      </c>
      <c r="Q922" s="318">
        <f t="shared" si="806"/>
        <v>46120.41667</v>
      </c>
      <c r="R922" s="318">
        <f t="shared" si="807"/>
        <v>46120.54167</v>
      </c>
      <c r="S922" s="318">
        <f t="shared" si="8"/>
        <v>46120.64583</v>
      </c>
    </row>
    <row r="923">
      <c r="A923" s="14" t="str">
        <f t="shared" si="1"/>
        <v>C143346120</v>
      </c>
      <c r="B923" s="185">
        <f t="array" ref="B923">IF(F923="VL","",IF(F923="Free","Free",XLOOKUP(D923,Roster!T:T,Roster!S:S,"",0)))</f>
        <v>500</v>
      </c>
      <c r="C923" s="313">
        <v>46120.0</v>
      </c>
      <c r="D923" s="314" t="s">
        <v>58</v>
      </c>
      <c r="E923" s="307" t="str">
        <f t="array" ref="E923">(XLOOKUP(D923,Roster!F:F,Roster!B:B,"",0))</f>
        <v>Luis Lopez</v>
      </c>
      <c r="F923" s="315" t="str">
        <f t="array" ref="F923">IF(B923=100,"Free",TEXT(XLOOKUP($D923,OperationVoice!$A:$A,OperationVoice!N:N,XLOOKUP($D923,OperationTickets!$A:$A,OperationTickets!N:N,"",0)),"hh:mm"))</f>
        <v>10:00</v>
      </c>
      <c r="G923" s="309">
        <f t="shared" si="3"/>
        <v>0.7916666667</v>
      </c>
      <c r="H923" s="316" t="str">
        <f t="array" ref="H923">XLOOKUP(B923,Roster!L:L,Roster!N:N,XLOOKUP(D923,TicketsBreak!A:A,TicketsBreak!E:E,"",0),0)</f>
        <v>Team Leader</v>
      </c>
      <c r="I923" s="316" t="str">
        <f t="array" ref="I923">XLOOKUP(B923,Roster!L:L,Roster!O:O,XLOOKUP(D923,TicketsBreak!A:A,TicketsBreak!F:F,"",0),0)</f>
        <v>Team Leader</v>
      </c>
      <c r="J923" s="316" t="str">
        <f t="array" ref="J923">XLOOKUP(B923,Roster!L:L,Roster!P:P,XLOOKUP(D923,TicketsBreak!A:A,TicketsBreak!G:G,"",0),0)</f>
        <v/>
      </c>
      <c r="K923" s="310">
        <f t="shared" si="4"/>
        <v>46120</v>
      </c>
      <c r="L923" s="317">
        <f t="array" ref="L923">(XLOOKUP(D923,Roster!F:F,Roster!D:D,"",0))</f>
        <v>32</v>
      </c>
      <c r="M923" s="317" t="str">
        <f t="array" ref="M923">XLOOKUP(D923,Roster!F:F,Roster!E:E)</f>
        <v>Voice</v>
      </c>
      <c r="N923" s="317" t="str">
        <f t="shared" ref="N923:P923" si="938">LEFT(H923,5)</f>
        <v>Team </v>
      </c>
      <c r="O923" s="317" t="str">
        <f t="shared" si="938"/>
        <v>Team </v>
      </c>
      <c r="P923" s="317" t="str">
        <f t="shared" si="938"/>
        <v/>
      </c>
      <c r="Q923" s="318" t="str">
        <f t="shared" si="806"/>
        <v>#VALUE!</v>
      </c>
      <c r="R923" s="318" t="str">
        <f t="shared" si="807"/>
        <v>#VALUE!</v>
      </c>
      <c r="S923" s="318" t="str">
        <f t="shared" si="8"/>
        <v/>
      </c>
    </row>
    <row r="924">
      <c r="A924" s="14" t="str">
        <f t="shared" si="1"/>
        <v>C153446120</v>
      </c>
      <c r="B924" s="185">
        <f t="array" ref="B924">IF(F924="VL","",IF(F924="Free","Free",XLOOKUP(D924,Roster!T:T,Roster!S:S,"",0)))</f>
        <v>126</v>
      </c>
      <c r="C924" s="313">
        <v>46120.0</v>
      </c>
      <c r="D924" s="314" t="s">
        <v>59</v>
      </c>
      <c r="E924" s="307" t="str">
        <f t="array" ref="E924">(XLOOKUP(D924,Roster!F:F,Roster!B:B,"",0))</f>
        <v>Luis Munoz</v>
      </c>
      <c r="F924" s="315" t="str">
        <f t="array" ref="F924">IF(B924=100,"Free",TEXT(XLOOKUP($D924,OperationVoice!$A:$A,OperationVoice!N:N,XLOOKUP($D924,OperationTickets!$A:$A,OperationTickets!N:N,"",0)),"hh:mm"))</f>
        <v>08:00</v>
      </c>
      <c r="G924" s="309">
        <f t="shared" si="3"/>
        <v>0.7083333333</v>
      </c>
      <c r="H924" s="316" t="str">
        <f t="array" ref="H924">XLOOKUP(B924,Roster!L:L,Roster!N:N,XLOOKUP(D924,TicketsBreak!A:A,TicketsBreak!E:E,"",0),0)</f>
        <v>10:45 - 11:00</v>
      </c>
      <c r="I924" s="316" t="str">
        <f t="array" ref="I924">XLOOKUP(B924,Roster!L:L,Roster!O:O,XLOOKUP(D924,TicketsBreak!A:A,TicketsBreak!F:F,"",0),0)</f>
        <v>14:00 - 14:30</v>
      </c>
      <c r="J924" s="316" t="str">
        <f t="array" ref="J924">XLOOKUP(B924,Roster!L:L,Roster!P:P,XLOOKUP(D924,TicketsBreak!A:A,TicketsBreak!G:G,"",0),0)</f>
        <v>15:45 - 16:00</v>
      </c>
      <c r="K924" s="310">
        <f t="shared" si="4"/>
        <v>46120</v>
      </c>
      <c r="L924" s="317">
        <f t="array" ref="L924">(XLOOKUP(D924,Roster!F:F,Roster!D:D,"",0))</f>
        <v>36</v>
      </c>
      <c r="M924" s="317" t="str">
        <f t="array" ref="M924">XLOOKUP(D924,Roster!F:F,Roster!E:E)</f>
        <v>Voice</v>
      </c>
      <c r="N924" s="317" t="str">
        <f t="shared" ref="N924:P924" si="939">LEFT(H924,5)</f>
        <v>10:45</v>
      </c>
      <c r="O924" s="317" t="str">
        <f t="shared" si="939"/>
        <v>14:00</v>
      </c>
      <c r="P924" s="317" t="str">
        <f t="shared" si="939"/>
        <v>15:45</v>
      </c>
      <c r="Q924" s="318">
        <f t="shared" si="806"/>
        <v>46120.44792</v>
      </c>
      <c r="R924" s="318">
        <f t="shared" si="807"/>
        <v>46120.58333</v>
      </c>
      <c r="S924" s="318">
        <f t="shared" si="8"/>
        <v>46120.65625</v>
      </c>
    </row>
    <row r="925">
      <c r="A925" s="14" t="str">
        <f t="shared" si="1"/>
        <v>C53846120</v>
      </c>
      <c r="B925" s="185" t="str">
        <f t="array" ref="B925">IF(F925="VL","",IF(F925="Free","Free",XLOOKUP(D925,Roster!T:T,Roster!S:S,"",0)))</f>
        <v/>
      </c>
      <c r="C925" s="313">
        <v>46120.0</v>
      </c>
      <c r="D925" s="314" t="s">
        <v>165</v>
      </c>
      <c r="E925" s="307" t="str">
        <f t="array" ref="E925">(XLOOKUP(D925,Roster!F:F,Roster!B:B,"",0))</f>
        <v>Luisa Arenas</v>
      </c>
      <c r="F925" s="315" t="str">
        <f t="array" ref="F925">IF(B925=100,"Free",TEXT(XLOOKUP($D925,OperationVoice!$A:$A,OperationVoice!N:N,XLOOKUP($D925,OperationTickets!$A:$A,OperationTickets!N:N,"",0)),"hh:mm"))</f>
        <v>08:00</v>
      </c>
      <c r="G925" s="309">
        <f t="shared" si="3"/>
        <v>0.7083333333</v>
      </c>
      <c r="H925" s="316" t="str">
        <f t="array" ref="H925">XLOOKUP(B925,Roster!L:L,Roster!N:N,XLOOKUP(D925,TicketsBreak!A:A,TicketsBreak!E:E,"",0),0)</f>
        <v/>
      </c>
      <c r="I925" s="316" t="str">
        <f t="array" ref="I925">XLOOKUP(B925,Roster!L:L,Roster!O:O,XLOOKUP(D925,TicketsBreak!A:A,TicketsBreak!F:F,"",0),0)</f>
        <v/>
      </c>
      <c r="J925" s="316" t="str">
        <f t="array" ref="J925">XLOOKUP(B925,Roster!L:L,Roster!P:P,XLOOKUP(D925,TicketsBreak!A:A,TicketsBreak!G:G,"",0),0)</f>
        <v/>
      </c>
      <c r="K925" s="310">
        <f t="shared" si="4"/>
        <v>46120</v>
      </c>
      <c r="L925" s="317">
        <f t="array" ref="L925">(XLOOKUP(D925,Roster!F:F,Roster!D:D,"",0))</f>
        <v>35</v>
      </c>
      <c r="M925" s="317" t="str">
        <f t="array" ref="M925">XLOOKUP(D925,Roster!F:F,Roster!E:E)</f>
        <v>Tickets</v>
      </c>
      <c r="N925" s="317" t="str">
        <f t="shared" ref="N925:P925" si="940">LEFT(H925,5)</f>
        <v/>
      </c>
      <c r="O925" s="317" t="str">
        <f t="shared" si="940"/>
        <v/>
      </c>
      <c r="P925" s="317" t="str">
        <f t="shared" si="940"/>
        <v/>
      </c>
      <c r="Q925" s="318" t="str">
        <f t="shared" si="806"/>
        <v/>
      </c>
      <c r="R925" s="318" t="str">
        <f t="shared" si="807"/>
        <v/>
      </c>
      <c r="S925" s="318" t="str">
        <f t="shared" si="8"/>
        <v/>
      </c>
    </row>
    <row r="926">
      <c r="A926" s="14" t="str">
        <f t="shared" si="1"/>
        <v>C113646120</v>
      </c>
      <c r="B926" s="185">
        <f t="array" ref="B926">IF(F926="VL","",IF(F926="Free","Free",XLOOKUP(D926,Roster!T:T,Roster!S:S,"",0)))</f>
        <v>126</v>
      </c>
      <c r="C926" s="313">
        <v>46120.0</v>
      </c>
      <c r="D926" s="314" t="s">
        <v>60</v>
      </c>
      <c r="E926" s="307" t="str">
        <f t="array" ref="E926">(XLOOKUP(D926,Roster!F:F,Roster!B:B,"",0))</f>
        <v>Luisa Gonzalez</v>
      </c>
      <c r="F926" s="315" t="str">
        <f t="array" ref="F926">IF(B926=100,"Free",TEXT(XLOOKUP($D926,OperationVoice!$A:$A,OperationVoice!N:N,XLOOKUP($D926,OperationTickets!$A:$A,OperationTickets!N:N,"",0)),"hh:mm"))</f>
        <v>08:00</v>
      </c>
      <c r="G926" s="309">
        <f t="shared" si="3"/>
        <v>0.7083333333</v>
      </c>
      <c r="H926" s="316" t="str">
        <f t="array" ref="H926">XLOOKUP(B926,Roster!L:L,Roster!N:N,XLOOKUP(D926,TicketsBreak!A:A,TicketsBreak!E:E,"",0),0)</f>
        <v>10:45 - 11:00</v>
      </c>
      <c r="I926" s="316" t="str">
        <f t="array" ref="I926">XLOOKUP(B926,Roster!L:L,Roster!O:O,XLOOKUP(D926,TicketsBreak!A:A,TicketsBreak!F:F,"",0),0)</f>
        <v>14:00 - 14:30</v>
      </c>
      <c r="J926" s="316" t="str">
        <f t="array" ref="J926">XLOOKUP(B926,Roster!L:L,Roster!P:P,XLOOKUP(D926,TicketsBreak!A:A,TicketsBreak!G:G,"",0),0)</f>
        <v>15:45 - 16:00</v>
      </c>
      <c r="K926" s="310">
        <f t="shared" si="4"/>
        <v>46120</v>
      </c>
      <c r="L926" s="317">
        <f t="array" ref="L926">(XLOOKUP(D926,Roster!F:F,Roster!D:D,"",0))</f>
        <v>22</v>
      </c>
      <c r="M926" s="317" t="str">
        <f t="array" ref="M926">XLOOKUP(D926,Roster!F:F,Roster!E:E)</f>
        <v>Voice</v>
      </c>
      <c r="N926" s="317" t="str">
        <f t="shared" ref="N926:P926" si="941">LEFT(H926,5)</f>
        <v>10:45</v>
      </c>
      <c r="O926" s="317" t="str">
        <f t="shared" si="941"/>
        <v>14:00</v>
      </c>
      <c r="P926" s="317" t="str">
        <f t="shared" si="941"/>
        <v>15:45</v>
      </c>
      <c r="Q926" s="318">
        <f t="shared" si="806"/>
        <v>46120.44792</v>
      </c>
      <c r="R926" s="318">
        <f t="shared" si="807"/>
        <v>46120.58333</v>
      </c>
      <c r="S926" s="318">
        <f t="shared" si="8"/>
        <v>46120.65625</v>
      </c>
    </row>
    <row r="927">
      <c r="A927" s="14" t="str">
        <f t="shared" si="1"/>
        <v>C157746120</v>
      </c>
      <c r="B927" s="185">
        <f t="array" ref="B927">IF(F927="VL","",IF(F927="Free","Free",XLOOKUP(D927,Roster!T:T,Roster!S:S,"",0)))</f>
        <v>126</v>
      </c>
      <c r="C927" s="313">
        <v>46120.0</v>
      </c>
      <c r="D927" s="314" t="s">
        <v>61</v>
      </c>
      <c r="E927" s="307" t="str">
        <f t="array" ref="E927">(XLOOKUP(D927,Roster!F:F,Roster!B:B,"",0))</f>
        <v>Luna Morales</v>
      </c>
      <c r="F927" s="315" t="str">
        <f t="array" ref="F927">IF(B927=100,"Free",TEXT(XLOOKUP($D927,OperationVoice!$A:$A,OperationVoice!N:N,XLOOKUP($D927,OperationTickets!$A:$A,OperationTickets!N:N,"",0)),"hh:mm"))</f>
        <v>08:00</v>
      </c>
      <c r="G927" s="309">
        <f t="shared" si="3"/>
        <v>0.7083333333</v>
      </c>
      <c r="H927" s="316" t="str">
        <f t="array" ref="H927">XLOOKUP(B927,Roster!L:L,Roster!N:N,XLOOKUP(D927,TicketsBreak!A:A,TicketsBreak!E:E,"",0),0)</f>
        <v>10:45 - 11:00</v>
      </c>
      <c r="I927" s="316" t="str">
        <f t="array" ref="I927">XLOOKUP(B927,Roster!L:L,Roster!O:O,XLOOKUP(D927,TicketsBreak!A:A,TicketsBreak!F:F,"",0),0)</f>
        <v>14:00 - 14:30</v>
      </c>
      <c r="J927" s="316" t="str">
        <f t="array" ref="J927">XLOOKUP(B927,Roster!L:L,Roster!P:P,XLOOKUP(D927,TicketsBreak!A:A,TicketsBreak!G:G,"",0),0)</f>
        <v>15:45 - 16:00</v>
      </c>
      <c r="K927" s="310">
        <f t="shared" si="4"/>
        <v>46120</v>
      </c>
      <c r="L927" s="317">
        <f t="array" ref="L927">(XLOOKUP(D927,Roster!F:F,Roster!D:D,"",0))</f>
        <v>38</v>
      </c>
      <c r="M927" s="317" t="str">
        <f t="array" ref="M927">XLOOKUP(D927,Roster!F:F,Roster!E:E)</f>
        <v>Voice</v>
      </c>
      <c r="N927" s="317" t="str">
        <f t="shared" ref="N927:P927" si="942">LEFT(H927,5)</f>
        <v>10:45</v>
      </c>
      <c r="O927" s="317" t="str">
        <f t="shared" si="942"/>
        <v>14:00</v>
      </c>
      <c r="P927" s="317" t="str">
        <f t="shared" si="942"/>
        <v>15:45</v>
      </c>
      <c r="Q927" s="318">
        <f t="shared" si="806"/>
        <v>46120.44792</v>
      </c>
      <c r="R927" s="318">
        <f t="shared" si="807"/>
        <v>46120.58333</v>
      </c>
      <c r="S927" s="318">
        <f t="shared" si="8"/>
        <v>46120.65625</v>
      </c>
    </row>
    <row r="928">
      <c r="A928" s="14" t="str">
        <f t="shared" si="1"/>
        <v>C121946120</v>
      </c>
      <c r="B928" s="185" t="str">
        <f t="array" ref="B928">IF(F928="VL","",IF(F928="Free","Free",XLOOKUP(D928,Roster!T:T,Roster!S:S,"",0)))</f>
        <v>Free</v>
      </c>
      <c r="C928" s="313">
        <v>46120.0</v>
      </c>
      <c r="D928" s="314" t="s">
        <v>146</v>
      </c>
      <c r="E928" s="307" t="str">
        <f t="array" ref="E928">(XLOOKUP(D928,Roster!F:F,Roster!B:B,"",0))</f>
        <v>Madelyn Jaramillo</v>
      </c>
      <c r="F928" s="315" t="str">
        <f t="array" ref="F928">IF(B928=100,"Free",TEXT(XLOOKUP($D928,OperationVoice!$A:$A,OperationVoice!N:N,XLOOKUP($D928,OperationTickets!$A:$A,OperationTickets!N:N,"",0)),"hh:mm"))</f>
        <v>Free</v>
      </c>
      <c r="G928" s="309" t="str">
        <f t="shared" si="3"/>
        <v>Free</v>
      </c>
      <c r="H928" s="316" t="str">
        <f t="array" ref="H928">XLOOKUP(B928,Roster!L:L,Roster!N:N,XLOOKUP(D928,TicketsBreak!A:A,TicketsBreak!E:E,"",0),0)</f>
        <v/>
      </c>
      <c r="I928" s="316" t="str">
        <f t="array" ref="I928">XLOOKUP(B928,Roster!L:L,Roster!O:O,XLOOKUP(D928,TicketsBreak!A:A,TicketsBreak!F:F,"",0),0)</f>
        <v/>
      </c>
      <c r="J928" s="316" t="str">
        <f t="array" ref="J928">XLOOKUP(B928,Roster!L:L,Roster!P:P,XLOOKUP(D928,TicketsBreak!A:A,TicketsBreak!G:G,"",0),0)</f>
        <v/>
      </c>
      <c r="K928" s="310">
        <f t="shared" si="4"/>
        <v>46120</v>
      </c>
      <c r="L928" s="317">
        <f t="array" ref="L928">(XLOOKUP(D928,Roster!F:F,Roster!D:D,"",0))</f>
        <v>26</v>
      </c>
      <c r="M928" s="317" t="str">
        <f t="array" ref="M928">XLOOKUP(D928,Roster!F:F,Roster!E:E)</f>
        <v>Tickets</v>
      </c>
      <c r="N928" s="317" t="str">
        <f t="shared" ref="N928:P928" si="943">LEFT(H928,5)</f>
        <v/>
      </c>
      <c r="O928" s="317" t="str">
        <f t="shared" si="943"/>
        <v/>
      </c>
      <c r="P928" s="317" t="str">
        <f t="shared" si="943"/>
        <v/>
      </c>
      <c r="Q928" s="318" t="str">
        <f t="shared" si="806"/>
        <v/>
      </c>
      <c r="R928" s="318" t="str">
        <f t="shared" si="807"/>
        <v/>
      </c>
      <c r="S928" s="318" t="str">
        <f t="shared" si="8"/>
        <v/>
      </c>
    </row>
    <row r="929">
      <c r="A929" s="14" t="str">
        <f t="shared" si="1"/>
        <v>C151646120</v>
      </c>
      <c r="B929" s="185">
        <f t="array" ref="B929">IF(F929="VL","",IF(F929="Free","Free",XLOOKUP(D929,Roster!T:T,Roster!S:S,"",0)))</f>
        <v>122</v>
      </c>
      <c r="C929" s="313">
        <v>46120.0</v>
      </c>
      <c r="D929" s="314" t="s">
        <v>62</v>
      </c>
      <c r="E929" s="307" t="str">
        <f t="array" ref="E929">(XLOOKUP(D929,Roster!F:F,Roster!B:B,"",0))</f>
        <v>Magda Foronda</v>
      </c>
      <c r="F929" s="315" t="str">
        <f t="array" ref="F929">IF(B929=100,"Free",TEXT(XLOOKUP($D929,OperationVoice!$A:$A,OperationVoice!N:N,XLOOKUP($D929,OperationTickets!$A:$A,OperationTickets!N:N,"",0)),"hh:mm"))</f>
        <v>08:00</v>
      </c>
      <c r="G929" s="309">
        <f t="shared" si="3"/>
        <v>0.7083333333</v>
      </c>
      <c r="H929" s="316" t="str">
        <f t="array" ref="H929">XLOOKUP(B929,Roster!L:L,Roster!N:N,XLOOKUP(D929,TicketsBreak!A:A,TicketsBreak!E:E,"",0),0)</f>
        <v>09:30 - 09:45</v>
      </c>
      <c r="I929" s="316" t="str">
        <f t="array" ref="I929">XLOOKUP(B929,Roster!L:L,Roster!O:O,XLOOKUP(D929,TicketsBreak!A:A,TicketsBreak!F:F,"",0),0)</f>
        <v>12:00 - 12:30</v>
      </c>
      <c r="J929" s="316" t="str">
        <f t="array" ref="J929">XLOOKUP(B929,Roster!L:L,Roster!P:P,XLOOKUP(D929,TicketsBreak!A:A,TicketsBreak!G:G,"",0),0)</f>
        <v>14:45 - 15:00</v>
      </c>
      <c r="K929" s="310">
        <f t="shared" si="4"/>
        <v>46120</v>
      </c>
      <c r="L929" s="317">
        <f t="array" ref="L929">(XLOOKUP(D929,Roster!F:F,Roster!D:D,"",0))</f>
        <v>35</v>
      </c>
      <c r="M929" s="317" t="str">
        <f t="array" ref="M929">XLOOKUP(D929,Roster!F:F,Roster!E:E)</f>
        <v>Voice</v>
      </c>
      <c r="N929" s="317" t="str">
        <f t="shared" ref="N929:P929" si="944">LEFT(H929,5)</f>
        <v>09:30</v>
      </c>
      <c r="O929" s="317" t="str">
        <f t="shared" si="944"/>
        <v>12:00</v>
      </c>
      <c r="P929" s="317" t="str">
        <f t="shared" si="944"/>
        <v>14:45</v>
      </c>
      <c r="Q929" s="318">
        <f t="shared" si="806"/>
        <v>46120.39583</v>
      </c>
      <c r="R929" s="318">
        <f t="shared" si="807"/>
        <v>46120.5</v>
      </c>
      <c r="S929" s="318">
        <f t="shared" si="8"/>
        <v>46120.61458</v>
      </c>
    </row>
    <row r="930">
      <c r="A930" s="14" t="str">
        <f t="shared" si="1"/>
        <v>C118046120</v>
      </c>
      <c r="B930" s="185">
        <f t="array" ref="B930">IF(F930="VL","",IF(F930="Free","Free",XLOOKUP(D930,Roster!T:T,Roster!S:S,"",0)))</f>
        <v>500</v>
      </c>
      <c r="C930" s="313">
        <v>46120.0</v>
      </c>
      <c r="D930" s="314" t="s">
        <v>147</v>
      </c>
      <c r="E930" s="307" t="str">
        <f t="array" ref="E930">(XLOOKUP(D930,Roster!F:F,Roster!B:B,"",0))</f>
        <v>Manuela Moreno</v>
      </c>
      <c r="F930" s="315" t="str">
        <f t="array" ref="F930">IF(B930=100,"Free",TEXT(XLOOKUP($D930,OperationVoice!$A:$A,OperationVoice!N:N,XLOOKUP($D930,OperationTickets!$A:$A,OperationTickets!N:N,"",0)),"hh:mm"))</f>
        <v>09:00</v>
      </c>
      <c r="G930" s="309">
        <f t="shared" si="3"/>
        <v>0.75</v>
      </c>
      <c r="H930" s="316" t="str">
        <f t="array" ref="H930">XLOOKUP(B930,Roster!L:L,Roster!N:N,XLOOKUP(D930,TicketsBreak!A:A,TicketsBreak!E:E,"",0),0)</f>
        <v>Team Leader</v>
      </c>
      <c r="I930" s="316" t="str">
        <f t="array" ref="I930">XLOOKUP(B930,Roster!L:L,Roster!O:O,XLOOKUP(D930,TicketsBreak!A:A,TicketsBreak!F:F,"",0),0)</f>
        <v>Team Leader</v>
      </c>
      <c r="J930" s="316" t="str">
        <f t="array" ref="J930">XLOOKUP(B930,Roster!L:L,Roster!P:P,XLOOKUP(D930,TicketsBreak!A:A,TicketsBreak!G:G,"",0),0)</f>
        <v/>
      </c>
      <c r="K930" s="310">
        <f t="shared" si="4"/>
        <v>46120</v>
      </c>
      <c r="L930" s="317">
        <f t="array" ref="L930">(XLOOKUP(D930,Roster!F:F,Roster!D:D,"",0))</f>
        <v>24</v>
      </c>
      <c r="M930" s="317" t="str">
        <f t="array" ref="M930">XLOOKUP(D930,Roster!F:F,Roster!E:E)</f>
        <v>Tickets</v>
      </c>
      <c r="N930" s="317" t="str">
        <f t="shared" ref="N930:P930" si="945">LEFT(H930,5)</f>
        <v>Team </v>
      </c>
      <c r="O930" s="317" t="str">
        <f t="shared" si="945"/>
        <v>Team </v>
      </c>
      <c r="P930" s="317" t="str">
        <f t="shared" si="945"/>
        <v/>
      </c>
      <c r="Q930" s="318" t="str">
        <f>IF(P930="","",$C930+N930)</f>
        <v/>
      </c>
      <c r="R930" s="318" t="str">
        <f>if(P930="","",$C930+O930)</f>
        <v/>
      </c>
      <c r="S930" s="318" t="str">
        <f t="shared" si="8"/>
        <v/>
      </c>
    </row>
    <row r="931">
      <c r="A931" s="14" t="str">
        <f t="shared" si="1"/>
        <v>C153646120</v>
      </c>
      <c r="B931" s="185">
        <f t="array" ref="B931">IF(F931="VL","",IF(F931="Free","Free",XLOOKUP(D931,Roster!T:T,Roster!S:S,"",0)))</f>
        <v>121</v>
      </c>
      <c r="C931" s="313">
        <v>46120.0</v>
      </c>
      <c r="D931" s="314" t="s">
        <v>63</v>
      </c>
      <c r="E931" s="307" t="str">
        <f t="array" ref="E931">(XLOOKUP(D931,Roster!F:F,Roster!B:B,"",0))</f>
        <v>Maria Mesa</v>
      </c>
      <c r="F931" s="315" t="str">
        <f t="array" ref="F931">IF(B931=100,"Free",TEXT(XLOOKUP($D931,OperationVoice!$A:$A,OperationVoice!N:N,XLOOKUP($D931,OperationTickets!$A:$A,OperationTickets!N:N,"",0)),"hh:mm"))</f>
        <v>08:00</v>
      </c>
      <c r="G931" s="309">
        <f t="shared" si="3"/>
        <v>0.7083333333</v>
      </c>
      <c r="H931" s="316" t="str">
        <f t="array" ref="H931">XLOOKUP(B931,Roster!L:L,Roster!N:N,XLOOKUP(D931,TicketsBreak!A:A,TicketsBreak!E:E,"",0),0)</f>
        <v>09:15 - 09:30</v>
      </c>
      <c r="I931" s="316" t="str">
        <f t="array" ref="I931">XLOOKUP(B931,Roster!L:L,Roster!O:O,XLOOKUP(D931,TicketsBreak!A:A,TicketsBreak!F:F,"",0),0)</f>
        <v>11:30 - 12:00</v>
      </c>
      <c r="J931" s="316" t="str">
        <f t="array" ref="J931">XLOOKUP(B931,Roster!L:L,Roster!P:P,XLOOKUP(D931,TicketsBreak!A:A,TicketsBreak!G:G,"",0),0)</f>
        <v>14:30 - 14:45</v>
      </c>
      <c r="K931" s="310">
        <f t="shared" si="4"/>
        <v>46120</v>
      </c>
      <c r="L931" s="317">
        <f t="array" ref="L931">(XLOOKUP(D931,Roster!F:F,Roster!D:D,"",0))</f>
        <v>36</v>
      </c>
      <c r="M931" s="317" t="str">
        <f t="array" ref="M931">XLOOKUP(D931,Roster!F:F,Roster!E:E)</f>
        <v>Voice</v>
      </c>
      <c r="N931" s="317" t="str">
        <f t="shared" ref="N931:P931" si="946">LEFT(H931,5)</f>
        <v>09:15</v>
      </c>
      <c r="O931" s="317" t="str">
        <f t="shared" si="946"/>
        <v>11:30</v>
      </c>
      <c r="P931" s="317" t="str">
        <f t="shared" si="946"/>
        <v>14:30</v>
      </c>
      <c r="Q931" s="318">
        <f t="shared" ref="Q931:Q1069" si="948">IF(N931="","",$C931+N931)</f>
        <v>46120.38542</v>
      </c>
      <c r="R931" s="318">
        <f t="shared" ref="R931:R1069" si="949">if(O931="","",$C931+O931)</f>
        <v>46120.47917</v>
      </c>
      <c r="S931" s="318">
        <f t="shared" si="8"/>
        <v>46120.60417</v>
      </c>
    </row>
    <row r="932">
      <c r="A932" s="14" t="str">
        <f t="shared" si="1"/>
        <v>C74046120</v>
      </c>
      <c r="B932" s="185" t="str">
        <f t="array" ref="B932">IF(F932="VL","",IF(F932="Free","Free",XLOOKUP(D932,Roster!T:T,Roster!S:S,"",0)))</f>
        <v/>
      </c>
      <c r="C932" s="313">
        <v>46120.0</v>
      </c>
      <c r="D932" s="314" t="s">
        <v>166</v>
      </c>
      <c r="E932" s="307" t="str">
        <f t="array" ref="E932">(XLOOKUP(D932,Roster!F:F,Roster!B:B,"",0))</f>
        <v>Mateo Agudelo</v>
      </c>
      <c r="F932" s="315" t="str">
        <f t="array" ref="F932">IF(B932=100,"Free",TEXT(XLOOKUP($D932,OperationVoice!$A:$A,OperationVoice!N:N,XLOOKUP($D932,OperationTickets!$A:$A,OperationTickets!N:N,"",0)),"hh:mm"))</f>
        <v>08:00</v>
      </c>
      <c r="G932" s="309">
        <f t="shared" si="3"/>
        <v>0.7083333333</v>
      </c>
      <c r="H932" s="316">
        <f t="array" ref="H932">XLOOKUP(B932,Roster!L:L,Roster!N:N,XLOOKUP(D932,TicketsBreak!A:A,TicketsBreak!E:E,"",0),0)</f>
        <v>0.4166666667</v>
      </c>
      <c r="I932" s="316">
        <f t="array" ref="I932">XLOOKUP(B932,Roster!L:L,Roster!O:O,XLOOKUP(D932,TicketsBreak!A:A,TicketsBreak!F:F,"",0),0)</f>
        <v>0.5</v>
      </c>
      <c r="J932" s="316">
        <f t="array" ref="J932">XLOOKUP(B932,Roster!L:L,Roster!P:P,XLOOKUP(D932,TicketsBreak!A:A,TicketsBreak!G:G,"",0),0)</f>
        <v>0.65625</v>
      </c>
      <c r="K932" s="310">
        <f t="shared" si="4"/>
        <v>46120</v>
      </c>
      <c r="L932" s="317">
        <f t="array" ref="L932">(XLOOKUP(D932,Roster!F:F,Roster!D:D,"",0))</f>
        <v>8</v>
      </c>
      <c r="M932" s="317" t="str">
        <f t="array" ref="M932">XLOOKUP(D932,Roster!F:F,Roster!E:E)</f>
        <v>Tickets</v>
      </c>
      <c r="N932" s="317" t="str">
        <f t="shared" ref="N932:P932" si="947">LEFT(H932,5)</f>
        <v>10:00</v>
      </c>
      <c r="O932" s="317" t="str">
        <f t="shared" si="947"/>
        <v>12:00</v>
      </c>
      <c r="P932" s="317" t="str">
        <f t="shared" si="947"/>
        <v>15:45</v>
      </c>
      <c r="Q932" s="318">
        <f t="shared" si="948"/>
        <v>46120.41667</v>
      </c>
      <c r="R932" s="318">
        <f t="shared" si="949"/>
        <v>46120.5</v>
      </c>
      <c r="S932" s="318">
        <f t="shared" si="8"/>
        <v>46120.65625</v>
      </c>
    </row>
    <row r="933">
      <c r="A933" s="14" t="str">
        <f t="shared" si="1"/>
        <v>C142946120</v>
      </c>
      <c r="B933" s="185" t="str">
        <f t="array" ref="B933">IF(F933="VL","",IF(F933="Free","Free",XLOOKUP(D933,Roster!T:T,Roster!S:S,"",0)))</f>
        <v>Free</v>
      </c>
      <c r="C933" s="313">
        <v>46120.0</v>
      </c>
      <c r="D933" s="314" t="s">
        <v>178</v>
      </c>
      <c r="E933" s="307" t="str">
        <f t="array" ref="E933">(XLOOKUP(D933,Roster!F:F,Roster!B:B,"",0))</f>
        <v>Mateo Vanegas</v>
      </c>
      <c r="F933" s="315" t="str">
        <f t="array" ref="F933">IF(B933=100,"Free",TEXT(XLOOKUP($D933,OperationVoice!$A:$A,OperationVoice!N:N,XLOOKUP($D933,OperationTickets!$A:$A,OperationTickets!N:N,"",0)),"hh:mm"))</f>
        <v>Free</v>
      </c>
      <c r="G933" s="309" t="str">
        <f t="shared" si="3"/>
        <v>Free</v>
      </c>
      <c r="H933" s="316" t="str">
        <f t="array" ref="H933">XLOOKUP(B933,Roster!L:L,Roster!N:N,XLOOKUP(D933,TicketsBreak!A:A,TicketsBreak!E:E,"",0),0)</f>
        <v/>
      </c>
      <c r="I933" s="316" t="str">
        <f t="array" ref="I933">XLOOKUP(B933,Roster!L:L,Roster!O:O,XLOOKUP(D933,TicketsBreak!A:A,TicketsBreak!F:F,"",0),0)</f>
        <v/>
      </c>
      <c r="J933" s="316" t="str">
        <f t="array" ref="J933">XLOOKUP(B933,Roster!L:L,Roster!P:P,XLOOKUP(D933,TicketsBreak!A:A,TicketsBreak!G:G,"",0),0)</f>
        <v/>
      </c>
      <c r="K933" s="310">
        <f t="shared" si="4"/>
        <v>46120</v>
      </c>
      <c r="L933" s="317">
        <f t="array" ref="L933">(XLOOKUP(D933,Roster!F:F,Roster!D:D,"",0))</f>
        <v>32</v>
      </c>
      <c r="M933" s="317" t="str">
        <f t="array" ref="M933">XLOOKUP(D933,Roster!F:F,Roster!E:E)</f>
        <v>Tickets</v>
      </c>
      <c r="N933" s="317" t="str">
        <f t="shared" ref="N933:P933" si="950">LEFT(H933,5)</f>
        <v/>
      </c>
      <c r="O933" s="317" t="str">
        <f t="shared" si="950"/>
        <v/>
      </c>
      <c r="P933" s="317" t="str">
        <f t="shared" si="950"/>
        <v/>
      </c>
      <c r="Q933" s="318" t="str">
        <f t="shared" si="948"/>
        <v/>
      </c>
      <c r="R933" s="318" t="str">
        <f t="shared" si="949"/>
        <v/>
      </c>
      <c r="S933" s="318" t="str">
        <f t="shared" si="8"/>
        <v/>
      </c>
    </row>
    <row r="934">
      <c r="A934" s="14" t="str">
        <f t="shared" si="1"/>
        <v>C146846120</v>
      </c>
      <c r="B934" s="185">
        <f t="array" ref="B934">IF(F934="VL","",IF(F934="Free","Free",XLOOKUP(D934,Roster!T:T,Roster!S:S,"",0)))</f>
        <v>122</v>
      </c>
      <c r="C934" s="313">
        <v>46120.0</v>
      </c>
      <c r="D934" s="314" t="s">
        <v>64</v>
      </c>
      <c r="E934" s="307" t="str">
        <f t="array" ref="E934">(XLOOKUP(D934,Roster!F:F,Roster!B:B,"",0))</f>
        <v>Miguel Betancur</v>
      </c>
      <c r="F934" s="315" t="str">
        <f t="array" ref="F934">IF(B934=100,"Free",TEXT(XLOOKUP($D934,OperationVoice!$A:$A,OperationVoice!N:N,XLOOKUP($D934,OperationTickets!$A:$A,OperationTickets!N:N,"",0)),"hh:mm"))</f>
        <v>08:00</v>
      </c>
      <c r="G934" s="309">
        <f t="shared" si="3"/>
        <v>0.7083333333</v>
      </c>
      <c r="H934" s="316" t="str">
        <f t="array" ref="H934">XLOOKUP(B934,Roster!L:L,Roster!N:N,XLOOKUP(D934,TicketsBreak!A:A,TicketsBreak!E:E,"",0),0)</f>
        <v>09:30 - 09:45</v>
      </c>
      <c r="I934" s="316" t="str">
        <f t="array" ref="I934">XLOOKUP(B934,Roster!L:L,Roster!O:O,XLOOKUP(D934,TicketsBreak!A:A,TicketsBreak!F:F,"",0),0)</f>
        <v>12:00 - 12:30</v>
      </c>
      <c r="J934" s="316" t="str">
        <f t="array" ref="J934">XLOOKUP(B934,Roster!L:L,Roster!P:P,XLOOKUP(D934,TicketsBreak!A:A,TicketsBreak!G:G,"",0),0)</f>
        <v>14:45 - 15:00</v>
      </c>
      <c r="K934" s="310">
        <f t="shared" si="4"/>
        <v>46120</v>
      </c>
      <c r="L934" s="317">
        <f t="array" ref="L934">(XLOOKUP(D934,Roster!F:F,Roster!D:D,"",0))</f>
        <v>33</v>
      </c>
      <c r="M934" s="317" t="str">
        <f t="array" ref="M934">XLOOKUP(D934,Roster!F:F,Roster!E:E)</f>
        <v>Voice</v>
      </c>
      <c r="N934" s="317" t="str">
        <f t="shared" ref="N934:P934" si="951">LEFT(H934,5)</f>
        <v>09:30</v>
      </c>
      <c r="O934" s="317" t="str">
        <f t="shared" si="951"/>
        <v>12:00</v>
      </c>
      <c r="P934" s="317" t="str">
        <f t="shared" si="951"/>
        <v>14:45</v>
      </c>
      <c r="Q934" s="318">
        <f t="shared" si="948"/>
        <v>46120.39583</v>
      </c>
      <c r="R934" s="318">
        <f t="shared" si="949"/>
        <v>46120.5</v>
      </c>
      <c r="S934" s="318">
        <f t="shared" si="8"/>
        <v>46120.61458</v>
      </c>
    </row>
    <row r="935">
      <c r="A935" s="14" t="str">
        <f t="shared" si="1"/>
        <v>C106546120</v>
      </c>
      <c r="B935" s="185" t="str">
        <f t="array" ref="B935">IF(F935="VL","",IF(F935="Free","Free",XLOOKUP(D935,Roster!T:T,Roster!S:S,"",0)))</f>
        <v/>
      </c>
      <c r="C935" s="313">
        <v>46120.0</v>
      </c>
      <c r="D935" s="314" t="s">
        <v>148</v>
      </c>
      <c r="E935" s="307" t="str">
        <f t="array" ref="E935">(XLOOKUP(D935,Roster!F:F,Roster!B:B,"",0))</f>
        <v>Miguel Hoyos</v>
      </c>
      <c r="F935" s="315" t="str">
        <f t="array" ref="F935">IF(B935=100,"Free",TEXT(XLOOKUP($D935,OperationVoice!$A:$A,OperationVoice!N:N,XLOOKUP($D935,OperationTickets!$A:$A,OperationTickets!N:N,"",0)),"hh:mm"))</f>
        <v>07:00</v>
      </c>
      <c r="G935" s="309">
        <f t="shared" si="3"/>
        <v>0.6666666667</v>
      </c>
      <c r="H935" s="316">
        <f t="array" ref="H935">XLOOKUP(B935,Roster!L:L,Roster!N:N,XLOOKUP(D935,TicketsBreak!A:A,TicketsBreak!E:E,"",0),0)</f>
        <v>0.4583333333</v>
      </c>
      <c r="I935" s="316">
        <f t="array" ref="I935">XLOOKUP(B935,Roster!L:L,Roster!O:O,XLOOKUP(D935,TicketsBreak!A:A,TicketsBreak!F:F,"",0),0)</f>
        <v>0.5625</v>
      </c>
      <c r="J935" s="316">
        <f t="array" ref="J935">XLOOKUP(B935,Roster!L:L,Roster!P:P,XLOOKUP(D935,TicketsBreak!A:A,TicketsBreak!G:G,"",0),0)</f>
        <v>0.65625</v>
      </c>
      <c r="K935" s="310">
        <f t="shared" si="4"/>
        <v>46120</v>
      </c>
      <c r="L935" s="317">
        <f t="array" ref="L935">(XLOOKUP(D935,Roster!F:F,Roster!D:D,"",0))</f>
        <v>17</v>
      </c>
      <c r="M935" s="317" t="str">
        <f t="array" ref="M935">XLOOKUP(D935,Roster!F:F,Roster!E:E)</f>
        <v>Tickets</v>
      </c>
      <c r="N935" s="317" t="str">
        <f t="shared" ref="N935:P935" si="952">LEFT(H935,5)</f>
        <v>11:00</v>
      </c>
      <c r="O935" s="317" t="str">
        <f t="shared" si="952"/>
        <v>13:30</v>
      </c>
      <c r="P935" s="317" t="str">
        <f t="shared" si="952"/>
        <v>15:45</v>
      </c>
      <c r="Q935" s="318">
        <f t="shared" si="948"/>
        <v>46120.45833</v>
      </c>
      <c r="R935" s="318">
        <f t="shared" si="949"/>
        <v>46120.5625</v>
      </c>
      <c r="S935" s="318">
        <f t="shared" si="8"/>
        <v>46120.65625</v>
      </c>
    </row>
    <row r="936">
      <c r="A936" s="14" t="str">
        <f t="shared" si="1"/>
        <v>C111446120</v>
      </c>
      <c r="B936" s="185">
        <f t="array" ref="B936">IF(F936="VL","",IF(F936="Free","Free",XLOOKUP(D936,Roster!T:T,Roster!S:S,"",0)))</f>
        <v>113</v>
      </c>
      <c r="C936" s="313">
        <v>46120.0</v>
      </c>
      <c r="D936" s="314" t="s">
        <v>65</v>
      </c>
      <c r="E936" s="307" t="str">
        <f t="array" ref="E936">(XLOOKUP(D936,Roster!F:F,Roster!B:B,"",0))</f>
        <v>Mikel Bowie</v>
      </c>
      <c r="F936" s="315" t="str">
        <f t="array" ref="F936">IF(B936=100,"Free",TEXT(XLOOKUP($D936,OperationVoice!$A:$A,OperationVoice!N:N,XLOOKUP($D936,OperationTickets!$A:$A,OperationTickets!N:N,"",0)),"hh:mm"))</f>
        <v>08:00</v>
      </c>
      <c r="G936" s="309">
        <f t="shared" si="3"/>
        <v>0.7083333333</v>
      </c>
      <c r="H936" s="316" t="str">
        <f t="array" ref="H936">XLOOKUP(B936,Roster!L:L,Roster!N:N,XLOOKUP(D936,TicketsBreak!A:A,TicketsBreak!E:E,"",0),0)</f>
        <v>09:45 - 10:00</v>
      </c>
      <c r="I936" s="316" t="str">
        <f t="array" ref="I936">XLOOKUP(B936,Roster!L:L,Roster!O:O,XLOOKUP(D936,TicketsBreak!A:A,TicketsBreak!F:F,"",0),0)</f>
        <v>12:30 - 13:00</v>
      </c>
      <c r="J936" s="316" t="str">
        <f t="array" ref="J936">XLOOKUP(B936,Roster!L:L,Roster!P:P,XLOOKUP(D936,TicketsBreak!A:A,TicketsBreak!G:G,"",0),0)</f>
        <v>14:45 - 15:00</v>
      </c>
      <c r="K936" s="310">
        <f t="shared" si="4"/>
        <v>46120</v>
      </c>
      <c r="L936" s="317">
        <f t="array" ref="L936">(XLOOKUP(D936,Roster!F:F,Roster!D:D,"",0))</f>
        <v>20</v>
      </c>
      <c r="M936" s="317" t="str">
        <f t="array" ref="M936">XLOOKUP(D936,Roster!F:F,Roster!E:E)</f>
        <v>Voice</v>
      </c>
      <c r="N936" s="317" t="str">
        <f t="shared" ref="N936:P936" si="953">LEFT(H936,5)</f>
        <v>09:45</v>
      </c>
      <c r="O936" s="317" t="str">
        <f t="shared" si="953"/>
        <v>12:30</v>
      </c>
      <c r="P936" s="317" t="str">
        <f t="shared" si="953"/>
        <v>14:45</v>
      </c>
      <c r="Q936" s="318">
        <f t="shared" si="948"/>
        <v>46120.40625</v>
      </c>
      <c r="R936" s="318">
        <f t="shared" si="949"/>
        <v>46120.52083</v>
      </c>
      <c r="S936" s="318">
        <f t="shared" si="8"/>
        <v>46120.61458</v>
      </c>
    </row>
    <row r="937">
      <c r="A937" s="14" t="str">
        <f t="shared" si="1"/>
        <v>C116346120</v>
      </c>
      <c r="B937" s="185">
        <f t="array" ref="B937">IF(F937="VL","",IF(F937="Free","Free",XLOOKUP(D937,Roster!T:T,Roster!S:S,"",0)))</f>
        <v>123</v>
      </c>
      <c r="C937" s="313">
        <v>46120.0</v>
      </c>
      <c r="D937" s="314" t="s">
        <v>66</v>
      </c>
      <c r="E937" s="307" t="str">
        <f t="array" ref="E937">(XLOOKUP(D937,Roster!F:F,Roster!B:B,"",0))</f>
        <v>Natalia Cardona</v>
      </c>
      <c r="F937" s="315" t="str">
        <f t="array" ref="F937">IF(B937=100,"Free",TEXT(XLOOKUP($D937,OperationVoice!$A:$A,OperationVoice!N:N,XLOOKUP($D937,OperationTickets!$A:$A,OperationTickets!N:N,"",0)),"hh:mm"))</f>
        <v>08:00</v>
      </c>
      <c r="G937" s="309">
        <f t="shared" si="3"/>
        <v>0.7083333333</v>
      </c>
      <c r="H937" s="316" t="str">
        <f t="array" ref="H937">XLOOKUP(B937,Roster!L:L,Roster!N:N,XLOOKUP(D937,TicketsBreak!A:A,TicketsBreak!E:E,"",0),0)</f>
        <v>09:45 - 10:00 </v>
      </c>
      <c r="I937" s="316" t="str">
        <f t="array" ref="I937">XLOOKUP(B937,Roster!L:L,Roster!O:O,XLOOKUP(D937,TicketsBreak!A:A,TicketsBreak!F:F,"",0),0)</f>
        <v>12:30 - 13:00</v>
      </c>
      <c r="J937" s="316" t="str">
        <f t="array" ref="J937">XLOOKUP(B937,Roster!L:L,Roster!P:P,XLOOKUP(D937,TicketsBreak!A:A,TicketsBreak!G:G,"",0),0)</f>
        <v>15:00 - 15:15</v>
      </c>
      <c r="K937" s="310">
        <f t="shared" si="4"/>
        <v>46120</v>
      </c>
      <c r="L937" s="317">
        <f t="array" ref="L937">(XLOOKUP(D937,Roster!F:F,Roster!D:D,"",0))</f>
        <v>24</v>
      </c>
      <c r="M937" s="317" t="str">
        <f t="array" ref="M937">XLOOKUP(D937,Roster!F:F,Roster!E:E)</f>
        <v>Voice</v>
      </c>
      <c r="N937" s="317" t="str">
        <f t="shared" ref="N937:P937" si="954">LEFT(H937,5)</f>
        <v>09:45</v>
      </c>
      <c r="O937" s="317" t="str">
        <f t="shared" si="954"/>
        <v>12:30</v>
      </c>
      <c r="P937" s="317" t="str">
        <f t="shared" si="954"/>
        <v>15:00</v>
      </c>
      <c r="Q937" s="318">
        <f t="shared" si="948"/>
        <v>46120.40625</v>
      </c>
      <c r="R937" s="318">
        <f t="shared" si="949"/>
        <v>46120.52083</v>
      </c>
      <c r="S937" s="318">
        <f t="shared" si="8"/>
        <v>46120.625</v>
      </c>
    </row>
    <row r="938">
      <c r="A938" s="14" t="str">
        <f t="shared" si="1"/>
        <v>C55646120</v>
      </c>
      <c r="B938" s="185" t="str">
        <f t="array" ref="B938">IF(F938="VL","",IF(F938="Free","Free",XLOOKUP(D938,Roster!T:T,Roster!S:S,"",0)))</f>
        <v/>
      </c>
      <c r="C938" s="313">
        <v>46120.0</v>
      </c>
      <c r="D938" s="314" t="s">
        <v>167</v>
      </c>
      <c r="E938" s="307" t="str">
        <f t="array" ref="E938">(XLOOKUP(D938,Roster!F:F,Roster!B:B,"",0))</f>
        <v>Nelson Londono</v>
      </c>
      <c r="F938" s="315" t="str">
        <f t="array" ref="F938">IF(B938=100,"Free",TEXT(XLOOKUP($D938,OperationVoice!$A:$A,OperationVoice!N:N,XLOOKUP($D938,OperationTickets!$A:$A,OperationTickets!N:N,"",0)),"hh:mm"))</f>
        <v>07:00</v>
      </c>
      <c r="G938" s="309">
        <f t="shared" si="3"/>
        <v>0.6666666667</v>
      </c>
      <c r="H938" s="316">
        <f t="array" ref="H938">XLOOKUP(B938,Roster!L:L,Roster!N:N,XLOOKUP(D938,TicketsBreak!A:A,TicketsBreak!E:E,"",0),0)</f>
        <v>0.3854166667</v>
      </c>
      <c r="I938" s="316">
        <f t="array" ref="I938">XLOOKUP(B938,Roster!L:L,Roster!O:O,XLOOKUP(D938,TicketsBreak!A:A,TicketsBreak!F:F,"",0),0)</f>
        <v>0.5833333333</v>
      </c>
      <c r="J938" s="316">
        <f t="array" ref="J938">XLOOKUP(B938,Roster!L:L,Roster!P:P,XLOOKUP(D938,TicketsBreak!A:A,TicketsBreak!G:G,"",0),0)</f>
        <v>0.6458333333</v>
      </c>
      <c r="K938" s="310">
        <f t="shared" si="4"/>
        <v>46120</v>
      </c>
      <c r="L938" s="317">
        <f t="array" ref="L938">(XLOOKUP(D938,Roster!F:F,Roster!D:D,"",0))</f>
        <v>2</v>
      </c>
      <c r="M938" s="317" t="str">
        <f t="array" ref="M938">XLOOKUP(D938,Roster!F:F,Roster!E:E)</f>
        <v>Tickets</v>
      </c>
      <c r="N938" s="317" t="str">
        <f t="shared" ref="N938:P938" si="955">LEFT(H938,5)</f>
        <v>09:15</v>
      </c>
      <c r="O938" s="317" t="str">
        <f t="shared" si="955"/>
        <v>14:00</v>
      </c>
      <c r="P938" s="317" t="str">
        <f t="shared" si="955"/>
        <v>15:30</v>
      </c>
      <c r="Q938" s="318">
        <f t="shared" si="948"/>
        <v>46120.38542</v>
      </c>
      <c r="R938" s="318">
        <f t="shared" si="949"/>
        <v>46120.58333</v>
      </c>
      <c r="S938" s="318">
        <f t="shared" si="8"/>
        <v>46120.64583</v>
      </c>
    </row>
    <row r="939">
      <c r="A939" s="14" t="str">
        <f t="shared" si="1"/>
        <v>C150746120</v>
      </c>
      <c r="B939" s="185">
        <f t="array" ref="B939">IF(F939="VL","",IF(F939="Free","Free",XLOOKUP(D939,Roster!T:T,Roster!S:S,"",0)))</f>
        <v>125</v>
      </c>
      <c r="C939" s="313">
        <v>46120.0</v>
      </c>
      <c r="D939" s="314" t="s">
        <v>67</v>
      </c>
      <c r="E939" s="307" t="str">
        <f t="array" ref="E939">(XLOOKUP(D939,Roster!F:F,Roster!B:B,"",0))</f>
        <v>Nicols Quinones</v>
      </c>
      <c r="F939" s="315" t="str">
        <f t="array" ref="F939">IF(B939=100,"Free",TEXT(XLOOKUP($D939,OperationVoice!$A:$A,OperationVoice!N:N,XLOOKUP($D939,OperationTickets!$A:$A,OperationTickets!N:N,"",0)),"hh:mm"))</f>
        <v>08:00</v>
      </c>
      <c r="G939" s="309">
        <f t="shared" si="3"/>
        <v>0.7083333333</v>
      </c>
      <c r="H939" s="316" t="str">
        <f t="array" ref="H939">XLOOKUP(B939,Roster!L:L,Roster!N:N,XLOOKUP(D939,TicketsBreak!A:A,TicketsBreak!E:E,"",0),0)</f>
        <v>10:30 - 10:45</v>
      </c>
      <c r="I939" s="316" t="str">
        <f t="array" ref="I939">XLOOKUP(B939,Roster!L:L,Roster!O:O,XLOOKUP(D939,TicketsBreak!A:A,TicketsBreak!F:F,"",0),0)</f>
        <v>13:30 - 14:00</v>
      </c>
      <c r="J939" s="316" t="str">
        <f t="array" ref="J939">XLOOKUP(B939,Roster!L:L,Roster!P:P,XLOOKUP(D939,TicketsBreak!A:A,TicketsBreak!G:G,"",0),0)</f>
        <v>15:45 - 16:00</v>
      </c>
      <c r="K939" s="310">
        <f t="shared" si="4"/>
        <v>46120</v>
      </c>
      <c r="L939" s="317">
        <f t="array" ref="L939">(XLOOKUP(D939,Roster!F:F,Roster!D:D,"",0))</f>
        <v>35</v>
      </c>
      <c r="M939" s="317" t="str">
        <f t="array" ref="M939">XLOOKUP(D939,Roster!F:F,Roster!E:E)</f>
        <v>Voice</v>
      </c>
      <c r="N939" s="317" t="str">
        <f t="shared" ref="N939:P939" si="956">LEFT(H939,5)</f>
        <v>10:30</v>
      </c>
      <c r="O939" s="317" t="str">
        <f t="shared" si="956"/>
        <v>13:30</v>
      </c>
      <c r="P939" s="317" t="str">
        <f t="shared" si="956"/>
        <v>15:45</v>
      </c>
      <c r="Q939" s="318">
        <f t="shared" si="948"/>
        <v>46120.4375</v>
      </c>
      <c r="R939" s="318">
        <f t="shared" si="949"/>
        <v>46120.5625</v>
      </c>
      <c r="S939" s="318">
        <f t="shared" si="8"/>
        <v>46120.65625</v>
      </c>
    </row>
    <row r="940">
      <c r="A940" s="14" t="str">
        <f t="shared" si="1"/>
        <v>C71446120</v>
      </c>
      <c r="B940" s="185" t="str">
        <f t="array" ref="B940">IF(F940="VL","",IF(F940="Free","Free",XLOOKUP(D940,Roster!T:T,Roster!S:S,"",0)))</f>
        <v/>
      </c>
      <c r="C940" s="313">
        <v>46120.0</v>
      </c>
      <c r="D940" s="314" t="s">
        <v>149</v>
      </c>
      <c r="E940" s="307" t="str">
        <f t="array" ref="E940">(XLOOKUP(D940,Roster!F:F,Roster!B:B,"",0))</f>
        <v>Onel Olivera</v>
      </c>
      <c r="F940" s="315" t="str">
        <f t="array" ref="F940">IF(B940=100,"Free",TEXT(XLOOKUP($D940,OperationVoice!$A:$A,OperationVoice!N:N,XLOOKUP($D940,OperationTickets!$A:$A,OperationTickets!N:N,"",0)),"hh:mm"))</f>
        <v>08:00</v>
      </c>
      <c r="G940" s="309">
        <f t="shared" si="3"/>
        <v>0.7083333333</v>
      </c>
      <c r="H940" s="316">
        <f t="array" ref="H940">XLOOKUP(B940,Roster!L:L,Roster!N:N,XLOOKUP(D940,TicketsBreak!A:A,TicketsBreak!E:E,"",0),0)</f>
        <v>0.4166666667</v>
      </c>
      <c r="I940" s="316">
        <f t="array" ref="I940">XLOOKUP(B940,Roster!L:L,Roster!O:O,XLOOKUP(D940,TicketsBreak!A:A,TicketsBreak!F:F,"",0),0)</f>
        <v>0.5</v>
      </c>
      <c r="J940" s="316">
        <f t="array" ref="J940">XLOOKUP(B940,Roster!L:L,Roster!P:P,XLOOKUP(D940,TicketsBreak!A:A,TicketsBreak!G:G,"",0),0)</f>
        <v>0.625</v>
      </c>
      <c r="K940" s="310">
        <f t="shared" si="4"/>
        <v>46120</v>
      </c>
      <c r="L940" s="317">
        <f t="array" ref="L940">(XLOOKUP(D940,Roster!F:F,Roster!D:D,"",0))</f>
        <v>1</v>
      </c>
      <c r="M940" s="317" t="str">
        <f t="array" ref="M940">XLOOKUP(D940,Roster!F:F,Roster!E:E)</f>
        <v>Tickets</v>
      </c>
      <c r="N940" s="317" t="str">
        <f t="shared" ref="N940:P940" si="957">LEFT(H940,5)</f>
        <v>10:00</v>
      </c>
      <c r="O940" s="317" t="str">
        <f t="shared" si="957"/>
        <v>12:00</v>
      </c>
      <c r="P940" s="317" t="str">
        <f t="shared" si="957"/>
        <v>15:00</v>
      </c>
      <c r="Q940" s="318">
        <f t="shared" si="948"/>
        <v>46120.41667</v>
      </c>
      <c r="R940" s="318">
        <f t="shared" si="949"/>
        <v>46120.5</v>
      </c>
      <c r="S940" s="318">
        <f t="shared" si="8"/>
        <v>46120.625</v>
      </c>
    </row>
    <row r="941">
      <c r="A941" s="14" t="str">
        <f t="shared" si="1"/>
        <v>C116446120</v>
      </c>
      <c r="B941" s="185" t="str">
        <f t="array" ref="B941">IF(F941="VL","",IF(F941="Free","Free",XLOOKUP(D941,Roster!T:T,Roster!S:S,"",0)))</f>
        <v/>
      </c>
      <c r="C941" s="313">
        <v>46120.0</v>
      </c>
      <c r="D941" s="314" t="s">
        <v>179</v>
      </c>
      <c r="E941" s="307" t="str">
        <f t="array" ref="E941">(XLOOKUP(D941,Roster!F:F,Roster!B:B,"",0))</f>
        <v>Oscar Florez</v>
      </c>
      <c r="F941" s="315" t="str">
        <f t="array" ref="F941">IF(B941=100,"Free",TEXT(XLOOKUP($D941,OperationVoice!$A:$A,OperationVoice!N:N,XLOOKUP($D941,OperationTickets!$A:$A,OperationTickets!N:N,"",0)),"hh:mm"))</f>
        <v>08:00</v>
      </c>
      <c r="G941" s="309">
        <f t="shared" si="3"/>
        <v>0.7083333333</v>
      </c>
      <c r="H941" s="316" t="str">
        <f t="array" ref="H941">XLOOKUP(B941,Roster!L:L,Roster!N:N,XLOOKUP(D941,TicketsBreak!A:A,TicketsBreak!E:E,"",0),0)</f>
        <v/>
      </c>
      <c r="I941" s="316" t="str">
        <f t="array" ref="I941">XLOOKUP(B941,Roster!L:L,Roster!O:O,XLOOKUP(D941,TicketsBreak!A:A,TicketsBreak!F:F,"",0),0)</f>
        <v/>
      </c>
      <c r="J941" s="316" t="str">
        <f t="array" ref="J941">XLOOKUP(B941,Roster!L:L,Roster!P:P,XLOOKUP(D941,TicketsBreak!A:A,TicketsBreak!G:G,"",0),0)</f>
        <v/>
      </c>
      <c r="K941" s="310">
        <f t="shared" si="4"/>
        <v>46120</v>
      </c>
      <c r="L941" s="317">
        <f t="array" ref="L941">(XLOOKUP(D941,Roster!F:F,Roster!D:D,"",0))</f>
        <v>24</v>
      </c>
      <c r="M941" s="317" t="str">
        <f t="array" ref="M941">XLOOKUP(D941,Roster!F:F,Roster!E:E)</f>
        <v>Tickets</v>
      </c>
      <c r="N941" s="317" t="str">
        <f t="shared" ref="N941:P941" si="958">LEFT(H941,5)</f>
        <v/>
      </c>
      <c r="O941" s="317" t="str">
        <f t="shared" si="958"/>
        <v/>
      </c>
      <c r="P941" s="317" t="str">
        <f t="shared" si="958"/>
        <v/>
      </c>
      <c r="Q941" s="318" t="str">
        <f t="shared" si="948"/>
        <v/>
      </c>
      <c r="R941" s="318" t="str">
        <f t="shared" si="949"/>
        <v/>
      </c>
      <c r="S941" s="318" t="str">
        <f t="shared" si="8"/>
        <v/>
      </c>
    </row>
    <row r="942">
      <c r="A942" s="14" t="str">
        <f t="shared" si="1"/>
        <v>C153846120</v>
      </c>
      <c r="B942" s="185">
        <f t="array" ref="B942">IF(F942="VL","",IF(F942="Free","Free",XLOOKUP(D942,Roster!T:T,Roster!S:S,"",0)))</f>
        <v>151</v>
      </c>
      <c r="C942" s="313">
        <v>46120.0</v>
      </c>
      <c r="D942" s="314" t="s">
        <v>68</v>
      </c>
      <c r="E942" s="307" t="str">
        <f t="array" ref="E942">(XLOOKUP(D942,Roster!F:F,Roster!B:B,"",0))</f>
        <v>Oscar Roldan</v>
      </c>
      <c r="F942" s="315" t="str">
        <f t="array" ref="F942">IF(B942=100,"Free",TEXT(XLOOKUP($D942,OperationVoice!$A:$A,OperationVoice!N:N,XLOOKUP($D942,OperationTickets!$A:$A,OperationTickets!N:N,"",0)),"hh:mm"))</f>
        <v>11:00</v>
      </c>
      <c r="G942" s="309">
        <f t="shared" si="3"/>
        <v>0.8333333333</v>
      </c>
      <c r="H942" s="316" t="str">
        <f t="array" ref="H942">XLOOKUP(B942,Roster!L:L,Roster!N:N,XLOOKUP(D942,TicketsBreak!A:A,TicketsBreak!E:E,"",0),0)</f>
        <v>12:15 - 12:30</v>
      </c>
      <c r="I942" s="316" t="str">
        <f t="array" ref="I942">XLOOKUP(B942,Roster!L:L,Roster!O:O,XLOOKUP(D942,TicketsBreak!A:A,TicketsBreak!F:F,"",0),0)</f>
        <v>14:00 - 14:30</v>
      </c>
      <c r="J942" s="316" t="str">
        <f t="array" ref="J942">XLOOKUP(B942,Roster!L:L,Roster!P:P,XLOOKUP(D942,TicketsBreak!A:A,TicketsBreak!G:G,"",0),0)</f>
        <v>17:15 - 17:30</v>
      </c>
      <c r="K942" s="310">
        <f t="shared" si="4"/>
        <v>46120</v>
      </c>
      <c r="L942" s="317">
        <f t="array" ref="L942">(XLOOKUP(D942,Roster!F:F,Roster!D:D,"",0))</f>
        <v>36</v>
      </c>
      <c r="M942" s="317" t="str">
        <f t="array" ref="M942">XLOOKUP(D942,Roster!F:F,Roster!E:E)</f>
        <v>Voice</v>
      </c>
      <c r="N942" s="317" t="str">
        <f t="shared" ref="N942:P942" si="959">LEFT(H942,5)</f>
        <v>12:15</v>
      </c>
      <c r="O942" s="317" t="str">
        <f t="shared" si="959"/>
        <v>14:00</v>
      </c>
      <c r="P942" s="317" t="str">
        <f t="shared" si="959"/>
        <v>17:15</v>
      </c>
      <c r="Q942" s="318">
        <f t="shared" si="948"/>
        <v>46120.51042</v>
      </c>
      <c r="R942" s="318">
        <f t="shared" si="949"/>
        <v>46120.58333</v>
      </c>
      <c r="S942" s="318">
        <f t="shared" si="8"/>
        <v>46120.71875</v>
      </c>
    </row>
    <row r="943">
      <c r="A943" s="14" t="str">
        <f t="shared" si="1"/>
        <v>C151146120</v>
      </c>
      <c r="B943" s="185" t="str">
        <f t="array" ref="B943">IF(F943="VL","",IF(F943="Free","Free",XLOOKUP(D943,Roster!T:T,Roster!S:S,"",0)))</f>
        <v>Free</v>
      </c>
      <c r="C943" s="313">
        <v>46120.0</v>
      </c>
      <c r="D943" s="314" t="s">
        <v>69</v>
      </c>
      <c r="E943" s="307" t="str">
        <f t="array" ref="E943">(XLOOKUP(D943,Roster!F:F,Roster!B:B,"",0))</f>
        <v>Salma Giraldo</v>
      </c>
      <c r="F943" s="315" t="str">
        <f t="array" ref="F943">IF(B943=100,"Free",TEXT(XLOOKUP($D943,OperationVoice!$A:$A,OperationVoice!N:N,XLOOKUP($D943,OperationTickets!$A:$A,OperationTickets!N:N,"",0)),"hh:mm"))</f>
        <v>Free</v>
      </c>
      <c r="G943" s="309" t="str">
        <f t="shared" si="3"/>
        <v>Free</v>
      </c>
      <c r="H943" s="316" t="str">
        <f t="array" ref="H943">XLOOKUP(B943,Roster!L:L,Roster!N:N,XLOOKUP(D943,TicketsBreak!A:A,TicketsBreak!E:E,"",0),0)</f>
        <v/>
      </c>
      <c r="I943" s="316" t="str">
        <f t="array" ref="I943">XLOOKUP(B943,Roster!L:L,Roster!O:O,XLOOKUP(D943,TicketsBreak!A:A,TicketsBreak!F:F,"",0),0)</f>
        <v/>
      </c>
      <c r="J943" s="316" t="str">
        <f t="array" ref="J943">XLOOKUP(B943,Roster!L:L,Roster!P:P,XLOOKUP(D943,TicketsBreak!A:A,TicketsBreak!G:G,"",0),0)</f>
        <v/>
      </c>
      <c r="K943" s="310">
        <f t="shared" si="4"/>
        <v>46120</v>
      </c>
      <c r="L943" s="317">
        <f t="array" ref="L943">(XLOOKUP(D943,Roster!F:F,Roster!D:D,"",0))</f>
        <v>35</v>
      </c>
      <c r="M943" s="317" t="str">
        <f t="array" ref="M943">XLOOKUP(D943,Roster!F:F,Roster!E:E)</f>
        <v>Voice</v>
      </c>
      <c r="N943" s="317" t="str">
        <f t="shared" ref="N943:P943" si="960">LEFT(H943,5)</f>
        <v/>
      </c>
      <c r="O943" s="317" t="str">
        <f t="shared" si="960"/>
        <v/>
      </c>
      <c r="P943" s="317" t="str">
        <f t="shared" si="960"/>
        <v/>
      </c>
      <c r="Q943" s="318" t="str">
        <f t="shared" si="948"/>
        <v/>
      </c>
      <c r="R943" s="318" t="str">
        <f t="shared" si="949"/>
        <v/>
      </c>
      <c r="S943" s="318" t="str">
        <f t="shared" si="8"/>
        <v/>
      </c>
    </row>
    <row r="944">
      <c r="A944" s="14" t="str">
        <f t="shared" si="1"/>
        <v>C93346120</v>
      </c>
      <c r="B944" s="185">
        <f t="array" ref="B944">IF(F944="VL","",IF(F944="Free","Free",XLOOKUP(D944,Roster!T:T,Roster!S:S,"",0)))</f>
        <v>124</v>
      </c>
      <c r="C944" s="313">
        <v>46120.0</v>
      </c>
      <c r="D944" s="314" t="s">
        <v>70</v>
      </c>
      <c r="E944" s="307" t="str">
        <f t="array" ref="E944">(XLOOKUP(D944,Roster!F:F,Roster!B:B,"",0))</f>
        <v>Salome Arias</v>
      </c>
      <c r="F944" s="315" t="str">
        <f t="array" ref="F944">IF(B944=100,"Free",TEXT(XLOOKUP($D944,OperationVoice!$A:$A,OperationVoice!N:N,XLOOKUP($D944,OperationTickets!$A:$A,OperationTickets!N:N,"",0)),"hh:mm"))</f>
        <v>08:00</v>
      </c>
      <c r="G944" s="309">
        <f t="shared" si="3"/>
        <v>0.7083333333</v>
      </c>
      <c r="H944" s="316" t="str">
        <f t="array" ref="H944">XLOOKUP(B944,Roster!L:L,Roster!N:N,XLOOKUP(D944,TicketsBreak!A:A,TicketsBreak!E:E,"",0),0)</f>
        <v>10:00 - 10:15</v>
      </c>
      <c r="I944" s="316" t="str">
        <f t="array" ref="I944">XLOOKUP(B944,Roster!L:L,Roster!O:O,XLOOKUP(D944,TicketsBreak!A:A,TicketsBreak!F:F,"",0),0)</f>
        <v>13:00 - 13:30</v>
      </c>
      <c r="J944" s="316" t="str">
        <f t="array" ref="J944">XLOOKUP(B944,Roster!L:L,Roster!P:P,XLOOKUP(D944,TicketsBreak!A:A,TicketsBreak!G:G,"",0),0)</f>
        <v>15:30 - 15:45</v>
      </c>
      <c r="K944" s="310">
        <f t="shared" si="4"/>
        <v>46120</v>
      </c>
      <c r="L944" s="317">
        <f t="array" ref="L944">(XLOOKUP(D944,Roster!F:F,Roster!D:D,"",0))</f>
        <v>12</v>
      </c>
      <c r="M944" s="317" t="str">
        <f t="array" ref="M944">XLOOKUP(D944,Roster!F:F,Roster!E:E)</f>
        <v>Voice</v>
      </c>
      <c r="N944" s="317" t="str">
        <f t="shared" ref="N944:P944" si="961">LEFT(H944,5)</f>
        <v>10:00</v>
      </c>
      <c r="O944" s="317" t="str">
        <f t="shared" si="961"/>
        <v>13:00</v>
      </c>
      <c r="P944" s="317" t="str">
        <f t="shared" si="961"/>
        <v>15:30</v>
      </c>
      <c r="Q944" s="318">
        <f t="shared" si="948"/>
        <v>46120.41667</v>
      </c>
      <c r="R944" s="318">
        <f t="shared" si="949"/>
        <v>46120.54167</v>
      </c>
      <c r="S944" s="318">
        <f t="shared" si="8"/>
        <v>46120.64583</v>
      </c>
    </row>
    <row r="945">
      <c r="A945" s="14" t="str">
        <f t="shared" si="1"/>
        <v>C128246120</v>
      </c>
      <c r="B945" s="185" t="str">
        <f t="array" ref="B945">IF(F945="VL","",IF(F945="Free","Free",XLOOKUP(D945,Roster!T:T,Roster!S:S,"",0)))</f>
        <v/>
      </c>
      <c r="C945" s="313">
        <v>46120.0</v>
      </c>
      <c r="D945" s="314" t="s">
        <v>168</v>
      </c>
      <c r="E945" s="307" t="str">
        <f t="array" ref="E945">(XLOOKUP(D945,Roster!F:F,Roster!B:B,"",0))</f>
        <v>Samuel Acevedo</v>
      </c>
      <c r="F945" s="315" t="str">
        <f t="array" ref="F945">IF(B945=100,"Free",TEXT(XLOOKUP($D945,OperationVoice!$A:$A,OperationVoice!N:N,XLOOKUP($D945,OperationTickets!$A:$A,OperationTickets!N:N,"",0)),"hh:mm"))</f>
        <v>08:00</v>
      </c>
      <c r="G945" s="309">
        <f t="shared" si="3"/>
        <v>0.7083333333</v>
      </c>
      <c r="H945" s="316" t="str">
        <f t="array" ref="H945">XLOOKUP(B945,Roster!L:L,Roster!N:N,XLOOKUP(D945,TicketsBreak!A:A,TicketsBreak!E:E,"",0),0)</f>
        <v/>
      </c>
      <c r="I945" s="316" t="str">
        <f t="array" ref="I945">XLOOKUP(B945,Roster!L:L,Roster!O:O,XLOOKUP(D945,TicketsBreak!A:A,TicketsBreak!F:F,"",0),0)</f>
        <v/>
      </c>
      <c r="J945" s="316" t="str">
        <f t="array" ref="J945">XLOOKUP(B945,Roster!L:L,Roster!P:P,XLOOKUP(D945,TicketsBreak!A:A,TicketsBreak!G:G,"",0),0)</f>
        <v/>
      </c>
      <c r="K945" s="310">
        <f t="shared" si="4"/>
        <v>46120</v>
      </c>
      <c r="L945" s="317">
        <f t="array" ref="L945">(XLOOKUP(D945,Roster!F:F,Roster!D:D,"",0))</f>
        <v>27</v>
      </c>
      <c r="M945" s="317" t="str">
        <f t="array" ref="M945">XLOOKUP(D945,Roster!F:F,Roster!E:E)</f>
        <v>Tickets</v>
      </c>
      <c r="N945" s="317" t="str">
        <f t="shared" ref="N945:P945" si="962">LEFT(H945,5)</f>
        <v/>
      </c>
      <c r="O945" s="317" t="str">
        <f t="shared" si="962"/>
        <v/>
      </c>
      <c r="P945" s="317" t="str">
        <f t="shared" si="962"/>
        <v/>
      </c>
      <c r="Q945" s="318" t="str">
        <f t="shared" si="948"/>
        <v/>
      </c>
      <c r="R945" s="318" t="str">
        <f t="shared" si="949"/>
        <v/>
      </c>
      <c r="S945" s="318" t="str">
        <f t="shared" si="8"/>
        <v/>
      </c>
    </row>
    <row r="946">
      <c r="A946" s="14" t="str">
        <f t="shared" si="1"/>
        <v>C156446120</v>
      </c>
      <c r="B946" s="185">
        <f t="array" ref="B946">IF(F946="VL","",IF(F946="Free","Free",XLOOKUP(D946,Roster!T:T,Roster!S:S,"",0)))</f>
        <v>121</v>
      </c>
      <c r="C946" s="313">
        <v>46120.0</v>
      </c>
      <c r="D946" s="314" t="s">
        <v>71</v>
      </c>
      <c r="E946" s="307" t="str">
        <f t="array" ref="E946">(XLOOKUP(D946,Roster!F:F,Roster!B:B,"",0))</f>
        <v>Samuel Acevedo Cadavid</v>
      </c>
      <c r="F946" s="315" t="str">
        <f t="array" ref="F946">IF(B946=100,"Free",TEXT(XLOOKUP($D946,OperationVoice!$A:$A,OperationVoice!N:N,XLOOKUP($D946,OperationTickets!$A:$A,OperationTickets!N:N,"",0)),"hh:mm"))</f>
        <v>11:00</v>
      </c>
      <c r="G946" s="309">
        <f t="shared" si="3"/>
        <v>0.8333333333</v>
      </c>
      <c r="H946" s="316" t="str">
        <f t="array" ref="H946">XLOOKUP(B946,Roster!L:L,Roster!N:N,XLOOKUP(D946,TicketsBreak!A:A,TicketsBreak!E:E,"",0),0)</f>
        <v>09:15 - 09:30</v>
      </c>
      <c r="I946" s="316" t="str">
        <f t="array" ref="I946">XLOOKUP(B946,Roster!L:L,Roster!O:O,XLOOKUP(D946,TicketsBreak!A:A,TicketsBreak!F:F,"",0),0)</f>
        <v>11:30 - 12:00</v>
      </c>
      <c r="J946" s="316" t="str">
        <f t="array" ref="J946">XLOOKUP(B946,Roster!L:L,Roster!P:P,XLOOKUP(D946,TicketsBreak!A:A,TicketsBreak!G:G,"",0),0)</f>
        <v>14:30 - 14:45</v>
      </c>
      <c r="K946" s="310">
        <f t="shared" si="4"/>
        <v>46120</v>
      </c>
      <c r="L946" s="317">
        <f t="array" ref="L946">(XLOOKUP(D946,Roster!F:F,Roster!D:D,"",0))</f>
        <v>38</v>
      </c>
      <c r="M946" s="317" t="str">
        <f t="array" ref="M946">XLOOKUP(D946,Roster!F:F,Roster!E:E)</f>
        <v>Voice</v>
      </c>
      <c r="N946" s="317" t="str">
        <f t="shared" ref="N946:P946" si="963">LEFT(H946,5)</f>
        <v>09:15</v>
      </c>
      <c r="O946" s="317" t="str">
        <f t="shared" si="963"/>
        <v>11:30</v>
      </c>
      <c r="P946" s="317" t="str">
        <f t="shared" si="963"/>
        <v>14:30</v>
      </c>
      <c r="Q946" s="318">
        <f t="shared" si="948"/>
        <v>46120.38542</v>
      </c>
      <c r="R946" s="318">
        <f t="shared" si="949"/>
        <v>46120.47917</v>
      </c>
      <c r="S946" s="318">
        <f t="shared" si="8"/>
        <v>46120.60417</v>
      </c>
    </row>
    <row r="947">
      <c r="A947" s="14" t="str">
        <f t="shared" si="1"/>
        <v>C116846120</v>
      </c>
      <c r="B947" s="185">
        <f t="array" ref="B947">IF(F947="VL","",IF(F947="Free","Free",XLOOKUP(D947,Roster!T:T,Roster!S:S,"",0)))</f>
        <v>125</v>
      </c>
      <c r="C947" s="313">
        <v>46120.0</v>
      </c>
      <c r="D947" s="314" t="s">
        <v>180</v>
      </c>
      <c r="E947" s="307" t="str">
        <f t="array" ref="E947">(XLOOKUP(D947,Roster!F:F,Roster!B:B,"",0))</f>
        <v>Santiago Gaviria</v>
      </c>
      <c r="F947" s="315" t="str">
        <f t="array" ref="F947">IF(B947=100,"Free",TEXT(XLOOKUP($D947,OperationVoice!$A:$A,OperationVoice!N:N,XLOOKUP($D947,OperationTickets!$A:$A,OperationTickets!N:N,"",0)),"hh:mm"))</f>
        <v>08:00</v>
      </c>
      <c r="G947" s="309">
        <f t="shared" si="3"/>
        <v>0.7083333333</v>
      </c>
      <c r="H947" s="316" t="str">
        <f t="array" ref="H947">XLOOKUP(B947,Roster!L:L,Roster!N:N,XLOOKUP(D947,TicketsBreak!A:A,TicketsBreak!E:E,"",0),0)</f>
        <v>10:30 - 10:45</v>
      </c>
      <c r="I947" s="316" t="str">
        <f t="array" ref="I947">XLOOKUP(B947,Roster!L:L,Roster!O:O,XLOOKUP(D947,TicketsBreak!A:A,TicketsBreak!F:F,"",0),0)</f>
        <v>13:30 - 14:00</v>
      </c>
      <c r="J947" s="316" t="str">
        <f t="array" ref="J947">XLOOKUP(B947,Roster!L:L,Roster!P:P,XLOOKUP(D947,TicketsBreak!A:A,TicketsBreak!G:G,"",0),0)</f>
        <v>15:45 - 16:00</v>
      </c>
      <c r="K947" s="310">
        <f t="shared" si="4"/>
        <v>46120</v>
      </c>
      <c r="L947" s="317">
        <f t="array" ref="L947">(XLOOKUP(D947,Roster!F:F,Roster!D:D,"",0))</f>
        <v>24</v>
      </c>
      <c r="M947" s="317" t="str">
        <f t="array" ref="M947">XLOOKUP(D947,Roster!F:F,Roster!E:E)</f>
        <v>Tickets</v>
      </c>
      <c r="N947" s="317" t="str">
        <f t="shared" ref="N947:P947" si="964">LEFT(H947,5)</f>
        <v>10:30</v>
      </c>
      <c r="O947" s="317" t="str">
        <f t="shared" si="964"/>
        <v>13:30</v>
      </c>
      <c r="P947" s="317" t="str">
        <f t="shared" si="964"/>
        <v>15:45</v>
      </c>
      <c r="Q947" s="318">
        <f t="shared" si="948"/>
        <v>46120.4375</v>
      </c>
      <c r="R947" s="318">
        <f t="shared" si="949"/>
        <v>46120.5625</v>
      </c>
      <c r="S947" s="318">
        <f t="shared" si="8"/>
        <v>46120.65625</v>
      </c>
    </row>
    <row r="948">
      <c r="A948" s="14" t="str">
        <f t="shared" si="1"/>
        <v>C122046120</v>
      </c>
      <c r="B948" s="185" t="str">
        <f t="array" ref="B948">IF(F948="VL","",IF(F948="Free","Free",XLOOKUP(D948,Roster!T:T,Roster!S:S,"",0)))</f>
        <v>Free</v>
      </c>
      <c r="C948" s="313">
        <v>46120.0</v>
      </c>
      <c r="D948" s="314" t="s">
        <v>181</v>
      </c>
      <c r="E948" s="307" t="str">
        <f t="array" ref="E948">(XLOOKUP(D948,Roster!F:F,Roster!B:B,"",0))</f>
        <v>Santiago Gonzalez</v>
      </c>
      <c r="F948" s="315" t="str">
        <f t="array" ref="F948">IF(B948=100,"Free",TEXT(XLOOKUP($D948,OperationVoice!$A:$A,OperationVoice!N:N,XLOOKUP($D948,OperationTickets!$A:$A,OperationTickets!N:N,"",0)),"hh:mm"))</f>
        <v>Free</v>
      </c>
      <c r="G948" s="309" t="str">
        <f t="shared" si="3"/>
        <v>Free</v>
      </c>
      <c r="H948" s="316" t="str">
        <f t="array" ref="H948">XLOOKUP(B948,Roster!L:L,Roster!N:N,XLOOKUP(D948,TicketsBreak!A:A,TicketsBreak!E:E,"",0),0)</f>
        <v/>
      </c>
      <c r="I948" s="316" t="str">
        <f t="array" ref="I948">XLOOKUP(B948,Roster!L:L,Roster!O:O,XLOOKUP(D948,TicketsBreak!A:A,TicketsBreak!F:F,"",0),0)</f>
        <v/>
      </c>
      <c r="J948" s="316" t="str">
        <f t="array" ref="J948">XLOOKUP(B948,Roster!L:L,Roster!P:P,XLOOKUP(D948,TicketsBreak!A:A,TicketsBreak!G:G,"",0),0)</f>
        <v/>
      </c>
      <c r="K948" s="310">
        <f t="shared" si="4"/>
        <v>46120</v>
      </c>
      <c r="L948" s="317">
        <f t="array" ref="L948">(XLOOKUP(D948,Roster!F:F,Roster!D:D,"",0))</f>
        <v>26</v>
      </c>
      <c r="M948" s="317" t="str">
        <f t="array" ref="M948">XLOOKUP(D948,Roster!F:F,Roster!E:E)</f>
        <v>Tickets</v>
      </c>
      <c r="N948" s="317" t="str">
        <f t="shared" ref="N948:P948" si="965">LEFT(H948,5)</f>
        <v/>
      </c>
      <c r="O948" s="317" t="str">
        <f t="shared" si="965"/>
        <v/>
      </c>
      <c r="P948" s="317" t="str">
        <f t="shared" si="965"/>
        <v/>
      </c>
      <c r="Q948" s="318" t="str">
        <f t="shared" si="948"/>
        <v/>
      </c>
      <c r="R948" s="318" t="str">
        <f t="shared" si="949"/>
        <v/>
      </c>
      <c r="S948" s="318" t="str">
        <f t="shared" si="8"/>
        <v/>
      </c>
    </row>
    <row r="949">
      <c r="A949" s="14" t="str">
        <f t="shared" si="1"/>
        <v>C140646120</v>
      </c>
      <c r="B949" s="185">
        <f t="array" ref="B949">IF(F949="VL","",IF(F949="Free","Free",XLOOKUP(D949,Roster!T:T,Roster!S:S,"",0)))</f>
        <v>152</v>
      </c>
      <c r="C949" s="313">
        <v>46120.0</v>
      </c>
      <c r="D949" s="314" t="s">
        <v>72</v>
      </c>
      <c r="E949" s="307" t="str">
        <f t="array" ref="E949">(XLOOKUP(D949,Roster!F:F,Roster!B:B,"",0))</f>
        <v>Santiago Mora</v>
      </c>
      <c r="F949" s="315" t="str">
        <f t="array" ref="F949">IF(B949=100,"Free",TEXT(XLOOKUP($D949,OperationVoice!$A:$A,OperationVoice!N:N,XLOOKUP($D949,OperationTickets!$A:$A,OperationTickets!N:N,"",0)),"hh:mm"))</f>
        <v>11:00</v>
      </c>
      <c r="G949" s="309">
        <f t="shared" si="3"/>
        <v>0.8333333333</v>
      </c>
      <c r="H949" s="316" t="str">
        <f t="array" ref="H949">XLOOKUP(B949,Roster!L:L,Roster!N:N,XLOOKUP(D949,TicketsBreak!A:A,TicketsBreak!E:E,"",0),0)</f>
        <v>12:30 - 12:45</v>
      </c>
      <c r="I949" s="316" t="str">
        <f t="array" ref="I949">XLOOKUP(B949,Roster!L:L,Roster!O:O,XLOOKUP(D949,TicketsBreak!A:A,TicketsBreak!F:F,"",0),0)</f>
        <v>14:30 - 15:00</v>
      </c>
      <c r="J949" s="316" t="str">
        <f t="array" ref="J949">XLOOKUP(B949,Roster!L:L,Roster!P:P,XLOOKUP(D949,TicketsBreak!A:A,TicketsBreak!G:G,"",0),0)</f>
        <v>17:30 - 17:45</v>
      </c>
      <c r="K949" s="310">
        <f t="shared" si="4"/>
        <v>46120</v>
      </c>
      <c r="L949" s="317">
        <f t="array" ref="L949">(XLOOKUP(D949,Roster!F:F,Roster!D:D,"",0))</f>
        <v>35</v>
      </c>
      <c r="M949" s="317" t="str">
        <f t="array" ref="M949">XLOOKUP(D949,Roster!F:F,Roster!E:E)</f>
        <v>Voice</v>
      </c>
      <c r="N949" s="317" t="str">
        <f t="shared" ref="N949:P949" si="966">LEFT(H949,5)</f>
        <v>12:30</v>
      </c>
      <c r="O949" s="317" t="str">
        <f t="shared" si="966"/>
        <v>14:30</v>
      </c>
      <c r="P949" s="317" t="str">
        <f t="shared" si="966"/>
        <v>17:30</v>
      </c>
      <c r="Q949" s="318">
        <f t="shared" si="948"/>
        <v>46120.52083</v>
      </c>
      <c r="R949" s="318">
        <f t="shared" si="949"/>
        <v>46120.60417</v>
      </c>
      <c r="S949" s="318">
        <f t="shared" si="8"/>
        <v>46120.72917</v>
      </c>
    </row>
    <row r="950">
      <c r="A950" s="14" t="str">
        <f t="shared" si="1"/>
        <v>C119946120</v>
      </c>
      <c r="B950" s="185" t="str">
        <f t="array" ref="B950">IF(F950="VL","",IF(F950="Free","Free",XLOOKUP(D950,Roster!T:T,Roster!S:S,"",0)))</f>
        <v/>
      </c>
      <c r="C950" s="313">
        <v>46120.0</v>
      </c>
      <c r="D950" s="314" t="s">
        <v>182</v>
      </c>
      <c r="E950" s="307" t="str">
        <f t="array" ref="E950">(XLOOKUP(D950,Roster!F:F,Roster!B:B,"",0))</f>
        <v>Santiago Velasquez</v>
      </c>
      <c r="F950" s="315" t="str">
        <f t="array" ref="F950">IF(B950=100,"Free",TEXT(XLOOKUP($D950,OperationVoice!$A:$A,OperationVoice!N:N,XLOOKUP($D950,OperationTickets!$A:$A,OperationTickets!N:N,"",0)),"hh:mm"))</f>
        <v>08:00</v>
      </c>
      <c r="G950" s="309">
        <f t="shared" si="3"/>
        <v>0.7083333333</v>
      </c>
      <c r="H950" s="316" t="str">
        <f t="array" ref="H950">XLOOKUP(B950,Roster!L:L,Roster!N:N,XLOOKUP(D950,TicketsBreak!A:A,TicketsBreak!E:E,"",0),0)</f>
        <v/>
      </c>
      <c r="I950" s="316" t="str">
        <f t="array" ref="I950">XLOOKUP(B950,Roster!L:L,Roster!O:O,XLOOKUP(D950,TicketsBreak!A:A,TicketsBreak!F:F,"",0),0)</f>
        <v/>
      </c>
      <c r="J950" s="316" t="str">
        <f t="array" ref="J950">XLOOKUP(B950,Roster!L:L,Roster!P:P,XLOOKUP(D950,TicketsBreak!A:A,TicketsBreak!G:G,"",0),0)</f>
        <v/>
      </c>
      <c r="K950" s="310">
        <f t="shared" si="4"/>
        <v>46120</v>
      </c>
      <c r="L950" s="317">
        <f t="array" ref="L950">(XLOOKUP(D950,Roster!F:F,Roster!D:D,"",0))</f>
        <v>25</v>
      </c>
      <c r="M950" s="317" t="str">
        <f t="array" ref="M950">XLOOKUP(D950,Roster!F:F,Roster!E:E)</f>
        <v>Tickets</v>
      </c>
      <c r="N950" s="317" t="str">
        <f t="shared" ref="N950:P950" si="967">LEFT(H950,5)</f>
        <v/>
      </c>
      <c r="O950" s="317" t="str">
        <f t="shared" si="967"/>
        <v/>
      </c>
      <c r="P950" s="317" t="str">
        <f t="shared" si="967"/>
        <v/>
      </c>
      <c r="Q950" s="318" t="str">
        <f t="shared" si="948"/>
        <v/>
      </c>
      <c r="R950" s="318" t="str">
        <f t="shared" si="949"/>
        <v/>
      </c>
      <c r="S950" s="318" t="str">
        <f t="shared" si="8"/>
        <v/>
      </c>
    </row>
    <row r="951">
      <c r="A951" s="14" t="str">
        <f t="shared" si="1"/>
        <v>C90246120</v>
      </c>
      <c r="B951" s="185" t="str">
        <f t="array" ref="B951">IF(F951="VL","",IF(F951="Free","Free",XLOOKUP(D951,Roster!T:T,Roster!S:S,"",0)))</f>
        <v>Free</v>
      </c>
      <c r="C951" s="313">
        <v>46120.0</v>
      </c>
      <c r="D951" s="314" t="s">
        <v>150</v>
      </c>
      <c r="E951" s="307" t="str">
        <f t="array" ref="E951">(XLOOKUP(D951,Roster!F:F,Roster!B:B,"",0))</f>
        <v>Sebastiam Vallejo</v>
      </c>
      <c r="F951" s="315" t="str">
        <f t="array" ref="F951">IF(B951=100,"Free",TEXT(XLOOKUP($D951,OperationVoice!$A:$A,OperationVoice!N:N,XLOOKUP($D951,OperationTickets!$A:$A,OperationTickets!N:N,"",0)),"hh:mm"))</f>
        <v>Free</v>
      </c>
      <c r="G951" s="309" t="str">
        <f t="shared" si="3"/>
        <v>Free</v>
      </c>
      <c r="H951" s="316">
        <f t="array" ref="H951">XLOOKUP(B951,Roster!L:L,Roster!N:N,XLOOKUP(D951,TicketsBreak!A:A,TicketsBreak!E:E,"",0),0)</f>
        <v>0.4375</v>
      </c>
      <c r="I951" s="316">
        <f t="array" ref="I951">XLOOKUP(B951,Roster!L:L,Roster!O:O,XLOOKUP(D951,TicketsBreak!A:A,TicketsBreak!F:F,"",0),0)</f>
        <v>0.6041666667</v>
      </c>
      <c r="J951" s="316">
        <f t="array" ref="J951">XLOOKUP(B951,Roster!L:L,Roster!P:P,XLOOKUP(D951,TicketsBreak!A:A,TicketsBreak!G:G,"",0),0)</f>
        <v>0.65625</v>
      </c>
      <c r="K951" s="310">
        <f t="shared" si="4"/>
        <v>46120</v>
      </c>
      <c r="L951" s="317">
        <f t="array" ref="L951">(XLOOKUP(D951,Roster!F:F,Roster!D:D,"",0))</f>
        <v>11</v>
      </c>
      <c r="M951" s="317" t="str">
        <f t="array" ref="M951">XLOOKUP(D951,Roster!F:F,Roster!E:E)</f>
        <v>Tickets</v>
      </c>
      <c r="N951" s="317" t="str">
        <f t="shared" ref="N951:P951" si="968">LEFT(H951,5)</f>
        <v>10:30</v>
      </c>
      <c r="O951" s="317" t="str">
        <f t="shared" si="968"/>
        <v>14:30</v>
      </c>
      <c r="P951" s="317" t="str">
        <f t="shared" si="968"/>
        <v>15:45</v>
      </c>
      <c r="Q951" s="318">
        <f t="shared" si="948"/>
        <v>46120.4375</v>
      </c>
      <c r="R951" s="318">
        <f t="shared" si="949"/>
        <v>46120.60417</v>
      </c>
      <c r="S951" s="318">
        <f t="shared" si="8"/>
        <v>46120.65625</v>
      </c>
    </row>
    <row r="952">
      <c r="A952" s="14" t="str">
        <f t="shared" si="1"/>
        <v>C150646120</v>
      </c>
      <c r="B952" s="185">
        <f t="array" ref="B952">IF(F952="VL","",IF(F952="Free","Free",XLOOKUP(D952,Roster!T:T,Roster!S:S,"",0)))</f>
        <v>153</v>
      </c>
      <c r="C952" s="313">
        <v>46120.0</v>
      </c>
      <c r="D952" s="314" t="s">
        <v>73</v>
      </c>
      <c r="E952" s="307" t="str">
        <f t="array" ref="E952">(XLOOKUP(D952,Roster!F:F,Roster!B:B,"",0))</f>
        <v>Sebastian Agudelo Londono</v>
      </c>
      <c r="F952" s="315" t="str">
        <f t="array" ref="F952">IF(B952=100,"Free",TEXT(XLOOKUP($D952,OperationVoice!$A:$A,OperationVoice!N:N,XLOOKUP($D952,OperationTickets!$A:$A,OperationTickets!N:N,"",0)),"hh:mm"))</f>
        <v>11:00</v>
      </c>
      <c r="G952" s="309">
        <f t="shared" si="3"/>
        <v>0.8333333333</v>
      </c>
      <c r="H952" s="316" t="str">
        <f t="array" ref="H952">XLOOKUP(B952,Roster!L:L,Roster!N:N,XLOOKUP(D952,TicketsBreak!A:A,TicketsBreak!E:E,"",0),0)</f>
        <v>12:45 - 13:00</v>
      </c>
      <c r="I952" s="316" t="str">
        <f t="array" ref="I952">XLOOKUP(B952,Roster!L:L,Roster!O:O,XLOOKUP(D952,TicketsBreak!A:A,TicketsBreak!F:F,"",0),0)</f>
        <v>15:00 - 15:30</v>
      </c>
      <c r="J952" s="316" t="str">
        <f t="array" ref="J952">XLOOKUP(B952,Roster!L:L,Roster!P:P,XLOOKUP(D952,TicketsBreak!A:A,TicketsBreak!G:G,"",0),0)</f>
        <v>17:45 - 18:00</v>
      </c>
      <c r="K952" s="310">
        <f t="shared" si="4"/>
        <v>46120</v>
      </c>
      <c r="L952" s="317">
        <f t="array" ref="L952">(XLOOKUP(D952,Roster!F:F,Roster!D:D,"",0))</f>
        <v>35</v>
      </c>
      <c r="M952" s="317" t="str">
        <f t="array" ref="M952">XLOOKUP(D952,Roster!F:F,Roster!E:E)</f>
        <v>Voice</v>
      </c>
      <c r="N952" s="317" t="str">
        <f t="shared" ref="N952:P952" si="969">LEFT(H952,5)</f>
        <v>12:45</v>
      </c>
      <c r="O952" s="317" t="str">
        <f t="shared" si="969"/>
        <v>15:00</v>
      </c>
      <c r="P952" s="317" t="str">
        <f t="shared" si="969"/>
        <v>17:45</v>
      </c>
      <c r="Q952" s="318">
        <f t="shared" si="948"/>
        <v>46120.53125</v>
      </c>
      <c r="R952" s="318">
        <f t="shared" si="949"/>
        <v>46120.625</v>
      </c>
      <c r="S952" s="318">
        <f t="shared" si="8"/>
        <v>46120.73958</v>
      </c>
    </row>
    <row r="953">
      <c r="A953" s="14" t="str">
        <f t="shared" si="1"/>
        <v>C119046120</v>
      </c>
      <c r="B953" s="185" t="str">
        <f t="array" ref="B953">IF(F953="VL","",IF(F953="Free","Free",XLOOKUP(D953,Roster!T:T,Roster!S:S,"",0)))</f>
        <v/>
      </c>
      <c r="C953" s="313">
        <v>46120.0</v>
      </c>
      <c r="D953" s="314" t="s">
        <v>183</v>
      </c>
      <c r="E953" s="307" t="str">
        <f t="array" ref="E953">(XLOOKUP(D953,Roster!F:F,Roster!B:B,"",0))</f>
        <v>Sebastian Herrera</v>
      </c>
      <c r="F953" s="315" t="str">
        <f t="array" ref="F953">IF(B953=100,"Free",TEXT(XLOOKUP($D953,OperationVoice!$A:$A,OperationVoice!N:N,XLOOKUP($D953,OperationTickets!$A:$A,OperationTickets!N:N,"",0)),"hh:mm"))</f>
        <v>07:00</v>
      </c>
      <c r="G953" s="309">
        <f t="shared" si="3"/>
        <v>0.6666666667</v>
      </c>
      <c r="H953" s="316">
        <f t="array" ref="H953">XLOOKUP(B953,Roster!L:L,Roster!N:N,XLOOKUP(D953,TicketsBreak!A:A,TicketsBreak!E:E,"",0),0)</f>
        <v>0.40625</v>
      </c>
      <c r="I953" s="316">
        <f t="array" ref="I953">XLOOKUP(B953,Roster!L:L,Roster!O:O,XLOOKUP(D953,TicketsBreak!A:A,TicketsBreak!F:F,"",0),0)</f>
        <v>0.5416666667</v>
      </c>
      <c r="J953" s="316">
        <f t="array" ref="J953">XLOOKUP(B953,Roster!L:L,Roster!P:P,XLOOKUP(D953,TicketsBreak!A:A,TicketsBreak!G:G,"",0),0)</f>
        <v>0.625</v>
      </c>
      <c r="K953" s="310">
        <f t="shared" si="4"/>
        <v>46120</v>
      </c>
      <c r="L953" s="317">
        <f t="array" ref="L953">(XLOOKUP(D953,Roster!F:F,Roster!D:D,"",0))</f>
        <v>25</v>
      </c>
      <c r="M953" s="317" t="str">
        <f t="array" ref="M953">XLOOKUP(D953,Roster!F:F,Roster!E:E)</f>
        <v>Tickets</v>
      </c>
      <c r="N953" s="317" t="str">
        <f t="shared" ref="N953:P953" si="970">LEFT(H953,5)</f>
        <v>09:45</v>
      </c>
      <c r="O953" s="317" t="str">
        <f t="shared" si="970"/>
        <v>13:00</v>
      </c>
      <c r="P953" s="317" t="str">
        <f t="shared" si="970"/>
        <v>15:00</v>
      </c>
      <c r="Q953" s="318">
        <f t="shared" si="948"/>
        <v>46120.40625</v>
      </c>
      <c r="R953" s="318">
        <f t="shared" si="949"/>
        <v>46120.54167</v>
      </c>
      <c r="S953" s="318">
        <f t="shared" si="8"/>
        <v>46120.625</v>
      </c>
    </row>
    <row r="954">
      <c r="A954" s="14" t="str">
        <f t="shared" si="1"/>
        <v>C71046120</v>
      </c>
      <c r="B954" s="185" t="str">
        <f t="array" ref="B954">IF(F954="VL","",IF(F954="Free","Free",XLOOKUP(D954,Roster!T:T,Roster!S:S,"",0)))</f>
        <v/>
      </c>
      <c r="C954" s="313">
        <v>46120.0</v>
      </c>
      <c r="D954" s="314" t="s">
        <v>184</v>
      </c>
      <c r="E954" s="307" t="str">
        <f t="array" ref="E954">(XLOOKUP(D954,Roster!F:F,Roster!B:B,"",0))</f>
        <v>Sebastian Martinez</v>
      </c>
      <c r="F954" s="315" t="str">
        <f t="array" ref="F954">IF(B954=100,"Free",TEXT(XLOOKUP($D954,OperationVoice!$A:$A,OperationVoice!N:N,XLOOKUP($D954,OperationTickets!$A:$A,OperationTickets!N:N,"",0)),"hh:mm"))</f>
        <v>08:00</v>
      </c>
      <c r="G954" s="309">
        <f t="shared" si="3"/>
        <v>0.7083333333</v>
      </c>
      <c r="H954" s="316">
        <f t="array" ref="H954">XLOOKUP(B954,Roster!L:L,Roster!N:N,XLOOKUP(D954,TicketsBreak!A:A,TicketsBreak!E:E,"",0),0)</f>
        <v>0.40625</v>
      </c>
      <c r="I954" s="316">
        <f t="array" ref="I954">XLOOKUP(B954,Roster!L:L,Roster!O:O,XLOOKUP(D954,TicketsBreak!A:A,TicketsBreak!F:F,"",0),0)</f>
        <v>0.5625</v>
      </c>
      <c r="J954" s="316">
        <f t="array" ref="J954">XLOOKUP(B954,Roster!L:L,Roster!P:P,XLOOKUP(D954,TicketsBreak!A:A,TicketsBreak!G:G,"",0),0)</f>
        <v>0.65625</v>
      </c>
      <c r="K954" s="310">
        <f t="shared" si="4"/>
        <v>46120</v>
      </c>
      <c r="L954" s="317">
        <f t="array" ref="L954">(XLOOKUP(D954,Roster!F:F,Roster!D:D,"",0))</f>
        <v>6</v>
      </c>
      <c r="M954" s="317" t="str">
        <f t="array" ref="M954">XLOOKUP(D954,Roster!F:F,Roster!E:E)</f>
        <v>Tickets</v>
      </c>
      <c r="N954" s="317" t="str">
        <f t="shared" ref="N954:P954" si="971">LEFT(H954,5)</f>
        <v>09:45</v>
      </c>
      <c r="O954" s="317" t="str">
        <f t="shared" si="971"/>
        <v>13:30</v>
      </c>
      <c r="P954" s="317" t="str">
        <f t="shared" si="971"/>
        <v>15:45</v>
      </c>
      <c r="Q954" s="318">
        <f t="shared" si="948"/>
        <v>46120.40625</v>
      </c>
      <c r="R954" s="318">
        <f t="shared" si="949"/>
        <v>46120.5625</v>
      </c>
      <c r="S954" s="318">
        <f t="shared" si="8"/>
        <v>46120.65625</v>
      </c>
    </row>
    <row r="955">
      <c r="A955" s="14" t="str">
        <f t="shared" si="1"/>
        <v>C72346120</v>
      </c>
      <c r="B955" s="185" t="str">
        <f t="array" ref="B955">IF(F955="VL","",IF(F955="Free","Free",XLOOKUP(D955,Roster!T:T,Roster!S:S,"",0)))</f>
        <v/>
      </c>
      <c r="C955" s="313">
        <v>46120.0</v>
      </c>
      <c r="D955" s="314" t="s">
        <v>169</v>
      </c>
      <c r="E955" s="307" t="str">
        <f t="array" ref="E955">(XLOOKUP(D955,Roster!F:F,Roster!B:B,"",0))</f>
        <v>Sebastian Parra</v>
      </c>
      <c r="F955" s="315" t="str">
        <f t="array" ref="F955">IF(B955=100,"Free",TEXT(XLOOKUP($D955,OperationVoice!$A:$A,OperationVoice!N:N,XLOOKUP($D955,OperationTickets!$A:$A,OperationTickets!N:N,"",0)),"hh:mm"))</f>
        <v>08:00</v>
      </c>
      <c r="G955" s="309">
        <f t="shared" si="3"/>
        <v>0.7083333333</v>
      </c>
      <c r="H955" s="316">
        <f t="array" ref="H955">XLOOKUP(B955,Roster!L:L,Roster!N:N,XLOOKUP(D955,TicketsBreak!A:A,TicketsBreak!E:E,"",0),0)</f>
        <v>0.4166666667</v>
      </c>
      <c r="I955" s="316">
        <f t="array" ref="I955">XLOOKUP(B955,Roster!L:L,Roster!O:O,XLOOKUP(D955,TicketsBreak!A:A,TicketsBreak!F:F,"",0),0)</f>
        <v>0.5347222222</v>
      </c>
      <c r="J955" s="316">
        <f t="array" ref="J955">XLOOKUP(B955,Roster!L:L,Roster!P:P,XLOOKUP(D955,TicketsBreak!A:A,TicketsBreak!G:G,"",0),0)</f>
        <v>0.65625</v>
      </c>
      <c r="K955" s="310">
        <f t="shared" si="4"/>
        <v>46120</v>
      </c>
      <c r="L955" s="317">
        <f t="array" ref="L955">(XLOOKUP(D955,Roster!F:F,Roster!D:D,"",0))</f>
        <v>7</v>
      </c>
      <c r="M955" s="317" t="str">
        <f t="array" ref="M955">XLOOKUP(D955,Roster!F:F,Roster!E:E)</f>
        <v>Tickets</v>
      </c>
      <c r="N955" s="317" t="str">
        <f t="shared" ref="N955:P955" si="972">LEFT(H955,5)</f>
        <v>10:00</v>
      </c>
      <c r="O955" s="317" t="str">
        <f t="shared" si="972"/>
        <v>12:50</v>
      </c>
      <c r="P955" s="317" t="str">
        <f t="shared" si="972"/>
        <v>15:45</v>
      </c>
      <c r="Q955" s="318">
        <f t="shared" si="948"/>
        <v>46120.41667</v>
      </c>
      <c r="R955" s="318">
        <f t="shared" si="949"/>
        <v>46120.53472</v>
      </c>
      <c r="S955" s="318">
        <f t="shared" si="8"/>
        <v>46120.65625</v>
      </c>
    </row>
    <row r="956">
      <c r="A956" s="14" t="str">
        <f t="shared" si="1"/>
        <v>C137646120</v>
      </c>
      <c r="B956" s="185" t="str">
        <f t="array" ref="B956">IF(F956="VL","",IF(F956="Free","Free",XLOOKUP(D956,Roster!T:T,Roster!S:S,"",0)))</f>
        <v/>
      </c>
      <c r="C956" s="313">
        <v>46120.0</v>
      </c>
      <c r="D956" s="314" t="s">
        <v>151</v>
      </c>
      <c r="E956" s="307" t="str">
        <f t="array" ref="E956">(XLOOKUP(D956,Roster!F:F,Roster!B:B,"",0))</f>
        <v>Sebastian Quiroz</v>
      </c>
      <c r="F956" s="315" t="str">
        <f t="array" ref="F956">IF(B956=100,"Free",TEXT(XLOOKUP($D956,OperationVoice!$A:$A,OperationVoice!N:N,XLOOKUP($D956,OperationTickets!$A:$A,OperationTickets!N:N,"",0)),"hh:mm"))</f>
        <v>08:00</v>
      </c>
      <c r="G956" s="309">
        <f t="shared" si="3"/>
        <v>0.7083333333</v>
      </c>
      <c r="H956" s="316" t="str">
        <f t="array" ref="H956">XLOOKUP(B956,Roster!L:L,Roster!N:N,XLOOKUP(D956,TicketsBreak!A:A,TicketsBreak!E:E,"",0),0)</f>
        <v/>
      </c>
      <c r="I956" s="316" t="str">
        <f t="array" ref="I956">XLOOKUP(B956,Roster!L:L,Roster!O:O,XLOOKUP(D956,TicketsBreak!A:A,TicketsBreak!F:F,"",0),0)</f>
        <v/>
      </c>
      <c r="J956" s="316" t="str">
        <f t="array" ref="J956">XLOOKUP(B956,Roster!L:L,Roster!P:P,XLOOKUP(D956,TicketsBreak!A:A,TicketsBreak!G:G,"",0),0)</f>
        <v/>
      </c>
      <c r="K956" s="310">
        <f t="shared" si="4"/>
        <v>46120</v>
      </c>
      <c r="L956" s="317">
        <f t="array" ref="L956">(XLOOKUP(D956,Roster!F:F,Roster!D:D,"",0))</f>
        <v>31</v>
      </c>
      <c r="M956" s="317" t="str">
        <f t="array" ref="M956">XLOOKUP(D956,Roster!F:F,Roster!E:E)</f>
        <v>Tickets</v>
      </c>
      <c r="N956" s="317" t="str">
        <f t="shared" ref="N956:P956" si="973">LEFT(H956,5)</f>
        <v/>
      </c>
      <c r="O956" s="317" t="str">
        <f t="shared" si="973"/>
        <v/>
      </c>
      <c r="P956" s="317" t="str">
        <f t="shared" si="973"/>
        <v/>
      </c>
      <c r="Q956" s="318" t="str">
        <f t="shared" si="948"/>
        <v/>
      </c>
      <c r="R956" s="318" t="str">
        <f t="shared" si="949"/>
        <v/>
      </c>
      <c r="S956" s="318" t="str">
        <f t="shared" si="8"/>
        <v/>
      </c>
    </row>
    <row r="957">
      <c r="A957" s="14" t="str">
        <f t="shared" si="1"/>
        <v>C72646120</v>
      </c>
      <c r="B957" s="185" t="str">
        <f t="array" ref="B957">IF(F957="VL","",IF(F957="Free","Free",XLOOKUP(D957,Roster!T:T,Roster!S:S,"",0)))</f>
        <v/>
      </c>
      <c r="C957" s="313">
        <v>46120.0</v>
      </c>
      <c r="D957" s="314" t="s">
        <v>185</v>
      </c>
      <c r="E957" s="307" t="str">
        <f t="array" ref="E957">(XLOOKUP(D957,Roster!F:F,Roster!B:B,"",0))</f>
        <v>Sebastian Rodriguez</v>
      </c>
      <c r="F957" s="315" t="str">
        <f t="array" ref="F957">IF(B957=100,"Free",TEXT(XLOOKUP($D957,OperationVoice!$A:$A,OperationVoice!N:N,XLOOKUP($D957,OperationTickets!$A:$A,OperationTickets!N:N,"",0)),"hh:mm"))</f>
        <v>08:00</v>
      </c>
      <c r="G957" s="309">
        <f t="shared" si="3"/>
        <v>0.7083333333</v>
      </c>
      <c r="H957" s="316">
        <f t="array" ref="H957">XLOOKUP(B957,Roster!L:L,Roster!N:N,XLOOKUP(D957,TicketsBreak!A:A,TicketsBreak!E:E,"",0),0)</f>
        <v>0.4166666667</v>
      </c>
      <c r="I957" s="316">
        <f t="array" ref="I957">XLOOKUP(B957,Roster!L:L,Roster!O:O,XLOOKUP(D957,TicketsBreak!A:A,TicketsBreak!F:F,"",0),0)</f>
        <v>0.5625</v>
      </c>
      <c r="J957" s="316">
        <f t="array" ref="J957">XLOOKUP(B957,Roster!L:L,Roster!P:P,XLOOKUP(D957,TicketsBreak!A:A,TicketsBreak!G:G,"",0),0)</f>
        <v>0.6458333333</v>
      </c>
      <c r="K957" s="310">
        <f t="shared" si="4"/>
        <v>46120</v>
      </c>
      <c r="L957" s="317">
        <f t="array" ref="L957">(XLOOKUP(D957,Roster!F:F,Roster!D:D,"",0))</f>
        <v>7</v>
      </c>
      <c r="M957" s="317" t="str">
        <f t="array" ref="M957">XLOOKUP(D957,Roster!F:F,Roster!E:E)</f>
        <v>Tickets</v>
      </c>
      <c r="N957" s="317" t="str">
        <f t="shared" ref="N957:P957" si="974">LEFT(H957,5)</f>
        <v>10:00</v>
      </c>
      <c r="O957" s="317" t="str">
        <f t="shared" si="974"/>
        <v>13:30</v>
      </c>
      <c r="P957" s="317" t="str">
        <f t="shared" si="974"/>
        <v>15:30</v>
      </c>
      <c r="Q957" s="318">
        <f t="shared" si="948"/>
        <v>46120.41667</v>
      </c>
      <c r="R957" s="318">
        <f t="shared" si="949"/>
        <v>46120.5625</v>
      </c>
      <c r="S957" s="318">
        <f t="shared" si="8"/>
        <v>46120.64583</v>
      </c>
    </row>
    <row r="958">
      <c r="A958" s="14" t="str">
        <f t="shared" si="1"/>
        <v>C60246120</v>
      </c>
      <c r="B958" s="185" t="str">
        <f t="array" ref="B958">IF(F958="VL","",IF(F958="Free","Free",XLOOKUP(D958,Roster!T:T,Roster!S:S,"",0)))</f>
        <v/>
      </c>
      <c r="C958" s="313">
        <v>46120.0</v>
      </c>
      <c r="D958" s="314" t="s">
        <v>170</v>
      </c>
      <c r="E958" s="307" t="str">
        <f t="array" ref="E958">(XLOOKUP(D958,Roster!F:F,Roster!B:B,"",0))</f>
        <v>Sebastian Torres</v>
      </c>
      <c r="F958" s="315" t="str">
        <f t="array" ref="F958">IF(B958=100,"Free",TEXT(XLOOKUP($D958,OperationVoice!$A:$A,OperationVoice!N:N,XLOOKUP($D958,OperationTickets!$A:$A,OperationTickets!N:N,"",0)),"hh:mm"))</f>
        <v>08:00</v>
      </c>
      <c r="G958" s="309">
        <f t="shared" si="3"/>
        <v>0.7083333333</v>
      </c>
      <c r="H958" s="316">
        <f t="array" ref="H958">XLOOKUP(B958,Roster!L:L,Roster!N:N,XLOOKUP(D958,TicketsBreak!A:A,TicketsBreak!E:E,"",0),0)</f>
        <v>0.4583333333</v>
      </c>
      <c r="I958" s="316">
        <f t="array" ref="I958">XLOOKUP(B958,Roster!L:L,Roster!O:O,XLOOKUP(D958,TicketsBreak!A:A,TicketsBreak!F:F,"",0),0)</f>
        <v>0.5833333333</v>
      </c>
      <c r="J958" s="316">
        <f t="array" ref="J958">XLOOKUP(B958,Roster!L:L,Roster!P:P,XLOOKUP(D958,TicketsBreak!A:A,TicketsBreak!G:G,"",0),0)</f>
        <v>0.65625</v>
      </c>
      <c r="K958" s="310">
        <f t="shared" si="4"/>
        <v>46120</v>
      </c>
      <c r="L958" s="317">
        <f t="array" ref="L958">(XLOOKUP(D958,Roster!F:F,Roster!D:D,"",0))</f>
        <v>8</v>
      </c>
      <c r="M958" s="317" t="str">
        <f t="array" ref="M958">XLOOKUP(D958,Roster!F:F,Roster!E:E)</f>
        <v>Tickets</v>
      </c>
      <c r="N958" s="317" t="str">
        <f t="shared" ref="N958:P958" si="975">LEFT(H958,5)</f>
        <v>11:00</v>
      </c>
      <c r="O958" s="317" t="str">
        <f t="shared" si="975"/>
        <v>14:00</v>
      </c>
      <c r="P958" s="317" t="str">
        <f t="shared" si="975"/>
        <v>15:45</v>
      </c>
      <c r="Q958" s="318">
        <f t="shared" si="948"/>
        <v>46120.45833</v>
      </c>
      <c r="R958" s="318">
        <f t="shared" si="949"/>
        <v>46120.58333</v>
      </c>
      <c r="S958" s="318">
        <f t="shared" si="8"/>
        <v>46120.65625</v>
      </c>
    </row>
    <row r="959">
      <c r="A959" s="14" t="str">
        <f t="shared" si="1"/>
        <v>C143146120</v>
      </c>
      <c r="B959" s="185">
        <f t="array" ref="B959">IF(F959="VL","",IF(F959="Free","Free",XLOOKUP(D959,Roster!T:T,Roster!S:S,"",0)))</f>
        <v>151</v>
      </c>
      <c r="C959" s="313">
        <v>46120.0</v>
      </c>
      <c r="D959" s="314" t="s">
        <v>74</v>
      </c>
      <c r="E959" s="307" t="str">
        <f t="array" ref="E959">(XLOOKUP(D959,Roster!F:F,Roster!B:B,"",0))</f>
        <v>Sebastian Torres Gomez</v>
      </c>
      <c r="F959" s="315" t="str">
        <f t="array" ref="F959">IF(B959=100,"Free",TEXT(XLOOKUP($D959,OperationVoice!$A:$A,OperationVoice!N:N,XLOOKUP($D959,OperationTickets!$A:$A,OperationTickets!N:N,"",0)),"hh:mm"))</f>
        <v>11:00</v>
      </c>
      <c r="G959" s="309">
        <f t="shared" si="3"/>
        <v>0.8333333333</v>
      </c>
      <c r="H959" s="316" t="str">
        <f t="array" ref="H959">XLOOKUP(B959,Roster!L:L,Roster!N:N,XLOOKUP(D959,TicketsBreak!A:A,TicketsBreak!E:E,"",0),0)</f>
        <v>12:15 - 12:30</v>
      </c>
      <c r="I959" s="316" t="str">
        <f t="array" ref="I959">XLOOKUP(B959,Roster!L:L,Roster!O:O,XLOOKUP(D959,TicketsBreak!A:A,TicketsBreak!F:F,"",0),0)</f>
        <v>14:00 - 14:30</v>
      </c>
      <c r="J959" s="316" t="str">
        <f t="array" ref="J959">XLOOKUP(B959,Roster!L:L,Roster!P:P,XLOOKUP(D959,TicketsBreak!A:A,TicketsBreak!G:G,"",0),0)</f>
        <v>17:15 - 17:30</v>
      </c>
      <c r="K959" s="310">
        <f t="shared" si="4"/>
        <v>46120</v>
      </c>
      <c r="L959" s="317">
        <f t="array" ref="L959">(XLOOKUP(D959,Roster!F:F,Roster!D:D,"",0))</f>
        <v>32</v>
      </c>
      <c r="M959" s="317" t="str">
        <f t="array" ref="M959">XLOOKUP(D959,Roster!F:F,Roster!E:E)</f>
        <v>Voice</v>
      </c>
      <c r="N959" s="317" t="str">
        <f t="shared" ref="N959:P959" si="976">LEFT(H959,5)</f>
        <v>12:15</v>
      </c>
      <c r="O959" s="317" t="str">
        <f t="shared" si="976"/>
        <v>14:00</v>
      </c>
      <c r="P959" s="317" t="str">
        <f t="shared" si="976"/>
        <v>17:15</v>
      </c>
      <c r="Q959" s="318">
        <f t="shared" si="948"/>
        <v>46120.51042</v>
      </c>
      <c r="R959" s="318">
        <f t="shared" si="949"/>
        <v>46120.58333</v>
      </c>
      <c r="S959" s="318">
        <f t="shared" si="8"/>
        <v>46120.71875</v>
      </c>
    </row>
    <row r="960">
      <c r="A960" s="14" t="str">
        <f t="shared" si="1"/>
        <v>C149146120</v>
      </c>
      <c r="B960" s="185" t="str">
        <f t="array" ref="B960">IF(F960="VL","",IF(F960="Free","Free",XLOOKUP(D960,Roster!T:T,Roster!S:S,"",0)))</f>
        <v/>
      </c>
      <c r="C960" s="313">
        <v>46120.0</v>
      </c>
      <c r="D960" s="314" t="s">
        <v>315</v>
      </c>
      <c r="E960" s="307" t="str">
        <f t="array" ref="E960">(XLOOKUP(D960,Roster!F:F,Roster!B:B,"",0))</f>
        <v>Sebastian Vanegas</v>
      </c>
      <c r="F960" s="315" t="str">
        <f t="array" ref="F960">IF(B960=100,"Free",TEXT(XLOOKUP($D960,OperationVoice!$A:$A,OperationVoice!N:N,XLOOKUP($D960,OperationTickets!$A:$A,OperationTickets!N:N,"",0)),"hh:mm"))</f>
        <v/>
      </c>
      <c r="G960" s="309" t="str">
        <f t="shared" si="3"/>
        <v/>
      </c>
      <c r="H960" s="316" t="str">
        <f t="array" ref="H960">XLOOKUP(B960,Roster!L:L,Roster!N:N,XLOOKUP(D960,TicketsBreak!A:A,TicketsBreak!E:E,"",0),0)</f>
        <v/>
      </c>
      <c r="I960" s="316" t="str">
        <f t="array" ref="I960">XLOOKUP(B960,Roster!L:L,Roster!O:O,XLOOKUP(D960,TicketsBreak!A:A,TicketsBreak!F:F,"",0),0)</f>
        <v/>
      </c>
      <c r="J960" s="316" t="str">
        <f t="array" ref="J960">XLOOKUP(B960,Roster!L:L,Roster!P:P,XLOOKUP(D960,TicketsBreak!A:A,TicketsBreak!G:G,"",0),0)</f>
        <v/>
      </c>
      <c r="K960" s="310">
        <f t="shared" si="4"/>
        <v>46120</v>
      </c>
      <c r="L960" s="317">
        <f t="array" ref="L960">(XLOOKUP(D960,Roster!F:F,Roster!D:D,"",0))</f>
        <v>34</v>
      </c>
      <c r="M960" s="317" t="str">
        <f t="array" ref="M960">XLOOKUP(D960,Roster!F:F,Roster!E:E)</f>
        <v>Voice</v>
      </c>
      <c r="N960" s="317" t="str">
        <f t="shared" ref="N960:P960" si="977">LEFT(H960,5)</f>
        <v/>
      </c>
      <c r="O960" s="317" t="str">
        <f t="shared" si="977"/>
        <v/>
      </c>
      <c r="P960" s="317" t="str">
        <f t="shared" si="977"/>
        <v/>
      </c>
      <c r="Q960" s="318" t="str">
        <f t="shared" si="948"/>
        <v/>
      </c>
      <c r="R960" s="318" t="str">
        <f t="shared" si="949"/>
        <v/>
      </c>
      <c r="S960" s="318" t="str">
        <f t="shared" si="8"/>
        <v/>
      </c>
    </row>
    <row r="961">
      <c r="A961" s="14" t="str">
        <f t="shared" si="1"/>
        <v>C93746120</v>
      </c>
      <c r="B961" s="185">
        <f t="array" ref="B961">IF(F961="VL","",IF(F961="Free","Free",XLOOKUP(D961,Roster!T:T,Roster!S:S,"",0)))</f>
        <v>126</v>
      </c>
      <c r="C961" s="313">
        <v>46120.0</v>
      </c>
      <c r="D961" s="314" t="s">
        <v>75</v>
      </c>
      <c r="E961" s="307" t="str">
        <f t="array" ref="E961">(XLOOKUP(D961,Roster!F:F,Roster!B:B,"",0))</f>
        <v>Sebastian Zapata</v>
      </c>
      <c r="F961" s="315" t="str">
        <f t="array" ref="F961">IF(B961=100,"Free",TEXT(XLOOKUP($D961,OperationVoice!$A:$A,OperationVoice!N:N,XLOOKUP($D961,OperationTickets!$A:$A,OperationTickets!N:N,"",0)),"hh:mm"))</f>
        <v>08:00</v>
      </c>
      <c r="G961" s="309">
        <f t="shared" si="3"/>
        <v>0.7083333333</v>
      </c>
      <c r="H961" s="316" t="str">
        <f t="array" ref="H961">XLOOKUP(B961,Roster!L:L,Roster!N:N,XLOOKUP(D961,TicketsBreak!A:A,TicketsBreak!E:E,"",0),0)</f>
        <v>10:45 - 11:00</v>
      </c>
      <c r="I961" s="316" t="str">
        <f t="array" ref="I961">XLOOKUP(B961,Roster!L:L,Roster!O:O,XLOOKUP(D961,TicketsBreak!A:A,TicketsBreak!F:F,"",0),0)</f>
        <v>14:00 - 14:30</v>
      </c>
      <c r="J961" s="316" t="str">
        <f t="array" ref="J961">XLOOKUP(B961,Roster!L:L,Roster!P:P,XLOOKUP(D961,TicketsBreak!A:A,TicketsBreak!G:G,"",0),0)</f>
        <v>15:45 - 16:00</v>
      </c>
      <c r="K961" s="310">
        <f t="shared" si="4"/>
        <v>46120</v>
      </c>
      <c r="L961" s="317">
        <f t="array" ref="L961">(XLOOKUP(D961,Roster!F:F,Roster!D:D,"",0))</f>
        <v>12</v>
      </c>
      <c r="M961" s="317" t="str">
        <f t="array" ref="M961">XLOOKUP(D961,Roster!F:F,Roster!E:E)</f>
        <v>Voice</v>
      </c>
      <c r="N961" s="317" t="str">
        <f t="shared" ref="N961:P961" si="978">LEFT(H961,5)</f>
        <v>10:45</v>
      </c>
      <c r="O961" s="317" t="str">
        <f t="shared" si="978"/>
        <v>14:00</v>
      </c>
      <c r="P961" s="317" t="str">
        <f t="shared" si="978"/>
        <v>15:45</v>
      </c>
      <c r="Q961" s="318">
        <f t="shared" si="948"/>
        <v>46120.44792</v>
      </c>
      <c r="R961" s="318">
        <f t="shared" si="949"/>
        <v>46120.58333</v>
      </c>
      <c r="S961" s="318">
        <f t="shared" si="8"/>
        <v>46120.65625</v>
      </c>
    </row>
    <row r="962">
      <c r="A962" s="14" t="str">
        <f t="shared" si="1"/>
        <v>C156546120</v>
      </c>
      <c r="B962" s="185">
        <f t="array" ref="B962">IF(F962="VL","",IF(F962="Free","Free",XLOOKUP(D962,Roster!T:T,Roster!S:S,"",0)))</f>
        <v>122</v>
      </c>
      <c r="C962" s="313">
        <v>46120.0</v>
      </c>
      <c r="D962" s="314" t="s">
        <v>76</v>
      </c>
      <c r="E962" s="307" t="str">
        <f t="array" ref="E962">(XLOOKUP(D962,Roster!F:F,Roster!B:B,"",0))</f>
        <v>Sergio Rojas</v>
      </c>
      <c r="F962" s="315" t="str">
        <f t="array" ref="F962">IF(B962=100,"Free",TEXT(XLOOKUP($D962,OperationVoice!$A:$A,OperationVoice!N:N,XLOOKUP($D962,OperationTickets!$A:$A,OperationTickets!N:N,"",0)),"hh:mm"))</f>
        <v>11:00</v>
      </c>
      <c r="G962" s="309">
        <f t="shared" si="3"/>
        <v>0.8333333333</v>
      </c>
      <c r="H962" s="316" t="str">
        <f t="array" ref="H962">XLOOKUP(B962,Roster!L:L,Roster!N:N,XLOOKUP(D962,TicketsBreak!A:A,TicketsBreak!E:E,"",0),0)</f>
        <v>09:30 - 09:45</v>
      </c>
      <c r="I962" s="316" t="str">
        <f t="array" ref="I962">XLOOKUP(B962,Roster!L:L,Roster!O:O,XLOOKUP(D962,TicketsBreak!A:A,TicketsBreak!F:F,"",0),0)</f>
        <v>12:00 - 12:30</v>
      </c>
      <c r="J962" s="316" t="str">
        <f t="array" ref="J962">XLOOKUP(B962,Roster!L:L,Roster!P:P,XLOOKUP(D962,TicketsBreak!A:A,TicketsBreak!G:G,"",0),0)</f>
        <v>14:45 - 15:00</v>
      </c>
      <c r="K962" s="310">
        <f t="shared" si="4"/>
        <v>46120</v>
      </c>
      <c r="L962" s="317">
        <f t="array" ref="L962">(XLOOKUP(D962,Roster!F:F,Roster!D:D,"",0))</f>
        <v>38</v>
      </c>
      <c r="M962" s="317" t="str">
        <f t="array" ref="M962">XLOOKUP(D962,Roster!F:F,Roster!E:E)</f>
        <v>Voice</v>
      </c>
      <c r="N962" s="317" t="str">
        <f t="shared" ref="N962:P962" si="979">LEFT(H962,5)</f>
        <v>09:30</v>
      </c>
      <c r="O962" s="317" t="str">
        <f t="shared" si="979"/>
        <v>12:00</v>
      </c>
      <c r="P962" s="317" t="str">
        <f t="shared" si="979"/>
        <v>14:45</v>
      </c>
      <c r="Q962" s="318">
        <f t="shared" si="948"/>
        <v>46120.39583</v>
      </c>
      <c r="R962" s="318">
        <f t="shared" si="949"/>
        <v>46120.5</v>
      </c>
      <c r="S962" s="318">
        <f t="shared" si="8"/>
        <v>46120.61458</v>
      </c>
    </row>
    <row r="963">
      <c r="A963" s="14" t="str">
        <f t="shared" si="1"/>
        <v>C147846120</v>
      </c>
      <c r="B963" s="185" t="str">
        <f t="array" ref="B963">IF(F963="VL","",IF(F963="Free","Free",XLOOKUP(D963,Roster!T:T,Roster!S:S,"",0)))</f>
        <v>Free</v>
      </c>
      <c r="C963" s="313">
        <v>46120.0</v>
      </c>
      <c r="D963" s="314" t="s">
        <v>186</v>
      </c>
      <c r="E963" s="307" t="str">
        <f t="array" ref="E963">(XLOOKUP(D963,Roster!F:F,Roster!B:B,"",0))</f>
        <v>Simon Atehortua</v>
      </c>
      <c r="F963" s="315" t="str">
        <f t="array" ref="F963">IF(B963=100,"Free",TEXT(XLOOKUP($D963,OperationVoice!$A:$A,OperationVoice!N:N,XLOOKUP($D963,OperationTickets!$A:$A,OperationTickets!N:N,"",0)),"hh:mm"))</f>
        <v>Free</v>
      </c>
      <c r="G963" s="309" t="str">
        <f t="shared" si="3"/>
        <v>Free</v>
      </c>
      <c r="H963" s="316" t="str">
        <f t="array" ref="H963">XLOOKUP(B963,Roster!L:L,Roster!N:N,XLOOKUP(D963,TicketsBreak!A:A,TicketsBreak!E:E,"",0),0)</f>
        <v/>
      </c>
      <c r="I963" s="316" t="str">
        <f t="array" ref="I963">XLOOKUP(B963,Roster!L:L,Roster!O:O,XLOOKUP(D963,TicketsBreak!A:A,TicketsBreak!F:F,"",0),0)</f>
        <v/>
      </c>
      <c r="J963" s="316" t="str">
        <f t="array" ref="J963">XLOOKUP(B963,Roster!L:L,Roster!P:P,XLOOKUP(D963,TicketsBreak!A:A,TicketsBreak!G:G,"",0),0)</f>
        <v/>
      </c>
      <c r="K963" s="310">
        <f t="shared" si="4"/>
        <v>46120</v>
      </c>
      <c r="L963" s="317">
        <f t="array" ref="L963">(XLOOKUP(D963,Roster!F:F,Roster!D:D,"",0))</f>
        <v>32</v>
      </c>
      <c r="M963" s="317" t="str">
        <f t="array" ref="M963">XLOOKUP(D963,Roster!F:F,Roster!E:E)</f>
        <v>Tickets</v>
      </c>
      <c r="N963" s="317" t="str">
        <f t="shared" ref="N963:P963" si="980">LEFT(H963,5)</f>
        <v/>
      </c>
      <c r="O963" s="317" t="str">
        <f t="shared" si="980"/>
        <v/>
      </c>
      <c r="P963" s="317" t="str">
        <f t="shared" si="980"/>
        <v/>
      </c>
      <c r="Q963" s="318" t="str">
        <f t="shared" si="948"/>
        <v/>
      </c>
      <c r="R963" s="318" t="str">
        <f t="shared" si="949"/>
        <v/>
      </c>
      <c r="S963" s="318" t="str">
        <f t="shared" si="8"/>
        <v/>
      </c>
    </row>
    <row r="964">
      <c r="A964" s="14" t="str">
        <f t="shared" si="1"/>
        <v>C148346120</v>
      </c>
      <c r="B964" s="185">
        <f t="array" ref="B964">IF(F964="VL","",IF(F964="Free","Free",XLOOKUP(D964,Roster!T:T,Roster!S:S,"",0)))</f>
        <v>152</v>
      </c>
      <c r="C964" s="313">
        <v>46120.0</v>
      </c>
      <c r="D964" s="314" t="s">
        <v>77</v>
      </c>
      <c r="E964" s="307" t="str">
        <f t="array" ref="E964">(XLOOKUP(D964,Roster!F:F,Roster!B:B,"",0))</f>
        <v>Simon Zuluaica</v>
      </c>
      <c r="F964" s="315" t="str">
        <f t="array" ref="F964">IF(B964=100,"Free",TEXT(XLOOKUP($D964,OperationVoice!$A:$A,OperationVoice!N:N,XLOOKUP($D964,OperationTickets!$A:$A,OperationTickets!N:N,"",0)),"hh:mm"))</f>
        <v>11:00</v>
      </c>
      <c r="G964" s="309">
        <f t="shared" si="3"/>
        <v>0.8333333333</v>
      </c>
      <c r="H964" s="316" t="str">
        <f t="array" ref="H964">XLOOKUP(B964,Roster!L:L,Roster!N:N,XLOOKUP(D964,TicketsBreak!A:A,TicketsBreak!E:E,"",0),0)</f>
        <v>12:30 - 12:45</v>
      </c>
      <c r="I964" s="316" t="str">
        <f t="array" ref="I964">XLOOKUP(B964,Roster!L:L,Roster!O:O,XLOOKUP(D964,TicketsBreak!A:A,TicketsBreak!F:F,"",0),0)</f>
        <v>14:30 - 15:00</v>
      </c>
      <c r="J964" s="316" t="str">
        <f t="array" ref="J964">XLOOKUP(B964,Roster!L:L,Roster!P:P,XLOOKUP(D964,TicketsBreak!A:A,TicketsBreak!G:G,"",0),0)</f>
        <v>17:30 - 17:45</v>
      </c>
      <c r="K964" s="310">
        <f t="shared" si="4"/>
        <v>46120</v>
      </c>
      <c r="L964" s="317">
        <f t="array" ref="L964">(XLOOKUP(D964,Roster!F:F,Roster!D:D,"",0))</f>
        <v>34</v>
      </c>
      <c r="M964" s="317" t="str">
        <f t="array" ref="M964">XLOOKUP(D964,Roster!F:F,Roster!E:E)</f>
        <v>Voice</v>
      </c>
      <c r="N964" s="317" t="str">
        <f t="shared" ref="N964:P964" si="981">LEFT(H964,5)</f>
        <v>12:30</v>
      </c>
      <c r="O964" s="317" t="str">
        <f t="shared" si="981"/>
        <v>14:30</v>
      </c>
      <c r="P964" s="317" t="str">
        <f t="shared" si="981"/>
        <v>17:30</v>
      </c>
      <c r="Q964" s="318">
        <f t="shared" si="948"/>
        <v>46120.52083</v>
      </c>
      <c r="R964" s="318">
        <f t="shared" si="949"/>
        <v>46120.60417</v>
      </c>
      <c r="S964" s="318">
        <f t="shared" si="8"/>
        <v>46120.72917</v>
      </c>
    </row>
    <row r="965">
      <c r="A965" s="14" t="str">
        <f t="shared" si="1"/>
        <v>C154046120</v>
      </c>
      <c r="B965" s="185">
        <f t="array" ref="B965">IF(F965="VL","",IF(F965="Free","Free",XLOOKUP(D965,Roster!T:T,Roster!S:S,"",0)))</f>
        <v>122</v>
      </c>
      <c r="C965" s="313">
        <v>46120.0</v>
      </c>
      <c r="D965" s="314" t="s">
        <v>78</v>
      </c>
      <c r="E965" s="307" t="str">
        <f t="array" ref="E965">(XLOOKUP(D965,Roster!F:F,Roster!B:B,"",0))</f>
        <v>Tomas Perez</v>
      </c>
      <c r="F965" s="315" t="str">
        <f t="array" ref="F965">IF(B965=100,"Free",TEXT(XLOOKUP($D965,OperationVoice!$A:$A,OperationVoice!N:N,XLOOKUP($D965,OperationTickets!$A:$A,OperationTickets!N:N,"",0)),"hh:mm"))</f>
        <v>08:00</v>
      </c>
      <c r="G965" s="309">
        <f t="shared" si="3"/>
        <v>0.7083333333</v>
      </c>
      <c r="H965" s="316" t="str">
        <f t="array" ref="H965">XLOOKUP(B965,Roster!L:L,Roster!N:N,XLOOKUP(D965,TicketsBreak!A:A,TicketsBreak!E:E,"",0),0)</f>
        <v>09:30 - 09:45</v>
      </c>
      <c r="I965" s="316" t="str">
        <f t="array" ref="I965">XLOOKUP(B965,Roster!L:L,Roster!O:O,XLOOKUP(D965,TicketsBreak!A:A,TicketsBreak!F:F,"",0),0)</f>
        <v>12:00 - 12:30</v>
      </c>
      <c r="J965" s="316" t="str">
        <f t="array" ref="J965">XLOOKUP(B965,Roster!L:L,Roster!P:P,XLOOKUP(D965,TicketsBreak!A:A,TicketsBreak!G:G,"",0),0)</f>
        <v>14:45 - 15:00</v>
      </c>
      <c r="K965" s="310">
        <f t="shared" si="4"/>
        <v>46120</v>
      </c>
      <c r="L965" s="317">
        <f t="array" ref="L965">(XLOOKUP(D965,Roster!F:F,Roster!D:D,"",0))</f>
        <v>36</v>
      </c>
      <c r="M965" s="317" t="str">
        <f t="array" ref="M965">XLOOKUP(D965,Roster!F:F,Roster!E:E)</f>
        <v>Voice</v>
      </c>
      <c r="N965" s="317" t="str">
        <f t="shared" ref="N965:P965" si="982">LEFT(H965,5)</f>
        <v>09:30</v>
      </c>
      <c r="O965" s="317" t="str">
        <f t="shared" si="982"/>
        <v>12:00</v>
      </c>
      <c r="P965" s="317" t="str">
        <f t="shared" si="982"/>
        <v>14:45</v>
      </c>
      <c r="Q965" s="318">
        <f t="shared" si="948"/>
        <v>46120.39583</v>
      </c>
      <c r="R965" s="318">
        <f t="shared" si="949"/>
        <v>46120.5</v>
      </c>
      <c r="S965" s="318">
        <f t="shared" si="8"/>
        <v>46120.61458</v>
      </c>
    </row>
    <row r="966">
      <c r="A966" s="14" t="str">
        <f t="shared" si="1"/>
        <v>C154746120</v>
      </c>
      <c r="B966" s="185">
        <f t="array" ref="B966">IF(F966="VL","",IF(F966="Free","Free",XLOOKUP(D966,Roster!T:T,Roster!S:S,"",0)))</f>
        <v>121</v>
      </c>
      <c r="C966" s="313">
        <v>46120.0</v>
      </c>
      <c r="D966" s="314" t="s">
        <v>79</v>
      </c>
      <c r="E966" s="307" t="str">
        <f t="array" ref="E966">(XLOOKUP(D966,Roster!F:F,Roster!B:B,"",0))</f>
        <v>Valentina Barreto</v>
      </c>
      <c r="F966" s="315" t="str">
        <f t="array" ref="F966">IF(B966=100,"Free",TEXT(XLOOKUP($D966,OperationVoice!$A:$A,OperationVoice!N:N,XLOOKUP($D966,OperationTickets!$A:$A,OperationTickets!N:N,"",0)),"hh:mm"))</f>
        <v>08:00</v>
      </c>
      <c r="G966" s="309">
        <f t="shared" si="3"/>
        <v>0.7083333333</v>
      </c>
      <c r="H966" s="316" t="str">
        <f t="array" ref="H966">XLOOKUP(B966,Roster!L:L,Roster!N:N,XLOOKUP(D966,TicketsBreak!A:A,TicketsBreak!E:E,"",0),0)</f>
        <v>09:15 - 09:30</v>
      </c>
      <c r="I966" s="316" t="str">
        <f t="array" ref="I966">XLOOKUP(B966,Roster!L:L,Roster!O:O,XLOOKUP(D966,TicketsBreak!A:A,TicketsBreak!F:F,"",0),0)</f>
        <v>11:30 - 12:00</v>
      </c>
      <c r="J966" s="316" t="str">
        <f t="array" ref="J966">XLOOKUP(B966,Roster!L:L,Roster!P:P,XLOOKUP(D966,TicketsBreak!A:A,TicketsBreak!G:G,"",0),0)</f>
        <v>14:30 - 14:45</v>
      </c>
      <c r="K966" s="310">
        <f t="shared" si="4"/>
        <v>46120</v>
      </c>
      <c r="L966" s="317">
        <f t="array" ref="L966">(XLOOKUP(D966,Roster!F:F,Roster!D:D,"",0))</f>
        <v>37</v>
      </c>
      <c r="M966" s="317" t="str">
        <f t="array" ref="M966">XLOOKUP(D966,Roster!F:F,Roster!E:E)</f>
        <v>Voice</v>
      </c>
      <c r="N966" s="317" t="str">
        <f t="shared" ref="N966:P966" si="983">LEFT(H966,5)</f>
        <v>09:15</v>
      </c>
      <c r="O966" s="317" t="str">
        <f t="shared" si="983"/>
        <v>11:30</v>
      </c>
      <c r="P966" s="317" t="str">
        <f t="shared" si="983"/>
        <v>14:30</v>
      </c>
      <c r="Q966" s="318">
        <f t="shared" si="948"/>
        <v>46120.38542</v>
      </c>
      <c r="R966" s="318">
        <f t="shared" si="949"/>
        <v>46120.47917</v>
      </c>
      <c r="S966" s="318">
        <f t="shared" si="8"/>
        <v>46120.60417</v>
      </c>
    </row>
    <row r="967">
      <c r="A967" s="14" t="str">
        <f t="shared" si="1"/>
        <v>C155346120</v>
      </c>
      <c r="B967" s="185" t="str">
        <f t="array" ref="B967">IF(F967="VL","",IF(F967="Free","Free",XLOOKUP(D967,Roster!T:T,Roster!S:S,"",0)))</f>
        <v>Free</v>
      </c>
      <c r="C967" s="313">
        <v>46120.0</v>
      </c>
      <c r="D967" s="314" t="s">
        <v>80</v>
      </c>
      <c r="E967" s="307" t="str">
        <f t="array" ref="E967">(XLOOKUP(D967,Roster!F:F,Roster!B:B,"",0))</f>
        <v>Valentina Castro</v>
      </c>
      <c r="F967" s="315" t="str">
        <f t="array" ref="F967">IF(B967=100,"Free",TEXT(XLOOKUP($D967,OperationVoice!$A:$A,OperationVoice!N:N,XLOOKUP($D967,OperationTickets!$A:$A,OperationTickets!N:N,"",0)),"hh:mm"))</f>
        <v>Free</v>
      </c>
      <c r="G967" s="309" t="str">
        <f t="shared" si="3"/>
        <v>Free</v>
      </c>
      <c r="H967" s="316" t="str">
        <f t="array" ref="H967">XLOOKUP(B967,Roster!L:L,Roster!N:N,XLOOKUP(D967,TicketsBreak!A:A,TicketsBreak!E:E,"",0),0)</f>
        <v/>
      </c>
      <c r="I967" s="316" t="str">
        <f t="array" ref="I967">XLOOKUP(B967,Roster!L:L,Roster!O:O,XLOOKUP(D967,TicketsBreak!A:A,TicketsBreak!F:F,"",0),0)</f>
        <v/>
      </c>
      <c r="J967" s="316" t="str">
        <f t="array" ref="J967">XLOOKUP(B967,Roster!L:L,Roster!P:P,XLOOKUP(D967,TicketsBreak!A:A,TicketsBreak!G:G,"",0),0)</f>
        <v/>
      </c>
      <c r="K967" s="310">
        <f t="shared" si="4"/>
        <v>46120</v>
      </c>
      <c r="L967" s="317">
        <f t="array" ref="L967">(XLOOKUP(D967,Roster!F:F,Roster!D:D,"",0))</f>
        <v>37</v>
      </c>
      <c r="M967" s="317" t="str">
        <f t="array" ref="M967">XLOOKUP(D967,Roster!F:F,Roster!E:E)</f>
        <v>Voice</v>
      </c>
      <c r="N967" s="317" t="str">
        <f t="shared" ref="N967:P967" si="984">LEFT(H967,5)</f>
        <v/>
      </c>
      <c r="O967" s="317" t="str">
        <f t="shared" si="984"/>
        <v/>
      </c>
      <c r="P967" s="317" t="str">
        <f t="shared" si="984"/>
        <v/>
      </c>
      <c r="Q967" s="318" t="str">
        <f t="shared" si="948"/>
        <v/>
      </c>
      <c r="R967" s="318" t="str">
        <f t="shared" si="949"/>
        <v/>
      </c>
      <c r="S967" s="318" t="str">
        <f t="shared" si="8"/>
        <v/>
      </c>
    </row>
    <row r="968">
      <c r="A968" s="14" t="str">
        <f t="shared" si="1"/>
        <v>C150246120</v>
      </c>
      <c r="B968" s="185" t="str">
        <f t="array" ref="B968">IF(F968="VL","",IF(F968="Free","Free",XLOOKUP(D968,Roster!T:T,Roster!S:S,"",0)))</f>
        <v/>
      </c>
      <c r="C968" s="313">
        <v>46120.0</v>
      </c>
      <c r="D968" s="314" t="s">
        <v>316</v>
      </c>
      <c r="E968" s="307" t="str">
        <f t="array" ref="E968">(XLOOKUP(D968,Roster!F:F,Roster!B:B,"",0))</f>
        <v>Valentina Gallego</v>
      </c>
      <c r="F968" s="315" t="str">
        <f t="array" ref="F968">IF(B968=100,"Free",TEXT(XLOOKUP($D968,OperationVoice!$A:$A,OperationVoice!N:N,XLOOKUP($D968,OperationTickets!$A:$A,OperationTickets!N:N,"",0)),"hh:mm"))</f>
        <v/>
      </c>
      <c r="G968" s="309" t="str">
        <f t="shared" si="3"/>
        <v/>
      </c>
      <c r="H968" s="316" t="str">
        <f t="array" ref="H968">XLOOKUP(B968,Roster!L:L,Roster!N:N,XLOOKUP(D968,TicketsBreak!A:A,TicketsBreak!E:E,"",0),0)</f>
        <v/>
      </c>
      <c r="I968" s="316" t="str">
        <f t="array" ref="I968">XLOOKUP(B968,Roster!L:L,Roster!O:O,XLOOKUP(D968,TicketsBreak!A:A,TicketsBreak!F:F,"",0),0)</f>
        <v/>
      </c>
      <c r="J968" s="316" t="str">
        <f t="array" ref="J968">XLOOKUP(B968,Roster!L:L,Roster!P:P,XLOOKUP(D968,TicketsBreak!A:A,TicketsBreak!G:G,"",0),0)</f>
        <v/>
      </c>
      <c r="K968" s="310">
        <f t="shared" si="4"/>
        <v>46120</v>
      </c>
      <c r="L968" s="317">
        <f t="array" ref="L968">(XLOOKUP(D968,Roster!F:F,Roster!D:D,"",0))</f>
        <v>35</v>
      </c>
      <c r="M968" s="317" t="str">
        <f t="array" ref="M968">XLOOKUP(D968,Roster!F:F,Roster!E:E)</f>
        <v>Voice</v>
      </c>
      <c r="N968" s="317" t="str">
        <f t="shared" ref="N968:P968" si="985">LEFT(H968,5)</f>
        <v/>
      </c>
      <c r="O968" s="317" t="str">
        <f t="shared" si="985"/>
        <v/>
      </c>
      <c r="P968" s="317" t="str">
        <f t="shared" si="985"/>
        <v/>
      </c>
      <c r="Q968" s="318" t="str">
        <f t="shared" si="948"/>
        <v/>
      </c>
      <c r="R968" s="318" t="str">
        <f t="shared" si="949"/>
        <v/>
      </c>
      <c r="S968" s="318" t="str">
        <f t="shared" si="8"/>
        <v/>
      </c>
    </row>
    <row r="969">
      <c r="A969" s="14" t="str">
        <f t="shared" si="1"/>
        <v>C112646120</v>
      </c>
      <c r="B969" s="185" t="str">
        <f t="array" ref="B969">IF(F969="VL","",IF(F969="Free","Free",XLOOKUP(D969,Roster!T:T,Roster!S:S,"",0)))</f>
        <v/>
      </c>
      <c r="C969" s="313">
        <v>46120.0</v>
      </c>
      <c r="D969" s="314" t="s">
        <v>152</v>
      </c>
      <c r="E969" s="307" t="str">
        <f t="array" ref="E969">(XLOOKUP(D969,Roster!F:F,Roster!B:B,"",0))</f>
        <v>Valery Escobar</v>
      </c>
      <c r="F969" s="315" t="str">
        <f t="array" ref="F969">IF(B969=100,"Free",TEXT(XLOOKUP($D969,OperationVoice!$A:$A,OperationVoice!N:N,XLOOKUP($D969,OperationTickets!$A:$A,OperationTickets!N:N,"",0)),"hh:mm"))</f>
        <v>08:00</v>
      </c>
      <c r="G969" s="309">
        <f t="shared" si="3"/>
        <v>0.7083333333</v>
      </c>
      <c r="H969" s="316">
        <f t="array" ref="H969">XLOOKUP(B969,Roster!L:L,Roster!N:N,XLOOKUP(D969,TicketsBreak!A:A,TicketsBreak!E:E,"",0),0)</f>
        <v>0.3854166667</v>
      </c>
      <c r="I969" s="316">
        <f t="array" ref="I969">XLOOKUP(B969,Roster!L:L,Roster!O:O,XLOOKUP(D969,TicketsBreak!A:A,TicketsBreak!F:F,"",0),0)</f>
        <v>0.5</v>
      </c>
      <c r="J969" s="316">
        <f t="array" ref="J969">XLOOKUP(B969,Roster!L:L,Roster!P:P,XLOOKUP(D969,TicketsBreak!A:A,TicketsBreak!G:G,"",0),0)</f>
        <v>0.6041666667</v>
      </c>
      <c r="K969" s="310">
        <f t="shared" si="4"/>
        <v>46120</v>
      </c>
      <c r="L969" s="317">
        <f t="array" ref="L969">(XLOOKUP(D969,Roster!F:F,Roster!D:D,"",0))</f>
        <v>21</v>
      </c>
      <c r="M969" s="317" t="str">
        <f t="array" ref="M969">XLOOKUP(D969,Roster!F:F,Roster!E:E)</f>
        <v>Tickets</v>
      </c>
      <c r="N969" s="317" t="str">
        <f t="shared" ref="N969:P969" si="986">LEFT(H969,5)</f>
        <v>09:15</v>
      </c>
      <c r="O969" s="317" t="str">
        <f t="shared" si="986"/>
        <v>12:00</v>
      </c>
      <c r="P969" s="317" t="str">
        <f t="shared" si="986"/>
        <v>14:30</v>
      </c>
      <c r="Q969" s="318">
        <f t="shared" si="948"/>
        <v>46120.38542</v>
      </c>
      <c r="R969" s="318">
        <f t="shared" si="949"/>
        <v>46120.5</v>
      </c>
      <c r="S969" s="318">
        <f t="shared" si="8"/>
        <v>46120.60417</v>
      </c>
    </row>
    <row r="970">
      <c r="A970" s="14" t="str">
        <f t="shared" si="1"/>
        <v>C155246120</v>
      </c>
      <c r="B970" s="185">
        <f t="array" ref="B970">IF(F970="VL","",IF(F970="Free","Free",XLOOKUP(D970,Roster!T:T,Roster!S:S,"",0)))</f>
        <v>125</v>
      </c>
      <c r="C970" s="313">
        <v>46120.0</v>
      </c>
      <c r="D970" s="314" t="s">
        <v>81</v>
      </c>
      <c r="E970" s="307" t="str">
        <f t="array" ref="E970">(XLOOKUP(D970,Roster!F:F,Roster!B:B,"",0))</f>
        <v>Wendy Machado</v>
      </c>
      <c r="F970" s="315" t="str">
        <f t="array" ref="F970">IF(B970=100,"Free",TEXT(XLOOKUP($D970,OperationVoice!$A:$A,OperationVoice!N:N,XLOOKUP($D970,OperationTickets!$A:$A,OperationTickets!N:N,"",0)),"hh:mm"))</f>
        <v>08:00</v>
      </c>
      <c r="G970" s="309">
        <f t="shared" si="3"/>
        <v>0.7083333333</v>
      </c>
      <c r="H970" s="316" t="str">
        <f t="array" ref="H970">XLOOKUP(B970,Roster!L:L,Roster!N:N,XLOOKUP(D970,TicketsBreak!A:A,TicketsBreak!E:E,"",0),0)</f>
        <v>10:30 - 10:45</v>
      </c>
      <c r="I970" s="316" t="str">
        <f t="array" ref="I970">XLOOKUP(B970,Roster!L:L,Roster!O:O,XLOOKUP(D970,TicketsBreak!A:A,TicketsBreak!F:F,"",0),0)</f>
        <v>13:30 - 14:00</v>
      </c>
      <c r="J970" s="316" t="str">
        <f t="array" ref="J970">XLOOKUP(B970,Roster!L:L,Roster!P:P,XLOOKUP(D970,TicketsBreak!A:A,TicketsBreak!G:G,"",0),0)</f>
        <v>15:45 - 16:00</v>
      </c>
      <c r="K970" s="310">
        <f t="shared" si="4"/>
        <v>46120</v>
      </c>
      <c r="L970" s="317">
        <f t="array" ref="L970">(XLOOKUP(D970,Roster!F:F,Roster!D:D,"",0))</f>
        <v>37</v>
      </c>
      <c r="M970" s="317" t="str">
        <f t="array" ref="M970">XLOOKUP(D970,Roster!F:F,Roster!E:E)</f>
        <v>Voice</v>
      </c>
      <c r="N970" s="317" t="str">
        <f t="shared" ref="N970:P970" si="987">LEFT(H970,5)</f>
        <v>10:30</v>
      </c>
      <c r="O970" s="317" t="str">
        <f t="shared" si="987"/>
        <v>13:30</v>
      </c>
      <c r="P970" s="317" t="str">
        <f t="shared" si="987"/>
        <v>15:45</v>
      </c>
      <c r="Q970" s="318">
        <f t="shared" si="948"/>
        <v>46120.4375</v>
      </c>
      <c r="R970" s="318">
        <f t="shared" si="949"/>
        <v>46120.5625</v>
      </c>
      <c r="S970" s="318">
        <f t="shared" si="8"/>
        <v>46120.65625</v>
      </c>
    </row>
    <row r="971">
      <c r="A971" s="14" t="str">
        <f t="shared" si="1"/>
        <v>C78646120</v>
      </c>
      <c r="B971" s="185" t="str">
        <f t="array" ref="B971">IF(F971="VL","",IF(F971="Free","Free",XLOOKUP(D971,Roster!T:T,Roster!S:S,"",0)))</f>
        <v/>
      </c>
      <c r="C971" s="313">
        <v>46120.0</v>
      </c>
      <c r="D971" s="314" t="s">
        <v>136</v>
      </c>
      <c r="E971" s="307" t="str">
        <f t="array" ref="E971">(XLOOKUP(D971,Roster!F:F,Roster!B:B,"",0))</f>
        <v>Wendy Navarro</v>
      </c>
      <c r="F971" s="315" t="str">
        <f t="array" ref="F971">IF(B971=100,"Free",TEXT(XLOOKUP($D971,OperationVoice!$A:$A,OperationVoice!N:N,XLOOKUP($D971,OperationTickets!$A:$A,OperationTickets!N:N,"",0)),"hh:mm"))</f>
        <v>08:00</v>
      </c>
      <c r="G971" s="309">
        <f t="shared" si="3"/>
        <v>0.7083333333</v>
      </c>
      <c r="H971" s="316">
        <f t="array" ref="H971">XLOOKUP(B971,Roster!L:L,Roster!N:N,XLOOKUP(D971,TicketsBreak!A:A,TicketsBreak!E:E,"",0),0)</f>
        <v>0.4166666667</v>
      </c>
      <c r="I971" s="316">
        <f t="array" ref="I971">XLOOKUP(B971,Roster!L:L,Roster!O:O,XLOOKUP(D971,TicketsBreak!A:A,TicketsBreak!F:F,"",0),0)</f>
        <v>0.5416666667</v>
      </c>
      <c r="J971" s="316">
        <f t="array" ref="J971">XLOOKUP(B971,Roster!L:L,Roster!P:P,XLOOKUP(D971,TicketsBreak!A:A,TicketsBreak!G:G,"",0),0)</f>
        <v>0.6458333333</v>
      </c>
      <c r="K971" s="310">
        <f t="shared" si="4"/>
        <v>46120</v>
      </c>
      <c r="L971" s="317">
        <f t="array" ref="L971">(XLOOKUP(D971,Roster!F:F,Roster!D:D,"",0))</f>
        <v>16</v>
      </c>
      <c r="M971" s="317" t="str">
        <f t="array" ref="M971">XLOOKUP(D971,Roster!F:F,Roster!E:E)</f>
        <v>Tickets</v>
      </c>
      <c r="N971" s="317" t="str">
        <f t="shared" ref="N971:P971" si="988">LEFT(H971,5)</f>
        <v>10:00</v>
      </c>
      <c r="O971" s="317" t="str">
        <f t="shared" si="988"/>
        <v>13:00</v>
      </c>
      <c r="P971" s="317" t="str">
        <f t="shared" si="988"/>
        <v>15:30</v>
      </c>
      <c r="Q971" s="318">
        <f t="shared" si="948"/>
        <v>46120.41667</v>
      </c>
      <c r="R971" s="318">
        <f t="shared" si="949"/>
        <v>46120.54167</v>
      </c>
      <c r="S971" s="318">
        <f t="shared" si="8"/>
        <v>46120.64583</v>
      </c>
    </row>
    <row r="972">
      <c r="A972" s="14" t="str">
        <f t="shared" si="1"/>
        <v>C153746120</v>
      </c>
      <c r="B972" s="185">
        <f t="array" ref="B972">IF(F972="VL","",IF(F972="Free","Free",XLOOKUP(D972,Roster!T:T,Roster!S:S,"",0)))</f>
        <v>135</v>
      </c>
      <c r="C972" s="313">
        <v>46120.0</v>
      </c>
      <c r="D972" s="314" t="s">
        <v>82</v>
      </c>
      <c r="E972" s="307" t="str">
        <f t="array" ref="E972">(XLOOKUP(D972,Roster!F:F,Roster!B:B,"",0))</f>
        <v>William Florez</v>
      </c>
      <c r="F972" s="315" t="str">
        <f t="array" ref="F972">IF(B972=100,"Free",TEXT(XLOOKUP($D972,OperationVoice!$A:$A,OperationVoice!N:N,XLOOKUP($D972,OperationTickets!$A:$A,OperationTickets!N:N,"",0)),"hh:mm"))</f>
        <v>09:00</v>
      </c>
      <c r="G972" s="309">
        <f t="shared" si="3"/>
        <v>0.75</v>
      </c>
      <c r="H972" s="316" t="str">
        <f t="array" ref="H972">XLOOKUP(B972,Roster!L:L,Roster!N:N,XLOOKUP(D972,TicketsBreak!A:A,TicketsBreak!E:E,"",0),0)</f>
        <v>11:15 - 11:30</v>
      </c>
      <c r="I972" s="316" t="str">
        <f t="array" ref="I972">XLOOKUP(B972,Roster!L:L,Roster!O:O,XLOOKUP(D972,TicketsBreak!A:A,TicketsBreak!F:F,"",0),0)</f>
        <v>14:15 - 14:45</v>
      </c>
      <c r="J972" s="316" t="str">
        <f t="array" ref="J972">XLOOKUP(B972,Roster!L:L,Roster!P:P,XLOOKUP(D972,TicketsBreak!A:A,TicketsBreak!G:G,"",0),0)</f>
        <v>16:15 - 16:30</v>
      </c>
      <c r="K972" s="310">
        <f t="shared" si="4"/>
        <v>46120</v>
      </c>
      <c r="L972" s="317">
        <f t="array" ref="L972">(XLOOKUP(D972,Roster!F:F,Roster!D:D,"",0))</f>
        <v>36</v>
      </c>
      <c r="M972" s="317" t="str">
        <f t="array" ref="M972">XLOOKUP(D972,Roster!F:F,Roster!E:E)</f>
        <v>Voice</v>
      </c>
      <c r="N972" s="317" t="str">
        <f t="shared" ref="N972:P972" si="989">LEFT(H972,5)</f>
        <v>11:15</v>
      </c>
      <c r="O972" s="317" t="str">
        <f t="shared" si="989"/>
        <v>14:15</v>
      </c>
      <c r="P972" s="317" t="str">
        <f t="shared" si="989"/>
        <v>16:15</v>
      </c>
      <c r="Q972" s="318">
        <f t="shared" si="948"/>
        <v>46120.46875</v>
      </c>
      <c r="R972" s="318">
        <f t="shared" si="949"/>
        <v>46120.59375</v>
      </c>
      <c r="S972" s="318">
        <f t="shared" si="8"/>
        <v>46120.67708</v>
      </c>
    </row>
    <row r="973">
      <c r="A973" s="14" t="str">
        <f t="shared" si="1"/>
        <v>C135346120</v>
      </c>
      <c r="B973" s="185">
        <f t="array" ref="B973">IF(F973="VL","",IF(F973="Free","Free",XLOOKUP(D973,Roster!T:T,Roster!S:S,"",0)))</f>
        <v>121</v>
      </c>
      <c r="C973" s="313">
        <v>46120.0</v>
      </c>
      <c r="D973" s="314" t="s">
        <v>83</v>
      </c>
      <c r="E973" s="307" t="str">
        <f t="array" ref="E973">(XLOOKUP(D973,Roster!F:F,Roster!B:B,"",0))</f>
        <v>Wilson Martinez</v>
      </c>
      <c r="F973" s="315" t="str">
        <f t="array" ref="F973">IF(B973=100,"Free",TEXT(XLOOKUP($D973,OperationVoice!$A:$A,OperationVoice!N:N,XLOOKUP($D973,OperationTickets!$A:$A,OperationTickets!N:N,"",0)),"hh:mm"))</f>
        <v>08:00</v>
      </c>
      <c r="G973" s="309">
        <f t="shared" si="3"/>
        <v>0.7083333333</v>
      </c>
      <c r="H973" s="316" t="str">
        <f t="array" ref="H973">XLOOKUP(B973,Roster!L:L,Roster!N:N,XLOOKUP(D973,TicketsBreak!A:A,TicketsBreak!E:E,"",0),0)</f>
        <v>09:15 - 09:30</v>
      </c>
      <c r="I973" s="316" t="str">
        <f t="array" ref="I973">XLOOKUP(B973,Roster!L:L,Roster!O:O,XLOOKUP(D973,TicketsBreak!A:A,TicketsBreak!F:F,"",0),0)</f>
        <v>11:30 - 12:00</v>
      </c>
      <c r="J973" s="316" t="str">
        <f t="array" ref="J973">XLOOKUP(B973,Roster!L:L,Roster!P:P,XLOOKUP(D973,TicketsBreak!A:A,TicketsBreak!G:G,"",0),0)</f>
        <v>14:30 - 14:45</v>
      </c>
      <c r="K973" s="310">
        <f t="shared" si="4"/>
        <v>46120</v>
      </c>
      <c r="L973" s="317">
        <f t="array" ref="L973">(XLOOKUP(D973,Roster!F:F,Roster!D:D,"",0))</f>
        <v>30</v>
      </c>
      <c r="M973" s="317" t="str">
        <f t="array" ref="M973">XLOOKUP(D973,Roster!F:F,Roster!E:E)</f>
        <v>Voice</v>
      </c>
      <c r="N973" s="317" t="str">
        <f t="shared" ref="N973:P973" si="990">LEFT(H973,5)</f>
        <v>09:15</v>
      </c>
      <c r="O973" s="317" t="str">
        <f t="shared" si="990"/>
        <v>11:30</v>
      </c>
      <c r="P973" s="317" t="str">
        <f t="shared" si="990"/>
        <v>14:30</v>
      </c>
      <c r="Q973" s="318">
        <f t="shared" si="948"/>
        <v>46120.38542</v>
      </c>
      <c r="R973" s="318">
        <f t="shared" si="949"/>
        <v>46120.47917</v>
      </c>
      <c r="S973" s="318">
        <f t="shared" si="8"/>
        <v>46120.60417</v>
      </c>
    </row>
    <row r="974">
      <c r="A974" s="14" t="str">
        <f t="shared" si="1"/>
        <v>C117346120</v>
      </c>
      <c r="B974" s="185">
        <f t="array" ref="B974">IF(F974="VL","",IF(F974="Free","Free",XLOOKUP(D974,Roster!T:T,Roster!S:S,"",0)))</f>
        <v>122</v>
      </c>
      <c r="C974" s="313">
        <v>46120.0</v>
      </c>
      <c r="D974" s="314" t="s">
        <v>84</v>
      </c>
      <c r="E974" s="307" t="str">
        <f t="array" ref="E974">(XLOOKUP(D974,Roster!F:F,Roster!B:B,"",0))</f>
        <v>Yaidy Mosquera</v>
      </c>
      <c r="F974" s="315" t="str">
        <f t="array" ref="F974">IF(B974=100,"Free",TEXT(XLOOKUP($D974,OperationVoice!$A:$A,OperationVoice!N:N,XLOOKUP($D974,OperationTickets!$A:$A,OperationTickets!N:N,"",0)),"hh:mm"))</f>
        <v>08:00</v>
      </c>
      <c r="G974" s="309">
        <f t="shared" si="3"/>
        <v>0.7083333333</v>
      </c>
      <c r="H974" s="316" t="str">
        <f t="array" ref="H974">XLOOKUP(B974,Roster!L:L,Roster!N:N,XLOOKUP(D974,TicketsBreak!A:A,TicketsBreak!E:E,"",0),0)</f>
        <v>09:30 - 09:45</v>
      </c>
      <c r="I974" s="316" t="str">
        <f t="array" ref="I974">XLOOKUP(B974,Roster!L:L,Roster!O:O,XLOOKUP(D974,TicketsBreak!A:A,TicketsBreak!F:F,"",0),0)</f>
        <v>12:00 - 12:30</v>
      </c>
      <c r="J974" s="316" t="str">
        <f t="array" ref="J974">XLOOKUP(B974,Roster!L:L,Roster!P:P,XLOOKUP(D974,TicketsBreak!A:A,TicketsBreak!G:G,"",0),0)</f>
        <v>14:45 - 15:00</v>
      </c>
      <c r="K974" s="310">
        <f t="shared" si="4"/>
        <v>46120</v>
      </c>
      <c r="L974" s="317">
        <f t="array" ref="L974">(XLOOKUP(D974,Roster!F:F,Roster!D:D,"",0))</f>
        <v>24</v>
      </c>
      <c r="M974" s="317" t="str">
        <f t="array" ref="M974">XLOOKUP(D974,Roster!F:F,Roster!E:E)</f>
        <v>Voice</v>
      </c>
      <c r="N974" s="317" t="str">
        <f t="shared" ref="N974:P974" si="991">LEFT(H974,5)</f>
        <v>09:30</v>
      </c>
      <c r="O974" s="317" t="str">
        <f t="shared" si="991"/>
        <v>12:00</v>
      </c>
      <c r="P974" s="317" t="str">
        <f t="shared" si="991"/>
        <v>14:45</v>
      </c>
      <c r="Q974" s="318">
        <f t="shared" si="948"/>
        <v>46120.39583</v>
      </c>
      <c r="R974" s="318">
        <f t="shared" si="949"/>
        <v>46120.5</v>
      </c>
      <c r="S974" s="318">
        <f t="shared" si="8"/>
        <v>46120.61458</v>
      </c>
    </row>
    <row r="975">
      <c r="A975" s="14" t="str">
        <f t="shared" si="1"/>
        <v>C110846120</v>
      </c>
      <c r="B975" s="185" t="str">
        <f t="array" ref="B975">IF(F975="VL","",IF(F975="Free","Free",XLOOKUP(D975,Roster!T:T,Roster!S:S,"",0)))</f>
        <v>Free</v>
      </c>
      <c r="C975" s="313">
        <v>46120.0</v>
      </c>
      <c r="D975" s="314" t="s">
        <v>187</v>
      </c>
      <c r="E975" s="307" t="str">
        <f t="array" ref="E975">(XLOOKUP(D975,Roster!F:F,Roster!B:B,"",0))</f>
        <v>Yeiner Tapias</v>
      </c>
      <c r="F975" s="315" t="str">
        <f t="array" ref="F975">IF(B975=100,"Free",TEXT(XLOOKUP($D975,OperationVoice!$A:$A,OperationVoice!N:N,XLOOKUP($D975,OperationTickets!$A:$A,OperationTickets!N:N,"",0)),"hh:mm"))</f>
        <v>Free</v>
      </c>
      <c r="G975" s="309" t="str">
        <f t="shared" si="3"/>
        <v>Free</v>
      </c>
      <c r="H975" s="316">
        <f t="array" ref="H975">XLOOKUP(B975,Roster!L:L,Roster!N:N,XLOOKUP(D975,TicketsBreak!A:A,TicketsBreak!E:E,"",0),0)</f>
        <v>0.3958333333</v>
      </c>
      <c r="I975" s="316">
        <f t="array" ref="I975">XLOOKUP(B975,Roster!L:L,Roster!O:O,XLOOKUP(D975,TicketsBreak!A:A,TicketsBreak!F:F,"",0),0)</f>
        <v>0.5208333333</v>
      </c>
      <c r="J975" s="316">
        <f t="array" ref="J975">XLOOKUP(B975,Roster!L:L,Roster!P:P,XLOOKUP(D975,TicketsBreak!A:A,TicketsBreak!G:G,"",0),0)</f>
        <v>0.6145833333</v>
      </c>
      <c r="K975" s="310">
        <f t="shared" si="4"/>
        <v>46120</v>
      </c>
      <c r="L975" s="317">
        <f t="array" ref="L975">(XLOOKUP(D975,Roster!F:F,Roster!D:D,"",0))</f>
        <v>20</v>
      </c>
      <c r="M975" s="317" t="str">
        <f t="array" ref="M975">XLOOKUP(D975,Roster!F:F,Roster!E:E)</f>
        <v>Tickets</v>
      </c>
      <c r="N975" s="317" t="str">
        <f t="shared" ref="N975:P975" si="992">LEFT(H975,5)</f>
        <v>09:30</v>
      </c>
      <c r="O975" s="317" t="str">
        <f t="shared" si="992"/>
        <v>12:30</v>
      </c>
      <c r="P975" s="317" t="str">
        <f t="shared" si="992"/>
        <v>14:45</v>
      </c>
      <c r="Q975" s="318">
        <f t="shared" si="948"/>
        <v>46120.39583</v>
      </c>
      <c r="R975" s="318">
        <f t="shared" si="949"/>
        <v>46120.52083</v>
      </c>
      <c r="S975" s="318">
        <f t="shared" si="8"/>
        <v>46120.61458</v>
      </c>
    </row>
    <row r="976">
      <c r="A976" s="14" t="str">
        <f t="shared" si="1"/>
        <v>C153946120</v>
      </c>
      <c r="B976" s="185">
        <f t="array" ref="B976">IF(F976="VL","",IF(F976="Free","Free",XLOOKUP(D976,Roster!T:T,Roster!S:S,"",0)))</f>
        <v>123</v>
      </c>
      <c r="C976" s="313">
        <v>46120.0</v>
      </c>
      <c r="D976" s="314" t="s">
        <v>85</v>
      </c>
      <c r="E976" s="307" t="str">
        <f t="array" ref="E976">(XLOOKUP(D976,Roster!F:F,Roster!B:B,"",0))</f>
        <v>Yovanny Ceballos</v>
      </c>
      <c r="F976" s="315" t="str">
        <f t="array" ref="F976">IF(B976=100,"Free",TEXT(XLOOKUP($D976,OperationVoice!$A:$A,OperationVoice!N:N,XLOOKUP($D976,OperationTickets!$A:$A,OperationTickets!N:N,"",0)),"hh:mm"))</f>
        <v/>
      </c>
      <c r="G976" s="309" t="str">
        <f t="shared" si="3"/>
        <v/>
      </c>
      <c r="H976" s="316" t="str">
        <f t="array" ref="H976">XLOOKUP(B976,Roster!L:L,Roster!N:N,XLOOKUP(D976,TicketsBreak!A:A,TicketsBreak!E:E,"",0),0)</f>
        <v>09:45 - 10:00 </v>
      </c>
      <c r="I976" s="316" t="str">
        <f t="array" ref="I976">XLOOKUP(B976,Roster!L:L,Roster!O:O,XLOOKUP(D976,TicketsBreak!A:A,TicketsBreak!F:F,"",0),0)</f>
        <v>12:30 - 13:00</v>
      </c>
      <c r="J976" s="316" t="str">
        <f t="array" ref="J976">XLOOKUP(B976,Roster!L:L,Roster!P:P,XLOOKUP(D976,TicketsBreak!A:A,TicketsBreak!G:G,"",0),0)</f>
        <v>15:00 - 15:15</v>
      </c>
      <c r="K976" s="310">
        <f t="shared" si="4"/>
        <v>46120</v>
      </c>
      <c r="L976" s="317">
        <f t="array" ref="L976">(XLOOKUP(D976,Roster!F:F,Roster!D:D,"",0))</f>
        <v>36</v>
      </c>
      <c r="M976" s="317" t="str">
        <f t="array" ref="M976">XLOOKUP(D976,Roster!F:F,Roster!E:E)</f>
        <v>Voice</v>
      </c>
      <c r="N976" s="317" t="str">
        <f t="shared" ref="N976:P976" si="993">LEFT(H976,5)</f>
        <v>09:45</v>
      </c>
      <c r="O976" s="317" t="str">
        <f t="shared" si="993"/>
        <v>12:30</v>
      </c>
      <c r="P976" s="317" t="str">
        <f t="shared" si="993"/>
        <v>15:00</v>
      </c>
      <c r="Q976" s="318">
        <f t="shared" si="948"/>
        <v>46120.40625</v>
      </c>
      <c r="R976" s="318">
        <f t="shared" si="949"/>
        <v>46120.52083</v>
      </c>
      <c r="S976" s="318">
        <f t="shared" si="8"/>
        <v>46120.625</v>
      </c>
    </row>
    <row r="977">
      <c r="A977" s="14" t="str">
        <f t="shared" si="1"/>
        <v>46120</v>
      </c>
      <c r="B977" s="185" t="str">
        <f t="array" ref="B977">IF(F977="VL","",IF(F977="Free","Free",XLOOKUP(D977,Roster!T:T,Roster!S:S,"",0)))</f>
        <v/>
      </c>
      <c r="C977" s="313">
        <v>46120.0</v>
      </c>
      <c r="D977" s="314"/>
      <c r="E977" s="307" t="str">
        <f t="array" ref="E977">(XLOOKUP(D977,Roster!F:F,Roster!B:B,"",0))</f>
        <v/>
      </c>
      <c r="F977" s="315" t="str">
        <f t="array" ref="F977">IF(B977=100,"Free",TEXT(XLOOKUP($D977,OperationVoice!$A:$A,OperationVoice!N:N,XLOOKUP($D977,OperationTickets!$A:$A,OperationTickets!N:N,"",0)),"hh:mm"))</f>
        <v/>
      </c>
      <c r="G977" s="309" t="str">
        <f t="shared" si="3"/>
        <v/>
      </c>
      <c r="H977" s="316" t="str">
        <f t="array" ref="H977">XLOOKUP(B977,Roster!L:L,Roster!N:N,XLOOKUP(D977,TicketsBreak!A:A,TicketsBreak!E:E,"",0),0)</f>
        <v/>
      </c>
      <c r="I977" s="316" t="str">
        <f t="array" ref="I977">XLOOKUP(B977,Roster!L:L,Roster!O:O,XLOOKUP(D977,TicketsBreak!A:A,TicketsBreak!F:F,"",0),0)</f>
        <v/>
      </c>
      <c r="J977" s="316" t="str">
        <f t="array" ref="J977">XLOOKUP(B977,Roster!L:L,Roster!P:P,XLOOKUP(D977,TicketsBreak!A:A,TicketsBreak!G:G,"",0),0)</f>
        <v/>
      </c>
      <c r="K977" s="310">
        <f t="shared" si="4"/>
        <v>46120</v>
      </c>
      <c r="L977" s="317" t="str">
        <f t="array" ref="L977">(XLOOKUP(D977,Roster!F:F,Roster!D:D,"",0))</f>
        <v/>
      </c>
      <c r="M977" s="317" t="str">
        <f t="array" ref="M977">XLOOKUP(D977,Roster!F:F,Roster!E:E)</f>
        <v>#N/A</v>
      </c>
      <c r="N977" s="317" t="str">
        <f t="shared" ref="N977:P977" si="994">LEFT(H977,5)</f>
        <v/>
      </c>
      <c r="O977" s="317" t="str">
        <f t="shared" si="994"/>
        <v/>
      </c>
      <c r="P977" s="317" t="str">
        <f t="shared" si="994"/>
        <v/>
      </c>
      <c r="Q977" s="318" t="str">
        <f t="shared" si="948"/>
        <v/>
      </c>
      <c r="R977" s="318" t="str">
        <f t="shared" si="949"/>
        <v/>
      </c>
      <c r="S977" s="318" t="str">
        <f t="shared" si="8"/>
        <v/>
      </c>
    </row>
    <row r="978">
      <c r="A978" s="14" t="str">
        <f t="shared" si="1"/>
        <v>46120</v>
      </c>
      <c r="B978" s="185" t="str">
        <f t="array" ref="B978">IF(F978="VL","",IF(F978="Free","Free",XLOOKUP(D978,Roster!T:T,Roster!S:S,"",0)))</f>
        <v/>
      </c>
      <c r="C978" s="313">
        <v>46120.0</v>
      </c>
      <c r="D978" s="314"/>
      <c r="E978" s="307" t="str">
        <f t="array" ref="E978">(XLOOKUP(D978,Roster!F:F,Roster!B:B,"",0))</f>
        <v/>
      </c>
      <c r="F978" s="315" t="str">
        <f t="array" ref="F978">IF(B978=100,"Free",TEXT(XLOOKUP($D978,OperationVoice!$A:$A,OperationVoice!N:N,XLOOKUP($D978,OperationTickets!$A:$A,OperationTickets!N:N,"",0)),"hh:mm"))</f>
        <v/>
      </c>
      <c r="G978" s="309" t="str">
        <f t="shared" si="3"/>
        <v/>
      </c>
      <c r="H978" s="316" t="str">
        <f t="array" ref="H978">XLOOKUP(B978,Roster!L:L,Roster!N:N,XLOOKUP(D978,TicketsBreak!A:A,TicketsBreak!E:E,"",0),0)</f>
        <v/>
      </c>
      <c r="I978" s="316" t="str">
        <f t="array" ref="I978">XLOOKUP(B978,Roster!L:L,Roster!O:O,XLOOKUP(D978,TicketsBreak!A:A,TicketsBreak!F:F,"",0),0)</f>
        <v/>
      </c>
      <c r="J978" s="316" t="str">
        <f t="array" ref="J978">XLOOKUP(B978,Roster!L:L,Roster!P:P,XLOOKUP(D978,TicketsBreak!A:A,TicketsBreak!G:G,"",0),0)</f>
        <v/>
      </c>
      <c r="K978" s="310">
        <f t="shared" si="4"/>
        <v>46120</v>
      </c>
      <c r="L978" s="317" t="str">
        <f t="array" ref="L978">(XLOOKUP(D978,Roster!F:F,Roster!D:D,"",0))</f>
        <v/>
      </c>
      <c r="M978" s="317" t="str">
        <f t="array" ref="M978">XLOOKUP(D978,Roster!F:F,Roster!E:E)</f>
        <v>#N/A</v>
      </c>
      <c r="N978" s="317" t="str">
        <f t="shared" ref="N978:P978" si="995">LEFT(H978,5)</f>
        <v/>
      </c>
      <c r="O978" s="317" t="str">
        <f t="shared" si="995"/>
        <v/>
      </c>
      <c r="P978" s="317" t="str">
        <f t="shared" si="995"/>
        <v/>
      </c>
      <c r="Q978" s="318" t="str">
        <f t="shared" si="948"/>
        <v/>
      </c>
      <c r="R978" s="318" t="str">
        <f t="shared" si="949"/>
        <v/>
      </c>
      <c r="S978" s="318" t="str">
        <f t="shared" si="8"/>
        <v/>
      </c>
    </row>
    <row r="979">
      <c r="A979" s="14" t="str">
        <f t="shared" si="1"/>
        <v>46120</v>
      </c>
      <c r="B979" s="185" t="str">
        <f t="array" ref="B979">IF(F979="VL","",IF(F979="Free","Free",XLOOKUP(D979,Roster!T:T,Roster!S:S,"",0)))</f>
        <v/>
      </c>
      <c r="C979" s="313">
        <v>46120.0</v>
      </c>
      <c r="D979" s="314"/>
      <c r="E979" s="307" t="str">
        <f t="array" ref="E979">(XLOOKUP(D979,Roster!F:F,Roster!B:B,"",0))</f>
        <v/>
      </c>
      <c r="F979" s="315" t="str">
        <f t="array" ref="F979">IF(B979=100,"Free",TEXT(XLOOKUP($D979,OperationVoice!$A:$A,OperationVoice!N:N,XLOOKUP($D979,OperationTickets!$A:$A,OperationTickets!N:N,"",0)),"hh:mm"))</f>
        <v/>
      </c>
      <c r="G979" s="309" t="str">
        <f t="shared" si="3"/>
        <v/>
      </c>
      <c r="H979" s="316" t="str">
        <f t="array" ref="H979">XLOOKUP(B979,Roster!L:L,Roster!N:N,XLOOKUP(D979,TicketsBreak!A:A,TicketsBreak!E:E,"",0),0)</f>
        <v/>
      </c>
      <c r="I979" s="316" t="str">
        <f t="array" ref="I979">XLOOKUP(B979,Roster!L:L,Roster!O:O,XLOOKUP(D979,TicketsBreak!A:A,TicketsBreak!F:F,"",0),0)</f>
        <v/>
      </c>
      <c r="J979" s="316" t="str">
        <f t="array" ref="J979">XLOOKUP(B979,Roster!L:L,Roster!P:P,XLOOKUP(D979,TicketsBreak!A:A,TicketsBreak!G:G,"",0),0)</f>
        <v/>
      </c>
      <c r="K979" s="310">
        <f t="shared" si="4"/>
        <v>46120</v>
      </c>
      <c r="L979" s="317" t="str">
        <f t="array" ref="L979">(XLOOKUP(D979,Roster!F:F,Roster!D:D,"",0))</f>
        <v/>
      </c>
      <c r="M979" s="317" t="str">
        <f t="array" ref="M979">XLOOKUP(D979,Roster!F:F,Roster!E:E)</f>
        <v>#N/A</v>
      </c>
      <c r="N979" s="317" t="str">
        <f t="shared" ref="N979:P979" si="996">LEFT(H979,5)</f>
        <v/>
      </c>
      <c r="O979" s="317" t="str">
        <f t="shared" si="996"/>
        <v/>
      </c>
      <c r="P979" s="317" t="str">
        <f t="shared" si="996"/>
        <v/>
      </c>
      <c r="Q979" s="318" t="str">
        <f t="shared" si="948"/>
        <v/>
      </c>
      <c r="R979" s="318" t="str">
        <f t="shared" si="949"/>
        <v/>
      </c>
      <c r="S979" s="318" t="str">
        <f t="shared" si="8"/>
        <v/>
      </c>
    </row>
    <row r="980">
      <c r="A980" s="14" t="str">
        <f t="shared" si="1"/>
        <v>46120</v>
      </c>
      <c r="B980" s="185" t="str">
        <f t="array" ref="B980">IF(F980="VL","",IF(F980="Free","Free",XLOOKUP(D980,Roster!T:T,Roster!S:S,"",0)))</f>
        <v/>
      </c>
      <c r="C980" s="313">
        <v>46120.0</v>
      </c>
      <c r="D980" s="314"/>
      <c r="E980" s="307" t="str">
        <f t="array" ref="E980">(XLOOKUP(D980,Roster!F:F,Roster!B:B,"",0))</f>
        <v/>
      </c>
      <c r="F980" s="315" t="str">
        <f t="array" ref="F980">IF(B980=100,"Free",TEXT(XLOOKUP($D980,OperationVoice!$A:$A,OperationVoice!N:N,XLOOKUP($D980,OperationTickets!$A:$A,OperationTickets!N:N,"",0)),"hh:mm"))</f>
        <v/>
      </c>
      <c r="G980" s="309" t="str">
        <f t="shared" si="3"/>
        <v/>
      </c>
      <c r="H980" s="316" t="str">
        <f t="array" ref="H980">XLOOKUP(B980,Roster!L:L,Roster!N:N,XLOOKUP(D980,TicketsBreak!A:A,TicketsBreak!E:E,"",0),0)</f>
        <v/>
      </c>
      <c r="I980" s="316" t="str">
        <f t="array" ref="I980">XLOOKUP(B980,Roster!L:L,Roster!O:O,XLOOKUP(D980,TicketsBreak!A:A,TicketsBreak!F:F,"",0),0)</f>
        <v/>
      </c>
      <c r="J980" s="316" t="str">
        <f t="array" ref="J980">XLOOKUP(B980,Roster!L:L,Roster!P:P,XLOOKUP(D980,TicketsBreak!A:A,TicketsBreak!G:G,"",0),0)</f>
        <v/>
      </c>
      <c r="K980" s="310">
        <f t="shared" si="4"/>
        <v>46120</v>
      </c>
      <c r="L980" s="317" t="str">
        <f t="array" ref="L980">(XLOOKUP(D980,Roster!F:F,Roster!D:D,"",0))</f>
        <v/>
      </c>
      <c r="M980" s="317" t="str">
        <f t="array" ref="M980">XLOOKUP(D980,Roster!F:F,Roster!E:E)</f>
        <v>#N/A</v>
      </c>
      <c r="N980" s="317" t="str">
        <f t="shared" ref="N980:P980" si="997">LEFT(H980,5)</f>
        <v/>
      </c>
      <c r="O980" s="317" t="str">
        <f t="shared" si="997"/>
        <v/>
      </c>
      <c r="P980" s="317" t="str">
        <f t="shared" si="997"/>
        <v/>
      </c>
      <c r="Q980" s="318" t="str">
        <f t="shared" si="948"/>
        <v/>
      </c>
      <c r="R980" s="318" t="str">
        <f t="shared" si="949"/>
        <v/>
      </c>
      <c r="S980" s="318" t="str">
        <f t="shared" si="8"/>
        <v/>
      </c>
    </row>
    <row r="981">
      <c r="A981" s="14" t="str">
        <f t="shared" si="1"/>
        <v>46120</v>
      </c>
      <c r="B981" s="185" t="str">
        <f t="array" ref="B981">IF(F981="VL","",IF(F981="Free","Free",XLOOKUP(D981,Roster!T:T,Roster!S:S,"",0)))</f>
        <v/>
      </c>
      <c r="C981" s="313">
        <v>46120.0</v>
      </c>
      <c r="D981" s="314"/>
      <c r="E981" s="307" t="str">
        <f t="array" ref="E981">(XLOOKUP(D981,Roster!F:F,Roster!B:B,"",0))</f>
        <v/>
      </c>
      <c r="F981" s="315" t="str">
        <f t="array" ref="F981">IF(B981=100,"Free",TEXT(XLOOKUP($D981,OperationVoice!$A:$A,OperationVoice!N:N,XLOOKUP($D981,OperationTickets!$A:$A,OperationTickets!N:N,"",0)),"hh:mm"))</f>
        <v/>
      </c>
      <c r="G981" s="309" t="str">
        <f t="shared" si="3"/>
        <v/>
      </c>
      <c r="H981" s="316" t="str">
        <f t="array" ref="H981">XLOOKUP(B981,Roster!L:L,Roster!N:N,XLOOKUP(D981,TicketsBreak!A:A,TicketsBreak!E:E,"",0),0)</f>
        <v/>
      </c>
      <c r="I981" s="316" t="str">
        <f t="array" ref="I981">XLOOKUP(B981,Roster!L:L,Roster!O:O,XLOOKUP(D981,TicketsBreak!A:A,TicketsBreak!F:F,"",0),0)</f>
        <v/>
      </c>
      <c r="J981" s="316" t="str">
        <f t="array" ref="J981">XLOOKUP(B981,Roster!L:L,Roster!P:P,XLOOKUP(D981,TicketsBreak!A:A,TicketsBreak!G:G,"",0),0)</f>
        <v/>
      </c>
      <c r="K981" s="310">
        <f t="shared" si="4"/>
        <v>46120</v>
      </c>
      <c r="L981" s="317" t="str">
        <f t="array" ref="L981">(XLOOKUP(D981,Roster!F:F,Roster!D:D,"",0))</f>
        <v/>
      </c>
      <c r="M981" s="317" t="str">
        <f t="array" ref="M981">XLOOKUP(D981,Roster!F:F,Roster!E:E)</f>
        <v>#N/A</v>
      </c>
      <c r="N981" s="317" t="str">
        <f t="shared" ref="N981:P981" si="998">LEFT(H981,5)</f>
        <v/>
      </c>
      <c r="O981" s="317" t="str">
        <f t="shared" si="998"/>
        <v/>
      </c>
      <c r="P981" s="317" t="str">
        <f t="shared" si="998"/>
        <v/>
      </c>
      <c r="Q981" s="318" t="str">
        <f t="shared" si="948"/>
        <v/>
      </c>
      <c r="R981" s="318" t="str">
        <f t="shared" si="949"/>
        <v/>
      </c>
      <c r="S981" s="318" t="str">
        <f t="shared" si="8"/>
        <v/>
      </c>
    </row>
    <row r="982">
      <c r="A982" s="14" t="str">
        <f t="shared" si="1"/>
        <v>C81846121</v>
      </c>
      <c r="B982" s="185">
        <f t="array" ref="B982">IF(F982="VL","",IF(F982="Free","Free",XLOOKUP(D982,Roster!T:T,Roster!S:S,"",0)))</f>
        <v>123</v>
      </c>
      <c r="C982" s="313">
        <v>46121.0</v>
      </c>
      <c r="D982" s="314" t="s">
        <v>9</v>
      </c>
      <c r="E982" s="307" t="str">
        <f t="array" ref="E982">(XLOOKUP(D982,Roster!F:F,Roster!B:B,"",0))</f>
        <v>Adriana Moncaleano</v>
      </c>
      <c r="F982" s="315" t="str">
        <f t="array" ref="F982">IF(B982=100,"Free",TEXT(XLOOKUP($D982,OperationVoice!$A:$A,OperationVoice!O:O,XLOOKUP($D982,OperationTickets!$A:$A,OperationTickets!O:O,"",0)),"hh:mm"))</f>
        <v>08:00</v>
      </c>
      <c r="G982" s="309">
        <f t="shared" si="3"/>
        <v>0.7083333333</v>
      </c>
      <c r="H982" s="316" t="str">
        <f t="array" ref="H982">XLOOKUP(B982,Roster!L:L,Roster!N:N,XLOOKUP(D982,TicketsBreak!A:A,TicketsBreak!E:E,"",0),0)</f>
        <v>09:45 - 10:00 </v>
      </c>
      <c r="I982" s="316" t="str">
        <f t="array" ref="I982">XLOOKUP(B982,Roster!L:L,Roster!O:O,XLOOKUP(D982,TicketsBreak!A:A,TicketsBreak!F:F,"",0),0)</f>
        <v>12:30 - 13:00</v>
      </c>
      <c r="J982" s="316" t="str">
        <f t="array" ref="J982">XLOOKUP(B982,Roster!L:L,Roster!P:P,XLOOKUP(D982,TicketsBreak!A:A,TicketsBreak!G:G,"",0),0)</f>
        <v>15:00 - 15:15</v>
      </c>
      <c r="K982" s="310">
        <f t="shared" si="4"/>
        <v>46121</v>
      </c>
      <c r="L982" s="317">
        <f t="array" ref="L982">(XLOOKUP(D982,Roster!F:F,Roster!D:D,"",0))</f>
        <v>23</v>
      </c>
      <c r="M982" s="317" t="str">
        <f t="array" ref="M982">XLOOKUP(D982,Roster!F:F,Roster!E:E)</f>
        <v>Voice</v>
      </c>
      <c r="N982" s="317" t="str">
        <f t="shared" ref="N982:P982" si="999">LEFT(H982,5)</f>
        <v>09:45</v>
      </c>
      <c r="O982" s="317" t="str">
        <f t="shared" si="999"/>
        <v>12:30</v>
      </c>
      <c r="P982" s="317" t="str">
        <f t="shared" si="999"/>
        <v>15:00</v>
      </c>
      <c r="Q982" s="318">
        <f t="shared" si="948"/>
        <v>46121.40625</v>
      </c>
      <c r="R982" s="318">
        <f t="shared" si="949"/>
        <v>46121.52083</v>
      </c>
      <c r="S982" s="318">
        <f t="shared" si="8"/>
        <v>46121.625</v>
      </c>
    </row>
    <row r="983">
      <c r="A983" s="14" t="str">
        <f t="shared" si="1"/>
        <v>C110746121</v>
      </c>
      <c r="B983" s="185">
        <f t="array" ref="B983">IF(F983="VL","",IF(F983="Free","Free",XLOOKUP(D983,Roster!T:T,Roster!S:S,"",0)))</f>
        <v>153</v>
      </c>
      <c r="C983" s="313">
        <v>46121.0</v>
      </c>
      <c r="D983" s="314" t="s">
        <v>10</v>
      </c>
      <c r="E983" s="307" t="str">
        <f t="array" ref="E983">(XLOOKUP(D983,Roster!F:F,Roster!B:B,"",0))</f>
        <v>Alejandro Malave</v>
      </c>
      <c r="F983" s="315" t="str">
        <f t="array" ref="F983">IF(B983=100,"Free",TEXT(XLOOKUP($D983,OperationVoice!$A:$A,OperationVoice!O:O,XLOOKUP($D983,OperationTickets!$A:$A,OperationTickets!O:O,"",0)),"hh:mm"))</f>
        <v>11:00</v>
      </c>
      <c r="G983" s="309">
        <f t="shared" si="3"/>
        <v>0.8333333333</v>
      </c>
      <c r="H983" s="316" t="str">
        <f t="array" ref="H983">XLOOKUP(B983,Roster!L:L,Roster!N:N,XLOOKUP(D983,TicketsBreak!A:A,TicketsBreak!E:E,"",0),0)</f>
        <v>12:45 - 13:00</v>
      </c>
      <c r="I983" s="316" t="str">
        <f t="array" ref="I983">XLOOKUP(B983,Roster!L:L,Roster!O:O,XLOOKUP(D983,TicketsBreak!A:A,TicketsBreak!F:F,"",0),0)</f>
        <v>15:00 - 15:30</v>
      </c>
      <c r="J983" s="316" t="str">
        <f t="array" ref="J983">XLOOKUP(B983,Roster!L:L,Roster!P:P,XLOOKUP(D983,TicketsBreak!A:A,TicketsBreak!G:G,"",0),0)</f>
        <v>17:45 - 18:00</v>
      </c>
      <c r="K983" s="310">
        <f t="shared" si="4"/>
        <v>46121</v>
      </c>
      <c r="L983" s="317">
        <f t="array" ref="L983">(XLOOKUP(D983,Roster!F:F,Roster!D:D,"",0))</f>
        <v>36</v>
      </c>
      <c r="M983" s="317" t="str">
        <f t="array" ref="M983">XLOOKUP(D983,Roster!F:F,Roster!E:E)</f>
        <v>Voice</v>
      </c>
      <c r="N983" s="317" t="str">
        <f t="shared" ref="N983:P983" si="1000">LEFT(H983,5)</f>
        <v>12:45</v>
      </c>
      <c r="O983" s="317" t="str">
        <f t="shared" si="1000"/>
        <v>15:00</v>
      </c>
      <c r="P983" s="317" t="str">
        <f t="shared" si="1000"/>
        <v>17:45</v>
      </c>
      <c r="Q983" s="318">
        <f t="shared" si="948"/>
        <v>46121.53125</v>
      </c>
      <c r="R983" s="318">
        <f t="shared" si="949"/>
        <v>46121.625</v>
      </c>
      <c r="S983" s="318">
        <f t="shared" si="8"/>
        <v>46121.73958</v>
      </c>
    </row>
    <row r="984">
      <c r="A984" s="14" t="str">
        <f t="shared" si="1"/>
        <v>C69946121</v>
      </c>
      <c r="B984" s="185" t="str">
        <f t="array" ref="B984">IF(F984="VL","",IF(F984="Free","Free",XLOOKUP(D984,Roster!T:T,Roster!S:S,"",0)))</f>
        <v/>
      </c>
      <c r="C984" s="313">
        <v>46121.0</v>
      </c>
      <c r="D984" s="314" t="s">
        <v>137</v>
      </c>
      <c r="E984" s="307" t="str">
        <f t="array" ref="E984">(XLOOKUP(D984,Roster!F:F,Roster!B:B,"",0))</f>
        <v>Alexa Arenas</v>
      </c>
      <c r="F984" s="315" t="str">
        <f t="array" ref="F984">IF(B984=100,"Free",TEXT(XLOOKUP($D984,OperationVoice!$A:$A,OperationVoice!O:O,XLOOKUP($D984,OperationTickets!$A:$A,OperationTickets!O:O,"",0)),"hh:mm"))</f>
        <v>08:00</v>
      </c>
      <c r="G984" s="309">
        <f t="shared" si="3"/>
        <v>0.7083333333</v>
      </c>
      <c r="H984" s="316">
        <f t="array" ref="H984">XLOOKUP(B984,Roster!L:L,Roster!N:N,XLOOKUP(D984,TicketsBreak!A:A,TicketsBreak!E:E,"",0),0)</f>
        <v>0.40625</v>
      </c>
      <c r="I984" s="316">
        <f t="array" ref="I984">XLOOKUP(B984,Roster!L:L,Roster!O:O,XLOOKUP(D984,TicketsBreak!A:A,TicketsBreak!F:F,"",0),0)</f>
        <v>0.5</v>
      </c>
      <c r="J984" s="316">
        <f t="array" ref="J984">XLOOKUP(B984,Roster!L:L,Roster!P:P,XLOOKUP(D984,TicketsBreak!A:A,TicketsBreak!G:G,"",0),0)</f>
        <v>0.65625</v>
      </c>
      <c r="K984" s="310">
        <f t="shared" si="4"/>
        <v>46121</v>
      </c>
      <c r="L984" s="317">
        <f t="array" ref="L984">(XLOOKUP(D984,Roster!F:F,Roster!D:D,"",0))</f>
        <v>5</v>
      </c>
      <c r="M984" s="317" t="str">
        <f t="array" ref="M984">XLOOKUP(D984,Roster!F:F,Roster!E:E)</f>
        <v>Tickets</v>
      </c>
      <c r="N984" s="317" t="str">
        <f t="shared" ref="N984:P984" si="1001">LEFT(H984,5)</f>
        <v>09:45</v>
      </c>
      <c r="O984" s="317" t="str">
        <f t="shared" si="1001"/>
        <v>12:00</v>
      </c>
      <c r="P984" s="317" t="str">
        <f t="shared" si="1001"/>
        <v>15:45</v>
      </c>
      <c r="Q984" s="318">
        <f t="shared" si="948"/>
        <v>46121.40625</v>
      </c>
      <c r="R984" s="318">
        <f t="shared" si="949"/>
        <v>46121.5</v>
      </c>
      <c r="S984" s="318">
        <f t="shared" si="8"/>
        <v>46121.65625</v>
      </c>
    </row>
    <row r="985">
      <c r="A985" s="14" t="str">
        <f t="shared" si="1"/>
        <v>C157046121</v>
      </c>
      <c r="B985" s="185">
        <f t="array" ref="B985">IF(F985="VL","",IF(F985="Free","Free",XLOOKUP(D985,Roster!T:T,Roster!S:S,"",0)))</f>
        <v>123</v>
      </c>
      <c r="C985" s="313">
        <v>46121.0</v>
      </c>
      <c r="D985" s="314" t="s">
        <v>11</v>
      </c>
      <c r="E985" s="307" t="str">
        <f t="array" ref="E985">(XLOOKUP(D985,Roster!F:F,Roster!B:B,"",0))</f>
        <v>Alexander Bartoli</v>
      </c>
      <c r="F985" s="315" t="str">
        <f t="array" ref="F985">IF(B985=100,"Free",TEXT(XLOOKUP($D985,OperationVoice!$A:$A,OperationVoice!O:O,XLOOKUP($D985,OperationTickets!$A:$A,OperationTickets!O:O,"",0)),"hh:mm"))</f>
        <v>08:00</v>
      </c>
      <c r="G985" s="309">
        <f t="shared" si="3"/>
        <v>0.7083333333</v>
      </c>
      <c r="H985" s="316" t="str">
        <f t="array" ref="H985">XLOOKUP(B985,Roster!L:L,Roster!N:N,XLOOKUP(D985,TicketsBreak!A:A,TicketsBreak!E:E,"",0),0)</f>
        <v>09:45 - 10:00 </v>
      </c>
      <c r="I985" s="316" t="str">
        <f t="array" ref="I985">XLOOKUP(B985,Roster!L:L,Roster!O:O,XLOOKUP(D985,TicketsBreak!A:A,TicketsBreak!F:F,"",0),0)</f>
        <v>12:30 - 13:00</v>
      </c>
      <c r="J985" s="316" t="str">
        <f t="array" ref="J985">XLOOKUP(B985,Roster!L:L,Roster!P:P,XLOOKUP(D985,TicketsBreak!A:A,TicketsBreak!G:G,"",0),0)</f>
        <v>15:00 - 15:15</v>
      </c>
      <c r="K985" s="310">
        <f t="shared" si="4"/>
        <v>46121</v>
      </c>
      <c r="L985" s="317">
        <f t="array" ref="L985">(XLOOKUP(D985,Roster!F:F,Roster!D:D,"",0))</f>
        <v>38</v>
      </c>
      <c r="M985" s="317" t="str">
        <f t="array" ref="M985">XLOOKUP(D985,Roster!F:F,Roster!E:E)</f>
        <v>Voice</v>
      </c>
      <c r="N985" s="317" t="str">
        <f t="shared" ref="N985:P985" si="1002">LEFT(H985,5)</f>
        <v>09:45</v>
      </c>
      <c r="O985" s="317" t="str">
        <f t="shared" si="1002"/>
        <v>12:30</v>
      </c>
      <c r="P985" s="317" t="str">
        <f t="shared" si="1002"/>
        <v>15:00</v>
      </c>
      <c r="Q985" s="318">
        <f t="shared" si="948"/>
        <v>46121.40625</v>
      </c>
      <c r="R985" s="318">
        <f t="shared" si="949"/>
        <v>46121.52083</v>
      </c>
      <c r="S985" s="318">
        <f t="shared" si="8"/>
        <v>46121.625</v>
      </c>
    </row>
    <row r="986">
      <c r="A986" s="14" t="str">
        <f t="shared" si="1"/>
        <v>C93546121</v>
      </c>
      <c r="B986" s="185" t="str">
        <f t="array" ref="B986">IF(F986="VL","",IF(F986="Free","Free",XLOOKUP(D986,Roster!T:T,Roster!S:S,"",0)))</f>
        <v/>
      </c>
      <c r="C986" s="313">
        <v>46121.0</v>
      </c>
      <c r="D986" s="314" t="s">
        <v>153</v>
      </c>
      <c r="E986" s="307" t="str">
        <f t="array" ref="E986">(XLOOKUP(D986,Roster!F:F,Roster!B:B,"",0))</f>
        <v>Alexis Arias</v>
      </c>
      <c r="F986" s="315" t="str">
        <f t="array" ref="F986">IF(B986=100,"Free",TEXT(XLOOKUP($D986,OperationVoice!$A:$A,OperationVoice!O:O,XLOOKUP($D986,OperationTickets!$A:$A,OperationTickets!O:O,"",0)),"hh:mm"))</f>
        <v>07:30</v>
      </c>
      <c r="G986" s="309">
        <f t="shared" si="3"/>
        <v>0.6875</v>
      </c>
      <c r="H986" s="316">
        <f t="array" ref="H986">XLOOKUP(B986,Roster!L:L,Roster!N:N,XLOOKUP(D986,TicketsBreak!A:A,TicketsBreak!E:E,"",0),0)</f>
        <v>0.4270833333</v>
      </c>
      <c r="I986" s="316">
        <f t="array" ref="I986">XLOOKUP(B986,Roster!L:L,Roster!O:O,XLOOKUP(D986,TicketsBreak!A:A,TicketsBreak!F:F,"",0),0)</f>
        <v>0.53125</v>
      </c>
      <c r="J986" s="316">
        <f t="array" ref="J986">XLOOKUP(B986,Roster!L:L,Roster!P:P,XLOOKUP(D986,TicketsBreak!A:A,TicketsBreak!G:G,"",0),0)</f>
        <v>0.6458333333</v>
      </c>
      <c r="K986" s="310">
        <f t="shared" si="4"/>
        <v>46121</v>
      </c>
      <c r="L986" s="317">
        <f t="array" ref="L986">(XLOOKUP(D986,Roster!F:F,Roster!D:D,"",0))</f>
        <v>12</v>
      </c>
      <c r="M986" s="317" t="str">
        <f t="array" ref="M986">XLOOKUP(D986,Roster!F:F,Roster!E:E)</f>
        <v>Tickets</v>
      </c>
      <c r="N986" s="317" t="str">
        <f t="shared" ref="N986:P986" si="1003">LEFT(H986,5)</f>
        <v>10:15</v>
      </c>
      <c r="O986" s="317" t="str">
        <f t="shared" si="1003"/>
        <v>12:45</v>
      </c>
      <c r="P986" s="317" t="str">
        <f t="shared" si="1003"/>
        <v>15:30</v>
      </c>
      <c r="Q986" s="318">
        <f t="shared" si="948"/>
        <v>46121.42708</v>
      </c>
      <c r="R986" s="318">
        <f t="shared" si="949"/>
        <v>46121.53125</v>
      </c>
      <c r="S986" s="318">
        <f t="shared" si="8"/>
        <v>46121.64583</v>
      </c>
    </row>
    <row r="987">
      <c r="A987" s="14" t="str">
        <f t="shared" si="1"/>
        <v>C72746121</v>
      </c>
      <c r="B987" s="185" t="str">
        <f t="array" ref="B987">IF(F987="VL","",IF(F987="Free","Free",XLOOKUP(D987,Roster!T:T,Roster!S:S,"",0)))</f>
        <v/>
      </c>
      <c r="C987" s="313">
        <v>46121.0</v>
      </c>
      <c r="D987" s="314" t="s">
        <v>154</v>
      </c>
      <c r="E987" s="307" t="str">
        <f t="array" ref="E987">(XLOOKUP(D987,Roster!F:F,Roster!B:B,"",0))</f>
        <v>Ana Moreno</v>
      </c>
      <c r="F987" s="315" t="str">
        <f t="array" ref="F987">IF(B987=100,"Free",TEXT(XLOOKUP($D987,OperationVoice!$A:$A,OperationVoice!O:O,XLOOKUP($D987,OperationTickets!$A:$A,OperationTickets!O:O,"",0)),"hh:mm"))</f>
        <v>VL</v>
      </c>
      <c r="G987" s="309" t="str">
        <f t="shared" si="3"/>
        <v>VL</v>
      </c>
      <c r="H987" s="316">
        <f t="array" ref="H987">XLOOKUP(B987,Roster!L:L,Roster!N:N,XLOOKUP(D987,TicketsBreak!A:A,TicketsBreak!E:E,"",0),0)</f>
        <v>0.4166666667</v>
      </c>
      <c r="I987" s="316">
        <f t="array" ref="I987">XLOOKUP(B987,Roster!L:L,Roster!O:O,XLOOKUP(D987,TicketsBreak!A:A,TicketsBreak!F:F,"",0),0)</f>
        <v>0.5208333333</v>
      </c>
      <c r="J987" s="316">
        <f t="array" ref="J987">XLOOKUP(B987,Roster!L:L,Roster!P:P,XLOOKUP(D987,TicketsBreak!A:A,TicketsBreak!G:G,"",0),0)</f>
        <v>0.65625</v>
      </c>
      <c r="K987" s="310">
        <f t="shared" si="4"/>
        <v>46121</v>
      </c>
      <c r="L987" s="317">
        <f t="array" ref="L987">(XLOOKUP(D987,Roster!F:F,Roster!D:D,"",0))</f>
        <v>7</v>
      </c>
      <c r="M987" s="317" t="str">
        <f t="array" ref="M987">XLOOKUP(D987,Roster!F:F,Roster!E:E)</f>
        <v>Tickets</v>
      </c>
      <c r="N987" s="317" t="str">
        <f t="shared" ref="N987:P987" si="1004">LEFT(H987,5)</f>
        <v>10:00</v>
      </c>
      <c r="O987" s="317" t="str">
        <f t="shared" si="1004"/>
        <v>12:30</v>
      </c>
      <c r="P987" s="317" t="str">
        <f t="shared" si="1004"/>
        <v>15:45</v>
      </c>
      <c r="Q987" s="318">
        <f t="shared" si="948"/>
        <v>46121.41667</v>
      </c>
      <c r="R987" s="318">
        <f t="shared" si="949"/>
        <v>46121.52083</v>
      </c>
      <c r="S987" s="318">
        <f t="shared" si="8"/>
        <v>46121.65625</v>
      </c>
    </row>
    <row r="988">
      <c r="A988" s="14" t="str">
        <f t="shared" si="1"/>
        <v>C157446121</v>
      </c>
      <c r="B988" s="185">
        <f t="array" ref="B988">IF(F988="VL","",IF(F988="Free","Free",XLOOKUP(D988,Roster!T:T,Roster!S:S,"",0)))</f>
        <v>124</v>
      </c>
      <c r="C988" s="313">
        <v>46121.0</v>
      </c>
      <c r="D988" s="314" t="s">
        <v>12</v>
      </c>
      <c r="E988" s="307" t="str">
        <f t="array" ref="E988">(XLOOKUP(D988,Roster!F:F,Roster!B:B,"",0))</f>
        <v>Ana Quintero</v>
      </c>
      <c r="F988" s="315" t="str">
        <f t="array" ref="F988">IF(B988=100,"Free",TEXT(XLOOKUP($D988,OperationVoice!$A:$A,OperationVoice!O:O,XLOOKUP($D988,OperationTickets!$A:$A,OperationTickets!O:O,"",0)),"hh:mm"))</f>
        <v>08:00</v>
      </c>
      <c r="G988" s="309">
        <f t="shared" si="3"/>
        <v>0.7083333333</v>
      </c>
      <c r="H988" s="316" t="str">
        <f t="array" ref="H988">XLOOKUP(B988,Roster!L:L,Roster!N:N,XLOOKUP(D988,TicketsBreak!A:A,TicketsBreak!E:E,"",0),0)</f>
        <v>10:00 - 10:15</v>
      </c>
      <c r="I988" s="316" t="str">
        <f t="array" ref="I988">XLOOKUP(B988,Roster!L:L,Roster!O:O,XLOOKUP(D988,TicketsBreak!A:A,TicketsBreak!F:F,"",0),0)</f>
        <v>13:00 - 13:30</v>
      </c>
      <c r="J988" s="316" t="str">
        <f t="array" ref="J988">XLOOKUP(B988,Roster!L:L,Roster!P:P,XLOOKUP(D988,TicketsBreak!A:A,TicketsBreak!G:G,"",0),0)</f>
        <v>15:30 - 15:45</v>
      </c>
      <c r="K988" s="310">
        <f t="shared" si="4"/>
        <v>46121</v>
      </c>
      <c r="L988" s="317">
        <f t="array" ref="L988">(XLOOKUP(D988,Roster!F:F,Roster!D:D,"",0))</f>
        <v>38</v>
      </c>
      <c r="M988" s="317" t="str">
        <f t="array" ref="M988">XLOOKUP(D988,Roster!F:F,Roster!E:E)</f>
        <v>Voice</v>
      </c>
      <c r="N988" s="317" t="str">
        <f t="shared" ref="N988:P988" si="1005">LEFT(H988,5)</f>
        <v>10:00</v>
      </c>
      <c r="O988" s="317" t="str">
        <f t="shared" si="1005"/>
        <v>13:00</v>
      </c>
      <c r="P988" s="317" t="str">
        <f t="shared" si="1005"/>
        <v>15:30</v>
      </c>
      <c r="Q988" s="318">
        <f t="shared" si="948"/>
        <v>46121.41667</v>
      </c>
      <c r="R988" s="318">
        <f t="shared" si="949"/>
        <v>46121.54167</v>
      </c>
      <c r="S988" s="318">
        <f t="shared" si="8"/>
        <v>46121.64583</v>
      </c>
    </row>
    <row r="989">
      <c r="A989" s="14" t="str">
        <f t="shared" si="1"/>
        <v>C46946121</v>
      </c>
      <c r="B989" s="185" t="str">
        <f t="array" ref="B989">IF(F989="VL","",IF(F989="Free","Free",XLOOKUP(D989,Roster!T:T,Roster!S:S,"",0)))</f>
        <v/>
      </c>
      <c r="C989" s="313">
        <v>46121.0</v>
      </c>
      <c r="D989" s="314" t="s">
        <v>171</v>
      </c>
      <c r="E989" s="307" t="str">
        <f t="array" ref="E989">(XLOOKUP(D989,Roster!F:F,Roster!B:B,"",0))</f>
        <v>Ana Ruiz</v>
      </c>
      <c r="F989" s="315" t="str">
        <f t="array" ref="F989">IF(B989=100,"Free",TEXT(XLOOKUP($D989,OperationVoice!$A:$A,OperationVoice!O:O,XLOOKUP($D989,OperationTickets!$A:$A,OperationTickets!O:O,"",0)),"hh:mm"))</f>
        <v>08:00</v>
      </c>
      <c r="G989" s="309">
        <f t="shared" si="3"/>
        <v>0.7083333333</v>
      </c>
      <c r="H989" s="316">
        <f t="array" ref="H989">XLOOKUP(B989,Roster!L:L,Roster!N:N,XLOOKUP(D989,TicketsBreak!A:A,TicketsBreak!E:E,"",0),0)</f>
        <v>0.3854166667</v>
      </c>
      <c r="I989" s="316">
        <f t="array" ref="I989">XLOOKUP(B989,Roster!L:L,Roster!O:O,XLOOKUP(D989,TicketsBreak!A:A,TicketsBreak!F:F,"",0),0)</f>
        <v>0.5</v>
      </c>
      <c r="J989" s="316">
        <f t="array" ref="J989">XLOOKUP(B989,Roster!L:L,Roster!P:P,XLOOKUP(D989,TicketsBreak!A:A,TicketsBreak!G:G,"",0),0)</f>
        <v>0.6041666667</v>
      </c>
      <c r="K989" s="310">
        <f t="shared" si="4"/>
        <v>46121</v>
      </c>
      <c r="L989" s="317">
        <f t="array" ref="L989">(XLOOKUP(D989,Roster!F:F,Roster!D:D,"",0))</f>
        <v>3</v>
      </c>
      <c r="M989" s="317" t="str">
        <f t="array" ref="M989">XLOOKUP(D989,Roster!F:F,Roster!E:E)</f>
        <v>Tickets</v>
      </c>
      <c r="N989" s="317" t="str">
        <f t="shared" ref="N989:P989" si="1006">LEFT(H989,5)</f>
        <v>09:15</v>
      </c>
      <c r="O989" s="317" t="str">
        <f t="shared" si="1006"/>
        <v>12:00</v>
      </c>
      <c r="P989" s="317" t="str">
        <f t="shared" si="1006"/>
        <v>14:30</v>
      </c>
      <c r="Q989" s="318">
        <f t="shared" si="948"/>
        <v>46121.38542</v>
      </c>
      <c r="R989" s="318">
        <f t="shared" si="949"/>
        <v>46121.5</v>
      </c>
      <c r="S989" s="318">
        <f t="shared" si="8"/>
        <v>46121.60417</v>
      </c>
    </row>
    <row r="990">
      <c r="A990" s="14" t="str">
        <f t="shared" si="1"/>
        <v>C155446121</v>
      </c>
      <c r="B990" s="185">
        <f t="array" ref="B990">IF(F990="VL","",IF(F990="Free","Free",XLOOKUP(D990,Roster!T:T,Roster!S:S,"",0)))</f>
        <v>131</v>
      </c>
      <c r="C990" s="313">
        <v>46121.0</v>
      </c>
      <c r="D990" s="314" t="s">
        <v>13</v>
      </c>
      <c r="E990" s="307" t="str">
        <f t="array" ref="E990">(XLOOKUP(D990,Roster!F:F,Roster!B:B,"",0))</f>
        <v>Andres Lopez</v>
      </c>
      <c r="F990" s="315" t="str">
        <f t="array" ref="F990">IF(B990=100,"Free",TEXT(XLOOKUP($D990,OperationVoice!$A:$A,OperationVoice!O:O,XLOOKUP($D990,OperationTickets!$A:$A,OperationTickets!O:O,"",0)),"hh:mm"))</f>
        <v>09:00</v>
      </c>
      <c r="G990" s="309">
        <f t="shared" si="3"/>
        <v>0.75</v>
      </c>
      <c r="H990" s="316" t="str">
        <f t="array" ref="H990">XLOOKUP(B990,Roster!L:L,Roster!N:N,XLOOKUP(D990,TicketsBreak!A:A,TicketsBreak!E:E,"",0),0)</f>
        <v>10:15 - 10:30</v>
      </c>
      <c r="I990" s="316" t="str">
        <f t="array" ref="I990">XLOOKUP(B990,Roster!L:L,Roster!O:O,XLOOKUP(D990,TicketsBreak!A:A,TicketsBreak!F:F,"",0),0)</f>
        <v>12:30 - 13:00</v>
      </c>
      <c r="J990" s="316" t="str">
        <f t="array" ref="J990">XLOOKUP(B990,Roster!L:L,Roster!P:P,XLOOKUP(D990,TicketsBreak!A:A,TicketsBreak!G:G,"",0),0)</f>
        <v>15:15 - 15:30</v>
      </c>
      <c r="K990" s="310">
        <f t="shared" si="4"/>
        <v>46121</v>
      </c>
      <c r="L990" s="317">
        <f t="array" ref="L990">(XLOOKUP(D990,Roster!F:F,Roster!D:D,"",0))</f>
        <v>37</v>
      </c>
      <c r="M990" s="317" t="str">
        <f t="array" ref="M990">XLOOKUP(D990,Roster!F:F,Roster!E:E)</f>
        <v>Voice</v>
      </c>
      <c r="N990" s="317" t="str">
        <f t="shared" ref="N990:P990" si="1007">LEFT(H990,5)</f>
        <v>10:15</v>
      </c>
      <c r="O990" s="317" t="str">
        <f t="shared" si="1007"/>
        <v>12:30</v>
      </c>
      <c r="P990" s="317" t="str">
        <f t="shared" si="1007"/>
        <v>15:15</v>
      </c>
      <c r="Q990" s="318">
        <f t="shared" si="948"/>
        <v>46121.42708</v>
      </c>
      <c r="R990" s="318">
        <f t="shared" si="949"/>
        <v>46121.52083</v>
      </c>
      <c r="S990" s="318">
        <f t="shared" si="8"/>
        <v>46121.63542</v>
      </c>
    </row>
    <row r="991">
      <c r="A991" s="14" t="str">
        <f t="shared" si="1"/>
        <v>C156746121</v>
      </c>
      <c r="B991" s="185">
        <f t="array" ref="B991">IF(F991="VL","",IF(F991="Free","Free",XLOOKUP(D991,Roster!T:T,Roster!S:S,"",0)))</f>
        <v>125</v>
      </c>
      <c r="C991" s="313">
        <v>46121.0</v>
      </c>
      <c r="D991" s="314" t="s">
        <v>14</v>
      </c>
      <c r="E991" s="307" t="str">
        <f t="array" ref="E991">(XLOOKUP(D991,Roster!F:F,Roster!B:B,"",0))</f>
        <v>Andres Salazar</v>
      </c>
      <c r="F991" s="315" t="str">
        <f t="array" ref="F991">IF(B991=100,"Free",TEXT(XLOOKUP($D991,OperationVoice!$A:$A,OperationVoice!O:O,XLOOKUP($D991,OperationTickets!$A:$A,OperationTickets!O:O,"",0)),"hh:mm"))</f>
        <v>08:00</v>
      </c>
      <c r="G991" s="309">
        <f t="shared" si="3"/>
        <v>0.7083333333</v>
      </c>
      <c r="H991" s="316" t="str">
        <f t="array" ref="H991">XLOOKUP(B991,Roster!L:L,Roster!N:N,XLOOKUP(D991,TicketsBreak!A:A,TicketsBreak!E:E,"",0),0)</f>
        <v>10:30 - 10:45</v>
      </c>
      <c r="I991" s="316" t="str">
        <f t="array" ref="I991">XLOOKUP(B991,Roster!L:L,Roster!O:O,XLOOKUP(D991,TicketsBreak!A:A,TicketsBreak!F:F,"",0),0)</f>
        <v>13:30 - 14:00</v>
      </c>
      <c r="J991" s="316" t="str">
        <f t="array" ref="J991">XLOOKUP(B991,Roster!L:L,Roster!P:P,XLOOKUP(D991,TicketsBreak!A:A,TicketsBreak!G:G,"",0),0)</f>
        <v>15:45 - 16:00</v>
      </c>
      <c r="K991" s="310">
        <f t="shared" si="4"/>
        <v>46121</v>
      </c>
      <c r="L991" s="317">
        <f t="array" ref="L991">(XLOOKUP(D991,Roster!F:F,Roster!D:D,"",0))</f>
        <v>38</v>
      </c>
      <c r="M991" s="317" t="str">
        <f t="array" ref="M991">XLOOKUP(D991,Roster!F:F,Roster!E:E)</f>
        <v>Voice</v>
      </c>
      <c r="N991" s="317" t="str">
        <f t="shared" ref="N991:P991" si="1008">LEFT(H991,5)</f>
        <v>10:30</v>
      </c>
      <c r="O991" s="317" t="str">
        <f t="shared" si="1008"/>
        <v>13:30</v>
      </c>
      <c r="P991" s="317" t="str">
        <f t="shared" si="1008"/>
        <v>15:45</v>
      </c>
      <c r="Q991" s="318">
        <f t="shared" si="948"/>
        <v>46121.4375</v>
      </c>
      <c r="R991" s="318">
        <f t="shared" si="949"/>
        <v>46121.5625</v>
      </c>
      <c r="S991" s="318">
        <f t="shared" si="8"/>
        <v>46121.65625</v>
      </c>
    </row>
    <row r="992">
      <c r="A992" s="14" t="str">
        <f t="shared" si="1"/>
        <v>C134846121</v>
      </c>
      <c r="B992" s="185">
        <f t="array" ref="B992">IF(F992="VL","",IF(F992="Free","Free",XLOOKUP(D992,Roster!T:T,Roster!S:S,"",0)))</f>
        <v>124</v>
      </c>
      <c r="C992" s="313">
        <v>46121.0</v>
      </c>
      <c r="D992" s="314" t="s">
        <v>15</v>
      </c>
      <c r="E992" s="307" t="str">
        <f t="array" ref="E992">(XLOOKUP(D992,Roster!F:F,Roster!B:B,"",0))</f>
        <v>Angelo Zapata</v>
      </c>
      <c r="F992" s="315" t="str">
        <f t="array" ref="F992">IF(B992=100,"Free",TEXT(XLOOKUP($D992,OperationVoice!$A:$A,OperationVoice!O:O,XLOOKUP($D992,OperationTickets!$A:$A,OperationTickets!O:O,"",0)),"hh:mm"))</f>
        <v>08:00</v>
      </c>
      <c r="G992" s="309">
        <f t="shared" si="3"/>
        <v>0.7083333333</v>
      </c>
      <c r="H992" s="316" t="str">
        <f t="array" ref="H992">XLOOKUP(B992,Roster!L:L,Roster!N:N,XLOOKUP(D992,TicketsBreak!A:A,TicketsBreak!E:E,"",0),0)</f>
        <v>10:00 - 10:15</v>
      </c>
      <c r="I992" s="316" t="str">
        <f t="array" ref="I992">XLOOKUP(B992,Roster!L:L,Roster!O:O,XLOOKUP(D992,TicketsBreak!A:A,TicketsBreak!F:F,"",0),0)</f>
        <v>13:00 - 13:30</v>
      </c>
      <c r="J992" s="316" t="str">
        <f t="array" ref="J992">XLOOKUP(B992,Roster!L:L,Roster!P:P,XLOOKUP(D992,TicketsBreak!A:A,TicketsBreak!G:G,"",0),0)</f>
        <v>15:30 - 15:45</v>
      </c>
      <c r="K992" s="310">
        <f t="shared" si="4"/>
        <v>46121</v>
      </c>
      <c r="L992" s="317">
        <f t="array" ref="L992">(XLOOKUP(D992,Roster!F:F,Roster!D:D,"",0))</f>
        <v>30</v>
      </c>
      <c r="M992" s="317" t="str">
        <f t="array" ref="M992">XLOOKUP(D992,Roster!F:F,Roster!E:E)</f>
        <v>Voice</v>
      </c>
      <c r="N992" s="317" t="str">
        <f t="shared" ref="N992:P992" si="1009">LEFT(H992,5)</f>
        <v>10:00</v>
      </c>
      <c r="O992" s="317" t="str">
        <f t="shared" si="1009"/>
        <v>13:00</v>
      </c>
      <c r="P992" s="317" t="str">
        <f t="shared" si="1009"/>
        <v>15:30</v>
      </c>
      <c r="Q992" s="318">
        <f t="shared" si="948"/>
        <v>46121.41667</v>
      </c>
      <c r="R992" s="318">
        <f t="shared" si="949"/>
        <v>46121.54167</v>
      </c>
      <c r="S992" s="318">
        <f t="shared" si="8"/>
        <v>46121.64583</v>
      </c>
    </row>
    <row r="993">
      <c r="A993" s="14" t="str">
        <f t="shared" si="1"/>
        <v>C116746121</v>
      </c>
      <c r="B993" s="185" t="str">
        <f t="array" ref="B993">IF(F993="VL","",IF(F993="Free","Free",XLOOKUP(D993,Roster!T:T,Roster!S:S,"",0)))</f>
        <v/>
      </c>
      <c r="C993" s="313">
        <v>46121.0</v>
      </c>
      <c r="D993" s="314" t="s">
        <v>172</v>
      </c>
      <c r="E993" s="307" t="str">
        <f t="array" ref="E993">(XLOOKUP(D993,Roster!F:F,Roster!B:B,"",0))</f>
        <v>Angie Rua</v>
      </c>
      <c r="F993" s="315" t="str">
        <f t="array" ref="F993">IF(B993=100,"Free",TEXT(XLOOKUP($D993,OperationVoice!$A:$A,OperationVoice!O:O,XLOOKUP($D993,OperationTickets!$A:$A,OperationTickets!O:O,"",0)),"hh:mm"))</f>
        <v>07:00</v>
      </c>
      <c r="G993" s="309">
        <f t="shared" si="3"/>
        <v>0.6666666667</v>
      </c>
      <c r="H993" s="316" t="str">
        <f t="array" ref="H993">XLOOKUP(B993,Roster!L:L,Roster!N:N,XLOOKUP(D993,TicketsBreak!A:A,TicketsBreak!E:E,"",0),0)</f>
        <v/>
      </c>
      <c r="I993" s="316" t="str">
        <f t="array" ref="I993">XLOOKUP(B993,Roster!L:L,Roster!O:O,XLOOKUP(D993,TicketsBreak!A:A,TicketsBreak!F:F,"",0),0)</f>
        <v/>
      </c>
      <c r="J993" s="316" t="str">
        <f t="array" ref="J993">XLOOKUP(B993,Roster!L:L,Roster!P:P,XLOOKUP(D993,TicketsBreak!A:A,TicketsBreak!G:G,"",0),0)</f>
        <v/>
      </c>
      <c r="K993" s="310">
        <f t="shared" si="4"/>
        <v>46121</v>
      </c>
      <c r="L993" s="317">
        <f t="array" ref="L993">(XLOOKUP(D993,Roster!F:F,Roster!D:D,"",0))</f>
        <v>24</v>
      </c>
      <c r="M993" s="317" t="str">
        <f t="array" ref="M993">XLOOKUP(D993,Roster!F:F,Roster!E:E)</f>
        <v>Tickets</v>
      </c>
      <c r="N993" s="317" t="str">
        <f t="shared" ref="N993:P993" si="1010">LEFT(H993,5)</f>
        <v/>
      </c>
      <c r="O993" s="317" t="str">
        <f t="shared" si="1010"/>
        <v/>
      </c>
      <c r="P993" s="317" t="str">
        <f t="shared" si="1010"/>
        <v/>
      </c>
      <c r="Q993" s="318" t="str">
        <f t="shared" si="948"/>
        <v/>
      </c>
      <c r="R993" s="318" t="str">
        <f t="shared" si="949"/>
        <v/>
      </c>
      <c r="S993" s="318" t="str">
        <f t="shared" si="8"/>
        <v/>
      </c>
    </row>
    <row r="994">
      <c r="A994" s="14" t="str">
        <f t="shared" si="1"/>
        <v>C157946121</v>
      </c>
      <c r="B994" s="185">
        <f t="array" ref="B994">IF(F994="VL","",IF(F994="Free","Free",XLOOKUP(D994,Roster!T:T,Roster!S:S,"",0)))</f>
        <v>126</v>
      </c>
      <c r="C994" s="313">
        <v>46121.0</v>
      </c>
      <c r="D994" s="314" t="s">
        <v>16</v>
      </c>
      <c r="E994" s="307" t="str">
        <f t="array" ref="E994">(XLOOKUP(D994,Roster!F:F,Roster!B:B,"",0))</f>
        <v>Anibal Munoz</v>
      </c>
      <c r="F994" s="315" t="str">
        <f t="array" ref="F994">IF(B994=100,"Free",TEXT(XLOOKUP($D994,OperationVoice!$A:$A,OperationVoice!O:O,XLOOKUP($D994,OperationTickets!$A:$A,OperationTickets!O:O,"",0)),"hh:mm"))</f>
        <v>08:00</v>
      </c>
      <c r="G994" s="309">
        <f t="shared" si="3"/>
        <v>0.7083333333</v>
      </c>
      <c r="H994" s="316" t="str">
        <f t="array" ref="H994">XLOOKUP(B994,Roster!L:L,Roster!N:N,XLOOKUP(D994,TicketsBreak!A:A,TicketsBreak!E:E,"",0),0)</f>
        <v>10:45 - 11:00</v>
      </c>
      <c r="I994" s="316" t="str">
        <f t="array" ref="I994">XLOOKUP(B994,Roster!L:L,Roster!O:O,XLOOKUP(D994,TicketsBreak!A:A,TicketsBreak!F:F,"",0),0)</f>
        <v>14:00 - 14:30</v>
      </c>
      <c r="J994" s="316" t="str">
        <f t="array" ref="J994">XLOOKUP(B994,Roster!L:L,Roster!P:P,XLOOKUP(D994,TicketsBreak!A:A,TicketsBreak!G:G,"",0),0)</f>
        <v>15:45 - 16:00</v>
      </c>
      <c r="K994" s="310">
        <f t="shared" si="4"/>
        <v>46121</v>
      </c>
      <c r="L994" s="317">
        <f t="array" ref="L994">(XLOOKUP(D994,Roster!F:F,Roster!D:D,"",0))</f>
        <v>38</v>
      </c>
      <c r="M994" s="317" t="str">
        <f t="array" ref="M994">XLOOKUP(D994,Roster!F:F,Roster!E:E)</f>
        <v>Voice</v>
      </c>
      <c r="N994" s="317" t="str">
        <f t="shared" ref="N994:P994" si="1011">LEFT(H994,5)</f>
        <v>10:45</v>
      </c>
      <c r="O994" s="317" t="str">
        <f t="shared" si="1011"/>
        <v>14:00</v>
      </c>
      <c r="P994" s="317" t="str">
        <f t="shared" si="1011"/>
        <v>15:45</v>
      </c>
      <c r="Q994" s="318">
        <f t="shared" si="948"/>
        <v>46121.44792</v>
      </c>
      <c r="R994" s="318">
        <f t="shared" si="949"/>
        <v>46121.58333</v>
      </c>
      <c r="S994" s="318">
        <f t="shared" si="8"/>
        <v>46121.65625</v>
      </c>
    </row>
    <row r="995">
      <c r="A995" s="14" t="str">
        <f t="shared" si="1"/>
        <v>C08046121</v>
      </c>
      <c r="B995" s="185" t="str">
        <f t="array" ref="B995">IF(F995="VL","",IF(F995="Free","Free",XLOOKUP(D995,Roster!T:T,Roster!S:S,"",0)))</f>
        <v/>
      </c>
      <c r="C995" s="313">
        <v>46121.0</v>
      </c>
      <c r="D995" s="314" t="s">
        <v>138</v>
      </c>
      <c r="E995" s="307" t="str">
        <f t="array" ref="E995">(XLOOKUP(D995,Roster!F:F,Roster!B:B,"",0))</f>
        <v>Arturo Padilla</v>
      </c>
      <c r="F995" s="315" t="str">
        <f t="array" ref="F995">IF(B995=100,"Free",TEXT(XLOOKUP($D995,OperationVoice!$A:$A,OperationVoice!O:O,XLOOKUP($D995,OperationTickets!$A:$A,OperationTickets!O:O,"",0)),"hh:mm"))</f>
        <v>08:00</v>
      </c>
      <c r="G995" s="309">
        <f t="shared" si="3"/>
        <v>0.7083333333</v>
      </c>
      <c r="H995" s="316">
        <f t="array" ref="H995">XLOOKUP(B995,Roster!L:L,Roster!N:N,XLOOKUP(D995,TicketsBreak!A:A,TicketsBreak!E:E,"",0),0)</f>
        <v>0.375</v>
      </c>
      <c r="I995" s="316">
        <f t="array" ref="I995">XLOOKUP(B995,Roster!L:L,Roster!O:O,XLOOKUP(D995,TicketsBreak!A:A,TicketsBreak!F:F,"",0),0)</f>
        <v>0.5</v>
      </c>
      <c r="J995" s="316">
        <f t="array" ref="J995">XLOOKUP(B995,Roster!L:L,Roster!P:P,XLOOKUP(D995,TicketsBreak!A:A,TicketsBreak!G:G,"",0),0)</f>
        <v>0.6458333333</v>
      </c>
      <c r="K995" s="310">
        <f t="shared" si="4"/>
        <v>46121</v>
      </c>
      <c r="L995" s="317">
        <f t="array" ref="L995">(XLOOKUP(D995,Roster!F:F,Roster!D:D,"",0))</f>
        <v>1</v>
      </c>
      <c r="M995" s="317" t="str">
        <f t="array" ref="M995">XLOOKUP(D995,Roster!F:F,Roster!E:E)</f>
        <v>Tickets</v>
      </c>
      <c r="N995" s="317" t="str">
        <f t="shared" ref="N995:P995" si="1012">LEFT(H995,5)</f>
        <v>09:00</v>
      </c>
      <c r="O995" s="317" t="str">
        <f t="shared" si="1012"/>
        <v>12:00</v>
      </c>
      <c r="P995" s="317" t="str">
        <f t="shared" si="1012"/>
        <v>15:30</v>
      </c>
      <c r="Q995" s="318">
        <f t="shared" si="948"/>
        <v>46121.375</v>
      </c>
      <c r="R995" s="318">
        <f t="shared" si="949"/>
        <v>46121.5</v>
      </c>
      <c r="S995" s="318">
        <f t="shared" si="8"/>
        <v>46121.64583</v>
      </c>
    </row>
    <row r="996">
      <c r="A996" s="14" t="str">
        <f t="shared" si="1"/>
        <v>C150446121</v>
      </c>
      <c r="B996" s="185" t="str">
        <f t="array" ref="B996">IF(F996="VL","",IF(F996="Free","Free",XLOOKUP(D996,Roster!T:T,Roster!S:S,"",0)))</f>
        <v>Free</v>
      </c>
      <c r="C996" s="313">
        <v>46121.0</v>
      </c>
      <c r="D996" s="314" t="s">
        <v>155</v>
      </c>
      <c r="E996" s="307" t="str">
        <f t="array" ref="E996">(XLOOKUP(D996,Roster!F:F,Roster!B:B,"",0))</f>
        <v>Beatriz Montanez</v>
      </c>
      <c r="F996" s="315" t="str">
        <f t="array" ref="F996">IF(B996=100,"Free",TEXT(XLOOKUP($D996,OperationVoice!$A:$A,OperationVoice!O:O,XLOOKUP($D996,OperationTickets!$A:$A,OperationTickets!O:O,"",0)),"hh:mm"))</f>
        <v>Free</v>
      </c>
      <c r="G996" s="309" t="str">
        <f t="shared" si="3"/>
        <v>Free</v>
      </c>
      <c r="H996" s="316" t="str">
        <f t="array" ref="H996">XLOOKUP(B996,Roster!L:L,Roster!N:N,XLOOKUP(D996,TicketsBreak!A:A,TicketsBreak!E:E,"",0),0)</f>
        <v/>
      </c>
      <c r="I996" s="316" t="str">
        <f t="array" ref="I996">XLOOKUP(B996,Roster!L:L,Roster!O:O,XLOOKUP(D996,TicketsBreak!A:A,TicketsBreak!F:F,"",0),0)</f>
        <v/>
      </c>
      <c r="J996" s="316" t="str">
        <f t="array" ref="J996">XLOOKUP(B996,Roster!L:L,Roster!P:P,XLOOKUP(D996,TicketsBreak!A:A,TicketsBreak!G:G,"",0),0)</f>
        <v/>
      </c>
      <c r="K996" s="310">
        <f t="shared" si="4"/>
        <v>46121</v>
      </c>
      <c r="L996" s="317">
        <f t="array" ref="L996">(XLOOKUP(D996,Roster!F:F,Roster!D:D,"",0))</f>
        <v>35</v>
      </c>
      <c r="M996" s="317" t="str">
        <f t="array" ref="M996">XLOOKUP(D996,Roster!F:F,Roster!E:E)</f>
        <v>Tickets</v>
      </c>
      <c r="N996" s="317" t="str">
        <f t="shared" ref="N996:P996" si="1013">LEFT(H996,5)</f>
        <v/>
      </c>
      <c r="O996" s="317" t="str">
        <f t="shared" si="1013"/>
        <v/>
      </c>
      <c r="P996" s="317" t="str">
        <f t="shared" si="1013"/>
        <v/>
      </c>
      <c r="Q996" s="318" t="str">
        <f t="shared" si="948"/>
        <v/>
      </c>
      <c r="R996" s="318" t="str">
        <f t="shared" si="949"/>
        <v/>
      </c>
      <c r="S996" s="318" t="str">
        <f t="shared" si="8"/>
        <v/>
      </c>
    </row>
    <row r="997">
      <c r="A997" s="14" t="str">
        <f t="shared" si="1"/>
        <v>C107746121</v>
      </c>
      <c r="B997" s="185">
        <f t="array" ref="B997">IF(F997="VL","",IF(F997="Free","Free",XLOOKUP(D997,Roster!T:T,Roster!S:S,"",0)))</f>
        <v>125</v>
      </c>
      <c r="C997" s="313">
        <v>46121.0</v>
      </c>
      <c r="D997" s="314" t="s">
        <v>17</v>
      </c>
      <c r="E997" s="307" t="str">
        <f t="array" ref="E997">(XLOOKUP(D997,Roster!F:F,Roster!B:B,"",0))</f>
        <v>Brahian Prado</v>
      </c>
      <c r="F997" s="315" t="str">
        <f t="array" ref="F997">IF(B997=100,"Free",TEXT(XLOOKUP($D997,OperationVoice!$A:$A,OperationVoice!O:O,XLOOKUP($D997,OperationTickets!$A:$A,OperationTickets!O:O,"",0)),"hh:mm"))</f>
        <v>08:00</v>
      </c>
      <c r="G997" s="309">
        <f t="shared" si="3"/>
        <v>0.7083333333</v>
      </c>
      <c r="H997" s="316" t="str">
        <f t="array" ref="H997">XLOOKUP(B997,Roster!L:L,Roster!N:N,XLOOKUP(D997,TicketsBreak!A:A,TicketsBreak!E:E,"",0),0)</f>
        <v>10:30 - 10:45</v>
      </c>
      <c r="I997" s="316" t="str">
        <f t="array" ref="I997">XLOOKUP(B997,Roster!L:L,Roster!O:O,XLOOKUP(D997,TicketsBreak!A:A,TicketsBreak!F:F,"",0),0)</f>
        <v>13:30 - 14:00</v>
      </c>
      <c r="J997" s="316" t="str">
        <f t="array" ref="J997">XLOOKUP(B997,Roster!L:L,Roster!P:P,XLOOKUP(D997,TicketsBreak!A:A,TicketsBreak!G:G,"",0),0)</f>
        <v>15:45 - 16:00</v>
      </c>
      <c r="K997" s="310">
        <f t="shared" si="4"/>
        <v>46121</v>
      </c>
      <c r="L997" s="317">
        <f t="array" ref="L997">(XLOOKUP(D997,Roster!F:F,Roster!D:D,"",0))</f>
        <v>18</v>
      </c>
      <c r="M997" s="317" t="str">
        <f t="array" ref="M997">XLOOKUP(D997,Roster!F:F,Roster!E:E)</f>
        <v>Voice</v>
      </c>
      <c r="N997" s="317" t="str">
        <f t="shared" ref="N997:P997" si="1014">LEFT(H997,5)</f>
        <v>10:30</v>
      </c>
      <c r="O997" s="317" t="str">
        <f t="shared" si="1014"/>
        <v>13:30</v>
      </c>
      <c r="P997" s="317" t="str">
        <f t="shared" si="1014"/>
        <v>15:45</v>
      </c>
      <c r="Q997" s="318">
        <f t="shared" si="948"/>
        <v>46121.4375</v>
      </c>
      <c r="R997" s="318">
        <f t="shared" si="949"/>
        <v>46121.5625</v>
      </c>
      <c r="S997" s="318">
        <f t="shared" si="8"/>
        <v>46121.65625</v>
      </c>
    </row>
    <row r="998">
      <c r="A998" s="14" t="str">
        <f t="shared" si="1"/>
        <v>C116546121</v>
      </c>
      <c r="B998" s="185" t="str">
        <f t="array" ref="B998">IF(F998="VL","",IF(F998="Free","Free",XLOOKUP(D998,Roster!T:T,Roster!S:S,"",0)))</f>
        <v>Free</v>
      </c>
      <c r="C998" s="313">
        <v>46121.0</v>
      </c>
      <c r="D998" s="314" t="s">
        <v>139</v>
      </c>
      <c r="E998" s="307" t="str">
        <f t="array" ref="E998">(XLOOKUP(D998,Roster!F:F,Roster!B:B,"",0))</f>
        <v>Braian Restrepo</v>
      </c>
      <c r="F998" s="315" t="str">
        <f t="array" ref="F998">IF(B998=100,"Free",TEXT(XLOOKUP($D998,OperationVoice!$A:$A,OperationVoice!O:O,XLOOKUP($D998,OperationTickets!$A:$A,OperationTickets!O:O,"",0)),"hh:mm"))</f>
        <v>Free</v>
      </c>
      <c r="G998" s="309" t="str">
        <f t="shared" si="3"/>
        <v>Free</v>
      </c>
      <c r="H998" s="316" t="str">
        <f t="array" ref="H998">XLOOKUP(B998,Roster!L:L,Roster!N:N,XLOOKUP(D998,TicketsBreak!A:A,TicketsBreak!E:E,"",0),0)</f>
        <v/>
      </c>
      <c r="I998" s="316" t="str">
        <f t="array" ref="I998">XLOOKUP(B998,Roster!L:L,Roster!O:O,XLOOKUP(D998,TicketsBreak!A:A,TicketsBreak!F:F,"",0),0)</f>
        <v/>
      </c>
      <c r="J998" s="316" t="str">
        <f t="array" ref="J998">XLOOKUP(B998,Roster!L:L,Roster!P:P,XLOOKUP(D998,TicketsBreak!A:A,TicketsBreak!G:G,"",0),0)</f>
        <v/>
      </c>
      <c r="K998" s="310">
        <f t="shared" si="4"/>
        <v>46121</v>
      </c>
      <c r="L998" s="317">
        <f t="array" ref="L998">(XLOOKUP(D998,Roster!F:F,Roster!D:D,"",0))</f>
        <v>24</v>
      </c>
      <c r="M998" s="317" t="str">
        <f t="array" ref="M998">XLOOKUP(D998,Roster!F:F,Roster!E:E)</f>
        <v>Tickets</v>
      </c>
      <c r="N998" s="317" t="str">
        <f t="shared" ref="N998:P998" si="1015">LEFT(H998,5)</f>
        <v/>
      </c>
      <c r="O998" s="317" t="str">
        <f t="shared" si="1015"/>
        <v/>
      </c>
      <c r="P998" s="317" t="str">
        <f t="shared" si="1015"/>
        <v/>
      </c>
      <c r="Q998" s="318" t="str">
        <f t="shared" si="948"/>
        <v/>
      </c>
      <c r="R998" s="318" t="str">
        <f t="shared" si="949"/>
        <v/>
      </c>
      <c r="S998" s="318" t="str">
        <f t="shared" si="8"/>
        <v/>
      </c>
    </row>
    <row r="999">
      <c r="A999" s="14" t="str">
        <f t="shared" si="1"/>
        <v>C127446121</v>
      </c>
      <c r="B999" s="185">
        <f t="array" ref="B999">IF(F999="VL","",IF(F999="Free","Free",XLOOKUP(D999,Roster!T:T,Roster!S:S,"",0)))</f>
        <v>126</v>
      </c>
      <c r="C999" s="313">
        <v>46121.0</v>
      </c>
      <c r="D999" s="314" t="s">
        <v>250</v>
      </c>
      <c r="E999" s="307" t="str">
        <f t="array" ref="E999">(XLOOKUP(D999,Roster!F:F,Roster!B:B,"",0))</f>
        <v>Brayan Franco</v>
      </c>
      <c r="F999" s="315" t="str">
        <f t="array" ref="F999">IF(B999=100,"Free",TEXT(XLOOKUP($D999,OperationVoice!$A:$A,OperationVoice!O:O,XLOOKUP($D999,OperationTickets!$A:$A,OperationTickets!O:O,"",0)),"hh:mm"))</f>
        <v/>
      </c>
      <c r="G999" s="309" t="str">
        <f t="shared" si="3"/>
        <v/>
      </c>
      <c r="H999" s="316" t="str">
        <f t="array" ref="H999">XLOOKUP(B999,Roster!L:L,Roster!N:N,XLOOKUP(D999,TicketsBreak!A:A,TicketsBreak!E:E,"",0),0)</f>
        <v>10:45 - 11:00</v>
      </c>
      <c r="I999" s="316" t="str">
        <f t="array" ref="I999">XLOOKUP(B999,Roster!L:L,Roster!O:O,XLOOKUP(D999,TicketsBreak!A:A,TicketsBreak!F:F,"",0),0)</f>
        <v>14:00 - 14:30</v>
      </c>
      <c r="J999" s="316" t="str">
        <f t="array" ref="J999">XLOOKUP(B999,Roster!L:L,Roster!P:P,XLOOKUP(D999,TicketsBreak!A:A,TicketsBreak!G:G,"",0),0)</f>
        <v>15:45 - 16:00</v>
      </c>
      <c r="K999" s="310">
        <f t="shared" si="4"/>
        <v>46121</v>
      </c>
      <c r="L999" s="317">
        <f t="array" ref="L999">(XLOOKUP(D999,Roster!F:F,Roster!D:D,"",0))</f>
        <v>27</v>
      </c>
      <c r="M999" s="317" t="str">
        <f t="array" ref="M999">XLOOKUP(D999,Roster!F:F,Roster!E:E)</f>
        <v>Voice</v>
      </c>
      <c r="N999" s="317" t="str">
        <f t="shared" ref="N999:P999" si="1016">LEFT(H999,5)</f>
        <v>10:45</v>
      </c>
      <c r="O999" s="317" t="str">
        <f t="shared" si="1016"/>
        <v>14:00</v>
      </c>
      <c r="P999" s="317" t="str">
        <f t="shared" si="1016"/>
        <v>15:45</v>
      </c>
      <c r="Q999" s="318">
        <f t="shared" si="948"/>
        <v>46121.44792</v>
      </c>
      <c r="R999" s="318">
        <f t="shared" si="949"/>
        <v>46121.58333</v>
      </c>
      <c r="S999" s="318">
        <f t="shared" si="8"/>
        <v>46121.65625</v>
      </c>
    </row>
    <row r="1000">
      <c r="A1000" s="14" t="str">
        <f t="shared" si="1"/>
        <v>C119146121</v>
      </c>
      <c r="B1000" s="185">
        <f t="array" ref="B1000">IF(F1000="VL","",IF(F1000="Free","Free",XLOOKUP(D1000,Roster!T:T,Roster!S:S,"",0)))</f>
        <v>111</v>
      </c>
      <c r="C1000" s="313">
        <v>46121.0</v>
      </c>
      <c r="D1000" s="314" t="s">
        <v>18</v>
      </c>
      <c r="E1000" s="307" t="str">
        <f t="array" ref="E1000">(XLOOKUP(D1000,Roster!F:F,Roster!B:B,"",0))</f>
        <v>Brayan Montoya</v>
      </c>
      <c r="F1000" s="315" t="str">
        <f t="array" ref="F1000">IF(B1000=100,"Free",TEXT(XLOOKUP($D1000,OperationVoice!$A:$A,OperationVoice!O:O,XLOOKUP($D1000,OperationTickets!$A:$A,OperationTickets!O:O,"",0)),"hh:mm"))</f>
        <v>07:00</v>
      </c>
      <c r="G1000" s="309">
        <f t="shared" si="3"/>
        <v>0.6666666667</v>
      </c>
      <c r="H1000" s="316" t="str">
        <f t="array" ref="H1000">XLOOKUP(B1000,Roster!L:L,Roster!N:N,XLOOKUP(D1000,TicketsBreak!A:A,TicketsBreak!E:E,"",0),0)</f>
        <v>09:00 - 09:15</v>
      </c>
      <c r="I1000" s="316" t="str">
        <f t="array" ref="I1000">XLOOKUP(B1000,Roster!L:L,Roster!O:O,XLOOKUP(D1000,TicketsBreak!A:A,TicketsBreak!F:F,"",0),0)</f>
        <v>11:45 - 12:15</v>
      </c>
      <c r="J1000" s="316" t="str">
        <f t="array" ref="J1000">XLOOKUP(B1000,Roster!L:L,Roster!P:P,XLOOKUP(D1000,TicketsBreak!A:A,TicketsBreak!G:G,"",0),0)</f>
        <v>14:30 - 14:45</v>
      </c>
      <c r="K1000" s="310">
        <f t="shared" si="4"/>
        <v>46121</v>
      </c>
      <c r="L1000" s="317">
        <f t="array" ref="L1000">(XLOOKUP(D1000,Roster!F:F,Roster!D:D,"",0))</f>
        <v>25</v>
      </c>
      <c r="M1000" s="317" t="str">
        <f t="array" ref="M1000">XLOOKUP(D1000,Roster!F:F,Roster!E:E)</f>
        <v>Voice</v>
      </c>
      <c r="N1000" s="317" t="str">
        <f t="shared" ref="N1000:P1000" si="1017">LEFT(H1000,5)</f>
        <v>09:00</v>
      </c>
      <c r="O1000" s="317" t="str">
        <f t="shared" si="1017"/>
        <v>11:45</v>
      </c>
      <c r="P1000" s="317" t="str">
        <f t="shared" si="1017"/>
        <v>14:30</v>
      </c>
      <c r="Q1000" s="318">
        <f t="shared" si="948"/>
        <v>46121.375</v>
      </c>
      <c r="R1000" s="318">
        <f t="shared" si="949"/>
        <v>46121.48958</v>
      </c>
      <c r="S1000" s="318">
        <f t="shared" si="8"/>
        <v>46121.60417</v>
      </c>
    </row>
    <row r="1001">
      <c r="A1001" s="14" t="str">
        <f t="shared" si="1"/>
        <v>C152646121</v>
      </c>
      <c r="B1001" s="185">
        <f t="array" ref="B1001">IF(F1001="VL","",IF(F1001="Free","Free",XLOOKUP(D1001,Roster!T:T,Roster!S:S,"",0)))</f>
        <v>121</v>
      </c>
      <c r="C1001" s="313">
        <v>46121.0</v>
      </c>
      <c r="D1001" s="314" t="s">
        <v>19</v>
      </c>
      <c r="E1001" s="307" t="str">
        <f t="array" ref="E1001">(XLOOKUP(D1001,Roster!F:F,Roster!B:B,"",0))</f>
        <v>Breitner Benitez</v>
      </c>
      <c r="F1001" s="315" t="str">
        <f t="array" ref="F1001">IF(B1001=100,"Free",TEXT(XLOOKUP($D1001,OperationVoice!$A:$A,OperationVoice!O:O,XLOOKUP($D1001,OperationTickets!$A:$A,OperationTickets!O:O,"",0)),"hh:mm"))</f>
        <v>08:00</v>
      </c>
      <c r="G1001" s="309">
        <f t="shared" si="3"/>
        <v>0.7083333333</v>
      </c>
      <c r="H1001" s="316" t="str">
        <f t="array" ref="H1001">XLOOKUP(B1001,Roster!L:L,Roster!N:N,XLOOKUP(D1001,TicketsBreak!A:A,TicketsBreak!E:E,"",0),0)</f>
        <v>09:15 - 09:30</v>
      </c>
      <c r="I1001" s="316" t="str">
        <f t="array" ref="I1001">XLOOKUP(B1001,Roster!L:L,Roster!O:O,XLOOKUP(D1001,TicketsBreak!A:A,TicketsBreak!F:F,"",0),0)</f>
        <v>11:30 - 12:00</v>
      </c>
      <c r="J1001" s="316" t="str">
        <f t="array" ref="J1001">XLOOKUP(B1001,Roster!L:L,Roster!P:P,XLOOKUP(D1001,TicketsBreak!A:A,TicketsBreak!G:G,"",0),0)</f>
        <v>14:30 - 14:45</v>
      </c>
      <c r="K1001" s="310">
        <f t="shared" si="4"/>
        <v>46121</v>
      </c>
      <c r="L1001" s="317">
        <f t="array" ref="L1001">(XLOOKUP(D1001,Roster!F:F,Roster!D:D,"",0))</f>
        <v>13</v>
      </c>
      <c r="M1001" s="317" t="str">
        <f t="array" ref="M1001">XLOOKUP(D1001,Roster!F:F,Roster!E:E)</f>
        <v>Voice</v>
      </c>
      <c r="N1001" s="317" t="str">
        <f t="shared" ref="N1001:P1001" si="1018">LEFT(H1001,5)</f>
        <v>09:15</v>
      </c>
      <c r="O1001" s="317" t="str">
        <f t="shared" si="1018"/>
        <v>11:30</v>
      </c>
      <c r="P1001" s="317" t="str">
        <f t="shared" si="1018"/>
        <v>14:30</v>
      </c>
      <c r="Q1001" s="318">
        <f t="shared" si="948"/>
        <v>46121.38542</v>
      </c>
      <c r="R1001" s="318">
        <f t="shared" si="949"/>
        <v>46121.47917</v>
      </c>
      <c r="S1001" s="318">
        <f t="shared" si="8"/>
        <v>46121.60417</v>
      </c>
    </row>
    <row r="1002">
      <c r="A1002" s="14" t="str">
        <f t="shared" si="1"/>
        <v>C153546121</v>
      </c>
      <c r="B1002" s="185" t="str">
        <f t="array" ref="B1002">IF(F1002="VL","",IF(F1002="Free","Free",XLOOKUP(D1002,Roster!T:T,Roster!S:S,"",0)))</f>
        <v>Free</v>
      </c>
      <c r="C1002" s="313">
        <v>46121.0</v>
      </c>
      <c r="D1002" s="314" t="s">
        <v>20</v>
      </c>
      <c r="E1002" s="307" t="str">
        <f t="array" ref="E1002">(XLOOKUP(D1002,Roster!F:F,Roster!B:B,"",0))</f>
        <v>Carlos Alzate</v>
      </c>
      <c r="F1002" s="315" t="str">
        <f t="array" ref="F1002">IF(B1002=100,"Free",TEXT(XLOOKUP($D1002,OperationVoice!$A:$A,OperationVoice!O:O,XLOOKUP($D1002,OperationTickets!$A:$A,OperationTickets!O:O,"",0)),"hh:mm"))</f>
        <v>Free</v>
      </c>
      <c r="G1002" s="309" t="str">
        <f t="shared" si="3"/>
        <v>Free</v>
      </c>
      <c r="H1002" s="316" t="str">
        <f t="array" ref="H1002">XLOOKUP(B1002,Roster!L:L,Roster!N:N,XLOOKUP(D1002,TicketsBreak!A:A,TicketsBreak!E:E,"",0),0)</f>
        <v/>
      </c>
      <c r="I1002" s="316" t="str">
        <f t="array" ref="I1002">XLOOKUP(B1002,Roster!L:L,Roster!O:O,XLOOKUP(D1002,TicketsBreak!A:A,TicketsBreak!F:F,"",0),0)</f>
        <v/>
      </c>
      <c r="J1002" s="316" t="str">
        <f t="array" ref="J1002">XLOOKUP(B1002,Roster!L:L,Roster!P:P,XLOOKUP(D1002,TicketsBreak!A:A,TicketsBreak!G:G,"",0),0)</f>
        <v/>
      </c>
      <c r="K1002" s="310">
        <f t="shared" si="4"/>
        <v>46121</v>
      </c>
      <c r="L1002" s="317">
        <f t="array" ref="L1002">(XLOOKUP(D1002,Roster!F:F,Roster!D:D,"",0))</f>
        <v>36</v>
      </c>
      <c r="M1002" s="317" t="str">
        <f t="array" ref="M1002">XLOOKUP(D1002,Roster!F:F,Roster!E:E)</f>
        <v>Voice</v>
      </c>
      <c r="N1002" s="317" t="str">
        <f t="shared" ref="N1002:P1002" si="1019">LEFT(H1002,5)</f>
        <v/>
      </c>
      <c r="O1002" s="317" t="str">
        <f t="shared" si="1019"/>
        <v/>
      </c>
      <c r="P1002" s="317" t="str">
        <f t="shared" si="1019"/>
        <v/>
      </c>
      <c r="Q1002" s="318" t="str">
        <f t="shared" si="948"/>
        <v/>
      </c>
      <c r="R1002" s="318" t="str">
        <f t="shared" si="949"/>
        <v/>
      </c>
      <c r="S1002" s="318" t="str">
        <f t="shared" si="8"/>
        <v/>
      </c>
    </row>
    <row r="1003">
      <c r="A1003" s="14" t="str">
        <f t="shared" si="1"/>
        <v>C153146121</v>
      </c>
      <c r="B1003" s="185">
        <f t="array" ref="B1003">IF(F1003="VL","",IF(F1003="Free","Free",XLOOKUP(D1003,Roster!T:T,Roster!S:S,"",0)))</f>
        <v>123</v>
      </c>
      <c r="C1003" s="313">
        <v>46121.0</v>
      </c>
      <c r="D1003" s="314" t="s">
        <v>21</v>
      </c>
      <c r="E1003" s="307" t="str">
        <f t="array" ref="E1003">(XLOOKUP(D1003,Roster!F:F,Roster!B:B,"",0))</f>
        <v>Carlos Palma</v>
      </c>
      <c r="F1003" s="315" t="str">
        <f t="array" ref="F1003">IF(B1003=100,"Free",TEXT(XLOOKUP($D1003,OperationVoice!$A:$A,OperationVoice!O:O,XLOOKUP($D1003,OperationTickets!$A:$A,OperationTickets!O:O,"",0)),"hh:mm"))</f>
        <v>08:00</v>
      </c>
      <c r="G1003" s="309">
        <f t="shared" si="3"/>
        <v>0.7083333333</v>
      </c>
      <c r="H1003" s="316" t="str">
        <f t="array" ref="H1003">XLOOKUP(B1003,Roster!L:L,Roster!N:N,XLOOKUP(D1003,TicketsBreak!A:A,TicketsBreak!E:E,"",0),0)</f>
        <v>09:45 - 10:00 </v>
      </c>
      <c r="I1003" s="316" t="str">
        <f t="array" ref="I1003">XLOOKUP(B1003,Roster!L:L,Roster!O:O,XLOOKUP(D1003,TicketsBreak!A:A,TicketsBreak!F:F,"",0),0)</f>
        <v>12:30 - 13:00</v>
      </c>
      <c r="J1003" s="316" t="str">
        <f t="array" ref="J1003">XLOOKUP(B1003,Roster!L:L,Roster!P:P,XLOOKUP(D1003,TicketsBreak!A:A,TicketsBreak!G:G,"",0),0)</f>
        <v>15:00 - 15:15</v>
      </c>
      <c r="K1003" s="310">
        <f t="shared" si="4"/>
        <v>46121</v>
      </c>
      <c r="L1003" s="317">
        <f t="array" ref="L1003">(XLOOKUP(D1003,Roster!F:F,Roster!D:D,"",0))</f>
        <v>36</v>
      </c>
      <c r="M1003" s="317" t="str">
        <f t="array" ref="M1003">XLOOKUP(D1003,Roster!F:F,Roster!E:E)</f>
        <v>Voice</v>
      </c>
      <c r="N1003" s="317" t="str">
        <f t="shared" ref="N1003:P1003" si="1020">LEFT(H1003,5)</f>
        <v>09:45</v>
      </c>
      <c r="O1003" s="317" t="str">
        <f t="shared" si="1020"/>
        <v>12:30</v>
      </c>
      <c r="P1003" s="317" t="str">
        <f t="shared" si="1020"/>
        <v>15:00</v>
      </c>
      <c r="Q1003" s="318">
        <f t="shared" si="948"/>
        <v>46121.40625</v>
      </c>
      <c r="R1003" s="318">
        <f t="shared" si="949"/>
        <v>46121.52083</v>
      </c>
      <c r="S1003" s="318">
        <f t="shared" si="8"/>
        <v>46121.625</v>
      </c>
    </row>
    <row r="1004">
      <c r="A1004" s="14" t="str">
        <f t="shared" si="1"/>
        <v>C157646121</v>
      </c>
      <c r="B1004" s="185" t="str">
        <f t="array" ref="B1004">IF(F1004="VL","",IF(F1004="Free","Free",XLOOKUP(D1004,Roster!T:T,Roster!S:S,"",0)))</f>
        <v/>
      </c>
      <c r="C1004" s="313">
        <v>46121.0</v>
      </c>
      <c r="D1004" s="314" t="s">
        <v>313</v>
      </c>
      <c r="E1004" s="307" t="str">
        <f t="array" ref="E1004">(XLOOKUP(D1004,Roster!F:F,Roster!B:B,"",0))</f>
        <v>Carlos Ruiz</v>
      </c>
      <c r="F1004" s="315" t="str">
        <f t="array" ref="F1004">IF(B1004=100,"Free",TEXT(XLOOKUP($D1004,OperationVoice!$A:$A,OperationVoice!O:O,XLOOKUP($D1004,OperationTickets!$A:$A,OperationTickets!O:O,"",0)),"hh:mm"))</f>
        <v/>
      </c>
      <c r="G1004" s="309" t="str">
        <f t="shared" si="3"/>
        <v/>
      </c>
      <c r="H1004" s="316" t="str">
        <f t="array" ref="H1004">XLOOKUP(B1004,Roster!L:L,Roster!N:N,XLOOKUP(D1004,TicketsBreak!A:A,TicketsBreak!E:E,"",0),0)</f>
        <v/>
      </c>
      <c r="I1004" s="316" t="str">
        <f t="array" ref="I1004">XLOOKUP(B1004,Roster!L:L,Roster!O:O,XLOOKUP(D1004,TicketsBreak!A:A,TicketsBreak!F:F,"",0),0)</f>
        <v/>
      </c>
      <c r="J1004" s="316" t="str">
        <f t="array" ref="J1004">XLOOKUP(B1004,Roster!L:L,Roster!P:P,XLOOKUP(D1004,TicketsBreak!A:A,TicketsBreak!G:G,"",0),0)</f>
        <v/>
      </c>
      <c r="K1004" s="310">
        <f t="shared" si="4"/>
        <v>46121</v>
      </c>
      <c r="L1004" s="317">
        <f t="array" ref="L1004">(XLOOKUP(D1004,Roster!F:F,Roster!D:D,"",0))</f>
        <v>38</v>
      </c>
      <c r="M1004" s="317" t="str">
        <f t="array" ref="M1004">XLOOKUP(D1004,Roster!F:F,Roster!E:E)</f>
        <v>Nesting</v>
      </c>
      <c r="N1004" s="317" t="str">
        <f t="shared" ref="N1004:P1004" si="1021">LEFT(H1004,5)</f>
        <v/>
      </c>
      <c r="O1004" s="317" t="str">
        <f t="shared" si="1021"/>
        <v/>
      </c>
      <c r="P1004" s="317" t="str">
        <f t="shared" si="1021"/>
        <v/>
      </c>
      <c r="Q1004" s="318" t="str">
        <f t="shared" si="948"/>
        <v/>
      </c>
      <c r="R1004" s="318" t="str">
        <f t="shared" si="949"/>
        <v/>
      </c>
      <c r="S1004" s="318" t="str">
        <f t="shared" si="8"/>
        <v/>
      </c>
    </row>
    <row r="1005">
      <c r="A1005" s="14" t="str">
        <f t="shared" si="1"/>
        <v>C47946121</v>
      </c>
      <c r="B1005" s="185" t="str">
        <f t="array" ref="B1005">IF(F1005="VL","",IF(F1005="Free","Free",XLOOKUP(D1005,Roster!T:T,Roster!S:S,"",0)))</f>
        <v/>
      </c>
      <c r="C1005" s="313">
        <v>46121.0</v>
      </c>
      <c r="D1005" s="314" t="s">
        <v>173</v>
      </c>
      <c r="E1005" s="307" t="str">
        <f t="array" ref="E1005">(XLOOKUP(D1005,Roster!F:F,Roster!B:B,"",0))</f>
        <v>Carmen Grajales</v>
      </c>
      <c r="F1005" s="315" t="str">
        <f t="array" ref="F1005">IF(B1005=100,"Free",TEXT(XLOOKUP($D1005,OperationVoice!$A:$A,OperationVoice!O:O,XLOOKUP($D1005,OperationTickets!$A:$A,OperationTickets!O:O,"",0)),"hh:mm"))</f>
        <v>08:00</v>
      </c>
      <c r="G1005" s="309">
        <f t="shared" si="3"/>
        <v>0.7083333333</v>
      </c>
      <c r="H1005" s="316">
        <f t="array" ref="H1005">XLOOKUP(B1005,Roster!L:L,Roster!N:N,XLOOKUP(D1005,TicketsBreak!A:A,TicketsBreak!E:E,"",0),0)</f>
        <v>0.4270833333</v>
      </c>
      <c r="I1005" s="316">
        <f t="array" ref="I1005">XLOOKUP(B1005,Roster!L:L,Roster!O:O,XLOOKUP(D1005,TicketsBreak!A:A,TicketsBreak!F:F,"",0),0)</f>
        <v>0.53125</v>
      </c>
      <c r="J1005" s="316">
        <f t="array" ref="J1005">XLOOKUP(B1005,Roster!L:L,Roster!P:P,XLOOKUP(D1005,TicketsBreak!A:A,TicketsBreak!G:G,"",0),0)</f>
        <v>0.65625</v>
      </c>
      <c r="K1005" s="310">
        <f t="shared" si="4"/>
        <v>46121</v>
      </c>
      <c r="L1005" s="317">
        <f t="array" ref="L1005">(XLOOKUP(D1005,Roster!F:F,Roster!D:D,"",0))</f>
        <v>2</v>
      </c>
      <c r="M1005" s="317" t="str">
        <f t="array" ref="M1005">XLOOKUP(D1005,Roster!F:F,Roster!E:E)</f>
        <v>Tickets</v>
      </c>
      <c r="N1005" s="317" t="str">
        <f t="shared" ref="N1005:P1005" si="1022">LEFT(H1005,5)</f>
        <v>10:15</v>
      </c>
      <c r="O1005" s="317" t="str">
        <f t="shared" si="1022"/>
        <v>12:45</v>
      </c>
      <c r="P1005" s="317" t="str">
        <f t="shared" si="1022"/>
        <v>15:45</v>
      </c>
      <c r="Q1005" s="318">
        <f t="shared" si="948"/>
        <v>46121.42708</v>
      </c>
      <c r="R1005" s="318">
        <f t="shared" si="949"/>
        <v>46121.53125</v>
      </c>
      <c r="S1005" s="318">
        <f t="shared" si="8"/>
        <v>46121.65625</v>
      </c>
    </row>
    <row r="1006">
      <c r="A1006" s="14" t="str">
        <f t="shared" si="1"/>
        <v>C68746121</v>
      </c>
      <c r="B1006" s="185">
        <f t="array" ref="B1006">IF(F1006="VL","",IF(F1006="Free","Free",XLOOKUP(D1006,Roster!T:T,Roster!S:S,"",0)))</f>
        <v>122</v>
      </c>
      <c r="C1006" s="313">
        <v>46121.0</v>
      </c>
      <c r="D1006" s="314" t="s">
        <v>22</v>
      </c>
      <c r="E1006" s="307" t="str">
        <f t="array" ref="E1006">(XLOOKUP(D1006,Roster!F:F,Roster!B:B,"",0))</f>
        <v>Carolina Rios</v>
      </c>
      <c r="F1006" s="315" t="str">
        <f t="array" ref="F1006">IF(B1006=100,"Free",TEXT(XLOOKUP($D1006,OperationVoice!$A:$A,OperationVoice!O:O,XLOOKUP($D1006,OperationTickets!$A:$A,OperationTickets!O:O,"",0)),"hh:mm"))</f>
        <v>08:00</v>
      </c>
      <c r="G1006" s="309">
        <f t="shared" si="3"/>
        <v>0.7083333333</v>
      </c>
      <c r="H1006" s="316" t="str">
        <f t="array" ref="H1006">XLOOKUP(B1006,Roster!L:L,Roster!N:N,XLOOKUP(D1006,TicketsBreak!A:A,TicketsBreak!E:E,"",0),0)</f>
        <v>09:30 - 09:45</v>
      </c>
      <c r="I1006" s="316" t="str">
        <f t="array" ref="I1006">XLOOKUP(B1006,Roster!L:L,Roster!O:O,XLOOKUP(D1006,TicketsBreak!A:A,TicketsBreak!F:F,"",0),0)</f>
        <v>12:00 - 12:30</v>
      </c>
      <c r="J1006" s="316" t="str">
        <f t="array" ref="J1006">XLOOKUP(B1006,Roster!L:L,Roster!P:P,XLOOKUP(D1006,TicketsBreak!A:A,TicketsBreak!G:G,"",0),0)</f>
        <v>14:45 - 15:00</v>
      </c>
      <c r="K1006" s="310">
        <f t="shared" si="4"/>
        <v>46121</v>
      </c>
      <c r="L1006" s="317">
        <f t="array" ref="L1006">(XLOOKUP(D1006,Roster!F:F,Roster!D:D,"",0))</f>
        <v>5</v>
      </c>
      <c r="M1006" s="317" t="str">
        <f t="array" ref="M1006">XLOOKUP(D1006,Roster!F:F,Roster!E:E)</f>
        <v>Voice</v>
      </c>
      <c r="N1006" s="317" t="str">
        <f t="shared" ref="N1006:P1006" si="1023">LEFT(H1006,5)</f>
        <v>09:30</v>
      </c>
      <c r="O1006" s="317" t="str">
        <f t="shared" si="1023"/>
        <v>12:00</v>
      </c>
      <c r="P1006" s="317" t="str">
        <f t="shared" si="1023"/>
        <v>14:45</v>
      </c>
      <c r="Q1006" s="318">
        <f t="shared" si="948"/>
        <v>46121.39583</v>
      </c>
      <c r="R1006" s="318">
        <f t="shared" si="949"/>
        <v>46121.5</v>
      </c>
      <c r="S1006" s="318">
        <f t="shared" si="8"/>
        <v>46121.61458</v>
      </c>
    </row>
    <row r="1007">
      <c r="A1007" s="14" t="str">
        <f t="shared" si="1"/>
        <v>C152846121</v>
      </c>
      <c r="B1007" s="185">
        <f t="array" ref="B1007">IF(F1007="VL","",IF(F1007="Free","Free",XLOOKUP(D1007,Roster!T:T,Roster!S:S,"",0)))</f>
        <v>132</v>
      </c>
      <c r="C1007" s="313">
        <v>46121.0</v>
      </c>
      <c r="D1007" s="314" t="s">
        <v>23</v>
      </c>
      <c r="E1007" s="307" t="str">
        <f t="array" ref="E1007">(XLOOKUP(D1007,Roster!F:F,Roster!B:B,"",0))</f>
        <v>Christian Ramirez</v>
      </c>
      <c r="F1007" s="315" t="str">
        <f t="array" ref="F1007">IF(B1007=100,"Free",TEXT(XLOOKUP($D1007,OperationVoice!$A:$A,OperationVoice!O:O,XLOOKUP($D1007,OperationTickets!$A:$A,OperationTickets!O:O,"",0)),"hh:mm"))</f>
        <v>08:00</v>
      </c>
      <c r="G1007" s="309">
        <f t="shared" si="3"/>
        <v>0.7083333333</v>
      </c>
      <c r="H1007" s="316" t="str">
        <f t="array" ref="H1007">XLOOKUP(B1007,Roster!L:L,Roster!N:N,XLOOKUP(D1007,TicketsBreak!A:A,TicketsBreak!E:E,"",0),0)</f>
        <v>10:30 - 10:45</v>
      </c>
      <c r="I1007" s="316" t="str">
        <f t="array" ref="I1007">XLOOKUP(B1007,Roster!L:L,Roster!O:O,XLOOKUP(D1007,TicketsBreak!A:A,TicketsBreak!F:F,"",0),0)</f>
        <v>13:00 - 13:30</v>
      </c>
      <c r="J1007" s="316" t="str">
        <f t="array" ref="J1007">XLOOKUP(B1007,Roster!L:L,Roster!P:P,XLOOKUP(D1007,TicketsBreak!A:A,TicketsBreak!G:G,"",0),0)</f>
        <v>15:30 - 15:45</v>
      </c>
      <c r="K1007" s="310">
        <f t="shared" si="4"/>
        <v>46121</v>
      </c>
      <c r="L1007" s="317">
        <f t="array" ref="L1007">(XLOOKUP(D1007,Roster!F:F,Roster!D:D,"",0))</f>
        <v>36</v>
      </c>
      <c r="M1007" s="317" t="str">
        <f t="array" ref="M1007">XLOOKUP(D1007,Roster!F:F,Roster!E:E)</f>
        <v>Voice</v>
      </c>
      <c r="N1007" s="317" t="str">
        <f t="shared" ref="N1007:P1007" si="1024">LEFT(H1007,5)</f>
        <v>10:30</v>
      </c>
      <c r="O1007" s="317" t="str">
        <f t="shared" si="1024"/>
        <v>13:00</v>
      </c>
      <c r="P1007" s="317" t="str">
        <f t="shared" si="1024"/>
        <v>15:30</v>
      </c>
      <c r="Q1007" s="318">
        <f t="shared" si="948"/>
        <v>46121.4375</v>
      </c>
      <c r="R1007" s="318">
        <f t="shared" si="949"/>
        <v>46121.54167</v>
      </c>
      <c r="S1007" s="318">
        <f t="shared" si="8"/>
        <v>46121.64583</v>
      </c>
    </row>
    <row r="1008">
      <c r="A1008" s="14" t="str">
        <f t="shared" si="1"/>
        <v>C132546121</v>
      </c>
      <c r="B1008" s="185" t="str">
        <f t="array" ref="B1008">IF(F1008="VL","",IF(F1008="Free","Free",XLOOKUP(D1008,Roster!T:T,Roster!S:S,"",0)))</f>
        <v>Free</v>
      </c>
      <c r="C1008" s="313">
        <v>46121.0</v>
      </c>
      <c r="D1008" s="314" t="s">
        <v>174</v>
      </c>
      <c r="E1008" s="307" t="str">
        <f t="array" ref="E1008">(XLOOKUP(D1008,Roster!F:F,Roster!B:B,"",0))</f>
        <v>Cristian Ferreira</v>
      </c>
      <c r="F1008" s="315" t="str">
        <f t="array" ref="F1008">IF(B1008=100,"Free",TEXT(XLOOKUP($D1008,OperationVoice!$A:$A,OperationVoice!O:O,XLOOKUP($D1008,OperationTickets!$A:$A,OperationTickets!O:O,"",0)),"hh:mm"))</f>
        <v>Free</v>
      </c>
      <c r="G1008" s="309" t="str">
        <f t="shared" si="3"/>
        <v>Free</v>
      </c>
      <c r="H1008" s="316" t="str">
        <f t="array" ref="H1008">XLOOKUP(B1008,Roster!L:L,Roster!N:N,XLOOKUP(D1008,TicketsBreak!A:A,TicketsBreak!E:E,"",0),0)</f>
        <v/>
      </c>
      <c r="I1008" s="316" t="str">
        <f t="array" ref="I1008">XLOOKUP(B1008,Roster!L:L,Roster!O:O,XLOOKUP(D1008,TicketsBreak!A:A,TicketsBreak!F:F,"",0),0)</f>
        <v/>
      </c>
      <c r="J1008" s="316" t="str">
        <f t="array" ref="J1008">XLOOKUP(B1008,Roster!L:L,Roster!P:P,XLOOKUP(D1008,TicketsBreak!A:A,TicketsBreak!G:G,"",0),0)</f>
        <v/>
      </c>
      <c r="K1008" s="310">
        <f t="shared" si="4"/>
        <v>46121</v>
      </c>
      <c r="L1008" s="317">
        <f t="array" ref="L1008">(XLOOKUP(D1008,Roster!F:F,Roster!D:D,"",0))</f>
        <v>29</v>
      </c>
      <c r="M1008" s="317" t="str">
        <f t="array" ref="M1008">XLOOKUP(D1008,Roster!F:F,Roster!E:E)</f>
        <v>Tickets</v>
      </c>
      <c r="N1008" s="317" t="str">
        <f t="shared" ref="N1008:P1008" si="1025">LEFT(H1008,5)</f>
        <v/>
      </c>
      <c r="O1008" s="317" t="str">
        <f t="shared" si="1025"/>
        <v/>
      </c>
      <c r="P1008" s="317" t="str">
        <f t="shared" si="1025"/>
        <v/>
      </c>
      <c r="Q1008" s="318" t="str">
        <f t="shared" si="948"/>
        <v/>
      </c>
      <c r="R1008" s="318" t="str">
        <f t="shared" si="949"/>
        <v/>
      </c>
      <c r="S1008" s="318" t="str">
        <f t="shared" si="8"/>
        <v/>
      </c>
    </row>
    <row r="1009">
      <c r="A1009" s="14" t="str">
        <f t="shared" si="1"/>
        <v>C151046121</v>
      </c>
      <c r="B1009" s="185">
        <f t="array" ref="B1009">IF(F1009="VL","",IF(F1009="Free","Free",XLOOKUP(D1009,Roster!T:T,Roster!S:S,"",0)))</f>
        <v>121</v>
      </c>
      <c r="C1009" s="313">
        <v>46121.0</v>
      </c>
      <c r="D1009" s="314" t="s">
        <v>24</v>
      </c>
      <c r="E1009" s="307" t="str">
        <f t="array" ref="E1009">(XLOOKUP(D1009,Roster!F:F,Roster!B:B,"",0))</f>
        <v>Cristian Gomez</v>
      </c>
      <c r="F1009" s="315" t="str">
        <f t="array" ref="F1009">IF(B1009=100,"Free",TEXT(XLOOKUP($D1009,OperationVoice!$A:$A,OperationVoice!O:O,XLOOKUP($D1009,OperationTickets!$A:$A,OperationTickets!O:O,"",0)),"hh:mm"))</f>
        <v>08:00</v>
      </c>
      <c r="G1009" s="309">
        <f t="shared" si="3"/>
        <v>0.7083333333</v>
      </c>
      <c r="H1009" s="316" t="str">
        <f t="array" ref="H1009">XLOOKUP(B1009,Roster!L:L,Roster!N:N,XLOOKUP(D1009,TicketsBreak!A:A,TicketsBreak!E:E,"",0),0)</f>
        <v>09:15 - 09:30</v>
      </c>
      <c r="I1009" s="316" t="str">
        <f t="array" ref="I1009">XLOOKUP(B1009,Roster!L:L,Roster!O:O,XLOOKUP(D1009,TicketsBreak!A:A,TicketsBreak!F:F,"",0),0)</f>
        <v>11:30 - 12:00</v>
      </c>
      <c r="J1009" s="316" t="str">
        <f t="array" ref="J1009">XLOOKUP(B1009,Roster!L:L,Roster!P:P,XLOOKUP(D1009,TicketsBreak!A:A,TicketsBreak!G:G,"",0),0)</f>
        <v>14:30 - 14:45</v>
      </c>
      <c r="K1009" s="310">
        <f t="shared" si="4"/>
        <v>46121</v>
      </c>
      <c r="L1009" s="317">
        <f t="array" ref="L1009">(XLOOKUP(D1009,Roster!F:F,Roster!D:D,"",0))</f>
        <v>35</v>
      </c>
      <c r="M1009" s="317" t="str">
        <f t="array" ref="M1009">XLOOKUP(D1009,Roster!F:F,Roster!E:E)</f>
        <v>Voice</v>
      </c>
      <c r="N1009" s="317" t="str">
        <f t="shared" ref="N1009:P1009" si="1026">LEFT(H1009,5)</f>
        <v>09:15</v>
      </c>
      <c r="O1009" s="317" t="str">
        <f t="shared" si="1026"/>
        <v>11:30</v>
      </c>
      <c r="P1009" s="317" t="str">
        <f t="shared" si="1026"/>
        <v>14:30</v>
      </c>
      <c r="Q1009" s="318">
        <f t="shared" si="948"/>
        <v>46121.38542</v>
      </c>
      <c r="R1009" s="318">
        <f t="shared" si="949"/>
        <v>46121.47917</v>
      </c>
      <c r="S1009" s="318">
        <f t="shared" si="8"/>
        <v>46121.60417</v>
      </c>
    </row>
    <row r="1010">
      <c r="A1010" s="14" t="str">
        <f t="shared" si="1"/>
        <v>C67346121</v>
      </c>
      <c r="B1010" s="185" t="str">
        <f t="array" ref="B1010">IF(F1010="VL","",IF(F1010="Free","Free",XLOOKUP(D1010,Roster!T:T,Roster!S:S,"",0)))</f>
        <v/>
      </c>
      <c r="C1010" s="313">
        <v>46121.0</v>
      </c>
      <c r="D1010" s="314" t="s">
        <v>156</v>
      </c>
      <c r="E1010" s="307" t="str">
        <f t="array" ref="E1010">(XLOOKUP(D1010,Roster!F:F,Roster!B:B,"",0))</f>
        <v>Dahiana Cano</v>
      </c>
      <c r="F1010" s="315" t="str">
        <f t="array" ref="F1010">IF(B1010=100,"Free",TEXT(XLOOKUP($D1010,OperationVoice!$A:$A,OperationVoice!O:O,XLOOKUP($D1010,OperationTickets!$A:$A,OperationTickets!O:O,"",0)),"hh:mm"))</f>
        <v>08:00</v>
      </c>
      <c r="G1010" s="309">
        <f t="shared" si="3"/>
        <v>0.7083333333</v>
      </c>
      <c r="H1010" s="316">
        <f t="array" ref="H1010">XLOOKUP(B1010,Roster!L:L,Roster!N:N,XLOOKUP(D1010,TicketsBreak!A:A,TicketsBreak!E:E,"",0),0)</f>
        <v>0.4583333333</v>
      </c>
      <c r="I1010" s="316">
        <f t="array" ref="I1010">XLOOKUP(B1010,Roster!L:L,Roster!O:O,XLOOKUP(D1010,TicketsBreak!A:A,TicketsBreak!F:F,"",0),0)</f>
        <v>0.5833333333</v>
      </c>
      <c r="J1010" s="316">
        <f t="array" ref="J1010">XLOOKUP(B1010,Roster!L:L,Roster!P:P,XLOOKUP(D1010,TicketsBreak!A:A,TicketsBreak!G:G,"",0),0)</f>
        <v>0.65625</v>
      </c>
      <c r="K1010" s="310">
        <f t="shared" si="4"/>
        <v>46121</v>
      </c>
      <c r="L1010" s="317">
        <f t="array" ref="L1010">(XLOOKUP(D1010,Roster!F:F,Roster!D:D,"",0))</f>
        <v>4</v>
      </c>
      <c r="M1010" s="317" t="str">
        <f t="array" ref="M1010">XLOOKUP(D1010,Roster!F:F,Roster!E:E)</f>
        <v>Tickets</v>
      </c>
      <c r="N1010" s="317" t="str">
        <f t="shared" ref="N1010:P1010" si="1027">LEFT(H1010,5)</f>
        <v>11:00</v>
      </c>
      <c r="O1010" s="317" t="str">
        <f t="shared" si="1027"/>
        <v>14:00</v>
      </c>
      <c r="P1010" s="317" t="str">
        <f t="shared" si="1027"/>
        <v>15:45</v>
      </c>
      <c r="Q1010" s="318">
        <f t="shared" si="948"/>
        <v>46121.45833</v>
      </c>
      <c r="R1010" s="318">
        <f t="shared" si="949"/>
        <v>46121.58333</v>
      </c>
      <c r="S1010" s="318">
        <f t="shared" si="8"/>
        <v>46121.65625</v>
      </c>
    </row>
    <row r="1011">
      <c r="A1011" s="14" t="str">
        <f t="shared" si="1"/>
        <v>C152946121</v>
      </c>
      <c r="B1011" s="185">
        <f t="array" ref="B1011">IF(F1011="VL","",IF(F1011="Free","Free",XLOOKUP(D1011,Roster!T:T,Roster!S:S,"",0)))</f>
        <v>133</v>
      </c>
      <c r="C1011" s="313">
        <v>46121.0</v>
      </c>
      <c r="D1011" s="314" t="s">
        <v>25</v>
      </c>
      <c r="E1011" s="307" t="str">
        <f t="array" ref="E1011">(XLOOKUP(D1011,Roster!F:F,Roster!B:B,"",0))</f>
        <v>Daniel Barrientos</v>
      </c>
      <c r="F1011" s="315" t="str">
        <f t="array" ref="F1011">IF(B1011=100,"Free",TEXT(XLOOKUP($D1011,OperationVoice!$A:$A,OperationVoice!O:O,XLOOKUP($D1011,OperationTickets!$A:$A,OperationTickets!O:O,"",0)),"hh:mm"))</f>
        <v>09:00</v>
      </c>
      <c r="G1011" s="309">
        <f t="shared" si="3"/>
        <v>0.75</v>
      </c>
      <c r="H1011" s="316" t="str">
        <f t="array" ref="H1011">XLOOKUP(B1011,Roster!L:L,Roster!N:N,XLOOKUP(D1011,TicketsBreak!A:A,TicketsBreak!E:E,"",0),0)</f>
        <v>10:45 - 11:00 </v>
      </c>
      <c r="I1011" s="316" t="str">
        <f t="array" ref="I1011">XLOOKUP(B1011,Roster!L:L,Roster!O:O,XLOOKUP(D1011,TicketsBreak!A:A,TicketsBreak!F:F,"",0),0)</f>
        <v>13:30 - 14:00</v>
      </c>
      <c r="J1011" s="316" t="str">
        <f t="array" ref="J1011">XLOOKUP(B1011,Roster!L:L,Roster!P:P,XLOOKUP(D1011,TicketsBreak!A:A,TicketsBreak!G:G,"",0),0)</f>
        <v>15:45 - 16:00</v>
      </c>
      <c r="K1011" s="310">
        <f t="shared" si="4"/>
        <v>46121</v>
      </c>
      <c r="L1011" s="317">
        <f t="array" ref="L1011">(XLOOKUP(D1011,Roster!F:F,Roster!D:D,"",0))</f>
        <v>36</v>
      </c>
      <c r="M1011" s="317" t="str">
        <f t="array" ref="M1011">XLOOKUP(D1011,Roster!F:F,Roster!E:E)</f>
        <v>Voice</v>
      </c>
      <c r="N1011" s="317" t="str">
        <f t="shared" ref="N1011:P1011" si="1028">LEFT(H1011,5)</f>
        <v>10:45</v>
      </c>
      <c r="O1011" s="317" t="str">
        <f t="shared" si="1028"/>
        <v>13:30</v>
      </c>
      <c r="P1011" s="317" t="str">
        <f t="shared" si="1028"/>
        <v>15:45</v>
      </c>
      <c r="Q1011" s="318">
        <f t="shared" si="948"/>
        <v>46121.44792</v>
      </c>
      <c r="R1011" s="318">
        <f t="shared" si="949"/>
        <v>46121.5625</v>
      </c>
      <c r="S1011" s="318">
        <f t="shared" si="8"/>
        <v>46121.65625</v>
      </c>
    </row>
    <row r="1012">
      <c r="A1012" s="14" t="str">
        <f t="shared" si="1"/>
        <v>C106446121</v>
      </c>
      <c r="B1012" s="185" t="str">
        <f t="array" ref="B1012">IF(F1012="VL","",IF(F1012="Free","Free",XLOOKUP(D1012,Roster!T:T,Roster!S:S,"",0)))</f>
        <v/>
      </c>
      <c r="C1012" s="313">
        <v>46121.0</v>
      </c>
      <c r="D1012" s="314" t="s">
        <v>175</v>
      </c>
      <c r="E1012" s="307" t="str">
        <f t="array" ref="E1012">(XLOOKUP(D1012,Roster!F:F,Roster!B:B,"",0))</f>
        <v>Daniel Urrego</v>
      </c>
      <c r="F1012" s="315" t="str">
        <f t="array" ref="F1012">IF(B1012=100,"Free",TEXT(XLOOKUP($D1012,OperationVoice!$A:$A,OperationVoice!O:O,XLOOKUP($D1012,OperationTickets!$A:$A,OperationTickets!O:O,"",0)),"hh:mm"))</f>
        <v>08:00</v>
      </c>
      <c r="G1012" s="309">
        <f t="shared" si="3"/>
        <v>0.7083333333</v>
      </c>
      <c r="H1012" s="316" t="str">
        <f t="array" ref="H1012">XLOOKUP(B1012,Roster!L:L,Roster!N:N,XLOOKUP(D1012,TicketsBreak!A:A,TicketsBreak!E:E,"",0),0)</f>
        <v/>
      </c>
      <c r="I1012" s="316" t="str">
        <f t="array" ref="I1012">XLOOKUP(B1012,Roster!L:L,Roster!O:O,XLOOKUP(D1012,TicketsBreak!A:A,TicketsBreak!F:F,"",0),0)</f>
        <v/>
      </c>
      <c r="J1012" s="316" t="str">
        <f t="array" ref="J1012">XLOOKUP(B1012,Roster!L:L,Roster!P:P,XLOOKUP(D1012,TicketsBreak!A:A,TicketsBreak!G:G,"",0),0)</f>
        <v/>
      </c>
      <c r="K1012" s="310">
        <f t="shared" si="4"/>
        <v>46121</v>
      </c>
      <c r="L1012" s="317">
        <f t="array" ref="L1012">(XLOOKUP(D1012,Roster!F:F,Roster!D:D,"",0))</f>
        <v>17</v>
      </c>
      <c r="M1012" s="317" t="str">
        <f t="array" ref="M1012">XLOOKUP(D1012,Roster!F:F,Roster!E:E)</f>
        <v>Tickets</v>
      </c>
      <c r="N1012" s="317" t="str">
        <f t="shared" ref="N1012:P1012" si="1029">LEFT(H1012,5)</f>
        <v/>
      </c>
      <c r="O1012" s="317" t="str">
        <f t="shared" si="1029"/>
        <v/>
      </c>
      <c r="P1012" s="317" t="str">
        <f t="shared" si="1029"/>
        <v/>
      </c>
      <c r="Q1012" s="318" t="str">
        <f t="shared" si="948"/>
        <v/>
      </c>
      <c r="R1012" s="318" t="str">
        <f t="shared" si="949"/>
        <v/>
      </c>
      <c r="S1012" s="318" t="str">
        <f t="shared" si="8"/>
        <v/>
      </c>
    </row>
    <row r="1013">
      <c r="A1013" s="14" t="str">
        <f t="shared" si="1"/>
        <v>C151346121</v>
      </c>
      <c r="B1013" s="185">
        <f t="array" ref="B1013">IF(F1013="VL","",IF(F1013="Free","Free",XLOOKUP(D1013,Roster!T:T,Roster!S:S,"",0)))</f>
        <v>126</v>
      </c>
      <c r="C1013" s="313">
        <v>46121.0</v>
      </c>
      <c r="D1013" s="314" t="s">
        <v>26</v>
      </c>
      <c r="E1013" s="307" t="str">
        <f t="array" ref="E1013">(XLOOKUP(D1013,Roster!F:F,Roster!B:B,"",0))</f>
        <v>David Patino</v>
      </c>
      <c r="F1013" s="315" t="str">
        <f t="array" ref="F1013">IF(B1013=100,"Free",TEXT(XLOOKUP($D1013,OperationVoice!$A:$A,OperationVoice!O:O,XLOOKUP($D1013,OperationTickets!$A:$A,OperationTickets!O:O,"",0)),"hh:mm"))</f>
        <v>08:00</v>
      </c>
      <c r="G1013" s="309">
        <f t="shared" si="3"/>
        <v>0.7083333333</v>
      </c>
      <c r="H1013" s="316" t="str">
        <f t="array" ref="H1013">XLOOKUP(B1013,Roster!L:L,Roster!N:N,XLOOKUP(D1013,TicketsBreak!A:A,TicketsBreak!E:E,"",0),0)</f>
        <v>10:45 - 11:00</v>
      </c>
      <c r="I1013" s="316" t="str">
        <f t="array" ref="I1013">XLOOKUP(B1013,Roster!L:L,Roster!O:O,XLOOKUP(D1013,TicketsBreak!A:A,TicketsBreak!F:F,"",0),0)</f>
        <v>14:00 - 14:30</v>
      </c>
      <c r="J1013" s="316" t="str">
        <f t="array" ref="J1013">XLOOKUP(B1013,Roster!L:L,Roster!P:P,XLOOKUP(D1013,TicketsBreak!A:A,TicketsBreak!G:G,"",0),0)</f>
        <v>15:45 - 16:00</v>
      </c>
      <c r="K1013" s="310">
        <f t="shared" si="4"/>
        <v>46121</v>
      </c>
      <c r="L1013" s="317">
        <f t="array" ref="L1013">(XLOOKUP(D1013,Roster!F:F,Roster!D:D,"",0))</f>
        <v>35</v>
      </c>
      <c r="M1013" s="317" t="str">
        <f t="array" ref="M1013">XLOOKUP(D1013,Roster!F:F,Roster!E:E)</f>
        <v>Voice</v>
      </c>
      <c r="N1013" s="317" t="str">
        <f t="shared" ref="N1013:P1013" si="1030">LEFT(H1013,5)</f>
        <v>10:45</v>
      </c>
      <c r="O1013" s="317" t="str">
        <f t="shared" si="1030"/>
        <v>14:00</v>
      </c>
      <c r="P1013" s="317" t="str">
        <f t="shared" si="1030"/>
        <v>15:45</v>
      </c>
      <c r="Q1013" s="318">
        <f t="shared" si="948"/>
        <v>46121.44792</v>
      </c>
      <c r="R1013" s="318">
        <f t="shared" si="949"/>
        <v>46121.58333</v>
      </c>
      <c r="S1013" s="318">
        <f t="shared" si="8"/>
        <v>46121.65625</v>
      </c>
    </row>
    <row r="1014">
      <c r="A1014" s="14" t="str">
        <f t="shared" si="1"/>
        <v>C127746121</v>
      </c>
      <c r="B1014" s="185">
        <f t="array" ref="B1014">IF(F1014="VL","",IF(F1014="Free","Free",XLOOKUP(D1014,Roster!T:T,Roster!S:S,"",0)))</f>
        <v>124</v>
      </c>
      <c r="C1014" s="313">
        <v>46121.0</v>
      </c>
      <c r="D1014" s="314" t="s">
        <v>27</v>
      </c>
      <c r="E1014" s="307" t="str">
        <f t="array" ref="E1014">(XLOOKUP(D1014,Roster!F:F,Roster!B:B,"",0))</f>
        <v>Edwuin Martinez</v>
      </c>
      <c r="F1014" s="315" t="str">
        <f t="array" ref="F1014">IF(B1014=100,"Free",TEXT(XLOOKUP($D1014,OperationVoice!$A:$A,OperationVoice!O:O,XLOOKUP($D1014,OperationTickets!$A:$A,OperationTickets!O:O,"",0)),"hh:mm"))</f>
        <v>08:00</v>
      </c>
      <c r="G1014" s="309">
        <f t="shared" si="3"/>
        <v>0.7083333333</v>
      </c>
      <c r="H1014" s="316" t="str">
        <f t="array" ref="H1014">XLOOKUP(B1014,Roster!L:L,Roster!N:N,XLOOKUP(D1014,TicketsBreak!A:A,TicketsBreak!E:E,"",0),0)</f>
        <v>10:00 - 10:15</v>
      </c>
      <c r="I1014" s="316" t="str">
        <f t="array" ref="I1014">XLOOKUP(B1014,Roster!L:L,Roster!O:O,XLOOKUP(D1014,TicketsBreak!A:A,TicketsBreak!F:F,"",0),0)</f>
        <v>13:00 - 13:30</v>
      </c>
      <c r="J1014" s="316" t="str">
        <f t="array" ref="J1014">XLOOKUP(B1014,Roster!L:L,Roster!P:P,XLOOKUP(D1014,TicketsBreak!A:A,TicketsBreak!G:G,"",0),0)</f>
        <v>15:30 - 15:45</v>
      </c>
      <c r="K1014" s="310">
        <f t="shared" si="4"/>
        <v>46121</v>
      </c>
      <c r="L1014" s="317">
        <f t="array" ref="L1014">(XLOOKUP(D1014,Roster!F:F,Roster!D:D,"",0))</f>
        <v>27</v>
      </c>
      <c r="M1014" s="317" t="str">
        <f t="array" ref="M1014">XLOOKUP(D1014,Roster!F:F,Roster!E:E)</f>
        <v>Voice</v>
      </c>
      <c r="N1014" s="317" t="str">
        <f t="shared" ref="N1014:P1014" si="1031">LEFT(H1014,5)</f>
        <v>10:00</v>
      </c>
      <c r="O1014" s="317" t="str">
        <f t="shared" si="1031"/>
        <v>13:00</v>
      </c>
      <c r="P1014" s="317" t="str">
        <f t="shared" si="1031"/>
        <v>15:30</v>
      </c>
      <c r="Q1014" s="318">
        <f t="shared" si="948"/>
        <v>46121.41667</v>
      </c>
      <c r="R1014" s="318">
        <f t="shared" si="949"/>
        <v>46121.54167</v>
      </c>
      <c r="S1014" s="318">
        <f t="shared" si="8"/>
        <v>46121.64583</v>
      </c>
    </row>
    <row r="1015">
      <c r="A1015" s="14" t="str">
        <f t="shared" si="1"/>
        <v>C121646121</v>
      </c>
      <c r="B1015" s="185" t="str">
        <f t="array" ref="B1015">IF(F1015="VL","",IF(F1015="Free","Free",XLOOKUP(D1015,Roster!T:T,Roster!S:S,"",0)))</f>
        <v>Free</v>
      </c>
      <c r="C1015" s="313">
        <v>46121.0</v>
      </c>
      <c r="D1015" s="314" t="s">
        <v>134</v>
      </c>
      <c r="E1015" s="307" t="str">
        <f t="array" ref="E1015">(XLOOKUP(D1015,Roster!F:F,Roster!B:B,"",0))</f>
        <v>Eliana Pena</v>
      </c>
      <c r="F1015" s="315" t="str">
        <f t="array" ref="F1015">IF(B1015=100,"Free",TEXT(XLOOKUP($D1015,OperationVoice!$A:$A,OperationVoice!O:O,XLOOKUP($D1015,OperationTickets!$A:$A,OperationTickets!O:O,"",0)),"hh:mm"))</f>
        <v>Free</v>
      </c>
      <c r="G1015" s="309" t="str">
        <f t="shared" si="3"/>
        <v>Free</v>
      </c>
      <c r="H1015" s="316">
        <f t="array" ref="H1015">XLOOKUP(B1015,Roster!L:L,Roster!N:N,XLOOKUP(D1015,TicketsBreak!A:A,TicketsBreak!E:E,"",0),0)</f>
        <v>0.3958333333</v>
      </c>
      <c r="I1015" s="316">
        <f t="array" ref="I1015">XLOOKUP(B1015,Roster!L:L,Roster!O:O,XLOOKUP(D1015,TicketsBreak!A:A,TicketsBreak!F:F,"",0),0)</f>
        <v>0.5416666667</v>
      </c>
      <c r="J1015" s="316">
        <f t="array" ref="J1015">XLOOKUP(B1015,Roster!L:L,Roster!P:P,XLOOKUP(D1015,TicketsBreak!A:A,TicketsBreak!G:G,"",0),0)</f>
        <v>0.6354166667</v>
      </c>
      <c r="K1015" s="310">
        <f t="shared" si="4"/>
        <v>46121</v>
      </c>
      <c r="L1015" s="317">
        <f t="array" ref="L1015">(XLOOKUP(D1015,Roster!F:F,Roster!D:D,"",0))</f>
        <v>26</v>
      </c>
      <c r="M1015" s="317" t="str">
        <f t="array" ref="M1015">XLOOKUP(D1015,Roster!F:F,Roster!E:E)</f>
        <v>Tickets</v>
      </c>
      <c r="N1015" s="317" t="str">
        <f t="shared" ref="N1015:P1015" si="1032">LEFT(H1015,5)</f>
        <v>09:30</v>
      </c>
      <c r="O1015" s="317" t="str">
        <f t="shared" si="1032"/>
        <v>13:00</v>
      </c>
      <c r="P1015" s="317" t="str">
        <f t="shared" si="1032"/>
        <v>15:15</v>
      </c>
      <c r="Q1015" s="318">
        <f t="shared" si="948"/>
        <v>46121.39583</v>
      </c>
      <c r="R1015" s="318">
        <f t="shared" si="949"/>
        <v>46121.54167</v>
      </c>
      <c r="S1015" s="318">
        <f t="shared" si="8"/>
        <v>46121.63542</v>
      </c>
    </row>
    <row r="1016">
      <c r="A1016" s="14" t="str">
        <f t="shared" si="1"/>
        <v>C157346121</v>
      </c>
      <c r="B1016" s="185">
        <f t="array" ref="B1016">IF(F1016="VL","",IF(F1016="Free","Free",XLOOKUP(D1016,Roster!T:T,Roster!S:S,"",0)))</f>
        <v>123</v>
      </c>
      <c r="C1016" s="313">
        <v>46121.0</v>
      </c>
      <c r="D1016" s="314" t="s">
        <v>28</v>
      </c>
      <c r="E1016" s="307" t="str">
        <f t="array" ref="E1016">(XLOOKUP(D1016,Roster!F:F,Roster!B:B,"",0))</f>
        <v>Esteban Correa</v>
      </c>
      <c r="F1016" s="315" t="str">
        <f t="array" ref="F1016">IF(B1016=100,"Free",TEXT(XLOOKUP($D1016,OperationVoice!$A:$A,OperationVoice!O:O,XLOOKUP($D1016,OperationTickets!$A:$A,OperationTickets!O:O,"",0)),"hh:mm"))</f>
        <v>08:00</v>
      </c>
      <c r="G1016" s="309">
        <f t="shared" si="3"/>
        <v>0.7083333333</v>
      </c>
      <c r="H1016" s="316" t="str">
        <f t="array" ref="H1016">XLOOKUP(B1016,Roster!L:L,Roster!N:N,XLOOKUP(D1016,TicketsBreak!A:A,TicketsBreak!E:E,"",0),0)</f>
        <v>09:45 - 10:00 </v>
      </c>
      <c r="I1016" s="316" t="str">
        <f t="array" ref="I1016">XLOOKUP(B1016,Roster!L:L,Roster!O:O,XLOOKUP(D1016,TicketsBreak!A:A,TicketsBreak!F:F,"",0),0)</f>
        <v>12:30 - 13:00</v>
      </c>
      <c r="J1016" s="316" t="str">
        <f t="array" ref="J1016">XLOOKUP(B1016,Roster!L:L,Roster!P:P,XLOOKUP(D1016,TicketsBreak!A:A,TicketsBreak!G:G,"",0),0)</f>
        <v>15:00 - 15:15</v>
      </c>
      <c r="K1016" s="310">
        <f t="shared" si="4"/>
        <v>46121</v>
      </c>
      <c r="L1016" s="317">
        <f t="array" ref="L1016">(XLOOKUP(D1016,Roster!F:F,Roster!D:D,"",0))</f>
        <v>38</v>
      </c>
      <c r="M1016" s="317" t="str">
        <f t="array" ref="M1016">XLOOKUP(D1016,Roster!F:F,Roster!E:E)</f>
        <v>Voice</v>
      </c>
      <c r="N1016" s="317" t="str">
        <f t="shared" ref="N1016:P1016" si="1033">LEFT(H1016,5)</f>
        <v>09:45</v>
      </c>
      <c r="O1016" s="317" t="str">
        <f t="shared" si="1033"/>
        <v>12:30</v>
      </c>
      <c r="P1016" s="317" t="str">
        <f t="shared" si="1033"/>
        <v>15:00</v>
      </c>
      <c r="Q1016" s="318">
        <f t="shared" si="948"/>
        <v>46121.40625</v>
      </c>
      <c r="R1016" s="318">
        <f t="shared" si="949"/>
        <v>46121.52083</v>
      </c>
      <c r="S1016" s="318">
        <f t="shared" si="8"/>
        <v>46121.625</v>
      </c>
    </row>
    <row r="1017">
      <c r="A1017" s="14" t="str">
        <f t="shared" si="1"/>
        <v>C71346121</v>
      </c>
      <c r="B1017" s="185">
        <f t="array" ref="B1017">IF(F1017="VL","",IF(F1017="Free","Free",XLOOKUP(D1017,Roster!T:T,Roster!S:S,"",0)))</f>
        <v>125</v>
      </c>
      <c r="C1017" s="313">
        <v>46121.0</v>
      </c>
      <c r="D1017" s="314" t="s">
        <v>29</v>
      </c>
      <c r="E1017" s="307" t="str">
        <f t="array" ref="E1017">(XLOOKUP(D1017,Roster!F:F,Roster!B:B,"",0))</f>
        <v>Frank Marin</v>
      </c>
      <c r="F1017" s="315" t="str">
        <f t="array" ref="F1017">IF(B1017=100,"Free",TEXT(XLOOKUP($D1017,OperationVoice!$A:$A,OperationVoice!O:O,XLOOKUP($D1017,OperationTickets!$A:$A,OperationTickets!O:O,"",0)),"hh:mm"))</f>
        <v>08:00</v>
      </c>
      <c r="G1017" s="309">
        <f t="shared" si="3"/>
        <v>0.7083333333</v>
      </c>
      <c r="H1017" s="316" t="str">
        <f t="array" ref="H1017">XLOOKUP(B1017,Roster!L:L,Roster!N:N,XLOOKUP(D1017,TicketsBreak!A:A,TicketsBreak!E:E,"",0),0)</f>
        <v>10:30 - 10:45</v>
      </c>
      <c r="I1017" s="316" t="str">
        <f t="array" ref="I1017">XLOOKUP(B1017,Roster!L:L,Roster!O:O,XLOOKUP(D1017,TicketsBreak!A:A,TicketsBreak!F:F,"",0),0)</f>
        <v>13:30 - 14:00</v>
      </c>
      <c r="J1017" s="316" t="str">
        <f t="array" ref="J1017">XLOOKUP(B1017,Roster!L:L,Roster!P:P,XLOOKUP(D1017,TicketsBreak!A:A,TicketsBreak!G:G,"",0),0)</f>
        <v>15:45 - 16:00</v>
      </c>
      <c r="K1017" s="310">
        <f t="shared" si="4"/>
        <v>46121</v>
      </c>
      <c r="L1017" s="317">
        <f t="array" ref="L1017">(XLOOKUP(D1017,Roster!F:F,Roster!D:D,"",0))</f>
        <v>6</v>
      </c>
      <c r="M1017" s="317" t="str">
        <f t="array" ref="M1017">XLOOKUP(D1017,Roster!F:F,Roster!E:E)</f>
        <v>Voice</v>
      </c>
      <c r="N1017" s="317" t="str">
        <f t="shared" ref="N1017:P1017" si="1034">LEFT(H1017,5)</f>
        <v>10:30</v>
      </c>
      <c r="O1017" s="317" t="str">
        <f t="shared" si="1034"/>
        <v>13:30</v>
      </c>
      <c r="P1017" s="317" t="str">
        <f t="shared" si="1034"/>
        <v>15:45</v>
      </c>
      <c r="Q1017" s="318">
        <f t="shared" si="948"/>
        <v>46121.4375</v>
      </c>
      <c r="R1017" s="318">
        <f t="shared" si="949"/>
        <v>46121.5625</v>
      </c>
      <c r="S1017" s="318">
        <f t="shared" si="8"/>
        <v>46121.65625</v>
      </c>
    </row>
    <row r="1018">
      <c r="A1018" s="14" t="str">
        <f t="shared" si="1"/>
        <v>C154846121</v>
      </c>
      <c r="B1018" s="185" t="str">
        <f t="array" ref="B1018">IF(F1018="VL","",IF(F1018="Free","Free",XLOOKUP(D1018,Roster!T:T,Roster!S:S,"",0)))</f>
        <v>Free</v>
      </c>
      <c r="C1018" s="313">
        <v>46121.0</v>
      </c>
      <c r="D1018" s="314" t="s">
        <v>30</v>
      </c>
      <c r="E1018" s="307" t="str">
        <f t="array" ref="E1018">(XLOOKUP(D1018,Roster!F:F,Roster!B:B,"",0))</f>
        <v>Frey ortiz</v>
      </c>
      <c r="F1018" s="315" t="str">
        <f t="array" ref="F1018">IF(B1018=100,"Free",TEXT(XLOOKUP($D1018,OperationVoice!$A:$A,OperationVoice!O:O,XLOOKUP($D1018,OperationTickets!$A:$A,OperationTickets!O:O,"",0)),"hh:mm"))</f>
        <v>Free</v>
      </c>
      <c r="G1018" s="309" t="str">
        <f t="shared" si="3"/>
        <v>Free</v>
      </c>
      <c r="H1018" s="316" t="str">
        <f t="array" ref="H1018">XLOOKUP(B1018,Roster!L:L,Roster!N:N,XLOOKUP(D1018,TicketsBreak!A:A,TicketsBreak!E:E,"",0),0)</f>
        <v/>
      </c>
      <c r="I1018" s="316" t="str">
        <f t="array" ref="I1018">XLOOKUP(B1018,Roster!L:L,Roster!O:O,XLOOKUP(D1018,TicketsBreak!A:A,TicketsBreak!F:F,"",0),0)</f>
        <v/>
      </c>
      <c r="J1018" s="316" t="str">
        <f t="array" ref="J1018">XLOOKUP(B1018,Roster!L:L,Roster!P:P,XLOOKUP(D1018,TicketsBreak!A:A,TicketsBreak!G:G,"",0),0)</f>
        <v/>
      </c>
      <c r="K1018" s="310">
        <f t="shared" si="4"/>
        <v>46121</v>
      </c>
      <c r="L1018" s="317">
        <f t="array" ref="L1018">(XLOOKUP(D1018,Roster!F:F,Roster!D:D,"",0))</f>
        <v>37</v>
      </c>
      <c r="M1018" s="317" t="str">
        <f t="array" ref="M1018">XLOOKUP(D1018,Roster!F:F,Roster!E:E)</f>
        <v>Voice</v>
      </c>
      <c r="N1018" s="317" t="str">
        <f t="shared" ref="N1018:P1018" si="1035">LEFT(H1018,5)</f>
        <v/>
      </c>
      <c r="O1018" s="317" t="str">
        <f t="shared" si="1035"/>
        <v/>
      </c>
      <c r="P1018" s="317" t="str">
        <f t="shared" si="1035"/>
        <v/>
      </c>
      <c r="Q1018" s="318" t="str">
        <f t="shared" si="948"/>
        <v/>
      </c>
      <c r="R1018" s="318" t="str">
        <f t="shared" si="949"/>
        <v/>
      </c>
      <c r="S1018" s="318" t="str">
        <f t="shared" si="8"/>
        <v/>
      </c>
    </row>
    <row r="1019">
      <c r="A1019" s="14" t="str">
        <f t="shared" si="1"/>
        <v>C148646121</v>
      </c>
      <c r="B1019" s="185" t="str">
        <f t="array" ref="B1019">IF(F1019="VL","",IF(F1019="Free","Free",XLOOKUP(D1019,Roster!T:T,Roster!S:S,"",0)))</f>
        <v>Free</v>
      </c>
      <c r="C1019" s="313">
        <v>46121.0</v>
      </c>
      <c r="D1019" s="314" t="s">
        <v>31</v>
      </c>
      <c r="E1019" s="307" t="str">
        <f t="array" ref="E1019">(XLOOKUP(D1019,Roster!F:F,Roster!B:B,"",0))</f>
        <v>Gabriel Gomez</v>
      </c>
      <c r="F1019" s="315" t="str">
        <f t="array" ref="F1019">IF(B1019=100,"Free",TEXT(XLOOKUP($D1019,OperationVoice!$A:$A,OperationVoice!O:O,XLOOKUP($D1019,OperationTickets!$A:$A,OperationTickets!O:O,"",0)),"hh:mm"))</f>
        <v>Free</v>
      </c>
      <c r="G1019" s="309" t="str">
        <f t="shared" si="3"/>
        <v>Free</v>
      </c>
      <c r="H1019" s="316" t="str">
        <f t="array" ref="H1019">XLOOKUP(B1019,Roster!L:L,Roster!N:N,XLOOKUP(D1019,TicketsBreak!A:A,TicketsBreak!E:E,"",0),0)</f>
        <v/>
      </c>
      <c r="I1019" s="316" t="str">
        <f t="array" ref="I1019">XLOOKUP(B1019,Roster!L:L,Roster!O:O,XLOOKUP(D1019,TicketsBreak!A:A,TicketsBreak!F:F,"",0),0)</f>
        <v/>
      </c>
      <c r="J1019" s="316" t="str">
        <f t="array" ref="J1019">XLOOKUP(B1019,Roster!L:L,Roster!P:P,XLOOKUP(D1019,TicketsBreak!A:A,TicketsBreak!G:G,"",0),0)</f>
        <v/>
      </c>
      <c r="K1019" s="310">
        <f t="shared" si="4"/>
        <v>46121</v>
      </c>
      <c r="L1019" s="317">
        <f t="array" ref="L1019">(XLOOKUP(D1019,Roster!F:F,Roster!D:D,"",0))</f>
        <v>34</v>
      </c>
      <c r="M1019" s="317" t="str">
        <f t="array" ref="M1019">XLOOKUP(D1019,Roster!F:F,Roster!E:E)</f>
        <v>Voice</v>
      </c>
      <c r="N1019" s="317" t="str">
        <f t="shared" ref="N1019:P1019" si="1036">LEFT(H1019,5)</f>
        <v/>
      </c>
      <c r="O1019" s="317" t="str">
        <f t="shared" si="1036"/>
        <v/>
      </c>
      <c r="P1019" s="317" t="str">
        <f t="shared" si="1036"/>
        <v/>
      </c>
      <c r="Q1019" s="318" t="str">
        <f t="shared" si="948"/>
        <v/>
      </c>
      <c r="R1019" s="318" t="str">
        <f t="shared" si="949"/>
        <v/>
      </c>
      <c r="S1019" s="318" t="str">
        <f t="shared" si="8"/>
        <v/>
      </c>
    </row>
    <row r="1020">
      <c r="A1020" s="14" t="str">
        <f t="shared" si="1"/>
        <v>C136946121</v>
      </c>
      <c r="B1020" s="185">
        <f t="array" ref="B1020">IF(F1020="VL","",IF(F1020="Free","Free",XLOOKUP(D1020,Roster!T:T,Roster!S:S,"",0)))</f>
        <v>126</v>
      </c>
      <c r="C1020" s="313">
        <v>46121.0</v>
      </c>
      <c r="D1020" s="314" t="s">
        <v>157</v>
      </c>
      <c r="E1020" s="307" t="str">
        <f t="array" ref="E1020">(XLOOKUP(D1020,Roster!F:F,Roster!B:B,"",0))</f>
        <v>Gabriela Jimenez</v>
      </c>
      <c r="F1020" s="315" t="str">
        <f t="array" ref="F1020">IF(B1020=100,"Free",TEXT(XLOOKUP($D1020,OperationVoice!$A:$A,OperationVoice!O:O,XLOOKUP($D1020,OperationTickets!$A:$A,OperationTickets!O:O,"",0)),"hh:mm"))</f>
        <v>08:00</v>
      </c>
      <c r="G1020" s="309">
        <f t="shared" si="3"/>
        <v>0.7083333333</v>
      </c>
      <c r="H1020" s="316" t="str">
        <f t="array" ref="H1020">XLOOKUP(B1020,Roster!L:L,Roster!N:N,XLOOKUP(D1020,TicketsBreak!A:A,TicketsBreak!E:E,"",0),0)</f>
        <v>10:45 - 11:00</v>
      </c>
      <c r="I1020" s="316" t="str">
        <f t="array" ref="I1020">XLOOKUP(B1020,Roster!L:L,Roster!O:O,XLOOKUP(D1020,TicketsBreak!A:A,TicketsBreak!F:F,"",0),0)</f>
        <v>14:00 - 14:30</v>
      </c>
      <c r="J1020" s="316" t="str">
        <f t="array" ref="J1020">XLOOKUP(B1020,Roster!L:L,Roster!P:P,XLOOKUP(D1020,TicketsBreak!A:A,TicketsBreak!G:G,"",0),0)</f>
        <v>15:45 - 16:00</v>
      </c>
      <c r="K1020" s="310">
        <f t="shared" si="4"/>
        <v>46121</v>
      </c>
      <c r="L1020" s="317">
        <f t="array" ref="L1020">(XLOOKUP(D1020,Roster!F:F,Roster!D:D,"",0))</f>
        <v>31</v>
      </c>
      <c r="M1020" s="317" t="str">
        <f t="array" ref="M1020">XLOOKUP(D1020,Roster!F:F,Roster!E:E)</f>
        <v>Tickets</v>
      </c>
      <c r="N1020" s="317" t="str">
        <f t="shared" ref="N1020:P1020" si="1037">LEFT(H1020,5)</f>
        <v>10:45</v>
      </c>
      <c r="O1020" s="317" t="str">
        <f t="shared" si="1037"/>
        <v>14:00</v>
      </c>
      <c r="P1020" s="317" t="str">
        <f t="shared" si="1037"/>
        <v>15:45</v>
      </c>
      <c r="Q1020" s="318">
        <f t="shared" si="948"/>
        <v>46121.44792</v>
      </c>
      <c r="R1020" s="318">
        <f t="shared" si="949"/>
        <v>46121.58333</v>
      </c>
      <c r="S1020" s="318">
        <f t="shared" si="8"/>
        <v>46121.65625</v>
      </c>
    </row>
    <row r="1021">
      <c r="A1021" s="14" t="str">
        <f t="shared" si="1"/>
        <v>C101746121</v>
      </c>
      <c r="B1021" s="185">
        <f t="array" ref="B1021">IF(F1021="VL","",IF(F1021="Free","Free",XLOOKUP(D1021,Roster!T:T,Roster!S:S,"",0)))</f>
        <v>121</v>
      </c>
      <c r="C1021" s="313">
        <v>46121.0</v>
      </c>
      <c r="D1021" s="314" t="s">
        <v>32</v>
      </c>
      <c r="E1021" s="307" t="str">
        <f t="array" ref="E1021">(XLOOKUP(D1021,Roster!F:F,Roster!B:B,"",0))</f>
        <v>Geraldine Correa</v>
      </c>
      <c r="F1021" s="315" t="str">
        <f t="array" ref="F1021">IF(B1021=100,"Free",TEXT(XLOOKUP($D1021,OperationVoice!$A:$A,OperationVoice!O:O,XLOOKUP($D1021,OperationTickets!$A:$A,OperationTickets!O:O,"",0)),"hh:mm"))</f>
        <v>08:00</v>
      </c>
      <c r="G1021" s="309">
        <f t="shared" si="3"/>
        <v>0.7083333333</v>
      </c>
      <c r="H1021" s="316" t="str">
        <f t="array" ref="H1021">XLOOKUP(B1021,Roster!L:L,Roster!N:N,XLOOKUP(D1021,TicketsBreak!A:A,TicketsBreak!E:E,"",0),0)</f>
        <v>09:15 - 09:30</v>
      </c>
      <c r="I1021" s="316" t="str">
        <f t="array" ref="I1021">XLOOKUP(B1021,Roster!L:L,Roster!O:O,XLOOKUP(D1021,TicketsBreak!A:A,TicketsBreak!F:F,"",0),0)</f>
        <v>11:30 - 12:00</v>
      </c>
      <c r="J1021" s="316" t="str">
        <f t="array" ref="J1021">XLOOKUP(B1021,Roster!L:L,Roster!P:P,XLOOKUP(D1021,TicketsBreak!A:A,TicketsBreak!G:G,"",0),0)</f>
        <v>14:30 - 14:45</v>
      </c>
      <c r="K1021" s="310">
        <f t="shared" si="4"/>
        <v>46121</v>
      </c>
      <c r="L1021" s="317">
        <f t="array" ref="L1021">(XLOOKUP(D1021,Roster!F:F,Roster!D:D,"",0))</f>
        <v>23</v>
      </c>
      <c r="M1021" s="317" t="str">
        <f t="array" ref="M1021">XLOOKUP(D1021,Roster!F:F,Roster!E:E)</f>
        <v>Voice</v>
      </c>
      <c r="N1021" s="317" t="str">
        <f t="shared" ref="N1021:P1021" si="1038">LEFT(H1021,5)</f>
        <v>09:15</v>
      </c>
      <c r="O1021" s="317" t="str">
        <f t="shared" si="1038"/>
        <v>11:30</v>
      </c>
      <c r="P1021" s="317" t="str">
        <f t="shared" si="1038"/>
        <v>14:30</v>
      </c>
      <c r="Q1021" s="318">
        <f t="shared" si="948"/>
        <v>46121.38542</v>
      </c>
      <c r="R1021" s="318">
        <f t="shared" si="949"/>
        <v>46121.47917</v>
      </c>
      <c r="S1021" s="318">
        <f t="shared" si="8"/>
        <v>46121.60417</v>
      </c>
    </row>
    <row r="1022">
      <c r="A1022" s="14" t="str">
        <f t="shared" si="1"/>
        <v>C154146121</v>
      </c>
      <c r="B1022" s="185">
        <f t="array" ref="B1022">IF(F1022="VL","",IF(F1022="Free","Free",XLOOKUP(D1022,Roster!T:T,Roster!S:S,"",0)))</f>
        <v>155</v>
      </c>
      <c r="C1022" s="313">
        <v>46121.0</v>
      </c>
      <c r="D1022" s="314" t="s">
        <v>33</v>
      </c>
      <c r="E1022" s="307" t="str">
        <f t="array" ref="E1022">(XLOOKUP(D1022,Roster!F:F,Roster!B:B,"",0))</f>
        <v>Gisel Moya</v>
      </c>
      <c r="F1022" s="315" t="str">
        <f t="array" ref="F1022">IF(B1022=100,"Free",TEXT(XLOOKUP($D1022,OperationVoice!$A:$A,OperationVoice!O:O,XLOOKUP($D1022,OperationTickets!$A:$A,OperationTickets!O:O,"",0)),"hh:mm"))</f>
        <v>11:00</v>
      </c>
      <c r="G1022" s="309">
        <f t="shared" si="3"/>
        <v>0.8333333333</v>
      </c>
      <c r="H1022" s="316" t="str">
        <f t="array" ref="H1022">XLOOKUP(B1022,Roster!L:L,Roster!N:N,XLOOKUP(D1022,TicketsBreak!A:A,TicketsBreak!E:E,"",0),0)</f>
        <v>13:15 - 13:30</v>
      </c>
      <c r="I1022" s="316" t="str">
        <f t="array" ref="I1022">XLOOKUP(B1022,Roster!L:L,Roster!O:O,XLOOKUP(D1022,TicketsBreak!A:A,TicketsBreak!F:F,"",0),0)</f>
        <v>15:45 - 16:15</v>
      </c>
      <c r="J1022" s="316" t="str">
        <f t="array" ref="J1022">XLOOKUP(B1022,Roster!L:L,Roster!P:P,XLOOKUP(D1022,TicketsBreak!A:A,TicketsBreak!G:G,"",0),0)</f>
        <v>18:15 - 18:30</v>
      </c>
      <c r="K1022" s="310">
        <f t="shared" si="4"/>
        <v>46121</v>
      </c>
      <c r="L1022" s="317">
        <f t="array" ref="L1022">(XLOOKUP(D1022,Roster!F:F,Roster!D:D,"",0))</f>
        <v>36</v>
      </c>
      <c r="M1022" s="317" t="str">
        <f t="array" ref="M1022">XLOOKUP(D1022,Roster!F:F,Roster!E:E)</f>
        <v>Voice</v>
      </c>
      <c r="N1022" s="317" t="str">
        <f t="shared" ref="N1022:P1022" si="1039">LEFT(H1022,5)</f>
        <v>13:15</v>
      </c>
      <c r="O1022" s="317" t="str">
        <f t="shared" si="1039"/>
        <v>15:45</v>
      </c>
      <c r="P1022" s="317" t="str">
        <f t="shared" si="1039"/>
        <v>18:15</v>
      </c>
      <c r="Q1022" s="318">
        <f t="shared" si="948"/>
        <v>46121.55208</v>
      </c>
      <c r="R1022" s="318">
        <f t="shared" si="949"/>
        <v>46121.65625</v>
      </c>
      <c r="S1022" s="318">
        <f t="shared" si="8"/>
        <v>46121.76042</v>
      </c>
    </row>
    <row r="1023">
      <c r="A1023" s="14" t="str">
        <f t="shared" si="1"/>
        <v>C86046121</v>
      </c>
      <c r="B1023" s="185" t="str">
        <f t="array" ref="B1023">IF(F1023="VL","",IF(F1023="Free","Free",XLOOKUP(D1023,Roster!T:T,Roster!S:S,"",0)))</f>
        <v>Free</v>
      </c>
      <c r="C1023" s="313">
        <v>46121.0</v>
      </c>
      <c r="D1023" s="314" t="s">
        <v>158</v>
      </c>
      <c r="E1023" s="307" t="str">
        <f t="array" ref="E1023">(XLOOKUP(D1023,Roster!F:F,Roster!B:B,"",0))</f>
        <v>Ief Fabre</v>
      </c>
      <c r="F1023" s="315" t="str">
        <f t="array" ref="F1023">IF(B1023=100,"Free",TEXT(XLOOKUP($D1023,OperationVoice!$A:$A,OperationVoice!O:O,XLOOKUP($D1023,OperationTickets!$A:$A,OperationTickets!O:O,"",0)),"hh:mm"))</f>
        <v>Free</v>
      </c>
      <c r="G1023" s="309" t="str">
        <f t="shared" si="3"/>
        <v>Free</v>
      </c>
      <c r="H1023" s="316">
        <f t="array" ref="H1023">XLOOKUP(B1023,Roster!L:L,Roster!N:N,XLOOKUP(D1023,TicketsBreak!A:A,TicketsBreak!E:E,"",0),0)</f>
        <v>0.4166666667</v>
      </c>
      <c r="I1023" s="316">
        <f t="array" ref="I1023">XLOOKUP(B1023,Roster!L:L,Roster!O:O,XLOOKUP(D1023,TicketsBreak!A:A,TicketsBreak!F:F,"",0),0)</f>
        <v>0.5</v>
      </c>
      <c r="J1023" s="316">
        <f t="array" ref="J1023">XLOOKUP(B1023,Roster!L:L,Roster!P:P,XLOOKUP(D1023,TicketsBreak!A:A,TicketsBreak!G:G,"",0),0)</f>
        <v>0.625</v>
      </c>
      <c r="K1023" s="310">
        <f t="shared" si="4"/>
        <v>46121</v>
      </c>
      <c r="L1023" s="317">
        <f t="array" ref="L1023">(XLOOKUP(D1023,Roster!F:F,Roster!D:D,"",0))</f>
        <v>10</v>
      </c>
      <c r="M1023" s="317" t="str">
        <f t="array" ref="M1023">XLOOKUP(D1023,Roster!F:F,Roster!E:E)</f>
        <v>Tickets</v>
      </c>
      <c r="N1023" s="317" t="str">
        <f t="shared" ref="N1023:P1023" si="1040">LEFT(H1023,5)</f>
        <v>10:00</v>
      </c>
      <c r="O1023" s="317" t="str">
        <f t="shared" si="1040"/>
        <v>12:00</v>
      </c>
      <c r="P1023" s="317" t="str">
        <f t="shared" si="1040"/>
        <v>15:00</v>
      </c>
      <c r="Q1023" s="318">
        <f t="shared" si="948"/>
        <v>46121.41667</v>
      </c>
      <c r="R1023" s="318">
        <f t="shared" si="949"/>
        <v>46121.5</v>
      </c>
      <c r="S1023" s="318">
        <f t="shared" si="8"/>
        <v>46121.625</v>
      </c>
    </row>
    <row r="1024">
      <c r="A1024" s="14" t="str">
        <f t="shared" si="1"/>
        <v>C148146121</v>
      </c>
      <c r="B1024" s="185">
        <f t="array" ref="B1024">IF(F1024="VL","",IF(F1024="Free","Free",XLOOKUP(D1024,Roster!T:T,Roster!S:S,"",0)))</f>
        <v>155</v>
      </c>
      <c r="C1024" s="313">
        <v>46121.0</v>
      </c>
      <c r="D1024" s="314" t="s">
        <v>34</v>
      </c>
      <c r="E1024" s="307" t="str">
        <f t="array" ref="E1024">(XLOOKUP(D1024,Roster!F:F,Roster!B:B,"",0))</f>
        <v>Jasam Mejia</v>
      </c>
      <c r="F1024" s="315" t="str">
        <f t="array" ref="F1024">IF(B1024=100,"Free",TEXT(XLOOKUP($D1024,OperationVoice!$A:$A,OperationVoice!O:O,XLOOKUP($D1024,OperationTickets!$A:$A,OperationTickets!O:O,"",0)),"hh:mm"))</f>
        <v>11:00</v>
      </c>
      <c r="G1024" s="309">
        <f t="shared" si="3"/>
        <v>0.8333333333</v>
      </c>
      <c r="H1024" s="316" t="str">
        <f t="array" ref="H1024">XLOOKUP(B1024,Roster!L:L,Roster!N:N,XLOOKUP(D1024,TicketsBreak!A:A,TicketsBreak!E:E,"",0),0)</f>
        <v>13:15 - 13:30</v>
      </c>
      <c r="I1024" s="316" t="str">
        <f t="array" ref="I1024">XLOOKUP(B1024,Roster!L:L,Roster!O:O,XLOOKUP(D1024,TicketsBreak!A:A,TicketsBreak!F:F,"",0),0)</f>
        <v>15:45 - 16:15</v>
      </c>
      <c r="J1024" s="316" t="str">
        <f t="array" ref="J1024">XLOOKUP(B1024,Roster!L:L,Roster!P:P,XLOOKUP(D1024,TicketsBreak!A:A,TicketsBreak!G:G,"",0),0)</f>
        <v>18:15 - 18:30</v>
      </c>
      <c r="K1024" s="310">
        <f t="shared" si="4"/>
        <v>46121</v>
      </c>
      <c r="L1024" s="317">
        <f t="array" ref="L1024">(XLOOKUP(D1024,Roster!F:F,Roster!D:D,"",0))</f>
        <v>34</v>
      </c>
      <c r="M1024" s="317" t="str">
        <f t="array" ref="M1024">XLOOKUP(D1024,Roster!F:F,Roster!E:E)</f>
        <v>Voice</v>
      </c>
      <c r="N1024" s="317" t="str">
        <f t="shared" ref="N1024:P1024" si="1041">LEFT(H1024,5)</f>
        <v>13:15</v>
      </c>
      <c r="O1024" s="317" t="str">
        <f t="shared" si="1041"/>
        <v>15:45</v>
      </c>
      <c r="P1024" s="317" t="str">
        <f t="shared" si="1041"/>
        <v>18:15</v>
      </c>
      <c r="Q1024" s="318">
        <f t="shared" si="948"/>
        <v>46121.55208</v>
      </c>
      <c r="R1024" s="318">
        <f t="shared" si="949"/>
        <v>46121.65625</v>
      </c>
      <c r="S1024" s="318">
        <f t="shared" si="8"/>
        <v>46121.76042</v>
      </c>
    </row>
    <row r="1025">
      <c r="A1025" s="14" t="str">
        <f t="shared" si="1"/>
        <v>C131846121</v>
      </c>
      <c r="B1025" s="185" t="str">
        <f t="array" ref="B1025">IF(F1025="VL","",IF(F1025="Free","Free",XLOOKUP(D1025,Roster!T:T,Roster!S:S,"",0)))</f>
        <v>Free</v>
      </c>
      <c r="C1025" s="313">
        <v>46121.0</v>
      </c>
      <c r="D1025" s="314" t="s">
        <v>159</v>
      </c>
      <c r="E1025" s="307" t="str">
        <f t="array" ref="E1025">(XLOOKUP(D1025,Roster!F:F,Roster!B:B,"",0))</f>
        <v>Jeampierre Jaramillo</v>
      </c>
      <c r="F1025" s="315" t="str">
        <f t="array" ref="F1025">IF(B1025=100,"Free",TEXT(XLOOKUP($D1025,OperationVoice!$A:$A,OperationVoice!O:O,XLOOKUP($D1025,OperationTickets!$A:$A,OperationTickets!O:O,"",0)),"hh:mm"))</f>
        <v>Free</v>
      </c>
      <c r="G1025" s="309" t="str">
        <f t="shared" si="3"/>
        <v>Free</v>
      </c>
      <c r="H1025" s="316" t="str">
        <f t="array" ref="H1025">XLOOKUP(B1025,Roster!L:L,Roster!N:N,XLOOKUP(D1025,TicketsBreak!A:A,TicketsBreak!E:E,"",0),0)</f>
        <v/>
      </c>
      <c r="I1025" s="316" t="str">
        <f t="array" ref="I1025">XLOOKUP(B1025,Roster!L:L,Roster!O:O,XLOOKUP(D1025,TicketsBreak!A:A,TicketsBreak!F:F,"",0),0)</f>
        <v/>
      </c>
      <c r="J1025" s="316" t="str">
        <f t="array" ref="J1025">XLOOKUP(B1025,Roster!L:L,Roster!P:P,XLOOKUP(D1025,TicketsBreak!A:A,TicketsBreak!G:G,"",0),0)</f>
        <v/>
      </c>
      <c r="K1025" s="310">
        <f t="shared" si="4"/>
        <v>46121</v>
      </c>
      <c r="L1025" s="317">
        <f t="array" ref="L1025">(XLOOKUP(D1025,Roster!F:F,Roster!D:D,"",0))</f>
        <v>29</v>
      </c>
      <c r="M1025" s="317" t="str">
        <f t="array" ref="M1025">XLOOKUP(D1025,Roster!F:F,Roster!E:E)</f>
        <v>Tickets</v>
      </c>
      <c r="N1025" s="317" t="str">
        <f t="shared" ref="N1025:P1025" si="1042">LEFT(H1025,5)</f>
        <v/>
      </c>
      <c r="O1025" s="317" t="str">
        <f t="shared" si="1042"/>
        <v/>
      </c>
      <c r="P1025" s="317" t="str">
        <f t="shared" si="1042"/>
        <v/>
      </c>
      <c r="Q1025" s="318" t="str">
        <f t="shared" si="948"/>
        <v/>
      </c>
      <c r="R1025" s="318" t="str">
        <f t="shared" si="949"/>
        <v/>
      </c>
      <c r="S1025" s="318" t="str">
        <f t="shared" si="8"/>
        <v/>
      </c>
    </row>
    <row r="1026">
      <c r="A1026" s="14" t="str">
        <f t="shared" si="1"/>
        <v>C155046121</v>
      </c>
      <c r="B1026" s="185">
        <f t="array" ref="B1026">IF(F1026="VL","",IF(F1026="Free","Free",XLOOKUP(D1026,Roster!T:T,Roster!S:S,"",0)))</f>
        <v>126</v>
      </c>
      <c r="C1026" s="313">
        <v>46121.0</v>
      </c>
      <c r="D1026" s="314" t="s">
        <v>35</v>
      </c>
      <c r="E1026" s="307" t="str">
        <f t="array" ref="E1026">(XLOOKUP(D1026,Roster!F:F,Roster!B:B,"",0))</f>
        <v>Jeidin Vargas</v>
      </c>
      <c r="F1026" s="315" t="str">
        <f t="array" ref="F1026">IF(B1026=100,"Free",TEXT(XLOOKUP($D1026,OperationVoice!$A:$A,OperationVoice!O:O,XLOOKUP($D1026,OperationTickets!$A:$A,OperationTickets!O:O,"",0)),"hh:mm"))</f>
        <v>08:00</v>
      </c>
      <c r="G1026" s="309">
        <f t="shared" si="3"/>
        <v>0.7083333333</v>
      </c>
      <c r="H1026" s="316" t="str">
        <f t="array" ref="H1026">XLOOKUP(B1026,Roster!L:L,Roster!N:N,XLOOKUP(D1026,TicketsBreak!A:A,TicketsBreak!E:E,"",0),0)</f>
        <v>10:45 - 11:00</v>
      </c>
      <c r="I1026" s="316" t="str">
        <f t="array" ref="I1026">XLOOKUP(B1026,Roster!L:L,Roster!O:O,XLOOKUP(D1026,TicketsBreak!A:A,TicketsBreak!F:F,"",0),0)</f>
        <v>14:00 - 14:30</v>
      </c>
      <c r="J1026" s="316" t="str">
        <f t="array" ref="J1026">XLOOKUP(B1026,Roster!L:L,Roster!P:P,XLOOKUP(D1026,TicketsBreak!A:A,TicketsBreak!G:G,"",0),0)</f>
        <v>15:45 - 16:00</v>
      </c>
      <c r="K1026" s="310">
        <f t="shared" si="4"/>
        <v>46121</v>
      </c>
      <c r="L1026" s="317">
        <f t="array" ref="L1026">(XLOOKUP(D1026,Roster!F:F,Roster!D:D,"",0))</f>
        <v>37</v>
      </c>
      <c r="M1026" s="317" t="str">
        <f t="array" ref="M1026">XLOOKUP(D1026,Roster!F:F,Roster!E:E)</f>
        <v>Voice</v>
      </c>
      <c r="N1026" s="317" t="str">
        <f t="shared" ref="N1026:P1026" si="1043">LEFT(H1026,5)</f>
        <v>10:45</v>
      </c>
      <c r="O1026" s="317" t="str">
        <f t="shared" si="1043"/>
        <v>14:00</v>
      </c>
      <c r="P1026" s="317" t="str">
        <f t="shared" si="1043"/>
        <v>15:45</v>
      </c>
      <c r="Q1026" s="318">
        <f t="shared" si="948"/>
        <v>46121.44792</v>
      </c>
      <c r="R1026" s="318">
        <f t="shared" si="949"/>
        <v>46121.58333</v>
      </c>
      <c r="S1026" s="318">
        <f t="shared" si="8"/>
        <v>46121.65625</v>
      </c>
    </row>
    <row r="1027">
      <c r="A1027" s="14" t="str">
        <f t="shared" si="1"/>
        <v>C51246121</v>
      </c>
      <c r="B1027" s="185">
        <f t="array" ref="B1027">IF(F1027="VL","",IF(F1027="Free","Free",XLOOKUP(D1027,Roster!T:T,Roster!S:S,"",0)))</f>
        <v>122</v>
      </c>
      <c r="C1027" s="313">
        <v>46121.0</v>
      </c>
      <c r="D1027" s="314" t="s">
        <v>36</v>
      </c>
      <c r="E1027" s="307" t="str">
        <f t="array" ref="E1027">(XLOOKUP(D1027,Roster!F:F,Roster!B:B,"",0))</f>
        <v>Jhoam Quiroz</v>
      </c>
      <c r="F1027" s="315" t="str">
        <f t="array" ref="F1027">IF(B1027=100,"Free",TEXT(XLOOKUP($D1027,OperationVoice!$A:$A,OperationVoice!O:O,XLOOKUP($D1027,OperationTickets!$A:$A,OperationTickets!O:O,"",0)),"hh:mm"))</f>
        <v>08:00</v>
      </c>
      <c r="G1027" s="309">
        <f t="shared" si="3"/>
        <v>0.7083333333</v>
      </c>
      <c r="H1027" s="316" t="str">
        <f t="array" ref="H1027">XLOOKUP(B1027,Roster!L:L,Roster!N:N,XLOOKUP(D1027,TicketsBreak!A:A,TicketsBreak!E:E,"",0),0)</f>
        <v>09:30 - 09:45</v>
      </c>
      <c r="I1027" s="316" t="str">
        <f t="array" ref="I1027">XLOOKUP(B1027,Roster!L:L,Roster!O:O,XLOOKUP(D1027,TicketsBreak!A:A,TicketsBreak!F:F,"",0),0)</f>
        <v>12:00 - 12:30</v>
      </c>
      <c r="J1027" s="316" t="str">
        <f t="array" ref="J1027">XLOOKUP(B1027,Roster!L:L,Roster!P:P,XLOOKUP(D1027,TicketsBreak!A:A,TicketsBreak!G:G,"",0),0)</f>
        <v>14:45 - 15:00</v>
      </c>
      <c r="K1027" s="310">
        <f t="shared" si="4"/>
        <v>46121</v>
      </c>
      <c r="L1027" s="317">
        <f t="array" ref="L1027">(XLOOKUP(D1027,Roster!F:F,Roster!D:D,"",0))</f>
        <v>1</v>
      </c>
      <c r="M1027" s="317" t="str">
        <f t="array" ref="M1027">XLOOKUP(D1027,Roster!F:F,Roster!E:E)</f>
        <v>Voice</v>
      </c>
      <c r="N1027" s="317" t="str">
        <f t="shared" ref="N1027:P1027" si="1044">LEFT(H1027,5)</f>
        <v>09:30</v>
      </c>
      <c r="O1027" s="317" t="str">
        <f t="shared" si="1044"/>
        <v>12:00</v>
      </c>
      <c r="P1027" s="317" t="str">
        <f t="shared" si="1044"/>
        <v>14:45</v>
      </c>
      <c r="Q1027" s="318">
        <f t="shared" si="948"/>
        <v>46121.39583</v>
      </c>
      <c r="R1027" s="318">
        <f t="shared" si="949"/>
        <v>46121.5</v>
      </c>
      <c r="S1027" s="318">
        <f t="shared" si="8"/>
        <v>46121.61458</v>
      </c>
    </row>
    <row r="1028">
      <c r="A1028" s="14" t="str">
        <f t="shared" si="1"/>
        <v>C150946121</v>
      </c>
      <c r="B1028" s="185" t="str">
        <f t="array" ref="B1028">IF(F1028="VL","",IF(F1028="Free","Free",XLOOKUP(D1028,Roster!T:T,Roster!S:S,"",0)))</f>
        <v>Free</v>
      </c>
      <c r="C1028" s="313">
        <v>46121.0</v>
      </c>
      <c r="D1028" s="314" t="s">
        <v>37</v>
      </c>
      <c r="E1028" s="307" t="str">
        <f t="array" ref="E1028">(XLOOKUP(D1028,Roster!F:F,Roster!B:B,"",0))</f>
        <v>Jhonatan Gomez</v>
      </c>
      <c r="F1028" s="315" t="str">
        <f t="array" ref="F1028">IF(B1028=100,"Free",TEXT(XLOOKUP($D1028,OperationVoice!$A:$A,OperationVoice!O:O,XLOOKUP($D1028,OperationTickets!$A:$A,OperationTickets!O:O,"",0)),"hh:mm"))</f>
        <v>Free</v>
      </c>
      <c r="G1028" s="309" t="str">
        <f t="shared" si="3"/>
        <v>Free</v>
      </c>
      <c r="H1028" s="316" t="str">
        <f t="array" ref="H1028">XLOOKUP(B1028,Roster!L:L,Roster!N:N,XLOOKUP(D1028,TicketsBreak!A:A,TicketsBreak!E:E,"",0),0)</f>
        <v/>
      </c>
      <c r="I1028" s="316" t="str">
        <f t="array" ref="I1028">XLOOKUP(B1028,Roster!L:L,Roster!O:O,XLOOKUP(D1028,TicketsBreak!A:A,TicketsBreak!F:F,"",0),0)</f>
        <v/>
      </c>
      <c r="J1028" s="316" t="str">
        <f t="array" ref="J1028">XLOOKUP(B1028,Roster!L:L,Roster!P:P,XLOOKUP(D1028,TicketsBreak!A:A,TicketsBreak!G:G,"",0),0)</f>
        <v/>
      </c>
      <c r="K1028" s="310">
        <f t="shared" si="4"/>
        <v>46121</v>
      </c>
      <c r="L1028" s="317">
        <f t="array" ref="L1028">(XLOOKUP(D1028,Roster!F:F,Roster!D:D,"",0))</f>
        <v>35</v>
      </c>
      <c r="M1028" s="317" t="str">
        <f t="array" ref="M1028">XLOOKUP(D1028,Roster!F:F,Roster!E:E)</f>
        <v>Voice</v>
      </c>
      <c r="N1028" s="317" t="str">
        <f t="shared" ref="N1028:P1028" si="1045">LEFT(H1028,5)</f>
        <v/>
      </c>
      <c r="O1028" s="317" t="str">
        <f t="shared" si="1045"/>
        <v/>
      </c>
      <c r="P1028" s="317" t="str">
        <f t="shared" si="1045"/>
        <v/>
      </c>
      <c r="Q1028" s="318" t="str">
        <f t="shared" si="948"/>
        <v/>
      </c>
      <c r="R1028" s="318" t="str">
        <f t="shared" si="949"/>
        <v/>
      </c>
      <c r="S1028" s="318" t="str">
        <f t="shared" si="8"/>
        <v/>
      </c>
    </row>
    <row r="1029">
      <c r="A1029" s="14" t="str">
        <f t="shared" si="1"/>
        <v>C151546121</v>
      </c>
      <c r="B1029" s="185">
        <f t="array" ref="B1029">IF(F1029="VL","",IF(F1029="Free","Free",XLOOKUP(D1029,Roster!T:T,Roster!S:S,"",0)))</f>
        <v>151</v>
      </c>
      <c r="C1029" s="313">
        <v>46121.0</v>
      </c>
      <c r="D1029" s="314" t="s">
        <v>38</v>
      </c>
      <c r="E1029" s="307" t="str">
        <f t="array" ref="E1029">(XLOOKUP(D1029,Roster!F:F,Roster!B:B,"",0))</f>
        <v>Joan Perez</v>
      </c>
      <c r="F1029" s="315" t="str">
        <f t="array" ref="F1029">IF(B1029=100,"Free",TEXT(XLOOKUP($D1029,OperationVoice!$A:$A,OperationVoice!O:O,XLOOKUP($D1029,OperationTickets!$A:$A,OperationTickets!O:O,"",0)),"hh:mm"))</f>
        <v/>
      </c>
      <c r="G1029" s="309" t="str">
        <f t="shared" si="3"/>
        <v/>
      </c>
      <c r="H1029" s="316" t="str">
        <f t="array" ref="H1029">XLOOKUP(B1029,Roster!L:L,Roster!N:N,XLOOKUP(D1029,TicketsBreak!A:A,TicketsBreak!E:E,"",0),0)</f>
        <v>12:15 - 12:30</v>
      </c>
      <c r="I1029" s="316" t="str">
        <f t="array" ref="I1029">XLOOKUP(B1029,Roster!L:L,Roster!O:O,XLOOKUP(D1029,TicketsBreak!A:A,TicketsBreak!F:F,"",0),0)</f>
        <v>14:00 - 14:30</v>
      </c>
      <c r="J1029" s="316" t="str">
        <f t="array" ref="J1029">XLOOKUP(B1029,Roster!L:L,Roster!P:P,XLOOKUP(D1029,TicketsBreak!A:A,TicketsBreak!G:G,"",0),0)</f>
        <v>17:15 - 17:30</v>
      </c>
      <c r="K1029" s="310">
        <f t="shared" si="4"/>
        <v>46121</v>
      </c>
      <c r="L1029" s="317">
        <f t="array" ref="L1029">(XLOOKUP(D1029,Roster!F:F,Roster!D:D,"",0))</f>
        <v>35</v>
      </c>
      <c r="M1029" s="317" t="str">
        <f t="array" ref="M1029">XLOOKUP(D1029,Roster!F:F,Roster!E:E)</f>
        <v>Voice</v>
      </c>
      <c r="N1029" s="317" t="str">
        <f t="shared" ref="N1029:P1029" si="1046">LEFT(H1029,5)</f>
        <v>12:15</v>
      </c>
      <c r="O1029" s="317" t="str">
        <f t="shared" si="1046"/>
        <v>14:00</v>
      </c>
      <c r="P1029" s="317" t="str">
        <f t="shared" si="1046"/>
        <v>17:15</v>
      </c>
      <c r="Q1029" s="318">
        <f t="shared" si="948"/>
        <v>46121.51042</v>
      </c>
      <c r="R1029" s="318">
        <f t="shared" si="949"/>
        <v>46121.58333</v>
      </c>
      <c r="S1029" s="318">
        <f t="shared" si="8"/>
        <v>46121.71875</v>
      </c>
    </row>
    <row r="1030">
      <c r="A1030" s="14" t="str">
        <f t="shared" si="1"/>
        <v>C128946121</v>
      </c>
      <c r="B1030" s="185" t="str">
        <f t="array" ref="B1030">IF(F1030="VL","",IF(F1030="Free","Free",XLOOKUP(D1030,Roster!T:T,Roster!S:S,"",0)))</f>
        <v/>
      </c>
      <c r="C1030" s="313">
        <v>46121.0</v>
      </c>
      <c r="D1030" s="314" t="s">
        <v>140</v>
      </c>
      <c r="E1030" s="307" t="str">
        <f t="array" ref="E1030">(XLOOKUP(D1030,Roster!F:F,Roster!B:B,"",0))</f>
        <v>Johana Villarreal</v>
      </c>
      <c r="F1030" s="315" t="str">
        <f t="array" ref="F1030">IF(B1030=100,"Free",TEXT(XLOOKUP($D1030,OperationVoice!$A:$A,OperationVoice!O:O,XLOOKUP($D1030,OperationTickets!$A:$A,OperationTickets!O:O,"",0)),"hh:mm"))</f>
        <v>07:00</v>
      </c>
      <c r="G1030" s="309">
        <f t="shared" si="3"/>
        <v>0.6666666667</v>
      </c>
      <c r="H1030" s="316" t="str">
        <f t="array" ref="H1030">XLOOKUP(B1030,Roster!L:L,Roster!N:N,XLOOKUP(D1030,TicketsBreak!A:A,TicketsBreak!E:E,"",0),0)</f>
        <v/>
      </c>
      <c r="I1030" s="316" t="str">
        <f t="array" ref="I1030">XLOOKUP(B1030,Roster!L:L,Roster!O:O,XLOOKUP(D1030,TicketsBreak!A:A,TicketsBreak!F:F,"",0),0)</f>
        <v/>
      </c>
      <c r="J1030" s="316" t="str">
        <f t="array" ref="J1030">XLOOKUP(B1030,Roster!L:L,Roster!P:P,XLOOKUP(D1030,TicketsBreak!A:A,TicketsBreak!G:G,"",0),0)</f>
        <v/>
      </c>
      <c r="K1030" s="310">
        <f t="shared" si="4"/>
        <v>46121</v>
      </c>
      <c r="L1030" s="317">
        <f t="array" ref="L1030">(XLOOKUP(D1030,Roster!F:F,Roster!D:D,"",0))</f>
        <v>28</v>
      </c>
      <c r="M1030" s="317" t="str">
        <f t="array" ref="M1030">XLOOKUP(D1030,Roster!F:F,Roster!E:E)</f>
        <v>Tickets</v>
      </c>
      <c r="N1030" s="317" t="str">
        <f t="shared" ref="N1030:P1030" si="1047">LEFT(H1030,5)</f>
        <v/>
      </c>
      <c r="O1030" s="317" t="str">
        <f t="shared" si="1047"/>
        <v/>
      </c>
      <c r="P1030" s="317" t="str">
        <f t="shared" si="1047"/>
        <v/>
      </c>
      <c r="Q1030" s="318" t="str">
        <f t="shared" si="948"/>
        <v/>
      </c>
      <c r="R1030" s="318" t="str">
        <f t="shared" si="949"/>
        <v/>
      </c>
      <c r="S1030" s="318" t="str">
        <f t="shared" si="8"/>
        <v/>
      </c>
    </row>
    <row r="1031">
      <c r="A1031" s="14" t="str">
        <f t="shared" si="1"/>
        <v>C155146121</v>
      </c>
      <c r="B1031" s="185">
        <f t="array" ref="B1031">IF(F1031="VL","",IF(F1031="Free","Free",XLOOKUP(D1031,Roster!T:T,Roster!S:S,"",0)))</f>
        <v>124</v>
      </c>
      <c r="C1031" s="313">
        <v>46121.0</v>
      </c>
      <c r="D1031" s="314" t="s">
        <v>39</v>
      </c>
      <c r="E1031" s="307" t="str">
        <f t="array" ref="E1031">(XLOOKUP(D1031,Roster!F:F,Roster!B:B,"",0))</f>
        <v>John Atilano</v>
      </c>
      <c r="F1031" s="315" t="str">
        <f t="array" ref="F1031">IF(B1031=100,"Free",TEXT(XLOOKUP($D1031,OperationVoice!$A:$A,OperationVoice!O:O,XLOOKUP($D1031,OperationTickets!$A:$A,OperationTickets!O:O,"",0)),"hh:mm"))</f>
        <v>08:00</v>
      </c>
      <c r="G1031" s="309">
        <f t="shared" si="3"/>
        <v>0.7083333333</v>
      </c>
      <c r="H1031" s="316" t="str">
        <f t="array" ref="H1031">XLOOKUP(B1031,Roster!L:L,Roster!N:N,XLOOKUP(D1031,TicketsBreak!A:A,TicketsBreak!E:E,"",0),0)</f>
        <v>10:00 - 10:15</v>
      </c>
      <c r="I1031" s="316" t="str">
        <f t="array" ref="I1031">XLOOKUP(B1031,Roster!L:L,Roster!O:O,XLOOKUP(D1031,TicketsBreak!A:A,TicketsBreak!F:F,"",0),0)</f>
        <v>13:00 - 13:30</v>
      </c>
      <c r="J1031" s="316" t="str">
        <f t="array" ref="J1031">XLOOKUP(B1031,Roster!L:L,Roster!P:P,XLOOKUP(D1031,TicketsBreak!A:A,TicketsBreak!G:G,"",0),0)</f>
        <v>15:30 - 15:45</v>
      </c>
      <c r="K1031" s="310">
        <f t="shared" si="4"/>
        <v>46121</v>
      </c>
      <c r="L1031" s="317">
        <f t="array" ref="L1031">(XLOOKUP(D1031,Roster!F:F,Roster!D:D,"",0))</f>
        <v>37</v>
      </c>
      <c r="M1031" s="317" t="str">
        <f t="array" ref="M1031">XLOOKUP(D1031,Roster!F:F,Roster!E:E)</f>
        <v>Voice</v>
      </c>
      <c r="N1031" s="317" t="str">
        <f t="shared" ref="N1031:P1031" si="1048">LEFT(H1031,5)</f>
        <v>10:00</v>
      </c>
      <c r="O1031" s="317" t="str">
        <f t="shared" si="1048"/>
        <v>13:00</v>
      </c>
      <c r="P1031" s="317" t="str">
        <f t="shared" si="1048"/>
        <v>15:30</v>
      </c>
      <c r="Q1031" s="318">
        <f t="shared" si="948"/>
        <v>46121.41667</v>
      </c>
      <c r="R1031" s="318">
        <f t="shared" si="949"/>
        <v>46121.54167</v>
      </c>
      <c r="S1031" s="318">
        <f t="shared" si="8"/>
        <v>46121.64583</v>
      </c>
    </row>
    <row r="1032">
      <c r="A1032" s="14" t="str">
        <f t="shared" si="1"/>
        <v>C154346121</v>
      </c>
      <c r="B1032" s="185">
        <f t="array" ref="B1032">IF(F1032="VL","",IF(F1032="Free","Free",XLOOKUP(D1032,Roster!T:T,Roster!S:S,"",0)))</f>
        <v>134</v>
      </c>
      <c r="C1032" s="313">
        <v>46121.0</v>
      </c>
      <c r="D1032" s="314" t="s">
        <v>40</v>
      </c>
      <c r="E1032" s="307" t="str">
        <f t="array" ref="E1032">(XLOOKUP(D1032,Roster!F:F,Roster!B:B,"",0))</f>
        <v>John Palacio</v>
      </c>
      <c r="F1032" s="315" t="str">
        <f t="array" ref="F1032">IF(B1032=100,"Free",TEXT(XLOOKUP($D1032,OperationVoice!$A:$A,OperationVoice!O:O,XLOOKUP($D1032,OperationTickets!$A:$A,OperationTickets!O:O,"",0)),"hh:mm"))</f>
        <v>09:00</v>
      </c>
      <c r="G1032" s="309">
        <f t="shared" si="3"/>
        <v>0.75</v>
      </c>
      <c r="H1032" s="316" t="str">
        <f t="array" ref="H1032">XLOOKUP(B1032,Roster!L:L,Roster!N:N,XLOOKUP(D1032,TicketsBreak!A:A,TicketsBreak!E:E,"",0),0)</f>
        <v>11:00 - 11:15</v>
      </c>
      <c r="I1032" s="316" t="str">
        <f t="array" ref="I1032">XLOOKUP(B1032,Roster!L:L,Roster!O:O,XLOOKUP(D1032,TicketsBreak!A:A,TicketsBreak!F:F,"",0),0)</f>
        <v>13:45 - 14:15</v>
      </c>
      <c r="J1032" s="316" t="str">
        <f t="array" ref="J1032">XLOOKUP(B1032,Roster!L:L,Roster!P:P,XLOOKUP(D1032,TicketsBreak!A:A,TicketsBreak!G:G,"",0),0)</f>
        <v>16:00 - 16:15</v>
      </c>
      <c r="K1032" s="310">
        <f t="shared" si="4"/>
        <v>46121</v>
      </c>
      <c r="L1032" s="317">
        <f t="array" ref="L1032">(XLOOKUP(D1032,Roster!F:F,Roster!D:D,"",0))</f>
        <v>36</v>
      </c>
      <c r="M1032" s="317" t="str">
        <f t="array" ref="M1032">XLOOKUP(D1032,Roster!F:F,Roster!E:E)</f>
        <v>Voice</v>
      </c>
      <c r="N1032" s="317" t="str">
        <f t="shared" ref="N1032:P1032" si="1049">LEFT(H1032,5)</f>
        <v>11:00</v>
      </c>
      <c r="O1032" s="317" t="str">
        <f t="shared" si="1049"/>
        <v>13:45</v>
      </c>
      <c r="P1032" s="317" t="str">
        <f t="shared" si="1049"/>
        <v>16:00</v>
      </c>
      <c r="Q1032" s="318">
        <f t="shared" si="948"/>
        <v>46121.45833</v>
      </c>
      <c r="R1032" s="318">
        <f t="shared" si="949"/>
        <v>46121.57292</v>
      </c>
      <c r="S1032" s="318">
        <f t="shared" si="8"/>
        <v>46121.66667</v>
      </c>
    </row>
    <row r="1033">
      <c r="A1033" s="14" t="str">
        <f t="shared" si="1"/>
        <v>C154246121</v>
      </c>
      <c r="B1033" s="185">
        <f t="array" ref="B1033">IF(F1033="VL","",IF(F1033="Free","Free",XLOOKUP(D1033,Roster!T:T,Roster!S:S,"",0)))</f>
        <v>124</v>
      </c>
      <c r="C1033" s="313">
        <v>46121.0</v>
      </c>
      <c r="D1033" s="314" t="s">
        <v>41</v>
      </c>
      <c r="E1033" s="307" t="str">
        <f t="array" ref="E1033">(XLOOKUP(D1033,Roster!F:F,Roster!B:B,"",0))</f>
        <v>Johny Garcia</v>
      </c>
      <c r="F1033" s="315" t="str">
        <f t="array" ref="F1033">IF(B1033=100,"Free",TEXT(XLOOKUP($D1033,OperationVoice!$A:$A,OperationVoice!O:O,XLOOKUP($D1033,OperationTickets!$A:$A,OperationTickets!O:O,"",0)),"hh:mm"))</f>
        <v>08:00</v>
      </c>
      <c r="G1033" s="309">
        <f t="shared" si="3"/>
        <v>0.7083333333</v>
      </c>
      <c r="H1033" s="316" t="str">
        <f t="array" ref="H1033">XLOOKUP(B1033,Roster!L:L,Roster!N:N,XLOOKUP(D1033,TicketsBreak!A:A,TicketsBreak!E:E,"",0),0)</f>
        <v>10:00 - 10:15</v>
      </c>
      <c r="I1033" s="316" t="str">
        <f t="array" ref="I1033">XLOOKUP(B1033,Roster!L:L,Roster!O:O,XLOOKUP(D1033,TicketsBreak!A:A,TicketsBreak!F:F,"",0),0)</f>
        <v>13:00 - 13:30</v>
      </c>
      <c r="J1033" s="316" t="str">
        <f t="array" ref="J1033">XLOOKUP(B1033,Roster!L:L,Roster!P:P,XLOOKUP(D1033,TicketsBreak!A:A,TicketsBreak!G:G,"",0),0)</f>
        <v>15:30 - 15:45</v>
      </c>
      <c r="K1033" s="310">
        <f t="shared" si="4"/>
        <v>46121</v>
      </c>
      <c r="L1033" s="317">
        <f t="array" ref="L1033">(XLOOKUP(D1033,Roster!F:F,Roster!D:D,"",0))</f>
        <v>36</v>
      </c>
      <c r="M1033" s="317" t="str">
        <f t="array" ref="M1033">XLOOKUP(D1033,Roster!F:F,Roster!E:E)</f>
        <v>Voice</v>
      </c>
      <c r="N1033" s="317" t="str">
        <f t="shared" ref="N1033:P1033" si="1050">LEFT(H1033,5)</f>
        <v>10:00</v>
      </c>
      <c r="O1033" s="317" t="str">
        <f t="shared" si="1050"/>
        <v>13:00</v>
      </c>
      <c r="P1033" s="317" t="str">
        <f t="shared" si="1050"/>
        <v>15:30</v>
      </c>
      <c r="Q1033" s="318">
        <f t="shared" si="948"/>
        <v>46121.41667</v>
      </c>
      <c r="R1033" s="318">
        <f t="shared" si="949"/>
        <v>46121.54167</v>
      </c>
      <c r="S1033" s="318">
        <f t="shared" si="8"/>
        <v>46121.64583</v>
      </c>
    </row>
    <row r="1034">
      <c r="A1034" s="14" t="str">
        <f t="shared" si="1"/>
        <v>C156946121</v>
      </c>
      <c r="B1034" s="185" t="str">
        <f t="array" ref="B1034">IF(F1034="VL","",IF(F1034="Free","Free",XLOOKUP(D1034,Roster!T:T,Roster!S:S,"",0)))</f>
        <v>Free</v>
      </c>
      <c r="C1034" s="313">
        <v>46121.0</v>
      </c>
      <c r="D1034" s="314" t="s">
        <v>42</v>
      </c>
      <c r="E1034" s="307" t="str">
        <f t="array" ref="E1034">(XLOOKUP(D1034,Roster!F:F,Roster!B:B,"",0))</f>
        <v>Jorge Orozco</v>
      </c>
      <c r="F1034" s="315" t="str">
        <f t="array" ref="F1034">IF(B1034=100,"Free",TEXT(XLOOKUP($D1034,OperationVoice!$A:$A,OperationVoice!O:O,XLOOKUP($D1034,OperationTickets!$A:$A,OperationTickets!O:O,"",0)),"hh:mm"))</f>
        <v>Free</v>
      </c>
      <c r="G1034" s="309" t="str">
        <f t="shared" si="3"/>
        <v>Free</v>
      </c>
      <c r="H1034" s="316" t="str">
        <f t="array" ref="H1034">XLOOKUP(B1034,Roster!L:L,Roster!N:N,XLOOKUP(D1034,TicketsBreak!A:A,TicketsBreak!E:E,"",0),0)</f>
        <v/>
      </c>
      <c r="I1034" s="316" t="str">
        <f t="array" ref="I1034">XLOOKUP(B1034,Roster!L:L,Roster!O:O,XLOOKUP(D1034,TicketsBreak!A:A,TicketsBreak!F:F,"",0),0)</f>
        <v/>
      </c>
      <c r="J1034" s="316" t="str">
        <f t="array" ref="J1034">XLOOKUP(B1034,Roster!L:L,Roster!P:P,XLOOKUP(D1034,TicketsBreak!A:A,TicketsBreak!G:G,"",0),0)</f>
        <v/>
      </c>
      <c r="K1034" s="310">
        <f t="shared" si="4"/>
        <v>46121</v>
      </c>
      <c r="L1034" s="317">
        <f t="array" ref="L1034">(XLOOKUP(D1034,Roster!F:F,Roster!D:D,"",0))</f>
        <v>38</v>
      </c>
      <c r="M1034" s="317" t="str">
        <f t="array" ref="M1034">XLOOKUP(D1034,Roster!F:F,Roster!E:E)</f>
        <v>Voice</v>
      </c>
      <c r="N1034" s="317" t="str">
        <f t="shared" ref="N1034:P1034" si="1051">LEFT(H1034,5)</f>
        <v/>
      </c>
      <c r="O1034" s="317" t="str">
        <f t="shared" si="1051"/>
        <v/>
      </c>
      <c r="P1034" s="317" t="str">
        <f t="shared" si="1051"/>
        <v/>
      </c>
      <c r="Q1034" s="318" t="str">
        <f t="shared" si="948"/>
        <v/>
      </c>
      <c r="R1034" s="318" t="str">
        <f t="shared" si="949"/>
        <v/>
      </c>
      <c r="S1034" s="318" t="str">
        <f t="shared" si="8"/>
        <v/>
      </c>
    </row>
    <row r="1035">
      <c r="A1035" s="14" t="str">
        <f t="shared" si="1"/>
        <v>C102746121</v>
      </c>
      <c r="B1035" s="185" t="str">
        <f t="array" ref="B1035">IF(F1035="VL","",IF(F1035="Free","Free",XLOOKUP(D1035,Roster!T:T,Roster!S:S,"",0)))</f>
        <v/>
      </c>
      <c r="C1035" s="313">
        <v>46121.0</v>
      </c>
      <c r="D1035" s="314" t="s">
        <v>160</v>
      </c>
      <c r="E1035" s="307" t="str">
        <f t="array" ref="E1035">(XLOOKUP(D1035,Roster!F:F,Roster!B:B,"",0))</f>
        <v>Jose Perez</v>
      </c>
      <c r="F1035" s="315" t="str">
        <f t="array" ref="F1035">IF(B1035=100,"Free",TEXT(XLOOKUP($D1035,OperationVoice!$A:$A,OperationVoice!O:O,XLOOKUP($D1035,OperationTickets!$A:$A,OperationTickets!O:O,"",0)),"hh:mm"))</f>
        <v>VL</v>
      </c>
      <c r="G1035" s="309" t="str">
        <f t="shared" si="3"/>
        <v>VL</v>
      </c>
      <c r="H1035" s="316">
        <f t="array" ref="H1035">XLOOKUP(B1035,Roster!L:L,Roster!N:N,XLOOKUP(D1035,TicketsBreak!A:A,TicketsBreak!E:E,"",0),0)</f>
        <v>0.4166666667</v>
      </c>
      <c r="I1035" s="316">
        <f t="array" ref="I1035">XLOOKUP(B1035,Roster!L:L,Roster!O:O,XLOOKUP(D1035,TicketsBreak!A:A,TicketsBreak!F:F,"",0),0)</f>
        <v>0.5208333333</v>
      </c>
      <c r="J1035" s="316">
        <f t="array" ref="J1035">XLOOKUP(B1035,Roster!L:L,Roster!P:P,XLOOKUP(D1035,TicketsBreak!A:A,TicketsBreak!G:G,"",0),0)</f>
        <v>0.6354166667</v>
      </c>
      <c r="K1035" s="310">
        <f t="shared" si="4"/>
        <v>46121</v>
      </c>
      <c r="L1035" s="317">
        <f t="array" ref="L1035">(XLOOKUP(D1035,Roster!F:F,Roster!D:D,"",0))</f>
        <v>15</v>
      </c>
      <c r="M1035" s="317" t="str">
        <f t="array" ref="M1035">XLOOKUP(D1035,Roster!F:F,Roster!E:E)</f>
        <v>Tickets</v>
      </c>
      <c r="N1035" s="317" t="str">
        <f t="shared" ref="N1035:P1035" si="1052">LEFT(H1035,5)</f>
        <v>10:00</v>
      </c>
      <c r="O1035" s="317" t="str">
        <f t="shared" si="1052"/>
        <v>12:30</v>
      </c>
      <c r="P1035" s="317" t="str">
        <f t="shared" si="1052"/>
        <v>15:15</v>
      </c>
      <c r="Q1035" s="318">
        <f t="shared" si="948"/>
        <v>46121.41667</v>
      </c>
      <c r="R1035" s="318">
        <f t="shared" si="949"/>
        <v>46121.52083</v>
      </c>
      <c r="S1035" s="318">
        <f t="shared" si="8"/>
        <v>46121.63542</v>
      </c>
    </row>
    <row r="1036">
      <c r="A1036" s="14" t="str">
        <f t="shared" si="1"/>
        <v>C142646121</v>
      </c>
      <c r="B1036" s="185">
        <f t="array" ref="B1036">IF(F1036="VL","",IF(F1036="Free","Free",XLOOKUP(D1036,Roster!T:T,Roster!S:S,"",0)))</f>
        <v>123</v>
      </c>
      <c r="C1036" s="313">
        <v>46121.0</v>
      </c>
      <c r="D1036" s="314" t="s">
        <v>161</v>
      </c>
      <c r="E1036" s="307" t="str">
        <f t="array" ref="E1036">(XLOOKUP(D1036,Roster!F:F,Roster!B:B,"",0))</f>
        <v>Jose Zapata</v>
      </c>
      <c r="F1036" s="315" t="str">
        <f t="array" ref="F1036">IF(B1036=100,"Free",TEXT(XLOOKUP($D1036,OperationVoice!$A:$A,OperationVoice!O:O,XLOOKUP($D1036,OperationTickets!$A:$A,OperationTickets!O:O,"",0)),"hh:mm"))</f>
        <v>08:00</v>
      </c>
      <c r="G1036" s="309">
        <f t="shared" si="3"/>
        <v>0.7083333333</v>
      </c>
      <c r="H1036" s="316" t="str">
        <f t="array" ref="H1036">XLOOKUP(B1036,Roster!L:L,Roster!N:N,XLOOKUP(D1036,TicketsBreak!A:A,TicketsBreak!E:E,"",0),0)</f>
        <v>09:45 - 10:00 </v>
      </c>
      <c r="I1036" s="316" t="str">
        <f t="array" ref="I1036">XLOOKUP(B1036,Roster!L:L,Roster!O:O,XLOOKUP(D1036,TicketsBreak!A:A,TicketsBreak!F:F,"",0),0)</f>
        <v>12:30 - 13:00</v>
      </c>
      <c r="J1036" s="316" t="str">
        <f t="array" ref="J1036">XLOOKUP(B1036,Roster!L:L,Roster!P:P,XLOOKUP(D1036,TicketsBreak!A:A,TicketsBreak!G:G,"",0),0)</f>
        <v>15:00 - 15:15</v>
      </c>
      <c r="K1036" s="310">
        <f t="shared" si="4"/>
        <v>46121</v>
      </c>
      <c r="L1036" s="317">
        <f t="array" ref="L1036">(XLOOKUP(D1036,Roster!F:F,Roster!D:D,"",0))</f>
        <v>32</v>
      </c>
      <c r="M1036" s="317" t="str">
        <f t="array" ref="M1036">XLOOKUP(D1036,Roster!F:F,Roster!E:E)</f>
        <v>Tickets</v>
      </c>
      <c r="N1036" s="317" t="str">
        <f t="shared" ref="N1036:P1036" si="1053">LEFT(H1036,5)</f>
        <v>09:45</v>
      </c>
      <c r="O1036" s="317" t="str">
        <f t="shared" si="1053"/>
        <v>12:30</v>
      </c>
      <c r="P1036" s="317" t="str">
        <f t="shared" si="1053"/>
        <v>15:00</v>
      </c>
      <c r="Q1036" s="318">
        <f t="shared" si="948"/>
        <v>46121.40625</v>
      </c>
      <c r="R1036" s="318">
        <f t="shared" si="949"/>
        <v>46121.52083</v>
      </c>
      <c r="S1036" s="318">
        <f t="shared" si="8"/>
        <v>46121.625</v>
      </c>
    </row>
    <row r="1037">
      <c r="A1037" s="14" t="str">
        <f t="shared" si="1"/>
        <v>C153346121</v>
      </c>
      <c r="B1037" s="185">
        <f t="array" ref="B1037">IF(F1037="VL","",IF(F1037="Free","Free",XLOOKUP(D1037,Roster!T:T,Roster!S:S,"",0)))</f>
        <v>125</v>
      </c>
      <c r="C1037" s="313">
        <v>46121.0</v>
      </c>
      <c r="D1037" s="314" t="s">
        <v>43</v>
      </c>
      <c r="E1037" s="307" t="str">
        <f t="array" ref="E1037">(XLOOKUP(D1037,Roster!F:F,Roster!B:B,"",0))</f>
        <v>Juan Barrera</v>
      </c>
      <c r="F1037" s="315" t="str">
        <f t="array" ref="F1037">IF(B1037=100,"Free",TEXT(XLOOKUP($D1037,OperationVoice!$A:$A,OperationVoice!O:O,XLOOKUP($D1037,OperationTickets!$A:$A,OperationTickets!O:O,"",0)),"hh:mm"))</f>
        <v>08:00</v>
      </c>
      <c r="G1037" s="309">
        <f t="shared" si="3"/>
        <v>0.7083333333</v>
      </c>
      <c r="H1037" s="316" t="str">
        <f t="array" ref="H1037">XLOOKUP(B1037,Roster!L:L,Roster!N:N,XLOOKUP(D1037,TicketsBreak!A:A,TicketsBreak!E:E,"",0),0)</f>
        <v>10:30 - 10:45</v>
      </c>
      <c r="I1037" s="316" t="str">
        <f t="array" ref="I1037">XLOOKUP(B1037,Roster!L:L,Roster!O:O,XLOOKUP(D1037,TicketsBreak!A:A,TicketsBreak!F:F,"",0),0)</f>
        <v>13:30 - 14:00</v>
      </c>
      <c r="J1037" s="316" t="str">
        <f t="array" ref="J1037">XLOOKUP(B1037,Roster!L:L,Roster!P:P,XLOOKUP(D1037,TicketsBreak!A:A,TicketsBreak!G:G,"",0),0)</f>
        <v>15:45 - 16:00</v>
      </c>
      <c r="K1037" s="310">
        <f t="shared" si="4"/>
        <v>46121</v>
      </c>
      <c r="L1037" s="317">
        <f t="array" ref="L1037">(XLOOKUP(D1037,Roster!F:F,Roster!D:D,"",0))</f>
        <v>36</v>
      </c>
      <c r="M1037" s="317" t="str">
        <f t="array" ref="M1037">XLOOKUP(D1037,Roster!F:F,Roster!E:E)</f>
        <v>Voice</v>
      </c>
      <c r="N1037" s="317" t="str">
        <f t="shared" ref="N1037:P1037" si="1054">LEFT(H1037,5)</f>
        <v>10:30</v>
      </c>
      <c r="O1037" s="317" t="str">
        <f t="shared" si="1054"/>
        <v>13:30</v>
      </c>
      <c r="P1037" s="317" t="str">
        <f t="shared" si="1054"/>
        <v>15:45</v>
      </c>
      <c r="Q1037" s="318">
        <f t="shared" si="948"/>
        <v>46121.4375</v>
      </c>
      <c r="R1037" s="318">
        <f t="shared" si="949"/>
        <v>46121.5625</v>
      </c>
      <c r="S1037" s="318">
        <f t="shared" si="8"/>
        <v>46121.65625</v>
      </c>
    </row>
    <row r="1038">
      <c r="A1038" s="14" t="str">
        <f t="shared" si="1"/>
        <v>C146546121</v>
      </c>
      <c r="B1038" s="185">
        <f t="array" ref="B1038">IF(F1038="VL","",IF(F1038="Free","Free",XLOOKUP(D1038,Roster!T:T,Roster!S:S,"",0)))</f>
        <v>500</v>
      </c>
      <c r="C1038" s="313">
        <v>46121.0</v>
      </c>
      <c r="D1038" s="314" t="s">
        <v>44</v>
      </c>
      <c r="E1038" s="307" t="str">
        <f t="array" ref="E1038">(XLOOKUP(D1038,Roster!F:F,Roster!B:B,"",0))</f>
        <v>Juan Castilla</v>
      </c>
      <c r="F1038" s="315" t="str">
        <f t="array" ref="F1038">IF(B1038=100,"Free",TEXT(XLOOKUP($D1038,OperationVoice!$A:$A,OperationVoice!O:O,XLOOKUP($D1038,OperationTickets!$A:$A,OperationTickets!O:O,"",0)),"hh:mm"))</f>
        <v>08:00</v>
      </c>
      <c r="G1038" s="309">
        <f t="shared" si="3"/>
        <v>0.7083333333</v>
      </c>
      <c r="H1038" s="316" t="str">
        <f t="array" ref="H1038">XLOOKUP(B1038,Roster!L:L,Roster!N:N,XLOOKUP(D1038,TicketsBreak!A:A,TicketsBreak!E:E,"",0),0)</f>
        <v>Team Leader</v>
      </c>
      <c r="I1038" s="316" t="str">
        <f t="array" ref="I1038">XLOOKUP(B1038,Roster!L:L,Roster!O:O,XLOOKUP(D1038,TicketsBreak!A:A,TicketsBreak!F:F,"",0),0)</f>
        <v>Team Leader</v>
      </c>
      <c r="J1038" s="316" t="str">
        <f t="array" ref="J1038">XLOOKUP(B1038,Roster!L:L,Roster!P:P,XLOOKUP(D1038,TicketsBreak!A:A,TicketsBreak!G:G,"",0),0)</f>
        <v/>
      </c>
      <c r="K1038" s="310">
        <f t="shared" si="4"/>
        <v>46121</v>
      </c>
      <c r="L1038" s="317">
        <f t="array" ref="L1038">(XLOOKUP(D1038,Roster!F:F,Roster!D:D,"",0))</f>
        <v>33</v>
      </c>
      <c r="M1038" s="317" t="str">
        <f t="array" ref="M1038">XLOOKUP(D1038,Roster!F:F,Roster!E:E)</f>
        <v>Voice</v>
      </c>
      <c r="N1038" s="317" t="str">
        <f t="shared" ref="N1038:P1038" si="1055">LEFT(H1038,5)</f>
        <v>Team </v>
      </c>
      <c r="O1038" s="317" t="str">
        <f t="shared" si="1055"/>
        <v>Team </v>
      </c>
      <c r="P1038" s="317" t="str">
        <f t="shared" si="1055"/>
        <v/>
      </c>
      <c r="Q1038" s="318" t="str">
        <f t="shared" si="948"/>
        <v>#VALUE!</v>
      </c>
      <c r="R1038" s="318" t="str">
        <f t="shared" si="949"/>
        <v>#VALUE!</v>
      </c>
      <c r="S1038" s="318" t="str">
        <f t="shared" si="8"/>
        <v/>
      </c>
    </row>
    <row r="1039">
      <c r="A1039" s="14" t="str">
        <f t="shared" si="1"/>
        <v>C72046121</v>
      </c>
      <c r="B1039" s="185" t="str">
        <f t="array" ref="B1039">IF(F1039="VL","",IF(F1039="Free","Free",XLOOKUP(D1039,Roster!T:T,Roster!S:S,"",0)))</f>
        <v/>
      </c>
      <c r="C1039" s="313">
        <v>46121.0</v>
      </c>
      <c r="D1039" s="314" t="s">
        <v>162</v>
      </c>
      <c r="E1039" s="307" t="str">
        <f t="array" ref="E1039">(XLOOKUP(D1039,Roster!F:F,Roster!B:B,"",0))</f>
        <v>Juan Durango</v>
      </c>
      <c r="F1039" s="315" t="str">
        <f t="array" ref="F1039">IF(B1039=100,"Free",TEXT(XLOOKUP($D1039,OperationVoice!$A:$A,OperationVoice!O:O,XLOOKUP($D1039,OperationTickets!$A:$A,OperationTickets!O:O,"",0)),"hh:mm"))</f>
        <v>08:00</v>
      </c>
      <c r="G1039" s="309">
        <f t="shared" si="3"/>
        <v>0.7083333333</v>
      </c>
      <c r="H1039" s="316">
        <f t="array" ref="H1039">XLOOKUP(B1039,Roster!L:L,Roster!N:N,XLOOKUP(D1039,TicketsBreak!A:A,TicketsBreak!E:E,"",0),0)</f>
        <v>0.40625</v>
      </c>
      <c r="I1039" s="316">
        <f t="array" ref="I1039">XLOOKUP(B1039,Roster!L:L,Roster!O:O,XLOOKUP(D1039,TicketsBreak!A:A,TicketsBreak!F:F,"",0),0)</f>
        <v>0.5729166667</v>
      </c>
      <c r="J1039" s="316">
        <f t="array" ref="J1039">XLOOKUP(B1039,Roster!L:L,Roster!P:P,XLOOKUP(D1039,TicketsBreak!A:A,TicketsBreak!G:G,"",0),0)</f>
        <v>0.65625</v>
      </c>
      <c r="K1039" s="310">
        <f t="shared" si="4"/>
        <v>46121</v>
      </c>
      <c r="L1039" s="317">
        <f t="array" ref="L1039">(XLOOKUP(D1039,Roster!F:F,Roster!D:D,"",0))</f>
        <v>7</v>
      </c>
      <c r="M1039" s="317" t="str">
        <f t="array" ref="M1039">XLOOKUP(D1039,Roster!F:F,Roster!E:E)</f>
        <v>Tickets</v>
      </c>
      <c r="N1039" s="317" t="str">
        <f t="shared" ref="N1039:P1039" si="1056">LEFT(H1039,5)</f>
        <v>09:45</v>
      </c>
      <c r="O1039" s="317" t="str">
        <f t="shared" si="1056"/>
        <v>13:45</v>
      </c>
      <c r="P1039" s="317" t="str">
        <f t="shared" si="1056"/>
        <v>15:45</v>
      </c>
      <c r="Q1039" s="318">
        <f t="shared" si="948"/>
        <v>46121.40625</v>
      </c>
      <c r="R1039" s="318">
        <f t="shared" si="949"/>
        <v>46121.57292</v>
      </c>
      <c r="S1039" s="318">
        <f t="shared" si="8"/>
        <v>46121.65625</v>
      </c>
    </row>
    <row r="1040">
      <c r="A1040" s="14" t="str">
        <f t="shared" si="1"/>
        <v>C59846121</v>
      </c>
      <c r="B1040" s="185" t="str">
        <f t="array" ref="B1040">IF(F1040="VL","",IF(F1040="Free","Free",XLOOKUP(D1040,Roster!T:T,Roster!S:S,"",0)))</f>
        <v/>
      </c>
      <c r="C1040" s="313">
        <v>46121.0</v>
      </c>
      <c r="D1040" s="314" t="s">
        <v>314</v>
      </c>
      <c r="E1040" s="307" t="str">
        <f t="array" ref="E1040">(XLOOKUP(D1040,Roster!F:F,Roster!B:B,"",0))</f>
        <v>Juan Fonnegra</v>
      </c>
      <c r="F1040" s="315" t="str">
        <f t="array" ref="F1040">IF(B1040=100,"Free",TEXT(XLOOKUP($D1040,OperationVoice!$A:$A,OperationVoice!O:O,XLOOKUP($D1040,OperationTickets!$A:$A,OperationTickets!O:O,"",0)),"hh:mm"))</f>
        <v/>
      </c>
      <c r="G1040" s="309" t="str">
        <f t="shared" si="3"/>
        <v/>
      </c>
      <c r="H1040" s="316">
        <f t="array" ref="H1040">XLOOKUP(B1040,Roster!L:L,Roster!N:N,XLOOKUP(D1040,TicketsBreak!A:A,TicketsBreak!E:E,"",0),0)</f>
        <v>0.4166666667</v>
      </c>
      <c r="I1040" s="316">
        <f t="array" ref="I1040">XLOOKUP(B1040,Roster!L:L,Roster!O:O,XLOOKUP(D1040,TicketsBreak!A:A,TicketsBreak!F:F,"",0),0)</f>
        <v>0.5208333333</v>
      </c>
      <c r="J1040" s="316">
        <f t="array" ref="J1040">XLOOKUP(B1040,Roster!L:L,Roster!P:P,XLOOKUP(D1040,TicketsBreak!A:A,TicketsBreak!G:G,"",0),0)</f>
        <v>0.65625</v>
      </c>
      <c r="K1040" s="310">
        <f t="shared" si="4"/>
        <v>46121</v>
      </c>
      <c r="L1040" s="317">
        <f t="array" ref="L1040">(XLOOKUP(D1040,Roster!F:F,Roster!D:D,"",0))</f>
        <v>1</v>
      </c>
      <c r="M1040" s="317" t="str">
        <f t="array" ref="M1040">XLOOKUP(D1040,Roster!F:F,Roster!E:E)</f>
        <v>Tickets</v>
      </c>
      <c r="N1040" s="317" t="str">
        <f t="shared" ref="N1040:P1040" si="1057">LEFT(H1040,5)</f>
        <v>10:00</v>
      </c>
      <c r="O1040" s="317" t="str">
        <f t="shared" si="1057"/>
        <v>12:30</v>
      </c>
      <c r="P1040" s="317" t="str">
        <f t="shared" si="1057"/>
        <v>15:45</v>
      </c>
      <c r="Q1040" s="318">
        <f t="shared" si="948"/>
        <v>46121.41667</v>
      </c>
      <c r="R1040" s="318">
        <f t="shared" si="949"/>
        <v>46121.52083</v>
      </c>
      <c r="S1040" s="318">
        <f t="shared" si="8"/>
        <v>46121.65625</v>
      </c>
    </row>
    <row r="1041">
      <c r="A1041" s="14" t="str">
        <f t="shared" si="1"/>
        <v>C113946121</v>
      </c>
      <c r="B1041" s="185">
        <f t="array" ref="B1041">IF(F1041="VL","",IF(F1041="Free","Free",XLOOKUP(D1041,Roster!T:T,Roster!S:S,"",0)))</f>
        <v>125</v>
      </c>
      <c r="C1041" s="313">
        <v>46121.0</v>
      </c>
      <c r="D1041" s="314" t="s">
        <v>45</v>
      </c>
      <c r="E1041" s="307" t="str">
        <f t="array" ref="E1041">(XLOOKUP(D1041,Roster!F:F,Roster!B:B,"",0))</f>
        <v>Juan Largacha</v>
      </c>
      <c r="F1041" s="315" t="str">
        <f t="array" ref="F1041">IF(B1041=100,"Free",TEXT(XLOOKUP($D1041,OperationVoice!$A:$A,OperationVoice!O:O,XLOOKUP($D1041,OperationTickets!$A:$A,OperationTickets!O:O,"",0)),"hh:mm"))</f>
        <v>08:00</v>
      </c>
      <c r="G1041" s="309">
        <f t="shared" si="3"/>
        <v>0.7083333333</v>
      </c>
      <c r="H1041" s="316" t="str">
        <f t="array" ref="H1041">XLOOKUP(B1041,Roster!L:L,Roster!N:N,XLOOKUP(D1041,TicketsBreak!A:A,TicketsBreak!E:E,"",0),0)</f>
        <v>10:30 - 10:45</v>
      </c>
      <c r="I1041" s="316" t="str">
        <f t="array" ref="I1041">XLOOKUP(B1041,Roster!L:L,Roster!O:O,XLOOKUP(D1041,TicketsBreak!A:A,TicketsBreak!F:F,"",0),0)</f>
        <v>13:30 - 14:00</v>
      </c>
      <c r="J1041" s="316" t="str">
        <f t="array" ref="J1041">XLOOKUP(B1041,Roster!L:L,Roster!P:P,XLOOKUP(D1041,TicketsBreak!A:A,TicketsBreak!G:G,"",0),0)</f>
        <v>15:45 - 16:00</v>
      </c>
      <c r="K1041" s="310">
        <f t="shared" si="4"/>
        <v>46121</v>
      </c>
      <c r="L1041" s="317">
        <f t="array" ref="L1041">(XLOOKUP(D1041,Roster!F:F,Roster!D:D,"",0))</f>
        <v>22</v>
      </c>
      <c r="M1041" s="317" t="str">
        <f t="array" ref="M1041">XLOOKUP(D1041,Roster!F:F,Roster!E:E)</f>
        <v>Voice</v>
      </c>
      <c r="N1041" s="317" t="str">
        <f t="shared" ref="N1041:P1041" si="1058">LEFT(H1041,5)</f>
        <v>10:30</v>
      </c>
      <c r="O1041" s="317" t="str">
        <f t="shared" si="1058"/>
        <v>13:30</v>
      </c>
      <c r="P1041" s="317" t="str">
        <f t="shared" si="1058"/>
        <v>15:45</v>
      </c>
      <c r="Q1041" s="318">
        <f t="shared" si="948"/>
        <v>46121.4375</v>
      </c>
      <c r="R1041" s="318">
        <f t="shared" si="949"/>
        <v>46121.5625</v>
      </c>
      <c r="S1041" s="318">
        <f t="shared" si="8"/>
        <v>46121.65625</v>
      </c>
    </row>
    <row r="1042">
      <c r="A1042" s="14" t="str">
        <f t="shared" si="1"/>
        <v>C156646121</v>
      </c>
      <c r="B1042" s="185">
        <f t="array" ref="B1042">IF(F1042="VL","",IF(F1042="Free","Free",XLOOKUP(D1042,Roster!T:T,Roster!S:S,"",0)))</f>
        <v>124</v>
      </c>
      <c r="C1042" s="313">
        <v>46121.0</v>
      </c>
      <c r="D1042" s="314" t="s">
        <v>46</v>
      </c>
      <c r="E1042" s="307" t="str">
        <f t="array" ref="E1042">(XLOOKUP(D1042,Roster!F:F,Roster!B:B,"",0))</f>
        <v>Juan Ocampo</v>
      </c>
      <c r="F1042" s="315" t="str">
        <f t="array" ref="F1042">IF(B1042=100,"Free",TEXT(XLOOKUP($D1042,OperationVoice!$A:$A,OperationVoice!O:O,XLOOKUP($D1042,OperationTickets!$A:$A,OperationTickets!O:O,"",0)),"hh:mm"))</f>
        <v>08:00</v>
      </c>
      <c r="G1042" s="309">
        <f t="shared" si="3"/>
        <v>0.7083333333</v>
      </c>
      <c r="H1042" s="316" t="str">
        <f t="array" ref="H1042">XLOOKUP(B1042,Roster!L:L,Roster!N:N,XLOOKUP(D1042,TicketsBreak!A:A,TicketsBreak!E:E,"",0),0)</f>
        <v>10:00 - 10:15</v>
      </c>
      <c r="I1042" s="316" t="str">
        <f t="array" ref="I1042">XLOOKUP(B1042,Roster!L:L,Roster!O:O,XLOOKUP(D1042,TicketsBreak!A:A,TicketsBreak!F:F,"",0),0)</f>
        <v>13:00 - 13:30</v>
      </c>
      <c r="J1042" s="316" t="str">
        <f t="array" ref="J1042">XLOOKUP(B1042,Roster!L:L,Roster!P:P,XLOOKUP(D1042,TicketsBreak!A:A,TicketsBreak!G:G,"",0),0)</f>
        <v>15:30 - 15:45</v>
      </c>
      <c r="K1042" s="310">
        <f t="shared" si="4"/>
        <v>46121</v>
      </c>
      <c r="L1042" s="317">
        <f t="array" ref="L1042">(XLOOKUP(D1042,Roster!F:F,Roster!D:D,"",0))</f>
        <v>38</v>
      </c>
      <c r="M1042" s="317" t="str">
        <f t="array" ref="M1042">XLOOKUP(D1042,Roster!F:F,Roster!E:E)</f>
        <v>Voice</v>
      </c>
      <c r="N1042" s="317" t="str">
        <f t="shared" ref="N1042:P1042" si="1059">LEFT(H1042,5)</f>
        <v>10:00</v>
      </c>
      <c r="O1042" s="317" t="str">
        <f t="shared" si="1059"/>
        <v>13:00</v>
      </c>
      <c r="P1042" s="317" t="str">
        <f t="shared" si="1059"/>
        <v>15:30</v>
      </c>
      <c r="Q1042" s="318">
        <f t="shared" si="948"/>
        <v>46121.41667</v>
      </c>
      <c r="R1042" s="318">
        <f t="shared" si="949"/>
        <v>46121.54167</v>
      </c>
      <c r="S1042" s="318">
        <f t="shared" si="8"/>
        <v>46121.64583</v>
      </c>
    </row>
    <row r="1043">
      <c r="A1043" s="14" t="str">
        <f t="shared" si="1"/>
        <v>C148446121</v>
      </c>
      <c r="B1043" s="185">
        <f t="array" ref="B1043">IF(F1043="VL","",IF(F1043="Free","Free",XLOOKUP(D1043,Roster!T:T,Roster!S:S,"",0)))</f>
        <v>126</v>
      </c>
      <c r="C1043" s="313">
        <v>46121.0</v>
      </c>
      <c r="D1043" s="314" t="s">
        <v>141</v>
      </c>
      <c r="E1043" s="307" t="str">
        <f t="array" ref="E1043">(XLOOKUP(D1043,Roster!F:F,Roster!B:B,"",0))</f>
        <v>Juan Ospina</v>
      </c>
      <c r="F1043" s="315" t="str">
        <f t="array" ref="F1043">IF(B1043=100,"Free",TEXT(XLOOKUP($D1043,OperationVoice!$A:$A,OperationVoice!O:O,XLOOKUP($D1043,OperationTickets!$A:$A,OperationTickets!O:O,"",0)),"hh:mm"))</f>
        <v>08:00</v>
      </c>
      <c r="G1043" s="309">
        <f t="shared" si="3"/>
        <v>0.7083333333</v>
      </c>
      <c r="H1043" s="316" t="str">
        <f t="array" ref="H1043">XLOOKUP(B1043,Roster!L:L,Roster!N:N,XLOOKUP(D1043,TicketsBreak!A:A,TicketsBreak!E:E,"",0),0)</f>
        <v>10:45 - 11:00</v>
      </c>
      <c r="I1043" s="316" t="str">
        <f t="array" ref="I1043">XLOOKUP(B1043,Roster!L:L,Roster!O:O,XLOOKUP(D1043,TicketsBreak!A:A,TicketsBreak!F:F,"",0),0)</f>
        <v>14:00 - 14:30</v>
      </c>
      <c r="J1043" s="316" t="str">
        <f t="array" ref="J1043">XLOOKUP(B1043,Roster!L:L,Roster!P:P,XLOOKUP(D1043,TicketsBreak!A:A,TicketsBreak!G:G,"",0),0)</f>
        <v>15:45 - 16:00</v>
      </c>
      <c r="K1043" s="310">
        <f t="shared" si="4"/>
        <v>46121</v>
      </c>
      <c r="L1043" s="317">
        <f t="array" ref="L1043">(XLOOKUP(D1043,Roster!F:F,Roster!D:D,"",0))</f>
        <v>34</v>
      </c>
      <c r="M1043" s="317" t="str">
        <f t="array" ref="M1043">XLOOKUP(D1043,Roster!F:F,Roster!E:E)</f>
        <v>Tickets</v>
      </c>
      <c r="N1043" s="317" t="str">
        <f t="shared" ref="N1043:P1043" si="1060">LEFT(H1043,5)</f>
        <v>10:45</v>
      </c>
      <c r="O1043" s="317" t="str">
        <f t="shared" si="1060"/>
        <v>14:00</v>
      </c>
      <c r="P1043" s="317" t="str">
        <f t="shared" si="1060"/>
        <v>15:45</v>
      </c>
      <c r="Q1043" s="318">
        <f t="shared" si="948"/>
        <v>46121.44792</v>
      </c>
      <c r="R1043" s="318">
        <f t="shared" si="949"/>
        <v>46121.58333</v>
      </c>
      <c r="S1043" s="318">
        <f t="shared" si="8"/>
        <v>46121.65625</v>
      </c>
    </row>
    <row r="1044">
      <c r="A1044" s="14" t="str">
        <f t="shared" si="1"/>
        <v>C141346121</v>
      </c>
      <c r="B1044" s="185">
        <f t="array" ref="B1044">IF(F1044="VL","",IF(F1044="Free","Free",XLOOKUP(D1044,Roster!T:T,Roster!S:S,"",0)))</f>
        <v>121</v>
      </c>
      <c r="C1044" s="313">
        <v>46121.0</v>
      </c>
      <c r="D1044" s="314" t="s">
        <v>47</v>
      </c>
      <c r="E1044" s="307" t="str">
        <f t="array" ref="E1044">(XLOOKUP(D1044,Roster!F:F,Roster!B:B,"",0))</f>
        <v>Juan Parra</v>
      </c>
      <c r="F1044" s="315" t="str">
        <f t="array" ref="F1044">IF(B1044=100,"Free",TEXT(XLOOKUP($D1044,OperationVoice!$A:$A,OperationVoice!O:O,XLOOKUP($D1044,OperationTickets!$A:$A,OperationTickets!O:O,"",0)),"hh:mm"))</f>
        <v>08:00</v>
      </c>
      <c r="G1044" s="309">
        <f t="shared" si="3"/>
        <v>0.7083333333</v>
      </c>
      <c r="H1044" s="316" t="str">
        <f t="array" ref="H1044">XLOOKUP(B1044,Roster!L:L,Roster!N:N,XLOOKUP(D1044,TicketsBreak!A:A,TicketsBreak!E:E,"",0),0)</f>
        <v>09:15 - 09:30</v>
      </c>
      <c r="I1044" s="316" t="str">
        <f t="array" ref="I1044">XLOOKUP(B1044,Roster!L:L,Roster!O:O,XLOOKUP(D1044,TicketsBreak!A:A,TicketsBreak!F:F,"",0),0)</f>
        <v>11:30 - 12:00</v>
      </c>
      <c r="J1044" s="316" t="str">
        <f t="array" ref="J1044">XLOOKUP(B1044,Roster!L:L,Roster!P:P,XLOOKUP(D1044,TicketsBreak!A:A,TicketsBreak!G:G,"",0),0)</f>
        <v>14:30 - 14:45</v>
      </c>
      <c r="K1044" s="310">
        <f t="shared" si="4"/>
        <v>46121</v>
      </c>
      <c r="L1044" s="317">
        <f t="array" ref="L1044">(XLOOKUP(D1044,Roster!F:F,Roster!D:D,"",0))</f>
        <v>32</v>
      </c>
      <c r="M1044" s="317" t="str">
        <f t="array" ref="M1044">XLOOKUP(D1044,Roster!F:F,Roster!E:E)</f>
        <v>Voice</v>
      </c>
      <c r="N1044" s="317" t="str">
        <f t="shared" ref="N1044:P1044" si="1061">LEFT(H1044,5)</f>
        <v>09:15</v>
      </c>
      <c r="O1044" s="317" t="str">
        <f t="shared" si="1061"/>
        <v>11:30</v>
      </c>
      <c r="P1044" s="317" t="str">
        <f t="shared" si="1061"/>
        <v>14:30</v>
      </c>
      <c r="Q1044" s="318">
        <f t="shared" si="948"/>
        <v>46121.38542</v>
      </c>
      <c r="R1044" s="318">
        <f t="shared" si="949"/>
        <v>46121.47917</v>
      </c>
      <c r="S1044" s="318">
        <f t="shared" si="8"/>
        <v>46121.60417</v>
      </c>
    </row>
    <row r="1045">
      <c r="A1045" s="14" t="str">
        <f t="shared" si="1"/>
        <v>C132746121</v>
      </c>
      <c r="B1045" s="185" t="str">
        <f t="array" ref="B1045">IF(F1045="VL","",IF(F1045="Free","Free",XLOOKUP(D1045,Roster!T:T,Roster!S:S,"",0)))</f>
        <v/>
      </c>
      <c r="C1045" s="313">
        <v>46121.0</v>
      </c>
      <c r="D1045" s="314" t="s">
        <v>163</v>
      </c>
      <c r="E1045" s="307" t="str">
        <f t="array" ref="E1045">(XLOOKUP(D1045,Roster!F:F,Roster!B:B,"",0))</f>
        <v>Juan Restrepo</v>
      </c>
      <c r="F1045" s="315" t="str">
        <f t="array" ref="F1045">IF(B1045=100,"Free",TEXT(XLOOKUP($D1045,OperationVoice!$A:$A,OperationVoice!O:O,XLOOKUP($D1045,OperationTickets!$A:$A,OperationTickets!O:O,"",0)),"hh:mm"))</f>
        <v>07:00</v>
      </c>
      <c r="G1045" s="309">
        <f t="shared" si="3"/>
        <v>0.6666666667</v>
      </c>
      <c r="H1045" s="316" t="str">
        <f t="array" ref="H1045">XLOOKUP(B1045,Roster!L:L,Roster!N:N,XLOOKUP(D1045,TicketsBreak!A:A,TicketsBreak!E:E,"",0),0)</f>
        <v/>
      </c>
      <c r="I1045" s="316" t="str">
        <f t="array" ref="I1045">XLOOKUP(B1045,Roster!L:L,Roster!O:O,XLOOKUP(D1045,TicketsBreak!A:A,TicketsBreak!F:F,"",0),0)</f>
        <v/>
      </c>
      <c r="J1045" s="316" t="str">
        <f t="array" ref="J1045">XLOOKUP(B1045,Roster!L:L,Roster!P:P,XLOOKUP(D1045,TicketsBreak!A:A,TicketsBreak!G:G,"",0),0)</f>
        <v/>
      </c>
      <c r="K1045" s="310">
        <f t="shared" si="4"/>
        <v>46121</v>
      </c>
      <c r="L1045" s="317">
        <f t="array" ref="L1045">(XLOOKUP(D1045,Roster!F:F,Roster!D:D,"",0))</f>
        <v>29</v>
      </c>
      <c r="M1045" s="317" t="str">
        <f t="array" ref="M1045">XLOOKUP(D1045,Roster!F:F,Roster!E:E)</f>
        <v>Tickets</v>
      </c>
      <c r="N1045" s="317" t="str">
        <f t="shared" ref="N1045:P1045" si="1062">LEFT(H1045,5)</f>
        <v/>
      </c>
      <c r="O1045" s="317" t="str">
        <f t="shared" si="1062"/>
        <v/>
      </c>
      <c r="P1045" s="317" t="str">
        <f t="shared" si="1062"/>
        <v/>
      </c>
      <c r="Q1045" s="318" t="str">
        <f t="shared" si="948"/>
        <v/>
      </c>
      <c r="R1045" s="318" t="str">
        <f t="shared" si="949"/>
        <v/>
      </c>
      <c r="S1045" s="318" t="str">
        <f t="shared" si="8"/>
        <v/>
      </c>
    </row>
    <row r="1046">
      <c r="A1046" s="14" t="str">
        <f t="shared" si="1"/>
        <v>C146946121</v>
      </c>
      <c r="B1046" s="185">
        <f t="array" ref="B1046">IF(F1046="VL","",IF(F1046="Free","Free",XLOOKUP(D1046,Roster!T:T,Roster!S:S,"",0)))</f>
        <v>122</v>
      </c>
      <c r="C1046" s="313">
        <v>46121.0</v>
      </c>
      <c r="D1046" s="314" t="s">
        <v>48</v>
      </c>
      <c r="E1046" s="307" t="str">
        <f t="array" ref="E1046">(XLOOKUP(D1046,Roster!F:F,Roster!B:B,"",0))</f>
        <v>Juan Restrepo Restrepo</v>
      </c>
      <c r="F1046" s="315" t="str">
        <f t="array" ref="F1046">IF(B1046=100,"Free",TEXT(XLOOKUP($D1046,OperationVoice!$A:$A,OperationVoice!O:O,XLOOKUP($D1046,OperationTickets!$A:$A,OperationTickets!O:O,"",0)),"hh:mm"))</f>
        <v>08:00</v>
      </c>
      <c r="G1046" s="309">
        <f t="shared" si="3"/>
        <v>0.7083333333</v>
      </c>
      <c r="H1046" s="316" t="str">
        <f t="array" ref="H1046">XLOOKUP(B1046,Roster!L:L,Roster!N:N,XLOOKUP(D1046,TicketsBreak!A:A,TicketsBreak!E:E,"",0),0)</f>
        <v>09:30 - 09:45</v>
      </c>
      <c r="I1046" s="316" t="str">
        <f t="array" ref="I1046">XLOOKUP(B1046,Roster!L:L,Roster!O:O,XLOOKUP(D1046,TicketsBreak!A:A,TicketsBreak!F:F,"",0),0)</f>
        <v>12:00 - 12:30</v>
      </c>
      <c r="J1046" s="316" t="str">
        <f t="array" ref="J1046">XLOOKUP(B1046,Roster!L:L,Roster!P:P,XLOOKUP(D1046,TicketsBreak!A:A,TicketsBreak!G:G,"",0),0)</f>
        <v>14:45 - 15:00</v>
      </c>
      <c r="K1046" s="310">
        <f t="shared" si="4"/>
        <v>46121</v>
      </c>
      <c r="L1046" s="317">
        <f t="array" ref="L1046">(XLOOKUP(D1046,Roster!F:F,Roster!D:D,"",0))</f>
        <v>33</v>
      </c>
      <c r="M1046" s="317" t="str">
        <f t="array" ref="M1046">XLOOKUP(D1046,Roster!F:F,Roster!E:E)</f>
        <v>Voice</v>
      </c>
      <c r="N1046" s="317" t="str">
        <f t="shared" ref="N1046:P1046" si="1063">LEFT(H1046,5)</f>
        <v>09:30</v>
      </c>
      <c r="O1046" s="317" t="str">
        <f t="shared" si="1063"/>
        <v>12:00</v>
      </c>
      <c r="P1046" s="317" t="str">
        <f t="shared" si="1063"/>
        <v>14:45</v>
      </c>
      <c r="Q1046" s="318">
        <f t="shared" si="948"/>
        <v>46121.39583</v>
      </c>
      <c r="R1046" s="318">
        <f t="shared" si="949"/>
        <v>46121.5</v>
      </c>
      <c r="S1046" s="318">
        <f t="shared" si="8"/>
        <v>46121.61458</v>
      </c>
    </row>
    <row r="1047">
      <c r="A1047" s="14" t="str">
        <f t="shared" si="1"/>
        <v>C117146121</v>
      </c>
      <c r="B1047" s="185" t="str">
        <f t="array" ref="B1047">IF(F1047="VL","",IF(F1047="Free","Free",XLOOKUP(D1047,Roster!T:T,Roster!S:S,"",0)))</f>
        <v>Free</v>
      </c>
      <c r="C1047" s="313">
        <v>46121.0</v>
      </c>
      <c r="D1047" s="314" t="s">
        <v>142</v>
      </c>
      <c r="E1047" s="307" t="str">
        <f t="array" ref="E1047">(XLOOKUP(D1047,Roster!F:F,Roster!B:B,"",0))</f>
        <v>Juan Sanchez</v>
      </c>
      <c r="F1047" s="315" t="str">
        <f t="array" ref="F1047">IF(B1047=100,"Free",TEXT(XLOOKUP($D1047,OperationVoice!$A:$A,OperationVoice!O:O,XLOOKUP($D1047,OperationTickets!$A:$A,OperationTickets!O:O,"",0)),"hh:mm"))</f>
        <v>Free</v>
      </c>
      <c r="G1047" s="309" t="str">
        <f t="shared" si="3"/>
        <v>Free</v>
      </c>
      <c r="H1047" s="316" t="str">
        <f t="array" ref="H1047">XLOOKUP(B1047,Roster!L:L,Roster!N:N,XLOOKUP(D1047,TicketsBreak!A:A,TicketsBreak!E:E,"",0),0)</f>
        <v/>
      </c>
      <c r="I1047" s="316" t="str">
        <f t="array" ref="I1047">XLOOKUP(B1047,Roster!L:L,Roster!O:O,XLOOKUP(D1047,TicketsBreak!A:A,TicketsBreak!F:F,"",0),0)</f>
        <v/>
      </c>
      <c r="J1047" s="316" t="str">
        <f t="array" ref="J1047">XLOOKUP(B1047,Roster!L:L,Roster!P:P,XLOOKUP(D1047,TicketsBreak!A:A,TicketsBreak!G:G,"",0),0)</f>
        <v/>
      </c>
      <c r="K1047" s="310">
        <f t="shared" si="4"/>
        <v>46121</v>
      </c>
      <c r="L1047" s="317">
        <f t="array" ref="L1047">(XLOOKUP(D1047,Roster!F:F,Roster!D:D,"",0))</f>
        <v>24</v>
      </c>
      <c r="M1047" s="317" t="str">
        <f t="array" ref="M1047">XLOOKUP(D1047,Roster!F:F,Roster!E:E)</f>
        <v>Tickets</v>
      </c>
      <c r="N1047" s="317" t="str">
        <f t="shared" ref="N1047:P1047" si="1064">LEFT(H1047,5)</f>
        <v/>
      </c>
      <c r="O1047" s="317" t="str">
        <f t="shared" si="1064"/>
        <v/>
      </c>
      <c r="P1047" s="317" t="str">
        <f t="shared" si="1064"/>
        <v/>
      </c>
      <c r="Q1047" s="318" t="str">
        <f t="shared" si="948"/>
        <v/>
      </c>
      <c r="R1047" s="318" t="str">
        <f t="shared" si="949"/>
        <v/>
      </c>
      <c r="S1047" s="318" t="str">
        <f t="shared" si="8"/>
        <v/>
      </c>
    </row>
    <row r="1048">
      <c r="A1048" s="14" t="str">
        <f t="shared" si="1"/>
        <v>C74346121</v>
      </c>
      <c r="B1048" s="185" t="str">
        <f t="array" ref="B1048">IF(F1048="VL","",IF(F1048="Free","Free",XLOOKUP(D1048,Roster!T:T,Roster!S:S,"",0)))</f>
        <v/>
      </c>
      <c r="C1048" s="313">
        <v>46121.0</v>
      </c>
      <c r="D1048" s="314" t="s">
        <v>164</v>
      </c>
      <c r="E1048" s="307" t="str">
        <f t="array" ref="E1048">(XLOOKUP(D1048,Roster!F:F,Roster!B:B,"",0))</f>
        <v>Juan Suarez</v>
      </c>
      <c r="F1048" s="315" t="str">
        <f t="array" ref="F1048">IF(B1048=100,"Free",TEXT(XLOOKUP($D1048,OperationVoice!$A:$A,OperationVoice!O:O,XLOOKUP($D1048,OperationTickets!$A:$A,OperationTickets!O:O,"",0)),"hh:mm"))</f>
        <v>08:30</v>
      </c>
      <c r="G1048" s="309">
        <f t="shared" si="3"/>
        <v>0.7291666667</v>
      </c>
      <c r="H1048" s="316">
        <f t="array" ref="H1048">XLOOKUP(B1048,Roster!L:L,Roster!N:N,XLOOKUP(D1048,TicketsBreak!A:A,TicketsBreak!E:E,"",0),0)</f>
        <v>0.3958333333</v>
      </c>
      <c r="I1048" s="316">
        <f t="array" ref="I1048">XLOOKUP(B1048,Roster!L:L,Roster!O:O,XLOOKUP(D1048,TicketsBreak!A:A,TicketsBreak!F:F,"",0),0)</f>
        <v>0.5208333333</v>
      </c>
      <c r="J1048" s="316">
        <f t="array" ref="J1048">XLOOKUP(B1048,Roster!L:L,Roster!P:P,XLOOKUP(D1048,TicketsBreak!A:A,TicketsBreak!G:G,"",0),0)</f>
        <v>0.6145833333</v>
      </c>
      <c r="K1048" s="310">
        <f t="shared" si="4"/>
        <v>46121</v>
      </c>
      <c r="L1048" s="317">
        <f t="array" ref="L1048">(XLOOKUP(D1048,Roster!F:F,Roster!D:D,"",0))</f>
        <v>8</v>
      </c>
      <c r="M1048" s="317" t="str">
        <f t="array" ref="M1048">XLOOKUP(D1048,Roster!F:F,Roster!E:E)</f>
        <v>Tickets</v>
      </c>
      <c r="N1048" s="317" t="str">
        <f t="shared" ref="N1048:P1048" si="1065">LEFT(H1048,5)</f>
        <v>09:30</v>
      </c>
      <c r="O1048" s="317" t="str">
        <f t="shared" si="1065"/>
        <v>12:30</v>
      </c>
      <c r="P1048" s="317" t="str">
        <f t="shared" si="1065"/>
        <v>14:45</v>
      </c>
      <c r="Q1048" s="318">
        <f t="shared" si="948"/>
        <v>46121.39583</v>
      </c>
      <c r="R1048" s="318">
        <f t="shared" si="949"/>
        <v>46121.52083</v>
      </c>
      <c r="S1048" s="318">
        <f t="shared" si="8"/>
        <v>46121.61458</v>
      </c>
    </row>
    <row r="1049">
      <c r="A1049" s="14" t="str">
        <f t="shared" si="1"/>
        <v>C156846121</v>
      </c>
      <c r="B1049" s="185">
        <f t="array" ref="B1049">IF(F1049="VL","",IF(F1049="Free","Free",XLOOKUP(D1049,Roster!T:T,Roster!S:S,"",0)))</f>
        <v>122</v>
      </c>
      <c r="C1049" s="313">
        <v>46121.0</v>
      </c>
      <c r="D1049" s="314" t="s">
        <v>49</v>
      </c>
      <c r="E1049" s="307" t="str">
        <f t="array" ref="E1049">(XLOOKUP(D1049,Roster!F:F,Roster!B:B,"",0))</f>
        <v>Juan Zapata</v>
      </c>
      <c r="F1049" s="315" t="str">
        <f t="array" ref="F1049">IF(B1049=100,"Free",TEXT(XLOOKUP($D1049,OperationVoice!$A:$A,OperationVoice!O:O,XLOOKUP($D1049,OperationTickets!$A:$A,OperationTickets!O:O,"",0)),"hh:mm"))</f>
        <v>08:00</v>
      </c>
      <c r="G1049" s="309">
        <f t="shared" si="3"/>
        <v>0.7083333333</v>
      </c>
      <c r="H1049" s="316" t="str">
        <f t="array" ref="H1049">XLOOKUP(B1049,Roster!L:L,Roster!N:N,XLOOKUP(D1049,TicketsBreak!A:A,TicketsBreak!E:E,"",0),0)</f>
        <v>09:30 - 09:45</v>
      </c>
      <c r="I1049" s="316" t="str">
        <f t="array" ref="I1049">XLOOKUP(B1049,Roster!L:L,Roster!O:O,XLOOKUP(D1049,TicketsBreak!A:A,TicketsBreak!F:F,"",0),0)</f>
        <v>12:00 - 12:30</v>
      </c>
      <c r="J1049" s="316" t="str">
        <f t="array" ref="J1049">XLOOKUP(B1049,Roster!L:L,Roster!P:P,XLOOKUP(D1049,TicketsBreak!A:A,TicketsBreak!G:G,"",0),0)</f>
        <v>14:45 - 15:00</v>
      </c>
      <c r="K1049" s="310">
        <f t="shared" si="4"/>
        <v>46121</v>
      </c>
      <c r="L1049" s="317">
        <f t="array" ref="L1049">(XLOOKUP(D1049,Roster!F:F,Roster!D:D,"",0))</f>
        <v>38</v>
      </c>
      <c r="M1049" s="317" t="str">
        <f t="array" ref="M1049">XLOOKUP(D1049,Roster!F:F,Roster!E:E)</f>
        <v>Voice</v>
      </c>
      <c r="N1049" s="317" t="str">
        <f t="shared" ref="N1049:P1049" si="1066">LEFT(H1049,5)</f>
        <v>09:30</v>
      </c>
      <c r="O1049" s="317" t="str">
        <f t="shared" si="1066"/>
        <v>12:00</v>
      </c>
      <c r="P1049" s="317" t="str">
        <f t="shared" si="1066"/>
        <v>14:45</v>
      </c>
      <c r="Q1049" s="318">
        <f t="shared" si="948"/>
        <v>46121.39583</v>
      </c>
      <c r="R1049" s="318">
        <f t="shared" si="949"/>
        <v>46121.5</v>
      </c>
      <c r="S1049" s="318">
        <f t="shared" si="8"/>
        <v>46121.61458</v>
      </c>
    </row>
    <row r="1050">
      <c r="A1050" s="14" t="str">
        <f t="shared" si="1"/>
        <v>C75546121</v>
      </c>
      <c r="B1050" s="185" t="str">
        <f t="array" ref="B1050">IF(F1050="VL","",IF(F1050="Free","Free",XLOOKUP(D1050,Roster!T:T,Roster!S:S,"",0)))</f>
        <v/>
      </c>
      <c r="C1050" s="313">
        <v>46121.0</v>
      </c>
      <c r="D1050" s="314" t="s">
        <v>143</v>
      </c>
      <c r="E1050" s="307" t="str">
        <f t="array" ref="E1050">(XLOOKUP(D1050,Roster!F:F,Roster!B:B,"",0))</f>
        <v>Julian Higuita</v>
      </c>
      <c r="F1050" s="315" t="str">
        <f t="array" ref="F1050">IF(B1050=100,"Free",TEXT(XLOOKUP($D1050,OperationVoice!$A:$A,OperationVoice!O:O,XLOOKUP($D1050,OperationTickets!$A:$A,OperationTickets!O:O,"",0)),"hh:mm"))</f>
        <v>10:00</v>
      </c>
      <c r="G1050" s="309">
        <f t="shared" si="3"/>
        <v>0.7916666667</v>
      </c>
      <c r="H1050" s="316" t="str">
        <f t="array" ref="H1050">XLOOKUP(B1050,Roster!L:L,Roster!N:N,XLOOKUP(D1050,TicketsBreak!A:A,TicketsBreak!E:E,"",0),0)</f>
        <v/>
      </c>
      <c r="I1050" s="316" t="str">
        <f t="array" ref="I1050">XLOOKUP(B1050,Roster!L:L,Roster!O:O,XLOOKUP(D1050,TicketsBreak!A:A,TicketsBreak!F:F,"",0),0)</f>
        <v/>
      </c>
      <c r="J1050" s="316" t="str">
        <f t="array" ref="J1050">XLOOKUP(B1050,Roster!L:L,Roster!P:P,XLOOKUP(D1050,TicketsBreak!A:A,TicketsBreak!G:G,"",0),0)</f>
        <v/>
      </c>
      <c r="K1050" s="310">
        <f t="shared" si="4"/>
        <v>46121</v>
      </c>
      <c r="L1050" s="317">
        <f t="array" ref="L1050">(XLOOKUP(D1050,Roster!F:F,Roster!D:D,"",0))</f>
        <v>35</v>
      </c>
      <c r="M1050" s="317" t="str">
        <f t="array" ref="M1050">XLOOKUP(D1050,Roster!F:F,Roster!E:E)</f>
        <v>Tickets</v>
      </c>
      <c r="N1050" s="317" t="str">
        <f t="shared" ref="N1050:P1050" si="1067">LEFT(H1050,5)</f>
        <v/>
      </c>
      <c r="O1050" s="317" t="str">
        <f t="shared" si="1067"/>
        <v/>
      </c>
      <c r="P1050" s="317" t="str">
        <f t="shared" si="1067"/>
        <v/>
      </c>
      <c r="Q1050" s="318" t="str">
        <f t="shared" si="948"/>
        <v/>
      </c>
      <c r="R1050" s="318" t="str">
        <f t="shared" si="949"/>
        <v/>
      </c>
      <c r="S1050" s="318" t="str">
        <f t="shared" si="8"/>
        <v/>
      </c>
    </row>
    <row r="1051">
      <c r="A1051" s="14" t="str">
        <f t="shared" si="1"/>
        <v>C52546121</v>
      </c>
      <c r="B1051" s="185" t="str">
        <f t="array" ref="B1051">IF(F1051="VL","",IF(F1051="Free","Free",XLOOKUP(D1051,Roster!T:T,Roster!S:S,"",0)))</f>
        <v/>
      </c>
      <c r="C1051" s="313">
        <v>46121.0</v>
      </c>
      <c r="D1051" s="314" t="s">
        <v>176</v>
      </c>
      <c r="E1051" s="307" t="str">
        <f t="array" ref="E1051">(XLOOKUP(D1051,Roster!F:F,Roster!B:B,"",0))</f>
        <v>Julian Pineda</v>
      </c>
      <c r="F1051" s="315" t="str">
        <f t="array" ref="F1051">IF(B1051=100,"Free",TEXT(XLOOKUP($D1051,OperationVoice!$A:$A,OperationVoice!O:O,XLOOKUP($D1051,OperationTickets!$A:$A,OperationTickets!O:O,"",0)),"hh:mm"))</f>
        <v>08:00</v>
      </c>
      <c r="G1051" s="309">
        <f t="shared" si="3"/>
        <v>0.7083333333</v>
      </c>
      <c r="H1051" s="316" t="str">
        <f t="array" ref="H1051">XLOOKUP(B1051,Roster!L:L,Roster!N:N,XLOOKUP(D1051,TicketsBreak!A:A,TicketsBreak!E:E,"",0),0)</f>
        <v/>
      </c>
      <c r="I1051" s="316" t="str">
        <f t="array" ref="I1051">XLOOKUP(B1051,Roster!L:L,Roster!O:O,XLOOKUP(D1051,TicketsBreak!A:A,TicketsBreak!F:F,"",0),0)</f>
        <v/>
      </c>
      <c r="J1051" s="316" t="str">
        <f t="array" ref="J1051">XLOOKUP(B1051,Roster!L:L,Roster!P:P,XLOOKUP(D1051,TicketsBreak!A:A,TicketsBreak!G:G,"",0),0)</f>
        <v/>
      </c>
      <c r="K1051" s="310">
        <f t="shared" si="4"/>
        <v>46121</v>
      </c>
      <c r="L1051" s="317">
        <f t="array" ref="L1051">(XLOOKUP(D1051,Roster!F:F,Roster!D:D,"",0))</f>
        <v>35</v>
      </c>
      <c r="M1051" s="317" t="str">
        <f t="array" ref="M1051">XLOOKUP(D1051,Roster!F:F,Roster!E:E)</f>
        <v>Tickets</v>
      </c>
      <c r="N1051" s="317" t="str">
        <f t="shared" ref="N1051:P1051" si="1068">LEFT(H1051,5)</f>
        <v/>
      </c>
      <c r="O1051" s="317" t="str">
        <f t="shared" si="1068"/>
        <v/>
      </c>
      <c r="P1051" s="317" t="str">
        <f t="shared" si="1068"/>
        <v/>
      </c>
      <c r="Q1051" s="318" t="str">
        <f t="shared" si="948"/>
        <v/>
      </c>
      <c r="R1051" s="318" t="str">
        <f t="shared" si="949"/>
        <v/>
      </c>
      <c r="S1051" s="318" t="str">
        <f t="shared" si="8"/>
        <v/>
      </c>
    </row>
    <row r="1052">
      <c r="A1052" s="14" t="str">
        <f t="shared" si="1"/>
        <v>C142746121</v>
      </c>
      <c r="B1052" s="185">
        <f t="array" ref="B1052">IF(F1052="VL","",IF(F1052="Free","Free",XLOOKUP(D1052,Roster!T:T,Roster!S:S,"",0)))</f>
        <v>123</v>
      </c>
      <c r="C1052" s="313">
        <v>46121.0</v>
      </c>
      <c r="D1052" s="314" t="s">
        <v>50</v>
      </c>
      <c r="E1052" s="307" t="str">
        <f t="array" ref="E1052">(XLOOKUP(D1052,Roster!F:F,Roster!B:B,"",0))</f>
        <v>Karen Lorena Martinez</v>
      </c>
      <c r="F1052" s="315" t="str">
        <f t="array" ref="F1052">IF(B1052=100,"Free",TEXT(XLOOKUP($D1052,OperationVoice!$A:$A,OperationVoice!O:O,XLOOKUP($D1052,OperationTickets!$A:$A,OperationTickets!O:O,"",0)),"hh:mm"))</f>
        <v>08:00</v>
      </c>
      <c r="G1052" s="309">
        <f t="shared" si="3"/>
        <v>0.7083333333</v>
      </c>
      <c r="H1052" s="316" t="str">
        <f t="array" ref="H1052">XLOOKUP(B1052,Roster!L:L,Roster!N:N,XLOOKUP(D1052,TicketsBreak!A:A,TicketsBreak!E:E,"",0),0)</f>
        <v>09:45 - 10:00 </v>
      </c>
      <c r="I1052" s="316" t="str">
        <f t="array" ref="I1052">XLOOKUP(B1052,Roster!L:L,Roster!O:O,XLOOKUP(D1052,TicketsBreak!A:A,TicketsBreak!F:F,"",0),0)</f>
        <v>12:30 - 13:00</v>
      </c>
      <c r="J1052" s="316" t="str">
        <f t="array" ref="J1052">XLOOKUP(B1052,Roster!L:L,Roster!P:P,XLOOKUP(D1052,TicketsBreak!A:A,TicketsBreak!G:G,"",0),0)</f>
        <v>15:00 - 15:15</v>
      </c>
      <c r="K1052" s="310">
        <f t="shared" si="4"/>
        <v>46121</v>
      </c>
      <c r="L1052" s="317">
        <f t="array" ref="L1052">(XLOOKUP(D1052,Roster!F:F,Roster!D:D,"",0))</f>
        <v>32</v>
      </c>
      <c r="M1052" s="317" t="str">
        <f t="array" ref="M1052">XLOOKUP(D1052,Roster!F:F,Roster!E:E)</f>
        <v>Voice</v>
      </c>
      <c r="N1052" s="317" t="str">
        <f t="shared" ref="N1052:P1052" si="1069">LEFT(H1052,5)</f>
        <v>09:45</v>
      </c>
      <c r="O1052" s="317" t="str">
        <f t="shared" si="1069"/>
        <v>12:30</v>
      </c>
      <c r="P1052" s="317" t="str">
        <f t="shared" si="1069"/>
        <v>15:00</v>
      </c>
      <c r="Q1052" s="318">
        <f t="shared" si="948"/>
        <v>46121.40625</v>
      </c>
      <c r="R1052" s="318">
        <f t="shared" si="949"/>
        <v>46121.52083</v>
      </c>
      <c r="S1052" s="318">
        <f t="shared" si="8"/>
        <v>46121.625</v>
      </c>
    </row>
    <row r="1053">
      <c r="A1053" s="14" t="str">
        <f t="shared" si="1"/>
        <v>C57946121</v>
      </c>
      <c r="B1053" s="185" t="str">
        <f t="array" ref="B1053">IF(F1053="VL","",IF(F1053="Free","Free",XLOOKUP(D1053,Roster!T:T,Roster!S:S,"",0)))</f>
        <v>Free</v>
      </c>
      <c r="C1053" s="313">
        <v>46121.0</v>
      </c>
      <c r="D1053" s="314" t="s">
        <v>144</v>
      </c>
      <c r="E1053" s="307" t="str">
        <f t="array" ref="E1053">(XLOOKUP(D1053,Roster!F:F,Roster!B:B,"",0))</f>
        <v>Karen Martinez</v>
      </c>
      <c r="F1053" s="315" t="str">
        <f t="array" ref="F1053">IF(B1053=100,"Free",TEXT(XLOOKUP($D1053,OperationVoice!$A:$A,OperationVoice!O:O,XLOOKUP($D1053,OperationTickets!$A:$A,OperationTickets!O:O,"",0)),"hh:mm"))</f>
        <v>Free</v>
      </c>
      <c r="G1053" s="309" t="str">
        <f t="shared" si="3"/>
        <v>Free</v>
      </c>
      <c r="H1053" s="316">
        <f t="array" ref="H1053">XLOOKUP(B1053,Roster!L:L,Roster!N:N,XLOOKUP(D1053,TicketsBreak!A:A,TicketsBreak!E:E,"",0),0)</f>
        <v>0.4166666667</v>
      </c>
      <c r="I1053" s="316">
        <f t="array" ref="I1053">XLOOKUP(B1053,Roster!L:L,Roster!O:O,XLOOKUP(D1053,TicketsBreak!A:A,TicketsBreak!F:F,"",0),0)</f>
        <v>0.5</v>
      </c>
      <c r="J1053" s="316">
        <f t="array" ref="J1053">XLOOKUP(B1053,Roster!L:L,Roster!P:P,XLOOKUP(D1053,TicketsBreak!A:A,TicketsBreak!G:G,"",0),0)</f>
        <v>0.625</v>
      </c>
      <c r="K1053" s="310">
        <f t="shared" si="4"/>
        <v>46121</v>
      </c>
      <c r="L1053" s="317">
        <f t="array" ref="L1053">(XLOOKUP(D1053,Roster!F:F,Roster!D:D,"",0))</f>
        <v>4</v>
      </c>
      <c r="M1053" s="317" t="str">
        <f t="array" ref="M1053">XLOOKUP(D1053,Roster!F:F,Roster!E:E)</f>
        <v>Tickets</v>
      </c>
      <c r="N1053" s="317" t="str">
        <f t="shared" ref="N1053:P1053" si="1070">LEFT(H1053,5)</f>
        <v>10:00</v>
      </c>
      <c r="O1053" s="317" t="str">
        <f t="shared" si="1070"/>
        <v>12:00</v>
      </c>
      <c r="P1053" s="317" t="str">
        <f t="shared" si="1070"/>
        <v>15:00</v>
      </c>
      <c r="Q1053" s="318">
        <f t="shared" si="948"/>
        <v>46121.41667</v>
      </c>
      <c r="R1053" s="318">
        <f t="shared" si="949"/>
        <v>46121.5</v>
      </c>
      <c r="S1053" s="318">
        <f t="shared" si="8"/>
        <v>46121.625</v>
      </c>
    </row>
    <row r="1054">
      <c r="A1054" s="14" t="str">
        <f t="shared" si="1"/>
        <v>C108646121</v>
      </c>
      <c r="B1054" s="185">
        <f t="array" ref="B1054">IF(F1054="VL","",IF(F1054="Free","Free",XLOOKUP(D1054,Roster!T:T,Roster!S:S,"",0)))</f>
        <v>124</v>
      </c>
      <c r="C1054" s="313">
        <v>46121.0</v>
      </c>
      <c r="D1054" s="314" t="s">
        <v>51</v>
      </c>
      <c r="E1054" s="307" t="str">
        <f t="array" ref="E1054">(XLOOKUP(D1054,Roster!F:F,Roster!B:B,"",0))</f>
        <v>Karen Panqueva</v>
      </c>
      <c r="F1054" s="315" t="str">
        <f t="array" ref="F1054">IF(B1054=100,"Free",TEXT(XLOOKUP($D1054,OperationVoice!$A:$A,OperationVoice!O:O,XLOOKUP($D1054,OperationTickets!$A:$A,OperationTickets!O:O,"",0)),"hh:mm"))</f>
        <v>08:00</v>
      </c>
      <c r="G1054" s="309">
        <f t="shared" si="3"/>
        <v>0.7083333333</v>
      </c>
      <c r="H1054" s="316" t="str">
        <f t="array" ref="H1054">XLOOKUP(B1054,Roster!L:L,Roster!N:N,XLOOKUP(D1054,TicketsBreak!A:A,TicketsBreak!E:E,"",0),0)</f>
        <v>10:00 - 10:15</v>
      </c>
      <c r="I1054" s="316" t="str">
        <f t="array" ref="I1054">XLOOKUP(B1054,Roster!L:L,Roster!O:O,XLOOKUP(D1054,TicketsBreak!A:A,TicketsBreak!F:F,"",0),0)</f>
        <v>13:00 - 13:30</v>
      </c>
      <c r="J1054" s="316" t="str">
        <f t="array" ref="J1054">XLOOKUP(B1054,Roster!L:L,Roster!P:P,XLOOKUP(D1054,TicketsBreak!A:A,TicketsBreak!G:G,"",0),0)</f>
        <v>15:30 - 15:45</v>
      </c>
      <c r="K1054" s="310">
        <f t="shared" si="4"/>
        <v>46121</v>
      </c>
      <c r="L1054" s="317">
        <f t="array" ref="L1054">(XLOOKUP(D1054,Roster!F:F,Roster!D:D,"",0))</f>
        <v>19</v>
      </c>
      <c r="M1054" s="317" t="str">
        <f t="array" ref="M1054">XLOOKUP(D1054,Roster!F:F,Roster!E:E)</f>
        <v>Voice</v>
      </c>
      <c r="N1054" s="317" t="str">
        <f t="shared" ref="N1054:P1054" si="1071">LEFT(H1054,5)</f>
        <v>10:00</v>
      </c>
      <c r="O1054" s="317" t="str">
        <f t="shared" si="1071"/>
        <v>13:00</v>
      </c>
      <c r="P1054" s="317" t="str">
        <f t="shared" si="1071"/>
        <v>15:30</v>
      </c>
      <c r="Q1054" s="318">
        <f t="shared" si="948"/>
        <v>46121.41667</v>
      </c>
      <c r="R1054" s="318">
        <f t="shared" si="949"/>
        <v>46121.54167</v>
      </c>
      <c r="S1054" s="318">
        <f t="shared" si="8"/>
        <v>46121.64583</v>
      </c>
    </row>
    <row r="1055">
      <c r="A1055" s="14" t="str">
        <f t="shared" si="1"/>
        <v>C149246121</v>
      </c>
      <c r="B1055" s="185">
        <f t="array" ref="B1055">IF(F1055="VL","",IF(F1055="Free","Free",XLOOKUP(D1055,Roster!T:T,Roster!S:S,"",0)))</f>
        <v>125</v>
      </c>
      <c r="C1055" s="313">
        <v>46121.0</v>
      </c>
      <c r="D1055" s="314" t="s">
        <v>52</v>
      </c>
      <c r="E1055" s="307" t="str">
        <f t="array" ref="E1055">(XLOOKUP(D1055,Roster!F:F,Roster!B:B,"",0))</f>
        <v>Karol Pineda</v>
      </c>
      <c r="F1055" s="315" t="str">
        <f t="array" ref="F1055">IF(B1055=100,"Free",TEXT(XLOOKUP($D1055,OperationVoice!$A:$A,OperationVoice!O:O,XLOOKUP($D1055,OperationTickets!$A:$A,OperationTickets!O:O,"",0)),"hh:mm"))</f>
        <v>08:00</v>
      </c>
      <c r="G1055" s="309">
        <f t="shared" si="3"/>
        <v>0.7083333333</v>
      </c>
      <c r="H1055" s="316" t="str">
        <f t="array" ref="H1055">XLOOKUP(B1055,Roster!L:L,Roster!N:N,XLOOKUP(D1055,TicketsBreak!A:A,TicketsBreak!E:E,"",0),0)</f>
        <v>10:30 - 10:45</v>
      </c>
      <c r="I1055" s="316" t="str">
        <f t="array" ref="I1055">XLOOKUP(B1055,Roster!L:L,Roster!O:O,XLOOKUP(D1055,TicketsBreak!A:A,TicketsBreak!F:F,"",0),0)</f>
        <v>13:30 - 14:00</v>
      </c>
      <c r="J1055" s="316" t="str">
        <f t="array" ref="J1055">XLOOKUP(B1055,Roster!L:L,Roster!P:P,XLOOKUP(D1055,TicketsBreak!A:A,TicketsBreak!G:G,"",0),0)</f>
        <v>15:45 - 16:00</v>
      </c>
      <c r="K1055" s="310">
        <f t="shared" si="4"/>
        <v>46121</v>
      </c>
      <c r="L1055" s="317">
        <f t="array" ref="L1055">(XLOOKUP(D1055,Roster!F:F,Roster!D:D,"",0))</f>
        <v>34</v>
      </c>
      <c r="M1055" s="317" t="str">
        <f t="array" ref="M1055">XLOOKUP(D1055,Roster!F:F,Roster!E:E)</f>
        <v>Voice</v>
      </c>
      <c r="N1055" s="317" t="str">
        <f t="shared" ref="N1055:P1055" si="1072">LEFT(H1055,5)</f>
        <v>10:30</v>
      </c>
      <c r="O1055" s="317" t="str">
        <f t="shared" si="1072"/>
        <v>13:30</v>
      </c>
      <c r="P1055" s="317" t="str">
        <f t="shared" si="1072"/>
        <v>15:45</v>
      </c>
      <c r="Q1055" s="318">
        <f t="shared" si="948"/>
        <v>46121.4375</v>
      </c>
      <c r="R1055" s="318">
        <f t="shared" si="949"/>
        <v>46121.5625</v>
      </c>
      <c r="S1055" s="318">
        <f t="shared" si="8"/>
        <v>46121.65625</v>
      </c>
    </row>
    <row r="1056">
      <c r="A1056" s="14" t="str">
        <f t="shared" si="1"/>
        <v>C65846121</v>
      </c>
      <c r="B1056" s="185">
        <f t="array" ref="B1056">IF(F1056="VL","",IF(F1056="Free","Free",XLOOKUP(D1056,Roster!T:T,Roster!S:S,"",0)))</f>
        <v>112</v>
      </c>
      <c r="C1056" s="313">
        <v>46121.0</v>
      </c>
      <c r="D1056" s="314" t="s">
        <v>53</v>
      </c>
      <c r="E1056" s="307" t="str">
        <f t="array" ref="E1056">(XLOOKUP(D1056,Roster!F:F,Roster!B:B,"",0))</f>
        <v>Kennedy Giraldo</v>
      </c>
      <c r="F1056" s="315" t="str">
        <f t="array" ref="F1056">IF(B1056=100,"Free",TEXT(XLOOKUP($D1056,OperationVoice!$A:$A,OperationVoice!O:O,XLOOKUP($D1056,OperationTickets!$A:$A,OperationTickets!O:O,"",0)),"hh:mm"))</f>
        <v>07:00</v>
      </c>
      <c r="G1056" s="309">
        <f t="shared" si="3"/>
        <v>0.6666666667</v>
      </c>
      <c r="H1056" s="316" t="str">
        <f t="array" ref="H1056">XLOOKUP(B1056,Roster!L:L,Roster!N:N,XLOOKUP(D1056,TicketsBreak!A:A,TicketsBreak!E:E,"",0),0)</f>
        <v>09:30 - 09:45</v>
      </c>
      <c r="I1056" s="316" t="str">
        <f t="array" ref="I1056">XLOOKUP(B1056,Roster!L:L,Roster!O:O,XLOOKUP(D1056,TicketsBreak!A:A,TicketsBreak!F:F,"",0),0)</f>
        <v>12:15 - 12:45</v>
      </c>
      <c r="J1056" s="316" t="str">
        <f t="array" ref="J1056">XLOOKUP(B1056,Roster!L:L,Roster!P:P,XLOOKUP(D1056,TicketsBreak!A:A,TicketsBreak!G:G,"",0),0)</f>
        <v>14:45 - 15:00</v>
      </c>
      <c r="K1056" s="310">
        <f t="shared" si="4"/>
        <v>46121</v>
      </c>
      <c r="L1056" s="317">
        <f t="array" ref="L1056">(XLOOKUP(D1056,Roster!F:F,Roster!D:D,"",0))</f>
        <v>2</v>
      </c>
      <c r="M1056" s="317" t="str">
        <f t="array" ref="M1056">XLOOKUP(D1056,Roster!F:F,Roster!E:E)</f>
        <v>Voice</v>
      </c>
      <c r="N1056" s="317" t="str">
        <f t="shared" ref="N1056:P1056" si="1073">LEFT(H1056,5)</f>
        <v>09:30</v>
      </c>
      <c r="O1056" s="317" t="str">
        <f t="shared" si="1073"/>
        <v>12:15</v>
      </c>
      <c r="P1056" s="317" t="str">
        <f t="shared" si="1073"/>
        <v>14:45</v>
      </c>
      <c r="Q1056" s="318">
        <f t="shared" si="948"/>
        <v>46121.39583</v>
      </c>
      <c r="R1056" s="318">
        <f t="shared" si="949"/>
        <v>46121.51042</v>
      </c>
      <c r="S1056" s="318">
        <f t="shared" si="8"/>
        <v>46121.61458</v>
      </c>
    </row>
    <row r="1057">
      <c r="A1057" s="14" t="str">
        <f t="shared" si="1"/>
        <v>C151446121</v>
      </c>
      <c r="B1057" s="185">
        <f t="array" ref="B1057">IF(F1057="VL","",IF(F1057="Free","Free",XLOOKUP(D1057,Roster!T:T,Roster!S:S,"",0)))</f>
        <v>122</v>
      </c>
      <c r="C1057" s="313">
        <v>46121.0</v>
      </c>
      <c r="D1057" s="314" t="s">
        <v>54</v>
      </c>
      <c r="E1057" s="307" t="str">
        <f t="array" ref="E1057">(XLOOKUP(D1057,Roster!F:F,Roster!B:B,"",0))</f>
        <v>Kevin Betancur</v>
      </c>
      <c r="F1057" s="315" t="str">
        <f t="array" ref="F1057">IF(B1057=100,"Free",TEXT(XLOOKUP($D1057,OperationVoice!$A:$A,OperationVoice!O:O,XLOOKUP($D1057,OperationTickets!$A:$A,OperationTickets!O:O,"",0)),"hh:mm"))</f>
        <v>08:00</v>
      </c>
      <c r="G1057" s="309">
        <f t="shared" si="3"/>
        <v>0.7083333333</v>
      </c>
      <c r="H1057" s="316" t="str">
        <f t="array" ref="H1057">XLOOKUP(B1057,Roster!L:L,Roster!N:N,XLOOKUP(D1057,TicketsBreak!A:A,TicketsBreak!E:E,"",0),0)</f>
        <v>09:30 - 09:45</v>
      </c>
      <c r="I1057" s="316" t="str">
        <f t="array" ref="I1057">XLOOKUP(B1057,Roster!L:L,Roster!O:O,XLOOKUP(D1057,TicketsBreak!A:A,TicketsBreak!F:F,"",0),0)</f>
        <v>12:00 - 12:30</v>
      </c>
      <c r="J1057" s="316" t="str">
        <f t="array" ref="J1057">XLOOKUP(B1057,Roster!L:L,Roster!P:P,XLOOKUP(D1057,TicketsBreak!A:A,TicketsBreak!G:G,"",0),0)</f>
        <v>14:45 - 15:00</v>
      </c>
      <c r="K1057" s="310">
        <f t="shared" si="4"/>
        <v>46121</v>
      </c>
      <c r="L1057" s="317">
        <f t="array" ref="L1057">(XLOOKUP(D1057,Roster!F:F,Roster!D:D,"",0))</f>
        <v>35</v>
      </c>
      <c r="M1057" s="317" t="str">
        <f t="array" ref="M1057">XLOOKUP(D1057,Roster!F:F,Roster!E:E)</f>
        <v>Voice</v>
      </c>
      <c r="N1057" s="317" t="str">
        <f t="shared" ref="N1057:P1057" si="1074">LEFT(H1057,5)</f>
        <v>09:30</v>
      </c>
      <c r="O1057" s="317" t="str">
        <f t="shared" si="1074"/>
        <v>12:00</v>
      </c>
      <c r="P1057" s="317" t="str">
        <f t="shared" si="1074"/>
        <v>14:45</v>
      </c>
      <c r="Q1057" s="318">
        <f t="shared" si="948"/>
        <v>46121.39583</v>
      </c>
      <c r="R1057" s="318">
        <f t="shared" si="949"/>
        <v>46121.5</v>
      </c>
      <c r="S1057" s="318">
        <f t="shared" si="8"/>
        <v>46121.61458</v>
      </c>
    </row>
    <row r="1058">
      <c r="A1058" s="14" t="str">
        <f t="shared" si="1"/>
        <v>C157146121</v>
      </c>
      <c r="B1058" s="185">
        <f t="array" ref="B1058">IF(F1058="VL","",IF(F1058="Free","Free",XLOOKUP(D1058,Roster!T:T,Roster!S:S,"",0)))</f>
        <v>123</v>
      </c>
      <c r="C1058" s="313">
        <v>46121.0</v>
      </c>
      <c r="D1058" s="314" t="s">
        <v>55</v>
      </c>
      <c r="E1058" s="307" t="str">
        <f t="array" ref="E1058">(XLOOKUP(D1058,Roster!F:F,Roster!B:B,"",0))</f>
        <v>Laura Chamorro</v>
      </c>
      <c r="F1058" s="315" t="str">
        <f t="array" ref="F1058">IF(B1058=100,"Free",TEXT(XLOOKUP($D1058,OperationVoice!$A:$A,OperationVoice!O:O,XLOOKUP($D1058,OperationTickets!$A:$A,OperationTickets!O:O,"",0)),"hh:mm"))</f>
        <v>08:00</v>
      </c>
      <c r="G1058" s="309">
        <f t="shared" si="3"/>
        <v>0.7083333333</v>
      </c>
      <c r="H1058" s="316" t="str">
        <f t="array" ref="H1058">XLOOKUP(B1058,Roster!L:L,Roster!N:N,XLOOKUP(D1058,TicketsBreak!A:A,TicketsBreak!E:E,"",0),0)</f>
        <v>09:45 - 10:00 </v>
      </c>
      <c r="I1058" s="316" t="str">
        <f t="array" ref="I1058">XLOOKUP(B1058,Roster!L:L,Roster!O:O,XLOOKUP(D1058,TicketsBreak!A:A,TicketsBreak!F:F,"",0),0)</f>
        <v>12:30 - 13:00</v>
      </c>
      <c r="J1058" s="316" t="str">
        <f t="array" ref="J1058">XLOOKUP(B1058,Roster!L:L,Roster!P:P,XLOOKUP(D1058,TicketsBreak!A:A,TicketsBreak!G:G,"",0),0)</f>
        <v>15:00 - 15:15</v>
      </c>
      <c r="K1058" s="310">
        <f t="shared" si="4"/>
        <v>46121</v>
      </c>
      <c r="L1058" s="317">
        <f t="array" ref="L1058">(XLOOKUP(D1058,Roster!F:F,Roster!D:D,"",0))</f>
        <v>38</v>
      </c>
      <c r="M1058" s="317" t="str">
        <f t="array" ref="M1058">XLOOKUP(D1058,Roster!F:F,Roster!E:E)</f>
        <v>Voice</v>
      </c>
      <c r="N1058" s="317" t="str">
        <f t="shared" ref="N1058:P1058" si="1075">LEFT(H1058,5)</f>
        <v>09:45</v>
      </c>
      <c r="O1058" s="317" t="str">
        <f t="shared" si="1075"/>
        <v>12:30</v>
      </c>
      <c r="P1058" s="317" t="str">
        <f t="shared" si="1075"/>
        <v>15:00</v>
      </c>
      <c r="Q1058" s="318">
        <f t="shared" si="948"/>
        <v>46121.40625</v>
      </c>
      <c r="R1058" s="318">
        <f t="shared" si="949"/>
        <v>46121.52083</v>
      </c>
      <c r="S1058" s="318">
        <f t="shared" si="8"/>
        <v>46121.625</v>
      </c>
    </row>
    <row r="1059">
      <c r="A1059" s="14" t="str">
        <f t="shared" si="1"/>
        <v>C53446121</v>
      </c>
      <c r="B1059" s="185" t="str">
        <f t="array" ref="B1059">IF(F1059="VL","",IF(F1059="Free","Free",XLOOKUP(D1059,Roster!T:T,Roster!S:S,"",0)))</f>
        <v/>
      </c>
      <c r="C1059" s="313">
        <v>46121.0</v>
      </c>
      <c r="D1059" s="314" t="s">
        <v>177</v>
      </c>
      <c r="E1059" s="307" t="str">
        <f t="array" ref="E1059">(XLOOKUP(D1059,Roster!F:F,Roster!B:B,"",0))</f>
        <v>Leandry La Rosa</v>
      </c>
      <c r="F1059" s="315" t="str">
        <f t="array" ref="F1059">IF(B1059=100,"Free",TEXT(XLOOKUP($D1059,OperationVoice!$A:$A,OperationVoice!O:O,XLOOKUP($D1059,OperationTickets!$A:$A,OperationTickets!O:O,"",0)),"hh:mm"))</f>
        <v>08:00</v>
      </c>
      <c r="G1059" s="309">
        <f t="shared" si="3"/>
        <v>0.7083333333</v>
      </c>
      <c r="H1059" s="316">
        <f t="array" ref="H1059">XLOOKUP(B1059,Roster!L:L,Roster!N:N,XLOOKUP(D1059,TicketsBreak!A:A,TicketsBreak!E:E,"",0),0)</f>
        <v>0.40625</v>
      </c>
      <c r="I1059" s="316">
        <f t="array" ref="I1059">XLOOKUP(B1059,Roster!L:L,Roster!O:O,XLOOKUP(D1059,TicketsBreak!A:A,TicketsBreak!F:F,"",0),0)</f>
        <v>0.5416666667</v>
      </c>
      <c r="J1059" s="316">
        <f t="array" ref="J1059">XLOOKUP(B1059,Roster!L:L,Roster!P:P,XLOOKUP(D1059,TicketsBreak!A:A,TicketsBreak!G:G,"",0),0)</f>
        <v>0.65625</v>
      </c>
      <c r="K1059" s="310">
        <f t="shared" si="4"/>
        <v>46121</v>
      </c>
      <c r="L1059" s="317">
        <f t="array" ref="L1059">(XLOOKUP(D1059,Roster!F:F,Roster!D:D,"",0))</f>
        <v>1</v>
      </c>
      <c r="M1059" s="317" t="str">
        <f t="array" ref="M1059">XLOOKUP(D1059,Roster!F:F,Roster!E:E)</f>
        <v>Tickets</v>
      </c>
      <c r="N1059" s="317" t="str">
        <f t="shared" ref="N1059:P1059" si="1076">LEFT(H1059,5)</f>
        <v>09:45</v>
      </c>
      <c r="O1059" s="317" t="str">
        <f t="shared" si="1076"/>
        <v>13:00</v>
      </c>
      <c r="P1059" s="317" t="str">
        <f t="shared" si="1076"/>
        <v>15:45</v>
      </c>
      <c r="Q1059" s="318">
        <f t="shared" si="948"/>
        <v>46121.40625</v>
      </c>
      <c r="R1059" s="318">
        <f t="shared" si="949"/>
        <v>46121.54167</v>
      </c>
      <c r="S1059" s="318">
        <f t="shared" si="8"/>
        <v>46121.65625</v>
      </c>
    </row>
    <row r="1060">
      <c r="A1060" s="14" t="str">
        <f t="shared" si="1"/>
        <v>C157846121</v>
      </c>
      <c r="B1060" s="185" t="str">
        <f t="array" ref="B1060">IF(F1060="VL","",IF(F1060="Free","Free",XLOOKUP(D1060,Roster!T:T,Roster!S:S,"",0)))</f>
        <v>Free</v>
      </c>
      <c r="C1060" s="313">
        <v>46121.0</v>
      </c>
      <c r="D1060" s="314" t="s">
        <v>56</v>
      </c>
      <c r="E1060" s="307" t="str">
        <f t="array" ref="E1060">(XLOOKUP(D1060,Roster!F:F,Roster!B:B,"",0))</f>
        <v>Leonerrichi Caicedo</v>
      </c>
      <c r="F1060" s="315" t="str">
        <f t="array" ref="F1060">IF(B1060=100,"Free",TEXT(XLOOKUP($D1060,OperationVoice!$A:$A,OperationVoice!O:O,XLOOKUP($D1060,OperationTickets!$A:$A,OperationTickets!O:O,"",0)),"hh:mm"))</f>
        <v>Free</v>
      </c>
      <c r="G1060" s="309" t="str">
        <f t="shared" si="3"/>
        <v>Free</v>
      </c>
      <c r="H1060" s="316" t="str">
        <f t="array" ref="H1060">XLOOKUP(B1060,Roster!L:L,Roster!N:N,XLOOKUP(D1060,TicketsBreak!A:A,TicketsBreak!E:E,"",0),0)</f>
        <v/>
      </c>
      <c r="I1060" s="316" t="str">
        <f t="array" ref="I1060">XLOOKUP(B1060,Roster!L:L,Roster!O:O,XLOOKUP(D1060,TicketsBreak!A:A,TicketsBreak!F:F,"",0),0)</f>
        <v/>
      </c>
      <c r="J1060" s="316" t="str">
        <f t="array" ref="J1060">XLOOKUP(B1060,Roster!L:L,Roster!P:P,XLOOKUP(D1060,TicketsBreak!A:A,TicketsBreak!G:G,"",0),0)</f>
        <v/>
      </c>
      <c r="K1060" s="310">
        <f t="shared" si="4"/>
        <v>46121</v>
      </c>
      <c r="L1060" s="317">
        <f t="array" ref="L1060">(XLOOKUP(D1060,Roster!F:F,Roster!D:D,"",0))</f>
        <v>38</v>
      </c>
      <c r="M1060" s="317" t="str">
        <f t="array" ref="M1060">XLOOKUP(D1060,Roster!F:F,Roster!E:E)</f>
        <v>Voice</v>
      </c>
      <c r="N1060" s="317" t="str">
        <f t="shared" ref="N1060:P1060" si="1077">LEFT(H1060,5)</f>
        <v/>
      </c>
      <c r="O1060" s="317" t="str">
        <f t="shared" si="1077"/>
        <v/>
      </c>
      <c r="P1060" s="317" t="str">
        <f t="shared" si="1077"/>
        <v/>
      </c>
      <c r="Q1060" s="318" t="str">
        <f t="shared" si="948"/>
        <v/>
      </c>
      <c r="R1060" s="318" t="str">
        <f t="shared" si="949"/>
        <v/>
      </c>
      <c r="S1060" s="318" t="str">
        <f t="shared" si="8"/>
        <v/>
      </c>
    </row>
    <row r="1061">
      <c r="A1061" s="14" t="str">
        <f t="shared" si="1"/>
        <v>C53546121</v>
      </c>
      <c r="B1061" s="185" t="str">
        <f t="array" ref="B1061">IF(F1061="VL","",IF(F1061="Free","Free",XLOOKUP(D1061,Roster!T:T,Roster!S:S,"",0)))</f>
        <v/>
      </c>
      <c r="C1061" s="313">
        <v>46121.0</v>
      </c>
      <c r="D1061" s="314" t="s">
        <v>145</v>
      </c>
      <c r="E1061" s="307" t="str">
        <f t="array" ref="E1061">(XLOOKUP(D1061,Roster!F:F,Roster!B:B,"",0))</f>
        <v>Lina Cadena</v>
      </c>
      <c r="F1061" s="315" t="str">
        <f t="array" ref="F1061">IF(B1061=100,"Free",TEXT(XLOOKUP($D1061,OperationVoice!$A:$A,OperationVoice!O:O,XLOOKUP($D1061,OperationTickets!$A:$A,OperationTickets!O:O,"",0)),"hh:mm"))</f>
        <v>08:00</v>
      </c>
      <c r="G1061" s="309">
        <f t="shared" si="3"/>
        <v>0.7083333333</v>
      </c>
      <c r="H1061" s="316">
        <f t="array" ref="H1061">XLOOKUP(B1061,Roster!L:L,Roster!N:N,XLOOKUP(D1061,TicketsBreak!A:A,TicketsBreak!E:E,"",0),0)</f>
        <v>0.3854166667</v>
      </c>
      <c r="I1061" s="316">
        <f t="array" ref="I1061">XLOOKUP(B1061,Roster!L:L,Roster!O:O,XLOOKUP(D1061,TicketsBreak!A:A,TicketsBreak!F:F,"",0),0)</f>
        <v>0.5833333333</v>
      </c>
      <c r="J1061" s="316">
        <f t="array" ref="J1061">XLOOKUP(B1061,Roster!L:L,Roster!P:P,XLOOKUP(D1061,TicketsBreak!A:A,TicketsBreak!G:G,"",0),0)</f>
        <v>0.6458333333</v>
      </c>
      <c r="K1061" s="310">
        <f t="shared" si="4"/>
        <v>46121</v>
      </c>
      <c r="L1061" s="317">
        <f t="array" ref="L1061">(XLOOKUP(D1061,Roster!F:F,Roster!D:D,"",0))</f>
        <v>2</v>
      </c>
      <c r="M1061" s="317" t="str">
        <f t="array" ref="M1061">XLOOKUP(D1061,Roster!F:F,Roster!E:E)</f>
        <v>Tickets</v>
      </c>
      <c r="N1061" s="317" t="str">
        <f t="shared" ref="N1061:P1061" si="1078">LEFT(H1061,5)</f>
        <v>09:15</v>
      </c>
      <c r="O1061" s="317" t="str">
        <f t="shared" si="1078"/>
        <v>14:00</v>
      </c>
      <c r="P1061" s="317" t="str">
        <f t="shared" si="1078"/>
        <v>15:30</v>
      </c>
      <c r="Q1061" s="318">
        <f t="shared" si="948"/>
        <v>46121.38542</v>
      </c>
      <c r="R1061" s="318">
        <f t="shared" si="949"/>
        <v>46121.58333</v>
      </c>
      <c r="S1061" s="318">
        <f t="shared" si="8"/>
        <v>46121.64583</v>
      </c>
    </row>
    <row r="1062">
      <c r="A1062" s="14" t="str">
        <f t="shared" si="1"/>
        <v>C151746121</v>
      </c>
      <c r="B1062" s="185">
        <f t="array" ref="B1062">IF(F1062="VL","",IF(F1062="Free","Free",XLOOKUP(D1062,Roster!T:T,Roster!S:S,"",0)))</f>
        <v>124</v>
      </c>
      <c r="C1062" s="313">
        <v>46121.0</v>
      </c>
      <c r="D1062" s="314" t="s">
        <v>57</v>
      </c>
      <c r="E1062" s="307" t="str">
        <f t="array" ref="E1062">(XLOOKUP(D1062,Roster!F:F,Roster!B:B,"",0))</f>
        <v>Lisandro Alvarado</v>
      </c>
      <c r="F1062" s="315" t="str">
        <f t="array" ref="F1062">IF(B1062=100,"Free",TEXT(XLOOKUP($D1062,OperationVoice!$A:$A,OperationVoice!O:O,XLOOKUP($D1062,OperationTickets!$A:$A,OperationTickets!O:O,"",0)),"hh:mm"))</f>
        <v>08:00</v>
      </c>
      <c r="G1062" s="309">
        <f t="shared" si="3"/>
        <v>0.7083333333</v>
      </c>
      <c r="H1062" s="316" t="str">
        <f t="array" ref="H1062">XLOOKUP(B1062,Roster!L:L,Roster!N:N,XLOOKUP(D1062,TicketsBreak!A:A,TicketsBreak!E:E,"",0),0)</f>
        <v>10:00 - 10:15</v>
      </c>
      <c r="I1062" s="316" t="str">
        <f t="array" ref="I1062">XLOOKUP(B1062,Roster!L:L,Roster!O:O,XLOOKUP(D1062,TicketsBreak!A:A,TicketsBreak!F:F,"",0),0)</f>
        <v>13:00 - 13:30</v>
      </c>
      <c r="J1062" s="316" t="str">
        <f t="array" ref="J1062">XLOOKUP(B1062,Roster!L:L,Roster!P:P,XLOOKUP(D1062,TicketsBreak!A:A,TicketsBreak!G:G,"",0),0)</f>
        <v>15:30 - 15:45</v>
      </c>
      <c r="K1062" s="310">
        <f t="shared" si="4"/>
        <v>46121</v>
      </c>
      <c r="L1062" s="317">
        <f t="array" ref="L1062">(XLOOKUP(D1062,Roster!F:F,Roster!D:D,"",0))</f>
        <v>35</v>
      </c>
      <c r="M1062" s="317" t="str">
        <f t="array" ref="M1062">XLOOKUP(D1062,Roster!F:F,Roster!E:E)</f>
        <v>Voice</v>
      </c>
      <c r="N1062" s="317" t="str">
        <f t="shared" ref="N1062:P1062" si="1079">LEFT(H1062,5)</f>
        <v>10:00</v>
      </c>
      <c r="O1062" s="317" t="str">
        <f t="shared" si="1079"/>
        <v>13:00</v>
      </c>
      <c r="P1062" s="317" t="str">
        <f t="shared" si="1079"/>
        <v>15:30</v>
      </c>
      <c r="Q1062" s="318">
        <f t="shared" si="948"/>
        <v>46121.41667</v>
      </c>
      <c r="R1062" s="318">
        <f t="shared" si="949"/>
        <v>46121.54167</v>
      </c>
      <c r="S1062" s="318">
        <f t="shared" si="8"/>
        <v>46121.64583</v>
      </c>
    </row>
    <row r="1063">
      <c r="A1063" s="14" t="str">
        <f t="shared" si="1"/>
        <v>C143346121</v>
      </c>
      <c r="B1063" s="185">
        <f t="array" ref="B1063">IF(F1063="VL","",IF(F1063="Free","Free",XLOOKUP(D1063,Roster!T:T,Roster!S:S,"",0)))</f>
        <v>500</v>
      </c>
      <c r="C1063" s="313">
        <v>46121.0</v>
      </c>
      <c r="D1063" s="314" t="s">
        <v>58</v>
      </c>
      <c r="E1063" s="307" t="str">
        <f t="array" ref="E1063">(XLOOKUP(D1063,Roster!F:F,Roster!B:B,"",0))</f>
        <v>Luis Lopez</v>
      </c>
      <c r="F1063" s="315" t="str">
        <f t="array" ref="F1063">IF(B1063=100,"Free",TEXT(XLOOKUP($D1063,OperationVoice!$A:$A,OperationVoice!O:O,XLOOKUP($D1063,OperationTickets!$A:$A,OperationTickets!O:O,"",0)),"hh:mm"))</f>
        <v>13:00</v>
      </c>
      <c r="G1063" s="309">
        <f t="shared" si="3"/>
        <v>0.9166666667</v>
      </c>
      <c r="H1063" s="316" t="str">
        <f t="array" ref="H1063">XLOOKUP(B1063,Roster!L:L,Roster!N:N,XLOOKUP(D1063,TicketsBreak!A:A,TicketsBreak!E:E,"",0),0)</f>
        <v>Team Leader</v>
      </c>
      <c r="I1063" s="316" t="str">
        <f t="array" ref="I1063">XLOOKUP(B1063,Roster!L:L,Roster!O:O,XLOOKUP(D1063,TicketsBreak!A:A,TicketsBreak!F:F,"",0),0)</f>
        <v>Team Leader</v>
      </c>
      <c r="J1063" s="316" t="str">
        <f t="array" ref="J1063">XLOOKUP(B1063,Roster!L:L,Roster!P:P,XLOOKUP(D1063,TicketsBreak!A:A,TicketsBreak!G:G,"",0),0)</f>
        <v/>
      </c>
      <c r="K1063" s="310">
        <f t="shared" si="4"/>
        <v>46121</v>
      </c>
      <c r="L1063" s="317">
        <f t="array" ref="L1063">(XLOOKUP(D1063,Roster!F:F,Roster!D:D,"",0))</f>
        <v>32</v>
      </c>
      <c r="M1063" s="317" t="str">
        <f t="array" ref="M1063">XLOOKUP(D1063,Roster!F:F,Roster!E:E)</f>
        <v>Voice</v>
      </c>
      <c r="N1063" s="317" t="str">
        <f t="shared" ref="N1063:P1063" si="1080">LEFT(H1063,5)</f>
        <v>Team </v>
      </c>
      <c r="O1063" s="317" t="str">
        <f t="shared" si="1080"/>
        <v>Team </v>
      </c>
      <c r="P1063" s="317" t="str">
        <f t="shared" si="1080"/>
        <v/>
      </c>
      <c r="Q1063" s="318" t="str">
        <f t="shared" si="948"/>
        <v>#VALUE!</v>
      </c>
      <c r="R1063" s="318" t="str">
        <f t="shared" si="949"/>
        <v>#VALUE!</v>
      </c>
      <c r="S1063" s="318" t="str">
        <f t="shared" si="8"/>
        <v/>
      </c>
    </row>
    <row r="1064">
      <c r="A1064" s="14" t="str">
        <f t="shared" si="1"/>
        <v>C153446121</v>
      </c>
      <c r="B1064" s="185">
        <f t="array" ref="B1064">IF(F1064="VL","",IF(F1064="Free","Free",XLOOKUP(D1064,Roster!T:T,Roster!S:S,"",0)))</f>
        <v>126</v>
      </c>
      <c r="C1064" s="313">
        <v>46121.0</v>
      </c>
      <c r="D1064" s="314" t="s">
        <v>59</v>
      </c>
      <c r="E1064" s="307" t="str">
        <f t="array" ref="E1064">(XLOOKUP(D1064,Roster!F:F,Roster!B:B,"",0))</f>
        <v>Luis Munoz</v>
      </c>
      <c r="F1064" s="315" t="str">
        <f t="array" ref="F1064">IF(B1064=100,"Free",TEXT(XLOOKUP($D1064,OperationVoice!$A:$A,OperationVoice!O:O,XLOOKUP($D1064,OperationTickets!$A:$A,OperationTickets!O:O,"",0)),"hh:mm"))</f>
        <v>08:00</v>
      </c>
      <c r="G1064" s="309">
        <f t="shared" si="3"/>
        <v>0.7083333333</v>
      </c>
      <c r="H1064" s="316" t="str">
        <f t="array" ref="H1064">XLOOKUP(B1064,Roster!L:L,Roster!N:N,XLOOKUP(D1064,TicketsBreak!A:A,TicketsBreak!E:E,"",0),0)</f>
        <v>10:45 - 11:00</v>
      </c>
      <c r="I1064" s="316" t="str">
        <f t="array" ref="I1064">XLOOKUP(B1064,Roster!L:L,Roster!O:O,XLOOKUP(D1064,TicketsBreak!A:A,TicketsBreak!F:F,"",0),0)</f>
        <v>14:00 - 14:30</v>
      </c>
      <c r="J1064" s="316" t="str">
        <f t="array" ref="J1064">XLOOKUP(B1064,Roster!L:L,Roster!P:P,XLOOKUP(D1064,TicketsBreak!A:A,TicketsBreak!G:G,"",0),0)</f>
        <v>15:45 - 16:00</v>
      </c>
      <c r="K1064" s="310">
        <f t="shared" si="4"/>
        <v>46121</v>
      </c>
      <c r="L1064" s="317">
        <f t="array" ref="L1064">(XLOOKUP(D1064,Roster!F:F,Roster!D:D,"",0))</f>
        <v>36</v>
      </c>
      <c r="M1064" s="317" t="str">
        <f t="array" ref="M1064">XLOOKUP(D1064,Roster!F:F,Roster!E:E)</f>
        <v>Voice</v>
      </c>
      <c r="N1064" s="317" t="str">
        <f t="shared" ref="N1064:P1064" si="1081">LEFT(H1064,5)</f>
        <v>10:45</v>
      </c>
      <c r="O1064" s="317" t="str">
        <f t="shared" si="1081"/>
        <v>14:00</v>
      </c>
      <c r="P1064" s="317" t="str">
        <f t="shared" si="1081"/>
        <v>15:45</v>
      </c>
      <c r="Q1064" s="318">
        <f t="shared" si="948"/>
        <v>46121.44792</v>
      </c>
      <c r="R1064" s="318">
        <f t="shared" si="949"/>
        <v>46121.58333</v>
      </c>
      <c r="S1064" s="318">
        <f t="shared" si="8"/>
        <v>46121.65625</v>
      </c>
    </row>
    <row r="1065">
      <c r="A1065" s="14" t="str">
        <f t="shared" si="1"/>
        <v>C53846121</v>
      </c>
      <c r="B1065" s="185" t="str">
        <f t="array" ref="B1065">IF(F1065="VL","",IF(F1065="Free","Free",XLOOKUP(D1065,Roster!T:T,Roster!S:S,"",0)))</f>
        <v/>
      </c>
      <c r="C1065" s="313">
        <v>46121.0</v>
      </c>
      <c r="D1065" s="314" t="s">
        <v>165</v>
      </c>
      <c r="E1065" s="307" t="str">
        <f t="array" ref="E1065">(XLOOKUP(D1065,Roster!F:F,Roster!B:B,"",0))</f>
        <v>Luisa Arenas</v>
      </c>
      <c r="F1065" s="315" t="str">
        <f t="array" ref="F1065">IF(B1065=100,"Free",TEXT(XLOOKUP($D1065,OperationVoice!$A:$A,OperationVoice!O:O,XLOOKUP($D1065,OperationTickets!$A:$A,OperationTickets!O:O,"",0)),"hh:mm"))</f>
        <v>08:00</v>
      </c>
      <c r="G1065" s="309">
        <f t="shared" si="3"/>
        <v>0.7083333333</v>
      </c>
      <c r="H1065" s="316" t="str">
        <f t="array" ref="H1065">XLOOKUP(B1065,Roster!L:L,Roster!N:N,XLOOKUP(D1065,TicketsBreak!A:A,TicketsBreak!E:E,"",0),0)</f>
        <v/>
      </c>
      <c r="I1065" s="316" t="str">
        <f t="array" ref="I1065">XLOOKUP(B1065,Roster!L:L,Roster!O:O,XLOOKUP(D1065,TicketsBreak!A:A,TicketsBreak!F:F,"",0),0)</f>
        <v/>
      </c>
      <c r="J1065" s="316" t="str">
        <f t="array" ref="J1065">XLOOKUP(B1065,Roster!L:L,Roster!P:P,XLOOKUP(D1065,TicketsBreak!A:A,TicketsBreak!G:G,"",0),0)</f>
        <v/>
      </c>
      <c r="K1065" s="310">
        <f t="shared" si="4"/>
        <v>46121</v>
      </c>
      <c r="L1065" s="317">
        <f t="array" ref="L1065">(XLOOKUP(D1065,Roster!F:F,Roster!D:D,"",0))</f>
        <v>35</v>
      </c>
      <c r="M1065" s="317" t="str">
        <f t="array" ref="M1065">XLOOKUP(D1065,Roster!F:F,Roster!E:E)</f>
        <v>Tickets</v>
      </c>
      <c r="N1065" s="317" t="str">
        <f t="shared" ref="N1065:P1065" si="1082">LEFT(H1065,5)</f>
        <v/>
      </c>
      <c r="O1065" s="317" t="str">
        <f t="shared" si="1082"/>
        <v/>
      </c>
      <c r="P1065" s="317" t="str">
        <f t="shared" si="1082"/>
        <v/>
      </c>
      <c r="Q1065" s="318" t="str">
        <f t="shared" si="948"/>
        <v/>
      </c>
      <c r="R1065" s="318" t="str">
        <f t="shared" si="949"/>
        <v/>
      </c>
      <c r="S1065" s="318" t="str">
        <f t="shared" si="8"/>
        <v/>
      </c>
    </row>
    <row r="1066">
      <c r="A1066" s="14" t="str">
        <f t="shared" si="1"/>
        <v>C113646121</v>
      </c>
      <c r="B1066" s="185">
        <f t="array" ref="B1066">IF(F1066="VL","",IF(F1066="Free","Free",XLOOKUP(D1066,Roster!T:T,Roster!S:S,"",0)))</f>
        <v>126</v>
      </c>
      <c r="C1066" s="313">
        <v>46121.0</v>
      </c>
      <c r="D1066" s="314" t="s">
        <v>60</v>
      </c>
      <c r="E1066" s="307" t="str">
        <f t="array" ref="E1066">(XLOOKUP(D1066,Roster!F:F,Roster!B:B,"",0))</f>
        <v>Luisa Gonzalez</v>
      </c>
      <c r="F1066" s="315" t="str">
        <f t="array" ref="F1066">IF(B1066=100,"Free",TEXT(XLOOKUP($D1066,OperationVoice!$A:$A,OperationVoice!O:O,XLOOKUP($D1066,OperationTickets!$A:$A,OperationTickets!O:O,"",0)),"hh:mm"))</f>
        <v>08:00</v>
      </c>
      <c r="G1066" s="309">
        <f t="shared" si="3"/>
        <v>0.7083333333</v>
      </c>
      <c r="H1066" s="316" t="str">
        <f t="array" ref="H1066">XLOOKUP(B1066,Roster!L:L,Roster!N:N,XLOOKUP(D1066,TicketsBreak!A:A,TicketsBreak!E:E,"",0),0)</f>
        <v>10:45 - 11:00</v>
      </c>
      <c r="I1066" s="316" t="str">
        <f t="array" ref="I1066">XLOOKUP(B1066,Roster!L:L,Roster!O:O,XLOOKUP(D1066,TicketsBreak!A:A,TicketsBreak!F:F,"",0),0)</f>
        <v>14:00 - 14:30</v>
      </c>
      <c r="J1066" s="316" t="str">
        <f t="array" ref="J1066">XLOOKUP(B1066,Roster!L:L,Roster!P:P,XLOOKUP(D1066,TicketsBreak!A:A,TicketsBreak!G:G,"",0),0)</f>
        <v>15:45 - 16:00</v>
      </c>
      <c r="K1066" s="310">
        <f t="shared" si="4"/>
        <v>46121</v>
      </c>
      <c r="L1066" s="317">
        <f t="array" ref="L1066">(XLOOKUP(D1066,Roster!F:F,Roster!D:D,"",0))</f>
        <v>22</v>
      </c>
      <c r="M1066" s="317" t="str">
        <f t="array" ref="M1066">XLOOKUP(D1066,Roster!F:F,Roster!E:E)</f>
        <v>Voice</v>
      </c>
      <c r="N1066" s="317" t="str">
        <f t="shared" ref="N1066:P1066" si="1083">LEFT(H1066,5)</f>
        <v>10:45</v>
      </c>
      <c r="O1066" s="317" t="str">
        <f t="shared" si="1083"/>
        <v>14:00</v>
      </c>
      <c r="P1066" s="317" t="str">
        <f t="shared" si="1083"/>
        <v>15:45</v>
      </c>
      <c r="Q1066" s="318">
        <f t="shared" si="948"/>
        <v>46121.44792</v>
      </c>
      <c r="R1066" s="318">
        <f t="shared" si="949"/>
        <v>46121.58333</v>
      </c>
      <c r="S1066" s="318">
        <f t="shared" si="8"/>
        <v>46121.65625</v>
      </c>
    </row>
    <row r="1067">
      <c r="A1067" s="14" t="str">
        <f t="shared" si="1"/>
        <v>C157746121</v>
      </c>
      <c r="B1067" s="185">
        <f t="array" ref="B1067">IF(F1067="VL","",IF(F1067="Free","Free",XLOOKUP(D1067,Roster!T:T,Roster!S:S,"",0)))</f>
        <v>126</v>
      </c>
      <c r="C1067" s="313">
        <v>46121.0</v>
      </c>
      <c r="D1067" s="314" t="s">
        <v>61</v>
      </c>
      <c r="E1067" s="307" t="str">
        <f t="array" ref="E1067">(XLOOKUP(D1067,Roster!F:F,Roster!B:B,"",0))</f>
        <v>Luna Morales</v>
      </c>
      <c r="F1067" s="315" t="str">
        <f t="array" ref="F1067">IF(B1067=100,"Free",TEXT(XLOOKUP($D1067,OperationVoice!$A:$A,OperationVoice!O:O,XLOOKUP($D1067,OperationTickets!$A:$A,OperationTickets!O:O,"",0)),"hh:mm"))</f>
        <v>11:00</v>
      </c>
      <c r="G1067" s="309">
        <f t="shared" si="3"/>
        <v>0.8333333333</v>
      </c>
      <c r="H1067" s="316" t="str">
        <f t="array" ref="H1067">XLOOKUP(B1067,Roster!L:L,Roster!N:N,XLOOKUP(D1067,TicketsBreak!A:A,TicketsBreak!E:E,"",0),0)</f>
        <v>10:45 - 11:00</v>
      </c>
      <c r="I1067" s="316" t="str">
        <f t="array" ref="I1067">XLOOKUP(B1067,Roster!L:L,Roster!O:O,XLOOKUP(D1067,TicketsBreak!A:A,TicketsBreak!F:F,"",0),0)</f>
        <v>14:00 - 14:30</v>
      </c>
      <c r="J1067" s="316" t="str">
        <f t="array" ref="J1067">XLOOKUP(B1067,Roster!L:L,Roster!P:P,XLOOKUP(D1067,TicketsBreak!A:A,TicketsBreak!G:G,"",0),0)</f>
        <v>15:45 - 16:00</v>
      </c>
      <c r="K1067" s="310">
        <f t="shared" si="4"/>
        <v>46121</v>
      </c>
      <c r="L1067" s="317">
        <f t="array" ref="L1067">(XLOOKUP(D1067,Roster!F:F,Roster!D:D,"",0))</f>
        <v>38</v>
      </c>
      <c r="M1067" s="317" t="str">
        <f t="array" ref="M1067">XLOOKUP(D1067,Roster!F:F,Roster!E:E)</f>
        <v>Voice</v>
      </c>
      <c r="N1067" s="317" t="str">
        <f t="shared" ref="N1067:P1067" si="1084">LEFT(H1067,5)</f>
        <v>10:45</v>
      </c>
      <c r="O1067" s="317" t="str">
        <f t="shared" si="1084"/>
        <v>14:00</v>
      </c>
      <c r="P1067" s="317" t="str">
        <f t="shared" si="1084"/>
        <v>15:45</v>
      </c>
      <c r="Q1067" s="318">
        <f t="shared" si="948"/>
        <v>46121.44792</v>
      </c>
      <c r="R1067" s="318">
        <f t="shared" si="949"/>
        <v>46121.58333</v>
      </c>
      <c r="S1067" s="318">
        <f t="shared" si="8"/>
        <v>46121.65625</v>
      </c>
    </row>
    <row r="1068">
      <c r="A1068" s="14" t="str">
        <f t="shared" si="1"/>
        <v>C121946121</v>
      </c>
      <c r="B1068" s="185" t="str">
        <f t="array" ref="B1068">IF(F1068="VL","",IF(F1068="Free","Free",XLOOKUP(D1068,Roster!T:T,Roster!S:S,"",0)))</f>
        <v/>
      </c>
      <c r="C1068" s="313">
        <v>46121.0</v>
      </c>
      <c r="D1068" s="314" t="s">
        <v>146</v>
      </c>
      <c r="E1068" s="307" t="str">
        <f t="array" ref="E1068">(XLOOKUP(D1068,Roster!F:F,Roster!B:B,"",0))</f>
        <v>Madelyn Jaramillo</v>
      </c>
      <c r="F1068" s="315" t="str">
        <f t="array" ref="F1068">IF(B1068=100,"Free",TEXT(XLOOKUP($D1068,OperationVoice!$A:$A,OperationVoice!O:O,XLOOKUP($D1068,OperationTickets!$A:$A,OperationTickets!O:O,"",0)),"hh:mm"))</f>
        <v>08:00</v>
      </c>
      <c r="G1068" s="309">
        <f t="shared" si="3"/>
        <v>0.7083333333</v>
      </c>
      <c r="H1068" s="316" t="str">
        <f t="array" ref="H1068">XLOOKUP(B1068,Roster!L:L,Roster!N:N,XLOOKUP(D1068,TicketsBreak!A:A,TicketsBreak!E:E,"",0),0)</f>
        <v/>
      </c>
      <c r="I1068" s="316" t="str">
        <f t="array" ref="I1068">XLOOKUP(B1068,Roster!L:L,Roster!O:O,XLOOKUP(D1068,TicketsBreak!A:A,TicketsBreak!F:F,"",0),0)</f>
        <v/>
      </c>
      <c r="J1068" s="316" t="str">
        <f t="array" ref="J1068">XLOOKUP(B1068,Roster!L:L,Roster!P:P,XLOOKUP(D1068,TicketsBreak!A:A,TicketsBreak!G:G,"",0),0)</f>
        <v/>
      </c>
      <c r="K1068" s="310">
        <f t="shared" si="4"/>
        <v>46121</v>
      </c>
      <c r="L1068" s="317">
        <f t="array" ref="L1068">(XLOOKUP(D1068,Roster!F:F,Roster!D:D,"",0))</f>
        <v>26</v>
      </c>
      <c r="M1068" s="317" t="str">
        <f t="array" ref="M1068">XLOOKUP(D1068,Roster!F:F,Roster!E:E)</f>
        <v>Tickets</v>
      </c>
      <c r="N1068" s="317" t="str">
        <f t="shared" ref="N1068:P1068" si="1085">LEFT(H1068,5)</f>
        <v/>
      </c>
      <c r="O1068" s="317" t="str">
        <f t="shared" si="1085"/>
        <v/>
      </c>
      <c r="P1068" s="317" t="str">
        <f t="shared" si="1085"/>
        <v/>
      </c>
      <c r="Q1068" s="318" t="str">
        <f t="shared" si="948"/>
        <v/>
      </c>
      <c r="R1068" s="318" t="str">
        <f t="shared" si="949"/>
        <v/>
      </c>
      <c r="S1068" s="318" t="str">
        <f t="shared" si="8"/>
        <v/>
      </c>
    </row>
    <row r="1069">
      <c r="A1069" s="14" t="str">
        <f t="shared" si="1"/>
        <v>C151646121</v>
      </c>
      <c r="B1069" s="185">
        <f t="array" ref="B1069">IF(F1069="VL","",IF(F1069="Free","Free",XLOOKUP(D1069,Roster!T:T,Roster!S:S,"",0)))</f>
        <v>122</v>
      </c>
      <c r="C1069" s="313">
        <v>46121.0</v>
      </c>
      <c r="D1069" s="314" t="s">
        <v>62</v>
      </c>
      <c r="E1069" s="307" t="str">
        <f t="array" ref="E1069">(XLOOKUP(D1069,Roster!F:F,Roster!B:B,"",0))</f>
        <v>Magda Foronda</v>
      </c>
      <c r="F1069" s="315" t="str">
        <f t="array" ref="F1069">IF(B1069=100,"Free",TEXT(XLOOKUP($D1069,OperationVoice!$A:$A,OperationVoice!O:O,XLOOKUP($D1069,OperationTickets!$A:$A,OperationTickets!O:O,"",0)),"hh:mm"))</f>
        <v>08:00</v>
      </c>
      <c r="G1069" s="309">
        <f t="shared" si="3"/>
        <v>0.7083333333</v>
      </c>
      <c r="H1069" s="316" t="str">
        <f t="array" ref="H1069">XLOOKUP(B1069,Roster!L:L,Roster!N:N,XLOOKUP(D1069,TicketsBreak!A:A,TicketsBreak!E:E,"",0),0)</f>
        <v>09:30 - 09:45</v>
      </c>
      <c r="I1069" s="316" t="str">
        <f t="array" ref="I1069">XLOOKUP(B1069,Roster!L:L,Roster!O:O,XLOOKUP(D1069,TicketsBreak!A:A,TicketsBreak!F:F,"",0),0)</f>
        <v>12:00 - 12:30</v>
      </c>
      <c r="J1069" s="316" t="str">
        <f t="array" ref="J1069">XLOOKUP(B1069,Roster!L:L,Roster!P:P,XLOOKUP(D1069,TicketsBreak!A:A,TicketsBreak!G:G,"",0),0)</f>
        <v>14:45 - 15:00</v>
      </c>
      <c r="K1069" s="310">
        <f t="shared" si="4"/>
        <v>46121</v>
      </c>
      <c r="L1069" s="317">
        <f t="array" ref="L1069">(XLOOKUP(D1069,Roster!F:F,Roster!D:D,"",0))</f>
        <v>35</v>
      </c>
      <c r="M1069" s="317" t="str">
        <f t="array" ref="M1069">XLOOKUP(D1069,Roster!F:F,Roster!E:E)</f>
        <v>Voice</v>
      </c>
      <c r="N1069" s="317" t="str">
        <f t="shared" ref="N1069:P1069" si="1086">LEFT(H1069,5)</f>
        <v>09:30</v>
      </c>
      <c r="O1069" s="317" t="str">
        <f t="shared" si="1086"/>
        <v>12:00</v>
      </c>
      <c r="P1069" s="317" t="str">
        <f t="shared" si="1086"/>
        <v>14:45</v>
      </c>
      <c r="Q1069" s="318">
        <f t="shared" si="948"/>
        <v>46121.39583</v>
      </c>
      <c r="R1069" s="318">
        <f t="shared" si="949"/>
        <v>46121.5</v>
      </c>
      <c r="S1069" s="318">
        <f t="shared" si="8"/>
        <v>46121.61458</v>
      </c>
    </row>
    <row r="1070">
      <c r="A1070" s="14" t="str">
        <f t="shared" si="1"/>
        <v>C118046121</v>
      </c>
      <c r="B1070" s="185">
        <f t="array" ref="B1070">IF(F1070="VL","",IF(F1070="Free","Free",XLOOKUP(D1070,Roster!T:T,Roster!S:S,"",0)))</f>
        <v>500</v>
      </c>
      <c r="C1070" s="313">
        <v>46121.0</v>
      </c>
      <c r="D1070" s="314" t="s">
        <v>147</v>
      </c>
      <c r="E1070" s="307" t="str">
        <f t="array" ref="E1070">(XLOOKUP(D1070,Roster!F:F,Roster!B:B,"",0))</f>
        <v>Manuela Moreno</v>
      </c>
      <c r="F1070" s="315" t="str">
        <f t="array" ref="F1070">IF(B1070=100,"Free",TEXT(XLOOKUP($D1070,OperationVoice!$A:$A,OperationVoice!O:O,XLOOKUP($D1070,OperationTickets!$A:$A,OperationTickets!O:O,"",0)),"hh:mm"))</f>
        <v>09:00</v>
      </c>
      <c r="G1070" s="309">
        <f t="shared" si="3"/>
        <v>0.75</v>
      </c>
      <c r="H1070" s="316" t="str">
        <f t="array" ref="H1070">XLOOKUP(B1070,Roster!L:L,Roster!N:N,XLOOKUP(D1070,TicketsBreak!A:A,TicketsBreak!E:E,"",0),0)</f>
        <v>Team Leader</v>
      </c>
      <c r="I1070" s="316" t="str">
        <f t="array" ref="I1070">XLOOKUP(B1070,Roster!L:L,Roster!O:O,XLOOKUP(D1070,TicketsBreak!A:A,TicketsBreak!F:F,"",0),0)</f>
        <v>Team Leader</v>
      </c>
      <c r="J1070" s="316" t="str">
        <f t="array" ref="J1070">XLOOKUP(B1070,Roster!L:L,Roster!P:P,XLOOKUP(D1070,TicketsBreak!A:A,TicketsBreak!G:G,"",0),0)</f>
        <v/>
      </c>
      <c r="K1070" s="310">
        <f t="shared" si="4"/>
        <v>46121</v>
      </c>
      <c r="L1070" s="317">
        <f t="array" ref="L1070">(XLOOKUP(D1070,Roster!F:F,Roster!D:D,"",0))</f>
        <v>24</v>
      </c>
      <c r="M1070" s="317" t="str">
        <f t="array" ref="M1070">XLOOKUP(D1070,Roster!F:F,Roster!E:E)</f>
        <v>Tickets</v>
      </c>
      <c r="N1070" s="317" t="str">
        <f t="shared" ref="N1070:P1070" si="1087">LEFT(H1070,5)</f>
        <v>Team </v>
      </c>
      <c r="O1070" s="317" t="str">
        <f t="shared" si="1087"/>
        <v>Team </v>
      </c>
      <c r="P1070" s="317" t="str">
        <f t="shared" si="1087"/>
        <v/>
      </c>
      <c r="Q1070" s="318" t="str">
        <f>IF(P1070="","",$C1070+N1070)</f>
        <v/>
      </c>
      <c r="R1070" s="318" t="str">
        <f>if(P1070="","",$C1070+O1070)</f>
        <v/>
      </c>
      <c r="S1070" s="318" t="str">
        <f t="shared" si="8"/>
        <v/>
      </c>
    </row>
    <row r="1071">
      <c r="A1071" s="14" t="str">
        <f t="shared" si="1"/>
        <v>C153646121</v>
      </c>
      <c r="B1071" s="185">
        <f t="array" ref="B1071">IF(F1071="VL","",IF(F1071="Free","Free",XLOOKUP(D1071,Roster!T:T,Roster!S:S,"",0)))</f>
        <v>121</v>
      </c>
      <c r="C1071" s="313">
        <v>46121.0</v>
      </c>
      <c r="D1071" s="314" t="s">
        <v>63</v>
      </c>
      <c r="E1071" s="307" t="str">
        <f t="array" ref="E1071">(XLOOKUP(D1071,Roster!F:F,Roster!B:B,"",0))</f>
        <v>Maria Mesa</v>
      </c>
      <c r="F1071" s="315" t="str">
        <f t="array" ref="F1071">IF(B1071=100,"Free",TEXT(XLOOKUP($D1071,OperationVoice!$A:$A,OperationVoice!O:O,XLOOKUP($D1071,OperationTickets!$A:$A,OperationTickets!O:O,"",0)),"hh:mm"))</f>
        <v>08:00</v>
      </c>
      <c r="G1071" s="309">
        <f t="shared" si="3"/>
        <v>0.7083333333</v>
      </c>
      <c r="H1071" s="316" t="str">
        <f t="array" ref="H1071">XLOOKUP(B1071,Roster!L:L,Roster!N:N,XLOOKUP(D1071,TicketsBreak!A:A,TicketsBreak!E:E,"",0),0)</f>
        <v>09:15 - 09:30</v>
      </c>
      <c r="I1071" s="316" t="str">
        <f t="array" ref="I1071">XLOOKUP(B1071,Roster!L:L,Roster!O:O,XLOOKUP(D1071,TicketsBreak!A:A,TicketsBreak!F:F,"",0),0)</f>
        <v>11:30 - 12:00</v>
      </c>
      <c r="J1071" s="316" t="str">
        <f t="array" ref="J1071">XLOOKUP(B1071,Roster!L:L,Roster!P:P,XLOOKUP(D1071,TicketsBreak!A:A,TicketsBreak!G:G,"",0),0)</f>
        <v>14:30 - 14:45</v>
      </c>
      <c r="K1071" s="310">
        <f t="shared" si="4"/>
        <v>46121</v>
      </c>
      <c r="L1071" s="317">
        <f t="array" ref="L1071">(XLOOKUP(D1071,Roster!F:F,Roster!D:D,"",0))</f>
        <v>36</v>
      </c>
      <c r="M1071" s="317" t="str">
        <f t="array" ref="M1071">XLOOKUP(D1071,Roster!F:F,Roster!E:E)</f>
        <v>Voice</v>
      </c>
      <c r="N1071" s="317" t="str">
        <f t="shared" ref="N1071:P1071" si="1088">LEFT(H1071,5)</f>
        <v>09:15</v>
      </c>
      <c r="O1071" s="317" t="str">
        <f t="shared" si="1088"/>
        <v>11:30</v>
      </c>
      <c r="P1071" s="317" t="str">
        <f t="shared" si="1088"/>
        <v>14:30</v>
      </c>
      <c r="Q1071" s="318">
        <f t="shared" ref="Q1071:Q1209" si="1090">IF(N1071="","",$C1071+N1071)</f>
        <v>46121.38542</v>
      </c>
      <c r="R1071" s="318">
        <f t="shared" ref="R1071:R1209" si="1091">if(O1071="","",$C1071+O1071)</f>
        <v>46121.47917</v>
      </c>
      <c r="S1071" s="318">
        <f t="shared" si="8"/>
        <v>46121.60417</v>
      </c>
    </row>
    <row r="1072">
      <c r="A1072" s="14" t="str">
        <f t="shared" si="1"/>
        <v>C74046121</v>
      </c>
      <c r="B1072" s="185" t="str">
        <f t="array" ref="B1072">IF(F1072="VL","",IF(F1072="Free","Free",XLOOKUP(D1072,Roster!T:T,Roster!S:S,"",0)))</f>
        <v/>
      </c>
      <c r="C1072" s="313">
        <v>46121.0</v>
      </c>
      <c r="D1072" s="314" t="s">
        <v>166</v>
      </c>
      <c r="E1072" s="307" t="str">
        <f t="array" ref="E1072">(XLOOKUP(D1072,Roster!F:F,Roster!B:B,"",0))</f>
        <v>Mateo Agudelo</v>
      </c>
      <c r="F1072" s="315" t="str">
        <f t="array" ref="F1072">IF(B1072=100,"Free",TEXT(XLOOKUP($D1072,OperationVoice!$A:$A,OperationVoice!O:O,XLOOKUP($D1072,OperationTickets!$A:$A,OperationTickets!O:O,"",0)),"hh:mm"))</f>
        <v>08:00</v>
      </c>
      <c r="G1072" s="309">
        <f t="shared" si="3"/>
        <v>0.7083333333</v>
      </c>
      <c r="H1072" s="316">
        <f t="array" ref="H1072">XLOOKUP(B1072,Roster!L:L,Roster!N:N,XLOOKUP(D1072,TicketsBreak!A:A,TicketsBreak!E:E,"",0),0)</f>
        <v>0.4166666667</v>
      </c>
      <c r="I1072" s="316">
        <f t="array" ref="I1072">XLOOKUP(B1072,Roster!L:L,Roster!O:O,XLOOKUP(D1072,TicketsBreak!A:A,TicketsBreak!F:F,"",0),0)</f>
        <v>0.5</v>
      </c>
      <c r="J1072" s="316">
        <f t="array" ref="J1072">XLOOKUP(B1072,Roster!L:L,Roster!P:P,XLOOKUP(D1072,TicketsBreak!A:A,TicketsBreak!G:G,"",0),0)</f>
        <v>0.65625</v>
      </c>
      <c r="K1072" s="310">
        <f t="shared" si="4"/>
        <v>46121</v>
      </c>
      <c r="L1072" s="317">
        <f t="array" ref="L1072">(XLOOKUP(D1072,Roster!F:F,Roster!D:D,"",0))</f>
        <v>8</v>
      </c>
      <c r="M1072" s="317" t="str">
        <f t="array" ref="M1072">XLOOKUP(D1072,Roster!F:F,Roster!E:E)</f>
        <v>Tickets</v>
      </c>
      <c r="N1072" s="317" t="str">
        <f t="shared" ref="N1072:P1072" si="1089">LEFT(H1072,5)</f>
        <v>10:00</v>
      </c>
      <c r="O1072" s="317" t="str">
        <f t="shared" si="1089"/>
        <v>12:00</v>
      </c>
      <c r="P1072" s="317" t="str">
        <f t="shared" si="1089"/>
        <v>15:45</v>
      </c>
      <c r="Q1072" s="318">
        <f t="shared" si="1090"/>
        <v>46121.41667</v>
      </c>
      <c r="R1072" s="318">
        <f t="shared" si="1091"/>
        <v>46121.5</v>
      </c>
      <c r="S1072" s="318">
        <f t="shared" si="8"/>
        <v>46121.65625</v>
      </c>
    </row>
    <row r="1073">
      <c r="A1073" s="14" t="str">
        <f t="shared" si="1"/>
        <v>C142946121</v>
      </c>
      <c r="B1073" s="185">
        <f t="array" ref="B1073">IF(F1073="VL","",IF(F1073="Free","Free",XLOOKUP(D1073,Roster!T:T,Roster!S:S,"",0)))</f>
        <v>121</v>
      </c>
      <c r="C1073" s="313">
        <v>46121.0</v>
      </c>
      <c r="D1073" s="314" t="s">
        <v>178</v>
      </c>
      <c r="E1073" s="307" t="str">
        <f t="array" ref="E1073">(XLOOKUP(D1073,Roster!F:F,Roster!B:B,"",0))</f>
        <v>Mateo Vanegas</v>
      </c>
      <c r="F1073" s="315" t="str">
        <f t="array" ref="F1073">IF(B1073=100,"Free",TEXT(XLOOKUP($D1073,OperationVoice!$A:$A,OperationVoice!O:O,XLOOKUP($D1073,OperationTickets!$A:$A,OperationTickets!O:O,"",0)),"hh:mm"))</f>
        <v>08:00</v>
      </c>
      <c r="G1073" s="309">
        <f t="shared" si="3"/>
        <v>0.7083333333</v>
      </c>
      <c r="H1073" s="316" t="str">
        <f t="array" ref="H1073">XLOOKUP(B1073,Roster!L:L,Roster!N:N,XLOOKUP(D1073,TicketsBreak!A:A,TicketsBreak!E:E,"",0),0)</f>
        <v>09:15 - 09:30</v>
      </c>
      <c r="I1073" s="316" t="str">
        <f t="array" ref="I1073">XLOOKUP(B1073,Roster!L:L,Roster!O:O,XLOOKUP(D1073,TicketsBreak!A:A,TicketsBreak!F:F,"",0),0)</f>
        <v>11:30 - 12:00</v>
      </c>
      <c r="J1073" s="316" t="str">
        <f t="array" ref="J1073">XLOOKUP(B1073,Roster!L:L,Roster!P:P,XLOOKUP(D1073,TicketsBreak!A:A,TicketsBreak!G:G,"",0),0)</f>
        <v>14:30 - 14:45</v>
      </c>
      <c r="K1073" s="310">
        <f t="shared" si="4"/>
        <v>46121</v>
      </c>
      <c r="L1073" s="317">
        <f t="array" ref="L1073">(XLOOKUP(D1073,Roster!F:F,Roster!D:D,"",0))</f>
        <v>32</v>
      </c>
      <c r="M1073" s="317" t="str">
        <f t="array" ref="M1073">XLOOKUP(D1073,Roster!F:F,Roster!E:E)</f>
        <v>Tickets</v>
      </c>
      <c r="N1073" s="317" t="str">
        <f t="shared" ref="N1073:P1073" si="1092">LEFT(H1073,5)</f>
        <v>09:15</v>
      </c>
      <c r="O1073" s="317" t="str">
        <f t="shared" si="1092"/>
        <v>11:30</v>
      </c>
      <c r="P1073" s="317" t="str">
        <f t="shared" si="1092"/>
        <v>14:30</v>
      </c>
      <c r="Q1073" s="318">
        <f t="shared" si="1090"/>
        <v>46121.38542</v>
      </c>
      <c r="R1073" s="318">
        <f t="shared" si="1091"/>
        <v>46121.47917</v>
      </c>
      <c r="S1073" s="318">
        <f t="shared" si="8"/>
        <v>46121.60417</v>
      </c>
    </row>
    <row r="1074">
      <c r="A1074" s="14" t="str">
        <f t="shared" si="1"/>
        <v>C146846121</v>
      </c>
      <c r="B1074" s="185">
        <f t="array" ref="B1074">IF(F1074="VL","",IF(F1074="Free","Free",XLOOKUP(D1074,Roster!T:T,Roster!S:S,"",0)))</f>
        <v>122</v>
      </c>
      <c r="C1074" s="313">
        <v>46121.0</v>
      </c>
      <c r="D1074" s="314" t="s">
        <v>64</v>
      </c>
      <c r="E1074" s="307" t="str">
        <f t="array" ref="E1074">(XLOOKUP(D1074,Roster!F:F,Roster!B:B,"",0))</f>
        <v>Miguel Betancur</v>
      </c>
      <c r="F1074" s="315" t="str">
        <f t="array" ref="F1074">IF(B1074=100,"Free",TEXT(XLOOKUP($D1074,OperationVoice!$A:$A,OperationVoice!O:O,XLOOKUP($D1074,OperationTickets!$A:$A,OperationTickets!O:O,"",0)),"hh:mm"))</f>
        <v>08:00</v>
      </c>
      <c r="G1074" s="309">
        <f t="shared" si="3"/>
        <v>0.7083333333</v>
      </c>
      <c r="H1074" s="316" t="str">
        <f t="array" ref="H1074">XLOOKUP(B1074,Roster!L:L,Roster!N:N,XLOOKUP(D1074,TicketsBreak!A:A,TicketsBreak!E:E,"",0),0)</f>
        <v>09:30 - 09:45</v>
      </c>
      <c r="I1074" s="316" t="str">
        <f t="array" ref="I1074">XLOOKUP(B1074,Roster!L:L,Roster!O:O,XLOOKUP(D1074,TicketsBreak!A:A,TicketsBreak!F:F,"",0),0)</f>
        <v>12:00 - 12:30</v>
      </c>
      <c r="J1074" s="316" t="str">
        <f t="array" ref="J1074">XLOOKUP(B1074,Roster!L:L,Roster!P:P,XLOOKUP(D1074,TicketsBreak!A:A,TicketsBreak!G:G,"",0),0)</f>
        <v>14:45 - 15:00</v>
      </c>
      <c r="K1074" s="310">
        <f t="shared" si="4"/>
        <v>46121</v>
      </c>
      <c r="L1074" s="317">
        <f t="array" ref="L1074">(XLOOKUP(D1074,Roster!F:F,Roster!D:D,"",0))</f>
        <v>33</v>
      </c>
      <c r="M1074" s="317" t="str">
        <f t="array" ref="M1074">XLOOKUP(D1074,Roster!F:F,Roster!E:E)</f>
        <v>Voice</v>
      </c>
      <c r="N1074" s="317" t="str">
        <f t="shared" ref="N1074:P1074" si="1093">LEFT(H1074,5)</f>
        <v>09:30</v>
      </c>
      <c r="O1074" s="317" t="str">
        <f t="shared" si="1093"/>
        <v>12:00</v>
      </c>
      <c r="P1074" s="317" t="str">
        <f t="shared" si="1093"/>
        <v>14:45</v>
      </c>
      <c r="Q1074" s="318">
        <f t="shared" si="1090"/>
        <v>46121.39583</v>
      </c>
      <c r="R1074" s="318">
        <f t="shared" si="1091"/>
        <v>46121.5</v>
      </c>
      <c r="S1074" s="318">
        <f t="shared" si="8"/>
        <v>46121.61458</v>
      </c>
    </row>
    <row r="1075">
      <c r="A1075" s="14" t="str">
        <f t="shared" si="1"/>
        <v>C106546121</v>
      </c>
      <c r="B1075" s="185" t="str">
        <f t="array" ref="B1075">IF(F1075="VL","",IF(F1075="Free","Free",XLOOKUP(D1075,Roster!T:T,Roster!S:S,"",0)))</f>
        <v>Free</v>
      </c>
      <c r="C1075" s="313">
        <v>46121.0</v>
      </c>
      <c r="D1075" s="314" t="s">
        <v>148</v>
      </c>
      <c r="E1075" s="307" t="str">
        <f t="array" ref="E1075">(XLOOKUP(D1075,Roster!F:F,Roster!B:B,"",0))</f>
        <v>Miguel Hoyos</v>
      </c>
      <c r="F1075" s="315" t="str">
        <f t="array" ref="F1075">IF(B1075=100,"Free",TEXT(XLOOKUP($D1075,OperationVoice!$A:$A,OperationVoice!O:O,XLOOKUP($D1075,OperationTickets!$A:$A,OperationTickets!O:O,"",0)),"hh:mm"))</f>
        <v>Free</v>
      </c>
      <c r="G1075" s="309" t="str">
        <f t="shared" si="3"/>
        <v>Free</v>
      </c>
      <c r="H1075" s="316">
        <f t="array" ref="H1075">XLOOKUP(B1075,Roster!L:L,Roster!N:N,XLOOKUP(D1075,TicketsBreak!A:A,TicketsBreak!E:E,"",0),0)</f>
        <v>0.4583333333</v>
      </c>
      <c r="I1075" s="316">
        <f t="array" ref="I1075">XLOOKUP(B1075,Roster!L:L,Roster!O:O,XLOOKUP(D1075,TicketsBreak!A:A,TicketsBreak!F:F,"",0),0)</f>
        <v>0.5625</v>
      </c>
      <c r="J1075" s="316">
        <f t="array" ref="J1075">XLOOKUP(B1075,Roster!L:L,Roster!P:P,XLOOKUP(D1075,TicketsBreak!A:A,TicketsBreak!G:G,"",0),0)</f>
        <v>0.65625</v>
      </c>
      <c r="K1075" s="310">
        <f t="shared" si="4"/>
        <v>46121</v>
      </c>
      <c r="L1075" s="317">
        <f t="array" ref="L1075">(XLOOKUP(D1075,Roster!F:F,Roster!D:D,"",0))</f>
        <v>17</v>
      </c>
      <c r="M1075" s="317" t="str">
        <f t="array" ref="M1075">XLOOKUP(D1075,Roster!F:F,Roster!E:E)</f>
        <v>Tickets</v>
      </c>
      <c r="N1075" s="317" t="str">
        <f t="shared" ref="N1075:P1075" si="1094">LEFT(H1075,5)</f>
        <v>11:00</v>
      </c>
      <c r="O1075" s="317" t="str">
        <f t="shared" si="1094"/>
        <v>13:30</v>
      </c>
      <c r="P1075" s="317" t="str">
        <f t="shared" si="1094"/>
        <v>15:45</v>
      </c>
      <c r="Q1075" s="318">
        <f t="shared" si="1090"/>
        <v>46121.45833</v>
      </c>
      <c r="R1075" s="318">
        <f t="shared" si="1091"/>
        <v>46121.5625</v>
      </c>
      <c r="S1075" s="318">
        <f t="shared" si="8"/>
        <v>46121.65625</v>
      </c>
    </row>
    <row r="1076">
      <c r="A1076" s="14" t="str">
        <f t="shared" si="1"/>
        <v>C111446121</v>
      </c>
      <c r="B1076" s="185">
        <f t="array" ref="B1076">IF(F1076="VL","",IF(F1076="Free","Free",XLOOKUP(D1076,Roster!T:T,Roster!S:S,"",0)))</f>
        <v>113</v>
      </c>
      <c r="C1076" s="313">
        <v>46121.0</v>
      </c>
      <c r="D1076" s="314" t="s">
        <v>65</v>
      </c>
      <c r="E1076" s="307" t="str">
        <f t="array" ref="E1076">(XLOOKUP(D1076,Roster!F:F,Roster!B:B,"",0))</f>
        <v>Mikel Bowie</v>
      </c>
      <c r="F1076" s="315" t="str">
        <f t="array" ref="F1076">IF(B1076=100,"Free",TEXT(XLOOKUP($D1076,OperationVoice!$A:$A,OperationVoice!O:O,XLOOKUP($D1076,OperationTickets!$A:$A,OperationTickets!O:O,"",0)),"hh:mm"))</f>
        <v>08:00</v>
      </c>
      <c r="G1076" s="309">
        <f t="shared" si="3"/>
        <v>0.7083333333</v>
      </c>
      <c r="H1076" s="316" t="str">
        <f t="array" ref="H1076">XLOOKUP(B1076,Roster!L:L,Roster!N:N,XLOOKUP(D1076,TicketsBreak!A:A,TicketsBreak!E:E,"",0),0)</f>
        <v>09:45 - 10:00</v>
      </c>
      <c r="I1076" s="316" t="str">
        <f t="array" ref="I1076">XLOOKUP(B1076,Roster!L:L,Roster!O:O,XLOOKUP(D1076,TicketsBreak!A:A,TicketsBreak!F:F,"",0),0)</f>
        <v>12:30 - 13:00</v>
      </c>
      <c r="J1076" s="316" t="str">
        <f t="array" ref="J1076">XLOOKUP(B1076,Roster!L:L,Roster!P:P,XLOOKUP(D1076,TicketsBreak!A:A,TicketsBreak!G:G,"",0),0)</f>
        <v>14:45 - 15:00</v>
      </c>
      <c r="K1076" s="310">
        <f t="shared" si="4"/>
        <v>46121</v>
      </c>
      <c r="L1076" s="317">
        <f t="array" ref="L1076">(XLOOKUP(D1076,Roster!F:F,Roster!D:D,"",0))</f>
        <v>20</v>
      </c>
      <c r="M1076" s="317" t="str">
        <f t="array" ref="M1076">XLOOKUP(D1076,Roster!F:F,Roster!E:E)</f>
        <v>Voice</v>
      </c>
      <c r="N1076" s="317" t="str">
        <f t="shared" ref="N1076:P1076" si="1095">LEFT(H1076,5)</f>
        <v>09:45</v>
      </c>
      <c r="O1076" s="317" t="str">
        <f t="shared" si="1095"/>
        <v>12:30</v>
      </c>
      <c r="P1076" s="317" t="str">
        <f t="shared" si="1095"/>
        <v>14:45</v>
      </c>
      <c r="Q1076" s="318">
        <f t="shared" si="1090"/>
        <v>46121.40625</v>
      </c>
      <c r="R1076" s="318">
        <f t="shared" si="1091"/>
        <v>46121.52083</v>
      </c>
      <c r="S1076" s="318">
        <f t="shared" si="8"/>
        <v>46121.61458</v>
      </c>
    </row>
    <row r="1077">
      <c r="A1077" s="14" t="str">
        <f t="shared" si="1"/>
        <v>C116346121</v>
      </c>
      <c r="B1077" s="185">
        <f t="array" ref="B1077">IF(F1077="VL","",IF(F1077="Free","Free",XLOOKUP(D1077,Roster!T:T,Roster!S:S,"",0)))</f>
        <v>123</v>
      </c>
      <c r="C1077" s="313">
        <v>46121.0</v>
      </c>
      <c r="D1077" s="314" t="s">
        <v>66</v>
      </c>
      <c r="E1077" s="307" t="str">
        <f t="array" ref="E1077">(XLOOKUP(D1077,Roster!F:F,Roster!B:B,"",0))</f>
        <v>Natalia Cardona</v>
      </c>
      <c r="F1077" s="315" t="str">
        <f t="array" ref="F1077">IF(B1077=100,"Free",TEXT(XLOOKUP($D1077,OperationVoice!$A:$A,OperationVoice!O:O,XLOOKUP($D1077,OperationTickets!$A:$A,OperationTickets!O:O,"",0)),"hh:mm"))</f>
        <v>08:00</v>
      </c>
      <c r="G1077" s="309">
        <f t="shared" si="3"/>
        <v>0.7083333333</v>
      </c>
      <c r="H1077" s="316" t="str">
        <f t="array" ref="H1077">XLOOKUP(B1077,Roster!L:L,Roster!N:N,XLOOKUP(D1077,TicketsBreak!A:A,TicketsBreak!E:E,"",0),0)</f>
        <v>09:45 - 10:00 </v>
      </c>
      <c r="I1077" s="316" t="str">
        <f t="array" ref="I1077">XLOOKUP(B1077,Roster!L:L,Roster!O:O,XLOOKUP(D1077,TicketsBreak!A:A,TicketsBreak!F:F,"",0),0)</f>
        <v>12:30 - 13:00</v>
      </c>
      <c r="J1077" s="316" t="str">
        <f t="array" ref="J1077">XLOOKUP(B1077,Roster!L:L,Roster!P:P,XLOOKUP(D1077,TicketsBreak!A:A,TicketsBreak!G:G,"",0),0)</f>
        <v>15:00 - 15:15</v>
      </c>
      <c r="K1077" s="310">
        <f t="shared" si="4"/>
        <v>46121</v>
      </c>
      <c r="L1077" s="317">
        <f t="array" ref="L1077">(XLOOKUP(D1077,Roster!F:F,Roster!D:D,"",0))</f>
        <v>24</v>
      </c>
      <c r="M1077" s="317" t="str">
        <f t="array" ref="M1077">XLOOKUP(D1077,Roster!F:F,Roster!E:E)</f>
        <v>Voice</v>
      </c>
      <c r="N1077" s="317" t="str">
        <f t="shared" ref="N1077:P1077" si="1096">LEFT(H1077,5)</f>
        <v>09:45</v>
      </c>
      <c r="O1077" s="317" t="str">
        <f t="shared" si="1096"/>
        <v>12:30</v>
      </c>
      <c r="P1077" s="317" t="str">
        <f t="shared" si="1096"/>
        <v>15:00</v>
      </c>
      <c r="Q1077" s="318">
        <f t="shared" si="1090"/>
        <v>46121.40625</v>
      </c>
      <c r="R1077" s="318">
        <f t="shared" si="1091"/>
        <v>46121.52083</v>
      </c>
      <c r="S1077" s="318">
        <f t="shared" si="8"/>
        <v>46121.625</v>
      </c>
    </row>
    <row r="1078">
      <c r="A1078" s="14" t="str">
        <f t="shared" si="1"/>
        <v>C55646121</v>
      </c>
      <c r="B1078" s="185" t="str">
        <f t="array" ref="B1078">IF(F1078="VL","",IF(F1078="Free","Free",XLOOKUP(D1078,Roster!T:T,Roster!S:S,"",0)))</f>
        <v/>
      </c>
      <c r="C1078" s="313">
        <v>46121.0</v>
      </c>
      <c r="D1078" s="314" t="s">
        <v>167</v>
      </c>
      <c r="E1078" s="307" t="str">
        <f t="array" ref="E1078">(XLOOKUP(D1078,Roster!F:F,Roster!B:B,"",0))</f>
        <v>Nelson Londono</v>
      </c>
      <c r="F1078" s="315" t="str">
        <f t="array" ref="F1078">IF(B1078=100,"Free",TEXT(XLOOKUP($D1078,OperationVoice!$A:$A,OperationVoice!O:O,XLOOKUP($D1078,OperationTickets!$A:$A,OperationTickets!O:O,"",0)),"hh:mm"))</f>
        <v>07:00</v>
      </c>
      <c r="G1078" s="309">
        <f t="shared" si="3"/>
        <v>0.6666666667</v>
      </c>
      <c r="H1078" s="316">
        <f t="array" ref="H1078">XLOOKUP(B1078,Roster!L:L,Roster!N:N,XLOOKUP(D1078,TicketsBreak!A:A,TicketsBreak!E:E,"",0),0)</f>
        <v>0.3854166667</v>
      </c>
      <c r="I1078" s="316">
        <f t="array" ref="I1078">XLOOKUP(B1078,Roster!L:L,Roster!O:O,XLOOKUP(D1078,TicketsBreak!A:A,TicketsBreak!F:F,"",0),0)</f>
        <v>0.5833333333</v>
      </c>
      <c r="J1078" s="316">
        <f t="array" ref="J1078">XLOOKUP(B1078,Roster!L:L,Roster!P:P,XLOOKUP(D1078,TicketsBreak!A:A,TicketsBreak!G:G,"",0),0)</f>
        <v>0.6458333333</v>
      </c>
      <c r="K1078" s="310">
        <f t="shared" si="4"/>
        <v>46121</v>
      </c>
      <c r="L1078" s="317">
        <f t="array" ref="L1078">(XLOOKUP(D1078,Roster!F:F,Roster!D:D,"",0))</f>
        <v>2</v>
      </c>
      <c r="M1078" s="317" t="str">
        <f t="array" ref="M1078">XLOOKUP(D1078,Roster!F:F,Roster!E:E)</f>
        <v>Tickets</v>
      </c>
      <c r="N1078" s="317" t="str">
        <f t="shared" ref="N1078:P1078" si="1097">LEFT(H1078,5)</f>
        <v>09:15</v>
      </c>
      <c r="O1078" s="317" t="str">
        <f t="shared" si="1097"/>
        <v>14:00</v>
      </c>
      <c r="P1078" s="317" t="str">
        <f t="shared" si="1097"/>
        <v>15:30</v>
      </c>
      <c r="Q1078" s="318">
        <f t="shared" si="1090"/>
        <v>46121.38542</v>
      </c>
      <c r="R1078" s="318">
        <f t="shared" si="1091"/>
        <v>46121.58333</v>
      </c>
      <c r="S1078" s="318">
        <f t="shared" si="8"/>
        <v>46121.64583</v>
      </c>
    </row>
    <row r="1079">
      <c r="A1079" s="14" t="str">
        <f t="shared" si="1"/>
        <v>C150746121</v>
      </c>
      <c r="B1079" s="185">
        <f t="array" ref="B1079">IF(F1079="VL","",IF(F1079="Free","Free",XLOOKUP(D1079,Roster!T:T,Roster!S:S,"",0)))</f>
        <v>125</v>
      </c>
      <c r="C1079" s="313">
        <v>46121.0</v>
      </c>
      <c r="D1079" s="314" t="s">
        <v>67</v>
      </c>
      <c r="E1079" s="307" t="str">
        <f t="array" ref="E1079">(XLOOKUP(D1079,Roster!F:F,Roster!B:B,"",0))</f>
        <v>Nicols Quinones</v>
      </c>
      <c r="F1079" s="315" t="str">
        <f t="array" ref="F1079">IF(B1079=100,"Free",TEXT(XLOOKUP($D1079,OperationVoice!$A:$A,OperationVoice!O:O,XLOOKUP($D1079,OperationTickets!$A:$A,OperationTickets!O:O,"",0)),"hh:mm"))</f>
        <v>08:00</v>
      </c>
      <c r="G1079" s="309">
        <f t="shared" si="3"/>
        <v>0.7083333333</v>
      </c>
      <c r="H1079" s="316" t="str">
        <f t="array" ref="H1079">XLOOKUP(B1079,Roster!L:L,Roster!N:N,XLOOKUP(D1079,TicketsBreak!A:A,TicketsBreak!E:E,"",0),0)</f>
        <v>10:30 - 10:45</v>
      </c>
      <c r="I1079" s="316" t="str">
        <f t="array" ref="I1079">XLOOKUP(B1079,Roster!L:L,Roster!O:O,XLOOKUP(D1079,TicketsBreak!A:A,TicketsBreak!F:F,"",0),0)</f>
        <v>13:30 - 14:00</v>
      </c>
      <c r="J1079" s="316" t="str">
        <f t="array" ref="J1079">XLOOKUP(B1079,Roster!L:L,Roster!P:P,XLOOKUP(D1079,TicketsBreak!A:A,TicketsBreak!G:G,"",0),0)</f>
        <v>15:45 - 16:00</v>
      </c>
      <c r="K1079" s="310">
        <f t="shared" si="4"/>
        <v>46121</v>
      </c>
      <c r="L1079" s="317">
        <f t="array" ref="L1079">(XLOOKUP(D1079,Roster!F:F,Roster!D:D,"",0))</f>
        <v>35</v>
      </c>
      <c r="M1079" s="317" t="str">
        <f t="array" ref="M1079">XLOOKUP(D1079,Roster!F:F,Roster!E:E)</f>
        <v>Voice</v>
      </c>
      <c r="N1079" s="317" t="str">
        <f t="shared" ref="N1079:P1079" si="1098">LEFT(H1079,5)</f>
        <v>10:30</v>
      </c>
      <c r="O1079" s="317" t="str">
        <f t="shared" si="1098"/>
        <v>13:30</v>
      </c>
      <c r="P1079" s="317" t="str">
        <f t="shared" si="1098"/>
        <v>15:45</v>
      </c>
      <c r="Q1079" s="318">
        <f t="shared" si="1090"/>
        <v>46121.4375</v>
      </c>
      <c r="R1079" s="318">
        <f t="shared" si="1091"/>
        <v>46121.5625</v>
      </c>
      <c r="S1079" s="318">
        <f t="shared" si="8"/>
        <v>46121.65625</v>
      </c>
    </row>
    <row r="1080">
      <c r="A1080" s="14" t="str">
        <f t="shared" si="1"/>
        <v>C71446121</v>
      </c>
      <c r="B1080" s="185" t="str">
        <f t="array" ref="B1080">IF(F1080="VL","",IF(F1080="Free","Free",XLOOKUP(D1080,Roster!T:T,Roster!S:S,"",0)))</f>
        <v/>
      </c>
      <c r="C1080" s="313">
        <v>46121.0</v>
      </c>
      <c r="D1080" s="314" t="s">
        <v>149</v>
      </c>
      <c r="E1080" s="307" t="str">
        <f t="array" ref="E1080">(XLOOKUP(D1080,Roster!F:F,Roster!B:B,"",0))</f>
        <v>Onel Olivera</v>
      </c>
      <c r="F1080" s="315" t="str">
        <f t="array" ref="F1080">IF(B1080=100,"Free",TEXT(XLOOKUP($D1080,OperationVoice!$A:$A,OperationVoice!O:O,XLOOKUP($D1080,OperationTickets!$A:$A,OperationTickets!O:O,"",0)),"hh:mm"))</f>
        <v>08:00</v>
      </c>
      <c r="G1080" s="309">
        <f t="shared" si="3"/>
        <v>0.7083333333</v>
      </c>
      <c r="H1080" s="316">
        <f t="array" ref="H1080">XLOOKUP(B1080,Roster!L:L,Roster!N:N,XLOOKUP(D1080,TicketsBreak!A:A,TicketsBreak!E:E,"",0),0)</f>
        <v>0.4166666667</v>
      </c>
      <c r="I1080" s="316">
        <f t="array" ref="I1080">XLOOKUP(B1080,Roster!L:L,Roster!O:O,XLOOKUP(D1080,TicketsBreak!A:A,TicketsBreak!F:F,"",0),0)</f>
        <v>0.5</v>
      </c>
      <c r="J1080" s="316">
        <f t="array" ref="J1080">XLOOKUP(B1080,Roster!L:L,Roster!P:P,XLOOKUP(D1080,TicketsBreak!A:A,TicketsBreak!G:G,"",0),0)</f>
        <v>0.625</v>
      </c>
      <c r="K1080" s="310">
        <f t="shared" si="4"/>
        <v>46121</v>
      </c>
      <c r="L1080" s="317">
        <f t="array" ref="L1080">(XLOOKUP(D1080,Roster!F:F,Roster!D:D,"",0))</f>
        <v>1</v>
      </c>
      <c r="M1080" s="317" t="str">
        <f t="array" ref="M1080">XLOOKUP(D1080,Roster!F:F,Roster!E:E)</f>
        <v>Tickets</v>
      </c>
      <c r="N1080" s="317" t="str">
        <f t="shared" ref="N1080:P1080" si="1099">LEFT(H1080,5)</f>
        <v>10:00</v>
      </c>
      <c r="O1080" s="317" t="str">
        <f t="shared" si="1099"/>
        <v>12:00</v>
      </c>
      <c r="P1080" s="317" t="str">
        <f t="shared" si="1099"/>
        <v>15:00</v>
      </c>
      <c r="Q1080" s="318">
        <f t="shared" si="1090"/>
        <v>46121.41667</v>
      </c>
      <c r="R1080" s="318">
        <f t="shared" si="1091"/>
        <v>46121.5</v>
      </c>
      <c r="S1080" s="318">
        <f t="shared" si="8"/>
        <v>46121.625</v>
      </c>
    </row>
    <row r="1081">
      <c r="A1081" s="14" t="str">
        <f t="shared" si="1"/>
        <v>C116446121</v>
      </c>
      <c r="B1081" s="185" t="str">
        <f t="array" ref="B1081">IF(F1081="VL","",IF(F1081="Free","Free",XLOOKUP(D1081,Roster!T:T,Roster!S:S,"",0)))</f>
        <v/>
      </c>
      <c r="C1081" s="313">
        <v>46121.0</v>
      </c>
      <c r="D1081" s="314" t="s">
        <v>179</v>
      </c>
      <c r="E1081" s="307" t="str">
        <f t="array" ref="E1081">(XLOOKUP(D1081,Roster!F:F,Roster!B:B,"",0))</f>
        <v>Oscar Florez</v>
      </c>
      <c r="F1081" s="315" t="str">
        <f t="array" ref="F1081">IF(B1081=100,"Free",TEXT(XLOOKUP($D1081,OperationVoice!$A:$A,OperationVoice!O:O,XLOOKUP($D1081,OperationTickets!$A:$A,OperationTickets!O:O,"",0)),"hh:mm"))</f>
        <v>08:00</v>
      </c>
      <c r="G1081" s="309">
        <f t="shared" si="3"/>
        <v>0.7083333333</v>
      </c>
      <c r="H1081" s="316" t="str">
        <f t="array" ref="H1081">XLOOKUP(B1081,Roster!L:L,Roster!N:N,XLOOKUP(D1081,TicketsBreak!A:A,TicketsBreak!E:E,"",0),0)</f>
        <v/>
      </c>
      <c r="I1081" s="316" t="str">
        <f t="array" ref="I1081">XLOOKUP(B1081,Roster!L:L,Roster!O:O,XLOOKUP(D1081,TicketsBreak!A:A,TicketsBreak!F:F,"",0),0)</f>
        <v/>
      </c>
      <c r="J1081" s="316" t="str">
        <f t="array" ref="J1081">XLOOKUP(B1081,Roster!L:L,Roster!P:P,XLOOKUP(D1081,TicketsBreak!A:A,TicketsBreak!G:G,"",0),0)</f>
        <v/>
      </c>
      <c r="K1081" s="310">
        <f t="shared" si="4"/>
        <v>46121</v>
      </c>
      <c r="L1081" s="317">
        <f t="array" ref="L1081">(XLOOKUP(D1081,Roster!F:F,Roster!D:D,"",0))</f>
        <v>24</v>
      </c>
      <c r="M1081" s="317" t="str">
        <f t="array" ref="M1081">XLOOKUP(D1081,Roster!F:F,Roster!E:E)</f>
        <v>Tickets</v>
      </c>
      <c r="N1081" s="317" t="str">
        <f t="shared" ref="N1081:P1081" si="1100">LEFT(H1081,5)</f>
        <v/>
      </c>
      <c r="O1081" s="317" t="str">
        <f t="shared" si="1100"/>
        <v/>
      </c>
      <c r="P1081" s="317" t="str">
        <f t="shared" si="1100"/>
        <v/>
      </c>
      <c r="Q1081" s="318" t="str">
        <f t="shared" si="1090"/>
        <v/>
      </c>
      <c r="R1081" s="318" t="str">
        <f t="shared" si="1091"/>
        <v/>
      </c>
      <c r="S1081" s="318" t="str">
        <f t="shared" si="8"/>
        <v/>
      </c>
    </row>
    <row r="1082">
      <c r="A1082" s="14" t="str">
        <f t="shared" si="1"/>
        <v>C153846121</v>
      </c>
      <c r="B1082" s="185">
        <f t="array" ref="B1082">IF(F1082="VL","",IF(F1082="Free","Free",XLOOKUP(D1082,Roster!T:T,Roster!S:S,"",0)))</f>
        <v>151</v>
      </c>
      <c r="C1082" s="313">
        <v>46121.0</v>
      </c>
      <c r="D1082" s="314" t="s">
        <v>68</v>
      </c>
      <c r="E1082" s="307" t="str">
        <f t="array" ref="E1082">(XLOOKUP(D1082,Roster!F:F,Roster!B:B,"",0))</f>
        <v>Oscar Roldan</v>
      </c>
      <c r="F1082" s="315" t="str">
        <f t="array" ref="F1082">IF(B1082=100,"Free",TEXT(XLOOKUP($D1082,OperationVoice!$A:$A,OperationVoice!O:O,XLOOKUP($D1082,OperationTickets!$A:$A,OperationTickets!O:O,"",0)),"hh:mm"))</f>
        <v>11:00</v>
      </c>
      <c r="G1082" s="309">
        <f t="shared" si="3"/>
        <v>0.8333333333</v>
      </c>
      <c r="H1082" s="316" t="str">
        <f t="array" ref="H1082">XLOOKUP(B1082,Roster!L:L,Roster!N:N,XLOOKUP(D1082,TicketsBreak!A:A,TicketsBreak!E:E,"",0),0)</f>
        <v>12:15 - 12:30</v>
      </c>
      <c r="I1082" s="316" t="str">
        <f t="array" ref="I1082">XLOOKUP(B1082,Roster!L:L,Roster!O:O,XLOOKUP(D1082,TicketsBreak!A:A,TicketsBreak!F:F,"",0),0)</f>
        <v>14:00 - 14:30</v>
      </c>
      <c r="J1082" s="316" t="str">
        <f t="array" ref="J1082">XLOOKUP(B1082,Roster!L:L,Roster!P:P,XLOOKUP(D1082,TicketsBreak!A:A,TicketsBreak!G:G,"",0),0)</f>
        <v>17:15 - 17:30</v>
      </c>
      <c r="K1082" s="310">
        <f t="shared" si="4"/>
        <v>46121</v>
      </c>
      <c r="L1082" s="317">
        <f t="array" ref="L1082">(XLOOKUP(D1082,Roster!F:F,Roster!D:D,"",0))</f>
        <v>36</v>
      </c>
      <c r="M1082" s="317" t="str">
        <f t="array" ref="M1082">XLOOKUP(D1082,Roster!F:F,Roster!E:E)</f>
        <v>Voice</v>
      </c>
      <c r="N1082" s="317" t="str">
        <f t="shared" ref="N1082:P1082" si="1101">LEFT(H1082,5)</f>
        <v>12:15</v>
      </c>
      <c r="O1082" s="317" t="str">
        <f t="shared" si="1101"/>
        <v>14:00</v>
      </c>
      <c r="P1082" s="317" t="str">
        <f t="shared" si="1101"/>
        <v>17:15</v>
      </c>
      <c r="Q1082" s="318">
        <f t="shared" si="1090"/>
        <v>46121.51042</v>
      </c>
      <c r="R1082" s="318">
        <f t="shared" si="1091"/>
        <v>46121.58333</v>
      </c>
      <c r="S1082" s="318">
        <f t="shared" si="8"/>
        <v>46121.71875</v>
      </c>
    </row>
    <row r="1083">
      <c r="A1083" s="14" t="str">
        <f t="shared" si="1"/>
        <v>C151146121</v>
      </c>
      <c r="B1083" s="185">
        <f t="array" ref="B1083">IF(F1083="VL","",IF(F1083="Free","Free",XLOOKUP(D1083,Roster!T:T,Roster!S:S,"",0)))</f>
        <v>131</v>
      </c>
      <c r="C1083" s="313">
        <v>46121.0</v>
      </c>
      <c r="D1083" s="314" t="s">
        <v>69</v>
      </c>
      <c r="E1083" s="307" t="str">
        <f t="array" ref="E1083">(XLOOKUP(D1083,Roster!F:F,Roster!B:B,"",0))</f>
        <v>Salma Giraldo</v>
      </c>
      <c r="F1083" s="315" t="str">
        <f t="array" ref="F1083">IF(B1083=100,"Free",TEXT(XLOOKUP($D1083,OperationVoice!$A:$A,OperationVoice!O:O,XLOOKUP($D1083,OperationTickets!$A:$A,OperationTickets!O:O,"",0)),"hh:mm"))</f>
        <v>08:00</v>
      </c>
      <c r="G1083" s="309">
        <f t="shared" si="3"/>
        <v>0.7083333333</v>
      </c>
      <c r="H1083" s="316" t="str">
        <f t="array" ref="H1083">XLOOKUP(B1083,Roster!L:L,Roster!N:N,XLOOKUP(D1083,TicketsBreak!A:A,TicketsBreak!E:E,"",0),0)</f>
        <v>10:15 - 10:30</v>
      </c>
      <c r="I1083" s="316" t="str">
        <f t="array" ref="I1083">XLOOKUP(B1083,Roster!L:L,Roster!O:O,XLOOKUP(D1083,TicketsBreak!A:A,TicketsBreak!F:F,"",0),0)</f>
        <v>12:30 - 13:00</v>
      </c>
      <c r="J1083" s="316" t="str">
        <f t="array" ref="J1083">XLOOKUP(B1083,Roster!L:L,Roster!P:P,XLOOKUP(D1083,TicketsBreak!A:A,TicketsBreak!G:G,"",0),0)</f>
        <v>15:15 - 15:30</v>
      </c>
      <c r="K1083" s="310">
        <f t="shared" si="4"/>
        <v>46121</v>
      </c>
      <c r="L1083" s="317">
        <f t="array" ref="L1083">(XLOOKUP(D1083,Roster!F:F,Roster!D:D,"",0))</f>
        <v>35</v>
      </c>
      <c r="M1083" s="317" t="str">
        <f t="array" ref="M1083">XLOOKUP(D1083,Roster!F:F,Roster!E:E)</f>
        <v>Voice</v>
      </c>
      <c r="N1083" s="317" t="str">
        <f t="shared" ref="N1083:P1083" si="1102">LEFT(H1083,5)</f>
        <v>10:15</v>
      </c>
      <c r="O1083" s="317" t="str">
        <f t="shared" si="1102"/>
        <v>12:30</v>
      </c>
      <c r="P1083" s="317" t="str">
        <f t="shared" si="1102"/>
        <v>15:15</v>
      </c>
      <c r="Q1083" s="318">
        <f t="shared" si="1090"/>
        <v>46121.42708</v>
      </c>
      <c r="R1083" s="318">
        <f t="shared" si="1091"/>
        <v>46121.52083</v>
      </c>
      <c r="S1083" s="318">
        <f t="shared" si="8"/>
        <v>46121.63542</v>
      </c>
    </row>
    <row r="1084">
      <c r="A1084" s="14" t="str">
        <f t="shared" si="1"/>
        <v>C93346121</v>
      </c>
      <c r="B1084" s="185">
        <f t="array" ref="B1084">IF(F1084="VL","",IF(F1084="Free","Free",XLOOKUP(D1084,Roster!T:T,Roster!S:S,"",0)))</f>
        <v>124</v>
      </c>
      <c r="C1084" s="313">
        <v>46121.0</v>
      </c>
      <c r="D1084" s="314" t="s">
        <v>70</v>
      </c>
      <c r="E1084" s="307" t="str">
        <f t="array" ref="E1084">(XLOOKUP(D1084,Roster!F:F,Roster!B:B,"",0))</f>
        <v>Salome Arias</v>
      </c>
      <c r="F1084" s="315" t="str">
        <f t="array" ref="F1084">IF(B1084=100,"Free",TEXT(XLOOKUP($D1084,OperationVoice!$A:$A,OperationVoice!O:O,XLOOKUP($D1084,OperationTickets!$A:$A,OperationTickets!O:O,"",0)),"hh:mm"))</f>
        <v>08:00</v>
      </c>
      <c r="G1084" s="309">
        <f t="shared" si="3"/>
        <v>0.7083333333</v>
      </c>
      <c r="H1084" s="316" t="str">
        <f t="array" ref="H1084">XLOOKUP(B1084,Roster!L:L,Roster!N:N,XLOOKUP(D1084,TicketsBreak!A:A,TicketsBreak!E:E,"",0),0)</f>
        <v>10:00 - 10:15</v>
      </c>
      <c r="I1084" s="316" t="str">
        <f t="array" ref="I1084">XLOOKUP(B1084,Roster!L:L,Roster!O:O,XLOOKUP(D1084,TicketsBreak!A:A,TicketsBreak!F:F,"",0),0)</f>
        <v>13:00 - 13:30</v>
      </c>
      <c r="J1084" s="316" t="str">
        <f t="array" ref="J1084">XLOOKUP(B1084,Roster!L:L,Roster!P:P,XLOOKUP(D1084,TicketsBreak!A:A,TicketsBreak!G:G,"",0),0)</f>
        <v>15:30 - 15:45</v>
      </c>
      <c r="K1084" s="310">
        <f t="shared" si="4"/>
        <v>46121</v>
      </c>
      <c r="L1084" s="317">
        <f t="array" ref="L1084">(XLOOKUP(D1084,Roster!F:F,Roster!D:D,"",0))</f>
        <v>12</v>
      </c>
      <c r="M1084" s="317" t="str">
        <f t="array" ref="M1084">XLOOKUP(D1084,Roster!F:F,Roster!E:E)</f>
        <v>Voice</v>
      </c>
      <c r="N1084" s="317" t="str">
        <f t="shared" ref="N1084:P1084" si="1103">LEFT(H1084,5)</f>
        <v>10:00</v>
      </c>
      <c r="O1084" s="317" t="str">
        <f t="shared" si="1103"/>
        <v>13:00</v>
      </c>
      <c r="P1084" s="317" t="str">
        <f t="shared" si="1103"/>
        <v>15:30</v>
      </c>
      <c r="Q1084" s="318">
        <f t="shared" si="1090"/>
        <v>46121.41667</v>
      </c>
      <c r="R1084" s="318">
        <f t="shared" si="1091"/>
        <v>46121.54167</v>
      </c>
      <c r="S1084" s="318">
        <f t="shared" si="8"/>
        <v>46121.64583</v>
      </c>
    </row>
    <row r="1085">
      <c r="A1085" s="14" t="str">
        <f t="shared" si="1"/>
        <v>C128246121</v>
      </c>
      <c r="B1085" s="185" t="str">
        <f t="array" ref="B1085">IF(F1085="VL","",IF(F1085="Free","Free",XLOOKUP(D1085,Roster!T:T,Roster!S:S,"",0)))</f>
        <v/>
      </c>
      <c r="C1085" s="313">
        <v>46121.0</v>
      </c>
      <c r="D1085" s="314" t="s">
        <v>168</v>
      </c>
      <c r="E1085" s="307" t="str">
        <f t="array" ref="E1085">(XLOOKUP(D1085,Roster!F:F,Roster!B:B,"",0))</f>
        <v>Samuel Acevedo</v>
      </c>
      <c r="F1085" s="315" t="str">
        <f t="array" ref="F1085">IF(B1085=100,"Free",TEXT(XLOOKUP($D1085,OperationVoice!$A:$A,OperationVoice!O:O,XLOOKUP($D1085,OperationTickets!$A:$A,OperationTickets!O:O,"",0)),"hh:mm"))</f>
        <v>08:00</v>
      </c>
      <c r="G1085" s="309">
        <f t="shared" si="3"/>
        <v>0.7083333333</v>
      </c>
      <c r="H1085" s="316" t="str">
        <f t="array" ref="H1085">XLOOKUP(B1085,Roster!L:L,Roster!N:N,XLOOKUP(D1085,TicketsBreak!A:A,TicketsBreak!E:E,"",0),0)</f>
        <v/>
      </c>
      <c r="I1085" s="316" t="str">
        <f t="array" ref="I1085">XLOOKUP(B1085,Roster!L:L,Roster!O:O,XLOOKUP(D1085,TicketsBreak!A:A,TicketsBreak!F:F,"",0),0)</f>
        <v/>
      </c>
      <c r="J1085" s="316" t="str">
        <f t="array" ref="J1085">XLOOKUP(B1085,Roster!L:L,Roster!P:P,XLOOKUP(D1085,TicketsBreak!A:A,TicketsBreak!G:G,"",0),0)</f>
        <v/>
      </c>
      <c r="K1085" s="310">
        <f t="shared" si="4"/>
        <v>46121</v>
      </c>
      <c r="L1085" s="317">
        <f t="array" ref="L1085">(XLOOKUP(D1085,Roster!F:F,Roster!D:D,"",0))</f>
        <v>27</v>
      </c>
      <c r="M1085" s="317" t="str">
        <f t="array" ref="M1085">XLOOKUP(D1085,Roster!F:F,Roster!E:E)</f>
        <v>Tickets</v>
      </c>
      <c r="N1085" s="317" t="str">
        <f t="shared" ref="N1085:P1085" si="1104">LEFT(H1085,5)</f>
        <v/>
      </c>
      <c r="O1085" s="317" t="str">
        <f t="shared" si="1104"/>
        <v/>
      </c>
      <c r="P1085" s="317" t="str">
        <f t="shared" si="1104"/>
        <v/>
      </c>
      <c r="Q1085" s="318" t="str">
        <f t="shared" si="1090"/>
        <v/>
      </c>
      <c r="R1085" s="318" t="str">
        <f t="shared" si="1091"/>
        <v/>
      </c>
      <c r="S1085" s="318" t="str">
        <f t="shared" si="8"/>
        <v/>
      </c>
    </row>
    <row r="1086">
      <c r="A1086" s="14" t="str">
        <f t="shared" si="1"/>
        <v>C156446121</v>
      </c>
      <c r="B1086" s="185" t="str">
        <f t="array" ref="B1086">IF(F1086="VL","",IF(F1086="Free","Free",XLOOKUP(D1086,Roster!T:T,Roster!S:S,"",0)))</f>
        <v>Free</v>
      </c>
      <c r="C1086" s="313">
        <v>46121.0</v>
      </c>
      <c r="D1086" s="314" t="s">
        <v>71</v>
      </c>
      <c r="E1086" s="307" t="str">
        <f t="array" ref="E1086">(XLOOKUP(D1086,Roster!F:F,Roster!B:B,"",0))</f>
        <v>Samuel Acevedo Cadavid</v>
      </c>
      <c r="F1086" s="315" t="str">
        <f t="array" ref="F1086">IF(B1086=100,"Free",TEXT(XLOOKUP($D1086,OperationVoice!$A:$A,OperationVoice!O:O,XLOOKUP($D1086,OperationTickets!$A:$A,OperationTickets!O:O,"",0)),"hh:mm"))</f>
        <v>Free</v>
      </c>
      <c r="G1086" s="309" t="str">
        <f t="shared" si="3"/>
        <v>Free</v>
      </c>
      <c r="H1086" s="316" t="str">
        <f t="array" ref="H1086">XLOOKUP(B1086,Roster!L:L,Roster!N:N,XLOOKUP(D1086,TicketsBreak!A:A,TicketsBreak!E:E,"",0),0)</f>
        <v/>
      </c>
      <c r="I1086" s="316" t="str">
        <f t="array" ref="I1086">XLOOKUP(B1086,Roster!L:L,Roster!O:O,XLOOKUP(D1086,TicketsBreak!A:A,TicketsBreak!F:F,"",0),0)</f>
        <v/>
      </c>
      <c r="J1086" s="316" t="str">
        <f t="array" ref="J1086">XLOOKUP(B1086,Roster!L:L,Roster!P:P,XLOOKUP(D1086,TicketsBreak!A:A,TicketsBreak!G:G,"",0),0)</f>
        <v/>
      </c>
      <c r="K1086" s="310">
        <f t="shared" si="4"/>
        <v>46121</v>
      </c>
      <c r="L1086" s="317">
        <f t="array" ref="L1086">(XLOOKUP(D1086,Roster!F:F,Roster!D:D,"",0))</f>
        <v>38</v>
      </c>
      <c r="M1086" s="317" t="str">
        <f t="array" ref="M1086">XLOOKUP(D1086,Roster!F:F,Roster!E:E)</f>
        <v>Voice</v>
      </c>
      <c r="N1086" s="317" t="str">
        <f t="shared" ref="N1086:P1086" si="1105">LEFT(H1086,5)</f>
        <v/>
      </c>
      <c r="O1086" s="317" t="str">
        <f t="shared" si="1105"/>
        <v/>
      </c>
      <c r="P1086" s="317" t="str">
        <f t="shared" si="1105"/>
        <v/>
      </c>
      <c r="Q1086" s="318" t="str">
        <f t="shared" si="1090"/>
        <v/>
      </c>
      <c r="R1086" s="318" t="str">
        <f t="shared" si="1091"/>
        <v/>
      </c>
      <c r="S1086" s="318" t="str">
        <f t="shared" si="8"/>
        <v/>
      </c>
    </row>
    <row r="1087">
      <c r="A1087" s="14" t="str">
        <f t="shared" si="1"/>
        <v>C116846121</v>
      </c>
      <c r="B1087" s="185">
        <f t="array" ref="B1087">IF(F1087="VL","",IF(F1087="Free","Free",XLOOKUP(D1087,Roster!T:T,Roster!S:S,"",0)))</f>
        <v>125</v>
      </c>
      <c r="C1087" s="313">
        <v>46121.0</v>
      </c>
      <c r="D1087" s="314" t="s">
        <v>180</v>
      </c>
      <c r="E1087" s="307" t="str">
        <f t="array" ref="E1087">(XLOOKUP(D1087,Roster!F:F,Roster!B:B,"",0))</f>
        <v>Santiago Gaviria</v>
      </c>
      <c r="F1087" s="315" t="str">
        <f t="array" ref="F1087">IF(B1087=100,"Free",TEXT(XLOOKUP($D1087,OperationVoice!$A:$A,OperationVoice!O:O,XLOOKUP($D1087,OperationTickets!$A:$A,OperationTickets!O:O,"",0)),"hh:mm"))</f>
        <v>08:00</v>
      </c>
      <c r="G1087" s="309">
        <f t="shared" si="3"/>
        <v>0.7083333333</v>
      </c>
      <c r="H1087" s="316" t="str">
        <f t="array" ref="H1087">XLOOKUP(B1087,Roster!L:L,Roster!N:N,XLOOKUP(D1087,TicketsBreak!A:A,TicketsBreak!E:E,"",0),0)</f>
        <v>10:30 - 10:45</v>
      </c>
      <c r="I1087" s="316" t="str">
        <f t="array" ref="I1087">XLOOKUP(B1087,Roster!L:L,Roster!O:O,XLOOKUP(D1087,TicketsBreak!A:A,TicketsBreak!F:F,"",0),0)</f>
        <v>13:30 - 14:00</v>
      </c>
      <c r="J1087" s="316" t="str">
        <f t="array" ref="J1087">XLOOKUP(B1087,Roster!L:L,Roster!P:P,XLOOKUP(D1087,TicketsBreak!A:A,TicketsBreak!G:G,"",0),0)</f>
        <v>15:45 - 16:00</v>
      </c>
      <c r="K1087" s="310">
        <f t="shared" si="4"/>
        <v>46121</v>
      </c>
      <c r="L1087" s="317">
        <f t="array" ref="L1087">(XLOOKUP(D1087,Roster!F:F,Roster!D:D,"",0))</f>
        <v>24</v>
      </c>
      <c r="M1087" s="317" t="str">
        <f t="array" ref="M1087">XLOOKUP(D1087,Roster!F:F,Roster!E:E)</f>
        <v>Tickets</v>
      </c>
      <c r="N1087" s="317" t="str">
        <f t="shared" ref="N1087:P1087" si="1106">LEFT(H1087,5)</f>
        <v>10:30</v>
      </c>
      <c r="O1087" s="317" t="str">
        <f t="shared" si="1106"/>
        <v>13:30</v>
      </c>
      <c r="P1087" s="317" t="str">
        <f t="shared" si="1106"/>
        <v>15:45</v>
      </c>
      <c r="Q1087" s="318">
        <f t="shared" si="1090"/>
        <v>46121.4375</v>
      </c>
      <c r="R1087" s="318">
        <f t="shared" si="1091"/>
        <v>46121.5625</v>
      </c>
      <c r="S1087" s="318">
        <f t="shared" si="8"/>
        <v>46121.65625</v>
      </c>
    </row>
    <row r="1088">
      <c r="A1088" s="14" t="str">
        <f t="shared" si="1"/>
        <v>C122046121</v>
      </c>
      <c r="B1088" s="185" t="str">
        <f t="array" ref="B1088">IF(F1088="VL","",IF(F1088="Free","Free",XLOOKUP(D1088,Roster!T:T,Roster!S:S,"",0)))</f>
        <v/>
      </c>
      <c r="C1088" s="313">
        <v>46121.0</v>
      </c>
      <c r="D1088" s="314" t="s">
        <v>181</v>
      </c>
      <c r="E1088" s="307" t="str">
        <f t="array" ref="E1088">(XLOOKUP(D1088,Roster!F:F,Roster!B:B,"",0))</f>
        <v>Santiago Gonzalez</v>
      </c>
      <c r="F1088" s="315" t="str">
        <f t="array" ref="F1088">IF(B1088=100,"Free",TEXT(XLOOKUP($D1088,OperationVoice!$A:$A,OperationVoice!O:O,XLOOKUP($D1088,OperationTickets!$A:$A,OperationTickets!O:O,"",0)),"hh:mm"))</f>
        <v>08:00</v>
      </c>
      <c r="G1088" s="309">
        <f t="shared" si="3"/>
        <v>0.7083333333</v>
      </c>
      <c r="H1088" s="316" t="str">
        <f t="array" ref="H1088">XLOOKUP(B1088,Roster!L:L,Roster!N:N,XLOOKUP(D1088,TicketsBreak!A:A,TicketsBreak!E:E,"",0),0)</f>
        <v/>
      </c>
      <c r="I1088" s="316" t="str">
        <f t="array" ref="I1088">XLOOKUP(B1088,Roster!L:L,Roster!O:O,XLOOKUP(D1088,TicketsBreak!A:A,TicketsBreak!F:F,"",0),0)</f>
        <v/>
      </c>
      <c r="J1088" s="316" t="str">
        <f t="array" ref="J1088">XLOOKUP(B1088,Roster!L:L,Roster!P:P,XLOOKUP(D1088,TicketsBreak!A:A,TicketsBreak!G:G,"",0),0)</f>
        <v/>
      </c>
      <c r="K1088" s="310">
        <f t="shared" si="4"/>
        <v>46121</v>
      </c>
      <c r="L1088" s="317">
        <f t="array" ref="L1088">(XLOOKUP(D1088,Roster!F:F,Roster!D:D,"",0))</f>
        <v>26</v>
      </c>
      <c r="M1088" s="317" t="str">
        <f t="array" ref="M1088">XLOOKUP(D1088,Roster!F:F,Roster!E:E)</f>
        <v>Tickets</v>
      </c>
      <c r="N1088" s="317" t="str">
        <f t="shared" ref="N1088:P1088" si="1107">LEFT(H1088,5)</f>
        <v/>
      </c>
      <c r="O1088" s="317" t="str">
        <f t="shared" si="1107"/>
        <v/>
      </c>
      <c r="P1088" s="317" t="str">
        <f t="shared" si="1107"/>
        <v/>
      </c>
      <c r="Q1088" s="318" t="str">
        <f t="shared" si="1090"/>
        <v/>
      </c>
      <c r="R1088" s="318" t="str">
        <f t="shared" si="1091"/>
        <v/>
      </c>
      <c r="S1088" s="318" t="str">
        <f t="shared" si="8"/>
        <v/>
      </c>
    </row>
    <row r="1089">
      <c r="A1089" s="14" t="str">
        <f t="shared" si="1"/>
        <v>C140646121</v>
      </c>
      <c r="B1089" s="185">
        <f t="array" ref="B1089">IF(F1089="VL","",IF(F1089="Free","Free",XLOOKUP(D1089,Roster!T:T,Roster!S:S,"",0)))</f>
        <v>152</v>
      </c>
      <c r="C1089" s="313">
        <v>46121.0</v>
      </c>
      <c r="D1089" s="314" t="s">
        <v>72</v>
      </c>
      <c r="E1089" s="307" t="str">
        <f t="array" ref="E1089">(XLOOKUP(D1089,Roster!F:F,Roster!B:B,"",0))</f>
        <v>Santiago Mora</v>
      </c>
      <c r="F1089" s="315" t="str">
        <f t="array" ref="F1089">IF(B1089=100,"Free",TEXT(XLOOKUP($D1089,OperationVoice!$A:$A,OperationVoice!O:O,XLOOKUP($D1089,OperationTickets!$A:$A,OperationTickets!O:O,"",0)),"hh:mm"))</f>
        <v>11:00</v>
      </c>
      <c r="G1089" s="309">
        <f t="shared" si="3"/>
        <v>0.8333333333</v>
      </c>
      <c r="H1089" s="316" t="str">
        <f t="array" ref="H1089">XLOOKUP(B1089,Roster!L:L,Roster!N:N,XLOOKUP(D1089,TicketsBreak!A:A,TicketsBreak!E:E,"",0),0)</f>
        <v>12:30 - 12:45</v>
      </c>
      <c r="I1089" s="316" t="str">
        <f t="array" ref="I1089">XLOOKUP(B1089,Roster!L:L,Roster!O:O,XLOOKUP(D1089,TicketsBreak!A:A,TicketsBreak!F:F,"",0),0)</f>
        <v>14:30 - 15:00</v>
      </c>
      <c r="J1089" s="316" t="str">
        <f t="array" ref="J1089">XLOOKUP(B1089,Roster!L:L,Roster!P:P,XLOOKUP(D1089,TicketsBreak!A:A,TicketsBreak!G:G,"",0),0)</f>
        <v>17:30 - 17:45</v>
      </c>
      <c r="K1089" s="310">
        <f t="shared" si="4"/>
        <v>46121</v>
      </c>
      <c r="L1089" s="317">
        <f t="array" ref="L1089">(XLOOKUP(D1089,Roster!F:F,Roster!D:D,"",0))</f>
        <v>35</v>
      </c>
      <c r="M1089" s="317" t="str">
        <f t="array" ref="M1089">XLOOKUP(D1089,Roster!F:F,Roster!E:E)</f>
        <v>Voice</v>
      </c>
      <c r="N1089" s="317" t="str">
        <f t="shared" ref="N1089:P1089" si="1108">LEFT(H1089,5)</f>
        <v>12:30</v>
      </c>
      <c r="O1089" s="317" t="str">
        <f t="shared" si="1108"/>
        <v>14:30</v>
      </c>
      <c r="P1089" s="317" t="str">
        <f t="shared" si="1108"/>
        <v>17:30</v>
      </c>
      <c r="Q1089" s="318">
        <f t="shared" si="1090"/>
        <v>46121.52083</v>
      </c>
      <c r="R1089" s="318">
        <f t="shared" si="1091"/>
        <v>46121.60417</v>
      </c>
      <c r="S1089" s="318">
        <f t="shared" si="8"/>
        <v>46121.72917</v>
      </c>
    </row>
    <row r="1090">
      <c r="A1090" s="14" t="str">
        <f t="shared" si="1"/>
        <v>C119946121</v>
      </c>
      <c r="B1090" s="185" t="str">
        <f t="array" ref="B1090">IF(F1090="VL","",IF(F1090="Free","Free",XLOOKUP(D1090,Roster!T:T,Roster!S:S,"",0)))</f>
        <v/>
      </c>
      <c r="C1090" s="313">
        <v>46121.0</v>
      </c>
      <c r="D1090" s="314" t="s">
        <v>182</v>
      </c>
      <c r="E1090" s="307" t="str">
        <f t="array" ref="E1090">(XLOOKUP(D1090,Roster!F:F,Roster!B:B,"",0))</f>
        <v>Santiago Velasquez</v>
      </c>
      <c r="F1090" s="315" t="str">
        <f t="array" ref="F1090">IF(B1090=100,"Free",TEXT(XLOOKUP($D1090,OperationVoice!$A:$A,OperationVoice!O:O,XLOOKUP($D1090,OperationTickets!$A:$A,OperationTickets!O:O,"",0)),"hh:mm"))</f>
        <v>08:00</v>
      </c>
      <c r="G1090" s="309">
        <f t="shared" si="3"/>
        <v>0.7083333333</v>
      </c>
      <c r="H1090" s="316" t="str">
        <f t="array" ref="H1090">XLOOKUP(B1090,Roster!L:L,Roster!N:N,XLOOKUP(D1090,TicketsBreak!A:A,TicketsBreak!E:E,"",0),0)</f>
        <v/>
      </c>
      <c r="I1090" s="316" t="str">
        <f t="array" ref="I1090">XLOOKUP(B1090,Roster!L:L,Roster!O:O,XLOOKUP(D1090,TicketsBreak!A:A,TicketsBreak!F:F,"",0),0)</f>
        <v/>
      </c>
      <c r="J1090" s="316" t="str">
        <f t="array" ref="J1090">XLOOKUP(B1090,Roster!L:L,Roster!P:P,XLOOKUP(D1090,TicketsBreak!A:A,TicketsBreak!G:G,"",0),0)</f>
        <v/>
      </c>
      <c r="K1090" s="310">
        <f t="shared" si="4"/>
        <v>46121</v>
      </c>
      <c r="L1090" s="317">
        <f t="array" ref="L1090">(XLOOKUP(D1090,Roster!F:F,Roster!D:D,"",0))</f>
        <v>25</v>
      </c>
      <c r="M1090" s="317" t="str">
        <f t="array" ref="M1090">XLOOKUP(D1090,Roster!F:F,Roster!E:E)</f>
        <v>Tickets</v>
      </c>
      <c r="N1090" s="317" t="str">
        <f t="shared" ref="N1090:P1090" si="1109">LEFT(H1090,5)</f>
        <v/>
      </c>
      <c r="O1090" s="317" t="str">
        <f t="shared" si="1109"/>
        <v/>
      </c>
      <c r="P1090" s="317" t="str">
        <f t="shared" si="1109"/>
        <v/>
      </c>
      <c r="Q1090" s="318" t="str">
        <f t="shared" si="1090"/>
        <v/>
      </c>
      <c r="R1090" s="318" t="str">
        <f t="shared" si="1091"/>
        <v/>
      </c>
      <c r="S1090" s="318" t="str">
        <f t="shared" si="8"/>
        <v/>
      </c>
    </row>
    <row r="1091">
      <c r="A1091" s="14" t="str">
        <f t="shared" si="1"/>
        <v>C90246121</v>
      </c>
      <c r="B1091" s="185" t="str">
        <f t="array" ref="B1091">IF(F1091="VL","",IF(F1091="Free","Free",XLOOKUP(D1091,Roster!T:T,Roster!S:S,"",0)))</f>
        <v/>
      </c>
      <c r="C1091" s="313">
        <v>46121.0</v>
      </c>
      <c r="D1091" s="314" t="s">
        <v>150</v>
      </c>
      <c r="E1091" s="307" t="str">
        <f t="array" ref="E1091">(XLOOKUP(D1091,Roster!F:F,Roster!B:B,"",0))</f>
        <v>Sebastiam Vallejo</v>
      </c>
      <c r="F1091" s="315" t="str">
        <f t="array" ref="F1091">IF(B1091=100,"Free",TEXT(XLOOKUP($D1091,OperationVoice!$A:$A,OperationVoice!O:O,XLOOKUP($D1091,OperationTickets!$A:$A,OperationTickets!O:O,"",0)),"hh:mm"))</f>
        <v>08:00</v>
      </c>
      <c r="G1091" s="309">
        <f t="shared" si="3"/>
        <v>0.7083333333</v>
      </c>
      <c r="H1091" s="316">
        <f t="array" ref="H1091">XLOOKUP(B1091,Roster!L:L,Roster!N:N,XLOOKUP(D1091,TicketsBreak!A:A,TicketsBreak!E:E,"",0),0)</f>
        <v>0.4375</v>
      </c>
      <c r="I1091" s="316">
        <f t="array" ref="I1091">XLOOKUP(B1091,Roster!L:L,Roster!O:O,XLOOKUP(D1091,TicketsBreak!A:A,TicketsBreak!F:F,"",0),0)</f>
        <v>0.6041666667</v>
      </c>
      <c r="J1091" s="316">
        <f t="array" ref="J1091">XLOOKUP(B1091,Roster!L:L,Roster!P:P,XLOOKUP(D1091,TicketsBreak!A:A,TicketsBreak!G:G,"",0),0)</f>
        <v>0.65625</v>
      </c>
      <c r="K1091" s="310">
        <f t="shared" si="4"/>
        <v>46121</v>
      </c>
      <c r="L1091" s="317">
        <f t="array" ref="L1091">(XLOOKUP(D1091,Roster!F:F,Roster!D:D,"",0))</f>
        <v>11</v>
      </c>
      <c r="M1091" s="317" t="str">
        <f t="array" ref="M1091">XLOOKUP(D1091,Roster!F:F,Roster!E:E)</f>
        <v>Tickets</v>
      </c>
      <c r="N1091" s="317" t="str">
        <f t="shared" ref="N1091:P1091" si="1110">LEFT(H1091,5)</f>
        <v>10:30</v>
      </c>
      <c r="O1091" s="317" t="str">
        <f t="shared" si="1110"/>
        <v>14:30</v>
      </c>
      <c r="P1091" s="317" t="str">
        <f t="shared" si="1110"/>
        <v>15:45</v>
      </c>
      <c r="Q1091" s="318">
        <f t="shared" si="1090"/>
        <v>46121.4375</v>
      </c>
      <c r="R1091" s="318">
        <f t="shared" si="1091"/>
        <v>46121.60417</v>
      </c>
      <c r="S1091" s="318">
        <f t="shared" si="8"/>
        <v>46121.65625</v>
      </c>
    </row>
    <row r="1092">
      <c r="A1092" s="14" t="str">
        <f t="shared" si="1"/>
        <v>C150646121</v>
      </c>
      <c r="B1092" s="185">
        <f t="array" ref="B1092">IF(F1092="VL","",IF(F1092="Free","Free",XLOOKUP(D1092,Roster!T:T,Roster!S:S,"",0)))</f>
        <v>153</v>
      </c>
      <c r="C1092" s="313">
        <v>46121.0</v>
      </c>
      <c r="D1092" s="314" t="s">
        <v>73</v>
      </c>
      <c r="E1092" s="307" t="str">
        <f t="array" ref="E1092">(XLOOKUP(D1092,Roster!F:F,Roster!B:B,"",0))</f>
        <v>Sebastian Agudelo Londono</v>
      </c>
      <c r="F1092" s="315" t="str">
        <f t="array" ref="F1092">IF(B1092=100,"Free",TEXT(XLOOKUP($D1092,OperationVoice!$A:$A,OperationVoice!O:O,XLOOKUP($D1092,OperationTickets!$A:$A,OperationTickets!O:O,"",0)),"hh:mm"))</f>
        <v>11:00</v>
      </c>
      <c r="G1092" s="309">
        <f t="shared" si="3"/>
        <v>0.8333333333</v>
      </c>
      <c r="H1092" s="316" t="str">
        <f t="array" ref="H1092">XLOOKUP(B1092,Roster!L:L,Roster!N:N,XLOOKUP(D1092,TicketsBreak!A:A,TicketsBreak!E:E,"",0),0)</f>
        <v>12:45 - 13:00</v>
      </c>
      <c r="I1092" s="316" t="str">
        <f t="array" ref="I1092">XLOOKUP(B1092,Roster!L:L,Roster!O:O,XLOOKUP(D1092,TicketsBreak!A:A,TicketsBreak!F:F,"",0),0)</f>
        <v>15:00 - 15:30</v>
      </c>
      <c r="J1092" s="316" t="str">
        <f t="array" ref="J1092">XLOOKUP(B1092,Roster!L:L,Roster!P:P,XLOOKUP(D1092,TicketsBreak!A:A,TicketsBreak!G:G,"",0),0)</f>
        <v>17:45 - 18:00</v>
      </c>
      <c r="K1092" s="310">
        <f t="shared" si="4"/>
        <v>46121</v>
      </c>
      <c r="L1092" s="317">
        <f t="array" ref="L1092">(XLOOKUP(D1092,Roster!F:F,Roster!D:D,"",0))</f>
        <v>35</v>
      </c>
      <c r="M1092" s="317" t="str">
        <f t="array" ref="M1092">XLOOKUP(D1092,Roster!F:F,Roster!E:E)</f>
        <v>Voice</v>
      </c>
      <c r="N1092" s="317" t="str">
        <f t="shared" ref="N1092:P1092" si="1111">LEFT(H1092,5)</f>
        <v>12:45</v>
      </c>
      <c r="O1092" s="317" t="str">
        <f t="shared" si="1111"/>
        <v>15:00</v>
      </c>
      <c r="P1092" s="317" t="str">
        <f t="shared" si="1111"/>
        <v>17:45</v>
      </c>
      <c r="Q1092" s="318">
        <f t="shared" si="1090"/>
        <v>46121.53125</v>
      </c>
      <c r="R1092" s="318">
        <f t="shared" si="1091"/>
        <v>46121.625</v>
      </c>
      <c r="S1092" s="318">
        <f t="shared" si="8"/>
        <v>46121.73958</v>
      </c>
    </row>
    <row r="1093">
      <c r="A1093" s="14" t="str">
        <f t="shared" si="1"/>
        <v>C119046121</v>
      </c>
      <c r="B1093" s="185" t="str">
        <f t="array" ref="B1093">IF(F1093="VL","",IF(F1093="Free","Free",XLOOKUP(D1093,Roster!T:T,Roster!S:S,"",0)))</f>
        <v/>
      </c>
      <c r="C1093" s="313">
        <v>46121.0</v>
      </c>
      <c r="D1093" s="314" t="s">
        <v>183</v>
      </c>
      <c r="E1093" s="307" t="str">
        <f t="array" ref="E1093">(XLOOKUP(D1093,Roster!F:F,Roster!B:B,"",0))</f>
        <v>Sebastian Herrera</v>
      </c>
      <c r="F1093" s="315" t="str">
        <f t="array" ref="F1093">IF(B1093=100,"Free",TEXT(XLOOKUP($D1093,OperationVoice!$A:$A,OperationVoice!O:O,XLOOKUP($D1093,OperationTickets!$A:$A,OperationTickets!O:O,"",0)),"hh:mm"))</f>
        <v>07:00</v>
      </c>
      <c r="G1093" s="309">
        <f t="shared" si="3"/>
        <v>0.6666666667</v>
      </c>
      <c r="H1093" s="316">
        <f t="array" ref="H1093">XLOOKUP(B1093,Roster!L:L,Roster!N:N,XLOOKUP(D1093,TicketsBreak!A:A,TicketsBreak!E:E,"",0),0)</f>
        <v>0.40625</v>
      </c>
      <c r="I1093" s="316">
        <f t="array" ref="I1093">XLOOKUP(B1093,Roster!L:L,Roster!O:O,XLOOKUP(D1093,TicketsBreak!A:A,TicketsBreak!F:F,"",0),0)</f>
        <v>0.5416666667</v>
      </c>
      <c r="J1093" s="316">
        <f t="array" ref="J1093">XLOOKUP(B1093,Roster!L:L,Roster!P:P,XLOOKUP(D1093,TicketsBreak!A:A,TicketsBreak!G:G,"",0),0)</f>
        <v>0.625</v>
      </c>
      <c r="K1093" s="310">
        <f t="shared" si="4"/>
        <v>46121</v>
      </c>
      <c r="L1093" s="317">
        <f t="array" ref="L1093">(XLOOKUP(D1093,Roster!F:F,Roster!D:D,"",0))</f>
        <v>25</v>
      </c>
      <c r="M1093" s="317" t="str">
        <f t="array" ref="M1093">XLOOKUP(D1093,Roster!F:F,Roster!E:E)</f>
        <v>Tickets</v>
      </c>
      <c r="N1093" s="317" t="str">
        <f t="shared" ref="N1093:P1093" si="1112">LEFT(H1093,5)</f>
        <v>09:45</v>
      </c>
      <c r="O1093" s="317" t="str">
        <f t="shared" si="1112"/>
        <v>13:00</v>
      </c>
      <c r="P1093" s="317" t="str">
        <f t="shared" si="1112"/>
        <v>15:00</v>
      </c>
      <c r="Q1093" s="318">
        <f t="shared" si="1090"/>
        <v>46121.40625</v>
      </c>
      <c r="R1093" s="318">
        <f t="shared" si="1091"/>
        <v>46121.54167</v>
      </c>
      <c r="S1093" s="318">
        <f t="shared" si="8"/>
        <v>46121.625</v>
      </c>
    </row>
    <row r="1094">
      <c r="A1094" s="14" t="str">
        <f t="shared" si="1"/>
        <v>C71046121</v>
      </c>
      <c r="B1094" s="185" t="str">
        <f t="array" ref="B1094">IF(F1094="VL","",IF(F1094="Free","Free",XLOOKUP(D1094,Roster!T:T,Roster!S:S,"",0)))</f>
        <v>Free</v>
      </c>
      <c r="C1094" s="313">
        <v>46121.0</v>
      </c>
      <c r="D1094" s="314" t="s">
        <v>184</v>
      </c>
      <c r="E1094" s="307" t="str">
        <f t="array" ref="E1094">(XLOOKUP(D1094,Roster!F:F,Roster!B:B,"",0))</f>
        <v>Sebastian Martinez</v>
      </c>
      <c r="F1094" s="315" t="str">
        <f t="array" ref="F1094">IF(B1094=100,"Free",TEXT(XLOOKUP($D1094,OperationVoice!$A:$A,OperationVoice!O:O,XLOOKUP($D1094,OperationTickets!$A:$A,OperationTickets!O:O,"",0)),"hh:mm"))</f>
        <v>Free</v>
      </c>
      <c r="G1094" s="309" t="str">
        <f t="shared" si="3"/>
        <v>Free</v>
      </c>
      <c r="H1094" s="316">
        <f t="array" ref="H1094">XLOOKUP(B1094,Roster!L:L,Roster!N:N,XLOOKUP(D1094,TicketsBreak!A:A,TicketsBreak!E:E,"",0),0)</f>
        <v>0.40625</v>
      </c>
      <c r="I1094" s="316">
        <f t="array" ref="I1094">XLOOKUP(B1094,Roster!L:L,Roster!O:O,XLOOKUP(D1094,TicketsBreak!A:A,TicketsBreak!F:F,"",0),0)</f>
        <v>0.5625</v>
      </c>
      <c r="J1094" s="316">
        <f t="array" ref="J1094">XLOOKUP(B1094,Roster!L:L,Roster!P:P,XLOOKUP(D1094,TicketsBreak!A:A,TicketsBreak!G:G,"",0),0)</f>
        <v>0.65625</v>
      </c>
      <c r="K1094" s="310">
        <f t="shared" si="4"/>
        <v>46121</v>
      </c>
      <c r="L1094" s="317">
        <f t="array" ref="L1094">(XLOOKUP(D1094,Roster!F:F,Roster!D:D,"",0))</f>
        <v>6</v>
      </c>
      <c r="M1094" s="317" t="str">
        <f t="array" ref="M1094">XLOOKUP(D1094,Roster!F:F,Roster!E:E)</f>
        <v>Tickets</v>
      </c>
      <c r="N1094" s="317" t="str">
        <f t="shared" ref="N1094:P1094" si="1113">LEFT(H1094,5)</f>
        <v>09:45</v>
      </c>
      <c r="O1094" s="317" t="str">
        <f t="shared" si="1113"/>
        <v>13:30</v>
      </c>
      <c r="P1094" s="317" t="str">
        <f t="shared" si="1113"/>
        <v>15:45</v>
      </c>
      <c r="Q1094" s="318">
        <f t="shared" si="1090"/>
        <v>46121.40625</v>
      </c>
      <c r="R1094" s="318">
        <f t="shared" si="1091"/>
        <v>46121.5625</v>
      </c>
      <c r="S1094" s="318">
        <f t="shared" si="8"/>
        <v>46121.65625</v>
      </c>
    </row>
    <row r="1095">
      <c r="A1095" s="14" t="str">
        <f t="shared" si="1"/>
        <v>C72346121</v>
      </c>
      <c r="B1095" s="185" t="str">
        <f t="array" ref="B1095">IF(F1095="VL","",IF(F1095="Free","Free",XLOOKUP(D1095,Roster!T:T,Roster!S:S,"",0)))</f>
        <v/>
      </c>
      <c r="C1095" s="313">
        <v>46121.0</v>
      </c>
      <c r="D1095" s="314" t="s">
        <v>169</v>
      </c>
      <c r="E1095" s="307" t="str">
        <f t="array" ref="E1095">(XLOOKUP(D1095,Roster!F:F,Roster!B:B,"",0))</f>
        <v>Sebastian Parra</v>
      </c>
      <c r="F1095" s="315" t="str">
        <f t="array" ref="F1095">IF(B1095=100,"Free",TEXT(XLOOKUP($D1095,OperationVoice!$A:$A,OperationVoice!O:O,XLOOKUP($D1095,OperationTickets!$A:$A,OperationTickets!O:O,"",0)),"hh:mm"))</f>
        <v>08:00</v>
      </c>
      <c r="G1095" s="309">
        <f t="shared" si="3"/>
        <v>0.7083333333</v>
      </c>
      <c r="H1095" s="316">
        <f t="array" ref="H1095">XLOOKUP(B1095,Roster!L:L,Roster!N:N,XLOOKUP(D1095,TicketsBreak!A:A,TicketsBreak!E:E,"",0),0)</f>
        <v>0.4166666667</v>
      </c>
      <c r="I1095" s="316">
        <f t="array" ref="I1095">XLOOKUP(B1095,Roster!L:L,Roster!O:O,XLOOKUP(D1095,TicketsBreak!A:A,TicketsBreak!F:F,"",0),0)</f>
        <v>0.5347222222</v>
      </c>
      <c r="J1095" s="316">
        <f t="array" ref="J1095">XLOOKUP(B1095,Roster!L:L,Roster!P:P,XLOOKUP(D1095,TicketsBreak!A:A,TicketsBreak!G:G,"",0),0)</f>
        <v>0.65625</v>
      </c>
      <c r="K1095" s="310">
        <f t="shared" si="4"/>
        <v>46121</v>
      </c>
      <c r="L1095" s="317">
        <f t="array" ref="L1095">(XLOOKUP(D1095,Roster!F:F,Roster!D:D,"",0))</f>
        <v>7</v>
      </c>
      <c r="M1095" s="317" t="str">
        <f t="array" ref="M1095">XLOOKUP(D1095,Roster!F:F,Roster!E:E)</f>
        <v>Tickets</v>
      </c>
      <c r="N1095" s="317" t="str">
        <f t="shared" ref="N1095:P1095" si="1114">LEFT(H1095,5)</f>
        <v>10:00</v>
      </c>
      <c r="O1095" s="317" t="str">
        <f t="shared" si="1114"/>
        <v>12:50</v>
      </c>
      <c r="P1095" s="317" t="str">
        <f t="shared" si="1114"/>
        <v>15:45</v>
      </c>
      <c r="Q1095" s="318">
        <f t="shared" si="1090"/>
        <v>46121.41667</v>
      </c>
      <c r="R1095" s="318">
        <f t="shared" si="1091"/>
        <v>46121.53472</v>
      </c>
      <c r="S1095" s="318">
        <f t="shared" si="8"/>
        <v>46121.65625</v>
      </c>
    </row>
    <row r="1096">
      <c r="A1096" s="14" t="str">
        <f t="shared" si="1"/>
        <v>C137646121</v>
      </c>
      <c r="B1096" s="185" t="str">
        <f t="array" ref="B1096">IF(F1096="VL","",IF(F1096="Free","Free",XLOOKUP(D1096,Roster!T:T,Roster!S:S,"",0)))</f>
        <v>Free</v>
      </c>
      <c r="C1096" s="313">
        <v>46121.0</v>
      </c>
      <c r="D1096" s="314" t="s">
        <v>151</v>
      </c>
      <c r="E1096" s="307" t="str">
        <f t="array" ref="E1096">(XLOOKUP(D1096,Roster!F:F,Roster!B:B,"",0))</f>
        <v>Sebastian Quiroz</v>
      </c>
      <c r="F1096" s="315" t="str">
        <f t="array" ref="F1096">IF(B1096=100,"Free",TEXT(XLOOKUP($D1096,OperationVoice!$A:$A,OperationVoice!O:O,XLOOKUP($D1096,OperationTickets!$A:$A,OperationTickets!O:O,"",0)),"hh:mm"))</f>
        <v>Free</v>
      </c>
      <c r="G1096" s="309" t="str">
        <f t="shared" si="3"/>
        <v>Free</v>
      </c>
      <c r="H1096" s="316" t="str">
        <f t="array" ref="H1096">XLOOKUP(B1096,Roster!L:L,Roster!N:N,XLOOKUP(D1096,TicketsBreak!A:A,TicketsBreak!E:E,"",0),0)</f>
        <v/>
      </c>
      <c r="I1096" s="316" t="str">
        <f t="array" ref="I1096">XLOOKUP(B1096,Roster!L:L,Roster!O:O,XLOOKUP(D1096,TicketsBreak!A:A,TicketsBreak!F:F,"",0),0)</f>
        <v/>
      </c>
      <c r="J1096" s="316" t="str">
        <f t="array" ref="J1096">XLOOKUP(B1096,Roster!L:L,Roster!P:P,XLOOKUP(D1096,TicketsBreak!A:A,TicketsBreak!G:G,"",0),0)</f>
        <v/>
      </c>
      <c r="K1096" s="310">
        <f t="shared" si="4"/>
        <v>46121</v>
      </c>
      <c r="L1096" s="317">
        <f t="array" ref="L1096">(XLOOKUP(D1096,Roster!F:F,Roster!D:D,"",0))</f>
        <v>31</v>
      </c>
      <c r="M1096" s="317" t="str">
        <f t="array" ref="M1096">XLOOKUP(D1096,Roster!F:F,Roster!E:E)</f>
        <v>Tickets</v>
      </c>
      <c r="N1096" s="317" t="str">
        <f t="shared" ref="N1096:P1096" si="1115">LEFT(H1096,5)</f>
        <v/>
      </c>
      <c r="O1096" s="317" t="str">
        <f t="shared" si="1115"/>
        <v/>
      </c>
      <c r="P1096" s="317" t="str">
        <f t="shared" si="1115"/>
        <v/>
      </c>
      <c r="Q1096" s="318" t="str">
        <f t="shared" si="1090"/>
        <v/>
      </c>
      <c r="R1096" s="318" t="str">
        <f t="shared" si="1091"/>
        <v/>
      </c>
      <c r="S1096" s="318" t="str">
        <f t="shared" si="8"/>
        <v/>
      </c>
    </row>
    <row r="1097">
      <c r="A1097" s="14" t="str">
        <f t="shared" si="1"/>
        <v>C72646121</v>
      </c>
      <c r="B1097" s="185" t="str">
        <f t="array" ref="B1097">IF(F1097="VL","",IF(F1097="Free","Free",XLOOKUP(D1097,Roster!T:T,Roster!S:S,"",0)))</f>
        <v/>
      </c>
      <c r="C1097" s="313">
        <v>46121.0</v>
      </c>
      <c r="D1097" s="314" t="s">
        <v>185</v>
      </c>
      <c r="E1097" s="307" t="str">
        <f t="array" ref="E1097">(XLOOKUP(D1097,Roster!F:F,Roster!B:B,"",0))</f>
        <v>Sebastian Rodriguez</v>
      </c>
      <c r="F1097" s="315" t="str">
        <f t="array" ref="F1097">IF(B1097=100,"Free",TEXT(XLOOKUP($D1097,OperationVoice!$A:$A,OperationVoice!O:O,XLOOKUP($D1097,OperationTickets!$A:$A,OperationTickets!O:O,"",0)),"hh:mm"))</f>
        <v>08:00</v>
      </c>
      <c r="G1097" s="309">
        <f t="shared" si="3"/>
        <v>0.7083333333</v>
      </c>
      <c r="H1097" s="316">
        <f t="array" ref="H1097">XLOOKUP(B1097,Roster!L:L,Roster!N:N,XLOOKUP(D1097,TicketsBreak!A:A,TicketsBreak!E:E,"",0),0)</f>
        <v>0.4166666667</v>
      </c>
      <c r="I1097" s="316">
        <f t="array" ref="I1097">XLOOKUP(B1097,Roster!L:L,Roster!O:O,XLOOKUP(D1097,TicketsBreak!A:A,TicketsBreak!F:F,"",0),0)</f>
        <v>0.5625</v>
      </c>
      <c r="J1097" s="316">
        <f t="array" ref="J1097">XLOOKUP(B1097,Roster!L:L,Roster!P:P,XLOOKUP(D1097,TicketsBreak!A:A,TicketsBreak!G:G,"",0),0)</f>
        <v>0.6458333333</v>
      </c>
      <c r="K1097" s="310">
        <f t="shared" si="4"/>
        <v>46121</v>
      </c>
      <c r="L1097" s="317">
        <f t="array" ref="L1097">(XLOOKUP(D1097,Roster!F:F,Roster!D:D,"",0))</f>
        <v>7</v>
      </c>
      <c r="M1097" s="317" t="str">
        <f t="array" ref="M1097">XLOOKUP(D1097,Roster!F:F,Roster!E:E)</f>
        <v>Tickets</v>
      </c>
      <c r="N1097" s="317" t="str">
        <f t="shared" ref="N1097:P1097" si="1116">LEFT(H1097,5)</f>
        <v>10:00</v>
      </c>
      <c r="O1097" s="317" t="str">
        <f t="shared" si="1116"/>
        <v>13:30</v>
      </c>
      <c r="P1097" s="317" t="str">
        <f t="shared" si="1116"/>
        <v>15:30</v>
      </c>
      <c r="Q1097" s="318">
        <f t="shared" si="1090"/>
        <v>46121.41667</v>
      </c>
      <c r="R1097" s="318">
        <f t="shared" si="1091"/>
        <v>46121.5625</v>
      </c>
      <c r="S1097" s="318">
        <f t="shared" si="8"/>
        <v>46121.64583</v>
      </c>
    </row>
    <row r="1098">
      <c r="A1098" s="14" t="str">
        <f t="shared" si="1"/>
        <v>C60246121</v>
      </c>
      <c r="B1098" s="185" t="str">
        <f t="array" ref="B1098">IF(F1098="VL","",IF(F1098="Free","Free",XLOOKUP(D1098,Roster!T:T,Roster!S:S,"",0)))</f>
        <v>Free</v>
      </c>
      <c r="C1098" s="313">
        <v>46121.0</v>
      </c>
      <c r="D1098" s="314" t="s">
        <v>170</v>
      </c>
      <c r="E1098" s="307" t="str">
        <f t="array" ref="E1098">(XLOOKUP(D1098,Roster!F:F,Roster!B:B,"",0))</f>
        <v>Sebastian Torres</v>
      </c>
      <c r="F1098" s="315" t="str">
        <f t="array" ref="F1098">IF(B1098=100,"Free",TEXT(XLOOKUP($D1098,OperationVoice!$A:$A,OperationVoice!O:O,XLOOKUP($D1098,OperationTickets!$A:$A,OperationTickets!O:O,"",0)),"hh:mm"))</f>
        <v>Free</v>
      </c>
      <c r="G1098" s="309" t="str">
        <f t="shared" si="3"/>
        <v>Free</v>
      </c>
      <c r="H1098" s="316">
        <f t="array" ref="H1098">XLOOKUP(B1098,Roster!L:L,Roster!N:N,XLOOKUP(D1098,TicketsBreak!A:A,TicketsBreak!E:E,"",0),0)</f>
        <v>0.4583333333</v>
      </c>
      <c r="I1098" s="316">
        <f t="array" ref="I1098">XLOOKUP(B1098,Roster!L:L,Roster!O:O,XLOOKUP(D1098,TicketsBreak!A:A,TicketsBreak!F:F,"",0),0)</f>
        <v>0.5833333333</v>
      </c>
      <c r="J1098" s="316">
        <f t="array" ref="J1098">XLOOKUP(B1098,Roster!L:L,Roster!P:P,XLOOKUP(D1098,TicketsBreak!A:A,TicketsBreak!G:G,"",0),0)</f>
        <v>0.65625</v>
      </c>
      <c r="K1098" s="310">
        <f t="shared" si="4"/>
        <v>46121</v>
      </c>
      <c r="L1098" s="317">
        <f t="array" ref="L1098">(XLOOKUP(D1098,Roster!F:F,Roster!D:D,"",0))</f>
        <v>8</v>
      </c>
      <c r="M1098" s="317" t="str">
        <f t="array" ref="M1098">XLOOKUP(D1098,Roster!F:F,Roster!E:E)</f>
        <v>Tickets</v>
      </c>
      <c r="N1098" s="317" t="str">
        <f t="shared" ref="N1098:P1098" si="1117">LEFT(H1098,5)</f>
        <v>11:00</v>
      </c>
      <c r="O1098" s="317" t="str">
        <f t="shared" si="1117"/>
        <v>14:00</v>
      </c>
      <c r="P1098" s="317" t="str">
        <f t="shared" si="1117"/>
        <v>15:45</v>
      </c>
      <c r="Q1098" s="318">
        <f t="shared" si="1090"/>
        <v>46121.45833</v>
      </c>
      <c r="R1098" s="318">
        <f t="shared" si="1091"/>
        <v>46121.58333</v>
      </c>
      <c r="S1098" s="318">
        <f t="shared" si="8"/>
        <v>46121.65625</v>
      </c>
    </row>
    <row r="1099">
      <c r="A1099" s="14" t="str">
        <f t="shared" si="1"/>
        <v>C143146121</v>
      </c>
      <c r="B1099" s="185">
        <f t="array" ref="B1099">IF(F1099="VL","",IF(F1099="Free","Free",XLOOKUP(D1099,Roster!T:T,Roster!S:S,"",0)))</f>
        <v>151</v>
      </c>
      <c r="C1099" s="313">
        <v>46121.0</v>
      </c>
      <c r="D1099" s="314" t="s">
        <v>74</v>
      </c>
      <c r="E1099" s="307" t="str">
        <f t="array" ref="E1099">(XLOOKUP(D1099,Roster!F:F,Roster!B:B,"",0))</f>
        <v>Sebastian Torres Gomez</v>
      </c>
      <c r="F1099" s="315" t="str">
        <f t="array" ref="F1099">IF(B1099=100,"Free",TEXT(XLOOKUP($D1099,OperationVoice!$A:$A,OperationVoice!O:O,XLOOKUP($D1099,OperationTickets!$A:$A,OperationTickets!O:O,"",0)),"hh:mm"))</f>
        <v>11:00</v>
      </c>
      <c r="G1099" s="309">
        <f t="shared" si="3"/>
        <v>0.8333333333</v>
      </c>
      <c r="H1099" s="316" t="str">
        <f t="array" ref="H1099">XLOOKUP(B1099,Roster!L:L,Roster!N:N,XLOOKUP(D1099,TicketsBreak!A:A,TicketsBreak!E:E,"",0),0)</f>
        <v>12:15 - 12:30</v>
      </c>
      <c r="I1099" s="316" t="str">
        <f t="array" ref="I1099">XLOOKUP(B1099,Roster!L:L,Roster!O:O,XLOOKUP(D1099,TicketsBreak!A:A,TicketsBreak!F:F,"",0),0)</f>
        <v>14:00 - 14:30</v>
      </c>
      <c r="J1099" s="316" t="str">
        <f t="array" ref="J1099">XLOOKUP(B1099,Roster!L:L,Roster!P:P,XLOOKUP(D1099,TicketsBreak!A:A,TicketsBreak!G:G,"",0),0)</f>
        <v>17:15 - 17:30</v>
      </c>
      <c r="K1099" s="310">
        <f t="shared" si="4"/>
        <v>46121</v>
      </c>
      <c r="L1099" s="317">
        <f t="array" ref="L1099">(XLOOKUP(D1099,Roster!F:F,Roster!D:D,"",0))</f>
        <v>32</v>
      </c>
      <c r="M1099" s="317" t="str">
        <f t="array" ref="M1099">XLOOKUP(D1099,Roster!F:F,Roster!E:E)</f>
        <v>Voice</v>
      </c>
      <c r="N1099" s="317" t="str">
        <f t="shared" ref="N1099:P1099" si="1118">LEFT(H1099,5)</f>
        <v>12:15</v>
      </c>
      <c r="O1099" s="317" t="str">
        <f t="shared" si="1118"/>
        <v>14:00</v>
      </c>
      <c r="P1099" s="317" t="str">
        <f t="shared" si="1118"/>
        <v>17:15</v>
      </c>
      <c r="Q1099" s="318">
        <f t="shared" si="1090"/>
        <v>46121.51042</v>
      </c>
      <c r="R1099" s="318">
        <f t="shared" si="1091"/>
        <v>46121.58333</v>
      </c>
      <c r="S1099" s="318">
        <f t="shared" si="8"/>
        <v>46121.71875</v>
      </c>
    </row>
    <row r="1100">
      <c r="A1100" s="14" t="str">
        <f t="shared" si="1"/>
        <v>C149146121</v>
      </c>
      <c r="B1100" s="185" t="str">
        <f t="array" ref="B1100">IF(F1100="VL","",IF(F1100="Free","Free",XLOOKUP(D1100,Roster!T:T,Roster!S:S,"",0)))</f>
        <v/>
      </c>
      <c r="C1100" s="313">
        <v>46121.0</v>
      </c>
      <c r="D1100" s="314" t="s">
        <v>315</v>
      </c>
      <c r="E1100" s="307" t="str">
        <f t="array" ref="E1100">(XLOOKUP(D1100,Roster!F:F,Roster!B:B,"",0))</f>
        <v>Sebastian Vanegas</v>
      </c>
      <c r="F1100" s="315" t="str">
        <f t="array" ref="F1100">IF(B1100=100,"Free",TEXT(XLOOKUP($D1100,OperationVoice!$A:$A,OperationVoice!O:O,XLOOKUP($D1100,OperationTickets!$A:$A,OperationTickets!O:O,"",0)),"hh:mm"))</f>
        <v/>
      </c>
      <c r="G1100" s="309" t="str">
        <f t="shared" si="3"/>
        <v/>
      </c>
      <c r="H1100" s="316" t="str">
        <f t="array" ref="H1100">XLOOKUP(B1100,Roster!L:L,Roster!N:N,XLOOKUP(D1100,TicketsBreak!A:A,TicketsBreak!E:E,"",0),0)</f>
        <v/>
      </c>
      <c r="I1100" s="316" t="str">
        <f t="array" ref="I1100">XLOOKUP(B1100,Roster!L:L,Roster!O:O,XLOOKUP(D1100,TicketsBreak!A:A,TicketsBreak!F:F,"",0),0)</f>
        <v/>
      </c>
      <c r="J1100" s="316" t="str">
        <f t="array" ref="J1100">XLOOKUP(B1100,Roster!L:L,Roster!P:P,XLOOKUP(D1100,TicketsBreak!A:A,TicketsBreak!G:G,"",0),0)</f>
        <v/>
      </c>
      <c r="K1100" s="310">
        <f t="shared" si="4"/>
        <v>46121</v>
      </c>
      <c r="L1100" s="317">
        <f t="array" ref="L1100">(XLOOKUP(D1100,Roster!F:F,Roster!D:D,"",0))</f>
        <v>34</v>
      </c>
      <c r="M1100" s="317" t="str">
        <f t="array" ref="M1100">XLOOKUP(D1100,Roster!F:F,Roster!E:E)</f>
        <v>Voice</v>
      </c>
      <c r="N1100" s="317" t="str">
        <f t="shared" ref="N1100:P1100" si="1119">LEFT(H1100,5)</f>
        <v/>
      </c>
      <c r="O1100" s="317" t="str">
        <f t="shared" si="1119"/>
        <v/>
      </c>
      <c r="P1100" s="317" t="str">
        <f t="shared" si="1119"/>
        <v/>
      </c>
      <c r="Q1100" s="318" t="str">
        <f t="shared" si="1090"/>
        <v/>
      </c>
      <c r="R1100" s="318" t="str">
        <f t="shared" si="1091"/>
        <v/>
      </c>
      <c r="S1100" s="318" t="str">
        <f t="shared" si="8"/>
        <v/>
      </c>
    </row>
    <row r="1101">
      <c r="A1101" s="14" t="str">
        <f t="shared" si="1"/>
        <v>C93746121</v>
      </c>
      <c r="B1101" s="185">
        <f t="array" ref="B1101">IF(F1101="VL","",IF(F1101="Free","Free",XLOOKUP(D1101,Roster!T:T,Roster!S:S,"",0)))</f>
        <v>126</v>
      </c>
      <c r="C1101" s="313">
        <v>46121.0</v>
      </c>
      <c r="D1101" s="314" t="s">
        <v>75</v>
      </c>
      <c r="E1101" s="307" t="str">
        <f t="array" ref="E1101">(XLOOKUP(D1101,Roster!F:F,Roster!B:B,"",0))</f>
        <v>Sebastian Zapata</v>
      </c>
      <c r="F1101" s="315" t="str">
        <f t="array" ref="F1101">IF(B1101=100,"Free",TEXT(XLOOKUP($D1101,OperationVoice!$A:$A,OperationVoice!O:O,XLOOKUP($D1101,OperationTickets!$A:$A,OperationTickets!O:O,"",0)),"hh:mm"))</f>
        <v>08:00</v>
      </c>
      <c r="G1101" s="309">
        <f t="shared" si="3"/>
        <v>0.7083333333</v>
      </c>
      <c r="H1101" s="316" t="str">
        <f t="array" ref="H1101">XLOOKUP(B1101,Roster!L:L,Roster!N:N,XLOOKUP(D1101,TicketsBreak!A:A,TicketsBreak!E:E,"",0),0)</f>
        <v>10:45 - 11:00</v>
      </c>
      <c r="I1101" s="316" t="str">
        <f t="array" ref="I1101">XLOOKUP(B1101,Roster!L:L,Roster!O:O,XLOOKUP(D1101,TicketsBreak!A:A,TicketsBreak!F:F,"",0),0)</f>
        <v>14:00 - 14:30</v>
      </c>
      <c r="J1101" s="316" t="str">
        <f t="array" ref="J1101">XLOOKUP(B1101,Roster!L:L,Roster!P:P,XLOOKUP(D1101,TicketsBreak!A:A,TicketsBreak!G:G,"",0),0)</f>
        <v>15:45 - 16:00</v>
      </c>
      <c r="K1101" s="310">
        <f t="shared" si="4"/>
        <v>46121</v>
      </c>
      <c r="L1101" s="317">
        <f t="array" ref="L1101">(XLOOKUP(D1101,Roster!F:F,Roster!D:D,"",0))</f>
        <v>12</v>
      </c>
      <c r="M1101" s="317" t="str">
        <f t="array" ref="M1101">XLOOKUP(D1101,Roster!F:F,Roster!E:E)</f>
        <v>Voice</v>
      </c>
      <c r="N1101" s="317" t="str">
        <f t="shared" ref="N1101:P1101" si="1120">LEFT(H1101,5)</f>
        <v>10:45</v>
      </c>
      <c r="O1101" s="317" t="str">
        <f t="shared" si="1120"/>
        <v>14:00</v>
      </c>
      <c r="P1101" s="317" t="str">
        <f t="shared" si="1120"/>
        <v>15:45</v>
      </c>
      <c r="Q1101" s="318">
        <f t="shared" si="1090"/>
        <v>46121.44792</v>
      </c>
      <c r="R1101" s="318">
        <f t="shared" si="1091"/>
        <v>46121.58333</v>
      </c>
      <c r="S1101" s="318">
        <f t="shared" si="8"/>
        <v>46121.65625</v>
      </c>
    </row>
    <row r="1102">
      <c r="A1102" s="14" t="str">
        <f t="shared" si="1"/>
        <v>C156546121</v>
      </c>
      <c r="B1102" s="185" t="str">
        <f t="array" ref="B1102">IF(F1102="VL","",IF(F1102="Free","Free",XLOOKUP(D1102,Roster!T:T,Roster!S:S,"",0)))</f>
        <v>Free</v>
      </c>
      <c r="C1102" s="313">
        <v>46121.0</v>
      </c>
      <c r="D1102" s="314" t="s">
        <v>76</v>
      </c>
      <c r="E1102" s="307" t="str">
        <f t="array" ref="E1102">(XLOOKUP(D1102,Roster!F:F,Roster!B:B,"",0))</f>
        <v>Sergio Rojas</v>
      </c>
      <c r="F1102" s="315" t="str">
        <f t="array" ref="F1102">IF(B1102=100,"Free",TEXT(XLOOKUP($D1102,OperationVoice!$A:$A,OperationVoice!O:O,XLOOKUP($D1102,OperationTickets!$A:$A,OperationTickets!O:O,"",0)),"hh:mm"))</f>
        <v>Free</v>
      </c>
      <c r="G1102" s="309" t="str">
        <f t="shared" si="3"/>
        <v>Free</v>
      </c>
      <c r="H1102" s="316" t="str">
        <f t="array" ref="H1102">XLOOKUP(B1102,Roster!L:L,Roster!N:N,XLOOKUP(D1102,TicketsBreak!A:A,TicketsBreak!E:E,"",0),0)</f>
        <v/>
      </c>
      <c r="I1102" s="316" t="str">
        <f t="array" ref="I1102">XLOOKUP(B1102,Roster!L:L,Roster!O:O,XLOOKUP(D1102,TicketsBreak!A:A,TicketsBreak!F:F,"",0),0)</f>
        <v/>
      </c>
      <c r="J1102" s="316" t="str">
        <f t="array" ref="J1102">XLOOKUP(B1102,Roster!L:L,Roster!P:P,XLOOKUP(D1102,TicketsBreak!A:A,TicketsBreak!G:G,"",0),0)</f>
        <v/>
      </c>
      <c r="K1102" s="310">
        <f t="shared" si="4"/>
        <v>46121</v>
      </c>
      <c r="L1102" s="317">
        <f t="array" ref="L1102">(XLOOKUP(D1102,Roster!F:F,Roster!D:D,"",0))</f>
        <v>38</v>
      </c>
      <c r="M1102" s="317" t="str">
        <f t="array" ref="M1102">XLOOKUP(D1102,Roster!F:F,Roster!E:E)</f>
        <v>Voice</v>
      </c>
      <c r="N1102" s="317" t="str">
        <f t="shared" ref="N1102:P1102" si="1121">LEFT(H1102,5)</f>
        <v/>
      </c>
      <c r="O1102" s="317" t="str">
        <f t="shared" si="1121"/>
        <v/>
      </c>
      <c r="P1102" s="317" t="str">
        <f t="shared" si="1121"/>
        <v/>
      </c>
      <c r="Q1102" s="318" t="str">
        <f t="shared" si="1090"/>
        <v/>
      </c>
      <c r="R1102" s="318" t="str">
        <f t="shared" si="1091"/>
        <v/>
      </c>
      <c r="S1102" s="318" t="str">
        <f t="shared" si="8"/>
        <v/>
      </c>
    </row>
    <row r="1103">
      <c r="A1103" s="14" t="str">
        <f t="shared" si="1"/>
        <v>C147846121</v>
      </c>
      <c r="B1103" s="185" t="str">
        <f t="array" ref="B1103">IF(F1103="VL","",IF(F1103="Free","Free",XLOOKUP(D1103,Roster!T:T,Roster!S:S,"",0)))</f>
        <v/>
      </c>
      <c r="C1103" s="313">
        <v>46121.0</v>
      </c>
      <c r="D1103" s="314" t="s">
        <v>186</v>
      </c>
      <c r="E1103" s="307" t="str">
        <f t="array" ref="E1103">(XLOOKUP(D1103,Roster!F:F,Roster!B:B,"",0))</f>
        <v>Simon Atehortua</v>
      </c>
      <c r="F1103" s="315" t="str">
        <f t="array" ref="F1103">IF(B1103=100,"Free",TEXT(XLOOKUP($D1103,OperationVoice!$A:$A,OperationVoice!O:O,XLOOKUP($D1103,OperationTickets!$A:$A,OperationTickets!O:O,"",0)),"hh:mm"))</f>
        <v>07:00</v>
      </c>
      <c r="G1103" s="309">
        <f t="shared" si="3"/>
        <v>0.6666666667</v>
      </c>
      <c r="H1103" s="316" t="str">
        <f t="array" ref="H1103">XLOOKUP(B1103,Roster!L:L,Roster!N:N,XLOOKUP(D1103,TicketsBreak!A:A,TicketsBreak!E:E,"",0),0)</f>
        <v/>
      </c>
      <c r="I1103" s="316" t="str">
        <f t="array" ref="I1103">XLOOKUP(B1103,Roster!L:L,Roster!O:O,XLOOKUP(D1103,TicketsBreak!A:A,TicketsBreak!F:F,"",0),0)</f>
        <v/>
      </c>
      <c r="J1103" s="316" t="str">
        <f t="array" ref="J1103">XLOOKUP(B1103,Roster!L:L,Roster!P:P,XLOOKUP(D1103,TicketsBreak!A:A,TicketsBreak!G:G,"",0),0)</f>
        <v/>
      </c>
      <c r="K1103" s="310">
        <f t="shared" si="4"/>
        <v>46121</v>
      </c>
      <c r="L1103" s="317">
        <f t="array" ref="L1103">(XLOOKUP(D1103,Roster!F:F,Roster!D:D,"",0))</f>
        <v>32</v>
      </c>
      <c r="M1103" s="317" t="str">
        <f t="array" ref="M1103">XLOOKUP(D1103,Roster!F:F,Roster!E:E)</f>
        <v>Tickets</v>
      </c>
      <c r="N1103" s="317" t="str">
        <f t="shared" ref="N1103:P1103" si="1122">LEFT(H1103,5)</f>
        <v/>
      </c>
      <c r="O1103" s="317" t="str">
        <f t="shared" si="1122"/>
        <v/>
      </c>
      <c r="P1103" s="317" t="str">
        <f t="shared" si="1122"/>
        <v/>
      </c>
      <c r="Q1103" s="318" t="str">
        <f t="shared" si="1090"/>
        <v/>
      </c>
      <c r="R1103" s="318" t="str">
        <f t="shared" si="1091"/>
        <v/>
      </c>
      <c r="S1103" s="318" t="str">
        <f t="shared" si="8"/>
        <v/>
      </c>
    </row>
    <row r="1104">
      <c r="A1104" s="14" t="str">
        <f t="shared" si="1"/>
        <v>C148346121</v>
      </c>
      <c r="B1104" s="185">
        <f t="array" ref="B1104">IF(F1104="VL","",IF(F1104="Free","Free",XLOOKUP(D1104,Roster!T:T,Roster!S:S,"",0)))</f>
        <v>152</v>
      </c>
      <c r="C1104" s="313">
        <v>46121.0</v>
      </c>
      <c r="D1104" s="314" t="s">
        <v>77</v>
      </c>
      <c r="E1104" s="307" t="str">
        <f t="array" ref="E1104">(XLOOKUP(D1104,Roster!F:F,Roster!B:B,"",0))</f>
        <v>Simon Zuluaica</v>
      </c>
      <c r="F1104" s="315" t="str">
        <f t="array" ref="F1104">IF(B1104=100,"Free",TEXT(XLOOKUP($D1104,OperationVoice!$A:$A,OperationVoice!O:O,XLOOKUP($D1104,OperationTickets!$A:$A,OperationTickets!O:O,"",0)),"hh:mm"))</f>
        <v>11:00</v>
      </c>
      <c r="G1104" s="309">
        <f t="shared" si="3"/>
        <v>0.8333333333</v>
      </c>
      <c r="H1104" s="316" t="str">
        <f t="array" ref="H1104">XLOOKUP(B1104,Roster!L:L,Roster!N:N,XLOOKUP(D1104,TicketsBreak!A:A,TicketsBreak!E:E,"",0),0)</f>
        <v>12:30 - 12:45</v>
      </c>
      <c r="I1104" s="316" t="str">
        <f t="array" ref="I1104">XLOOKUP(B1104,Roster!L:L,Roster!O:O,XLOOKUP(D1104,TicketsBreak!A:A,TicketsBreak!F:F,"",0),0)</f>
        <v>14:30 - 15:00</v>
      </c>
      <c r="J1104" s="316" t="str">
        <f t="array" ref="J1104">XLOOKUP(B1104,Roster!L:L,Roster!P:P,XLOOKUP(D1104,TicketsBreak!A:A,TicketsBreak!G:G,"",0),0)</f>
        <v>17:30 - 17:45</v>
      </c>
      <c r="K1104" s="310">
        <f t="shared" si="4"/>
        <v>46121</v>
      </c>
      <c r="L1104" s="317">
        <f t="array" ref="L1104">(XLOOKUP(D1104,Roster!F:F,Roster!D:D,"",0))</f>
        <v>34</v>
      </c>
      <c r="M1104" s="317" t="str">
        <f t="array" ref="M1104">XLOOKUP(D1104,Roster!F:F,Roster!E:E)</f>
        <v>Voice</v>
      </c>
      <c r="N1104" s="317" t="str">
        <f t="shared" ref="N1104:P1104" si="1123">LEFT(H1104,5)</f>
        <v>12:30</v>
      </c>
      <c r="O1104" s="317" t="str">
        <f t="shared" si="1123"/>
        <v>14:30</v>
      </c>
      <c r="P1104" s="317" t="str">
        <f t="shared" si="1123"/>
        <v>17:30</v>
      </c>
      <c r="Q1104" s="318">
        <f t="shared" si="1090"/>
        <v>46121.52083</v>
      </c>
      <c r="R1104" s="318">
        <f t="shared" si="1091"/>
        <v>46121.60417</v>
      </c>
      <c r="S1104" s="318">
        <f t="shared" si="8"/>
        <v>46121.72917</v>
      </c>
    </row>
    <row r="1105">
      <c r="A1105" s="14" t="str">
        <f t="shared" si="1"/>
        <v>C154046121</v>
      </c>
      <c r="B1105" s="185">
        <f t="array" ref="B1105">IF(F1105="VL","",IF(F1105="Free","Free",XLOOKUP(D1105,Roster!T:T,Roster!S:S,"",0)))</f>
        <v>122</v>
      </c>
      <c r="C1105" s="313">
        <v>46121.0</v>
      </c>
      <c r="D1105" s="314" t="s">
        <v>78</v>
      </c>
      <c r="E1105" s="307" t="str">
        <f t="array" ref="E1105">(XLOOKUP(D1105,Roster!F:F,Roster!B:B,"",0))</f>
        <v>Tomas Perez</v>
      </c>
      <c r="F1105" s="315" t="str">
        <f t="array" ref="F1105">IF(B1105=100,"Free",TEXT(XLOOKUP($D1105,OperationVoice!$A:$A,OperationVoice!O:O,XLOOKUP($D1105,OperationTickets!$A:$A,OperationTickets!O:O,"",0)),"hh:mm"))</f>
        <v>08:00</v>
      </c>
      <c r="G1105" s="309">
        <f t="shared" si="3"/>
        <v>0.7083333333</v>
      </c>
      <c r="H1105" s="316" t="str">
        <f t="array" ref="H1105">XLOOKUP(B1105,Roster!L:L,Roster!N:N,XLOOKUP(D1105,TicketsBreak!A:A,TicketsBreak!E:E,"",0),0)</f>
        <v>09:30 - 09:45</v>
      </c>
      <c r="I1105" s="316" t="str">
        <f t="array" ref="I1105">XLOOKUP(B1105,Roster!L:L,Roster!O:O,XLOOKUP(D1105,TicketsBreak!A:A,TicketsBreak!F:F,"",0),0)</f>
        <v>12:00 - 12:30</v>
      </c>
      <c r="J1105" s="316" t="str">
        <f t="array" ref="J1105">XLOOKUP(B1105,Roster!L:L,Roster!P:P,XLOOKUP(D1105,TicketsBreak!A:A,TicketsBreak!G:G,"",0),0)</f>
        <v>14:45 - 15:00</v>
      </c>
      <c r="K1105" s="310">
        <f t="shared" si="4"/>
        <v>46121</v>
      </c>
      <c r="L1105" s="317">
        <f t="array" ref="L1105">(XLOOKUP(D1105,Roster!F:F,Roster!D:D,"",0))</f>
        <v>36</v>
      </c>
      <c r="M1105" s="317" t="str">
        <f t="array" ref="M1105">XLOOKUP(D1105,Roster!F:F,Roster!E:E)</f>
        <v>Voice</v>
      </c>
      <c r="N1105" s="317" t="str">
        <f t="shared" ref="N1105:P1105" si="1124">LEFT(H1105,5)</f>
        <v>09:30</v>
      </c>
      <c r="O1105" s="317" t="str">
        <f t="shared" si="1124"/>
        <v>12:00</v>
      </c>
      <c r="P1105" s="317" t="str">
        <f t="shared" si="1124"/>
        <v>14:45</v>
      </c>
      <c r="Q1105" s="318">
        <f t="shared" si="1090"/>
        <v>46121.39583</v>
      </c>
      <c r="R1105" s="318">
        <f t="shared" si="1091"/>
        <v>46121.5</v>
      </c>
      <c r="S1105" s="318">
        <f t="shared" si="8"/>
        <v>46121.61458</v>
      </c>
    </row>
    <row r="1106">
      <c r="A1106" s="14" t="str">
        <f t="shared" si="1"/>
        <v>C154746121</v>
      </c>
      <c r="B1106" s="185">
        <f t="array" ref="B1106">IF(F1106="VL","",IF(F1106="Free","Free",XLOOKUP(D1106,Roster!T:T,Roster!S:S,"",0)))</f>
        <v>121</v>
      </c>
      <c r="C1106" s="313">
        <v>46121.0</v>
      </c>
      <c r="D1106" s="314" t="s">
        <v>79</v>
      </c>
      <c r="E1106" s="307" t="str">
        <f t="array" ref="E1106">(XLOOKUP(D1106,Roster!F:F,Roster!B:B,"",0))</f>
        <v>Valentina Barreto</v>
      </c>
      <c r="F1106" s="315" t="str">
        <f t="array" ref="F1106">IF(B1106=100,"Free",TEXT(XLOOKUP($D1106,OperationVoice!$A:$A,OperationVoice!O:O,XLOOKUP($D1106,OperationTickets!$A:$A,OperationTickets!O:O,"",0)),"hh:mm"))</f>
        <v>08:00</v>
      </c>
      <c r="G1106" s="309">
        <f t="shared" si="3"/>
        <v>0.7083333333</v>
      </c>
      <c r="H1106" s="316" t="str">
        <f t="array" ref="H1106">XLOOKUP(B1106,Roster!L:L,Roster!N:N,XLOOKUP(D1106,TicketsBreak!A:A,TicketsBreak!E:E,"",0),0)</f>
        <v>09:15 - 09:30</v>
      </c>
      <c r="I1106" s="316" t="str">
        <f t="array" ref="I1106">XLOOKUP(B1106,Roster!L:L,Roster!O:O,XLOOKUP(D1106,TicketsBreak!A:A,TicketsBreak!F:F,"",0),0)</f>
        <v>11:30 - 12:00</v>
      </c>
      <c r="J1106" s="316" t="str">
        <f t="array" ref="J1106">XLOOKUP(B1106,Roster!L:L,Roster!P:P,XLOOKUP(D1106,TicketsBreak!A:A,TicketsBreak!G:G,"",0),0)</f>
        <v>14:30 - 14:45</v>
      </c>
      <c r="K1106" s="310">
        <f t="shared" si="4"/>
        <v>46121</v>
      </c>
      <c r="L1106" s="317">
        <f t="array" ref="L1106">(XLOOKUP(D1106,Roster!F:F,Roster!D:D,"",0))</f>
        <v>37</v>
      </c>
      <c r="M1106" s="317" t="str">
        <f t="array" ref="M1106">XLOOKUP(D1106,Roster!F:F,Roster!E:E)</f>
        <v>Voice</v>
      </c>
      <c r="N1106" s="317" t="str">
        <f t="shared" ref="N1106:P1106" si="1125">LEFT(H1106,5)</f>
        <v>09:15</v>
      </c>
      <c r="O1106" s="317" t="str">
        <f t="shared" si="1125"/>
        <v>11:30</v>
      </c>
      <c r="P1106" s="317" t="str">
        <f t="shared" si="1125"/>
        <v>14:30</v>
      </c>
      <c r="Q1106" s="318">
        <f t="shared" si="1090"/>
        <v>46121.38542</v>
      </c>
      <c r="R1106" s="318">
        <f t="shared" si="1091"/>
        <v>46121.47917</v>
      </c>
      <c r="S1106" s="318">
        <f t="shared" si="8"/>
        <v>46121.60417</v>
      </c>
    </row>
    <row r="1107">
      <c r="A1107" s="14" t="str">
        <f t="shared" si="1"/>
        <v>C155346121</v>
      </c>
      <c r="B1107" s="185">
        <f t="array" ref="B1107">IF(F1107="VL","",IF(F1107="Free","Free",XLOOKUP(D1107,Roster!T:T,Roster!S:S,"",0)))</f>
        <v>122</v>
      </c>
      <c r="C1107" s="313">
        <v>46121.0</v>
      </c>
      <c r="D1107" s="314" t="s">
        <v>80</v>
      </c>
      <c r="E1107" s="307" t="str">
        <f t="array" ref="E1107">(XLOOKUP(D1107,Roster!F:F,Roster!B:B,"",0))</f>
        <v>Valentina Castro</v>
      </c>
      <c r="F1107" s="315" t="str">
        <f t="array" ref="F1107">IF(B1107=100,"Free",TEXT(XLOOKUP($D1107,OperationVoice!$A:$A,OperationVoice!O:O,XLOOKUP($D1107,OperationTickets!$A:$A,OperationTickets!O:O,"",0)),"hh:mm"))</f>
        <v>08:00</v>
      </c>
      <c r="G1107" s="309">
        <f t="shared" si="3"/>
        <v>0.7083333333</v>
      </c>
      <c r="H1107" s="316" t="str">
        <f t="array" ref="H1107">XLOOKUP(B1107,Roster!L:L,Roster!N:N,XLOOKUP(D1107,TicketsBreak!A:A,TicketsBreak!E:E,"",0),0)</f>
        <v>09:30 - 09:45</v>
      </c>
      <c r="I1107" s="316" t="str">
        <f t="array" ref="I1107">XLOOKUP(B1107,Roster!L:L,Roster!O:O,XLOOKUP(D1107,TicketsBreak!A:A,TicketsBreak!F:F,"",0),0)</f>
        <v>12:00 - 12:30</v>
      </c>
      <c r="J1107" s="316" t="str">
        <f t="array" ref="J1107">XLOOKUP(B1107,Roster!L:L,Roster!P:P,XLOOKUP(D1107,TicketsBreak!A:A,TicketsBreak!G:G,"",0),0)</f>
        <v>14:45 - 15:00</v>
      </c>
      <c r="K1107" s="310">
        <f t="shared" si="4"/>
        <v>46121</v>
      </c>
      <c r="L1107" s="317">
        <f t="array" ref="L1107">(XLOOKUP(D1107,Roster!F:F,Roster!D:D,"",0))</f>
        <v>37</v>
      </c>
      <c r="M1107" s="317" t="str">
        <f t="array" ref="M1107">XLOOKUP(D1107,Roster!F:F,Roster!E:E)</f>
        <v>Voice</v>
      </c>
      <c r="N1107" s="317" t="str">
        <f t="shared" ref="N1107:P1107" si="1126">LEFT(H1107,5)</f>
        <v>09:30</v>
      </c>
      <c r="O1107" s="317" t="str">
        <f t="shared" si="1126"/>
        <v>12:00</v>
      </c>
      <c r="P1107" s="317" t="str">
        <f t="shared" si="1126"/>
        <v>14:45</v>
      </c>
      <c r="Q1107" s="318">
        <f t="shared" si="1090"/>
        <v>46121.39583</v>
      </c>
      <c r="R1107" s="318">
        <f t="shared" si="1091"/>
        <v>46121.5</v>
      </c>
      <c r="S1107" s="318">
        <f t="shared" si="8"/>
        <v>46121.61458</v>
      </c>
    </row>
    <row r="1108">
      <c r="A1108" s="14" t="str">
        <f t="shared" si="1"/>
        <v>C150246121</v>
      </c>
      <c r="B1108" s="185" t="str">
        <f t="array" ref="B1108">IF(F1108="VL","",IF(F1108="Free","Free",XLOOKUP(D1108,Roster!T:T,Roster!S:S,"",0)))</f>
        <v/>
      </c>
      <c r="C1108" s="313">
        <v>46121.0</v>
      </c>
      <c r="D1108" s="314" t="s">
        <v>316</v>
      </c>
      <c r="E1108" s="307" t="str">
        <f t="array" ref="E1108">(XLOOKUP(D1108,Roster!F:F,Roster!B:B,"",0))</f>
        <v>Valentina Gallego</v>
      </c>
      <c r="F1108" s="315" t="str">
        <f t="array" ref="F1108">IF(B1108=100,"Free",TEXT(XLOOKUP($D1108,OperationVoice!$A:$A,OperationVoice!O:O,XLOOKUP($D1108,OperationTickets!$A:$A,OperationTickets!O:O,"",0)),"hh:mm"))</f>
        <v/>
      </c>
      <c r="G1108" s="309" t="str">
        <f t="shared" si="3"/>
        <v/>
      </c>
      <c r="H1108" s="316" t="str">
        <f t="array" ref="H1108">XLOOKUP(B1108,Roster!L:L,Roster!N:N,XLOOKUP(D1108,TicketsBreak!A:A,TicketsBreak!E:E,"",0),0)</f>
        <v/>
      </c>
      <c r="I1108" s="316" t="str">
        <f t="array" ref="I1108">XLOOKUP(B1108,Roster!L:L,Roster!O:O,XLOOKUP(D1108,TicketsBreak!A:A,TicketsBreak!F:F,"",0),0)</f>
        <v/>
      </c>
      <c r="J1108" s="316" t="str">
        <f t="array" ref="J1108">XLOOKUP(B1108,Roster!L:L,Roster!P:P,XLOOKUP(D1108,TicketsBreak!A:A,TicketsBreak!G:G,"",0),0)</f>
        <v/>
      </c>
      <c r="K1108" s="310">
        <f t="shared" si="4"/>
        <v>46121</v>
      </c>
      <c r="L1108" s="317">
        <f t="array" ref="L1108">(XLOOKUP(D1108,Roster!F:F,Roster!D:D,"",0))</f>
        <v>35</v>
      </c>
      <c r="M1108" s="317" t="str">
        <f t="array" ref="M1108">XLOOKUP(D1108,Roster!F:F,Roster!E:E)</f>
        <v>Voice</v>
      </c>
      <c r="N1108" s="317" t="str">
        <f t="shared" ref="N1108:P1108" si="1127">LEFT(H1108,5)</f>
        <v/>
      </c>
      <c r="O1108" s="317" t="str">
        <f t="shared" si="1127"/>
        <v/>
      </c>
      <c r="P1108" s="317" t="str">
        <f t="shared" si="1127"/>
        <v/>
      </c>
      <c r="Q1108" s="318" t="str">
        <f t="shared" si="1090"/>
        <v/>
      </c>
      <c r="R1108" s="318" t="str">
        <f t="shared" si="1091"/>
        <v/>
      </c>
      <c r="S1108" s="318" t="str">
        <f t="shared" si="8"/>
        <v/>
      </c>
    </row>
    <row r="1109">
      <c r="A1109" s="14" t="str">
        <f t="shared" si="1"/>
        <v>C112646121</v>
      </c>
      <c r="B1109" s="185" t="str">
        <f t="array" ref="B1109">IF(F1109="VL","",IF(F1109="Free","Free",XLOOKUP(D1109,Roster!T:T,Roster!S:S,"",0)))</f>
        <v>Free</v>
      </c>
      <c r="C1109" s="313">
        <v>46121.0</v>
      </c>
      <c r="D1109" s="314" t="s">
        <v>152</v>
      </c>
      <c r="E1109" s="307" t="str">
        <f t="array" ref="E1109">(XLOOKUP(D1109,Roster!F:F,Roster!B:B,"",0))</f>
        <v>Valery Escobar</v>
      </c>
      <c r="F1109" s="315" t="str">
        <f t="array" ref="F1109">IF(B1109=100,"Free",TEXT(XLOOKUP($D1109,OperationVoice!$A:$A,OperationVoice!O:O,XLOOKUP($D1109,OperationTickets!$A:$A,OperationTickets!O:O,"",0)),"hh:mm"))</f>
        <v>Free</v>
      </c>
      <c r="G1109" s="309" t="str">
        <f t="shared" si="3"/>
        <v>Free</v>
      </c>
      <c r="H1109" s="316">
        <f t="array" ref="H1109">XLOOKUP(B1109,Roster!L:L,Roster!N:N,XLOOKUP(D1109,TicketsBreak!A:A,TicketsBreak!E:E,"",0),0)</f>
        <v>0.3854166667</v>
      </c>
      <c r="I1109" s="316">
        <f t="array" ref="I1109">XLOOKUP(B1109,Roster!L:L,Roster!O:O,XLOOKUP(D1109,TicketsBreak!A:A,TicketsBreak!F:F,"",0),0)</f>
        <v>0.5</v>
      </c>
      <c r="J1109" s="316">
        <f t="array" ref="J1109">XLOOKUP(B1109,Roster!L:L,Roster!P:P,XLOOKUP(D1109,TicketsBreak!A:A,TicketsBreak!G:G,"",0),0)</f>
        <v>0.6041666667</v>
      </c>
      <c r="K1109" s="310">
        <f t="shared" si="4"/>
        <v>46121</v>
      </c>
      <c r="L1109" s="317">
        <f t="array" ref="L1109">(XLOOKUP(D1109,Roster!F:F,Roster!D:D,"",0))</f>
        <v>21</v>
      </c>
      <c r="M1109" s="317" t="str">
        <f t="array" ref="M1109">XLOOKUP(D1109,Roster!F:F,Roster!E:E)</f>
        <v>Tickets</v>
      </c>
      <c r="N1109" s="317" t="str">
        <f t="shared" ref="N1109:P1109" si="1128">LEFT(H1109,5)</f>
        <v>09:15</v>
      </c>
      <c r="O1109" s="317" t="str">
        <f t="shared" si="1128"/>
        <v>12:00</v>
      </c>
      <c r="P1109" s="317" t="str">
        <f t="shared" si="1128"/>
        <v>14:30</v>
      </c>
      <c r="Q1109" s="318">
        <f t="shared" si="1090"/>
        <v>46121.38542</v>
      </c>
      <c r="R1109" s="318">
        <f t="shared" si="1091"/>
        <v>46121.5</v>
      </c>
      <c r="S1109" s="318">
        <f t="shared" si="8"/>
        <v>46121.60417</v>
      </c>
    </row>
    <row r="1110">
      <c r="A1110" s="14" t="str">
        <f t="shared" si="1"/>
        <v>C155246121</v>
      </c>
      <c r="B1110" s="185">
        <f t="array" ref="B1110">IF(F1110="VL","",IF(F1110="Free","Free",XLOOKUP(D1110,Roster!T:T,Roster!S:S,"",0)))</f>
        <v>125</v>
      </c>
      <c r="C1110" s="313">
        <v>46121.0</v>
      </c>
      <c r="D1110" s="314" t="s">
        <v>81</v>
      </c>
      <c r="E1110" s="307" t="str">
        <f t="array" ref="E1110">(XLOOKUP(D1110,Roster!F:F,Roster!B:B,"",0))</f>
        <v>Wendy Machado</v>
      </c>
      <c r="F1110" s="315" t="str">
        <f t="array" ref="F1110">IF(B1110=100,"Free",TEXT(XLOOKUP($D1110,OperationVoice!$A:$A,OperationVoice!O:O,XLOOKUP($D1110,OperationTickets!$A:$A,OperationTickets!O:O,"",0)),"hh:mm"))</f>
        <v>08:00</v>
      </c>
      <c r="G1110" s="309">
        <f t="shared" si="3"/>
        <v>0.7083333333</v>
      </c>
      <c r="H1110" s="316" t="str">
        <f t="array" ref="H1110">XLOOKUP(B1110,Roster!L:L,Roster!N:N,XLOOKUP(D1110,TicketsBreak!A:A,TicketsBreak!E:E,"",0),0)</f>
        <v>10:30 - 10:45</v>
      </c>
      <c r="I1110" s="316" t="str">
        <f t="array" ref="I1110">XLOOKUP(B1110,Roster!L:L,Roster!O:O,XLOOKUP(D1110,TicketsBreak!A:A,TicketsBreak!F:F,"",0),0)</f>
        <v>13:30 - 14:00</v>
      </c>
      <c r="J1110" s="316" t="str">
        <f t="array" ref="J1110">XLOOKUP(B1110,Roster!L:L,Roster!P:P,XLOOKUP(D1110,TicketsBreak!A:A,TicketsBreak!G:G,"",0),0)</f>
        <v>15:45 - 16:00</v>
      </c>
      <c r="K1110" s="310">
        <f t="shared" si="4"/>
        <v>46121</v>
      </c>
      <c r="L1110" s="317">
        <f t="array" ref="L1110">(XLOOKUP(D1110,Roster!F:F,Roster!D:D,"",0))</f>
        <v>37</v>
      </c>
      <c r="M1110" s="317" t="str">
        <f t="array" ref="M1110">XLOOKUP(D1110,Roster!F:F,Roster!E:E)</f>
        <v>Voice</v>
      </c>
      <c r="N1110" s="317" t="str">
        <f t="shared" ref="N1110:P1110" si="1129">LEFT(H1110,5)</f>
        <v>10:30</v>
      </c>
      <c r="O1110" s="317" t="str">
        <f t="shared" si="1129"/>
        <v>13:30</v>
      </c>
      <c r="P1110" s="317" t="str">
        <f t="shared" si="1129"/>
        <v>15:45</v>
      </c>
      <c r="Q1110" s="318">
        <f t="shared" si="1090"/>
        <v>46121.4375</v>
      </c>
      <c r="R1110" s="318">
        <f t="shared" si="1091"/>
        <v>46121.5625</v>
      </c>
      <c r="S1110" s="318">
        <f t="shared" si="8"/>
        <v>46121.65625</v>
      </c>
    </row>
    <row r="1111">
      <c r="A1111" s="14" t="str">
        <f t="shared" si="1"/>
        <v>C78646121</v>
      </c>
      <c r="B1111" s="185" t="str">
        <f t="array" ref="B1111">IF(F1111="VL","",IF(F1111="Free","Free",XLOOKUP(D1111,Roster!T:T,Roster!S:S,"",0)))</f>
        <v/>
      </c>
      <c r="C1111" s="313">
        <v>46121.0</v>
      </c>
      <c r="D1111" s="314" t="s">
        <v>136</v>
      </c>
      <c r="E1111" s="307" t="str">
        <f t="array" ref="E1111">(XLOOKUP(D1111,Roster!F:F,Roster!B:B,"",0))</f>
        <v>Wendy Navarro</v>
      </c>
      <c r="F1111" s="315" t="str">
        <f t="array" ref="F1111">IF(B1111=100,"Free",TEXT(XLOOKUP($D1111,OperationVoice!$A:$A,OperationVoice!O:O,XLOOKUP($D1111,OperationTickets!$A:$A,OperationTickets!O:O,"",0)),"hh:mm"))</f>
        <v>08:00</v>
      </c>
      <c r="G1111" s="309">
        <f t="shared" si="3"/>
        <v>0.7083333333</v>
      </c>
      <c r="H1111" s="316">
        <f t="array" ref="H1111">XLOOKUP(B1111,Roster!L:L,Roster!N:N,XLOOKUP(D1111,TicketsBreak!A:A,TicketsBreak!E:E,"",0),0)</f>
        <v>0.4166666667</v>
      </c>
      <c r="I1111" s="316">
        <f t="array" ref="I1111">XLOOKUP(B1111,Roster!L:L,Roster!O:O,XLOOKUP(D1111,TicketsBreak!A:A,TicketsBreak!F:F,"",0),0)</f>
        <v>0.5416666667</v>
      </c>
      <c r="J1111" s="316">
        <f t="array" ref="J1111">XLOOKUP(B1111,Roster!L:L,Roster!P:P,XLOOKUP(D1111,TicketsBreak!A:A,TicketsBreak!G:G,"",0),0)</f>
        <v>0.6458333333</v>
      </c>
      <c r="K1111" s="310">
        <f t="shared" si="4"/>
        <v>46121</v>
      </c>
      <c r="L1111" s="317">
        <f t="array" ref="L1111">(XLOOKUP(D1111,Roster!F:F,Roster!D:D,"",0))</f>
        <v>16</v>
      </c>
      <c r="M1111" s="317" t="str">
        <f t="array" ref="M1111">XLOOKUP(D1111,Roster!F:F,Roster!E:E)</f>
        <v>Tickets</v>
      </c>
      <c r="N1111" s="317" t="str">
        <f t="shared" ref="N1111:P1111" si="1130">LEFT(H1111,5)</f>
        <v>10:00</v>
      </c>
      <c r="O1111" s="317" t="str">
        <f t="shared" si="1130"/>
        <v>13:00</v>
      </c>
      <c r="P1111" s="317" t="str">
        <f t="shared" si="1130"/>
        <v>15:30</v>
      </c>
      <c r="Q1111" s="318">
        <f t="shared" si="1090"/>
        <v>46121.41667</v>
      </c>
      <c r="R1111" s="318">
        <f t="shared" si="1091"/>
        <v>46121.54167</v>
      </c>
      <c r="S1111" s="318">
        <f t="shared" si="8"/>
        <v>46121.64583</v>
      </c>
    </row>
    <row r="1112">
      <c r="A1112" s="14" t="str">
        <f t="shared" si="1"/>
        <v>C153746121</v>
      </c>
      <c r="B1112" s="185">
        <f t="array" ref="B1112">IF(F1112="VL","",IF(F1112="Free","Free",XLOOKUP(D1112,Roster!T:T,Roster!S:S,"",0)))</f>
        <v>135</v>
      </c>
      <c r="C1112" s="313">
        <v>46121.0</v>
      </c>
      <c r="D1112" s="314" t="s">
        <v>82</v>
      </c>
      <c r="E1112" s="307" t="str">
        <f t="array" ref="E1112">(XLOOKUP(D1112,Roster!F:F,Roster!B:B,"",0))</f>
        <v>William Florez</v>
      </c>
      <c r="F1112" s="315" t="str">
        <f t="array" ref="F1112">IF(B1112=100,"Free",TEXT(XLOOKUP($D1112,OperationVoice!$A:$A,OperationVoice!O:O,XLOOKUP($D1112,OperationTickets!$A:$A,OperationTickets!O:O,"",0)),"hh:mm"))</f>
        <v>09:00</v>
      </c>
      <c r="G1112" s="309">
        <f t="shared" si="3"/>
        <v>0.75</v>
      </c>
      <c r="H1112" s="316" t="str">
        <f t="array" ref="H1112">XLOOKUP(B1112,Roster!L:L,Roster!N:N,XLOOKUP(D1112,TicketsBreak!A:A,TicketsBreak!E:E,"",0),0)</f>
        <v>11:15 - 11:30</v>
      </c>
      <c r="I1112" s="316" t="str">
        <f t="array" ref="I1112">XLOOKUP(B1112,Roster!L:L,Roster!O:O,XLOOKUP(D1112,TicketsBreak!A:A,TicketsBreak!F:F,"",0),0)</f>
        <v>14:15 - 14:45</v>
      </c>
      <c r="J1112" s="316" t="str">
        <f t="array" ref="J1112">XLOOKUP(B1112,Roster!L:L,Roster!P:P,XLOOKUP(D1112,TicketsBreak!A:A,TicketsBreak!G:G,"",0),0)</f>
        <v>16:15 - 16:30</v>
      </c>
      <c r="K1112" s="310">
        <f t="shared" si="4"/>
        <v>46121</v>
      </c>
      <c r="L1112" s="317">
        <f t="array" ref="L1112">(XLOOKUP(D1112,Roster!F:F,Roster!D:D,"",0))</f>
        <v>36</v>
      </c>
      <c r="M1112" s="317" t="str">
        <f t="array" ref="M1112">XLOOKUP(D1112,Roster!F:F,Roster!E:E)</f>
        <v>Voice</v>
      </c>
      <c r="N1112" s="317" t="str">
        <f t="shared" ref="N1112:P1112" si="1131">LEFT(H1112,5)</f>
        <v>11:15</v>
      </c>
      <c r="O1112" s="317" t="str">
        <f t="shared" si="1131"/>
        <v>14:15</v>
      </c>
      <c r="P1112" s="317" t="str">
        <f t="shared" si="1131"/>
        <v>16:15</v>
      </c>
      <c r="Q1112" s="318">
        <f t="shared" si="1090"/>
        <v>46121.46875</v>
      </c>
      <c r="R1112" s="318">
        <f t="shared" si="1091"/>
        <v>46121.59375</v>
      </c>
      <c r="S1112" s="318">
        <f t="shared" si="8"/>
        <v>46121.67708</v>
      </c>
    </row>
    <row r="1113">
      <c r="A1113" s="14" t="str">
        <f t="shared" si="1"/>
        <v>C135346121</v>
      </c>
      <c r="B1113" s="185">
        <f t="array" ref="B1113">IF(F1113="VL","",IF(F1113="Free","Free",XLOOKUP(D1113,Roster!T:T,Roster!S:S,"",0)))</f>
        <v>121</v>
      </c>
      <c r="C1113" s="313">
        <v>46121.0</v>
      </c>
      <c r="D1113" s="314" t="s">
        <v>83</v>
      </c>
      <c r="E1113" s="307" t="str">
        <f t="array" ref="E1113">(XLOOKUP(D1113,Roster!F:F,Roster!B:B,"",0))</f>
        <v>Wilson Martinez</v>
      </c>
      <c r="F1113" s="315" t="str">
        <f t="array" ref="F1113">IF(B1113=100,"Free",TEXT(XLOOKUP($D1113,OperationVoice!$A:$A,OperationVoice!O:O,XLOOKUP($D1113,OperationTickets!$A:$A,OperationTickets!O:O,"",0)),"hh:mm"))</f>
        <v>08:00</v>
      </c>
      <c r="G1113" s="309">
        <f t="shared" si="3"/>
        <v>0.7083333333</v>
      </c>
      <c r="H1113" s="316" t="str">
        <f t="array" ref="H1113">XLOOKUP(B1113,Roster!L:L,Roster!N:N,XLOOKUP(D1113,TicketsBreak!A:A,TicketsBreak!E:E,"",0),0)</f>
        <v>09:15 - 09:30</v>
      </c>
      <c r="I1113" s="316" t="str">
        <f t="array" ref="I1113">XLOOKUP(B1113,Roster!L:L,Roster!O:O,XLOOKUP(D1113,TicketsBreak!A:A,TicketsBreak!F:F,"",0),0)</f>
        <v>11:30 - 12:00</v>
      </c>
      <c r="J1113" s="316" t="str">
        <f t="array" ref="J1113">XLOOKUP(B1113,Roster!L:L,Roster!P:P,XLOOKUP(D1113,TicketsBreak!A:A,TicketsBreak!G:G,"",0),0)</f>
        <v>14:30 - 14:45</v>
      </c>
      <c r="K1113" s="310">
        <f t="shared" si="4"/>
        <v>46121</v>
      </c>
      <c r="L1113" s="317">
        <f t="array" ref="L1113">(XLOOKUP(D1113,Roster!F:F,Roster!D:D,"",0))</f>
        <v>30</v>
      </c>
      <c r="M1113" s="317" t="str">
        <f t="array" ref="M1113">XLOOKUP(D1113,Roster!F:F,Roster!E:E)</f>
        <v>Voice</v>
      </c>
      <c r="N1113" s="317" t="str">
        <f t="shared" ref="N1113:P1113" si="1132">LEFT(H1113,5)</f>
        <v>09:15</v>
      </c>
      <c r="O1113" s="317" t="str">
        <f t="shared" si="1132"/>
        <v>11:30</v>
      </c>
      <c r="P1113" s="317" t="str">
        <f t="shared" si="1132"/>
        <v>14:30</v>
      </c>
      <c r="Q1113" s="318">
        <f t="shared" si="1090"/>
        <v>46121.38542</v>
      </c>
      <c r="R1113" s="318">
        <f t="shared" si="1091"/>
        <v>46121.47917</v>
      </c>
      <c r="S1113" s="318">
        <f t="shared" si="8"/>
        <v>46121.60417</v>
      </c>
    </row>
    <row r="1114">
      <c r="A1114" s="14" t="str">
        <f t="shared" si="1"/>
        <v>C117346121</v>
      </c>
      <c r="B1114" s="185">
        <f t="array" ref="B1114">IF(F1114="VL","",IF(F1114="Free","Free",XLOOKUP(D1114,Roster!T:T,Roster!S:S,"",0)))</f>
        <v>122</v>
      </c>
      <c r="C1114" s="313">
        <v>46121.0</v>
      </c>
      <c r="D1114" s="314" t="s">
        <v>84</v>
      </c>
      <c r="E1114" s="307" t="str">
        <f t="array" ref="E1114">(XLOOKUP(D1114,Roster!F:F,Roster!B:B,"",0))</f>
        <v>Yaidy Mosquera</v>
      </c>
      <c r="F1114" s="315" t="str">
        <f t="array" ref="F1114">IF(B1114=100,"Free",TEXT(XLOOKUP($D1114,OperationVoice!$A:$A,OperationVoice!O:O,XLOOKUP($D1114,OperationTickets!$A:$A,OperationTickets!O:O,"",0)),"hh:mm"))</f>
        <v>08:00</v>
      </c>
      <c r="G1114" s="309">
        <f t="shared" si="3"/>
        <v>0.7083333333</v>
      </c>
      <c r="H1114" s="316" t="str">
        <f t="array" ref="H1114">XLOOKUP(B1114,Roster!L:L,Roster!N:N,XLOOKUP(D1114,TicketsBreak!A:A,TicketsBreak!E:E,"",0),0)</f>
        <v>09:30 - 09:45</v>
      </c>
      <c r="I1114" s="316" t="str">
        <f t="array" ref="I1114">XLOOKUP(B1114,Roster!L:L,Roster!O:O,XLOOKUP(D1114,TicketsBreak!A:A,TicketsBreak!F:F,"",0),0)</f>
        <v>12:00 - 12:30</v>
      </c>
      <c r="J1114" s="316" t="str">
        <f t="array" ref="J1114">XLOOKUP(B1114,Roster!L:L,Roster!P:P,XLOOKUP(D1114,TicketsBreak!A:A,TicketsBreak!G:G,"",0),0)</f>
        <v>14:45 - 15:00</v>
      </c>
      <c r="K1114" s="310">
        <f t="shared" si="4"/>
        <v>46121</v>
      </c>
      <c r="L1114" s="317">
        <f t="array" ref="L1114">(XLOOKUP(D1114,Roster!F:F,Roster!D:D,"",0))</f>
        <v>24</v>
      </c>
      <c r="M1114" s="317" t="str">
        <f t="array" ref="M1114">XLOOKUP(D1114,Roster!F:F,Roster!E:E)</f>
        <v>Voice</v>
      </c>
      <c r="N1114" s="317" t="str">
        <f t="shared" ref="N1114:P1114" si="1133">LEFT(H1114,5)</f>
        <v>09:30</v>
      </c>
      <c r="O1114" s="317" t="str">
        <f t="shared" si="1133"/>
        <v>12:00</v>
      </c>
      <c r="P1114" s="317" t="str">
        <f t="shared" si="1133"/>
        <v>14:45</v>
      </c>
      <c r="Q1114" s="318">
        <f t="shared" si="1090"/>
        <v>46121.39583</v>
      </c>
      <c r="R1114" s="318">
        <f t="shared" si="1091"/>
        <v>46121.5</v>
      </c>
      <c r="S1114" s="318">
        <f t="shared" si="8"/>
        <v>46121.61458</v>
      </c>
    </row>
    <row r="1115">
      <c r="A1115" s="14" t="str">
        <f t="shared" si="1"/>
        <v>C110846121</v>
      </c>
      <c r="B1115" s="185" t="str">
        <f t="array" ref="B1115">IF(F1115="VL","",IF(F1115="Free","Free",XLOOKUP(D1115,Roster!T:T,Roster!S:S,"",0)))</f>
        <v/>
      </c>
      <c r="C1115" s="313">
        <v>46121.0</v>
      </c>
      <c r="D1115" s="314" t="s">
        <v>187</v>
      </c>
      <c r="E1115" s="307" t="str">
        <f t="array" ref="E1115">(XLOOKUP(D1115,Roster!F:F,Roster!B:B,"",0))</f>
        <v>Yeiner Tapias</v>
      </c>
      <c r="F1115" s="315" t="str">
        <f t="array" ref="F1115">IF(B1115=100,"Free",TEXT(XLOOKUP($D1115,OperationVoice!$A:$A,OperationVoice!O:O,XLOOKUP($D1115,OperationTickets!$A:$A,OperationTickets!O:O,"",0)),"hh:mm"))</f>
        <v>08:00</v>
      </c>
      <c r="G1115" s="309">
        <f t="shared" si="3"/>
        <v>0.7083333333</v>
      </c>
      <c r="H1115" s="316">
        <f t="array" ref="H1115">XLOOKUP(B1115,Roster!L:L,Roster!N:N,XLOOKUP(D1115,TicketsBreak!A:A,TicketsBreak!E:E,"",0),0)</f>
        <v>0.3958333333</v>
      </c>
      <c r="I1115" s="316">
        <f t="array" ref="I1115">XLOOKUP(B1115,Roster!L:L,Roster!O:O,XLOOKUP(D1115,TicketsBreak!A:A,TicketsBreak!F:F,"",0),0)</f>
        <v>0.5208333333</v>
      </c>
      <c r="J1115" s="316">
        <f t="array" ref="J1115">XLOOKUP(B1115,Roster!L:L,Roster!P:P,XLOOKUP(D1115,TicketsBreak!A:A,TicketsBreak!G:G,"",0),0)</f>
        <v>0.6145833333</v>
      </c>
      <c r="K1115" s="310">
        <f t="shared" si="4"/>
        <v>46121</v>
      </c>
      <c r="L1115" s="317">
        <f t="array" ref="L1115">(XLOOKUP(D1115,Roster!F:F,Roster!D:D,"",0))</f>
        <v>20</v>
      </c>
      <c r="M1115" s="317" t="str">
        <f t="array" ref="M1115">XLOOKUP(D1115,Roster!F:F,Roster!E:E)</f>
        <v>Tickets</v>
      </c>
      <c r="N1115" s="317" t="str">
        <f t="shared" ref="N1115:P1115" si="1134">LEFT(H1115,5)</f>
        <v>09:30</v>
      </c>
      <c r="O1115" s="317" t="str">
        <f t="shared" si="1134"/>
        <v>12:30</v>
      </c>
      <c r="P1115" s="317" t="str">
        <f t="shared" si="1134"/>
        <v>14:45</v>
      </c>
      <c r="Q1115" s="318">
        <f t="shared" si="1090"/>
        <v>46121.39583</v>
      </c>
      <c r="R1115" s="318">
        <f t="shared" si="1091"/>
        <v>46121.52083</v>
      </c>
      <c r="S1115" s="318">
        <f t="shared" si="8"/>
        <v>46121.61458</v>
      </c>
    </row>
    <row r="1116">
      <c r="A1116" s="14" t="str">
        <f t="shared" si="1"/>
        <v>C153946121</v>
      </c>
      <c r="B1116" s="185">
        <f t="array" ref="B1116">IF(F1116="VL","",IF(F1116="Free","Free",XLOOKUP(D1116,Roster!T:T,Roster!S:S,"",0)))</f>
        <v>123</v>
      </c>
      <c r="C1116" s="313">
        <v>46121.0</v>
      </c>
      <c r="D1116" s="314" t="s">
        <v>85</v>
      </c>
      <c r="E1116" s="307" t="str">
        <f t="array" ref="E1116">(XLOOKUP(D1116,Roster!F:F,Roster!B:B,"",0))</f>
        <v>Yovanny Ceballos</v>
      </c>
      <c r="F1116" s="315" t="str">
        <f t="array" ref="F1116">IF(B1116=100,"Free",TEXT(XLOOKUP($D1116,OperationVoice!$A:$A,OperationVoice!O:O,XLOOKUP($D1116,OperationTickets!$A:$A,OperationTickets!O:O,"",0)),"hh:mm"))</f>
        <v/>
      </c>
      <c r="G1116" s="309" t="str">
        <f t="shared" si="3"/>
        <v/>
      </c>
      <c r="H1116" s="316" t="str">
        <f t="array" ref="H1116">XLOOKUP(B1116,Roster!L:L,Roster!N:N,XLOOKUP(D1116,TicketsBreak!A:A,TicketsBreak!E:E,"",0),0)</f>
        <v>09:45 - 10:00 </v>
      </c>
      <c r="I1116" s="316" t="str">
        <f t="array" ref="I1116">XLOOKUP(B1116,Roster!L:L,Roster!O:O,XLOOKUP(D1116,TicketsBreak!A:A,TicketsBreak!F:F,"",0),0)</f>
        <v>12:30 - 13:00</v>
      </c>
      <c r="J1116" s="316" t="str">
        <f t="array" ref="J1116">XLOOKUP(B1116,Roster!L:L,Roster!P:P,XLOOKUP(D1116,TicketsBreak!A:A,TicketsBreak!G:G,"",0),0)</f>
        <v>15:00 - 15:15</v>
      </c>
      <c r="K1116" s="310">
        <f t="shared" si="4"/>
        <v>46121</v>
      </c>
      <c r="L1116" s="317">
        <f t="array" ref="L1116">(XLOOKUP(D1116,Roster!F:F,Roster!D:D,"",0))</f>
        <v>36</v>
      </c>
      <c r="M1116" s="317" t="str">
        <f t="array" ref="M1116">XLOOKUP(D1116,Roster!F:F,Roster!E:E)</f>
        <v>Voice</v>
      </c>
      <c r="N1116" s="317" t="str">
        <f t="shared" ref="N1116:P1116" si="1135">LEFT(H1116,5)</f>
        <v>09:45</v>
      </c>
      <c r="O1116" s="317" t="str">
        <f t="shared" si="1135"/>
        <v>12:30</v>
      </c>
      <c r="P1116" s="317" t="str">
        <f t="shared" si="1135"/>
        <v>15:00</v>
      </c>
      <c r="Q1116" s="318">
        <f t="shared" si="1090"/>
        <v>46121.40625</v>
      </c>
      <c r="R1116" s="318">
        <f t="shared" si="1091"/>
        <v>46121.52083</v>
      </c>
      <c r="S1116" s="318">
        <f t="shared" si="8"/>
        <v>46121.625</v>
      </c>
    </row>
    <row r="1117">
      <c r="A1117" s="14" t="str">
        <f t="shared" si="1"/>
        <v>46121</v>
      </c>
      <c r="B1117" s="185" t="str">
        <f t="array" ref="B1117">IF(F1117="VL","",IF(F1117="Free","Free",XLOOKUP(D1117,Roster!T:T,Roster!S:S,"",0)))</f>
        <v/>
      </c>
      <c r="C1117" s="313">
        <v>46121.0</v>
      </c>
      <c r="D1117" s="314"/>
      <c r="E1117" s="307" t="str">
        <f t="array" ref="E1117">(XLOOKUP(D1117,Roster!F:F,Roster!B:B,"",0))</f>
        <v/>
      </c>
      <c r="F1117" s="315" t="str">
        <f t="array" ref="F1117">IF(B1117=100,"Free",TEXT(XLOOKUP($D1117,OperationVoice!$A:$A,OperationVoice!O:O,XLOOKUP($D1117,OperationTickets!$A:$A,OperationTickets!O:O,"",0)),"hh:mm"))</f>
        <v/>
      </c>
      <c r="G1117" s="309" t="str">
        <f t="shared" si="3"/>
        <v/>
      </c>
      <c r="H1117" s="316" t="str">
        <f t="array" ref="H1117">XLOOKUP(B1117,Roster!L:L,Roster!N:N,XLOOKUP(D1117,TicketsBreak!A:A,TicketsBreak!E:E,"",0),0)</f>
        <v/>
      </c>
      <c r="I1117" s="316" t="str">
        <f t="array" ref="I1117">XLOOKUP(B1117,Roster!L:L,Roster!O:O,XLOOKUP(D1117,TicketsBreak!A:A,TicketsBreak!F:F,"",0),0)</f>
        <v/>
      </c>
      <c r="J1117" s="316" t="str">
        <f t="array" ref="J1117">XLOOKUP(B1117,Roster!L:L,Roster!P:P,XLOOKUP(D1117,TicketsBreak!A:A,TicketsBreak!G:G,"",0),0)</f>
        <v/>
      </c>
      <c r="K1117" s="310">
        <f t="shared" si="4"/>
        <v>46121</v>
      </c>
      <c r="L1117" s="317" t="str">
        <f t="array" ref="L1117">(XLOOKUP(D1117,Roster!F:F,Roster!D:D,"",0))</f>
        <v/>
      </c>
      <c r="M1117" s="317" t="str">
        <f t="array" ref="M1117">XLOOKUP(D1117,Roster!F:F,Roster!E:E)</f>
        <v>#N/A</v>
      </c>
      <c r="N1117" s="317" t="str">
        <f t="shared" ref="N1117:P1117" si="1136">LEFT(H1117,5)</f>
        <v/>
      </c>
      <c r="O1117" s="317" t="str">
        <f t="shared" si="1136"/>
        <v/>
      </c>
      <c r="P1117" s="317" t="str">
        <f t="shared" si="1136"/>
        <v/>
      </c>
      <c r="Q1117" s="318" t="str">
        <f t="shared" si="1090"/>
        <v/>
      </c>
      <c r="R1117" s="318" t="str">
        <f t="shared" si="1091"/>
        <v/>
      </c>
      <c r="S1117" s="318" t="str">
        <f t="shared" si="8"/>
        <v/>
      </c>
    </row>
    <row r="1118">
      <c r="A1118" s="14" t="str">
        <f t="shared" si="1"/>
        <v>46121</v>
      </c>
      <c r="B1118" s="185" t="str">
        <f t="array" ref="B1118">IF(F1118="VL","",IF(F1118="Free","Free",XLOOKUP(D1118,Roster!T:T,Roster!S:S,"",0)))</f>
        <v/>
      </c>
      <c r="C1118" s="313">
        <v>46121.0</v>
      </c>
      <c r="D1118" s="314"/>
      <c r="E1118" s="307" t="str">
        <f t="array" ref="E1118">(XLOOKUP(D1118,Roster!F:F,Roster!B:B,"",0))</f>
        <v/>
      </c>
      <c r="F1118" s="315" t="str">
        <f t="array" ref="F1118">IF(B1118=100,"Free",TEXT(XLOOKUP($D1118,OperationVoice!$A:$A,OperationVoice!O:O,XLOOKUP($D1118,OperationTickets!$A:$A,OperationTickets!O:O,"",0)),"hh:mm"))</f>
        <v/>
      </c>
      <c r="G1118" s="309" t="str">
        <f t="shared" si="3"/>
        <v/>
      </c>
      <c r="H1118" s="316" t="str">
        <f t="array" ref="H1118">XLOOKUP(B1118,Roster!L:L,Roster!N:N,XLOOKUP(D1118,TicketsBreak!A:A,TicketsBreak!E:E,"",0),0)</f>
        <v/>
      </c>
      <c r="I1118" s="316" t="str">
        <f t="array" ref="I1118">XLOOKUP(B1118,Roster!L:L,Roster!O:O,XLOOKUP(D1118,TicketsBreak!A:A,TicketsBreak!F:F,"",0),0)</f>
        <v/>
      </c>
      <c r="J1118" s="316" t="str">
        <f t="array" ref="J1118">XLOOKUP(B1118,Roster!L:L,Roster!P:P,XLOOKUP(D1118,TicketsBreak!A:A,TicketsBreak!G:G,"",0),0)</f>
        <v/>
      </c>
      <c r="K1118" s="310">
        <f t="shared" si="4"/>
        <v>46121</v>
      </c>
      <c r="L1118" s="317" t="str">
        <f t="array" ref="L1118">(XLOOKUP(D1118,Roster!F:F,Roster!D:D,"",0))</f>
        <v/>
      </c>
      <c r="M1118" s="317" t="str">
        <f t="array" ref="M1118">XLOOKUP(D1118,Roster!F:F,Roster!E:E)</f>
        <v>#N/A</v>
      </c>
      <c r="N1118" s="317" t="str">
        <f t="shared" ref="N1118:P1118" si="1137">LEFT(H1118,5)</f>
        <v/>
      </c>
      <c r="O1118" s="317" t="str">
        <f t="shared" si="1137"/>
        <v/>
      </c>
      <c r="P1118" s="317" t="str">
        <f t="shared" si="1137"/>
        <v/>
      </c>
      <c r="Q1118" s="318" t="str">
        <f t="shared" si="1090"/>
        <v/>
      </c>
      <c r="R1118" s="318" t="str">
        <f t="shared" si="1091"/>
        <v/>
      </c>
      <c r="S1118" s="318" t="str">
        <f t="shared" si="8"/>
        <v/>
      </c>
    </row>
    <row r="1119">
      <c r="A1119" s="14" t="str">
        <f t="shared" si="1"/>
        <v>46121</v>
      </c>
      <c r="B1119" s="185" t="str">
        <f t="array" ref="B1119">IF(F1119="VL","",IF(F1119="Free","Free",XLOOKUP(D1119,Roster!T:T,Roster!S:S,"",0)))</f>
        <v/>
      </c>
      <c r="C1119" s="313">
        <v>46121.0</v>
      </c>
      <c r="D1119" s="314"/>
      <c r="E1119" s="307" t="str">
        <f t="array" ref="E1119">(XLOOKUP(D1119,Roster!F:F,Roster!B:B,"",0))</f>
        <v/>
      </c>
      <c r="F1119" s="315" t="str">
        <f t="array" ref="F1119">IF(B1119=100,"Free",TEXT(XLOOKUP($D1119,OperationVoice!$A:$A,OperationVoice!O:O,XLOOKUP($D1119,OperationTickets!$A:$A,OperationTickets!O:O,"",0)),"hh:mm"))</f>
        <v/>
      </c>
      <c r="G1119" s="309" t="str">
        <f t="shared" si="3"/>
        <v/>
      </c>
      <c r="H1119" s="316" t="str">
        <f t="array" ref="H1119">XLOOKUP(B1119,Roster!L:L,Roster!N:N,XLOOKUP(D1119,TicketsBreak!A:A,TicketsBreak!E:E,"",0),0)</f>
        <v/>
      </c>
      <c r="I1119" s="316" t="str">
        <f t="array" ref="I1119">XLOOKUP(B1119,Roster!L:L,Roster!O:O,XLOOKUP(D1119,TicketsBreak!A:A,TicketsBreak!F:F,"",0),0)</f>
        <v/>
      </c>
      <c r="J1119" s="316" t="str">
        <f t="array" ref="J1119">XLOOKUP(B1119,Roster!L:L,Roster!P:P,XLOOKUP(D1119,TicketsBreak!A:A,TicketsBreak!G:G,"",0),0)</f>
        <v/>
      </c>
      <c r="K1119" s="310">
        <f t="shared" si="4"/>
        <v>46121</v>
      </c>
      <c r="L1119" s="317" t="str">
        <f t="array" ref="L1119">(XLOOKUP(D1119,Roster!F:F,Roster!D:D,"",0))</f>
        <v/>
      </c>
      <c r="M1119" s="317" t="str">
        <f t="array" ref="M1119">XLOOKUP(D1119,Roster!F:F,Roster!E:E)</f>
        <v>#N/A</v>
      </c>
      <c r="N1119" s="317" t="str">
        <f t="shared" ref="N1119:P1119" si="1138">LEFT(H1119,5)</f>
        <v/>
      </c>
      <c r="O1119" s="317" t="str">
        <f t="shared" si="1138"/>
        <v/>
      </c>
      <c r="P1119" s="317" t="str">
        <f t="shared" si="1138"/>
        <v/>
      </c>
      <c r="Q1119" s="318" t="str">
        <f t="shared" si="1090"/>
        <v/>
      </c>
      <c r="R1119" s="318" t="str">
        <f t="shared" si="1091"/>
        <v/>
      </c>
      <c r="S1119" s="318" t="str">
        <f t="shared" si="8"/>
        <v/>
      </c>
    </row>
    <row r="1120">
      <c r="A1120" s="14" t="str">
        <f t="shared" si="1"/>
        <v>46121</v>
      </c>
      <c r="B1120" s="185" t="str">
        <f t="array" ref="B1120">IF(F1120="VL","",IF(F1120="Free","Free",XLOOKUP(D1120,Roster!T:T,Roster!S:S,"",0)))</f>
        <v/>
      </c>
      <c r="C1120" s="313">
        <v>46121.0</v>
      </c>
      <c r="D1120" s="314"/>
      <c r="E1120" s="307" t="str">
        <f t="array" ref="E1120">(XLOOKUP(D1120,Roster!F:F,Roster!B:B,"",0))</f>
        <v/>
      </c>
      <c r="F1120" s="315" t="str">
        <f t="array" ref="F1120">IF(B1120=100,"Free",TEXT(XLOOKUP($D1120,OperationVoice!$A:$A,OperationVoice!O:O,XLOOKUP($D1120,OperationTickets!$A:$A,OperationTickets!O:O,"",0)),"hh:mm"))</f>
        <v/>
      </c>
      <c r="G1120" s="309" t="str">
        <f t="shared" si="3"/>
        <v/>
      </c>
      <c r="H1120" s="316" t="str">
        <f t="array" ref="H1120">XLOOKUP(B1120,Roster!L:L,Roster!N:N,XLOOKUP(D1120,TicketsBreak!A:A,TicketsBreak!E:E,"",0),0)</f>
        <v/>
      </c>
      <c r="I1120" s="316" t="str">
        <f t="array" ref="I1120">XLOOKUP(B1120,Roster!L:L,Roster!O:O,XLOOKUP(D1120,TicketsBreak!A:A,TicketsBreak!F:F,"",0),0)</f>
        <v/>
      </c>
      <c r="J1120" s="316" t="str">
        <f t="array" ref="J1120">XLOOKUP(B1120,Roster!L:L,Roster!P:P,XLOOKUP(D1120,TicketsBreak!A:A,TicketsBreak!G:G,"",0),0)</f>
        <v/>
      </c>
      <c r="K1120" s="310">
        <f t="shared" si="4"/>
        <v>46121</v>
      </c>
      <c r="L1120" s="317" t="str">
        <f t="array" ref="L1120">(XLOOKUP(D1120,Roster!F:F,Roster!D:D,"",0))</f>
        <v/>
      </c>
      <c r="M1120" s="317" t="str">
        <f t="array" ref="M1120">XLOOKUP(D1120,Roster!F:F,Roster!E:E)</f>
        <v>#N/A</v>
      </c>
      <c r="N1120" s="317" t="str">
        <f t="shared" ref="N1120:P1120" si="1139">LEFT(H1120,5)</f>
        <v/>
      </c>
      <c r="O1120" s="317" t="str">
        <f t="shared" si="1139"/>
        <v/>
      </c>
      <c r="P1120" s="317" t="str">
        <f t="shared" si="1139"/>
        <v/>
      </c>
      <c r="Q1120" s="318" t="str">
        <f t="shared" si="1090"/>
        <v/>
      </c>
      <c r="R1120" s="318" t="str">
        <f t="shared" si="1091"/>
        <v/>
      </c>
      <c r="S1120" s="318" t="str">
        <f t="shared" si="8"/>
        <v/>
      </c>
    </row>
    <row r="1121">
      <c r="A1121" s="14" t="str">
        <f t="shared" si="1"/>
        <v>46121</v>
      </c>
      <c r="B1121" s="185" t="str">
        <f t="array" ref="B1121">IF(F1121="VL","",IF(F1121="Free","Free",XLOOKUP(D1121,Roster!T:T,Roster!S:S,"",0)))</f>
        <v/>
      </c>
      <c r="C1121" s="313">
        <v>46121.0</v>
      </c>
      <c r="D1121" s="314"/>
      <c r="E1121" s="307" t="str">
        <f t="array" ref="E1121">(XLOOKUP(D1121,Roster!F:F,Roster!B:B,"",0))</f>
        <v/>
      </c>
      <c r="F1121" s="315" t="str">
        <f t="array" ref="F1121">IF(B1121=100,"Free",TEXT(XLOOKUP($D1121,OperationVoice!$A:$A,OperationVoice!O:O,XLOOKUP($D1121,OperationTickets!$A:$A,OperationTickets!O:O,"",0)),"hh:mm"))</f>
        <v/>
      </c>
      <c r="G1121" s="309" t="str">
        <f t="shared" si="3"/>
        <v/>
      </c>
      <c r="H1121" s="316" t="str">
        <f t="array" ref="H1121">XLOOKUP(B1121,Roster!L:L,Roster!N:N,XLOOKUP(D1121,TicketsBreak!A:A,TicketsBreak!E:E,"",0),0)</f>
        <v/>
      </c>
      <c r="I1121" s="316" t="str">
        <f t="array" ref="I1121">XLOOKUP(B1121,Roster!L:L,Roster!O:O,XLOOKUP(D1121,TicketsBreak!A:A,TicketsBreak!F:F,"",0),0)</f>
        <v/>
      </c>
      <c r="J1121" s="316" t="str">
        <f t="array" ref="J1121">XLOOKUP(B1121,Roster!L:L,Roster!P:P,XLOOKUP(D1121,TicketsBreak!A:A,TicketsBreak!G:G,"",0),0)</f>
        <v/>
      </c>
      <c r="K1121" s="310">
        <f t="shared" si="4"/>
        <v>46121</v>
      </c>
      <c r="L1121" s="317" t="str">
        <f t="array" ref="L1121">(XLOOKUP(D1121,Roster!F:F,Roster!D:D,"",0))</f>
        <v/>
      </c>
      <c r="M1121" s="317" t="str">
        <f t="array" ref="M1121">XLOOKUP(D1121,Roster!F:F,Roster!E:E)</f>
        <v>#N/A</v>
      </c>
      <c r="N1121" s="317" t="str">
        <f t="shared" ref="N1121:P1121" si="1140">LEFT(H1121,5)</f>
        <v/>
      </c>
      <c r="O1121" s="317" t="str">
        <f t="shared" si="1140"/>
        <v/>
      </c>
      <c r="P1121" s="317" t="str">
        <f t="shared" si="1140"/>
        <v/>
      </c>
      <c r="Q1121" s="318" t="str">
        <f t="shared" si="1090"/>
        <v/>
      </c>
      <c r="R1121" s="318" t="str">
        <f t="shared" si="1091"/>
        <v/>
      </c>
      <c r="S1121" s="318" t="str">
        <f t="shared" si="8"/>
        <v/>
      </c>
    </row>
    <row r="1122">
      <c r="A1122" s="14" t="str">
        <f t="shared" si="1"/>
        <v>C81846122</v>
      </c>
      <c r="B1122" s="185">
        <f t="array" ref="B1122">IF(F1122="VL","",IF(F1122="Free","Free",XLOOKUP(D1122,Roster!T:T,Roster!S:S,"",0)))</f>
        <v>123</v>
      </c>
      <c r="C1122" s="313">
        <v>46122.0</v>
      </c>
      <c r="D1122" s="314" t="s">
        <v>9</v>
      </c>
      <c r="E1122" s="307" t="str">
        <f t="array" ref="E1122">(XLOOKUP(D1122,Roster!F:F,Roster!B:B,"",0))</f>
        <v>Adriana Moncaleano</v>
      </c>
      <c r="F1122" s="315" t="str">
        <f t="array" ref="F1122">IF(B1122=100,"Free",TEXT(XLOOKUP($D1122,OperationVoice!$A:$A,OperationVoice!P:P,XLOOKUP($D1122,OperationTickets!$A:$A,OperationTickets!P:P,"",0)),"hh:mm"))</f>
        <v>08:00</v>
      </c>
      <c r="G1122" s="309">
        <f t="shared" si="3"/>
        <v>0.7083333333</v>
      </c>
      <c r="H1122" s="316" t="str">
        <f t="array" ref="H1122">XLOOKUP(B1122,Roster!L:L,Roster!N:N,XLOOKUP(D1122,TicketsBreak!A:A,TicketsBreak!E:E,"",0),0)</f>
        <v>09:45 - 10:00 </v>
      </c>
      <c r="I1122" s="316" t="str">
        <f t="array" ref="I1122">XLOOKUP(B1122,Roster!L:L,Roster!O:O,XLOOKUP(D1122,TicketsBreak!A:A,TicketsBreak!F:F,"",0),0)</f>
        <v>12:30 - 13:00</v>
      </c>
      <c r="J1122" s="316" t="str">
        <f t="array" ref="J1122">XLOOKUP(B1122,Roster!L:L,Roster!P:P,XLOOKUP(D1122,TicketsBreak!A:A,TicketsBreak!G:G,"",0),0)</f>
        <v>15:00 - 15:15</v>
      </c>
      <c r="K1122" s="310">
        <f t="shared" si="4"/>
        <v>46122</v>
      </c>
      <c r="L1122" s="317">
        <f t="array" ref="L1122">(XLOOKUP(D1122,Roster!F:F,Roster!D:D,"",0))</f>
        <v>23</v>
      </c>
      <c r="M1122" s="317" t="str">
        <f t="array" ref="M1122">XLOOKUP(D1122,Roster!F:F,Roster!E:E)</f>
        <v>Voice</v>
      </c>
      <c r="N1122" s="317" t="str">
        <f t="shared" ref="N1122:P1122" si="1141">LEFT(H1122,5)</f>
        <v>09:45</v>
      </c>
      <c r="O1122" s="317" t="str">
        <f t="shared" si="1141"/>
        <v>12:30</v>
      </c>
      <c r="P1122" s="317" t="str">
        <f t="shared" si="1141"/>
        <v>15:00</v>
      </c>
      <c r="Q1122" s="318">
        <f t="shared" si="1090"/>
        <v>46122.40625</v>
      </c>
      <c r="R1122" s="318">
        <f t="shared" si="1091"/>
        <v>46122.52083</v>
      </c>
      <c r="S1122" s="318">
        <f t="shared" si="8"/>
        <v>46122.625</v>
      </c>
    </row>
    <row r="1123">
      <c r="A1123" s="14" t="str">
        <f t="shared" si="1"/>
        <v>C110746122</v>
      </c>
      <c r="B1123" s="185">
        <f t="array" ref="B1123">IF(F1123="VL","",IF(F1123="Free","Free",XLOOKUP(D1123,Roster!T:T,Roster!S:S,"",0)))</f>
        <v>153</v>
      </c>
      <c r="C1123" s="313">
        <v>46122.0</v>
      </c>
      <c r="D1123" s="314" t="s">
        <v>10</v>
      </c>
      <c r="E1123" s="307" t="str">
        <f t="array" ref="E1123">(XLOOKUP(D1123,Roster!F:F,Roster!B:B,"",0))</f>
        <v>Alejandro Malave</v>
      </c>
      <c r="F1123" s="315" t="str">
        <f t="array" ref="F1123">IF(B1123=100,"Free",TEXT(XLOOKUP($D1123,OperationVoice!$A:$A,OperationVoice!P:P,XLOOKUP($D1123,OperationTickets!$A:$A,OperationTickets!P:P,"",0)),"hh:mm"))</f>
        <v>11:00</v>
      </c>
      <c r="G1123" s="309">
        <f t="shared" si="3"/>
        <v>0.8333333333</v>
      </c>
      <c r="H1123" s="316" t="str">
        <f t="array" ref="H1123">XLOOKUP(B1123,Roster!L:L,Roster!N:N,XLOOKUP(D1123,TicketsBreak!A:A,TicketsBreak!E:E,"",0),0)</f>
        <v>12:45 - 13:00</v>
      </c>
      <c r="I1123" s="316" t="str">
        <f t="array" ref="I1123">XLOOKUP(B1123,Roster!L:L,Roster!O:O,XLOOKUP(D1123,TicketsBreak!A:A,TicketsBreak!F:F,"",0),0)</f>
        <v>15:00 - 15:30</v>
      </c>
      <c r="J1123" s="316" t="str">
        <f t="array" ref="J1123">XLOOKUP(B1123,Roster!L:L,Roster!P:P,XLOOKUP(D1123,TicketsBreak!A:A,TicketsBreak!G:G,"",0),0)</f>
        <v>17:45 - 18:00</v>
      </c>
      <c r="K1123" s="310">
        <f t="shared" si="4"/>
        <v>46122</v>
      </c>
      <c r="L1123" s="317">
        <f t="array" ref="L1123">(XLOOKUP(D1123,Roster!F:F,Roster!D:D,"",0))</f>
        <v>36</v>
      </c>
      <c r="M1123" s="317" t="str">
        <f t="array" ref="M1123">XLOOKUP(D1123,Roster!F:F,Roster!E:E)</f>
        <v>Voice</v>
      </c>
      <c r="N1123" s="317" t="str">
        <f t="shared" ref="N1123:P1123" si="1142">LEFT(H1123,5)</f>
        <v>12:45</v>
      </c>
      <c r="O1123" s="317" t="str">
        <f t="shared" si="1142"/>
        <v>15:00</v>
      </c>
      <c r="P1123" s="317" t="str">
        <f t="shared" si="1142"/>
        <v>17:45</v>
      </c>
      <c r="Q1123" s="318">
        <f t="shared" si="1090"/>
        <v>46122.53125</v>
      </c>
      <c r="R1123" s="318">
        <f t="shared" si="1091"/>
        <v>46122.625</v>
      </c>
      <c r="S1123" s="318">
        <f t="shared" si="8"/>
        <v>46122.73958</v>
      </c>
    </row>
    <row r="1124">
      <c r="A1124" s="14" t="str">
        <f t="shared" si="1"/>
        <v>C69946122</v>
      </c>
      <c r="B1124" s="185" t="str">
        <f t="array" ref="B1124">IF(F1124="VL","",IF(F1124="Free","Free",XLOOKUP(D1124,Roster!T:T,Roster!S:S,"",0)))</f>
        <v/>
      </c>
      <c r="C1124" s="313">
        <v>46122.0</v>
      </c>
      <c r="D1124" s="314" t="s">
        <v>137</v>
      </c>
      <c r="E1124" s="307" t="str">
        <f t="array" ref="E1124">(XLOOKUP(D1124,Roster!F:F,Roster!B:B,"",0))</f>
        <v>Alexa Arenas</v>
      </c>
      <c r="F1124" s="315" t="str">
        <f t="array" ref="F1124">IF(B1124=100,"Free",TEXT(XLOOKUP($D1124,OperationVoice!$A:$A,OperationVoice!P:P,XLOOKUP($D1124,OperationTickets!$A:$A,OperationTickets!P:P,"",0)),"hh:mm"))</f>
        <v>08:00</v>
      </c>
      <c r="G1124" s="309">
        <f t="shared" si="3"/>
        <v>0.7083333333</v>
      </c>
      <c r="H1124" s="316">
        <f t="array" ref="H1124">XLOOKUP(B1124,Roster!L:L,Roster!N:N,XLOOKUP(D1124,TicketsBreak!A:A,TicketsBreak!E:E,"",0),0)</f>
        <v>0.40625</v>
      </c>
      <c r="I1124" s="316">
        <f t="array" ref="I1124">XLOOKUP(B1124,Roster!L:L,Roster!O:O,XLOOKUP(D1124,TicketsBreak!A:A,TicketsBreak!F:F,"",0),0)</f>
        <v>0.5</v>
      </c>
      <c r="J1124" s="316">
        <f t="array" ref="J1124">XLOOKUP(B1124,Roster!L:L,Roster!P:P,XLOOKUP(D1124,TicketsBreak!A:A,TicketsBreak!G:G,"",0),0)</f>
        <v>0.65625</v>
      </c>
      <c r="K1124" s="310">
        <f t="shared" si="4"/>
        <v>46122</v>
      </c>
      <c r="L1124" s="317">
        <f t="array" ref="L1124">(XLOOKUP(D1124,Roster!F:F,Roster!D:D,"",0))</f>
        <v>5</v>
      </c>
      <c r="M1124" s="317" t="str">
        <f t="array" ref="M1124">XLOOKUP(D1124,Roster!F:F,Roster!E:E)</f>
        <v>Tickets</v>
      </c>
      <c r="N1124" s="317" t="str">
        <f t="shared" ref="N1124:P1124" si="1143">LEFT(H1124,5)</f>
        <v>09:45</v>
      </c>
      <c r="O1124" s="317" t="str">
        <f t="shared" si="1143"/>
        <v>12:00</v>
      </c>
      <c r="P1124" s="317" t="str">
        <f t="shared" si="1143"/>
        <v>15:45</v>
      </c>
      <c r="Q1124" s="318">
        <f t="shared" si="1090"/>
        <v>46122.40625</v>
      </c>
      <c r="R1124" s="318">
        <f t="shared" si="1091"/>
        <v>46122.5</v>
      </c>
      <c r="S1124" s="318">
        <f t="shared" si="8"/>
        <v>46122.65625</v>
      </c>
    </row>
    <row r="1125">
      <c r="A1125" s="14" t="str">
        <f t="shared" si="1"/>
        <v>C157046122</v>
      </c>
      <c r="B1125" s="185">
        <f t="array" ref="B1125">IF(F1125="VL","",IF(F1125="Free","Free",XLOOKUP(D1125,Roster!T:T,Roster!S:S,"",0)))</f>
        <v>123</v>
      </c>
      <c r="C1125" s="313">
        <v>46122.0</v>
      </c>
      <c r="D1125" s="314" t="s">
        <v>11</v>
      </c>
      <c r="E1125" s="307" t="str">
        <f t="array" ref="E1125">(XLOOKUP(D1125,Roster!F:F,Roster!B:B,"",0))</f>
        <v>Alexander Bartoli</v>
      </c>
      <c r="F1125" s="315" t="str">
        <f t="array" ref="F1125">IF(B1125=100,"Free",TEXT(XLOOKUP($D1125,OperationVoice!$A:$A,OperationVoice!P:P,XLOOKUP($D1125,OperationTickets!$A:$A,OperationTickets!P:P,"",0)),"hh:mm"))</f>
        <v>08:00</v>
      </c>
      <c r="G1125" s="309">
        <f t="shared" si="3"/>
        <v>0.7083333333</v>
      </c>
      <c r="H1125" s="316" t="str">
        <f t="array" ref="H1125">XLOOKUP(B1125,Roster!L:L,Roster!N:N,XLOOKUP(D1125,TicketsBreak!A:A,TicketsBreak!E:E,"",0),0)</f>
        <v>09:45 - 10:00 </v>
      </c>
      <c r="I1125" s="316" t="str">
        <f t="array" ref="I1125">XLOOKUP(B1125,Roster!L:L,Roster!O:O,XLOOKUP(D1125,TicketsBreak!A:A,TicketsBreak!F:F,"",0),0)</f>
        <v>12:30 - 13:00</v>
      </c>
      <c r="J1125" s="316" t="str">
        <f t="array" ref="J1125">XLOOKUP(B1125,Roster!L:L,Roster!P:P,XLOOKUP(D1125,TicketsBreak!A:A,TicketsBreak!G:G,"",0),0)</f>
        <v>15:00 - 15:15</v>
      </c>
      <c r="K1125" s="310">
        <f t="shared" si="4"/>
        <v>46122</v>
      </c>
      <c r="L1125" s="317">
        <f t="array" ref="L1125">(XLOOKUP(D1125,Roster!F:F,Roster!D:D,"",0))</f>
        <v>38</v>
      </c>
      <c r="M1125" s="317" t="str">
        <f t="array" ref="M1125">XLOOKUP(D1125,Roster!F:F,Roster!E:E)</f>
        <v>Voice</v>
      </c>
      <c r="N1125" s="317" t="str">
        <f t="shared" ref="N1125:P1125" si="1144">LEFT(H1125,5)</f>
        <v>09:45</v>
      </c>
      <c r="O1125" s="317" t="str">
        <f t="shared" si="1144"/>
        <v>12:30</v>
      </c>
      <c r="P1125" s="317" t="str">
        <f t="shared" si="1144"/>
        <v>15:00</v>
      </c>
      <c r="Q1125" s="318">
        <f t="shared" si="1090"/>
        <v>46122.40625</v>
      </c>
      <c r="R1125" s="318">
        <f t="shared" si="1091"/>
        <v>46122.52083</v>
      </c>
      <c r="S1125" s="318">
        <f t="shared" si="8"/>
        <v>46122.625</v>
      </c>
    </row>
    <row r="1126">
      <c r="A1126" s="14" t="str">
        <f t="shared" si="1"/>
        <v>C93546122</v>
      </c>
      <c r="B1126" s="185" t="str">
        <f t="array" ref="B1126">IF(F1126="VL","",IF(F1126="Free","Free",XLOOKUP(D1126,Roster!T:T,Roster!S:S,"",0)))</f>
        <v/>
      </c>
      <c r="C1126" s="313">
        <v>46122.0</v>
      </c>
      <c r="D1126" s="314" t="s">
        <v>153</v>
      </c>
      <c r="E1126" s="307" t="str">
        <f t="array" ref="E1126">(XLOOKUP(D1126,Roster!F:F,Roster!B:B,"",0))</f>
        <v>Alexis Arias</v>
      </c>
      <c r="F1126" s="315" t="str">
        <f t="array" ref="F1126">IF(B1126=100,"Free",TEXT(XLOOKUP($D1126,OperationVoice!$A:$A,OperationVoice!P:P,XLOOKUP($D1126,OperationTickets!$A:$A,OperationTickets!P:P,"",0)),"hh:mm"))</f>
        <v>07:30</v>
      </c>
      <c r="G1126" s="309">
        <f t="shared" si="3"/>
        <v>0.6875</v>
      </c>
      <c r="H1126" s="316">
        <f t="array" ref="H1126">XLOOKUP(B1126,Roster!L:L,Roster!N:N,XLOOKUP(D1126,TicketsBreak!A:A,TicketsBreak!E:E,"",0),0)</f>
        <v>0.4270833333</v>
      </c>
      <c r="I1126" s="316">
        <f t="array" ref="I1126">XLOOKUP(B1126,Roster!L:L,Roster!O:O,XLOOKUP(D1126,TicketsBreak!A:A,TicketsBreak!F:F,"",0),0)</f>
        <v>0.53125</v>
      </c>
      <c r="J1126" s="316">
        <f t="array" ref="J1126">XLOOKUP(B1126,Roster!L:L,Roster!P:P,XLOOKUP(D1126,TicketsBreak!A:A,TicketsBreak!G:G,"",0),0)</f>
        <v>0.6458333333</v>
      </c>
      <c r="K1126" s="310">
        <f t="shared" si="4"/>
        <v>46122</v>
      </c>
      <c r="L1126" s="317">
        <f t="array" ref="L1126">(XLOOKUP(D1126,Roster!F:F,Roster!D:D,"",0))</f>
        <v>12</v>
      </c>
      <c r="M1126" s="317" t="str">
        <f t="array" ref="M1126">XLOOKUP(D1126,Roster!F:F,Roster!E:E)</f>
        <v>Tickets</v>
      </c>
      <c r="N1126" s="317" t="str">
        <f t="shared" ref="N1126:P1126" si="1145">LEFT(H1126,5)</f>
        <v>10:15</v>
      </c>
      <c r="O1126" s="317" t="str">
        <f t="shared" si="1145"/>
        <v>12:45</v>
      </c>
      <c r="P1126" s="317" t="str">
        <f t="shared" si="1145"/>
        <v>15:30</v>
      </c>
      <c r="Q1126" s="318">
        <f t="shared" si="1090"/>
        <v>46122.42708</v>
      </c>
      <c r="R1126" s="318">
        <f t="shared" si="1091"/>
        <v>46122.53125</v>
      </c>
      <c r="S1126" s="318">
        <f t="shared" si="8"/>
        <v>46122.64583</v>
      </c>
    </row>
    <row r="1127">
      <c r="A1127" s="14" t="str">
        <f t="shared" si="1"/>
        <v>C72746122</v>
      </c>
      <c r="B1127" s="185" t="str">
        <f t="array" ref="B1127">IF(F1127="VL","",IF(F1127="Free","Free",XLOOKUP(D1127,Roster!T:T,Roster!S:S,"",0)))</f>
        <v/>
      </c>
      <c r="C1127" s="313">
        <v>46122.0</v>
      </c>
      <c r="D1127" s="314" t="s">
        <v>154</v>
      </c>
      <c r="E1127" s="307" t="str">
        <f t="array" ref="E1127">(XLOOKUP(D1127,Roster!F:F,Roster!B:B,"",0))</f>
        <v>Ana Moreno</v>
      </c>
      <c r="F1127" s="315" t="str">
        <f t="array" ref="F1127">IF(B1127=100,"Free",TEXT(XLOOKUP($D1127,OperationVoice!$A:$A,OperationVoice!P:P,XLOOKUP($D1127,OperationTickets!$A:$A,OperationTickets!P:P,"",0)),"hh:mm"))</f>
        <v>VL</v>
      </c>
      <c r="G1127" s="309" t="str">
        <f t="shared" si="3"/>
        <v>VL</v>
      </c>
      <c r="H1127" s="316">
        <f t="array" ref="H1127">XLOOKUP(B1127,Roster!L:L,Roster!N:N,XLOOKUP(D1127,TicketsBreak!A:A,TicketsBreak!E:E,"",0),0)</f>
        <v>0.4166666667</v>
      </c>
      <c r="I1127" s="316">
        <f t="array" ref="I1127">XLOOKUP(B1127,Roster!L:L,Roster!O:O,XLOOKUP(D1127,TicketsBreak!A:A,TicketsBreak!F:F,"",0),0)</f>
        <v>0.5208333333</v>
      </c>
      <c r="J1127" s="316">
        <f t="array" ref="J1127">XLOOKUP(B1127,Roster!L:L,Roster!P:P,XLOOKUP(D1127,TicketsBreak!A:A,TicketsBreak!G:G,"",0),0)</f>
        <v>0.65625</v>
      </c>
      <c r="K1127" s="310">
        <f t="shared" si="4"/>
        <v>46122</v>
      </c>
      <c r="L1127" s="317">
        <f t="array" ref="L1127">(XLOOKUP(D1127,Roster!F:F,Roster!D:D,"",0))</f>
        <v>7</v>
      </c>
      <c r="M1127" s="317" t="str">
        <f t="array" ref="M1127">XLOOKUP(D1127,Roster!F:F,Roster!E:E)</f>
        <v>Tickets</v>
      </c>
      <c r="N1127" s="317" t="str">
        <f t="shared" ref="N1127:P1127" si="1146">LEFT(H1127,5)</f>
        <v>10:00</v>
      </c>
      <c r="O1127" s="317" t="str">
        <f t="shared" si="1146"/>
        <v>12:30</v>
      </c>
      <c r="P1127" s="317" t="str">
        <f t="shared" si="1146"/>
        <v>15:45</v>
      </c>
      <c r="Q1127" s="318">
        <f t="shared" si="1090"/>
        <v>46122.41667</v>
      </c>
      <c r="R1127" s="318">
        <f t="shared" si="1091"/>
        <v>46122.52083</v>
      </c>
      <c r="S1127" s="318">
        <f t="shared" si="8"/>
        <v>46122.65625</v>
      </c>
    </row>
    <row r="1128">
      <c r="A1128" s="14" t="str">
        <f t="shared" si="1"/>
        <v>C157446122</v>
      </c>
      <c r="B1128" s="185">
        <f t="array" ref="B1128">IF(F1128="VL","",IF(F1128="Free","Free",XLOOKUP(D1128,Roster!T:T,Roster!S:S,"",0)))</f>
        <v>124</v>
      </c>
      <c r="C1128" s="313">
        <v>46122.0</v>
      </c>
      <c r="D1128" s="314" t="s">
        <v>12</v>
      </c>
      <c r="E1128" s="307" t="str">
        <f t="array" ref="E1128">(XLOOKUP(D1128,Roster!F:F,Roster!B:B,"",0))</f>
        <v>Ana Quintero</v>
      </c>
      <c r="F1128" s="315" t="str">
        <f t="array" ref="F1128">IF(B1128=100,"Free",TEXT(XLOOKUP($D1128,OperationVoice!$A:$A,OperationVoice!P:P,XLOOKUP($D1128,OperationTickets!$A:$A,OperationTickets!P:P,"",0)),"hh:mm"))</f>
        <v>08:00</v>
      </c>
      <c r="G1128" s="309">
        <f t="shared" si="3"/>
        <v>0.7083333333</v>
      </c>
      <c r="H1128" s="316" t="str">
        <f t="array" ref="H1128">XLOOKUP(B1128,Roster!L:L,Roster!N:N,XLOOKUP(D1128,TicketsBreak!A:A,TicketsBreak!E:E,"",0),0)</f>
        <v>10:00 - 10:15</v>
      </c>
      <c r="I1128" s="316" t="str">
        <f t="array" ref="I1128">XLOOKUP(B1128,Roster!L:L,Roster!O:O,XLOOKUP(D1128,TicketsBreak!A:A,TicketsBreak!F:F,"",0),0)</f>
        <v>13:00 - 13:30</v>
      </c>
      <c r="J1128" s="316" t="str">
        <f t="array" ref="J1128">XLOOKUP(B1128,Roster!L:L,Roster!P:P,XLOOKUP(D1128,TicketsBreak!A:A,TicketsBreak!G:G,"",0),0)</f>
        <v>15:30 - 15:45</v>
      </c>
      <c r="K1128" s="310">
        <f t="shared" si="4"/>
        <v>46122</v>
      </c>
      <c r="L1128" s="317">
        <f t="array" ref="L1128">(XLOOKUP(D1128,Roster!F:F,Roster!D:D,"",0))</f>
        <v>38</v>
      </c>
      <c r="M1128" s="317" t="str">
        <f t="array" ref="M1128">XLOOKUP(D1128,Roster!F:F,Roster!E:E)</f>
        <v>Voice</v>
      </c>
      <c r="N1128" s="317" t="str">
        <f t="shared" ref="N1128:P1128" si="1147">LEFT(H1128,5)</f>
        <v>10:00</v>
      </c>
      <c r="O1128" s="317" t="str">
        <f t="shared" si="1147"/>
        <v>13:00</v>
      </c>
      <c r="P1128" s="317" t="str">
        <f t="shared" si="1147"/>
        <v>15:30</v>
      </c>
      <c r="Q1128" s="318">
        <f t="shared" si="1090"/>
        <v>46122.41667</v>
      </c>
      <c r="R1128" s="318">
        <f t="shared" si="1091"/>
        <v>46122.54167</v>
      </c>
      <c r="S1128" s="318">
        <f t="shared" si="8"/>
        <v>46122.64583</v>
      </c>
    </row>
    <row r="1129">
      <c r="A1129" s="14" t="str">
        <f t="shared" si="1"/>
        <v>C46946122</v>
      </c>
      <c r="B1129" s="185" t="str">
        <f t="array" ref="B1129">IF(F1129="VL","",IF(F1129="Free","Free",XLOOKUP(D1129,Roster!T:T,Roster!S:S,"",0)))</f>
        <v/>
      </c>
      <c r="C1129" s="313">
        <v>46122.0</v>
      </c>
      <c r="D1129" s="314" t="s">
        <v>171</v>
      </c>
      <c r="E1129" s="307" t="str">
        <f t="array" ref="E1129">(XLOOKUP(D1129,Roster!F:F,Roster!B:B,"",0))</f>
        <v>Ana Ruiz</v>
      </c>
      <c r="F1129" s="315" t="str">
        <f t="array" ref="F1129">IF(B1129=100,"Free",TEXT(XLOOKUP($D1129,OperationVoice!$A:$A,OperationVoice!P:P,XLOOKUP($D1129,OperationTickets!$A:$A,OperationTickets!P:P,"",0)),"hh:mm"))</f>
        <v>08:00</v>
      </c>
      <c r="G1129" s="309">
        <f t="shared" si="3"/>
        <v>0.7083333333</v>
      </c>
      <c r="H1129" s="316">
        <f t="array" ref="H1129">XLOOKUP(B1129,Roster!L:L,Roster!N:N,XLOOKUP(D1129,TicketsBreak!A:A,TicketsBreak!E:E,"",0),0)</f>
        <v>0.3854166667</v>
      </c>
      <c r="I1129" s="316">
        <f t="array" ref="I1129">XLOOKUP(B1129,Roster!L:L,Roster!O:O,XLOOKUP(D1129,TicketsBreak!A:A,TicketsBreak!F:F,"",0),0)</f>
        <v>0.5</v>
      </c>
      <c r="J1129" s="316">
        <f t="array" ref="J1129">XLOOKUP(B1129,Roster!L:L,Roster!P:P,XLOOKUP(D1129,TicketsBreak!A:A,TicketsBreak!G:G,"",0),0)</f>
        <v>0.6041666667</v>
      </c>
      <c r="K1129" s="310">
        <f t="shared" si="4"/>
        <v>46122</v>
      </c>
      <c r="L1129" s="317">
        <f t="array" ref="L1129">(XLOOKUP(D1129,Roster!F:F,Roster!D:D,"",0))</f>
        <v>3</v>
      </c>
      <c r="M1129" s="317" t="str">
        <f t="array" ref="M1129">XLOOKUP(D1129,Roster!F:F,Roster!E:E)</f>
        <v>Tickets</v>
      </c>
      <c r="N1129" s="317" t="str">
        <f t="shared" ref="N1129:P1129" si="1148">LEFT(H1129,5)</f>
        <v>09:15</v>
      </c>
      <c r="O1129" s="317" t="str">
        <f t="shared" si="1148"/>
        <v>12:00</v>
      </c>
      <c r="P1129" s="317" t="str">
        <f t="shared" si="1148"/>
        <v>14:30</v>
      </c>
      <c r="Q1129" s="318">
        <f t="shared" si="1090"/>
        <v>46122.38542</v>
      </c>
      <c r="R1129" s="318">
        <f t="shared" si="1091"/>
        <v>46122.5</v>
      </c>
      <c r="S1129" s="318">
        <f t="shared" si="8"/>
        <v>46122.60417</v>
      </c>
    </row>
    <row r="1130">
      <c r="A1130" s="14" t="str">
        <f t="shared" si="1"/>
        <v>C155446122</v>
      </c>
      <c r="B1130" s="185">
        <f t="array" ref="B1130">IF(F1130="VL","",IF(F1130="Free","Free",XLOOKUP(D1130,Roster!T:T,Roster!S:S,"",0)))</f>
        <v>131</v>
      </c>
      <c r="C1130" s="313">
        <v>46122.0</v>
      </c>
      <c r="D1130" s="314" t="s">
        <v>13</v>
      </c>
      <c r="E1130" s="307" t="str">
        <f t="array" ref="E1130">(XLOOKUP(D1130,Roster!F:F,Roster!B:B,"",0))</f>
        <v>Andres Lopez</v>
      </c>
      <c r="F1130" s="315" t="str">
        <f t="array" ref="F1130">IF(B1130=100,"Free",TEXT(XLOOKUP($D1130,OperationVoice!$A:$A,OperationVoice!P:P,XLOOKUP($D1130,OperationTickets!$A:$A,OperationTickets!P:P,"",0)),"hh:mm"))</f>
        <v>09:00</v>
      </c>
      <c r="G1130" s="309">
        <f t="shared" si="3"/>
        <v>0.75</v>
      </c>
      <c r="H1130" s="316" t="str">
        <f t="array" ref="H1130">XLOOKUP(B1130,Roster!L:L,Roster!N:N,XLOOKUP(D1130,TicketsBreak!A:A,TicketsBreak!E:E,"",0),0)</f>
        <v>10:15 - 10:30</v>
      </c>
      <c r="I1130" s="316" t="str">
        <f t="array" ref="I1130">XLOOKUP(B1130,Roster!L:L,Roster!O:O,XLOOKUP(D1130,TicketsBreak!A:A,TicketsBreak!F:F,"",0),0)</f>
        <v>12:30 - 13:00</v>
      </c>
      <c r="J1130" s="316" t="str">
        <f t="array" ref="J1130">XLOOKUP(B1130,Roster!L:L,Roster!P:P,XLOOKUP(D1130,TicketsBreak!A:A,TicketsBreak!G:G,"",0),0)</f>
        <v>15:15 - 15:30</v>
      </c>
      <c r="K1130" s="310">
        <f t="shared" si="4"/>
        <v>46122</v>
      </c>
      <c r="L1130" s="317">
        <f t="array" ref="L1130">(XLOOKUP(D1130,Roster!F:F,Roster!D:D,"",0))</f>
        <v>37</v>
      </c>
      <c r="M1130" s="317" t="str">
        <f t="array" ref="M1130">XLOOKUP(D1130,Roster!F:F,Roster!E:E)</f>
        <v>Voice</v>
      </c>
      <c r="N1130" s="317" t="str">
        <f t="shared" ref="N1130:P1130" si="1149">LEFT(H1130,5)</f>
        <v>10:15</v>
      </c>
      <c r="O1130" s="317" t="str">
        <f t="shared" si="1149"/>
        <v>12:30</v>
      </c>
      <c r="P1130" s="317" t="str">
        <f t="shared" si="1149"/>
        <v>15:15</v>
      </c>
      <c r="Q1130" s="318">
        <f t="shared" si="1090"/>
        <v>46122.42708</v>
      </c>
      <c r="R1130" s="318">
        <f t="shared" si="1091"/>
        <v>46122.52083</v>
      </c>
      <c r="S1130" s="318">
        <f t="shared" si="8"/>
        <v>46122.63542</v>
      </c>
    </row>
    <row r="1131">
      <c r="A1131" s="14" t="str">
        <f t="shared" si="1"/>
        <v>C156746122</v>
      </c>
      <c r="B1131" s="185" t="str">
        <f t="array" ref="B1131">IF(F1131="VL","",IF(F1131="Free","Free",XLOOKUP(D1131,Roster!T:T,Roster!S:S,"",0)))</f>
        <v>Free</v>
      </c>
      <c r="C1131" s="313">
        <v>46122.0</v>
      </c>
      <c r="D1131" s="314" t="s">
        <v>14</v>
      </c>
      <c r="E1131" s="307" t="str">
        <f t="array" ref="E1131">(XLOOKUP(D1131,Roster!F:F,Roster!B:B,"",0))</f>
        <v>Andres Salazar</v>
      </c>
      <c r="F1131" s="315" t="str">
        <f t="array" ref="F1131">IF(B1131=100,"Free",TEXT(XLOOKUP($D1131,OperationVoice!$A:$A,OperationVoice!P:P,XLOOKUP($D1131,OperationTickets!$A:$A,OperationTickets!P:P,"",0)),"hh:mm"))</f>
        <v>Free</v>
      </c>
      <c r="G1131" s="309" t="str">
        <f t="shared" si="3"/>
        <v>Free</v>
      </c>
      <c r="H1131" s="316" t="str">
        <f t="array" ref="H1131">XLOOKUP(B1131,Roster!L:L,Roster!N:N,XLOOKUP(D1131,TicketsBreak!A:A,TicketsBreak!E:E,"",0),0)</f>
        <v/>
      </c>
      <c r="I1131" s="316" t="str">
        <f t="array" ref="I1131">XLOOKUP(B1131,Roster!L:L,Roster!O:O,XLOOKUP(D1131,TicketsBreak!A:A,TicketsBreak!F:F,"",0),0)</f>
        <v/>
      </c>
      <c r="J1131" s="316" t="str">
        <f t="array" ref="J1131">XLOOKUP(B1131,Roster!L:L,Roster!P:P,XLOOKUP(D1131,TicketsBreak!A:A,TicketsBreak!G:G,"",0),0)</f>
        <v/>
      </c>
      <c r="K1131" s="310">
        <f t="shared" si="4"/>
        <v>46122</v>
      </c>
      <c r="L1131" s="317">
        <f t="array" ref="L1131">(XLOOKUP(D1131,Roster!F:F,Roster!D:D,"",0))</f>
        <v>38</v>
      </c>
      <c r="M1131" s="317" t="str">
        <f t="array" ref="M1131">XLOOKUP(D1131,Roster!F:F,Roster!E:E)</f>
        <v>Voice</v>
      </c>
      <c r="N1131" s="317" t="str">
        <f t="shared" ref="N1131:P1131" si="1150">LEFT(H1131,5)</f>
        <v/>
      </c>
      <c r="O1131" s="317" t="str">
        <f t="shared" si="1150"/>
        <v/>
      </c>
      <c r="P1131" s="317" t="str">
        <f t="shared" si="1150"/>
        <v/>
      </c>
      <c r="Q1131" s="318" t="str">
        <f t="shared" si="1090"/>
        <v/>
      </c>
      <c r="R1131" s="318" t="str">
        <f t="shared" si="1091"/>
        <v/>
      </c>
      <c r="S1131" s="318" t="str">
        <f t="shared" si="8"/>
        <v/>
      </c>
    </row>
    <row r="1132">
      <c r="A1132" s="14" t="str">
        <f t="shared" si="1"/>
        <v>C134846122</v>
      </c>
      <c r="B1132" s="185">
        <f t="array" ref="B1132">IF(F1132="VL","",IF(F1132="Free","Free",XLOOKUP(D1132,Roster!T:T,Roster!S:S,"",0)))</f>
        <v>124</v>
      </c>
      <c r="C1132" s="313">
        <v>46122.0</v>
      </c>
      <c r="D1132" s="314" t="s">
        <v>15</v>
      </c>
      <c r="E1132" s="307" t="str">
        <f t="array" ref="E1132">(XLOOKUP(D1132,Roster!F:F,Roster!B:B,"",0))</f>
        <v>Angelo Zapata</v>
      </c>
      <c r="F1132" s="315" t="str">
        <f t="array" ref="F1132">IF(B1132=100,"Free",TEXT(XLOOKUP($D1132,OperationVoice!$A:$A,OperationVoice!P:P,XLOOKUP($D1132,OperationTickets!$A:$A,OperationTickets!P:P,"",0)),"hh:mm"))</f>
        <v>08:00</v>
      </c>
      <c r="G1132" s="309">
        <f t="shared" si="3"/>
        <v>0.7083333333</v>
      </c>
      <c r="H1132" s="316" t="str">
        <f t="array" ref="H1132">XLOOKUP(B1132,Roster!L:L,Roster!N:N,XLOOKUP(D1132,TicketsBreak!A:A,TicketsBreak!E:E,"",0),0)</f>
        <v>10:00 - 10:15</v>
      </c>
      <c r="I1132" s="316" t="str">
        <f t="array" ref="I1132">XLOOKUP(B1132,Roster!L:L,Roster!O:O,XLOOKUP(D1132,TicketsBreak!A:A,TicketsBreak!F:F,"",0),0)</f>
        <v>13:00 - 13:30</v>
      </c>
      <c r="J1132" s="316" t="str">
        <f t="array" ref="J1132">XLOOKUP(B1132,Roster!L:L,Roster!P:P,XLOOKUP(D1132,TicketsBreak!A:A,TicketsBreak!G:G,"",0),0)</f>
        <v>15:30 - 15:45</v>
      </c>
      <c r="K1132" s="310">
        <f t="shared" si="4"/>
        <v>46122</v>
      </c>
      <c r="L1132" s="317">
        <f t="array" ref="L1132">(XLOOKUP(D1132,Roster!F:F,Roster!D:D,"",0))</f>
        <v>30</v>
      </c>
      <c r="M1132" s="317" t="str">
        <f t="array" ref="M1132">XLOOKUP(D1132,Roster!F:F,Roster!E:E)</f>
        <v>Voice</v>
      </c>
      <c r="N1132" s="317" t="str">
        <f t="shared" ref="N1132:P1132" si="1151">LEFT(H1132,5)</f>
        <v>10:00</v>
      </c>
      <c r="O1132" s="317" t="str">
        <f t="shared" si="1151"/>
        <v>13:00</v>
      </c>
      <c r="P1132" s="317" t="str">
        <f t="shared" si="1151"/>
        <v>15:30</v>
      </c>
      <c r="Q1132" s="318">
        <f t="shared" si="1090"/>
        <v>46122.41667</v>
      </c>
      <c r="R1132" s="318">
        <f t="shared" si="1091"/>
        <v>46122.54167</v>
      </c>
      <c r="S1132" s="318">
        <f t="shared" si="8"/>
        <v>46122.64583</v>
      </c>
    </row>
    <row r="1133">
      <c r="A1133" s="14" t="str">
        <f t="shared" si="1"/>
        <v>C116746122</v>
      </c>
      <c r="B1133" s="185" t="str">
        <f t="array" ref="B1133">IF(F1133="VL","",IF(F1133="Free","Free",XLOOKUP(D1133,Roster!T:T,Roster!S:S,"",0)))</f>
        <v/>
      </c>
      <c r="C1133" s="313">
        <v>46122.0</v>
      </c>
      <c r="D1133" s="314" t="s">
        <v>172</v>
      </c>
      <c r="E1133" s="307" t="str">
        <f t="array" ref="E1133">(XLOOKUP(D1133,Roster!F:F,Roster!B:B,"",0))</f>
        <v>Angie Rua</v>
      </c>
      <c r="F1133" s="315" t="str">
        <f t="array" ref="F1133">IF(B1133=100,"Free",TEXT(XLOOKUP($D1133,OperationVoice!$A:$A,OperationVoice!P:P,XLOOKUP($D1133,OperationTickets!$A:$A,OperationTickets!P:P,"",0)),"hh:mm"))</f>
        <v>07:00</v>
      </c>
      <c r="G1133" s="309">
        <f t="shared" si="3"/>
        <v>0.6666666667</v>
      </c>
      <c r="H1133" s="316" t="str">
        <f t="array" ref="H1133">XLOOKUP(B1133,Roster!L:L,Roster!N:N,XLOOKUP(D1133,TicketsBreak!A:A,TicketsBreak!E:E,"",0),0)</f>
        <v/>
      </c>
      <c r="I1133" s="316" t="str">
        <f t="array" ref="I1133">XLOOKUP(B1133,Roster!L:L,Roster!O:O,XLOOKUP(D1133,TicketsBreak!A:A,TicketsBreak!F:F,"",0),0)</f>
        <v/>
      </c>
      <c r="J1133" s="316" t="str">
        <f t="array" ref="J1133">XLOOKUP(B1133,Roster!L:L,Roster!P:P,XLOOKUP(D1133,TicketsBreak!A:A,TicketsBreak!G:G,"",0),0)</f>
        <v/>
      </c>
      <c r="K1133" s="310">
        <f t="shared" si="4"/>
        <v>46122</v>
      </c>
      <c r="L1133" s="317">
        <f t="array" ref="L1133">(XLOOKUP(D1133,Roster!F:F,Roster!D:D,"",0))</f>
        <v>24</v>
      </c>
      <c r="M1133" s="317" t="str">
        <f t="array" ref="M1133">XLOOKUP(D1133,Roster!F:F,Roster!E:E)</f>
        <v>Tickets</v>
      </c>
      <c r="N1133" s="317" t="str">
        <f t="shared" ref="N1133:P1133" si="1152">LEFT(H1133,5)</f>
        <v/>
      </c>
      <c r="O1133" s="317" t="str">
        <f t="shared" si="1152"/>
        <v/>
      </c>
      <c r="P1133" s="317" t="str">
        <f t="shared" si="1152"/>
        <v/>
      </c>
      <c r="Q1133" s="318" t="str">
        <f t="shared" si="1090"/>
        <v/>
      </c>
      <c r="R1133" s="318" t="str">
        <f t="shared" si="1091"/>
        <v/>
      </c>
      <c r="S1133" s="318" t="str">
        <f t="shared" si="8"/>
        <v/>
      </c>
    </row>
    <row r="1134">
      <c r="A1134" s="14" t="str">
        <f t="shared" si="1"/>
        <v>C157946122</v>
      </c>
      <c r="B1134" s="185">
        <f t="array" ref="B1134">IF(F1134="VL","",IF(F1134="Free","Free",XLOOKUP(D1134,Roster!T:T,Roster!S:S,"",0)))</f>
        <v>126</v>
      </c>
      <c r="C1134" s="313">
        <v>46122.0</v>
      </c>
      <c r="D1134" s="314" t="s">
        <v>16</v>
      </c>
      <c r="E1134" s="307" t="str">
        <f t="array" ref="E1134">(XLOOKUP(D1134,Roster!F:F,Roster!B:B,"",0))</f>
        <v>Anibal Munoz</v>
      </c>
      <c r="F1134" s="315" t="str">
        <f t="array" ref="F1134">IF(B1134=100,"Free",TEXT(XLOOKUP($D1134,OperationVoice!$A:$A,OperationVoice!P:P,XLOOKUP($D1134,OperationTickets!$A:$A,OperationTickets!P:P,"",0)),"hh:mm"))</f>
        <v>08:00</v>
      </c>
      <c r="G1134" s="309">
        <f t="shared" si="3"/>
        <v>0.7083333333</v>
      </c>
      <c r="H1134" s="316" t="str">
        <f t="array" ref="H1134">XLOOKUP(B1134,Roster!L:L,Roster!N:N,XLOOKUP(D1134,TicketsBreak!A:A,TicketsBreak!E:E,"",0),0)</f>
        <v>10:45 - 11:00</v>
      </c>
      <c r="I1134" s="316" t="str">
        <f t="array" ref="I1134">XLOOKUP(B1134,Roster!L:L,Roster!O:O,XLOOKUP(D1134,TicketsBreak!A:A,TicketsBreak!F:F,"",0),0)</f>
        <v>14:00 - 14:30</v>
      </c>
      <c r="J1134" s="316" t="str">
        <f t="array" ref="J1134">XLOOKUP(B1134,Roster!L:L,Roster!P:P,XLOOKUP(D1134,TicketsBreak!A:A,TicketsBreak!G:G,"",0),0)</f>
        <v>15:45 - 16:00</v>
      </c>
      <c r="K1134" s="310">
        <f t="shared" si="4"/>
        <v>46122</v>
      </c>
      <c r="L1134" s="317">
        <f t="array" ref="L1134">(XLOOKUP(D1134,Roster!F:F,Roster!D:D,"",0))</f>
        <v>38</v>
      </c>
      <c r="M1134" s="317" t="str">
        <f t="array" ref="M1134">XLOOKUP(D1134,Roster!F:F,Roster!E:E)</f>
        <v>Voice</v>
      </c>
      <c r="N1134" s="317" t="str">
        <f t="shared" ref="N1134:P1134" si="1153">LEFT(H1134,5)</f>
        <v>10:45</v>
      </c>
      <c r="O1134" s="317" t="str">
        <f t="shared" si="1153"/>
        <v>14:00</v>
      </c>
      <c r="P1134" s="317" t="str">
        <f t="shared" si="1153"/>
        <v>15:45</v>
      </c>
      <c r="Q1134" s="318">
        <f t="shared" si="1090"/>
        <v>46122.44792</v>
      </c>
      <c r="R1134" s="318">
        <f t="shared" si="1091"/>
        <v>46122.58333</v>
      </c>
      <c r="S1134" s="318">
        <f t="shared" si="8"/>
        <v>46122.65625</v>
      </c>
    </row>
    <row r="1135">
      <c r="A1135" s="14" t="str">
        <f t="shared" si="1"/>
        <v>C08046122</v>
      </c>
      <c r="B1135" s="185" t="str">
        <f t="array" ref="B1135">IF(F1135="VL","",IF(F1135="Free","Free",XLOOKUP(D1135,Roster!T:T,Roster!S:S,"",0)))</f>
        <v/>
      </c>
      <c r="C1135" s="313">
        <v>46122.0</v>
      </c>
      <c r="D1135" s="314" t="s">
        <v>138</v>
      </c>
      <c r="E1135" s="307" t="str">
        <f t="array" ref="E1135">(XLOOKUP(D1135,Roster!F:F,Roster!B:B,"",0))</f>
        <v>Arturo Padilla</v>
      </c>
      <c r="F1135" s="315" t="str">
        <f t="array" ref="F1135">IF(B1135=100,"Free",TEXT(XLOOKUP($D1135,OperationVoice!$A:$A,OperationVoice!P:P,XLOOKUP($D1135,OperationTickets!$A:$A,OperationTickets!P:P,"",0)),"hh:mm"))</f>
        <v>08:00</v>
      </c>
      <c r="G1135" s="309">
        <f t="shared" si="3"/>
        <v>0.7083333333</v>
      </c>
      <c r="H1135" s="316">
        <f t="array" ref="H1135">XLOOKUP(B1135,Roster!L:L,Roster!N:N,XLOOKUP(D1135,TicketsBreak!A:A,TicketsBreak!E:E,"",0),0)</f>
        <v>0.375</v>
      </c>
      <c r="I1135" s="316">
        <f t="array" ref="I1135">XLOOKUP(B1135,Roster!L:L,Roster!O:O,XLOOKUP(D1135,TicketsBreak!A:A,TicketsBreak!F:F,"",0),0)</f>
        <v>0.5</v>
      </c>
      <c r="J1135" s="316">
        <f t="array" ref="J1135">XLOOKUP(B1135,Roster!L:L,Roster!P:P,XLOOKUP(D1135,TicketsBreak!A:A,TicketsBreak!G:G,"",0),0)</f>
        <v>0.6458333333</v>
      </c>
      <c r="K1135" s="310">
        <f t="shared" si="4"/>
        <v>46122</v>
      </c>
      <c r="L1135" s="317">
        <f t="array" ref="L1135">(XLOOKUP(D1135,Roster!F:F,Roster!D:D,"",0))</f>
        <v>1</v>
      </c>
      <c r="M1135" s="317" t="str">
        <f t="array" ref="M1135">XLOOKUP(D1135,Roster!F:F,Roster!E:E)</f>
        <v>Tickets</v>
      </c>
      <c r="N1135" s="317" t="str">
        <f t="shared" ref="N1135:P1135" si="1154">LEFT(H1135,5)</f>
        <v>09:00</v>
      </c>
      <c r="O1135" s="317" t="str">
        <f t="shared" si="1154"/>
        <v>12:00</v>
      </c>
      <c r="P1135" s="317" t="str">
        <f t="shared" si="1154"/>
        <v>15:30</v>
      </c>
      <c r="Q1135" s="318">
        <f t="shared" si="1090"/>
        <v>46122.375</v>
      </c>
      <c r="R1135" s="318">
        <f t="shared" si="1091"/>
        <v>46122.5</v>
      </c>
      <c r="S1135" s="318">
        <f t="shared" si="8"/>
        <v>46122.64583</v>
      </c>
    </row>
    <row r="1136">
      <c r="A1136" s="14" t="str">
        <f t="shared" si="1"/>
        <v>C150446122</v>
      </c>
      <c r="B1136" s="185">
        <f t="array" ref="B1136">IF(F1136="VL","",IF(F1136="Free","Free",XLOOKUP(D1136,Roster!T:T,Roster!S:S,"",0)))</f>
        <v>123</v>
      </c>
      <c r="C1136" s="313">
        <v>46122.0</v>
      </c>
      <c r="D1136" s="314" t="s">
        <v>155</v>
      </c>
      <c r="E1136" s="307" t="str">
        <f t="array" ref="E1136">(XLOOKUP(D1136,Roster!F:F,Roster!B:B,"",0))</f>
        <v>Beatriz Montanez</v>
      </c>
      <c r="F1136" s="315" t="str">
        <f t="array" ref="F1136">IF(B1136=100,"Free",TEXT(XLOOKUP($D1136,OperationVoice!$A:$A,OperationVoice!P:P,XLOOKUP($D1136,OperationTickets!$A:$A,OperationTickets!P:P,"",0)),"hh:mm"))</f>
        <v>08:00</v>
      </c>
      <c r="G1136" s="309">
        <f t="shared" si="3"/>
        <v>0.7083333333</v>
      </c>
      <c r="H1136" s="316" t="str">
        <f t="array" ref="H1136">XLOOKUP(B1136,Roster!L:L,Roster!N:N,XLOOKUP(D1136,TicketsBreak!A:A,TicketsBreak!E:E,"",0),0)</f>
        <v>09:45 - 10:00 </v>
      </c>
      <c r="I1136" s="316" t="str">
        <f t="array" ref="I1136">XLOOKUP(B1136,Roster!L:L,Roster!O:O,XLOOKUP(D1136,TicketsBreak!A:A,TicketsBreak!F:F,"",0),0)</f>
        <v>12:30 - 13:00</v>
      </c>
      <c r="J1136" s="316" t="str">
        <f t="array" ref="J1136">XLOOKUP(B1136,Roster!L:L,Roster!P:P,XLOOKUP(D1136,TicketsBreak!A:A,TicketsBreak!G:G,"",0),0)</f>
        <v>15:00 - 15:15</v>
      </c>
      <c r="K1136" s="310">
        <f t="shared" si="4"/>
        <v>46122</v>
      </c>
      <c r="L1136" s="317">
        <f t="array" ref="L1136">(XLOOKUP(D1136,Roster!F:F,Roster!D:D,"",0))</f>
        <v>35</v>
      </c>
      <c r="M1136" s="317" t="str">
        <f t="array" ref="M1136">XLOOKUP(D1136,Roster!F:F,Roster!E:E)</f>
        <v>Tickets</v>
      </c>
      <c r="N1136" s="317" t="str">
        <f t="shared" ref="N1136:P1136" si="1155">LEFT(H1136,5)</f>
        <v>09:45</v>
      </c>
      <c r="O1136" s="317" t="str">
        <f t="shared" si="1155"/>
        <v>12:30</v>
      </c>
      <c r="P1136" s="317" t="str">
        <f t="shared" si="1155"/>
        <v>15:00</v>
      </c>
      <c r="Q1136" s="318">
        <f t="shared" si="1090"/>
        <v>46122.40625</v>
      </c>
      <c r="R1136" s="318">
        <f t="shared" si="1091"/>
        <v>46122.52083</v>
      </c>
      <c r="S1136" s="318">
        <f t="shared" si="8"/>
        <v>46122.625</v>
      </c>
    </row>
    <row r="1137">
      <c r="A1137" s="14" t="str">
        <f t="shared" si="1"/>
        <v>C107746122</v>
      </c>
      <c r="B1137" s="185">
        <f t="array" ref="B1137">IF(F1137="VL","",IF(F1137="Free","Free",XLOOKUP(D1137,Roster!T:T,Roster!S:S,"",0)))</f>
        <v>125</v>
      </c>
      <c r="C1137" s="313">
        <v>46122.0</v>
      </c>
      <c r="D1137" s="314" t="s">
        <v>17</v>
      </c>
      <c r="E1137" s="307" t="str">
        <f t="array" ref="E1137">(XLOOKUP(D1137,Roster!F:F,Roster!B:B,"",0))</f>
        <v>Brahian Prado</v>
      </c>
      <c r="F1137" s="315" t="str">
        <f t="array" ref="F1137">IF(B1137=100,"Free",TEXT(XLOOKUP($D1137,OperationVoice!$A:$A,OperationVoice!P:P,XLOOKUP($D1137,OperationTickets!$A:$A,OperationTickets!P:P,"",0)),"hh:mm"))</f>
        <v>08:00</v>
      </c>
      <c r="G1137" s="309">
        <f t="shared" si="3"/>
        <v>0.7083333333</v>
      </c>
      <c r="H1137" s="316" t="str">
        <f t="array" ref="H1137">XLOOKUP(B1137,Roster!L:L,Roster!N:N,XLOOKUP(D1137,TicketsBreak!A:A,TicketsBreak!E:E,"",0),0)</f>
        <v>10:30 - 10:45</v>
      </c>
      <c r="I1137" s="316" t="str">
        <f t="array" ref="I1137">XLOOKUP(B1137,Roster!L:L,Roster!O:O,XLOOKUP(D1137,TicketsBreak!A:A,TicketsBreak!F:F,"",0),0)</f>
        <v>13:30 - 14:00</v>
      </c>
      <c r="J1137" s="316" t="str">
        <f t="array" ref="J1137">XLOOKUP(B1137,Roster!L:L,Roster!P:P,XLOOKUP(D1137,TicketsBreak!A:A,TicketsBreak!G:G,"",0),0)</f>
        <v>15:45 - 16:00</v>
      </c>
      <c r="K1137" s="310">
        <f t="shared" si="4"/>
        <v>46122</v>
      </c>
      <c r="L1137" s="317">
        <f t="array" ref="L1137">(XLOOKUP(D1137,Roster!F:F,Roster!D:D,"",0))</f>
        <v>18</v>
      </c>
      <c r="M1137" s="317" t="str">
        <f t="array" ref="M1137">XLOOKUP(D1137,Roster!F:F,Roster!E:E)</f>
        <v>Voice</v>
      </c>
      <c r="N1137" s="317" t="str">
        <f t="shared" ref="N1137:P1137" si="1156">LEFT(H1137,5)</f>
        <v>10:30</v>
      </c>
      <c r="O1137" s="317" t="str">
        <f t="shared" si="1156"/>
        <v>13:30</v>
      </c>
      <c r="P1137" s="317" t="str">
        <f t="shared" si="1156"/>
        <v>15:45</v>
      </c>
      <c r="Q1137" s="318">
        <f t="shared" si="1090"/>
        <v>46122.4375</v>
      </c>
      <c r="R1137" s="318">
        <f t="shared" si="1091"/>
        <v>46122.5625</v>
      </c>
      <c r="S1137" s="318">
        <f t="shared" si="8"/>
        <v>46122.65625</v>
      </c>
    </row>
    <row r="1138">
      <c r="A1138" s="14" t="str">
        <f t="shared" si="1"/>
        <v>C116546122</v>
      </c>
      <c r="B1138" s="185" t="str">
        <f t="array" ref="B1138">IF(F1138="VL","",IF(F1138="Free","Free",XLOOKUP(D1138,Roster!T:T,Roster!S:S,"",0)))</f>
        <v/>
      </c>
      <c r="C1138" s="313">
        <v>46122.0</v>
      </c>
      <c r="D1138" s="314" t="s">
        <v>139</v>
      </c>
      <c r="E1138" s="307" t="str">
        <f t="array" ref="E1138">(XLOOKUP(D1138,Roster!F:F,Roster!B:B,"",0))</f>
        <v>Braian Restrepo</v>
      </c>
      <c r="F1138" s="315" t="str">
        <f t="array" ref="F1138">IF(B1138=100,"Free",TEXT(XLOOKUP($D1138,OperationVoice!$A:$A,OperationVoice!P:P,XLOOKUP($D1138,OperationTickets!$A:$A,OperationTickets!P:P,"",0)),"hh:mm"))</f>
        <v>08:00</v>
      </c>
      <c r="G1138" s="309">
        <f t="shared" si="3"/>
        <v>0.7083333333</v>
      </c>
      <c r="H1138" s="316" t="str">
        <f t="array" ref="H1138">XLOOKUP(B1138,Roster!L:L,Roster!N:N,XLOOKUP(D1138,TicketsBreak!A:A,TicketsBreak!E:E,"",0),0)</f>
        <v/>
      </c>
      <c r="I1138" s="316" t="str">
        <f t="array" ref="I1138">XLOOKUP(B1138,Roster!L:L,Roster!O:O,XLOOKUP(D1138,TicketsBreak!A:A,TicketsBreak!F:F,"",0),0)</f>
        <v/>
      </c>
      <c r="J1138" s="316" t="str">
        <f t="array" ref="J1138">XLOOKUP(B1138,Roster!L:L,Roster!P:P,XLOOKUP(D1138,TicketsBreak!A:A,TicketsBreak!G:G,"",0),0)</f>
        <v/>
      </c>
      <c r="K1138" s="310">
        <f t="shared" si="4"/>
        <v>46122</v>
      </c>
      <c r="L1138" s="317">
        <f t="array" ref="L1138">(XLOOKUP(D1138,Roster!F:F,Roster!D:D,"",0))</f>
        <v>24</v>
      </c>
      <c r="M1138" s="317" t="str">
        <f t="array" ref="M1138">XLOOKUP(D1138,Roster!F:F,Roster!E:E)</f>
        <v>Tickets</v>
      </c>
      <c r="N1138" s="317" t="str">
        <f t="shared" ref="N1138:P1138" si="1157">LEFT(H1138,5)</f>
        <v/>
      </c>
      <c r="O1138" s="317" t="str">
        <f t="shared" si="1157"/>
        <v/>
      </c>
      <c r="P1138" s="317" t="str">
        <f t="shared" si="1157"/>
        <v/>
      </c>
      <c r="Q1138" s="318" t="str">
        <f t="shared" si="1090"/>
        <v/>
      </c>
      <c r="R1138" s="318" t="str">
        <f t="shared" si="1091"/>
        <v/>
      </c>
      <c r="S1138" s="318" t="str">
        <f t="shared" si="8"/>
        <v/>
      </c>
    </row>
    <row r="1139">
      <c r="A1139" s="14" t="str">
        <f t="shared" si="1"/>
        <v>C127446122</v>
      </c>
      <c r="B1139" s="185">
        <f t="array" ref="B1139">IF(F1139="VL","",IF(F1139="Free","Free",XLOOKUP(D1139,Roster!T:T,Roster!S:S,"",0)))</f>
        <v>126</v>
      </c>
      <c r="C1139" s="313">
        <v>46122.0</v>
      </c>
      <c r="D1139" s="314" t="s">
        <v>250</v>
      </c>
      <c r="E1139" s="307" t="str">
        <f t="array" ref="E1139">(XLOOKUP(D1139,Roster!F:F,Roster!B:B,"",0))</f>
        <v>Brayan Franco</v>
      </c>
      <c r="F1139" s="315" t="str">
        <f t="array" ref="F1139">IF(B1139=100,"Free",TEXT(XLOOKUP($D1139,OperationVoice!$A:$A,OperationVoice!P:P,XLOOKUP($D1139,OperationTickets!$A:$A,OperationTickets!P:P,"",0)),"hh:mm"))</f>
        <v/>
      </c>
      <c r="G1139" s="309" t="str">
        <f t="shared" si="3"/>
        <v/>
      </c>
      <c r="H1139" s="316" t="str">
        <f t="array" ref="H1139">XLOOKUP(B1139,Roster!L:L,Roster!N:N,XLOOKUP(D1139,TicketsBreak!A:A,TicketsBreak!E:E,"",0),0)</f>
        <v>10:45 - 11:00</v>
      </c>
      <c r="I1139" s="316" t="str">
        <f t="array" ref="I1139">XLOOKUP(B1139,Roster!L:L,Roster!O:O,XLOOKUP(D1139,TicketsBreak!A:A,TicketsBreak!F:F,"",0),0)</f>
        <v>14:00 - 14:30</v>
      </c>
      <c r="J1139" s="316" t="str">
        <f t="array" ref="J1139">XLOOKUP(B1139,Roster!L:L,Roster!P:P,XLOOKUP(D1139,TicketsBreak!A:A,TicketsBreak!G:G,"",0),0)</f>
        <v>15:45 - 16:00</v>
      </c>
      <c r="K1139" s="310">
        <f t="shared" si="4"/>
        <v>46122</v>
      </c>
      <c r="L1139" s="317">
        <f t="array" ref="L1139">(XLOOKUP(D1139,Roster!F:F,Roster!D:D,"",0))</f>
        <v>27</v>
      </c>
      <c r="M1139" s="317" t="str">
        <f t="array" ref="M1139">XLOOKUP(D1139,Roster!F:F,Roster!E:E)</f>
        <v>Voice</v>
      </c>
      <c r="N1139" s="317" t="str">
        <f t="shared" ref="N1139:P1139" si="1158">LEFT(H1139,5)</f>
        <v>10:45</v>
      </c>
      <c r="O1139" s="317" t="str">
        <f t="shared" si="1158"/>
        <v>14:00</v>
      </c>
      <c r="P1139" s="317" t="str">
        <f t="shared" si="1158"/>
        <v>15:45</v>
      </c>
      <c r="Q1139" s="318">
        <f t="shared" si="1090"/>
        <v>46122.44792</v>
      </c>
      <c r="R1139" s="318">
        <f t="shared" si="1091"/>
        <v>46122.58333</v>
      </c>
      <c r="S1139" s="318">
        <f t="shared" si="8"/>
        <v>46122.65625</v>
      </c>
    </row>
    <row r="1140">
      <c r="A1140" s="14" t="str">
        <f t="shared" si="1"/>
        <v>C119146122</v>
      </c>
      <c r="B1140" s="185">
        <f t="array" ref="B1140">IF(F1140="VL","",IF(F1140="Free","Free",XLOOKUP(D1140,Roster!T:T,Roster!S:S,"",0)))</f>
        <v>111</v>
      </c>
      <c r="C1140" s="313">
        <v>46122.0</v>
      </c>
      <c r="D1140" s="314" t="s">
        <v>18</v>
      </c>
      <c r="E1140" s="307" t="str">
        <f t="array" ref="E1140">(XLOOKUP(D1140,Roster!F:F,Roster!B:B,"",0))</f>
        <v>Brayan Montoya</v>
      </c>
      <c r="F1140" s="315" t="str">
        <f t="array" ref="F1140">IF(B1140=100,"Free",TEXT(XLOOKUP($D1140,OperationVoice!$A:$A,OperationVoice!P:P,XLOOKUP($D1140,OperationTickets!$A:$A,OperationTickets!P:P,"",0)),"hh:mm"))</f>
        <v>07:00</v>
      </c>
      <c r="G1140" s="309">
        <f t="shared" si="3"/>
        <v>0.6666666667</v>
      </c>
      <c r="H1140" s="316" t="str">
        <f t="array" ref="H1140">XLOOKUP(B1140,Roster!L:L,Roster!N:N,XLOOKUP(D1140,TicketsBreak!A:A,TicketsBreak!E:E,"",0),0)</f>
        <v>09:00 - 09:15</v>
      </c>
      <c r="I1140" s="316" t="str">
        <f t="array" ref="I1140">XLOOKUP(B1140,Roster!L:L,Roster!O:O,XLOOKUP(D1140,TicketsBreak!A:A,TicketsBreak!F:F,"",0),0)</f>
        <v>11:45 - 12:15</v>
      </c>
      <c r="J1140" s="316" t="str">
        <f t="array" ref="J1140">XLOOKUP(B1140,Roster!L:L,Roster!P:P,XLOOKUP(D1140,TicketsBreak!A:A,TicketsBreak!G:G,"",0),0)</f>
        <v>14:30 - 14:45</v>
      </c>
      <c r="K1140" s="310">
        <f t="shared" si="4"/>
        <v>46122</v>
      </c>
      <c r="L1140" s="317">
        <f t="array" ref="L1140">(XLOOKUP(D1140,Roster!F:F,Roster!D:D,"",0))</f>
        <v>25</v>
      </c>
      <c r="M1140" s="317" t="str">
        <f t="array" ref="M1140">XLOOKUP(D1140,Roster!F:F,Roster!E:E)</f>
        <v>Voice</v>
      </c>
      <c r="N1140" s="317" t="str">
        <f t="shared" ref="N1140:P1140" si="1159">LEFT(H1140,5)</f>
        <v>09:00</v>
      </c>
      <c r="O1140" s="317" t="str">
        <f t="shared" si="1159"/>
        <v>11:45</v>
      </c>
      <c r="P1140" s="317" t="str">
        <f t="shared" si="1159"/>
        <v>14:30</v>
      </c>
      <c r="Q1140" s="318">
        <f t="shared" si="1090"/>
        <v>46122.375</v>
      </c>
      <c r="R1140" s="318">
        <f t="shared" si="1091"/>
        <v>46122.48958</v>
      </c>
      <c r="S1140" s="318">
        <f t="shared" si="8"/>
        <v>46122.60417</v>
      </c>
    </row>
    <row r="1141">
      <c r="A1141" s="14" t="str">
        <f t="shared" si="1"/>
        <v>C152646122</v>
      </c>
      <c r="B1141" s="185">
        <f t="array" ref="B1141">IF(F1141="VL","",IF(F1141="Free","Free",XLOOKUP(D1141,Roster!T:T,Roster!S:S,"",0)))</f>
        <v>121</v>
      </c>
      <c r="C1141" s="313">
        <v>46122.0</v>
      </c>
      <c r="D1141" s="314" t="s">
        <v>19</v>
      </c>
      <c r="E1141" s="307" t="str">
        <f t="array" ref="E1141">(XLOOKUP(D1141,Roster!F:F,Roster!B:B,"",0))</f>
        <v>Breitner Benitez</v>
      </c>
      <c r="F1141" s="315" t="str">
        <f t="array" ref="F1141">IF(B1141=100,"Free",TEXT(XLOOKUP($D1141,OperationVoice!$A:$A,OperationVoice!P:P,XLOOKUP($D1141,OperationTickets!$A:$A,OperationTickets!P:P,"",0)),"hh:mm"))</f>
        <v>08:00</v>
      </c>
      <c r="G1141" s="309">
        <f t="shared" si="3"/>
        <v>0.7083333333</v>
      </c>
      <c r="H1141" s="316" t="str">
        <f t="array" ref="H1141">XLOOKUP(B1141,Roster!L:L,Roster!N:N,XLOOKUP(D1141,TicketsBreak!A:A,TicketsBreak!E:E,"",0),0)</f>
        <v>09:15 - 09:30</v>
      </c>
      <c r="I1141" s="316" t="str">
        <f t="array" ref="I1141">XLOOKUP(B1141,Roster!L:L,Roster!O:O,XLOOKUP(D1141,TicketsBreak!A:A,TicketsBreak!F:F,"",0),0)</f>
        <v>11:30 - 12:00</v>
      </c>
      <c r="J1141" s="316" t="str">
        <f t="array" ref="J1141">XLOOKUP(B1141,Roster!L:L,Roster!P:P,XLOOKUP(D1141,TicketsBreak!A:A,TicketsBreak!G:G,"",0),0)</f>
        <v>14:30 - 14:45</v>
      </c>
      <c r="K1141" s="310">
        <f t="shared" si="4"/>
        <v>46122</v>
      </c>
      <c r="L1141" s="317">
        <f t="array" ref="L1141">(XLOOKUP(D1141,Roster!F:F,Roster!D:D,"",0))</f>
        <v>13</v>
      </c>
      <c r="M1141" s="317" t="str">
        <f t="array" ref="M1141">XLOOKUP(D1141,Roster!F:F,Roster!E:E)</f>
        <v>Voice</v>
      </c>
      <c r="N1141" s="317" t="str">
        <f t="shared" ref="N1141:P1141" si="1160">LEFT(H1141,5)</f>
        <v>09:15</v>
      </c>
      <c r="O1141" s="317" t="str">
        <f t="shared" si="1160"/>
        <v>11:30</v>
      </c>
      <c r="P1141" s="317" t="str">
        <f t="shared" si="1160"/>
        <v>14:30</v>
      </c>
      <c r="Q1141" s="318">
        <f t="shared" si="1090"/>
        <v>46122.38542</v>
      </c>
      <c r="R1141" s="318">
        <f t="shared" si="1091"/>
        <v>46122.47917</v>
      </c>
      <c r="S1141" s="318">
        <f t="shared" si="8"/>
        <v>46122.60417</v>
      </c>
    </row>
    <row r="1142">
      <c r="A1142" s="14" t="str">
        <f t="shared" si="1"/>
        <v>C153546122</v>
      </c>
      <c r="B1142" s="185">
        <f t="array" ref="B1142">IF(F1142="VL","",IF(F1142="Free","Free",XLOOKUP(D1142,Roster!T:T,Roster!S:S,"",0)))</f>
        <v>154</v>
      </c>
      <c r="C1142" s="313">
        <v>46122.0</v>
      </c>
      <c r="D1142" s="314" t="s">
        <v>20</v>
      </c>
      <c r="E1142" s="307" t="str">
        <f t="array" ref="E1142">(XLOOKUP(D1142,Roster!F:F,Roster!B:B,"",0))</f>
        <v>Carlos Alzate</v>
      </c>
      <c r="F1142" s="315" t="str">
        <f t="array" ref="F1142">IF(B1142=100,"Free",TEXT(XLOOKUP($D1142,OperationVoice!$A:$A,OperationVoice!P:P,XLOOKUP($D1142,OperationTickets!$A:$A,OperationTickets!P:P,"",0)),"hh:mm"))</f>
        <v>11:00</v>
      </c>
      <c r="G1142" s="309">
        <f t="shared" si="3"/>
        <v>0.8333333333</v>
      </c>
      <c r="H1142" s="316" t="str">
        <f t="array" ref="H1142">XLOOKUP(B1142,Roster!L:L,Roster!N:N,XLOOKUP(D1142,TicketsBreak!A:A,TicketsBreak!E:E,"",0),0)</f>
        <v>13:00 - 13:15</v>
      </c>
      <c r="I1142" s="316" t="str">
        <f t="array" ref="I1142">XLOOKUP(B1142,Roster!L:L,Roster!O:O,XLOOKUP(D1142,TicketsBreak!A:A,TicketsBreak!F:F,"",0),0)</f>
        <v>15:15 - 15:45</v>
      </c>
      <c r="J1142" s="316" t="str">
        <f t="array" ref="J1142">XLOOKUP(B1142,Roster!L:L,Roster!P:P,XLOOKUP(D1142,TicketsBreak!A:A,TicketsBreak!G:G,"",0),0)</f>
        <v>18:00 - 18:15</v>
      </c>
      <c r="K1142" s="310">
        <f t="shared" si="4"/>
        <v>46122</v>
      </c>
      <c r="L1142" s="317">
        <f t="array" ref="L1142">(XLOOKUP(D1142,Roster!F:F,Roster!D:D,"",0))</f>
        <v>36</v>
      </c>
      <c r="M1142" s="317" t="str">
        <f t="array" ref="M1142">XLOOKUP(D1142,Roster!F:F,Roster!E:E)</f>
        <v>Voice</v>
      </c>
      <c r="N1142" s="317" t="str">
        <f t="shared" ref="N1142:P1142" si="1161">LEFT(H1142,5)</f>
        <v>13:00</v>
      </c>
      <c r="O1142" s="317" t="str">
        <f t="shared" si="1161"/>
        <v>15:15</v>
      </c>
      <c r="P1142" s="317" t="str">
        <f t="shared" si="1161"/>
        <v>18:00</v>
      </c>
      <c r="Q1142" s="318">
        <f t="shared" si="1090"/>
        <v>46122.54167</v>
      </c>
      <c r="R1142" s="318">
        <f t="shared" si="1091"/>
        <v>46122.63542</v>
      </c>
      <c r="S1142" s="318">
        <f t="shared" si="8"/>
        <v>46122.75</v>
      </c>
    </row>
    <row r="1143">
      <c r="A1143" s="14" t="str">
        <f t="shared" si="1"/>
        <v>C153146122</v>
      </c>
      <c r="B1143" s="185">
        <f t="array" ref="B1143">IF(F1143="VL","",IF(F1143="Free","Free",XLOOKUP(D1143,Roster!T:T,Roster!S:S,"",0)))</f>
        <v>123</v>
      </c>
      <c r="C1143" s="313">
        <v>46122.0</v>
      </c>
      <c r="D1143" s="314" t="s">
        <v>21</v>
      </c>
      <c r="E1143" s="307" t="str">
        <f t="array" ref="E1143">(XLOOKUP(D1143,Roster!F:F,Roster!B:B,"",0))</f>
        <v>Carlos Palma</v>
      </c>
      <c r="F1143" s="315" t="str">
        <f t="array" ref="F1143">IF(B1143=100,"Free",TEXT(XLOOKUP($D1143,OperationVoice!$A:$A,OperationVoice!P:P,XLOOKUP($D1143,OperationTickets!$A:$A,OperationTickets!P:P,"",0)),"hh:mm"))</f>
        <v>08:00</v>
      </c>
      <c r="G1143" s="309">
        <f t="shared" si="3"/>
        <v>0.7083333333</v>
      </c>
      <c r="H1143" s="316" t="str">
        <f t="array" ref="H1143">XLOOKUP(B1143,Roster!L:L,Roster!N:N,XLOOKUP(D1143,TicketsBreak!A:A,TicketsBreak!E:E,"",0),0)</f>
        <v>09:45 - 10:00 </v>
      </c>
      <c r="I1143" s="316" t="str">
        <f t="array" ref="I1143">XLOOKUP(B1143,Roster!L:L,Roster!O:O,XLOOKUP(D1143,TicketsBreak!A:A,TicketsBreak!F:F,"",0),0)</f>
        <v>12:30 - 13:00</v>
      </c>
      <c r="J1143" s="316" t="str">
        <f t="array" ref="J1143">XLOOKUP(B1143,Roster!L:L,Roster!P:P,XLOOKUP(D1143,TicketsBreak!A:A,TicketsBreak!G:G,"",0),0)</f>
        <v>15:00 - 15:15</v>
      </c>
      <c r="K1143" s="310">
        <f t="shared" si="4"/>
        <v>46122</v>
      </c>
      <c r="L1143" s="317">
        <f t="array" ref="L1143">(XLOOKUP(D1143,Roster!F:F,Roster!D:D,"",0))</f>
        <v>36</v>
      </c>
      <c r="M1143" s="317" t="str">
        <f t="array" ref="M1143">XLOOKUP(D1143,Roster!F:F,Roster!E:E)</f>
        <v>Voice</v>
      </c>
      <c r="N1143" s="317" t="str">
        <f t="shared" ref="N1143:P1143" si="1162">LEFT(H1143,5)</f>
        <v>09:45</v>
      </c>
      <c r="O1143" s="317" t="str">
        <f t="shared" si="1162"/>
        <v>12:30</v>
      </c>
      <c r="P1143" s="317" t="str">
        <f t="shared" si="1162"/>
        <v>15:00</v>
      </c>
      <c r="Q1143" s="318">
        <f t="shared" si="1090"/>
        <v>46122.40625</v>
      </c>
      <c r="R1143" s="318">
        <f t="shared" si="1091"/>
        <v>46122.52083</v>
      </c>
      <c r="S1143" s="318">
        <f t="shared" si="8"/>
        <v>46122.625</v>
      </c>
    </row>
    <row r="1144">
      <c r="A1144" s="14" t="str">
        <f t="shared" si="1"/>
        <v>C157646122</v>
      </c>
      <c r="B1144" s="185" t="str">
        <f t="array" ref="B1144">IF(F1144="VL","",IF(F1144="Free","Free",XLOOKUP(D1144,Roster!T:T,Roster!S:S,"",0)))</f>
        <v/>
      </c>
      <c r="C1144" s="313">
        <v>46122.0</v>
      </c>
      <c r="D1144" s="314" t="s">
        <v>313</v>
      </c>
      <c r="E1144" s="307" t="str">
        <f t="array" ref="E1144">(XLOOKUP(D1144,Roster!F:F,Roster!B:B,"",0))</f>
        <v>Carlos Ruiz</v>
      </c>
      <c r="F1144" s="315" t="str">
        <f t="array" ref="F1144">IF(B1144=100,"Free",TEXT(XLOOKUP($D1144,OperationVoice!$A:$A,OperationVoice!P:P,XLOOKUP($D1144,OperationTickets!$A:$A,OperationTickets!P:P,"",0)),"hh:mm"))</f>
        <v/>
      </c>
      <c r="G1144" s="309" t="str">
        <f t="shared" si="3"/>
        <v/>
      </c>
      <c r="H1144" s="316" t="str">
        <f t="array" ref="H1144">XLOOKUP(B1144,Roster!L:L,Roster!N:N,XLOOKUP(D1144,TicketsBreak!A:A,TicketsBreak!E:E,"",0),0)</f>
        <v/>
      </c>
      <c r="I1144" s="316" t="str">
        <f t="array" ref="I1144">XLOOKUP(B1144,Roster!L:L,Roster!O:O,XLOOKUP(D1144,TicketsBreak!A:A,TicketsBreak!F:F,"",0),0)</f>
        <v/>
      </c>
      <c r="J1144" s="316" t="str">
        <f t="array" ref="J1144">XLOOKUP(B1144,Roster!L:L,Roster!P:P,XLOOKUP(D1144,TicketsBreak!A:A,TicketsBreak!G:G,"",0),0)</f>
        <v/>
      </c>
      <c r="K1144" s="310">
        <f t="shared" si="4"/>
        <v>46122</v>
      </c>
      <c r="L1144" s="317">
        <f t="array" ref="L1144">(XLOOKUP(D1144,Roster!F:F,Roster!D:D,"",0))</f>
        <v>38</v>
      </c>
      <c r="M1144" s="317" t="str">
        <f t="array" ref="M1144">XLOOKUP(D1144,Roster!F:F,Roster!E:E)</f>
        <v>Nesting</v>
      </c>
      <c r="N1144" s="317" t="str">
        <f t="shared" ref="N1144:P1144" si="1163">LEFT(H1144,5)</f>
        <v/>
      </c>
      <c r="O1144" s="317" t="str">
        <f t="shared" si="1163"/>
        <v/>
      </c>
      <c r="P1144" s="317" t="str">
        <f t="shared" si="1163"/>
        <v/>
      </c>
      <c r="Q1144" s="318" t="str">
        <f t="shared" si="1090"/>
        <v/>
      </c>
      <c r="R1144" s="318" t="str">
        <f t="shared" si="1091"/>
        <v/>
      </c>
      <c r="S1144" s="318" t="str">
        <f t="shared" si="8"/>
        <v/>
      </c>
    </row>
    <row r="1145">
      <c r="A1145" s="14" t="str">
        <f t="shared" si="1"/>
        <v>C47946122</v>
      </c>
      <c r="B1145" s="185" t="str">
        <f t="array" ref="B1145">IF(F1145="VL","",IF(F1145="Free","Free",XLOOKUP(D1145,Roster!T:T,Roster!S:S,"",0)))</f>
        <v/>
      </c>
      <c r="C1145" s="313">
        <v>46122.0</v>
      </c>
      <c r="D1145" s="314" t="s">
        <v>173</v>
      </c>
      <c r="E1145" s="307" t="str">
        <f t="array" ref="E1145">(XLOOKUP(D1145,Roster!F:F,Roster!B:B,"",0))</f>
        <v>Carmen Grajales</v>
      </c>
      <c r="F1145" s="315" t="str">
        <f t="array" ref="F1145">IF(B1145=100,"Free",TEXT(XLOOKUP($D1145,OperationVoice!$A:$A,OperationVoice!P:P,XLOOKUP($D1145,OperationTickets!$A:$A,OperationTickets!P:P,"",0)),"hh:mm"))</f>
        <v>08:00</v>
      </c>
      <c r="G1145" s="309">
        <f t="shared" si="3"/>
        <v>0.7083333333</v>
      </c>
      <c r="H1145" s="316">
        <f t="array" ref="H1145">XLOOKUP(B1145,Roster!L:L,Roster!N:N,XLOOKUP(D1145,TicketsBreak!A:A,TicketsBreak!E:E,"",0),0)</f>
        <v>0.4270833333</v>
      </c>
      <c r="I1145" s="316">
        <f t="array" ref="I1145">XLOOKUP(B1145,Roster!L:L,Roster!O:O,XLOOKUP(D1145,TicketsBreak!A:A,TicketsBreak!F:F,"",0),0)</f>
        <v>0.53125</v>
      </c>
      <c r="J1145" s="316">
        <f t="array" ref="J1145">XLOOKUP(B1145,Roster!L:L,Roster!P:P,XLOOKUP(D1145,TicketsBreak!A:A,TicketsBreak!G:G,"",0),0)</f>
        <v>0.65625</v>
      </c>
      <c r="K1145" s="310">
        <f t="shared" si="4"/>
        <v>46122</v>
      </c>
      <c r="L1145" s="317">
        <f t="array" ref="L1145">(XLOOKUP(D1145,Roster!F:F,Roster!D:D,"",0))</f>
        <v>2</v>
      </c>
      <c r="M1145" s="317" t="str">
        <f t="array" ref="M1145">XLOOKUP(D1145,Roster!F:F,Roster!E:E)</f>
        <v>Tickets</v>
      </c>
      <c r="N1145" s="317" t="str">
        <f t="shared" ref="N1145:P1145" si="1164">LEFT(H1145,5)</f>
        <v>10:15</v>
      </c>
      <c r="O1145" s="317" t="str">
        <f t="shared" si="1164"/>
        <v>12:45</v>
      </c>
      <c r="P1145" s="317" t="str">
        <f t="shared" si="1164"/>
        <v>15:45</v>
      </c>
      <c r="Q1145" s="318">
        <f t="shared" si="1090"/>
        <v>46122.42708</v>
      </c>
      <c r="R1145" s="318">
        <f t="shared" si="1091"/>
        <v>46122.53125</v>
      </c>
      <c r="S1145" s="318">
        <f t="shared" si="8"/>
        <v>46122.65625</v>
      </c>
    </row>
    <row r="1146">
      <c r="A1146" s="14" t="str">
        <f t="shared" si="1"/>
        <v>C68746122</v>
      </c>
      <c r="B1146" s="185">
        <f t="array" ref="B1146">IF(F1146="VL","",IF(F1146="Free","Free",XLOOKUP(D1146,Roster!T:T,Roster!S:S,"",0)))</f>
        <v>122</v>
      </c>
      <c r="C1146" s="313">
        <v>46122.0</v>
      </c>
      <c r="D1146" s="314" t="s">
        <v>22</v>
      </c>
      <c r="E1146" s="307" t="str">
        <f t="array" ref="E1146">(XLOOKUP(D1146,Roster!F:F,Roster!B:B,"",0))</f>
        <v>Carolina Rios</v>
      </c>
      <c r="F1146" s="315" t="str">
        <f t="array" ref="F1146">IF(B1146=100,"Free",TEXT(XLOOKUP($D1146,OperationVoice!$A:$A,OperationVoice!P:P,XLOOKUP($D1146,OperationTickets!$A:$A,OperationTickets!P:P,"",0)),"hh:mm"))</f>
        <v>08:00</v>
      </c>
      <c r="G1146" s="309">
        <f t="shared" si="3"/>
        <v>0.7083333333</v>
      </c>
      <c r="H1146" s="316" t="str">
        <f t="array" ref="H1146">XLOOKUP(B1146,Roster!L:L,Roster!N:N,XLOOKUP(D1146,TicketsBreak!A:A,TicketsBreak!E:E,"",0),0)</f>
        <v>09:30 - 09:45</v>
      </c>
      <c r="I1146" s="316" t="str">
        <f t="array" ref="I1146">XLOOKUP(B1146,Roster!L:L,Roster!O:O,XLOOKUP(D1146,TicketsBreak!A:A,TicketsBreak!F:F,"",0),0)</f>
        <v>12:00 - 12:30</v>
      </c>
      <c r="J1146" s="316" t="str">
        <f t="array" ref="J1146">XLOOKUP(B1146,Roster!L:L,Roster!P:P,XLOOKUP(D1146,TicketsBreak!A:A,TicketsBreak!G:G,"",0),0)</f>
        <v>14:45 - 15:00</v>
      </c>
      <c r="K1146" s="310">
        <f t="shared" si="4"/>
        <v>46122</v>
      </c>
      <c r="L1146" s="317">
        <f t="array" ref="L1146">(XLOOKUP(D1146,Roster!F:F,Roster!D:D,"",0))</f>
        <v>5</v>
      </c>
      <c r="M1146" s="317" t="str">
        <f t="array" ref="M1146">XLOOKUP(D1146,Roster!F:F,Roster!E:E)</f>
        <v>Voice</v>
      </c>
      <c r="N1146" s="317" t="str">
        <f t="shared" ref="N1146:P1146" si="1165">LEFT(H1146,5)</f>
        <v>09:30</v>
      </c>
      <c r="O1146" s="317" t="str">
        <f t="shared" si="1165"/>
        <v>12:00</v>
      </c>
      <c r="P1146" s="317" t="str">
        <f t="shared" si="1165"/>
        <v>14:45</v>
      </c>
      <c r="Q1146" s="318">
        <f t="shared" si="1090"/>
        <v>46122.39583</v>
      </c>
      <c r="R1146" s="318">
        <f t="shared" si="1091"/>
        <v>46122.5</v>
      </c>
      <c r="S1146" s="318">
        <f t="shared" si="8"/>
        <v>46122.61458</v>
      </c>
    </row>
    <row r="1147">
      <c r="A1147" s="14" t="str">
        <f t="shared" si="1"/>
        <v>C152846122</v>
      </c>
      <c r="B1147" s="185">
        <f t="array" ref="B1147">IF(F1147="VL","",IF(F1147="Free","Free",XLOOKUP(D1147,Roster!T:T,Roster!S:S,"",0)))</f>
        <v>132</v>
      </c>
      <c r="C1147" s="313">
        <v>46122.0</v>
      </c>
      <c r="D1147" s="314" t="s">
        <v>23</v>
      </c>
      <c r="E1147" s="307" t="str">
        <f t="array" ref="E1147">(XLOOKUP(D1147,Roster!F:F,Roster!B:B,"",0))</f>
        <v>Christian Ramirez</v>
      </c>
      <c r="F1147" s="315" t="str">
        <f t="array" ref="F1147">IF(B1147=100,"Free",TEXT(XLOOKUP($D1147,OperationVoice!$A:$A,OperationVoice!P:P,XLOOKUP($D1147,OperationTickets!$A:$A,OperationTickets!P:P,"",0)),"hh:mm"))</f>
        <v>08:00</v>
      </c>
      <c r="G1147" s="309">
        <f t="shared" si="3"/>
        <v>0.7083333333</v>
      </c>
      <c r="H1147" s="316" t="str">
        <f t="array" ref="H1147">XLOOKUP(B1147,Roster!L:L,Roster!N:N,XLOOKUP(D1147,TicketsBreak!A:A,TicketsBreak!E:E,"",0),0)</f>
        <v>10:30 - 10:45</v>
      </c>
      <c r="I1147" s="316" t="str">
        <f t="array" ref="I1147">XLOOKUP(B1147,Roster!L:L,Roster!O:O,XLOOKUP(D1147,TicketsBreak!A:A,TicketsBreak!F:F,"",0),0)</f>
        <v>13:00 - 13:30</v>
      </c>
      <c r="J1147" s="316" t="str">
        <f t="array" ref="J1147">XLOOKUP(B1147,Roster!L:L,Roster!P:P,XLOOKUP(D1147,TicketsBreak!A:A,TicketsBreak!G:G,"",0),0)</f>
        <v>15:30 - 15:45</v>
      </c>
      <c r="K1147" s="310">
        <f t="shared" si="4"/>
        <v>46122</v>
      </c>
      <c r="L1147" s="317">
        <f t="array" ref="L1147">(XLOOKUP(D1147,Roster!F:F,Roster!D:D,"",0))</f>
        <v>36</v>
      </c>
      <c r="M1147" s="317" t="str">
        <f t="array" ref="M1147">XLOOKUP(D1147,Roster!F:F,Roster!E:E)</f>
        <v>Voice</v>
      </c>
      <c r="N1147" s="317" t="str">
        <f t="shared" ref="N1147:P1147" si="1166">LEFT(H1147,5)</f>
        <v>10:30</v>
      </c>
      <c r="O1147" s="317" t="str">
        <f t="shared" si="1166"/>
        <v>13:00</v>
      </c>
      <c r="P1147" s="317" t="str">
        <f t="shared" si="1166"/>
        <v>15:30</v>
      </c>
      <c r="Q1147" s="318">
        <f t="shared" si="1090"/>
        <v>46122.4375</v>
      </c>
      <c r="R1147" s="318">
        <f t="shared" si="1091"/>
        <v>46122.54167</v>
      </c>
      <c r="S1147" s="318">
        <f t="shared" si="8"/>
        <v>46122.64583</v>
      </c>
    </row>
    <row r="1148">
      <c r="A1148" s="14" t="str">
        <f t="shared" si="1"/>
        <v>C132546122</v>
      </c>
      <c r="B1148" s="185">
        <f t="array" ref="B1148">IF(F1148="VL","",IF(F1148="Free","Free",XLOOKUP(D1148,Roster!T:T,Roster!S:S,"",0)))</f>
        <v>123</v>
      </c>
      <c r="C1148" s="313">
        <v>46122.0</v>
      </c>
      <c r="D1148" s="314" t="s">
        <v>174</v>
      </c>
      <c r="E1148" s="307" t="str">
        <f t="array" ref="E1148">(XLOOKUP(D1148,Roster!F:F,Roster!B:B,"",0))</f>
        <v>Cristian Ferreira</v>
      </c>
      <c r="F1148" s="315" t="str">
        <f t="array" ref="F1148">IF(B1148=100,"Free",TEXT(XLOOKUP($D1148,OperationVoice!$A:$A,OperationVoice!P:P,XLOOKUP($D1148,OperationTickets!$A:$A,OperationTickets!P:P,"",0)),"hh:mm"))</f>
        <v>08:00</v>
      </c>
      <c r="G1148" s="309">
        <f t="shared" si="3"/>
        <v>0.7083333333</v>
      </c>
      <c r="H1148" s="316" t="str">
        <f t="array" ref="H1148">XLOOKUP(B1148,Roster!L:L,Roster!N:N,XLOOKUP(D1148,TicketsBreak!A:A,TicketsBreak!E:E,"",0),0)</f>
        <v>09:45 - 10:00 </v>
      </c>
      <c r="I1148" s="316" t="str">
        <f t="array" ref="I1148">XLOOKUP(B1148,Roster!L:L,Roster!O:O,XLOOKUP(D1148,TicketsBreak!A:A,TicketsBreak!F:F,"",0),0)</f>
        <v>12:30 - 13:00</v>
      </c>
      <c r="J1148" s="316" t="str">
        <f t="array" ref="J1148">XLOOKUP(B1148,Roster!L:L,Roster!P:P,XLOOKUP(D1148,TicketsBreak!A:A,TicketsBreak!G:G,"",0),0)</f>
        <v>15:00 - 15:15</v>
      </c>
      <c r="K1148" s="310">
        <f t="shared" si="4"/>
        <v>46122</v>
      </c>
      <c r="L1148" s="317">
        <f t="array" ref="L1148">(XLOOKUP(D1148,Roster!F:F,Roster!D:D,"",0))</f>
        <v>29</v>
      </c>
      <c r="M1148" s="317" t="str">
        <f t="array" ref="M1148">XLOOKUP(D1148,Roster!F:F,Roster!E:E)</f>
        <v>Tickets</v>
      </c>
      <c r="N1148" s="317" t="str">
        <f t="shared" ref="N1148:P1148" si="1167">LEFT(H1148,5)</f>
        <v>09:45</v>
      </c>
      <c r="O1148" s="317" t="str">
        <f t="shared" si="1167"/>
        <v>12:30</v>
      </c>
      <c r="P1148" s="317" t="str">
        <f t="shared" si="1167"/>
        <v>15:00</v>
      </c>
      <c r="Q1148" s="318">
        <f t="shared" si="1090"/>
        <v>46122.40625</v>
      </c>
      <c r="R1148" s="318">
        <f t="shared" si="1091"/>
        <v>46122.52083</v>
      </c>
      <c r="S1148" s="318">
        <f t="shared" si="8"/>
        <v>46122.625</v>
      </c>
    </row>
    <row r="1149">
      <c r="A1149" s="14" t="str">
        <f t="shared" si="1"/>
        <v>C151046122</v>
      </c>
      <c r="B1149" s="185">
        <f t="array" ref="B1149">IF(F1149="VL","",IF(F1149="Free","Free",XLOOKUP(D1149,Roster!T:T,Roster!S:S,"",0)))</f>
        <v>121</v>
      </c>
      <c r="C1149" s="313">
        <v>46122.0</v>
      </c>
      <c r="D1149" s="314" t="s">
        <v>24</v>
      </c>
      <c r="E1149" s="307" t="str">
        <f t="array" ref="E1149">(XLOOKUP(D1149,Roster!F:F,Roster!B:B,"",0))</f>
        <v>Cristian Gomez</v>
      </c>
      <c r="F1149" s="315" t="str">
        <f t="array" ref="F1149">IF(B1149=100,"Free",TEXT(XLOOKUP($D1149,OperationVoice!$A:$A,OperationVoice!P:P,XLOOKUP($D1149,OperationTickets!$A:$A,OperationTickets!P:P,"",0)),"hh:mm"))</f>
        <v>08:00</v>
      </c>
      <c r="G1149" s="309">
        <f t="shared" si="3"/>
        <v>0.7083333333</v>
      </c>
      <c r="H1149" s="316" t="str">
        <f t="array" ref="H1149">XLOOKUP(B1149,Roster!L:L,Roster!N:N,XLOOKUP(D1149,TicketsBreak!A:A,TicketsBreak!E:E,"",0),0)</f>
        <v>09:15 - 09:30</v>
      </c>
      <c r="I1149" s="316" t="str">
        <f t="array" ref="I1149">XLOOKUP(B1149,Roster!L:L,Roster!O:O,XLOOKUP(D1149,TicketsBreak!A:A,TicketsBreak!F:F,"",0),0)</f>
        <v>11:30 - 12:00</v>
      </c>
      <c r="J1149" s="316" t="str">
        <f t="array" ref="J1149">XLOOKUP(B1149,Roster!L:L,Roster!P:P,XLOOKUP(D1149,TicketsBreak!A:A,TicketsBreak!G:G,"",0),0)</f>
        <v>14:30 - 14:45</v>
      </c>
      <c r="K1149" s="310">
        <f t="shared" si="4"/>
        <v>46122</v>
      </c>
      <c r="L1149" s="317">
        <f t="array" ref="L1149">(XLOOKUP(D1149,Roster!F:F,Roster!D:D,"",0))</f>
        <v>35</v>
      </c>
      <c r="M1149" s="317" t="str">
        <f t="array" ref="M1149">XLOOKUP(D1149,Roster!F:F,Roster!E:E)</f>
        <v>Voice</v>
      </c>
      <c r="N1149" s="317" t="str">
        <f t="shared" ref="N1149:P1149" si="1168">LEFT(H1149,5)</f>
        <v>09:15</v>
      </c>
      <c r="O1149" s="317" t="str">
        <f t="shared" si="1168"/>
        <v>11:30</v>
      </c>
      <c r="P1149" s="317" t="str">
        <f t="shared" si="1168"/>
        <v>14:30</v>
      </c>
      <c r="Q1149" s="318">
        <f t="shared" si="1090"/>
        <v>46122.38542</v>
      </c>
      <c r="R1149" s="318">
        <f t="shared" si="1091"/>
        <v>46122.47917</v>
      </c>
      <c r="S1149" s="318">
        <f t="shared" si="8"/>
        <v>46122.60417</v>
      </c>
    </row>
    <row r="1150">
      <c r="A1150" s="14" t="str">
        <f t="shared" si="1"/>
        <v>C67346122</v>
      </c>
      <c r="B1150" s="185" t="str">
        <f t="array" ref="B1150">IF(F1150="VL","",IF(F1150="Free","Free",XLOOKUP(D1150,Roster!T:T,Roster!S:S,"",0)))</f>
        <v/>
      </c>
      <c r="C1150" s="313">
        <v>46122.0</v>
      </c>
      <c r="D1150" s="314" t="s">
        <v>156</v>
      </c>
      <c r="E1150" s="307" t="str">
        <f t="array" ref="E1150">(XLOOKUP(D1150,Roster!F:F,Roster!B:B,"",0))</f>
        <v>Dahiana Cano</v>
      </c>
      <c r="F1150" s="315" t="str">
        <f t="array" ref="F1150">IF(B1150=100,"Free",TEXT(XLOOKUP($D1150,OperationVoice!$A:$A,OperationVoice!P:P,XLOOKUP($D1150,OperationTickets!$A:$A,OperationTickets!P:P,"",0)),"hh:mm"))</f>
        <v>08:00</v>
      </c>
      <c r="G1150" s="309">
        <f t="shared" si="3"/>
        <v>0.7083333333</v>
      </c>
      <c r="H1150" s="316">
        <f t="array" ref="H1150">XLOOKUP(B1150,Roster!L:L,Roster!N:N,XLOOKUP(D1150,TicketsBreak!A:A,TicketsBreak!E:E,"",0),0)</f>
        <v>0.4583333333</v>
      </c>
      <c r="I1150" s="316">
        <f t="array" ref="I1150">XLOOKUP(B1150,Roster!L:L,Roster!O:O,XLOOKUP(D1150,TicketsBreak!A:A,TicketsBreak!F:F,"",0),0)</f>
        <v>0.5833333333</v>
      </c>
      <c r="J1150" s="316">
        <f t="array" ref="J1150">XLOOKUP(B1150,Roster!L:L,Roster!P:P,XLOOKUP(D1150,TicketsBreak!A:A,TicketsBreak!G:G,"",0),0)</f>
        <v>0.65625</v>
      </c>
      <c r="K1150" s="310">
        <f t="shared" si="4"/>
        <v>46122</v>
      </c>
      <c r="L1150" s="317">
        <f t="array" ref="L1150">(XLOOKUP(D1150,Roster!F:F,Roster!D:D,"",0))</f>
        <v>4</v>
      </c>
      <c r="M1150" s="317" t="str">
        <f t="array" ref="M1150">XLOOKUP(D1150,Roster!F:F,Roster!E:E)</f>
        <v>Tickets</v>
      </c>
      <c r="N1150" s="317" t="str">
        <f t="shared" ref="N1150:P1150" si="1169">LEFT(H1150,5)</f>
        <v>11:00</v>
      </c>
      <c r="O1150" s="317" t="str">
        <f t="shared" si="1169"/>
        <v>14:00</v>
      </c>
      <c r="P1150" s="317" t="str">
        <f t="shared" si="1169"/>
        <v>15:45</v>
      </c>
      <c r="Q1150" s="318">
        <f t="shared" si="1090"/>
        <v>46122.45833</v>
      </c>
      <c r="R1150" s="318">
        <f t="shared" si="1091"/>
        <v>46122.58333</v>
      </c>
      <c r="S1150" s="318">
        <f t="shared" si="8"/>
        <v>46122.65625</v>
      </c>
    </row>
    <row r="1151">
      <c r="A1151" s="14" t="str">
        <f t="shared" si="1"/>
        <v>C152946122</v>
      </c>
      <c r="B1151" s="185">
        <f t="array" ref="B1151">IF(F1151="VL","",IF(F1151="Free","Free",XLOOKUP(D1151,Roster!T:T,Roster!S:S,"",0)))</f>
        <v>133</v>
      </c>
      <c r="C1151" s="313">
        <v>46122.0</v>
      </c>
      <c r="D1151" s="314" t="s">
        <v>25</v>
      </c>
      <c r="E1151" s="307" t="str">
        <f t="array" ref="E1151">(XLOOKUP(D1151,Roster!F:F,Roster!B:B,"",0))</f>
        <v>Daniel Barrientos</v>
      </c>
      <c r="F1151" s="315" t="str">
        <f t="array" ref="F1151">IF(B1151=100,"Free",TEXT(XLOOKUP($D1151,OperationVoice!$A:$A,OperationVoice!P:P,XLOOKUP($D1151,OperationTickets!$A:$A,OperationTickets!P:P,"",0)),"hh:mm"))</f>
        <v>09:00</v>
      </c>
      <c r="G1151" s="309">
        <f t="shared" si="3"/>
        <v>0.75</v>
      </c>
      <c r="H1151" s="316" t="str">
        <f t="array" ref="H1151">XLOOKUP(B1151,Roster!L:L,Roster!N:N,XLOOKUP(D1151,TicketsBreak!A:A,TicketsBreak!E:E,"",0),0)</f>
        <v>10:45 - 11:00 </v>
      </c>
      <c r="I1151" s="316" t="str">
        <f t="array" ref="I1151">XLOOKUP(B1151,Roster!L:L,Roster!O:O,XLOOKUP(D1151,TicketsBreak!A:A,TicketsBreak!F:F,"",0),0)</f>
        <v>13:30 - 14:00</v>
      </c>
      <c r="J1151" s="316" t="str">
        <f t="array" ref="J1151">XLOOKUP(B1151,Roster!L:L,Roster!P:P,XLOOKUP(D1151,TicketsBreak!A:A,TicketsBreak!G:G,"",0),0)</f>
        <v>15:45 - 16:00</v>
      </c>
      <c r="K1151" s="310">
        <f t="shared" si="4"/>
        <v>46122</v>
      </c>
      <c r="L1151" s="317">
        <f t="array" ref="L1151">(XLOOKUP(D1151,Roster!F:F,Roster!D:D,"",0))</f>
        <v>36</v>
      </c>
      <c r="M1151" s="317" t="str">
        <f t="array" ref="M1151">XLOOKUP(D1151,Roster!F:F,Roster!E:E)</f>
        <v>Voice</v>
      </c>
      <c r="N1151" s="317" t="str">
        <f t="shared" ref="N1151:P1151" si="1170">LEFT(H1151,5)</f>
        <v>10:45</v>
      </c>
      <c r="O1151" s="317" t="str">
        <f t="shared" si="1170"/>
        <v>13:30</v>
      </c>
      <c r="P1151" s="317" t="str">
        <f t="shared" si="1170"/>
        <v>15:45</v>
      </c>
      <c r="Q1151" s="318">
        <f t="shared" si="1090"/>
        <v>46122.44792</v>
      </c>
      <c r="R1151" s="318">
        <f t="shared" si="1091"/>
        <v>46122.5625</v>
      </c>
      <c r="S1151" s="318">
        <f t="shared" si="8"/>
        <v>46122.65625</v>
      </c>
    </row>
    <row r="1152">
      <c r="A1152" s="14" t="str">
        <f t="shared" si="1"/>
        <v>C106446122</v>
      </c>
      <c r="B1152" s="185" t="str">
        <f t="array" ref="B1152">IF(F1152="VL","",IF(F1152="Free","Free",XLOOKUP(D1152,Roster!T:T,Roster!S:S,"",0)))</f>
        <v/>
      </c>
      <c r="C1152" s="313">
        <v>46122.0</v>
      </c>
      <c r="D1152" s="314" t="s">
        <v>175</v>
      </c>
      <c r="E1152" s="307" t="str">
        <f t="array" ref="E1152">(XLOOKUP(D1152,Roster!F:F,Roster!B:B,"",0))</f>
        <v>Daniel Urrego</v>
      </c>
      <c r="F1152" s="315" t="str">
        <f t="array" ref="F1152">IF(B1152=100,"Free",TEXT(XLOOKUP($D1152,OperationVoice!$A:$A,OperationVoice!P:P,XLOOKUP($D1152,OperationTickets!$A:$A,OperationTickets!P:P,"",0)),"hh:mm"))</f>
        <v>08:00</v>
      </c>
      <c r="G1152" s="309">
        <f t="shared" si="3"/>
        <v>0.7083333333</v>
      </c>
      <c r="H1152" s="316" t="str">
        <f t="array" ref="H1152">XLOOKUP(B1152,Roster!L:L,Roster!N:N,XLOOKUP(D1152,TicketsBreak!A:A,TicketsBreak!E:E,"",0),0)</f>
        <v/>
      </c>
      <c r="I1152" s="316" t="str">
        <f t="array" ref="I1152">XLOOKUP(B1152,Roster!L:L,Roster!O:O,XLOOKUP(D1152,TicketsBreak!A:A,TicketsBreak!F:F,"",0),0)</f>
        <v/>
      </c>
      <c r="J1152" s="316" t="str">
        <f t="array" ref="J1152">XLOOKUP(B1152,Roster!L:L,Roster!P:P,XLOOKUP(D1152,TicketsBreak!A:A,TicketsBreak!G:G,"",0),0)</f>
        <v/>
      </c>
      <c r="K1152" s="310">
        <f t="shared" si="4"/>
        <v>46122</v>
      </c>
      <c r="L1152" s="317">
        <f t="array" ref="L1152">(XLOOKUP(D1152,Roster!F:F,Roster!D:D,"",0))</f>
        <v>17</v>
      </c>
      <c r="M1152" s="317" t="str">
        <f t="array" ref="M1152">XLOOKUP(D1152,Roster!F:F,Roster!E:E)</f>
        <v>Tickets</v>
      </c>
      <c r="N1152" s="317" t="str">
        <f t="shared" ref="N1152:P1152" si="1171">LEFT(H1152,5)</f>
        <v/>
      </c>
      <c r="O1152" s="317" t="str">
        <f t="shared" si="1171"/>
        <v/>
      </c>
      <c r="P1152" s="317" t="str">
        <f t="shared" si="1171"/>
        <v/>
      </c>
      <c r="Q1152" s="318" t="str">
        <f t="shared" si="1090"/>
        <v/>
      </c>
      <c r="R1152" s="318" t="str">
        <f t="shared" si="1091"/>
        <v/>
      </c>
      <c r="S1152" s="318" t="str">
        <f t="shared" si="8"/>
        <v/>
      </c>
    </row>
    <row r="1153">
      <c r="A1153" s="14" t="str">
        <f t="shared" si="1"/>
        <v>C151346122</v>
      </c>
      <c r="B1153" s="185">
        <f t="array" ref="B1153">IF(F1153="VL","",IF(F1153="Free","Free",XLOOKUP(D1153,Roster!T:T,Roster!S:S,"",0)))</f>
        <v>126</v>
      </c>
      <c r="C1153" s="313">
        <v>46122.0</v>
      </c>
      <c r="D1153" s="314" t="s">
        <v>26</v>
      </c>
      <c r="E1153" s="307" t="str">
        <f t="array" ref="E1153">(XLOOKUP(D1153,Roster!F:F,Roster!B:B,"",0))</f>
        <v>David Patino</v>
      </c>
      <c r="F1153" s="315" t="str">
        <f t="array" ref="F1153">IF(B1153=100,"Free",TEXT(XLOOKUP($D1153,OperationVoice!$A:$A,OperationVoice!P:P,XLOOKUP($D1153,OperationTickets!$A:$A,OperationTickets!P:P,"",0)),"hh:mm"))</f>
        <v>08:00</v>
      </c>
      <c r="G1153" s="309">
        <f t="shared" si="3"/>
        <v>0.7083333333</v>
      </c>
      <c r="H1153" s="316" t="str">
        <f t="array" ref="H1153">XLOOKUP(B1153,Roster!L:L,Roster!N:N,XLOOKUP(D1153,TicketsBreak!A:A,TicketsBreak!E:E,"",0),0)</f>
        <v>10:45 - 11:00</v>
      </c>
      <c r="I1153" s="316" t="str">
        <f t="array" ref="I1153">XLOOKUP(B1153,Roster!L:L,Roster!O:O,XLOOKUP(D1153,TicketsBreak!A:A,TicketsBreak!F:F,"",0),0)</f>
        <v>14:00 - 14:30</v>
      </c>
      <c r="J1153" s="316" t="str">
        <f t="array" ref="J1153">XLOOKUP(B1153,Roster!L:L,Roster!P:P,XLOOKUP(D1153,TicketsBreak!A:A,TicketsBreak!G:G,"",0),0)</f>
        <v>15:45 - 16:00</v>
      </c>
      <c r="K1153" s="310">
        <f t="shared" si="4"/>
        <v>46122</v>
      </c>
      <c r="L1153" s="317">
        <f t="array" ref="L1153">(XLOOKUP(D1153,Roster!F:F,Roster!D:D,"",0))</f>
        <v>35</v>
      </c>
      <c r="M1153" s="317" t="str">
        <f t="array" ref="M1153">XLOOKUP(D1153,Roster!F:F,Roster!E:E)</f>
        <v>Voice</v>
      </c>
      <c r="N1153" s="317" t="str">
        <f t="shared" ref="N1153:P1153" si="1172">LEFT(H1153,5)</f>
        <v>10:45</v>
      </c>
      <c r="O1153" s="317" t="str">
        <f t="shared" si="1172"/>
        <v>14:00</v>
      </c>
      <c r="P1153" s="317" t="str">
        <f t="shared" si="1172"/>
        <v>15:45</v>
      </c>
      <c r="Q1153" s="318">
        <f t="shared" si="1090"/>
        <v>46122.44792</v>
      </c>
      <c r="R1153" s="318">
        <f t="shared" si="1091"/>
        <v>46122.58333</v>
      </c>
      <c r="S1153" s="318">
        <f t="shared" si="8"/>
        <v>46122.65625</v>
      </c>
    </row>
    <row r="1154">
      <c r="A1154" s="14" t="str">
        <f t="shared" si="1"/>
        <v>C127746122</v>
      </c>
      <c r="B1154" s="185">
        <f t="array" ref="B1154">IF(F1154="VL","",IF(F1154="Free","Free",XLOOKUP(D1154,Roster!T:T,Roster!S:S,"",0)))</f>
        <v>124</v>
      </c>
      <c r="C1154" s="313">
        <v>46122.0</v>
      </c>
      <c r="D1154" s="314" t="s">
        <v>27</v>
      </c>
      <c r="E1154" s="307" t="str">
        <f t="array" ref="E1154">(XLOOKUP(D1154,Roster!F:F,Roster!B:B,"",0))</f>
        <v>Edwuin Martinez</v>
      </c>
      <c r="F1154" s="315" t="str">
        <f t="array" ref="F1154">IF(B1154=100,"Free",TEXT(XLOOKUP($D1154,OperationVoice!$A:$A,OperationVoice!P:P,XLOOKUP($D1154,OperationTickets!$A:$A,OperationTickets!P:P,"",0)),"hh:mm"))</f>
        <v>08:00</v>
      </c>
      <c r="G1154" s="309">
        <f t="shared" si="3"/>
        <v>0.7083333333</v>
      </c>
      <c r="H1154" s="316" t="str">
        <f t="array" ref="H1154">XLOOKUP(B1154,Roster!L:L,Roster!N:N,XLOOKUP(D1154,TicketsBreak!A:A,TicketsBreak!E:E,"",0),0)</f>
        <v>10:00 - 10:15</v>
      </c>
      <c r="I1154" s="316" t="str">
        <f t="array" ref="I1154">XLOOKUP(B1154,Roster!L:L,Roster!O:O,XLOOKUP(D1154,TicketsBreak!A:A,TicketsBreak!F:F,"",0),0)</f>
        <v>13:00 - 13:30</v>
      </c>
      <c r="J1154" s="316" t="str">
        <f t="array" ref="J1154">XLOOKUP(B1154,Roster!L:L,Roster!P:P,XLOOKUP(D1154,TicketsBreak!A:A,TicketsBreak!G:G,"",0),0)</f>
        <v>15:30 - 15:45</v>
      </c>
      <c r="K1154" s="310">
        <f t="shared" si="4"/>
        <v>46122</v>
      </c>
      <c r="L1154" s="317">
        <f t="array" ref="L1154">(XLOOKUP(D1154,Roster!F:F,Roster!D:D,"",0))</f>
        <v>27</v>
      </c>
      <c r="M1154" s="317" t="str">
        <f t="array" ref="M1154">XLOOKUP(D1154,Roster!F:F,Roster!E:E)</f>
        <v>Voice</v>
      </c>
      <c r="N1154" s="317" t="str">
        <f t="shared" ref="N1154:P1154" si="1173">LEFT(H1154,5)</f>
        <v>10:00</v>
      </c>
      <c r="O1154" s="317" t="str">
        <f t="shared" si="1173"/>
        <v>13:00</v>
      </c>
      <c r="P1154" s="317" t="str">
        <f t="shared" si="1173"/>
        <v>15:30</v>
      </c>
      <c r="Q1154" s="318">
        <f t="shared" si="1090"/>
        <v>46122.41667</v>
      </c>
      <c r="R1154" s="318">
        <f t="shared" si="1091"/>
        <v>46122.54167</v>
      </c>
      <c r="S1154" s="318">
        <f t="shared" si="8"/>
        <v>46122.64583</v>
      </c>
    </row>
    <row r="1155">
      <c r="A1155" s="14" t="str">
        <f t="shared" si="1"/>
        <v>C121646122</v>
      </c>
      <c r="B1155" s="185" t="str">
        <f t="array" ref="B1155">IF(F1155="VL","",IF(F1155="Free","Free",XLOOKUP(D1155,Roster!T:T,Roster!S:S,"",0)))</f>
        <v/>
      </c>
      <c r="C1155" s="313">
        <v>46122.0</v>
      </c>
      <c r="D1155" s="314" t="s">
        <v>134</v>
      </c>
      <c r="E1155" s="307" t="str">
        <f t="array" ref="E1155">(XLOOKUP(D1155,Roster!F:F,Roster!B:B,"",0))</f>
        <v>Eliana Pena</v>
      </c>
      <c r="F1155" s="315" t="str">
        <f t="array" ref="F1155">IF(B1155=100,"Free",TEXT(XLOOKUP($D1155,OperationVoice!$A:$A,OperationVoice!P:P,XLOOKUP($D1155,OperationTickets!$A:$A,OperationTickets!P:P,"",0)),"hh:mm"))</f>
        <v>08:00</v>
      </c>
      <c r="G1155" s="309">
        <f t="shared" si="3"/>
        <v>0.7083333333</v>
      </c>
      <c r="H1155" s="316">
        <f t="array" ref="H1155">XLOOKUP(B1155,Roster!L:L,Roster!N:N,XLOOKUP(D1155,TicketsBreak!A:A,TicketsBreak!E:E,"",0),0)</f>
        <v>0.3958333333</v>
      </c>
      <c r="I1155" s="316">
        <f t="array" ref="I1155">XLOOKUP(B1155,Roster!L:L,Roster!O:O,XLOOKUP(D1155,TicketsBreak!A:A,TicketsBreak!F:F,"",0),0)</f>
        <v>0.5416666667</v>
      </c>
      <c r="J1155" s="316">
        <f t="array" ref="J1155">XLOOKUP(B1155,Roster!L:L,Roster!P:P,XLOOKUP(D1155,TicketsBreak!A:A,TicketsBreak!G:G,"",0),0)</f>
        <v>0.6354166667</v>
      </c>
      <c r="K1155" s="310">
        <f t="shared" si="4"/>
        <v>46122</v>
      </c>
      <c r="L1155" s="317">
        <f t="array" ref="L1155">(XLOOKUP(D1155,Roster!F:F,Roster!D:D,"",0))</f>
        <v>26</v>
      </c>
      <c r="M1155" s="317" t="str">
        <f t="array" ref="M1155">XLOOKUP(D1155,Roster!F:F,Roster!E:E)</f>
        <v>Tickets</v>
      </c>
      <c r="N1155" s="317" t="str">
        <f t="shared" ref="N1155:P1155" si="1174">LEFT(H1155,5)</f>
        <v>09:30</v>
      </c>
      <c r="O1155" s="317" t="str">
        <f t="shared" si="1174"/>
        <v>13:00</v>
      </c>
      <c r="P1155" s="317" t="str">
        <f t="shared" si="1174"/>
        <v>15:15</v>
      </c>
      <c r="Q1155" s="318">
        <f t="shared" si="1090"/>
        <v>46122.39583</v>
      </c>
      <c r="R1155" s="318">
        <f t="shared" si="1091"/>
        <v>46122.54167</v>
      </c>
      <c r="S1155" s="318">
        <f t="shared" si="8"/>
        <v>46122.63542</v>
      </c>
    </row>
    <row r="1156">
      <c r="A1156" s="14" t="str">
        <f t="shared" si="1"/>
        <v>C157346122</v>
      </c>
      <c r="B1156" s="185" t="str">
        <f t="array" ref="B1156">IF(F1156="VL","",IF(F1156="Free","Free",XLOOKUP(D1156,Roster!T:T,Roster!S:S,"",0)))</f>
        <v>Free</v>
      </c>
      <c r="C1156" s="313">
        <v>46122.0</v>
      </c>
      <c r="D1156" s="314" t="s">
        <v>28</v>
      </c>
      <c r="E1156" s="307" t="str">
        <f t="array" ref="E1156">(XLOOKUP(D1156,Roster!F:F,Roster!B:B,"",0))</f>
        <v>Esteban Correa</v>
      </c>
      <c r="F1156" s="315" t="str">
        <f t="array" ref="F1156">IF(B1156=100,"Free",TEXT(XLOOKUP($D1156,OperationVoice!$A:$A,OperationVoice!P:P,XLOOKUP($D1156,OperationTickets!$A:$A,OperationTickets!P:P,"",0)),"hh:mm"))</f>
        <v>Free</v>
      </c>
      <c r="G1156" s="309" t="str">
        <f t="shared" si="3"/>
        <v>Free</v>
      </c>
      <c r="H1156" s="316" t="str">
        <f t="array" ref="H1156">XLOOKUP(B1156,Roster!L:L,Roster!N:N,XLOOKUP(D1156,TicketsBreak!A:A,TicketsBreak!E:E,"",0),0)</f>
        <v/>
      </c>
      <c r="I1156" s="316" t="str">
        <f t="array" ref="I1156">XLOOKUP(B1156,Roster!L:L,Roster!O:O,XLOOKUP(D1156,TicketsBreak!A:A,TicketsBreak!F:F,"",0),0)</f>
        <v/>
      </c>
      <c r="J1156" s="316" t="str">
        <f t="array" ref="J1156">XLOOKUP(B1156,Roster!L:L,Roster!P:P,XLOOKUP(D1156,TicketsBreak!A:A,TicketsBreak!G:G,"",0),0)</f>
        <v/>
      </c>
      <c r="K1156" s="310">
        <f t="shared" si="4"/>
        <v>46122</v>
      </c>
      <c r="L1156" s="317">
        <f t="array" ref="L1156">(XLOOKUP(D1156,Roster!F:F,Roster!D:D,"",0))</f>
        <v>38</v>
      </c>
      <c r="M1156" s="317" t="str">
        <f t="array" ref="M1156">XLOOKUP(D1156,Roster!F:F,Roster!E:E)</f>
        <v>Voice</v>
      </c>
      <c r="N1156" s="317" t="str">
        <f t="shared" ref="N1156:P1156" si="1175">LEFT(H1156,5)</f>
        <v/>
      </c>
      <c r="O1156" s="317" t="str">
        <f t="shared" si="1175"/>
        <v/>
      </c>
      <c r="P1156" s="317" t="str">
        <f t="shared" si="1175"/>
        <v/>
      </c>
      <c r="Q1156" s="318" t="str">
        <f t="shared" si="1090"/>
        <v/>
      </c>
      <c r="R1156" s="318" t="str">
        <f t="shared" si="1091"/>
        <v/>
      </c>
      <c r="S1156" s="318" t="str">
        <f t="shared" si="8"/>
        <v/>
      </c>
    </row>
    <row r="1157">
      <c r="A1157" s="14" t="str">
        <f t="shared" si="1"/>
        <v>C71346122</v>
      </c>
      <c r="B1157" s="185">
        <f t="array" ref="B1157">IF(F1157="VL","",IF(F1157="Free","Free",XLOOKUP(D1157,Roster!T:T,Roster!S:S,"",0)))</f>
        <v>125</v>
      </c>
      <c r="C1157" s="313">
        <v>46122.0</v>
      </c>
      <c r="D1157" s="314" t="s">
        <v>29</v>
      </c>
      <c r="E1157" s="307" t="str">
        <f t="array" ref="E1157">(XLOOKUP(D1157,Roster!F:F,Roster!B:B,"",0))</f>
        <v>Frank Marin</v>
      </c>
      <c r="F1157" s="315" t="str">
        <f t="array" ref="F1157">IF(B1157=100,"Free",TEXT(XLOOKUP($D1157,OperationVoice!$A:$A,OperationVoice!P:P,XLOOKUP($D1157,OperationTickets!$A:$A,OperationTickets!P:P,"",0)),"hh:mm"))</f>
        <v>08:00</v>
      </c>
      <c r="G1157" s="309">
        <f t="shared" si="3"/>
        <v>0.7083333333</v>
      </c>
      <c r="H1157" s="316" t="str">
        <f t="array" ref="H1157">XLOOKUP(B1157,Roster!L:L,Roster!N:N,XLOOKUP(D1157,TicketsBreak!A:A,TicketsBreak!E:E,"",0),0)</f>
        <v>10:30 - 10:45</v>
      </c>
      <c r="I1157" s="316" t="str">
        <f t="array" ref="I1157">XLOOKUP(B1157,Roster!L:L,Roster!O:O,XLOOKUP(D1157,TicketsBreak!A:A,TicketsBreak!F:F,"",0),0)</f>
        <v>13:30 - 14:00</v>
      </c>
      <c r="J1157" s="316" t="str">
        <f t="array" ref="J1157">XLOOKUP(B1157,Roster!L:L,Roster!P:P,XLOOKUP(D1157,TicketsBreak!A:A,TicketsBreak!G:G,"",0),0)</f>
        <v>15:45 - 16:00</v>
      </c>
      <c r="K1157" s="310">
        <f t="shared" si="4"/>
        <v>46122</v>
      </c>
      <c r="L1157" s="317">
        <f t="array" ref="L1157">(XLOOKUP(D1157,Roster!F:F,Roster!D:D,"",0))</f>
        <v>6</v>
      </c>
      <c r="M1157" s="317" t="str">
        <f t="array" ref="M1157">XLOOKUP(D1157,Roster!F:F,Roster!E:E)</f>
        <v>Voice</v>
      </c>
      <c r="N1157" s="317" t="str">
        <f t="shared" ref="N1157:P1157" si="1176">LEFT(H1157,5)</f>
        <v>10:30</v>
      </c>
      <c r="O1157" s="317" t="str">
        <f t="shared" si="1176"/>
        <v>13:30</v>
      </c>
      <c r="P1157" s="317" t="str">
        <f t="shared" si="1176"/>
        <v>15:45</v>
      </c>
      <c r="Q1157" s="318">
        <f t="shared" si="1090"/>
        <v>46122.4375</v>
      </c>
      <c r="R1157" s="318">
        <f t="shared" si="1091"/>
        <v>46122.5625</v>
      </c>
      <c r="S1157" s="318">
        <f t="shared" si="8"/>
        <v>46122.65625</v>
      </c>
    </row>
    <row r="1158">
      <c r="A1158" s="14" t="str">
        <f t="shared" si="1"/>
        <v>C154846122</v>
      </c>
      <c r="B1158" s="185">
        <f t="array" ref="B1158">IF(F1158="VL","",IF(F1158="Free","Free",XLOOKUP(D1158,Roster!T:T,Roster!S:S,"",0)))</f>
        <v>152</v>
      </c>
      <c r="C1158" s="313">
        <v>46122.0</v>
      </c>
      <c r="D1158" s="314" t="s">
        <v>30</v>
      </c>
      <c r="E1158" s="307" t="str">
        <f t="array" ref="E1158">(XLOOKUP(D1158,Roster!F:F,Roster!B:B,"",0))</f>
        <v>Frey ortiz</v>
      </c>
      <c r="F1158" s="315" t="str">
        <f t="array" ref="F1158">IF(B1158=100,"Free",TEXT(XLOOKUP($D1158,OperationVoice!$A:$A,OperationVoice!P:P,XLOOKUP($D1158,OperationTickets!$A:$A,OperationTickets!P:P,"",0)),"hh:mm"))</f>
        <v>11:00</v>
      </c>
      <c r="G1158" s="309">
        <f t="shared" si="3"/>
        <v>0.8333333333</v>
      </c>
      <c r="H1158" s="316" t="str">
        <f t="array" ref="H1158">XLOOKUP(B1158,Roster!L:L,Roster!N:N,XLOOKUP(D1158,TicketsBreak!A:A,TicketsBreak!E:E,"",0),0)</f>
        <v>12:30 - 12:45</v>
      </c>
      <c r="I1158" s="316" t="str">
        <f t="array" ref="I1158">XLOOKUP(B1158,Roster!L:L,Roster!O:O,XLOOKUP(D1158,TicketsBreak!A:A,TicketsBreak!F:F,"",0),0)</f>
        <v>14:30 - 15:00</v>
      </c>
      <c r="J1158" s="316" t="str">
        <f t="array" ref="J1158">XLOOKUP(B1158,Roster!L:L,Roster!P:P,XLOOKUP(D1158,TicketsBreak!A:A,TicketsBreak!G:G,"",0),0)</f>
        <v>17:30 - 17:45</v>
      </c>
      <c r="K1158" s="310">
        <f t="shared" si="4"/>
        <v>46122</v>
      </c>
      <c r="L1158" s="317">
        <f t="array" ref="L1158">(XLOOKUP(D1158,Roster!F:F,Roster!D:D,"",0))</f>
        <v>37</v>
      </c>
      <c r="M1158" s="317" t="str">
        <f t="array" ref="M1158">XLOOKUP(D1158,Roster!F:F,Roster!E:E)</f>
        <v>Voice</v>
      </c>
      <c r="N1158" s="317" t="str">
        <f t="shared" ref="N1158:P1158" si="1177">LEFT(H1158,5)</f>
        <v>12:30</v>
      </c>
      <c r="O1158" s="317" t="str">
        <f t="shared" si="1177"/>
        <v>14:30</v>
      </c>
      <c r="P1158" s="317" t="str">
        <f t="shared" si="1177"/>
        <v>17:30</v>
      </c>
      <c r="Q1158" s="318">
        <f t="shared" si="1090"/>
        <v>46122.52083</v>
      </c>
      <c r="R1158" s="318">
        <f t="shared" si="1091"/>
        <v>46122.60417</v>
      </c>
      <c r="S1158" s="318">
        <f t="shared" si="8"/>
        <v>46122.72917</v>
      </c>
    </row>
    <row r="1159">
      <c r="A1159" s="14" t="str">
        <f t="shared" si="1"/>
        <v>C148646122</v>
      </c>
      <c r="B1159" s="185">
        <f t="array" ref="B1159">IF(F1159="VL","",IF(F1159="Free","Free",XLOOKUP(D1159,Roster!T:T,Roster!S:S,"",0)))</f>
        <v>154</v>
      </c>
      <c r="C1159" s="313">
        <v>46122.0</v>
      </c>
      <c r="D1159" s="314" t="s">
        <v>31</v>
      </c>
      <c r="E1159" s="307" t="str">
        <f t="array" ref="E1159">(XLOOKUP(D1159,Roster!F:F,Roster!B:B,"",0))</f>
        <v>Gabriel Gomez</v>
      </c>
      <c r="F1159" s="315" t="str">
        <f t="array" ref="F1159">IF(B1159=100,"Free",TEXT(XLOOKUP($D1159,OperationVoice!$A:$A,OperationVoice!P:P,XLOOKUP($D1159,OperationTickets!$A:$A,OperationTickets!P:P,"",0)),"hh:mm"))</f>
        <v>11:00</v>
      </c>
      <c r="G1159" s="309">
        <f t="shared" si="3"/>
        <v>0.8333333333</v>
      </c>
      <c r="H1159" s="316" t="str">
        <f t="array" ref="H1159">XLOOKUP(B1159,Roster!L:L,Roster!N:N,XLOOKUP(D1159,TicketsBreak!A:A,TicketsBreak!E:E,"",0),0)</f>
        <v>13:00 - 13:15</v>
      </c>
      <c r="I1159" s="316" t="str">
        <f t="array" ref="I1159">XLOOKUP(B1159,Roster!L:L,Roster!O:O,XLOOKUP(D1159,TicketsBreak!A:A,TicketsBreak!F:F,"",0),0)</f>
        <v>15:15 - 15:45</v>
      </c>
      <c r="J1159" s="316" t="str">
        <f t="array" ref="J1159">XLOOKUP(B1159,Roster!L:L,Roster!P:P,XLOOKUP(D1159,TicketsBreak!A:A,TicketsBreak!G:G,"",0),0)</f>
        <v>18:00 - 18:15</v>
      </c>
      <c r="K1159" s="310">
        <f t="shared" si="4"/>
        <v>46122</v>
      </c>
      <c r="L1159" s="317">
        <f t="array" ref="L1159">(XLOOKUP(D1159,Roster!F:F,Roster!D:D,"",0))</f>
        <v>34</v>
      </c>
      <c r="M1159" s="317" t="str">
        <f t="array" ref="M1159">XLOOKUP(D1159,Roster!F:F,Roster!E:E)</f>
        <v>Voice</v>
      </c>
      <c r="N1159" s="317" t="str">
        <f t="shared" ref="N1159:P1159" si="1178">LEFT(H1159,5)</f>
        <v>13:00</v>
      </c>
      <c r="O1159" s="317" t="str">
        <f t="shared" si="1178"/>
        <v>15:15</v>
      </c>
      <c r="P1159" s="317" t="str">
        <f t="shared" si="1178"/>
        <v>18:00</v>
      </c>
      <c r="Q1159" s="318">
        <f t="shared" si="1090"/>
        <v>46122.54167</v>
      </c>
      <c r="R1159" s="318">
        <f t="shared" si="1091"/>
        <v>46122.63542</v>
      </c>
      <c r="S1159" s="318">
        <f t="shared" si="8"/>
        <v>46122.75</v>
      </c>
    </row>
    <row r="1160">
      <c r="A1160" s="14" t="str">
        <f t="shared" si="1"/>
        <v>C136946122</v>
      </c>
      <c r="B1160" s="185">
        <f t="array" ref="B1160">IF(F1160="VL","",IF(F1160="Free","Free",XLOOKUP(D1160,Roster!T:T,Roster!S:S,"",0)))</f>
        <v>126</v>
      </c>
      <c r="C1160" s="313">
        <v>46122.0</v>
      </c>
      <c r="D1160" s="314" t="s">
        <v>157</v>
      </c>
      <c r="E1160" s="307" t="str">
        <f t="array" ref="E1160">(XLOOKUP(D1160,Roster!F:F,Roster!B:B,"",0))</f>
        <v>Gabriela Jimenez</v>
      </c>
      <c r="F1160" s="315" t="str">
        <f t="array" ref="F1160">IF(B1160=100,"Free",TEXT(XLOOKUP($D1160,OperationVoice!$A:$A,OperationVoice!P:P,XLOOKUP($D1160,OperationTickets!$A:$A,OperationTickets!P:P,"",0)),"hh:mm"))</f>
        <v>08:00</v>
      </c>
      <c r="G1160" s="309">
        <f t="shared" si="3"/>
        <v>0.7083333333</v>
      </c>
      <c r="H1160" s="316" t="str">
        <f t="array" ref="H1160">XLOOKUP(B1160,Roster!L:L,Roster!N:N,XLOOKUP(D1160,TicketsBreak!A:A,TicketsBreak!E:E,"",0),0)</f>
        <v>10:45 - 11:00</v>
      </c>
      <c r="I1160" s="316" t="str">
        <f t="array" ref="I1160">XLOOKUP(B1160,Roster!L:L,Roster!O:O,XLOOKUP(D1160,TicketsBreak!A:A,TicketsBreak!F:F,"",0),0)</f>
        <v>14:00 - 14:30</v>
      </c>
      <c r="J1160" s="316" t="str">
        <f t="array" ref="J1160">XLOOKUP(B1160,Roster!L:L,Roster!P:P,XLOOKUP(D1160,TicketsBreak!A:A,TicketsBreak!G:G,"",0),0)</f>
        <v>15:45 - 16:00</v>
      </c>
      <c r="K1160" s="310">
        <f t="shared" si="4"/>
        <v>46122</v>
      </c>
      <c r="L1160" s="317">
        <f t="array" ref="L1160">(XLOOKUP(D1160,Roster!F:F,Roster!D:D,"",0))</f>
        <v>31</v>
      </c>
      <c r="M1160" s="317" t="str">
        <f t="array" ref="M1160">XLOOKUP(D1160,Roster!F:F,Roster!E:E)</f>
        <v>Tickets</v>
      </c>
      <c r="N1160" s="317" t="str">
        <f t="shared" ref="N1160:P1160" si="1179">LEFT(H1160,5)</f>
        <v>10:45</v>
      </c>
      <c r="O1160" s="317" t="str">
        <f t="shared" si="1179"/>
        <v>14:00</v>
      </c>
      <c r="P1160" s="317" t="str">
        <f t="shared" si="1179"/>
        <v>15:45</v>
      </c>
      <c r="Q1160" s="318">
        <f t="shared" si="1090"/>
        <v>46122.44792</v>
      </c>
      <c r="R1160" s="318">
        <f t="shared" si="1091"/>
        <v>46122.58333</v>
      </c>
      <c r="S1160" s="318">
        <f t="shared" si="8"/>
        <v>46122.65625</v>
      </c>
    </row>
    <row r="1161">
      <c r="A1161" s="14" t="str">
        <f t="shared" si="1"/>
        <v>C101746122</v>
      </c>
      <c r="B1161" s="185">
        <f t="array" ref="B1161">IF(F1161="VL","",IF(F1161="Free","Free",XLOOKUP(D1161,Roster!T:T,Roster!S:S,"",0)))</f>
        <v>121</v>
      </c>
      <c r="C1161" s="313">
        <v>46122.0</v>
      </c>
      <c r="D1161" s="314" t="s">
        <v>32</v>
      </c>
      <c r="E1161" s="307" t="str">
        <f t="array" ref="E1161">(XLOOKUP(D1161,Roster!F:F,Roster!B:B,"",0))</f>
        <v>Geraldine Correa</v>
      </c>
      <c r="F1161" s="315" t="str">
        <f t="array" ref="F1161">IF(B1161=100,"Free",TEXT(XLOOKUP($D1161,OperationVoice!$A:$A,OperationVoice!P:P,XLOOKUP($D1161,OperationTickets!$A:$A,OperationTickets!P:P,"",0)),"hh:mm"))</f>
        <v>08:00</v>
      </c>
      <c r="G1161" s="309">
        <f t="shared" si="3"/>
        <v>0.7083333333</v>
      </c>
      <c r="H1161" s="316" t="str">
        <f t="array" ref="H1161">XLOOKUP(B1161,Roster!L:L,Roster!N:N,XLOOKUP(D1161,TicketsBreak!A:A,TicketsBreak!E:E,"",0),0)</f>
        <v>09:15 - 09:30</v>
      </c>
      <c r="I1161" s="316" t="str">
        <f t="array" ref="I1161">XLOOKUP(B1161,Roster!L:L,Roster!O:O,XLOOKUP(D1161,TicketsBreak!A:A,TicketsBreak!F:F,"",0),0)</f>
        <v>11:30 - 12:00</v>
      </c>
      <c r="J1161" s="316" t="str">
        <f t="array" ref="J1161">XLOOKUP(B1161,Roster!L:L,Roster!P:P,XLOOKUP(D1161,TicketsBreak!A:A,TicketsBreak!G:G,"",0),0)</f>
        <v>14:30 - 14:45</v>
      </c>
      <c r="K1161" s="310">
        <f t="shared" si="4"/>
        <v>46122</v>
      </c>
      <c r="L1161" s="317">
        <f t="array" ref="L1161">(XLOOKUP(D1161,Roster!F:F,Roster!D:D,"",0))</f>
        <v>23</v>
      </c>
      <c r="M1161" s="317" t="str">
        <f t="array" ref="M1161">XLOOKUP(D1161,Roster!F:F,Roster!E:E)</f>
        <v>Voice</v>
      </c>
      <c r="N1161" s="317" t="str">
        <f t="shared" ref="N1161:P1161" si="1180">LEFT(H1161,5)</f>
        <v>09:15</v>
      </c>
      <c r="O1161" s="317" t="str">
        <f t="shared" si="1180"/>
        <v>11:30</v>
      </c>
      <c r="P1161" s="317" t="str">
        <f t="shared" si="1180"/>
        <v>14:30</v>
      </c>
      <c r="Q1161" s="318">
        <f t="shared" si="1090"/>
        <v>46122.38542</v>
      </c>
      <c r="R1161" s="318">
        <f t="shared" si="1091"/>
        <v>46122.47917</v>
      </c>
      <c r="S1161" s="318">
        <f t="shared" si="8"/>
        <v>46122.60417</v>
      </c>
    </row>
    <row r="1162">
      <c r="A1162" s="14" t="str">
        <f t="shared" si="1"/>
        <v>C154146122</v>
      </c>
      <c r="B1162" s="185">
        <f t="array" ref="B1162">IF(F1162="VL","",IF(F1162="Free","Free",XLOOKUP(D1162,Roster!T:T,Roster!S:S,"",0)))</f>
        <v>155</v>
      </c>
      <c r="C1162" s="313">
        <v>46122.0</v>
      </c>
      <c r="D1162" s="314" t="s">
        <v>33</v>
      </c>
      <c r="E1162" s="307" t="str">
        <f t="array" ref="E1162">(XLOOKUP(D1162,Roster!F:F,Roster!B:B,"",0))</f>
        <v>Gisel Moya</v>
      </c>
      <c r="F1162" s="315" t="str">
        <f t="array" ref="F1162">IF(B1162=100,"Free",TEXT(XLOOKUP($D1162,OperationVoice!$A:$A,OperationVoice!P:P,XLOOKUP($D1162,OperationTickets!$A:$A,OperationTickets!P:P,"",0)),"hh:mm"))</f>
        <v>11:00</v>
      </c>
      <c r="G1162" s="309">
        <f t="shared" si="3"/>
        <v>0.8333333333</v>
      </c>
      <c r="H1162" s="316" t="str">
        <f t="array" ref="H1162">XLOOKUP(B1162,Roster!L:L,Roster!N:N,XLOOKUP(D1162,TicketsBreak!A:A,TicketsBreak!E:E,"",0),0)</f>
        <v>13:15 - 13:30</v>
      </c>
      <c r="I1162" s="316" t="str">
        <f t="array" ref="I1162">XLOOKUP(B1162,Roster!L:L,Roster!O:O,XLOOKUP(D1162,TicketsBreak!A:A,TicketsBreak!F:F,"",0),0)</f>
        <v>15:45 - 16:15</v>
      </c>
      <c r="J1162" s="316" t="str">
        <f t="array" ref="J1162">XLOOKUP(B1162,Roster!L:L,Roster!P:P,XLOOKUP(D1162,TicketsBreak!A:A,TicketsBreak!G:G,"",0),0)</f>
        <v>18:15 - 18:30</v>
      </c>
      <c r="K1162" s="310">
        <f t="shared" si="4"/>
        <v>46122</v>
      </c>
      <c r="L1162" s="317">
        <f t="array" ref="L1162">(XLOOKUP(D1162,Roster!F:F,Roster!D:D,"",0))</f>
        <v>36</v>
      </c>
      <c r="M1162" s="317" t="str">
        <f t="array" ref="M1162">XLOOKUP(D1162,Roster!F:F,Roster!E:E)</f>
        <v>Voice</v>
      </c>
      <c r="N1162" s="317" t="str">
        <f t="shared" ref="N1162:P1162" si="1181">LEFT(H1162,5)</f>
        <v>13:15</v>
      </c>
      <c r="O1162" s="317" t="str">
        <f t="shared" si="1181"/>
        <v>15:45</v>
      </c>
      <c r="P1162" s="317" t="str">
        <f t="shared" si="1181"/>
        <v>18:15</v>
      </c>
      <c r="Q1162" s="318">
        <f t="shared" si="1090"/>
        <v>46122.55208</v>
      </c>
      <c r="R1162" s="318">
        <f t="shared" si="1091"/>
        <v>46122.65625</v>
      </c>
      <c r="S1162" s="318">
        <f t="shared" si="8"/>
        <v>46122.76042</v>
      </c>
    </row>
    <row r="1163">
      <c r="A1163" s="14" t="str">
        <f t="shared" si="1"/>
        <v>C86046122</v>
      </c>
      <c r="B1163" s="185" t="str">
        <f t="array" ref="B1163">IF(F1163="VL","",IF(F1163="Free","Free",XLOOKUP(D1163,Roster!T:T,Roster!S:S,"",0)))</f>
        <v/>
      </c>
      <c r="C1163" s="313">
        <v>46122.0</v>
      </c>
      <c r="D1163" s="314" t="s">
        <v>158</v>
      </c>
      <c r="E1163" s="307" t="str">
        <f t="array" ref="E1163">(XLOOKUP(D1163,Roster!F:F,Roster!B:B,"",0))</f>
        <v>Ief Fabre</v>
      </c>
      <c r="F1163" s="315" t="str">
        <f t="array" ref="F1163">IF(B1163=100,"Free",TEXT(XLOOKUP($D1163,OperationVoice!$A:$A,OperationVoice!P:P,XLOOKUP($D1163,OperationTickets!$A:$A,OperationTickets!P:P,"",0)),"hh:mm"))</f>
        <v>08:00</v>
      </c>
      <c r="G1163" s="309">
        <f t="shared" si="3"/>
        <v>0.7083333333</v>
      </c>
      <c r="H1163" s="316">
        <f t="array" ref="H1163">XLOOKUP(B1163,Roster!L:L,Roster!N:N,XLOOKUP(D1163,TicketsBreak!A:A,TicketsBreak!E:E,"",0),0)</f>
        <v>0.4166666667</v>
      </c>
      <c r="I1163" s="316">
        <f t="array" ref="I1163">XLOOKUP(B1163,Roster!L:L,Roster!O:O,XLOOKUP(D1163,TicketsBreak!A:A,TicketsBreak!F:F,"",0),0)</f>
        <v>0.5</v>
      </c>
      <c r="J1163" s="316">
        <f t="array" ref="J1163">XLOOKUP(B1163,Roster!L:L,Roster!P:P,XLOOKUP(D1163,TicketsBreak!A:A,TicketsBreak!G:G,"",0),0)</f>
        <v>0.625</v>
      </c>
      <c r="K1163" s="310">
        <f t="shared" si="4"/>
        <v>46122</v>
      </c>
      <c r="L1163" s="317">
        <f t="array" ref="L1163">(XLOOKUP(D1163,Roster!F:F,Roster!D:D,"",0))</f>
        <v>10</v>
      </c>
      <c r="M1163" s="317" t="str">
        <f t="array" ref="M1163">XLOOKUP(D1163,Roster!F:F,Roster!E:E)</f>
        <v>Tickets</v>
      </c>
      <c r="N1163" s="317" t="str">
        <f t="shared" ref="N1163:P1163" si="1182">LEFT(H1163,5)</f>
        <v>10:00</v>
      </c>
      <c r="O1163" s="317" t="str">
        <f t="shared" si="1182"/>
        <v>12:00</v>
      </c>
      <c r="P1163" s="317" t="str">
        <f t="shared" si="1182"/>
        <v>15:00</v>
      </c>
      <c r="Q1163" s="318">
        <f t="shared" si="1090"/>
        <v>46122.41667</v>
      </c>
      <c r="R1163" s="318">
        <f t="shared" si="1091"/>
        <v>46122.5</v>
      </c>
      <c r="S1163" s="318">
        <f t="shared" si="8"/>
        <v>46122.625</v>
      </c>
    </row>
    <row r="1164">
      <c r="A1164" s="14" t="str">
        <f t="shared" si="1"/>
        <v>C148146122</v>
      </c>
      <c r="B1164" s="185" t="str">
        <f t="array" ref="B1164">IF(F1164="VL","",IF(F1164="Free","Free",XLOOKUP(D1164,Roster!T:T,Roster!S:S,"",0)))</f>
        <v>Free</v>
      </c>
      <c r="C1164" s="313">
        <v>46122.0</v>
      </c>
      <c r="D1164" s="314" t="s">
        <v>34</v>
      </c>
      <c r="E1164" s="307" t="str">
        <f t="array" ref="E1164">(XLOOKUP(D1164,Roster!F:F,Roster!B:B,"",0))</f>
        <v>Jasam Mejia</v>
      </c>
      <c r="F1164" s="315" t="str">
        <f t="array" ref="F1164">IF(B1164=100,"Free",TEXT(XLOOKUP($D1164,OperationVoice!$A:$A,OperationVoice!P:P,XLOOKUP($D1164,OperationTickets!$A:$A,OperationTickets!P:P,"",0)),"hh:mm"))</f>
        <v>Free</v>
      </c>
      <c r="G1164" s="309" t="str">
        <f t="shared" si="3"/>
        <v>Free</v>
      </c>
      <c r="H1164" s="316" t="str">
        <f t="array" ref="H1164">XLOOKUP(B1164,Roster!L:L,Roster!N:N,XLOOKUP(D1164,TicketsBreak!A:A,TicketsBreak!E:E,"",0),0)</f>
        <v/>
      </c>
      <c r="I1164" s="316" t="str">
        <f t="array" ref="I1164">XLOOKUP(B1164,Roster!L:L,Roster!O:O,XLOOKUP(D1164,TicketsBreak!A:A,TicketsBreak!F:F,"",0),0)</f>
        <v/>
      </c>
      <c r="J1164" s="316" t="str">
        <f t="array" ref="J1164">XLOOKUP(B1164,Roster!L:L,Roster!P:P,XLOOKUP(D1164,TicketsBreak!A:A,TicketsBreak!G:G,"",0),0)</f>
        <v/>
      </c>
      <c r="K1164" s="310">
        <f t="shared" si="4"/>
        <v>46122</v>
      </c>
      <c r="L1164" s="317">
        <f t="array" ref="L1164">(XLOOKUP(D1164,Roster!F:F,Roster!D:D,"",0))</f>
        <v>34</v>
      </c>
      <c r="M1164" s="317" t="str">
        <f t="array" ref="M1164">XLOOKUP(D1164,Roster!F:F,Roster!E:E)</f>
        <v>Voice</v>
      </c>
      <c r="N1164" s="317" t="str">
        <f t="shared" ref="N1164:P1164" si="1183">LEFT(H1164,5)</f>
        <v/>
      </c>
      <c r="O1164" s="317" t="str">
        <f t="shared" si="1183"/>
        <v/>
      </c>
      <c r="P1164" s="317" t="str">
        <f t="shared" si="1183"/>
        <v/>
      </c>
      <c r="Q1164" s="318" t="str">
        <f t="shared" si="1090"/>
        <v/>
      </c>
      <c r="R1164" s="318" t="str">
        <f t="shared" si="1091"/>
        <v/>
      </c>
      <c r="S1164" s="318" t="str">
        <f t="shared" si="8"/>
        <v/>
      </c>
    </row>
    <row r="1165">
      <c r="A1165" s="14" t="str">
        <f t="shared" si="1"/>
        <v>C131846122</v>
      </c>
      <c r="B1165" s="185" t="str">
        <f t="array" ref="B1165">IF(F1165="VL","",IF(F1165="Free","Free",XLOOKUP(D1165,Roster!T:T,Roster!S:S,"",0)))</f>
        <v/>
      </c>
      <c r="C1165" s="313">
        <v>46122.0</v>
      </c>
      <c r="D1165" s="314" t="s">
        <v>159</v>
      </c>
      <c r="E1165" s="307" t="str">
        <f t="array" ref="E1165">(XLOOKUP(D1165,Roster!F:F,Roster!B:B,"",0))</f>
        <v>Jeampierre Jaramillo</v>
      </c>
      <c r="F1165" s="315" t="str">
        <f t="array" ref="F1165">IF(B1165=100,"Free",TEXT(XLOOKUP($D1165,OperationVoice!$A:$A,OperationVoice!P:P,XLOOKUP($D1165,OperationTickets!$A:$A,OperationTickets!P:P,"",0)),"hh:mm"))</f>
        <v>07:00</v>
      </c>
      <c r="G1165" s="309">
        <f t="shared" si="3"/>
        <v>0.6666666667</v>
      </c>
      <c r="H1165" s="316" t="str">
        <f t="array" ref="H1165">XLOOKUP(B1165,Roster!L:L,Roster!N:N,XLOOKUP(D1165,TicketsBreak!A:A,TicketsBreak!E:E,"",0),0)</f>
        <v/>
      </c>
      <c r="I1165" s="316" t="str">
        <f t="array" ref="I1165">XLOOKUP(B1165,Roster!L:L,Roster!O:O,XLOOKUP(D1165,TicketsBreak!A:A,TicketsBreak!F:F,"",0),0)</f>
        <v/>
      </c>
      <c r="J1165" s="316" t="str">
        <f t="array" ref="J1165">XLOOKUP(B1165,Roster!L:L,Roster!P:P,XLOOKUP(D1165,TicketsBreak!A:A,TicketsBreak!G:G,"",0),0)</f>
        <v/>
      </c>
      <c r="K1165" s="310">
        <f t="shared" si="4"/>
        <v>46122</v>
      </c>
      <c r="L1165" s="317">
        <f t="array" ref="L1165">(XLOOKUP(D1165,Roster!F:F,Roster!D:D,"",0))</f>
        <v>29</v>
      </c>
      <c r="M1165" s="317" t="str">
        <f t="array" ref="M1165">XLOOKUP(D1165,Roster!F:F,Roster!E:E)</f>
        <v>Tickets</v>
      </c>
      <c r="N1165" s="317" t="str">
        <f t="shared" ref="N1165:P1165" si="1184">LEFT(H1165,5)</f>
        <v/>
      </c>
      <c r="O1165" s="317" t="str">
        <f t="shared" si="1184"/>
        <v/>
      </c>
      <c r="P1165" s="317" t="str">
        <f t="shared" si="1184"/>
        <v/>
      </c>
      <c r="Q1165" s="318" t="str">
        <f t="shared" si="1090"/>
        <v/>
      </c>
      <c r="R1165" s="318" t="str">
        <f t="shared" si="1091"/>
        <v/>
      </c>
      <c r="S1165" s="318" t="str">
        <f t="shared" si="8"/>
        <v/>
      </c>
    </row>
    <row r="1166">
      <c r="A1166" s="14" t="str">
        <f t="shared" si="1"/>
        <v>C155046122</v>
      </c>
      <c r="B1166" s="185">
        <f t="array" ref="B1166">IF(F1166="VL","",IF(F1166="Free","Free",XLOOKUP(D1166,Roster!T:T,Roster!S:S,"",0)))</f>
        <v>126</v>
      </c>
      <c r="C1166" s="313">
        <v>46122.0</v>
      </c>
      <c r="D1166" s="314" t="s">
        <v>35</v>
      </c>
      <c r="E1166" s="307" t="str">
        <f t="array" ref="E1166">(XLOOKUP(D1166,Roster!F:F,Roster!B:B,"",0))</f>
        <v>Jeidin Vargas</v>
      </c>
      <c r="F1166" s="315" t="str">
        <f t="array" ref="F1166">IF(B1166=100,"Free",TEXT(XLOOKUP($D1166,OperationVoice!$A:$A,OperationVoice!P:P,XLOOKUP($D1166,OperationTickets!$A:$A,OperationTickets!P:P,"",0)),"hh:mm"))</f>
        <v>08:00</v>
      </c>
      <c r="G1166" s="309">
        <f t="shared" si="3"/>
        <v>0.7083333333</v>
      </c>
      <c r="H1166" s="316" t="str">
        <f t="array" ref="H1166">XLOOKUP(B1166,Roster!L:L,Roster!N:N,XLOOKUP(D1166,TicketsBreak!A:A,TicketsBreak!E:E,"",0),0)</f>
        <v>10:45 - 11:00</v>
      </c>
      <c r="I1166" s="316" t="str">
        <f t="array" ref="I1166">XLOOKUP(B1166,Roster!L:L,Roster!O:O,XLOOKUP(D1166,TicketsBreak!A:A,TicketsBreak!F:F,"",0),0)</f>
        <v>14:00 - 14:30</v>
      </c>
      <c r="J1166" s="316" t="str">
        <f t="array" ref="J1166">XLOOKUP(B1166,Roster!L:L,Roster!P:P,XLOOKUP(D1166,TicketsBreak!A:A,TicketsBreak!G:G,"",0),0)</f>
        <v>15:45 - 16:00</v>
      </c>
      <c r="K1166" s="310">
        <f t="shared" si="4"/>
        <v>46122</v>
      </c>
      <c r="L1166" s="317">
        <f t="array" ref="L1166">(XLOOKUP(D1166,Roster!F:F,Roster!D:D,"",0))</f>
        <v>37</v>
      </c>
      <c r="M1166" s="317" t="str">
        <f t="array" ref="M1166">XLOOKUP(D1166,Roster!F:F,Roster!E:E)</f>
        <v>Voice</v>
      </c>
      <c r="N1166" s="317" t="str">
        <f t="shared" ref="N1166:P1166" si="1185">LEFT(H1166,5)</f>
        <v>10:45</v>
      </c>
      <c r="O1166" s="317" t="str">
        <f t="shared" si="1185"/>
        <v>14:00</v>
      </c>
      <c r="P1166" s="317" t="str">
        <f t="shared" si="1185"/>
        <v>15:45</v>
      </c>
      <c r="Q1166" s="318">
        <f t="shared" si="1090"/>
        <v>46122.44792</v>
      </c>
      <c r="R1166" s="318">
        <f t="shared" si="1091"/>
        <v>46122.58333</v>
      </c>
      <c r="S1166" s="318">
        <f t="shared" si="8"/>
        <v>46122.65625</v>
      </c>
    </row>
    <row r="1167">
      <c r="A1167" s="14" t="str">
        <f t="shared" si="1"/>
        <v>C51246122</v>
      </c>
      <c r="B1167" s="185">
        <f t="array" ref="B1167">IF(F1167="VL","",IF(F1167="Free","Free",XLOOKUP(D1167,Roster!T:T,Roster!S:S,"",0)))</f>
        <v>122</v>
      </c>
      <c r="C1167" s="313">
        <v>46122.0</v>
      </c>
      <c r="D1167" s="314" t="s">
        <v>36</v>
      </c>
      <c r="E1167" s="307" t="str">
        <f t="array" ref="E1167">(XLOOKUP(D1167,Roster!F:F,Roster!B:B,"",0))</f>
        <v>Jhoam Quiroz</v>
      </c>
      <c r="F1167" s="315" t="str">
        <f t="array" ref="F1167">IF(B1167=100,"Free",TEXT(XLOOKUP($D1167,OperationVoice!$A:$A,OperationVoice!P:P,XLOOKUP($D1167,OperationTickets!$A:$A,OperationTickets!P:P,"",0)),"hh:mm"))</f>
        <v>08:00</v>
      </c>
      <c r="G1167" s="309">
        <f t="shared" si="3"/>
        <v>0.7083333333</v>
      </c>
      <c r="H1167" s="316" t="str">
        <f t="array" ref="H1167">XLOOKUP(B1167,Roster!L:L,Roster!N:N,XLOOKUP(D1167,TicketsBreak!A:A,TicketsBreak!E:E,"",0),0)</f>
        <v>09:30 - 09:45</v>
      </c>
      <c r="I1167" s="316" t="str">
        <f t="array" ref="I1167">XLOOKUP(B1167,Roster!L:L,Roster!O:O,XLOOKUP(D1167,TicketsBreak!A:A,TicketsBreak!F:F,"",0),0)</f>
        <v>12:00 - 12:30</v>
      </c>
      <c r="J1167" s="316" t="str">
        <f t="array" ref="J1167">XLOOKUP(B1167,Roster!L:L,Roster!P:P,XLOOKUP(D1167,TicketsBreak!A:A,TicketsBreak!G:G,"",0),0)</f>
        <v>14:45 - 15:00</v>
      </c>
      <c r="K1167" s="310">
        <f t="shared" si="4"/>
        <v>46122</v>
      </c>
      <c r="L1167" s="317">
        <f t="array" ref="L1167">(XLOOKUP(D1167,Roster!F:F,Roster!D:D,"",0))</f>
        <v>1</v>
      </c>
      <c r="M1167" s="317" t="str">
        <f t="array" ref="M1167">XLOOKUP(D1167,Roster!F:F,Roster!E:E)</f>
        <v>Voice</v>
      </c>
      <c r="N1167" s="317" t="str">
        <f t="shared" ref="N1167:P1167" si="1186">LEFT(H1167,5)</f>
        <v>09:30</v>
      </c>
      <c r="O1167" s="317" t="str">
        <f t="shared" si="1186"/>
        <v>12:00</v>
      </c>
      <c r="P1167" s="317" t="str">
        <f t="shared" si="1186"/>
        <v>14:45</v>
      </c>
      <c r="Q1167" s="318">
        <f t="shared" si="1090"/>
        <v>46122.39583</v>
      </c>
      <c r="R1167" s="318">
        <f t="shared" si="1091"/>
        <v>46122.5</v>
      </c>
      <c r="S1167" s="318">
        <f t="shared" si="8"/>
        <v>46122.61458</v>
      </c>
    </row>
    <row r="1168">
      <c r="A1168" s="14" t="str">
        <f t="shared" si="1"/>
        <v>C150946122</v>
      </c>
      <c r="B1168" s="185">
        <f t="array" ref="B1168">IF(F1168="VL","",IF(F1168="Free","Free",XLOOKUP(D1168,Roster!T:T,Roster!S:S,"",0)))</f>
        <v>121</v>
      </c>
      <c r="C1168" s="313">
        <v>46122.0</v>
      </c>
      <c r="D1168" s="314" t="s">
        <v>37</v>
      </c>
      <c r="E1168" s="307" t="str">
        <f t="array" ref="E1168">(XLOOKUP(D1168,Roster!F:F,Roster!B:B,"",0))</f>
        <v>Jhonatan Gomez</v>
      </c>
      <c r="F1168" s="315" t="str">
        <f t="array" ref="F1168">IF(B1168=100,"Free",TEXT(XLOOKUP($D1168,OperationVoice!$A:$A,OperationVoice!P:P,XLOOKUP($D1168,OperationTickets!$A:$A,OperationTickets!P:P,"",0)),"hh:mm"))</f>
        <v>08:00</v>
      </c>
      <c r="G1168" s="309">
        <f t="shared" si="3"/>
        <v>0.7083333333</v>
      </c>
      <c r="H1168" s="316" t="str">
        <f t="array" ref="H1168">XLOOKUP(B1168,Roster!L:L,Roster!N:N,XLOOKUP(D1168,TicketsBreak!A:A,TicketsBreak!E:E,"",0),0)</f>
        <v>09:15 - 09:30</v>
      </c>
      <c r="I1168" s="316" t="str">
        <f t="array" ref="I1168">XLOOKUP(B1168,Roster!L:L,Roster!O:O,XLOOKUP(D1168,TicketsBreak!A:A,TicketsBreak!F:F,"",0),0)</f>
        <v>11:30 - 12:00</v>
      </c>
      <c r="J1168" s="316" t="str">
        <f t="array" ref="J1168">XLOOKUP(B1168,Roster!L:L,Roster!P:P,XLOOKUP(D1168,TicketsBreak!A:A,TicketsBreak!G:G,"",0),0)</f>
        <v>14:30 - 14:45</v>
      </c>
      <c r="K1168" s="310">
        <f t="shared" si="4"/>
        <v>46122</v>
      </c>
      <c r="L1168" s="317">
        <f t="array" ref="L1168">(XLOOKUP(D1168,Roster!F:F,Roster!D:D,"",0))</f>
        <v>35</v>
      </c>
      <c r="M1168" s="317" t="str">
        <f t="array" ref="M1168">XLOOKUP(D1168,Roster!F:F,Roster!E:E)</f>
        <v>Voice</v>
      </c>
      <c r="N1168" s="317" t="str">
        <f t="shared" ref="N1168:P1168" si="1187">LEFT(H1168,5)</f>
        <v>09:15</v>
      </c>
      <c r="O1168" s="317" t="str">
        <f t="shared" si="1187"/>
        <v>11:30</v>
      </c>
      <c r="P1168" s="317" t="str">
        <f t="shared" si="1187"/>
        <v>14:30</v>
      </c>
      <c r="Q1168" s="318">
        <f t="shared" si="1090"/>
        <v>46122.38542</v>
      </c>
      <c r="R1168" s="318">
        <f t="shared" si="1091"/>
        <v>46122.47917</v>
      </c>
      <c r="S1168" s="318">
        <f t="shared" si="8"/>
        <v>46122.60417</v>
      </c>
    </row>
    <row r="1169">
      <c r="A1169" s="14" t="str">
        <f t="shared" si="1"/>
        <v>C151546122</v>
      </c>
      <c r="B1169" s="185">
        <f t="array" ref="B1169">IF(F1169="VL","",IF(F1169="Free","Free",XLOOKUP(D1169,Roster!T:T,Roster!S:S,"",0)))</f>
        <v>151</v>
      </c>
      <c r="C1169" s="313">
        <v>46122.0</v>
      </c>
      <c r="D1169" s="314" t="s">
        <v>38</v>
      </c>
      <c r="E1169" s="307" t="str">
        <f t="array" ref="E1169">(XLOOKUP(D1169,Roster!F:F,Roster!B:B,"",0))</f>
        <v>Joan Perez</v>
      </c>
      <c r="F1169" s="315" t="str">
        <f t="array" ref="F1169">IF(B1169=100,"Free",TEXT(XLOOKUP($D1169,OperationVoice!$A:$A,OperationVoice!P:P,XLOOKUP($D1169,OperationTickets!$A:$A,OperationTickets!P:P,"",0)),"hh:mm"))</f>
        <v/>
      </c>
      <c r="G1169" s="309" t="str">
        <f t="shared" si="3"/>
        <v/>
      </c>
      <c r="H1169" s="316" t="str">
        <f t="array" ref="H1169">XLOOKUP(B1169,Roster!L:L,Roster!N:N,XLOOKUP(D1169,TicketsBreak!A:A,TicketsBreak!E:E,"",0),0)</f>
        <v>12:15 - 12:30</v>
      </c>
      <c r="I1169" s="316" t="str">
        <f t="array" ref="I1169">XLOOKUP(B1169,Roster!L:L,Roster!O:O,XLOOKUP(D1169,TicketsBreak!A:A,TicketsBreak!F:F,"",0),0)</f>
        <v>14:00 - 14:30</v>
      </c>
      <c r="J1169" s="316" t="str">
        <f t="array" ref="J1169">XLOOKUP(B1169,Roster!L:L,Roster!P:P,XLOOKUP(D1169,TicketsBreak!A:A,TicketsBreak!G:G,"",0),0)</f>
        <v>17:15 - 17:30</v>
      </c>
      <c r="K1169" s="310">
        <f t="shared" si="4"/>
        <v>46122</v>
      </c>
      <c r="L1169" s="317">
        <f t="array" ref="L1169">(XLOOKUP(D1169,Roster!F:F,Roster!D:D,"",0))</f>
        <v>35</v>
      </c>
      <c r="M1169" s="317" t="str">
        <f t="array" ref="M1169">XLOOKUP(D1169,Roster!F:F,Roster!E:E)</f>
        <v>Voice</v>
      </c>
      <c r="N1169" s="317" t="str">
        <f t="shared" ref="N1169:P1169" si="1188">LEFT(H1169,5)</f>
        <v>12:15</v>
      </c>
      <c r="O1169" s="317" t="str">
        <f t="shared" si="1188"/>
        <v>14:00</v>
      </c>
      <c r="P1169" s="317" t="str">
        <f t="shared" si="1188"/>
        <v>17:15</v>
      </c>
      <c r="Q1169" s="318">
        <f t="shared" si="1090"/>
        <v>46122.51042</v>
      </c>
      <c r="R1169" s="318">
        <f t="shared" si="1091"/>
        <v>46122.58333</v>
      </c>
      <c r="S1169" s="318">
        <f t="shared" si="8"/>
        <v>46122.71875</v>
      </c>
    </row>
    <row r="1170">
      <c r="A1170" s="14" t="str">
        <f t="shared" si="1"/>
        <v>C128946122</v>
      </c>
      <c r="B1170" s="185" t="str">
        <f t="array" ref="B1170">IF(F1170="VL","",IF(F1170="Free","Free",XLOOKUP(D1170,Roster!T:T,Roster!S:S,"",0)))</f>
        <v/>
      </c>
      <c r="C1170" s="313">
        <v>46122.0</v>
      </c>
      <c r="D1170" s="314" t="s">
        <v>140</v>
      </c>
      <c r="E1170" s="307" t="str">
        <f t="array" ref="E1170">(XLOOKUP(D1170,Roster!F:F,Roster!B:B,"",0))</f>
        <v>Johana Villarreal</v>
      </c>
      <c r="F1170" s="315" t="str">
        <f t="array" ref="F1170">IF(B1170=100,"Free",TEXT(XLOOKUP($D1170,OperationVoice!$A:$A,OperationVoice!P:P,XLOOKUP($D1170,OperationTickets!$A:$A,OperationTickets!P:P,"",0)),"hh:mm"))</f>
        <v>07:00</v>
      </c>
      <c r="G1170" s="309">
        <f t="shared" si="3"/>
        <v>0.6666666667</v>
      </c>
      <c r="H1170" s="316" t="str">
        <f t="array" ref="H1170">XLOOKUP(B1170,Roster!L:L,Roster!N:N,XLOOKUP(D1170,TicketsBreak!A:A,TicketsBreak!E:E,"",0),0)</f>
        <v/>
      </c>
      <c r="I1170" s="316" t="str">
        <f t="array" ref="I1170">XLOOKUP(B1170,Roster!L:L,Roster!O:O,XLOOKUP(D1170,TicketsBreak!A:A,TicketsBreak!F:F,"",0),0)</f>
        <v/>
      </c>
      <c r="J1170" s="316" t="str">
        <f t="array" ref="J1170">XLOOKUP(B1170,Roster!L:L,Roster!P:P,XLOOKUP(D1170,TicketsBreak!A:A,TicketsBreak!G:G,"",0),0)</f>
        <v/>
      </c>
      <c r="K1170" s="310">
        <f t="shared" si="4"/>
        <v>46122</v>
      </c>
      <c r="L1170" s="317">
        <f t="array" ref="L1170">(XLOOKUP(D1170,Roster!F:F,Roster!D:D,"",0))</f>
        <v>28</v>
      </c>
      <c r="M1170" s="317" t="str">
        <f t="array" ref="M1170">XLOOKUP(D1170,Roster!F:F,Roster!E:E)</f>
        <v>Tickets</v>
      </c>
      <c r="N1170" s="317" t="str">
        <f t="shared" ref="N1170:P1170" si="1189">LEFT(H1170,5)</f>
        <v/>
      </c>
      <c r="O1170" s="317" t="str">
        <f t="shared" si="1189"/>
        <v/>
      </c>
      <c r="P1170" s="317" t="str">
        <f t="shared" si="1189"/>
        <v/>
      </c>
      <c r="Q1170" s="318" t="str">
        <f t="shared" si="1090"/>
        <v/>
      </c>
      <c r="R1170" s="318" t="str">
        <f t="shared" si="1091"/>
        <v/>
      </c>
      <c r="S1170" s="318" t="str">
        <f t="shared" si="8"/>
        <v/>
      </c>
    </row>
    <row r="1171">
      <c r="A1171" s="14" t="str">
        <f t="shared" si="1"/>
        <v>C155146122</v>
      </c>
      <c r="B1171" s="185" t="str">
        <f t="array" ref="B1171">IF(F1171="VL","",IF(F1171="Free","Free",XLOOKUP(D1171,Roster!T:T,Roster!S:S,"",0)))</f>
        <v>Free</v>
      </c>
      <c r="C1171" s="313">
        <v>46122.0</v>
      </c>
      <c r="D1171" s="314" t="s">
        <v>39</v>
      </c>
      <c r="E1171" s="307" t="str">
        <f t="array" ref="E1171">(XLOOKUP(D1171,Roster!F:F,Roster!B:B,"",0))</f>
        <v>John Atilano</v>
      </c>
      <c r="F1171" s="315" t="str">
        <f t="array" ref="F1171">IF(B1171=100,"Free",TEXT(XLOOKUP($D1171,OperationVoice!$A:$A,OperationVoice!P:P,XLOOKUP($D1171,OperationTickets!$A:$A,OperationTickets!P:P,"",0)),"hh:mm"))</f>
        <v>Free</v>
      </c>
      <c r="G1171" s="309" t="str">
        <f t="shared" si="3"/>
        <v>Free</v>
      </c>
      <c r="H1171" s="316" t="str">
        <f t="array" ref="H1171">XLOOKUP(B1171,Roster!L:L,Roster!N:N,XLOOKUP(D1171,TicketsBreak!A:A,TicketsBreak!E:E,"",0),0)</f>
        <v/>
      </c>
      <c r="I1171" s="316" t="str">
        <f t="array" ref="I1171">XLOOKUP(B1171,Roster!L:L,Roster!O:O,XLOOKUP(D1171,TicketsBreak!A:A,TicketsBreak!F:F,"",0),0)</f>
        <v/>
      </c>
      <c r="J1171" s="316" t="str">
        <f t="array" ref="J1171">XLOOKUP(B1171,Roster!L:L,Roster!P:P,XLOOKUP(D1171,TicketsBreak!A:A,TicketsBreak!G:G,"",0),0)</f>
        <v/>
      </c>
      <c r="K1171" s="310">
        <f t="shared" si="4"/>
        <v>46122</v>
      </c>
      <c r="L1171" s="317">
        <f t="array" ref="L1171">(XLOOKUP(D1171,Roster!F:F,Roster!D:D,"",0))</f>
        <v>37</v>
      </c>
      <c r="M1171" s="317" t="str">
        <f t="array" ref="M1171">XLOOKUP(D1171,Roster!F:F,Roster!E:E)</f>
        <v>Voice</v>
      </c>
      <c r="N1171" s="317" t="str">
        <f t="shared" ref="N1171:P1171" si="1190">LEFT(H1171,5)</f>
        <v/>
      </c>
      <c r="O1171" s="317" t="str">
        <f t="shared" si="1190"/>
        <v/>
      </c>
      <c r="P1171" s="317" t="str">
        <f t="shared" si="1190"/>
        <v/>
      </c>
      <c r="Q1171" s="318" t="str">
        <f t="shared" si="1090"/>
        <v/>
      </c>
      <c r="R1171" s="318" t="str">
        <f t="shared" si="1091"/>
        <v/>
      </c>
      <c r="S1171" s="318" t="str">
        <f t="shared" si="8"/>
        <v/>
      </c>
    </row>
    <row r="1172">
      <c r="A1172" s="14" t="str">
        <f t="shared" si="1"/>
        <v>C154346122</v>
      </c>
      <c r="B1172" s="185">
        <f t="array" ref="B1172">IF(F1172="VL","",IF(F1172="Free","Free",XLOOKUP(D1172,Roster!T:T,Roster!S:S,"",0)))</f>
        <v>134</v>
      </c>
      <c r="C1172" s="313">
        <v>46122.0</v>
      </c>
      <c r="D1172" s="314" t="s">
        <v>40</v>
      </c>
      <c r="E1172" s="307" t="str">
        <f t="array" ref="E1172">(XLOOKUP(D1172,Roster!F:F,Roster!B:B,"",0))</f>
        <v>John Palacio</v>
      </c>
      <c r="F1172" s="315" t="str">
        <f t="array" ref="F1172">IF(B1172=100,"Free",TEXT(XLOOKUP($D1172,OperationVoice!$A:$A,OperationVoice!P:P,XLOOKUP($D1172,OperationTickets!$A:$A,OperationTickets!P:P,"",0)),"hh:mm"))</f>
        <v>09:00</v>
      </c>
      <c r="G1172" s="309">
        <f t="shared" si="3"/>
        <v>0.75</v>
      </c>
      <c r="H1172" s="316" t="str">
        <f t="array" ref="H1172">XLOOKUP(B1172,Roster!L:L,Roster!N:N,XLOOKUP(D1172,TicketsBreak!A:A,TicketsBreak!E:E,"",0),0)</f>
        <v>11:00 - 11:15</v>
      </c>
      <c r="I1172" s="316" t="str">
        <f t="array" ref="I1172">XLOOKUP(B1172,Roster!L:L,Roster!O:O,XLOOKUP(D1172,TicketsBreak!A:A,TicketsBreak!F:F,"",0),0)</f>
        <v>13:45 - 14:15</v>
      </c>
      <c r="J1172" s="316" t="str">
        <f t="array" ref="J1172">XLOOKUP(B1172,Roster!L:L,Roster!P:P,XLOOKUP(D1172,TicketsBreak!A:A,TicketsBreak!G:G,"",0),0)</f>
        <v>16:00 - 16:15</v>
      </c>
      <c r="K1172" s="310">
        <f t="shared" si="4"/>
        <v>46122</v>
      </c>
      <c r="L1172" s="317">
        <f t="array" ref="L1172">(XLOOKUP(D1172,Roster!F:F,Roster!D:D,"",0))</f>
        <v>36</v>
      </c>
      <c r="M1172" s="317" t="str">
        <f t="array" ref="M1172">XLOOKUP(D1172,Roster!F:F,Roster!E:E)</f>
        <v>Voice</v>
      </c>
      <c r="N1172" s="317" t="str">
        <f t="shared" ref="N1172:P1172" si="1191">LEFT(H1172,5)</f>
        <v>11:00</v>
      </c>
      <c r="O1172" s="317" t="str">
        <f t="shared" si="1191"/>
        <v>13:45</v>
      </c>
      <c r="P1172" s="317" t="str">
        <f t="shared" si="1191"/>
        <v>16:00</v>
      </c>
      <c r="Q1172" s="318">
        <f t="shared" si="1090"/>
        <v>46122.45833</v>
      </c>
      <c r="R1172" s="318">
        <f t="shared" si="1091"/>
        <v>46122.57292</v>
      </c>
      <c r="S1172" s="318">
        <f t="shared" si="8"/>
        <v>46122.66667</v>
      </c>
    </row>
    <row r="1173">
      <c r="A1173" s="14" t="str">
        <f t="shared" si="1"/>
        <v>C154246122</v>
      </c>
      <c r="B1173" s="185">
        <f t="array" ref="B1173">IF(F1173="VL","",IF(F1173="Free","Free",XLOOKUP(D1173,Roster!T:T,Roster!S:S,"",0)))</f>
        <v>124</v>
      </c>
      <c r="C1173" s="313">
        <v>46122.0</v>
      </c>
      <c r="D1173" s="314" t="s">
        <v>41</v>
      </c>
      <c r="E1173" s="307" t="str">
        <f t="array" ref="E1173">(XLOOKUP(D1173,Roster!F:F,Roster!B:B,"",0))</f>
        <v>Johny Garcia</v>
      </c>
      <c r="F1173" s="315" t="str">
        <f t="array" ref="F1173">IF(B1173=100,"Free",TEXT(XLOOKUP($D1173,OperationVoice!$A:$A,OperationVoice!P:P,XLOOKUP($D1173,OperationTickets!$A:$A,OperationTickets!P:P,"",0)),"hh:mm"))</f>
        <v>08:00</v>
      </c>
      <c r="G1173" s="309">
        <f t="shared" si="3"/>
        <v>0.7083333333</v>
      </c>
      <c r="H1173" s="316" t="str">
        <f t="array" ref="H1173">XLOOKUP(B1173,Roster!L:L,Roster!N:N,XLOOKUP(D1173,TicketsBreak!A:A,TicketsBreak!E:E,"",0),0)</f>
        <v>10:00 - 10:15</v>
      </c>
      <c r="I1173" s="316" t="str">
        <f t="array" ref="I1173">XLOOKUP(B1173,Roster!L:L,Roster!O:O,XLOOKUP(D1173,TicketsBreak!A:A,TicketsBreak!F:F,"",0),0)</f>
        <v>13:00 - 13:30</v>
      </c>
      <c r="J1173" s="316" t="str">
        <f t="array" ref="J1173">XLOOKUP(B1173,Roster!L:L,Roster!P:P,XLOOKUP(D1173,TicketsBreak!A:A,TicketsBreak!G:G,"",0),0)</f>
        <v>15:30 - 15:45</v>
      </c>
      <c r="K1173" s="310">
        <f t="shared" si="4"/>
        <v>46122</v>
      </c>
      <c r="L1173" s="317">
        <f t="array" ref="L1173">(XLOOKUP(D1173,Roster!F:F,Roster!D:D,"",0))</f>
        <v>36</v>
      </c>
      <c r="M1173" s="317" t="str">
        <f t="array" ref="M1173">XLOOKUP(D1173,Roster!F:F,Roster!E:E)</f>
        <v>Voice</v>
      </c>
      <c r="N1173" s="317" t="str">
        <f t="shared" ref="N1173:P1173" si="1192">LEFT(H1173,5)</f>
        <v>10:00</v>
      </c>
      <c r="O1173" s="317" t="str">
        <f t="shared" si="1192"/>
        <v>13:00</v>
      </c>
      <c r="P1173" s="317" t="str">
        <f t="shared" si="1192"/>
        <v>15:30</v>
      </c>
      <c r="Q1173" s="318">
        <f t="shared" si="1090"/>
        <v>46122.41667</v>
      </c>
      <c r="R1173" s="318">
        <f t="shared" si="1091"/>
        <v>46122.54167</v>
      </c>
      <c r="S1173" s="318">
        <f t="shared" si="8"/>
        <v>46122.64583</v>
      </c>
    </row>
    <row r="1174">
      <c r="A1174" s="14" t="str">
        <f t="shared" si="1"/>
        <v>C156946122</v>
      </c>
      <c r="B1174" s="185">
        <f t="array" ref="B1174">IF(F1174="VL","",IF(F1174="Free","Free",XLOOKUP(D1174,Roster!T:T,Roster!S:S,"",0)))</f>
        <v>121</v>
      </c>
      <c r="C1174" s="313">
        <v>46122.0</v>
      </c>
      <c r="D1174" s="314" t="s">
        <v>42</v>
      </c>
      <c r="E1174" s="307" t="str">
        <f t="array" ref="E1174">(XLOOKUP(D1174,Roster!F:F,Roster!B:B,"",0))</f>
        <v>Jorge Orozco</v>
      </c>
      <c r="F1174" s="315" t="str">
        <f t="array" ref="F1174">IF(B1174=100,"Free",TEXT(XLOOKUP($D1174,OperationVoice!$A:$A,OperationVoice!P:P,XLOOKUP($D1174,OperationTickets!$A:$A,OperationTickets!P:P,"",0)),"hh:mm"))</f>
        <v>08:00</v>
      </c>
      <c r="G1174" s="309">
        <f t="shared" si="3"/>
        <v>0.7083333333</v>
      </c>
      <c r="H1174" s="316" t="str">
        <f t="array" ref="H1174">XLOOKUP(B1174,Roster!L:L,Roster!N:N,XLOOKUP(D1174,TicketsBreak!A:A,TicketsBreak!E:E,"",0),0)</f>
        <v>09:15 - 09:30</v>
      </c>
      <c r="I1174" s="316" t="str">
        <f t="array" ref="I1174">XLOOKUP(B1174,Roster!L:L,Roster!O:O,XLOOKUP(D1174,TicketsBreak!A:A,TicketsBreak!F:F,"",0),0)</f>
        <v>11:30 - 12:00</v>
      </c>
      <c r="J1174" s="316" t="str">
        <f t="array" ref="J1174">XLOOKUP(B1174,Roster!L:L,Roster!P:P,XLOOKUP(D1174,TicketsBreak!A:A,TicketsBreak!G:G,"",0),0)</f>
        <v>14:30 - 14:45</v>
      </c>
      <c r="K1174" s="310">
        <f t="shared" si="4"/>
        <v>46122</v>
      </c>
      <c r="L1174" s="317">
        <f t="array" ref="L1174">(XLOOKUP(D1174,Roster!F:F,Roster!D:D,"",0))</f>
        <v>38</v>
      </c>
      <c r="M1174" s="317" t="str">
        <f t="array" ref="M1174">XLOOKUP(D1174,Roster!F:F,Roster!E:E)</f>
        <v>Voice</v>
      </c>
      <c r="N1174" s="317" t="str">
        <f t="shared" ref="N1174:P1174" si="1193">LEFT(H1174,5)</f>
        <v>09:15</v>
      </c>
      <c r="O1174" s="317" t="str">
        <f t="shared" si="1193"/>
        <v>11:30</v>
      </c>
      <c r="P1174" s="317" t="str">
        <f t="shared" si="1193"/>
        <v>14:30</v>
      </c>
      <c r="Q1174" s="318">
        <f t="shared" si="1090"/>
        <v>46122.38542</v>
      </c>
      <c r="R1174" s="318">
        <f t="shared" si="1091"/>
        <v>46122.47917</v>
      </c>
      <c r="S1174" s="318">
        <f t="shared" si="8"/>
        <v>46122.60417</v>
      </c>
    </row>
    <row r="1175">
      <c r="A1175" s="14" t="str">
        <f t="shared" si="1"/>
        <v>C102746122</v>
      </c>
      <c r="B1175" s="185" t="str">
        <f t="array" ref="B1175">IF(F1175="VL","",IF(F1175="Free","Free",XLOOKUP(D1175,Roster!T:T,Roster!S:S,"",0)))</f>
        <v/>
      </c>
      <c r="C1175" s="313">
        <v>46122.0</v>
      </c>
      <c r="D1175" s="314" t="s">
        <v>160</v>
      </c>
      <c r="E1175" s="307" t="str">
        <f t="array" ref="E1175">(XLOOKUP(D1175,Roster!F:F,Roster!B:B,"",0))</f>
        <v>Jose Perez</v>
      </c>
      <c r="F1175" s="315" t="str">
        <f t="array" ref="F1175">IF(B1175=100,"Free",TEXT(XLOOKUP($D1175,OperationVoice!$A:$A,OperationVoice!P:P,XLOOKUP($D1175,OperationTickets!$A:$A,OperationTickets!P:P,"",0)),"hh:mm"))</f>
        <v>VL</v>
      </c>
      <c r="G1175" s="309" t="str">
        <f t="shared" si="3"/>
        <v>VL</v>
      </c>
      <c r="H1175" s="316">
        <f t="array" ref="H1175">XLOOKUP(B1175,Roster!L:L,Roster!N:N,XLOOKUP(D1175,TicketsBreak!A:A,TicketsBreak!E:E,"",0),0)</f>
        <v>0.4166666667</v>
      </c>
      <c r="I1175" s="316">
        <f t="array" ref="I1175">XLOOKUP(B1175,Roster!L:L,Roster!O:O,XLOOKUP(D1175,TicketsBreak!A:A,TicketsBreak!F:F,"",0),0)</f>
        <v>0.5208333333</v>
      </c>
      <c r="J1175" s="316">
        <f t="array" ref="J1175">XLOOKUP(B1175,Roster!L:L,Roster!P:P,XLOOKUP(D1175,TicketsBreak!A:A,TicketsBreak!G:G,"",0),0)</f>
        <v>0.6354166667</v>
      </c>
      <c r="K1175" s="310">
        <f t="shared" si="4"/>
        <v>46122</v>
      </c>
      <c r="L1175" s="317">
        <f t="array" ref="L1175">(XLOOKUP(D1175,Roster!F:F,Roster!D:D,"",0))</f>
        <v>15</v>
      </c>
      <c r="M1175" s="317" t="str">
        <f t="array" ref="M1175">XLOOKUP(D1175,Roster!F:F,Roster!E:E)</f>
        <v>Tickets</v>
      </c>
      <c r="N1175" s="317" t="str">
        <f t="shared" ref="N1175:P1175" si="1194">LEFT(H1175,5)</f>
        <v>10:00</v>
      </c>
      <c r="O1175" s="317" t="str">
        <f t="shared" si="1194"/>
        <v>12:30</v>
      </c>
      <c r="P1175" s="317" t="str">
        <f t="shared" si="1194"/>
        <v>15:15</v>
      </c>
      <c r="Q1175" s="318">
        <f t="shared" si="1090"/>
        <v>46122.41667</v>
      </c>
      <c r="R1175" s="318">
        <f t="shared" si="1091"/>
        <v>46122.52083</v>
      </c>
      <c r="S1175" s="318">
        <f t="shared" si="8"/>
        <v>46122.63542</v>
      </c>
    </row>
    <row r="1176">
      <c r="A1176" s="14" t="str">
        <f t="shared" si="1"/>
        <v>C142646122</v>
      </c>
      <c r="B1176" s="185" t="str">
        <f t="array" ref="B1176">IF(F1176="VL","",IF(F1176="Free","Free",XLOOKUP(D1176,Roster!T:T,Roster!S:S,"",0)))</f>
        <v>Free</v>
      </c>
      <c r="C1176" s="313">
        <v>46122.0</v>
      </c>
      <c r="D1176" s="314" t="s">
        <v>161</v>
      </c>
      <c r="E1176" s="307" t="str">
        <f t="array" ref="E1176">(XLOOKUP(D1176,Roster!F:F,Roster!B:B,"",0))</f>
        <v>Jose Zapata</v>
      </c>
      <c r="F1176" s="315" t="str">
        <f t="array" ref="F1176">IF(B1176=100,"Free",TEXT(XLOOKUP($D1176,OperationVoice!$A:$A,OperationVoice!P:P,XLOOKUP($D1176,OperationTickets!$A:$A,OperationTickets!P:P,"",0)),"hh:mm"))</f>
        <v>Free</v>
      </c>
      <c r="G1176" s="309" t="str">
        <f t="shared" si="3"/>
        <v>Free</v>
      </c>
      <c r="H1176" s="316" t="str">
        <f t="array" ref="H1176">XLOOKUP(B1176,Roster!L:L,Roster!N:N,XLOOKUP(D1176,TicketsBreak!A:A,TicketsBreak!E:E,"",0),0)</f>
        <v/>
      </c>
      <c r="I1176" s="316" t="str">
        <f t="array" ref="I1176">XLOOKUP(B1176,Roster!L:L,Roster!O:O,XLOOKUP(D1176,TicketsBreak!A:A,TicketsBreak!F:F,"",0),0)</f>
        <v/>
      </c>
      <c r="J1176" s="316" t="str">
        <f t="array" ref="J1176">XLOOKUP(B1176,Roster!L:L,Roster!P:P,XLOOKUP(D1176,TicketsBreak!A:A,TicketsBreak!G:G,"",0),0)</f>
        <v/>
      </c>
      <c r="K1176" s="310">
        <f t="shared" si="4"/>
        <v>46122</v>
      </c>
      <c r="L1176" s="317">
        <f t="array" ref="L1176">(XLOOKUP(D1176,Roster!F:F,Roster!D:D,"",0))</f>
        <v>32</v>
      </c>
      <c r="M1176" s="317" t="str">
        <f t="array" ref="M1176">XLOOKUP(D1176,Roster!F:F,Roster!E:E)</f>
        <v>Tickets</v>
      </c>
      <c r="N1176" s="317" t="str">
        <f t="shared" ref="N1176:P1176" si="1195">LEFT(H1176,5)</f>
        <v/>
      </c>
      <c r="O1176" s="317" t="str">
        <f t="shared" si="1195"/>
        <v/>
      </c>
      <c r="P1176" s="317" t="str">
        <f t="shared" si="1195"/>
        <v/>
      </c>
      <c r="Q1176" s="318" t="str">
        <f t="shared" si="1090"/>
        <v/>
      </c>
      <c r="R1176" s="318" t="str">
        <f t="shared" si="1091"/>
        <v/>
      </c>
      <c r="S1176" s="318" t="str">
        <f t="shared" si="8"/>
        <v/>
      </c>
    </row>
    <row r="1177">
      <c r="A1177" s="14" t="str">
        <f t="shared" si="1"/>
        <v>C153346122</v>
      </c>
      <c r="B1177" s="185">
        <f t="array" ref="B1177">IF(F1177="VL","",IF(F1177="Free","Free",XLOOKUP(D1177,Roster!T:T,Roster!S:S,"",0)))</f>
        <v>125</v>
      </c>
      <c r="C1177" s="313">
        <v>46122.0</v>
      </c>
      <c r="D1177" s="314" t="s">
        <v>43</v>
      </c>
      <c r="E1177" s="307" t="str">
        <f t="array" ref="E1177">(XLOOKUP(D1177,Roster!F:F,Roster!B:B,"",0))</f>
        <v>Juan Barrera</v>
      </c>
      <c r="F1177" s="315" t="str">
        <f t="array" ref="F1177">IF(B1177=100,"Free",TEXT(XLOOKUP($D1177,OperationVoice!$A:$A,OperationVoice!P:P,XLOOKUP($D1177,OperationTickets!$A:$A,OperationTickets!P:P,"",0)),"hh:mm"))</f>
        <v>08:00</v>
      </c>
      <c r="G1177" s="309">
        <f t="shared" si="3"/>
        <v>0.7083333333</v>
      </c>
      <c r="H1177" s="316" t="str">
        <f t="array" ref="H1177">XLOOKUP(B1177,Roster!L:L,Roster!N:N,XLOOKUP(D1177,TicketsBreak!A:A,TicketsBreak!E:E,"",0),0)</f>
        <v>10:30 - 10:45</v>
      </c>
      <c r="I1177" s="316" t="str">
        <f t="array" ref="I1177">XLOOKUP(B1177,Roster!L:L,Roster!O:O,XLOOKUP(D1177,TicketsBreak!A:A,TicketsBreak!F:F,"",0),0)</f>
        <v>13:30 - 14:00</v>
      </c>
      <c r="J1177" s="316" t="str">
        <f t="array" ref="J1177">XLOOKUP(B1177,Roster!L:L,Roster!P:P,XLOOKUP(D1177,TicketsBreak!A:A,TicketsBreak!G:G,"",0),0)</f>
        <v>15:45 - 16:00</v>
      </c>
      <c r="K1177" s="310">
        <f t="shared" si="4"/>
        <v>46122</v>
      </c>
      <c r="L1177" s="317">
        <f t="array" ref="L1177">(XLOOKUP(D1177,Roster!F:F,Roster!D:D,"",0))</f>
        <v>36</v>
      </c>
      <c r="M1177" s="317" t="str">
        <f t="array" ref="M1177">XLOOKUP(D1177,Roster!F:F,Roster!E:E)</f>
        <v>Voice</v>
      </c>
      <c r="N1177" s="317" t="str">
        <f t="shared" ref="N1177:P1177" si="1196">LEFT(H1177,5)</f>
        <v>10:30</v>
      </c>
      <c r="O1177" s="317" t="str">
        <f t="shared" si="1196"/>
        <v>13:30</v>
      </c>
      <c r="P1177" s="317" t="str">
        <f t="shared" si="1196"/>
        <v>15:45</v>
      </c>
      <c r="Q1177" s="318">
        <f t="shared" si="1090"/>
        <v>46122.4375</v>
      </c>
      <c r="R1177" s="318">
        <f t="shared" si="1091"/>
        <v>46122.5625</v>
      </c>
      <c r="S1177" s="318">
        <f t="shared" si="8"/>
        <v>46122.65625</v>
      </c>
    </row>
    <row r="1178">
      <c r="A1178" s="14" t="str">
        <f t="shared" si="1"/>
        <v>C146546122</v>
      </c>
      <c r="B1178" s="185">
        <f t="array" ref="B1178">IF(F1178="VL","",IF(F1178="Free","Free",XLOOKUP(D1178,Roster!T:T,Roster!S:S,"",0)))</f>
        <v>500</v>
      </c>
      <c r="C1178" s="313">
        <v>46122.0</v>
      </c>
      <c r="D1178" s="314" t="s">
        <v>44</v>
      </c>
      <c r="E1178" s="307" t="str">
        <f t="array" ref="E1178">(XLOOKUP(D1178,Roster!F:F,Roster!B:B,"",0))</f>
        <v>Juan Castilla</v>
      </c>
      <c r="F1178" s="315" t="str">
        <f t="array" ref="F1178">IF(B1178=100,"Free",TEXT(XLOOKUP($D1178,OperationVoice!$A:$A,OperationVoice!P:P,XLOOKUP($D1178,OperationTickets!$A:$A,OperationTickets!P:P,"",0)),"hh:mm"))</f>
        <v>08:00</v>
      </c>
      <c r="G1178" s="309">
        <f t="shared" si="3"/>
        <v>0.7083333333</v>
      </c>
      <c r="H1178" s="316" t="str">
        <f t="array" ref="H1178">XLOOKUP(B1178,Roster!L:L,Roster!N:N,XLOOKUP(D1178,TicketsBreak!A:A,TicketsBreak!E:E,"",0),0)</f>
        <v>Team Leader</v>
      </c>
      <c r="I1178" s="316" t="str">
        <f t="array" ref="I1178">XLOOKUP(B1178,Roster!L:L,Roster!O:O,XLOOKUP(D1178,TicketsBreak!A:A,TicketsBreak!F:F,"",0),0)</f>
        <v>Team Leader</v>
      </c>
      <c r="J1178" s="316" t="str">
        <f t="array" ref="J1178">XLOOKUP(B1178,Roster!L:L,Roster!P:P,XLOOKUP(D1178,TicketsBreak!A:A,TicketsBreak!G:G,"",0),0)</f>
        <v/>
      </c>
      <c r="K1178" s="310">
        <f t="shared" si="4"/>
        <v>46122</v>
      </c>
      <c r="L1178" s="317">
        <f t="array" ref="L1178">(XLOOKUP(D1178,Roster!F:F,Roster!D:D,"",0))</f>
        <v>33</v>
      </c>
      <c r="M1178" s="317" t="str">
        <f t="array" ref="M1178">XLOOKUP(D1178,Roster!F:F,Roster!E:E)</f>
        <v>Voice</v>
      </c>
      <c r="N1178" s="317" t="str">
        <f t="shared" ref="N1178:P1178" si="1197">LEFT(H1178,5)</f>
        <v>Team </v>
      </c>
      <c r="O1178" s="317" t="str">
        <f t="shared" si="1197"/>
        <v>Team </v>
      </c>
      <c r="P1178" s="317" t="str">
        <f t="shared" si="1197"/>
        <v/>
      </c>
      <c r="Q1178" s="318" t="str">
        <f t="shared" si="1090"/>
        <v>#VALUE!</v>
      </c>
      <c r="R1178" s="318" t="str">
        <f t="shared" si="1091"/>
        <v>#VALUE!</v>
      </c>
      <c r="S1178" s="318" t="str">
        <f t="shared" si="8"/>
        <v/>
      </c>
    </row>
    <row r="1179">
      <c r="A1179" s="14" t="str">
        <f t="shared" si="1"/>
        <v>C72046122</v>
      </c>
      <c r="B1179" s="185" t="str">
        <f t="array" ref="B1179">IF(F1179="VL","",IF(F1179="Free","Free",XLOOKUP(D1179,Roster!T:T,Roster!S:S,"",0)))</f>
        <v/>
      </c>
      <c r="C1179" s="313">
        <v>46122.0</v>
      </c>
      <c r="D1179" s="314" t="s">
        <v>162</v>
      </c>
      <c r="E1179" s="307" t="str">
        <f t="array" ref="E1179">(XLOOKUP(D1179,Roster!F:F,Roster!B:B,"",0))</f>
        <v>Juan Durango</v>
      </c>
      <c r="F1179" s="315" t="str">
        <f t="array" ref="F1179">IF(B1179=100,"Free",TEXT(XLOOKUP($D1179,OperationVoice!$A:$A,OperationVoice!P:P,XLOOKUP($D1179,OperationTickets!$A:$A,OperationTickets!P:P,"",0)),"hh:mm"))</f>
        <v>08:00</v>
      </c>
      <c r="G1179" s="309">
        <f t="shared" si="3"/>
        <v>0.7083333333</v>
      </c>
      <c r="H1179" s="316">
        <f t="array" ref="H1179">XLOOKUP(B1179,Roster!L:L,Roster!N:N,XLOOKUP(D1179,TicketsBreak!A:A,TicketsBreak!E:E,"",0),0)</f>
        <v>0.40625</v>
      </c>
      <c r="I1179" s="316">
        <f t="array" ref="I1179">XLOOKUP(B1179,Roster!L:L,Roster!O:O,XLOOKUP(D1179,TicketsBreak!A:A,TicketsBreak!F:F,"",0),0)</f>
        <v>0.5729166667</v>
      </c>
      <c r="J1179" s="316">
        <f t="array" ref="J1179">XLOOKUP(B1179,Roster!L:L,Roster!P:P,XLOOKUP(D1179,TicketsBreak!A:A,TicketsBreak!G:G,"",0),0)</f>
        <v>0.65625</v>
      </c>
      <c r="K1179" s="310">
        <f t="shared" si="4"/>
        <v>46122</v>
      </c>
      <c r="L1179" s="317">
        <f t="array" ref="L1179">(XLOOKUP(D1179,Roster!F:F,Roster!D:D,"",0))</f>
        <v>7</v>
      </c>
      <c r="M1179" s="317" t="str">
        <f t="array" ref="M1179">XLOOKUP(D1179,Roster!F:F,Roster!E:E)</f>
        <v>Tickets</v>
      </c>
      <c r="N1179" s="317" t="str">
        <f t="shared" ref="N1179:P1179" si="1198">LEFT(H1179,5)</f>
        <v>09:45</v>
      </c>
      <c r="O1179" s="317" t="str">
        <f t="shared" si="1198"/>
        <v>13:45</v>
      </c>
      <c r="P1179" s="317" t="str">
        <f t="shared" si="1198"/>
        <v>15:45</v>
      </c>
      <c r="Q1179" s="318">
        <f t="shared" si="1090"/>
        <v>46122.40625</v>
      </c>
      <c r="R1179" s="318">
        <f t="shared" si="1091"/>
        <v>46122.57292</v>
      </c>
      <c r="S1179" s="318">
        <f t="shared" si="8"/>
        <v>46122.65625</v>
      </c>
    </row>
    <row r="1180">
      <c r="A1180" s="14" t="str">
        <f t="shared" si="1"/>
        <v>C59846122</v>
      </c>
      <c r="B1180" s="185" t="str">
        <f t="array" ref="B1180">IF(F1180="VL","",IF(F1180="Free","Free",XLOOKUP(D1180,Roster!T:T,Roster!S:S,"",0)))</f>
        <v/>
      </c>
      <c r="C1180" s="313">
        <v>46122.0</v>
      </c>
      <c r="D1180" s="314" t="s">
        <v>314</v>
      </c>
      <c r="E1180" s="307" t="str">
        <f t="array" ref="E1180">(XLOOKUP(D1180,Roster!F:F,Roster!B:B,"",0))</f>
        <v>Juan Fonnegra</v>
      </c>
      <c r="F1180" s="315" t="str">
        <f t="array" ref="F1180">IF(B1180=100,"Free",TEXT(XLOOKUP($D1180,OperationVoice!$A:$A,OperationVoice!P:P,XLOOKUP($D1180,OperationTickets!$A:$A,OperationTickets!P:P,"",0)),"hh:mm"))</f>
        <v/>
      </c>
      <c r="G1180" s="309" t="str">
        <f t="shared" si="3"/>
        <v/>
      </c>
      <c r="H1180" s="316">
        <f t="array" ref="H1180">XLOOKUP(B1180,Roster!L:L,Roster!N:N,XLOOKUP(D1180,TicketsBreak!A:A,TicketsBreak!E:E,"",0),0)</f>
        <v>0.4166666667</v>
      </c>
      <c r="I1180" s="316">
        <f t="array" ref="I1180">XLOOKUP(B1180,Roster!L:L,Roster!O:O,XLOOKUP(D1180,TicketsBreak!A:A,TicketsBreak!F:F,"",0),0)</f>
        <v>0.5208333333</v>
      </c>
      <c r="J1180" s="316">
        <f t="array" ref="J1180">XLOOKUP(B1180,Roster!L:L,Roster!P:P,XLOOKUP(D1180,TicketsBreak!A:A,TicketsBreak!G:G,"",0),0)</f>
        <v>0.65625</v>
      </c>
      <c r="K1180" s="310">
        <f t="shared" si="4"/>
        <v>46122</v>
      </c>
      <c r="L1180" s="317">
        <f t="array" ref="L1180">(XLOOKUP(D1180,Roster!F:F,Roster!D:D,"",0))</f>
        <v>1</v>
      </c>
      <c r="M1180" s="317" t="str">
        <f t="array" ref="M1180">XLOOKUP(D1180,Roster!F:F,Roster!E:E)</f>
        <v>Tickets</v>
      </c>
      <c r="N1180" s="317" t="str">
        <f t="shared" ref="N1180:P1180" si="1199">LEFT(H1180,5)</f>
        <v>10:00</v>
      </c>
      <c r="O1180" s="317" t="str">
        <f t="shared" si="1199"/>
        <v>12:30</v>
      </c>
      <c r="P1180" s="317" t="str">
        <f t="shared" si="1199"/>
        <v>15:45</v>
      </c>
      <c r="Q1180" s="318">
        <f t="shared" si="1090"/>
        <v>46122.41667</v>
      </c>
      <c r="R1180" s="318">
        <f t="shared" si="1091"/>
        <v>46122.52083</v>
      </c>
      <c r="S1180" s="318">
        <f t="shared" si="8"/>
        <v>46122.65625</v>
      </c>
    </row>
    <row r="1181">
      <c r="A1181" s="14" t="str">
        <f t="shared" si="1"/>
        <v>C113946122</v>
      </c>
      <c r="B1181" s="185">
        <f t="array" ref="B1181">IF(F1181="VL","",IF(F1181="Free","Free",XLOOKUP(D1181,Roster!T:T,Roster!S:S,"",0)))</f>
        <v>125</v>
      </c>
      <c r="C1181" s="313">
        <v>46122.0</v>
      </c>
      <c r="D1181" s="314" t="s">
        <v>45</v>
      </c>
      <c r="E1181" s="307" t="str">
        <f t="array" ref="E1181">(XLOOKUP(D1181,Roster!F:F,Roster!B:B,"",0))</f>
        <v>Juan Largacha</v>
      </c>
      <c r="F1181" s="315" t="str">
        <f t="array" ref="F1181">IF(B1181=100,"Free",TEXT(XLOOKUP($D1181,OperationVoice!$A:$A,OperationVoice!P:P,XLOOKUP($D1181,OperationTickets!$A:$A,OperationTickets!P:P,"",0)),"hh:mm"))</f>
        <v>08:00</v>
      </c>
      <c r="G1181" s="309">
        <f t="shared" si="3"/>
        <v>0.7083333333</v>
      </c>
      <c r="H1181" s="316" t="str">
        <f t="array" ref="H1181">XLOOKUP(B1181,Roster!L:L,Roster!N:N,XLOOKUP(D1181,TicketsBreak!A:A,TicketsBreak!E:E,"",0),0)</f>
        <v>10:30 - 10:45</v>
      </c>
      <c r="I1181" s="316" t="str">
        <f t="array" ref="I1181">XLOOKUP(B1181,Roster!L:L,Roster!O:O,XLOOKUP(D1181,TicketsBreak!A:A,TicketsBreak!F:F,"",0),0)</f>
        <v>13:30 - 14:00</v>
      </c>
      <c r="J1181" s="316" t="str">
        <f t="array" ref="J1181">XLOOKUP(B1181,Roster!L:L,Roster!P:P,XLOOKUP(D1181,TicketsBreak!A:A,TicketsBreak!G:G,"",0),0)</f>
        <v>15:45 - 16:00</v>
      </c>
      <c r="K1181" s="310">
        <f t="shared" si="4"/>
        <v>46122</v>
      </c>
      <c r="L1181" s="317">
        <f t="array" ref="L1181">(XLOOKUP(D1181,Roster!F:F,Roster!D:D,"",0))</f>
        <v>22</v>
      </c>
      <c r="M1181" s="317" t="str">
        <f t="array" ref="M1181">XLOOKUP(D1181,Roster!F:F,Roster!E:E)</f>
        <v>Voice</v>
      </c>
      <c r="N1181" s="317" t="str">
        <f t="shared" ref="N1181:P1181" si="1200">LEFT(H1181,5)</f>
        <v>10:30</v>
      </c>
      <c r="O1181" s="317" t="str">
        <f t="shared" si="1200"/>
        <v>13:30</v>
      </c>
      <c r="P1181" s="317" t="str">
        <f t="shared" si="1200"/>
        <v>15:45</v>
      </c>
      <c r="Q1181" s="318">
        <f t="shared" si="1090"/>
        <v>46122.4375</v>
      </c>
      <c r="R1181" s="318">
        <f t="shared" si="1091"/>
        <v>46122.5625</v>
      </c>
      <c r="S1181" s="318">
        <f t="shared" si="8"/>
        <v>46122.65625</v>
      </c>
    </row>
    <row r="1182">
      <c r="A1182" s="14" t="str">
        <f t="shared" si="1"/>
        <v>C156646122</v>
      </c>
      <c r="B1182" s="185">
        <f t="array" ref="B1182">IF(F1182="VL","",IF(F1182="Free","Free",XLOOKUP(D1182,Roster!T:T,Roster!S:S,"",0)))</f>
        <v>124</v>
      </c>
      <c r="C1182" s="313">
        <v>46122.0</v>
      </c>
      <c r="D1182" s="314" t="s">
        <v>46</v>
      </c>
      <c r="E1182" s="307" t="str">
        <f t="array" ref="E1182">(XLOOKUP(D1182,Roster!F:F,Roster!B:B,"",0))</f>
        <v>Juan Ocampo</v>
      </c>
      <c r="F1182" s="315" t="str">
        <f t="array" ref="F1182">IF(B1182=100,"Free",TEXT(XLOOKUP($D1182,OperationVoice!$A:$A,OperationVoice!P:P,XLOOKUP($D1182,OperationTickets!$A:$A,OperationTickets!P:P,"",0)),"hh:mm"))</f>
        <v>08:00</v>
      </c>
      <c r="G1182" s="309">
        <f t="shared" si="3"/>
        <v>0.7083333333</v>
      </c>
      <c r="H1182" s="316" t="str">
        <f t="array" ref="H1182">XLOOKUP(B1182,Roster!L:L,Roster!N:N,XLOOKUP(D1182,TicketsBreak!A:A,TicketsBreak!E:E,"",0),0)</f>
        <v>10:00 - 10:15</v>
      </c>
      <c r="I1182" s="316" t="str">
        <f t="array" ref="I1182">XLOOKUP(B1182,Roster!L:L,Roster!O:O,XLOOKUP(D1182,TicketsBreak!A:A,TicketsBreak!F:F,"",0),0)</f>
        <v>13:00 - 13:30</v>
      </c>
      <c r="J1182" s="316" t="str">
        <f t="array" ref="J1182">XLOOKUP(B1182,Roster!L:L,Roster!P:P,XLOOKUP(D1182,TicketsBreak!A:A,TicketsBreak!G:G,"",0),0)</f>
        <v>15:30 - 15:45</v>
      </c>
      <c r="K1182" s="310">
        <f t="shared" si="4"/>
        <v>46122</v>
      </c>
      <c r="L1182" s="317">
        <f t="array" ref="L1182">(XLOOKUP(D1182,Roster!F:F,Roster!D:D,"",0))</f>
        <v>38</v>
      </c>
      <c r="M1182" s="317" t="str">
        <f t="array" ref="M1182">XLOOKUP(D1182,Roster!F:F,Roster!E:E)</f>
        <v>Voice</v>
      </c>
      <c r="N1182" s="317" t="str">
        <f t="shared" ref="N1182:P1182" si="1201">LEFT(H1182,5)</f>
        <v>10:00</v>
      </c>
      <c r="O1182" s="317" t="str">
        <f t="shared" si="1201"/>
        <v>13:00</v>
      </c>
      <c r="P1182" s="317" t="str">
        <f t="shared" si="1201"/>
        <v>15:30</v>
      </c>
      <c r="Q1182" s="318">
        <f t="shared" si="1090"/>
        <v>46122.41667</v>
      </c>
      <c r="R1182" s="318">
        <f t="shared" si="1091"/>
        <v>46122.54167</v>
      </c>
      <c r="S1182" s="318">
        <f t="shared" si="8"/>
        <v>46122.64583</v>
      </c>
    </row>
    <row r="1183">
      <c r="A1183" s="14" t="str">
        <f t="shared" si="1"/>
        <v>C148446122</v>
      </c>
      <c r="B1183" s="185">
        <f t="array" ref="B1183">IF(F1183="VL","",IF(F1183="Free","Free",XLOOKUP(D1183,Roster!T:T,Roster!S:S,"",0)))</f>
        <v>126</v>
      </c>
      <c r="C1183" s="313">
        <v>46122.0</v>
      </c>
      <c r="D1183" s="314" t="s">
        <v>141</v>
      </c>
      <c r="E1183" s="307" t="str">
        <f t="array" ref="E1183">(XLOOKUP(D1183,Roster!F:F,Roster!B:B,"",0))</f>
        <v>Juan Ospina</v>
      </c>
      <c r="F1183" s="315" t="str">
        <f t="array" ref="F1183">IF(B1183=100,"Free",TEXT(XLOOKUP($D1183,OperationVoice!$A:$A,OperationVoice!P:P,XLOOKUP($D1183,OperationTickets!$A:$A,OperationTickets!P:P,"",0)),"hh:mm"))</f>
        <v>08:00</v>
      </c>
      <c r="G1183" s="309">
        <f t="shared" si="3"/>
        <v>0.7083333333</v>
      </c>
      <c r="H1183" s="316" t="str">
        <f t="array" ref="H1183">XLOOKUP(B1183,Roster!L:L,Roster!N:N,XLOOKUP(D1183,TicketsBreak!A:A,TicketsBreak!E:E,"",0),0)</f>
        <v>10:45 - 11:00</v>
      </c>
      <c r="I1183" s="316" t="str">
        <f t="array" ref="I1183">XLOOKUP(B1183,Roster!L:L,Roster!O:O,XLOOKUP(D1183,TicketsBreak!A:A,TicketsBreak!F:F,"",0),0)</f>
        <v>14:00 - 14:30</v>
      </c>
      <c r="J1183" s="316" t="str">
        <f t="array" ref="J1183">XLOOKUP(B1183,Roster!L:L,Roster!P:P,XLOOKUP(D1183,TicketsBreak!A:A,TicketsBreak!G:G,"",0),0)</f>
        <v>15:45 - 16:00</v>
      </c>
      <c r="K1183" s="310">
        <f t="shared" si="4"/>
        <v>46122</v>
      </c>
      <c r="L1183" s="317">
        <f t="array" ref="L1183">(XLOOKUP(D1183,Roster!F:F,Roster!D:D,"",0))</f>
        <v>34</v>
      </c>
      <c r="M1183" s="317" t="str">
        <f t="array" ref="M1183">XLOOKUP(D1183,Roster!F:F,Roster!E:E)</f>
        <v>Tickets</v>
      </c>
      <c r="N1183" s="317" t="str">
        <f t="shared" ref="N1183:P1183" si="1202">LEFT(H1183,5)</f>
        <v>10:45</v>
      </c>
      <c r="O1183" s="317" t="str">
        <f t="shared" si="1202"/>
        <v>14:00</v>
      </c>
      <c r="P1183" s="317" t="str">
        <f t="shared" si="1202"/>
        <v>15:45</v>
      </c>
      <c r="Q1183" s="318">
        <f t="shared" si="1090"/>
        <v>46122.44792</v>
      </c>
      <c r="R1183" s="318">
        <f t="shared" si="1091"/>
        <v>46122.58333</v>
      </c>
      <c r="S1183" s="318">
        <f t="shared" si="8"/>
        <v>46122.65625</v>
      </c>
    </row>
    <row r="1184">
      <c r="A1184" s="14" t="str">
        <f t="shared" si="1"/>
        <v>C141346122</v>
      </c>
      <c r="B1184" s="185">
        <f t="array" ref="B1184">IF(F1184="VL","",IF(F1184="Free","Free",XLOOKUP(D1184,Roster!T:T,Roster!S:S,"",0)))</f>
        <v>121</v>
      </c>
      <c r="C1184" s="313">
        <v>46122.0</v>
      </c>
      <c r="D1184" s="314" t="s">
        <v>47</v>
      </c>
      <c r="E1184" s="307" t="str">
        <f t="array" ref="E1184">(XLOOKUP(D1184,Roster!F:F,Roster!B:B,"",0))</f>
        <v>Juan Parra</v>
      </c>
      <c r="F1184" s="315" t="str">
        <f t="array" ref="F1184">IF(B1184=100,"Free",TEXT(XLOOKUP($D1184,OperationVoice!$A:$A,OperationVoice!P:P,XLOOKUP($D1184,OperationTickets!$A:$A,OperationTickets!P:P,"",0)),"hh:mm"))</f>
        <v>08:00</v>
      </c>
      <c r="G1184" s="309">
        <f t="shared" si="3"/>
        <v>0.7083333333</v>
      </c>
      <c r="H1184" s="316" t="str">
        <f t="array" ref="H1184">XLOOKUP(B1184,Roster!L:L,Roster!N:N,XLOOKUP(D1184,TicketsBreak!A:A,TicketsBreak!E:E,"",0),0)</f>
        <v>09:15 - 09:30</v>
      </c>
      <c r="I1184" s="316" t="str">
        <f t="array" ref="I1184">XLOOKUP(B1184,Roster!L:L,Roster!O:O,XLOOKUP(D1184,TicketsBreak!A:A,TicketsBreak!F:F,"",0),0)</f>
        <v>11:30 - 12:00</v>
      </c>
      <c r="J1184" s="316" t="str">
        <f t="array" ref="J1184">XLOOKUP(B1184,Roster!L:L,Roster!P:P,XLOOKUP(D1184,TicketsBreak!A:A,TicketsBreak!G:G,"",0),0)</f>
        <v>14:30 - 14:45</v>
      </c>
      <c r="K1184" s="310">
        <f t="shared" si="4"/>
        <v>46122</v>
      </c>
      <c r="L1184" s="317">
        <f t="array" ref="L1184">(XLOOKUP(D1184,Roster!F:F,Roster!D:D,"",0))</f>
        <v>32</v>
      </c>
      <c r="M1184" s="317" t="str">
        <f t="array" ref="M1184">XLOOKUP(D1184,Roster!F:F,Roster!E:E)</f>
        <v>Voice</v>
      </c>
      <c r="N1184" s="317" t="str">
        <f t="shared" ref="N1184:P1184" si="1203">LEFT(H1184,5)</f>
        <v>09:15</v>
      </c>
      <c r="O1184" s="317" t="str">
        <f t="shared" si="1203"/>
        <v>11:30</v>
      </c>
      <c r="P1184" s="317" t="str">
        <f t="shared" si="1203"/>
        <v>14:30</v>
      </c>
      <c r="Q1184" s="318">
        <f t="shared" si="1090"/>
        <v>46122.38542</v>
      </c>
      <c r="R1184" s="318">
        <f t="shared" si="1091"/>
        <v>46122.47917</v>
      </c>
      <c r="S1184" s="318">
        <f t="shared" si="8"/>
        <v>46122.60417</v>
      </c>
    </row>
    <row r="1185">
      <c r="A1185" s="14" t="str">
        <f t="shared" si="1"/>
        <v>C132746122</v>
      </c>
      <c r="B1185" s="185" t="str">
        <f t="array" ref="B1185">IF(F1185="VL","",IF(F1185="Free","Free",XLOOKUP(D1185,Roster!T:T,Roster!S:S,"",0)))</f>
        <v/>
      </c>
      <c r="C1185" s="313">
        <v>46122.0</v>
      </c>
      <c r="D1185" s="314" t="s">
        <v>163</v>
      </c>
      <c r="E1185" s="307" t="str">
        <f t="array" ref="E1185">(XLOOKUP(D1185,Roster!F:F,Roster!B:B,"",0))</f>
        <v>Juan Restrepo</v>
      </c>
      <c r="F1185" s="315" t="str">
        <f t="array" ref="F1185">IF(B1185=100,"Free",TEXT(XLOOKUP($D1185,OperationVoice!$A:$A,OperationVoice!P:P,XLOOKUP($D1185,OperationTickets!$A:$A,OperationTickets!P:P,"",0)),"hh:mm"))</f>
        <v>07:00</v>
      </c>
      <c r="G1185" s="309">
        <f t="shared" si="3"/>
        <v>0.6666666667</v>
      </c>
      <c r="H1185" s="316" t="str">
        <f t="array" ref="H1185">XLOOKUP(B1185,Roster!L:L,Roster!N:N,XLOOKUP(D1185,TicketsBreak!A:A,TicketsBreak!E:E,"",0),0)</f>
        <v/>
      </c>
      <c r="I1185" s="316" t="str">
        <f t="array" ref="I1185">XLOOKUP(B1185,Roster!L:L,Roster!O:O,XLOOKUP(D1185,TicketsBreak!A:A,TicketsBreak!F:F,"",0),0)</f>
        <v/>
      </c>
      <c r="J1185" s="316" t="str">
        <f t="array" ref="J1185">XLOOKUP(B1185,Roster!L:L,Roster!P:P,XLOOKUP(D1185,TicketsBreak!A:A,TicketsBreak!G:G,"",0),0)</f>
        <v/>
      </c>
      <c r="K1185" s="310">
        <f t="shared" si="4"/>
        <v>46122</v>
      </c>
      <c r="L1185" s="317">
        <f t="array" ref="L1185">(XLOOKUP(D1185,Roster!F:F,Roster!D:D,"",0))</f>
        <v>29</v>
      </c>
      <c r="M1185" s="317" t="str">
        <f t="array" ref="M1185">XLOOKUP(D1185,Roster!F:F,Roster!E:E)</f>
        <v>Tickets</v>
      </c>
      <c r="N1185" s="317" t="str">
        <f t="shared" ref="N1185:P1185" si="1204">LEFT(H1185,5)</f>
        <v/>
      </c>
      <c r="O1185" s="317" t="str">
        <f t="shared" si="1204"/>
        <v/>
      </c>
      <c r="P1185" s="317" t="str">
        <f t="shared" si="1204"/>
        <v/>
      </c>
      <c r="Q1185" s="318" t="str">
        <f t="shared" si="1090"/>
        <v/>
      </c>
      <c r="R1185" s="318" t="str">
        <f t="shared" si="1091"/>
        <v/>
      </c>
      <c r="S1185" s="318" t="str">
        <f t="shared" si="8"/>
        <v/>
      </c>
    </row>
    <row r="1186">
      <c r="A1186" s="14" t="str">
        <f t="shared" si="1"/>
        <v>C146946122</v>
      </c>
      <c r="B1186" s="185" t="str">
        <f t="array" ref="B1186">IF(F1186="VL","",IF(F1186="Free","Free",XLOOKUP(D1186,Roster!T:T,Roster!S:S,"",0)))</f>
        <v>Free</v>
      </c>
      <c r="C1186" s="313">
        <v>46122.0</v>
      </c>
      <c r="D1186" s="314" t="s">
        <v>48</v>
      </c>
      <c r="E1186" s="307" t="str">
        <f t="array" ref="E1186">(XLOOKUP(D1186,Roster!F:F,Roster!B:B,"",0))</f>
        <v>Juan Restrepo Restrepo</v>
      </c>
      <c r="F1186" s="315" t="str">
        <f t="array" ref="F1186">IF(B1186=100,"Free",TEXT(XLOOKUP($D1186,OperationVoice!$A:$A,OperationVoice!P:P,XLOOKUP($D1186,OperationTickets!$A:$A,OperationTickets!P:P,"",0)),"hh:mm"))</f>
        <v>Free</v>
      </c>
      <c r="G1186" s="309" t="str">
        <f t="shared" si="3"/>
        <v>Free</v>
      </c>
      <c r="H1186" s="316" t="str">
        <f t="array" ref="H1186">XLOOKUP(B1186,Roster!L:L,Roster!N:N,XLOOKUP(D1186,TicketsBreak!A:A,TicketsBreak!E:E,"",0),0)</f>
        <v/>
      </c>
      <c r="I1186" s="316" t="str">
        <f t="array" ref="I1186">XLOOKUP(B1186,Roster!L:L,Roster!O:O,XLOOKUP(D1186,TicketsBreak!A:A,TicketsBreak!F:F,"",0),0)</f>
        <v/>
      </c>
      <c r="J1186" s="316" t="str">
        <f t="array" ref="J1186">XLOOKUP(B1186,Roster!L:L,Roster!P:P,XLOOKUP(D1186,TicketsBreak!A:A,TicketsBreak!G:G,"",0),0)</f>
        <v/>
      </c>
      <c r="K1186" s="310">
        <f t="shared" si="4"/>
        <v>46122</v>
      </c>
      <c r="L1186" s="317">
        <f t="array" ref="L1186">(XLOOKUP(D1186,Roster!F:F,Roster!D:D,"",0))</f>
        <v>33</v>
      </c>
      <c r="M1186" s="317" t="str">
        <f t="array" ref="M1186">XLOOKUP(D1186,Roster!F:F,Roster!E:E)</f>
        <v>Voice</v>
      </c>
      <c r="N1186" s="317" t="str">
        <f t="shared" ref="N1186:P1186" si="1205">LEFT(H1186,5)</f>
        <v/>
      </c>
      <c r="O1186" s="317" t="str">
        <f t="shared" si="1205"/>
        <v/>
      </c>
      <c r="P1186" s="317" t="str">
        <f t="shared" si="1205"/>
        <v/>
      </c>
      <c r="Q1186" s="318" t="str">
        <f t="shared" si="1090"/>
        <v/>
      </c>
      <c r="R1186" s="318" t="str">
        <f t="shared" si="1091"/>
        <v/>
      </c>
      <c r="S1186" s="318" t="str">
        <f t="shared" si="8"/>
        <v/>
      </c>
    </row>
    <row r="1187">
      <c r="A1187" s="14" t="str">
        <f t="shared" si="1"/>
        <v>C117146122</v>
      </c>
      <c r="B1187" s="185" t="str">
        <f t="array" ref="B1187">IF(F1187="VL","",IF(F1187="Free","Free",XLOOKUP(D1187,Roster!T:T,Roster!S:S,"",0)))</f>
        <v/>
      </c>
      <c r="C1187" s="313">
        <v>46122.0</v>
      </c>
      <c r="D1187" s="314" t="s">
        <v>142</v>
      </c>
      <c r="E1187" s="307" t="str">
        <f t="array" ref="E1187">(XLOOKUP(D1187,Roster!F:F,Roster!B:B,"",0))</f>
        <v>Juan Sanchez</v>
      </c>
      <c r="F1187" s="315" t="str">
        <f t="array" ref="F1187">IF(B1187=100,"Free",TEXT(XLOOKUP($D1187,OperationVoice!$A:$A,OperationVoice!P:P,XLOOKUP($D1187,OperationTickets!$A:$A,OperationTickets!P:P,"",0)),"hh:mm"))</f>
        <v>08:00</v>
      </c>
      <c r="G1187" s="309">
        <f t="shared" si="3"/>
        <v>0.7083333333</v>
      </c>
      <c r="H1187" s="316" t="str">
        <f t="array" ref="H1187">XLOOKUP(B1187,Roster!L:L,Roster!N:N,XLOOKUP(D1187,TicketsBreak!A:A,TicketsBreak!E:E,"",0),0)</f>
        <v/>
      </c>
      <c r="I1187" s="316" t="str">
        <f t="array" ref="I1187">XLOOKUP(B1187,Roster!L:L,Roster!O:O,XLOOKUP(D1187,TicketsBreak!A:A,TicketsBreak!F:F,"",0),0)</f>
        <v/>
      </c>
      <c r="J1187" s="316" t="str">
        <f t="array" ref="J1187">XLOOKUP(B1187,Roster!L:L,Roster!P:P,XLOOKUP(D1187,TicketsBreak!A:A,TicketsBreak!G:G,"",0),0)</f>
        <v/>
      </c>
      <c r="K1187" s="310">
        <f t="shared" si="4"/>
        <v>46122</v>
      </c>
      <c r="L1187" s="317">
        <f t="array" ref="L1187">(XLOOKUP(D1187,Roster!F:F,Roster!D:D,"",0))</f>
        <v>24</v>
      </c>
      <c r="M1187" s="317" t="str">
        <f t="array" ref="M1187">XLOOKUP(D1187,Roster!F:F,Roster!E:E)</f>
        <v>Tickets</v>
      </c>
      <c r="N1187" s="317" t="str">
        <f t="shared" ref="N1187:P1187" si="1206">LEFT(H1187,5)</f>
        <v/>
      </c>
      <c r="O1187" s="317" t="str">
        <f t="shared" si="1206"/>
        <v/>
      </c>
      <c r="P1187" s="317" t="str">
        <f t="shared" si="1206"/>
        <v/>
      </c>
      <c r="Q1187" s="318" t="str">
        <f t="shared" si="1090"/>
        <v/>
      </c>
      <c r="R1187" s="318" t="str">
        <f t="shared" si="1091"/>
        <v/>
      </c>
      <c r="S1187" s="318" t="str">
        <f t="shared" si="8"/>
        <v/>
      </c>
    </row>
    <row r="1188">
      <c r="A1188" s="14" t="str">
        <f t="shared" si="1"/>
        <v>C74346122</v>
      </c>
      <c r="B1188" s="185" t="str">
        <f t="array" ref="B1188">IF(F1188="VL","",IF(F1188="Free","Free",XLOOKUP(D1188,Roster!T:T,Roster!S:S,"",0)))</f>
        <v/>
      </c>
      <c r="C1188" s="313">
        <v>46122.0</v>
      </c>
      <c r="D1188" s="314" t="s">
        <v>164</v>
      </c>
      <c r="E1188" s="307" t="str">
        <f t="array" ref="E1188">(XLOOKUP(D1188,Roster!F:F,Roster!B:B,"",0))</f>
        <v>Juan Suarez</v>
      </c>
      <c r="F1188" s="315" t="str">
        <f t="array" ref="F1188">IF(B1188=100,"Free",TEXT(XLOOKUP($D1188,OperationVoice!$A:$A,OperationVoice!P:P,XLOOKUP($D1188,OperationTickets!$A:$A,OperationTickets!P:P,"",0)),"hh:mm"))</f>
        <v>08:30</v>
      </c>
      <c r="G1188" s="309">
        <f t="shared" si="3"/>
        <v>0.7291666667</v>
      </c>
      <c r="H1188" s="316">
        <f t="array" ref="H1188">XLOOKUP(B1188,Roster!L:L,Roster!N:N,XLOOKUP(D1188,TicketsBreak!A:A,TicketsBreak!E:E,"",0),0)</f>
        <v>0.3958333333</v>
      </c>
      <c r="I1188" s="316">
        <f t="array" ref="I1188">XLOOKUP(B1188,Roster!L:L,Roster!O:O,XLOOKUP(D1188,TicketsBreak!A:A,TicketsBreak!F:F,"",0),0)</f>
        <v>0.5208333333</v>
      </c>
      <c r="J1188" s="316">
        <f t="array" ref="J1188">XLOOKUP(B1188,Roster!L:L,Roster!P:P,XLOOKUP(D1188,TicketsBreak!A:A,TicketsBreak!G:G,"",0),0)</f>
        <v>0.6145833333</v>
      </c>
      <c r="K1188" s="310">
        <f t="shared" si="4"/>
        <v>46122</v>
      </c>
      <c r="L1188" s="317">
        <f t="array" ref="L1188">(XLOOKUP(D1188,Roster!F:F,Roster!D:D,"",0))</f>
        <v>8</v>
      </c>
      <c r="M1188" s="317" t="str">
        <f t="array" ref="M1188">XLOOKUP(D1188,Roster!F:F,Roster!E:E)</f>
        <v>Tickets</v>
      </c>
      <c r="N1188" s="317" t="str">
        <f t="shared" ref="N1188:P1188" si="1207">LEFT(H1188,5)</f>
        <v>09:30</v>
      </c>
      <c r="O1188" s="317" t="str">
        <f t="shared" si="1207"/>
        <v>12:30</v>
      </c>
      <c r="P1188" s="317" t="str">
        <f t="shared" si="1207"/>
        <v>14:45</v>
      </c>
      <c r="Q1188" s="318">
        <f t="shared" si="1090"/>
        <v>46122.39583</v>
      </c>
      <c r="R1188" s="318">
        <f t="shared" si="1091"/>
        <v>46122.52083</v>
      </c>
      <c r="S1188" s="318">
        <f t="shared" si="8"/>
        <v>46122.61458</v>
      </c>
    </row>
    <row r="1189">
      <c r="A1189" s="14" t="str">
        <f t="shared" si="1"/>
        <v>C156846122</v>
      </c>
      <c r="B1189" s="185">
        <f t="array" ref="B1189">IF(F1189="VL","",IF(F1189="Free","Free",XLOOKUP(D1189,Roster!T:T,Roster!S:S,"",0)))</f>
        <v>122</v>
      </c>
      <c r="C1189" s="313">
        <v>46122.0</v>
      </c>
      <c r="D1189" s="314" t="s">
        <v>49</v>
      </c>
      <c r="E1189" s="307" t="str">
        <f t="array" ref="E1189">(XLOOKUP(D1189,Roster!F:F,Roster!B:B,"",0))</f>
        <v>Juan Zapata</v>
      </c>
      <c r="F1189" s="315" t="str">
        <f t="array" ref="F1189">IF(B1189=100,"Free",TEXT(XLOOKUP($D1189,OperationVoice!$A:$A,OperationVoice!P:P,XLOOKUP($D1189,OperationTickets!$A:$A,OperationTickets!P:P,"",0)),"hh:mm"))</f>
        <v>08:00</v>
      </c>
      <c r="G1189" s="309">
        <f t="shared" si="3"/>
        <v>0.7083333333</v>
      </c>
      <c r="H1189" s="316" t="str">
        <f t="array" ref="H1189">XLOOKUP(B1189,Roster!L:L,Roster!N:N,XLOOKUP(D1189,TicketsBreak!A:A,TicketsBreak!E:E,"",0),0)</f>
        <v>09:30 - 09:45</v>
      </c>
      <c r="I1189" s="316" t="str">
        <f t="array" ref="I1189">XLOOKUP(B1189,Roster!L:L,Roster!O:O,XLOOKUP(D1189,TicketsBreak!A:A,TicketsBreak!F:F,"",0),0)</f>
        <v>12:00 - 12:30</v>
      </c>
      <c r="J1189" s="316" t="str">
        <f t="array" ref="J1189">XLOOKUP(B1189,Roster!L:L,Roster!P:P,XLOOKUP(D1189,TicketsBreak!A:A,TicketsBreak!G:G,"",0),0)</f>
        <v>14:45 - 15:00</v>
      </c>
      <c r="K1189" s="310">
        <f t="shared" si="4"/>
        <v>46122</v>
      </c>
      <c r="L1189" s="317">
        <f t="array" ref="L1189">(XLOOKUP(D1189,Roster!F:F,Roster!D:D,"",0))</f>
        <v>38</v>
      </c>
      <c r="M1189" s="317" t="str">
        <f t="array" ref="M1189">XLOOKUP(D1189,Roster!F:F,Roster!E:E)</f>
        <v>Voice</v>
      </c>
      <c r="N1189" s="317" t="str">
        <f t="shared" ref="N1189:P1189" si="1208">LEFT(H1189,5)</f>
        <v>09:30</v>
      </c>
      <c r="O1189" s="317" t="str">
        <f t="shared" si="1208"/>
        <v>12:00</v>
      </c>
      <c r="P1189" s="317" t="str">
        <f t="shared" si="1208"/>
        <v>14:45</v>
      </c>
      <c r="Q1189" s="318">
        <f t="shared" si="1090"/>
        <v>46122.39583</v>
      </c>
      <c r="R1189" s="318">
        <f t="shared" si="1091"/>
        <v>46122.5</v>
      </c>
      <c r="S1189" s="318">
        <f t="shared" si="8"/>
        <v>46122.61458</v>
      </c>
    </row>
    <row r="1190">
      <c r="A1190" s="14" t="str">
        <f t="shared" si="1"/>
        <v>C75546122</v>
      </c>
      <c r="B1190" s="185" t="str">
        <f t="array" ref="B1190">IF(F1190="VL","",IF(F1190="Free","Free",XLOOKUP(D1190,Roster!T:T,Roster!S:S,"",0)))</f>
        <v/>
      </c>
      <c r="C1190" s="313">
        <v>46122.0</v>
      </c>
      <c r="D1190" s="314" t="s">
        <v>143</v>
      </c>
      <c r="E1190" s="307" t="str">
        <f t="array" ref="E1190">(XLOOKUP(D1190,Roster!F:F,Roster!B:B,"",0))</f>
        <v>Julian Higuita</v>
      </c>
      <c r="F1190" s="315" t="str">
        <f t="array" ref="F1190">IF(B1190=100,"Free",TEXT(XLOOKUP($D1190,OperationVoice!$A:$A,OperationVoice!P:P,XLOOKUP($D1190,OperationTickets!$A:$A,OperationTickets!P:P,"",0)),"hh:mm"))</f>
        <v>10:00</v>
      </c>
      <c r="G1190" s="309">
        <f t="shared" si="3"/>
        <v>0.7916666667</v>
      </c>
      <c r="H1190" s="316" t="str">
        <f t="array" ref="H1190">XLOOKUP(B1190,Roster!L:L,Roster!N:N,XLOOKUP(D1190,TicketsBreak!A:A,TicketsBreak!E:E,"",0),0)</f>
        <v/>
      </c>
      <c r="I1190" s="316" t="str">
        <f t="array" ref="I1190">XLOOKUP(B1190,Roster!L:L,Roster!O:O,XLOOKUP(D1190,TicketsBreak!A:A,TicketsBreak!F:F,"",0),0)</f>
        <v/>
      </c>
      <c r="J1190" s="316" t="str">
        <f t="array" ref="J1190">XLOOKUP(B1190,Roster!L:L,Roster!P:P,XLOOKUP(D1190,TicketsBreak!A:A,TicketsBreak!G:G,"",0),0)</f>
        <v/>
      </c>
      <c r="K1190" s="310">
        <f t="shared" si="4"/>
        <v>46122</v>
      </c>
      <c r="L1190" s="317">
        <f t="array" ref="L1190">(XLOOKUP(D1190,Roster!F:F,Roster!D:D,"",0))</f>
        <v>35</v>
      </c>
      <c r="M1190" s="317" t="str">
        <f t="array" ref="M1190">XLOOKUP(D1190,Roster!F:F,Roster!E:E)</f>
        <v>Tickets</v>
      </c>
      <c r="N1190" s="317" t="str">
        <f t="shared" ref="N1190:P1190" si="1209">LEFT(H1190,5)</f>
        <v/>
      </c>
      <c r="O1190" s="317" t="str">
        <f t="shared" si="1209"/>
        <v/>
      </c>
      <c r="P1190" s="317" t="str">
        <f t="shared" si="1209"/>
        <v/>
      </c>
      <c r="Q1190" s="318" t="str">
        <f t="shared" si="1090"/>
        <v/>
      </c>
      <c r="R1190" s="318" t="str">
        <f t="shared" si="1091"/>
        <v/>
      </c>
      <c r="S1190" s="318" t="str">
        <f t="shared" si="8"/>
        <v/>
      </c>
    </row>
    <row r="1191">
      <c r="A1191" s="14" t="str">
        <f t="shared" si="1"/>
        <v>C52546122</v>
      </c>
      <c r="B1191" s="185" t="str">
        <f t="array" ref="B1191">IF(F1191="VL","",IF(F1191="Free","Free",XLOOKUP(D1191,Roster!T:T,Roster!S:S,"",0)))</f>
        <v/>
      </c>
      <c r="C1191" s="313">
        <v>46122.0</v>
      </c>
      <c r="D1191" s="314" t="s">
        <v>176</v>
      </c>
      <c r="E1191" s="307" t="str">
        <f t="array" ref="E1191">(XLOOKUP(D1191,Roster!F:F,Roster!B:B,"",0))</f>
        <v>Julian Pineda</v>
      </c>
      <c r="F1191" s="315" t="str">
        <f t="array" ref="F1191">IF(B1191=100,"Free",TEXT(XLOOKUP($D1191,OperationVoice!$A:$A,OperationVoice!P:P,XLOOKUP($D1191,OperationTickets!$A:$A,OperationTickets!P:P,"",0)),"hh:mm"))</f>
        <v>08:00</v>
      </c>
      <c r="G1191" s="309">
        <f t="shared" si="3"/>
        <v>0.7083333333</v>
      </c>
      <c r="H1191" s="316" t="str">
        <f t="array" ref="H1191">XLOOKUP(B1191,Roster!L:L,Roster!N:N,XLOOKUP(D1191,TicketsBreak!A:A,TicketsBreak!E:E,"",0),0)</f>
        <v/>
      </c>
      <c r="I1191" s="316" t="str">
        <f t="array" ref="I1191">XLOOKUP(B1191,Roster!L:L,Roster!O:O,XLOOKUP(D1191,TicketsBreak!A:A,TicketsBreak!F:F,"",0),0)</f>
        <v/>
      </c>
      <c r="J1191" s="316" t="str">
        <f t="array" ref="J1191">XLOOKUP(B1191,Roster!L:L,Roster!P:P,XLOOKUP(D1191,TicketsBreak!A:A,TicketsBreak!G:G,"",0),0)</f>
        <v/>
      </c>
      <c r="K1191" s="310">
        <f t="shared" si="4"/>
        <v>46122</v>
      </c>
      <c r="L1191" s="317">
        <f t="array" ref="L1191">(XLOOKUP(D1191,Roster!F:F,Roster!D:D,"",0))</f>
        <v>35</v>
      </c>
      <c r="M1191" s="317" t="str">
        <f t="array" ref="M1191">XLOOKUP(D1191,Roster!F:F,Roster!E:E)</f>
        <v>Tickets</v>
      </c>
      <c r="N1191" s="317" t="str">
        <f t="shared" ref="N1191:P1191" si="1210">LEFT(H1191,5)</f>
        <v/>
      </c>
      <c r="O1191" s="317" t="str">
        <f t="shared" si="1210"/>
        <v/>
      </c>
      <c r="P1191" s="317" t="str">
        <f t="shared" si="1210"/>
        <v/>
      </c>
      <c r="Q1191" s="318" t="str">
        <f t="shared" si="1090"/>
        <v/>
      </c>
      <c r="R1191" s="318" t="str">
        <f t="shared" si="1091"/>
        <v/>
      </c>
      <c r="S1191" s="318" t="str">
        <f t="shared" si="8"/>
        <v/>
      </c>
    </row>
    <row r="1192">
      <c r="A1192" s="14" t="str">
        <f t="shared" si="1"/>
        <v>C142746122</v>
      </c>
      <c r="B1192" s="185">
        <f t="array" ref="B1192">IF(F1192="VL","",IF(F1192="Free","Free",XLOOKUP(D1192,Roster!T:T,Roster!S:S,"",0)))</f>
        <v>123</v>
      </c>
      <c r="C1192" s="313">
        <v>46122.0</v>
      </c>
      <c r="D1192" s="314" t="s">
        <v>50</v>
      </c>
      <c r="E1192" s="307" t="str">
        <f t="array" ref="E1192">(XLOOKUP(D1192,Roster!F:F,Roster!B:B,"",0))</f>
        <v>Karen Lorena Martinez</v>
      </c>
      <c r="F1192" s="315" t="str">
        <f t="array" ref="F1192">IF(B1192=100,"Free",TEXT(XLOOKUP($D1192,OperationVoice!$A:$A,OperationVoice!P:P,XLOOKUP($D1192,OperationTickets!$A:$A,OperationTickets!P:P,"",0)),"hh:mm"))</f>
        <v>08:00</v>
      </c>
      <c r="G1192" s="309">
        <f t="shared" si="3"/>
        <v>0.7083333333</v>
      </c>
      <c r="H1192" s="316" t="str">
        <f t="array" ref="H1192">XLOOKUP(B1192,Roster!L:L,Roster!N:N,XLOOKUP(D1192,TicketsBreak!A:A,TicketsBreak!E:E,"",0),0)</f>
        <v>09:45 - 10:00 </v>
      </c>
      <c r="I1192" s="316" t="str">
        <f t="array" ref="I1192">XLOOKUP(B1192,Roster!L:L,Roster!O:O,XLOOKUP(D1192,TicketsBreak!A:A,TicketsBreak!F:F,"",0),0)</f>
        <v>12:30 - 13:00</v>
      </c>
      <c r="J1192" s="316" t="str">
        <f t="array" ref="J1192">XLOOKUP(B1192,Roster!L:L,Roster!P:P,XLOOKUP(D1192,TicketsBreak!A:A,TicketsBreak!G:G,"",0),0)</f>
        <v>15:00 - 15:15</v>
      </c>
      <c r="K1192" s="310">
        <f t="shared" si="4"/>
        <v>46122</v>
      </c>
      <c r="L1192" s="317">
        <f t="array" ref="L1192">(XLOOKUP(D1192,Roster!F:F,Roster!D:D,"",0))</f>
        <v>32</v>
      </c>
      <c r="M1192" s="317" t="str">
        <f t="array" ref="M1192">XLOOKUP(D1192,Roster!F:F,Roster!E:E)</f>
        <v>Voice</v>
      </c>
      <c r="N1192" s="317" t="str">
        <f t="shared" ref="N1192:P1192" si="1211">LEFT(H1192,5)</f>
        <v>09:45</v>
      </c>
      <c r="O1192" s="317" t="str">
        <f t="shared" si="1211"/>
        <v>12:30</v>
      </c>
      <c r="P1192" s="317" t="str">
        <f t="shared" si="1211"/>
        <v>15:00</v>
      </c>
      <c r="Q1192" s="318">
        <f t="shared" si="1090"/>
        <v>46122.40625</v>
      </c>
      <c r="R1192" s="318">
        <f t="shared" si="1091"/>
        <v>46122.52083</v>
      </c>
      <c r="S1192" s="318">
        <f t="shared" si="8"/>
        <v>46122.625</v>
      </c>
    </row>
    <row r="1193">
      <c r="A1193" s="14" t="str">
        <f t="shared" si="1"/>
        <v>C57946122</v>
      </c>
      <c r="B1193" s="185" t="str">
        <f t="array" ref="B1193">IF(F1193="VL","",IF(F1193="Free","Free",XLOOKUP(D1193,Roster!T:T,Roster!S:S,"",0)))</f>
        <v/>
      </c>
      <c r="C1193" s="313">
        <v>46122.0</v>
      </c>
      <c r="D1193" s="314" t="s">
        <v>144</v>
      </c>
      <c r="E1193" s="307" t="str">
        <f t="array" ref="E1193">(XLOOKUP(D1193,Roster!F:F,Roster!B:B,"",0))</f>
        <v>Karen Martinez</v>
      </c>
      <c r="F1193" s="315" t="str">
        <f t="array" ref="F1193">IF(B1193=100,"Free",TEXT(XLOOKUP($D1193,OperationVoice!$A:$A,OperationVoice!P:P,XLOOKUP($D1193,OperationTickets!$A:$A,OperationTickets!P:P,"",0)),"hh:mm"))</f>
        <v>08:00</v>
      </c>
      <c r="G1193" s="309">
        <f t="shared" si="3"/>
        <v>0.7083333333</v>
      </c>
      <c r="H1193" s="316">
        <f t="array" ref="H1193">XLOOKUP(B1193,Roster!L:L,Roster!N:N,XLOOKUP(D1193,TicketsBreak!A:A,TicketsBreak!E:E,"",0),0)</f>
        <v>0.4166666667</v>
      </c>
      <c r="I1193" s="316">
        <f t="array" ref="I1193">XLOOKUP(B1193,Roster!L:L,Roster!O:O,XLOOKUP(D1193,TicketsBreak!A:A,TicketsBreak!F:F,"",0),0)</f>
        <v>0.5</v>
      </c>
      <c r="J1193" s="316">
        <f t="array" ref="J1193">XLOOKUP(B1193,Roster!L:L,Roster!P:P,XLOOKUP(D1193,TicketsBreak!A:A,TicketsBreak!G:G,"",0),0)</f>
        <v>0.625</v>
      </c>
      <c r="K1193" s="310">
        <f t="shared" si="4"/>
        <v>46122</v>
      </c>
      <c r="L1193" s="317">
        <f t="array" ref="L1193">(XLOOKUP(D1193,Roster!F:F,Roster!D:D,"",0))</f>
        <v>4</v>
      </c>
      <c r="M1193" s="317" t="str">
        <f t="array" ref="M1193">XLOOKUP(D1193,Roster!F:F,Roster!E:E)</f>
        <v>Tickets</v>
      </c>
      <c r="N1193" s="317" t="str">
        <f t="shared" ref="N1193:P1193" si="1212">LEFT(H1193,5)</f>
        <v>10:00</v>
      </c>
      <c r="O1193" s="317" t="str">
        <f t="shared" si="1212"/>
        <v>12:00</v>
      </c>
      <c r="P1193" s="317" t="str">
        <f t="shared" si="1212"/>
        <v>15:00</v>
      </c>
      <c r="Q1193" s="318">
        <f t="shared" si="1090"/>
        <v>46122.41667</v>
      </c>
      <c r="R1193" s="318">
        <f t="shared" si="1091"/>
        <v>46122.5</v>
      </c>
      <c r="S1193" s="318">
        <f t="shared" si="8"/>
        <v>46122.625</v>
      </c>
    </row>
    <row r="1194">
      <c r="A1194" s="14" t="str">
        <f t="shared" si="1"/>
        <v>C108646122</v>
      </c>
      <c r="B1194" s="185">
        <f t="array" ref="B1194">IF(F1194="VL","",IF(F1194="Free","Free",XLOOKUP(D1194,Roster!T:T,Roster!S:S,"",0)))</f>
        <v>124</v>
      </c>
      <c r="C1194" s="313">
        <v>46122.0</v>
      </c>
      <c r="D1194" s="314" t="s">
        <v>51</v>
      </c>
      <c r="E1194" s="307" t="str">
        <f t="array" ref="E1194">(XLOOKUP(D1194,Roster!F:F,Roster!B:B,"",0))</f>
        <v>Karen Panqueva</v>
      </c>
      <c r="F1194" s="315" t="str">
        <f t="array" ref="F1194">IF(B1194=100,"Free",TEXT(XLOOKUP($D1194,OperationVoice!$A:$A,OperationVoice!P:P,XLOOKUP($D1194,OperationTickets!$A:$A,OperationTickets!P:P,"",0)),"hh:mm"))</f>
        <v>08:00</v>
      </c>
      <c r="G1194" s="309">
        <f t="shared" si="3"/>
        <v>0.7083333333</v>
      </c>
      <c r="H1194" s="316" t="str">
        <f t="array" ref="H1194">XLOOKUP(B1194,Roster!L:L,Roster!N:N,XLOOKUP(D1194,TicketsBreak!A:A,TicketsBreak!E:E,"",0),0)</f>
        <v>10:00 - 10:15</v>
      </c>
      <c r="I1194" s="316" t="str">
        <f t="array" ref="I1194">XLOOKUP(B1194,Roster!L:L,Roster!O:O,XLOOKUP(D1194,TicketsBreak!A:A,TicketsBreak!F:F,"",0),0)</f>
        <v>13:00 - 13:30</v>
      </c>
      <c r="J1194" s="316" t="str">
        <f t="array" ref="J1194">XLOOKUP(B1194,Roster!L:L,Roster!P:P,XLOOKUP(D1194,TicketsBreak!A:A,TicketsBreak!G:G,"",0),0)</f>
        <v>15:30 - 15:45</v>
      </c>
      <c r="K1194" s="310">
        <f t="shared" si="4"/>
        <v>46122</v>
      </c>
      <c r="L1194" s="317">
        <f t="array" ref="L1194">(XLOOKUP(D1194,Roster!F:F,Roster!D:D,"",0))</f>
        <v>19</v>
      </c>
      <c r="M1194" s="317" t="str">
        <f t="array" ref="M1194">XLOOKUP(D1194,Roster!F:F,Roster!E:E)</f>
        <v>Voice</v>
      </c>
      <c r="N1194" s="317" t="str">
        <f t="shared" ref="N1194:P1194" si="1213">LEFT(H1194,5)</f>
        <v>10:00</v>
      </c>
      <c r="O1194" s="317" t="str">
        <f t="shared" si="1213"/>
        <v>13:00</v>
      </c>
      <c r="P1194" s="317" t="str">
        <f t="shared" si="1213"/>
        <v>15:30</v>
      </c>
      <c r="Q1194" s="318">
        <f t="shared" si="1090"/>
        <v>46122.41667</v>
      </c>
      <c r="R1194" s="318">
        <f t="shared" si="1091"/>
        <v>46122.54167</v>
      </c>
      <c r="S1194" s="318">
        <f t="shared" si="8"/>
        <v>46122.64583</v>
      </c>
    </row>
    <row r="1195">
      <c r="A1195" s="14" t="str">
        <f t="shared" si="1"/>
        <v>C149246122</v>
      </c>
      <c r="B1195" s="185">
        <f t="array" ref="B1195">IF(F1195="VL","",IF(F1195="Free","Free",XLOOKUP(D1195,Roster!T:T,Roster!S:S,"",0)))</f>
        <v>125</v>
      </c>
      <c r="C1195" s="313">
        <v>46122.0</v>
      </c>
      <c r="D1195" s="314" t="s">
        <v>52</v>
      </c>
      <c r="E1195" s="307" t="str">
        <f t="array" ref="E1195">(XLOOKUP(D1195,Roster!F:F,Roster!B:B,"",0))</f>
        <v>Karol Pineda</v>
      </c>
      <c r="F1195" s="315" t="str">
        <f t="array" ref="F1195">IF(B1195=100,"Free",TEXT(XLOOKUP($D1195,OperationVoice!$A:$A,OperationVoice!P:P,XLOOKUP($D1195,OperationTickets!$A:$A,OperationTickets!P:P,"",0)),"hh:mm"))</f>
        <v>08:00</v>
      </c>
      <c r="G1195" s="309">
        <f t="shared" si="3"/>
        <v>0.7083333333</v>
      </c>
      <c r="H1195" s="316" t="str">
        <f t="array" ref="H1195">XLOOKUP(B1195,Roster!L:L,Roster!N:N,XLOOKUP(D1195,TicketsBreak!A:A,TicketsBreak!E:E,"",0),0)</f>
        <v>10:30 - 10:45</v>
      </c>
      <c r="I1195" s="316" t="str">
        <f t="array" ref="I1195">XLOOKUP(B1195,Roster!L:L,Roster!O:O,XLOOKUP(D1195,TicketsBreak!A:A,TicketsBreak!F:F,"",0),0)</f>
        <v>13:30 - 14:00</v>
      </c>
      <c r="J1195" s="316" t="str">
        <f t="array" ref="J1195">XLOOKUP(B1195,Roster!L:L,Roster!P:P,XLOOKUP(D1195,TicketsBreak!A:A,TicketsBreak!G:G,"",0),0)</f>
        <v>15:45 - 16:00</v>
      </c>
      <c r="K1195" s="310">
        <f t="shared" si="4"/>
        <v>46122</v>
      </c>
      <c r="L1195" s="317">
        <f t="array" ref="L1195">(XLOOKUP(D1195,Roster!F:F,Roster!D:D,"",0))</f>
        <v>34</v>
      </c>
      <c r="M1195" s="317" t="str">
        <f t="array" ref="M1195">XLOOKUP(D1195,Roster!F:F,Roster!E:E)</f>
        <v>Voice</v>
      </c>
      <c r="N1195" s="317" t="str">
        <f t="shared" ref="N1195:P1195" si="1214">LEFT(H1195,5)</f>
        <v>10:30</v>
      </c>
      <c r="O1195" s="317" t="str">
        <f t="shared" si="1214"/>
        <v>13:30</v>
      </c>
      <c r="P1195" s="317" t="str">
        <f t="shared" si="1214"/>
        <v>15:45</v>
      </c>
      <c r="Q1195" s="318">
        <f t="shared" si="1090"/>
        <v>46122.4375</v>
      </c>
      <c r="R1195" s="318">
        <f t="shared" si="1091"/>
        <v>46122.5625</v>
      </c>
      <c r="S1195" s="318">
        <f t="shared" si="8"/>
        <v>46122.65625</v>
      </c>
    </row>
    <row r="1196">
      <c r="A1196" s="14" t="str">
        <f t="shared" si="1"/>
        <v>C65846122</v>
      </c>
      <c r="B1196" s="185">
        <f t="array" ref="B1196">IF(F1196="VL","",IF(F1196="Free","Free",XLOOKUP(D1196,Roster!T:T,Roster!S:S,"",0)))</f>
        <v>112</v>
      </c>
      <c r="C1196" s="313">
        <v>46122.0</v>
      </c>
      <c r="D1196" s="314" t="s">
        <v>53</v>
      </c>
      <c r="E1196" s="307" t="str">
        <f t="array" ref="E1196">(XLOOKUP(D1196,Roster!F:F,Roster!B:B,"",0))</f>
        <v>Kennedy Giraldo</v>
      </c>
      <c r="F1196" s="315" t="str">
        <f t="array" ref="F1196">IF(B1196=100,"Free",TEXT(XLOOKUP($D1196,OperationVoice!$A:$A,OperationVoice!P:P,XLOOKUP($D1196,OperationTickets!$A:$A,OperationTickets!P:P,"",0)),"hh:mm"))</f>
        <v>07:00</v>
      </c>
      <c r="G1196" s="309">
        <f t="shared" si="3"/>
        <v>0.6666666667</v>
      </c>
      <c r="H1196" s="316" t="str">
        <f t="array" ref="H1196">XLOOKUP(B1196,Roster!L:L,Roster!N:N,XLOOKUP(D1196,TicketsBreak!A:A,TicketsBreak!E:E,"",0),0)</f>
        <v>09:30 - 09:45</v>
      </c>
      <c r="I1196" s="316" t="str">
        <f t="array" ref="I1196">XLOOKUP(B1196,Roster!L:L,Roster!O:O,XLOOKUP(D1196,TicketsBreak!A:A,TicketsBreak!F:F,"",0),0)</f>
        <v>12:15 - 12:45</v>
      </c>
      <c r="J1196" s="316" t="str">
        <f t="array" ref="J1196">XLOOKUP(B1196,Roster!L:L,Roster!P:P,XLOOKUP(D1196,TicketsBreak!A:A,TicketsBreak!G:G,"",0),0)</f>
        <v>14:45 - 15:00</v>
      </c>
      <c r="K1196" s="310">
        <f t="shared" si="4"/>
        <v>46122</v>
      </c>
      <c r="L1196" s="317">
        <f t="array" ref="L1196">(XLOOKUP(D1196,Roster!F:F,Roster!D:D,"",0))</f>
        <v>2</v>
      </c>
      <c r="M1196" s="317" t="str">
        <f t="array" ref="M1196">XLOOKUP(D1196,Roster!F:F,Roster!E:E)</f>
        <v>Voice</v>
      </c>
      <c r="N1196" s="317" t="str">
        <f t="shared" ref="N1196:P1196" si="1215">LEFT(H1196,5)</f>
        <v>09:30</v>
      </c>
      <c r="O1196" s="317" t="str">
        <f t="shared" si="1215"/>
        <v>12:15</v>
      </c>
      <c r="P1196" s="317" t="str">
        <f t="shared" si="1215"/>
        <v>14:45</v>
      </c>
      <c r="Q1196" s="318">
        <f t="shared" si="1090"/>
        <v>46122.39583</v>
      </c>
      <c r="R1196" s="318">
        <f t="shared" si="1091"/>
        <v>46122.51042</v>
      </c>
      <c r="S1196" s="318">
        <f t="shared" si="8"/>
        <v>46122.61458</v>
      </c>
    </row>
    <row r="1197">
      <c r="A1197" s="14" t="str">
        <f t="shared" si="1"/>
        <v>C151446122</v>
      </c>
      <c r="B1197" s="185">
        <f t="array" ref="B1197">IF(F1197="VL","",IF(F1197="Free","Free",XLOOKUP(D1197,Roster!T:T,Roster!S:S,"",0)))</f>
        <v>122</v>
      </c>
      <c r="C1197" s="313">
        <v>46122.0</v>
      </c>
      <c r="D1197" s="314" t="s">
        <v>54</v>
      </c>
      <c r="E1197" s="307" t="str">
        <f t="array" ref="E1197">(XLOOKUP(D1197,Roster!F:F,Roster!B:B,"",0))</f>
        <v>Kevin Betancur</v>
      </c>
      <c r="F1197" s="315" t="str">
        <f t="array" ref="F1197">IF(B1197=100,"Free",TEXT(XLOOKUP($D1197,OperationVoice!$A:$A,OperationVoice!P:P,XLOOKUP($D1197,OperationTickets!$A:$A,OperationTickets!P:P,"",0)),"hh:mm"))</f>
        <v>08:00</v>
      </c>
      <c r="G1197" s="309">
        <f t="shared" si="3"/>
        <v>0.7083333333</v>
      </c>
      <c r="H1197" s="316" t="str">
        <f t="array" ref="H1197">XLOOKUP(B1197,Roster!L:L,Roster!N:N,XLOOKUP(D1197,TicketsBreak!A:A,TicketsBreak!E:E,"",0),0)</f>
        <v>09:30 - 09:45</v>
      </c>
      <c r="I1197" s="316" t="str">
        <f t="array" ref="I1197">XLOOKUP(B1197,Roster!L:L,Roster!O:O,XLOOKUP(D1197,TicketsBreak!A:A,TicketsBreak!F:F,"",0),0)</f>
        <v>12:00 - 12:30</v>
      </c>
      <c r="J1197" s="316" t="str">
        <f t="array" ref="J1197">XLOOKUP(B1197,Roster!L:L,Roster!P:P,XLOOKUP(D1197,TicketsBreak!A:A,TicketsBreak!G:G,"",0),0)</f>
        <v>14:45 - 15:00</v>
      </c>
      <c r="K1197" s="310">
        <f t="shared" si="4"/>
        <v>46122</v>
      </c>
      <c r="L1197" s="317">
        <f t="array" ref="L1197">(XLOOKUP(D1197,Roster!F:F,Roster!D:D,"",0))</f>
        <v>35</v>
      </c>
      <c r="M1197" s="317" t="str">
        <f t="array" ref="M1197">XLOOKUP(D1197,Roster!F:F,Roster!E:E)</f>
        <v>Voice</v>
      </c>
      <c r="N1197" s="317" t="str">
        <f t="shared" ref="N1197:P1197" si="1216">LEFT(H1197,5)</f>
        <v>09:30</v>
      </c>
      <c r="O1197" s="317" t="str">
        <f t="shared" si="1216"/>
        <v>12:00</v>
      </c>
      <c r="P1197" s="317" t="str">
        <f t="shared" si="1216"/>
        <v>14:45</v>
      </c>
      <c r="Q1197" s="318">
        <f t="shared" si="1090"/>
        <v>46122.39583</v>
      </c>
      <c r="R1197" s="318">
        <f t="shared" si="1091"/>
        <v>46122.5</v>
      </c>
      <c r="S1197" s="318">
        <f t="shared" si="8"/>
        <v>46122.61458</v>
      </c>
    </row>
    <row r="1198">
      <c r="A1198" s="14" t="str">
        <f t="shared" si="1"/>
        <v>C157146122</v>
      </c>
      <c r="B1198" s="185">
        <f t="array" ref="B1198">IF(F1198="VL","",IF(F1198="Free","Free",XLOOKUP(D1198,Roster!T:T,Roster!S:S,"",0)))</f>
        <v>123</v>
      </c>
      <c r="C1198" s="313">
        <v>46122.0</v>
      </c>
      <c r="D1198" s="314" t="s">
        <v>55</v>
      </c>
      <c r="E1198" s="307" t="str">
        <f t="array" ref="E1198">(XLOOKUP(D1198,Roster!F:F,Roster!B:B,"",0))</f>
        <v>Laura Chamorro</v>
      </c>
      <c r="F1198" s="315" t="str">
        <f t="array" ref="F1198">IF(B1198=100,"Free",TEXT(XLOOKUP($D1198,OperationVoice!$A:$A,OperationVoice!P:P,XLOOKUP($D1198,OperationTickets!$A:$A,OperationTickets!P:P,"",0)),"hh:mm"))</f>
        <v>08:00</v>
      </c>
      <c r="G1198" s="309">
        <f t="shared" si="3"/>
        <v>0.7083333333</v>
      </c>
      <c r="H1198" s="316" t="str">
        <f t="array" ref="H1198">XLOOKUP(B1198,Roster!L:L,Roster!N:N,XLOOKUP(D1198,TicketsBreak!A:A,TicketsBreak!E:E,"",0),0)</f>
        <v>09:45 - 10:00 </v>
      </c>
      <c r="I1198" s="316" t="str">
        <f t="array" ref="I1198">XLOOKUP(B1198,Roster!L:L,Roster!O:O,XLOOKUP(D1198,TicketsBreak!A:A,TicketsBreak!F:F,"",0),0)</f>
        <v>12:30 - 13:00</v>
      </c>
      <c r="J1198" s="316" t="str">
        <f t="array" ref="J1198">XLOOKUP(B1198,Roster!L:L,Roster!P:P,XLOOKUP(D1198,TicketsBreak!A:A,TicketsBreak!G:G,"",0),0)</f>
        <v>15:00 - 15:15</v>
      </c>
      <c r="K1198" s="310">
        <f t="shared" si="4"/>
        <v>46122</v>
      </c>
      <c r="L1198" s="317">
        <f t="array" ref="L1198">(XLOOKUP(D1198,Roster!F:F,Roster!D:D,"",0))</f>
        <v>38</v>
      </c>
      <c r="M1198" s="317" t="str">
        <f t="array" ref="M1198">XLOOKUP(D1198,Roster!F:F,Roster!E:E)</f>
        <v>Voice</v>
      </c>
      <c r="N1198" s="317" t="str">
        <f t="shared" ref="N1198:P1198" si="1217">LEFT(H1198,5)</f>
        <v>09:45</v>
      </c>
      <c r="O1198" s="317" t="str">
        <f t="shared" si="1217"/>
        <v>12:30</v>
      </c>
      <c r="P1198" s="317" t="str">
        <f t="shared" si="1217"/>
        <v>15:00</v>
      </c>
      <c r="Q1198" s="318">
        <f t="shared" si="1090"/>
        <v>46122.40625</v>
      </c>
      <c r="R1198" s="318">
        <f t="shared" si="1091"/>
        <v>46122.52083</v>
      </c>
      <c r="S1198" s="318">
        <f t="shared" si="8"/>
        <v>46122.625</v>
      </c>
    </row>
    <row r="1199">
      <c r="A1199" s="14" t="str">
        <f t="shared" si="1"/>
        <v>C53446122</v>
      </c>
      <c r="B1199" s="185" t="str">
        <f t="array" ref="B1199">IF(F1199="VL","",IF(F1199="Free","Free",XLOOKUP(D1199,Roster!T:T,Roster!S:S,"",0)))</f>
        <v/>
      </c>
      <c r="C1199" s="313">
        <v>46122.0</v>
      </c>
      <c r="D1199" s="314" t="s">
        <v>177</v>
      </c>
      <c r="E1199" s="307" t="str">
        <f t="array" ref="E1199">(XLOOKUP(D1199,Roster!F:F,Roster!B:B,"",0))</f>
        <v>Leandry La Rosa</v>
      </c>
      <c r="F1199" s="315" t="str">
        <f t="array" ref="F1199">IF(B1199=100,"Free",TEXT(XLOOKUP($D1199,OperationVoice!$A:$A,OperationVoice!P:P,XLOOKUP($D1199,OperationTickets!$A:$A,OperationTickets!P:P,"",0)),"hh:mm"))</f>
        <v>08:00</v>
      </c>
      <c r="G1199" s="309">
        <f t="shared" si="3"/>
        <v>0.7083333333</v>
      </c>
      <c r="H1199" s="316">
        <f t="array" ref="H1199">XLOOKUP(B1199,Roster!L:L,Roster!N:N,XLOOKUP(D1199,TicketsBreak!A:A,TicketsBreak!E:E,"",0),0)</f>
        <v>0.40625</v>
      </c>
      <c r="I1199" s="316">
        <f t="array" ref="I1199">XLOOKUP(B1199,Roster!L:L,Roster!O:O,XLOOKUP(D1199,TicketsBreak!A:A,TicketsBreak!F:F,"",0),0)</f>
        <v>0.5416666667</v>
      </c>
      <c r="J1199" s="316">
        <f t="array" ref="J1199">XLOOKUP(B1199,Roster!L:L,Roster!P:P,XLOOKUP(D1199,TicketsBreak!A:A,TicketsBreak!G:G,"",0),0)</f>
        <v>0.65625</v>
      </c>
      <c r="K1199" s="310">
        <f t="shared" si="4"/>
        <v>46122</v>
      </c>
      <c r="L1199" s="317">
        <f t="array" ref="L1199">(XLOOKUP(D1199,Roster!F:F,Roster!D:D,"",0))</f>
        <v>1</v>
      </c>
      <c r="M1199" s="317" t="str">
        <f t="array" ref="M1199">XLOOKUP(D1199,Roster!F:F,Roster!E:E)</f>
        <v>Tickets</v>
      </c>
      <c r="N1199" s="317" t="str">
        <f t="shared" ref="N1199:P1199" si="1218">LEFT(H1199,5)</f>
        <v>09:45</v>
      </c>
      <c r="O1199" s="317" t="str">
        <f t="shared" si="1218"/>
        <v>13:00</v>
      </c>
      <c r="P1199" s="317" t="str">
        <f t="shared" si="1218"/>
        <v>15:45</v>
      </c>
      <c r="Q1199" s="318">
        <f t="shared" si="1090"/>
        <v>46122.40625</v>
      </c>
      <c r="R1199" s="318">
        <f t="shared" si="1091"/>
        <v>46122.54167</v>
      </c>
      <c r="S1199" s="318">
        <f t="shared" si="8"/>
        <v>46122.65625</v>
      </c>
    </row>
    <row r="1200">
      <c r="A1200" s="14" t="str">
        <f t="shared" si="1"/>
        <v>C157846122</v>
      </c>
      <c r="B1200" s="185">
        <f t="array" ref="B1200">IF(F1200="VL","",IF(F1200="Free","Free",XLOOKUP(D1200,Roster!T:T,Roster!S:S,"",0)))</f>
        <v>125</v>
      </c>
      <c r="C1200" s="313">
        <v>46122.0</v>
      </c>
      <c r="D1200" s="314" t="s">
        <v>56</v>
      </c>
      <c r="E1200" s="307" t="str">
        <f t="array" ref="E1200">(XLOOKUP(D1200,Roster!F:F,Roster!B:B,"",0))</f>
        <v>Leonerrichi Caicedo</v>
      </c>
      <c r="F1200" s="315" t="str">
        <f t="array" ref="F1200">IF(B1200=100,"Free",TEXT(XLOOKUP($D1200,OperationVoice!$A:$A,OperationVoice!P:P,XLOOKUP($D1200,OperationTickets!$A:$A,OperationTickets!P:P,"",0)),"hh:mm"))</f>
        <v>08:00</v>
      </c>
      <c r="G1200" s="309">
        <f t="shared" si="3"/>
        <v>0.7083333333</v>
      </c>
      <c r="H1200" s="316" t="str">
        <f t="array" ref="H1200">XLOOKUP(B1200,Roster!L:L,Roster!N:N,XLOOKUP(D1200,TicketsBreak!A:A,TicketsBreak!E:E,"",0),0)</f>
        <v>10:30 - 10:45</v>
      </c>
      <c r="I1200" s="316" t="str">
        <f t="array" ref="I1200">XLOOKUP(B1200,Roster!L:L,Roster!O:O,XLOOKUP(D1200,TicketsBreak!A:A,TicketsBreak!F:F,"",0),0)</f>
        <v>13:30 - 14:00</v>
      </c>
      <c r="J1200" s="316" t="str">
        <f t="array" ref="J1200">XLOOKUP(B1200,Roster!L:L,Roster!P:P,XLOOKUP(D1200,TicketsBreak!A:A,TicketsBreak!G:G,"",0),0)</f>
        <v>15:45 - 16:00</v>
      </c>
      <c r="K1200" s="310">
        <f t="shared" si="4"/>
        <v>46122</v>
      </c>
      <c r="L1200" s="317">
        <f t="array" ref="L1200">(XLOOKUP(D1200,Roster!F:F,Roster!D:D,"",0))</f>
        <v>38</v>
      </c>
      <c r="M1200" s="317" t="str">
        <f t="array" ref="M1200">XLOOKUP(D1200,Roster!F:F,Roster!E:E)</f>
        <v>Voice</v>
      </c>
      <c r="N1200" s="317" t="str">
        <f t="shared" ref="N1200:P1200" si="1219">LEFT(H1200,5)</f>
        <v>10:30</v>
      </c>
      <c r="O1200" s="317" t="str">
        <f t="shared" si="1219"/>
        <v>13:30</v>
      </c>
      <c r="P1200" s="317" t="str">
        <f t="shared" si="1219"/>
        <v>15:45</v>
      </c>
      <c r="Q1200" s="318">
        <f t="shared" si="1090"/>
        <v>46122.4375</v>
      </c>
      <c r="R1200" s="318">
        <f t="shared" si="1091"/>
        <v>46122.5625</v>
      </c>
      <c r="S1200" s="318">
        <f t="shared" si="8"/>
        <v>46122.65625</v>
      </c>
    </row>
    <row r="1201">
      <c r="A1201" s="14" t="str">
        <f t="shared" si="1"/>
        <v>C53546122</v>
      </c>
      <c r="B1201" s="185" t="str">
        <f t="array" ref="B1201">IF(F1201="VL","",IF(F1201="Free","Free",XLOOKUP(D1201,Roster!T:T,Roster!S:S,"",0)))</f>
        <v/>
      </c>
      <c r="C1201" s="313">
        <v>46122.0</v>
      </c>
      <c r="D1201" s="314" t="s">
        <v>145</v>
      </c>
      <c r="E1201" s="307" t="str">
        <f t="array" ref="E1201">(XLOOKUP(D1201,Roster!F:F,Roster!B:B,"",0))</f>
        <v>Lina Cadena</v>
      </c>
      <c r="F1201" s="315" t="str">
        <f t="array" ref="F1201">IF(B1201=100,"Free",TEXT(XLOOKUP($D1201,OperationVoice!$A:$A,OperationVoice!P:P,XLOOKUP($D1201,OperationTickets!$A:$A,OperationTickets!P:P,"",0)),"hh:mm"))</f>
        <v>08:00</v>
      </c>
      <c r="G1201" s="309">
        <f t="shared" si="3"/>
        <v>0.7083333333</v>
      </c>
      <c r="H1201" s="316">
        <f t="array" ref="H1201">XLOOKUP(B1201,Roster!L:L,Roster!N:N,XLOOKUP(D1201,TicketsBreak!A:A,TicketsBreak!E:E,"",0),0)</f>
        <v>0.3854166667</v>
      </c>
      <c r="I1201" s="316">
        <f t="array" ref="I1201">XLOOKUP(B1201,Roster!L:L,Roster!O:O,XLOOKUP(D1201,TicketsBreak!A:A,TicketsBreak!F:F,"",0),0)</f>
        <v>0.5833333333</v>
      </c>
      <c r="J1201" s="316">
        <f t="array" ref="J1201">XLOOKUP(B1201,Roster!L:L,Roster!P:P,XLOOKUP(D1201,TicketsBreak!A:A,TicketsBreak!G:G,"",0),0)</f>
        <v>0.6458333333</v>
      </c>
      <c r="K1201" s="310">
        <f t="shared" si="4"/>
        <v>46122</v>
      </c>
      <c r="L1201" s="317">
        <f t="array" ref="L1201">(XLOOKUP(D1201,Roster!F:F,Roster!D:D,"",0))</f>
        <v>2</v>
      </c>
      <c r="M1201" s="317" t="str">
        <f t="array" ref="M1201">XLOOKUP(D1201,Roster!F:F,Roster!E:E)</f>
        <v>Tickets</v>
      </c>
      <c r="N1201" s="317" t="str">
        <f t="shared" ref="N1201:P1201" si="1220">LEFT(H1201,5)</f>
        <v>09:15</v>
      </c>
      <c r="O1201" s="317" t="str">
        <f t="shared" si="1220"/>
        <v>14:00</v>
      </c>
      <c r="P1201" s="317" t="str">
        <f t="shared" si="1220"/>
        <v>15:30</v>
      </c>
      <c r="Q1201" s="318">
        <f t="shared" si="1090"/>
        <v>46122.38542</v>
      </c>
      <c r="R1201" s="318">
        <f t="shared" si="1091"/>
        <v>46122.58333</v>
      </c>
      <c r="S1201" s="318">
        <f t="shared" si="8"/>
        <v>46122.64583</v>
      </c>
    </row>
    <row r="1202">
      <c r="A1202" s="14" t="str">
        <f t="shared" si="1"/>
        <v>C151746122</v>
      </c>
      <c r="B1202" s="185">
        <f t="array" ref="B1202">IF(F1202="VL","",IF(F1202="Free","Free",XLOOKUP(D1202,Roster!T:T,Roster!S:S,"",0)))</f>
        <v>124</v>
      </c>
      <c r="C1202" s="313">
        <v>46122.0</v>
      </c>
      <c r="D1202" s="314" t="s">
        <v>57</v>
      </c>
      <c r="E1202" s="307" t="str">
        <f t="array" ref="E1202">(XLOOKUP(D1202,Roster!F:F,Roster!B:B,"",0))</f>
        <v>Lisandro Alvarado</v>
      </c>
      <c r="F1202" s="315" t="str">
        <f t="array" ref="F1202">IF(B1202=100,"Free",TEXT(XLOOKUP($D1202,OperationVoice!$A:$A,OperationVoice!P:P,XLOOKUP($D1202,OperationTickets!$A:$A,OperationTickets!P:P,"",0)),"hh:mm"))</f>
        <v>08:00</v>
      </c>
      <c r="G1202" s="309">
        <f t="shared" si="3"/>
        <v>0.7083333333</v>
      </c>
      <c r="H1202" s="316" t="str">
        <f t="array" ref="H1202">XLOOKUP(B1202,Roster!L:L,Roster!N:N,XLOOKUP(D1202,TicketsBreak!A:A,TicketsBreak!E:E,"",0),0)</f>
        <v>10:00 - 10:15</v>
      </c>
      <c r="I1202" s="316" t="str">
        <f t="array" ref="I1202">XLOOKUP(B1202,Roster!L:L,Roster!O:O,XLOOKUP(D1202,TicketsBreak!A:A,TicketsBreak!F:F,"",0),0)</f>
        <v>13:00 - 13:30</v>
      </c>
      <c r="J1202" s="316" t="str">
        <f t="array" ref="J1202">XLOOKUP(B1202,Roster!L:L,Roster!P:P,XLOOKUP(D1202,TicketsBreak!A:A,TicketsBreak!G:G,"",0),0)</f>
        <v>15:30 - 15:45</v>
      </c>
      <c r="K1202" s="310">
        <f t="shared" si="4"/>
        <v>46122</v>
      </c>
      <c r="L1202" s="317">
        <f t="array" ref="L1202">(XLOOKUP(D1202,Roster!F:F,Roster!D:D,"",0))</f>
        <v>35</v>
      </c>
      <c r="M1202" s="317" t="str">
        <f t="array" ref="M1202">XLOOKUP(D1202,Roster!F:F,Roster!E:E)</f>
        <v>Voice</v>
      </c>
      <c r="N1202" s="317" t="str">
        <f t="shared" ref="N1202:P1202" si="1221">LEFT(H1202,5)</f>
        <v>10:00</v>
      </c>
      <c r="O1202" s="317" t="str">
        <f t="shared" si="1221"/>
        <v>13:00</v>
      </c>
      <c r="P1202" s="317" t="str">
        <f t="shared" si="1221"/>
        <v>15:30</v>
      </c>
      <c r="Q1202" s="318">
        <f t="shared" si="1090"/>
        <v>46122.41667</v>
      </c>
      <c r="R1202" s="318">
        <f t="shared" si="1091"/>
        <v>46122.54167</v>
      </c>
      <c r="S1202" s="318">
        <f t="shared" si="8"/>
        <v>46122.64583</v>
      </c>
    </row>
    <row r="1203">
      <c r="A1203" s="14" t="str">
        <f t="shared" si="1"/>
        <v>C143346122</v>
      </c>
      <c r="B1203" s="185">
        <f t="array" ref="B1203">IF(F1203="VL","",IF(F1203="Free","Free",XLOOKUP(D1203,Roster!T:T,Roster!S:S,"",0)))</f>
        <v>500</v>
      </c>
      <c r="C1203" s="313">
        <v>46122.0</v>
      </c>
      <c r="D1203" s="314" t="s">
        <v>58</v>
      </c>
      <c r="E1203" s="307" t="str">
        <f t="array" ref="E1203">(XLOOKUP(D1203,Roster!F:F,Roster!B:B,"",0))</f>
        <v>Luis Lopez</v>
      </c>
      <c r="F1203" s="315" t="str">
        <f t="array" ref="F1203">IF(B1203=100,"Free",TEXT(XLOOKUP($D1203,OperationVoice!$A:$A,OperationVoice!P:P,XLOOKUP($D1203,OperationTickets!$A:$A,OperationTickets!P:P,"",0)),"hh:mm"))</f>
        <v>11:00</v>
      </c>
      <c r="G1203" s="309">
        <f t="shared" si="3"/>
        <v>0.8333333333</v>
      </c>
      <c r="H1203" s="316" t="str">
        <f t="array" ref="H1203">XLOOKUP(B1203,Roster!L:L,Roster!N:N,XLOOKUP(D1203,TicketsBreak!A:A,TicketsBreak!E:E,"",0),0)</f>
        <v>Team Leader</v>
      </c>
      <c r="I1203" s="316" t="str">
        <f t="array" ref="I1203">XLOOKUP(B1203,Roster!L:L,Roster!O:O,XLOOKUP(D1203,TicketsBreak!A:A,TicketsBreak!F:F,"",0),0)</f>
        <v>Team Leader</v>
      </c>
      <c r="J1203" s="316" t="str">
        <f t="array" ref="J1203">XLOOKUP(B1203,Roster!L:L,Roster!P:P,XLOOKUP(D1203,TicketsBreak!A:A,TicketsBreak!G:G,"",0),0)</f>
        <v/>
      </c>
      <c r="K1203" s="310">
        <f t="shared" si="4"/>
        <v>46122</v>
      </c>
      <c r="L1203" s="317">
        <f t="array" ref="L1203">(XLOOKUP(D1203,Roster!F:F,Roster!D:D,"",0))</f>
        <v>32</v>
      </c>
      <c r="M1203" s="317" t="str">
        <f t="array" ref="M1203">XLOOKUP(D1203,Roster!F:F,Roster!E:E)</f>
        <v>Voice</v>
      </c>
      <c r="N1203" s="317" t="str">
        <f t="shared" ref="N1203:P1203" si="1222">LEFT(H1203,5)</f>
        <v>Team </v>
      </c>
      <c r="O1203" s="317" t="str">
        <f t="shared" si="1222"/>
        <v>Team </v>
      </c>
      <c r="P1203" s="317" t="str">
        <f t="shared" si="1222"/>
        <v/>
      </c>
      <c r="Q1203" s="318" t="str">
        <f t="shared" si="1090"/>
        <v>#VALUE!</v>
      </c>
      <c r="R1203" s="318" t="str">
        <f t="shared" si="1091"/>
        <v>#VALUE!</v>
      </c>
      <c r="S1203" s="318" t="str">
        <f t="shared" si="8"/>
        <v/>
      </c>
    </row>
    <row r="1204">
      <c r="A1204" s="14" t="str">
        <f t="shared" si="1"/>
        <v>C153446122</v>
      </c>
      <c r="B1204" s="185">
        <f t="array" ref="B1204">IF(F1204="VL","",IF(F1204="Free","Free",XLOOKUP(D1204,Roster!T:T,Roster!S:S,"",0)))</f>
        <v>126</v>
      </c>
      <c r="C1204" s="313">
        <v>46122.0</v>
      </c>
      <c r="D1204" s="314" t="s">
        <v>59</v>
      </c>
      <c r="E1204" s="307" t="str">
        <f t="array" ref="E1204">(XLOOKUP(D1204,Roster!F:F,Roster!B:B,"",0))</f>
        <v>Luis Munoz</v>
      </c>
      <c r="F1204" s="315" t="str">
        <f t="array" ref="F1204">IF(B1204=100,"Free",TEXT(XLOOKUP($D1204,OperationVoice!$A:$A,OperationVoice!P:P,XLOOKUP($D1204,OperationTickets!$A:$A,OperationTickets!P:P,"",0)),"hh:mm"))</f>
        <v>08:00</v>
      </c>
      <c r="G1204" s="309">
        <f t="shared" si="3"/>
        <v>0.7083333333</v>
      </c>
      <c r="H1204" s="316" t="str">
        <f t="array" ref="H1204">XLOOKUP(B1204,Roster!L:L,Roster!N:N,XLOOKUP(D1204,TicketsBreak!A:A,TicketsBreak!E:E,"",0),0)</f>
        <v>10:45 - 11:00</v>
      </c>
      <c r="I1204" s="316" t="str">
        <f t="array" ref="I1204">XLOOKUP(B1204,Roster!L:L,Roster!O:O,XLOOKUP(D1204,TicketsBreak!A:A,TicketsBreak!F:F,"",0),0)</f>
        <v>14:00 - 14:30</v>
      </c>
      <c r="J1204" s="316" t="str">
        <f t="array" ref="J1204">XLOOKUP(B1204,Roster!L:L,Roster!P:P,XLOOKUP(D1204,TicketsBreak!A:A,TicketsBreak!G:G,"",0),0)</f>
        <v>15:45 - 16:00</v>
      </c>
      <c r="K1204" s="310">
        <f t="shared" si="4"/>
        <v>46122</v>
      </c>
      <c r="L1204" s="317">
        <f t="array" ref="L1204">(XLOOKUP(D1204,Roster!F:F,Roster!D:D,"",0))</f>
        <v>36</v>
      </c>
      <c r="M1204" s="317" t="str">
        <f t="array" ref="M1204">XLOOKUP(D1204,Roster!F:F,Roster!E:E)</f>
        <v>Voice</v>
      </c>
      <c r="N1204" s="317" t="str">
        <f t="shared" ref="N1204:P1204" si="1223">LEFT(H1204,5)</f>
        <v>10:45</v>
      </c>
      <c r="O1204" s="317" t="str">
        <f t="shared" si="1223"/>
        <v>14:00</v>
      </c>
      <c r="P1204" s="317" t="str">
        <f t="shared" si="1223"/>
        <v>15:45</v>
      </c>
      <c r="Q1204" s="318">
        <f t="shared" si="1090"/>
        <v>46122.44792</v>
      </c>
      <c r="R1204" s="318">
        <f t="shared" si="1091"/>
        <v>46122.58333</v>
      </c>
      <c r="S1204" s="318">
        <f t="shared" si="8"/>
        <v>46122.65625</v>
      </c>
    </row>
    <row r="1205">
      <c r="A1205" s="14" t="str">
        <f t="shared" si="1"/>
        <v>C53846122</v>
      </c>
      <c r="B1205" s="185" t="str">
        <f t="array" ref="B1205">IF(F1205="VL","",IF(F1205="Free","Free",XLOOKUP(D1205,Roster!T:T,Roster!S:S,"",0)))</f>
        <v/>
      </c>
      <c r="C1205" s="313">
        <v>46122.0</v>
      </c>
      <c r="D1205" s="314" t="s">
        <v>165</v>
      </c>
      <c r="E1205" s="307" t="str">
        <f t="array" ref="E1205">(XLOOKUP(D1205,Roster!F:F,Roster!B:B,"",0))</f>
        <v>Luisa Arenas</v>
      </c>
      <c r="F1205" s="315" t="str">
        <f t="array" ref="F1205">IF(B1205=100,"Free",TEXT(XLOOKUP($D1205,OperationVoice!$A:$A,OperationVoice!P:P,XLOOKUP($D1205,OperationTickets!$A:$A,OperationTickets!P:P,"",0)),"hh:mm"))</f>
        <v>08:00</v>
      </c>
      <c r="G1205" s="309">
        <f t="shared" si="3"/>
        <v>0.7083333333</v>
      </c>
      <c r="H1205" s="316" t="str">
        <f t="array" ref="H1205">XLOOKUP(B1205,Roster!L:L,Roster!N:N,XLOOKUP(D1205,TicketsBreak!A:A,TicketsBreak!E:E,"",0),0)</f>
        <v/>
      </c>
      <c r="I1205" s="316" t="str">
        <f t="array" ref="I1205">XLOOKUP(B1205,Roster!L:L,Roster!O:O,XLOOKUP(D1205,TicketsBreak!A:A,TicketsBreak!F:F,"",0),0)</f>
        <v/>
      </c>
      <c r="J1205" s="316" t="str">
        <f t="array" ref="J1205">XLOOKUP(B1205,Roster!L:L,Roster!P:P,XLOOKUP(D1205,TicketsBreak!A:A,TicketsBreak!G:G,"",0),0)</f>
        <v/>
      </c>
      <c r="K1205" s="310">
        <f t="shared" si="4"/>
        <v>46122</v>
      </c>
      <c r="L1205" s="317">
        <f t="array" ref="L1205">(XLOOKUP(D1205,Roster!F:F,Roster!D:D,"",0))</f>
        <v>35</v>
      </c>
      <c r="M1205" s="317" t="str">
        <f t="array" ref="M1205">XLOOKUP(D1205,Roster!F:F,Roster!E:E)</f>
        <v>Tickets</v>
      </c>
      <c r="N1205" s="317" t="str">
        <f t="shared" ref="N1205:P1205" si="1224">LEFT(H1205,5)</f>
        <v/>
      </c>
      <c r="O1205" s="317" t="str">
        <f t="shared" si="1224"/>
        <v/>
      </c>
      <c r="P1205" s="317" t="str">
        <f t="shared" si="1224"/>
        <v/>
      </c>
      <c r="Q1205" s="318" t="str">
        <f t="shared" si="1090"/>
        <v/>
      </c>
      <c r="R1205" s="318" t="str">
        <f t="shared" si="1091"/>
        <v/>
      </c>
      <c r="S1205" s="318" t="str">
        <f t="shared" si="8"/>
        <v/>
      </c>
    </row>
    <row r="1206">
      <c r="A1206" s="14" t="str">
        <f t="shared" si="1"/>
        <v>C113646122</v>
      </c>
      <c r="B1206" s="185">
        <f t="array" ref="B1206">IF(F1206="VL","",IF(F1206="Free","Free",XLOOKUP(D1206,Roster!T:T,Roster!S:S,"",0)))</f>
        <v>126</v>
      </c>
      <c r="C1206" s="313">
        <v>46122.0</v>
      </c>
      <c r="D1206" s="314" t="s">
        <v>60</v>
      </c>
      <c r="E1206" s="307" t="str">
        <f t="array" ref="E1206">(XLOOKUP(D1206,Roster!F:F,Roster!B:B,"",0))</f>
        <v>Luisa Gonzalez</v>
      </c>
      <c r="F1206" s="315" t="str">
        <f t="array" ref="F1206">IF(B1206=100,"Free",TEXT(XLOOKUP($D1206,OperationVoice!$A:$A,OperationVoice!P:P,XLOOKUP($D1206,OperationTickets!$A:$A,OperationTickets!P:P,"",0)),"hh:mm"))</f>
        <v>08:00</v>
      </c>
      <c r="G1206" s="309">
        <f t="shared" si="3"/>
        <v>0.7083333333</v>
      </c>
      <c r="H1206" s="316" t="str">
        <f t="array" ref="H1206">XLOOKUP(B1206,Roster!L:L,Roster!N:N,XLOOKUP(D1206,TicketsBreak!A:A,TicketsBreak!E:E,"",0),0)</f>
        <v>10:45 - 11:00</v>
      </c>
      <c r="I1206" s="316" t="str">
        <f t="array" ref="I1206">XLOOKUP(B1206,Roster!L:L,Roster!O:O,XLOOKUP(D1206,TicketsBreak!A:A,TicketsBreak!F:F,"",0),0)</f>
        <v>14:00 - 14:30</v>
      </c>
      <c r="J1206" s="316" t="str">
        <f t="array" ref="J1206">XLOOKUP(B1206,Roster!L:L,Roster!P:P,XLOOKUP(D1206,TicketsBreak!A:A,TicketsBreak!G:G,"",0),0)</f>
        <v>15:45 - 16:00</v>
      </c>
      <c r="K1206" s="310">
        <f t="shared" si="4"/>
        <v>46122</v>
      </c>
      <c r="L1206" s="317">
        <f t="array" ref="L1206">(XLOOKUP(D1206,Roster!F:F,Roster!D:D,"",0))</f>
        <v>22</v>
      </c>
      <c r="M1206" s="317" t="str">
        <f t="array" ref="M1206">XLOOKUP(D1206,Roster!F:F,Roster!E:E)</f>
        <v>Voice</v>
      </c>
      <c r="N1206" s="317" t="str">
        <f t="shared" ref="N1206:P1206" si="1225">LEFT(H1206,5)</f>
        <v>10:45</v>
      </c>
      <c r="O1206" s="317" t="str">
        <f t="shared" si="1225"/>
        <v>14:00</v>
      </c>
      <c r="P1206" s="317" t="str">
        <f t="shared" si="1225"/>
        <v>15:45</v>
      </c>
      <c r="Q1206" s="318">
        <f t="shared" si="1090"/>
        <v>46122.44792</v>
      </c>
      <c r="R1206" s="318">
        <f t="shared" si="1091"/>
        <v>46122.58333</v>
      </c>
      <c r="S1206" s="318">
        <f t="shared" si="8"/>
        <v>46122.65625</v>
      </c>
    </row>
    <row r="1207">
      <c r="A1207" s="14" t="str">
        <f t="shared" si="1"/>
        <v>C157746122</v>
      </c>
      <c r="B1207" s="185">
        <f t="array" ref="B1207">IF(F1207="VL","",IF(F1207="Free","Free",XLOOKUP(D1207,Roster!T:T,Roster!S:S,"",0)))</f>
        <v>126</v>
      </c>
      <c r="C1207" s="313">
        <v>46122.0</v>
      </c>
      <c r="D1207" s="314" t="s">
        <v>61</v>
      </c>
      <c r="E1207" s="307" t="str">
        <f t="array" ref="E1207">(XLOOKUP(D1207,Roster!F:F,Roster!B:B,"",0))</f>
        <v>Luna Morales</v>
      </c>
      <c r="F1207" s="315" t="str">
        <f t="array" ref="F1207">IF(B1207=100,"Free",TEXT(XLOOKUP($D1207,OperationVoice!$A:$A,OperationVoice!P:P,XLOOKUP($D1207,OperationTickets!$A:$A,OperationTickets!P:P,"",0)),"hh:mm"))</f>
        <v>08:00</v>
      </c>
      <c r="G1207" s="309">
        <f t="shared" si="3"/>
        <v>0.7083333333</v>
      </c>
      <c r="H1207" s="316" t="str">
        <f t="array" ref="H1207">XLOOKUP(B1207,Roster!L:L,Roster!N:N,XLOOKUP(D1207,TicketsBreak!A:A,TicketsBreak!E:E,"",0),0)</f>
        <v>10:45 - 11:00</v>
      </c>
      <c r="I1207" s="316" t="str">
        <f t="array" ref="I1207">XLOOKUP(B1207,Roster!L:L,Roster!O:O,XLOOKUP(D1207,TicketsBreak!A:A,TicketsBreak!F:F,"",0),0)</f>
        <v>14:00 - 14:30</v>
      </c>
      <c r="J1207" s="316" t="str">
        <f t="array" ref="J1207">XLOOKUP(B1207,Roster!L:L,Roster!P:P,XLOOKUP(D1207,TicketsBreak!A:A,TicketsBreak!G:G,"",0),0)</f>
        <v>15:45 - 16:00</v>
      </c>
      <c r="K1207" s="310">
        <f t="shared" si="4"/>
        <v>46122</v>
      </c>
      <c r="L1207" s="317">
        <f t="array" ref="L1207">(XLOOKUP(D1207,Roster!F:F,Roster!D:D,"",0))</f>
        <v>38</v>
      </c>
      <c r="M1207" s="317" t="str">
        <f t="array" ref="M1207">XLOOKUP(D1207,Roster!F:F,Roster!E:E)</f>
        <v>Voice</v>
      </c>
      <c r="N1207" s="317" t="str">
        <f t="shared" ref="N1207:P1207" si="1226">LEFT(H1207,5)</f>
        <v>10:45</v>
      </c>
      <c r="O1207" s="317" t="str">
        <f t="shared" si="1226"/>
        <v>14:00</v>
      </c>
      <c r="P1207" s="317" t="str">
        <f t="shared" si="1226"/>
        <v>15:45</v>
      </c>
      <c r="Q1207" s="318">
        <f t="shared" si="1090"/>
        <v>46122.44792</v>
      </c>
      <c r="R1207" s="318">
        <f t="shared" si="1091"/>
        <v>46122.58333</v>
      </c>
      <c r="S1207" s="318">
        <f t="shared" si="8"/>
        <v>46122.65625</v>
      </c>
    </row>
    <row r="1208">
      <c r="A1208" s="14" t="str">
        <f t="shared" si="1"/>
        <v>C121946122</v>
      </c>
      <c r="B1208" s="185" t="str">
        <f t="array" ref="B1208">IF(F1208="VL","",IF(F1208="Free","Free",XLOOKUP(D1208,Roster!T:T,Roster!S:S,"",0)))</f>
        <v/>
      </c>
      <c r="C1208" s="313">
        <v>46122.0</v>
      </c>
      <c r="D1208" s="314" t="s">
        <v>146</v>
      </c>
      <c r="E1208" s="307" t="str">
        <f t="array" ref="E1208">(XLOOKUP(D1208,Roster!F:F,Roster!B:B,"",0))</f>
        <v>Madelyn Jaramillo</v>
      </c>
      <c r="F1208" s="315" t="str">
        <f t="array" ref="F1208">IF(B1208=100,"Free",TEXT(XLOOKUP($D1208,OperationVoice!$A:$A,OperationVoice!P:P,XLOOKUP($D1208,OperationTickets!$A:$A,OperationTickets!P:P,"",0)),"hh:mm"))</f>
        <v>08:00</v>
      </c>
      <c r="G1208" s="309">
        <f t="shared" si="3"/>
        <v>0.7083333333</v>
      </c>
      <c r="H1208" s="316" t="str">
        <f t="array" ref="H1208">XLOOKUP(B1208,Roster!L:L,Roster!N:N,XLOOKUP(D1208,TicketsBreak!A:A,TicketsBreak!E:E,"",0),0)</f>
        <v/>
      </c>
      <c r="I1208" s="316" t="str">
        <f t="array" ref="I1208">XLOOKUP(B1208,Roster!L:L,Roster!O:O,XLOOKUP(D1208,TicketsBreak!A:A,TicketsBreak!F:F,"",0),0)</f>
        <v/>
      </c>
      <c r="J1208" s="316" t="str">
        <f t="array" ref="J1208">XLOOKUP(B1208,Roster!L:L,Roster!P:P,XLOOKUP(D1208,TicketsBreak!A:A,TicketsBreak!G:G,"",0),0)</f>
        <v/>
      </c>
      <c r="K1208" s="310">
        <f t="shared" si="4"/>
        <v>46122</v>
      </c>
      <c r="L1208" s="317">
        <f t="array" ref="L1208">(XLOOKUP(D1208,Roster!F:F,Roster!D:D,"",0))</f>
        <v>26</v>
      </c>
      <c r="M1208" s="317" t="str">
        <f t="array" ref="M1208">XLOOKUP(D1208,Roster!F:F,Roster!E:E)</f>
        <v>Tickets</v>
      </c>
      <c r="N1208" s="317" t="str">
        <f t="shared" ref="N1208:P1208" si="1227">LEFT(H1208,5)</f>
        <v/>
      </c>
      <c r="O1208" s="317" t="str">
        <f t="shared" si="1227"/>
        <v/>
      </c>
      <c r="P1208" s="317" t="str">
        <f t="shared" si="1227"/>
        <v/>
      </c>
      <c r="Q1208" s="318" t="str">
        <f t="shared" si="1090"/>
        <v/>
      </c>
      <c r="R1208" s="318" t="str">
        <f t="shared" si="1091"/>
        <v/>
      </c>
      <c r="S1208" s="318" t="str">
        <f t="shared" si="8"/>
        <v/>
      </c>
    </row>
    <row r="1209">
      <c r="A1209" s="14" t="str">
        <f t="shared" si="1"/>
        <v>C151646122</v>
      </c>
      <c r="B1209" s="185">
        <f t="array" ref="B1209">IF(F1209="VL","",IF(F1209="Free","Free",XLOOKUP(D1209,Roster!T:T,Roster!S:S,"",0)))</f>
        <v>122</v>
      </c>
      <c r="C1209" s="313">
        <v>46122.0</v>
      </c>
      <c r="D1209" s="314" t="s">
        <v>62</v>
      </c>
      <c r="E1209" s="307" t="str">
        <f t="array" ref="E1209">(XLOOKUP(D1209,Roster!F:F,Roster!B:B,"",0))</f>
        <v>Magda Foronda</v>
      </c>
      <c r="F1209" s="315" t="str">
        <f t="array" ref="F1209">IF(B1209=100,"Free",TEXT(XLOOKUP($D1209,OperationVoice!$A:$A,OperationVoice!P:P,XLOOKUP($D1209,OperationTickets!$A:$A,OperationTickets!P:P,"",0)),"hh:mm"))</f>
        <v>08:00</v>
      </c>
      <c r="G1209" s="309">
        <f t="shared" si="3"/>
        <v>0.7083333333</v>
      </c>
      <c r="H1209" s="316" t="str">
        <f t="array" ref="H1209">XLOOKUP(B1209,Roster!L:L,Roster!N:N,XLOOKUP(D1209,TicketsBreak!A:A,TicketsBreak!E:E,"",0),0)</f>
        <v>09:30 - 09:45</v>
      </c>
      <c r="I1209" s="316" t="str">
        <f t="array" ref="I1209">XLOOKUP(B1209,Roster!L:L,Roster!O:O,XLOOKUP(D1209,TicketsBreak!A:A,TicketsBreak!F:F,"",0),0)</f>
        <v>12:00 - 12:30</v>
      </c>
      <c r="J1209" s="316" t="str">
        <f t="array" ref="J1209">XLOOKUP(B1209,Roster!L:L,Roster!P:P,XLOOKUP(D1209,TicketsBreak!A:A,TicketsBreak!G:G,"",0),0)</f>
        <v>14:45 - 15:00</v>
      </c>
      <c r="K1209" s="310">
        <f t="shared" si="4"/>
        <v>46122</v>
      </c>
      <c r="L1209" s="317">
        <f t="array" ref="L1209">(XLOOKUP(D1209,Roster!F:F,Roster!D:D,"",0))</f>
        <v>35</v>
      </c>
      <c r="M1209" s="317" t="str">
        <f t="array" ref="M1209">XLOOKUP(D1209,Roster!F:F,Roster!E:E)</f>
        <v>Voice</v>
      </c>
      <c r="N1209" s="317" t="str">
        <f t="shared" ref="N1209:P1209" si="1228">LEFT(H1209,5)</f>
        <v>09:30</v>
      </c>
      <c r="O1209" s="317" t="str">
        <f t="shared" si="1228"/>
        <v>12:00</v>
      </c>
      <c r="P1209" s="317" t="str">
        <f t="shared" si="1228"/>
        <v>14:45</v>
      </c>
      <c r="Q1209" s="318">
        <f t="shared" si="1090"/>
        <v>46122.39583</v>
      </c>
      <c r="R1209" s="318">
        <f t="shared" si="1091"/>
        <v>46122.5</v>
      </c>
      <c r="S1209" s="318">
        <f t="shared" si="8"/>
        <v>46122.61458</v>
      </c>
    </row>
    <row r="1210">
      <c r="A1210" s="14" t="str">
        <f t="shared" si="1"/>
        <v>C118046122</v>
      </c>
      <c r="B1210" s="185">
        <f t="array" ref="B1210">IF(F1210="VL","",IF(F1210="Free","Free",XLOOKUP(D1210,Roster!T:T,Roster!S:S,"",0)))</f>
        <v>500</v>
      </c>
      <c r="C1210" s="313">
        <v>46122.0</v>
      </c>
      <c r="D1210" s="314" t="s">
        <v>147</v>
      </c>
      <c r="E1210" s="307" t="str">
        <f t="array" ref="E1210">(XLOOKUP(D1210,Roster!F:F,Roster!B:B,"",0))</f>
        <v>Manuela Moreno</v>
      </c>
      <c r="F1210" s="315" t="str">
        <f t="array" ref="F1210">IF(B1210=100,"Free",TEXT(XLOOKUP($D1210,OperationVoice!$A:$A,OperationVoice!P:P,XLOOKUP($D1210,OperationTickets!$A:$A,OperationTickets!P:P,"",0)),"hh:mm"))</f>
        <v>09:00</v>
      </c>
      <c r="G1210" s="309">
        <f t="shared" si="3"/>
        <v>0.75</v>
      </c>
      <c r="H1210" s="316" t="str">
        <f t="array" ref="H1210">XLOOKUP(B1210,Roster!L:L,Roster!N:N,XLOOKUP(D1210,TicketsBreak!A:A,TicketsBreak!E:E,"",0),0)</f>
        <v>Team Leader</v>
      </c>
      <c r="I1210" s="316" t="str">
        <f t="array" ref="I1210">XLOOKUP(B1210,Roster!L:L,Roster!O:O,XLOOKUP(D1210,TicketsBreak!A:A,TicketsBreak!F:F,"",0),0)</f>
        <v>Team Leader</v>
      </c>
      <c r="J1210" s="316" t="str">
        <f t="array" ref="J1210">XLOOKUP(B1210,Roster!L:L,Roster!P:P,XLOOKUP(D1210,TicketsBreak!A:A,TicketsBreak!G:G,"",0),0)</f>
        <v/>
      </c>
      <c r="K1210" s="310">
        <f t="shared" si="4"/>
        <v>46122</v>
      </c>
      <c r="L1210" s="317">
        <f t="array" ref="L1210">(XLOOKUP(D1210,Roster!F:F,Roster!D:D,"",0))</f>
        <v>24</v>
      </c>
      <c r="M1210" s="317" t="str">
        <f t="array" ref="M1210">XLOOKUP(D1210,Roster!F:F,Roster!E:E)</f>
        <v>Tickets</v>
      </c>
      <c r="N1210" s="317" t="str">
        <f t="shared" ref="N1210:P1210" si="1229">LEFT(H1210,5)</f>
        <v>Team </v>
      </c>
      <c r="O1210" s="317" t="str">
        <f t="shared" si="1229"/>
        <v>Team </v>
      </c>
      <c r="P1210" s="317" t="str">
        <f t="shared" si="1229"/>
        <v/>
      </c>
      <c r="Q1210" s="318" t="str">
        <f>IF(P1210="","",$C1210+N1210)</f>
        <v/>
      </c>
      <c r="R1210" s="318" t="str">
        <f>if(P1210="","",$C1210+O1210)</f>
        <v/>
      </c>
      <c r="S1210" s="318" t="str">
        <f t="shared" si="8"/>
        <v/>
      </c>
    </row>
    <row r="1211">
      <c r="A1211" s="14" t="str">
        <f t="shared" si="1"/>
        <v>C153646122</v>
      </c>
      <c r="B1211" s="185">
        <f t="array" ref="B1211">IF(F1211="VL","",IF(F1211="Free","Free",XLOOKUP(D1211,Roster!T:T,Roster!S:S,"",0)))</f>
        <v>121</v>
      </c>
      <c r="C1211" s="313">
        <v>46122.0</v>
      </c>
      <c r="D1211" s="314" t="s">
        <v>63</v>
      </c>
      <c r="E1211" s="307" t="str">
        <f t="array" ref="E1211">(XLOOKUP(D1211,Roster!F:F,Roster!B:B,"",0))</f>
        <v>Maria Mesa</v>
      </c>
      <c r="F1211" s="315" t="str">
        <f t="array" ref="F1211">IF(B1211=100,"Free",TEXT(XLOOKUP($D1211,OperationVoice!$A:$A,OperationVoice!P:P,XLOOKUP($D1211,OperationTickets!$A:$A,OperationTickets!P:P,"",0)),"hh:mm"))</f>
        <v>08:00</v>
      </c>
      <c r="G1211" s="309">
        <f t="shared" si="3"/>
        <v>0.7083333333</v>
      </c>
      <c r="H1211" s="316" t="str">
        <f t="array" ref="H1211">XLOOKUP(B1211,Roster!L:L,Roster!N:N,XLOOKUP(D1211,TicketsBreak!A:A,TicketsBreak!E:E,"",0),0)</f>
        <v>09:15 - 09:30</v>
      </c>
      <c r="I1211" s="316" t="str">
        <f t="array" ref="I1211">XLOOKUP(B1211,Roster!L:L,Roster!O:O,XLOOKUP(D1211,TicketsBreak!A:A,TicketsBreak!F:F,"",0),0)</f>
        <v>11:30 - 12:00</v>
      </c>
      <c r="J1211" s="316" t="str">
        <f t="array" ref="J1211">XLOOKUP(B1211,Roster!L:L,Roster!P:P,XLOOKUP(D1211,TicketsBreak!A:A,TicketsBreak!G:G,"",0),0)</f>
        <v>14:30 - 14:45</v>
      </c>
      <c r="K1211" s="310">
        <f t="shared" si="4"/>
        <v>46122</v>
      </c>
      <c r="L1211" s="317">
        <f t="array" ref="L1211">(XLOOKUP(D1211,Roster!F:F,Roster!D:D,"",0))</f>
        <v>36</v>
      </c>
      <c r="M1211" s="317" t="str">
        <f t="array" ref="M1211">XLOOKUP(D1211,Roster!F:F,Roster!E:E)</f>
        <v>Voice</v>
      </c>
      <c r="N1211" s="317" t="str">
        <f t="shared" ref="N1211:P1211" si="1230">LEFT(H1211,5)</f>
        <v>09:15</v>
      </c>
      <c r="O1211" s="317" t="str">
        <f t="shared" si="1230"/>
        <v>11:30</v>
      </c>
      <c r="P1211" s="317" t="str">
        <f t="shared" si="1230"/>
        <v>14:30</v>
      </c>
      <c r="Q1211" s="318">
        <f t="shared" ref="Q1211:Q1349" si="1232">IF(N1211="","",$C1211+N1211)</f>
        <v>46122.38542</v>
      </c>
      <c r="R1211" s="318">
        <f t="shared" ref="R1211:R1489" si="1233">if(O1211="","",$C1211+O1211)</f>
        <v>46122.47917</v>
      </c>
      <c r="S1211" s="318">
        <f t="shared" si="8"/>
        <v>46122.60417</v>
      </c>
    </row>
    <row r="1212">
      <c r="A1212" s="14" t="str">
        <f t="shared" si="1"/>
        <v>C74046122</v>
      </c>
      <c r="B1212" s="185" t="str">
        <f t="array" ref="B1212">IF(F1212="VL","",IF(F1212="Free","Free",XLOOKUP(D1212,Roster!T:T,Roster!S:S,"",0)))</f>
        <v/>
      </c>
      <c r="C1212" s="313">
        <v>46122.0</v>
      </c>
      <c r="D1212" s="314" t="s">
        <v>166</v>
      </c>
      <c r="E1212" s="307" t="str">
        <f t="array" ref="E1212">(XLOOKUP(D1212,Roster!F:F,Roster!B:B,"",0))</f>
        <v>Mateo Agudelo</v>
      </c>
      <c r="F1212" s="315" t="str">
        <f t="array" ref="F1212">IF(B1212=100,"Free",TEXT(XLOOKUP($D1212,OperationVoice!$A:$A,OperationVoice!P:P,XLOOKUP($D1212,OperationTickets!$A:$A,OperationTickets!P:P,"",0)),"hh:mm"))</f>
        <v>08:00</v>
      </c>
      <c r="G1212" s="309">
        <f t="shared" si="3"/>
        <v>0.7083333333</v>
      </c>
      <c r="H1212" s="316">
        <f t="array" ref="H1212">XLOOKUP(B1212,Roster!L:L,Roster!N:N,XLOOKUP(D1212,TicketsBreak!A:A,TicketsBreak!E:E,"",0),0)</f>
        <v>0.4166666667</v>
      </c>
      <c r="I1212" s="316">
        <f t="array" ref="I1212">XLOOKUP(B1212,Roster!L:L,Roster!O:O,XLOOKUP(D1212,TicketsBreak!A:A,TicketsBreak!F:F,"",0),0)</f>
        <v>0.5</v>
      </c>
      <c r="J1212" s="316">
        <f t="array" ref="J1212">XLOOKUP(B1212,Roster!L:L,Roster!P:P,XLOOKUP(D1212,TicketsBreak!A:A,TicketsBreak!G:G,"",0),0)</f>
        <v>0.65625</v>
      </c>
      <c r="K1212" s="310">
        <f t="shared" si="4"/>
        <v>46122</v>
      </c>
      <c r="L1212" s="317">
        <f t="array" ref="L1212">(XLOOKUP(D1212,Roster!F:F,Roster!D:D,"",0))</f>
        <v>8</v>
      </c>
      <c r="M1212" s="317" t="str">
        <f t="array" ref="M1212">XLOOKUP(D1212,Roster!F:F,Roster!E:E)</f>
        <v>Tickets</v>
      </c>
      <c r="N1212" s="317" t="str">
        <f t="shared" ref="N1212:P1212" si="1231">LEFT(H1212,5)</f>
        <v>10:00</v>
      </c>
      <c r="O1212" s="317" t="str">
        <f t="shared" si="1231"/>
        <v>12:00</v>
      </c>
      <c r="P1212" s="317" t="str">
        <f t="shared" si="1231"/>
        <v>15:45</v>
      </c>
      <c r="Q1212" s="318">
        <f t="shared" si="1232"/>
        <v>46122.41667</v>
      </c>
      <c r="R1212" s="318">
        <f t="shared" si="1233"/>
        <v>46122.5</v>
      </c>
      <c r="S1212" s="318">
        <f t="shared" si="8"/>
        <v>46122.65625</v>
      </c>
    </row>
    <row r="1213">
      <c r="A1213" s="14" t="str">
        <f t="shared" si="1"/>
        <v>C142946122</v>
      </c>
      <c r="B1213" s="185">
        <f t="array" ref="B1213">IF(F1213="VL","",IF(F1213="Free","Free",XLOOKUP(D1213,Roster!T:T,Roster!S:S,"",0)))</f>
        <v>121</v>
      </c>
      <c r="C1213" s="313">
        <v>46122.0</v>
      </c>
      <c r="D1213" s="314" t="s">
        <v>178</v>
      </c>
      <c r="E1213" s="307" t="str">
        <f t="array" ref="E1213">(XLOOKUP(D1213,Roster!F:F,Roster!B:B,"",0))</f>
        <v>Mateo Vanegas</v>
      </c>
      <c r="F1213" s="315" t="str">
        <f t="array" ref="F1213">IF(B1213=100,"Free",TEXT(XLOOKUP($D1213,OperationVoice!$A:$A,OperationVoice!P:P,XLOOKUP($D1213,OperationTickets!$A:$A,OperationTickets!P:P,"",0)),"hh:mm"))</f>
        <v>08:00</v>
      </c>
      <c r="G1213" s="309">
        <f t="shared" si="3"/>
        <v>0.7083333333</v>
      </c>
      <c r="H1213" s="316" t="str">
        <f t="array" ref="H1213">XLOOKUP(B1213,Roster!L:L,Roster!N:N,XLOOKUP(D1213,TicketsBreak!A:A,TicketsBreak!E:E,"",0),0)</f>
        <v>09:15 - 09:30</v>
      </c>
      <c r="I1213" s="316" t="str">
        <f t="array" ref="I1213">XLOOKUP(B1213,Roster!L:L,Roster!O:O,XLOOKUP(D1213,TicketsBreak!A:A,TicketsBreak!F:F,"",0),0)</f>
        <v>11:30 - 12:00</v>
      </c>
      <c r="J1213" s="316" t="str">
        <f t="array" ref="J1213">XLOOKUP(B1213,Roster!L:L,Roster!P:P,XLOOKUP(D1213,TicketsBreak!A:A,TicketsBreak!G:G,"",0),0)</f>
        <v>14:30 - 14:45</v>
      </c>
      <c r="K1213" s="310">
        <f t="shared" si="4"/>
        <v>46122</v>
      </c>
      <c r="L1213" s="317">
        <f t="array" ref="L1213">(XLOOKUP(D1213,Roster!F:F,Roster!D:D,"",0))</f>
        <v>32</v>
      </c>
      <c r="M1213" s="317" t="str">
        <f t="array" ref="M1213">XLOOKUP(D1213,Roster!F:F,Roster!E:E)</f>
        <v>Tickets</v>
      </c>
      <c r="N1213" s="317" t="str">
        <f t="shared" ref="N1213:P1213" si="1234">LEFT(H1213,5)</f>
        <v>09:15</v>
      </c>
      <c r="O1213" s="317" t="str">
        <f t="shared" si="1234"/>
        <v>11:30</v>
      </c>
      <c r="P1213" s="317" t="str">
        <f t="shared" si="1234"/>
        <v>14:30</v>
      </c>
      <c r="Q1213" s="318">
        <f t="shared" si="1232"/>
        <v>46122.38542</v>
      </c>
      <c r="R1213" s="318">
        <f t="shared" si="1233"/>
        <v>46122.47917</v>
      </c>
      <c r="S1213" s="318">
        <f t="shared" si="8"/>
        <v>46122.60417</v>
      </c>
    </row>
    <row r="1214">
      <c r="A1214" s="14" t="str">
        <f t="shared" si="1"/>
        <v>C146846122</v>
      </c>
      <c r="B1214" s="185">
        <f t="array" ref="B1214">IF(F1214="VL","",IF(F1214="Free","Free",XLOOKUP(D1214,Roster!T:T,Roster!S:S,"",0)))</f>
        <v>122</v>
      </c>
      <c r="C1214" s="313">
        <v>46122.0</v>
      </c>
      <c r="D1214" s="314" t="s">
        <v>64</v>
      </c>
      <c r="E1214" s="307" t="str">
        <f t="array" ref="E1214">(XLOOKUP(D1214,Roster!F:F,Roster!B:B,"",0))</f>
        <v>Miguel Betancur</v>
      </c>
      <c r="F1214" s="315" t="str">
        <f t="array" ref="F1214">IF(B1214=100,"Free",TEXT(XLOOKUP($D1214,OperationVoice!$A:$A,OperationVoice!P:P,XLOOKUP($D1214,OperationTickets!$A:$A,OperationTickets!P:P,"",0)),"hh:mm"))</f>
        <v>08:00</v>
      </c>
      <c r="G1214" s="309">
        <f t="shared" si="3"/>
        <v>0.7083333333</v>
      </c>
      <c r="H1214" s="316" t="str">
        <f t="array" ref="H1214">XLOOKUP(B1214,Roster!L:L,Roster!N:N,XLOOKUP(D1214,TicketsBreak!A:A,TicketsBreak!E:E,"",0),0)</f>
        <v>09:30 - 09:45</v>
      </c>
      <c r="I1214" s="316" t="str">
        <f t="array" ref="I1214">XLOOKUP(B1214,Roster!L:L,Roster!O:O,XLOOKUP(D1214,TicketsBreak!A:A,TicketsBreak!F:F,"",0),0)</f>
        <v>12:00 - 12:30</v>
      </c>
      <c r="J1214" s="316" t="str">
        <f t="array" ref="J1214">XLOOKUP(B1214,Roster!L:L,Roster!P:P,XLOOKUP(D1214,TicketsBreak!A:A,TicketsBreak!G:G,"",0),0)</f>
        <v>14:45 - 15:00</v>
      </c>
      <c r="K1214" s="310">
        <f t="shared" si="4"/>
        <v>46122</v>
      </c>
      <c r="L1214" s="317">
        <f t="array" ref="L1214">(XLOOKUP(D1214,Roster!F:F,Roster!D:D,"",0))</f>
        <v>33</v>
      </c>
      <c r="M1214" s="317" t="str">
        <f t="array" ref="M1214">XLOOKUP(D1214,Roster!F:F,Roster!E:E)</f>
        <v>Voice</v>
      </c>
      <c r="N1214" s="317" t="str">
        <f t="shared" ref="N1214:P1214" si="1235">LEFT(H1214,5)</f>
        <v>09:30</v>
      </c>
      <c r="O1214" s="317" t="str">
        <f t="shared" si="1235"/>
        <v>12:00</v>
      </c>
      <c r="P1214" s="317" t="str">
        <f t="shared" si="1235"/>
        <v>14:45</v>
      </c>
      <c r="Q1214" s="318">
        <f t="shared" si="1232"/>
        <v>46122.39583</v>
      </c>
      <c r="R1214" s="318">
        <f t="shared" si="1233"/>
        <v>46122.5</v>
      </c>
      <c r="S1214" s="318">
        <f t="shared" si="8"/>
        <v>46122.61458</v>
      </c>
    </row>
    <row r="1215">
      <c r="A1215" s="14" t="str">
        <f t="shared" si="1"/>
        <v>C106546122</v>
      </c>
      <c r="B1215" s="185" t="str">
        <f t="array" ref="B1215">IF(F1215="VL","",IF(F1215="Free","Free",XLOOKUP(D1215,Roster!T:T,Roster!S:S,"",0)))</f>
        <v/>
      </c>
      <c r="C1215" s="313">
        <v>46122.0</v>
      </c>
      <c r="D1215" s="314" t="s">
        <v>148</v>
      </c>
      <c r="E1215" s="307" t="str">
        <f t="array" ref="E1215">(XLOOKUP(D1215,Roster!F:F,Roster!B:B,"",0))</f>
        <v>Miguel Hoyos</v>
      </c>
      <c r="F1215" s="315" t="str">
        <f t="array" ref="F1215">IF(B1215=100,"Free",TEXT(XLOOKUP($D1215,OperationVoice!$A:$A,OperationVoice!P:P,XLOOKUP($D1215,OperationTickets!$A:$A,OperationTickets!P:P,"",0)),"hh:mm"))</f>
        <v>07:00</v>
      </c>
      <c r="G1215" s="309">
        <f t="shared" si="3"/>
        <v>0.6666666667</v>
      </c>
      <c r="H1215" s="316">
        <f t="array" ref="H1215">XLOOKUP(B1215,Roster!L:L,Roster!N:N,XLOOKUP(D1215,TicketsBreak!A:A,TicketsBreak!E:E,"",0),0)</f>
        <v>0.4583333333</v>
      </c>
      <c r="I1215" s="316">
        <f t="array" ref="I1215">XLOOKUP(B1215,Roster!L:L,Roster!O:O,XLOOKUP(D1215,TicketsBreak!A:A,TicketsBreak!F:F,"",0),0)</f>
        <v>0.5625</v>
      </c>
      <c r="J1215" s="316">
        <f t="array" ref="J1215">XLOOKUP(B1215,Roster!L:L,Roster!P:P,XLOOKUP(D1215,TicketsBreak!A:A,TicketsBreak!G:G,"",0),0)</f>
        <v>0.65625</v>
      </c>
      <c r="K1215" s="310">
        <f t="shared" si="4"/>
        <v>46122</v>
      </c>
      <c r="L1215" s="317">
        <f t="array" ref="L1215">(XLOOKUP(D1215,Roster!F:F,Roster!D:D,"",0))</f>
        <v>17</v>
      </c>
      <c r="M1215" s="317" t="str">
        <f t="array" ref="M1215">XLOOKUP(D1215,Roster!F:F,Roster!E:E)</f>
        <v>Tickets</v>
      </c>
      <c r="N1215" s="317" t="str">
        <f t="shared" ref="N1215:P1215" si="1236">LEFT(H1215,5)</f>
        <v>11:00</v>
      </c>
      <c r="O1215" s="317" t="str">
        <f t="shared" si="1236"/>
        <v>13:30</v>
      </c>
      <c r="P1215" s="317" t="str">
        <f t="shared" si="1236"/>
        <v>15:45</v>
      </c>
      <c r="Q1215" s="318">
        <f t="shared" si="1232"/>
        <v>46122.45833</v>
      </c>
      <c r="R1215" s="318">
        <f t="shared" si="1233"/>
        <v>46122.5625</v>
      </c>
      <c r="S1215" s="318">
        <f t="shared" si="8"/>
        <v>46122.65625</v>
      </c>
    </row>
    <row r="1216">
      <c r="A1216" s="14" t="str">
        <f t="shared" si="1"/>
        <v>C111446122</v>
      </c>
      <c r="B1216" s="185">
        <f t="array" ref="B1216">IF(F1216="VL","",IF(F1216="Free","Free",XLOOKUP(D1216,Roster!T:T,Roster!S:S,"",0)))</f>
        <v>113</v>
      </c>
      <c r="C1216" s="313">
        <v>46122.0</v>
      </c>
      <c r="D1216" s="314" t="s">
        <v>65</v>
      </c>
      <c r="E1216" s="307" t="str">
        <f t="array" ref="E1216">(XLOOKUP(D1216,Roster!F:F,Roster!B:B,"",0))</f>
        <v>Mikel Bowie</v>
      </c>
      <c r="F1216" s="315" t="str">
        <f t="array" ref="F1216">IF(B1216=100,"Free",TEXT(XLOOKUP($D1216,OperationVoice!$A:$A,OperationVoice!P:P,XLOOKUP($D1216,OperationTickets!$A:$A,OperationTickets!P:P,"",0)),"hh:mm"))</f>
        <v>08:00</v>
      </c>
      <c r="G1216" s="309">
        <f t="shared" si="3"/>
        <v>0.7083333333</v>
      </c>
      <c r="H1216" s="316" t="str">
        <f t="array" ref="H1216">XLOOKUP(B1216,Roster!L:L,Roster!N:N,XLOOKUP(D1216,TicketsBreak!A:A,TicketsBreak!E:E,"",0),0)</f>
        <v>09:45 - 10:00</v>
      </c>
      <c r="I1216" s="316" t="str">
        <f t="array" ref="I1216">XLOOKUP(B1216,Roster!L:L,Roster!O:O,XLOOKUP(D1216,TicketsBreak!A:A,TicketsBreak!F:F,"",0),0)</f>
        <v>12:30 - 13:00</v>
      </c>
      <c r="J1216" s="316" t="str">
        <f t="array" ref="J1216">XLOOKUP(B1216,Roster!L:L,Roster!P:P,XLOOKUP(D1216,TicketsBreak!A:A,TicketsBreak!G:G,"",0),0)</f>
        <v>14:45 - 15:00</v>
      </c>
      <c r="K1216" s="310">
        <f t="shared" si="4"/>
        <v>46122</v>
      </c>
      <c r="L1216" s="317">
        <f t="array" ref="L1216">(XLOOKUP(D1216,Roster!F:F,Roster!D:D,"",0))</f>
        <v>20</v>
      </c>
      <c r="M1216" s="317" t="str">
        <f t="array" ref="M1216">XLOOKUP(D1216,Roster!F:F,Roster!E:E)</f>
        <v>Voice</v>
      </c>
      <c r="N1216" s="317" t="str">
        <f t="shared" ref="N1216:P1216" si="1237">LEFT(H1216,5)</f>
        <v>09:45</v>
      </c>
      <c r="O1216" s="317" t="str">
        <f t="shared" si="1237"/>
        <v>12:30</v>
      </c>
      <c r="P1216" s="317" t="str">
        <f t="shared" si="1237"/>
        <v>14:45</v>
      </c>
      <c r="Q1216" s="318">
        <f t="shared" si="1232"/>
        <v>46122.40625</v>
      </c>
      <c r="R1216" s="318">
        <f t="shared" si="1233"/>
        <v>46122.52083</v>
      </c>
      <c r="S1216" s="318">
        <f t="shared" si="8"/>
        <v>46122.61458</v>
      </c>
    </row>
    <row r="1217">
      <c r="A1217" s="14" t="str">
        <f t="shared" si="1"/>
        <v>C116346122</v>
      </c>
      <c r="B1217" s="185">
        <f t="array" ref="B1217">IF(F1217="VL","",IF(F1217="Free","Free",XLOOKUP(D1217,Roster!T:T,Roster!S:S,"",0)))</f>
        <v>123</v>
      </c>
      <c r="C1217" s="313">
        <v>46122.0</v>
      </c>
      <c r="D1217" s="314" t="s">
        <v>66</v>
      </c>
      <c r="E1217" s="307" t="str">
        <f t="array" ref="E1217">(XLOOKUP(D1217,Roster!F:F,Roster!B:B,"",0))</f>
        <v>Natalia Cardona</v>
      </c>
      <c r="F1217" s="315" t="str">
        <f t="array" ref="F1217">IF(B1217=100,"Free",TEXT(XLOOKUP($D1217,OperationVoice!$A:$A,OperationVoice!P:P,XLOOKUP($D1217,OperationTickets!$A:$A,OperationTickets!P:P,"",0)),"hh:mm"))</f>
        <v>08:00</v>
      </c>
      <c r="G1217" s="309">
        <f t="shared" si="3"/>
        <v>0.7083333333</v>
      </c>
      <c r="H1217" s="316" t="str">
        <f t="array" ref="H1217">XLOOKUP(B1217,Roster!L:L,Roster!N:N,XLOOKUP(D1217,TicketsBreak!A:A,TicketsBreak!E:E,"",0),0)</f>
        <v>09:45 - 10:00 </v>
      </c>
      <c r="I1217" s="316" t="str">
        <f t="array" ref="I1217">XLOOKUP(B1217,Roster!L:L,Roster!O:O,XLOOKUP(D1217,TicketsBreak!A:A,TicketsBreak!F:F,"",0),0)</f>
        <v>12:30 - 13:00</v>
      </c>
      <c r="J1217" s="316" t="str">
        <f t="array" ref="J1217">XLOOKUP(B1217,Roster!L:L,Roster!P:P,XLOOKUP(D1217,TicketsBreak!A:A,TicketsBreak!G:G,"",0),0)</f>
        <v>15:00 - 15:15</v>
      </c>
      <c r="K1217" s="310">
        <f t="shared" si="4"/>
        <v>46122</v>
      </c>
      <c r="L1217" s="317">
        <f t="array" ref="L1217">(XLOOKUP(D1217,Roster!F:F,Roster!D:D,"",0))</f>
        <v>24</v>
      </c>
      <c r="M1217" s="317" t="str">
        <f t="array" ref="M1217">XLOOKUP(D1217,Roster!F:F,Roster!E:E)</f>
        <v>Voice</v>
      </c>
      <c r="N1217" s="317" t="str">
        <f t="shared" ref="N1217:P1217" si="1238">LEFT(H1217,5)</f>
        <v>09:45</v>
      </c>
      <c r="O1217" s="317" t="str">
        <f t="shared" si="1238"/>
        <v>12:30</v>
      </c>
      <c r="P1217" s="317" t="str">
        <f t="shared" si="1238"/>
        <v>15:00</v>
      </c>
      <c r="Q1217" s="318">
        <f t="shared" si="1232"/>
        <v>46122.40625</v>
      </c>
      <c r="R1217" s="318">
        <f t="shared" si="1233"/>
        <v>46122.52083</v>
      </c>
      <c r="S1217" s="318">
        <f t="shared" si="8"/>
        <v>46122.625</v>
      </c>
    </row>
    <row r="1218">
      <c r="A1218" s="14" t="str">
        <f t="shared" si="1"/>
        <v>C55646122</v>
      </c>
      <c r="B1218" s="185" t="str">
        <f t="array" ref="B1218">IF(F1218="VL","",IF(F1218="Free","Free",XLOOKUP(D1218,Roster!T:T,Roster!S:S,"",0)))</f>
        <v/>
      </c>
      <c r="C1218" s="313">
        <v>46122.0</v>
      </c>
      <c r="D1218" s="314" t="s">
        <v>167</v>
      </c>
      <c r="E1218" s="307" t="str">
        <f t="array" ref="E1218">(XLOOKUP(D1218,Roster!F:F,Roster!B:B,"",0))</f>
        <v>Nelson Londono</v>
      </c>
      <c r="F1218" s="315" t="str">
        <f t="array" ref="F1218">IF(B1218=100,"Free",TEXT(XLOOKUP($D1218,OperationVoice!$A:$A,OperationVoice!P:P,XLOOKUP($D1218,OperationTickets!$A:$A,OperationTickets!P:P,"",0)),"hh:mm"))</f>
        <v>07:00</v>
      </c>
      <c r="G1218" s="309">
        <f t="shared" si="3"/>
        <v>0.6666666667</v>
      </c>
      <c r="H1218" s="316">
        <f t="array" ref="H1218">XLOOKUP(B1218,Roster!L:L,Roster!N:N,XLOOKUP(D1218,TicketsBreak!A:A,TicketsBreak!E:E,"",0),0)</f>
        <v>0.3854166667</v>
      </c>
      <c r="I1218" s="316">
        <f t="array" ref="I1218">XLOOKUP(B1218,Roster!L:L,Roster!O:O,XLOOKUP(D1218,TicketsBreak!A:A,TicketsBreak!F:F,"",0),0)</f>
        <v>0.5833333333</v>
      </c>
      <c r="J1218" s="316">
        <f t="array" ref="J1218">XLOOKUP(B1218,Roster!L:L,Roster!P:P,XLOOKUP(D1218,TicketsBreak!A:A,TicketsBreak!G:G,"",0),0)</f>
        <v>0.6458333333</v>
      </c>
      <c r="K1218" s="310">
        <f t="shared" si="4"/>
        <v>46122</v>
      </c>
      <c r="L1218" s="317">
        <f t="array" ref="L1218">(XLOOKUP(D1218,Roster!F:F,Roster!D:D,"",0))</f>
        <v>2</v>
      </c>
      <c r="M1218" s="317" t="str">
        <f t="array" ref="M1218">XLOOKUP(D1218,Roster!F:F,Roster!E:E)</f>
        <v>Tickets</v>
      </c>
      <c r="N1218" s="317" t="str">
        <f t="shared" ref="N1218:P1218" si="1239">LEFT(H1218,5)</f>
        <v>09:15</v>
      </c>
      <c r="O1218" s="317" t="str">
        <f t="shared" si="1239"/>
        <v>14:00</v>
      </c>
      <c r="P1218" s="317" t="str">
        <f t="shared" si="1239"/>
        <v>15:30</v>
      </c>
      <c r="Q1218" s="318">
        <f t="shared" si="1232"/>
        <v>46122.38542</v>
      </c>
      <c r="R1218" s="318">
        <f t="shared" si="1233"/>
        <v>46122.58333</v>
      </c>
      <c r="S1218" s="318">
        <f t="shared" si="8"/>
        <v>46122.64583</v>
      </c>
    </row>
    <row r="1219">
      <c r="A1219" s="14" t="str">
        <f t="shared" si="1"/>
        <v>C150746122</v>
      </c>
      <c r="B1219" s="185">
        <f t="array" ref="B1219">IF(F1219="VL","",IF(F1219="Free","Free",XLOOKUP(D1219,Roster!T:T,Roster!S:S,"",0)))</f>
        <v>125</v>
      </c>
      <c r="C1219" s="313">
        <v>46122.0</v>
      </c>
      <c r="D1219" s="314" t="s">
        <v>67</v>
      </c>
      <c r="E1219" s="307" t="str">
        <f t="array" ref="E1219">(XLOOKUP(D1219,Roster!F:F,Roster!B:B,"",0))</f>
        <v>Nicols Quinones</v>
      </c>
      <c r="F1219" s="315" t="str">
        <f t="array" ref="F1219">IF(B1219=100,"Free",TEXT(XLOOKUP($D1219,OperationVoice!$A:$A,OperationVoice!P:P,XLOOKUP($D1219,OperationTickets!$A:$A,OperationTickets!P:P,"",0)),"hh:mm"))</f>
        <v>08:00</v>
      </c>
      <c r="G1219" s="309">
        <f t="shared" si="3"/>
        <v>0.7083333333</v>
      </c>
      <c r="H1219" s="316" t="str">
        <f t="array" ref="H1219">XLOOKUP(B1219,Roster!L:L,Roster!N:N,XLOOKUP(D1219,TicketsBreak!A:A,TicketsBreak!E:E,"",0),0)</f>
        <v>10:30 - 10:45</v>
      </c>
      <c r="I1219" s="316" t="str">
        <f t="array" ref="I1219">XLOOKUP(B1219,Roster!L:L,Roster!O:O,XLOOKUP(D1219,TicketsBreak!A:A,TicketsBreak!F:F,"",0),0)</f>
        <v>13:30 - 14:00</v>
      </c>
      <c r="J1219" s="316" t="str">
        <f t="array" ref="J1219">XLOOKUP(B1219,Roster!L:L,Roster!P:P,XLOOKUP(D1219,TicketsBreak!A:A,TicketsBreak!G:G,"",0),0)</f>
        <v>15:45 - 16:00</v>
      </c>
      <c r="K1219" s="310">
        <f t="shared" si="4"/>
        <v>46122</v>
      </c>
      <c r="L1219" s="317">
        <f t="array" ref="L1219">(XLOOKUP(D1219,Roster!F:F,Roster!D:D,"",0))</f>
        <v>35</v>
      </c>
      <c r="M1219" s="317" t="str">
        <f t="array" ref="M1219">XLOOKUP(D1219,Roster!F:F,Roster!E:E)</f>
        <v>Voice</v>
      </c>
      <c r="N1219" s="317" t="str">
        <f t="shared" ref="N1219:P1219" si="1240">LEFT(H1219,5)</f>
        <v>10:30</v>
      </c>
      <c r="O1219" s="317" t="str">
        <f t="shared" si="1240"/>
        <v>13:30</v>
      </c>
      <c r="P1219" s="317" t="str">
        <f t="shared" si="1240"/>
        <v>15:45</v>
      </c>
      <c r="Q1219" s="318">
        <f t="shared" si="1232"/>
        <v>46122.4375</v>
      </c>
      <c r="R1219" s="318">
        <f t="shared" si="1233"/>
        <v>46122.5625</v>
      </c>
      <c r="S1219" s="318">
        <f t="shared" si="8"/>
        <v>46122.65625</v>
      </c>
    </row>
    <row r="1220">
      <c r="A1220" s="14" t="str">
        <f t="shared" si="1"/>
        <v>C71446122</v>
      </c>
      <c r="B1220" s="185" t="str">
        <f t="array" ref="B1220">IF(F1220="VL","",IF(F1220="Free","Free",XLOOKUP(D1220,Roster!T:T,Roster!S:S,"",0)))</f>
        <v/>
      </c>
      <c r="C1220" s="313">
        <v>46122.0</v>
      </c>
      <c r="D1220" s="314" t="s">
        <v>149</v>
      </c>
      <c r="E1220" s="307" t="str">
        <f t="array" ref="E1220">(XLOOKUP(D1220,Roster!F:F,Roster!B:B,"",0))</f>
        <v>Onel Olivera</v>
      </c>
      <c r="F1220" s="315" t="str">
        <f t="array" ref="F1220">IF(B1220=100,"Free",TEXT(XLOOKUP($D1220,OperationVoice!$A:$A,OperationVoice!P:P,XLOOKUP($D1220,OperationTickets!$A:$A,OperationTickets!P:P,"",0)),"hh:mm"))</f>
        <v>08:00</v>
      </c>
      <c r="G1220" s="309">
        <f t="shared" si="3"/>
        <v>0.7083333333</v>
      </c>
      <c r="H1220" s="316">
        <f t="array" ref="H1220">XLOOKUP(B1220,Roster!L:L,Roster!N:N,XLOOKUP(D1220,TicketsBreak!A:A,TicketsBreak!E:E,"",0),0)</f>
        <v>0.4166666667</v>
      </c>
      <c r="I1220" s="316">
        <f t="array" ref="I1220">XLOOKUP(B1220,Roster!L:L,Roster!O:O,XLOOKUP(D1220,TicketsBreak!A:A,TicketsBreak!F:F,"",0),0)</f>
        <v>0.5</v>
      </c>
      <c r="J1220" s="316">
        <f t="array" ref="J1220">XLOOKUP(B1220,Roster!L:L,Roster!P:P,XLOOKUP(D1220,TicketsBreak!A:A,TicketsBreak!G:G,"",0),0)</f>
        <v>0.625</v>
      </c>
      <c r="K1220" s="310">
        <f t="shared" si="4"/>
        <v>46122</v>
      </c>
      <c r="L1220" s="317">
        <f t="array" ref="L1220">(XLOOKUP(D1220,Roster!F:F,Roster!D:D,"",0))</f>
        <v>1</v>
      </c>
      <c r="M1220" s="317" t="str">
        <f t="array" ref="M1220">XLOOKUP(D1220,Roster!F:F,Roster!E:E)</f>
        <v>Tickets</v>
      </c>
      <c r="N1220" s="317" t="str">
        <f t="shared" ref="N1220:P1220" si="1241">LEFT(H1220,5)</f>
        <v>10:00</v>
      </c>
      <c r="O1220" s="317" t="str">
        <f t="shared" si="1241"/>
        <v>12:00</v>
      </c>
      <c r="P1220" s="317" t="str">
        <f t="shared" si="1241"/>
        <v>15:00</v>
      </c>
      <c r="Q1220" s="318">
        <f t="shared" si="1232"/>
        <v>46122.41667</v>
      </c>
      <c r="R1220" s="318">
        <f t="shared" si="1233"/>
        <v>46122.5</v>
      </c>
      <c r="S1220" s="318">
        <f t="shared" si="8"/>
        <v>46122.625</v>
      </c>
    </row>
    <row r="1221">
      <c r="A1221" s="14" t="str">
        <f t="shared" si="1"/>
        <v>C116446122</v>
      </c>
      <c r="B1221" s="185" t="str">
        <f t="array" ref="B1221">IF(F1221="VL","",IF(F1221="Free","Free",XLOOKUP(D1221,Roster!T:T,Roster!S:S,"",0)))</f>
        <v/>
      </c>
      <c r="C1221" s="313">
        <v>46122.0</v>
      </c>
      <c r="D1221" s="314" t="s">
        <v>179</v>
      </c>
      <c r="E1221" s="307" t="str">
        <f t="array" ref="E1221">(XLOOKUP(D1221,Roster!F:F,Roster!B:B,"",0))</f>
        <v>Oscar Florez</v>
      </c>
      <c r="F1221" s="315" t="str">
        <f t="array" ref="F1221">IF(B1221=100,"Free",TEXT(XLOOKUP($D1221,OperationVoice!$A:$A,OperationVoice!P:P,XLOOKUP($D1221,OperationTickets!$A:$A,OperationTickets!P:P,"",0)),"hh:mm"))</f>
        <v>08:00</v>
      </c>
      <c r="G1221" s="309">
        <f t="shared" si="3"/>
        <v>0.7083333333</v>
      </c>
      <c r="H1221" s="316" t="str">
        <f t="array" ref="H1221">XLOOKUP(B1221,Roster!L:L,Roster!N:N,XLOOKUP(D1221,TicketsBreak!A:A,TicketsBreak!E:E,"",0),0)</f>
        <v/>
      </c>
      <c r="I1221" s="316" t="str">
        <f t="array" ref="I1221">XLOOKUP(B1221,Roster!L:L,Roster!O:O,XLOOKUP(D1221,TicketsBreak!A:A,TicketsBreak!F:F,"",0),0)</f>
        <v/>
      </c>
      <c r="J1221" s="316" t="str">
        <f t="array" ref="J1221">XLOOKUP(B1221,Roster!L:L,Roster!P:P,XLOOKUP(D1221,TicketsBreak!A:A,TicketsBreak!G:G,"",0),0)</f>
        <v/>
      </c>
      <c r="K1221" s="310">
        <f t="shared" si="4"/>
        <v>46122</v>
      </c>
      <c r="L1221" s="317">
        <f t="array" ref="L1221">(XLOOKUP(D1221,Roster!F:F,Roster!D:D,"",0))</f>
        <v>24</v>
      </c>
      <c r="M1221" s="317" t="str">
        <f t="array" ref="M1221">XLOOKUP(D1221,Roster!F:F,Roster!E:E)</f>
        <v>Tickets</v>
      </c>
      <c r="N1221" s="317" t="str">
        <f t="shared" ref="N1221:P1221" si="1242">LEFT(H1221,5)</f>
        <v/>
      </c>
      <c r="O1221" s="317" t="str">
        <f t="shared" si="1242"/>
        <v/>
      </c>
      <c r="P1221" s="317" t="str">
        <f t="shared" si="1242"/>
        <v/>
      </c>
      <c r="Q1221" s="318" t="str">
        <f t="shared" si="1232"/>
        <v/>
      </c>
      <c r="R1221" s="318" t="str">
        <f t="shared" si="1233"/>
        <v/>
      </c>
      <c r="S1221" s="318" t="str">
        <f t="shared" si="8"/>
        <v/>
      </c>
    </row>
    <row r="1222">
      <c r="A1222" s="14" t="str">
        <f t="shared" si="1"/>
        <v>C153846122</v>
      </c>
      <c r="B1222" s="185" t="str">
        <f t="array" ref="B1222">IF(F1222="VL","",IF(F1222="Free","Free",XLOOKUP(D1222,Roster!T:T,Roster!S:S,"",0)))</f>
        <v>Free</v>
      </c>
      <c r="C1222" s="313">
        <v>46122.0</v>
      </c>
      <c r="D1222" s="314" t="s">
        <v>68</v>
      </c>
      <c r="E1222" s="307" t="str">
        <f t="array" ref="E1222">(XLOOKUP(D1222,Roster!F:F,Roster!B:B,"",0))</f>
        <v>Oscar Roldan</v>
      </c>
      <c r="F1222" s="315" t="str">
        <f t="array" ref="F1222">IF(B1222=100,"Free",TEXT(XLOOKUP($D1222,OperationVoice!$A:$A,OperationVoice!P:P,XLOOKUP($D1222,OperationTickets!$A:$A,OperationTickets!P:P,"",0)),"hh:mm"))</f>
        <v>Free</v>
      </c>
      <c r="G1222" s="309" t="str">
        <f t="shared" si="3"/>
        <v>Free</v>
      </c>
      <c r="H1222" s="316" t="str">
        <f t="array" ref="H1222">XLOOKUP(B1222,Roster!L:L,Roster!N:N,XLOOKUP(D1222,TicketsBreak!A:A,TicketsBreak!E:E,"",0),0)</f>
        <v/>
      </c>
      <c r="I1222" s="316" t="str">
        <f t="array" ref="I1222">XLOOKUP(B1222,Roster!L:L,Roster!O:O,XLOOKUP(D1222,TicketsBreak!A:A,TicketsBreak!F:F,"",0),0)</f>
        <v/>
      </c>
      <c r="J1222" s="316" t="str">
        <f t="array" ref="J1222">XLOOKUP(B1222,Roster!L:L,Roster!P:P,XLOOKUP(D1222,TicketsBreak!A:A,TicketsBreak!G:G,"",0),0)</f>
        <v/>
      </c>
      <c r="K1222" s="310">
        <f t="shared" si="4"/>
        <v>46122</v>
      </c>
      <c r="L1222" s="317">
        <f t="array" ref="L1222">(XLOOKUP(D1222,Roster!F:F,Roster!D:D,"",0))</f>
        <v>36</v>
      </c>
      <c r="M1222" s="317" t="str">
        <f t="array" ref="M1222">XLOOKUP(D1222,Roster!F:F,Roster!E:E)</f>
        <v>Voice</v>
      </c>
      <c r="N1222" s="317" t="str">
        <f t="shared" ref="N1222:P1222" si="1243">LEFT(H1222,5)</f>
        <v/>
      </c>
      <c r="O1222" s="317" t="str">
        <f t="shared" si="1243"/>
        <v/>
      </c>
      <c r="P1222" s="317" t="str">
        <f t="shared" si="1243"/>
        <v/>
      </c>
      <c r="Q1222" s="318" t="str">
        <f t="shared" si="1232"/>
        <v/>
      </c>
      <c r="R1222" s="318" t="str">
        <f t="shared" si="1233"/>
        <v/>
      </c>
      <c r="S1222" s="318" t="str">
        <f t="shared" si="8"/>
        <v/>
      </c>
    </row>
    <row r="1223">
      <c r="A1223" s="14" t="str">
        <f t="shared" si="1"/>
        <v>C151146122</v>
      </c>
      <c r="B1223" s="185">
        <f t="array" ref="B1223">IF(F1223="VL","",IF(F1223="Free","Free",XLOOKUP(D1223,Roster!T:T,Roster!S:S,"",0)))</f>
        <v>131</v>
      </c>
      <c r="C1223" s="313">
        <v>46122.0</v>
      </c>
      <c r="D1223" s="314" t="s">
        <v>69</v>
      </c>
      <c r="E1223" s="307" t="str">
        <f t="array" ref="E1223">(XLOOKUP(D1223,Roster!F:F,Roster!B:B,"",0))</f>
        <v>Salma Giraldo</v>
      </c>
      <c r="F1223" s="315" t="str">
        <f t="array" ref="F1223">IF(B1223=100,"Free",TEXT(XLOOKUP($D1223,OperationVoice!$A:$A,OperationVoice!P:P,XLOOKUP($D1223,OperationTickets!$A:$A,OperationTickets!P:P,"",0)),"hh:mm"))</f>
        <v>08:00</v>
      </c>
      <c r="G1223" s="309">
        <f t="shared" si="3"/>
        <v>0.7083333333</v>
      </c>
      <c r="H1223" s="316" t="str">
        <f t="array" ref="H1223">XLOOKUP(B1223,Roster!L:L,Roster!N:N,XLOOKUP(D1223,TicketsBreak!A:A,TicketsBreak!E:E,"",0),0)</f>
        <v>10:15 - 10:30</v>
      </c>
      <c r="I1223" s="316" t="str">
        <f t="array" ref="I1223">XLOOKUP(B1223,Roster!L:L,Roster!O:O,XLOOKUP(D1223,TicketsBreak!A:A,TicketsBreak!F:F,"",0),0)</f>
        <v>12:30 - 13:00</v>
      </c>
      <c r="J1223" s="316" t="str">
        <f t="array" ref="J1223">XLOOKUP(B1223,Roster!L:L,Roster!P:P,XLOOKUP(D1223,TicketsBreak!A:A,TicketsBreak!G:G,"",0),0)</f>
        <v>15:15 - 15:30</v>
      </c>
      <c r="K1223" s="310">
        <f t="shared" si="4"/>
        <v>46122</v>
      </c>
      <c r="L1223" s="317">
        <f t="array" ref="L1223">(XLOOKUP(D1223,Roster!F:F,Roster!D:D,"",0))</f>
        <v>35</v>
      </c>
      <c r="M1223" s="317" t="str">
        <f t="array" ref="M1223">XLOOKUP(D1223,Roster!F:F,Roster!E:E)</f>
        <v>Voice</v>
      </c>
      <c r="N1223" s="317" t="str">
        <f t="shared" ref="N1223:P1223" si="1244">LEFT(H1223,5)</f>
        <v>10:15</v>
      </c>
      <c r="O1223" s="317" t="str">
        <f t="shared" si="1244"/>
        <v>12:30</v>
      </c>
      <c r="P1223" s="317" t="str">
        <f t="shared" si="1244"/>
        <v>15:15</v>
      </c>
      <c r="Q1223" s="318">
        <f t="shared" si="1232"/>
        <v>46122.42708</v>
      </c>
      <c r="R1223" s="318">
        <f t="shared" si="1233"/>
        <v>46122.52083</v>
      </c>
      <c r="S1223" s="318">
        <f t="shared" si="8"/>
        <v>46122.63542</v>
      </c>
    </row>
    <row r="1224">
      <c r="A1224" s="14" t="str">
        <f t="shared" si="1"/>
        <v>C93346122</v>
      </c>
      <c r="B1224" s="185">
        <f t="array" ref="B1224">IF(F1224="VL","",IF(F1224="Free","Free",XLOOKUP(D1224,Roster!T:T,Roster!S:S,"",0)))</f>
        <v>124</v>
      </c>
      <c r="C1224" s="313">
        <v>46122.0</v>
      </c>
      <c r="D1224" s="314" t="s">
        <v>70</v>
      </c>
      <c r="E1224" s="307" t="str">
        <f t="array" ref="E1224">(XLOOKUP(D1224,Roster!F:F,Roster!B:B,"",0))</f>
        <v>Salome Arias</v>
      </c>
      <c r="F1224" s="315" t="str">
        <f t="array" ref="F1224">IF(B1224=100,"Free",TEXT(XLOOKUP($D1224,OperationVoice!$A:$A,OperationVoice!P:P,XLOOKUP($D1224,OperationTickets!$A:$A,OperationTickets!P:P,"",0)),"hh:mm"))</f>
        <v>08:00</v>
      </c>
      <c r="G1224" s="309">
        <f t="shared" si="3"/>
        <v>0.7083333333</v>
      </c>
      <c r="H1224" s="316" t="str">
        <f t="array" ref="H1224">XLOOKUP(B1224,Roster!L:L,Roster!N:N,XLOOKUP(D1224,TicketsBreak!A:A,TicketsBreak!E:E,"",0),0)</f>
        <v>10:00 - 10:15</v>
      </c>
      <c r="I1224" s="316" t="str">
        <f t="array" ref="I1224">XLOOKUP(B1224,Roster!L:L,Roster!O:O,XLOOKUP(D1224,TicketsBreak!A:A,TicketsBreak!F:F,"",0),0)</f>
        <v>13:00 - 13:30</v>
      </c>
      <c r="J1224" s="316" t="str">
        <f t="array" ref="J1224">XLOOKUP(B1224,Roster!L:L,Roster!P:P,XLOOKUP(D1224,TicketsBreak!A:A,TicketsBreak!G:G,"",0),0)</f>
        <v>15:30 - 15:45</v>
      </c>
      <c r="K1224" s="310">
        <f t="shared" si="4"/>
        <v>46122</v>
      </c>
      <c r="L1224" s="317">
        <f t="array" ref="L1224">(XLOOKUP(D1224,Roster!F:F,Roster!D:D,"",0))</f>
        <v>12</v>
      </c>
      <c r="M1224" s="317" t="str">
        <f t="array" ref="M1224">XLOOKUP(D1224,Roster!F:F,Roster!E:E)</f>
        <v>Voice</v>
      </c>
      <c r="N1224" s="317" t="str">
        <f t="shared" ref="N1224:P1224" si="1245">LEFT(H1224,5)</f>
        <v>10:00</v>
      </c>
      <c r="O1224" s="317" t="str">
        <f t="shared" si="1245"/>
        <v>13:00</v>
      </c>
      <c r="P1224" s="317" t="str">
        <f t="shared" si="1245"/>
        <v>15:30</v>
      </c>
      <c r="Q1224" s="318">
        <f t="shared" si="1232"/>
        <v>46122.41667</v>
      </c>
      <c r="R1224" s="318">
        <f t="shared" si="1233"/>
        <v>46122.54167</v>
      </c>
      <c r="S1224" s="318">
        <f t="shared" si="8"/>
        <v>46122.64583</v>
      </c>
    </row>
    <row r="1225">
      <c r="A1225" s="14" t="str">
        <f t="shared" si="1"/>
        <v>C128246122</v>
      </c>
      <c r="B1225" s="185" t="str">
        <f t="array" ref="B1225">IF(F1225="VL","",IF(F1225="Free","Free",XLOOKUP(D1225,Roster!T:T,Roster!S:S,"",0)))</f>
        <v/>
      </c>
      <c r="C1225" s="313">
        <v>46122.0</v>
      </c>
      <c r="D1225" s="314" t="s">
        <v>168</v>
      </c>
      <c r="E1225" s="307" t="str">
        <f t="array" ref="E1225">(XLOOKUP(D1225,Roster!F:F,Roster!B:B,"",0))</f>
        <v>Samuel Acevedo</v>
      </c>
      <c r="F1225" s="315" t="str">
        <f t="array" ref="F1225">IF(B1225=100,"Free",TEXT(XLOOKUP($D1225,OperationVoice!$A:$A,OperationVoice!P:P,XLOOKUP($D1225,OperationTickets!$A:$A,OperationTickets!P:P,"",0)),"hh:mm"))</f>
        <v>08:00</v>
      </c>
      <c r="G1225" s="309">
        <f t="shared" si="3"/>
        <v>0.7083333333</v>
      </c>
      <c r="H1225" s="316" t="str">
        <f t="array" ref="H1225">XLOOKUP(B1225,Roster!L:L,Roster!N:N,XLOOKUP(D1225,TicketsBreak!A:A,TicketsBreak!E:E,"",0),0)</f>
        <v/>
      </c>
      <c r="I1225" s="316" t="str">
        <f t="array" ref="I1225">XLOOKUP(B1225,Roster!L:L,Roster!O:O,XLOOKUP(D1225,TicketsBreak!A:A,TicketsBreak!F:F,"",0),0)</f>
        <v/>
      </c>
      <c r="J1225" s="316" t="str">
        <f t="array" ref="J1225">XLOOKUP(B1225,Roster!L:L,Roster!P:P,XLOOKUP(D1225,TicketsBreak!A:A,TicketsBreak!G:G,"",0),0)</f>
        <v/>
      </c>
      <c r="K1225" s="310">
        <f t="shared" si="4"/>
        <v>46122</v>
      </c>
      <c r="L1225" s="317">
        <f t="array" ref="L1225">(XLOOKUP(D1225,Roster!F:F,Roster!D:D,"",0))</f>
        <v>27</v>
      </c>
      <c r="M1225" s="317" t="str">
        <f t="array" ref="M1225">XLOOKUP(D1225,Roster!F:F,Roster!E:E)</f>
        <v>Tickets</v>
      </c>
      <c r="N1225" s="317" t="str">
        <f t="shared" ref="N1225:P1225" si="1246">LEFT(H1225,5)</f>
        <v/>
      </c>
      <c r="O1225" s="317" t="str">
        <f t="shared" si="1246"/>
        <v/>
      </c>
      <c r="P1225" s="317" t="str">
        <f t="shared" si="1246"/>
        <v/>
      </c>
      <c r="Q1225" s="318" t="str">
        <f t="shared" si="1232"/>
        <v/>
      </c>
      <c r="R1225" s="318" t="str">
        <f t="shared" si="1233"/>
        <v/>
      </c>
      <c r="S1225" s="318" t="str">
        <f t="shared" si="8"/>
        <v/>
      </c>
    </row>
    <row r="1226">
      <c r="A1226" s="14" t="str">
        <f t="shared" si="1"/>
        <v>C156446122</v>
      </c>
      <c r="B1226" s="185">
        <f t="array" ref="B1226">IF(F1226="VL","",IF(F1226="Free","Free",XLOOKUP(D1226,Roster!T:T,Roster!S:S,"",0)))</f>
        <v>121</v>
      </c>
      <c r="C1226" s="313">
        <v>46122.0</v>
      </c>
      <c r="D1226" s="314" t="s">
        <v>71</v>
      </c>
      <c r="E1226" s="307" t="str">
        <f t="array" ref="E1226">(XLOOKUP(D1226,Roster!F:F,Roster!B:B,"",0))</f>
        <v>Samuel Acevedo Cadavid</v>
      </c>
      <c r="F1226" s="315" t="str">
        <f t="array" ref="F1226">IF(B1226=100,"Free",TEXT(XLOOKUP($D1226,OperationVoice!$A:$A,OperationVoice!P:P,XLOOKUP($D1226,OperationTickets!$A:$A,OperationTickets!P:P,"",0)),"hh:mm"))</f>
        <v>11:00</v>
      </c>
      <c r="G1226" s="309">
        <f t="shared" si="3"/>
        <v>0.8333333333</v>
      </c>
      <c r="H1226" s="316" t="str">
        <f t="array" ref="H1226">XLOOKUP(B1226,Roster!L:L,Roster!N:N,XLOOKUP(D1226,TicketsBreak!A:A,TicketsBreak!E:E,"",0),0)</f>
        <v>09:15 - 09:30</v>
      </c>
      <c r="I1226" s="316" t="str">
        <f t="array" ref="I1226">XLOOKUP(B1226,Roster!L:L,Roster!O:O,XLOOKUP(D1226,TicketsBreak!A:A,TicketsBreak!F:F,"",0),0)</f>
        <v>11:30 - 12:00</v>
      </c>
      <c r="J1226" s="316" t="str">
        <f t="array" ref="J1226">XLOOKUP(B1226,Roster!L:L,Roster!P:P,XLOOKUP(D1226,TicketsBreak!A:A,TicketsBreak!G:G,"",0),0)</f>
        <v>14:30 - 14:45</v>
      </c>
      <c r="K1226" s="310">
        <f t="shared" si="4"/>
        <v>46122</v>
      </c>
      <c r="L1226" s="317">
        <f t="array" ref="L1226">(XLOOKUP(D1226,Roster!F:F,Roster!D:D,"",0))</f>
        <v>38</v>
      </c>
      <c r="M1226" s="317" t="str">
        <f t="array" ref="M1226">XLOOKUP(D1226,Roster!F:F,Roster!E:E)</f>
        <v>Voice</v>
      </c>
      <c r="N1226" s="317" t="str">
        <f t="shared" ref="N1226:P1226" si="1247">LEFT(H1226,5)</f>
        <v>09:15</v>
      </c>
      <c r="O1226" s="317" t="str">
        <f t="shared" si="1247"/>
        <v>11:30</v>
      </c>
      <c r="P1226" s="317" t="str">
        <f t="shared" si="1247"/>
        <v>14:30</v>
      </c>
      <c r="Q1226" s="318">
        <f t="shared" si="1232"/>
        <v>46122.38542</v>
      </c>
      <c r="R1226" s="318">
        <f t="shared" si="1233"/>
        <v>46122.47917</v>
      </c>
      <c r="S1226" s="318">
        <f t="shared" si="8"/>
        <v>46122.60417</v>
      </c>
    </row>
    <row r="1227">
      <c r="A1227" s="14" t="str">
        <f t="shared" si="1"/>
        <v>C116846122</v>
      </c>
      <c r="B1227" s="185">
        <f t="array" ref="B1227">IF(F1227="VL","",IF(F1227="Free","Free",XLOOKUP(D1227,Roster!T:T,Roster!S:S,"",0)))</f>
        <v>125</v>
      </c>
      <c r="C1227" s="313">
        <v>46122.0</v>
      </c>
      <c r="D1227" s="314" t="s">
        <v>180</v>
      </c>
      <c r="E1227" s="307" t="str">
        <f t="array" ref="E1227">(XLOOKUP(D1227,Roster!F:F,Roster!B:B,"",0))</f>
        <v>Santiago Gaviria</v>
      </c>
      <c r="F1227" s="315" t="str">
        <f t="array" ref="F1227">IF(B1227=100,"Free",TEXT(XLOOKUP($D1227,OperationVoice!$A:$A,OperationVoice!P:P,XLOOKUP($D1227,OperationTickets!$A:$A,OperationTickets!P:P,"",0)),"hh:mm"))</f>
        <v>08:00</v>
      </c>
      <c r="G1227" s="309">
        <f t="shared" si="3"/>
        <v>0.7083333333</v>
      </c>
      <c r="H1227" s="316" t="str">
        <f t="array" ref="H1227">XLOOKUP(B1227,Roster!L:L,Roster!N:N,XLOOKUP(D1227,TicketsBreak!A:A,TicketsBreak!E:E,"",0),0)</f>
        <v>10:30 - 10:45</v>
      </c>
      <c r="I1227" s="316" t="str">
        <f t="array" ref="I1227">XLOOKUP(B1227,Roster!L:L,Roster!O:O,XLOOKUP(D1227,TicketsBreak!A:A,TicketsBreak!F:F,"",0),0)</f>
        <v>13:30 - 14:00</v>
      </c>
      <c r="J1227" s="316" t="str">
        <f t="array" ref="J1227">XLOOKUP(B1227,Roster!L:L,Roster!P:P,XLOOKUP(D1227,TicketsBreak!A:A,TicketsBreak!G:G,"",0),0)</f>
        <v>15:45 - 16:00</v>
      </c>
      <c r="K1227" s="310">
        <f t="shared" si="4"/>
        <v>46122</v>
      </c>
      <c r="L1227" s="317">
        <f t="array" ref="L1227">(XLOOKUP(D1227,Roster!F:F,Roster!D:D,"",0))</f>
        <v>24</v>
      </c>
      <c r="M1227" s="317" t="str">
        <f t="array" ref="M1227">XLOOKUP(D1227,Roster!F:F,Roster!E:E)</f>
        <v>Tickets</v>
      </c>
      <c r="N1227" s="317" t="str">
        <f t="shared" ref="N1227:P1227" si="1248">LEFT(H1227,5)</f>
        <v>10:30</v>
      </c>
      <c r="O1227" s="317" t="str">
        <f t="shared" si="1248"/>
        <v>13:30</v>
      </c>
      <c r="P1227" s="317" t="str">
        <f t="shared" si="1248"/>
        <v>15:45</v>
      </c>
      <c r="Q1227" s="318">
        <f t="shared" si="1232"/>
        <v>46122.4375</v>
      </c>
      <c r="R1227" s="318">
        <f t="shared" si="1233"/>
        <v>46122.5625</v>
      </c>
      <c r="S1227" s="318">
        <f t="shared" si="8"/>
        <v>46122.65625</v>
      </c>
    </row>
    <row r="1228">
      <c r="A1228" s="14" t="str">
        <f t="shared" si="1"/>
        <v>C122046122</v>
      </c>
      <c r="B1228" s="185" t="str">
        <f t="array" ref="B1228">IF(F1228="VL","",IF(F1228="Free","Free",XLOOKUP(D1228,Roster!T:T,Roster!S:S,"",0)))</f>
        <v/>
      </c>
      <c r="C1228" s="313">
        <v>46122.0</v>
      </c>
      <c r="D1228" s="314" t="s">
        <v>181</v>
      </c>
      <c r="E1228" s="307" t="str">
        <f t="array" ref="E1228">(XLOOKUP(D1228,Roster!F:F,Roster!B:B,"",0))</f>
        <v>Santiago Gonzalez</v>
      </c>
      <c r="F1228" s="315" t="str">
        <f t="array" ref="F1228">IF(B1228=100,"Free",TEXT(XLOOKUP($D1228,OperationVoice!$A:$A,OperationVoice!P:P,XLOOKUP($D1228,OperationTickets!$A:$A,OperationTickets!P:P,"",0)),"hh:mm"))</f>
        <v>08:00</v>
      </c>
      <c r="G1228" s="309">
        <f t="shared" si="3"/>
        <v>0.7083333333</v>
      </c>
      <c r="H1228" s="316" t="str">
        <f t="array" ref="H1228">XLOOKUP(B1228,Roster!L:L,Roster!N:N,XLOOKUP(D1228,TicketsBreak!A:A,TicketsBreak!E:E,"",0),0)</f>
        <v/>
      </c>
      <c r="I1228" s="316" t="str">
        <f t="array" ref="I1228">XLOOKUP(B1228,Roster!L:L,Roster!O:O,XLOOKUP(D1228,TicketsBreak!A:A,TicketsBreak!F:F,"",0),0)</f>
        <v/>
      </c>
      <c r="J1228" s="316" t="str">
        <f t="array" ref="J1228">XLOOKUP(B1228,Roster!L:L,Roster!P:P,XLOOKUP(D1228,TicketsBreak!A:A,TicketsBreak!G:G,"",0),0)</f>
        <v/>
      </c>
      <c r="K1228" s="310">
        <f t="shared" si="4"/>
        <v>46122</v>
      </c>
      <c r="L1228" s="317">
        <f t="array" ref="L1228">(XLOOKUP(D1228,Roster!F:F,Roster!D:D,"",0))</f>
        <v>26</v>
      </c>
      <c r="M1228" s="317" t="str">
        <f t="array" ref="M1228">XLOOKUP(D1228,Roster!F:F,Roster!E:E)</f>
        <v>Tickets</v>
      </c>
      <c r="N1228" s="317" t="str">
        <f t="shared" ref="N1228:P1228" si="1249">LEFT(H1228,5)</f>
        <v/>
      </c>
      <c r="O1228" s="317" t="str">
        <f t="shared" si="1249"/>
        <v/>
      </c>
      <c r="P1228" s="317" t="str">
        <f t="shared" si="1249"/>
        <v/>
      </c>
      <c r="Q1228" s="318" t="str">
        <f t="shared" si="1232"/>
        <v/>
      </c>
      <c r="R1228" s="318" t="str">
        <f t="shared" si="1233"/>
        <v/>
      </c>
      <c r="S1228" s="318" t="str">
        <f t="shared" si="8"/>
        <v/>
      </c>
    </row>
    <row r="1229">
      <c r="A1229" s="14" t="str">
        <f t="shared" si="1"/>
        <v>C140646122</v>
      </c>
      <c r="B1229" s="185">
        <f t="array" ref="B1229">IF(F1229="VL","",IF(F1229="Free","Free",XLOOKUP(D1229,Roster!T:T,Roster!S:S,"",0)))</f>
        <v>152</v>
      </c>
      <c r="C1229" s="313">
        <v>46122.0</v>
      </c>
      <c r="D1229" s="314" t="s">
        <v>72</v>
      </c>
      <c r="E1229" s="307" t="str">
        <f t="array" ref="E1229">(XLOOKUP(D1229,Roster!F:F,Roster!B:B,"",0))</f>
        <v>Santiago Mora</v>
      </c>
      <c r="F1229" s="315" t="str">
        <f t="array" ref="F1229">IF(B1229=100,"Free",TEXT(XLOOKUP($D1229,OperationVoice!$A:$A,OperationVoice!P:P,XLOOKUP($D1229,OperationTickets!$A:$A,OperationTickets!P:P,"",0)),"hh:mm"))</f>
        <v>11:00</v>
      </c>
      <c r="G1229" s="309">
        <f t="shared" si="3"/>
        <v>0.8333333333</v>
      </c>
      <c r="H1229" s="316" t="str">
        <f t="array" ref="H1229">XLOOKUP(B1229,Roster!L:L,Roster!N:N,XLOOKUP(D1229,TicketsBreak!A:A,TicketsBreak!E:E,"",0),0)</f>
        <v>12:30 - 12:45</v>
      </c>
      <c r="I1229" s="316" t="str">
        <f t="array" ref="I1229">XLOOKUP(B1229,Roster!L:L,Roster!O:O,XLOOKUP(D1229,TicketsBreak!A:A,TicketsBreak!F:F,"",0),0)</f>
        <v>14:30 - 15:00</v>
      </c>
      <c r="J1229" s="316" t="str">
        <f t="array" ref="J1229">XLOOKUP(B1229,Roster!L:L,Roster!P:P,XLOOKUP(D1229,TicketsBreak!A:A,TicketsBreak!G:G,"",0),0)</f>
        <v>17:30 - 17:45</v>
      </c>
      <c r="K1229" s="310">
        <f t="shared" si="4"/>
        <v>46122</v>
      </c>
      <c r="L1229" s="317">
        <f t="array" ref="L1229">(XLOOKUP(D1229,Roster!F:F,Roster!D:D,"",0))</f>
        <v>35</v>
      </c>
      <c r="M1229" s="317" t="str">
        <f t="array" ref="M1229">XLOOKUP(D1229,Roster!F:F,Roster!E:E)</f>
        <v>Voice</v>
      </c>
      <c r="N1229" s="317" t="str">
        <f t="shared" ref="N1229:P1229" si="1250">LEFT(H1229,5)</f>
        <v>12:30</v>
      </c>
      <c r="O1229" s="317" t="str">
        <f t="shared" si="1250"/>
        <v>14:30</v>
      </c>
      <c r="P1229" s="317" t="str">
        <f t="shared" si="1250"/>
        <v>17:30</v>
      </c>
      <c r="Q1229" s="318">
        <f t="shared" si="1232"/>
        <v>46122.52083</v>
      </c>
      <c r="R1229" s="318">
        <f t="shared" si="1233"/>
        <v>46122.60417</v>
      </c>
      <c r="S1229" s="318">
        <f t="shared" si="8"/>
        <v>46122.72917</v>
      </c>
    </row>
    <row r="1230">
      <c r="A1230" s="14" t="str">
        <f t="shared" si="1"/>
        <v>C119946122</v>
      </c>
      <c r="B1230" s="185" t="str">
        <f t="array" ref="B1230">IF(F1230="VL","",IF(F1230="Free","Free",XLOOKUP(D1230,Roster!T:T,Roster!S:S,"",0)))</f>
        <v/>
      </c>
      <c r="C1230" s="313">
        <v>46122.0</v>
      </c>
      <c r="D1230" s="314" t="s">
        <v>182</v>
      </c>
      <c r="E1230" s="307" t="str">
        <f t="array" ref="E1230">(XLOOKUP(D1230,Roster!F:F,Roster!B:B,"",0))</f>
        <v>Santiago Velasquez</v>
      </c>
      <c r="F1230" s="315" t="str">
        <f t="array" ref="F1230">IF(B1230=100,"Free",TEXT(XLOOKUP($D1230,OperationVoice!$A:$A,OperationVoice!P:P,XLOOKUP($D1230,OperationTickets!$A:$A,OperationTickets!P:P,"",0)),"hh:mm"))</f>
        <v>08:00</v>
      </c>
      <c r="G1230" s="309">
        <f t="shared" si="3"/>
        <v>0.7083333333</v>
      </c>
      <c r="H1230" s="316" t="str">
        <f t="array" ref="H1230">XLOOKUP(B1230,Roster!L:L,Roster!N:N,XLOOKUP(D1230,TicketsBreak!A:A,TicketsBreak!E:E,"",0),0)</f>
        <v/>
      </c>
      <c r="I1230" s="316" t="str">
        <f t="array" ref="I1230">XLOOKUP(B1230,Roster!L:L,Roster!O:O,XLOOKUP(D1230,TicketsBreak!A:A,TicketsBreak!F:F,"",0),0)</f>
        <v/>
      </c>
      <c r="J1230" s="316" t="str">
        <f t="array" ref="J1230">XLOOKUP(B1230,Roster!L:L,Roster!P:P,XLOOKUP(D1230,TicketsBreak!A:A,TicketsBreak!G:G,"",0),0)</f>
        <v/>
      </c>
      <c r="K1230" s="310">
        <f t="shared" si="4"/>
        <v>46122</v>
      </c>
      <c r="L1230" s="317">
        <f t="array" ref="L1230">(XLOOKUP(D1230,Roster!F:F,Roster!D:D,"",0))</f>
        <v>25</v>
      </c>
      <c r="M1230" s="317" t="str">
        <f t="array" ref="M1230">XLOOKUP(D1230,Roster!F:F,Roster!E:E)</f>
        <v>Tickets</v>
      </c>
      <c r="N1230" s="317" t="str">
        <f t="shared" ref="N1230:P1230" si="1251">LEFT(H1230,5)</f>
        <v/>
      </c>
      <c r="O1230" s="317" t="str">
        <f t="shared" si="1251"/>
        <v/>
      </c>
      <c r="P1230" s="317" t="str">
        <f t="shared" si="1251"/>
        <v/>
      </c>
      <c r="Q1230" s="318" t="str">
        <f t="shared" si="1232"/>
        <v/>
      </c>
      <c r="R1230" s="318" t="str">
        <f t="shared" si="1233"/>
        <v/>
      </c>
      <c r="S1230" s="318" t="str">
        <f t="shared" si="8"/>
        <v/>
      </c>
    </row>
    <row r="1231">
      <c r="A1231" s="14" t="str">
        <f t="shared" si="1"/>
        <v>C90246122</v>
      </c>
      <c r="B1231" s="185" t="str">
        <f t="array" ref="B1231">IF(F1231="VL","",IF(F1231="Free","Free",XLOOKUP(D1231,Roster!T:T,Roster!S:S,"",0)))</f>
        <v/>
      </c>
      <c r="C1231" s="313">
        <v>46122.0</v>
      </c>
      <c r="D1231" s="314" t="s">
        <v>150</v>
      </c>
      <c r="E1231" s="307" t="str">
        <f t="array" ref="E1231">(XLOOKUP(D1231,Roster!F:F,Roster!B:B,"",0))</f>
        <v>Sebastiam Vallejo</v>
      </c>
      <c r="F1231" s="315" t="str">
        <f t="array" ref="F1231">IF(B1231=100,"Free",TEXT(XLOOKUP($D1231,OperationVoice!$A:$A,OperationVoice!P:P,XLOOKUP($D1231,OperationTickets!$A:$A,OperationTickets!P:P,"",0)),"hh:mm"))</f>
        <v>08:00</v>
      </c>
      <c r="G1231" s="309">
        <f t="shared" si="3"/>
        <v>0.7083333333</v>
      </c>
      <c r="H1231" s="316">
        <f t="array" ref="H1231">XLOOKUP(B1231,Roster!L:L,Roster!N:N,XLOOKUP(D1231,TicketsBreak!A:A,TicketsBreak!E:E,"",0),0)</f>
        <v>0.4375</v>
      </c>
      <c r="I1231" s="316">
        <f t="array" ref="I1231">XLOOKUP(B1231,Roster!L:L,Roster!O:O,XLOOKUP(D1231,TicketsBreak!A:A,TicketsBreak!F:F,"",0),0)</f>
        <v>0.6041666667</v>
      </c>
      <c r="J1231" s="316">
        <f t="array" ref="J1231">XLOOKUP(B1231,Roster!L:L,Roster!P:P,XLOOKUP(D1231,TicketsBreak!A:A,TicketsBreak!G:G,"",0),0)</f>
        <v>0.65625</v>
      </c>
      <c r="K1231" s="310">
        <f t="shared" si="4"/>
        <v>46122</v>
      </c>
      <c r="L1231" s="317">
        <f t="array" ref="L1231">(XLOOKUP(D1231,Roster!F:F,Roster!D:D,"",0))</f>
        <v>11</v>
      </c>
      <c r="M1231" s="317" t="str">
        <f t="array" ref="M1231">XLOOKUP(D1231,Roster!F:F,Roster!E:E)</f>
        <v>Tickets</v>
      </c>
      <c r="N1231" s="317" t="str">
        <f t="shared" ref="N1231:P1231" si="1252">LEFT(H1231,5)</f>
        <v>10:30</v>
      </c>
      <c r="O1231" s="317" t="str">
        <f t="shared" si="1252"/>
        <v>14:30</v>
      </c>
      <c r="P1231" s="317" t="str">
        <f t="shared" si="1252"/>
        <v>15:45</v>
      </c>
      <c r="Q1231" s="318">
        <f t="shared" si="1232"/>
        <v>46122.4375</v>
      </c>
      <c r="R1231" s="318">
        <f t="shared" si="1233"/>
        <v>46122.60417</v>
      </c>
      <c r="S1231" s="318">
        <f t="shared" si="8"/>
        <v>46122.65625</v>
      </c>
    </row>
    <row r="1232">
      <c r="A1232" s="14" t="str">
        <f t="shared" si="1"/>
        <v>C150646122</v>
      </c>
      <c r="B1232" s="185">
        <f t="array" ref="B1232">IF(F1232="VL","",IF(F1232="Free","Free",XLOOKUP(D1232,Roster!T:T,Roster!S:S,"",0)))</f>
        <v>153</v>
      </c>
      <c r="C1232" s="313">
        <v>46122.0</v>
      </c>
      <c r="D1232" s="314" t="s">
        <v>73</v>
      </c>
      <c r="E1232" s="307" t="str">
        <f t="array" ref="E1232">(XLOOKUP(D1232,Roster!F:F,Roster!B:B,"",0))</f>
        <v>Sebastian Agudelo Londono</v>
      </c>
      <c r="F1232" s="315" t="str">
        <f t="array" ref="F1232">IF(B1232=100,"Free",TEXT(XLOOKUP($D1232,OperationVoice!$A:$A,OperationVoice!P:P,XLOOKUP($D1232,OperationTickets!$A:$A,OperationTickets!P:P,"",0)),"hh:mm"))</f>
        <v>11:00</v>
      </c>
      <c r="G1232" s="309">
        <f t="shared" si="3"/>
        <v>0.8333333333</v>
      </c>
      <c r="H1232" s="316" t="str">
        <f t="array" ref="H1232">XLOOKUP(B1232,Roster!L:L,Roster!N:N,XLOOKUP(D1232,TicketsBreak!A:A,TicketsBreak!E:E,"",0),0)</f>
        <v>12:45 - 13:00</v>
      </c>
      <c r="I1232" s="316" t="str">
        <f t="array" ref="I1232">XLOOKUP(B1232,Roster!L:L,Roster!O:O,XLOOKUP(D1232,TicketsBreak!A:A,TicketsBreak!F:F,"",0),0)</f>
        <v>15:00 - 15:30</v>
      </c>
      <c r="J1232" s="316" t="str">
        <f t="array" ref="J1232">XLOOKUP(B1232,Roster!L:L,Roster!P:P,XLOOKUP(D1232,TicketsBreak!A:A,TicketsBreak!G:G,"",0),0)</f>
        <v>17:45 - 18:00</v>
      </c>
      <c r="K1232" s="310">
        <f t="shared" si="4"/>
        <v>46122</v>
      </c>
      <c r="L1232" s="317">
        <f t="array" ref="L1232">(XLOOKUP(D1232,Roster!F:F,Roster!D:D,"",0))</f>
        <v>35</v>
      </c>
      <c r="M1232" s="317" t="str">
        <f t="array" ref="M1232">XLOOKUP(D1232,Roster!F:F,Roster!E:E)</f>
        <v>Voice</v>
      </c>
      <c r="N1232" s="317" t="str">
        <f t="shared" ref="N1232:P1232" si="1253">LEFT(H1232,5)</f>
        <v>12:45</v>
      </c>
      <c r="O1232" s="317" t="str">
        <f t="shared" si="1253"/>
        <v>15:00</v>
      </c>
      <c r="P1232" s="317" t="str">
        <f t="shared" si="1253"/>
        <v>17:45</v>
      </c>
      <c r="Q1232" s="318">
        <f t="shared" si="1232"/>
        <v>46122.53125</v>
      </c>
      <c r="R1232" s="318">
        <f t="shared" si="1233"/>
        <v>46122.625</v>
      </c>
      <c r="S1232" s="318">
        <f t="shared" si="8"/>
        <v>46122.73958</v>
      </c>
    </row>
    <row r="1233">
      <c r="A1233" s="14" t="str">
        <f t="shared" si="1"/>
        <v>C119046122</v>
      </c>
      <c r="B1233" s="185" t="str">
        <f t="array" ref="B1233">IF(F1233="VL","",IF(F1233="Free","Free",XLOOKUP(D1233,Roster!T:T,Roster!S:S,"",0)))</f>
        <v/>
      </c>
      <c r="C1233" s="313">
        <v>46122.0</v>
      </c>
      <c r="D1233" s="314" t="s">
        <v>183</v>
      </c>
      <c r="E1233" s="307" t="str">
        <f t="array" ref="E1233">(XLOOKUP(D1233,Roster!F:F,Roster!B:B,"",0))</f>
        <v>Sebastian Herrera</v>
      </c>
      <c r="F1233" s="315" t="str">
        <f t="array" ref="F1233">IF(B1233=100,"Free",TEXT(XLOOKUP($D1233,OperationVoice!$A:$A,OperationVoice!P:P,XLOOKUP($D1233,OperationTickets!$A:$A,OperationTickets!P:P,"",0)),"hh:mm"))</f>
        <v>07:00</v>
      </c>
      <c r="G1233" s="309">
        <f t="shared" si="3"/>
        <v>0.6666666667</v>
      </c>
      <c r="H1233" s="316">
        <f t="array" ref="H1233">XLOOKUP(B1233,Roster!L:L,Roster!N:N,XLOOKUP(D1233,TicketsBreak!A:A,TicketsBreak!E:E,"",0),0)</f>
        <v>0.40625</v>
      </c>
      <c r="I1233" s="316">
        <f t="array" ref="I1233">XLOOKUP(B1233,Roster!L:L,Roster!O:O,XLOOKUP(D1233,TicketsBreak!A:A,TicketsBreak!F:F,"",0),0)</f>
        <v>0.5416666667</v>
      </c>
      <c r="J1233" s="316">
        <f t="array" ref="J1233">XLOOKUP(B1233,Roster!L:L,Roster!P:P,XLOOKUP(D1233,TicketsBreak!A:A,TicketsBreak!G:G,"",0),0)</f>
        <v>0.625</v>
      </c>
      <c r="K1233" s="310">
        <f t="shared" si="4"/>
        <v>46122</v>
      </c>
      <c r="L1233" s="317">
        <f t="array" ref="L1233">(XLOOKUP(D1233,Roster!F:F,Roster!D:D,"",0))</f>
        <v>25</v>
      </c>
      <c r="M1233" s="317" t="str">
        <f t="array" ref="M1233">XLOOKUP(D1233,Roster!F:F,Roster!E:E)</f>
        <v>Tickets</v>
      </c>
      <c r="N1233" s="317" t="str">
        <f t="shared" ref="N1233:P1233" si="1254">LEFT(H1233,5)</f>
        <v>09:45</v>
      </c>
      <c r="O1233" s="317" t="str">
        <f t="shared" si="1254"/>
        <v>13:00</v>
      </c>
      <c r="P1233" s="317" t="str">
        <f t="shared" si="1254"/>
        <v>15:00</v>
      </c>
      <c r="Q1233" s="318">
        <f t="shared" si="1232"/>
        <v>46122.40625</v>
      </c>
      <c r="R1233" s="318">
        <f t="shared" si="1233"/>
        <v>46122.54167</v>
      </c>
      <c r="S1233" s="318">
        <f t="shared" si="8"/>
        <v>46122.625</v>
      </c>
    </row>
    <row r="1234">
      <c r="A1234" s="14" t="str">
        <f t="shared" si="1"/>
        <v>C71046122</v>
      </c>
      <c r="B1234" s="185" t="str">
        <f t="array" ref="B1234">IF(F1234="VL","",IF(F1234="Free","Free",XLOOKUP(D1234,Roster!T:T,Roster!S:S,"",0)))</f>
        <v/>
      </c>
      <c r="C1234" s="313">
        <v>46122.0</v>
      </c>
      <c r="D1234" s="314" t="s">
        <v>184</v>
      </c>
      <c r="E1234" s="307" t="str">
        <f t="array" ref="E1234">(XLOOKUP(D1234,Roster!F:F,Roster!B:B,"",0))</f>
        <v>Sebastian Martinez</v>
      </c>
      <c r="F1234" s="315" t="str">
        <f t="array" ref="F1234">IF(B1234=100,"Free",TEXT(XLOOKUP($D1234,OperationVoice!$A:$A,OperationVoice!P:P,XLOOKUP($D1234,OperationTickets!$A:$A,OperationTickets!P:P,"",0)),"hh:mm"))</f>
        <v>08:00</v>
      </c>
      <c r="G1234" s="309">
        <f t="shared" si="3"/>
        <v>0.7083333333</v>
      </c>
      <c r="H1234" s="316">
        <f t="array" ref="H1234">XLOOKUP(B1234,Roster!L:L,Roster!N:N,XLOOKUP(D1234,TicketsBreak!A:A,TicketsBreak!E:E,"",0),0)</f>
        <v>0.40625</v>
      </c>
      <c r="I1234" s="316">
        <f t="array" ref="I1234">XLOOKUP(B1234,Roster!L:L,Roster!O:O,XLOOKUP(D1234,TicketsBreak!A:A,TicketsBreak!F:F,"",0),0)</f>
        <v>0.5625</v>
      </c>
      <c r="J1234" s="316">
        <f t="array" ref="J1234">XLOOKUP(B1234,Roster!L:L,Roster!P:P,XLOOKUP(D1234,TicketsBreak!A:A,TicketsBreak!G:G,"",0),0)</f>
        <v>0.65625</v>
      </c>
      <c r="K1234" s="310">
        <f t="shared" si="4"/>
        <v>46122</v>
      </c>
      <c r="L1234" s="317">
        <f t="array" ref="L1234">(XLOOKUP(D1234,Roster!F:F,Roster!D:D,"",0))</f>
        <v>6</v>
      </c>
      <c r="M1234" s="317" t="str">
        <f t="array" ref="M1234">XLOOKUP(D1234,Roster!F:F,Roster!E:E)</f>
        <v>Tickets</v>
      </c>
      <c r="N1234" s="317" t="str">
        <f t="shared" ref="N1234:P1234" si="1255">LEFT(H1234,5)</f>
        <v>09:45</v>
      </c>
      <c r="O1234" s="317" t="str">
        <f t="shared" si="1255"/>
        <v>13:30</v>
      </c>
      <c r="P1234" s="317" t="str">
        <f t="shared" si="1255"/>
        <v>15:45</v>
      </c>
      <c r="Q1234" s="318">
        <f t="shared" si="1232"/>
        <v>46122.40625</v>
      </c>
      <c r="R1234" s="318">
        <f t="shared" si="1233"/>
        <v>46122.5625</v>
      </c>
      <c r="S1234" s="318">
        <f t="shared" si="8"/>
        <v>46122.65625</v>
      </c>
    </row>
    <row r="1235">
      <c r="A1235" s="14" t="str">
        <f t="shared" si="1"/>
        <v>C72346122</v>
      </c>
      <c r="B1235" s="185" t="str">
        <f t="array" ref="B1235">IF(F1235="VL","",IF(F1235="Free","Free",XLOOKUP(D1235,Roster!T:T,Roster!S:S,"",0)))</f>
        <v/>
      </c>
      <c r="C1235" s="313">
        <v>46122.0</v>
      </c>
      <c r="D1235" s="314" t="s">
        <v>169</v>
      </c>
      <c r="E1235" s="307" t="str">
        <f t="array" ref="E1235">(XLOOKUP(D1235,Roster!F:F,Roster!B:B,"",0))</f>
        <v>Sebastian Parra</v>
      </c>
      <c r="F1235" s="315" t="str">
        <f t="array" ref="F1235">IF(B1235=100,"Free",TEXT(XLOOKUP($D1235,OperationVoice!$A:$A,OperationVoice!P:P,XLOOKUP($D1235,OperationTickets!$A:$A,OperationTickets!P:P,"",0)),"hh:mm"))</f>
        <v>08:00</v>
      </c>
      <c r="G1235" s="309">
        <f t="shared" si="3"/>
        <v>0.7083333333</v>
      </c>
      <c r="H1235" s="316">
        <f t="array" ref="H1235">XLOOKUP(B1235,Roster!L:L,Roster!N:N,XLOOKUP(D1235,TicketsBreak!A:A,TicketsBreak!E:E,"",0),0)</f>
        <v>0.4166666667</v>
      </c>
      <c r="I1235" s="316">
        <f t="array" ref="I1235">XLOOKUP(B1235,Roster!L:L,Roster!O:O,XLOOKUP(D1235,TicketsBreak!A:A,TicketsBreak!F:F,"",0),0)</f>
        <v>0.5347222222</v>
      </c>
      <c r="J1235" s="316">
        <f t="array" ref="J1235">XLOOKUP(B1235,Roster!L:L,Roster!P:P,XLOOKUP(D1235,TicketsBreak!A:A,TicketsBreak!G:G,"",0),0)</f>
        <v>0.65625</v>
      </c>
      <c r="K1235" s="310">
        <f t="shared" si="4"/>
        <v>46122</v>
      </c>
      <c r="L1235" s="317">
        <f t="array" ref="L1235">(XLOOKUP(D1235,Roster!F:F,Roster!D:D,"",0))</f>
        <v>7</v>
      </c>
      <c r="M1235" s="317" t="str">
        <f t="array" ref="M1235">XLOOKUP(D1235,Roster!F:F,Roster!E:E)</f>
        <v>Tickets</v>
      </c>
      <c r="N1235" s="317" t="str">
        <f t="shared" ref="N1235:P1235" si="1256">LEFT(H1235,5)</f>
        <v>10:00</v>
      </c>
      <c r="O1235" s="317" t="str">
        <f t="shared" si="1256"/>
        <v>12:50</v>
      </c>
      <c r="P1235" s="317" t="str">
        <f t="shared" si="1256"/>
        <v>15:45</v>
      </c>
      <c r="Q1235" s="318">
        <f t="shared" si="1232"/>
        <v>46122.41667</v>
      </c>
      <c r="R1235" s="318">
        <f t="shared" si="1233"/>
        <v>46122.53472</v>
      </c>
      <c r="S1235" s="318">
        <f t="shared" si="8"/>
        <v>46122.65625</v>
      </c>
    </row>
    <row r="1236">
      <c r="A1236" s="14" t="str">
        <f t="shared" si="1"/>
        <v>C137646122</v>
      </c>
      <c r="B1236" s="185" t="str">
        <f t="array" ref="B1236">IF(F1236="VL","",IF(F1236="Free","Free",XLOOKUP(D1236,Roster!T:T,Roster!S:S,"",0)))</f>
        <v/>
      </c>
      <c r="C1236" s="313">
        <v>46122.0</v>
      </c>
      <c r="D1236" s="314" t="s">
        <v>151</v>
      </c>
      <c r="E1236" s="307" t="str">
        <f t="array" ref="E1236">(XLOOKUP(D1236,Roster!F:F,Roster!B:B,"",0))</f>
        <v>Sebastian Quiroz</v>
      </c>
      <c r="F1236" s="315" t="str">
        <f t="array" ref="F1236">IF(B1236=100,"Free",TEXT(XLOOKUP($D1236,OperationVoice!$A:$A,OperationVoice!P:P,XLOOKUP($D1236,OperationTickets!$A:$A,OperationTickets!P:P,"",0)),"hh:mm"))</f>
        <v>08:00</v>
      </c>
      <c r="G1236" s="309">
        <f t="shared" si="3"/>
        <v>0.7083333333</v>
      </c>
      <c r="H1236" s="316" t="str">
        <f t="array" ref="H1236">XLOOKUP(B1236,Roster!L:L,Roster!N:N,XLOOKUP(D1236,TicketsBreak!A:A,TicketsBreak!E:E,"",0),0)</f>
        <v/>
      </c>
      <c r="I1236" s="316" t="str">
        <f t="array" ref="I1236">XLOOKUP(B1236,Roster!L:L,Roster!O:O,XLOOKUP(D1236,TicketsBreak!A:A,TicketsBreak!F:F,"",0),0)</f>
        <v/>
      </c>
      <c r="J1236" s="316" t="str">
        <f t="array" ref="J1236">XLOOKUP(B1236,Roster!L:L,Roster!P:P,XLOOKUP(D1236,TicketsBreak!A:A,TicketsBreak!G:G,"",0),0)</f>
        <v/>
      </c>
      <c r="K1236" s="310">
        <f t="shared" si="4"/>
        <v>46122</v>
      </c>
      <c r="L1236" s="317">
        <f t="array" ref="L1236">(XLOOKUP(D1236,Roster!F:F,Roster!D:D,"",0))</f>
        <v>31</v>
      </c>
      <c r="M1236" s="317" t="str">
        <f t="array" ref="M1236">XLOOKUP(D1236,Roster!F:F,Roster!E:E)</f>
        <v>Tickets</v>
      </c>
      <c r="N1236" s="317" t="str">
        <f t="shared" ref="N1236:P1236" si="1257">LEFT(H1236,5)</f>
        <v/>
      </c>
      <c r="O1236" s="317" t="str">
        <f t="shared" si="1257"/>
        <v/>
      </c>
      <c r="P1236" s="317" t="str">
        <f t="shared" si="1257"/>
        <v/>
      </c>
      <c r="Q1236" s="318" t="str">
        <f t="shared" si="1232"/>
        <v/>
      </c>
      <c r="R1236" s="318" t="str">
        <f t="shared" si="1233"/>
        <v/>
      </c>
      <c r="S1236" s="318" t="str">
        <f t="shared" si="8"/>
        <v/>
      </c>
    </row>
    <row r="1237">
      <c r="A1237" s="14" t="str">
        <f t="shared" si="1"/>
        <v>C72646122</v>
      </c>
      <c r="B1237" s="185" t="str">
        <f t="array" ref="B1237">IF(F1237="VL","",IF(F1237="Free","Free",XLOOKUP(D1237,Roster!T:T,Roster!S:S,"",0)))</f>
        <v/>
      </c>
      <c r="C1237" s="313">
        <v>46122.0</v>
      </c>
      <c r="D1237" s="314" t="s">
        <v>185</v>
      </c>
      <c r="E1237" s="307" t="str">
        <f t="array" ref="E1237">(XLOOKUP(D1237,Roster!F:F,Roster!B:B,"",0))</f>
        <v>Sebastian Rodriguez</v>
      </c>
      <c r="F1237" s="315" t="str">
        <f t="array" ref="F1237">IF(B1237=100,"Free",TEXT(XLOOKUP($D1237,OperationVoice!$A:$A,OperationVoice!P:P,XLOOKUP($D1237,OperationTickets!$A:$A,OperationTickets!P:P,"",0)),"hh:mm"))</f>
        <v>08:00</v>
      </c>
      <c r="G1237" s="309">
        <f t="shared" si="3"/>
        <v>0.7083333333</v>
      </c>
      <c r="H1237" s="316">
        <f t="array" ref="H1237">XLOOKUP(B1237,Roster!L:L,Roster!N:N,XLOOKUP(D1237,TicketsBreak!A:A,TicketsBreak!E:E,"",0),0)</f>
        <v>0.4166666667</v>
      </c>
      <c r="I1237" s="316">
        <f t="array" ref="I1237">XLOOKUP(B1237,Roster!L:L,Roster!O:O,XLOOKUP(D1237,TicketsBreak!A:A,TicketsBreak!F:F,"",0),0)</f>
        <v>0.5625</v>
      </c>
      <c r="J1237" s="316">
        <f t="array" ref="J1237">XLOOKUP(B1237,Roster!L:L,Roster!P:P,XLOOKUP(D1237,TicketsBreak!A:A,TicketsBreak!G:G,"",0),0)</f>
        <v>0.6458333333</v>
      </c>
      <c r="K1237" s="310">
        <f t="shared" si="4"/>
        <v>46122</v>
      </c>
      <c r="L1237" s="317">
        <f t="array" ref="L1237">(XLOOKUP(D1237,Roster!F:F,Roster!D:D,"",0))</f>
        <v>7</v>
      </c>
      <c r="M1237" s="317" t="str">
        <f t="array" ref="M1237">XLOOKUP(D1237,Roster!F:F,Roster!E:E)</f>
        <v>Tickets</v>
      </c>
      <c r="N1237" s="317" t="str">
        <f t="shared" ref="N1237:P1237" si="1258">LEFT(H1237,5)</f>
        <v>10:00</v>
      </c>
      <c r="O1237" s="317" t="str">
        <f t="shared" si="1258"/>
        <v>13:30</v>
      </c>
      <c r="P1237" s="317" t="str">
        <f t="shared" si="1258"/>
        <v>15:30</v>
      </c>
      <c r="Q1237" s="318">
        <f t="shared" si="1232"/>
        <v>46122.41667</v>
      </c>
      <c r="R1237" s="318">
        <f t="shared" si="1233"/>
        <v>46122.5625</v>
      </c>
      <c r="S1237" s="318">
        <f t="shared" si="8"/>
        <v>46122.64583</v>
      </c>
    </row>
    <row r="1238">
      <c r="A1238" s="14" t="str">
        <f t="shared" si="1"/>
        <v>C60246122</v>
      </c>
      <c r="B1238" s="185" t="str">
        <f t="array" ref="B1238">IF(F1238="VL","",IF(F1238="Free","Free",XLOOKUP(D1238,Roster!T:T,Roster!S:S,"",0)))</f>
        <v/>
      </c>
      <c r="C1238" s="313">
        <v>46122.0</v>
      </c>
      <c r="D1238" s="314" t="s">
        <v>170</v>
      </c>
      <c r="E1238" s="307" t="str">
        <f t="array" ref="E1238">(XLOOKUP(D1238,Roster!F:F,Roster!B:B,"",0))</f>
        <v>Sebastian Torres</v>
      </c>
      <c r="F1238" s="315" t="str">
        <f t="array" ref="F1238">IF(B1238=100,"Free",TEXT(XLOOKUP($D1238,OperationVoice!$A:$A,OperationVoice!P:P,XLOOKUP($D1238,OperationTickets!$A:$A,OperationTickets!P:P,"",0)),"hh:mm"))</f>
        <v>08:00</v>
      </c>
      <c r="G1238" s="309">
        <f t="shared" si="3"/>
        <v>0.7083333333</v>
      </c>
      <c r="H1238" s="316">
        <f t="array" ref="H1238">XLOOKUP(B1238,Roster!L:L,Roster!N:N,XLOOKUP(D1238,TicketsBreak!A:A,TicketsBreak!E:E,"",0),0)</f>
        <v>0.4583333333</v>
      </c>
      <c r="I1238" s="316">
        <f t="array" ref="I1238">XLOOKUP(B1238,Roster!L:L,Roster!O:O,XLOOKUP(D1238,TicketsBreak!A:A,TicketsBreak!F:F,"",0),0)</f>
        <v>0.5833333333</v>
      </c>
      <c r="J1238" s="316">
        <f t="array" ref="J1238">XLOOKUP(B1238,Roster!L:L,Roster!P:P,XLOOKUP(D1238,TicketsBreak!A:A,TicketsBreak!G:G,"",0),0)</f>
        <v>0.65625</v>
      </c>
      <c r="K1238" s="310">
        <f t="shared" si="4"/>
        <v>46122</v>
      </c>
      <c r="L1238" s="317">
        <f t="array" ref="L1238">(XLOOKUP(D1238,Roster!F:F,Roster!D:D,"",0))</f>
        <v>8</v>
      </c>
      <c r="M1238" s="317" t="str">
        <f t="array" ref="M1238">XLOOKUP(D1238,Roster!F:F,Roster!E:E)</f>
        <v>Tickets</v>
      </c>
      <c r="N1238" s="317" t="str">
        <f t="shared" ref="N1238:P1238" si="1259">LEFT(H1238,5)</f>
        <v>11:00</v>
      </c>
      <c r="O1238" s="317" t="str">
        <f t="shared" si="1259"/>
        <v>14:00</v>
      </c>
      <c r="P1238" s="317" t="str">
        <f t="shared" si="1259"/>
        <v>15:45</v>
      </c>
      <c r="Q1238" s="318">
        <f t="shared" si="1232"/>
        <v>46122.45833</v>
      </c>
      <c r="R1238" s="318">
        <f t="shared" si="1233"/>
        <v>46122.58333</v>
      </c>
      <c r="S1238" s="318">
        <f t="shared" si="8"/>
        <v>46122.65625</v>
      </c>
    </row>
    <row r="1239">
      <c r="A1239" s="14" t="str">
        <f t="shared" si="1"/>
        <v>C143146122</v>
      </c>
      <c r="B1239" s="185">
        <f t="array" ref="B1239">IF(F1239="VL","",IF(F1239="Free","Free",XLOOKUP(D1239,Roster!T:T,Roster!S:S,"",0)))</f>
        <v>151</v>
      </c>
      <c r="C1239" s="313">
        <v>46122.0</v>
      </c>
      <c r="D1239" s="314" t="s">
        <v>74</v>
      </c>
      <c r="E1239" s="307" t="str">
        <f t="array" ref="E1239">(XLOOKUP(D1239,Roster!F:F,Roster!B:B,"",0))</f>
        <v>Sebastian Torres Gomez</v>
      </c>
      <c r="F1239" s="315" t="str">
        <f t="array" ref="F1239">IF(B1239=100,"Free",TEXT(XLOOKUP($D1239,OperationVoice!$A:$A,OperationVoice!P:P,XLOOKUP($D1239,OperationTickets!$A:$A,OperationTickets!P:P,"",0)),"hh:mm"))</f>
        <v>11:00</v>
      </c>
      <c r="G1239" s="309">
        <f t="shared" si="3"/>
        <v>0.8333333333</v>
      </c>
      <c r="H1239" s="316" t="str">
        <f t="array" ref="H1239">XLOOKUP(B1239,Roster!L:L,Roster!N:N,XLOOKUP(D1239,TicketsBreak!A:A,TicketsBreak!E:E,"",0),0)</f>
        <v>12:15 - 12:30</v>
      </c>
      <c r="I1239" s="316" t="str">
        <f t="array" ref="I1239">XLOOKUP(B1239,Roster!L:L,Roster!O:O,XLOOKUP(D1239,TicketsBreak!A:A,TicketsBreak!F:F,"",0),0)</f>
        <v>14:00 - 14:30</v>
      </c>
      <c r="J1239" s="316" t="str">
        <f t="array" ref="J1239">XLOOKUP(B1239,Roster!L:L,Roster!P:P,XLOOKUP(D1239,TicketsBreak!A:A,TicketsBreak!G:G,"",0),0)</f>
        <v>17:15 - 17:30</v>
      </c>
      <c r="K1239" s="310">
        <f t="shared" si="4"/>
        <v>46122</v>
      </c>
      <c r="L1239" s="317">
        <f t="array" ref="L1239">(XLOOKUP(D1239,Roster!F:F,Roster!D:D,"",0))</f>
        <v>32</v>
      </c>
      <c r="M1239" s="317" t="str">
        <f t="array" ref="M1239">XLOOKUP(D1239,Roster!F:F,Roster!E:E)</f>
        <v>Voice</v>
      </c>
      <c r="N1239" s="317" t="str">
        <f t="shared" ref="N1239:P1239" si="1260">LEFT(H1239,5)</f>
        <v>12:15</v>
      </c>
      <c r="O1239" s="317" t="str">
        <f t="shared" si="1260"/>
        <v>14:00</v>
      </c>
      <c r="P1239" s="317" t="str">
        <f t="shared" si="1260"/>
        <v>17:15</v>
      </c>
      <c r="Q1239" s="318">
        <f t="shared" si="1232"/>
        <v>46122.51042</v>
      </c>
      <c r="R1239" s="318">
        <f t="shared" si="1233"/>
        <v>46122.58333</v>
      </c>
      <c r="S1239" s="318">
        <f t="shared" si="8"/>
        <v>46122.71875</v>
      </c>
    </row>
    <row r="1240">
      <c r="A1240" s="14" t="str">
        <f t="shared" si="1"/>
        <v>C149146122</v>
      </c>
      <c r="B1240" s="185" t="str">
        <f t="array" ref="B1240">IF(F1240="VL","",IF(F1240="Free","Free",XLOOKUP(D1240,Roster!T:T,Roster!S:S,"",0)))</f>
        <v/>
      </c>
      <c r="C1240" s="313">
        <v>46122.0</v>
      </c>
      <c r="D1240" s="314" t="s">
        <v>315</v>
      </c>
      <c r="E1240" s="307" t="str">
        <f t="array" ref="E1240">(XLOOKUP(D1240,Roster!F:F,Roster!B:B,"",0))</f>
        <v>Sebastian Vanegas</v>
      </c>
      <c r="F1240" s="315" t="str">
        <f t="array" ref="F1240">IF(B1240=100,"Free",TEXT(XLOOKUP($D1240,OperationVoice!$A:$A,OperationVoice!P:P,XLOOKUP($D1240,OperationTickets!$A:$A,OperationTickets!P:P,"",0)),"hh:mm"))</f>
        <v/>
      </c>
      <c r="G1240" s="309" t="str">
        <f t="shared" si="3"/>
        <v/>
      </c>
      <c r="H1240" s="316" t="str">
        <f t="array" ref="H1240">XLOOKUP(B1240,Roster!L:L,Roster!N:N,XLOOKUP(D1240,TicketsBreak!A:A,TicketsBreak!E:E,"",0),0)</f>
        <v/>
      </c>
      <c r="I1240" s="316" t="str">
        <f t="array" ref="I1240">XLOOKUP(B1240,Roster!L:L,Roster!O:O,XLOOKUP(D1240,TicketsBreak!A:A,TicketsBreak!F:F,"",0),0)</f>
        <v/>
      </c>
      <c r="J1240" s="316" t="str">
        <f t="array" ref="J1240">XLOOKUP(B1240,Roster!L:L,Roster!P:P,XLOOKUP(D1240,TicketsBreak!A:A,TicketsBreak!G:G,"",0),0)</f>
        <v/>
      </c>
      <c r="K1240" s="310">
        <f t="shared" si="4"/>
        <v>46122</v>
      </c>
      <c r="L1240" s="317">
        <f t="array" ref="L1240">(XLOOKUP(D1240,Roster!F:F,Roster!D:D,"",0))</f>
        <v>34</v>
      </c>
      <c r="M1240" s="317" t="str">
        <f t="array" ref="M1240">XLOOKUP(D1240,Roster!F:F,Roster!E:E)</f>
        <v>Voice</v>
      </c>
      <c r="N1240" s="317" t="str">
        <f t="shared" ref="N1240:P1240" si="1261">LEFT(H1240,5)</f>
        <v/>
      </c>
      <c r="O1240" s="317" t="str">
        <f t="shared" si="1261"/>
        <v/>
      </c>
      <c r="P1240" s="317" t="str">
        <f t="shared" si="1261"/>
        <v/>
      </c>
      <c r="Q1240" s="318" t="str">
        <f t="shared" si="1232"/>
        <v/>
      </c>
      <c r="R1240" s="318" t="str">
        <f t="shared" si="1233"/>
        <v/>
      </c>
      <c r="S1240" s="318" t="str">
        <f t="shared" si="8"/>
        <v/>
      </c>
    </row>
    <row r="1241">
      <c r="A1241" s="14" t="str">
        <f t="shared" si="1"/>
        <v>C93746122</v>
      </c>
      <c r="B1241" s="185">
        <f t="array" ref="B1241">IF(F1241="VL","",IF(F1241="Free","Free",XLOOKUP(D1241,Roster!T:T,Roster!S:S,"",0)))</f>
        <v>126</v>
      </c>
      <c r="C1241" s="313">
        <v>46122.0</v>
      </c>
      <c r="D1241" s="314" t="s">
        <v>75</v>
      </c>
      <c r="E1241" s="307" t="str">
        <f t="array" ref="E1241">(XLOOKUP(D1241,Roster!F:F,Roster!B:B,"",0))</f>
        <v>Sebastian Zapata</v>
      </c>
      <c r="F1241" s="315" t="str">
        <f t="array" ref="F1241">IF(B1241=100,"Free",TEXT(XLOOKUP($D1241,OperationVoice!$A:$A,OperationVoice!P:P,XLOOKUP($D1241,OperationTickets!$A:$A,OperationTickets!P:P,"",0)),"hh:mm"))</f>
        <v>08:00</v>
      </c>
      <c r="G1241" s="309">
        <f t="shared" si="3"/>
        <v>0.7083333333</v>
      </c>
      <c r="H1241" s="316" t="str">
        <f t="array" ref="H1241">XLOOKUP(B1241,Roster!L:L,Roster!N:N,XLOOKUP(D1241,TicketsBreak!A:A,TicketsBreak!E:E,"",0),0)</f>
        <v>10:45 - 11:00</v>
      </c>
      <c r="I1241" s="316" t="str">
        <f t="array" ref="I1241">XLOOKUP(B1241,Roster!L:L,Roster!O:O,XLOOKUP(D1241,TicketsBreak!A:A,TicketsBreak!F:F,"",0),0)</f>
        <v>14:00 - 14:30</v>
      </c>
      <c r="J1241" s="316" t="str">
        <f t="array" ref="J1241">XLOOKUP(B1241,Roster!L:L,Roster!P:P,XLOOKUP(D1241,TicketsBreak!A:A,TicketsBreak!G:G,"",0),0)</f>
        <v>15:45 - 16:00</v>
      </c>
      <c r="K1241" s="310">
        <f t="shared" si="4"/>
        <v>46122</v>
      </c>
      <c r="L1241" s="317">
        <f t="array" ref="L1241">(XLOOKUP(D1241,Roster!F:F,Roster!D:D,"",0))</f>
        <v>12</v>
      </c>
      <c r="M1241" s="317" t="str">
        <f t="array" ref="M1241">XLOOKUP(D1241,Roster!F:F,Roster!E:E)</f>
        <v>Voice</v>
      </c>
      <c r="N1241" s="317" t="str">
        <f t="shared" ref="N1241:P1241" si="1262">LEFT(H1241,5)</f>
        <v>10:45</v>
      </c>
      <c r="O1241" s="317" t="str">
        <f t="shared" si="1262"/>
        <v>14:00</v>
      </c>
      <c r="P1241" s="317" t="str">
        <f t="shared" si="1262"/>
        <v>15:45</v>
      </c>
      <c r="Q1241" s="318">
        <f t="shared" si="1232"/>
        <v>46122.44792</v>
      </c>
      <c r="R1241" s="318">
        <f t="shared" si="1233"/>
        <v>46122.58333</v>
      </c>
      <c r="S1241" s="318">
        <f t="shared" si="8"/>
        <v>46122.65625</v>
      </c>
    </row>
    <row r="1242">
      <c r="A1242" s="14" t="str">
        <f t="shared" si="1"/>
        <v>C156546122</v>
      </c>
      <c r="B1242" s="185">
        <f t="array" ref="B1242">IF(F1242="VL","",IF(F1242="Free","Free",XLOOKUP(D1242,Roster!T:T,Roster!S:S,"",0)))</f>
        <v>122</v>
      </c>
      <c r="C1242" s="313">
        <v>46122.0</v>
      </c>
      <c r="D1242" s="314" t="s">
        <v>76</v>
      </c>
      <c r="E1242" s="307" t="str">
        <f t="array" ref="E1242">(XLOOKUP(D1242,Roster!F:F,Roster!B:B,"",0))</f>
        <v>Sergio Rojas</v>
      </c>
      <c r="F1242" s="315" t="str">
        <f t="array" ref="F1242">IF(B1242=100,"Free",TEXT(XLOOKUP($D1242,OperationVoice!$A:$A,OperationVoice!P:P,XLOOKUP($D1242,OperationTickets!$A:$A,OperationTickets!P:P,"",0)),"hh:mm"))</f>
        <v>11:00</v>
      </c>
      <c r="G1242" s="309">
        <f t="shared" si="3"/>
        <v>0.8333333333</v>
      </c>
      <c r="H1242" s="316" t="str">
        <f t="array" ref="H1242">XLOOKUP(B1242,Roster!L:L,Roster!N:N,XLOOKUP(D1242,TicketsBreak!A:A,TicketsBreak!E:E,"",0),0)</f>
        <v>09:30 - 09:45</v>
      </c>
      <c r="I1242" s="316" t="str">
        <f t="array" ref="I1242">XLOOKUP(B1242,Roster!L:L,Roster!O:O,XLOOKUP(D1242,TicketsBreak!A:A,TicketsBreak!F:F,"",0),0)</f>
        <v>12:00 - 12:30</v>
      </c>
      <c r="J1242" s="316" t="str">
        <f t="array" ref="J1242">XLOOKUP(B1242,Roster!L:L,Roster!P:P,XLOOKUP(D1242,TicketsBreak!A:A,TicketsBreak!G:G,"",0),0)</f>
        <v>14:45 - 15:00</v>
      </c>
      <c r="K1242" s="310">
        <f t="shared" si="4"/>
        <v>46122</v>
      </c>
      <c r="L1242" s="317">
        <f t="array" ref="L1242">(XLOOKUP(D1242,Roster!F:F,Roster!D:D,"",0))</f>
        <v>38</v>
      </c>
      <c r="M1242" s="317" t="str">
        <f t="array" ref="M1242">XLOOKUP(D1242,Roster!F:F,Roster!E:E)</f>
        <v>Voice</v>
      </c>
      <c r="N1242" s="317" t="str">
        <f t="shared" ref="N1242:P1242" si="1263">LEFT(H1242,5)</f>
        <v>09:30</v>
      </c>
      <c r="O1242" s="317" t="str">
        <f t="shared" si="1263"/>
        <v>12:00</v>
      </c>
      <c r="P1242" s="317" t="str">
        <f t="shared" si="1263"/>
        <v>14:45</v>
      </c>
      <c r="Q1242" s="318">
        <f t="shared" si="1232"/>
        <v>46122.39583</v>
      </c>
      <c r="R1242" s="318">
        <f t="shared" si="1233"/>
        <v>46122.5</v>
      </c>
      <c r="S1242" s="318">
        <f t="shared" si="8"/>
        <v>46122.61458</v>
      </c>
    </row>
    <row r="1243">
      <c r="A1243" s="14" t="str">
        <f t="shared" si="1"/>
        <v>C147846122</v>
      </c>
      <c r="B1243" s="185" t="str">
        <f t="array" ref="B1243">IF(F1243="VL","",IF(F1243="Free","Free",XLOOKUP(D1243,Roster!T:T,Roster!S:S,"",0)))</f>
        <v/>
      </c>
      <c r="C1243" s="313">
        <v>46122.0</v>
      </c>
      <c r="D1243" s="314" t="s">
        <v>186</v>
      </c>
      <c r="E1243" s="307" t="str">
        <f t="array" ref="E1243">(XLOOKUP(D1243,Roster!F:F,Roster!B:B,"",0))</f>
        <v>Simon Atehortua</v>
      </c>
      <c r="F1243" s="315" t="str">
        <f t="array" ref="F1243">IF(B1243=100,"Free",TEXT(XLOOKUP($D1243,OperationVoice!$A:$A,OperationVoice!P:P,XLOOKUP($D1243,OperationTickets!$A:$A,OperationTickets!P:P,"",0)),"hh:mm"))</f>
        <v>07:00</v>
      </c>
      <c r="G1243" s="309">
        <f t="shared" si="3"/>
        <v>0.6666666667</v>
      </c>
      <c r="H1243" s="316" t="str">
        <f t="array" ref="H1243">XLOOKUP(B1243,Roster!L:L,Roster!N:N,XLOOKUP(D1243,TicketsBreak!A:A,TicketsBreak!E:E,"",0),0)</f>
        <v/>
      </c>
      <c r="I1243" s="316" t="str">
        <f t="array" ref="I1243">XLOOKUP(B1243,Roster!L:L,Roster!O:O,XLOOKUP(D1243,TicketsBreak!A:A,TicketsBreak!F:F,"",0),0)</f>
        <v/>
      </c>
      <c r="J1243" s="316" t="str">
        <f t="array" ref="J1243">XLOOKUP(B1243,Roster!L:L,Roster!P:P,XLOOKUP(D1243,TicketsBreak!A:A,TicketsBreak!G:G,"",0),0)</f>
        <v/>
      </c>
      <c r="K1243" s="310">
        <f t="shared" si="4"/>
        <v>46122</v>
      </c>
      <c r="L1243" s="317">
        <f t="array" ref="L1243">(XLOOKUP(D1243,Roster!F:F,Roster!D:D,"",0))</f>
        <v>32</v>
      </c>
      <c r="M1243" s="317" t="str">
        <f t="array" ref="M1243">XLOOKUP(D1243,Roster!F:F,Roster!E:E)</f>
        <v>Tickets</v>
      </c>
      <c r="N1243" s="317" t="str">
        <f t="shared" ref="N1243:P1243" si="1264">LEFT(H1243,5)</f>
        <v/>
      </c>
      <c r="O1243" s="317" t="str">
        <f t="shared" si="1264"/>
        <v/>
      </c>
      <c r="P1243" s="317" t="str">
        <f t="shared" si="1264"/>
        <v/>
      </c>
      <c r="Q1243" s="318" t="str">
        <f t="shared" si="1232"/>
        <v/>
      </c>
      <c r="R1243" s="318" t="str">
        <f t="shared" si="1233"/>
        <v/>
      </c>
      <c r="S1243" s="318" t="str">
        <f t="shared" si="8"/>
        <v/>
      </c>
    </row>
    <row r="1244">
      <c r="A1244" s="14" t="str">
        <f t="shared" si="1"/>
        <v>C148346122</v>
      </c>
      <c r="B1244" s="185">
        <f t="array" ref="B1244">IF(F1244="VL","",IF(F1244="Free","Free",XLOOKUP(D1244,Roster!T:T,Roster!S:S,"",0)))</f>
        <v>152</v>
      </c>
      <c r="C1244" s="313">
        <v>46122.0</v>
      </c>
      <c r="D1244" s="314" t="s">
        <v>77</v>
      </c>
      <c r="E1244" s="307" t="str">
        <f t="array" ref="E1244">(XLOOKUP(D1244,Roster!F:F,Roster!B:B,"",0))</f>
        <v>Simon Zuluaica</v>
      </c>
      <c r="F1244" s="315" t="str">
        <f t="array" ref="F1244">IF(B1244=100,"Free",TEXT(XLOOKUP($D1244,OperationVoice!$A:$A,OperationVoice!P:P,XLOOKUP($D1244,OperationTickets!$A:$A,OperationTickets!P:P,"",0)),"hh:mm"))</f>
        <v>11:00</v>
      </c>
      <c r="G1244" s="309">
        <f t="shared" si="3"/>
        <v>0.8333333333</v>
      </c>
      <c r="H1244" s="316" t="str">
        <f t="array" ref="H1244">XLOOKUP(B1244,Roster!L:L,Roster!N:N,XLOOKUP(D1244,TicketsBreak!A:A,TicketsBreak!E:E,"",0),0)</f>
        <v>12:30 - 12:45</v>
      </c>
      <c r="I1244" s="316" t="str">
        <f t="array" ref="I1244">XLOOKUP(B1244,Roster!L:L,Roster!O:O,XLOOKUP(D1244,TicketsBreak!A:A,TicketsBreak!F:F,"",0),0)</f>
        <v>14:30 - 15:00</v>
      </c>
      <c r="J1244" s="316" t="str">
        <f t="array" ref="J1244">XLOOKUP(B1244,Roster!L:L,Roster!P:P,XLOOKUP(D1244,TicketsBreak!A:A,TicketsBreak!G:G,"",0),0)</f>
        <v>17:30 - 17:45</v>
      </c>
      <c r="K1244" s="310">
        <f t="shared" si="4"/>
        <v>46122</v>
      </c>
      <c r="L1244" s="317">
        <f t="array" ref="L1244">(XLOOKUP(D1244,Roster!F:F,Roster!D:D,"",0))</f>
        <v>34</v>
      </c>
      <c r="M1244" s="317" t="str">
        <f t="array" ref="M1244">XLOOKUP(D1244,Roster!F:F,Roster!E:E)</f>
        <v>Voice</v>
      </c>
      <c r="N1244" s="317" t="str">
        <f t="shared" ref="N1244:P1244" si="1265">LEFT(H1244,5)</f>
        <v>12:30</v>
      </c>
      <c r="O1244" s="317" t="str">
        <f t="shared" si="1265"/>
        <v>14:30</v>
      </c>
      <c r="P1244" s="317" t="str">
        <f t="shared" si="1265"/>
        <v>17:30</v>
      </c>
      <c r="Q1244" s="318">
        <f t="shared" si="1232"/>
        <v>46122.52083</v>
      </c>
      <c r="R1244" s="318">
        <f t="shared" si="1233"/>
        <v>46122.60417</v>
      </c>
      <c r="S1244" s="318">
        <f t="shared" si="8"/>
        <v>46122.72917</v>
      </c>
    </row>
    <row r="1245">
      <c r="A1245" s="14" t="str">
        <f t="shared" si="1"/>
        <v>C154046122</v>
      </c>
      <c r="B1245" s="185">
        <f t="array" ref="B1245">IF(F1245="VL","",IF(F1245="Free","Free",XLOOKUP(D1245,Roster!T:T,Roster!S:S,"",0)))</f>
        <v>122</v>
      </c>
      <c r="C1245" s="313">
        <v>46122.0</v>
      </c>
      <c r="D1245" s="314" t="s">
        <v>78</v>
      </c>
      <c r="E1245" s="307" t="str">
        <f t="array" ref="E1245">(XLOOKUP(D1245,Roster!F:F,Roster!B:B,"",0))</f>
        <v>Tomas Perez</v>
      </c>
      <c r="F1245" s="315" t="str">
        <f t="array" ref="F1245">IF(B1245=100,"Free",TEXT(XLOOKUP($D1245,OperationVoice!$A:$A,OperationVoice!P:P,XLOOKUP($D1245,OperationTickets!$A:$A,OperationTickets!P:P,"",0)),"hh:mm"))</f>
        <v>08:00</v>
      </c>
      <c r="G1245" s="309">
        <f t="shared" si="3"/>
        <v>0.7083333333</v>
      </c>
      <c r="H1245" s="316" t="str">
        <f t="array" ref="H1245">XLOOKUP(B1245,Roster!L:L,Roster!N:N,XLOOKUP(D1245,TicketsBreak!A:A,TicketsBreak!E:E,"",0),0)</f>
        <v>09:30 - 09:45</v>
      </c>
      <c r="I1245" s="316" t="str">
        <f t="array" ref="I1245">XLOOKUP(B1245,Roster!L:L,Roster!O:O,XLOOKUP(D1245,TicketsBreak!A:A,TicketsBreak!F:F,"",0),0)</f>
        <v>12:00 - 12:30</v>
      </c>
      <c r="J1245" s="316" t="str">
        <f t="array" ref="J1245">XLOOKUP(B1245,Roster!L:L,Roster!P:P,XLOOKUP(D1245,TicketsBreak!A:A,TicketsBreak!G:G,"",0),0)</f>
        <v>14:45 - 15:00</v>
      </c>
      <c r="K1245" s="310">
        <f t="shared" si="4"/>
        <v>46122</v>
      </c>
      <c r="L1245" s="317">
        <f t="array" ref="L1245">(XLOOKUP(D1245,Roster!F:F,Roster!D:D,"",0))</f>
        <v>36</v>
      </c>
      <c r="M1245" s="317" t="str">
        <f t="array" ref="M1245">XLOOKUP(D1245,Roster!F:F,Roster!E:E)</f>
        <v>Voice</v>
      </c>
      <c r="N1245" s="317" t="str">
        <f t="shared" ref="N1245:P1245" si="1266">LEFT(H1245,5)</f>
        <v>09:30</v>
      </c>
      <c r="O1245" s="317" t="str">
        <f t="shared" si="1266"/>
        <v>12:00</v>
      </c>
      <c r="P1245" s="317" t="str">
        <f t="shared" si="1266"/>
        <v>14:45</v>
      </c>
      <c r="Q1245" s="318">
        <f t="shared" si="1232"/>
        <v>46122.39583</v>
      </c>
      <c r="R1245" s="318">
        <f t="shared" si="1233"/>
        <v>46122.5</v>
      </c>
      <c r="S1245" s="318">
        <f t="shared" si="8"/>
        <v>46122.61458</v>
      </c>
    </row>
    <row r="1246">
      <c r="A1246" s="14" t="str">
        <f t="shared" si="1"/>
        <v>C154746122</v>
      </c>
      <c r="B1246" s="185">
        <f t="array" ref="B1246">IF(F1246="VL","",IF(F1246="Free","Free",XLOOKUP(D1246,Roster!T:T,Roster!S:S,"",0)))</f>
        <v>121</v>
      </c>
      <c r="C1246" s="313">
        <v>46122.0</v>
      </c>
      <c r="D1246" s="314" t="s">
        <v>79</v>
      </c>
      <c r="E1246" s="307" t="str">
        <f t="array" ref="E1246">(XLOOKUP(D1246,Roster!F:F,Roster!B:B,"",0))</f>
        <v>Valentina Barreto</v>
      </c>
      <c r="F1246" s="315" t="str">
        <f t="array" ref="F1246">IF(B1246=100,"Free",TEXT(XLOOKUP($D1246,OperationVoice!$A:$A,OperationVoice!P:P,XLOOKUP($D1246,OperationTickets!$A:$A,OperationTickets!P:P,"",0)),"hh:mm"))</f>
        <v>08:00</v>
      </c>
      <c r="G1246" s="309">
        <f t="shared" si="3"/>
        <v>0.7083333333</v>
      </c>
      <c r="H1246" s="316" t="str">
        <f t="array" ref="H1246">XLOOKUP(B1246,Roster!L:L,Roster!N:N,XLOOKUP(D1246,TicketsBreak!A:A,TicketsBreak!E:E,"",0),0)</f>
        <v>09:15 - 09:30</v>
      </c>
      <c r="I1246" s="316" t="str">
        <f t="array" ref="I1246">XLOOKUP(B1246,Roster!L:L,Roster!O:O,XLOOKUP(D1246,TicketsBreak!A:A,TicketsBreak!F:F,"",0),0)</f>
        <v>11:30 - 12:00</v>
      </c>
      <c r="J1246" s="316" t="str">
        <f t="array" ref="J1246">XLOOKUP(B1246,Roster!L:L,Roster!P:P,XLOOKUP(D1246,TicketsBreak!A:A,TicketsBreak!G:G,"",0),0)</f>
        <v>14:30 - 14:45</v>
      </c>
      <c r="K1246" s="310">
        <f t="shared" si="4"/>
        <v>46122</v>
      </c>
      <c r="L1246" s="317">
        <f t="array" ref="L1246">(XLOOKUP(D1246,Roster!F:F,Roster!D:D,"",0))</f>
        <v>37</v>
      </c>
      <c r="M1246" s="317" t="str">
        <f t="array" ref="M1246">XLOOKUP(D1246,Roster!F:F,Roster!E:E)</f>
        <v>Voice</v>
      </c>
      <c r="N1246" s="317" t="str">
        <f t="shared" ref="N1246:P1246" si="1267">LEFT(H1246,5)</f>
        <v>09:15</v>
      </c>
      <c r="O1246" s="317" t="str">
        <f t="shared" si="1267"/>
        <v>11:30</v>
      </c>
      <c r="P1246" s="317" t="str">
        <f t="shared" si="1267"/>
        <v>14:30</v>
      </c>
      <c r="Q1246" s="318">
        <f t="shared" si="1232"/>
        <v>46122.38542</v>
      </c>
      <c r="R1246" s="318">
        <f t="shared" si="1233"/>
        <v>46122.47917</v>
      </c>
      <c r="S1246" s="318">
        <f t="shared" si="8"/>
        <v>46122.60417</v>
      </c>
    </row>
    <row r="1247">
      <c r="A1247" s="14" t="str">
        <f t="shared" si="1"/>
        <v>C155346122</v>
      </c>
      <c r="B1247" s="185">
        <f t="array" ref="B1247">IF(F1247="VL","",IF(F1247="Free","Free",XLOOKUP(D1247,Roster!T:T,Roster!S:S,"",0)))</f>
        <v>122</v>
      </c>
      <c r="C1247" s="313">
        <v>46122.0</v>
      </c>
      <c r="D1247" s="314" t="s">
        <v>80</v>
      </c>
      <c r="E1247" s="307" t="str">
        <f t="array" ref="E1247">(XLOOKUP(D1247,Roster!F:F,Roster!B:B,"",0))</f>
        <v>Valentina Castro</v>
      </c>
      <c r="F1247" s="315" t="str">
        <f t="array" ref="F1247">IF(B1247=100,"Free",TEXT(XLOOKUP($D1247,OperationVoice!$A:$A,OperationVoice!P:P,XLOOKUP($D1247,OperationTickets!$A:$A,OperationTickets!P:P,"",0)),"hh:mm"))</f>
        <v>08:00</v>
      </c>
      <c r="G1247" s="309">
        <f t="shared" si="3"/>
        <v>0.7083333333</v>
      </c>
      <c r="H1247" s="316" t="str">
        <f t="array" ref="H1247">XLOOKUP(B1247,Roster!L:L,Roster!N:N,XLOOKUP(D1247,TicketsBreak!A:A,TicketsBreak!E:E,"",0),0)</f>
        <v>09:30 - 09:45</v>
      </c>
      <c r="I1247" s="316" t="str">
        <f t="array" ref="I1247">XLOOKUP(B1247,Roster!L:L,Roster!O:O,XLOOKUP(D1247,TicketsBreak!A:A,TicketsBreak!F:F,"",0),0)</f>
        <v>12:00 - 12:30</v>
      </c>
      <c r="J1247" s="316" t="str">
        <f t="array" ref="J1247">XLOOKUP(B1247,Roster!L:L,Roster!P:P,XLOOKUP(D1247,TicketsBreak!A:A,TicketsBreak!G:G,"",0),0)</f>
        <v>14:45 - 15:00</v>
      </c>
      <c r="K1247" s="310">
        <f t="shared" si="4"/>
        <v>46122</v>
      </c>
      <c r="L1247" s="317">
        <f t="array" ref="L1247">(XLOOKUP(D1247,Roster!F:F,Roster!D:D,"",0))</f>
        <v>37</v>
      </c>
      <c r="M1247" s="317" t="str">
        <f t="array" ref="M1247">XLOOKUP(D1247,Roster!F:F,Roster!E:E)</f>
        <v>Voice</v>
      </c>
      <c r="N1247" s="317" t="str">
        <f t="shared" ref="N1247:P1247" si="1268">LEFT(H1247,5)</f>
        <v>09:30</v>
      </c>
      <c r="O1247" s="317" t="str">
        <f t="shared" si="1268"/>
        <v>12:00</v>
      </c>
      <c r="P1247" s="317" t="str">
        <f t="shared" si="1268"/>
        <v>14:45</v>
      </c>
      <c r="Q1247" s="318">
        <f t="shared" si="1232"/>
        <v>46122.39583</v>
      </c>
      <c r="R1247" s="318">
        <f t="shared" si="1233"/>
        <v>46122.5</v>
      </c>
      <c r="S1247" s="318">
        <f t="shared" si="8"/>
        <v>46122.61458</v>
      </c>
    </row>
    <row r="1248">
      <c r="A1248" s="14" t="str">
        <f t="shared" si="1"/>
        <v>C150246122</v>
      </c>
      <c r="B1248" s="185" t="str">
        <f t="array" ref="B1248">IF(F1248="VL","",IF(F1248="Free","Free",XLOOKUP(D1248,Roster!T:T,Roster!S:S,"",0)))</f>
        <v/>
      </c>
      <c r="C1248" s="313">
        <v>46122.0</v>
      </c>
      <c r="D1248" s="314" t="s">
        <v>316</v>
      </c>
      <c r="E1248" s="307" t="str">
        <f t="array" ref="E1248">(XLOOKUP(D1248,Roster!F:F,Roster!B:B,"",0))</f>
        <v>Valentina Gallego</v>
      </c>
      <c r="F1248" s="315" t="str">
        <f t="array" ref="F1248">IF(B1248=100,"Free",TEXT(XLOOKUP($D1248,OperationVoice!$A:$A,OperationVoice!P:P,XLOOKUP($D1248,OperationTickets!$A:$A,OperationTickets!P:P,"",0)),"hh:mm"))</f>
        <v/>
      </c>
      <c r="G1248" s="309" t="str">
        <f t="shared" si="3"/>
        <v/>
      </c>
      <c r="H1248" s="316" t="str">
        <f t="array" ref="H1248">XLOOKUP(B1248,Roster!L:L,Roster!N:N,XLOOKUP(D1248,TicketsBreak!A:A,TicketsBreak!E:E,"",0),0)</f>
        <v/>
      </c>
      <c r="I1248" s="316" t="str">
        <f t="array" ref="I1248">XLOOKUP(B1248,Roster!L:L,Roster!O:O,XLOOKUP(D1248,TicketsBreak!A:A,TicketsBreak!F:F,"",0),0)</f>
        <v/>
      </c>
      <c r="J1248" s="316" t="str">
        <f t="array" ref="J1248">XLOOKUP(B1248,Roster!L:L,Roster!P:P,XLOOKUP(D1248,TicketsBreak!A:A,TicketsBreak!G:G,"",0),0)</f>
        <v/>
      </c>
      <c r="K1248" s="310">
        <f t="shared" si="4"/>
        <v>46122</v>
      </c>
      <c r="L1248" s="317">
        <f t="array" ref="L1248">(XLOOKUP(D1248,Roster!F:F,Roster!D:D,"",0))</f>
        <v>35</v>
      </c>
      <c r="M1248" s="317" t="str">
        <f t="array" ref="M1248">XLOOKUP(D1248,Roster!F:F,Roster!E:E)</f>
        <v>Voice</v>
      </c>
      <c r="N1248" s="317" t="str">
        <f t="shared" ref="N1248:P1248" si="1269">LEFT(H1248,5)</f>
        <v/>
      </c>
      <c r="O1248" s="317" t="str">
        <f t="shared" si="1269"/>
        <v/>
      </c>
      <c r="P1248" s="317" t="str">
        <f t="shared" si="1269"/>
        <v/>
      </c>
      <c r="Q1248" s="318" t="str">
        <f t="shared" si="1232"/>
        <v/>
      </c>
      <c r="R1248" s="318" t="str">
        <f t="shared" si="1233"/>
        <v/>
      </c>
      <c r="S1248" s="318" t="str">
        <f t="shared" si="8"/>
        <v/>
      </c>
    </row>
    <row r="1249">
      <c r="A1249" s="14" t="str">
        <f t="shared" si="1"/>
        <v>C112646122</v>
      </c>
      <c r="B1249" s="185" t="str">
        <f t="array" ref="B1249">IF(F1249="VL","",IF(F1249="Free","Free",XLOOKUP(D1249,Roster!T:T,Roster!S:S,"",0)))</f>
        <v/>
      </c>
      <c r="C1249" s="313">
        <v>46122.0</v>
      </c>
      <c r="D1249" s="314" t="s">
        <v>152</v>
      </c>
      <c r="E1249" s="307" t="str">
        <f t="array" ref="E1249">(XLOOKUP(D1249,Roster!F:F,Roster!B:B,"",0))</f>
        <v>Valery Escobar</v>
      </c>
      <c r="F1249" s="315" t="str">
        <f t="array" ref="F1249">IF(B1249=100,"Free",TEXT(XLOOKUP($D1249,OperationVoice!$A:$A,OperationVoice!P:P,XLOOKUP($D1249,OperationTickets!$A:$A,OperationTickets!P:P,"",0)),"hh:mm"))</f>
        <v>08:00</v>
      </c>
      <c r="G1249" s="309">
        <f t="shared" si="3"/>
        <v>0.7083333333</v>
      </c>
      <c r="H1249" s="316">
        <f t="array" ref="H1249">XLOOKUP(B1249,Roster!L:L,Roster!N:N,XLOOKUP(D1249,TicketsBreak!A:A,TicketsBreak!E:E,"",0),0)</f>
        <v>0.3854166667</v>
      </c>
      <c r="I1249" s="316">
        <f t="array" ref="I1249">XLOOKUP(B1249,Roster!L:L,Roster!O:O,XLOOKUP(D1249,TicketsBreak!A:A,TicketsBreak!F:F,"",0),0)</f>
        <v>0.5</v>
      </c>
      <c r="J1249" s="316">
        <f t="array" ref="J1249">XLOOKUP(B1249,Roster!L:L,Roster!P:P,XLOOKUP(D1249,TicketsBreak!A:A,TicketsBreak!G:G,"",0),0)</f>
        <v>0.6041666667</v>
      </c>
      <c r="K1249" s="310">
        <f t="shared" si="4"/>
        <v>46122</v>
      </c>
      <c r="L1249" s="317">
        <f t="array" ref="L1249">(XLOOKUP(D1249,Roster!F:F,Roster!D:D,"",0))</f>
        <v>21</v>
      </c>
      <c r="M1249" s="317" t="str">
        <f t="array" ref="M1249">XLOOKUP(D1249,Roster!F:F,Roster!E:E)</f>
        <v>Tickets</v>
      </c>
      <c r="N1249" s="317" t="str">
        <f t="shared" ref="N1249:P1249" si="1270">LEFT(H1249,5)</f>
        <v>09:15</v>
      </c>
      <c r="O1249" s="317" t="str">
        <f t="shared" si="1270"/>
        <v>12:00</v>
      </c>
      <c r="P1249" s="317" t="str">
        <f t="shared" si="1270"/>
        <v>14:30</v>
      </c>
      <c r="Q1249" s="318">
        <f t="shared" si="1232"/>
        <v>46122.38542</v>
      </c>
      <c r="R1249" s="318">
        <f t="shared" si="1233"/>
        <v>46122.5</v>
      </c>
      <c r="S1249" s="318">
        <f t="shared" si="8"/>
        <v>46122.60417</v>
      </c>
    </row>
    <row r="1250">
      <c r="A1250" s="14" t="str">
        <f t="shared" si="1"/>
        <v>C155246122</v>
      </c>
      <c r="B1250" s="185" t="str">
        <f t="array" ref="B1250">IF(F1250="VL","",IF(F1250="Free","Free",XLOOKUP(D1250,Roster!T:T,Roster!S:S,"",0)))</f>
        <v>Free</v>
      </c>
      <c r="C1250" s="313">
        <v>46122.0</v>
      </c>
      <c r="D1250" s="314" t="s">
        <v>81</v>
      </c>
      <c r="E1250" s="307" t="str">
        <f t="array" ref="E1250">(XLOOKUP(D1250,Roster!F:F,Roster!B:B,"",0))</f>
        <v>Wendy Machado</v>
      </c>
      <c r="F1250" s="315" t="str">
        <f t="array" ref="F1250">IF(B1250=100,"Free",TEXT(XLOOKUP($D1250,OperationVoice!$A:$A,OperationVoice!P:P,XLOOKUP($D1250,OperationTickets!$A:$A,OperationTickets!P:P,"",0)),"hh:mm"))</f>
        <v>Free</v>
      </c>
      <c r="G1250" s="309" t="str">
        <f t="shared" si="3"/>
        <v>Free</v>
      </c>
      <c r="H1250" s="316" t="str">
        <f t="array" ref="H1250">XLOOKUP(B1250,Roster!L:L,Roster!N:N,XLOOKUP(D1250,TicketsBreak!A:A,TicketsBreak!E:E,"",0),0)</f>
        <v/>
      </c>
      <c r="I1250" s="316" t="str">
        <f t="array" ref="I1250">XLOOKUP(B1250,Roster!L:L,Roster!O:O,XLOOKUP(D1250,TicketsBreak!A:A,TicketsBreak!F:F,"",0),0)</f>
        <v/>
      </c>
      <c r="J1250" s="316" t="str">
        <f t="array" ref="J1250">XLOOKUP(B1250,Roster!L:L,Roster!P:P,XLOOKUP(D1250,TicketsBreak!A:A,TicketsBreak!G:G,"",0),0)</f>
        <v/>
      </c>
      <c r="K1250" s="310">
        <f t="shared" si="4"/>
        <v>46122</v>
      </c>
      <c r="L1250" s="317">
        <f t="array" ref="L1250">(XLOOKUP(D1250,Roster!F:F,Roster!D:D,"",0))</f>
        <v>37</v>
      </c>
      <c r="M1250" s="317" t="str">
        <f t="array" ref="M1250">XLOOKUP(D1250,Roster!F:F,Roster!E:E)</f>
        <v>Voice</v>
      </c>
      <c r="N1250" s="317" t="str">
        <f t="shared" ref="N1250:P1250" si="1271">LEFT(H1250,5)</f>
        <v/>
      </c>
      <c r="O1250" s="317" t="str">
        <f t="shared" si="1271"/>
        <v/>
      </c>
      <c r="P1250" s="317" t="str">
        <f t="shared" si="1271"/>
        <v/>
      </c>
      <c r="Q1250" s="318" t="str">
        <f t="shared" si="1232"/>
        <v/>
      </c>
      <c r="R1250" s="318" t="str">
        <f t="shared" si="1233"/>
        <v/>
      </c>
      <c r="S1250" s="318" t="str">
        <f t="shared" si="8"/>
        <v/>
      </c>
    </row>
    <row r="1251">
      <c r="A1251" s="14" t="str">
        <f t="shared" si="1"/>
        <v>C78646122</v>
      </c>
      <c r="B1251" s="185" t="str">
        <f t="array" ref="B1251">IF(F1251="VL","",IF(F1251="Free","Free",XLOOKUP(D1251,Roster!T:T,Roster!S:S,"",0)))</f>
        <v/>
      </c>
      <c r="C1251" s="313">
        <v>46122.0</v>
      </c>
      <c r="D1251" s="314" t="s">
        <v>136</v>
      </c>
      <c r="E1251" s="307" t="str">
        <f t="array" ref="E1251">(XLOOKUP(D1251,Roster!F:F,Roster!B:B,"",0))</f>
        <v>Wendy Navarro</v>
      </c>
      <c r="F1251" s="315" t="str">
        <f t="array" ref="F1251">IF(B1251=100,"Free",TEXT(XLOOKUP($D1251,OperationVoice!$A:$A,OperationVoice!P:P,XLOOKUP($D1251,OperationTickets!$A:$A,OperationTickets!P:P,"",0)),"hh:mm"))</f>
        <v>08:00</v>
      </c>
      <c r="G1251" s="309">
        <f t="shared" si="3"/>
        <v>0.7083333333</v>
      </c>
      <c r="H1251" s="316">
        <f t="array" ref="H1251">XLOOKUP(B1251,Roster!L:L,Roster!N:N,XLOOKUP(D1251,TicketsBreak!A:A,TicketsBreak!E:E,"",0),0)</f>
        <v>0.4166666667</v>
      </c>
      <c r="I1251" s="316">
        <f t="array" ref="I1251">XLOOKUP(B1251,Roster!L:L,Roster!O:O,XLOOKUP(D1251,TicketsBreak!A:A,TicketsBreak!F:F,"",0),0)</f>
        <v>0.5416666667</v>
      </c>
      <c r="J1251" s="316">
        <f t="array" ref="J1251">XLOOKUP(B1251,Roster!L:L,Roster!P:P,XLOOKUP(D1251,TicketsBreak!A:A,TicketsBreak!G:G,"",0),0)</f>
        <v>0.6458333333</v>
      </c>
      <c r="K1251" s="310">
        <f t="shared" si="4"/>
        <v>46122</v>
      </c>
      <c r="L1251" s="317">
        <f t="array" ref="L1251">(XLOOKUP(D1251,Roster!F:F,Roster!D:D,"",0))</f>
        <v>16</v>
      </c>
      <c r="M1251" s="317" t="str">
        <f t="array" ref="M1251">XLOOKUP(D1251,Roster!F:F,Roster!E:E)</f>
        <v>Tickets</v>
      </c>
      <c r="N1251" s="317" t="str">
        <f t="shared" ref="N1251:P1251" si="1272">LEFT(H1251,5)</f>
        <v>10:00</v>
      </c>
      <c r="O1251" s="317" t="str">
        <f t="shared" si="1272"/>
        <v>13:00</v>
      </c>
      <c r="P1251" s="317" t="str">
        <f t="shared" si="1272"/>
        <v>15:30</v>
      </c>
      <c r="Q1251" s="318">
        <f t="shared" si="1232"/>
        <v>46122.41667</v>
      </c>
      <c r="R1251" s="318">
        <f t="shared" si="1233"/>
        <v>46122.54167</v>
      </c>
      <c r="S1251" s="318">
        <f t="shared" si="8"/>
        <v>46122.64583</v>
      </c>
    </row>
    <row r="1252">
      <c r="A1252" s="14" t="str">
        <f t="shared" si="1"/>
        <v>C153746122</v>
      </c>
      <c r="B1252" s="185">
        <f t="array" ref="B1252">IF(F1252="VL","",IF(F1252="Free","Free",XLOOKUP(D1252,Roster!T:T,Roster!S:S,"",0)))</f>
        <v>135</v>
      </c>
      <c r="C1252" s="313">
        <v>46122.0</v>
      </c>
      <c r="D1252" s="314" t="s">
        <v>82</v>
      </c>
      <c r="E1252" s="307" t="str">
        <f t="array" ref="E1252">(XLOOKUP(D1252,Roster!F:F,Roster!B:B,"",0))</f>
        <v>William Florez</v>
      </c>
      <c r="F1252" s="315" t="str">
        <f t="array" ref="F1252">IF(B1252=100,"Free",TEXT(XLOOKUP($D1252,OperationVoice!$A:$A,OperationVoice!P:P,XLOOKUP($D1252,OperationTickets!$A:$A,OperationTickets!P:P,"",0)),"hh:mm"))</f>
        <v>09:00</v>
      </c>
      <c r="G1252" s="309">
        <f t="shared" si="3"/>
        <v>0.75</v>
      </c>
      <c r="H1252" s="316" t="str">
        <f t="array" ref="H1252">XLOOKUP(B1252,Roster!L:L,Roster!N:N,XLOOKUP(D1252,TicketsBreak!A:A,TicketsBreak!E:E,"",0),0)</f>
        <v>11:15 - 11:30</v>
      </c>
      <c r="I1252" s="316" t="str">
        <f t="array" ref="I1252">XLOOKUP(B1252,Roster!L:L,Roster!O:O,XLOOKUP(D1252,TicketsBreak!A:A,TicketsBreak!F:F,"",0),0)</f>
        <v>14:15 - 14:45</v>
      </c>
      <c r="J1252" s="316" t="str">
        <f t="array" ref="J1252">XLOOKUP(B1252,Roster!L:L,Roster!P:P,XLOOKUP(D1252,TicketsBreak!A:A,TicketsBreak!G:G,"",0),0)</f>
        <v>16:15 - 16:30</v>
      </c>
      <c r="K1252" s="310">
        <f t="shared" si="4"/>
        <v>46122</v>
      </c>
      <c r="L1252" s="317">
        <f t="array" ref="L1252">(XLOOKUP(D1252,Roster!F:F,Roster!D:D,"",0))</f>
        <v>36</v>
      </c>
      <c r="M1252" s="317" t="str">
        <f t="array" ref="M1252">XLOOKUP(D1252,Roster!F:F,Roster!E:E)</f>
        <v>Voice</v>
      </c>
      <c r="N1252" s="317" t="str">
        <f t="shared" ref="N1252:P1252" si="1273">LEFT(H1252,5)</f>
        <v>11:15</v>
      </c>
      <c r="O1252" s="317" t="str">
        <f t="shared" si="1273"/>
        <v>14:15</v>
      </c>
      <c r="P1252" s="317" t="str">
        <f t="shared" si="1273"/>
        <v>16:15</v>
      </c>
      <c r="Q1252" s="318">
        <f t="shared" si="1232"/>
        <v>46122.46875</v>
      </c>
      <c r="R1252" s="318">
        <f t="shared" si="1233"/>
        <v>46122.59375</v>
      </c>
      <c r="S1252" s="318">
        <f t="shared" si="8"/>
        <v>46122.67708</v>
      </c>
    </row>
    <row r="1253">
      <c r="A1253" s="14" t="str">
        <f t="shared" si="1"/>
        <v>C135346122</v>
      </c>
      <c r="B1253" s="185">
        <f t="array" ref="B1253">IF(F1253="VL","",IF(F1253="Free","Free",XLOOKUP(D1253,Roster!T:T,Roster!S:S,"",0)))</f>
        <v>121</v>
      </c>
      <c r="C1253" s="313">
        <v>46122.0</v>
      </c>
      <c r="D1253" s="314" t="s">
        <v>83</v>
      </c>
      <c r="E1253" s="307" t="str">
        <f t="array" ref="E1253">(XLOOKUP(D1253,Roster!F:F,Roster!B:B,"",0))</f>
        <v>Wilson Martinez</v>
      </c>
      <c r="F1253" s="315" t="str">
        <f t="array" ref="F1253">IF(B1253=100,"Free",TEXT(XLOOKUP($D1253,OperationVoice!$A:$A,OperationVoice!P:P,XLOOKUP($D1253,OperationTickets!$A:$A,OperationTickets!P:P,"",0)),"hh:mm"))</f>
        <v>08:00</v>
      </c>
      <c r="G1253" s="309">
        <f t="shared" si="3"/>
        <v>0.7083333333</v>
      </c>
      <c r="H1253" s="316" t="str">
        <f t="array" ref="H1253">XLOOKUP(B1253,Roster!L:L,Roster!N:N,XLOOKUP(D1253,TicketsBreak!A:A,TicketsBreak!E:E,"",0),0)</f>
        <v>09:15 - 09:30</v>
      </c>
      <c r="I1253" s="316" t="str">
        <f t="array" ref="I1253">XLOOKUP(B1253,Roster!L:L,Roster!O:O,XLOOKUP(D1253,TicketsBreak!A:A,TicketsBreak!F:F,"",0),0)</f>
        <v>11:30 - 12:00</v>
      </c>
      <c r="J1253" s="316" t="str">
        <f t="array" ref="J1253">XLOOKUP(B1253,Roster!L:L,Roster!P:P,XLOOKUP(D1253,TicketsBreak!A:A,TicketsBreak!G:G,"",0),0)</f>
        <v>14:30 - 14:45</v>
      </c>
      <c r="K1253" s="310">
        <f t="shared" si="4"/>
        <v>46122</v>
      </c>
      <c r="L1253" s="317">
        <f t="array" ref="L1253">(XLOOKUP(D1253,Roster!F:F,Roster!D:D,"",0))</f>
        <v>30</v>
      </c>
      <c r="M1253" s="317" t="str">
        <f t="array" ref="M1253">XLOOKUP(D1253,Roster!F:F,Roster!E:E)</f>
        <v>Voice</v>
      </c>
      <c r="N1253" s="317" t="str">
        <f t="shared" ref="N1253:P1253" si="1274">LEFT(H1253,5)</f>
        <v>09:15</v>
      </c>
      <c r="O1253" s="317" t="str">
        <f t="shared" si="1274"/>
        <v>11:30</v>
      </c>
      <c r="P1253" s="317" t="str">
        <f t="shared" si="1274"/>
        <v>14:30</v>
      </c>
      <c r="Q1253" s="318">
        <f t="shared" si="1232"/>
        <v>46122.38542</v>
      </c>
      <c r="R1253" s="318">
        <f t="shared" si="1233"/>
        <v>46122.47917</v>
      </c>
      <c r="S1253" s="318">
        <f t="shared" si="8"/>
        <v>46122.60417</v>
      </c>
    </row>
    <row r="1254">
      <c r="A1254" s="14" t="str">
        <f t="shared" si="1"/>
        <v>C117346122</v>
      </c>
      <c r="B1254" s="185">
        <f t="array" ref="B1254">IF(F1254="VL","",IF(F1254="Free","Free",XLOOKUP(D1254,Roster!T:T,Roster!S:S,"",0)))</f>
        <v>122</v>
      </c>
      <c r="C1254" s="313">
        <v>46122.0</v>
      </c>
      <c r="D1254" s="314" t="s">
        <v>84</v>
      </c>
      <c r="E1254" s="307" t="str">
        <f t="array" ref="E1254">(XLOOKUP(D1254,Roster!F:F,Roster!B:B,"",0))</f>
        <v>Yaidy Mosquera</v>
      </c>
      <c r="F1254" s="315" t="str">
        <f t="array" ref="F1254">IF(B1254=100,"Free",TEXT(XLOOKUP($D1254,OperationVoice!$A:$A,OperationVoice!P:P,XLOOKUP($D1254,OperationTickets!$A:$A,OperationTickets!P:P,"",0)),"hh:mm"))</f>
        <v>08:00</v>
      </c>
      <c r="G1254" s="309">
        <f t="shared" si="3"/>
        <v>0.7083333333</v>
      </c>
      <c r="H1254" s="316" t="str">
        <f t="array" ref="H1254">XLOOKUP(B1254,Roster!L:L,Roster!N:N,XLOOKUP(D1254,TicketsBreak!A:A,TicketsBreak!E:E,"",0),0)</f>
        <v>09:30 - 09:45</v>
      </c>
      <c r="I1254" s="316" t="str">
        <f t="array" ref="I1254">XLOOKUP(B1254,Roster!L:L,Roster!O:O,XLOOKUP(D1254,TicketsBreak!A:A,TicketsBreak!F:F,"",0),0)</f>
        <v>12:00 - 12:30</v>
      </c>
      <c r="J1254" s="316" t="str">
        <f t="array" ref="J1254">XLOOKUP(B1254,Roster!L:L,Roster!P:P,XLOOKUP(D1254,TicketsBreak!A:A,TicketsBreak!G:G,"",0),0)</f>
        <v>14:45 - 15:00</v>
      </c>
      <c r="K1254" s="310">
        <f t="shared" si="4"/>
        <v>46122</v>
      </c>
      <c r="L1254" s="317">
        <f t="array" ref="L1254">(XLOOKUP(D1254,Roster!F:F,Roster!D:D,"",0))</f>
        <v>24</v>
      </c>
      <c r="M1254" s="317" t="str">
        <f t="array" ref="M1254">XLOOKUP(D1254,Roster!F:F,Roster!E:E)</f>
        <v>Voice</v>
      </c>
      <c r="N1254" s="317" t="str">
        <f t="shared" ref="N1254:P1254" si="1275">LEFT(H1254,5)</f>
        <v>09:30</v>
      </c>
      <c r="O1254" s="317" t="str">
        <f t="shared" si="1275"/>
        <v>12:00</v>
      </c>
      <c r="P1254" s="317" t="str">
        <f t="shared" si="1275"/>
        <v>14:45</v>
      </c>
      <c r="Q1254" s="318">
        <f t="shared" si="1232"/>
        <v>46122.39583</v>
      </c>
      <c r="R1254" s="318">
        <f t="shared" si="1233"/>
        <v>46122.5</v>
      </c>
      <c r="S1254" s="318">
        <f t="shared" si="8"/>
        <v>46122.61458</v>
      </c>
    </row>
    <row r="1255">
      <c r="A1255" s="14" t="str">
        <f t="shared" si="1"/>
        <v>C110846122</v>
      </c>
      <c r="B1255" s="185" t="str">
        <f t="array" ref="B1255">IF(F1255="VL","",IF(F1255="Free","Free",XLOOKUP(D1255,Roster!T:T,Roster!S:S,"",0)))</f>
        <v/>
      </c>
      <c r="C1255" s="313">
        <v>46122.0</v>
      </c>
      <c r="D1255" s="314" t="s">
        <v>187</v>
      </c>
      <c r="E1255" s="307" t="str">
        <f t="array" ref="E1255">(XLOOKUP(D1255,Roster!F:F,Roster!B:B,"",0))</f>
        <v>Yeiner Tapias</v>
      </c>
      <c r="F1255" s="315" t="str">
        <f t="array" ref="F1255">IF(B1255=100,"Free",TEXT(XLOOKUP($D1255,OperationVoice!$A:$A,OperationVoice!P:P,XLOOKUP($D1255,OperationTickets!$A:$A,OperationTickets!P:P,"",0)),"hh:mm"))</f>
        <v>08:00</v>
      </c>
      <c r="G1255" s="309">
        <f t="shared" si="3"/>
        <v>0.7083333333</v>
      </c>
      <c r="H1255" s="316">
        <f t="array" ref="H1255">XLOOKUP(B1255,Roster!L:L,Roster!N:N,XLOOKUP(D1255,TicketsBreak!A:A,TicketsBreak!E:E,"",0),0)</f>
        <v>0.3958333333</v>
      </c>
      <c r="I1255" s="316">
        <f t="array" ref="I1255">XLOOKUP(B1255,Roster!L:L,Roster!O:O,XLOOKUP(D1255,TicketsBreak!A:A,TicketsBreak!F:F,"",0),0)</f>
        <v>0.5208333333</v>
      </c>
      <c r="J1255" s="316">
        <f t="array" ref="J1255">XLOOKUP(B1255,Roster!L:L,Roster!P:P,XLOOKUP(D1255,TicketsBreak!A:A,TicketsBreak!G:G,"",0),0)</f>
        <v>0.6145833333</v>
      </c>
      <c r="K1255" s="310">
        <f t="shared" si="4"/>
        <v>46122</v>
      </c>
      <c r="L1255" s="317">
        <f t="array" ref="L1255">(XLOOKUP(D1255,Roster!F:F,Roster!D:D,"",0))</f>
        <v>20</v>
      </c>
      <c r="M1255" s="317" t="str">
        <f t="array" ref="M1255">XLOOKUP(D1255,Roster!F:F,Roster!E:E)</f>
        <v>Tickets</v>
      </c>
      <c r="N1255" s="317" t="str">
        <f t="shared" ref="N1255:P1255" si="1276">LEFT(H1255,5)</f>
        <v>09:30</v>
      </c>
      <c r="O1255" s="317" t="str">
        <f t="shared" si="1276"/>
        <v>12:30</v>
      </c>
      <c r="P1255" s="317" t="str">
        <f t="shared" si="1276"/>
        <v>14:45</v>
      </c>
      <c r="Q1255" s="318">
        <f t="shared" si="1232"/>
        <v>46122.39583</v>
      </c>
      <c r="R1255" s="318">
        <f t="shared" si="1233"/>
        <v>46122.52083</v>
      </c>
      <c r="S1255" s="318">
        <f t="shared" si="8"/>
        <v>46122.61458</v>
      </c>
    </row>
    <row r="1256">
      <c r="A1256" s="14" t="str">
        <f t="shared" si="1"/>
        <v>C153946122</v>
      </c>
      <c r="B1256" s="185">
        <f t="array" ref="B1256">IF(F1256="VL","",IF(F1256="Free","Free",XLOOKUP(D1256,Roster!T:T,Roster!S:S,"",0)))</f>
        <v>123</v>
      </c>
      <c r="C1256" s="313">
        <v>46122.0</v>
      </c>
      <c r="D1256" s="314" t="s">
        <v>85</v>
      </c>
      <c r="E1256" s="307" t="str">
        <f t="array" ref="E1256">(XLOOKUP(D1256,Roster!F:F,Roster!B:B,"",0))</f>
        <v>Yovanny Ceballos</v>
      </c>
      <c r="F1256" s="315" t="str">
        <f t="array" ref="F1256">IF(B1256=100,"Free",TEXT(XLOOKUP($D1256,OperationVoice!$A:$A,OperationVoice!P:P,XLOOKUP($D1256,OperationTickets!$A:$A,OperationTickets!P:P,"",0)),"hh:mm"))</f>
        <v/>
      </c>
      <c r="G1256" s="309" t="str">
        <f t="shared" si="3"/>
        <v/>
      </c>
      <c r="H1256" s="316" t="str">
        <f t="array" ref="H1256">XLOOKUP(B1256,Roster!L:L,Roster!N:N,XLOOKUP(D1256,TicketsBreak!A:A,TicketsBreak!E:E,"",0),0)</f>
        <v>09:45 - 10:00 </v>
      </c>
      <c r="I1256" s="316" t="str">
        <f t="array" ref="I1256">XLOOKUP(B1256,Roster!L:L,Roster!O:O,XLOOKUP(D1256,TicketsBreak!A:A,TicketsBreak!F:F,"",0),0)</f>
        <v>12:30 - 13:00</v>
      </c>
      <c r="J1256" s="316" t="str">
        <f t="array" ref="J1256">XLOOKUP(B1256,Roster!L:L,Roster!P:P,XLOOKUP(D1256,TicketsBreak!A:A,TicketsBreak!G:G,"",0),0)</f>
        <v>15:00 - 15:15</v>
      </c>
      <c r="K1256" s="310">
        <f t="shared" si="4"/>
        <v>46122</v>
      </c>
      <c r="L1256" s="317">
        <f t="array" ref="L1256">(XLOOKUP(D1256,Roster!F:F,Roster!D:D,"",0))</f>
        <v>36</v>
      </c>
      <c r="M1256" s="317" t="str">
        <f t="array" ref="M1256">XLOOKUP(D1256,Roster!F:F,Roster!E:E)</f>
        <v>Voice</v>
      </c>
      <c r="N1256" s="317" t="str">
        <f t="shared" ref="N1256:P1256" si="1277">LEFT(H1256,5)</f>
        <v>09:45</v>
      </c>
      <c r="O1256" s="317" t="str">
        <f t="shared" si="1277"/>
        <v>12:30</v>
      </c>
      <c r="P1256" s="317" t="str">
        <f t="shared" si="1277"/>
        <v>15:00</v>
      </c>
      <c r="Q1256" s="318">
        <f t="shared" si="1232"/>
        <v>46122.40625</v>
      </c>
      <c r="R1256" s="318">
        <f t="shared" si="1233"/>
        <v>46122.52083</v>
      </c>
      <c r="S1256" s="318">
        <f t="shared" si="8"/>
        <v>46122.625</v>
      </c>
    </row>
    <row r="1257">
      <c r="A1257" s="14" t="str">
        <f t="shared" si="1"/>
        <v>46122</v>
      </c>
      <c r="B1257" s="185" t="str">
        <f t="array" ref="B1257">IF(F1257="VL","",IF(F1257="Free","Free",XLOOKUP(D1257,Roster!T:T,Roster!S:S,"",0)))</f>
        <v/>
      </c>
      <c r="C1257" s="313">
        <v>46122.0</v>
      </c>
      <c r="D1257" s="314"/>
      <c r="E1257" s="307" t="str">
        <f t="array" ref="E1257">(XLOOKUP(D1257,Roster!F:F,Roster!B:B,"",0))</f>
        <v/>
      </c>
      <c r="F1257" s="315" t="str">
        <f t="array" ref="F1257">IF(B1257=100,"Free",TEXT(XLOOKUP($D1257,OperationVoice!$A:$A,OperationVoice!P:P,XLOOKUP($D1257,OperationTickets!$A:$A,OperationTickets!P:P,"",0)),"hh:mm"))</f>
        <v/>
      </c>
      <c r="G1257" s="309" t="str">
        <f t="shared" si="3"/>
        <v/>
      </c>
      <c r="H1257" s="316" t="str">
        <f t="array" ref="H1257">XLOOKUP(B1257,Roster!L:L,Roster!N:N,XLOOKUP(D1257,TicketsBreak!A:A,TicketsBreak!E:E,"",0),0)</f>
        <v/>
      </c>
      <c r="I1257" s="316" t="str">
        <f t="array" ref="I1257">XLOOKUP(B1257,Roster!L:L,Roster!O:O,XLOOKUP(D1257,TicketsBreak!A:A,TicketsBreak!F:F,"",0),0)</f>
        <v/>
      </c>
      <c r="J1257" s="316" t="str">
        <f t="array" ref="J1257">XLOOKUP(B1257,Roster!L:L,Roster!P:P,XLOOKUP(D1257,TicketsBreak!A:A,TicketsBreak!G:G,"",0),0)</f>
        <v/>
      </c>
      <c r="K1257" s="310">
        <f t="shared" si="4"/>
        <v>46122</v>
      </c>
      <c r="L1257" s="317" t="str">
        <f t="array" ref="L1257">(XLOOKUP(D1257,Roster!F:F,Roster!D:D,"",0))</f>
        <v/>
      </c>
      <c r="M1257" s="317" t="str">
        <f t="array" ref="M1257">XLOOKUP(D1257,Roster!F:F,Roster!E:E)</f>
        <v>#N/A</v>
      </c>
      <c r="N1257" s="317" t="str">
        <f t="shared" ref="N1257:P1257" si="1278">LEFT(H1257,5)</f>
        <v/>
      </c>
      <c r="O1257" s="317" t="str">
        <f t="shared" si="1278"/>
        <v/>
      </c>
      <c r="P1257" s="317" t="str">
        <f t="shared" si="1278"/>
        <v/>
      </c>
      <c r="Q1257" s="318" t="str">
        <f t="shared" si="1232"/>
        <v/>
      </c>
      <c r="R1257" s="318" t="str">
        <f t="shared" si="1233"/>
        <v/>
      </c>
      <c r="S1257" s="318" t="str">
        <f t="shared" si="8"/>
        <v/>
      </c>
    </row>
    <row r="1258">
      <c r="A1258" s="14" t="str">
        <f t="shared" si="1"/>
        <v>46122</v>
      </c>
      <c r="B1258" s="185" t="str">
        <f t="array" ref="B1258">IF(F1258="VL","",IF(F1258="Free","Free",XLOOKUP(D1258,Roster!T:T,Roster!S:S,"",0)))</f>
        <v/>
      </c>
      <c r="C1258" s="313">
        <v>46122.0</v>
      </c>
      <c r="D1258" s="314"/>
      <c r="E1258" s="307" t="str">
        <f t="array" ref="E1258">(XLOOKUP(D1258,Roster!F:F,Roster!B:B,"",0))</f>
        <v/>
      </c>
      <c r="F1258" s="315" t="str">
        <f t="array" ref="F1258">IF(B1258=100,"Free",TEXT(XLOOKUP($D1258,OperationVoice!$A:$A,OperationVoice!P:P,XLOOKUP($D1258,OperationTickets!$A:$A,OperationTickets!P:P,"",0)),"hh:mm"))</f>
        <v/>
      </c>
      <c r="G1258" s="309" t="str">
        <f t="shared" si="3"/>
        <v/>
      </c>
      <c r="H1258" s="316" t="str">
        <f t="array" ref="H1258">XLOOKUP(B1258,Roster!L:L,Roster!N:N,XLOOKUP(D1258,TicketsBreak!A:A,TicketsBreak!E:E,"",0),0)</f>
        <v/>
      </c>
      <c r="I1258" s="316" t="str">
        <f t="array" ref="I1258">XLOOKUP(B1258,Roster!L:L,Roster!O:O,XLOOKUP(D1258,TicketsBreak!A:A,TicketsBreak!F:F,"",0),0)</f>
        <v/>
      </c>
      <c r="J1258" s="316" t="str">
        <f t="array" ref="J1258">XLOOKUP(B1258,Roster!L:L,Roster!P:P,XLOOKUP(D1258,TicketsBreak!A:A,TicketsBreak!G:G,"",0),0)</f>
        <v/>
      </c>
      <c r="K1258" s="310">
        <f t="shared" si="4"/>
        <v>46122</v>
      </c>
      <c r="L1258" s="317" t="str">
        <f t="array" ref="L1258">(XLOOKUP(D1258,Roster!F:F,Roster!D:D,"",0))</f>
        <v/>
      </c>
      <c r="M1258" s="317" t="str">
        <f t="array" ref="M1258">XLOOKUP(D1258,Roster!F:F,Roster!E:E)</f>
        <v>#N/A</v>
      </c>
      <c r="N1258" s="317" t="str">
        <f t="shared" ref="N1258:P1258" si="1279">LEFT(H1258,5)</f>
        <v/>
      </c>
      <c r="O1258" s="317" t="str">
        <f t="shared" si="1279"/>
        <v/>
      </c>
      <c r="P1258" s="317" t="str">
        <f t="shared" si="1279"/>
        <v/>
      </c>
      <c r="Q1258" s="318" t="str">
        <f t="shared" si="1232"/>
        <v/>
      </c>
      <c r="R1258" s="318" t="str">
        <f t="shared" si="1233"/>
        <v/>
      </c>
      <c r="S1258" s="318" t="str">
        <f t="shared" si="8"/>
        <v/>
      </c>
    </row>
    <row r="1259">
      <c r="A1259" s="14" t="str">
        <f t="shared" si="1"/>
        <v>46122</v>
      </c>
      <c r="B1259" s="185" t="str">
        <f t="array" ref="B1259">IF(F1259="VL","",IF(F1259="Free","Free",XLOOKUP(D1259,Roster!T:T,Roster!S:S,"",0)))</f>
        <v/>
      </c>
      <c r="C1259" s="313">
        <v>46122.0</v>
      </c>
      <c r="D1259" s="314"/>
      <c r="E1259" s="307" t="str">
        <f t="array" ref="E1259">(XLOOKUP(D1259,Roster!F:F,Roster!B:B,"",0))</f>
        <v/>
      </c>
      <c r="F1259" s="315" t="str">
        <f t="array" ref="F1259">IF(B1259=100,"Free",TEXT(XLOOKUP($D1259,OperationVoice!$A:$A,OperationVoice!P:P,XLOOKUP($D1259,OperationTickets!$A:$A,OperationTickets!P:P,"",0)),"hh:mm"))</f>
        <v/>
      </c>
      <c r="G1259" s="309" t="str">
        <f t="shared" si="3"/>
        <v/>
      </c>
      <c r="H1259" s="316" t="str">
        <f t="array" ref="H1259">XLOOKUP(B1259,Roster!L:L,Roster!N:N,XLOOKUP(D1259,TicketsBreak!A:A,TicketsBreak!E:E,"",0),0)</f>
        <v/>
      </c>
      <c r="I1259" s="316" t="str">
        <f t="array" ref="I1259">XLOOKUP(B1259,Roster!L:L,Roster!O:O,XLOOKUP(D1259,TicketsBreak!A:A,TicketsBreak!F:F,"",0),0)</f>
        <v/>
      </c>
      <c r="J1259" s="316" t="str">
        <f t="array" ref="J1259">XLOOKUP(B1259,Roster!L:L,Roster!P:P,XLOOKUP(D1259,TicketsBreak!A:A,TicketsBreak!G:G,"",0),0)</f>
        <v/>
      </c>
      <c r="K1259" s="310">
        <f t="shared" si="4"/>
        <v>46122</v>
      </c>
      <c r="L1259" s="317" t="str">
        <f t="array" ref="L1259">(XLOOKUP(D1259,Roster!F:F,Roster!D:D,"",0))</f>
        <v/>
      </c>
      <c r="M1259" s="317" t="str">
        <f t="array" ref="M1259">XLOOKUP(D1259,Roster!F:F,Roster!E:E)</f>
        <v>#N/A</v>
      </c>
      <c r="N1259" s="317" t="str">
        <f t="shared" ref="N1259:P1259" si="1280">LEFT(H1259,5)</f>
        <v/>
      </c>
      <c r="O1259" s="317" t="str">
        <f t="shared" si="1280"/>
        <v/>
      </c>
      <c r="P1259" s="317" t="str">
        <f t="shared" si="1280"/>
        <v/>
      </c>
      <c r="Q1259" s="318" t="str">
        <f t="shared" si="1232"/>
        <v/>
      </c>
      <c r="R1259" s="318" t="str">
        <f t="shared" si="1233"/>
        <v/>
      </c>
      <c r="S1259" s="318" t="str">
        <f t="shared" si="8"/>
        <v/>
      </c>
    </row>
    <row r="1260">
      <c r="A1260" s="14" t="str">
        <f t="shared" si="1"/>
        <v>46122</v>
      </c>
      <c r="B1260" s="185" t="str">
        <f t="array" ref="B1260">IF(F1260="VL","",IF(F1260="Free","Free",XLOOKUP(D1260,Roster!T:T,Roster!S:S,"",0)))</f>
        <v/>
      </c>
      <c r="C1260" s="313">
        <v>46122.0</v>
      </c>
      <c r="D1260" s="314"/>
      <c r="E1260" s="307" t="str">
        <f t="array" ref="E1260">(XLOOKUP(D1260,Roster!F:F,Roster!B:B,"",0))</f>
        <v/>
      </c>
      <c r="F1260" s="315" t="str">
        <f t="array" ref="F1260">IF(B1260=100,"Free",TEXT(XLOOKUP($D1260,OperationVoice!$A:$A,OperationVoice!P:P,XLOOKUP($D1260,OperationTickets!$A:$A,OperationTickets!P:P,"",0)),"hh:mm"))</f>
        <v/>
      </c>
      <c r="G1260" s="309" t="str">
        <f t="shared" si="3"/>
        <v/>
      </c>
      <c r="H1260" s="316" t="str">
        <f t="array" ref="H1260">XLOOKUP(B1260,Roster!L:L,Roster!N:N,XLOOKUP(D1260,TicketsBreak!A:A,TicketsBreak!E:E,"",0),0)</f>
        <v/>
      </c>
      <c r="I1260" s="316" t="str">
        <f t="array" ref="I1260">XLOOKUP(B1260,Roster!L:L,Roster!O:O,XLOOKUP(D1260,TicketsBreak!A:A,TicketsBreak!F:F,"",0),0)</f>
        <v/>
      </c>
      <c r="J1260" s="316" t="str">
        <f t="array" ref="J1260">XLOOKUP(B1260,Roster!L:L,Roster!P:P,XLOOKUP(D1260,TicketsBreak!A:A,TicketsBreak!G:G,"",0),0)</f>
        <v/>
      </c>
      <c r="K1260" s="310">
        <f t="shared" si="4"/>
        <v>46122</v>
      </c>
      <c r="L1260" s="317" t="str">
        <f t="array" ref="L1260">(XLOOKUP(D1260,Roster!F:F,Roster!D:D,"",0))</f>
        <v/>
      </c>
      <c r="M1260" s="317" t="str">
        <f t="array" ref="M1260">XLOOKUP(D1260,Roster!F:F,Roster!E:E)</f>
        <v>#N/A</v>
      </c>
      <c r="N1260" s="317" t="str">
        <f t="shared" ref="N1260:P1260" si="1281">LEFT(H1260,5)</f>
        <v/>
      </c>
      <c r="O1260" s="317" t="str">
        <f t="shared" si="1281"/>
        <v/>
      </c>
      <c r="P1260" s="317" t="str">
        <f t="shared" si="1281"/>
        <v/>
      </c>
      <c r="Q1260" s="318" t="str">
        <f t="shared" si="1232"/>
        <v/>
      </c>
      <c r="R1260" s="318" t="str">
        <f t="shared" si="1233"/>
        <v/>
      </c>
      <c r="S1260" s="318" t="str">
        <f t="shared" si="8"/>
        <v/>
      </c>
    </row>
    <row r="1261">
      <c r="A1261" s="14" t="str">
        <f t="shared" si="1"/>
        <v>46122</v>
      </c>
      <c r="B1261" s="185" t="str">
        <f t="array" ref="B1261">IF(F1261="VL","",IF(F1261="Free","Free",XLOOKUP(D1261,Roster!T:T,Roster!S:S,"",0)))</f>
        <v/>
      </c>
      <c r="C1261" s="313">
        <v>46122.0</v>
      </c>
      <c r="D1261" s="314"/>
      <c r="E1261" s="307" t="str">
        <f t="array" ref="E1261">(XLOOKUP(D1261,Roster!F:F,Roster!B:B,"",0))</f>
        <v/>
      </c>
      <c r="F1261" s="315" t="str">
        <f t="array" ref="F1261">IF(B1261=100,"Free",TEXT(XLOOKUP($D1261,OperationVoice!$A:$A,OperationVoice!P:P,XLOOKUP($D1261,OperationTickets!$A:$A,OperationTickets!P:P,"",0)),"hh:mm"))</f>
        <v/>
      </c>
      <c r="G1261" s="309" t="str">
        <f t="shared" si="3"/>
        <v/>
      </c>
      <c r="H1261" s="316" t="str">
        <f t="array" ref="H1261">XLOOKUP(B1261,Roster!L:L,Roster!N:N,XLOOKUP(D1261,TicketsBreak!A:A,TicketsBreak!E:E,"",0),0)</f>
        <v/>
      </c>
      <c r="I1261" s="316" t="str">
        <f t="array" ref="I1261">XLOOKUP(B1261,Roster!L:L,Roster!O:O,XLOOKUP(D1261,TicketsBreak!A:A,TicketsBreak!F:F,"",0),0)</f>
        <v/>
      </c>
      <c r="J1261" s="316" t="str">
        <f t="array" ref="J1261">XLOOKUP(B1261,Roster!L:L,Roster!P:P,XLOOKUP(D1261,TicketsBreak!A:A,TicketsBreak!G:G,"",0),0)</f>
        <v/>
      </c>
      <c r="K1261" s="310">
        <f t="shared" si="4"/>
        <v>46122</v>
      </c>
      <c r="L1261" s="317" t="str">
        <f t="array" ref="L1261">(XLOOKUP(D1261,Roster!F:F,Roster!D:D,"",0))</f>
        <v/>
      </c>
      <c r="M1261" s="317" t="str">
        <f t="array" ref="M1261">XLOOKUP(D1261,Roster!F:F,Roster!E:E)</f>
        <v>#N/A</v>
      </c>
      <c r="N1261" s="317" t="str">
        <f t="shared" ref="N1261:P1261" si="1282">LEFT(H1261,5)</f>
        <v/>
      </c>
      <c r="O1261" s="317" t="str">
        <f t="shared" si="1282"/>
        <v/>
      </c>
      <c r="P1261" s="317" t="str">
        <f t="shared" si="1282"/>
        <v/>
      </c>
      <c r="Q1261" s="318" t="str">
        <f t="shared" si="1232"/>
        <v/>
      </c>
      <c r="R1261" s="318" t="str">
        <f t="shared" si="1233"/>
        <v/>
      </c>
      <c r="S1261" s="318" t="str">
        <f t="shared" si="8"/>
        <v/>
      </c>
    </row>
    <row r="1262">
      <c r="A1262" s="14" t="str">
        <f t="shared" si="1"/>
        <v>C81846123</v>
      </c>
      <c r="B1262" s="185" t="str">
        <f t="array" ref="B1262">IF(F1262="VL","",IF(F1262="Free","Free",XLOOKUP(D1262,Roster!T:T,Roster!S:S,"",0)))</f>
        <v>Free</v>
      </c>
      <c r="C1262" s="313">
        <v>46123.0</v>
      </c>
      <c r="D1262" s="314" t="s">
        <v>9</v>
      </c>
      <c r="E1262" s="307" t="str">
        <f t="array" ref="E1262">(XLOOKUP(D1262,Roster!F:F,Roster!B:B,"",0))</f>
        <v>Adriana Moncaleano</v>
      </c>
      <c r="F1262" s="315" t="str">
        <f t="array" ref="F1262">IF(B1262=100,"Free",TEXT(XLOOKUP($D1262,OperationVoice!$A:$A,OperationVoice!Q:Q,XLOOKUP($D1262,OperationTickets!$A:$A,OperationTickets!Q:Q,"",0)),"hh:mm"))</f>
        <v>Free</v>
      </c>
      <c r="G1262" s="309" t="str">
        <f t="shared" si="3"/>
        <v>Free</v>
      </c>
      <c r="H1262" s="316" t="str">
        <f t="array" ref="H1262">XLOOKUP(B1262,Roster!L:L,Roster!N:N,XLOOKUP(D1262,TicketsBreak!A:A,TicketsBreak!E:E,"",0),0)</f>
        <v/>
      </c>
      <c r="I1262" s="316" t="str">
        <f t="array" ref="I1262">XLOOKUP(B1262,Roster!L:L,Roster!O:O,XLOOKUP(D1262,TicketsBreak!A:A,TicketsBreak!F:F,"",0),0)</f>
        <v/>
      </c>
      <c r="J1262" s="316" t="str">
        <f t="array" ref="J1262">XLOOKUP(B1262,Roster!L:L,Roster!P:P,XLOOKUP(D1262,TicketsBreak!A:A,TicketsBreak!G:G,"",0),0)</f>
        <v/>
      </c>
      <c r="K1262" s="310">
        <f t="shared" si="4"/>
        <v>46123</v>
      </c>
      <c r="L1262" s="317">
        <f t="array" ref="L1262">(XLOOKUP(D1262,Roster!F:F,Roster!D:D,"",0))</f>
        <v>23</v>
      </c>
      <c r="M1262" s="317" t="str">
        <f t="array" ref="M1262">XLOOKUP(D1262,Roster!F:F,Roster!E:E)</f>
        <v>Voice</v>
      </c>
      <c r="N1262" s="317" t="str">
        <f t="shared" ref="N1262:P1262" si="1283">LEFT(H1262,5)</f>
        <v/>
      </c>
      <c r="O1262" s="317" t="str">
        <f t="shared" si="1283"/>
        <v/>
      </c>
      <c r="P1262" s="317" t="str">
        <f t="shared" si="1283"/>
        <v/>
      </c>
      <c r="Q1262" s="318" t="str">
        <f t="shared" si="1232"/>
        <v/>
      </c>
      <c r="R1262" s="318" t="str">
        <f t="shared" si="1233"/>
        <v/>
      </c>
      <c r="S1262" s="318" t="str">
        <f t="shared" si="8"/>
        <v/>
      </c>
    </row>
    <row r="1263">
      <c r="A1263" s="14" t="str">
        <f t="shared" si="1"/>
        <v>C110746123</v>
      </c>
      <c r="B1263" s="185">
        <f t="array" ref="B1263">IF(F1263="VL","",IF(F1263="Free","Free",XLOOKUP(D1263,Roster!T:T,Roster!S:S,"",0)))</f>
        <v>153</v>
      </c>
      <c r="C1263" s="313">
        <v>46123.0</v>
      </c>
      <c r="D1263" s="314" t="s">
        <v>10</v>
      </c>
      <c r="E1263" s="307" t="str">
        <f t="array" ref="E1263">(XLOOKUP(D1263,Roster!F:F,Roster!B:B,"",0))</f>
        <v>Alejandro Malave</v>
      </c>
      <c r="F1263" s="315" t="str">
        <f t="array" ref="F1263">IF(B1263=100,"Free",TEXT(XLOOKUP($D1263,OperationVoice!$A:$A,OperationVoice!Q:Q,XLOOKUP($D1263,OperationTickets!$A:$A,OperationTickets!Q:Q,"",0)),"hh:mm"))</f>
        <v>11:00</v>
      </c>
      <c r="G1263" s="309">
        <f t="shared" si="3"/>
        <v>0.8333333333</v>
      </c>
      <c r="H1263" s="316" t="str">
        <f t="array" ref="H1263">XLOOKUP(B1263,Roster!L:L,Roster!N:N,XLOOKUP(D1263,TicketsBreak!A:A,TicketsBreak!E:E,"",0),0)</f>
        <v>12:45 - 13:00</v>
      </c>
      <c r="I1263" s="316" t="str">
        <f t="array" ref="I1263">XLOOKUP(B1263,Roster!L:L,Roster!O:O,XLOOKUP(D1263,TicketsBreak!A:A,TicketsBreak!F:F,"",0),0)</f>
        <v>15:00 - 15:30</v>
      </c>
      <c r="J1263" s="316" t="str">
        <f t="array" ref="J1263">XLOOKUP(B1263,Roster!L:L,Roster!P:P,XLOOKUP(D1263,TicketsBreak!A:A,TicketsBreak!G:G,"",0),0)</f>
        <v>17:45 - 18:00</v>
      </c>
      <c r="K1263" s="310">
        <f t="shared" si="4"/>
        <v>46123</v>
      </c>
      <c r="L1263" s="317">
        <f t="array" ref="L1263">(XLOOKUP(D1263,Roster!F:F,Roster!D:D,"",0))</f>
        <v>36</v>
      </c>
      <c r="M1263" s="317" t="str">
        <f t="array" ref="M1263">XLOOKUP(D1263,Roster!F:F,Roster!E:E)</f>
        <v>Voice</v>
      </c>
      <c r="N1263" s="317" t="str">
        <f t="shared" ref="N1263:P1263" si="1284">LEFT(H1263,5)</f>
        <v>12:45</v>
      </c>
      <c r="O1263" s="317" t="str">
        <f t="shared" si="1284"/>
        <v>15:00</v>
      </c>
      <c r="P1263" s="317" t="str">
        <f t="shared" si="1284"/>
        <v>17:45</v>
      </c>
      <c r="Q1263" s="318">
        <f t="shared" si="1232"/>
        <v>46123.53125</v>
      </c>
      <c r="R1263" s="318">
        <f t="shared" si="1233"/>
        <v>46123.625</v>
      </c>
      <c r="S1263" s="318">
        <f t="shared" si="8"/>
        <v>46123.73958</v>
      </c>
    </row>
    <row r="1264">
      <c r="A1264" s="14" t="str">
        <f t="shared" si="1"/>
        <v>C69946123</v>
      </c>
      <c r="B1264" s="185" t="str">
        <f t="array" ref="B1264">IF(F1264="VL","",IF(F1264="Free","Free",XLOOKUP(D1264,Roster!T:T,Roster!S:S,"",0)))</f>
        <v>Free</v>
      </c>
      <c r="C1264" s="313">
        <v>46123.0</v>
      </c>
      <c r="D1264" s="314" t="s">
        <v>137</v>
      </c>
      <c r="E1264" s="307" t="str">
        <f t="array" ref="E1264">(XLOOKUP(D1264,Roster!F:F,Roster!B:B,"",0))</f>
        <v>Alexa Arenas</v>
      </c>
      <c r="F1264" s="315" t="str">
        <f t="array" ref="F1264">IF(B1264=100,"Free",TEXT(XLOOKUP($D1264,OperationVoice!$A:$A,OperationVoice!Q:Q,XLOOKUP($D1264,OperationTickets!$A:$A,OperationTickets!Q:Q,"",0)),"hh:mm"))</f>
        <v>Free</v>
      </c>
      <c r="G1264" s="309" t="str">
        <f t="shared" si="3"/>
        <v>Free</v>
      </c>
      <c r="H1264" s="316">
        <f t="array" ref="H1264">XLOOKUP(B1264,Roster!L:L,Roster!N:N,XLOOKUP(D1264,TicketsBreak!A:A,TicketsBreak!E:E,"",0),0)</f>
        <v>0.40625</v>
      </c>
      <c r="I1264" s="316">
        <f t="array" ref="I1264">XLOOKUP(B1264,Roster!L:L,Roster!O:O,XLOOKUP(D1264,TicketsBreak!A:A,TicketsBreak!F:F,"",0),0)</f>
        <v>0.5</v>
      </c>
      <c r="J1264" s="316">
        <f t="array" ref="J1264">XLOOKUP(B1264,Roster!L:L,Roster!P:P,XLOOKUP(D1264,TicketsBreak!A:A,TicketsBreak!G:G,"",0),0)</f>
        <v>0.65625</v>
      </c>
      <c r="K1264" s="310">
        <f t="shared" si="4"/>
        <v>46123</v>
      </c>
      <c r="L1264" s="317">
        <f t="array" ref="L1264">(XLOOKUP(D1264,Roster!F:F,Roster!D:D,"",0))</f>
        <v>5</v>
      </c>
      <c r="M1264" s="317" t="str">
        <f t="array" ref="M1264">XLOOKUP(D1264,Roster!F:F,Roster!E:E)</f>
        <v>Tickets</v>
      </c>
      <c r="N1264" s="317" t="str">
        <f t="shared" ref="N1264:P1264" si="1285">LEFT(H1264,5)</f>
        <v>09:45</v>
      </c>
      <c r="O1264" s="317" t="str">
        <f t="shared" si="1285"/>
        <v>12:00</v>
      </c>
      <c r="P1264" s="317" t="str">
        <f t="shared" si="1285"/>
        <v>15:45</v>
      </c>
      <c r="Q1264" s="318">
        <f t="shared" si="1232"/>
        <v>46123.40625</v>
      </c>
      <c r="R1264" s="318">
        <f t="shared" si="1233"/>
        <v>46123.5</v>
      </c>
      <c r="S1264" s="318">
        <f t="shared" si="8"/>
        <v>46123.65625</v>
      </c>
    </row>
    <row r="1265">
      <c r="A1265" s="14" t="str">
        <f t="shared" si="1"/>
        <v>C157046123</v>
      </c>
      <c r="B1265" s="185">
        <f t="array" ref="B1265">IF(F1265="VL","",IF(F1265="Free","Free",XLOOKUP(D1265,Roster!T:T,Roster!S:S,"",0)))</f>
        <v>123</v>
      </c>
      <c r="C1265" s="313">
        <v>46123.0</v>
      </c>
      <c r="D1265" s="314" t="s">
        <v>11</v>
      </c>
      <c r="E1265" s="307" t="str">
        <f t="array" ref="E1265">(XLOOKUP(D1265,Roster!F:F,Roster!B:B,"",0))</f>
        <v>Alexander Bartoli</v>
      </c>
      <c r="F1265" s="315" t="str">
        <f t="array" ref="F1265">IF(B1265=100,"Free",TEXT(XLOOKUP($D1265,OperationVoice!$A:$A,OperationVoice!Q:Q,XLOOKUP($D1265,OperationTickets!$A:$A,OperationTickets!Q:Q,"",0)),"hh:mm"))</f>
        <v>08:00</v>
      </c>
      <c r="G1265" s="309">
        <f t="shared" si="3"/>
        <v>0.7083333333</v>
      </c>
      <c r="H1265" s="316" t="str">
        <f t="array" ref="H1265">XLOOKUP(B1265,Roster!L:L,Roster!N:N,XLOOKUP(D1265,TicketsBreak!A:A,TicketsBreak!E:E,"",0),0)</f>
        <v>09:45 - 10:00 </v>
      </c>
      <c r="I1265" s="316" t="str">
        <f t="array" ref="I1265">XLOOKUP(B1265,Roster!L:L,Roster!O:O,XLOOKUP(D1265,TicketsBreak!A:A,TicketsBreak!F:F,"",0),0)</f>
        <v>12:30 - 13:00</v>
      </c>
      <c r="J1265" s="316" t="str">
        <f t="array" ref="J1265">XLOOKUP(B1265,Roster!L:L,Roster!P:P,XLOOKUP(D1265,TicketsBreak!A:A,TicketsBreak!G:G,"",0),0)</f>
        <v>15:00 - 15:15</v>
      </c>
      <c r="K1265" s="310">
        <f t="shared" si="4"/>
        <v>46123</v>
      </c>
      <c r="L1265" s="317">
        <f t="array" ref="L1265">(XLOOKUP(D1265,Roster!F:F,Roster!D:D,"",0))</f>
        <v>38</v>
      </c>
      <c r="M1265" s="317" t="str">
        <f t="array" ref="M1265">XLOOKUP(D1265,Roster!F:F,Roster!E:E)</f>
        <v>Voice</v>
      </c>
      <c r="N1265" s="317" t="str">
        <f t="shared" ref="N1265:P1265" si="1286">LEFT(H1265,5)</f>
        <v>09:45</v>
      </c>
      <c r="O1265" s="317" t="str">
        <f t="shared" si="1286"/>
        <v>12:30</v>
      </c>
      <c r="P1265" s="317" t="str">
        <f t="shared" si="1286"/>
        <v>15:00</v>
      </c>
      <c r="Q1265" s="318">
        <f t="shared" si="1232"/>
        <v>46123.40625</v>
      </c>
      <c r="R1265" s="318">
        <f t="shared" si="1233"/>
        <v>46123.52083</v>
      </c>
      <c r="S1265" s="318">
        <f t="shared" si="8"/>
        <v>46123.625</v>
      </c>
    </row>
    <row r="1266">
      <c r="A1266" s="14" t="str">
        <f t="shared" si="1"/>
        <v>C93546123</v>
      </c>
      <c r="B1266" s="185" t="str">
        <f t="array" ref="B1266">IF(F1266="VL","",IF(F1266="Free","Free",XLOOKUP(D1266,Roster!T:T,Roster!S:S,"",0)))</f>
        <v/>
      </c>
      <c r="C1266" s="313">
        <v>46123.0</v>
      </c>
      <c r="D1266" s="314" t="s">
        <v>153</v>
      </c>
      <c r="E1266" s="307" t="str">
        <f t="array" ref="E1266">(XLOOKUP(D1266,Roster!F:F,Roster!B:B,"",0))</f>
        <v>Alexis Arias</v>
      </c>
      <c r="F1266" s="315" t="str">
        <f t="array" ref="F1266">IF(B1266=100,"Free",TEXT(XLOOKUP($D1266,OperationVoice!$A:$A,OperationVoice!Q:Q,XLOOKUP($D1266,OperationTickets!$A:$A,OperationTickets!Q:Q,"",0)),"hh:mm"))</f>
        <v>07:30</v>
      </c>
      <c r="G1266" s="309">
        <f t="shared" si="3"/>
        <v>0.6875</v>
      </c>
      <c r="H1266" s="316">
        <f t="array" ref="H1266">XLOOKUP(B1266,Roster!L:L,Roster!N:N,XLOOKUP(D1266,TicketsBreak!A:A,TicketsBreak!E:E,"",0),0)</f>
        <v>0.4270833333</v>
      </c>
      <c r="I1266" s="316">
        <f t="array" ref="I1266">XLOOKUP(B1266,Roster!L:L,Roster!O:O,XLOOKUP(D1266,TicketsBreak!A:A,TicketsBreak!F:F,"",0),0)</f>
        <v>0.53125</v>
      </c>
      <c r="J1266" s="316">
        <f t="array" ref="J1266">XLOOKUP(B1266,Roster!L:L,Roster!P:P,XLOOKUP(D1266,TicketsBreak!A:A,TicketsBreak!G:G,"",0),0)</f>
        <v>0.6458333333</v>
      </c>
      <c r="K1266" s="310">
        <f t="shared" si="4"/>
        <v>46123</v>
      </c>
      <c r="L1266" s="317">
        <f t="array" ref="L1266">(XLOOKUP(D1266,Roster!F:F,Roster!D:D,"",0))</f>
        <v>12</v>
      </c>
      <c r="M1266" s="317" t="str">
        <f t="array" ref="M1266">XLOOKUP(D1266,Roster!F:F,Roster!E:E)</f>
        <v>Tickets</v>
      </c>
      <c r="N1266" s="317" t="str">
        <f t="shared" ref="N1266:P1266" si="1287">LEFT(H1266,5)</f>
        <v>10:15</v>
      </c>
      <c r="O1266" s="317" t="str">
        <f t="shared" si="1287"/>
        <v>12:45</v>
      </c>
      <c r="P1266" s="317" t="str">
        <f t="shared" si="1287"/>
        <v>15:30</v>
      </c>
      <c r="Q1266" s="318">
        <f t="shared" si="1232"/>
        <v>46123.42708</v>
      </c>
      <c r="R1266" s="318">
        <f t="shared" si="1233"/>
        <v>46123.53125</v>
      </c>
      <c r="S1266" s="318">
        <f t="shared" si="8"/>
        <v>46123.64583</v>
      </c>
    </row>
    <row r="1267">
      <c r="A1267" s="14" t="str">
        <f t="shared" si="1"/>
        <v>C72746123</v>
      </c>
      <c r="B1267" s="185" t="str">
        <f t="array" ref="B1267">IF(F1267="VL","",IF(F1267="Free","Free",XLOOKUP(D1267,Roster!T:T,Roster!S:S,"",0)))</f>
        <v/>
      </c>
      <c r="C1267" s="313">
        <v>46123.0</v>
      </c>
      <c r="D1267" s="314" t="s">
        <v>154</v>
      </c>
      <c r="E1267" s="307" t="str">
        <f t="array" ref="E1267">(XLOOKUP(D1267,Roster!F:F,Roster!B:B,"",0))</f>
        <v>Ana Moreno</v>
      </c>
      <c r="F1267" s="315" t="str">
        <f t="array" ref="F1267">IF(B1267=100,"Free",TEXT(XLOOKUP($D1267,OperationVoice!$A:$A,OperationVoice!Q:Q,XLOOKUP($D1267,OperationTickets!$A:$A,OperationTickets!Q:Q,"",0)),"hh:mm"))</f>
        <v>VL</v>
      </c>
      <c r="G1267" s="309" t="str">
        <f t="shared" si="3"/>
        <v>VL</v>
      </c>
      <c r="H1267" s="316">
        <f t="array" ref="H1267">XLOOKUP(B1267,Roster!L:L,Roster!N:N,XLOOKUP(D1267,TicketsBreak!A:A,TicketsBreak!E:E,"",0),0)</f>
        <v>0.4166666667</v>
      </c>
      <c r="I1267" s="316">
        <f t="array" ref="I1267">XLOOKUP(B1267,Roster!L:L,Roster!O:O,XLOOKUP(D1267,TicketsBreak!A:A,TicketsBreak!F:F,"",0),0)</f>
        <v>0.5208333333</v>
      </c>
      <c r="J1267" s="316">
        <f t="array" ref="J1267">XLOOKUP(B1267,Roster!L:L,Roster!P:P,XLOOKUP(D1267,TicketsBreak!A:A,TicketsBreak!G:G,"",0),0)</f>
        <v>0.65625</v>
      </c>
      <c r="K1267" s="310">
        <f t="shared" si="4"/>
        <v>46123</v>
      </c>
      <c r="L1267" s="317">
        <f t="array" ref="L1267">(XLOOKUP(D1267,Roster!F:F,Roster!D:D,"",0))</f>
        <v>7</v>
      </c>
      <c r="M1267" s="317" t="str">
        <f t="array" ref="M1267">XLOOKUP(D1267,Roster!F:F,Roster!E:E)</f>
        <v>Tickets</v>
      </c>
      <c r="N1267" s="317" t="str">
        <f t="shared" ref="N1267:P1267" si="1288">LEFT(H1267,5)</f>
        <v>10:00</v>
      </c>
      <c r="O1267" s="317" t="str">
        <f t="shared" si="1288"/>
        <v>12:30</v>
      </c>
      <c r="P1267" s="317" t="str">
        <f t="shared" si="1288"/>
        <v>15:45</v>
      </c>
      <c r="Q1267" s="318">
        <f t="shared" si="1232"/>
        <v>46123.41667</v>
      </c>
      <c r="R1267" s="318">
        <f t="shared" si="1233"/>
        <v>46123.52083</v>
      </c>
      <c r="S1267" s="318">
        <f t="shared" si="8"/>
        <v>46123.65625</v>
      </c>
    </row>
    <row r="1268">
      <c r="A1268" s="14" t="str">
        <f t="shared" si="1"/>
        <v>C157446123</v>
      </c>
      <c r="B1268" s="185">
        <f t="array" ref="B1268">IF(F1268="VL","",IF(F1268="Free","Free",XLOOKUP(D1268,Roster!T:T,Roster!S:S,"",0)))</f>
        <v>124</v>
      </c>
      <c r="C1268" s="313">
        <v>46123.0</v>
      </c>
      <c r="D1268" s="314" t="s">
        <v>12</v>
      </c>
      <c r="E1268" s="307" t="str">
        <f t="array" ref="E1268">(XLOOKUP(D1268,Roster!F:F,Roster!B:B,"",0))</f>
        <v>Ana Quintero</v>
      </c>
      <c r="F1268" s="315" t="str">
        <f t="array" ref="F1268">IF(B1268=100,"Free",TEXT(XLOOKUP($D1268,OperationVoice!$A:$A,OperationVoice!Q:Q,XLOOKUP($D1268,OperationTickets!$A:$A,OperationTickets!Q:Q,"",0)),"hh:mm"))</f>
        <v>08:00</v>
      </c>
      <c r="G1268" s="309">
        <f t="shared" si="3"/>
        <v>0.7083333333</v>
      </c>
      <c r="H1268" s="316" t="str">
        <f t="array" ref="H1268">XLOOKUP(B1268,Roster!L:L,Roster!N:N,XLOOKUP(D1268,TicketsBreak!A:A,TicketsBreak!E:E,"",0),0)</f>
        <v>10:00 - 10:15</v>
      </c>
      <c r="I1268" s="316" t="str">
        <f t="array" ref="I1268">XLOOKUP(B1268,Roster!L:L,Roster!O:O,XLOOKUP(D1268,TicketsBreak!A:A,TicketsBreak!F:F,"",0),0)</f>
        <v>13:00 - 13:30</v>
      </c>
      <c r="J1268" s="316" t="str">
        <f t="array" ref="J1268">XLOOKUP(B1268,Roster!L:L,Roster!P:P,XLOOKUP(D1268,TicketsBreak!A:A,TicketsBreak!G:G,"",0),0)</f>
        <v>15:30 - 15:45</v>
      </c>
      <c r="K1268" s="310">
        <f t="shared" si="4"/>
        <v>46123</v>
      </c>
      <c r="L1268" s="317">
        <f t="array" ref="L1268">(XLOOKUP(D1268,Roster!F:F,Roster!D:D,"",0))</f>
        <v>38</v>
      </c>
      <c r="M1268" s="317" t="str">
        <f t="array" ref="M1268">XLOOKUP(D1268,Roster!F:F,Roster!E:E)</f>
        <v>Voice</v>
      </c>
      <c r="N1268" s="317" t="str">
        <f t="shared" ref="N1268:P1268" si="1289">LEFT(H1268,5)</f>
        <v>10:00</v>
      </c>
      <c r="O1268" s="317" t="str">
        <f t="shared" si="1289"/>
        <v>13:00</v>
      </c>
      <c r="P1268" s="317" t="str">
        <f t="shared" si="1289"/>
        <v>15:30</v>
      </c>
      <c r="Q1268" s="318">
        <f t="shared" si="1232"/>
        <v>46123.41667</v>
      </c>
      <c r="R1268" s="318">
        <f t="shared" si="1233"/>
        <v>46123.54167</v>
      </c>
      <c r="S1268" s="318">
        <f t="shared" si="8"/>
        <v>46123.64583</v>
      </c>
    </row>
    <row r="1269">
      <c r="A1269" s="14" t="str">
        <f t="shared" si="1"/>
        <v>C46946123</v>
      </c>
      <c r="B1269" s="185" t="str">
        <f t="array" ref="B1269">IF(F1269="VL","",IF(F1269="Free","Free",XLOOKUP(D1269,Roster!T:T,Roster!S:S,"",0)))</f>
        <v/>
      </c>
      <c r="C1269" s="313">
        <v>46123.0</v>
      </c>
      <c r="D1269" s="314" t="s">
        <v>171</v>
      </c>
      <c r="E1269" s="307" t="str">
        <f t="array" ref="E1269">(XLOOKUP(D1269,Roster!F:F,Roster!B:B,"",0))</f>
        <v>Ana Ruiz</v>
      </c>
      <c r="F1269" s="315" t="str">
        <f t="array" ref="F1269">IF(B1269=100,"Free",TEXT(XLOOKUP($D1269,OperationVoice!$A:$A,OperationVoice!Q:Q,XLOOKUP($D1269,OperationTickets!$A:$A,OperationTickets!Q:Q,"",0)),"hh:mm"))</f>
        <v>08:00</v>
      </c>
      <c r="G1269" s="309">
        <f t="shared" si="3"/>
        <v>0.7083333333</v>
      </c>
      <c r="H1269" s="316">
        <f t="array" ref="H1269">XLOOKUP(B1269,Roster!L:L,Roster!N:N,XLOOKUP(D1269,TicketsBreak!A:A,TicketsBreak!E:E,"",0),0)</f>
        <v>0.3854166667</v>
      </c>
      <c r="I1269" s="316">
        <f t="array" ref="I1269">XLOOKUP(B1269,Roster!L:L,Roster!O:O,XLOOKUP(D1269,TicketsBreak!A:A,TicketsBreak!F:F,"",0),0)</f>
        <v>0.5</v>
      </c>
      <c r="J1269" s="316">
        <f t="array" ref="J1269">XLOOKUP(B1269,Roster!L:L,Roster!P:P,XLOOKUP(D1269,TicketsBreak!A:A,TicketsBreak!G:G,"",0),0)</f>
        <v>0.6041666667</v>
      </c>
      <c r="K1269" s="310">
        <f t="shared" si="4"/>
        <v>46123</v>
      </c>
      <c r="L1269" s="317">
        <f t="array" ref="L1269">(XLOOKUP(D1269,Roster!F:F,Roster!D:D,"",0))</f>
        <v>3</v>
      </c>
      <c r="M1269" s="317" t="str">
        <f t="array" ref="M1269">XLOOKUP(D1269,Roster!F:F,Roster!E:E)</f>
        <v>Tickets</v>
      </c>
      <c r="N1269" s="317" t="str">
        <f t="shared" ref="N1269:P1269" si="1290">LEFT(H1269,5)</f>
        <v>09:15</v>
      </c>
      <c r="O1269" s="317" t="str">
        <f t="shared" si="1290"/>
        <v>12:00</v>
      </c>
      <c r="P1269" s="317" t="str">
        <f t="shared" si="1290"/>
        <v>14:30</v>
      </c>
      <c r="Q1269" s="318">
        <f t="shared" si="1232"/>
        <v>46123.38542</v>
      </c>
      <c r="R1269" s="318">
        <f t="shared" si="1233"/>
        <v>46123.5</v>
      </c>
      <c r="S1269" s="318">
        <f t="shared" si="8"/>
        <v>46123.60417</v>
      </c>
    </row>
    <row r="1270">
      <c r="A1270" s="14" t="str">
        <f t="shared" si="1"/>
        <v>C155446123</v>
      </c>
      <c r="B1270" s="185">
        <f t="array" ref="B1270">IF(F1270="VL","",IF(F1270="Free","Free",XLOOKUP(D1270,Roster!T:T,Roster!S:S,"",0)))</f>
        <v>131</v>
      </c>
      <c r="C1270" s="313">
        <v>46123.0</v>
      </c>
      <c r="D1270" s="314" t="s">
        <v>13</v>
      </c>
      <c r="E1270" s="307" t="str">
        <f t="array" ref="E1270">(XLOOKUP(D1270,Roster!F:F,Roster!B:B,"",0))</f>
        <v>Andres Lopez</v>
      </c>
      <c r="F1270" s="315" t="str">
        <f t="array" ref="F1270">IF(B1270=100,"Free",TEXT(XLOOKUP($D1270,OperationVoice!$A:$A,OperationVoice!Q:Q,XLOOKUP($D1270,OperationTickets!$A:$A,OperationTickets!Q:Q,"",0)),"hh:mm"))</f>
        <v>09:00</v>
      </c>
      <c r="G1270" s="309">
        <f t="shared" si="3"/>
        <v>0.75</v>
      </c>
      <c r="H1270" s="316" t="str">
        <f t="array" ref="H1270">XLOOKUP(B1270,Roster!L:L,Roster!N:N,XLOOKUP(D1270,TicketsBreak!A:A,TicketsBreak!E:E,"",0),0)</f>
        <v>10:15 - 10:30</v>
      </c>
      <c r="I1270" s="316" t="str">
        <f t="array" ref="I1270">XLOOKUP(B1270,Roster!L:L,Roster!O:O,XLOOKUP(D1270,TicketsBreak!A:A,TicketsBreak!F:F,"",0),0)</f>
        <v>12:30 - 13:00</v>
      </c>
      <c r="J1270" s="316" t="str">
        <f t="array" ref="J1270">XLOOKUP(B1270,Roster!L:L,Roster!P:P,XLOOKUP(D1270,TicketsBreak!A:A,TicketsBreak!G:G,"",0),0)</f>
        <v>15:15 - 15:30</v>
      </c>
      <c r="K1270" s="310">
        <f t="shared" si="4"/>
        <v>46123</v>
      </c>
      <c r="L1270" s="317">
        <f t="array" ref="L1270">(XLOOKUP(D1270,Roster!F:F,Roster!D:D,"",0))</f>
        <v>37</v>
      </c>
      <c r="M1270" s="317" t="str">
        <f t="array" ref="M1270">XLOOKUP(D1270,Roster!F:F,Roster!E:E)</f>
        <v>Voice</v>
      </c>
      <c r="N1270" s="317" t="str">
        <f t="shared" ref="N1270:P1270" si="1291">LEFT(H1270,5)</f>
        <v>10:15</v>
      </c>
      <c r="O1270" s="317" t="str">
        <f t="shared" si="1291"/>
        <v>12:30</v>
      </c>
      <c r="P1270" s="317" t="str">
        <f t="shared" si="1291"/>
        <v>15:15</v>
      </c>
      <c r="Q1270" s="318">
        <f t="shared" si="1232"/>
        <v>46123.42708</v>
      </c>
      <c r="R1270" s="318">
        <f t="shared" si="1233"/>
        <v>46123.52083</v>
      </c>
      <c r="S1270" s="318">
        <f t="shared" si="8"/>
        <v>46123.63542</v>
      </c>
    </row>
    <row r="1271">
      <c r="A1271" s="14" t="str">
        <f t="shared" si="1"/>
        <v>C156746123</v>
      </c>
      <c r="B1271" s="185">
        <f t="array" ref="B1271">IF(F1271="VL","",IF(F1271="Free","Free",XLOOKUP(D1271,Roster!T:T,Roster!S:S,"",0)))</f>
        <v>125</v>
      </c>
      <c r="C1271" s="313">
        <v>46123.0</v>
      </c>
      <c r="D1271" s="314" t="s">
        <v>14</v>
      </c>
      <c r="E1271" s="307" t="str">
        <f t="array" ref="E1271">(XLOOKUP(D1271,Roster!F:F,Roster!B:B,"",0))</f>
        <v>Andres Salazar</v>
      </c>
      <c r="F1271" s="315" t="str">
        <f t="array" ref="F1271">IF(B1271=100,"Free",TEXT(XLOOKUP($D1271,OperationVoice!$A:$A,OperationVoice!Q:Q,XLOOKUP($D1271,OperationTickets!$A:$A,OperationTickets!Q:Q,"",0)),"hh:mm"))</f>
        <v>08:00</v>
      </c>
      <c r="G1271" s="309">
        <f t="shared" si="3"/>
        <v>0.7083333333</v>
      </c>
      <c r="H1271" s="316" t="str">
        <f t="array" ref="H1271">XLOOKUP(B1271,Roster!L:L,Roster!N:N,XLOOKUP(D1271,TicketsBreak!A:A,TicketsBreak!E:E,"",0),0)</f>
        <v>10:30 - 10:45</v>
      </c>
      <c r="I1271" s="316" t="str">
        <f t="array" ref="I1271">XLOOKUP(B1271,Roster!L:L,Roster!O:O,XLOOKUP(D1271,TicketsBreak!A:A,TicketsBreak!F:F,"",0),0)</f>
        <v>13:30 - 14:00</v>
      </c>
      <c r="J1271" s="316" t="str">
        <f t="array" ref="J1271">XLOOKUP(B1271,Roster!L:L,Roster!P:P,XLOOKUP(D1271,TicketsBreak!A:A,TicketsBreak!G:G,"",0),0)</f>
        <v>15:45 - 16:00</v>
      </c>
      <c r="K1271" s="310">
        <f t="shared" si="4"/>
        <v>46123</v>
      </c>
      <c r="L1271" s="317">
        <f t="array" ref="L1271">(XLOOKUP(D1271,Roster!F:F,Roster!D:D,"",0))</f>
        <v>38</v>
      </c>
      <c r="M1271" s="317" t="str">
        <f t="array" ref="M1271">XLOOKUP(D1271,Roster!F:F,Roster!E:E)</f>
        <v>Voice</v>
      </c>
      <c r="N1271" s="317" t="str">
        <f t="shared" ref="N1271:P1271" si="1292">LEFT(H1271,5)</f>
        <v>10:30</v>
      </c>
      <c r="O1271" s="317" t="str">
        <f t="shared" si="1292"/>
        <v>13:30</v>
      </c>
      <c r="P1271" s="317" t="str">
        <f t="shared" si="1292"/>
        <v>15:45</v>
      </c>
      <c r="Q1271" s="318">
        <f t="shared" si="1232"/>
        <v>46123.4375</v>
      </c>
      <c r="R1271" s="318">
        <f t="shared" si="1233"/>
        <v>46123.5625</v>
      </c>
      <c r="S1271" s="318">
        <f t="shared" si="8"/>
        <v>46123.65625</v>
      </c>
    </row>
    <row r="1272">
      <c r="A1272" s="14" t="str">
        <f t="shared" si="1"/>
        <v>C134846123</v>
      </c>
      <c r="B1272" s="185" t="str">
        <f t="array" ref="B1272">IF(F1272="VL","",IF(F1272="Free","Free",XLOOKUP(D1272,Roster!T:T,Roster!S:S,"",0)))</f>
        <v>Free</v>
      </c>
      <c r="C1272" s="313">
        <v>46123.0</v>
      </c>
      <c r="D1272" s="314" t="s">
        <v>15</v>
      </c>
      <c r="E1272" s="307" t="str">
        <f t="array" ref="E1272">(XLOOKUP(D1272,Roster!F:F,Roster!B:B,"",0))</f>
        <v>Angelo Zapata</v>
      </c>
      <c r="F1272" s="315" t="str">
        <f t="array" ref="F1272">IF(B1272=100,"Free",TEXT(XLOOKUP($D1272,OperationVoice!$A:$A,OperationVoice!Q:Q,XLOOKUP($D1272,OperationTickets!$A:$A,OperationTickets!Q:Q,"",0)),"hh:mm"))</f>
        <v>Free</v>
      </c>
      <c r="G1272" s="309" t="str">
        <f t="shared" si="3"/>
        <v>Free</v>
      </c>
      <c r="H1272" s="316" t="str">
        <f t="array" ref="H1272">XLOOKUP(B1272,Roster!L:L,Roster!N:N,XLOOKUP(D1272,TicketsBreak!A:A,TicketsBreak!E:E,"",0),0)</f>
        <v/>
      </c>
      <c r="I1272" s="316" t="str">
        <f t="array" ref="I1272">XLOOKUP(B1272,Roster!L:L,Roster!O:O,XLOOKUP(D1272,TicketsBreak!A:A,TicketsBreak!F:F,"",0),0)</f>
        <v/>
      </c>
      <c r="J1272" s="316" t="str">
        <f t="array" ref="J1272">XLOOKUP(B1272,Roster!L:L,Roster!P:P,XLOOKUP(D1272,TicketsBreak!A:A,TicketsBreak!G:G,"",0),0)</f>
        <v/>
      </c>
      <c r="K1272" s="310">
        <f t="shared" si="4"/>
        <v>46123</v>
      </c>
      <c r="L1272" s="317">
        <f t="array" ref="L1272">(XLOOKUP(D1272,Roster!F:F,Roster!D:D,"",0))</f>
        <v>30</v>
      </c>
      <c r="M1272" s="317" t="str">
        <f t="array" ref="M1272">XLOOKUP(D1272,Roster!F:F,Roster!E:E)</f>
        <v>Voice</v>
      </c>
      <c r="N1272" s="317" t="str">
        <f t="shared" ref="N1272:P1272" si="1293">LEFT(H1272,5)</f>
        <v/>
      </c>
      <c r="O1272" s="317" t="str">
        <f t="shared" si="1293"/>
        <v/>
      </c>
      <c r="P1272" s="317" t="str">
        <f t="shared" si="1293"/>
        <v/>
      </c>
      <c r="Q1272" s="318" t="str">
        <f t="shared" si="1232"/>
        <v/>
      </c>
      <c r="R1272" s="318" t="str">
        <f t="shared" si="1233"/>
        <v/>
      </c>
      <c r="S1272" s="318" t="str">
        <f t="shared" si="8"/>
        <v/>
      </c>
    </row>
    <row r="1273">
      <c r="A1273" s="14" t="str">
        <f t="shared" si="1"/>
        <v>C116746123</v>
      </c>
      <c r="B1273" s="185" t="str">
        <f t="array" ref="B1273">IF(F1273="VL","",IF(F1273="Free","Free",XLOOKUP(D1273,Roster!T:T,Roster!S:S,"",0)))</f>
        <v>Free</v>
      </c>
      <c r="C1273" s="313">
        <v>46123.0</v>
      </c>
      <c r="D1273" s="314" t="s">
        <v>172</v>
      </c>
      <c r="E1273" s="307" t="str">
        <f t="array" ref="E1273">(XLOOKUP(D1273,Roster!F:F,Roster!B:B,"",0))</f>
        <v>Angie Rua</v>
      </c>
      <c r="F1273" s="315" t="str">
        <f t="array" ref="F1273">IF(B1273=100,"Free",TEXT(XLOOKUP($D1273,OperationVoice!$A:$A,OperationVoice!Q:Q,XLOOKUP($D1273,OperationTickets!$A:$A,OperationTickets!Q:Q,"",0)),"hh:mm"))</f>
        <v>Free</v>
      </c>
      <c r="G1273" s="309" t="str">
        <f t="shared" si="3"/>
        <v>Free</v>
      </c>
      <c r="H1273" s="316" t="str">
        <f t="array" ref="H1273">XLOOKUP(B1273,Roster!L:L,Roster!N:N,XLOOKUP(D1273,TicketsBreak!A:A,TicketsBreak!E:E,"",0),0)</f>
        <v/>
      </c>
      <c r="I1273" s="316" t="str">
        <f t="array" ref="I1273">XLOOKUP(B1273,Roster!L:L,Roster!O:O,XLOOKUP(D1273,TicketsBreak!A:A,TicketsBreak!F:F,"",0),0)</f>
        <v/>
      </c>
      <c r="J1273" s="316" t="str">
        <f t="array" ref="J1273">XLOOKUP(B1273,Roster!L:L,Roster!P:P,XLOOKUP(D1273,TicketsBreak!A:A,TicketsBreak!G:G,"",0),0)</f>
        <v/>
      </c>
      <c r="K1273" s="310">
        <f t="shared" si="4"/>
        <v>46123</v>
      </c>
      <c r="L1273" s="317">
        <f t="array" ref="L1273">(XLOOKUP(D1273,Roster!F:F,Roster!D:D,"",0))</f>
        <v>24</v>
      </c>
      <c r="M1273" s="317" t="str">
        <f t="array" ref="M1273">XLOOKUP(D1273,Roster!F:F,Roster!E:E)</f>
        <v>Tickets</v>
      </c>
      <c r="N1273" s="317" t="str">
        <f t="shared" ref="N1273:P1273" si="1294">LEFT(H1273,5)</f>
        <v/>
      </c>
      <c r="O1273" s="317" t="str">
        <f t="shared" si="1294"/>
        <v/>
      </c>
      <c r="P1273" s="317" t="str">
        <f t="shared" si="1294"/>
        <v/>
      </c>
      <c r="Q1273" s="318" t="str">
        <f t="shared" si="1232"/>
        <v/>
      </c>
      <c r="R1273" s="318" t="str">
        <f t="shared" si="1233"/>
        <v/>
      </c>
      <c r="S1273" s="318" t="str">
        <f t="shared" si="8"/>
        <v/>
      </c>
    </row>
    <row r="1274">
      <c r="A1274" s="14" t="str">
        <f t="shared" si="1"/>
        <v>C157946123</v>
      </c>
      <c r="B1274" s="185" t="str">
        <f t="array" ref="B1274">IF(F1274="VL","",IF(F1274="Free","Free",XLOOKUP(D1274,Roster!T:T,Roster!S:S,"",0)))</f>
        <v>Free</v>
      </c>
      <c r="C1274" s="313">
        <v>46123.0</v>
      </c>
      <c r="D1274" s="314" t="s">
        <v>16</v>
      </c>
      <c r="E1274" s="307" t="str">
        <f t="array" ref="E1274">(XLOOKUP(D1274,Roster!F:F,Roster!B:B,"",0))</f>
        <v>Anibal Munoz</v>
      </c>
      <c r="F1274" s="315" t="str">
        <f t="array" ref="F1274">IF(B1274=100,"Free",TEXT(XLOOKUP($D1274,OperationVoice!$A:$A,OperationVoice!Q:Q,XLOOKUP($D1274,OperationTickets!$A:$A,OperationTickets!Q:Q,"",0)),"hh:mm"))</f>
        <v>Free</v>
      </c>
      <c r="G1274" s="309" t="str">
        <f t="shared" si="3"/>
        <v>Free</v>
      </c>
      <c r="H1274" s="316" t="str">
        <f t="array" ref="H1274">XLOOKUP(B1274,Roster!L:L,Roster!N:N,XLOOKUP(D1274,TicketsBreak!A:A,TicketsBreak!E:E,"",0),0)</f>
        <v/>
      </c>
      <c r="I1274" s="316" t="str">
        <f t="array" ref="I1274">XLOOKUP(B1274,Roster!L:L,Roster!O:O,XLOOKUP(D1274,TicketsBreak!A:A,TicketsBreak!F:F,"",0),0)</f>
        <v/>
      </c>
      <c r="J1274" s="316" t="str">
        <f t="array" ref="J1274">XLOOKUP(B1274,Roster!L:L,Roster!P:P,XLOOKUP(D1274,TicketsBreak!A:A,TicketsBreak!G:G,"",0),0)</f>
        <v/>
      </c>
      <c r="K1274" s="310">
        <f t="shared" si="4"/>
        <v>46123</v>
      </c>
      <c r="L1274" s="317">
        <f t="array" ref="L1274">(XLOOKUP(D1274,Roster!F:F,Roster!D:D,"",0))</f>
        <v>38</v>
      </c>
      <c r="M1274" s="317" t="str">
        <f t="array" ref="M1274">XLOOKUP(D1274,Roster!F:F,Roster!E:E)</f>
        <v>Voice</v>
      </c>
      <c r="N1274" s="317" t="str">
        <f t="shared" ref="N1274:P1274" si="1295">LEFT(H1274,5)</f>
        <v/>
      </c>
      <c r="O1274" s="317" t="str">
        <f t="shared" si="1295"/>
        <v/>
      </c>
      <c r="P1274" s="317" t="str">
        <f t="shared" si="1295"/>
        <v/>
      </c>
      <c r="Q1274" s="318" t="str">
        <f t="shared" si="1232"/>
        <v/>
      </c>
      <c r="R1274" s="318" t="str">
        <f t="shared" si="1233"/>
        <v/>
      </c>
      <c r="S1274" s="318" t="str">
        <f t="shared" si="8"/>
        <v/>
      </c>
    </row>
    <row r="1275">
      <c r="A1275" s="14" t="str">
        <f t="shared" si="1"/>
        <v>C08046123</v>
      </c>
      <c r="B1275" s="185" t="str">
        <f t="array" ref="B1275">IF(F1275="VL","",IF(F1275="Free","Free",XLOOKUP(D1275,Roster!T:T,Roster!S:S,"",0)))</f>
        <v>Free</v>
      </c>
      <c r="C1275" s="313">
        <v>46123.0</v>
      </c>
      <c r="D1275" s="314" t="s">
        <v>138</v>
      </c>
      <c r="E1275" s="307" t="str">
        <f t="array" ref="E1275">(XLOOKUP(D1275,Roster!F:F,Roster!B:B,"",0))</f>
        <v>Arturo Padilla</v>
      </c>
      <c r="F1275" s="315" t="str">
        <f t="array" ref="F1275">IF(B1275=100,"Free",TEXT(XLOOKUP($D1275,OperationVoice!$A:$A,OperationVoice!Q:Q,XLOOKUP($D1275,OperationTickets!$A:$A,OperationTickets!Q:Q,"",0)),"hh:mm"))</f>
        <v>Free</v>
      </c>
      <c r="G1275" s="309" t="str">
        <f t="shared" si="3"/>
        <v>Free</v>
      </c>
      <c r="H1275" s="316">
        <f t="array" ref="H1275">XLOOKUP(B1275,Roster!L:L,Roster!N:N,XLOOKUP(D1275,TicketsBreak!A:A,TicketsBreak!E:E,"",0),0)</f>
        <v>0.375</v>
      </c>
      <c r="I1275" s="316">
        <f t="array" ref="I1275">XLOOKUP(B1275,Roster!L:L,Roster!O:O,XLOOKUP(D1275,TicketsBreak!A:A,TicketsBreak!F:F,"",0),0)</f>
        <v>0.5</v>
      </c>
      <c r="J1275" s="316">
        <f t="array" ref="J1275">XLOOKUP(B1275,Roster!L:L,Roster!P:P,XLOOKUP(D1275,TicketsBreak!A:A,TicketsBreak!G:G,"",0),0)</f>
        <v>0.6458333333</v>
      </c>
      <c r="K1275" s="310">
        <f t="shared" si="4"/>
        <v>46123</v>
      </c>
      <c r="L1275" s="317">
        <f t="array" ref="L1275">(XLOOKUP(D1275,Roster!F:F,Roster!D:D,"",0))</f>
        <v>1</v>
      </c>
      <c r="M1275" s="317" t="str">
        <f t="array" ref="M1275">XLOOKUP(D1275,Roster!F:F,Roster!E:E)</f>
        <v>Tickets</v>
      </c>
      <c r="N1275" s="317" t="str">
        <f t="shared" ref="N1275:P1275" si="1296">LEFT(H1275,5)</f>
        <v>09:00</v>
      </c>
      <c r="O1275" s="317" t="str">
        <f t="shared" si="1296"/>
        <v>12:00</v>
      </c>
      <c r="P1275" s="317" t="str">
        <f t="shared" si="1296"/>
        <v>15:30</v>
      </c>
      <c r="Q1275" s="318">
        <f t="shared" si="1232"/>
        <v>46123.375</v>
      </c>
      <c r="R1275" s="318">
        <f t="shared" si="1233"/>
        <v>46123.5</v>
      </c>
      <c r="S1275" s="318">
        <f t="shared" si="8"/>
        <v>46123.64583</v>
      </c>
    </row>
    <row r="1276">
      <c r="A1276" s="14" t="str">
        <f t="shared" si="1"/>
        <v>C150446123</v>
      </c>
      <c r="B1276" s="185">
        <f t="array" ref="B1276">IF(F1276="VL","",IF(F1276="Free","Free",XLOOKUP(D1276,Roster!T:T,Roster!S:S,"",0)))</f>
        <v>123</v>
      </c>
      <c r="C1276" s="313">
        <v>46123.0</v>
      </c>
      <c r="D1276" s="314" t="s">
        <v>155</v>
      </c>
      <c r="E1276" s="307" t="str">
        <f t="array" ref="E1276">(XLOOKUP(D1276,Roster!F:F,Roster!B:B,"",0))</f>
        <v>Beatriz Montanez</v>
      </c>
      <c r="F1276" s="315" t="str">
        <f t="array" ref="F1276">IF(B1276=100,"Free",TEXT(XLOOKUP($D1276,OperationVoice!$A:$A,OperationVoice!Q:Q,XLOOKUP($D1276,OperationTickets!$A:$A,OperationTickets!Q:Q,"",0)),"hh:mm"))</f>
        <v>08:00</v>
      </c>
      <c r="G1276" s="309">
        <f t="shared" si="3"/>
        <v>0.7083333333</v>
      </c>
      <c r="H1276" s="316" t="str">
        <f t="array" ref="H1276">XLOOKUP(B1276,Roster!L:L,Roster!N:N,XLOOKUP(D1276,TicketsBreak!A:A,TicketsBreak!E:E,"",0),0)</f>
        <v>09:45 - 10:00 </v>
      </c>
      <c r="I1276" s="316" t="str">
        <f t="array" ref="I1276">XLOOKUP(B1276,Roster!L:L,Roster!O:O,XLOOKUP(D1276,TicketsBreak!A:A,TicketsBreak!F:F,"",0),0)</f>
        <v>12:30 - 13:00</v>
      </c>
      <c r="J1276" s="316" t="str">
        <f t="array" ref="J1276">XLOOKUP(B1276,Roster!L:L,Roster!P:P,XLOOKUP(D1276,TicketsBreak!A:A,TicketsBreak!G:G,"",0),0)</f>
        <v>15:00 - 15:15</v>
      </c>
      <c r="K1276" s="310">
        <f t="shared" si="4"/>
        <v>46123</v>
      </c>
      <c r="L1276" s="317">
        <f t="array" ref="L1276">(XLOOKUP(D1276,Roster!F:F,Roster!D:D,"",0))</f>
        <v>35</v>
      </c>
      <c r="M1276" s="317" t="str">
        <f t="array" ref="M1276">XLOOKUP(D1276,Roster!F:F,Roster!E:E)</f>
        <v>Tickets</v>
      </c>
      <c r="N1276" s="317" t="str">
        <f t="shared" ref="N1276:P1276" si="1297">LEFT(H1276,5)</f>
        <v>09:45</v>
      </c>
      <c r="O1276" s="317" t="str">
        <f t="shared" si="1297"/>
        <v>12:30</v>
      </c>
      <c r="P1276" s="317" t="str">
        <f t="shared" si="1297"/>
        <v>15:00</v>
      </c>
      <c r="Q1276" s="318">
        <f t="shared" si="1232"/>
        <v>46123.40625</v>
      </c>
      <c r="R1276" s="318">
        <f t="shared" si="1233"/>
        <v>46123.52083</v>
      </c>
      <c r="S1276" s="318">
        <f t="shared" si="8"/>
        <v>46123.625</v>
      </c>
    </row>
    <row r="1277">
      <c r="A1277" s="14" t="str">
        <f t="shared" si="1"/>
        <v>C107746123</v>
      </c>
      <c r="B1277" s="185" t="str">
        <f t="array" ref="B1277">IF(F1277="VL","",IF(F1277="Free","Free",XLOOKUP(D1277,Roster!T:T,Roster!S:S,"",0)))</f>
        <v>Free</v>
      </c>
      <c r="C1277" s="313">
        <v>46123.0</v>
      </c>
      <c r="D1277" s="314" t="s">
        <v>17</v>
      </c>
      <c r="E1277" s="307" t="str">
        <f t="array" ref="E1277">(XLOOKUP(D1277,Roster!F:F,Roster!B:B,"",0))</f>
        <v>Brahian Prado</v>
      </c>
      <c r="F1277" s="315" t="str">
        <f t="array" ref="F1277">IF(B1277=100,"Free",TEXT(XLOOKUP($D1277,OperationVoice!$A:$A,OperationVoice!Q:Q,XLOOKUP($D1277,OperationTickets!$A:$A,OperationTickets!Q:Q,"",0)),"hh:mm"))</f>
        <v>Free</v>
      </c>
      <c r="G1277" s="309" t="str">
        <f t="shared" si="3"/>
        <v>Free</v>
      </c>
      <c r="H1277" s="316" t="str">
        <f t="array" ref="H1277">XLOOKUP(B1277,Roster!L:L,Roster!N:N,XLOOKUP(D1277,TicketsBreak!A:A,TicketsBreak!E:E,"",0),0)</f>
        <v/>
      </c>
      <c r="I1277" s="316" t="str">
        <f t="array" ref="I1277">XLOOKUP(B1277,Roster!L:L,Roster!O:O,XLOOKUP(D1277,TicketsBreak!A:A,TicketsBreak!F:F,"",0),0)</f>
        <v/>
      </c>
      <c r="J1277" s="316" t="str">
        <f t="array" ref="J1277">XLOOKUP(B1277,Roster!L:L,Roster!P:P,XLOOKUP(D1277,TicketsBreak!A:A,TicketsBreak!G:G,"",0),0)</f>
        <v/>
      </c>
      <c r="K1277" s="310">
        <f t="shared" si="4"/>
        <v>46123</v>
      </c>
      <c r="L1277" s="317">
        <f t="array" ref="L1277">(XLOOKUP(D1277,Roster!F:F,Roster!D:D,"",0))</f>
        <v>18</v>
      </c>
      <c r="M1277" s="317" t="str">
        <f t="array" ref="M1277">XLOOKUP(D1277,Roster!F:F,Roster!E:E)</f>
        <v>Voice</v>
      </c>
      <c r="N1277" s="317" t="str">
        <f t="shared" ref="N1277:P1277" si="1298">LEFT(H1277,5)</f>
        <v/>
      </c>
      <c r="O1277" s="317" t="str">
        <f t="shared" si="1298"/>
        <v/>
      </c>
      <c r="P1277" s="317" t="str">
        <f t="shared" si="1298"/>
        <v/>
      </c>
      <c r="Q1277" s="318" t="str">
        <f t="shared" si="1232"/>
        <v/>
      </c>
      <c r="R1277" s="318" t="str">
        <f t="shared" si="1233"/>
        <v/>
      </c>
      <c r="S1277" s="318" t="str">
        <f t="shared" si="8"/>
        <v/>
      </c>
    </row>
    <row r="1278">
      <c r="A1278" s="14" t="str">
        <f t="shared" si="1"/>
        <v>C116546123</v>
      </c>
      <c r="B1278" s="185" t="str">
        <f t="array" ref="B1278">IF(F1278="VL","",IF(F1278="Free","Free",XLOOKUP(D1278,Roster!T:T,Roster!S:S,"",0)))</f>
        <v/>
      </c>
      <c r="C1278" s="313">
        <v>46123.0</v>
      </c>
      <c r="D1278" s="314" t="s">
        <v>139</v>
      </c>
      <c r="E1278" s="307" t="str">
        <f t="array" ref="E1278">(XLOOKUP(D1278,Roster!F:F,Roster!B:B,"",0))</f>
        <v>Braian Restrepo</v>
      </c>
      <c r="F1278" s="315" t="str">
        <f t="array" ref="F1278">IF(B1278=100,"Free",TEXT(XLOOKUP($D1278,OperationVoice!$A:$A,OperationVoice!Q:Q,XLOOKUP($D1278,OperationTickets!$A:$A,OperationTickets!Q:Q,"",0)),"hh:mm"))</f>
        <v>08:00</v>
      </c>
      <c r="G1278" s="309">
        <f t="shared" si="3"/>
        <v>0.7083333333</v>
      </c>
      <c r="H1278" s="316" t="str">
        <f t="array" ref="H1278">XLOOKUP(B1278,Roster!L:L,Roster!N:N,XLOOKUP(D1278,TicketsBreak!A:A,TicketsBreak!E:E,"",0),0)</f>
        <v/>
      </c>
      <c r="I1278" s="316" t="str">
        <f t="array" ref="I1278">XLOOKUP(B1278,Roster!L:L,Roster!O:O,XLOOKUP(D1278,TicketsBreak!A:A,TicketsBreak!F:F,"",0),0)</f>
        <v/>
      </c>
      <c r="J1278" s="316" t="str">
        <f t="array" ref="J1278">XLOOKUP(B1278,Roster!L:L,Roster!P:P,XLOOKUP(D1278,TicketsBreak!A:A,TicketsBreak!G:G,"",0),0)</f>
        <v/>
      </c>
      <c r="K1278" s="310">
        <f t="shared" si="4"/>
        <v>46123</v>
      </c>
      <c r="L1278" s="317">
        <f t="array" ref="L1278">(XLOOKUP(D1278,Roster!F:F,Roster!D:D,"",0))</f>
        <v>24</v>
      </c>
      <c r="M1278" s="317" t="str">
        <f t="array" ref="M1278">XLOOKUP(D1278,Roster!F:F,Roster!E:E)</f>
        <v>Tickets</v>
      </c>
      <c r="N1278" s="317" t="str">
        <f t="shared" ref="N1278:P1278" si="1299">LEFT(H1278,5)</f>
        <v/>
      </c>
      <c r="O1278" s="317" t="str">
        <f t="shared" si="1299"/>
        <v/>
      </c>
      <c r="P1278" s="317" t="str">
        <f t="shared" si="1299"/>
        <v/>
      </c>
      <c r="Q1278" s="318" t="str">
        <f t="shared" si="1232"/>
        <v/>
      </c>
      <c r="R1278" s="318" t="str">
        <f t="shared" si="1233"/>
        <v/>
      </c>
      <c r="S1278" s="318" t="str">
        <f t="shared" si="8"/>
        <v/>
      </c>
    </row>
    <row r="1279">
      <c r="A1279" s="14" t="str">
        <f t="shared" si="1"/>
        <v>C127446123</v>
      </c>
      <c r="B1279" s="185">
        <f t="array" ref="B1279">IF(F1279="VL","",IF(F1279="Free","Free",XLOOKUP(D1279,Roster!T:T,Roster!S:S,"",0)))</f>
        <v>126</v>
      </c>
      <c r="C1279" s="313">
        <v>46123.0</v>
      </c>
      <c r="D1279" s="314" t="s">
        <v>250</v>
      </c>
      <c r="E1279" s="307" t="str">
        <f t="array" ref="E1279">(XLOOKUP(D1279,Roster!F:F,Roster!B:B,"",0))</f>
        <v>Brayan Franco</v>
      </c>
      <c r="F1279" s="315" t="str">
        <f t="array" ref="F1279">IF(B1279=100,"Free",TEXT(XLOOKUP($D1279,OperationVoice!$A:$A,OperationVoice!Q:Q,XLOOKUP($D1279,OperationTickets!$A:$A,OperationTickets!Q:Q,"",0)),"hh:mm"))</f>
        <v/>
      </c>
      <c r="G1279" s="309" t="str">
        <f t="shared" si="3"/>
        <v/>
      </c>
      <c r="H1279" s="316" t="str">
        <f t="array" ref="H1279">XLOOKUP(B1279,Roster!L:L,Roster!N:N,XLOOKUP(D1279,TicketsBreak!A:A,TicketsBreak!E:E,"",0),0)</f>
        <v>10:45 - 11:00</v>
      </c>
      <c r="I1279" s="316" t="str">
        <f t="array" ref="I1279">XLOOKUP(B1279,Roster!L:L,Roster!O:O,XLOOKUP(D1279,TicketsBreak!A:A,TicketsBreak!F:F,"",0),0)</f>
        <v>14:00 - 14:30</v>
      </c>
      <c r="J1279" s="316" t="str">
        <f t="array" ref="J1279">XLOOKUP(B1279,Roster!L:L,Roster!P:P,XLOOKUP(D1279,TicketsBreak!A:A,TicketsBreak!G:G,"",0),0)</f>
        <v>15:45 - 16:00</v>
      </c>
      <c r="K1279" s="310">
        <f t="shared" si="4"/>
        <v>46123</v>
      </c>
      <c r="L1279" s="317">
        <f t="array" ref="L1279">(XLOOKUP(D1279,Roster!F:F,Roster!D:D,"",0))</f>
        <v>27</v>
      </c>
      <c r="M1279" s="317" t="str">
        <f t="array" ref="M1279">XLOOKUP(D1279,Roster!F:F,Roster!E:E)</f>
        <v>Voice</v>
      </c>
      <c r="N1279" s="317" t="str">
        <f t="shared" ref="N1279:P1279" si="1300">LEFT(H1279,5)</f>
        <v>10:45</v>
      </c>
      <c r="O1279" s="317" t="str">
        <f t="shared" si="1300"/>
        <v>14:00</v>
      </c>
      <c r="P1279" s="317" t="str">
        <f t="shared" si="1300"/>
        <v>15:45</v>
      </c>
      <c r="Q1279" s="318">
        <f t="shared" si="1232"/>
        <v>46123.44792</v>
      </c>
      <c r="R1279" s="318">
        <f t="shared" si="1233"/>
        <v>46123.58333</v>
      </c>
      <c r="S1279" s="318">
        <f t="shared" si="8"/>
        <v>46123.65625</v>
      </c>
    </row>
    <row r="1280">
      <c r="A1280" s="14" t="str">
        <f t="shared" si="1"/>
        <v>C119146123</v>
      </c>
      <c r="B1280" s="185" t="str">
        <f t="array" ref="B1280">IF(F1280="VL","",IF(F1280="Free","Free",XLOOKUP(D1280,Roster!T:T,Roster!S:S,"",0)))</f>
        <v>Free</v>
      </c>
      <c r="C1280" s="313">
        <v>46123.0</v>
      </c>
      <c r="D1280" s="314" t="s">
        <v>18</v>
      </c>
      <c r="E1280" s="307" t="str">
        <f t="array" ref="E1280">(XLOOKUP(D1280,Roster!F:F,Roster!B:B,"",0))</f>
        <v>Brayan Montoya</v>
      </c>
      <c r="F1280" s="315" t="str">
        <f t="array" ref="F1280">IF(B1280=100,"Free",TEXT(XLOOKUP($D1280,OperationVoice!$A:$A,OperationVoice!Q:Q,XLOOKUP($D1280,OperationTickets!$A:$A,OperationTickets!Q:Q,"",0)),"hh:mm"))</f>
        <v>Free</v>
      </c>
      <c r="G1280" s="309" t="str">
        <f t="shared" si="3"/>
        <v>Free</v>
      </c>
      <c r="H1280" s="316" t="str">
        <f t="array" ref="H1280">XLOOKUP(B1280,Roster!L:L,Roster!N:N,XLOOKUP(D1280,TicketsBreak!A:A,TicketsBreak!E:E,"",0),0)</f>
        <v/>
      </c>
      <c r="I1280" s="316" t="str">
        <f t="array" ref="I1280">XLOOKUP(B1280,Roster!L:L,Roster!O:O,XLOOKUP(D1280,TicketsBreak!A:A,TicketsBreak!F:F,"",0),0)</f>
        <v/>
      </c>
      <c r="J1280" s="316" t="str">
        <f t="array" ref="J1280">XLOOKUP(B1280,Roster!L:L,Roster!P:P,XLOOKUP(D1280,TicketsBreak!A:A,TicketsBreak!G:G,"",0),0)</f>
        <v/>
      </c>
      <c r="K1280" s="310">
        <f t="shared" si="4"/>
        <v>46123</v>
      </c>
      <c r="L1280" s="317">
        <f t="array" ref="L1280">(XLOOKUP(D1280,Roster!F:F,Roster!D:D,"",0))</f>
        <v>25</v>
      </c>
      <c r="M1280" s="317" t="str">
        <f t="array" ref="M1280">XLOOKUP(D1280,Roster!F:F,Roster!E:E)</f>
        <v>Voice</v>
      </c>
      <c r="N1280" s="317" t="str">
        <f t="shared" ref="N1280:P1280" si="1301">LEFT(H1280,5)</f>
        <v/>
      </c>
      <c r="O1280" s="317" t="str">
        <f t="shared" si="1301"/>
        <v/>
      </c>
      <c r="P1280" s="317" t="str">
        <f t="shared" si="1301"/>
        <v/>
      </c>
      <c r="Q1280" s="318" t="str">
        <f t="shared" si="1232"/>
        <v/>
      </c>
      <c r="R1280" s="318" t="str">
        <f t="shared" si="1233"/>
        <v/>
      </c>
      <c r="S1280" s="318" t="str">
        <f t="shared" si="8"/>
        <v/>
      </c>
    </row>
    <row r="1281">
      <c r="A1281" s="14" t="str">
        <f t="shared" si="1"/>
        <v>C152646123</v>
      </c>
      <c r="B1281" s="185">
        <f t="array" ref="B1281">IF(F1281="VL","",IF(F1281="Free","Free",XLOOKUP(D1281,Roster!T:T,Roster!S:S,"",0)))</f>
        <v>121</v>
      </c>
      <c r="C1281" s="313">
        <v>46123.0</v>
      </c>
      <c r="D1281" s="314" t="s">
        <v>19</v>
      </c>
      <c r="E1281" s="307" t="str">
        <f t="array" ref="E1281">(XLOOKUP(D1281,Roster!F:F,Roster!B:B,"",0))</f>
        <v>Breitner Benitez</v>
      </c>
      <c r="F1281" s="315" t="str">
        <f t="array" ref="F1281">IF(B1281=100,"Free",TEXT(XLOOKUP($D1281,OperationVoice!$A:$A,OperationVoice!Q:Q,XLOOKUP($D1281,OperationTickets!$A:$A,OperationTickets!Q:Q,"",0)),"hh:mm"))</f>
        <v>08:00</v>
      </c>
      <c r="G1281" s="309">
        <f t="shared" si="3"/>
        <v>0.7083333333</v>
      </c>
      <c r="H1281" s="316" t="str">
        <f t="array" ref="H1281">XLOOKUP(B1281,Roster!L:L,Roster!N:N,XLOOKUP(D1281,TicketsBreak!A:A,TicketsBreak!E:E,"",0),0)</f>
        <v>09:15 - 09:30</v>
      </c>
      <c r="I1281" s="316" t="str">
        <f t="array" ref="I1281">XLOOKUP(B1281,Roster!L:L,Roster!O:O,XLOOKUP(D1281,TicketsBreak!A:A,TicketsBreak!F:F,"",0),0)</f>
        <v>11:30 - 12:00</v>
      </c>
      <c r="J1281" s="316" t="str">
        <f t="array" ref="J1281">XLOOKUP(B1281,Roster!L:L,Roster!P:P,XLOOKUP(D1281,TicketsBreak!A:A,TicketsBreak!G:G,"",0),0)</f>
        <v>14:30 - 14:45</v>
      </c>
      <c r="K1281" s="310">
        <f t="shared" si="4"/>
        <v>46123</v>
      </c>
      <c r="L1281" s="317">
        <f t="array" ref="L1281">(XLOOKUP(D1281,Roster!F:F,Roster!D:D,"",0))</f>
        <v>13</v>
      </c>
      <c r="M1281" s="317" t="str">
        <f t="array" ref="M1281">XLOOKUP(D1281,Roster!F:F,Roster!E:E)</f>
        <v>Voice</v>
      </c>
      <c r="N1281" s="317" t="str">
        <f t="shared" ref="N1281:P1281" si="1302">LEFT(H1281,5)</f>
        <v>09:15</v>
      </c>
      <c r="O1281" s="317" t="str">
        <f t="shared" si="1302"/>
        <v>11:30</v>
      </c>
      <c r="P1281" s="317" t="str">
        <f t="shared" si="1302"/>
        <v>14:30</v>
      </c>
      <c r="Q1281" s="318">
        <f t="shared" si="1232"/>
        <v>46123.38542</v>
      </c>
      <c r="R1281" s="318">
        <f t="shared" si="1233"/>
        <v>46123.47917</v>
      </c>
      <c r="S1281" s="318">
        <f t="shared" si="8"/>
        <v>46123.60417</v>
      </c>
    </row>
    <row r="1282">
      <c r="A1282" s="14" t="str">
        <f t="shared" si="1"/>
        <v>C153546123</v>
      </c>
      <c r="B1282" s="185">
        <f t="array" ref="B1282">IF(F1282="VL","",IF(F1282="Free","Free",XLOOKUP(D1282,Roster!T:T,Roster!S:S,"",0)))</f>
        <v>154</v>
      </c>
      <c r="C1282" s="313">
        <v>46123.0</v>
      </c>
      <c r="D1282" s="314" t="s">
        <v>20</v>
      </c>
      <c r="E1282" s="307" t="str">
        <f t="array" ref="E1282">(XLOOKUP(D1282,Roster!F:F,Roster!B:B,"",0))</f>
        <v>Carlos Alzate</v>
      </c>
      <c r="F1282" s="315" t="str">
        <f t="array" ref="F1282">IF(B1282=100,"Free",TEXT(XLOOKUP($D1282,OperationVoice!$A:$A,OperationVoice!Q:Q,XLOOKUP($D1282,OperationTickets!$A:$A,OperationTickets!Q:Q,"",0)),"hh:mm"))</f>
        <v>11:00</v>
      </c>
      <c r="G1282" s="309">
        <f t="shared" si="3"/>
        <v>0.8333333333</v>
      </c>
      <c r="H1282" s="316" t="str">
        <f t="array" ref="H1282">XLOOKUP(B1282,Roster!L:L,Roster!N:N,XLOOKUP(D1282,TicketsBreak!A:A,TicketsBreak!E:E,"",0),0)</f>
        <v>13:00 - 13:15</v>
      </c>
      <c r="I1282" s="316" t="str">
        <f t="array" ref="I1282">XLOOKUP(B1282,Roster!L:L,Roster!O:O,XLOOKUP(D1282,TicketsBreak!A:A,TicketsBreak!F:F,"",0),0)</f>
        <v>15:15 - 15:45</v>
      </c>
      <c r="J1282" s="316" t="str">
        <f t="array" ref="J1282">XLOOKUP(B1282,Roster!L:L,Roster!P:P,XLOOKUP(D1282,TicketsBreak!A:A,TicketsBreak!G:G,"",0),0)</f>
        <v>18:00 - 18:15</v>
      </c>
      <c r="K1282" s="310">
        <f t="shared" si="4"/>
        <v>46123</v>
      </c>
      <c r="L1282" s="317">
        <f t="array" ref="L1282">(XLOOKUP(D1282,Roster!F:F,Roster!D:D,"",0))</f>
        <v>36</v>
      </c>
      <c r="M1282" s="317" t="str">
        <f t="array" ref="M1282">XLOOKUP(D1282,Roster!F:F,Roster!E:E)</f>
        <v>Voice</v>
      </c>
      <c r="N1282" s="317" t="str">
        <f t="shared" ref="N1282:P1282" si="1303">LEFT(H1282,5)</f>
        <v>13:00</v>
      </c>
      <c r="O1282" s="317" t="str">
        <f t="shared" si="1303"/>
        <v>15:15</v>
      </c>
      <c r="P1282" s="317" t="str">
        <f t="shared" si="1303"/>
        <v>18:00</v>
      </c>
      <c r="Q1282" s="318">
        <f t="shared" si="1232"/>
        <v>46123.54167</v>
      </c>
      <c r="R1282" s="318">
        <f t="shared" si="1233"/>
        <v>46123.63542</v>
      </c>
      <c r="S1282" s="318">
        <f t="shared" si="8"/>
        <v>46123.75</v>
      </c>
    </row>
    <row r="1283">
      <c r="A1283" s="14" t="str">
        <f t="shared" si="1"/>
        <v>C153146123</v>
      </c>
      <c r="B1283" s="185">
        <f t="array" ref="B1283">IF(F1283="VL","",IF(F1283="Free","Free",XLOOKUP(D1283,Roster!T:T,Roster!S:S,"",0)))</f>
        <v>123</v>
      </c>
      <c r="C1283" s="313">
        <v>46123.0</v>
      </c>
      <c r="D1283" s="314" t="s">
        <v>21</v>
      </c>
      <c r="E1283" s="307" t="str">
        <f t="array" ref="E1283">(XLOOKUP(D1283,Roster!F:F,Roster!B:B,"",0))</f>
        <v>Carlos Palma</v>
      </c>
      <c r="F1283" s="315" t="str">
        <f t="array" ref="F1283">IF(B1283=100,"Free",TEXT(XLOOKUP($D1283,OperationVoice!$A:$A,OperationVoice!Q:Q,XLOOKUP($D1283,OperationTickets!$A:$A,OperationTickets!Q:Q,"",0)),"hh:mm"))</f>
        <v>08:00</v>
      </c>
      <c r="G1283" s="309">
        <f t="shared" si="3"/>
        <v>0.7083333333</v>
      </c>
      <c r="H1283" s="316" t="str">
        <f t="array" ref="H1283">XLOOKUP(B1283,Roster!L:L,Roster!N:N,XLOOKUP(D1283,TicketsBreak!A:A,TicketsBreak!E:E,"",0),0)</f>
        <v>09:45 - 10:00 </v>
      </c>
      <c r="I1283" s="316" t="str">
        <f t="array" ref="I1283">XLOOKUP(B1283,Roster!L:L,Roster!O:O,XLOOKUP(D1283,TicketsBreak!A:A,TicketsBreak!F:F,"",0),0)</f>
        <v>12:30 - 13:00</v>
      </c>
      <c r="J1283" s="316" t="str">
        <f t="array" ref="J1283">XLOOKUP(B1283,Roster!L:L,Roster!P:P,XLOOKUP(D1283,TicketsBreak!A:A,TicketsBreak!G:G,"",0),0)</f>
        <v>15:00 - 15:15</v>
      </c>
      <c r="K1283" s="310">
        <f t="shared" si="4"/>
        <v>46123</v>
      </c>
      <c r="L1283" s="317">
        <f t="array" ref="L1283">(XLOOKUP(D1283,Roster!F:F,Roster!D:D,"",0))</f>
        <v>36</v>
      </c>
      <c r="M1283" s="317" t="str">
        <f t="array" ref="M1283">XLOOKUP(D1283,Roster!F:F,Roster!E:E)</f>
        <v>Voice</v>
      </c>
      <c r="N1283" s="317" t="str">
        <f t="shared" ref="N1283:P1283" si="1304">LEFT(H1283,5)</f>
        <v>09:45</v>
      </c>
      <c r="O1283" s="317" t="str">
        <f t="shared" si="1304"/>
        <v>12:30</v>
      </c>
      <c r="P1283" s="317" t="str">
        <f t="shared" si="1304"/>
        <v>15:00</v>
      </c>
      <c r="Q1283" s="318">
        <f t="shared" si="1232"/>
        <v>46123.40625</v>
      </c>
      <c r="R1283" s="318">
        <f t="shared" si="1233"/>
        <v>46123.52083</v>
      </c>
      <c r="S1283" s="318">
        <f t="shared" si="8"/>
        <v>46123.625</v>
      </c>
    </row>
    <row r="1284">
      <c r="A1284" s="14" t="str">
        <f t="shared" si="1"/>
        <v>C157646123</v>
      </c>
      <c r="B1284" s="185" t="str">
        <f t="array" ref="B1284">IF(F1284="VL","",IF(F1284="Free","Free",XLOOKUP(D1284,Roster!T:T,Roster!S:S,"",0)))</f>
        <v/>
      </c>
      <c r="C1284" s="313">
        <v>46123.0</v>
      </c>
      <c r="D1284" s="314" t="s">
        <v>313</v>
      </c>
      <c r="E1284" s="307" t="str">
        <f t="array" ref="E1284">(XLOOKUP(D1284,Roster!F:F,Roster!B:B,"",0))</f>
        <v>Carlos Ruiz</v>
      </c>
      <c r="F1284" s="315" t="str">
        <f t="array" ref="F1284">IF(B1284=100,"Free",TEXT(XLOOKUP($D1284,OperationVoice!$A:$A,OperationVoice!Q:Q,XLOOKUP($D1284,OperationTickets!$A:$A,OperationTickets!Q:Q,"",0)),"hh:mm"))</f>
        <v/>
      </c>
      <c r="G1284" s="309" t="str">
        <f t="shared" si="3"/>
        <v/>
      </c>
      <c r="H1284" s="316" t="str">
        <f t="array" ref="H1284">XLOOKUP(B1284,Roster!L:L,Roster!N:N,XLOOKUP(D1284,TicketsBreak!A:A,TicketsBreak!E:E,"",0),0)</f>
        <v/>
      </c>
      <c r="I1284" s="316" t="str">
        <f t="array" ref="I1284">XLOOKUP(B1284,Roster!L:L,Roster!O:O,XLOOKUP(D1284,TicketsBreak!A:A,TicketsBreak!F:F,"",0),0)</f>
        <v/>
      </c>
      <c r="J1284" s="316" t="str">
        <f t="array" ref="J1284">XLOOKUP(B1284,Roster!L:L,Roster!P:P,XLOOKUP(D1284,TicketsBreak!A:A,TicketsBreak!G:G,"",0),0)</f>
        <v/>
      </c>
      <c r="K1284" s="310">
        <f t="shared" si="4"/>
        <v>46123</v>
      </c>
      <c r="L1284" s="317">
        <f t="array" ref="L1284">(XLOOKUP(D1284,Roster!F:F,Roster!D:D,"",0))</f>
        <v>38</v>
      </c>
      <c r="M1284" s="317" t="str">
        <f t="array" ref="M1284">XLOOKUP(D1284,Roster!F:F,Roster!E:E)</f>
        <v>Nesting</v>
      </c>
      <c r="N1284" s="317" t="str">
        <f t="shared" ref="N1284:P1284" si="1305">LEFT(H1284,5)</f>
        <v/>
      </c>
      <c r="O1284" s="317" t="str">
        <f t="shared" si="1305"/>
        <v/>
      </c>
      <c r="P1284" s="317" t="str">
        <f t="shared" si="1305"/>
        <v/>
      </c>
      <c r="Q1284" s="318" t="str">
        <f t="shared" si="1232"/>
        <v/>
      </c>
      <c r="R1284" s="318" t="str">
        <f t="shared" si="1233"/>
        <v/>
      </c>
      <c r="S1284" s="318" t="str">
        <f t="shared" si="8"/>
        <v/>
      </c>
    </row>
    <row r="1285">
      <c r="A1285" s="14" t="str">
        <f t="shared" si="1"/>
        <v>C47946123</v>
      </c>
      <c r="B1285" s="185" t="str">
        <f t="array" ref="B1285">IF(F1285="VL","",IF(F1285="Free","Free",XLOOKUP(D1285,Roster!T:T,Roster!S:S,"",0)))</f>
        <v>Free</v>
      </c>
      <c r="C1285" s="313">
        <v>46123.0</v>
      </c>
      <c r="D1285" s="314" t="s">
        <v>173</v>
      </c>
      <c r="E1285" s="307" t="str">
        <f t="array" ref="E1285">(XLOOKUP(D1285,Roster!F:F,Roster!B:B,"",0))</f>
        <v>Carmen Grajales</v>
      </c>
      <c r="F1285" s="315" t="str">
        <f t="array" ref="F1285">IF(B1285=100,"Free",TEXT(XLOOKUP($D1285,OperationVoice!$A:$A,OperationVoice!Q:Q,XLOOKUP($D1285,OperationTickets!$A:$A,OperationTickets!Q:Q,"",0)),"hh:mm"))</f>
        <v>Free</v>
      </c>
      <c r="G1285" s="309" t="str">
        <f t="shared" si="3"/>
        <v>Free</v>
      </c>
      <c r="H1285" s="316">
        <f t="array" ref="H1285">XLOOKUP(B1285,Roster!L:L,Roster!N:N,XLOOKUP(D1285,TicketsBreak!A:A,TicketsBreak!E:E,"",0),0)</f>
        <v>0.4270833333</v>
      </c>
      <c r="I1285" s="316">
        <f t="array" ref="I1285">XLOOKUP(B1285,Roster!L:L,Roster!O:O,XLOOKUP(D1285,TicketsBreak!A:A,TicketsBreak!F:F,"",0),0)</f>
        <v>0.53125</v>
      </c>
      <c r="J1285" s="316">
        <f t="array" ref="J1285">XLOOKUP(B1285,Roster!L:L,Roster!P:P,XLOOKUP(D1285,TicketsBreak!A:A,TicketsBreak!G:G,"",0),0)</f>
        <v>0.65625</v>
      </c>
      <c r="K1285" s="310">
        <f t="shared" si="4"/>
        <v>46123</v>
      </c>
      <c r="L1285" s="317">
        <f t="array" ref="L1285">(XLOOKUP(D1285,Roster!F:F,Roster!D:D,"",0))</f>
        <v>2</v>
      </c>
      <c r="M1285" s="317" t="str">
        <f t="array" ref="M1285">XLOOKUP(D1285,Roster!F:F,Roster!E:E)</f>
        <v>Tickets</v>
      </c>
      <c r="N1285" s="317" t="str">
        <f t="shared" ref="N1285:P1285" si="1306">LEFT(H1285,5)</f>
        <v>10:15</v>
      </c>
      <c r="O1285" s="317" t="str">
        <f t="shared" si="1306"/>
        <v>12:45</v>
      </c>
      <c r="P1285" s="317" t="str">
        <f t="shared" si="1306"/>
        <v>15:45</v>
      </c>
      <c r="Q1285" s="318">
        <f t="shared" si="1232"/>
        <v>46123.42708</v>
      </c>
      <c r="R1285" s="318">
        <f t="shared" si="1233"/>
        <v>46123.53125</v>
      </c>
      <c r="S1285" s="318">
        <f t="shared" si="8"/>
        <v>46123.65625</v>
      </c>
    </row>
    <row r="1286">
      <c r="A1286" s="14" t="str">
        <f t="shared" si="1"/>
        <v>C68746123</v>
      </c>
      <c r="B1286" s="185" t="str">
        <f t="array" ref="B1286">IF(F1286="VL","",IF(F1286="Free","Free",XLOOKUP(D1286,Roster!T:T,Roster!S:S,"",0)))</f>
        <v>Free</v>
      </c>
      <c r="C1286" s="313">
        <v>46123.0</v>
      </c>
      <c r="D1286" s="314" t="s">
        <v>22</v>
      </c>
      <c r="E1286" s="307" t="str">
        <f t="array" ref="E1286">(XLOOKUP(D1286,Roster!F:F,Roster!B:B,"",0))</f>
        <v>Carolina Rios</v>
      </c>
      <c r="F1286" s="315" t="str">
        <f t="array" ref="F1286">IF(B1286=100,"Free",TEXT(XLOOKUP($D1286,OperationVoice!$A:$A,OperationVoice!Q:Q,XLOOKUP($D1286,OperationTickets!$A:$A,OperationTickets!Q:Q,"",0)),"hh:mm"))</f>
        <v>Free</v>
      </c>
      <c r="G1286" s="309" t="str">
        <f t="shared" si="3"/>
        <v>Free</v>
      </c>
      <c r="H1286" s="316" t="str">
        <f t="array" ref="H1286">XLOOKUP(B1286,Roster!L:L,Roster!N:N,XLOOKUP(D1286,TicketsBreak!A:A,TicketsBreak!E:E,"",0),0)</f>
        <v/>
      </c>
      <c r="I1286" s="316" t="str">
        <f t="array" ref="I1286">XLOOKUP(B1286,Roster!L:L,Roster!O:O,XLOOKUP(D1286,TicketsBreak!A:A,TicketsBreak!F:F,"",0),0)</f>
        <v/>
      </c>
      <c r="J1286" s="316" t="str">
        <f t="array" ref="J1286">XLOOKUP(B1286,Roster!L:L,Roster!P:P,XLOOKUP(D1286,TicketsBreak!A:A,TicketsBreak!G:G,"",0),0)</f>
        <v/>
      </c>
      <c r="K1286" s="310">
        <f t="shared" si="4"/>
        <v>46123</v>
      </c>
      <c r="L1286" s="317">
        <f t="array" ref="L1286">(XLOOKUP(D1286,Roster!F:F,Roster!D:D,"",0))</f>
        <v>5</v>
      </c>
      <c r="M1286" s="317" t="str">
        <f t="array" ref="M1286">XLOOKUP(D1286,Roster!F:F,Roster!E:E)</f>
        <v>Voice</v>
      </c>
      <c r="N1286" s="317" t="str">
        <f t="shared" ref="N1286:P1286" si="1307">LEFT(H1286,5)</f>
        <v/>
      </c>
      <c r="O1286" s="317" t="str">
        <f t="shared" si="1307"/>
        <v/>
      </c>
      <c r="P1286" s="317" t="str">
        <f t="shared" si="1307"/>
        <v/>
      </c>
      <c r="Q1286" s="318" t="str">
        <f t="shared" si="1232"/>
        <v/>
      </c>
      <c r="R1286" s="318" t="str">
        <f t="shared" si="1233"/>
        <v/>
      </c>
      <c r="S1286" s="318" t="str">
        <f t="shared" si="8"/>
        <v/>
      </c>
    </row>
    <row r="1287">
      <c r="A1287" s="14" t="str">
        <f t="shared" si="1"/>
        <v>C152846123</v>
      </c>
      <c r="B1287" s="185" t="str">
        <f t="array" ref="B1287">IF(F1287="VL","",IF(F1287="Free","Free",XLOOKUP(D1287,Roster!T:T,Roster!S:S,"",0)))</f>
        <v>Free</v>
      </c>
      <c r="C1287" s="313">
        <v>46123.0</v>
      </c>
      <c r="D1287" s="314" t="s">
        <v>23</v>
      </c>
      <c r="E1287" s="307" t="str">
        <f t="array" ref="E1287">(XLOOKUP(D1287,Roster!F:F,Roster!B:B,"",0))</f>
        <v>Christian Ramirez</v>
      </c>
      <c r="F1287" s="315" t="str">
        <f t="array" ref="F1287">IF(B1287=100,"Free",TEXT(XLOOKUP($D1287,OperationVoice!$A:$A,OperationVoice!Q:Q,XLOOKUP($D1287,OperationTickets!$A:$A,OperationTickets!Q:Q,"",0)),"hh:mm"))</f>
        <v>Free</v>
      </c>
      <c r="G1287" s="309" t="str">
        <f t="shared" si="3"/>
        <v>Free</v>
      </c>
      <c r="H1287" s="316" t="str">
        <f t="array" ref="H1287">XLOOKUP(B1287,Roster!L:L,Roster!N:N,XLOOKUP(D1287,TicketsBreak!A:A,TicketsBreak!E:E,"",0),0)</f>
        <v/>
      </c>
      <c r="I1287" s="316" t="str">
        <f t="array" ref="I1287">XLOOKUP(B1287,Roster!L:L,Roster!O:O,XLOOKUP(D1287,TicketsBreak!A:A,TicketsBreak!F:F,"",0),0)</f>
        <v/>
      </c>
      <c r="J1287" s="316" t="str">
        <f t="array" ref="J1287">XLOOKUP(B1287,Roster!L:L,Roster!P:P,XLOOKUP(D1287,TicketsBreak!A:A,TicketsBreak!G:G,"",0),0)</f>
        <v/>
      </c>
      <c r="K1287" s="310">
        <f t="shared" si="4"/>
        <v>46123</v>
      </c>
      <c r="L1287" s="317">
        <f t="array" ref="L1287">(XLOOKUP(D1287,Roster!F:F,Roster!D:D,"",0))</f>
        <v>36</v>
      </c>
      <c r="M1287" s="317" t="str">
        <f t="array" ref="M1287">XLOOKUP(D1287,Roster!F:F,Roster!E:E)</f>
        <v>Voice</v>
      </c>
      <c r="N1287" s="317" t="str">
        <f t="shared" ref="N1287:P1287" si="1308">LEFT(H1287,5)</f>
        <v/>
      </c>
      <c r="O1287" s="317" t="str">
        <f t="shared" si="1308"/>
        <v/>
      </c>
      <c r="P1287" s="317" t="str">
        <f t="shared" si="1308"/>
        <v/>
      </c>
      <c r="Q1287" s="318" t="str">
        <f t="shared" si="1232"/>
        <v/>
      </c>
      <c r="R1287" s="318" t="str">
        <f t="shared" si="1233"/>
        <v/>
      </c>
      <c r="S1287" s="318" t="str">
        <f t="shared" si="8"/>
        <v/>
      </c>
    </row>
    <row r="1288">
      <c r="A1288" s="14" t="str">
        <f t="shared" si="1"/>
        <v>C132546123</v>
      </c>
      <c r="B1288" s="185">
        <f t="array" ref="B1288">IF(F1288="VL","",IF(F1288="Free","Free",XLOOKUP(D1288,Roster!T:T,Roster!S:S,"",0)))</f>
        <v>123</v>
      </c>
      <c r="C1288" s="313">
        <v>46123.0</v>
      </c>
      <c r="D1288" s="314" t="s">
        <v>174</v>
      </c>
      <c r="E1288" s="307" t="str">
        <f t="array" ref="E1288">(XLOOKUP(D1288,Roster!F:F,Roster!B:B,"",0))</f>
        <v>Cristian Ferreira</v>
      </c>
      <c r="F1288" s="315" t="str">
        <f t="array" ref="F1288">IF(B1288=100,"Free",TEXT(XLOOKUP($D1288,OperationVoice!$A:$A,OperationVoice!Q:Q,XLOOKUP($D1288,OperationTickets!$A:$A,OperationTickets!Q:Q,"",0)),"hh:mm"))</f>
        <v>08:00</v>
      </c>
      <c r="G1288" s="309">
        <f t="shared" si="3"/>
        <v>0.7083333333</v>
      </c>
      <c r="H1288" s="316" t="str">
        <f t="array" ref="H1288">XLOOKUP(B1288,Roster!L:L,Roster!N:N,XLOOKUP(D1288,TicketsBreak!A:A,TicketsBreak!E:E,"",0),0)</f>
        <v>09:45 - 10:00 </v>
      </c>
      <c r="I1288" s="316" t="str">
        <f t="array" ref="I1288">XLOOKUP(B1288,Roster!L:L,Roster!O:O,XLOOKUP(D1288,TicketsBreak!A:A,TicketsBreak!F:F,"",0),0)</f>
        <v>12:30 - 13:00</v>
      </c>
      <c r="J1288" s="316" t="str">
        <f t="array" ref="J1288">XLOOKUP(B1288,Roster!L:L,Roster!P:P,XLOOKUP(D1288,TicketsBreak!A:A,TicketsBreak!G:G,"",0),0)</f>
        <v>15:00 - 15:15</v>
      </c>
      <c r="K1288" s="310">
        <f t="shared" si="4"/>
        <v>46123</v>
      </c>
      <c r="L1288" s="317">
        <f t="array" ref="L1288">(XLOOKUP(D1288,Roster!F:F,Roster!D:D,"",0))</f>
        <v>29</v>
      </c>
      <c r="M1288" s="317" t="str">
        <f t="array" ref="M1288">XLOOKUP(D1288,Roster!F:F,Roster!E:E)</f>
        <v>Tickets</v>
      </c>
      <c r="N1288" s="317" t="str">
        <f t="shared" ref="N1288:P1288" si="1309">LEFT(H1288,5)</f>
        <v>09:45</v>
      </c>
      <c r="O1288" s="317" t="str">
        <f t="shared" si="1309"/>
        <v>12:30</v>
      </c>
      <c r="P1288" s="317" t="str">
        <f t="shared" si="1309"/>
        <v>15:00</v>
      </c>
      <c r="Q1288" s="318">
        <f t="shared" si="1232"/>
        <v>46123.40625</v>
      </c>
      <c r="R1288" s="318">
        <f t="shared" si="1233"/>
        <v>46123.52083</v>
      </c>
      <c r="S1288" s="318">
        <f t="shared" si="8"/>
        <v>46123.625</v>
      </c>
    </row>
    <row r="1289">
      <c r="A1289" s="14" t="str">
        <f t="shared" si="1"/>
        <v>C151046123</v>
      </c>
      <c r="B1289" s="185">
        <f t="array" ref="B1289">IF(F1289="VL","",IF(F1289="Free","Free",XLOOKUP(D1289,Roster!T:T,Roster!S:S,"",0)))</f>
        <v>121</v>
      </c>
      <c r="C1289" s="313">
        <v>46123.0</v>
      </c>
      <c r="D1289" s="314" t="s">
        <v>24</v>
      </c>
      <c r="E1289" s="307" t="str">
        <f t="array" ref="E1289">(XLOOKUP(D1289,Roster!F:F,Roster!B:B,"",0))</f>
        <v>Cristian Gomez</v>
      </c>
      <c r="F1289" s="315" t="str">
        <f t="array" ref="F1289">IF(B1289=100,"Free",TEXT(XLOOKUP($D1289,OperationVoice!$A:$A,OperationVoice!Q:Q,XLOOKUP($D1289,OperationTickets!$A:$A,OperationTickets!Q:Q,"",0)),"hh:mm"))</f>
        <v>08:00</v>
      </c>
      <c r="G1289" s="309">
        <f t="shared" si="3"/>
        <v>0.7083333333</v>
      </c>
      <c r="H1289" s="316" t="str">
        <f t="array" ref="H1289">XLOOKUP(B1289,Roster!L:L,Roster!N:N,XLOOKUP(D1289,TicketsBreak!A:A,TicketsBreak!E:E,"",0),0)</f>
        <v>09:15 - 09:30</v>
      </c>
      <c r="I1289" s="316" t="str">
        <f t="array" ref="I1289">XLOOKUP(B1289,Roster!L:L,Roster!O:O,XLOOKUP(D1289,TicketsBreak!A:A,TicketsBreak!F:F,"",0),0)</f>
        <v>11:30 - 12:00</v>
      </c>
      <c r="J1289" s="316" t="str">
        <f t="array" ref="J1289">XLOOKUP(B1289,Roster!L:L,Roster!P:P,XLOOKUP(D1289,TicketsBreak!A:A,TicketsBreak!G:G,"",0),0)</f>
        <v>14:30 - 14:45</v>
      </c>
      <c r="K1289" s="310">
        <f t="shared" si="4"/>
        <v>46123</v>
      </c>
      <c r="L1289" s="317">
        <f t="array" ref="L1289">(XLOOKUP(D1289,Roster!F:F,Roster!D:D,"",0))</f>
        <v>35</v>
      </c>
      <c r="M1289" s="317" t="str">
        <f t="array" ref="M1289">XLOOKUP(D1289,Roster!F:F,Roster!E:E)</f>
        <v>Voice</v>
      </c>
      <c r="N1289" s="317" t="str">
        <f t="shared" ref="N1289:P1289" si="1310">LEFT(H1289,5)</f>
        <v>09:15</v>
      </c>
      <c r="O1289" s="317" t="str">
        <f t="shared" si="1310"/>
        <v>11:30</v>
      </c>
      <c r="P1289" s="317" t="str">
        <f t="shared" si="1310"/>
        <v>14:30</v>
      </c>
      <c r="Q1289" s="318">
        <f t="shared" si="1232"/>
        <v>46123.38542</v>
      </c>
      <c r="R1289" s="318">
        <f t="shared" si="1233"/>
        <v>46123.47917</v>
      </c>
      <c r="S1289" s="318">
        <f t="shared" si="8"/>
        <v>46123.60417</v>
      </c>
    </row>
    <row r="1290">
      <c r="A1290" s="14" t="str">
        <f t="shared" si="1"/>
        <v>C67346123</v>
      </c>
      <c r="B1290" s="185" t="str">
        <f t="array" ref="B1290">IF(F1290="VL","",IF(F1290="Free","Free",XLOOKUP(D1290,Roster!T:T,Roster!S:S,"",0)))</f>
        <v/>
      </c>
      <c r="C1290" s="313">
        <v>46123.0</v>
      </c>
      <c r="D1290" s="314" t="s">
        <v>156</v>
      </c>
      <c r="E1290" s="307" t="str">
        <f t="array" ref="E1290">(XLOOKUP(D1290,Roster!F:F,Roster!B:B,"",0))</f>
        <v>Dahiana Cano</v>
      </c>
      <c r="F1290" s="315" t="str">
        <f t="array" ref="F1290">IF(B1290=100,"Free",TEXT(XLOOKUP($D1290,OperationVoice!$A:$A,OperationVoice!Q:Q,XLOOKUP($D1290,OperationTickets!$A:$A,OperationTickets!Q:Q,"",0)),"hh:mm"))</f>
        <v>08:00</v>
      </c>
      <c r="G1290" s="309">
        <f t="shared" si="3"/>
        <v>0.7083333333</v>
      </c>
      <c r="H1290" s="316">
        <f t="array" ref="H1290">XLOOKUP(B1290,Roster!L:L,Roster!N:N,XLOOKUP(D1290,TicketsBreak!A:A,TicketsBreak!E:E,"",0),0)</f>
        <v>0.4583333333</v>
      </c>
      <c r="I1290" s="316">
        <f t="array" ref="I1290">XLOOKUP(B1290,Roster!L:L,Roster!O:O,XLOOKUP(D1290,TicketsBreak!A:A,TicketsBreak!F:F,"",0),0)</f>
        <v>0.5833333333</v>
      </c>
      <c r="J1290" s="316">
        <f t="array" ref="J1290">XLOOKUP(B1290,Roster!L:L,Roster!P:P,XLOOKUP(D1290,TicketsBreak!A:A,TicketsBreak!G:G,"",0),0)</f>
        <v>0.65625</v>
      </c>
      <c r="K1290" s="310">
        <f t="shared" si="4"/>
        <v>46123</v>
      </c>
      <c r="L1290" s="317">
        <f t="array" ref="L1290">(XLOOKUP(D1290,Roster!F:F,Roster!D:D,"",0))</f>
        <v>4</v>
      </c>
      <c r="M1290" s="317" t="str">
        <f t="array" ref="M1290">XLOOKUP(D1290,Roster!F:F,Roster!E:E)</f>
        <v>Tickets</v>
      </c>
      <c r="N1290" s="317" t="str">
        <f t="shared" ref="N1290:P1290" si="1311">LEFT(H1290,5)</f>
        <v>11:00</v>
      </c>
      <c r="O1290" s="317" t="str">
        <f t="shared" si="1311"/>
        <v>14:00</v>
      </c>
      <c r="P1290" s="317" t="str">
        <f t="shared" si="1311"/>
        <v>15:45</v>
      </c>
      <c r="Q1290" s="318">
        <f t="shared" si="1232"/>
        <v>46123.45833</v>
      </c>
      <c r="R1290" s="318">
        <f t="shared" si="1233"/>
        <v>46123.58333</v>
      </c>
      <c r="S1290" s="318">
        <f t="shared" si="8"/>
        <v>46123.65625</v>
      </c>
    </row>
    <row r="1291">
      <c r="A1291" s="14" t="str">
        <f t="shared" si="1"/>
        <v>C152946123</v>
      </c>
      <c r="B1291" s="185" t="str">
        <f t="array" ref="B1291">IF(F1291="VL","",IF(F1291="Free","Free",XLOOKUP(D1291,Roster!T:T,Roster!S:S,"",0)))</f>
        <v>Free</v>
      </c>
      <c r="C1291" s="313">
        <v>46123.0</v>
      </c>
      <c r="D1291" s="314" t="s">
        <v>25</v>
      </c>
      <c r="E1291" s="307" t="str">
        <f t="array" ref="E1291">(XLOOKUP(D1291,Roster!F:F,Roster!B:B,"",0))</f>
        <v>Daniel Barrientos</v>
      </c>
      <c r="F1291" s="315" t="str">
        <f t="array" ref="F1291">IF(B1291=100,"Free",TEXT(XLOOKUP($D1291,OperationVoice!$A:$A,OperationVoice!Q:Q,XLOOKUP($D1291,OperationTickets!$A:$A,OperationTickets!Q:Q,"",0)),"hh:mm"))</f>
        <v>Free</v>
      </c>
      <c r="G1291" s="309" t="str">
        <f t="shared" si="3"/>
        <v>Free</v>
      </c>
      <c r="H1291" s="316" t="str">
        <f t="array" ref="H1291">XLOOKUP(B1291,Roster!L:L,Roster!N:N,XLOOKUP(D1291,TicketsBreak!A:A,TicketsBreak!E:E,"",0),0)</f>
        <v/>
      </c>
      <c r="I1291" s="316" t="str">
        <f t="array" ref="I1291">XLOOKUP(B1291,Roster!L:L,Roster!O:O,XLOOKUP(D1291,TicketsBreak!A:A,TicketsBreak!F:F,"",0),0)</f>
        <v/>
      </c>
      <c r="J1291" s="316" t="str">
        <f t="array" ref="J1291">XLOOKUP(B1291,Roster!L:L,Roster!P:P,XLOOKUP(D1291,TicketsBreak!A:A,TicketsBreak!G:G,"",0),0)</f>
        <v/>
      </c>
      <c r="K1291" s="310">
        <f t="shared" si="4"/>
        <v>46123</v>
      </c>
      <c r="L1291" s="317">
        <f t="array" ref="L1291">(XLOOKUP(D1291,Roster!F:F,Roster!D:D,"",0))</f>
        <v>36</v>
      </c>
      <c r="M1291" s="317" t="str">
        <f t="array" ref="M1291">XLOOKUP(D1291,Roster!F:F,Roster!E:E)</f>
        <v>Voice</v>
      </c>
      <c r="N1291" s="317" t="str">
        <f t="shared" ref="N1291:P1291" si="1312">LEFT(H1291,5)</f>
        <v/>
      </c>
      <c r="O1291" s="317" t="str">
        <f t="shared" si="1312"/>
        <v/>
      </c>
      <c r="P1291" s="317" t="str">
        <f t="shared" si="1312"/>
        <v/>
      </c>
      <c r="Q1291" s="318" t="str">
        <f t="shared" si="1232"/>
        <v/>
      </c>
      <c r="R1291" s="318" t="str">
        <f t="shared" si="1233"/>
        <v/>
      </c>
      <c r="S1291" s="318" t="str">
        <f t="shared" si="8"/>
        <v/>
      </c>
    </row>
    <row r="1292">
      <c r="A1292" s="14" t="str">
        <f t="shared" si="1"/>
        <v>C106446123</v>
      </c>
      <c r="B1292" s="185" t="str">
        <f t="array" ref="B1292">IF(F1292="VL","",IF(F1292="Free","Free",XLOOKUP(D1292,Roster!T:T,Roster!S:S,"",0)))</f>
        <v/>
      </c>
      <c r="C1292" s="313">
        <v>46123.0</v>
      </c>
      <c r="D1292" s="314" t="s">
        <v>175</v>
      </c>
      <c r="E1292" s="307" t="str">
        <f t="array" ref="E1292">(XLOOKUP(D1292,Roster!F:F,Roster!B:B,"",0))</f>
        <v>Daniel Urrego</v>
      </c>
      <c r="F1292" s="315" t="str">
        <f t="array" ref="F1292">IF(B1292=100,"Free",TEXT(XLOOKUP($D1292,OperationVoice!$A:$A,OperationVoice!Q:Q,XLOOKUP($D1292,OperationTickets!$A:$A,OperationTickets!Q:Q,"",0)),"hh:mm"))</f>
        <v>08:00</v>
      </c>
      <c r="G1292" s="309">
        <f t="shared" si="3"/>
        <v>0.7083333333</v>
      </c>
      <c r="H1292" s="316" t="str">
        <f t="array" ref="H1292">XLOOKUP(B1292,Roster!L:L,Roster!N:N,XLOOKUP(D1292,TicketsBreak!A:A,TicketsBreak!E:E,"",0),0)</f>
        <v/>
      </c>
      <c r="I1292" s="316" t="str">
        <f t="array" ref="I1292">XLOOKUP(B1292,Roster!L:L,Roster!O:O,XLOOKUP(D1292,TicketsBreak!A:A,TicketsBreak!F:F,"",0),0)</f>
        <v/>
      </c>
      <c r="J1292" s="316" t="str">
        <f t="array" ref="J1292">XLOOKUP(B1292,Roster!L:L,Roster!P:P,XLOOKUP(D1292,TicketsBreak!A:A,TicketsBreak!G:G,"",0),0)</f>
        <v/>
      </c>
      <c r="K1292" s="310">
        <f t="shared" si="4"/>
        <v>46123</v>
      </c>
      <c r="L1292" s="317">
        <f t="array" ref="L1292">(XLOOKUP(D1292,Roster!F:F,Roster!D:D,"",0))</f>
        <v>17</v>
      </c>
      <c r="M1292" s="317" t="str">
        <f t="array" ref="M1292">XLOOKUP(D1292,Roster!F:F,Roster!E:E)</f>
        <v>Tickets</v>
      </c>
      <c r="N1292" s="317" t="str">
        <f t="shared" ref="N1292:P1292" si="1313">LEFT(H1292,5)</f>
        <v/>
      </c>
      <c r="O1292" s="317" t="str">
        <f t="shared" si="1313"/>
        <v/>
      </c>
      <c r="P1292" s="317" t="str">
        <f t="shared" si="1313"/>
        <v/>
      </c>
      <c r="Q1292" s="318" t="str">
        <f t="shared" si="1232"/>
        <v/>
      </c>
      <c r="R1292" s="318" t="str">
        <f t="shared" si="1233"/>
        <v/>
      </c>
      <c r="S1292" s="318" t="str">
        <f t="shared" si="8"/>
        <v/>
      </c>
    </row>
    <row r="1293">
      <c r="A1293" s="14" t="str">
        <f t="shared" si="1"/>
        <v>C151346123</v>
      </c>
      <c r="B1293" s="185">
        <f t="array" ref="B1293">IF(F1293="VL","",IF(F1293="Free","Free",XLOOKUP(D1293,Roster!T:T,Roster!S:S,"",0)))</f>
        <v>126</v>
      </c>
      <c r="C1293" s="313">
        <v>46123.0</v>
      </c>
      <c r="D1293" s="314" t="s">
        <v>26</v>
      </c>
      <c r="E1293" s="307" t="str">
        <f t="array" ref="E1293">(XLOOKUP(D1293,Roster!F:F,Roster!B:B,"",0))</f>
        <v>David Patino</v>
      </c>
      <c r="F1293" s="315" t="str">
        <f t="array" ref="F1293">IF(B1293=100,"Free",TEXT(XLOOKUP($D1293,OperationVoice!$A:$A,OperationVoice!Q:Q,XLOOKUP($D1293,OperationTickets!$A:$A,OperationTickets!Q:Q,"",0)),"hh:mm"))</f>
        <v>08:00</v>
      </c>
      <c r="G1293" s="309">
        <f t="shared" si="3"/>
        <v>0.7083333333</v>
      </c>
      <c r="H1293" s="316" t="str">
        <f t="array" ref="H1293">XLOOKUP(B1293,Roster!L:L,Roster!N:N,XLOOKUP(D1293,TicketsBreak!A:A,TicketsBreak!E:E,"",0),0)</f>
        <v>10:45 - 11:00</v>
      </c>
      <c r="I1293" s="316" t="str">
        <f t="array" ref="I1293">XLOOKUP(B1293,Roster!L:L,Roster!O:O,XLOOKUP(D1293,TicketsBreak!A:A,TicketsBreak!F:F,"",0),0)</f>
        <v>14:00 - 14:30</v>
      </c>
      <c r="J1293" s="316" t="str">
        <f t="array" ref="J1293">XLOOKUP(B1293,Roster!L:L,Roster!P:P,XLOOKUP(D1293,TicketsBreak!A:A,TicketsBreak!G:G,"",0),0)</f>
        <v>15:45 - 16:00</v>
      </c>
      <c r="K1293" s="310">
        <f t="shared" si="4"/>
        <v>46123</v>
      </c>
      <c r="L1293" s="317">
        <f t="array" ref="L1293">(XLOOKUP(D1293,Roster!F:F,Roster!D:D,"",0))</f>
        <v>35</v>
      </c>
      <c r="M1293" s="317" t="str">
        <f t="array" ref="M1293">XLOOKUP(D1293,Roster!F:F,Roster!E:E)</f>
        <v>Voice</v>
      </c>
      <c r="N1293" s="317" t="str">
        <f t="shared" ref="N1293:P1293" si="1314">LEFT(H1293,5)</f>
        <v>10:45</v>
      </c>
      <c r="O1293" s="317" t="str">
        <f t="shared" si="1314"/>
        <v>14:00</v>
      </c>
      <c r="P1293" s="317" t="str">
        <f t="shared" si="1314"/>
        <v>15:45</v>
      </c>
      <c r="Q1293" s="318">
        <f t="shared" si="1232"/>
        <v>46123.44792</v>
      </c>
      <c r="R1293" s="318">
        <f t="shared" si="1233"/>
        <v>46123.58333</v>
      </c>
      <c r="S1293" s="318">
        <f t="shared" si="8"/>
        <v>46123.65625</v>
      </c>
    </row>
    <row r="1294">
      <c r="A1294" s="14" t="str">
        <f t="shared" si="1"/>
        <v>C127746123</v>
      </c>
      <c r="B1294" s="185">
        <f t="array" ref="B1294">IF(F1294="VL","",IF(F1294="Free","Free",XLOOKUP(D1294,Roster!T:T,Roster!S:S,"",0)))</f>
        <v>124</v>
      </c>
      <c r="C1294" s="313">
        <v>46123.0</v>
      </c>
      <c r="D1294" s="314" t="s">
        <v>27</v>
      </c>
      <c r="E1294" s="307" t="str">
        <f t="array" ref="E1294">(XLOOKUP(D1294,Roster!F:F,Roster!B:B,"",0))</f>
        <v>Edwuin Martinez</v>
      </c>
      <c r="F1294" s="315" t="str">
        <f t="array" ref="F1294">IF(B1294=100,"Free",TEXT(XLOOKUP($D1294,OperationVoice!$A:$A,OperationVoice!Q:Q,XLOOKUP($D1294,OperationTickets!$A:$A,OperationTickets!Q:Q,"",0)),"hh:mm"))</f>
        <v>08:00</v>
      </c>
      <c r="G1294" s="309">
        <f t="shared" si="3"/>
        <v>0.7083333333</v>
      </c>
      <c r="H1294" s="316" t="str">
        <f t="array" ref="H1294">XLOOKUP(B1294,Roster!L:L,Roster!N:N,XLOOKUP(D1294,TicketsBreak!A:A,TicketsBreak!E:E,"",0),0)</f>
        <v>10:00 - 10:15</v>
      </c>
      <c r="I1294" s="316" t="str">
        <f t="array" ref="I1294">XLOOKUP(B1294,Roster!L:L,Roster!O:O,XLOOKUP(D1294,TicketsBreak!A:A,TicketsBreak!F:F,"",0),0)</f>
        <v>13:00 - 13:30</v>
      </c>
      <c r="J1294" s="316" t="str">
        <f t="array" ref="J1294">XLOOKUP(B1294,Roster!L:L,Roster!P:P,XLOOKUP(D1294,TicketsBreak!A:A,TicketsBreak!G:G,"",0),0)</f>
        <v>15:30 - 15:45</v>
      </c>
      <c r="K1294" s="310">
        <f t="shared" si="4"/>
        <v>46123</v>
      </c>
      <c r="L1294" s="317">
        <f t="array" ref="L1294">(XLOOKUP(D1294,Roster!F:F,Roster!D:D,"",0))</f>
        <v>27</v>
      </c>
      <c r="M1294" s="317" t="str">
        <f t="array" ref="M1294">XLOOKUP(D1294,Roster!F:F,Roster!E:E)</f>
        <v>Voice</v>
      </c>
      <c r="N1294" s="317" t="str">
        <f t="shared" ref="N1294:P1294" si="1315">LEFT(H1294,5)</f>
        <v>10:00</v>
      </c>
      <c r="O1294" s="317" t="str">
        <f t="shared" si="1315"/>
        <v>13:00</v>
      </c>
      <c r="P1294" s="317" t="str">
        <f t="shared" si="1315"/>
        <v>15:30</v>
      </c>
      <c r="Q1294" s="318">
        <f t="shared" si="1232"/>
        <v>46123.41667</v>
      </c>
      <c r="R1294" s="318">
        <f t="shared" si="1233"/>
        <v>46123.54167</v>
      </c>
      <c r="S1294" s="318">
        <f t="shared" si="8"/>
        <v>46123.64583</v>
      </c>
    </row>
    <row r="1295">
      <c r="A1295" s="14" t="str">
        <f t="shared" si="1"/>
        <v>C121646123</v>
      </c>
      <c r="B1295" s="185" t="str">
        <f t="array" ref="B1295">IF(F1295="VL","",IF(F1295="Free","Free",XLOOKUP(D1295,Roster!T:T,Roster!S:S,"",0)))</f>
        <v/>
      </c>
      <c r="C1295" s="313">
        <v>46123.0</v>
      </c>
      <c r="D1295" s="314" t="s">
        <v>134</v>
      </c>
      <c r="E1295" s="307" t="str">
        <f t="array" ref="E1295">(XLOOKUP(D1295,Roster!F:F,Roster!B:B,"",0))</f>
        <v>Eliana Pena</v>
      </c>
      <c r="F1295" s="315" t="str">
        <f t="array" ref="F1295">IF(B1295=100,"Free",TEXT(XLOOKUP($D1295,OperationVoice!$A:$A,OperationVoice!Q:Q,XLOOKUP($D1295,OperationTickets!$A:$A,OperationTickets!Q:Q,"",0)),"hh:mm"))</f>
        <v>08:00</v>
      </c>
      <c r="G1295" s="309">
        <f t="shared" si="3"/>
        <v>0.7083333333</v>
      </c>
      <c r="H1295" s="316">
        <f t="array" ref="H1295">XLOOKUP(B1295,Roster!L:L,Roster!N:N,XLOOKUP(D1295,TicketsBreak!A:A,TicketsBreak!E:E,"",0),0)</f>
        <v>0.3958333333</v>
      </c>
      <c r="I1295" s="316">
        <f t="array" ref="I1295">XLOOKUP(B1295,Roster!L:L,Roster!O:O,XLOOKUP(D1295,TicketsBreak!A:A,TicketsBreak!F:F,"",0),0)</f>
        <v>0.5416666667</v>
      </c>
      <c r="J1295" s="316">
        <f t="array" ref="J1295">XLOOKUP(B1295,Roster!L:L,Roster!P:P,XLOOKUP(D1295,TicketsBreak!A:A,TicketsBreak!G:G,"",0),0)</f>
        <v>0.6354166667</v>
      </c>
      <c r="K1295" s="310">
        <f t="shared" si="4"/>
        <v>46123</v>
      </c>
      <c r="L1295" s="317">
        <f t="array" ref="L1295">(XLOOKUP(D1295,Roster!F:F,Roster!D:D,"",0))</f>
        <v>26</v>
      </c>
      <c r="M1295" s="317" t="str">
        <f t="array" ref="M1295">XLOOKUP(D1295,Roster!F:F,Roster!E:E)</f>
        <v>Tickets</v>
      </c>
      <c r="N1295" s="317" t="str">
        <f t="shared" ref="N1295:P1295" si="1316">LEFT(H1295,5)</f>
        <v>09:30</v>
      </c>
      <c r="O1295" s="317" t="str">
        <f t="shared" si="1316"/>
        <v>13:00</v>
      </c>
      <c r="P1295" s="317" t="str">
        <f t="shared" si="1316"/>
        <v>15:15</v>
      </c>
      <c r="Q1295" s="318">
        <f t="shared" si="1232"/>
        <v>46123.39583</v>
      </c>
      <c r="R1295" s="318">
        <f t="shared" si="1233"/>
        <v>46123.54167</v>
      </c>
      <c r="S1295" s="318">
        <f t="shared" si="8"/>
        <v>46123.63542</v>
      </c>
    </row>
    <row r="1296">
      <c r="A1296" s="14" t="str">
        <f t="shared" si="1"/>
        <v>C157346123</v>
      </c>
      <c r="B1296" s="185">
        <f t="array" ref="B1296">IF(F1296="VL","",IF(F1296="Free","Free",XLOOKUP(D1296,Roster!T:T,Roster!S:S,"",0)))</f>
        <v>123</v>
      </c>
      <c r="C1296" s="313">
        <v>46123.0</v>
      </c>
      <c r="D1296" s="314" t="s">
        <v>28</v>
      </c>
      <c r="E1296" s="307" t="str">
        <f t="array" ref="E1296">(XLOOKUP(D1296,Roster!F:F,Roster!B:B,"",0))</f>
        <v>Esteban Correa</v>
      </c>
      <c r="F1296" s="315" t="str">
        <f t="array" ref="F1296">IF(B1296=100,"Free",TEXT(XLOOKUP($D1296,OperationVoice!$A:$A,OperationVoice!Q:Q,XLOOKUP($D1296,OperationTickets!$A:$A,OperationTickets!Q:Q,"",0)),"hh:mm"))</f>
        <v>08:00</v>
      </c>
      <c r="G1296" s="309">
        <f t="shared" si="3"/>
        <v>0.7083333333</v>
      </c>
      <c r="H1296" s="316" t="str">
        <f t="array" ref="H1296">XLOOKUP(B1296,Roster!L:L,Roster!N:N,XLOOKUP(D1296,TicketsBreak!A:A,TicketsBreak!E:E,"",0),0)</f>
        <v>09:45 - 10:00 </v>
      </c>
      <c r="I1296" s="316" t="str">
        <f t="array" ref="I1296">XLOOKUP(B1296,Roster!L:L,Roster!O:O,XLOOKUP(D1296,TicketsBreak!A:A,TicketsBreak!F:F,"",0),0)</f>
        <v>12:30 - 13:00</v>
      </c>
      <c r="J1296" s="316" t="str">
        <f t="array" ref="J1296">XLOOKUP(B1296,Roster!L:L,Roster!P:P,XLOOKUP(D1296,TicketsBreak!A:A,TicketsBreak!G:G,"",0),0)</f>
        <v>15:00 - 15:15</v>
      </c>
      <c r="K1296" s="310">
        <f t="shared" si="4"/>
        <v>46123</v>
      </c>
      <c r="L1296" s="317">
        <f t="array" ref="L1296">(XLOOKUP(D1296,Roster!F:F,Roster!D:D,"",0))</f>
        <v>38</v>
      </c>
      <c r="M1296" s="317" t="str">
        <f t="array" ref="M1296">XLOOKUP(D1296,Roster!F:F,Roster!E:E)</f>
        <v>Voice</v>
      </c>
      <c r="N1296" s="317" t="str">
        <f t="shared" ref="N1296:P1296" si="1317">LEFT(H1296,5)</f>
        <v>09:45</v>
      </c>
      <c r="O1296" s="317" t="str">
        <f t="shared" si="1317"/>
        <v>12:30</v>
      </c>
      <c r="P1296" s="317" t="str">
        <f t="shared" si="1317"/>
        <v>15:00</v>
      </c>
      <c r="Q1296" s="318">
        <f t="shared" si="1232"/>
        <v>46123.40625</v>
      </c>
      <c r="R1296" s="318">
        <f t="shared" si="1233"/>
        <v>46123.52083</v>
      </c>
      <c r="S1296" s="318">
        <f t="shared" si="8"/>
        <v>46123.625</v>
      </c>
    </row>
    <row r="1297">
      <c r="A1297" s="14" t="str">
        <f t="shared" si="1"/>
        <v>C71346123</v>
      </c>
      <c r="B1297" s="185" t="str">
        <f t="array" ref="B1297">IF(F1297="VL","",IF(F1297="Free","Free",XLOOKUP(D1297,Roster!T:T,Roster!S:S,"",0)))</f>
        <v>Free</v>
      </c>
      <c r="C1297" s="313">
        <v>46123.0</v>
      </c>
      <c r="D1297" s="314" t="s">
        <v>29</v>
      </c>
      <c r="E1297" s="307" t="str">
        <f t="array" ref="E1297">(XLOOKUP(D1297,Roster!F:F,Roster!B:B,"",0))</f>
        <v>Frank Marin</v>
      </c>
      <c r="F1297" s="315" t="str">
        <f t="array" ref="F1297">IF(B1297=100,"Free",TEXT(XLOOKUP($D1297,OperationVoice!$A:$A,OperationVoice!Q:Q,XLOOKUP($D1297,OperationTickets!$A:$A,OperationTickets!Q:Q,"",0)),"hh:mm"))</f>
        <v>Free</v>
      </c>
      <c r="G1297" s="309" t="str">
        <f t="shared" si="3"/>
        <v>Free</v>
      </c>
      <c r="H1297" s="316" t="str">
        <f t="array" ref="H1297">XLOOKUP(B1297,Roster!L:L,Roster!N:N,XLOOKUP(D1297,TicketsBreak!A:A,TicketsBreak!E:E,"",0),0)</f>
        <v/>
      </c>
      <c r="I1297" s="316" t="str">
        <f t="array" ref="I1297">XLOOKUP(B1297,Roster!L:L,Roster!O:O,XLOOKUP(D1297,TicketsBreak!A:A,TicketsBreak!F:F,"",0),0)</f>
        <v/>
      </c>
      <c r="J1297" s="316" t="str">
        <f t="array" ref="J1297">XLOOKUP(B1297,Roster!L:L,Roster!P:P,XLOOKUP(D1297,TicketsBreak!A:A,TicketsBreak!G:G,"",0),0)</f>
        <v/>
      </c>
      <c r="K1297" s="310">
        <f t="shared" si="4"/>
        <v>46123</v>
      </c>
      <c r="L1297" s="317">
        <f t="array" ref="L1297">(XLOOKUP(D1297,Roster!F:F,Roster!D:D,"",0))</f>
        <v>6</v>
      </c>
      <c r="M1297" s="317" t="str">
        <f t="array" ref="M1297">XLOOKUP(D1297,Roster!F:F,Roster!E:E)</f>
        <v>Voice</v>
      </c>
      <c r="N1297" s="317" t="str">
        <f t="shared" ref="N1297:P1297" si="1318">LEFT(H1297,5)</f>
        <v/>
      </c>
      <c r="O1297" s="317" t="str">
        <f t="shared" si="1318"/>
        <v/>
      </c>
      <c r="P1297" s="317" t="str">
        <f t="shared" si="1318"/>
        <v/>
      </c>
      <c r="Q1297" s="318" t="str">
        <f t="shared" si="1232"/>
        <v/>
      </c>
      <c r="R1297" s="318" t="str">
        <f t="shared" si="1233"/>
        <v/>
      </c>
      <c r="S1297" s="318" t="str">
        <f t="shared" si="8"/>
        <v/>
      </c>
    </row>
    <row r="1298">
      <c r="A1298" s="14" t="str">
        <f t="shared" si="1"/>
        <v>C154846123</v>
      </c>
      <c r="B1298" s="185">
        <f t="array" ref="B1298">IF(F1298="VL","",IF(F1298="Free","Free",XLOOKUP(D1298,Roster!T:T,Roster!S:S,"",0)))</f>
        <v>152</v>
      </c>
      <c r="C1298" s="313">
        <v>46123.0</v>
      </c>
      <c r="D1298" s="314" t="s">
        <v>30</v>
      </c>
      <c r="E1298" s="307" t="str">
        <f t="array" ref="E1298">(XLOOKUP(D1298,Roster!F:F,Roster!B:B,"",0))</f>
        <v>Frey ortiz</v>
      </c>
      <c r="F1298" s="315" t="str">
        <f t="array" ref="F1298">IF(B1298=100,"Free",TEXT(XLOOKUP($D1298,OperationVoice!$A:$A,OperationVoice!Q:Q,XLOOKUP($D1298,OperationTickets!$A:$A,OperationTickets!Q:Q,"",0)),"hh:mm"))</f>
        <v>11:00</v>
      </c>
      <c r="G1298" s="309">
        <f t="shared" si="3"/>
        <v>0.8333333333</v>
      </c>
      <c r="H1298" s="316" t="str">
        <f t="array" ref="H1298">XLOOKUP(B1298,Roster!L:L,Roster!N:N,XLOOKUP(D1298,TicketsBreak!A:A,TicketsBreak!E:E,"",0),0)</f>
        <v>12:30 - 12:45</v>
      </c>
      <c r="I1298" s="316" t="str">
        <f t="array" ref="I1298">XLOOKUP(B1298,Roster!L:L,Roster!O:O,XLOOKUP(D1298,TicketsBreak!A:A,TicketsBreak!F:F,"",0),0)</f>
        <v>14:30 - 15:00</v>
      </c>
      <c r="J1298" s="316" t="str">
        <f t="array" ref="J1298">XLOOKUP(B1298,Roster!L:L,Roster!P:P,XLOOKUP(D1298,TicketsBreak!A:A,TicketsBreak!G:G,"",0),0)</f>
        <v>17:30 - 17:45</v>
      </c>
      <c r="K1298" s="310">
        <f t="shared" si="4"/>
        <v>46123</v>
      </c>
      <c r="L1298" s="317">
        <f t="array" ref="L1298">(XLOOKUP(D1298,Roster!F:F,Roster!D:D,"",0))</f>
        <v>37</v>
      </c>
      <c r="M1298" s="317" t="str">
        <f t="array" ref="M1298">XLOOKUP(D1298,Roster!F:F,Roster!E:E)</f>
        <v>Voice</v>
      </c>
      <c r="N1298" s="317" t="str">
        <f t="shared" ref="N1298:P1298" si="1319">LEFT(H1298,5)</f>
        <v>12:30</v>
      </c>
      <c r="O1298" s="317" t="str">
        <f t="shared" si="1319"/>
        <v>14:30</v>
      </c>
      <c r="P1298" s="317" t="str">
        <f t="shared" si="1319"/>
        <v>17:30</v>
      </c>
      <c r="Q1298" s="318">
        <f t="shared" si="1232"/>
        <v>46123.52083</v>
      </c>
      <c r="R1298" s="318">
        <f t="shared" si="1233"/>
        <v>46123.60417</v>
      </c>
      <c r="S1298" s="318">
        <f t="shared" si="8"/>
        <v>46123.72917</v>
      </c>
    </row>
    <row r="1299">
      <c r="A1299" s="14" t="str">
        <f t="shared" si="1"/>
        <v>C148646123</v>
      </c>
      <c r="B1299" s="185">
        <f t="array" ref="B1299">IF(F1299="VL","",IF(F1299="Free","Free",XLOOKUP(D1299,Roster!T:T,Roster!S:S,"",0)))</f>
        <v>154</v>
      </c>
      <c r="C1299" s="313">
        <v>46123.0</v>
      </c>
      <c r="D1299" s="314" t="s">
        <v>31</v>
      </c>
      <c r="E1299" s="307" t="str">
        <f t="array" ref="E1299">(XLOOKUP(D1299,Roster!F:F,Roster!B:B,"",0))</f>
        <v>Gabriel Gomez</v>
      </c>
      <c r="F1299" s="315" t="str">
        <f t="array" ref="F1299">IF(B1299=100,"Free",TEXT(XLOOKUP($D1299,OperationVoice!$A:$A,OperationVoice!Q:Q,XLOOKUP($D1299,OperationTickets!$A:$A,OperationTickets!Q:Q,"",0)),"hh:mm"))</f>
        <v>11:00</v>
      </c>
      <c r="G1299" s="309">
        <f t="shared" si="3"/>
        <v>0.8333333333</v>
      </c>
      <c r="H1299" s="316" t="str">
        <f t="array" ref="H1299">XLOOKUP(B1299,Roster!L:L,Roster!N:N,XLOOKUP(D1299,TicketsBreak!A:A,TicketsBreak!E:E,"",0),0)</f>
        <v>13:00 - 13:15</v>
      </c>
      <c r="I1299" s="316" t="str">
        <f t="array" ref="I1299">XLOOKUP(B1299,Roster!L:L,Roster!O:O,XLOOKUP(D1299,TicketsBreak!A:A,TicketsBreak!F:F,"",0),0)</f>
        <v>15:15 - 15:45</v>
      </c>
      <c r="J1299" s="316" t="str">
        <f t="array" ref="J1299">XLOOKUP(B1299,Roster!L:L,Roster!P:P,XLOOKUP(D1299,TicketsBreak!A:A,TicketsBreak!G:G,"",0),0)</f>
        <v>18:00 - 18:15</v>
      </c>
      <c r="K1299" s="310">
        <f t="shared" si="4"/>
        <v>46123</v>
      </c>
      <c r="L1299" s="317">
        <f t="array" ref="L1299">(XLOOKUP(D1299,Roster!F:F,Roster!D:D,"",0))</f>
        <v>34</v>
      </c>
      <c r="M1299" s="317" t="str">
        <f t="array" ref="M1299">XLOOKUP(D1299,Roster!F:F,Roster!E:E)</f>
        <v>Voice</v>
      </c>
      <c r="N1299" s="317" t="str">
        <f t="shared" ref="N1299:P1299" si="1320">LEFT(H1299,5)</f>
        <v>13:00</v>
      </c>
      <c r="O1299" s="317" t="str">
        <f t="shared" si="1320"/>
        <v>15:15</v>
      </c>
      <c r="P1299" s="317" t="str">
        <f t="shared" si="1320"/>
        <v>18:00</v>
      </c>
      <c r="Q1299" s="318">
        <f t="shared" si="1232"/>
        <v>46123.54167</v>
      </c>
      <c r="R1299" s="318">
        <f t="shared" si="1233"/>
        <v>46123.63542</v>
      </c>
      <c r="S1299" s="318">
        <f t="shared" si="8"/>
        <v>46123.75</v>
      </c>
    </row>
    <row r="1300">
      <c r="A1300" s="14" t="str">
        <f t="shared" si="1"/>
        <v>C136946123</v>
      </c>
      <c r="B1300" s="185" t="str">
        <f t="array" ref="B1300">IF(F1300="VL","",IF(F1300="Free","Free",XLOOKUP(D1300,Roster!T:T,Roster!S:S,"",0)))</f>
        <v>Free</v>
      </c>
      <c r="C1300" s="313">
        <v>46123.0</v>
      </c>
      <c r="D1300" s="314" t="s">
        <v>157</v>
      </c>
      <c r="E1300" s="307" t="str">
        <f t="array" ref="E1300">(XLOOKUP(D1300,Roster!F:F,Roster!B:B,"",0))</f>
        <v>Gabriela Jimenez</v>
      </c>
      <c r="F1300" s="315" t="str">
        <f t="array" ref="F1300">IF(B1300=100,"Free",TEXT(XLOOKUP($D1300,OperationVoice!$A:$A,OperationVoice!Q:Q,XLOOKUP($D1300,OperationTickets!$A:$A,OperationTickets!Q:Q,"",0)),"hh:mm"))</f>
        <v>Free</v>
      </c>
      <c r="G1300" s="309" t="str">
        <f t="shared" si="3"/>
        <v>Free</v>
      </c>
      <c r="H1300" s="316" t="str">
        <f t="array" ref="H1300">XLOOKUP(B1300,Roster!L:L,Roster!N:N,XLOOKUP(D1300,TicketsBreak!A:A,TicketsBreak!E:E,"",0),0)</f>
        <v/>
      </c>
      <c r="I1300" s="316" t="str">
        <f t="array" ref="I1300">XLOOKUP(B1300,Roster!L:L,Roster!O:O,XLOOKUP(D1300,TicketsBreak!A:A,TicketsBreak!F:F,"",0),0)</f>
        <v/>
      </c>
      <c r="J1300" s="316" t="str">
        <f t="array" ref="J1300">XLOOKUP(B1300,Roster!L:L,Roster!P:P,XLOOKUP(D1300,TicketsBreak!A:A,TicketsBreak!G:G,"",0),0)</f>
        <v/>
      </c>
      <c r="K1300" s="310">
        <f t="shared" si="4"/>
        <v>46123</v>
      </c>
      <c r="L1300" s="317">
        <f t="array" ref="L1300">(XLOOKUP(D1300,Roster!F:F,Roster!D:D,"",0))</f>
        <v>31</v>
      </c>
      <c r="M1300" s="317" t="str">
        <f t="array" ref="M1300">XLOOKUP(D1300,Roster!F:F,Roster!E:E)</f>
        <v>Tickets</v>
      </c>
      <c r="N1300" s="317" t="str">
        <f t="shared" ref="N1300:P1300" si="1321">LEFT(H1300,5)</f>
        <v/>
      </c>
      <c r="O1300" s="317" t="str">
        <f t="shared" si="1321"/>
        <v/>
      </c>
      <c r="P1300" s="317" t="str">
        <f t="shared" si="1321"/>
        <v/>
      </c>
      <c r="Q1300" s="318" t="str">
        <f t="shared" si="1232"/>
        <v/>
      </c>
      <c r="R1300" s="318" t="str">
        <f t="shared" si="1233"/>
        <v/>
      </c>
      <c r="S1300" s="318" t="str">
        <f t="shared" si="8"/>
        <v/>
      </c>
    </row>
    <row r="1301">
      <c r="A1301" s="14" t="str">
        <f t="shared" si="1"/>
        <v>C101746123</v>
      </c>
      <c r="B1301" s="185" t="str">
        <f t="array" ref="B1301">IF(F1301="VL","",IF(F1301="Free","Free",XLOOKUP(D1301,Roster!T:T,Roster!S:S,"",0)))</f>
        <v>Free</v>
      </c>
      <c r="C1301" s="313">
        <v>46123.0</v>
      </c>
      <c r="D1301" s="314" t="s">
        <v>32</v>
      </c>
      <c r="E1301" s="307" t="str">
        <f t="array" ref="E1301">(XLOOKUP(D1301,Roster!F:F,Roster!B:B,"",0))</f>
        <v>Geraldine Correa</v>
      </c>
      <c r="F1301" s="315" t="str">
        <f t="array" ref="F1301">IF(B1301=100,"Free",TEXT(XLOOKUP($D1301,OperationVoice!$A:$A,OperationVoice!Q:Q,XLOOKUP($D1301,OperationTickets!$A:$A,OperationTickets!Q:Q,"",0)),"hh:mm"))</f>
        <v>Free</v>
      </c>
      <c r="G1301" s="309" t="str">
        <f t="shared" si="3"/>
        <v>Free</v>
      </c>
      <c r="H1301" s="316" t="str">
        <f t="array" ref="H1301">XLOOKUP(B1301,Roster!L:L,Roster!N:N,XLOOKUP(D1301,TicketsBreak!A:A,TicketsBreak!E:E,"",0),0)</f>
        <v/>
      </c>
      <c r="I1301" s="316" t="str">
        <f t="array" ref="I1301">XLOOKUP(B1301,Roster!L:L,Roster!O:O,XLOOKUP(D1301,TicketsBreak!A:A,TicketsBreak!F:F,"",0),0)</f>
        <v/>
      </c>
      <c r="J1301" s="316" t="str">
        <f t="array" ref="J1301">XLOOKUP(B1301,Roster!L:L,Roster!P:P,XLOOKUP(D1301,TicketsBreak!A:A,TicketsBreak!G:G,"",0),0)</f>
        <v/>
      </c>
      <c r="K1301" s="310">
        <f t="shared" si="4"/>
        <v>46123</v>
      </c>
      <c r="L1301" s="317">
        <f t="array" ref="L1301">(XLOOKUP(D1301,Roster!F:F,Roster!D:D,"",0))</f>
        <v>23</v>
      </c>
      <c r="M1301" s="317" t="str">
        <f t="array" ref="M1301">XLOOKUP(D1301,Roster!F:F,Roster!E:E)</f>
        <v>Voice</v>
      </c>
      <c r="N1301" s="317" t="str">
        <f t="shared" ref="N1301:P1301" si="1322">LEFT(H1301,5)</f>
        <v/>
      </c>
      <c r="O1301" s="317" t="str">
        <f t="shared" si="1322"/>
        <v/>
      </c>
      <c r="P1301" s="317" t="str">
        <f t="shared" si="1322"/>
        <v/>
      </c>
      <c r="Q1301" s="318" t="str">
        <f t="shared" si="1232"/>
        <v/>
      </c>
      <c r="R1301" s="318" t="str">
        <f t="shared" si="1233"/>
        <v/>
      </c>
      <c r="S1301" s="318" t="str">
        <f t="shared" si="8"/>
        <v/>
      </c>
    </row>
    <row r="1302">
      <c r="A1302" s="14" t="str">
        <f t="shared" si="1"/>
        <v>C154146123</v>
      </c>
      <c r="B1302" s="185">
        <f t="array" ref="B1302">IF(F1302="VL","",IF(F1302="Free","Free",XLOOKUP(D1302,Roster!T:T,Roster!S:S,"",0)))</f>
        <v>155</v>
      </c>
      <c r="C1302" s="313">
        <v>46123.0</v>
      </c>
      <c r="D1302" s="314" t="s">
        <v>33</v>
      </c>
      <c r="E1302" s="307" t="str">
        <f t="array" ref="E1302">(XLOOKUP(D1302,Roster!F:F,Roster!B:B,"",0))</f>
        <v>Gisel Moya</v>
      </c>
      <c r="F1302" s="315" t="str">
        <f t="array" ref="F1302">IF(B1302=100,"Free",TEXT(XLOOKUP($D1302,OperationVoice!$A:$A,OperationVoice!Q:Q,XLOOKUP($D1302,OperationTickets!$A:$A,OperationTickets!Q:Q,"",0)),"hh:mm"))</f>
        <v>11:00</v>
      </c>
      <c r="G1302" s="309">
        <f t="shared" si="3"/>
        <v>0.8333333333</v>
      </c>
      <c r="H1302" s="316" t="str">
        <f t="array" ref="H1302">XLOOKUP(B1302,Roster!L:L,Roster!N:N,XLOOKUP(D1302,TicketsBreak!A:A,TicketsBreak!E:E,"",0),0)</f>
        <v>13:15 - 13:30</v>
      </c>
      <c r="I1302" s="316" t="str">
        <f t="array" ref="I1302">XLOOKUP(B1302,Roster!L:L,Roster!O:O,XLOOKUP(D1302,TicketsBreak!A:A,TicketsBreak!F:F,"",0),0)</f>
        <v>15:45 - 16:15</v>
      </c>
      <c r="J1302" s="316" t="str">
        <f t="array" ref="J1302">XLOOKUP(B1302,Roster!L:L,Roster!P:P,XLOOKUP(D1302,TicketsBreak!A:A,TicketsBreak!G:G,"",0),0)</f>
        <v>18:15 - 18:30</v>
      </c>
      <c r="K1302" s="310">
        <f t="shared" si="4"/>
        <v>46123</v>
      </c>
      <c r="L1302" s="317">
        <f t="array" ref="L1302">(XLOOKUP(D1302,Roster!F:F,Roster!D:D,"",0))</f>
        <v>36</v>
      </c>
      <c r="M1302" s="317" t="str">
        <f t="array" ref="M1302">XLOOKUP(D1302,Roster!F:F,Roster!E:E)</f>
        <v>Voice</v>
      </c>
      <c r="N1302" s="317" t="str">
        <f t="shared" ref="N1302:P1302" si="1323">LEFT(H1302,5)</f>
        <v>13:15</v>
      </c>
      <c r="O1302" s="317" t="str">
        <f t="shared" si="1323"/>
        <v>15:45</v>
      </c>
      <c r="P1302" s="317" t="str">
        <f t="shared" si="1323"/>
        <v>18:15</v>
      </c>
      <c r="Q1302" s="318">
        <f t="shared" si="1232"/>
        <v>46123.55208</v>
      </c>
      <c r="R1302" s="318">
        <f t="shared" si="1233"/>
        <v>46123.65625</v>
      </c>
      <c r="S1302" s="318">
        <f t="shared" si="8"/>
        <v>46123.76042</v>
      </c>
    </row>
    <row r="1303">
      <c r="A1303" s="14" t="str">
        <f t="shared" si="1"/>
        <v>C86046123</v>
      </c>
      <c r="B1303" s="185" t="str">
        <f t="array" ref="B1303">IF(F1303="VL","",IF(F1303="Free","Free",XLOOKUP(D1303,Roster!T:T,Roster!S:S,"",0)))</f>
        <v/>
      </c>
      <c r="C1303" s="313">
        <v>46123.0</v>
      </c>
      <c r="D1303" s="314" t="s">
        <v>158</v>
      </c>
      <c r="E1303" s="307" t="str">
        <f t="array" ref="E1303">(XLOOKUP(D1303,Roster!F:F,Roster!B:B,"",0))</f>
        <v>Ief Fabre</v>
      </c>
      <c r="F1303" s="315" t="str">
        <f t="array" ref="F1303">IF(B1303=100,"Free",TEXT(XLOOKUP($D1303,OperationVoice!$A:$A,OperationVoice!Q:Q,XLOOKUP($D1303,OperationTickets!$A:$A,OperationTickets!Q:Q,"",0)),"hh:mm"))</f>
        <v>08:00</v>
      </c>
      <c r="G1303" s="309">
        <f t="shared" si="3"/>
        <v>0.7083333333</v>
      </c>
      <c r="H1303" s="316">
        <f t="array" ref="H1303">XLOOKUP(B1303,Roster!L:L,Roster!N:N,XLOOKUP(D1303,TicketsBreak!A:A,TicketsBreak!E:E,"",0),0)</f>
        <v>0.4166666667</v>
      </c>
      <c r="I1303" s="316">
        <f t="array" ref="I1303">XLOOKUP(B1303,Roster!L:L,Roster!O:O,XLOOKUP(D1303,TicketsBreak!A:A,TicketsBreak!F:F,"",0),0)</f>
        <v>0.5</v>
      </c>
      <c r="J1303" s="316">
        <f t="array" ref="J1303">XLOOKUP(B1303,Roster!L:L,Roster!P:P,XLOOKUP(D1303,TicketsBreak!A:A,TicketsBreak!G:G,"",0),0)</f>
        <v>0.625</v>
      </c>
      <c r="K1303" s="310">
        <f t="shared" si="4"/>
        <v>46123</v>
      </c>
      <c r="L1303" s="317">
        <f t="array" ref="L1303">(XLOOKUP(D1303,Roster!F:F,Roster!D:D,"",0))</f>
        <v>10</v>
      </c>
      <c r="M1303" s="317" t="str">
        <f t="array" ref="M1303">XLOOKUP(D1303,Roster!F:F,Roster!E:E)</f>
        <v>Tickets</v>
      </c>
      <c r="N1303" s="317" t="str">
        <f t="shared" ref="N1303:P1303" si="1324">LEFT(H1303,5)</f>
        <v>10:00</v>
      </c>
      <c r="O1303" s="317" t="str">
        <f t="shared" si="1324"/>
        <v>12:00</v>
      </c>
      <c r="P1303" s="317" t="str">
        <f t="shared" si="1324"/>
        <v>15:00</v>
      </c>
      <c r="Q1303" s="318">
        <f t="shared" si="1232"/>
        <v>46123.41667</v>
      </c>
      <c r="R1303" s="318">
        <f t="shared" si="1233"/>
        <v>46123.5</v>
      </c>
      <c r="S1303" s="318">
        <f t="shared" si="8"/>
        <v>46123.625</v>
      </c>
    </row>
    <row r="1304">
      <c r="A1304" s="14" t="str">
        <f t="shared" si="1"/>
        <v>C148146123</v>
      </c>
      <c r="B1304" s="185">
        <f t="array" ref="B1304">IF(F1304="VL","",IF(F1304="Free","Free",XLOOKUP(D1304,Roster!T:T,Roster!S:S,"",0)))</f>
        <v>155</v>
      </c>
      <c r="C1304" s="313">
        <v>46123.0</v>
      </c>
      <c r="D1304" s="314" t="s">
        <v>34</v>
      </c>
      <c r="E1304" s="307" t="str">
        <f t="array" ref="E1304">(XLOOKUP(D1304,Roster!F:F,Roster!B:B,"",0))</f>
        <v>Jasam Mejia</v>
      </c>
      <c r="F1304" s="315" t="str">
        <f t="array" ref="F1304">IF(B1304=100,"Free",TEXT(XLOOKUP($D1304,OperationVoice!$A:$A,OperationVoice!Q:Q,XLOOKUP($D1304,OperationTickets!$A:$A,OperationTickets!Q:Q,"",0)),"hh:mm"))</f>
        <v>10:00</v>
      </c>
      <c r="G1304" s="309">
        <f t="shared" si="3"/>
        <v>0.7916666667</v>
      </c>
      <c r="H1304" s="316" t="str">
        <f t="array" ref="H1304">XLOOKUP(B1304,Roster!L:L,Roster!N:N,XLOOKUP(D1304,TicketsBreak!A:A,TicketsBreak!E:E,"",0),0)</f>
        <v>13:15 - 13:30</v>
      </c>
      <c r="I1304" s="316" t="str">
        <f t="array" ref="I1304">XLOOKUP(B1304,Roster!L:L,Roster!O:O,XLOOKUP(D1304,TicketsBreak!A:A,TicketsBreak!F:F,"",0),0)</f>
        <v>15:45 - 16:15</v>
      </c>
      <c r="J1304" s="316" t="str">
        <f t="array" ref="J1304">XLOOKUP(B1304,Roster!L:L,Roster!P:P,XLOOKUP(D1304,TicketsBreak!A:A,TicketsBreak!G:G,"",0),0)</f>
        <v>18:15 - 18:30</v>
      </c>
      <c r="K1304" s="310">
        <f t="shared" si="4"/>
        <v>46123</v>
      </c>
      <c r="L1304" s="317">
        <f t="array" ref="L1304">(XLOOKUP(D1304,Roster!F:F,Roster!D:D,"",0))</f>
        <v>34</v>
      </c>
      <c r="M1304" s="317" t="str">
        <f t="array" ref="M1304">XLOOKUP(D1304,Roster!F:F,Roster!E:E)</f>
        <v>Voice</v>
      </c>
      <c r="N1304" s="317" t="str">
        <f t="shared" ref="N1304:P1304" si="1325">LEFT(H1304,5)</f>
        <v>13:15</v>
      </c>
      <c r="O1304" s="317" t="str">
        <f t="shared" si="1325"/>
        <v>15:45</v>
      </c>
      <c r="P1304" s="317" t="str">
        <f t="shared" si="1325"/>
        <v>18:15</v>
      </c>
      <c r="Q1304" s="318">
        <f t="shared" si="1232"/>
        <v>46123.55208</v>
      </c>
      <c r="R1304" s="318">
        <f t="shared" si="1233"/>
        <v>46123.65625</v>
      </c>
      <c r="S1304" s="318">
        <f t="shared" si="8"/>
        <v>46123.76042</v>
      </c>
    </row>
    <row r="1305">
      <c r="A1305" s="14" t="str">
        <f t="shared" si="1"/>
        <v>C131846123</v>
      </c>
      <c r="B1305" s="185" t="str">
        <f t="array" ref="B1305">IF(F1305="VL","",IF(F1305="Free","Free",XLOOKUP(D1305,Roster!T:T,Roster!S:S,"",0)))</f>
        <v/>
      </c>
      <c r="C1305" s="313">
        <v>46123.0</v>
      </c>
      <c r="D1305" s="314" t="s">
        <v>159</v>
      </c>
      <c r="E1305" s="307" t="str">
        <f t="array" ref="E1305">(XLOOKUP(D1305,Roster!F:F,Roster!B:B,"",0))</f>
        <v>Jeampierre Jaramillo</v>
      </c>
      <c r="F1305" s="315" t="str">
        <f t="array" ref="F1305">IF(B1305=100,"Free",TEXT(XLOOKUP($D1305,OperationVoice!$A:$A,OperationVoice!Q:Q,XLOOKUP($D1305,OperationTickets!$A:$A,OperationTickets!Q:Q,"",0)),"hh:mm"))</f>
        <v>07:00</v>
      </c>
      <c r="G1305" s="309">
        <f t="shared" si="3"/>
        <v>0.6666666667</v>
      </c>
      <c r="H1305" s="316" t="str">
        <f t="array" ref="H1305">XLOOKUP(B1305,Roster!L:L,Roster!N:N,XLOOKUP(D1305,TicketsBreak!A:A,TicketsBreak!E:E,"",0),0)</f>
        <v/>
      </c>
      <c r="I1305" s="316" t="str">
        <f t="array" ref="I1305">XLOOKUP(B1305,Roster!L:L,Roster!O:O,XLOOKUP(D1305,TicketsBreak!A:A,TicketsBreak!F:F,"",0),0)</f>
        <v/>
      </c>
      <c r="J1305" s="316" t="str">
        <f t="array" ref="J1305">XLOOKUP(B1305,Roster!L:L,Roster!P:P,XLOOKUP(D1305,TicketsBreak!A:A,TicketsBreak!G:G,"",0),0)</f>
        <v/>
      </c>
      <c r="K1305" s="310">
        <f t="shared" si="4"/>
        <v>46123</v>
      </c>
      <c r="L1305" s="317">
        <f t="array" ref="L1305">(XLOOKUP(D1305,Roster!F:F,Roster!D:D,"",0))</f>
        <v>29</v>
      </c>
      <c r="M1305" s="317" t="str">
        <f t="array" ref="M1305">XLOOKUP(D1305,Roster!F:F,Roster!E:E)</f>
        <v>Tickets</v>
      </c>
      <c r="N1305" s="317" t="str">
        <f t="shared" ref="N1305:P1305" si="1326">LEFT(H1305,5)</f>
        <v/>
      </c>
      <c r="O1305" s="317" t="str">
        <f t="shared" si="1326"/>
        <v/>
      </c>
      <c r="P1305" s="317" t="str">
        <f t="shared" si="1326"/>
        <v/>
      </c>
      <c r="Q1305" s="318" t="str">
        <f t="shared" si="1232"/>
        <v/>
      </c>
      <c r="R1305" s="318" t="str">
        <f t="shared" si="1233"/>
        <v/>
      </c>
      <c r="S1305" s="318" t="str">
        <f t="shared" si="8"/>
        <v/>
      </c>
    </row>
    <row r="1306">
      <c r="A1306" s="14" t="str">
        <f t="shared" si="1"/>
        <v>C155046123</v>
      </c>
      <c r="B1306" s="185" t="str">
        <f t="array" ref="B1306">IF(F1306="VL","",IF(F1306="Free","Free",XLOOKUP(D1306,Roster!T:T,Roster!S:S,"",0)))</f>
        <v>Free</v>
      </c>
      <c r="C1306" s="313">
        <v>46123.0</v>
      </c>
      <c r="D1306" s="314" t="s">
        <v>35</v>
      </c>
      <c r="E1306" s="307" t="str">
        <f t="array" ref="E1306">(XLOOKUP(D1306,Roster!F:F,Roster!B:B,"",0))</f>
        <v>Jeidin Vargas</v>
      </c>
      <c r="F1306" s="315" t="str">
        <f t="array" ref="F1306">IF(B1306=100,"Free",TEXT(XLOOKUP($D1306,OperationVoice!$A:$A,OperationVoice!Q:Q,XLOOKUP($D1306,OperationTickets!$A:$A,OperationTickets!Q:Q,"",0)),"hh:mm"))</f>
        <v>Free</v>
      </c>
      <c r="G1306" s="309" t="str">
        <f t="shared" si="3"/>
        <v>Free</v>
      </c>
      <c r="H1306" s="316" t="str">
        <f t="array" ref="H1306">XLOOKUP(B1306,Roster!L:L,Roster!N:N,XLOOKUP(D1306,TicketsBreak!A:A,TicketsBreak!E:E,"",0),0)</f>
        <v/>
      </c>
      <c r="I1306" s="316" t="str">
        <f t="array" ref="I1306">XLOOKUP(B1306,Roster!L:L,Roster!O:O,XLOOKUP(D1306,TicketsBreak!A:A,TicketsBreak!F:F,"",0),0)</f>
        <v/>
      </c>
      <c r="J1306" s="316" t="str">
        <f t="array" ref="J1306">XLOOKUP(B1306,Roster!L:L,Roster!P:P,XLOOKUP(D1306,TicketsBreak!A:A,TicketsBreak!G:G,"",0),0)</f>
        <v/>
      </c>
      <c r="K1306" s="310">
        <f t="shared" si="4"/>
        <v>46123</v>
      </c>
      <c r="L1306" s="317">
        <f t="array" ref="L1306">(XLOOKUP(D1306,Roster!F:F,Roster!D:D,"",0))</f>
        <v>37</v>
      </c>
      <c r="M1306" s="317" t="str">
        <f t="array" ref="M1306">XLOOKUP(D1306,Roster!F:F,Roster!E:E)</f>
        <v>Voice</v>
      </c>
      <c r="N1306" s="317" t="str">
        <f t="shared" ref="N1306:P1306" si="1327">LEFT(H1306,5)</f>
        <v/>
      </c>
      <c r="O1306" s="317" t="str">
        <f t="shared" si="1327"/>
        <v/>
      </c>
      <c r="P1306" s="317" t="str">
        <f t="shared" si="1327"/>
        <v/>
      </c>
      <c r="Q1306" s="318" t="str">
        <f t="shared" si="1232"/>
        <v/>
      </c>
      <c r="R1306" s="318" t="str">
        <f t="shared" si="1233"/>
        <v/>
      </c>
      <c r="S1306" s="318" t="str">
        <f t="shared" si="8"/>
        <v/>
      </c>
    </row>
    <row r="1307">
      <c r="A1307" s="14" t="str">
        <f t="shared" si="1"/>
        <v>C51246123</v>
      </c>
      <c r="B1307" s="185" t="str">
        <f t="array" ref="B1307">IF(F1307="VL","",IF(F1307="Free","Free",XLOOKUP(D1307,Roster!T:T,Roster!S:S,"",0)))</f>
        <v>Free</v>
      </c>
      <c r="C1307" s="313">
        <v>46123.0</v>
      </c>
      <c r="D1307" s="314" t="s">
        <v>36</v>
      </c>
      <c r="E1307" s="307" t="str">
        <f t="array" ref="E1307">(XLOOKUP(D1307,Roster!F:F,Roster!B:B,"",0))</f>
        <v>Jhoam Quiroz</v>
      </c>
      <c r="F1307" s="315" t="str">
        <f t="array" ref="F1307">IF(B1307=100,"Free",TEXT(XLOOKUP($D1307,OperationVoice!$A:$A,OperationVoice!Q:Q,XLOOKUP($D1307,OperationTickets!$A:$A,OperationTickets!Q:Q,"",0)),"hh:mm"))</f>
        <v>Free</v>
      </c>
      <c r="G1307" s="309" t="str">
        <f t="shared" si="3"/>
        <v>Free</v>
      </c>
      <c r="H1307" s="316" t="str">
        <f t="array" ref="H1307">XLOOKUP(B1307,Roster!L:L,Roster!N:N,XLOOKUP(D1307,TicketsBreak!A:A,TicketsBreak!E:E,"",0),0)</f>
        <v/>
      </c>
      <c r="I1307" s="316" t="str">
        <f t="array" ref="I1307">XLOOKUP(B1307,Roster!L:L,Roster!O:O,XLOOKUP(D1307,TicketsBreak!A:A,TicketsBreak!F:F,"",0),0)</f>
        <v/>
      </c>
      <c r="J1307" s="316" t="str">
        <f t="array" ref="J1307">XLOOKUP(B1307,Roster!L:L,Roster!P:P,XLOOKUP(D1307,TicketsBreak!A:A,TicketsBreak!G:G,"",0),0)</f>
        <v/>
      </c>
      <c r="K1307" s="310">
        <f t="shared" si="4"/>
        <v>46123</v>
      </c>
      <c r="L1307" s="317">
        <f t="array" ref="L1307">(XLOOKUP(D1307,Roster!F:F,Roster!D:D,"",0))</f>
        <v>1</v>
      </c>
      <c r="M1307" s="317" t="str">
        <f t="array" ref="M1307">XLOOKUP(D1307,Roster!F:F,Roster!E:E)</f>
        <v>Voice</v>
      </c>
      <c r="N1307" s="317" t="str">
        <f t="shared" ref="N1307:P1307" si="1328">LEFT(H1307,5)</f>
        <v/>
      </c>
      <c r="O1307" s="317" t="str">
        <f t="shared" si="1328"/>
        <v/>
      </c>
      <c r="P1307" s="317" t="str">
        <f t="shared" si="1328"/>
        <v/>
      </c>
      <c r="Q1307" s="318" t="str">
        <f t="shared" si="1232"/>
        <v/>
      </c>
      <c r="R1307" s="318" t="str">
        <f t="shared" si="1233"/>
        <v/>
      </c>
      <c r="S1307" s="318" t="str">
        <f t="shared" si="8"/>
        <v/>
      </c>
    </row>
    <row r="1308">
      <c r="A1308" s="14" t="str">
        <f t="shared" si="1"/>
        <v>C150946123</v>
      </c>
      <c r="B1308" s="185">
        <f t="array" ref="B1308">IF(F1308="VL","",IF(F1308="Free","Free",XLOOKUP(D1308,Roster!T:T,Roster!S:S,"",0)))</f>
        <v>121</v>
      </c>
      <c r="C1308" s="313">
        <v>46123.0</v>
      </c>
      <c r="D1308" s="314" t="s">
        <v>37</v>
      </c>
      <c r="E1308" s="307" t="str">
        <f t="array" ref="E1308">(XLOOKUP(D1308,Roster!F:F,Roster!B:B,"",0))</f>
        <v>Jhonatan Gomez</v>
      </c>
      <c r="F1308" s="315" t="str">
        <f t="array" ref="F1308">IF(B1308=100,"Free",TEXT(XLOOKUP($D1308,OperationVoice!$A:$A,OperationVoice!Q:Q,XLOOKUP($D1308,OperationTickets!$A:$A,OperationTickets!Q:Q,"",0)),"hh:mm"))</f>
        <v>08:00</v>
      </c>
      <c r="G1308" s="309">
        <f t="shared" si="3"/>
        <v>0.7083333333</v>
      </c>
      <c r="H1308" s="316" t="str">
        <f t="array" ref="H1308">XLOOKUP(B1308,Roster!L:L,Roster!N:N,XLOOKUP(D1308,TicketsBreak!A:A,TicketsBreak!E:E,"",0),0)</f>
        <v>09:15 - 09:30</v>
      </c>
      <c r="I1308" s="316" t="str">
        <f t="array" ref="I1308">XLOOKUP(B1308,Roster!L:L,Roster!O:O,XLOOKUP(D1308,TicketsBreak!A:A,TicketsBreak!F:F,"",0),0)</f>
        <v>11:30 - 12:00</v>
      </c>
      <c r="J1308" s="316" t="str">
        <f t="array" ref="J1308">XLOOKUP(B1308,Roster!L:L,Roster!P:P,XLOOKUP(D1308,TicketsBreak!A:A,TicketsBreak!G:G,"",0),0)</f>
        <v>14:30 - 14:45</v>
      </c>
      <c r="K1308" s="310">
        <f t="shared" si="4"/>
        <v>46123</v>
      </c>
      <c r="L1308" s="317">
        <f t="array" ref="L1308">(XLOOKUP(D1308,Roster!F:F,Roster!D:D,"",0))</f>
        <v>35</v>
      </c>
      <c r="M1308" s="317" t="str">
        <f t="array" ref="M1308">XLOOKUP(D1308,Roster!F:F,Roster!E:E)</f>
        <v>Voice</v>
      </c>
      <c r="N1308" s="317" t="str">
        <f t="shared" ref="N1308:P1308" si="1329">LEFT(H1308,5)</f>
        <v>09:15</v>
      </c>
      <c r="O1308" s="317" t="str">
        <f t="shared" si="1329"/>
        <v>11:30</v>
      </c>
      <c r="P1308" s="317" t="str">
        <f t="shared" si="1329"/>
        <v>14:30</v>
      </c>
      <c r="Q1308" s="318">
        <f t="shared" si="1232"/>
        <v>46123.38542</v>
      </c>
      <c r="R1308" s="318">
        <f t="shared" si="1233"/>
        <v>46123.47917</v>
      </c>
      <c r="S1308" s="318">
        <f t="shared" si="8"/>
        <v>46123.60417</v>
      </c>
    </row>
    <row r="1309">
      <c r="A1309" s="14" t="str">
        <f t="shared" si="1"/>
        <v>C151546123</v>
      </c>
      <c r="B1309" s="185">
        <f t="array" ref="B1309">IF(F1309="VL","",IF(F1309="Free","Free",XLOOKUP(D1309,Roster!T:T,Roster!S:S,"",0)))</f>
        <v>151</v>
      </c>
      <c r="C1309" s="313">
        <v>46123.0</v>
      </c>
      <c r="D1309" s="314" t="s">
        <v>38</v>
      </c>
      <c r="E1309" s="307" t="str">
        <f t="array" ref="E1309">(XLOOKUP(D1309,Roster!F:F,Roster!B:B,"",0))</f>
        <v>Joan Perez</v>
      </c>
      <c r="F1309" s="315" t="str">
        <f t="array" ref="F1309">IF(B1309=100,"Free",TEXT(XLOOKUP($D1309,OperationVoice!$A:$A,OperationVoice!Q:Q,XLOOKUP($D1309,OperationTickets!$A:$A,OperationTickets!Q:Q,"",0)),"hh:mm"))</f>
        <v/>
      </c>
      <c r="G1309" s="309" t="str">
        <f t="shared" si="3"/>
        <v/>
      </c>
      <c r="H1309" s="316" t="str">
        <f t="array" ref="H1309">XLOOKUP(B1309,Roster!L:L,Roster!N:N,XLOOKUP(D1309,TicketsBreak!A:A,TicketsBreak!E:E,"",0),0)</f>
        <v>12:15 - 12:30</v>
      </c>
      <c r="I1309" s="316" t="str">
        <f t="array" ref="I1309">XLOOKUP(B1309,Roster!L:L,Roster!O:O,XLOOKUP(D1309,TicketsBreak!A:A,TicketsBreak!F:F,"",0),0)</f>
        <v>14:00 - 14:30</v>
      </c>
      <c r="J1309" s="316" t="str">
        <f t="array" ref="J1309">XLOOKUP(B1309,Roster!L:L,Roster!P:P,XLOOKUP(D1309,TicketsBreak!A:A,TicketsBreak!G:G,"",0),0)</f>
        <v>17:15 - 17:30</v>
      </c>
      <c r="K1309" s="310">
        <f t="shared" si="4"/>
        <v>46123</v>
      </c>
      <c r="L1309" s="317">
        <f t="array" ref="L1309">(XLOOKUP(D1309,Roster!F:F,Roster!D:D,"",0))</f>
        <v>35</v>
      </c>
      <c r="M1309" s="317" t="str">
        <f t="array" ref="M1309">XLOOKUP(D1309,Roster!F:F,Roster!E:E)</f>
        <v>Voice</v>
      </c>
      <c r="N1309" s="317" t="str">
        <f t="shared" ref="N1309:P1309" si="1330">LEFT(H1309,5)</f>
        <v>12:15</v>
      </c>
      <c r="O1309" s="317" t="str">
        <f t="shared" si="1330"/>
        <v>14:00</v>
      </c>
      <c r="P1309" s="317" t="str">
        <f t="shared" si="1330"/>
        <v>17:15</v>
      </c>
      <c r="Q1309" s="318">
        <f t="shared" si="1232"/>
        <v>46123.51042</v>
      </c>
      <c r="R1309" s="318">
        <f t="shared" si="1233"/>
        <v>46123.58333</v>
      </c>
      <c r="S1309" s="318">
        <f t="shared" si="8"/>
        <v>46123.71875</v>
      </c>
    </row>
    <row r="1310">
      <c r="A1310" s="14" t="str">
        <f t="shared" si="1"/>
        <v>C128946123</v>
      </c>
      <c r="B1310" s="185" t="str">
        <f t="array" ref="B1310">IF(F1310="VL","",IF(F1310="Free","Free",XLOOKUP(D1310,Roster!T:T,Roster!S:S,"",0)))</f>
        <v>Free</v>
      </c>
      <c r="C1310" s="313">
        <v>46123.0</v>
      </c>
      <c r="D1310" s="314" t="s">
        <v>140</v>
      </c>
      <c r="E1310" s="307" t="str">
        <f t="array" ref="E1310">(XLOOKUP(D1310,Roster!F:F,Roster!B:B,"",0))</f>
        <v>Johana Villarreal</v>
      </c>
      <c r="F1310" s="315" t="str">
        <f t="array" ref="F1310">IF(B1310=100,"Free",TEXT(XLOOKUP($D1310,OperationVoice!$A:$A,OperationVoice!Q:Q,XLOOKUP($D1310,OperationTickets!$A:$A,OperationTickets!Q:Q,"",0)),"hh:mm"))</f>
        <v>Free</v>
      </c>
      <c r="G1310" s="309" t="str">
        <f t="shared" si="3"/>
        <v>Free</v>
      </c>
      <c r="H1310" s="316" t="str">
        <f t="array" ref="H1310">XLOOKUP(B1310,Roster!L:L,Roster!N:N,XLOOKUP(D1310,TicketsBreak!A:A,TicketsBreak!E:E,"",0),0)</f>
        <v/>
      </c>
      <c r="I1310" s="316" t="str">
        <f t="array" ref="I1310">XLOOKUP(B1310,Roster!L:L,Roster!O:O,XLOOKUP(D1310,TicketsBreak!A:A,TicketsBreak!F:F,"",0),0)</f>
        <v/>
      </c>
      <c r="J1310" s="316" t="str">
        <f t="array" ref="J1310">XLOOKUP(B1310,Roster!L:L,Roster!P:P,XLOOKUP(D1310,TicketsBreak!A:A,TicketsBreak!G:G,"",0),0)</f>
        <v/>
      </c>
      <c r="K1310" s="310">
        <f t="shared" si="4"/>
        <v>46123</v>
      </c>
      <c r="L1310" s="317">
        <f t="array" ref="L1310">(XLOOKUP(D1310,Roster!F:F,Roster!D:D,"",0))</f>
        <v>28</v>
      </c>
      <c r="M1310" s="317" t="str">
        <f t="array" ref="M1310">XLOOKUP(D1310,Roster!F:F,Roster!E:E)</f>
        <v>Tickets</v>
      </c>
      <c r="N1310" s="317" t="str">
        <f t="shared" ref="N1310:P1310" si="1331">LEFT(H1310,5)</f>
        <v/>
      </c>
      <c r="O1310" s="317" t="str">
        <f t="shared" si="1331"/>
        <v/>
      </c>
      <c r="P1310" s="317" t="str">
        <f t="shared" si="1331"/>
        <v/>
      </c>
      <c r="Q1310" s="318" t="str">
        <f t="shared" si="1232"/>
        <v/>
      </c>
      <c r="R1310" s="318" t="str">
        <f t="shared" si="1233"/>
        <v/>
      </c>
      <c r="S1310" s="318" t="str">
        <f t="shared" si="8"/>
        <v/>
      </c>
    </row>
    <row r="1311">
      <c r="A1311" s="14" t="str">
        <f t="shared" si="1"/>
        <v>C155146123</v>
      </c>
      <c r="B1311" s="185">
        <f t="array" ref="B1311">IF(F1311="VL","",IF(F1311="Free","Free",XLOOKUP(D1311,Roster!T:T,Roster!S:S,"",0)))</f>
        <v>124</v>
      </c>
      <c r="C1311" s="313">
        <v>46123.0</v>
      </c>
      <c r="D1311" s="314" t="s">
        <v>39</v>
      </c>
      <c r="E1311" s="307" t="str">
        <f t="array" ref="E1311">(XLOOKUP(D1311,Roster!F:F,Roster!B:B,"",0))</f>
        <v>John Atilano</v>
      </c>
      <c r="F1311" s="315" t="str">
        <f t="array" ref="F1311">IF(B1311=100,"Free",TEXT(XLOOKUP($D1311,OperationVoice!$A:$A,OperationVoice!Q:Q,XLOOKUP($D1311,OperationTickets!$A:$A,OperationTickets!Q:Q,"",0)),"hh:mm"))</f>
        <v>08:00</v>
      </c>
      <c r="G1311" s="309">
        <f t="shared" si="3"/>
        <v>0.7083333333</v>
      </c>
      <c r="H1311" s="316" t="str">
        <f t="array" ref="H1311">XLOOKUP(B1311,Roster!L:L,Roster!N:N,XLOOKUP(D1311,TicketsBreak!A:A,TicketsBreak!E:E,"",0),0)</f>
        <v>10:00 - 10:15</v>
      </c>
      <c r="I1311" s="316" t="str">
        <f t="array" ref="I1311">XLOOKUP(B1311,Roster!L:L,Roster!O:O,XLOOKUP(D1311,TicketsBreak!A:A,TicketsBreak!F:F,"",0),0)</f>
        <v>13:00 - 13:30</v>
      </c>
      <c r="J1311" s="316" t="str">
        <f t="array" ref="J1311">XLOOKUP(B1311,Roster!L:L,Roster!P:P,XLOOKUP(D1311,TicketsBreak!A:A,TicketsBreak!G:G,"",0),0)</f>
        <v>15:30 - 15:45</v>
      </c>
      <c r="K1311" s="310">
        <f t="shared" si="4"/>
        <v>46123</v>
      </c>
      <c r="L1311" s="317">
        <f t="array" ref="L1311">(XLOOKUP(D1311,Roster!F:F,Roster!D:D,"",0))</f>
        <v>37</v>
      </c>
      <c r="M1311" s="317" t="str">
        <f t="array" ref="M1311">XLOOKUP(D1311,Roster!F:F,Roster!E:E)</f>
        <v>Voice</v>
      </c>
      <c r="N1311" s="317" t="str">
        <f t="shared" ref="N1311:P1311" si="1332">LEFT(H1311,5)</f>
        <v>10:00</v>
      </c>
      <c r="O1311" s="317" t="str">
        <f t="shared" si="1332"/>
        <v>13:00</v>
      </c>
      <c r="P1311" s="317" t="str">
        <f t="shared" si="1332"/>
        <v>15:30</v>
      </c>
      <c r="Q1311" s="318">
        <f t="shared" si="1232"/>
        <v>46123.41667</v>
      </c>
      <c r="R1311" s="318">
        <f t="shared" si="1233"/>
        <v>46123.54167</v>
      </c>
      <c r="S1311" s="318">
        <f t="shared" si="8"/>
        <v>46123.64583</v>
      </c>
    </row>
    <row r="1312">
      <c r="A1312" s="14" t="str">
        <f t="shared" si="1"/>
        <v>C154346123</v>
      </c>
      <c r="B1312" s="185" t="str">
        <f t="array" ref="B1312">IF(F1312="VL","",IF(F1312="Free","Free",XLOOKUP(D1312,Roster!T:T,Roster!S:S,"",0)))</f>
        <v>Free</v>
      </c>
      <c r="C1312" s="313">
        <v>46123.0</v>
      </c>
      <c r="D1312" s="314" t="s">
        <v>40</v>
      </c>
      <c r="E1312" s="307" t="str">
        <f t="array" ref="E1312">(XLOOKUP(D1312,Roster!F:F,Roster!B:B,"",0))</f>
        <v>John Palacio</v>
      </c>
      <c r="F1312" s="315" t="str">
        <f t="array" ref="F1312">IF(B1312=100,"Free",TEXT(XLOOKUP($D1312,OperationVoice!$A:$A,OperationVoice!Q:Q,XLOOKUP($D1312,OperationTickets!$A:$A,OperationTickets!Q:Q,"",0)),"hh:mm"))</f>
        <v>Free</v>
      </c>
      <c r="G1312" s="309" t="str">
        <f t="shared" si="3"/>
        <v>Free</v>
      </c>
      <c r="H1312" s="316" t="str">
        <f t="array" ref="H1312">XLOOKUP(B1312,Roster!L:L,Roster!N:N,XLOOKUP(D1312,TicketsBreak!A:A,TicketsBreak!E:E,"",0),0)</f>
        <v/>
      </c>
      <c r="I1312" s="316" t="str">
        <f t="array" ref="I1312">XLOOKUP(B1312,Roster!L:L,Roster!O:O,XLOOKUP(D1312,TicketsBreak!A:A,TicketsBreak!F:F,"",0),0)</f>
        <v/>
      </c>
      <c r="J1312" s="316" t="str">
        <f t="array" ref="J1312">XLOOKUP(B1312,Roster!L:L,Roster!P:P,XLOOKUP(D1312,TicketsBreak!A:A,TicketsBreak!G:G,"",0),0)</f>
        <v/>
      </c>
      <c r="K1312" s="310">
        <f t="shared" si="4"/>
        <v>46123</v>
      </c>
      <c r="L1312" s="317">
        <f t="array" ref="L1312">(XLOOKUP(D1312,Roster!F:F,Roster!D:D,"",0))</f>
        <v>36</v>
      </c>
      <c r="M1312" s="317" t="str">
        <f t="array" ref="M1312">XLOOKUP(D1312,Roster!F:F,Roster!E:E)</f>
        <v>Voice</v>
      </c>
      <c r="N1312" s="317" t="str">
        <f t="shared" ref="N1312:P1312" si="1333">LEFT(H1312,5)</f>
        <v/>
      </c>
      <c r="O1312" s="317" t="str">
        <f t="shared" si="1333"/>
        <v/>
      </c>
      <c r="P1312" s="317" t="str">
        <f t="shared" si="1333"/>
        <v/>
      </c>
      <c r="Q1312" s="318" t="str">
        <f t="shared" si="1232"/>
        <v/>
      </c>
      <c r="R1312" s="318" t="str">
        <f t="shared" si="1233"/>
        <v/>
      </c>
      <c r="S1312" s="318" t="str">
        <f t="shared" si="8"/>
        <v/>
      </c>
    </row>
    <row r="1313">
      <c r="A1313" s="14" t="str">
        <f t="shared" si="1"/>
        <v>C154246123</v>
      </c>
      <c r="B1313" s="185" t="str">
        <f t="array" ref="B1313">IF(F1313="VL","",IF(F1313="Free","Free",XLOOKUP(D1313,Roster!T:T,Roster!S:S,"",0)))</f>
        <v>Free</v>
      </c>
      <c r="C1313" s="313">
        <v>46123.0</v>
      </c>
      <c r="D1313" s="314" t="s">
        <v>41</v>
      </c>
      <c r="E1313" s="307" t="str">
        <f t="array" ref="E1313">(XLOOKUP(D1313,Roster!F:F,Roster!B:B,"",0))</f>
        <v>Johny Garcia</v>
      </c>
      <c r="F1313" s="315" t="str">
        <f t="array" ref="F1313">IF(B1313=100,"Free",TEXT(XLOOKUP($D1313,OperationVoice!$A:$A,OperationVoice!Q:Q,XLOOKUP($D1313,OperationTickets!$A:$A,OperationTickets!Q:Q,"",0)),"hh:mm"))</f>
        <v>Free</v>
      </c>
      <c r="G1313" s="309" t="str">
        <f t="shared" si="3"/>
        <v>Free</v>
      </c>
      <c r="H1313" s="316" t="str">
        <f t="array" ref="H1313">XLOOKUP(B1313,Roster!L:L,Roster!N:N,XLOOKUP(D1313,TicketsBreak!A:A,TicketsBreak!E:E,"",0),0)</f>
        <v/>
      </c>
      <c r="I1313" s="316" t="str">
        <f t="array" ref="I1313">XLOOKUP(B1313,Roster!L:L,Roster!O:O,XLOOKUP(D1313,TicketsBreak!A:A,TicketsBreak!F:F,"",0),0)</f>
        <v/>
      </c>
      <c r="J1313" s="316" t="str">
        <f t="array" ref="J1313">XLOOKUP(B1313,Roster!L:L,Roster!P:P,XLOOKUP(D1313,TicketsBreak!A:A,TicketsBreak!G:G,"",0),0)</f>
        <v/>
      </c>
      <c r="K1313" s="310">
        <f t="shared" si="4"/>
        <v>46123</v>
      </c>
      <c r="L1313" s="317">
        <f t="array" ref="L1313">(XLOOKUP(D1313,Roster!F:F,Roster!D:D,"",0))</f>
        <v>36</v>
      </c>
      <c r="M1313" s="317" t="str">
        <f t="array" ref="M1313">XLOOKUP(D1313,Roster!F:F,Roster!E:E)</f>
        <v>Voice</v>
      </c>
      <c r="N1313" s="317" t="str">
        <f t="shared" ref="N1313:P1313" si="1334">LEFT(H1313,5)</f>
        <v/>
      </c>
      <c r="O1313" s="317" t="str">
        <f t="shared" si="1334"/>
        <v/>
      </c>
      <c r="P1313" s="317" t="str">
        <f t="shared" si="1334"/>
        <v/>
      </c>
      <c r="Q1313" s="318" t="str">
        <f t="shared" si="1232"/>
        <v/>
      </c>
      <c r="R1313" s="318" t="str">
        <f t="shared" si="1233"/>
        <v/>
      </c>
      <c r="S1313" s="318" t="str">
        <f t="shared" si="8"/>
        <v/>
      </c>
    </row>
    <row r="1314">
      <c r="A1314" s="14" t="str">
        <f t="shared" si="1"/>
        <v>C156946123</v>
      </c>
      <c r="B1314" s="185">
        <f t="array" ref="B1314">IF(F1314="VL","",IF(F1314="Free","Free",XLOOKUP(D1314,Roster!T:T,Roster!S:S,"",0)))</f>
        <v>121</v>
      </c>
      <c r="C1314" s="313">
        <v>46123.0</v>
      </c>
      <c r="D1314" s="314" t="s">
        <v>42</v>
      </c>
      <c r="E1314" s="307" t="str">
        <f t="array" ref="E1314">(XLOOKUP(D1314,Roster!F:F,Roster!B:B,"",0))</f>
        <v>Jorge Orozco</v>
      </c>
      <c r="F1314" s="315" t="str">
        <f t="array" ref="F1314">IF(B1314=100,"Free",TEXT(XLOOKUP($D1314,OperationVoice!$A:$A,OperationVoice!Q:Q,XLOOKUP($D1314,OperationTickets!$A:$A,OperationTickets!Q:Q,"",0)),"hh:mm"))</f>
        <v>08:00</v>
      </c>
      <c r="G1314" s="309">
        <f t="shared" si="3"/>
        <v>0.7083333333</v>
      </c>
      <c r="H1314" s="316" t="str">
        <f t="array" ref="H1314">XLOOKUP(B1314,Roster!L:L,Roster!N:N,XLOOKUP(D1314,TicketsBreak!A:A,TicketsBreak!E:E,"",0),0)</f>
        <v>09:15 - 09:30</v>
      </c>
      <c r="I1314" s="316" t="str">
        <f t="array" ref="I1314">XLOOKUP(B1314,Roster!L:L,Roster!O:O,XLOOKUP(D1314,TicketsBreak!A:A,TicketsBreak!F:F,"",0),0)</f>
        <v>11:30 - 12:00</v>
      </c>
      <c r="J1314" s="316" t="str">
        <f t="array" ref="J1314">XLOOKUP(B1314,Roster!L:L,Roster!P:P,XLOOKUP(D1314,TicketsBreak!A:A,TicketsBreak!G:G,"",0),0)</f>
        <v>14:30 - 14:45</v>
      </c>
      <c r="K1314" s="310">
        <f t="shared" si="4"/>
        <v>46123</v>
      </c>
      <c r="L1314" s="317">
        <f t="array" ref="L1314">(XLOOKUP(D1314,Roster!F:F,Roster!D:D,"",0))</f>
        <v>38</v>
      </c>
      <c r="M1314" s="317" t="str">
        <f t="array" ref="M1314">XLOOKUP(D1314,Roster!F:F,Roster!E:E)</f>
        <v>Voice</v>
      </c>
      <c r="N1314" s="317" t="str">
        <f t="shared" ref="N1314:P1314" si="1335">LEFT(H1314,5)</f>
        <v>09:15</v>
      </c>
      <c r="O1314" s="317" t="str">
        <f t="shared" si="1335"/>
        <v>11:30</v>
      </c>
      <c r="P1314" s="317" t="str">
        <f t="shared" si="1335"/>
        <v>14:30</v>
      </c>
      <c r="Q1314" s="318">
        <f t="shared" si="1232"/>
        <v>46123.38542</v>
      </c>
      <c r="R1314" s="318">
        <f t="shared" si="1233"/>
        <v>46123.47917</v>
      </c>
      <c r="S1314" s="318">
        <f t="shared" si="8"/>
        <v>46123.60417</v>
      </c>
    </row>
    <row r="1315">
      <c r="A1315" s="14" t="str">
        <f t="shared" si="1"/>
        <v>C102746123</v>
      </c>
      <c r="B1315" s="185" t="str">
        <f t="array" ref="B1315">IF(F1315="VL","",IF(F1315="Free","Free",XLOOKUP(D1315,Roster!T:T,Roster!S:S,"",0)))</f>
        <v/>
      </c>
      <c r="C1315" s="313">
        <v>46123.0</v>
      </c>
      <c r="D1315" s="314" t="s">
        <v>160</v>
      </c>
      <c r="E1315" s="307" t="str">
        <f t="array" ref="E1315">(XLOOKUP(D1315,Roster!F:F,Roster!B:B,"",0))</f>
        <v>Jose Perez</v>
      </c>
      <c r="F1315" s="315" t="str">
        <f t="array" ref="F1315">IF(B1315=100,"Free",TEXT(XLOOKUP($D1315,OperationVoice!$A:$A,OperationVoice!Q:Q,XLOOKUP($D1315,OperationTickets!$A:$A,OperationTickets!Q:Q,"",0)),"hh:mm"))</f>
        <v>VL</v>
      </c>
      <c r="G1315" s="309" t="str">
        <f t="shared" si="3"/>
        <v>VL</v>
      </c>
      <c r="H1315" s="316">
        <f t="array" ref="H1315">XLOOKUP(B1315,Roster!L:L,Roster!N:N,XLOOKUP(D1315,TicketsBreak!A:A,TicketsBreak!E:E,"",0),0)</f>
        <v>0.4166666667</v>
      </c>
      <c r="I1315" s="316">
        <f t="array" ref="I1315">XLOOKUP(B1315,Roster!L:L,Roster!O:O,XLOOKUP(D1315,TicketsBreak!A:A,TicketsBreak!F:F,"",0),0)</f>
        <v>0.5208333333</v>
      </c>
      <c r="J1315" s="316">
        <f t="array" ref="J1315">XLOOKUP(B1315,Roster!L:L,Roster!P:P,XLOOKUP(D1315,TicketsBreak!A:A,TicketsBreak!G:G,"",0),0)</f>
        <v>0.6354166667</v>
      </c>
      <c r="K1315" s="310">
        <f t="shared" si="4"/>
        <v>46123</v>
      </c>
      <c r="L1315" s="317">
        <f t="array" ref="L1315">(XLOOKUP(D1315,Roster!F:F,Roster!D:D,"",0))</f>
        <v>15</v>
      </c>
      <c r="M1315" s="317" t="str">
        <f t="array" ref="M1315">XLOOKUP(D1315,Roster!F:F,Roster!E:E)</f>
        <v>Tickets</v>
      </c>
      <c r="N1315" s="317" t="str">
        <f t="shared" ref="N1315:P1315" si="1336">LEFT(H1315,5)</f>
        <v>10:00</v>
      </c>
      <c r="O1315" s="317" t="str">
        <f t="shared" si="1336"/>
        <v>12:30</v>
      </c>
      <c r="P1315" s="317" t="str">
        <f t="shared" si="1336"/>
        <v>15:15</v>
      </c>
      <c r="Q1315" s="318">
        <f t="shared" si="1232"/>
        <v>46123.41667</v>
      </c>
      <c r="R1315" s="318">
        <f t="shared" si="1233"/>
        <v>46123.52083</v>
      </c>
      <c r="S1315" s="318">
        <f t="shared" si="8"/>
        <v>46123.63542</v>
      </c>
    </row>
    <row r="1316">
      <c r="A1316" s="14" t="str">
        <f t="shared" si="1"/>
        <v>C142646123</v>
      </c>
      <c r="B1316" s="185">
        <f t="array" ref="B1316">IF(F1316="VL","",IF(F1316="Free","Free",XLOOKUP(D1316,Roster!T:T,Roster!S:S,"",0)))</f>
        <v>123</v>
      </c>
      <c r="C1316" s="313">
        <v>46123.0</v>
      </c>
      <c r="D1316" s="314" t="s">
        <v>161</v>
      </c>
      <c r="E1316" s="307" t="str">
        <f t="array" ref="E1316">(XLOOKUP(D1316,Roster!F:F,Roster!B:B,"",0))</f>
        <v>Jose Zapata</v>
      </c>
      <c r="F1316" s="315" t="str">
        <f t="array" ref="F1316">IF(B1316=100,"Free",TEXT(XLOOKUP($D1316,OperationVoice!$A:$A,OperationVoice!Q:Q,XLOOKUP($D1316,OperationTickets!$A:$A,OperationTickets!Q:Q,"",0)),"hh:mm"))</f>
        <v>08:00</v>
      </c>
      <c r="G1316" s="309">
        <f t="shared" si="3"/>
        <v>0.7083333333</v>
      </c>
      <c r="H1316" s="316" t="str">
        <f t="array" ref="H1316">XLOOKUP(B1316,Roster!L:L,Roster!N:N,XLOOKUP(D1316,TicketsBreak!A:A,TicketsBreak!E:E,"",0),0)</f>
        <v>09:45 - 10:00 </v>
      </c>
      <c r="I1316" s="316" t="str">
        <f t="array" ref="I1316">XLOOKUP(B1316,Roster!L:L,Roster!O:O,XLOOKUP(D1316,TicketsBreak!A:A,TicketsBreak!F:F,"",0),0)</f>
        <v>12:30 - 13:00</v>
      </c>
      <c r="J1316" s="316" t="str">
        <f t="array" ref="J1316">XLOOKUP(B1316,Roster!L:L,Roster!P:P,XLOOKUP(D1316,TicketsBreak!A:A,TicketsBreak!G:G,"",0),0)</f>
        <v>15:00 - 15:15</v>
      </c>
      <c r="K1316" s="310">
        <f t="shared" si="4"/>
        <v>46123</v>
      </c>
      <c r="L1316" s="317">
        <f t="array" ref="L1316">(XLOOKUP(D1316,Roster!F:F,Roster!D:D,"",0))</f>
        <v>32</v>
      </c>
      <c r="M1316" s="317" t="str">
        <f t="array" ref="M1316">XLOOKUP(D1316,Roster!F:F,Roster!E:E)</f>
        <v>Tickets</v>
      </c>
      <c r="N1316" s="317" t="str">
        <f t="shared" ref="N1316:P1316" si="1337">LEFT(H1316,5)</f>
        <v>09:45</v>
      </c>
      <c r="O1316" s="317" t="str">
        <f t="shared" si="1337"/>
        <v>12:30</v>
      </c>
      <c r="P1316" s="317" t="str">
        <f t="shared" si="1337"/>
        <v>15:00</v>
      </c>
      <c r="Q1316" s="318">
        <f t="shared" si="1232"/>
        <v>46123.40625</v>
      </c>
      <c r="R1316" s="318">
        <f t="shared" si="1233"/>
        <v>46123.52083</v>
      </c>
      <c r="S1316" s="318">
        <f t="shared" si="8"/>
        <v>46123.625</v>
      </c>
    </row>
    <row r="1317">
      <c r="A1317" s="14" t="str">
        <f t="shared" si="1"/>
        <v>C153346123</v>
      </c>
      <c r="B1317" s="185" t="str">
        <f t="array" ref="B1317">IF(F1317="VL","",IF(F1317="Free","Free",XLOOKUP(D1317,Roster!T:T,Roster!S:S,"",0)))</f>
        <v>Free</v>
      </c>
      <c r="C1317" s="313">
        <v>46123.0</v>
      </c>
      <c r="D1317" s="314" t="s">
        <v>43</v>
      </c>
      <c r="E1317" s="307" t="str">
        <f t="array" ref="E1317">(XLOOKUP(D1317,Roster!F:F,Roster!B:B,"",0))</f>
        <v>Juan Barrera</v>
      </c>
      <c r="F1317" s="315" t="str">
        <f t="array" ref="F1317">IF(B1317=100,"Free",TEXT(XLOOKUP($D1317,OperationVoice!$A:$A,OperationVoice!Q:Q,XLOOKUP($D1317,OperationTickets!$A:$A,OperationTickets!Q:Q,"",0)),"hh:mm"))</f>
        <v>Free</v>
      </c>
      <c r="G1317" s="309" t="str">
        <f t="shared" si="3"/>
        <v>Free</v>
      </c>
      <c r="H1317" s="316" t="str">
        <f t="array" ref="H1317">XLOOKUP(B1317,Roster!L:L,Roster!N:N,XLOOKUP(D1317,TicketsBreak!A:A,TicketsBreak!E:E,"",0),0)</f>
        <v/>
      </c>
      <c r="I1317" s="316" t="str">
        <f t="array" ref="I1317">XLOOKUP(B1317,Roster!L:L,Roster!O:O,XLOOKUP(D1317,TicketsBreak!A:A,TicketsBreak!F:F,"",0),0)</f>
        <v/>
      </c>
      <c r="J1317" s="316" t="str">
        <f t="array" ref="J1317">XLOOKUP(B1317,Roster!L:L,Roster!P:P,XLOOKUP(D1317,TicketsBreak!A:A,TicketsBreak!G:G,"",0),0)</f>
        <v/>
      </c>
      <c r="K1317" s="310">
        <f t="shared" si="4"/>
        <v>46123</v>
      </c>
      <c r="L1317" s="317">
        <f t="array" ref="L1317">(XLOOKUP(D1317,Roster!F:F,Roster!D:D,"",0))</f>
        <v>36</v>
      </c>
      <c r="M1317" s="317" t="str">
        <f t="array" ref="M1317">XLOOKUP(D1317,Roster!F:F,Roster!E:E)</f>
        <v>Voice</v>
      </c>
      <c r="N1317" s="317" t="str">
        <f t="shared" ref="N1317:P1317" si="1338">LEFT(H1317,5)</f>
        <v/>
      </c>
      <c r="O1317" s="317" t="str">
        <f t="shared" si="1338"/>
        <v/>
      </c>
      <c r="P1317" s="317" t="str">
        <f t="shared" si="1338"/>
        <v/>
      </c>
      <c r="Q1317" s="318" t="str">
        <f t="shared" si="1232"/>
        <v/>
      </c>
      <c r="R1317" s="318" t="str">
        <f t="shared" si="1233"/>
        <v/>
      </c>
      <c r="S1317" s="318" t="str">
        <f t="shared" si="8"/>
        <v/>
      </c>
    </row>
    <row r="1318">
      <c r="A1318" s="14" t="str">
        <f t="shared" si="1"/>
        <v>C146546123</v>
      </c>
      <c r="B1318" s="185" t="str">
        <f t="array" ref="B1318">IF(F1318="VL","",IF(F1318="Free","Free",XLOOKUP(D1318,Roster!T:T,Roster!S:S,"",0)))</f>
        <v>Free</v>
      </c>
      <c r="C1318" s="313">
        <v>46123.0</v>
      </c>
      <c r="D1318" s="314" t="s">
        <v>44</v>
      </c>
      <c r="E1318" s="307" t="str">
        <f t="array" ref="E1318">(XLOOKUP(D1318,Roster!F:F,Roster!B:B,"",0))</f>
        <v>Juan Castilla</v>
      </c>
      <c r="F1318" s="315" t="str">
        <f t="array" ref="F1318">IF(B1318=100,"Free",TEXT(XLOOKUP($D1318,OperationVoice!$A:$A,OperationVoice!Q:Q,XLOOKUP($D1318,OperationTickets!$A:$A,OperationTickets!Q:Q,"",0)),"hh:mm"))</f>
        <v>Free</v>
      </c>
      <c r="G1318" s="309" t="str">
        <f t="shared" si="3"/>
        <v>Free</v>
      </c>
      <c r="H1318" s="316" t="str">
        <f t="array" ref="H1318">XLOOKUP(B1318,Roster!L:L,Roster!N:N,XLOOKUP(D1318,TicketsBreak!A:A,TicketsBreak!E:E,"",0),0)</f>
        <v/>
      </c>
      <c r="I1318" s="316" t="str">
        <f t="array" ref="I1318">XLOOKUP(B1318,Roster!L:L,Roster!O:O,XLOOKUP(D1318,TicketsBreak!A:A,TicketsBreak!F:F,"",0),0)</f>
        <v/>
      </c>
      <c r="J1318" s="316" t="str">
        <f t="array" ref="J1318">XLOOKUP(B1318,Roster!L:L,Roster!P:P,XLOOKUP(D1318,TicketsBreak!A:A,TicketsBreak!G:G,"",0),0)</f>
        <v/>
      </c>
      <c r="K1318" s="310">
        <f t="shared" si="4"/>
        <v>46123</v>
      </c>
      <c r="L1318" s="317">
        <f t="array" ref="L1318">(XLOOKUP(D1318,Roster!F:F,Roster!D:D,"",0))</f>
        <v>33</v>
      </c>
      <c r="M1318" s="317" t="str">
        <f t="array" ref="M1318">XLOOKUP(D1318,Roster!F:F,Roster!E:E)</f>
        <v>Voice</v>
      </c>
      <c r="N1318" s="317" t="str">
        <f t="shared" ref="N1318:P1318" si="1339">LEFT(H1318,5)</f>
        <v/>
      </c>
      <c r="O1318" s="317" t="str">
        <f t="shared" si="1339"/>
        <v/>
      </c>
      <c r="P1318" s="317" t="str">
        <f t="shared" si="1339"/>
        <v/>
      </c>
      <c r="Q1318" s="318" t="str">
        <f t="shared" si="1232"/>
        <v/>
      </c>
      <c r="R1318" s="318" t="str">
        <f t="shared" si="1233"/>
        <v/>
      </c>
      <c r="S1318" s="318" t="str">
        <f t="shared" si="8"/>
        <v/>
      </c>
    </row>
    <row r="1319">
      <c r="A1319" s="14" t="str">
        <f t="shared" si="1"/>
        <v>C72046123</v>
      </c>
      <c r="B1319" s="185" t="str">
        <f t="array" ref="B1319">IF(F1319="VL","",IF(F1319="Free","Free",XLOOKUP(D1319,Roster!T:T,Roster!S:S,"",0)))</f>
        <v>Free</v>
      </c>
      <c r="C1319" s="313">
        <v>46123.0</v>
      </c>
      <c r="D1319" s="314" t="s">
        <v>162</v>
      </c>
      <c r="E1319" s="307" t="str">
        <f t="array" ref="E1319">(XLOOKUP(D1319,Roster!F:F,Roster!B:B,"",0))</f>
        <v>Juan Durango</v>
      </c>
      <c r="F1319" s="315" t="str">
        <f t="array" ref="F1319">IF(B1319=100,"Free",TEXT(XLOOKUP($D1319,OperationVoice!$A:$A,OperationVoice!Q:Q,XLOOKUP($D1319,OperationTickets!$A:$A,OperationTickets!Q:Q,"",0)),"hh:mm"))</f>
        <v>Free</v>
      </c>
      <c r="G1319" s="309" t="str">
        <f t="shared" si="3"/>
        <v>Free</v>
      </c>
      <c r="H1319" s="316">
        <f t="array" ref="H1319">XLOOKUP(B1319,Roster!L:L,Roster!N:N,XLOOKUP(D1319,TicketsBreak!A:A,TicketsBreak!E:E,"",0),0)</f>
        <v>0.40625</v>
      </c>
      <c r="I1319" s="316">
        <f t="array" ref="I1319">XLOOKUP(B1319,Roster!L:L,Roster!O:O,XLOOKUP(D1319,TicketsBreak!A:A,TicketsBreak!F:F,"",0),0)</f>
        <v>0.5729166667</v>
      </c>
      <c r="J1319" s="316">
        <f t="array" ref="J1319">XLOOKUP(B1319,Roster!L:L,Roster!P:P,XLOOKUP(D1319,TicketsBreak!A:A,TicketsBreak!G:G,"",0),0)</f>
        <v>0.65625</v>
      </c>
      <c r="K1319" s="310">
        <f t="shared" si="4"/>
        <v>46123</v>
      </c>
      <c r="L1319" s="317">
        <f t="array" ref="L1319">(XLOOKUP(D1319,Roster!F:F,Roster!D:D,"",0))</f>
        <v>7</v>
      </c>
      <c r="M1319" s="317" t="str">
        <f t="array" ref="M1319">XLOOKUP(D1319,Roster!F:F,Roster!E:E)</f>
        <v>Tickets</v>
      </c>
      <c r="N1319" s="317" t="str">
        <f t="shared" ref="N1319:P1319" si="1340">LEFT(H1319,5)</f>
        <v>09:45</v>
      </c>
      <c r="O1319" s="317" t="str">
        <f t="shared" si="1340"/>
        <v>13:45</v>
      </c>
      <c r="P1319" s="317" t="str">
        <f t="shared" si="1340"/>
        <v>15:45</v>
      </c>
      <c r="Q1319" s="318">
        <f t="shared" si="1232"/>
        <v>46123.40625</v>
      </c>
      <c r="R1319" s="318">
        <f t="shared" si="1233"/>
        <v>46123.57292</v>
      </c>
      <c r="S1319" s="318">
        <f t="shared" si="8"/>
        <v>46123.65625</v>
      </c>
    </row>
    <row r="1320">
      <c r="A1320" s="14" t="str">
        <f t="shared" si="1"/>
        <v>C59846123</v>
      </c>
      <c r="B1320" s="185" t="str">
        <f t="array" ref="B1320">IF(F1320="VL","",IF(F1320="Free","Free",XLOOKUP(D1320,Roster!T:T,Roster!S:S,"",0)))</f>
        <v/>
      </c>
      <c r="C1320" s="313">
        <v>46123.0</v>
      </c>
      <c r="D1320" s="314" t="s">
        <v>314</v>
      </c>
      <c r="E1320" s="307" t="str">
        <f t="array" ref="E1320">(XLOOKUP(D1320,Roster!F:F,Roster!B:B,"",0))</f>
        <v>Juan Fonnegra</v>
      </c>
      <c r="F1320" s="315" t="str">
        <f t="array" ref="F1320">IF(B1320=100,"Free",TEXT(XLOOKUP($D1320,OperationVoice!$A:$A,OperationVoice!Q:Q,XLOOKUP($D1320,OperationTickets!$A:$A,OperationTickets!Q:Q,"",0)),"hh:mm"))</f>
        <v/>
      </c>
      <c r="G1320" s="309" t="str">
        <f t="shared" si="3"/>
        <v/>
      </c>
      <c r="H1320" s="316">
        <f t="array" ref="H1320">XLOOKUP(B1320,Roster!L:L,Roster!N:N,XLOOKUP(D1320,TicketsBreak!A:A,TicketsBreak!E:E,"",0),0)</f>
        <v>0.4166666667</v>
      </c>
      <c r="I1320" s="316">
        <f t="array" ref="I1320">XLOOKUP(B1320,Roster!L:L,Roster!O:O,XLOOKUP(D1320,TicketsBreak!A:A,TicketsBreak!F:F,"",0),0)</f>
        <v>0.5208333333</v>
      </c>
      <c r="J1320" s="316">
        <f t="array" ref="J1320">XLOOKUP(B1320,Roster!L:L,Roster!P:P,XLOOKUP(D1320,TicketsBreak!A:A,TicketsBreak!G:G,"",0),0)</f>
        <v>0.65625</v>
      </c>
      <c r="K1320" s="310">
        <f t="shared" si="4"/>
        <v>46123</v>
      </c>
      <c r="L1320" s="317">
        <f t="array" ref="L1320">(XLOOKUP(D1320,Roster!F:F,Roster!D:D,"",0))</f>
        <v>1</v>
      </c>
      <c r="M1320" s="317" t="str">
        <f t="array" ref="M1320">XLOOKUP(D1320,Roster!F:F,Roster!E:E)</f>
        <v>Tickets</v>
      </c>
      <c r="N1320" s="317" t="str">
        <f t="shared" ref="N1320:P1320" si="1341">LEFT(H1320,5)</f>
        <v>10:00</v>
      </c>
      <c r="O1320" s="317" t="str">
        <f t="shared" si="1341"/>
        <v>12:30</v>
      </c>
      <c r="P1320" s="317" t="str">
        <f t="shared" si="1341"/>
        <v>15:45</v>
      </c>
      <c r="Q1320" s="318">
        <f t="shared" si="1232"/>
        <v>46123.41667</v>
      </c>
      <c r="R1320" s="318">
        <f t="shared" si="1233"/>
        <v>46123.52083</v>
      </c>
      <c r="S1320" s="318">
        <f t="shared" si="8"/>
        <v>46123.65625</v>
      </c>
    </row>
    <row r="1321">
      <c r="A1321" s="14" t="str">
        <f t="shared" si="1"/>
        <v>C113946123</v>
      </c>
      <c r="B1321" s="185" t="str">
        <f t="array" ref="B1321">IF(F1321="VL","",IF(F1321="Free","Free",XLOOKUP(D1321,Roster!T:T,Roster!S:S,"",0)))</f>
        <v>Free</v>
      </c>
      <c r="C1321" s="313">
        <v>46123.0</v>
      </c>
      <c r="D1321" s="314" t="s">
        <v>45</v>
      </c>
      <c r="E1321" s="307" t="str">
        <f t="array" ref="E1321">(XLOOKUP(D1321,Roster!F:F,Roster!B:B,"",0))</f>
        <v>Juan Largacha</v>
      </c>
      <c r="F1321" s="315" t="str">
        <f t="array" ref="F1321">IF(B1321=100,"Free",TEXT(XLOOKUP($D1321,OperationVoice!$A:$A,OperationVoice!Q:Q,XLOOKUP($D1321,OperationTickets!$A:$A,OperationTickets!Q:Q,"",0)),"hh:mm"))</f>
        <v>Free</v>
      </c>
      <c r="G1321" s="309" t="str">
        <f t="shared" si="3"/>
        <v>Free</v>
      </c>
      <c r="H1321" s="316" t="str">
        <f t="array" ref="H1321">XLOOKUP(B1321,Roster!L:L,Roster!N:N,XLOOKUP(D1321,TicketsBreak!A:A,TicketsBreak!E:E,"",0),0)</f>
        <v/>
      </c>
      <c r="I1321" s="316" t="str">
        <f t="array" ref="I1321">XLOOKUP(B1321,Roster!L:L,Roster!O:O,XLOOKUP(D1321,TicketsBreak!A:A,TicketsBreak!F:F,"",0),0)</f>
        <v/>
      </c>
      <c r="J1321" s="316" t="str">
        <f t="array" ref="J1321">XLOOKUP(B1321,Roster!L:L,Roster!P:P,XLOOKUP(D1321,TicketsBreak!A:A,TicketsBreak!G:G,"",0),0)</f>
        <v/>
      </c>
      <c r="K1321" s="310">
        <f t="shared" si="4"/>
        <v>46123</v>
      </c>
      <c r="L1321" s="317">
        <f t="array" ref="L1321">(XLOOKUP(D1321,Roster!F:F,Roster!D:D,"",0))</f>
        <v>22</v>
      </c>
      <c r="M1321" s="317" t="str">
        <f t="array" ref="M1321">XLOOKUP(D1321,Roster!F:F,Roster!E:E)</f>
        <v>Voice</v>
      </c>
      <c r="N1321" s="317" t="str">
        <f t="shared" ref="N1321:P1321" si="1342">LEFT(H1321,5)</f>
        <v/>
      </c>
      <c r="O1321" s="317" t="str">
        <f t="shared" si="1342"/>
        <v/>
      </c>
      <c r="P1321" s="317" t="str">
        <f t="shared" si="1342"/>
        <v/>
      </c>
      <c r="Q1321" s="318" t="str">
        <f t="shared" si="1232"/>
        <v/>
      </c>
      <c r="R1321" s="318" t="str">
        <f t="shared" si="1233"/>
        <v/>
      </c>
      <c r="S1321" s="318" t="str">
        <f t="shared" si="8"/>
        <v/>
      </c>
    </row>
    <row r="1322">
      <c r="A1322" s="14" t="str">
        <f t="shared" si="1"/>
        <v>C156646123</v>
      </c>
      <c r="B1322" s="185" t="str">
        <f t="array" ref="B1322">IF(F1322="VL","",IF(F1322="Free","Free",XLOOKUP(D1322,Roster!T:T,Roster!S:S,"",0)))</f>
        <v>Free</v>
      </c>
      <c r="C1322" s="313">
        <v>46123.0</v>
      </c>
      <c r="D1322" s="314" t="s">
        <v>46</v>
      </c>
      <c r="E1322" s="307" t="str">
        <f t="array" ref="E1322">(XLOOKUP(D1322,Roster!F:F,Roster!B:B,"",0))</f>
        <v>Juan Ocampo</v>
      </c>
      <c r="F1322" s="315" t="str">
        <f t="array" ref="F1322">IF(B1322=100,"Free",TEXT(XLOOKUP($D1322,OperationVoice!$A:$A,OperationVoice!Q:Q,XLOOKUP($D1322,OperationTickets!$A:$A,OperationTickets!Q:Q,"",0)),"hh:mm"))</f>
        <v>Free</v>
      </c>
      <c r="G1322" s="309" t="str">
        <f t="shared" si="3"/>
        <v>Free</v>
      </c>
      <c r="H1322" s="316" t="str">
        <f t="array" ref="H1322">XLOOKUP(B1322,Roster!L:L,Roster!N:N,XLOOKUP(D1322,TicketsBreak!A:A,TicketsBreak!E:E,"",0),0)</f>
        <v/>
      </c>
      <c r="I1322" s="316" t="str">
        <f t="array" ref="I1322">XLOOKUP(B1322,Roster!L:L,Roster!O:O,XLOOKUP(D1322,TicketsBreak!A:A,TicketsBreak!F:F,"",0),0)</f>
        <v/>
      </c>
      <c r="J1322" s="316" t="str">
        <f t="array" ref="J1322">XLOOKUP(B1322,Roster!L:L,Roster!P:P,XLOOKUP(D1322,TicketsBreak!A:A,TicketsBreak!G:G,"",0),0)</f>
        <v/>
      </c>
      <c r="K1322" s="310">
        <f t="shared" si="4"/>
        <v>46123</v>
      </c>
      <c r="L1322" s="317">
        <f t="array" ref="L1322">(XLOOKUP(D1322,Roster!F:F,Roster!D:D,"",0))</f>
        <v>38</v>
      </c>
      <c r="M1322" s="317" t="str">
        <f t="array" ref="M1322">XLOOKUP(D1322,Roster!F:F,Roster!E:E)</f>
        <v>Voice</v>
      </c>
      <c r="N1322" s="317" t="str">
        <f t="shared" ref="N1322:P1322" si="1343">LEFT(H1322,5)</f>
        <v/>
      </c>
      <c r="O1322" s="317" t="str">
        <f t="shared" si="1343"/>
        <v/>
      </c>
      <c r="P1322" s="317" t="str">
        <f t="shared" si="1343"/>
        <v/>
      </c>
      <c r="Q1322" s="318" t="str">
        <f t="shared" si="1232"/>
        <v/>
      </c>
      <c r="R1322" s="318" t="str">
        <f t="shared" si="1233"/>
        <v/>
      </c>
      <c r="S1322" s="318" t="str">
        <f t="shared" si="8"/>
        <v/>
      </c>
    </row>
    <row r="1323">
      <c r="A1323" s="14" t="str">
        <f t="shared" si="1"/>
        <v>C148446123</v>
      </c>
      <c r="B1323" s="185" t="str">
        <f t="array" ref="B1323">IF(F1323="VL","",IF(F1323="Free","Free",XLOOKUP(D1323,Roster!T:T,Roster!S:S,"",0)))</f>
        <v>Free</v>
      </c>
      <c r="C1323" s="313">
        <v>46123.0</v>
      </c>
      <c r="D1323" s="314" t="s">
        <v>141</v>
      </c>
      <c r="E1323" s="307" t="str">
        <f t="array" ref="E1323">(XLOOKUP(D1323,Roster!F:F,Roster!B:B,"",0))</f>
        <v>Juan Ospina</v>
      </c>
      <c r="F1323" s="315" t="str">
        <f t="array" ref="F1323">IF(B1323=100,"Free",TEXT(XLOOKUP($D1323,OperationVoice!$A:$A,OperationVoice!Q:Q,XLOOKUP($D1323,OperationTickets!$A:$A,OperationTickets!Q:Q,"",0)),"hh:mm"))</f>
        <v>Free</v>
      </c>
      <c r="G1323" s="309" t="str">
        <f t="shared" si="3"/>
        <v>Free</v>
      </c>
      <c r="H1323" s="316" t="str">
        <f t="array" ref="H1323">XLOOKUP(B1323,Roster!L:L,Roster!N:N,XLOOKUP(D1323,TicketsBreak!A:A,TicketsBreak!E:E,"",0),0)</f>
        <v/>
      </c>
      <c r="I1323" s="316" t="str">
        <f t="array" ref="I1323">XLOOKUP(B1323,Roster!L:L,Roster!O:O,XLOOKUP(D1323,TicketsBreak!A:A,TicketsBreak!F:F,"",0),0)</f>
        <v/>
      </c>
      <c r="J1323" s="316" t="str">
        <f t="array" ref="J1323">XLOOKUP(B1323,Roster!L:L,Roster!P:P,XLOOKUP(D1323,TicketsBreak!A:A,TicketsBreak!G:G,"",0),0)</f>
        <v/>
      </c>
      <c r="K1323" s="310">
        <f t="shared" si="4"/>
        <v>46123</v>
      </c>
      <c r="L1323" s="317">
        <f t="array" ref="L1323">(XLOOKUP(D1323,Roster!F:F,Roster!D:D,"",0))</f>
        <v>34</v>
      </c>
      <c r="M1323" s="317" t="str">
        <f t="array" ref="M1323">XLOOKUP(D1323,Roster!F:F,Roster!E:E)</f>
        <v>Tickets</v>
      </c>
      <c r="N1323" s="317" t="str">
        <f t="shared" ref="N1323:P1323" si="1344">LEFT(H1323,5)</f>
        <v/>
      </c>
      <c r="O1323" s="317" t="str">
        <f t="shared" si="1344"/>
        <v/>
      </c>
      <c r="P1323" s="317" t="str">
        <f t="shared" si="1344"/>
        <v/>
      </c>
      <c r="Q1323" s="318" t="str">
        <f t="shared" si="1232"/>
        <v/>
      </c>
      <c r="R1323" s="318" t="str">
        <f t="shared" si="1233"/>
        <v/>
      </c>
      <c r="S1323" s="318" t="str">
        <f t="shared" si="8"/>
        <v/>
      </c>
    </row>
    <row r="1324">
      <c r="A1324" s="14" t="str">
        <f t="shared" si="1"/>
        <v>C141346123</v>
      </c>
      <c r="B1324" s="185" t="str">
        <f t="array" ref="B1324">IF(F1324="VL","",IF(F1324="Free","Free",XLOOKUP(D1324,Roster!T:T,Roster!S:S,"",0)))</f>
        <v>Free</v>
      </c>
      <c r="C1324" s="313">
        <v>46123.0</v>
      </c>
      <c r="D1324" s="314" t="s">
        <v>47</v>
      </c>
      <c r="E1324" s="307" t="str">
        <f t="array" ref="E1324">(XLOOKUP(D1324,Roster!F:F,Roster!B:B,"",0))</f>
        <v>Juan Parra</v>
      </c>
      <c r="F1324" s="315" t="str">
        <f t="array" ref="F1324">IF(B1324=100,"Free",TEXT(XLOOKUP($D1324,OperationVoice!$A:$A,OperationVoice!Q:Q,XLOOKUP($D1324,OperationTickets!$A:$A,OperationTickets!Q:Q,"",0)),"hh:mm"))</f>
        <v>Free</v>
      </c>
      <c r="G1324" s="309" t="str">
        <f t="shared" si="3"/>
        <v>Free</v>
      </c>
      <c r="H1324" s="316" t="str">
        <f t="array" ref="H1324">XLOOKUP(B1324,Roster!L:L,Roster!N:N,XLOOKUP(D1324,TicketsBreak!A:A,TicketsBreak!E:E,"",0),0)</f>
        <v/>
      </c>
      <c r="I1324" s="316" t="str">
        <f t="array" ref="I1324">XLOOKUP(B1324,Roster!L:L,Roster!O:O,XLOOKUP(D1324,TicketsBreak!A:A,TicketsBreak!F:F,"",0),0)</f>
        <v/>
      </c>
      <c r="J1324" s="316" t="str">
        <f t="array" ref="J1324">XLOOKUP(B1324,Roster!L:L,Roster!P:P,XLOOKUP(D1324,TicketsBreak!A:A,TicketsBreak!G:G,"",0),0)</f>
        <v/>
      </c>
      <c r="K1324" s="310">
        <f t="shared" si="4"/>
        <v>46123</v>
      </c>
      <c r="L1324" s="317">
        <f t="array" ref="L1324">(XLOOKUP(D1324,Roster!F:F,Roster!D:D,"",0))</f>
        <v>32</v>
      </c>
      <c r="M1324" s="317" t="str">
        <f t="array" ref="M1324">XLOOKUP(D1324,Roster!F:F,Roster!E:E)</f>
        <v>Voice</v>
      </c>
      <c r="N1324" s="317" t="str">
        <f t="shared" ref="N1324:P1324" si="1345">LEFT(H1324,5)</f>
        <v/>
      </c>
      <c r="O1324" s="317" t="str">
        <f t="shared" si="1345"/>
        <v/>
      </c>
      <c r="P1324" s="317" t="str">
        <f t="shared" si="1345"/>
        <v/>
      </c>
      <c r="Q1324" s="318" t="str">
        <f t="shared" si="1232"/>
        <v/>
      </c>
      <c r="R1324" s="318" t="str">
        <f t="shared" si="1233"/>
        <v/>
      </c>
      <c r="S1324" s="318" t="str">
        <f t="shared" si="8"/>
        <v/>
      </c>
    </row>
    <row r="1325">
      <c r="A1325" s="14" t="str">
        <f t="shared" si="1"/>
        <v>C132746123</v>
      </c>
      <c r="B1325" s="185" t="str">
        <f t="array" ref="B1325">IF(F1325="VL","",IF(F1325="Free","Free",XLOOKUP(D1325,Roster!T:T,Roster!S:S,"",0)))</f>
        <v/>
      </c>
      <c r="C1325" s="313">
        <v>46123.0</v>
      </c>
      <c r="D1325" s="314" t="s">
        <v>163</v>
      </c>
      <c r="E1325" s="307" t="str">
        <f t="array" ref="E1325">(XLOOKUP(D1325,Roster!F:F,Roster!B:B,"",0))</f>
        <v>Juan Restrepo</v>
      </c>
      <c r="F1325" s="315" t="str">
        <f t="array" ref="F1325">IF(B1325=100,"Free",TEXT(XLOOKUP($D1325,OperationVoice!$A:$A,OperationVoice!Q:Q,XLOOKUP($D1325,OperationTickets!$A:$A,OperationTickets!Q:Q,"",0)),"hh:mm"))</f>
        <v>07:00</v>
      </c>
      <c r="G1325" s="309">
        <f t="shared" si="3"/>
        <v>0.6666666667</v>
      </c>
      <c r="H1325" s="316" t="str">
        <f t="array" ref="H1325">XLOOKUP(B1325,Roster!L:L,Roster!N:N,XLOOKUP(D1325,TicketsBreak!A:A,TicketsBreak!E:E,"",0),0)</f>
        <v/>
      </c>
      <c r="I1325" s="316" t="str">
        <f t="array" ref="I1325">XLOOKUP(B1325,Roster!L:L,Roster!O:O,XLOOKUP(D1325,TicketsBreak!A:A,TicketsBreak!F:F,"",0),0)</f>
        <v/>
      </c>
      <c r="J1325" s="316" t="str">
        <f t="array" ref="J1325">XLOOKUP(B1325,Roster!L:L,Roster!P:P,XLOOKUP(D1325,TicketsBreak!A:A,TicketsBreak!G:G,"",0),0)</f>
        <v/>
      </c>
      <c r="K1325" s="310">
        <f t="shared" si="4"/>
        <v>46123</v>
      </c>
      <c r="L1325" s="317">
        <f t="array" ref="L1325">(XLOOKUP(D1325,Roster!F:F,Roster!D:D,"",0))</f>
        <v>29</v>
      </c>
      <c r="M1325" s="317" t="str">
        <f t="array" ref="M1325">XLOOKUP(D1325,Roster!F:F,Roster!E:E)</f>
        <v>Tickets</v>
      </c>
      <c r="N1325" s="317" t="str">
        <f t="shared" ref="N1325:P1325" si="1346">LEFT(H1325,5)</f>
        <v/>
      </c>
      <c r="O1325" s="317" t="str">
        <f t="shared" si="1346"/>
        <v/>
      </c>
      <c r="P1325" s="317" t="str">
        <f t="shared" si="1346"/>
        <v/>
      </c>
      <c r="Q1325" s="318" t="str">
        <f t="shared" si="1232"/>
        <v/>
      </c>
      <c r="R1325" s="318" t="str">
        <f t="shared" si="1233"/>
        <v/>
      </c>
      <c r="S1325" s="318" t="str">
        <f t="shared" si="8"/>
        <v/>
      </c>
    </row>
    <row r="1326">
      <c r="A1326" s="14" t="str">
        <f t="shared" si="1"/>
        <v>C146946123</v>
      </c>
      <c r="B1326" s="185">
        <f t="array" ref="B1326">IF(F1326="VL","",IF(F1326="Free","Free",XLOOKUP(D1326,Roster!T:T,Roster!S:S,"",0)))</f>
        <v>122</v>
      </c>
      <c r="C1326" s="313">
        <v>46123.0</v>
      </c>
      <c r="D1326" s="314" t="s">
        <v>48</v>
      </c>
      <c r="E1326" s="307" t="str">
        <f t="array" ref="E1326">(XLOOKUP(D1326,Roster!F:F,Roster!B:B,"",0))</f>
        <v>Juan Restrepo Restrepo</v>
      </c>
      <c r="F1326" s="315" t="str">
        <f t="array" ref="F1326">IF(B1326=100,"Free",TEXT(XLOOKUP($D1326,OperationVoice!$A:$A,OperationVoice!Q:Q,XLOOKUP($D1326,OperationTickets!$A:$A,OperationTickets!Q:Q,"",0)),"hh:mm"))</f>
        <v>08:00</v>
      </c>
      <c r="G1326" s="309">
        <f t="shared" si="3"/>
        <v>0.7083333333</v>
      </c>
      <c r="H1326" s="316" t="str">
        <f t="array" ref="H1326">XLOOKUP(B1326,Roster!L:L,Roster!N:N,XLOOKUP(D1326,TicketsBreak!A:A,TicketsBreak!E:E,"",0),0)</f>
        <v>09:30 - 09:45</v>
      </c>
      <c r="I1326" s="316" t="str">
        <f t="array" ref="I1326">XLOOKUP(B1326,Roster!L:L,Roster!O:O,XLOOKUP(D1326,TicketsBreak!A:A,TicketsBreak!F:F,"",0),0)</f>
        <v>12:00 - 12:30</v>
      </c>
      <c r="J1326" s="316" t="str">
        <f t="array" ref="J1326">XLOOKUP(B1326,Roster!L:L,Roster!P:P,XLOOKUP(D1326,TicketsBreak!A:A,TicketsBreak!G:G,"",0),0)</f>
        <v>14:45 - 15:00</v>
      </c>
      <c r="K1326" s="310">
        <f t="shared" si="4"/>
        <v>46123</v>
      </c>
      <c r="L1326" s="317">
        <f t="array" ref="L1326">(XLOOKUP(D1326,Roster!F:F,Roster!D:D,"",0))</f>
        <v>33</v>
      </c>
      <c r="M1326" s="317" t="str">
        <f t="array" ref="M1326">XLOOKUP(D1326,Roster!F:F,Roster!E:E)</f>
        <v>Voice</v>
      </c>
      <c r="N1326" s="317" t="str">
        <f t="shared" ref="N1326:P1326" si="1347">LEFT(H1326,5)</f>
        <v>09:30</v>
      </c>
      <c r="O1326" s="317" t="str">
        <f t="shared" si="1347"/>
        <v>12:00</v>
      </c>
      <c r="P1326" s="317" t="str">
        <f t="shared" si="1347"/>
        <v>14:45</v>
      </c>
      <c r="Q1326" s="318">
        <f t="shared" si="1232"/>
        <v>46123.39583</v>
      </c>
      <c r="R1326" s="318">
        <f t="shared" si="1233"/>
        <v>46123.5</v>
      </c>
      <c r="S1326" s="318">
        <f t="shared" si="8"/>
        <v>46123.61458</v>
      </c>
    </row>
    <row r="1327">
      <c r="A1327" s="14" t="str">
        <f t="shared" si="1"/>
        <v>C117146123</v>
      </c>
      <c r="B1327" s="185" t="str">
        <f t="array" ref="B1327">IF(F1327="VL","",IF(F1327="Free","Free",XLOOKUP(D1327,Roster!T:T,Roster!S:S,"",0)))</f>
        <v/>
      </c>
      <c r="C1327" s="313">
        <v>46123.0</v>
      </c>
      <c r="D1327" s="314" t="s">
        <v>142</v>
      </c>
      <c r="E1327" s="307" t="str">
        <f t="array" ref="E1327">(XLOOKUP(D1327,Roster!F:F,Roster!B:B,"",0))</f>
        <v>Juan Sanchez</v>
      </c>
      <c r="F1327" s="315" t="str">
        <f t="array" ref="F1327">IF(B1327=100,"Free",TEXT(XLOOKUP($D1327,OperationVoice!$A:$A,OperationVoice!Q:Q,XLOOKUP($D1327,OperationTickets!$A:$A,OperationTickets!Q:Q,"",0)),"hh:mm"))</f>
        <v>08:00</v>
      </c>
      <c r="G1327" s="309">
        <f t="shared" si="3"/>
        <v>0.7083333333</v>
      </c>
      <c r="H1327" s="316" t="str">
        <f t="array" ref="H1327">XLOOKUP(B1327,Roster!L:L,Roster!N:N,XLOOKUP(D1327,TicketsBreak!A:A,TicketsBreak!E:E,"",0),0)</f>
        <v/>
      </c>
      <c r="I1327" s="316" t="str">
        <f t="array" ref="I1327">XLOOKUP(B1327,Roster!L:L,Roster!O:O,XLOOKUP(D1327,TicketsBreak!A:A,TicketsBreak!F:F,"",0),0)</f>
        <v/>
      </c>
      <c r="J1327" s="316" t="str">
        <f t="array" ref="J1327">XLOOKUP(B1327,Roster!L:L,Roster!P:P,XLOOKUP(D1327,TicketsBreak!A:A,TicketsBreak!G:G,"",0),0)</f>
        <v/>
      </c>
      <c r="K1327" s="310">
        <f t="shared" si="4"/>
        <v>46123</v>
      </c>
      <c r="L1327" s="317">
        <f t="array" ref="L1327">(XLOOKUP(D1327,Roster!F:F,Roster!D:D,"",0))</f>
        <v>24</v>
      </c>
      <c r="M1327" s="317" t="str">
        <f t="array" ref="M1327">XLOOKUP(D1327,Roster!F:F,Roster!E:E)</f>
        <v>Tickets</v>
      </c>
      <c r="N1327" s="317" t="str">
        <f t="shared" ref="N1327:P1327" si="1348">LEFT(H1327,5)</f>
        <v/>
      </c>
      <c r="O1327" s="317" t="str">
        <f t="shared" si="1348"/>
        <v/>
      </c>
      <c r="P1327" s="317" t="str">
        <f t="shared" si="1348"/>
        <v/>
      </c>
      <c r="Q1327" s="318" t="str">
        <f t="shared" si="1232"/>
        <v/>
      </c>
      <c r="R1327" s="318" t="str">
        <f t="shared" si="1233"/>
        <v/>
      </c>
      <c r="S1327" s="318" t="str">
        <f t="shared" si="8"/>
        <v/>
      </c>
    </row>
    <row r="1328">
      <c r="A1328" s="14" t="str">
        <f t="shared" si="1"/>
        <v>C74346123</v>
      </c>
      <c r="B1328" s="185" t="str">
        <f t="array" ref="B1328">IF(F1328="VL","",IF(F1328="Free","Free",XLOOKUP(D1328,Roster!T:T,Roster!S:S,"",0)))</f>
        <v/>
      </c>
      <c r="C1328" s="313">
        <v>46123.0</v>
      </c>
      <c r="D1328" s="314" t="s">
        <v>164</v>
      </c>
      <c r="E1328" s="307" t="str">
        <f t="array" ref="E1328">(XLOOKUP(D1328,Roster!F:F,Roster!B:B,"",0))</f>
        <v>Juan Suarez</v>
      </c>
      <c r="F1328" s="315" t="str">
        <f t="array" ref="F1328">IF(B1328=100,"Free",TEXT(XLOOKUP($D1328,OperationVoice!$A:$A,OperationVoice!Q:Q,XLOOKUP($D1328,OperationTickets!$A:$A,OperationTickets!Q:Q,"",0)),"hh:mm"))</f>
        <v>VL</v>
      </c>
      <c r="G1328" s="309" t="str">
        <f t="shared" si="3"/>
        <v>VL</v>
      </c>
      <c r="H1328" s="316">
        <f t="array" ref="H1328">XLOOKUP(B1328,Roster!L:L,Roster!N:N,XLOOKUP(D1328,TicketsBreak!A:A,TicketsBreak!E:E,"",0),0)</f>
        <v>0.3958333333</v>
      </c>
      <c r="I1328" s="316">
        <f t="array" ref="I1328">XLOOKUP(B1328,Roster!L:L,Roster!O:O,XLOOKUP(D1328,TicketsBreak!A:A,TicketsBreak!F:F,"",0),0)</f>
        <v>0.5208333333</v>
      </c>
      <c r="J1328" s="316">
        <f t="array" ref="J1328">XLOOKUP(B1328,Roster!L:L,Roster!P:P,XLOOKUP(D1328,TicketsBreak!A:A,TicketsBreak!G:G,"",0),0)</f>
        <v>0.6145833333</v>
      </c>
      <c r="K1328" s="310">
        <f t="shared" si="4"/>
        <v>46123</v>
      </c>
      <c r="L1328" s="317">
        <f t="array" ref="L1328">(XLOOKUP(D1328,Roster!F:F,Roster!D:D,"",0))</f>
        <v>8</v>
      </c>
      <c r="M1328" s="317" t="str">
        <f t="array" ref="M1328">XLOOKUP(D1328,Roster!F:F,Roster!E:E)</f>
        <v>Tickets</v>
      </c>
      <c r="N1328" s="317" t="str">
        <f t="shared" ref="N1328:P1328" si="1349">LEFT(H1328,5)</f>
        <v>09:30</v>
      </c>
      <c r="O1328" s="317" t="str">
        <f t="shared" si="1349"/>
        <v>12:30</v>
      </c>
      <c r="P1328" s="317" t="str">
        <f t="shared" si="1349"/>
        <v>14:45</v>
      </c>
      <c r="Q1328" s="318">
        <f t="shared" si="1232"/>
        <v>46123.39583</v>
      </c>
      <c r="R1328" s="318">
        <f t="shared" si="1233"/>
        <v>46123.52083</v>
      </c>
      <c r="S1328" s="318">
        <f t="shared" si="8"/>
        <v>46123.61458</v>
      </c>
    </row>
    <row r="1329">
      <c r="A1329" s="14" t="str">
        <f t="shared" si="1"/>
        <v>C156846123</v>
      </c>
      <c r="B1329" s="185">
        <f t="array" ref="B1329">IF(F1329="VL","",IF(F1329="Free","Free",XLOOKUP(D1329,Roster!T:T,Roster!S:S,"",0)))</f>
        <v>122</v>
      </c>
      <c r="C1329" s="313">
        <v>46123.0</v>
      </c>
      <c r="D1329" s="314" t="s">
        <v>49</v>
      </c>
      <c r="E1329" s="307" t="str">
        <f t="array" ref="E1329">(XLOOKUP(D1329,Roster!F:F,Roster!B:B,"",0))</f>
        <v>Juan Zapata</v>
      </c>
      <c r="F1329" s="315" t="str">
        <f t="array" ref="F1329">IF(B1329=100,"Free",TEXT(XLOOKUP($D1329,OperationVoice!$A:$A,OperationVoice!Q:Q,XLOOKUP($D1329,OperationTickets!$A:$A,OperationTickets!Q:Q,"",0)),"hh:mm"))</f>
        <v>08:00</v>
      </c>
      <c r="G1329" s="309">
        <f t="shared" si="3"/>
        <v>0.7083333333</v>
      </c>
      <c r="H1329" s="316" t="str">
        <f t="array" ref="H1329">XLOOKUP(B1329,Roster!L:L,Roster!N:N,XLOOKUP(D1329,TicketsBreak!A:A,TicketsBreak!E:E,"",0),0)</f>
        <v>09:30 - 09:45</v>
      </c>
      <c r="I1329" s="316" t="str">
        <f t="array" ref="I1329">XLOOKUP(B1329,Roster!L:L,Roster!O:O,XLOOKUP(D1329,TicketsBreak!A:A,TicketsBreak!F:F,"",0),0)</f>
        <v>12:00 - 12:30</v>
      </c>
      <c r="J1329" s="316" t="str">
        <f t="array" ref="J1329">XLOOKUP(B1329,Roster!L:L,Roster!P:P,XLOOKUP(D1329,TicketsBreak!A:A,TicketsBreak!G:G,"",0),0)</f>
        <v>14:45 - 15:00</v>
      </c>
      <c r="K1329" s="310">
        <f t="shared" si="4"/>
        <v>46123</v>
      </c>
      <c r="L1329" s="317">
        <f t="array" ref="L1329">(XLOOKUP(D1329,Roster!F:F,Roster!D:D,"",0))</f>
        <v>38</v>
      </c>
      <c r="M1329" s="317" t="str">
        <f t="array" ref="M1329">XLOOKUP(D1329,Roster!F:F,Roster!E:E)</f>
        <v>Voice</v>
      </c>
      <c r="N1329" s="317" t="str">
        <f t="shared" ref="N1329:P1329" si="1350">LEFT(H1329,5)</f>
        <v>09:30</v>
      </c>
      <c r="O1329" s="317" t="str">
        <f t="shared" si="1350"/>
        <v>12:00</v>
      </c>
      <c r="P1329" s="317" t="str">
        <f t="shared" si="1350"/>
        <v>14:45</v>
      </c>
      <c r="Q1329" s="318">
        <f t="shared" si="1232"/>
        <v>46123.39583</v>
      </c>
      <c r="R1329" s="318">
        <f t="shared" si="1233"/>
        <v>46123.5</v>
      </c>
      <c r="S1329" s="318">
        <f t="shared" si="8"/>
        <v>46123.61458</v>
      </c>
    </row>
    <row r="1330">
      <c r="A1330" s="14" t="str">
        <f t="shared" si="1"/>
        <v>C75546123</v>
      </c>
      <c r="B1330" s="185" t="str">
        <f t="array" ref="B1330">IF(F1330="VL","",IF(F1330="Free","Free",XLOOKUP(D1330,Roster!T:T,Roster!S:S,"",0)))</f>
        <v/>
      </c>
      <c r="C1330" s="313">
        <v>46123.0</v>
      </c>
      <c r="D1330" s="314" t="s">
        <v>143</v>
      </c>
      <c r="E1330" s="307" t="str">
        <f t="array" ref="E1330">(XLOOKUP(D1330,Roster!F:F,Roster!B:B,"",0))</f>
        <v>Julian Higuita</v>
      </c>
      <c r="F1330" s="315" t="str">
        <f t="array" ref="F1330">IF(B1330=100,"Free",TEXT(XLOOKUP($D1330,OperationVoice!$A:$A,OperationVoice!Q:Q,XLOOKUP($D1330,OperationTickets!$A:$A,OperationTickets!Q:Q,"",0)),"hh:mm"))</f>
        <v>VL</v>
      </c>
      <c r="G1330" s="309" t="str">
        <f t="shared" si="3"/>
        <v>VL</v>
      </c>
      <c r="H1330" s="316" t="str">
        <f t="array" ref="H1330">XLOOKUP(B1330,Roster!L:L,Roster!N:N,XLOOKUP(D1330,TicketsBreak!A:A,TicketsBreak!E:E,"",0),0)</f>
        <v/>
      </c>
      <c r="I1330" s="316" t="str">
        <f t="array" ref="I1330">XLOOKUP(B1330,Roster!L:L,Roster!O:O,XLOOKUP(D1330,TicketsBreak!A:A,TicketsBreak!F:F,"",0),0)</f>
        <v/>
      </c>
      <c r="J1330" s="316" t="str">
        <f t="array" ref="J1330">XLOOKUP(B1330,Roster!L:L,Roster!P:P,XLOOKUP(D1330,TicketsBreak!A:A,TicketsBreak!G:G,"",0),0)</f>
        <v/>
      </c>
      <c r="K1330" s="310">
        <f t="shared" si="4"/>
        <v>46123</v>
      </c>
      <c r="L1330" s="317">
        <f t="array" ref="L1330">(XLOOKUP(D1330,Roster!F:F,Roster!D:D,"",0))</f>
        <v>35</v>
      </c>
      <c r="M1330" s="317" t="str">
        <f t="array" ref="M1330">XLOOKUP(D1330,Roster!F:F,Roster!E:E)</f>
        <v>Tickets</v>
      </c>
      <c r="N1330" s="317" t="str">
        <f t="shared" ref="N1330:P1330" si="1351">LEFT(H1330,5)</f>
        <v/>
      </c>
      <c r="O1330" s="317" t="str">
        <f t="shared" si="1351"/>
        <v/>
      </c>
      <c r="P1330" s="317" t="str">
        <f t="shared" si="1351"/>
        <v/>
      </c>
      <c r="Q1330" s="318" t="str">
        <f t="shared" si="1232"/>
        <v/>
      </c>
      <c r="R1330" s="318" t="str">
        <f t="shared" si="1233"/>
        <v/>
      </c>
      <c r="S1330" s="318" t="str">
        <f t="shared" si="8"/>
        <v/>
      </c>
    </row>
    <row r="1331">
      <c r="A1331" s="14" t="str">
        <f t="shared" si="1"/>
        <v>C52546123</v>
      </c>
      <c r="B1331" s="185" t="str">
        <f t="array" ref="B1331">IF(F1331="VL","",IF(F1331="Free","Free",XLOOKUP(D1331,Roster!T:T,Roster!S:S,"",0)))</f>
        <v/>
      </c>
      <c r="C1331" s="313">
        <v>46123.0</v>
      </c>
      <c r="D1331" s="314" t="s">
        <v>176</v>
      </c>
      <c r="E1331" s="307" t="str">
        <f t="array" ref="E1331">(XLOOKUP(D1331,Roster!F:F,Roster!B:B,"",0))</f>
        <v>Julian Pineda</v>
      </c>
      <c r="F1331" s="315" t="str">
        <f t="array" ref="F1331">IF(B1331=100,"Free",TEXT(XLOOKUP($D1331,OperationVoice!$A:$A,OperationVoice!Q:Q,XLOOKUP($D1331,OperationTickets!$A:$A,OperationTickets!Q:Q,"",0)),"hh:mm"))</f>
        <v>08:00</v>
      </c>
      <c r="G1331" s="309">
        <f t="shared" si="3"/>
        <v>0.7083333333</v>
      </c>
      <c r="H1331" s="316" t="str">
        <f t="array" ref="H1331">XLOOKUP(B1331,Roster!L:L,Roster!N:N,XLOOKUP(D1331,TicketsBreak!A:A,TicketsBreak!E:E,"",0),0)</f>
        <v/>
      </c>
      <c r="I1331" s="316" t="str">
        <f t="array" ref="I1331">XLOOKUP(B1331,Roster!L:L,Roster!O:O,XLOOKUP(D1331,TicketsBreak!A:A,TicketsBreak!F:F,"",0),0)</f>
        <v/>
      </c>
      <c r="J1331" s="316" t="str">
        <f t="array" ref="J1331">XLOOKUP(B1331,Roster!L:L,Roster!P:P,XLOOKUP(D1331,TicketsBreak!A:A,TicketsBreak!G:G,"",0),0)</f>
        <v/>
      </c>
      <c r="K1331" s="310">
        <f t="shared" si="4"/>
        <v>46123</v>
      </c>
      <c r="L1331" s="317">
        <f t="array" ref="L1331">(XLOOKUP(D1331,Roster!F:F,Roster!D:D,"",0))</f>
        <v>35</v>
      </c>
      <c r="M1331" s="317" t="str">
        <f t="array" ref="M1331">XLOOKUP(D1331,Roster!F:F,Roster!E:E)</f>
        <v>Tickets</v>
      </c>
      <c r="N1331" s="317" t="str">
        <f t="shared" ref="N1331:P1331" si="1352">LEFT(H1331,5)</f>
        <v/>
      </c>
      <c r="O1331" s="317" t="str">
        <f t="shared" si="1352"/>
        <v/>
      </c>
      <c r="P1331" s="317" t="str">
        <f t="shared" si="1352"/>
        <v/>
      </c>
      <c r="Q1331" s="318" t="str">
        <f t="shared" si="1232"/>
        <v/>
      </c>
      <c r="R1331" s="318" t="str">
        <f t="shared" si="1233"/>
        <v/>
      </c>
      <c r="S1331" s="318" t="str">
        <f t="shared" si="8"/>
        <v/>
      </c>
    </row>
    <row r="1332">
      <c r="A1332" s="14" t="str">
        <f t="shared" si="1"/>
        <v>C142746123</v>
      </c>
      <c r="B1332" s="185" t="str">
        <f t="array" ref="B1332">IF(F1332="VL","",IF(F1332="Free","Free",XLOOKUP(D1332,Roster!T:T,Roster!S:S,"",0)))</f>
        <v>Free</v>
      </c>
      <c r="C1332" s="313">
        <v>46123.0</v>
      </c>
      <c r="D1332" s="314" t="s">
        <v>50</v>
      </c>
      <c r="E1332" s="307" t="str">
        <f t="array" ref="E1332">(XLOOKUP(D1332,Roster!F:F,Roster!B:B,"",0))</f>
        <v>Karen Lorena Martinez</v>
      </c>
      <c r="F1332" s="315" t="str">
        <f t="array" ref="F1332">IF(B1332=100,"Free",TEXT(XLOOKUP($D1332,OperationVoice!$A:$A,OperationVoice!Q:Q,XLOOKUP($D1332,OperationTickets!$A:$A,OperationTickets!Q:Q,"",0)),"hh:mm"))</f>
        <v>Free</v>
      </c>
      <c r="G1332" s="309" t="str">
        <f t="shared" si="3"/>
        <v>Free</v>
      </c>
      <c r="H1332" s="316" t="str">
        <f t="array" ref="H1332">XLOOKUP(B1332,Roster!L:L,Roster!N:N,XLOOKUP(D1332,TicketsBreak!A:A,TicketsBreak!E:E,"",0),0)</f>
        <v/>
      </c>
      <c r="I1332" s="316" t="str">
        <f t="array" ref="I1332">XLOOKUP(B1332,Roster!L:L,Roster!O:O,XLOOKUP(D1332,TicketsBreak!A:A,TicketsBreak!F:F,"",0),0)</f>
        <v/>
      </c>
      <c r="J1332" s="316" t="str">
        <f t="array" ref="J1332">XLOOKUP(B1332,Roster!L:L,Roster!P:P,XLOOKUP(D1332,TicketsBreak!A:A,TicketsBreak!G:G,"",0),0)</f>
        <v/>
      </c>
      <c r="K1332" s="310">
        <f t="shared" si="4"/>
        <v>46123</v>
      </c>
      <c r="L1332" s="317">
        <f t="array" ref="L1332">(XLOOKUP(D1332,Roster!F:F,Roster!D:D,"",0))</f>
        <v>32</v>
      </c>
      <c r="M1332" s="317" t="str">
        <f t="array" ref="M1332">XLOOKUP(D1332,Roster!F:F,Roster!E:E)</f>
        <v>Voice</v>
      </c>
      <c r="N1332" s="317" t="str">
        <f t="shared" ref="N1332:P1332" si="1353">LEFT(H1332,5)</f>
        <v/>
      </c>
      <c r="O1332" s="317" t="str">
        <f t="shared" si="1353"/>
        <v/>
      </c>
      <c r="P1332" s="317" t="str">
        <f t="shared" si="1353"/>
        <v/>
      </c>
      <c r="Q1332" s="318" t="str">
        <f t="shared" si="1232"/>
        <v/>
      </c>
      <c r="R1332" s="318" t="str">
        <f t="shared" si="1233"/>
        <v/>
      </c>
      <c r="S1332" s="318" t="str">
        <f t="shared" si="8"/>
        <v/>
      </c>
    </row>
    <row r="1333">
      <c r="A1333" s="14" t="str">
        <f t="shared" si="1"/>
        <v>C57946123</v>
      </c>
      <c r="B1333" s="185" t="str">
        <f t="array" ref="B1333">IF(F1333="VL","",IF(F1333="Free","Free",XLOOKUP(D1333,Roster!T:T,Roster!S:S,"",0)))</f>
        <v/>
      </c>
      <c r="C1333" s="313">
        <v>46123.0</v>
      </c>
      <c r="D1333" s="314" t="s">
        <v>144</v>
      </c>
      <c r="E1333" s="307" t="str">
        <f t="array" ref="E1333">(XLOOKUP(D1333,Roster!F:F,Roster!B:B,"",0))</f>
        <v>Karen Martinez</v>
      </c>
      <c r="F1333" s="315" t="str">
        <f t="array" ref="F1333">IF(B1333=100,"Free",TEXT(XLOOKUP($D1333,OperationVoice!$A:$A,OperationVoice!Q:Q,XLOOKUP($D1333,OperationTickets!$A:$A,OperationTickets!Q:Q,"",0)),"hh:mm"))</f>
        <v>08:00</v>
      </c>
      <c r="G1333" s="309">
        <f t="shared" si="3"/>
        <v>0.7083333333</v>
      </c>
      <c r="H1333" s="316">
        <f t="array" ref="H1333">XLOOKUP(B1333,Roster!L:L,Roster!N:N,XLOOKUP(D1333,TicketsBreak!A:A,TicketsBreak!E:E,"",0),0)</f>
        <v>0.4166666667</v>
      </c>
      <c r="I1333" s="316">
        <f t="array" ref="I1333">XLOOKUP(B1333,Roster!L:L,Roster!O:O,XLOOKUP(D1333,TicketsBreak!A:A,TicketsBreak!F:F,"",0),0)</f>
        <v>0.5</v>
      </c>
      <c r="J1333" s="316">
        <f t="array" ref="J1333">XLOOKUP(B1333,Roster!L:L,Roster!P:P,XLOOKUP(D1333,TicketsBreak!A:A,TicketsBreak!G:G,"",0),0)</f>
        <v>0.625</v>
      </c>
      <c r="K1333" s="310">
        <f t="shared" si="4"/>
        <v>46123</v>
      </c>
      <c r="L1333" s="317">
        <f t="array" ref="L1333">(XLOOKUP(D1333,Roster!F:F,Roster!D:D,"",0))</f>
        <v>4</v>
      </c>
      <c r="M1333" s="317" t="str">
        <f t="array" ref="M1333">XLOOKUP(D1333,Roster!F:F,Roster!E:E)</f>
        <v>Tickets</v>
      </c>
      <c r="N1333" s="317" t="str">
        <f t="shared" ref="N1333:P1333" si="1354">LEFT(H1333,5)</f>
        <v>10:00</v>
      </c>
      <c r="O1333" s="317" t="str">
        <f t="shared" si="1354"/>
        <v>12:00</v>
      </c>
      <c r="P1333" s="317" t="str">
        <f t="shared" si="1354"/>
        <v>15:00</v>
      </c>
      <c r="Q1333" s="318">
        <f t="shared" si="1232"/>
        <v>46123.41667</v>
      </c>
      <c r="R1333" s="318">
        <f t="shared" si="1233"/>
        <v>46123.5</v>
      </c>
      <c r="S1333" s="318">
        <f t="shared" si="8"/>
        <v>46123.625</v>
      </c>
    </row>
    <row r="1334">
      <c r="A1334" s="14" t="str">
        <f t="shared" si="1"/>
        <v>C108646123</v>
      </c>
      <c r="B1334" s="185" t="str">
        <f t="array" ref="B1334">IF(F1334="VL","",IF(F1334="Free","Free",XLOOKUP(D1334,Roster!T:T,Roster!S:S,"",0)))</f>
        <v>Free</v>
      </c>
      <c r="C1334" s="313">
        <v>46123.0</v>
      </c>
      <c r="D1334" s="314" t="s">
        <v>51</v>
      </c>
      <c r="E1334" s="307" t="str">
        <f t="array" ref="E1334">(XLOOKUP(D1334,Roster!F:F,Roster!B:B,"",0))</f>
        <v>Karen Panqueva</v>
      </c>
      <c r="F1334" s="315" t="str">
        <f t="array" ref="F1334">IF(B1334=100,"Free",TEXT(XLOOKUP($D1334,OperationVoice!$A:$A,OperationVoice!Q:Q,XLOOKUP($D1334,OperationTickets!$A:$A,OperationTickets!Q:Q,"",0)),"hh:mm"))</f>
        <v>Free</v>
      </c>
      <c r="G1334" s="309" t="str">
        <f t="shared" si="3"/>
        <v>Free</v>
      </c>
      <c r="H1334" s="316" t="str">
        <f t="array" ref="H1334">XLOOKUP(B1334,Roster!L:L,Roster!N:N,XLOOKUP(D1334,TicketsBreak!A:A,TicketsBreak!E:E,"",0),0)</f>
        <v/>
      </c>
      <c r="I1334" s="316" t="str">
        <f t="array" ref="I1334">XLOOKUP(B1334,Roster!L:L,Roster!O:O,XLOOKUP(D1334,TicketsBreak!A:A,TicketsBreak!F:F,"",0),0)</f>
        <v/>
      </c>
      <c r="J1334" s="316" t="str">
        <f t="array" ref="J1334">XLOOKUP(B1334,Roster!L:L,Roster!P:P,XLOOKUP(D1334,TicketsBreak!A:A,TicketsBreak!G:G,"",0),0)</f>
        <v/>
      </c>
      <c r="K1334" s="310">
        <f t="shared" si="4"/>
        <v>46123</v>
      </c>
      <c r="L1334" s="317">
        <f t="array" ref="L1334">(XLOOKUP(D1334,Roster!F:F,Roster!D:D,"",0))</f>
        <v>19</v>
      </c>
      <c r="M1334" s="317" t="str">
        <f t="array" ref="M1334">XLOOKUP(D1334,Roster!F:F,Roster!E:E)</f>
        <v>Voice</v>
      </c>
      <c r="N1334" s="317" t="str">
        <f t="shared" ref="N1334:P1334" si="1355">LEFT(H1334,5)</f>
        <v/>
      </c>
      <c r="O1334" s="317" t="str">
        <f t="shared" si="1355"/>
        <v/>
      </c>
      <c r="P1334" s="317" t="str">
        <f t="shared" si="1355"/>
        <v/>
      </c>
      <c r="Q1334" s="318" t="str">
        <f t="shared" si="1232"/>
        <v/>
      </c>
      <c r="R1334" s="318" t="str">
        <f t="shared" si="1233"/>
        <v/>
      </c>
      <c r="S1334" s="318" t="str">
        <f t="shared" si="8"/>
        <v/>
      </c>
    </row>
    <row r="1335">
      <c r="A1335" s="14" t="str">
        <f t="shared" si="1"/>
        <v>C149246123</v>
      </c>
      <c r="B1335" s="185" t="str">
        <f t="array" ref="B1335">IF(F1335="VL","",IF(F1335="Free","Free",XLOOKUP(D1335,Roster!T:T,Roster!S:S,"",0)))</f>
        <v>Free</v>
      </c>
      <c r="C1335" s="313">
        <v>46123.0</v>
      </c>
      <c r="D1335" s="314" t="s">
        <v>52</v>
      </c>
      <c r="E1335" s="307" t="str">
        <f t="array" ref="E1335">(XLOOKUP(D1335,Roster!F:F,Roster!B:B,"",0))</f>
        <v>Karol Pineda</v>
      </c>
      <c r="F1335" s="315" t="str">
        <f t="array" ref="F1335">IF(B1335=100,"Free",TEXT(XLOOKUP($D1335,OperationVoice!$A:$A,OperationVoice!Q:Q,XLOOKUP($D1335,OperationTickets!$A:$A,OperationTickets!Q:Q,"",0)),"hh:mm"))</f>
        <v>Free</v>
      </c>
      <c r="G1335" s="309" t="str">
        <f t="shared" si="3"/>
        <v>Free</v>
      </c>
      <c r="H1335" s="316" t="str">
        <f t="array" ref="H1335">XLOOKUP(B1335,Roster!L:L,Roster!N:N,XLOOKUP(D1335,TicketsBreak!A:A,TicketsBreak!E:E,"",0),0)</f>
        <v/>
      </c>
      <c r="I1335" s="316" t="str">
        <f t="array" ref="I1335">XLOOKUP(B1335,Roster!L:L,Roster!O:O,XLOOKUP(D1335,TicketsBreak!A:A,TicketsBreak!F:F,"",0),0)</f>
        <v/>
      </c>
      <c r="J1335" s="316" t="str">
        <f t="array" ref="J1335">XLOOKUP(B1335,Roster!L:L,Roster!P:P,XLOOKUP(D1335,TicketsBreak!A:A,TicketsBreak!G:G,"",0),0)</f>
        <v/>
      </c>
      <c r="K1335" s="310">
        <f t="shared" si="4"/>
        <v>46123</v>
      </c>
      <c r="L1335" s="317">
        <f t="array" ref="L1335">(XLOOKUP(D1335,Roster!F:F,Roster!D:D,"",0))</f>
        <v>34</v>
      </c>
      <c r="M1335" s="317" t="str">
        <f t="array" ref="M1335">XLOOKUP(D1335,Roster!F:F,Roster!E:E)</f>
        <v>Voice</v>
      </c>
      <c r="N1335" s="317" t="str">
        <f t="shared" ref="N1335:P1335" si="1356">LEFT(H1335,5)</f>
        <v/>
      </c>
      <c r="O1335" s="317" t="str">
        <f t="shared" si="1356"/>
        <v/>
      </c>
      <c r="P1335" s="317" t="str">
        <f t="shared" si="1356"/>
        <v/>
      </c>
      <c r="Q1335" s="318" t="str">
        <f t="shared" si="1232"/>
        <v/>
      </c>
      <c r="R1335" s="318" t="str">
        <f t="shared" si="1233"/>
        <v/>
      </c>
      <c r="S1335" s="318" t="str">
        <f t="shared" si="8"/>
        <v/>
      </c>
    </row>
    <row r="1336">
      <c r="A1336" s="14" t="str">
        <f t="shared" si="1"/>
        <v>C65846123</v>
      </c>
      <c r="B1336" s="185" t="str">
        <f t="array" ref="B1336">IF(F1336="VL","",IF(F1336="Free","Free",XLOOKUP(D1336,Roster!T:T,Roster!S:S,"",0)))</f>
        <v>Free</v>
      </c>
      <c r="C1336" s="313">
        <v>46123.0</v>
      </c>
      <c r="D1336" s="314" t="s">
        <v>53</v>
      </c>
      <c r="E1336" s="307" t="str">
        <f t="array" ref="E1336">(XLOOKUP(D1336,Roster!F:F,Roster!B:B,"",0))</f>
        <v>Kennedy Giraldo</v>
      </c>
      <c r="F1336" s="315" t="str">
        <f t="array" ref="F1336">IF(B1336=100,"Free",TEXT(XLOOKUP($D1336,OperationVoice!$A:$A,OperationVoice!Q:Q,XLOOKUP($D1336,OperationTickets!$A:$A,OperationTickets!Q:Q,"",0)),"hh:mm"))</f>
        <v>Free</v>
      </c>
      <c r="G1336" s="309" t="str">
        <f t="shared" si="3"/>
        <v>Free</v>
      </c>
      <c r="H1336" s="316" t="str">
        <f t="array" ref="H1336">XLOOKUP(B1336,Roster!L:L,Roster!N:N,XLOOKUP(D1336,TicketsBreak!A:A,TicketsBreak!E:E,"",0),0)</f>
        <v/>
      </c>
      <c r="I1336" s="316" t="str">
        <f t="array" ref="I1336">XLOOKUP(B1336,Roster!L:L,Roster!O:O,XLOOKUP(D1336,TicketsBreak!A:A,TicketsBreak!F:F,"",0),0)</f>
        <v/>
      </c>
      <c r="J1336" s="316" t="str">
        <f t="array" ref="J1336">XLOOKUP(B1336,Roster!L:L,Roster!P:P,XLOOKUP(D1336,TicketsBreak!A:A,TicketsBreak!G:G,"",0),0)</f>
        <v/>
      </c>
      <c r="K1336" s="310">
        <f t="shared" si="4"/>
        <v>46123</v>
      </c>
      <c r="L1336" s="317">
        <f t="array" ref="L1336">(XLOOKUP(D1336,Roster!F:F,Roster!D:D,"",0))</f>
        <v>2</v>
      </c>
      <c r="M1336" s="317" t="str">
        <f t="array" ref="M1336">XLOOKUP(D1336,Roster!F:F,Roster!E:E)</f>
        <v>Voice</v>
      </c>
      <c r="N1336" s="317" t="str">
        <f t="shared" ref="N1336:P1336" si="1357">LEFT(H1336,5)</f>
        <v/>
      </c>
      <c r="O1336" s="317" t="str">
        <f t="shared" si="1357"/>
        <v/>
      </c>
      <c r="P1336" s="317" t="str">
        <f t="shared" si="1357"/>
        <v/>
      </c>
      <c r="Q1336" s="318" t="str">
        <f t="shared" si="1232"/>
        <v/>
      </c>
      <c r="R1336" s="318" t="str">
        <f t="shared" si="1233"/>
        <v/>
      </c>
      <c r="S1336" s="318" t="str">
        <f t="shared" si="8"/>
        <v/>
      </c>
    </row>
    <row r="1337">
      <c r="A1337" s="14" t="str">
        <f t="shared" si="1"/>
        <v>C151446123</v>
      </c>
      <c r="B1337" s="185" t="str">
        <f t="array" ref="B1337">IF(F1337="VL","",IF(F1337="Free","Free",XLOOKUP(D1337,Roster!T:T,Roster!S:S,"",0)))</f>
        <v>Free</v>
      </c>
      <c r="C1337" s="313">
        <v>46123.0</v>
      </c>
      <c r="D1337" s="314" t="s">
        <v>54</v>
      </c>
      <c r="E1337" s="307" t="str">
        <f t="array" ref="E1337">(XLOOKUP(D1337,Roster!F:F,Roster!B:B,"",0))</f>
        <v>Kevin Betancur</v>
      </c>
      <c r="F1337" s="315" t="str">
        <f t="array" ref="F1337">IF(B1337=100,"Free",TEXT(XLOOKUP($D1337,OperationVoice!$A:$A,OperationVoice!Q:Q,XLOOKUP($D1337,OperationTickets!$A:$A,OperationTickets!Q:Q,"",0)),"hh:mm"))</f>
        <v>Free</v>
      </c>
      <c r="G1337" s="309" t="str">
        <f t="shared" si="3"/>
        <v>Free</v>
      </c>
      <c r="H1337" s="316" t="str">
        <f t="array" ref="H1337">XLOOKUP(B1337,Roster!L:L,Roster!N:N,XLOOKUP(D1337,TicketsBreak!A:A,TicketsBreak!E:E,"",0),0)</f>
        <v/>
      </c>
      <c r="I1337" s="316" t="str">
        <f t="array" ref="I1337">XLOOKUP(B1337,Roster!L:L,Roster!O:O,XLOOKUP(D1337,TicketsBreak!A:A,TicketsBreak!F:F,"",0),0)</f>
        <v/>
      </c>
      <c r="J1337" s="316" t="str">
        <f t="array" ref="J1337">XLOOKUP(B1337,Roster!L:L,Roster!P:P,XLOOKUP(D1337,TicketsBreak!A:A,TicketsBreak!G:G,"",0),0)</f>
        <v/>
      </c>
      <c r="K1337" s="310">
        <f t="shared" si="4"/>
        <v>46123</v>
      </c>
      <c r="L1337" s="317">
        <f t="array" ref="L1337">(XLOOKUP(D1337,Roster!F:F,Roster!D:D,"",0))</f>
        <v>35</v>
      </c>
      <c r="M1337" s="317" t="str">
        <f t="array" ref="M1337">XLOOKUP(D1337,Roster!F:F,Roster!E:E)</f>
        <v>Voice</v>
      </c>
      <c r="N1337" s="317" t="str">
        <f t="shared" ref="N1337:P1337" si="1358">LEFT(H1337,5)</f>
        <v/>
      </c>
      <c r="O1337" s="317" t="str">
        <f t="shared" si="1358"/>
        <v/>
      </c>
      <c r="P1337" s="317" t="str">
        <f t="shared" si="1358"/>
        <v/>
      </c>
      <c r="Q1337" s="318" t="str">
        <f t="shared" si="1232"/>
        <v/>
      </c>
      <c r="R1337" s="318" t="str">
        <f t="shared" si="1233"/>
        <v/>
      </c>
      <c r="S1337" s="318" t="str">
        <f t="shared" si="8"/>
        <v/>
      </c>
    </row>
    <row r="1338">
      <c r="A1338" s="14" t="str">
        <f t="shared" si="1"/>
        <v>C157146123</v>
      </c>
      <c r="B1338" s="185" t="str">
        <f t="array" ref="B1338">IF(F1338="VL","",IF(F1338="Free","Free",XLOOKUP(D1338,Roster!T:T,Roster!S:S,"",0)))</f>
        <v>Free</v>
      </c>
      <c r="C1338" s="313">
        <v>46123.0</v>
      </c>
      <c r="D1338" s="314" t="s">
        <v>55</v>
      </c>
      <c r="E1338" s="307" t="str">
        <f t="array" ref="E1338">(XLOOKUP(D1338,Roster!F:F,Roster!B:B,"",0))</f>
        <v>Laura Chamorro</v>
      </c>
      <c r="F1338" s="315" t="str">
        <f t="array" ref="F1338">IF(B1338=100,"Free",TEXT(XLOOKUP($D1338,OperationVoice!$A:$A,OperationVoice!Q:Q,XLOOKUP($D1338,OperationTickets!$A:$A,OperationTickets!Q:Q,"",0)),"hh:mm"))</f>
        <v>Free</v>
      </c>
      <c r="G1338" s="309" t="str">
        <f t="shared" si="3"/>
        <v>Free</v>
      </c>
      <c r="H1338" s="316" t="str">
        <f t="array" ref="H1338">XLOOKUP(B1338,Roster!L:L,Roster!N:N,XLOOKUP(D1338,TicketsBreak!A:A,TicketsBreak!E:E,"",0),0)</f>
        <v/>
      </c>
      <c r="I1338" s="316" t="str">
        <f t="array" ref="I1338">XLOOKUP(B1338,Roster!L:L,Roster!O:O,XLOOKUP(D1338,TicketsBreak!A:A,TicketsBreak!F:F,"",0),0)</f>
        <v/>
      </c>
      <c r="J1338" s="316" t="str">
        <f t="array" ref="J1338">XLOOKUP(B1338,Roster!L:L,Roster!P:P,XLOOKUP(D1338,TicketsBreak!A:A,TicketsBreak!G:G,"",0),0)</f>
        <v/>
      </c>
      <c r="K1338" s="310">
        <f t="shared" si="4"/>
        <v>46123</v>
      </c>
      <c r="L1338" s="317">
        <f t="array" ref="L1338">(XLOOKUP(D1338,Roster!F:F,Roster!D:D,"",0))</f>
        <v>38</v>
      </c>
      <c r="M1338" s="317" t="str">
        <f t="array" ref="M1338">XLOOKUP(D1338,Roster!F:F,Roster!E:E)</f>
        <v>Voice</v>
      </c>
      <c r="N1338" s="317" t="str">
        <f t="shared" ref="N1338:P1338" si="1359">LEFT(H1338,5)</f>
        <v/>
      </c>
      <c r="O1338" s="317" t="str">
        <f t="shared" si="1359"/>
        <v/>
      </c>
      <c r="P1338" s="317" t="str">
        <f t="shared" si="1359"/>
        <v/>
      </c>
      <c r="Q1338" s="318" t="str">
        <f t="shared" si="1232"/>
        <v/>
      </c>
      <c r="R1338" s="318" t="str">
        <f t="shared" si="1233"/>
        <v/>
      </c>
      <c r="S1338" s="318" t="str">
        <f t="shared" si="8"/>
        <v/>
      </c>
    </row>
    <row r="1339">
      <c r="A1339" s="14" t="str">
        <f t="shared" si="1"/>
        <v>C53446123</v>
      </c>
      <c r="B1339" s="185" t="str">
        <f t="array" ref="B1339">IF(F1339="VL","",IF(F1339="Free","Free",XLOOKUP(D1339,Roster!T:T,Roster!S:S,"",0)))</f>
        <v>Free</v>
      </c>
      <c r="C1339" s="313">
        <v>46123.0</v>
      </c>
      <c r="D1339" s="314" t="s">
        <v>177</v>
      </c>
      <c r="E1339" s="307" t="str">
        <f t="array" ref="E1339">(XLOOKUP(D1339,Roster!F:F,Roster!B:B,"",0))</f>
        <v>Leandry La Rosa</v>
      </c>
      <c r="F1339" s="315" t="str">
        <f t="array" ref="F1339">IF(B1339=100,"Free",TEXT(XLOOKUP($D1339,OperationVoice!$A:$A,OperationVoice!Q:Q,XLOOKUP($D1339,OperationTickets!$A:$A,OperationTickets!Q:Q,"",0)),"hh:mm"))</f>
        <v>Free</v>
      </c>
      <c r="G1339" s="309" t="str">
        <f t="shared" si="3"/>
        <v>Free</v>
      </c>
      <c r="H1339" s="316">
        <f t="array" ref="H1339">XLOOKUP(B1339,Roster!L:L,Roster!N:N,XLOOKUP(D1339,TicketsBreak!A:A,TicketsBreak!E:E,"",0),0)</f>
        <v>0.40625</v>
      </c>
      <c r="I1339" s="316">
        <f t="array" ref="I1339">XLOOKUP(B1339,Roster!L:L,Roster!O:O,XLOOKUP(D1339,TicketsBreak!A:A,TicketsBreak!F:F,"",0),0)</f>
        <v>0.5416666667</v>
      </c>
      <c r="J1339" s="316">
        <f t="array" ref="J1339">XLOOKUP(B1339,Roster!L:L,Roster!P:P,XLOOKUP(D1339,TicketsBreak!A:A,TicketsBreak!G:G,"",0),0)</f>
        <v>0.65625</v>
      </c>
      <c r="K1339" s="310">
        <f t="shared" si="4"/>
        <v>46123</v>
      </c>
      <c r="L1339" s="317">
        <f t="array" ref="L1339">(XLOOKUP(D1339,Roster!F:F,Roster!D:D,"",0))</f>
        <v>1</v>
      </c>
      <c r="M1339" s="317" t="str">
        <f t="array" ref="M1339">XLOOKUP(D1339,Roster!F:F,Roster!E:E)</f>
        <v>Tickets</v>
      </c>
      <c r="N1339" s="317" t="str">
        <f t="shared" ref="N1339:P1339" si="1360">LEFT(H1339,5)</f>
        <v>09:45</v>
      </c>
      <c r="O1339" s="317" t="str">
        <f t="shared" si="1360"/>
        <v>13:00</v>
      </c>
      <c r="P1339" s="317" t="str">
        <f t="shared" si="1360"/>
        <v>15:45</v>
      </c>
      <c r="Q1339" s="318">
        <f t="shared" si="1232"/>
        <v>46123.40625</v>
      </c>
      <c r="R1339" s="318">
        <f t="shared" si="1233"/>
        <v>46123.54167</v>
      </c>
      <c r="S1339" s="318">
        <f t="shared" si="8"/>
        <v>46123.65625</v>
      </c>
    </row>
    <row r="1340">
      <c r="A1340" s="14" t="str">
        <f t="shared" si="1"/>
        <v>C157846123</v>
      </c>
      <c r="B1340" s="185">
        <f t="array" ref="B1340">IF(F1340="VL","",IF(F1340="Free","Free",XLOOKUP(D1340,Roster!T:T,Roster!S:S,"",0)))</f>
        <v>125</v>
      </c>
      <c r="C1340" s="313">
        <v>46123.0</v>
      </c>
      <c r="D1340" s="314" t="s">
        <v>56</v>
      </c>
      <c r="E1340" s="307" t="str">
        <f t="array" ref="E1340">(XLOOKUP(D1340,Roster!F:F,Roster!B:B,"",0))</f>
        <v>Leonerrichi Caicedo</v>
      </c>
      <c r="F1340" s="315" t="str">
        <f t="array" ref="F1340">IF(B1340=100,"Free",TEXT(XLOOKUP($D1340,OperationVoice!$A:$A,OperationVoice!Q:Q,XLOOKUP($D1340,OperationTickets!$A:$A,OperationTickets!Q:Q,"",0)),"hh:mm"))</f>
        <v>08:00</v>
      </c>
      <c r="G1340" s="309">
        <f t="shared" si="3"/>
        <v>0.7083333333</v>
      </c>
      <c r="H1340" s="316" t="str">
        <f t="array" ref="H1340">XLOOKUP(B1340,Roster!L:L,Roster!N:N,XLOOKUP(D1340,TicketsBreak!A:A,TicketsBreak!E:E,"",0),0)</f>
        <v>10:30 - 10:45</v>
      </c>
      <c r="I1340" s="316" t="str">
        <f t="array" ref="I1340">XLOOKUP(B1340,Roster!L:L,Roster!O:O,XLOOKUP(D1340,TicketsBreak!A:A,TicketsBreak!F:F,"",0),0)</f>
        <v>13:30 - 14:00</v>
      </c>
      <c r="J1340" s="316" t="str">
        <f t="array" ref="J1340">XLOOKUP(B1340,Roster!L:L,Roster!P:P,XLOOKUP(D1340,TicketsBreak!A:A,TicketsBreak!G:G,"",0),0)</f>
        <v>15:45 - 16:00</v>
      </c>
      <c r="K1340" s="310">
        <f t="shared" si="4"/>
        <v>46123</v>
      </c>
      <c r="L1340" s="317">
        <f t="array" ref="L1340">(XLOOKUP(D1340,Roster!F:F,Roster!D:D,"",0))</f>
        <v>38</v>
      </c>
      <c r="M1340" s="317" t="str">
        <f t="array" ref="M1340">XLOOKUP(D1340,Roster!F:F,Roster!E:E)</f>
        <v>Voice</v>
      </c>
      <c r="N1340" s="317" t="str">
        <f t="shared" ref="N1340:P1340" si="1361">LEFT(H1340,5)</f>
        <v>10:30</v>
      </c>
      <c r="O1340" s="317" t="str">
        <f t="shared" si="1361"/>
        <v>13:30</v>
      </c>
      <c r="P1340" s="317" t="str">
        <f t="shared" si="1361"/>
        <v>15:45</v>
      </c>
      <c r="Q1340" s="318">
        <f t="shared" si="1232"/>
        <v>46123.4375</v>
      </c>
      <c r="R1340" s="318">
        <f t="shared" si="1233"/>
        <v>46123.5625</v>
      </c>
      <c r="S1340" s="318">
        <f t="shared" si="8"/>
        <v>46123.65625</v>
      </c>
    </row>
    <row r="1341">
      <c r="A1341" s="14" t="str">
        <f t="shared" si="1"/>
        <v>C53546123</v>
      </c>
      <c r="B1341" s="185" t="str">
        <f t="array" ref="B1341">IF(F1341="VL","",IF(F1341="Free","Free",XLOOKUP(D1341,Roster!T:T,Roster!S:S,"",0)))</f>
        <v>Free</v>
      </c>
      <c r="C1341" s="313">
        <v>46123.0</v>
      </c>
      <c r="D1341" s="314" t="s">
        <v>145</v>
      </c>
      <c r="E1341" s="307" t="str">
        <f t="array" ref="E1341">(XLOOKUP(D1341,Roster!F:F,Roster!B:B,"",0))</f>
        <v>Lina Cadena</v>
      </c>
      <c r="F1341" s="315" t="str">
        <f t="array" ref="F1341">IF(B1341=100,"Free",TEXT(XLOOKUP($D1341,OperationVoice!$A:$A,OperationVoice!Q:Q,XLOOKUP($D1341,OperationTickets!$A:$A,OperationTickets!Q:Q,"",0)),"hh:mm"))</f>
        <v>Free</v>
      </c>
      <c r="G1341" s="309" t="str">
        <f t="shared" si="3"/>
        <v>Free</v>
      </c>
      <c r="H1341" s="316">
        <f t="array" ref="H1341">XLOOKUP(B1341,Roster!L:L,Roster!N:N,XLOOKUP(D1341,TicketsBreak!A:A,TicketsBreak!E:E,"",0),0)</f>
        <v>0.3854166667</v>
      </c>
      <c r="I1341" s="316">
        <f t="array" ref="I1341">XLOOKUP(B1341,Roster!L:L,Roster!O:O,XLOOKUP(D1341,TicketsBreak!A:A,TicketsBreak!F:F,"",0),0)</f>
        <v>0.5833333333</v>
      </c>
      <c r="J1341" s="316">
        <f t="array" ref="J1341">XLOOKUP(B1341,Roster!L:L,Roster!P:P,XLOOKUP(D1341,TicketsBreak!A:A,TicketsBreak!G:G,"",0),0)</f>
        <v>0.6458333333</v>
      </c>
      <c r="K1341" s="310">
        <f t="shared" si="4"/>
        <v>46123</v>
      </c>
      <c r="L1341" s="317">
        <f t="array" ref="L1341">(XLOOKUP(D1341,Roster!F:F,Roster!D:D,"",0))</f>
        <v>2</v>
      </c>
      <c r="M1341" s="317" t="str">
        <f t="array" ref="M1341">XLOOKUP(D1341,Roster!F:F,Roster!E:E)</f>
        <v>Tickets</v>
      </c>
      <c r="N1341" s="317" t="str">
        <f t="shared" ref="N1341:P1341" si="1362">LEFT(H1341,5)</f>
        <v>09:15</v>
      </c>
      <c r="O1341" s="317" t="str">
        <f t="shared" si="1362"/>
        <v>14:00</v>
      </c>
      <c r="P1341" s="317" t="str">
        <f t="shared" si="1362"/>
        <v>15:30</v>
      </c>
      <c r="Q1341" s="318">
        <f t="shared" si="1232"/>
        <v>46123.38542</v>
      </c>
      <c r="R1341" s="318">
        <f t="shared" si="1233"/>
        <v>46123.58333</v>
      </c>
      <c r="S1341" s="318">
        <f t="shared" si="8"/>
        <v>46123.64583</v>
      </c>
    </row>
    <row r="1342">
      <c r="A1342" s="14" t="str">
        <f t="shared" si="1"/>
        <v>C151746123</v>
      </c>
      <c r="B1342" s="185" t="str">
        <f t="array" ref="B1342">IF(F1342="VL","",IF(F1342="Free","Free",XLOOKUP(D1342,Roster!T:T,Roster!S:S,"",0)))</f>
        <v>Free</v>
      </c>
      <c r="C1342" s="313">
        <v>46123.0</v>
      </c>
      <c r="D1342" s="314" t="s">
        <v>57</v>
      </c>
      <c r="E1342" s="307" t="str">
        <f t="array" ref="E1342">(XLOOKUP(D1342,Roster!F:F,Roster!B:B,"",0))</f>
        <v>Lisandro Alvarado</v>
      </c>
      <c r="F1342" s="315" t="str">
        <f t="array" ref="F1342">IF(B1342=100,"Free",TEXT(XLOOKUP($D1342,OperationVoice!$A:$A,OperationVoice!Q:Q,XLOOKUP($D1342,OperationTickets!$A:$A,OperationTickets!Q:Q,"",0)),"hh:mm"))</f>
        <v>Free</v>
      </c>
      <c r="G1342" s="309" t="str">
        <f t="shared" si="3"/>
        <v>Free</v>
      </c>
      <c r="H1342" s="316" t="str">
        <f t="array" ref="H1342">XLOOKUP(B1342,Roster!L:L,Roster!N:N,XLOOKUP(D1342,TicketsBreak!A:A,TicketsBreak!E:E,"",0),0)</f>
        <v/>
      </c>
      <c r="I1342" s="316" t="str">
        <f t="array" ref="I1342">XLOOKUP(B1342,Roster!L:L,Roster!O:O,XLOOKUP(D1342,TicketsBreak!A:A,TicketsBreak!F:F,"",0),0)</f>
        <v/>
      </c>
      <c r="J1342" s="316" t="str">
        <f t="array" ref="J1342">XLOOKUP(B1342,Roster!L:L,Roster!P:P,XLOOKUP(D1342,TicketsBreak!A:A,TicketsBreak!G:G,"",0),0)</f>
        <v/>
      </c>
      <c r="K1342" s="310">
        <f t="shared" si="4"/>
        <v>46123</v>
      </c>
      <c r="L1342" s="317">
        <f t="array" ref="L1342">(XLOOKUP(D1342,Roster!F:F,Roster!D:D,"",0))</f>
        <v>35</v>
      </c>
      <c r="M1342" s="317" t="str">
        <f t="array" ref="M1342">XLOOKUP(D1342,Roster!F:F,Roster!E:E)</f>
        <v>Voice</v>
      </c>
      <c r="N1342" s="317" t="str">
        <f t="shared" ref="N1342:P1342" si="1363">LEFT(H1342,5)</f>
        <v/>
      </c>
      <c r="O1342" s="317" t="str">
        <f t="shared" si="1363"/>
        <v/>
      </c>
      <c r="P1342" s="317" t="str">
        <f t="shared" si="1363"/>
        <v/>
      </c>
      <c r="Q1342" s="318" t="str">
        <f t="shared" si="1232"/>
        <v/>
      </c>
      <c r="R1342" s="318" t="str">
        <f t="shared" si="1233"/>
        <v/>
      </c>
      <c r="S1342" s="318" t="str">
        <f t="shared" si="8"/>
        <v/>
      </c>
    </row>
    <row r="1343">
      <c r="A1343" s="14" t="str">
        <f t="shared" si="1"/>
        <v>C143346123</v>
      </c>
      <c r="B1343" s="185" t="str">
        <f t="array" ref="B1343">IF(F1343="VL","",IF(F1343="Free","Free",XLOOKUP(D1343,Roster!T:T,Roster!S:S,"",0)))</f>
        <v>Free</v>
      </c>
      <c r="C1343" s="313">
        <v>46123.0</v>
      </c>
      <c r="D1343" s="314" t="s">
        <v>58</v>
      </c>
      <c r="E1343" s="307" t="str">
        <f t="array" ref="E1343">(XLOOKUP(D1343,Roster!F:F,Roster!B:B,"",0))</f>
        <v>Luis Lopez</v>
      </c>
      <c r="F1343" s="315" t="str">
        <f t="array" ref="F1343">IF(B1343=100,"Free",TEXT(XLOOKUP($D1343,OperationVoice!$A:$A,OperationVoice!Q:Q,XLOOKUP($D1343,OperationTickets!$A:$A,OperationTickets!Q:Q,"",0)),"hh:mm"))</f>
        <v>Free</v>
      </c>
      <c r="G1343" s="309" t="str">
        <f t="shared" si="3"/>
        <v>Free</v>
      </c>
      <c r="H1343" s="316" t="str">
        <f t="array" ref="H1343">XLOOKUP(B1343,Roster!L:L,Roster!N:N,XLOOKUP(D1343,TicketsBreak!A:A,TicketsBreak!E:E,"",0),0)</f>
        <v/>
      </c>
      <c r="I1343" s="316" t="str">
        <f t="array" ref="I1343">XLOOKUP(B1343,Roster!L:L,Roster!O:O,XLOOKUP(D1343,TicketsBreak!A:A,TicketsBreak!F:F,"",0),0)</f>
        <v/>
      </c>
      <c r="J1343" s="316" t="str">
        <f t="array" ref="J1343">XLOOKUP(B1343,Roster!L:L,Roster!P:P,XLOOKUP(D1343,TicketsBreak!A:A,TicketsBreak!G:G,"",0),0)</f>
        <v/>
      </c>
      <c r="K1343" s="310">
        <f t="shared" si="4"/>
        <v>46123</v>
      </c>
      <c r="L1343" s="317">
        <f t="array" ref="L1343">(XLOOKUP(D1343,Roster!F:F,Roster!D:D,"",0))</f>
        <v>32</v>
      </c>
      <c r="M1343" s="317" t="str">
        <f t="array" ref="M1343">XLOOKUP(D1343,Roster!F:F,Roster!E:E)</f>
        <v>Voice</v>
      </c>
      <c r="N1343" s="317" t="str">
        <f t="shared" ref="N1343:P1343" si="1364">LEFT(H1343,5)</f>
        <v/>
      </c>
      <c r="O1343" s="317" t="str">
        <f t="shared" si="1364"/>
        <v/>
      </c>
      <c r="P1343" s="317" t="str">
        <f t="shared" si="1364"/>
        <v/>
      </c>
      <c r="Q1343" s="318" t="str">
        <f t="shared" si="1232"/>
        <v/>
      </c>
      <c r="R1343" s="318" t="str">
        <f t="shared" si="1233"/>
        <v/>
      </c>
      <c r="S1343" s="318" t="str">
        <f t="shared" si="8"/>
        <v/>
      </c>
    </row>
    <row r="1344">
      <c r="A1344" s="14" t="str">
        <f t="shared" si="1"/>
        <v>C153446123</v>
      </c>
      <c r="B1344" s="185" t="str">
        <f t="array" ref="B1344">IF(F1344="VL","",IF(F1344="Free","Free",XLOOKUP(D1344,Roster!T:T,Roster!S:S,"",0)))</f>
        <v>Free</v>
      </c>
      <c r="C1344" s="313">
        <v>46123.0</v>
      </c>
      <c r="D1344" s="314" t="s">
        <v>59</v>
      </c>
      <c r="E1344" s="307" t="str">
        <f t="array" ref="E1344">(XLOOKUP(D1344,Roster!F:F,Roster!B:B,"",0))</f>
        <v>Luis Munoz</v>
      </c>
      <c r="F1344" s="315" t="str">
        <f t="array" ref="F1344">IF(B1344=100,"Free",TEXT(XLOOKUP($D1344,OperationVoice!$A:$A,OperationVoice!Q:Q,XLOOKUP($D1344,OperationTickets!$A:$A,OperationTickets!Q:Q,"",0)),"hh:mm"))</f>
        <v>Free</v>
      </c>
      <c r="G1344" s="309" t="str">
        <f t="shared" si="3"/>
        <v>Free</v>
      </c>
      <c r="H1344" s="316" t="str">
        <f t="array" ref="H1344">XLOOKUP(B1344,Roster!L:L,Roster!N:N,XLOOKUP(D1344,TicketsBreak!A:A,TicketsBreak!E:E,"",0),0)</f>
        <v/>
      </c>
      <c r="I1344" s="316" t="str">
        <f t="array" ref="I1344">XLOOKUP(B1344,Roster!L:L,Roster!O:O,XLOOKUP(D1344,TicketsBreak!A:A,TicketsBreak!F:F,"",0),0)</f>
        <v/>
      </c>
      <c r="J1344" s="316" t="str">
        <f t="array" ref="J1344">XLOOKUP(B1344,Roster!L:L,Roster!P:P,XLOOKUP(D1344,TicketsBreak!A:A,TicketsBreak!G:G,"",0),0)</f>
        <v/>
      </c>
      <c r="K1344" s="310">
        <f t="shared" si="4"/>
        <v>46123</v>
      </c>
      <c r="L1344" s="317">
        <f t="array" ref="L1344">(XLOOKUP(D1344,Roster!F:F,Roster!D:D,"",0))</f>
        <v>36</v>
      </c>
      <c r="M1344" s="317" t="str">
        <f t="array" ref="M1344">XLOOKUP(D1344,Roster!F:F,Roster!E:E)</f>
        <v>Voice</v>
      </c>
      <c r="N1344" s="317" t="str">
        <f t="shared" ref="N1344:P1344" si="1365">LEFT(H1344,5)</f>
        <v/>
      </c>
      <c r="O1344" s="317" t="str">
        <f t="shared" si="1365"/>
        <v/>
      </c>
      <c r="P1344" s="317" t="str">
        <f t="shared" si="1365"/>
        <v/>
      </c>
      <c r="Q1344" s="318" t="str">
        <f t="shared" si="1232"/>
        <v/>
      </c>
      <c r="R1344" s="318" t="str">
        <f t="shared" si="1233"/>
        <v/>
      </c>
      <c r="S1344" s="318" t="str">
        <f t="shared" si="8"/>
        <v/>
      </c>
    </row>
    <row r="1345">
      <c r="A1345" s="14" t="str">
        <f t="shared" si="1"/>
        <v>C53846123</v>
      </c>
      <c r="B1345" s="185" t="str">
        <f t="array" ref="B1345">IF(F1345="VL","",IF(F1345="Free","Free",XLOOKUP(D1345,Roster!T:T,Roster!S:S,"",0)))</f>
        <v>Free</v>
      </c>
      <c r="C1345" s="313">
        <v>46123.0</v>
      </c>
      <c r="D1345" s="314" t="s">
        <v>165</v>
      </c>
      <c r="E1345" s="307" t="str">
        <f t="array" ref="E1345">(XLOOKUP(D1345,Roster!F:F,Roster!B:B,"",0))</f>
        <v>Luisa Arenas</v>
      </c>
      <c r="F1345" s="315" t="str">
        <f t="array" ref="F1345">IF(B1345=100,"Free",TEXT(XLOOKUP($D1345,OperationVoice!$A:$A,OperationVoice!Q:Q,XLOOKUP($D1345,OperationTickets!$A:$A,OperationTickets!Q:Q,"",0)),"hh:mm"))</f>
        <v>Free</v>
      </c>
      <c r="G1345" s="309" t="str">
        <f t="shared" si="3"/>
        <v>Free</v>
      </c>
      <c r="H1345" s="316" t="str">
        <f t="array" ref="H1345">XLOOKUP(B1345,Roster!L:L,Roster!N:N,XLOOKUP(D1345,TicketsBreak!A:A,TicketsBreak!E:E,"",0),0)</f>
        <v/>
      </c>
      <c r="I1345" s="316" t="str">
        <f t="array" ref="I1345">XLOOKUP(B1345,Roster!L:L,Roster!O:O,XLOOKUP(D1345,TicketsBreak!A:A,TicketsBreak!F:F,"",0),0)</f>
        <v/>
      </c>
      <c r="J1345" s="316" t="str">
        <f t="array" ref="J1345">XLOOKUP(B1345,Roster!L:L,Roster!P:P,XLOOKUP(D1345,TicketsBreak!A:A,TicketsBreak!G:G,"",0),0)</f>
        <v/>
      </c>
      <c r="K1345" s="310">
        <f t="shared" si="4"/>
        <v>46123</v>
      </c>
      <c r="L1345" s="317">
        <f t="array" ref="L1345">(XLOOKUP(D1345,Roster!F:F,Roster!D:D,"",0))</f>
        <v>35</v>
      </c>
      <c r="M1345" s="317" t="str">
        <f t="array" ref="M1345">XLOOKUP(D1345,Roster!F:F,Roster!E:E)</f>
        <v>Tickets</v>
      </c>
      <c r="N1345" s="317" t="str">
        <f t="shared" ref="N1345:P1345" si="1366">LEFT(H1345,5)</f>
        <v/>
      </c>
      <c r="O1345" s="317" t="str">
        <f t="shared" si="1366"/>
        <v/>
      </c>
      <c r="P1345" s="317" t="str">
        <f t="shared" si="1366"/>
        <v/>
      </c>
      <c r="Q1345" s="318" t="str">
        <f t="shared" si="1232"/>
        <v/>
      </c>
      <c r="R1345" s="318" t="str">
        <f t="shared" si="1233"/>
        <v/>
      </c>
      <c r="S1345" s="318" t="str">
        <f t="shared" si="8"/>
        <v/>
      </c>
    </row>
    <row r="1346">
      <c r="A1346" s="14" t="str">
        <f t="shared" si="1"/>
        <v>C113646123</v>
      </c>
      <c r="B1346" s="185" t="str">
        <f t="array" ref="B1346">IF(F1346="VL","",IF(F1346="Free","Free",XLOOKUP(D1346,Roster!T:T,Roster!S:S,"",0)))</f>
        <v>Free</v>
      </c>
      <c r="C1346" s="313">
        <v>46123.0</v>
      </c>
      <c r="D1346" s="314" t="s">
        <v>60</v>
      </c>
      <c r="E1346" s="307" t="str">
        <f t="array" ref="E1346">(XLOOKUP(D1346,Roster!F:F,Roster!B:B,"",0))</f>
        <v>Luisa Gonzalez</v>
      </c>
      <c r="F1346" s="315" t="str">
        <f t="array" ref="F1346">IF(B1346=100,"Free",TEXT(XLOOKUP($D1346,OperationVoice!$A:$A,OperationVoice!Q:Q,XLOOKUP($D1346,OperationTickets!$A:$A,OperationTickets!Q:Q,"",0)),"hh:mm"))</f>
        <v>Free</v>
      </c>
      <c r="G1346" s="309" t="str">
        <f t="shared" si="3"/>
        <v>Free</v>
      </c>
      <c r="H1346" s="316" t="str">
        <f t="array" ref="H1346">XLOOKUP(B1346,Roster!L:L,Roster!N:N,XLOOKUP(D1346,TicketsBreak!A:A,TicketsBreak!E:E,"",0),0)</f>
        <v/>
      </c>
      <c r="I1346" s="316" t="str">
        <f t="array" ref="I1346">XLOOKUP(B1346,Roster!L:L,Roster!O:O,XLOOKUP(D1346,TicketsBreak!A:A,TicketsBreak!F:F,"",0),0)</f>
        <v/>
      </c>
      <c r="J1346" s="316" t="str">
        <f t="array" ref="J1346">XLOOKUP(B1346,Roster!L:L,Roster!P:P,XLOOKUP(D1346,TicketsBreak!A:A,TicketsBreak!G:G,"",0),0)</f>
        <v/>
      </c>
      <c r="K1346" s="310">
        <f t="shared" si="4"/>
        <v>46123</v>
      </c>
      <c r="L1346" s="317">
        <f t="array" ref="L1346">(XLOOKUP(D1346,Roster!F:F,Roster!D:D,"",0))</f>
        <v>22</v>
      </c>
      <c r="M1346" s="317" t="str">
        <f t="array" ref="M1346">XLOOKUP(D1346,Roster!F:F,Roster!E:E)</f>
        <v>Voice</v>
      </c>
      <c r="N1346" s="317" t="str">
        <f t="shared" ref="N1346:P1346" si="1367">LEFT(H1346,5)</f>
        <v/>
      </c>
      <c r="O1346" s="317" t="str">
        <f t="shared" si="1367"/>
        <v/>
      </c>
      <c r="P1346" s="317" t="str">
        <f t="shared" si="1367"/>
        <v/>
      </c>
      <c r="Q1346" s="318" t="str">
        <f t="shared" si="1232"/>
        <v/>
      </c>
      <c r="R1346" s="318" t="str">
        <f t="shared" si="1233"/>
        <v/>
      </c>
      <c r="S1346" s="318" t="str">
        <f t="shared" si="8"/>
        <v/>
      </c>
    </row>
    <row r="1347">
      <c r="A1347" s="14" t="str">
        <f t="shared" si="1"/>
        <v>C157746123</v>
      </c>
      <c r="B1347" s="185" t="str">
        <f t="array" ref="B1347">IF(F1347="VL","",IF(F1347="Free","Free",XLOOKUP(D1347,Roster!T:T,Roster!S:S,"",0)))</f>
        <v>Free</v>
      </c>
      <c r="C1347" s="313">
        <v>46123.0</v>
      </c>
      <c r="D1347" s="314" t="s">
        <v>61</v>
      </c>
      <c r="E1347" s="307" t="str">
        <f t="array" ref="E1347">(XLOOKUP(D1347,Roster!F:F,Roster!B:B,"",0))</f>
        <v>Luna Morales</v>
      </c>
      <c r="F1347" s="315" t="str">
        <f t="array" ref="F1347">IF(B1347=100,"Free",TEXT(XLOOKUP($D1347,OperationVoice!$A:$A,OperationVoice!Q:Q,XLOOKUP($D1347,OperationTickets!$A:$A,OperationTickets!Q:Q,"",0)),"hh:mm"))</f>
        <v>Free</v>
      </c>
      <c r="G1347" s="309" t="str">
        <f t="shared" si="3"/>
        <v>Free</v>
      </c>
      <c r="H1347" s="316" t="str">
        <f t="array" ref="H1347">XLOOKUP(B1347,Roster!L:L,Roster!N:N,XLOOKUP(D1347,TicketsBreak!A:A,TicketsBreak!E:E,"",0),0)</f>
        <v/>
      </c>
      <c r="I1347" s="316" t="str">
        <f t="array" ref="I1347">XLOOKUP(B1347,Roster!L:L,Roster!O:O,XLOOKUP(D1347,TicketsBreak!A:A,TicketsBreak!F:F,"",0),0)</f>
        <v/>
      </c>
      <c r="J1347" s="316" t="str">
        <f t="array" ref="J1347">XLOOKUP(B1347,Roster!L:L,Roster!P:P,XLOOKUP(D1347,TicketsBreak!A:A,TicketsBreak!G:G,"",0),0)</f>
        <v/>
      </c>
      <c r="K1347" s="310">
        <f t="shared" si="4"/>
        <v>46123</v>
      </c>
      <c r="L1347" s="317">
        <f t="array" ref="L1347">(XLOOKUP(D1347,Roster!F:F,Roster!D:D,"",0))</f>
        <v>38</v>
      </c>
      <c r="M1347" s="317" t="str">
        <f t="array" ref="M1347">XLOOKUP(D1347,Roster!F:F,Roster!E:E)</f>
        <v>Voice</v>
      </c>
      <c r="N1347" s="317" t="str">
        <f t="shared" ref="N1347:P1347" si="1368">LEFT(H1347,5)</f>
        <v/>
      </c>
      <c r="O1347" s="317" t="str">
        <f t="shared" si="1368"/>
        <v/>
      </c>
      <c r="P1347" s="317" t="str">
        <f t="shared" si="1368"/>
        <v/>
      </c>
      <c r="Q1347" s="318" t="str">
        <f t="shared" si="1232"/>
        <v/>
      </c>
      <c r="R1347" s="318" t="str">
        <f t="shared" si="1233"/>
        <v/>
      </c>
      <c r="S1347" s="318" t="str">
        <f t="shared" si="8"/>
        <v/>
      </c>
    </row>
    <row r="1348">
      <c r="A1348" s="14" t="str">
        <f t="shared" si="1"/>
        <v>C121946123</v>
      </c>
      <c r="B1348" s="185" t="str">
        <f t="array" ref="B1348">IF(F1348="VL","",IF(F1348="Free","Free",XLOOKUP(D1348,Roster!T:T,Roster!S:S,"",0)))</f>
        <v/>
      </c>
      <c r="C1348" s="313">
        <v>46123.0</v>
      </c>
      <c r="D1348" s="314" t="s">
        <v>146</v>
      </c>
      <c r="E1348" s="307" t="str">
        <f t="array" ref="E1348">(XLOOKUP(D1348,Roster!F:F,Roster!B:B,"",0))</f>
        <v>Madelyn Jaramillo</v>
      </c>
      <c r="F1348" s="315" t="str">
        <f t="array" ref="F1348">IF(B1348=100,"Free",TEXT(XLOOKUP($D1348,OperationVoice!$A:$A,OperationVoice!Q:Q,XLOOKUP($D1348,OperationTickets!$A:$A,OperationTickets!Q:Q,"",0)),"hh:mm"))</f>
        <v>08:00</v>
      </c>
      <c r="G1348" s="309">
        <f t="shared" si="3"/>
        <v>0.7083333333</v>
      </c>
      <c r="H1348" s="316" t="str">
        <f t="array" ref="H1348">XLOOKUP(B1348,Roster!L:L,Roster!N:N,XLOOKUP(D1348,TicketsBreak!A:A,TicketsBreak!E:E,"",0),0)</f>
        <v/>
      </c>
      <c r="I1348" s="316" t="str">
        <f t="array" ref="I1348">XLOOKUP(B1348,Roster!L:L,Roster!O:O,XLOOKUP(D1348,TicketsBreak!A:A,TicketsBreak!F:F,"",0),0)</f>
        <v/>
      </c>
      <c r="J1348" s="316" t="str">
        <f t="array" ref="J1348">XLOOKUP(B1348,Roster!L:L,Roster!P:P,XLOOKUP(D1348,TicketsBreak!A:A,TicketsBreak!G:G,"",0),0)</f>
        <v/>
      </c>
      <c r="K1348" s="310">
        <f t="shared" si="4"/>
        <v>46123</v>
      </c>
      <c r="L1348" s="317">
        <f t="array" ref="L1348">(XLOOKUP(D1348,Roster!F:F,Roster!D:D,"",0))</f>
        <v>26</v>
      </c>
      <c r="M1348" s="317" t="str">
        <f t="array" ref="M1348">XLOOKUP(D1348,Roster!F:F,Roster!E:E)</f>
        <v>Tickets</v>
      </c>
      <c r="N1348" s="317" t="str">
        <f t="shared" ref="N1348:P1348" si="1369">LEFT(H1348,5)</f>
        <v/>
      </c>
      <c r="O1348" s="317" t="str">
        <f t="shared" si="1369"/>
        <v/>
      </c>
      <c r="P1348" s="317" t="str">
        <f t="shared" si="1369"/>
        <v/>
      </c>
      <c r="Q1348" s="318" t="str">
        <f t="shared" si="1232"/>
        <v/>
      </c>
      <c r="R1348" s="318" t="str">
        <f t="shared" si="1233"/>
        <v/>
      </c>
      <c r="S1348" s="318" t="str">
        <f t="shared" si="8"/>
        <v/>
      </c>
    </row>
    <row r="1349">
      <c r="A1349" s="14" t="str">
        <f t="shared" si="1"/>
        <v>C151646123</v>
      </c>
      <c r="B1349" s="185" t="str">
        <f t="array" ref="B1349">IF(F1349="VL","",IF(F1349="Free","Free",XLOOKUP(D1349,Roster!T:T,Roster!S:S,"",0)))</f>
        <v>Free</v>
      </c>
      <c r="C1349" s="313">
        <v>46123.0</v>
      </c>
      <c r="D1349" s="314" t="s">
        <v>62</v>
      </c>
      <c r="E1349" s="307" t="str">
        <f t="array" ref="E1349">(XLOOKUP(D1349,Roster!F:F,Roster!B:B,"",0))</f>
        <v>Magda Foronda</v>
      </c>
      <c r="F1349" s="315" t="str">
        <f t="array" ref="F1349">IF(B1349=100,"Free",TEXT(XLOOKUP($D1349,OperationVoice!$A:$A,OperationVoice!Q:Q,XLOOKUP($D1349,OperationTickets!$A:$A,OperationTickets!Q:Q,"",0)),"hh:mm"))</f>
        <v>Free</v>
      </c>
      <c r="G1349" s="309" t="str">
        <f t="shared" si="3"/>
        <v>Free</v>
      </c>
      <c r="H1349" s="316" t="str">
        <f t="array" ref="H1349">XLOOKUP(B1349,Roster!L:L,Roster!N:N,XLOOKUP(D1349,TicketsBreak!A:A,TicketsBreak!E:E,"",0),0)</f>
        <v/>
      </c>
      <c r="I1349" s="316" t="str">
        <f t="array" ref="I1349">XLOOKUP(B1349,Roster!L:L,Roster!O:O,XLOOKUP(D1349,TicketsBreak!A:A,TicketsBreak!F:F,"",0),0)</f>
        <v/>
      </c>
      <c r="J1349" s="316" t="str">
        <f t="array" ref="J1349">XLOOKUP(B1349,Roster!L:L,Roster!P:P,XLOOKUP(D1349,TicketsBreak!A:A,TicketsBreak!G:G,"",0),0)</f>
        <v/>
      </c>
      <c r="K1349" s="310">
        <f t="shared" si="4"/>
        <v>46123</v>
      </c>
      <c r="L1349" s="317">
        <f t="array" ref="L1349">(XLOOKUP(D1349,Roster!F:F,Roster!D:D,"",0))</f>
        <v>35</v>
      </c>
      <c r="M1349" s="317" t="str">
        <f t="array" ref="M1349">XLOOKUP(D1349,Roster!F:F,Roster!E:E)</f>
        <v>Voice</v>
      </c>
      <c r="N1349" s="317" t="str">
        <f t="shared" ref="N1349:P1349" si="1370">LEFT(H1349,5)</f>
        <v/>
      </c>
      <c r="O1349" s="317" t="str">
        <f t="shared" si="1370"/>
        <v/>
      </c>
      <c r="P1349" s="317" t="str">
        <f t="shared" si="1370"/>
        <v/>
      </c>
      <c r="Q1349" s="318" t="str">
        <f t="shared" si="1232"/>
        <v/>
      </c>
      <c r="R1349" s="318" t="str">
        <f t="shared" si="1233"/>
        <v/>
      </c>
      <c r="S1349" s="318" t="str">
        <f t="shared" si="8"/>
        <v/>
      </c>
    </row>
    <row r="1350">
      <c r="A1350" s="14" t="str">
        <f t="shared" si="1"/>
        <v>C118046123</v>
      </c>
      <c r="B1350" s="185" t="str">
        <f t="array" ref="B1350">IF(F1350="VL","",IF(F1350="Free","Free",XLOOKUP(D1350,Roster!T:T,Roster!S:S,"",0)))</f>
        <v>Free</v>
      </c>
      <c r="C1350" s="313">
        <v>46123.0</v>
      </c>
      <c r="D1350" s="314" t="s">
        <v>147</v>
      </c>
      <c r="E1350" s="307" t="str">
        <f t="array" ref="E1350">(XLOOKUP(D1350,Roster!F:F,Roster!B:B,"",0))</f>
        <v>Manuela Moreno</v>
      </c>
      <c r="F1350" s="315" t="str">
        <f t="array" ref="F1350">IF(B1350=100,"Free",TEXT(XLOOKUP($D1350,OperationVoice!$A:$A,OperationVoice!Q:Q,XLOOKUP($D1350,OperationTickets!$A:$A,OperationTickets!Q:Q,"",0)),"hh:mm"))</f>
        <v>Free</v>
      </c>
      <c r="G1350" s="309" t="str">
        <f t="shared" si="3"/>
        <v>Free</v>
      </c>
      <c r="H1350" s="316" t="str">
        <f t="array" ref="H1350">XLOOKUP(B1350,Roster!L:L,Roster!N:N,XLOOKUP(D1350,TicketsBreak!A:A,TicketsBreak!E:E,"",0),0)</f>
        <v/>
      </c>
      <c r="I1350" s="316" t="str">
        <f t="array" ref="I1350">XLOOKUP(B1350,Roster!L:L,Roster!O:O,XLOOKUP(D1350,TicketsBreak!A:A,TicketsBreak!F:F,"",0),0)</f>
        <v/>
      </c>
      <c r="J1350" s="316" t="str">
        <f t="array" ref="J1350">XLOOKUP(B1350,Roster!L:L,Roster!P:P,XLOOKUP(D1350,TicketsBreak!A:A,TicketsBreak!G:G,"",0),0)</f>
        <v/>
      </c>
      <c r="K1350" s="310">
        <f t="shared" si="4"/>
        <v>46123</v>
      </c>
      <c r="L1350" s="317">
        <f t="array" ref="L1350">(XLOOKUP(D1350,Roster!F:F,Roster!D:D,"",0))</f>
        <v>24</v>
      </c>
      <c r="M1350" s="317" t="str">
        <f t="array" ref="M1350">XLOOKUP(D1350,Roster!F:F,Roster!E:E)</f>
        <v>Tickets</v>
      </c>
      <c r="N1350" s="317" t="str">
        <f t="shared" ref="N1350:P1350" si="1371">LEFT(H1350,5)</f>
        <v/>
      </c>
      <c r="O1350" s="317" t="str">
        <f t="shared" si="1371"/>
        <v/>
      </c>
      <c r="P1350" s="317" t="str">
        <f t="shared" si="1371"/>
        <v/>
      </c>
      <c r="Q1350" s="318" t="str">
        <f>IF(P1350="","",$C1350+N1350)</f>
        <v/>
      </c>
      <c r="R1350" s="318" t="str">
        <f t="shared" si="1233"/>
        <v/>
      </c>
      <c r="S1350" s="318" t="str">
        <f t="shared" si="8"/>
        <v/>
      </c>
    </row>
    <row r="1351">
      <c r="A1351" s="14" t="str">
        <f t="shared" si="1"/>
        <v>C153646123</v>
      </c>
      <c r="B1351" s="185" t="str">
        <f t="array" ref="B1351">IF(F1351="VL","",IF(F1351="Free","Free",XLOOKUP(D1351,Roster!T:T,Roster!S:S,"",0)))</f>
        <v>Free</v>
      </c>
      <c r="C1351" s="313">
        <v>46123.0</v>
      </c>
      <c r="D1351" s="314" t="s">
        <v>63</v>
      </c>
      <c r="E1351" s="307" t="str">
        <f t="array" ref="E1351">(XLOOKUP(D1351,Roster!F:F,Roster!B:B,"",0))</f>
        <v>Maria Mesa</v>
      </c>
      <c r="F1351" s="315" t="str">
        <f t="array" ref="F1351">IF(B1351=100,"Free",TEXT(XLOOKUP($D1351,OperationVoice!$A:$A,OperationVoice!Q:Q,XLOOKUP($D1351,OperationTickets!$A:$A,OperationTickets!Q:Q,"",0)),"hh:mm"))</f>
        <v>Free</v>
      </c>
      <c r="G1351" s="309" t="str">
        <f t="shared" si="3"/>
        <v>Free</v>
      </c>
      <c r="H1351" s="316" t="str">
        <f t="array" ref="H1351">XLOOKUP(B1351,Roster!L:L,Roster!N:N,XLOOKUP(D1351,TicketsBreak!A:A,TicketsBreak!E:E,"",0),0)</f>
        <v/>
      </c>
      <c r="I1351" s="316" t="str">
        <f t="array" ref="I1351">XLOOKUP(B1351,Roster!L:L,Roster!O:O,XLOOKUP(D1351,TicketsBreak!A:A,TicketsBreak!F:F,"",0),0)</f>
        <v/>
      </c>
      <c r="J1351" s="316" t="str">
        <f t="array" ref="J1351">XLOOKUP(B1351,Roster!L:L,Roster!P:P,XLOOKUP(D1351,TicketsBreak!A:A,TicketsBreak!G:G,"",0),0)</f>
        <v/>
      </c>
      <c r="K1351" s="310">
        <f t="shared" si="4"/>
        <v>46123</v>
      </c>
      <c r="L1351" s="317">
        <f t="array" ref="L1351">(XLOOKUP(D1351,Roster!F:F,Roster!D:D,"",0))</f>
        <v>36</v>
      </c>
      <c r="M1351" s="317" t="str">
        <f t="array" ref="M1351">XLOOKUP(D1351,Roster!F:F,Roster!E:E)</f>
        <v>Voice</v>
      </c>
      <c r="N1351" s="317" t="str">
        <f t="shared" ref="N1351:P1351" si="1372">LEFT(H1351,5)</f>
        <v/>
      </c>
      <c r="O1351" s="317" t="str">
        <f t="shared" si="1372"/>
        <v/>
      </c>
      <c r="P1351" s="317" t="str">
        <f t="shared" si="1372"/>
        <v/>
      </c>
      <c r="Q1351" s="318" t="str">
        <f t="shared" ref="Q1351:Q1489" si="1374">IF(N1351="","",$C1351+N1351)</f>
        <v/>
      </c>
      <c r="R1351" s="318" t="str">
        <f t="shared" si="1233"/>
        <v/>
      </c>
      <c r="S1351" s="318" t="str">
        <f t="shared" si="8"/>
        <v/>
      </c>
    </row>
    <row r="1352">
      <c r="A1352" s="14" t="str">
        <f t="shared" si="1"/>
        <v>C74046123</v>
      </c>
      <c r="B1352" s="185" t="str">
        <f t="array" ref="B1352">IF(F1352="VL","",IF(F1352="Free","Free",XLOOKUP(D1352,Roster!T:T,Roster!S:S,"",0)))</f>
        <v/>
      </c>
      <c r="C1352" s="313">
        <v>46123.0</v>
      </c>
      <c r="D1352" s="314" t="s">
        <v>166</v>
      </c>
      <c r="E1352" s="307" t="str">
        <f t="array" ref="E1352">(XLOOKUP(D1352,Roster!F:F,Roster!B:B,"",0))</f>
        <v>Mateo Agudelo</v>
      </c>
      <c r="F1352" s="315" t="str">
        <f t="array" ref="F1352">IF(B1352=100,"Free",TEXT(XLOOKUP($D1352,OperationVoice!$A:$A,OperationVoice!Q:Q,XLOOKUP($D1352,OperationTickets!$A:$A,OperationTickets!Q:Q,"",0)),"hh:mm"))</f>
        <v>08:00</v>
      </c>
      <c r="G1352" s="309">
        <f t="shared" si="3"/>
        <v>0.7083333333</v>
      </c>
      <c r="H1352" s="316">
        <f t="array" ref="H1352">XLOOKUP(B1352,Roster!L:L,Roster!N:N,XLOOKUP(D1352,TicketsBreak!A:A,TicketsBreak!E:E,"",0),0)</f>
        <v>0.4166666667</v>
      </c>
      <c r="I1352" s="316">
        <f t="array" ref="I1352">XLOOKUP(B1352,Roster!L:L,Roster!O:O,XLOOKUP(D1352,TicketsBreak!A:A,TicketsBreak!F:F,"",0),0)</f>
        <v>0.5</v>
      </c>
      <c r="J1352" s="316">
        <f t="array" ref="J1352">XLOOKUP(B1352,Roster!L:L,Roster!P:P,XLOOKUP(D1352,TicketsBreak!A:A,TicketsBreak!G:G,"",0),0)</f>
        <v>0.65625</v>
      </c>
      <c r="K1352" s="310">
        <f t="shared" si="4"/>
        <v>46123</v>
      </c>
      <c r="L1352" s="317">
        <f t="array" ref="L1352">(XLOOKUP(D1352,Roster!F:F,Roster!D:D,"",0))</f>
        <v>8</v>
      </c>
      <c r="M1352" s="317" t="str">
        <f t="array" ref="M1352">XLOOKUP(D1352,Roster!F:F,Roster!E:E)</f>
        <v>Tickets</v>
      </c>
      <c r="N1352" s="317" t="str">
        <f t="shared" ref="N1352:P1352" si="1373">LEFT(H1352,5)</f>
        <v>10:00</v>
      </c>
      <c r="O1352" s="317" t="str">
        <f t="shared" si="1373"/>
        <v>12:00</v>
      </c>
      <c r="P1352" s="317" t="str">
        <f t="shared" si="1373"/>
        <v>15:45</v>
      </c>
      <c r="Q1352" s="318">
        <f t="shared" si="1374"/>
        <v>46123.41667</v>
      </c>
      <c r="R1352" s="318">
        <f t="shared" si="1233"/>
        <v>46123.5</v>
      </c>
      <c r="S1352" s="318">
        <f t="shared" si="8"/>
        <v>46123.65625</v>
      </c>
    </row>
    <row r="1353">
      <c r="A1353" s="14" t="str">
        <f t="shared" si="1"/>
        <v>C142946123</v>
      </c>
      <c r="B1353" s="185">
        <f t="array" ref="B1353">IF(F1353="VL","",IF(F1353="Free","Free",XLOOKUP(D1353,Roster!T:T,Roster!S:S,"",0)))</f>
        <v>121</v>
      </c>
      <c r="C1353" s="313">
        <v>46123.0</v>
      </c>
      <c r="D1353" s="314" t="s">
        <v>178</v>
      </c>
      <c r="E1353" s="307" t="str">
        <f t="array" ref="E1353">(XLOOKUP(D1353,Roster!F:F,Roster!B:B,"",0))</f>
        <v>Mateo Vanegas</v>
      </c>
      <c r="F1353" s="315" t="str">
        <f t="array" ref="F1353">IF(B1353=100,"Free",TEXT(XLOOKUP($D1353,OperationVoice!$A:$A,OperationVoice!Q:Q,XLOOKUP($D1353,OperationTickets!$A:$A,OperationTickets!Q:Q,"",0)),"hh:mm"))</f>
        <v>08:00</v>
      </c>
      <c r="G1353" s="309">
        <f t="shared" si="3"/>
        <v>0.7083333333</v>
      </c>
      <c r="H1353" s="316" t="str">
        <f t="array" ref="H1353">XLOOKUP(B1353,Roster!L:L,Roster!N:N,XLOOKUP(D1353,TicketsBreak!A:A,TicketsBreak!E:E,"",0),0)</f>
        <v>09:15 - 09:30</v>
      </c>
      <c r="I1353" s="316" t="str">
        <f t="array" ref="I1353">XLOOKUP(B1353,Roster!L:L,Roster!O:O,XLOOKUP(D1353,TicketsBreak!A:A,TicketsBreak!F:F,"",0),0)</f>
        <v>11:30 - 12:00</v>
      </c>
      <c r="J1353" s="316" t="str">
        <f t="array" ref="J1353">XLOOKUP(B1353,Roster!L:L,Roster!P:P,XLOOKUP(D1353,TicketsBreak!A:A,TicketsBreak!G:G,"",0),0)</f>
        <v>14:30 - 14:45</v>
      </c>
      <c r="K1353" s="310">
        <f t="shared" si="4"/>
        <v>46123</v>
      </c>
      <c r="L1353" s="317">
        <f t="array" ref="L1353">(XLOOKUP(D1353,Roster!F:F,Roster!D:D,"",0))</f>
        <v>32</v>
      </c>
      <c r="M1353" s="317" t="str">
        <f t="array" ref="M1353">XLOOKUP(D1353,Roster!F:F,Roster!E:E)</f>
        <v>Tickets</v>
      </c>
      <c r="N1353" s="317" t="str">
        <f t="shared" ref="N1353:P1353" si="1375">LEFT(H1353,5)</f>
        <v>09:15</v>
      </c>
      <c r="O1353" s="317" t="str">
        <f t="shared" si="1375"/>
        <v>11:30</v>
      </c>
      <c r="P1353" s="317" t="str">
        <f t="shared" si="1375"/>
        <v>14:30</v>
      </c>
      <c r="Q1353" s="318">
        <f t="shared" si="1374"/>
        <v>46123.38542</v>
      </c>
      <c r="R1353" s="318">
        <f t="shared" si="1233"/>
        <v>46123.47917</v>
      </c>
      <c r="S1353" s="318">
        <f t="shared" si="8"/>
        <v>46123.60417</v>
      </c>
    </row>
    <row r="1354">
      <c r="A1354" s="14" t="str">
        <f t="shared" si="1"/>
        <v>C146846123</v>
      </c>
      <c r="B1354" s="185" t="str">
        <f t="array" ref="B1354">IF(F1354="VL","",IF(F1354="Free","Free",XLOOKUP(D1354,Roster!T:T,Roster!S:S,"",0)))</f>
        <v>Free</v>
      </c>
      <c r="C1354" s="313">
        <v>46123.0</v>
      </c>
      <c r="D1354" s="314" t="s">
        <v>64</v>
      </c>
      <c r="E1354" s="307" t="str">
        <f t="array" ref="E1354">(XLOOKUP(D1354,Roster!F:F,Roster!B:B,"",0))</f>
        <v>Miguel Betancur</v>
      </c>
      <c r="F1354" s="315" t="str">
        <f t="array" ref="F1354">IF(B1354=100,"Free",TEXT(XLOOKUP($D1354,OperationVoice!$A:$A,OperationVoice!Q:Q,XLOOKUP($D1354,OperationTickets!$A:$A,OperationTickets!Q:Q,"",0)),"hh:mm"))</f>
        <v>Free</v>
      </c>
      <c r="G1354" s="309" t="str">
        <f t="shared" si="3"/>
        <v>Free</v>
      </c>
      <c r="H1354" s="316" t="str">
        <f t="array" ref="H1354">XLOOKUP(B1354,Roster!L:L,Roster!N:N,XLOOKUP(D1354,TicketsBreak!A:A,TicketsBreak!E:E,"",0),0)</f>
        <v/>
      </c>
      <c r="I1354" s="316" t="str">
        <f t="array" ref="I1354">XLOOKUP(B1354,Roster!L:L,Roster!O:O,XLOOKUP(D1354,TicketsBreak!A:A,TicketsBreak!F:F,"",0),0)</f>
        <v/>
      </c>
      <c r="J1354" s="316" t="str">
        <f t="array" ref="J1354">XLOOKUP(B1354,Roster!L:L,Roster!P:P,XLOOKUP(D1354,TicketsBreak!A:A,TicketsBreak!G:G,"",0),0)</f>
        <v/>
      </c>
      <c r="K1354" s="310">
        <f t="shared" si="4"/>
        <v>46123</v>
      </c>
      <c r="L1354" s="317">
        <f t="array" ref="L1354">(XLOOKUP(D1354,Roster!F:F,Roster!D:D,"",0))</f>
        <v>33</v>
      </c>
      <c r="M1354" s="317" t="str">
        <f t="array" ref="M1354">XLOOKUP(D1354,Roster!F:F,Roster!E:E)</f>
        <v>Voice</v>
      </c>
      <c r="N1354" s="317" t="str">
        <f t="shared" ref="N1354:P1354" si="1376">LEFT(H1354,5)</f>
        <v/>
      </c>
      <c r="O1354" s="317" t="str">
        <f t="shared" si="1376"/>
        <v/>
      </c>
      <c r="P1354" s="317" t="str">
        <f t="shared" si="1376"/>
        <v/>
      </c>
      <c r="Q1354" s="318" t="str">
        <f t="shared" si="1374"/>
        <v/>
      </c>
      <c r="R1354" s="318" t="str">
        <f t="shared" si="1233"/>
        <v/>
      </c>
      <c r="S1354" s="318" t="str">
        <f t="shared" si="8"/>
        <v/>
      </c>
    </row>
    <row r="1355">
      <c r="A1355" s="14" t="str">
        <f t="shared" si="1"/>
        <v>C106546123</v>
      </c>
      <c r="B1355" s="185" t="str">
        <f t="array" ref="B1355">IF(F1355="VL","",IF(F1355="Free","Free",XLOOKUP(D1355,Roster!T:T,Roster!S:S,"",0)))</f>
        <v/>
      </c>
      <c r="C1355" s="313">
        <v>46123.0</v>
      </c>
      <c r="D1355" s="314" t="s">
        <v>148</v>
      </c>
      <c r="E1355" s="307" t="str">
        <f t="array" ref="E1355">(XLOOKUP(D1355,Roster!F:F,Roster!B:B,"",0))</f>
        <v>Miguel Hoyos</v>
      </c>
      <c r="F1355" s="315" t="str">
        <f t="array" ref="F1355">IF(B1355=100,"Free",TEXT(XLOOKUP($D1355,OperationVoice!$A:$A,OperationVoice!Q:Q,XLOOKUP($D1355,OperationTickets!$A:$A,OperationTickets!Q:Q,"",0)),"hh:mm"))</f>
        <v>07:00</v>
      </c>
      <c r="G1355" s="309">
        <f t="shared" si="3"/>
        <v>0.6666666667</v>
      </c>
      <c r="H1355" s="316">
        <f t="array" ref="H1355">XLOOKUP(B1355,Roster!L:L,Roster!N:N,XLOOKUP(D1355,TicketsBreak!A:A,TicketsBreak!E:E,"",0),0)</f>
        <v>0.4583333333</v>
      </c>
      <c r="I1355" s="316">
        <f t="array" ref="I1355">XLOOKUP(B1355,Roster!L:L,Roster!O:O,XLOOKUP(D1355,TicketsBreak!A:A,TicketsBreak!F:F,"",0),0)</f>
        <v>0.5625</v>
      </c>
      <c r="J1355" s="316">
        <f t="array" ref="J1355">XLOOKUP(B1355,Roster!L:L,Roster!P:P,XLOOKUP(D1355,TicketsBreak!A:A,TicketsBreak!G:G,"",0),0)</f>
        <v>0.65625</v>
      </c>
      <c r="K1355" s="310">
        <f t="shared" si="4"/>
        <v>46123</v>
      </c>
      <c r="L1355" s="317">
        <f t="array" ref="L1355">(XLOOKUP(D1355,Roster!F:F,Roster!D:D,"",0))</f>
        <v>17</v>
      </c>
      <c r="M1355" s="317" t="str">
        <f t="array" ref="M1355">XLOOKUP(D1355,Roster!F:F,Roster!E:E)</f>
        <v>Tickets</v>
      </c>
      <c r="N1355" s="317" t="str">
        <f t="shared" ref="N1355:P1355" si="1377">LEFT(H1355,5)</f>
        <v>11:00</v>
      </c>
      <c r="O1355" s="317" t="str">
        <f t="shared" si="1377"/>
        <v>13:30</v>
      </c>
      <c r="P1355" s="317" t="str">
        <f t="shared" si="1377"/>
        <v>15:45</v>
      </c>
      <c r="Q1355" s="318">
        <f t="shared" si="1374"/>
        <v>46123.45833</v>
      </c>
      <c r="R1355" s="318">
        <f t="shared" si="1233"/>
        <v>46123.5625</v>
      </c>
      <c r="S1355" s="318">
        <f t="shared" si="8"/>
        <v>46123.65625</v>
      </c>
    </row>
    <row r="1356">
      <c r="A1356" s="14" t="str">
        <f t="shared" si="1"/>
        <v>C111446123</v>
      </c>
      <c r="B1356" s="185" t="str">
        <f t="array" ref="B1356">IF(F1356="VL","",IF(F1356="Free","Free",XLOOKUP(D1356,Roster!T:T,Roster!S:S,"",0)))</f>
        <v>Free</v>
      </c>
      <c r="C1356" s="313">
        <v>46123.0</v>
      </c>
      <c r="D1356" s="314" t="s">
        <v>65</v>
      </c>
      <c r="E1356" s="307" t="str">
        <f t="array" ref="E1356">(XLOOKUP(D1356,Roster!F:F,Roster!B:B,"",0))</f>
        <v>Mikel Bowie</v>
      </c>
      <c r="F1356" s="315" t="str">
        <f t="array" ref="F1356">IF(B1356=100,"Free",TEXT(XLOOKUP($D1356,OperationVoice!$A:$A,OperationVoice!Q:Q,XLOOKUP($D1356,OperationTickets!$A:$A,OperationTickets!Q:Q,"",0)),"hh:mm"))</f>
        <v>Free</v>
      </c>
      <c r="G1356" s="309" t="str">
        <f t="shared" si="3"/>
        <v>Free</v>
      </c>
      <c r="H1356" s="316" t="str">
        <f t="array" ref="H1356">XLOOKUP(B1356,Roster!L:L,Roster!N:N,XLOOKUP(D1356,TicketsBreak!A:A,TicketsBreak!E:E,"",0),0)</f>
        <v/>
      </c>
      <c r="I1356" s="316" t="str">
        <f t="array" ref="I1356">XLOOKUP(B1356,Roster!L:L,Roster!O:O,XLOOKUP(D1356,TicketsBreak!A:A,TicketsBreak!F:F,"",0),0)</f>
        <v/>
      </c>
      <c r="J1356" s="316" t="str">
        <f t="array" ref="J1356">XLOOKUP(B1356,Roster!L:L,Roster!P:P,XLOOKUP(D1356,TicketsBreak!A:A,TicketsBreak!G:G,"",0),0)</f>
        <v/>
      </c>
      <c r="K1356" s="310">
        <f t="shared" si="4"/>
        <v>46123</v>
      </c>
      <c r="L1356" s="317">
        <f t="array" ref="L1356">(XLOOKUP(D1356,Roster!F:F,Roster!D:D,"",0))</f>
        <v>20</v>
      </c>
      <c r="M1356" s="317" t="str">
        <f t="array" ref="M1356">XLOOKUP(D1356,Roster!F:F,Roster!E:E)</f>
        <v>Voice</v>
      </c>
      <c r="N1356" s="317" t="str">
        <f t="shared" ref="N1356:P1356" si="1378">LEFT(H1356,5)</f>
        <v/>
      </c>
      <c r="O1356" s="317" t="str">
        <f t="shared" si="1378"/>
        <v/>
      </c>
      <c r="P1356" s="317" t="str">
        <f t="shared" si="1378"/>
        <v/>
      </c>
      <c r="Q1356" s="318" t="str">
        <f t="shared" si="1374"/>
        <v/>
      </c>
      <c r="R1356" s="318" t="str">
        <f t="shared" si="1233"/>
        <v/>
      </c>
      <c r="S1356" s="318" t="str">
        <f t="shared" si="8"/>
        <v/>
      </c>
    </row>
    <row r="1357">
      <c r="A1357" s="14" t="str">
        <f t="shared" si="1"/>
        <v>C116346123</v>
      </c>
      <c r="B1357" s="185" t="str">
        <f t="array" ref="B1357">IF(F1357="VL","",IF(F1357="Free","Free",XLOOKUP(D1357,Roster!T:T,Roster!S:S,"",0)))</f>
        <v>Free</v>
      </c>
      <c r="C1357" s="313">
        <v>46123.0</v>
      </c>
      <c r="D1357" s="314" t="s">
        <v>66</v>
      </c>
      <c r="E1357" s="307" t="str">
        <f t="array" ref="E1357">(XLOOKUP(D1357,Roster!F:F,Roster!B:B,"",0))</f>
        <v>Natalia Cardona</v>
      </c>
      <c r="F1357" s="315" t="str">
        <f t="array" ref="F1357">IF(B1357=100,"Free",TEXT(XLOOKUP($D1357,OperationVoice!$A:$A,OperationVoice!Q:Q,XLOOKUP($D1357,OperationTickets!$A:$A,OperationTickets!Q:Q,"",0)),"hh:mm"))</f>
        <v>Free</v>
      </c>
      <c r="G1357" s="309" t="str">
        <f t="shared" si="3"/>
        <v>Free</v>
      </c>
      <c r="H1357" s="316" t="str">
        <f t="array" ref="H1357">XLOOKUP(B1357,Roster!L:L,Roster!N:N,XLOOKUP(D1357,TicketsBreak!A:A,TicketsBreak!E:E,"",0),0)</f>
        <v/>
      </c>
      <c r="I1357" s="316" t="str">
        <f t="array" ref="I1357">XLOOKUP(B1357,Roster!L:L,Roster!O:O,XLOOKUP(D1357,TicketsBreak!A:A,TicketsBreak!F:F,"",0),0)</f>
        <v/>
      </c>
      <c r="J1357" s="316" t="str">
        <f t="array" ref="J1357">XLOOKUP(B1357,Roster!L:L,Roster!P:P,XLOOKUP(D1357,TicketsBreak!A:A,TicketsBreak!G:G,"",0),0)</f>
        <v/>
      </c>
      <c r="K1357" s="310">
        <f t="shared" si="4"/>
        <v>46123</v>
      </c>
      <c r="L1357" s="317">
        <f t="array" ref="L1357">(XLOOKUP(D1357,Roster!F:F,Roster!D:D,"",0))</f>
        <v>24</v>
      </c>
      <c r="M1357" s="317" t="str">
        <f t="array" ref="M1357">XLOOKUP(D1357,Roster!F:F,Roster!E:E)</f>
        <v>Voice</v>
      </c>
      <c r="N1357" s="317" t="str">
        <f t="shared" ref="N1357:P1357" si="1379">LEFT(H1357,5)</f>
        <v/>
      </c>
      <c r="O1357" s="317" t="str">
        <f t="shared" si="1379"/>
        <v/>
      </c>
      <c r="P1357" s="317" t="str">
        <f t="shared" si="1379"/>
        <v/>
      </c>
      <c r="Q1357" s="318" t="str">
        <f t="shared" si="1374"/>
        <v/>
      </c>
      <c r="R1357" s="318" t="str">
        <f t="shared" si="1233"/>
        <v/>
      </c>
      <c r="S1357" s="318" t="str">
        <f t="shared" si="8"/>
        <v/>
      </c>
    </row>
    <row r="1358">
      <c r="A1358" s="14" t="str">
        <f t="shared" si="1"/>
        <v>C55646123</v>
      </c>
      <c r="B1358" s="185" t="str">
        <f t="array" ref="B1358">IF(F1358="VL","",IF(F1358="Free","Free",XLOOKUP(D1358,Roster!T:T,Roster!S:S,"",0)))</f>
        <v>Free</v>
      </c>
      <c r="C1358" s="313">
        <v>46123.0</v>
      </c>
      <c r="D1358" s="314" t="s">
        <v>167</v>
      </c>
      <c r="E1358" s="307" t="str">
        <f t="array" ref="E1358">(XLOOKUP(D1358,Roster!F:F,Roster!B:B,"",0))</f>
        <v>Nelson Londono</v>
      </c>
      <c r="F1358" s="315" t="str">
        <f t="array" ref="F1358">IF(B1358=100,"Free",TEXT(XLOOKUP($D1358,OperationVoice!$A:$A,OperationVoice!Q:Q,XLOOKUP($D1358,OperationTickets!$A:$A,OperationTickets!Q:Q,"",0)),"hh:mm"))</f>
        <v>Free</v>
      </c>
      <c r="G1358" s="309" t="str">
        <f t="shared" si="3"/>
        <v>Free</v>
      </c>
      <c r="H1358" s="316">
        <f t="array" ref="H1358">XLOOKUP(B1358,Roster!L:L,Roster!N:N,XLOOKUP(D1358,TicketsBreak!A:A,TicketsBreak!E:E,"",0),0)</f>
        <v>0.3854166667</v>
      </c>
      <c r="I1358" s="316">
        <f t="array" ref="I1358">XLOOKUP(B1358,Roster!L:L,Roster!O:O,XLOOKUP(D1358,TicketsBreak!A:A,TicketsBreak!F:F,"",0),0)</f>
        <v>0.5833333333</v>
      </c>
      <c r="J1358" s="316">
        <f t="array" ref="J1358">XLOOKUP(B1358,Roster!L:L,Roster!P:P,XLOOKUP(D1358,TicketsBreak!A:A,TicketsBreak!G:G,"",0),0)</f>
        <v>0.6458333333</v>
      </c>
      <c r="K1358" s="310">
        <f t="shared" si="4"/>
        <v>46123</v>
      </c>
      <c r="L1358" s="317">
        <f t="array" ref="L1358">(XLOOKUP(D1358,Roster!F:F,Roster!D:D,"",0))</f>
        <v>2</v>
      </c>
      <c r="M1358" s="317" t="str">
        <f t="array" ref="M1358">XLOOKUP(D1358,Roster!F:F,Roster!E:E)</f>
        <v>Tickets</v>
      </c>
      <c r="N1358" s="317" t="str">
        <f t="shared" ref="N1358:P1358" si="1380">LEFT(H1358,5)</f>
        <v>09:15</v>
      </c>
      <c r="O1358" s="317" t="str">
        <f t="shared" si="1380"/>
        <v>14:00</v>
      </c>
      <c r="P1358" s="317" t="str">
        <f t="shared" si="1380"/>
        <v>15:30</v>
      </c>
      <c r="Q1358" s="318">
        <f t="shared" si="1374"/>
        <v>46123.38542</v>
      </c>
      <c r="R1358" s="318">
        <f t="shared" si="1233"/>
        <v>46123.58333</v>
      </c>
      <c r="S1358" s="318">
        <f t="shared" si="8"/>
        <v>46123.64583</v>
      </c>
    </row>
    <row r="1359">
      <c r="A1359" s="14" t="str">
        <f t="shared" si="1"/>
        <v>C150746123</v>
      </c>
      <c r="B1359" s="185" t="str">
        <f t="array" ref="B1359">IF(F1359="VL","",IF(F1359="Free","Free",XLOOKUP(D1359,Roster!T:T,Roster!S:S,"",0)))</f>
        <v>Free</v>
      </c>
      <c r="C1359" s="313">
        <v>46123.0</v>
      </c>
      <c r="D1359" s="314" t="s">
        <v>67</v>
      </c>
      <c r="E1359" s="307" t="str">
        <f t="array" ref="E1359">(XLOOKUP(D1359,Roster!F:F,Roster!B:B,"",0))</f>
        <v>Nicols Quinones</v>
      </c>
      <c r="F1359" s="315" t="str">
        <f t="array" ref="F1359">IF(B1359=100,"Free",TEXT(XLOOKUP($D1359,OperationVoice!$A:$A,OperationVoice!Q:Q,XLOOKUP($D1359,OperationTickets!$A:$A,OperationTickets!Q:Q,"",0)),"hh:mm"))</f>
        <v>Free</v>
      </c>
      <c r="G1359" s="309" t="str">
        <f t="shared" si="3"/>
        <v>Free</v>
      </c>
      <c r="H1359" s="316" t="str">
        <f t="array" ref="H1359">XLOOKUP(B1359,Roster!L:L,Roster!N:N,XLOOKUP(D1359,TicketsBreak!A:A,TicketsBreak!E:E,"",0),0)</f>
        <v/>
      </c>
      <c r="I1359" s="316" t="str">
        <f t="array" ref="I1359">XLOOKUP(B1359,Roster!L:L,Roster!O:O,XLOOKUP(D1359,TicketsBreak!A:A,TicketsBreak!F:F,"",0),0)</f>
        <v/>
      </c>
      <c r="J1359" s="316" t="str">
        <f t="array" ref="J1359">XLOOKUP(B1359,Roster!L:L,Roster!P:P,XLOOKUP(D1359,TicketsBreak!A:A,TicketsBreak!G:G,"",0),0)</f>
        <v/>
      </c>
      <c r="K1359" s="310">
        <f t="shared" si="4"/>
        <v>46123</v>
      </c>
      <c r="L1359" s="317">
        <f t="array" ref="L1359">(XLOOKUP(D1359,Roster!F:F,Roster!D:D,"",0))</f>
        <v>35</v>
      </c>
      <c r="M1359" s="317" t="str">
        <f t="array" ref="M1359">XLOOKUP(D1359,Roster!F:F,Roster!E:E)</f>
        <v>Voice</v>
      </c>
      <c r="N1359" s="317" t="str">
        <f t="shared" ref="N1359:P1359" si="1381">LEFT(H1359,5)</f>
        <v/>
      </c>
      <c r="O1359" s="317" t="str">
        <f t="shared" si="1381"/>
        <v/>
      </c>
      <c r="P1359" s="317" t="str">
        <f t="shared" si="1381"/>
        <v/>
      </c>
      <c r="Q1359" s="318" t="str">
        <f t="shared" si="1374"/>
        <v/>
      </c>
      <c r="R1359" s="318" t="str">
        <f t="shared" si="1233"/>
        <v/>
      </c>
      <c r="S1359" s="318" t="str">
        <f t="shared" si="8"/>
        <v/>
      </c>
    </row>
    <row r="1360">
      <c r="A1360" s="14" t="str">
        <f t="shared" si="1"/>
        <v>C71446123</v>
      </c>
      <c r="B1360" s="185" t="str">
        <f t="array" ref="B1360">IF(F1360="VL","",IF(F1360="Free","Free",XLOOKUP(D1360,Roster!T:T,Roster!S:S,"",0)))</f>
        <v>Free</v>
      </c>
      <c r="C1360" s="313">
        <v>46123.0</v>
      </c>
      <c r="D1360" s="314" t="s">
        <v>149</v>
      </c>
      <c r="E1360" s="307" t="str">
        <f t="array" ref="E1360">(XLOOKUP(D1360,Roster!F:F,Roster!B:B,"",0))</f>
        <v>Onel Olivera</v>
      </c>
      <c r="F1360" s="315" t="str">
        <f t="array" ref="F1360">IF(B1360=100,"Free",TEXT(XLOOKUP($D1360,OperationVoice!$A:$A,OperationVoice!Q:Q,XLOOKUP($D1360,OperationTickets!$A:$A,OperationTickets!Q:Q,"",0)),"hh:mm"))</f>
        <v>Free</v>
      </c>
      <c r="G1360" s="309" t="str">
        <f t="shared" si="3"/>
        <v>Free</v>
      </c>
      <c r="H1360" s="316">
        <f t="array" ref="H1360">XLOOKUP(B1360,Roster!L:L,Roster!N:N,XLOOKUP(D1360,TicketsBreak!A:A,TicketsBreak!E:E,"",0),0)</f>
        <v>0.4166666667</v>
      </c>
      <c r="I1360" s="316">
        <f t="array" ref="I1360">XLOOKUP(B1360,Roster!L:L,Roster!O:O,XLOOKUP(D1360,TicketsBreak!A:A,TicketsBreak!F:F,"",0),0)</f>
        <v>0.5</v>
      </c>
      <c r="J1360" s="316">
        <f t="array" ref="J1360">XLOOKUP(B1360,Roster!L:L,Roster!P:P,XLOOKUP(D1360,TicketsBreak!A:A,TicketsBreak!G:G,"",0),0)</f>
        <v>0.625</v>
      </c>
      <c r="K1360" s="310">
        <f t="shared" si="4"/>
        <v>46123</v>
      </c>
      <c r="L1360" s="317">
        <f t="array" ref="L1360">(XLOOKUP(D1360,Roster!F:F,Roster!D:D,"",0))</f>
        <v>1</v>
      </c>
      <c r="M1360" s="317" t="str">
        <f t="array" ref="M1360">XLOOKUP(D1360,Roster!F:F,Roster!E:E)</f>
        <v>Tickets</v>
      </c>
      <c r="N1360" s="317" t="str">
        <f t="shared" ref="N1360:P1360" si="1382">LEFT(H1360,5)</f>
        <v>10:00</v>
      </c>
      <c r="O1360" s="317" t="str">
        <f t="shared" si="1382"/>
        <v>12:00</v>
      </c>
      <c r="P1360" s="317" t="str">
        <f t="shared" si="1382"/>
        <v>15:00</v>
      </c>
      <c r="Q1360" s="318">
        <f t="shared" si="1374"/>
        <v>46123.41667</v>
      </c>
      <c r="R1360" s="318">
        <f t="shared" si="1233"/>
        <v>46123.5</v>
      </c>
      <c r="S1360" s="318">
        <f t="shared" si="8"/>
        <v>46123.625</v>
      </c>
    </row>
    <row r="1361">
      <c r="A1361" s="14" t="str">
        <f t="shared" si="1"/>
        <v>C116446123</v>
      </c>
      <c r="B1361" s="185" t="str">
        <f t="array" ref="B1361">IF(F1361="VL","",IF(F1361="Free","Free",XLOOKUP(D1361,Roster!T:T,Roster!S:S,"",0)))</f>
        <v>Free</v>
      </c>
      <c r="C1361" s="313">
        <v>46123.0</v>
      </c>
      <c r="D1361" s="314" t="s">
        <v>179</v>
      </c>
      <c r="E1361" s="307" t="str">
        <f t="array" ref="E1361">(XLOOKUP(D1361,Roster!F:F,Roster!B:B,"",0))</f>
        <v>Oscar Florez</v>
      </c>
      <c r="F1361" s="315" t="str">
        <f t="array" ref="F1361">IF(B1361=100,"Free",TEXT(XLOOKUP($D1361,OperationVoice!$A:$A,OperationVoice!Q:Q,XLOOKUP($D1361,OperationTickets!$A:$A,OperationTickets!Q:Q,"",0)),"hh:mm"))</f>
        <v>Free</v>
      </c>
      <c r="G1361" s="309" t="str">
        <f t="shared" si="3"/>
        <v>Free</v>
      </c>
      <c r="H1361" s="316" t="str">
        <f t="array" ref="H1361">XLOOKUP(B1361,Roster!L:L,Roster!N:N,XLOOKUP(D1361,TicketsBreak!A:A,TicketsBreak!E:E,"",0),0)</f>
        <v/>
      </c>
      <c r="I1361" s="316" t="str">
        <f t="array" ref="I1361">XLOOKUP(B1361,Roster!L:L,Roster!O:O,XLOOKUP(D1361,TicketsBreak!A:A,TicketsBreak!F:F,"",0),0)</f>
        <v/>
      </c>
      <c r="J1361" s="316" t="str">
        <f t="array" ref="J1361">XLOOKUP(B1361,Roster!L:L,Roster!P:P,XLOOKUP(D1361,TicketsBreak!A:A,TicketsBreak!G:G,"",0),0)</f>
        <v/>
      </c>
      <c r="K1361" s="310">
        <f t="shared" si="4"/>
        <v>46123</v>
      </c>
      <c r="L1361" s="317">
        <f t="array" ref="L1361">(XLOOKUP(D1361,Roster!F:F,Roster!D:D,"",0))</f>
        <v>24</v>
      </c>
      <c r="M1361" s="317" t="str">
        <f t="array" ref="M1361">XLOOKUP(D1361,Roster!F:F,Roster!E:E)</f>
        <v>Tickets</v>
      </c>
      <c r="N1361" s="317" t="str">
        <f t="shared" ref="N1361:P1361" si="1383">LEFT(H1361,5)</f>
        <v/>
      </c>
      <c r="O1361" s="317" t="str">
        <f t="shared" si="1383"/>
        <v/>
      </c>
      <c r="P1361" s="317" t="str">
        <f t="shared" si="1383"/>
        <v/>
      </c>
      <c r="Q1361" s="318" t="str">
        <f t="shared" si="1374"/>
        <v/>
      </c>
      <c r="R1361" s="318" t="str">
        <f t="shared" si="1233"/>
        <v/>
      </c>
      <c r="S1361" s="318" t="str">
        <f t="shared" si="8"/>
        <v/>
      </c>
    </row>
    <row r="1362">
      <c r="A1362" s="14" t="str">
        <f t="shared" si="1"/>
        <v>C153846123</v>
      </c>
      <c r="B1362" s="185">
        <f t="array" ref="B1362">IF(F1362="VL","",IF(F1362="Free","Free",XLOOKUP(D1362,Roster!T:T,Roster!S:S,"",0)))</f>
        <v>151</v>
      </c>
      <c r="C1362" s="313">
        <v>46123.0</v>
      </c>
      <c r="D1362" s="314" t="s">
        <v>68</v>
      </c>
      <c r="E1362" s="307" t="str">
        <f t="array" ref="E1362">(XLOOKUP(D1362,Roster!F:F,Roster!B:B,"",0))</f>
        <v>Oscar Roldan</v>
      </c>
      <c r="F1362" s="315" t="str">
        <f t="array" ref="F1362">IF(B1362=100,"Free",TEXT(XLOOKUP($D1362,OperationVoice!$A:$A,OperationVoice!Q:Q,XLOOKUP($D1362,OperationTickets!$A:$A,OperationTickets!Q:Q,"",0)),"hh:mm"))</f>
        <v>11:00</v>
      </c>
      <c r="G1362" s="309">
        <f t="shared" si="3"/>
        <v>0.8333333333</v>
      </c>
      <c r="H1362" s="316" t="str">
        <f t="array" ref="H1362">XLOOKUP(B1362,Roster!L:L,Roster!N:N,XLOOKUP(D1362,TicketsBreak!A:A,TicketsBreak!E:E,"",0),0)</f>
        <v>12:15 - 12:30</v>
      </c>
      <c r="I1362" s="316" t="str">
        <f t="array" ref="I1362">XLOOKUP(B1362,Roster!L:L,Roster!O:O,XLOOKUP(D1362,TicketsBreak!A:A,TicketsBreak!F:F,"",0),0)</f>
        <v>14:00 - 14:30</v>
      </c>
      <c r="J1362" s="316" t="str">
        <f t="array" ref="J1362">XLOOKUP(B1362,Roster!L:L,Roster!P:P,XLOOKUP(D1362,TicketsBreak!A:A,TicketsBreak!G:G,"",0),0)</f>
        <v>17:15 - 17:30</v>
      </c>
      <c r="K1362" s="310">
        <f t="shared" si="4"/>
        <v>46123</v>
      </c>
      <c r="L1362" s="317">
        <f t="array" ref="L1362">(XLOOKUP(D1362,Roster!F:F,Roster!D:D,"",0))</f>
        <v>36</v>
      </c>
      <c r="M1362" s="317" t="str">
        <f t="array" ref="M1362">XLOOKUP(D1362,Roster!F:F,Roster!E:E)</f>
        <v>Voice</v>
      </c>
      <c r="N1362" s="317" t="str">
        <f t="shared" ref="N1362:P1362" si="1384">LEFT(H1362,5)</f>
        <v>12:15</v>
      </c>
      <c r="O1362" s="317" t="str">
        <f t="shared" si="1384"/>
        <v>14:00</v>
      </c>
      <c r="P1362" s="317" t="str">
        <f t="shared" si="1384"/>
        <v>17:15</v>
      </c>
      <c r="Q1362" s="318">
        <f t="shared" si="1374"/>
        <v>46123.51042</v>
      </c>
      <c r="R1362" s="318">
        <f t="shared" si="1233"/>
        <v>46123.58333</v>
      </c>
      <c r="S1362" s="318">
        <f t="shared" si="8"/>
        <v>46123.71875</v>
      </c>
    </row>
    <row r="1363">
      <c r="A1363" s="14" t="str">
        <f t="shared" si="1"/>
        <v>C151146123</v>
      </c>
      <c r="B1363" s="185">
        <f t="array" ref="B1363">IF(F1363="VL","",IF(F1363="Free","Free",XLOOKUP(D1363,Roster!T:T,Roster!S:S,"",0)))</f>
        <v>131</v>
      </c>
      <c r="C1363" s="313">
        <v>46123.0</v>
      </c>
      <c r="D1363" s="314" t="s">
        <v>69</v>
      </c>
      <c r="E1363" s="307" t="str">
        <f t="array" ref="E1363">(XLOOKUP(D1363,Roster!F:F,Roster!B:B,"",0))</f>
        <v>Salma Giraldo</v>
      </c>
      <c r="F1363" s="315" t="str">
        <f t="array" ref="F1363">IF(B1363=100,"Free",TEXT(XLOOKUP($D1363,OperationVoice!$A:$A,OperationVoice!Q:Q,XLOOKUP($D1363,OperationTickets!$A:$A,OperationTickets!Q:Q,"",0)),"hh:mm"))</f>
        <v>08:00</v>
      </c>
      <c r="G1363" s="309">
        <f t="shared" si="3"/>
        <v>0.7083333333</v>
      </c>
      <c r="H1363" s="316" t="str">
        <f t="array" ref="H1363">XLOOKUP(B1363,Roster!L:L,Roster!N:N,XLOOKUP(D1363,TicketsBreak!A:A,TicketsBreak!E:E,"",0),0)</f>
        <v>10:15 - 10:30</v>
      </c>
      <c r="I1363" s="316" t="str">
        <f t="array" ref="I1363">XLOOKUP(B1363,Roster!L:L,Roster!O:O,XLOOKUP(D1363,TicketsBreak!A:A,TicketsBreak!F:F,"",0),0)</f>
        <v>12:30 - 13:00</v>
      </c>
      <c r="J1363" s="316" t="str">
        <f t="array" ref="J1363">XLOOKUP(B1363,Roster!L:L,Roster!P:P,XLOOKUP(D1363,TicketsBreak!A:A,TicketsBreak!G:G,"",0),0)</f>
        <v>15:15 - 15:30</v>
      </c>
      <c r="K1363" s="310">
        <f t="shared" si="4"/>
        <v>46123</v>
      </c>
      <c r="L1363" s="317">
        <f t="array" ref="L1363">(XLOOKUP(D1363,Roster!F:F,Roster!D:D,"",0))</f>
        <v>35</v>
      </c>
      <c r="M1363" s="317" t="str">
        <f t="array" ref="M1363">XLOOKUP(D1363,Roster!F:F,Roster!E:E)</f>
        <v>Voice</v>
      </c>
      <c r="N1363" s="317" t="str">
        <f t="shared" ref="N1363:P1363" si="1385">LEFT(H1363,5)</f>
        <v>10:15</v>
      </c>
      <c r="O1363" s="317" t="str">
        <f t="shared" si="1385"/>
        <v>12:30</v>
      </c>
      <c r="P1363" s="317" t="str">
        <f t="shared" si="1385"/>
        <v>15:15</v>
      </c>
      <c r="Q1363" s="318">
        <f t="shared" si="1374"/>
        <v>46123.42708</v>
      </c>
      <c r="R1363" s="318">
        <f t="shared" si="1233"/>
        <v>46123.52083</v>
      </c>
      <c r="S1363" s="318">
        <f t="shared" si="8"/>
        <v>46123.63542</v>
      </c>
    </row>
    <row r="1364">
      <c r="A1364" s="14" t="str">
        <f t="shared" si="1"/>
        <v>C93346123</v>
      </c>
      <c r="B1364" s="185" t="str">
        <f t="array" ref="B1364">IF(F1364="VL","",IF(F1364="Free","Free",XLOOKUP(D1364,Roster!T:T,Roster!S:S,"",0)))</f>
        <v>Free</v>
      </c>
      <c r="C1364" s="313">
        <v>46123.0</v>
      </c>
      <c r="D1364" s="314" t="s">
        <v>70</v>
      </c>
      <c r="E1364" s="307" t="str">
        <f t="array" ref="E1364">(XLOOKUP(D1364,Roster!F:F,Roster!B:B,"",0))</f>
        <v>Salome Arias</v>
      </c>
      <c r="F1364" s="315" t="str">
        <f t="array" ref="F1364">IF(B1364=100,"Free",TEXT(XLOOKUP($D1364,OperationVoice!$A:$A,OperationVoice!Q:Q,XLOOKUP($D1364,OperationTickets!$A:$A,OperationTickets!Q:Q,"",0)),"hh:mm"))</f>
        <v>Free</v>
      </c>
      <c r="G1364" s="309" t="str">
        <f t="shared" si="3"/>
        <v>Free</v>
      </c>
      <c r="H1364" s="316" t="str">
        <f t="array" ref="H1364">XLOOKUP(B1364,Roster!L:L,Roster!N:N,XLOOKUP(D1364,TicketsBreak!A:A,TicketsBreak!E:E,"",0),0)</f>
        <v/>
      </c>
      <c r="I1364" s="316" t="str">
        <f t="array" ref="I1364">XLOOKUP(B1364,Roster!L:L,Roster!O:O,XLOOKUP(D1364,TicketsBreak!A:A,TicketsBreak!F:F,"",0),0)</f>
        <v/>
      </c>
      <c r="J1364" s="316" t="str">
        <f t="array" ref="J1364">XLOOKUP(B1364,Roster!L:L,Roster!P:P,XLOOKUP(D1364,TicketsBreak!A:A,TicketsBreak!G:G,"",0),0)</f>
        <v/>
      </c>
      <c r="K1364" s="310">
        <f t="shared" si="4"/>
        <v>46123</v>
      </c>
      <c r="L1364" s="317">
        <f t="array" ref="L1364">(XLOOKUP(D1364,Roster!F:F,Roster!D:D,"",0))</f>
        <v>12</v>
      </c>
      <c r="M1364" s="317" t="str">
        <f t="array" ref="M1364">XLOOKUP(D1364,Roster!F:F,Roster!E:E)</f>
        <v>Voice</v>
      </c>
      <c r="N1364" s="317" t="str">
        <f t="shared" ref="N1364:P1364" si="1386">LEFT(H1364,5)</f>
        <v/>
      </c>
      <c r="O1364" s="317" t="str">
        <f t="shared" si="1386"/>
        <v/>
      </c>
      <c r="P1364" s="317" t="str">
        <f t="shared" si="1386"/>
        <v/>
      </c>
      <c r="Q1364" s="318" t="str">
        <f t="shared" si="1374"/>
        <v/>
      </c>
      <c r="R1364" s="318" t="str">
        <f t="shared" si="1233"/>
        <v/>
      </c>
      <c r="S1364" s="318" t="str">
        <f t="shared" si="8"/>
        <v/>
      </c>
    </row>
    <row r="1365">
      <c r="A1365" s="14" t="str">
        <f t="shared" si="1"/>
        <v>C128246123</v>
      </c>
      <c r="B1365" s="185" t="str">
        <f t="array" ref="B1365">IF(F1365="VL","",IF(F1365="Free","Free",XLOOKUP(D1365,Roster!T:T,Roster!S:S,"",0)))</f>
        <v>Free</v>
      </c>
      <c r="C1365" s="313">
        <v>46123.0</v>
      </c>
      <c r="D1365" s="314" t="s">
        <v>168</v>
      </c>
      <c r="E1365" s="307" t="str">
        <f t="array" ref="E1365">(XLOOKUP(D1365,Roster!F:F,Roster!B:B,"",0))</f>
        <v>Samuel Acevedo</v>
      </c>
      <c r="F1365" s="315" t="str">
        <f t="array" ref="F1365">IF(B1365=100,"Free",TEXT(XLOOKUP($D1365,OperationVoice!$A:$A,OperationVoice!Q:Q,XLOOKUP($D1365,OperationTickets!$A:$A,OperationTickets!Q:Q,"",0)),"hh:mm"))</f>
        <v>Free</v>
      </c>
      <c r="G1365" s="309" t="str">
        <f t="shared" si="3"/>
        <v>Free</v>
      </c>
      <c r="H1365" s="316" t="str">
        <f t="array" ref="H1365">XLOOKUP(B1365,Roster!L:L,Roster!N:N,XLOOKUP(D1365,TicketsBreak!A:A,TicketsBreak!E:E,"",0),0)</f>
        <v/>
      </c>
      <c r="I1365" s="316" t="str">
        <f t="array" ref="I1365">XLOOKUP(B1365,Roster!L:L,Roster!O:O,XLOOKUP(D1365,TicketsBreak!A:A,TicketsBreak!F:F,"",0),0)</f>
        <v/>
      </c>
      <c r="J1365" s="316" t="str">
        <f t="array" ref="J1365">XLOOKUP(B1365,Roster!L:L,Roster!P:P,XLOOKUP(D1365,TicketsBreak!A:A,TicketsBreak!G:G,"",0),0)</f>
        <v/>
      </c>
      <c r="K1365" s="310">
        <f t="shared" si="4"/>
        <v>46123</v>
      </c>
      <c r="L1365" s="317">
        <f t="array" ref="L1365">(XLOOKUP(D1365,Roster!F:F,Roster!D:D,"",0))</f>
        <v>27</v>
      </c>
      <c r="M1365" s="317" t="str">
        <f t="array" ref="M1365">XLOOKUP(D1365,Roster!F:F,Roster!E:E)</f>
        <v>Tickets</v>
      </c>
      <c r="N1365" s="317" t="str">
        <f t="shared" ref="N1365:P1365" si="1387">LEFT(H1365,5)</f>
        <v/>
      </c>
      <c r="O1365" s="317" t="str">
        <f t="shared" si="1387"/>
        <v/>
      </c>
      <c r="P1365" s="317" t="str">
        <f t="shared" si="1387"/>
        <v/>
      </c>
      <c r="Q1365" s="318" t="str">
        <f t="shared" si="1374"/>
        <v/>
      </c>
      <c r="R1365" s="318" t="str">
        <f t="shared" si="1233"/>
        <v/>
      </c>
      <c r="S1365" s="318" t="str">
        <f t="shared" si="8"/>
        <v/>
      </c>
    </row>
    <row r="1366">
      <c r="A1366" s="14" t="str">
        <f t="shared" si="1"/>
        <v>C156446123</v>
      </c>
      <c r="B1366" s="185">
        <f t="array" ref="B1366">IF(F1366="VL","",IF(F1366="Free","Free",XLOOKUP(D1366,Roster!T:T,Roster!S:S,"",0)))</f>
        <v>121</v>
      </c>
      <c r="C1366" s="313">
        <v>46123.0</v>
      </c>
      <c r="D1366" s="314" t="s">
        <v>71</v>
      </c>
      <c r="E1366" s="307" t="str">
        <f t="array" ref="E1366">(XLOOKUP(D1366,Roster!F:F,Roster!B:B,"",0))</f>
        <v>Samuel Acevedo Cadavid</v>
      </c>
      <c r="F1366" s="315" t="str">
        <f t="array" ref="F1366">IF(B1366=100,"Free",TEXT(XLOOKUP($D1366,OperationVoice!$A:$A,OperationVoice!Q:Q,XLOOKUP($D1366,OperationTickets!$A:$A,OperationTickets!Q:Q,"",0)),"hh:mm"))</f>
        <v>08:00</v>
      </c>
      <c r="G1366" s="309">
        <f t="shared" si="3"/>
        <v>0.7083333333</v>
      </c>
      <c r="H1366" s="316" t="str">
        <f t="array" ref="H1366">XLOOKUP(B1366,Roster!L:L,Roster!N:N,XLOOKUP(D1366,TicketsBreak!A:A,TicketsBreak!E:E,"",0),0)</f>
        <v>09:15 - 09:30</v>
      </c>
      <c r="I1366" s="316" t="str">
        <f t="array" ref="I1366">XLOOKUP(B1366,Roster!L:L,Roster!O:O,XLOOKUP(D1366,TicketsBreak!A:A,TicketsBreak!F:F,"",0),0)</f>
        <v>11:30 - 12:00</v>
      </c>
      <c r="J1366" s="316" t="str">
        <f t="array" ref="J1366">XLOOKUP(B1366,Roster!L:L,Roster!P:P,XLOOKUP(D1366,TicketsBreak!A:A,TicketsBreak!G:G,"",0),0)</f>
        <v>14:30 - 14:45</v>
      </c>
      <c r="K1366" s="310">
        <f t="shared" si="4"/>
        <v>46123</v>
      </c>
      <c r="L1366" s="317">
        <f t="array" ref="L1366">(XLOOKUP(D1366,Roster!F:F,Roster!D:D,"",0))</f>
        <v>38</v>
      </c>
      <c r="M1366" s="317" t="str">
        <f t="array" ref="M1366">XLOOKUP(D1366,Roster!F:F,Roster!E:E)</f>
        <v>Voice</v>
      </c>
      <c r="N1366" s="317" t="str">
        <f t="shared" ref="N1366:P1366" si="1388">LEFT(H1366,5)</f>
        <v>09:15</v>
      </c>
      <c r="O1366" s="317" t="str">
        <f t="shared" si="1388"/>
        <v>11:30</v>
      </c>
      <c r="P1366" s="317" t="str">
        <f t="shared" si="1388"/>
        <v>14:30</v>
      </c>
      <c r="Q1366" s="318">
        <f t="shared" si="1374"/>
        <v>46123.38542</v>
      </c>
      <c r="R1366" s="318">
        <f t="shared" si="1233"/>
        <v>46123.47917</v>
      </c>
      <c r="S1366" s="318">
        <f t="shared" si="8"/>
        <v>46123.60417</v>
      </c>
    </row>
    <row r="1367">
      <c r="A1367" s="14" t="str">
        <f t="shared" si="1"/>
        <v>C116846123</v>
      </c>
      <c r="B1367" s="185">
        <f t="array" ref="B1367">IF(F1367="VL","",IF(F1367="Free","Free",XLOOKUP(D1367,Roster!T:T,Roster!S:S,"",0)))</f>
        <v>125</v>
      </c>
      <c r="C1367" s="313">
        <v>46123.0</v>
      </c>
      <c r="D1367" s="314" t="s">
        <v>180</v>
      </c>
      <c r="E1367" s="307" t="str">
        <f t="array" ref="E1367">(XLOOKUP(D1367,Roster!F:F,Roster!B:B,"",0))</f>
        <v>Santiago Gaviria</v>
      </c>
      <c r="F1367" s="315" t="str">
        <f t="array" ref="F1367">IF(B1367=100,"Free",TEXT(XLOOKUP($D1367,OperationVoice!$A:$A,OperationVoice!Q:Q,XLOOKUP($D1367,OperationTickets!$A:$A,OperationTickets!Q:Q,"",0)),"hh:mm"))</f>
        <v>08:00</v>
      </c>
      <c r="G1367" s="309">
        <f t="shared" si="3"/>
        <v>0.7083333333</v>
      </c>
      <c r="H1367" s="316" t="str">
        <f t="array" ref="H1367">XLOOKUP(B1367,Roster!L:L,Roster!N:N,XLOOKUP(D1367,TicketsBreak!A:A,TicketsBreak!E:E,"",0),0)</f>
        <v>10:30 - 10:45</v>
      </c>
      <c r="I1367" s="316" t="str">
        <f t="array" ref="I1367">XLOOKUP(B1367,Roster!L:L,Roster!O:O,XLOOKUP(D1367,TicketsBreak!A:A,TicketsBreak!F:F,"",0),0)</f>
        <v>13:30 - 14:00</v>
      </c>
      <c r="J1367" s="316" t="str">
        <f t="array" ref="J1367">XLOOKUP(B1367,Roster!L:L,Roster!P:P,XLOOKUP(D1367,TicketsBreak!A:A,TicketsBreak!G:G,"",0),0)</f>
        <v>15:45 - 16:00</v>
      </c>
      <c r="K1367" s="310">
        <f t="shared" si="4"/>
        <v>46123</v>
      </c>
      <c r="L1367" s="317">
        <f t="array" ref="L1367">(XLOOKUP(D1367,Roster!F:F,Roster!D:D,"",0))</f>
        <v>24</v>
      </c>
      <c r="M1367" s="317" t="str">
        <f t="array" ref="M1367">XLOOKUP(D1367,Roster!F:F,Roster!E:E)</f>
        <v>Tickets</v>
      </c>
      <c r="N1367" s="317" t="str">
        <f t="shared" ref="N1367:P1367" si="1389">LEFT(H1367,5)</f>
        <v>10:30</v>
      </c>
      <c r="O1367" s="317" t="str">
        <f t="shared" si="1389"/>
        <v>13:30</v>
      </c>
      <c r="P1367" s="317" t="str">
        <f t="shared" si="1389"/>
        <v>15:45</v>
      </c>
      <c r="Q1367" s="318">
        <f t="shared" si="1374"/>
        <v>46123.4375</v>
      </c>
      <c r="R1367" s="318">
        <f t="shared" si="1233"/>
        <v>46123.5625</v>
      </c>
      <c r="S1367" s="318">
        <f t="shared" si="8"/>
        <v>46123.65625</v>
      </c>
    </row>
    <row r="1368">
      <c r="A1368" s="14" t="str">
        <f t="shared" si="1"/>
        <v>C122046123</v>
      </c>
      <c r="B1368" s="185" t="str">
        <f t="array" ref="B1368">IF(F1368="VL","",IF(F1368="Free","Free",XLOOKUP(D1368,Roster!T:T,Roster!S:S,"",0)))</f>
        <v/>
      </c>
      <c r="C1368" s="313">
        <v>46123.0</v>
      </c>
      <c r="D1368" s="314" t="s">
        <v>181</v>
      </c>
      <c r="E1368" s="307" t="str">
        <f t="array" ref="E1368">(XLOOKUP(D1368,Roster!F:F,Roster!B:B,"",0))</f>
        <v>Santiago Gonzalez</v>
      </c>
      <c r="F1368" s="315" t="str">
        <f t="array" ref="F1368">IF(B1368=100,"Free",TEXT(XLOOKUP($D1368,OperationVoice!$A:$A,OperationVoice!Q:Q,XLOOKUP($D1368,OperationTickets!$A:$A,OperationTickets!Q:Q,"",0)),"hh:mm"))</f>
        <v>08:00</v>
      </c>
      <c r="G1368" s="309">
        <f t="shared" si="3"/>
        <v>0.7083333333</v>
      </c>
      <c r="H1368" s="316" t="str">
        <f t="array" ref="H1368">XLOOKUP(B1368,Roster!L:L,Roster!N:N,XLOOKUP(D1368,TicketsBreak!A:A,TicketsBreak!E:E,"",0),0)</f>
        <v/>
      </c>
      <c r="I1368" s="316" t="str">
        <f t="array" ref="I1368">XLOOKUP(B1368,Roster!L:L,Roster!O:O,XLOOKUP(D1368,TicketsBreak!A:A,TicketsBreak!F:F,"",0),0)</f>
        <v/>
      </c>
      <c r="J1368" s="316" t="str">
        <f t="array" ref="J1368">XLOOKUP(B1368,Roster!L:L,Roster!P:P,XLOOKUP(D1368,TicketsBreak!A:A,TicketsBreak!G:G,"",0),0)</f>
        <v/>
      </c>
      <c r="K1368" s="310">
        <f t="shared" si="4"/>
        <v>46123</v>
      </c>
      <c r="L1368" s="317">
        <f t="array" ref="L1368">(XLOOKUP(D1368,Roster!F:F,Roster!D:D,"",0))</f>
        <v>26</v>
      </c>
      <c r="M1368" s="317" t="str">
        <f t="array" ref="M1368">XLOOKUP(D1368,Roster!F:F,Roster!E:E)</f>
        <v>Tickets</v>
      </c>
      <c r="N1368" s="317" t="str">
        <f t="shared" ref="N1368:P1368" si="1390">LEFT(H1368,5)</f>
        <v/>
      </c>
      <c r="O1368" s="317" t="str">
        <f t="shared" si="1390"/>
        <v/>
      </c>
      <c r="P1368" s="317" t="str">
        <f t="shared" si="1390"/>
        <v/>
      </c>
      <c r="Q1368" s="318" t="str">
        <f t="shared" si="1374"/>
        <v/>
      </c>
      <c r="R1368" s="318" t="str">
        <f t="shared" si="1233"/>
        <v/>
      </c>
      <c r="S1368" s="318" t="str">
        <f t="shared" si="8"/>
        <v/>
      </c>
    </row>
    <row r="1369">
      <c r="A1369" s="14" t="str">
        <f t="shared" si="1"/>
        <v>C140646123</v>
      </c>
      <c r="B1369" s="185" t="str">
        <f t="array" ref="B1369">IF(F1369="VL","",IF(F1369="Free","Free",XLOOKUP(D1369,Roster!T:T,Roster!S:S,"",0)))</f>
        <v>Free</v>
      </c>
      <c r="C1369" s="313">
        <v>46123.0</v>
      </c>
      <c r="D1369" s="314" t="s">
        <v>72</v>
      </c>
      <c r="E1369" s="307" t="str">
        <f t="array" ref="E1369">(XLOOKUP(D1369,Roster!F:F,Roster!B:B,"",0))</f>
        <v>Santiago Mora</v>
      </c>
      <c r="F1369" s="315" t="str">
        <f t="array" ref="F1369">IF(B1369=100,"Free",TEXT(XLOOKUP($D1369,OperationVoice!$A:$A,OperationVoice!Q:Q,XLOOKUP($D1369,OperationTickets!$A:$A,OperationTickets!Q:Q,"",0)),"hh:mm"))</f>
        <v>Free</v>
      </c>
      <c r="G1369" s="309" t="str">
        <f t="shared" si="3"/>
        <v>Free</v>
      </c>
      <c r="H1369" s="316" t="str">
        <f t="array" ref="H1369">XLOOKUP(B1369,Roster!L:L,Roster!N:N,XLOOKUP(D1369,TicketsBreak!A:A,TicketsBreak!E:E,"",0),0)</f>
        <v/>
      </c>
      <c r="I1369" s="316" t="str">
        <f t="array" ref="I1369">XLOOKUP(B1369,Roster!L:L,Roster!O:O,XLOOKUP(D1369,TicketsBreak!A:A,TicketsBreak!F:F,"",0),0)</f>
        <v/>
      </c>
      <c r="J1369" s="316" t="str">
        <f t="array" ref="J1369">XLOOKUP(B1369,Roster!L:L,Roster!P:P,XLOOKUP(D1369,TicketsBreak!A:A,TicketsBreak!G:G,"",0),0)</f>
        <v/>
      </c>
      <c r="K1369" s="310">
        <f t="shared" si="4"/>
        <v>46123</v>
      </c>
      <c r="L1369" s="317">
        <f t="array" ref="L1369">(XLOOKUP(D1369,Roster!F:F,Roster!D:D,"",0))</f>
        <v>35</v>
      </c>
      <c r="M1369" s="317" t="str">
        <f t="array" ref="M1369">XLOOKUP(D1369,Roster!F:F,Roster!E:E)</f>
        <v>Voice</v>
      </c>
      <c r="N1369" s="317" t="str">
        <f t="shared" ref="N1369:P1369" si="1391">LEFT(H1369,5)</f>
        <v/>
      </c>
      <c r="O1369" s="317" t="str">
        <f t="shared" si="1391"/>
        <v/>
      </c>
      <c r="P1369" s="317" t="str">
        <f t="shared" si="1391"/>
        <v/>
      </c>
      <c r="Q1369" s="318" t="str">
        <f t="shared" si="1374"/>
        <v/>
      </c>
      <c r="R1369" s="318" t="str">
        <f t="shared" si="1233"/>
        <v/>
      </c>
      <c r="S1369" s="318" t="str">
        <f t="shared" si="8"/>
        <v/>
      </c>
    </row>
    <row r="1370">
      <c r="A1370" s="14" t="str">
        <f t="shared" si="1"/>
        <v>C119946123</v>
      </c>
      <c r="B1370" s="185" t="str">
        <f t="array" ref="B1370">IF(F1370="VL","",IF(F1370="Free","Free",XLOOKUP(D1370,Roster!T:T,Roster!S:S,"",0)))</f>
        <v>Free</v>
      </c>
      <c r="C1370" s="313">
        <v>46123.0</v>
      </c>
      <c r="D1370" s="314" t="s">
        <v>182</v>
      </c>
      <c r="E1370" s="307" t="str">
        <f t="array" ref="E1370">(XLOOKUP(D1370,Roster!F:F,Roster!B:B,"",0))</f>
        <v>Santiago Velasquez</v>
      </c>
      <c r="F1370" s="315" t="str">
        <f t="array" ref="F1370">IF(B1370=100,"Free",TEXT(XLOOKUP($D1370,OperationVoice!$A:$A,OperationVoice!Q:Q,XLOOKUP($D1370,OperationTickets!$A:$A,OperationTickets!Q:Q,"",0)),"hh:mm"))</f>
        <v>Free</v>
      </c>
      <c r="G1370" s="309" t="str">
        <f t="shared" si="3"/>
        <v>Free</v>
      </c>
      <c r="H1370" s="316" t="str">
        <f t="array" ref="H1370">XLOOKUP(B1370,Roster!L:L,Roster!N:N,XLOOKUP(D1370,TicketsBreak!A:A,TicketsBreak!E:E,"",0),0)</f>
        <v/>
      </c>
      <c r="I1370" s="316" t="str">
        <f t="array" ref="I1370">XLOOKUP(B1370,Roster!L:L,Roster!O:O,XLOOKUP(D1370,TicketsBreak!A:A,TicketsBreak!F:F,"",0),0)</f>
        <v/>
      </c>
      <c r="J1370" s="316" t="str">
        <f t="array" ref="J1370">XLOOKUP(B1370,Roster!L:L,Roster!P:P,XLOOKUP(D1370,TicketsBreak!A:A,TicketsBreak!G:G,"",0),0)</f>
        <v/>
      </c>
      <c r="K1370" s="310">
        <f t="shared" si="4"/>
        <v>46123</v>
      </c>
      <c r="L1370" s="317">
        <f t="array" ref="L1370">(XLOOKUP(D1370,Roster!F:F,Roster!D:D,"",0))</f>
        <v>25</v>
      </c>
      <c r="M1370" s="317" t="str">
        <f t="array" ref="M1370">XLOOKUP(D1370,Roster!F:F,Roster!E:E)</f>
        <v>Tickets</v>
      </c>
      <c r="N1370" s="317" t="str">
        <f t="shared" ref="N1370:P1370" si="1392">LEFT(H1370,5)</f>
        <v/>
      </c>
      <c r="O1370" s="317" t="str">
        <f t="shared" si="1392"/>
        <v/>
      </c>
      <c r="P1370" s="317" t="str">
        <f t="shared" si="1392"/>
        <v/>
      </c>
      <c r="Q1370" s="318" t="str">
        <f t="shared" si="1374"/>
        <v/>
      </c>
      <c r="R1370" s="318" t="str">
        <f t="shared" si="1233"/>
        <v/>
      </c>
      <c r="S1370" s="318" t="str">
        <f t="shared" si="8"/>
        <v/>
      </c>
    </row>
    <row r="1371">
      <c r="A1371" s="14" t="str">
        <f t="shared" si="1"/>
        <v>C90246123</v>
      </c>
      <c r="B1371" s="185" t="str">
        <f t="array" ref="B1371">IF(F1371="VL","",IF(F1371="Free","Free",XLOOKUP(D1371,Roster!T:T,Roster!S:S,"",0)))</f>
        <v/>
      </c>
      <c r="C1371" s="313">
        <v>46123.0</v>
      </c>
      <c r="D1371" s="314" t="s">
        <v>150</v>
      </c>
      <c r="E1371" s="307" t="str">
        <f t="array" ref="E1371">(XLOOKUP(D1371,Roster!F:F,Roster!B:B,"",0))</f>
        <v>Sebastiam Vallejo</v>
      </c>
      <c r="F1371" s="315" t="str">
        <f t="array" ref="F1371">IF(B1371=100,"Free",TEXT(XLOOKUP($D1371,OperationVoice!$A:$A,OperationVoice!Q:Q,XLOOKUP($D1371,OperationTickets!$A:$A,OperationTickets!Q:Q,"",0)),"hh:mm"))</f>
        <v>08:00</v>
      </c>
      <c r="G1371" s="309">
        <f t="shared" si="3"/>
        <v>0.7083333333</v>
      </c>
      <c r="H1371" s="316">
        <f t="array" ref="H1371">XLOOKUP(B1371,Roster!L:L,Roster!N:N,XLOOKUP(D1371,TicketsBreak!A:A,TicketsBreak!E:E,"",0),0)</f>
        <v>0.4375</v>
      </c>
      <c r="I1371" s="316">
        <f t="array" ref="I1371">XLOOKUP(B1371,Roster!L:L,Roster!O:O,XLOOKUP(D1371,TicketsBreak!A:A,TicketsBreak!F:F,"",0),0)</f>
        <v>0.6041666667</v>
      </c>
      <c r="J1371" s="316">
        <f t="array" ref="J1371">XLOOKUP(B1371,Roster!L:L,Roster!P:P,XLOOKUP(D1371,TicketsBreak!A:A,TicketsBreak!G:G,"",0),0)</f>
        <v>0.65625</v>
      </c>
      <c r="K1371" s="310">
        <f t="shared" si="4"/>
        <v>46123</v>
      </c>
      <c r="L1371" s="317">
        <f t="array" ref="L1371">(XLOOKUP(D1371,Roster!F:F,Roster!D:D,"",0))</f>
        <v>11</v>
      </c>
      <c r="M1371" s="317" t="str">
        <f t="array" ref="M1371">XLOOKUP(D1371,Roster!F:F,Roster!E:E)</f>
        <v>Tickets</v>
      </c>
      <c r="N1371" s="317" t="str">
        <f t="shared" ref="N1371:P1371" si="1393">LEFT(H1371,5)</f>
        <v>10:30</v>
      </c>
      <c r="O1371" s="317" t="str">
        <f t="shared" si="1393"/>
        <v>14:30</v>
      </c>
      <c r="P1371" s="317" t="str">
        <f t="shared" si="1393"/>
        <v>15:45</v>
      </c>
      <c r="Q1371" s="318">
        <f t="shared" si="1374"/>
        <v>46123.4375</v>
      </c>
      <c r="R1371" s="318">
        <f t="shared" si="1233"/>
        <v>46123.60417</v>
      </c>
      <c r="S1371" s="318">
        <f t="shared" si="8"/>
        <v>46123.65625</v>
      </c>
    </row>
    <row r="1372">
      <c r="A1372" s="14" t="str">
        <f t="shared" si="1"/>
        <v>C150646123</v>
      </c>
      <c r="B1372" s="185">
        <f t="array" ref="B1372">IF(F1372="VL","",IF(F1372="Free","Free",XLOOKUP(D1372,Roster!T:T,Roster!S:S,"",0)))</f>
        <v>153</v>
      </c>
      <c r="C1372" s="313">
        <v>46123.0</v>
      </c>
      <c r="D1372" s="314" t="s">
        <v>73</v>
      </c>
      <c r="E1372" s="307" t="str">
        <f t="array" ref="E1372">(XLOOKUP(D1372,Roster!F:F,Roster!B:B,"",0))</f>
        <v>Sebastian Agudelo Londono</v>
      </c>
      <c r="F1372" s="315" t="str">
        <f t="array" ref="F1372">IF(B1372=100,"Free",TEXT(XLOOKUP($D1372,OperationVoice!$A:$A,OperationVoice!Q:Q,XLOOKUP($D1372,OperationTickets!$A:$A,OperationTickets!Q:Q,"",0)),"hh:mm"))</f>
        <v>11:00</v>
      </c>
      <c r="G1372" s="309">
        <f t="shared" si="3"/>
        <v>0.8333333333</v>
      </c>
      <c r="H1372" s="316" t="str">
        <f t="array" ref="H1372">XLOOKUP(B1372,Roster!L:L,Roster!N:N,XLOOKUP(D1372,TicketsBreak!A:A,TicketsBreak!E:E,"",0),0)</f>
        <v>12:45 - 13:00</v>
      </c>
      <c r="I1372" s="316" t="str">
        <f t="array" ref="I1372">XLOOKUP(B1372,Roster!L:L,Roster!O:O,XLOOKUP(D1372,TicketsBreak!A:A,TicketsBreak!F:F,"",0),0)</f>
        <v>15:00 - 15:30</v>
      </c>
      <c r="J1372" s="316" t="str">
        <f t="array" ref="J1372">XLOOKUP(B1372,Roster!L:L,Roster!P:P,XLOOKUP(D1372,TicketsBreak!A:A,TicketsBreak!G:G,"",0),0)</f>
        <v>17:45 - 18:00</v>
      </c>
      <c r="K1372" s="310">
        <f t="shared" si="4"/>
        <v>46123</v>
      </c>
      <c r="L1372" s="317">
        <f t="array" ref="L1372">(XLOOKUP(D1372,Roster!F:F,Roster!D:D,"",0))</f>
        <v>35</v>
      </c>
      <c r="M1372" s="317" t="str">
        <f t="array" ref="M1372">XLOOKUP(D1372,Roster!F:F,Roster!E:E)</f>
        <v>Voice</v>
      </c>
      <c r="N1372" s="317" t="str">
        <f t="shared" ref="N1372:P1372" si="1394">LEFT(H1372,5)</f>
        <v>12:45</v>
      </c>
      <c r="O1372" s="317" t="str">
        <f t="shared" si="1394"/>
        <v>15:00</v>
      </c>
      <c r="P1372" s="317" t="str">
        <f t="shared" si="1394"/>
        <v>17:45</v>
      </c>
      <c r="Q1372" s="318">
        <f t="shared" si="1374"/>
        <v>46123.53125</v>
      </c>
      <c r="R1372" s="318">
        <f t="shared" si="1233"/>
        <v>46123.625</v>
      </c>
      <c r="S1372" s="318">
        <f t="shared" si="8"/>
        <v>46123.73958</v>
      </c>
    </row>
    <row r="1373">
      <c r="A1373" s="14" t="str">
        <f t="shared" si="1"/>
        <v>C119046123</v>
      </c>
      <c r="B1373" s="185" t="str">
        <f t="array" ref="B1373">IF(F1373="VL","",IF(F1373="Free","Free",XLOOKUP(D1373,Roster!T:T,Roster!S:S,"",0)))</f>
        <v>Free</v>
      </c>
      <c r="C1373" s="313">
        <v>46123.0</v>
      </c>
      <c r="D1373" s="314" t="s">
        <v>183</v>
      </c>
      <c r="E1373" s="307" t="str">
        <f t="array" ref="E1373">(XLOOKUP(D1373,Roster!F:F,Roster!B:B,"",0))</f>
        <v>Sebastian Herrera</v>
      </c>
      <c r="F1373" s="315" t="str">
        <f t="array" ref="F1373">IF(B1373=100,"Free",TEXT(XLOOKUP($D1373,OperationVoice!$A:$A,OperationVoice!Q:Q,XLOOKUP($D1373,OperationTickets!$A:$A,OperationTickets!Q:Q,"",0)),"hh:mm"))</f>
        <v>Free</v>
      </c>
      <c r="G1373" s="309" t="str">
        <f t="shared" si="3"/>
        <v>Free</v>
      </c>
      <c r="H1373" s="316">
        <f t="array" ref="H1373">XLOOKUP(B1373,Roster!L:L,Roster!N:N,XLOOKUP(D1373,TicketsBreak!A:A,TicketsBreak!E:E,"",0),0)</f>
        <v>0.40625</v>
      </c>
      <c r="I1373" s="316">
        <f t="array" ref="I1373">XLOOKUP(B1373,Roster!L:L,Roster!O:O,XLOOKUP(D1373,TicketsBreak!A:A,TicketsBreak!F:F,"",0),0)</f>
        <v>0.5416666667</v>
      </c>
      <c r="J1373" s="316">
        <f t="array" ref="J1373">XLOOKUP(B1373,Roster!L:L,Roster!P:P,XLOOKUP(D1373,TicketsBreak!A:A,TicketsBreak!G:G,"",0),0)</f>
        <v>0.625</v>
      </c>
      <c r="K1373" s="310">
        <f t="shared" si="4"/>
        <v>46123</v>
      </c>
      <c r="L1373" s="317">
        <f t="array" ref="L1373">(XLOOKUP(D1373,Roster!F:F,Roster!D:D,"",0))</f>
        <v>25</v>
      </c>
      <c r="M1373" s="317" t="str">
        <f t="array" ref="M1373">XLOOKUP(D1373,Roster!F:F,Roster!E:E)</f>
        <v>Tickets</v>
      </c>
      <c r="N1373" s="317" t="str">
        <f t="shared" ref="N1373:P1373" si="1395">LEFT(H1373,5)</f>
        <v>09:45</v>
      </c>
      <c r="O1373" s="317" t="str">
        <f t="shared" si="1395"/>
        <v>13:00</v>
      </c>
      <c r="P1373" s="317" t="str">
        <f t="shared" si="1395"/>
        <v>15:00</v>
      </c>
      <c r="Q1373" s="318">
        <f t="shared" si="1374"/>
        <v>46123.40625</v>
      </c>
      <c r="R1373" s="318">
        <f t="shared" si="1233"/>
        <v>46123.54167</v>
      </c>
      <c r="S1373" s="318">
        <f t="shared" si="8"/>
        <v>46123.625</v>
      </c>
    </row>
    <row r="1374">
      <c r="A1374" s="14" t="str">
        <f t="shared" si="1"/>
        <v>C71046123</v>
      </c>
      <c r="B1374" s="185" t="str">
        <f t="array" ref="B1374">IF(F1374="VL","",IF(F1374="Free","Free",XLOOKUP(D1374,Roster!T:T,Roster!S:S,"",0)))</f>
        <v/>
      </c>
      <c r="C1374" s="313">
        <v>46123.0</v>
      </c>
      <c r="D1374" s="314" t="s">
        <v>184</v>
      </c>
      <c r="E1374" s="307" t="str">
        <f t="array" ref="E1374">(XLOOKUP(D1374,Roster!F:F,Roster!B:B,"",0))</f>
        <v>Sebastian Martinez</v>
      </c>
      <c r="F1374" s="315" t="str">
        <f t="array" ref="F1374">IF(B1374=100,"Free",TEXT(XLOOKUP($D1374,OperationVoice!$A:$A,OperationVoice!Q:Q,XLOOKUP($D1374,OperationTickets!$A:$A,OperationTickets!Q:Q,"",0)),"hh:mm"))</f>
        <v>08:00</v>
      </c>
      <c r="G1374" s="309">
        <f t="shared" si="3"/>
        <v>0.7083333333</v>
      </c>
      <c r="H1374" s="316">
        <f t="array" ref="H1374">XLOOKUP(B1374,Roster!L:L,Roster!N:N,XLOOKUP(D1374,TicketsBreak!A:A,TicketsBreak!E:E,"",0),0)</f>
        <v>0.40625</v>
      </c>
      <c r="I1374" s="316">
        <f t="array" ref="I1374">XLOOKUP(B1374,Roster!L:L,Roster!O:O,XLOOKUP(D1374,TicketsBreak!A:A,TicketsBreak!F:F,"",0),0)</f>
        <v>0.5625</v>
      </c>
      <c r="J1374" s="316">
        <f t="array" ref="J1374">XLOOKUP(B1374,Roster!L:L,Roster!P:P,XLOOKUP(D1374,TicketsBreak!A:A,TicketsBreak!G:G,"",0),0)</f>
        <v>0.65625</v>
      </c>
      <c r="K1374" s="310">
        <f t="shared" si="4"/>
        <v>46123</v>
      </c>
      <c r="L1374" s="317">
        <f t="array" ref="L1374">(XLOOKUP(D1374,Roster!F:F,Roster!D:D,"",0))</f>
        <v>6</v>
      </c>
      <c r="M1374" s="317" t="str">
        <f t="array" ref="M1374">XLOOKUP(D1374,Roster!F:F,Roster!E:E)</f>
        <v>Tickets</v>
      </c>
      <c r="N1374" s="317" t="str">
        <f t="shared" ref="N1374:P1374" si="1396">LEFT(H1374,5)</f>
        <v>09:45</v>
      </c>
      <c r="O1374" s="317" t="str">
        <f t="shared" si="1396"/>
        <v>13:30</v>
      </c>
      <c r="P1374" s="317" t="str">
        <f t="shared" si="1396"/>
        <v>15:45</v>
      </c>
      <c r="Q1374" s="318">
        <f t="shared" si="1374"/>
        <v>46123.40625</v>
      </c>
      <c r="R1374" s="318">
        <f t="shared" si="1233"/>
        <v>46123.5625</v>
      </c>
      <c r="S1374" s="318">
        <f t="shared" si="8"/>
        <v>46123.65625</v>
      </c>
    </row>
    <row r="1375">
      <c r="A1375" s="14" t="str">
        <f t="shared" si="1"/>
        <v>C72346123</v>
      </c>
      <c r="B1375" s="185" t="str">
        <f t="array" ref="B1375">IF(F1375="VL","",IF(F1375="Free","Free",XLOOKUP(D1375,Roster!T:T,Roster!S:S,"",0)))</f>
        <v/>
      </c>
      <c r="C1375" s="313">
        <v>46123.0</v>
      </c>
      <c r="D1375" s="314" t="s">
        <v>169</v>
      </c>
      <c r="E1375" s="307" t="str">
        <f t="array" ref="E1375">(XLOOKUP(D1375,Roster!F:F,Roster!B:B,"",0))</f>
        <v>Sebastian Parra</v>
      </c>
      <c r="F1375" s="315" t="str">
        <f t="array" ref="F1375">IF(B1375=100,"Free",TEXT(XLOOKUP($D1375,OperationVoice!$A:$A,OperationVoice!Q:Q,XLOOKUP($D1375,OperationTickets!$A:$A,OperationTickets!Q:Q,"",0)),"hh:mm"))</f>
        <v>08:00</v>
      </c>
      <c r="G1375" s="309">
        <f t="shared" si="3"/>
        <v>0.7083333333</v>
      </c>
      <c r="H1375" s="316">
        <f t="array" ref="H1375">XLOOKUP(B1375,Roster!L:L,Roster!N:N,XLOOKUP(D1375,TicketsBreak!A:A,TicketsBreak!E:E,"",0),0)</f>
        <v>0.4166666667</v>
      </c>
      <c r="I1375" s="316">
        <f t="array" ref="I1375">XLOOKUP(B1375,Roster!L:L,Roster!O:O,XLOOKUP(D1375,TicketsBreak!A:A,TicketsBreak!F:F,"",0),0)</f>
        <v>0.5347222222</v>
      </c>
      <c r="J1375" s="316">
        <f t="array" ref="J1375">XLOOKUP(B1375,Roster!L:L,Roster!P:P,XLOOKUP(D1375,TicketsBreak!A:A,TicketsBreak!G:G,"",0),0)</f>
        <v>0.65625</v>
      </c>
      <c r="K1375" s="310">
        <f t="shared" si="4"/>
        <v>46123</v>
      </c>
      <c r="L1375" s="317">
        <f t="array" ref="L1375">(XLOOKUP(D1375,Roster!F:F,Roster!D:D,"",0))</f>
        <v>7</v>
      </c>
      <c r="M1375" s="317" t="str">
        <f t="array" ref="M1375">XLOOKUP(D1375,Roster!F:F,Roster!E:E)</f>
        <v>Tickets</v>
      </c>
      <c r="N1375" s="317" t="str">
        <f t="shared" ref="N1375:P1375" si="1397">LEFT(H1375,5)</f>
        <v>10:00</v>
      </c>
      <c r="O1375" s="317" t="str">
        <f t="shared" si="1397"/>
        <v>12:50</v>
      </c>
      <c r="P1375" s="317" t="str">
        <f t="shared" si="1397"/>
        <v>15:45</v>
      </c>
      <c r="Q1375" s="318">
        <f t="shared" si="1374"/>
        <v>46123.41667</v>
      </c>
      <c r="R1375" s="318">
        <f t="shared" si="1233"/>
        <v>46123.53472</v>
      </c>
      <c r="S1375" s="318">
        <f t="shared" si="8"/>
        <v>46123.65625</v>
      </c>
    </row>
    <row r="1376">
      <c r="A1376" s="14" t="str">
        <f t="shared" si="1"/>
        <v>C137646123</v>
      </c>
      <c r="B1376" s="185" t="str">
        <f t="array" ref="B1376">IF(F1376="VL","",IF(F1376="Free","Free",XLOOKUP(D1376,Roster!T:T,Roster!S:S,"",0)))</f>
        <v/>
      </c>
      <c r="C1376" s="313">
        <v>46123.0</v>
      </c>
      <c r="D1376" s="314" t="s">
        <v>151</v>
      </c>
      <c r="E1376" s="307" t="str">
        <f t="array" ref="E1376">(XLOOKUP(D1376,Roster!F:F,Roster!B:B,"",0))</f>
        <v>Sebastian Quiroz</v>
      </c>
      <c r="F1376" s="315" t="str">
        <f t="array" ref="F1376">IF(B1376=100,"Free",TEXT(XLOOKUP($D1376,OperationVoice!$A:$A,OperationVoice!Q:Q,XLOOKUP($D1376,OperationTickets!$A:$A,OperationTickets!Q:Q,"",0)),"hh:mm"))</f>
        <v>08:00</v>
      </c>
      <c r="G1376" s="309">
        <f t="shared" si="3"/>
        <v>0.7083333333</v>
      </c>
      <c r="H1376" s="316" t="str">
        <f t="array" ref="H1376">XLOOKUP(B1376,Roster!L:L,Roster!N:N,XLOOKUP(D1376,TicketsBreak!A:A,TicketsBreak!E:E,"",0),0)</f>
        <v/>
      </c>
      <c r="I1376" s="316" t="str">
        <f t="array" ref="I1376">XLOOKUP(B1376,Roster!L:L,Roster!O:O,XLOOKUP(D1376,TicketsBreak!A:A,TicketsBreak!F:F,"",0),0)</f>
        <v/>
      </c>
      <c r="J1376" s="316" t="str">
        <f t="array" ref="J1376">XLOOKUP(B1376,Roster!L:L,Roster!P:P,XLOOKUP(D1376,TicketsBreak!A:A,TicketsBreak!G:G,"",0),0)</f>
        <v/>
      </c>
      <c r="K1376" s="310">
        <f t="shared" si="4"/>
        <v>46123</v>
      </c>
      <c r="L1376" s="317">
        <f t="array" ref="L1376">(XLOOKUP(D1376,Roster!F:F,Roster!D:D,"",0))</f>
        <v>31</v>
      </c>
      <c r="M1376" s="317" t="str">
        <f t="array" ref="M1376">XLOOKUP(D1376,Roster!F:F,Roster!E:E)</f>
        <v>Tickets</v>
      </c>
      <c r="N1376" s="317" t="str">
        <f t="shared" ref="N1376:P1376" si="1398">LEFT(H1376,5)</f>
        <v/>
      </c>
      <c r="O1376" s="317" t="str">
        <f t="shared" si="1398"/>
        <v/>
      </c>
      <c r="P1376" s="317" t="str">
        <f t="shared" si="1398"/>
        <v/>
      </c>
      <c r="Q1376" s="318" t="str">
        <f t="shared" si="1374"/>
        <v/>
      </c>
      <c r="R1376" s="318" t="str">
        <f t="shared" si="1233"/>
        <v/>
      </c>
      <c r="S1376" s="318" t="str">
        <f t="shared" si="8"/>
        <v/>
      </c>
    </row>
    <row r="1377">
      <c r="A1377" s="14" t="str">
        <f t="shared" si="1"/>
        <v>C72646123</v>
      </c>
      <c r="B1377" s="185" t="str">
        <f t="array" ref="B1377">IF(F1377="VL","",IF(F1377="Free","Free",XLOOKUP(D1377,Roster!T:T,Roster!S:S,"",0)))</f>
        <v>Free</v>
      </c>
      <c r="C1377" s="313">
        <v>46123.0</v>
      </c>
      <c r="D1377" s="314" t="s">
        <v>185</v>
      </c>
      <c r="E1377" s="307" t="str">
        <f t="array" ref="E1377">(XLOOKUP(D1377,Roster!F:F,Roster!B:B,"",0))</f>
        <v>Sebastian Rodriguez</v>
      </c>
      <c r="F1377" s="315" t="str">
        <f t="array" ref="F1377">IF(B1377=100,"Free",TEXT(XLOOKUP($D1377,OperationVoice!$A:$A,OperationVoice!Q:Q,XLOOKUP($D1377,OperationTickets!$A:$A,OperationTickets!Q:Q,"",0)),"hh:mm"))</f>
        <v>Free</v>
      </c>
      <c r="G1377" s="309" t="str">
        <f t="shared" si="3"/>
        <v>Free</v>
      </c>
      <c r="H1377" s="316">
        <f t="array" ref="H1377">XLOOKUP(B1377,Roster!L:L,Roster!N:N,XLOOKUP(D1377,TicketsBreak!A:A,TicketsBreak!E:E,"",0),0)</f>
        <v>0.4166666667</v>
      </c>
      <c r="I1377" s="316">
        <f t="array" ref="I1377">XLOOKUP(B1377,Roster!L:L,Roster!O:O,XLOOKUP(D1377,TicketsBreak!A:A,TicketsBreak!F:F,"",0),0)</f>
        <v>0.5625</v>
      </c>
      <c r="J1377" s="316">
        <f t="array" ref="J1377">XLOOKUP(B1377,Roster!L:L,Roster!P:P,XLOOKUP(D1377,TicketsBreak!A:A,TicketsBreak!G:G,"",0),0)</f>
        <v>0.6458333333</v>
      </c>
      <c r="K1377" s="310">
        <f t="shared" si="4"/>
        <v>46123</v>
      </c>
      <c r="L1377" s="317">
        <f t="array" ref="L1377">(XLOOKUP(D1377,Roster!F:F,Roster!D:D,"",0))</f>
        <v>7</v>
      </c>
      <c r="M1377" s="317" t="str">
        <f t="array" ref="M1377">XLOOKUP(D1377,Roster!F:F,Roster!E:E)</f>
        <v>Tickets</v>
      </c>
      <c r="N1377" s="317" t="str">
        <f t="shared" ref="N1377:P1377" si="1399">LEFT(H1377,5)</f>
        <v>10:00</v>
      </c>
      <c r="O1377" s="317" t="str">
        <f t="shared" si="1399"/>
        <v>13:30</v>
      </c>
      <c r="P1377" s="317" t="str">
        <f t="shared" si="1399"/>
        <v>15:30</v>
      </c>
      <c r="Q1377" s="318">
        <f t="shared" si="1374"/>
        <v>46123.41667</v>
      </c>
      <c r="R1377" s="318">
        <f t="shared" si="1233"/>
        <v>46123.5625</v>
      </c>
      <c r="S1377" s="318">
        <f t="shared" si="8"/>
        <v>46123.64583</v>
      </c>
    </row>
    <row r="1378">
      <c r="A1378" s="14" t="str">
        <f t="shared" si="1"/>
        <v>C60246123</v>
      </c>
      <c r="B1378" s="185" t="str">
        <f t="array" ref="B1378">IF(F1378="VL","",IF(F1378="Free","Free",XLOOKUP(D1378,Roster!T:T,Roster!S:S,"",0)))</f>
        <v/>
      </c>
      <c r="C1378" s="313">
        <v>46123.0</v>
      </c>
      <c r="D1378" s="314" t="s">
        <v>170</v>
      </c>
      <c r="E1378" s="307" t="str">
        <f t="array" ref="E1378">(XLOOKUP(D1378,Roster!F:F,Roster!B:B,"",0))</f>
        <v>Sebastian Torres</v>
      </c>
      <c r="F1378" s="315" t="str">
        <f t="array" ref="F1378">IF(B1378=100,"Free",TEXT(XLOOKUP($D1378,OperationVoice!$A:$A,OperationVoice!Q:Q,XLOOKUP($D1378,OperationTickets!$A:$A,OperationTickets!Q:Q,"",0)),"hh:mm"))</f>
        <v>08:00</v>
      </c>
      <c r="G1378" s="309">
        <f t="shared" si="3"/>
        <v>0.7083333333</v>
      </c>
      <c r="H1378" s="316">
        <f t="array" ref="H1378">XLOOKUP(B1378,Roster!L:L,Roster!N:N,XLOOKUP(D1378,TicketsBreak!A:A,TicketsBreak!E:E,"",0),0)</f>
        <v>0.4583333333</v>
      </c>
      <c r="I1378" s="316">
        <f t="array" ref="I1378">XLOOKUP(B1378,Roster!L:L,Roster!O:O,XLOOKUP(D1378,TicketsBreak!A:A,TicketsBreak!F:F,"",0),0)</f>
        <v>0.5833333333</v>
      </c>
      <c r="J1378" s="316">
        <f t="array" ref="J1378">XLOOKUP(B1378,Roster!L:L,Roster!P:P,XLOOKUP(D1378,TicketsBreak!A:A,TicketsBreak!G:G,"",0),0)</f>
        <v>0.65625</v>
      </c>
      <c r="K1378" s="310">
        <f t="shared" si="4"/>
        <v>46123</v>
      </c>
      <c r="L1378" s="317">
        <f t="array" ref="L1378">(XLOOKUP(D1378,Roster!F:F,Roster!D:D,"",0))</f>
        <v>8</v>
      </c>
      <c r="M1378" s="317" t="str">
        <f t="array" ref="M1378">XLOOKUP(D1378,Roster!F:F,Roster!E:E)</f>
        <v>Tickets</v>
      </c>
      <c r="N1378" s="317" t="str">
        <f t="shared" ref="N1378:P1378" si="1400">LEFT(H1378,5)</f>
        <v>11:00</v>
      </c>
      <c r="O1378" s="317" t="str">
        <f t="shared" si="1400"/>
        <v>14:00</v>
      </c>
      <c r="P1378" s="317" t="str">
        <f t="shared" si="1400"/>
        <v>15:45</v>
      </c>
      <c r="Q1378" s="318">
        <f t="shared" si="1374"/>
        <v>46123.45833</v>
      </c>
      <c r="R1378" s="318">
        <f t="shared" si="1233"/>
        <v>46123.58333</v>
      </c>
      <c r="S1378" s="318">
        <f t="shared" si="8"/>
        <v>46123.65625</v>
      </c>
    </row>
    <row r="1379">
      <c r="A1379" s="14" t="str">
        <f t="shared" si="1"/>
        <v>C143146123</v>
      </c>
      <c r="B1379" s="185">
        <f t="array" ref="B1379">IF(F1379="VL","",IF(F1379="Free","Free",XLOOKUP(D1379,Roster!T:T,Roster!S:S,"",0)))</f>
        <v>151</v>
      </c>
      <c r="C1379" s="313">
        <v>46123.0</v>
      </c>
      <c r="D1379" s="314" t="s">
        <v>74</v>
      </c>
      <c r="E1379" s="307" t="str">
        <f t="array" ref="E1379">(XLOOKUP(D1379,Roster!F:F,Roster!B:B,"",0))</f>
        <v>Sebastian Torres Gomez</v>
      </c>
      <c r="F1379" s="315" t="str">
        <f t="array" ref="F1379">IF(B1379=100,"Free",TEXT(XLOOKUP($D1379,OperationVoice!$A:$A,OperationVoice!Q:Q,XLOOKUP($D1379,OperationTickets!$A:$A,OperationTickets!Q:Q,"",0)),"hh:mm"))</f>
        <v>11:00</v>
      </c>
      <c r="G1379" s="309">
        <f t="shared" si="3"/>
        <v>0.8333333333</v>
      </c>
      <c r="H1379" s="316" t="str">
        <f t="array" ref="H1379">XLOOKUP(B1379,Roster!L:L,Roster!N:N,XLOOKUP(D1379,TicketsBreak!A:A,TicketsBreak!E:E,"",0),0)</f>
        <v>12:15 - 12:30</v>
      </c>
      <c r="I1379" s="316" t="str">
        <f t="array" ref="I1379">XLOOKUP(B1379,Roster!L:L,Roster!O:O,XLOOKUP(D1379,TicketsBreak!A:A,TicketsBreak!F:F,"",0),0)</f>
        <v>14:00 - 14:30</v>
      </c>
      <c r="J1379" s="316" t="str">
        <f t="array" ref="J1379">XLOOKUP(B1379,Roster!L:L,Roster!P:P,XLOOKUP(D1379,TicketsBreak!A:A,TicketsBreak!G:G,"",0),0)</f>
        <v>17:15 - 17:30</v>
      </c>
      <c r="K1379" s="310">
        <f t="shared" si="4"/>
        <v>46123</v>
      </c>
      <c r="L1379" s="317">
        <f t="array" ref="L1379">(XLOOKUP(D1379,Roster!F:F,Roster!D:D,"",0))</f>
        <v>32</v>
      </c>
      <c r="M1379" s="317" t="str">
        <f t="array" ref="M1379">XLOOKUP(D1379,Roster!F:F,Roster!E:E)</f>
        <v>Voice</v>
      </c>
      <c r="N1379" s="317" t="str">
        <f t="shared" ref="N1379:P1379" si="1401">LEFT(H1379,5)</f>
        <v>12:15</v>
      </c>
      <c r="O1379" s="317" t="str">
        <f t="shared" si="1401"/>
        <v>14:00</v>
      </c>
      <c r="P1379" s="317" t="str">
        <f t="shared" si="1401"/>
        <v>17:15</v>
      </c>
      <c r="Q1379" s="318">
        <f t="shared" si="1374"/>
        <v>46123.51042</v>
      </c>
      <c r="R1379" s="318">
        <f t="shared" si="1233"/>
        <v>46123.58333</v>
      </c>
      <c r="S1379" s="318">
        <f t="shared" si="8"/>
        <v>46123.71875</v>
      </c>
    </row>
    <row r="1380">
      <c r="A1380" s="14" t="str">
        <f t="shared" si="1"/>
        <v>C149146123</v>
      </c>
      <c r="B1380" s="185" t="str">
        <f t="array" ref="B1380">IF(F1380="VL","",IF(F1380="Free","Free",XLOOKUP(D1380,Roster!T:T,Roster!S:S,"",0)))</f>
        <v/>
      </c>
      <c r="C1380" s="313">
        <v>46123.0</v>
      </c>
      <c r="D1380" s="314" t="s">
        <v>315</v>
      </c>
      <c r="E1380" s="307" t="str">
        <f t="array" ref="E1380">(XLOOKUP(D1380,Roster!F:F,Roster!B:B,"",0))</f>
        <v>Sebastian Vanegas</v>
      </c>
      <c r="F1380" s="315" t="str">
        <f t="array" ref="F1380">IF(B1380=100,"Free",TEXT(XLOOKUP($D1380,OperationVoice!$A:$A,OperationVoice!Q:Q,XLOOKUP($D1380,OperationTickets!$A:$A,OperationTickets!Q:Q,"",0)),"hh:mm"))</f>
        <v/>
      </c>
      <c r="G1380" s="309" t="str">
        <f t="shared" si="3"/>
        <v/>
      </c>
      <c r="H1380" s="316" t="str">
        <f t="array" ref="H1380">XLOOKUP(B1380,Roster!L:L,Roster!N:N,XLOOKUP(D1380,TicketsBreak!A:A,TicketsBreak!E:E,"",0),0)</f>
        <v/>
      </c>
      <c r="I1380" s="316" t="str">
        <f t="array" ref="I1380">XLOOKUP(B1380,Roster!L:L,Roster!O:O,XLOOKUP(D1380,TicketsBreak!A:A,TicketsBreak!F:F,"",0),0)</f>
        <v/>
      </c>
      <c r="J1380" s="316" t="str">
        <f t="array" ref="J1380">XLOOKUP(B1380,Roster!L:L,Roster!P:P,XLOOKUP(D1380,TicketsBreak!A:A,TicketsBreak!G:G,"",0),0)</f>
        <v/>
      </c>
      <c r="K1380" s="310">
        <f t="shared" si="4"/>
        <v>46123</v>
      </c>
      <c r="L1380" s="317">
        <f t="array" ref="L1380">(XLOOKUP(D1380,Roster!F:F,Roster!D:D,"",0))</f>
        <v>34</v>
      </c>
      <c r="M1380" s="317" t="str">
        <f t="array" ref="M1380">XLOOKUP(D1380,Roster!F:F,Roster!E:E)</f>
        <v>Voice</v>
      </c>
      <c r="N1380" s="317" t="str">
        <f t="shared" ref="N1380:P1380" si="1402">LEFT(H1380,5)</f>
        <v/>
      </c>
      <c r="O1380" s="317" t="str">
        <f t="shared" si="1402"/>
        <v/>
      </c>
      <c r="P1380" s="317" t="str">
        <f t="shared" si="1402"/>
        <v/>
      </c>
      <c r="Q1380" s="318" t="str">
        <f t="shared" si="1374"/>
        <v/>
      </c>
      <c r="R1380" s="318" t="str">
        <f t="shared" si="1233"/>
        <v/>
      </c>
      <c r="S1380" s="318" t="str">
        <f t="shared" si="8"/>
        <v/>
      </c>
    </row>
    <row r="1381">
      <c r="A1381" s="14" t="str">
        <f t="shared" si="1"/>
        <v>C93746123</v>
      </c>
      <c r="B1381" s="185" t="str">
        <f t="array" ref="B1381">IF(F1381="VL","",IF(F1381="Free","Free",XLOOKUP(D1381,Roster!T:T,Roster!S:S,"",0)))</f>
        <v>Free</v>
      </c>
      <c r="C1381" s="313">
        <v>46123.0</v>
      </c>
      <c r="D1381" s="314" t="s">
        <v>75</v>
      </c>
      <c r="E1381" s="307" t="str">
        <f t="array" ref="E1381">(XLOOKUP(D1381,Roster!F:F,Roster!B:B,"",0))</f>
        <v>Sebastian Zapata</v>
      </c>
      <c r="F1381" s="315" t="str">
        <f t="array" ref="F1381">IF(B1381=100,"Free",TEXT(XLOOKUP($D1381,OperationVoice!$A:$A,OperationVoice!Q:Q,XLOOKUP($D1381,OperationTickets!$A:$A,OperationTickets!Q:Q,"",0)),"hh:mm"))</f>
        <v>Free</v>
      </c>
      <c r="G1381" s="309" t="str">
        <f t="shared" si="3"/>
        <v>Free</v>
      </c>
      <c r="H1381" s="316" t="str">
        <f t="array" ref="H1381">XLOOKUP(B1381,Roster!L:L,Roster!N:N,XLOOKUP(D1381,TicketsBreak!A:A,TicketsBreak!E:E,"",0),0)</f>
        <v/>
      </c>
      <c r="I1381" s="316" t="str">
        <f t="array" ref="I1381">XLOOKUP(B1381,Roster!L:L,Roster!O:O,XLOOKUP(D1381,TicketsBreak!A:A,TicketsBreak!F:F,"",0),0)</f>
        <v/>
      </c>
      <c r="J1381" s="316" t="str">
        <f t="array" ref="J1381">XLOOKUP(B1381,Roster!L:L,Roster!P:P,XLOOKUP(D1381,TicketsBreak!A:A,TicketsBreak!G:G,"",0),0)</f>
        <v/>
      </c>
      <c r="K1381" s="310">
        <f t="shared" si="4"/>
        <v>46123</v>
      </c>
      <c r="L1381" s="317">
        <f t="array" ref="L1381">(XLOOKUP(D1381,Roster!F:F,Roster!D:D,"",0))</f>
        <v>12</v>
      </c>
      <c r="M1381" s="317" t="str">
        <f t="array" ref="M1381">XLOOKUP(D1381,Roster!F:F,Roster!E:E)</f>
        <v>Voice</v>
      </c>
      <c r="N1381" s="317" t="str">
        <f t="shared" ref="N1381:P1381" si="1403">LEFT(H1381,5)</f>
        <v/>
      </c>
      <c r="O1381" s="317" t="str">
        <f t="shared" si="1403"/>
        <v/>
      </c>
      <c r="P1381" s="317" t="str">
        <f t="shared" si="1403"/>
        <v/>
      </c>
      <c r="Q1381" s="318" t="str">
        <f t="shared" si="1374"/>
        <v/>
      </c>
      <c r="R1381" s="318" t="str">
        <f t="shared" si="1233"/>
        <v/>
      </c>
      <c r="S1381" s="318" t="str">
        <f t="shared" si="8"/>
        <v/>
      </c>
    </row>
    <row r="1382">
      <c r="A1382" s="14" t="str">
        <f t="shared" si="1"/>
        <v>C156546123</v>
      </c>
      <c r="B1382" s="185">
        <f t="array" ref="B1382">IF(F1382="VL","",IF(F1382="Free","Free",XLOOKUP(D1382,Roster!T:T,Roster!S:S,"",0)))</f>
        <v>122</v>
      </c>
      <c r="C1382" s="313">
        <v>46123.0</v>
      </c>
      <c r="D1382" s="314" t="s">
        <v>76</v>
      </c>
      <c r="E1382" s="307" t="str">
        <f t="array" ref="E1382">(XLOOKUP(D1382,Roster!F:F,Roster!B:B,"",0))</f>
        <v>Sergio Rojas</v>
      </c>
      <c r="F1382" s="315" t="str">
        <f t="array" ref="F1382">IF(B1382=100,"Free",TEXT(XLOOKUP($D1382,OperationVoice!$A:$A,OperationVoice!Q:Q,XLOOKUP($D1382,OperationTickets!$A:$A,OperationTickets!Q:Q,"",0)),"hh:mm"))</f>
        <v>11:00</v>
      </c>
      <c r="G1382" s="309">
        <f t="shared" si="3"/>
        <v>0.8333333333</v>
      </c>
      <c r="H1382" s="316" t="str">
        <f t="array" ref="H1382">XLOOKUP(B1382,Roster!L:L,Roster!N:N,XLOOKUP(D1382,TicketsBreak!A:A,TicketsBreak!E:E,"",0),0)</f>
        <v>09:30 - 09:45</v>
      </c>
      <c r="I1382" s="316" t="str">
        <f t="array" ref="I1382">XLOOKUP(B1382,Roster!L:L,Roster!O:O,XLOOKUP(D1382,TicketsBreak!A:A,TicketsBreak!F:F,"",0),0)</f>
        <v>12:00 - 12:30</v>
      </c>
      <c r="J1382" s="316" t="str">
        <f t="array" ref="J1382">XLOOKUP(B1382,Roster!L:L,Roster!P:P,XLOOKUP(D1382,TicketsBreak!A:A,TicketsBreak!G:G,"",0),0)</f>
        <v>14:45 - 15:00</v>
      </c>
      <c r="K1382" s="310">
        <f t="shared" si="4"/>
        <v>46123</v>
      </c>
      <c r="L1382" s="317">
        <f t="array" ref="L1382">(XLOOKUP(D1382,Roster!F:F,Roster!D:D,"",0))</f>
        <v>38</v>
      </c>
      <c r="M1382" s="317" t="str">
        <f t="array" ref="M1382">XLOOKUP(D1382,Roster!F:F,Roster!E:E)</f>
        <v>Voice</v>
      </c>
      <c r="N1382" s="317" t="str">
        <f t="shared" ref="N1382:P1382" si="1404">LEFT(H1382,5)</f>
        <v>09:30</v>
      </c>
      <c r="O1382" s="317" t="str">
        <f t="shared" si="1404"/>
        <v>12:00</v>
      </c>
      <c r="P1382" s="317" t="str">
        <f t="shared" si="1404"/>
        <v>14:45</v>
      </c>
      <c r="Q1382" s="318">
        <f t="shared" si="1374"/>
        <v>46123.39583</v>
      </c>
      <c r="R1382" s="318">
        <f t="shared" si="1233"/>
        <v>46123.5</v>
      </c>
      <c r="S1382" s="318">
        <f t="shared" si="8"/>
        <v>46123.61458</v>
      </c>
    </row>
    <row r="1383">
      <c r="A1383" s="14" t="str">
        <f t="shared" si="1"/>
        <v>C147846123</v>
      </c>
      <c r="B1383" s="185" t="str">
        <f t="array" ref="B1383">IF(F1383="VL","",IF(F1383="Free","Free",XLOOKUP(D1383,Roster!T:T,Roster!S:S,"",0)))</f>
        <v/>
      </c>
      <c r="C1383" s="313">
        <v>46123.0</v>
      </c>
      <c r="D1383" s="314" t="s">
        <v>186</v>
      </c>
      <c r="E1383" s="307" t="str">
        <f t="array" ref="E1383">(XLOOKUP(D1383,Roster!F:F,Roster!B:B,"",0))</f>
        <v>Simon Atehortua</v>
      </c>
      <c r="F1383" s="315" t="str">
        <f t="array" ref="F1383">IF(B1383=100,"Free",TEXT(XLOOKUP($D1383,OperationVoice!$A:$A,OperationVoice!Q:Q,XLOOKUP($D1383,OperationTickets!$A:$A,OperationTickets!Q:Q,"",0)),"hh:mm"))</f>
        <v>07:00</v>
      </c>
      <c r="G1383" s="309">
        <f t="shared" si="3"/>
        <v>0.6666666667</v>
      </c>
      <c r="H1383" s="316" t="str">
        <f t="array" ref="H1383">XLOOKUP(B1383,Roster!L:L,Roster!N:N,XLOOKUP(D1383,TicketsBreak!A:A,TicketsBreak!E:E,"",0),0)</f>
        <v/>
      </c>
      <c r="I1383" s="316" t="str">
        <f t="array" ref="I1383">XLOOKUP(B1383,Roster!L:L,Roster!O:O,XLOOKUP(D1383,TicketsBreak!A:A,TicketsBreak!F:F,"",0),0)</f>
        <v/>
      </c>
      <c r="J1383" s="316" t="str">
        <f t="array" ref="J1383">XLOOKUP(B1383,Roster!L:L,Roster!P:P,XLOOKUP(D1383,TicketsBreak!A:A,TicketsBreak!G:G,"",0),0)</f>
        <v/>
      </c>
      <c r="K1383" s="310">
        <f t="shared" si="4"/>
        <v>46123</v>
      </c>
      <c r="L1383" s="317">
        <f t="array" ref="L1383">(XLOOKUP(D1383,Roster!F:F,Roster!D:D,"",0))</f>
        <v>32</v>
      </c>
      <c r="M1383" s="317" t="str">
        <f t="array" ref="M1383">XLOOKUP(D1383,Roster!F:F,Roster!E:E)</f>
        <v>Tickets</v>
      </c>
      <c r="N1383" s="317" t="str">
        <f t="shared" ref="N1383:P1383" si="1405">LEFT(H1383,5)</f>
        <v/>
      </c>
      <c r="O1383" s="317" t="str">
        <f t="shared" si="1405"/>
        <v/>
      </c>
      <c r="P1383" s="317" t="str">
        <f t="shared" si="1405"/>
        <v/>
      </c>
      <c r="Q1383" s="318" t="str">
        <f t="shared" si="1374"/>
        <v/>
      </c>
      <c r="R1383" s="318" t="str">
        <f t="shared" si="1233"/>
        <v/>
      </c>
      <c r="S1383" s="318" t="str">
        <f t="shared" si="8"/>
        <v/>
      </c>
    </row>
    <row r="1384">
      <c r="A1384" s="14" t="str">
        <f t="shared" si="1"/>
        <v>C148346123</v>
      </c>
      <c r="B1384" s="185" t="str">
        <f t="array" ref="B1384">IF(F1384="VL","",IF(F1384="Free","Free",XLOOKUP(D1384,Roster!T:T,Roster!S:S,"",0)))</f>
        <v>Free</v>
      </c>
      <c r="C1384" s="313">
        <v>46123.0</v>
      </c>
      <c r="D1384" s="314" t="s">
        <v>77</v>
      </c>
      <c r="E1384" s="307" t="str">
        <f t="array" ref="E1384">(XLOOKUP(D1384,Roster!F:F,Roster!B:B,"",0))</f>
        <v>Simon Zuluaica</v>
      </c>
      <c r="F1384" s="315" t="str">
        <f t="array" ref="F1384">IF(B1384=100,"Free",TEXT(XLOOKUP($D1384,OperationVoice!$A:$A,OperationVoice!Q:Q,XLOOKUP($D1384,OperationTickets!$A:$A,OperationTickets!Q:Q,"",0)),"hh:mm"))</f>
        <v>Free</v>
      </c>
      <c r="G1384" s="309" t="str">
        <f t="shared" si="3"/>
        <v>Free</v>
      </c>
      <c r="H1384" s="316" t="str">
        <f t="array" ref="H1384">XLOOKUP(B1384,Roster!L:L,Roster!N:N,XLOOKUP(D1384,TicketsBreak!A:A,TicketsBreak!E:E,"",0),0)</f>
        <v/>
      </c>
      <c r="I1384" s="316" t="str">
        <f t="array" ref="I1384">XLOOKUP(B1384,Roster!L:L,Roster!O:O,XLOOKUP(D1384,TicketsBreak!A:A,TicketsBreak!F:F,"",0),0)</f>
        <v/>
      </c>
      <c r="J1384" s="316" t="str">
        <f t="array" ref="J1384">XLOOKUP(B1384,Roster!L:L,Roster!P:P,XLOOKUP(D1384,TicketsBreak!A:A,TicketsBreak!G:G,"",0),0)</f>
        <v/>
      </c>
      <c r="K1384" s="310">
        <f t="shared" si="4"/>
        <v>46123</v>
      </c>
      <c r="L1384" s="317">
        <f t="array" ref="L1384">(XLOOKUP(D1384,Roster!F:F,Roster!D:D,"",0))</f>
        <v>34</v>
      </c>
      <c r="M1384" s="317" t="str">
        <f t="array" ref="M1384">XLOOKUP(D1384,Roster!F:F,Roster!E:E)</f>
        <v>Voice</v>
      </c>
      <c r="N1384" s="317" t="str">
        <f t="shared" ref="N1384:P1384" si="1406">LEFT(H1384,5)</f>
        <v/>
      </c>
      <c r="O1384" s="317" t="str">
        <f t="shared" si="1406"/>
        <v/>
      </c>
      <c r="P1384" s="317" t="str">
        <f t="shared" si="1406"/>
        <v/>
      </c>
      <c r="Q1384" s="318" t="str">
        <f t="shared" si="1374"/>
        <v/>
      </c>
      <c r="R1384" s="318" t="str">
        <f t="shared" si="1233"/>
        <v/>
      </c>
      <c r="S1384" s="318" t="str">
        <f t="shared" si="8"/>
        <v/>
      </c>
    </row>
    <row r="1385">
      <c r="A1385" s="14" t="str">
        <f t="shared" si="1"/>
        <v>C154046123</v>
      </c>
      <c r="B1385" s="185" t="str">
        <f t="array" ref="B1385">IF(F1385="VL","",IF(F1385="Free","Free",XLOOKUP(D1385,Roster!T:T,Roster!S:S,"",0)))</f>
        <v>Free</v>
      </c>
      <c r="C1385" s="313">
        <v>46123.0</v>
      </c>
      <c r="D1385" s="314" t="s">
        <v>78</v>
      </c>
      <c r="E1385" s="307" t="str">
        <f t="array" ref="E1385">(XLOOKUP(D1385,Roster!F:F,Roster!B:B,"",0))</f>
        <v>Tomas Perez</v>
      </c>
      <c r="F1385" s="315" t="str">
        <f t="array" ref="F1385">IF(B1385=100,"Free",TEXT(XLOOKUP($D1385,OperationVoice!$A:$A,OperationVoice!Q:Q,XLOOKUP($D1385,OperationTickets!$A:$A,OperationTickets!Q:Q,"",0)),"hh:mm"))</f>
        <v>Free</v>
      </c>
      <c r="G1385" s="309" t="str">
        <f t="shared" si="3"/>
        <v>Free</v>
      </c>
      <c r="H1385" s="316" t="str">
        <f t="array" ref="H1385">XLOOKUP(B1385,Roster!L:L,Roster!N:N,XLOOKUP(D1385,TicketsBreak!A:A,TicketsBreak!E:E,"",0),0)</f>
        <v/>
      </c>
      <c r="I1385" s="316" t="str">
        <f t="array" ref="I1385">XLOOKUP(B1385,Roster!L:L,Roster!O:O,XLOOKUP(D1385,TicketsBreak!A:A,TicketsBreak!F:F,"",0),0)</f>
        <v/>
      </c>
      <c r="J1385" s="316" t="str">
        <f t="array" ref="J1385">XLOOKUP(B1385,Roster!L:L,Roster!P:P,XLOOKUP(D1385,TicketsBreak!A:A,TicketsBreak!G:G,"",0),0)</f>
        <v/>
      </c>
      <c r="K1385" s="310">
        <f t="shared" si="4"/>
        <v>46123</v>
      </c>
      <c r="L1385" s="317">
        <f t="array" ref="L1385">(XLOOKUP(D1385,Roster!F:F,Roster!D:D,"",0))</f>
        <v>36</v>
      </c>
      <c r="M1385" s="317" t="str">
        <f t="array" ref="M1385">XLOOKUP(D1385,Roster!F:F,Roster!E:E)</f>
        <v>Voice</v>
      </c>
      <c r="N1385" s="317" t="str">
        <f t="shared" ref="N1385:P1385" si="1407">LEFT(H1385,5)</f>
        <v/>
      </c>
      <c r="O1385" s="317" t="str">
        <f t="shared" si="1407"/>
        <v/>
      </c>
      <c r="P1385" s="317" t="str">
        <f t="shared" si="1407"/>
        <v/>
      </c>
      <c r="Q1385" s="318" t="str">
        <f t="shared" si="1374"/>
        <v/>
      </c>
      <c r="R1385" s="318" t="str">
        <f t="shared" si="1233"/>
        <v/>
      </c>
      <c r="S1385" s="318" t="str">
        <f t="shared" si="8"/>
        <v/>
      </c>
    </row>
    <row r="1386">
      <c r="A1386" s="14" t="str">
        <f t="shared" si="1"/>
        <v>C154746123</v>
      </c>
      <c r="B1386" s="185" t="str">
        <f t="array" ref="B1386">IF(F1386="VL","",IF(F1386="Free","Free",XLOOKUP(D1386,Roster!T:T,Roster!S:S,"",0)))</f>
        <v>Free</v>
      </c>
      <c r="C1386" s="313">
        <v>46123.0</v>
      </c>
      <c r="D1386" s="314" t="s">
        <v>79</v>
      </c>
      <c r="E1386" s="307" t="str">
        <f t="array" ref="E1386">(XLOOKUP(D1386,Roster!F:F,Roster!B:B,"",0))</f>
        <v>Valentina Barreto</v>
      </c>
      <c r="F1386" s="315" t="str">
        <f t="array" ref="F1386">IF(B1386=100,"Free",TEXT(XLOOKUP($D1386,OperationVoice!$A:$A,OperationVoice!Q:Q,XLOOKUP($D1386,OperationTickets!$A:$A,OperationTickets!Q:Q,"",0)),"hh:mm"))</f>
        <v>Free</v>
      </c>
      <c r="G1386" s="309" t="str">
        <f t="shared" si="3"/>
        <v>Free</v>
      </c>
      <c r="H1386" s="316" t="str">
        <f t="array" ref="H1386">XLOOKUP(B1386,Roster!L:L,Roster!N:N,XLOOKUP(D1386,TicketsBreak!A:A,TicketsBreak!E:E,"",0),0)</f>
        <v/>
      </c>
      <c r="I1386" s="316" t="str">
        <f t="array" ref="I1386">XLOOKUP(B1386,Roster!L:L,Roster!O:O,XLOOKUP(D1386,TicketsBreak!A:A,TicketsBreak!F:F,"",0),0)</f>
        <v/>
      </c>
      <c r="J1386" s="316" t="str">
        <f t="array" ref="J1386">XLOOKUP(B1386,Roster!L:L,Roster!P:P,XLOOKUP(D1386,TicketsBreak!A:A,TicketsBreak!G:G,"",0),0)</f>
        <v/>
      </c>
      <c r="K1386" s="310">
        <f t="shared" si="4"/>
        <v>46123</v>
      </c>
      <c r="L1386" s="317">
        <f t="array" ref="L1386">(XLOOKUP(D1386,Roster!F:F,Roster!D:D,"",0))</f>
        <v>37</v>
      </c>
      <c r="M1386" s="317" t="str">
        <f t="array" ref="M1386">XLOOKUP(D1386,Roster!F:F,Roster!E:E)</f>
        <v>Voice</v>
      </c>
      <c r="N1386" s="317" t="str">
        <f t="shared" ref="N1386:P1386" si="1408">LEFT(H1386,5)</f>
        <v/>
      </c>
      <c r="O1386" s="317" t="str">
        <f t="shared" si="1408"/>
        <v/>
      </c>
      <c r="P1386" s="317" t="str">
        <f t="shared" si="1408"/>
        <v/>
      </c>
      <c r="Q1386" s="318" t="str">
        <f t="shared" si="1374"/>
        <v/>
      </c>
      <c r="R1386" s="318" t="str">
        <f t="shared" si="1233"/>
        <v/>
      </c>
      <c r="S1386" s="318" t="str">
        <f t="shared" si="8"/>
        <v/>
      </c>
    </row>
    <row r="1387">
      <c r="A1387" s="14" t="str">
        <f t="shared" si="1"/>
        <v>C155346123</v>
      </c>
      <c r="B1387" s="185">
        <f t="array" ref="B1387">IF(F1387="VL","",IF(F1387="Free","Free",XLOOKUP(D1387,Roster!T:T,Roster!S:S,"",0)))</f>
        <v>122</v>
      </c>
      <c r="C1387" s="313">
        <v>46123.0</v>
      </c>
      <c r="D1387" s="314" t="s">
        <v>80</v>
      </c>
      <c r="E1387" s="307" t="str">
        <f t="array" ref="E1387">(XLOOKUP(D1387,Roster!F:F,Roster!B:B,"",0))</f>
        <v>Valentina Castro</v>
      </c>
      <c r="F1387" s="315" t="str">
        <f t="array" ref="F1387">IF(B1387=100,"Free",TEXT(XLOOKUP($D1387,OperationVoice!$A:$A,OperationVoice!Q:Q,XLOOKUP($D1387,OperationTickets!$A:$A,OperationTickets!Q:Q,"",0)),"hh:mm"))</f>
        <v>08:00</v>
      </c>
      <c r="G1387" s="309">
        <f t="shared" si="3"/>
        <v>0.7083333333</v>
      </c>
      <c r="H1387" s="316" t="str">
        <f t="array" ref="H1387">XLOOKUP(B1387,Roster!L:L,Roster!N:N,XLOOKUP(D1387,TicketsBreak!A:A,TicketsBreak!E:E,"",0),0)</f>
        <v>09:30 - 09:45</v>
      </c>
      <c r="I1387" s="316" t="str">
        <f t="array" ref="I1387">XLOOKUP(B1387,Roster!L:L,Roster!O:O,XLOOKUP(D1387,TicketsBreak!A:A,TicketsBreak!F:F,"",0),0)</f>
        <v>12:00 - 12:30</v>
      </c>
      <c r="J1387" s="316" t="str">
        <f t="array" ref="J1387">XLOOKUP(B1387,Roster!L:L,Roster!P:P,XLOOKUP(D1387,TicketsBreak!A:A,TicketsBreak!G:G,"",0),0)</f>
        <v>14:45 - 15:00</v>
      </c>
      <c r="K1387" s="310">
        <f t="shared" si="4"/>
        <v>46123</v>
      </c>
      <c r="L1387" s="317">
        <f t="array" ref="L1387">(XLOOKUP(D1387,Roster!F:F,Roster!D:D,"",0))</f>
        <v>37</v>
      </c>
      <c r="M1387" s="317" t="str">
        <f t="array" ref="M1387">XLOOKUP(D1387,Roster!F:F,Roster!E:E)</f>
        <v>Voice</v>
      </c>
      <c r="N1387" s="317" t="str">
        <f t="shared" ref="N1387:P1387" si="1409">LEFT(H1387,5)</f>
        <v>09:30</v>
      </c>
      <c r="O1387" s="317" t="str">
        <f t="shared" si="1409"/>
        <v>12:00</v>
      </c>
      <c r="P1387" s="317" t="str">
        <f t="shared" si="1409"/>
        <v>14:45</v>
      </c>
      <c r="Q1387" s="318">
        <f t="shared" si="1374"/>
        <v>46123.39583</v>
      </c>
      <c r="R1387" s="318">
        <f t="shared" si="1233"/>
        <v>46123.5</v>
      </c>
      <c r="S1387" s="318">
        <f t="shared" si="8"/>
        <v>46123.61458</v>
      </c>
    </row>
    <row r="1388">
      <c r="A1388" s="14" t="str">
        <f t="shared" si="1"/>
        <v>C150246123</v>
      </c>
      <c r="B1388" s="185" t="str">
        <f t="array" ref="B1388">IF(F1388="VL","",IF(F1388="Free","Free",XLOOKUP(D1388,Roster!T:T,Roster!S:S,"",0)))</f>
        <v/>
      </c>
      <c r="C1388" s="313">
        <v>46123.0</v>
      </c>
      <c r="D1388" s="314" t="s">
        <v>316</v>
      </c>
      <c r="E1388" s="307" t="str">
        <f t="array" ref="E1388">(XLOOKUP(D1388,Roster!F:F,Roster!B:B,"",0))</f>
        <v>Valentina Gallego</v>
      </c>
      <c r="F1388" s="315" t="str">
        <f t="array" ref="F1388">IF(B1388=100,"Free",TEXT(XLOOKUP($D1388,OperationVoice!$A:$A,OperationVoice!Q:Q,XLOOKUP($D1388,OperationTickets!$A:$A,OperationTickets!Q:Q,"",0)),"hh:mm"))</f>
        <v/>
      </c>
      <c r="G1388" s="309" t="str">
        <f t="shared" si="3"/>
        <v/>
      </c>
      <c r="H1388" s="316" t="str">
        <f t="array" ref="H1388">XLOOKUP(B1388,Roster!L:L,Roster!N:N,XLOOKUP(D1388,TicketsBreak!A:A,TicketsBreak!E:E,"",0),0)</f>
        <v/>
      </c>
      <c r="I1388" s="316" t="str">
        <f t="array" ref="I1388">XLOOKUP(B1388,Roster!L:L,Roster!O:O,XLOOKUP(D1388,TicketsBreak!A:A,TicketsBreak!F:F,"",0),0)</f>
        <v/>
      </c>
      <c r="J1388" s="316" t="str">
        <f t="array" ref="J1388">XLOOKUP(B1388,Roster!L:L,Roster!P:P,XLOOKUP(D1388,TicketsBreak!A:A,TicketsBreak!G:G,"",0),0)</f>
        <v/>
      </c>
      <c r="K1388" s="310">
        <f t="shared" si="4"/>
        <v>46123</v>
      </c>
      <c r="L1388" s="317">
        <f t="array" ref="L1388">(XLOOKUP(D1388,Roster!F:F,Roster!D:D,"",0))</f>
        <v>35</v>
      </c>
      <c r="M1388" s="317" t="str">
        <f t="array" ref="M1388">XLOOKUP(D1388,Roster!F:F,Roster!E:E)</f>
        <v>Voice</v>
      </c>
      <c r="N1388" s="317" t="str">
        <f t="shared" ref="N1388:P1388" si="1410">LEFT(H1388,5)</f>
        <v/>
      </c>
      <c r="O1388" s="317" t="str">
        <f t="shared" si="1410"/>
        <v/>
      </c>
      <c r="P1388" s="317" t="str">
        <f t="shared" si="1410"/>
        <v/>
      </c>
      <c r="Q1388" s="318" t="str">
        <f t="shared" si="1374"/>
        <v/>
      </c>
      <c r="R1388" s="318" t="str">
        <f t="shared" si="1233"/>
        <v/>
      </c>
      <c r="S1388" s="318" t="str">
        <f t="shared" si="8"/>
        <v/>
      </c>
    </row>
    <row r="1389">
      <c r="A1389" s="14" t="str">
        <f t="shared" si="1"/>
        <v>C112646123</v>
      </c>
      <c r="B1389" s="185" t="str">
        <f t="array" ref="B1389">IF(F1389="VL","",IF(F1389="Free","Free",XLOOKUP(D1389,Roster!T:T,Roster!S:S,"",0)))</f>
        <v/>
      </c>
      <c r="C1389" s="313">
        <v>46123.0</v>
      </c>
      <c r="D1389" s="314" t="s">
        <v>152</v>
      </c>
      <c r="E1389" s="307" t="str">
        <f t="array" ref="E1389">(XLOOKUP(D1389,Roster!F:F,Roster!B:B,"",0))</f>
        <v>Valery Escobar</v>
      </c>
      <c r="F1389" s="315" t="str">
        <f t="array" ref="F1389">IF(B1389=100,"Free",TEXT(XLOOKUP($D1389,OperationVoice!$A:$A,OperationVoice!Q:Q,XLOOKUP($D1389,OperationTickets!$A:$A,OperationTickets!Q:Q,"",0)),"hh:mm"))</f>
        <v>08:00</v>
      </c>
      <c r="G1389" s="309">
        <f t="shared" si="3"/>
        <v>0.7083333333</v>
      </c>
      <c r="H1389" s="316">
        <f t="array" ref="H1389">XLOOKUP(B1389,Roster!L:L,Roster!N:N,XLOOKUP(D1389,TicketsBreak!A:A,TicketsBreak!E:E,"",0),0)</f>
        <v>0.3854166667</v>
      </c>
      <c r="I1389" s="316">
        <f t="array" ref="I1389">XLOOKUP(B1389,Roster!L:L,Roster!O:O,XLOOKUP(D1389,TicketsBreak!A:A,TicketsBreak!F:F,"",0),0)</f>
        <v>0.5</v>
      </c>
      <c r="J1389" s="316">
        <f t="array" ref="J1389">XLOOKUP(B1389,Roster!L:L,Roster!P:P,XLOOKUP(D1389,TicketsBreak!A:A,TicketsBreak!G:G,"",0),0)</f>
        <v>0.6041666667</v>
      </c>
      <c r="K1389" s="310">
        <f t="shared" si="4"/>
        <v>46123</v>
      </c>
      <c r="L1389" s="317">
        <f t="array" ref="L1389">(XLOOKUP(D1389,Roster!F:F,Roster!D:D,"",0))</f>
        <v>21</v>
      </c>
      <c r="M1389" s="317" t="str">
        <f t="array" ref="M1389">XLOOKUP(D1389,Roster!F:F,Roster!E:E)</f>
        <v>Tickets</v>
      </c>
      <c r="N1389" s="317" t="str">
        <f t="shared" ref="N1389:P1389" si="1411">LEFT(H1389,5)</f>
        <v>09:15</v>
      </c>
      <c r="O1389" s="317" t="str">
        <f t="shared" si="1411"/>
        <v>12:00</v>
      </c>
      <c r="P1389" s="317" t="str">
        <f t="shared" si="1411"/>
        <v>14:30</v>
      </c>
      <c r="Q1389" s="318">
        <f t="shared" si="1374"/>
        <v>46123.38542</v>
      </c>
      <c r="R1389" s="318">
        <f t="shared" si="1233"/>
        <v>46123.5</v>
      </c>
      <c r="S1389" s="318">
        <f t="shared" si="8"/>
        <v>46123.60417</v>
      </c>
    </row>
    <row r="1390">
      <c r="A1390" s="14" t="str">
        <f t="shared" si="1"/>
        <v>C155246123</v>
      </c>
      <c r="B1390" s="185">
        <f t="array" ref="B1390">IF(F1390="VL","",IF(F1390="Free","Free",XLOOKUP(D1390,Roster!T:T,Roster!S:S,"",0)))</f>
        <v>125</v>
      </c>
      <c r="C1390" s="313">
        <v>46123.0</v>
      </c>
      <c r="D1390" s="314" t="s">
        <v>81</v>
      </c>
      <c r="E1390" s="307" t="str">
        <f t="array" ref="E1390">(XLOOKUP(D1390,Roster!F:F,Roster!B:B,"",0))</f>
        <v>Wendy Machado</v>
      </c>
      <c r="F1390" s="315" t="str">
        <f t="array" ref="F1390">IF(B1390=100,"Free",TEXT(XLOOKUP($D1390,OperationVoice!$A:$A,OperationVoice!Q:Q,XLOOKUP($D1390,OperationTickets!$A:$A,OperationTickets!Q:Q,"",0)),"hh:mm"))</f>
        <v>08:00</v>
      </c>
      <c r="G1390" s="309">
        <f t="shared" si="3"/>
        <v>0.7083333333</v>
      </c>
      <c r="H1390" s="316" t="str">
        <f t="array" ref="H1390">XLOOKUP(B1390,Roster!L:L,Roster!N:N,XLOOKUP(D1390,TicketsBreak!A:A,TicketsBreak!E:E,"",0),0)</f>
        <v>10:30 - 10:45</v>
      </c>
      <c r="I1390" s="316" t="str">
        <f t="array" ref="I1390">XLOOKUP(B1390,Roster!L:L,Roster!O:O,XLOOKUP(D1390,TicketsBreak!A:A,TicketsBreak!F:F,"",0),0)</f>
        <v>13:30 - 14:00</v>
      </c>
      <c r="J1390" s="316" t="str">
        <f t="array" ref="J1390">XLOOKUP(B1390,Roster!L:L,Roster!P:P,XLOOKUP(D1390,TicketsBreak!A:A,TicketsBreak!G:G,"",0),0)</f>
        <v>15:45 - 16:00</v>
      </c>
      <c r="K1390" s="310">
        <f t="shared" si="4"/>
        <v>46123</v>
      </c>
      <c r="L1390" s="317">
        <f t="array" ref="L1390">(XLOOKUP(D1390,Roster!F:F,Roster!D:D,"",0))</f>
        <v>37</v>
      </c>
      <c r="M1390" s="317" t="str">
        <f t="array" ref="M1390">XLOOKUP(D1390,Roster!F:F,Roster!E:E)</f>
        <v>Voice</v>
      </c>
      <c r="N1390" s="317" t="str">
        <f t="shared" ref="N1390:P1390" si="1412">LEFT(H1390,5)</f>
        <v>10:30</v>
      </c>
      <c r="O1390" s="317" t="str">
        <f t="shared" si="1412"/>
        <v>13:30</v>
      </c>
      <c r="P1390" s="317" t="str">
        <f t="shared" si="1412"/>
        <v>15:45</v>
      </c>
      <c r="Q1390" s="318">
        <f t="shared" si="1374"/>
        <v>46123.4375</v>
      </c>
      <c r="R1390" s="318">
        <f t="shared" si="1233"/>
        <v>46123.5625</v>
      </c>
      <c r="S1390" s="318">
        <f t="shared" si="8"/>
        <v>46123.65625</v>
      </c>
    </row>
    <row r="1391">
      <c r="A1391" s="14" t="str">
        <f t="shared" si="1"/>
        <v>C78646123</v>
      </c>
      <c r="B1391" s="185" t="str">
        <f t="array" ref="B1391">IF(F1391="VL","",IF(F1391="Free","Free",XLOOKUP(D1391,Roster!T:T,Roster!S:S,"",0)))</f>
        <v>Free</v>
      </c>
      <c r="C1391" s="313">
        <v>46123.0</v>
      </c>
      <c r="D1391" s="314" t="s">
        <v>136</v>
      </c>
      <c r="E1391" s="307" t="str">
        <f t="array" ref="E1391">(XLOOKUP(D1391,Roster!F:F,Roster!B:B,"",0))</f>
        <v>Wendy Navarro</v>
      </c>
      <c r="F1391" s="315" t="str">
        <f t="array" ref="F1391">IF(B1391=100,"Free",TEXT(XLOOKUP($D1391,OperationVoice!$A:$A,OperationVoice!Q:Q,XLOOKUP($D1391,OperationTickets!$A:$A,OperationTickets!Q:Q,"",0)),"hh:mm"))</f>
        <v>Free</v>
      </c>
      <c r="G1391" s="309" t="str">
        <f t="shared" si="3"/>
        <v>Free</v>
      </c>
      <c r="H1391" s="316">
        <f t="array" ref="H1391">XLOOKUP(B1391,Roster!L:L,Roster!N:N,XLOOKUP(D1391,TicketsBreak!A:A,TicketsBreak!E:E,"",0),0)</f>
        <v>0.4166666667</v>
      </c>
      <c r="I1391" s="316">
        <f t="array" ref="I1391">XLOOKUP(B1391,Roster!L:L,Roster!O:O,XLOOKUP(D1391,TicketsBreak!A:A,TicketsBreak!F:F,"",0),0)</f>
        <v>0.5416666667</v>
      </c>
      <c r="J1391" s="316">
        <f t="array" ref="J1391">XLOOKUP(B1391,Roster!L:L,Roster!P:P,XLOOKUP(D1391,TicketsBreak!A:A,TicketsBreak!G:G,"",0),0)</f>
        <v>0.6458333333</v>
      </c>
      <c r="K1391" s="310">
        <f t="shared" si="4"/>
        <v>46123</v>
      </c>
      <c r="L1391" s="317">
        <f t="array" ref="L1391">(XLOOKUP(D1391,Roster!F:F,Roster!D:D,"",0))</f>
        <v>16</v>
      </c>
      <c r="M1391" s="317" t="str">
        <f t="array" ref="M1391">XLOOKUP(D1391,Roster!F:F,Roster!E:E)</f>
        <v>Tickets</v>
      </c>
      <c r="N1391" s="317" t="str">
        <f t="shared" ref="N1391:P1391" si="1413">LEFT(H1391,5)</f>
        <v>10:00</v>
      </c>
      <c r="O1391" s="317" t="str">
        <f t="shared" si="1413"/>
        <v>13:00</v>
      </c>
      <c r="P1391" s="317" t="str">
        <f t="shared" si="1413"/>
        <v>15:30</v>
      </c>
      <c r="Q1391" s="318">
        <f t="shared" si="1374"/>
        <v>46123.41667</v>
      </c>
      <c r="R1391" s="318">
        <f t="shared" si="1233"/>
        <v>46123.54167</v>
      </c>
      <c r="S1391" s="318">
        <f t="shared" si="8"/>
        <v>46123.64583</v>
      </c>
    </row>
    <row r="1392">
      <c r="A1392" s="14" t="str">
        <f t="shared" si="1"/>
        <v>C153746123</v>
      </c>
      <c r="B1392" s="185" t="str">
        <f t="array" ref="B1392">IF(F1392="VL","",IF(F1392="Free","Free",XLOOKUP(D1392,Roster!T:T,Roster!S:S,"",0)))</f>
        <v>Free</v>
      </c>
      <c r="C1392" s="313">
        <v>46123.0</v>
      </c>
      <c r="D1392" s="314" t="s">
        <v>82</v>
      </c>
      <c r="E1392" s="307" t="str">
        <f t="array" ref="E1392">(XLOOKUP(D1392,Roster!F:F,Roster!B:B,"",0))</f>
        <v>William Florez</v>
      </c>
      <c r="F1392" s="315" t="str">
        <f t="array" ref="F1392">IF(B1392=100,"Free",TEXT(XLOOKUP($D1392,OperationVoice!$A:$A,OperationVoice!Q:Q,XLOOKUP($D1392,OperationTickets!$A:$A,OperationTickets!Q:Q,"",0)),"hh:mm"))</f>
        <v>Free</v>
      </c>
      <c r="G1392" s="309" t="str">
        <f t="shared" si="3"/>
        <v>Free</v>
      </c>
      <c r="H1392" s="316" t="str">
        <f t="array" ref="H1392">XLOOKUP(B1392,Roster!L:L,Roster!N:N,XLOOKUP(D1392,TicketsBreak!A:A,TicketsBreak!E:E,"",0),0)</f>
        <v/>
      </c>
      <c r="I1392" s="316" t="str">
        <f t="array" ref="I1392">XLOOKUP(B1392,Roster!L:L,Roster!O:O,XLOOKUP(D1392,TicketsBreak!A:A,TicketsBreak!F:F,"",0),0)</f>
        <v/>
      </c>
      <c r="J1392" s="316" t="str">
        <f t="array" ref="J1392">XLOOKUP(B1392,Roster!L:L,Roster!P:P,XLOOKUP(D1392,TicketsBreak!A:A,TicketsBreak!G:G,"",0),0)</f>
        <v/>
      </c>
      <c r="K1392" s="310">
        <f t="shared" si="4"/>
        <v>46123</v>
      </c>
      <c r="L1392" s="317">
        <f t="array" ref="L1392">(XLOOKUP(D1392,Roster!F:F,Roster!D:D,"",0))</f>
        <v>36</v>
      </c>
      <c r="M1392" s="317" t="str">
        <f t="array" ref="M1392">XLOOKUP(D1392,Roster!F:F,Roster!E:E)</f>
        <v>Voice</v>
      </c>
      <c r="N1392" s="317" t="str">
        <f t="shared" ref="N1392:P1392" si="1414">LEFT(H1392,5)</f>
        <v/>
      </c>
      <c r="O1392" s="317" t="str">
        <f t="shared" si="1414"/>
        <v/>
      </c>
      <c r="P1392" s="317" t="str">
        <f t="shared" si="1414"/>
        <v/>
      </c>
      <c r="Q1392" s="318" t="str">
        <f t="shared" si="1374"/>
        <v/>
      </c>
      <c r="R1392" s="318" t="str">
        <f t="shared" si="1233"/>
        <v/>
      </c>
      <c r="S1392" s="318" t="str">
        <f t="shared" si="8"/>
        <v/>
      </c>
    </row>
    <row r="1393">
      <c r="A1393" s="14" t="str">
        <f t="shared" si="1"/>
        <v>C135346123</v>
      </c>
      <c r="B1393" s="185" t="str">
        <f t="array" ref="B1393">IF(F1393="VL","",IF(F1393="Free","Free",XLOOKUP(D1393,Roster!T:T,Roster!S:S,"",0)))</f>
        <v>Free</v>
      </c>
      <c r="C1393" s="313">
        <v>46123.0</v>
      </c>
      <c r="D1393" s="314" t="s">
        <v>83</v>
      </c>
      <c r="E1393" s="307" t="str">
        <f t="array" ref="E1393">(XLOOKUP(D1393,Roster!F:F,Roster!B:B,"",0))</f>
        <v>Wilson Martinez</v>
      </c>
      <c r="F1393" s="315" t="str">
        <f t="array" ref="F1393">IF(B1393=100,"Free",TEXT(XLOOKUP($D1393,OperationVoice!$A:$A,OperationVoice!Q:Q,XLOOKUP($D1393,OperationTickets!$A:$A,OperationTickets!Q:Q,"",0)),"hh:mm"))</f>
        <v>Free</v>
      </c>
      <c r="G1393" s="309" t="str">
        <f t="shared" si="3"/>
        <v>Free</v>
      </c>
      <c r="H1393" s="316" t="str">
        <f t="array" ref="H1393">XLOOKUP(B1393,Roster!L:L,Roster!N:N,XLOOKUP(D1393,TicketsBreak!A:A,TicketsBreak!E:E,"",0),0)</f>
        <v/>
      </c>
      <c r="I1393" s="316" t="str">
        <f t="array" ref="I1393">XLOOKUP(B1393,Roster!L:L,Roster!O:O,XLOOKUP(D1393,TicketsBreak!A:A,TicketsBreak!F:F,"",0),0)</f>
        <v/>
      </c>
      <c r="J1393" s="316" t="str">
        <f t="array" ref="J1393">XLOOKUP(B1393,Roster!L:L,Roster!P:P,XLOOKUP(D1393,TicketsBreak!A:A,TicketsBreak!G:G,"",0),0)</f>
        <v/>
      </c>
      <c r="K1393" s="310">
        <f t="shared" si="4"/>
        <v>46123</v>
      </c>
      <c r="L1393" s="317">
        <f t="array" ref="L1393">(XLOOKUP(D1393,Roster!F:F,Roster!D:D,"",0))</f>
        <v>30</v>
      </c>
      <c r="M1393" s="317" t="str">
        <f t="array" ref="M1393">XLOOKUP(D1393,Roster!F:F,Roster!E:E)</f>
        <v>Voice</v>
      </c>
      <c r="N1393" s="317" t="str">
        <f t="shared" ref="N1393:P1393" si="1415">LEFT(H1393,5)</f>
        <v/>
      </c>
      <c r="O1393" s="317" t="str">
        <f t="shared" si="1415"/>
        <v/>
      </c>
      <c r="P1393" s="317" t="str">
        <f t="shared" si="1415"/>
        <v/>
      </c>
      <c r="Q1393" s="318" t="str">
        <f t="shared" si="1374"/>
        <v/>
      </c>
      <c r="R1393" s="318" t="str">
        <f t="shared" si="1233"/>
        <v/>
      </c>
      <c r="S1393" s="318" t="str">
        <f t="shared" si="8"/>
        <v/>
      </c>
    </row>
    <row r="1394">
      <c r="A1394" s="14" t="str">
        <f t="shared" si="1"/>
        <v>C117346123</v>
      </c>
      <c r="B1394" s="185" t="str">
        <f t="array" ref="B1394">IF(F1394="VL","",IF(F1394="Free","Free",XLOOKUP(D1394,Roster!T:T,Roster!S:S,"",0)))</f>
        <v>Free</v>
      </c>
      <c r="C1394" s="313">
        <v>46123.0</v>
      </c>
      <c r="D1394" s="314" t="s">
        <v>84</v>
      </c>
      <c r="E1394" s="307" t="str">
        <f t="array" ref="E1394">(XLOOKUP(D1394,Roster!F:F,Roster!B:B,"",0))</f>
        <v>Yaidy Mosquera</v>
      </c>
      <c r="F1394" s="315" t="str">
        <f t="array" ref="F1394">IF(B1394=100,"Free",TEXT(XLOOKUP($D1394,OperationVoice!$A:$A,OperationVoice!Q:Q,XLOOKUP($D1394,OperationTickets!$A:$A,OperationTickets!Q:Q,"",0)),"hh:mm"))</f>
        <v>Free</v>
      </c>
      <c r="G1394" s="309" t="str">
        <f t="shared" si="3"/>
        <v>Free</v>
      </c>
      <c r="H1394" s="316" t="str">
        <f t="array" ref="H1394">XLOOKUP(B1394,Roster!L:L,Roster!N:N,XLOOKUP(D1394,TicketsBreak!A:A,TicketsBreak!E:E,"",0),0)</f>
        <v/>
      </c>
      <c r="I1394" s="316" t="str">
        <f t="array" ref="I1394">XLOOKUP(B1394,Roster!L:L,Roster!O:O,XLOOKUP(D1394,TicketsBreak!A:A,TicketsBreak!F:F,"",0),0)</f>
        <v/>
      </c>
      <c r="J1394" s="316" t="str">
        <f t="array" ref="J1394">XLOOKUP(B1394,Roster!L:L,Roster!P:P,XLOOKUP(D1394,TicketsBreak!A:A,TicketsBreak!G:G,"",0),0)</f>
        <v/>
      </c>
      <c r="K1394" s="310">
        <f t="shared" si="4"/>
        <v>46123</v>
      </c>
      <c r="L1394" s="317">
        <f t="array" ref="L1394">(XLOOKUP(D1394,Roster!F:F,Roster!D:D,"",0))</f>
        <v>24</v>
      </c>
      <c r="M1394" s="317" t="str">
        <f t="array" ref="M1394">XLOOKUP(D1394,Roster!F:F,Roster!E:E)</f>
        <v>Voice</v>
      </c>
      <c r="N1394" s="317" t="str">
        <f t="shared" ref="N1394:P1394" si="1416">LEFT(H1394,5)</f>
        <v/>
      </c>
      <c r="O1394" s="317" t="str">
        <f t="shared" si="1416"/>
        <v/>
      </c>
      <c r="P1394" s="317" t="str">
        <f t="shared" si="1416"/>
        <v/>
      </c>
      <c r="Q1394" s="318" t="str">
        <f t="shared" si="1374"/>
        <v/>
      </c>
      <c r="R1394" s="318" t="str">
        <f t="shared" si="1233"/>
        <v/>
      </c>
      <c r="S1394" s="318" t="str">
        <f t="shared" si="8"/>
        <v/>
      </c>
    </row>
    <row r="1395">
      <c r="A1395" s="14" t="str">
        <f t="shared" si="1"/>
        <v>C110846123</v>
      </c>
      <c r="B1395" s="185" t="str">
        <f t="array" ref="B1395">IF(F1395="VL","",IF(F1395="Free","Free",XLOOKUP(D1395,Roster!T:T,Roster!S:S,"",0)))</f>
        <v/>
      </c>
      <c r="C1395" s="313">
        <v>46123.0</v>
      </c>
      <c r="D1395" s="314" t="s">
        <v>187</v>
      </c>
      <c r="E1395" s="307" t="str">
        <f t="array" ref="E1395">(XLOOKUP(D1395,Roster!F:F,Roster!B:B,"",0))</f>
        <v>Yeiner Tapias</v>
      </c>
      <c r="F1395" s="315" t="str">
        <f t="array" ref="F1395">IF(B1395=100,"Free",TEXT(XLOOKUP($D1395,OperationVoice!$A:$A,OperationVoice!Q:Q,XLOOKUP($D1395,OperationTickets!$A:$A,OperationTickets!Q:Q,"",0)),"hh:mm"))</f>
        <v>08:00</v>
      </c>
      <c r="G1395" s="309">
        <f t="shared" si="3"/>
        <v>0.7083333333</v>
      </c>
      <c r="H1395" s="316">
        <f t="array" ref="H1395">XLOOKUP(B1395,Roster!L:L,Roster!N:N,XLOOKUP(D1395,TicketsBreak!A:A,TicketsBreak!E:E,"",0),0)</f>
        <v>0.3958333333</v>
      </c>
      <c r="I1395" s="316">
        <f t="array" ref="I1395">XLOOKUP(B1395,Roster!L:L,Roster!O:O,XLOOKUP(D1395,TicketsBreak!A:A,TicketsBreak!F:F,"",0),0)</f>
        <v>0.5208333333</v>
      </c>
      <c r="J1395" s="316">
        <f t="array" ref="J1395">XLOOKUP(B1395,Roster!L:L,Roster!P:P,XLOOKUP(D1395,TicketsBreak!A:A,TicketsBreak!G:G,"",0),0)</f>
        <v>0.6145833333</v>
      </c>
      <c r="K1395" s="310">
        <f t="shared" si="4"/>
        <v>46123</v>
      </c>
      <c r="L1395" s="317">
        <f t="array" ref="L1395">(XLOOKUP(D1395,Roster!F:F,Roster!D:D,"",0))</f>
        <v>20</v>
      </c>
      <c r="M1395" s="317" t="str">
        <f t="array" ref="M1395">XLOOKUP(D1395,Roster!F:F,Roster!E:E)</f>
        <v>Tickets</v>
      </c>
      <c r="N1395" s="317" t="str">
        <f t="shared" ref="N1395:P1395" si="1417">LEFT(H1395,5)</f>
        <v>09:30</v>
      </c>
      <c r="O1395" s="317" t="str">
        <f t="shared" si="1417"/>
        <v>12:30</v>
      </c>
      <c r="P1395" s="317" t="str">
        <f t="shared" si="1417"/>
        <v>14:45</v>
      </c>
      <c r="Q1395" s="318">
        <f t="shared" si="1374"/>
        <v>46123.39583</v>
      </c>
      <c r="R1395" s="318">
        <f t="shared" si="1233"/>
        <v>46123.52083</v>
      </c>
      <c r="S1395" s="318">
        <f t="shared" si="8"/>
        <v>46123.61458</v>
      </c>
    </row>
    <row r="1396">
      <c r="A1396" s="14" t="str">
        <f t="shared" si="1"/>
        <v>C153946123</v>
      </c>
      <c r="B1396" s="185">
        <f t="array" ref="B1396">IF(F1396="VL","",IF(F1396="Free","Free",XLOOKUP(D1396,Roster!T:T,Roster!S:S,"",0)))</f>
        <v>123</v>
      </c>
      <c r="C1396" s="313">
        <v>46123.0</v>
      </c>
      <c r="D1396" s="314" t="s">
        <v>85</v>
      </c>
      <c r="E1396" s="307" t="str">
        <f t="array" ref="E1396">(XLOOKUP(D1396,Roster!F:F,Roster!B:B,"",0))</f>
        <v>Yovanny Ceballos</v>
      </c>
      <c r="F1396" s="315" t="str">
        <f t="array" ref="F1396">IF(B1396=100,"Free",TEXT(XLOOKUP($D1396,OperationVoice!$A:$A,OperationVoice!Q:Q,XLOOKUP($D1396,OperationTickets!$A:$A,OperationTickets!Q:Q,"",0)),"hh:mm"))</f>
        <v/>
      </c>
      <c r="G1396" s="309" t="str">
        <f t="shared" si="3"/>
        <v/>
      </c>
      <c r="H1396" s="316" t="str">
        <f t="array" ref="H1396">XLOOKUP(B1396,Roster!L:L,Roster!N:N,XLOOKUP(D1396,TicketsBreak!A:A,TicketsBreak!E:E,"",0),0)</f>
        <v>09:45 - 10:00 </v>
      </c>
      <c r="I1396" s="316" t="str">
        <f t="array" ref="I1396">XLOOKUP(B1396,Roster!L:L,Roster!O:O,XLOOKUP(D1396,TicketsBreak!A:A,TicketsBreak!F:F,"",0),0)</f>
        <v>12:30 - 13:00</v>
      </c>
      <c r="J1396" s="316" t="str">
        <f t="array" ref="J1396">XLOOKUP(B1396,Roster!L:L,Roster!P:P,XLOOKUP(D1396,TicketsBreak!A:A,TicketsBreak!G:G,"",0),0)</f>
        <v>15:00 - 15:15</v>
      </c>
      <c r="K1396" s="310">
        <f t="shared" si="4"/>
        <v>46123</v>
      </c>
      <c r="L1396" s="317">
        <f t="array" ref="L1396">(XLOOKUP(D1396,Roster!F:F,Roster!D:D,"",0))</f>
        <v>36</v>
      </c>
      <c r="M1396" s="317" t="str">
        <f t="array" ref="M1396">XLOOKUP(D1396,Roster!F:F,Roster!E:E)</f>
        <v>Voice</v>
      </c>
      <c r="N1396" s="317" t="str">
        <f t="shared" ref="N1396:P1396" si="1418">LEFT(H1396,5)</f>
        <v>09:45</v>
      </c>
      <c r="O1396" s="317" t="str">
        <f t="shared" si="1418"/>
        <v>12:30</v>
      </c>
      <c r="P1396" s="317" t="str">
        <f t="shared" si="1418"/>
        <v>15:00</v>
      </c>
      <c r="Q1396" s="318">
        <f t="shared" si="1374"/>
        <v>46123.40625</v>
      </c>
      <c r="R1396" s="318">
        <f t="shared" si="1233"/>
        <v>46123.52083</v>
      </c>
      <c r="S1396" s="318">
        <f t="shared" si="8"/>
        <v>46123.625</v>
      </c>
    </row>
    <row r="1397">
      <c r="A1397" s="14" t="str">
        <f t="shared" si="1"/>
        <v>46123</v>
      </c>
      <c r="B1397" s="185" t="str">
        <f t="array" ref="B1397">IF(F1397="VL","",IF(F1397="Free","Free",XLOOKUP(D1397,Roster!T:T,Roster!S:S,"",0)))</f>
        <v/>
      </c>
      <c r="C1397" s="313">
        <v>46123.0</v>
      </c>
      <c r="D1397" s="314"/>
      <c r="E1397" s="307" t="str">
        <f t="array" ref="E1397">(XLOOKUP(D1397,Roster!F:F,Roster!B:B,"",0))</f>
        <v/>
      </c>
      <c r="F1397" s="315" t="str">
        <f t="array" ref="F1397">IF(B1397=100,"Free",TEXT(XLOOKUP($D1397,OperationVoice!$A:$A,OperationVoice!Q:Q,XLOOKUP($D1397,OperationTickets!$A:$A,OperationTickets!Q:Q,"",0)),"hh:mm"))</f>
        <v/>
      </c>
      <c r="G1397" s="309" t="str">
        <f t="shared" si="3"/>
        <v/>
      </c>
      <c r="H1397" s="316" t="str">
        <f t="array" ref="H1397">XLOOKUP(B1397,Roster!L:L,Roster!N:N,XLOOKUP(D1397,TicketsBreak!A:A,TicketsBreak!E:E,"",0),0)</f>
        <v/>
      </c>
      <c r="I1397" s="316" t="str">
        <f t="array" ref="I1397">XLOOKUP(B1397,Roster!L:L,Roster!O:O,XLOOKUP(D1397,TicketsBreak!A:A,TicketsBreak!F:F,"",0),0)</f>
        <v/>
      </c>
      <c r="J1397" s="316" t="str">
        <f t="array" ref="J1397">XLOOKUP(B1397,Roster!L:L,Roster!P:P,XLOOKUP(D1397,TicketsBreak!A:A,TicketsBreak!G:G,"",0),0)</f>
        <v/>
      </c>
      <c r="K1397" s="310">
        <f t="shared" si="4"/>
        <v>46123</v>
      </c>
      <c r="L1397" s="317" t="str">
        <f t="array" ref="L1397">(XLOOKUP(D1397,Roster!F:F,Roster!D:D,"",0))</f>
        <v/>
      </c>
      <c r="M1397" s="317" t="str">
        <f t="array" ref="M1397">XLOOKUP(D1397,Roster!F:F,Roster!E:E)</f>
        <v>#N/A</v>
      </c>
      <c r="N1397" s="317" t="str">
        <f t="shared" ref="N1397:P1397" si="1419">LEFT(H1397,5)</f>
        <v/>
      </c>
      <c r="O1397" s="317" t="str">
        <f t="shared" si="1419"/>
        <v/>
      </c>
      <c r="P1397" s="317" t="str">
        <f t="shared" si="1419"/>
        <v/>
      </c>
      <c r="Q1397" s="318" t="str">
        <f t="shared" si="1374"/>
        <v/>
      </c>
      <c r="R1397" s="318" t="str">
        <f t="shared" si="1233"/>
        <v/>
      </c>
      <c r="S1397" s="318" t="str">
        <f t="shared" si="8"/>
        <v/>
      </c>
    </row>
    <row r="1398">
      <c r="A1398" s="14" t="str">
        <f t="shared" si="1"/>
        <v>46123</v>
      </c>
      <c r="B1398" s="185" t="str">
        <f t="array" ref="B1398">IF(F1398="VL","",IF(F1398="Free","Free",XLOOKUP(D1398,Roster!T:T,Roster!S:S,"",0)))</f>
        <v/>
      </c>
      <c r="C1398" s="313">
        <v>46123.0</v>
      </c>
      <c r="D1398" s="314"/>
      <c r="E1398" s="307" t="str">
        <f t="array" ref="E1398">(XLOOKUP(D1398,Roster!F:F,Roster!B:B,"",0))</f>
        <v/>
      </c>
      <c r="F1398" s="315" t="str">
        <f t="array" ref="F1398">IF(B1398=100,"Free",TEXT(XLOOKUP($D1398,OperationVoice!$A:$A,OperationVoice!Q:Q,XLOOKUP($D1398,OperationTickets!$A:$A,OperationTickets!Q:Q,"",0)),"hh:mm"))</f>
        <v/>
      </c>
      <c r="G1398" s="309" t="str">
        <f t="shared" si="3"/>
        <v/>
      </c>
      <c r="H1398" s="316" t="str">
        <f t="array" ref="H1398">XLOOKUP(B1398,Roster!L:L,Roster!N:N,XLOOKUP(D1398,TicketsBreak!A:A,TicketsBreak!E:E,"",0),0)</f>
        <v/>
      </c>
      <c r="I1398" s="316" t="str">
        <f t="array" ref="I1398">XLOOKUP(B1398,Roster!L:L,Roster!O:O,XLOOKUP(D1398,TicketsBreak!A:A,TicketsBreak!F:F,"",0),0)</f>
        <v/>
      </c>
      <c r="J1398" s="316" t="str">
        <f t="array" ref="J1398">XLOOKUP(B1398,Roster!L:L,Roster!P:P,XLOOKUP(D1398,TicketsBreak!A:A,TicketsBreak!G:G,"",0),0)</f>
        <v/>
      </c>
      <c r="K1398" s="310">
        <f t="shared" si="4"/>
        <v>46123</v>
      </c>
      <c r="L1398" s="317" t="str">
        <f t="array" ref="L1398">(XLOOKUP(D1398,Roster!F:F,Roster!D:D,"",0))</f>
        <v/>
      </c>
      <c r="M1398" s="317" t="str">
        <f t="array" ref="M1398">XLOOKUP(D1398,Roster!F:F,Roster!E:E)</f>
        <v>#N/A</v>
      </c>
      <c r="N1398" s="317" t="str">
        <f t="shared" ref="N1398:P1398" si="1420">LEFT(H1398,5)</f>
        <v/>
      </c>
      <c r="O1398" s="317" t="str">
        <f t="shared" si="1420"/>
        <v/>
      </c>
      <c r="P1398" s="317" t="str">
        <f t="shared" si="1420"/>
        <v/>
      </c>
      <c r="Q1398" s="318" t="str">
        <f t="shared" si="1374"/>
        <v/>
      </c>
      <c r="R1398" s="318" t="str">
        <f t="shared" si="1233"/>
        <v/>
      </c>
      <c r="S1398" s="318" t="str">
        <f t="shared" si="8"/>
        <v/>
      </c>
    </row>
    <row r="1399">
      <c r="A1399" s="14" t="str">
        <f t="shared" si="1"/>
        <v>46123</v>
      </c>
      <c r="B1399" s="185" t="str">
        <f t="array" ref="B1399">IF(F1399="VL","",IF(F1399="Free","Free",XLOOKUP(D1399,Roster!T:T,Roster!S:S,"",0)))</f>
        <v/>
      </c>
      <c r="C1399" s="313">
        <v>46123.0</v>
      </c>
      <c r="D1399" s="314"/>
      <c r="E1399" s="307" t="str">
        <f t="array" ref="E1399">(XLOOKUP(D1399,Roster!F:F,Roster!B:B,"",0))</f>
        <v/>
      </c>
      <c r="F1399" s="315" t="str">
        <f t="array" ref="F1399">IF(B1399=100,"Free",TEXT(XLOOKUP($D1399,OperationVoice!$A:$A,OperationVoice!Q:Q,XLOOKUP($D1399,OperationTickets!$A:$A,OperationTickets!Q:Q,"",0)),"hh:mm"))</f>
        <v/>
      </c>
      <c r="G1399" s="309" t="str">
        <f t="shared" si="3"/>
        <v/>
      </c>
      <c r="H1399" s="316" t="str">
        <f t="array" ref="H1399">XLOOKUP(B1399,Roster!L:L,Roster!N:N,XLOOKUP(D1399,TicketsBreak!A:A,TicketsBreak!E:E,"",0),0)</f>
        <v/>
      </c>
      <c r="I1399" s="316" t="str">
        <f t="array" ref="I1399">XLOOKUP(B1399,Roster!L:L,Roster!O:O,XLOOKUP(D1399,TicketsBreak!A:A,TicketsBreak!F:F,"",0),0)</f>
        <v/>
      </c>
      <c r="J1399" s="316" t="str">
        <f t="array" ref="J1399">XLOOKUP(B1399,Roster!L:L,Roster!P:P,XLOOKUP(D1399,TicketsBreak!A:A,TicketsBreak!G:G,"",0),0)</f>
        <v/>
      </c>
      <c r="K1399" s="310">
        <f t="shared" si="4"/>
        <v>46123</v>
      </c>
      <c r="L1399" s="317" t="str">
        <f t="array" ref="L1399">(XLOOKUP(D1399,Roster!F:F,Roster!D:D,"",0))</f>
        <v/>
      </c>
      <c r="M1399" s="317" t="str">
        <f t="array" ref="M1399">XLOOKUP(D1399,Roster!F:F,Roster!E:E)</f>
        <v>#N/A</v>
      </c>
      <c r="N1399" s="317" t="str">
        <f t="shared" ref="N1399:P1399" si="1421">LEFT(H1399,5)</f>
        <v/>
      </c>
      <c r="O1399" s="317" t="str">
        <f t="shared" si="1421"/>
        <v/>
      </c>
      <c r="P1399" s="317" t="str">
        <f t="shared" si="1421"/>
        <v/>
      </c>
      <c r="Q1399" s="318" t="str">
        <f t="shared" si="1374"/>
        <v/>
      </c>
      <c r="R1399" s="318" t="str">
        <f t="shared" si="1233"/>
        <v/>
      </c>
      <c r="S1399" s="318" t="str">
        <f t="shared" si="8"/>
        <v/>
      </c>
    </row>
    <row r="1400">
      <c r="A1400" s="14" t="str">
        <f t="shared" si="1"/>
        <v>46123</v>
      </c>
      <c r="B1400" s="185" t="str">
        <f t="array" ref="B1400">IF(F1400="VL","",IF(F1400="Free","Free",XLOOKUP(D1400,Roster!T:T,Roster!S:S,"",0)))</f>
        <v/>
      </c>
      <c r="C1400" s="313">
        <v>46123.0</v>
      </c>
      <c r="D1400" s="314"/>
      <c r="E1400" s="307" t="str">
        <f t="array" ref="E1400">(XLOOKUP(D1400,Roster!F:F,Roster!B:B,"",0))</f>
        <v/>
      </c>
      <c r="F1400" s="315" t="str">
        <f t="array" ref="F1400">IF(B1400=100,"Free",TEXT(XLOOKUP($D1400,OperationVoice!$A:$A,OperationVoice!Q:Q,XLOOKUP($D1400,OperationTickets!$A:$A,OperationTickets!Q:Q,"",0)),"hh:mm"))</f>
        <v/>
      </c>
      <c r="G1400" s="309" t="str">
        <f t="shared" si="3"/>
        <v/>
      </c>
      <c r="H1400" s="316" t="str">
        <f t="array" ref="H1400">XLOOKUP(B1400,Roster!L:L,Roster!N:N,XLOOKUP(D1400,TicketsBreak!A:A,TicketsBreak!E:E,"",0),0)</f>
        <v/>
      </c>
      <c r="I1400" s="316" t="str">
        <f t="array" ref="I1400">XLOOKUP(B1400,Roster!L:L,Roster!O:O,XLOOKUP(D1400,TicketsBreak!A:A,TicketsBreak!F:F,"",0),0)</f>
        <v/>
      </c>
      <c r="J1400" s="316" t="str">
        <f t="array" ref="J1400">XLOOKUP(B1400,Roster!L:L,Roster!P:P,XLOOKUP(D1400,TicketsBreak!A:A,TicketsBreak!G:G,"",0),0)</f>
        <v/>
      </c>
      <c r="K1400" s="310">
        <f t="shared" si="4"/>
        <v>46123</v>
      </c>
      <c r="L1400" s="317" t="str">
        <f t="array" ref="L1400">(XLOOKUP(D1400,Roster!F:F,Roster!D:D,"",0))</f>
        <v/>
      </c>
      <c r="M1400" s="317" t="str">
        <f t="array" ref="M1400">XLOOKUP(D1400,Roster!F:F,Roster!E:E)</f>
        <v>#N/A</v>
      </c>
      <c r="N1400" s="317" t="str">
        <f t="shared" ref="N1400:P1400" si="1422">LEFT(H1400,5)</f>
        <v/>
      </c>
      <c r="O1400" s="317" t="str">
        <f t="shared" si="1422"/>
        <v/>
      </c>
      <c r="P1400" s="317" t="str">
        <f t="shared" si="1422"/>
        <v/>
      </c>
      <c r="Q1400" s="318" t="str">
        <f t="shared" si="1374"/>
        <v/>
      </c>
      <c r="R1400" s="318" t="str">
        <f t="shared" si="1233"/>
        <v/>
      </c>
      <c r="S1400" s="318" t="str">
        <f t="shared" si="8"/>
        <v/>
      </c>
    </row>
    <row r="1401">
      <c r="A1401" s="14" t="str">
        <f t="shared" si="1"/>
        <v>46123</v>
      </c>
      <c r="B1401" s="185" t="str">
        <f t="array" ref="B1401">IF(F1401="VL","",IF(F1401="Free","Free",XLOOKUP(D1401,Roster!T:T,Roster!S:S,"",0)))</f>
        <v/>
      </c>
      <c r="C1401" s="313">
        <v>46123.0</v>
      </c>
      <c r="D1401" s="314"/>
      <c r="E1401" s="307" t="str">
        <f t="array" ref="E1401">(XLOOKUP(D1401,Roster!F:F,Roster!B:B,"",0))</f>
        <v/>
      </c>
      <c r="F1401" s="315" t="str">
        <f t="array" ref="F1401">IF(B1401=100,"Free",TEXT(XLOOKUP($D1401,OperationVoice!$A:$A,OperationVoice!Q:Q,XLOOKUP($D1401,OperationTickets!$A:$A,OperationTickets!Q:Q,"",0)),"hh:mm"))</f>
        <v/>
      </c>
      <c r="G1401" s="309" t="str">
        <f t="shared" si="3"/>
        <v/>
      </c>
      <c r="H1401" s="316" t="str">
        <f t="array" ref="H1401">XLOOKUP(B1401,Roster!L:L,Roster!N:N,XLOOKUP(D1401,TicketsBreak!A:A,TicketsBreak!E:E,"",0),0)</f>
        <v/>
      </c>
      <c r="I1401" s="316" t="str">
        <f t="array" ref="I1401">XLOOKUP(B1401,Roster!L:L,Roster!O:O,XLOOKUP(D1401,TicketsBreak!A:A,TicketsBreak!F:F,"",0),0)</f>
        <v/>
      </c>
      <c r="J1401" s="316" t="str">
        <f t="array" ref="J1401">XLOOKUP(B1401,Roster!L:L,Roster!P:P,XLOOKUP(D1401,TicketsBreak!A:A,TicketsBreak!G:G,"",0),0)</f>
        <v/>
      </c>
      <c r="K1401" s="310">
        <f t="shared" si="4"/>
        <v>46123</v>
      </c>
      <c r="L1401" s="317" t="str">
        <f t="array" ref="L1401">(XLOOKUP(D1401,Roster!F:F,Roster!D:D,"",0))</f>
        <v/>
      </c>
      <c r="M1401" s="317" t="str">
        <f t="array" ref="M1401">XLOOKUP(D1401,Roster!F:F,Roster!E:E)</f>
        <v>#N/A</v>
      </c>
      <c r="N1401" s="317" t="str">
        <f t="shared" ref="N1401:P1401" si="1423">LEFT(H1401,5)</f>
        <v/>
      </c>
      <c r="O1401" s="317" t="str">
        <f t="shared" si="1423"/>
        <v/>
      </c>
      <c r="P1401" s="317" t="str">
        <f t="shared" si="1423"/>
        <v/>
      </c>
      <c r="Q1401" s="318" t="str">
        <f t="shared" si="1374"/>
        <v/>
      </c>
      <c r="R1401" s="318" t="str">
        <f t="shared" si="1233"/>
        <v/>
      </c>
      <c r="S1401" s="318" t="str">
        <f t="shared" si="8"/>
        <v/>
      </c>
    </row>
    <row r="1402">
      <c r="A1402" s="14" t="str">
        <f t="shared" si="1"/>
        <v>C81846125</v>
      </c>
      <c r="B1402" s="185">
        <f t="array" ref="B1402">IF(F1402="VL","",IF(F1402="Free","Free",XLOOKUP(D1402,Roster!T:T,Roster!S:S,"",0)))</f>
        <v>123</v>
      </c>
      <c r="C1402" s="313">
        <v>46125.0</v>
      </c>
      <c r="D1402" s="314" t="s">
        <v>9</v>
      </c>
      <c r="E1402" s="307" t="str">
        <f t="array" ref="E1402">(XLOOKUP(D1402,Roster!F:F,Roster!B:B,"",0))</f>
        <v>Adriana Moncaleano</v>
      </c>
      <c r="F1402" s="315" t="str">
        <f t="array" ref="F1402">IF(B1402=100,"Free",TEXT(XLOOKUP($D1402,OperationVoice!$A:$A,OperationVoice!S:S,XLOOKUP($D1402,OperationTickets!$A:$A,OperationTickets!S:S,"",0)),"hh:mm"))</f>
        <v>08:00</v>
      </c>
      <c r="G1402" s="309">
        <f t="shared" si="3"/>
        <v>0.7083333333</v>
      </c>
      <c r="H1402" s="316" t="str">
        <f t="array" ref="H1402">XLOOKUP(B1402,Roster!L:L,Roster!N:N,XLOOKUP(D1402,TicketsBreak!A:A,TicketsBreak!E:E,"",0),0)</f>
        <v>09:45 - 10:00 </v>
      </c>
      <c r="I1402" s="316" t="str">
        <f t="array" ref="I1402">XLOOKUP(B1402,Roster!L:L,Roster!O:O,XLOOKUP(D1402,TicketsBreak!A:A,TicketsBreak!F:F,"",0),0)</f>
        <v>12:30 - 13:00</v>
      </c>
      <c r="J1402" s="316" t="str">
        <f t="array" ref="J1402">XLOOKUP(B1402,Roster!L:L,Roster!P:P,XLOOKUP(D1402,TicketsBreak!A:A,TicketsBreak!G:G,"",0),0)</f>
        <v>15:00 - 15:15</v>
      </c>
      <c r="K1402" s="310">
        <f t="shared" si="4"/>
        <v>46125</v>
      </c>
      <c r="L1402" s="317">
        <f t="array" ref="L1402">(XLOOKUP(D1402,Roster!F:F,Roster!D:D,"",0))</f>
        <v>23</v>
      </c>
      <c r="M1402" s="317" t="str">
        <f t="array" ref="M1402">XLOOKUP(D1402,Roster!F:F,Roster!E:E)</f>
        <v>Voice</v>
      </c>
      <c r="N1402" s="317" t="str">
        <f t="shared" ref="N1402:P1402" si="1424">LEFT(H1402,5)</f>
        <v>09:45</v>
      </c>
      <c r="O1402" s="317" t="str">
        <f t="shared" si="1424"/>
        <v>12:30</v>
      </c>
      <c r="P1402" s="317" t="str">
        <f t="shared" si="1424"/>
        <v>15:00</v>
      </c>
      <c r="Q1402" s="318">
        <f t="shared" si="1374"/>
        <v>46125.40625</v>
      </c>
      <c r="R1402" s="318">
        <f t="shared" si="1233"/>
        <v>46125.52083</v>
      </c>
      <c r="S1402" s="318">
        <f t="shared" si="8"/>
        <v>46125.625</v>
      </c>
    </row>
    <row r="1403">
      <c r="A1403" s="14" t="str">
        <f t="shared" si="1"/>
        <v>C110746125</v>
      </c>
      <c r="B1403" s="185">
        <f t="array" ref="B1403">IF(F1403="VL","",IF(F1403="Free","Free",XLOOKUP(D1403,Roster!T:T,Roster!S:S,"",0)))</f>
        <v>153</v>
      </c>
      <c r="C1403" s="313">
        <v>46125.0</v>
      </c>
      <c r="D1403" s="314" t="s">
        <v>10</v>
      </c>
      <c r="E1403" s="307" t="str">
        <f t="array" ref="E1403">(XLOOKUP(D1403,Roster!F:F,Roster!B:B,"",0))</f>
        <v>Alejandro Malave</v>
      </c>
      <c r="F1403" s="315" t="str">
        <f t="array" ref="F1403">IF(B1403=100,"Free",TEXT(XLOOKUP($D1403,OperationVoice!$A:$A,OperationVoice!S:S,XLOOKUP($D1403,OperationTickets!$A:$A,OperationTickets!S:S,"",0)),"hh:mm"))</f>
        <v>11:00</v>
      </c>
      <c r="G1403" s="309">
        <f t="shared" si="3"/>
        <v>0.8333333333</v>
      </c>
      <c r="H1403" s="316" t="str">
        <f t="array" ref="H1403">XLOOKUP(B1403,Roster!L:L,Roster!N:N,XLOOKUP(D1403,TicketsBreak!A:A,TicketsBreak!E:E,"",0),0)</f>
        <v>12:45 - 13:00</v>
      </c>
      <c r="I1403" s="316" t="str">
        <f t="array" ref="I1403">XLOOKUP(B1403,Roster!L:L,Roster!O:O,XLOOKUP(D1403,TicketsBreak!A:A,TicketsBreak!F:F,"",0),0)</f>
        <v>15:00 - 15:30</v>
      </c>
      <c r="J1403" s="316" t="str">
        <f t="array" ref="J1403">XLOOKUP(B1403,Roster!L:L,Roster!P:P,XLOOKUP(D1403,TicketsBreak!A:A,TicketsBreak!G:G,"",0),0)</f>
        <v>17:45 - 18:00</v>
      </c>
      <c r="K1403" s="310">
        <f t="shared" si="4"/>
        <v>46125</v>
      </c>
      <c r="L1403" s="317">
        <f t="array" ref="L1403">(XLOOKUP(D1403,Roster!F:F,Roster!D:D,"",0))</f>
        <v>36</v>
      </c>
      <c r="M1403" s="317" t="str">
        <f t="array" ref="M1403">XLOOKUP(D1403,Roster!F:F,Roster!E:E)</f>
        <v>Voice</v>
      </c>
      <c r="N1403" s="317" t="str">
        <f t="shared" ref="N1403:P1403" si="1425">LEFT(H1403,5)</f>
        <v>12:45</v>
      </c>
      <c r="O1403" s="317" t="str">
        <f t="shared" si="1425"/>
        <v>15:00</v>
      </c>
      <c r="P1403" s="317" t="str">
        <f t="shared" si="1425"/>
        <v>17:45</v>
      </c>
      <c r="Q1403" s="318">
        <f t="shared" si="1374"/>
        <v>46125.53125</v>
      </c>
      <c r="R1403" s="318">
        <f t="shared" si="1233"/>
        <v>46125.625</v>
      </c>
      <c r="S1403" s="318">
        <f t="shared" si="8"/>
        <v>46125.73958</v>
      </c>
    </row>
    <row r="1404">
      <c r="A1404" s="14" t="str">
        <f t="shared" si="1"/>
        <v>C69946125</v>
      </c>
      <c r="B1404" s="185" t="str">
        <f t="array" ref="B1404">IF(F1404="VL","",IF(F1404="Free","Free",XLOOKUP(D1404,Roster!T:T,Roster!S:S,"",0)))</f>
        <v/>
      </c>
      <c r="C1404" s="313">
        <v>46125.0</v>
      </c>
      <c r="D1404" s="314" t="s">
        <v>137</v>
      </c>
      <c r="E1404" s="307" t="str">
        <f t="array" ref="E1404">(XLOOKUP(D1404,Roster!F:F,Roster!B:B,"",0))</f>
        <v>Alexa Arenas</v>
      </c>
      <c r="F1404" s="315" t="str">
        <f t="array" ref="F1404">IF(B1404=100,"Free",TEXT(XLOOKUP($D1404,OperationVoice!$A:$A,OperationVoice!S:S,XLOOKUP($D1404,OperationTickets!$A:$A,OperationTickets!S:S,"",0)),"hh:mm"))</f>
        <v>08:00</v>
      </c>
      <c r="G1404" s="309">
        <f t="shared" si="3"/>
        <v>0.7083333333</v>
      </c>
      <c r="H1404" s="316">
        <f t="array" ref="H1404">XLOOKUP(B1404,Roster!L:L,Roster!N:N,XLOOKUP(D1404,TicketsBreak!A:A,TicketsBreak!E:E,"",0),0)</f>
        <v>0.40625</v>
      </c>
      <c r="I1404" s="316">
        <f t="array" ref="I1404">XLOOKUP(B1404,Roster!L:L,Roster!O:O,XLOOKUP(D1404,TicketsBreak!A:A,TicketsBreak!F:F,"",0),0)</f>
        <v>0.5</v>
      </c>
      <c r="J1404" s="316">
        <f t="array" ref="J1404">XLOOKUP(B1404,Roster!L:L,Roster!P:P,XLOOKUP(D1404,TicketsBreak!A:A,TicketsBreak!G:G,"",0),0)</f>
        <v>0.65625</v>
      </c>
      <c r="K1404" s="310">
        <f t="shared" si="4"/>
        <v>46125</v>
      </c>
      <c r="L1404" s="317">
        <f t="array" ref="L1404">(XLOOKUP(D1404,Roster!F:F,Roster!D:D,"",0))</f>
        <v>5</v>
      </c>
      <c r="M1404" s="317" t="str">
        <f t="array" ref="M1404">XLOOKUP(D1404,Roster!F:F,Roster!E:E)</f>
        <v>Tickets</v>
      </c>
      <c r="N1404" s="317" t="str">
        <f t="shared" ref="N1404:P1404" si="1426">LEFT(H1404,5)</f>
        <v>09:45</v>
      </c>
      <c r="O1404" s="317" t="str">
        <f t="shared" si="1426"/>
        <v>12:00</v>
      </c>
      <c r="P1404" s="317" t="str">
        <f t="shared" si="1426"/>
        <v>15:45</v>
      </c>
      <c r="Q1404" s="318">
        <f t="shared" si="1374"/>
        <v>46125.40625</v>
      </c>
      <c r="R1404" s="318">
        <f t="shared" si="1233"/>
        <v>46125.5</v>
      </c>
      <c r="S1404" s="318">
        <f t="shared" si="8"/>
        <v>46125.65625</v>
      </c>
    </row>
    <row r="1405">
      <c r="A1405" s="14" t="str">
        <f t="shared" si="1"/>
        <v>C157046125</v>
      </c>
      <c r="B1405" s="185">
        <f t="array" ref="B1405">IF(F1405="VL","",IF(F1405="Free","Free",XLOOKUP(D1405,Roster!T:T,Roster!S:S,"",0)))</f>
        <v>123</v>
      </c>
      <c r="C1405" s="313">
        <v>46125.0</v>
      </c>
      <c r="D1405" s="314" t="s">
        <v>11</v>
      </c>
      <c r="E1405" s="307" t="str">
        <f t="array" ref="E1405">(XLOOKUP(D1405,Roster!F:F,Roster!B:B,"",0))</f>
        <v>Alexander Bartoli</v>
      </c>
      <c r="F1405" s="315" t="str">
        <f t="array" ref="F1405">IF(B1405=100,"Free",TEXT(XLOOKUP($D1405,OperationVoice!$A:$A,OperationVoice!S:S,XLOOKUP($D1405,OperationTickets!$A:$A,OperationTickets!S:S,"",0)),"hh:mm"))</f>
        <v>08:00</v>
      </c>
      <c r="G1405" s="309">
        <f t="shared" si="3"/>
        <v>0.7083333333</v>
      </c>
      <c r="H1405" s="316" t="str">
        <f t="array" ref="H1405">XLOOKUP(B1405,Roster!L:L,Roster!N:N,XLOOKUP(D1405,TicketsBreak!A:A,TicketsBreak!E:E,"",0),0)</f>
        <v>09:45 - 10:00 </v>
      </c>
      <c r="I1405" s="316" t="str">
        <f t="array" ref="I1405">XLOOKUP(B1405,Roster!L:L,Roster!O:O,XLOOKUP(D1405,TicketsBreak!A:A,TicketsBreak!F:F,"",0),0)</f>
        <v>12:30 - 13:00</v>
      </c>
      <c r="J1405" s="316" t="str">
        <f t="array" ref="J1405">XLOOKUP(B1405,Roster!L:L,Roster!P:P,XLOOKUP(D1405,TicketsBreak!A:A,TicketsBreak!G:G,"",0),0)</f>
        <v>15:00 - 15:15</v>
      </c>
      <c r="K1405" s="310">
        <f t="shared" si="4"/>
        <v>46125</v>
      </c>
      <c r="L1405" s="317">
        <f t="array" ref="L1405">(XLOOKUP(D1405,Roster!F:F,Roster!D:D,"",0))</f>
        <v>38</v>
      </c>
      <c r="M1405" s="317" t="str">
        <f t="array" ref="M1405">XLOOKUP(D1405,Roster!F:F,Roster!E:E)</f>
        <v>Voice</v>
      </c>
      <c r="N1405" s="317" t="str">
        <f t="shared" ref="N1405:P1405" si="1427">LEFT(H1405,5)</f>
        <v>09:45</v>
      </c>
      <c r="O1405" s="317" t="str">
        <f t="shared" si="1427"/>
        <v>12:30</v>
      </c>
      <c r="P1405" s="317" t="str">
        <f t="shared" si="1427"/>
        <v>15:00</v>
      </c>
      <c r="Q1405" s="318">
        <f t="shared" si="1374"/>
        <v>46125.40625</v>
      </c>
      <c r="R1405" s="318">
        <f t="shared" si="1233"/>
        <v>46125.52083</v>
      </c>
      <c r="S1405" s="318">
        <f t="shared" si="8"/>
        <v>46125.625</v>
      </c>
    </row>
    <row r="1406">
      <c r="A1406" s="14" t="str">
        <f t="shared" si="1"/>
        <v>C93546125</v>
      </c>
      <c r="B1406" s="185" t="str">
        <f t="array" ref="B1406">IF(F1406="VL","",IF(F1406="Free","Free",XLOOKUP(D1406,Roster!T:T,Roster!S:S,"",0)))</f>
        <v/>
      </c>
      <c r="C1406" s="313">
        <v>46125.0</v>
      </c>
      <c r="D1406" s="314" t="s">
        <v>153</v>
      </c>
      <c r="E1406" s="307" t="str">
        <f t="array" ref="E1406">(XLOOKUP(D1406,Roster!F:F,Roster!B:B,"",0))</f>
        <v>Alexis Arias</v>
      </c>
      <c r="F1406" s="315" t="str">
        <f t="array" ref="F1406">IF(B1406=100,"Free",TEXT(XLOOKUP($D1406,OperationVoice!$A:$A,OperationVoice!S:S,XLOOKUP($D1406,OperationTickets!$A:$A,OperationTickets!S:S,"",0)),"hh:mm"))</f>
        <v>07:30</v>
      </c>
      <c r="G1406" s="309">
        <f t="shared" si="3"/>
        <v>0.6875</v>
      </c>
      <c r="H1406" s="316">
        <f t="array" ref="H1406">XLOOKUP(B1406,Roster!L:L,Roster!N:N,XLOOKUP(D1406,TicketsBreak!A:A,TicketsBreak!E:E,"",0),0)</f>
        <v>0.4270833333</v>
      </c>
      <c r="I1406" s="316">
        <f t="array" ref="I1406">XLOOKUP(B1406,Roster!L:L,Roster!O:O,XLOOKUP(D1406,TicketsBreak!A:A,TicketsBreak!F:F,"",0),0)</f>
        <v>0.53125</v>
      </c>
      <c r="J1406" s="316">
        <f t="array" ref="J1406">XLOOKUP(B1406,Roster!L:L,Roster!P:P,XLOOKUP(D1406,TicketsBreak!A:A,TicketsBreak!G:G,"",0),0)</f>
        <v>0.6458333333</v>
      </c>
      <c r="K1406" s="310">
        <f t="shared" si="4"/>
        <v>46125</v>
      </c>
      <c r="L1406" s="317">
        <f t="array" ref="L1406">(XLOOKUP(D1406,Roster!F:F,Roster!D:D,"",0))</f>
        <v>12</v>
      </c>
      <c r="M1406" s="317" t="str">
        <f t="array" ref="M1406">XLOOKUP(D1406,Roster!F:F,Roster!E:E)</f>
        <v>Tickets</v>
      </c>
      <c r="N1406" s="317" t="str">
        <f t="shared" ref="N1406:P1406" si="1428">LEFT(H1406,5)</f>
        <v>10:15</v>
      </c>
      <c r="O1406" s="317" t="str">
        <f t="shared" si="1428"/>
        <v>12:45</v>
      </c>
      <c r="P1406" s="317" t="str">
        <f t="shared" si="1428"/>
        <v>15:30</v>
      </c>
      <c r="Q1406" s="318">
        <f t="shared" si="1374"/>
        <v>46125.42708</v>
      </c>
      <c r="R1406" s="318">
        <f t="shared" si="1233"/>
        <v>46125.53125</v>
      </c>
      <c r="S1406" s="318">
        <f t="shared" si="8"/>
        <v>46125.64583</v>
      </c>
    </row>
    <row r="1407">
      <c r="A1407" s="14" t="str">
        <f t="shared" si="1"/>
        <v>C72746125</v>
      </c>
      <c r="B1407" s="185" t="str">
        <f t="array" ref="B1407">IF(F1407="VL","",IF(F1407="Free","Free",XLOOKUP(D1407,Roster!T:T,Roster!S:S,"",0)))</f>
        <v/>
      </c>
      <c r="C1407" s="313">
        <v>46125.0</v>
      </c>
      <c r="D1407" s="314" t="s">
        <v>154</v>
      </c>
      <c r="E1407" s="307" t="str">
        <f t="array" ref="E1407">(XLOOKUP(D1407,Roster!F:F,Roster!B:B,"",0))</f>
        <v>Ana Moreno</v>
      </c>
      <c r="F1407" s="315" t="str">
        <f t="array" ref="F1407">IF(B1407=100,"Free",TEXT(XLOOKUP($D1407,OperationVoice!$A:$A,OperationVoice!S:S,XLOOKUP($D1407,OperationTickets!$A:$A,OperationTickets!S:S,"",0)),"hh:mm"))</f>
        <v>08:00</v>
      </c>
      <c r="G1407" s="309">
        <f t="shared" si="3"/>
        <v>0.7083333333</v>
      </c>
      <c r="H1407" s="316">
        <f t="array" ref="H1407">XLOOKUP(B1407,Roster!L:L,Roster!N:N,XLOOKUP(D1407,TicketsBreak!A:A,TicketsBreak!E:E,"",0),0)</f>
        <v>0.4166666667</v>
      </c>
      <c r="I1407" s="316">
        <f t="array" ref="I1407">XLOOKUP(B1407,Roster!L:L,Roster!O:O,XLOOKUP(D1407,TicketsBreak!A:A,TicketsBreak!F:F,"",0),0)</f>
        <v>0.5208333333</v>
      </c>
      <c r="J1407" s="316">
        <f t="array" ref="J1407">XLOOKUP(B1407,Roster!L:L,Roster!P:P,XLOOKUP(D1407,TicketsBreak!A:A,TicketsBreak!G:G,"",0),0)</f>
        <v>0.65625</v>
      </c>
      <c r="K1407" s="310">
        <f t="shared" si="4"/>
        <v>46125</v>
      </c>
      <c r="L1407" s="317">
        <f t="array" ref="L1407">(XLOOKUP(D1407,Roster!F:F,Roster!D:D,"",0))</f>
        <v>7</v>
      </c>
      <c r="M1407" s="317" t="str">
        <f t="array" ref="M1407">XLOOKUP(D1407,Roster!F:F,Roster!E:E)</f>
        <v>Tickets</v>
      </c>
      <c r="N1407" s="317" t="str">
        <f t="shared" ref="N1407:P1407" si="1429">LEFT(H1407,5)</f>
        <v>10:00</v>
      </c>
      <c r="O1407" s="317" t="str">
        <f t="shared" si="1429"/>
        <v>12:30</v>
      </c>
      <c r="P1407" s="317" t="str">
        <f t="shared" si="1429"/>
        <v>15:45</v>
      </c>
      <c r="Q1407" s="318">
        <f t="shared" si="1374"/>
        <v>46125.41667</v>
      </c>
      <c r="R1407" s="318">
        <f t="shared" si="1233"/>
        <v>46125.52083</v>
      </c>
      <c r="S1407" s="318">
        <f t="shared" si="8"/>
        <v>46125.65625</v>
      </c>
    </row>
    <row r="1408">
      <c r="A1408" s="14" t="str">
        <f t="shared" si="1"/>
        <v>C157446125</v>
      </c>
      <c r="B1408" s="185">
        <f t="array" ref="B1408">IF(F1408="VL","",IF(F1408="Free","Free",XLOOKUP(D1408,Roster!T:T,Roster!S:S,"",0)))</f>
        <v>124</v>
      </c>
      <c r="C1408" s="313">
        <v>46125.0</v>
      </c>
      <c r="D1408" s="314" t="s">
        <v>12</v>
      </c>
      <c r="E1408" s="307" t="str">
        <f t="array" ref="E1408">(XLOOKUP(D1408,Roster!F:F,Roster!B:B,"",0))</f>
        <v>Ana Quintero</v>
      </c>
      <c r="F1408" s="315" t="str">
        <f t="array" ref="F1408">IF(B1408=100,"Free",TEXT(XLOOKUP($D1408,OperationVoice!$A:$A,OperationVoice!S:S,XLOOKUP($D1408,OperationTickets!$A:$A,OperationTickets!S:S,"",0)),"hh:mm"))</f>
        <v>08:00</v>
      </c>
      <c r="G1408" s="309">
        <f t="shared" si="3"/>
        <v>0.7083333333</v>
      </c>
      <c r="H1408" s="316" t="str">
        <f t="array" ref="H1408">XLOOKUP(B1408,Roster!L:L,Roster!N:N,XLOOKUP(D1408,TicketsBreak!A:A,TicketsBreak!E:E,"",0),0)</f>
        <v>10:00 - 10:15</v>
      </c>
      <c r="I1408" s="316" t="str">
        <f t="array" ref="I1408">XLOOKUP(B1408,Roster!L:L,Roster!O:O,XLOOKUP(D1408,TicketsBreak!A:A,TicketsBreak!F:F,"",0),0)</f>
        <v>13:00 - 13:30</v>
      </c>
      <c r="J1408" s="316" t="str">
        <f t="array" ref="J1408">XLOOKUP(B1408,Roster!L:L,Roster!P:P,XLOOKUP(D1408,TicketsBreak!A:A,TicketsBreak!G:G,"",0),0)</f>
        <v>15:30 - 15:45</v>
      </c>
      <c r="K1408" s="310">
        <f t="shared" si="4"/>
        <v>46125</v>
      </c>
      <c r="L1408" s="317">
        <f t="array" ref="L1408">(XLOOKUP(D1408,Roster!F:F,Roster!D:D,"",0))</f>
        <v>38</v>
      </c>
      <c r="M1408" s="317" t="str">
        <f t="array" ref="M1408">XLOOKUP(D1408,Roster!F:F,Roster!E:E)</f>
        <v>Voice</v>
      </c>
      <c r="N1408" s="317" t="str">
        <f t="shared" ref="N1408:P1408" si="1430">LEFT(H1408,5)</f>
        <v>10:00</v>
      </c>
      <c r="O1408" s="317" t="str">
        <f t="shared" si="1430"/>
        <v>13:00</v>
      </c>
      <c r="P1408" s="317" t="str">
        <f t="shared" si="1430"/>
        <v>15:30</v>
      </c>
      <c r="Q1408" s="318">
        <f t="shared" si="1374"/>
        <v>46125.41667</v>
      </c>
      <c r="R1408" s="318">
        <f t="shared" si="1233"/>
        <v>46125.54167</v>
      </c>
      <c r="S1408" s="318">
        <f t="shared" si="8"/>
        <v>46125.64583</v>
      </c>
    </row>
    <row r="1409">
      <c r="A1409" s="14" t="str">
        <f t="shared" si="1"/>
        <v>C46946125</v>
      </c>
      <c r="B1409" s="185" t="str">
        <f t="array" ref="B1409">IF(F1409="VL","",IF(F1409="Free","Free",XLOOKUP(D1409,Roster!T:T,Roster!S:S,"",0)))</f>
        <v/>
      </c>
      <c r="C1409" s="313">
        <v>46125.0</v>
      </c>
      <c r="D1409" s="314" t="s">
        <v>171</v>
      </c>
      <c r="E1409" s="307" t="str">
        <f t="array" ref="E1409">(XLOOKUP(D1409,Roster!F:F,Roster!B:B,"",0))</f>
        <v>Ana Ruiz</v>
      </c>
      <c r="F1409" s="315" t="str">
        <f t="array" ref="F1409">IF(B1409=100,"Free",TEXT(XLOOKUP($D1409,OperationVoice!$A:$A,OperationVoice!S:S,XLOOKUP($D1409,OperationTickets!$A:$A,OperationTickets!S:S,"",0)),"hh:mm"))</f>
        <v>08:00</v>
      </c>
      <c r="G1409" s="309">
        <f t="shared" si="3"/>
        <v>0.7083333333</v>
      </c>
      <c r="H1409" s="316">
        <f t="array" ref="H1409">XLOOKUP(B1409,Roster!L:L,Roster!N:N,XLOOKUP(D1409,TicketsBreak!A:A,TicketsBreak!E:E,"",0),0)</f>
        <v>0.3854166667</v>
      </c>
      <c r="I1409" s="316">
        <f t="array" ref="I1409">XLOOKUP(B1409,Roster!L:L,Roster!O:O,XLOOKUP(D1409,TicketsBreak!A:A,TicketsBreak!F:F,"",0),0)</f>
        <v>0.5</v>
      </c>
      <c r="J1409" s="316">
        <f t="array" ref="J1409">XLOOKUP(B1409,Roster!L:L,Roster!P:P,XLOOKUP(D1409,TicketsBreak!A:A,TicketsBreak!G:G,"",0),0)</f>
        <v>0.6041666667</v>
      </c>
      <c r="K1409" s="310">
        <f t="shared" si="4"/>
        <v>46125</v>
      </c>
      <c r="L1409" s="317">
        <f t="array" ref="L1409">(XLOOKUP(D1409,Roster!F:F,Roster!D:D,"",0))</f>
        <v>3</v>
      </c>
      <c r="M1409" s="317" t="str">
        <f t="array" ref="M1409">XLOOKUP(D1409,Roster!F:F,Roster!E:E)</f>
        <v>Tickets</v>
      </c>
      <c r="N1409" s="317" t="str">
        <f t="shared" ref="N1409:P1409" si="1431">LEFT(H1409,5)</f>
        <v>09:15</v>
      </c>
      <c r="O1409" s="317" t="str">
        <f t="shared" si="1431"/>
        <v>12:00</v>
      </c>
      <c r="P1409" s="317" t="str">
        <f t="shared" si="1431"/>
        <v>14:30</v>
      </c>
      <c r="Q1409" s="318">
        <f t="shared" si="1374"/>
        <v>46125.38542</v>
      </c>
      <c r="R1409" s="318">
        <f t="shared" si="1233"/>
        <v>46125.5</v>
      </c>
      <c r="S1409" s="318">
        <f t="shared" si="8"/>
        <v>46125.60417</v>
      </c>
    </row>
    <row r="1410">
      <c r="A1410" s="14" t="str">
        <f t="shared" si="1"/>
        <v>C155446125</v>
      </c>
      <c r="B1410" s="185">
        <f t="array" ref="B1410">IF(F1410="VL","",IF(F1410="Free","Free",XLOOKUP(D1410,Roster!T:T,Roster!S:S,"",0)))</f>
        <v>131</v>
      </c>
      <c r="C1410" s="313">
        <v>46125.0</v>
      </c>
      <c r="D1410" s="314" t="s">
        <v>13</v>
      </c>
      <c r="E1410" s="307" t="str">
        <f t="array" ref="E1410">(XLOOKUP(D1410,Roster!F:F,Roster!B:B,"",0))</f>
        <v>Andres Lopez</v>
      </c>
      <c r="F1410" s="315" t="str">
        <f t="array" ref="F1410">IF(B1410=100,"Free",TEXT(XLOOKUP($D1410,OperationVoice!$A:$A,OperationVoice!S:S,XLOOKUP($D1410,OperationTickets!$A:$A,OperationTickets!S:S,"",0)),"hh:mm"))</f>
        <v>09:00</v>
      </c>
      <c r="G1410" s="309">
        <f t="shared" si="3"/>
        <v>0.75</v>
      </c>
      <c r="H1410" s="316" t="str">
        <f t="array" ref="H1410">XLOOKUP(B1410,Roster!L:L,Roster!N:N,XLOOKUP(D1410,TicketsBreak!A:A,TicketsBreak!E:E,"",0),0)</f>
        <v>10:15 - 10:30</v>
      </c>
      <c r="I1410" s="316" t="str">
        <f t="array" ref="I1410">XLOOKUP(B1410,Roster!L:L,Roster!O:O,XLOOKUP(D1410,TicketsBreak!A:A,TicketsBreak!F:F,"",0),0)</f>
        <v>12:30 - 13:00</v>
      </c>
      <c r="J1410" s="316" t="str">
        <f t="array" ref="J1410">XLOOKUP(B1410,Roster!L:L,Roster!P:P,XLOOKUP(D1410,TicketsBreak!A:A,TicketsBreak!G:G,"",0),0)</f>
        <v>15:15 - 15:30</v>
      </c>
      <c r="K1410" s="310">
        <f t="shared" si="4"/>
        <v>46125</v>
      </c>
      <c r="L1410" s="317">
        <f t="array" ref="L1410">(XLOOKUP(D1410,Roster!F:F,Roster!D:D,"",0))</f>
        <v>37</v>
      </c>
      <c r="M1410" s="317" t="str">
        <f t="array" ref="M1410">XLOOKUP(D1410,Roster!F:F,Roster!E:E)</f>
        <v>Voice</v>
      </c>
      <c r="N1410" s="317" t="str">
        <f t="shared" ref="N1410:P1410" si="1432">LEFT(H1410,5)</f>
        <v>10:15</v>
      </c>
      <c r="O1410" s="317" t="str">
        <f t="shared" si="1432"/>
        <v>12:30</v>
      </c>
      <c r="P1410" s="317" t="str">
        <f t="shared" si="1432"/>
        <v>15:15</v>
      </c>
      <c r="Q1410" s="318">
        <f t="shared" si="1374"/>
        <v>46125.42708</v>
      </c>
      <c r="R1410" s="318">
        <f t="shared" si="1233"/>
        <v>46125.52083</v>
      </c>
      <c r="S1410" s="318">
        <f t="shared" si="8"/>
        <v>46125.63542</v>
      </c>
    </row>
    <row r="1411">
      <c r="A1411" s="14" t="str">
        <f t="shared" si="1"/>
        <v>C156746125</v>
      </c>
      <c r="B1411" s="185">
        <f t="array" ref="B1411">IF(F1411="VL","",IF(F1411="Free","Free",XLOOKUP(D1411,Roster!T:T,Roster!S:S,"",0)))</f>
        <v>125</v>
      </c>
      <c r="C1411" s="313">
        <v>46125.0</v>
      </c>
      <c r="D1411" s="314" t="s">
        <v>14</v>
      </c>
      <c r="E1411" s="307" t="str">
        <f t="array" ref="E1411">(XLOOKUP(D1411,Roster!F:F,Roster!B:B,"",0))</f>
        <v>Andres Salazar</v>
      </c>
      <c r="F1411" s="315" t="str">
        <f t="array" ref="F1411">IF(B1411=100,"Free",TEXT(XLOOKUP($D1411,OperationVoice!$A:$A,OperationVoice!S:S,XLOOKUP($D1411,OperationTickets!$A:$A,OperationTickets!S:S,"",0)),"hh:mm"))</f>
        <v>08:00</v>
      </c>
      <c r="G1411" s="309">
        <f t="shared" si="3"/>
        <v>0.7083333333</v>
      </c>
      <c r="H1411" s="316" t="str">
        <f t="array" ref="H1411">XLOOKUP(B1411,Roster!L:L,Roster!N:N,XLOOKUP(D1411,TicketsBreak!A:A,TicketsBreak!E:E,"",0),0)</f>
        <v>10:30 - 10:45</v>
      </c>
      <c r="I1411" s="316" t="str">
        <f t="array" ref="I1411">XLOOKUP(B1411,Roster!L:L,Roster!O:O,XLOOKUP(D1411,TicketsBreak!A:A,TicketsBreak!F:F,"",0),0)</f>
        <v>13:30 - 14:00</v>
      </c>
      <c r="J1411" s="316" t="str">
        <f t="array" ref="J1411">XLOOKUP(B1411,Roster!L:L,Roster!P:P,XLOOKUP(D1411,TicketsBreak!A:A,TicketsBreak!G:G,"",0),0)</f>
        <v>15:45 - 16:00</v>
      </c>
      <c r="K1411" s="310">
        <f t="shared" si="4"/>
        <v>46125</v>
      </c>
      <c r="L1411" s="317">
        <f t="array" ref="L1411">(XLOOKUP(D1411,Roster!F:F,Roster!D:D,"",0))</f>
        <v>38</v>
      </c>
      <c r="M1411" s="317" t="str">
        <f t="array" ref="M1411">XLOOKUP(D1411,Roster!F:F,Roster!E:E)</f>
        <v>Voice</v>
      </c>
      <c r="N1411" s="317" t="str">
        <f t="shared" ref="N1411:P1411" si="1433">LEFT(H1411,5)</f>
        <v>10:30</v>
      </c>
      <c r="O1411" s="317" t="str">
        <f t="shared" si="1433"/>
        <v>13:30</v>
      </c>
      <c r="P1411" s="317" t="str">
        <f t="shared" si="1433"/>
        <v>15:45</v>
      </c>
      <c r="Q1411" s="318">
        <f t="shared" si="1374"/>
        <v>46125.4375</v>
      </c>
      <c r="R1411" s="318">
        <f t="shared" si="1233"/>
        <v>46125.5625</v>
      </c>
      <c r="S1411" s="318">
        <f t="shared" si="8"/>
        <v>46125.65625</v>
      </c>
    </row>
    <row r="1412">
      <c r="A1412" s="14" t="str">
        <f t="shared" si="1"/>
        <v>C134846125</v>
      </c>
      <c r="B1412" s="185">
        <f t="array" ref="B1412">IF(F1412="VL","",IF(F1412="Free","Free",XLOOKUP(D1412,Roster!T:T,Roster!S:S,"",0)))</f>
        <v>124</v>
      </c>
      <c r="C1412" s="313">
        <v>46125.0</v>
      </c>
      <c r="D1412" s="314" t="s">
        <v>15</v>
      </c>
      <c r="E1412" s="307" t="str">
        <f t="array" ref="E1412">(XLOOKUP(D1412,Roster!F:F,Roster!B:B,"",0))</f>
        <v>Angelo Zapata</v>
      </c>
      <c r="F1412" s="315" t="str">
        <f t="array" ref="F1412">IF(B1412=100,"Free",TEXT(XLOOKUP($D1412,OperationVoice!$A:$A,OperationVoice!S:S,XLOOKUP($D1412,OperationTickets!$A:$A,OperationTickets!S:S,"",0)),"hh:mm"))</f>
        <v>08:00</v>
      </c>
      <c r="G1412" s="309">
        <f t="shared" si="3"/>
        <v>0.7083333333</v>
      </c>
      <c r="H1412" s="316" t="str">
        <f t="array" ref="H1412">XLOOKUP(B1412,Roster!L:L,Roster!N:N,XLOOKUP(D1412,TicketsBreak!A:A,TicketsBreak!E:E,"",0),0)</f>
        <v>10:00 - 10:15</v>
      </c>
      <c r="I1412" s="316" t="str">
        <f t="array" ref="I1412">XLOOKUP(B1412,Roster!L:L,Roster!O:O,XLOOKUP(D1412,TicketsBreak!A:A,TicketsBreak!F:F,"",0),0)</f>
        <v>13:00 - 13:30</v>
      </c>
      <c r="J1412" s="316" t="str">
        <f t="array" ref="J1412">XLOOKUP(B1412,Roster!L:L,Roster!P:P,XLOOKUP(D1412,TicketsBreak!A:A,TicketsBreak!G:G,"",0),0)</f>
        <v>15:30 - 15:45</v>
      </c>
      <c r="K1412" s="310">
        <f t="shared" si="4"/>
        <v>46125</v>
      </c>
      <c r="L1412" s="317">
        <f t="array" ref="L1412">(XLOOKUP(D1412,Roster!F:F,Roster!D:D,"",0))</f>
        <v>30</v>
      </c>
      <c r="M1412" s="317" t="str">
        <f t="array" ref="M1412">XLOOKUP(D1412,Roster!F:F,Roster!E:E)</f>
        <v>Voice</v>
      </c>
      <c r="N1412" s="317" t="str">
        <f t="shared" ref="N1412:P1412" si="1434">LEFT(H1412,5)</f>
        <v>10:00</v>
      </c>
      <c r="O1412" s="317" t="str">
        <f t="shared" si="1434"/>
        <v>13:00</v>
      </c>
      <c r="P1412" s="317" t="str">
        <f t="shared" si="1434"/>
        <v>15:30</v>
      </c>
      <c r="Q1412" s="318">
        <f t="shared" si="1374"/>
        <v>46125.41667</v>
      </c>
      <c r="R1412" s="318">
        <f t="shared" si="1233"/>
        <v>46125.54167</v>
      </c>
      <c r="S1412" s="318">
        <f t="shared" si="8"/>
        <v>46125.64583</v>
      </c>
    </row>
    <row r="1413">
      <c r="A1413" s="14" t="str">
        <f t="shared" si="1"/>
        <v>C116746125</v>
      </c>
      <c r="B1413" s="185" t="str">
        <f t="array" ref="B1413">IF(F1413="VL","",IF(F1413="Free","Free",XLOOKUP(D1413,Roster!T:T,Roster!S:S,"",0)))</f>
        <v/>
      </c>
      <c r="C1413" s="313">
        <v>46125.0</v>
      </c>
      <c r="D1413" s="314" t="s">
        <v>172</v>
      </c>
      <c r="E1413" s="307" t="str">
        <f t="array" ref="E1413">(XLOOKUP(D1413,Roster!F:F,Roster!B:B,"",0))</f>
        <v>Angie Rua</v>
      </c>
      <c r="F1413" s="315" t="str">
        <f t="array" ref="F1413">IF(B1413=100,"Free",TEXT(XLOOKUP($D1413,OperationVoice!$A:$A,OperationVoice!S:S,XLOOKUP($D1413,OperationTickets!$A:$A,OperationTickets!S:S,"",0)),"hh:mm"))</f>
        <v>12:00</v>
      </c>
      <c r="G1413" s="309">
        <f t="shared" si="3"/>
        <v>0.875</v>
      </c>
      <c r="H1413" s="316" t="str">
        <f t="array" ref="H1413">XLOOKUP(B1413,Roster!L:L,Roster!N:N,XLOOKUP(D1413,TicketsBreak!A:A,TicketsBreak!E:E,"",0),0)</f>
        <v/>
      </c>
      <c r="I1413" s="316" t="str">
        <f t="array" ref="I1413">XLOOKUP(B1413,Roster!L:L,Roster!O:O,XLOOKUP(D1413,TicketsBreak!A:A,TicketsBreak!F:F,"",0),0)</f>
        <v/>
      </c>
      <c r="J1413" s="316" t="str">
        <f t="array" ref="J1413">XLOOKUP(B1413,Roster!L:L,Roster!P:P,XLOOKUP(D1413,TicketsBreak!A:A,TicketsBreak!G:G,"",0),0)</f>
        <v/>
      </c>
      <c r="K1413" s="310">
        <f t="shared" si="4"/>
        <v>46125</v>
      </c>
      <c r="L1413" s="317">
        <f t="array" ref="L1413">(XLOOKUP(D1413,Roster!F:F,Roster!D:D,"",0))</f>
        <v>24</v>
      </c>
      <c r="M1413" s="317" t="str">
        <f t="array" ref="M1413">XLOOKUP(D1413,Roster!F:F,Roster!E:E)</f>
        <v>Tickets</v>
      </c>
      <c r="N1413" s="317" t="str">
        <f t="shared" ref="N1413:P1413" si="1435">LEFT(H1413,5)</f>
        <v/>
      </c>
      <c r="O1413" s="317" t="str">
        <f t="shared" si="1435"/>
        <v/>
      </c>
      <c r="P1413" s="317" t="str">
        <f t="shared" si="1435"/>
        <v/>
      </c>
      <c r="Q1413" s="318" t="str">
        <f t="shared" si="1374"/>
        <v/>
      </c>
      <c r="R1413" s="318" t="str">
        <f t="shared" si="1233"/>
        <v/>
      </c>
      <c r="S1413" s="318" t="str">
        <f t="shared" si="8"/>
        <v/>
      </c>
    </row>
    <row r="1414">
      <c r="A1414" s="14" t="str">
        <f t="shared" si="1"/>
        <v>C157946125</v>
      </c>
      <c r="B1414" s="185">
        <f t="array" ref="B1414">IF(F1414="VL","",IF(F1414="Free","Free",XLOOKUP(D1414,Roster!T:T,Roster!S:S,"",0)))</f>
        <v>126</v>
      </c>
      <c r="C1414" s="313">
        <v>46125.0</v>
      </c>
      <c r="D1414" s="314" t="s">
        <v>16</v>
      </c>
      <c r="E1414" s="307" t="str">
        <f t="array" ref="E1414">(XLOOKUP(D1414,Roster!F:F,Roster!B:B,"",0))</f>
        <v>Anibal Munoz</v>
      </c>
      <c r="F1414" s="315" t="str">
        <f t="array" ref="F1414">IF(B1414=100,"Free",TEXT(XLOOKUP($D1414,OperationVoice!$A:$A,OperationVoice!S:S,XLOOKUP($D1414,OperationTickets!$A:$A,OperationTickets!S:S,"",0)),"hh:mm"))</f>
        <v>08:00</v>
      </c>
      <c r="G1414" s="309">
        <f t="shared" si="3"/>
        <v>0.7083333333</v>
      </c>
      <c r="H1414" s="316" t="str">
        <f t="array" ref="H1414">XLOOKUP(B1414,Roster!L:L,Roster!N:N,XLOOKUP(D1414,TicketsBreak!A:A,TicketsBreak!E:E,"",0),0)</f>
        <v>10:45 - 11:00</v>
      </c>
      <c r="I1414" s="316" t="str">
        <f t="array" ref="I1414">XLOOKUP(B1414,Roster!L:L,Roster!O:O,XLOOKUP(D1414,TicketsBreak!A:A,TicketsBreak!F:F,"",0),0)</f>
        <v>14:00 - 14:30</v>
      </c>
      <c r="J1414" s="316" t="str">
        <f t="array" ref="J1414">XLOOKUP(B1414,Roster!L:L,Roster!P:P,XLOOKUP(D1414,TicketsBreak!A:A,TicketsBreak!G:G,"",0),0)</f>
        <v>15:45 - 16:00</v>
      </c>
      <c r="K1414" s="310">
        <f t="shared" si="4"/>
        <v>46125</v>
      </c>
      <c r="L1414" s="317">
        <f t="array" ref="L1414">(XLOOKUP(D1414,Roster!F:F,Roster!D:D,"",0))</f>
        <v>38</v>
      </c>
      <c r="M1414" s="317" t="str">
        <f t="array" ref="M1414">XLOOKUP(D1414,Roster!F:F,Roster!E:E)</f>
        <v>Voice</v>
      </c>
      <c r="N1414" s="317" t="str">
        <f t="shared" ref="N1414:P1414" si="1436">LEFT(H1414,5)</f>
        <v>10:45</v>
      </c>
      <c r="O1414" s="317" t="str">
        <f t="shared" si="1436"/>
        <v>14:00</v>
      </c>
      <c r="P1414" s="317" t="str">
        <f t="shared" si="1436"/>
        <v>15:45</v>
      </c>
      <c r="Q1414" s="318">
        <f t="shared" si="1374"/>
        <v>46125.44792</v>
      </c>
      <c r="R1414" s="318">
        <f t="shared" si="1233"/>
        <v>46125.58333</v>
      </c>
      <c r="S1414" s="318">
        <f t="shared" si="8"/>
        <v>46125.65625</v>
      </c>
    </row>
    <row r="1415">
      <c r="A1415" s="14" t="str">
        <f t="shared" si="1"/>
        <v>C08046125</v>
      </c>
      <c r="B1415" s="185" t="str">
        <f t="array" ref="B1415">IF(F1415="VL","",IF(F1415="Free","Free",XLOOKUP(D1415,Roster!T:T,Roster!S:S,"",0)))</f>
        <v/>
      </c>
      <c r="C1415" s="313">
        <v>46125.0</v>
      </c>
      <c r="D1415" s="314" t="s">
        <v>138</v>
      </c>
      <c r="E1415" s="307" t="str">
        <f t="array" ref="E1415">(XLOOKUP(D1415,Roster!F:F,Roster!B:B,"",0))</f>
        <v>Arturo Padilla</v>
      </c>
      <c r="F1415" s="315" t="str">
        <f t="array" ref="F1415">IF(B1415=100,"Free",TEXT(XLOOKUP($D1415,OperationVoice!$A:$A,OperationVoice!S:S,XLOOKUP($D1415,OperationTickets!$A:$A,OperationTickets!S:S,"",0)),"hh:mm"))</f>
        <v>08:00</v>
      </c>
      <c r="G1415" s="309">
        <f t="shared" si="3"/>
        <v>0.7083333333</v>
      </c>
      <c r="H1415" s="316">
        <f t="array" ref="H1415">XLOOKUP(B1415,Roster!L:L,Roster!N:N,XLOOKUP(D1415,TicketsBreak!A:A,TicketsBreak!E:E,"",0),0)</f>
        <v>0.375</v>
      </c>
      <c r="I1415" s="316">
        <f t="array" ref="I1415">XLOOKUP(B1415,Roster!L:L,Roster!O:O,XLOOKUP(D1415,TicketsBreak!A:A,TicketsBreak!F:F,"",0),0)</f>
        <v>0.5</v>
      </c>
      <c r="J1415" s="316">
        <f t="array" ref="J1415">XLOOKUP(B1415,Roster!L:L,Roster!P:P,XLOOKUP(D1415,TicketsBreak!A:A,TicketsBreak!G:G,"",0),0)</f>
        <v>0.6458333333</v>
      </c>
      <c r="K1415" s="310">
        <f t="shared" si="4"/>
        <v>46125</v>
      </c>
      <c r="L1415" s="317">
        <f t="array" ref="L1415">(XLOOKUP(D1415,Roster!F:F,Roster!D:D,"",0))</f>
        <v>1</v>
      </c>
      <c r="M1415" s="317" t="str">
        <f t="array" ref="M1415">XLOOKUP(D1415,Roster!F:F,Roster!E:E)</f>
        <v>Tickets</v>
      </c>
      <c r="N1415" s="317" t="str">
        <f t="shared" ref="N1415:P1415" si="1437">LEFT(H1415,5)</f>
        <v>09:00</v>
      </c>
      <c r="O1415" s="317" t="str">
        <f t="shared" si="1437"/>
        <v>12:00</v>
      </c>
      <c r="P1415" s="317" t="str">
        <f t="shared" si="1437"/>
        <v>15:30</v>
      </c>
      <c r="Q1415" s="318">
        <f t="shared" si="1374"/>
        <v>46125.375</v>
      </c>
      <c r="R1415" s="318">
        <f t="shared" si="1233"/>
        <v>46125.5</v>
      </c>
      <c r="S1415" s="318">
        <f t="shared" si="8"/>
        <v>46125.64583</v>
      </c>
    </row>
    <row r="1416">
      <c r="A1416" s="14" t="str">
        <f t="shared" si="1"/>
        <v>C150446125</v>
      </c>
      <c r="B1416" s="185">
        <f t="array" ref="B1416">IF(F1416="VL","",IF(F1416="Free","Free",XLOOKUP(D1416,Roster!T:T,Roster!S:S,"",0)))</f>
        <v>123</v>
      </c>
      <c r="C1416" s="313">
        <v>46125.0</v>
      </c>
      <c r="D1416" s="314" t="s">
        <v>155</v>
      </c>
      <c r="E1416" s="307" t="str">
        <f t="array" ref="E1416">(XLOOKUP(D1416,Roster!F:F,Roster!B:B,"",0))</f>
        <v>Beatriz Montanez</v>
      </c>
      <c r="F1416" s="315" t="str">
        <f t="array" ref="F1416">IF(B1416=100,"Free",TEXT(XLOOKUP($D1416,OperationVoice!$A:$A,OperationVoice!S:S,XLOOKUP($D1416,OperationTickets!$A:$A,OperationTickets!S:S,"",0)),"hh:mm"))</f>
        <v>08:00</v>
      </c>
      <c r="G1416" s="309">
        <f t="shared" si="3"/>
        <v>0.7083333333</v>
      </c>
      <c r="H1416" s="316" t="str">
        <f t="array" ref="H1416">XLOOKUP(B1416,Roster!L:L,Roster!N:N,XLOOKUP(D1416,TicketsBreak!A:A,TicketsBreak!E:E,"",0),0)</f>
        <v>09:45 - 10:00 </v>
      </c>
      <c r="I1416" s="316" t="str">
        <f t="array" ref="I1416">XLOOKUP(B1416,Roster!L:L,Roster!O:O,XLOOKUP(D1416,TicketsBreak!A:A,TicketsBreak!F:F,"",0),0)</f>
        <v>12:30 - 13:00</v>
      </c>
      <c r="J1416" s="316" t="str">
        <f t="array" ref="J1416">XLOOKUP(B1416,Roster!L:L,Roster!P:P,XLOOKUP(D1416,TicketsBreak!A:A,TicketsBreak!G:G,"",0),0)</f>
        <v>15:00 - 15:15</v>
      </c>
      <c r="K1416" s="310">
        <f t="shared" si="4"/>
        <v>46125</v>
      </c>
      <c r="L1416" s="317">
        <f t="array" ref="L1416">(XLOOKUP(D1416,Roster!F:F,Roster!D:D,"",0))</f>
        <v>35</v>
      </c>
      <c r="M1416" s="317" t="str">
        <f t="array" ref="M1416">XLOOKUP(D1416,Roster!F:F,Roster!E:E)</f>
        <v>Tickets</v>
      </c>
      <c r="N1416" s="317" t="str">
        <f t="shared" ref="N1416:P1416" si="1438">LEFT(H1416,5)</f>
        <v>09:45</v>
      </c>
      <c r="O1416" s="317" t="str">
        <f t="shared" si="1438"/>
        <v>12:30</v>
      </c>
      <c r="P1416" s="317" t="str">
        <f t="shared" si="1438"/>
        <v>15:00</v>
      </c>
      <c r="Q1416" s="318">
        <f t="shared" si="1374"/>
        <v>46125.40625</v>
      </c>
      <c r="R1416" s="318">
        <f t="shared" si="1233"/>
        <v>46125.52083</v>
      </c>
      <c r="S1416" s="318">
        <f t="shared" si="8"/>
        <v>46125.625</v>
      </c>
    </row>
    <row r="1417">
      <c r="A1417" s="14" t="str">
        <f t="shared" si="1"/>
        <v>C107746125</v>
      </c>
      <c r="B1417" s="185">
        <f t="array" ref="B1417">IF(F1417="VL","",IF(F1417="Free","Free",XLOOKUP(D1417,Roster!T:T,Roster!S:S,"",0)))</f>
        <v>125</v>
      </c>
      <c r="C1417" s="313">
        <v>46125.0</v>
      </c>
      <c r="D1417" s="314" t="s">
        <v>17</v>
      </c>
      <c r="E1417" s="307" t="str">
        <f t="array" ref="E1417">(XLOOKUP(D1417,Roster!F:F,Roster!B:B,"",0))</f>
        <v>Brahian Prado</v>
      </c>
      <c r="F1417" s="315" t="str">
        <f t="array" ref="F1417">IF(B1417=100,"Free",TEXT(XLOOKUP($D1417,OperationVoice!$A:$A,OperationVoice!S:S,XLOOKUP($D1417,OperationTickets!$A:$A,OperationTickets!S:S,"",0)),"hh:mm"))</f>
        <v>08:00</v>
      </c>
      <c r="G1417" s="309">
        <f t="shared" si="3"/>
        <v>0.7083333333</v>
      </c>
      <c r="H1417" s="316" t="str">
        <f t="array" ref="H1417">XLOOKUP(B1417,Roster!L:L,Roster!N:N,XLOOKUP(D1417,TicketsBreak!A:A,TicketsBreak!E:E,"",0),0)</f>
        <v>10:30 - 10:45</v>
      </c>
      <c r="I1417" s="316" t="str">
        <f t="array" ref="I1417">XLOOKUP(B1417,Roster!L:L,Roster!O:O,XLOOKUP(D1417,TicketsBreak!A:A,TicketsBreak!F:F,"",0),0)</f>
        <v>13:30 - 14:00</v>
      </c>
      <c r="J1417" s="316" t="str">
        <f t="array" ref="J1417">XLOOKUP(B1417,Roster!L:L,Roster!P:P,XLOOKUP(D1417,TicketsBreak!A:A,TicketsBreak!G:G,"",0),0)</f>
        <v>15:45 - 16:00</v>
      </c>
      <c r="K1417" s="310">
        <f t="shared" si="4"/>
        <v>46125</v>
      </c>
      <c r="L1417" s="317">
        <f t="array" ref="L1417">(XLOOKUP(D1417,Roster!F:F,Roster!D:D,"",0))</f>
        <v>18</v>
      </c>
      <c r="M1417" s="317" t="str">
        <f t="array" ref="M1417">XLOOKUP(D1417,Roster!F:F,Roster!E:E)</f>
        <v>Voice</v>
      </c>
      <c r="N1417" s="317" t="str">
        <f t="shared" ref="N1417:P1417" si="1439">LEFT(H1417,5)</f>
        <v>10:30</v>
      </c>
      <c r="O1417" s="317" t="str">
        <f t="shared" si="1439"/>
        <v>13:30</v>
      </c>
      <c r="P1417" s="317" t="str">
        <f t="shared" si="1439"/>
        <v>15:45</v>
      </c>
      <c r="Q1417" s="318">
        <f t="shared" si="1374"/>
        <v>46125.4375</v>
      </c>
      <c r="R1417" s="318">
        <f t="shared" si="1233"/>
        <v>46125.5625</v>
      </c>
      <c r="S1417" s="318">
        <f t="shared" si="8"/>
        <v>46125.65625</v>
      </c>
    </row>
    <row r="1418">
      <c r="A1418" s="14" t="str">
        <f t="shared" si="1"/>
        <v>C116546125</v>
      </c>
      <c r="B1418" s="185" t="str">
        <f t="array" ref="B1418">IF(F1418="VL","",IF(F1418="Free","Free",XLOOKUP(D1418,Roster!T:T,Roster!S:S,"",0)))</f>
        <v/>
      </c>
      <c r="C1418" s="313">
        <v>46125.0</v>
      </c>
      <c r="D1418" s="314" t="s">
        <v>139</v>
      </c>
      <c r="E1418" s="307" t="str">
        <f t="array" ref="E1418">(XLOOKUP(D1418,Roster!F:F,Roster!B:B,"",0))</f>
        <v>Braian Restrepo</v>
      </c>
      <c r="F1418" s="315" t="str">
        <f t="array" ref="F1418">IF(B1418=100,"Free",TEXT(XLOOKUP($D1418,OperationVoice!$A:$A,OperationVoice!S:S,XLOOKUP($D1418,OperationTickets!$A:$A,OperationTickets!S:S,"",0)),"hh:mm"))</f>
        <v>08:00</v>
      </c>
      <c r="G1418" s="309">
        <f t="shared" si="3"/>
        <v>0.7083333333</v>
      </c>
      <c r="H1418" s="316" t="str">
        <f t="array" ref="H1418">XLOOKUP(B1418,Roster!L:L,Roster!N:N,XLOOKUP(D1418,TicketsBreak!A:A,TicketsBreak!E:E,"",0),0)</f>
        <v/>
      </c>
      <c r="I1418" s="316" t="str">
        <f t="array" ref="I1418">XLOOKUP(B1418,Roster!L:L,Roster!O:O,XLOOKUP(D1418,TicketsBreak!A:A,TicketsBreak!F:F,"",0),0)</f>
        <v/>
      </c>
      <c r="J1418" s="316" t="str">
        <f t="array" ref="J1418">XLOOKUP(B1418,Roster!L:L,Roster!P:P,XLOOKUP(D1418,TicketsBreak!A:A,TicketsBreak!G:G,"",0),0)</f>
        <v/>
      </c>
      <c r="K1418" s="310">
        <f t="shared" si="4"/>
        <v>46125</v>
      </c>
      <c r="L1418" s="317">
        <f t="array" ref="L1418">(XLOOKUP(D1418,Roster!F:F,Roster!D:D,"",0))</f>
        <v>24</v>
      </c>
      <c r="M1418" s="317" t="str">
        <f t="array" ref="M1418">XLOOKUP(D1418,Roster!F:F,Roster!E:E)</f>
        <v>Tickets</v>
      </c>
      <c r="N1418" s="317" t="str">
        <f t="shared" ref="N1418:P1418" si="1440">LEFT(H1418,5)</f>
        <v/>
      </c>
      <c r="O1418" s="317" t="str">
        <f t="shared" si="1440"/>
        <v/>
      </c>
      <c r="P1418" s="317" t="str">
        <f t="shared" si="1440"/>
        <v/>
      </c>
      <c r="Q1418" s="318" t="str">
        <f t="shared" si="1374"/>
        <v/>
      </c>
      <c r="R1418" s="318" t="str">
        <f t="shared" si="1233"/>
        <v/>
      </c>
      <c r="S1418" s="318" t="str">
        <f t="shared" si="8"/>
        <v/>
      </c>
    </row>
    <row r="1419">
      <c r="A1419" s="14" t="str">
        <f t="shared" si="1"/>
        <v>C127446125</v>
      </c>
      <c r="B1419" s="185">
        <f t="array" ref="B1419">IF(F1419="VL","",IF(F1419="Free","Free",XLOOKUP(D1419,Roster!T:T,Roster!S:S,"",0)))</f>
        <v>126</v>
      </c>
      <c r="C1419" s="313">
        <v>46125.0</v>
      </c>
      <c r="D1419" s="314" t="s">
        <v>250</v>
      </c>
      <c r="E1419" s="307" t="str">
        <f t="array" ref="E1419">(XLOOKUP(D1419,Roster!F:F,Roster!B:B,"",0))</f>
        <v>Brayan Franco</v>
      </c>
      <c r="F1419" s="315" t="str">
        <f t="array" ref="F1419">IF(B1419=100,"Free",TEXT(XLOOKUP($D1419,OperationVoice!$A:$A,OperationVoice!S:S,XLOOKUP($D1419,OperationTickets!$A:$A,OperationTickets!S:S,"",0)),"hh:mm"))</f>
        <v/>
      </c>
      <c r="G1419" s="309" t="str">
        <f t="shared" si="3"/>
        <v/>
      </c>
      <c r="H1419" s="316" t="str">
        <f t="array" ref="H1419">XLOOKUP(B1419,Roster!L:L,Roster!N:N,XLOOKUP(D1419,TicketsBreak!A:A,TicketsBreak!E:E,"",0),0)</f>
        <v>10:45 - 11:00</v>
      </c>
      <c r="I1419" s="316" t="str">
        <f t="array" ref="I1419">XLOOKUP(B1419,Roster!L:L,Roster!O:O,XLOOKUP(D1419,TicketsBreak!A:A,TicketsBreak!F:F,"",0),0)</f>
        <v>14:00 - 14:30</v>
      </c>
      <c r="J1419" s="316" t="str">
        <f t="array" ref="J1419">XLOOKUP(B1419,Roster!L:L,Roster!P:P,XLOOKUP(D1419,TicketsBreak!A:A,TicketsBreak!G:G,"",0),0)</f>
        <v>15:45 - 16:00</v>
      </c>
      <c r="K1419" s="310">
        <f t="shared" si="4"/>
        <v>46125</v>
      </c>
      <c r="L1419" s="317">
        <f t="array" ref="L1419">(XLOOKUP(D1419,Roster!F:F,Roster!D:D,"",0))</f>
        <v>27</v>
      </c>
      <c r="M1419" s="317" t="str">
        <f t="array" ref="M1419">XLOOKUP(D1419,Roster!F:F,Roster!E:E)</f>
        <v>Voice</v>
      </c>
      <c r="N1419" s="317" t="str">
        <f t="shared" ref="N1419:P1419" si="1441">LEFT(H1419,5)</f>
        <v>10:45</v>
      </c>
      <c r="O1419" s="317" t="str">
        <f t="shared" si="1441"/>
        <v>14:00</v>
      </c>
      <c r="P1419" s="317" t="str">
        <f t="shared" si="1441"/>
        <v>15:45</v>
      </c>
      <c r="Q1419" s="318">
        <f t="shared" si="1374"/>
        <v>46125.44792</v>
      </c>
      <c r="R1419" s="318">
        <f t="shared" si="1233"/>
        <v>46125.58333</v>
      </c>
      <c r="S1419" s="318">
        <f t="shared" si="8"/>
        <v>46125.65625</v>
      </c>
    </row>
    <row r="1420">
      <c r="A1420" s="14" t="str">
        <f t="shared" si="1"/>
        <v>C119146125</v>
      </c>
      <c r="B1420" s="185">
        <f t="array" ref="B1420">IF(F1420="VL","",IF(F1420="Free","Free",XLOOKUP(D1420,Roster!T:T,Roster!S:S,"",0)))</f>
        <v>111</v>
      </c>
      <c r="C1420" s="313">
        <v>46125.0</v>
      </c>
      <c r="D1420" s="314" t="s">
        <v>18</v>
      </c>
      <c r="E1420" s="307" t="str">
        <f t="array" ref="E1420">(XLOOKUP(D1420,Roster!F:F,Roster!B:B,"",0))</f>
        <v>Brayan Montoya</v>
      </c>
      <c r="F1420" s="315" t="str">
        <f t="array" ref="F1420">IF(B1420=100,"Free",TEXT(XLOOKUP($D1420,OperationVoice!$A:$A,OperationVoice!S:S,XLOOKUP($D1420,OperationTickets!$A:$A,OperationTickets!S:S,"",0)),"hh:mm"))</f>
        <v>07:00</v>
      </c>
      <c r="G1420" s="309">
        <f t="shared" si="3"/>
        <v>0.6666666667</v>
      </c>
      <c r="H1420" s="316" t="str">
        <f t="array" ref="H1420">XLOOKUP(B1420,Roster!L:L,Roster!N:N,XLOOKUP(D1420,TicketsBreak!A:A,TicketsBreak!E:E,"",0),0)</f>
        <v>09:00 - 09:15</v>
      </c>
      <c r="I1420" s="316" t="str">
        <f t="array" ref="I1420">XLOOKUP(B1420,Roster!L:L,Roster!O:O,XLOOKUP(D1420,TicketsBreak!A:A,TicketsBreak!F:F,"",0),0)</f>
        <v>11:45 - 12:15</v>
      </c>
      <c r="J1420" s="316" t="str">
        <f t="array" ref="J1420">XLOOKUP(B1420,Roster!L:L,Roster!P:P,XLOOKUP(D1420,TicketsBreak!A:A,TicketsBreak!G:G,"",0),0)</f>
        <v>14:30 - 14:45</v>
      </c>
      <c r="K1420" s="310">
        <f t="shared" si="4"/>
        <v>46125</v>
      </c>
      <c r="L1420" s="317">
        <f t="array" ref="L1420">(XLOOKUP(D1420,Roster!F:F,Roster!D:D,"",0))</f>
        <v>25</v>
      </c>
      <c r="M1420" s="317" t="str">
        <f t="array" ref="M1420">XLOOKUP(D1420,Roster!F:F,Roster!E:E)</f>
        <v>Voice</v>
      </c>
      <c r="N1420" s="317" t="str">
        <f t="shared" ref="N1420:P1420" si="1442">LEFT(H1420,5)</f>
        <v>09:00</v>
      </c>
      <c r="O1420" s="317" t="str">
        <f t="shared" si="1442"/>
        <v>11:45</v>
      </c>
      <c r="P1420" s="317" t="str">
        <f t="shared" si="1442"/>
        <v>14:30</v>
      </c>
      <c r="Q1420" s="318">
        <f t="shared" si="1374"/>
        <v>46125.375</v>
      </c>
      <c r="R1420" s="318">
        <f t="shared" si="1233"/>
        <v>46125.48958</v>
      </c>
      <c r="S1420" s="318">
        <f t="shared" si="8"/>
        <v>46125.60417</v>
      </c>
    </row>
    <row r="1421">
      <c r="A1421" s="14" t="str">
        <f t="shared" si="1"/>
        <v>C152646125</v>
      </c>
      <c r="B1421" s="185">
        <f t="array" ref="B1421">IF(F1421="VL","",IF(F1421="Free","Free",XLOOKUP(D1421,Roster!T:T,Roster!S:S,"",0)))</f>
        <v>121</v>
      </c>
      <c r="C1421" s="313">
        <v>46125.0</v>
      </c>
      <c r="D1421" s="314" t="s">
        <v>19</v>
      </c>
      <c r="E1421" s="307" t="str">
        <f t="array" ref="E1421">(XLOOKUP(D1421,Roster!F:F,Roster!B:B,"",0))</f>
        <v>Breitner Benitez</v>
      </c>
      <c r="F1421" s="315" t="str">
        <f t="array" ref="F1421">IF(B1421=100,"Free",TEXT(XLOOKUP($D1421,OperationVoice!$A:$A,OperationVoice!S:S,XLOOKUP($D1421,OperationTickets!$A:$A,OperationTickets!S:S,"",0)),"hh:mm"))</f>
        <v>08:00</v>
      </c>
      <c r="G1421" s="309">
        <f t="shared" si="3"/>
        <v>0.7083333333</v>
      </c>
      <c r="H1421" s="316" t="str">
        <f t="array" ref="H1421">XLOOKUP(B1421,Roster!L:L,Roster!N:N,XLOOKUP(D1421,TicketsBreak!A:A,TicketsBreak!E:E,"",0),0)</f>
        <v>09:15 - 09:30</v>
      </c>
      <c r="I1421" s="316" t="str">
        <f t="array" ref="I1421">XLOOKUP(B1421,Roster!L:L,Roster!O:O,XLOOKUP(D1421,TicketsBreak!A:A,TicketsBreak!F:F,"",0),0)</f>
        <v>11:30 - 12:00</v>
      </c>
      <c r="J1421" s="316" t="str">
        <f t="array" ref="J1421">XLOOKUP(B1421,Roster!L:L,Roster!P:P,XLOOKUP(D1421,TicketsBreak!A:A,TicketsBreak!G:G,"",0),0)</f>
        <v>14:30 - 14:45</v>
      </c>
      <c r="K1421" s="310">
        <f t="shared" si="4"/>
        <v>46125</v>
      </c>
      <c r="L1421" s="317">
        <f t="array" ref="L1421">(XLOOKUP(D1421,Roster!F:F,Roster!D:D,"",0))</f>
        <v>13</v>
      </c>
      <c r="M1421" s="317" t="str">
        <f t="array" ref="M1421">XLOOKUP(D1421,Roster!F:F,Roster!E:E)</f>
        <v>Voice</v>
      </c>
      <c r="N1421" s="317" t="str">
        <f t="shared" ref="N1421:P1421" si="1443">LEFT(H1421,5)</f>
        <v>09:15</v>
      </c>
      <c r="O1421" s="317" t="str">
        <f t="shared" si="1443"/>
        <v>11:30</v>
      </c>
      <c r="P1421" s="317" t="str">
        <f t="shared" si="1443"/>
        <v>14:30</v>
      </c>
      <c r="Q1421" s="318">
        <f t="shared" si="1374"/>
        <v>46125.38542</v>
      </c>
      <c r="R1421" s="318">
        <f t="shared" si="1233"/>
        <v>46125.47917</v>
      </c>
      <c r="S1421" s="318">
        <f t="shared" si="8"/>
        <v>46125.60417</v>
      </c>
    </row>
    <row r="1422">
      <c r="A1422" s="14" t="str">
        <f t="shared" si="1"/>
        <v>C153546125</v>
      </c>
      <c r="B1422" s="185">
        <f t="array" ref="B1422">IF(F1422="VL","",IF(F1422="Free","Free",XLOOKUP(D1422,Roster!T:T,Roster!S:S,"",0)))</f>
        <v>154</v>
      </c>
      <c r="C1422" s="313">
        <v>46125.0</v>
      </c>
      <c r="D1422" s="314" t="s">
        <v>20</v>
      </c>
      <c r="E1422" s="307" t="str">
        <f t="array" ref="E1422">(XLOOKUP(D1422,Roster!F:F,Roster!B:B,"",0))</f>
        <v>Carlos Alzate</v>
      </c>
      <c r="F1422" s="315" t="str">
        <f t="array" ref="F1422">IF(B1422=100,"Free",TEXT(XLOOKUP($D1422,OperationVoice!$A:$A,OperationVoice!S:S,XLOOKUP($D1422,OperationTickets!$A:$A,OperationTickets!S:S,"",0)),"hh:mm"))</f>
        <v>11:00</v>
      </c>
      <c r="G1422" s="309">
        <f t="shared" si="3"/>
        <v>0.8333333333</v>
      </c>
      <c r="H1422" s="316" t="str">
        <f t="array" ref="H1422">XLOOKUP(B1422,Roster!L:L,Roster!N:N,XLOOKUP(D1422,TicketsBreak!A:A,TicketsBreak!E:E,"",0),0)</f>
        <v>13:00 - 13:15</v>
      </c>
      <c r="I1422" s="316" t="str">
        <f t="array" ref="I1422">XLOOKUP(B1422,Roster!L:L,Roster!O:O,XLOOKUP(D1422,TicketsBreak!A:A,TicketsBreak!F:F,"",0),0)</f>
        <v>15:15 - 15:45</v>
      </c>
      <c r="J1422" s="316" t="str">
        <f t="array" ref="J1422">XLOOKUP(B1422,Roster!L:L,Roster!P:P,XLOOKUP(D1422,TicketsBreak!A:A,TicketsBreak!G:G,"",0),0)</f>
        <v>18:00 - 18:15</v>
      </c>
      <c r="K1422" s="310">
        <f t="shared" si="4"/>
        <v>46125</v>
      </c>
      <c r="L1422" s="317">
        <f t="array" ref="L1422">(XLOOKUP(D1422,Roster!F:F,Roster!D:D,"",0))</f>
        <v>36</v>
      </c>
      <c r="M1422" s="317" t="str">
        <f t="array" ref="M1422">XLOOKUP(D1422,Roster!F:F,Roster!E:E)</f>
        <v>Voice</v>
      </c>
      <c r="N1422" s="317" t="str">
        <f t="shared" ref="N1422:P1422" si="1444">LEFT(H1422,5)</f>
        <v>13:00</v>
      </c>
      <c r="O1422" s="317" t="str">
        <f t="shared" si="1444"/>
        <v>15:15</v>
      </c>
      <c r="P1422" s="317" t="str">
        <f t="shared" si="1444"/>
        <v>18:00</v>
      </c>
      <c r="Q1422" s="318">
        <f t="shared" si="1374"/>
        <v>46125.54167</v>
      </c>
      <c r="R1422" s="318">
        <f t="shared" si="1233"/>
        <v>46125.63542</v>
      </c>
      <c r="S1422" s="318">
        <f t="shared" si="8"/>
        <v>46125.75</v>
      </c>
    </row>
    <row r="1423">
      <c r="A1423" s="14" t="str">
        <f t="shared" si="1"/>
        <v>C153146125</v>
      </c>
      <c r="B1423" s="185">
        <f t="array" ref="B1423">IF(F1423="VL","",IF(F1423="Free","Free",XLOOKUP(D1423,Roster!T:T,Roster!S:S,"",0)))</f>
        <v>123</v>
      </c>
      <c r="C1423" s="313">
        <v>46125.0</v>
      </c>
      <c r="D1423" s="314" t="s">
        <v>21</v>
      </c>
      <c r="E1423" s="307" t="str">
        <f t="array" ref="E1423">(XLOOKUP(D1423,Roster!F:F,Roster!B:B,"",0))</f>
        <v>Carlos Palma</v>
      </c>
      <c r="F1423" s="315" t="str">
        <f t="array" ref="F1423">IF(B1423=100,"Free",TEXT(XLOOKUP($D1423,OperationVoice!$A:$A,OperationVoice!S:S,XLOOKUP($D1423,OperationTickets!$A:$A,OperationTickets!S:S,"",0)),"hh:mm"))</f>
        <v>08:00</v>
      </c>
      <c r="G1423" s="309">
        <f t="shared" si="3"/>
        <v>0.7083333333</v>
      </c>
      <c r="H1423" s="316" t="str">
        <f t="array" ref="H1423">XLOOKUP(B1423,Roster!L:L,Roster!N:N,XLOOKUP(D1423,TicketsBreak!A:A,TicketsBreak!E:E,"",0),0)</f>
        <v>09:45 - 10:00 </v>
      </c>
      <c r="I1423" s="316" t="str">
        <f t="array" ref="I1423">XLOOKUP(B1423,Roster!L:L,Roster!O:O,XLOOKUP(D1423,TicketsBreak!A:A,TicketsBreak!F:F,"",0),0)</f>
        <v>12:30 - 13:00</v>
      </c>
      <c r="J1423" s="316" t="str">
        <f t="array" ref="J1423">XLOOKUP(B1423,Roster!L:L,Roster!P:P,XLOOKUP(D1423,TicketsBreak!A:A,TicketsBreak!G:G,"",0),0)</f>
        <v>15:00 - 15:15</v>
      </c>
      <c r="K1423" s="310">
        <f t="shared" si="4"/>
        <v>46125</v>
      </c>
      <c r="L1423" s="317">
        <f t="array" ref="L1423">(XLOOKUP(D1423,Roster!F:F,Roster!D:D,"",0))</f>
        <v>36</v>
      </c>
      <c r="M1423" s="317" t="str">
        <f t="array" ref="M1423">XLOOKUP(D1423,Roster!F:F,Roster!E:E)</f>
        <v>Voice</v>
      </c>
      <c r="N1423" s="317" t="str">
        <f t="shared" ref="N1423:P1423" si="1445">LEFT(H1423,5)</f>
        <v>09:45</v>
      </c>
      <c r="O1423" s="317" t="str">
        <f t="shared" si="1445"/>
        <v>12:30</v>
      </c>
      <c r="P1423" s="317" t="str">
        <f t="shared" si="1445"/>
        <v>15:00</v>
      </c>
      <c r="Q1423" s="318">
        <f t="shared" si="1374"/>
        <v>46125.40625</v>
      </c>
      <c r="R1423" s="318">
        <f t="shared" si="1233"/>
        <v>46125.52083</v>
      </c>
      <c r="S1423" s="318">
        <f t="shared" si="8"/>
        <v>46125.625</v>
      </c>
    </row>
    <row r="1424">
      <c r="A1424" s="14" t="str">
        <f t="shared" si="1"/>
        <v>C157646125</v>
      </c>
      <c r="B1424" s="185" t="str">
        <f t="array" ref="B1424">IF(F1424="VL","",IF(F1424="Free","Free",XLOOKUP(D1424,Roster!T:T,Roster!S:S,"",0)))</f>
        <v/>
      </c>
      <c r="C1424" s="313">
        <v>46125.0</v>
      </c>
      <c r="D1424" s="314" t="s">
        <v>313</v>
      </c>
      <c r="E1424" s="307" t="str">
        <f t="array" ref="E1424">(XLOOKUP(D1424,Roster!F:F,Roster!B:B,"",0))</f>
        <v>Carlos Ruiz</v>
      </c>
      <c r="F1424" s="315" t="str">
        <f t="array" ref="F1424">IF(B1424=100,"Free",TEXT(XLOOKUP($D1424,OperationVoice!$A:$A,OperationVoice!S:S,XLOOKUP($D1424,OperationTickets!$A:$A,OperationTickets!S:S,"",0)),"hh:mm"))</f>
        <v/>
      </c>
      <c r="G1424" s="309" t="str">
        <f t="shared" si="3"/>
        <v/>
      </c>
      <c r="H1424" s="316" t="str">
        <f t="array" ref="H1424">XLOOKUP(B1424,Roster!L:L,Roster!N:N,XLOOKUP(D1424,TicketsBreak!A:A,TicketsBreak!E:E,"",0),0)</f>
        <v/>
      </c>
      <c r="I1424" s="316" t="str">
        <f t="array" ref="I1424">XLOOKUP(B1424,Roster!L:L,Roster!O:O,XLOOKUP(D1424,TicketsBreak!A:A,TicketsBreak!F:F,"",0),0)</f>
        <v/>
      </c>
      <c r="J1424" s="316" t="str">
        <f t="array" ref="J1424">XLOOKUP(B1424,Roster!L:L,Roster!P:P,XLOOKUP(D1424,TicketsBreak!A:A,TicketsBreak!G:G,"",0),0)</f>
        <v/>
      </c>
      <c r="K1424" s="310">
        <f t="shared" si="4"/>
        <v>46125</v>
      </c>
      <c r="L1424" s="317">
        <f t="array" ref="L1424">(XLOOKUP(D1424,Roster!F:F,Roster!D:D,"",0))</f>
        <v>38</v>
      </c>
      <c r="M1424" s="317" t="str">
        <f t="array" ref="M1424">XLOOKUP(D1424,Roster!F:F,Roster!E:E)</f>
        <v>Nesting</v>
      </c>
      <c r="N1424" s="317" t="str">
        <f t="shared" ref="N1424:P1424" si="1446">LEFT(H1424,5)</f>
        <v/>
      </c>
      <c r="O1424" s="317" t="str">
        <f t="shared" si="1446"/>
        <v/>
      </c>
      <c r="P1424" s="317" t="str">
        <f t="shared" si="1446"/>
        <v/>
      </c>
      <c r="Q1424" s="318" t="str">
        <f t="shared" si="1374"/>
        <v/>
      </c>
      <c r="R1424" s="318" t="str">
        <f t="shared" si="1233"/>
        <v/>
      </c>
      <c r="S1424" s="318" t="str">
        <f t="shared" si="8"/>
        <v/>
      </c>
    </row>
    <row r="1425">
      <c r="A1425" s="14" t="str">
        <f t="shared" si="1"/>
        <v>C47946125</v>
      </c>
      <c r="B1425" s="185" t="str">
        <f t="array" ref="B1425">IF(F1425="VL","",IF(F1425="Free","Free",XLOOKUP(D1425,Roster!T:T,Roster!S:S,"",0)))</f>
        <v/>
      </c>
      <c r="C1425" s="313">
        <v>46125.0</v>
      </c>
      <c r="D1425" s="314" t="s">
        <v>173</v>
      </c>
      <c r="E1425" s="307" t="str">
        <f t="array" ref="E1425">(XLOOKUP(D1425,Roster!F:F,Roster!B:B,"",0))</f>
        <v>Carmen Grajales</v>
      </c>
      <c r="F1425" s="315" t="str">
        <f t="array" ref="F1425">IF(B1425=100,"Free",TEXT(XLOOKUP($D1425,OperationVoice!$A:$A,OperationVoice!S:S,XLOOKUP($D1425,OperationTickets!$A:$A,OperationTickets!S:S,"",0)),"hh:mm"))</f>
        <v>08:00</v>
      </c>
      <c r="G1425" s="309">
        <f t="shared" si="3"/>
        <v>0.7083333333</v>
      </c>
      <c r="H1425" s="316">
        <f t="array" ref="H1425">XLOOKUP(B1425,Roster!L:L,Roster!N:N,XLOOKUP(D1425,TicketsBreak!A:A,TicketsBreak!E:E,"",0),0)</f>
        <v>0.4270833333</v>
      </c>
      <c r="I1425" s="316">
        <f t="array" ref="I1425">XLOOKUP(B1425,Roster!L:L,Roster!O:O,XLOOKUP(D1425,TicketsBreak!A:A,TicketsBreak!F:F,"",0),0)</f>
        <v>0.53125</v>
      </c>
      <c r="J1425" s="316">
        <f t="array" ref="J1425">XLOOKUP(B1425,Roster!L:L,Roster!P:P,XLOOKUP(D1425,TicketsBreak!A:A,TicketsBreak!G:G,"",0),0)</f>
        <v>0.65625</v>
      </c>
      <c r="K1425" s="310">
        <f t="shared" si="4"/>
        <v>46125</v>
      </c>
      <c r="L1425" s="317">
        <f t="array" ref="L1425">(XLOOKUP(D1425,Roster!F:F,Roster!D:D,"",0))</f>
        <v>2</v>
      </c>
      <c r="M1425" s="317" t="str">
        <f t="array" ref="M1425">XLOOKUP(D1425,Roster!F:F,Roster!E:E)</f>
        <v>Tickets</v>
      </c>
      <c r="N1425" s="317" t="str">
        <f t="shared" ref="N1425:P1425" si="1447">LEFT(H1425,5)</f>
        <v>10:15</v>
      </c>
      <c r="O1425" s="317" t="str">
        <f t="shared" si="1447"/>
        <v>12:45</v>
      </c>
      <c r="P1425" s="317" t="str">
        <f t="shared" si="1447"/>
        <v>15:45</v>
      </c>
      <c r="Q1425" s="318">
        <f t="shared" si="1374"/>
        <v>46125.42708</v>
      </c>
      <c r="R1425" s="318">
        <f t="shared" si="1233"/>
        <v>46125.53125</v>
      </c>
      <c r="S1425" s="318">
        <f t="shared" si="8"/>
        <v>46125.65625</v>
      </c>
    </row>
    <row r="1426">
      <c r="A1426" s="14" t="str">
        <f t="shared" si="1"/>
        <v>C68746125</v>
      </c>
      <c r="B1426" s="185">
        <f t="array" ref="B1426">IF(F1426="VL","",IF(F1426="Free","Free",XLOOKUP(D1426,Roster!T:T,Roster!S:S,"",0)))</f>
        <v>122</v>
      </c>
      <c r="C1426" s="313">
        <v>46125.0</v>
      </c>
      <c r="D1426" s="314" t="s">
        <v>22</v>
      </c>
      <c r="E1426" s="307" t="str">
        <f t="array" ref="E1426">(XLOOKUP(D1426,Roster!F:F,Roster!B:B,"",0))</f>
        <v>Carolina Rios</v>
      </c>
      <c r="F1426" s="315" t="str">
        <f t="array" ref="F1426">IF(B1426=100,"Free",TEXT(XLOOKUP($D1426,OperationVoice!$A:$A,OperationVoice!S:S,XLOOKUP($D1426,OperationTickets!$A:$A,OperationTickets!S:S,"",0)),"hh:mm"))</f>
        <v>08:00</v>
      </c>
      <c r="G1426" s="309">
        <f t="shared" si="3"/>
        <v>0.7083333333</v>
      </c>
      <c r="H1426" s="316" t="str">
        <f t="array" ref="H1426">XLOOKUP(B1426,Roster!L:L,Roster!N:N,XLOOKUP(D1426,TicketsBreak!A:A,TicketsBreak!E:E,"",0),0)</f>
        <v>09:30 - 09:45</v>
      </c>
      <c r="I1426" s="316" t="str">
        <f t="array" ref="I1426">XLOOKUP(B1426,Roster!L:L,Roster!O:O,XLOOKUP(D1426,TicketsBreak!A:A,TicketsBreak!F:F,"",0),0)</f>
        <v>12:00 - 12:30</v>
      </c>
      <c r="J1426" s="316" t="str">
        <f t="array" ref="J1426">XLOOKUP(B1426,Roster!L:L,Roster!P:P,XLOOKUP(D1426,TicketsBreak!A:A,TicketsBreak!G:G,"",0),0)</f>
        <v>14:45 - 15:00</v>
      </c>
      <c r="K1426" s="310">
        <f t="shared" si="4"/>
        <v>46125</v>
      </c>
      <c r="L1426" s="317">
        <f t="array" ref="L1426">(XLOOKUP(D1426,Roster!F:F,Roster!D:D,"",0))</f>
        <v>5</v>
      </c>
      <c r="M1426" s="317" t="str">
        <f t="array" ref="M1426">XLOOKUP(D1426,Roster!F:F,Roster!E:E)</f>
        <v>Voice</v>
      </c>
      <c r="N1426" s="317" t="str">
        <f t="shared" ref="N1426:P1426" si="1448">LEFT(H1426,5)</f>
        <v>09:30</v>
      </c>
      <c r="O1426" s="317" t="str">
        <f t="shared" si="1448"/>
        <v>12:00</v>
      </c>
      <c r="P1426" s="317" t="str">
        <f t="shared" si="1448"/>
        <v>14:45</v>
      </c>
      <c r="Q1426" s="318">
        <f t="shared" si="1374"/>
        <v>46125.39583</v>
      </c>
      <c r="R1426" s="318">
        <f t="shared" si="1233"/>
        <v>46125.5</v>
      </c>
      <c r="S1426" s="318">
        <f t="shared" si="8"/>
        <v>46125.61458</v>
      </c>
    </row>
    <row r="1427">
      <c r="A1427" s="14" t="str">
        <f t="shared" si="1"/>
        <v>C152846125</v>
      </c>
      <c r="B1427" s="185">
        <f t="array" ref="B1427">IF(F1427="VL","",IF(F1427="Free","Free",XLOOKUP(D1427,Roster!T:T,Roster!S:S,"",0)))</f>
        <v>132</v>
      </c>
      <c r="C1427" s="313">
        <v>46125.0</v>
      </c>
      <c r="D1427" s="314" t="s">
        <v>23</v>
      </c>
      <c r="E1427" s="307" t="str">
        <f t="array" ref="E1427">(XLOOKUP(D1427,Roster!F:F,Roster!B:B,"",0))</f>
        <v>Christian Ramirez</v>
      </c>
      <c r="F1427" s="315" t="str">
        <f t="array" ref="F1427">IF(B1427=100,"Free",TEXT(XLOOKUP($D1427,OperationVoice!$A:$A,OperationVoice!S:S,XLOOKUP($D1427,OperationTickets!$A:$A,OperationTickets!S:S,"",0)),"hh:mm"))</f>
        <v>09:00</v>
      </c>
      <c r="G1427" s="309">
        <f t="shared" si="3"/>
        <v>0.75</v>
      </c>
      <c r="H1427" s="316" t="str">
        <f t="array" ref="H1427">XLOOKUP(B1427,Roster!L:L,Roster!N:N,XLOOKUP(D1427,TicketsBreak!A:A,TicketsBreak!E:E,"",0),0)</f>
        <v>10:30 - 10:45</v>
      </c>
      <c r="I1427" s="316" t="str">
        <f t="array" ref="I1427">XLOOKUP(B1427,Roster!L:L,Roster!O:O,XLOOKUP(D1427,TicketsBreak!A:A,TicketsBreak!F:F,"",0),0)</f>
        <v>13:00 - 13:30</v>
      </c>
      <c r="J1427" s="316" t="str">
        <f t="array" ref="J1427">XLOOKUP(B1427,Roster!L:L,Roster!P:P,XLOOKUP(D1427,TicketsBreak!A:A,TicketsBreak!G:G,"",0),0)</f>
        <v>15:30 - 15:45</v>
      </c>
      <c r="K1427" s="310">
        <f t="shared" si="4"/>
        <v>46125</v>
      </c>
      <c r="L1427" s="317">
        <f t="array" ref="L1427">(XLOOKUP(D1427,Roster!F:F,Roster!D:D,"",0))</f>
        <v>36</v>
      </c>
      <c r="M1427" s="317" t="str">
        <f t="array" ref="M1427">XLOOKUP(D1427,Roster!F:F,Roster!E:E)</f>
        <v>Voice</v>
      </c>
      <c r="N1427" s="317" t="str">
        <f t="shared" ref="N1427:P1427" si="1449">LEFT(H1427,5)</f>
        <v>10:30</v>
      </c>
      <c r="O1427" s="317" t="str">
        <f t="shared" si="1449"/>
        <v>13:00</v>
      </c>
      <c r="P1427" s="317" t="str">
        <f t="shared" si="1449"/>
        <v>15:30</v>
      </c>
      <c r="Q1427" s="318">
        <f t="shared" si="1374"/>
        <v>46125.4375</v>
      </c>
      <c r="R1427" s="318">
        <f t="shared" si="1233"/>
        <v>46125.54167</v>
      </c>
      <c r="S1427" s="318">
        <f t="shared" si="8"/>
        <v>46125.64583</v>
      </c>
    </row>
    <row r="1428">
      <c r="A1428" s="14" t="str">
        <f t="shared" si="1"/>
        <v>C132546125</v>
      </c>
      <c r="B1428" s="185">
        <f t="array" ref="B1428">IF(F1428="VL","",IF(F1428="Free","Free",XLOOKUP(D1428,Roster!T:T,Roster!S:S,"",0)))</f>
        <v>123</v>
      </c>
      <c r="C1428" s="313">
        <v>46125.0</v>
      </c>
      <c r="D1428" s="314" t="s">
        <v>174</v>
      </c>
      <c r="E1428" s="307" t="str">
        <f t="array" ref="E1428">(XLOOKUP(D1428,Roster!F:F,Roster!B:B,"",0))</f>
        <v>Cristian Ferreira</v>
      </c>
      <c r="F1428" s="315" t="str">
        <f t="array" ref="F1428">IF(B1428=100,"Free",TEXT(XLOOKUP($D1428,OperationVoice!$A:$A,OperationVoice!S:S,XLOOKUP($D1428,OperationTickets!$A:$A,OperationTickets!S:S,"",0)),"hh:mm"))</f>
        <v>08:00</v>
      </c>
      <c r="G1428" s="309">
        <f t="shared" si="3"/>
        <v>0.7083333333</v>
      </c>
      <c r="H1428" s="316" t="str">
        <f t="array" ref="H1428">XLOOKUP(B1428,Roster!L:L,Roster!N:N,XLOOKUP(D1428,TicketsBreak!A:A,TicketsBreak!E:E,"",0),0)</f>
        <v>09:45 - 10:00 </v>
      </c>
      <c r="I1428" s="316" t="str">
        <f t="array" ref="I1428">XLOOKUP(B1428,Roster!L:L,Roster!O:O,XLOOKUP(D1428,TicketsBreak!A:A,TicketsBreak!F:F,"",0),0)</f>
        <v>12:30 - 13:00</v>
      </c>
      <c r="J1428" s="316" t="str">
        <f t="array" ref="J1428">XLOOKUP(B1428,Roster!L:L,Roster!P:P,XLOOKUP(D1428,TicketsBreak!A:A,TicketsBreak!G:G,"",0),0)</f>
        <v>15:00 - 15:15</v>
      </c>
      <c r="K1428" s="310">
        <f t="shared" si="4"/>
        <v>46125</v>
      </c>
      <c r="L1428" s="317">
        <f t="array" ref="L1428">(XLOOKUP(D1428,Roster!F:F,Roster!D:D,"",0))</f>
        <v>29</v>
      </c>
      <c r="M1428" s="317" t="str">
        <f t="array" ref="M1428">XLOOKUP(D1428,Roster!F:F,Roster!E:E)</f>
        <v>Tickets</v>
      </c>
      <c r="N1428" s="317" t="str">
        <f t="shared" ref="N1428:P1428" si="1450">LEFT(H1428,5)</f>
        <v>09:45</v>
      </c>
      <c r="O1428" s="317" t="str">
        <f t="shared" si="1450"/>
        <v>12:30</v>
      </c>
      <c r="P1428" s="317" t="str">
        <f t="shared" si="1450"/>
        <v>15:00</v>
      </c>
      <c r="Q1428" s="318">
        <f t="shared" si="1374"/>
        <v>46125.40625</v>
      </c>
      <c r="R1428" s="318">
        <f t="shared" si="1233"/>
        <v>46125.52083</v>
      </c>
      <c r="S1428" s="318">
        <f t="shared" si="8"/>
        <v>46125.625</v>
      </c>
    </row>
    <row r="1429">
      <c r="A1429" s="14" t="str">
        <f t="shared" si="1"/>
        <v>C151046125</v>
      </c>
      <c r="B1429" s="185">
        <f t="array" ref="B1429">IF(F1429="VL","",IF(F1429="Free","Free",XLOOKUP(D1429,Roster!T:T,Roster!S:S,"",0)))</f>
        <v>121</v>
      </c>
      <c r="C1429" s="313">
        <v>46125.0</v>
      </c>
      <c r="D1429" s="314" t="s">
        <v>24</v>
      </c>
      <c r="E1429" s="307" t="str">
        <f t="array" ref="E1429">(XLOOKUP(D1429,Roster!F:F,Roster!B:B,"",0))</f>
        <v>Cristian Gomez</v>
      </c>
      <c r="F1429" s="315" t="str">
        <f t="array" ref="F1429">IF(B1429=100,"Free",TEXT(XLOOKUP($D1429,OperationVoice!$A:$A,OperationVoice!S:S,XLOOKUP($D1429,OperationTickets!$A:$A,OperationTickets!S:S,"",0)),"hh:mm"))</f>
        <v>08:00</v>
      </c>
      <c r="G1429" s="309">
        <f t="shared" si="3"/>
        <v>0.7083333333</v>
      </c>
      <c r="H1429" s="316" t="str">
        <f t="array" ref="H1429">XLOOKUP(B1429,Roster!L:L,Roster!N:N,XLOOKUP(D1429,TicketsBreak!A:A,TicketsBreak!E:E,"",0),0)</f>
        <v>09:15 - 09:30</v>
      </c>
      <c r="I1429" s="316" t="str">
        <f t="array" ref="I1429">XLOOKUP(B1429,Roster!L:L,Roster!O:O,XLOOKUP(D1429,TicketsBreak!A:A,TicketsBreak!F:F,"",0),0)</f>
        <v>11:30 - 12:00</v>
      </c>
      <c r="J1429" s="316" t="str">
        <f t="array" ref="J1429">XLOOKUP(B1429,Roster!L:L,Roster!P:P,XLOOKUP(D1429,TicketsBreak!A:A,TicketsBreak!G:G,"",0),0)</f>
        <v>14:30 - 14:45</v>
      </c>
      <c r="K1429" s="310">
        <f t="shared" si="4"/>
        <v>46125</v>
      </c>
      <c r="L1429" s="317">
        <f t="array" ref="L1429">(XLOOKUP(D1429,Roster!F:F,Roster!D:D,"",0))</f>
        <v>35</v>
      </c>
      <c r="M1429" s="317" t="str">
        <f t="array" ref="M1429">XLOOKUP(D1429,Roster!F:F,Roster!E:E)</f>
        <v>Voice</v>
      </c>
      <c r="N1429" s="317" t="str">
        <f t="shared" ref="N1429:P1429" si="1451">LEFT(H1429,5)</f>
        <v>09:15</v>
      </c>
      <c r="O1429" s="317" t="str">
        <f t="shared" si="1451"/>
        <v>11:30</v>
      </c>
      <c r="P1429" s="317" t="str">
        <f t="shared" si="1451"/>
        <v>14:30</v>
      </c>
      <c r="Q1429" s="318">
        <f t="shared" si="1374"/>
        <v>46125.38542</v>
      </c>
      <c r="R1429" s="318">
        <f t="shared" si="1233"/>
        <v>46125.47917</v>
      </c>
      <c r="S1429" s="318">
        <f t="shared" si="8"/>
        <v>46125.60417</v>
      </c>
    </row>
    <row r="1430">
      <c r="A1430" s="14" t="str">
        <f t="shared" si="1"/>
        <v>C67346125</v>
      </c>
      <c r="B1430" s="185" t="str">
        <f t="array" ref="B1430">IF(F1430="VL","",IF(F1430="Free","Free",XLOOKUP(D1430,Roster!T:T,Roster!S:S,"",0)))</f>
        <v/>
      </c>
      <c r="C1430" s="313">
        <v>46125.0</v>
      </c>
      <c r="D1430" s="314" t="s">
        <v>156</v>
      </c>
      <c r="E1430" s="307" t="str">
        <f t="array" ref="E1430">(XLOOKUP(D1430,Roster!F:F,Roster!B:B,"",0))</f>
        <v>Dahiana Cano</v>
      </c>
      <c r="F1430" s="315" t="str">
        <f t="array" ref="F1430">IF(B1430=100,"Free",TEXT(XLOOKUP($D1430,OperationVoice!$A:$A,OperationVoice!S:S,XLOOKUP($D1430,OperationTickets!$A:$A,OperationTickets!S:S,"",0)),"hh:mm"))</f>
        <v>08:00</v>
      </c>
      <c r="G1430" s="309">
        <f t="shared" si="3"/>
        <v>0.7083333333</v>
      </c>
      <c r="H1430" s="316">
        <f t="array" ref="H1430">XLOOKUP(B1430,Roster!L:L,Roster!N:N,XLOOKUP(D1430,TicketsBreak!A:A,TicketsBreak!E:E,"",0),0)</f>
        <v>0.4583333333</v>
      </c>
      <c r="I1430" s="316">
        <f t="array" ref="I1430">XLOOKUP(B1430,Roster!L:L,Roster!O:O,XLOOKUP(D1430,TicketsBreak!A:A,TicketsBreak!F:F,"",0),0)</f>
        <v>0.5833333333</v>
      </c>
      <c r="J1430" s="316">
        <f t="array" ref="J1430">XLOOKUP(B1430,Roster!L:L,Roster!P:P,XLOOKUP(D1430,TicketsBreak!A:A,TicketsBreak!G:G,"",0),0)</f>
        <v>0.65625</v>
      </c>
      <c r="K1430" s="310">
        <f t="shared" si="4"/>
        <v>46125</v>
      </c>
      <c r="L1430" s="317">
        <f t="array" ref="L1430">(XLOOKUP(D1430,Roster!F:F,Roster!D:D,"",0))</f>
        <v>4</v>
      </c>
      <c r="M1430" s="317" t="str">
        <f t="array" ref="M1430">XLOOKUP(D1430,Roster!F:F,Roster!E:E)</f>
        <v>Tickets</v>
      </c>
      <c r="N1430" s="317" t="str">
        <f t="shared" ref="N1430:P1430" si="1452">LEFT(H1430,5)</f>
        <v>11:00</v>
      </c>
      <c r="O1430" s="317" t="str">
        <f t="shared" si="1452"/>
        <v>14:00</v>
      </c>
      <c r="P1430" s="317" t="str">
        <f t="shared" si="1452"/>
        <v>15:45</v>
      </c>
      <c r="Q1430" s="318">
        <f t="shared" si="1374"/>
        <v>46125.45833</v>
      </c>
      <c r="R1430" s="318">
        <f t="shared" si="1233"/>
        <v>46125.58333</v>
      </c>
      <c r="S1430" s="318">
        <f t="shared" si="8"/>
        <v>46125.65625</v>
      </c>
    </row>
    <row r="1431">
      <c r="A1431" s="14" t="str">
        <f t="shared" si="1"/>
        <v>C152946125</v>
      </c>
      <c r="B1431" s="185">
        <f t="array" ref="B1431">IF(F1431="VL","",IF(F1431="Free","Free",XLOOKUP(D1431,Roster!T:T,Roster!S:S,"",0)))</f>
        <v>133</v>
      </c>
      <c r="C1431" s="313">
        <v>46125.0</v>
      </c>
      <c r="D1431" s="314" t="s">
        <v>25</v>
      </c>
      <c r="E1431" s="307" t="str">
        <f t="array" ref="E1431">(XLOOKUP(D1431,Roster!F:F,Roster!B:B,"",0))</f>
        <v>Daniel Barrientos</v>
      </c>
      <c r="F1431" s="315" t="str">
        <f t="array" ref="F1431">IF(B1431=100,"Free",TEXT(XLOOKUP($D1431,OperationVoice!$A:$A,OperationVoice!S:S,XLOOKUP($D1431,OperationTickets!$A:$A,OperationTickets!S:S,"",0)),"hh:mm"))</f>
        <v>09:00</v>
      </c>
      <c r="G1431" s="309">
        <f t="shared" si="3"/>
        <v>0.75</v>
      </c>
      <c r="H1431" s="316" t="str">
        <f t="array" ref="H1431">XLOOKUP(B1431,Roster!L:L,Roster!N:N,XLOOKUP(D1431,TicketsBreak!A:A,TicketsBreak!E:E,"",0),0)</f>
        <v>10:45 - 11:00 </v>
      </c>
      <c r="I1431" s="316" t="str">
        <f t="array" ref="I1431">XLOOKUP(B1431,Roster!L:L,Roster!O:O,XLOOKUP(D1431,TicketsBreak!A:A,TicketsBreak!F:F,"",0),0)</f>
        <v>13:30 - 14:00</v>
      </c>
      <c r="J1431" s="316" t="str">
        <f t="array" ref="J1431">XLOOKUP(B1431,Roster!L:L,Roster!P:P,XLOOKUP(D1431,TicketsBreak!A:A,TicketsBreak!G:G,"",0),0)</f>
        <v>15:45 - 16:00</v>
      </c>
      <c r="K1431" s="310">
        <f t="shared" si="4"/>
        <v>46125</v>
      </c>
      <c r="L1431" s="317">
        <f t="array" ref="L1431">(XLOOKUP(D1431,Roster!F:F,Roster!D:D,"",0))</f>
        <v>36</v>
      </c>
      <c r="M1431" s="317" t="str">
        <f t="array" ref="M1431">XLOOKUP(D1431,Roster!F:F,Roster!E:E)</f>
        <v>Voice</v>
      </c>
      <c r="N1431" s="317" t="str">
        <f t="shared" ref="N1431:P1431" si="1453">LEFT(H1431,5)</f>
        <v>10:45</v>
      </c>
      <c r="O1431" s="317" t="str">
        <f t="shared" si="1453"/>
        <v>13:30</v>
      </c>
      <c r="P1431" s="317" t="str">
        <f t="shared" si="1453"/>
        <v>15:45</v>
      </c>
      <c r="Q1431" s="318">
        <f t="shared" si="1374"/>
        <v>46125.44792</v>
      </c>
      <c r="R1431" s="318">
        <f t="shared" si="1233"/>
        <v>46125.5625</v>
      </c>
      <c r="S1431" s="318">
        <f t="shared" si="8"/>
        <v>46125.65625</v>
      </c>
    </row>
    <row r="1432">
      <c r="A1432" s="14" t="str">
        <f t="shared" si="1"/>
        <v>C106446125</v>
      </c>
      <c r="B1432" s="185" t="str">
        <f t="array" ref="B1432">IF(F1432="VL","",IF(F1432="Free","Free",XLOOKUP(D1432,Roster!T:T,Roster!S:S,"",0)))</f>
        <v/>
      </c>
      <c r="C1432" s="313">
        <v>46125.0</v>
      </c>
      <c r="D1432" s="314" t="s">
        <v>175</v>
      </c>
      <c r="E1432" s="307" t="str">
        <f t="array" ref="E1432">(XLOOKUP(D1432,Roster!F:F,Roster!B:B,"",0))</f>
        <v>Daniel Urrego</v>
      </c>
      <c r="F1432" s="315" t="str">
        <f t="array" ref="F1432">IF(B1432=100,"Free",TEXT(XLOOKUP($D1432,OperationVoice!$A:$A,OperationVoice!S:S,XLOOKUP($D1432,OperationTickets!$A:$A,OperationTickets!S:S,"",0)),"hh:mm"))</f>
        <v>08:00</v>
      </c>
      <c r="G1432" s="309">
        <f t="shared" si="3"/>
        <v>0.7083333333</v>
      </c>
      <c r="H1432" s="316" t="str">
        <f t="array" ref="H1432">XLOOKUP(B1432,Roster!L:L,Roster!N:N,XLOOKUP(D1432,TicketsBreak!A:A,TicketsBreak!E:E,"",0),0)</f>
        <v/>
      </c>
      <c r="I1432" s="316" t="str">
        <f t="array" ref="I1432">XLOOKUP(B1432,Roster!L:L,Roster!O:O,XLOOKUP(D1432,TicketsBreak!A:A,TicketsBreak!F:F,"",0),0)</f>
        <v/>
      </c>
      <c r="J1432" s="316" t="str">
        <f t="array" ref="J1432">XLOOKUP(B1432,Roster!L:L,Roster!P:P,XLOOKUP(D1432,TicketsBreak!A:A,TicketsBreak!G:G,"",0),0)</f>
        <v/>
      </c>
      <c r="K1432" s="310">
        <f t="shared" si="4"/>
        <v>46125</v>
      </c>
      <c r="L1432" s="317">
        <f t="array" ref="L1432">(XLOOKUP(D1432,Roster!F:F,Roster!D:D,"",0))</f>
        <v>17</v>
      </c>
      <c r="M1432" s="317" t="str">
        <f t="array" ref="M1432">XLOOKUP(D1432,Roster!F:F,Roster!E:E)</f>
        <v>Tickets</v>
      </c>
      <c r="N1432" s="317" t="str">
        <f t="shared" ref="N1432:P1432" si="1454">LEFT(H1432,5)</f>
        <v/>
      </c>
      <c r="O1432" s="317" t="str">
        <f t="shared" si="1454"/>
        <v/>
      </c>
      <c r="P1432" s="317" t="str">
        <f t="shared" si="1454"/>
        <v/>
      </c>
      <c r="Q1432" s="318" t="str">
        <f t="shared" si="1374"/>
        <v/>
      </c>
      <c r="R1432" s="318" t="str">
        <f t="shared" si="1233"/>
        <v/>
      </c>
      <c r="S1432" s="318" t="str">
        <f t="shared" si="8"/>
        <v/>
      </c>
    </row>
    <row r="1433">
      <c r="A1433" s="14" t="str">
        <f t="shared" si="1"/>
        <v>C151346125</v>
      </c>
      <c r="B1433" s="185">
        <f t="array" ref="B1433">IF(F1433="VL","",IF(F1433="Free","Free",XLOOKUP(D1433,Roster!T:T,Roster!S:S,"",0)))</f>
        <v>126</v>
      </c>
      <c r="C1433" s="313">
        <v>46125.0</v>
      </c>
      <c r="D1433" s="314" t="s">
        <v>26</v>
      </c>
      <c r="E1433" s="307" t="str">
        <f t="array" ref="E1433">(XLOOKUP(D1433,Roster!F:F,Roster!B:B,"",0))</f>
        <v>David Patino</v>
      </c>
      <c r="F1433" s="315" t="str">
        <f t="array" ref="F1433">IF(B1433=100,"Free",TEXT(XLOOKUP($D1433,OperationVoice!$A:$A,OperationVoice!S:S,XLOOKUP($D1433,OperationTickets!$A:$A,OperationTickets!S:S,"",0)),"hh:mm"))</f>
        <v>08:00</v>
      </c>
      <c r="G1433" s="309">
        <f t="shared" si="3"/>
        <v>0.7083333333</v>
      </c>
      <c r="H1433" s="316" t="str">
        <f t="array" ref="H1433">XLOOKUP(B1433,Roster!L:L,Roster!N:N,XLOOKUP(D1433,TicketsBreak!A:A,TicketsBreak!E:E,"",0),0)</f>
        <v>10:45 - 11:00</v>
      </c>
      <c r="I1433" s="316" t="str">
        <f t="array" ref="I1433">XLOOKUP(B1433,Roster!L:L,Roster!O:O,XLOOKUP(D1433,TicketsBreak!A:A,TicketsBreak!F:F,"",0),0)</f>
        <v>14:00 - 14:30</v>
      </c>
      <c r="J1433" s="316" t="str">
        <f t="array" ref="J1433">XLOOKUP(B1433,Roster!L:L,Roster!P:P,XLOOKUP(D1433,TicketsBreak!A:A,TicketsBreak!G:G,"",0),0)</f>
        <v>15:45 - 16:00</v>
      </c>
      <c r="K1433" s="310">
        <f t="shared" si="4"/>
        <v>46125</v>
      </c>
      <c r="L1433" s="317">
        <f t="array" ref="L1433">(XLOOKUP(D1433,Roster!F:F,Roster!D:D,"",0))</f>
        <v>35</v>
      </c>
      <c r="M1433" s="317" t="str">
        <f t="array" ref="M1433">XLOOKUP(D1433,Roster!F:F,Roster!E:E)</f>
        <v>Voice</v>
      </c>
      <c r="N1433" s="317" t="str">
        <f t="shared" ref="N1433:P1433" si="1455">LEFT(H1433,5)</f>
        <v>10:45</v>
      </c>
      <c r="O1433" s="317" t="str">
        <f t="shared" si="1455"/>
        <v>14:00</v>
      </c>
      <c r="P1433" s="317" t="str">
        <f t="shared" si="1455"/>
        <v>15:45</v>
      </c>
      <c r="Q1433" s="318">
        <f t="shared" si="1374"/>
        <v>46125.44792</v>
      </c>
      <c r="R1433" s="318">
        <f t="shared" si="1233"/>
        <v>46125.58333</v>
      </c>
      <c r="S1433" s="318">
        <f t="shared" si="8"/>
        <v>46125.65625</v>
      </c>
    </row>
    <row r="1434">
      <c r="A1434" s="14" t="str">
        <f t="shared" si="1"/>
        <v>C127746125</v>
      </c>
      <c r="B1434" s="185" t="str">
        <f t="array" ref="B1434">IF(F1434="VL","",IF(F1434="Free","Free",XLOOKUP(D1434,Roster!T:T,Roster!S:S,"",0)))</f>
        <v>Free</v>
      </c>
      <c r="C1434" s="313">
        <v>46125.0</v>
      </c>
      <c r="D1434" s="314" t="s">
        <v>27</v>
      </c>
      <c r="E1434" s="307" t="str">
        <f t="array" ref="E1434">(XLOOKUP(D1434,Roster!F:F,Roster!B:B,"",0))</f>
        <v>Edwuin Martinez</v>
      </c>
      <c r="F1434" s="315" t="str">
        <f t="array" ref="F1434">IF(B1434=100,"Free",TEXT(XLOOKUP($D1434,OperationVoice!$A:$A,OperationVoice!S:S,XLOOKUP($D1434,OperationTickets!$A:$A,OperationTickets!S:S,"",0)),"hh:mm"))</f>
        <v>Free</v>
      </c>
      <c r="G1434" s="309" t="str">
        <f t="shared" si="3"/>
        <v>Free</v>
      </c>
      <c r="H1434" s="316" t="str">
        <f t="array" ref="H1434">XLOOKUP(B1434,Roster!L:L,Roster!N:N,XLOOKUP(D1434,TicketsBreak!A:A,TicketsBreak!E:E,"",0),0)</f>
        <v/>
      </c>
      <c r="I1434" s="316" t="str">
        <f t="array" ref="I1434">XLOOKUP(B1434,Roster!L:L,Roster!O:O,XLOOKUP(D1434,TicketsBreak!A:A,TicketsBreak!F:F,"",0),0)</f>
        <v/>
      </c>
      <c r="J1434" s="316" t="str">
        <f t="array" ref="J1434">XLOOKUP(B1434,Roster!L:L,Roster!P:P,XLOOKUP(D1434,TicketsBreak!A:A,TicketsBreak!G:G,"",0),0)</f>
        <v/>
      </c>
      <c r="K1434" s="310">
        <f t="shared" si="4"/>
        <v>46125</v>
      </c>
      <c r="L1434" s="317">
        <f t="array" ref="L1434">(XLOOKUP(D1434,Roster!F:F,Roster!D:D,"",0))</f>
        <v>27</v>
      </c>
      <c r="M1434" s="317" t="str">
        <f t="array" ref="M1434">XLOOKUP(D1434,Roster!F:F,Roster!E:E)</f>
        <v>Voice</v>
      </c>
      <c r="N1434" s="317" t="str">
        <f t="shared" ref="N1434:P1434" si="1456">LEFT(H1434,5)</f>
        <v/>
      </c>
      <c r="O1434" s="317" t="str">
        <f t="shared" si="1456"/>
        <v/>
      </c>
      <c r="P1434" s="317" t="str">
        <f t="shared" si="1456"/>
        <v/>
      </c>
      <c r="Q1434" s="318" t="str">
        <f t="shared" si="1374"/>
        <v/>
      </c>
      <c r="R1434" s="318" t="str">
        <f t="shared" si="1233"/>
        <v/>
      </c>
      <c r="S1434" s="318" t="str">
        <f t="shared" si="8"/>
        <v/>
      </c>
    </row>
    <row r="1435">
      <c r="A1435" s="14" t="str">
        <f t="shared" si="1"/>
        <v>C121646125</v>
      </c>
      <c r="B1435" s="185" t="str">
        <f t="array" ref="B1435">IF(F1435="VL","",IF(F1435="Free","Free",XLOOKUP(D1435,Roster!T:T,Roster!S:S,"",0)))</f>
        <v/>
      </c>
      <c r="C1435" s="313">
        <v>46125.0</v>
      </c>
      <c r="D1435" s="314" t="s">
        <v>134</v>
      </c>
      <c r="E1435" s="307" t="str">
        <f t="array" ref="E1435">(XLOOKUP(D1435,Roster!F:F,Roster!B:B,"",0))</f>
        <v>Eliana Pena</v>
      </c>
      <c r="F1435" s="315" t="str">
        <f t="array" ref="F1435">IF(B1435=100,"Free",TEXT(XLOOKUP($D1435,OperationVoice!$A:$A,OperationVoice!S:S,XLOOKUP($D1435,OperationTickets!$A:$A,OperationTickets!S:S,"",0)),"hh:mm"))</f>
        <v>08:00</v>
      </c>
      <c r="G1435" s="309">
        <f t="shared" si="3"/>
        <v>0.7083333333</v>
      </c>
      <c r="H1435" s="316">
        <f t="array" ref="H1435">XLOOKUP(B1435,Roster!L:L,Roster!N:N,XLOOKUP(D1435,TicketsBreak!A:A,TicketsBreak!E:E,"",0),0)</f>
        <v>0.3958333333</v>
      </c>
      <c r="I1435" s="316">
        <f t="array" ref="I1435">XLOOKUP(B1435,Roster!L:L,Roster!O:O,XLOOKUP(D1435,TicketsBreak!A:A,TicketsBreak!F:F,"",0),0)</f>
        <v>0.5416666667</v>
      </c>
      <c r="J1435" s="316">
        <f t="array" ref="J1435">XLOOKUP(B1435,Roster!L:L,Roster!P:P,XLOOKUP(D1435,TicketsBreak!A:A,TicketsBreak!G:G,"",0),0)</f>
        <v>0.6354166667</v>
      </c>
      <c r="K1435" s="310">
        <f t="shared" si="4"/>
        <v>46125</v>
      </c>
      <c r="L1435" s="317">
        <f t="array" ref="L1435">(XLOOKUP(D1435,Roster!F:F,Roster!D:D,"",0))</f>
        <v>26</v>
      </c>
      <c r="M1435" s="317" t="str">
        <f t="array" ref="M1435">XLOOKUP(D1435,Roster!F:F,Roster!E:E)</f>
        <v>Tickets</v>
      </c>
      <c r="N1435" s="317" t="str">
        <f t="shared" ref="N1435:P1435" si="1457">LEFT(H1435,5)</f>
        <v>09:30</v>
      </c>
      <c r="O1435" s="317" t="str">
        <f t="shared" si="1457"/>
        <v>13:00</v>
      </c>
      <c r="P1435" s="317" t="str">
        <f t="shared" si="1457"/>
        <v>15:15</v>
      </c>
      <c r="Q1435" s="318">
        <f t="shared" si="1374"/>
        <v>46125.39583</v>
      </c>
      <c r="R1435" s="318">
        <f t="shared" si="1233"/>
        <v>46125.54167</v>
      </c>
      <c r="S1435" s="318">
        <f t="shared" si="8"/>
        <v>46125.63542</v>
      </c>
    </row>
    <row r="1436">
      <c r="A1436" s="14" t="str">
        <f t="shared" si="1"/>
        <v>C157346125</v>
      </c>
      <c r="B1436" s="185">
        <f t="array" ref="B1436">IF(F1436="VL","",IF(F1436="Free","Free",XLOOKUP(D1436,Roster!T:T,Roster!S:S,"",0)))</f>
        <v>123</v>
      </c>
      <c r="C1436" s="313">
        <v>46125.0</v>
      </c>
      <c r="D1436" s="314" t="s">
        <v>28</v>
      </c>
      <c r="E1436" s="307" t="str">
        <f t="array" ref="E1436">(XLOOKUP(D1436,Roster!F:F,Roster!B:B,"",0))</f>
        <v>Esteban Correa</v>
      </c>
      <c r="F1436" s="315" t="str">
        <f t="array" ref="F1436">IF(B1436=100,"Free",TEXT(XLOOKUP($D1436,OperationVoice!$A:$A,OperationVoice!S:S,XLOOKUP($D1436,OperationTickets!$A:$A,OperationTickets!S:S,"",0)),"hh:mm"))</f>
        <v>08:00</v>
      </c>
      <c r="G1436" s="309">
        <f t="shared" si="3"/>
        <v>0.7083333333</v>
      </c>
      <c r="H1436" s="316" t="str">
        <f t="array" ref="H1436">XLOOKUP(B1436,Roster!L:L,Roster!N:N,XLOOKUP(D1436,TicketsBreak!A:A,TicketsBreak!E:E,"",0),0)</f>
        <v>09:45 - 10:00 </v>
      </c>
      <c r="I1436" s="316" t="str">
        <f t="array" ref="I1436">XLOOKUP(B1436,Roster!L:L,Roster!O:O,XLOOKUP(D1436,TicketsBreak!A:A,TicketsBreak!F:F,"",0),0)</f>
        <v>12:30 - 13:00</v>
      </c>
      <c r="J1436" s="316" t="str">
        <f t="array" ref="J1436">XLOOKUP(B1436,Roster!L:L,Roster!P:P,XLOOKUP(D1436,TicketsBreak!A:A,TicketsBreak!G:G,"",0),0)</f>
        <v>15:00 - 15:15</v>
      </c>
      <c r="K1436" s="310">
        <f t="shared" si="4"/>
        <v>46125</v>
      </c>
      <c r="L1436" s="317">
        <f t="array" ref="L1436">(XLOOKUP(D1436,Roster!F:F,Roster!D:D,"",0))</f>
        <v>38</v>
      </c>
      <c r="M1436" s="317" t="str">
        <f t="array" ref="M1436">XLOOKUP(D1436,Roster!F:F,Roster!E:E)</f>
        <v>Voice</v>
      </c>
      <c r="N1436" s="317" t="str">
        <f t="shared" ref="N1436:P1436" si="1458">LEFT(H1436,5)</f>
        <v>09:45</v>
      </c>
      <c r="O1436" s="317" t="str">
        <f t="shared" si="1458"/>
        <v>12:30</v>
      </c>
      <c r="P1436" s="317" t="str">
        <f t="shared" si="1458"/>
        <v>15:00</v>
      </c>
      <c r="Q1436" s="318">
        <f t="shared" si="1374"/>
        <v>46125.40625</v>
      </c>
      <c r="R1436" s="318">
        <f t="shared" si="1233"/>
        <v>46125.52083</v>
      </c>
      <c r="S1436" s="318">
        <f t="shared" si="8"/>
        <v>46125.625</v>
      </c>
    </row>
    <row r="1437">
      <c r="A1437" s="14" t="str">
        <f t="shared" si="1"/>
        <v>C71346125</v>
      </c>
      <c r="B1437" s="185">
        <f t="array" ref="B1437">IF(F1437="VL","",IF(F1437="Free","Free",XLOOKUP(D1437,Roster!T:T,Roster!S:S,"",0)))</f>
        <v>125</v>
      </c>
      <c r="C1437" s="313">
        <v>46125.0</v>
      </c>
      <c r="D1437" s="314" t="s">
        <v>29</v>
      </c>
      <c r="E1437" s="307" t="str">
        <f t="array" ref="E1437">(XLOOKUP(D1437,Roster!F:F,Roster!B:B,"",0))</f>
        <v>Frank Marin</v>
      </c>
      <c r="F1437" s="315" t="str">
        <f t="array" ref="F1437">IF(B1437=100,"Free",TEXT(XLOOKUP($D1437,OperationVoice!$A:$A,OperationVoice!S:S,XLOOKUP($D1437,OperationTickets!$A:$A,OperationTickets!S:S,"",0)),"hh:mm"))</f>
        <v>08:00</v>
      </c>
      <c r="G1437" s="309">
        <f t="shared" si="3"/>
        <v>0.7083333333</v>
      </c>
      <c r="H1437" s="316" t="str">
        <f t="array" ref="H1437">XLOOKUP(B1437,Roster!L:L,Roster!N:N,XLOOKUP(D1437,TicketsBreak!A:A,TicketsBreak!E:E,"",0),0)</f>
        <v>10:30 - 10:45</v>
      </c>
      <c r="I1437" s="316" t="str">
        <f t="array" ref="I1437">XLOOKUP(B1437,Roster!L:L,Roster!O:O,XLOOKUP(D1437,TicketsBreak!A:A,TicketsBreak!F:F,"",0),0)</f>
        <v>13:30 - 14:00</v>
      </c>
      <c r="J1437" s="316" t="str">
        <f t="array" ref="J1437">XLOOKUP(B1437,Roster!L:L,Roster!P:P,XLOOKUP(D1437,TicketsBreak!A:A,TicketsBreak!G:G,"",0),0)</f>
        <v>15:45 - 16:00</v>
      </c>
      <c r="K1437" s="310">
        <f t="shared" si="4"/>
        <v>46125</v>
      </c>
      <c r="L1437" s="317">
        <f t="array" ref="L1437">(XLOOKUP(D1437,Roster!F:F,Roster!D:D,"",0))</f>
        <v>6</v>
      </c>
      <c r="M1437" s="317" t="str">
        <f t="array" ref="M1437">XLOOKUP(D1437,Roster!F:F,Roster!E:E)</f>
        <v>Voice</v>
      </c>
      <c r="N1437" s="317" t="str">
        <f t="shared" ref="N1437:P1437" si="1459">LEFT(H1437,5)</f>
        <v>10:30</v>
      </c>
      <c r="O1437" s="317" t="str">
        <f t="shared" si="1459"/>
        <v>13:30</v>
      </c>
      <c r="P1437" s="317" t="str">
        <f t="shared" si="1459"/>
        <v>15:45</v>
      </c>
      <c r="Q1437" s="318">
        <f t="shared" si="1374"/>
        <v>46125.4375</v>
      </c>
      <c r="R1437" s="318">
        <f t="shared" si="1233"/>
        <v>46125.5625</v>
      </c>
      <c r="S1437" s="318">
        <f t="shared" si="8"/>
        <v>46125.65625</v>
      </c>
    </row>
    <row r="1438">
      <c r="A1438" s="14" t="str">
        <f t="shared" si="1"/>
        <v>C154846125</v>
      </c>
      <c r="B1438" s="185">
        <f t="array" ref="B1438">IF(F1438="VL","",IF(F1438="Free","Free",XLOOKUP(D1438,Roster!T:T,Roster!S:S,"",0)))</f>
        <v>152</v>
      </c>
      <c r="C1438" s="313">
        <v>46125.0</v>
      </c>
      <c r="D1438" s="314" t="s">
        <v>30</v>
      </c>
      <c r="E1438" s="307" t="str">
        <f t="array" ref="E1438">(XLOOKUP(D1438,Roster!F:F,Roster!B:B,"",0))</f>
        <v>Frey ortiz</v>
      </c>
      <c r="F1438" s="315" t="str">
        <f t="array" ref="F1438">IF(B1438=100,"Free",TEXT(XLOOKUP($D1438,OperationVoice!$A:$A,OperationVoice!S:S,XLOOKUP($D1438,OperationTickets!$A:$A,OperationTickets!S:S,"",0)),"hh:mm"))</f>
        <v>11:00</v>
      </c>
      <c r="G1438" s="309">
        <f t="shared" si="3"/>
        <v>0.8333333333</v>
      </c>
      <c r="H1438" s="316" t="str">
        <f t="array" ref="H1438">XLOOKUP(B1438,Roster!L:L,Roster!N:N,XLOOKUP(D1438,TicketsBreak!A:A,TicketsBreak!E:E,"",0),0)</f>
        <v>12:30 - 12:45</v>
      </c>
      <c r="I1438" s="316" t="str">
        <f t="array" ref="I1438">XLOOKUP(B1438,Roster!L:L,Roster!O:O,XLOOKUP(D1438,TicketsBreak!A:A,TicketsBreak!F:F,"",0),0)</f>
        <v>14:30 - 15:00</v>
      </c>
      <c r="J1438" s="316" t="str">
        <f t="array" ref="J1438">XLOOKUP(B1438,Roster!L:L,Roster!P:P,XLOOKUP(D1438,TicketsBreak!A:A,TicketsBreak!G:G,"",0),0)</f>
        <v>17:30 - 17:45</v>
      </c>
      <c r="K1438" s="310">
        <f t="shared" si="4"/>
        <v>46125</v>
      </c>
      <c r="L1438" s="317">
        <f t="array" ref="L1438">(XLOOKUP(D1438,Roster!F:F,Roster!D:D,"",0))</f>
        <v>37</v>
      </c>
      <c r="M1438" s="317" t="str">
        <f t="array" ref="M1438">XLOOKUP(D1438,Roster!F:F,Roster!E:E)</f>
        <v>Voice</v>
      </c>
      <c r="N1438" s="317" t="str">
        <f t="shared" ref="N1438:P1438" si="1460">LEFT(H1438,5)</f>
        <v>12:30</v>
      </c>
      <c r="O1438" s="317" t="str">
        <f t="shared" si="1460"/>
        <v>14:30</v>
      </c>
      <c r="P1438" s="317" t="str">
        <f t="shared" si="1460"/>
        <v>17:30</v>
      </c>
      <c r="Q1438" s="318">
        <f t="shared" si="1374"/>
        <v>46125.52083</v>
      </c>
      <c r="R1438" s="318">
        <f t="shared" si="1233"/>
        <v>46125.60417</v>
      </c>
      <c r="S1438" s="318">
        <f t="shared" si="8"/>
        <v>46125.72917</v>
      </c>
    </row>
    <row r="1439">
      <c r="A1439" s="14" t="str">
        <f t="shared" si="1"/>
        <v>C148646125</v>
      </c>
      <c r="B1439" s="185">
        <f t="array" ref="B1439">IF(F1439="VL","",IF(F1439="Free","Free",XLOOKUP(D1439,Roster!T:T,Roster!S:S,"",0)))</f>
        <v>154</v>
      </c>
      <c r="C1439" s="313">
        <v>46125.0</v>
      </c>
      <c r="D1439" s="314" t="s">
        <v>31</v>
      </c>
      <c r="E1439" s="307" t="str">
        <f t="array" ref="E1439">(XLOOKUP(D1439,Roster!F:F,Roster!B:B,"",0))</f>
        <v>Gabriel Gomez</v>
      </c>
      <c r="F1439" s="315" t="str">
        <f t="array" ref="F1439">IF(B1439=100,"Free",TEXT(XLOOKUP($D1439,OperationVoice!$A:$A,OperationVoice!S:S,XLOOKUP($D1439,OperationTickets!$A:$A,OperationTickets!S:S,"",0)),"hh:mm"))</f>
        <v>11:00</v>
      </c>
      <c r="G1439" s="309">
        <f t="shared" si="3"/>
        <v>0.8333333333</v>
      </c>
      <c r="H1439" s="316" t="str">
        <f t="array" ref="H1439">XLOOKUP(B1439,Roster!L:L,Roster!N:N,XLOOKUP(D1439,TicketsBreak!A:A,TicketsBreak!E:E,"",0),0)</f>
        <v>13:00 - 13:15</v>
      </c>
      <c r="I1439" s="316" t="str">
        <f t="array" ref="I1439">XLOOKUP(B1439,Roster!L:L,Roster!O:O,XLOOKUP(D1439,TicketsBreak!A:A,TicketsBreak!F:F,"",0),0)</f>
        <v>15:15 - 15:45</v>
      </c>
      <c r="J1439" s="316" t="str">
        <f t="array" ref="J1439">XLOOKUP(B1439,Roster!L:L,Roster!P:P,XLOOKUP(D1439,TicketsBreak!A:A,TicketsBreak!G:G,"",0),0)</f>
        <v>18:00 - 18:15</v>
      </c>
      <c r="K1439" s="310">
        <f t="shared" si="4"/>
        <v>46125</v>
      </c>
      <c r="L1439" s="317">
        <f t="array" ref="L1439">(XLOOKUP(D1439,Roster!F:F,Roster!D:D,"",0))</f>
        <v>34</v>
      </c>
      <c r="M1439" s="317" t="str">
        <f t="array" ref="M1439">XLOOKUP(D1439,Roster!F:F,Roster!E:E)</f>
        <v>Voice</v>
      </c>
      <c r="N1439" s="317" t="str">
        <f t="shared" ref="N1439:P1439" si="1461">LEFT(H1439,5)</f>
        <v>13:00</v>
      </c>
      <c r="O1439" s="317" t="str">
        <f t="shared" si="1461"/>
        <v>15:15</v>
      </c>
      <c r="P1439" s="317" t="str">
        <f t="shared" si="1461"/>
        <v>18:00</v>
      </c>
      <c r="Q1439" s="318">
        <f t="shared" si="1374"/>
        <v>46125.54167</v>
      </c>
      <c r="R1439" s="318">
        <f t="shared" si="1233"/>
        <v>46125.63542</v>
      </c>
      <c r="S1439" s="318">
        <f t="shared" si="8"/>
        <v>46125.75</v>
      </c>
    </row>
    <row r="1440">
      <c r="A1440" s="14" t="str">
        <f t="shared" si="1"/>
        <v>C136946125</v>
      </c>
      <c r="B1440" s="185">
        <f t="array" ref="B1440">IF(F1440="VL","",IF(F1440="Free","Free",XLOOKUP(D1440,Roster!T:T,Roster!S:S,"",0)))</f>
        <v>126</v>
      </c>
      <c r="C1440" s="313">
        <v>46125.0</v>
      </c>
      <c r="D1440" s="314" t="s">
        <v>157</v>
      </c>
      <c r="E1440" s="307" t="str">
        <f t="array" ref="E1440">(XLOOKUP(D1440,Roster!F:F,Roster!B:B,"",0))</f>
        <v>Gabriela Jimenez</v>
      </c>
      <c r="F1440" s="315" t="str">
        <f t="array" ref="F1440">IF(B1440=100,"Free",TEXT(XLOOKUP($D1440,OperationVoice!$A:$A,OperationVoice!S:S,XLOOKUP($D1440,OperationTickets!$A:$A,OperationTickets!S:S,"",0)),"hh:mm"))</f>
        <v>08:00</v>
      </c>
      <c r="G1440" s="309">
        <f t="shared" si="3"/>
        <v>0.7083333333</v>
      </c>
      <c r="H1440" s="316" t="str">
        <f t="array" ref="H1440">XLOOKUP(B1440,Roster!L:L,Roster!N:N,XLOOKUP(D1440,TicketsBreak!A:A,TicketsBreak!E:E,"",0),0)</f>
        <v>10:45 - 11:00</v>
      </c>
      <c r="I1440" s="316" t="str">
        <f t="array" ref="I1440">XLOOKUP(B1440,Roster!L:L,Roster!O:O,XLOOKUP(D1440,TicketsBreak!A:A,TicketsBreak!F:F,"",0),0)</f>
        <v>14:00 - 14:30</v>
      </c>
      <c r="J1440" s="316" t="str">
        <f t="array" ref="J1440">XLOOKUP(B1440,Roster!L:L,Roster!P:P,XLOOKUP(D1440,TicketsBreak!A:A,TicketsBreak!G:G,"",0),0)</f>
        <v>15:45 - 16:00</v>
      </c>
      <c r="K1440" s="310">
        <f t="shared" si="4"/>
        <v>46125</v>
      </c>
      <c r="L1440" s="317">
        <f t="array" ref="L1440">(XLOOKUP(D1440,Roster!F:F,Roster!D:D,"",0))</f>
        <v>31</v>
      </c>
      <c r="M1440" s="317" t="str">
        <f t="array" ref="M1440">XLOOKUP(D1440,Roster!F:F,Roster!E:E)</f>
        <v>Tickets</v>
      </c>
      <c r="N1440" s="317" t="str">
        <f t="shared" ref="N1440:P1440" si="1462">LEFT(H1440,5)</f>
        <v>10:45</v>
      </c>
      <c r="O1440" s="317" t="str">
        <f t="shared" si="1462"/>
        <v>14:00</v>
      </c>
      <c r="P1440" s="317" t="str">
        <f t="shared" si="1462"/>
        <v>15:45</v>
      </c>
      <c r="Q1440" s="318">
        <f t="shared" si="1374"/>
        <v>46125.44792</v>
      </c>
      <c r="R1440" s="318">
        <f t="shared" si="1233"/>
        <v>46125.58333</v>
      </c>
      <c r="S1440" s="318">
        <f t="shared" si="8"/>
        <v>46125.65625</v>
      </c>
    </row>
    <row r="1441">
      <c r="A1441" s="14" t="str">
        <f t="shared" si="1"/>
        <v>C101746125</v>
      </c>
      <c r="B1441" s="185">
        <f t="array" ref="B1441">IF(F1441="VL","",IF(F1441="Free","Free",XLOOKUP(D1441,Roster!T:T,Roster!S:S,"",0)))</f>
        <v>121</v>
      </c>
      <c r="C1441" s="313">
        <v>46125.0</v>
      </c>
      <c r="D1441" s="314" t="s">
        <v>32</v>
      </c>
      <c r="E1441" s="307" t="str">
        <f t="array" ref="E1441">(XLOOKUP(D1441,Roster!F:F,Roster!B:B,"",0))</f>
        <v>Geraldine Correa</v>
      </c>
      <c r="F1441" s="315" t="str">
        <f t="array" ref="F1441">IF(B1441=100,"Free",TEXT(XLOOKUP($D1441,OperationVoice!$A:$A,OperationVoice!S:S,XLOOKUP($D1441,OperationTickets!$A:$A,OperationTickets!S:S,"",0)),"hh:mm"))</f>
        <v>08:00</v>
      </c>
      <c r="G1441" s="309">
        <f t="shared" si="3"/>
        <v>0.7083333333</v>
      </c>
      <c r="H1441" s="316" t="str">
        <f t="array" ref="H1441">XLOOKUP(B1441,Roster!L:L,Roster!N:N,XLOOKUP(D1441,TicketsBreak!A:A,TicketsBreak!E:E,"",0),0)</f>
        <v>09:15 - 09:30</v>
      </c>
      <c r="I1441" s="316" t="str">
        <f t="array" ref="I1441">XLOOKUP(B1441,Roster!L:L,Roster!O:O,XLOOKUP(D1441,TicketsBreak!A:A,TicketsBreak!F:F,"",0),0)</f>
        <v>11:30 - 12:00</v>
      </c>
      <c r="J1441" s="316" t="str">
        <f t="array" ref="J1441">XLOOKUP(B1441,Roster!L:L,Roster!P:P,XLOOKUP(D1441,TicketsBreak!A:A,TicketsBreak!G:G,"",0),0)</f>
        <v>14:30 - 14:45</v>
      </c>
      <c r="K1441" s="310">
        <f t="shared" si="4"/>
        <v>46125</v>
      </c>
      <c r="L1441" s="317">
        <f t="array" ref="L1441">(XLOOKUP(D1441,Roster!F:F,Roster!D:D,"",0))</f>
        <v>23</v>
      </c>
      <c r="M1441" s="317" t="str">
        <f t="array" ref="M1441">XLOOKUP(D1441,Roster!F:F,Roster!E:E)</f>
        <v>Voice</v>
      </c>
      <c r="N1441" s="317" t="str">
        <f t="shared" ref="N1441:P1441" si="1463">LEFT(H1441,5)</f>
        <v>09:15</v>
      </c>
      <c r="O1441" s="317" t="str">
        <f t="shared" si="1463"/>
        <v>11:30</v>
      </c>
      <c r="P1441" s="317" t="str">
        <f t="shared" si="1463"/>
        <v>14:30</v>
      </c>
      <c r="Q1441" s="318">
        <f t="shared" si="1374"/>
        <v>46125.38542</v>
      </c>
      <c r="R1441" s="318">
        <f t="shared" si="1233"/>
        <v>46125.47917</v>
      </c>
      <c r="S1441" s="318">
        <f t="shared" si="8"/>
        <v>46125.60417</v>
      </c>
    </row>
    <row r="1442">
      <c r="A1442" s="14" t="str">
        <f t="shared" si="1"/>
        <v>C154146125</v>
      </c>
      <c r="B1442" s="185">
        <f t="array" ref="B1442">IF(F1442="VL","",IF(F1442="Free","Free",XLOOKUP(D1442,Roster!T:T,Roster!S:S,"",0)))</f>
        <v>155</v>
      </c>
      <c r="C1442" s="313">
        <v>46125.0</v>
      </c>
      <c r="D1442" s="314" t="s">
        <v>33</v>
      </c>
      <c r="E1442" s="307" t="str">
        <f t="array" ref="E1442">(XLOOKUP(D1442,Roster!F:F,Roster!B:B,"",0))</f>
        <v>Gisel Moya</v>
      </c>
      <c r="F1442" s="315" t="str">
        <f t="array" ref="F1442">IF(B1442=100,"Free",TEXT(XLOOKUP($D1442,OperationVoice!$A:$A,OperationVoice!S:S,XLOOKUP($D1442,OperationTickets!$A:$A,OperationTickets!S:S,"",0)),"hh:mm"))</f>
        <v>11:00</v>
      </c>
      <c r="G1442" s="309">
        <f t="shared" si="3"/>
        <v>0.8333333333</v>
      </c>
      <c r="H1442" s="316" t="str">
        <f t="array" ref="H1442">XLOOKUP(B1442,Roster!L:L,Roster!N:N,XLOOKUP(D1442,TicketsBreak!A:A,TicketsBreak!E:E,"",0),0)</f>
        <v>13:15 - 13:30</v>
      </c>
      <c r="I1442" s="316" t="str">
        <f t="array" ref="I1442">XLOOKUP(B1442,Roster!L:L,Roster!O:O,XLOOKUP(D1442,TicketsBreak!A:A,TicketsBreak!F:F,"",0),0)</f>
        <v>15:45 - 16:15</v>
      </c>
      <c r="J1442" s="316" t="str">
        <f t="array" ref="J1442">XLOOKUP(B1442,Roster!L:L,Roster!P:P,XLOOKUP(D1442,TicketsBreak!A:A,TicketsBreak!G:G,"",0),0)</f>
        <v>18:15 - 18:30</v>
      </c>
      <c r="K1442" s="310">
        <f t="shared" si="4"/>
        <v>46125</v>
      </c>
      <c r="L1442" s="317">
        <f t="array" ref="L1442">(XLOOKUP(D1442,Roster!F:F,Roster!D:D,"",0))</f>
        <v>36</v>
      </c>
      <c r="M1442" s="317" t="str">
        <f t="array" ref="M1442">XLOOKUP(D1442,Roster!F:F,Roster!E:E)</f>
        <v>Voice</v>
      </c>
      <c r="N1442" s="317" t="str">
        <f t="shared" ref="N1442:P1442" si="1464">LEFT(H1442,5)</f>
        <v>13:15</v>
      </c>
      <c r="O1442" s="317" t="str">
        <f t="shared" si="1464"/>
        <v>15:45</v>
      </c>
      <c r="P1442" s="317" t="str">
        <f t="shared" si="1464"/>
        <v>18:15</v>
      </c>
      <c r="Q1442" s="318">
        <f t="shared" si="1374"/>
        <v>46125.55208</v>
      </c>
      <c r="R1442" s="318">
        <f t="shared" si="1233"/>
        <v>46125.65625</v>
      </c>
      <c r="S1442" s="318">
        <f t="shared" si="8"/>
        <v>46125.76042</v>
      </c>
    </row>
    <row r="1443">
      <c r="A1443" s="14" t="str">
        <f t="shared" si="1"/>
        <v>C86046125</v>
      </c>
      <c r="B1443" s="185" t="str">
        <f t="array" ref="B1443">IF(F1443="VL","",IF(F1443="Free","Free",XLOOKUP(D1443,Roster!T:T,Roster!S:S,"",0)))</f>
        <v/>
      </c>
      <c r="C1443" s="313">
        <v>46125.0</v>
      </c>
      <c r="D1443" s="314" t="s">
        <v>158</v>
      </c>
      <c r="E1443" s="307" t="str">
        <f t="array" ref="E1443">(XLOOKUP(D1443,Roster!F:F,Roster!B:B,"",0))</f>
        <v>Ief Fabre</v>
      </c>
      <c r="F1443" s="315" t="str">
        <f t="array" ref="F1443">IF(B1443=100,"Free",TEXT(XLOOKUP($D1443,OperationVoice!$A:$A,OperationVoice!S:S,XLOOKUP($D1443,OperationTickets!$A:$A,OperationTickets!S:S,"",0)),"hh:mm"))</f>
        <v>08:00</v>
      </c>
      <c r="G1443" s="309">
        <f t="shared" si="3"/>
        <v>0.7083333333</v>
      </c>
      <c r="H1443" s="316">
        <f t="array" ref="H1443">XLOOKUP(B1443,Roster!L:L,Roster!N:N,XLOOKUP(D1443,TicketsBreak!A:A,TicketsBreak!E:E,"",0),0)</f>
        <v>0.4166666667</v>
      </c>
      <c r="I1443" s="316">
        <f t="array" ref="I1443">XLOOKUP(B1443,Roster!L:L,Roster!O:O,XLOOKUP(D1443,TicketsBreak!A:A,TicketsBreak!F:F,"",0),0)</f>
        <v>0.5</v>
      </c>
      <c r="J1443" s="316">
        <f t="array" ref="J1443">XLOOKUP(B1443,Roster!L:L,Roster!P:P,XLOOKUP(D1443,TicketsBreak!A:A,TicketsBreak!G:G,"",0),0)</f>
        <v>0.625</v>
      </c>
      <c r="K1443" s="310">
        <f t="shared" si="4"/>
        <v>46125</v>
      </c>
      <c r="L1443" s="317">
        <f t="array" ref="L1443">(XLOOKUP(D1443,Roster!F:F,Roster!D:D,"",0))</f>
        <v>10</v>
      </c>
      <c r="M1443" s="317" t="str">
        <f t="array" ref="M1443">XLOOKUP(D1443,Roster!F:F,Roster!E:E)</f>
        <v>Tickets</v>
      </c>
      <c r="N1443" s="317" t="str">
        <f t="shared" ref="N1443:P1443" si="1465">LEFT(H1443,5)</f>
        <v>10:00</v>
      </c>
      <c r="O1443" s="317" t="str">
        <f t="shared" si="1465"/>
        <v>12:00</v>
      </c>
      <c r="P1443" s="317" t="str">
        <f t="shared" si="1465"/>
        <v>15:00</v>
      </c>
      <c r="Q1443" s="318">
        <f t="shared" si="1374"/>
        <v>46125.41667</v>
      </c>
      <c r="R1443" s="318">
        <f t="shared" si="1233"/>
        <v>46125.5</v>
      </c>
      <c r="S1443" s="318">
        <f t="shared" si="8"/>
        <v>46125.625</v>
      </c>
    </row>
    <row r="1444">
      <c r="A1444" s="14" t="str">
        <f t="shared" si="1"/>
        <v>C148146125</v>
      </c>
      <c r="B1444" s="185">
        <f t="array" ref="B1444">IF(F1444="VL","",IF(F1444="Free","Free",XLOOKUP(D1444,Roster!T:T,Roster!S:S,"",0)))</f>
        <v>155</v>
      </c>
      <c r="C1444" s="313">
        <v>46125.0</v>
      </c>
      <c r="D1444" s="314" t="s">
        <v>34</v>
      </c>
      <c r="E1444" s="307" t="str">
        <f t="array" ref="E1444">(XLOOKUP(D1444,Roster!F:F,Roster!B:B,"",0))</f>
        <v>Jasam Mejia</v>
      </c>
      <c r="F1444" s="315" t="str">
        <f t="array" ref="F1444">IF(B1444=100,"Free",TEXT(XLOOKUP($D1444,OperationVoice!$A:$A,OperationVoice!S:S,XLOOKUP($D1444,OperationTickets!$A:$A,OperationTickets!S:S,"",0)),"hh:mm"))</f>
        <v>11:00</v>
      </c>
      <c r="G1444" s="309">
        <f t="shared" si="3"/>
        <v>0.8333333333</v>
      </c>
      <c r="H1444" s="316" t="str">
        <f t="array" ref="H1444">XLOOKUP(B1444,Roster!L:L,Roster!N:N,XLOOKUP(D1444,TicketsBreak!A:A,TicketsBreak!E:E,"",0),0)</f>
        <v>13:15 - 13:30</v>
      </c>
      <c r="I1444" s="316" t="str">
        <f t="array" ref="I1444">XLOOKUP(B1444,Roster!L:L,Roster!O:O,XLOOKUP(D1444,TicketsBreak!A:A,TicketsBreak!F:F,"",0),0)</f>
        <v>15:45 - 16:15</v>
      </c>
      <c r="J1444" s="316" t="str">
        <f t="array" ref="J1444">XLOOKUP(B1444,Roster!L:L,Roster!P:P,XLOOKUP(D1444,TicketsBreak!A:A,TicketsBreak!G:G,"",0),0)</f>
        <v>18:15 - 18:30</v>
      </c>
      <c r="K1444" s="310">
        <f t="shared" si="4"/>
        <v>46125</v>
      </c>
      <c r="L1444" s="317">
        <f t="array" ref="L1444">(XLOOKUP(D1444,Roster!F:F,Roster!D:D,"",0))</f>
        <v>34</v>
      </c>
      <c r="M1444" s="317" t="str">
        <f t="array" ref="M1444">XLOOKUP(D1444,Roster!F:F,Roster!E:E)</f>
        <v>Voice</v>
      </c>
      <c r="N1444" s="317" t="str">
        <f t="shared" ref="N1444:P1444" si="1466">LEFT(H1444,5)</f>
        <v>13:15</v>
      </c>
      <c r="O1444" s="317" t="str">
        <f t="shared" si="1466"/>
        <v>15:45</v>
      </c>
      <c r="P1444" s="317" t="str">
        <f t="shared" si="1466"/>
        <v>18:15</v>
      </c>
      <c r="Q1444" s="318">
        <f t="shared" si="1374"/>
        <v>46125.55208</v>
      </c>
      <c r="R1444" s="318">
        <f t="shared" si="1233"/>
        <v>46125.65625</v>
      </c>
      <c r="S1444" s="318">
        <f t="shared" si="8"/>
        <v>46125.76042</v>
      </c>
    </row>
    <row r="1445">
      <c r="A1445" s="14" t="str">
        <f t="shared" si="1"/>
        <v>C131846125</v>
      </c>
      <c r="B1445" s="185" t="str">
        <f t="array" ref="B1445">IF(F1445="VL","",IF(F1445="Free","Free",XLOOKUP(D1445,Roster!T:T,Roster!S:S,"",0)))</f>
        <v/>
      </c>
      <c r="C1445" s="313">
        <v>46125.0</v>
      </c>
      <c r="D1445" s="314" t="s">
        <v>159</v>
      </c>
      <c r="E1445" s="307" t="str">
        <f t="array" ref="E1445">(XLOOKUP(D1445,Roster!F:F,Roster!B:B,"",0))</f>
        <v>Jeampierre Jaramillo</v>
      </c>
      <c r="F1445" s="315" t="str">
        <f t="array" ref="F1445">IF(B1445=100,"Free",TEXT(XLOOKUP($D1445,OperationVoice!$A:$A,OperationVoice!S:S,XLOOKUP($D1445,OperationTickets!$A:$A,OperationTickets!S:S,"",0)),"hh:mm"))</f>
        <v>07:00</v>
      </c>
      <c r="G1445" s="309">
        <f t="shared" si="3"/>
        <v>0.6666666667</v>
      </c>
      <c r="H1445" s="316" t="str">
        <f t="array" ref="H1445">XLOOKUP(B1445,Roster!L:L,Roster!N:N,XLOOKUP(D1445,TicketsBreak!A:A,TicketsBreak!E:E,"",0),0)</f>
        <v/>
      </c>
      <c r="I1445" s="316" t="str">
        <f t="array" ref="I1445">XLOOKUP(B1445,Roster!L:L,Roster!O:O,XLOOKUP(D1445,TicketsBreak!A:A,TicketsBreak!F:F,"",0),0)</f>
        <v/>
      </c>
      <c r="J1445" s="316" t="str">
        <f t="array" ref="J1445">XLOOKUP(B1445,Roster!L:L,Roster!P:P,XLOOKUP(D1445,TicketsBreak!A:A,TicketsBreak!G:G,"",0),0)</f>
        <v/>
      </c>
      <c r="K1445" s="310">
        <f t="shared" si="4"/>
        <v>46125</v>
      </c>
      <c r="L1445" s="317">
        <f t="array" ref="L1445">(XLOOKUP(D1445,Roster!F:F,Roster!D:D,"",0))</f>
        <v>29</v>
      </c>
      <c r="M1445" s="317" t="str">
        <f t="array" ref="M1445">XLOOKUP(D1445,Roster!F:F,Roster!E:E)</f>
        <v>Tickets</v>
      </c>
      <c r="N1445" s="317" t="str">
        <f t="shared" ref="N1445:P1445" si="1467">LEFT(H1445,5)</f>
        <v/>
      </c>
      <c r="O1445" s="317" t="str">
        <f t="shared" si="1467"/>
        <v/>
      </c>
      <c r="P1445" s="317" t="str">
        <f t="shared" si="1467"/>
        <v/>
      </c>
      <c r="Q1445" s="318" t="str">
        <f t="shared" si="1374"/>
        <v/>
      </c>
      <c r="R1445" s="318" t="str">
        <f t="shared" si="1233"/>
        <v/>
      </c>
      <c r="S1445" s="318" t="str">
        <f t="shared" si="8"/>
        <v/>
      </c>
    </row>
    <row r="1446">
      <c r="A1446" s="14" t="str">
        <f t="shared" si="1"/>
        <v>C155046125</v>
      </c>
      <c r="B1446" s="185">
        <f t="array" ref="B1446">IF(F1446="VL","",IF(F1446="Free","Free",XLOOKUP(D1446,Roster!T:T,Roster!S:S,"",0)))</f>
        <v>126</v>
      </c>
      <c r="C1446" s="313">
        <v>46125.0</v>
      </c>
      <c r="D1446" s="314" t="s">
        <v>35</v>
      </c>
      <c r="E1446" s="307" t="str">
        <f t="array" ref="E1446">(XLOOKUP(D1446,Roster!F:F,Roster!B:B,"",0))</f>
        <v>Jeidin Vargas</v>
      </c>
      <c r="F1446" s="315" t="str">
        <f t="array" ref="F1446">IF(B1446=100,"Free",TEXT(XLOOKUP($D1446,OperationVoice!$A:$A,OperationVoice!S:S,XLOOKUP($D1446,OperationTickets!$A:$A,OperationTickets!S:S,"",0)),"hh:mm"))</f>
        <v>08:00</v>
      </c>
      <c r="G1446" s="309">
        <f t="shared" si="3"/>
        <v>0.7083333333</v>
      </c>
      <c r="H1446" s="316" t="str">
        <f t="array" ref="H1446">XLOOKUP(B1446,Roster!L:L,Roster!N:N,XLOOKUP(D1446,TicketsBreak!A:A,TicketsBreak!E:E,"",0),0)</f>
        <v>10:45 - 11:00</v>
      </c>
      <c r="I1446" s="316" t="str">
        <f t="array" ref="I1446">XLOOKUP(B1446,Roster!L:L,Roster!O:O,XLOOKUP(D1446,TicketsBreak!A:A,TicketsBreak!F:F,"",0),0)</f>
        <v>14:00 - 14:30</v>
      </c>
      <c r="J1446" s="316" t="str">
        <f t="array" ref="J1446">XLOOKUP(B1446,Roster!L:L,Roster!P:P,XLOOKUP(D1446,TicketsBreak!A:A,TicketsBreak!G:G,"",0),0)</f>
        <v>15:45 - 16:00</v>
      </c>
      <c r="K1446" s="310">
        <f t="shared" si="4"/>
        <v>46125</v>
      </c>
      <c r="L1446" s="317">
        <f t="array" ref="L1446">(XLOOKUP(D1446,Roster!F:F,Roster!D:D,"",0))</f>
        <v>37</v>
      </c>
      <c r="M1446" s="317" t="str">
        <f t="array" ref="M1446">XLOOKUP(D1446,Roster!F:F,Roster!E:E)</f>
        <v>Voice</v>
      </c>
      <c r="N1446" s="317" t="str">
        <f t="shared" ref="N1446:P1446" si="1468">LEFT(H1446,5)</f>
        <v>10:45</v>
      </c>
      <c r="O1446" s="317" t="str">
        <f t="shared" si="1468"/>
        <v>14:00</v>
      </c>
      <c r="P1446" s="317" t="str">
        <f t="shared" si="1468"/>
        <v>15:45</v>
      </c>
      <c r="Q1446" s="318">
        <f t="shared" si="1374"/>
        <v>46125.44792</v>
      </c>
      <c r="R1446" s="318">
        <f t="shared" si="1233"/>
        <v>46125.58333</v>
      </c>
      <c r="S1446" s="318">
        <f t="shared" si="8"/>
        <v>46125.65625</v>
      </c>
    </row>
    <row r="1447">
      <c r="A1447" s="14" t="str">
        <f t="shared" si="1"/>
        <v>C51246125</v>
      </c>
      <c r="B1447" s="185">
        <f t="array" ref="B1447">IF(F1447="VL","",IF(F1447="Free","Free",XLOOKUP(D1447,Roster!T:T,Roster!S:S,"",0)))</f>
        <v>122</v>
      </c>
      <c r="C1447" s="313">
        <v>46125.0</v>
      </c>
      <c r="D1447" s="314" t="s">
        <v>36</v>
      </c>
      <c r="E1447" s="307" t="str">
        <f t="array" ref="E1447">(XLOOKUP(D1447,Roster!F:F,Roster!B:B,"",0))</f>
        <v>Jhoam Quiroz</v>
      </c>
      <c r="F1447" s="315" t="str">
        <f t="array" ref="F1447">IF(B1447=100,"Free",TEXT(XLOOKUP($D1447,OperationVoice!$A:$A,OperationVoice!S:S,XLOOKUP($D1447,OperationTickets!$A:$A,OperationTickets!S:S,"",0)),"hh:mm"))</f>
        <v>08:00</v>
      </c>
      <c r="G1447" s="309">
        <f t="shared" si="3"/>
        <v>0.7083333333</v>
      </c>
      <c r="H1447" s="316" t="str">
        <f t="array" ref="H1447">XLOOKUP(B1447,Roster!L:L,Roster!N:N,XLOOKUP(D1447,TicketsBreak!A:A,TicketsBreak!E:E,"",0),0)</f>
        <v>09:30 - 09:45</v>
      </c>
      <c r="I1447" s="316" t="str">
        <f t="array" ref="I1447">XLOOKUP(B1447,Roster!L:L,Roster!O:O,XLOOKUP(D1447,TicketsBreak!A:A,TicketsBreak!F:F,"",0),0)</f>
        <v>12:00 - 12:30</v>
      </c>
      <c r="J1447" s="316" t="str">
        <f t="array" ref="J1447">XLOOKUP(B1447,Roster!L:L,Roster!P:P,XLOOKUP(D1447,TicketsBreak!A:A,TicketsBreak!G:G,"",0),0)</f>
        <v>14:45 - 15:00</v>
      </c>
      <c r="K1447" s="310">
        <f t="shared" si="4"/>
        <v>46125</v>
      </c>
      <c r="L1447" s="317">
        <f t="array" ref="L1447">(XLOOKUP(D1447,Roster!F:F,Roster!D:D,"",0))</f>
        <v>1</v>
      </c>
      <c r="M1447" s="317" t="str">
        <f t="array" ref="M1447">XLOOKUP(D1447,Roster!F:F,Roster!E:E)</f>
        <v>Voice</v>
      </c>
      <c r="N1447" s="317" t="str">
        <f t="shared" ref="N1447:P1447" si="1469">LEFT(H1447,5)</f>
        <v>09:30</v>
      </c>
      <c r="O1447" s="317" t="str">
        <f t="shared" si="1469"/>
        <v>12:00</v>
      </c>
      <c r="P1447" s="317" t="str">
        <f t="shared" si="1469"/>
        <v>14:45</v>
      </c>
      <c r="Q1447" s="318">
        <f t="shared" si="1374"/>
        <v>46125.39583</v>
      </c>
      <c r="R1447" s="318">
        <f t="shared" si="1233"/>
        <v>46125.5</v>
      </c>
      <c r="S1447" s="318">
        <f t="shared" si="8"/>
        <v>46125.61458</v>
      </c>
    </row>
    <row r="1448">
      <c r="A1448" s="14" t="str">
        <f t="shared" si="1"/>
        <v>C150946125</v>
      </c>
      <c r="B1448" s="185">
        <f t="array" ref="B1448">IF(F1448="VL","",IF(F1448="Free","Free",XLOOKUP(D1448,Roster!T:T,Roster!S:S,"",0)))</f>
        <v>121</v>
      </c>
      <c r="C1448" s="313">
        <v>46125.0</v>
      </c>
      <c r="D1448" s="314" t="s">
        <v>37</v>
      </c>
      <c r="E1448" s="307" t="str">
        <f t="array" ref="E1448">(XLOOKUP(D1448,Roster!F:F,Roster!B:B,"",0))</f>
        <v>Jhonatan Gomez</v>
      </c>
      <c r="F1448" s="315" t="str">
        <f t="array" ref="F1448">IF(B1448=100,"Free",TEXT(XLOOKUP($D1448,OperationVoice!$A:$A,OperationVoice!S:S,XLOOKUP($D1448,OperationTickets!$A:$A,OperationTickets!S:S,"",0)),"hh:mm"))</f>
        <v>08:00</v>
      </c>
      <c r="G1448" s="309">
        <f t="shared" si="3"/>
        <v>0.7083333333</v>
      </c>
      <c r="H1448" s="316" t="str">
        <f t="array" ref="H1448">XLOOKUP(B1448,Roster!L:L,Roster!N:N,XLOOKUP(D1448,TicketsBreak!A:A,TicketsBreak!E:E,"",0),0)</f>
        <v>09:15 - 09:30</v>
      </c>
      <c r="I1448" s="316" t="str">
        <f t="array" ref="I1448">XLOOKUP(B1448,Roster!L:L,Roster!O:O,XLOOKUP(D1448,TicketsBreak!A:A,TicketsBreak!F:F,"",0),0)</f>
        <v>11:30 - 12:00</v>
      </c>
      <c r="J1448" s="316" t="str">
        <f t="array" ref="J1448">XLOOKUP(B1448,Roster!L:L,Roster!P:P,XLOOKUP(D1448,TicketsBreak!A:A,TicketsBreak!G:G,"",0),0)</f>
        <v>14:30 - 14:45</v>
      </c>
      <c r="K1448" s="310">
        <f t="shared" si="4"/>
        <v>46125</v>
      </c>
      <c r="L1448" s="317">
        <f t="array" ref="L1448">(XLOOKUP(D1448,Roster!F:F,Roster!D:D,"",0))</f>
        <v>35</v>
      </c>
      <c r="M1448" s="317" t="str">
        <f t="array" ref="M1448">XLOOKUP(D1448,Roster!F:F,Roster!E:E)</f>
        <v>Voice</v>
      </c>
      <c r="N1448" s="317" t="str">
        <f t="shared" ref="N1448:P1448" si="1470">LEFT(H1448,5)</f>
        <v>09:15</v>
      </c>
      <c r="O1448" s="317" t="str">
        <f t="shared" si="1470"/>
        <v>11:30</v>
      </c>
      <c r="P1448" s="317" t="str">
        <f t="shared" si="1470"/>
        <v>14:30</v>
      </c>
      <c r="Q1448" s="318">
        <f t="shared" si="1374"/>
        <v>46125.38542</v>
      </c>
      <c r="R1448" s="318">
        <f t="shared" si="1233"/>
        <v>46125.47917</v>
      </c>
      <c r="S1448" s="318">
        <f t="shared" si="8"/>
        <v>46125.60417</v>
      </c>
    </row>
    <row r="1449">
      <c r="A1449" s="14" t="str">
        <f t="shared" si="1"/>
        <v>C151546125</v>
      </c>
      <c r="B1449" s="185">
        <f t="array" ref="B1449">IF(F1449="VL","",IF(F1449="Free","Free",XLOOKUP(D1449,Roster!T:T,Roster!S:S,"",0)))</f>
        <v>151</v>
      </c>
      <c r="C1449" s="313">
        <v>46125.0</v>
      </c>
      <c r="D1449" s="314" t="s">
        <v>38</v>
      </c>
      <c r="E1449" s="307" t="str">
        <f t="array" ref="E1449">(XLOOKUP(D1449,Roster!F:F,Roster!B:B,"",0))</f>
        <v>Joan Perez</v>
      </c>
      <c r="F1449" s="315" t="str">
        <f t="array" ref="F1449">IF(B1449=100,"Free",TEXT(XLOOKUP($D1449,OperationVoice!$A:$A,OperationVoice!S:S,XLOOKUP($D1449,OperationTickets!$A:$A,OperationTickets!S:S,"",0)),"hh:mm"))</f>
        <v/>
      </c>
      <c r="G1449" s="309" t="str">
        <f t="shared" si="3"/>
        <v/>
      </c>
      <c r="H1449" s="316" t="str">
        <f t="array" ref="H1449">XLOOKUP(B1449,Roster!L:L,Roster!N:N,XLOOKUP(D1449,TicketsBreak!A:A,TicketsBreak!E:E,"",0),0)</f>
        <v>12:15 - 12:30</v>
      </c>
      <c r="I1449" s="316" t="str">
        <f t="array" ref="I1449">XLOOKUP(B1449,Roster!L:L,Roster!O:O,XLOOKUP(D1449,TicketsBreak!A:A,TicketsBreak!F:F,"",0),0)</f>
        <v>14:00 - 14:30</v>
      </c>
      <c r="J1449" s="316" t="str">
        <f t="array" ref="J1449">XLOOKUP(B1449,Roster!L:L,Roster!P:P,XLOOKUP(D1449,TicketsBreak!A:A,TicketsBreak!G:G,"",0),0)</f>
        <v>17:15 - 17:30</v>
      </c>
      <c r="K1449" s="310">
        <f t="shared" si="4"/>
        <v>46125</v>
      </c>
      <c r="L1449" s="317">
        <f t="array" ref="L1449">(XLOOKUP(D1449,Roster!F:F,Roster!D:D,"",0))</f>
        <v>35</v>
      </c>
      <c r="M1449" s="317" t="str">
        <f t="array" ref="M1449">XLOOKUP(D1449,Roster!F:F,Roster!E:E)</f>
        <v>Voice</v>
      </c>
      <c r="N1449" s="317" t="str">
        <f t="shared" ref="N1449:P1449" si="1471">LEFT(H1449,5)</f>
        <v>12:15</v>
      </c>
      <c r="O1449" s="317" t="str">
        <f t="shared" si="1471"/>
        <v>14:00</v>
      </c>
      <c r="P1449" s="317" t="str">
        <f t="shared" si="1471"/>
        <v>17:15</v>
      </c>
      <c r="Q1449" s="318">
        <f t="shared" si="1374"/>
        <v>46125.51042</v>
      </c>
      <c r="R1449" s="318">
        <f t="shared" si="1233"/>
        <v>46125.58333</v>
      </c>
      <c r="S1449" s="318">
        <f t="shared" si="8"/>
        <v>46125.71875</v>
      </c>
    </row>
    <row r="1450">
      <c r="A1450" s="14" t="str">
        <f t="shared" si="1"/>
        <v>C128946125</v>
      </c>
      <c r="B1450" s="185" t="str">
        <f t="array" ref="B1450">IF(F1450="VL","",IF(F1450="Free","Free",XLOOKUP(D1450,Roster!T:T,Roster!S:S,"",0)))</f>
        <v/>
      </c>
      <c r="C1450" s="313">
        <v>46125.0</v>
      </c>
      <c r="D1450" s="314" t="s">
        <v>140</v>
      </c>
      <c r="E1450" s="307" t="str">
        <f t="array" ref="E1450">(XLOOKUP(D1450,Roster!F:F,Roster!B:B,"",0))</f>
        <v>Johana Villarreal</v>
      </c>
      <c r="F1450" s="315" t="str">
        <f t="array" ref="F1450">IF(B1450=100,"Free",TEXT(XLOOKUP($D1450,OperationVoice!$A:$A,OperationVoice!S:S,XLOOKUP($D1450,OperationTickets!$A:$A,OperationTickets!S:S,"",0)),"hh:mm"))</f>
        <v>07:00</v>
      </c>
      <c r="G1450" s="309">
        <f t="shared" si="3"/>
        <v>0.6666666667</v>
      </c>
      <c r="H1450" s="316" t="str">
        <f t="array" ref="H1450">XLOOKUP(B1450,Roster!L:L,Roster!N:N,XLOOKUP(D1450,TicketsBreak!A:A,TicketsBreak!E:E,"",0),0)</f>
        <v/>
      </c>
      <c r="I1450" s="316" t="str">
        <f t="array" ref="I1450">XLOOKUP(B1450,Roster!L:L,Roster!O:O,XLOOKUP(D1450,TicketsBreak!A:A,TicketsBreak!F:F,"",0),0)</f>
        <v/>
      </c>
      <c r="J1450" s="316" t="str">
        <f t="array" ref="J1450">XLOOKUP(B1450,Roster!L:L,Roster!P:P,XLOOKUP(D1450,TicketsBreak!A:A,TicketsBreak!G:G,"",0),0)</f>
        <v/>
      </c>
      <c r="K1450" s="310">
        <f t="shared" si="4"/>
        <v>46125</v>
      </c>
      <c r="L1450" s="317">
        <f t="array" ref="L1450">(XLOOKUP(D1450,Roster!F:F,Roster!D:D,"",0))</f>
        <v>28</v>
      </c>
      <c r="M1450" s="317" t="str">
        <f t="array" ref="M1450">XLOOKUP(D1450,Roster!F:F,Roster!E:E)</f>
        <v>Tickets</v>
      </c>
      <c r="N1450" s="317" t="str">
        <f t="shared" ref="N1450:P1450" si="1472">LEFT(H1450,5)</f>
        <v/>
      </c>
      <c r="O1450" s="317" t="str">
        <f t="shared" si="1472"/>
        <v/>
      </c>
      <c r="P1450" s="317" t="str">
        <f t="shared" si="1472"/>
        <v/>
      </c>
      <c r="Q1450" s="318" t="str">
        <f t="shared" si="1374"/>
        <v/>
      </c>
      <c r="R1450" s="318" t="str">
        <f t="shared" si="1233"/>
        <v/>
      </c>
      <c r="S1450" s="318" t="str">
        <f t="shared" si="8"/>
        <v/>
      </c>
    </row>
    <row r="1451">
      <c r="A1451" s="14" t="str">
        <f t="shared" si="1"/>
        <v>C155146125</v>
      </c>
      <c r="B1451" s="185">
        <f t="array" ref="B1451">IF(F1451="VL","",IF(F1451="Free","Free",XLOOKUP(D1451,Roster!T:T,Roster!S:S,"",0)))</f>
        <v>124</v>
      </c>
      <c r="C1451" s="313">
        <v>46125.0</v>
      </c>
      <c r="D1451" s="314" t="s">
        <v>39</v>
      </c>
      <c r="E1451" s="307" t="str">
        <f t="array" ref="E1451">(XLOOKUP(D1451,Roster!F:F,Roster!B:B,"",0))</f>
        <v>John Atilano</v>
      </c>
      <c r="F1451" s="315" t="str">
        <f t="array" ref="F1451">IF(B1451=100,"Free",TEXT(XLOOKUP($D1451,OperationVoice!$A:$A,OperationVoice!S:S,XLOOKUP($D1451,OperationTickets!$A:$A,OperationTickets!S:S,"",0)),"hh:mm"))</f>
        <v>08:00</v>
      </c>
      <c r="G1451" s="309">
        <f t="shared" si="3"/>
        <v>0.7083333333</v>
      </c>
      <c r="H1451" s="316" t="str">
        <f t="array" ref="H1451">XLOOKUP(B1451,Roster!L:L,Roster!N:N,XLOOKUP(D1451,TicketsBreak!A:A,TicketsBreak!E:E,"",0),0)</f>
        <v>10:00 - 10:15</v>
      </c>
      <c r="I1451" s="316" t="str">
        <f t="array" ref="I1451">XLOOKUP(B1451,Roster!L:L,Roster!O:O,XLOOKUP(D1451,TicketsBreak!A:A,TicketsBreak!F:F,"",0),0)</f>
        <v>13:00 - 13:30</v>
      </c>
      <c r="J1451" s="316" t="str">
        <f t="array" ref="J1451">XLOOKUP(B1451,Roster!L:L,Roster!P:P,XLOOKUP(D1451,TicketsBreak!A:A,TicketsBreak!G:G,"",0),0)</f>
        <v>15:30 - 15:45</v>
      </c>
      <c r="K1451" s="310">
        <f t="shared" si="4"/>
        <v>46125</v>
      </c>
      <c r="L1451" s="317">
        <f t="array" ref="L1451">(XLOOKUP(D1451,Roster!F:F,Roster!D:D,"",0))</f>
        <v>37</v>
      </c>
      <c r="M1451" s="317" t="str">
        <f t="array" ref="M1451">XLOOKUP(D1451,Roster!F:F,Roster!E:E)</f>
        <v>Voice</v>
      </c>
      <c r="N1451" s="317" t="str">
        <f t="shared" ref="N1451:P1451" si="1473">LEFT(H1451,5)</f>
        <v>10:00</v>
      </c>
      <c r="O1451" s="317" t="str">
        <f t="shared" si="1473"/>
        <v>13:00</v>
      </c>
      <c r="P1451" s="317" t="str">
        <f t="shared" si="1473"/>
        <v>15:30</v>
      </c>
      <c r="Q1451" s="318">
        <f t="shared" si="1374"/>
        <v>46125.41667</v>
      </c>
      <c r="R1451" s="318">
        <f t="shared" si="1233"/>
        <v>46125.54167</v>
      </c>
      <c r="S1451" s="318">
        <f t="shared" si="8"/>
        <v>46125.64583</v>
      </c>
    </row>
    <row r="1452">
      <c r="A1452" s="14" t="str">
        <f t="shared" si="1"/>
        <v>C154346125</v>
      </c>
      <c r="B1452" s="185">
        <f t="array" ref="B1452">IF(F1452="VL","",IF(F1452="Free","Free",XLOOKUP(D1452,Roster!T:T,Roster!S:S,"",0)))</f>
        <v>134</v>
      </c>
      <c r="C1452" s="313">
        <v>46125.0</v>
      </c>
      <c r="D1452" s="314" t="s">
        <v>40</v>
      </c>
      <c r="E1452" s="307" t="str">
        <f t="array" ref="E1452">(XLOOKUP(D1452,Roster!F:F,Roster!B:B,"",0))</f>
        <v>John Palacio</v>
      </c>
      <c r="F1452" s="315" t="str">
        <f t="array" ref="F1452">IF(B1452=100,"Free",TEXT(XLOOKUP($D1452,OperationVoice!$A:$A,OperationVoice!S:S,XLOOKUP($D1452,OperationTickets!$A:$A,OperationTickets!S:S,"",0)),"hh:mm"))</f>
        <v>09:00</v>
      </c>
      <c r="G1452" s="309">
        <f t="shared" si="3"/>
        <v>0.75</v>
      </c>
      <c r="H1452" s="316" t="str">
        <f t="array" ref="H1452">XLOOKUP(B1452,Roster!L:L,Roster!N:N,XLOOKUP(D1452,TicketsBreak!A:A,TicketsBreak!E:E,"",0),0)</f>
        <v>11:00 - 11:15</v>
      </c>
      <c r="I1452" s="316" t="str">
        <f t="array" ref="I1452">XLOOKUP(B1452,Roster!L:L,Roster!O:O,XLOOKUP(D1452,TicketsBreak!A:A,TicketsBreak!F:F,"",0),0)</f>
        <v>13:45 - 14:15</v>
      </c>
      <c r="J1452" s="316" t="str">
        <f t="array" ref="J1452">XLOOKUP(B1452,Roster!L:L,Roster!P:P,XLOOKUP(D1452,TicketsBreak!A:A,TicketsBreak!G:G,"",0),0)</f>
        <v>16:00 - 16:15</v>
      </c>
      <c r="K1452" s="310">
        <f t="shared" si="4"/>
        <v>46125</v>
      </c>
      <c r="L1452" s="317">
        <f t="array" ref="L1452">(XLOOKUP(D1452,Roster!F:F,Roster!D:D,"",0))</f>
        <v>36</v>
      </c>
      <c r="M1452" s="317" t="str">
        <f t="array" ref="M1452">XLOOKUP(D1452,Roster!F:F,Roster!E:E)</f>
        <v>Voice</v>
      </c>
      <c r="N1452" s="317" t="str">
        <f t="shared" ref="N1452:P1452" si="1474">LEFT(H1452,5)</f>
        <v>11:00</v>
      </c>
      <c r="O1452" s="317" t="str">
        <f t="shared" si="1474"/>
        <v>13:45</v>
      </c>
      <c r="P1452" s="317" t="str">
        <f t="shared" si="1474"/>
        <v>16:00</v>
      </c>
      <c r="Q1452" s="318">
        <f t="shared" si="1374"/>
        <v>46125.45833</v>
      </c>
      <c r="R1452" s="318">
        <f t="shared" si="1233"/>
        <v>46125.57292</v>
      </c>
      <c r="S1452" s="318">
        <f t="shared" si="8"/>
        <v>46125.66667</v>
      </c>
    </row>
    <row r="1453">
      <c r="A1453" s="14" t="str">
        <f t="shared" si="1"/>
        <v>C154246125</v>
      </c>
      <c r="B1453" s="185">
        <f t="array" ref="B1453">IF(F1453="VL","",IF(F1453="Free","Free",XLOOKUP(D1453,Roster!T:T,Roster!S:S,"",0)))</f>
        <v>124</v>
      </c>
      <c r="C1453" s="313">
        <v>46125.0</v>
      </c>
      <c r="D1453" s="314" t="s">
        <v>41</v>
      </c>
      <c r="E1453" s="307" t="str">
        <f t="array" ref="E1453">(XLOOKUP(D1453,Roster!F:F,Roster!B:B,"",0))</f>
        <v>Johny Garcia</v>
      </c>
      <c r="F1453" s="315" t="str">
        <f t="array" ref="F1453">IF(B1453=100,"Free",TEXT(XLOOKUP($D1453,OperationVoice!$A:$A,OperationVoice!S:S,XLOOKUP($D1453,OperationTickets!$A:$A,OperationTickets!S:S,"",0)),"hh:mm"))</f>
        <v>08:00</v>
      </c>
      <c r="G1453" s="309">
        <f t="shared" si="3"/>
        <v>0.7083333333</v>
      </c>
      <c r="H1453" s="316" t="str">
        <f t="array" ref="H1453">XLOOKUP(B1453,Roster!L:L,Roster!N:N,XLOOKUP(D1453,TicketsBreak!A:A,TicketsBreak!E:E,"",0),0)</f>
        <v>10:00 - 10:15</v>
      </c>
      <c r="I1453" s="316" t="str">
        <f t="array" ref="I1453">XLOOKUP(B1453,Roster!L:L,Roster!O:O,XLOOKUP(D1453,TicketsBreak!A:A,TicketsBreak!F:F,"",0),0)</f>
        <v>13:00 - 13:30</v>
      </c>
      <c r="J1453" s="316" t="str">
        <f t="array" ref="J1453">XLOOKUP(B1453,Roster!L:L,Roster!P:P,XLOOKUP(D1453,TicketsBreak!A:A,TicketsBreak!G:G,"",0),0)</f>
        <v>15:30 - 15:45</v>
      </c>
      <c r="K1453" s="310">
        <f t="shared" si="4"/>
        <v>46125</v>
      </c>
      <c r="L1453" s="317">
        <f t="array" ref="L1453">(XLOOKUP(D1453,Roster!F:F,Roster!D:D,"",0))</f>
        <v>36</v>
      </c>
      <c r="M1453" s="317" t="str">
        <f t="array" ref="M1453">XLOOKUP(D1453,Roster!F:F,Roster!E:E)</f>
        <v>Voice</v>
      </c>
      <c r="N1453" s="317" t="str">
        <f t="shared" ref="N1453:P1453" si="1475">LEFT(H1453,5)</f>
        <v>10:00</v>
      </c>
      <c r="O1453" s="317" t="str">
        <f t="shared" si="1475"/>
        <v>13:00</v>
      </c>
      <c r="P1453" s="317" t="str">
        <f t="shared" si="1475"/>
        <v>15:30</v>
      </c>
      <c r="Q1453" s="318">
        <f t="shared" si="1374"/>
        <v>46125.41667</v>
      </c>
      <c r="R1453" s="318">
        <f t="shared" si="1233"/>
        <v>46125.54167</v>
      </c>
      <c r="S1453" s="318">
        <f t="shared" si="8"/>
        <v>46125.64583</v>
      </c>
    </row>
    <row r="1454">
      <c r="A1454" s="14" t="str">
        <f t="shared" si="1"/>
        <v>C156946125</v>
      </c>
      <c r="B1454" s="185">
        <f t="array" ref="B1454">IF(F1454="VL","",IF(F1454="Free","Free",XLOOKUP(D1454,Roster!T:T,Roster!S:S,"",0)))</f>
        <v>121</v>
      </c>
      <c r="C1454" s="313">
        <v>46125.0</v>
      </c>
      <c r="D1454" s="314" t="s">
        <v>42</v>
      </c>
      <c r="E1454" s="307" t="str">
        <f t="array" ref="E1454">(XLOOKUP(D1454,Roster!F:F,Roster!B:B,"",0))</f>
        <v>Jorge Orozco</v>
      </c>
      <c r="F1454" s="315" t="str">
        <f t="array" ref="F1454">IF(B1454=100,"Free",TEXT(XLOOKUP($D1454,OperationVoice!$A:$A,OperationVoice!S:S,XLOOKUP($D1454,OperationTickets!$A:$A,OperationTickets!S:S,"",0)),"hh:mm"))</f>
        <v>08:00</v>
      </c>
      <c r="G1454" s="309">
        <f t="shared" si="3"/>
        <v>0.7083333333</v>
      </c>
      <c r="H1454" s="316" t="str">
        <f t="array" ref="H1454">XLOOKUP(B1454,Roster!L:L,Roster!N:N,XLOOKUP(D1454,TicketsBreak!A:A,TicketsBreak!E:E,"",0),0)</f>
        <v>09:15 - 09:30</v>
      </c>
      <c r="I1454" s="316" t="str">
        <f t="array" ref="I1454">XLOOKUP(B1454,Roster!L:L,Roster!O:O,XLOOKUP(D1454,TicketsBreak!A:A,TicketsBreak!F:F,"",0),0)</f>
        <v>11:30 - 12:00</v>
      </c>
      <c r="J1454" s="316" t="str">
        <f t="array" ref="J1454">XLOOKUP(B1454,Roster!L:L,Roster!P:P,XLOOKUP(D1454,TicketsBreak!A:A,TicketsBreak!G:G,"",0),0)</f>
        <v>14:30 - 14:45</v>
      </c>
      <c r="K1454" s="310">
        <f t="shared" si="4"/>
        <v>46125</v>
      </c>
      <c r="L1454" s="317">
        <f t="array" ref="L1454">(XLOOKUP(D1454,Roster!F:F,Roster!D:D,"",0))</f>
        <v>38</v>
      </c>
      <c r="M1454" s="317" t="str">
        <f t="array" ref="M1454">XLOOKUP(D1454,Roster!F:F,Roster!E:E)</f>
        <v>Voice</v>
      </c>
      <c r="N1454" s="317" t="str">
        <f t="shared" ref="N1454:P1454" si="1476">LEFT(H1454,5)</f>
        <v>09:15</v>
      </c>
      <c r="O1454" s="317" t="str">
        <f t="shared" si="1476"/>
        <v>11:30</v>
      </c>
      <c r="P1454" s="317" t="str">
        <f t="shared" si="1476"/>
        <v>14:30</v>
      </c>
      <c r="Q1454" s="318">
        <f t="shared" si="1374"/>
        <v>46125.38542</v>
      </c>
      <c r="R1454" s="318">
        <f t="shared" si="1233"/>
        <v>46125.47917</v>
      </c>
      <c r="S1454" s="318">
        <f t="shared" si="8"/>
        <v>46125.60417</v>
      </c>
    </row>
    <row r="1455">
      <c r="A1455" s="14" t="str">
        <f t="shared" si="1"/>
        <v>C102746125</v>
      </c>
      <c r="B1455" s="185" t="str">
        <f t="array" ref="B1455">IF(F1455="VL","",IF(F1455="Free","Free",XLOOKUP(D1455,Roster!T:T,Roster!S:S,"",0)))</f>
        <v/>
      </c>
      <c r="C1455" s="313">
        <v>46125.0</v>
      </c>
      <c r="D1455" s="314" t="s">
        <v>160</v>
      </c>
      <c r="E1455" s="307" t="str">
        <f t="array" ref="E1455">(XLOOKUP(D1455,Roster!F:F,Roster!B:B,"",0))</f>
        <v>Jose Perez</v>
      </c>
      <c r="F1455" s="315" t="str">
        <f t="array" ref="F1455">IF(B1455=100,"Free",TEXT(XLOOKUP($D1455,OperationVoice!$A:$A,OperationVoice!S:S,XLOOKUP($D1455,OperationTickets!$A:$A,OperationTickets!S:S,"",0)),"hh:mm"))</f>
        <v>VL</v>
      </c>
      <c r="G1455" s="309" t="str">
        <f t="shared" si="3"/>
        <v>VL</v>
      </c>
      <c r="H1455" s="316">
        <f t="array" ref="H1455">XLOOKUP(B1455,Roster!L:L,Roster!N:N,XLOOKUP(D1455,TicketsBreak!A:A,TicketsBreak!E:E,"",0),0)</f>
        <v>0.4166666667</v>
      </c>
      <c r="I1455" s="316">
        <f t="array" ref="I1455">XLOOKUP(B1455,Roster!L:L,Roster!O:O,XLOOKUP(D1455,TicketsBreak!A:A,TicketsBreak!F:F,"",0),0)</f>
        <v>0.5208333333</v>
      </c>
      <c r="J1455" s="316">
        <f t="array" ref="J1455">XLOOKUP(B1455,Roster!L:L,Roster!P:P,XLOOKUP(D1455,TicketsBreak!A:A,TicketsBreak!G:G,"",0),0)</f>
        <v>0.6354166667</v>
      </c>
      <c r="K1455" s="310">
        <f t="shared" si="4"/>
        <v>46125</v>
      </c>
      <c r="L1455" s="317">
        <f t="array" ref="L1455">(XLOOKUP(D1455,Roster!F:F,Roster!D:D,"",0))</f>
        <v>15</v>
      </c>
      <c r="M1455" s="317" t="str">
        <f t="array" ref="M1455">XLOOKUP(D1455,Roster!F:F,Roster!E:E)</f>
        <v>Tickets</v>
      </c>
      <c r="N1455" s="317" t="str">
        <f t="shared" ref="N1455:P1455" si="1477">LEFT(H1455,5)</f>
        <v>10:00</v>
      </c>
      <c r="O1455" s="317" t="str">
        <f t="shared" si="1477"/>
        <v>12:30</v>
      </c>
      <c r="P1455" s="317" t="str">
        <f t="shared" si="1477"/>
        <v>15:15</v>
      </c>
      <c r="Q1455" s="318">
        <f t="shared" si="1374"/>
        <v>46125.41667</v>
      </c>
      <c r="R1455" s="318">
        <f t="shared" si="1233"/>
        <v>46125.52083</v>
      </c>
      <c r="S1455" s="318">
        <f t="shared" si="8"/>
        <v>46125.63542</v>
      </c>
    </row>
    <row r="1456">
      <c r="A1456" s="14" t="str">
        <f t="shared" si="1"/>
        <v>C142646125</v>
      </c>
      <c r="B1456" s="185">
        <f t="array" ref="B1456">IF(F1456="VL","",IF(F1456="Free","Free",XLOOKUP(D1456,Roster!T:T,Roster!S:S,"",0)))</f>
        <v>123</v>
      </c>
      <c r="C1456" s="313">
        <v>46125.0</v>
      </c>
      <c r="D1456" s="314" t="s">
        <v>161</v>
      </c>
      <c r="E1456" s="307" t="str">
        <f t="array" ref="E1456">(XLOOKUP(D1456,Roster!F:F,Roster!B:B,"",0))</f>
        <v>Jose Zapata</v>
      </c>
      <c r="F1456" s="315" t="str">
        <f t="array" ref="F1456">IF(B1456=100,"Free",TEXT(XLOOKUP($D1456,OperationVoice!$A:$A,OperationVoice!S:S,XLOOKUP($D1456,OperationTickets!$A:$A,OperationTickets!S:S,"",0)),"hh:mm"))</f>
        <v>08:00</v>
      </c>
      <c r="G1456" s="309">
        <f t="shared" si="3"/>
        <v>0.7083333333</v>
      </c>
      <c r="H1456" s="316" t="str">
        <f t="array" ref="H1456">XLOOKUP(B1456,Roster!L:L,Roster!N:N,XLOOKUP(D1456,TicketsBreak!A:A,TicketsBreak!E:E,"",0),0)</f>
        <v>09:45 - 10:00 </v>
      </c>
      <c r="I1456" s="316" t="str">
        <f t="array" ref="I1456">XLOOKUP(B1456,Roster!L:L,Roster!O:O,XLOOKUP(D1456,TicketsBreak!A:A,TicketsBreak!F:F,"",0),0)</f>
        <v>12:30 - 13:00</v>
      </c>
      <c r="J1456" s="316" t="str">
        <f t="array" ref="J1456">XLOOKUP(B1456,Roster!L:L,Roster!P:P,XLOOKUP(D1456,TicketsBreak!A:A,TicketsBreak!G:G,"",0),0)</f>
        <v>15:00 - 15:15</v>
      </c>
      <c r="K1456" s="310">
        <f t="shared" si="4"/>
        <v>46125</v>
      </c>
      <c r="L1456" s="317">
        <f t="array" ref="L1456">(XLOOKUP(D1456,Roster!F:F,Roster!D:D,"",0))</f>
        <v>32</v>
      </c>
      <c r="M1456" s="317" t="str">
        <f t="array" ref="M1456">XLOOKUP(D1456,Roster!F:F,Roster!E:E)</f>
        <v>Tickets</v>
      </c>
      <c r="N1456" s="317" t="str">
        <f t="shared" ref="N1456:P1456" si="1478">LEFT(H1456,5)</f>
        <v>09:45</v>
      </c>
      <c r="O1456" s="317" t="str">
        <f t="shared" si="1478"/>
        <v>12:30</v>
      </c>
      <c r="P1456" s="317" t="str">
        <f t="shared" si="1478"/>
        <v>15:00</v>
      </c>
      <c r="Q1456" s="318">
        <f t="shared" si="1374"/>
        <v>46125.40625</v>
      </c>
      <c r="R1456" s="318">
        <f t="shared" si="1233"/>
        <v>46125.52083</v>
      </c>
      <c r="S1456" s="318">
        <f t="shared" si="8"/>
        <v>46125.625</v>
      </c>
    </row>
    <row r="1457">
      <c r="A1457" s="14" t="str">
        <f t="shared" si="1"/>
        <v>C153346125</v>
      </c>
      <c r="B1457" s="185">
        <f t="array" ref="B1457">IF(F1457="VL","",IF(F1457="Free","Free",XLOOKUP(D1457,Roster!T:T,Roster!S:S,"",0)))</f>
        <v>125</v>
      </c>
      <c r="C1457" s="313">
        <v>46125.0</v>
      </c>
      <c r="D1457" s="314" t="s">
        <v>43</v>
      </c>
      <c r="E1457" s="307" t="str">
        <f t="array" ref="E1457">(XLOOKUP(D1457,Roster!F:F,Roster!B:B,"",0))</f>
        <v>Juan Barrera</v>
      </c>
      <c r="F1457" s="315" t="str">
        <f t="array" ref="F1457">IF(B1457=100,"Free",TEXT(XLOOKUP($D1457,OperationVoice!$A:$A,OperationVoice!S:S,XLOOKUP($D1457,OperationTickets!$A:$A,OperationTickets!S:S,"",0)),"hh:mm"))</f>
        <v>08:00</v>
      </c>
      <c r="G1457" s="309">
        <f t="shared" si="3"/>
        <v>0.7083333333</v>
      </c>
      <c r="H1457" s="316" t="str">
        <f t="array" ref="H1457">XLOOKUP(B1457,Roster!L:L,Roster!N:N,XLOOKUP(D1457,TicketsBreak!A:A,TicketsBreak!E:E,"",0),0)</f>
        <v>10:30 - 10:45</v>
      </c>
      <c r="I1457" s="316" t="str">
        <f t="array" ref="I1457">XLOOKUP(B1457,Roster!L:L,Roster!O:O,XLOOKUP(D1457,TicketsBreak!A:A,TicketsBreak!F:F,"",0),0)</f>
        <v>13:30 - 14:00</v>
      </c>
      <c r="J1457" s="316" t="str">
        <f t="array" ref="J1457">XLOOKUP(B1457,Roster!L:L,Roster!P:P,XLOOKUP(D1457,TicketsBreak!A:A,TicketsBreak!G:G,"",0),0)</f>
        <v>15:45 - 16:00</v>
      </c>
      <c r="K1457" s="310">
        <f t="shared" si="4"/>
        <v>46125</v>
      </c>
      <c r="L1457" s="317">
        <f t="array" ref="L1457">(XLOOKUP(D1457,Roster!F:F,Roster!D:D,"",0))</f>
        <v>36</v>
      </c>
      <c r="M1457" s="317" t="str">
        <f t="array" ref="M1457">XLOOKUP(D1457,Roster!F:F,Roster!E:E)</f>
        <v>Voice</v>
      </c>
      <c r="N1457" s="317" t="str">
        <f t="shared" ref="N1457:P1457" si="1479">LEFT(H1457,5)</f>
        <v>10:30</v>
      </c>
      <c r="O1457" s="317" t="str">
        <f t="shared" si="1479"/>
        <v>13:30</v>
      </c>
      <c r="P1457" s="317" t="str">
        <f t="shared" si="1479"/>
        <v>15:45</v>
      </c>
      <c r="Q1457" s="318">
        <f t="shared" si="1374"/>
        <v>46125.4375</v>
      </c>
      <c r="R1457" s="318">
        <f t="shared" si="1233"/>
        <v>46125.5625</v>
      </c>
      <c r="S1457" s="318">
        <f t="shared" si="8"/>
        <v>46125.65625</v>
      </c>
    </row>
    <row r="1458">
      <c r="A1458" s="14" t="str">
        <f t="shared" si="1"/>
        <v>C146546125</v>
      </c>
      <c r="B1458" s="185">
        <f t="array" ref="B1458">IF(F1458="VL","",IF(F1458="Free","Free",XLOOKUP(D1458,Roster!T:T,Roster!S:S,"",0)))</f>
        <v>500</v>
      </c>
      <c r="C1458" s="313">
        <v>46125.0</v>
      </c>
      <c r="D1458" s="314" t="s">
        <v>44</v>
      </c>
      <c r="E1458" s="307" t="str">
        <f t="array" ref="E1458">(XLOOKUP(D1458,Roster!F:F,Roster!B:B,"",0))</f>
        <v>Juan Castilla</v>
      </c>
      <c r="F1458" s="315" t="str">
        <f t="array" ref="F1458">IF(B1458=100,"Free",TEXT(XLOOKUP($D1458,OperationVoice!$A:$A,OperationVoice!S:S,XLOOKUP($D1458,OperationTickets!$A:$A,OperationTickets!S:S,"",0)),"hh:mm"))</f>
        <v>08:00</v>
      </c>
      <c r="G1458" s="309">
        <f t="shared" si="3"/>
        <v>0.7083333333</v>
      </c>
      <c r="H1458" s="316" t="str">
        <f t="array" ref="H1458">XLOOKUP(B1458,Roster!L:L,Roster!N:N,XLOOKUP(D1458,TicketsBreak!A:A,TicketsBreak!E:E,"",0),0)</f>
        <v>Team Leader</v>
      </c>
      <c r="I1458" s="316" t="str">
        <f t="array" ref="I1458">XLOOKUP(B1458,Roster!L:L,Roster!O:O,XLOOKUP(D1458,TicketsBreak!A:A,TicketsBreak!F:F,"",0),0)</f>
        <v>Team Leader</v>
      </c>
      <c r="J1458" s="316" t="str">
        <f t="array" ref="J1458">XLOOKUP(B1458,Roster!L:L,Roster!P:P,XLOOKUP(D1458,TicketsBreak!A:A,TicketsBreak!G:G,"",0),0)</f>
        <v/>
      </c>
      <c r="K1458" s="310">
        <f t="shared" si="4"/>
        <v>46125</v>
      </c>
      <c r="L1458" s="317">
        <f t="array" ref="L1458">(XLOOKUP(D1458,Roster!F:F,Roster!D:D,"",0))</f>
        <v>33</v>
      </c>
      <c r="M1458" s="317" t="str">
        <f t="array" ref="M1458">XLOOKUP(D1458,Roster!F:F,Roster!E:E)</f>
        <v>Voice</v>
      </c>
      <c r="N1458" s="317" t="str">
        <f t="shared" ref="N1458:P1458" si="1480">LEFT(H1458,5)</f>
        <v>Team </v>
      </c>
      <c r="O1458" s="317" t="str">
        <f t="shared" si="1480"/>
        <v>Team </v>
      </c>
      <c r="P1458" s="317" t="str">
        <f t="shared" si="1480"/>
        <v/>
      </c>
      <c r="Q1458" s="318" t="str">
        <f t="shared" si="1374"/>
        <v>#VALUE!</v>
      </c>
      <c r="R1458" s="318" t="str">
        <f t="shared" si="1233"/>
        <v>#VALUE!</v>
      </c>
      <c r="S1458" s="318" t="str">
        <f t="shared" si="8"/>
        <v/>
      </c>
    </row>
    <row r="1459">
      <c r="A1459" s="14" t="str">
        <f t="shared" si="1"/>
        <v>C72046125</v>
      </c>
      <c r="B1459" s="185" t="str">
        <f t="array" ref="B1459">IF(F1459="VL","",IF(F1459="Free","Free",XLOOKUP(D1459,Roster!T:T,Roster!S:S,"",0)))</f>
        <v/>
      </c>
      <c r="C1459" s="313">
        <v>46125.0</v>
      </c>
      <c r="D1459" s="314" t="s">
        <v>162</v>
      </c>
      <c r="E1459" s="307" t="str">
        <f t="array" ref="E1459">(XLOOKUP(D1459,Roster!F:F,Roster!B:B,"",0))</f>
        <v>Juan Durango</v>
      </c>
      <c r="F1459" s="315" t="str">
        <f t="array" ref="F1459">IF(B1459=100,"Free",TEXT(XLOOKUP($D1459,OperationVoice!$A:$A,OperationVoice!S:S,XLOOKUP($D1459,OperationTickets!$A:$A,OperationTickets!S:S,"",0)),"hh:mm"))</f>
        <v>08:00</v>
      </c>
      <c r="G1459" s="309">
        <f t="shared" si="3"/>
        <v>0.7083333333</v>
      </c>
      <c r="H1459" s="316">
        <f t="array" ref="H1459">XLOOKUP(B1459,Roster!L:L,Roster!N:N,XLOOKUP(D1459,TicketsBreak!A:A,TicketsBreak!E:E,"",0),0)</f>
        <v>0.40625</v>
      </c>
      <c r="I1459" s="316">
        <f t="array" ref="I1459">XLOOKUP(B1459,Roster!L:L,Roster!O:O,XLOOKUP(D1459,TicketsBreak!A:A,TicketsBreak!F:F,"",0),0)</f>
        <v>0.5729166667</v>
      </c>
      <c r="J1459" s="316">
        <f t="array" ref="J1459">XLOOKUP(B1459,Roster!L:L,Roster!P:P,XLOOKUP(D1459,TicketsBreak!A:A,TicketsBreak!G:G,"",0),0)</f>
        <v>0.65625</v>
      </c>
      <c r="K1459" s="310">
        <f t="shared" si="4"/>
        <v>46125</v>
      </c>
      <c r="L1459" s="317">
        <f t="array" ref="L1459">(XLOOKUP(D1459,Roster!F:F,Roster!D:D,"",0))</f>
        <v>7</v>
      </c>
      <c r="M1459" s="317" t="str">
        <f t="array" ref="M1459">XLOOKUP(D1459,Roster!F:F,Roster!E:E)</f>
        <v>Tickets</v>
      </c>
      <c r="N1459" s="317" t="str">
        <f t="shared" ref="N1459:P1459" si="1481">LEFT(H1459,5)</f>
        <v>09:45</v>
      </c>
      <c r="O1459" s="317" t="str">
        <f t="shared" si="1481"/>
        <v>13:45</v>
      </c>
      <c r="P1459" s="317" t="str">
        <f t="shared" si="1481"/>
        <v>15:45</v>
      </c>
      <c r="Q1459" s="318">
        <f t="shared" si="1374"/>
        <v>46125.40625</v>
      </c>
      <c r="R1459" s="318">
        <f t="shared" si="1233"/>
        <v>46125.57292</v>
      </c>
      <c r="S1459" s="318">
        <f t="shared" si="8"/>
        <v>46125.65625</v>
      </c>
    </row>
    <row r="1460">
      <c r="A1460" s="14" t="str">
        <f t="shared" si="1"/>
        <v>C59846125</v>
      </c>
      <c r="B1460" s="185" t="str">
        <f t="array" ref="B1460">IF(F1460="VL","",IF(F1460="Free","Free",XLOOKUP(D1460,Roster!T:T,Roster!S:S,"",0)))</f>
        <v/>
      </c>
      <c r="C1460" s="313">
        <v>46125.0</v>
      </c>
      <c r="D1460" s="314" t="s">
        <v>314</v>
      </c>
      <c r="E1460" s="307" t="str">
        <f t="array" ref="E1460">(XLOOKUP(D1460,Roster!F:F,Roster!B:B,"",0))</f>
        <v>Juan Fonnegra</v>
      </c>
      <c r="F1460" s="315" t="str">
        <f t="array" ref="F1460">IF(B1460=100,"Free",TEXT(XLOOKUP($D1460,OperationVoice!$A:$A,OperationVoice!S:S,XLOOKUP($D1460,OperationTickets!$A:$A,OperationTickets!S:S,"",0)),"hh:mm"))</f>
        <v/>
      </c>
      <c r="G1460" s="309" t="str">
        <f t="shared" si="3"/>
        <v/>
      </c>
      <c r="H1460" s="316">
        <f t="array" ref="H1460">XLOOKUP(B1460,Roster!L:L,Roster!N:N,XLOOKUP(D1460,TicketsBreak!A:A,TicketsBreak!E:E,"",0),0)</f>
        <v>0.4166666667</v>
      </c>
      <c r="I1460" s="316">
        <f t="array" ref="I1460">XLOOKUP(B1460,Roster!L:L,Roster!O:O,XLOOKUP(D1460,TicketsBreak!A:A,TicketsBreak!F:F,"",0),0)</f>
        <v>0.5208333333</v>
      </c>
      <c r="J1460" s="316">
        <f t="array" ref="J1460">XLOOKUP(B1460,Roster!L:L,Roster!P:P,XLOOKUP(D1460,TicketsBreak!A:A,TicketsBreak!G:G,"",0),0)</f>
        <v>0.65625</v>
      </c>
      <c r="K1460" s="310">
        <f t="shared" si="4"/>
        <v>46125</v>
      </c>
      <c r="L1460" s="317">
        <f t="array" ref="L1460">(XLOOKUP(D1460,Roster!F:F,Roster!D:D,"",0))</f>
        <v>1</v>
      </c>
      <c r="M1460" s="317" t="str">
        <f t="array" ref="M1460">XLOOKUP(D1460,Roster!F:F,Roster!E:E)</f>
        <v>Tickets</v>
      </c>
      <c r="N1460" s="317" t="str">
        <f t="shared" ref="N1460:P1460" si="1482">LEFT(H1460,5)</f>
        <v>10:00</v>
      </c>
      <c r="O1460" s="317" t="str">
        <f t="shared" si="1482"/>
        <v>12:30</v>
      </c>
      <c r="P1460" s="317" t="str">
        <f t="shared" si="1482"/>
        <v>15:45</v>
      </c>
      <c r="Q1460" s="318">
        <f t="shared" si="1374"/>
        <v>46125.41667</v>
      </c>
      <c r="R1460" s="318">
        <f t="shared" si="1233"/>
        <v>46125.52083</v>
      </c>
      <c r="S1460" s="318">
        <f t="shared" si="8"/>
        <v>46125.65625</v>
      </c>
    </row>
    <row r="1461">
      <c r="A1461" s="14" t="str">
        <f t="shared" si="1"/>
        <v>C113946125</v>
      </c>
      <c r="B1461" s="185">
        <f t="array" ref="B1461">IF(F1461="VL","",IF(F1461="Free","Free",XLOOKUP(D1461,Roster!T:T,Roster!S:S,"",0)))</f>
        <v>125</v>
      </c>
      <c r="C1461" s="313">
        <v>46125.0</v>
      </c>
      <c r="D1461" s="314" t="s">
        <v>45</v>
      </c>
      <c r="E1461" s="307" t="str">
        <f t="array" ref="E1461">(XLOOKUP(D1461,Roster!F:F,Roster!B:B,"",0))</f>
        <v>Juan Largacha</v>
      </c>
      <c r="F1461" s="315" t="str">
        <f t="array" ref="F1461">IF(B1461=100,"Free",TEXT(XLOOKUP($D1461,OperationVoice!$A:$A,OperationVoice!S:S,XLOOKUP($D1461,OperationTickets!$A:$A,OperationTickets!S:S,"",0)),"hh:mm"))</f>
        <v>08:00</v>
      </c>
      <c r="G1461" s="309">
        <f t="shared" si="3"/>
        <v>0.7083333333</v>
      </c>
      <c r="H1461" s="316" t="str">
        <f t="array" ref="H1461">XLOOKUP(B1461,Roster!L:L,Roster!N:N,XLOOKUP(D1461,TicketsBreak!A:A,TicketsBreak!E:E,"",0),0)</f>
        <v>10:30 - 10:45</v>
      </c>
      <c r="I1461" s="316" t="str">
        <f t="array" ref="I1461">XLOOKUP(B1461,Roster!L:L,Roster!O:O,XLOOKUP(D1461,TicketsBreak!A:A,TicketsBreak!F:F,"",0),0)</f>
        <v>13:30 - 14:00</v>
      </c>
      <c r="J1461" s="316" t="str">
        <f t="array" ref="J1461">XLOOKUP(B1461,Roster!L:L,Roster!P:P,XLOOKUP(D1461,TicketsBreak!A:A,TicketsBreak!G:G,"",0),0)</f>
        <v>15:45 - 16:00</v>
      </c>
      <c r="K1461" s="310">
        <f t="shared" si="4"/>
        <v>46125</v>
      </c>
      <c r="L1461" s="317">
        <f t="array" ref="L1461">(XLOOKUP(D1461,Roster!F:F,Roster!D:D,"",0))</f>
        <v>22</v>
      </c>
      <c r="M1461" s="317" t="str">
        <f t="array" ref="M1461">XLOOKUP(D1461,Roster!F:F,Roster!E:E)</f>
        <v>Voice</v>
      </c>
      <c r="N1461" s="317" t="str">
        <f t="shared" ref="N1461:P1461" si="1483">LEFT(H1461,5)</f>
        <v>10:30</v>
      </c>
      <c r="O1461" s="317" t="str">
        <f t="shared" si="1483"/>
        <v>13:30</v>
      </c>
      <c r="P1461" s="317" t="str">
        <f t="shared" si="1483"/>
        <v>15:45</v>
      </c>
      <c r="Q1461" s="318">
        <f t="shared" si="1374"/>
        <v>46125.4375</v>
      </c>
      <c r="R1461" s="318">
        <f t="shared" si="1233"/>
        <v>46125.5625</v>
      </c>
      <c r="S1461" s="318">
        <f t="shared" si="8"/>
        <v>46125.65625</v>
      </c>
    </row>
    <row r="1462">
      <c r="A1462" s="14" t="str">
        <f t="shared" si="1"/>
        <v>C156646125</v>
      </c>
      <c r="B1462" s="185">
        <f t="array" ref="B1462">IF(F1462="VL","",IF(F1462="Free","Free",XLOOKUP(D1462,Roster!T:T,Roster!S:S,"",0)))</f>
        <v>124</v>
      </c>
      <c r="C1462" s="313">
        <v>46125.0</v>
      </c>
      <c r="D1462" s="314" t="s">
        <v>46</v>
      </c>
      <c r="E1462" s="307" t="str">
        <f t="array" ref="E1462">(XLOOKUP(D1462,Roster!F:F,Roster!B:B,"",0))</f>
        <v>Juan Ocampo</v>
      </c>
      <c r="F1462" s="315" t="str">
        <f t="array" ref="F1462">IF(B1462=100,"Free",TEXT(XLOOKUP($D1462,OperationVoice!$A:$A,OperationVoice!S:S,XLOOKUP($D1462,OperationTickets!$A:$A,OperationTickets!S:S,"",0)),"hh:mm"))</f>
        <v>08:00</v>
      </c>
      <c r="G1462" s="309">
        <f t="shared" si="3"/>
        <v>0.7083333333</v>
      </c>
      <c r="H1462" s="316" t="str">
        <f t="array" ref="H1462">XLOOKUP(B1462,Roster!L:L,Roster!N:N,XLOOKUP(D1462,TicketsBreak!A:A,TicketsBreak!E:E,"",0),0)</f>
        <v>10:00 - 10:15</v>
      </c>
      <c r="I1462" s="316" t="str">
        <f t="array" ref="I1462">XLOOKUP(B1462,Roster!L:L,Roster!O:O,XLOOKUP(D1462,TicketsBreak!A:A,TicketsBreak!F:F,"",0),0)</f>
        <v>13:00 - 13:30</v>
      </c>
      <c r="J1462" s="316" t="str">
        <f t="array" ref="J1462">XLOOKUP(B1462,Roster!L:L,Roster!P:P,XLOOKUP(D1462,TicketsBreak!A:A,TicketsBreak!G:G,"",0),0)</f>
        <v>15:30 - 15:45</v>
      </c>
      <c r="K1462" s="310">
        <f t="shared" si="4"/>
        <v>46125</v>
      </c>
      <c r="L1462" s="317">
        <f t="array" ref="L1462">(XLOOKUP(D1462,Roster!F:F,Roster!D:D,"",0))</f>
        <v>38</v>
      </c>
      <c r="M1462" s="317" t="str">
        <f t="array" ref="M1462">XLOOKUP(D1462,Roster!F:F,Roster!E:E)</f>
        <v>Voice</v>
      </c>
      <c r="N1462" s="317" t="str">
        <f t="shared" ref="N1462:P1462" si="1484">LEFT(H1462,5)</f>
        <v>10:00</v>
      </c>
      <c r="O1462" s="317" t="str">
        <f t="shared" si="1484"/>
        <v>13:00</v>
      </c>
      <c r="P1462" s="317" t="str">
        <f t="shared" si="1484"/>
        <v>15:30</v>
      </c>
      <c r="Q1462" s="318">
        <f t="shared" si="1374"/>
        <v>46125.41667</v>
      </c>
      <c r="R1462" s="318">
        <f t="shared" si="1233"/>
        <v>46125.54167</v>
      </c>
      <c r="S1462" s="318">
        <f t="shared" si="8"/>
        <v>46125.64583</v>
      </c>
    </row>
    <row r="1463">
      <c r="A1463" s="14" t="str">
        <f t="shared" si="1"/>
        <v>C148446125</v>
      </c>
      <c r="B1463" s="185">
        <f t="array" ref="B1463">IF(F1463="VL","",IF(F1463="Free","Free",XLOOKUP(D1463,Roster!T:T,Roster!S:S,"",0)))</f>
        <v>126</v>
      </c>
      <c r="C1463" s="313">
        <v>46125.0</v>
      </c>
      <c r="D1463" s="314" t="s">
        <v>141</v>
      </c>
      <c r="E1463" s="307" t="str">
        <f t="array" ref="E1463">(XLOOKUP(D1463,Roster!F:F,Roster!B:B,"",0))</f>
        <v>Juan Ospina</v>
      </c>
      <c r="F1463" s="315" t="str">
        <f t="array" ref="F1463">IF(B1463=100,"Free",TEXT(XLOOKUP($D1463,OperationVoice!$A:$A,OperationVoice!S:S,XLOOKUP($D1463,OperationTickets!$A:$A,OperationTickets!S:S,"",0)),"hh:mm"))</f>
        <v>08:00</v>
      </c>
      <c r="G1463" s="309">
        <f t="shared" si="3"/>
        <v>0.7083333333</v>
      </c>
      <c r="H1463" s="316" t="str">
        <f t="array" ref="H1463">XLOOKUP(B1463,Roster!L:L,Roster!N:N,XLOOKUP(D1463,TicketsBreak!A:A,TicketsBreak!E:E,"",0),0)</f>
        <v>10:45 - 11:00</v>
      </c>
      <c r="I1463" s="316" t="str">
        <f t="array" ref="I1463">XLOOKUP(B1463,Roster!L:L,Roster!O:O,XLOOKUP(D1463,TicketsBreak!A:A,TicketsBreak!F:F,"",0),0)</f>
        <v>14:00 - 14:30</v>
      </c>
      <c r="J1463" s="316" t="str">
        <f t="array" ref="J1463">XLOOKUP(B1463,Roster!L:L,Roster!P:P,XLOOKUP(D1463,TicketsBreak!A:A,TicketsBreak!G:G,"",0),0)</f>
        <v>15:45 - 16:00</v>
      </c>
      <c r="K1463" s="310">
        <f t="shared" si="4"/>
        <v>46125</v>
      </c>
      <c r="L1463" s="317">
        <f t="array" ref="L1463">(XLOOKUP(D1463,Roster!F:F,Roster!D:D,"",0))</f>
        <v>34</v>
      </c>
      <c r="M1463" s="317" t="str">
        <f t="array" ref="M1463">XLOOKUP(D1463,Roster!F:F,Roster!E:E)</f>
        <v>Tickets</v>
      </c>
      <c r="N1463" s="317" t="str">
        <f t="shared" ref="N1463:P1463" si="1485">LEFT(H1463,5)</f>
        <v>10:45</v>
      </c>
      <c r="O1463" s="317" t="str">
        <f t="shared" si="1485"/>
        <v>14:00</v>
      </c>
      <c r="P1463" s="317" t="str">
        <f t="shared" si="1485"/>
        <v>15:45</v>
      </c>
      <c r="Q1463" s="318">
        <f t="shared" si="1374"/>
        <v>46125.44792</v>
      </c>
      <c r="R1463" s="318">
        <f t="shared" si="1233"/>
        <v>46125.58333</v>
      </c>
      <c r="S1463" s="318">
        <f t="shared" si="8"/>
        <v>46125.65625</v>
      </c>
    </row>
    <row r="1464">
      <c r="A1464" s="14" t="str">
        <f t="shared" si="1"/>
        <v>C141346125</v>
      </c>
      <c r="B1464" s="185">
        <f t="array" ref="B1464">IF(F1464="VL","",IF(F1464="Free","Free",XLOOKUP(D1464,Roster!T:T,Roster!S:S,"",0)))</f>
        <v>121</v>
      </c>
      <c r="C1464" s="313">
        <v>46125.0</v>
      </c>
      <c r="D1464" s="314" t="s">
        <v>47</v>
      </c>
      <c r="E1464" s="307" t="str">
        <f t="array" ref="E1464">(XLOOKUP(D1464,Roster!F:F,Roster!B:B,"",0))</f>
        <v>Juan Parra</v>
      </c>
      <c r="F1464" s="315" t="str">
        <f t="array" ref="F1464">IF(B1464=100,"Free",TEXT(XLOOKUP($D1464,OperationVoice!$A:$A,OperationVoice!S:S,XLOOKUP($D1464,OperationTickets!$A:$A,OperationTickets!S:S,"",0)),"hh:mm"))</f>
        <v>08:00</v>
      </c>
      <c r="G1464" s="309">
        <f t="shared" si="3"/>
        <v>0.7083333333</v>
      </c>
      <c r="H1464" s="316" t="str">
        <f t="array" ref="H1464">XLOOKUP(B1464,Roster!L:L,Roster!N:N,XLOOKUP(D1464,TicketsBreak!A:A,TicketsBreak!E:E,"",0),0)</f>
        <v>09:15 - 09:30</v>
      </c>
      <c r="I1464" s="316" t="str">
        <f t="array" ref="I1464">XLOOKUP(B1464,Roster!L:L,Roster!O:O,XLOOKUP(D1464,TicketsBreak!A:A,TicketsBreak!F:F,"",0),0)</f>
        <v>11:30 - 12:00</v>
      </c>
      <c r="J1464" s="316" t="str">
        <f t="array" ref="J1464">XLOOKUP(B1464,Roster!L:L,Roster!P:P,XLOOKUP(D1464,TicketsBreak!A:A,TicketsBreak!G:G,"",0),0)</f>
        <v>14:30 - 14:45</v>
      </c>
      <c r="K1464" s="310">
        <f t="shared" si="4"/>
        <v>46125</v>
      </c>
      <c r="L1464" s="317">
        <f t="array" ref="L1464">(XLOOKUP(D1464,Roster!F:F,Roster!D:D,"",0))</f>
        <v>32</v>
      </c>
      <c r="M1464" s="317" t="str">
        <f t="array" ref="M1464">XLOOKUP(D1464,Roster!F:F,Roster!E:E)</f>
        <v>Voice</v>
      </c>
      <c r="N1464" s="317" t="str">
        <f t="shared" ref="N1464:P1464" si="1486">LEFT(H1464,5)</f>
        <v>09:15</v>
      </c>
      <c r="O1464" s="317" t="str">
        <f t="shared" si="1486"/>
        <v>11:30</v>
      </c>
      <c r="P1464" s="317" t="str">
        <f t="shared" si="1486"/>
        <v>14:30</v>
      </c>
      <c r="Q1464" s="318">
        <f t="shared" si="1374"/>
        <v>46125.38542</v>
      </c>
      <c r="R1464" s="318">
        <f t="shared" si="1233"/>
        <v>46125.47917</v>
      </c>
      <c r="S1464" s="318">
        <f t="shared" si="8"/>
        <v>46125.60417</v>
      </c>
    </row>
    <row r="1465">
      <c r="A1465" s="14" t="str">
        <f t="shared" si="1"/>
        <v>C132746125</v>
      </c>
      <c r="B1465" s="185" t="str">
        <f t="array" ref="B1465">IF(F1465="VL","",IF(F1465="Free","Free",XLOOKUP(D1465,Roster!T:T,Roster!S:S,"",0)))</f>
        <v/>
      </c>
      <c r="C1465" s="313">
        <v>46125.0</v>
      </c>
      <c r="D1465" s="314" t="s">
        <v>163</v>
      </c>
      <c r="E1465" s="307" t="str">
        <f t="array" ref="E1465">(XLOOKUP(D1465,Roster!F:F,Roster!B:B,"",0))</f>
        <v>Juan Restrepo</v>
      </c>
      <c r="F1465" s="315" t="str">
        <f t="array" ref="F1465">IF(B1465=100,"Free",TEXT(XLOOKUP($D1465,OperationVoice!$A:$A,OperationVoice!S:S,XLOOKUP($D1465,OperationTickets!$A:$A,OperationTickets!S:S,"",0)),"hh:mm"))</f>
        <v>07:00</v>
      </c>
      <c r="G1465" s="309">
        <f t="shared" si="3"/>
        <v>0.6666666667</v>
      </c>
      <c r="H1465" s="316" t="str">
        <f t="array" ref="H1465">XLOOKUP(B1465,Roster!L:L,Roster!N:N,XLOOKUP(D1465,TicketsBreak!A:A,TicketsBreak!E:E,"",0),0)</f>
        <v/>
      </c>
      <c r="I1465" s="316" t="str">
        <f t="array" ref="I1465">XLOOKUP(B1465,Roster!L:L,Roster!O:O,XLOOKUP(D1465,TicketsBreak!A:A,TicketsBreak!F:F,"",0),0)</f>
        <v/>
      </c>
      <c r="J1465" s="316" t="str">
        <f t="array" ref="J1465">XLOOKUP(B1465,Roster!L:L,Roster!P:P,XLOOKUP(D1465,TicketsBreak!A:A,TicketsBreak!G:G,"",0),0)</f>
        <v/>
      </c>
      <c r="K1465" s="310">
        <f t="shared" si="4"/>
        <v>46125</v>
      </c>
      <c r="L1465" s="317">
        <f t="array" ref="L1465">(XLOOKUP(D1465,Roster!F:F,Roster!D:D,"",0))</f>
        <v>29</v>
      </c>
      <c r="M1465" s="317" t="str">
        <f t="array" ref="M1465">XLOOKUP(D1465,Roster!F:F,Roster!E:E)</f>
        <v>Tickets</v>
      </c>
      <c r="N1465" s="317" t="str">
        <f t="shared" ref="N1465:P1465" si="1487">LEFT(H1465,5)</f>
        <v/>
      </c>
      <c r="O1465" s="317" t="str">
        <f t="shared" si="1487"/>
        <v/>
      </c>
      <c r="P1465" s="317" t="str">
        <f t="shared" si="1487"/>
        <v/>
      </c>
      <c r="Q1465" s="318" t="str">
        <f t="shared" si="1374"/>
        <v/>
      </c>
      <c r="R1465" s="318" t="str">
        <f t="shared" si="1233"/>
        <v/>
      </c>
      <c r="S1465" s="318" t="str">
        <f t="shared" si="8"/>
        <v/>
      </c>
    </row>
    <row r="1466">
      <c r="A1466" s="14" t="str">
        <f t="shared" si="1"/>
        <v>C146946125</v>
      </c>
      <c r="B1466" s="185">
        <f t="array" ref="B1466">IF(F1466="VL","",IF(F1466="Free","Free",XLOOKUP(D1466,Roster!T:T,Roster!S:S,"",0)))</f>
        <v>122</v>
      </c>
      <c r="C1466" s="313">
        <v>46125.0</v>
      </c>
      <c r="D1466" s="314" t="s">
        <v>48</v>
      </c>
      <c r="E1466" s="307" t="str">
        <f t="array" ref="E1466">(XLOOKUP(D1466,Roster!F:F,Roster!B:B,"",0))</f>
        <v>Juan Restrepo Restrepo</v>
      </c>
      <c r="F1466" s="315" t="str">
        <f t="array" ref="F1466">IF(B1466=100,"Free",TEXT(XLOOKUP($D1466,OperationVoice!$A:$A,OperationVoice!S:S,XLOOKUP($D1466,OperationTickets!$A:$A,OperationTickets!S:S,"",0)),"hh:mm"))</f>
        <v>08:00</v>
      </c>
      <c r="G1466" s="309">
        <f t="shared" si="3"/>
        <v>0.7083333333</v>
      </c>
      <c r="H1466" s="316" t="str">
        <f t="array" ref="H1466">XLOOKUP(B1466,Roster!L:L,Roster!N:N,XLOOKUP(D1466,TicketsBreak!A:A,TicketsBreak!E:E,"",0),0)</f>
        <v>09:30 - 09:45</v>
      </c>
      <c r="I1466" s="316" t="str">
        <f t="array" ref="I1466">XLOOKUP(B1466,Roster!L:L,Roster!O:O,XLOOKUP(D1466,TicketsBreak!A:A,TicketsBreak!F:F,"",0),0)</f>
        <v>12:00 - 12:30</v>
      </c>
      <c r="J1466" s="316" t="str">
        <f t="array" ref="J1466">XLOOKUP(B1466,Roster!L:L,Roster!P:P,XLOOKUP(D1466,TicketsBreak!A:A,TicketsBreak!G:G,"",0),0)</f>
        <v>14:45 - 15:00</v>
      </c>
      <c r="K1466" s="310">
        <f t="shared" si="4"/>
        <v>46125</v>
      </c>
      <c r="L1466" s="317">
        <f t="array" ref="L1466">(XLOOKUP(D1466,Roster!F:F,Roster!D:D,"",0))</f>
        <v>33</v>
      </c>
      <c r="M1466" s="317" t="str">
        <f t="array" ref="M1466">XLOOKUP(D1466,Roster!F:F,Roster!E:E)</f>
        <v>Voice</v>
      </c>
      <c r="N1466" s="317" t="str">
        <f t="shared" ref="N1466:P1466" si="1488">LEFT(H1466,5)</f>
        <v>09:30</v>
      </c>
      <c r="O1466" s="317" t="str">
        <f t="shared" si="1488"/>
        <v>12:00</v>
      </c>
      <c r="P1466" s="317" t="str">
        <f t="shared" si="1488"/>
        <v>14:45</v>
      </c>
      <c r="Q1466" s="318">
        <f t="shared" si="1374"/>
        <v>46125.39583</v>
      </c>
      <c r="R1466" s="318">
        <f t="shared" si="1233"/>
        <v>46125.5</v>
      </c>
      <c r="S1466" s="318">
        <f t="shared" si="8"/>
        <v>46125.61458</v>
      </c>
    </row>
    <row r="1467">
      <c r="A1467" s="14" t="str">
        <f t="shared" si="1"/>
        <v>C117146125</v>
      </c>
      <c r="B1467" s="185" t="str">
        <f t="array" ref="B1467">IF(F1467="VL","",IF(F1467="Free","Free",XLOOKUP(D1467,Roster!T:T,Roster!S:S,"",0)))</f>
        <v/>
      </c>
      <c r="C1467" s="313">
        <v>46125.0</v>
      </c>
      <c r="D1467" s="314" t="s">
        <v>142</v>
      </c>
      <c r="E1467" s="307" t="str">
        <f t="array" ref="E1467">(XLOOKUP(D1467,Roster!F:F,Roster!B:B,"",0))</f>
        <v>Juan Sanchez</v>
      </c>
      <c r="F1467" s="315" t="str">
        <f t="array" ref="F1467">IF(B1467=100,"Free",TEXT(XLOOKUP($D1467,OperationVoice!$A:$A,OperationVoice!S:S,XLOOKUP($D1467,OperationTickets!$A:$A,OperationTickets!S:S,"",0)),"hh:mm"))</f>
        <v>08:00</v>
      </c>
      <c r="G1467" s="309">
        <f t="shared" si="3"/>
        <v>0.7083333333</v>
      </c>
      <c r="H1467" s="316" t="str">
        <f t="array" ref="H1467">XLOOKUP(B1467,Roster!L:L,Roster!N:N,XLOOKUP(D1467,TicketsBreak!A:A,TicketsBreak!E:E,"",0),0)</f>
        <v/>
      </c>
      <c r="I1467" s="316" t="str">
        <f t="array" ref="I1467">XLOOKUP(B1467,Roster!L:L,Roster!O:O,XLOOKUP(D1467,TicketsBreak!A:A,TicketsBreak!F:F,"",0),0)</f>
        <v/>
      </c>
      <c r="J1467" s="316" t="str">
        <f t="array" ref="J1467">XLOOKUP(B1467,Roster!L:L,Roster!P:P,XLOOKUP(D1467,TicketsBreak!A:A,TicketsBreak!G:G,"",0),0)</f>
        <v/>
      </c>
      <c r="K1467" s="310">
        <f t="shared" si="4"/>
        <v>46125</v>
      </c>
      <c r="L1467" s="317">
        <f t="array" ref="L1467">(XLOOKUP(D1467,Roster!F:F,Roster!D:D,"",0))</f>
        <v>24</v>
      </c>
      <c r="M1467" s="317" t="str">
        <f t="array" ref="M1467">XLOOKUP(D1467,Roster!F:F,Roster!E:E)</f>
        <v>Tickets</v>
      </c>
      <c r="N1467" s="317" t="str">
        <f t="shared" ref="N1467:P1467" si="1489">LEFT(H1467,5)</f>
        <v/>
      </c>
      <c r="O1467" s="317" t="str">
        <f t="shared" si="1489"/>
        <v/>
      </c>
      <c r="P1467" s="317" t="str">
        <f t="shared" si="1489"/>
        <v/>
      </c>
      <c r="Q1467" s="318" t="str">
        <f t="shared" si="1374"/>
        <v/>
      </c>
      <c r="R1467" s="318" t="str">
        <f t="shared" si="1233"/>
        <v/>
      </c>
      <c r="S1467" s="318" t="str">
        <f t="shared" si="8"/>
        <v/>
      </c>
    </row>
    <row r="1468">
      <c r="A1468" s="14" t="str">
        <f t="shared" si="1"/>
        <v>C74346125</v>
      </c>
      <c r="B1468" s="185" t="str">
        <f t="array" ref="B1468">IF(F1468="VL","",IF(F1468="Free","Free",XLOOKUP(D1468,Roster!T:T,Roster!S:S,"",0)))</f>
        <v/>
      </c>
      <c r="C1468" s="313">
        <v>46125.0</v>
      </c>
      <c r="D1468" s="314" t="s">
        <v>164</v>
      </c>
      <c r="E1468" s="307" t="str">
        <f t="array" ref="E1468">(XLOOKUP(D1468,Roster!F:F,Roster!B:B,"",0))</f>
        <v>Juan Suarez</v>
      </c>
      <c r="F1468" s="315" t="str">
        <f t="array" ref="F1468">IF(B1468=100,"Free",TEXT(XLOOKUP($D1468,OperationVoice!$A:$A,OperationVoice!S:S,XLOOKUP($D1468,OperationTickets!$A:$A,OperationTickets!S:S,"",0)),"hh:mm"))</f>
        <v>VL</v>
      </c>
      <c r="G1468" s="309" t="str">
        <f t="shared" si="3"/>
        <v>VL</v>
      </c>
      <c r="H1468" s="316">
        <f t="array" ref="H1468">XLOOKUP(B1468,Roster!L:L,Roster!N:N,XLOOKUP(D1468,TicketsBreak!A:A,TicketsBreak!E:E,"",0),0)</f>
        <v>0.3958333333</v>
      </c>
      <c r="I1468" s="316">
        <f t="array" ref="I1468">XLOOKUP(B1468,Roster!L:L,Roster!O:O,XLOOKUP(D1468,TicketsBreak!A:A,TicketsBreak!F:F,"",0),0)</f>
        <v>0.5208333333</v>
      </c>
      <c r="J1468" s="316">
        <f t="array" ref="J1468">XLOOKUP(B1468,Roster!L:L,Roster!P:P,XLOOKUP(D1468,TicketsBreak!A:A,TicketsBreak!G:G,"",0),0)</f>
        <v>0.6145833333</v>
      </c>
      <c r="K1468" s="310">
        <f t="shared" si="4"/>
        <v>46125</v>
      </c>
      <c r="L1468" s="317">
        <f t="array" ref="L1468">(XLOOKUP(D1468,Roster!F:F,Roster!D:D,"",0))</f>
        <v>8</v>
      </c>
      <c r="M1468" s="317" t="str">
        <f t="array" ref="M1468">XLOOKUP(D1468,Roster!F:F,Roster!E:E)</f>
        <v>Tickets</v>
      </c>
      <c r="N1468" s="317" t="str">
        <f t="shared" ref="N1468:P1468" si="1490">LEFT(H1468,5)</f>
        <v>09:30</v>
      </c>
      <c r="O1468" s="317" t="str">
        <f t="shared" si="1490"/>
        <v>12:30</v>
      </c>
      <c r="P1468" s="317" t="str">
        <f t="shared" si="1490"/>
        <v>14:45</v>
      </c>
      <c r="Q1468" s="318">
        <f t="shared" si="1374"/>
        <v>46125.39583</v>
      </c>
      <c r="R1468" s="318">
        <f t="shared" si="1233"/>
        <v>46125.52083</v>
      </c>
      <c r="S1468" s="318">
        <f t="shared" si="8"/>
        <v>46125.61458</v>
      </c>
    </row>
    <row r="1469">
      <c r="A1469" s="14" t="str">
        <f t="shared" si="1"/>
        <v>C156846125</v>
      </c>
      <c r="B1469" s="185">
        <f t="array" ref="B1469">IF(F1469="VL","",IF(F1469="Free","Free",XLOOKUP(D1469,Roster!T:T,Roster!S:S,"",0)))</f>
        <v>122</v>
      </c>
      <c r="C1469" s="313">
        <v>46125.0</v>
      </c>
      <c r="D1469" s="314" t="s">
        <v>49</v>
      </c>
      <c r="E1469" s="307" t="str">
        <f t="array" ref="E1469">(XLOOKUP(D1469,Roster!F:F,Roster!B:B,"",0))</f>
        <v>Juan Zapata</v>
      </c>
      <c r="F1469" s="315" t="str">
        <f t="array" ref="F1469">IF(B1469=100,"Free",TEXT(XLOOKUP($D1469,OperationVoice!$A:$A,OperationVoice!S:S,XLOOKUP($D1469,OperationTickets!$A:$A,OperationTickets!S:S,"",0)),"hh:mm"))</f>
        <v>08:00</v>
      </c>
      <c r="G1469" s="309">
        <f t="shared" si="3"/>
        <v>0.7083333333</v>
      </c>
      <c r="H1469" s="316" t="str">
        <f t="array" ref="H1469">XLOOKUP(B1469,Roster!L:L,Roster!N:N,XLOOKUP(D1469,TicketsBreak!A:A,TicketsBreak!E:E,"",0),0)</f>
        <v>09:30 - 09:45</v>
      </c>
      <c r="I1469" s="316" t="str">
        <f t="array" ref="I1469">XLOOKUP(B1469,Roster!L:L,Roster!O:O,XLOOKUP(D1469,TicketsBreak!A:A,TicketsBreak!F:F,"",0),0)</f>
        <v>12:00 - 12:30</v>
      </c>
      <c r="J1469" s="316" t="str">
        <f t="array" ref="J1469">XLOOKUP(B1469,Roster!L:L,Roster!P:P,XLOOKUP(D1469,TicketsBreak!A:A,TicketsBreak!G:G,"",0),0)</f>
        <v>14:45 - 15:00</v>
      </c>
      <c r="K1469" s="310">
        <f t="shared" si="4"/>
        <v>46125</v>
      </c>
      <c r="L1469" s="317">
        <f t="array" ref="L1469">(XLOOKUP(D1469,Roster!F:F,Roster!D:D,"",0))</f>
        <v>38</v>
      </c>
      <c r="M1469" s="317" t="str">
        <f t="array" ref="M1469">XLOOKUP(D1469,Roster!F:F,Roster!E:E)</f>
        <v>Voice</v>
      </c>
      <c r="N1469" s="317" t="str">
        <f t="shared" ref="N1469:P1469" si="1491">LEFT(H1469,5)</f>
        <v>09:30</v>
      </c>
      <c r="O1469" s="317" t="str">
        <f t="shared" si="1491"/>
        <v>12:00</v>
      </c>
      <c r="P1469" s="317" t="str">
        <f t="shared" si="1491"/>
        <v>14:45</v>
      </c>
      <c r="Q1469" s="318">
        <f t="shared" si="1374"/>
        <v>46125.39583</v>
      </c>
      <c r="R1469" s="318">
        <f t="shared" si="1233"/>
        <v>46125.5</v>
      </c>
      <c r="S1469" s="318">
        <f t="shared" si="8"/>
        <v>46125.61458</v>
      </c>
    </row>
    <row r="1470">
      <c r="A1470" s="14" t="str">
        <f t="shared" si="1"/>
        <v>C75546125</v>
      </c>
      <c r="B1470" s="185" t="str">
        <f t="array" ref="B1470">IF(F1470="VL","",IF(F1470="Free","Free",XLOOKUP(D1470,Roster!T:T,Roster!S:S,"",0)))</f>
        <v/>
      </c>
      <c r="C1470" s="313">
        <v>46125.0</v>
      </c>
      <c r="D1470" s="314" t="s">
        <v>143</v>
      </c>
      <c r="E1470" s="307" t="str">
        <f t="array" ref="E1470">(XLOOKUP(D1470,Roster!F:F,Roster!B:B,"",0))</f>
        <v>Julian Higuita</v>
      </c>
      <c r="F1470" s="315" t="str">
        <f t="array" ref="F1470">IF(B1470=100,"Free",TEXT(XLOOKUP($D1470,OperationVoice!$A:$A,OperationVoice!S:S,XLOOKUP($D1470,OperationTickets!$A:$A,OperationTickets!S:S,"",0)),"hh:mm"))</f>
        <v>VL</v>
      </c>
      <c r="G1470" s="309" t="str">
        <f t="shared" si="3"/>
        <v>VL</v>
      </c>
      <c r="H1470" s="316" t="str">
        <f t="array" ref="H1470">XLOOKUP(B1470,Roster!L:L,Roster!N:N,XLOOKUP(D1470,TicketsBreak!A:A,TicketsBreak!E:E,"",0),0)</f>
        <v/>
      </c>
      <c r="I1470" s="316" t="str">
        <f t="array" ref="I1470">XLOOKUP(B1470,Roster!L:L,Roster!O:O,XLOOKUP(D1470,TicketsBreak!A:A,TicketsBreak!F:F,"",0),0)</f>
        <v/>
      </c>
      <c r="J1470" s="316" t="str">
        <f t="array" ref="J1470">XLOOKUP(B1470,Roster!L:L,Roster!P:P,XLOOKUP(D1470,TicketsBreak!A:A,TicketsBreak!G:G,"",0),0)</f>
        <v/>
      </c>
      <c r="K1470" s="310">
        <f t="shared" si="4"/>
        <v>46125</v>
      </c>
      <c r="L1470" s="317">
        <f t="array" ref="L1470">(XLOOKUP(D1470,Roster!F:F,Roster!D:D,"",0))</f>
        <v>35</v>
      </c>
      <c r="M1470" s="317" t="str">
        <f t="array" ref="M1470">XLOOKUP(D1470,Roster!F:F,Roster!E:E)</f>
        <v>Tickets</v>
      </c>
      <c r="N1470" s="317" t="str">
        <f t="shared" ref="N1470:P1470" si="1492">LEFT(H1470,5)</f>
        <v/>
      </c>
      <c r="O1470" s="317" t="str">
        <f t="shared" si="1492"/>
        <v/>
      </c>
      <c r="P1470" s="317" t="str">
        <f t="shared" si="1492"/>
        <v/>
      </c>
      <c r="Q1470" s="318" t="str">
        <f t="shared" si="1374"/>
        <v/>
      </c>
      <c r="R1470" s="318" t="str">
        <f t="shared" si="1233"/>
        <v/>
      </c>
      <c r="S1470" s="318" t="str">
        <f t="shared" si="8"/>
        <v/>
      </c>
    </row>
    <row r="1471">
      <c r="A1471" s="14" t="str">
        <f t="shared" si="1"/>
        <v>C52546125</v>
      </c>
      <c r="B1471" s="185" t="str">
        <f t="array" ref="B1471">IF(F1471="VL","",IF(F1471="Free","Free",XLOOKUP(D1471,Roster!T:T,Roster!S:S,"",0)))</f>
        <v/>
      </c>
      <c r="C1471" s="313">
        <v>46125.0</v>
      </c>
      <c r="D1471" s="314" t="s">
        <v>176</v>
      </c>
      <c r="E1471" s="307" t="str">
        <f t="array" ref="E1471">(XLOOKUP(D1471,Roster!F:F,Roster!B:B,"",0))</f>
        <v>Julian Pineda</v>
      </c>
      <c r="F1471" s="315" t="str">
        <f t="array" ref="F1471">IF(B1471=100,"Free",TEXT(XLOOKUP($D1471,OperationVoice!$A:$A,OperationVoice!S:S,XLOOKUP($D1471,OperationTickets!$A:$A,OperationTickets!S:S,"",0)),"hh:mm"))</f>
        <v>08:00</v>
      </c>
      <c r="G1471" s="309">
        <f t="shared" si="3"/>
        <v>0.7083333333</v>
      </c>
      <c r="H1471" s="316" t="str">
        <f t="array" ref="H1471">XLOOKUP(B1471,Roster!L:L,Roster!N:N,XLOOKUP(D1471,TicketsBreak!A:A,TicketsBreak!E:E,"",0),0)</f>
        <v/>
      </c>
      <c r="I1471" s="316" t="str">
        <f t="array" ref="I1471">XLOOKUP(B1471,Roster!L:L,Roster!O:O,XLOOKUP(D1471,TicketsBreak!A:A,TicketsBreak!F:F,"",0),0)</f>
        <v/>
      </c>
      <c r="J1471" s="316" t="str">
        <f t="array" ref="J1471">XLOOKUP(B1471,Roster!L:L,Roster!P:P,XLOOKUP(D1471,TicketsBreak!A:A,TicketsBreak!G:G,"",0),0)</f>
        <v/>
      </c>
      <c r="K1471" s="310">
        <f t="shared" si="4"/>
        <v>46125</v>
      </c>
      <c r="L1471" s="317">
        <f t="array" ref="L1471">(XLOOKUP(D1471,Roster!F:F,Roster!D:D,"",0))</f>
        <v>35</v>
      </c>
      <c r="M1471" s="317" t="str">
        <f t="array" ref="M1471">XLOOKUP(D1471,Roster!F:F,Roster!E:E)</f>
        <v>Tickets</v>
      </c>
      <c r="N1471" s="317" t="str">
        <f t="shared" ref="N1471:P1471" si="1493">LEFT(H1471,5)</f>
        <v/>
      </c>
      <c r="O1471" s="317" t="str">
        <f t="shared" si="1493"/>
        <v/>
      </c>
      <c r="P1471" s="317" t="str">
        <f t="shared" si="1493"/>
        <v/>
      </c>
      <c r="Q1471" s="318" t="str">
        <f t="shared" si="1374"/>
        <v/>
      </c>
      <c r="R1471" s="318" t="str">
        <f t="shared" si="1233"/>
        <v/>
      </c>
      <c r="S1471" s="318" t="str">
        <f t="shared" si="8"/>
        <v/>
      </c>
    </row>
    <row r="1472">
      <c r="A1472" s="14" t="str">
        <f t="shared" si="1"/>
        <v>C142746125</v>
      </c>
      <c r="B1472" s="185">
        <f t="array" ref="B1472">IF(F1472="VL","",IF(F1472="Free","Free",XLOOKUP(D1472,Roster!T:T,Roster!S:S,"",0)))</f>
        <v>123</v>
      </c>
      <c r="C1472" s="313">
        <v>46125.0</v>
      </c>
      <c r="D1472" s="314" t="s">
        <v>50</v>
      </c>
      <c r="E1472" s="307" t="str">
        <f t="array" ref="E1472">(XLOOKUP(D1472,Roster!F:F,Roster!B:B,"",0))</f>
        <v>Karen Lorena Martinez</v>
      </c>
      <c r="F1472" s="315" t="str">
        <f t="array" ref="F1472">IF(B1472=100,"Free",TEXT(XLOOKUP($D1472,OperationVoice!$A:$A,OperationVoice!S:S,XLOOKUP($D1472,OperationTickets!$A:$A,OperationTickets!S:S,"",0)),"hh:mm"))</f>
        <v>08:00</v>
      </c>
      <c r="G1472" s="309">
        <f t="shared" si="3"/>
        <v>0.7083333333</v>
      </c>
      <c r="H1472" s="316" t="str">
        <f t="array" ref="H1472">XLOOKUP(B1472,Roster!L:L,Roster!N:N,XLOOKUP(D1472,TicketsBreak!A:A,TicketsBreak!E:E,"",0),0)</f>
        <v>09:45 - 10:00 </v>
      </c>
      <c r="I1472" s="316" t="str">
        <f t="array" ref="I1472">XLOOKUP(B1472,Roster!L:L,Roster!O:O,XLOOKUP(D1472,TicketsBreak!A:A,TicketsBreak!F:F,"",0),0)</f>
        <v>12:30 - 13:00</v>
      </c>
      <c r="J1472" s="316" t="str">
        <f t="array" ref="J1472">XLOOKUP(B1472,Roster!L:L,Roster!P:P,XLOOKUP(D1472,TicketsBreak!A:A,TicketsBreak!G:G,"",0),0)</f>
        <v>15:00 - 15:15</v>
      </c>
      <c r="K1472" s="310">
        <f t="shared" si="4"/>
        <v>46125</v>
      </c>
      <c r="L1472" s="317">
        <f t="array" ref="L1472">(XLOOKUP(D1472,Roster!F:F,Roster!D:D,"",0))</f>
        <v>32</v>
      </c>
      <c r="M1472" s="317" t="str">
        <f t="array" ref="M1472">XLOOKUP(D1472,Roster!F:F,Roster!E:E)</f>
        <v>Voice</v>
      </c>
      <c r="N1472" s="317" t="str">
        <f t="shared" ref="N1472:P1472" si="1494">LEFT(H1472,5)</f>
        <v>09:45</v>
      </c>
      <c r="O1472" s="317" t="str">
        <f t="shared" si="1494"/>
        <v>12:30</v>
      </c>
      <c r="P1472" s="317" t="str">
        <f t="shared" si="1494"/>
        <v>15:00</v>
      </c>
      <c r="Q1472" s="318">
        <f t="shared" si="1374"/>
        <v>46125.40625</v>
      </c>
      <c r="R1472" s="318">
        <f t="shared" si="1233"/>
        <v>46125.52083</v>
      </c>
      <c r="S1472" s="318">
        <f t="shared" si="8"/>
        <v>46125.625</v>
      </c>
    </row>
    <row r="1473">
      <c r="A1473" s="14" t="str">
        <f t="shared" si="1"/>
        <v>C57946125</v>
      </c>
      <c r="B1473" s="185" t="str">
        <f t="array" ref="B1473">IF(F1473="VL","",IF(F1473="Free","Free",XLOOKUP(D1473,Roster!T:T,Roster!S:S,"",0)))</f>
        <v/>
      </c>
      <c r="C1473" s="313">
        <v>46125.0</v>
      </c>
      <c r="D1473" s="314" t="s">
        <v>144</v>
      </c>
      <c r="E1473" s="307" t="str">
        <f t="array" ref="E1473">(XLOOKUP(D1473,Roster!F:F,Roster!B:B,"",0))</f>
        <v>Karen Martinez</v>
      </c>
      <c r="F1473" s="315" t="str">
        <f t="array" ref="F1473">IF(B1473=100,"Free",TEXT(XLOOKUP($D1473,OperationVoice!$A:$A,OperationVoice!S:S,XLOOKUP($D1473,OperationTickets!$A:$A,OperationTickets!S:S,"",0)),"hh:mm"))</f>
        <v>08:00</v>
      </c>
      <c r="G1473" s="309">
        <f t="shared" si="3"/>
        <v>0.7083333333</v>
      </c>
      <c r="H1473" s="316">
        <f t="array" ref="H1473">XLOOKUP(B1473,Roster!L:L,Roster!N:N,XLOOKUP(D1473,TicketsBreak!A:A,TicketsBreak!E:E,"",0),0)</f>
        <v>0.4166666667</v>
      </c>
      <c r="I1473" s="316">
        <f t="array" ref="I1473">XLOOKUP(B1473,Roster!L:L,Roster!O:O,XLOOKUP(D1473,TicketsBreak!A:A,TicketsBreak!F:F,"",0),0)</f>
        <v>0.5</v>
      </c>
      <c r="J1473" s="316">
        <f t="array" ref="J1473">XLOOKUP(B1473,Roster!L:L,Roster!P:P,XLOOKUP(D1473,TicketsBreak!A:A,TicketsBreak!G:G,"",0),0)</f>
        <v>0.625</v>
      </c>
      <c r="K1473" s="310">
        <f t="shared" si="4"/>
        <v>46125</v>
      </c>
      <c r="L1473" s="317">
        <f t="array" ref="L1473">(XLOOKUP(D1473,Roster!F:F,Roster!D:D,"",0))</f>
        <v>4</v>
      </c>
      <c r="M1473" s="317" t="str">
        <f t="array" ref="M1473">XLOOKUP(D1473,Roster!F:F,Roster!E:E)</f>
        <v>Tickets</v>
      </c>
      <c r="N1473" s="317" t="str">
        <f t="shared" ref="N1473:P1473" si="1495">LEFT(H1473,5)</f>
        <v>10:00</v>
      </c>
      <c r="O1473" s="317" t="str">
        <f t="shared" si="1495"/>
        <v>12:00</v>
      </c>
      <c r="P1473" s="317" t="str">
        <f t="shared" si="1495"/>
        <v>15:00</v>
      </c>
      <c r="Q1473" s="318">
        <f t="shared" si="1374"/>
        <v>46125.41667</v>
      </c>
      <c r="R1473" s="318">
        <f t="shared" si="1233"/>
        <v>46125.5</v>
      </c>
      <c r="S1473" s="318">
        <f t="shared" si="8"/>
        <v>46125.625</v>
      </c>
    </row>
    <row r="1474">
      <c r="A1474" s="14" t="str">
        <f t="shared" si="1"/>
        <v>C108646125</v>
      </c>
      <c r="B1474" s="185">
        <f t="array" ref="B1474">IF(F1474="VL","",IF(F1474="Free","Free",XLOOKUP(D1474,Roster!T:T,Roster!S:S,"",0)))</f>
        <v>124</v>
      </c>
      <c r="C1474" s="313">
        <v>46125.0</v>
      </c>
      <c r="D1474" s="314" t="s">
        <v>51</v>
      </c>
      <c r="E1474" s="307" t="str">
        <f t="array" ref="E1474">(XLOOKUP(D1474,Roster!F:F,Roster!B:B,"",0))</f>
        <v>Karen Panqueva</v>
      </c>
      <c r="F1474" s="315" t="str">
        <f t="array" ref="F1474">IF(B1474=100,"Free",TEXT(XLOOKUP($D1474,OperationVoice!$A:$A,OperationVoice!S:S,XLOOKUP($D1474,OperationTickets!$A:$A,OperationTickets!S:S,"",0)),"hh:mm"))</f>
        <v>08:00</v>
      </c>
      <c r="G1474" s="309">
        <f t="shared" si="3"/>
        <v>0.7083333333</v>
      </c>
      <c r="H1474" s="316" t="str">
        <f t="array" ref="H1474">XLOOKUP(B1474,Roster!L:L,Roster!N:N,XLOOKUP(D1474,TicketsBreak!A:A,TicketsBreak!E:E,"",0),0)</f>
        <v>10:00 - 10:15</v>
      </c>
      <c r="I1474" s="316" t="str">
        <f t="array" ref="I1474">XLOOKUP(B1474,Roster!L:L,Roster!O:O,XLOOKUP(D1474,TicketsBreak!A:A,TicketsBreak!F:F,"",0),0)</f>
        <v>13:00 - 13:30</v>
      </c>
      <c r="J1474" s="316" t="str">
        <f t="array" ref="J1474">XLOOKUP(B1474,Roster!L:L,Roster!P:P,XLOOKUP(D1474,TicketsBreak!A:A,TicketsBreak!G:G,"",0),0)</f>
        <v>15:30 - 15:45</v>
      </c>
      <c r="K1474" s="310">
        <f t="shared" si="4"/>
        <v>46125</v>
      </c>
      <c r="L1474" s="317">
        <f t="array" ref="L1474">(XLOOKUP(D1474,Roster!F:F,Roster!D:D,"",0))</f>
        <v>19</v>
      </c>
      <c r="M1474" s="317" t="str">
        <f t="array" ref="M1474">XLOOKUP(D1474,Roster!F:F,Roster!E:E)</f>
        <v>Voice</v>
      </c>
      <c r="N1474" s="317" t="str">
        <f t="shared" ref="N1474:P1474" si="1496">LEFT(H1474,5)</f>
        <v>10:00</v>
      </c>
      <c r="O1474" s="317" t="str">
        <f t="shared" si="1496"/>
        <v>13:00</v>
      </c>
      <c r="P1474" s="317" t="str">
        <f t="shared" si="1496"/>
        <v>15:30</v>
      </c>
      <c r="Q1474" s="318">
        <f t="shared" si="1374"/>
        <v>46125.41667</v>
      </c>
      <c r="R1474" s="318">
        <f t="shared" si="1233"/>
        <v>46125.54167</v>
      </c>
      <c r="S1474" s="318">
        <f t="shared" si="8"/>
        <v>46125.64583</v>
      </c>
    </row>
    <row r="1475">
      <c r="A1475" s="14" t="str">
        <f t="shared" si="1"/>
        <v>C149246125</v>
      </c>
      <c r="B1475" s="185">
        <f t="array" ref="B1475">IF(F1475="VL","",IF(F1475="Free","Free",XLOOKUP(D1475,Roster!T:T,Roster!S:S,"",0)))</f>
        <v>125</v>
      </c>
      <c r="C1475" s="313">
        <v>46125.0</v>
      </c>
      <c r="D1475" s="314" t="s">
        <v>52</v>
      </c>
      <c r="E1475" s="307" t="str">
        <f t="array" ref="E1475">(XLOOKUP(D1475,Roster!F:F,Roster!B:B,"",0))</f>
        <v>Karol Pineda</v>
      </c>
      <c r="F1475" s="315" t="str">
        <f t="array" ref="F1475">IF(B1475=100,"Free",TEXT(XLOOKUP($D1475,OperationVoice!$A:$A,OperationVoice!S:S,XLOOKUP($D1475,OperationTickets!$A:$A,OperationTickets!S:S,"",0)),"hh:mm"))</f>
        <v>08:00</v>
      </c>
      <c r="G1475" s="309">
        <f t="shared" si="3"/>
        <v>0.7083333333</v>
      </c>
      <c r="H1475" s="316" t="str">
        <f t="array" ref="H1475">XLOOKUP(B1475,Roster!L:L,Roster!N:N,XLOOKUP(D1475,TicketsBreak!A:A,TicketsBreak!E:E,"",0),0)</f>
        <v>10:30 - 10:45</v>
      </c>
      <c r="I1475" s="316" t="str">
        <f t="array" ref="I1475">XLOOKUP(B1475,Roster!L:L,Roster!O:O,XLOOKUP(D1475,TicketsBreak!A:A,TicketsBreak!F:F,"",0),0)</f>
        <v>13:30 - 14:00</v>
      </c>
      <c r="J1475" s="316" t="str">
        <f t="array" ref="J1475">XLOOKUP(B1475,Roster!L:L,Roster!P:P,XLOOKUP(D1475,TicketsBreak!A:A,TicketsBreak!G:G,"",0),0)</f>
        <v>15:45 - 16:00</v>
      </c>
      <c r="K1475" s="310">
        <f t="shared" si="4"/>
        <v>46125</v>
      </c>
      <c r="L1475" s="317">
        <f t="array" ref="L1475">(XLOOKUP(D1475,Roster!F:F,Roster!D:D,"",0))</f>
        <v>34</v>
      </c>
      <c r="M1475" s="317" t="str">
        <f t="array" ref="M1475">XLOOKUP(D1475,Roster!F:F,Roster!E:E)</f>
        <v>Voice</v>
      </c>
      <c r="N1475" s="317" t="str">
        <f t="shared" ref="N1475:P1475" si="1497">LEFT(H1475,5)</f>
        <v>10:30</v>
      </c>
      <c r="O1475" s="317" t="str">
        <f t="shared" si="1497"/>
        <v>13:30</v>
      </c>
      <c r="P1475" s="317" t="str">
        <f t="shared" si="1497"/>
        <v>15:45</v>
      </c>
      <c r="Q1475" s="318">
        <f t="shared" si="1374"/>
        <v>46125.4375</v>
      </c>
      <c r="R1475" s="318">
        <f t="shared" si="1233"/>
        <v>46125.5625</v>
      </c>
      <c r="S1475" s="318">
        <f t="shared" si="8"/>
        <v>46125.65625</v>
      </c>
    </row>
    <row r="1476">
      <c r="A1476" s="14" t="str">
        <f t="shared" si="1"/>
        <v>C65846125</v>
      </c>
      <c r="B1476" s="185">
        <f t="array" ref="B1476">IF(F1476="VL","",IF(F1476="Free","Free",XLOOKUP(D1476,Roster!T:T,Roster!S:S,"",0)))</f>
        <v>112</v>
      </c>
      <c r="C1476" s="313">
        <v>46125.0</v>
      </c>
      <c r="D1476" s="314" t="s">
        <v>53</v>
      </c>
      <c r="E1476" s="307" t="str">
        <f t="array" ref="E1476">(XLOOKUP(D1476,Roster!F:F,Roster!B:B,"",0))</f>
        <v>Kennedy Giraldo</v>
      </c>
      <c r="F1476" s="315" t="str">
        <f t="array" ref="F1476">IF(B1476=100,"Free",TEXT(XLOOKUP($D1476,OperationVoice!$A:$A,OperationVoice!S:S,XLOOKUP($D1476,OperationTickets!$A:$A,OperationTickets!S:S,"",0)),"hh:mm"))</f>
        <v>07:00</v>
      </c>
      <c r="G1476" s="309">
        <f t="shared" si="3"/>
        <v>0.6666666667</v>
      </c>
      <c r="H1476" s="316" t="str">
        <f t="array" ref="H1476">XLOOKUP(B1476,Roster!L:L,Roster!N:N,XLOOKUP(D1476,TicketsBreak!A:A,TicketsBreak!E:E,"",0),0)</f>
        <v>09:30 - 09:45</v>
      </c>
      <c r="I1476" s="316" t="str">
        <f t="array" ref="I1476">XLOOKUP(B1476,Roster!L:L,Roster!O:O,XLOOKUP(D1476,TicketsBreak!A:A,TicketsBreak!F:F,"",0),0)</f>
        <v>12:15 - 12:45</v>
      </c>
      <c r="J1476" s="316" t="str">
        <f t="array" ref="J1476">XLOOKUP(B1476,Roster!L:L,Roster!P:P,XLOOKUP(D1476,TicketsBreak!A:A,TicketsBreak!G:G,"",0),0)</f>
        <v>14:45 - 15:00</v>
      </c>
      <c r="K1476" s="310">
        <f t="shared" si="4"/>
        <v>46125</v>
      </c>
      <c r="L1476" s="317">
        <f t="array" ref="L1476">(XLOOKUP(D1476,Roster!F:F,Roster!D:D,"",0))</f>
        <v>2</v>
      </c>
      <c r="M1476" s="317" t="str">
        <f t="array" ref="M1476">XLOOKUP(D1476,Roster!F:F,Roster!E:E)</f>
        <v>Voice</v>
      </c>
      <c r="N1476" s="317" t="str">
        <f t="shared" ref="N1476:P1476" si="1498">LEFT(H1476,5)</f>
        <v>09:30</v>
      </c>
      <c r="O1476" s="317" t="str">
        <f t="shared" si="1498"/>
        <v>12:15</v>
      </c>
      <c r="P1476" s="317" t="str">
        <f t="shared" si="1498"/>
        <v>14:45</v>
      </c>
      <c r="Q1476" s="318">
        <f t="shared" si="1374"/>
        <v>46125.39583</v>
      </c>
      <c r="R1476" s="318">
        <f t="shared" si="1233"/>
        <v>46125.51042</v>
      </c>
      <c r="S1476" s="318">
        <f t="shared" si="8"/>
        <v>46125.61458</v>
      </c>
    </row>
    <row r="1477">
      <c r="A1477" s="14" t="str">
        <f t="shared" si="1"/>
        <v>C151446125</v>
      </c>
      <c r="B1477" s="185">
        <f t="array" ref="B1477">IF(F1477="VL","",IF(F1477="Free","Free",XLOOKUP(D1477,Roster!T:T,Roster!S:S,"",0)))</f>
        <v>122</v>
      </c>
      <c r="C1477" s="313">
        <v>46125.0</v>
      </c>
      <c r="D1477" s="314" t="s">
        <v>54</v>
      </c>
      <c r="E1477" s="307" t="str">
        <f t="array" ref="E1477">(XLOOKUP(D1477,Roster!F:F,Roster!B:B,"",0))</f>
        <v>Kevin Betancur</v>
      </c>
      <c r="F1477" s="315" t="str">
        <f t="array" ref="F1477">IF(B1477=100,"Free",TEXT(XLOOKUP($D1477,OperationVoice!$A:$A,OperationVoice!S:S,XLOOKUP($D1477,OperationTickets!$A:$A,OperationTickets!S:S,"",0)),"hh:mm"))</f>
        <v>08:00</v>
      </c>
      <c r="G1477" s="309">
        <f t="shared" si="3"/>
        <v>0.7083333333</v>
      </c>
      <c r="H1477" s="316" t="str">
        <f t="array" ref="H1477">XLOOKUP(B1477,Roster!L:L,Roster!N:N,XLOOKUP(D1477,TicketsBreak!A:A,TicketsBreak!E:E,"",0),0)</f>
        <v>09:30 - 09:45</v>
      </c>
      <c r="I1477" s="316" t="str">
        <f t="array" ref="I1477">XLOOKUP(B1477,Roster!L:L,Roster!O:O,XLOOKUP(D1477,TicketsBreak!A:A,TicketsBreak!F:F,"",0),0)</f>
        <v>12:00 - 12:30</v>
      </c>
      <c r="J1477" s="316" t="str">
        <f t="array" ref="J1477">XLOOKUP(B1477,Roster!L:L,Roster!P:P,XLOOKUP(D1477,TicketsBreak!A:A,TicketsBreak!G:G,"",0),0)</f>
        <v>14:45 - 15:00</v>
      </c>
      <c r="K1477" s="310">
        <f t="shared" si="4"/>
        <v>46125</v>
      </c>
      <c r="L1477" s="317">
        <f t="array" ref="L1477">(XLOOKUP(D1477,Roster!F:F,Roster!D:D,"",0))</f>
        <v>35</v>
      </c>
      <c r="M1477" s="317" t="str">
        <f t="array" ref="M1477">XLOOKUP(D1477,Roster!F:F,Roster!E:E)</f>
        <v>Voice</v>
      </c>
      <c r="N1477" s="317" t="str">
        <f t="shared" ref="N1477:P1477" si="1499">LEFT(H1477,5)</f>
        <v>09:30</v>
      </c>
      <c r="O1477" s="317" t="str">
        <f t="shared" si="1499"/>
        <v>12:00</v>
      </c>
      <c r="P1477" s="317" t="str">
        <f t="shared" si="1499"/>
        <v>14:45</v>
      </c>
      <c r="Q1477" s="318">
        <f t="shared" si="1374"/>
        <v>46125.39583</v>
      </c>
      <c r="R1477" s="318">
        <f t="shared" si="1233"/>
        <v>46125.5</v>
      </c>
      <c r="S1477" s="318">
        <f t="shared" si="8"/>
        <v>46125.61458</v>
      </c>
    </row>
    <row r="1478">
      <c r="A1478" s="14" t="str">
        <f t="shared" si="1"/>
        <v>C157146125</v>
      </c>
      <c r="B1478" s="185">
        <f t="array" ref="B1478">IF(F1478="VL","",IF(F1478="Free","Free",XLOOKUP(D1478,Roster!T:T,Roster!S:S,"",0)))</f>
        <v>123</v>
      </c>
      <c r="C1478" s="313">
        <v>46125.0</v>
      </c>
      <c r="D1478" s="314" t="s">
        <v>55</v>
      </c>
      <c r="E1478" s="307" t="str">
        <f t="array" ref="E1478">(XLOOKUP(D1478,Roster!F:F,Roster!B:B,"",0))</f>
        <v>Laura Chamorro</v>
      </c>
      <c r="F1478" s="315" t="str">
        <f t="array" ref="F1478">IF(B1478=100,"Free",TEXT(XLOOKUP($D1478,OperationVoice!$A:$A,OperationVoice!S:S,XLOOKUP($D1478,OperationTickets!$A:$A,OperationTickets!S:S,"",0)),"hh:mm"))</f>
        <v>08:00</v>
      </c>
      <c r="G1478" s="309">
        <f t="shared" si="3"/>
        <v>0.7083333333</v>
      </c>
      <c r="H1478" s="316" t="str">
        <f t="array" ref="H1478">XLOOKUP(B1478,Roster!L:L,Roster!N:N,XLOOKUP(D1478,TicketsBreak!A:A,TicketsBreak!E:E,"",0),0)</f>
        <v>09:45 - 10:00 </v>
      </c>
      <c r="I1478" s="316" t="str">
        <f t="array" ref="I1478">XLOOKUP(B1478,Roster!L:L,Roster!O:O,XLOOKUP(D1478,TicketsBreak!A:A,TicketsBreak!F:F,"",0),0)</f>
        <v>12:30 - 13:00</v>
      </c>
      <c r="J1478" s="316" t="str">
        <f t="array" ref="J1478">XLOOKUP(B1478,Roster!L:L,Roster!P:P,XLOOKUP(D1478,TicketsBreak!A:A,TicketsBreak!G:G,"",0),0)</f>
        <v>15:00 - 15:15</v>
      </c>
      <c r="K1478" s="310">
        <f t="shared" si="4"/>
        <v>46125</v>
      </c>
      <c r="L1478" s="317">
        <f t="array" ref="L1478">(XLOOKUP(D1478,Roster!F:F,Roster!D:D,"",0))</f>
        <v>38</v>
      </c>
      <c r="M1478" s="317" t="str">
        <f t="array" ref="M1478">XLOOKUP(D1478,Roster!F:F,Roster!E:E)</f>
        <v>Voice</v>
      </c>
      <c r="N1478" s="317" t="str">
        <f t="shared" ref="N1478:P1478" si="1500">LEFT(H1478,5)</f>
        <v>09:45</v>
      </c>
      <c r="O1478" s="317" t="str">
        <f t="shared" si="1500"/>
        <v>12:30</v>
      </c>
      <c r="P1478" s="317" t="str">
        <f t="shared" si="1500"/>
        <v>15:00</v>
      </c>
      <c r="Q1478" s="318">
        <f t="shared" si="1374"/>
        <v>46125.40625</v>
      </c>
      <c r="R1478" s="318">
        <f t="shared" si="1233"/>
        <v>46125.52083</v>
      </c>
      <c r="S1478" s="318">
        <f t="shared" si="8"/>
        <v>46125.625</v>
      </c>
    </row>
    <row r="1479">
      <c r="A1479" s="14" t="str">
        <f t="shared" si="1"/>
        <v>C53446125</v>
      </c>
      <c r="B1479" s="185" t="str">
        <f t="array" ref="B1479">IF(F1479="VL","",IF(F1479="Free","Free",XLOOKUP(D1479,Roster!T:T,Roster!S:S,"",0)))</f>
        <v/>
      </c>
      <c r="C1479" s="313">
        <v>46125.0</v>
      </c>
      <c r="D1479" s="314" t="s">
        <v>177</v>
      </c>
      <c r="E1479" s="307" t="str">
        <f t="array" ref="E1479">(XLOOKUP(D1479,Roster!F:F,Roster!B:B,"",0))</f>
        <v>Leandry La Rosa</v>
      </c>
      <c r="F1479" s="315" t="str">
        <f t="array" ref="F1479">IF(B1479=100,"Free",TEXT(XLOOKUP($D1479,OperationVoice!$A:$A,OperationVoice!S:S,XLOOKUP($D1479,OperationTickets!$A:$A,OperationTickets!S:S,"",0)),"hh:mm"))</f>
        <v>08:00</v>
      </c>
      <c r="G1479" s="309">
        <f t="shared" si="3"/>
        <v>0.7083333333</v>
      </c>
      <c r="H1479" s="316">
        <f t="array" ref="H1479">XLOOKUP(B1479,Roster!L:L,Roster!N:N,XLOOKUP(D1479,TicketsBreak!A:A,TicketsBreak!E:E,"",0),0)</f>
        <v>0.40625</v>
      </c>
      <c r="I1479" s="316">
        <f t="array" ref="I1479">XLOOKUP(B1479,Roster!L:L,Roster!O:O,XLOOKUP(D1479,TicketsBreak!A:A,TicketsBreak!F:F,"",0),0)</f>
        <v>0.5416666667</v>
      </c>
      <c r="J1479" s="316">
        <f t="array" ref="J1479">XLOOKUP(B1479,Roster!L:L,Roster!P:P,XLOOKUP(D1479,TicketsBreak!A:A,TicketsBreak!G:G,"",0),0)</f>
        <v>0.65625</v>
      </c>
      <c r="K1479" s="310">
        <f t="shared" si="4"/>
        <v>46125</v>
      </c>
      <c r="L1479" s="317">
        <f t="array" ref="L1479">(XLOOKUP(D1479,Roster!F:F,Roster!D:D,"",0))</f>
        <v>1</v>
      </c>
      <c r="M1479" s="317" t="str">
        <f t="array" ref="M1479">XLOOKUP(D1479,Roster!F:F,Roster!E:E)</f>
        <v>Tickets</v>
      </c>
      <c r="N1479" s="317" t="str">
        <f t="shared" ref="N1479:P1479" si="1501">LEFT(H1479,5)</f>
        <v>09:45</v>
      </c>
      <c r="O1479" s="317" t="str">
        <f t="shared" si="1501"/>
        <v>13:00</v>
      </c>
      <c r="P1479" s="317" t="str">
        <f t="shared" si="1501"/>
        <v>15:45</v>
      </c>
      <c r="Q1479" s="318">
        <f t="shared" si="1374"/>
        <v>46125.40625</v>
      </c>
      <c r="R1479" s="318">
        <f t="shared" si="1233"/>
        <v>46125.54167</v>
      </c>
      <c r="S1479" s="318">
        <f t="shared" si="8"/>
        <v>46125.65625</v>
      </c>
    </row>
    <row r="1480">
      <c r="A1480" s="14" t="str">
        <f t="shared" si="1"/>
        <v>C157846125</v>
      </c>
      <c r="B1480" s="185">
        <f t="array" ref="B1480">IF(F1480="VL","",IF(F1480="Free","Free",XLOOKUP(D1480,Roster!T:T,Roster!S:S,"",0)))</f>
        <v>125</v>
      </c>
      <c r="C1480" s="313">
        <v>46125.0</v>
      </c>
      <c r="D1480" s="314" t="s">
        <v>56</v>
      </c>
      <c r="E1480" s="307" t="str">
        <f t="array" ref="E1480">(XLOOKUP(D1480,Roster!F:F,Roster!B:B,"",0))</f>
        <v>Leonerrichi Caicedo</v>
      </c>
      <c r="F1480" s="315" t="str">
        <f t="array" ref="F1480">IF(B1480=100,"Free",TEXT(XLOOKUP($D1480,OperationVoice!$A:$A,OperationVoice!S:S,XLOOKUP($D1480,OperationTickets!$A:$A,OperationTickets!S:S,"",0)),"hh:mm"))</f>
        <v>08:00</v>
      </c>
      <c r="G1480" s="309">
        <f t="shared" si="3"/>
        <v>0.7083333333</v>
      </c>
      <c r="H1480" s="316" t="str">
        <f t="array" ref="H1480">XLOOKUP(B1480,Roster!L:L,Roster!N:N,XLOOKUP(D1480,TicketsBreak!A:A,TicketsBreak!E:E,"",0),0)</f>
        <v>10:30 - 10:45</v>
      </c>
      <c r="I1480" s="316" t="str">
        <f t="array" ref="I1480">XLOOKUP(B1480,Roster!L:L,Roster!O:O,XLOOKUP(D1480,TicketsBreak!A:A,TicketsBreak!F:F,"",0),0)</f>
        <v>13:30 - 14:00</v>
      </c>
      <c r="J1480" s="316" t="str">
        <f t="array" ref="J1480">XLOOKUP(B1480,Roster!L:L,Roster!P:P,XLOOKUP(D1480,TicketsBreak!A:A,TicketsBreak!G:G,"",0),0)</f>
        <v>15:45 - 16:00</v>
      </c>
      <c r="K1480" s="310">
        <f t="shared" si="4"/>
        <v>46125</v>
      </c>
      <c r="L1480" s="317">
        <f t="array" ref="L1480">(XLOOKUP(D1480,Roster!F:F,Roster!D:D,"",0))</f>
        <v>38</v>
      </c>
      <c r="M1480" s="317" t="str">
        <f t="array" ref="M1480">XLOOKUP(D1480,Roster!F:F,Roster!E:E)</f>
        <v>Voice</v>
      </c>
      <c r="N1480" s="317" t="str">
        <f t="shared" ref="N1480:P1480" si="1502">LEFT(H1480,5)</f>
        <v>10:30</v>
      </c>
      <c r="O1480" s="317" t="str">
        <f t="shared" si="1502"/>
        <v>13:30</v>
      </c>
      <c r="P1480" s="317" t="str">
        <f t="shared" si="1502"/>
        <v>15:45</v>
      </c>
      <c r="Q1480" s="318">
        <f t="shared" si="1374"/>
        <v>46125.4375</v>
      </c>
      <c r="R1480" s="318">
        <f t="shared" si="1233"/>
        <v>46125.5625</v>
      </c>
      <c r="S1480" s="318">
        <f t="shared" si="8"/>
        <v>46125.65625</v>
      </c>
    </row>
    <row r="1481">
      <c r="A1481" s="14" t="str">
        <f t="shared" si="1"/>
        <v>C53546125</v>
      </c>
      <c r="B1481" s="185" t="str">
        <f t="array" ref="B1481">IF(F1481="VL","",IF(F1481="Free","Free",XLOOKUP(D1481,Roster!T:T,Roster!S:S,"",0)))</f>
        <v/>
      </c>
      <c r="C1481" s="313">
        <v>46125.0</v>
      </c>
      <c r="D1481" s="314" t="s">
        <v>145</v>
      </c>
      <c r="E1481" s="307" t="str">
        <f t="array" ref="E1481">(XLOOKUP(D1481,Roster!F:F,Roster!B:B,"",0))</f>
        <v>Lina Cadena</v>
      </c>
      <c r="F1481" s="315" t="str">
        <f t="array" ref="F1481">IF(B1481=100,"Free",TEXT(XLOOKUP($D1481,OperationVoice!$A:$A,OperationVoice!S:S,XLOOKUP($D1481,OperationTickets!$A:$A,OperationTickets!S:S,"",0)),"hh:mm"))</f>
        <v>08:00</v>
      </c>
      <c r="G1481" s="309">
        <f t="shared" si="3"/>
        <v>0.7083333333</v>
      </c>
      <c r="H1481" s="316">
        <f t="array" ref="H1481">XLOOKUP(B1481,Roster!L:L,Roster!N:N,XLOOKUP(D1481,TicketsBreak!A:A,TicketsBreak!E:E,"",0),0)</f>
        <v>0.3854166667</v>
      </c>
      <c r="I1481" s="316">
        <f t="array" ref="I1481">XLOOKUP(B1481,Roster!L:L,Roster!O:O,XLOOKUP(D1481,TicketsBreak!A:A,TicketsBreak!F:F,"",0),0)</f>
        <v>0.5833333333</v>
      </c>
      <c r="J1481" s="316">
        <f t="array" ref="J1481">XLOOKUP(B1481,Roster!L:L,Roster!P:P,XLOOKUP(D1481,TicketsBreak!A:A,TicketsBreak!G:G,"",0),0)</f>
        <v>0.6458333333</v>
      </c>
      <c r="K1481" s="310">
        <f t="shared" si="4"/>
        <v>46125</v>
      </c>
      <c r="L1481" s="317">
        <f t="array" ref="L1481">(XLOOKUP(D1481,Roster!F:F,Roster!D:D,"",0))</f>
        <v>2</v>
      </c>
      <c r="M1481" s="317" t="str">
        <f t="array" ref="M1481">XLOOKUP(D1481,Roster!F:F,Roster!E:E)</f>
        <v>Tickets</v>
      </c>
      <c r="N1481" s="317" t="str">
        <f t="shared" ref="N1481:P1481" si="1503">LEFT(H1481,5)</f>
        <v>09:15</v>
      </c>
      <c r="O1481" s="317" t="str">
        <f t="shared" si="1503"/>
        <v>14:00</v>
      </c>
      <c r="P1481" s="317" t="str">
        <f t="shared" si="1503"/>
        <v>15:30</v>
      </c>
      <c r="Q1481" s="318">
        <f t="shared" si="1374"/>
        <v>46125.38542</v>
      </c>
      <c r="R1481" s="318">
        <f t="shared" si="1233"/>
        <v>46125.58333</v>
      </c>
      <c r="S1481" s="318">
        <f t="shared" si="8"/>
        <v>46125.64583</v>
      </c>
    </row>
    <row r="1482">
      <c r="A1482" s="14" t="str">
        <f t="shared" si="1"/>
        <v>C151746125</v>
      </c>
      <c r="B1482" s="185">
        <f t="array" ref="B1482">IF(F1482="VL","",IF(F1482="Free","Free",XLOOKUP(D1482,Roster!T:T,Roster!S:S,"",0)))</f>
        <v>124</v>
      </c>
      <c r="C1482" s="313">
        <v>46125.0</v>
      </c>
      <c r="D1482" s="314" t="s">
        <v>57</v>
      </c>
      <c r="E1482" s="307" t="str">
        <f t="array" ref="E1482">(XLOOKUP(D1482,Roster!F:F,Roster!B:B,"",0))</f>
        <v>Lisandro Alvarado</v>
      </c>
      <c r="F1482" s="315" t="str">
        <f t="array" ref="F1482">IF(B1482=100,"Free",TEXT(XLOOKUP($D1482,OperationVoice!$A:$A,OperationVoice!S:S,XLOOKUP($D1482,OperationTickets!$A:$A,OperationTickets!S:S,"",0)),"hh:mm"))</f>
        <v>08:00</v>
      </c>
      <c r="G1482" s="309">
        <f t="shared" si="3"/>
        <v>0.7083333333</v>
      </c>
      <c r="H1482" s="316" t="str">
        <f t="array" ref="H1482">XLOOKUP(B1482,Roster!L:L,Roster!N:N,XLOOKUP(D1482,TicketsBreak!A:A,TicketsBreak!E:E,"",0),0)</f>
        <v>10:00 - 10:15</v>
      </c>
      <c r="I1482" s="316" t="str">
        <f t="array" ref="I1482">XLOOKUP(B1482,Roster!L:L,Roster!O:O,XLOOKUP(D1482,TicketsBreak!A:A,TicketsBreak!F:F,"",0),0)</f>
        <v>13:00 - 13:30</v>
      </c>
      <c r="J1482" s="316" t="str">
        <f t="array" ref="J1482">XLOOKUP(B1482,Roster!L:L,Roster!P:P,XLOOKUP(D1482,TicketsBreak!A:A,TicketsBreak!G:G,"",0),0)</f>
        <v>15:30 - 15:45</v>
      </c>
      <c r="K1482" s="310">
        <f t="shared" si="4"/>
        <v>46125</v>
      </c>
      <c r="L1482" s="317">
        <f t="array" ref="L1482">(XLOOKUP(D1482,Roster!F:F,Roster!D:D,"",0))</f>
        <v>35</v>
      </c>
      <c r="M1482" s="317" t="str">
        <f t="array" ref="M1482">XLOOKUP(D1482,Roster!F:F,Roster!E:E)</f>
        <v>Voice</v>
      </c>
      <c r="N1482" s="317" t="str">
        <f t="shared" ref="N1482:P1482" si="1504">LEFT(H1482,5)</f>
        <v>10:00</v>
      </c>
      <c r="O1482" s="317" t="str">
        <f t="shared" si="1504"/>
        <v>13:00</v>
      </c>
      <c r="P1482" s="317" t="str">
        <f t="shared" si="1504"/>
        <v>15:30</v>
      </c>
      <c r="Q1482" s="318">
        <f t="shared" si="1374"/>
        <v>46125.41667</v>
      </c>
      <c r="R1482" s="318">
        <f t="shared" si="1233"/>
        <v>46125.54167</v>
      </c>
      <c r="S1482" s="318">
        <f t="shared" si="8"/>
        <v>46125.64583</v>
      </c>
    </row>
    <row r="1483">
      <c r="A1483" s="14" t="str">
        <f t="shared" si="1"/>
        <v>C143346125</v>
      </c>
      <c r="B1483" s="185">
        <f t="array" ref="B1483">IF(F1483="VL","",IF(F1483="Free","Free",XLOOKUP(D1483,Roster!T:T,Roster!S:S,"",0)))</f>
        <v>500</v>
      </c>
      <c r="C1483" s="313">
        <v>46125.0</v>
      </c>
      <c r="D1483" s="314" t="s">
        <v>58</v>
      </c>
      <c r="E1483" s="307" t="str">
        <f t="array" ref="E1483">(XLOOKUP(D1483,Roster!F:F,Roster!B:B,"",0))</f>
        <v>Luis Lopez</v>
      </c>
      <c r="F1483" s="315" t="str">
        <f t="array" ref="F1483">IF(B1483=100,"Free",TEXT(XLOOKUP($D1483,OperationVoice!$A:$A,OperationVoice!S:S,XLOOKUP($D1483,OperationTickets!$A:$A,OperationTickets!S:S,"",0)),"hh:mm"))</f>
        <v>07:00</v>
      </c>
      <c r="G1483" s="309">
        <f t="shared" si="3"/>
        <v>0.6666666667</v>
      </c>
      <c r="H1483" s="316" t="str">
        <f t="array" ref="H1483">XLOOKUP(B1483,Roster!L:L,Roster!N:N,XLOOKUP(D1483,TicketsBreak!A:A,TicketsBreak!E:E,"",0),0)</f>
        <v>Team Leader</v>
      </c>
      <c r="I1483" s="316" t="str">
        <f t="array" ref="I1483">XLOOKUP(B1483,Roster!L:L,Roster!O:O,XLOOKUP(D1483,TicketsBreak!A:A,TicketsBreak!F:F,"",0),0)</f>
        <v>Team Leader</v>
      </c>
      <c r="J1483" s="316" t="str">
        <f t="array" ref="J1483">XLOOKUP(B1483,Roster!L:L,Roster!P:P,XLOOKUP(D1483,TicketsBreak!A:A,TicketsBreak!G:G,"",0),0)</f>
        <v/>
      </c>
      <c r="K1483" s="310">
        <f t="shared" si="4"/>
        <v>46125</v>
      </c>
      <c r="L1483" s="317">
        <f t="array" ref="L1483">(XLOOKUP(D1483,Roster!F:F,Roster!D:D,"",0))</f>
        <v>32</v>
      </c>
      <c r="M1483" s="317" t="str">
        <f t="array" ref="M1483">XLOOKUP(D1483,Roster!F:F,Roster!E:E)</f>
        <v>Voice</v>
      </c>
      <c r="N1483" s="317" t="str">
        <f t="shared" ref="N1483:P1483" si="1505">LEFT(H1483,5)</f>
        <v>Team </v>
      </c>
      <c r="O1483" s="317" t="str">
        <f t="shared" si="1505"/>
        <v>Team </v>
      </c>
      <c r="P1483" s="317" t="str">
        <f t="shared" si="1505"/>
        <v/>
      </c>
      <c r="Q1483" s="318" t="str">
        <f t="shared" si="1374"/>
        <v>#VALUE!</v>
      </c>
      <c r="R1483" s="318" t="str">
        <f t="shared" si="1233"/>
        <v>#VALUE!</v>
      </c>
      <c r="S1483" s="318" t="str">
        <f t="shared" si="8"/>
        <v/>
      </c>
    </row>
    <row r="1484">
      <c r="A1484" s="14" t="str">
        <f t="shared" si="1"/>
        <v>C153446125</v>
      </c>
      <c r="B1484" s="185">
        <f t="array" ref="B1484">IF(F1484="VL","",IF(F1484="Free","Free",XLOOKUP(D1484,Roster!T:T,Roster!S:S,"",0)))</f>
        <v>126</v>
      </c>
      <c r="C1484" s="313">
        <v>46125.0</v>
      </c>
      <c r="D1484" s="314" t="s">
        <v>59</v>
      </c>
      <c r="E1484" s="307" t="str">
        <f t="array" ref="E1484">(XLOOKUP(D1484,Roster!F:F,Roster!B:B,"",0))</f>
        <v>Luis Munoz</v>
      </c>
      <c r="F1484" s="315" t="str">
        <f t="array" ref="F1484">IF(B1484=100,"Free",TEXT(XLOOKUP($D1484,OperationVoice!$A:$A,OperationVoice!S:S,XLOOKUP($D1484,OperationTickets!$A:$A,OperationTickets!S:S,"",0)),"hh:mm"))</f>
        <v>08:00</v>
      </c>
      <c r="G1484" s="309">
        <f t="shared" si="3"/>
        <v>0.7083333333</v>
      </c>
      <c r="H1484" s="316" t="str">
        <f t="array" ref="H1484">XLOOKUP(B1484,Roster!L:L,Roster!N:N,XLOOKUP(D1484,TicketsBreak!A:A,TicketsBreak!E:E,"",0),0)</f>
        <v>10:45 - 11:00</v>
      </c>
      <c r="I1484" s="316" t="str">
        <f t="array" ref="I1484">XLOOKUP(B1484,Roster!L:L,Roster!O:O,XLOOKUP(D1484,TicketsBreak!A:A,TicketsBreak!F:F,"",0),0)</f>
        <v>14:00 - 14:30</v>
      </c>
      <c r="J1484" s="316" t="str">
        <f t="array" ref="J1484">XLOOKUP(B1484,Roster!L:L,Roster!P:P,XLOOKUP(D1484,TicketsBreak!A:A,TicketsBreak!G:G,"",0),0)</f>
        <v>15:45 - 16:00</v>
      </c>
      <c r="K1484" s="310">
        <f t="shared" si="4"/>
        <v>46125</v>
      </c>
      <c r="L1484" s="317">
        <f t="array" ref="L1484">(XLOOKUP(D1484,Roster!F:F,Roster!D:D,"",0))</f>
        <v>36</v>
      </c>
      <c r="M1484" s="317" t="str">
        <f t="array" ref="M1484">XLOOKUP(D1484,Roster!F:F,Roster!E:E)</f>
        <v>Voice</v>
      </c>
      <c r="N1484" s="317" t="str">
        <f t="shared" ref="N1484:P1484" si="1506">LEFT(H1484,5)</f>
        <v>10:45</v>
      </c>
      <c r="O1484" s="317" t="str">
        <f t="shared" si="1506"/>
        <v>14:00</v>
      </c>
      <c r="P1484" s="317" t="str">
        <f t="shared" si="1506"/>
        <v>15:45</v>
      </c>
      <c r="Q1484" s="318">
        <f t="shared" si="1374"/>
        <v>46125.44792</v>
      </c>
      <c r="R1484" s="318">
        <f t="shared" si="1233"/>
        <v>46125.58333</v>
      </c>
      <c r="S1484" s="318">
        <f t="shared" si="8"/>
        <v>46125.65625</v>
      </c>
    </row>
    <row r="1485">
      <c r="A1485" s="14" t="str">
        <f t="shared" si="1"/>
        <v>C53846125</v>
      </c>
      <c r="B1485" s="185" t="str">
        <f t="array" ref="B1485">IF(F1485="VL","",IF(F1485="Free","Free",XLOOKUP(D1485,Roster!T:T,Roster!S:S,"",0)))</f>
        <v/>
      </c>
      <c r="C1485" s="313">
        <v>46125.0</v>
      </c>
      <c r="D1485" s="314" t="s">
        <v>165</v>
      </c>
      <c r="E1485" s="307" t="str">
        <f t="array" ref="E1485">(XLOOKUP(D1485,Roster!F:F,Roster!B:B,"",0))</f>
        <v>Luisa Arenas</v>
      </c>
      <c r="F1485" s="315" t="str">
        <f t="array" ref="F1485">IF(B1485=100,"Free",TEXT(XLOOKUP($D1485,OperationVoice!$A:$A,OperationVoice!S:S,XLOOKUP($D1485,OperationTickets!$A:$A,OperationTickets!S:S,"",0)),"hh:mm"))</f>
        <v>08:00</v>
      </c>
      <c r="G1485" s="309">
        <f t="shared" si="3"/>
        <v>0.7083333333</v>
      </c>
      <c r="H1485" s="316" t="str">
        <f t="array" ref="H1485">XLOOKUP(B1485,Roster!L:L,Roster!N:N,XLOOKUP(D1485,TicketsBreak!A:A,TicketsBreak!E:E,"",0),0)</f>
        <v/>
      </c>
      <c r="I1485" s="316" t="str">
        <f t="array" ref="I1485">XLOOKUP(B1485,Roster!L:L,Roster!O:O,XLOOKUP(D1485,TicketsBreak!A:A,TicketsBreak!F:F,"",0),0)</f>
        <v/>
      </c>
      <c r="J1485" s="316" t="str">
        <f t="array" ref="J1485">XLOOKUP(B1485,Roster!L:L,Roster!P:P,XLOOKUP(D1485,TicketsBreak!A:A,TicketsBreak!G:G,"",0),0)</f>
        <v/>
      </c>
      <c r="K1485" s="310">
        <f t="shared" si="4"/>
        <v>46125</v>
      </c>
      <c r="L1485" s="317">
        <f t="array" ref="L1485">(XLOOKUP(D1485,Roster!F:F,Roster!D:D,"",0))</f>
        <v>35</v>
      </c>
      <c r="M1485" s="317" t="str">
        <f t="array" ref="M1485">XLOOKUP(D1485,Roster!F:F,Roster!E:E)</f>
        <v>Tickets</v>
      </c>
      <c r="N1485" s="317" t="str">
        <f t="shared" ref="N1485:P1485" si="1507">LEFT(H1485,5)</f>
        <v/>
      </c>
      <c r="O1485" s="317" t="str">
        <f t="shared" si="1507"/>
        <v/>
      </c>
      <c r="P1485" s="317" t="str">
        <f t="shared" si="1507"/>
        <v/>
      </c>
      <c r="Q1485" s="318" t="str">
        <f t="shared" si="1374"/>
        <v/>
      </c>
      <c r="R1485" s="318" t="str">
        <f t="shared" si="1233"/>
        <v/>
      </c>
      <c r="S1485" s="318" t="str">
        <f t="shared" si="8"/>
        <v/>
      </c>
    </row>
    <row r="1486">
      <c r="A1486" s="14" t="str">
        <f t="shared" si="1"/>
        <v>C113646125</v>
      </c>
      <c r="B1486" s="185">
        <f t="array" ref="B1486">IF(F1486="VL","",IF(F1486="Free","Free",XLOOKUP(D1486,Roster!T:T,Roster!S:S,"",0)))</f>
        <v>126</v>
      </c>
      <c r="C1486" s="313">
        <v>46125.0</v>
      </c>
      <c r="D1486" s="314" t="s">
        <v>60</v>
      </c>
      <c r="E1486" s="307" t="str">
        <f t="array" ref="E1486">(XLOOKUP(D1486,Roster!F:F,Roster!B:B,"",0))</f>
        <v>Luisa Gonzalez</v>
      </c>
      <c r="F1486" s="315" t="str">
        <f t="array" ref="F1486">IF(B1486=100,"Free",TEXT(XLOOKUP($D1486,OperationVoice!$A:$A,OperationVoice!S:S,XLOOKUP($D1486,OperationTickets!$A:$A,OperationTickets!S:S,"",0)),"hh:mm"))</f>
        <v>08:00</v>
      </c>
      <c r="G1486" s="309">
        <f t="shared" si="3"/>
        <v>0.7083333333</v>
      </c>
      <c r="H1486" s="316" t="str">
        <f t="array" ref="H1486">XLOOKUP(B1486,Roster!L:L,Roster!N:N,XLOOKUP(D1486,TicketsBreak!A:A,TicketsBreak!E:E,"",0),0)</f>
        <v>10:45 - 11:00</v>
      </c>
      <c r="I1486" s="316" t="str">
        <f t="array" ref="I1486">XLOOKUP(B1486,Roster!L:L,Roster!O:O,XLOOKUP(D1486,TicketsBreak!A:A,TicketsBreak!F:F,"",0),0)</f>
        <v>14:00 - 14:30</v>
      </c>
      <c r="J1486" s="316" t="str">
        <f t="array" ref="J1486">XLOOKUP(B1486,Roster!L:L,Roster!P:P,XLOOKUP(D1486,TicketsBreak!A:A,TicketsBreak!G:G,"",0),0)</f>
        <v>15:45 - 16:00</v>
      </c>
      <c r="K1486" s="310">
        <f t="shared" si="4"/>
        <v>46125</v>
      </c>
      <c r="L1486" s="317">
        <f t="array" ref="L1486">(XLOOKUP(D1486,Roster!F:F,Roster!D:D,"",0))</f>
        <v>22</v>
      </c>
      <c r="M1486" s="317" t="str">
        <f t="array" ref="M1486">XLOOKUP(D1486,Roster!F:F,Roster!E:E)</f>
        <v>Voice</v>
      </c>
      <c r="N1486" s="317" t="str">
        <f t="shared" ref="N1486:P1486" si="1508">LEFT(H1486,5)</f>
        <v>10:45</v>
      </c>
      <c r="O1486" s="317" t="str">
        <f t="shared" si="1508"/>
        <v>14:00</v>
      </c>
      <c r="P1486" s="317" t="str">
        <f t="shared" si="1508"/>
        <v>15:45</v>
      </c>
      <c r="Q1486" s="318">
        <f t="shared" si="1374"/>
        <v>46125.44792</v>
      </c>
      <c r="R1486" s="318">
        <f t="shared" si="1233"/>
        <v>46125.58333</v>
      </c>
      <c r="S1486" s="318">
        <f t="shared" si="8"/>
        <v>46125.65625</v>
      </c>
    </row>
    <row r="1487">
      <c r="A1487" s="14" t="str">
        <f t="shared" si="1"/>
        <v>C157746125</v>
      </c>
      <c r="B1487" s="185">
        <f t="array" ref="B1487">IF(F1487="VL","",IF(F1487="Free","Free",XLOOKUP(D1487,Roster!T:T,Roster!S:S,"",0)))</f>
        <v>126</v>
      </c>
      <c r="C1487" s="313">
        <v>46125.0</v>
      </c>
      <c r="D1487" s="314" t="s">
        <v>61</v>
      </c>
      <c r="E1487" s="307" t="str">
        <f t="array" ref="E1487">(XLOOKUP(D1487,Roster!F:F,Roster!B:B,"",0))</f>
        <v>Luna Morales</v>
      </c>
      <c r="F1487" s="315" t="str">
        <f t="array" ref="F1487">IF(B1487=100,"Free",TEXT(XLOOKUP($D1487,OperationVoice!$A:$A,OperationVoice!S:S,XLOOKUP($D1487,OperationTickets!$A:$A,OperationTickets!S:S,"",0)),"hh:mm"))</f>
        <v>08:00</v>
      </c>
      <c r="G1487" s="309">
        <f t="shared" si="3"/>
        <v>0.7083333333</v>
      </c>
      <c r="H1487" s="316" t="str">
        <f t="array" ref="H1487">XLOOKUP(B1487,Roster!L:L,Roster!N:N,XLOOKUP(D1487,TicketsBreak!A:A,TicketsBreak!E:E,"",0),0)</f>
        <v>10:45 - 11:00</v>
      </c>
      <c r="I1487" s="316" t="str">
        <f t="array" ref="I1487">XLOOKUP(B1487,Roster!L:L,Roster!O:O,XLOOKUP(D1487,TicketsBreak!A:A,TicketsBreak!F:F,"",0),0)</f>
        <v>14:00 - 14:30</v>
      </c>
      <c r="J1487" s="316" t="str">
        <f t="array" ref="J1487">XLOOKUP(B1487,Roster!L:L,Roster!P:P,XLOOKUP(D1487,TicketsBreak!A:A,TicketsBreak!G:G,"",0),0)</f>
        <v>15:45 - 16:00</v>
      </c>
      <c r="K1487" s="310">
        <f t="shared" si="4"/>
        <v>46125</v>
      </c>
      <c r="L1487" s="317">
        <f t="array" ref="L1487">(XLOOKUP(D1487,Roster!F:F,Roster!D:D,"",0))</f>
        <v>38</v>
      </c>
      <c r="M1487" s="317" t="str">
        <f t="array" ref="M1487">XLOOKUP(D1487,Roster!F:F,Roster!E:E)</f>
        <v>Voice</v>
      </c>
      <c r="N1487" s="317" t="str">
        <f t="shared" ref="N1487:P1487" si="1509">LEFT(H1487,5)</f>
        <v>10:45</v>
      </c>
      <c r="O1487" s="317" t="str">
        <f t="shared" si="1509"/>
        <v>14:00</v>
      </c>
      <c r="P1487" s="317" t="str">
        <f t="shared" si="1509"/>
        <v>15:45</v>
      </c>
      <c r="Q1487" s="318">
        <f t="shared" si="1374"/>
        <v>46125.44792</v>
      </c>
      <c r="R1487" s="318">
        <f t="shared" si="1233"/>
        <v>46125.58333</v>
      </c>
      <c r="S1487" s="318">
        <f t="shared" si="8"/>
        <v>46125.65625</v>
      </c>
    </row>
    <row r="1488">
      <c r="A1488" s="14" t="str">
        <f t="shared" si="1"/>
        <v>C121946125</v>
      </c>
      <c r="B1488" s="185" t="str">
        <f t="array" ref="B1488">IF(F1488="VL","",IF(F1488="Free","Free",XLOOKUP(D1488,Roster!T:T,Roster!S:S,"",0)))</f>
        <v/>
      </c>
      <c r="C1488" s="313">
        <v>46125.0</v>
      </c>
      <c r="D1488" s="314" t="s">
        <v>146</v>
      </c>
      <c r="E1488" s="307" t="str">
        <f t="array" ref="E1488">(XLOOKUP(D1488,Roster!F:F,Roster!B:B,"",0))</f>
        <v>Madelyn Jaramillo</v>
      </c>
      <c r="F1488" s="315" t="str">
        <f t="array" ref="F1488">IF(B1488=100,"Free",TEXT(XLOOKUP($D1488,OperationVoice!$A:$A,OperationVoice!S:S,XLOOKUP($D1488,OperationTickets!$A:$A,OperationTickets!S:S,"",0)),"hh:mm"))</f>
        <v>08:00</v>
      </c>
      <c r="G1488" s="309">
        <f t="shared" si="3"/>
        <v>0.7083333333</v>
      </c>
      <c r="H1488" s="316" t="str">
        <f t="array" ref="H1488">XLOOKUP(B1488,Roster!L:L,Roster!N:N,XLOOKUP(D1488,TicketsBreak!A:A,TicketsBreak!E:E,"",0),0)</f>
        <v/>
      </c>
      <c r="I1488" s="316" t="str">
        <f t="array" ref="I1488">XLOOKUP(B1488,Roster!L:L,Roster!O:O,XLOOKUP(D1488,TicketsBreak!A:A,TicketsBreak!F:F,"",0),0)</f>
        <v/>
      </c>
      <c r="J1488" s="316" t="str">
        <f t="array" ref="J1488">XLOOKUP(B1488,Roster!L:L,Roster!P:P,XLOOKUP(D1488,TicketsBreak!A:A,TicketsBreak!G:G,"",0),0)</f>
        <v/>
      </c>
      <c r="K1488" s="310">
        <f t="shared" si="4"/>
        <v>46125</v>
      </c>
      <c r="L1488" s="317">
        <f t="array" ref="L1488">(XLOOKUP(D1488,Roster!F:F,Roster!D:D,"",0))</f>
        <v>26</v>
      </c>
      <c r="M1488" s="317" t="str">
        <f t="array" ref="M1488">XLOOKUP(D1488,Roster!F:F,Roster!E:E)</f>
        <v>Tickets</v>
      </c>
      <c r="N1488" s="317" t="str">
        <f t="shared" ref="N1488:P1488" si="1510">LEFT(H1488,5)</f>
        <v/>
      </c>
      <c r="O1488" s="317" t="str">
        <f t="shared" si="1510"/>
        <v/>
      </c>
      <c r="P1488" s="317" t="str">
        <f t="shared" si="1510"/>
        <v/>
      </c>
      <c r="Q1488" s="318" t="str">
        <f t="shared" si="1374"/>
        <v/>
      </c>
      <c r="R1488" s="318" t="str">
        <f t="shared" si="1233"/>
        <v/>
      </c>
      <c r="S1488" s="318" t="str">
        <f t="shared" si="8"/>
        <v/>
      </c>
    </row>
    <row r="1489">
      <c r="A1489" s="14" t="str">
        <f t="shared" si="1"/>
        <v>C151646125</v>
      </c>
      <c r="B1489" s="185">
        <f t="array" ref="B1489">IF(F1489="VL","",IF(F1489="Free","Free",XLOOKUP(D1489,Roster!T:T,Roster!S:S,"",0)))</f>
        <v>122</v>
      </c>
      <c r="C1489" s="313">
        <v>46125.0</v>
      </c>
      <c r="D1489" s="314" t="s">
        <v>62</v>
      </c>
      <c r="E1489" s="307" t="str">
        <f t="array" ref="E1489">(XLOOKUP(D1489,Roster!F:F,Roster!B:B,"",0))</f>
        <v>Magda Foronda</v>
      </c>
      <c r="F1489" s="315" t="str">
        <f t="array" ref="F1489">IF(B1489=100,"Free",TEXT(XLOOKUP($D1489,OperationVoice!$A:$A,OperationVoice!S:S,XLOOKUP($D1489,OperationTickets!$A:$A,OperationTickets!S:S,"",0)),"hh:mm"))</f>
        <v>08:00</v>
      </c>
      <c r="G1489" s="309">
        <f t="shared" si="3"/>
        <v>0.7083333333</v>
      </c>
      <c r="H1489" s="316" t="str">
        <f t="array" ref="H1489">XLOOKUP(B1489,Roster!L:L,Roster!N:N,XLOOKUP(D1489,TicketsBreak!A:A,TicketsBreak!E:E,"",0),0)</f>
        <v>09:30 - 09:45</v>
      </c>
      <c r="I1489" s="316" t="str">
        <f t="array" ref="I1489">XLOOKUP(B1489,Roster!L:L,Roster!O:O,XLOOKUP(D1489,TicketsBreak!A:A,TicketsBreak!F:F,"",0),0)</f>
        <v>12:00 - 12:30</v>
      </c>
      <c r="J1489" s="316" t="str">
        <f t="array" ref="J1489">XLOOKUP(B1489,Roster!L:L,Roster!P:P,XLOOKUP(D1489,TicketsBreak!A:A,TicketsBreak!G:G,"",0),0)</f>
        <v>14:45 - 15:00</v>
      </c>
      <c r="K1489" s="310">
        <f t="shared" si="4"/>
        <v>46125</v>
      </c>
      <c r="L1489" s="317">
        <f t="array" ref="L1489">(XLOOKUP(D1489,Roster!F:F,Roster!D:D,"",0))</f>
        <v>35</v>
      </c>
      <c r="M1489" s="317" t="str">
        <f t="array" ref="M1489">XLOOKUP(D1489,Roster!F:F,Roster!E:E)</f>
        <v>Voice</v>
      </c>
      <c r="N1489" s="317" t="str">
        <f t="shared" ref="N1489:P1489" si="1511">LEFT(H1489,5)</f>
        <v>09:30</v>
      </c>
      <c r="O1489" s="317" t="str">
        <f t="shared" si="1511"/>
        <v>12:00</v>
      </c>
      <c r="P1489" s="317" t="str">
        <f t="shared" si="1511"/>
        <v>14:45</v>
      </c>
      <c r="Q1489" s="318">
        <f t="shared" si="1374"/>
        <v>46125.39583</v>
      </c>
      <c r="R1489" s="318">
        <f t="shared" si="1233"/>
        <v>46125.5</v>
      </c>
      <c r="S1489" s="318">
        <f t="shared" si="8"/>
        <v>46125.61458</v>
      </c>
    </row>
    <row r="1490">
      <c r="A1490" s="14" t="str">
        <f t="shared" si="1"/>
        <v>C118046125</v>
      </c>
      <c r="B1490" s="185">
        <f t="array" ref="B1490">IF(F1490="VL","",IF(F1490="Free","Free",XLOOKUP(D1490,Roster!T:T,Roster!S:S,"",0)))</f>
        <v>500</v>
      </c>
      <c r="C1490" s="313">
        <v>46125.0</v>
      </c>
      <c r="D1490" s="314" t="s">
        <v>147</v>
      </c>
      <c r="E1490" s="307" t="str">
        <f t="array" ref="E1490">(XLOOKUP(D1490,Roster!F:F,Roster!B:B,"",0))</f>
        <v>Manuela Moreno</v>
      </c>
      <c r="F1490" s="315" t="str">
        <f t="array" ref="F1490">IF(B1490=100,"Free",TEXT(XLOOKUP($D1490,OperationVoice!$A:$A,OperationVoice!S:S,XLOOKUP($D1490,OperationTickets!$A:$A,OperationTickets!S:S,"",0)),"hh:mm"))</f>
        <v>09:00</v>
      </c>
      <c r="G1490" s="309">
        <f t="shared" si="3"/>
        <v>0.75</v>
      </c>
      <c r="H1490" s="316" t="str">
        <f t="array" ref="H1490">XLOOKUP(B1490,Roster!L:L,Roster!N:N,XLOOKUP(D1490,TicketsBreak!A:A,TicketsBreak!E:E,"",0),0)</f>
        <v>Team Leader</v>
      </c>
      <c r="I1490" s="316" t="str">
        <f t="array" ref="I1490">XLOOKUP(B1490,Roster!L:L,Roster!O:O,XLOOKUP(D1490,TicketsBreak!A:A,TicketsBreak!F:F,"",0),0)</f>
        <v>Team Leader</v>
      </c>
      <c r="J1490" s="316" t="str">
        <f t="array" ref="J1490">XLOOKUP(B1490,Roster!L:L,Roster!P:P,XLOOKUP(D1490,TicketsBreak!A:A,TicketsBreak!G:G,"",0),0)</f>
        <v/>
      </c>
      <c r="K1490" s="310">
        <f t="shared" si="4"/>
        <v>46125</v>
      </c>
      <c r="L1490" s="317">
        <f t="array" ref="L1490">(XLOOKUP(D1490,Roster!F:F,Roster!D:D,"",0))</f>
        <v>24</v>
      </c>
      <c r="M1490" s="317" t="str">
        <f t="array" ref="M1490">XLOOKUP(D1490,Roster!F:F,Roster!E:E)</f>
        <v>Tickets</v>
      </c>
      <c r="N1490" s="317" t="str">
        <f t="shared" ref="N1490:P1490" si="1512">LEFT(H1490,5)</f>
        <v>Team </v>
      </c>
      <c r="O1490" s="317" t="str">
        <f t="shared" si="1512"/>
        <v>Team </v>
      </c>
      <c r="P1490" s="317" t="str">
        <f t="shared" si="1512"/>
        <v/>
      </c>
      <c r="Q1490" s="318" t="str">
        <f>IF(P1490="","",$C1490+N1490)</f>
        <v/>
      </c>
      <c r="R1490" s="318" t="str">
        <f>if(P1490="","",$C1490+O1490)</f>
        <v/>
      </c>
      <c r="S1490" s="318" t="str">
        <f t="shared" si="8"/>
        <v/>
      </c>
    </row>
    <row r="1491">
      <c r="A1491" s="14" t="str">
        <f t="shared" si="1"/>
        <v>C153646125</v>
      </c>
      <c r="B1491" s="185">
        <f t="array" ref="B1491">IF(F1491="VL","",IF(F1491="Free","Free",XLOOKUP(D1491,Roster!T:T,Roster!S:S,"",0)))</f>
        <v>121</v>
      </c>
      <c r="C1491" s="313">
        <v>46125.0</v>
      </c>
      <c r="D1491" s="314" t="s">
        <v>63</v>
      </c>
      <c r="E1491" s="307" t="str">
        <f t="array" ref="E1491">(XLOOKUP(D1491,Roster!F:F,Roster!B:B,"",0))</f>
        <v>Maria Mesa</v>
      </c>
      <c r="F1491" s="315" t="str">
        <f t="array" ref="F1491">IF(B1491=100,"Free",TEXT(XLOOKUP($D1491,OperationVoice!$A:$A,OperationVoice!S:S,XLOOKUP($D1491,OperationTickets!$A:$A,OperationTickets!S:S,"",0)),"hh:mm"))</f>
        <v>08:00</v>
      </c>
      <c r="G1491" s="309">
        <f t="shared" si="3"/>
        <v>0.7083333333</v>
      </c>
      <c r="H1491" s="316" t="str">
        <f t="array" ref="H1491">XLOOKUP(B1491,Roster!L:L,Roster!N:N,XLOOKUP(D1491,TicketsBreak!A:A,TicketsBreak!E:E,"",0),0)</f>
        <v>09:15 - 09:30</v>
      </c>
      <c r="I1491" s="316" t="str">
        <f t="array" ref="I1491">XLOOKUP(B1491,Roster!L:L,Roster!O:O,XLOOKUP(D1491,TicketsBreak!A:A,TicketsBreak!F:F,"",0),0)</f>
        <v>11:30 - 12:00</v>
      </c>
      <c r="J1491" s="316" t="str">
        <f t="array" ref="J1491">XLOOKUP(B1491,Roster!L:L,Roster!P:P,XLOOKUP(D1491,TicketsBreak!A:A,TicketsBreak!G:G,"",0),0)</f>
        <v>14:30 - 14:45</v>
      </c>
      <c r="K1491" s="310">
        <f t="shared" si="4"/>
        <v>46125</v>
      </c>
      <c r="L1491" s="317">
        <f t="array" ref="L1491">(XLOOKUP(D1491,Roster!F:F,Roster!D:D,"",0))</f>
        <v>36</v>
      </c>
      <c r="M1491" s="317" t="str">
        <f t="array" ref="M1491">XLOOKUP(D1491,Roster!F:F,Roster!E:E)</f>
        <v>Voice</v>
      </c>
      <c r="N1491" s="317" t="str">
        <f t="shared" ref="N1491:P1491" si="1513">LEFT(H1491,5)</f>
        <v>09:15</v>
      </c>
      <c r="O1491" s="317" t="str">
        <f t="shared" si="1513"/>
        <v>11:30</v>
      </c>
      <c r="P1491" s="317" t="str">
        <f t="shared" si="1513"/>
        <v>14:30</v>
      </c>
      <c r="Q1491" s="318">
        <f t="shared" ref="Q1491:Q1629" si="1515">IF(N1491="","",$C1491+N1491)</f>
        <v>46125.38542</v>
      </c>
      <c r="R1491" s="318">
        <f t="shared" ref="R1491:R1629" si="1516">if(O1491="","",$C1491+O1491)</f>
        <v>46125.47917</v>
      </c>
      <c r="S1491" s="318">
        <f t="shared" si="8"/>
        <v>46125.60417</v>
      </c>
    </row>
    <row r="1492">
      <c r="A1492" s="14" t="str">
        <f t="shared" si="1"/>
        <v>C74046125</v>
      </c>
      <c r="B1492" s="185" t="str">
        <f t="array" ref="B1492">IF(F1492="VL","",IF(F1492="Free","Free",XLOOKUP(D1492,Roster!T:T,Roster!S:S,"",0)))</f>
        <v/>
      </c>
      <c r="C1492" s="313">
        <v>46125.0</v>
      </c>
      <c r="D1492" s="314" t="s">
        <v>166</v>
      </c>
      <c r="E1492" s="307" t="str">
        <f t="array" ref="E1492">(XLOOKUP(D1492,Roster!F:F,Roster!B:B,"",0))</f>
        <v>Mateo Agudelo</v>
      </c>
      <c r="F1492" s="315" t="str">
        <f t="array" ref="F1492">IF(B1492=100,"Free",TEXT(XLOOKUP($D1492,OperationVoice!$A:$A,OperationVoice!S:S,XLOOKUP($D1492,OperationTickets!$A:$A,OperationTickets!S:S,"",0)),"hh:mm"))</f>
        <v>08:00</v>
      </c>
      <c r="G1492" s="309">
        <f t="shared" si="3"/>
        <v>0.7083333333</v>
      </c>
      <c r="H1492" s="316">
        <f t="array" ref="H1492">XLOOKUP(B1492,Roster!L:L,Roster!N:N,XLOOKUP(D1492,TicketsBreak!A:A,TicketsBreak!E:E,"",0),0)</f>
        <v>0.4166666667</v>
      </c>
      <c r="I1492" s="316">
        <f t="array" ref="I1492">XLOOKUP(B1492,Roster!L:L,Roster!O:O,XLOOKUP(D1492,TicketsBreak!A:A,TicketsBreak!F:F,"",0),0)</f>
        <v>0.5</v>
      </c>
      <c r="J1492" s="316">
        <f t="array" ref="J1492">XLOOKUP(B1492,Roster!L:L,Roster!P:P,XLOOKUP(D1492,TicketsBreak!A:A,TicketsBreak!G:G,"",0),0)</f>
        <v>0.65625</v>
      </c>
      <c r="K1492" s="310">
        <f t="shared" si="4"/>
        <v>46125</v>
      </c>
      <c r="L1492" s="317">
        <f t="array" ref="L1492">(XLOOKUP(D1492,Roster!F:F,Roster!D:D,"",0))</f>
        <v>8</v>
      </c>
      <c r="M1492" s="317" t="str">
        <f t="array" ref="M1492">XLOOKUP(D1492,Roster!F:F,Roster!E:E)</f>
        <v>Tickets</v>
      </c>
      <c r="N1492" s="317" t="str">
        <f t="shared" ref="N1492:P1492" si="1514">LEFT(H1492,5)</f>
        <v>10:00</v>
      </c>
      <c r="O1492" s="317" t="str">
        <f t="shared" si="1514"/>
        <v>12:00</v>
      </c>
      <c r="P1492" s="317" t="str">
        <f t="shared" si="1514"/>
        <v>15:45</v>
      </c>
      <c r="Q1492" s="318">
        <f t="shared" si="1515"/>
        <v>46125.41667</v>
      </c>
      <c r="R1492" s="318">
        <f t="shared" si="1516"/>
        <v>46125.5</v>
      </c>
      <c r="S1492" s="318">
        <f t="shared" si="8"/>
        <v>46125.65625</v>
      </c>
    </row>
    <row r="1493">
      <c r="A1493" s="14" t="str">
        <f t="shared" si="1"/>
        <v>C142946125</v>
      </c>
      <c r="B1493" s="185">
        <f t="array" ref="B1493">IF(F1493="VL","",IF(F1493="Free","Free",XLOOKUP(D1493,Roster!T:T,Roster!S:S,"",0)))</f>
        <v>121</v>
      </c>
      <c r="C1493" s="313">
        <v>46125.0</v>
      </c>
      <c r="D1493" s="314" t="s">
        <v>178</v>
      </c>
      <c r="E1493" s="307" t="str">
        <f t="array" ref="E1493">(XLOOKUP(D1493,Roster!F:F,Roster!B:B,"",0))</f>
        <v>Mateo Vanegas</v>
      </c>
      <c r="F1493" s="315" t="str">
        <f t="array" ref="F1493">IF(B1493=100,"Free",TEXT(XLOOKUP($D1493,OperationVoice!$A:$A,OperationVoice!S:S,XLOOKUP($D1493,OperationTickets!$A:$A,OperationTickets!S:S,"",0)),"hh:mm"))</f>
        <v>08:00</v>
      </c>
      <c r="G1493" s="309">
        <f t="shared" si="3"/>
        <v>0.7083333333</v>
      </c>
      <c r="H1493" s="316" t="str">
        <f t="array" ref="H1493">XLOOKUP(B1493,Roster!L:L,Roster!N:N,XLOOKUP(D1493,TicketsBreak!A:A,TicketsBreak!E:E,"",0),0)</f>
        <v>09:15 - 09:30</v>
      </c>
      <c r="I1493" s="316" t="str">
        <f t="array" ref="I1493">XLOOKUP(B1493,Roster!L:L,Roster!O:O,XLOOKUP(D1493,TicketsBreak!A:A,TicketsBreak!F:F,"",0),0)</f>
        <v>11:30 - 12:00</v>
      </c>
      <c r="J1493" s="316" t="str">
        <f t="array" ref="J1493">XLOOKUP(B1493,Roster!L:L,Roster!P:P,XLOOKUP(D1493,TicketsBreak!A:A,TicketsBreak!G:G,"",0),0)</f>
        <v>14:30 - 14:45</v>
      </c>
      <c r="K1493" s="310">
        <f t="shared" si="4"/>
        <v>46125</v>
      </c>
      <c r="L1493" s="317">
        <f t="array" ref="L1493">(XLOOKUP(D1493,Roster!F:F,Roster!D:D,"",0))</f>
        <v>32</v>
      </c>
      <c r="M1493" s="317" t="str">
        <f t="array" ref="M1493">XLOOKUP(D1493,Roster!F:F,Roster!E:E)</f>
        <v>Tickets</v>
      </c>
      <c r="N1493" s="317" t="str">
        <f t="shared" ref="N1493:P1493" si="1517">LEFT(H1493,5)</f>
        <v>09:15</v>
      </c>
      <c r="O1493" s="317" t="str">
        <f t="shared" si="1517"/>
        <v>11:30</v>
      </c>
      <c r="P1493" s="317" t="str">
        <f t="shared" si="1517"/>
        <v>14:30</v>
      </c>
      <c r="Q1493" s="318">
        <f t="shared" si="1515"/>
        <v>46125.38542</v>
      </c>
      <c r="R1493" s="318">
        <f t="shared" si="1516"/>
        <v>46125.47917</v>
      </c>
      <c r="S1493" s="318">
        <f t="shared" si="8"/>
        <v>46125.60417</v>
      </c>
    </row>
    <row r="1494">
      <c r="A1494" s="14" t="str">
        <f t="shared" si="1"/>
        <v>C146846125</v>
      </c>
      <c r="B1494" s="185">
        <f t="array" ref="B1494">IF(F1494="VL","",IF(F1494="Free","Free",XLOOKUP(D1494,Roster!T:T,Roster!S:S,"",0)))</f>
        <v>122</v>
      </c>
      <c r="C1494" s="313">
        <v>46125.0</v>
      </c>
      <c r="D1494" s="314" t="s">
        <v>64</v>
      </c>
      <c r="E1494" s="307" t="str">
        <f t="array" ref="E1494">(XLOOKUP(D1494,Roster!F:F,Roster!B:B,"",0))</f>
        <v>Miguel Betancur</v>
      </c>
      <c r="F1494" s="315" t="str">
        <f t="array" ref="F1494">IF(B1494=100,"Free",TEXT(XLOOKUP($D1494,OperationVoice!$A:$A,OperationVoice!S:S,XLOOKUP($D1494,OperationTickets!$A:$A,OperationTickets!S:S,"",0)),"hh:mm"))</f>
        <v>08:00</v>
      </c>
      <c r="G1494" s="309">
        <f t="shared" si="3"/>
        <v>0.7083333333</v>
      </c>
      <c r="H1494" s="316" t="str">
        <f t="array" ref="H1494">XLOOKUP(B1494,Roster!L:L,Roster!N:N,XLOOKUP(D1494,TicketsBreak!A:A,TicketsBreak!E:E,"",0),0)</f>
        <v>09:30 - 09:45</v>
      </c>
      <c r="I1494" s="316" t="str">
        <f t="array" ref="I1494">XLOOKUP(B1494,Roster!L:L,Roster!O:O,XLOOKUP(D1494,TicketsBreak!A:A,TicketsBreak!F:F,"",0),0)</f>
        <v>12:00 - 12:30</v>
      </c>
      <c r="J1494" s="316" t="str">
        <f t="array" ref="J1494">XLOOKUP(B1494,Roster!L:L,Roster!P:P,XLOOKUP(D1494,TicketsBreak!A:A,TicketsBreak!G:G,"",0),0)</f>
        <v>14:45 - 15:00</v>
      </c>
      <c r="K1494" s="310">
        <f t="shared" si="4"/>
        <v>46125</v>
      </c>
      <c r="L1494" s="317">
        <f t="array" ref="L1494">(XLOOKUP(D1494,Roster!F:F,Roster!D:D,"",0))</f>
        <v>33</v>
      </c>
      <c r="M1494" s="317" t="str">
        <f t="array" ref="M1494">XLOOKUP(D1494,Roster!F:F,Roster!E:E)</f>
        <v>Voice</v>
      </c>
      <c r="N1494" s="317" t="str">
        <f t="shared" ref="N1494:P1494" si="1518">LEFT(H1494,5)</f>
        <v>09:30</v>
      </c>
      <c r="O1494" s="317" t="str">
        <f t="shared" si="1518"/>
        <v>12:00</v>
      </c>
      <c r="P1494" s="317" t="str">
        <f t="shared" si="1518"/>
        <v>14:45</v>
      </c>
      <c r="Q1494" s="318">
        <f t="shared" si="1515"/>
        <v>46125.39583</v>
      </c>
      <c r="R1494" s="318">
        <f t="shared" si="1516"/>
        <v>46125.5</v>
      </c>
      <c r="S1494" s="318">
        <f t="shared" si="8"/>
        <v>46125.61458</v>
      </c>
    </row>
    <row r="1495">
      <c r="A1495" s="14" t="str">
        <f t="shared" si="1"/>
        <v>C106546125</v>
      </c>
      <c r="B1495" s="185" t="str">
        <f t="array" ref="B1495">IF(F1495="VL","",IF(F1495="Free","Free",XLOOKUP(D1495,Roster!T:T,Roster!S:S,"",0)))</f>
        <v/>
      </c>
      <c r="C1495" s="313">
        <v>46125.0</v>
      </c>
      <c r="D1495" s="314" t="s">
        <v>148</v>
      </c>
      <c r="E1495" s="307" t="str">
        <f t="array" ref="E1495">(XLOOKUP(D1495,Roster!F:F,Roster!B:B,"",0))</f>
        <v>Miguel Hoyos</v>
      </c>
      <c r="F1495" s="315" t="str">
        <f t="array" ref="F1495">IF(B1495=100,"Free",TEXT(XLOOKUP($D1495,OperationVoice!$A:$A,OperationVoice!S:S,XLOOKUP($D1495,OperationTickets!$A:$A,OperationTickets!S:S,"",0)),"hh:mm"))</f>
        <v>07:00</v>
      </c>
      <c r="G1495" s="309">
        <f t="shared" si="3"/>
        <v>0.6666666667</v>
      </c>
      <c r="H1495" s="316">
        <f t="array" ref="H1495">XLOOKUP(B1495,Roster!L:L,Roster!N:N,XLOOKUP(D1495,TicketsBreak!A:A,TicketsBreak!E:E,"",0),0)</f>
        <v>0.4583333333</v>
      </c>
      <c r="I1495" s="316">
        <f t="array" ref="I1495">XLOOKUP(B1495,Roster!L:L,Roster!O:O,XLOOKUP(D1495,TicketsBreak!A:A,TicketsBreak!F:F,"",0),0)</f>
        <v>0.5625</v>
      </c>
      <c r="J1495" s="316">
        <f t="array" ref="J1495">XLOOKUP(B1495,Roster!L:L,Roster!P:P,XLOOKUP(D1495,TicketsBreak!A:A,TicketsBreak!G:G,"",0),0)</f>
        <v>0.65625</v>
      </c>
      <c r="K1495" s="310">
        <f t="shared" si="4"/>
        <v>46125</v>
      </c>
      <c r="L1495" s="317">
        <f t="array" ref="L1495">(XLOOKUP(D1495,Roster!F:F,Roster!D:D,"",0))</f>
        <v>17</v>
      </c>
      <c r="M1495" s="317" t="str">
        <f t="array" ref="M1495">XLOOKUP(D1495,Roster!F:F,Roster!E:E)</f>
        <v>Tickets</v>
      </c>
      <c r="N1495" s="317" t="str">
        <f t="shared" ref="N1495:P1495" si="1519">LEFT(H1495,5)</f>
        <v>11:00</v>
      </c>
      <c r="O1495" s="317" t="str">
        <f t="shared" si="1519"/>
        <v>13:30</v>
      </c>
      <c r="P1495" s="317" t="str">
        <f t="shared" si="1519"/>
        <v>15:45</v>
      </c>
      <c r="Q1495" s="318">
        <f t="shared" si="1515"/>
        <v>46125.45833</v>
      </c>
      <c r="R1495" s="318">
        <f t="shared" si="1516"/>
        <v>46125.5625</v>
      </c>
      <c r="S1495" s="318">
        <f t="shared" si="8"/>
        <v>46125.65625</v>
      </c>
    </row>
    <row r="1496">
      <c r="A1496" s="14" t="str">
        <f t="shared" si="1"/>
        <v>C111446125</v>
      </c>
      <c r="B1496" s="185">
        <f t="array" ref="B1496">IF(F1496="VL","",IF(F1496="Free","Free",XLOOKUP(D1496,Roster!T:T,Roster!S:S,"",0)))</f>
        <v>113</v>
      </c>
      <c r="C1496" s="313">
        <v>46125.0</v>
      </c>
      <c r="D1496" s="314" t="s">
        <v>65</v>
      </c>
      <c r="E1496" s="307" t="str">
        <f t="array" ref="E1496">(XLOOKUP(D1496,Roster!F:F,Roster!B:B,"",0))</f>
        <v>Mikel Bowie</v>
      </c>
      <c r="F1496" s="315" t="str">
        <f t="array" ref="F1496">IF(B1496=100,"Free",TEXT(XLOOKUP($D1496,OperationVoice!$A:$A,OperationVoice!S:S,XLOOKUP($D1496,OperationTickets!$A:$A,OperationTickets!S:S,"",0)),"hh:mm"))</f>
        <v>09:00</v>
      </c>
      <c r="G1496" s="309">
        <f t="shared" si="3"/>
        <v>0.75</v>
      </c>
      <c r="H1496" s="316" t="str">
        <f t="array" ref="H1496">XLOOKUP(B1496,Roster!L:L,Roster!N:N,XLOOKUP(D1496,TicketsBreak!A:A,TicketsBreak!E:E,"",0),0)</f>
        <v>09:45 - 10:00</v>
      </c>
      <c r="I1496" s="316" t="str">
        <f t="array" ref="I1496">XLOOKUP(B1496,Roster!L:L,Roster!O:O,XLOOKUP(D1496,TicketsBreak!A:A,TicketsBreak!F:F,"",0),0)</f>
        <v>12:30 - 13:00</v>
      </c>
      <c r="J1496" s="316" t="str">
        <f t="array" ref="J1496">XLOOKUP(B1496,Roster!L:L,Roster!P:P,XLOOKUP(D1496,TicketsBreak!A:A,TicketsBreak!G:G,"",0),0)</f>
        <v>14:45 - 15:00</v>
      </c>
      <c r="K1496" s="310">
        <f t="shared" si="4"/>
        <v>46125</v>
      </c>
      <c r="L1496" s="317">
        <f t="array" ref="L1496">(XLOOKUP(D1496,Roster!F:F,Roster!D:D,"",0))</f>
        <v>20</v>
      </c>
      <c r="M1496" s="317" t="str">
        <f t="array" ref="M1496">XLOOKUP(D1496,Roster!F:F,Roster!E:E)</f>
        <v>Voice</v>
      </c>
      <c r="N1496" s="317" t="str">
        <f t="shared" ref="N1496:P1496" si="1520">LEFT(H1496,5)</f>
        <v>09:45</v>
      </c>
      <c r="O1496" s="317" t="str">
        <f t="shared" si="1520"/>
        <v>12:30</v>
      </c>
      <c r="P1496" s="317" t="str">
        <f t="shared" si="1520"/>
        <v>14:45</v>
      </c>
      <c r="Q1496" s="318">
        <f t="shared" si="1515"/>
        <v>46125.40625</v>
      </c>
      <c r="R1496" s="318">
        <f t="shared" si="1516"/>
        <v>46125.52083</v>
      </c>
      <c r="S1496" s="318">
        <f t="shared" si="8"/>
        <v>46125.61458</v>
      </c>
    </row>
    <row r="1497">
      <c r="A1497" s="14" t="str">
        <f t="shared" si="1"/>
        <v>C116346125</v>
      </c>
      <c r="B1497" s="185">
        <f t="array" ref="B1497">IF(F1497="VL","",IF(F1497="Free","Free",XLOOKUP(D1497,Roster!T:T,Roster!S:S,"",0)))</f>
        <v>123</v>
      </c>
      <c r="C1497" s="313">
        <v>46125.0</v>
      </c>
      <c r="D1497" s="314" t="s">
        <v>66</v>
      </c>
      <c r="E1497" s="307" t="str">
        <f t="array" ref="E1497">(XLOOKUP(D1497,Roster!F:F,Roster!B:B,"",0))</f>
        <v>Natalia Cardona</v>
      </c>
      <c r="F1497" s="315" t="str">
        <f t="array" ref="F1497">IF(B1497=100,"Free",TEXT(XLOOKUP($D1497,OperationVoice!$A:$A,OperationVoice!S:S,XLOOKUP($D1497,OperationTickets!$A:$A,OperationTickets!S:S,"",0)),"hh:mm"))</f>
        <v>08:00</v>
      </c>
      <c r="G1497" s="309">
        <f t="shared" si="3"/>
        <v>0.7083333333</v>
      </c>
      <c r="H1497" s="316" t="str">
        <f t="array" ref="H1497">XLOOKUP(B1497,Roster!L:L,Roster!N:N,XLOOKUP(D1497,TicketsBreak!A:A,TicketsBreak!E:E,"",0),0)</f>
        <v>09:45 - 10:00 </v>
      </c>
      <c r="I1497" s="316" t="str">
        <f t="array" ref="I1497">XLOOKUP(B1497,Roster!L:L,Roster!O:O,XLOOKUP(D1497,TicketsBreak!A:A,TicketsBreak!F:F,"",0),0)</f>
        <v>12:30 - 13:00</v>
      </c>
      <c r="J1497" s="316" t="str">
        <f t="array" ref="J1497">XLOOKUP(B1497,Roster!L:L,Roster!P:P,XLOOKUP(D1497,TicketsBreak!A:A,TicketsBreak!G:G,"",0),0)</f>
        <v>15:00 - 15:15</v>
      </c>
      <c r="K1497" s="310">
        <f t="shared" si="4"/>
        <v>46125</v>
      </c>
      <c r="L1497" s="317">
        <f t="array" ref="L1497">(XLOOKUP(D1497,Roster!F:F,Roster!D:D,"",0))</f>
        <v>24</v>
      </c>
      <c r="M1497" s="317" t="str">
        <f t="array" ref="M1497">XLOOKUP(D1497,Roster!F:F,Roster!E:E)</f>
        <v>Voice</v>
      </c>
      <c r="N1497" s="317" t="str">
        <f t="shared" ref="N1497:P1497" si="1521">LEFT(H1497,5)</f>
        <v>09:45</v>
      </c>
      <c r="O1497" s="317" t="str">
        <f t="shared" si="1521"/>
        <v>12:30</v>
      </c>
      <c r="P1497" s="317" t="str">
        <f t="shared" si="1521"/>
        <v>15:00</v>
      </c>
      <c r="Q1497" s="318">
        <f t="shared" si="1515"/>
        <v>46125.40625</v>
      </c>
      <c r="R1497" s="318">
        <f t="shared" si="1516"/>
        <v>46125.52083</v>
      </c>
      <c r="S1497" s="318">
        <f t="shared" si="8"/>
        <v>46125.625</v>
      </c>
    </row>
    <row r="1498">
      <c r="A1498" s="14" t="str">
        <f t="shared" si="1"/>
        <v>C55646125</v>
      </c>
      <c r="B1498" s="185" t="str">
        <f t="array" ref="B1498">IF(F1498="VL","",IF(F1498="Free","Free",XLOOKUP(D1498,Roster!T:T,Roster!S:S,"",0)))</f>
        <v/>
      </c>
      <c r="C1498" s="313">
        <v>46125.0</v>
      </c>
      <c r="D1498" s="314" t="s">
        <v>167</v>
      </c>
      <c r="E1498" s="307" t="str">
        <f t="array" ref="E1498">(XLOOKUP(D1498,Roster!F:F,Roster!B:B,"",0))</f>
        <v>Nelson Londono</v>
      </c>
      <c r="F1498" s="315" t="str">
        <f t="array" ref="F1498">IF(B1498=100,"Free",TEXT(XLOOKUP($D1498,OperationVoice!$A:$A,OperationVoice!S:S,XLOOKUP($D1498,OperationTickets!$A:$A,OperationTickets!S:S,"",0)),"hh:mm"))</f>
        <v>07:00</v>
      </c>
      <c r="G1498" s="309">
        <f t="shared" si="3"/>
        <v>0.6666666667</v>
      </c>
      <c r="H1498" s="316">
        <f t="array" ref="H1498">XLOOKUP(B1498,Roster!L:L,Roster!N:N,XLOOKUP(D1498,TicketsBreak!A:A,TicketsBreak!E:E,"",0),0)</f>
        <v>0.3854166667</v>
      </c>
      <c r="I1498" s="316">
        <f t="array" ref="I1498">XLOOKUP(B1498,Roster!L:L,Roster!O:O,XLOOKUP(D1498,TicketsBreak!A:A,TicketsBreak!F:F,"",0),0)</f>
        <v>0.5833333333</v>
      </c>
      <c r="J1498" s="316">
        <f t="array" ref="J1498">XLOOKUP(B1498,Roster!L:L,Roster!P:P,XLOOKUP(D1498,TicketsBreak!A:A,TicketsBreak!G:G,"",0),0)</f>
        <v>0.6458333333</v>
      </c>
      <c r="K1498" s="310">
        <f t="shared" si="4"/>
        <v>46125</v>
      </c>
      <c r="L1498" s="317">
        <f t="array" ref="L1498">(XLOOKUP(D1498,Roster!F:F,Roster!D:D,"",0))</f>
        <v>2</v>
      </c>
      <c r="M1498" s="317" t="str">
        <f t="array" ref="M1498">XLOOKUP(D1498,Roster!F:F,Roster!E:E)</f>
        <v>Tickets</v>
      </c>
      <c r="N1498" s="317" t="str">
        <f t="shared" ref="N1498:P1498" si="1522">LEFT(H1498,5)</f>
        <v>09:15</v>
      </c>
      <c r="O1498" s="317" t="str">
        <f t="shared" si="1522"/>
        <v>14:00</v>
      </c>
      <c r="P1498" s="317" t="str">
        <f t="shared" si="1522"/>
        <v>15:30</v>
      </c>
      <c r="Q1498" s="318">
        <f t="shared" si="1515"/>
        <v>46125.38542</v>
      </c>
      <c r="R1498" s="318">
        <f t="shared" si="1516"/>
        <v>46125.58333</v>
      </c>
      <c r="S1498" s="318">
        <f t="shared" si="8"/>
        <v>46125.64583</v>
      </c>
    </row>
    <row r="1499">
      <c r="A1499" s="14" t="str">
        <f t="shared" si="1"/>
        <v>C150746125</v>
      </c>
      <c r="B1499" s="185">
        <f t="array" ref="B1499">IF(F1499="VL","",IF(F1499="Free","Free",XLOOKUP(D1499,Roster!T:T,Roster!S:S,"",0)))</f>
        <v>125</v>
      </c>
      <c r="C1499" s="313">
        <v>46125.0</v>
      </c>
      <c r="D1499" s="314" t="s">
        <v>67</v>
      </c>
      <c r="E1499" s="307" t="str">
        <f t="array" ref="E1499">(XLOOKUP(D1499,Roster!F:F,Roster!B:B,"",0))</f>
        <v>Nicols Quinones</v>
      </c>
      <c r="F1499" s="315" t="str">
        <f t="array" ref="F1499">IF(B1499=100,"Free",TEXT(XLOOKUP($D1499,OperationVoice!$A:$A,OperationVoice!S:S,XLOOKUP($D1499,OperationTickets!$A:$A,OperationTickets!S:S,"",0)),"hh:mm"))</f>
        <v>08:00</v>
      </c>
      <c r="G1499" s="309">
        <f t="shared" si="3"/>
        <v>0.7083333333</v>
      </c>
      <c r="H1499" s="316" t="str">
        <f t="array" ref="H1499">XLOOKUP(B1499,Roster!L:L,Roster!N:N,XLOOKUP(D1499,TicketsBreak!A:A,TicketsBreak!E:E,"",0),0)</f>
        <v>10:30 - 10:45</v>
      </c>
      <c r="I1499" s="316" t="str">
        <f t="array" ref="I1499">XLOOKUP(B1499,Roster!L:L,Roster!O:O,XLOOKUP(D1499,TicketsBreak!A:A,TicketsBreak!F:F,"",0),0)</f>
        <v>13:30 - 14:00</v>
      </c>
      <c r="J1499" s="316" t="str">
        <f t="array" ref="J1499">XLOOKUP(B1499,Roster!L:L,Roster!P:P,XLOOKUP(D1499,TicketsBreak!A:A,TicketsBreak!G:G,"",0),0)</f>
        <v>15:45 - 16:00</v>
      </c>
      <c r="K1499" s="310">
        <f t="shared" si="4"/>
        <v>46125</v>
      </c>
      <c r="L1499" s="317">
        <f t="array" ref="L1499">(XLOOKUP(D1499,Roster!F:F,Roster!D:D,"",0))</f>
        <v>35</v>
      </c>
      <c r="M1499" s="317" t="str">
        <f t="array" ref="M1499">XLOOKUP(D1499,Roster!F:F,Roster!E:E)</f>
        <v>Voice</v>
      </c>
      <c r="N1499" s="317" t="str">
        <f t="shared" ref="N1499:P1499" si="1523">LEFT(H1499,5)</f>
        <v>10:30</v>
      </c>
      <c r="O1499" s="317" t="str">
        <f t="shared" si="1523"/>
        <v>13:30</v>
      </c>
      <c r="P1499" s="317" t="str">
        <f t="shared" si="1523"/>
        <v>15:45</v>
      </c>
      <c r="Q1499" s="318">
        <f t="shared" si="1515"/>
        <v>46125.4375</v>
      </c>
      <c r="R1499" s="318">
        <f t="shared" si="1516"/>
        <v>46125.5625</v>
      </c>
      <c r="S1499" s="318">
        <f t="shared" si="8"/>
        <v>46125.65625</v>
      </c>
    </row>
    <row r="1500">
      <c r="A1500" s="14" t="str">
        <f t="shared" si="1"/>
        <v>C71446125</v>
      </c>
      <c r="B1500" s="185" t="str">
        <f t="array" ref="B1500">IF(F1500="VL","",IF(F1500="Free","Free",XLOOKUP(D1500,Roster!T:T,Roster!S:S,"",0)))</f>
        <v/>
      </c>
      <c r="C1500" s="313">
        <v>46125.0</v>
      </c>
      <c r="D1500" s="314" t="s">
        <v>149</v>
      </c>
      <c r="E1500" s="307" t="str">
        <f t="array" ref="E1500">(XLOOKUP(D1500,Roster!F:F,Roster!B:B,"",0))</f>
        <v>Onel Olivera</v>
      </c>
      <c r="F1500" s="315" t="str">
        <f t="array" ref="F1500">IF(B1500=100,"Free",TEXT(XLOOKUP($D1500,OperationVoice!$A:$A,OperationVoice!S:S,XLOOKUP($D1500,OperationTickets!$A:$A,OperationTickets!S:S,"",0)),"hh:mm"))</f>
        <v>08:00</v>
      </c>
      <c r="G1500" s="309">
        <f t="shared" si="3"/>
        <v>0.7083333333</v>
      </c>
      <c r="H1500" s="316">
        <f t="array" ref="H1500">XLOOKUP(B1500,Roster!L:L,Roster!N:N,XLOOKUP(D1500,TicketsBreak!A:A,TicketsBreak!E:E,"",0),0)</f>
        <v>0.4166666667</v>
      </c>
      <c r="I1500" s="316">
        <f t="array" ref="I1500">XLOOKUP(B1500,Roster!L:L,Roster!O:O,XLOOKUP(D1500,TicketsBreak!A:A,TicketsBreak!F:F,"",0),0)</f>
        <v>0.5</v>
      </c>
      <c r="J1500" s="316">
        <f t="array" ref="J1500">XLOOKUP(B1500,Roster!L:L,Roster!P:P,XLOOKUP(D1500,TicketsBreak!A:A,TicketsBreak!G:G,"",0),0)</f>
        <v>0.625</v>
      </c>
      <c r="K1500" s="310">
        <f t="shared" si="4"/>
        <v>46125</v>
      </c>
      <c r="L1500" s="317">
        <f t="array" ref="L1500">(XLOOKUP(D1500,Roster!F:F,Roster!D:D,"",0))</f>
        <v>1</v>
      </c>
      <c r="M1500" s="317" t="str">
        <f t="array" ref="M1500">XLOOKUP(D1500,Roster!F:F,Roster!E:E)</f>
        <v>Tickets</v>
      </c>
      <c r="N1500" s="317" t="str">
        <f t="shared" ref="N1500:P1500" si="1524">LEFT(H1500,5)</f>
        <v>10:00</v>
      </c>
      <c r="O1500" s="317" t="str">
        <f t="shared" si="1524"/>
        <v>12:00</v>
      </c>
      <c r="P1500" s="317" t="str">
        <f t="shared" si="1524"/>
        <v>15:00</v>
      </c>
      <c r="Q1500" s="318">
        <f t="shared" si="1515"/>
        <v>46125.41667</v>
      </c>
      <c r="R1500" s="318">
        <f t="shared" si="1516"/>
        <v>46125.5</v>
      </c>
      <c r="S1500" s="318">
        <f t="shared" si="8"/>
        <v>46125.625</v>
      </c>
    </row>
    <row r="1501">
      <c r="A1501" s="14" t="str">
        <f t="shared" si="1"/>
        <v>C116446125</v>
      </c>
      <c r="B1501" s="185" t="str">
        <f t="array" ref="B1501">IF(F1501="VL","",IF(F1501="Free","Free",XLOOKUP(D1501,Roster!T:T,Roster!S:S,"",0)))</f>
        <v/>
      </c>
      <c r="C1501" s="313">
        <v>46125.0</v>
      </c>
      <c r="D1501" s="314" t="s">
        <v>179</v>
      </c>
      <c r="E1501" s="307" t="str">
        <f t="array" ref="E1501">(XLOOKUP(D1501,Roster!F:F,Roster!B:B,"",0))</f>
        <v>Oscar Florez</v>
      </c>
      <c r="F1501" s="315" t="str">
        <f t="array" ref="F1501">IF(B1501=100,"Free",TEXT(XLOOKUP($D1501,OperationVoice!$A:$A,OperationVoice!S:S,XLOOKUP($D1501,OperationTickets!$A:$A,OperationTickets!S:S,"",0)),"hh:mm"))</f>
        <v>08:00</v>
      </c>
      <c r="G1501" s="309">
        <f t="shared" si="3"/>
        <v>0.7083333333</v>
      </c>
      <c r="H1501" s="316" t="str">
        <f t="array" ref="H1501">XLOOKUP(B1501,Roster!L:L,Roster!N:N,XLOOKUP(D1501,TicketsBreak!A:A,TicketsBreak!E:E,"",0),0)</f>
        <v/>
      </c>
      <c r="I1501" s="316" t="str">
        <f t="array" ref="I1501">XLOOKUP(B1501,Roster!L:L,Roster!O:O,XLOOKUP(D1501,TicketsBreak!A:A,TicketsBreak!F:F,"",0),0)</f>
        <v/>
      </c>
      <c r="J1501" s="316" t="str">
        <f t="array" ref="J1501">XLOOKUP(B1501,Roster!L:L,Roster!P:P,XLOOKUP(D1501,TicketsBreak!A:A,TicketsBreak!G:G,"",0),0)</f>
        <v/>
      </c>
      <c r="K1501" s="310">
        <f t="shared" si="4"/>
        <v>46125</v>
      </c>
      <c r="L1501" s="317">
        <f t="array" ref="L1501">(XLOOKUP(D1501,Roster!F:F,Roster!D:D,"",0))</f>
        <v>24</v>
      </c>
      <c r="M1501" s="317" t="str">
        <f t="array" ref="M1501">XLOOKUP(D1501,Roster!F:F,Roster!E:E)</f>
        <v>Tickets</v>
      </c>
      <c r="N1501" s="317" t="str">
        <f t="shared" ref="N1501:P1501" si="1525">LEFT(H1501,5)</f>
        <v/>
      </c>
      <c r="O1501" s="317" t="str">
        <f t="shared" si="1525"/>
        <v/>
      </c>
      <c r="P1501" s="317" t="str">
        <f t="shared" si="1525"/>
        <v/>
      </c>
      <c r="Q1501" s="318" t="str">
        <f t="shared" si="1515"/>
        <v/>
      </c>
      <c r="R1501" s="318" t="str">
        <f t="shared" si="1516"/>
        <v/>
      </c>
      <c r="S1501" s="318" t="str">
        <f t="shared" si="8"/>
        <v/>
      </c>
    </row>
    <row r="1502">
      <c r="A1502" s="14" t="str">
        <f t="shared" si="1"/>
        <v>C153846125</v>
      </c>
      <c r="B1502" s="185">
        <f t="array" ref="B1502">IF(F1502="VL","",IF(F1502="Free","Free",XLOOKUP(D1502,Roster!T:T,Roster!S:S,"",0)))</f>
        <v>151</v>
      </c>
      <c r="C1502" s="313">
        <v>46125.0</v>
      </c>
      <c r="D1502" s="314" t="s">
        <v>68</v>
      </c>
      <c r="E1502" s="307" t="str">
        <f t="array" ref="E1502">(XLOOKUP(D1502,Roster!F:F,Roster!B:B,"",0))</f>
        <v>Oscar Roldan</v>
      </c>
      <c r="F1502" s="315" t="str">
        <f t="array" ref="F1502">IF(B1502=100,"Free",TEXT(XLOOKUP($D1502,OperationVoice!$A:$A,OperationVoice!S:S,XLOOKUP($D1502,OperationTickets!$A:$A,OperationTickets!S:S,"",0)),"hh:mm"))</f>
        <v>11:00</v>
      </c>
      <c r="G1502" s="309">
        <f t="shared" si="3"/>
        <v>0.8333333333</v>
      </c>
      <c r="H1502" s="316" t="str">
        <f t="array" ref="H1502">XLOOKUP(B1502,Roster!L:L,Roster!N:N,XLOOKUP(D1502,TicketsBreak!A:A,TicketsBreak!E:E,"",0),0)</f>
        <v>12:15 - 12:30</v>
      </c>
      <c r="I1502" s="316" t="str">
        <f t="array" ref="I1502">XLOOKUP(B1502,Roster!L:L,Roster!O:O,XLOOKUP(D1502,TicketsBreak!A:A,TicketsBreak!F:F,"",0),0)</f>
        <v>14:00 - 14:30</v>
      </c>
      <c r="J1502" s="316" t="str">
        <f t="array" ref="J1502">XLOOKUP(B1502,Roster!L:L,Roster!P:P,XLOOKUP(D1502,TicketsBreak!A:A,TicketsBreak!G:G,"",0),0)</f>
        <v>17:15 - 17:30</v>
      </c>
      <c r="K1502" s="310">
        <f t="shared" si="4"/>
        <v>46125</v>
      </c>
      <c r="L1502" s="317">
        <f t="array" ref="L1502">(XLOOKUP(D1502,Roster!F:F,Roster!D:D,"",0))</f>
        <v>36</v>
      </c>
      <c r="M1502" s="317" t="str">
        <f t="array" ref="M1502">XLOOKUP(D1502,Roster!F:F,Roster!E:E)</f>
        <v>Voice</v>
      </c>
      <c r="N1502" s="317" t="str">
        <f t="shared" ref="N1502:P1502" si="1526">LEFT(H1502,5)</f>
        <v>12:15</v>
      </c>
      <c r="O1502" s="317" t="str">
        <f t="shared" si="1526"/>
        <v>14:00</v>
      </c>
      <c r="P1502" s="317" t="str">
        <f t="shared" si="1526"/>
        <v>17:15</v>
      </c>
      <c r="Q1502" s="318">
        <f t="shared" si="1515"/>
        <v>46125.51042</v>
      </c>
      <c r="R1502" s="318">
        <f t="shared" si="1516"/>
        <v>46125.58333</v>
      </c>
      <c r="S1502" s="318">
        <f t="shared" si="8"/>
        <v>46125.71875</v>
      </c>
    </row>
    <row r="1503">
      <c r="A1503" s="14" t="str">
        <f t="shared" si="1"/>
        <v>C151146125</v>
      </c>
      <c r="B1503" s="185">
        <f t="array" ref="B1503">IF(F1503="VL","",IF(F1503="Free","Free",XLOOKUP(D1503,Roster!T:T,Roster!S:S,"",0)))</f>
        <v>131</v>
      </c>
      <c r="C1503" s="313">
        <v>46125.0</v>
      </c>
      <c r="D1503" s="314" t="s">
        <v>69</v>
      </c>
      <c r="E1503" s="307" t="str">
        <f t="array" ref="E1503">(XLOOKUP(D1503,Roster!F:F,Roster!B:B,"",0))</f>
        <v>Salma Giraldo</v>
      </c>
      <c r="F1503" s="315" t="str">
        <f t="array" ref="F1503">IF(B1503=100,"Free",TEXT(XLOOKUP($D1503,OperationVoice!$A:$A,OperationVoice!S:S,XLOOKUP($D1503,OperationTickets!$A:$A,OperationTickets!S:S,"",0)),"hh:mm"))</f>
        <v>08:00</v>
      </c>
      <c r="G1503" s="309">
        <f t="shared" si="3"/>
        <v>0.7083333333</v>
      </c>
      <c r="H1503" s="316" t="str">
        <f t="array" ref="H1503">XLOOKUP(B1503,Roster!L:L,Roster!N:N,XLOOKUP(D1503,TicketsBreak!A:A,TicketsBreak!E:E,"",0),0)</f>
        <v>10:15 - 10:30</v>
      </c>
      <c r="I1503" s="316" t="str">
        <f t="array" ref="I1503">XLOOKUP(B1503,Roster!L:L,Roster!O:O,XLOOKUP(D1503,TicketsBreak!A:A,TicketsBreak!F:F,"",0),0)</f>
        <v>12:30 - 13:00</v>
      </c>
      <c r="J1503" s="316" t="str">
        <f t="array" ref="J1503">XLOOKUP(B1503,Roster!L:L,Roster!P:P,XLOOKUP(D1503,TicketsBreak!A:A,TicketsBreak!G:G,"",0),0)</f>
        <v>15:15 - 15:30</v>
      </c>
      <c r="K1503" s="310">
        <f t="shared" si="4"/>
        <v>46125</v>
      </c>
      <c r="L1503" s="317">
        <f t="array" ref="L1503">(XLOOKUP(D1503,Roster!F:F,Roster!D:D,"",0))</f>
        <v>35</v>
      </c>
      <c r="M1503" s="317" t="str">
        <f t="array" ref="M1503">XLOOKUP(D1503,Roster!F:F,Roster!E:E)</f>
        <v>Voice</v>
      </c>
      <c r="N1503" s="317" t="str">
        <f t="shared" ref="N1503:P1503" si="1527">LEFT(H1503,5)</f>
        <v>10:15</v>
      </c>
      <c r="O1503" s="317" t="str">
        <f t="shared" si="1527"/>
        <v>12:30</v>
      </c>
      <c r="P1503" s="317" t="str">
        <f t="shared" si="1527"/>
        <v>15:15</v>
      </c>
      <c r="Q1503" s="318">
        <f t="shared" si="1515"/>
        <v>46125.42708</v>
      </c>
      <c r="R1503" s="318">
        <f t="shared" si="1516"/>
        <v>46125.52083</v>
      </c>
      <c r="S1503" s="318">
        <f t="shared" si="8"/>
        <v>46125.63542</v>
      </c>
    </row>
    <row r="1504">
      <c r="A1504" s="14" t="str">
        <f t="shared" si="1"/>
        <v>C93346125</v>
      </c>
      <c r="B1504" s="185">
        <f t="array" ref="B1504">IF(F1504="VL","",IF(F1504="Free","Free",XLOOKUP(D1504,Roster!T:T,Roster!S:S,"",0)))</f>
        <v>124</v>
      </c>
      <c r="C1504" s="313">
        <v>46125.0</v>
      </c>
      <c r="D1504" s="314" t="s">
        <v>70</v>
      </c>
      <c r="E1504" s="307" t="str">
        <f t="array" ref="E1504">(XLOOKUP(D1504,Roster!F:F,Roster!B:B,"",0))</f>
        <v>Salome Arias</v>
      </c>
      <c r="F1504" s="315" t="str">
        <f t="array" ref="F1504">IF(B1504=100,"Free",TEXT(XLOOKUP($D1504,OperationVoice!$A:$A,OperationVoice!S:S,XLOOKUP($D1504,OperationTickets!$A:$A,OperationTickets!S:S,"",0)),"hh:mm"))</f>
        <v>08:00</v>
      </c>
      <c r="G1504" s="309">
        <f t="shared" si="3"/>
        <v>0.7083333333</v>
      </c>
      <c r="H1504" s="316" t="str">
        <f t="array" ref="H1504">XLOOKUP(B1504,Roster!L:L,Roster!N:N,XLOOKUP(D1504,TicketsBreak!A:A,TicketsBreak!E:E,"",0),0)</f>
        <v>10:00 - 10:15</v>
      </c>
      <c r="I1504" s="316" t="str">
        <f t="array" ref="I1504">XLOOKUP(B1504,Roster!L:L,Roster!O:O,XLOOKUP(D1504,TicketsBreak!A:A,TicketsBreak!F:F,"",0),0)</f>
        <v>13:00 - 13:30</v>
      </c>
      <c r="J1504" s="316" t="str">
        <f t="array" ref="J1504">XLOOKUP(B1504,Roster!L:L,Roster!P:P,XLOOKUP(D1504,TicketsBreak!A:A,TicketsBreak!G:G,"",0),0)</f>
        <v>15:30 - 15:45</v>
      </c>
      <c r="K1504" s="310">
        <f t="shared" si="4"/>
        <v>46125</v>
      </c>
      <c r="L1504" s="317">
        <f t="array" ref="L1504">(XLOOKUP(D1504,Roster!F:F,Roster!D:D,"",0))</f>
        <v>12</v>
      </c>
      <c r="M1504" s="317" t="str">
        <f t="array" ref="M1504">XLOOKUP(D1504,Roster!F:F,Roster!E:E)</f>
        <v>Voice</v>
      </c>
      <c r="N1504" s="317" t="str">
        <f t="shared" ref="N1504:P1504" si="1528">LEFT(H1504,5)</f>
        <v>10:00</v>
      </c>
      <c r="O1504" s="317" t="str">
        <f t="shared" si="1528"/>
        <v>13:00</v>
      </c>
      <c r="P1504" s="317" t="str">
        <f t="shared" si="1528"/>
        <v>15:30</v>
      </c>
      <c r="Q1504" s="318">
        <f t="shared" si="1515"/>
        <v>46125.41667</v>
      </c>
      <c r="R1504" s="318">
        <f t="shared" si="1516"/>
        <v>46125.54167</v>
      </c>
      <c r="S1504" s="318">
        <f t="shared" si="8"/>
        <v>46125.64583</v>
      </c>
    </row>
    <row r="1505">
      <c r="A1505" s="14" t="str">
        <f t="shared" si="1"/>
        <v>C128246125</v>
      </c>
      <c r="B1505" s="185" t="str">
        <f t="array" ref="B1505">IF(F1505="VL","",IF(F1505="Free","Free",XLOOKUP(D1505,Roster!T:T,Roster!S:S,"",0)))</f>
        <v/>
      </c>
      <c r="C1505" s="313">
        <v>46125.0</v>
      </c>
      <c r="D1505" s="314" t="s">
        <v>168</v>
      </c>
      <c r="E1505" s="307" t="str">
        <f t="array" ref="E1505">(XLOOKUP(D1505,Roster!F:F,Roster!B:B,"",0))</f>
        <v>Samuel Acevedo</v>
      </c>
      <c r="F1505" s="315" t="str">
        <f t="array" ref="F1505">IF(B1505=100,"Free",TEXT(XLOOKUP($D1505,OperationVoice!$A:$A,OperationVoice!S:S,XLOOKUP($D1505,OperationTickets!$A:$A,OperationTickets!S:S,"",0)),"hh:mm"))</f>
        <v>08:00</v>
      </c>
      <c r="G1505" s="309">
        <f t="shared" si="3"/>
        <v>0.7083333333</v>
      </c>
      <c r="H1505" s="316" t="str">
        <f t="array" ref="H1505">XLOOKUP(B1505,Roster!L:L,Roster!N:N,XLOOKUP(D1505,TicketsBreak!A:A,TicketsBreak!E:E,"",0),0)</f>
        <v/>
      </c>
      <c r="I1505" s="316" t="str">
        <f t="array" ref="I1505">XLOOKUP(B1505,Roster!L:L,Roster!O:O,XLOOKUP(D1505,TicketsBreak!A:A,TicketsBreak!F:F,"",0),0)</f>
        <v/>
      </c>
      <c r="J1505" s="316" t="str">
        <f t="array" ref="J1505">XLOOKUP(B1505,Roster!L:L,Roster!P:P,XLOOKUP(D1505,TicketsBreak!A:A,TicketsBreak!G:G,"",0),0)</f>
        <v/>
      </c>
      <c r="K1505" s="310">
        <f t="shared" si="4"/>
        <v>46125</v>
      </c>
      <c r="L1505" s="317">
        <f t="array" ref="L1505">(XLOOKUP(D1505,Roster!F:F,Roster!D:D,"",0))</f>
        <v>27</v>
      </c>
      <c r="M1505" s="317" t="str">
        <f t="array" ref="M1505">XLOOKUP(D1505,Roster!F:F,Roster!E:E)</f>
        <v>Tickets</v>
      </c>
      <c r="N1505" s="317" t="str">
        <f t="shared" ref="N1505:P1505" si="1529">LEFT(H1505,5)</f>
        <v/>
      </c>
      <c r="O1505" s="317" t="str">
        <f t="shared" si="1529"/>
        <v/>
      </c>
      <c r="P1505" s="317" t="str">
        <f t="shared" si="1529"/>
        <v/>
      </c>
      <c r="Q1505" s="318" t="str">
        <f t="shared" si="1515"/>
        <v/>
      </c>
      <c r="R1505" s="318" t="str">
        <f t="shared" si="1516"/>
        <v/>
      </c>
      <c r="S1505" s="318" t="str">
        <f t="shared" si="8"/>
        <v/>
      </c>
    </row>
    <row r="1506">
      <c r="A1506" s="14" t="str">
        <f t="shared" si="1"/>
        <v>C156446125</v>
      </c>
      <c r="B1506" s="185">
        <f t="array" ref="B1506">IF(F1506="VL","",IF(F1506="Free","Free",XLOOKUP(D1506,Roster!T:T,Roster!S:S,"",0)))</f>
        <v>121</v>
      </c>
      <c r="C1506" s="313">
        <v>46125.0</v>
      </c>
      <c r="D1506" s="314" t="s">
        <v>71</v>
      </c>
      <c r="E1506" s="307" t="str">
        <f t="array" ref="E1506">(XLOOKUP(D1506,Roster!F:F,Roster!B:B,"",0))</f>
        <v>Samuel Acevedo Cadavid</v>
      </c>
      <c r="F1506" s="315" t="str">
        <f t="array" ref="F1506">IF(B1506=100,"Free",TEXT(XLOOKUP($D1506,OperationVoice!$A:$A,OperationVoice!S:S,XLOOKUP($D1506,OperationTickets!$A:$A,OperationTickets!S:S,"",0)),"hh:mm"))</f>
        <v>11:00</v>
      </c>
      <c r="G1506" s="309">
        <f t="shared" si="3"/>
        <v>0.8333333333</v>
      </c>
      <c r="H1506" s="316" t="str">
        <f t="array" ref="H1506">XLOOKUP(B1506,Roster!L:L,Roster!N:N,XLOOKUP(D1506,TicketsBreak!A:A,TicketsBreak!E:E,"",0),0)</f>
        <v>09:15 - 09:30</v>
      </c>
      <c r="I1506" s="316" t="str">
        <f t="array" ref="I1506">XLOOKUP(B1506,Roster!L:L,Roster!O:O,XLOOKUP(D1506,TicketsBreak!A:A,TicketsBreak!F:F,"",0),0)</f>
        <v>11:30 - 12:00</v>
      </c>
      <c r="J1506" s="316" t="str">
        <f t="array" ref="J1506">XLOOKUP(B1506,Roster!L:L,Roster!P:P,XLOOKUP(D1506,TicketsBreak!A:A,TicketsBreak!G:G,"",0),0)</f>
        <v>14:30 - 14:45</v>
      </c>
      <c r="K1506" s="310">
        <f t="shared" si="4"/>
        <v>46125</v>
      </c>
      <c r="L1506" s="317">
        <f t="array" ref="L1506">(XLOOKUP(D1506,Roster!F:F,Roster!D:D,"",0))</f>
        <v>38</v>
      </c>
      <c r="M1506" s="317" t="str">
        <f t="array" ref="M1506">XLOOKUP(D1506,Roster!F:F,Roster!E:E)</f>
        <v>Voice</v>
      </c>
      <c r="N1506" s="317" t="str">
        <f t="shared" ref="N1506:P1506" si="1530">LEFT(H1506,5)</f>
        <v>09:15</v>
      </c>
      <c r="O1506" s="317" t="str">
        <f t="shared" si="1530"/>
        <v>11:30</v>
      </c>
      <c r="P1506" s="317" t="str">
        <f t="shared" si="1530"/>
        <v>14:30</v>
      </c>
      <c r="Q1506" s="318">
        <f t="shared" si="1515"/>
        <v>46125.38542</v>
      </c>
      <c r="R1506" s="318">
        <f t="shared" si="1516"/>
        <v>46125.47917</v>
      </c>
      <c r="S1506" s="318">
        <f t="shared" si="8"/>
        <v>46125.60417</v>
      </c>
    </row>
    <row r="1507">
      <c r="A1507" s="14" t="str">
        <f t="shared" si="1"/>
        <v>C116846125</v>
      </c>
      <c r="B1507" s="185">
        <f t="array" ref="B1507">IF(F1507="VL","",IF(F1507="Free","Free",XLOOKUP(D1507,Roster!T:T,Roster!S:S,"",0)))</f>
        <v>125</v>
      </c>
      <c r="C1507" s="313">
        <v>46125.0</v>
      </c>
      <c r="D1507" s="314" t="s">
        <v>180</v>
      </c>
      <c r="E1507" s="307" t="str">
        <f t="array" ref="E1507">(XLOOKUP(D1507,Roster!F:F,Roster!B:B,"",0))</f>
        <v>Santiago Gaviria</v>
      </c>
      <c r="F1507" s="315" t="str">
        <f t="array" ref="F1507">IF(B1507=100,"Free",TEXT(XLOOKUP($D1507,OperationVoice!$A:$A,OperationVoice!S:S,XLOOKUP($D1507,OperationTickets!$A:$A,OperationTickets!S:S,"",0)),"hh:mm"))</f>
        <v>08:00</v>
      </c>
      <c r="G1507" s="309">
        <f t="shared" si="3"/>
        <v>0.7083333333</v>
      </c>
      <c r="H1507" s="316" t="str">
        <f t="array" ref="H1507">XLOOKUP(B1507,Roster!L:L,Roster!N:N,XLOOKUP(D1507,TicketsBreak!A:A,TicketsBreak!E:E,"",0),0)</f>
        <v>10:30 - 10:45</v>
      </c>
      <c r="I1507" s="316" t="str">
        <f t="array" ref="I1507">XLOOKUP(B1507,Roster!L:L,Roster!O:O,XLOOKUP(D1507,TicketsBreak!A:A,TicketsBreak!F:F,"",0),0)</f>
        <v>13:30 - 14:00</v>
      </c>
      <c r="J1507" s="316" t="str">
        <f t="array" ref="J1507">XLOOKUP(B1507,Roster!L:L,Roster!P:P,XLOOKUP(D1507,TicketsBreak!A:A,TicketsBreak!G:G,"",0),0)</f>
        <v>15:45 - 16:00</v>
      </c>
      <c r="K1507" s="310">
        <f t="shared" si="4"/>
        <v>46125</v>
      </c>
      <c r="L1507" s="317">
        <f t="array" ref="L1507">(XLOOKUP(D1507,Roster!F:F,Roster!D:D,"",0))</f>
        <v>24</v>
      </c>
      <c r="M1507" s="317" t="str">
        <f t="array" ref="M1507">XLOOKUP(D1507,Roster!F:F,Roster!E:E)</f>
        <v>Tickets</v>
      </c>
      <c r="N1507" s="317" t="str">
        <f t="shared" ref="N1507:P1507" si="1531">LEFT(H1507,5)</f>
        <v>10:30</v>
      </c>
      <c r="O1507" s="317" t="str">
        <f t="shared" si="1531"/>
        <v>13:30</v>
      </c>
      <c r="P1507" s="317" t="str">
        <f t="shared" si="1531"/>
        <v>15:45</v>
      </c>
      <c r="Q1507" s="318">
        <f t="shared" si="1515"/>
        <v>46125.4375</v>
      </c>
      <c r="R1507" s="318">
        <f t="shared" si="1516"/>
        <v>46125.5625</v>
      </c>
      <c r="S1507" s="318">
        <f t="shared" si="8"/>
        <v>46125.65625</v>
      </c>
    </row>
    <row r="1508">
      <c r="A1508" s="14" t="str">
        <f t="shared" si="1"/>
        <v>C122046125</v>
      </c>
      <c r="B1508" s="185" t="str">
        <f t="array" ref="B1508">IF(F1508="VL","",IF(F1508="Free","Free",XLOOKUP(D1508,Roster!T:T,Roster!S:S,"",0)))</f>
        <v/>
      </c>
      <c r="C1508" s="313">
        <v>46125.0</v>
      </c>
      <c r="D1508" s="314" t="s">
        <v>181</v>
      </c>
      <c r="E1508" s="307" t="str">
        <f t="array" ref="E1508">(XLOOKUP(D1508,Roster!F:F,Roster!B:B,"",0))</f>
        <v>Santiago Gonzalez</v>
      </c>
      <c r="F1508" s="315" t="str">
        <f t="array" ref="F1508">IF(B1508=100,"Free",TEXT(XLOOKUP($D1508,OperationVoice!$A:$A,OperationVoice!S:S,XLOOKUP($D1508,OperationTickets!$A:$A,OperationTickets!S:S,"",0)),"hh:mm"))</f>
        <v>08:00</v>
      </c>
      <c r="G1508" s="309">
        <f t="shared" si="3"/>
        <v>0.7083333333</v>
      </c>
      <c r="H1508" s="316" t="str">
        <f t="array" ref="H1508">XLOOKUP(B1508,Roster!L:L,Roster!N:N,XLOOKUP(D1508,TicketsBreak!A:A,TicketsBreak!E:E,"",0),0)</f>
        <v/>
      </c>
      <c r="I1508" s="316" t="str">
        <f t="array" ref="I1508">XLOOKUP(B1508,Roster!L:L,Roster!O:O,XLOOKUP(D1508,TicketsBreak!A:A,TicketsBreak!F:F,"",0),0)</f>
        <v/>
      </c>
      <c r="J1508" s="316" t="str">
        <f t="array" ref="J1508">XLOOKUP(B1508,Roster!L:L,Roster!P:P,XLOOKUP(D1508,TicketsBreak!A:A,TicketsBreak!G:G,"",0),0)</f>
        <v/>
      </c>
      <c r="K1508" s="310">
        <f t="shared" si="4"/>
        <v>46125</v>
      </c>
      <c r="L1508" s="317">
        <f t="array" ref="L1508">(XLOOKUP(D1508,Roster!F:F,Roster!D:D,"",0))</f>
        <v>26</v>
      </c>
      <c r="M1508" s="317" t="str">
        <f t="array" ref="M1508">XLOOKUP(D1508,Roster!F:F,Roster!E:E)</f>
        <v>Tickets</v>
      </c>
      <c r="N1508" s="317" t="str">
        <f t="shared" ref="N1508:P1508" si="1532">LEFT(H1508,5)</f>
        <v/>
      </c>
      <c r="O1508" s="317" t="str">
        <f t="shared" si="1532"/>
        <v/>
      </c>
      <c r="P1508" s="317" t="str">
        <f t="shared" si="1532"/>
        <v/>
      </c>
      <c r="Q1508" s="318" t="str">
        <f t="shared" si="1515"/>
        <v/>
      </c>
      <c r="R1508" s="318" t="str">
        <f t="shared" si="1516"/>
        <v/>
      </c>
      <c r="S1508" s="318" t="str">
        <f t="shared" si="8"/>
        <v/>
      </c>
    </row>
    <row r="1509">
      <c r="A1509" s="14" t="str">
        <f t="shared" si="1"/>
        <v>C140646125</v>
      </c>
      <c r="B1509" s="185">
        <f t="array" ref="B1509">IF(F1509="VL","",IF(F1509="Free","Free",XLOOKUP(D1509,Roster!T:T,Roster!S:S,"",0)))</f>
        <v>152</v>
      </c>
      <c r="C1509" s="313">
        <v>46125.0</v>
      </c>
      <c r="D1509" s="314" t="s">
        <v>72</v>
      </c>
      <c r="E1509" s="307" t="str">
        <f t="array" ref="E1509">(XLOOKUP(D1509,Roster!F:F,Roster!B:B,"",0))</f>
        <v>Santiago Mora</v>
      </c>
      <c r="F1509" s="315" t="str">
        <f t="array" ref="F1509">IF(B1509=100,"Free",TEXT(XLOOKUP($D1509,OperationVoice!$A:$A,OperationVoice!S:S,XLOOKUP($D1509,OperationTickets!$A:$A,OperationTickets!S:S,"",0)),"hh:mm"))</f>
        <v>11:00</v>
      </c>
      <c r="G1509" s="309">
        <f t="shared" si="3"/>
        <v>0.8333333333</v>
      </c>
      <c r="H1509" s="316" t="str">
        <f t="array" ref="H1509">XLOOKUP(B1509,Roster!L:L,Roster!N:N,XLOOKUP(D1509,TicketsBreak!A:A,TicketsBreak!E:E,"",0),0)</f>
        <v>12:30 - 12:45</v>
      </c>
      <c r="I1509" s="316" t="str">
        <f t="array" ref="I1509">XLOOKUP(B1509,Roster!L:L,Roster!O:O,XLOOKUP(D1509,TicketsBreak!A:A,TicketsBreak!F:F,"",0),0)</f>
        <v>14:30 - 15:00</v>
      </c>
      <c r="J1509" s="316" t="str">
        <f t="array" ref="J1509">XLOOKUP(B1509,Roster!L:L,Roster!P:P,XLOOKUP(D1509,TicketsBreak!A:A,TicketsBreak!G:G,"",0),0)</f>
        <v>17:30 - 17:45</v>
      </c>
      <c r="K1509" s="310">
        <f t="shared" si="4"/>
        <v>46125</v>
      </c>
      <c r="L1509" s="317">
        <f t="array" ref="L1509">(XLOOKUP(D1509,Roster!F:F,Roster!D:D,"",0))</f>
        <v>35</v>
      </c>
      <c r="M1509" s="317" t="str">
        <f t="array" ref="M1509">XLOOKUP(D1509,Roster!F:F,Roster!E:E)</f>
        <v>Voice</v>
      </c>
      <c r="N1509" s="317" t="str">
        <f t="shared" ref="N1509:P1509" si="1533">LEFT(H1509,5)</f>
        <v>12:30</v>
      </c>
      <c r="O1509" s="317" t="str">
        <f t="shared" si="1533"/>
        <v>14:30</v>
      </c>
      <c r="P1509" s="317" t="str">
        <f t="shared" si="1533"/>
        <v>17:30</v>
      </c>
      <c r="Q1509" s="318">
        <f t="shared" si="1515"/>
        <v>46125.52083</v>
      </c>
      <c r="R1509" s="318">
        <f t="shared" si="1516"/>
        <v>46125.60417</v>
      </c>
      <c r="S1509" s="318">
        <f t="shared" si="8"/>
        <v>46125.72917</v>
      </c>
    </row>
    <row r="1510">
      <c r="A1510" s="14" t="str">
        <f t="shared" si="1"/>
        <v>C119946125</v>
      </c>
      <c r="B1510" s="185" t="str">
        <f t="array" ref="B1510">IF(F1510="VL","",IF(F1510="Free","Free",XLOOKUP(D1510,Roster!T:T,Roster!S:S,"",0)))</f>
        <v/>
      </c>
      <c r="C1510" s="313">
        <v>46125.0</v>
      </c>
      <c r="D1510" s="314" t="s">
        <v>182</v>
      </c>
      <c r="E1510" s="307" t="str">
        <f t="array" ref="E1510">(XLOOKUP(D1510,Roster!F:F,Roster!B:B,"",0))</f>
        <v>Santiago Velasquez</v>
      </c>
      <c r="F1510" s="315" t="str">
        <f t="array" ref="F1510">IF(B1510=100,"Free",TEXT(XLOOKUP($D1510,OperationVoice!$A:$A,OperationVoice!S:S,XLOOKUP($D1510,OperationTickets!$A:$A,OperationTickets!S:S,"",0)),"hh:mm"))</f>
        <v>08:00</v>
      </c>
      <c r="G1510" s="309">
        <f t="shared" si="3"/>
        <v>0.7083333333</v>
      </c>
      <c r="H1510" s="316" t="str">
        <f t="array" ref="H1510">XLOOKUP(B1510,Roster!L:L,Roster!N:N,XLOOKUP(D1510,TicketsBreak!A:A,TicketsBreak!E:E,"",0),0)</f>
        <v/>
      </c>
      <c r="I1510" s="316" t="str">
        <f t="array" ref="I1510">XLOOKUP(B1510,Roster!L:L,Roster!O:O,XLOOKUP(D1510,TicketsBreak!A:A,TicketsBreak!F:F,"",0),0)</f>
        <v/>
      </c>
      <c r="J1510" s="316" t="str">
        <f t="array" ref="J1510">XLOOKUP(B1510,Roster!L:L,Roster!P:P,XLOOKUP(D1510,TicketsBreak!A:A,TicketsBreak!G:G,"",0),0)</f>
        <v/>
      </c>
      <c r="K1510" s="310">
        <f t="shared" si="4"/>
        <v>46125</v>
      </c>
      <c r="L1510" s="317">
        <f t="array" ref="L1510">(XLOOKUP(D1510,Roster!F:F,Roster!D:D,"",0))</f>
        <v>25</v>
      </c>
      <c r="M1510" s="317" t="str">
        <f t="array" ref="M1510">XLOOKUP(D1510,Roster!F:F,Roster!E:E)</f>
        <v>Tickets</v>
      </c>
      <c r="N1510" s="317" t="str">
        <f t="shared" ref="N1510:P1510" si="1534">LEFT(H1510,5)</f>
        <v/>
      </c>
      <c r="O1510" s="317" t="str">
        <f t="shared" si="1534"/>
        <v/>
      </c>
      <c r="P1510" s="317" t="str">
        <f t="shared" si="1534"/>
        <v/>
      </c>
      <c r="Q1510" s="318" t="str">
        <f t="shared" si="1515"/>
        <v/>
      </c>
      <c r="R1510" s="318" t="str">
        <f t="shared" si="1516"/>
        <v/>
      </c>
      <c r="S1510" s="318" t="str">
        <f t="shared" si="8"/>
        <v/>
      </c>
    </row>
    <row r="1511">
      <c r="A1511" s="14" t="str">
        <f t="shared" si="1"/>
        <v>C90246125</v>
      </c>
      <c r="B1511" s="185" t="str">
        <f t="array" ref="B1511">IF(F1511="VL","",IF(F1511="Free","Free",XLOOKUP(D1511,Roster!T:T,Roster!S:S,"",0)))</f>
        <v/>
      </c>
      <c r="C1511" s="313">
        <v>46125.0</v>
      </c>
      <c r="D1511" s="314" t="s">
        <v>150</v>
      </c>
      <c r="E1511" s="307" t="str">
        <f t="array" ref="E1511">(XLOOKUP(D1511,Roster!F:F,Roster!B:B,"",0))</f>
        <v>Sebastiam Vallejo</v>
      </c>
      <c r="F1511" s="315" t="str">
        <f t="array" ref="F1511">IF(B1511=100,"Free",TEXT(XLOOKUP($D1511,OperationVoice!$A:$A,OperationVoice!S:S,XLOOKUP($D1511,OperationTickets!$A:$A,OperationTickets!S:S,"",0)),"hh:mm"))</f>
        <v>08:00</v>
      </c>
      <c r="G1511" s="309">
        <f t="shared" si="3"/>
        <v>0.7083333333</v>
      </c>
      <c r="H1511" s="316">
        <f t="array" ref="H1511">XLOOKUP(B1511,Roster!L:L,Roster!N:N,XLOOKUP(D1511,TicketsBreak!A:A,TicketsBreak!E:E,"",0),0)</f>
        <v>0.4375</v>
      </c>
      <c r="I1511" s="316">
        <f t="array" ref="I1511">XLOOKUP(B1511,Roster!L:L,Roster!O:O,XLOOKUP(D1511,TicketsBreak!A:A,TicketsBreak!F:F,"",0),0)</f>
        <v>0.6041666667</v>
      </c>
      <c r="J1511" s="316">
        <f t="array" ref="J1511">XLOOKUP(B1511,Roster!L:L,Roster!P:P,XLOOKUP(D1511,TicketsBreak!A:A,TicketsBreak!G:G,"",0),0)</f>
        <v>0.65625</v>
      </c>
      <c r="K1511" s="310">
        <f t="shared" si="4"/>
        <v>46125</v>
      </c>
      <c r="L1511" s="317">
        <f t="array" ref="L1511">(XLOOKUP(D1511,Roster!F:F,Roster!D:D,"",0))</f>
        <v>11</v>
      </c>
      <c r="M1511" s="317" t="str">
        <f t="array" ref="M1511">XLOOKUP(D1511,Roster!F:F,Roster!E:E)</f>
        <v>Tickets</v>
      </c>
      <c r="N1511" s="317" t="str">
        <f t="shared" ref="N1511:P1511" si="1535">LEFT(H1511,5)</f>
        <v>10:30</v>
      </c>
      <c r="O1511" s="317" t="str">
        <f t="shared" si="1535"/>
        <v>14:30</v>
      </c>
      <c r="P1511" s="317" t="str">
        <f t="shared" si="1535"/>
        <v>15:45</v>
      </c>
      <c r="Q1511" s="318">
        <f t="shared" si="1515"/>
        <v>46125.4375</v>
      </c>
      <c r="R1511" s="318">
        <f t="shared" si="1516"/>
        <v>46125.60417</v>
      </c>
      <c r="S1511" s="318">
        <f t="shared" si="8"/>
        <v>46125.65625</v>
      </c>
    </row>
    <row r="1512">
      <c r="A1512" s="14" t="str">
        <f t="shared" si="1"/>
        <v>C150646125</v>
      </c>
      <c r="B1512" s="185">
        <f t="array" ref="B1512">IF(F1512="VL","",IF(F1512="Free","Free",XLOOKUP(D1512,Roster!T:T,Roster!S:S,"",0)))</f>
        <v>153</v>
      </c>
      <c r="C1512" s="313">
        <v>46125.0</v>
      </c>
      <c r="D1512" s="314" t="s">
        <v>73</v>
      </c>
      <c r="E1512" s="307" t="str">
        <f t="array" ref="E1512">(XLOOKUP(D1512,Roster!F:F,Roster!B:B,"",0))</f>
        <v>Sebastian Agudelo Londono</v>
      </c>
      <c r="F1512" s="315" t="str">
        <f t="array" ref="F1512">IF(B1512=100,"Free",TEXT(XLOOKUP($D1512,OperationVoice!$A:$A,OperationVoice!S:S,XLOOKUP($D1512,OperationTickets!$A:$A,OperationTickets!S:S,"",0)),"hh:mm"))</f>
        <v>11:00</v>
      </c>
      <c r="G1512" s="309">
        <f t="shared" si="3"/>
        <v>0.8333333333</v>
      </c>
      <c r="H1512" s="316" t="str">
        <f t="array" ref="H1512">XLOOKUP(B1512,Roster!L:L,Roster!N:N,XLOOKUP(D1512,TicketsBreak!A:A,TicketsBreak!E:E,"",0),0)</f>
        <v>12:45 - 13:00</v>
      </c>
      <c r="I1512" s="316" t="str">
        <f t="array" ref="I1512">XLOOKUP(B1512,Roster!L:L,Roster!O:O,XLOOKUP(D1512,TicketsBreak!A:A,TicketsBreak!F:F,"",0),0)</f>
        <v>15:00 - 15:30</v>
      </c>
      <c r="J1512" s="316" t="str">
        <f t="array" ref="J1512">XLOOKUP(B1512,Roster!L:L,Roster!P:P,XLOOKUP(D1512,TicketsBreak!A:A,TicketsBreak!G:G,"",0),0)</f>
        <v>17:45 - 18:00</v>
      </c>
      <c r="K1512" s="310">
        <f t="shared" si="4"/>
        <v>46125</v>
      </c>
      <c r="L1512" s="317">
        <f t="array" ref="L1512">(XLOOKUP(D1512,Roster!F:F,Roster!D:D,"",0))</f>
        <v>35</v>
      </c>
      <c r="M1512" s="317" t="str">
        <f t="array" ref="M1512">XLOOKUP(D1512,Roster!F:F,Roster!E:E)</f>
        <v>Voice</v>
      </c>
      <c r="N1512" s="317" t="str">
        <f t="shared" ref="N1512:P1512" si="1536">LEFT(H1512,5)</f>
        <v>12:45</v>
      </c>
      <c r="O1512" s="317" t="str">
        <f t="shared" si="1536"/>
        <v>15:00</v>
      </c>
      <c r="P1512" s="317" t="str">
        <f t="shared" si="1536"/>
        <v>17:45</v>
      </c>
      <c r="Q1512" s="318">
        <f t="shared" si="1515"/>
        <v>46125.53125</v>
      </c>
      <c r="R1512" s="318">
        <f t="shared" si="1516"/>
        <v>46125.625</v>
      </c>
      <c r="S1512" s="318">
        <f t="shared" si="8"/>
        <v>46125.73958</v>
      </c>
    </row>
    <row r="1513">
      <c r="A1513" s="14" t="str">
        <f t="shared" si="1"/>
        <v>C119046125</v>
      </c>
      <c r="B1513" s="185" t="str">
        <f t="array" ref="B1513">IF(F1513="VL","",IF(F1513="Free","Free",XLOOKUP(D1513,Roster!T:T,Roster!S:S,"",0)))</f>
        <v/>
      </c>
      <c r="C1513" s="313">
        <v>46125.0</v>
      </c>
      <c r="D1513" s="314" t="s">
        <v>183</v>
      </c>
      <c r="E1513" s="307" t="str">
        <f t="array" ref="E1513">(XLOOKUP(D1513,Roster!F:F,Roster!B:B,"",0))</f>
        <v>Sebastian Herrera</v>
      </c>
      <c r="F1513" s="315" t="str">
        <f t="array" ref="F1513">IF(B1513=100,"Free",TEXT(XLOOKUP($D1513,OperationVoice!$A:$A,OperationVoice!S:S,XLOOKUP($D1513,OperationTickets!$A:$A,OperationTickets!S:S,"",0)),"hh:mm"))</f>
        <v>07:00</v>
      </c>
      <c r="G1513" s="309">
        <f t="shared" si="3"/>
        <v>0.6666666667</v>
      </c>
      <c r="H1513" s="316">
        <f t="array" ref="H1513">XLOOKUP(B1513,Roster!L:L,Roster!N:N,XLOOKUP(D1513,TicketsBreak!A:A,TicketsBreak!E:E,"",0),0)</f>
        <v>0.40625</v>
      </c>
      <c r="I1513" s="316">
        <f t="array" ref="I1513">XLOOKUP(B1513,Roster!L:L,Roster!O:O,XLOOKUP(D1513,TicketsBreak!A:A,TicketsBreak!F:F,"",0),0)</f>
        <v>0.5416666667</v>
      </c>
      <c r="J1513" s="316">
        <f t="array" ref="J1513">XLOOKUP(B1513,Roster!L:L,Roster!P:P,XLOOKUP(D1513,TicketsBreak!A:A,TicketsBreak!G:G,"",0),0)</f>
        <v>0.625</v>
      </c>
      <c r="K1513" s="310">
        <f t="shared" si="4"/>
        <v>46125</v>
      </c>
      <c r="L1513" s="317">
        <f t="array" ref="L1513">(XLOOKUP(D1513,Roster!F:F,Roster!D:D,"",0))</f>
        <v>25</v>
      </c>
      <c r="M1513" s="317" t="str">
        <f t="array" ref="M1513">XLOOKUP(D1513,Roster!F:F,Roster!E:E)</f>
        <v>Tickets</v>
      </c>
      <c r="N1513" s="317" t="str">
        <f t="shared" ref="N1513:P1513" si="1537">LEFT(H1513,5)</f>
        <v>09:45</v>
      </c>
      <c r="O1513" s="317" t="str">
        <f t="shared" si="1537"/>
        <v>13:00</v>
      </c>
      <c r="P1513" s="317" t="str">
        <f t="shared" si="1537"/>
        <v>15:00</v>
      </c>
      <c r="Q1513" s="318">
        <f t="shared" si="1515"/>
        <v>46125.40625</v>
      </c>
      <c r="R1513" s="318">
        <f t="shared" si="1516"/>
        <v>46125.54167</v>
      </c>
      <c r="S1513" s="318">
        <f t="shared" si="8"/>
        <v>46125.625</v>
      </c>
    </row>
    <row r="1514">
      <c r="A1514" s="14" t="str">
        <f t="shared" si="1"/>
        <v>C71046125</v>
      </c>
      <c r="B1514" s="185" t="str">
        <f t="array" ref="B1514">IF(F1514="VL","",IF(F1514="Free","Free",XLOOKUP(D1514,Roster!T:T,Roster!S:S,"",0)))</f>
        <v/>
      </c>
      <c r="C1514" s="313">
        <v>46125.0</v>
      </c>
      <c r="D1514" s="314" t="s">
        <v>184</v>
      </c>
      <c r="E1514" s="307" t="str">
        <f t="array" ref="E1514">(XLOOKUP(D1514,Roster!F:F,Roster!B:B,"",0))</f>
        <v>Sebastian Martinez</v>
      </c>
      <c r="F1514" s="315" t="str">
        <f t="array" ref="F1514">IF(B1514=100,"Free",TEXT(XLOOKUP($D1514,OperationVoice!$A:$A,OperationVoice!S:S,XLOOKUP($D1514,OperationTickets!$A:$A,OperationTickets!S:S,"",0)),"hh:mm"))</f>
        <v>08:00</v>
      </c>
      <c r="G1514" s="309">
        <f t="shared" si="3"/>
        <v>0.7083333333</v>
      </c>
      <c r="H1514" s="316">
        <f t="array" ref="H1514">XLOOKUP(B1514,Roster!L:L,Roster!N:N,XLOOKUP(D1514,TicketsBreak!A:A,TicketsBreak!E:E,"",0),0)</f>
        <v>0.40625</v>
      </c>
      <c r="I1514" s="316">
        <f t="array" ref="I1514">XLOOKUP(B1514,Roster!L:L,Roster!O:O,XLOOKUP(D1514,TicketsBreak!A:A,TicketsBreak!F:F,"",0),0)</f>
        <v>0.5625</v>
      </c>
      <c r="J1514" s="316">
        <f t="array" ref="J1514">XLOOKUP(B1514,Roster!L:L,Roster!P:P,XLOOKUP(D1514,TicketsBreak!A:A,TicketsBreak!G:G,"",0),0)</f>
        <v>0.65625</v>
      </c>
      <c r="K1514" s="310">
        <f t="shared" si="4"/>
        <v>46125</v>
      </c>
      <c r="L1514" s="317">
        <f t="array" ref="L1514">(XLOOKUP(D1514,Roster!F:F,Roster!D:D,"",0))</f>
        <v>6</v>
      </c>
      <c r="M1514" s="317" t="str">
        <f t="array" ref="M1514">XLOOKUP(D1514,Roster!F:F,Roster!E:E)</f>
        <v>Tickets</v>
      </c>
      <c r="N1514" s="317" t="str">
        <f t="shared" ref="N1514:P1514" si="1538">LEFT(H1514,5)</f>
        <v>09:45</v>
      </c>
      <c r="O1514" s="317" t="str">
        <f t="shared" si="1538"/>
        <v>13:30</v>
      </c>
      <c r="P1514" s="317" t="str">
        <f t="shared" si="1538"/>
        <v>15:45</v>
      </c>
      <c r="Q1514" s="318">
        <f t="shared" si="1515"/>
        <v>46125.40625</v>
      </c>
      <c r="R1514" s="318">
        <f t="shared" si="1516"/>
        <v>46125.5625</v>
      </c>
      <c r="S1514" s="318">
        <f t="shared" si="8"/>
        <v>46125.65625</v>
      </c>
    </row>
    <row r="1515">
      <c r="A1515" s="14" t="str">
        <f t="shared" si="1"/>
        <v>C72346125</v>
      </c>
      <c r="B1515" s="185" t="str">
        <f t="array" ref="B1515">IF(F1515="VL","",IF(F1515="Free","Free",XLOOKUP(D1515,Roster!T:T,Roster!S:S,"",0)))</f>
        <v/>
      </c>
      <c r="C1515" s="313">
        <v>46125.0</v>
      </c>
      <c r="D1515" s="314" t="s">
        <v>169</v>
      </c>
      <c r="E1515" s="307" t="str">
        <f t="array" ref="E1515">(XLOOKUP(D1515,Roster!F:F,Roster!B:B,"",0))</f>
        <v>Sebastian Parra</v>
      </c>
      <c r="F1515" s="315" t="str">
        <f t="array" ref="F1515">IF(B1515=100,"Free",TEXT(XLOOKUP($D1515,OperationVoice!$A:$A,OperationVoice!S:S,XLOOKUP($D1515,OperationTickets!$A:$A,OperationTickets!S:S,"",0)),"hh:mm"))</f>
        <v>08:00</v>
      </c>
      <c r="G1515" s="309">
        <f t="shared" si="3"/>
        <v>0.7083333333</v>
      </c>
      <c r="H1515" s="316">
        <f t="array" ref="H1515">XLOOKUP(B1515,Roster!L:L,Roster!N:N,XLOOKUP(D1515,TicketsBreak!A:A,TicketsBreak!E:E,"",0),0)</f>
        <v>0.4166666667</v>
      </c>
      <c r="I1515" s="316">
        <f t="array" ref="I1515">XLOOKUP(B1515,Roster!L:L,Roster!O:O,XLOOKUP(D1515,TicketsBreak!A:A,TicketsBreak!F:F,"",0),0)</f>
        <v>0.5347222222</v>
      </c>
      <c r="J1515" s="316">
        <f t="array" ref="J1515">XLOOKUP(B1515,Roster!L:L,Roster!P:P,XLOOKUP(D1515,TicketsBreak!A:A,TicketsBreak!G:G,"",0),0)</f>
        <v>0.65625</v>
      </c>
      <c r="K1515" s="310">
        <f t="shared" si="4"/>
        <v>46125</v>
      </c>
      <c r="L1515" s="317">
        <f t="array" ref="L1515">(XLOOKUP(D1515,Roster!F:F,Roster!D:D,"",0))</f>
        <v>7</v>
      </c>
      <c r="M1515" s="317" t="str">
        <f t="array" ref="M1515">XLOOKUP(D1515,Roster!F:F,Roster!E:E)</f>
        <v>Tickets</v>
      </c>
      <c r="N1515" s="317" t="str">
        <f t="shared" ref="N1515:P1515" si="1539">LEFT(H1515,5)</f>
        <v>10:00</v>
      </c>
      <c r="O1515" s="317" t="str">
        <f t="shared" si="1539"/>
        <v>12:50</v>
      </c>
      <c r="P1515" s="317" t="str">
        <f t="shared" si="1539"/>
        <v>15:45</v>
      </c>
      <c r="Q1515" s="318">
        <f t="shared" si="1515"/>
        <v>46125.41667</v>
      </c>
      <c r="R1515" s="318">
        <f t="shared" si="1516"/>
        <v>46125.53472</v>
      </c>
      <c r="S1515" s="318">
        <f t="shared" si="8"/>
        <v>46125.65625</v>
      </c>
    </row>
    <row r="1516">
      <c r="A1516" s="14" t="str">
        <f t="shared" si="1"/>
        <v>C137646125</v>
      </c>
      <c r="B1516" s="185" t="str">
        <f t="array" ref="B1516">IF(F1516="VL","",IF(F1516="Free","Free",XLOOKUP(D1516,Roster!T:T,Roster!S:S,"",0)))</f>
        <v/>
      </c>
      <c r="C1516" s="313">
        <v>46125.0</v>
      </c>
      <c r="D1516" s="314" t="s">
        <v>151</v>
      </c>
      <c r="E1516" s="307" t="str">
        <f t="array" ref="E1516">(XLOOKUP(D1516,Roster!F:F,Roster!B:B,"",0))</f>
        <v>Sebastian Quiroz</v>
      </c>
      <c r="F1516" s="315" t="str">
        <f t="array" ref="F1516">IF(B1516=100,"Free",TEXT(XLOOKUP($D1516,OperationVoice!$A:$A,OperationVoice!S:S,XLOOKUP($D1516,OperationTickets!$A:$A,OperationTickets!S:S,"",0)),"hh:mm"))</f>
        <v>08:00</v>
      </c>
      <c r="G1516" s="309">
        <f t="shared" si="3"/>
        <v>0.7083333333</v>
      </c>
      <c r="H1516" s="316" t="str">
        <f t="array" ref="H1516">XLOOKUP(B1516,Roster!L:L,Roster!N:N,XLOOKUP(D1516,TicketsBreak!A:A,TicketsBreak!E:E,"",0),0)</f>
        <v/>
      </c>
      <c r="I1516" s="316" t="str">
        <f t="array" ref="I1516">XLOOKUP(B1516,Roster!L:L,Roster!O:O,XLOOKUP(D1516,TicketsBreak!A:A,TicketsBreak!F:F,"",0),0)</f>
        <v/>
      </c>
      <c r="J1516" s="316" t="str">
        <f t="array" ref="J1516">XLOOKUP(B1516,Roster!L:L,Roster!P:P,XLOOKUP(D1516,TicketsBreak!A:A,TicketsBreak!G:G,"",0),0)</f>
        <v/>
      </c>
      <c r="K1516" s="310">
        <f t="shared" si="4"/>
        <v>46125</v>
      </c>
      <c r="L1516" s="317">
        <f t="array" ref="L1516">(XLOOKUP(D1516,Roster!F:F,Roster!D:D,"",0))</f>
        <v>31</v>
      </c>
      <c r="M1516" s="317" t="str">
        <f t="array" ref="M1516">XLOOKUP(D1516,Roster!F:F,Roster!E:E)</f>
        <v>Tickets</v>
      </c>
      <c r="N1516" s="317" t="str">
        <f t="shared" ref="N1516:P1516" si="1540">LEFT(H1516,5)</f>
        <v/>
      </c>
      <c r="O1516" s="317" t="str">
        <f t="shared" si="1540"/>
        <v/>
      </c>
      <c r="P1516" s="317" t="str">
        <f t="shared" si="1540"/>
        <v/>
      </c>
      <c r="Q1516" s="318" t="str">
        <f t="shared" si="1515"/>
        <v/>
      </c>
      <c r="R1516" s="318" t="str">
        <f t="shared" si="1516"/>
        <v/>
      </c>
      <c r="S1516" s="318" t="str">
        <f t="shared" si="8"/>
        <v/>
      </c>
    </row>
    <row r="1517">
      <c r="A1517" s="14" t="str">
        <f t="shared" si="1"/>
        <v>C72646125</v>
      </c>
      <c r="B1517" s="185" t="str">
        <f t="array" ref="B1517">IF(F1517="VL","",IF(F1517="Free","Free",XLOOKUP(D1517,Roster!T:T,Roster!S:S,"",0)))</f>
        <v/>
      </c>
      <c r="C1517" s="313">
        <v>46125.0</v>
      </c>
      <c r="D1517" s="314" t="s">
        <v>185</v>
      </c>
      <c r="E1517" s="307" t="str">
        <f t="array" ref="E1517">(XLOOKUP(D1517,Roster!F:F,Roster!B:B,"",0))</f>
        <v>Sebastian Rodriguez</v>
      </c>
      <c r="F1517" s="315" t="str">
        <f t="array" ref="F1517">IF(B1517=100,"Free",TEXT(XLOOKUP($D1517,OperationVoice!$A:$A,OperationVoice!S:S,XLOOKUP($D1517,OperationTickets!$A:$A,OperationTickets!S:S,"",0)),"hh:mm"))</f>
        <v>08:00</v>
      </c>
      <c r="G1517" s="309">
        <f t="shared" si="3"/>
        <v>0.7083333333</v>
      </c>
      <c r="H1517" s="316">
        <f t="array" ref="H1517">XLOOKUP(B1517,Roster!L:L,Roster!N:N,XLOOKUP(D1517,TicketsBreak!A:A,TicketsBreak!E:E,"",0),0)</f>
        <v>0.4166666667</v>
      </c>
      <c r="I1517" s="316">
        <f t="array" ref="I1517">XLOOKUP(B1517,Roster!L:L,Roster!O:O,XLOOKUP(D1517,TicketsBreak!A:A,TicketsBreak!F:F,"",0),0)</f>
        <v>0.5625</v>
      </c>
      <c r="J1517" s="316">
        <f t="array" ref="J1517">XLOOKUP(B1517,Roster!L:L,Roster!P:P,XLOOKUP(D1517,TicketsBreak!A:A,TicketsBreak!G:G,"",0),0)</f>
        <v>0.6458333333</v>
      </c>
      <c r="K1517" s="310">
        <f t="shared" si="4"/>
        <v>46125</v>
      </c>
      <c r="L1517" s="317">
        <f t="array" ref="L1517">(XLOOKUP(D1517,Roster!F:F,Roster!D:D,"",0))</f>
        <v>7</v>
      </c>
      <c r="M1517" s="317" t="str">
        <f t="array" ref="M1517">XLOOKUP(D1517,Roster!F:F,Roster!E:E)</f>
        <v>Tickets</v>
      </c>
      <c r="N1517" s="317" t="str">
        <f t="shared" ref="N1517:P1517" si="1541">LEFT(H1517,5)</f>
        <v>10:00</v>
      </c>
      <c r="O1517" s="317" t="str">
        <f t="shared" si="1541"/>
        <v>13:30</v>
      </c>
      <c r="P1517" s="317" t="str">
        <f t="shared" si="1541"/>
        <v>15:30</v>
      </c>
      <c r="Q1517" s="318">
        <f t="shared" si="1515"/>
        <v>46125.41667</v>
      </c>
      <c r="R1517" s="318">
        <f t="shared" si="1516"/>
        <v>46125.5625</v>
      </c>
      <c r="S1517" s="318">
        <f t="shared" si="8"/>
        <v>46125.64583</v>
      </c>
    </row>
    <row r="1518">
      <c r="A1518" s="14" t="str">
        <f t="shared" si="1"/>
        <v>C60246125</v>
      </c>
      <c r="B1518" s="185" t="str">
        <f t="array" ref="B1518">IF(F1518="VL","",IF(F1518="Free","Free",XLOOKUP(D1518,Roster!T:T,Roster!S:S,"",0)))</f>
        <v/>
      </c>
      <c r="C1518" s="313">
        <v>46125.0</v>
      </c>
      <c r="D1518" s="314" t="s">
        <v>170</v>
      </c>
      <c r="E1518" s="307" t="str">
        <f t="array" ref="E1518">(XLOOKUP(D1518,Roster!F:F,Roster!B:B,"",0))</f>
        <v>Sebastian Torres</v>
      </c>
      <c r="F1518" s="315" t="str">
        <f t="array" ref="F1518">IF(B1518=100,"Free",TEXT(XLOOKUP($D1518,OperationVoice!$A:$A,OperationVoice!S:S,XLOOKUP($D1518,OperationTickets!$A:$A,OperationTickets!S:S,"",0)),"hh:mm"))</f>
        <v>08:00</v>
      </c>
      <c r="G1518" s="309">
        <f t="shared" si="3"/>
        <v>0.7083333333</v>
      </c>
      <c r="H1518" s="316">
        <f t="array" ref="H1518">XLOOKUP(B1518,Roster!L:L,Roster!N:N,XLOOKUP(D1518,TicketsBreak!A:A,TicketsBreak!E:E,"",0),0)</f>
        <v>0.4583333333</v>
      </c>
      <c r="I1518" s="316">
        <f t="array" ref="I1518">XLOOKUP(B1518,Roster!L:L,Roster!O:O,XLOOKUP(D1518,TicketsBreak!A:A,TicketsBreak!F:F,"",0),0)</f>
        <v>0.5833333333</v>
      </c>
      <c r="J1518" s="316">
        <f t="array" ref="J1518">XLOOKUP(B1518,Roster!L:L,Roster!P:P,XLOOKUP(D1518,TicketsBreak!A:A,TicketsBreak!G:G,"",0),0)</f>
        <v>0.65625</v>
      </c>
      <c r="K1518" s="310">
        <f t="shared" si="4"/>
        <v>46125</v>
      </c>
      <c r="L1518" s="317">
        <f t="array" ref="L1518">(XLOOKUP(D1518,Roster!F:F,Roster!D:D,"",0))</f>
        <v>8</v>
      </c>
      <c r="M1518" s="317" t="str">
        <f t="array" ref="M1518">XLOOKUP(D1518,Roster!F:F,Roster!E:E)</f>
        <v>Tickets</v>
      </c>
      <c r="N1518" s="317" t="str">
        <f t="shared" ref="N1518:P1518" si="1542">LEFT(H1518,5)</f>
        <v>11:00</v>
      </c>
      <c r="O1518" s="317" t="str">
        <f t="shared" si="1542"/>
        <v>14:00</v>
      </c>
      <c r="P1518" s="317" t="str">
        <f t="shared" si="1542"/>
        <v>15:45</v>
      </c>
      <c r="Q1518" s="318">
        <f t="shared" si="1515"/>
        <v>46125.45833</v>
      </c>
      <c r="R1518" s="318">
        <f t="shared" si="1516"/>
        <v>46125.58333</v>
      </c>
      <c r="S1518" s="318">
        <f t="shared" si="8"/>
        <v>46125.65625</v>
      </c>
    </row>
    <row r="1519">
      <c r="A1519" s="14" t="str">
        <f t="shared" si="1"/>
        <v>C143146125</v>
      </c>
      <c r="B1519" s="185">
        <f t="array" ref="B1519">IF(F1519="VL","",IF(F1519="Free","Free",XLOOKUP(D1519,Roster!T:T,Roster!S:S,"",0)))</f>
        <v>151</v>
      </c>
      <c r="C1519" s="313">
        <v>46125.0</v>
      </c>
      <c r="D1519" s="314" t="s">
        <v>74</v>
      </c>
      <c r="E1519" s="307" t="str">
        <f t="array" ref="E1519">(XLOOKUP(D1519,Roster!F:F,Roster!B:B,"",0))</f>
        <v>Sebastian Torres Gomez</v>
      </c>
      <c r="F1519" s="315" t="str">
        <f t="array" ref="F1519">IF(B1519=100,"Free",TEXT(XLOOKUP($D1519,OperationVoice!$A:$A,OperationVoice!S:S,XLOOKUP($D1519,OperationTickets!$A:$A,OperationTickets!S:S,"",0)),"hh:mm"))</f>
        <v>11:00</v>
      </c>
      <c r="G1519" s="309">
        <f t="shared" si="3"/>
        <v>0.8333333333</v>
      </c>
      <c r="H1519" s="316" t="str">
        <f t="array" ref="H1519">XLOOKUP(B1519,Roster!L:L,Roster!N:N,XLOOKUP(D1519,TicketsBreak!A:A,TicketsBreak!E:E,"",0),0)</f>
        <v>12:15 - 12:30</v>
      </c>
      <c r="I1519" s="316" t="str">
        <f t="array" ref="I1519">XLOOKUP(B1519,Roster!L:L,Roster!O:O,XLOOKUP(D1519,TicketsBreak!A:A,TicketsBreak!F:F,"",0),0)</f>
        <v>14:00 - 14:30</v>
      </c>
      <c r="J1519" s="316" t="str">
        <f t="array" ref="J1519">XLOOKUP(B1519,Roster!L:L,Roster!P:P,XLOOKUP(D1519,TicketsBreak!A:A,TicketsBreak!G:G,"",0),0)</f>
        <v>17:15 - 17:30</v>
      </c>
      <c r="K1519" s="310">
        <f t="shared" si="4"/>
        <v>46125</v>
      </c>
      <c r="L1519" s="317">
        <f t="array" ref="L1519">(XLOOKUP(D1519,Roster!F:F,Roster!D:D,"",0))</f>
        <v>32</v>
      </c>
      <c r="M1519" s="317" t="str">
        <f t="array" ref="M1519">XLOOKUP(D1519,Roster!F:F,Roster!E:E)</f>
        <v>Voice</v>
      </c>
      <c r="N1519" s="317" t="str">
        <f t="shared" ref="N1519:P1519" si="1543">LEFT(H1519,5)</f>
        <v>12:15</v>
      </c>
      <c r="O1519" s="317" t="str">
        <f t="shared" si="1543"/>
        <v>14:00</v>
      </c>
      <c r="P1519" s="317" t="str">
        <f t="shared" si="1543"/>
        <v>17:15</v>
      </c>
      <c r="Q1519" s="318">
        <f t="shared" si="1515"/>
        <v>46125.51042</v>
      </c>
      <c r="R1519" s="318">
        <f t="shared" si="1516"/>
        <v>46125.58333</v>
      </c>
      <c r="S1519" s="318">
        <f t="shared" si="8"/>
        <v>46125.71875</v>
      </c>
    </row>
    <row r="1520">
      <c r="A1520" s="14" t="str">
        <f t="shared" si="1"/>
        <v>C149146125</v>
      </c>
      <c r="B1520" s="185" t="str">
        <f t="array" ref="B1520">IF(F1520="VL","",IF(F1520="Free","Free",XLOOKUP(D1520,Roster!T:T,Roster!S:S,"",0)))</f>
        <v/>
      </c>
      <c r="C1520" s="313">
        <v>46125.0</v>
      </c>
      <c r="D1520" s="314" t="s">
        <v>315</v>
      </c>
      <c r="E1520" s="307" t="str">
        <f t="array" ref="E1520">(XLOOKUP(D1520,Roster!F:F,Roster!B:B,"",0))</f>
        <v>Sebastian Vanegas</v>
      </c>
      <c r="F1520" s="315" t="str">
        <f t="array" ref="F1520">IF(B1520=100,"Free",TEXT(XLOOKUP($D1520,OperationVoice!$A:$A,OperationVoice!S:S,XLOOKUP($D1520,OperationTickets!$A:$A,OperationTickets!S:S,"",0)),"hh:mm"))</f>
        <v/>
      </c>
      <c r="G1520" s="309" t="str">
        <f t="shared" si="3"/>
        <v/>
      </c>
      <c r="H1520" s="316" t="str">
        <f t="array" ref="H1520">XLOOKUP(B1520,Roster!L:L,Roster!N:N,XLOOKUP(D1520,TicketsBreak!A:A,TicketsBreak!E:E,"",0),0)</f>
        <v/>
      </c>
      <c r="I1520" s="316" t="str">
        <f t="array" ref="I1520">XLOOKUP(B1520,Roster!L:L,Roster!O:O,XLOOKUP(D1520,TicketsBreak!A:A,TicketsBreak!F:F,"",0),0)</f>
        <v/>
      </c>
      <c r="J1520" s="316" t="str">
        <f t="array" ref="J1520">XLOOKUP(B1520,Roster!L:L,Roster!P:P,XLOOKUP(D1520,TicketsBreak!A:A,TicketsBreak!G:G,"",0),0)</f>
        <v/>
      </c>
      <c r="K1520" s="310">
        <f t="shared" si="4"/>
        <v>46125</v>
      </c>
      <c r="L1520" s="317">
        <f t="array" ref="L1520">(XLOOKUP(D1520,Roster!F:F,Roster!D:D,"",0))</f>
        <v>34</v>
      </c>
      <c r="M1520" s="317" t="str">
        <f t="array" ref="M1520">XLOOKUP(D1520,Roster!F:F,Roster!E:E)</f>
        <v>Voice</v>
      </c>
      <c r="N1520" s="317" t="str">
        <f t="shared" ref="N1520:P1520" si="1544">LEFT(H1520,5)</f>
        <v/>
      </c>
      <c r="O1520" s="317" t="str">
        <f t="shared" si="1544"/>
        <v/>
      </c>
      <c r="P1520" s="317" t="str">
        <f t="shared" si="1544"/>
        <v/>
      </c>
      <c r="Q1520" s="318" t="str">
        <f t="shared" si="1515"/>
        <v/>
      </c>
      <c r="R1520" s="318" t="str">
        <f t="shared" si="1516"/>
        <v/>
      </c>
      <c r="S1520" s="318" t="str">
        <f t="shared" si="8"/>
        <v/>
      </c>
    </row>
    <row r="1521">
      <c r="A1521" s="14" t="str">
        <f t="shared" si="1"/>
        <v>C93746125</v>
      </c>
      <c r="B1521" s="185">
        <f t="array" ref="B1521">IF(F1521="VL","",IF(F1521="Free","Free",XLOOKUP(D1521,Roster!T:T,Roster!S:S,"",0)))</f>
        <v>126</v>
      </c>
      <c r="C1521" s="313">
        <v>46125.0</v>
      </c>
      <c r="D1521" s="314" t="s">
        <v>75</v>
      </c>
      <c r="E1521" s="307" t="str">
        <f t="array" ref="E1521">(XLOOKUP(D1521,Roster!F:F,Roster!B:B,"",0))</f>
        <v>Sebastian Zapata</v>
      </c>
      <c r="F1521" s="315" t="str">
        <f t="array" ref="F1521">IF(B1521=100,"Free",TEXT(XLOOKUP($D1521,OperationVoice!$A:$A,OperationVoice!S:S,XLOOKUP($D1521,OperationTickets!$A:$A,OperationTickets!S:S,"",0)),"hh:mm"))</f>
        <v>08:00</v>
      </c>
      <c r="G1521" s="309">
        <f t="shared" si="3"/>
        <v>0.7083333333</v>
      </c>
      <c r="H1521" s="316" t="str">
        <f t="array" ref="H1521">XLOOKUP(B1521,Roster!L:L,Roster!N:N,XLOOKUP(D1521,TicketsBreak!A:A,TicketsBreak!E:E,"",0),0)</f>
        <v>10:45 - 11:00</v>
      </c>
      <c r="I1521" s="316" t="str">
        <f t="array" ref="I1521">XLOOKUP(B1521,Roster!L:L,Roster!O:O,XLOOKUP(D1521,TicketsBreak!A:A,TicketsBreak!F:F,"",0),0)</f>
        <v>14:00 - 14:30</v>
      </c>
      <c r="J1521" s="316" t="str">
        <f t="array" ref="J1521">XLOOKUP(B1521,Roster!L:L,Roster!P:P,XLOOKUP(D1521,TicketsBreak!A:A,TicketsBreak!G:G,"",0),0)</f>
        <v>15:45 - 16:00</v>
      </c>
      <c r="K1521" s="310">
        <f t="shared" si="4"/>
        <v>46125</v>
      </c>
      <c r="L1521" s="317">
        <f t="array" ref="L1521">(XLOOKUP(D1521,Roster!F:F,Roster!D:D,"",0))</f>
        <v>12</v>
      </c>
      <c r="M1521" s="317" t="str">
        <f t="array" ref="M1521">XLOOKUP(D1521,Roster!F:F,Roster!E:E)</f>
        <v>Voice</v>
      </c>
      <c r="N1521" s="317" t="str">
        <f t="shared" ref="N1521:P1521" si="1545">LEFT(H1521,5)</f>
        <v>10:45</v>
      </c>
      <c r="O1521" s="317" t="str">
        <f t="shared" si="1545"/>
        <v>14:00</v>
      </c>
      <c r="P1521" s="317" t="str">
        <f t="shared" si="1545"/>
        <v>15:45</v>
      </c>
      <c r="Q1521" s="318">
        <f t="shared" si="1515"/>
        <v>46125.44792</v>
      </c>
      <c r="R1521" s="318">
        <f t="shared" si="1516"/>
        <v>46125.58333</v>
      </c>
      <c r="S1521" s="318">
        <f t="shared" si="8"/>
        <v>46125.65625</v>
      </c>
    </row>
    <row r="1522">
      <c r="A1522" s="14" t="str">
        <f t="shared" si="1"/>
        <v>C156546125</v>
      </c>
      <c r="B1522" s="185">
        <f t="array" ref="B1522">IF(F1522="VL","",IF(F1522="Free","Free",XLOOKUP(D1522,Roster!T:T,Roster!S:S,"",0)))</f>
        <v>122</v>
      </c>
      <c r="C1522" s="313">
        <v>46125.0</v>
      </c>
      <c r="D1522" s="314" t="s">
        <v>76</v>
      </c>
      <c r="E1522" s="307" t="str">
        <f t="array" ref="E1522">(XLOOKUP(D1522,Roster!F:F,Roster!B:B,"",0))</f>
        <v>Sergio Rojas</v>
      </c>
      <c r="F1522" s="315" t="str">
        <f t="array" ref="F1522">IF(B1522=100,"Free",TEXT(XLOOKUP($D1522,OperationVoice!$A:$A,OperationVoice!S:S,XLOOKUP($D1522,OperationTickets!$A:$A,OperationTickets!S:S,"",0)),"hh:mm"))</f>
        <v>11:00</v>
      </c>
      <c r="G1522" s="309">
        <f t="shared" si="3"/>
        <v>0.8333333333</v>
      </c>
      <c r="H1522" s="316" t="str">
        <f t="array" ref="H1522">XLOOKUP(B1522,Roster!L:L,Roster!N:N,XLOOKUP(D1522,TicketsBreak!A:A,TicketsBreak!E:E,"",0),0)</f>
        <v>09:30 - 09:45</v>
      </c>
      <c r="I1522" s="316" t="str">
        <f t="array" ref="I1522">XLOOKUP(B1522,Roster!L:L,Roster!O:O,XLOOKUP(D1522,TicketsBreak!A:A,TicketsBreak!F:F,"",0),0)</f>
        <v>12:00 - 12:30</v>
      </c>
      <c r="J1522" s="316" t="str">
        <f t="array" ref="J1522">XLOOKUP(B1522,Roster!L:L,Roster!P:P,XLOOKUP(D1522,TicketsBreak!A:A,TicketsBreak!G:G,"",0),0)</f>
        <v>14:45 - 15:00</v>
      </c>
      <c r="K1522" s="310">
        <f t="shared" si="4"/>
        <v>46125</v>
      </c>
      <c r="L1522" s="317">
        <f t="array" ref="L1522">(XLOOKUP(D1522,Roster!F:F,Roster!D:D,"",0))</f>
        <v>38</v>
      </c>
      <c r="M1522" s="317" t="str">
        <f t="array" ref="M1522">XLOOKUP(D1522,Roster!F:F,Roster!E:E)</f>
        <v>Voice</v>
      </c>
      <c r="N1522" s="317" t="str">
        <f t="shared" ref="N1522:P1522" si="1546">LEFT(H1522,5)</f>
        <v>09:30</v>
      </c>
      <c r="O1522" s="317" t="str">
        <f t="shared" si="1546"/>
        <v>12:00</v>
      </c>
      <c r="P1522" s="317" t="str">
        <f t="shared" si="1546"/>
        <v>14:45</v>
      </c>
      <c r="Q1522" s="318">
        <f t="shared" si="1515"/>
        <v>46125.39583</v>
      </c>
      <c r="R1522" s="318">
        <f t="shared" si="1516"/>
        <v>46125.5</v>
      </c>
      <c r="S1522" s="318">
        <f t="shared" si="8"/>
        <v>46125.61458</v>
      </c>
    </row>
    <row r="1523">
      <c r="A1523" s="14" t="str">
        <f t="shared" si="1"/>
        <v>C147846125</v>
      </c>
      <c r="B1523" s="185" t="str">
        <f t="array" ref="B1523">IF(F1523="VL","",IF(F1523="Free","Free",XLOOKUP(D1523,Roster!T:T,Roster!S:S,"",0)))</f>
        <v/>
      </c>
      <c r="C1523" s="313">
        <v>46125.0</v>
      </c>
      <c r="D1523" s="314" t="s">
        <v>186</v>
      </c>
      <c r="E1523" s="307" t="str">
        <f t="array" ref="E1523">(XLOOKUP(D1523,Roster!F:F,Roster!B:B,"",0))</f>
        <v>Simon Atehortua</v>
      </c>
      <c r="F1523" s="315" t="str">
        <f t="array" ref="F1523">IF(B1523=100,"Free",TEXT(XLOOKUP($D1523,OperationVoice!$A:$A,OperationVoice!S:S,XLOOKUP($D1523,OperationTickets!$A:$A,OperationTickets!S:S,"",0)),"hh:mm"))</f>
        <v>07:00</v>
      </c>
      <c r="G1523" s="309">
        <f t="shared" si="3"/>
        <v>0.6666666667</v>
      </c>
      <c r="H1523" s="316" t="str">
        <f t="array" ref="H1523">XLOOKUP(B1523,Roster!L:L,Roster!N:N,XLOOKUP(D1523,TicketsBreak!A:A,TicketsBreak!E:E,"",0),0)</f>
        <v/>
      </c>
      <c r="I1523" s="316" t="str">
        <f t="array" ref="I1523">XLOOKUP(B1523,Roster!L:L,Roster!O:O,XLOOKUP(D1523,TicketsBreak!A:A,TicketsBreak!F:F,"",0),0)</f>
        <v/>
      </c>
      <c r="J1523" s="316" t="str">
        <f t="array" ref="J1523">XLOOKUP(B1523,Roster!L:L,Roster!P:P,XLOOKUP(D1523,TicketsBreak!A:A,TicketsBreak!G:G,"",0),0)</f>
        <v/>
      </c>
      <c r="K1523" s="310">
        <f t="shared" si="4"/>
        <v>46125</v>
      </c>
      <c r="L1523" s="317">
        <f t="array" ref="L1523">(XLOOKUP(D1523,Roster!F:F,Roster!D:D,"",0))</f>
        <v>32</v>
      </c>
      <c r="M1523" s="317" t="str">
        <f t="array" ref="M1523">XLOOKUP(D1523,Roster!F:F,Roster!E:E)</f>
        <v>Tickets</v>
      </c>
      <c r="N1523" s="317" t="str">
        <f t="shared" ref="N1523:P1523" si="1547">LEFT(H1523,5)</f>
        <v/>
      </c>
      <c r="O1523" s="317" t="str">
        <f t="shared" si="1547"/>
        <v/>
      </c>
      <c r="P1523" s="317" t="str">
        <f t="shared" si="1547"/>
        <v/>
      </c>
      <c r="Q1523" s="318" t="str">
        <f t="shared" si="1515"/>
        <v/>
      </c>
      <c r="R1523" s="318" t="str">
        <f t="shared" si="1516"/>
        <v/>
      </c>
      <c r="S1523" s="318" t="str">
        <f t="shared" si="8"/>
        <v/>
      </c>
    </row>
    <row r="1524">
      <c r="A1524" s="14" t="str">
        <f t="shared" si="1"/>
        <v>C148346125</v>
      </c>
      <c r="B1524" s="185">
        <f t="array" ref="B1524">IF(F1524="VL","",IF(F1524="Free","Free",XLOOKUP(D1524,Roster!T:T,Roster!S:S,"",0)))</f>
        <v>152</v>
      </c>
      <c r="C1524" s="313">
        <v>46125.0</v>
      </c>
      <c r="D1524" s="314" t="s">
        <v>77</v>
      </c>
      <c r="E1524" s="307" t="str">
        <f t="array" ref="E1524">(XLOOKUP(D1524,Roster!F:F,Roster!B:B,"",0))</f>
        <v>Simon Zuluaica</v>
      </c>
      <c r="F1524" s="315" t="str">
        <f t="array" ref="F1524">IF(B1524=100,"Free",TEXT(XLOOKUP($D1524,OperationVoice!$A:$A,OperationVoice!S:S,XLOOKUP($D1524,OperationTickets!$A:$A,OperationTickets!S:S,"",0)),"hh:mm"))</f>
        <v>11:00</v>
      </c>
      <c r="G1524" s="309">
        <f t="shared" si="3"/>
        <v>0.8333333333</v>
      </c>
      <c r="H1524" s="316" t="str">
        <f t="array" ref="H1524">XLOOKUP(B1524,Roster!L:L,Roster!N:N,XLOOKUP(D1524,TicketsBreak!A:A,TicketsBreak!E:E,"",0),0)</f>
        <v>12:30 - 12:45</v>
      </c>
      <c r="I1524" s="316" t="str">
        <f t="array" ref="I1524">XLOOKUP(B1524,Roster!L:L,Roster!O:O,XLOOKUP(D1524,TicketsBreak!A:A,TicketsBreak!F:F,"",0),0)</f>
        <v>14:30 - 15:00</v>
      </c>
      <c r="J1524" s="316" t="str">
        <f t="array" ref="J1524">XLOOKUP(B1524,Roster!L:L,Roster!P:P,XLOOKUP(D1524,TicketsBreak!A:A,TicketsBreak!G:G,"",0),0)</f>
        <v>17:30 - 17:45</v>
      </c>
      <c r="K1524" s="310">
        <f t="shared" si="4"/>
        <v>46125</v>
      </c>
      <c r="L1524" s="317">
        <f t="array" ref="L1524">(XLOOKUP(D1524,Roster!F:F,Roster!D:D,"",0))</f>
        <v>34</v>
      </c>
      <c r="M1524" s="317" t="str">
        <f t="array" ref="M1524">XLOOKUP(D1524,Roster!F:F,Roster!E:E)</f>
        <v>Voice</v>
      </c>
      <c r="N1524" s="317" t="str">
        <f t="shared" ref="N1524:P1524" si="1548">LEFT(H1524,5)</f>
        <v>12:30</v>
      </c>
      <c r="O1524" s="317" t="str">
        <f t="shared" si="1548"/>
        <v>14:30</v>
      </c>
      <c r="P1524" s="317" t="str">
        <f t="shared" si="1548"/>
        <v>17:30</v>
      </c>
      <c r="Q1524" s="318">
        <f t="shared" si="1515"/>
        <v>46125.52083</v>
      </c>
      <c r="R1524" s="318">
        <f t="shared" si="1516"/>
        <v>46125.60417</v>
      </c>
      <c r="S1524" s="318">
        <f t="shared" si="8"/>
        <v>46125.72917</v>
      </c>
    </row>
    <row r="1525">
      <c r="A1525" s="14" t="str">
        <f t="shared" si="1"/>
        <v>C154046125</v>
      </c>
      <c r="B1525" s="185">
        <f t="array" ref="B1525">IF(F1525="VL","",IF(F1525="Free","Free",XLOOKUP(D1525,Roster!T:T,Roster!S:S,"",0)))</f>
        <v>122</v>
      </c>
      <c r="C1525" s="313">
        <v>46125.0</v>
      </c>
      <c r="D1525" s="314" t="s">
        <v>78</v>
      </c>
      <c r="E1525" s="307" t="str">
        <f t="array" ref="E1525">(XLOOKUP(D1525,Roster!F:F,Roster!B:B,"",0))</f>
        <v>Tomas Perez</v>
      </c>
      <c r="F1525" s="315" t="str">
        <f t="array" ref="F1525">IF(B1525=100,"Free",TEXT(XLOOKUP($D1525,OperationVoice!$A:$A,OperationVoice!S:S,XLOOKUP($D1525,OperationTickets!$A:$A,OperationTickets!S:S,"",0)),"hh:mm"))</f>
        <v>08:00</v>
      </c>
      <c r="G1525" s="309">
        <f t="shared" si="3"/>
        <v>0.7083333333</v>
      </c>
      <c r="H1525" s="316" t="str">
        <f t="array" ref="H1525">XLOOKUP(B1525,Roster!L:L,Roster!N:N,XLOOKUP(D1525,TicketsBreak!A:A,TicketsBreak!E:E,"",0),0)</f>
        <v>09:30 - 09:45</v>
      </c>
      <c r="I1525" s="316" t="str">
        <f t="array" ref="I1525">XLOOKUP(B1525,Roster!L:L,Roster!O:O,XLOOKUP(D1525,TicketsBreak!A:A,TicketsBreak!F:F,"",0),0)</f>
        <v>12:00 - 12:30</v>
      </c>
      <c r="J1525" s="316" t="str">
        <f t="array" ref="J1525">XLOOKUP(B1525,Roster!L:L,Roster!P:P,XLOOKUP(D1525,TicketsBreak!A:A,TicketsBreak!G:G,"",0),0)</f>
        <v>14:45 - 15:00</v>
      </c>
      <c r="K1525" s="310">
        <f t="shared" si="4"/>
        <v>46125</v>
      </c>
      <c r="L1525" s="317">
        <f t="array" ref="L1525">(XLOOKUP(D1525,Roster!F:F,Roster!D:D,"",0))</f>
        <v>36</v>
      </c>
      <c r="M1525" s="317" t="str">
        <f t="array" ref="M1525">XLOOKUP(D1525,Roster!F:F,Roster!E:E)</f>
        <v>Voice</v>
      </c>
      <c r="N1525" s="317" t="str">
        <f t="shared" ref="N1525:P1525" si="1549">LEFT(H1525,5)</f>
        <v>09:30</v>
      </c>
      <c r="O1525" s="317" t="str">
        <f t="shared" si="1549"/>
        <v>12:00</v>
      </c>
      <c r="P1525" s="317" t="str">
        <f t="shared" si="1549"/>
        <v>14:45</v>
      </c>
      <c r="Q1525" s="318">
        <f t="shared" si="1515"/>
        <v>46125.39583</v>
      </c>
      <c r="R1525" s="318">
        <f t="shared" si="1516"/>
        <v>46125.5</v>
      </c>
      <c r="S1525" s="318">
        <f t="shared" si="8"/>
        <v>46125.61458</v>
      </c>
    </row>
    <row r="1526">
      <c r="A1526" s="14" t="str">
        <f t="shared" si="1"/>
        <v>C154746125</v>
      </c>
      <c r="B1526" s="185">
        <f t="array" ref="B1526">IF(F1526="VL","",IF(F1526="Free","Free",XLOOKUP(D1526,Roster!T:T,Roster!S:S,"",0)))</f>
        <v>121</v>
      </c>
      <c r="C1526" s="313">
        <v>46125.0</v>
      </c>
      <c r="D1526" s="314" t="s">
        <v>79</v>
      </c>
      <c r="E1526" s="307" t="str">
        <f t="array" ref="E1526">(XLOOKUP(D1526,Roster!F:F,Roster!B:B,"",0))</f>
        <v>Valentina Barreto</v>
      </c>
      <c r="F1526" s="315" t="str">
        <f t="array" ref="F1526">IF(B1526=100,"Free",TEXT(XLOOKUP($D1526,OperationVoice!$A:$A,OperationVoice!S:S,XLOOKUP($D1526,OperationTickets!$A:$A,OperationTickets!S:S,"",0)),"hh:mm"))</f>
        <v>08:00</v>
      </c>
      <c r="G1526" s="309">
        <f t="shared" si="3"/>
        <v>0.7083333333</v>
      </c>
      <c r="H1526" s="316" t="str">
        <f t="array" ref="H1526">XLOOKUP(B1526,Roster!L:L,Roster!N:N,XLOOKUP(D1526,TicketsBreak!A:A,TicketsBreak!E:E,"",0),0)</f>
        <v>09:15 - 09:30</v>
      </c>
      <c r="I1526" s="316" t="str">
        <f t="array" ref="I1526">XLOOKUP(B1526,Roster!L:L,Roster!O:O,XLOOKUP(D1526,TicketsBreak!A:A,TicketsBreak!F:F,"",0),0)</f>
        <v>11:30 - 12:00</v>
      </c>
      <c r="J1526" s="316" t="str">
        <f t="array" ref="J1526">XLOOKUP(B1526,Roster!L:L,Roster!P:P,XLOOKUP(D1526,TicketsBreak!A:A,TicketsBreak!G:G,"",0),0)</f>
        <v>14:30 - 14:45</v>
      </c>
      <c r="K1526" s="310">
        <f t="shared" si="4"/>
        <v>46125</v>
      </c>
      <c r="L1526" s="317">
        <f t="array" ref="L1526">(XLOOKUP(D1526,Roster!F:F,Roster!D:D,"",0))</f>
        <v>37</v>
      </c>
      <c r="M1526" s="317" t="str">
        <f t="array" ref="M1526">XLOOKUP(D1526,Roster!F:F,Roster!E:E)</f>
        <v>Voice</v>
      </c>
      <c r="N1526" s="317" t="str">
        <f t="shared" ref="N1526:P1526" si="1550">LEFT(H1526,5)</f>
        <v>09:15</v>
      </c>
      <c r="O1526" s="317" t="str">
        <f t="shared" si="1550"/>
        <v>11:30</v>
      </c>
      <c r="P1526" s="317" t="str">
        <f t="shared" si="1550"/>
        <v>14:30</v>
      </c>
      <c r="Q1526" s="318">
        <f t="shared" si="1515"/>
        <v>46125.38542</v>
      </c>
      <c r="R1526" s="318">
        <f t="shared" si="1516"/>
        <v>46125.47917</v>
      </c>
      <c r="S1526" s="318">
        <f t="shared" si="8"/>
        <v>46125.60417</v>
      </c>
    </row>
    <row r="1527">
      <c r="A1527" s="14" t="str">
        <f t="shared" si="1"/>
        <v>C155346125</v>
      </c>
      <c r="B1527" s="185">
        <f t="array" ref="B1527">IF(F1527="VL","",IF(F1527="Free","Free",XLOOKUP(D1527,Roster!T:T,Roster!S:S,"",0)))</f>
        <v>122</v>
      </c>
      <c r="C1527" s="313">
        <v>46125.0</v>
      </c>
      <c r="D1527" s="314" t="s">
        <v>80</v>
      </c>
      <c r="E1527" s="307" t="str">
        <f t="array" ref="E1527">(XLOOKUP(D1527,Roster!F:F,Roster!B:B,"",0))</f>
        <v>Valentina Castro</v>
      </c>
      <c r="F1527" s="315" t="str">
        <f t="array" ref="F1527">IF(B1527=100,"Free",TEXT(XLOOKUP($D1527,OperationVoice!$A:$A,OperationVoice!S:S,XLOOKUP($D1527,OperationTickets!$A:$A,OperationTickets!S:S,"",0)),"hh:mm"))</f>
        <v>08:00</v>
      </c>
      <c r="G1527" s="309">
        <f t="shared" si="3"/>
        <v>0.7083333333</v>
      </c>
      <c r="H1527" s="316" t="str">
        <f t="array" ref="H1527">XLOOKUP(B1527,Roster!L:L,Roster!N:N,XLOOKUP(D1527,TicketsBreak!A:A,TicketsBreak!E:E,"",0),0)</f>
        <v>09:30 - 09:45</v>
      </c>
      <c r="I1527" s="316" t="str">
        <f t="array" ref="I1527">XLOOKUP(B1527,Roster!L:L,Roster!O:O,XLOOKUP(D1527,TicketsBreak!A:A,TicketsBreak!F:F,"",0),0)</f>
        <v>12:00 - 12:30</v>
      </c>
      <c r="J1527" s="316" t="str">
        <f t="array" ref="J1527">XLOOKUP(B1527,Roster!L:L,Roster!P:P,XLOOKUP(D1527,TicketsBreak!A:A,TicketsBreak!G:G,"",0),0)</f>
        <v>14:45 - 15:00</v>
      </c>
      <c r="K1527" s="310">
        <f t="shared" si="4"/>
        <v>46125</v>
      </c>
      <c r="L1527" s="317">
        <f t="array" ref="L1527">(XLOOKUP(D1527,Roster!F:F,Roster!D:D,"",0))</f>
        <v>37</v>
      </c>
      <c r="M1527" s="317" t="str">
        <f t="array" ref="M1527">XLOOKUP(D1527,Roster!F:F,Roster!E:E)</f>
        <v>Voice</v>
      </c>
      <c r="N1527" s="317" t="str">
        <f t="shared" ref="N1527:P1527" si="1551">LEFT(H1527,5)</f>
        <v>09:30</v>
      </c>
      <c r="O1527" s="317" t="str">
        <f t="shared" si="1551"/>
        <v>12:00</v>
      </c>
      <c r="P1527" s="317" t="str">
        <f t="shared" si="1551"/>
        <v>14:45</v>
      </c>
      <c r="Q1527" s="318">
        <f t="shared" si="1515"/>
        <v>46125.39583</v>
      </c>
      <c r="R1527" s="318">
        <f t="shared" si="1516"/>
        <v>46125.5</v>
      </c>
      <c r="S1527" s="318">
        <f t="shared" si="8"/>
        <v>46125.61458</v>
      </c>
    </row>
    <row r="1528">
      <c r="A1528" s="14" t="str">
        <f t="shared" si="1"/>
        <v>C150246125</v>
      </c>
      <c r="B1528" s="185" t="str">
        <f t="array" ref="B1528">IF(F1528="VL","",IF(F1528="Free","Free",XLOOKUP(D1528,Roster!T:T,Roster!S:S,"",0)))</f>
        <v/>
      </c>
      <c r="C1528" s="313">
        <v>46125.0</v>
      </c>
      <c r="D1528" s="314" t="s">
        <v>316</v>
      </c>
      <c r="E1528" s="307" t="str">
        <f t="array" ref="E1528">(XLOOKUP(D1528,Roster!F:F,Roster!B:B,"",0))</f>
        <v>Valentina Gallego</v>
      </c>
      <c r="F1528" s="315" t="str">
        <f t="array" ref="F1528">IF(B1528=100,"Free",TEXT(XLOOKUP($D1528,OperationVoice!$A:$A,OperationVoice!S:S,XLOOKUP($D1528,OperationTickets!$A:$A,OperationTickets!S:S,"",0)),"hh:mm"))</f>
        <v/>
      </c>
      <c r="G1528" s="309" t="str">
        <f t="shared" si="3"/>
        <v/>
      </c>
      <c r="H1528" s="316" t="str">
        <f t="array" ref="H1528">XLOOKUP(B1528,Roster!L:L,Roster!N:N,XLOOKUP(D1528,TicketsBreak!A:A,TicketsBreak!E:E,"",0),0)</f>
        <v/>
      </c>
      <c r="I1528" s="316" t="str">
        <f t="array" ref="I1528">XLOOKUP(B1528,Roster!L:L,Roster!O:O,XLOOKUP(D1528,TicketsBreak!A:A,TicketsBreak!F:F,"",0),0)</f>
        <v/>
      </c>
      <c r="J1528" s="316" t="str">
        <f t="array" ref="J1528">XLOOKUP(B1528,Roster!L:L,Roster!P:P,XLOOKUP(D1528,TicketsBreak!A:A,TicketsBreak!G:G,"",0),0)</f>
        <v/>
      </c>
      <c r="K1528" s="310">
        <f t="shared" si="4"/>
        <v>46125</v>
      </c>
      <c r="L1528" s="317">
        <f t="array" ref="L1528">(XLOOKUP(D1528,Roster!F:F,Roster!D:D,"",0))</f>
        <v>35</v>
      </c>
      <c r="M1528" s="317" t="str">
        <f t="array" ref="M1528">XLOOKUP(D1528,Roster!F:F,Roster!E:E)</f>
        <v>Voice</v>
      </c>
      <c r="N1528" s="317" t="str">
        <f t="shared" ref="N1528:P1528" si="1552">LEFT(H1528,5)</f>
        <v/>
      </c>
      <c r="O1528" s="317" t="str">
        <f t="shared" si="1552"/>
        <v/>
      </c>
      <c r="P1528" s="317" t="str">
        <f t="shared" si="1552"/>
        <v/>
      </c>
      <c r="Q1528" s="318" t="str">
        <f t="shared" si="1515"/>
        <v/>
      </c>
      <c r="R1528" s="318" t="str">
        <f t="shared" si="1516"/>
        <v/>
      </c>
      <c r="S1528" s="318" t="str">
        <f t="shared" si="8"/>
        <v/>
      </c>
    </row>
    <row r="1529">
      <c r="A1529" s="14" t="str">
        <f t="shared" si="1"/>
        <v>C112646125</v>
      </c>
      <c r="B1529" s="185" t="str">
        <f t="array" ref="B1529">IF(F1529="VL","",IF(F1529="Free","Free",XLOOKUP(D1529,Roster!T:T,Roster!S:S,"",0)))</f>
        <v/>
      </c>
      <c r="C1529" s="313">
        <v>46125.0</v>
      </c>
      <c r="D1529" s="314" t="s">
        <v>152</v>
      </c>
      <c r="E1529" s="307" t="str">
        <f t="array" ref="E1529">(XLOOKUP(D1529,Roster!F:F,Roster!B:B,"",0))</f>
        <v>Valery Escobar</v>
      </c>
      <c r="F1529" s="315" t="str">
        <f t="array" ref="F1529">IF(B1529=100,"Free",TEXT(XLOOKUP($D1529,OperationVoice!$A:$A,OperationVoice!S:S,XLOOKUP($D1529,OperationTickets!$A:$A,OperationTickets!S:S,"",0)),"hh:mm"))</f>
        <v>08:00</v>
      </c>
      <c r="G1529" s="309">
        <f t="shared" si="3"/>
        <v>0.7083333333</v>
      </c>
      <c r="H1529" s="316">
        <f t="array" ref="H1529">XLOOKUP(B1529,Roster!L:L,Roster!N:N,XLOOKUP(D1529,TicketsBreak!A:A,TicketsBreak!E:E,"",0),0)</f>
        <v>0.3854166667</v>
      </c>
      <c r="I1529" s="316">
        <f t="array" ref="I1529">XLOOKUP(B1529,Roster!L:L,Roster!O:O,XLOOKUP(D1529,TicketsBreak!A:A,TicketsBreak!F:F,"",0),0)</f>
        <v>0.5</v>
      </c>
      <c r="J1529" s="316">
        <f t="array" ref="J1529">XLOOKUP(B1529,Roster!L:L,Roster!P:P,XLOOKUP(D1529,TicketsBreak!A:A,TicketsBreak!G:G,"",0),0)</f>
        <v>0.6041666667</v>
      </c>
      <c r="K1529" s="310">
        <f t="shared" si="4"/>
        <v>46125</v>
      </c>
      <c r="L1529" s="317">
        <f t="array" ref="L1529">(XLOOKUP(D1529,Roster!F:F,Roster!D:D,"",0))</f>
        <v>21</v>
      </c>
      <c r="M1529" s="317" t="str">
        <f t="array" ref="M1529">XLOOKUP(D1529,Roster!F:F,Roster!E:E)</f>
        <v>Tickets</v>
      </c>
      <c r="N1529" s="317" t="str">
        <f t="shared" ref="N1529:P1529" si="1553">LEFT(H1529,5)</f>
        <v>09:15</v>
      </c>
      <c r="O1529" s="317" t="str">
        <f t="shared" si="1553"/>
        <v>12:00</v>
      </c>
      <c r="P1529" s="317" t="str">
        <f t="shared" si="1553"/>
        <v>14:30</v>
      </c>
      <c r="Q1529" s="318">
        <f t="shared" si="1515"/>
        <v>46125.38542</v>
      </c>
      <c r="R1529" s="318">
        <f t="shared" si="1516"/>
        <v>46125.5</v>
      </c>
      <c r="S1529" s="318">
        <f t="shared" si="8"/>
        <v>46125.60417</v>
      </c>
    </row>
    <row r="1530">
      <c r="A1530" s="14" t="str">
        <f t="shared" si="1"/>
        <v>C155246125</v>
      </c>
      <c r="B1530" s="185">
        <f t="array" ref="B1530">IF(F1530="VL","",IF(F1530="Free","Free",XLOOKUP(D1530,Roster!T:T,Roster!S:S,"",0)))</f>
        <v>125</v>
      </c>
      <c r="C1530" s="313">
        <v>46125.0</v>
      </c>
      <c r="D1530" s="314" t="s">
        <v>81</v>
      </c>
      <c r="E1530" s="307" t="str">
        <f t="array" ref="E1530">(XLOOKUP(D1530,Roster!F:F,Roster!B:B,"",0))</f>
        <v>Wendy Machado</v>
      </c>
      <c r="F1530" s="315" t="str">
        <f t="array" ref="F1530">IF(B1530=100,"Free",TEXT(XLOOKUP($D1530,OperationVoice!$A:$A,OperationVoice!S:S,XLOOKUP($D1530,OperationTickets!$A:$A,OperationTickets!S:S,"",0)),"hh:mm"))</f>
        <v>08:00</v>
      </c>
      <c r="G1530" s="309">
        <f t="shared" si="3"/>
        <v>0.7083333333</v>
      </c>
      <c r="H1530" s="316" t="str">
        <f t="array" ref="H1530">XLOOKUP(B1530,Roster!L:L,Roster!N:N,XLOOKUP(D1530,TicketsBreak!A:A,TicketsBreak!E:E,"",0),0)</f>
        <v>10:30 - 10:45</v>
      </c>
      <c r="I1530" s="316" t="str">
        <f t="array" ref="I1530">XLOOKUP(B1530,Roster!L:L,Roster!O:O,XLOOKUP(D1530,TicketsBreak!A:A,TicketsBreak!F:F,"",0),0)</f>
        <v>13:30 - 14:00</v>
      </c>
      <c r="J1530" s="316" t="str">
        <f t="array" ref="J1530">XLOOKUP(B1530,Roster!L:L,Roster!P:P,XLOOKUP(D1530,TicketsBreak!A:A,TicketsBreak!G:G,"",0),0)</f>
        <v>15:45 - 16:00</v>
      </c>
      <c r="K1530" s="310">
        <f t="shared" si="4"/>
        <v>46125</v>
      </c>
      <c r="L1530" s="317">
        <f t="array" ref="L1530">(XLOOKUP(D1530,Roster!F:F,Roster!D:D,"",0))</f>
        <v>37</v>
      </c>
      <c r="M1530" s="317" t="str">
        <f t="array" ref="M1530">XLOOKUP(D1530,Roster!F:F,Roster!E:E)</f>
        <v>Voice</v>
      </c>
      <c r="N1530" s="317" t="str">
        <f t="shared" ref="N1530:P1530" si="1554">LEFT(H1530,5)</f>
        <v>10:30</v>
      </c>
      <c r="O1530" s="317" t="str">
        <f t="shared" si="1554"/>
        <v>13:30</v>
      </c>
      <c r="P1530" s="317" t="str">
        <f t="shared" si="1554"/>
        <v>15:45</v>
      </c>
      <c r="Q1530" s="318">
        <f t="shared" si="1515"/>
        <v>46125.4375</v>
      </c>
      <c r="R1530" s="318">
        <f t="shared" si="1516"/>
        <v>46125.5625</v>
      </c>
      <c r="S1530" s="318">
        <f t="shared" si="8"/>
        <v>46125.65625</v>
      </c>
    </row>
    <row r="1531">
      <c r="A1531" s="14" t="str">
        <f t="shared" si="1"/>
        <v>C78646125</v>
      </c>
      <c r="B1531" s="185" t="str">
        <f t="array" ref="B1531">IF(F1531="VL","",IF(F1531="Free","Free",XLOOKUP(D1531,Roster!T:T,Roster!S:S,"",0)))</f>
        <v/>
      </c>
      <c r="C1531" s="313">
        <v>46125.0</v>
      </c>
      <c r="D1531" s="314" t="s">
        <v>136</v>
      </c>
      <c r="E1531" s="307" t="str">
        <f t="array" ref="E1531">(XLOOKUP(D1531,Roster!F:F,Roster!B:B,"",0))</f>
        <v>Wendy Navarro</v>
      </c>
      <c r="F1531" s="315" t="str">
        <f t="array" ref="F1531">IF(B1531=100,"Free",TEXT(XLOOKUP($D1531,OperationVoice!$A:$A,OperationVoice!S:S,XLOOKUP($D1531,OperationTickets!$A:$A,OperationTickets!S:S,"",0)),"hh:mm"))</f>
        <v>08:00</v>
      </c>
      <c r="G1531" s="309">
        <f t="shared" si="3"/>
        <v>0.7083333333</v>
      </c>
      <c r="H1531" s="316">
        <f t="array" ref="H1531">XLOOKUP(B1531,Roster!L:L,Roster!N:N,XLOOKUP(D1531,TicketsBreak!A:A,TicketsBreak!E:E,"",0),0)</f>
        <v>0.4166666667</v>
      </c>
      <c r="I1531" s="316">
        <f t="array" ref="I1531">XLOOKUP(B1531,Roster!L:L,Roster!O:O,XLOOKUP(D1531,TicketsBreak!A:A,TicketsBreak!F:F,"",0),0)</f>
        <v>0.5416666667</v>
      </c>
      <c r="J1531" s="316">
        <f t="array" ref="J1531">XLOOKUP(B1531,Roster!L:L,Roster!P:P,XLOOKUP(D1531,TicketsBreak!A:A,TicketsBreak!G:G,"",0),0)</f>
        <v>0.6458333333</v>
      </c>
      <c r="K1531" s="310">
        <f t="shared" si="4"/>
        <v>46125</v>
      </c>
      <c r="L1531" s="317">
        <f t="array" ref="L1531">(XLOOKUP(D1531,Roster!F:F,Roster!D:D,"",0))</f>
        <v>16</v>
      </c>
      <c r="M1531" s="317" t="str">
        <f t="array" ref="M1531">XLOOKUP(D1531,Roster!F:F,Roster!E:E)</f>
        <v>Tickets</v>
      </c>
      <c r="N1531" s="317" t="str">
        <f t="shared" ref="N1531:P1531" si="1555">LEFT(H1531,5)</f>
        <v>10:00</v>
      </c>
      <c r="O1531" s="317" t="str">
        <f t="shared" si="1555"/>
        <v>13:00</v>
      </c>
      <c r="P1531" s="317" t="str">
        <f t="shared" si="1555"/>
        <v>15:30</v>
      </c>
      <c r="Q1531" s="318">
        <f t="shared" si="1515"/>
        <v>46125.41667</v>
      </c>
      <c r="R1531" s="318">
        <f t="shared" si="1516"/>
        <v>46125.54167</v>
      </c>
      <c r="S1531" s="318">
        <f t="shared" si="8"/>
        <v>46125.64583</v>
      </c>
    </row>
    <row r="1532">
      <c r="A1532" s="14" t="str">
        <f t="shared" si="1"/>
        <v>C153746125</v>
      </c>
      <c r="B1532" s="185">
        <f t="array" ref="B1532">IF(F1532="VL","",IF(F1532="Free","Free",XLOOKUP(D1532,Roster!T:T,Roster!S:S,"",0)))</f>
        <v>135</v>
      </c>
      <c r="C1532" s="313">
        <v>46125.0</v>
      </c>
      <c r="D1532" s="314" t="s">
        <v>82</v>
      </c>
      <c r="E1532" s="307" t="str">
        <f t="array" ref="E1532">(XLOOKUP(D1532,Roster!F:F,Roster!B:B,"",0))</f>
        <v>William Florez</v>
      </c>
      <c r="F1532" s="315" t="str">
        <f t="array" ref="F1532">IF(B1532=100,"Free",TEXT(XLOOKUP($D1532,OperationVoice!$A:$A,OperationVoice!S:S,XLOOKUP($D1532,OperationTickets!$A:$A,OperationTickets!S:S,"",0)),"hh:mm"))</f>
        <v>09:00</v>
      </c>
      <c r="G1532" s="309">
        <f t="shared" si="3"/>
        <v>0.75</v>
      </c>
      <c r="H1532" s="316" t="str">
        <f t="array" ref="H1532">XLOOKUP(B1532,Roster!L:L,Roster!N:N,XLOOKUP(D1532,TicketsBreak!A:A,TicketsBreak!E:E,"",0),0)</f>
        <v>11:15 - 11:30</v>
      </c>
      <c r="I1532" s="316" t="str">
        <f t="array" ref="I1532">XLOOKUP(B1532,Roster!L:L,Roster!O:O,XLOOKUP(D1532,TicketsBreak!A:A,TicketsBreak!F:F,"",0),0)</f>
        <v>14:15 - 14:45</v>
      </c>
      <c r="J1532" s="316" t="str">
        <f t="array" ref="J1532">XLOOKUP(B1532,Roster!L:L,Roster!P:P,XLOOKUP(D1532,TicketsBreak!A:A,TicketsBreak!G:G,"",0),0)</f>
        <v>16:15 - 16:30</v>
      </c>
      <c r="K1532" s="310">
        <f t="shared" si="4"/>
        <v>46125</v>
      </c>
      <c r="L1532" s="317">
        <f t="array" ref="L1532">(XLOOKUP(D1532,Roster!F:F,Roster!D:D,"",0))</f>
        <v>36</v>
      </c>
      <c r="M1532" s="317" t="str">
        <f t="array" ref="M1532">XLOOKUP(D1532,Roster!F:F,Roster!E:E)</f>
        <v>Voice</v>
      </c>
      <c r="N1532" s="317" t="str">
        <f t="shared" ref="N1532:P1532" si="1556">LEFT(H1532,5)</f>
        <v>11:15</v>
      </c>
      <c r="O1532" s="317" t="str">
        <f t="shared" si="1556"/>
        <v>14:15</v>
      </c>
      <c r="P1532" s="317" t="str">
        <f t="shared" si="1556"/>
        <v>16:15</v>
      </c>
      <c r="Q1532" s="318">
        <f t="shared" si="1515"/>
        <v>46125.46875</v>
      </c>
      <c r="R1532" s="318">
        <f t="shared" si="1516"/>
        <v>46125.59375</v>
      </c>
      <c r="S1532" s="318">
        <f t="shared" si="8"/>
        <v>46125.67708</v>
      </c>
    </row>
    <row r="1533">
      <c r="A1533" s="14" t="str">
        <f t="shared" si="1"/>
        <v>C135346125</v>
      </c>
      <c r="B1533" s="185">
        <f t="array" ref="B1533">IF(F1533="VL","",IF(F1533="Free","Free",XLOOKUP(D1533,Roster!T:T,Roster!S:S,"",0)))</f>
        <v>121</v>
      </c>
      <c r="C1533" s="313">
        <v>46125.0</v>
      </c>
      <c r="D1533" s="314" t="s">
        <v>83</v>
      </c>
      <c r="E1533" s="307" t="str">
        <f t="array" ref="E1533">(XLOOKUP(D1533,Roster!F:F,Roster!B:B,"",0))</f>
        <v>Wilson Martinez</v>
      </c>
      <c r="F1533" s="315" t="str">
        <f t="array" ref="F1533">IF(B1533=100,"Free",TEXT(XLOOKUP($D1533,OperationVoice!$A:$A,OperationVoice!S:S,XLOOKUP($D1533,OperationTickets!$A:$A,OperationTickets!S:S,"",0)),"hh:mm"))</f>
        <v>08:00</v>
      </c>
      <c r="G1533" s="309">
        <f t="shared" si="3"/>
        <v>0.7083333333</v>
      </c>
      <c r="H1533" s="316" t="str">
        <f t="array" ref="H1533">XLOOKUP(B1533,Roster!L:L,Roster!N:N,XLOOKUP(D1533,TicketsBreak!A:A,TicketsBreak!E:E,"",0),0)</f>
        <v>09:15 - 09:30</v>
      </c>
      <c r="I1533" s="316" t="str">
        <f t="array" ref="I1533">XLOOKUP(B1533,Roster!L:L,Roster!O:O,XLOOKUP(D1533,TicketsBreak!A:A,TicketsBreak!F:F,"",0),0)</f>
        <v>11:30 - 12:00</v>
      </c>
      <c r="J1533" s="316" t="str">
        <f t="array" ref="J1533">XLOOKUP(B1533,Roster!L:L,Roster!P:P,XLOOKUP(D1533,TicketsBreak!A:A,TicketsBreak!G:G,"",0),0)</f>
        <v>14:30 - 14:45</v>
      </c>
      <c r="K1533" s="310">
        <f t="shared" si="4"/>
        <v>46125</v>
      </c>
      <c r="L1533" s="317">
        <f t="array" ref="L1533">(XLOOKUP(D1533,Roster!F:F,Roster!D:D,"",0))</f>
        <v>30</v>
      </c>
      <c r="M1533" s="317" t="str">
        <f t="array" ref="M1533">XLOOKUP(D1533,Roster!F:F,Roster!E:E)</f>
        <v>Voice</v>
      </c>
      <c r="N1533" s="317" t="str">
        <f t="shared" ref="N1533:P1533" si="1557">LEFT(H1533,5)</f>
        <v>09:15</v>
      </c>
      <c r="O1533" s="317" t="str">
        <f t="shared" si="1557"/>
        <v>11:30</v>
      </c>
      <c r="P1533" s="317" t="str">
        <f t="shared" si="1557"/>
        <v>14:30</v>
      </c>
      <c r="Q1533" s="318">
        <f t="shared" si="1515"/>
        <v>46125.38542</v>
      </c>
      <c r="R1533" s="318">
        <f t="shared" si="1516"/>
        <v>46125.47917</v>
      </c>
      <c r="S1533" s="318">
        <f t="shared" si="8"/>
        <v>46125.60417</v>
      </c>
    </row>
    <row r="1534">
      <c r="A1534" s="14" t="str">
        <f t="shared" si="1"/>
        <v>C117346125</v>
      </c>
      <c r="B1534" s="185">
        <f t="array" ref="B1534">IF(F1534="VL","",IF(F1534="Free","Free",XLOOKUP(D1534,Roster!T:T,Roster!S:S,"",0)))</f>
        <v>122</v>
      </c>
      <c r="C1534" s="313">
        <v>46125.0</v>
      </c>
      <c r="D1534" s="314" t="s">
        <v>84</v>
      </c>
      <c r="E1534" s="307" t="str">
        <f t="array" ref="E1534">(XLOOKUP(D1534,Roster!F:F,Roster!B:B,"",0))</f>
        <v>Yaidy Mosquera</v>
      </c>
      <c r="F1534" s="315" t="str">
        <f t="array" ref="F1534">IF(B1534=100,"Free",TEXT(XLOOKUP($D1534,OperationVoice!$A:$A,OperationVoice!S:S,XLOOKUP($D1534,OperationTickets!$A:$A,OperationTickets!S:S,"",0)),"hh:mm"))</f>
        <v>08:00</v>
      </c>
      <c r="G1534" s="309">
        <f t="shared" si="3"/>
        <v>0.7083333333</v>
      </c>
      <c r="H1534" s="316" t="str">
        <f t="array" ref="H1534">XLOOKUP(B1534,Roster!L:L,Roster!N:N,XLOOKUP(D1534,TicketsBreak!A:A,TicketsBreak!E:E,"",0),0)</f>
        <v>09:30 - 09:45</v>
      </c>
      <c r="I1534" s="316" t="str">
        <f t="array" ref="I1534">XLOOKUP(B1534,Roster!L:L,Roster!O:O,XLOOKUP(D1534,TicketsBreak!A:A,TicketsBreak!F:F,"",0),0)</f>
        <v>12:00 - 12:30</v>
      </c>
      <c r="J1534" s="316" t="str">
        <f t="array" ref="J1534">XLOOKUP(B1534,Roster!L:L,Roster!P:P,XLOOKUP(D1534,TicketsBreak!A:A,TicketsBreak!G:G,"",0),0)</f>
        <v>14:45 - 15:00</v>
      </c>
      <c r="K1534" s="310">
        <f t="shared" si="4"/>
        <v>46125</v>
      </c>
      <c r="L1534" s="317">
        <f t="array" ref="L1534">(XLOOKUP(D1534,Roster!F:F,Roster!D:D,"",0))</f>
        <v>24</v>
      </c>
      <c r="M1534" s="317" t="str">
        <f t="array" ref="M1534">XLOOKUP(D1534,Roster!F:F,Roster!E:E)</f>
        <v>Voice</v>
      </c>
      <c r="N1534" s="317" t="str">
        <f t="shared" ref="N1534:P1534" si="1558">LEFT(H1534,5)</f>
        <v>09:30</v>
      </c>
      <c r="O1534" s="317" t="str">
        <f t="shared" si="1558"/>
        <v>12:00</v>
      </c>
      <c r="P1534" s="317" t="str">
        <f t="shared" si="1558"/>
        <v>14:45</v>
      </c>
      <c r="Q1534" s="318">
        <f t="shared" si="1515"/>
        <v>46125.39583</v>
      </c>
      <c r="R1534" s="318">
        <f t="shared" si="1516"/>
        <v>46125.5</v>
      </c>
      <c r="S1534" s="318">
        <f t="shared" si="8"/>
        <v>46125.61458</v>
      </c>
    </row>
    <row r="1535">
      <c r="A1535" s="14" t="str">
        <f t="shared" si="1"/>
        <v>C110846125</v>
      </c>
      <c r="B1535" s="185" t="str">
        <f t="array" ref="B1535">IF(F1535="VL","",IF(F1535="Free","Free",XLOOKUP(D1535,Roster!T:T,Roster!S:S,"",0)))</f>
        <v/>
      </c>
      <c r="C1535" s="313">
        <v>46125.0</v>
      </c>
      <c r="D1535" s="314" t="s">
        <v>187</v>
      </c>
      <c r="E1535" s="307" t="str">
        <f t="array" ref="E1535">(XLOOKUP(D1535,Roster!F:F,Roster!B:B,"",0))</f>
        <v>Yeiner Tapias</v>
      </c>
      <c r="F1535" s="315" t="str">
        <f t="array" ref="F1535">IF(B1535=100,"Free",TEXT(XLOOKUP($D1535,OperationVoice!$A:$A,OperationVoice!S:S,XLOOKUP($D1535,OperationTickets!$A:$A,OperationTickets!S:S,"",0)),"hh:mm"))</f>
        <v>08:00</v>
      </c>
      <c r="G1535" s="309">
        <f t="shared" si="3"/>
        <v>0.7083333333</v>
      </c>
      <c r="H1535" s="316">
        <f t="array" ref="H1535">XLOOKUP(B1535,Roster!L:L,Roster!N:N,XLOOKUP(D1535,TicketsBreak!A:A,TicketsBreak!E:E,"",0),0)</f>
        <v>0.3958333333</v>
      </c>
      <c r="I1535" s="316">
        <f t="array" ref="I1535">XLOOKUP(B1535,Roster!L:L,Roster!O:O,XLOOKUP(D1535,TicketsBreak!A:A,TicketsBreak!F:F,"",0),0)</f>
        <v>0.5208333333</v>
      </c>
      <c r="J1535" s="316">
        <f t="array" ref="J1535">XLOOKUP(B1535,Roster!L:L,Roster!P:P,XLOOKUP(D1535,TicketsBreak!A:A,TicketsBreak!G:G,"",0),0)</f>
        <v>0.6145833333</v>
      </c>
      <c r="K1535" s="310">
        <f t="shared" si="4"/>
        <v>46125</v>
      </c>
      <c r="L1535" s="317">
        <f t="array" ref="L1535">(XLOOKUP(D1535,Roster!F:F,Roster!D:D,"",0))</f>
        <v>20</v>
      </c>
      <c r="M1535" s="317" t="str">
        <f t="array" ref="M1535">XLOOKUP(D1535,Roster!F:F,Roster!E:E)</f>
        <v>Tickets</v>
      </c>
      <c r="N1535" s="317" t="str">
        <f t="shared" ref="N1535:P1535" si="1559">LEFT(H1535,5)</f>
        <v>09:30</v>
      </c>
      <c r="O1535" s="317" t="str">
        <f t="shared" si="1559"/>
        <v>12:30</v>
      </c>
      <c r="P1535" s="317" t="str">
        <f t="shared" si="1559"/>
        <v>14:45</v>
      </c>
      <c r="Q1535" s="318">
        <f t="shared" si="1515"/>
        <v>46125.39583</v>
      </c>
      <c r="R1535" s="318">
        <f t="shared" si="1516"/>
        <v>46125.52083</v>
      </c>
      <c r="S1535" s="318">
        <f t="shared" si="8"/>
        <v>46125.61458</v>
      </c>
    </row>
    <row r="1536">
      <c r="A1536" s="14" t="str">
        <f t="shared" si="1"/>
        <v>C153946125</v>
      </c>
      <c r="B1536" s="185">
        <f t="array" ref="B1536">IF(F1536="VL","",IF(F1536="Free","Free",XLOOKUP(D1536,Roster!T:T,Roster!S:S,"",0)))</f>
        <v>123</v>
      </c>
      <c r="C1536" s="313">
        <v>46125.0</v>
      </c>
      <c r="D1536" s="314" t="s">
        <v>85</v>
      </c>
      <c r="E1536" s="307" t="str">
        <f t="array" ref="E1536">(XLOOKUP(D1536,Roster!F:F,Roster!B:B,"",0))</f>
        <v>Yovanny Ceballos</v>
      </c>
      <c r="F1536" s="315" t="str">
        <f t="array" ref="F1536">IF(B1536=100,"Free",TEXT(XLOOKUP($D1536,OperationVoice!$A:$A,OperationVoice!S:S,XLOOKUP($D1536,OperationTickets!$A:$A,OperationTickets!S:S,"",0)),"hh:mm"))</f>
        <v/>
      </c>
      <c r="G1536" s="309" t="str">
        <f t="shared" si="3"/>
        <v/>
      </c>
      <c r="H1536" s="316" t="str">
        <f t="array" ref="H1536">XLOOKUP(B1536,Roster!L:L,Roster!N:N,XLOOKUP(D1536,TicketsBreak!A:A,TicketsBreak!E:E,"",0),0)</f>
        <v>09:45 - 10:00 </v>
      </c>
      <c r="I1536" s="316" t="str">
        <f t="array" ref="I1536">XLOOKUP(B1536,Roster!L:L,Roster!O:O,XLOOKUP(D1536,TicketsBreak!A:A,TicketsBreak!F:F,"",0),0)</f>
        <v>12:30 - 13:00</v>
      </c>
      <c r="J1536" s="316" t="str">
        <f t="array" ref="J1536">XLOOKUP(B1536,Roster!L:L,Roster!P:P,XLOOKUP(D1536,TicketsBreak!A:A,TicketsBreak!G:G,"",0),0)</f>
        <v>15:00 - 15:15</v>
      </c>
      <c r="K1536" s="310">
        <f t="shared" si="4"/>
        <v>46125</v>
      </c>
      <c r="L1536" s="317">
        <f t="array" ref="L1536">(XLOOKUP(D1536,Roster!F:F,Roster!D:D,"",0))</f>
        <v>36</v>
      </c>
      <c r="M1536" s="317" t="str">
        <f t="array" ref="M1536">XLOOKUP(D1536,Roster!F:F,Roster!E:E)</f>
        <v>Voice</v>
      </c>
      <c r="N1536" s="317" t="str">
        <f t="shared" ref="N1536:P1536" si="1560">LEFT(H1536,5)</f>
        <v>09:45</v>
      </c>
      <c r="O1536" s="317" t="str">
        <f t="shared" si="1560"/>
        <v>12:30</v>
      </c>
      <c r="P1536" s="317" t="str">
        <f t="shared" si="1560"/>
        <v>15:00</v>
      </c>
      <c r="Q1536" s="318">
        <f t="shared" si="1515"/>
        <v>46125.40625</v>
      </c>
      <c r="R1536" s="318">
        <f t="shared" si="1516"/>
        <v>46125.52083</v>
      </c>
      <c r="S1536" s="318">
        <f t="shared" si="8"/>
        <v>46125.625</v>
      </c>
    </row>
    <row r="1537">
      <c r="A1537" s="14" t="str">
        <f t="shared" si="1"/>
        <v>46125</v>
      </c>
      <c r="B1537" s="185" t="str">
        <f t="array" ref="B1537">IF(F1537="VL","",IF(F1537="Free","Free",XLOOKUP(D1537,Roster!T:T,Roster!S:S,"",0)))</f>
        <v/>
      </c>
      <c r="C1537" s="313">
        <v>46125.0</v>
      </c>
      <c r="D1537" s="314"/>
      <c r="E1537" s="307" t="str">
        <f t="array" ref="E1537">(XLOOKUP(D1537,Roster!F:F,Roster!B:B,"",0))</f>
        <v/>
      </c>
      <c r="F1537" s="315" t="str">
        <f t="array" ref="F1537">IF(B1537=100,"Free",TEXT(XLOOKUP($D1537,OperationVoice!$A:$A,OperationVoice!S:S,XLOOKUP($D1537,OperationTickets!$A:$A,OperationTickets!S:S,"",0)),"hh:mm"))</f>
        <v/>
      </c>
      <c r="G1537" s="309" t="str">
        <f t="shared" si="3"/>
        <v/>
      </c>
      <c r="H1537" s="316" t="str">
        <f t="array" ref="H1537">XLOOKUP(B1537,Roster!L:L,Roster!N:N,XLOOKUP(D1537,TicketsBreak!A:A,TicketsBreak!E:E,"",0),0)</f>
        <v/>
      </c>
      <c r="I1537" s="316" t="str">
        <f t="array" ref="I1537">XLOOKUP(B1537,Roster!L:L,Roster!O:O,XLOOKUP(D1537,TicketsBreak!A:A,TicketsBreak!F:F,"",0),0)</f>
        <v/>
      </c>
      <c r="J1537" s="316" t="str">
        <f t="array" ref="J1537">XLOOKUP(B1537,Roster!L:L,Roster!P:P,XLOOKUP(D1537,TicketsBreak!A:A,TicketsBreak!G:G,"",0),0)</f>
        <v/>
      </c>
      <c r="K1537" s="310">
        <f t="shared" si="4"/>
        <v>46125</v>
      </c>
      <c r="L1537" s="317" t="str">
        <f t="array" ref="L1537">(XLOOKUP(D1537,Roster!F:F,Roster!D:D,"",0))</f>
        <v/>
      </c>
      <c r="M1537" s="317" t="str">
        <f t="array" ref="M1537">XLOOKUP(D1537,Roster!F:F,Roster!E:E)</f>
        <v>#N/A</v>
      </c>
      <c r="N1537" s="317" t="str">
        <f t="shared" ref="N1537:P1537" si="1561">LEFT(H1537,5)</f>
        <v/>
      </c>
      <c r="O1537" s="317" t="str">
        <f t="shared" si="1561"/>
        <v/>
      </c>
      <c r="P1537" s="317" t="str">
        <f t="shared" si="1561"/>
        <v/>
      </c>
      <c r="Q1537" s="318" t="str">
        <f t="shared" si="1515"/>
        <v/>
      </c>
      <c r="R1537" s="318" t="str">
        <f t="shared" si="1516"/>
        <v/>
      </c>
      <c r="S1537" s="318" t="str">
        <f t="shared" si="8"/>
        <v/>
      </c>
    </row>
    <row r="1538">
      <c r="A1538" s="14" t="str">
        <f t="shared" si="1"/>
        <v>46125</v>
      </c>
      <c r="B1538" s="185" t="str">
        <f t="array" ref="B1538">IF(F1538="VL","",IF(F1538="Free","Free",XLOOKUP(D1538,Roster!T:T,Roster!S:S,"",0)))</f>
        <v/>
      </c>
      <c r="C1538" s="313">
        <v>46125.0</v>
      </c>
      <c r="D1538" s="314"/>
      <c r="E1538" s="307" t="str">
        <f t="array" ref="E1538">(XLOOKUP(D1538,Roster!F:F,Roster!B:B,"",0))</f>
        <v/>
      </c>
      <c r="F1538" s="315" t="str">
        <f t="array" ref="F1538">IF(B1538=100,"Free",TEXT(XLOOKUP($D1538,OperationVoice!$A:$A,OperationVoice!S:S,XLOOKUP($D1538,OperationTickets!$A:$A,OperationTickets!S:S,"",0)),"hh:mm"))</f>
        <v/>
      </c>
      <c r="G1538" s="309" t="str">
        <f t="shared" si="3"/>
        <v/>
      </c>
      <c r="H1538" s="316" t="str">
        <f t="array" ref="H1538">XLOOKUP(B1538,Roster!L:L,Roster!N:N,XLOOKUP(D1538,TicketsBreak!A:A,TicketsBreak!E:E,"",0),0)</f>
        <v/>
      </c>
      <c r="I1538" s="316" t="str">
        <f t="array" ref="I1538">XLOOKUP(B1538,Roster!L:L,Roster!O:O,XLOOKUP(D1538,TicketsBreak!A:A,TicketsBreak!F:F,"",0),0)</f>
        <v/>
      </c>
      <c r="J1538" s="316" t="str">
        <f t="array" ref="J1538">XLOOKUP(B1538,Roster!L:L,Roster!P:P,XLOOKUP(D1538,TicketsBreak!A:A,TicketsBreak!G:G,"",0),0)</f>
        <v/>
      </c>
      <c r="K1538" s="310">
        <f t="shared" si="4"/>
        <v>46125</v>
      </c>
      <c r="L1538" s="317" t="str">
        <f t="array" ref="L1538">(XLOOKUP(D1538,Roster!F:F,Roster!D:D,"",0))</f>
        <v/>
      </c>
      <c r="M1538" s="317" t="str">
        <f t="array" ref="M1538">XLOOKUP(D1538,Roster!F:F,Roster!E:E)</f>
        <v>#N/A</v>
      </c>
      <c r="N1538" s="317" t="str">
        <f t="shared" ref="N1538:P1538" si="1562">LEFT(H1538,5)</f>
        <v/>
      </c>
      <c r="O1538" s="317" t="str">
        <f t="shared" si="1562"/>
        <v/>
      </c>
      <c r="P1538" s="317" t="str">
        <f t="shared" si="1562"/>
        <v/>
      </c>
      <c r="Q1538" s="318" t="str">
        <f t="shared" si="1515"/>
        <v/>
      </c>
      <c r="R1538" s="318" t="str">
        <f t="shared" si="1516"/>
        <v/>
      </c>
      <c r="S1538" s="318" t="str">
        <f t="shared" si="8"/>
        <v/>
      </c>
    </row>
    <row r="1539">
      <c r="A1539" s="14" t="str">
        <f t="shared" si="1"/>
        <v>46125</v>
      </c>
      <c r="B1539" s="185" t="str">
        <f t="array" ref="B1539">IF(F1539="VL","",IF(F1539="Free","Free",XLOOKUP(D1539,Roster!T:T,Roster!S:S,"",0)))</f>
        <v/>
      </c>
      <c r="C1539" s="313">
        <v>46125.0</v>
      </c>
      <c r="D1539" s="314"/>
      <c r="E1539" s="307" t="str">
        <f t="array" ref="E1539">(XLOOKUP(D1539,Roster!F:F,Roster!B:B,"",0))</f>
        <v/>
      </c>
      <c r="F1539" s="315" t="str">
        <f t="array" ref="F1539">IF(B1539=100,"Free",TEXT(XLOOKUP($D1539,OperationVoice!$A:$A,OperationVoice!S:S,XLOOKUP($D1539,OperationTickets!$A:$A,OperationTickets!S:S,"",0)),"hh:mm"))</f>
        <v/>
      </c>
      <c r="G1539" s="309" t="str">
        <f t="shared" si="3"/>
        <v/>
      </c>
      <c r="H1539" s="316" t="str">
        <f t="array" ref="H1539">XLOOKUP(B1539,Roster!L:L,Roster!N:N,XLOOKUP(D1539,TicketsBreak!A:A,TicketsBreak!E:E,"",0),0)</f>
        <v/>
      </c>
      <c r="I1539" s="316" t="str">
        <f t="array" ref="I1539">XLOOKUP(B1539,Roster!L:L,Roster!O:O,XLOOKUP(D1539,TicketsBreak!A:A,TicketsBreak!F:F,"",0),0)</f>
        <v/>
      </c>
      <c r="J1539" s="316" t="str">
        <f t="array" ref="J1539">XLOOKUP(B1539,Roster!L:L,Roster!P:P,XLOOKUP(D1539,TicketsBreak!A:A,TicketsBreak!G:G,"",0),0)</f>
        <v/>
      </c>
      <c r="K1539" s="310">
        <f t="shared" si="4"/>
        <v>46125</v>
      </c>
      <c r="L1539" s="317" t="str">
        <f t="array" ref="L1539">(XLOOKUP(D1539,Roster!F:F,Roster!D:D,"",0))</f>
        <v/>
      </c>
      <c r="M1539" s="317" t="str">
        <f t="array" ref="M1539">XLOOKUP(D1539,Roster!F:F,Roster!E:E)</f>
        <v>#N/A</v>
      </c>
      <c r="N1539" s="317" t="str">
        <f t="shared" ref="N1539:P1539" si="1563">LEFT(H1539,5)</f>
        <v/>
      </c>
      <c r="O1539" s="317" t="str">
        <f t="shared" si="1563"/>
        <v/>
      </c>
      <c r="P1539" s="317" t="str">
        <f t="shared" si="1563"/>
        <v/>
      </c>
      <c r="Q1539" s="318" t="str">
        <f t="shared" si="1515"/>
        <v/>
      </c>
      <c r="R1539" s="318" t="str">
        <f t="shared" si="1516"/>
        <v/>
      </c>
      <c r="S1539" s="318" t="str">
        <f t="shared" si="8"/>
        <v/>
      </c>
    </row>
    <row r="1540">
      <c r="A1540" s="14" t="str">
        <f t="shared" si="1"/>
        <v>46125</v>
      </c>
      <c r="B1540" s="185" t="str">
        <f t="array" ref="B1540">IF(F1540="VL","",IF(F1540="Free","Free",XLOOKUP(D1540,Roster!T:T,Roster!S:S,"",0)))</f>
        <v/>
      </c>
      <c r="C1540" s="313">
        <v>46125.0</v>
      </c>
      <c r="D1540" s="314"/>
      <c r="E1540" s="307" t="str">
        <f t="array" ref="E1540">(XLOOKUP(D1540,Roster!F:F,Roster!B:B,"",0))</f>
        <v/>
      </c>
      <c r="F1540" s="315" t="str">
        <f t="array" ref="F1540">IF(B1540=100,"Free",TEXT(XLOOKUP($D1540,OperationVoice!$A:$A,OperationVoice!S:S,XLOOKUP($D1540,OperationTickets!$A:$A,OperationTickets!S:S,"",0)),"hh:mm"))</f>
        <v/>
      </c>
      <c r="G1540" s="309" t="str">
        <f t="shared" si="3"/>
        <v/>
      </c>
      <c r="H1540" s="316" t="str">
        <f t="array" ref="H1540">XLOOKUP(B1540,Roster!L:L,Roster!N:N,XLOOKUP(D1540,TicketsBreak!A:A,TicketsBreak!E:E,"",0),0)</f>
        <v/>
      </c>
      <c r="I1540" s="316" t="str">
        <f t="array" ref="I1540">XLOOKUP(B1540,Roster!L:L,Roster!O:O,XLOOKUP(D1540,TicketsBreak!A:A,TicketsBreak!F:F,"",0),0)</f>
        <v/>
      </c>
      <c r="J1540" s="316" t="str">
        <f t="array" ref="J1540">XLOOKUP(B1540,Roster!L:L,Roster!P:P,XLOOKUP(D1540,TicketsBreak!A:A,TicketsBreak!G:G,"",0),0)</f>
        <v/>
      </c>
      <c r="K1540" s="310">
        <f t="shared" si="4"/>
        <v>46125</v>
      </c>
      <c r="L1540" s="317" t="str">
        <f t="array" ref="L1540">(XLOOKUP(D1540,Roster!F:F,Roster!D:D,"",0))</f>
        <v/>
      </c>
      <c r="M1540" s="317" t="str">
        <f t="array" ref="M1540">XLOOKUP(D1540,Roster!F:F,Roster!E:E)</f>
        <v>#N/A</v>
      </c>
      <c r="N1540" s="317" t="str">
        <f t="shared" ref="N1540:P1540" si="1564">LEFT(H1540,5)</f>
        <v/>
      </c>
      <c r="O1540" s="317" t="str">
        <f t="shared" si="1564"/>
        <v/>
      </c>
      <c r="P1540" s="317" t="str">
        <f t="shared" si="1564"/>
        <v/>
      </c>
      <c r="Q1540" s="318" t="str">
        <f t="shared" si="1515"/>
        <v/>
      </c>
      <c r="R1540" s="318" t="str">
        <f t="shared" si="1516"/>
        <v/>
      </c>
      <c r="S1540" s="318" t="str">
        <f t="shared" si="8"/>
        <v/>
      </c>
    </row>
    <row r="1541">
      <c r="A1541" s="14" t="str">
        <f t="shared" si="1"/>
        <v>46125</v>
      </c>
      <c r="B1541" s="185" t="str">
        <f t="array" ref="B1541">IF(F1541="VL","",IF(F1541="Free","Free",XLOOKUP(D1541,Roster!T:T,Roster!S:S,"",0)))</f>
        <v/>
      </c>
      <c r="C1541" s="313">
        <v>46125.0</v>
      </c>
      <c r="D1541" s="314"/>
      <c r="E1541" s="307" t="str">
        <f t="array" ref="E1541">(XLOOKUP(D1541,Roster!F:F,Roster!B:B,"",0))</f>
        <v/>
      </c>
      <c r="F1541" s="315" t="str">
        <f t="array" ref="F1541">IF(B1541=100,"Free",TEXT(XLOOKUP($D1541,OperationVoice!$A:$A,OperationVoice!S:S,XLOOKUP($D1541,OperationTickets!$A:$A,OperationTickets!S:S,"",0)),"hh:mm"))</f>
        <v/>
      </c>
      <c r="G1541" s="309" t="str">
        <f t="shared" si="3"/>
        <v/>
      </c>
      <c r="H1541" s="316" t="str">
        <f t="array" ref="H1541">XLOOKUP(B1541,Roster!L:L,Roster!N:N,XLOOKUP(D1541,TicketsBreak!A:A,TicketsBreak!E:E,"",0),0)</f>
        <v/>
      </c>
      <c r="I1541" s="316" t="str">
        <f t="array" ref="I1541">XLOOKUP(B1541,Roster!L:L,Roster!O:O,XLOOKUP(D1541,TicketsBreak!A:A,TicketsBreak!F:F,"",0),0)</f>
        <v/>
      </c>
      <c r="J1541" s="316" t="str">
        <f t="array" ref="J1541">XLOOKUP(B1541,Roster!L:L,Roster!P:P,XLOOKUP(D1541,TicketsBreak!A:A,TicketsBreak!G:G,"",0),0)</f>
        <v/>
      </c>
      <c r="K1541" s="310">
        <f t="shared" si="4"/>
        <v>46125</v>
      </c>
      <c r="L1541" s="317" t="str">
        <f t="array" ref="L1541">(XLOOKUP(D1541,Roster!F:F,Roster!D:D,"",0))</f>
        <v/>
      </c>
      <c r="M1541" s="317" t="str">
        <f t="array" ref="M1541">XLOOKUP(D1541,Roster!F:F,Roster!E:E)</f>
        <v>#N/A</v>
      </c>
      <c r="N1541" s="317" t="str">
        <f t="shared" ref="N1541:P1541" si="1565">LEFT(H1541,5)</f>
        <v/>
      </c>
      <c r="O1541" s="317" t="str">
        <f t="shared" si="1565"/>
        <v/>
      </c>
      <c r="P1541" s="317" t="str">
        <f t="shared" si="1565"/>
        <v/>
      </c>
      <c r="Q1541" s="318" t="str">
        <f t="shared" si="1515"/>
        <v/>
      </c>
      <c r="R1541" s="318" t="str">
        <f t="shared" si="1516"/>
        <v/>
      </c>
      <c r="S1541" s="318" t="str">
        <f t="shared" si="8"/>
        <v/>
      </c>
    </row>
    <row r="1542">
      <c r="A1542" s="14" t="str">
        <f t="shared" si="1"/>
        <v>C81846126</v>
      </c>
      <c r="B1542" s="185">
        <f t="array" ref="B1542">IF(F1542="VL","",IF(F1542="Free","Free",XLOOKUP(D1542,Roster!T:T,Roster!S:S,"",0)))</f>
        <v>123</v>
      </c>
      <c r="C1542" s="313">
        <v>46126.0</v>
      </c>
      <c r="D1542" s="314" t="s">
        <v>9</v>
      </c>
      <c r="E1542" s="307" t="str">
        <f t="array" ref="E1542">(XLOOKUP(D1542,Roster!F:F,Roster!B:B,"",0))</f>
        <v>Adriana Moncaleano</v>
      </c>
      <c r="F1542" s="315" t="str">
        <f t="array" ref="F1542">IF(B1542=100,"Free",TEXT(XLOOKUP($D1542,OperationVoice!$A:$A,OperationVoice!T:T,XLOOKUP($D1542,OperationTickets!$A:$A,OperationTickets!T:T,"",0)),"hh:mm"))</f>
        <v>08:00</v>
      </c>
      <c r="G1542" s="309">
        <f t="shared" si="3"/>
        <v>0.7083333333</v>
      </c>
      <c r="H1542" s="316" t="str">
        <f t="array" ref="H1542">XLOOKUP(B1542,Roster!L:L,Roster!N:N,XLOOKUP(D1542,TicketsBreak!A:A,TicketsBreak!E:E,"",0),0)</f>
        <v>09:45 - 10:00 </v>
      </c>
      <c r="I1542" s="316" t="str">
        <f t="array" ref="I1542">XLOOKUP(B1542,Roster!L:L,Roster!O:O,XLOOKUP(D1542,TicketsBreak!A:A,TicketsBreak!F:F,"",0),0)</f>
        <v>12:30 - 13:00</v>
      </c>
      <c r="J1542" s="316" t="str">
        <f t="array" ref="J1542">XLOOKUP(B1542,Roster!L:L,Roster!P:P,XLOOKUP(D1542,TicketsBreak!A:A,TicketsBreak!G:G,"",0),0)</f>
        <v>15:00 - 15:15</v>
      </c>
      <c r="K1542" s="310">
        <f t="shared" si="4"/>
        <v>46126</v>
      </c>
      <c r="L1542" s="317">
        <f t="array" ref="L1542">(XLOOKUP(D1542,Roster!F:F,Roster!D:D,"",0))</f>
        <v>23</v>
      </c>
      <c r="M1542" s="317" t="str">
        <f t="array" ref="M1542">XLOOKUP(D1542,Roster!F:F,Roster!E:E)</f>
        <v>Voice</v>
      </c>
      <c r="N1542" s="317" t="str">
        <f t="shared" ref="N1542:P1542" si="1566">LEFT(H1542,5)</f>
        <v>09:45</v>
      </c>
      <c r="O1542" s="317" t="str">
        <f t="shared" si="1566"/>
        <v>12:30</v>
      </c>
      <c r="P1542" s="317" t="str">
        <f t="shared" si="1566"/>
        <v>15:00</v>
      </c>
      <c r="Q1542" s="318">
        <f t="shared" si="1515"/>
        <v>46126.40625</v>
      </c>
      <c r="R1542" s="318">
        <f t="shared" si="1516"/>
        <v>46126.52083</v>
      </c>
      <c r="S1542" s="318">
        <f t="shared" si="8"/>
        <v>46126.625</v>
      </c>
    </row>
    <row r="1543">
      <c r="A1543" s="14" t="str">
        <f t="shared" si="1"/>
        <v>C110746126</v>
      </c>
      <c r="B1543" s="185">
        <f t="array" ref="B1543">IF(F1543="VL","",IF(F1543="Free","Free",XLOOKUP(D1543,Roster!T:T,Roster!S:S,"",0)))</f>
        <v>153</v>
      </c>
      <c r="C1543" s="313">
        <v>46126.0</v>
      </c>
      <c r="D1543" s="314" t="s">
        <v>10</v>
      </c>
      <c r="E1543" s="307" t="str">
        <f t="array" ref="E1543">(XLOOKUP(D1543,Roster!F:F,Roster!B:B,"",0))</f>
        <v>Alejandro Malave</v>
      </c>
      <c r="F1543" s="315" t="str">
        <f t="array" ref="F1543">IF(B1543=100,"Free",TEXT(XLOOKUP($D1543,OperationVoice!$A:$A,OperationVoice!T:T,XLOOKUP($D1543,OperationTickets!$A:$A,OperationTickets!T:T,"",0)),"hh:mm"))</f>
        <v>11:00</v>
      </c>
      <c r="G1543" s="309">
        <f t="shared" si="3"/>
        <v>0.8333333333</v>
      </c>
      <c r="H1543" s="316" t="str">
        <f t="array" ref="H1543">XLOOKUP(B1543,Roster!L:L,Roster!N:N,XLOOKUP(D1543,TicketsBreak!A:A,TicketsBreak!E:E,"",0),0)</f>
        <v>12:45 - 13:00</v>
      </c>
      <c r="I1543" s="316" t="str">
        <f t="array" ref="I1543">XLOOKUP(B1543,Roster!L:L,Roster!O:O,XLOOKUP(D1543,TicketsBreak!A:A,TicketsBreak!F:F,"",0),0)</f>
        <v>15:00 - 15:30</v>
      </c>
      <c r="J1543" s="316" t="str">
        <f t="array" ref="J1543">XLOOKUP(B1543,Roster!L:L,Roster!P:P,XLOOKUP(D1543,TicketsBreak!A:A,TicketsBreak!G:G,"",0),0)</f>
        <v>17:45 - 18:00</v>
      </c>
      <c r="K1543" s="310">
        <f t="shared" si="4"/>
        <v>46126</v>
      </c>
      <c r="L1543" s="317">
        <f t="array" ref="L1543">(XLOOKUP(D1543,Roster!F:F,Roster!D:D,"",0))</f>
        <v>36</v>
      </c>
      <c r="M1543" s="317" t="str">
        <f t="array" ref="M1543">XLOOKUP(D1543,Roster!F:F,Roster!E:E)</f>
        <v>Voice</v>
      </c>
      <c r="N1543" s="317" t="str">
        <f t="shared" ref="N1543:P1543" si="1567">LEFT(H1543,5)</f>
        <v>12:45</v>
      </c>
      <c r="O1543" s="317" t="str">
        <f t="shared" si="1567"/>
        <v>15:00</v>
      </c>
      <c r="P1543" s="317" t="str">
        <f t="shared" si="1567"/>
        <v>17:45</v>
      </c>
      <c r="Q1543" s="318">
        <f t="shared" si="1515"/>
        <v>46126.53125</v>
      </c>
      <c r="R1543" s="318">
        <f t="shared" si="1516"/>
        <v>46126.625</v>
      </c>
      <c r="S1543" s="318">
        <f t="shared" si="8"/>
        <v>46126.73958</v>
      </c>
    </row>
    <row r="1544">
      <c r="A1544" s="14" t="str">
        <f t="shared" si="1"/>
        <v>C69946126</v>
      </c>
      <c r="B1544" s="185" t="str">
        <f t="array" ref="B1544">IF(F1544="VL","",IF(F1544="Free","Free",XLOOKUP(D1544,Roster!T:T,Roster!S:S,"",0)))</f>
        <v/>
      </c>
      <c r="C1544" s="313">
        <v>46126.0</v>
      </c>
      <c r="D1544" s="314" t="s">
        <v>137</v>
      </c>
      <c r="E1544" s="307" t="str">
        <f t="array" ref="E1544">(XLOOKUP(D1544,Roster!F:F,Roster!B:B,"",0))</f>
        <v>Alexa Arenas</v>
      </c>
      <c r="F1544" s="315" t="str">
        <f t="array" ref="F1544">IF(B1544=100,"Free",TEXT(XLOOKUP($D1544,OperationVoice!$A:$A,OperationVoice!T:T,XLOOKUP($D1544,OperationTickets!$A:$A,OperationTickets!T:T,"",0)),"hh:mm"))</f>
        <v>08:00</v>
      </c>
      <c r="G1544" s="309">
        <f t="shared" si="3"/>
        <v>0.7083333333</v>
      </c>
      <c r="H1544" s="316">
        <f t="array" ref="H1544">XLOOKUP(B1544,Roster!L:L,Roster!N:N,XLOOKUP(D1544,TicketsBreak!A:A,TicketsBreak!E:E,"",0),0)</f>
        <v>0.40625</v>
      </c>
      <c r="I1544" s="316">
        <f t="array" ref="I1544">XLOOKUP(B1544,Roster!L:L,Roster!O:O,XLOOKUP(D1544,TicketsBreak!A:A,TicketsBreak!F:F,"",0),0)</f>
        <v>0.5</v>
      </c>
      <c r="J1544" s="316">
        <f t="array" ref="J1544">XLOOKUP(B1544,Roster!L:L,Roster!P:P,XLOOKUP(D1544,TicketsBreak!A:A,TicketsBreak!G:G,"",0),0)</f>
        <v>0.65625</v>
      </c>
      <c r="K1544" s="310">
        <f t="shared" si="4"/>
        <v>46126</v>
      </c>
      <c r="L1544" s="317">
        <f t="array" ref="L1544">(XLOOKUP(D1544,Roster!F:F,Roster!D:D,"",0))</f>
        <v>5</v>
      </c>
      <c r="M1544" s="317" t="str">
        <f t="array" ref="M1544">XLOOKUP(D1544,Roster!F:F,Roster!E:E)</f>
        <v>Tickets</v>
      </c>
      <c r="N1544" s="317" t="str">
        <f t="shared" ref="N1544:P1544" si="1568">LEFT(H1544,5)</f>
        <v>09:45</v>
      </c>
      <c r="O1544" s="317" t="str">
        <f t="shared" si="1568"/>
        <v>12:00</v>
      </c>
      <c r="P1544" s="317" t="str">
        <f t="shared" si="1568"/>
        <v>15:45</v>
      </c>
      <c r="Q1544" s="318">
        <f t="shared" si="1515"/>
        <v>46126.40625</v>
      </c>
      <c r="R1544" s="318">
        <f t="shared" si="1516"/>
        <v>46126.5</v>
      </c>
      <c r="S1544" s="318">
        <f t="shared" si="8"/>
        <v>46126.65625</v>
      </c>
    </row>
    <row r="1545">
      <c r="A1545" s="14" t="str">
        <f t="shared" si="1"/>
        <v>C157046126</v>
      </c>
      <c r="B1545" s="185">
        <f t="array" ref="B1545">IF(F1545="VL","",IF(F1545="Free","Free",XLOOKUP(D1545,Roster!T:T,Roster!S:S,"",0)))</f>
        <v>123</v>
      </c>
      <c r="C1545" s="313">
        <v>46126.0</v>
      </c>
      <c r="D1545" s="314" t="s">
        <v>11</v>
      </c>
      <c r="E1545" s="307" t="str">
        <f t="array" ref="E1545">(XLOOKUP(D1545,Roster!F:F,Roster!B:B,"",0))</f>
        <v>Alexander Bartoli</v>
      </c>
      <c r="F1545" s="315" t="str">
        <f t="array" ref="F1545">IF(B1545=100,"Free",TEXT(XLOOKUP($D1545,OperationVoice!$A:$A,OperationVoice!T:T,XLOOKUP($D1545,OperationTickets!$A:$A,OperationTickets!T:T,"",0)),"hh:mm"))</f>
        <v>08:00</v>
      </c>
      <c r="G1545" s="309">
        <f t="shared" si="3"/>
        <v>0.7083333333</v>
      </c>
      <c r="H1545" s="316" t="str">
        <f t="array" ref="H1545">XLOOKUP(B1545,Roster!L:L,Roster!N:N,XLOOKUP(D1545,TicketsBreak!A:A,TicketsBreak!E:E,"",0),0)</f>
        <v>09:45 - 10:00 </v>
      </c>
      <c r="I1545" s="316" t="str">
        <f t="array" ref="I1545">XLOOKUP(B1545,Roster!L:L,Roster!O:O,XLOOKUP(D1545,TicketsBreak!A:A,TicketsBreak!F:F,"",0),0)</f>
        <v>12:30 - 13:00</v>
      </c>
      <c r="J1545" s="316" t="str">
        <f t="array" ref="J1545">XLOOKUP(B1545,Roster!L:L,Roster!P:P,XLOOKUP(D1545,TicketsBreak!A:A,TicketsBreak!G:G,"",0),0)</f>
        <v>15:00 - 15:15</v>
      </c>
      <c r="K1545" s="310">
        <f t="shared" si="4"/>
        <v>46126</v>
      </c>
      <c r="L1545" s="317">
        <f t="array" ref="L1545">(XLOOKUP(D1545,Roster!F:F,Roster!D:D,"",0))</f>
        <v>38</v>
      </c>
      <c r="M1545" s="317" t="str">
        <f t="array" ref="M1545">XLOOKUP(D1545,Roster!F:F,Roster!E:E)</f>
        <v>Voice</v>
      </c>
      <c r="N1545" s="317" t="str">
        <f t="shared" ref="N1545:P1545" si="1569">LEFT(H1545,5)</f>
        <v>09:45</v>
      </c>
      <c r="O1545" s="317" t="str">
        <f t="shared" si="1569"/>
        <v>12:30</v>
      </c>
      <c r="P1545" s="317" t="str">
        <f t="shared" si="1569"/>
        <v>15:00</v>
      </c>
      <c r="Q1545" s="318">
        <f t="shared" si="1515"/>
        <v>46126.40625</v>
      </c>
      <c r="R1545" s="318">
        <f t="shared" si="1516"/>
        <v>46126.52083</v>
      </c>
      <c r="S1545" s="318">
        <f t="shared" si="8"/>
        <v>46126.625</v>
      </c>
    </row>
    <row r="1546">
      <c r="A1546" s="14" t="str">
        <f t="shared" si="1"/>
        <v>C93546126</v>
      </c>
      <c r="B1546" s="185" t="str">
        <f t="array" ref="B1546">IF(F1546="VL","",IF(F1546="Free","Free",XLOOKUP(D1546,Roster!T:T,Roster!S:S,"",0)))</f>
        <v/>
      </c>
      <c r="C1546" s="313">
        <v>46126.0</v>
      </c>
      <c r="D1546" s="314" t="s">
        <v>153</v>
      </c>
      <c r="E1546" s="307" t="str">
        <f t="array" ref="E1546">(XLOOKUP(D1546,Roster!F:F,Roster!B:B,"",0))</f>
        <v>Alexis Arias</v>
      </c>
      <c r="F1546" s="315" t="str">
        <f t="array" ref="F1546">IF(B1546=100,"Free",TEXT(XLOOKUP($D1546,OperationVoice!$A:$A,OperationVoice!T:T,XLOOKUP($D1546,OperationTickets!$A:$A,OperationTickets!T:T,"",0)),"hh:mm"))</f>
        <v>07:30</v>
      </c>
      <c r="G1546" s="309">
        <f t="shared" si="3"/>
        <v>0.6875</v>
      </c>
      <c r="H1546" s="316">
        <f t="array" ref="H1546">XLOOKUP(B1546,Roster!L:L,Roster!N:N,XLOOKUP(D1546,TicketsBreak!A:A,TicketsBreak!E:E,"",0),0)</f>
        <v>0.4270833333</v>
      </c>
      <c r="I1546" s="316">
        <f t="array" ref="I1546">XLOOKUP(B1546,Roster!L:L,Roster!O:O,XLOOKUP(D1546,TicketsBreak!A:A,TicketsBreak!F:F,"",0),0)</f>
        <v>0.53125</v>
      </c>
      <c r="J1546" s="316">
        <f t="array" ref="J1546">XLOOKUP(B1546,Roster!L:L,Roster!P:P,XLOOKUP(D1546,TicketsBreak!A:A,TicketsBreak!G:G,"",0),0)</f>
        <v>0.6458333333</v>
      </c>
      <c r="K1546" s="310">
        <f t="shared" si="4"/>
        <v>46126</v>
      </c>
      <c r="L1546" s="317">
        <f t="array" ref="L1546">(XLOOKUP(D1546,Roster!F:F,Roster!D:D,"",0))</f>
        <v>12</v>
      </c>
      <c r="M1546" s="317" t="str">
        <f t="array" ref="M1546">XLOOKUP(D1546,Roster!F:F,Roster!E:E)</f>
        <v>Tickets</v>
      </c>
      <c r="N1546" s="317" t="str">
        <f t="shared" ref="N1546:P1546" si="1570">LEFT(H1546,5)</f>
        <v>10:15</v>
      </c>
      <c r="O1546" s="317" t="str">
        <f t="shared" si="1570"/>
        <v>12:45</v>
      </c>
      <c r="P1546" s="317" t="str">
        <f t="shared" si="1570"/>
        <v>15:30</v>
      </c>
      <c r="Q1546" s="318">
        <f t="shared" si="1515"/>
        <v>46126.42708</v>
      </c>
      <c r="R1546" s="318">
        <f t="shared" si="1516"/>
        <v>46126.53125</v>
      </c>
      <c r="S1546" s="318">
        <f t="shared" si="8"/>
        <v>46126.64583</v>
      </c>
    </row>
    <row r="1547">
      <c r="A1547" s="14" t="str">
        <f t="shared" si="1"/>
        <v>C72746126</v>
      </c>
      <c r="B1547" s="185" t="str">
        <f t="array" ref="B1547">IF(F1547="VL","",IF(F1547="Free","Free",XLOOKUP(D1547,Roster!T:T,Roster!S:S,"",0)))</f>
        <v/>
      </c>
      <c r="C1547" s="313">
        <v>46126.0</v>
      </c>
      <c r="D1547" s="314" t="s">
        <v>154</v>
      </c>
      <c r="E1547" s="307" t="str">
        <f t="array" ref="E1547">(XLOOKUP(D1547,Roster!F:F,Roster!B:B,"",0))</f>
        <v>Ana Moreno</v>
      </c>
      <c r="F1547" s="315" t="str">
        <f t="array" ref="F1547">IF(B1547=100,"Free",TEXT(XLOOKUP($D1547,OperationVoice!$A:$A,OperationVoice!T:T,XLOOKUP($D1547,OperationTickets!$A:$A,OperationTickets!T:T,"",0)),"hh:mm"))</f>
        <v>08:00</v>
      </c>
      <c r="G1547" s="309">
        <f t="shared" si="3"/>
        <v>0.7083333333</v>
      </c>
      <c r="H1547" s="316">
        <f t="array" ref="H1547">XLOOKUP(B1547,Roster!L:L,Roster!N:N,XLOOKUP(D1547,TicketsBreak!A:A,TicketsBreak!E:E,"",0),0)</f>
        <v>0.4166666667</v>
      </c>
      <c r="I1547" s="316">
        <f t="array" ref="I1547">XLOOKUP(B1547,Roster!L:L,Roster!O:O,XLOOKUP(D1547,TicketsBreak!A:A,TicketsBreak!F:F,"",0),0)</f>
        <v>0.5208333333</v>
      </c>
      <c r="J1547" s="316">
        <f t="array" ref="J1547">XLOOKUP(B1547,Roster!L:L,Roster!P:P,XLOOKUP(D1547,TicketsBreak!A:A,TicketsBreak!G:G,"",0),0)</f>
        <v>0.65625</v>
      </c>
      <c r="K1547" s="310">
        <f t="shared" si="4"/>
        <v>46126</v>
      </c>
      <c r="L1547" s="317">
        <f t="array" ref="L1547">(XLOOKUP(D1547,Roster!F:F,Roster!D:D,"",0))</f>
        <v>7</v>
      </c>
      <c r="M1547" s="317" t="str">
        <f t="array" ref="M1547">XLOOKUP(D1547,Roster!F:F,Roster!E:E)</f>
        <v>Tickets</v>
      </c>
      <c r="N1547" s="317" t="str">
        <f t="shared" ref="N1547:P1547" si="1571">LEFT(H1547,5)</f>
        <v>10:00</v>
      </c>
      <c r="O1547" s="317" t="str">
        <f t="shared" si="1571"/>
        <v>12:30</v>
      </c>
      <c r="P1547" s="317" t="str">
        <f t="shared" si="1571"/>
        <v>15:45</v>
      </c>
      <c r="Q1547" s="318">
        <f t="shared" si="1515"/>
        <v>46126.41667</v>
      </c>
      <c r="R1547" s="318">
        <f t="shared" si="1516"/>
        <v>46126.52083</v>
      </c>
      <c r="S1547" s="318">
        <f t="shared" si="8"/>
        <v>46126.65625</v>
      </c>
    </row>
    <row r="1548">
      <c r="A1548" s="14" t="str">
        <f t="shared" si="1"/>
        <v>C157446126</v>
      </c>
      <c r="B1548" s="185">
        <f t="array" ref="B1548">IF(F1548="VL","",IF(F1548="Free","Free",XLOOKUP(D1548,Roster!T:T,Roster!S:S,"",0)))</f>
        <v>124</v>
      </c>
      <c r="C1548" s="313">
        <v>46126.0</v>
      </c>
      <c r="D1548" s="314" t="s">
        <v>12</v>
      </c>
      <c r="E1548" s="307" t="str">
        <f t="array" ref="E1548">(XLOOKUP(D1548,Roster!F:F,Roster!B:B,"",0))</f>
        <v>Ana Quintero</v>
      </c>
      <c r="F1548" s="315" t="str">
        <f t="array" ref="F1548">IF(B1548=100,"Free",TEXT(XLOOKUP($D1548,OperationVoice!$A:$A,OperationVoice!T:T,XLOOKUP($D1548,OperationTickets!$A:$A,OperationTickets!T:T,"",0)),"hh:mm"))</f>
        <v>08:00</v>
      </c>
      <c r="G1548" s="309">
        <f t="shared" si="3"/>
        <v>0.7083333333</v>
      </c>
      <c r="H1548" s="316" t="str">
        <f t="array" ref="H1548">XLOOKUP(B1548,Roster!L:L,Roster!N:N,XLOOKUP(D1548,TicketsBreak!A:A,TicketsBreak!E:E,"",0),0)</f>
        <v>10:00 - 10:15</v>
      </c>
      <c r="I1548" s="316" t="str">
        <f t="array" ref="I1548">XLOOKUP(B1548,Roster!L:L,Roster!O:O,XLOOKUP(D1548,TicketsBreak!A:A,TicketsBreak!F:F,"",0),0)</f>
        <v>13:00 - 13:30</v>
      </c>
      <c r="J1548" s="316" t="str">
        <f t="array" ref="J1548">XLOOKUP(B1548,Roster!L:L,Roster!P:P,XLOOKUP(D1548,TicketsBreak!A:A,TicketsBreak!G:G,"",0),0)</f>
        <v>15:30 - 15:45</v>
      </c>
      <c r="K1548" s="310">
        <f t="shared" si="4"/>
        <v>46126</v>
      </c>
      <c r="L1548" s="317">
        <f t="array" ref="L1548">(XLOOKUP(D1548,Roster!F:F,Roster!D:D,"",0))</f>
        <v>38</v>
      </c>
      <c r="M1548" s="317" t="str">
        <f t="array" ref="M1548">XLOOKUP(D1548,Roster!F:F,Roster!E:E)</f>
        <v>Voice</v>
      </c>
      <c r="N1548" s="317" t="str">
        <f t="shared" ref="N1548:P1548" si="1572">LEFT(H1548,5)</f>
        <v>10:00</v>
      </c>
      <c r="O1548" s="317" t="str">
        <f t="shared" si="1572"/>
        <v>13:00</v>
      </c>
      <c r="P1548" s="317" t="str">
        <f t="shared" si="1572"/>
        <v>15:30</v>
      </c>
      <c r="Q1548" s="318">
        <f t="shared" si="1515"/>
        <v>46126.41667</v>
      </c>
      <c r="R1548" s="318">
        <f t="shared" si="1516"/>
        <v>46126.54167</v>
      </c>
      <c r="S1548" s="318">
        <f t="shared" si="8"/>
        <v>46126.64583</v>
      </c>
    </row>
    <row r="1549">
      <c r="A1549" s="14" t="str">
        <f t="shared" si="1"/>
        <v>C46946126</v>
      </c>
      <c r="B1549" s="185" t="str">
        <f t="array" ref="B1549">IF(F1549="VL","",IF(F1549="Free","Free",XLOOKUP(D1549,Roster!T:T,Roster!S:S,"",0)))</f>
        <v/>
      </c>
      <c r="C1549" s="313">
        <v>46126.0</v>
      </c>
      <c r="D1549" s="314" t="s">
        <v>171</v>
      </c>
      <c r="E1549" s="307" t="str">
        <f t="array" ref="E1549">(XLOOKUP(D1549,Roster!F:F,Roster!B:B,"",0))</f>
        <v>Ana Ruiz</v>
      </c>
      <c r="F1549" s="315" t="str">
        <f t="array" ref="F1549">IF(B1549=100,"Free",TEXT(XLOOKUP($D1549,OperationVoice!$A:$A,OperationVoice!T:T,XLOOKUP($D1549,OperationTickets!$A:$A,OperationTickets!T:T,"",0)),"hh:mm"))</f>
        <v>08:00</v>
      </c>
      <c r="G1549" s="309">
        <f t="shared" si="3"/>
        <v>0.7083333333</v>
      </c>
      <c r="H1549" s="316">
        <f t="array" ref="H1549">XLOOKUP(B1549,Roster!L:L,Roster!N:N,XLOOKUP(D1549,TicketsBreak!A:A,TicketsBreak!E:E,"",0),0)</f>
        <v>0.3854166667</v>
      </c>
      <c r="I1549" s="316">
        <f t="array" ref="I1549">XLOOKUP(B1549,Roster!L:L,Roster!O:O,XLOOKUP(D1549,TicketsBreak!A:A,TicketsBreak!F:F,"",0),0)</f>
        <v>0.5</v>
      </c>
      <c r="J1549" s="316">
        <f t="array" ref="J1549">XLOOKUP(B1549,Roster!L:L,Roster!P:P,XLOOKUP(D1549,TicketsBreak!A:A,TicketsBreak!G:G,"",0),0)</f>
        <v>0.6041666667</v>
      </c>
      <c r="K1549" s="310">
        <f t="shared" si="4"/>
        <v>46126</v>
      </c>
      <c r="L1549" s="317">
        <f t="array" ref="L1549">(XLOOKUP(D1549,Roster!F:F,Roster!D:D,"",0))</f>
        <v>3</v>
      </c>
      <c r="M1549" s="317" t="str">
        <f t="array" ref="M1549">XLOOKUP(D1549,Roster!F:F,Roster!E:E)</f>
        <v>Tickets</v>
      </c>
      <c r="N1549" s="317" t="str">
        <f t="shared" ref="N1549:P1549" si="1573">LEFT(H1549,5)</f>
        <v>09:15</v>
      </c>
      <c r="O1549" s="317" t="str">
        <f t="shared" si="1573"/>
        <v>12:00</v>
      </c>
      <c r="P1549" s="317" t="str">
        <f t="shared" si="1573"/>
        <v>14:30</v>
      </c>
      <c r="Q1549" s="318">
        <f t="shared" si="1515"/>
        <v>46126.38542</v>
      </c>
      <c r="R1549" s="318">
        <f t="shared" si="1516"/>
        <v>46126.5</v>
      </c>
      <c r="S1549" s="318">
        <f t="shared" si="8"/>
        <v>46126.60417</v>
      </c>
    </row>
    <row r="1550">
      <c r="A1550" s="14" t="str">
        <f t="shared" si="1"/>
        <v>C155446126</v>
      </c>
      <c r="B1550" s="185">
        <f t="array" ref="B1550">IF(F1550="VL","",IF(F1550="Free","Free",XLOOKUP(D1550,Roster!T:T,Roster!S:S,"",0)))</f>
        <v>131</v>
      </c>
      <c r="C1550" s="313">
        <v>46126.0</v>
      </c>
      <c r="D1550" s="314" t="s">
        <v>13</v>
      </c>
      <c r="E1550" s="307" t="str">
        <f t="array" ref="E1550">(XLOOKUP(D1550,Roster!F:F,Roster!B:B,"",0))</f>
        <v>Andres Lopez</v>
      </c>
      <c r="F1550" s="315" t="str">
        <f t="array" ref="F1550">IF(B1550=100,"Free",TEXT(XLOOKUP($D1550,OperationVoice!$A:$A,OperationVoice!T:T,XLOOKUP($D1550,OperationTickets!$A:$A,OperationTickets!T:T,"",0)),"hh:mm"))</f>
        <v>09:00</v>
      </c>
      <c r="G1550" s="309">
        <f t="shared" si="3"/>
        <v>0.75</v>
      </c>
      <c r="H1550" s="316" t="str">
        <f t="array" ref="H1550">XLOOKUP(B1550,Roster!L:L,Roster!N:N,XLOOKUP(D1550,TicketsBreak!A:A,TicketsBreak!E:E,"",0),0)</f>
        <v>10:15 - 10:30</v>
      </c>
      <c r="I1550" s="316" t="str">
        <f t="array" ref="I1550">XLOOKUP(B1550,Roster!L:L,Roster!O:O,XLOOKUP(D1550,TicketsBreak!A:A,TicketsBreak!F:F,"",0),0)</f>
        <v>12:30 - 13:00</v>
      </c>
      <c r="J1550" s="316" t="str">
        <f t="array" ref="J1550">XLOOKUP(B1550,Roster!L:L,Roster!P:P,XLOOKUP(D1550,TicketsBreak!A:A,TicketsBreak!G:G,"",0),0)</f>
        <v>15:15 - 15:30</v>
      </c>
      <c r="K1550" s="310">
        <f t="shared" si="4"/>
        <v>46126</v>
      </c>
      <c r="L1550" s="317">
        <f t="array" ref="L1550">(XLOOKUP(D1550,Roster!F:F,Roster!D:D,"",0))</f>
        <v>37</v>
      </c>
      <c r="M1550" s="317" t="str">
        <f t="array" ref="M1550">XLOOKUP(D1550,Roster!F:F,Roster!E:E)</f>
        <v>Voice</v>
      </c>
      <c r="N1550" s="317" t="str">
        <f t="shared" ref="N1550:P1550" si="1574">LEFT(H1550,5)</f>
        <v>10:15</v>
      </c>
      <c r="O1550" s="317" t="str">
        <f t="shared" si="1574"/>
        <v>12:30</v>
      </c>
      <c r="P1550" s="317" t="str">
        <f t="shared" si="1574"/>
        <v>15:15</v>
      </c>
      <c r="Q1550" s="318">
        <f t="shared" si="1515"/>
        <v>46126.42708</v>
      </c>
      <c r="R1550" s="318">
        <f t="shared" si="1516"/>
        <v>46126.52083</v>
      </c>
      <c r="S1550" s="318">
        <f t="shared" si="8"/>
        <v>46126.63542</v>
      </c>
    </row>
    <row r="1551">
      <c r="A1551" s="14" t="str">
        <f t="shared" si="1"/>
        <v>C156746126</v>
      </c>
      <c r="B1551" s="185">
        <f t="array" ref="B1551">IF(F1551="VL","",IF(F1551="Free","Free",XLOOKUP(D1551,Roster!T:T,Roster!S:S,"",0)))</f>
        <v>125</v>
      </c>
      <c r="C1551" s="313">
        <v>46126.0</v>
      </c>
      <c r="D1551" s="314" t="s">
        <v>14</v>
      </c>
      <c r="E1551" s="307" t="str">
        <f t="array" ref="E1551">(XLOOKUP(D1551,Roster!F:F,Roster!B:B,"",0))</f>
        <v>Andres Salazar</v>
      </c>
      <c r="F1551" s="315" t="str">
        <f t="array" ref="F1551">IF(B1551=100,"Free",TEXT(XLOOKUP($D1551,OperationVoice!$A:$A,OperationVoice!T:T,XLOOKUP($D1551,OperationTickets!$A:$A,OperationTickets!T:T,"",0)),"hh:mm"))</f>
        <v>08:00</v>
      </c>
      <c r="G1551" s="309">
        <f t="shared" si="3"/>
        <v>0.7083333333</v>
      </c>
      <c r="H1551" s="316" t="str">
        <f t="array" ref="H1551">XLOOKUP(B1551,Roster!L:L,Roster!N:N,XLOOKUP(D1551,TicketsBreak!A:A,TicketsBreak!E:E,"",0),0)</f>
        <v>10:30 - 10:45</v>
      </c>
      <c r="I1551" s="316" t="str">
        <f t="array" ref="I1551">XLOOKUP(B1551,Roster!L:L,Roster!O:O,XLOOKUP(D1551,TicketsBreak!A:A,TicketsBreak!F:F,"",0),0)</f>
        <v>13:30 - 14:00</v>
      </c>
      <c r="J1551" s="316" t="str">
        <f t="array" ref="J1551">XLOOKUP(B1551,Roster!L:L,Roster!P:P,XLOOKUP(D1551,TicketsBreak!A:A,TicketsBreak!G:G,"",0),0)</f>
        <v>15:45 - 16:00</v>
      </c>
      <c r="K1551" s="310">
        <f t="shared" si="4"/>
        <v>46126</v>
      </c>
      <c r="L1551" s="317">
        <f t="array" ref="L1551">(XLOOKUP(D1551,Roster!F:F,Roster!D:D,"",0))</f>
        <v>38</v>
      </c>
      <c r="M1551" s="317" t="str">
        <f t="array" ref="M1551">XLOOKUP(D1551,Roster!F:F,Roster!E:E)</f>
        <v>Voice</v>
      </c>
      <c r="N1551" s="317" t="str">
        <f t="shared" ref="N1551:P1551" si="1575">LEFT(H1551,5)</f>
        <v>10:30</v>
      </c>
      <c r="O1551" s="317" t="str">
        <f t="shared" si="1575"/>
        <v>13:30</v>
      </c>
      <c r="P1551" s="317" t="str">
        <f t="shared" si="1575"/>
        <v>15:45</v>
      </c>
      <c r="Q1551" s="318">
        <f t="shared" si="1515"/>
        <v>46126.4375</v>
      </c>
      <c r="R1551" s="318">
        <f t="shared" si="1516"/>
        <v>46126.5625</v>
      </c>
      <c r="S1551" s="318">
        <f t="shared" si="8"/>
        <v>46126.65625</v>
      </c>
    </row>
    <row r="1552">
      <c r="A1552" s="14" t="str">
        <f t="shared" si="1"/>
        <v>C134846126</v>
      </c>
      <c r="B1552" s="185">
        <f t="array" ref="B1552">IF(F1552="VL","",IF(F1552="Free","Free",XLOOKUP(D1552,Roster!T:T,Roster!S:S,"",0)))</f>
        <v>124</v>
      </c>
      <c r="C1552" s="313">
        <v>46126.0</v>
      </c>
      <c r="D1552" s="314" t="s">
        <v>15</v>
      </c>
      <c r="E1552" s="307" t="str">
        <f t="array" ref="E1552">(XLOOKUP(D1552,Roster!F:F,Roster!B:B,"",0))</f>
        <v>Angelo Zapata</v>
      </c>
      <c r="F1552" s="315" t="str">
        <f t="array" ref="F1552">IF(B1552=100,"Free",TEXT(XLOOKUP($D1552,OperationVoice!$A:$A,OperationVoice!T:T,XLOOKUP($D1552,OperationTickets!$A:$A,OperationTickets!T:T,"",0)),"hh:mm"))</f>
        <v>08:00</v>
      </c>
      <c r="G1552" s="309">
        <f t="shared" si="3"/>
        <v>0.7083333333</v>
      </c>
      <c r="H1552" s="316" t="str">
        <f t="array" ref="H1552">XLOOKUP(B1552,Roster!L:L,Roster!N:N,XLOOKUP(D1552,TicketsBreak!A:A,TicketsBreak!E:E,"",0),0)</f>
        <v>10:00 - 10:15</v>
      </c>
      <c r="I1552" s="316" t="str">
        <f t="array" ref="I1552">XLOOKUP(B1552,Roster!L:L,Roster!O:O,XLOOKUP(D1552,TicketsBreak!A:A,TicketsBreak!F:F,"",0),0)</f>
        <v>13:00 - 13:30</v>
      </c>
      <c r="J1552" s="316" t="str">
        <f t="array" ref="J1552">XLOOKUP(B1552,Roster!L:L,Roster!P:P,XLOOKUP(D1552,TicketsBreak!A:A,TicketsBreak!G:G,"",0),0)</f>
        <v>15:30 - 15:45</v>
      </c>
      <c r="K1552" s="310">
        <f t="shared" si="4"/>
        <v>46126</v>
      </c>
      <c r="L1552" s="317">
        <f t="array" ref="L1552">(XLOOKUP(D1552,Roster!F:F,Roster!D:D,"",0))</f>
        <v>30</v>
      </c>
      <c r="M1552" s="317" t="str">
        <f t="array" ref="M1552">XLOOKUP(D1552,Roster!F:F,Roster!E:E)</f>
        <v>Voice</v>
      </c>
      <c r="N1552" s="317" t="str">
        <f t="shared" ref="N1552:P1552" si="1576">LEFT(H1552,5)</f>
        <v>10:00</v>
      </c>
      <c r="O1552" s="317" t="str">
        <f t="shared" si="1576"/>
        <v>13:00</v>
      </c>
      <c r="P1552" s="317" t="str">
        <f t="shared" si="1576"/>
        <v>15:30</v>
      </c>
      <c r="Q1552" s="318">
        <f t="shared" si="1515"/>
        <v>46126.41667</v>
      </c>
      <c r="R1552" s="318">
        <f t="shared" si="1516"/>
        <v>46126.54167</v>
      </c>
      <c r="S1552" s="318">
        <f t="shared" si="8"/>
        <v>46126.64583</v>
      </c>
    </row>
    <row r="1553">
      <c r="A1553" s="14" t="str">
        <f t="shared" si="1"/>
        <v>C116746126</v>
      </c>
      <c r="B1553" s="185" t="str">
        <f t="array" ref="B1553">IF(F1553="VL","",IF(F1553="Free","Free",XLOOKUP(D1553,Roster!T:T,Roster!S:S,"",0)))</f>
        <v/>
      </c>
      <c r="C1553" s="313">
        <v>46126.0</v>
      </c>
      <c r="D1553" s="314" t="s">
        <v>172</v>
      </c>
      <c r="E1553" s="307" t="str">
        <f t="array" ref="E1553">(XLOOKUP(D1553,Roster!F:F,Roster!B:B,"",0))</f>
        <v>Angie Rua</v>
      </c>
      <c r="F1553" s="315" t="str">
        <f t="array" ref="F1553">IF(B1553=100,"Free",TEXT(XLOOKUP($D1553,OperationVoice!$A:$A,OperationVoice!T:T,XLOOKUP($D1553,OperationTickets!$A:$A,OperationTickets!T:T,"",0)),"hh:mm"))</f>
        <v>07:00</v>
      </c>
      <c r="G1553" s="309">
        <f t="shared" si="3"/>
        <v>0.6666666667</v>
      </c>
      <c r="H1553" s="316" t="str">
        <f t="array" ref="H1553">XLOOKUP(B1553,Roster!L:L,Roster!N:N,XLOOKUP(D1553,TicketsBreak!A:A,TicketsBreak!E:E,"",0),0)</f>
        <v/>
      </c>
      <c r="I1553" s="316" t="str">
        <f t="array" ref="I1553">XLOOKUP(B1553,Roster!L:L,Roster!O:O,XLOOKUP(D1553,TicketsBreak!A:A,TicketsBreak!F:F,"",0),0)</f>
        <v/>
      </c>
      <c r="J1553" s="316" t="str">
        <f t="array" ref="J1553">XLOOKUP(B1553,Roster!L:L,Roster!P:P,XLOOKUP(D1553,TicketsBreak!A:A,TicketsBreak!G:G,"",0),0)</f>
        <v/>
      </c>
      <c r="K1553" s="310">
        <f t="shared" si="4"/>
        <v>46126</v>
      </c>
      <c r="L1553" s="317">
        <f t="array" ref="L1553">(XLOOKUP(D1553,Roster!F:F,Roster!D:D,"",0))</f>
        <v>24</v>
      </c>
      <c r="M1553" s="317" t="str">
        <f t="array" ref="M1553">XLOOKUP(D1553,Roster!F:F,Roster!E:E)</f>
        <v>Tickets</v>
      </c>
      <c r="N1553" s="317" t="str">
        <f t="shared" ref="N1553:P1553" si="1577">LEFT(H1553,5)</f>
        <v/>
      </c>
      <c r="O1553" s="317" t="str">
        <f t="shared" si="1577"/>
        <v/>
      </c>
      <c r="P1553" s="317" t="str">
        <f t="shared" si="1577"/>
        <v/>
      </c>
      <c r="Q1553" s="318" t="str">
        <f t="shared" si="1515"/>
        <v/>
      </c>
      <c r="R1553" s="318" t="str">
        <f t="shared" si="1516"/>
        <v/>
      </c>
      <c r="S1553" s="318" t="str">
        <f t="shared" si="8"/>
        <v/>
      </c>
    </row>
    <row r="1554">
      <c r="A1554" s="14" t="str">
        <f t="shared" si="1"/>
        <v>C157946126</v>
      </c>
      <c r="B1554" s="185">
        <f t="array" ref="B1554">IF(F1554="VL","",IF(F1554="Free","Free",XLOOKUP(D1554,Roster!T:T,Roster!S:S,"",0)))</f>
        <v>126</v>
      </c>
      <c r="C1554" s="313">
        <v>46126.0</v>
      </c>
      <c r="D1554" s="314" t="s">
        <v>16</v>
      </c>
      <c r="E1554" s="307" t="str">
        <f t="array" ref="E1554">(XLOOKUP(D1554,Roster!F:F,Roster!B:B,"",0))</f>
        <v>Anibal Munoz</v>
      </c>
      <c r="F1554" s="315" t="str">
        <f t="array" ref="F1554">IF(B1554=100,"Free",TEXT(XLOOKUP($D1554,OperationVoice!$A:$A,OperationVoice!T:T,XLOOKUP($D1554,OperationTickets!$A:$A,OperationTickets!T:T,"",0)),"hh:mm"))</f>
        <v>08:00</v>
      </c>
      <c r="G1554" s="309">
        <f t="shared" si="3"/>
        <v>0.7083333333</v>
      </c>
      <c r="H1554" s="316" t="str">
        <f t="array" ref="H1554">XLOOKUP(B1554,Roster!L:L,Roster!N:N,XLOOKUP(D1554,TicketsBreak!A:A,TicketsBreak!E:E,"",0),0)</f>
        <v>10:45 - 11:00</v>
      </c>
      <c r="I1554" s="316" t="str">
        <f t="array" ref="I1554">XLOOKUP(B1554,Roster!L:L,Roster!O:O,XLOOKUP(D1554,TicketsBreak!A:A,TicketsBreak!F:F,"",0),0)</f>
        <v>14:00 - 14:30</v>
      </c>
      <c r="J1554" s="316" t="str">
        <f t="array" ref="J1554">XLOOKUP(B1554,Roster!L:L,Roster!P:P,XLOOKUP(D1554,TicketsBreak!A:A,TicketsBreak!G:G,"",0),0)</f>
        <v>15:45 - 16:00</v>
      </c>
      <c r="K1554" s="310">
        <f t="shared" si="4"/>
        <v>46126</v>
      </c>
      <c r="L1554" s="317">
        <f t="array" ref="L1554">(XLOOKUP(D1554,Roster!F:F,Roster!D:D,"",0))</f>
        <v>38</v>
      </c>
      <c r="M1554" s="317" t="str">
        <f t="array" ref="M1554">XLOOKUP(D1554,Roster!F:F,Roster!E:E)</f>
        <v>Voice</v>
      </c>
      <c r="N1554" s="317" t="str">
        <f t="shared" ref="N1554:P1554" si="1578">LEFT(H1554,5)</f>
        <v>10:45</v>
      </c>
      <c r="O1554" s="317" t="str">
        <f t="shared" si="1578"/>
        <v>14:00</v>
      </c>
      <c r="P1554" s="317" t="str">
        <f t="shared" si="1578"/>
        <v>15:45</v>
      </c>
      <c r="Q1554" s="318">
        <f t="shared" si="1515"/>
        <v>46126.44792</v>
      </c>
      <c r="R1554" s="318">
        <f t="shared" si="1516"/>
        <v>46126.58333</v>
      </c>
      <c r="S1554" s="318">
        <f t="shared" si="8"/>
        <v>46126.65625</v>
      </c>
    </row>
    <row r="1555">
      <c r="A1555" s="14" t="str">
        <f t="shared" si="1"/>
        <v>C08046126</v>
      </c>
      <c r="B1555" s="185" t="str">
        <f t="array" ref="B1555">IF(F1555="VL","",IF(F1555="Free","Free",XLOOKUP(D1555,Roster!T:T,Roster!S:S,"",0)))</f>
        <v/>
      </c>
      <c r="C1555" s="313">
        <v>46126.0</v>
      </c>
      <c r="D1555" s="314" t="s">
        <v>138</v>
      </c>
      <c r="E1555" s="307" t="str">
        <f t="array" ref="E1555">(XLOOKUP(D1555,Roster!F:F,Roster!B:B,"",0))</f>
        <v>Arturo Padilla</v>
      </c>
      <c r="F1555" s="315" t="str">
        <f t="array" ref="F1555">IF(B1555=100,"Free",TEXT(XLOOKUP($D1555,OperationVoice!$A:$A,OperationVoice!T:T,XLOOKUP($D1555,OperationTickets!$A:$A,OperationTickets!T:T,"",0)),"hh:mm"))</f>
        <v>08:00</v>
      </c>
      <c r="G1555" s="309">
        <f t="shared" si="3"/>
        <v>0.7083333333</v>
      </c>
      <c r="H1555" s="316">
        <f t="array" ref="H1555">XLOOKUP(B1555,Roster!L:L,Roster!N:N,XLOOKUP(D1555,TicketsBreak!A:A,TicketsBreak!E:E,"",0),0)</f>
        <v>0.375</v>
      </c>
      <c r="I1555" s="316">
        <f t="array" ref="I1555">XLOOKUP(B1555,Roster!L:L,Roster!O:O,XLOOKUP(D1555,TicketsBreak!A:A,TicketsBreak!F:F,"",0),0)</f>
        <v>0.5</v>
      </c>
      <c r="J1555" s="316">
        <f t="array" ref="J1555">XLOOKUP(B1555,Roster!L:L,Roster!P:P,XLOOKUP(D1555,TicketsBreak!A:A,TicketsBreak!G:G,"",0),0)</f>
        <v>0.6458333333</v>
      </c>
      <c r="K1555" s="310">
        <f t="shared" si="4"/>
        <v>46126</v>
      </c>
      <c r="L1555" s="317">
        <f t="array" ref="L1555">(XLOOKUP(D1555,Roster!F:F,Roster!D:D,"",0))</f>
        <v>1</v>
      </c>
      <c r="M1555" s="317" t="str">
        <f t="array" ref="M1555">XLOOKUP(D1555,Roster!F:F,Roster!E:E)</f>
        <v>Tickets</v>
      </c>
      <c r="N1555" s="317" t="str">
        <f t="shared" ref="N1555:P1555" si="1579">LEFT(H1555,5)</f>
        <v>09:00</v>
      </c>
      <c r="O1555" s="317" t="str">
        <f t="shared" si="1579"/>
        <v>12:00</v>
      </c>
      <c r="P1555" s="317" t="str">
        <f t="shared" si="1579"/>
        <v>15:30</v>
      </c>
      <c r="Q1555" s="318">
        <f t="shared" si="1515"/>
        <v>46126.375</v>
      </c>
      <c r="R1555" s="318">
        <f t="shared" si="1516"/>
        <v>46126.5</v>
      </c>
      <c r="S1555" s="318">
        <f t="shared" si="8"/>
        <v>46126.64583</v>
      </c>
    </row>
    <row r="1556">
      <c r="A1556" s="14" t="str">
        <f t="shared" si="1"/>
        <v>C150446126</v>
      </c>
      <c r="B1556" s="185">
        <f t="array" ref="B1556">IF(F1556="VL","",IF(F1556="Free","Free",XLOOKUP(D1556,Roster!T:T,Roster!S:S,"",0)))</f>
        <v>123</v>
      </c>
      <c r="C1556" s="313">
        <v>46126.0</v>
      </c>
      <c r="D1556" s="314" t="s">
        <v>155</v>
      </c>
      <c r="E1556" s="307" t="str">
        <f t="array" ref="E1556">(XLOOKUP(D1556,Roster!F:F,Roster!B:B,"",0))</f>
        <v>Beatriz Montanez</v>
      </c>
      <c r="F1556" s="315" t="str">
        <f t="array" ref="F1556">IF(B1556=100,"Free",TEXT(XLOOKUP($D1556,OperationVoice!$A:$A,OperationVoice!T:T,XLOOKUP($D1556,OperationTickets!$A:$A,OperationTickets!T:T,"",0)),"hh:mm"))</f>
        <v>08:00</v>
      </c>
      <c r="G1556" s="309">
        <f t="shared" si="3"/>
        <v>0.7083333333</v>
      </c>
      <c r="H1556" s="316" t="str">
        <f t="array" ref="H1556">XLOOKUP(B1556,Roster!L:L,Roster!N:N,XLOOKUP(D1556,TicketsBreak!A:A,TicketsBreak!E:E,"",0),0)</f>
        <v>09:45 - 10:00 </v>
      </c>
      <c r="I1556" s="316" t="str">
        <f t="array" ref="I1556">XLOOKUP(B1556,Roster!L:L,Roster!O:O,XLOOKUP(D1556,TicketsBreak!A:A,TicketsBreak!F:F,"",0),0)</f>
        <v>12:30 - 13:00</v>
      </c>
      <c r="J1556" s="316" t="str">
        <f t="array" ref="J1556">XLOOKUP(B1556,Roster!L:L,Roster!P:P,XLOOKUP(D1556,TicketsBreak!A:A,TicketsBreak!G:G,"",0),0)</f>
        <v>15:00 - 15:15</v>
      </c>
      <c r="K1556" s="310">
        <f t="shared" si="4"/>
        <v>46126</v>
      </c>
      <c r="L1556" s="317">
        <f t="array" ref="L1556">(XLOOKUP(D1556,Roster!F:F,Roster!D:D,"",0))</f>
        <v>35</v>
      </c>
      <c r="M1556" s="317" t="str">
        <f t="array" ref="M1556">XLOOKUP(D1556,Roster!F:F,Roster!E:E)</f>
        <v>Tickets</v>
      </c>
      <c r="N1556" s="317" t="str">
        <f t="shared" ref="N1556:P1556" si="1580">LEFT(H1556,5)</f>
        <v>09:45</v>
      </c>
      <c r="O1556" s="317" t="str">
        <f t="shared" si="1580"/>
        <v>12:30</v>
      </c>
      <c r="P1556" s="317" t="str">
        <f t="shared" si="1580"/>
        <v>15:00</v>
      </c>
      <c r="Q1556" s="318">
        <f t="shared" si="1515"/>
        <v>46126.40625</v>
      </c>
      <c r="R1556" s="318">
        <f t="shared" si="1516"/>
        <v>46126.52083</v>
      </c>
      <c r="S1556" s="318">
        <f t="shared" si="8"/>
        <v>46126.625</v>
      </c>
    </row>
    <row r="1557">
      <c r="A1557" s="14" t="str">
        <f t="shared" si="1"/>
        <v>C107746126</v>
      </c>
      <c r="B1557" s="185">
        <f t="array" ref="B1557">IF(F1557="VL","",IF(F1557="Free","Free",XLOOKUP(D1557,Roster!T:T,Roster!S:S,"",0)))</f>
        <v>125</v>
      </c>
      <c r="C1557" s="313">
        <v>46126.0</v>
      </c>
      <c r="D1557" s="314" t="s">
        <v>17</v>
      </c>
      <c r="E1557" s="307" t="str">
        <f t="array" ref="E1557">(XLOOKUP(D1557,Roster!F:F,Roster!B:B,"",0))</f>
        <v>Brahian Prado</v>
      </c>
      <c r="F1557" s="315" t="str">
        <f t="array" ref="F1557">IF(B1557=100,"Free",TEXT(XLOOKUP($D1557,OperationVoice!$A:$A,OperationVoice!T:T,XLOOKUP($D1557,OperationTickets!$A:$A,OperationTickets!T:T,"",0)),"hh:mm"))</f>
        <v>08:00</v>
      </c>
      <c r="G1557" s="309">
        <f t="shared" si="3"/>
        <v>0.7083333333</v>
      </c>
      <c r="H1557" s="316" t="str">
        <f t="array" ref="H1557">XLOOKUP(B1557,Roster!L:L,Roster!N:N,XLOOKUP(D1557,TicketsBreak!A:A,TicketsBreak!E:E,"",0),0)</f>
        <v>10:30 - 10:45</v>
      </c>
      <c r="I1557" s="316" t="str">
        <f t="array" ref="I1557">XLOOKUP(B1557,Roster!L:L,Roster!O:O,XLOOKUP(D1557,TicketsBreak!A:A,TicketsBreak!F:F,"",0),0)</f>
        <v>13:30 - 14:00</v>
      </c>
      <c r="J1557" s="316" t="str">
        <f t="array" ref="J1557">XLOOKUP(B1557,Roster!L:L,Roster!P:P,XLOOKUP(D1557,TicketsBreak!A:A,TicketsBreak!G:G,"",0),0)</f>
        <v>15:45 - 16:00</v>
      </c>
      <c r="K1557" s="310">
        <f t="shared" si="4"/>
        <v>46126</v>
      </c>
      <c r="L1557" s="317">
        <f t="array" ref="L1557">(XLOOKUP(D1557,Roster!F:F,Roster!D:D,"",0))</f>
        <v>18</v>
      </c>
      <c r="M1557" s="317" t="str">
        <f t="array" ref="M1557">XLOOKUP(D1557,Roster!F:F,Roster!E:E)</f>
        <v>Voice</v>
      </c>
      <c r="N1557" s="317" t="str">
        <f t="shared" ref="N1557:P1557" si="1581">LEFT(H1557,5)</f>
        <v>10:30</v>
      </c>
      <c r="O1557" s="317" t="str">
        <f t="shared" si="1581"/>
        <v>13:30</v>
      </c>
      <c r="P1557" s="317" t="str">
        <f t="shared" si="1581"/>
        <v>15:45</v>
      </c>
      <c r="Q1557" s="318">
        <f t="shared" si="1515"/>
        <v>46126.4375</v>
      </c>
      <c r="R1557" s="318">
        <f t="shared" si="1516"/>
        <v>46126.5625</v>
      </c>
      <c r="S1557" s="318">
        <f t="shared" si="8"/>
        <v>46126.65625</v>
      </c>
    </row>
    <row r="1558">
      <c r="A1558" s="14" t="str">
        <f t="shared" si="1"/>
        <v>C116546126</v>
      </c>
      <c r="B1558" s="185" t="str">
        <f t="array" ref="B1558">IF(F1558="VL","",IF(F1558="Free","Free",XLOOKUP(D1558,Roster!T:T,Roster!S:S,"",0)))</f>
        <v/>
      </c>
      <c r="C1558" s="313">
        <v>46126.0</v>
      </c>
      <c r="D1558" s="314" t="s">
        <v>139</v>
      </c>
      <c r="E1558" s="307" t="str">
        <f t="array" ref="E1558">(XLOOKUP(D1558,Roster!F:F,Roster!B:B,"",0))</f>
        <v>Braian Restrepo</v>
      </c>
      <c r="F1558" s="315" t="str">
        <f t="array" ref="F1558">IF(B1558=100,"Free",TEXT(XLOOKUP($D1558,OperationVoice!$A:$A,OperationVoice!T:T,XLOOKUP($D1558,OperationTickets!$A:$A,OperationTickets!T:T,"",0)),"hh:mm"))</f>
        <v>08:00</v>
      </c>
      <c r="G1558" s="309">
        <f t="shared" si="3"/>
        <v>0.7083333333</v>
      </c>
      <c r="H1558" s="316" t="str">
        <f t="array" ref="H1558">XLOOKUP(B1558,Roster!L:L,Roster!N:N,XLOOKUP(D1558,TicketsBreak!A:A,TicketsBreak!E:E,"",0),0)</f>
        <v/>
      </c>
      <c r="I1558" s="316" t="str">
        <f t="array" ref="I1558">XLOOKUP(B1558,Roster!L:L,Roster!O:O,XLOOKUP(D1558,TicketsBreak!A:A,TicketsBreak!F:F,"",0),0)</f>
        <v/>
      </c>
      <c r="J1558" s="316" t="str">
        <f t="array" ref="J1558">XLOOKUP(B1558,Roster!L:L,Roster!P:P,XLOOKUP(D1558,TicketsBreak!A:A,TicketsBreak!G:G,"",0),0)</f>
        <v/>
      </c>
      <c r="K1558" s="310">
        <f t="shared" si="4"/>
        <v>46126</v>
      </c>
      <c r="L1558" s="317">
        <f t="array" ref="L1558">(XLOOKUP(D1558,Roster!F:F,Roster!D:D,"",0))</f>
        <v>24</v>
      </c>
      <c r="M1558" s="317" t="str">
        <f t="array" ref="M1558">XLOOKUP(D1558,Roster!F:F,Roster!E:E)</f>
        <v>Tickets</v>
      </c>
      <c r="N1558" s="317" t="str">
        <f t="shared" ref="N1558:P1558" si="1582">LEFT(H1558,5)</f>
        <v/>
      </c>
      <c r="O1558" s="317" t="str">
        <f t="shared" si="1582"/>
        <v/>
      </c>
      <c r="P1558" s="317" t="str">
        <f t="shared" si="1582"/>
        <v/>
      </c>
      <c r="Q1558" s="318" t="str">
        <f t="shared" si="1515"/>
        <v/>
      </c>
      <c r="R1558" s="318" t="str">
        <f t="shared" si="1516"/>
        <v/>
      </c>
      <c r="S1558" s="318" t="str">
        <f t="shared" si="8"/>
        <v/>
      </c>
    </row>
    <row r="1559">
      <c r="A1559" s="14" t="str">
        <f t="shared" si="1"/>
        <v>C127446126</v>
      </c>
      <c r="B1559" s="185">
        <f t="array" ref="B1559">IF(F1559="VL","",IF(F1559="Free","Free",XLOOKUP(D1559,Roster!T:T,Roster!S:S,"",0)))</f>
        <v>126</v>
      </c>
      <c r="C1559" s="313">
        <v>46126.0</v>
      </c>
      <c r="D1559" s="314" t="s">
        <v>250</v>
      </c>
      <c r="E1559" s="307" t="str">
        <f t="array" ref="E1559">(XLOOKUP(D1559,Roster!F:F,Roster!B:B,"",0))</f>
        <v>Brayan Franco</v>
      </c>
      <c r="F1559" s="315" t="str">
        <f t="array" ref="F1559">IF(B1559=100,"Free",TEXT(XLOOKUP($D1559,OperationVoice!$A:$A,OperationVoice!T:T,XLOOKUP($D1559,OperationTickets!$A:$A,OperationTickets!T:T,"",0)),"hh:mm"))</f>
        <v/>
      </c>
      <c r="G1559" s="309" t="str">
        <f t="shared" si="3"/>
        <v/>
      </c>
      <c r="H1559" s="316" t="str">
        <f t="array" ref="H1559">XLOOKUP(B1559,Roster!L:L,Roster!N:N,XLOOKUP(D1559,TicketsBreak!A:A,TicketsBreak!E:E,"",0),0)</f>
        <v>10:45 - 11:00</v>
      </c>
      <c r="I1559" s="316" t="str">
        <f t="array" ref="I1559">XLOOKUP(B1559,Roster!L:L,Roster!O:O,XLOOKUP(D1559,TicketsBreak!A:A,TicketsBreak!F:F,"",0),0)</f>
        <v>14:00 - 14:30</v>
      </c>
      <c r="J1559" s="316" t="str">
        <f t="array" ref="J1559">XLOOKUP(B1559,Roster!L:L,Roster!P:P,XLOOKUP(D1559,TicketsBreak!A:A,TicketsBreak!G:G,"",0),0)</f>
        <v>15:45 - 16:00</v>
      </c>
      <c r="K1559" s="310">
        <f t="shared" si="4"/>
        <v>46126</v>
      </c>
      <c r="L1559" s="317">
        <f t="array" ref="L1559">(XLOOKUP(D1559,Roster!F:F,Roster!D:D,"",0))</f>
        <v>27</v>
      </c>
      <c r="M1559" s="317" t="str">
        <f t="array" ref="M1559">XLOOKUP(D1559,Roster!F:F,Roster!E:E)</f>
        <v>Voice</v>
      </c>
      <c r="N1559" s="317" t="str">
        <f t="shared" ref="N1559:P1559" si="1583">LEFT(H1559,5)</f>
        <v>10:45</v>
      </c>
      <c r="O1559" s="317" t="str">
        <f t="shared" si="1583"/>
        <v>14:00</v>
      </c>
      <c r="P1559" s="317" t="str">
        <f t="shared" si="1583"/>
        <v>15:45</v>
      </c>
      <c r="Q1559" s="318">
        <f t="shared" si="1515"/>
        <v>46126.44792</v>
      </c>
      <c r="R1559" s="318">
        <f t="shared" si="1516"/>
        <v>46126.58333</v>
      </c>
      <c r="S1559" s="318">
        <f t="shared" si="8"/>
        <v>46126.65625</v>
      </c>
    </row>
    <row r="1560">
      <c r="A1560" s="14" t="str">
        <f t="shared" si="1"/>
        <v>C119146126</v>
      </c>
      <c r="B1560" s="185">
        <f t="array" ref="B1560">IF(F1560="VL","",IF(F1560="Free","Free",XLOOKUP(D1560,Roster!T:T,Roster!S:S,"",0)))</f>
        <v>111</v>
      </c>
      <c r="C1560" s="313">
        <v>46126.0</v>
      </c>
      <c r="D1560" s="314" t="s">
        <v>18</v>
      </c>
      <c r="E1560" s="307" t="str">
        <f t="array" ref="E1560">(XLOOKUP(D1560,Roster!F:F,Roster!B:B,"",0))</f>
        <v>Brayan Montoya</v>
      </c>
      <c r="F1560" s="315" t="str">
        <f t="array" ref="F1560">IF(B1560=100,"Free",TEXT(XLOOKUP($D1560,OperationVoice!$A:$A,OperationVoice!T:T,XLOOKUP($D1560,OperationTickets!$A:$A,OperationTickets!T:T,"",0)),"hh:mm"))</f>
        <v>07:00</v>
      </c>
      <c r="G1560" s="309">
        <f t="shared" si="3"/>
        <v>0.6666666667</v>
      </c>
      <c r="H1560" s="316" t="str">
        <f t="array" ref="H1560">XLOOKUP(B1560,Roster!L:L,Roster!N:N,XLOOKUP(D1560,TicketsBreak!A:A,TicketsBreak!E:E,"",0),0)</f>
        <v>09:00 - 09:15</v>
      </c>
      <c r="I1560" s="316" t="str">
        <f t="array" ref="I1560">XLOOKUP(B1560,Roster!L:L,Roster!O:O,XLOOKUP(D1560,TicketsBreak!A:A,TicketsBreak!F:F,"",0),0)</f>
        <v>11:45 - 12:15</v>
      </c>
      <c r="J1560" s="316" t="str">
        <f t="array" ref="J1560">XLOOKUP(B1560,Roster!L:L,Roster!P:P,XLOOKUP(D1560,TicketsBreak!A:A,TicketsBreak!G:G,"",0),0)</f>
        <v>14:30 - 14:45</v>
      </c>
      <c r="K1560" s="310">
        <f t="shared" si="4"/>
        <v>46126</v>
      </c>
      <c r="L1560" s="317">
        <f t="array" ref="L1560">(XLOOKUP(D1560,Roster!F:F,Roster!D:D,"",0))</f>
        <v>25</v>
      </c>
      <c r="M1560" s="317" t="str">
        <f t="array" ref="M1560">XLOOKUP(D1560,Roster!F:F,Roster!E:E)</f>
        <v>Voice</v>
      </c>
      <c r="N1560" s="317" t="str">
        <f t="shared" ref="N1560:P1560" si="1584">LEFT(H1560,5)</f>
        <v>09:00</v>
      </c>
      <c r="O1560" s="317" t="str">
        <f t="shared" si="1584"/>
        <v>11:45</v>
      </c>
      <c r="P1560" s="317" t="str">
        <f t="shared" si="1584"/>
        <v>14:30</v>
      </c>
      <c r="Q1560" s="318">
        <f t="shared" si="1515"/>
        <v>46126.375</v>
      </c>
      <c r="R1560" s="318">
        <f t="shared" si="1516"/>
        <v>46126.48958</v>
      </c>
      <c r="S1560" s="318">
        <f t="shared" si="8"/>
        <v>46126.60417</v>
      </c>
    </row>
    <row r="1561">
      <c r="A1561" s="14" t="str">
        <f t="shared" si="1"/>
        <v>C152646126</v>
      </c>
      <c r="B1561" s="185">
        <f t="array" ref="B1561">IF(F1561="VL","",IF(F1561="Free","Free",XLOOKUP(D1561,Roster!T:T,Roster!S:S,"",0)))</f>
        <v>121</v>
      </c>
      <c r="C1561" s="313">
        <v>46126.0</v>
      </c>
      <c r="D1561" s="314" t="s">
        <v>19</v>
      </c>
      <c r="E1561" s="307" t="str">
        <f t="array" ref="E1561">(XLOOKUP(D1561,Roster!F:F,Roster!B:B,"",0))</f>
        <v>Breitner Benitez</v>
      </c>
      <c r="F1561" s="315" t="str">
        <f t="array" ref="F1561">IF(B1561=100,"Free",TEXT(XLOOKUP($D1561,OperationVoice!$A:$A,OperationVoice!T:T,XLOOKUP($D1561,OperationTickets!$A:$A,OperationTickets!T:T,"",0)),"hh:mm"))</f>
        <v>08:00</v>
      </c>
      <c r="G1561" s="309">
        <f t="shared" si="3"/>
        <v>0.7083333333</v>
      </c>
      <c r="H1561" s="316" t="str">
        <f t="array" ref="H1561">XLOOKUP(B1561,Roster!L:L,Roster!N:N,XLOOKUP(D1561,TicketsBreak!A:A,TicketsBreak!E:E,"",0),0)</f>
        <v>09:15 - 09:30</v>
      </c>
      <c r="I1561" s="316" t="str">
        <f t="array" ref="I1561">XLOOKUP(B1561,Roster!L:L,Roster!O:O,XLOOKUP(D1561,TicketsBreak!A:A,TicketsBreak!F:F,"",0),0)</f>
        <v>11:30 - 12:00</v>
      </c>
      <c r="J1561" s="316" t="str">
        <f t="array" ref="J1561">XLOOKUP(B1561,Roster!L:L,Roster!P:P,XLOOKUP(D1561,TicketsBreak!A:A,TicketsBreak!G:G,"",0),0)</f>
        <v>14:30 - 14:45</v>
      </c>
      <c r="K1561" s="310">
        <f t="shared" si="4"/>
        <v>46126</v>
      </c>
      <c r="L1561" s="317">
        <f t="array" ref="L1561">(XLOOKUP(D1561,Roster!F:F,Roster!D:D,"",0))</f>
        <v>13</v>
      </c>
      <c r="M1561" s="317" t="str">
        <f t="array" ref="M1561">XLOOKUP(D1561,Roster!F:F,Roster!E:E)</f>
        <v>Voice</v>
      </c>
      <c r="N1561" s="317" t="str">
        <f t="shared" ref="N1561:P1561" si="1585">LEFT(H1561,5)</f>
        <v>09:15</v>
      </c>
      <c r="O1561" s="317" t="str">
        <f t="shared" si="1585"/>
        <v>11:30</v>
      </c>
      <c r="P1561" s="317" t="str">
        <f t="shared" si="1585"/>
        <v>14:30</v>
      </c>
      <c r="Q1561" s="318">
        <f t="shared" si="1515"/>
        <v>46126.38542</v>
      </c>
      <c r="R1561" s="318">
        <f t="shared" si="1516"/>
        <v>46126.47917</v>
      </c>
      <c r="S1561" s="318">
        <f t="shared" si="8"/>
        <v>46126.60417</v>
      </c>
    </row>
    <row r="1562">
      <c r="A1562" s="14" t="str">
        <f t="shared" si="1"/>
        <v>C153546126</v>
      </c>
      <c r="B1562" s="185">
        <f t="array" ref="B1562">IF(F1562="VL","",IF(F1562="Free","Free",XLOOKUP(D1562,Roster!T:T,Roster!S:S,"",0)))</f>
        <v>154</v>
      </c>
      <c r="C1562" s="313">
        <v>46126.0</v>
      </c>
      <c r="D1562" s="314" t="s">
        <v>20</v>
      </c>
      <c r="E1562" s="307" t="str">
        <f t="array" ref="E1562">(XLOOKUP(D1562,Roster!F:F,Roster!B:B,"",0))</f>
        <v>Carlos Alzate</v>
      </c>
      <c r="F1562" s="315" t="str">
        <f t="array" ref="F1562">IF(B1562=100,"Free",TEXT(XLOOKUP($D1562,OperationVoice!$A:$A,OperationVoice!T:T,XLOOKUP($D1562,OperationTickets!$A:$A,OperationTickets!T:T,"",0)),"hh:mm"))</f>
        <v>11:00</v>
      </c>
      <c r="G1562" s="309">
        <f t="shared" si="3"/>
        <v>0.8333333333</v>
      </c>
      <c r="H1562" s="316" t="str">
        <f t="array" ref="H1562">XLOOKUP(B1562,Roster!L:L,Roster!N:N,XLOOKUP(D1562,TicketsBreak!A:A,TicketsBreak!E:E,"",0),0)</f>
        <v>13:00 - 13:15</v>
      </c>
      <c r="I1562" s="316" t="str">
        <f t="array" ref="I1562">XLOOKUP(B1562,Roster!L:L,Roster!O:O,XLOOKUP(D1562,TicketsBreak!A:A,TicketsBreak!F:F,"",0),0)</f>
        <v>15:15 - 15:45</v>
      </c>
      <c r="J1562" s="316" t="str">
        <f t="array" ref="J1562">XLOOKUP(B1562,Roster!L:L,Roster!P:P,XLOOKUP(D1562,TicketsBreak!A:A,TicketsBreak!G:G,"",0),0)</f>
        <v>18:00 - 18:15</v>
      </c>
      <c r="K1562" s="310">
        <f t="shared" si="4"/>
        <v>46126</v>
      </c>
      <c r="L1562" s="317">
        <f t="array" ref="L1562">(XLOOKUP(D1562,Roster!F:F,Roster!D:D,"",0))</f>
        <v>36</v>
      </c>
      <c r="M1562" s="317" t="str">
        <f t="array" ref="M1562">XLOOKUP(D1562,Roster!F:F,Roster!E:E)</f>
        <v>Voice</v>
      </c>
      <c r="N1562" s="317" t="str">
        <f t="shared" ref="N1562:P1562" si="1586">LEFT(H1562,5)</f>
        <v>13:00</v>
      </c>
      <c r="O1562" s="317" t="str">
        <f t="shared" si="1586"/>
        <v>15:15</v>
      </c>
      <c r="P1562" s="317" t="str">
        <f t="shared" si="1586"/>
        <v>18:00</v>
      </c>
      <c r="Q1562" s="318">
        <f t="shared" si="1515"/>
        <v>46126.54167</v>
      </c>
      <c r="R1562" s="318">
        <f t="shared" si="1516"/>
        <v>46126.63542</v>
      </c>
      <c r="S1562" s="318">
        <f t="shared" si="8"/>
        <v>46126.75</v>
      </c>
    </row>
    <row r="1563">
      <c r="A1563" s="14" t="str">
        <f t="shared" si="1"/>
        <v>C153146126</v>
      </c>
      <c r="B1563" s="185">
        <f t="array" ref="B1563">IF(F1563="VL","",IF(F1563="Free","Free",XLOOKUP(D1563,Roster!T:T,Roster!S:S,"",0)))</f>
        <v>123</v>
      </c>
      <c r="C1563" s="313">
        <v>46126.0</v>
      </c>
      <c r="D1563" s="314" t="s">
        <v>21</v>
      </c>
      <c r="E1563" s="307" t="str">
        <f t="array" ref="E1563">(XLOOKUP(D1563,Roster!F:F,Roster!B:B,"",0))</f>
        <v>Carlos Palma</v>
      </c>
      <c r="F1563" s="315" t="str">
        <f t="array" ref="F1563">IF(B1563=100,"Free",TEXT(XLOOKUP($D1563,OperationVoice!$A:$A,OperationVoice!T:T,XLOOKUP($D1563,OperationTickets!$A:$A,OperationTickets!T:T,"",0)),"hh:mm"))</f>
        <v>08:00</v>
      </c>
      <c r="G1563" s="309">
        <f t="shared" si="3"/>
        <v>0.7083333333</v>
      </c>
      <c r="H1563" s="316" t="str">
        <f t="array" ref="H1563">XLOOKUP(B1563,Roster!L:L,Roster!N:N,XLOOKUP(D1563,TicketsBreak!A:A,TicketsBreak!E:E,"",0),0)</f>
        <v>09:45 - 10:00 </v>
      </c>
      <c r="I1563" s="316" t="str">
        <f t="array" ref="I1563">XLOOKUP(B1563,Roster!L:L,Roster!O:O,XLOOKUP(D1563,TicketsBreak!A:A,TicketsBreak!F:F,"",0),0)</f>
        <v>12:30 - 13:00</v>
      </c>
      <c r="J1563" s="316" t="str">
        <f t="array" ref="J1563">XLOOKUP(B1563,Roster!L:L,Roster!P:P,XLOOKUP(D1563,TicketsBreak!A:A,TicketsBreak!G:G,"",0),0)</f>
        <v>15:00 - 15:15</v>
      </c>
      <c r="K1563" s="310">
        <f t="shared" si="4"/>
        <v>46126</v>
      </c>
      <c r="L1563" s="317">
        <f t="array" ref="L1563">(XLOOKUP(D1563,Roster!F:F,Roster!D:D,"",0))</f>
        <v>36</v>
      </c>
      <c r="M1563" s="317" t="str">
        <f t="array" ref="M1563">XLOOKUP(D1563,Roster!F:F,Roster!E:E)</f>
        <v>Voice</v>
      </c>
      <c r="N1563" s="317" t="str">
        <f t="shared" ref="N1563:P1563" si="1587">LEFT(H1563,5)</f>
        <v>09:45</v>
      </c>
      <c r="O1563" s="317" t="str">
        <f t="shared" si="1587"/>
        <v>12:30</v>
      </c>
      <c r="P1563" s="317" t="str">
        <f t="shared" si="1587"/>
        <v>15:00</v>
      </c>
      <c r="Q1563" s="318">
        <f t="shared" si="1515"/>
        <v>46126.40625</v>
      </c>
      <c r="R1563" s="318">
        <f t="shared" si="1516"/>
        <v>46126.52083</v>
      </c>
      <c r="S1563" s="318">
        <f t="shared" si="8"/>
        <v>46126.625</v>
      </c>
    </row>
    <row r="1564">
      <c r="A1564" s="14" t="str">
        <f t="shared" si="1"/>
        <v>C157646126</v>
      </c>
      <c r="B1564" s="185" t="str">
        <f t="array" ref="B1564">IF(F1564="VL","",IF(F1564="Free","Free",XLOOKUP(D1564,Roster!T:T,Roster!S:S,"",0)))</f>
        <v/>
      </c>
      <c r="C1564" s="313">
        <v>46126.0</v>
      </c>
      <c r="D1564" s="314" t="s">
        <v>313</v>
      </c>
      <c r="E1564" s="307" t="str">
        <f t="array" ref="E1564">(XLOOKUP(D1564,Roster!F:F,Roster!B:B,"",0))</f>
        <v>Carlos Ruiz</v>
      </c>
      <c r="F1564" s="315" t="str">
        <f t="array" ref="F1564">IF(B1564=100,"Free",TEXT(XLOOKUP($D1564,OperationVoice!$A:$A,OperationVoice!T:T,XLOOKUP($D1564,OperationTickets!$A:$A,OperationTickets!T:T,"",0)),"hh:mm"))</f>
        <v/>
      </c>
      <c r="G1564" s="309" t="str">
        <f t="shared" si="3"/>
        <v/>
      </c>
      <c r="H1564" s="316" t="str">
        <f t="array" ref="H1564">XLOOKUP(B1564,Roster!L:L,Roster!N:N,XLOOKUP(D1564,TicketsBreak!A:A,TicketsBreak!E:E,"",0),0)</f>
        <v/>
      </c>
      <c r="I1564" s="316" t="str">
        <f t="array" ref="I1564">XLOOKUP(B1564,Roster!L:L,Roster!O:O,XLOOKUP(D1564,TicketsBreak!A:A,TicketsBreak!F:F,"",0),0)</f>
        <v/>
      </c>
      <c r="J1564" s="316" t="str">
        <f t="array" ref="J1564">XLOOKUP(B1564,Roster!L:L,Roster!P:P,XLOOKUP(D1564,TicketsBreak!A:A,TicketsBreak!G:G,"",0),0)</f>
        <v/>
      </c>
      <c r="K1564" s="310">
        <f t="shared" si="4"/>
        <v>46126</v>
      </c>
      <c r="L1564" s="317">
        <f t="array" ref="L1564">(XLOOKUP(D1564,Roster!F:F,Roster!D:D,"",0))</f>
        <v>38</v>
      </c>
      <c r="M1564" s="317" t="str">
        <f t="array" ref="M1564">XLOOKUP(D1564,Roster!F:F,Roster!E:E)</f>
        <v>Nesting</v>
      </c>
      <c r="N1564" s="317" t="str">
        <f t="shared" ref="N1564:P1564" si="1588">LEFT(H1564,5)</f>
        <v/>
      </c>
      <c r="O1564" s="317" t="str">
        <f t="shared" si="1588"/>
        <v/>
      </c>
      <c r="P1564" s="317" t="str">
        <f t="shared" si="1588"/>
        <v/>
      </c>
      <c r="Q1564" s="318" t="str">
        <f t="shared" si="1515"/>
        <v/>
      </c>
      <c r="R1564" s="318" t="str">
        <f t="shared" si="1516"/>
        <v/>
      </c>
      <c r="S1564" s="318" t="str">
        <f t="shared" si="8"/>
        <v/>
      </c>
    </row>
    <row r="1565">
      <c r="A1565" s="14" t="str">
        <f t="shared" si="1"/>
        <v>C47946126</v>
      </c>
      <c r="B1565" s="185" t="str">
        <f t="array" ref="B1565">IF(F1565="VL","",IF(F1565="Free","Free",XLOOKUP(D1565,Roster!T:T,Roster!S:S,"",0)))</f>
        <v/>
      </c>
      <c r="C1565" s="313">
        <v>46126.0</v>
      </c>
      <c r="D1565" s="314" t="s">
        <v>173</v>
      </c>
      <c r="E1565" s="307" t="str">
        <f t="array" ref="E1565">(XLOOKUP(D1565,Roster!F:F,Roster!B:B,"",0))</f>
        <v>Carmen Grajales</v>
      </c>
      <c r="F1565" s="315" t="str">
        <f t="array" ref="F1565">IF(B1565=100,"Free",TEXT(XLOOKUP($D1565,OperationVoice!$A:$A,OperationVoice!T:T,XLOOKUP($D1565,OperationTickets!$A:$A,OperationTickets!T:T,"",0)),"hh:mm"))</f>
        <v>08:00</v>
      </c>
      <c r="G1565" s="309">
        <f t="shared" si="3"/>
        <v>0.7083333333</v>
      </c>
      <c r="H1565" s="316">
        <f t="array" ref="H1565">XLOOKUP(B1565,Roster!L:L,Roster!N:N,XLOOKUP(D1565,TicketsBreak!A:A,TicketsBreak!E:E,"",0),0)</f>
        <v>0.4270833333</v>
      </c>
      <c r="I1565" s="316">
        <f t="array" ref="I1565">XLOOKUP(B1565,Roster!L:L,Roster!O:O,XLOOKUP(D1565,TicketsBreak!A:A,TicketsBreak!F:F,"",0),0)</f>
        <v>0.53125</v>
      </c>
      <c r="J1565" s="316">
        <f t="array" ref="J1565">XLOOKUP(B1565,Roster!L:L,Roster!P:P,XLOOKUP(D1565,TicketsBreak!A:A,TicketsBreak!G:G,"",0),0)</f>
        <v>0.65625</v>
      </c>
      <c r="K1565" s="310">
        <f t="shared" si="4"/>
        <v>46126</v>
      </c>
      <c r="L1565" s="317">
        <f t="array" ref="L1565">(XLOOKUP(D1565,Roster!F:F,Roster!D:D,"",0))</f>
        <v>2</v>
      </c>
      <c r="M1565" s="317" t="str">
        <f t="array" ref="M1565">XLOOKUP(D1565,Roster!F:F,Roster!E:E)</f>
        <v>Tickets</v>
      </c>
      <c r="N1565" s="317" t="str">
        <f t="shared" ref="N1565:P1565" si="1589">LEFT(H1565,5)</f>
        <v>10:15</v>
      </c>
      <c r="O1565" s="317" t="str">
        <f t="shared" si="1589"/>
        <v>12:45</v>
      </c>
      <c r="P1565" s="317" t="str">
        <f t="shared" si="1589"/>
        <v>15:45</v>
      </c>
      <c r="Q1565" s="318">
        <f t="shared" si="1515"/>
        <v>46126.42708</v>
      </c>
      <c r="R1565" s="318">
        <f t="shared" si="1516"/>
        <v>46126.53125</v>
      </c>
      <c r="S1565" s="318">
        <f t="shared" si="8"/>
        <v>46126.65625</v>
      </c>
    </row>
    <row r="1566">
      <c r="A1566" s="14" t="str">
        <f t="shared" si="1"/>
        <v>C68746126</v>
      </c>
      <c r="B1566" s="185">
        <f t="array" ref="B1566">IF(F1566="VL","",IF(F1566="Free","Free",XLOOKUP(D1566,Roster!T:T,Roster!S:S,"",0)))</f>
        <v>122</v>
      </c>
      <c r="C1566" s="313">
        <v>46126.0</v>
      </c>
      <c r="D1566" s="314" t="s">
        <v>22</v>
      </c>
      <c r="E1566" s="307" t="str">
        <f t="array" ref="E1566">(XLOOKUP(D1566,Roster!F:F,Roster!B:B,"",0))</f>
        <v>Carolina Rios</v>
      </c>
      <c r="F1566" s="315" t="str">
        <f t="array" ref="F1566">IF(B1566=100,"Free",TEXT(XLOOKUP($D1566,OperationVoice!$A:$A,OperationVoice!T:T,XLOOKUP($D1566,OperationTickets!$A:$A,OperationTickets!T:T,"",0)),"hh:mm"))</f>
        <v>08:00</v>
      </c>
      <c r="G1566" s="309">
        <f t="shared" si="3"/>
        <v>0.7083333333</v>
      </c>
      <c r="H1566" s="316" t="str">
        <f t="array" ref="H1566">XLOOKUP(B1566,Roster!L:L,Roster!N:N,XLOOKUP(D1566,TicketsBreak!A:A,TicketsBreak!E:E,"",0),0)</f>
        <v>09:30 - 09:45</v>
      </c>
      <c r="I1566" s="316" t="str">
        <f t="array" ref="I1566">XLOOKUP(B1566,Roster!L:L,Roster!O:O,XLOOKUP(D1566,TicketsBreak!A:A,TicketsBreak!F:F,"",0),0)</f>
        <v>12:00 - 12:30</v>
      </c>
      <c r="J1566" s="316" t="str">
        <f t="array" ref="J1566">XLOOKUP(B1566,Roster!L:L,Roster!P:P,XLOOKUP(D1566,TicketsBreak!A:A,TicketsBreak!G:G,"",0),0)</f>
        <v>14:45 - 15:00</v>
      </c>
      <c r="K1566" s="310">
        <f t="shared" si="4"/>
        <v>46126</v>
      </c>
      <c r="L1566" s="317">
        <f t="array" ref="L1566">(XLOOKUP(D1566,Roster!F:F,Roster!D:D,"",0))</f>
        <v>5</v>
      </c>
      <c r="M1566" s="317" t="str">
        <f t="array" ref="M1566">XLOOKUP(D1566,Roster!F:F,Roster!E:E)</f>
        <v>Voice</v>
      </c>
      <c r="N1566" s="317" t="str">
        <f t="shared" ref="N1566:P1566" si="1590">LEFT(H1566,5)</f>
        <v>09:30</v>
      </c>
      <c r="O1566" s="317" t="str">
        <f t="shared" si="1590"/>
        <v>12:00</v>
      </c>
      <c r="P1566" s="317" t="str">
        <f t="shared" si="1590"/>
        <v>14:45</v>
      </c>
      <c r="Q1566" s="318">
        <f t="shared" si="1515"/>
        <v>46126.39583</v>
      </c>
      <c r="R1566" s="318">
        <f t="shared" si="1516"/>
        <v>46126.5</v>
      </c>
      <c r="S1566" s="318">
        <f t="shared" si="8"/>
        <v>46126.61458</v>
      </c>
    </row>
    <row r="1567">
      <c r="A1567" s="14" t="str">
        <f t="shared" si="1"/>
        <v>C152846126</v>
      </c>
      <c r="B1567" s="185" t="str">
        <f t="array" ref="B1567">IF(F1567="VL","",IF(F1567="Free","Free",XLOOKUP(D1567,Roster!T:T,Roster!S:S,"",0)))</f>
        <v>Free</v>
      </c>
      <c r="C1567" s="313">
        <v>46126.0</v>
      </c>
      <c r="D1567" s="314" t="s">
        <v>23</v>
      </c>
      <c r="E1567" s="307" t="str">
        <f t="array" ref="E1567">(XLOOKUP(D1567,Roster!F:F,Roster!B:B,"",0))</f>
        <v>Christian Ramirez</v>
      </c>
      <c r="F1567" s="315" t="str">
        <f t="array" ref="F1567">IF(B1567=100,"Free",TEXT(XLOOKUP($D1567,OperationVoice!$A:$A,OperationVoice!T:T,XLOOKUP($D1567,OperationTickets!$A:$A,OperationTickets!T:T,"",0)),"hh:mm"))</f>
        <v>Free</v>
      </c>
      <c r="G1567" s="309" t="str">
        <f t="shared" si="3"/>
        <v>Free</v>
      </c>
      <c r="H1567" s="316" t="str">
        <f t="array" ref="H1567">XLOOKUP(B1567,Roster!L:L,Roster!N:N,XLOOKUP(D1567,TicketsBreak!A:A,TicketsBreak!E:E,"",0),0)</f>
        <v/>
      </c>
      <c r="I1567" s="316" t="str">
        <f t="array" ref="I1567">XLOOKUP(B1567,Roster!L:L,Roster!O:O,XLOOKUP(D1567,TicketsBreak!A:A,TicketsBreak!F:F,"",0),0)</f>
        <v/>
      </c>
      <c r="J1567" s="316" t="str">
        <f t="array" ref="J1567">XLOOKUP(B1567,Roster!L:L,Roster!P:P,XLOOKUP(D1567,TicketsBreak!A:A,TicketsBreak!G:G,"",0),0)</f>
        <v/>
      </c>
      <c r="K1567" s="310">
        <f t="shared" si="4"/>
        <v>46126</v>
      </c>
      <c r="L1567" s="317">
        <f t="array" ref="L1567">(XLOOKUP(D1567,Roster!F:F,Roster!D:D,"",0))</f>
        <v>36</v>
      </c>
      <c r="M1567" s="317" t="str">
        <f t="array" ref="M1567">XLOOKUP(D1567,Roster!F:F,Roster!E:E)</f>
        <v>Voice</v>
      </c>
      <c r="N1567" s="317" t="str">
        <f t="shared" ref="N1567:P1567" si="1591">LEFT(H1567,5)</f>
        <v/>
      </c>
      <c r="O1567" s="317" t="str">
        <f t="shared" si="1591"/>
        <v/>
      </c>
      <c r="P1567" s="317" t="str">
        <f t="shared" si="1591"/>
        <v/>
      </c>
      <c r="Q1567" s="318" t="str">
        <f t="shared" si="1515"/>
        <v/>
      </c>
      <c r="R1567" s="318" t="str">
        <f t="shared" si="1516"/>
        <v/>
      </c>
      <c r="S1567" s="318" t="str">
        <f t="shared" si="8"/>
        <v/>
      </c>
    </row>
    <row r="1568">
      <c r="A1568" s="14" t="str">
        <f t="shared" si="1"/>
        <v>C132546126</v>
      </c>
      <c r="B1568" s="185">
        <f t="array" ref="B1568">IF(F1568="VL","",IF(F1568="Free","Free",XLOOKUP(D1568,Roster!T:T,Roster!S:S,"",0)))</f>
        <v>123</v>
      </c>
      <c r="C1568" s="313">
        <v>46126.0</v>
      </c>
      <c r="D1568" s="314" t="s">
        <v>174</v>
      </c>
      <c r="E1568" s="307" t="str">
        <f t="array" ref="E1568">(XLOOKUP(D1568,Roster!F:F,Roster!B:B,"",0))</f>
        <v>Cristian Ferreira</v>
      </c>
      <c r="F1568" s="315" t="str">
        <f t="array" ref="F1568">IF(B1568=100,"Free",TEXT(XLOOKUP($D1568,OperationVoice!$A:$A,OperationVoice!T:T,XLOOKUP($D1568,OperationTickets!$A:$A,OperationTickets!T:T,"",0)),"hh:mm"))</f>
        <v>08:00</v>
      </c>
      <c r="G1568" s="309">
        <f t="shared" si="3"/>
        <v>0.7083333333</v>
      </c>
      <c r="H1568" s="316" t="str">
        <f t="array" ref="H1568">XLOOKUP(B1568,Roster!L:L,Roster!N:N,XLOOKUP(D1568,TicketsBreak!A:A,TicketsBreak!E:E,"",0),0)</f>
        <v>09:45 - 10:00 </v>
      </c>
      <c r="I1568" s="316" t="str">
        <f t="array" ref="I1568">XLOOKUP(B1568,Roster!L:L,Roster!O:O,XLOOKUP(D1568,TicketsBreak!A:A,TicketsBreak!F:F,"",0),0)</f>
        <v>12:30 - 13:00</v>
      </c>
      <c r="J1568" s="316" t="str">
        <f t="array" ref="J1568">XLOOKUP(B1568,Roster!L:L,Roster!P:P,XLOOKUP(D1568,TicketsBreak!A:A,TicketsBreak!G:G,"",0),0)</f>
        <v>15:00 - 15:15</v>
      </c>
      <c r="K1568" s="310">
        <f t="shared" si="4"/>
        <v>46126</v>
      </c>
      <c r="L1568" s="317">
        <f t="array" ref="L1568">(XLOOKUP(D1568,Roster!F:F,Roster!D:D,"",0))</f>
        <v>29</v>
      </c>
      <c r="M1568" s="317" t="str">
        <f t="array" ref="M1568">XLOOKUP(D1568,Roster!F:F,Roster!E:E)</f>
        <v>Tickets</v>
      </c>
      <c r="N1568" s="317" t="str">
        <f t="shared" ref="N1568:P1568" si="1592">LEFT(H1568,5)</f>
        <v>09:45</v>
      </c>
      <c r="O1568" s="317" t="str">
        <f t="shared" si="1592"/>
        <v>12:30</v>
      </c>
      <c r="P1568" s="317" t="str">
        <f t="shared" si="1592"/>
        <v>15:00</v>
      </c>
      <c r="Q1568" s="318">
        <f t="shared" si="1515"/>
        <v>46126.40625</v>
      </c>
      <c r="R1568" s="318">
        <f t="shared" si="1516"/>
        <v>46126.52083</v>
      </c>
      <c r="S1568" s="318">
        <f t="shared" si="8"/>
        <v>46126.625</v>
      </c>
    </row>
    <row r="1569">
      <c r="A1569" s="14" t="str">
        <f t="shared" si="1"/>
        <v>C151046126</v>
      </c>
      <c r="B1569" s="185">
        <f t="array" ref="B1569">IF(F1569="VL","",IF(F1569="Free","Free",XLOOKUP(D1569,Roster!T:T,Roster!S:S,"",0)))</f>
        <v>121</v>
      </c>
      <c r="C1569" s="313">
        <v>46126.0</v>
      </c>
      <c r="D1569" s="314" t="s">
        <v>24</v>
      </c>
      <c r="E1569" s="307" t="str">
        <f t="array" ref="E1569">(XLOOKUP(D1569,Roster!F:F,Roster!B:B,"",0))</f>
        <v>Cristian Gomez</v>
      </c>
      <c r="F1569" s="315" t="str">
        <f t="array" ref="F1569">IF(B1569=100,"Free",TEXT(XLOOKUP($D1569,OperationVoice!$A:$A,OperationVoice!T:T,XLOOKUP($D1569,OperationTickets!$A:$A,OperationTickets!T:T,"",0)),"hh:mm"))</f>
        <v>08:00</v>
      </c>
      <c r="G1569" s="309">
        <f t="shared" si="3"/>
        <v>0.7083333333</v>
      </c>
      <c r="H1569" s="316" t="str">
        <f t="array" ref="H1569">XLOOKUP(B1569,Roster!L:L,Roster!N:N,XLOOKUP(D1569,TicketsBreak!A:A,TicketsBreak!E:E,"",0),0)</f>
        <v>09:15 - 09:30</v>
      </c>
      <c r="I1569" s="316" t="str">
        <f t="array" ref="I1569">XLOOKUP(B1569,Roster!L:L,Roster!O:O,XLOOKUP(D1569,TicketsBreak!A:A,TicketsBreak!F:F,"",0),0)</f>
        <v>11:30 - 12:00</v>
      </c>
      <c r="J1569" s="316" t="str">
        <f t="array" ref="J1569">XLOOKUP(B1569,Roster!L:L,Roster!P:P,XLOOKUP(D1569,TicketsBreak!A:A,TicketsBreak!G:G,"",0),0)</f>
        <v>14:30 - 14:45</v>
      </c>
      <c r="K1569" s="310">
        <f t="shared" si="4"/>
        <v>46126</v>
      </c>
      <c r="L1569" s="317">
        <f t="array" ref="L1569">(XLOOKUP(D1569,Roster!F:F,Roster!D:D,"",0))</f>
        <v>35</v>
      </c>
      <c r="M1569" s="317" t="str">
        <f t="array" ref="M1569">XLOOKUP(D1569,Roster!F:F,Roster!E:E)</f>
        <v>Voice</v>
      </c>
      <c r="N1569" s="317" t="str">
        <f t="shared" ref="N1569:P1569" si="1593">LEFT(H1569,5)</f>
        <v>09:15</v>
      </c>
      <c r="O1569" s="317" t="str">
        <f t="shared" si="1593"/>
        <v>11:30</v>
      </c>
      <c r="P1569" s="317" t="str">
        <f t="shared" si="1593"/>
        <v>14:30</v>
      </c>
      <c r="Q1569" s="318">
        <f t="shared" si="1515"/>
        <v>46126.38542</v>
      </c>
      <c r="R1569" s="318">
        <f t="shared" si="1516"/>
        <v>46126.47917</v>
      </c>
      <c r="S1569" s="318">
        <f t="shared" si="8"/>
        <v>46126.60417</v>
      </c>
    </row>
    <row r="1570">
      <c r="A1570" s="14" t="str">
        <f t="shared" si="1"/>
        <v>C67346126</v>
      </c>
      <c r="B1570" s="185" t="str">
        <f t="array" ref="B1570">IF(F1570="VL","",IF(F1570="Free","Free",XLOOKUP(D1570,Roster!T:T,Roster!S:S,"",0)))</f>
        <v/>
      </c>
      <c r="C1570" s="313">
        <v>46126.0</v>
      </c>
      <c r="D1570" s="314" t="s">
        <v>156</v>
      </c>
      <c r="E1570" s="307" t="str">
        <f t="array" ref="E1570">(XLOOKUP(D1570,Roster!F:F,Roster!B:B,"",0))</f>
        <v>Dahiana Cano</v>
      </c>
      <c r="F1570" s="315" t="str">
        <f t="array" ref="F1570">IF(B1570=100,"Free",TEXT(XLOOKUP($D1570,OperationVoice!$A:$A,OperationVoice!T:T,XLOOKUP($D1570,OperationTickets!$A:$A,OperationTickets!T:T,"",0)),"hh:mm"))</f>
        <v>08:00</v>
      </c>
      <c r="G1570" s="309">
        <f t="shared" si="3"/>
        <v>0.7083333333</v>
      </c>
      <c r="H1570" s="316">
        <f t="array" ref="H1570">XLOOKUP(B1570,Roster!L:L,Roster!N:N,XLOOKUP(D1570,TicketsBreak!A:A,TicketsBreak!E:E,"",0),0)</f>
        <v>0.4583333333</v>
      </c>
      <c r="I1570" s="316">
        <f t="array" ref="I1570">XLOOKUP(B1570,Roster!L:L,Roster!O:O,XLOOKUP(D1570,TicketsBreak!A:A,TicketsBreak!F:F,"",0),0)</f>
        <v>0.5833333333</v>
      </c>
      <c r="J1570" s="316">
        <f t="array" ref="J1570">XLOOKUP(B1570,Roster!L:L,Roster!P:P,XLOOKUP(D1570,TicketsBreak!A:A,TicketsBreak!G:G,"",0),0)</f>
        <v>0.65625</v>
      </c>
      <c r="K1570" s="310">
        <f t="shared" si="4"/>
        <v>46126</v>
      </c>
      <c r="L1570" s="317">
        <f t="array" ref="L1570">(XLOOKUP(D1570,Roster!F:F,Roster!D:D,"",0))</f>
        <v>4</v>
      </c>
      <c r="M1570" s="317" t="str">
        <f t="array" ref="M1570">XLOOKUP(D1570,Roster!F:F,Roster!E:E)</f>
        <v>Tickets</v>
      </c>
      <c r="N1570" s="317" t="str">
        <f t="shared" ref="N1570:P1570" si="1594">LEFT(H1570,5)</f>
        <v>11:00</v>
      </c>
      <c r="O1570" s="317" t="str">
        <f t="shared" si="1594"/>
        <v>14:00</v>
      </c>
      <c r="P1570" s="317" t="str">
        <f t="shared" si="1594"/>
        <v>15:45</v>
      </c>
      <c r="Q1570" s="318">
        <f t="shared" si="1515"/>
        <v>46126.45833</v>
      </c>
      <c r="R1570" s="318">
        <f t="shared" si="1516"/>
        <v>46126.58333</v>
      </c>
      <c r="S1570" s="318">
        <f t="shared" si="8"/>
        <v>46126.65625</v>
      </c>
    </row>
    <row r="1571">
      <c r="A1571" s="14" t="str">
        <f t="shared" si="1"/>
        <v>C152946126</v>
      </c>
      <c r="B1571" s="185">
        <f t="array" ref="B1571">IF(F1571="VL","",IF(F1571="Free","Free",XLOOKUP(D1571,Roster!T:T,Roster!S:S,"",0)))</f>
        <v>133</v>
      </c>
      <c r="C1571" s="313">
        <v>46126.0</v>
      </c>
      <c r="D1571" s="314" t="s">
        <v>25</v>
      </c>
      <c r="E1571" s="307" t="str">
        <f t="array" ref="E1571">(XLOOKUP(D1571,Roster!F:F,Roster!B:B,"",0))</f>
        <v>Daniel Barrientos</v>
      </c>
      <c r="F1571" s="315" t="str">
        <f t="array" ref="F1571">IF(B1571=100,"Free",TEXT(XLOOKUP($D1571,OperationVoice!$A:$A,OperationVoice!T:T,XLOOKUP($D1571,OperationTickets!$A:$A,OperationTickets!T:T,"",0)),"hh:mm"))</f>
        <v>09:00</v>
      </c>
      <c r="G1571" s="309">
        <f t="shared" si="3"/>
        <v>0.75</v>
      </c>
      <c r="H1571" s="316" t="str">
        <f t="array" ref="H1571">XLOOKUP(B1571,Roster!L:L,Roster!N:N,XLOOKUP(D1571,TicketsBreak!A:A,TicketsBreak!E:E,"",0),0)</f>
        <v>10:45 - 11:00 </v>
      </c>
      <c r="I1571" s="316" t="str">
        <f t="array" ref="I1571">XLOOKUP(B1571,Roster!L:L,Roster!O:O,XLOOKUP(D1571,TicketsBreak!A:A,TicketsBreak!F:F,"",0),0)</f>
        <v>13:30 - 14:00</v>
      </c>
      <c r="J1571" s="316" t="str">
        <f t="array" ref="J1571">XLOOKUP(B1571,Roster!L:L,Roster!P:P,XLOOKUP(D1571,TicketsBreak!A:A,TicketsBreak!G:G,"",0),0)</f>
        <v>15:45 - 16:00</v>
      </c>
      <c r="K1571" s="310">
        <f t="shared" si="4"/>
        <v>46126</v>
      </c>
      <c r="L1571" s="317">
        <f t="array" ref="L1571">(XLOOKUP(D1571,Roster!F:F,Roster!D:D,"",0))</f>
        <v>36</v>
      </c>
      <c r="M1571" s="317" t="str">
        <f t="array" ref="M1571">XLOOKUP(D1571,Roster!F:F,Roster!E:E)</f>
        <v>Voice</v>
      </c>
      <c r="N1571" s="317" t="str">
        <f t="shared" ref="N1571:P1571" si="1595">LEFT(H1571,5)</f>
        <v>10:45</v>
      </c>
      <c r="O1571" s="317" t="str">
        <f t="shared" si="1595"/>
        <v>13:30</v>
      </c>
      <c r="P1571" s="317" t="str">
        <f t="shared" si="1595"/>
        <v>15:45</v>
      </c>
      <c r="Q1571" s="318">
        <f t="shared" si="1515"/>
        <v>46126.44792</v>
      </c>
      <c r="R1571" s="318">
        <f t="shared" si="1516"/>
        <v>46126.5625</v>
      </c>
      <c r="S1571" s="318">
        <f t="shared" si="8"/>
        <v>46126.65625</v>
      </c>
    </row>
    <row r="1572">
      <c r="A1572" s="14" t="str">
        <f t="shared" si="1"/>
        <v>C106446126</v>
      </c>
      <c r="B1572" s="185" t="str">
        <f t="array" ref="B1572">IF(F1572="VL","",IF(F1572="Free","Free",XLOOKUP(D1572,Roster!T:T,Roster!S:S,"",0)))</f>
        <v/>
      </c>
      <c r="C1572" s="313">
        <v>46126.0</v>
      </c>
      <c r="D1572" s="314" t="s">
        <v>175</v>
      </c>
      <c r="E1572" s="307" t="str">
        <f t="array" ref="E1572">(XLOOKUP(D1572,Roster!F:F,Roster!B:B,"",0))</f>
        <v>Daniel Urrego</v>
      </c>
      <c r="F1572" s="315" t="str">
        <f t="array" ref="F1572">IF(B1572=100,"Free",TEXT(XLOOKUP($D1572,OperationVoice!$A:$A,OperationVoice!T:T,XLOOKUP($D1572,OperationTickets!$A:$A,OperationTickets!T:T,"",0)),"hh:mm"))</f>
        <v>08:00</v>
      </c>
      <c r="G1572" s="309">
        <f t="shared" si="3"/>
        <v>0.7083333333</v>
      </c>
      <c r="H1572" s="316" t="str">
        <f t="array" ref="H1572">XLOOKUP(B1572,Roster!L:L,Roster!N:N,XLOOKUP(D1572,TicketsBreak!A:A,TicketsBreak!E:E,"",0),0)</f>
        <v/>
      </c>
      <c r="I1572" s="316" t="str">
        <f t="array" ref="I1572">XLOOKUP(B1572,Roster!L:L,Roster!O:O,XLOOKUP(D1572,TicketsBreak!A:A,TicketsBreak!F:F,"",0),0)</f>
        <v/>
      </c>
      <c r="J1572" s="316" t="str">
        <f t="array" ref="J1572">XLOOKUP(B1572,Roster!L:L,Roster!P:P,XLOOKUP(D1572,TicketsBreak!A:A,TicketsBreak!G:G,"",0),0)</f>
        <v/>
      </c>
      <c r="K1572" s="310">
        <f t="shared" si="4"/>
        <v>46126</v>
      </c>
      <c r="L1572" s="317">
        <f t="array" ref="L1572">(XLOOKUP(D1572,Roster!F:F,Roster!D:D,"",0))</f>
        <v>17</v>
      </c>
      <c r="M1572" s="317" t="str">
        <f t="array" ref="M1572">XLOOKUP(D1572,Roster!F:F,Roster!E:E)</f>
        <v>Tickets</v>
      </c>
      <c r="N1572" s="317" t="str">
        <f t="shared" ref="N1572:P1572" si="1596">LEFT(H1572,5)</f>
        <v/>
      </c>
      <c r="O1572" s="317" t="str">
        <f t="shared" si="1596"/>
        <v/>
      </c>
      <c r="P1572" s="317" t="str">
        <f t="shared" si="1596"/>
        <v/>
      </c>
      <c r="Q1572" s="318" t="str">
        <f t="shared" si="1515"/>
        <v/>
      </c>
      <c r="R1572" s="318" t="str">
        <f t="shared" si="1516"/>
        <v/>
      </c>
      <c r="S1572" s="318" t="str">
        <f t="shared" si="8"/>
        <v/>
      </c>
    </row>
    <row r="1573">
      <c r="A1573" s="14" t="str">
        <f t="shared" si="1"/>
        <v>C151346126</v>
      </c>
      <c r="B1573" s="185" t="str">
        <f t="array" ref="B1573">IF(F1573="VL","",IF(F1573="Free","Free",XLOOKUP(D1573,Roster!T:T,Roster!S:S,"",0)))</f>
        <v>Free</v>
      </c>
      <c r="C1573" s="313">
        <v>46126.0</v>
      </c>
      <c r="D1573" s="314" t="s">
        <v>26</v>
      </c>
      <c r="E1573" s="307" t="str">
        <f t="array" ref="E1573">(XLOOKUP(D1573,Roster!F:F,Roster!B:B,"",0))</f>
        <v>David Patino</v>
      </c>
      <c r="F1573" s="315" t="str">
        <f t="array" ref="F1573">IF(B1573=100,"Free",TEXT(XLOOKUP($D1573,OperationVoice!$A:$A,OperationVoice!T:T,XLOOKUP($D1573,OperationTickets!$A:$A,OperationTickets!T:T,"",0)),"hh:mm"))</f>
        <v>Free</v>
      </c>
      <c r="G1573" s="309" t="str">
        <f t="shared" si="3"/>
        <v>Free</v>
      </c>
      <c r="H1573" s="316" t="str">
        <f t="array" ref="H1573">XLOOKUP(B1573,Roster!L:L,Roster!N:N,XLOOKUP(D1573,TicketsBreak!A:A,TicketsBreak!E:E,"",0),0)</f>
        <v/>
      </c>
      <c r="I1573" s="316" t="str">
        <f t="array" ref="I1573">XLOOKUP(B1573,Roster!L:L,Roster!O:O,XLOOKUP(D1573,TicketsBreak!A:A,TicketsBreak!F:F,"",0),0)</f>
        <v/>
      </c>
      <c r="J1573" s="316" t="str">
        <f t="array" ref="J1573">XLOOKUP(B1573,Roster!L:L,Roster!P:P,XLOOKUP(D1573,TicketsBreak!A:A,TicketsBreak!G:G,"",0),0)</f>
        <v/>
      </c>
      <c r="K1573" s="310">
        <f t="shared" si="4"/>
        <v>46126</v>
      </c>
      <c r="L1573" s="317">
        <f t="array" ref="L1573">(XLOOKUP(D1573,Roster!F:F,Roster!D:D,"",0))</f>
        <v>35</v>
      </c>
      <c r="M1573" s="317" t="str">
        <f t="array" ref="M1573">XLOOKUP(D1573,Roster!F:F,Roster!E:E)</f>
        <v>Voice</v>
      </c>
      <c r="N1573" s="317" t="str">
        <f t="shared" ref="N1573:P1573" si="1597">LEFT(H1573,5)</f>
        <v/>
      </c>
      <c r="O1573" s="317" t="str">
        <f t="shared" si="1597"/>
        <v/>
      </c>
      <c r="P1573" s="317" t="str">
        <f t="shared" si="1597"/>
        <v/>
      </c>
      <c r="Q1573" s="318" t="str">
        <f t="shared" si="1515"/>
        <v/>
      </c>
      <c r="R1573" s="318" t="str">
        <f t="shared" si="1516"/>
        <v/>
      </c>
      <c r="S1573" s="318" t="str">
        <f t="shared" si="8"/>
        <v/>
      </c>
    </row>
    <row r="1574">
      <c r="A1574" s="14" t="str">
        <f t="shared" si="1"/>
        <v>C127746126</v>
      </c>
      <c r="B1574" s="185">
        <f t="array" ref="B1574">IF(F1574="VL","",IF(F1574="Free","Free",XLOOKUP(D1574,Roster!T:T,Roster!S:S,"",0)))</f>
        <v>124</v>
      </c>
      <c r="C1574" s="313">
        <v>46126.0</v>
      </c>
      <c r="D1574" s="314" t="s">
        <v>27</v>
      </c>
      <c r="E1574" s="307" t="str">
        <f t="array" ref="E1574">(XLOOKUP(D1574,Roster!F:F,Roster!B:B,"",0))</f>
        <v>Edwuin Martinez</v>
      </c>
      <c r="F1574" s="315" t="str">
        <f t="array" ref="F1574">IF(B1574=100,"Free",TEXT(XLOOKUP($D1574,OperationVoice!$A:$A,OperationVoice!T:T,XLOOKUP($D1574,OperationTickets!$A:$A,OperationTickets!T:T,"",0)),"hh:mm"))</f>
        <v>08:00</v>
      </c>
      <c r="G1574" s="309">
        <f t="shared" si="3"/>
        <v>0.7083333333</v>
      </c>
      <c r="H1574" s="316" t="str">
        <f t="array" ref="H1574">XLOOKUP(B1574,Roster!L:L,Roster!N:N,XLOOKUP(D1574,TicketsBreak!A:A,TicketsBreak!E:E,"",0),0)</f>
        <v>10:00 - 10:15</v>
      </c>
      <c r="I1574" s="316" t="str">
        <f t="array" ref="I1574">XLOOKUP(B1574,Roster!L:L,Roster!O:O,XLOOKUP(D1574,TicketsBreak!A:A,TicketsBreak!F:F,"",0),0)</f>
        <v>13:00 - 13:30</v>
      </c>
      <c r="J1574" s="316" t="str">
        <f t="array" ref="J1574">XLOOKUP(B1574,Roster!L:L,Roster!P:P,XLOOKUP(D1574,TicketsBreak!A:A,TicketsBreak!G:G,"",0),0)</f>
        <v>15:30 - 15:45</v>
      </c>
      <c r="K1574" s="310">
        <f t="shared" si="4"/>
        <v>46126</v>
      </c>
      <c r="L1574" s="317">
        <f t="array" ref="L1574">(XLOOKUP(D1574,Roster!F:F,Roster!D:D,"",0))</f>
        <v>27</v>
      </c>
      <c r="M1574" s="317" t="str">
        <f t="array" ref="M1574">XLOOKUP(D1574,Roster!F:F,Roster!E:E)</f>
        <v>Voice</v>
      </c>
      <c r="N1574" s="317" t="str">
        <f t="shared" ref="N1574:P1574" si="1598">LEFT(H1574,5)</f>
        <v>10:00</v>
      </c>
      <c r="O1574" s="317" t="str">
        <f t="shared" si="1598"/>
        <v>13:00</v>
      </c>
      <c r="P1574" s="317" t="str">
        <f t="shared" si="1598"/>
        <v>15:30</v>
      </c>
      <c r="Q1574" s="318">
        <f t="shared" si="1515"/>
        <v>46126.41667</v>
      </c>
      <c r="R1574" s="318">
        <f t="shared" si="1516"/>
        <v>46126.54167</v>
      </c>
      <c r="S1574" s="318">
        <f t="shared" si="8"/>
        <v>46126.64583</v>
      </c>
    </row>
    <row r="1575">
      <c r="A1575" s="14" t="str">
        <f t="shared" si="1"/>
        <v>C121646126</v>
      </c>
      <c r="B1575" s="185" t="str">
        <f t="array" ref="B1575">IF(F1575="VL","",IF(F1575="Free","Free",XLOOKUP(D1575,Roster!T:T,Roster!S:S,"",0)))</f>
        <v/>
      </c>
      <c r="C1575" s="313">
        <v>46126.0</v>
      </c>
      <c r="D1575" s="314" t="s">
        <v>134</v>
      </c>
      <c r="E1575" s="307" t="str">
        <f t="array" ref="E1575">(XLOOKUP(D1575,Roster!F:F,Roster!B:B,"",0))</f>
        <v>Eliana Pena</v>
      </c>
      <c r="F1575" s="315" t="str">
        <f t="array" ref="F1575">IF(B1575=100,"Free",TEXT(XLOOKUP($D1575,OperationVoice!$A:$A,OperationVoice!T:T,XLOOKUP($D1575,OperationTickets!$A:$A,OperationTickets!T:T,"",0)),"hh:mm"))</f>
        <v>08:00</v>
      </c>
      <c r="G1575" s="309">
        <f t="shared" si="3"/>
        <v>0.7083333333</v>
      </c>
      <c r="H1575" s="316">
        <f t="array" ref="H1575">XLOOKUP(B1575,Roster!L:L,Roster!N:N,XLOOKUP(D1575,TicketsBreak!A:A,TicketsBreak!E:E,"",0),0)</f>
        <v>0.3958333333</v>
      </c>
      <c r="I1575" s="316">
        <f t="array" ref="I1575">XLOOKUP(B1575,Roster!L:L,Roster!O:O,XLOOKUP(D1575,TicketsBreak!A:A,TicketsBreak!F:F,"",0),0)</f>
        <v>0.5416666667</v>
      </c>
      <c r="J1575" s="316">
        <f t="array" ref="J1575">XLOOKUP(B1575,Roster!L:L,Roster!P:P,XLOOKUP(D1575,TicketsBreak!A:A,TicketsBreak!G:G,"",0),0)</f>
        <v>0.6354166667</v>
      </c>
      <c r="K1575" s="310">
        <f t="shared" si="4"/>
        <v>46126</v>
      </c>
      <c r="L1575" s="317">
        <f t="array" ref="L1575">(XLOOKUP(D1575,Roster!F:F,Roster!D:D,"",0))</f>
        <v>26</v>
      </c>
      <c r="M1575" s="317" t="str">
        <f t="array" ref="M1575">XLOOKUP(D1575,Roster!F:F,Roster!E:E)</f>
        <v>Tickets</v>
      </c>
      <c r="N1575" s="317" t="str">
        <f t="shared" ref="N1575:P1575" si="1599">LEFT(H1575,5)</f>
        <v>09:30</v>
      </c>
      <c r="O1575" s="317" t="str">
        <f t="shared" si="1599"/>
        <v>13:00</v>
      </c>
      <c r="P1575" s="317" t="str">
        <f t="shared" si="1599"/>
        <v>15:15</v>
      </c>
      <c r="Q1575" s="318">
        <f t="shared" si="1515"/>
        <v>46126.39583</v>
      </c>
      <c r="R1575" s="318">
        <f t="shared" si="1516"/>
        <v>46126.54167</v>
      </c>
      <c r="S1575" s="318">
        <f t="shared" si="8"/>
        <v>46126.63542</v>
      </c>
    </row>
    <row r="1576">
      <c r="A1576" s="14" t="str">
        <f t="shared" si="1"/>
        <v>C157346126</v>
      </c>
      <c r="B1576" s="185">
        <f t="array" ref="B1576">IF(F1576="VL","",IF(F1576="Free","Free",XLOOKUP(D1576,Roster!T:T,Roster!S:S,"",0)))</f>
        <v>123</v>
      </c>
      <c r="C1576" s="313">
        <v>46126.0</v>
      </c>
      <c r="D1576" s="314" t="s">
        <v>28</v>
      </c>
      <c r="E1576" s="307" t="str">
        <f t="array" ref="E1576">(XLOOKUP(D1576,Roster!F:F,Roster!B:B,"",0))</f>
        <v>Esteban Correa</v>
      </c>
      <c r="F1576" s="315" t="str">
        <f t="array" ref="F1576">IF(B1576=100,"Free",TEXT(XLOOKUP($D1576,OperationVoice!$A:$A,OperationVoice!T:T,XLOOKUP($D1576,OperationTickets!$A:$A,OperationTickets!T:T,"",0)),"hh:mm"))</f>
        <v>08:00</v>
      </c>
      <c r="G1576" s="309">
        <f t="shared" si="3"/>
        <v>0.7083333333</v>
      </c>
      <c r="H1576" s="316" t="str">
        <f t="array" ref="H1576">XLOOKUP(B1576,Roster!L:L,Roster!N:N,XLOOKUP(D1576,TicketsBreak!A:A,TicketsBreak!E:E,"",0),0)</f>
        <v>09:45 - 10:00 </v>
      </c>
      <c r="I1576" s="316" t="str">
        <f t="array" ref="I1576">XLOOKUP(B1576,Roster!L:L,Roster!O:O,XLOOKUP(D1576,TicketsBreak!A:A,TicketsBreak!F:F,"",0),0)</f>
        <v>12:30 - 13:00</v>
      </c>
      <c r="J1576" s="316" t="str">
        <f t="array" ref="J1576">XLOOKUP(B1576,Roster!L:L,Roster!P:P,XLOOKUP(D1576,TicketsBreak!A:A,TicketsBreak!G:G,"",0),0)</f>
        <v>15:00 - 15:15</v>
      </c>
      <c r="K1576" s="310">
        <f t="shared" si="4"/>
        <v>46126</v>
      </c>
      <c r="L1576" s="317">
        <f t="array" ref="L1576">(XLOOKUP(D1576,Roster!F:F,Roster!D:D,"",0))</f>
        <v>38</v>
      </c>
      <c r="M1576" s="317" t="str">
        <f t="array" ref="M1576">XLOOKUP(D1576,Roster!F:F,Roster!E:E)</f>
        <v>Voice</v>
      </c>
      <c r="N1576" s="317" t="str">
        <f t="shared" ref="N1576:P1576" si="1600">LEFT(H1576,5)</f>
        <v>09:45</v>
      </c>
      <c r="O1576" s="317" t="str">
        <f t="shared" si="1600"/>
        <v>12:30</v>
      </c>
      <c r="P1576" s="317" t="str">
        <f t="shared" si="1600"/>
        <v>15:00</v>
      </c>
      <c r="Q1576" s="318">
        <f t="shared" si="1515"/>
        <v>46126.40625</v>
      </c>
      <c r="R1576" s="318">
        <f t="shared" si="1516"/>
        <v>46126.52083</v>
      </c>
      <c r="S1576" s="318">
        <f t="shared" si="8"/>
        <v>46126.625</v>
      </c>
    </row>
    <row r="1577">
      <c r="A1577" s="14" t="str">
        <f t="shared" si="1"/>
        <v>C71346126</v>
      </c>
      <c r="B1577" s="185">
        <f t="array" ref="B1577">IF(F1577="VL","",IF(F1577="Free","Free",XLOOKUP(D1577,Roster!T:T,Roster!S:S,"",0)))</f>
        <v>125</v>
      </c>
      <c r="C1577" s="313">
        <v>46126.0</v>
      </c>
      <c r="D1577" s="314" t="s">
        <v>29</v>
      </c>
      <c r="E1577" s="307" t="str">
        <f t="array" ref="E1577">(XLOOKUP(D1577,Roster!F:F,Roster!B:B,"",0))</f>
        <v>Frank Marin</v>
      </c>
      <c r="F1577" s="315" t="str">
        <f t="array" ref="F1577">IF(B1577=100,"Free",TEXT(XLOOKUP($D1577,OperationVoice!$A:$A,OperationVoice!T:T,XLOOKUP($D1577,OperationTickets!$A:$A,OperationTickets!T:T,"",0)),"hh:mm"))</f>
        <v>08:00</v>
      </c>
      <c r="G1577" s="309">
        <f t="shared" si="3"/>
        <v>0.7083333333</v>
      </c>
      <c r="H1577" s="316" t="str">
        <f t="array" ref="H1577">XLOOKUP(B1577,Roster!L:L,Roster!N:N,XLOOKUP(D1577,TicketsBreak!A:A,TicketsBreak!E:E,"",0),0)</f>
        <v>10:30 - 10:45</v>
      </c>
      <c r="I1577" s="316" t="str">
        <f t="array" ref="I1577">XLOOKUP(B1577,Roster!L:L,Roster!O:O,XLOOKUP(D1577,TicketsBreak!A:A,TicketsBreak!F:F,"",0),0)</f>
        <v>13:30 - 14:00</v>
      </c>
      <c r="J1577" s="316" t="str">
        <f t="array" ref="J1577">XLOOKUP(B1577,Roster!L:L,Roster!P:P,XLOOKUP(D1577,TicketsBreak!A:A,TicketsBreak!G:G,"",0),0)</f>
        <v>15:45 - 16:00</v>
      </c>
      <c r="K1577" s="310">
        <f t="shared" si="4"/>
        <v>46126</v>
      </c>
      <c r="L1577" s="317">
        <f t="array" ref="L1577">(XLOOKUP(D1577,Roster!F:F,Roster!D:D,"",0))</f>
        <v>6</v>
      </c>
      <c r="M1577" s="317" t="str">
        <f t="array" ref="M1577">XLOOKUP(D1577,Roster!F:F,Roster!E:E)</f>
        <v>Voice</v>
      </c>
      <c r="N1577" s="317" t="str">
        <f t="shared" ref="N1577:P1577" si="1601">LEFT(H1577,5)</f>
        <v>10:30</v>
      </c>
      <c r="O1577" s="317" t="str">
        <f t="shared" si="1601"/>
        <v>13:30</v>
      </c>
      <c r="P1577" s="317" t="str">
        <f t="shared" si="1601"/>
        <v>15:45</v>
      </c>
      <c r="Q1577" s="318">
        <f t="shared" si="1515"/>
        <v>46126.4375</v>
      </c>
      <c r="R1577" s="318">
        <f t="shared" si="1516"/>
        <v>46126.5625</v>
      </c>
      <c r="S1577" s="318">
        <f t="shared" si="8"/>
        <v>46126.65625</v>
      </c>
    </row>
    <row r="1578">
      <c r="A1578" s="14" t="str">
        <f t="shared" si="1"/>
        <v>C154846126</v>
      </c>
      <c r="B1578" s="185">
        <f t="array" ref="B1578">IF(F1578="VL","",IF(F1578="Free","Free",XLOOKUP(D1578,Roster!T:T,Roster!S:S,"",0)))</f>
        <v>152</v>
      </c>
      <c r="C1578" s="313">
        <v>46126.0</v>
      </c>
      <c r="D1578" s="314" t="s">
        <v>30</v>
      </c>
      <c r="E1578" s="307" t="str">
        <f t="array" ref="E1578">(XLOOKUP(D1578,Roster!F:F,Roster!B:B,"",0))</f>
        <v>Frey ortiz</v>
      </c>
      <c r="F1578" s="315" t="str">
        <f t="array" ref="F1578">IF(B1578=100,"Free",TEXT(XLOOKUP($D1578,OperationVoice!$A:$A,OperationVoice!T:T,XLOOKUP($D1578,OperationTickets!$A:$A,OperationTickets!T:T,"",0)),"hh:mm"))</f>
        <v>11:00</v>
      </c>
      <c r="G1578" s="309">
        <f t="shared" si="3"/>
        <v>0.8333333333</v>
      </c>
      <c r="H1578" s="316" t="str">
        <f t="array" ref="H1578">XLOOKUP(B1578,Roster!L:L,Roster!N:N,XLOOKUP(D1578,TicketsBreak!A:A,TicketsBreak!E:E,"",0),0)</f>
        <v>12:30 - 12:45</v>
      </c>
      <c r="I1578" s="316" t="str">
        <f t="array" ref="I1578">XLOOKUP(B1578,Roster!L:L,Roster!O:O,XLOOKUP(D1578,TicketsBreak!A:A,TicketsBreak!F:F,"",0),0)</f>
        <v>14:30 - 15:00</v>
      </c>
      <c r="J1578" s="316" t="str">
        <f t="array" ref="J1578">XLOOKUP(B1578,Roster!L:L,Roster!P:P,XLOOKUP(D1578,TicketsBreak!A:A,TicketsBreak!G:G,"",0),0)</f>
        <v>17:30 - 17:45</v>
      </c>
      <c r="K1578" s="310">
        <f t="shared" si="4"/>
        <v>46126</v>
      </c>
      <c r="L1578" s="317">
        <f t="array" ref="L1578">(XLOOKUP(D1578,Roster!F:F,Roster!D:D,"",0))</f>
        <v>37</v>
      </c>
      <c r="M1578" s="317" t="str">
        <f t="array" ref="M1578">XLOOKUP(D1578,Roster!F:F,Roster!E:E)</f>
        <v>Voice</v>
      </c>
      <c r="N1578" s="317" t="str">
        <f t="shared" ref="N1578:P1578" si="1602">LEFT(H1578,5)</f>
        <v>12:30</v>
      </c>
      <c r="O1578" s="317" t="str">
        <f t="shared" si="1602"/>
        <v>14:30</v>
      </c>
      <c r="P1578" s="317" t="str">
        <f t="shared" si="1602"/>
        <v>17:30</v>
      </c>
      <c r="Q1578" s="318">
        <f t="shared" si="1515"/>
        <v>46126.52083</v>
      </c>
      <c r="R1578" s="318">
        <f t="shared" si="1516"/>
        <v>46126.60417</v>
      </c>
      <c r="S1578" s="318">
        <f t="shared" si="8"/>
        <v>46126.72917</v>
      </c>
    </row>
    <row r="1579">
      <c r="A1579" s="14" t="str">
        <f t="shared" si="1"/>
        <v>C148646126</v>
      </c>
      <c r="B1579" s="185">
        <f t="array" ref="B1579">IF(F1579="VL","",IF(F1579="Free","Free",XLOOKUP(D1579,Roster!T:T,Roster!S:S,"",0)))</f>
        <v>154</v>
      </c>
      <c r="C1579" s="313">
        <v>46126.0</v>
      </c>
      <c r="D1579" s="314" t="s">
        <v>31</v>
      </c>
      <c r="E1579" s="307" t="str">
        <f t="array" ref="E1579">(XLOOKUP(D1579,Roster!F:F,Roster!B:B,"",0))</f>
        <v>Gabriel Gomez</v>
      </c>
      <c r="F1579" s="315" t="str">
        <f t="array" ref="F1579">IF(B1579=100,"Free",TEXT(XLOOKUP($D1579,OperationVoice!$A:$A,OperationVoice!T:T,XLOOKUP($D1579,OperationTickets!$A:$A,OperationTickets!T:T,"",0)),"hh:mm"))</f>
        <v>11:00</v>
      </c>
      <c r="G1579" s="309">
        <f t="shared" si="3"/>
        <v>0.8333333333</v>
      </c>
      <c r="H1579" s="316" t="str">
        <f t="array" ref="H1579">XLOOKUP(B1579,Roster!L:L,Roster!N:N,XLOOKUP(D1579,TicketsBreak!A:A,TicketsBreak!E:E,"",0),0)</f>
        <v>13:00 - 13:15</v>
      </c>
      <c r="I1579" s="316" t="str">
        <f t="array" ref="I1579">XLOOKUP(B1579,Roster!L:L,Roster!O:O,XLOOKUP(D1579,TicketsBreak!A:A,TicketsBreak!F:F,"",0),0)</f>
        <v>15:15 - 15:45</v>
      </c>
      <c r="J1579" s="316" t="str">
        <f t="array" ref="J1579">XLOOKUP(B1579,Roster!L:L,Roster!P:P,XLOOKUP(D1579,TicketsBreak!A:A,TicketsBreak!G:G,"",0),0)</f>
        <v>18:00 - 18:15</v>
      </c>
      <c r="K1579" s="310">
        <f t="shared" si="4"/>
        <v>46126</v>
      </c>
      <c r="L1579" s="317">
        <f t="array" ref="L1579">(XLOOKUP(D1579,Roster!F:F,Roster!D:D,"",0))</f>
        <v>34</v>
      </c>
      <c r="M1579" s="317" t="str">
        <f t="array" ref="M1579">XLOOKUP(D1579,Roster!F:F,Roster!E:E)</f>
        <v>Voice</v>
      </c>
      <c r="N1579" s="317" t="str">
        <f t="shared" ref="N1579:P1579" si="1603">LEFT(H1579,5)</f>
        <v>13:00</v>
      </c>
      <c r="O1579" s="317" t="str">
        <f t="shared" si="1603"/>
        <v>15:15</v>
      </c>
      <c r="P1579" s="317" t="str">
        <f t="shared" si="1603"/>
        <v>18:00</v>
      </c>
      <c r="Q1579" s="318">
        <f t="shared" si="1515"/>
        <v>46126.54167</v>
      </c>
      <c r="R1579" s="318">
        <f t="shared" si="1516"/>
        <v>46126.63542</v>
      </c>
      <c r="S1579" s="318">
        <f t="shared" si="8"/>
        <v>46126.75</v>
      </c>
    </row>
    <row r="1580">
      <c r="A1580" s="14" t="str">
        <f t="shared" si="1"/>
        <v>C136946126</v>
      </c>
      <c r="B1580" s="185">
        <f t="array" ref="B1580">IF(F1580="VL","",IF(F1580="Free","Free",XLOOKUP(D1580,Roster!T:T,Roster!S:S,"",0)))</f>
        <v>126</v>
      </c>
      <c r="C1580" s="313">
        <v>46126.0</v>
      </c>
      <c r="D1580" s="314" t="s">
        <v>157</v>
      </c>
      <c r="E1580" s="307" t="str">
        <f t="array" ref="E1580">(XLOOKUP(D1580,Roster!F:F,Roster!B:B,"",0))</f>
        <v>Gabriela Jimenez</v>
      </c>
      <c r="F1580" s="315" t="str">
        <f t="array" ref="F1580">IF(B1580=100,"Free",TEXT(XLOOKUP($D1580,OperationVoice!$A:$A,OperationVoice!T:T,XLOOKUP($D1580,OperationTickets!$A:$A,OperationTickets!T:T,"",0)),"hh:mm"))</f>
        <v>08:00</v>
      </c>
      <c r="G1580" s="309">
        <f t="shared" si="3"/>
        <v>0.7083333333</v>
      </c>
      <c r="H1580" s="316" t="str">
        <f t="array" ref="H1580">XLOOKUP(B1580,Roster!L:L,Roster!N:N,XLOOKUP(D1580,TicketsBreak!A:A,TicketsBreak!E:E,"",0),0)</f>
        <v>10:45 - 11:00</v>
      </c>
      <c r="I1580" s="316" t="str">
        <f t="array" ref="I1580">XLOOKUP(B1580,Roster!L:L,Roster!O:O,XLOOKUP(D1580,TicketsBreak!A:A,TicketsBreak!F:F,"",0),0)</f>
        <v>14:00 - 14:30</v>
      </c>
      <c r="J1580" s="316" t="str">
        <f t="array" ref="J1580">XLOOKUP(B1580,Roster!L:L,Roster!P:P,XLOOKUP(D1580,TicketsBreak!A:A,TicketsBreak!G:G,"",0),0)</f>
        <v>15:45 - 16:00</v>
      </c>
      <c r="K1580" s="310">
        <f t="shared" si="4"/>
        <v>46126</v>
      </c>
      <c r="L1580" s="317">
        <f t="array" ref="L1580">(XLOOKUP(D1580,Roster!F:F,Roster!D:D,"",0))</f>
        <v>31</v>
      </c>
      <c r="M1580" s="317" t="str">
        <f t="array" ref="M1580">XLOOKUP(D1580,Roster!F:F,Roster!E:E)</f>
        <v>Tickets</v>
      </c>
      <c r="N1580" s="317" t="str">
        <f t="shared" ref="N1580:P1580" si="1604">LEFT(H1580,5)</f>
        <v>10:45</v>
      </c>
      <c r="O1580" s="317" t="str">
        <f t="shared" si="1604"/>
        <v>14:00</v>
      </c>
      <c r="P1580" s="317" t="str">
        <f t="shared" si="1604"/>
        <v>15:45</v>
      </c>
      <c r="Q1580" s="318">
        <f t="shared" si="1515"/>
        <v>46126.44792</v>
      </c>
      <c r="R1580" s="318">
        <f t="shared" si="1516"/>
        <v>46126.58333</v>
      </c>
      <c r="S1580" s="318">
        <f t="shared" si="8"/>
        <v>46126.65625</v>
      </c>
    </row>
    <row r="1581">
      <c r="A1581" s="14" t="str">
        <f t="shared" si="1"/>
        <v>C101746126</v>
      </c>
      <c r="B1581" s="185">
        <f t="array" ref="B1581">IF(F1581="VL","",IF(F1581="Free","Free",XLOOKUP(D1581,Roster!T:T,Roster!S:S,"",0)))</f>
        <v>121</v>
      </c>
      <c r="C1581" s="313">
        <v>46126.0</v>
      </c>
      <c r="D1581" s="314" t="s">
        <v>32</v>
      </c>
      <c r="E1581" s="307" t="str">
        <f t="array" ref="E1581">(XLOOKUP(D1581,Roster!F:F,Roster!B:B,"",0))</f>
        <v>Geraldine Correa</v>
      </c>
      <c r="F1581" s="315" t="str">
        <f t="array" ref="F1581">IF(B1581=100,"Free",TEXT(XLOOKUP($D1581,OperationVoice!$A:$A,OperationVoice!T:T,XLOOKUP($D1581,OperationTickets!$A:$A,OperationTickets!T:T,"",0)),"hh:mm"))</f>
        <v>08:00</v>
      </c>
      <c r="G1581" s="309">
        <f t="shared" si="3"/>
        <v>0.7083333333</v>
      </c>
      <c r="H1581" s="316" t="str">
        <f t="array" ref="H1581">XLOOKUP(B1581,Roster!L:L,Roster!N:N,XLOOKUP(D1581,TicketsBreak!A:A,TicketsBreak!E:E,"",0),0)</f>
        <v>09:15 - 09:30</v>
      </c>
      <c r="I1581" s="316" t="str">
        <f t="array" ref="I1581">XLOOKUP(B1581,Roster!L:L,Roster!O:O,XLOOKUP(D1581,TicketsBreak!A:A,TicketsBreak!F:F,"",0),0)</f>
        <v>11:30 - 12:00</v>
      </c>
      <c r="J1581" s="316" t="str">
        <f t="array" ref="J1581">XLOOKUP(B1581,Roster!L:L,Roster!P:P,XLOOKUP(D1581,TicketsBreak!A:A,TicketsBreak!G:G,"",0),0)</f>
        <v>14:30 - 14:45</v>
      </c>
      <c r="K1581" s="310">
        <f t="shared" si="4"/>
        <v>46126</v>
      </c>
      <c r="L1581" s="317">
        <f t="array" ref="L1581">(XLOOKUP(D1581,Roster!F:F,Roster!D:D,"",0))</f>
        <v>23</v>
      </c>
      <c r="M1581" s="317" t="str">
        <f t="array" ref="M1581">XLOOKUP(D1581,Roster!F:F,Roster!E:E)</f>
        <v>Voice</v>
      </c>
      <c r="N1581" s="317" t="str">
        <f t="shared" ref="N1581:P1581" si="1605">LEFT(H1581,5)</f>
        <v>09:15</v>
      </c>
      <c r="O1581" s="317" t="str">
        <f t="shared" si="1605"/>
        <v>11:30</v>
      </c>
      <c r="P1581" s="317" t="str">
        <f t="shared" si="1605"/>
        <v>14:30</v>
      </c>
      <c r="Q1581" s="318">
        <f t="shared" si="1515"/>
        <v>46126.38542</v>
      </c>
      <c r="R1581" s="318">
        <f t="shared" si="1516"/>
        <v>46126.47917</v>
      </c>
      <c r="S1581" s="318">
        <f t="shared" si="8"/>
        <v>46126.60417</v>
      </c>
    </row>
    <row r="1582">
      <c r="A1582" s="14" t="str">
        <f t="shared" si="1"/>
        <v>C154146126</v>
      </c>
      <c r="B1582" s="185">
        <f t="array" ref="B1582">IF(F1582="VL","",IF(F1582="Free","Free",XLOOKUP(D1582,Roster!T:T,Roster!S:S,"",0)))</f>
        <v>155</v>
      </c>
      <c r="C1582" s="313">
        <v>46126.0</v>
      </c>
      <c r="D1582" s="314" t="s">
        <v>33</v>
      </c>
      <c r="E1582" s="307" t="str">
        <f t="array" ref="E1582">(XLOOKUP(D1582,Roster!F:F,Roster!B:B,"",0))</f>
        <v>Gisel Moya</v>
      </c>
      <c r="F1582" s="315" t="str">
        <f t="array" ref="F1582">IF(B1582=100,"Free",TEXT(XLOOKUP($D1582,OperationVoice!$A:$A,OperationVoice!T:T,XLOOKUP($D1582,OperationTickets!$A:$A,OperationTickets!T:T,"",0)),"hh:mm"))</f>
        <v>11:00</v>
      </c>
      <c r="G1582" s="309">
        <f t="shared" si="3"/>
        <v>0.8333333333</v>
      </c>
      <c r="H1582" s="316" t="str">
        <f t="array" ref="H1582">XLOOKUP(B1582,Roster!L:L,Roster!N:N,XLOOKUP(D1582,TicketsBreak!A:A,TicketsBreak!E:E,"",0),0)</f>
        <v>13:15 - 13:30</v>
      </c>
      <c r="I1582" s="316" t="str">
        <f t="array" ref="I1582">XLOOKUP(B1582,Roster!L:L,Roster!O:O,XLOOKUP(D1582,TicketsBreak!A:A,TicketsBreak!F:F,"",0),0)</f>
        <v>15:45 - 16:15</v>
      </c>
      <c r="J1582" s="316" t="str">
        <f t="array" ref="J1582">XLOOKUP(B1582,Roster!L:L,Roster!P:P,XLOOKUP(D1582,TicketsBreak!A:A,TicketsBreak!G:G,"",0),0)</f>
        <v>18:15 - 18:30</v>
      </c>
      <c r="K1582" s="310">
        <f t="shared" si="4"/>
        <v>46126</v>
      </c>
      <c r="L1582" s="317">
        <f t="array" ref="L1582">(XLOOKUP(D1582,Roster!F:F,Roster!D:D,"",0))</f>
        <v>36</v>
      </c>
      <c r="M1582" s="317" t="str">
        <f t="array" ref="M1582">XLOOKUP(D1582,Roster!F:F,Roster!E:E)</f>
        <v>Voice</v>
      </c>
      <c r="N1582" s="317" t="str">
        <f t="shared" ref="N1582:P1582" si="1606">LEFT(H1582,5)</f>
        <v>13:15</v>
      </c>
      <c r="O1582" s="317" t="str">
        <f t="shared" si="1606"/>
        <v>15:45</v>
      </c>
      <c r="P1582" s="317" t="str">
        <f t="shared" si="1606"/>
        <v>18:15</v>
      </c>
      <c r="Q1582" s="318">
        <f t="shared" si="1515"/>
        <v>46126.55208</v>
      </c>
      <c r="R1582" s="318">
        <f t="shared" si="1516"/>
        <v>46126.65625</v>
      </c>
      <c r="S1582" s="318">
        <f t="shared" si="8"/>
        <v>46126.76042</v>
      </c>
    </row>
    <row r="1583">
      <c r="A1583" s="14" t="str">
        <f t="shared" si="1"/>
        <v>C86046126</v>
      </c>
      <c r="B1583" s="185" t="str">
        <f t="array" ref="B1583">IF(F1583="VL","",IF(F1583="Free","Free",XLOOKUP(D1583,Roster!T:T,Roster!S:S,"",0)))</f>
        <v/>
      </c>
      <c r="C1583" s="313">
        <v>46126.0</v>
      </c>
      <c r="D1583" s="314" t="s">
        <v>158</v>
      </c>
      <c r="E1583" s="307" t="str">
        <f t="array" ref="E1583">(XLOOKUP(D1583,Roster!F:F,Roster!B:B,"",0))</f>
        <v>Ief Fabre</v>
      </c>
      <c r="F1583" s="315" t="str">
        <f t="array" ref="F1583">IF(B1583=100,"Free",TEXT(XLOOKUP($D1583,OperationVoice!$A:$A,OperationVoice!T:T,XLOOKUP($D1583,OperationTickets!$A:$A,OperationTickets!T:T,"",0)),"hh:mm"))</f>
        <v>08:00</v>
      </c>
      <c r="G1583" s="309">
        <f t="shared" si="3"/>
        <v>0.7083333333</v>
      </c>
      <c r="H1583" s="316">
        <f t="array" ref="H1583">XLOOKUP(B1583,Roster!L:L,Roster!N:N,XLOOKUP(D1583,TicketsBreak!A:A,TicketsBreak!E:E,"",0),0)</f>
        <v>0.4166666667</v>
      </c>
      <c r="I1583" s="316">
        <f t="array" ref="I1583">XLOOKUP(B1583,Roster!L:L,Roster!O:O,XLOOKUP(D1583,TicketsBreak!A:A,TicketsBreak!F:F,"",0),0)</f>
        <v>0.5</v>
      </c>
      <c r="J1583" s="316">
        <f t="array" ref="J1583">XLOOKUP(B1583,Roster!L:L,Roster!P:P,XLOOKUP(D1583,TicketsBreak!A:A,TicketsBreak!G:G,"",0),0)</f>
        <v>0.625</v>
      </c>
      <c r="K1583" s="310">
        <f t="shared" si="4"/>
        <v>46126</v>
      </c>
      <c r="L1583" s="317">
        <f t="array" ref="L1583">(XLOOKUP(D1583,Roster!F:F,Roster!D:D,"",0))</f>
        <v>10</v>
      </c>
      <c r="M1583" s="317" t="str">
        <f t="array" ref="M1583">XLOOKUP(D1583,Roster!F:F,Roster!E:E)</f>
        <v>Tickets</v>
      </c>
      <c r="N1583" s="317" t="str">
        <f t="shared" ref="N1583:P1583" si="1607">LEFT(H1583,5)</f>
        <v>10:00</v>
      </c>
      <c r="O1583" s="317" t="str">
        <f t="shared" si="1607"/>
        <v>12:00</v>
      </c>
      <c r="P1583" s="317" t="str">
        <f t="shared" si="1607"/>
        <v>15:00</v>
      </c>
      <c r="Q1583" s="318">
        <f t="shared" si="1515"/>
        <v>46126.41667</v>
      </c>
      <c r="R1583" s="318">
        <f t="shared" si="1516"/>
        <v>46126.5</v>
      </c>
      <c r="S1583" s="318">
        <f t="shared" si="8"/>
        <v>46126.625</v>
      </c>
    </row>
    <row r="1584">
      <c r="A1584" s="14" t="str">
        <f t="shared" si="1"/>
        <v>C148146126</v>
      </c>
      <c r="B1584" s="185">
        <f t="array" ref="B1584">IF(F1584="VL","",IF(F1584="Free","Free",XLOOKUP(D1584,Roster!T:T,Roster!S:S,"",0)))</f>
        <v>155</v>
      </c>
      <c r="C1584" s="313">
        <v>46126.0</v>
      </c>
      <c r="D1584" s="314" t="s">
        <v>34</v>
      </c>
      <c r="E1584" s="307" t="str">
        <f t="array" ref="E1584">(XLOOKUP(D1584,Roster!F:F,Roster!B:B,"",0))</f>
        <v>Jasam Mejia</v>
      </c>
      <c r="F1584" s="315" t="str">
        <f t="array" ref="F1584">IF(B1584=100,"Free",TEXT(XLOOKUP($D1584,OperationVoice!$A:$A,OperationVoice!T:T,XLOOKUP($D1584,OperationTickets!$A:$A,OperationTickets!T:T,"",0)),"hh:mm"))</f>
        <v>12:00</v>
      </c>
      <c r="G1584" s="309">
        <f t="shared" si="3"/>
        <v>0.875</v>
      </c>
      <c r="H1584" s="316" t="str">
        <f t="array" ref="H1584">XLOOKUP(B1584,Roster!L:L,Roster!N:N,XLOOKUP(D1584,TicketsBreak!A:A,TicketsBreak!E:E,"",0),0)</f>
        <v>13:15 - 13:30</v>
      </c>
      <c r="I1584" s="316" t="str">
        <f t="array" ref="I1584">XLOOKUP(B1584,Roster!L:L,Roster!O:O,XLOOKUP(D1584,TicketsBreak!A:A,TicketsBreak!F:F,"",0),0)</f>
        <v>15:45 - 16:15</v>
      </c>
      <c r="J1584" s="316" t="str">
        <f t="array" ref="J1584">XLOOKUP(B1584,Roster!L:L,Roster!P:P,XLOOKUP(D1584,TicketsBreak!A:A,TicketsBreak!G:G,"",0),0)</f>
        <v>18:15 - 18:30</v>
      </c>
      <c r="K1584" s="310">
        <f t="shared" si="4"/>
        <v>46126</v>
      </c>
      <c r="L1584" s="317">
        <f t="array" ref="L1584">(XLOOKUP(D1584,Roster!F:F,Roster!D:D,"",0))</f>
        <v>34</v>
      </c>
      <c r="M1584" s="317" t="str">
        <f t="array" ref="M1584">XLOOKUP(D1584,Roster!F:F,Roster!E:E)</f>
        <v>Voice</v>
      </c>
      <c r="N1584" s="317" t="str">
        <f t="shared" ref="N1584:P1584" si="1608">LEFT(H1584,5)</f>
        <v>13:15</v>
      </c>
      <c r="O1584" s="317" t="str">
        <f t="shared" si="1608"/>
        <v>15:45</v>
      </c>
      <c r="P1584" s="317" t="str">
        <f t="shared" si="1608"/>
        <v>18:15</v>
      </c>
      <c r="Q1584" s="318">
        <f t="shared" si="1515"/>
        <v>46126.55208</v>
      </c>
      <c r="R1584" s="318">
        <f t="shared" si="1516"/>
        <v>46126.65625</v>
      </c>
      <c r="S1584" s="318">
        <f t="shared" si="8"/>
        <v>46126.76042</v>
      </c>
    </row>
    <row r="1585">
      <c r="A1585" s="14" t="str">
        <f t="shared" si="1"/>
        <v>C131846126</v>
      </c>
      <c r="B1585" s="185" t="str">
        <f t="array" ref="B1585">IF(F1585="VL","",IF(F1585="Free","Free",XLOOKUP(D1585,Roster!T:T,Roster!S:S,"",0)))</f>
        <v/>
      </c>
      <c r="C1585" s="313">
        <v>46126.0</v>
      </c>
      <c r="D1585" s="314" t="s">
        <v>159</v>
      </c>
      <c r="E1585" s="307" t="str">
        <f t="array" ref="E1585">(XLOOKUP(D1585,Roster!F:F,Roster!B:B,"",0))</f>
        <v>Jeampierre Jaramillo</v>
      </c>
      <c r="F1585" s="315" t="str">
        <f t="array" ref="F1585">IF(B1585=100,"Free",TEXT(XLOOKUP($D1585,OperationVoice!$A:$A,OperationVoice!T:T,XLOOKUP($D1585,OperationTickets!$A:$A,OperationTickets!T:T,"",0)),"hh:mm"))</f>
        <v>07:00</v>
      </c>
      <c r="G1585" s="309">
        <f t="shared" si="3"/>
        <v>0.6666666667</v>
      </c>
      <c r="H1585" s="316" t="str">
        <f t="array" ref="H1585">XLOOKUP(B1585,Roster!L:L,Roster!N:N,XLOOKUP(D1585,TicketsBreak!A:A,TicketsBreak!E:E,"",0),0)</f>
        <v/>
      </c>
      <c r="I1585" s="316" t="str">
        <f t="array" ref="I1585">XLOOKUP(B1585,Roster!L:L,Roster!O:O,XLOOKUP(D1585,TicketsBreak!A:A,TicketsBreak!F:F,"",0),0)</f>
        <v/>
      </c>
      <c r="J1585" s="316" t="str">
        <f t="array" ref="J1585">XLOOKUP(B1585,Roster!L:L,Roster!P:P,XLOOKUP(D1585,TicketsBreak!A:A,TicketsBreak!G:G,"",0),0)</f>
        <v/>
      </c>
      <c r="K1585" s="310">
        <f t="shared" si="4"/>
        <v>46126</v>
      </c>
      <c r="L1585" s="317">
        <f t="array" ref="L1585">(XLOOKUP(D1585,Roster!F:F,Roster!D:D,"",0))</f>
        <v>29</v>
      </c>
      <c r="M1585" s="317" t="str">
        <f t="array" ref="M1585">XLOOKUP(D1585,Roster!F:F,Roster!E:E)</f>
        <v>Tickets</v>
      </c>
      <c r="N1585" s="317" t="str">
        <f t="shared" ref="N1585:P1585" si="1609">LEFT(H1585,5)</f>
        <v/>
      </c>
      <c r="O1585" s="317" t="str">
        <f t="shared" si="1609"/>
        <v/>
      </c>
      <c r="P1585" s="317" t="str">
        <f t="shared" si="1609"/>
        <v/>
      </c>
      <c r="Q1585" s="318" t="str">
        <f t="shared" si="1515"/>
        <v/>
      </c>
      <c r="R1585" s="318" t="str">
        <f t="shared" si="1516"/>
        <v/>
      </c>
      <c r="S1585" s="318" t="str">
        <f t="shared" si="8"/>
        <v/>
      </c>
    </row>
    <row r="1586">
      <c r="A1586" s="14" t="str">
        <f t="shared" si="1"/>
        <v>C155046126</v>
      </c>
      <c r="B1586" s="185">
        <f t="array" ref="B1586">IF(F1586="VL","",IF(F1586="Free","Free",XLOOKUP(D1586,Roster!T:T,Roster!S:S,"",0)))</f>
        <v>126</v>
      </c>
      <c r="C1586" s="313">
        <v>46126.0</v>
      </c>
      <c r="D1586" s="314" t="s">
        <v>35</v>
      </c>
      <c r="E1586" s="307" t="str">
        <f t="array" ref="E1586">(XLOOKUP(D1586,Roster!F:F,Roster!B:B,"",0))</f>
        <v>Jeidin Vargas</v>
      </c>
      <c r="F1586" s="315" t="str">
        <f t="array" ref="F1586">IF(B1586=100,"Free",TEXT(XLOOKUP($D1586,OperationVoice!$A:$A,OperationVoice!T:T,XLOOKUP($D1586,OperationTickets!$A:$A,OperationTickets!T:T,"",0)),"hh:mm"))</f>
        <v>08:00</v>
      </c>
      <c r="G1586" s="309">
        <f t="shared" si="3"/>
        <v>0.7083333333</v>
      </c>
      <c r="H1586" s="316" t="str">
        <f t="array" ref="H1586">XLOOKUP(B1586,Roster!L:L,Roster!N:N,XLOOKUP(D1586,TicketsBreak!A:A,TicketsBreak!E:E,"",0),0)</f>
        <v>10:45 - 11:00</v>
      </c>
      <c r="I1586" s="316" t="str">
        <f t="array" ref="I1586">XLOOKUP(B1586,Roster!L:L,Roster!O:O,XLOOKUP(D1586,TicketsBreak!A:A,TicketsBreak!F:F,"",0),0)</f>
        <v>14:00 - 14:30</v>
      </c>
      <c r="J1586" s="316" t="str">
        <f t="array" ref="J1586">XLOOKUP(B1586,Roster!L:L,Roster!P:P,XLOOKUP(D1586,TicketsBreak!A:A,TicketsBreak!G:G,"",0),0)</f>
        <v>15:45 - 16:00</v>
      </c>
      <c r="K1586" s="310">
        <f t="shared" si="4"/>
        <v>46126</v>
      </c>
      <c r="L1586" s="317">
        <f t="array" ref="L1586">(XLOOKUP(D1586,Roster!F:F,Roster!D:D,"",0))</f>
        <v>37</v>
      </c>
      <c r="M1586" s="317" t="str">
        <f t="array" ref="M1586">XLOOKUP(D1586,Roster!F:F,Roster!E:E)</f>
        <v>Voice</v>
      </c>
      <c r="N1586" s="317" t="str">
        <f t="shared" ref="N1586:P1586" si="1610">LEFT(H1586,5)</f>
        <v>10:45</v>
      </c>
      <c r="O1586" s="317" t="str">
        <f t="shared" si="1610"/>
        <v>14:00</v>
      </c>
      <c r="P1586" s="317" t="str">
        <f t="shared" si="1610"/>
        <v>15:45</v>
      </c>
      <c r="Q1586" s="318">
        <f t="shared" si="1515"/>
        <v>46126.44792</v>
      </c>
      <c r="R1586" s="318">
        <f t="shared" si="1516"/>
        <v>46126.58333</v>
      </c>
      <c r="S1586" s="318">
        <f t="shared" si="8"/>
        <v>46126.65625</v>
      </c>
    </row>
    <row r="1587">
      <c r="A1587" s="14" t="str">
        <f t="shared" si="1"/>
        <v>C51246126</v>
      </c>
      <c r="B1587" s="185">
        <f t="array" ref="B1587">IF(F1587="VL","",IF(F1587="Free","Free",XLOOKUP(D1587,Roster!T:T,Roster!S:S,"",0)))</f>
        <v>122</v>
      </c>
      <c r="C1587" s="313">
        <v>46126.0</v>
      </c>
      <c r="D1587" s="314" t="s">
        <v>36</v>
      </c>
      <c r="E1587" s="307" t="str">
        <f t="array" ref="E1587">(XLOOKUP(D1587,Roster!F:F,Roster!B:B,"",0))</f>
        <v>Jhoam Quiroz</v>
      </c>
      <c r="F1587" s="315" t="str">
        <f t="array" ref="F1587">IF(B1587=100,"Free",TEXT(XLOOKUP($D1587,OperationVoice!$A:$A,OperationVoice!T:T,XLOOKUP($D1587,OperationTickets!$A:$A,OperationTickets!T:T,"",0)),"hh:mm"))</f>
        <v>08:00</v>
      </c>
      <c r="G1587" s="309">
        <f t="shared" si="3"/>
        <v>0.7083333333</v>
      </c>
      <c r="H1587" s="316" t="str">
        <f t="array" ref="H1587">XLOOKUP(B1587,Roster!L:L,Roster!N:N,XLOOKUP(D1587,TicketsBreak!A:A,TicketsBreak!E:E,"",0),0)</f>
        <v>09:30 - 09:45</v>
      </c>
      <c r="I1587" s="316" t="str">
        <f t="array" ref="I1587">XLOOKUP(B1587,Roster!L:L,Roster!O:O,XLOOKUP(D1587,TicketsBreak!A:A,TicketsBreak!F:F,"",0),0)</f>
        <v>12:00 - 12:30</v>
      </c>
      <c r="J1587" s="316" t="str">
        <f t="array" ref="J1587">XLOOKUP(B1587,Roster!L:L,Roster!P:P,XLOOKUP(D1587,TicketsBreak!A:A,TicketsBreak!G:G,"",0),0)</f>
        <v>14:45 - 15:00</v>
      </c>
      <c r="K1587" s="310">
        <f t="shared" si="4"/>
        <v>46126</v>
      </c>
      <c r="L1587" s="317">
        <f t="array" ref="L1587">(XLOOKUP(D1587,Roster!F:F,Roster!D:D,"",0))</f>
        <v>1</v>
      </c>
      <c r="M1587" s="317" t="str">
        <f t="array" ref="M1587">XLOOKUP(D1587,Roster!F:F,Roster!E:E)</f>
        <v>Voice</v>
      </c>
      <c r="N1587" s="317" t="str">
        <f t="shared" ref="N1587:P1587" si="1611">LEFT(H1587,5)</f>
        <v>09:30</v>
      </c>
      <c r="O1587" s="317" t="str">
        <f t="shared" si="1611"/>
        <v>12:00</v>
      </c>
      <c r="P1587" s="317" t="str">
        <f t="shared" si="1611"/>
        <v>14:45</v>
      </c>
      <c r="Q1587" s="318">
        <f t="shared" si="1515"/>
        <v>46126.39583</v>
      </c>
      <c r="R1587" s="318">
        <f t="shared" si="1516"/>
        <v>46126.5</v>
      </c>
      <c r="S1587" s="318">
        <f t="shared" si="8"/>
        <v>46126.61458</v>
      </c>
    </row>
    <row r="1588">
      <c r="A1588" s="14" t="str">
        <f t="shared" si="1"/>
        <v>C150946126</v>
      </c>
      <c r="B1588" s="185">
        <f t="array" ref="B1588">IF(F1588="VL","",IF(F1588="Free","Free",XLOOKUP(D1588,Roster!T:T,Roster!S:S,"",0)))</f>
        <v>121</v>
      </c>
      <c r="C1588" s="313">
        <v>46126.0</v>
      </c>
      <c r="D1588" s="314" t="s">
        <v>37</v>
      </c>
      <c r="E1588" s="307" t="str">
        <f t="array" ref="E1588">(XLOOKUP(D1588,Roster!F:F,Roster!B:B,"",0))</f>
        <v>Jhonatan Gomez</v>
      </c>
      <c r="F1588" s="315" t="str">
        <f t="array" ref="F1588">IF(B1588=100,"Free",TEXT(XLOOKUP($D1588,OperationVoice!$A:$A,OperationVoice!T:T,XLOOKUP($D1588,OperationTickets!$A:$A,OperationTickets!T:T,"",0)),"hh:mm"))</f>
        <v>08:00</v>
      </c>
      <c r="G1588" s="309">
        <f t="shared" si="3"/>
        <v>0.7083333333</v>
      </c>
      <c r="H1588" s="316" t="str">
        <f t="array" ref="H1588">XLOOKUP(B1588,Roster!L:L,Roster!N:N,XLOOKUP(D1588,TicketsBreak!A:A,TicketsBreak!E:E,"",0),0)</f>
        <v>09:15 - 09:30</v>
      </c>
      <c r="I1588" s="316" t="str">
        <f t="array" ref="I1588">XLOOKUP(B1588,Roster!L:L,Roster!O:O,XLOOKUP(D1588,TicketsBreak!A:A,TicketsBreak!F:F,"",0),0)</f>
        <v>11:30 - 12:00</v>
      </c>
      <c r="J1588" s="316" t="str">
        <f t="array" ref="J1588">XLOOKUP(B1588,Roster!L:L,Roster!P:P,XLOOKUP(D1588,TicketsBreak!A:A,TicketsBreak!G:G,"",0),0)</f>
        <v>14:30 - 14:45</v>
      </c>
      <c r="K1588" s="310">
        <f t="shared" si="4"/>
        <v>46126</v>
      </c>
      <c r="L1588" s="317">
        <f t="array" ref="L1588">(XLOOKUP(D1588,Roster!F:F,Roster!D:D,"",0))</f>
        <v>35</v>
      </c>
      <c r="M1588" s="317" t="str">
        <f t="array" ref="M1588">XLOOKUP(D1588,Roster!F:F,Roster!E:E)</f>
        <v>Voice</v>
      </c>
      <c r="N1588" s="317" t="str">
        <f t="shared" ref="N1588:P1588" si="1612">LEFT(H1588,5)</f>
        <v>09:15</v>
      </c>
      <c r="O1588" s="317" t="str">
        <f t="shared" si="1612"/>
        <v>11:30</v>
      </c>
      <c r="P1588" s="317" t="str">
        <f t="shared" si="1612"/>
        <v>14:30</v>
      </c>
      <c r="Q1588" s="318">
        <f t="shared" si="1515"/>
        <v>46126.38542</v>
      </c>
      <c r="R1588" s="318">
        <f t="shared" si="1516"/>
        <v>46126.47917</v>
      </c>
      <c r="S1588" s="318">
        <f t="shared" si="8"/>
        <v>46126.60417</v>
      </c>
    </row>
    <row r="1589">
      <c r="A1589" s="14" t="str">
        <f t="shared" si="1"/>
        <v>C151546126</v>
      </c>
      <c r="B1589" s="185">
        <f t="array" ref="B1589">IF(F1589="VL","",IF(F1589="Free","Free",XLOOKUP(D1589,Roster!T:T,Roster!S:S,"",0)))</f>
        <v>151</v>
      </c>
      <c r="C1589" s="313">
        <v>46126.0</v>
      </c>
      <c r="D1589" s="314" t="s">
        <v>38</v>
      </c>
      <c r="E1589" s="307" t="str">
        <f t="array" ref="E1589">(XLOOKUP(D1589,Roster!F:F,Roster!B:B,"",0))</f>
        <v>Joan Perez</v>
      </c>
      <c r="F1589" s="315" t="str">
        <f t="array" ref="F1589">IF(B1589=100,"Free",TEXT(XLOOKUP($D1589,OperationVoice!$A:$A,OperationVoice!T:T,XLOOKUP($D1589,OperationTickets!$A:$A,OperationTickets!T:T,"",0)),"hh:mm"))</f>
        <v/>
      </c>
      <c r="G1589" s="309" t="str">
        <f t="shared" si="3"/>
        <v/>
      </c>
      <c r="H1589" s="316" t="str">
        <f t="array" ref="H1589">XLOOKUP(B1589,Roster!L:L,Roster!N:N,XLOOKUP(D1589,TicketsBreak!A:A,TicketsBreak!E:E,"",0),0)</f>
        <v>12:15 - 12:30</v>
      </c>
      <c r="I1589" s="316" t="str">
        <f t="array" ref="I1589">XLOOKUP(B1589,Roster!L:L,Roster!O:O,XLOOKUP(D1589,TicketsBreak!A:A,TicketsBreak!F:F,"",0),0)</f>
        <v>14:00 - 14:30</v>
      </c>
      <c r="J1589" s="316" t="str">
        <f t="array" ref="J1589">XLOOKUP(B1589,Roster!L:L,Roster!P:P,XLOOKUP(D1589,TicketsBreak!A:A,TicketsBreak!G:G,"",0),0)</f>
        <v>17:15 - 17:30</v>
      </c>
      <c r="K1589" s="310">
        <f t="shared" si="4"/>
        <v>46126</v>
      </c>
      <c r="L1589" s="317">
        <f t="array" ref="L1589">(XLOOKUP(D1589,Roster!F:F,Roster!D:D,"",0))</f>
        <v>35</v>
      </c>
      <c r="M1589" s="317" t="str">
        <f t="array" ref="M1589">XLOOKUP(D1589,Roster!F:F,Roster!E:E)</f>
        <v>Voice</v>
      </c>
      <c r="N1589" s="317" t="str">
        <f t="shared" ref="N1589:P1589" si="1613">LEFT(H1589,5)</f>
        <v>12:15</v>
      </c>
      <c r="O1589" s="317" t="str">
        <f t="shared" si="1613"/>
        <v>14:00</v>
      </c>
      <c r="P1589" s="317" t="str">
        <f t="shared" si="1613"/>
        <v>17:15</v>
      </c>
      <c r="Q1589" s="318">
        <f t="shared" si="1515"/>
        <v>46126.51042</v>
      </c>
      <c r="R1589" s="318">
        <f t="shared" si="1516"/>
        <v>46126.58333</v>
      </c>
      <c r="S1589" s="318">
        <f t="shared" si="8"/>
        <v>46126.71875</v>
      </c>
    </row>
    <row r="1590">
      <c r="A1590" s="14" t="str">
        <f t="shared" si="1"/>
        <v>C128946126</v>
      </c>
      <c r="B1590" s="185" t="str">
        <f t="array" ref="B1590">IF(F1590="VL","",IF(F1590="Free","Free",XLOOKUP(D1590,Roster!T:T,Roster!S:S,"",0)))</f>
        <v/>
      </c>
      <c r="C1590" s="313">
        <v>46126.0</v>
      </c>
      <c r="D1590" s="314" t="s">
        <v>140</v>
      </c>
      <c r="E1590" s="307" t="str">
        <f t="array" ref="E1590">(XLOOKUP(D1590,Roster!F:F,Roster!B:B,"",0))</f>
        <v>Johana Villarreal</v>
      </c>
      <c r="F1590" s="315" t="str">
        <f t="array" ref="F1590">IF(B1590=100,"Free",TEXT(XLOOKUP($D1590,OperationVoice!$A:$A,OperationVoice!T:T,XLOOKUP($D1590,OperationTickets!$A:$A,OperationTickets!T:T,"",0)),"hh:mm"))</f>
        <v>07:00</v>
      </c>
      <c r="G1590" s="309">
        <f t="shared" si="3"/>
        <v>0.6666666667</v>
      </c>
      <c r="H1590" s="316" t="str">
        <f t="array" ref="H1590">XLOOKUP(B1590,Roster!L:L,Roster!N:N,XLOOKUP(D1590,TicketsBreak!A:A,TicketsBreak!E:E,"",0),0)</f>
        <v/>
      </c>
      <c r="I1590" s="316" t="str">
        <f t="array" ref="I1590">XLOOKUP(B1590,Roster!L:L,Roster!O:O,XLOOKUP(D1590,TicketsBreak!A:A,TicketsBreak!F:F,"",0),0)</f>
        <v/>
      </c>
      <c r="J1590" s="316" t="str">
        <f t="array" ref="J1590">XLOOKUP(B1590,Roster!L:L,Roster!P:P,XLOOKUP(D1590,TicketsBreak!A:A,TicketsBreak!G:G,"",0),0)</f>
        <v/>
      </c>
      <c r="K1590" s="310">
        <f t="shared" si="4"/>
        <v>46126</v>
      </c>
      <c r="L1590" s="317">
        <f t="array" ref="L1590">(XLOOKUP(D1590,Roster!F:F,Roster!D:D,"",0))</f>
        <v>28</v>
      </c>
      <c r="M1590" s="317" t="str">
        <f t="array" ref="M1590">XLOOKUP(D1590,Roster!F:F,Roster!E:E)</f>
        <v>Tickets</v>
      </c>
      <c r="N1590" s="317" t="str">
        <f t="shared" ref="N1590:P1590" si="1614">LEFT(H1590,5)</f>
        <v/>
      </c>
      <c r="O1590" s="317" t="str">
        <f t="shared" si="1614"/>
        <v/>
      </c>
      <c r="P1590" s="317" t="str">
        <f t="shared" si="1614"/>
        <v/>
      </c>
      <c r="Q1590" s="318" t="str">
        <f t="shared" si="1515"/>
        <v/>
      </c>
      <c r="R1590" s="318" t="str">
        <f t="shared" si="1516"/>
        <v/>
      </c>
      <c r="S1590" s="318" t="str">
        <f t="shared" si="8"/>
        <v/>
      </c>
    </row>
    <row r="1591">
      <c r="A1591" s="14" t="str">
        <f t="shared" si="1"/>
        <v>C155146126</v>
      </c>
      <c r="B1591" s="185">
        <f t="array" ref="B1591">IF(F1591="VL","",IF(F1591="Free","Free",XLOOKUP(D1591,Roster!T:T,Roster!S:S,"",0)))</f>
        <v>124</v>
      </c>
      <c r="C1591" s="313">
        <v>46126.0</v>
      </c>
      <c r="D1591" s="314" t="s">
        <v>39</v>
      </c>
      <c r="E1591" s="307" t="str">
        <f t="array" ref="E1591">(XLOOKUP(D1591,Roster!F:F,Roster!B:B,"",0))</f>
        <v>John Atilano</v>
      </c>
      <c r="F1591" s="315" t="str">
        <f t="array" ref="F1591">IF(B1591=100,"Free",TEXT(XLOOKUP($D1591,OperationVoice!$A:$A,OperationVoice!T:T,XLOOKUP($D1591,OperationTickets!$A:$A,OperationTickets!T:T,"",0)),"hh:mm"))</f>
        <v>08:00</v>
      </c>
      <c r="G1591" s="309">
        <f t="shared" si="3"/>
        <v>0.7083333333</v>
      </c>
      <c r="H1591" s="316" t="str">
        <f t="array" ref="H1591">XLOOKUP(B1591,Roster!L:L,Roster!N:N,XLOOKUP(D1591,TicketsBreak!A:A,TicketsBreak!E:E,"",0),0)</f>
        <v>10:00 - 10:15</v>
      </c>
      <c r="I1591" s="316" t="str">
        <f t="array" ref="I1591">XLOOKUP(B1591,Roster!L:L,Roster!O:O,XLOOKUP(D1591,TicketsBreak!A:A,TicketsBreak!F:F,"",0),0)</f>
        <v>13:00 - 13:30</v>
      </c>
      <c r="J1591" s="316" t="str">
        <f t="array" ref="J1591">XLOOKUP(B1591,Roster!L:L,Roster!P:P,XLOOKUP(D1591,TicketsBreak!A:A,TicketsBreak!G:G,"",0),0)</f>
        <v>15:30 - 15:45</v>
      </c>
      <c r="K1591" s="310">
        <f t="shared" si="4"/>
        <v>46126</v>
      </c>
      <c r="L1591" s="317">
        <f t="array" ref="L1591">(XLOOKUP(D1591,Roster!F:F,Roster!D:D,"",0))</f>
        <v>37</v>
      </c>
      <c r="M1591" s="317" t="str">
        <f t="array" ref="M1591">XLOOKUP(D1591,Roster!F:F,Roster!E:E)</f>
        <v>Voice</v>
      </c>
      <c r="N1591" s="317" t="str">
        <f t="shared" ref="N1591:P1591" si="1615">LEFT(H1591,5)</f>
        <v>10:00</v>
      </c>
      <c r="O1591" s="317" t="str">
        <f t="shared" si="1615"/>
        <v>13:00</v>
      </c>
      <c r="P1591" s="317" t="str">
        <f t="shared" si="1615"/>
        <v>15:30</v>
      </c>
      <c r="Q1591" s="318">
        <f t="shared" si="1515"/>
        <v>46126.41667</v>
      </c>
      <c r="R1591" s="318">
        <f t="shared" si="1516"/>
        <v>46126.54167</v>
      </c>
      <c r="S1591" s="318">
        <f t="shared" si="8"/>
        <v>46126.64583</v>
      </c>
    </row>
    <row r="1592">
      <c r="A1592" s="14" t="str">
        <f t="shared" si="1"/>
        <v>C154346126</v>
      </c>
      <c r="B1592" s="185">
        <f t="array" ref="B1592">IF(F1592="VL","",IF(F1592="Free","Free",XLOOKUP(D1592,Roster!T:T,Roster!S:S,"",0)))</f>
        <v>134</v>
      </c>
      <c r="C1592" s="313">
        <v>46126.0</v>
      </c>
      <c r="D1592" s="314" t="s">
        <v>40</v>
      </c>
      <c r="E1592" s="307" t="str">
        <f t="array" ref="E1592">(XLOOKUP(D1592,Roster!F:F,Roster!B:B,"",0))</f>
        <v>John Palacio</v>
      </c>
      <c r="F1592" s="315" t="str">
        <f t="array" ref="F1592">IF(B1592=100,"Free",TEXT(XLOOKUP($D1592,OperationVoice!$A:$A,OperationVoice!T:T,XLOOKUP($D1592,OperationTickets!$A:$A,OperationTickets!T:T,"",0)),"hh:mm"))</f>
        <v>09:00</v>
      </c>
      <c r="G1592" s="309">
        <f t="shared" si="3"/>
        <v>0.75</v>
      </c>
      <c r="H1592" s="316" t="str">
        <f t="array" ref="H1592">XLOOKUP(B1592,Roster!L:L,Roster!N:N,XLOOKUP(D1592,TicketsBreak!A:A,TicketsBreak!E:E,"",0),0)</f>
        <v>11:00 - 11:15</v>
      </c>
      <c r="I1592" s="316" t="str">
        <f t="array" ref="I1592">XLOOKUP(B1592,Roster!L:L,Roster!O:O,XLOOKUP(D1592,TicketsBreak!A:A,TicketsBreak!F:F,"",0),0)</f>
        <v>13:45 - 14:15</v>
      </c>
      <c r="J1592" s="316" t="str">
        <f t="array" ref="J1592">XLOOKUP(B1592,Roster!L:L,Roster!P:P,XLOOKUP(D1592,TicketsBreak!A:A,TicketsBreak!G:G,"",0),0)</f>
        <v>16:00 - 16:15</v>
      </c>
      <c r="K1592" s="310">
        <f t="shared" si="4"/>
        <v>46126</v>
      </c>
      <c r="L1592" s="317">
        <f t="array" ref="L1592">(XLOOKUP(D1592,Roster!F:F,Roster!D:D,"",0))</f>
        <v>36</v>
      </c>
      <c r="M1592" s="317" t="str">
        <f t="array" ref="M1592">XLOOKUP(D1592,Roster!F:F,Roster!E:E)</f>
        <v>Voice</v>
      </c>
      <c r="N1592" s="317" t="str">
        <f t="shared" ref="N1592:P1592" si="1616">LEFT(H1592,5)</f>
        <v>11:00</v>
      </c>
      <c r="O1592" s="317" t="str">
        <f t="shared" si="1616"/>
        <v>13:45</v>
      </c>
      <c r="P1592" s="317" t="str">
        <f t="shared" si="1616"/>
        <v>16:00</v>
      </c>
      <c r="Q1592" s="318">
        <f t="shared" si="1515"/>
        <v>46126.45833</v>
      </c>
      <c r="R1592" s="318">
        <f t="shared" si="1516"/>
        <v>46126.57292</v>
      </c>
      <c r="S1592" s="318">
        <f t="shared" si="8"/>
        <v>46126.66667</v>
      </c>
    </row>
    <row r="1593">
      <c r="A1593" s="14" t="str">
        <f t="shared" si="1"/>
        <v>C154246126</v>
      </c>
      <c r="B1593" s="185">
        <f t="array" ref="B1593">IF(F1593="VL","",IF(F1593="Free","Free",XLOOKUP(D1593,Roster!T:T,Roster!S:S,"",0)))</f>
        <v>124</v>
      </c>
      <c r="C1593" s="313">
        <v>46126.0</v>
      </c>
      <c r="D1593" s="314" t="s">
        <v>41</v>
      </c>
      <c r="E1593" s="307" t="str">
        <f t="array" ref="E1593">(XLOOKUP(D1593,Roster!F:F,Roster!B:B,"",0))</f>
        <v>Johny Garcia</v>
      </c>
      <c r="F1593" s="315" t="str">
        <f t="array" ref="F1593">IF(B1593=100,"Free",TEXT(XLOOKUP($D1593,OperationVoice!$A:$A,OperationVoice!T:T,XLOOKUP($D1593,OperationTickets!$A:$A,OperationTickets!T:T,"",0)),"hh:mm"))</f>
        <v>08:00</v>
      </c>
      <c r="G1593" s="309">
        <f t="shared" si="3"/>
        <v>0.7083333333</v>
      </c>
      <c r="H1593" s="316" t="str">
        <f t="array" ref="H1593">XLOOKUP(B1593,Roster!L:L,Roster!N:N,XLOOKUP(D1593,TicketsBreak!A:A,TicketsBreak!E:E,"",0),0)</f>
        <v>10:00 - 10:15</v>
      </c>
      <c r="I1593" s="316" t="str">
        <f t="array" ref="I1593">XLOOKUP(B1593,Roster!L:L,Roster!O:O,XLOOKUP(D1593,TicketsBreak!A:A,TicketsBreak!F:F,"",0),0)</f>
        <v>13:00 - 13:30</v>
      </c>
      <c r="J1593" s="316" t="str">
        <f t="array" ref="J1593">XLOOKUP(B1593,Roster!L:L,Roster!P:P,XLOOKUP(D1593,TicketsBreak!A:A,TicketsBreak!G:G,"",0),0)</f>
        <v>15:30 - 15:45</v>
      </c>
      <c r="K1593" s="310">
        <f t="shared" si="4"/>
        <v>46126</v>
      </c>
      <c r="L1593" s="317">
        <f t="array" ref="L1593">(XLOOKUP(D1593,Roster!F:F,Roster!D:D,"",0))</f>
        <v>36</v>
      </c>
      <c r="M1593" s="317" t="str">
        <f t="array" ref="M1593">XLOOKUP(D1593,Roster!F:F,Roster!E:E)</f>
        <v>Voice</v>
      </c>
      <c r="N1593" s="317" t="str">
        <f t="shared" ref="N1593:P1593" si="1617">LEFT(H1593,5)</f>
        <v>10:00</v>
      </c>
      <c r="O1593" s="317" t="str">
        <f t="shared" si="1617"/>
        <v>13:00</v>
      </c>
      <c r="P1593" s="317" t="str">
        <f t="shared" si="1617"/>
        <v>15:30</v>
      </c>
      <c r="Q1593" s="318">
        <f t="shared" si="1515"/>
        <v>46126.41667</v>
      </c>
      <c r="R1593" s="318">
        <f t="shared" si="1516"/>
        <v>46126.54167</v>
      </c>
      <c r="S1593" s="318">
        <f t="shared" si="8"/>
        <v>46126.64583</v>
      </c>
    </row>
    <row r="1594">
      <c r="A1594" s="14" t="str">
        <f t="shared" si="1"/>
        <v>C156946126</v>
      </c>
      <c r="B1594" s="185">
        <f t="array" ref="B1594">IF(F1594="VL","",IF(F1594="Free","Free",XLOOKUP(D1594,Roster!T:T,Roster!S:S,"",0)))</f>
        <v>121</v>
      </c>
      <c r="C1594" s="313">
        <v>46126.0</v>
      </c>
      <c r="D1594" s="314" t="s">
        <v>42</v>
      </c>
      <c r="E1594" s="307" t="str">
        <f t="array" ref="E1594">(XLOOKUP(D1594,Roster!F:F,Roster!B:B,"",0))</f>
        <v>Jorge Orozco</v>
      </c>
      <c r="F1594" s="315" t="str">
        <f t="array" ref="F1594">IF(B1594=100,"Free",TEXT(XLOOKUP($D1594,OperationVoice!$A:$A,OperationVoice!T:T,XLOOKUP($D1594,OperationTickets!$A:$A,OperationTickets!T:T,"",0)),"hh:mm"))</f>
        <v>08:00</v>
      </c>
      <c r="G1594" s="309">
        <f t="shared" si="3"/>
        <v>0.7083333333</v>
      </c>
      <c r="H1594" s="316" t="str">
        <f t="array" ref="H1594">XLOOKUP(B1594,Roster!L:L,Roster!N:N,XLOOKUP(D1594,TicketsBreak!A:A,TicketsBreak!E:E,"",0),0)</f>
        <v>09:15 - 09:30</v>
      </c>
      <c r="I1594" s="316" t="str">
        <f t="array" ref="I1594">XLOOKUP(B1594,Roster!L:L,Roster!O:O,XLOOKUP(D1594,TicketsBreak!A:A,TicketsBreak!F:F,"",0),0)</f>
        <v>11:30 - 12:00</v>
      </c>
      <c r="J1594" s="316" t="str">
        <f t="array" ref="J1594">XLOOKUP(B1594,Roster!L:L,Roster!P:P,XLOOKUP(D1594,TicketsBreak!A:A,TicketsBreak!G:G,"",0),0)</f>
        <v>14:30 - 14:45</v>
      </c>
      <c r="K1594" s="310">
        <f t="shared" si="4"/>
        <v>46126</v>
      </c>
      <c r="L1594" s="317">
        <f t="array" ref="L1594">(XLOOKUP(D1594,Roster!F:F,Roster!D:D,"",0))</f>
        <v>38</v>
      </c>
      <c r="M1594" s="317" t="str">
        <f t="array" ref="M1594">XLOOKUP(D1594,Roster!F:F,Roster!E:E)</f>
        <v>Voice</v>
      </c>
      <c r="N1594" s="317" t="str">
        <f t="shared" ref="N1594:P1594" si="1618">LEFT(H1594,5)</f>
        <v>09:15</v>
      </c>
      <c r="O1594" s="317" t="str">
        <f t="shared" si="1618"/>
        <v>11:30</v>
      </c>
      <c r="P1594" s="317" t="str">
        <f t="shared" si="1618"/>
        <v>14:30</v>
      </c>
      <c r="Q1594" s="318">
        <f t="shared" si="1515"/>
        <v>46126.38542</v>
      </c>
      <c r="R1594" s="318">
        <f t="shared" si="1516"/>
        <v>46126.47917</v>
      </c>
      <c r="S1594" s="318">
        <f t="shared" si="8"/>
        <v>46126.60417</v>
      </c>
    </row>
    <row r="1595">
      <c r="A1595" s="14" t="str">
        <f t="shared" si="1"/>
        <v>C102746126</v>
      </c>
      <c r="B1595" s="185" t="str">
        <f t="array" ref="B1595">IF(F1595="VL","",IF(F1595="Free","Free",XLOOKUP(D1595,Roster!T:T,Roster!S:S,"",0)))</f>
        <v/>
      </c>
      <c r="C1595" s="313">
        <v>46126.0</v>
      </c>
      <c r="D1595" s="314" t="s">
        <v>160</v>
      </c>
      <c r="E1595" s="307" t="str">
        <f t="array" ref="E1595">(XLOOKUP(D1595,Roster!F:F,Roster!B:B,"",0))</f>
        <v>Jose Perez</v>
      </c>
      <c r="F1595" s="315" t="str">
        <f t="array" ref="F1595">IF(B1595=100,"Free",TEXT(XLOOKUP($D1595,OperationVoice!$A:$A,OperationVoice!T:T,XLOOKUP($D1595,OperationTickets!$A:$A,OperationTickets!T:T,"",0)),"hh:mm"))</f>
        <v>06:00</v>
      </c>
      <c r="G1595" s="309">
        <f t="shared" si="3"/>
        <v>0.625</v>
      </c>
      <c r="H1595" s="316">
        <f t="array" ref="H1595">XLOOKUP(B1595,Roster!L:L,Roster!N:N,XLOOKUP(D1595,TicketsBreak!A:A,TicketsBreak!E:E,"",0),0)</f>
        <v>0.4166666667</v>
      </c>
      <c r="I1595" s="316">
        <f t="array" ref="I1595">XLOOKUP(B1595,Roster!L:L,Roster!O:O,XLOOKUP(D1595,TicketsBreak!A:A,TicketsBreak!F:F,"",0),0)</f>
        <v>0.5208333333</v>
      </c>
      <c r="J1595" s="316">
        <f t="array" ref="J1595">XLOOKUP(B1595,Roster!L:L,Roster!P:P,XLOOKUP(D1595,TicketsBreak!A:A,TicketsBreak!G:G,"",0),0)</f>
        <v>0.6354166667</v>
      </c>
      <c r="K1595" s="310">
        <f t="shared" si="4"/>
        <v>46126</v>
      </c>
      <c r="L1595" s="317">
        <f t="array" ref="L1595">(XLOOKUP(D1595,Roster!F:F,Roster!D:D,"",0))</f>
        <v>15</v>
      </c>
      <c r="M1595" s="317" t="str">
        <f t="array" ref="M1595">XLOOKUP(D1595,Roster!F:F,Roster!E:E)</f>
        <v>Tickets</v>
      </c>
      <c r="N1595" s="317" t="str">
        <f t="shared" ref="N1595:P1595" si="1619">LEFT(H1595,5)</f>
        <v>10:00</v>
      </c>
      <c r="O1595" s="317" t="str">
        <f t="shared" si="1619"/>
        <v>12:30</v>
      </c>
      <c r="P1595" s="317" t="str">
        <f t="shared" si="1619"/>
        <v>15:15</v>
      </c>
      <c r="Q1595" s="318">
        <f t="shared" si="1515"/>
        <v>46126.41667</v>
      </c>
      <c r="R1595" s="318">
        <f t="shared" si="1516"/>
        <v>46126.52083</v>
      </c>
      <c r="S1595" s="318">
        <f t="shared" si="8"/>
        <v>46126.63542</v>
      </c>
    </row>
    <row r="1596">
      <c r="A1596" s="14" t="str">
        <f t="shared" si="1"/>
        <v>C142646126</v>
      </c>
      <c r="B1596" s="185">
        <f t="array" ref="B1596">IF(F1596="VL","",IF(F1596="Free","Free",XLOOKUP(D1596,Roster!T:T,Roster!S:S,"",0)))</f>
        <v>123</v>
      </c>
      <c r="C1596" s="313">
        <v>46126.0</v>
      </c>
      <c r="D1596" s="314" t="s">
        <v>161</v>
      </c>
      <c r="E1596" s="307" t="str">
        <f t="array" ref="E1596">(XLOOKUP(D1596,Roster!F:F,Roster!B:B,"",0))</f>
        <v>Jose Zapata</v>
      </c>
      <c r="F1596" s="315" t="str">
        <f t="array" ref="F1596">IF(B1596=100,"Free",TEXT(XLOOKUP($D1596,OperationVoice!$A:$A,OperationVoice!T:T,XLOOKUP($D1596,OperationTickets!$A:$A,OperationTickets!T:T,"",0)),"hh:mm"))</f>
        <v>08:00</v>
      </c>
      <c r="G1596" s="309">
        <f t="shared" si="3"/>
        <v>0.7083333333</v>
      </c>
      <c r="H1596" s="316" t="str">
        <f t="array" ref="H1596">XLOOKUP(B1596,Roster!L:L,Roster!N:N,XLOOKUP(D1596,TicketsBreak!A:A,TicketsBreak!E:E,"",0),0)</f>
        <v>09:45 - 10:00 </v>
      </c>
      <c r="I1596" s="316" t="str">
        <f t="array" ref="I1596">XLOOKUP(B1596,Roster!L:L,Roster!O:O,XLOOKUP(D1596,TicketsBreak!A:A,TicketsBreak!F:F,"",0),0)</f>
        <v>12:30 - 13:00</v>
      </c>
      <c r="J1596" s="316" t="str">
        <f t="array" ref="J1596">XLOOKUP(B1596,Roster!L:L,Roster!P:P,XLOOKUP(D1596,TicketsBreak!A:A,TicketsBreak!G:G,"",0),0)</f>
        <v>15:00 - 15:15</v>
      </c>
      <c r="K1596" s="310">
        <f t="shared" si="4"/>
        <v>46126</v>
      </c>
      <c r="L1596" s="317">
        <f t="array" ref="L1596">(XLOOKUP(D1596,Roster!F:F,Roster!D:D,"",0))</f>
        <v>32</v>
      </c>
      <c r="M1596" s="317" t="str">
        <f t="array" ref="M1596">XLOOKUP(D1596,Roster!F:F,Roster!E:E)</f>
        <v>Tickets</v>
      </c>
      <c r="N1596" s="317" t="str">
        <f t="shared" ref="N1596:P1596" si="1620">LEFT(H1596,5)</f>
        <v>09:45</v>
      </c>
      <c r="O1596" s="317" t="str">
        <f t="shared" si="1620"/>
        <v>12:30</v>
      </c>
      <c r="P1596" s="317" t="str">
        <f t="shared" si="1620"/>
        <v>15:00</v>
      </c>
      <c r="Q1596" s="318">
        <f t="shared" si="1515"/>
        <v>46126.40625</v>
      </c>
      <c r="R1596" s="318">
        <f t="shared" si="1516"/>
        <v>46126.52083</v>
      </c>
      <c r="S1596" s="318">
        <f t="shared" si="8"/>
        <v>46126.625</v>
      </c>
    </row>
    <row r="1597">
      <c r="A1597" s="14" t="str">
        <f t="shared" si="1"/>
        <v>C153346126</v>
      </c>
      <c r="B1597" s="185">
        <f t="array" ref="B1597">IF(F1597="VL","",IF(F1597="Free","Free",XLOOKUP(D1597,Roster!T:T,Roster!S:S,"",0)))</f>
        <v>125</v>
      </c>
      <c r="C1597" s="313">
        <v>46126.0</v>
      </c>
      <c r="D1597" s="314" t="s">
        <v>43</v>
      </c>
      <c r="E1597" s="307" t="str">
        <f t="array" ref="E1597">(XLOOKUP(D1597,Roster!F:F,Roster!B:B,"",0))</f>
        <v>Juan Barrera</v>
      </c>
      <c r="F1597" s="315" t="str">
        <f t="array" ref="F1597">IF(B1597=100,"Free",TEXT(XLOOKUP($D1597,OperationVoice!$A:$A,OperationVoice!T:T,XLOOKUP($D1597,OperationTickets!$A:$A,OperationTickets!T:T,"",0)),"hh:mm"))</f>
        <v>08:00</v>
      </c>
      <c r="G1597" s="309">
        <f t="shared" si="3"/>
        <v>0.7083333333</v>
      </c>
      <c r="H1597" s="316" t="str">
        <f t="array" ref="H1597">XLOOKUP(B1597,Roster!L:L,Roster!N:N,XLOOKUP(D1597,TicketsBreak!A:A,TicketsBreak!E:E,"",0),0)</f>
        <v>10:30 - 10:45</v>
      </c>
      <c r="I1597" s="316" t="str">
        <f t="array" ref="I1597">XLOOKUP(B1597,Roster!L:L,Roster!O:O,XLOOKUP(D1597,TicketsBreak!A:A,TicketsBreak!F:F,"",0),0)</f>
        <v>13:30 - 14:00</v>
      </c>
      <c r="J1597" s="316" t="str">
        <f t="array" ref="J1597">XLOOKUP(B1597,Roster!L:L,Roster!P:P,XLOOKUP(D1597,TicketsBreak!A:A,TicketsBreak!G:G,"",0),0)</f>
        <v>15:45 - 16:00</v>
      </c>
      <c r="K1597" s="310">
        <f t="shared" si="4"/>
        <v>46126</v>
      </c>
      <c r="L1597" s="317">
        <f t="array" ref="L1597">(XLOOKUP(D1597,Roster!F:F,Roster!D:D,"",0))</f>
        <v>36</v>
      </c>
      <c r="M1597" s="317" t="str">
        <f t="array" ref="M1597">XLOOKUP(D1597,Roster!F:F,Roster!E:E)</f>
        <v>Voice</v>
      </c>
      <c r="N1597" s="317" t="str">
        <f t="shared" ref="N1597:P1597" si="1621">LEFT(H1597,5)</f>
        <v>10:30</v>
      </c>
      <c r="O1597" s="317" t="str">
        <f t="shared" si="1621"/>
        <v>13:30</v>
      </c>
      <c r="P1597" s="317" t="str">
        <f t="shared" si="1621"/>
        <v>15:45</v>
      </c>
      <c r="Q1597" s="318">
        <f t="shared" si="1515"/>
        <v>46126.4375</v>
      </c>
      <c r="R1597" s="318">
        <f t="shared" si="1516"/>
        <v>46126.5625</v>
      </c>
      <c r="S1597" s="318">
        <f t="shared" si="8"/>
        <v>46126.65625</v>
      </c>
    </row>
    <row r="1598">
      <c r="A1598" s="14" t="str">
        <f t="shared" si="1"/>
        <v>C146546126</v>
      </c>
      <c r="B1598" s="185">
        <f t="array" ref="B1598">IF(F1598="VL","",IF(F1598="Free","Free",XLOOKUP(D1598,Roster!T:T,Roster!S:S,"",0)))</f>
        <v>500</v>
      </c>
      <c r="C1598" s="313">
        <v>46126.0</v>
      </c>
      <c r="D1598" s="314" t="s">
        <v>44</v>
      </c>
      <c r="E1598" s="307" t="str">
        <f t="array" ref="E1598">(XLOOKUP(D1598,Roster!F:F,Roster!B:B,"",0))</f>
        <v>Juan Castilla</v>
      </c>
      <c r="F1598" s="315" t="str">
        <f t="array" ref="F1598">IF(B1598=100,"Free",TEXT(XLOOKUP($D1598,OperationVoice!$A:$A,OperationVoice!T:T,XLOOKUP($D1598,OperationTickets!$A:$A,OperationTickets!T:T,"",0)),"hh:mm"))</f>
        <v>08:00</v>
      </c>
      <c r="G1598" s="309">
        <f t="shared" si="3"/>
        <v>0.7083333333</v>
      </c>
      <c r="H1598" s="316" t="str">
        <f t="array" ref="H1598">XLOOKUP(B1598,Roster!L:L,Roster!N:N,XLOOKUP(D1598,TicketsBreak!A:A,TicketsBreak!E:E,"",0),0)</f>
        <v>Team Leader</v>
      </c>
      <c r="I1598" s="316" t="str">
        <f t="array" ref="I1598">XLOOKUP(B1598,Roster!L:L,Roster!O:O,XLOOKUP(D1598,TicketsBreak!A:A,TicketsBreak!F:F,"",0),0)</f>
        <v>Team Leader</v>
      </c>
      <c r="J1598" s="316" t="str">
        <f t="array" ref="J1598">XLOOKUP(B1598,Roster!L:L,Roster!P:P,XLOOKUP(D1598,TicketsBreak!A:A,TicketsBreak!G:G,"",0),0)</f>
        <v/>
      </c>
      <c r="K1598" s="310">
        <f t="shared" si="4"/>
        <v>46126</v>
      </c>
      <c r="L1598" s="317">
        <f t="array" ref="L1598">(XLOOKUP(D1598,Roster!F:F,Roster!D:D,"",0))</f>
        <v>33</v>
      </c>
      <c r="M1598" s="317" t="str">
        <f t="array" ref="M1598">XLOOKUP(D1598,Roster!F:F,Roster!E:E)</f>
        <v>Voice</v>
      </c>
      <c r="N1598" s="317" t="str">
        <f t="shared" ref="N1598:P1598" si="1622">LEFT(H1598,5)</f>
        <v>Team </v>
      </c>
      <c r="O1598" s="317" t="str">
        <f t="shared" si="1622"/>
        <v>Team </v>
      </c>
      <c r="P1598" s="317" t="str">
        <f t="shared" si="1622"/>
        <v/>
      </c>
      <c r="Q1598" s="318" t="str">
        <f t="shared" si="1515"/>
        <v>#VALUE!</v>
      </c>
      <c r="R1598" s="318" t="str">
        <f t="shared" si="1516"/>
        <v>#VALUE!</v>
      </c>
      <c r="S1598" s="318" t="str">
        <f t="shared" si="8"/>
        <v/>
      </c>
    </row>
    <row r="1599">
      <c r="A1599" s="14" t="str">
        <f t="shared" si="1"/>
        <v>C72046126</v>
      </c>
      <c r="B1599" s="185" t="str">
        <f t="array" ref="B1599">IF(F1599="VL","",IF(F1599="Free","Free",XLOOKUP(D1599,Roster!T:T,Roster!S:S,"",0)))</f>
        <v/>
      </c>
      <c r="C1599" s="313">
        <v>46126.0</v>
      </c>
      <c r="D1599" s="314" t="s">
        <v>162</v>
      </c>
      <c r="E1599" s="307" t="str">
        <f t="array" ref="E1599">(XLOOKUP(D1599,Roster!F:F,Roster!B:B,"",0))</f>
        <v>Juan Durango</v>
      </c>
      <c r="F1599" s="315" t="str">
        <f t="array" ref="F1599">IF(B1599=100,"Free",TEXT(XLOOKUP($D1599,OperationVoice!$A:$A,OperationVoice!T:T,XLOOKUP($D1599,OperationTickets!$A:$A,OperationTickets!T:T,"",0)),"hh:mm"))</f>
        <v>08:00</v>
      </c>
      <c r="G1599" s="309">
        <f t="shared" si="3"/>
        <v>0.7083333333</v>
      </c>
      <c r="H1599" s="316">
        <f t="array" ref="H1599">XLOOKUP(B1599,Roster!L:L,Roster!N:N,XLOOKUP(D1599,TicketsBreak!A:A,TicketsBreak!E:E,"",0),0)</f>
        <v>0.40625</v>
      </c>
      <c r="I1599" s="316">
        <f t="array" ref="I1599">XLOOKUP(B1599,Roster!L:L,Roster!O:O,XLOOKUP(D1599,TicketsBreak!A:A,TicketsBreak!F:F,"",0),0)</f>
        <v>0.5729166667</v>
      </c>
      <c r="J1599" s="316">
        <f t="array" ref="J1599">XLOOKUP(B1599,Roster!L:L,Roster!P:P,XLOOKUP(D1599,TicketsBreak!A:A,TicketsBreak!G:G,"",0),0)</f>
        <v>0.65625</v>
      </c>
      <c r="K1599" s="310">
        <f t="shared" si="4"/>
        <v>46126</v>
      </c>
      <c r="L1599" s="317">
        <f t="array" ref="L1599">(XLOOKUP(D1599,Roster!F:F,Roster!D:D,"",0))</f>
        <v>7</v>
      </c>
      <c r="M1599" s="317" t="str">
        <f t="array" ref="M1599">XLOOKUP(D1599,Roster!F:F,Roster!E:E)</f>
        <v>Tickets</v>
      </c>
      <c r="N1599" s="317" t="str">
        <f t="shared" ref="N1599:P1599" si="1623">LEFT(H1599,5)</f>
        <v>09:45</v>
      </c>
      <c r="O1599" s="317" t="str">
        <f t="shared" si="1623"/>
        <v>13:45</v>
      </c>
      <c r="P1599" s="317" t="str">
        <f t="shared" si="1623"/>
        <v>15:45</v>
      </c>
      <c r="Q1599" s="318">
        <f t="shared" si="1515"/>
        <v>46126.40625</v>
      </c>
      <c r="R1599" s="318">
        <f t="shared" si="1516"/>
        <v>46126.57292</v>
      </c>
      <c r="S1599" s="318">
        <f t="shared" si="8"/>
        <v>46126.65625</v>
      </c>
    </row>
    <row r="1600">
      <c r="A1600" s="14" t="str">
        <f t="shared" si="1"/>
        <v>C59846126</v>
      </c>
      <c r="B1600" s="185" t="str">
        <f t="array" ref="B1600">IF(F1600="VL","",IF(F1600="Free","Free",XLOOKUP(D1600,Roster!T:T,Roster!S:S,"",0)))</f>
        <v/>
      </c>
      <c r="C1600" s="313">
        <v>46126.0</v>
      </c>
      <c r="D1600" s="314" t="s">
        <v>314</v>
      </c>
      <c r="E1600" s="307" t="str">
        <f t="array" ref="E1600">(XLOOKUP(D1600,Roster!F:F,Roster!B:B,"",0))</f>
        <v>Juan Fonnegra</v>
      </c>
      <c r="F1600" s="315" t="str">
        <f t="array" ref="F1600">IF(B1600=100,"Free",TEXT(XLOOKUP($D1600,OperationVoice!$A:$A,OperationVoice!T:T,XLOOKUP($D1600,OperationTickets!$A:$A,OperationTickets!T:T,"",0)),"hh:mm"))</f>
        <v/>
      </c>
      <c r="G1600" s="309" t="str">
        <f t="shared" si="3"/>
        <v/>
      </c>
      <c r="H1600" s="316">
        <f t="array" ref="H1600">XLOOKUP(B1600,Roster!L:L,Roster!N:N,XLOOKUP(D1600,TicketsBreak!A:A,TicketsBreak!E:E,"",0),0)</f>
        <v>0.4166666667</v>
      </c>
      <c r="I1600" s="316">
        <f t="array" ref="I1600">XLOOKUP(B1600,Roster!L:L,Roster!O:O,XLOOKUP(D1600,TicketsBreak!A:A,TicketsBreak!F:F,"",0),0)</f>
        <v>0.5208333333</v>
      </c>
      <c r="J1600" s="316">
        <f t="array" ref="J1600">XLOOKUP(B1600,Roster!L:L,Roster!P:P,XLOOKUP(D1600,TicketsBreak!A:A,TicketsBreak!G:G,"",0),0)</f>
        <v>0.65625</v>
      </c>
      <c r="K1600" s="310">
        <f t="shared" si="4"/>
        <v>46126</v>
      </c>
      <c r="L1600" s="317">
        <f t="array" ref="L1600">(XLOOKUP(D1600,Roster!F:F,Roster!D:D,"",0))</f>
        <v>1</v>
      </c>
      <c r="M1600" s="317" t="str">
        <f t="array" ref="M1600">XLOOKUP(D1600,Roster!F:F,Roster!E:E)</f>
        <v>Tickets</v>
      </c>
      <c r="N1600" s="317" t="str">
        <f t="shared" ref="N1600:P1600" si="1624">LEFT(H1600,5)</f>
        <v>10:00</v>
      </c>
      <c r="O1600" s="317" t="str">
        <f t="shared" si="1624"/>
        <v>12:30</v>
      </c>
      <c r="P1600" s="317" t="str">
        <f t="shared" si="1624"/>
        <v>15:45</v>
      </c>
      <c r="Q1600" s="318">
        <f t="shared" si="1515"/>
        <v>46126.41667</v>
      </c>
      <c r="R1600" s="318">
        <f t="shared" si="1516"/>
        <v>46126.52083</v>
      </c>
      <c r="S1600" s="318">
        <f t="shared" si="8"/>
        <v>46126.65625</v>
      </c>
    </row>
    <row r="1601">
      <c r="A1601" s="14" t="str">
        <f t="shared" si="1"/>
        <v>C113946126</v>
      </c>
      <c r="B1601" s="185">
        <f t="array" ref="B1601">IF(F1601="VL","",IF(F1601="Free","Free",XLOOKUP(D1601,Roster!T:T,Roster!S:S,"",0)))</f>
        <v>125</v>
      </c>
      <c r="C1601" s="313">
        <v>46126.0</v>
      </c>
      <c r="D1601" s="314" t="s">
        <v>45</v>
      </c>
      <c r="E1601" s="307" t="str">
        <f t="array" ref="E1601">(XLOOKUP(D1601,Roster!F:F,Roster!B:B,"",0))</f>
        <v>Juan Largacha</v>
      </c>
      <c r="F1601" s="315" t="str">
        <f t="array" ref="F1601">IF(B1601=100,"Free",TEXT(XLOOKUP($D1601,OperationVoice!$A:$A,OperationVoice!T:T,XLOOKUP($D1601,OperationTickets!$A:$A,OperationTickets!T:T,"",0)),"hh:mm"))</f>
        <v>08:00</v>
      </c>
      <c r="G1601" s="309">
        <f t="shared" si="3"/>
        <v>0.7083333333</v>
      </c>
      <c r="H1601" s="316" t="str">
        <f t="array" ref="H1601">XLOOKUP(B1601,Roster!L:L,Roster!N:N,XLOOKUP(D1601,TicketsBreak!A:A,TicketsBreak!E:E,"",0),0)</f>
        <v>10:30 - 10:45</v>
      </c>
      <c r="I1601" s="316" t="str">
        <f t="array" ref="I1601">XLOOKUP(B1601,Roster!L:L,Roster!O:O,XLOOKUP(D1601,TicketsBreak!A:A,TicketsBreak!F:F,"",0),0)</f>
        <v>13:30 - 14:00</v>
      </c>
      <c r="J1601" s="316" t="str">
        <f t="array" ref="J1601">XLOOKUP(B1601,Roster!L:L,Roster!P:P,XLOOKUP(D1601,TicketsBreak!A:A,TicketsBreak!G:G,"",0),0)</f>
        <v>15:45 - 16:00</v>
      </c>
      <c r="K1601" s="310">
        <f t="shared" si="4"/>
        <v>46126</v>
      </c>
      <c r="L1601" s="317">
        <f t="array" ref="L1601">(XLOOKUP(D1601,Roster!F:F,Roster!D:D,"",0))</f>
        <v>22</v>
      </c>
      <c r="M1601" s="317" t="str">
        <f t="array" ref="M1601">XLOOKUP(D1601,Roster!F:F,Roster!E:E)</f>
        <v>Voice</v>
      </c>
      <c r="N1601" s="317" t="str">
        <f t="shared" ref="N1601:P1601" si="1625">LEFT(H1601,5)</f>
        <v>10:30</v>
      </c>
      <c r="O1601" s="317" t="str">
        <f t="shared" si="1625"/>
        <v>13:30</v>
      </c>
      <c r="P1601" s="317" t="str">
        <f t="shared" si="1625"/>
        <v>15:45</v>
      </c>
      <c r="Q1601" s="318">
        <f t="shared" si="1515"/>
        <v>46126.4375</v>
      </c>
      <c r="R1601" s="318">
        <f t="shared" si="1516"/>
        <v>46126.5625</v>
      </c>
      <c r="S1601" s="318">
        <f t="shared" si="8"/>
        <v>46126.65625</v>
      </c>
    </row>
    <row r="1602">
      <c r="A1602" s="14" t="str">
        <f t="shared" si="1"/>
        <v>C156646126</v>
      </c>
      <c r="B1602" s="185">
        <f t="array" ref="B1602">IF(F1602="VL","",IF(F1602="Free","Free",XLOOKUP(D1602,Roster!T:T,Roster!S:S,"",0)))</f>
        <v>124</v>
      </c>
      <c r="C1602" s="313">
        <v>46126.0</v>
      </c>
      <c r="D1602" s="314" t="s">
        <v>46</v>
      </c>
      <c r="E1602" s="307" t="str">
        <f t="array" ref="E1602">(XLOOKUP(D1602,Roster!F:F,Roster!B:B,"",0))</f>
        <v>Juan Ocampo</v>
      </c>
      <c r="F1602" s="315" t="str">
        <f t="array" ref="F1602">IF(B1602=100,"Free",TEXT(XLOOKUP($D1602,OperationVoice!$A:$A,OperationVoice!T:T,XLOOKUP($D1602,OperationTickets!$A:$A,OperationTickets!T:T,"",0)),"hh:mm"))</f>
        <v>08:00</v>
      </c>
      <c r="G1602" s="309">
        <f t="shared" si="3"/>
        <v>0.7083333333</v>
      </c>
      <c r="H1602" s="316" t="str">
        <f t="array" ref="H1602">XLOOKUP(B1602,Roster!L:L,Roster!N:N,XLOOKUP(D1602,TicketsBreak!A:A,TicketsBreak!E:E,"",0),0)</f>
        <v>10:00 - 10:15</v>
      </c>
      <c r="I1602" s="316" t="str">
        <f t="array" ref="I1602">XLOOKUP(B1602,Roster!L:L,Roster!O:O,XLOOKUP(D1602,TicketsBreak!A:A,TicketsBreak!F:F,"",0),0)</f>
        <v>13:00 - 13:30</v>
      </c>
      <c r="J1602" s="316" t="str">
        <f t="array" ref="J1602">XLOOKUP(B1602,Roster!L:L,Roster!P:P,XLOOKUP(D1602,TicketsBreak!A:A,TicketsBreak!G:G,"",0),0)</f>
        <v>15:30 - 15:45</v>
      </c>
      <c r="K1602" s="310">
        <f t="shared" si="4"/>
        <v>46126</v>
      </c>
      <c r="L1602" s="317">
        <f t="array" ref="L1602">(XLOOKUP(D1602,Roster!F:F,Roster!D:D,"",0))</f>
        <v>38</v>
      </c>
      <c r="M1602" s="317" t="str">
        <f t="array" ref="M1602">XLOOKUP(D1602,Roster!F:F,Roster!E:E)</f>
        <v>Voice</v>
      </c>
      <c r="N1602" s="317" t="str">
        <f t="shared" ref="N1602:P1602" si="1626">LEFT(H1602,5)</f>
        <v>10:00</v>
      </c>
      <c r="O1602" s="317" t="str">
        <f t="shared" si="1626"/>
        <v>13:00</v>
      </c>
      <c r="P1602" s="317" t="str">
        <f t="shared" si="1626"/>
        <v>15:30</v>
      </c>
      <c r="Q1602" s="318">
        <f t="shared" si="1515"/>
        <v>46126.41667</v>
      </c>
      <c r="R1602" s="318">
        <f t="shared" si="1516"/>
        <v>46126.54167</v>
      </c>
      <c r="S1602" s="318">
        <f t="shared" si="8"/>
        <v>46126.64583</v>
      </c>
    </row>
    <row r="1603">
      <c r="A1603" s="14" t="str">
        <f t="shared" si="1"/>
        <v>C148446126</v>
      </c>
      <c r="B1603" s="185">
        <f t="array" ref="B1603">IF(F1603="VL","",IF(F1603="Free","Free",XLOOKUP(D1603,Roster!T:T,Roster!S:S,"",0)))</f>
        <v>126</v>
      </c>
      <c r="C1603" s="313">
        <v>46126.0</v>
      </c>
      <c r="D1603" s="314" t="s">
        <v>141</v>
      </c>
      <c r="E1603" s="307" t="str">
        <f t="array" ref="E1603">(XLOOKUP(D1603,Roster!F:F,Roster!B:B,"",0))</f>
        <v>Juan Ospina</v>
      </c>
      <c r="F1603" s="315" t="str">
        <f t="array" ref="F1603">IF(B1603=100,"Free",TEXT(XLOOKUP($D1603,OperationVoice!$A:$A,OperationVoice!T:T,XLOOKUP($D1603,OperationTickets!$A:$A,OperationTickets!T:T,"",0)),"hh:mm"))</f>
        <v>08:00</v>
      </c>
      <c r="G1603" s="309">
        <f t="shared" si="3"/>
        <v>0.7083333333</v>
      </c>
      <c r="H1603" s="316" t="str">
        <f t="array" ref="H1603">XLOOKUP(B1603,Roster!L:L,Roster!N:N,XLOOKUP(D1603,TicketsBreak!A:A,TicketsBreak!E:E,"",0),0)</f>
        <v>10:45 - 11:00</v>
      </c>
      <c r="I1603" s="316" t="str">
        <f t="array" ref="I1603">XLOOKUP(B1603,Roster!L:L,Roster!O:O,XLOOKUP(D1603,TicketsBreak!A:A,TicketsBreak!F:F,"",0),0)</f>
        <v>14:00 - 14:30</v>
      </c>
      <c r="J1603" s="316" t="str">
        <f t="array" ref="J1603">XLOOKUP(B1603,Roster!L:L,Roster!P:P,XLOOKUP(D1603,TicketsBreak!A:A,TicketsBreak!G:G,"",0),0)</f>
        <v>15:45 - 16:00</v>
      </c>
      <c r="K1603" s="310">
        <f t="shared" si="4"/>
        <v>46126</v>
      </c>
      <c r="L1603" s="317">
        <f t="array" ref="L1603">(XLOOKUP(D1603,Roster!F:F,Roster!D:D,"",0))</f>
        <v>34</v>
      </c>
      <c r="M1603" s="317" t="str">
        <f t="array" ref="M1603">XLOOKUP(D1603,Roster!F:F,Roster!E:E)</f>
        <v>Tickets</v>
      </c>
      <c r="N1603" s="317" t="str">
        <f t="shared" ref="N1603:P1603" si="1627">LEFT(H1603,5)</f>
        <v>10:45</v>
      </c>
      <c r="O1603" s="317" t="str">
        <f t="shared" si="1627"/>
        <v>14:00</v>
      </c>
      <c r="P1603" s="317" t="str">
        <f t="shared" si="1627"/>
        <v>15:45</v>
      </c>
      <c r="Q1603" s="318">
        <f t="shared" si="1515"/>
        <v>46126.44792</v>
      </c>
      <c r="R1603" s="318">
        <f t="shared" si="1516"/>
        <v>46126.58333</v>
      </c>
      <c r="S1603" s="318">
        <f t="shared" si="8"/>
        <v>46126.65625</v>
      </c>
    </row>
    <row r="1604">
      <c r="A1604" s="14" t="str">
        <f t="shared" si="1"/>
        <v>C141346126</v>
      </c>
      <c r="B1604" s="185">
        <f t="array" ref="B1604">IF(F1604="VL","",IF(F1604="Free","Free",XLOOKUP(D1604,Roster!T:T,Roster!S:S,"",0)))</f>
        <v>121</v>
      </c>
      <c r="C1604" s="313">
        <v>46126.0</v>
      </c>
      <c r="D1604" s="314" t="s">
        <v>47</v>
      </c>
      <c r="E1604" s="307" t="str">
        <f t="array" ref="E1604">(XLOOKUP(D1604,Roster!F:F,Roster!B:B,"",0))</f>
        <v>Juan Parra</v>
      </c>
      <c r="F1604" s="315" t="str">
        <f t="array" ref="F1604">IF(B1604=100,"Free",TEXT(XLOOKUP($D1604,OperationVoice!$A:$A,OperationVoice!T:T,XLOOKUP($D1604,OperationTickets!$A:$A,OperationTickets!T:T,"",0)),"hh:mm"))</f>
        <v>08:00</v>
      </c>
      <c r="G1604" s="309">
        <f t="shared" si="3"/>
        <v>0.7083333333</v>
      </c>
      <c r="H1604" s="316" t="str">
        <f t="array" ref="H1604">XLOOKUP(B1604,Roster!L:L,Roster!N:N,XLOOKUP(D1604,TicketsBreak!A:A,TicketsBreak!E:E,"",0),0)</f>
        <v>09:15 - 09:30</v>
      </c>
      <c r="I1604" s="316" t="str">
        <f t="array" ref="I1604">XLOOKUP(B1604,Roster!L:L,Roster!O:O,XLOOKUP(D1604,TicketsBreak!A:A,TicketsBreak!F:F,"",0),0)</f>
        <v>11:30 - 12:00</v>
      </c>
      <c r="J1604" s="316" t="str">
        <f t="array" ref="J1604">XLOOKUP(B1604,Roster!L:L,Roster!P:P,XLOOKUP(D1604,TicketsBreak!A:A,TicketsBreak!G:G,"",0),0)</f>
        <v>14:30 - 14:45</v>
      </c>
      <c r="K1604" s="310">
        <f t="shared" si="4"/>
        <v>46126</v>
      </c>
      <c r="L1604" s="317">
        <f t="array" ref="L1604">(XLOOKUP(D1604,Roster!F:F,Roster!D:D,"",0))</f>
        <v>32</v>
      </c>
      <c r="M1604" s="317" t="str">
        <f t="array" ref="M1604">XLOOKUP(D1604,Roster!F:F,Roster!E:E)</f>
        <v>Voice</v>
      </c>
      <c r="N1604" s="317" t="str">
        <f t="shared" ref="N1604:P1604" si="1628">LEFT(H1604,5)</f>
        <v>09:15</v>
      </c>
      <c r="O1604" s="317" t="str">
        <f t="shared" si="1628"/>
        <v>11:30</v>
      </c>
      <c r="P1604" s="317" t="str">
        <f t="shared" si="1628"/>
        <v>14:30</v>
      </c>
      <c r="Q1604" s="318">
        <f t="shared" si="1515"/>
        <v>46126.38542</v>
      </c>
      <c r="R1604" s="318">
        <f t="shared" si="1516"/>
        <v>46126.47917</v>
      </c>
      <c r="S1604" s="318">
        <f t="shared" si="8"/>
        <v>46126.60417</v>
      </c>
    </row>
    <row r="1605">
      <c r="A1605" s="14" t="str">
        <f t="shared" si="1"/>
        <v>C132746126</v>
      </c>
      <c r="B1605" s="185" t="str">
        <f t="array" ref="B1605">IF(F1605="VL","",IF(F1605="Free","Free",XLOOKUP(D1605,Roster!T:T,Roster!S:S,"",0)))</f>
        <v>Free</v>
      </c>
      <c r="C1605" s="313">
        <v>46126.0</v>
      </c>
      <c r="D1605" s="314" t="s">
        <v>163</v>
      </c>
      <c r="E1605" s="307" t="str">
        <f t="array" ref="E1605">(XLOOKUP(D1605,Roster!F:F,Roster!B:B,"",0))</f>
        <v>Juan Restrepo</v>
      </c>
      <c r="F1605" s="315" t="str">
        <f t="array" ref="F1605">IF(B1605=100,"Free",TEXT(XLOOKUP($D1605,OperationVoice!$A:$A,OperationVoice!T:T,XLOOKUP($D1605,OperationTickets!$A:$A,OperationTickets!T:T,"",0)),"hh:mm"))</f>
        <v>Free</v>
      </c>
      <c r="G1605" s="309" t="str">
        <f t="shared" si="3"/>
        <v>Free</v>
      </c>
      <c r="H1605" s="316" t="str">
        <f t="array" ref="H1605">XLOOKUP(B1605,Roster!L:L,Roster!N:N,XLOOKUP(D1605,TicketsBreak!A:A,TicketsBreak!E:E,"",0),0)</f>
        <v/>
      </c>
      <c r="I1605" s="316" t="str">
        <f t="array" ref="I1605">XLOOKUP(B1605,Roster!L:L,Roster!O:O,XLOOKUP(D1605,TicketsBreak!A:A,TicketsBreak!F:F,"",0),0)</f>
        <v/>
      </c>
      <c r="J1605" s="316" t="str">
        <f t="array" ref="J1605">XLOOKUP(B1605,Roster!L:L,Roster!P:P,XLOOKUP(D1605,TicketsBreak!A:A,TicketsBreak!G:G,"",0),0)</f>
        <v/>
      </c>
      <c r="K1605" s="310">
        <f t="shared" si="4"/>
        <v>46126</v>
      </c>
      <c r="L1605" s="317">
        <f t="array" ref="L1605">(XLOOKUP(D1605,Roster!F:F,Roster!D:D,"",0))</f>
        <v>29</v>
      </c>
      <c r="M1605" s="317" t="str">
        <f t="array" ref="M1605">XLOOKUP(D1605,Roster!F:F,Roster!E:E)</f>
        <v>Tickets</v>
      </c>
      <c r="N1605" s="317" t="str">
        <f t="shared" ref="N1605:P1605" si="1629">LEFT(H1605,5)</f>
        <v/>
      </c>
      <c r="O1605" s="317" t="str">
        <f t="shared" si="1629"/>
        <v/>
      </c>
      <c r="P1605" s="317" t="str">
        <f t="shared" si="1629"/>
        <v/>
      </c>
      <c r="Q1605" s="318" t="str">
        <f t="shared" si="1515"/>
        <v/>
      </c>
      <c r="R1605" s="318" t="str">
        <f t="shared" si="1516"/>
        <v/>
      </c>
      <c r="S1605" s="318" t="str">
        <f t="shared" si="8"/>
        <v/>
      </c>
    </row>
    <row r="1606">
      <c r="A1606" s="14" t="str">
        <f t="shared" si="1"/>
        <v>C146946126</v>
      </c>
      <c r="B1606" s="185">
        <f t="array" ref="B1606">IF(F1606="VL","",IF(F1606="Free","Free",XLOOKUP(D1606,Roster!T:T,Roster!S:S,"",0)))</f>
        <v>122</v>
      </c>
      <c r="C1606" s="313">
        <v>46126.0</v>
      </c>
      <c r="D1606" s="314" t="s">
        <v>48</v>
      </c>
      <c r="E1606" s="307" t="str">
        <f t="array" ref="E1606">(XLOOKUP(D1606,Roster!F:F,Roster!B:B,"",0))</f>
        <v>Juan Restrepo Restrepo</v>
      </c>
      <c r="F1606" s="315" t="str">
        <f t="array" ref="F1606">IF(B1606=100,"Free",TEXT(XLOOKUP($D1606,OperationVoice!$A:$A,OperationVoice!T:T,XLOOKUP($D1606,OperationTickets!$A:$A,OperationTickets!T:T,"",0)),"hh:mm"))</f>
        <v>08:00</v>
      </c>
      <c r="G1606" s="309">
        <f t="shared" si="3"/>
        <v>0.7083333333</v>
      </c>
      <c r="H1606" s="316" t="str">
        <f t="array" ref="H1606">XLOOKUP(B1606,Roster!L:L,Roster!N:N,XLOOKUP(D1606,TicketsBreak!A:A,TicketsBreak!E:E,"",0),0)</f>
        <v>09:30 - 09:45</v>
      </c>
      <c r="I1606" s="316" t="str">
        <f t="array" ref="I1606">XLOOKUP(B1606,Roster!L:L,Roster!O:O,XLOOKUP(D1606,TicketsBreak!A:A,TicketsBreak!F:F,"",0),0)</f>
        <v>12:00 - 12:30</v>
      </c>
      <c r="J1606" s="316" t="str">
        <f t="array" ref="J1606">XLOOKUP(B1606,Roster!L:L,Roster!P:P,XLOOKUP(D1606,TicketsBreak!A:A,TicketsBreak!G:G,"",0),0)</f>
        <v>14:45 - 15:00</v>
      </c>
      <c r="K1606" s="310">
        <f t="shared" si="4"/>
        <v>46126</v>
      </c>
      <c r="L1606" s="317">
        <f t="array" ref="L1606">(XLOOKUP(D1606,Roster!F:F,Roster!D:D,"",0))</f>
        <v>33</v>
      </c>
      <c r="M1606" s="317" t="str">
        <f t="array" ref="M1606">XLOOKUP(D1606,Roster!F:F,Roster!E:E)</f>
        <v>Voice</v>
      </c>
      <c r="N1606" s="317" t="str">
        <f t="shared" ref="N1606:P1606" si="1630">LEFT(H1606,5)</f>
        <v>09:30</v>
      </c>
      <c r="O1606" s="317" t="str">
        <f t="shared" si="1630"/>
        <v>12:00</v>
      </c>
      <c r="P1606" s="317" t="str">
        <f t="shared" si="1630"/>
        <v>14:45</v>
      </c>
      <c r="Q1606" s="318">
        <f t="shared" si="1515"/>
        <v>46126.39583</v>
      </c>
      <c r="R1606" s="318">
        <f t="shared" si="1516"/>
        <v>46126.5</v>
      </c>
      <c r="S1606" s="318">
        <f t="shared" si="8"/>
        <v>46126.61458</v>
      </c>
    </row>
    <row r="1607">
      <c r="A1607" s="14" t="str">
        <f t="shared" si="1"/>
        <v>C117146126</v>
      </c>
      <c r="B1607" s="185" t="str">
        <f t="array" ref="B1607">IF(F1607="VL","",IF(F1607="Free","Free",XLOOKUP(D1607,Roster!T:T,Roster!S:S,"",0)))</f>
        <v/>
      </c>
      <c r="C1607" s="313">
        <v>46126.0</v>
      </c>
      <c r="D1607" s="314" t="s">
        <v>142</v>
      </c>
      <c r="E1607" s="307" t="str">
        <f t="array" ref="E1607">(XLOOKUP(D1607,Roster!F:F,Roster!B:B,"",0))</f>
        <v>Juan Sanchez</v>
      </c>
      <c r="F1607" s="315" t="str">
        <f t="array" ref="F1607">IF(B1607=100,"Free",TEXT(XLOOKUP($D1607,OperationVoice!$A:$A,OperationVoice!T:T,XLOOKUP($D1607,OperationTickets!$A:$A,OperationTickets!T:T,"",0)),"hh:mm"))</f>
        <v>08:00</v>
      </c>
      <c r="G1607" s="309">
        <f t="shared" si="3"/>
        <v>0.7083333333</v>
      </c>
      <c r="H1607" s="316" t="str">
        <f t="array" ref="H1607">XLOOKUP(B1607,Roster!L:L,Roster!N:N,XLOOKUP(D1607,TicketsBreak!A:A,TicketsBreak!E:E,"",0),0)</f>
        <v/>
      </c>
      <c r="I1607" s="316" t="str">
        <f t="array" ref="I1607">XLOOKUP(B1607,Roster!L:L,Roster!O:O,XLOOKUP(D1607,TicketsBreak!A:A,TicketsBreak!F:F,"",0),0)</f>
        <v/>
      </c>
      <c r="J1607" s="316" t="str">
        <f t="array" ref="J1607">XLOOKUP(B1607,Roster!L:L,Roster!P:P,XLOOKUP(D1607,TicketsBreak!A:A,TicketsBreak!G:G,"",0),0)</f>
        <v/>
      </c>
      <c r="K1607" s="310">
        <f t="shared" si="4"/>
        <v>46126</v>
      </c>
      <c r="L1607" s="317">
        <f t="array" ref="L1607">(XLOOKUP(D1607,Roster!F:F,Roster!D:D,"",0))</f>
        <v>24</v>
      </c>
      <c r="M1607" s="317" t="str">
        <f t="array" ref="M1607">XLOOKUP(D1607,Roster!F:F,Roster!E:E)</f>
        <v>Tickets</v>
      </c>
      <c r="N1607" s="317" t="str">
        <f t="shared" ref="N1607:P1607" si="1631">LEFT(H1607,5)</f>
        <v/>
      </c>
      <c r="O1607" s="317" t="str">
        <f t="shared" si="1631"/>
        <v/>
      </c>
      <c r="P1607" s="317" t="str">
        <f t="shared" si="1631"/>
        <v/>
      </c>
      <c r="Q1607" s="318" t="str">
        <f t="shared" si="1515"/>
        <v/>
      </c>
      <c r="R1607" s="318" t="str">
        <f t="shared" si="1516"/>
        <v/>
      </c>
      <c r="S1607" s="318" t="str">
        <f t="shared" si="8"/>
        <v/>
      </c>
    </row>
    <row r="1608">
      <c r="A1608" s="14" t="str">
        <f t="shared" si="1"/>
        <v>C74346126</v>
      </c>
      <c r="B1608" s="185" t="str">
        <f t="array" ref="B1608">IF(F1608="VL","",IF(F1608="Free","Free",XLOOKUP(D1608,Roster!T:T,Roster!S:S,"",0)))</f>
        <v/>
      </c>
      <c r="C1608" s="313">
        <v>46126.0</v>
      </c>
      <c r="D1608" s="314" t="s">
        <v>164</v>
      </c>
      <c r="E1608" s="307" t="str">
        <f t="array" ref="E1608">(XLOOKUP(D1608,Roster!F:F,Roster!B:B,"",0))</f>
        <v>Juan Suarez</v>
      </c>
      <c r="F1608" s="315" t="str">
        <f t="array" ref="F1608">IF(B1608=100,"Free",TEXT(XLOOKUP($D1608,OperationVoice!$A:$A,OperationVoice!T:T,XLOOKUP($D1608,OperationTickets!$A:$A,OperationTickets!T:T,"",0)),"hh:mm"))</f>
        <v>VL</v>
      </c>
      <c r="G1608" s="309" t="str">
        <f t="shared" si="3"/>
        <v>VL</v>
      </c>
      <c r="H1608" s="316">
        <f t="array" ref="H1608">XLOOKUP(B1608,Roster!L:L,Roster!N:N,XLOOKUP(D1608,TicketsBreak!A:A,TicketsBreak!E:E,"",0),0)</f>
        <v>0.3958333333</v>
      </c>
      <c r="I1608" s="316">
        <f t="array" ref="I1608">XLOOKUP(B1608,Roster!L:L,Roster!O:O,XLOOKUP(D1608,TicketsBreak!A:A,TicketsBreak!F:F,"",0),0)</f>
        <v>0.5208333333</v>
      </c>
      <c r="J1608" s="316">
        <f t="array" ref="J1608">XLOOKUP(B1608,Roster!L:L,Roster!P:P,XLOOKUP(D1608,TicketsBreak!A:A,TicketsBreak!G:G,"",0),0)</f>
        <v>0.6145833333</v>
      </c>
      <c r="K1608" s="310">
        <f t="shared" si="4"/>
        <v>46126</v>
      </c>
      <c r="L1608" s="317">
        <f t="array" ref="L1608">(XLOOKUP(D1608,Roster!F:F,Roster!D:D,"",0))</f>
        <v>8</v>
      </c>
      <c r="M1608" s="317" t="str">
        <f t="array" ref="M1608">XLOOKUP(D1608,Roster!F:F,Roster!E:E)</f>
        <v>Tickets</v>
      </c>
      <c r="N1608" s="317" t="str">
        <f t="shared" ref="N1608:P1608" si="1632">LEFT(H1608,5)</f>
        <v>09:30</v>
      </c>
      <c r="O1608" s="317" t="str">
        <f t="shared" si="1632"/>
        <v>12:30</v>
      </c>
      <c r="P1608" s="317" t="str">
        <f t="shared" si="1632"/>
        <v>14:45</v>
      </c>
      <c r="Q1608" s="318">
        <f t="shared" si="1515"/>
        <v>46126.39583</v>
      </c>
      <c r="R1608" s="318">
        <f t="shared" si="1516"/>
        <v>46126.52083</v>
      </c>
      <c r="S1608" s="318">
        <f t="shared" si="8"/>
        <v>46126.61458</v>
      </c>
    </row>
    <row r="1609">
      <c r="A1609" s="14" t="str">
        <f t="shared" si="1"/>
        <v>C156846126</v>
      </c>
      <c r="B1609" s="185" t="str">
        <f t="array" ref="B1609">IF(F1609="VL","",IF(F1609="Free","Free",XLOOKUP(D1609,Roster!T:T,Roster!S:S,"",0)))</f>
        <v>Free</v>
      </c>
      <c r="C1609" s="313">
        <v>46126.0</v>
      </c>
      <c r="D1609" s="314" t="s">
        <v>49</v>
      </c>
      <c r="E1609" s="307" t="str">
        <f t="array" ref="E1609">(XLOOKUP(D1609,Roster!F:F,Roster!B:B,"",0))</f>
        <v>Juan Zapata</v>
      </c>
      <c r="F1609" s="315" t="str">
        <f t="array" ref="F1609">IF(B1609=100,"Free",TEXT(XLOOKUP($D1609,OperationVoice!$A:$A,OperationVoice!T:T,XLOOKUP($D1609,OperationTickets!$A:$A,OperationTickets!T:T,"",0)),"hh:mm"))</f>
        <v>Free</v>
      </c>
      <c r="G1609" s="309" t="str">
        <f t="shared" si="3"/>
        <v>Free</v>
      </c>
      <c r="H1609" s="316" t="str">
        <f t="array" ref="H1609">XLOOKUP(B1609,Roster!L:L,Roster!N:N,XLOOKUP(D1609,TicketsBreak!A:A,TicketsBreak!E:E,"",0),0)</f>
        <v/>
      </c>
      <c r="I1609" s="316" t="str">
        <f t="array" ref="I1609">XLOOKUP(B1609,Roster!L:L,Roster!O:O,XLOOKUP(D1609,TicketsBreak!A:A,TicketsBreak!F:F,"",0),0)</f>
        <v/>
      </c>
      <c r="J1609" s="316" t="str">
        <f t="array" ref="J1609">XLOOKUP(B1609,Roster!L:L,Roster!P:P,XLOOKUP(D1609,TicketsBreak!A:A,TicketsBreak!G:G,"",0),0)</f>
        <v/>
      </c>
      <c r="K1609" s="310">
        <f t="shared" si="4"/>
        <v>46126</v>
      </c>
      <c r="L1609" s="317">
        <f t="array" ref="L1609">(XLOOKUP(D1609,Roster!F:F,Roster!D:D,"",0))</f>
        <v>38</v>
      </c>
      <c r="M1609" s="317" t="str">
        <f t="array" ref="M1609">XLOOKUP(D1609,Roster!F:F,Roster!E:E)</f>
        <v>Voice</v>
      </c>
      <c r="N1609" s="317" t="str">
        <f t="shared" ref="N1609:P1609" si="1633">LEFT(H1609,5)</f>
        <v/>
      </c>
      <c r="O1609" s="317" t="str">
        <f t="shared" si="1633"/>
        <v/>
      </c>
      <c r="P1609" s="317" t="str">
        <f t="shared" si="1633"/>
        <v/>
      </c>
      <c r="Q1609" s="318" t="str">
        <f t="shared" si="1515"/>
        <v/>
      </c>
      <c r="R1609" s="318" t="str">
        <f t="shared" si="1516"/>
        <v/>
      </c>
      <c r="S1609" s="318" t="str">
        <f t="shared" si="8"/>
        <v/>
      </c>
    </row>
    <row r="1610">
      <c r="A1610" s="14" t="str">
        <f t="shared" si="1"/>
        <v>C75546126</v>
      </c>
      <c r="B1610" s="185" t="str">
        <f t="array" ref="B1610">IF(F1610="VL","",IF(F1610="Free","Free",XLOOKUP(D1610,Roster!T:T,Roster!S:S,"",0)))</f>
        <v/>
      </c>
      <c r="C1610" s="313">
        <v>46126.0</v>
      </c>
      <c r="D1610" s="314" t="s">
        <v>143</v>
      </c>
      <c r="E1610" s="307" t="str">
        <f t="array" ref="E1610">(XLOOKUP(D1610,Roster!F:F,Roster!B:B,"",0))</f>
        <v>Julian Higuita</v>
      </c>
      <c r="F1610" s="315" t="str">
        <f t="array" ref="F1610">IF(B1610=100,"Free",TEXT(XLOOKUP($D1610,OperationVoice!$A:$A,OperationVoice!T:T,XLOOKUP($D1610,OperationTickets!$A:$A,OperationTickets!T:T,"",0)),"hh:mm"))</f>
        <v>VL</v>
      </c>
      <c r="G1610" s="309" t="str">
        <f t="shared" si="3"/>
        <v>VL</v>
      </c>
      <c r="H1610" s="316" t="str">
        <f t="array" ref="H1610">XLOOKUP(B1610,Roster!L:L,Roster!N:N,XLOOKUP(D1610,TicketsBreak!A:A,TicketsBreak!E:E,"",0),0)</f>
        <v/>
      </c>
      <c r="I1610" s="316" t="str">
        <f t="array" ref="I1610">XLOOKUP(B1610,Roster!L:L,Roster!O:O,XLOOKUP(D1610,TicketsBreak!A:A,TicketsBreak!F:F,"",0),0)</f>
        <v/>
      </c>
      <c r="J1610" s="316" t="str">
        <f t="array" ref="J1610">XLOOKUP(B1610,Roster!L:L,Roster!P:P,XLOOKUP(D1610,TicketsBreak!A:A,TicketsBreak!G:G,"",0),0)</f>
        <v/>
      </c>
      <c r="K1610" s="310">
        <f t="shared" si="4"/>
        <v>46126</v>
      </c>
      <c r="L1610" s="317">
        <f t="array" ref="L1610">(XLOOKUP(D1610,Roster!F:F,Roster!D:D,"",0))</f>
        <v>35</v>
      </c>
      <c r="M1610" s="317" t="str">
        <f t="array" ref="M1610">XLOOKUP(D1610,Roster!F:F,Roster!E:E)</f>
        <v>Tickets</v>
      </c>
      <c r="N1610" s="317" t="str">
        <f t="shared" ref="N1610:P1610" si="1634">LEFT(H1610,5)</f>
        <v/>
      </c>
      <c r="O1610" s="317" t="str">
        <f t="shared" si="1634"/>
        <v/>
      </c>
      <c r="P1610" s="317" t="str">
        <f t="shared" si="1634"/>
        <v/>
      </c>
      <c r="Q1610" s="318" t="str">
        <f t="shared" si="1515"/>
        <v/>
      </c>
      <c r="R1610" s="318" t="str">
        <f t="shared" si="1516"/>
        <v/>
      </c>
      <c r="S1610" s="318" t="str">
        <f t="shared" si="8"/>
        <v/>
      </c>
    </row>
    <row r="1611">
      <c r="A1611" s="14" t="str">
        <f t="shared" si="1"/>
        <v>C52546126</v>
      </c>
      <c r="B1611" s="185" t="str">
        <f t="array" ref="B1611">IF(F1611="VL","",IF(F1611="Free","Free",XLOOKUP(D1611,Roster!T:T,Roster!S:S,"",0)))</f>
        <v/>
      </c>
      <c r="C1611" s="313">
        <v>46126.0</v>
      </c>
      <c r="D1611" s="314" t="s">
        <v>176</v>
      </c>
      <c r="E1611" s="307" t="str">
        <f t="array" ref="E1611">(XLOOKUP(D1611,Roster!F:F,Roster!B:B,"",0))</f>
        <v>Julian Pineda</v>
      </c>
      <c r="F1611" s="315" t="str">
        <f t="array" ref="F1611">IF(B1611=100,"Free",TEXT(XLOOKUP($D1611,OperationVoice!$A:$A,OperationVoice!T:T,XLOOKUP($D1611,OperationTickets!$A:$A,OperationTickets!T:T,"",0)),"hh:mm"))</f>
        <v>08:00</v>
      </c>
      <c r="G1611" s="309">
        <f t="shared" si="3"/>
        <v>0.7083333333</v>
      </c>
      <c r="H1611" s="316" t="str">
        <f t="array" ref="H1611">XLOOKUP(B1611,Roster!L:L,Roster!N:N,XLOOKUP(D1611,TicketsBreak!A:A,TicketsBreak!E:E,"",0),0)</f>
        <v/>
      </c>
      <c r="I1611" s="316" t="str">
        <f t="array" ref="I1611">XLOOKUP(B1611,Roster!L:L,Roster!O:O,XLOOKUP(D1611,TicketsBreak!A:A,TicketsBreak!F:F,"",0),0)</f>
        <v/>
      </c>
      <c r="J1611" s="316" t="str">
        <f t="array" ref="J1611">XLOOKUP(B1611,Roster!L:L,Roster!P:P,XLOOKUP(D1611,TicketsBreak!A:A,TicketsBreak!G:G,"",0),0)</f>
        <v/>
      </c>
      <c r="K1611" s="310">
        <f t="shared" si="4"/>
        <v>46126</v>
      </c>
      <c r="L1611" s="317">
        <f t="array" ref="L1611">(XLOOKUP(D1611,Roster!F:F,Roster!D:D,"",0))</f>
        <v>35</v>
      </c>
      <c r="M1611" s="317" t="str">
        <f t="array" ref="M1611">XLOOKUP(D1611,Roster!F:F,Roster!E:E)</f>
        <v>Tickets</v>
      </c>
      <c r="N1611" s="317" t="str">
        <f t="shared" ref="N1611:P1611" si="1635">LEFT(H1611,5)</f>
        <v/>
      </c>
      <c r="O1611" s="317" t="str">
        <f t="shared" si="1635"/>
        <v/>
      </c>
      <c r="P1611" s="317" t="str">
        <f t="shared" si="1635"/>
        <v/>
      </c>
      <c r="Q1611" s="318" t="str">
        <f t="shared" si="1515"/>
        <v/>
      </c>
      <c r="R1611" s="318" t="str">
        <f t="shared" si="1516"/>
        <v/>
      </c>
      <c r="S1611" s="318" t="str">
        <f t="shared" si="8"/>
        <v/>
      </c>
    </row>
    <row r="1612">
      <c r="A1612" s="14" t="str">
        <f t="shared" si="1"/>
        <v>C142746126</v>
      </c>
      <c r="B1612" s="185">
        <f t="array" ref="B1612">IF(F1612="VL","",IF(F1612="Free","Free",XLOOKUP(D1612,Roster!T:T,Roster!S:S,"",0)))</f>
        <v>123</v>
      </c>
      <c r="C1612" s="313">
        <v>46126.0</v>
      </c>
      <c r="D1612" s="314" t="s">
        <v>50</v>
      </c>
      <c r="E1612" s="307" t="str">
        <f t="array" ref="E1612">(XLOOKUP(D1612,Roster!F:F,Roster!B:B,"",0))</f>
        <v>Karen Lorena Martinez</v>
      </c>
      <c r="F1612" s="315" t="str">
        <f t="array" ref="F1612">IF(B1612=100,"Free",TEXT(XLOOKUP($D1612,OperationVoice!$A:$A,OperationVoice!T:T,XLOOKUP($D1612,OperationTickets!$A:$A,OperationTickets!T:T,"",0)),"hh:mm"))</f>
        <v>08:00</v>
      </c>
      <c r="G1612" s="309">
        <f t="shared" si="3"/>
        <v>0.7083333333</v>
      </c>
      <c r="H1612" s="316" t="str">
        <f t="array" ref="H1612">XLOOKUP(B1612,Roster!L:L,Roster!N:N,XLOOKUP(D1612,TicketsBreak!A:A,TicketsBreak!E:E,"",0),0)</f>
        <v>09:45 - 10:00 </v>
      </c>
      <c r="I1612" s="316" t="str">
        <f t="array" ref="I1612">XLOOKUP(B1612,Roster!L:L,Roster!O:O,XLOOKUP(D1612,TicketsBreak!A:A,TicketsBreak!F:F,"",0),0)</f>
        <v>12:30 - 13:00</v>
      </c>
      <c r="J1612" s="316" t="str">
        <f t="array" ref="J1612">XLOOKUP(B1612,Roster!L:L,Roster!P:P,XLOOKUP(D1612,TicketsBreak!A:A,TicketsBreak!G:G,"",0),0)</f>
        <v>15:00 - 15:15</v>
      </c>
      <c r="K1612" s="310">
        <f t="shared" si="4"/>
        <v>46126</v>
      </c>
      <c r="L1612" s="317">
        <f t="array" ref="L1612">(XLOOKUP(D1612,Roster!F:F,Roster!D:D,"",0))</f>
        <v>32</v>
      </c>
      <c r="M1612" s="317" t="str">
        <f t="array" ref="M1612">XLOOKUP(D1612,Roster!F:F,Roster!E:E)</f>
        <v>Voice</v>
      </c>
      <c r="N1612" s="317" t="str">
        <f t="shared" ref="N1612:P1612" si="1636">LEFT(H1612,5)</f>
        <v>09:45</v>
      </c>
      <c r="O1612" s="317" t="str">
        <f t="shared" si="1636"/>
        <v>12:30</v>
      </c>
      <c r="P1612" s="317" t="str">
        <f t="shared" si="1636"/>
        <v>15:00</v>
      </c>
      <c r="Q1612" s="318">
        <f t="shared" si="1515"/>
        <v>46126.40625</v>
      </c>
      <c r="R1612" s="318">
        <f t="shared" si="1516"/>
        <v>46126.52083</v>
      </c>
      <c r="S1612" s="318">
        <f t="shared" si="8"/>
        <v>46126.625</v>
      </c>
    </row>
    <row r="1613">
      <c r="A1613" s="14" t="str">
        <f t="shared" si="1"/>
        <v>C57946126</v>
      </c>
      <c r="B1613" s="185" t="str">
        <f t="array" ref="B1613">IF(F1613="VL","",IF(F1613="Free","Free",XLOOKUP(D1613,Roster!T:T,Roster!S:S,"",0)))</f>
        <v/>
      </c>
      <c r="C1613" s="313">
        <v>46126.0</v>
      </c>
      <c r="D1613" s="314" t="s">
        <v>144</v>
      </c>
      <c r="E1613" s="307" t="str">
        <f t="array" ref="E1613">(XLOOKUP(D1613,Roster!F:F,Roster!B:B,"",0))</f>
        <v>Karen Martinez</v>
      </c>
      <c r="F1613" s="315" t="str">
        <f t="array" ref="F1613">IF(B1613=100,"Free",TEXT(XLOOKUP($D1613,OperationVoice!$A:$A,OperationVoice!T:T,XLOOKUP($D1613,OperationTickets!$A:$A,OperationTickets!T:T,"",0)),"hh:mm"))</f>
        <v>08:00</v>
      </c>
      <c r="G1613" s="309">
        <f t="shared" si="3"/>
        <v>0.7083333333</v>
      </c>
      <c r="H1613" s="316">
        <f t="array" ref="H1613">XLOOKUP(B1613,Roster!L:L,Roster!N:N,XLOOKUP(D1613,TicketsBreak!A:A,TicketsBreak!E:E,"",0),0)</f>
        <v>0.4166666667</v>
      </c>
      <c r="I1613" s="316">
        <f t="array" ref="I1613">XLOOKUP(B1613,Roster!L:L,Roster!O:O,XLOOKUP(D1613,TicketsBreak!A:A,TicketsBreak!F:F,"",0),0)</f>
        <v>0.5</v>
      </c>
      <c r="J1613" s="316">
        <f t="array" ref="J1613">XLOOKUP(B1613,Roster!L:L,Roster!P:P,XLOOKUP(D1613,TicketsBreak!A:A,TicketsBreak!G:G,"",0),0)</f>
        <v>0.625</v>
      </c>
      <c r="K1613" s="310">
        <f t="shared" si="4"/>
        <v>46126</v>
      </c>
      <c r="L1613" s="317">
        <f t="array" ref="L1613">(XLOOKUP(D1613,Roster!F:F,Roster!D:D,"",0))</f>
        <v>4</v>
      </c>
      <c r="M1613" s="317" t="str">
        <f t="array" ref="M1613">XLOOKUP(D1613,Roster!F:F,Roster!E:E)</f>
        <v>Tickets</v>
      </c>
      <c r="N1613" s="317" t="str">
        <f t="shared" ref="N1613:P1613" si="1637">LEFT(H1613,5)</f>
        <v>10:00</v>
      </c>
      <c r="O1613" s="317" t="str">
        <f t="shared" si="1637"/>
        <v>12:00</v>
      </c>
      <c r="P1613" s="317" t="str">
        <f t="shared" si="1637"/>
        <v>15:00</v>
      </c>
      <c r="Q1613" s="318">
        <f t="shared" si="1515"/>
        <v>46126.41667</v>
      </c>
      <c r="R1613" s="318">
        <f t="shared" si="1516"/>
        <v>46126.5</v>
      </c>
      <c r="S1613" s="318">
        <f t="shared" si="8"/>
        <v>46126.625</v>
      </c>
    </row>
    <row r="1614">
      <c r="A1614" s="14" t="str">
        <f t="shared" si="1"/>
        <v>C108646126</v>
      </c>
      <c r="B1614" s="185">
        <f t="array" ref="B1614">IF(F1614="VL","",IF(F1614="Free","Free",XLOOKUP(D1614,Roster!T:T,Roster!S:S,"",0)))</f>
        <v>124</v>
      </c>
      <c r="C1614" s="313">
        <v>46126.0</v>
      </c>
      <c r="D1614" s="314" t="s">
        <v>51</v>
      </c>
      <c r="E1614" s="307" t="str">
        <f t="array" ref="E1614">(XLOOKUP(D1614,Roster!F:F,Roster!B:B,"",0))</f>
        <v>Karen Panqueva</v>
      </c>
      <c r="F1614" s="315" t="str">
        <f t="array" ref="F1614">IF(B1614=100,"Free",TEXT(XLOOKUP($D1614,OperationVoice!$A:$A,OperationVoice!T:T,XLOOKUP($D1614,OperationTickets!$A:$A,OperationTickets!T:T,"",0)),"hh:mm"))</f>
        <v>08:00</v>
      </c>
      <c r="G1614" s="309">
        <f t="shared" si="3"/>
        <v>0.7083333333</v>
      </c>
      <c r="H1614" s="316" t="str">
        <f t="array" ref="H1614">XLOOKUP(B1614,Roster!L:L,Roster!N:N,XLOOKUP(D1614,TicketsBreak!A:A,TicketsBreak!E:E,"",0),0)</f>
        <v>10:00 - 10:15</v>
      </c>
      <c r="I1614" s="316" t="str">
        <f t="array" ref="I1614">XLOOKUP(B1614,Roster!L:L,Roster!O:O,XLOOKUP(D1614,TicketsBreak!A:A,TicketsBreak!F:F,"",0),0)</f>
        <v>13:00 - 13:30</v>
      </c>
      <c r="J1614" s="316" t="str">
        <f t="array" ref="J1614">XLOOKUP(B1614,Roster!L:L,Roster!P:P,XLOOKUP(D1614,TicketsBreak!A:A,TicketsBreak!G:G,"",0),0)</f>
        <v>15:30 - 15:45</v>
      </c>
      <c r="K1614" s="310">
        <f t="shared" si="4"/>
        <v>46126</v>
      </c>
      <c r="L1614" s="317">
        <f t="array" ref="L1614">(XLOOKUP(D1614,Roster!F:F,Roster!D:D,"",0))</f>
        <v>19</v>
      </c>
      <c r="M1614" s="317" t="str">
        <f t="array" ref="M1614">XLOOKUP(D1614,Roster!F:F,Roster!E:E)</f>
        <v>Voice</v>
      </c>
      <c r="N1614" s="317" t="str">
        <f t="shared" ref="N1614:P1614" si="1638">LEFT(H1614,5)</f>
        <v>10:00</v>
      </c>
      <c r="O1614" s="317" t="str">
        <f t="shared" si="1638"/>
        <v>13:00</v>
      </c>
      <c r="P1614" s="317" t="str">
        <f t="shared" si="1638"/>
        <v>15:30</v>
      </c>
      <c r="Q1614" s="318">
        <f t="shared" si="1515"/>
        <v>46126.41667</v>
      </c>
      <c r="R1614" s="318">
        <f t="shared" si="1516"/>
        <v>46126.54167</v>
      </c>
      <c r="S1614" s="318">
        <f t="shared" si="8"/>
        <v>46126.64583</v>
      </c>
    </row>
    <row r="1615">
      <c r="A1615" s="14" t="str">
        <f t="shared" si="1"/>
        <v>C149246126</v>
      </c>
      <c r="B1615" s="185">
        <f t="array" ref="B1615">IF(F1615="VL","",IF(F1615="Free","Free",XLOOKUP(D1615,Roster!T:T,Roster!S:S,"",0)))</f>
        <v>125</v>
      </c>
      <c r="C1615" s="313">
        <v>46126.0</v>
      </c>
      <c r="D1615" s="314" t="s">
        <v>52</v>
      </c>
      <c r="E1615" s="307" t="str">
        <f t="array" ref="E1615">(XLOOKUP(D1615,Roster!F:F,Roster!B:B,"",0))</f>
        <v>Karol Pineda</v>
      </c>
      <c r="F1615" s="315" t="str">
        <f t="array" ref="F1615">IF(B1615=100,"Free",TEXT(XLOOKUP($D1615,OperationVoice!$A:$A,OperationVoice!T:T,XLOOKUP($D1615,OperationTickets!$A:$A,OperationTickets!T:T,"",0)),"hh:mm"))</f>
        <v>08:00</v>
      </c>
      <c r="G1615" s="309">
        <f t="shared" si="3"/>
        <v>0.7083333333</v>
      </c>
      <c r="H1615" s="316" t="str">
        <f t="array" ref="H1615">XLOOKUP(B1615,Roster!L:L,Roster!N:N,XLOOKUP(D1615,TicketsBreak!A:A,TicketsBreak!E:E,"",0),0)</f>
        <v>10:30 - 10:45</v>
      </c>
      <c r="I1615" s="316" t="str">
        <f t="array" ref="I1615">XLOOKUP(B1615,Roster!L:L,Roster!O:O,XLOOKUP(D1615,TicketsBreak!A:A,TicketsBreak!F:F,"",0),0)</f>
        <v>13:30 - 14:00</v>
      </c>
      <c r="J1615" s="316" t="str">
        <f t="array" ref="J1615">XLOOKUP(B1615,Roster!L:L,Roster!P:P,XLOOKUP(D1615,TicketsBreak!A:A,TicketsBreak!G:G,"",0),0)</f>
        <v>15:45 - 16:00</v>
      </c>
      <c r="K1615" s="310">
        <f t="shared" si="4"/>
        <v>46126</v>
      </c>
      <c r="L1615" s="317">
        <f t="array" ref="L1615">(XLOOKUP(D1615,Roster!F:F,Roster!D:D,"",0))</f>
        <v>34</v>
      </c>
      <c r="M1615" s="317" t="str">
        <f t="array" ref="M1615">XLOOKUP(D1615,Roster!F:F,Roster!E:E)</f>
        <v>Voice</v>
      </c>
      <c r="N1615" s="317" t="str">
        <f t="shared" ref="N1615:P1615" si="1639">LEFT(H1615,5)</f>
        <v>10:30</v>
      </c>
      <c r="O1615" s="317" t="str">
        <f t="shared" si="1639"/>
        <v>13:30</v>
      </c>
      <c r="P1615" s="317" t="str">
        <f t="shared" si="1639"/>
        <v>15:45</v>
      </c>
      <c r="Q1615" s="318">
        <f t="shared" si="1515"/>
        <v>46126.4375</v>
      </c>
      <c r="R1615" s="318">
        <f t="shared" si="1516"/>
        <v>46126.5625</v>
      </c>
      <c r="S1615" s="318">
        <f t="shared" si="8"/>
        <v>46126.65625</v>
      </c>
    </row>
    <row r="1616">
      <c r="A1616" s="14" t="str">
        <f t="shared" si="1"/>
        <v>C65846126</v>
      </c>
      <c r="B1616" s="185">
        <f t="array" ref="B1616">IF(F1616="VL","",IF(F1616="Free","Free",XLOOKUP(D1616,Roster!T:T,Roster!S:S,"",0)))</f>
        <v>112</v>
      </c>
      <c r="C1616" s="313">
        <v>46126.0</v>
      </c>
      <c r="D1616" s="314" t="s">
        <v>53</v>
      </c>
      <c r="E1616" s="307" t="str">
        <f t="array" ref="E1616">(XLOOKUP(D1616,Roster!F:F,Roster!B:B,"",0))</f>
        <v>Kennedy Giraldo</v>
      </c>
      <c r="F1616" s="315" t="str">
        <f t="array" ref="F1616">IF(B1616=100,"Free",TEXT(XLOOKUP($D1616,OperationVoice!$A:$A,OperationVoice!T:T,XLOOKUP($D1616,OperationTickets!$A:$A,OperationTickets!T:T,"",0)),"hh:mm"))</f>
        <v>07:00</v>
      </c>
      <c r="G1616" s="309">
        <f t="shared" si="3"/>
        <v>0.6666666667</v>
      </c>
      <c r="H1616" s="316" t="str">
        <f t="array" ref="H1616">XLOOKUP(B1616,Roster!L:L,Roster!N:N,XLOOKUP(D1616,TicketsBreak!A:A,TicketsBreak!E:E,"",0),0)</f>
        <v>09:30 - 09:45</v>
      </c>
      <c r="I1616" s="316" t="str">
        <f t="array" ref="I1616">XLOOKUP(B1616,Roster!L:L,Roster!O:O,XLOOKUP(D1616,TicketsBreak!A:A,TicketsBreak!F:F,"",0),0)</f>
        <v>12:15 - 12:45</v>
      </c>
      <c r="J1616" s="316" t="str">
        <f t="array" ref="J1616">XLOOKUP(B1616,Roster!L:L,Roster!P:P,XLOOKUP(D1616,TicketsBreak!A:A,TicketsBreak!G:G,"",0),0)</f>
        <v>14:45 - 15:00</v>
      </c>
      <c r="K1616" s="310">
        <f t="shared" si="4"/>
        <v>46126</v>
      </c>
      <c r="L1616" s="317">
        <f t="array" ref="L1616">(XLOOKUP(D1616,Roster!F:F,Roster!D:D,"",0))</f>
        <v>2</v>
      </c>
      <c r="M1616" s="317" t="str">
        <f t="array" ref="M1616">XLOOKUP(D1616,Roster!F:F,Roster!E:E)</f>
        <v>Voice</v>
      </c>
      <c r="N1616" s="317" t="str">
        <f t="shared" ref="N1616:P1616" si="1640">LEFT(H1616,5)</f>
        <v>09:30</v>
      </c>
      <c r="O1616" s="317" t="str">
        <f t="shared" si="1640"/>
        <v>12:15</v>
      </c>
      <c r="P1616" s="317" t="str">
        <f t="shared" si="1640"/>
        <v>14:45</v>
      </c>
      <c r="Q1616" s="318">
        <f t="shared" si="1515"/>
        <v>46126.39583</v>
      </c>
      <c r="R1616" s="318">
        <f t="shared" si="1516"/>
        <v>46126.51042</v>
      </c>
      <c r="S1616" s="318">
        <f t="shared" si="8"/>
        <v>46126.61458</v>
      </c>
    </row>
    <row r="1617">
      <c r="A1617" s="14" t="str">
        <f t="shared" si="1"/>
        <v>C151446126</v>
      </c>
      <c r="B1617" s="185">
        <f t="array" ref="B1617">IF(F1617="VL","",IF(F1617="Free","Free",XLOOKUP(D1617,Roster!T:T,Roster!S:S,"",0)))</f>
        <v>122</v>
      </c>
      <c r="C1617" s="313">
        <v>46126.0</v>
      </c>
      <c r="D1617" s="314" t="s">
        <v>54</v>
      </c>
      <c r="E1617" s="307" t="str">
        <f t="array" ref="E1617">(XLOOKUP(D1617,Roster!F:F,Roster!B:B,"",0))</f>
        <v>Kevin Betancur</v>
      </c>
      <c r="F1617" s="315" t="str">
        <f t="array" ref="F1617">IF(B1617=100,"Free",TEXT(XLOOKUP($D1617,OperationVoice!$A:$A,OperationVoice!T:T,XLOOKUP($D1617,OperationTickets!$A:$A,OperationTickets!T:T,"",0)),"hh:mm"))</f>
        <v>08:00</v>
      </c>
      <c r="G1617" s="309">
        <f t="shared" si="3"/>
        <v>0.7083333333</v>
      </c>
      <c r="H1617" s="316" t="str">
        <f t="array" ref="H1617">XLOOKUP(B1617,Roster!L:L,Roster!N:N,XLOOKUP(D1617,TicketsBreak!A:A,TicketsBreak!E:E,"",0),0)</f>
        <v>09:30 - 09:45</v>
      </c>
      <c r="I1617" s="316" t="str">
        <f t="array" ref="I1617">XLOOKUP(B1617,Roster!L:L,Roster!O:O,XLOOKUP(D1617,TicketsBreak!A:A,TicketsBreak!F:F,"",0),0)</f>
        <v>12:00 - 12:30</v>
      </c>
      <c r="J1617" s="316" t="str">
        <f t="array" ref="J1617">XLOOKUP(B1617,Roster!L:L,Roster!P:P,XLOOKUP(D1617,TicketsBreak!A:A,TicketsBreak!G:G,"",0),0)</f>
        <v>14:45 - 15:00</v>
      </c>
      <c r="K1617" s="310">
        <f t="shared" si="4"/>
        <v>46126</v>
      </c>
      <c r="L1617" s="317">
        <f t="array" ref="L1617">(XLOOKUP(D1617,Roster!F:F,Roster!D:D,"",0))</f>
        <v>35</v>
      </c>
      <c r="M1617" s="317" t="str">
        <f t="array" ref="M1617">XLOOKUP(D1617,Roster!F:F,Roster!E:E)</f>
        <v>Voice</v>
      </c>
      <c r="N1617" s="317" t="str">
        <f t="shared" ref="N1617:P1617" si="1641">LEFT(H1617,5)</f>
        <v>09:30</v>
      </c>
      <c r="O1617" s="317" t="str">
        <f t="shared" si="1641"/>
        <v>12:00</v>
      </c>
      <c r="P1617" s="317" t="str">
        <f t="shared" si="1641"/>
        <v>14:45</v>
      </c>
      <c r="Q1617" s="318">
        <f t="shared" si="1515"/>
        <v>46126.39583</v>
      </c>
      <c r="R1617" s="318">
        <f t="shared" si="1516"/>
        <v>46126.5</v>
      </c>
      <c r="S1617" s="318">
        <f t="shared" si="8"/>
        <v>46126.61458</v>
      </c>
    </row>
    <row r="1618">
      <c r="A1618" s="14" t="str">
        <f t="shared" si="1"/>
        <v>C157146126</v>
      </c>
      <c r="B1618" s="185">
        <f t="array" ref="B1618">IF(F1618="VL","",IF(F1618="Free","Free",XLOOKUP(D1618,Roster!T:T,Roster!S:S,"",0)))</f>
        <v>123</v>
      </c>
      <c r="C1618" s="313">
        <v>46126.0</v>
      </c>
      <c r="D1618" s="314" t="s">
        <v>55</v>
      </c>
      <c r="E1618" s="307" t="str">
        <f t="array" ref="E1618">(XLOOKUP(D1618,Roster!F:F,Roster!B:B,"",0))</f>
        <v>Laura Chamorro</v>
      </c>
      <c r="F1618" s="315" t="str">
        <f t="array" ref="F1618">IF(B1618=100,"Free",TEXT(XLOOKUP($D1618,OperationVoice!$A:$A,OperationVoice!T:T,XLOOKUP($D1618,OperationTickets!$A:$A,OperationTickets!T:T,"",0)),"hh:mm"))</f>
        <v>08:00</v>
      </c>
      <c r="G1618" s="309">
        <f t="shared" si="3"/>
        <v>0.7083333333</v>
      </c>
      <c r="H1618" s="316" t="str">
        <f t="array" ref="H1618">XLOOKUP(B1618,Roster!L:L,Roster!N:N,XLOOKUP(D1618,TicketsBreak!A:A,TicketsBreak!E:E,"",0),0)</f>
        <v>09:45 - 10:00 </v>
      </c>
      <c r="I1618" s="316" t="str">
        <f t="array" ref="I1618">XLOOKUP(B1618,Roster!L:L,Roster!O:O,XLOOKUP(D1618,TicketsBreak!A:A,TicketsBreak!F:F,"",0),0)</f>
        <v>12:30 - 13:00</v>
      </c>
      <c r="J1618" s="316" t="str">
        <f t="array" ref="J1618">XLOOKUP(B1618,Roster!L:L,Roster!P:P,XLOOKUP(D1618,TicketsBreak!A:A,TicketsBreak!G:G,"",0),0)</f>
        <v>15:00 - 15:15</v>
      </c>
      <c r="K1618" s="310">
        <f t="shared" si="4"/>
        <v>46126</v>
      </c>
      <c r="L1618" s="317">
        <f t="array" ref="L1618">(XLOOKUP(D1618,Roster!F:F,Roster!D:D,"",0))</f>
        <v>38</v>
      </c>
      <c r="M1618" s="317" t="str">
        <f t="array" ref="M1618">XLOOKUP(D1618,Roster!F:F,Roster!E:E)</f>
        <v>Voice</v>
      </c>
      <c r="N1618" s="317" t="str">
        <f t="shared" ref="N1618:P1618" si="1642">LEFT(H1618,5)</f>
        <v>09:45</v>
      </c>
      <c r="O1618" s="317" t="str">
        <f t="shared" si="1642"/>
        <v>12:30</v>
      </c>
      <c r="P1618" s="317" t="str">
        <f t="shared" si="1642"/>
        <v>15:00</v>
      </c>
      <c r="Q1618" s="318">
        <f t="shared" si="1515"/>
        <v>46126.40625</v>
      </c>
      <c r="R1618" s="318">
        <f t="shared" si="1516"/>
        <v>46126.52083</v>
      </c>
      <c r="S1618" s="318">
        <f t="shared" si="8"/>
        <v>46126.625</v>
      </c>
    </row>
    <row r="1619">
      <c r="A1619" s="14" t="str">
        <f t="shared" si="1"/>
        <v>C53446126</v>
      </c>
      <c r="B1619" s="185" t="str">
        <f t="array" ref="B1619">IF(F1619="VL","",IF(F1619="Free","Free",XLOOKUP(D1619,Roster!T:T,Roster!S:S,"",0)))</f>
        <v/>
      </c>
      <c r="C1619" s="313">
        <v>46126.0</v>
      </c>
      <c r="D1619" s="314" t="s">
        <v>177</v>
      </c>
      <c r="E1619" s="307" t="str">
        <f t="array" ref="E1619">(XLOOKUP(D1619,Roster!F:F,Roster!B:B,"",0))</f>
        <v>Leandry La Rosa</v>
      </c>
      <c r="F1619" s="315" t="str">
        <f t="array" ref="F1619">IF(B1619=100,"Free",TEXT(XLOOKUP($D1619,OperationVoice!$A:$A,OperationVoice!T:T,XLOOKUP($D1619,OperationTickets!$A:$A,OperationTickets!T:T,"",0)),"hh:mm"))</f>
        <v>08:00</v>
      </c>
      <c r="G1619" s="309">
        <f t="shared" si="3"/>
        <v>0.7083333333</v>
      </c>
      <c r="H1619" s="316">
        <f t="array" ref="H1619">XLOOKUP(B1619,Roster!L:L,Roster!N:N,XLOOKUP(D1619,TicketsBreak!A:A,TicketsBreak!E:E,"",0),0)</f>
        <v>0.40625</v>
      </c>
      <c r="I1619" s="316">
        <f t="array" ref="I1619">XLOOKUP(B1619,Roster!L:L,Roster!O:O,XLOOKUP(D1619,TicketsBreak!A:A,TicketsBreak!F:F,"",0),0)</f>
        <v>0.5416666667</v>
      </c>
      <c r="J1619" s="316">
        <f t="array" ref="J1619">XLOOKUP(B1619,Roster!L:L,Roster!P:P,XLOOKUP(D1619,TicketsBreak!A:A,TicketsBreak!G:G,"",0),0)</f>
        <v>0.65625</v>
      </c>
      <c r="K1619" s="310">
        <f t="shared" si="4"/>
        <v>46126</v>
      </c>
      <c r="L1619" s="317">
        <f t="array" ref="L1619">(XLOOKUP(D1619,Roster!F:F,Roster!D:D,"",0))</f>
        <v>1</v>
      </c>
      <c r="M1619" s="317" t="str">
        <f t="array" ref="M1619">XLOOKUP(D1619,Roster!F:F,Roster!E:E)</f>
        <v>Tickets</v>
      </c>
      <c r="N1619" s="317" t="str">
        <f t="shared" ref="N1619:P1619" si="1643">LEFT(H1619,5)</f>
        <v>09:45</v>
      </c>
      <c r="O1619" s="317" t="str">
        <f t="shared" si="1643"/>
        <v>13:00</v>
      </c>
      <c r="P1619" s="317" t="str">
        <f t="shared" si="1643"/>
        <v>15:45</v>
      </c>
      <c r="Q1619" s="318">
        <f t="shared" si="1515"/>
        <v>46126.40625</v>
      </c>
      <c r="R1619" s="318">
        <f t="shared" si="1516"/>
        <v>46126.54167</v>
      </c>
      <c r="S1619" s="318">
        <f t="shared" si="8"/>
        <v>46126.65625</v>
      </c>
    </row>
    <row r="1620">
      <c r="A1620" s="14" t="str">
        <f t="shared" si="1"/>
        <v>C157846126</v>
      </c>
      <c r="B1620" s="185">
        <f t="array" ref="B1620">IF(F1620="VL","",IF(F1620="Free","Free",XLOOKUP(D1620,Roster!T:T,Roster!S:S,"",0)))</f>
        <v>125</v>
      </c>
      <c r="C1620" s="313">
        <v>46126.0</v>
      </c>
      <c r="D1620" s="314" t="s">
        <v>56</v>
      </c>
      <c r="E1620" s="307" t="str">
        <f t="array" ref="E1620">(XLOOKUP(D1620,Roster!F:F,Roster!B:B,"",0))</f>
        <v>Leonerrichi Caicedo</v>
      </c>
      <c r="F1620" s="315" t="str">
        <f t="array" ref="F1620">IF(B1620=100,"Free",TEXT(XLOOKUP($D1620,OperationVoice!$A:$A,OperationVoice!T:T,XLOOKUP($D1620,OperationTickets!$A:$A,OperationTickets!T:T,"",0)),"hh:mm"))</f>
        <v>08:00</v>
      </c>
      <c r="G1620" s="309">
        <f t="shared" si="3"/>
        <v>0.7083333333</v>
      </c>
      <c r="H1620" s="316" t="str">
        <f t="array" ref="H1620">XLOOKUP(B1620,Roster!L:L,Roster!N:N,XLOOKUP(D1620,TicketsBreak!A:A,TicketsBreak!E:E,"",0),0)</f>
        <v>10:30 - 10:45</v>
      </c>
      <c r="I1620" s="316" t="str">
        <f t="array" ref="I1620">XLOOKUP(B1620,Roster!L:L,Roster!O:O,XLOOKUP(D1620,TicketsBreak!A:A,TicketsBreak!F:F,"",0),0)</f>
        <v>13:30 - 14:00</v>
      </c>
      <c r="J1620" s="316" t="str">
        <f t="array" ref="J1620">XLOOKUP(B1620,Roster!L:L,Roster!P:P,XLOOKUP(D1620,TicketsBreak!A:A,TicketsBreak!G:G,"",0),0)</f>
        <v>15:45 - 16:00</v>
      </c>
      <c r="K1620" s="310">
        <f t="shared" si="4"/>
        <v>46126</v>
      </c>
      <c r="L1620" s="317">
        <f t="array" ref="L1620">(XLOOKUP(D1620,Roster!F:F,Roster!D:D,"",0))</f>
        <v>38</v>
      </c>
      <c r="M1620" s="317" t="str">
        <f t="array" ref="M1620">XLOOKUP(D1620,Roster!F:F,Roster!E:E)</f>
        <v>Voice</v>
      </c>
      <c r="N1620" s="317" t="str">
        <f t="shared" ref="N1620:P1620" si="1644">LEFT(H1620,5)</f>
        <v>10:30</v>
      </c>
      <c r="O1620" s="317" t="str">
        <f t="shared" si="1644"/>
        <v>13:30</v>
      </c>
      <c r="P1620" s="317" t="str">
        <f t="shared" si="1644"/>
        <v>15:45</v>
      </c>
      <c r="Q1620" s="318">
        <f t="shared" si="1515"/>
        <v>46126.4375</v>
      </c>
      <c r="R1620" s="318">
        <f t="shared" si="1516"/>
        <v>46126.5625</v>
      </c>
      <c r="S1620" s="318">
        <f t="shared" si="8"/>
        <v>46126.65625</v>
      </c>
    </row>
    <row r="1621">
      <c r="A1621" s="14" t="str">
        <f t="shared" si="1"/>
        <v>C53546126</v>
      </c>
      <c r="B1621" s="185" t="str">
        <f t="array" ref="B1621">IF(F1621="VL","",IF(F1621="Free","Free",XLOOKUP(D1621,Roster!T:T,Roster!S:S,"",0)))</f>
        <v/>
      </c>
      <c r="C1621" s="313">
        <v>46126.0</v>
      </c>
      <c r="D1621" s="314" t="s">
        <v>145</v>
      </c>
      <c r="E1621" s="307" t="str">
        <f t="array" ref="E1621">(XLOOKUP(D1621,Roster!F:F,Roster!B:B,"",0))</f>
        <v>Lina Cadena</v>
      </c>
      <c r="F1621" s="315" t="str">
        <f t="array" ref="F1621">IF(B1621=100,"Free",TEXT(XLOOKUP($D1621,OperationVoice!$A:$A,OperationVoice!T:T,XLOOKUP($D1621,OperationTickets!$A:$A,OperationTickets!T:T,"",0)),"hh:mm"))</f>
        <v>08:00</v>
      </c>
      <c r="G1621" s="309">
        <f t="shared" si="3"/>
        <v>0.7083333333</v>
      </c>
      <c r="H1621" s="316">
        <f t="array" ref="H1621">XLOOKUP(B1621,Roster!L:L,Roster!N:N,XLOOKUP(D1621,TicketsBreak!A:A,TicketsBreak!E:E,"",0),0)</f>
        <v>0.3854166667</v>
      </c>
      <c r="I1621" s="316">
        <f t="array" ref="I1621">XLOOKUP(B1621,Roster!L:L,Roster!O:O,XLOOKUP(D1621,TicketsBreak!A:A,TicketsBreak!F:F,"",0),0)</f>
        <v>0.5833333333</v>
      </c>
      <c r="J1621" s="316">
        <f t="array" ref="J1621">XLOOKUP(B1621,Roster!L:L,Roster!P:P,XLOOKUP(D1621,TicketsBreak!A:A,TicketsBreak!G:G,"",0),0)</f>
        <v>0.6458333333</v>
      </c>
      <c r="K1621" s="310">
        <f t="shared" si="4"/>
        <v>46126</v>
      </c>
      <c r="L1621" s="317">
        <f t="array" ref="L1621">(XLOOKUP(D1621,Roster!F:F,Roster!D:D,"",0))</f>
        <v>2</v>
      </c>
      <c r="M1621" s="317" t="str">
        <f t="array" ref="M1621">XLOOKUP(D1621,Roster!F:F,Roster!E:E)</f>
        <v>Tickets</v>
      </c>
      <c r="N1621" s="317" t="str">
        <f t="shared" ref="N1621:P1621" si="1645">LEFT(H1621,5)</f>
        <v>09:15</v>
      </c>
      <c r="O1621" s="317" t="str">
        <f t="shared" si="1645"/>
        <v>14:00</v>
      </c>
      <c r="P1621" s="317" t="str">
        <f t="shared" si="1645"/>
        <v>15:30</v>
      </c>
      <c r="Q1621" s="318">
        <f t="shared" si="1515"/>
        <v>46126.38542</v>
      </c>
      <c r="R1621" s="318">
        <f t="shared" si="1516"/>
        <v>46126.58333</v>
      </c>
      <c r="S1621" s="318">
        <f t="shared" si="8"/>
        <v>46126.64583</v>
      </c>
    </row>
    <row r="1622">
      <c r="A1622" s="14" t="str">
        <f t="shared" si="1"/>
        <v>C151746126</v>
      </c>
      <c r="B1622" s="185">
        <f t="array" ref="B1622">IF(F1622="VL","",IF(F1622="Free","Free",XLOOKUP(D1622,Roster!T:T,Roster!S:S,"",0)))</f>
        <v>124</v>
      </c>
      <c r="C1622" s="313">
        <v>46126.0</v>
      </c>
      <c r="D1622" s="314" t="s">
        <v>57</v>
      </c>
      <c r="E1622" s="307" t="str">
        <f t="array" ref="E1622">(XLOOKUP(D1622,Roster!F:F,Roster!B:B,"",0))</f>
        <v>Lisandro Alvarado</v>
      </c>
      <c r="F1622" s="315" t="str">
        <f t="array" ref="F1622">IF(B1622=100,"Free",TEXT(XLOOKUP($D1622,OperationVoice!$A:$A,OperationVoice!T:T,XLOOKUP($D1622,OperationTickets!$A:$A,OperationTickets!T:T,"",0)),"hh:mm"))</f>
        <v>08:00</v>
      </c>
      <c r="G1622" s="309">
        <f t="shared" si="3"/>
        <v>0.7083333333</v>
      </c>
      <c r="H1622" s="316" t="str">
        <f t="array" ref="H1622">XLOOKUP(B1622,Roster!L:L,Roster!N:N,XLOOKUP(D1622,TicketsBreak!A:A,TicketsBreak!E:E,"",0),0)</f>
        <v>10:00 - 10:15</v>
      </c>
      <c r="I1622" s="316" t="str">
        <f t="array" ref="I1622">XLOOKUP(B1622,Roster!L:L,Roster!O:O,XLOOKUP(D1622,TicketsBreak!A:A,TicketsBreak!F:F,"",0),0)</f>
        <v>13:00 - 13:30</v>
      </c>
      <c r="J1622" s="316" t="str">
        <f t="array" ref="J1622">XLOOKUP(B1622,Roster!L:L,Roster!P:P,XLOOKUP(D1622,TicketsBreak!A:A,TicketsBreak!G:G,"",0),0)</f>
        <v>15:30 - 15:45</v>
      </c>
      <c r="K1622" s="310">
        <f t="shared" si="4"/>
        <v>46126</v>
      </c>
      <c r="L1622" s="317">
        <f t="array" ref="L1622">(XLOOKUP(D1622,Roster!F:F,Roster!D:D,"",0))</f>
        <v>35</v>
      </c>
      <c r="M1622" s="317" t="str">
        <f t="array" ref="M1622">XLOOKUP(D1622,Roster!F:F,Roster!E:E)</f>
        <v>Voice</v>
      </c>
      <c r="N1622" s="317" t="str">
        <f t="shared" ref="N1622:P1622" si="1646">LEFT(H1622,5)</f>
        <v>10:00</v>
      </c>
      <c r="O1622" s="317" t="str">
        <f t="shared" si="1646"/>
        <v>13:00</v>
      </c>
      <c r="P1622" s="317" t="str">
        <f t="shared" si="1646"/>
        <v>15:30</v>
      </c>
      <c r="Q1622" s="318">
        <f t="shared" si="1515"/>
        <v>46126.41667</v>
      </c>
      <c r="R1622" s="318">
        <f t="shared" si="1516"/>
        <v>46126.54167</v>
      </c>
      <c r="S1622" s="318">
        <f t="shared" si="8"/>
        <v>46126.64583</v>
      </c>
    </row>
    <row r="1623">
      <c r="A1623" s="14" t="str">
        <f t="shared" si="1"/>
        <v>C143346126</v>
      </c>
      <c r="B1623" s="185">
        <f t="array" ref="B1623">IF(F1623="VL","",IF(F1623="Free","Free",XLOOKUP(D1623,Roster!T:T,Roster!S:S,"",0)))</f>
        <v>500</v>
      </c>
      <c r="C1623" s="313">
        <v>46126.0</v>
      </c>
      <c r="D1623" s="314" t="s">
        <v>58</v>
      </c>
      <c r="E1623" s="307" t="str">
        <f t="array" ref="E1623">(XLOOKUP(D1623,Roster!F:F,Roster!B:B,"",0))</f>
        <v>Luis Lopez</v>
      </c>
      <c r="F1623" s="315" t="str">
        <f t="array" ref="F1623">IF(B1623=100,"Free",TEXT(XLOOKUP($D1623,OperationVoice!$A:$A,OperationVoice!T:T,XLOOKUP($D1623,OperationTickets!$A:$A,OperationTickets!T:T,"",0)),"hh:mm"))</f>
        <v>15:00</v>
      </c>
      <c r="G1623" s="309">
        <f t="shared" si="3"/>
        <v>1</v>
      </c>
      <c r="H1623" s="316" t="str">
        <f t="array" ref="H1623">XLOOKUP(B1623,Roster!L:L,Roster!N:N,XLOOKUP(D1623,TicketsBreak!A:A,TicketsBreak!E:E,"",0),0)</f>
        <v>Team Leader</v>
      </c>
      <c r="I1623" s="316" t="str">
        <f t="array" ref="I1623">XLOOKUP(B1623,Roster!L:L,Roster!O:O,XLOOKUP(D1623,TicketsBreak!A:A,TicketsBreak!F:F,"",0),0)</f>
        <v>Team Leader</v>
      </c>
      <c r="J1623" s="316" t="str">
        <f t="array" ref="J1623">XLOOKUP(B1623,Roster!L:L,Roster!P:P,XLOOKUP(D1623,TicketsBreak!A:A,TicketsBreak!G:G,"",0),0)</f>
        <v/>
      </c>
      <c r="K1623" s="310">
        <f t="shared" si="4"/>
        <v>46126</v>
      </c>
      <c r="L1623" s="317">
        <f t="array" ref="L1623">(XLOOKUP(D1623,Roster!F:F,Roster!D:D,"",0))</f>
        <v>32</v>
      </c>
      <c r="M1623" s="317" t="str">
        <f t="array" ref="M1623">XLOOKUP(D1623,Roster!F:F,Roster!E:E)</f>
        <v>Voice</v>
      </c>
      <c r="N1623" s="317" t="str">
        <f t="shared" ref="N1623:P1623" si="1647">LEFT(H1623,5)</f>
        <v>Team </v>
      </c>
      <c r="O1623" s="317" t="str">
        <f t="shared" si="1647"/>
        <v>Team </v>
      </c>
      <c r="P1623" s="317" t="str">
        <f t="shared" si="1647"/>
        <v/>
      </c>
      <c r="Q1623" s="318" t="str">
        <f t="shared" si="1515"/>
        <v>#VALUE!</v>
      </c>
      <c r="R1623" s="318" t="str">
        <f t="shared" si="1516"/>
        <v>#VALUE!</v>
      </c>
      <c r="S1623" s="318" t="str">
        <f t="shared" si="8"/>
        <v/>
      </c>
    </row>
    <row r="1624">
      <c r="A1624" s="14" t="str">
        <f t="shared" si="1"/>
        <v>C153446126</v>
      </c>
      <c r="B1624" s="185">
        <f t="array" ref="B1624">IF(F1624="VL","",IF(F1624="Free","Free",XLOOKUP(D1624,Roster!T:T,Roster!S:S,"",0)))</f>
        <v>126</v>
      </c>
      <c r="C1624" s="313">
        <v>46126.0</v>
      </c>
      <c r="D1624" s="314" t="s">
        <v>59</v>
      </c>
      <c r="E1624" s="307" t="str">
        <f t="array" ref="E1624">(XLOOKUP(D1624,Roster!F:F,Roster!B:B,"",0))</f>
        <v>Luis Munoz</v>
      </c>
      <c r="F1624" s="315" t="str">
        <f t="array" ref="F1624">IF(B1624=100,"Free",TEXT(XLOOKUP($D1624,OperationVoice!$A:$A,OperationVoice!T:T,XLOOKUP($D1624,OperationTickets!$A:$A,OperationTickets!T:T,"",0)),"hh:mm"))</f>
        <v>08:00</v>
      </c>
      <c r="G1624" s="309">
        <f t="shared" si="3"/>
        <v>0.7083333333</v>
      </c>
      <c r="H1624" s="316" t="str">
        <f t="array" ref="H1624">XLOOKUP(B1624,Roster!L:L,Roster!N:N,XLOOKUP(D1624,TicketsBreak!A:A,TicketsBreak!E:E,"",0),0)</f>
        <v>10:45 - 11:00</v>
      </c>
      <c r="I1624" s="316" t="str">
        <f t="array" ref="I1624">XLOOKUP(B1624,Roster!L:L,Roster!O:O,XLOOKUP(D1624,TicketsBreak!A:A,TicketsBreak!F:F,"",0),0)</f>
        <v>14:00 - 14:30</v>
      </c>
      <c r="J1624" s="316" t="str">
        <f t="array" ref="J1624">XLOOKUP(B1624,Roster!L:L,Roster!P:P,XLOOKUP(D1624,TicketsBreak!A:A,TicketsBreak!G:G,"",0),0)</f>
        <v>15:45 - 16:00</v>
      </c>
      <c r="K1624" s="310">
        <f t="shared" si="4"/>
        <v>46126</v>
      </c>
      <c r="L1624" s="317">
        <f t="array" ref="L1624">(XLOOKUP(D1624,Roster!F:F,Roster!D:D,"",0))</f>
        <v>36</v>
      </c>
      <c r="M1624" s="317" t="str">
        <f t="array" ref="M1624">XLOOKUP(D1624,Roster!F:F,Roster!E:E)</f>
        <v>Voice</v>
      </c>
      <c r="N1624" s="317" t="str">
        <f t="shared" ref="N1624:P1624" si="1648">LEFT(H1624,5)</f>
        <v>10:45</v>
      </c>
      <c r="O1624" s="317" t="str">
        <f t="shared" si="1648"/>
        <v>14:00</v>
      </c>
      <c r="P1624" s="317" t="str">
        <f t="shared" si="1648"/>
        <v>15:45</v>
      </c>
      <c r="Q1624" s="318">
        <f t="shared" si="1515"/>
        <v>46126.44792</v>
      </c>
      <c r="R1624" s="318">
        <f t="shared" si="1516"/>
        <v>46126.58333</v>
      </c>
      <c r="S1624" s="318">
        <f t="shared" si="8"/>
        <v>46126.65625</v>
      </c>
    </row>
    <row r="1625">
      <c r="A1625" s="14" t="str">
        <f t="shared" si="1"/>
        <v>C53846126</v>
      </c>
      <c r="B1625" s="185" t="str">
        <f t="array" ref="B1625">IF(F1625="VL","",IF(F1625="Free","Free",XLOOKUP(D1625,Roster!T:T,Roster!S:S,"",0)))</f>
        <v/>
      </c>
      <c r="C1625" s="313">
        <v>46126.0</v>
      </c>
      <c r="D1625" s="314" t="s">
        <v>165</v>
      </c>
      <c r="E1625" s="307" t="str">
        <f t="array" ref="E1625">(XLOOKUP(D1625,Roster!F:F,Roster!B:B,"",0))</f>
        <v>Luisa Arenas</v>
      </c>
      <c r="F1625" s="315" t="str">
        <f t="array" ref="F1625">IF(B1625=100,"Free",TEXT(XLOOKUP($D1625,OperationVoice!$A:$A,OperationVoice!T:T,XLOOKUP($D1625,OperationTickets!$A:$A,OperationTickets!T:T,"",0)),"hh:mm"))</f>
        <v>08:00</v>
      </c>
      <c r="G1625" s="309">
        <f t="shared" si="3"/>
        <v>0.7083333333</v>
      </c>
      <c r="H1625" s="316" t="str">
        <f t="array" ref="H1625">XLOOKUP(B1625,Roster!L:L,Roster!N:N,XLOOKUP(D1625,TicketsBreak!A:A,TicketsBreak!E:E,"",0),0)</f>
        <v/>
      </c>
      <c r="I1625" s="316" t="str">
        <f t="array" ref="I1625">XLOOKUP(B1625,Roster!L:L,Roster!O:O,XLOOKUP(D1625,TicketsBreak!A:A,TicketsBreak!F:F,"",0),0)</f>
        <v/>
      </c>
      <c r="J1625" s="316" t="str">
        <f t="array" ref="J1625">XLOOKUP(B1625,Roster!L:L,Roster!P:P,XLOOKUP(D1625,TicketsBreak!A:A,TicketsBreak!G:G,"",0),0)</f>
        <v/>
      </c>
      <c r="K1625" s="310">
        <f t="shared" si="4"/>
        <v>46126</v>
      </c>
      <c r="L1625" s="317">
        <f t="array" ref="L1625">(XLOOKUP(D1625,Roster!F:F,Roster!D:D,"",0))</f>
        <v>35</v>
      </c>
      <c r="M1625" s="317" t="str">
        <f t="array" ref="M1625">XLOOKUP(D1625,Roster!F:F,Roster!E:E)</f>
        <v>Tickets</v>
      </c>
      <c r="N1625" s="317" t="str">
        <f t="shared" ref="N1625:P1625" si="1649">LEFT(H1625,5)</f>
        <v/>
      </c>
      <c r="O1625" s="317" t="str">
        <f t="shared" si="1649"/>
        <v/>
      </c>
      <c r="P1625" s="317" t="str">
        <f t="shared" si="1649"/>
        <v/>
      </c>
      <c r="Q1625" s="318" t="str">
        <f t="shared" si="1515"/>
        <v/>
      </c>
      <c r="R1625" s="318" t="str">
        <f t="shared" si="1516"/>
        <v/>
      </c>
      <c r="S1625" s="318" t="str">
        <f t="shared" si="8"/>
        <v/>
      </c>
    </row>
    <row r="1626">
      <c r="A1626" s="14" t="str">
        <f t="shared" si="1"/>
        <v>C113646126</v>
      </c>
      <c r="B1626" s="185">
        <f t="array" ref="B1626">IF(F1626="VL","",IF(F1626="Free","Free",XLOOKUP(D1626,Roster!T:T,Roster!S:S,"",0)))</f>
        <v>126</v>
      </c>
      <c r="C1626" s="313">
        <v>46126.0</v>
      </c>
      <c r="D1626" s="314" t="s">
        <v>60</v>
      </c>
      <c r="E1626" s="307" t="str">
        <f t="array" ref="E1626">(XLOOKUP(D1626,Roster!F:F,Roster!B:B,"",0))</f>
        <v>Luisa Gonzalez</v>
      </c>
      <c r="F1626" s="315" t="str">
        <f t="array" ref="F1626">IF(B1626=100,"Free",TEXT(XLOOKUP($D1626,OperationVoice!$A:$A,OperationVoice!T:T,XLOOKUP($D1626,OperationTickets!$A:$A,OperationTickets!T:T,"",0)),"hh:mm"))</f>
        <v>08:00</v>
      </c>
      <c r="G1626" s="309">
        <f t="shared" si="3"/>
        <v>0.7083333333</v>
      </c>
      <c r="H1626" s="316" t="str">
        <f t="array" ref="H1626">XLOOKUP(B1626,Roster!L:L,Roster!N:N,XLOOKUP(D1626,TicketsBreak!A:A,TicketsBreak!E:E,"",0),0)</f>
        <v>10:45 - 11:00</v>
      </c>
      <c r="I1626" s="316" t="str">
        <f t="array" ref="I1626">XLOOKUP(B1626,Roster!L:L,Roster!O:O,XLOOKUP(D1626,TicketsBreak!A:A,TicketsBreak!F:F,"",0),0)</f>
        <v>14:00 - 14:30</v>
      </c>
      <c r="J1626" s="316" t="str">
        <f t="array" ref="J1626">XLOOKUP(B1626,Roster!L:L,Roster!P:P,XLOOKUP(D1626,TicketsBreak!A:A,TicketsBreak!G:G,"",0),0)</f>
        <v>15:45 - 16:00</v>
      </c>
      <c r="K1626" s="310">
        <f t="shared" si="4"/>
        <v>46126</v>
      </c>
      <c r="L1626" s="317">
        <f t="array" ref="L1626">(XLOOKUP(D1626,Roster!F:F,Roster!D:D,"",0))</f>
        <v>22</v>
      </c>
      <c r="M1626" s="317" t="str">
        <f t="array" ref="M1626">XLOOKUP(D1626,Roster!F:F,Roster!E:E)</f>
        <v>Voice</v>
      </c>
      <c r="N1626" s="317" t="str">
        <f t="shared" ref="N1626:P1626" si="1650">LEFT(H1626,5)</f>
        <v>10:45</v>
      </c>
      <c r="O1626" s="317" t="str">
        <f t="shared" si="1650"/>
        <v>14:00</v>
      </c>
      <c r="P1626" s="317" t="str">
        <f t="shared" si="1650"/>
        <v>15:45</v>
      </c>
      <c r="Q1626" s="318">
        <f t="shared" si="1515"/>
        <v>46126.44792</v>
      </c>
      <c r="R1626" s="318">
        <f t="shared" si="1516"/>
        <v>46126.58333</v>
      </c>
      <c r="S1626" s="318">
        <f t="shared" si="8"/>
        <v>46126.65625</v>
      </c>
    </row>
    <row r="1627">
      <c r="A1627" s="14" t="str">
        <f t="shared" si="1"/>
        <v>C157746126</v>
      </c>
      <c r="B1627" s="185">
        <f t="array" ref="B1627">IF(F1627="VL","",IF(F1627="Free","Free",XLOOKUP(D1627,Roster!T:T,Roster!S:S,"",0)))</f>
        <v>126</v>
      </c>
      <c r="C1627" s="313">
        <v>46126.0</v>
      </c>
      <c r="D1627" s="314" t="s">
        <v>61</v>
      </c>
      <c r="E1627" s="307" t="str">
        <f t="array" ref="E1627">(XLOOKUP(D1627,Roster!F:F,Roster!B:B,"",0))</f>
        <v>Luna Morales</v>
      </c>
      <c r="F1627" s="315" t="str">
        <f t="array" ref="F1627">IF(B1627=100,"Free",TEXT(XLOOKUP($D1627,OperationVoice!$A:$A,OperationVoice!T:T,XLOOKUP($D1627,OperationTickets!$A:$A,OperationTickets!T:T,"",0)),"hh:mm"))</f>
        <v>08:00</v>
      </c>
      <c r="G1627" s="309">
        <f t="shared" si="3"/>
        <v>0.7083333333</v>
      </c>
      <c r="H1627" s="316" t="str">
        <f t="array" ref="H1627">XLOOKUP(B1627,Roster!L:L,Roster!N:N,XLOOKUP(D1627,TicketsBreak!A:A,TicketsBreak!E:E,"",0),0)</f>
        <v>10:45 - 11:00</v>
      </c>
      <c r="I1627" s="316" t="str">
        <f t="array" ref="I1627">XLOOKUP(B1627,Roster!L:L,Roster!O:O,XLOOKUP(D1627,TicketsBreak!A:A,TicketsBreak!F:F,"",0),0)</f>
        <v>14:00 - 14:30</v>
      </c>
      <c r="J1627" s="316" t="str">
        <f t="array" ref="J1627">XLOOKUP(B1627,Roster!L:L,Roster!P:P,XLOOKUP(D1627,TicketsBreak!A:A,TicketsBreak!G:G,"",0),0)</f>
        <v>15:45 - 16:00</v>
      </c>
      <c r="K1627" s="310">
        <f t="shared" si="4"/>
        <v>46126</v>
      </c>
      <c r="L1627" s="317">
        <f t="array" ref="L1627">(XLOOKUP(D1627,Roster!F:F,Roster!D:D,"",0))</f>
        <v>38</v>
      </c>
      <c r="M1627" s="317" t="str">
        <f t="array" ref="M1627">XLOOKUP(D1627,Roster!F:F,Roster!E:E)</f>
        <v>Voice</v>
      </c>
      <c r="N1627" s="317" t="str">
        <f t="shared" ref="N1627:P1627" si="1651">LEFT(H1627,5)</f>
        <v>10:45</v>
      </c>
      <c r="O1627" s="317" t="str">
        <f t="shared" si="1651"/>
        <v>14:00</v>
      </c>
      <c r="P1627" s="317" t="str">
        <f t="shared" si="1651"/>
        <v>15:45</v>
      </c>
      <c r="Q1627" s="318">
        <f t="shared" si="1515"/>
        <v>46126.44792</v>
      </c>
      <c r="R1627" s="318">
        <f t="shared" si="1516"/>
        <v>46126.58333</v>
      </c>
      <c r="S1627" s="318">
        <f t="shared" si="8"/>
        <v>46126.65625</v>
      </c>
    </row>
    <row r="1628">
      <c r="A1628" s="14" t="str">
        <f t="shared" si="1"/>
        <v>C121946126</v>
      </c>
      <c r="B1628" s="185" t="str">
        <f t="array" ref="B1628">IF(F1628="VL","",IF(F1628="Free","Free",XLOOKUP(D1628,Roster!T:T,Roster!S:S,"",0)))</f>
        <v/>
      </c>
      <c r="C1628" s="313">
        <v>46126.0</v>
      </c>
      <c r="D1628" s="314" t="s">
        <v>146</v>
      </c>
      <c r="E1628" s="307" t="str">
        <f t="array" ref="E1628">(XLOOKUP(D1628,Roster!F:F,Roster!B:B,"",0))</f>
        <v>Madelyn Jaramillo</v>
      </c>
      <c r="F1628" s="315" t="str">
        <f t="array" ref="F1628">IF(B1628=100,"Free",TEXT(XLOOKUP($D1628,OperationVoice!$A:$A,OperationVoice!T:T,XLOOKUP($D1628,OperationTickets!$A:$A,OperationTickets!T:T,"",0)),"hh:mm"))</f>
        <v>08:00</v>
      </c>
      <c r="G1628" s="309">
        <f t="shared" si="3"/>
        <v>0.7083333333</v>
      </c>
      <c r="H1628" s="316" t="str">
        <f t="array" ref="H1628">XLOOKUP(B1628,Roster!L:L,Roster!N:N,XLOOKUP(D1628,TicketsBreak!A:A,TicketsBreak!E:E,"",0),0)</f>
        <v/>
      </c>
      <c r="I1628" s="316" t="str">
        <f t="array" ref="I1628">XLOOKUP(B1628,Roster!L:L,Roster!O:O,XLOOKUP(D1628,TicketsBreak!A:A,TicketsBreak!F:F,"",0),0)</f>
        <v/>
      </c>
      <c r="J1628" s="316" t="str">
        <f t="array" ref="J1628">XLOOKUP(B1628,Roster!L:L,Roster!P:P,XLOOKUP(D1628,TicketsBreak!A:A,TicketsBreak!G:G,"",0),0)</f>
        <v/>
      </c>
      <c r="K1628" s="310">
        <f t="shared" si="4"/>
        <v>46126</v>
      </c>
      <c r="L1628" s="317">
        <f t="array" ref="L1628">(XLOOKUP(D1628,Roster!F:F,Roster!D:D,"",0))</f>
        <v>26</v>
      </c>
      <c r="M1628" s="317" t="str">
        <f t="array" ref="M1628">XLOOKUP(D1628,Roster!F:F,Roster!E:E)</f>
        <v>Tickets</v>
      </c>
      <c r="N1628" s="317" t="str">
        <f t="shared" ref="N1628:P1628" si="1652">LEFT(H1628,5)</f>
        <v/>
      </c>
      <c r="O1628" s="317" t="str">
        <f t="shared" si="1652"/>
        <v/>
      </c>
      <c r="P1628" s="317" t="str">
        <f t="shared" si="1652"/>
        <v/>
      </c>
      <c r="Q1628" s="318" t="str">
        <f t="shared" si="1515"/>
        <v/>
      </c>
      <c r="R1628" s="318" t="str">
        <f t="shared" si="1516"/>
        <v/>
      </c>
      <c r="S1628" s="318" t="str">
        <f t="shared" si="8"/>
        <v/>
      </c>
    </row>
    <row r="1629">
      <c r="A1629" s="14" t="str">
        <f t="shared" si="1"/>
        <v>C151646126</v>
      </c>
      <c r="B1629" s="185">
        <f t="array" ref="B1629">IF(F1629="VL","",IF(F1629="Free","Free",XLOOKUP(D1629,Roster!T:T,Roster!S:S,"",0)))</f>
        <v>122</v>
      </c>
      <c r="C1629" s="313">
        <v>46126.0</v>
      </c>
      <c r="D1629" s="314" t="s">
        <v>62</v>
      </c>
      <c r="E1629" s="307" t="str">
        <f t="array" ref="E1629">(XLOOKUP(D1629,Roster!F:F,Roster!B:B,"",0))</f>
        <v>Magda Foronda</v>
      </c>
      <c r="F1629" s="315" t="str">
        <f t="array" ref="F1629">IF(B1629=100,"Free",TEXT(XLOOKUP($D1629,OperationVoice!$A:$A,OperationVoice!T:T,XLOOKUP($D1629,OperationTickets!$A:$A,OperationTickets!T:T,"",0)),"hh:mm"))</f>
        <v>08:00</v>
      </c>
      <c r="G1629" s="309">
        <f t="shared" si="3"/>
        <v>0.7083333333</v>
      </c>
      <c r="H1629" s="316" t="str">
        <f t="array" ref="H1629">XLOOKUP(B1629,Roster!L:L,Roster!N:N,XLOOKUP(D1629,TicketsBreak!A:A,TicketsBreak!E:E,"",0),0)</f>
        <v>09:30 - 09:45</v>
      </c>
      <c r="I1629" s="316" t="str">
        <f t="array" ref="I1629">XLOOKUP(B1629,Roster!L:L,Roster!O:O,XLOOKUP(D1629,TicketsBreak!A:A,TicketsBreak!F:F,"",0),0)</f>
        <v>12:00 - 12:30</v>
      </c>
      <c r="J1629" s="316" t="str">
        <f t="array" ref="J1629">XLOOKUP(B1629,Roster!L:L,Roster!P:P,XLOOKUP(D1629,TicketsBreak!A:A,TicketsBreak!G:G,"",0),0)</f>
        <v>14:45 - 15:00</v>
      </c>
      <c r="K1629" s="310">
        <f t="shared" si="4"/>
        <v>46126</v>
      </c>
      <c r="L1629" s="317">
        <f t="array" ref="L1629">(XLOOKUP(D1629,Roster!F:F,Roster!D:D,"",0))</f>
        <v>35</v>
      </c>
      <c r="M1629" s="317" t="str">
        <f t="array" ref="M1629">XLOOKUP(D1629,Roster!F:F,Roster!E:E)</f>
        <v>Voice</v>
      </c>
      <c r="N1629" s="317" t="str">
        <f t="shared" ref="N1629:P1629" si="1653">LEFT(H1629,5)</f>
        <v>09:30</v>
      </c>
      <c r="O1629" s="317" t="str">
        <f t="shared" si="1653"/>
        <v>12:00</v>
      </c>
      <c r="P1629" s="317" t="str">
        <f t="shared" si="1653"/>
        <v>14:45</v>
      </c>
      <c r="Q1629" s="318">
        <f t="shared" si="1515"/>
        <v>46126.39583</v>
      </c>
      <c r="R1629" s="318">
        <f t="shared" si="1516"/>
        <v>46126.5</v>
      </c>
      <c r="S1629" s="318">
        <f t="shared" si="8"/>
        <v>46126.61458</v>
      </c>
    </row>
    <row r="1630">
      <c r="A1630" s="14" t="str">
        <f t="shared" si="1"/>
        <v>C118046126</v>
      </c>
      <c r="B1630" s="185">
        <f t="array" ref="B1630">IF(F1630="VL","",IF(F1630="Free","Free",XLOOKUP(D1630,Roster!T:T,Roster!S:S,"",0)))</f>
        <v>500</v>
      </c>
      <c r="C1630" s="313">
        <v>46126.0</v>
      </c>
      <c r="D1630" s="314" t="s">
        <v>147</v>
      </c>
      <c r="E1630" s="307" t="str">
        <f t="array" ref="E1630">(XLOOKUP(D1630,Roster!F:F,Roster!B:B,"",0))</f>
        <v>Manuela Moreno</v>
      </c>
      <c r="F1630" s="315" t="str">
        <f t="array" ref="F1630">IF(B1630=100,"Free",TEXT(XLOOKUP($D1630,OperationVoice!$A:$A,OperationVoice!T:T,XLOOKUP($D1630,OperationTickets!$A:$A,OperationTickets!T:T,"",0)),"hh:mm"))</f>
        <v>09:00</v>
      </c>
      <c r="G1630" s="309">
        <f t="shared" si="3"/>
        <v>0.75</v>
      </c>
      <c r="H1630" s="316" t="str">
        <f t="array" ref="H1630">XLOOKUP(B1630,Roster!L:L,Roster!N:N,XLOOKUP(D1630,TicketsBreak!A:A,TicketsBreak!E:E,"",0),0)</f>
        <v>Team Leader</v>
      </c>
      <c r="I1630" s="316" t="str">
        <f t="array" ref="I1630">XLOOKUP(B1630,Roster!L:L,Roster!O:O,XLOOKUP(D1630,TicketsBreak!A:A,TicketsBreak!F:F,"",0),0)</f>
        <v>Team Leader</v>
      </c>
      <c r="J1630" s="316" t="str">
        <f t="array" ref="J1630">XLOOKUP(B1630,Roster!L:L,Roster!P:P,XLOOKUP(D1630,TicketsBreak!A:A,TicketsBreak!G:G,"",0),0)</f>
        <v/>
      </c>
      <c r="K1630" s="310">
        <f t="shared" si="4"/>
        <v>46126</v>
      </c>
      <c r="L1630" s="317">
        <f t="array" ref="L1630">(XLOOKUP(D1630,Roster!F:F,Roster!D:D,"",0))</f>
        <v>24</v>
      </c>
      <c r="M1630" s="317" t="str">
        <f t="array" ref="M1630">XLOOKUP(D1630,Roster!F:F,Roster!E:E)</f>
        <v>Tickets</v>
      </c>
      <c r="N1630" s="317" t="str">
        <f t="shared" ref="N1630:P1630" si="1654">LEFT(H1630,5)</f>
        <v>Team </v>
      </c>
      <c r="O1630" s="317" t="str">
        <f t="shared" si="1654"/>
        <v>Team </v>
      </c>
      <c r="P1630" s="317" t="str">
        <f t="shared" si="1654"/>
        <v/>
      </c>
      <c r="Q1630" s="318" t="str">
        <f>IF(P1630="","",$C1630+N1630)</f>
        <v/>
      </c>
      <c r="R1630" s="318" t="str">
        <f>if(P1630="","",$C1630+O1630)</f>
        <v/>
      </c>
      <c r="S1630" s="318" t="str">
        <f t="shared" si="8"/>
        <v/>
      </c>
    </row>
    <row r="1631">
      <c r="A1631" s="14" t="str">
        <f t="shared" si="1"/>
        <v>C153646126</v>
      </c>
      <c r="B1631" s="185">
        <f t="array" ref="B1631">IF(F1631="VL","",IF(F1631="Free","Free",XLOOKUP(D1631,Roster!T:T,Roster!S:S,"",0)))</f>
        <v>121</v>
      </c>
      <c r="C1631" s="313">
        <v>46126.0</v>
      </c>
      <c r="D1631" s="314" t="s">
        <v>63</v>
      </c>
      <c r="E1631" s="307" t="str">
        <f t="array" ref="E1631">(XLOOKUP(D1631,Roster!F:F,Roster!B:B,"",0))</f>
        <v>Maria Mesa</v>
      </c>
      <c r="F1631" s="315" t="str">
        <f t="array" ref="F1631">IF(B1631=100,"Free",TEXT(XLOOKUP($D1631,OperationVoice!$A:$A,OperationVoice!T:T,XLOOKUP($D1631,OperationTickets!$A:$A,OperationTickets!T:T,"",0)),"hh:mm"))</f>
        <v>08:00</v>
      </c>
      <c r="G1631" s="309">
        <f t="shared" si="3"/>
        <v>0.7083333333</v>
      </c>
      <c r="H1631" s="316" t="str">
        <f t="array" ref="H1631">XLOOKUP(B1631,Roster!L:L,Roster!N:N,XLOOKUP(D1631,TicketsBreak!A:A,TicketsBreak!E:E,"",0),0)</f>
        <v>09:15 - 09:30</v>
      </c>
      <c r="I1631" s="316" t="str">
        <f t="array" ref="I1631">XLOOKUP(B1631,Roster!L:L,Roster!O:O,XLOOKUP(D1631,TicketsBreak!A:A,TicketsBreak!F:F,"",0),0)</f>
        <v>11:30 - 12:00</v>
      </c>
      <c r="J1631" s="316" t="str">
        <f t="array" ref="J1631">XLOOKUP(B1631,Roster!L:L,Roster!P:P,XLOOKUP(D1631,TicketsBreak!A:A,TicketsBreak!G:G,"",0),0)</f>
        <v>14:30 - 14:45</v>
      </c>
      <c r="K1631" s="310">
        <f t="shared" si="4"/>
        <v>46126</v>
      </c>
      <c r="L1631" s="317">
        <f t="array" ref="L1631">(XLOOKUP(D1631,Roster!F:F,Roster!D:D,"",0))</f>
        <v>36</v>
      </c>
      <c r="M1631" s="317" t="str">
        <f t="array" ref="M1631">XLOOKUP(D1631,Roster!F:F,Roster!E:E)</f>
        <v>Voice</v>
      </c>
      <c r="N1631" s="317" t="str">
        <f t="shared" ref="N1631:P1631" si="1655">LEFT(H1631,5)</f>
        <v>09:15</v>
      </c>
      <c r="O1631" s="317" t="str">
        <f t="shared" si="1655"/>
        <v>11:30</v>
      </c>
      <c r="P1631" s="317" t="str">
        <f t="shared" si="1655"/>
        <v>14:30</v>
      </c>
      <c r="Q1631" s="318">
        <f t="shared" ref="Q1631:Q1769" si="1657">IF(N1631="","",$C1631+N1631)</f>
        <v>46126.38542</v>
      </c>
      <c r="R1631" s="318">
        <f t="shared" ref="R1631:R1769" si="1658">if(O1631="","",$C1631+O1631)</f>
        <v>46126.47917</v>
      </c>
      <c r="S1631" s="318">
        <f t="shared" si="8"/>
        <v>46126.60417</v>
      </c>
    </row>
    <row r="1632">
      <c r="A1632" s="14" t="str">
        <f t="shared" si="1"/>
        <v>C74046126</v>
      </c>
      <c r="B1632" s="185" t="str">
        <f t="array" ref="B1632">IF(F1632="VL","",IF(F1632="Free","Free",XLOOKUP(D1632,Roster!T:T,Roster!S:S,"",0)))</f>
        <v>Free</v>
      </c>
      <c r="C1632" s="313">
        <v>46126.0</v>
      </c>
      <c r="D1632" s="314" t="s">
        <v>166</v>
      </c>
      <c r="E1632" s="307" t="str">
        <f t="array" ref="E1632">(XLOOKUP(D1632,Roster!F:F,Roster!B:B,"",0))</f>
        <v>Mateo Agudelo</v>
      </c>
      <c r="F1632" s="315" t="str">
        <f t="array" ref="F1632">IF(B1632=100,"Free",TEXT(XLOOKUP($D1632,OperationVoice!$A:$A,OperationVoice!T:T,XLOOKUP($D1632,OperationTickets!$A:$A,OperationTickets!T:T,"",0)),"hh:mm"))</f>
        <v>Free</v>
      </c>
      <c r="G1632" s="309" t="str">
        <f t="shared" si="3"/>
        <v>Free</v>
      </c>
      <c r="H1632" s="316">
        <f t="array" ref="H1632">XLOOKUP(B1632,Roster!L:L,Roster!N:N,XLOOKUP(D1632,TicketsBreak!A:A,TicketsBreak!E:E,"",0),0)</f>
        <v>0.4166666667</v>
      </c>
      <c r="I1632" s="316">
        <f t="array" ref="I1632">XLOOKUP(B1632,Roster!L:L,Roster!O:O,XLOOKUP(D1632,TicketsBreak!A:A,TicketsBreak!F:F,"",0),0)</f>
        <v>0.5</v>
      </c>
      <c r="J1632" s="316">
        <f t="array" ref="J1632">XLOOKUP(B1632,Roster!L:L,Roster!P:P,XLOOKUP(D1632,TicketsBreak!A:A,TicketsBreak!G:G,"",0),0)</f>
        <v>0.65625</v>
      </c>
      <c r="K1632" s="310">
        <f t="shared" si="4"/>
        <v>46126</v>
      </c>
      <c r="L1632" s="317">
        <f t="array" ref="L1632">(XLOOKUP(D1632,Roster!F:F,Roster!D:D,"",0))</f>
        <v>8</v>
      </c>
      <c r="M1632" s="317" t="str">
        <f t="array" ref="M1632">XLOOKUP(D1632,Roster!F:F,Roster!E:E)</f>
        <v>Tickets</v>
      </c>
      <c r="N1632" s="317" t="str">
        <f t="shared" ref="N1632:P1632" si="1656">LEFT(H1632,5)</f>
        <v>10:00</v>
      </c>
      <c r="O1632" s="317" t="str">
        <f t="shared" si="1656"/>
        <v>12:00</v>
      </c>
      <c r="P1632" s="317" t="str">
        <f t="shared" si="1656"/>
        <v>15:45</v>
      </c>
      <c r="Q1632" s="318">
        <f t="shared" si="1657"/>
        <v>46126.41667</v>
      </c>
      <c r="R1632" s="318">
        <f t="shared" si="1658"/>
        <v>46126.5</v>
      </c>
      <c r="S1632" s="318">
        <f t="shared" si="8"/>
        <v>46126.65625</v>
      </c>
    </row>
    <row r="1633">
      <c r="A1633" s="14" t="str">
        <f t="shared" si="1"/>
        <v>C142946126</v>
      </c>
      <c r="B1633" s="185">
        <f t="array" ref="B1633">IF(F1633="VL","",IF(F1633="Free","Free",XLOOKUP(D1633,Roster!T:T,Roster!S:S,"",0)))</f>
        <v>121</v>
      </c>
      <c r="C1633" s="313">
        <v>46126.0</v>
      </c>
      <c r="D1633" s="314" t="s">
        <v>178</v>
      </c>
      <c r="E1633" s="307" t="str">
        <f t="array" ref="E1633">(XLOOKUP(D1633,Roster!F:F,Roster!B:B,"",0))</f>
        <v>Mateo Vanegas</v>
      </c>
      <c r="F1633" s="315" t="str">
        <f t="array" ref="F1633">IF(B1633=100,"Free",TEXT(XLOOKUP($D1633,OperationVoice!$A:$A,OperationVoice!T:T,XLOOKUP($D1633,OperationTickets!$A:$A,OperationTickets!T:T,"",0)),"hh:mm"))</f>
        <v>08:00</v>
      </c>
      <c r="G1633" s="309">
        <f t="shared" si="3"/>
        <v>0.7083333333</v>
      </c>
      <c r="H1633" s="316" t="str">
        <f t="array" ref="H1633">XLOOKUP(B1633,Roster!L:L,Roster!N:N,XLOOKUP(D1633,TicketsBreak!A:A,TicketsBreak!E:E,"",0),0)</f>
        <v>09:15 - 09:30</v>
      </c>
      <c r="I1633" s="316" t="str">
        <f t="array" ref="I1633">XLOOKUP(B1633,Roster!L:L,Roster!O:O,XLOOKUP(D1633,TicketsBreak!A:A,TicketsBreak!F:F,"",0),0)</f>
        <v>11:30 - 12:00</v>
      </c>
      <c r="J1633" s="316" t="str">
        <f t="array" ref="J1633">XLOOKUP(B1633,Roster!L:L,Roster!P:P,XLOOKUP(D1633,TicketsBreak!A:A,TicketsBreak!G:G,"",0),0)</f>
        <v>14:30 - 14:45</v>
      </c>
      <c r="K1633" s="310">
        <f t="shared" si="4"/>
        <v>46126</v>
      </c>
      <c r="L1633" s="317">
        <f t="array" ref="L1633">(XLOOKUP(D1633,Roster!F:F,Roster!D:D,"",0))</f>
        <v>32</v>
      </c>
      <c r="M1633" s="317" t="str">
        <f t="array" ref="M1633">XLOOKUP(D1633,Roster!F:F,Roster!E:E)</f>
        <v>Tickets</v>
      </c>
      <c r="N1633" s="317" t="str">
        <f t="shared" ref="N1633:P1633" si="1659">LEFT(H1633,5)</f>
        <v>09:15</v>
      </c>
      <c r="O1633" s="317" t="str">
        <f t="shared" si="1659"/>
        <v>11:30</v>
      </c>
      <c r="P1633" s="317" t="str">
        <f t="shared" si="1659"/>
        <v>14:30</v>
      </c>
      <c r="Q1633" s="318">
        <f t="shared" si="1657"/>
        <v>46126.38542</v>
      </c>
      <c r="R1633" s="318">
        <f t="shared" si="1658"/>
        <v>46126.47917</v>
      </c>
      <c r="S1633" s="318">
        <f t="shared" si="8"/>
        <v>46126.60417</v>
      </c>
    </row>
    <row r="1634">
      <c r="A1634" s="14" t="str">
        <f t="shared" si="1"/>
        <v>C146846126</v>
      </c>
      <c r="B1634" s="185">
        <f t="array" ref="B1634">IF(F1634="VL","",IF(F1634="Free","Free",XLOOKUP(D1634,Roster!T:T,Roster!S:S,"",0)))</f>
        <v>122</v>
      </c>
      <c r="C1634" s="313">
        <v>46126.0</v>
      </c>
      <c r="D1634" s="314" t="s">
        <v>64</v>
      </c>
      <c r="E1634" s="307" t="str">
        <f t="array" ref="E1634">(XLOOKUP(D1634,Roster!F:F,Roster!B:B,"",0))</f>
        <v>Miguel Betancur</v>
      </c>
      <c r="F1634" s="315" t="str">
        <f t="array" ref="F1634">IF(B1634=100,"Free",TEXT(XLOOKUP($D1634,OperationVoice!$A:$A,OperationVoice!T:T,XLOOKUP($D1634,OperationTickets!$A:$A,OperationTickets!T:T,"",0)),"hh:mm"))</f>
        <v>08:00</v>
      </c>
      <c r="G1634" s="309">
        <f t="shared" si="3"/>
        <v>0.7083333333</v>
      </c>
      <c r="H1634" s="316" t="str">
        <f t="array" ref="H1634">XLOOKUP(B1634,Roster!L:L,Roster!N:N,XLOOKUP(D1634,TicketsBreak!A:A,TicketsBreak!E:E,"",0),0)</f>
        <v>09:30 - 09:45</v>
      </c>
      <c r="I1634" s="316" t="str">
        <f t="array" ref="I1634">XLOOKUP(B1634,Roster!L:L,Roster!O:O,XLOOKUP(D1634,TicketsBreak!A:A,TicketsBreak!F:F,"",0),0)</f>
        <v>12:00 - 12:30</v>
      </c>
      <c r="J1634" s="316" t="str">
        <f t="array" ref="J1634">XLOOKUP(B1634,Roster!L:L,Roster!P:P,XLOOKUP(D1634,TicketsBreak!A:A,TicketsBreak!G:G,"",0),0)</f>
        <v>14:45 - 15:00</v>
      </c>
      <c r="K1634" s="310">
        <f t="shared" si="4"/>
        <v>46126</v>
      </c>
      <c r="L1634" s="317">
        <f t="array" ref="L1634">(XLOOKUP(D1634,Roster!F:F,Roster!D:D,"",0))</f>
        <v>33</v>
      </c>
      <c r="M1634" s="317" t="str">
        <f t="array" ref="M1634">XLOOKUP(D1634,Roster!F:F,Roster!E:E)</f>
        <v>Voice</v>
      </c>
      <c r="N1634" s="317" t="str">
        <f t="shared" ref="N1634:P1634" si="1660">LEFT(H1634,5)</f>
        <v>09:30</v>
      </c>
      <c r="O1634" s="317" t="str">
        <f t="shared" si="1660"/>
        <v>12:00</v>
      </c>
      <c r="P1634" s="317" t="str">
        <f t="shared" si="1660"/>
        <v>14:45</v>
      </c>
      <c r="Q1634" s="318">
        <f t="shared" si="1657"/>
        <v>46126.39583</v>
      </c>
      <c r="R1634" s="318">
        <f t="shared" si="1658"/>
        <v>46126.5</v>
      </c>
      <c r="S1634" s="318">
        <f t="shared" si="8"/>
        <v>46126.61458</v>
      </c>
    </row>
    <row r="1635">
      <c r="A1635" s="14" t="str">
        <f t="shared" si="1"/>
        <v>C106546126</v>
      </c>
      <c r="B1635" s="185" t="str">
        <f t="array" ref="B1635">IF(F1635="VL","",IF(F1635="Free","Free",XLOOKUP(D1635,Roster!T:T,Roster!S:S,"",0)))</f>
        <v/>
      </c>
      <c r="C1635" s="313">
        <v>46126.0</v>
      </c>
      <c r="D1635" s="314" t="s">
        <v>148</v>
      </c>
      <c r="E1635" s="307" t="str">
        <f t="array" ref="E1635">(XLOOKUP(D1635,Roster!F:F,Roster!B:B,"",0))</f>
        <v>Miguel Hoyos</v>
      </c>
      <c r="F1635" s="315" t="str">
        <f t="array" ref="F1635">IF(B1635=100,"Free",TEXT(XLOOKUP($D1635,OperationVoice!$A:$A,OperationVoice!T:T,XLOOKUP($D1635,OperationTickets!$A:$A,OperationTickets!T:T,"",0)),"hh:mm"))</f>
        <v>07:00</v>
      </c>
      <c r="G1635" s="309">
        <f t="shared" si="3"/>
        <v>0.6666666667</v>
      </c>
      <c r="H1635" s="316">
        <f t="array" ref="H1635">XLOOKUP(B1635,Roster!L:L,Roster!N:N,XLOOKUP(D1635,TicketsBreak!A:A,TicketsBreak!E:E,"",0),0)</f>
        <v>0.4583333333</v>
      </c>
      <c r="I1635" s="316">
        <f t="array" ref="I1635">XLOOKUP(B1635,Roster!L:L,Roster!O:O,XLOOKUP(D1635,TicketsBreak!A:A,TicketsBreak!F:F,"",0),0)</f>
        <v>0.5625</v>
      </c>
      <c r="J1635" s="316">
        <f t="array" ref="J1635">XLOOKUP(B1635,Roster!L:L,Roster!P:P,XLOOKUP(D1635,TicketsBreak!A:A,TicketsBreak!G:G,"",0),0)</f>
        <v>0.65625</v>
      </c>
      <c r="K1635" s="310">
        <f t="shared" si="4"/>
        <v>46126</v>
      </c>
      <c r="L1635" s="317">
        <f t="array" ref="L1635">(XLOOKUP(D1635,Roster!F:F,Roster!D:D,"",0))</f>
        <v>17</v>
      </c>
      <c r="M1635" s="317" t="str">
        <f t="array" ref="M1635">XLOOKUP(D1635,Roster!F:F,Roster!E:E)</f>
        <v>Tickets</v>
      </c>
      <c r="N1635" s="317" t="str">
        <f t="shared" ref="N1635:P1635" si="1661">LEFT(H1635,5)</f>
        <v>11:00</v>
      </c>
      <c r="O1635" s="317" t="str">
        <f t="shared" si="1661"/>
        <v>13:30</v>
      </c>
      <c r="P1635" s="317" t="str">
        <f t="shared" si="1661"/>
        <v>15:45</v>
      </c>
      <c r="Q1635" s="318">
        <f t="shared" si="1657"/>
        <v>46126.45833</v>
      </c>
      <c r="R1635" s="318">
        <f t="shared" si="1658"/>
        <v>46126.5625</v>
      </c>
      <c r="S1635" s="318">
        <f t="shared" si="8"/>
        <v>46126.65625</v>
      </c>
    </row>
    <row r="1636">
      <c r="A1636" s="14" t="str">
        <f t="shared" si="1"/>
        <v>C111446126</v>
      </c>
      <c r="B1636" s="185">
        <f t="array" ref="B1636">IF(F1636="VL","",IF(F1636="Free","Free",XLOOKUP(D1636,Roster!T:T,Roster!S:S,"",0)))</f>
        <v>113</v>
      </c>
      <c r="C1636" s="313">
        <v>46126.0</v>
      </c>
      <c r="D1636" s="314" t="s">
        <v>65</v>
      </c>
      <c r="E1636" s="307" t="str">
        <f t="array" ref="E1636">(XLOOKUP(D1636,Roster!F:F,Roster!B:B,"",0))</f>
        <v>Mikel Bowie</v>
      </c>
      <c r="F1636" s="315" t="str">
        <f t="array" ref="F1636">IF(B1636=100,"Free",TEXT(XLOOKUP($D1636,OperationVoice!$A:$A,OperationVoice!T:T,XLOOKUP($D1636,OperationTickets!$A:$A,OperationTickets!T:T,"",0)),"hh:mm"))</f>
        <v>09:00</v>
      </c>
      <c r="G1636" s="309">
        <f t="shared" si="3"/>
        <v>0.75</v>
      </c>
      <c r="H1636" s="316" t="str">
        <f t="array" ref="H1636">XLOOKUP(B1636,Roster!L:L,Roster!N:N,XLOOKUP(D1636,TicketsBreak!A:A,TicketsBreak!E:E,"",0),0)</f>
        <v>09:45 - 10:00</v>
      </c>
      <c r="I1636" s="316" t="str">
        <f t="array" ref="I1636">XLOOKUP(B1636,Roster!L:L,Roster!O:O,XLOOKUP(D1636,TicketsBreak!A:A,TicketsBreak!F:F,"",0),0)</f>
        <v>12:30 - 13:00</v>
      </c>
      <c r="J1636" s="316" t="str">
        <f t="array" ref="J1636">XLOOKUP(B1636,Roster!L:L,Roster!P:P,XLOOKUP(D1636,TicketsBreak!A:A,TicketsBreak!G:G,"",0),0)</f>
        <v>14:45 - 15:00</v>
      </c>
      <c r="K1636" s="310">
        <f t="shared" si="4"/>
        <v>46126</v>
      </c>
      <c r="L1636" s="317">
        <f t="array" ref="L1636">(XLOOKUP(D1636,Roster!F:F,Roster!D:D,"",0))</f>
        <v>20</v>
      </c>
      <c r="M1636" s="317" t="str">
        <f t="array" ref="M1636">XLOOKUP(D1636,Roster!F:F,Roster!E:E)</f>
        <v>Voice</v>
      </c>
      <c r="N1636" s="317" t="str">
        <f t="shared" ref="N1636:P1636" si="1662">LEFT(H1636,5)</f>
        <v>09:45</v>
      </c>
      <c r="O1636" s="317" t="str">
        <f t="shared" si="1662"/>
        <v>12:30</v>
      </c>
      <c r="P1636" s="317" t="str">
        <f t="shared" si="1662"/>
        <v>14:45</v>
      </c>
      <c r="Q1636" s="318">
        <f t="shared" si="1657"/>
        <v>46126.40625</v>
      </c>
      <c r="R1636" s="318">
        <f t="shared" si="1658"/>
        <v>46126.52083</v>
      </c>
      <c r="S1636" s="318">
        <f t="shared" si="8"/>
        <v>46126.61458</v>
      </c>
    </row>
    <row r="1637">
      <c r="A1637" s="14" t="str">
        <f t="shared" si="1"/>
        <v>C116346126</v>
      </c>
      <c r="B1637" s="185">
        <f t="array" ref="B1637">IF(F1637="VL","",IF(F1637="Free","Free",XLOOKUP(D1637,Roster!T:T,Roster!S:S,"",0)))</f>
        <v>123</v>
      </c>
      <c r="C1637" s="313">
        <v>46126.0</v>
      </c>
      <c r="D1637" s="314" t="s">
        <v>66</v>
      </c>
      <c r="E1637" s="307" t="str">
        <f t="array" ref="E1637">(XLOOKUP(D1637,Roster!F:F,Roster!B:B,"",0))</f>
        <v>Natalia Cardona</v>
      </c>
      <c r="F1637" s="315" t="str">
        <f t="array" ref="F1637">IF(B1637=100,"Free",TEXT(XLOOKUP($D1637,OperationVoice!$A:$A,OperationVoice!T:T,XLOOKUP($D1637,OperationTickets!$A:$A,OperationTickets!T:T,"",0)),"hh:mm"))</f>
        <v>08:00</v>
      </c>
      <c r="G1637" s="309">
        <f t="shared" si="3"/>
        <v>0.7083333333</v>
      </c>
      <c r="H1637" s="316" t="str">
        <f t="array" ref="H1637">XLOOKUP(B1637,Roster!L:L,Roster!N:N,XLOOKUP(D1637,TicketsBreak!A:A,TicketsBreak!E:E,"",0),0)</f>
        <v>09:45 - 10:00 </v>
      </c>
      <c r="I1637" s="316" t="str">
        <f t="array" ref="I1637">XLOOKUP(B1637,Roster!L:L,Roster!O:O,XLOOKUP(D1637,TicketsBreak!A:A,TicketsBreak!F:F,"",0),0)</f>
        <v>12:30 - 13:00</v>
      </c>
      <c r="J1637" s="316" t="str">
        <f t="array" ref="J1637">XLOOKUP(B1637,Roster!L:L,Roster!P:P,XLOOKUP(D1637,TicketsBreak!A:A,TicketsBreak!G:G,"",0),0)</f>
        <v>15:00 - 15:15</v>
      </c>
      <c r="K1637" s="310">
        <f t="shared" si="4"/>
        <v>46126</v>
      </c>
      <c r="L1637" s="317">
        <f t="array" ref="L1637">(XLOOKUP(D1637,Roster!F:F,Roster!D:D,"",0))</f>
        <v>24</v>
      </c>
      <c r="M1637" s="317" t="str">
        <f t="array" ref="M1637">XLOOKUP(D1637,Roster!F:F,Roster!E:E)</f>
        <v>Voice</v>
      </c>
      <c r="N1637" s="317" t="str">
        <f t="shared" ref="N1637:P1637" si="1663">LEFT(H1637,5)</f>
        <v>09:45</v>
      </c>
      <c r="O1637" s="317" t="str">
        <f t="shared" si="1663"/>
        <v>12:30</v>
      </c>
      <c r="P1637" s="317" t="str">
        <f t="shared" si="1663"/>
        <v>15:00</v>
      </c>
      <c r="Q1637" s="318">
        <f t="shared" si="1657"/>
        <v>46126.40625</v>
      </c>
      <c r="R1637" s="318">
        <f t="shared" si="1658"/>
        <v>46126.52083</v>
      </c>
      <c r="S1637" s="318">
        <f t="shared" si="8"/>
        <v>46126.625</v>
      </c>
    </row>
    <row r="1638">
      <c r="A1638" s="14" t="str">
        <f t="shared" si="1"/>
        <v>C55646126</v>
      </c>
      <c r="B1638" s="185" t="str">
        <f t="array" ref="B1638">IF(F1638="VL","",IF(F1638="Free","Free",XLOOKUP(D1638,Roster!T:T,Roster!S:S,"",0)))</f>
        <v/>
      </c>
      <c r="C1638" s="313">
        <v>46126.0</v>
      </c>
      <c r="D1638" s="314" t="s">
        <v>167</v>
      </c>
      <c r="E1638" s="307" t="str">
        <f t="array" ref="E1638">(XLOOKUP(D1638,Roster!F:F,Roster!B:B,"",0))</f>
        <v>Nelson Londono</v>
      </c>
      <c r="F1638" s="315" t="str">
        <f t="array" ref="F1638">IF(B1638=100,"Free",TEXT(XLOOKUP($D1638,OperationVoice!$A:$A,OperationVoice!T:T,XLOOKUP($D1638,OperationTickets!$A:$A,OperationTickets!T:T,"",0)),"hh:mm"))</f>
        <v>07:00</v>
      </c>
      <c r="G1638" s="309">
        <f t="shared" si="3"/>
        <v>0.6666666667</v>
      </c>
      <c r="H1638" s="316">
        <f t="array" ref="H1638">XLOOKUP(B1638,Roster!L:L,Roster!N:N,XLOOKUP(D1638,TicketsBreak!A:A,TicketsBreak!E:E,"",0),0)</f>
        <v>0.3854166667</v>
      </c>
      <c r="I1638" s="316">
        <f t="array" ref="I1638">XLOOKUP(B1638,Roster!L:L,Roster!O:O,XLOOKUP(D1638,TicketsBreak!A:A,TicketsBreak!F:F,"",0),0)</f>
        <v>0.5833333333</v>
      </c>
      <c r="J1638" s="316">
        <f t="array" ref="J1638">XLOOKUP(B1638,Roster!L:L,Roster!P:P,XLOOKUP(D1638,TicketsBreak!A:A,TicketsBreak!G:G,"",0),0)</f>
        <v>0.6458333333</v>
      </c>
      <c r="K1638" s="310">
        <f t="shared" si="4"/>
        <v>46126</v>
      </c>
      <c r="L1638" s="317">
        <f t="array" ref="L1638">(XLOOKUP(D1638,Roster!F:F,Roster!D:D,"",0))</f>
        <v>2</v>
      </c>
      <c r="M1638" s="317" t="str">
        <f t="array" ref="M1638">XLOOKUP(D1638,Roster!F:F,Roster!E:E)</f>
        <v>Tickets</v>
      </c>
      <c r="N1638" s="317" t="str">
        <f t="shared" ref="N1638:P1638" si="1664">LEFT(H1638,5)</f>
        <v>09:15</v>
      </c>
      <c r="O1638" s="317" t="str">
        <f t="shared" si="1664"/>
        <v>14:00</v>
      </c>
      <c r="P1638" s="317" t="str">
        <f t="shared" si="1664"/>
        <v>15:30</v>
      </c>
      <c r="Q1638" s="318">
        <f t="shared" si="1657"/>
        <v>46126.38542</v>
      </c>
      <c r="R1638" s="318">
        <f t="shared" si="1658"/>
        <v>46126.58333</v>
      </c>
      <c r="S1638" s="318">
        <f t="shared" si="8"/>
        <v>46126.64583</v>
      </c>
    </row>
    <row r="1639">
      <c r="A1639" s="14" t="str">
        <f t="shared" si="1"/>
        <v>C150746126</v>
      </c>
      <c r="B1639" s="185">
        <f t="array" ref="B1639">IF(F1639="VL","",IF(F1639="Free","Free",XLOOKUP(D1639,Roster!T:T,Roster!S:S,"",0)))</f>
        <v>125</v>
      </c>
      <c r="C1639" s="313">
        <v>46126.0</v>
      </c>
      <c r="D1639" s="314" t="s">
        <v>67</v>
      </c>
      <c r="E1639" s="307" t="str">
        <f t="array" ref="E1639">(XLOOKUP(D1639,Roster!F:F,Roster!B:B,"",0))</f>
        <v>Nicols Quinones</v>
      </c>
      <c r="F1639" s="315" t="str">
        <f t="array" ref="F1639">IF(B1639=100,"Free",TEXT(XLOOKUP($D1639,OperationVoice!$A:$A,OperationVoice!T:T,XLOOKUP($D1639,OperationTickets!$A:$A,OperationTickets!T:T,"",0)),"hh:mm"))</f>
        <v>08:00</v>
      </c>
      <c r="G1639" s="309">
        <f t="shared" si="3"/>
        <v>0.7083333333</v>
      </c>
      <c r="H1639" s="316" t="str">
        <f t="array" ref="H1639">XLOOKUP(B1639,Roster!L:L,Roster!N:N,XLOOKUP(D1639,TicketsBreak!A:A,TicketsBreak!E:E,"",0),0)</f>
        <v>10:30 - 10:45</v>
      </c>
      <c r="I1639" s="316" t="str">
        <f t="array" ref="I1639">XLOOKUP(B1639,Roster!L:L,Roster!O:O,XLOOKUP(D1639,TicketsBreak!A:A,TicketsBreak!F:F,"",0),0)</f>
        <v>13:30 - 14:00</v>
      </c>
      <c r="J1639" s="316" t="str">
        <f t="array" ref="J1639">XLOOKUP(B1639,Roster!L:L,Roster!P:P,XLOOKUP(D1639,TicketsBreak!A:A,TicketsBreak!G:G,"",0),0)</f>
        <v>15:45 - 16:00</v>
      </c>
      <c r="K1639" s="310">
        <f t="shared" si="4"/>
        <v>46126</v>
      </c>
      <c r="L1639" s="317">
        <f t="array" ref="L1639">(XLOOKUP(D1639,Roster!F:F,Roster!D:D,"",0))</f>
        <v>35</v>
      </c>
      <c r="M1639" s="317" t="str">
        <f t="array" ref="M1639">XLOOKUP(D1639,Roster!F:F,Roster!E:E)</f>
        <v>Voice</v>
      </c>
      <c r="N1639" s="317" t="str">
        <f t="shared" ref="N1639:P1639" si="1665">LEFT(H1639,5)</f>
        <v>10:30</v>
      </c>
      <c r="O1639" s="317" t="str">
        <f t="shared" si="1665"/>
        <v>13:30</v>
      </c>
      <c r="P1639" s="317" t="str">
        <f t="shared" si="1665"/>
        <v>15:45</v>
      </c>
      <c r="Q1639" s="318">
        <f t="shared" si="1657"/>
        <v>46126.4375</v>
      </c>
      <c r="R1639" s="318">
        <f t="shared" si="1658"/>
        <v>46126.5625</v>
      </c>
      <c r="S1639" s="318">
        <f t="shared" si="8"/>
        <v>46126.65625</v>
      </c>
    </row>
    <row r="1640">
      <c r="A1640" s="14" t="str">
        <f t="shared" si="1"/>
        <v>C71446126</v>
      </c>
      <c r="B1640" s="185" t="str">
        <f t="array" ref="B1640">IF(F1640="VL","",IF(F1640="Free","Free",XLOOKUP(D1640,Roster!T:T,Roster!S:S,"",0)))</f>
        <v/>
      </c>
      <c r="C1640" s="313">
        <v>46126.0</v>
      </c>
      <c r="D1640" s="314" t="s">
        <v>149</v>
      </c>
      <c r="E1640" s="307" t="str">
        <f t="array" ref="E1640">(XLOOKUP(D1640,Roster!F:F,Roster!B:B,"",0))</f>
        <v>Onel Olivera</v>
      </c>
      <c r="F1640" s="315" t="str">
        <f t="array" ref="F1640">IF(B1640=100,"Free",TEXT(XLOOKUP($D1640,OperationVoice!$A:$A,OperationVoice!T:T,XLOOKUP($D1640,OperationTickets!$A:$A,OperationTickets!T:T,"",0)),"hh:mm"))</f>
        <v>08:00</v>
      </c>
      <c r="G1640" s="309">
        <f t="shared" si="3"/>
        <v>0.7083333333</v>
      </c>
      <c r="H1640" s="316">
        <f t="array" ref="H1640">XLOOKUP(B1640,Roster!L:L,Roster!N:N,XLOOKUP(D1640,TicketsBreak!A:A,TicketsBreak!E:E,"",0),0)</f>
        <v>0.4166666667</v>
      </c>
      <c r="I1640" s="316">
        <f t="array" ref="I1640">XLOOKUP(B1640,Roster!L:L,Roster!O:O,XLOOKUP(D1640,TicketsBreak!A:A,TicketsBreak!F:F,"",0),0)</f>
        <v>0.5</v>
      </c>
      <c r="J1640" s="316">
        <f t="array" ref="J1640">XLOOKUP(B1640,Roster!L:L,Roster!P:P,XLOOKUP(D1640,TicketsBreak!A:A,TicketsBreak!G:G,"",0),0)</f>
        <v>0.625</v>
      </c>
      <c r="K1640" s="310">
        <f t="shared" si="4"/>
        <v>46126</v>
      </c>
      <c r="L1640" s="317">
        <f t="array" ref="L1640">(XLOOKUP(D1640,Roster!F:F,Roster!D:D,"",0))</f>
        <v>1</v>
      </c>
      <c r="M1640" s="317" t="str">
        <f t="array" ref="M1640">XLOOKUP(D1640,Roster!F:F,Roster!E:E)</f>
        <v>Tickets</v>
      </c>
      <c r="N1640" s="317" t="str">
        <f t="shared" ref="N1640:P1640" si="1666">LEFT(H1640,5)</f>
        <v>10:00</v>
      </c>
      <c r="O1640" s="317" t="str">
        <f t="shared" si="1666"/>
        <v>12:00</v>
      </c>
      <c r="P1640" s="317" t="str">
        <f t="shared" si="1666"/>
        <v>15:00</v>
      </c>
      <c r="Q1640" s="318">
        <f t="shared" si="1657"/>
        <v>46126.41667</v>
      </c>
      <c r="R1640" s="318">
        <f t="shared" si="1658"/>
        <v>46126.5</v>
      </c>
      <c r="S1640" s="318">
        <f t="shared" si="8"/>
        <v>46126.625</v>
      </c>
    </row>
    <row r="1641">
      <c r="A1641" s="14" t="str">
        <f t="shared" si="1"/>
        <v>C116446126</v>
      </c>
      <c r="B1641" s="185" t="str">
        <f t="array" ref="B1641">IF(F1641="VL","",IF(F1641="Free","Free",XLOOKUP(D1641,Roster!T:T,Roster!S:S,"",0)))</f>
        <v/>
      </c>
      <c r="C1641" s="313">
        <v>46126.0</v>
      </c>
      <c r="D1641" s="314" t="s">
        <v>179</v>
      </c>
      <c r="E1641" s="307" t="str">
        <f t="array" ref="E1641">(XLOOKUP(D1641,Roster!F:F,Roster!B:B,"",0))</f>
        <v>Oscar Florez</v>
      </c>
      <c r="F1641" s="315" t="str">
        <f t="array" ref="F1641">IF(B1641=100,"Free",TEXT(XLOOKUP($D1641,OperationVoice!$A:$A,OperationVoice!T:T,XLOOKUP($D1641,OperationTickets!$A:$A,OperationTickets!T:T,"",0)),"hh:mm"))</f>
        <v>08:00</v>
      </c>
      <c r="G1641" s="309">
        <f t="shared" si="3"/>
        <v>0.7083333333</v>
      </c>
      <c r="H1641" s="316" t="str">
        <f t="array" ref="H1641">XLOOKUP(B1641,Roster!L:L,Roster!N:N,XLOOKUP(D1641,TicketsBreak!A:A,TicketsBreak!E:E,"",0),0)</f>
        <v/>
      </c>
      <c r="I1641" s="316" t="str">
        <f t="array" ref="I1641">XLOOKUP(B1641,Roster!L:L,Roster!O:O,XLOOKUP(D1641,TicketsBreak!A:A,TicketsBreak!F:F,"",0),0)</f>
        <v/>
      </c>
      <c r="J1641" s="316" t="str">
        <f t="array" ref="J1641">XLOOKUP(B1641,Roster!L:L,Roster!P:P,XLOOKUP(D1641,TicketsBreak!A:A,TicketsBreak!G:G,"",0),0)</f>
        <v/>
      </c>
      <c r="K1641" s="310">
        <f t="shared" si="4"/>
        <v>46126</v>
      </c>
      <c r="L1641" s="317">
        <f t="array" ref="L1641">(XLOOKUP(D1641,Roster!F:F,Roster!D:D,"",0))</f>
        <v>24</v>
      </c>
      <c r="M1641" s="317" t="str">
        <f t="array" ref="M1641">XLOOKUP(D1641,Roster!F:F,Roster!E:E)</f>
        <v>Tickets</v>
      </c>
      <c r="N1641" s="317" t="str">
        <f t="shared" ref="N1641:P1641" si="1667">LEFT(H1641,5)</f>
        <v/>
      </c>
      <c r="O1641" s="317" t="str">
        <f t="shared" si="1667"/>
        <v/>
      </c>
      <c r="P1641" s="317" t="str">
        <f t="shared" si="1667"/>
        <v/>
      </c>
      <c r="Q1641" s="318" t="str">
        <f t="shared" si="1657"/>
        <v/>
      </c>
      <c r="R1641" s="318" t="str">
        <f t="shared" si="1658"/>
        <v/>
      </c>
      <c r="S1641" s="318" t="str">
        <f t="shared" si="8"/>
        <v/>
      </c>
    </row>
    <row r="1642">
      <c r="A1642" s="14" t="str">
        <f t="shared" si="1"/>
        <v>C153846126</v>
      </c>
      <c r="B1642" s="185">
        <f t="array" ref="B1642">IF(F1642="VL","",IF(F1642="Free","Free",XLOOKUP(D1642,Roster!T:T,Roster!S:S,"",0)))</f>
        <v>151</v>
      </c>
      <c r="C1642" s="313">
        <v>46126.0</v>
      </c>
      <c r="D1642" s="314" t="s">
        <v>68</v>
      </c>
      <c r="E1642" s="307" t="str">
        <f t="array" ref="E1642">(XLOOKUP(D1642,Roster!F:F,Roster!B:B,"",0))</f>
        <v>Oscar Roldan</v>
      </c>
      <c r="F1642" s="315" t="str">
        <f t="array" ref="F1642">IF(B1642=100,"Free",TEXT(XLOOKUP($D1642,OperationVoice!$A:$A,OperationVoice!T:T,XLOOKUP($D1642,OperationTickets!$A:$A,OperationTickets!T:T,"",0)),"hh:mm"))</f>
        <v>11:00</v>
      </c>
      <c r="G1642" s="309">
        <f t="shared" si="3"/>
        <v>0.8333333333</v>
      </c>
      <c r="H1642" s="316" t="str">
        <f t="array" ref="H1642">XLOOKUP(B1642,Roster!L:L,Roster!N:N,XLOOKUP(D1642,TicketsBreak!A:A,TicketsBreak!E:E,"",0),0)</f>
        <v>12:15 - 12:30</v>
      </c>
      <c r="I1642" s="316" t="str">
        <f t="array" ref="I1642">XLOOKUP(B1642,Roster!L:L,Roster!O:O,XLOOKUP(D1642,TicketsBreak!A:A,TicketsBreak!F:F,"",0),0)</f>
        <v>14:00 - 14:30</v>
      </c>
      <c r="J1642" s="316" t="str">
        <f t="array" ref="J1642">XLOOKUP(B1642,Roster!L:L,Roster!P:P,XLOOKUP(D1642,TicketsBreak!A:A,TicketsBreak!G:G,"",0),0)</f>
        <v>17:15 - 17:30</v>
      </c>
      <c r="K1642" s="310">
        <f t="shared" si="4"/>
        <v>46126</v>
      </c>
      <c r="L1642" s="317">
        <f t="array" ref="L1642">(XLOOKUP(D1642,Roster!F:F,Roster!D:D,"",0))</f>
        <v>36</v>
      </c>
      <c r="M1642" s="317" t="str">
        <f t="array" ref="M1642">XLOOKUP(D1642,Roster!F:F,Roster!E:E)</f>
        <v>Voice</v>
      </c>
      <c r="N1642" s="317" t="str">
        <f t="shared" ref="N1642:P1642" si="1668">LEFT(H1642,5)</f>
        <v>12:15</v>
      </c>
      <c r="O1642" s="317" t="str">
        <f t="shared" si="1668"/>
        <v>14:00</v>
      </c>
      <c r="P1642" s="317" t="str">
        <f t="shared" si="1668"/>
        <v>17:15</v>
      </c>
      <c r="Q1642" s="318">
        <f t="shared" si="1657"/>
        <v>46126.51042</v>
      </c>
      <c r="R1642" s="318">
        <f t="shared" si="1658"/>
        <v>46126.58333</v>
      </c>
      <c r="S1642" s="318">
        <f t="shared" si="8"/>
        <v>46126.71875</v>
      </c>
    </row>
    <row r="1643">
      <c r="A1643" s="14" t="str">
        <f t="shared" si="1"/>
        <v>C151146126</v>
      </c>
      <c r="B1643" s="185">
        <f t="array" ref="B1643">IF(F1643="VL","",IF(F1643="Free","Free",XLOOKUP(D1643,Roster!T:T,Roster!S:S,"",0)))</f>
        <v>131</v>
      </c>
      <c r="C1643" s="313">
        <v>46126.0</v>
      </c>
      <c r="D1643" s="314" t="s">
        <v>69</v>
      </c>
      <c r="E1643" s="307" t="str">
        <f t="array" ref="E1643">(XLOOKUP(D1643,Roster!F:F,Roster!B:B,"",0))</f>
        <v>Salma Giraldo</v>
      </c>
      <c r="F1643" s="315" t="str">
        <f t="array" ref="F1643">IF(B1643=100,"Free",TEXT(XLOOKUP($D1643,OperationVoice!$A:$A,OperationVoice!T:T,XLOOKUP($D1643,OperationTickets!$A:$A,OperationTickets!T:T,"",0)),"hh:mm"))</f>
        <v>08:00</v>
      </c>
      <c r="G1643" s="309">
        <f t="shared" si="3"/>
        <v>0.7083333333</v>
      </c>
      <c r="H1643" s="316" t="str">
        <f t="array" ref="H1643">XLOOKUP(B1643,Roster!L:L,Roster!N:N,XLOOKUP(D1643,TicketsBreak!A:A,TicketsBreak!E:E,"",0),0)</f>
        <v>10:15 - 10:30</v>
      </c>
      <c r="I1643" s="316" t="str">
        <f t="array" ref="I1643">XLOOKUP(B1643,Roster!L:L,Roster!O:O,XLOOKUP(D1643,TicketsBreak!A:A,TicketsBreak!F:F,"",0),0)</f>
        <v>12:30 - 13:00</v>
      </c>
      <c r="J1643" s="316" t="str">
        <f t="array" ref="J1643">XLOOKUP(B1643,Roster!L:L,Roster!P:P,XLOOKUP(D1643,TicketsBreak!A:A,TicketsBreak!G:G,"",0),0)</f>
        <v>15:15 - 15:30</v>
      </c>
      <c r="K1643" s="310">
        <f t="shared" si="4"/>
        <v>46126</v>
      </c>
      <c r="L1643" s="317">
        <f t="array" ref="L1643">(XLOOKUP(D1643,Roster!F:F,Roster!D:D,"",0))</f>
        <v>35</v>
      </c>
      <c r="M1643" s="317" t="str">
        <f t="array" ref="M1643">XLOOKUP(D1643,Roster!F:F,Roster!E:E)</f>
        <v>Voice</v>
      </c>
      <c r="N1643" s="317" t="str">
        <f t="shared" ref="N1643:P1643" si="1669">LEFT(H1643,5)</f>
        <v>10:15</v>
      </c>
      <c r="O1643" s="317" t="str">
        <f t="shared" si="1669"/>
        <v>12:30</v>
      </c>
      <c r="P1643" s="317" t="str">
        <f t="shared" si="1669"/>
        <v>15:15</v>
      </c>
      <c r="Q1643" s="318">
        <f t="shared" si="1657"/>
        <v>46126.42708</v>
      </c>
      <c r="R1643" s="318">
        <f t="shared" si="1658"/>
        <v>46126.52083</v>
      </c>
      <c r="S1643" s="318">
        <f t="shared" si="8"/>
        <v>46126.63542</v>
      </c>
    </row>
    <row r="1644">
      <c r="A1644" s="14" t="str">
        <f t="shared" si="1"/>
        <v>C93346126</v>
      </c>
      <c r="B1644" s="185">
        <f t="array" ref="B1644">IF(F1644="VL","",IF(F1644="Free","Free",XLOOKUP(D1644,Roster!T:T,Roster!S:S,"",0)))</f>
        <v>124</v>
      </c>
      <c r="C1644" s="313">
        <v>46126.0</v>
      </c>
      <c r="D1644" s="314" t="s">
        <v>70</v>
      </c>
      <c r="E1644" s="307" t="str">
        <f t="array" ref="E1644">(XLOOKUP(D1644,Roster!F:F,Roster!B:B,"",0))</f>
        <v>Salome Arias</v>
      </c>
      <c r="F1644" s="315" t="str">
        <f t="array" ref="F1644">IF(B1644=100,"Free",TEXT(XLOOKUP($D1644,OperationVoice!$A:$A,OperationVoice!T:T,XLOOKUP($D1644,OperationTickets!$A:$A,OperationTickets!T:T,"",0)),"hh:mm"))</f>
        <v>08:00</v>
      </c>
      <c r="G1644" s="309">
        <f t="shared" si="3"/>
        <v>0.7083333333</v>
      </c>
      <c r="H1644" s="316" t="str">
        <f t="array" ref="H1644">XLOOKUP(B1644,Roster!L:L,Roster!N:N,XLOOKUP(D1644,TicketsBreak!A:A,TicketsBreak!E:E,"",0),0)</f>
        <v>10:00 - 10:15</v>
      </c>
      <c r="I1644" s="316" t="str">
        <f t="array" ref="I1644">XLOOKUP(B1644,Roster!L:L,Roster!O:O,XLOOKUP(D1644,TicketsBreak!A:A,TicketsBreak!F:F,"",0),0)</f>
        <v>13:00 - 13:30</v>
      </c>
      <c r="J1644" s="316" t="str">
        <f t="array" ref="J1644">XLOOKUP(B1644,Roster!L:L,Roster!P:P,XLOOKUP(D1644,TicketsBreak!A:A,TicketsBreak!G:G,"",0),0)</f>
        <v>15:30 - 15:45</v>
      </c>
      <c r="K1644" s="310">
        <f t="shared" si="4"/>
        <v>46126</v>
      </c>
      <c r="L1644" s="317">
        <f t="array" ref="L1644">(XLOOKUP(D1644,Roster!F:F,Roster!D:D,"",0))</f>
        <v>12</v>
      </c>
      <c r="M1644" s="317" t="str">
        <f t="array" ref="M1644">XLOOKUP(D1644,Roster!F:F,Roster!E:E)</f>
        <v>Voice</v>
      </c>
      <c r="N1644" s="317" t="str">
        <f t="shared" ref="N1644:P1644" si="1670">LEFT(H1644,5)</f>
        <v>10:00</v>
      </c>
      <c r="O1644" s="317" t="str">
        <f t="shared" si="1670"/>
        <v>13:00</v>
      </c>
      <c r="P1644" s="317" t="str">
        <f t="shared" si="1670"/>
        <v>15:30</v>
      </c>
      <c r="Q1644" s="318">
        <f t="shared" si="1657"/>
        <v>46126.41667</v>
      </c>
      <c r="R1644" s="318">
        <f t="shared" si="1658"/>
        <v>46126.54167</v>
      </c>
      <c r="S1644" s="318">
        <f t="shared" si="8"/>
        <v>46126.64583</v>
      </c>
    </row>
    <row r="1645">
      <c r="A1645" s="14" t="str">
        <f t="shared" si="1"/>
        <v>C128246126</v>
      </c>
      <c r="B1645" s="185" t="str">
        <f t="array" ref="B1645">IF(F1645="VL","",IF(F1645="Free","Free",XLOOKUP(D1645,Roster!T:T,Roster!S:S,"",0)))</f>
        <v/>
      </c>
      <c r="C1645" s="313">
        <v>46126.0</v>
      </c>
      <c r="D1645" s="314" t="s">
        <v>168</v>
      </c>
      <c r="E1645" s="307" t="str">
        <f t="array" ref="E1645">(XLOOKUP(D1645,Roster!F:F,Roster!B:B,"",0))</f>
        <v>Samuel Acevedo</v>
      </c>
      <c r="F1645" s="315" t="str">
        <f t="array" ref="F1645">IF(B1645=100,"Free",TEXT(XLOOKUP($D1645,OperationVoice!$A:$A,OperationVoice!T:T,XLOOKUP($D1645,OperationTickets!$A:$A,OperationTickets!T:T,"",0)),"hh:mm"))</f>
        <v>08:00</v>
      </c>
      <c r="G1645" s="309">
        <f t="shared" si="3"/>
        <v>0.7083333333</v>
      </c>
      <c r="H1645" s="316" t="str">
        <f t="array" ref="H1645">XLOOKUP(B1645,Roster!L:L,Roster!N:N,XLOOKUP(D1645,TicketsBreak!A:A,TicketsBreak!E:E,"",0),0)</f>
        <v/>
      </c>
      <c r="I1645" s="316" t="str">
        <f t="array" ref="I1645">XLOOKUP(B1645,Roster!L:L,Roster!O:O,XLOOKUP(D1645,TicketsBreak!A:A,TicketsBreak!F:F,"",0),0)</f>
        <v/>
      </c>
      <c r="J1645" s="316" t="str">
        <f t="array" ref="J1645">XLOOKUP(B1645,Roster!L:L,Roster!P:P,XLOOKUP(D1645,TicketsBreak!A:A,TicketsBreak!G:G,"",0),0)</f>
        <v/>
      </c>
      <c r="K1645" s="310">
        <f t="shared" si="4"/>
        <v>46126</v>
      </c>
      <c r="L1645" s="317">
        <f t="array" ref="L1645">(XLOOKUP(D1645,Roster!F:F,Roster!D:D,"",0))</f>
        <v>27</v>
      </c>
      <c r="M1645" s="317" t="str">
        <f t="array" ref="M1645">XLOOKUP(D1645,Roster!F:F,Roster!E:E)</f>
        <v>Tickets</v>
      </c>
      <c r="N1645" s="317" t="str">
        <f t="shared" ref="N1645:P1645" si="1671">LEFT(H1645,5)</f>
        <v/>
      </c>
      <c r="O1645" s="317" t="str">
        <f t="shared" si="1671"/>
        <v/>
      </c>
      <c r="P1645" s="317" t="str">
        <f t="shared" si="1671"/>
        <v/>
      </c>
      <c r="Q1645" s="318" t="str">
        <f t="shared" si="1657"/>
        <v/>
      </c>
      <c r="R1645" s="318" t="str">
        <f t="shared" si="1658"/>
        <v/>
      </c>
      <c r="S1645" s="318" t="str">
        <f t="shared" si="8"/>
        <v/>
      </c>
    </row>
    <row r="1646">
      <c r="A1646" s="14" t="str">
        <f t="shared" si="1"/>
        <v>C156446126</v>
      </c>
      <c r="B1646" s="185">
        <f t="array" ref="B1646">IF(F1646="VL","",IF(F1646="Free","Free",XLOOKUP(D1646,Roster!T:T,Roster!S:S,"",0)))</f>
        <v>121</v>
      </c>
      <c r="C1646" s="313">
        <v>46126.0</v>
      </c>
      <c r="D1646" s="314" t="s">
        <v>71</v>
      </c>
      <c r="E1646" s="307" t="str">
        <f t="array" ref="E1646">(XLOOKUP(D1646,Roster!F:F,Roster!B:B,"",0))</f>
        <v>Samuel Acevedo Cadavid</v>
      </c>
      <c r="F1646" s="315" t="str">
        <f t="array" ref="F1646">IF(B1646=100,"Free",TEXT(XLOOKUP($D1646,OperationVoice!$A:$A,OperationVoice!T:T,XLOOKUP($D1646,OperationTickets!$A:$A,OperationTickets!T:T,"",0)),"hh:mm"))</f>
        <v>11:00</v>
      </c>
      <c r="G1646" s="309">
        <f t="shared" si="3"/>
        <v>0.8333333333</v>
      </c>
      <c r="H1646" s="316" t="str">
        <f t="array" ref="H1646">XLOOKUP(B1646,Roster!L:L,Roster!N:N,XLOOKUP(D1646,TicketsBreak!A:A,TicketsBreak!E:E,"",0),0)</f>
        <v>09:15 - 09:30</v>
      </c>
      <c r="I1646" s="316" t="str">
        <f t="array" ref="I1646">XLOOKUP(B1646,Roster!L:L,Roster!O:O,XLOOKUP(D1646,TicketsBreak!A:A,TicketsBreak!F:F,"",0),0)</f>
        <v>11:30 - 12:00</v>
      </c>
      <c r="J1646" s="316" t="str">
        <f t="array" ref="J1646">XLOOKUP(B1646,Roster!L:L,Roster!P:P,XLOOKUP(D1646,TicketsBreak!A:A,TicketsBreak!G:G,"",0),0)</f>
        <v>14:30 - 14:45</v>
      </c>
      <c r="K1646" s="310">
        <f t="shared" si="4"/>
        <v>46126</v>
      </c>
      <c r="L1646" s="317">
        <f t="array" ref="L1646">(XLOOKUP(D1646,Roster!F:F,Roster!D:D,"",0))</f>
        <v>38</v>
      </c>
      <c r="M1646" s="317" t="str">
        <f t="array" ref="M1646">XLOOKUP(D1646,Roster!F:F,Roster!E:E)</f>
        <v>Voice</v>
      </c>
      <c r="N1646" s="317" t="str">
        <f t="shared" ref="N1646:P1646" si="1672">LEFT(H1646,5)</f>
        <v>09:15</v>
      </c>
      <c r="O1646" s="317" t="str">
        <f t="shared" si="1672"/>
        <v>11:30</v>
      </c>
      <c r="P1646" s="317" t="str">
        <f t="shared" si="1672"/>
        <v>14:30</v>
      </c>
      <c r="Q1646" s="318">
        <f t="shared" si="1657"/>
        <v>46126.38542</v>
      </c>
      <c r="R1646" s="318">
        <f t="shared" si="1658"/>
        <v>46126.47917</v>
      </c>
      <c r="S1646" s="318">
        <f t="shared" si="8"/>
        <v>46126.60417</v>
      </c>
    </row>
    <row r="1647">
      <c r="A1647" s="14" t="str">
        <f t="shared" si="1"/>
        <v>C116846126</v>
      </c>
      <c r="B1647" s="185" t="str">
        <f t="array" ref="B1647">IF(F1647="VL","",IF(F1647="Free","Free",XLOOKUP(D1647,Roster!T:T,Roster!S:S,"",0)))</f>
        <v>Free</v>
      </c>
      <c r="C1647" s="313">
        <v>46126.0</v>
      </c>
      <c r="D1647" s="314" t="s">
        <v>180</v>
      </c>
      <c r="E1647" s="307" t="str">
        <f t="array" ref="E1647">(XLOOKUP(D1647,Roster!F:F,Roster!B:B,"",0))</f>
        <v>Santiago Gaviria</v>
      </c>
      <c r="F1647" s="315" t="str">
        <f t="array" ref="F1647">IF(B1647=100,"Free",TEXT(XLOOKUP($D1647,OperationVoice!$A:$A,OperationVoice!T:T,XLOOKUP($D1647,OperationTickets!$A:$A,OperationTickets!T:T,"",0)),"hh:mm"))</f>
        <v>Free</v>
      </c>
      <c r="G1647" s="309" t="str">
        <f t="shared" si="3"/>
        <v>Free</v>
      </c>
      <c r="H1647" s="316" t="str">
        <f t="array" ref="H1647">XLOOKUP(B1647,Roster!L:L,Roster!N:N,XLOOKUP(D1647,TicketsBreak!A:A,TicketsBreak!E:E,"",0),0)</f>
        <v/>
      </c>
      <c r="I1647" s="316" t="str">
        <f t="array" ref="I1647">XLOOKUP(B1647,Roster!L:L,Roster!O:O,XLOOKUP(D1647,TicketsBreak!A:A,TicketsBreak!F:F,"",0),0)</f>
        <v/>
      </c>
      <c r="J1647" s="316" t="str">
        <f t="array" ref="J1647">XLOOKUP(B1647,Roster!L:L,Roster!P:P,XLOOKUP(D1647,TicketsBreak!A:A,TicketsBreak!G:G,"",0),0)</f>
        <v/>
      </c>
      <c r="K1647" s="310">
        <f t="shared" si="4"/>
        <v>46126</v>
      </c>
      <c r="L1647" s="317">
        <f t="array" ref="L1647">(XLOOKUP(D1647,Roster!F:F,Roster!D:D,"",0))</f>
        <v>24</v>
      </c>
      <c r="M1647" s="317" t="str">
        <f t="array" ref="M1647">XLOOKUP(D1647,Roster!F:F,Roster!E:E)</f>
        <v>Tickets</v>
      </c>
      <c r="N1647" s="317" t="str">
        <f t="shared" ref="N1647:P1647" si="1673">LEFT(H1647,5)</f>
        <v/>
      </c>
      <c r="O1647" s="317" t="str">
        <f t="shared" si="1673"/>
        <v/>
      </c>
      <c r="P1647" s="317" t="str">
        <f t="shared" si="1673"/>
        <v/>
      </c>
      <c r="Q1647" s="318" t="str">
        <f t="shared" si="1657"/>
        <v/>
      </c>
      <c r="R1647" s="318" t="str">
        <f t="shared" si="1658"/>
        <v/>
      </c>
      <c r="S1647" s="318" t="str">
        <f t="shared" si="8"/>
        <v/>
      </c>
    </row>
    <row r="1648">
      <c r="A1648" s="14" t="str">
        <f t="shared" si="1"/>
        <v>C122046126</v>
      </c>
      <c r="B1648" s="185" t="str">
        <f t="array" ref="B1648">IF(F1648="VL","",IF(F1648="Free","Free",XLOOKUP(D1648,Roster!T:T,Roster!S:S,"",0)))</f>
        <v/>
      </c>
      <c r="C1648" s="313">
        <v>46126.0</v>
      </c>
      <c r="D1648" s="314" t="s">
        <v>181</v>
      </c>
      <c r="E1648" s="307" t="str">
        <f t="array" ref="E1648">(XLOOKUP(D1648,Roster!F:F,Roster!B:B,"",0))</f>
        <v>Santiago Gonzalez</v>
      </c>
      <c r="F1648" s="315" t="str">
        <f t="array" ref="F1648">IF(B1648=100,"Free",TEXT(XLOOKUP($D1648,OperationVoice!$A:$A,OperationVoice!T:T,XLOOKUP($D1648,OperationTickets!$A:$A,OperationTickets!T:T,"",0)),"hh:mm"))</f>
        <v>08:00</v>
      </c>
      <c r="G1648" s="309">
        <f t="shared" si="3"/>
        <v>0.7083333333</v>
      </c>
      <c r="H1648" s="316" t="str">
        <f t="array" ref="H1648">XLOOKUP(B1648,Roster!L:L,Roster!N:N,XLOOKUP(D1648,TicketsBreak!A:A,TicketsBreak!E:E,"",0),0)</f>
        <v/>
      </c>
      <c r="I1648" s="316" t="str">
        <f t="array" ref="I1648">XLOOKUP(B1648,Roster!L:L,Roster!O:O,XLOOKUP(D1648,TicketsBreak!A:A,TicketsBreak!F:F,"",0),0)</f>
        <v/>
      </c>
      <c r="J1648" s="316" t="str">
        <f t="array" ref="J1648">XLOOKUP(B1648,Roster!L:L,Roster!P:P,XLOOKUP(D1648,TicketsBreak!A:A,TicketsBreak!G:G,"",0),0)</f>
        <v/>
      </c>
      <c r="K1648" s="310">
        <f t="shared" si="4"/>
        <v>46126</v>
      </c>
      <c r="L1648" s="317">
        <f t="array" ref="L1648">(XLOOKUP(D1648,Roster!F:F,Roster!D:D,"",0))</f>
        <v>26</v>
      </c>
      <c r="M1648" s="317" t="str">
        <f t="array" ref="M1648">XLOOKUP(D1648,Roster!F:F,Roster!E:E)</f>
        <v>Tickets</v>
      </c>
      <c r="N1648" s="317" t="str">
        <f t="shared" ref="N1648:P1648" si="1674">LEFT(H1648,5)</f>
        <v/>
      </c>
      <c r="O1648" s="317" t="str">
        <f t="shared" si="1674"/>
        <v/>
      </c>
      <c r="P1648" s="317" t="str">
        <f t="shared" si="1674"/>
        <v/>
      </c>
      <c r="Q1648" s="318" t="str">
        <f t="shared" si="1657"/>
        <v/>
      </c>
      <c r="R1648" s="318" t="str">
        <f t="shared" si="1658"/>
        <v/>
      </c>
      <c r="S1648" s="318" t="str">
        <f t="shared" si="8"/>
        <v/>
      </c>
    </row>
    <row r="1649">
      <c r="A1649" s="14" t="str">
        <f t="shared" si="1"/>
        <v>C140646126</v>
      </c>
      <c r="B1649" s="185">
        <f t="array" ref="B1649">IF(F1649="VL","",IF(F1649="Free","Free",XLOOKUP(D1649,Roster!T:T,Roster!S:S,"",0)))</f>
        <v>152</v>
      </c>
      <c r="C1649" s="313">
        <v>46126.0</v>
      </c>
      <c r="D1649" s="314" t="s">
        <v>72</v>
      </c>
      <c r="E1649" s="307" t="str">
        <f t="array" ref="E1649">(XLOOKUP(D1649,Roster!F:F,Roster!B:B,"",0))</f>
        <v>Santiago Mora</v>
      </c>
      <c r="F1649" s="315" t="str">
        <f t="array" ref="F1649">IF(B1649=100,"Free",TEXT(XLOOKUP($D1649,OperationVoice!$A:$A,OperationVoice!T:T,XLOOKUP($D1649,OperationTickets!$A:$A,OperationTickets!T:T,"",0)),"hh:mm"))</f>
        <v>11:00</v>
      </c>
      <c r="G1649" s="309">
        <f t="shared" si="3"/>
        <v>0.8333333333</v>
      </c>
      <c r="H1649" s="316" t="str">
        <f t="array" ref="H1649">XLOOKUP(B1649,Roster!L:L,Roster!N:N,XLOOKUP(D1649,TicketsBreak!A:A,TicketsBreak!E:E,"",0),0)</f>
        <v>12:30 - 12:45</v>
      </c>
      <c r="I1649" s="316" t="str">
        <f t="array" ref="I1649">XLOOKUP(B1649,Roster!L:L,Roster!O:O,XLOOKUP(D1649,TicketsBreak!A:A,TicketsBreak!F:F,"",0),0)</f>
        <v>14:30 - 15:00</v>
      </c>
      <c r="J1649" s="316" t="str">
        <f t="array" ref="J1649">XLOOKUP(B1649,Roster!L:L,Roster!P:P,XLOOKUP(D1649,TicketsBreak!A:A,TicketsBreak!G:G,"",0),0)</f>
        <v>17:30 - 17:45</v>
      </c>
      <c r="K1649" s="310">
        <f t="shared" si="4"/>
        <v>46126</v>
      </c>
      <c r="L1649" s="317">
        <f t="array" ref="L1649">(XLOOKUP(D1649,Roster!F:F,Roster!D:D,"",0))</f>
        <v>35</v>
      </c>
      <c r="M1649" s="317" t="str">
        <f t="array" ref="M1649">XLOOKUP(D1649,Roster!F:F,Roster!E:E)</f>
        <v>Voice</v>
      </c>
      <c r="N1649" s="317" t="str">
        <f t="shared" ref="N1649:P1649" si="1675">LEFT(H1649,5)</f>
        <v>12:30</v>
      </c>
      <c r="O1649" s="317" t="str">
        <f t="shared" si="1675"/>
        <v>14:30</v>
      </c>
      <c r="P1649" s="317" t="str">
        <f t="shared" si="1675"/>
        <v>17:30</v>
      </c>
      <c r="Q1649" s="318">
        <f t="shared" si="1657"/>
        <v>46126.52083</v>
      </c>
      <c r="R1649" s="318">
        <f t="shared" si="1658"/>
        <v>46126.60417</v>
      </c>
      <c r="S1649" s="318">
        <f t="shared" si="8"/>
        <v>46126.72917</v>
      </c>
    </row>
    <row r="1650">
      <c r="A1650" s="14" t="str">
        <f t="shared" si="1"/>
        <v>C119946126</v>
      </c>
      <c r="B1650" s="185" t="str">
        <f t="array" ref="B1650">IF(F1650="VL","",IF(F1650="Free","Free",XLOOKUP(D1650,Roster!T:T,Roster!S:S,"",0)))</f>
        <v/>
      </c>
      <c r="C1650" s="313">
        <v>46126.0</v>
      </c>
      <c r="D1650" s="314" t="s">
        <v>182</v>
      </c>
      <c r="E1650" s="307" t="str">
        <f t="array" ref="E1650">(XLOOKUP(D1650,Roster!F:F,Roster!B:B,"",0))</f>
        <v>Santiago Velasquez</v>
      </c>
      <c r="F1650" s="315" t="str">
        <f t="array" ref="F1650">IF(B1650=100,"Free",TEXT(XLOOKUP($D1650,OperationVoice!$A:$A,OperationVoice!T:T,XLOOKUP($D1650,OperationTickets!$A:$A,OperationTickets!T:T,"",0)),"hh:mm"))</f>
        <v>08:00</v>
      </c>
      <c r="G1650" s="309">
        <f t="shared" si="3"/>
        <v>0.7083333333</v>
      </c>
      <c r="H1650" s="316" t="str">
        <f t="array" ref="H1650">XLOOKUP(B1650,Roster!L:L,Roster!N:N,XLOOKUP(D1650,TicketsBreak!A:A,TicketsBreak!E:E,"",0),0)</f>
        <v/>
      </c>
      <c r="I1650" s="316" t="str">
        <f t="array" ref="I1650">XLOOKUP(B1650,Roster!L:L,Roster!O:O,XLOOKUP(D1650,TicketsBreak!A:A,TicketsBreak!F:F,"",0),0)</f>
        <v/>
      </c>
      <c r="J1650" s="316" t="str">
        <f t="array" ref="J1650">XLOOKUP(B1650,Roster!L:L,Roster!P:P,XLOOKUP(D1650,TicketsBreak!A:A,TicketsBreak!G:G,"",0),0)</f>
        <v/>
      </c>
      <c r="K1650" s="310">
        <f t="shared" si="4"/>
        <v>46126</v>
      </c>
      <c r="L1650" s="317">
        <f t="array" ref="L1650">(XLOOKUP(D1650,Roster!F:F,Roster!D:D,"",0))</f>
        <v>25</v>
      </c>
      <c r="M1650" s="317" t="str">
        <f t="array" ref="M1650">XLOOKUP(D1650,Roster!F:F,Roster!E:E)</f>
        <v>Tickets</v>
      </c>
      <c r="N1650" s="317" t="str">
        <f t="shared" ref="N1650:P1650" si="1676">LEFT(H1650,5)</f>
        <v/>
      </c>
      <c r="O1650" s="317" t="str">
        <f t="shared" si="1676"/>
        <v/>
      </c>
      <c r="P1650" s="317" t="str">
        <f t="shared" si="1676"/>
        <v/>
      </c>
      <c r="Q1650" s="318" t="str">
        <f t="shared" si="1657"/>
        <v/>
      </c>
      <c r="R1650" s="318" t="str">
        <f t="shared" si="1658"/>
        <v/>
      </c>
      <c r="S1650" s="318" t="str">
        <f t="shared" si="8"/>
        <v/>
      </c>
    </row>
    <row r="1651">
      <c r="A1651" s="14" t="str">
        <f t="shared" si="1"/>
        <v>C90246126</v>
      </c>
      <c r="B1651" s="185" t="str">
        <f t="array" ref="B1651">IF(F1651="VL","",IF(F1651="Free","Free",XLOOKUP(D1651,Roster!T:T,Roster!S:S,"",0)))</f>
        <v/>
      </c>
      <c r="C1651" s="313">
        <v>46126.0</v>
      </c>
      <c r="D1651" s="314" t="s">
        <v>150</v>
      </c>
      <c r="E1651" s="307" t="str">
        <f t="array" ref="E1651">(XLOOKUP(D1651,Roster!F:F,Roster!B:B,"",0))</f>
        <v>Sebastiam Vallejo</v>
      </c>
      <c r="F1651" s="315" t="str">
        <f t="array" ref="F1651">IF(B1651=100,"Free",TEXT(XLOOKUP($D1651,OperationVoice!$A:$A,OperationVoice!T:T,XLOOKUP($D1651,OperationTickets!$A:$A,OperationTickets!T:T,"",0)),"hh:mm"))</f>
        <v>08:00</v>
      </c>
      <c r="G1651" s="309">
        <f t="shared" si="3"/>
        <v>0.7083333333</v>
      </c>
      <c r="H1651" s="316">
        <f t="array" ref="H1651">XLOOKUP(B1651,Roster!L:L,Roster!N:N,XLOOKUP(D1651,TicketsBreak!A:A,TicketsBreak!E:E,"",0),0)</f>
        <v>0.4375</v>
      </c>
      <c r="I1651" s="316">
        <f t="array" ref="I1651">XLOOKUP(B1651,Roster!L:L,Roster!O:O,XLOOKUP(D1651,TicketsBreak!A:A,TicketsBreak!F:F,"",0),0)</f>
        <v>0.6041666667</v>
      </c>
      <c r="J1651" s="316">
        <f t="array" ref="J1651">XLOOKUP(B1651,Roster!L:L,Roster!P:P,XLOOKUP(D1651,TicketsBreak!A:A,TicketsBreak!G:G,"",0),0)</f>
        <v>0.65625</v>
      </c>
      <c r="K1651" s="310">
        <f t="shared" si="4"/>
        <v>46126</v>
      </c>
      <c r="L1651" s="317">
        <f t="array" ref="L1651">(XLOOKUP(D1651,Roster!F:F,Roster!D:D,"",0))</f>
        <v>11</v>
      </c>
      <c r="M1651" s="317" t="str">
        <f t="array" ref="M1651">XLOOKUP(D1651,Roster!F:F,Roster!E:E)</f>
        <v>Tickets</v>
      </c>
      <c r="N1651" s="317" t="str">
        <f t="shared" ref="N1651:P1651" si="1677">LEFT(H1651,5)</f>
        <v>10:30</v>
      </c>
      <c r="O1651" s="317" t="str">
        <f t="shared" si="1677"/>
        <v>14:30</v>
      </c>
      <c r="P1651" s="317" t="str">
        <f t="shared" si="1677"/>
        <v>15:45</v>
      </c>
      <c r="Q1651" s="318">
        <f t="shared" si="1657"/>
        <v>46126.4375</v>
      </c>
      <c r="R1651" s="318">
        <f t="shared" si="1658"/>
        <v>46126.60417</v>
      </c>
      <c r="S1651" s="318">
        <f t="shared" si="8"/>
        <v>46126.65625</v>
      </c>
    </row>
    <row r="1652">
      <c r="A1652" s="14" t="str">
        <f t="shared" si="1"/>
        <v>C150646126</v>
      </c>
      <c r="B1652" s="185" t="str">
        <f t="array" ref="B1652">IF(F1652="VL","",IF(F1652="Free","Free",XLOOKUP(D1652,Roster!T:T,Roster!S:S,"",0)))</f>
        <v>Free</v>
      </c>
      <c r="C1652" s="313">
        <v>46126.0</v>
      </c>
      <c r="D1652" s="314" t="s">
        <v>73</v>
      </c>
      <c r="E1652" s="307" t="str">
        <f t="array" ref="E1652">(XLOOKUP(D1652,Roster!F:F,Roster!B:B,"",0))</f>
        <v>Sebastian Agudelo Londono</v>
      </c>
      <c r="F1652" s="315" t="str">
        <f t="array" ref="F1652">IF(B1652=100,"Free",TEXT(XLOOKUP($D1652,OperationVoice!$A:$A,OperationVoice!T:T,XLOOKUP($D1652,OperationTickets!$A:$A,OperationTickets!T:T,"",0)),"hh:mm"))</f>
        <v>Free</v>
      </c>
      <c r="G1652" s="309" t="str">
        <f t="shared" si="3"/>
        <v>Free</v>
      </c>
      <c r="H1652" s="316" t="str">
        <f t="array" ref="H1652">XLOOKUP(B1652,Roster!L:L,Roster!N:N,XLOOKUP(D1652,TicketsBreak!A:A,TicketsBreak!E:E,"",0),0)</f>
        <v/>
      </c>
      <c r="I1652" s="316" t="str">
        <f t="array" ref="I1652">XLOOKUP(B1652,Roster!L:L,Roster!O:O,XLOOKUP(D1652,TicketsBreak!A:A,TicketsBreak!F:F,"",0),0)</f>
        <v/>
      </c>
      <c r="J1652" s="316" t="str">
        <f t="array" ref="J1652">XLOOKUP(B1652,Roster!L:L,Roster!P:P,XLOOKUP(D1652,TicketsBreak!A:A,TicketsBreak!G:G,"",0),0)</f>
        <v/>
      </c>
      <c r="K1652" s="310">
        <f t="shared" si="4"/>
        <v>46126</v>
      </c>
      <c r="L1652" s="317">
        <f t="array" ref="L1652">(XLOOKUP(D1652,Roster!F:F,Roster!D:D,"",0))</f>
        <v>35</v>
      </c>
      <c r="M1652" s="317" t="str">
        <f t="array" ref="M1652">XLOOKUP(D1652,Roster!F:F,Roster!E:E)</f>
        <v>Voice</v>
      </c>
      <c r="N1652" s="317" t="str">
        <f t="shared" ref="N1652:P1652" si="1678">LEFT(H1652,5)</f>
        <v/>
      </c>
      <c r="O1652" s="317" t="str">
        <f t="shared" si="1678"/>
        <v/>
      </c>
      <c r="P1652" s="317" t="str">
        <f t="shared" si="1678"/>
        <v/>
      </c>
      <c r="Q1652" s="318" t="str">
        <f t="shared" si="1657"/>
        <v/>
      </c>
      <c r="R1652" s="318" t="str">
        <f t="shared" si="1658"/>
        <v/>
      </c>
      <c r="S1652" s="318" t="str">
        <f t="shared" si="8"/>
        <v/>
      </c>
    </row>
    <row r="1653">
      <c r="A1653" s="14" t="str">
        <f t="shared" si="1"/>
        <v>C119046126</v>
      </c>
      <c r="B1653" s="185" t="str">
        <f t="array" ref="B1653">IF(F1653="VL","",IF(F1653="Free","Free",XLOOKUP(D1653,Roster!T:T,Roster!S:S,"",0)))</f>
        <v/>
      </c>
      <c r="C1653" s="313">
        <v>46126.0</v>
      </c>
      <c r="D1653" s="314" t="s">
        <v>183</v>
      </c>
      <c r="E1653" s="307" t="str">
        <f t="array" ref="E1653">(XLOOKUP(D1653,Roster!F:F,Roster!B:B,"",0))</f>
        <v>Sebastian Herrera</v>
      </c>
      <c r="F1653" s="315" t="str">
        <f t="array" ref="F1653">IF(B1653=100,"Free",TEXT(XLOOKUP($D1653,OperationVoice!$A:$A,OperationVoice!T:T,XLOOKUP($D1653,OperationTickets!$A:$A,OperationTickets!T:T,"",0)),"hh:mm"))</f>
        <v>07:00</v>
      </c>
      <c r="G1653" s="309">
        <f t="shared" si="3"/>
        <v>0.6666666667</v>
      </c>
      <c r="H1653" s="316">
        <f t="array" ref="H1653">XLOOKUP(B1653,Roster!L:L,Roster!N:N,XLOOKUP(D1653,TicketsBreak!A:A,TicketsBreak!E:E,"",0),0)</f>
        <v>0.40625</v>
      </c>
      <c r="I1653" s="316">
        <f t="array" ref="I1653">XLOOKUP(B1653,Roster!L:L,Roster!O:O,XLOOKUP(D1653,TicketsBreak!A:A,TicketsBreak!F:F,"",0),0)</f>
        <v>0.5416666667</v>
      </c>
      <c r="J1653" s="316">
        <f t="array" ref="J1653">XLOOKUP(B1653,Roster!L:L,Roster!P:P,XLOOKUP(D1653,TicketsBreak!A:A,TicketsBreak!G:G,"",0),0)</f>
        <v>0.625</v>
      </c>
      <c r="K1653" s="310">
        <f t="shared" si="4"/>
        <v>46126</v>
      </c>
      <c r="L1653" s="317">
        <f t="array" ref="L1653">(XLOOKUP(D1653,Roster!F:F,Roster!D:D,"",0))</f>
        <v>25</v>
      </c>
      <c r="M1653" s="317" t="str">
        <f t="array" ref="M1653">XLOOKUP(D1653,Roster!F:F,Roster!E:E)</f>
        <v>Tickets</v>
      </c>
      <c r="N1653" s="317" t="str">
        <f t="shared" ref="N1653:P1653" si="1679">LEFT(H1653,5)</f>
        <v>09:45</v>
      </c>
      <c r="O1653" s="317" t="str">
        <f t="shared" si="1679"/>
        <v>13:00</v>
      </c>
      <c r="P1653" s="317" t="str">
        <f t="shared" si="1679"/>
        <v>15:00</v>
      </c>
      <c r="Q1653" s="318">
        <f t="shared" si="1657"/>
        <v>46126.40625</v>
      </c>
      <c r="R1653" s="318">
        <f t="shared" si="1658"/>
        <v>46126.54167</v>
      </c>
      <c r="S1653" s="318">
        <f t="shared" si="8"/>
        <v>46126.625</v>
      </c>
    </row>
    <row r="1654">
      <c r="A1654" s="14" t="str">
        <f t="shared" si="1"/>
        <v>C71046126</v>
      </c>
      <c r="B1654" s="185" t="str">
        <f t="array" ref="B1654">IF(F1654="VL","",IF(F1654="Free","Free",XLOOKUP(D1654,Roster!T:T,Roster!S:S,"",0)))</f>
        <v/>
      </c>
      <c r="C1654" s="313">
        <v>46126.0</v>
      </c>
      <c r="D1654" s="314" t="s">
        <v>184</v>
      </c>
      <c r="E1654" s="307" t="str">
        <f t="array" ref="E1654">(XLOOKUP(D1654,Roster!F:F,Roster!B:B,"",0))</f>
        <v>Sebastian Martinez</v>
      </c>
      <c r="F1654" s="315" t="str">
        <f t="array" ref="F1654">IF(B1654=100,"Free",TEXT(XLOOKUP($D1654,OperationVoice!$A:$A,OperationVoice!T:T,XLOOKUP($D1654,OperationTickets!$A:$A,OperationTickets!T:T,"",0)),"hh:mm"))</f>
        <v>08:00</v>
      </c>
      <c r="G1654" s="309">
        <f t="shared" si="3"/>
        <v>0.7083333333</v>
      </c>
      <c r="H1654" s="316">
        <f t="array" ref="H1654">XLOOKUP(B1654,Roster!L:L,Roster!N:N,XLOOKUP(D1654,TicketsBreak!A:A,TicketsBreak!E:E,"",0),0)</f>
        <v>0.40625</v>
      </c>
      <c r="I1654" s="316">
        <f t="array" ref="I1654">XLOOKUP(B1654,Roster!L:L,Roster!O:O,XLOOKUP(D1654,TicketsBreak!A:A,TicketsBreak!F:F,"",0),0)</f>
        <v>0.5625</v>
      </c>
      <c r="J1654" s="316">
        <f t="array" ref="J1654">XLOOKUP(B1654,Roster!L:L,Roster!P:P,XLOOKUP(D1654,TicketsBreak!A:A,TicketsBreak!G:G,"",0),0)</f>
        <v>0.65625</v>
      </c>
      <c r="K1654" s="310">
        <f t="shared" si="4"/>
        <v>46126</v>
      </c>
      <c r="L1654" s="317">
        <f t="array" ref="L1654">(XLOOKUP(D1654,Roster!F:F,Roster!D:D,"",0))</f>
        <v>6</v>
      </c>
      <c r="M1654" s="317" t="str">
        <f t="array" ref="M1654">XLOOKUP(D1654,Roster!F:F,Roster!E:E)</f>
        <v>Tickets</v>
      </c>
      <c r="N1654" s="317" t="str">
        <f t="shared" ref="N1654:P1654" si="1680">LEFT(H1654,5)</f>
        <v>09:45</v>
      </c>
      <c r="O1654" s="317" t="str">
        <f t="shared" si="1680"/>
        <v>13:30</v>
      </c>
      <c r="P1654" s="317" t="str">
        <f t="shared" si="1680"/>
        <v>15:45</v>
      </c>
      <c r="Q1654" s="318">
        <f t="shared" si="1657"/>
        <v>46126.40625</v>
      </c>
      <c r="R1654" s="318">
        <f t="shared" si="1658"/>
        <v>46126.5625</v>
      </c>
      <c r="S1654" s="318">
        <f t="shared" si="8"/>
        <v>46126.65625</v>
      </c>
    </row>
    <row r="1655">
      <c r="A1655" s="14" t="str">
        <f t="shared" si="1"/>
        <v>C72346126</v>
      </c>
      <c r="B1655" s="185" t="str">
        <f t="array" ref="B1655">IF(F1655="VL","",IF(F1655="Free","Free",XLOOKUP(D1655,Roster!T:T,Roster!S:S,"",0)))</f>
        <v>Free</v>
      </c>
      <c r="C1655" s="313">
        <v>46126.0</v>
      </c>
      <c r="D1655" s="314" t="s">
        <v>169</v>
      </c>
      <c r="E1655" s="307" t="str">
        <f t="array" ref="E1655">(XLOOKUP(D1655,Roster!F:F,Roster!B:B,"",0))</f>
        <v>Sebastian Parra</v>
      </c>
      <c r="F1655" s="315" t="str">
        <f t="array" ref="F1655">IF(B1655=100,"Free",TEXT(XLOOKUP($D1655,OperationVoice!$A:$A,OperationVoice!T:T,XLOOKUP($D1655,OperationTickets!$A:$A,OperationTickets!T:T,"",0)),"hh:mm"))</f>
        <v>Free</v>
      </c>
      <c r="G1655" s="309" t="str">
        <f t="shared" si="3"/>
        <v>Free</v>
      </c>
      <c r="H1655" s="316">
        <f t="array" ref="H1655">XLOOKUP(B1655,Roster!L:L,Roster!N:N,XLOOKUP(D1655,TicketsBreak!A:A,TicketsBreak!E:E,"",0),0)</f>
        <v>0.4166666667</v>
      </c>
      <c r="I1655" s="316">
        <f t="array" ref="I1655">XLOOKUP(B1655,Roster!L:L,Roster!O:O,XLOOKUP(D1655,TicketsBreak!A:A,TicketsBreak!F:F,"",0),0)</f>
        <v>0.5347222222</v>
      </c>
      <c r="J1655" s="316">
        <f t="array" ref="J1655">XLOOKUP(B1655,Roster!L:L,Roster!P:P,XLOOKUP(D1655,TicketsBreak!A:A,TicketsBreak!G:G,"",0),0)</f>
        <v>0.65625</v>
      </c>
      <c r="K1655" s="310">
        <f t="shared" si="4"/>
        <v>46126</v>
      </c>
      <c r="L1655" s="317">
        <f t="array" ref="L1655">(XLOOKUP(D1655,Roster!F:F,Roster!D:D,"",0))</f>
        <v>7</v>
      </c>
      <c r="M1655" s="317" t="str">
        <f t="array" ref="M1655">XLOOKUP(D1655,Roster!F:F,Roster!E:E)</f>
        <v>Tickets</v>
      </c>
      <c r="N1655" s="317" t="str">
        <f t="shared" ref="N1655:P1655" si="1681">LEFT(H1655,5)</f>
        <v>10:00</v>
      </c>
      <c r="O1655" s="317" t="str">
        <f t="shared" si="1681"/>
        <v>12:50</v>
      </c>
      <c r="P1655" s="317" t="str">
        <f t="shared" si="1681"/>
        <v>15:45</v>
      </c>
      <c r="Q1655" s="318">
        <f t="shared" si="1657"/>
        <v>46126.41667</v>
      </c>
      <c r="R1655" s="318">
        <f t="shared" si="1658"/>
        <v>46126.53472</v>
      </c>
      <c r="S1655" s="318">
        <f t="shared" si="8"/>
        <v>46126.65625</v>
      </c>
    </row>
    <row r="1656">
      <c r="A1656" s="14" t="str">
        <f t="shared" si="1"/>
        <v>C137646126</v>
      </c>
      <c r="B1656" s="185" t="str">
        <f t="array" ref="B1656">IF(F1656="VL","",IF(F1656="Free","Free",XLOOKUP(D1656,Roster!T:T,Roster!S:S,"",0)))</f>
        <v/>
      </c>
      <c r="C1656" s="313">
        <v>46126.0</v>
      </c>
      <c r="D1656" s="314" t="s">
        <v>151</v>
      </c>
      <c r="E1656" s="307" t="str">
        <f t="array" ref="E1656">(XLOOKUP(D1656,Roster!F:F,Roster!B:B,"",0))</f>
        <v>Sebastian Quiroz</v>
      </c>
      <c r="F1656" s="315" t="str">
        <f t="array" ref="F1656">IF(B1656=100,"Free",TEXT(XLOOKUP($D1656,OperationVoice!$A:$A,OperationVoice!T:T,XLOOKUP($D1656,OperationTickets!$A:$A,OperationTickets!T:T,"",0)),"hh:mm"))</f>
        <v>08:00</v>
      </c>
      <c r="G1656" s="309">
        <f t="shared" si="3"/>
        <v>0.7083333333</v>
      </c>
      <c r="H1656" s="316" t="str">
        <f t="array" ref="H1656">XLOOKUP(B1656,Roster!L:L,Roster!N:N,XLOOKUP(D1656,TicketsBreak!A:A,TicketsBreak!E:E,"",0),0)</f>
        <v/>
      </c>
      <c r="I1656" s="316" t="str">
        <f t="array" ref="I1656">XLOOKUP(B1656,Roster!L:L,Roster!O:O,XLOOKUP(D1656,TicketsBreak!A:A,TicketsBreak!F:F,"",0),0)</f>
        <v/>
      </c>
      <c r="J1656" s="316" t="str">
        <f t="array" ref="J1656">XLOOKUP(B1656,Roster!L:L,Roster!P:P,XLOOKUP(D1656,TicketsBreak!A:A,TicketsBreak!G:G,"",0),0)</f>
        <v/>
      </c>
      <c r="K1656" s="310">
        <f t="shared" si="4"/>
        <v>46126</v>
      </c>
      <c r="L1656" s="317">
        <f t="array" ref="L1656">(XLOOKUP(D1656,Roster!F:F,Roster!D:D,"",0))</f>
        <v>31</v>
      </c>
      <c r="M1656" s="317" t="str">
        <f t="array" ref="M1656">XLOOKUP(D1656,Roster!F:F,Roster!E:E)</f>
        <v>Tickets</v>
      </c>
      <c r="N1656" s="317" t="str">
        <f t="shared" ref="N1656:P1656" si="1682">LEFT(H1656,5)</f>
        <v/>
      </c>
      <c r="O1656" s="317" t="str">
        <f t="shared" si="1682"/>
        <v/>
      </c>
      <c r="P1656" s="317" t="str">
        <f t="shared" si="1682"/>
        <v/>
      </c>
      <c r="Q1656" s="318" t="str">
        <f t="shared" si="1657"/>
        <v/>
      </c>
      <c r="R1656" s="318" t="str">
        <f t="shared" si="1658"/>
        <v/>
      </c>
      <c r="S1656" s="318" t="str">
        <f t="shared" si="8"/>
        <v/>
      </c>
    </row>
    <row r="1657">
      <c r="A1657" s="14" t="str">
        <f t="shared" si="1"/>
        <v>C72646126</v>
      </c>
      <c r="B1657" s="185" t="str">
        <f t="array" ref="B1657">IF(F1657="VL","",IF(F1657="Free","Free",XLOOKUP(D1657,Roster!T:T,Roster!S:S,"",0)))</f>
        <v/>
      </c>
      <c r="C1657" s="313">
        <v>46126.0</v>
      </c>
      <c r="D1657" s="314" t="s">
        <v>185</v>
      </c>
      <c r="E1657" s="307" t="str">
        <f t="array" ref="E1657">(XLOOKUP(D1657,Roster!F:F,Roster!B:B,"",0))</f>
        <v>Sebastian Rodriguez</v>
      </c>
      <c r="F1657" s="315" t="str">
        <f t="array" ref="F1657">IF(B1657=100,"Free",TEXT(XLOOKUP($D1657,OperationVoice!$A:$A,OperationVoice!T:T,XLOOKUP($D1657,OperationTickets!$A:$A,OperationTickets!T:T,"",0)),"hh:mm"))</f>
        <v>08:00</v>
      </c>
      <c r="G1657" s="309">
        <f t="shared" si="3"/>
        <v>0.7083333333</v>
      </c>
      <c r="H1657" s="316">
        <f t="array" ref="H1657">XLOOKUP(B1657,Roster!L:L,Roster!N:N,XLOOKUP(D1657,TicketsBreak!A:A,TicketsBreak!E:E,"",0),0)</f>
        <v>0.4166666667</v>
      </c>
      <c r="I1657" s="316">
        <f t="array" ref="I1657">XLOOKUP(B1657,Roster!L:L,Roster!O:O,XLOOKUP(D1657,TicketsBreak!A:A,TicketsBreak!F:F,"",0),0)</f>
        <v>0.5625</v>
      </c>
      <c r="J1657" s="316">
        <f t="array" ref="J1657">XLOOKUP(B1657,Roster!L:L,Roster!P:P,XLOOKUP(D1657,TicketsBreak!A:A,TicketsBreak!G:G,"",0),0)</f>
        <v>0.6458333333</v>
      </c>
      <c r="K1657" s="310">
        <f t="shared" si="4"/>
        <v>46126</v>
      </c>
      <c r="L1657" s="317">
        <f t="array" ref="L1657">(XLOOKUP(D1657,Roster!F:F,Roster!D:D,"",0))</f>
        <v>7</v>
      </c>
      <c r="M1657" s="317" t="str">
        <f t="array" ref="M1657">XLOOKUP(D1657,Roster!F:F,Roster!E:E)</f>
        <v>Tickets</v>
      </c>
      <c r="N1657" s="317" t="str">
        <f t="shared" ref="N1657:P1657" si="1683">LEFT(H1657,5)</f>
        <v>10:00</v>
      </c>
      <c r="O1657" s="317" t="str">
        <f t="shared" si="1683"/>
        <v>13:30</v>
      </c>
      <c r="P1657" s="317" t="str">
        <f t="shared" si="1683"/>
        <v>15:30</v>
      </c>
      <c r="Q1657" s="318">
        <f t="shared" si="1657"/>
        <v>46126.41667</v>
      </c>
      <c r="R1657" s="318">
        <f t="shared" si="1658"/>
        <v>46126.5625</v>
      </c>
      <c r="S1657" s="318">
        <f t="shared" si="8"/>
        <v>46126.64583</v>
      </c>
    </row>
    <row r="1658">
      <c r="A1658" s="14" t="str">
        <f t="shared" si="1"/>
        <v>C60246126</v>
      </c>
      <c r="B1658" s="185" t="str">
        <f t="array" ref="B1658">IF(F1658="VL","",IF(F1658="Free","Free",XLOOKUP(D1658,Roster!T:T,Roster!S:S,"",0)))</f>
        <v/>
      </c>
      <c r="C1658" s="313">
        <v>46126.0</v>
      </c>
      <c r="D1658" s="314" t="s">
        <v>170</v>
      </c>
      <c r="E1658" s="307" t="str">
        <f t="array" ref="E1658">(XLOOKUP(D1658,Roster!F:F,Roster!B:B,"",0))</f>
        <v>Sebastian Torres</v>
      </c>
      <c r="F1658" s="315" t="str">
        <f t="array" ref="F1658">IF(B1658=100,"Free",TEXT(XLOOKUP($D1658,OperationVoice!$A:$A,OperationVoice!T:T,XLOOKUP($D1658,OperationTickets!$A:$A,OperationTickets!T:T,"",0)),"hh:mm"))</f>
        <v>08:00</v>
      </c>
      <c r="G1658" s="309">
        <f t="shared" si="3"/>
        <v>0.7083333333</v>
      </c>
      <c r="H1658" s="316">
        <f t="array" ref="H1658">XLOOKUP(B1658,Roster!L:L,Roster!N:N,XLOOKUP(D1658,TicketsBreak!A:A,TicketsBreak!E:E,"",0),0)</f>
        <v>0.4583333333</v>
      </c>
      <c r="I1658" s="316">
        <f t="array" ref="I1658">XLOOKUP(B1658,Roster!L:L,Roster!O:O,XLOOKUP(D1658,TicketsBreak!A:A,TicketsBreak!F:F,"",0),0)</f>
        <v>0.5833333333</v>
      </c>
      <c r="J1658" s="316">
        <f t="array" ref="J1658">XLOOKUP(B1658,Roster!L:L,Roster!P:P,XLOOKUP(D1658,TicketsBreak!A:A,TicketsBreak!G:G,"",0),0)</f>
        <v>0.65625</v>
      </c>
      <c r="K1658" s="310">
        <f t="shared" si="4"/>
        <v>46126</v>
      </c>
      <c r="L1658" s="317">
        <f t="array" ref="L1658">(XLOOKUP(D1658,Roster!F:F,Roster!D:D,"",0))</f>
        <v>8</v>
      </c>
      <c r="M1658" s="317" t="str">
        <f t="array" ref="M1658">XLOOKUP(D1658,Roster!F:F,Roster!E:E)</f>
        <v>Tickets</v>
      </c>
      <c r="N1658" s="317" t="str">
        <f t="shared" ref="N1658:P1658" si="1684">LEFT(H1658,5)</f>
        <v>11:00</v>
      </c>
      <c r="O1658" s="317" t="str">
        <f t="shared" si="1684"/>
        <v>14:00</v>
      </c>
      <c r="P1658" s="317" t="str">
        <f t="shared" si="1684"/>
        <v>15:45</v>
      </c>
      <c r="Q1658" s="318">
        <f t="shared" si="1657"/>
        <v>46126.45833</v>
      </c>
      <c r="R1658" s="318">
        <f t="shared" si="1658"/>
        <v>46126.58333</v>
      </c>
      <c r="S1658" s="318">
        <f t="shared" si="8"/>
        <v>46126.65625</v>
      </c>
    </row>
    <row r="1659">
      <c r="A1659" s="14" t="str">
        <f t="shared" si="1"/>
        <v>C143146126</v>
      </c>
      <c r="B1659" s="185" t="str">
        <f t="array" ref="B1659">IF(F1659="VL","",IF(F1659="Free","Free",XLOOKUP(D1659,Roster!T:T,Roster!S:S,"",0)))</f>
        <v>Free</v>
      </c>
      <c r="C1659" s="313">
        <v>46126.0</v>
      </c>
      <c r="D1659" s="314" t="s">
        <v>74</v>
      </c>
      <c r="E1659" s="307" t="str">
        <f t="array" ref="E1659">(XLOOKUP(D1659,Roster!F:F,Roster!B:B,"",0))</f>
        <v>Sebastian Torres Gomez</v>
      </c>
      <c r="F1659" s="315" t="str">
        <f t="array" ref="F1659">IF(B1659=100,"Free",TEXT(XLOOKUP($D1659,OperationVoice!$A:$A,OperationVoice!T:T,XLOOKUP($D1659,OperationTickets!$A:$A,OperationTickets!T:T,"",0)),"hh:mm"))</f>
        <v>Free</v>
      </c>
      <c r="G1659" s="309" t="str">
        <f t="shared" si="3"/>
        <v>Free</v>
      </c>
      <c r="H1659" s="316" t="str">
        <f t="array" ref="H1659">XLOOKUP(B1659,Roster!L:L,Roster!N:N,XLOOKUP(D1659,TicketsBreak!A:A,TicketsBreak!E:E,"",0),0)</f>
        <v/>
      </c>
      <c r="I1659" s="316" t="str">
        <f t="array" ref="I1659">XLOOKUP(B1659,Roster!L:L,Roster!O:O,XLOOKUP(D1659,TicketsBreak!A:A,TicketsBreak!F:F,"",0),0)</f>
        <v/>
      </c>
      <c r="J1659" s="316" t="str">
        <f t="array" ref="J1659">XLOOKUP(B1659,Roster!L:L,Roster!P:P,XLOOKUP(D1659,TicketsBreak!A:A,TicketsBreak!G:G,"",0),0)</f>
        <v/>
      </c>
      <c r="K1659" s="310">
        <f t="shared" si="4"/>
        <v>46126</v>
      </c>
      <c r="L1659" s="317">
        <f t="array" ref="L1659">(XLOOKUP(D1659,Roster!F:F,Roster!D:D,"",0))</f>
        <v>32</v>
      </c>
      <c r="M1659" s="317" t="str">
        <f t="array" ref="M1659">XLOOKUP(D1659,Roster!F:F,Roster!E:E)</f>
        <v>Voice</v>
      </c>
      <c r="N1659" s="317" t="str">
        <f t="shared" ref="N1659:P1659" si="1685">LEFT(H1659,5)</f>
        <v/>
      </c>
      <c r="O1659" s="317" t="str">
        <f t="shared" si="1685"/>
        <v/>
      </c>
      <c r="P1659" s="317" t="str">
        <f t="shared" si="1685"/>
        <v/>
      </c>
      <c r="Q1659" s="318" t="str">
        <f t="shared" si="1657"/>
        <v/>
      </c>
      <c r="R1659" s="318" t="str">
        <f t="shared" si="1658"/>
        <v/>
      </c>
      <c r="S1659" s="318" t="str">
        <f t="shared" si="8"/>
        <v/>
      </c>
    </row>
    <row r="1660">
      <c r="A1660" s="14" t="str">
        <f t="shared" si="1"/>
        <v>C149146126</v>
      </c>
      <c r="B1660" s="185" t="str">
        <f t="array" ref="B1660">IF(F1660="VL","",IF(F1660="Free","Free",XLOOKUP(D1660,Roster!T:T,Roster!S:S,"",0)))</f>
        <v/>
      </c>
      <c r="C1660" s="313">
        <v>46126.0</v>
      </c>
      <c r="D1660" s="314" t="s">
        <v>315</v>
      </c>
      <c r="E1660" s="307" t="str">
        <f t="array" ref="E1660">(XLOOKUP(D1660,Roster!F:F,Roster!B:B,"",0))</f>
        <v>Sebastian Vanegas</v>
      </c>
      <c r="F1660" s="315" t="str">
        <f t="array" ref="F1660">IF(B1660=100,"Free",TEXT(XLOOKUP($D1660,OperationVoice!$A:$A,OperationVoice!T:T,XLOOKUP($D1660,OperationTickets!$A:$A,OperationTickets!T:T,"",0)),"hh:mm"))</f>
        <v/>
      </c>
      <c r="G1660" s="309" t="str">
        <f t="shared" si="3"/>
        <v/>
      </c>
      <c r="H1660" s="316" t="str">
        <f t="array" ref="H1660">XLOOKUP(B1660,Roster!L:L,Roster!N:N,XLOOKUP(D1660,TicketsBreak!A:A,TicketsBreak!E:E,"",0),0)</f>
        <v/>
      </c>
      <c r="I1660" s="316" t="str">
        <f t="array" ref="I1660">XLOOKUP(B1660,Roster!L:L,Roster!O:O,XLOOKUP(D1660,TicketsBreak!A:A,TicketsBreak!F:F,"",0),0)</f>
        <v/>
      </c>
      <c r="J1660" s="316" t="str">
        <f t="array" ref="J1660">XLOOKUP(B1660,Roster!L:L,Roster!P:P,XLOOKUP(D1660,TicketsBreak!A:A,TicketsBreak!G:G,"",0),0)</f>
        <v/>
      </c>
      <c r="K1660" s="310">
        <f t="shared" si="4"/>
        <v>46126</v>
      </c>
      <c r="L1660" s="317">
        <f t="array" ref="L1660">(XLOOKUP(D1660,Roster!F:F,Roster!D:D,"",0))</f>
        <v>34</v>
      </c>
      <c r="M1660" s="317" t="str">
        <f t="array" ref="M1660">XLOOKUP(D1660,Roster!F:F,Roster!E:E)</f>
        <v>Voice</v>
      </c>
      <c r="N1660" s="317" t="str">
        <f t="shared" ref="N1660:P1660" si="1686">LEFT(H1660,5)</f>
        <v/>
      </c>
      <c r="O1660" s="317" t="str">
        <f t="shared" si="1686"/>
        <v/>
      </c>
      <c r="P1660" s="317" t="str">
        <f t="shared" si="1686"/>
        <v/>
      </c>
      <c r="Q1660" s="318" t="str">
        <f t="shared" si="1657"/>
        <v/>
      </c>
      <c r="R1660" s="318" t="str">
        <f t="shared" si="1658"/>
        <v/>
      </c>
      <c r="S1660" s="318" t="str">
        <f t="shared" si="8"/>
        <v/>
      </c>
    </row>
    <row r="1661">
      <c r="A1661" s="14" t="str">
        <f t="shared" si="1"/>
        <v>C93746126</v>
      </c>
      <c r="B1661" s="185">
        <f t="array" ref="B1661">IF(F1661="VL","",IF(F1661="Free","Free",XLOOKUP(D1661,Roster!T:T,Roster!S:S,"",0)))</f>
        <v>126</v>
      </c>
      <c r="C1661" s="313">
        <v>46126.0</v>
      </c>
      <c r="D1661" s="314" t="s">
        <v>75</v>
      </c>
      <c r="E1661" s="307" t="str">
        <f t="array" ref="E1661">(XLOOKUP(D1661,Roster!F:F,Roster!B:B,"",0))</f>
        <v>Sebastian Zapata</v>
      </c>
      <c r="F1661" s="315" t="str">
        <f t="array" ref="F1661">IF(B1661=100,"Free",TEXT(XLOOKUP($D1661,OperationVoice!$A:$A,OperationVoice!T:T,XLOOKUP($D1661,OperationTickets!$A:$A,OperationTickets!T:T,"",0)),"hh:mm"))</f>
        <v>08:00</v>
      </c>
      <c r="G1661" s="309">
        <f t="shared" si="3"/>
        <v>0.7083333333</v>
      </c>
      <c r="H1661" s="316" t="str">
        <f t="array" ref="H1661">XLOOKUP(B1661,Roster!L:L,Roster!N:N,XLOOKUP(D1661,TicketsBreak!A:A,TicketsBreak!E:E,"",0),0)</f>
        <v>10:45 - 11:00</v>
      </c>
      <c r="I1661" s="316" t="str">
        <f t="array" ref="I1661">XLOOKUP(B1661,Roster!L:L,Roster!O:O,XLOOKUP(D1661,TicketsBreak!A:A,TicketsBreak!F:F,"",0),0)</f>
        <v>14:00 - 14:30</v>
      </c>
      <c r="J1661" s="316" t="str">
        <f t="array" ref="J1661">XLOOKUP(B1661,Roster!L:L,Roster!P:P,XLOOKUP(D1661,TicketsBreak!A:A,TicketsBreak!G:G,"",0),0)</f>
        <v>15:45 - 16:00</v>
      </c>
      <c r="K1661" s="310">
        <f t="shared" si="4"/>
        <v>46126</v>
      </c>
      <c r="L1661" s="317">
        <f t="array" ref="L1661">(XLOOKUP(D1661,Roster!F:F,Roster!D:D,"",0))</f>
        <v>12</v>
      </c>
      <c r="M1661" s="317" t="str">
        <f t="array" ref="M1661">XLOOKUP(D1661,Roster!F:F,Roster!E:E)</f>
        <v>Voice</v>
      </c>
      <c r="N1661" s="317" t="str">
        <f t="shared" ref="N1661:P1661" si="1687">LEFT(H1661,5)</f>
        <v>10:45</v>
      </c>
      <c r="O1661" s="317" t="str">
        <f t="shared" si="1687"/>
        <v>14:00</v>
      </c>
      <c r="P1661" s="317" t="str">
        <f t="shared" si="1687"/>
        <v>15:45</v>
      </c>
      <c r="Q1661" s="318">
        <f t="shared" si="1657"/>
        <v>46126.44792</v>
      </c>
      <c r="R1661" s="318">
        <f t="shared" si="1658"/>
        <v>46126.58333</v>
      </c>
      <c r="S1661" s="318">
        <f t="shared" si="8"/>
        <v>46126.65625</v>
      </c>
    </row>
    <row r="1662">
      <c r="A1662" s="14" t="str">
        <f t="shared" si="1"/>
        <v>C156546126</v>
      </c>
      <c r="B1662" s="185">
        <f t="array" ref="B1662">IF(F1662="VL","",IF(F1662="Free","Free",XLOOKUP(D1662,Roster!T:T,Roster!S:S,"",0)))</f>
        <v>122</v>
      </c>
      <c r="C1662" s="313">
        <v>46126.0</v>
      </c>
      <c r="D1662" s="314" t="s">
        <v>76</v>
      </c>
      <c r="E1662" s="307" t="str">
        <f t="array" ref="E1662">(XLOOKUP(D1662,Roster!F:F,Roster!B:B,"",0))</f>
        <v>Sergio Rojas</v>
      </c>
      <c r="F1662" s="315" t="str">
        <f t="array" ref="F1662">IF(B1662=100,"Free",TEXT(XLOOKUP($D1662,OperationVoice!$A:$A,OperationVoice!T:T,XLOOKUP($D1662,OperationTickets!$A:$A,OperationTickets!T:T,"",0)),"hh:mm"))</f>
        <v>11:00</v>
      </c>
      <c r="G1662" s="309">
        <f t="shared" si="3"/>
        <v>0.8333333333</v>
      </c>
      <c r="H1662" s="316" t="str">
        <f t="array" ref="H1662">XLOOKUP(B1662,Roster!L:L,Roster!N:N,XLOOKUP(D1662,TicketsBreak!A:A,TicketsBreak!E:E,"",0),0)</f>
        <v>09:30 - 09:45</v>
      </c>
      <c r="I1662" s="316" t="str">
        <f t="array" ref="I1662">XLOOKUP(B1662,Roster!L:L,Roster!O:O,XLOOKUP(D1662,TicketsBreak!A:A,TicketsBreak!F:F,"",0),0)</f>
        <v>12:00 - 12:30</v>
      </c>
      <c r="J1662" s="316" t="str">
        <f t="array" ref="J1662">XLOOKUP(B1662,Roster!L:L,Roster!P:P,XLOOKUP(D1662,TicketsBreak!A:A,TicketsBreak!G:G,"",0),0)</f>
        <v>14:45 - 15:00</v>
      </c>
      <c r="K1662" s="310">
        <f t="shared" si="4"/>
        <v>46126</v>
      </c>
      <c r="L1662" s="317">
        <f t="array" ref="L1662">(XLOOKUP(D1662,Roster!F:F,Roster!D:D,"",0))</f>
        <v>38</v>
      </c>
      <c r="M1662" s="317" t="str">
        <f t="array" ref="M1662">XLOOKUP(D1662,Roster!F:F,Roster!E:E)</f>
        <v>Voice</v>
      </c>
      <c r="N1662" s="317" t="str">
        <f t="shared" ref="N1662:P1662" si="1688">LEFT(H1662,5)</f>
        <v>09:30</v>
      </c>
      <c r="O1662" s="317" t="str">
        <f t="shared" si="1688"/>
        <v>12:00</v>
      </c>
      <c r="P1662" s="317" t="str">
        <f t="shared" si="1688"/>
        <v>14:45</v>
      </c>
      <c r="Q1662" s="318">
        <f t="shared" si="1657"/>
        <v>46126.39583</v>
      </c>
      <c r="R1662" s="318">
        <f t="shared" si="1658"/>
        <v>46126.5</v>
      </c>
      <c r="S1662" s="318">
        <f t="shared" si="8"/>
        <v>46126.61458</v>
      </c>
    </row>
    <row r="1663">
      <c r="A1663" s="14" t="str">
        <f t="shared" si="1"/>
        <v>C147846126</v>
      </c>
      <c r="B1663" s="185" t="str">
        <f t="array" ref="B1663">IF(F1663="VL","",IF(F1663="Free","Free",XLOOKUP(D1663,Roster!T:T,Roster!S:S,"",0)))</f>
        <v/>
      </c>
      <c r="C1663" s="313">
        <v>46126.0</v>
      </c>
      <c r="D1663" s="314" t="s">
        <v>186</v>
      </c>
      <c r="E1663" s="307" t="str">
        <f t="array" ref="E1663">(XLOOKUP(D1663,Roster!F:F,Roster!B:B,"",0))</f>
        <v>Simon Atehortua</v>
      </c>
      <c r="F1663" s="315" t="str">
        <f t="array" ref="F1663">IF(B1663=100,"Free",TEXT(XLOOKUP($D1663,OperationVoice!$A:$A,OperationVoice!T:T,XLOOKUP($D1663,OperationTickets!$A:$A,OperationTickets!T:T,"",0)),"hh:mm"))</f>
        <v>07:00</v>
      </c>
      <c r="G1663" s="309">
        <f t="shared" si="3"/>
        <v>0.6666666667</v>
      </c>
      <c r="H1663" s="316" t="str">
        <f t="array" ref="H1663">XLOOKUP(B1663,Roster!L:L,Roster!N:N,XLOOKUP(D1663,TicketsBreak!A:A,TicketsBreak!E:E,"",0),0)</f>
        <v/>
      </c>
      <c r="I1663" s="316" t="str">
        <f t="array" ref="I1663">XLOOKUP(B1663,Roster!L:L,Roster!O:O,XLOOKUP(D1663,TicketsBreak!A:A,TicketsBreak!F:F,"",0),0)</f>
        <v/>
      </c>
      <c r="J1663" s="316" t="str">
        <f t="array" ref="J1663">XLOOKUP(B1663,Roster!L:L,Roster!P:P,XLOOKUP(D1663,TicketsBreak!A:A,TicketsBreak!G:G,"",0),0)</f>
        <v/>
      </c>
      <c r="K1663" s="310">
        <f t="shared" si="4"/>
        <v>46126</v>
      </c>
      <c r="L1663" s="317">
        <f t="array" ref="L1663">(XLOOKUP(D1663,Roster!F:F,Roster!D:D,"",0))</f>
        <v>32</v>
      </c>
      <c r="M1663" s="317" t="str">
        <f t="array" ref="M1663">XLOOKUP(D1663,Roster!F:F,Roster!E:E)</f>
        <v>Tickets</v>
      </c>
      <c r="N1663" s="317" t="str">
        <f t="shared" ref="N1663:P1663" si="1689">LEFT(H1663,5)</f>
        <v/>
      </c>
      <c r="O1663" s="317" t="str">
        <f t="shared" si="1689"/>
        <v/>
      </c>
      <c r="P1663" s="317" t="str">
        <f t="shared" si="1689"/>
        <v/>
      </c>
      <c r="Q1663" s="318" t="str">
        <f t="shared" si="1657"/>
        <v/>
      </c>
      <c r="R1663" s="318" t="str">
        <f t="shared" si="1658"/>
        <v/>
      </c>
      <c r="S1663" s="318" t="str">
        <f t="shared" si="8"/>
        <v/>
      </c>
    </row>
    <row r="1664">
      <c r="A1664" s="14" t="str">
        <f t="shared" si="1"/>
        <v>C148346126</v>
      </c>
      <c r="B1664" s="185">
        <f t="array" ref="B1664">IF(F1664="VL","",IF(F1664="Free","Free",XLOOKUP(D1664,Roster!T:T,Roster!S:S,"",0)))</f>
        <v>152</v>
      </c>
      <c r="C1664" s="313">
        <v>46126.0</v>
      </c>
      <c r="D1664" s="314" t="s">
        <v>77</v>
      </c>
      <c r="E1664" s="307" t="str">
        <f t="array" ref="E1664">(XLOOKUP(D1664,Roster!F:F,Roster!B:B,"",0))</f>
        <v>Simon Zuluaica</v>
      </c>
      <c r="F1664" s="315" t="str">
        <f t="array" ref="F1664">IF(B1664=100,"Free",TEXT(XLOOKUP($D1664,OperationVoice!$A:$A,OperationVoice!T:T,XLOOKUP($D1664,OperationTickets!$A:$A,OperationTickets!T:T,"",0)),"hh:mm"))</f>
        <v>11:00</v>
      </c>
      <c r="G1664" s="309">
        <f t="shared" si="3"/>
        <v>0.8333333333</v>
      </c>
      <c r="H1664" s="316" t="str">
        <f t="array" ref="H1664">XLOOKUP(B1664,Roster!L:L,Roster!N:N,XLOOKUP(D1664,TicketsBreak!A:A,TicketsBreak!E:E,"",0),0)</f>
        <v>12:30 - 12:45</v>
      </c>
      <c r="I1664" s="316" t="str">
        <f t="array" ref="I1664">XLOOKUP(B1664,Roster!L:L,Roster!O:O,XLOOKUP(D1664,TicketsBreak!A:A,TicketsBreak!F:F,"",0),0)</f>
        <v>14:30 - 15:00</v>
      </c>
      <c r="J1664" s="316" t="str">
        <f t="array" ref="J1664">XLOOKUP(B1664,Roster!L:L,Roster!P:P,XLOOKUP(D1664,TicketsBreak!A:A,TicketsBreak!G:G,"",0),0)</f>
        <v>17:30 - 17:45</v>
      </c>
      <c r="K1664" s="310">
        <f t="shared" si="4"/>
        <v>46126</v>
      </c>
      <c r="L1664" s="317">
        <f t="array" ref="L1664">(XLOOKUP(D1664,Roster!F:F,Roster!D:D,"",0))</f>
        <v>34</v>
      </c>
      <c r="M1664" s="317" t="str">
        <f t="array" ref="M1664">XLOOKUP(D1664,Roster!F:F,Roster!E:E)</f>
        <v>Voice</v>
      </c>
      <c r="N1664" s="317" t="str">
        <f t="shared" ref="N1664:P1664" si="1690">LEFT(H1664,5)</f>
        <v>12:30</v>
      </c>
      <c r="O1664" s="317" t="str">
        <f t="shared" si="1690"/>
        <v>14:30</v>
      </c>
      <c r="P1664" s="317" t="str">
        <f t="shared" si="1690"/>
        <v>17:30</v>
      </c>
      <c r="Q1664" s="318">
        <f t="shared" si="1657"/>
        <v>46126.52083</v>
      </c>
      <c r="R1664" s="318">
        <f t="shared" si="1658"/>
        <v>46126.60417</v>
      </c>
      <c r="S1664" s="318">
        <f t="shared" si="8"/>
        <v>46126.72917</v>
      </c>
    </row>
    <row r="1665">
      <c r="A1665" s="14" t="str">
        <f t="shared" si="1"/>
        <v>C154046126</v>
      </c>
      <c r="B1665" s="185">
        <f t="array" ref="B1665">IF(F1665="VL","",IF(F1665="Free","Free",XLOOKUP(D1665,Roster!T:T,Roster!S:S,"",0)))</f>
        <v>122</v>
      </c>
      <c r="C1665" s="313">
        <v>46126.0</v>
      </c>
      <c r="D1665" s="314" t="s">
        <v>78</v>
      </c>
      <c r="E1665" s="307" t="str">
        <f t="array" ref="E1665">(XLOOKUP(D1665,Roster!F:F,Roster!B:B,"",0))</f>
        <v>Tomas Perez</v>
      </c>
      <c r="F1665" s="315" t="str">
        <f t="array" ref="F1665">IF(B1665=100,"Free",TEXT(XLOOKUP($D1665,OperationVoice!$A:$A,OperationVoice!T:T,XLOOKUP($D1665,OperationTickets!$A:$A,OperationTickets!T:T,"",0)),"hh:mm"))</f>
        <v>08:00</v>
      </c>
      <c r="G1665" s="309">
        <f t="shared" si="3"/>
        <v>0.7083333333</v>
      </c>
      <c r="H1665" s="316" t="str">
        <f t="array" ref="H1665">XLOOKUP(B1665,Roster!L:L,Roster!N:N,XLOOKUP(D1665,TicketsBreak!A:A,TicketsBreak!E:E,"",0),0)</f>
        <v>09:30 - 09:45</v>
      </c>
      <c r="I1665" s="316" t="str">
        <f t="array" ref="I1665">XLOOKUP(B1665,Roster!L:L,Roster!O:O,XLOOKUP(D1665,TicketsBreak!A:A,TicketsBreak!F:F,"",0),0)</f>
        <v>12:00 - 12:30</v>
      </c>
      <c r="J1665" s="316" t="str">
        <f t="array" ref="J1665">XLOOKUP(B1665,Roster!L:L,Roster!P:P,XLOOKUP(D1665,TicketsBreak!A:A,TicketsBreak!G:G,"",0),0)</f>
        <v>14:45 - 15:00</v>
      </c>
      <c r="K1665" s="310">
        <f t="shared" si="4"/>
        <v>46126</v>
      </c>
      <c r="L1665" s="317">
        <f t="array" ref="L1665">(XLOOKUP(D1665,Roster!F:F,Roster!D:D,"",0))</f>
        <v>36</v>
      </c>
      <c r="M1665" s="317" t="str">
        <f t="array" ref="M1665">XLOOKUP(D1665,Roster!F:F,Roster!E:E)</f>
        <v>Voice</v>
      </c>
      <c r="N1665" s="317" t="str">
        <f t="shared" ref="N1665:P1665" si="1691">LEFT(H1665,5)</f>
        <v>09:30</v>
      </c>
      <c r="O1665" s="317" t="str">
        <f t="shared" si="1691"/>
        <v>12:00</v>
      </c>
      <c r="P1665" s="317" t="str">
        <f t="shared" si="1691"/>
        <v>14:45</v>
      </c>
      <c r="Q1665" s="318">
        <f t="shared" si="1657"/>
        <v>46126.39583</v>
      </c>
      <c r="R1665" s="318">
        <f t="shared" si="1658"/>
        <v>46126.5</v>
      </c>
      <c r="S1665" s="318">
        <f t="shared" si="8"/>
        <v>46126.61458</v>
      </c>
    </row>
    <row r="1666">
      <c r="A1666" s="14" t="str">
        <f t="shared" si="1"/>
        <v>C154746126</v>
      </c>
      <c r="B1666" s="185">
        <f t="array" ref="B1666">IF(F1666="VL","",IF(F1666="Free","Free",XLOOKUP(D1666,Roster!T:T,Roster!S:S,"",0)))</f>
        <v>121</v>
      </c>
      <c r="C1666" s="313">
        <v>46126.0</v>
      </c>
      <c r="D1666" s="314" t="s">
        <v>79</v>
      </c>
      <c r="E1666" s="307" t="str">
        <f t="array" ref="E1666">(XLOOKUP(D1666,Roster!F:F,Roster!B:B,"",0))</f>
        <v>Valentina Barreto</v>
      </c>
      <c r="F1666" s="315" t="str">
        <f t="array" ref="F1666">IF(B1666=100,"Free",TEXT(XLOOKUP($D1666,OperationVoice!$A:$A,OperationVoice!T:T,XLOOKUP($D1666,OperationTickets!$A:$A,OperationTickets!T:T,"",0)),"hh:mm"))</f>
        <v>08:00</v>
      </c>
      <c r="G1666" s="309">
        <f t="shared" si="3"/>
        <v>0.7083333333</v>
      </c>
      <c r="H1666" s="316" t="str">
        <f t="array" ref="H1666">XLOOKUP(B1666,Roster!L:L,Roster!N:N,XLOOKUP(D1666,TicketsBreak!A:A,TicketsBreak!E:E,"",0),0)</f>
        <v>09:15 - 09:30</v>
      </c>
      <c r="I1666" s="316" t="str">
        <f t="array" ref="I1666">XLOOKUP(B1666,Roster!L:L,Roster!O:O,XLOOKUP(D1666,TicketsBreak!A:A,TicketsBreak!F:F,"",0),0)</f>
        <v>11:30 - 12:00</v>
      </c>
      <c r="J1666" s="316" t="str">
        <f t="array" ref="J1666">XLOOKUP(B1666,Roster!L:L,Roster!P:P,XLOOKUP(D1666,TicketsBreak!A:A,TicketsBreak!G:G,"",0),0)</f>
        <v>14:30 - 14:45</v>
      </c>
      <c r="K1666" s="310">
        <f t="shared" si="4"/>
        <v>46126</v>
      </c>
      <c r="L1666" s="317">
        <f t="array" ref="L1666">(XLOOKUP(D1666,Roster!F:F,Roster!D:D,"",0))</f>
        <v>37</v>
      </c>
      <c r="M1666" s="317" t="str">
        <f t="array" ref="M1666">XLOOKUP(D1666,Roster!F:F,Roster!E:E)</f>
        <v>Voice</v>
      </c>
      <c r="N1666" s="317" t="str">
        <f t="shared" ref="N1666:P1666" si="1692">LEFT(H1666,5)</f>
        <v>09:15</v>
      </c>
      <c r="O1666" s="317" t="str">
        <f t="shared" si="1692"/>
        <v>11:30</v>
      </c>
      <c r="P1666" s="317" t="str">
        <f t="shared" si="1692"/>
        <v>14:30</v>
      </c>
      <c r="Q1666" s="318">
        <f t="shared" si="1657"/>
        <v>46126.38542</v>
      </c>
      <c r="R1666" s="318">
        <f t="shared" si="1658"/>
        <v>46126.47917</v>
      </c>
      <c r="S1666" s="318">
        <f t="shared" si="8"/>
        <v>46126.60417</v>
      </c>
    </row>
    <row r="1667">
      <c r="A1667" s="14" t="str">
        <f t="shared" si="1"/>
        <v>C155346126</v>
      </c>
      <c r="B1667" s="185">
        <f t="array" ref="B1667">IF(F1667="VL","",IF(F1667="Free","Free",XLOOKUP(D1667,Roster!T:T,Roster!S:S,"",0)))</f>
        <v>122</v>
      </c>
      <c r="C1667" s="313">
        <v>46126.0</v>
      </c>
      <c r="D1667" s="314" t="s">
        <v>80</v>
      </c>
      <c r="E1667" s="307" t="str">
        <f t="array" ref="E1667">(XLOOKUP(D1667,Roster!F:F,Roster!B:B,"",0))</f>
        <v>Valentina Castro</v>
      </c>
      <c r="F1667" s="315" t="str">
        <f t="array" ref="F1667">IF(B1667=100,"Free",TEXT(XLOOKUP($D1667,OperationVoice!$A:$A,OperationVoice!T:T,XLOOKUP($D1667,OperationTickets!$A:$A,OperationTickets!T:T,"",0)),"hh:mm"))</f>
        <v>08:00</v>
      </c>
      <c r="G1667" s="309">
        <f t="shared" si="3"/>
        <v>0.7083333333</v>
      </c>
      <c r="H1667" s="316" t="str">
        <f t="array" ref="H1667">XLOOKUP(B1667,Roster!L:L,Roster!N:N,XLOOKUP(D1667,TicketsBreak!A:A,TicketsBreak!E:E,"",0),0)</f>
        <v>09:30 - 09:45</v>
      </c>
      <c r="I1667" s="316" t="str">
        <f t="array" ref="I1667">XLOOKUP(B1667,Roster!L:L,Roster!O:O,XLOOKUP(D1667,TicketsBreak!A:A,TicketsBreak!F:F,"",0),0)</f>
        <v>12:00 - 12:30</v>
      </c>
      <c r="J1667" s="316" t="str">
        <f t="array" ref="J1667">XLOOKUP(B1667,Roster!L:L,Roster!P:P,XLOOKUP(D1667,TicketsBreak!A:A,TicketsBreak!G:G,"",0),0)</f>
        <v>14:45 - 15:00</v>
      </c>
      <c r="K1667" s="310">
        <f t="shared" si="4"/>
        <v>46126</v>
      </c>
      <c r="L1667" s="317">
        <f t="array" ref="L1667">(XLOOKUP(D1667,Roster!F:F,Roster!D:D,"",0))</f>
        <v>37</v>
      </c>
      <c r="M1667" s="317" t="str">
        <f t="array" ref="M1667">XLOOKUP(D1667,Roster!F:F,Roster!E:E)</f>
        <v>Voice</v>
      </c>
      <c r="N1667" s="317" t="str">
        <f t="shared" ref="N1667:P1667" si="1693">LEFT(H1667,5)</f>
        <v>09:30</v>
      </c>
      <c r="O1667" s="317" t="str">
        <f t="shared" si="1693"/>
        <v>12:00</v>
      </c>
      <c r="P1667" s="317" t="str">
        <f t="shared" si="1693"/>
        <v>14:45</v>
      </c>
      <c r="Q1667" s="318">
        <f t="shared" si="1657"/>
        <v>46126.39583</v>
      </c>
      <c r="R1667" s="318">
        <f t="shared" si="1658"/>
        <v>46126.5</v>
      </c>
      <c r="S1667" s="318">
        <f t="shared" si="8"/>
        <v>46126.61458</v>
      </c>
    </row>
    <row r="1668">
      <c r="A1668" s="14" t="str">
        <f t="shared" si="1"/>
        <v>C150246126</v>
      </c>
      <c r="B1668" s="185" t="str">
        <f t="array" ref="B1668">IF(F1668="VL","",IF(F1668="Free","Free",XLOOKUP(D1668,Roster!T:T,Roster!S:S,"",0)))</f>
        <v/>
      </c>
      <c r="C1668" s="313">
        <v>46126.0</v>
      </c>
      <c r="D1668" s="314" t="s">
        <v>316</v>
      </c>
      <c r="E1668" s="307" t="str">
        <f t="array" ref="E1668">(XLOOKUP(D1668,Roster!F:F,Roster!B:B,"",0))</f>
        <v>Valentina Gallego</v>
      </c>
      <c r="F1668" s="315" t="str">
        <f t="array" ref="F1668">IF(B1668=100,"Free",TEXT(XLOOKUP($D1668,OperationVoice!$A:$A,OperationVoice!T:T,XLOOKUP($D1668,OperationTickets!$A:$A,OperationTickets!T:T,"",0)),"hh:mm"))</f>
        <v/>
      </c>
      <c r="G1668" s="309" t="str">
        <f t="shared" si="3"/>
        <v/>
      </c>
      <c r="H1668" s="316" t="str">
        <f t="array" ref="H1668">XLOOKUP(B1668,Roster!L:L,Roster!N:N,XLOOKUP(D1668,TicketsBreak!A:A,TicketsBreak!E:E,"",0),0)</f>
        <v/>
      </c>
      <c r="I1668" s="316" t="str">
        <f t="array" ref="I1668">XLOOKUP(B1668,Roster!L:L,Roster!O:O,XLOOKUP(D1668,TicketsBreak!A:A,TicketsBreak!F:F,"",0),0)</f>
        <v/>
      </c>
      <c r="J1668" s="316" t="str">
        <f t="array" ref="J1668">XLOOKUP(B1668,Roster!L:L,Roster!P:P,XLOOKUP(D1668,TicketsBreak!A:A,TicketsBreak!G:G,"",0),0)</f>
        <v/>
      </c>
      <c r="K1668" s="310">
        <f t="shared" si="4"/>
        <v>46126</v>
      </c>
      <c r="L1668" s="317">
        <f t="array" ref="L1668">(XLOOKUP(D1668,Roster!F:F,Roster!D:D,"",0))</f>
        <v>35</v>
      </c>
      <c r="M1668" s="317" t="str">
        <f t="array" ref="M1668">XLOOKUP(D1668,Roster!F:F,Roster!E:E)</f>
        <v>Voice</v>
      </c>
      <c r="N1668" s="317" t="str">
        <f t="shared" ref="N1668:P1668" si="1694">LEFT(H1668,5)</f>
        <v/>
      </c>
      <c r="O1668" s="317" t="str">
        <f t="shared" si="1694"/>
        <v/>
      </c>
      <c r="P1668" s="317" t="str">
        <f t="shared" si="1694"/>
        <v/>
      </c>
      <c r="Q1668" s="318" t="str">
        <f t="shared" si="1657"/>
        <v/>
      </c>
      <c r="R1668" s="318" t="str">
        <f t="shared" si="1658"/>
        <v/>
      </c>
      <c r="S1668" s="318" t="str">
        <f t="shared" si="8"/>
        <v/>
      </c>
    </row>
    <row r="1669">
      <c r="A1669" s="14" t="str">
        <f t="shared" si="1"/>
        <v>C112646126</v>
      </c>
      <c r="B1669" s="185" t="str">
        <f t="array" ref="B1669">IF(F1669="VL","",IF(F1669="Free","Free",XLOOKUP(D1669,Roster!T:T,Roster!S:S,"",0)))</f>
        <v/>
      </c>
      <c r="C1669" s="313">
        <v>46126.0</v>
      </c>
      <c r="D1669" s="314" t="s">
        <v>152</v>
      </c>
      <c r="E1669" s="307" t="str">
        <f t="array" ref="E1669">(XLOOKUP(D1669,Roster!F:F,Roster!B:B,"",0))</f>
        <v>Valery Escobar</v>
      </c>
      <c r="F1669" s="315" t="str">
        <f t="array" ref="F1669">IF(B1669=100,"Free",TEXT(XLOOKUP($D1669,OperationVoice!$A:$A,OperationVoice!T:T,XLOOKUP($D1669,OperationTickets!$A:$A,OperationTickets!T:T,"",0)),"hh:mm"))</f>
        <v>08:00</v>
      </c>
      <c r="G1669" s="309">
        <f t="shared" si="3"/>
        <v>0.7083333333</v>
      </c>
      <c r="H1669" s="316">
        <f t="array" ref="H1669">XLOOKUP(B1669,Roster!L:L,Roster!N:N,XLOOKUP(D1669,TicketsBreak!A:A,TicketsBreak!E:E,"",0),0)</f>
        <v>0.3854166667</v>
      </c>
      <c r="I1669" s="316">
        <f t="array" ref="I1669">XLOOKUP(B1669,Roster!L:L,Roster!O:O,XLOOKUP(D1669,TicketsBreak!A:A,TicketsBreak!F:F,"",0),0)</f>
        <v>0.5</v>
      </c>
      <c r="J1669" s="316">
        <f t="array" ref="J1669">XLOOKUP(B1669,Roster!L:L,Roster!P:P,XLOOKUP(D1669,TicketsBreak!A:A,TicketsBreak!G:G,"",0),0)</f>
        <v>0.6041666667</v>
      </c>
      <c r="K1669" s="310">
        <f t="shared" si="4"/>
        <v>46126</v>
      </c>
      <c r="L1669" s="317">
        <f t="array" ref="L1669">(XLOOKUP(D1669,Roster!F:F,Roster!D:D,"",0))</f>
        <v>21</v>
      </c>
      <c r="M1669" s="317" t="str">
        <f t="array" ref="M1669">XLOOKUP(D1669,Roster!F:F,Roster!E:E)</f>
        <v>Tickets</v>
      </c>
      <c r="N1669" s="317" t="str">
        <f t="shared" ref="N1669:P1669" si="1695">LEFT(H1669,5)</f>
        <v>09:15</v>
      </c>
      <c r="O1669" s="317" t="str">
        <f t="shared" si="1695"/>
        <v>12:00</v>
      </c>
      <c r="P1669" s="317" t="str">
        <f t="shared" si="1695"/>
        <v>14:30</v>
      </c>
      <c r="Q1669" s="318">
        <f t="shared" si="1657"/>
        <v>46126.38542</v>
      </c>
      <c r="R1669" s="318">
        <f t="shared" si="1658"/>
        <v>46126.5</v>
      </c>
      <c r="S1669" s="318">
        <f t="shared" si="8"/>
        <v>46126.60417</v>
      </c>
    </row>
    <row r="1670">
      <c r="A1670" s="14" t="str">
        <f t="shared" si="1"/>
        <v>C155246126</v>
      </c>
      <c r="B1670" s="185">
        <f t="array" ref="B1670">IF(F1670="VL","",IF(F1670="Free","Free",XLOOKUP(D1670,Roster!T:T,Roster!S:S,"",0)))</f>
        <v>125</v>
      </c>
      <c r="C1670" s="313">
        <v>46126.0</v>
      </c>
      <c r="D1670" s="314" t="s">
        <v>81</v>
      </c>
      <c r="E1670" s="307" t="str">
        <f t="array" ref="E1670">(XLOOKUP(D1670,Roster!F:F,Roster!B:B,"",0))</f>
        <v>Wendy Machado</v>
      </c>
      <c r="F1670" s="315" t="str">
        <f t="array" ref="F1670">IF(B1670=100,"Free",TEXT(XLOOKUP($D1670,OperationVoice!$A:$A,OperationVoice!T:T,XLOOKUP($D1670,OperationTickets!$A:$A,OperationTickets!T:T,"",0)),"hh:mm"))</f>
        <v>08:00</v>
      </c>
      <c r="G1670" s="309">
        <f t="shared" si="3"/>
        <v>0.7083333333</v>
      </c>
      <c r="H1670" s="316" t="str">
        <f t="array" ref="H1670">XLOOKUP(B1670,Roster!L:L,Roster!N:N,XLOOKUP(D1670,TicketsBreak!A:A,TicketsBreak!E:E,"",0),0)</f>
        <v>10:30 - 10:45</v>
      </c>
      <c r="I1670" s="316" t="str">
        <f t="array" ref="I1670">XLOOKUP(B1670,Roster!L:L,Roster!O:O,XLOOKUP(D1670,TicketsBreak!A:A,TicketsBreak!F:F,"",0),0)</f>
        <v>13:30 - 14:00</v>
      </c>
      <c r="J1670" s="316" t="str">
        <f t="array" ref="J1670">XLOOKUP(B1670,Roster!L:L,Roster!P:P,XLOOKUP(D1670,TicketsBreak!A:A,TicketsBreak!G:G,"",0),0)</f>
        <v>15:45 - 16:00</v>
      </c>
      <c r="K1670" s="310">
        <f t="shared" si="4"/>
        <v>46126</v>
      </c>
      <c r="L1670" s="317">
        <f t="array" ref="L1670">(XLOOKUP(D1670,Roster!F:F,Roster!D:D,"",0))</f>
        <v>37</v>
      </c>
      <c r="M1670" s="317" t="str">
        <f t="array" ref="M1670">XLOOKUP(D1670,Roster!F:F,Roster!E:E)</f>
        <v>Voice</v>
      </c>
      <c r="N1670" s="317" t="str">
        <f t="shared" ref="N1670:P1670" si="1696">LEFT(H1670,5)</f>
        <v>10:30</v>
      </c>
      <c r="O1670" s="317" t="str">
        <f t="shared" si="1696"/>
        <v>13:30</v>
      </c>
      <c r="P1670" s="317" t="str">
        <f t="shared" si="1696"/>
        <v>15:45</v>
      </c>
      <c r="Q1670" s="318">
        <f t="shared" si="1657"/>
        <v>46126.4375</v>
      </c>
      <c r="R1670" s="318">
        <f t="shared" si="1658"/>
        <v>46126.5625</v>
      </c>
      <c r="S1670" s="318">
        <f t="shared" si="8"/>
        <v>46126.65625</v>
      </c>
    </row>
    <row r="1671">
      <c r="A1671" s="14" t="str">
        <f t="shared" si="1"/>
        <v>C78646126</v>
      </c>
      <c r="B1671" s="185" t="str">
        <f t="array" ref="B1671">IF(F1671="VL","",IF(F1671="Free","Free",XLOOKUP(D1671,Roster!T:T,Roster!S:S,"",0)))</f>
        <v/>
      </c>
      <c r="C1671" s="313">
        <v>46126.0</v>
      </c>
      <c r="D1671" s="314" t="s">
        <v>136</v>
      </c>
      <c r="E1671" s="307" t="str">
        <f t="array" ref="E1671">(XLOOKUP(D1671,Roster!F:F,Roster!B:B,"",0))</f>
        <v>Wendy Navarro</v>
      </c>
      <c r="F1671" s="315" t="str">
        <f t="array" ref="F1671">IF(B1671=100,"Free",TEXT(XLOOKUP($D1671,OperationVoice!$A:$A,OperationVoice!T:T,XLOOKUP($D1671,OperationTickets!$A:$A,OperationTickets!T:T,"",0)),"hh:mm"))</f>
        <v>08:00</v>
      </c>
      <c r="G1671" s="309">
        <f t="shared" si="3"/>
        <v>0.7083333333</v>
      </c>
      <c r="H1671" s="316">
        <f t="array" ref="H1671">XLOOKUP(B1671,Roster!L:L,Roster!N:N,XLOOKUP(D1671,TicketsBreak!A:A,TicketsBreak!E:E,"",0),0)</f>
        <v>0.4166666667</v>
      </c>
      <c r="I1671" s="316">
        <f t="array" ref="I1671">XLOOKUP(B1671,Roster!L:L,Roster!O:O,XLOOKUP(D1671,TicketsBreak!A:A,TicketsBreak!F:F,"",0),0)</f>
        <v>0.5416666667</v>
      </c>
      <c r="J1671" s="316">
        <f t="array" ref="J1671">XLOOKUP(B1671,Roster!L:L,Roster!P:P,XLOOKUP(D1671,TicketsBreak!A:A,TicketsBreak!G:G,"",0),0)</f>
        <v>0.6458333333</v>
      </c>
      <c r="K1671" s="310">
        <f t="shared" si="4"/>
        <v>46126</v>
      </c>
      <c r="L1671" s="317">
        <f t="array" ref="L1671">(XLOOKUP(D1671,Roster!F:F,Roster!D:D,"",0))</f>
        <v>16</v>
      </c>
      <c r="M1671" s="317" t="str">
        <f t="array" ref="M1671">XLOOKUP(D1671,Roster!F:F,Roster!E:E)</f>
        <v>Tickets</v>
      </c>
      <c r="N1671" s="317" t="str">
        <f t="shared" ref="N1671:P1671" si="1697">LEFT(H1671,5)</f>
        <v>10:00</v>
      </c>
      <c r="O1671" s="317" t="str">
        <f t="shared" si="1697"/>
        <v>13:00</v>
      </c>
      <c r="P1671" s="317" t="str">
        <f t="shared" si="1697"/>
        <v>15:30</v>
      </c>
      <c r="Q1671" s="318">
        <f t="shared" si="1657"/>
        <v>46126.41667</v>
      </c>
      <c r="R1671" s="318">
        <f t="shared" si="1658"/>
        <v>46126.54167</v>
      </c>
      <c r="S1671" s="318">
        <f t="shared" si="8"/>
        <v>46126.64583</v>
      </c>
    </row>
    <row r="1672">
      <c r="A1672" s="14" t="str">
        <f t="shared" si="1"/>
        <v>C153746126</v>
      </c>
      <c r="B1672" s="185">
        <f t="array" ref="B1672">IF(F1672="VL","",IF(F1672="Free","Free",XLOOKUP(D1672,Roster!T:T,Roster!S:S,"",0)))</f>
        <v>135</v>
      </c>
      <c r="C1672" s="313">
        <v>46126.0</v>
      </c>
      <c r="D1672" s="314" t="s">
        <v>82</v>
      </c>
      <c r="E1672" s="307" t="str">
        <f t="array" ref="E1672">(XLOOKUP(D1672,Roster!F:F,Roster!B:B,"",0))</f>
        <v>William Florez</v>
      </c>
      <c r="F1672" s="315" t="str">
        <f t="array" ref="F1672">IF(B1672=100,"Free",TEXT(XLOOKUP($D1672,OperationVoice!$A:$A,OperationVoice!T:T,XLOOKUP($D1672,OperationTickets!$A:$A,OperationTickets!T:T,"",0)),"hh:mm"))</f>
        <v>09:00</v>
      </c>
      <c r="G1672" s="309">
        <f t="shared" si="3"/>
        <v>0.75</v>
      </c>
      <c r="H1672" s="316" t="str">
        <f t="array" ref="H1672">XLOOKUP(B1672,Roster!L:L,Roster!N:N,XLOOKUP(D1672,TicketsBreak!A:A,TicketsBreak!E:E,"",0),0)</f>
        <v>11:15 - 11:30</v>
      </c>
      <c r="I1672" s="316" t="str">
        <f t="array" ref="I1672">XLOOKUP(B1672,Roster!L:L,Roster!O:O,XLOOKUP(D1672,TicketsBreak!A:A,TicketsBreak!F:F,"",0),0)</f>
        <v>14:15 - 14:45</v>
      </c>
      <c r="J1672" s="316" t="str">
        <f t="array" ref="J1672">XLOOKUP(B1672,Roster!L:L,Roster!P:P,XLOOKUP(D1672,TicketsBreak!A:A,TicketsBreak!G:G,"",0),0)</f>
        <v>16:15 - 16:30</v>
      </c>
      <c r="K1672" s="310">
        <f t="shared" si="4"/>
        <v>46126</v>
      </c>
      <c r="L1672" s="317">
        <f t="array" ref="L1672">(XLOOKUP(D1672,Roster!F:F,Roster!D:D,"",0))</f>
        <v>36</v>
      </c>
      <c r="M1672" s="317" t="str">
        <f t="array" ref="M1672">XLOOKUP(D1672,Roster!F:F,Roster!E:E)</f>
        <v>Voice</v>
      </c>
      <c r="N1672" s="317" t="str">
        <f t="shared" ref="N1672:P1672" si="1698">LEFT(H1672,5)</f>
        <v>11:15</v>
      </c>
      <c r="O1672" s="317" t="str">
        <f t="shared" si="1698"/>
        <v>14:15</v>
      </c>
      <c r="P1672" s="317" t="str">
        <f t="shared" si="1698"/>
        <v>16:15</v>
      </c>
      <c r="Q1672" s="318">
        <f t="shared" si="1657"/>
        <v>46126.46875</v>
      </c>
      <c r="R1672" s="318">
        <f t="shared" si="1658"/>
        <v>46126.59375</v>
      </c>
      <c r="S1672" s="318">
        <f t="shared" si="8"/>
        <v>46126.67708</v>
      </c>
    </row>
    <row r="1673">
      <c r="A1673" s="14" t="str">
        <f t="shared" si="1"/>
        <v>C135346126</v>
      </c>
      <c r="B1673" s="185">
        <f t="array" ref="B1673">IF(F1673="VL","",IF(F1673="Free","Free",XLOOKUP(D1673,Roster!T:T,Roster!S:S,"",0)))</f>
        <v>121</v>
      </c>
      <c r="C1673" s="313">
        <v>46126.0</v>
      </c>
      <c r="D1673" s="314" t="s">
        <v>83</v>
      </c>
      <c r="E1673" s="307" t="str">
        <f t="array" ref="E1673">(XLOOKUP(D1673,Roster!F:F,Roster!B:B,"",0))</f>
        <v>Wilson Martinez</v>
      </c>
      <c r="F1673" s="315" t="str">
        <f t="array" ref="F1673">IF(B1673=100,"Free",TEXT(XLOOKUP($D1673,OperationVoice!$A:$A,OperationVoice!T:T,XLOOKUP($D1673,OperationTickets!$A:$A,OperationTickets!T:T,"",0)),"hh:mm"))</f>
        <v>08:00</v>
      </c>
      <c r="G1673" s="309">
        <f t="shared" si="3"/>
        <v>0.7083333333</v>
      </c>
      <c r="H1673" s="316" t="str">
        <f t="array" ref="H1673">XLOOKUP(B1673,Roster!L:L,Roster!N:N,XLOOKUP(D1673,TicketsBreak!A:A,TicketsBreak!E:E,"",0),0)</f>
        <v>09:15 - 09:30</v>
      </c>
      <c r="I1673" s="316" t="str">
        <f t="array" ref="I1673">XLOOKUP(B1673,Roster!L:L,Roster!O:O,XLOOKUP(D1673,TicketsBreak!A:A,TicketsBreak!F:F,"",0),0)</f>
        <v>11:30 - 12:00</v>
      </c>
      <c r="J1673" s="316" t="str">
        <f t="array" ref="J1673">XLOOKUP(B1673,Roster!L:L,Roster!P:P,XLOOKUP(D1673,TicketsBreak!A:A,TicketsBreak!G:G,"",0),0)</f>
        <v>14:30 - 14:45</v>
      </c>
      <c r="K1673" s="310">
        <f t="shared" si="4"/>
        <v>46126</v>
      </c>
      <c r="L1673" s="317">
        <f t="array" ref="L1673">(XLOOKUP(D1673,Roster!F:F,Roster!D:D,"",0))</f>
        <v>30</v>
      </c>
      <c r="M1673" s="317" t="str">
        <f t="array" ref="M1673">XLOOKUP(D1673,Roster!F:F,Roster!E:E)</f>
        <v>Voice</v>
      </c>
      <c r="N1673" s="317" t="str">
        <f t="shared" ref="N1673:P1673" si="1699">LEFT(H1673,5)</f>
        <v>09:15</v>
      </c>
      <c r="O1673" s="317" t="str">
        <f t="shared" si="1699"/>
        <v>11:30</v>
      </c>
      <c r="P1673" s="317" t="str">
        <f t="shared" si="1699"/>
        <v>14:30</v>
      </c>
      <c r="Q1673" s="318">
        <f t="shared" si="1657"/>
        <v>46126.38542</v>
      </c>
      <c r="R1673" s="318">
        <f t="shared" si="1658"/>
        <v>46126.47917</v>
      </c>
      <c r="S1673" s="318">
        <f t="shared" si="8"/>
        <v>46126.60417</v>
      </c>
    </row>
    <row r="1674">
      <c r="A1674" s="14" t="str">
        <f t="shared" si="1"/>
        <v>C117346126</v>
      </c>
      <c r="B1674" s="185">
        <f t="array" ref="B1674">IF(F1674="VL","",IF(F1674="Free","Free",XLOOKUP(D1674,Roster!T:T,Roster!S:S,"",0)))</f>
        <v>122</v>
      </c>
      <c r="C1674" s="313">
        <v>46126.0</v>
      </c>
      <c r="D1674" s="314" t="s">
        <v>84</v>
      </c>
      <c r="E1674" s="307" t="str">
        <f t="array" ref="E1674">(XLOOKUP(D1674,Roster!F:F,Roster!B:B,"",0))</f>
        <v>Yaidy Mosquera</v>
      </c>
      <c r="F1674" s="315" t="str">
        <f t="array" ref="F1674">IF(B1674=100,"Free",TEXT(XLOOKUP($D1674,OperationVoice!$A:$A,OperationVoice!T:T,XLOOKUP($D1674,OperationTickets!$A:$A,OperationTickets!T:T,"",0)),"hh:mm"))</f>
        <v>08:00</v>
      </c>
      <c r="G1674" s="309">
        <f t="shared" si="3"/>
        <v>0.7083333333</v>
      </c>
      <c r="H1674" s="316" t="str">
        <f t="array" ref="H1674">XLOOKUP(B1674,Roster!L:L,Roster!N:N,XLOOKUP(D1674,TicketsBreak!A:A,TicketsBreak!E:E,"",0),0)</f>
        <v>09:30 - 09:45</v>
      </c>
      <c r="I1674" s="316" t="str">
        <f t="array" ref="I1674">XLOOKUP(B1674,Roster!L:L,Roster!O:O,XLOOKUP(D1674,TicketsBreak!A:A,TicketsBreak!F:F,"",0),0)</f>
        <v>12:00 - 12:30</v>
      </c>
      <c r="J1674" s="316" t="str">
        <f t="array" ref="J1674">XLOOKUP(B1674,Roster!L:L,Roster!P:P,XLOOKUP(D1674,TicketsBreak!A:A,TicketsBreak!G:G,"",0),0)</f>
        <v>14:45 - 15:00</v>
      </c>
      <c r="K1674" s="310">
        <f t="shared" si="4"/>
        <v>46126</v>
      </c>
      <c r="L1674" s="317">
        <f t="array" ref="L1674">(XLOOKUP(D1674,Roster!F:F,Roster!D:D,"",0))</f>
        <v>24</v>
      </c>
      <c r="M1674" s="317" t="str">
        <f t="array" ref="M1674">XLOOKUP(D1674,Roster!F:F,Roster!E:E)</f>
        <v>Voice</v>
      </c>
      <c r="N1674" s="317" t="str">
        <f t="shared" ref="N1674:P1674" si="1700">LEFT(H1674,5)</f>
        <v>09:30</v>
      </c>
      <c r="O1674" s="317" t="str">
        <f t="shared" si="1700"/>
        <v>12:00</v>
      </c>
      <c r="P1674" s="317" t="str">
        <f t="shared" si="1700"/>
        <v>14:45</v>
      </c>
      <c r="Q1674" s="318">
        <f t="shared" si="1657"/>
        <v>46126.39583</v>
      </c>
      <c r="R1674" s="318">
        <f t="shared" si="1658"/>
        <v>46126.5</v>
      </c>
      <c r="S1674" s="318">
        <f t="shared" si="8"/>
        <v>46126.61458</v>
      </c>
    </row>
    <row r="1675">
      <c r="A1675" s="14" t="str">
        <f t="shared" si="1"/>
        <v>C110846126</v>
      </c>
      <c r="B1675" s="185" t="str">
        <f t="array" ref="B1675">IF(F1675="VL","",IF(F1675="Free","Free",XLOOKUP(D1675,Roster!T:T,Roster!S:S,"",0)))</f>
        <v/>
      </c>
      <c r="C1675" s="313">
        <v>46126.0</v>
      </c>
      <c r="D1675" s="314" t="s">
        <v>187</v>
      </c>
      <c r="E1675" s="307" t="str">
        <f t="array" ref="E1675">(XLOOKUP(D1675,Roster!F:F,Roster!B:B,"",0))</f>
        <v>Yeiner Tapias</v>
      </c>
      <c r="F1675" s="315" t="str">
        <f t="array" ref="F1675">IF(B1675=100,"Free",TEXT(XLOOKUP($D1675,OperationVoice!$A:$A,OperationVoice!T:T,XLOOKUP($D1675,OperationTickets!$A:$A,OperationTickets!T:T,"",0)),"hh:mm"))</f>
        <v>08:00</v>
      </c>
      <c r="G1675" s="309">
        <f t="shared" si="3"/>
        <v>0.7083333333</v>
      </c>
      <c r="H1675" s="316">
        <f t="array" ref="H1675">XLOOKUP(B1675,Roster!L:L,Roster!N:N,XLOOKUP(D1675,TicketsBreak!A:A,TicketsBreak!E:E,"",0),0)</f>
        <v>0.3958333333</v>
      </c>
      <c r="I1675" s="316">
        <f t="array" ref="I1675">XLOOKUP(B1675,Roster!L:L,Roster!O:O,XLOOKUP(D1675,TicketsBreak!A:A,TicketsBreak!F:F,"",0),0)</f>
        <v>0.5208333333</v>
      </c>
      <c r="J1675" s="316">
        <f t="array" ref="J1675">XLOOKUP(B1675,Roster!L:L,Roster!P:P,XLOOKUP(D1675,TicketsBreak!A:A,TicketsBreak!G:G,"",0),0)</f>
        <v>0.6145833333</v>
      </c>
      <c r="K1675" s="310">
        <f t="shared" si="4"/>
        <v>46126</v>
      </c>
      <c r="L1675" s="317">
        <f t="array" ref="L1675">(XLOOKUP(D1675,Roster!F:F,Roster!D:D,"",0))</f>
        <v>20</v>
      </c>
      <c r="M1675" s="317" t="str">
        <f t="array" ref="M1675">XLOOKUP(D1675,Roster!F:F,Roster!E:E)</f>
        <v>Tickets</v>
      </c>
      <c r="N1675" s="317" t="str">
        <f t="shared" ref="N1675:P1675" si="1701">LEFT(H1675,5)</f>
        <v>09:30</v>
      </c>
      <c r="O1675" s="317" t="str">
        <f t="shared" si="1701"/>
        <v>12:30</v>
      </c>
      <c r="P1675" s="317" t="str">
        <f t="shared" si="1701"/>
        <v>14:45</v>
      </c>
      <c r="Q1675" s="318">
        <f t="shared" si="1657"/>
        <v>46126.39583</v>
      </c>
      <c r="R1675" s="318">
        <f t="shared" si="1658"/>
        <v>46126.52083</v>
      </c>
      <c r="S1675" s="318">
        <f t="shared" si="8"/>
        <v>46126.61458</v>
      </c>
    </row>
    <row r="1676">
      <c r="A1676" s="14" t="str">
        <f t="shared" si="1"/>
        <v>C153946126</v>
      </c>
      <c r="B1676" s="185">
        <f t="array" ref="B1676">IF(F1676="VL","",IF(F1676="Free","Free",XLOOKUP(D1676,Roster!T:T,Roster!S:S,"",0)))</f>
        <v>123</v>
      </c>
      <c r="C1676" s="313">
        <v>46126.0</v>
      </c>
      <c r="D1676" s="314" t="s">
        <v>85</v>
      </c>
      <c r="E1676" s="307" t="str">
        <f t="array" ref="E1676">(XLOOKUP(D1676,Roster!F:F,Roster!B:B,"",0))</f>
        <v>Yovanny Ceballos</v>
      </c>
      <c r="F1676" s="315" t="str">
        <f t="array" ref="F1676">IF(B1676=100,"Free",TEXT(XLOOKUP($D1676,OperationVoice!$A:$A,OperationVoice!T:T,XLOOKUP($D1676,OperationTickets!$A:$A,OperationTickets!T:T,"",0)),"hh:mm"))</f>
        <v/>
      </c>
      <c r="G1676" s="309" t="str">
        <f t="shared" si="3"/>
        <v/>
      </c>
      <c r="H1676" s="316" t="str">
        <f t="array" ref="H1676">XLOOKUP(B1676,Roster!L:L,Roster!N:N,XLOOKUP(D1676,TicketsBreak!A:A,TicketsBreak!E:E,"",0),0)</f>
        <v>09:45 - 10:00 </v>
      </c>
      <c r="I1676" s="316" t="str">
        <f t="array" ref="I1676">XLOOKUP(B1676,Roster!L:L,Roster!O:O,XLOOKUP(D1676,TicketsBreak!A:A,TicketsBreak!F:F,"",0),0)</f>
        <v>12:30 - 13:00</v>
      </c>
      <c r="J1676" s="316" t="str">
        <f t="array" ref="J1676">XLOOKUP(B1676,Roster!L:L,Roster!P:P,XLOOKUP(D1676,TicketsBreak!A:A,TicketsBreak!G:G,"",0),0)</f>
        <v>15:00 - 15:15</v>
      </c>
      <c r="K1676" s="310">
        <f t="shared" si="4"/>
        <v>46126</v>
      </c>
      <c r="L1676" s="317">
        <f t="array" ref="L1676">(XLOOKUP(D1676,Roster!F:F,Roster!D:D,"",0))</f>
        <v>36</v>
      </c>
      <c r="M1676" s="317" t="str">
        <f t="array" ref="M1676">XLOOKUP(D1676,Roster!F:F,Roster!E:E)</f>
        <v>Voice</v>
      </c>
      <c r="N1676" s="317" t="str">
        <f t="shared" ref="N1676:P1676" si="1702">LEFT(H1676,5)</f>
        <v>09:45</v>
      </c>
      <c r="O1676" s="317" t="str">
        <f t="shared" si="1702"/>
        <v>12:30</v>
      </c>
      <c r="P1676" s="317" t="str">
        <f t="shared" si="1702"/>
        <v>15:00</v>
      </c>
      <c r="Q1676" s="318">
        <f t="shared" si="1657"/>
        <v>46126.40625</v>
      </c>
      <c r="R1676" s="318">
        <f t="shared" si="1658"/>
        <v>46126.52083</v>
      </c>
      <c r="S1676" s="318">
        <f t="shared" si="8"/>
        <v>46126.625</v>
      </c>
    </row>
    <row r="1677">
      <c r="A1677" s="14" t="str">
        <f t="shared" si="1"/>
        <v>46126</v>
      </c>
      <c r="B1677" s="185" t="str">
        <f t="array" ref="B1677">IF(F1677="VL","",IF(F1677="Free","Free",XLOOKUP(D1677,Roster!T:T,Roster!S:S,"",0)))</f>
        <v/>
      </c>
      <c r="C1677" s="313">
        <v>46126.0</v>
      </c>
      <c r="D1677" s="314"/>
      <c r="E1677" s="307" t="str">
        <f t="array" ref="E1677">(XLOOKUP(D1677,Roster!F:F,Roster!B:B,"",0))</f>
        <v/>
      </c>
      <c r="F1677" s="315" t="str">
        <f t="array" ref="F1677">IF(B1677=100,"Free",TEXT(XLOOKUP($D1677,OperationVoice!$A:$A,OperationVoice!T:T,XLOOKUP($D1677,OperationTickets!$A:$A,OperationTickets!T:T,"",0)),"hh:mm"))</f>
        <v/>
      </c>
      <c r="G1677" s="309" t="str">
        <f t="shared" si="3"/>
        <v/>
      </c>
      <c r="H1677" s="316" t="str">
        <f t="array" ref="H1677">XLOOKUP(B1677,Roster!L:L,Roster!N:N,XLOOKUP(D1677,TicketsBreak!A:A,TicketsBreak!E:E,"",0),0)</f>
        <v/>
      </c>
      <c r="I1677" s="316" t="str">
        <f t="array" ref="I1677">XLOOKUP(B1677,Roster!L:L,Roster!O:O,XLOOKUP(D1677,TicketsBreak!A:A,TicketsBreak!F:F,"",0),0)</f>
        <v/>
      </c>
      <c r="J1677" s="316" t="str">
        <f t="array" ref="J1677">XLOOKUP(B1677,Roster!L:L,Roster!P:P,XLOOKUP(D1677,TicketsBreak!A:A,TicketsBreak!G:G,"",0),0)</f>
        <v/>
      </c>
      <c r="K1677" s="310">
        <f t="shared" si="4"/>
        <v>46126</v>
      </c>
      <c r="L1677" s="317" t="str">
        <f t="array" ref="L1677">(XLOOKUP(D1677,Roster!F:F,Roster!D:D,"",0))</f>
        <v/>
      </c>
      <c r="M1677" s="317" t="str">
        <f t="array" ref="M1677">XLOOKUP(D1677,Roster!F:F,Roster!E:E)</f>
        <v>#N/A</v>
      </c>
      <c r="N1677" s="317" t="str">
        <f t="shared" ref="N1677:P1677" si="1703">LEFT(H1677,5)</f>
        <v/>
      </c>
      <c r="O1677" s="317" t="str">
        <f t="shared" si="1703"/>
        <v/>
      </c>
      <c r="P1677" s="317" t="str">
        <f t="shared" si="1703"/>
        <v/>
      </c>
      <c r="Q1677" s="318" t="str">
        <f t="shared" si="1657"/>
        <v/>
      </c>
      <c r="R1677" s="318" t="str">
        <f t="shared" si="1658"/>
        <v/>
      </c>
      <c r="S1677" s="318" t="str">
        <f t="shared" si="8"/>
        <v/>
      </c>
    </row>
    <row r="1678">
      <c r="A1678" s="14" t="str">
        <f t="shared" si="1"/>
        <v>46126</v>
      </c>
      <c r="B1678" s="185" t="str">
        <f t="array" ref="B1678">IF(F1678="VL","",IF(F1678="Free","Free",XLOOKUP(D1678,Roster!T:T,Roster!S:S,"",0)))</f>
        <v/>
      </c>
      <c r="C1678" s="313">
        <v>46126.0</v>
      </c>
      <c r="D1678" s="314"/>
      <c r="E1678" s="307" t="str">
        <f t="array" ref="E1678">(XLOOKUP(D1678,Roster!F:F,Roster!B:B,"",0))</f>
        <v/>
      </c>
      <c r="F1678" s="315" t="str">
        <f t="array" ref="F1678">IF(B1678=100,"Free",TEXT(XLOOKUP($D1678,OperationVoice!$A:$A,OperationVoice!T:T,XLOOKUP($D1678,OperationTickets!$A:$A,OperationTickets!T:T,"",0)),"hh:mm"))</f>
        <v/>
      </c>
      <c r="G1678" s="309" t="str">
        <f t="shared" si="3"/>
        <v/>
      </c>
      <c r="H1678" s="316" t="str">
        <f t="array" ref="H1678">XLOOKUP(B1678,Roster!L:L,Roster!N:N,XLOOKUP(D1678,TicketsBreak!A:A,TicketsBreak!E:E,"",0),0)</f>
        <v/>
      </c>
      <c r="I1678" s="316" t="str">
        <f t="array" ref="I1678">XLOOKUP(B1678,Roster!L:L,Roster!O:O,XLOOKUP(D1678,TicketsBreak!A:A,TicketsBreak!F:F,"",0),0)</f>
        <v/>
      </c>
      <c r="J1678" s="316" t="str">
        <f t="array" ref="J1678">XLOOKUP(B1678,Roster!L:L,Roster!P:P,XLOOKUP(D1678,TicketsBreak!A:A,TicketsBreak!G:G,"",0),0)</f>
        <v/>
      </c>
      <c r="K1678" s="310">
        <f t="shared" si="4"/>
        <v>46126</v>
      </c>
      <c r="L1678" s="317" t="str">
        <f t="array" ref="L1678">(XLOOKUP(D1678,Roster!F:F,Roster!D:D,"",0))</f>
        <v/>
      </c>
      <c r="M1678" s="317" t="str">
        <f t="array" ref="M1678">XLOOKUP(D1678,Roster!F:F,Roster!E:E)</f>
        <v>#N/A</v>
      </c>
      <c r="N1678" s="317" t="str">
        <f t="shared" ref="N1678:P1678" si="1704">LEFT(H1678,5)</f>
        <v/>
      </c>
      <c r="O1678" s="317" t="str">
        <f t="shared" si="1704"/>
        <v/>
      </c>
      <c r="P1678" s="317" t="str">
        <f t="shared" si="1704"/>
        <v/>
      </c>
      <c r="Q1678" s="318" t="str">
        <f t="shared" si="1657"/>
        <v/>
      </c>
      <c r="R1678" s="318" t="str">
        <f t="shared" si="1658"/>
        <v/>
      </c>
      <c r="S1678" s="318" t="str">
        <f t="shared" si="8"/>
        <v/>
      </c>
    </row>
    <row r="1679">
      <c r="A1679" s="14" t="str">
        <f t="shared" si="1"/>
        <v>46126</v>
      </c>
      <c r="B1679" s="185" t="str">
        <f t="array" ref="B1679">IF(F1679="VL","",IF(F1679="Free","Free",XLOOKUP(D1679,Roster!T:T,Roster!S:S,"",0)))</f>
        <v/>
      </c>
      <c r="C1679" s="313">
        <v>46126.0</v>
      </c>
      <c r="D1679" s="314"/>
      <c r="E1679" s="307" t="str">
        <f t="array" ref="E1679">(XLOOKUP(D1679,Roster!F:F,Roster!B:B,"",0))</f>
        <v/>
      </c>
      <c r="F1679" s="315" t="str">
        <f t="array" ref="F1679">IF(B1679=100,"Free",TEXT(XLOOKUP($D1679,OperationVoice!$A:$A,OperationVoice!T:T,XLOOKUP($D1679,OperationTickets!$A:$A,OperationTickets!T:T,"",0)),"hh:mm"))</f>
        <v/>
      </c>
      <c r="G1679" s="309" t="str">
        <f t="shared" si="3"/>
        <v/>
      </c>
      <c r="H1679" s="316" t="str">
        <f t="array" ref="H1679">XLOOKUP(B1679,Roster!L:L,Roster!N:N,XLOOKUP(D1679,TicketsBreak!A:A,TicketsBreak!E:E,"",0),0)</f>
        <v/>
      </c>
      <c r="I1679" s="316" t="str">
        <f t="array" ref="I1679">XLOOKUP(B1679,Roster!L:L,Roster!O:O,XLOOKUP(D1679,TicketsBreak!A:A,TicketsBreak!F:F,"",0),0)</f>
        <v/>
      </c>
      <c r="J1679" s="316" t="str">
        <f t="array" ref="J1679">XLOOKUP(B1679,Roster!L:L,Roster!P:P,XLOOKUP(D1679,TicketsBreak!A:A,TicketsBreak!G:G,"",0),0)</f>
        <v/>
      </c>
      <c r="K1679" s="310">
        <f t="shared" si="4"/>
        <v>46126</v>
      </c>
      <c r="L1679" s="317" t="str">
        <f t="array" ref="L1679">(XLOOKUP(D1679,Roster!F:F,Roster!D:D,"",0))</f>
        <v/>
      </c>
      <c r="M1679" s="317" t="str">
        <f t="array" ref="M1679">XLOOKUP(D1679,Roster!F:F,Roster!E:E)</f>
        <v>#N/A</v>
      </c>
      <c r="N1679" s="317" t="str">
        <f t="shared" ref="N1679:P1679" si="1705">LEFT(H1679,5)</f>
        <v/>
      </c>
      <c r="O1679" s="317" t="str">
        <f t="shared" si="1705"/>
        <v/>
      </c>
      <c r="P1679" s="317" t="str">
        <f t="shared" si="1705"/>
        <v/>
      </c>
      <c r="Q1679" s="318" t="str">
        <f t="shared" si="1657"/>
        <v/>
      </c>
      <c r="R1679" s="318" t="str">
        <f t="shared" si="1658"/>
        <v/>
      </c>
      <c r="S1679" s="318" t="str">
        <f t="shared" si="8"/>
        <v/>
      </c>
    </row>
    <row r="1680">
      <c r="A1680" s="14" t="str">
        <f t="shared" si="1"/>
        <v>46126</v>
      </c>
      <c r="B1680" s="185" t="str">
        <f t="array" ref="B1680">IF(F1680="VL","",IF(F1680="Free","Free",XLOOKUP(D1680,Roster!T:T,Roster!S:S,"",0)))</f>
        <v/>
      </c>
      <c r="C1680" s="313">
        <v>46126.0</v>
      </c>
      <c r="D1680" s="314"/>
      <c r="E1680" s="307" t="str">
        <f t="array" ref="E1680">(XLOOKUP(D1680,Roster!F:F,Roster!B:B,"",0))</f>
        <v/>
      </c>
      <c r="F1680" s="315" t="str">
        <f t="array" ref="F1680">IF(B1680=100,"Free",TEXT(XLOOKUP($D1680,OperationVoice!$A:$A,OperationVoice!T:T,XLOOKUP($D1680,OperationTickets!$A:$A,OperationTickets!T:T,"",0)),"hh:mm"))</f>
        <v/>
      </c>
      <c r="G1680" s="309" t="str">
        <f t="shared" si="3"/>
        <v/>
      </c>
      <c r="H1680" s="316" t="str">
        <f t="array" ref="H1680">XLOOKUP(B1680,Roster!L:L,Roster!N:N,XLOOKUP(D1680,TicketsBreak!A:A,TicketsBreak!E:E,"",0),0)</f>
        <v/>
      </c>
      <c r="I1680" s="316" t="str">
        <f t="array" ref="I1680">XLOOKUP(B1680,Roster!L:L,Roster!O:O,XLOOKUP(D1680,TicketsBreak!A:A,TicketsBreak!F:F,"",0),0)</f>
        <v/>
      </c>
      <c r="J1680" s="316" t="str">
        <f t="array" ref="J1680">XLOOKUP(B1680,Roster!L:L,Roster!P:P,XLOOKUP(D1680,TicketsBreak!A:A,TicketsBreak!G:G,"",0),0)</f>
        <v/>
      </c>
      <c r="K1680" s="310">
        <f t="shared" si="4"/>
        <v>46126</v>
      </c>
      <c r="L1680" s="317" t="str">
        <f t="array" ref="L1680">(XLOOKUP(D1680,Roster!F:F,Roster!D:D,"",0))</f>
        <v/>
      </c>
      <c r="M1680" s="317" t="str">
        <f t="array" ref="M1680">XLOOKUP(D1680,Roster!F:F,Roster!E:E)</f>
        <v>#N/A</v>
      </c>
      <c r="N1680" s="317" t="str">
        <f t="shared" ref="N1680:P1680" si="1706">LEFT(H1680,5)</f>
        <v/>
      </c>
      <c r="O1680" s="317" t="str">
        <f t="shared" si="1706"/>
        <v/>
      </c>
      <c r="P1680" s="317" t="str">
        <f t="shared" si="1706"/>
        <v/>
      </c>
      <c r="Q1680" s="318" t="str">
        <f t="shared" si="1657"/>
        <v/>
      </c>
      <c r="R1680" s="318" t="str">
        <f t="shared" si="1658"/>
        <v/>
      </c>
      <c r="S1680" s="318" t="str">
        <f t="shared" si="8"/>
        <v/>
      </c>
    </row>
    <row r="1681">
      <c r="A1681" s="14" t="str">
        <f t="shared" si="1"/>
        <v>46126</v>
      </c>
      <c r="B1681" s="185" t="str">
        <f t="array" ref="B1681">IF(F1681="VL","",IF(F1681="Free","Free",XLOOKUP(D1681,Roster!T:T,Roster!S:S,"",0)))</f>
        <v/>
      </c>
      <c r="C1681" s="313">
        <v>46126.0</v>
      </c>
      <c r="D1681" s="314"/>
      <c r="E1681" s="307" t="str">
        <f t="array" ref="E1681">(XLOOKUP(D1681,Roster!F:F,Roster!B:B,"",0))</f>
        <v/>
      </c>
      <c r="F1681" s="315" t="str">
        <f t="array" ref="F1681">IF(B1681=100,"Free",TEXT(XLOOKUP($D1681,OperationVoice!$A:$A,OperationVoice!T:T,XLOOKUP($D1681,OperationTickets!$A:$A,OperationTickets!T:T,"",0)),"hh:mm"))</f>
        <v/>
      </c>
      <c r="G1681" s="309" t="str">
        <f t="shared" si="3"/>
        <v/>
      </c>
      <c r="H1681" s="316" t="str">
        <f t="array" ref="H1681">XLOOKUP(B1681,Roster!L:L,Roster!N:N,XLOOKUP(D1681,TicketsBreak!A:A,TicketsBreak!E:E,"",0),0)</f>
        <v/>
      </c>
      <c r="I1681" s="316" t="str">
        <f t="array" ref="I1681">XLOOKUP(B1681,Roster!L:L,Roster!O:O,XLOOKUP(D1681,TicketsBreak!A:A,TicketsBreak!F:F,"",0),0)</f>
        <v/>
      </c>
      <c r="J1681" s="316" t="str">
        <f t="array" ref="J1681">XLOOKUP(B1681,Roster!L:L,Roster!P:P,XLOOKUP(D1681,TicketsBreak!A:A,TicketsBreak!G:G,"",0),0)</f>
        <v/>
      </c>
      <c r="K1681" s="310">
        <f t="shared" si="4"/>
        <v>46126</v>
      </c>
      <c r="L1681" s="317" t="str">
        <f t="array" ref="L1681">(XLOOKUP(D1681,Roster!F:F,Roster!D:D,"",0))</f>
        <v/>
      </c>
      <c r="M1681" s="317" t="str">
        <f t="array" ref="M1681">XLOOKUP(D1681,Roster!F:F,Roster!E:E)</f>
        <v>#N/A</v>
      </c>
      <c r="N1681" s="317" t="str">
        <f t="shared" ref="N1681:P1681" si="1707">LEFT(H1681,5)</f>
        <v/>
      </c>
      <c r="O1681" s="317" t="str">
        <f t="shared" si="1707"/>
        <v/>
      </c>
      <c r="P1681" s="317" t="str">
        <f t="shared" si="1707"/>
        <v/>
      </c>
      <c r="Q1681" s="318" t="str">
        <f t="shared" si="1657"/>
        <v/>
      </c>
      <c r="R1681" s="318" t="str">
        <f t="shared" si="1658"/>
        <v/>
      </c>
      <c r="S1681" s="318" t="str">
        <f t="shared" si="8"/>
        <v/>
      </c>
    </row>
    <row r="1682">
      <c r="A1682" s="14" t="str">
        <f t="shared" si="1"/>
        <v>C81846127</v>
      </c>
      <c r="B1682" s="185">
        <f t="array" ref="B1682">IF(F1682="VL","",IF(F1682="Free","Free",XLOOKUP(D1682,Roster!T:T,Roster!S:S,"",0)))</f>
        <v>123</v>
      </c>
      <c r="C1682" s="313">
        <v>46127.0</v>
      </c>
      <c r="D1682" s="314" t="s">
        <v>9</v>
      </c>
      <c r="E1682" s="307" t="str">
        <f t="array" ref="E1682">(XLOOKUP(D1682,Roster!F:F,Roster!B:B,"",0))</f>
        <v>Adriana Moncaleano</v>
      </c>
      <c r="F1682" s="315" t="str">
        <f t="array" ref="F1682">IF(B1682=100,"Free",TEXT(XLOOKUP($D1682,OperationVoice!$A:$A,OperationVoice!U:U,XLOOKUP($D1682,OperationTickets!$A:$A,OperationTickets!U:U,"",0)),"hh:mm"))</f>
        <v>08:00</v>
      </c>
      <c r="G1682" s="309">
        <f t="shared" si="3"/>
        <v>0.7083333333</v>
      </c>
      <c r="H1682" s="316" t="str">
        <f t="array" ref="H1682">XLOOKUP(B1682,Roster!L:L,Roster!N:N,XLOOKUP(D1682,TicketsBreak!A:A,TicketsBreak!E:E,"",0),0)</f>
        <v>09:45 - 10:00 </v>
      </c>
      <c r="I1682" s="316" t="str">
        <f t="array" ref="I1682">XLOOKUP(B1682,Roster!L:L,Roster!O:O,XLOOKUP(D1682,TicketsBreak!A:A,TicketsBreak!F:F,"",0),0)</f>
        <v>12:30 - 13:00</v>
      </c>
      <c r="J1682" s="316" t="str">
        <f t="array" ref="J1682">XLOOKUP(B1682,Roster!L:L,Roster!P:P,XLOOKUP(D1682,TicketsBreak!A:A,TicketsBreak!G:G,"",0),0)</f>
        <v>15:00 - 15:15</v>
      </c>
      <c r="K1682" s="310">
        <f t="shared" si="4"/>
        <v>46127</v>
      </c>
      <c r="L1682" s="317">
        <f t="array" ref="L1682">(XLOOKUP(D1682,Roster!F:F,Roster!D:D,"",0))</f>
        <v>23</v>
      </c>
      <c r="M1682" s="317" t="str">
        <f t="array" ref="M1682">XLOOKUP(D1682,Roster!F:F,Roster!E:E)</f>
        <v>Voice</v>
      </c>
      <c r="N1682" s="317" t="str">
        <f t="shared" ref="N1682:P1682" si="1708">LEFT(H1682,5)</f>
        <v>09:45</v>
      </c>
      <c r="O1682" s="317" t="str">
        <f t="shared" si="1708"/>
        <v>12:30</v>
      </c>
      <c r="P1682" s="317" t="str">
        <f t="shared" si="1708"/>
        <v>15:00</v>
      </c>
      <c r="Q1682" s="318">
        <f t="shared" si="1657"/>
        <v>46127.40625</v>
      </c>
      <c r="R1682" s="318">
        <f t="shared" si="1658"/>
        <v>46127.52083</v>
      </c>
      <c r="S1682" s="318">
        <f t="shared" si="8"/>
        <v>46127.625</v>
      </c>
    </row>
    <row r="1683">
      <c r="A1683" s="14" t="str">
        <f t="shared" si="1"/>
        <v>C110746127</v>
      </c>
      <c r="B1683" s="185" t="str">
        <f t="array" ref="B1683">IF(F1683="VL","",IF(F1683="Free","Free",XLOOKUP(D1683,Roster!T:T,Roster!S:S,"",0)))</f>
        <v>Free</v>
      </c>
      <c r="C1683" s="313">
        <v>46127.0</v>
      </c>
      <c r="D1683" s="314" t="s">
        <v>10</v>
      </c>
      <c r="E1683" s="307" t="str">
        <f t="array" ref="E1683">(XLOOKUP(D1683,Roster!F:F,Roster!B:B,"",0))</f>
        <v>Alejandro Malave</v>
      </c>
      <c r="F1683" s="315" t="str">
        <f t="array" ref="F1683">IF(B1683=100,"Free",TEXT(XLOOKUP($D1683,OperationVoice!$A:$A,OperationVoice!U:U,XLOOKUP($D1683,OperationTickets!$A:$A,OperationTickets!U:U,"",0)),"hh:mm"))</f>
        <v>Free</v>
      </c>
      <c r="G1683" s="309" t="str">
        <f t="shared" si="3"/>
        <v>Free</v>
      </c>
      <c r="H1683" s="316" t="str">
        <f t="array" ref="H1683">XLOOKUP(B1683,Roster!L:L,Roster!N:N,XLOOKUP(D1683,TicketsBreak!A:A,TicketsBreak!E:E,"",0),0)</f>
        <v/>
      </c>
      <c r="I1683" s="316" t="str">
        <f t="array" ref="I1683">XLOOKUP(B1683,Roster!L:L,Roster!O:O,XLOOKUP(D1683,TicketsBreak!A:A,TicketsBreak!F:F,"",0),0)</f>
        <v/>
      </c>
      <c r="J1683" s="316" t="str">
        <f t="array" ref="J1683">XLOOKUP(B1683,Roster!L:L,Roster!P:P,XLOOKUP(D1683,TicketsBreak!A:A,TicketsBreak!G:G,"",0),0)</f>
        <v/>
      </c>
      <c r="K1683" s="310">
        <f t="shared" si="4"/>
        <v>46127</v>
      </c>
      <c r="L1683" s="317">
        <f t="array" ref="L1683">(XLOOKUP(D1683,Roster!F:F,Roster!D:D,"",0))</f>
        <v>36</v>
      </c>
      <c r="M1683" s="317" t="str">
        <f t="array" ref="M1683">XLOOKUP(D1683,Roster!F:F,Roster!E:E)</f>
        <v>Voice</v>
      </c>
      <c r="N1683" s="317" t="str">
        <f t="shared" ref="N1683:P1683" si="1709">LEFT(H1683,5)</f>
        <v/>
      </c>
      <c r="O1683" s="317" t="str">
        <f t="shared" si="1709"/>
        <v/>
      </c>
      <c r="P1683" s="317" t="str">
        <f t="shared" si="1709"/>
        <v/>
      </c>
      <c r="Q1683" s="318" t="str">
        <f t="shared" si="1657"/>
        <v/>
      </c>
      <c r="R1683" s="318" t="str">
        <f t="shared" si="1658"/>
        <v/>
      </c>
      <c r="S1683" s="318" t="str">
        <f t="shared" si="8"/>
        <v/>
      </c>
    </row>
    <row r="1684">
      <c r="A1684" s="14" t="str">
        <f t="shared" si="1"/>
        <v>C69946127</v>
      </c>
      <c r="B1684" s="185" t="str">
        <f t="array" ref="B1684">IF(F1684="VL","",IF(F1684="Free","Free",XLOOKUP(D1684,Roster!T:T,Roster!S:S,"",0)))</f>
        <v/>
      </c>
      <c r="C1684" s="313">
        <v>46127.0</v>
      </c>
      <c r="D1684" s="314" t="s">
        <v>137</v>
      </c>
      <c r="E1684" s="307" t="str">
        <f t="array" ref="E1684">(XLOOKUP(D1684,Roster!F:F,Roster!B:B,"",0))</f>
        <v>Alexa Arenas</v>
      </c>
      <c r="F1684" s="315" t="str">
        <f t="array" ref="F1684">IF(B1684=100,"Free",TEXT(XLOOKUP($D1684,OperationVoice!$A:$A,OperationVoice!U:U,XLOOKUP($D1684,OperationTickets!$A:$A,OperationTickets!U:U,"",0)),"hh:mm"))</f>
        <v>08:00</v>
      </c>
      <c r="G1684" s="309">
        <f t="shared" si="3"/>
        <v>0.7083333333</v>
      </c>
      <c r="H1684" s="316">
        <f t="array" ref="H1684">XLOOKUP(B1684,Roster!L:L,Roster!N:N,XLOOKUP(D1684,TicketsBreak!A:A,TicketsBreak!E:E,"",0),0)</f>
        <v>0.40625</v>
      </c>
      <c r="I1684" s="316">
        <f t="array" ref="I1684">XLOOKUP(B1684,Roster!L:L,Roster!O:O,XLOOKUP(D1684,TicketsBreak!A:A,TicketsBreak!F:F,"",0),0)</f>
        <v>0.5</v>
      </c>
      <c r="J1684" s="316">
        <f t="array" ref="J1684">XLOOKUP(B1684,Roster!L:L,Roster!P:P,XLOOKUP(D1684,TicketsBreak!A:A,TicketsBreak!G:G,"",0),0)</f>
        <v>0.65625</v>
      </c>
      <c r="K1684" s="310">
        <f t="shared" si="4"/>
        <v>46127</v>
      </c>
      <c r="L1684" s="317">
        <f t="array" ref="L1684">(XLOOKUP(D1684,Roster!F:F,Roster!D:D,"",0))</f>
        <v>5</v>
      </c>
      <c r="M1684" s="317" t="str">
        <f t="array" ref="M1684">XLOOKUP(D1684,Roster!F:F,Roster!E:E)</f>
        <v>Tickets</v>
      </c>
      <c r="N1684" s="317" t="str">
        <f t="shared" ref="N1684:P1684" si="1710">LEFT(H1684,5)</f>
        <v>09:45</v>
      </c>
      <c r="O1684" s="317" t="str">
        <f t="shared" si="1710"/>
        <v>12:00</v>
      </c>
      <c r="P1684" s="317" t="str">
        <f t="shared" si="1710"/>
        <v>15:45</v>
      </c>
      <c r="Q1684" s="318">
        <f t="shared" si="1657"/>
        <v>46127.40625</v>
      </c>
      <c r="R1684" s="318">
        <f t="shared" si="1658"/>
        <v>46127.5</v>
      </c>
      <c r="S1684" s="318">
        <f t="shared" si="8"/>
        <v>46127.65625</v>
      </c>
    </row>
    <row r="1685">
      <c r="A1685" s="14" t="str">
        <f t="shared" si="1"/>
        <v>C157046127</v>
      </c>
      <c r="B1685" s="185" t="str">
        <f t="array" ref="B1685">IF(F1685="VL","",IF(F1685="Free","Free",XLOOKUP(D1685,Roster!T:T,Roster!S:S,"",0)))</f>
        <v>Free</v>
      </c>
      <c r="C1685" s="313">
        <v>46127.0</v>
      </c>
      <c r="D1685" s="314" t="s">
        <v>11</v>
      </c>
      <c r="E1685" s="307" t="str">
        <f t="array" ref="E1685">(XLOOKUP(D1685,Roster!F:F,Roster!B:B,"",0))</f>
        <v>Alexander Bartoli</v>
      </c>
      <c r="F1685" s="315" t="str">
        <f t="array" ref="F1685">IF(B1685=100,"Free",TEXT(XLOOKUP($D1685,OperationVoice!$A:$A,OperationVoice!U:U,XLOOKUP($D1685,OperationTickets!$A:$A,OperationTickets!U:U,"",0)),"hh:mm"))</f>
        <v>Free</v>
      </c>
      <c r="G1685" s="309" t="str">
        <f t="shared" si="3"/>
        <v>Free</v>
      </c>
      <c r="H1685" s="316" t="str">
        <f t="array" ref="H1685">XLOOKUP(B1685,Roster!L:L,Roster!N:N,XLOOKUP(D1685,TicketsBreak!A:A,TicketsBreak!E:E,"",0),0)</f>
        <v/>
      </c>
      <c r="I1685" s="316" t="str">
        <f t="array" ref="I1685">XLOOKUP(B1685,Roster!L:L,Roster!O:O,XLOOKUP(D1685,TicketsBreak!A:A,TicketsBreak!F:F,"",0),0)</f>
        <v/>
      </c>
      <c r="J1685" s="316" t="str">
        <f t="array" ref="J1685">XLOOKUP(B1685,Roster!L:L,Roster!P:P,XLOOKUP(D1685,TicketsBreak!A:A,TicketsBreak!G:G,"",0),0)</f>
        <v/>
      </c>
      <c r="K1685" s="310">
        <f t="shared" si="4"/>
        <v>46127</v>
      </c>
      <c r="L1685" s="317">
        <f t="array" ref="L1685">(XLOOKUP(D1685,Roster!F:F,Roster!D:D,"",0))</f>
        <v>38</v>
      </c>
      <c r="M1685" s="317" t="str">
        <f t="array" ref="M1685">XLOOKUP(D1685,Roster!F:F,Roster!E:E)</f>
        <v>Voice</v>
      </c>
      <c r="N1685" s="317" t="str">
        <f t="shared" ref="N1685:P1685" si="1711">LEFT(H1685,5)</f>
        <v/>
      </c>
      <c r="O1685" s="317" t="str">
        <f t="shared" si="1711"/>
        <v/>
      </c>
      <c r="P1685" s="317" t="str">
        <f t="shared" si="1711"/>
        <v/>
      </c>
      <c r="Q1685" s="318" t="str">
        <f t="shared" si="1657"/>
        <v/>
      </c>
      <c r="R1685" s="318" t="str">
        <f t="shared" si="1658"/>
        <v/>
      </c>
      <c r="S1685" s="318" t="str">
        <f t="shared" si="8"/>
        <v/>
      </c>
    </row>
    <row r="1686">
      <c r="A1686" s="14" t="str">
        <f t="shared" si="1"/>
        <v>C93546127</v>
      </c>
      <c r="B1686" s="185" t="str">
        <f t="array" ref="B1686">IF(F1686="VL","",IF(F1686="Free","Free",XLOOKUP(D1686,Roster!T:T,Roster!S:S,"",0)))</f>
        <v>Free</v>
      </c>
      <c r="C1686" s="313">
        <v>46127.0</v>
      </c>
      <c r="D1686" s="314" t="s">
        <v>153</v>
      </c>
      <c r="E1686" s="307" t="str">
        <f t="array" ref="E1686">(XLOOKUP(D1686,Roster!F:F,Roster!B:B,"",0))</f>
        <v>Alexis Arias</v>
      </c>
      <c r="F1686" s="315" t="str">
        <f t="array" ref="F1686">IF(B1686=100,"Free",TEXT(XLOOKUP($D1686,OperationVoice!$A:$A,OperationVoice!U:U,XLOOKUP($D1686,OperationTickets!$A:$A,OperationTickets!U:U,"",0)),"hh:mm"))</f>
        <v>Free</v>
      </c>
      <c r="G1686" s="309" t="str">
        <f t="shared" si="3"/>
        <v>Free</v>
      </c>
      <c r="H1686" s="316">
        <f t="array" ref="H1686">XLOOKUP(B1686,Roster!L:L,Roster!N:N,XLOOKUP(D1686,TicketsBreak!A:A,TicketsBreak!E:E,"",0),0)</f>
        <v>0.4270833333</v>
      </c>
      <c r="I1686" s="316">
        <f t="array" ref="I1686">XLOOKUP(B1686,Roster!L:L,Roster!O:O,XLOOKUP(D1686,TicketsBreak!A:A,TicketsBreak!F:F,"",0),0)</f>
        <v>0.53125</v>
      </c>
      <c r="J1686" s="316">
        <f t="array" ref="J1686">XLOOKUP(B1686,Roster!L:L,Roster!P:P,XLOOKUP(D1686,TicketsBreak!A:A,TicketsBreak!G:G,"",0),0)</f>
        <v>0.6458333333</v>
      </c>
      <c r="K1686" s="310">
        <f t="shared" si="4"/>
        <v>46127</v>
      </c>
      <c r="L1686" s="317">
        <f t="array" ref="L1686">(XLOOKUP(D1686,Roster!F:F,Roster!D:D,"",0))</f>
        <v>12</v>
      </c>
      <c r="M1686" s="317" t="str">
        <f t="array" ref="M1686">XLOOKUP(D1686,Roster!F:F,Roster!E:E)</f>
        <v>Tickets</v>
      </c>
      <c r="N1686" s="317" t="str">
        <f t="shared" ref="N1686:P1686" si="1712">LEFT(H1686,5)</f>
        <v>10:15</v>
      </c>
      <c r="O1686" s="317" t="str">
        <f t="shared" si="1712"/>
        <v>12:45</v>
      </c>
      <c r="P1686" s="317" t="str">
        <f t="shared" si="1712"/>
        <v>15:30</v>
      </c>
      <c r="Q1686" s="318">
        <f t="shared" si="1657"/>
        <v>46127.42708</v>
      </c>
      <c r="R1686" s="318">
        <f t="shared" si="1658"/>
        <v>46127.53125</v>
      </c>
      <c r="S1686" s="318">
        <f t="shared" si="8"/>
        <v>46127.64583</v>
      </c>
    </row>
    <row r="1687">
      <c r="A1687" s="14" t="str">
        <f t="shared" si="1"/>
        <v>C72746127</v>
      </c>
      <c r="B1687" s="185" t="str">
        <f t="array" ref="B1687">IF(F1687="VL","",IF(F1687="Free","Free",XLOOKUP(D1687,Roster!T:T,Roster!S:S,"",0)))</f>
        <v/>
      </c>
      <c r="C1687" s="313">
        <v>46127.0</v>
      </c>
      <c r="D1687" s="314" t="s">
        <v>154</v>
      </c>
      <c r="E1687" s="307" t="str">
        <f t="array" ref="E1687">(XLOOKUP(D1687,Roster!F:F,Roster!B:B,"",0))</f>
        <v>Ana Moreno</v>
      </c>
      <c r="F1687" s="315" t="str">
        <f t="array" ref="F1687">IF(B1687=100,"Free",TEXT(XLOOKUP($D1687,OperationVoice!$A:$A,OperationVoice!U:U,XLOOKUP($D1687,OperationTickets!$A:$A,OperationTickets!U:U,"",0)),"hh:mm"))</f>
        <v>08:00</v>
      </c>
      <c r="G1687" s="309">
        <f t="shared" si="3"/>
        <v>0.7083333333</v>
      </c>
      <c r="H1687" s="316">
        <f t="array" ref="H1687">XLOOKUP(B1687,Roster!L:L,Roster!N:N,XLOOKUP(D1687,TicketsBreak!A:A,TicketsBreak!E:E,"",0),0)</f>
        <v>0.4166666667</v>
      </c>
      <c r="I1687" s="316">
        <f t="array" ref="I1687">XLOOKUP(B1687,Roster!L:L,Roster!O:O,XLOOKUP(D1687,TicketsBreak!A:A,TicketsBreak!F:F,"",0),0)</f>
        <v>0.5208333333</v>
      </c>
      <c r="J1687" s="316">
        <f t="array" ref="J1687">XLOOKUP(B1687,Roster!L:L,Roster!P:P,XLOOKUP(D1687,TicketsBreak!A:A,TicketsBreak!G:G,"",0),0)</f>
        <v>0.65625</v>
      </c>
      <c r="K1687" s="310">
        <f t="shared" si="4"/>
        <v>46127</v>
      </c>
      <c r="L1687" s="317">
        <f t="array" ref="L1687">(XLOOKUP(D1687,Roster!F:F,Roster!D:D,"",0))</f>
        <v>7</v>
      </c>
      <c r="M1687" s="317" t="str">
        <f t="array" ref="M1687">XLOOKUP(D1687,Roster!F:F,Roster!E:E)</f>
        <v>Tickets</v>
      </c>
      <c r="N1687" s="317" t="str">
        <f t="shared" ref="N1687:P1687" si="1713">LEFT(H1687,5)</f>
        <v>10:00</v>
      </c>
      <c r="O1687" s="317" t="str">
        <f t="shared" si="1713"/>
        <v>12:30</v>
      </c>
      <c r="P1687" s="317" t="str">
        <f t="shared" si="1713"/>
        <v>15:45</v>
      </c>
      <c r="Q1687" s="318">
        <f t="shared" si="1657"/>
        <v>46127.41667</v>
      </c>
      <c r="R1687" s="318">
        <f t="shared" si="1658"/>
        <v>46127.52083</v>
      </c>
      <c r="S1687" s="318">
        <f t="shared" si="8"/>
        <v>46127.65625</v>
      </c>
    </row>
    <row r="1688">
      <c r="A1688" s="14" t="str">
        <f t="shared" si="1"/>
        <v>C157446127</v>
      </c>
      <c r="B1688" s="185" t="str">
        <f t="array" ref="B1688">IF(F1688="VL","",IF(F1688="Free","Free",XLOOKUP(D1688,Roster!T:T,Roster!S:S,"",0)))</f>
        <v>Free</v>
      </c>
      <c r="C1688" s="313">
        <v>46127.0</v>
      </c>
      <c r="D1688" s="314" t="s">
        <v>12</v>
      </c>
      <c r="E1688" s="307" t="str">
        <f t="array" ref="E1688">(XLOOKUP(D1688,Roster!F:F,Roster!B:B,"",0))</f>
        <v>Ana Quintero</v>
      </c>
      <c r="F1688" s="315" t="str">
        <f t="array" ref="F1688">IF(B1688=100,"Free",TEXT(XLOOKUP($D1688,OperationVoice!$A:$A,OperationVoice!U:U,XLOOKUP($D1688,OperationTickets!$A:$A,OperationTickets!U:U,"",0)),"hh:mm"))</f>
        <v>Free</v>
      </c>
      <c r="G1688" s="309" t="str">
        <f t="shared" si="3"/>
        <v>Free</v>
      </c>
      <c r="H1688" s="316" t="str">
        <f t="array" ref="H1688">XLOOKUP(B1688,Roster!L:L,Roster!N:N,XLOOKUP(D1688,TicketsBreak!A:A,TicketsBreak!E:E,"",0),0)</f>
        <v/>
      </c>
      <c r="I1688" s="316" t="str">
        <f t="array" ref="I1688">XLOOKUP(B1688,Roster!L:L,Roster!O:O,XLOOKUP(D1688,TicketsBreak!A:A,TicketsBreak!F:F,"",0),0)</f>
        <v/>
      </c>
      <c r="J1688" s="316" t="str">
        <f t="array" ref="J1688">XLOOKUP(B1688,Roster!L:L,Roster!P:P,XLOOKUP(D1688,TicketsBreak!A:A,TicketsBreak!G:G,"",0),0)</f>
        <v/>
      </c>
      <c r="K1688" s="310">
        <f t="shared" si="4"/>
        <v>46127</v>
      </c>
      <c r="L1688" s="317">
        <f t="array" ref="L1688">(XLOOKUP(D1688,Roster!F:F,Roster!D:D,"",0))</f>
        <v>38</v>
      </c>
      <c r="M1688" s="317" t="str">
        <f t="array" ref="M1688">XLOOKUP(D1688,Roster!F:F,Roster!E:E)</f>
        <v>Voice</v>
      </c>
      <c r="N1688" s="317" t="str">
        <f t="shared" ref="N1688:P1688" si="1714">LEFT(H1688,5)</f>
        <v/>
      </c>
      <c r="O1688" s="317" t="str">
        <f t="shared" si="1714"/>
        <v/>
      </c>
      <c r="P1688" s="317" t="str">
        <f t="shared" si="1714"/>
        <v/>
      </c>
      <c r="Q1688" s="318" t="str">
        <f t="shared" si="1657"/>
        <v/>
      </c>
      <c r="R1688" s="318" t="str">
        <f t="shared" si="1658"/>
        <v/>
      </c>
      <c r="S1688" s="318" t="str">
        <f t="shared" si="8"/>
        <v/>
      </c>
    </row>
    <row r="1689">
      <c r="A1689" s="14" t="str">
        <f t="shared" si="1"/>
        <v>C46946127</v>
      </c>
      <c r="B1689" s="185" t="str">
        <f t="array" ref="B1689">IF(F1689="VL","",IF(F1689="Free","Free",XLOOKUP(D1689,Roster!T:T,Roster!S:S,"",0)))</f>
        <v>Free</v>
      </c>
      <c r="C1689" s="313">
        <v>46127.0</v>
      </c>
      <c r="D1689" s="314" t="s">
        <v>171</v>
      </c>
      <c r="E1689" s="307" t="str">
        <f t="array" ref="E1689">(XLOOKUP(D1689,Roster!F:F,Roster!B:B,"",0))</f>
        <v>Ana Ruiz</v>
      </c>
      <c r="F1689" s="315" t="str">
        <f t="array" ref="F1689">IF(B1689=100,"Free",TEXT(XLOOKUP($D1689,OperationVoice!$A:$A,OperationVoice!U:U,XLOOKUP($D1689,OperationTickets!$A:$A,OperationTickets!U:U,"",0)),"hh:mm"))</f>
        <v>Free</v>
      </c>
      <c r="G1689" s="309" t="str">
        <f t="shared" si="3"/>
        <v>Free</v>
      </c>
      <c r="H1689" s="316">
        <f t="array" ref="H1689">XLOOKUP(B1689,Roster!L:L,Roster!N:N,XLOOKUP(D1689,TicketsBreak!A:A,TicketsBreak!E:E,"",0),0)</f>
        <v>0.3854166667</v>
      </c>
      <c r="I1689" s="316">
        <f t="array" ref="I1689">XLOOKUP(B1689,Roster!L:L,Roster!O:O,XLOOKUP(D1689,TicketsBreak!A:A,TicketsBreak!F:F,"",0),0)</f>
        <v>0.5</v>
      </c>
      <c r="J1689" s="316">
        <f t="array" ref="J1689">XLOOKUP(B1689,Roster!L:L,Roster!P:P,XLOOKUP(D1689,TicketsBreak!A:A,TicketsBreak!G:G,"",0),0)</f>
        <v>0.6041666667</v>
      </c>
      <c r="K1689" s="310">
        <f t="shared" si="4"/>
        <v>46127</v>
      </c>
      <c r="L1689" s="317">
        <f t="array" ref="L1689">(XLOOKUP(D1689,Roster!F:F,Roster!D:D,"",0))</f>
        <v>3</v>
      </c>
      <c r="M1689" s="317" t="str">
        <f t="array" ref="M1689">XLOOKUP(D1689,Roster!F:F,Roster!E:E)</f>
        <v>Tickets</v>
      </c>
      <c r="N1689" s="317" t="str">
        <f t="shared" ref="N1689:P1689" si="1715">LEFT(H1689,5)</f>
        <v>09:15</v>
      </c>
      <c r="O1689" s="317" t="str">
        <f t="shared" si="1715"/>
        <v>12:00</v>
      </c>
      <c r="P1689" s="317" t="str">
        <f t="shared" si="1715"/>
        <v>14:30</v>
      </c>
      <c r="Q1689" s="318">
        <f t="shared" si="1657"/>
        <v>46127.38542</v>
      </c>
      <c r="R1689" s="318">
        <f t="shared" si="1658"/>
        <v>46127.5</v>
      </c>
      <c r="S1689" s="318">
        <f t="shared" si="8"/>
        <v>46127.60417</v>
      </c>
    </row>
    <row r="1690">
      <c r="A1690" s="14" t="str">
        <f t="shared" si="1"/>
        <v>C155446127</v>
      </c>
      <c r="B1690" s="185" t="str">
        <f t="array" ref="B1690">IF(F1690="VL","",IF(F1690="Free","Free",XLOOKUP(D1690,Roster!T:T,Roster!S:S,"",0)))</f>
        <v>Free</v>
      </c>
      <c r="C1690" s="313">
        <v>46127.0</v>
      </c>
      <c r="D1690" s="314" t="s">
        <v>13</v>
      </c>
      <c r="E1690" s="307" t="str">
        <f t="array" ref="E1690">(XLOOKUP(D1690,Roster!F:F,Roster!B:B,"",0))</f>
        <v>Andres Lopez</v>
      </c>
      <c r="F1690" s="315" t="str">
        <f t="array" ref="F1690">IF(B1690=100,"Free",TEXT(XLOOKUP($D1690,OperationVoice!$A:$A,OperationVoice!U:U,XLOOKUP($D1690,OperationTickets!$A:$A,OperationTickets!U:U,"",0)),"hh:mm"))</f>
        <v>Free</v>
      </c>
      <c r="G1690" s="309" t="str">
        <f t="shared" si="3"/>
        <v>Free</v>
      </c>
      <c r="H1690" s="316" t="str">
        <f t="array" ref="H1690">XLOOKUP(B1690,Roster!L:L,Roster!N:N,XLOOKUP(D1690,TicketsBreak!A:A,TicketsBreak!E:E,"",0),0)</f>
        <v/>
      </c>
      <c r="I1690" s="316" t="str">
        <f t="array" ref="I1690">XLOOKUP(B1690,Roster!L:L,Roster!O:O,XLOOKUP(D1690,TicketsBreak!A:A,TicketsBreak!F:F,"",0),0)</f>
        <v/>
      </c>
      <c r="J1690" s="316" t="str">
        <f t="array" ref="J1690">XLOOKUP(B1690,Roster!L:L,Roster!P:P,XLOOKUP(D1690,TicketsBreak!A:A,TicketsBreak!G:G,"",0),0)</f>
        <v/>
      </c>
      <c r="K1690" s="310">
        <f t="shared" si="4"/>
        <v>46127</v>
      </c>
      <c r="L1690" s="317">
        <f t="array" ref="L1690">(XLOOKUP(D1690,Roster!F:F,Roster!D:D,"",0))</f>
        <v>37</v>
      </c>
      <c r="M1690" s="317" t="str">
        <f t="array" ref="M1690">XLOOKUP(D1690,Roster!F:F,Roster!E:E)</f>
        <v>Voice</v>
      </c>
      <c r="N1690" s="317" t="str">
        <f t="shared" ref="N1690:P1690" si="1716">LEFT(H1690,5)</f>
        <v/>
      </c>
      <c r="O1690" s="317" t="str">
        <f t="shared" si="1716"/>
        <v/>
      </c>
      <c r="P1690" s="317" t="str">
        <f t="shared" si="1716"/>
        <v/>
      </c>
      <c r="Q1690" s="318" t="str">
        <f t="shared" si="1657"/>
        <v/>
      </c>
      <c r="R1690" s="318" t="str">
        <f t="shared" si="1658"/>
        <v/>
      </c>
      <c r="S1690" s="318" t="str">
        <f t="shared" si="8"/>
        <v/>
      </c>
    </row>
    <row r="1691">
      <c r="A1691" s="14" t="str">
        <f t="shared" si="1"/>
        <v>C156746127</v>
      </c>
      <c r="B1691" s="185">
        <f t="array" ref="B1691">IF(F1691="VL","",IF(F1691="Free","Free",XLOOKUP(D1691,Roster!T:T,Roster!S:S,"",0)))</f>
        <v>125</v>
      </c>
      <c r="C1691" s="313">
        <v>46127.0</v>
      </c>
      <c r="D1691" s="314" t="s">
        <v>14</v>
      </c>
      <c r="E1691" s="307" t="str">
        <f t="array" ref="E1691">(XLOOKUP(D1691,Roster!F:F,Roster!B:B,"",0))</f>
        <v>Andres Salazar</v>
      </c>
      <c r="F1691" s="315" t="str">
        <f t="array" ref="F1691">IF(B1691=100,"Free",TEXT(XLOOKUP($D1691,OperationVoice!$A:$A,OperationVoice!U:U,XLOOKUP($D1691,OperationTickets!$A:$A,OperationTickets!U:U,"",0)),"hh:mm"))</f>
        <v>08:00</v>
      </c>
      <c r="G1691" s="309">
        <f t="shared" si="3"/>
        <v>0.7083333333</v>
      </c>
      <c r="H1691" s="316" t="str">
        <f t="array" ref="H1691">XLOOKUP(B1691,Roster!L:L,Roster!N:N,XLOOKUP(D1691,TicketsBreak!A:A,TicketsBreak!E:E,"",0),0)</f>
        <v>10:30 - 10:45</v>
      </c>
      <c r="I1691" s="316" t="str">
        <f t="array" ref="I1691">XLOOKUP(B1691,Roster!L:L,Roster!O:O,XLOOKUP(D1691,TicketsBreak!A:A,TicketsBreak!F:F,"",0),0)</f>
        <v>13:30 - 14:00</v>
      </c>
      <c r="J1691" s="316" t="str">
        <f t="array" ref="J1691">XLOOKUP(B1691,Roster!L:L,Roster!P:P,XLOOKUP(D1691,TicketsBreak!A:A,TicketsBreak!G:G,"",0),0)</f>
        <v>15:45 - 16:00</v>
      </c>
      <c r="K1691" s="310">
        <f t="shared" si="4"/>
        <v>46127</v>
      </c>
      <c r="L1691" s="317">
        <f t="array" ref="L1691">(XLOOKUP(D1691,Roster!F:F,Roster!D:D,"",0))</f>
        <v>38</v>
      </c>
      <c r="M1691" s="317" t="str">
        <f t="array" ref="M1691">XLOOKUP(D1691,Roster!F:F,Roster!E:E)</f>
        <v>Voice</v>
      </c>
      <c r="N1691" s="317" t="str">
        <f t="shared" ref="N1691:P1691" si="1717">LEFT(H1691,5)</f>
        <v>10:30</v>
      </c>
      <c r="O1691" s="317" t="str">
        <f t="shared" si="1717"/>
        <v>13:30</v>
      </c>
      <c r="P1691" s="317" t="str">
        <f t="shared" si="1717"/>
        <v>15:45</v>
      </c>
      <c r="Q1691" s="318">
        <f t="shared" si="1657"/>
        <v>46127.4375</v>
      </c>
      <c r="R1691" s="318">
        <f t="shared" si="1658"/>
        <v>46127.5625</v>
      </c>
      <c r="S1691" s="318">
        <f t="shared" si="8"/>
        <v>46127.65625</v>
      </c>
    </row>
    <row r="1692">
      <c r="A1692" s="14" t="str">
        <f t="shared" si="1"/>
        <v>C134846127</v>
      </c>
      <c r="B1692" s="185">
        <f t="array" ref="B1692">IF(F1692="VL","",IF(F1692="Free","Free",XLOOKUP(D1692,Roster!T:T,Roster!S:S,"",0)))</f>
        <v>124</v>
      </c>
      <c r="C1692" s="313">
        <v>46127.0</v>
      </c>
      <c r="D1692" s="314" t="s">
        <v>15</v>
      </c>
      <c r="E1692" s="307" t="str">
        <f t="array" ref="E1692">(XLOOKUP(D1692,Roster!F:F,Roster!B:B,"",0))</f>
        <v>Angelo Zapata</v>
      </c>
      <c r="F1692" s="315" t="str">
        <f t="array" ref="F1692">IF(B1692=100,"Free",TEXT(XLOOKUP($D1692,OperationVoice!$A:$A,OperationVoice!U:U,XLOOKUP($D1692,OperationTickets!$A:$A,OperationTickets!U:U,"",0)),"hh:mm"))</f>
        <v>08:00</v>
      </c>
      <c r="G1692" s="309">
        <f t="shared" si="3"/>
        <v>0.7083333333</v>
      </c>
      <c r="H1692" s="316" t="str">
        <f t="array" ref="H1692">XLOOKUP(B1692,Roster!L:L,Roster!N:N,XLOOKUP(D1692,TicketsBreak!A:A,TicketsBreak!E:E,"",0),0)</f>
        <v>10:00 - 10:15</v>
      </c>
      <c r="I1692" s="316" t="str">
        <f t="array" ref="I1692">XLOOKUP(B1692,Roster!L:L,Roster!O:O,XLOOKUP(D1692,TicketsBreak!A:A,TicketsBreak!F:F,"",0),0)</f>
        <v>13:00 - 13:30</v>
      </c>
      <c r="J1692" s="316" t="str">
        <f t="array" ref="J1692">XLOOKUP(B1692,Roster!L:L,Roster!P:P,XLOOKUP(D1692,TicketsBreak!A:A,TicketsBreak!G:G,"",0),0)</f>
        <v>15:30 - 15:45</v>
      </c>
      <c r="K1692" s="310">
        <f t="shared" si="4"/>
        <v>46127</v>
      </c>
      <c r="L1692" s="317">
        <f t="array" ref="L1692">(XLOOKUP(D1692,Roster!F:F,Roster!D:D,"",0))</f>
        <v>30</v>
      </c>
      <c r="M1692" s="317" t="str">
        <f t="array" ref="M1692">XLOOKUP(D1692,Roster!F:F,Roster!E:E)</f>
        <v>Voice</v>
      </c>
      <c r="N1692" s="317" t="str">
        <f t="shared" ref="N1692:P1692" si="1718">LEFT(H1692,5)</f>
        <v>10:00</v>
      </c>
      <c r="O1692" s="317" t="str">
        <f t="shared" si="1718"/>
        <v>13:00</v>
      </c>
      <c r="P1692" s="317" t="str">
        <f t="shared" si="1718"/>
        <v>15:30</v>
      </c>
      <c r="Q1692" s="318">
        <f t="shared" si="1657"/>
        <v>46127.41667</v>
      </c>
      <c r="R1692" s="318">
        <f t="shared" si="1658"/>
        <v>46127.54167</v>
      </c>
      <c r="S1692" s="318">
        <f t="shared" si="8"/>
        <v>46127.64583</v>
      </c>
    </row>
    <row r="1693">
      <c r="A1693" s="14" t="str">
        <f t="shared" si="1"/>
        <v>C116746127</v>
      </c>
      <c r="B1693" s="185" t="str">
        <f t="array" ref="B1693">IF(F1693="VL","",IF(F1693="Free","Free",XLOOKUP(D1693,Roster!T:T,Roster!S:S,"",0)))</f>
        <v/>
      </c>
      <c r="C1693" s="313">
        <v>46127.0</v>
      </c>
      <c r="D1693" s="314" t="s">
        <v>172</v>
      </c>
      <c r="E1693" s="307" t="str">
        <f t="array" ref="E1693">(XLOOKUP(D1693,Roster!F:F,Roster!B:B,"",0))</f>
        <v>Angie Rua</v>
      </c>
      <c r="F1693" s="315" t="str">
        <f t="array" ref="F1693">IF(B1693=100,"Free",TEXT(XLOOKUP($D1693,OperationVoice!$A:$A,OperationVoice!U:U,XLOOKUP($D1693,OperationTickets!$A:$A,OperationTickets!U:U,"",0)),"hh:mm"))</f>
        <v>07:00</v>
      </c>
      <c r="G1693" s="309">
        <f t="shared" si="3"/>
        <v>0.6666666667</v>
      </c>
      <c r="H1693" s="316" t="str">
        <f t="array" ref="H1693">XLOOKUP(B1693,Roster!L:L,Roster!N:N,XLOOKUP(D1693,TicketsBreak!A:A,TicketsBreak!E:E,"",0),0)</f>
        <v/>
      </c>
      <c r="I1693" s="316" t="str">
        <f t="array" ref="I1693">XLOOKUP(B1693,Roster!L:L,Roster!O:O,XLOOKUP(D1693,TicketsBreak!A:A,TicketsBreak!F:F,"",0),0)</f>
        <v/>
      </c>
      <c r="J1693" s="316" t="str">
        <f t="array" ref="J1693">XLOOKUP(B1693,Roster!L:L,Roster!P:P,XLOOKUP(D1693,TicketsBreak!A:A,TicketsBreak!G:G,"",0),0)</f>
        <v/>
      </c>
      <c r="K1693" s="310">
        <f t="shared" si="4"/>
        <v>46127</v>
      </c>
      <c r="L1693" s="317">
        <f t="array" ref="L1693">(XLOOKUP(D1693,Roster!F:F,Roster!D:D,"",0))</f>
        <v>24</v>
      </c>
      <c r="M1693" s="317" t="str">
        <f t="array" ref="M1693">XLOOKUP(D1693,Roster!F:F,Roster!E:E)</f>
        <v>Tickets</v>
      </c>
      <c r="N1693" s="317" t="str">
        <f t="shared" ref="N1693:P1693" si="1719">LEFT(H1693,5)</f>
        <v/>
      </c>
      <c r="O1693" s="317" t="str">
        <f t="shared" si="1719"/>
        <v/>
      </c>
      <c r="P1693" s="317" t="str">
        <f t="shared" si="1719"/>
        <v/>
      </c>
      <c r="Q1693" s="318" t="str">
        <f t="shared" si="1657"/>
        <v/>
      </c>
      <c r="R1693" s="318" t="str">
        <f t="shared" si="1658"/>
        <v/>
      </c>
      <c r="S1693" s="318" t="str">
        <f t="shared" si="8"/>
        <v/>
      </c>
    </row>
    <row r="1694">
      <c r="A1694" s="14" t="str">
        <f t="shared" si="1"/>
        <v>C157946127</v>
      </c>
      <c r="B1694" s="185">
        <f t="array" ref="B1694">IF(F1694="VL","",IF(F1694="Free","Free",XLOOKUP(D1694,Roster!T:T,Roster!S:S,"",0)))</f>
        <v>126</v>
      </c>
      <c r="C1694" s="313">
        <v>46127.0</v>
      </c>
      <c r="D1694" s="314" t="s">
        <v>16</v>
      </c>
      <c r="E1694" s="307" t="str">
        <f t="array" ref="E1694">(XLOOKUP(D1694,Roster!F:F,Roster!B:B,"",0))</f>
        <v>Anibal Munoz</v>
      </c>
      <c r="F1694" s="315" t="str">
        <f t="array" ref="F1694">IF(B1694=100,"Free",TEXT(XLOOKUP($D1694,OperationVoice!$A:$A,OperationVoice!U:U,XLOOKUP($D1694,OperationTickets!$A:$A,OperationTickets!U:U,"",0)),"hh:mm"))</f>
        <v>08:00</v>
      </c>
      <c r="G1694" s="309">
        <f t="shared" si="3"/>
        <v>0.7083333333</v>
      </c>
      <c r="H1694" s="316" t="str">
        <f t="array" ref="H1694">XLOOKUP(B1694,Roster!L:L,Roster!N:N,XLOOKUP(D1694,TicketsBreak!A:A,TicketsBreak!E:E,"",0),0)</f>
        <v>10:45 - 11:00</v>
      </c>
      <c r="I1694" s="316" t="str">
        <f t="array" ref="I1694">XLOOKUP(B1694,Roster!L:L,Roster!O:O,XLOOKUP(D1694,TicketsBreak!A:A,TicketsBreak!F:F,"",0),0)</f>
        <v>14:00 - 14:30</v>
      </c>
      <c r="J1694" s="316" t="str">
        <f t="array" ref="J1694">XLOOKUP(B1694,Roster!L:L,Roster!P:P,XLOOKUP(D1694,TicketsBreak!A:A,TicketsBreak!G:G,"",0),0)</f>
        <v>15:45 - 16:00</v>
      </c>
      <c r="K1694" s="310">
        <f t="shared" si="4"/>
        <v>46127</v>
      </c>
      <c r="L1694" s="317">
        <f t="array" ref="L1694">(XLOOKUP(D1694,Roster!F:F,Roster!D:D,"",0))</f>
        <v>38</v>
      </c>
      <c r="M1694" s="317" t="str">
        <f t="array" ref="M1694">XLOOKUP(D1694,Roster!F:F,Roster!E:E)</f>
        <v>Voice</v>
      </c>
      <c r="N1694" s="317" t="str">
        <f t="shared" ref="N1694:P1694" si="1720">LEFT(H1694,5)</f>
        <v>10:45</v>
      </c>
      <c r="O1694" s="317" t="str">
        <f t="shared" si="1720"/>
        <v>14:00</v>
      </c>
      <c r="P1694" s="317" t="str">
        <f t="shared" si="1720"/>
        <v>15:45</v>
      </c>
      <c r="Q1694" s="318">
        <f t="shared" si="1657"/>
        <v>46127.44792</v>
      </c>
      <c r="R1694" s="318">
        <f t="shared" si="1658"/>
        <v>46127.58333</v>
      </c>
      <c r="S1694" s="318">
        <f t="shared" si="8"/>
        <v>46127.65625</v>
      </c>
    </row>
    <row r="1695">
      <c r="A1695" s="14" t="str">
        <f t="shared" si="1"/>
        <v>C08046127</v>
      </c>
      <c r="B1695" s="185" t="str">
        <f t="array" ref="B1695">IF(F1695="VL","",IF(F1695="Free","Free",XLOOKUP(D1695,Roster!T:T,Roster!S:S,"",0)))</f>
        <v/>
      </c>
      <c r="C1695" s="313">
        <v>46127.0</v>
      </c>
      <c r="D1695" s="314" t="s">
        <v>138</v>
      </c>
      <c r="E1695" s="307" t="str">
        <f t="array" ref="E1695">(XLOOKUP(D1695,Roster!F:F,Roster!B:B,"",0))</f>
        <v>Arturo Padilla</v>
      </c>
      <c r="F1695" s="315" t="str">
        <f t="array" ref="F1695">IF(B1695=100,"Free",TEXT(XLOOKUP($D1695,OperationVoice!$A:$A,OperationVoice!U:U,XLOOKUP($D1695,OperationTickets!$A:$A,OperationTickets!U:U,"",0)),"hh:mm"))</f>
        <v>08:00</v>
      </c>
      <c r="G1695" s="309">
        <f t="shared" si="3"/>
        <v>0.7083333333</v>
      </c>
      <c r="H1695" s="316">
        <f t="array" ref="H1695">XLOOKUP(B1695,Roster!L:L,Roster!N:N,XLOOKUP(D1695,TicketsBreak!A:A,TicketsBreak!E:E,"",0),0)</f>
        <v>0.375</v>
      </c>
      <c r="I1695" s="316">
        <f t="array" ref="I1695">XLOOKUP(B1695,Roster!L:L,Roster!O:O,XLOOKUP(D1695,TicketsBreak!A:A,TicketsBreak!F:F,"",0),0)</f>
        <v>0.5</v>
      </c>
      <c r="J1695" s="316">
        <f t="array" ref="J1695">XLOOKUP(B1695,Roster!L:L,Roster!P:P,XLOOKUP(D1695,TicketsBreak!A:A,TicketsBreak!G:G,"",0),0)</f>
        <v>0.6458333333</v>
      </c>
      <c r="K1695" s="310">
        <f t="shared" si="4"/>
        <v>46127</v>
      </c>
      <c r="L1695" s="317">
        <f t="array" ref="L1695">(XLOOKUP(D1695,Roster!F:F,Roster!D:D,"",0))</f>
        <v>1</v>
      </c>
      <c r="M1695" s="317" t="str">
        <f t="array" ref="M1695">XLOOKUP(D1695,Roster!F:F,Roster!E:E)</f>
        <v>Tickets</v>
      </c>
      <c r="N1695" s="317" t="str">
        <f t="shared" ref="N1695:P1695" si="1721">LEFT(H1695,5)</f>
        <v>09:00</v>
      </c>
      <c r="O1695" s="317" t="str">
        <f t="shared" si="1721"/>
        <v>12:00</v>
      </c>
      <c r="P1695" s="317" t="str">
        <f t="shared" si="1721"/>
        <v>15:30</v>
      </c>
      <c r="Q1695" s="318">
        <f t="shared" si="1657"/>
        <v>46127.375</v>
      </c>
      <c r="R1695" s="318">
        <f t="shared" si="1658"/>
        <v>46127.5</v>
      </c>
      <c r="S1695" s="318">
        <f t="shared" si="8"/>
        <v>46127.64583</v>
      </c>
    </row>
    <row r="1696">
      <c r="A1696" s="14" t="str">
        <f t="shared" si="1"/>
        <v>C150446127</v>
      </c>
      <c r="B1696" s="185">
        <f t="array" ref="B1696">IF(F1696="VL","",IF(F1696="Free","Free",XLOOKUP(D1696,Roster!T:T,Roster!S:S,"",0)))</f>
        <v>123</v>
      </c>
      <c r="C1696" s="313">
        <v>46127.0</v>
      </c>
      <c r="D1696" s="314" t="s">
        <v>155</v>
      </c>
      <c r="E1696" s="307" t="str">
        <f t="array" ref="E1696">(XLOOKUP(D1696,Roster!F:F,Roster!B:B,"",0))</f>
        <v>Beatriz Montanez</v>
      </c>
      <c r="F1696" s="315" t="str">
        <f t="array" ref="F1696">IF(B1696=100,"Free",TEXT(XLOOKUP($D1696,OperationVoice!$A:$A,OperationVoice!U:U,XLOOKUP($D1696,OperationTickets!$A:$A,OperationTickets!U:U,"",0)),"hh:mm"))</f>
        <v>08:00</v>
      </c>
      <c r="G1696" s="309">
        <f t="shared" si="3"/>
        <v>0.7083333333</v>
      </c>
      <c r="H1696" s="316" t="str">
        <f t="array" ref="H1696">XLOOKUP(B1696,Roster!L:L,Roster!N:N,XLOOKUP(D1696,TicketsBreak!A:A,TicketsBreak!E:E,"",0),0)</f>
        <v>09:45 - 10:00 </v>
      </c>
      <c r="I1696" s="316" t="str">
        <f t="array" ref="I1696">XLOOKUP(B1696,Roster!L:L,Roster!O:O,XLOOKUP(D1696,TicketsBreak!A:A,TicketsBreak!F:F,"",0),0)</f>
        <v>12:30 - 13:00</v>
      </c>
      <c r="J1696" s="316" t="str">
        <f t="array" ref="J1696">XLOOKUP(B1696,Roster!L:L,Roster!P:P,XLOOKUP(D1696,TicketsBreak!A:A,TicketsBreak!G:G,"",0),0)</f>
        <v>15:00 - 15:15</v>
      </c>
      <c r="K1696" s="310">
        <f t="shared" si="4"/>
        <v>46127</v>
      </c>
      <c r="L1696" s="317">
        <f t="array" ref="L1696">(XLOOKUP(D1696,Roster!F:F,Roster!D:D,"",0))</f>
        <v>35</v>
      </c>
      <c r="M1696" s="317" t="str">
        <f t="array" ref="M1696">XLOOKUP(D1696,Roster!F:F,Roster!E:E)</f>
        <v>Tickets</v>
      </c>
      <c r="N1696" s="317" t="str">
        <f t="shared" ref="N1696:P1696" si="1722">LEFT(H1696,5)</f>
        <v>09:45</v>
      </c>
      <c r="O1696" s="317" t="str">
        <f t="shared" si="1722"/>
        <v>12:30</v>
      </c>
      <c r="P1696" s="317" t="str">
        <f t="shared" si="1722"/>
        <v>15:00</v>
      </c>
      <c r="Q1696" s="318">
        <f t="shared" si="1657"/>
        <v>46127.40625</v>
      </c>
      <c r="R1696" s="318">
        <f t="shared" si="1658"/>
        <v>46127.52083</v>
      </c>
      <c r="S1696" s="318">
        <f t="shared" si="8"/>
        <v>46127.625</v>
      </c>
    </row>
    <row r="1697">
      <c r="A1697" s="14" t="str">
        <f t="shared" si="1"/>
        <v>C107746127</v>
      </c>
      <c r="B1697" s="185">
        <f t="array" ref="B1697">IF(F1697="VL","",IF(F1697="Free","Free",XLOOKUP(D1697,Roster!T:T,Roster!S:S,"",0)))</f>
        <v>125</v>
      </c>
      <c r="C1697" s="313">
        <v>46127.0</v>
      </c>
      <c r="D1697" s="314" t="s">
        <v>17</v>
      </c>
      <c r="E1697" s="307" t="str">
        <f t="array" ref="E1697">(XLOOKUP(D1697,Roster!F:F,Roster!B:B,"",0))</f>
        <v>Brahian Prado</v>
      </c>
      <c r="F1697" s="315" t="str">
        <f t="array" ref="F1697">IF(B1697=100,"Free",TEXT(XLOOKUP($D1697,OperationVoice!$A:$A,OperationVoice!U:U,XLOOKUP($D1697,OperationTickets!$A:$A,OperationTickets!U:U,"",0)),"hh:mm"))</f>
        <v>08:00</v>
      </c>
      <c r="G1697" s="309">
        <f t="shared" si="3"/>
        <v>0.7083333333</v>
      </c>
      <c r="H1697" s="316" t="str">
        <f t="array" ref="H1697">XLOOKUP(B1697,Roster!L:L,Roster!N:N,XLOOKUP(D1697,TicketsBreak!A:A,TicketsBreak!E:E,"",0),0)</f>
        <v>10:30 - 10:45</v>
      </c>
      <c r="I1697" s="316" t="str">
        <f t="array" ref="I1697">XLOOKUP(B1697,Roster!L:L,Roster!O:O,XLOOKUP(D1697,TicketsBreak!A:A,TicketsBreak!F:F,"",0),0)</f>
        <v>13:30 - 14:00</v>
      </c>
      <c r="J1697" s="316" t="str">
        <f t="array" ref="J1697">XLOOKUP(B1697,Roster!L:L,Roster!P:P,XLOOKUP(D1697,TicketsBreak!A:A,TicketsBreak!G:G,"",0),0)</f>
        <v>15:45 - 16:00</v>
      </c>
      <c r="K1697" s="310">
        <f t="shared" si="4"/>
        <v>46127</v>
      </c>
      <c r="L1697" s="317">
        <f t="array" ref="L1697">(XLOOKUP(D1697,Roster!F:F,Roster!D:D,"",0))</f>
        <v>18</v>
      </c>
      <c r="M1697" s="317" t="str">
        <f t="array" ref="M1697">XLOOKUP(D1697,Roster!F:F,Roster!E:E)</f>
        <v>Voice</v>
      </c>
      <c r="N1697" s="317" t="str">
        <f t="shared" ref="N1697:P1697" si="1723">LEFT(H1697,5)</f>
        <v>10:30</v>
      </c>
      <c r="O1697" s="317" t="str">
        <f t="shared" si="1723"/>
        <v>13:30</v>
      </c>
      <c r="P1697" s="317" t="str">
        <f t="shared" si="1723"/>
        <v>15:45</v>
      </c>
      <c r="Q1697" s="318">
        <f t="shared" si="1657"/>
        <v>46127.4375</v>
      </c>
      <c r="R1697" s="318">
        <f t="shared" si="1658"/>
        <v>46127.5625</v>
      </c>
      <c r="S1697" s="318">
        <f t="shared" si="8"/>
        <v>46127.65625</v>
      </c>
    </row>
    <row r="1698">
      <c r="A1698" s="14" t="str">
        <f t="shared" si="1"/>
        <v>C116546127</v>
      </c>
      <c r="B1698" s="185" t="str">
        <f t="array" ref="B1698">IF(F1698="VL","",IF(F1698="Free","Free",XLOOKUP(D1698,Roster!T:T,Roster!S:S,"",0)))</f>
        <v/>
      </c>
      <c r="C1698" s="313">
        <v>46127.0</v>
      </c>
      <c r="D1698" s="314" t="s">
        <v>139</v>
      </c>
      <c r="E1698" s="307" t="str">
        <f t="array" ref="E1698">(XLOOKUP(D1698,Roster!F:F,Roster!B:B,"",0))</f>
        <v>Braian Restrepo</v>
      </c>
      <c r="F1698" s="315" t="str">
        <f t="array" ref="F1698">IF(B1698=100,"Free",TEXT(XLOOKUP($D1698,OperationVoice!$A:$A,OperationVoice!U:U,XLOOKUP($D1698,OperationTickets!$A:$A,OperationTickets!U:U,"",0)),"hh:mm"))</f>
        <v>08:00</v>
      </c>
      <c r="G1698" s="309">
        <f t="shared" si="3"/>
        <v>0.7083333333</v>
      </c>
      <c r="H1698" s="316" t="str">
        <f t="array" ref="H1698">XLOOKUP(B1698,Roster!L:L,Roster!N:N,XLOOKUP(D1698,TicketsBreak!A:A,TicketsBreak!E:E,"",0),0)</f>
        <v/>
      </c>
      <c r="I1698" s="316" t="str">
        <f t="array" ref="I1698">XLOOKUP(B1698,Roster!L:L,Roster!O:O,XLOOKUP(D1698,TicketsBreak!A:A,TicketsBreak!F:F,"",0),0)</f>
        <v/>
      </c>
      <c r="J1698" s="316" t="str">
        <f t="array" ref="J1698">XLOOKUP(B1698,Roster!L:L,Roster!P:P,XLOOKUP(D1698,TicketsBreak!A:A,TicketsBreak!G:G,"",0),0)</f>
        <v/>
      </c>
      <c r="K1698" s="310">
        <f t="shared" si="4"/>
        <v>46127</v>
      </c>
      <c r="L1698" s="317">
        <f t="array" ref="L1698">(XLOOKUP(D1698,Roster!F:F,Roster!D:D,"",0))</f>
        <v>24</v>
      </c>
      <c r="M1698" s="317" t="str">
        <f t="array" ref="M1698">XLOOKUP(D1698,Roster!F:F,Roster!E:E)</f>
        <v>Tickets</v>
      </c>
      <c r="N1698" s="317" t="str">
        <f t="shared" ref="N1698:P1698" si="1724">LEFT(H1698,5)</f>
        <v/>
      </c>
      <c r="O1698" s="317" t="str">
        <f t="shared" si="1724"/>
        <v/>
      </c>
      <c r="P1698" s="317" t="str">
        <f t="shared" si="1724"/>
        <v/>
      </c>
      <c r="Q1698" s="318" t="str">
        <f t="shared" si="1657"/>
        <v/>
      </c>
      <c r="R1698" s="318" t="str">
        <f t="shared" si="1658"/>
        <v/>
      </c>
      <c r="S1698" s="318" t="str">
        <f t="shared" si="8"/>
        <v/>
      </c>
    </row>
    <row r="1699">
      <c r="A1699" s="14" t="str">
        <f t="shared" si="1"/>
        <v>C127446127</v>
      </c>
      <c r="B1699" s="185">
        <f t="array" ref="B1699">IF(F1699="VL","",IF(F1699="Free","Free",XLOOKUP(D1699,Roster!T:T,Roster!S:S,"",0)))</f>
        <v>126</v>
      </c>
      <c r="C1699" s="313">
        <v>46127.0</v>
      </c>
      <c r="D1699" s="314" t="s">
        <v>250</v>
      </c>
      <c r="E1699" s="307" t="str">
        <f t="array" ref="E1699">(XLOOKUP(D1699,Roster!F:F,Roster!B:B,"",0))</f>
        <v>Brayan Franco</v>
      </c>
      <c r="F1699" s="315" t="str">
        <f t="array" ref="F1699">IF(B1699=100,"Free",TEXT(XLOOKUP($D1699,OperationVoice!$A:$A,OperationVoice!U:U,XLOOKUP($D1699,OperationTickets!$A:$A,OperationTickets!U:U,"",0)),"hh:mm"))</f>
        <v/>
      </c>
      <c r="G1699" s="309" t="str">
        <f t="shared" si="3"/>
        <v/>
      </c>
      <c r="H1699" s="316" t="str">
        <f t="array" ref="H1699">XLOOKUP(B1699,Roster!L:L,Roster!N:N,XLOOKUP(D1699,TicketsBreak!A:A,TicketsBreak!E:E,"",0),0)</f>
        <v>10:45 - 11:00</v>
      </c>
      <c r="I1699" s="316" t="str">
        <f t="array" ref="I1699">XLOOKUP(B1699,Roster!L:L,Roster!O:O,XLOOKUP(D1699,TicketsBreak!A:A,TicketsBreak!F:F,"",0),0)</f>
        <v>14:00 - 14:30</v>
      </c>
      <c r="J1699" s="316" t="str">
        <f t="array" ref="J1699">XLOOKUP(B1699,Roster!L:L,Roster!P:P,XLOOKUP(D1699,TicketsBreak!A:A,TicketsBreak!G:G,"",0),0)</f>
        <v>15:45 - 16:00</v>
      </c>
      <c r="K1699" s="310">
        <f t="shared" si="4"/>
        <v>46127</v>
      </c>
      <c r="L1699" s="317">
        <f t="array" ref="L1699">(XLOOKUP(D1699,Roster!F:F,Roster!D:D,"",0))</f>
        <v>27</v>
      </c>
      <c r="M1699" s="317" t="str">
        <f t="array" ref="M1699">XLOOKUP(D1699,Roster!F:F,Roster!E:E)</f>
        <v>Voice</v>
      </c>
      <c r="N1699" s="317" t="str">
        <f t="shared" ref="N1699:P1699" si="1725">LEFT(H1699,5)</f>
        <v>10:45</v>
      </c>
      <c r="O1699" s="317" t="str">
        <f t="shared" si="1725"/>
        <v>14:00</v>
      </c>
      <c r="P1699" s="317" t="str">
        <f t="shared" si="1725"/>
        <v>15:45</v>
      </c>
      <c r="Q1699" s="318">
        <f t="shared" si="1657"/>
        <v>46127.44792</v>
      </c>
      <c r="R1699" s="318">
        <f t="shared" si="1658"/>
        <v>46127.58333</v>
      </c>
      <c r="S1699" s="318">
        <f t="shared" si="8"/>
        <v>46127.65625</v>
      </c>
    </row>
    <row r="1700">
      <c r="A1700" s="14" t="str">
        <f t="shared" si="1"/>
        <v>C119146127</v>
      </c>
      <c r="B1700" s="185">
        <f t="array" ref="B1700">IF(F1700="VL","",IF(F1700="Free","Free",XLOOKUP(D1700,Roster!T:T,Roster!S:S,"",0)))</f>
        <v>111</v>
      </c>
      <c r="C1700" s="313">
        <v>46127.0</v>
      </c>
      <c r="D1700" s="314" t="s">
        <v>18</v>
      </c>
      <c r="E1700" s="307" t="str">
        <f t="array" ref="E1700">(XLOOKUP(D1700,Roster!F:F,Roster!B:B,"",0))</f>
        <v>Brayan Montoya</v>
      </c>
      <c r="F1700" s="315" t="str">
        <f t="array" ref="F1700">IF(B1700=100,"Free",TEXT(XLOOKUP($D1700,OperationVoice!$A:$A,OperationVoice!U:U,XLOOKUP($D1700,OperationTickets!$A:$A,OperationTickets!U:U,"",0)),"hh:mm"))</f>
        <v>07:00</v>
      </c>
      <c r="G1700" s="309">
        <f t="shared" si="3"/>
        <v>0.6666666667</v>
      </c>
      <c r="H1700" s="316" t="str">
        <f t="array" ref="H1700">XLOOKUP(B1700,Roster!L:L,Roster!N:N,XLOOKUP(D1700,TicketsBreak!A:A,TicketsBreak!E:E,"",0),0)</f>
        <v>09:00 - 09:15</v>
      </c>
      <c r="I1700" s="316" t="str">
        <f t="array" ref="I1700">XLOOKUP(B1700,Roster!L:L,Roster!O:O,XLOOKUP(D1700,TicketsBreak!A:A,TicketsBreak!F:F,"",0),0)</f>
        <v>11:45 - 12:15</v>
      </c>
      <c r="J1700" s="316" t="str">
        <f t="array" ref="J1700">XLOOKUP(B1700,Roster!L:L,Roster!P:P,XLOOKUP(D1700,TicketsBreak!A:A,TicketsBreak!G:G,"",0),0)</f>
        <v>14:30 - 14:45</v>
      </c>
      <c r="K1700" s="310">
        <f t="shared" si="4"/>
        <v>46127</v>
      </c>
      <c r="L1700" s="317">
        <f t="array" ref="L1700">(XLOOKUP(D1700,Roster!F:F,Roster!D:D,"",0))</f>
        <v>25</v>
      </c>
      <c r="M1700" s="317" t="str">
        <f t="array" ref="M1700">XLOOKUP(D1700,Roster!F:F,Roster!E:E)</f>
        <v>Voice</v>
      </c>
      <c r="N1700" s="317" t="str">
        <f t="shared" ref="N1700:P1700" si="1726">LEFT(H1700,5)</f>
        <v>09:00</v>
      </c>
      <c r="O1700" s="317" t="str">
        <f t="shared" si="1726"/>
        <v>11:45</v>
      </c>
      <c r="P1700" s="317" t="str">
        <f t="shared" si="1726"/>
        <v>14:30</v>
      </c>
      <c r="Q1700" s="318">
        <f t="shared" si="1657"/>
        <v>46127.375</v>
      </c>
      <c r="R1700" s="318">
        <f t="shared" si="1658"/>
        <v>46127.48958</v>
      </c>
      <c r="S1700" s="318">
        <f t="shared" si="8"/>
        <v>46127.60417</v>
      </c>
    </row>
    <row r="1701">
      <c r="A1701" s="14" t="str">
        <f t="shared" si="1"/>
        <v>C152646127</v>
      </c>
      <c r="B1701" s="185" t="str">
        <f t="array" ref="B1701">IF(F1701="VL","",IF(F1701="Free","Free",XLOOKUP(D1701,Roster!T:T,Roster!S:S,"",0)))</f>
        <v>Free</v>
      </c>
      <c r="C1701" s="313">
        <v>46127.0</v>
      </c>
      <c r="D1701" s="314" t="s">
        <v>19</v>
      </c>
      <c r="E1701" s="307" t="str">
        <f t="array" ref="E1701">(XLOOKUP(D1701,Roster!F:F,Roster!B:B,"",0))</f>
        <v>Breitner Benitez</v>
      </c>
      <c r="F1701" s="315" t="str">
        <f t="array" ref="F1701">IF(B1701=100,"Free",TEXT(XLOOKUP($D1701,OperationVoice!$A:$A,OperationVoice!U:U,XLOOKUP($D1701,OperationTickets!$A:$A,OperationTickets!U:U,"",0)),"hh:mm"))</f>
        <v>Free</v>
      </c>
      <c r="G1701" s="309" t="str">
        <f t="shared" si="3"/>
        <v>Free</v>
      </c>
      <c r="H1701" s="316" t="str">
        <f t="array" ref="H1701">XLOOKUP(B1701,Roster!L:L,Roster!N:N,XLOOKUP(D1701,TicketsBreak!A:A,TicketsBreak!E:E,"",0),0)</f>
        <v/>
      </c>
      <c r="I1701" s="316" t="str">
        <f t="array" ref="I1701">XLOOKUP(B1701,Roster!L:L,Roster!O:O,XLOOKUP(D1701,TicketsBreak!A:A,TicketsBreak!F:F,"",0),0)</f>
        <v/>
      </c>
      <c r="J1701" s="316" t="str">
        <f t="array" ref="J1701">XLOOKUP(B1701,Roster!L:L,Roster!P:P,XLOOKUP(D1701,TicketsBreak!A:A,TicketsBreak!G:G,"",0),0)</f>
        <v/>
      </c>
      <c r="K1701" s="310">
        <f t="shared" si="4"/>
        <v>46127</v>
      </c>
      <c r="L1701" s="317">
        <f t="array" ref="L1701">(XLOOKUP(D1701,Roster!F:F,Roster!D:D,"",0))</f>
        <v>13</v>
      </c>
      <c r="M1701" s="317" t="str">
        <f t="array" ref="M1701">XLOOKUP(D1701,Roster!F:F,Roster!E:E)</f>
        <v>Voice</v>
      </c>
      <c r="N1701" s="317" t="str">
        <f t="shared" ref="N1701:P1701" si="1727">LEFT(H1701,5)</f>
        <v/>
      </c>
      <c r="O1701" s="317" t="str">
        <f t="shared" si="1727"/>
        <v/>
      </c>
      <c r="P1701" s="317" t="str">
        <f t="shared" si="1727"/>
        <v/>
      </c>
      <c r="Q1701" s="318" t="str">
        <f t="shared" si="1657"/>
        <v/>
      </c>
      <c r="R1701" s="318" t="str">
        <f t="shared" si="1658"/>
        <v/>
      </c>
      <c r="S1701" s="318" t="str">
        <f t="shared" si="8"/>
        <v/>
      </c>
    </row>
    <row r="1702">
      <c r="A1702" s="14" t="str">
        <f t="shared" si="1"/>
        <v>C153546127</v>
      </c>
      <c r="B1702" s="185">
        <f t="array" ref="B1702">IF(F1702="VL","",IF(F1702="Free","Free",XLOOKUP(D1702,Roster!T:T,Roster!S:S,"",0)))</f>
        <v>154</v>
      </c>
      <c r="C1702" s="313">
        <v>46127.0</v>
      </c>
      <c r="D1702" s="314" t="s">
        <v>20</v>
      </c>
      <c r="E1702" s="307" t="str">
        <f t="array" ref="E1702">(XLOOKUP(D1702,Roster!F:F,Roster!B:B,"",0))</f>
        <v>Carlos Alzate</v>
      </c>
      <c r="F1702" s="315" t="str">
        <f t="array" ref="F1702">IF(B1702=100,"Free",TEXT(XLOOKUP($D1702,OperationVoice!$A:$A,OperationVoice!U:U,XLOOKUP($D1702,OperationTickets!$A:$A,OperationTickets!U:U,"",0)),"hh:mm"))</f>
        <v>11:00</v>
      </c>
      <c r="G1702" s="309">
        <f t="shared" si="3"/>
        <v>0.8333333333</v>
      </c>
      <c r="H1702" s="316" t="str">
        <f t="array" ref="H1702">XLOOKUP(B1702,Roster!L:L,Roster!N:N,XLOOKUP(D1702,TicketsBreak!A:A,TicketsBreak!E:E,"",0),0)</f>
        <v>13:00 - 13:15</v>
      </c>
      <c r="I1702" s="316" t="str">
        <f t="array" ref="I1702">XLOOKUP(B1702,Roster!L:L,Roster!O:O,XLOOKUP(D1702,TicketsBreak!A:A,TicketsBreak!F:F,"",0),0)</f>
        <v>15:15 - 15:45</v>
      </c>
      <c r="J1702" s="316" t="str">
        <f t="array" ref="J1702">XLOOKUP(B1702,Roster!L:L,Roster!P:P,XLOOKUP(D1702,TicketsBreak!A:A,TicketsBreak!G:G,"",0),0)</f>
        <v>18:00 - 18:15</v>
      </c>
      <c r="K1702" s="310">
        <f t="shared" si="4"/>
        <v>46127</v>
      </c>
      <c r="L1702" s="317">
        <f t="array" ref="L1702">(XLOOKUP(D1702,Roster!F:F,Roster!D:D,"",0))</f>
        <v>36</v>
      </c>
      <c r="M1702" s="317" t="str">
        <f t="array" ref="M1702">XLOOKUP(D1702,Roster!F:F,Roster!E:E)</f>
        <v>Voice</v>
      </c>
      <c r="N1702" s="317" t="str">
        <f t="shared" ref="N1702:P1702" si="1728">LEFT(H1702,5)</f>
        <v>13:00</v>
      </c>
      <c r="O1702" s="317" t="str">
        <f t="shared" si="1728"/>
        <v>15:15</v>
      </c>
      <c r="P1702" s="317" t="str">
        <f t="shared" si="1728"/>
        <v>18:00</v>
      </c>
      <c r="Q1702" s="318">
        <f t="shared" si="1657"/>
        <v>46127.54167</v>
      </c>
      <c r="R1702" s="318">
        <f t="shared" si="1658"/>
        <v>46127.63542</v>
      </c>
      <c r="S1702" s="318">
        <f t="shared" si="8"/>
        <v>46127.75</v>
      </c>
    </row>
    <row r="1703">
      <c r="A1703" s="14" t="str">
        <f t="shared" si="1"/>
        <v>C153146127</v>
      </c>
      <c r="B1703" s="185" t="str">
        <f t="array" ref="B1703">IF(F1703="VL","",IF(F1703="Free","Free",XLOOKUP(D1703,Roster!T:T,Roster!S:S,"",0)))</f>
        <v>Free</v>
      </c>
      <c r="C1703" s="313">
        <v>46127.0</v>
      </c>
      <c r="D1703" s="314" t="s">
        <v>21</v>
      </c>
      <c r="E1703" s="307" t="str">
        <f t="array" ref="E1703">(XLOOKUP(D1703,Roster!F:F,Roster!B:B,"",0))</f>
        <v>Carlos Palma</v>
      </c>
      <c r="F1703" s="315" t="str">
        <f t="array" ref="F1703">IF(B1703=100,"Free",TEXT(XLOOKUP($D1703,OperationVoice!$A:$A,OperationVoice!U:U,XLOOKUP($D1703,OperationTickets!$A:$A,OperationTickets!U:U,"",0)),"hh:mm"))</f>
        <v>Free</v>
      </c>
      <c r="G1703" s="309" t="str">
        <f t="shared" si="3"/>
        <v>Free</v>
      </c>
      <c r="H1703" s="316" t="str">
        <f t="array" ref="H1703">XLOOKUP(B1703,Roster!L:L,Roster!N:N,XLOOKUP(D1703,TicketsBreak!A:A,TicketsBreak!E:E,"",0),0)</f>
        <v/>
      </c>
      <c r="I1703" s="316" t="str">
        <f t="array" ref="I1703">XLOOKUP(B1703,Roster!L:L,Roster!O:O,XLOOKUP(D1703,TicketsBreak!A:A,TicketsBreak!F:F,"",0),0)</f>
        <v/>
      </c>
      <c r="J1703" s="316" t="str">
        <f t="array" ref="J1703">XLOOKUP(B1703,Roster!L:L,Roster!P:P,XLOOKUP(D1703,TicketsBreak!A:A,TicketsBreak!G:G,"",0),0)</f>
        <v/>
      </c>
      <c r="K1703" s="310">
        <f t="shared" si="4"/>
        <v>46127</v>
      </c>
      <c r="L1703" s="317">
        <f t="array" ref="L1703">(XLOOKUP(D1703,Roster!F:F,Roster!D:D,"",0))</f>
        <v>36</v>
      </c>
      <c r="M1703" s="317" t="str">
        <f t="array" ref="M1703">XLOOKUP(D1703,Roster!F:F,Roster!E:E)</f>
        <v>Voice</v>
      </c>
      <c r="N1703" s="317" t="str">
        <f t="shared" ref="N1703:P1703" si="1729">LEFT(H1703,5)</f>
        <v/>
      </c>
      <c r="O1703" s="317" t="str">
        <f t="shared" si="1729"/>
        <v/>
      </c>
      <c r="P1703" s="317" t="str">
        <f t="shared" si="1729"/>
        <v/>
      </c>
      <c r="Q1703" s="318" t="str">
        <f t="shared" si="1657"/>
        <v/>
      </c>
      <c r="R1703" s="318" t="str">
        <f t="shared" si="1658"/>
        <v/>
      </c>
      <c r="S1703" s="318" t="str">
        <f t="shared" si="8"/>
        <v/>
      </c>
    </row>
    <row r="1704">
      <c r="A1704" s="14" t="str">
        <f t="shared" si="1"/>
        <v>C157646127</v>
      </c>
      <c r="B1704" s="185" t="str">
        <f t="array" ref="B1704">IF(F1704="VL","",IF(F1704="Free","Free",XLOOKUP(D1704,Roster!T:T,Roster!S:S,"",0)))</f>
        <v/>
      </c>
      <c r="C1704" s="313">
        <v>46127.0</v>
      </c>
      <c r="D1704" s="314" t="s">
        <v>313</v>
      </c>
      <c r="E1704" s="307" t="str">
        <f t="array" ref="E1704">(XLOOKUP(D1704,Roster!F:F,Roster!B:B,"",0))</f>
        <v>Carlos Ruiz</v>
      </c>
      <c r="F1704" s="315" t="str">
        <f t="array" ref="F1704">IF(B1704=100,"Free",TEXT(XLOOKUP($D1704,OperationVoice!$A:$A,OperationVoice!U:U,XLOOKUP($D1704,OperationTickets!$A:$A,OperationTickets!U:U,"",0)),"hh:mm"))</f>
        <v/>
      </c>
      <c r="G1704" s="309" t="str">
        <f t="shared" si="3"/>
        <v/>
      </c>
      <c r="H1704" s="316" t="str">
        <f t="array" ref="H1704">XLOOKUP(B1704,Roster!L:L,Roster!N:N,XLOOKUP(D1704,TicketsBreak!A:A,TicketsBreak!E:E,"",0),0)</f>
        <v/>
      </c>
      <c r="I1704" s="316" t="str">
        <f t="array" ref="I1704">XLOOKUP(B1704,Roster!L:L,Roster!O:O,XLOOKUP(D1704,TicketsBreak!A:A,TicketsBreak!F:F,"",0),0)</f>
        <v/>
      </c>
      <c r="J1704" s="316" t="str">
        <f t="array" ref="J1704">XLOOKUP(B1704,Roster!L:L,Roster!P:P,XLOOKUP(D1704,TicketsBreak!A:A,TicketsBreak!G:G,"",0),0)</f>
        <v/>
      </c>
      <c r="K1704" s="310">
        <f t="shared" si="4"/>
        <v>46127</v>
      </c>
      <c r="L1704" s="317">
        <f t="array" ref="L1704">(XLOOKUP(D1704,Roster!F:F,Roster!D:D,"",0))</f>
        <v>38</v>
      </c>
      <c r="M1704" s="317" t="str">
        <f t="array" ref="M1704">XLOOKUP(D1704,Roster!F:F,Roster!E:E)</f>
        <v>Nesting</v>
      </c>
      <c r="N1704" s="317" t="str">
        <f t="shared" ref="N1704:P1704" si="1730">LEFT(H1704,5)</f>
        <v/>
      </c>
      <c r="O1704" s="317" t="str">
        <f t="shared" si="1730"/>
        <v/>
      </c>
      <c r="P1704" s="317" t="str">
        <f t="shared" si="1730"/>
        <v/>
      </c>
      <c r="Q1704" s="318" t="str">
        <f t="shared" si="1657"/>
        <v/>
      </c>
      <c r="R1704" s="318" t="str">
        <f t="shared" si="1658"/>
        <v/>
      </c>
      <c r="S1704" s="318" t="str">
        <f t="shared" si="8"/>
        <v/>
      </c>
    </row>
    <row r="1705">
      <c r="A1705" s="14" t="str">
        <f t="shared" si="1"/>
        <v>C47946127</v>
      </c>
      <c r="B1705" s="185" t="str">
        <f t="array" ref="B1705">IF(F1705="VL","",IF(F1705="Free","Free",XLOOKUP(D1705,Roster!T:T,Roster!S:S,"",0)))</f>
        <v/>
      </c>
      <c r="C1705" s="313">
        <v>46127.0</v>
      </c>
      <c r="D1705" s="314" t="s">
        <v>173</v>
      </c>
      <c r="E1705" s="307" t="str">
        <f t="array" ref="E1705">(XLOOKUP(D1705,Roster!F:F,Roster!B:B,"",0))</f>
        <v>Carmen Grajales</v>
      </c>
      <c r="F1705" s="315" t="str">
        <f t="array" ref="F1705">IF(B1705=100,"Free",TEXT(XLOOKUP($D1705,OperationVoice!$A:$A,OperationVoice!U:U,XLOOKUP($D1705,OperationTickets!$A:$A,OperationTickets!U:U,"",0)),"hh:mm"))</f>
        <v>08:00</v>
      </c>
      <c r="G1705" s="309">
        <f t="shared" si="3"/>
        <v>0.7083333333</v>
      </c>
      <c r="H1705" s="316">
        <f t="array" ref="H1705">XLOOKUP(B1705,Roster!L:L,Roster!N:N,XLOOKUP(D1705,TicketsBreak!A:A,TicketsBreak!E:E,"",0),0)</f>
        <v>0.4270833333</v>
      </c>
      <c r="I1705" s="316">
        <f t="array" ref="I1705">XLOOKUP(B1705,Roster!L:L,Roster!O:O,XLOOKUP(D1705,TicketsBreak!A:A,TicketsBreak!F:F,"",0),0)</f>
        <v>0.53125</v>
      </c>
      <c r="J1705" s="316">
        <f t="array" ref="J1705">XLOOKUP(B1705,Roster!L:L,Roster!P:P,XLOOKUP(D1705,TicketsBreak!A:A,TicketsBreak!G:G,"",0),0)</f>
        <v>0.65625</v>
      </c>
      <c r="K1705" s="310">
        <f t="shared" si="4"/>
        <v>46127</v>
      </c>
      <c r="L1705" s="317">
        <f t="array" ref="L1705">(XLOOKUP(D1705,Roster!F:F,Roster!D:D,"",0))</f>
        <v>2</v>
      </c>
      <c r="M1705" s="317" t="str">
        <f t="array" ref="M1705">XLOOKUP(D1705,Roster!F:F,Roster!E:E)</f>
        <v>Tickets</v>
      </c>
      <c r="N1705" s="317" t="str">
        <f t="shared" ref="N1705:P1705" si="1731">LEFT(H1705,5)</f>
        <v>10:15</v>
      </c>
      <c r="O1705" s="317" t="str">
        <f t="shared" si="1731"/>
        <v>12:45</v>
      </c>
      <c r="P1705" s="317" t="str">
        <f t="shared" si="1731"/>
        <v>15:45</v>
      </c>
      <c r="Q1705" s="318">
        <f t="shared" si="1657"/>
        <v>46127.42708</v>
      </c>
      <c r="R1705" s="318">
        <f t="shared" si="1658"/>
        <v>46127.53125</v>
      </c>
      <c r="S1705" s="318">
        <f t="shared" si="8"/>
        <v>46127.65625</v>
      </c>
    </row>
    <row r="1706">
      <c r="A1706" s="14" t="str">
        <f t="shared" si="1"/>
        <v>C68746127</v>
      </c>
      <c r="B1706" s="185">
        <f t="array" ref="B1706">IF(F1706="VL","",IF(F1706="Free","Free",XLOOKUP(D1706,Roster!T:T,Roster!S:S,"",0)))</f>
        <v>122</v>
      </c>
      <c r="C1706" s="313">
        <v>46127.0</v>
      </c>
      <c r="D1706" s="314" t="s">
        <v>22</v>
      </c>
      <c r="E1706" s="307" t="str">
        <f t="array" ref="E1706">(XLOOKUP(D1706,Roster!F:F,Roster!B:B,"",0))</f>
        <v>Carolina Rios</v>
      </c>
      <c r="F1706" s="315" t="str">
        <f t="array" ref="F1706">IF(B1706=100,"Free",TEXT(XLOOKUP($D1706,OperationVoice!$A:$A,OperationVoice!U:U,XLOOKUP($D1706,OperationTickets!$A:$A,OperationTickets!U:U,"",0)),"hh:mm"))</f>
        <v>08:00</v>
      </c>
      <c r="G1706" s="309">
        <f t="shared" si="3"/>
        <v>0.7083333333</v>
      </c>
      <c r="H1706" s="316" t="str">
        <f t="array" ref="H1706">XLOOKUP(B1706,Roster!L:L,Roster!N:N,XLOOKUP(D1706,TicketsBreak!A:A,TicketsBreak!E:E,"",0),0)</f>
        <v>09:30 - 09:45</v>
      </c>
      <c r="I1706" s="316" t="str">
        <f t="array" ref="I1706">XLOOKUP(B1706,Roster!L:L,Roster!O:O,XLOOKUP(D1706,TicketsBreak!A:A,TicketsBreak!F:F,"",0),0)</f>
        <v>12:00 - 12:30</v>
      </c>
      <c r="J1706" s="316" t="str">
        <f t="array" ref="J1706">XLOOKUP(B1706,Roster!L:L,Roster!P:P,XLOOKUP(D1706,TicketsBreak!A:A,TicketsBreak!G:G,"",0),0)</f>
        <v>14:45 - 15:00</v>
      </c>
      <c r="K1706" s="310">
        <f t="shared" si="4"/>
        <v>46127</v>
      </c>
      <c r="L1706" s="317">
        <f t="array" ref="L1706">(XLOOKUP(D1706,Roster!F:F,Roster!D:D,"",0))</f>
        <v>5</v>
      </c>
      <c r="M1706" s="317" t="str">
        <f t="array" ref="M1706">XLOOKUP(D1706,Roster!F:F,Roster!E:E)</f>
        <v>Voice</v>
      </c>
      <c r="N1706" s="317" t="str">
        <f t="shared" ref="N1706:P1706" si="1732">LEFT(H1706,5)</f>
        <v>09:30</v>
      </c>
      <c r="O1706" s="317" t="str">
        <f t="shared" si="1732"/>
        <v>12:00</v>
      </c>
      <c r="P1706" s="317" t="str">
        <f t="shared" si="1732"/>
        <v>14:45</v>
      </c>
      <c r="Q1706" s="318">
        <f t="shared" si="1657"/>
        <v>46127.39583</v>
      </c>
      <c r="R1706" s="318">
        <f t="shared" si="1658"/>
        <v>46127.5</v>
      </c>
      <c r="S1706" s="318">
        <f t="shared" si="8"/>
        <v>46127.61458</v>
      </c>
    </row>
    <row r="1707">
      <c r="A1707" s="14" t="str">
        <f t="shared" si="1"/>
        <v>C152846127</v>
      </c>
      <c r="B1707" s="185">
        <f t="array" ref="B1707">IF(F1707="VL","",IF(F1707="Free","Free",XLOOKUP(D1707,Roster!T:T,Roster!S:S,"",0)))</f>
        <v>132</v>
      </c>
      <c r="C1707" s="313">
        <v>46127.0</v>
      </c>
      <c r="D1707" s="314" t="s">
        <v>23</v>
      </c>
      <c r="E1707" s="307" t="str">
        <f t="array" ref="E1707">(XLOOKUP(D1707,Roster!F:F,Roster!B:B,"",0))</f>
        <v>Christian Ramirez</v>
      </c>
      <c r="F1707" s="315" t="str">
        <f t="array" ref="F1707">IF(B1707=100,"Free",TEXT(XLOOKUP($D1707,OperationVoice!$A:$A,OperationVoice!U:U,XLOOKUP($D1707,OperationTickets!$A:$A,OperationTickets!U:U,"",0)),"hh:mm"))</f>
        <v>09:00</v>
      </c>
      <c r="G1707" s="309">
        <f t="shared" si="3"/>
        <v>0.75</v>
      </c>
      <c r="H1707" s="316" t="str">
        <f t="array" ref="H1707">XLOOKUP(B1707,Roster!L:L,Roster!N:N,XLOOKUP(D1707,TicketsBreak!A:A,TicketsBreak!E:E,"",0),0)</f>
        <v>10:30 - 10:45</v>
      </c>
      <c r="I1707" s="316" t="str">
        <f t="array" ref="I1707">XLOOKUP(B1707,Roster!L:L,Roster!O:O,XLOOKUP(D1707,TicketsBreak!A:A,TicketsBreak!F:F,"",0),0)</f>
        <v>13:00 - 13:30</v>
      </c>
      <c r="J1707" s="316" t="str">
        <f t="array" ref="J1707">XLOOKUP(B1707,Roster!L:L,Roster!P:P,XLOOKUP(D1707,TicketsBreak!A:A,TicketsBreak!G:G,"",0),0)</f>
        <v>15:30 - 15:45</v>
      </c>
      <c r="K1707" s="310">
        <f t="shared" si="4"/>
        <v>46127</v>
      </c>
      <c r="L1707" s="317">
        <f t="array" ref="L1707">(XLOOKUP(D1707,Roster!F:F,Roster!D:D,"",0))</f>
        <v>36</v>
      </c>
      <c r="M1707" s="317" t="str">
        <f t="array" ref="M1707">XLOOKUP(D1707,Roster!F:F,Roster!E:E)</f>
        <v>Voice</v>
      </c>
      <c r="N1707" s="317" t="str">
        <f t="shared" ref="N1707:P1707" si="1733">LEFT(H1707,5)</f>
        <v>10:30</v>
      </c>
      <c r="O1707" s="317" t="str">
        <f t="shared" si="1733"/>
        <v>13:00</v>
      </c>
      <c r="P1707" s="317" t="str">
        <f t="shared" si="1733"/>
        <v>15:30</v>
      </c>
      <c r="Q1707" s="318">
        <f t="shared" si="1657"/>
        <v>46127.4375</v>
      </c>
      <c r="R1707" s="318">
        <f t="shared" si="1658"/>
        <v>46127.54167</v>
      </c>
      <c r="S1707" s="318">
        <f t="shared" si="8"/>
        <v>46127.64583</v>
      </c>
    </row>
    <row r="1708">
      <c r="A1708" s="14" t="str">
        <f t="shared" si="1"/>
        <v>C132546127</v>
      </c>
      <c r="B1708" s="185">
        <f t="array" ref="B1708">IF(F1708="VL","",IF(F1708="Free","Free",XLOOKUP(D1708,Roster!T:T,Roster!S:S,"",0)))</f>
        <v>123</v>
      </c>
      <c r="C1708" s="313">
        <v>46127.0</v>
      </c>
      <c r="D1708" s="314" t="s">
        <v>174</v>
      </c>
      <c r="E1708" s="307" t="str">
        <f t="array" ref="E1708">(XLOOKUP(D1708,Roster!F:F,Roster!B:B,"",0))</f>
        <v>Cristian Ferreira</v>
      </c>
      <c r="F1708" s="315" t="str">
        <f t="array" ref="F1708">IF(B1708=100,"Free",TEXT(XLOOKUP($D1708,OperationVoice!$A:$A,OperationVoice!U:U,XLOOKUP($D1708,OperationTickets!$A:$A,OperationTickets!U:U,"",0)),"hh:mm"))</f>
        <v>08:00</v>
      </c>
      <c r="G1708" s="309">
        <f t="shared" si="3"/>
        <v>0.7083333333</v>
      </c>
      <c r="H1708" s="316" t="str">
        <f t="array" ref="H1708">XLOOKUP(B1708,Roster!L:L,Roster!N:N,XLOOKUP(D1708,TicketsBreak!A:A,TicketsBreak!E:E,"",0),0)</f>
        <v>09:45 - 10:00 </v>
      </c>
      <c r="I1708" s="316" t="str">
        <f t="array" ref="I1708">XLOOKUP(B1708,Roster!L:L,Roster!O:O,XLOOKUP(D1708,TicketsBreak!A:A,TicketsBreak!F:F,"",0),0)</f>
        <v>12:30 - 13:00</v>
      </c>
      <c r="J1708" s="316" t="str">
        <f t="array" ref="J1708">XLOOKUP(B1708,Roster!L:L,Roster!P:P,XLOOKUP(D1708,TicketsBreak!A:A,TicketsBreak!G:G,"",0),0)</f>
        <v>15:00 - 15:15</v>
      </c>
      <c r="K1708" s="310">
        <f t="shared" si="4"/>
        <v>46127</v>
      </c>
      <c r="L1708" s="317">
        <f t="array" ref="L1708">(XLOOKUP(D1708,Roster!F:F,Roster!D:D,"",0))</f>
        <v>29</v>
      </c>
      <c r="M1708" s="317" t="str">
        <f t="array" ref="M1708">XLOOKUP(D1708,Roster!F:F,Roster!E:E)</f>
        <v>Tickets</v>
      </c>
      <c r="N1708" s="317" t="str">
        <f t="shared" ref="N1708:P1708" si="1734">LEFT(H1708,5)</f>
        <v>09:45</v>
      </c>
      <c r="O1708" s="317" t="str">
        <f t="shared" si="1734"/>
        <v>12:30</v>
      </c>
      <c r="P1708" s="317" t="str">
        <f t="shared" si="1734"/>
        <v>15:00</v>
      </c>
      <c r="Q1708" s="318">
        <f t="shared" si="1657"/>
        <v>46127.40625</v>
      </c>
      <c r="R1708" s="318">
        <f t="shared" si="1658"/>
        <v>46127.52083</v>
      </c>
      <c r="S1708" s="318">
        <f t="shared" si="8"/>
        <v>46127.625</v>
      </c>
    </row>
    <row r="1709">
      <c r="A1709" s="14" t="str">
        <f t="shared" si="1"/>
        <v>C151046127</v>
      </c>
      <c r="B1709" s="185" t="str">
        <f t="array" ref="B1709">IF(F1709="VL","",IF(F1709="Free","Free",XLOOKUP(D1709,Roster!T:T,Roster!S:S,"",0)))</f>
        <v>Free</v>
      </c>
      <c r="C1709" s="313">
        <v>46127.0</v>
      </c>
      <c r="D1709" s="314" t="s">
        <v>24</v>
      </c>
      <c r="E1709" s="307" t="str">
        <f t="array" ref="E1709">(XLOOKUP(D1709,Roster!F:F,Roster!B:B,"",0))</f>
        <v>Cristian Gomez</v>
      </c>
      <c r="F1709" s="315" t="str">
        <f t="array" ref="F1709">IF(B1709=100,"Free",TEXT(XLOOKUP($D1709,OperationVoice!$A:$A,OperationVoice!U:U,XLOOKUP($D1709,OperationTickets!$A:$A,OperationTickets!U:U,"",0)),"hh:mm"))</f>
        <v>Free</v>
      </c>
      <c r="G1709" s="309" t="str">
        <f t="shared" si="3"/>
        <v>Free</v>
      </c>
      <c r="H1709" s="316" t="str">
        <f t="array" ref="H1709">XLOOKUP(B1709,Roster!L:L,Roster!N:N,XLOOKUP(D1709,TicketsBreak!A:A,TicketsBreak!E:E,"",0),0)</f>
        <v/>
      </c>
      <c r="I1709" s="316" t="str">
        <f t="array" ref="I1709">XLOOKUP(B1709,Roster!L:L,Roster!O:O,XLOOKUP(D1709,TicketsBreak!A:A,TicketsBreak!F:F,"",0),0)</f>
        <v/>
      </c>
      <c r="J1709" s="316" t="str">
        <f t="array" ref="J1709">XLOOKUP(B1709,Roster!L:L,Roster!P:P,XLOOKUP(D1709,TicketsBreak!A:A,TicketsBreak!G:G,"",0),0)</f>
        <v/>
      </c>
      <c r="K1709" s="310">
        <f t="shared" si="4"/>
        <v>46127</v>
      </c>
      <c r="L1709" s="317">
        <f t="array" ref="L1709">(XLOOKUP(D1709,Roster!F:F,Roster!D:D,"",0))</f>
        <v>35</v>
      </c>
      <c r="M1709" s="317" t="str">
        <f t="array" ref="M1709">XLOOKUP(D1709,Roster!F:F,Roster!E:E)</f>
        <v>Voice</v>
      </c>
      <c r="N1709" s="317" t="str">
        <f t="shared" ref="N1709:P1709" si="1735">LEFT(H1709,5)</f>
        <v/>
      </c>
      <c r="O1709" s="317" t="str">
        <f t="shared" si="1735"/>
        <v/>
      </c>
      <c r="P1709" s="317" t="str">
        <f t="shared" si="1735"/>
        <v/>
      </c>
      <c r="Q1709" s="318" t="str">
        <f t="shared" si="1657"/>
        <v/>
      </c>
      <c r="R1709" s="318" t="str">
        <f t="shared" si="1658"/>
        <v/>
      </c>
      <c r="S1709" s="318" t="str">
        <f t="shared" si="8"/>
        <v/>
      </c>
    </row>
    <row r="1710">
      <c r="A1710" s="14" t="str">
        <f t="shared" si="1"/>
        <v>C67346127</v>
      </c>
      <c r="B1710" s="185" t="str">
        <f t="array" ref="B1710">IF(F1710="VL","",IF(F1710="Free","Free",XLOOKUP(D1710,Roster!T:T,Roster!S:S,"",0)))</f>
        <v>Free</v>
      </c>
      <c r="C1710" s="313">
        <v>46127.0</v>
      </c>
      <c r="D1710" s="314" t="s">
        <v>156</v>
      </c>
      <c r="E1710" s="307" t="str">
        <f t="array" ref="E1710">(XLOOKUP(D1710,Roster!F:F,Roster!B:B,"",0))</f>
        <v>Dahiana Cano</v>
      </c>
      <c r="F1710" s="315" t="str">
        <f t="array" ref="F1710">IF(B1710=100,"Free",TEXT(XLOOKUP($D1710,OperationVoice!$A:$A,OperationVoice!U:U,XLOOKUP($D1710,OperationTickets!$A:$A,OperationTickets!U:U,"",0)),"hh:mm"))</f>
        <v>Free</v>
      </c>
      <c r="G1710" s="309" t="str">
        <f t="shared" si="3"/>
        <v>Free</v>
      </c>
      <c r="H1710" s="316">
        <f t="array" ref="H1710">XLOOKUP(B1710,Roster!L:L,Roster!N:N,XLOOKUP(D1710,TicketsBreak!A:A,TicketsBreak!E:E,"",0),0)</f>
        <v>0.4583333333</v>
      </c>
      <c r="I1710" s="316">
        <f t="array" ref="I1710">XLOOKUP(B1710,Roster!L:L,Roster!O:O,XLOOKUP(D1710,TicketsBreak!A:A,TicketsBreak!F:F,"",0),0)</f>
        <v>0.5833333333</v>
      </c>
      <c r="J1710" s="316">
        <f t="array" ref="J1710">XLOOKUP(B1710,Roster!L:L,Roster!P:P,XLOOKUP(D1710,TicketsBreak!A:A,TicketsBreak!G:G,"",0),0)</f>
        <v>0.65625</v>
      </c>
      <c r="K1710" s="310">
        <f t="shared" si="4"/>
        <v>46127</v>
      </c>
      <c r="L1710" s="317">
        <f t="array" ref="L1710">(XLOOKUP(D1710,Roster!F:F,Roster!D:D,"",0))</f>
        <v>4</v>
      </c>
      <c r="M1710" s="317" t="str">
        <f t="array" ref="M1710">XLOOKUP(D1710,Roster!F:F,Roster!E:E)</f>
        <v>Tickets</v>
      </c>
      <c r="N1710" s="317" t="str">
        <f t="shared" ref="N1710:P1710" si="1736">LEFT(H1710,5)</f>
        <v>11:00</v>
      </c>
      <c r="O1710" s="317" t="str">
        <f t="shared" si="1736"/>
        <v>14:00</v>
      </c>
      <c r="P1710" s="317" t="str">
        <f t="shared" si="1736"/>
        <v>15:45</v>
      </c>
      <c r="Q1710" s="318">
        <f t="shared" si="1657"/>
        <v>46127.45833</v>
      </c>
      <c r="R1710" s="318">
        <f t="shared" si="1658"/>
        <v>46127.58333</v>
      </c>
      <c r="S1710" s="318">
        <f t="shared" si="8"/>
        <v>46127.65625</v>
      </c>
    </row>
    <row r="1711">
      <c r="A1711" s="14" t="str">
        <f t="shared" si="1"/>
        <v>C152946127</v>
      </c>
      <c r="B1711" s="185">
        <f t="array" ref="B1711">IF(F1711="VL","",IF(F1711="Free","Free",XLOOKUP(D1711,Roster!T:T,Roster!S:S,"",0)))</f>
        <v>133</v>
      </c>
      <c r="C1711" s="313">
        <v>46127.0</v>
      </c>
      <c r="D1711" s="314" t="s">
        <v>25</v>
      </c>
      <c r="E1711" s="307" t="str">
        <f t="array" ref="E1711">(XLOOKUP(D1711,Roster!F:F,Roster!B:B,"",0))</f>
        <v>Daniel Barrientos</v>
      </c>
      <c r="F1711" s="315" t="str">
        <f t="array" ref="F1711">IF(B1711=100,"Free",TEXT(XLOOKUP($D1711,OperationVoice!$A:$A,OperationVoice!U:U,XLOOKUP($D1711,OperationTickets!$A:$A,OperationTickets!U:U,"",0)),"hh:mm"))</f>
        <v>09:00</v>
      </c>
      <c r="G1711" s="309">
        <f t="shared" si="3"/>
        <v>0.75</v>
      </c>
      <c r="H1711" s="316" t="str">
        <f t="array" ref="H1711">XLOOKUP(B1711,Roster!L:L,Roster!N:N,XLOOKUP(D1711,TicketsBreak!A:A,TicketsBreak!E:E,"",0),0)</f>
        <v>10:45 - 11:00 </v>
      </c>
      <c r="I1711" s="316" t="str">
        <f t="array" ref="I1711">XLOOKUP(B1711,Roster!L:L,Roster!O:O,XLOOKUP(D1711,TicketsBreak!A:A,TicketsBreak!F:F,"",0),0)</f>
        <v>13:30 - 14:00</v>
      </c>
      <c r="J1711" s="316" t="str">
        <f t="array" ref="J1711">XLOOKUP(B1711,Roster!L:L,Roster!P:P,XLOOKUP(D1711,TicketsBreak!A:A,TicketsBreak!G:G,"",0),0)</f>
        <v>15:45 - 16:00</v>
      </c>
      <c r="K1711" s="310">
        <f t="shared" si="4"/>
        <v>46127</v>
      </c>
      <c r="L1711" s="317">
        <f t="array" ref="L1711">(XLOOKUP(D1711,Roster!F:F,Roster!D:D,"",0))</f>
        <v>36</v>
      </c>
      <c r="M1711" s="317" t="str">
        <f t="array" ref="M1711">XLOOKUP(D1711,Roster!F:F,Roster!E:E)</f>
        <v>Voice</v>
      </c>
      <c r="N1711" s="317" t="str">
        <f t="shared" ref="N1711:P1711" si="1737">LEFT(H1711,5)</f>
        <v>10:45</v>
      </c>
      <c r="O1711" s="317" t="str">
        <f t="shared" si="1737"/>
        <v>13:30</v>
      </c>
      <c r="P1711" s="317" t="str">
        <f t="shared" si="1737"/>
        <v>15:45</v>
      </c>
      <c r="Q1711" s="318">
        <f t="shared" si="1657"/>
        <v>46127.44792</v>
      </c>
      <c r="R1711" s="318">
        <f t="shared" si="1658"/>
        <v>46127.5625</v>
      </c>
      <c r="S1711" s="318">
        <f t="shared" si="8"/>
        <v>46127.65625</v>
      </c>
    </row>
    <row r="1712">
      <c r="A1712" s="14" t="str">
        <f t="shared" si="1"/>
        <v>C106446127</v>
      </c>
      <c r="B1712" s="185" t="str">
        <f t="array" ref="B1712">IF(F1712="VL","",IF(F1712="Free","Free",XLOOKUP(D1712,Roster!T:T,Roster!S:S,"",0)))</f>
        <v>Free</v>
      </c>
      <c r="C1712" s="313">
        <v>46127.0</v>
      </c>
      <c r="D1712" s="314" t="s">
        <v>175</v>
      </c>
      <c r="E1712" s="307" t="str">
        <f t="array" ref="E1712">(XLOOKUP(D1712,Roster!F:F,Roster!B:B,"",0))</f>
        <v>Daniel Urrego</v>
      </c>
      <c r="F1712" s="315" t="str">
        <f t="array" ref="F1712">IF(B1712=100,"Free",TEXT(XLOOKUP($D1712,OperationVoice!$A:$A,OperationVoice!U:U,XLOOKUP($D1712,OperationTickets!$A:$A,OperationTickets!U:U,"",0)),"hh:mm"))</f>
        <v>Free</v>
      </c>
      <c r="G1712" s="309" t="str">
        <f t="shared" si="3"/>
        <v>Free</v>
      </c>
      <c r="H1712" s="316" t="str">
        <f t="array" ref="H1712">XLOOKUP(B1712,Roster!L:L,Roster!N:N,XLOOKUP(D1712,TicketsBreak!A:A,TicketsBreak!E:E,"",0),0)</f>
        <v/>
      </c>
      <c r="I1712" s="316" t="str">
        <f t="array" ref="I1712">XLOOKUP(B1712,Roster!L:L,Roster!O:O,XLOOKUP(D1712,TicketsBreak!A:A,TicketsBreak!F:F,"",0),0)</f>
        <v/>
      </c>
      <c r="J1712" s="316" t="str">
        <f t="array" ref="J1712">XLOOKUP(B1712,Roster!L:L,Roster!P:P,XLOOKUP(D1712,TicketsBreak!A:A,TicketsBreak!G:G,"",0),0)</f>
        <v/>
      </c>
      <c r="K1712" s="310">
        <f t="shared" si="4"/>
        <v>46127</v>
      </c>
      <c r="L1712" s="317">
        <f t="array" ref="L1712">(XLOOKUP(D1712,Roster!F:F,Roster!D:D,"",0))</f>
        <v>17</v>
      </c>
      <c r="M1712" s="317" t="str">
        <f t="array" ref="M1712">XLOOKUP(D1712,Roster!F:F,Roster!E:E)</f>
        <v>Tickets</v>
      </c>
      <c r="N1712" s="317" t="str">
        <f t="shared" ref="N1712:P1712" si="1738">LEFT(H1712,5)</f>
        <v/>
      </c>
      <c r="O1712" s="317" t="str">
        <f t="shared" si="1738"/>
        <v/>
      </c>
      <c r="P1712" s="317" t="str">
        <f t="shared" si="1738"/>
        <v/>
      </c>
      <c r="Q1712" s="318" t="str">
        <f t="shared" si="1657"/>
        <v/>
      </c>
      <c r="R1712" s="318" t="str">
        <f t="shared" si="1658"/>
        <v/>
      </c>
      <c r="S1712" s="318" t="str">
        <f t="shared" si="8"/>
        <v/>
      </c>
    </row>
    <row r="1713">
      <c r="A1713" s="14" t="str">
        <f t="shared" si="1"/>
        <v>C151346127</v>
      </c>
      <c r="B1713" s="185">
        <f t="array" ref="B1713">IF(F1713="VL","",IF(F1713="Free","Free",XLOOKUP(D1713,Roster!T:T,Roster!S:S,"",0)))</f>
        <v>126</v>
      </c>
      <c r="C1713" s="313">
        <v>46127.0</v>
      </c>
      <c r="D1713" s="314" t="s">
        <v>26</v>
      </c>
      <c r="E1713" s="307" t="str">
        <f t="array" ref="E1713">(XLOOKUP(D1713,Roster!F:F,Roster!B:B,"",0))</f>
        <v>David Patino</v>
      </c>
      <c r="F1713" s="315" t="str">
        <f t="array" ref="F1713">IF(B1713=100,"Free",TEXT(XLOOKUP($D1713,OperationVoice!$A:$A,OperationVoice!U:U,XLOOKUP($D1713,OperationTickets!$A:$A,OperationTickets!U:U,"",0)),"hh:mm"))</f>
        <v>08:00</v>
      </c>
      <c r="G1713" s="309">
        <f t="shared" si="3"/>
        <v>0.7083333333</v>
      </c>
      <c r="H1713" s="316" t="str">
        <f t="array" ref="H1713">XLOOKUP(B1713,Roster!L:L,Roster!N:N,XLOOKUP(D1713,TicketsBreak!A:A,TicketsBreak!E:E,"",0),0)</f>
        <v>10:45 - 11:00</v>
      </c>
      <c r="I1713" s="316" t="str">
        <f t="array" ref="I1713">XLOOKUP(B1713,Roster!L:L,Roster!O:O,XLOOKUP(D1713,TicketsBreak!A:A,TicketsBreak!F:F,"",0),0)</f>
        <v>14:00 - 14:30</v>
      </c>
      <c r="J1713" s="316" t="str">
        <f t="array" ref="J1713">XLOOKUP(B1713,Roster!L:L,Roster!P:P,XLOOKUP(D1713,TicketsBreak!A:A,TicketsBreak!G:G,"",0),0)</f>
        <v>15:45 - 16:00</v>
      </c>
      <c r="K1713" s="310">
        <f t="shared" si="4"/>
        <v>46127</v>
      </c>
      <c r="L1713" s="317">
        <f t="array" ref="L1713">(XLOOKUP(D1713,Roster!F:F,Roster!D:D,"",0))</f>
        <v>35</v>
      </c>
      <c r="M1713" s="317" t="str">
        <f t="array" ref="M1713">XLOOKUP(D1713,Roster!F:F,Roster!E:E)</f>
        <v>Voice</v>
      </c>
      <c r="N1713" s="317" t="str">
        <f t="shared" ref="N1713:P1713" si="1739">LEFT(H1713,5)</f>
        <v>10:45</v>
      </c>
      <c r="O1713" s="317" t="str">
        <f t="shared" si="1739"/>
        <v>14:00</v>
      </c>
      <c r="P1713" s="317" t="str">
        <f t="shared" si="1739"/>
        <v>15:45</v>
      </c>
      <c r="Q1713" s="318">
        <f t="shared" si="1657"/>
        <v>46127.44792</v>
      </c>
      <c r="R1713" s="318">
        <f t="shared" si="1658"/>
        <v>46127.58333</v>
      </c>
      <c r="S1713" s="318">
        <f t="shared" si="8"/>
        <v>46127.65625</v>
      </c>
    </row>
    <row r="1714">
      <c r="A1714" s="14" t="str">
        <f t="shared" si="1"/>
        <v>C127746127</v>
      </c>
      <c r="B1714" s="185">
        <f t="array" ref="B1714">IF(F1714="VL","",IF(F1714="Free","Free",XLOOKUP(D1714,Roster!T:T,Roster!S:S,"",0)))</f>
        <v>124</v>
      </c>
      <c r="C1714" s="313">
        <v>46127.0</v>
      </c>
      <c r="D1714" s="314" t="s">
        <v>27</v>
      </c>
      <c r="E1714" s="307" t="str">
        <f t="array" ref="E1714">(XLOOKUP(D1714,Roster!F:F,Roster!B:B,"",0))</f>
        <v>Edwuin Martinez</v>
      </c>
      <c r="F1714" s="315" t="str">
        <f t="array" ref="F1714">IF(B1714=100,"Free",TEXT(XLOOKUP($D1714,OperationVoice!$A:$A,OperationVoice!U:U,XLOOKUP($D1714,OperationTickets!$A:$A,OperationTickets!U:U,"",0)),"hh:mm"))</f>
        <v>08:00</v>
      </c>
      <c r="G1714" s="309">
        <f t="shared" si="3"/>
        <v>0.7083333333</v>
      </c>
      <c r="H1714" s="316" t="str">
        <f t="array" ref="H1714">XLOOKUP(B1714,Roster!L:L,Roster!N:N,XLOOKUP(D1714,TicketsBreak!A:A,TicketsBreak!E:E,"",0),0)</f>
        <v>10:00 - 10:15</v>
      </c>
      <c r="I1714" s="316" t="str">
        <f t="array" ref="I1714">XLOOKUP(B1714,Roster!L:L,Roster!O:O,XLOOKUP(D1714,TicketsBreak!A:A,TicketsBreak!F:F,"",0),0)</f>
        <v>13:00 - 13:30</v>
      </c>
      <c r="J1714" s="316" t="str">
        <f t="array" ref="J1714">XLOOKUP(B1714,Roster!L:L,Roster!P:P,XLOOKUP(D1714,TicketsBreak!A:A,TicketsBreak!G:G,"",0),0)</f>
        <v>15:30 - 15:45</v>
      </c>
      <c r="K1714" s="310">
        <f t="shared" si="4"/>
        <v>46127</v>
      </c>
      <c r="L1714" s="317">
        <f t="array" ref="L1714">(XLOOKUP(D1714,Roster!F:F,Roster!D:D,"",0))</f>
        <v>27</v>
      </c>
      <c r="M1714" s="317" t="str">
        <f t="array" ref="M1714">XLOOKUP(D1714,Roster!F:F,Roster!E:E)</f>
        <v>Voice</v>
      </c>
      <c r="N1714" s="317" t="str">
        <f t="shared" ref="N1714:P1714" si="1740">LEFT(H1714,5)</f>
        <v>10:00</v>
      </c>
      <c r="O1714" s="317" t="str">
        <f t="shared" si="1740"/>
        <v>13:00</v>
      </c>
      <c r="P1714" s="317" t="str">
        <f t="shared" si="1740"/>
        <v>15:30</v>
      </c>
      <c r="Q1714" s="318">
        <f t="shared" si="1657"/>
        <v>46127.41667</v>
      </c>
      <c r="R1714" s="318">
        <f t="shared" si="1658"/>
        <v>46127.54167</v>
      </c>
      <c r="S1714" s="318">
        <f t="shared" si="8"/>
        <v>46127.64583</v>
      </c>
    </row>
    <row r="1715">
      <c r="A1715" s="14" t="str">
        <f t="shared" si="1"/>
        <v>C121646127</v>
      </c>
      <c r="B1715" s="185" t="str">
        <f t="array" ref="B1715">IF(F1715="VL","",IF(F1715="Free","Free",XLOOKUP(D1715,Roster!T:T,Roster!S:S,"",0)))</f>
        <v/>
      </c>
      <c r="C1715" s="313">
        <v>46127.0</v>
      </c>
      <c r="D1715" s="314" t="s">
        <v>134</v>
      </c>
      <c r="E1715" s="307" t="str">
        <f t="array" ref="E1715">(XLOOKUP(D1715,Roster!F:F,Roster!B:B,"",0))</f>
        <v>Eliana Pena</v>
      </c>
      <c r="F1715" s="315" t="str">
        <f t="array" ref="F1715">IF(B1715=100,"Free",TEXT(XLOOKUP($D1715,OperationVoice!$A:$A,OperationVoice!U:U,XLOOKUP($D1715,OperationTickets!$A:$A,OperationTickets!U:U,"",0)),"hh:mm"))</f>
        <v>08:00</v>
      </c>
      <c r="G1715" s="309">
        <f t="shared" si="3"/>
        <v>0.7083333333</v>
      </c>
      <c r="H1715" s="316">
        <f t="array" ref="H1715">XLOOKUP(B1715,Roster!L:L,Roster!N:N,XLOOKUP(D1715,TicketsBreak!A:A,TicketsBreak!E:E,"",0),0)</f>
        <v>0.3958333333</v>
      </c>
      <c r="I1715" s="316">
        <f t="array" ref="I1715">XLOOKUP(B1715,Roster!L:L,Roster!O:O,XLOOKUP(D1715,TicketsBreak!A:A,TicketsBreak!F:F,"",0),0)</f>
        <v>0.5416666667</v>
      </c>
      <c r="J1715" s="316">
        <f t="array" ref="J1715">XLOOKUP(B1715,Roster!L:L,Roster!P:P,XLOOKUP(D1715,TicketsBreak!A:A,TicketsBreak!G:G,"",0),0)</f>
        <v>0.6354166667</v>
      </c>
      <c r="K1715" s="310">
        <f t="shared" si="4"/>
        <v>46127</v>
      </c>
      <c r="L1715" s="317">
        <f t="array" ref="L1715">(XLOOKUP(D1715,Roster!F:F,Roster!D:D,"",0))</f>
        <v>26</v>
      </c>
      <c r="M1715" s="317" t="str">
        <f t="array" ref="M1715">XLOOKUP(D1715,Roster!F:F,Roster!E:E)</f>
        <v>Tickets</v>
      </c>
      <c r="N1715" s="317" t="str">
        <f t="shared" ref="N1715:P1715" si="1741">LEFT(H1715,5)</f>
        <v>09:30</v>
      </c>
      <c r="O1715" s="317" t="str">
        <f t="shared" si="1741"/>
        <v>13:00</v>
      </c>
      <c r="P1715" s="317" t="str">
        <f t="shared" si="1741"/>
        <v>15:15</v>
      </c>
      <c r="Q1715" s="318">
        <f t="shared" si="1657"/>
        <v>46127.39583</v>
      </c>
      <c r="R1715" s="318">
        <f t="shared" si="1658"/>
        <v>46127.54167</v>
      </c>
      <c r="S1715" s="318">
        <f t="shared" si="8"/>
        <v>46127.63542</v>
      </c>
    </row>
    <row r="1716">
      <c r="A1716" s="14" t="str">
        <f t="shared" si="1"/>
        <v>C157346127</v>
      </c>
      <c r="B1716" s="185">
        <f t="array" ref="B1716">IF(F1716="VL","",IF(F1716="Free","Free",XLOOKUP(D1716,Roster!T:T,Roster!S:S,"",0)))</f>
        <v>123</v>
      </c>
      <c r="C1716" s="313">
        <v>46127.0</v>
      </c>
      <c r="D1716" s="314" t="s">
        <v>28</v>
      </c>
      <c r="E1716" s="307" t="str">
        <f t="array" ref="E1716">(XLOOKUP(D1716,Roster!F:F,Roster!B:B,"",0))</f>
        <v>Esteban Correa</v>
      </c>
      <c r="F1716" s="315" t="str">
        <f t="array" ref="F1716">IF(B1716=100,"Free",TEXT(XLOOKUP($D1716,OperationVoice!$A:$A,OperationVoice!U:U,XLOOKUP($D1716,OperationTickets!$A:$A,OperationTickets!U:U,"",0)),"hh:mm"))</f>
        <v>08:00</v>
      </c>
      <c r="G1716" s="309">
        <f t="shared" si="3"/>
        <v>0.7083333333</v>
      </c>
      <c r="H1716" s="316" t="str">
        <f t="array" ref="H1716">XLOOKUP(B1716,Roster!L:L,Roster!N:N,XLOOKUP(D1716,TicketsBreak!A:A,TicketsBreak!E:E,"",0),0)</f>
        <v>09:45 - 10:00 </v>
      </c>
      <c r="I1716" s="316" t="str">
        <f t="array" ref="I1716">XLOOKUP(B1716,Roster!L:L,Roster!O:O,XLOOKUP(D1716,TicketsBreak!A:A,TicketsBreak!F:F,"",0),0)</f>
        <v>12:30 - 13:00</v>
      </c>
      <c r="J1716" s="316" t="str">
        <f t="array" ref="J1716">XLOOKUP(B1716,Roster!L:L,Roster!P:P,XLOOKUP(D1716,TicketsBreak!A:A,TicketsBreak!G:G,"",0),0)</f>
        <v>15:00 - 15:15</v>
      </c>
      <c r="K1716" s="310">
        <f t="shared" si="4"/>
        <v>46127</v>
      </c>
      <c r="L1716" s="317">
        <f t="array" ref="L1716">(XLOOKUP(D1716,Roster!F:F,Roster!D:D,"",0))</f>
        <v>38</v>
      </c>
      <c r="M1716" s="317" t="str">
        <f t="array" ref="M1716">XLOOKUP(D1716,Roster!F:F,Roster!E:E)</f>
        <v>Voice</v>
      </c>
      <c r="N1716" s="317" t="str">
        <f t="shared" ref="N1716:P1716" si="1742">LEFT(H1716,5)</f>
        <v>09:45</v>
      </c>
      <c r="O1716" s="317" t="str">
        <f t="shared" si="1742"/>
        <v>12:30</v>
      </c>
      <c r="P1716" s="317" t="str">
        <f t="shared" si="1742"/>
        <v>15:00</v>
      </c>
      <c r="Q1716" s="318">
        <f t="shared" si="1657"/>
        <v>46127.40625</v>
      </c>
      <c r="R1716" s="318">
        <f t="shared" si="1658"/>
        <v>46127.52083</v>
      </c>
      <c r="S1716" s="318">
        <f t="shared" si="8"/>
        <v>46127.625</v>
      </c>
    </row>
    <row r="1717">
      <c r="A1717" s="14" t="str">
        <f t="shared" si="1"/>
        <v>C71346127</v>
      </c>
      <c r="B1717" s="185">
        <f t="array" ref="B1717">IF(F1717="VL","",IF(F1717="Free","Free",XLOOKUP(D1717,Roster!T:T,Roster!S:S,"",0)))</f>
        <v>125</v>
      </c>
      <c r="C1717" s="313">
        <v>46127.0</v>
      </c>
      <c r="D1717" s="314" t="s">
        <v>29</v>
      </c>
      <c r="E1717" s="307" t="str">
        <f t="array" ref="E1717">(XLOOKUP(D1717,Roster!F:F,Roster!B:B,"",0))</f>
        <v>Frank Marin</v>
      </c>
      <c r="F1717" s="315" t="str">
        <f t="array" ref="F1717">IF(B1717=100,"Free",TEXT(XLOOKUP($D1717,OperationVoice!$A:$A,OperationVoice!U:U,XLOOKUP($D1717,OperationTickets!$A:$A,OperationTickets!U:U,"",0)),"hh:mm"))</f>
        <v>08:00</v>
      </c>
      <c r="G1717" s="309">
        <f t="shared" si="3"/>
        <v>0.7083333333</v>
      </c>
      <c r="H1717" s="316" t="str">
        <f t="array" ref="H1717">XLOOKUP(B1717,Roster!L:L,Roster!N:N,XLOOKUP(D1717,TicketsBreak!A:A,TicketsBreak!E:E,"",0),0)</f>
        <v>10:30 - 10:45</v>
      </c>
      <c r="I1717" s="316" t="str">
        <f t="array" ref="I1717">XLOOKUP(B1717,Roster!L:L,Roster!O:O,XLOOKUP(D1717,TicketsBreak!A:A,TicketsBreak!F:F,"",0),0)</f>
        <v>13:30 - 14:00</v>
      </c>
      <c r="J1717" s="316" t="str">
        <f t="array" ref="J1717">XLOOKUP(B1717,Roster!L:L,Roster!P:P,XLOOKUP(D1717,TicketsBreak!A:A,TicketsBreak!G:G,"",0),0)</f>
        <v>15:45 - 16:00</v>
      </c>
      <c r="K1717" s="310">
        <f t="shared" si="4"/>
        <v>46127</v>
      </c>
      <c r="L1717" s="317">
        <f t="array" ref="L1717">(XLOOKUP(D1717,Roster!F:F,Roster!D:D,"",0))</f>
        <v>6</v>
      </c>
      <c r="M1717" s="317" t="str">
        <f t="array" ref="M1717">XLOOKUP(D1717,Roster!F:F,Roster!E:E)</f>
        <v>Voice</v>
      </c>
      <c r="N1717" s="317" t="str">
        <f t="shared" ref="N1717:P1717" si="1743">LEFT(H1717,5)</f>
        <v>10:30</v>
      </c>
      <c r="O1717" s="317" t="str">
        <f t="shared" si="1743"/>
        <v>13:30</v>
      </c>
      <c r="P1717" s="317" t="str">
        <f t="shared" si="1743"/>
        <v>15:45</v>
      </c>
      <c r="Q1717" s="318">
        <f t="shared" si="1657"/>
        <v>46127.4375</v>
      </c>
      <c r="R1717" s="318">
        <f t="shared" si="1658"/>
        <v>46127.5625</v>
      </c>
      <c r="S1717" s="318">
        <f t="shared" si="8"/>
        <v>46127.65625</v>
      </c>
    </row>
    <row r="1718">
      <c r="A1718" s="14" t="str">
        <f t="shared" si="1"/>
        <v>C154846127</v>
      </c>
      <c r="B1718" s="185">
        <f t="array" ref="B1718">IF(F1718="VL","",IF(F1718="Free","Free",XLOOKUP(D1718,Roster!T:T,Roster!S:S,"",0)))</f>
        <v>152</v>
      </c>
      <c r="C1718" s="313">
        <v>46127.0</v>
      </c>
      <c r="D1718" s="314" t="s">
        <v>30</v>
      </c>
      <c r="E1718" s="307" t="str">
        <f t="array" ref="E1718">(XLOOKUP(D1718,Roster!F:F,Roster!B:B,"",0))</f>
        <v>Frey ortiz</v>
      </c>
      <c r="F1718" s="315" t="str">
        <f t="array" ref="F1718">IF(B1718=100,"Free",TEXT(XLOOKUP($D1718,OperationVoice!$A:$A,OperationVoice!U:U,XLOOKUP($D1718,OperationTickets!$A:$A,OperationTickets!U:U,"",0)),"hh:mm"))</f>
        <v>11:00</v>
      </c>
      <c r="G1718" s="309">
        <f t="shared" si="3"/>
        <v>0.8333333333</v>
      </c>
      <c r="H1718" s="316" t="str">
        <f t="array" ref="H1718">XLOOKUP(B1718,Roster!L:L,Roster!N:N,XLOOKUP(D1718,TicketsBreak!A:A,TicketsBreak!E:E,"",0),0)</f>
        <v>12:30 - 12:45</v>
      </c>
      <c r="I1718" s="316" t="str">
        <f t="array" ref="I1718">XLOOKUP(B1718,Roster!L:L,Roster!O:O,XLOOKUP(D1718,TicketsBreak!A:A,TicketsBreak!F:F,"",0),0)</f>
        <v>14:30 - 15:00</v>
      </c>
      <c r="J1718" s="316" t="str">
        <f t="array" ref="J1718">XLOOKUP(B1718,Roster!L:L,Roster!P:P,XLOOKUP(D1718,TicketsBreak!A:A,TicketsBreak!G:G,"",0),0)</f>
        <v>17:30 - 17:45</v>
      </c>
      <c r="K1718" s="310">
        <f t="shared" si="4"/>
        <v>46127</v>
      </c>
      <c r="L1718" s="317">
        <f t="array" ref="L1718">(XLOOKUP(D1718,Roster!F:F,Roster!D:D,"",0))</f>
        <v>37</v>
      </c>
      <c r="M1718" s="317" t="str">
        <f t="array" ref="M1718">XLOOKUP(D1718,Roster!F:F,Roster!E:E)</f>
        <v>Voice</v>
      </c>
      <c r="N1718" s="317" t="str">
        <f t="shared" ref="N1718:P1718" si="1744">LEFT(H1718,5)</f>
        <v>12:30</v>
      </c>
      <c r="O1718" s="317" t="str">
        <f t="shared" si="1744"/>
        <v>14:30</v>
      </c>
      <c r="P1718" s="317" t="str">
        <f t="shared" si="1744"/>
        <v>17:30</v>
      </c>
      <c r="Q1718" s="318">
        <f t="shared" si="1657"/>
        <v>46127.52083</v>
      </c>
      <c r="R1718" s="318">
        <f t="shared" si="1658"/>
        <v>46127.60417</v>
      </c>
      <c r="S1718" s="318">
        <f t="shared" si="8"/>
        <v>46127.72917</v>
      </c>
    </row>
    <row r="1719">
      <c r="A1719" s="14" t="str">
        <f t="shared" si="1"/>
        <v>C148646127</v>
      </c>
      <c r="B1719" s="185">
        <f t="array" ref="B1719">IF(F1719="VL","",IF(F1719="Free","Free",XLOOKUP(D1719,Roster!T:T,Roster!S:S,"",0)))</f>
        <v>154</v>
      </c>
      <c r="C1719" s="313">
        <v>46127.0</v>
      </c>
      <c r="D1719" s="314" t="s">
        <v>31</v>
      </c>
      <c r="E1719" s="307" t="str">
        <f t="array" ref="E1719">(XLOOKUP(D1719,Roster!F:F,Roster!B:B,"",0))</f>
        <v>Gabriel Gomez</v>
      </c>
      <c r="F1719" s="315" t="str">
        <f t="array" ref="F1719">IF(B1719=100,"Free",TEXT(XLOOKUP($D1719,OperationVoice!$A:$A,OperationVoice!U:U,XLOOKUP($D1719,OperationTickets!$A:$A,OperationTickets!U:U,"",0)),"hh:mm"))</f>
        <v>11:00</v>
      </c>
      <c r="G1719" s="309">
        <f t="shared" si="3"/>
        <v>0.8333333333</v>
      </c>
      <c r="H1719" s="316" t="str">
        <f t="array" ref="H1719">XLOOKUP(B1719,Roster!L:L,Roster!N:N,XLOOKUP(D1719,TicketsBreak!A:A,TicketsBreak!E:E,"",0),0)</f>
        <v>13:00 - 13:15</v>
      </c>
      <c r="I1719" s="316" t="str">
        <f t="array" ref="I1719">XLOOKUP(B1719,Roster!L:L,Roster!O:O,XLOOKUP(D1719,TicketsBreak!A:A,TicketsBreak!F:F,"",0),0)</f>
        <v>15:15 - 15:45</v>
      </c>
      <c r="J1719" s="316" t="str">
        <f t="array" ref="J1719">XLOOKUP(B1719,Roster!L:L,Roster!P:P,XLOOKUP(D1719,TicketsBreak!A:A,TicketsBreak!G:G,"",0),0)</f>
        <v>18:00 - 18:15</v>
      </c>
      <c r="K1719" s="310">
        <f t="shared" si="4"/>
        <v>46127</v>
      </c>
      <c r="L1719" s="317">
        <f t="array" ref="L1719">(XLOOKUP(D1719,Roster!F:F,Roster!D:D,"",0))</f>
        <v>34</v>
      </c>
      <c r="M1719" s="317" t="str">
        <f t="array" ref="M1719">XLOOKUP(D1719,Roster!F:F,Roster!E:E)</f>
        <v>Voice</v>
      </c>
      <c r="N1719" s="317" t="str">
        <f t="shared" ref="N1719:P1719" si="1745">LEFT(H1719,5)</f>
        <v>13:00</v>
      </c>
      <c r="O1719" s="317" t="str">
        <f t="shared" si="1745"/>
        <v>15:15</v>
      </c>
      <c r="P1719" s="317" t="str">
        <f t="shared" si="1745"/>
        <v>18:00</v>
      </c>
      <c r="Q1719" s="318">
        <f t="shared" si="1657"/>
        <v>46127.54167</v>
      </c>
      <c r="R1719" s="318">
        <f t="shared" si="1658"/>
        <v>46127.63542</v>
      </c>
      <c r="S1719" s="318">
        <f t="shared" si="8"/>
        <v>46127.75</v>
      </c>
    </row>
    <row r="1720">
      <c r="A1720" s="14" t="str">
        <f t="shared" si="1"/>
        <v>C136946127</v>
      </c>
      <c r="B1720" s="185">
        <f t="array" ref="B1720">IF(F1720="VL","",IF(F1720="Free","Free",XLOOKUP(D1720,Roster!T:T,Roster!S:S,"",0)))</f>
        <v>126</v>
      </c>
      <c r="C1720" s="313">
        <v>46127.0</v>
      </c>
      <c r="D1720" s="314" t="s">
        <v>157</v>
      </c>
      <c r="E1720" s="307" t="str">
        <f t="array" ref="E1720">(XLOOKUP(D1720,Roster!F:F,Roster!B:B,"",0))</f>
        <v>Gabriela Jimenez</v>
      </c>
      <c r="F1720" s="315" t="str">
        <f t="array" ref="F1720">IF(B1720=100,"Free",TEXT(XLOOKUP($D1720,OperationVoice!$A:$A,OperationVoice!U:U,XLOOKUP($D1720,OperationTickets!$A:$A,OperationTickets!U:U,"",0)),"hh:mm"))</f>
        <v>08:00</v>
      </c>
      <c r="G1720" s="309">
        <f t="shared" si="3"/>
        <v>0.7083333333</v>
      </c>
      <c r="H1720" s="316" t="str">
        <f t="array" ref="H1720">XLOOKUP(B1720,Roster!L:L,Roster!N:N,XLOOKUP(D1720,TicketsBreak!A:A,TicketsBreak!E:E,"",0),0)</f>
        <v>10:45 - 11:00</v>
      </c>
      <c r="I1720" s="316" t="str">
        <f t="array" ref="I1720">XLOOKUP(B1720,Roster!L:L,Roster!O:O,XLOOKUP(D1720,TicketsBreak!A:A,TicketsBreak!F:F,"",0),0)</f>
        <v>14:00 - 14:30</v>
      </c>
      <c r="J1720" s="316" t="str">
        <f t="array" ref="J1720">XLOOKUP(B1720,Roster!L:L,Roster!P:P,XLOOKUP(D1720,TicketsBreak!A:A,TicketsBreak!G:G,"",0),0)</f>
        <v>15:45 - 16:00</v>
      </c>
      <c r="K1720" s="310">
        <f t="shared" si="4"/>
        <v>46127</v>
      </c>
      <c r="L1720" s="317">
        <f t="array" ref="L1720">(XLOOKUP(D1720,Roster!F:F,Roster!D:D,"",0))</f>
        <v>31</v>
      </c>
      <c r="M1720" s="317" t="str">
        <f t="array" ref="M1720">XLOOKUP(D1720,Roster!F:F,Roster!E:E)</f>
        <v>Tickets</v>
      </c>
      <c r="N1720" s="317" t="str">
        <f t="shared" ref="N1720:P1720" si="1746">LEFT(H1720,5)</f>
        <v>10:45</v>
      </c>
      <c r="O1720" s="317" t="str">
        <f t="shared" si="1746"/>
        <v>14:00</v>
      </c>
      <c r="P1720" s="317" t="str">
        <f t="shared" si="1746"/>
        <v>15:45</v>
      </c>
      <c r="Q1720" s="318">
        <f t="shared" si="1657"/>
        <v>46127.44792</v>
      </c>
      <c r="R1720" s="318">
        <f t="shared" si="1658"/>
        <v>46127.58333</v>
      </c>
      <c r="S1720" s="318">
        <f t="shared" si="8"/>
        <v>46127.65625</v>
      </c>
    </row>
    <row r="1721">
      <c r="A1721" s="14" t="str">
        <f t="shared" si="1"/>
        <v>C101746127</v>
      </c>
      <c r="B1721" s="185">
        <f t="array" ref="B1721">IF(F1721="VL","",IF(F1721="Free","Free",XLOOKUP(D1721,Roster!T:T,Roster!S:S,"",0)))</f>
        <v>121</v>
      </c>
      <c r="C1721" s="313">
        <v>46127.0</v>
      </c>
      <c r="D1721" s="314" t="s">
        <v>32</v>
      </c>
      <c r="E1721" s="307" t="str">
        <f t="array" ref="E1721">(XLOOKUP(D1721,Roster!F:F,Roster!B:B,"",0))</f>
        <v>Geraldine Correa</v>
      </c>
      <c r="F1721" s="315" t="str">
        <f t="array" ref="F1721">IF(B1721=100,"Free",TEXT(XLOOKUP($D1721,OperationVoice!$A:$A,OperationVoice!U:U,XLOOKUP($D1721,OperationTickets!$A:$A,OperationTickets!U:U,"",0)),"hh:mm"))</f>
        <v>08:00</v>
      </c>
      <c r="G1721" s="309">
        <f t="shared" si="3"/>
        <v>0.7083333333</v>
      </c>
      <c r="H1721" s="316" t="str">
        <f t="array" ref="H1721">XLOOKUP(B1721,Roster!L:L,Roster!N:N,XLOOKUP(D1721,TicketsBreak!A:A,TicketsBreak!E:E,"",0),0)</f>
        <v>09:15 - 09:30</v>
      </c>
      <c r="I1721" s="316" t="str">
        <f t="array" ref="I1721">XLOOKUP(B1721,Roster!L:L,Roster!O:O,XLOOKUP(D1721,TicketsBreak!A:A,TicketsBreak!F:F,"",0),0)</f>
        <v>11:30 - 12:00</v>
      </c>
      <c r="J1721" s="316" t="str">
        <f t="array" ref="J1721">XLOOKUP(B1721,Roster!L:L,Roster!P:P,XLOOKUP(D1721,TicketsBreak!A:A,TicketsBreak!G:G,"",0),0)</f>
        <v>14:30 - 14:45</v>
      </c>
      <c r="K1721" s="310">
        <f t="shared" si="4"/>
        <v>46127</v>
      </c>
      <c r="L1721" s="317">
        <f t="array" ref="L1721">(XLOOKUP(D1721,Roster!F:F,Roster!D:D,"",0))</f>
        <v>23</v>
      </c>
      <c r="M1721" s="317" t="str">
        <f t="array" ref="M1721">XLOOKUP(D1721,Roster!F:F,Roster!E:E)</f>
        <v>Voice</v>
      </c>
      <c r="N1721" s="317" t="str">
        <f t="shared" ref="N1721:P1721" si="1747">LEFT(H1721,5)</f>
        <v>09:15</v>
      </c>
      <c r="O1721" s="317" t="str">
        <f t="shared" si="1747"/>
        <v>11:30</v>
      </c>
      <c r="P1721" s="317" t="str">
        <f t="shared" si="1747"/>
        <v>14:30</v>
      </c>
      <c r="Q1721" s="318">
        <f t="shared" si="1657"/>
        <v>46127.38542</v>
      </c>
      <c r="R1721" s="318">
        <f t="shared" si="1658"/>
        <v>46127.47917</v>
      </c>
      <c r="S1721" s="318">
        <f t="shared" si="8"/>
        <v>46127.60417</v>
      </c>
    </row>
    <row r="1722">
      <c r="A1722" s="14" t="str">
        <f t="shared" si="1"/>
        <v>C154146127</v>
      </c>
      <c r="B1722" s="185" t="str">
        <f t="array" ref="B1722">IF(F1722="VL","",IF(F1722="Free","Free",XLOOKUP(D1722,Roster!T:T,Roster!S:S,"",0)))</f>
        <v>Free</v>
      </c>
      <c r="C1722" s="313">
        <v>46127.0</v>
      </c>
      <c r="D1722" s="314" t="s">
        <v>33</v>
      </c>
      <c r="E1722" s="307" t="str">
        <f t="array" ref="E1722">(XLOOKUP(D1722,Roster!F:F,Roster!B:B,"",0))</f>
        <v>Gisel Moya</v>
      </c>
      <c r="F1722" s="315" t="str">
        <f t="array" ref="F1722">IF(B1722=100,"Free",TEXT(XLOOKUP($D1722,OperationVoice!$A:$A,OperationVoice!U:U,XLOOKUP($D1722,OperationTickets!$A:$A,OperationTickets!U:U,"",0)),"hh:mm"))</f>
        <v>Free</v>
      </c>
      <c r="G1722" s="309" t="str">
        <f t="shared" si="3"/>
        <v>Free</v>
      </c>
      <c r="H1722" s="316" t="str">
        <f t="array" ref="H1722">XLOOKUP(B1722,Roster!L:L,Roster!N:N,XLOOKUP(D1722,TicketsBreak!A:A,TicketsBreak!E:E,"",0),0)</f>
        <v/>
      </c>
      <c r="I1722" s="316" t="str">
        <f t="array" ref="I1722">XLOOKUP(B1722,Roster!L:L,Roster!O:O,XLOOKUP(D1722,TicketsBreak!A:A,TicketsBreak!F:F,"",0),0)</f>
        <v/>
      </c>
      <c r="J1722" s="316" t="str">
        <f t="array" ref="J1722">XLOOKUP(B1722,Roster!L:L,Roster!P:P,XLOOKUP(D1722,TicketsBreak!A:A,TicketsBreak!G:G,"",0),0)</f>
        <v/>
      </c>
      <c r="K1722" s="310">
        <f t="shared" si="4"/>
        <v>46127</v>
      </c>
      <c r="L1722" s="317">
        <f t="array" ref="L1722">(XLOOKUP(D1722,Roster!F:F,Roster!D:D,"",0))</f>
        <v>36</v>
      </c>
      <c r="M1722" s="317" t="str">
        <f t="array" ref="M1722">XLOOKUP(D1722,Roster!F:F,Roster!E:E)</f>
        <v>Voice</v>
      </c>
      <c r="N1722" s="317" t="str">
        <f t="shared" ref="N1722:P1722" si="1748">LEFT(H1722,5)</f>
        <v/>
      </c>
      <c r="O1722" s="317" t="str">
        <f t="shared" si="1748"/>
        <v/>
      </c>
      <c r="P1722" s="317" t="str">
        <f t="shared" si="1748"/>
        <v/>
      </c>
      <c r="Q1722" s="318" t="str">
        <f t="shared" si="1657"/>
        <v/>
      </c>
      <c r="R1722" s="318" t="str">
        <f t="shared" si="1658"/>
        <v/>
      </c>
      <c r="S1722" s="318" t="str">
        <f t="shared" si="8"/>
        <v/>
      </c>
    </row>
    <row r="1723">
      <c r="A1723" s="14" t="str">
        <f t="shared" si="1"/>
        <v>C86046127</v>
      </c>
      <c r="B1723" s="185" t="str">
        <f t="array" ref="B1723">IF(F1723="VL","",IF(F1723="Free","Free",XLOOKUP(D1723,Roster!T:T,Roster!S:S,"",0)))</f>
        <v/>
      </c>
      <c r="C1723" s="313">
        <v>46127.0</v>
      </c>
      <c r="D1723" s="314" t="s">
        <v>158</v>
      </c>
      <c r="E1723" s="307" t="str">
        <f t="array" ref="E1723">(XLOOKUP(D1723,Roster!F:F,Roster!B:B,"",0))</f>
        <v>Ief Fabre</v>
      </c>
      <c r="F1723" s="315" t="str">
        <f t="array" ref="F1723">IF(B1723=100,"Free",TEXT(XLOOKUP($D1723,OperationVoice!$A:$A,OperationVoice!U:U,XLOOKUP($D1723,OperationTickets!$A:$A,OperationTickets!U:U,"",0)),"hh:mm"))</f>
        <v>08:00</v>
      </c>
      <c r="G1723" s="309">
        <f t="shared" si="3"/>
        <v>0.7083333333</v>
      </c>
      <c r="H1723" s="316">
        <f t="array" ref="H1723">XLOOKUP(B1723,Roster!L:L,Roster!N:N,XLOOKUP(D1723,TicketsBreak!A:A,TicketsBreak!E:E,"",0),0)</f>
        <v>0.4166666667</v>
      </c>
      <c r="I1723" s="316">
        <f t="array" ref="I1723">XLOOKUP(B1723,Roster!L:L,Roster!O:O,XLOOKUP(D1723,TicketsBreak!A:A,TicketsBreak!F:F,"",0),0)</f>
        <v>0.5</v>
      </c>
      <c r="J1723" s="316">
        <f t="array" ref="J1723">XLOOKUP(B1723,Roster!L:L,Roster!P:P,XLOOKUP(D1723,TicketsBreak!A:A,TicketsBreak!G:G,"",0),0)</f>
        <v>0.625</v>
      </c>
      <c r="K1723" s="310">
        <f t="shared" si="4"/>
        <v>46127</v>
      </c>
      <c r="L1723" s="317">
        <f t="array" ref="L1723">(XLOOKUP(D1723,Roster!F:F,Roster!D:D,"",0))</f>
        <v>10</v>
      </c>
      <c r="M1723" s="317" t="str">
        <f t="array" ref="M1723">XLOOKUP(D1723,Roster!F:F,Roster!E:E)</f>
        <v>Tickets</v>
      </c>
      <c r="N1723" s="317" t="str">
        <f t="shared" ref="N1723:P1723" si="1749">LEFT(H1723,5)</f>
        <v>10:00</v>
      </c>
      <c r="O1723" s="317" t="str">
        <f t="shared" si="1749"/>
        <v>12:00</v>
      </c>
      <c r="P1723" s="317" t="str">
        <f t="shared" si="1749"/>
        <v>15:00</v>
      </c>
      <c r="Q1723" s="318">
        <f t="shared" si="1657"/>
        <v>46127.41667</v>
      </c>
      <c r="R1723" s="318">
        <f t="shared" si="1658"/>
        <v>46127.5</v>
      </c>
      <c r="S1723" s="318">
        <f t="shared" si="8"/>
        <v>46127.625</v>
      </c>
    </row>
    <row r="1724">
      <c r="A1724" s="14" t="str">
        <f t="shared" si="1"/>
        <v>C148146127</v>
      </c>
      <c r="B1724" s="185">
        <f t="array" ref="B1724">IF(F1724="VL","",IF(F1724="Free","Free",XLOOKUP(D1724,Roster!T:T,Roster!S:S,"",0)))</f>
        <v>155</v>
      </c>
      <c r="C1724" s="313">
        <v>46127.0</v>
      </c>
      <c r="D1724" s="314" t="s">
        <v>34</v>
      </c>
      <c r="E1724" s="307" t="str">
        <f t="array" ref="E1724">(XLOOKUP(D1724,Roster!F:F,Roster!B:B,"",0))</f>
        <v>Jasam Mejia</v>
      </c>
      <c r="F1724" s="315" t="str">
        <f t="array" ref="F1724">IF(B1724=100,"Free",TEXT(XLOOKUP($D1724,OperationVoice!$A:$A,OperationVoice!U:U,XLOOKUP($D1724,OperationTickets!$A:$A,OperationTickets!U:U,"",0)),"hh:mm"))</f>
        <v>11:00</v>
      </c>
      <c r="G1724" s="309">
        <f t="shared" si="3"/>
        <v>0.8333333333</v>
      </c>
      <c r="H1724" s="316" t="str">
        <f t="array" ref="H1724">XLOOKUP(B1724,Roster!L:L,Roster!N:N,XLOOKUP(D1724,TicketsBreak!A:A,TicketsBreak!E:E,"",0),0)</f>
        <v>13:15 - 13:30</v>
      </c>
      <c r="I1724" s="316" t="str">
        <f t="array" ref="I1724">XLOOKUP(B1724,Roster!L:L,Roster!O:O,XLOOKUP(D1724,TicketsBreak!A:A,TicketsBreak!F:F,"",0),0)</f>
        <v>15:45 - 16:15</v>
      </c>
      <c r="J1724" s="316" t="str">
        <f t="array" ref="J1724">XLOOKUP(B1724,Roster!L:L,Roster!P:P,XLOOKUP(D1724,TicketsBreak!A:A,TicketsBreak!G:G,"",0),0)</f>
        <v>18:15 - 18:30</v>
      </c>
      <c r="K1724" s="310">
        <f t="shared" si="4"/>
        <v>46127</v>
      </c>
      <c r="L1724" s="317">
        <f t="array" ref="L1724">(XLOOKUP(D1724,Roster!F:F,Roster!D:D,"",0))</f>
        <v>34</v>
      </c>
      <c r="M1724" s="317" t="str">
        <f t="array" ref="M1724">XLOOKUP(D1724,Roster!F:F,Roster!E:E)</f>
        <v>Voice</v>
      </c>
      <c r="N1724" s="317" t="str">
        <f t="shared" ref="N1724:P1724" si="1750">LEFT(H1724,5)</f>
        <v>13:15</v>
      </c>
      <c r="O1724" s="317" t="str">
        <f t="shared" si="1750"/>
        <v>15:45</v>
      </c>
      <c r="P1724" s="317" t="str">
        <f t="shared" si="1750"/>
        <v>18:15</v>
      </c>
      <c r="Q1724" s="318">
        <f t="shared" si="1657"/>
        <v>46127.55208</v>
      </c>
      <c r="R1724" s="318">
        <f t="shared" si="1658"/>
        <v>46127.65625</v>
      </c>
      <c r="S1724" s="318">
        <f t="shared" si="8"/>
        <v>46127.76042</v>
      </c>
    </row>
    <row r="1725">
      <c r="A1725" s="14" t="str">
        <f t="shared" si="1"/>
        <v>C131846127</v>
      </c>
      <c r="B1725" s="185" t="str">
        <f t="array" ref="B1725">IF(F1725="VL","",IF(F1725="Free","Free",XLOOKUP(D1725,Roster!T:T,Roster!S:S,"",0)))</f>
        <v/>
      </c>
      <c r="C1725" s="313">
        <v>46127.0</v>
      </c>
      <c r="D1725" s="314" t="s">
        <v>159</v>
      </c>
      <c r="E1725" s="307" t="str">
        <f t="array" ref="E1725">(XLOOKUP(D1725,Roster!F:F,Roster!B:B,"",0))</f>
        <v>Jeampierre Jaramillo</v>
      </c>
      <c r="F1725" s="315" t="str">
        <f t="array" ref="F1725">IF(B1725=100,"Free",TEXT(XLOOKUP($D1725,OperationVoice!$A:$A,OperationVoice!U:U,XLOOKUP($D1725,OperationTickets!$A:$A,OperationTickets!U:U,"",0)),"hh:mm"))</f>
        <v>07:00</v>
      </c>
      <c r="G1725" s="309">
        <f t="shared" si="3"/>
        <v>0.6666666667</v>
      </c>
      <c r="H1725" s="316" t="str">
        <f t="array" ref="H1725">XLOOKUP(B1725,Roster!L:L,Roster!N:N,XLOOKUP(D1725,TicketsBreak!A:A,TicketsBreak!E:E,"",0),0)</f>
        <v/>
      </c>
      <c r="I1725" s="316" t="str">
        <f t="array" ref="I1725">XLOOKUP(B1725,Roster!L:L,Roster!O:O,XLOOKUP(D1725,TicketsBreak!A:A,TicketsBreak!F:F,"",0),0)</f>
        <v/>
      </c>
      <c r="J1725" s="316" t="str">
        <f t="array" ref="J1725">XLOOKUP(B1725,Roster!L:L,Roster!P:P,XLOOKUP(D1725,TicketsBreak!A:A,TicketsBreak!G:G,"",0),0)</f>
        <v/>
      </c>
      <c r="K1725" s="310">
        <f t="shared" si="4"/>
        <v>46127</v>
      </c>
      <c r="L1725" s="317">
        <f t="array" ref="L1725">(XLOOKUP(D1725,Roster!F:F,Roster!D:D,"",0))</f>
        <v>29</v>
      </c>
      <c r="M1725" s="317" t="str">
        <f t="array" ref="M1725">XLOOKUP(D1725,Roster!F:F,Roster!E:E)</f>
        <v>Tickets</v>
      </c>
      <c r="N1725" s="317" t="str">
        <f t="shared" ref="N1725:P1725" si="1751">LEFT(H1725,5)</f>
        <v/>
      </c>
      <c r="O1725" s="317" t="str">
        <f t="shared" si="1751"/>
        <v/>
      </c>
      <c r="P1725" s="317" t="str">
        <f t="shared" si="1751"/>
        <v/>
      </c>
      <c r="Q1725" s="318" t="str">
        <f t="shared" si="1657"/>
        <v/>
      </c>
      <c r="R1725" s="318" t="str">
        <f t="shared" si="1658"/>
        <v/>
      </c>
      <c r="S1725" s="318" t="str">
        <f t="shared" si="8"/>
        <v/>
      </c>
    </row>
    <row r="1726">
      <c r="A1726" s="14" t="str">
        <f t="shared" si="1"/>
        <v>C155046127</v>
      </c>
      <c r="B1726" s="185">
        <f t="array" ref="B1726">IF(F1726="VL","",IF(F1726="Free","Free",XLOOKUP(D1726,Roster!T:T,Roster!S:S,"",0)))</f>
        <v>126</v>
      </c>
      <c r="C1726" s="313">
        <v>46127.0</v>
      </c>
      <c r="D1726" s="314" t="s">
        <v>35</v>
      </c>
      <c r="E1726" s="307" t="str">
        <f t="array" ref="E1726">(XLOOKUP(D1726,Roster!F:F,Roster!B:B,"",0))</f>
        <v>Jeidin Vargas</v>
      </c>
      <c r="F1726" s="315" t="str">
        <f t="array" ref="F1726">IF(B1726=100,"Free",TEXT(XLOOKUP($D1726,OperationVoice!$A:$A,OperationVoice!U:U,XLOOKUP($D1726,OperationTickets!$A:$A,OperationTickets!U:U,"",0)),"hh:mm"))</f>
        <v>08:00</v>
      </c>
      <c r="G1726" s="309">
        <f t="shared" si="3"/>
        <v>0.7083333333</v>
      </c>
      <c r="H1726" s="316" t="str">
        <f t="array" ref="H1726">XLOOKUP(B1726,Roster!L:L,Roster!N:N,XLOOKUP(D1726,TicketsBreak!A:A,TicketsBreak!E:E,"",0),0)</f>
        <v>10:45 - 11:00</v>
      </c>
      <c r="I1726" s="316" t="str">
        <f t="array" ref="I1726">XLOOKUP(B1726,Roster!L:L,Roster!O:O,XLOOKUP(D1726,TicketsBreak!A:A,TicketsBreak!F:F,"",0),0)</f>
        <v>14:00 - 14:30</v>
      </c>
      <c r="J1726" s="316" t="str">
        <f t="array" ref="J1726">XLOOKUP(B1726,Roster!L:L,Roster!P:P,XLOOKUP(D1726,TicketsBreak!A:A,TicketsBreak!G:G,"",0),0)</f>
        <v>15:45 - 16:00</v>
      </c>
      <c r="K1726" s="310">
        <f t="shared" si="4"/>
        <v>46127</v>
      </c>
      <c r="L1726" s="317">
        <f t="array" ref="L1726">(XLOOKUP(D1726,Roster!F:F,Roster!D:D,"",0))</f>
        <v>37</v>
      </c>
      <c r="M1726" s="317" t="str">
        <f t="array" ref="M1726">XLOOKUP(D1726,Roster!F:F,Roster!E:E)</f>
        <v>Voice</v>
      </c>
      <c r="N1726" s="317" t="str">
        <f t="shared" ref="N1726:P1726" si="1752">LEFT(H1726,5)</f>
        <v>10:45</v>
      </c>
      <c r="O1726" s="317" t="str">
        <f t="shared" si="1752"/>
        <v>14:00</v>
      </c>
      <c r="P1726" s="317" t="str">
        <f t="shared" si="1752"/>
        <v>15:45</v>
      </c>
      <c r="Q1726" s="318">
        <f t="shared" si="1657"/>
        <v>46127.44792</v>
      </c>
      <c r="R1726" s="318">
        <f t="shared" si="1658"/>
        <v>46127.58333</v>
      </c>
      <c r="S1726" s="318">
        <f t="shared" si="8"/>
        <v>46127.65625</v>
      </c>
    </row>
    <row r="1727">
      <c r="A1727" s="14" t="str">
        <f t="shared" si="1"/>
        <v>C51246127</v>
      </c>
      <c r="B1727" s="185">
        <f t="array" ref="B1727">IF(F1727="VL","",IF(F1727="Free","Free",XLOOKUP(D1727,Roster!T:T,Roster!S:S,"",0)))</f>
        <v>122</v>
      </c>
      <c r="C1727" s="313">
        <v>46127.0</v>
      </c>
      <c r="D1727" s="314" t="s">
        <v>36</v>
      </c>
      <c r="E1727" s="307" t="str">
        <f t="array" ref="E1727">(XLOOKUP(D1727,Roster!F:F,Roster!B:B,"",0))</f>
        <v>Jhoam Quiroz</v>
      </c>
      <c r="F1727" s="315" t="str">
        <f t="array" ref="F1727">IF(B1727=100,"Free",TEXT(XLOOKUP($D1727,OperationVoice!$A:$A,OperationVoice!U:U,XLOOKUP($D1727,OperationTickets!$A:$A,OperationTickets!U:U,"",0)),"hh:mm"))</f>
        <v>08:00</v>
      </c>
      <c r="G1727" s="309">
        <f t="shared" si="3"/>
        <v>0.7083333333</v>
      </c>
      <c r="H1727" s="316" t="str">
        <f t="array" ref="H1727">XLOOKUP(B1727,Roster!L:L,Roster!N:N,XLOOKUP(D1727,TicketsBreak!A:A,TicketsBreak!E:E,"",0),0)</f>
        <v>09:30 - 09:45</v>
      </c>
      <c r="I1727" s="316" t="str">
        <f t="array" ref="I1727">XLOOKUP(B1727,Roster!L:L,Roster!O:O,XLOOKUP(D1727,TicketsBreak!A:A,TicketsBreak!F:F,"",0),0)</f>
        <v>12:00 - 12:30</v>
      </c>
      <c r="J1727" s="316" t="str">
        <f t="array" ref="J1727">XLOOKUP(B1727,Roster!L:L,Roster!P:P,XLOOKUP(D1727,TicketsBreak!A:A,TicketsBreak!G:G,"",0),0)</f>
        <v>14:45 - 15:00</v>
      </c>
      <c r="K1727" s="310">
        <f t="shared" si="4"/>
        <v>46127</v>
      </c>
      <c r="L1727" s="317">
        <f t="array" ref="L1727">(XLOOKUP(D1727,Roster!F:F,Roster!D:D,"",0))</f>
        <v>1</v>
      </c>
      <c r="M1727" s="317" t="str">
        <f t="array" ref="M1727">XLOOKUP(D1727,Roster!F:F,Roster!E:E)</f>
        <v>Voice</v>
      </c>
      <c r="N1727" s="317" t="str">
        <f t="shared" ref="N1727:P1727" si="1753">LEFT(H1727,5)</f>
        <v>09:30</v>
      </c>
      <c r="O1727" s="317" t="str">
        <f t="shared" si="1753"/>
        <v>12:00</v>
      </c>
      <c r="P1727" s="317" t="str">
        <f t="shared" si="1753"/>
        <v>14:45</v>
      </c>
      <c r="Q1727" s="318">
        <f t="shared" si="1657"/>
        <v>46127.39583</v>
      </c>
      <c r="R1727" s="318">
        <f t="shared" si="1658"/>
        <v>46127.5</v>
      </c>
      <c r="S1727" s="318">
        <f t="shared" si="8"/>
        <v>46127.61458</v>
      </c>
    </row>
    <row r="1728">
      <c r="A1728" s="14" t="str">
        <f t="shared" si="1"/>
        <v>C150946127</v>
      </c>
      <c r="B1728" s="185">
        <f t="array" ref="B1728">IF(F1728="VL","",IF(F1728="Free","Free",XLOOKUP(D1728,Roster!T:T,Roster!S:S,"",0)))</f>
        <v>121</v>
      </c>
      <c r="C1728" s="313">
        <v>46127.0</v>
      </c>
      <c r="D1728" s="314" t="s">
        <v>37</v>
      </c>
      <c r="E1728" s="307" t="str">
        <f t="array" ref="E1728">(XLOOKUP(D1728,Roster!F:F,Roster!B:B,"",0))</f>
        <v>Jhonatan Gomez</v>
      </c>
      <c r="F1728" s="315" t="str">
        <f t="array" ref="F1728">IF(B1728=100,"Free",TEXT(XLOOKUP($D1728,OperationVoice!$A:$A,OperationVoice!U:U,XLOOKUP($D1728,OperationTickets!$A:$A,OperationTickets!U:U,"",0)),"hh:mm"))</f>
        <v>08:00</v>
      </c>
      <c r="G1728" s="309">
        <f t="shared" si="3"/>
        <v>0.7083333333</v>
      </c>
      <c r="H1728" s="316" t="str">
        <f t="array" ref="H1728">XLOOKUP(B1728,Roster!L:L,Roster!N:N,XLOOKUP(D1728,TicketsBreak!A:A,TicketsBreak!E:E,"",0),0)</f>
        <v>09:15 - 09:30</v>
      </c>
      <c r="I1728" s="316" t="str">
        <f t="array" ref="I1728">XLOOKUP(B1728,Roster!L:L,Roster!O:O,XLOOKUP(D1728,TicketsBreak!A:A,TicketsBreak!F:F,"",0),0)</f>
        <v>11:30 - 12:00</v>
      </c>
      <c r="J1728" s="316" t="str">
        <f t="array" ref="J1728">XLOOKUP(B1728,Roster!L:L,Roster!P:P,XLOOKUP(D1728,TicketsBreak!A:A,TicketsBreak!G:G,"",0),0)</f>
        <v>14:30 - 14:45</v>
      </c>
      <c r="K1728" s="310">
        <f t="shared" si="4"/>
        <v>46127</v>
      </c>
      <c r="L1728" s="317">
        <f t="array" ref="L1728">(XLOOKUP(D1728,Roster!F:F,Roster!D:D,"",0))</f>
        <v>35</v>
      </c>
      <c r="M1728" s="317" t="str">
        <f t="array" ref="M1728">XLOOKUP(D1728,Roster!F:F,Roster!E:E)</f>
        <v>Voice</v>
      </c>
      <c r="N1728" s="317" t="str">
        <f t="shared" ref="N1728:P1728" si="1754">LEFT(H1728,5)</f>
        <v>09:15</v>
      </c>
      <c r="O1728" s="317" t="str">
        <f t="shared" si="1754"/>
        <v>11:30</v>
      </c>
      <c r="P1728" s="317" t="str">
        <f t="shared" si="1754"/>
        <v>14:30</v>
      </c>
      <c r="Q1728" s="318">
        <f t="shared" si="1657"/>
        <v>46127.38542</v>
      </c>
      <c r="R1728" s="318">
        <f t="shared" si="1658"/>
        <v>46127.47917</v>
      </c>
      <c r="S1728" s="318">
        <f t="shared" si="8"/>
        <v>46127.60417</v>
      </c>
    </row>
    <row r="1729">
      <c r="A1729" s="14" t="str">
        <f t="shared" si="1"/>
        <v>C151546127</v>
      </c>
      <c r="B1729" s="185">
        <f t="array" ref="B1729">IF(F1729="VL","",IF(F1729="Free","Free",XLOOKUP(D1729,Roster!T:T,Roster!S:S,"",0)))</f>
        <v>151</v>
      </c>
      <c r="C1729" s="313">
        <v>46127.0</v>
      </c>
      <c r="D1729" s="314" t="s">
        <v>38</v>
      </c>
      <c r="E1729" s="307" t="str">
        <f t="array" ref="E1729">(XLOOKUP(D1729,Roster!F:F,Roster!B:B,"",0))</f>
        <v>Joan Perez</v>
      </c>
      <c r="F1729" s="315" t="str">
        <f t="array" ref="F1729">IF(B1729=100,"Free",TEXT(XLOOKUP($D1729,OperationVoice!$A:$A,OperationVoice!U:U,XLOOKUP($D1729,OperationTickets!$A:$A,OperationTickets!U:U,"",0)),"hh:mm"))</f>
        <v/>
      </c>
      <c r="G1729" s="309" t="str">
        <f t="shared" si="3"/>
        <v/>
      </c>
      <c r="H1729" s="316" t="str">
        <f t="array" ref="H1729">XLOOKUP(B1729,Roster!L:L,Roster!N:N,XLOOKUP(D1729,TicketsBreak!A:A,TicketsBreak!E:E,"",0),0)</f>
        <v>12:15 - 12:30</v>
      </c>
      <c r="I1729" s="316" t="str">
        <f t="array" ref="I1729">XLOOKUP(B1729,Roster!L:L,Roster!O:O,XLOOKUP(D1729,TicketsBreak!A:A,TicketsBreak!F:F,"",0),0)</f>
        <v>14:00 - 14:30</v>
      </c>
      <c r="J1729" s="316" t="str">
        <f t="array" ref="J1729">XLOOKUP(B1729,Roster!L:L,Roster!P:P,XLOOKUP(D1729,TicketsBreak!A:A,TicketsBreak!G:G,"",0),0)</f>
        <v>17:15 - 17:30</v>
      </c>
      <c r="K1729" s="310">
        <f t="shared" si="4"/>
        <v>46127</v>
      </c>
      <c r="L1729" s="317">
        <f t="array" ref="L1729">(XLOOKUP(D1729,Roster!F:F,Roster!D:D,"",0))</f>
        <v>35</v>
      </c>
      <c r="M1729" s="317" t="str">
        <f t="array" ref="M1729">XLOOKUP(D1729,Roster!F:F,Roster!E:E)</f>
        <v>Voice</v>
      </c>
      <c r="N1729" s="317" t="str">
        <f t="shared" ref="N1729:P1729" si="1755">LEFT(H1729,5)</f>
        <v>12:15</v>
      </c>
      <c r="O1729" s="317" t="str">
        <f t="shared" si="1755"/>
        <v>14:00</v>
      </c>
      <c r="P1729" s="317" t="str">
        <f t="shared" si="1755"/>
        <v>17:15</v>
      </c>
      <c r="Q1729" s="318">
        <f t="shared" si="1657"/>
        <v>46127.51042</v>
      </c>
      <c r="R1729" s="318">
        <f t="shared" si="1658"/>
        <v>46127.58333</v>
      </c>
      <c r="S1729" s="318">
        <f t="shared" si="8"/>
        <v>46127.71875</v>
      </c>
    </row>
    <row r="1730">
      <c r="A1730" s="14" t="str">
        <f t="shared" si="1"/>
        <v>C128946127</v>
      </c>
      <c r="B1730" s="185" t="str">
        <f t="array" ref="B1730">IF(F1730="VL","",IF(F1730="Free","Free",XLOOKUP(D1730,Roster!T:T,Roster!S:S,"",0)))</f>
        <v/>
      </c>
      <c r="C1730" s="313">
        <v>46127.0</v>
      </c>
      <c r="D1730" s="314" t="s">
        <v>140</v>
      </c>
      <c r="E1730" s="307" t="str">
        <f t="array" ref="E1730">(XLOOKUP(D1730,Roster!F:F,Roster!B:B,"",0))</f>
        <v>Johana Villarreal</v>
      </c>
      <c r="F1730" s="315" t="str">
        <f t="array" ref="F1730">IF(B1730=100,"Free",TEXT(XLOOKUP($D1730,OperationVoice!$A:$A,OperationVoice!U:U,XLOOKUP($D1730,OperationTickets!$A:$A,OperationTickets!U:U,"",0)),"hh:mm"))</f>
        <v>07:00</v>
      </c>
      <c r="G1730" s="309">
        <f t="shared" si="3"/>
        <v>0.6666666667</v>
      </c>
      <c r="H1730" s="316" t="str">
        <f t="array" ref="H1730">XLOOKUP(B1730,Roster!L:L,Roster!N:N,XLOOKUP(D1730,TicketsBreak!A:A,TicketsBreak!E:E,"",0),0)</f>
        <v/>
      </c>
      <c r="I1730" s="316" t="str">
        <f t="array" ref="I1730">XLOOKUP(B1730,Roster!L:L,Roster!O:O,XLOOKUP(D1730,TicketsBreak!A:A,TicketsBreak!F:F,"",0),0)</f>
        <v/>
      </c>
      <c r="J1730" s="316" t="str">
        <f t="array" ref="J1730">XLOOKUP(B1730,Roster!L:L,Roster!P:P,XLOOKUP(D1730,TicketsBreak!A:A,TicketsBreak!G:G,"",0),0)</f>
        <v/>
      </c>
      <c r="K1730" s="310">
        <f t="shared" si="4"/>
        <v>46127</v>
      </c>
      <c r="L1730" s="317">
        <f t="array" ref="L1730">(XLOOKUP(D1730,Roster!F:F,Roster!D:D,"",0))</f>
        <v>28</v>
      </c>
      <c r="M1730" s="317" t="str">
        <f t="array" ref="M1730">XLOOKUP(D1730,Roster!F:F,Roster!E:E)</f>
        <v>Tickets</v>
      </c>
      <c r="N1730" s="317" t="str">
        <f t="shared" ref="N1730:P1730" si="1756">LEFT(H1730,5)</f>
        <v/>
      </c>
      <c r="O1730" s="317" t="str">
        <f t="shared" si="1756"/>
        <v/>
      </c>
      <c r="P1730" s="317" t="str">
        <f t="shared" si="1756"/>
        <v/>
      </c>
      <c r="Q1730" s="318" t="str">
        <f t="shared" si="1657"/>
        <v/>
      </c>
      <c r="R1730" s="318" t="str">
        <f t="shared" si="1658"/>
        <v/>
      </c>
      <c r="S1730" s="318" t="str">
        <f t="shared" si="8"/>
        <v/>
      </c>
    </row>
    <row r="1731">
      <c r="A1731" s="14" t="str">
        <f t="shared" si="1"/>
        <v>C155146127</v>
      </c>
      <c r="B1731" s="185">
        <f t="array" ref="B1731">IF(F1731="VL","",IF(F1731="Free","Free",XLOOKUP(D1731,Roster!T:T,Roster!S:S,"",0)))</f>
        <v>124</v>
      </c>
      <c r="C1731" s="313">
        <v>46127.0</v>
      </c>
      <c r="D1731" s="314" t="s">
        <v>39</v>
      </c>
      <c r="E1731" s="307" t="str">
        <f t="array" ref="E1731">(XLOOKUP(D1731,Roster!F:F,Roster!B:B,"",0))</f>
        <v>John Atilano</v>
      </c>
      <c r="F1731" s="315" t="str">
        <f t="array" ref="F1731">IF(B1731=100,"Free",TEXT(XLOOKUP($D1731,OperationVoice!$A:$A,OperationVoice!U:U,XLOOKUP($D1731,OperationTickets!$A:$A,OperationTickets!U:U,"",0)),"hh:mm"))</f>
        <v>08:00</v>
      </c>
      <c r="G1731" s="309">
        <f t="shared" si="3"/>
        <v>0.7083333333</v>
      </c>
      <c r="H1731" s="316" t="str">
        <f t="array" ref="H1731">XLOOKUP(B1731,Roster!L:L,Roster!N:N,XLOOKUP(D1731,TicketsBreak!A:A,TicketsBreak!E:E,"",0),0)</f>
        <v>10:00 - 10:15</v>
      </c>
      <c r="I1731" s="316" t="str">
        <f t="array" ref="I1731">XLOOKUP(B1731,Roster!L:L,Roster!O:O,XLOOKUP(D1731,TicketsBreak!A:A,TicketsBreak!F:F,"",0),0)</f>
        <v>13:00 - 13:30</v>
      </c>
      <c r="J1731" s="316" t="str">
        <f t="array" ref="J1731">XLOOKUP(B1731,Roster!L:L,Roster!P:P,XLOOKUP(D1731,TicketsBreak!A:A,TicketsBreak!G:G,"",0),0)</f>
        <v>15:30 - 15:45</v>
      </c>
      <c r="K1731" s="310">
        <f t="shared" si="4"/>
        <v>46127</v>
      </c>
      <c r="L1731" s="317">
        <f t="array" ref="L1731">(XLOOKUP(D1731,Roster!F:F,Roster!D:D,"",0))</f>
        <v>37</v>
      </c>
      <c r="M1731" s="317" t="str">
        <f t="array" ref="M1731">XLOOKUP(D1731,Roster!F:F,Roster!E:E)</f>
        <v>Voice</v>
      </c>
      <c r="N1731" s="317" t="str">
        <f t="shared" ref="N1731:P1731" si="1757">LEFT(H1731,5)</f>
        <v>10:00</v>
      </c>
      <c r="O1731" s="317" t="str">
        <f t="shared" si="1757"/>
        <v>13:00</v>
      </c>
      <c r="P1731" s="317" t="str">
        <f t="shared" si="1757"/>
        <v>15:30</v>
      </c>
      <c r="Q1731" s="318">
        <f t="shared" si="1657"/>
        <v>46127.41667</v>
      </c>
      <c r="R1731" s="318">
        <f t="shared" si="1658"/>
        <v>46127.54167</v>
      </c>
      <c r="S1731" s="318">
        <f t="shared" si="8"/>
        <v>46127.64583</v>
      </c>
    </row>
    <row r="1732">
      <c r="A1732" s="14" t="str">
        <f t="shared" si="1"/>
        <v>C154346127</v>
      </c>
      <c r="B1732" s="185">
        <f t="array" ref="B1732">IF(F1732="VL","",IF(F1732="Free","Free",XLOOKUP(D1732,Roster!T:T,Roster!S:S,"",0)))</f>
        <v>134</v>
      </c>
      <c r="C1732" s="313">
        <v>46127.0</v>
      </c>
      <c r="D1732" s="314" t="s">
        <v>40</v>
      </c>
      <c r="E1732" s="307" t="str">
        <f t="array" ref="E1732">(XLOOKUP(D1732,Roster!F:F,Roster!B:B,"",0))</f>
        <v>John Palacio</v>
      </c>
      <c r="F1732" s="315" t="str">
        <f t="array" ref="F1732">IF(B1732=100,"Free",TEXT(XLOOKUP($D1732,OperationVoice!$A:$A,OperationVoice!U:U,XLOOKUP($D1732,OperationTickets!$A:$A,OperationTickets!U:U,"",0)),"hh:mm"))</f>
        <v>09:00</v>
      </c>
      <c r="G1732" s="309">
        <f t="shared" si="3"/>
        <v>0.75</v>
      </c>
      <c r="H1732" s="316" t="str">
        <f t="array" ref="H1732">XLOOKUP(B1732,Roster!L:L,Roster!N:N,XLOOKUP(D1732,TicketsBreak!A:A,TicketsBreak!E:E,"",0),0)</f>
        <v>11:00 - 11:15</v>
      </c>
      <c r="I1732" s="316" t="str">
        <f t="array" ref="I1732">XLOOKUP(B1732,Roster!L:L,Roster!O:O,XLOOKUP(D1732,TicketsBreak!A:A,TicketsBreak!F:F,"",0),0)</f>
        <v>13:45 - 14:15</v>
      </c>
      <c r="J1732" s="316" t="str">
        <f t="array" ref="J1732">XLOOKUP(B1732,Roster!L:L,Roster!P:P,XLOOKUP(D1732,TicketsBreak!A:A,TicketsBreak!G:G,"",0),0)</f>
        <v>16:00 - 16:15</v>
      </c>
      <c r="K1732" s="310">
        <f t="shared" si="4"/>
        <v>46127</v>
      </c>
      <c r="L1732" s="317">
        <f t="array" ref="L1732">(XLOOKUP(D1732,Roster!F:F,Roster!D:D,"",0))</f>
        <v>36</v>
      </c>
      <c r="M1732" s="317" t="str">
        <f t="array" ref="M1732">XLOOKUP(D1732,Roster!F:F,Roster!E:E)</f>
        <v>Voice</v>
      </c>
      <c r="N1732" s="317" t="str">
        <f t="shared" ref="N1732:P1732" si="1758">LEFT(H1732,5)</f>
        <v>11:00</v>
      </c>
      <c r="O1732" s="317" t="str">
        <f t="shared" si="1758"/>
        <v>13:45</v>
      </c>
      <c r="P1732" s="317" t="str">
        <f t="shared" si="1758"/>
        <v>16:00</v>
      </c>
      <c r="Q1732" s="318">
        <f t="shared" si="1657"/>
        <v>46127.45833</v>
      </c>
      <c r="R1732" s="318">
        <f t="shared" si="1658"/>
        <v>46127.57292</v>
      </c>
      <c r="S1732" s="318">
        <f t="shared" si="8"/>
        <v>46127.66667</v>
      </c>
    </row>
    <row r="1733">
      <c r="A1733" s="14" t="str">
        <f t="shared" si="1"/>
        <v>C154246127</v>
      </c>
      <c r="B1733" s="185">
        <f t="array" ref="B1733">IF(F1733="VL","",IF(F1733="Free","Free",XLOOKUP(D1733,Roster!T:T,Roster!S:S,"",0)))</f>
        <v>124</v>
      </c>
      <c r="C1733" s="313">
        <v>46127.0</v>
      </c>
      <c r="D1733" s="314" t="s">
        <v>41</v>
      </c>
      <c r="E1733" s="307" t="str">
        <f t="array" ref="E1733">(XLOOKUP(D1733,Roster!F:F,Roster!B:B,"",0))</f>
        <v>Johny Garcia</v>
      </c>
      <c r="F1733" s="315" t="str">
        <f t="array" ref="F1733">IF(B1733=100,"Free",TEXT(XLOOKUP($D1733,OperationVoice!$A:$A,OperationVoice!U:U,XLOOKUP($D1733,OperationTickets!$A:$A,OperationTickets!U:U,"",0)),"hh:mm"))</f>
        <v>08:00</v>
      </c>
      <c r="G1733" s="309">
        <f t="shared" si="3"/>
        <v>0.7083333333</v>
      </c>
      <c r="H1733" s="316" t="str">
        <f t="array" ref="H1733">XLOOKUP(B1733,Roster!L:L,Roster!N:N,XLOOKUP(D1733,TicketsBreak!A:A,TicketsBreak!E:E,"",0),0)</f>
        <v>10:00 - 10:15</v>
      </c>
      <c r="I1733" s="316" t="str">
        <f t="array" ref="I1733">XLOOKUP(B1733,Roster!L:L,Roster!O:O,XLOOKUP(D1733,TicketsBreak!A:A,TicketsBreak!F:F,"",0),0)</f>
        <v>13:00 - 13:30</v>
      </c>
      <c r="J1733" s="316" t="str">
        <f t="array" ref="J1733">XLOOKUP(B1733,Roster!L:L,Roster!P:P,XLOOKUP(D1733,TicketsBreak!A:A,TicketsBreak!G:G,"",0),0)</f>
        <v>15:30 - 15:45</v>
      </c>
      <c r="K1733" s="310">
        <f t="shared" si="4"/>
        <v>46127</v>
      </c>
      <c r="L1733" s="317">
        <f t="array" ref="L1733">(XLOOKUP(D1733,Roster!F:F,Roster!D:D,"",0))</f>
        <v>36</v>
      </c>
      <c r="M1733" s="317" t="str">
        <f t="array" ref="M1733">XLOOKUP(D1733,Roster!F:F,Roster!E:E)</f>
        <v>Voice</v>
      </c>
      <c r="N1733" s="317" t="str">
        <f t="shared" ref="N1733:P1733" si="1759">LEFT(H1733,5)</f>
        <v>10:00</v>
      </c>
      <c r="O1733" s="317" t="str">
        <f t="shared" si="1759"/>
        <v>13:00</v>
      </c>
      <c r="P1733" s="317" t="str">
        <f t="shared" si="1759"/>
        <v>15:30</v>
      </c>
      <c r="Q1733" s="318">
        <f t="shared" si="1657"/>
        <v>46127.41667</v>
      </c>
      <c r="R1733" s="318">
        <f t="shared" si="1658"/>
        <v>46127.54167</v>
      </c>
      <c r="S1733" s="318">
        <f t="shared" si="8"/>
        <v>46127.64583</v>
      </c>
    </row>
    <row r="1734">
      <c r="A1734" s="14" t="str">
        <f t="shared" si="1"/>
        <v>C156946127</v>
      </c>
      <c r="B1734" s="185">
        <f t="array" ref="B1734">IF(F1734="VL","",IF(F1734="Free","Free",XLOOKUP(D1734,Roster!T:T,Roster!S:S,"",0)))</f>
        <v>121</v>
      </c>
      <c r="C1734" s="313">
        <v>46127.0</v>
      </c>
      <c r="D1734" s="314" t="s">
        <v>42</v>
      </c>
      <c r="E1734" s="307" t="str">
        <f t="array" ref="E1734">(XLOOKUP(D1734,Roster!F:F,Roster!B:B,"",0))</f>
        <v>Jorge Orozco</v>
      </c>
      <c r="F1734" s="315" t="str">
        <f t="array" ref="F1734">IF(B1734=100,"Free",TEXT(XLOOKUP($D1734,OperationVoice!$A:$A,OperationVoice!U:U,XLOOKUP($D1734,OperationTickets!$A:$A,OperationTickets!U:U,"",0)),"hh:mm"))</f>
        <v>08:00</v>
      </c>
      <c r="G1734" s="309">
        <f t="shared" si="3"/>
        <v>0.7083333333</v>
      </c>
      <c r="H1734" s="316" t="str">
        <f t="array" ref="H1734">XLOOKUP(B1734,Roster!L:L,Roster!N:N,XLOOKUP(D1734,TicketsBreak!A:A,TicketsBreak!E:E,"",0),0)</f>
        <v>09:15 - 09:30</v>
      </c>
      <c r="I1734" s="316" t="str">
        <f t="array" ref="I1734">XLOOKUP(B1734,Roster!L:L,Roster!O:O,XLOOKUP(D1734,TicketsBreak!A:A,TicketsBreak!F:F,"",0),0)</f>
        <v>11:30 - 12:00</v>
      </c>
      <c r="J1734" s="316" t="str">
        <f t="array" ref="J1734">XLOOKUP(B1734,Roster!L:L,Roster!P:P,XLOOKUP(D1734,TicketsBreak!A:A,TicketsBreak!G:G,"",0),0)</f>
        <v>14:30 - 14:45</v>
      </c>
      <c r="K1734" s="310">
        <f t="shared" si="4"/>
        <v>46127</v>
      </c>
      <c r="L1734" s="317">
        <f t="array" ref="L1734">(XLOOKUP(D1734,Roster!F:F,Roster!D:D,"",0))</f>
        <v>38</v>
      </c>
      <c r="M1734" s="317" t="str">
        <f t="array" ref="M1734">XLOOKUP(D1734,Roster!F:F,Roster!E:E)</f>
        <v>Voice</v>
      </c>
      <c r="N1734" s="317" t="str">
        <f t="shared" ref="N1734:P1734" si="1760">LEFT(H1734,5)</f>
        <v>09:15</v>
      </c>
      <c r="O1734" s="317" t="str">
        <f t="shared" si="1760"/>
        <v>11:30</v>
      </c>
      <c r="P1734" s="317" t="str">
        <f t="shared" si="1760"/>
        <v>14:30</v>
      </c>
      <c r="Q1734" s="318">
        <f t="shared" si="1657"/>
        <v>46127.38542</v>
      </c>
      <c r="R1734" s="318">
        <f t="shared" si="1658"/>
        <v>46127.47917</v>
      </c>
      <c r="S1734" s="318">
        <f t="shared" si="8"/>
        <v>46127.60417</v>
      </c>
    </row>
    <row r="1735">
      <c r="A1735" s="14" t="str">
        <f t="shared" si="1"/>
        <v>C102746127</v>
      </c>
      <c r="B1735" s="185" t="str">
        <f t="array" ref="B1735">IF(F1735="VL","",IF(F1735="Free","Free",XLOOKUP(D1735,Roster!T:T,Roster!S:S,"",0)))</f>
        <v/>
      </c>
      <c r="C1735" s="313">
        <v>46127.0</v>
      </c>
      <c r="D1735" s="314" t="s">
        <v>160</v>
      </c>
      <c r="E1735" s="307" t="str">
        <f t="array" ref="E1735">(XLOOKUP(D1735,Roster!F:F,Roster!B:B,"",0))</f>
        <v>Jose Perez</v>
      </c>
      <c r="F1735" s="315" t="str">
        <f t="array" ref="F1735">IF(B1735=100,"Free",TEXT(XLOOKUP($D1735,OperationVoice!$A:$A,OperationVoice!U:U,XLOOKUP($D1735,OperationTickets!$A:$A,OperationTickets!U:U,"",0)),"hh:mm"))</f>
        <v>06:00</v>
      </c>
      <c r="G1735" s="309">
        <f t="shared" si="3"/>
        <v>0.625</v>
      </c>
      <c r="H1735" s="316">
        <f t="array" ref="H1735">XLOOKUP(B1735,Roster!L:L,Roster!N:N,XLOOKUP(D1735,TicketsBreak!A:A,TicketsBreak!E:E,"",0),0)</f>
        <v>0.4166666667</v>
      </c>
      <c r="I1735" s="316">
        <f t="array" ref="I1735">XLOOKUP(B1735,Roster!L:L,Roster!O:O,XLOOKUP(D1735,TicketsBreak!A:A,TicketsBreak!F:F,"",0),0)</f>
        <v>0.5208333333</v>
      </c>
      <c r="J1735" s="316">
        <f t="array" ref="J1735">XLOOKUP(B1735,Roster!L:L,Roster!P:P,XLOOKUP(D1735,TicketsBreak!A:A,TicketsBreak!G:G,"",0),0)</f>
        <v>0.6354166667</v>
      </c>
      <c r="K1735" s="310">
        <f t="shared" si="4"/>
        <v>46127</v>
      </c>
      <c r="L1735" s="317">
        <f t="array" ref="L1735">(XLOOKUP(D1735,Roster!F:F,Roster!D:D,"",0))</f>
        <v>15</v>
      </c>
      <c r="M1735" s="317" t="str">
        <f t="array" ref="M1735">XLOOKUP(D1735,Roster!F:F,Roster!E:E)</f>
        <v>Tickets</v>
      </c>
      <c r="N1735" s="317" t="str">
        <f t="shared" ref="N1735:P1735" si="1761">LEFT(H1735,5)</f>
        <v>10:00</v>
      </c>
      <c r="O1735" s="317" t="str">
        <f t="shared" si="1761"/>
        <v>12:30</v>
      </c>
      <c r="P1735" s="317" t="str">
        <f t="shared" si="1761"/>
        <v>15:15</v>
      </c>
      <c r="Q1735" s="318">
        <f t="shared" si="1657"/>
        <v>46127.41667</v>
      </c>
      <c r="R1735" s="318">
        <f t="shared" si="1658"/>
        <v>46127.52083</v>
      </c>
      <c r="S1735" s="318">
        <f t="shared" si="8"/>
        <v>46127.63542</v>
      </c>
    </row>
    <row r="1736">
      <c r="A1736" s="14" t="str">
        <f t="shared" si="1"/>
        <v>C142646127</v>
      </c>
      <c r="B1736" s="185">
        <f t="array" ref="B1736">IF(F1736="VL","",IF(F1736="Free","Free",XLOOKUP(D1736,Roster!T:T,Roster!S:S,"",0)))</f>
        <v>123</v>
      </c>
      <c r="C1736" s="313">
        <v>46127.0</v>
      </c>
      <c r="D1736" s="314" t="s">
        <v>161</v>
      </c>
      <c r="E1736" s="307" t="str">
        <f t="array" ref="E1736">(XLOOKUP(D1736,Roster!F:F,Roster!B:B,"",0))</f>
        <v>Jose Zapata</v>
      </c>
      <c r="F1736" s="315" t="str">
        <f t="array" ref="F1736">IF(B1736=100,"Free",TEXT(XLOOKUP($D1736,OperationVoice!$A:$A,OperationVoice!U:U,XLOOKUP($D1736,OperationTickets!$A:$A,OperationTickets!U:U,"",0)),"hh:mm"))</f>
        <v>08:00</v>
      </c>
      <c r="G1736" s="309">
        <f t="shared" si="3"/>
        <v>0.7083333333</v>
      </c>
      <c r="H1736" s="316" t="str">
        <f t="array" ref="H1736">XLOOKUP(B1736,Roster!L:L,Roster!N:N,XLOOKUP(D1736,TicketsBreak!A:A,TicketsBreak!E:E,"",0),0)</f>
        <v>09:45 - 10:00 </v>
      </c>
      <c r="I1736" s="316" t="str">
        <f t="array" ref="I1736">XLOOKUP(B1736,Roster!L:L,Roster!O:O,XLOOKUP(D1736,TicketsBreak!A:A,TicketsBreak!F:F,"",0),0)</f>
        <v>12:30 - 13:00</v>
      </c>
      <c r="J1736" s="316" t="str">
        <f t="array" ref="J1736">XLOOKUP(B1736,Roster!L:L,Roster!P:P,XLOOKUP(D1736,TicketsBreak!A:A,TicketsBreak!G:G,"",0),0)</f>
        <v>15:00 - 15:15</v>
      </c>
      <c r="K1736" s="310">
        <f t="shared" si="4"/>
        <v>46127</v>
      </c>
      <c r="L1736" s="317">
        <f t="array" ref="L1736">(XLOOKUP(D1736,Roster!F:F,Roster!D:D,"",0))</f>
        <v>32</v>
      </c>
      <c r="M1736" s="317" t="str">
        <f t="array" ref="M1736">XLOOKUP(D1736,Roster!F:F,Roster!E:E)</f>
        <v>Tickets</v>
      </c>
      <c r="N1736" s="317" t="str">
        <f t="shared" ref="N1736:P1736" si="1762">LEFT(H1736,5)</f>
        <v>09:45</v>
      </c>
      <c r="O1736" s="317" t="str">
        <f t="shared" si="1762"/>
        <v>12:30</v>
      </c>
      <c r="P1736" s="317" t="str">
        <f t="shared" si="1762"/>
        <v>15:00</v>
      </c>
      <c r="Q1736" s="318">
        <f t="shared" si="1657"/>
        <v>46127.40625</v>
      </c>
      <c r="R1736" s="318">
        <f t="shared" si="1658"/>
        <v>46127.52083</v>
      </c>
      <c r="S1736" s="318">
        <f t="shared" si="8"/>
        <v>46127.625</v>
      </c>
    </row>
    <row r="1737">
      <c r="A1737" s="14" t="str">
        <f t="shared" si="1"/>
        <v>C153346127</v>
      </c>
      <c r="B1737" s="185">
        <f t="array" ref="B1737">IF(F1737="VL","",IF(F1737="Free","Free",XLOOKUP(D1737,Roster!T:T,Roster!S:S,"",0)))</f>
        <v>125</v>
      </c>
      <c r="C1737" s="313">
        <v>46127.0</v>
      </c>
      <c r="D1737" s="314" t="s">
        <v>43</v>
      </c>
      <c r="E1737" s="307" t="str">
        <f t="array" ref="E1737">(XLOOKUP(D1737,Roster!F:F,Roster!B:B,"",0))</f>
        <v>Juan Barrera</v>
      </c>
      <c r="F1737" s="315" t="str">
        <f t="array" ref="F1737">IF(B1737=100,"Free",TEXT(XLOOKUP($D1737,OperationVoice!$A:$A,OperationVoice!U:U,XLOOKUP($D1737,OperationTickets!$A:$A,OperationTickets!U:U,"",0)),"hh:mm"))</f>
        <v>08:00</v>
      </c>
      <c r="G1737" s="309">
        <f t="shared" si="3"/>
        <v>0.7083333333</v>
      </c>
      <c r="H1737" s="316" t="str">
        <f t="array" ref="H1737">XLOOKUP(B1737,Roster!L:L,Roster!N:N,XLOOKUP(D1737,TicketsBreak!A:A,TicketsBreak!E:E,"",0),0)</f>
        <v>10:30 - 10:45</v>
      </c>
      <c r="I1737" s="316" t="str">
        <f t="array" ref="I1737">XLOOKUP(B1737,Roster!L:L,Roster!O:O,XLOOKUP(D1737,TicketsBreak!A:A,TicketsBreak!F:F,"",0),0)</f>
        <v>13:30 - 14:00</v>
      </c>
      <c r="J1737" s="316" t="str">
        <f t="array" ref="J1737">XLOOKUP(B1737,Roster!L:L,Roster!P:P,XLOOKUP(D1737,TicketsBreak!A:A,TicketsBreak!G:G,"",0),0)</f>
        <v>15:45 - 16:00</v>
      </c>
      <c r="K1737" s="310">
        <f t="shared" si="4"/>
        <v>46127</v>
      </c>
      <c r="L1737" s="317">
        <f t="array" ref="L1737">(XLOOKUP(D1737,Roster!F:F,Roster!D:D,"",0))</f>
        <v>36</v>
      </c>
      <c r="M1737" s="317" t="str">
        <f t="array" ref="M1737">XLOOKUP(D1737,Roster!F:F,Roster!E:E)</f>
        <v>Voice</v>
      </c>
      <c r="N1737" s="317" t="str">
        <f t="shared" ref="N1737:P1737" si="1763">LEFT(H1737,5)</f>
        <v>10:30</v>
      </c>
      <c r="O1737" s="317" t="str">
        <f t="shared" si="1763"/>
        <v>13:30</v>
      </c>
      <c r="P1737" s="317" t="str">
        <f t="shared" si="1763"/>
        <v>15:45</v>
      </c>
      <c r="Q1737" s="318">
        <f t="shared" si="1657"/>
        <v>46127.4375</v>
      </c>
      <c r="R1737" s="318">
        <f t="shared" si="1658"/>
        <v>46127.5625</v>
      </c>
      <c r="S1737" s="318">
        <f t="shared" si="8"/>
        <v>46127.65625</v>
      </c>
    </row>
    <row r="1738">
      <c r="A1738" s="14" t="str">
        <f t="shared" si="1"/>
        <v>C146546127</v>
      </c>
      <c r="B1738" s="185">
        <f t="array" ref="B1738">IF(F1738="VL","",IF(F1738="Free","Free",XLOOKUP(D1738,Roster!T:T,Roster!S:S,"",0)))</f>
        <v>500</v>
      </c>
      <c r="C1738" s="313">
        <v>46127.0</v>
      </c>
      <c r="D1738" s="314" t="s">
        <v>44</v>
      </c>
      <c r="E1738" s="307" t="str">
        <f t="array" ref="E1738">(XLOOKUP(D1738,Roster!F:F,Roster!B:B,"",0))</f>
        <v>Juan Castilla</v>
      </c>
      <c r="F1738" s="315" t="str">
        <f t="array" ref="F1738">IF(B1738=100,"Free",TEXT(XLOOKUP($D1738,OperationVoice!$A:$A,OperationVoice!U:U,XLOOKUP($D1738,OperationTickets!$A:$A,OperationTickets!U:U,"",0)),"hh:mm"))</f>
        <v>08:00</v>
      </c>
      <c r="G1738" s="309">
        <f t="shared" si="3"/>
        <v>0.7083333333</v>
      </c>
      <c r="H1738" s="316" t="str">
        <f t="array" ref="H1738">XLOOKUP(B1738,Roster!L:L,Roster!N:N,XLOOKUP(D1738,TicketsBreak!A:A,TicketsBreak!E:E,"",0),0)</f>
        <v>Team Leader</v>
      </c>
      <c r="I1738" s="316" t="str">
        <f t="array" ref="I1738">XLOOKUP(B1738,Roster!L:L,Roster!O:O,XLOOKUP(D1738,TicketsBreak!A:A,TicketsBreak!F:F,"",0),0)</f>
        <v>Team Leader</v>
      </c>
      <c r="J1738" s="316" t="str">
        <f t="array" ref="J1738">XLOOKUP(B1738,Roster!L:L,Roster!P:P,XLOOKUP(D1738,TicketsBreak!A:A,TicketsBreak!G:G,"",0),0)</f>
        <v/>
      </c>
      <c r="K1738" s="310">
        <f t="shared" si="4"/>
        <v>46127</v>
      </c>
      <c r="L1738" s="317">
        <f t="array" ref="L1738">(XLOOKUP(D1738,Roster!F:F,Roster!D:D,"",0))</f>
        <v>33</v>
      </c>
      <c r="M1738" s="317" t="str">
        <f t="array" ref="M1738">XLOOKUP(D1738,Roster!F:F,Roster!E:E)</f>
        <v>Voice</v>
      </c>
      <c r="N1738" s="317" t="str">
        <f t="shared" ref="N1738:P1738" si="1764">LEFT(H1738,5)</f>
        <v>Team </v>
      </c>
      <c r="O1738" s="317" t="str">
        <f t="shared" si="1764"/>
        <v>Team </v>
      </c>
      <c r="P1738" s="317" t="str">
        <f t="shared" si="1764"/>
        <v/>
      </c>
      <c r="Q1738" s="318" t="str">
        <f t="shared" si="1657"/>
        <v>#VALUE!</v>
      </c>
      <c r="R1738" s="318" t="str">
        <f t="shared" si="1658"/>
        <v>#VALUE!</v>
      </c>
      <c r="S1738" s="318" t="str">
        <f t="shared" si="8"/>
        <v/>
      </c>
    </row>
    <row r="1739">
      <c r="A1739" s="14" t="str">
        <f t="shared" si="1"/>
        <v>C72046127</v>
      </c>
      <c r="B1739" s="185" t="str">
        <f t="array" ref="B1739">IF(F1739="VL","",IF(F1739="Free","Free",XLOOKUP(D1739,Roster!T:T,Roster!S:S,"",0)))</f>
        <v/>
      </c>
      <c r="C1739" s="313">
        <v>46127.0</v>
      </c>
      <c r="D1739" s="314" t="s">
        <v>162</v>
      </c>
      <c r="E1739" s="307" t="str">
        <f t="array" ref="E1739">(XLOOKUP(D1739,Roster!F:F,Roster!B:B,"",0))</f>
        <v>Juan Durango</v>
      </c>
      <c r="F1739" s="315" t="str">
        <f t="array" ref="F1739">IF(B1739=100,"Free",TEXT(XLOOKUP($D1739,OperationVoice!$A:$A,OperationVoice!U:U,XLOOKUP($D1739,OperationTickets!$A:$A,OperationTickets!U:U,"",0)),"hh:mm"))</f>
        <v>08:00</v>
      </c>
      <c r="G1739" s="309">
        <f t="shared" si="3"/>
        <v>0.7083333333</v>
      </c>
      <c r="H1739" s="316">
        <f t="array" ref="H1739">XLOOKUP(B1739,Roster!L:L,Roster!N:N,XLOOKUP(D1739,TicketsBreak!A:A,TicketsBreak!E:E,"",0),0)</f>
        <v>0.40625</v>
      </c>
      <c r="I1739" s="316">
        <f t="array" ref="I1739">XLOOKUP(B1739,Roster!L:L,Roster!O:O,XLOOKUP(D1739,TicketsBreak!A:A,TicketsBreak!F:F,"",0),0)</f>
        <v>0.5729166667</v>
      </c>
      <c r="J1739" s="316">
        <f t="array" ref="J1739">XLOOKUP(B1739,Roster!L:L,Roster!P:P,XLOOKUP(D1739,TicketsBreak!A:A,TicketsBreak!G:G,"",0),0)</f>
        <v>0.65625</v>
      </c>
      <c r="K1739" s="310">
        <f t="shared" si="4"/>
        <v>46127</v>
      </c>
      <c r="L1739" s="317">
        <f t="array" ref="L1739">(XLOOKUP(D1739,Roster!F:F,Roster!D:D,"",0))</f>
        <v>7</v>
      </c>
      <c r="M1739" s="317" t="str">
        <f t="array" ref="M1739">XLOOKUP(D1739,Roster!F:F,Roster!E:E)</f>
        <v>Tickets</v>
      </c>
      <c r="N1739" s="317" t="str">
        <f t="shared" ref="N1739:P1739" si="1765">LEFT(H1739,5)</f>
        <v>09:45</v>
      </c>
      <c r="O1739" s="317" t="str">
        <f t="shared" si="1765"/>
        <v>13:45</v>
      </c>
      <c r="P1739" s="317" t="str">
        <f t="shared" si="1765"/>
        <v>15:45</v>
      </c>
      <c r="Q1739" s="318">
        <f t="shared" si="1657"/>
        <v>46127.40625</v>
      </c>
      <c r="R1739" s="318">
        <f t="shared" si="1658"/>
        <v>46127.57292</v>
      </c>
      <c r="S1739" s="318">
        <f t="shared" si="8"/>
        <v>46127.65625</v>
      </c>
    </row>
    <row r="1740">
      <c r="A1740" s="14" t="str">
        <f t="shared" si="1"/>
        <v>C59846127</v>
      </c>
      <c r="B1740" s="185" t="str">
        <f t="array" ref="B1740">IF(F1740="VL","",IF(F1740="Free","Free",XLOOKUP(D1740,Roster!T:T,Roster!S:S,"",0)))</f>
        <v/>
      </c>
      <c r="C1740" s="313">
        <v>46127.0</v>
      </c>
      <c r="D1740" s="314" t="s">
        <v>314</v>
      </c>
      <c r="E1740" s="307" t="str">
        <f t="array" ref="E1740">(XLOOKUP(D1740,Roster!F:F,Roster!B:B,"",0))</f>
        <v>Juan Fonnegra</v>
      </c>
      <c r="F1740" s="315" t="str">
        <f t="array" ref="F1740">IF(B1740=100,"Free",TEXT(XLOOKUP($D1740,OperationVoice!$A:$A,OperationVoice!U:U,XLOOKUP($D1740,OperationTickets!$A:$A,OperationTickets!U:U,"",0)),"hh:mm"))</f>
        <v/>
      </c>
      <c r="G1740" s="309" t="str">
        <f t="shared" si="3"/>
        <v/>
      </c>
      <c r="H1740" s="316">
        <f t="array" ref="H1740">XLOOKUP(B1740,Roster!L:L,Roster!N:N,XLOOKUP(D1740,TicketsBreak!A:A,TicketsBreak!E:E,"",0),0)</f>
        <v>0.4166666667</v>
      </c>
      <c r="I1740" s="316">
        <f t="array" ref="I1740">XLOOKUP(B1740,Roster!L:L,Roster!O:O,XLOOKUP(D1740,TicketsBreak!A:A,TicketsBreak!F:F,"",0),0)</f>
        <v>0.5208333333</v>
      </c>
      <c r="J1740" s="316">
        <f t="array" ref="J1740">XLOOKUP(B1740,Roster!L:L,Roster!P:P,XLOOKUP(D1740,TicketsBreak!A:A,TicketsBreak!G:G,"",0),0)</f>
        <v>0.65625</v>
      </c>
      <c r="K1740" s="310">
        <f t="shared" si="4"/>
        <v>46127</v>
      </c>
      <c r="L1740" s="317">
        <f t="array" ref="L1740">(XLOOKUP(D1740,Roster!F:F,Roster!D:D,"",0))</f>
        <v>1</v>
      </c>
      <c r="M1740" s="317" t="str">
        <f t="array" ref="M1740">XLOOKUP(D1740,Roster!F:F,Roster!E:E)</f>
        <v>Tickets</v>
      </c>
      <c r="N1740" s="317" t="str">
        <f t="shared" ref="N1740:P1740" si="1766">LEFT(H1740,5)</f>
        <v>10:00</v>
      </c>
      <c r="O1740" s="317" t="str">
        <f t="shared" si="1766"/>
        <v>12:30</v>
      </c>
      <c r="P1740" s="317" t="str">
        <f t="shared" si="1766"/>
        <v>15:45</v>
      </c>
      <c r="Q1740" s="318">
        <f t="shared" si="1657"/>
        <v>46127.41667</v>
      </c>
      <c r="R1740" s="318">
        <f t="shared" si="1658"/>
        <v>46127.52083</v>
      </c>
      <c r="S1740" s="318">
        <f t="shared" si="8"/>
        <v>46127.65625</v>
      </c>
    </row>
    <row r="1741">
      <c r="A1741" s="14" t="str">
        <f t="shared" si="1"/>
        <v>C113946127</v>
      </c>
      <c r="B1741" s="185">
        <f t="array" ref="B1741">IF(F1741="VL","",IF(F1741="Free","Free",XLOOKUP(D1741,Roster!T:T,Roster!S:S,"",0)))</f>
        <v>125</v>
      </c>
      <c r="C1741" s="313">
        <v>46127.0</v>
      </c>
      <c r="D1741" s="314" t="s">
        <v>45</v>
      </c>
      <c r="E1741" s="307" t="str">
        <f t="array" ref="E1741">(XLOOKUP(D1741,Roster!F:F,Roster!B:B,"",0))</f>
        <v>Juan Largacha</v>
      </c>
      <c r="F1741" s="315" t="str">
        <f t="array" ref="F1741">IF(B1741=100,"Free",TEXT(XLOOKUP($D1741,OperationVoice!$A:$A,OperationVoice!U:U,XLOOKUP($D1741,OperationTickets!$A:$A,OperationTickets!U:U,"",0)),"hh:mm"))</f>
        <v>08:00</v>
      </c>
      <c r="G1741" s="309">
        <f t="shared" si="3"/>
        <v>0.7083333333</v>
      </c>
      <c r="H1741" s="316" t="str">
        <f t="array" ref="H1741">XLOOKUP(B1741,Roster!L:L,Roster!N:N,XLOOKUP(D1741,TicketsBreak!A:A,TicketsBreak!E:E,"",0),0)</f>
        <v>10:30 - 10:45</v>
      </c>
      <c r="I1741" s="316" t="str">
        <f t="array" ref="I1741">XLOOKUP(B1741,Roster!L:L,Roster!O:O,XLOOKUP(D1741,TicketsBreak!A:A,TicketsBreak!F:F,"",0),0)</f>
        <v>13:30 - 14:00</v>
      </c>
      <c r="J1741" s="316" t="str">
        <f t="array" ref="J1741">XLOOKUP(B1741,Roster!L:L,Roster!P:P,XLOOKUP(D1741,TicketsBreak!A:A,TicketsBreak!G:G,"",0),0)</f>
        <v>15:45 - 16:00</v>
      </c>
      <c r="K1741" s="310">
        <f t="shared" si="4"/>
        <v>46127</v>
      </c>
      <c r="L1741" s="317">
        <f t="array" ref="L1741">(XLOOKUP(D1741,Roster!F:F,Roster!D:D,"",0))</f>
        <v>22</v>
      </c>
      <c r="M1741" s="317" t="str">
        <f t="array" ref="M1741">XLOOKUP(D1741,Roster!F:F,Roster!E:E)</f>
        <v>Voice</v>
      </c>
      <c r="N1741" s="317" t="str">
        <f t="shared" ref="N1741:P1741" si="1767">LEFT(H1741,5)</f>
        <v>10:30</v>
      </c>
      <c r="O1741" s="317" t="str">
        <f t="shared" si="1767"/>
        <v>13:30</v>
      </c>
      <c r="P1741" s="317" t="str">
        <f t="shared" si="1767"/>
        <v>15:45</v>
      </c>
      <c r="Q1741" s="318">
        <f t="shared" si="1657"/>
        <v>46127.4375</v>
      </c>
      <c r="R1741" s="318">
        <f t="shared" si="1658"/>
        <v>46127.5625</v>
      </c>
      <c r="S1741" s="318">
        <f t="shared" si="8"/>
        <v>46127.65625</v>
      </c>
    </row>
    <row r="1742">
      <c r="A1742" s="14" t="str">
        <f t="shared" si="1"/>
        <v>C156646127</v>
      </c>
      <c r="B1742" s="185">
        <f t="array" ref="B1742">IF(F1742="VL","",IF(F1742="Free","Free",XLOOKUP(D1742,Roster!T:T,Roster!S:S,"",0)))</f>
        <v>124</v>
      </c>
      <c r="C1742" s="313">
        <v>46127.0</v>
      </c>
      <c r="D1742" s="314" t="s">
        <v>46</v>
      </c>
      <c r="E1742" s="307" t="str">
        <f t="array" ref="E1742">(XLOOKUP(D1742,Roster!F:F,Roster!B:B,"",0))</f>
        <v>Juan Ocampo</v>
      </c>
      <c r="F1742" s="315" t="str">
        <f t="array" ref="F1742">IF(B1742=100,"Free",TEXT(XLOOKUP($D1742,OperationVoice!$A:$A,OperationVoice!U:U,XLOOKUP($D1742,OperationTickets!$A:$A,OperationTickets!U:U,"",0)),"hh:mm"))</f>
        <v>08:00</v>
      </c>
      <c r="G1742" s="309">
        <f t="shared" si="3"/>
        <v>0.7083333333</v>
      </c>
      <c r="H1742" s="316" t="str">
        <f t="array" ref="H1742">XLOOKUP(B1742,Roster!L:L,Roster!N:N,XLOOKUP(D1742,TicketsBreak!A:A,TicketsBreak!E:E,"",0),0)</f>
        <v>10:00 - 10:15</v>
      </c>
      <c r="I1742" s="316" t="str">
        <f t="array" ref="I1742">XLOOKUP(B1742,Roster!L:L,Roster!O:O,XLOOKUP(D1742,TicketsBreak!A:A,TicketsBreak!F:F,"",0),0)</f>
        <v>13:00 - 13:30</v>
      </c>
      <c r="J1742" s="316" t="str">
        <f t="array" ref="J1742">XLOOKUP(B1742,Roster!L:L,Roster!P:P,XLOOKUP(D1742,TicketsBreak!A:A,TicketsBreak!G:G,"",0),0)</f>
        <v>15:30 - 15:45</v>
      </c>
      <c r="K1742" s="310">
        <f t="shared" si="4"/>
        <v>46127</v>
      </c>
      <c r="L1742" s="317">
        <f t="array" ref="L1742">(XLOOKUP(D1742,Roster!F:F,Roster!D:D,"",0))</f>
        <v>38</v>
      </c>
      <c r="M1742" s="317" t="str">
        <f t="array" ref="M1742">XLOOKUP(D1742,Roster!F:F,Roster!E:E)</f>
        <v>Voice</v>
      </c>
      <c r="N1742" s="317" t="str">
        <f t="shared" ref="N1742:P1742" si="1768">LEFT(H1742,5)</f>
        <v>10:00</v>
      </c>
      <c r="O1742" s="317" t="str">
        <f t="shared" si="1768"/>
        <v>13:00</v>
      </c>
      <c r="P1742" s="317" t="str">
        <f t="shared" si="1768"/>
        <v>15:30</v>
      </c>
      <c r="Q1742" s="318">
        <f t="shared" si="1657"/>
        <v>46127.41667</v>
      </c>
      <c r="R1742" s="318">
        <f t="shared" si="1658"/>
        <v>46127.54167</v>
      </c>
      <c r="S1742" s="318">
        <f t="shared" si="8"/>
        <v>46127.64583</v>
      </c>
    </row>
    <row r="1743">
      <c r="A1743" s="14" t="str">
        <f t="shared" si="1"/>
        <v>C148446127</v>
      </c>
      <c r="B1743" s="185">
        <f t="array" ref="B1743">IF(F1743="VL","",IF(F1743="Free","Free",XLOOKUP(D1743,Roster!T:T,Roster!S:S,"",0)))</f>
        <v>126</v>
      </c>
      <c r="C1743" s="313">
        <v>46127.0</v>
      </c>
      <c r="D1743" s="314" t="s">
        <v>141</v>
      </c>
      <c r="E1743" s="307" t="str">
        <f t="array" ref="E1743">(XLOOKUP(D1743,Roster!F:F,Roster!B:B,"",0))</f>
        <v>Juan Ospina</v>
      </c>
      <c r="F1743" s="315" t="str">
        <f t="array" ref="F1743">IF(B1743=100,"Free",TEXT(XLOOKUP($D1743,OperationVoice!$A:$A,OperationVoice!U:U,XLOOKUP($D1743,OperationTickets!$A:$A,OperationTickets!U:U,"",0)),"hh:mm"))</f>
        <v>08:00</v>
      </c>
      <c r="G1743" s="309">
        <f t="shared" si="3"/>
        <v>0.7083333333</v>
      </c>
      <c r="H1743" s="316" t="str">
        <f t="array" ref="H1743">XLOOKUP(B1743,Roster!L:L,Roster!N:N,XLOOKUP(D1743,TicketsBreak!A:A,TicketsBreak!E:E,"",0),0)</f>
        <v>10:45 - 11:00</v>
      </c>
      <c r="I1743" s="316" t="str">
        <f t="array" ref="I1743">XLOOKUP(B1743,Roster!L:L,Roster!O:O,XLOOKUP(D1743,TicketsBreak!A:A,TicketsBreak!F:F,"",0),0)</f>
        <v>14:00 - 14:30</v>
      </c>
      <c r="J1743" s="316" t="str">
        <f t="array" ref="J1743">XLOOKUP(B1743,Roster!L:L,Roster!P:P,XLOOKUP(D1743,TicketsBreak!A:A,TicketsBreak!G:G,"",0),0)</f>
        <v>15:45 - 16:00</v>
      </c>
      <c r="K1743" s="310">
        <f t="shared" si="4"/>
        <v>46127</v>
      </c>
      <c r="L1743" s="317">
        <f t="array" ref="L1743">(XLOOKUP(D1743,Roster!F:F,Roster!D:D,"",0))</f>
        <v>34</v>
      </c>
      <c r="M1743" s="317" t="str">
        <f t="array" ref="M1743">XLOOKUP(D1743,Roster!F:F,Roster!E:E)</f>
        <v>Tickets</v>
      </c>
      <c r="N1743" s="317" t="str">
        <f t="shared" ref="N1743:P1743" si="1769">LEFT(H1743,5)</f>
        <v>10:45</v>
      </c>
      <c r="O1743" s="317" t="str">
        <f t="shared" si="1769"/>
        <v>14:00</v>
      </c>
      <c r="P1743" s="317" t="str">
        <f t="shared" si="1769"/>
        <v>15:45</v>
      </c>
      <c r="Q1743" s="318">
        <f t="shared" si="1657"/>
        <v>46127.44792</v>
      </c>
      <c r="R1743" s="318">
        <f t="shared" si="1658"/>
        <v>46127.58333</v>
      </c>
      <c r="S1743" s="318">
        <f t="shared" si="8"/>
        <v>46127.65625</v>
      </c>
    </row>
    <row r="1744">
      <c r="A1744" s="14" t="str">
        <f t="shared" si="1"/>
        <v>C141346127</v>
      </c>
      <c r="B1744" s="185">
        <f t="array" ref="B1744">IF(F1744="VL","",IF(F1744="Free","Free",XLOOKUP(D1744,Roster!T:T,Roster!S:S,"",0)))</f>
        <v>121</v>
      </c>
      <c r="C1744" s="313">
        <v>46127.0</v>
      </c>
      <c r="D1744" s="314" t="s">
        <v>47</v>
      </c>
      <c r="E1744" s="307" t="str">
        <f t="array" ref="E1744">(XLOOKUP(D1744,Roster!F:F,Roster!B:B,"",0))</f>
        <v>Juan Parra</v>
      </c>
      <c r="F1744" s="315" t="str">
        <f t="array" ref="F1744">IF(B1744=100,"Free",TEXT(XLOOKUP($D1744,OperationVoice!$A:$A,OperationVoice!U:U,XLOOKUP($D1744,OperationTickets!$A:$A,OperationTickets!U:U,"",0)),"hh:mm"))</f>
        <v>08:00</v>
      </c>
      <c r="G1744" s="309">
        <f t="shared" si="3"/>
        <v>0.7083333333</v>
      </c>
      <c r="H1744" s="316" t="str">
        <f t="array" ref="H1744">XLOOKUP(B1744,Roster!L:L,Roster!N:N,XLOOKUP(D1744,TicketsBreak!A:A,TicketsBreak!E:E,"",0),0)</f>
        <v>09:15 - 09:30</v>
      </c>
      <c r="I1744" s="316" t="str">
        <f t="array" ref="I1744">XLOOKUP(B1744,Roster!L:L,Roster!O:O,XLOOKUP(D1744,TicketsBreak!A:A,TicketsBreak!F:F,"",0),0)</f>
        <v>11:30 - 12:00</v>
      </c>
      <c r="J1744" s="316" t="str">
        <f t="array" ref="J1744">XLOOKUP(B1744,Roster!L:L,Roster!P:P,XLOOKUP(D1744,TicketsBreak!A:A,TicketsBreak!G:G,"",0),0)</f>
        <v>14:30 - 14:45</v>
      </c>
      <c r="K1744" s="310">
        <f t="shared" si="4"/>
        <v>46127</v>
      </c>
      <c r="L1744" s="317">
        <f t="array" ref="L1744">(XLOOKUP(D1744,Roster!F:F,Roster!D:D,"",0))</f>
        <v>32</v>
      </c>
      <c r="M1744" s="317" t="str">
        <f t="array" ref="M1744">XLOOKUP(D1744,Roster!F:F,Roster!E:E)</f>
        <v>Voice</v>
      </c>
      <c r="N1744" s="317" t="str">
        <f t="shared" ref="N1744:P1744" si="1770">LEFT(H1744,5)</f>
        <v>09:15</v>
      </c>
      <c r="O1744" s="317" t="str">
        <f t="shared" si="1770"/>
        <v>11:30</v>
      </c>
      <c r="P1744" s="317" t="str">
        <f t="shared" si="1770"/>
        <v>14:30</v>
      </c>
      <c r="Q1744" s="318">
        <f t="shared" si="1657"/>
        <v>46127.38542</v>
      </c>
      <c r="R1744" s="318">
        <f t="shared" si="1658"/>
        <v>46127.47917</v>
      </c>
      <c r="S1744" s="318">
        <f t="shared" si="8"/>
        <v>46127.60417</v>
      </c>
    </row>
    <row r="1745">
      <c r="A1745" s="14" t="str">
        <f t="shared" si="1"/>
        <v>C132746127</v>
      </c>
      <c r="B1745" s="185" t="str">
        <f t="array" ref="B1745">IF(F1745="VL","",IF(F1745="Free","Free",XLOOKUP(D1745,Roster!T:T,Roster!S:S,"",0)))</f>
        <v/>
      </c>
      <c r="C1745" s="313">
        <v>46127.0</v>
      </c>
      <c r="D1745" s="314" t="s">
        <v>163</v>
      </c>
      <c r="E1745" s="307" t="str">
        <f t="array" ref="E1745">(XLOOKUP(D1745,Roster!F:F,Roster!B:B,"",0))</f>
        <v>Juan Restrepo</v>
      </c>
      <c r="F1745" s="315" t="str">
        <f t="array" ref="F1745">IF(B1745=100,"Free",TEXT(XLOOKUP($D1745,OperationVoice!$A:$A,OperationVoice!U:U,XLOOKUP($D1745,OperationTickets!$A:$A,OperationTickets!U:U,"",0)),"hh:mm"))</f>
        <v>07:00</v>
      </c>
      <c r="G1745" s="309">
        <f t="shared" si="3"/>
        <v>0.6666666667</v>
      </c>
      <c r="H1745" s="316" t="str">
        <f t="array" ref="H1745">XLOOKUP(B1745,Roster!L:L,Roster!N:N,XLOOKUP(D1745,TicketsBreak!A:A,TicketsBreak!E:E,"",0),0)</f>
        <v/>
      </c>
      <c r="I1745" s="316" t="str">
        <f t="array" ref="I1745">XLOOKUP(B1745,Roster!L:L,Roster!O:O,XLOOKUP(D1745,TicketsBreak!A:A,TicketsBreak!F:F,"",0),0)</f>
        <v/>
      </c>
      <c r="J1745" s="316" t="str">
        <f t="array" ref="J1745">XLOOKUP(B1745,Roster!L:L,Roster!P:P,XLOOKUP(D1745,TicketsBreak!A:A,TicketsBreak!G:G,"",0),0)</f>
        <v/>
      </c>
      <c r="K1745" s="310">
        <f t="shared" si="4"/>
        <v>46127</v>
      </c>
      <c r="L1745" s="317">
        <f t="array" ref="L1745">(XLOOKUP(D1745,Roster!F:F,Roster!D:D,"",0))</f>
        <v>29</v>
      </c>
      <c r="M1745" s="317" t="str">
        <f t="array" ref="M1745">XLOOKUP(D1745,Roster!F:F,Roster!E:E)</f>
        <v>Tickets</v>
      </c>
      <c r="N1745" s="317" t="str">
        <f t="shared" ref="N1745:P1745" si="1771">LEFT(H1745,5)</f>
        <v/>
      </c>
      <c r="O1745" s="317" t="str">
        <f t="shared" si="1771"/>
        <v/>
      </c>
      <c r="P1745" s="317" t="str">
        <f t="shared" si="1771"/>
        <v/>
      </c>
      <c r="Q1745" s="318" t="str">
        <f t="shared" si="1657"/>
        <v/>
      </c>
      <c r="R1745" s="318" t="str">
        <f t="shared" si="1658"/>
        <v/>
      </c>
      <c r="S1745" s="318" t="str">
        <f t="shared" si="8"/>
        <v/>
      </c>
    </row>
    <row r="1746">
      <c r="A1746" s="14" t="str">
        <f t="shared" si="1"/>
        <v>C146946127</v>
      </c>
      <c r="B1746" s="185">
        <f t="array" ref="B1746">IF(F1746="VL","",IF(F1746="Free","Free",XLOOKUP(D1746,Roster!T:T,Roster!S:S,"",0)))</f>
        <v>122</v>
      </c>
      <c r="C1746" s="313">
        <v>46127.0</v>
      </c>
      <c r="D1746" s="314" t="s">
        <v>48</v>
      </c>
      <c r="E1746" s="307" t="str">
        <f t="array" ref="E1746">(XLOOKUP(D1746,Roster!F:F,Roster!B:B,"",0))</f>
        <v>Juan Restrepo Restrepo</v>
      </c>
      <c r="F1746" s="315" t="str">
        <f t="array" ref="F1746">IF(B1746=100,"Free",TEXT(XLOOKUP($D1746,OperationVoice!$A:$A,OperationVoice!U:U,XLOOKUP($D1746,OperationTickets!$A:$A,OperationTickets!U:U,"",0)),"hh:mm"))</f>
        <v>08:00</v>
      </c>
      <c r="G1746" s="309">
        <f t="shared" si="3"/>
        <v>0.7083333333</v>
      </c>
      <c r="H1746" s="316" t="str">
        <f t="array" ref="H1746">XLOOKUP(B1746,Roster!L:L,Roster!N:N,XLOOKUP(D1746,TicketsBreak!A:A,TicketsBreak!E:E,"",0),0)</f>
        <v>09:30 - 09:45</v>
      </c>
      <c r="I1746" s="316" t="str">
        <f t="array" ref="I1746">XLOOKUP(B1746,Roster!L:L,Roster!O:O,XLOOKUP(D1746,TicketsBreak!A:A,TicketsBreak!F:F,"",0),0)</f>
        <v>12:00 - 12:30</v>
      </c>
      <c r="J1746" s="316" t="str">
        <f t="array" ref="J1746">XLOOKUP(B1746,Roster!L:L,Roster!P:P,XLOOKUP(D1746,TicketsBreak!A:A,TicketsBreak!G:G,"",0),0)</f>
        <v>14:45 - 15:00</v>
      </c>
      <c r="K1746" s="310">
        <f t="shared" si="4"/>
        <v>46127</v>
      </c>
      <c r="L1746" s="317">
        <f t="array" ref="L1746">(XLOOKUP(D1746,Roster!F:F,Roster!D:D,"",0))</f>
        <v>33</v>
      </c>
      <c r="M1746" s="317" t="str">
        <f t="array" ref="M1746">XLOOKUP(D1746,Roster!F:F,Roster!E:E)</f>
        <v>Voice</v>
      </c>
      <c r="N1746" s="317" t="str">
        <f t="shared" ref="N1746:P1746" si="1772">LEFT(H1746,5)</f>
        <v>09:30</v>
      </c>
      <c r="O1746" s="317" t="str">
        <f t="shared" si="1772"/>
        <v>12:00</v>
      </c>
      <c r="P1746" s="317" t="str">
        <f t="shared" si="1772"/>
        <v>14:45</v>
      </c>
      <c r="Q1746" s="318">
        <f t="shared" si="1657"/>
        <v>46127.39583</v>
      </c>
      <c r="R1746" s="318">
        <f t="shared" si="1658"/>
        <v>46127.5</v>
      </c>
      <c r="S1746" s="318">
        <f t="shared" si="8"/>
        <v>46127.61458</v>
      </c>
    </row>
    <row r="1747">
      <c r="A1747" s="14" t="str">
        <f t="shared" si="1"/>
        <v>C117146127</v>
      </c>
      <c r="B1747" s="185" t="str">
        <f t="array" ref="B1747">IF(F1747="VL","",IF(F1747="Free","Free",XLOOKUP(D1747,Roster!T:T,Roster!S:S,"",0)))</f>
        <v/>
      </c>
      <c r="C1747" s="313">
        <v>46127.0</v>
      </c>
      <c r="D1747" s="314" t="s">
        <v>142</v>
      </c>
      <c r="E1747" s="307" t="str">
        <f t="array" ref="E1747">(XLOOKUP(D1747,Roster!F:F,Roster!B:B,"",0))</f>
        <v>Juan Sanchez</v>
      </c>
      <c r="F1747" s="315" t="str">
        <f t="array" ref="F1747">IF(B1747=100,"Free",TEXT(XLOOKUP($D1747,OperationVoice!$A:$A,OperationVoice!U:U,XLOOKUP($D1747,OperationTickets!$A:$A,OperationTickets!U:U,"",0)),"hh:mm"))</f>
        <v>08:00</v>
      </c>
      <c r="G1747" s="309">
        <f t="shared" si="3"/>
        <v>0.7083333333</v>
      </c>
      <c r="H1747" s="316" t="str">
        <f t="array" ref="H1747">XLOOKUP(B1747,Roster!L:L,Roster!N:N,XLOOKUP(D1747,TicketsBreak!A:A,TicketsBreak!E:E,"",0),0)</f>
        <v/>
      </c>
      <c r="I1747" s="316" t="str">
        <f t="array" ref="I1747">XLOOKUP(B1747,Roster!L:L,Roster!O:O,XLOOKUP(D1747,TicketsBreak!A:A,TicketsBreak!F:F,"",0),0)</f>
        <v/>
      </c>
      <c r="J1747" s="316" t="str">
        <f t="array" ref="J1747">XLOOKUP(B1747,Roster!L:L,Roster!P:P,XLOOKUP(D1747,TicketsBreak!A:A,TicketsBreak!G:G,"",0),0)</f>
        <v/>
      </c>
      <c r="K1747" s="310">
        <f t="shared" si="4"/>
        <v>46127</v>
      </c>
      <c r="L1747" s="317">
        <f t="array" ref="L1747">(XLOOKUP(D1747,Roster!F:F,Roster!D:D,"",0))</f>
        <v>24</v>
      </c>
      <c r="M1747" s="317" t="str">
        <f t="array" ref="M1747">XLOOKUP(D1747,Roster!F:F,Roster!E:E)</f>
        <v>Tickets</v>
      </c>
      <c r="N1747" s="317" t="str">
        <f t="shared" ref="N1747:P1747" si="1773">LEFT(H1747,5)</f>
        <v/>
      </c>
      <c r="O1747" s="317" t="str">
        <f t="shared" si="1773"/>
        <v/>
      </c>
      <c r="P1747" s="317" t="str">
        <f t="shared" si="1773"/>
        <v/>
      </c>
      <c r="Q1747" s="318" t="str">
        <f t="shared" si="1657"/>
        <v/>
      </c>
      <c r="R1747" s="318" t="str">
        <f t="shared" si="1658"/>
        <v/>
      </c>
      <c r="S1747" s="318" t="str">
        <f t="shared" si="8"/>
        <v/>
      </c>
    </row>
    <row r="1748">
      <c r="A1748" s="14" t="str">
        <f t="shared" si="1"/>
        <v>C74346127</v>
      </c>
      <c r="B1748" s="185" t="str">
        <f t="array" ref="B1748">IF(F1748="VL","",IF(F1748="Free","Free",XLOOKUP(D1748,Roster!T:T,Roster!S:S,"",0)))</f>
        <v/>
      </c>
      <c r="C1748" s="313">
        <v>46127.0</v>
      </c>
      <c r="D1748" s="314" t="s">
        <v>164</v>
      </c>
      <c r="E1748" s="307" t="str">
        <f t="array" ref="E1748">(XLOOKUP(D1748,Roster!F:F,Roster!B:B,"",0))</f>
        <v>Juan Suarez</v>
      </c>
      <c r="F1748" s="315" t="str">
        <f t="array" ref="F1748">IF(B1748=100,"Free",TEXT(XLOOKUP($D1748,OperationVoice!$A:$A,OperationVoice!U:U,XLOOKUP($D1748,OperationTickets!$A:$A,OperationTickets!U:U,"",0)),"hh:mm"))</f>
        <v>VL</v>
      </c>
      <c r="G1748" s="309" t="str">
        <f t="shared" si="3"/>
        <v>VL</v>
      </c>
      <c r="H1748" s="316">
        <f t="array" ref="H1748">XLOOKUP(B1748,Roster!L:L,Roster!N:N,XLOOKUP(D1748,TicketsBreak!A:A,TicketsBreak!E:E,"",0),0)</f>
        <v>0.3958333333</v>
      </c>
      <c r="I1748" s="316">
        <f t="array" ref="I1748">XLOOKUP(B1748,Roster!L:L,Roster!O:O,XLOOKUP(D1748,TicketsBreak!A:A,TicketsBreak!F:F,"",0),0)</f>
        <v>0.5208333333</v>
      </c>
      <c r="J1748" s="316">
        <f t="array" ref="J1748">XLOOKUP(B1748,Roster!L:L,Roster!P:P,XLOOKUP(D1748,TicketsBreak!A:A,TicketsBreak!G:G,"",0),0)</f>
        <v>0.6145833333</v>
      </c>
      <c r="K1748" s="310">
        <f t="shared" si="4"/>
        <v>46127</v>
      </c>
      <c r="L1748" s="317">
        <f t="array" ref="L1748">(XLOOKUP(D1748,Roster!F:F,Roster!D:D,"",0))</f>
        <v>8</v>
      </c>
      <c r="M1748" s="317" t="str">
        <f t="array" ref="M1748">XLOOKUP(D1748,Roster!F:F,Roster!E:E)</f>
        <v>Tickets</v>
      </c>
      <c r="N1748" s="317" t="str">
        <f t="shared" ref="N1748:P1748" si="1774">LEFT(H1748,5)</f>
        <v>09:30</v>
      </c>
      <c r="O1748" s="317" t="str">
        <f t="shared" si="1774"/>
        <v>12:30</v>
      </c>
      <c r="P1748" s="317" t="str">
        <f t="shared" si="1774"/>
        <v>14:45</v>
      </c>
      <c r="Q1748" s="318">
        <f t="shared" si="1657"/>
        <v>46127.39583</v>
      </c>
      <c r="R1748" s="318">
        <f t="shared" si="1658"/>
        <v>46127.52083</v>
      </c>
      <c r="S1748" s="318">
        <f t="shared" si="8"/>
        <v>46127.61458</v>
      </c>
    </row>
    <row r="1749">
      <c r="A1749" s="14" t="str">
        <f t="shared" si="1"/>
        <v>C156846127</v>
      </c>
      <c r="B1749" s="185">
        <f t="array" ref="B1749">IF(F1749="VL","",IF(F1749="Free","Free",XLOOKUP(D1749,Roster!T:T,Roster!S:S,"",0)))</f>
        <v>122</v>
      </c>
      <c r="C1749" s="313">
        <v>46127.0</v>
      </c>
      <c r="D1749" s="314" t="s">
        <v>49</v>
      </c>
      <c r="E1749" s="307" t="str">
        <f t="array" ref="E1749">(XLOOKUP(D1749,Roster!F:F,Roster!B:B,"",0))</f>
        <v>Juan Zapata</v>
      </c>
      <c r="F1749" s="315" t="str">
        <f t="array" ref="F1749">IF(B1749=100,"Free",TEXT(XLOOKUP($D1749,OperationVoice!$A:$A,OperationVoice!U:U,XLOOKUP($D1749,OperationTickets!$A:$A,OperationTickets!U:U,"",0)),"hh:mm"))</f>
        <v>08:00</v>
      </c>
      <c r="G1749" s="309">
        <f t="shared" si="3"/>
        <v>0.7083333333</v>
      </c>
      <c r="H1749" s="316" t="str">
        <f t="array" ref="H1749">XLOOKUP(B1749,Roster!L:L,Roster!N:N,XLOOKUP(D1749,TicketsBreak!A:A,TicketsBreak!E:E,"",0),0)</f>
        <v>09:30 - 09:45</v>
      </c>
      <c r="I1749" s="316" t="str">
        <f t="array" ref="I1749">XLOOKUP(B1749,Roster!L:L,Roster!O:O,XLOOKUP(D1749,TicketsBreak!A:A,TicketsBreak!F:F,"",0),0)</f>
        <v>12:00 - 12:30</v>
      </c>
      <c r="J1749" s="316" t="str">
        <f t="array" ref="J1749">XLOOKUP(B1749,Roster!L:L,Roster!P:P,XLOOKUP(D1749,TicketsBreak!A:A,TicketsBreak!G:G,"",0),0)</f>
        <v>14:45 - 15:00</v>
      </c>
      <c r="K1749" s="310">
        <f t="shared" si="4"/>
        <v>46127</v>
      </c>
      <c r="L1749" s="317">
        <f t="array" ref="L1749">(XLOOKUP(D1749,Roster!F:F,Roster!D:D,"",0))</f>
        <v>38</v>
      </c>
      <c r="M1749" s="317" t="str">
        <f t="array" ref="M1749">XLOOKUP(D1749,Roster!F:F,Roster!E:E)</f>
        <v>Voice</v>
      </c>
      <c r="N1749" s="317" t="str">
        <f t="shared" ref="N1749:P1749" si="1775">LEFT(H1749,5)</f>
        <v>09:30</v>
      </c>
      <c r="O1749" s="317" t="str">
        <f t="shared" si="1775"/>
        <v>12:00</v>
      </c>
      <c r="P1749" s="317" t="str">
        <f t="shared" si="1775"/>
        <v>14:45</v>
      </c>
      <c r="Q1749" s="318">
        <f t="shared" si="1657"/>
        <v>46127.39583</v>
      </c>
      <c r="R1749" s="318">
        <f t="shared" si="1658"/>
        <v>46127.5</v>
      </c>
      <c r="S1749" s="318">
        <f t="shared" si="8"/>
        <v>46127.61458</v>
      </c>
    </row>
    <row r="1750">
      <c r="A1750" s="14" t="str">
        <f t="shared" si="1"/>
        <v>C75546127</v>
      </c>
      <c r="B1750" s="185" t="str">
        <f t="array" ref="B1750">IF(F1750="VL","",IF(F1750="Free","Free",XLOOKUP(D1750,Roster!T:T,Roster!S:S,"",0)))</f>
        <v/>
      </c>
      <c r="C1750" s="313">
        <v>46127.0</v>
      </c>
      <c r="D1750" s="314" t="s">
        <v>143</v>
      </c>
      <c r="E1750" s="307" t="str">
        <f t="array" ref="E1750">(XLOOKUP(D1750,Roster!F:F,Roster!B:B,"",0))</f>
        <v>Julian Higuita</v>
      </c>
      <c r="F1750" s="315" t="str">
        <f t="array" ref="F1750">IF(B1750=100,"Free",TEXT(XLOOKUP($D1750,OperationVoice!$A:$A,OperationVoice!U:U,XLOOKUP($D1750,OperationTickets!$A:$A,OperationTickets!U:U,"",0)),"hh:mm"))</f>
        <v>VL</v>
      </c>
      <c r="G1750" s="309" t="str">
        <f t="shared" si="3"/>
        <v>VL</v>
      </c>
      <c r="H1750" s="316" t="str">
        <f t="array" ref="H1750">XLOOKUP(B1750,Roster!L:L,Roster!N:N,XLOOKUP(D1750,TicketsBreak!A:A,TicketsBreak!E:E,"",0),0)</f>
        <v/>
      </c>
      <c r="I1750" s="316" t="str">
        <f t="array" ref="I1750">XLOOKUP(B1750,Roster!L:L,Roster!O:O,XLOOKUP(D1750,TicketsBreak!A:A,TicketsBreak!F:F,"",0),0)</f>
        <v/>
      </c>
      <c r="J1750" s="316" t="str">
        <f t="array" ref="J1750">XLOOKUP(B1750,Roster!L:L,Roster!P:P,XLOOKUP(D1750,TicketsBreak!A:A,TicketsBreak!G:G,"",0),0)</f>
        <v/>
      </c>
      <c r="K1750" s="310">
        <f t="shared" si="4"/>
        <v>46127</v>
      </c>
      <c r="L1750" s="317">
        <f t="array" ref="L1750">(XLOOKUP(D1750,Roster!F:F,Roster!D:D,"",0))</f>
        <v>35</v>
      </c>
      <c r="M1750" s="317" t="str">
        <f t="array" ref="M1750">XLOOKUP(D1750,Roster!F:F,Roster!E:E)</f>
        <v>Tickets</v>
      </c>
      <c r="N1750" s="317" t="str">
        <f t="shared" ref="N1750:P1750" si="1776">LEFT(H1750,5)</f>
        <v/>
      </c>
      <c r="O1750" s="317" t="str">
        <f t="shared" si="1776"/>
        <v/>
      </c>
      <c r="P1750" s="317" t="str">
        <f t="shared" si="1776"/>
        <v/>
      </c>
      <c r="Q1750" s="318" t="str">
        <f t="shared" si="1657"/>
        <v/>
      </c>
      <c r="R1750" s="318" t="str">
        <f t="shared" si="1658"/>
        <v/>
      </c>
      <c r="S1750" s="318" t="str">
        <f t="shared" si="8"/>
        <v/>
      </c>
    </row>
    <row r="1751">
      <c r="A1751" s="14" t="str">
        <f t="shared" si="1"/>
        <v>C52546127</v>
      </c>
      <c r="B1751" s="185" t="str">
        <f t="array" ref="B1751">IF(F1751="VL","",IF(F1751="Free","Free",XLOOKUP(D1751,Roster!T:T,Roster!S:S,"",0)))</f>
        <v>Free</v>
      </c>
      <c r="C1751" s="313">
        <v>46127.0</v>
      </c>
      <c r="D1751" s="314" t="s">
        <v>176</v>
      </c>
      <c r="E1751" s="307" t="str">
        <f t="array" ref="E1751">(XLOOKUP(D1751,Roster!F:F,Roster!B:B,"",0))</f>
        <v>Julian Pineda</v>
      </c>
      <c r="F1751" s="315" t="str">
        <f t="array" ref="F1751">IF(B1751=100,"Free",TEXT(XLOOKUP($D1751,OperationVoice!$A:$A,OperationVoice!U:U,XLOOKUP($D1751,OperationTickets!$A:$A,OperationTickets!U:U,"",0)),"hh:mm"))</f>
        <v>Free</v>
      </c>
      <c r="G1751" s="309" t="str">
        <f t="shared" si="3"/>
        <v>Free</v>
      </c>
      <c r="H1751" s="316" t="str">
        <f t="array" ref="H1751">XLOOKUP(B1751,Roster!L:L,Roster!N:N,XLOOKUP(D1751,TicketsBreak!A:A,TicketsBreak!E:E,"",0),0)</f>
        <v/>
      </c>
      <c r="I1751" s="316" t="str">
        <f t="array" ref="I1751">XLOOKUP(B1751,Roster!L:L,Roster!O:O,XLOOKUP(D1751,TicketsBreak!A:A,TicketsBreak!F:F,"",0),0)</f>
        <v/>
      </c>
      <c r="J1751" s="316" t="str">
        <f t="array" ref="J1751">XLOOKUP(B1751,Roster!L:L,Roster!P:P,XLOOKUP(D1751,TicketsBreak!A:A,TicketsBreak!G:G,"",0),0)</f>
        <v/>
      </c>
      <c r="K1751" s="310">
        <f t="shared" si="4"/>
        <v>46127</v>
      </c>
      <c r="L1751" s="317">
        <f t="array" ref="L1751">(XLOOKUP(D1751,Roster!F:F,Roster!D:D,"",0))</f>
        <v>35</v>
      </c>
      <c r="M1751" s="317" t="str">
        <f t="array" ref="M1751">XLOOKUP(D1751,Roster!F:F,Roster!E:E)</f>
        <v>Tickets</v>
      </c>
      <c r="N1751" s="317" t="str">
        <f t="shared" ref="N1751:P1751" si="1777">LEFT(H1751,5)</f>
        <v/>
      </c>
      <c r="O1751" s="317" t="str">
        <f t="shared" si="1777"/>
        <v/>
      </c>
      <c r="P1751" s="317" t="str">
        <f t="shared" si="1777"/>
        <v/>
      </c>
      <c r="Q1751" s="318" t="str">
        <f t="shared" si="1657"/>
        <v/>
      </c>
      <c r="R1751" s="318" t="str">
        <f t="shared" si="1658"/>
        <v/>
      </c>
      <c r="S1751" s="318" t="str">
        <f t="shared" si="8"/>
        <v/>
      </c>
    </row>
    <row r="1752">
      <c r="A1752" s="14" t="str">
        <f t="shared" si="1"/>
        <v>C142746127</v>
      </c>
      <c r="B1752" s="185">
        <f t="array" ref="B1752">IF(F1752="VL","",IF(F1752="Free","Free",XLOOKUP(D1752,Roster!T:T,Roster!S:S,"",0)))</f>
        <v>123</v>
      </c>
      <c r="C1752" s="313">
        <v>46127.0</v>
      </c>
      <c r="D1752" s="314" t="s">
        <v>50</v>
      </c>
      <c r="E1752" s="307" t="str">
        <f t="array" ref="E1752">(XLOOKUP(D1752,Roster!F:F,Roster!B:B,"",0))</f>
        <v>Karen Lorena Martinez</v>
      </c>
      <c r="F1752" s="315" t="str">
        <f t="array" ref="F1752">IF(B1752=100,"Free",TEXT(XLOOKUP($D1752,OperationVoice!$A:$A,OperationVoice!U:U,XLOOKUP($D1752,OperationTickets!$A:$A,OperationTickets!U:U,"",0)),"hh:mm"))</f>
        <v>08:00</v>
      </c>
      <c r="G1752" s="309">
        <f t="shared" si="3"/>
        <v>0.7083333333</v>
      </c>
      <c r="H1752" s="316" t="str">
        <f t="array" ref="H1752">XLOOKUP(B1752,Roster!L:L,Roster!N:N,XLOOKUP(D1752,TicketsBreak!A:A,TicketsBreak!E:E,"",0),0)</f>
        <v>09:45 - 10:00 </v>
      </c>
      <c r="I1752" s="316" t="str">
        <f t="array" ref="I1752">XLOOKUP(B1752,Roster!L:L,Roster!O:O,XLOOKUP(D1752,TicketsBreak!A:A,TicketsBreak!F:F,"",0),0)</f>
        <v>12:30 - 13:00</v>
      </c>
      <c r="J1752" s="316" t="str">
        <f t="array" ref="J1752">XLOOKUP(B1752,Roster!L:L,Roster!P:P,XLOOKUP(D1752,TicketsBreak!A:A,TicketsBreak!G:G,"",0),0)</f>
        <v>15:00 - 15:15</v>
      </c>
      <c r="K1752" s="310">
        <f t="shared" si="4"/>
        <v>46127</v>
      </c>
      <c r="L1752" s="317">
        <f t="array" ref="L1752">(XLOOKUP(D1752,Roster!F:F,Roster!D:D,"",0))</f>
        <v>32</v>
      </c>
      <c r="M1752" s="317" t="str">
        <f t="array" ref="M1752">XLOOKUP(D1752,Roster!F:F,Roster!E:E)</f>
        <v>Voice</v>
      </c>
      <c r="N1752" s="317" t="str">
        <f t="shared" ref="N1752:P1752" si="1778">LEFT(H1752,5)</f>
        <v>09:45</v>
      </c>
      <c r="O1752" s="317" t="str">
        <f t="shared" si="1778"/>
        <v>12:30</v>
      </c>
      <c r="P1752" s="317" t="str">
        <f t="shared" si="1778"/>
        <v>15:00</v>
      </c>
      <c r="Q1752" s="318">
        <f t="shared" si="1657"/>
        <v>46127.40625</v>
      </c>
      <c r="R1752" s="318">
        <f t="shared" si="1658"/>
        <v>46127.52083</v>
      </c>
      <c r="S1752" s="318">
        <f t="shared" si="8"/>
        <v>46127.625</v>
      </c>
    </row>
    <row r="1753">
      <c r="A1753" s="14" t="str">
        <f t="shared" si="1"/>
        <v>C57946127</v>
      </c>
      <c r="B1753" s="185" t="str">
        <f t="array" ref="B1753">IF(F1753="VL","",IF(F1753="Free","Free",XLOOKUP(D1753,Roster!T:T,Roster!S:S,"",0)))</f>
        <v/>
      </c>
      <c r="C1753" s="313">
        <v>46127.0</v>
      </c>
      <c r="D1753" s="314" t="s">
        <v>144</v>
      </c>
      <c r="E1753" s="307" t="str">
        <f t="array" ref="E1753">(XLOOKUP(D1753,Roster!F:F,Roster!B:B,"",0))</f>
        <v>Karen Martinez</v>
      </c>
      <c r="F1753" s="315" t="str">
        <f t="array" ref="F1753">IF(B1753=100,"Free",TEXT(XLOOKUP($D1753,OperationVoice!$A:$A,OperationVoice!U:U,XLOOKUP($D1753,OperationTickets!$A:$A,OperationTickets!U:U,"",0)),"hh:mm"))</f>
        <v>08:00</v>
      </c>
      <c r="G1753" s="309">
        <f t="shared" si="3"/>
        <v>0.7083333333</v>
      </c>
      <c r="H1753" s="316">
        <f t="array" ref="H1753">XLOOKUP(B1753,Roster!L:L,Roster!N:N,XLOOKUP(D1753,TicketsBreak!A:A,TicketsBreak!E:E,"",0),0)</f>
        <v>0.4166666667</v>
      </c>
      <c r="I1753" s="316">
        <f t="array" ref="I1753">XLOOKUP(B1753,Roster!L:L,Roster!O:O,XLOOKUP(D1753,TicketsBreak!A:A,TicketsBreak!F:F,"",0),0)</f>
        <v>0.5</v>
      </c>
      <c r="J1753" s="316">
        <f t="array" ref="J1753">XLOOKUP(B1753,Roster!L:L,Roster!P:P,XLOOKUP(D1753,TicketsBreak!A:A,TicketsBreak!G:G,"",0),0)</f>
        <v>0.625</v>
      </c>
      <c r="K1753" s="310">
        <f t="shared" si="4"/>
        <v>46127</v>
      </c>
      <c r="L1753" s="317">
        <f t="array" ref="L1753">(XLOOKUP(D1753,Roster!F:F,Roster!D:D,"",0))</f>
        <v>4</v>
      </c>
      <c r="M1753" s="317" t="str">
        <f t="array" ref="M1753">XLOOKUP(D1753,Roster!F:F,Roster!E:E)</f>
        <v>Tickets</v>
      </c>
      <c r="N1753" s="317" t="str">
        <f t="shared" ref="N1753:P1753" si="1779">LEFT(H1753,5)</f>
        <v>10:00</v>
      </c>
      <c r="O1753" s="317" t="str">
        <f t="shared" si="1779"/>
        <v>12:00</v>
      </c>
      <c r="P1753" s="317" t="str">
        <f t="shared" si="1779"/>
        <v>15:00</v>
      </c>
      <c r="Q1753" s="318">
        <f t="shared" si="1657"/>
        <v>46127.41667</v>
      </c>
      <c r="R1753" s="318">
        <f t="shared" si="1658"/>
        <v>46127.5</v>
      </c>
      <c r="S1753" s="318">
        <f t="shared" si="8"/>
        <v>46127.625</v>
      </c>
    </row>
    <row r="1754">
      <c r="A1754" s="14" t="str">
        <f t="shared" si="1"/>
        <v>C108646127</v>
      </c>
      <c r="B1754" s="185">
        <f t="array" ref="B1754">IF(F1754="VL","",IF(F1754="Free","Free",XLOOKUP(D1754,Roster!T:T,Roster!S:S,"",0)))</f>
        <v>124</v>
      </c>
      <c r="C1754" s="313">
        <v>46127.0</v>
      </c>
      <c r="D1754" s="314" t="s">
        <v>51</v>
      </c>
      <c r="E1754" s="307" t="str">
        <f t="array" ref="E1754">(XLOOKUP(D1754,Roster!F:F,Roster!B:B,"",0))</f>
        <v>Karen Panqueva</v>
      </c>
      <c r="F1754" s="315" t="str">
        <f t="array" ref="F1754">IF(B1754=100,"Free",TEXT(XLOOKUP($D1754,OperationVoice!$A:$A,OperationVoice!U:U,XLOOKUP($D1754,OperationTickets!$A:$A,OperationTickets!U:U,"",0)),"hh:mm"))</f>
        <v>08:00</v>
      </c>
      <c r="G1754" s="309">
        <f t="shared" si="3"/>
        <v>0.7083333333</v>
      </c>
      <c r="H1754" s="316" t="str">
        <f t="array" ref="H1754">XLOOKUP(B1754,Roster!L:L,Roster!N:N,XLOOKUP(D1754,TicketsBreak!A:A,TicketsBreak!E:E,"",0),0)</f>
        <v>10:00 - 10:15</v>
      </c>
      <c r="I1754" s="316" t="str">
        <f t="array" ref="I1754">XLOOKUP(B1754,Roster!L:L,Roster!O:O,XLOOKUP(D1754,TicketsBreak!A:A,TicketsBreak!F:F,"",0),0)</f>
        <v>13:00 - 13:30</v>
      </c>
      <c r="J1754" s="316" t="str">
        <f t="array" ref="J1754">XLOOKUP(B1754,Roster!L:L,Roster!P:P,XLOOKUP(D1754,TicketsBreak!A:A,TicketsBreak!G:G,"",0),0)</f>
        <v>15:30 - 15:45</v>
      </c>
      <c r="K1754" s="310">
        <f t="shared" si="4"/>
        <v>46127</v>
      </c>
      <c r="L1754" s="317">
        <f t="array" ref="L1754">(XLOOKUP(D1754,Roster!F:F,Roster!D:D,"",0))</f>
        <v>19</v>
      </c>
      <c r="M1754" s="317" t="str">
        <f t="array" ref="M1754">XLOOKUP(D1754,Roster!F:F,Roster!E:E)</f>
        <v>Voice</v>
      </c>
      <c r="N1754" s="317" t="str">
        <f t="shared" ref="N1754:P1754" si="1780">LEFT(H1754,5)</f>
        <v>10:00</v>
      </c>
      <c r="O1754" s="317" t="str">
        <f t="shared" si="1780"/>
        <v>13:00</v>
      </c>
      <c r="P1754" s="317" t="str">
        <f t="shared" si="1780"/>
        <v>15:30</v>
      </c>
      <c r="Q1754" s="318">
        <f t="shared" si="1657"/>
        <v>46127.41667</v>
      </c>
      <c r="R1754" s="318">
        <f t="shared" si="1658"/>
        <v>46127.54167</v>
      </c>
      <c r="S1754" s="318">
        <f t="shared" si="8"/>
        <v>46127.64583</v>
      </c>
    </row>
    <row r="1755">
      <c r="A1755" s="14" t="str">
        <f t="shared" si="1"/>
        <v>C149246127</v>
      </c>
      <c r="B1755" s="185">
        <f t="array" ref="B1755">IF(F1755="VL","",IF(F1755="Free","Free",XLOOKUP(D1755,Roster!T:T,Roster!S:S,"",0)))</f>
        <v>125</v>
      </c>
      <c r="C1755" s="313">
        <v>46127.0</v>
      </c>
      <c r="D1755" s="314" t="s">
        <v>52</v>
      </c>
      <c r="E1755" s="307" t="str">
        <f t="array" ref="E1755">(XLOOKUP(D1755,Roster!F:F,Roster!B:B,"",0))</f>
        <v>Karol Pineda</v>
      </c>
      <c r="F1755" s="315" t="str">
        <f t="array" ref="F1755">IF(B1755=100,"Free",TEXT(XLOOKUP($D1755,OperationVoice!$A:$A,OperationVoice!U:U,XLOOKUP($D1755,OperationTickets!$A:$A,OperationTickets!U:U,"",0)),"hh:mm"))</f>
        <v>08:00</v>
      </c>
      <c r="G1755" s="309">
        <f t="shared" si="3"/>
        <v>0.7083333333</v>
      </c>
      <c r="H1755" s="316" t="str">
        <f t="array" ref="H1755">XLOOKUP(B1755,Roster!L:L,Roster!N:N,XLOOKUP(D1755,TicketsBreak!A:A,TicketsBreak!E:E,"",0),0)</f>
        <v>10:30 - 10:45</v>
      </c>
      <c r="I1755" s="316" t="str">
        <f t="array" ref="I1755">XLOOKUP(B1755,Roster!L:L,Roster!O:O,XLOOKUP(D1755,TicketsBreak!A:A,TicketsBreak!F:F,"",0),0)</f>
        <v>13:30 - 14:00</v>
      </c>
      <c r="J1755" s="316" t="str">
        <f t="array" ref="J1755">XLOOKUP(B1755,Roster!L:L,Roster!P:P,XLOOKUP(D1755,TicketsBreak!A:A,TicketsBreak!G:G,"",0),0)</f>
        <v>15:45 - 16:00</v>
      </c>
      <c r="K1755" s="310">
        <f t="shared" si="4"/>
        <v>46127</v>
      </c>
      <c r="L1755" s="317">
        <f t="array" ref="L1755">(XLOOKUP(D1755,Roster!F:F,Roster!D:D,"",0))</f>
        <v>34</v>
      </c>
      <c r="M1755" s="317" t="str">
        <f t="array" ref="M1755">XLOOKUP(D1755,Roster!F:F,Roster!E:E)</f>
        <v>Voice</v>
      </c>
      <c r="N1755" s="317" t="str">
        <f t="shared" ref="N1755:P1755" si="1781">LEFT(H1755,5)</f>
        <v>10:30</v>
      </c>
      <c r="O1755" s="317" t="str">
        <f t="shared" si="1781"/>
        <v>13:30</v>
      </c>
      <c r="P1755" s="317" t="str">
        <f t="shared" si="1781"/>
        <v>15:45</v>
      </c>
      <c r="Q1755" s="318">
        <f t="shared" si="1657"/>
        <v>46127.4375</v>
      </c>
      <c r="R1755" s="318">
        <f t="shared" si="1658"/>
        <v>46127.5625</v>
      </c>
      <c r="S1755" s="318">
        <f t="shared" si="8"/>
        <v>46127.65625</v>
      </c>
    </row>
    <row r="1756">
      <c r="A1756" s="14" t="str">
        <f t="shared" si="1"/>
        <v>C65846127</v>
      </c>
      <c r="B1756" s="185">
        <f t="array" ref="B1756">IF(F1756="VL","",IF(F1756="Free","Free",XLOOKUP(D1756,Roster!T:T,Roster!S:S,"",0)))</f>
        <v>112</v>
      </c>
      <c r="C1756" s="313">
        <v>46127.0</v>
      </c>
      <c r="D1756" s="314" t="s">
        <v>53</v>
      </c>
      <c r="E1756" s="307" t="str">
        <f t="array" ref="E1756">(XLOOKUP(D1756,Roster!F:F,Roster!B:B,"",0))</f>
        <v>Kennedy Giraldo</v>
      </c>
      <c r="F1756" s="315" t="str">
        <f t="array" ref="F1756">IF(B1756=100,"Free",TEXT(XLOOKUP($D1756,OperationVoice!$A:$A,OperationVoice!U:U,XLOOKUP($D1756,OperationTickets!$A:$A,OperationTickets!U:U,"",0)),"hh:mm"))</f>
        <v>07:00</v>
      </c>
      <c r="G1756" s="309">
        <f t="shared" si="3"/>
        <v>0.6666666667</v>
      </c>
      <c r="H1756" s="316" t="str">
        <f t="array" ref="H1756">XLOOKUP(B1756,Roster!L:L,Roster!N:N,XLOOKUP(D1756,TicketsBreak!A:A,TicketsBreak!E:E,"",0),0)</f>
        <v>09:30 - 09:45</v>
      </c>
      <c r="I1756" s="316" t="str">
        <f t="array" ref="I1756">XLOOKUP(B1756,Roster!L:L,Roster!O:O,XLOOKUP(D1756,TicketsBreak!A:A,TicketsBreak!F:F,"",0),0)</f>
        <v>12:15 - 12:45</v>
      </c>
      <c r="J1756" s="316" t="str">
        <f t="array" ref="J1756">XLOOKUP(B1756,Roster!L:L,Roster!P:P,XLOOKUP(D1756,TicketsBreak!A:A,TicketsBreak!G:G,"",0),0)</f>
        <v>14:45 - 15:00</v>
      </c>
      <c r="K1756" s="310">
        <f t="shared" si="4"/>
        <v>46127</v>
      </c>
      <c r="L1756" s="317">
        <f t="array" ref="L1756">(XLOOKUP(D1756,Roster!F:F,Roster!D:D,"",0))</f>
        <v>2</v>
      </c>
      <c r="M1756" s="317" t="str">
        <f t="array" ref="M1756">XLOOKUP(D1756,Roster!F:F,Roster!E:E)</f>
        <v>Voice</v>
      </c>
      <c r="N1756" s="317" t="str">
        <f t="shared" ref="N1756:P1756" si="1782">LEFT(H1756,5)</f>
        <v>09:30</v>
      </c>
      <c r="O1756" s="317" t="str">
        <f t="shared" si="1782"/>
        <v>12:15</v>
      </c>
      <c r="P1756" s="317" t="str">
        <f t="shared" si="1782"/>
        <v>14:45</v>
      </c>
      <c r="Q1756" s="318">
        <f t="shared" si="1657"/>
        <v>46127.39583</v>
      </c>
      <c r="R1756" s="318">
        <f t="shared" si="1658"/>
        <v>46127.51042</v>
      </c>
      <c r="S1756" s="318">
        <f t="shared" si="8"/>
        <v>46127.61458</v>
      </c>
    </row>
    <row r="1757">
      <c r="A1757" s="14" t="str">
        <f t="shared" si="1"/>
        <v>C151446127</v>
      </c>
      <c r="B1757" s="185">
        <f t="array" ref="B1757">IF(F1757="VL","",IF(F1757="Free","Free",XLOOKUP(D1757,Roster!T:T,Roster!S:S,"",0)))</f>
        <v>122</v>
      </c>
      <c r="C1757" s="313">
        <v>46127.0</v>
      </c>
      <c r="D1757" s="314" t="s">
        <v>54</v>
      </c>
      <c r="E1757" s="307" t="str">
        <f t="array" ref="E1757">(XLOOKUP(D1757,Roster!F:F,Roster!B:B,"",0))</f>
        <v>Kevin Betancur</v>
      </c>
      <c r="F1757" s="315" t="str">
        <f t="array" ref="F1757">IF(B1757=100,"Free",TEXT(XLOOKUP($D1757,OperationVoice!$A:$A,OperationVoice!U:U,XLOOKUP($D1757,OperationTickets!$A:$A,OperationTickets!U:U,"",0)),"hh:mm"))</f>
        <v>08:00</v>
      </c>
      <c r="G1757" s="309">
        <f t="shared" si="3"/>
        <v>0.7083333333</v>
      </c>
      <c r="H1757" s="316" t="str">
        <f t="array" ref="H1757">XLOOKUP(B1757,Roster!L:L,Roster!N:N,XLOOKUP(D1757,TicketsBreak!A:A,TicketsBreak!E:E,"",0),0)</f>
        <v>09:30 - 09:45</v>
      </c>
      <c r="I1757" s="316" t="str">
        <f t="array" ref="I1757">XLOOKUP(B1757,Roster!L:L,Roster!O:O,XLOOKUP(D1757,TicketsBreak!A:A,TicketsBreak!F:F,"",0),0)</f>
        <v>12:00 - 12:30</v>
      </c>
      <c r="J1757" s="316" t="str">
        <f t="array" ref="J1757">XLOOKUP(B1757,Roster!L:L,Roster!P:P,XLOOKUP(D1757,TicketsBreak!A:A,TicketsBreak!G:G,"",0),0)</f>
        <v>14:45 - 15:00</v>
      </c>
      <c r="K1757" s="310">
        <f t="shared" si="4"/>
        <v>46127</v>
      </c>
      <c r="L1757" s="317">
        <f t="array" ref="L1757">(XLOOKUP(D1757,Roster!F:F,Roster!D:D,"",0))</f>
        <v>35</v>
      </c>
      <c r="M1757" s="317" t="str">
        <f t="array" ref="M1757">XLOOKUP(D1757,Roster!F:F,Roster!E:E)</f>
        <v>Voice</v>
      </c>
      <c r="N1757" s="317" t="str">
        <f t="shared" ref="N1757:P1757" si="1783">LEFT(H1757,5)</f>
        <v>09:30</v>
      </c>
      <c r="O1757" s="317" t="str">
        <f t="shared" si="1783"/>
        <v>12:00</v>
      </c>
      <c r="P1757" s="317" t="str">
        <f t="shared" si="1783"/>
        <v>14:45</v>
      </c>
      <c r="Q1757" s="318">
        <f t="shared" si="1657"/>
        <v>46127.39583</v>
      </c>
      <c r="R1757" s="318">
        <f t="shared" si="1658"/>
        <v>46127.5</v>
      </c>
      <c r="S1757" s="318">
        <f t="shared" si="8"/>
        <v>46127.61458</v>
      </c>
    </row>
    <row r="1758">
      <c r="A1758" s="14" t="str">
        <f t="shared" si="1"/>
        <v>C157146127</v>
      </c>
      <c r="B1758" s="185" t="str">
        <f t="array" ref="B1758">IF(F1758="VL","",IF(F1758="Free","Free",XLOOKUP(D1758,Roster!T:T,Roster!S:S,"",0)))</f>
        <v>Free</v>
      </c>
      <c r="C1758" s="313">
        <v>46127.0</v>
      </c>
      <c r="D1758" s="314" t="s">
        <v>55</v>
      </c>
      <c r="E1758" s="307" t="str">
        <f t="array" ref="E1758">(XLOOKUP(D1758,Roster!F:F,Roster!B:B,"",0))</f>
        <v>Laura Chamorro</v>
      </c>
      <c r="F1758" s="315" t="str">
        <f t="array" ref="F1758">IF(B1758=100,"Free",TEXT(XLOOKUP($D1758,OperationVoice!$A:$A,OperationVoice!U:U,XLOOKUP($D1758,OperationTickets!$A:$A,OperationTickets!U:U,"",0)),"hh:mm"))</f>
        <v>Free</v>
      </c>
      <c r="G1758" s="309" t="str">
        <f t="shared" si="3"/>
        <v>Free</v>
      </c>
      <c r="H1758" s="316" t="str">
        <f t="array" ref="H1758">XLOOKUP(B1758,Roster!L:L,Roster!N:N,XLOOKUP(D1758,TicketsBreak!A:A,TicketsBreak!E:E,"",0),0)</f>
        <v/>
      </c>
      <c r="I1758" s="316" t="str">
        <f t="array" ref="I1758">XLOOKUP(B1758,Roster!L:L,Roster!O:O,XLOOKUP(D1758,TicketsBreak!A:A,TicketsBreak!F:F,"",0),0)</f>
        <v/>
      </c>
      <c r="J1758" s="316" t="str">
        <f t="array" ref="J1758">XLOOKUP(B1758,Roster!L:L,Roster!P:P,XLOOKUP(D1758,TicketsBreak!A:A,TicketsBreak!G:G,"",0),0)</f>
        <v/>
      </c>
      <c r="K1758" s="310">
        <f t="shared" si="4"/>
        <v>46127</v>
      </c>
      <c r="L1758" s="317">
        <f t="array" ref="L1758">(XLOOKUP(D1758,Roster!F:F,Roster!D:D,"",0))</f>
        <v>38</v>
      </c>
      <c r="M1758" s="317" t="str">
        <f t="array" ref="M1758">XLOOKUP(D1758,Roster!F:F,Roster!E:E)</f>
        <v>Voice</v>
      </c>
      <c r="N1758" s="317" t="str">
        <f t="shared" ref="N1758:P1758" si="1784">LEFT(H1758,5)</f>
        <v/>
      </c>
      <c r="O1758" s="317" t="str">
        <f t="shared" si="1784"/>
        <v/>
      </c>
      <c r="P1758" s="317" t="str">
        <f t="shared" si="1784"/>
        <v/>
      </c>
      <c r="Q1758" s="318" t="str">
        <f t="shared" si="1657"/>
        <v/>
      </c>
      <c r="R1758" s="318" t="str">
        <f t="shared" si="1658"/>
        <v/>
      </c>
      <c r="S1758" s="318" t="str">
        <f t="shared" si="8"/>
        <v/>
      </c>
    </row>
    <row r="1759">
      <c r="A1759" s="14" t="str">
        <f t="shared" si="1"/>
        <v>C53446127</v>
      </c>
      <c r="B1759" s="185" t="str">
        <f t="array" ref="B1759">IF(F1759="VL","",IF(F1759="Free","Free",XLOOKUP(D1759,Roster!T:T,Roster!S:S,"",0)))</f>
        <v/>
      </c>
      <c r="C1759" s="313">
        <v>46127.0</v>
      </c>
      <c r="D1759" s="314" t="s">
        <v>177</v>
      </c>
      <c r="E1759" s="307" t="str">
        <f t="array" ref="E1759">(XLOOKUP(D1759,Roster!F:F,Roster!B:B,"",0))</f>
        <v>Leandry La Rosa</v>
      </c>
      <c r="F1759" s="315" t="str">
        <f t="array" ref="F1759">IF(B1759=100,"Free",TEXT(XLOOKUP($D1759,OperationVoice!$A:$A,OperationVoice!U:U,XLOOKUP($D1759,OperationTickets!$A:$A,OperationTickets!U:U,"",0)),"hh:mm"))</f>
        <v>08:00</v>
      </c>
      <c r="G1759" s="309">
        <f t="shared" si="3"/>
        <v>0.7083333333</v>
      </c>
      <c r="H1759" s="316">
        <f t="array" ref="H1759">XLOOKUP(B1759,Roster!L:L,Roster!N:N,XLOOKUP(D1759,TicketsBreak!A:A,TicketsBreak!E:E,"",0),0)</f>
        <v>0.40625</v>
      </c>
      <c r="I1759" s="316">
        <f t="array" ref="I1759">XLOOKUP(B1759,Roster!L:L,Roster!O:O,XLOOKUP(D1759,TicketsBreak!A:A,TicketsBreak!F:F,"",0),0)</f>
        <v>0.5416666667</v>
      </c>
      <c r="J1759" s="316">
        <f t="array" ref="J1759">XLOOKUP(B1759,Roster!L:L,Roster!P:P,XLOOKUP(D1759,TicketsBreak!A:A,TicketsBreak!G:G,"",0),0)</f>
        <v>0.65625</v>
      </c>
      <c r="K1759" s="310">
        <f t="shared" si="4"/>
        <v>46127</v>
      </c>
      <c r="L1759" s="317">
        <f t="array" ref="L1759">(XLOOKUP(D1759,Roster!F:F,Roster!D:D,"",0))</f>
        <v>1</v>
      </c>
      <c r="M1759" s="317" t="str">
        <f t="array" ref="M1759">XLOOKUP(D1759,Roster!F:F,Roster!E:E)</f>
        <v>Tickets</v>
      </c>
      <c r="N1759" s="317" t="str">
        <f t="shared" ref="N1759:P1759" si="1785">LEFT(H1759,5)</f>
        <v>09:45</v>
      </c>
      <c r="O1759" s="317" t="str">
        <f t="shared" si="1785"/>
        <v>13:00</v>
      </c>
      <c r="P1759" s="317" t="str">
        <f t="shared" si="1785"/>
        <v>15:45</v>
      </c>
      <c r="Q1759" s="318">
        <f t="shared" si="1657"/>
        <v>46127.40625</v>
      </c>
      <c r="R1759" s="318">
        <f t="shared" si="1658"/>
        <v>46127.54167</v>
      </c>
      <c r="S1759" s="318">
        <f t="shared" si="8"/>
        <v>46127.65625</v>
      </c>
    </row>
    <row r="1760">
      <c r="A1760" s="14" t="str">
        <f t="shared" si="1"/>
        <v>C157846127</v>
      </c>
      <c r="B1760" s="185">
        <f t="array" ref="B1760">IF(F1760="VL","",IF(F1760="Free","Free",XLOOKUP(D1760,Roster!T:T,Roster!S:S,"",0)))</f>
        <v>125</v>
      </c>
      <c r="C1760" s="313">
        <v>46127.0</v>
      </c>
      <c r="D1760" s="314" t="s">
        <v>56</v>
      </c>
      <c r="E1760" s="307" t="str">
        <f t="array" ref="E1760">(XLOOKUP(D1760,Roster!F:F,Roster!B:B,"",0))</f>
        <v>Leonerrichi Caicedo</v>
      </c>
      <c r="F1760" s="315" t="str">
        <f t="array" ref="F1760">IF(B1760=100,"Free",TEXT(XLOOKUP($D1760,OperationVoice!$A:$A,OperationVoice!U:U,XLOOKUP($D1760,OperationTickets!$A:$A,OperationTickets!U:U,"",0)),"hh:mm"))</f>
        <v>08:00</v>
      </c>
      <c r="G1760" s="309">
        <f t="shared" si="3"/>
        <v>0.7083333333</v>
      </c>
      <c r="H1760" s="316" t="str">
        <f t="array" ref="H1760">XLOOKUP(B1760,Roster!L:L,Roster!N:N,XLOOKUP(D1760,TicketsBreak!A:A,TicketsBreak!E:E,"",0),0)</f>
        <v>10:30 - 10:45</v>
      </c>
      <c r="I1760" s="316" t="str">
        <f t="array" ref="I1760">XLOOKUP(B1760,Roster!L:L,Roster!O:O,XLOOKUP(D1760,TicketsBreak!A:A,TicketsBreak!F:F,"",0),0)</f>
        <v>13:30 - 14:00</v>
      </c>
      <c r="J1760" s="316" t="str">
        <f t="array" ref="J1760">XLOOKUP(B1760,Roster!L:L,Roster!P:P,XLOOKUP(D1760,TicketsBreak!A:A,TicketsBreak!G:G,"",0),0)</f>
        <v>15:45 - 16:00</v>
      </c>
      <c r="K1760" s="310">
        <f t="shared" si="4"/>
        <v>46127</v>
      </c>
      <c r="L1760" s="317">
        <f t="array" ref="L1760">(XLOOKUP(D1760,Roster!F:F,Roster!D:D,"",0))</f>
        <v>38</v>
      </c>
      <c r="M1760" s="317" t="str">
        <f t="array" ref="M1760">XLOOKUP(D1760,Roster!F:F,Roster!E:E)</f>
        <v>Voice</v>
      </c>
      <c r="N1760" s="317" t="str">
        <f t="shared" ref="N1760:P1760" si="1786">LEFT(H1760,5)</f>
        <v>10:30</v>
      </c>
      <c r="O1760" s="317" t="str">
        <f t="shared" si="1786"/>
        <v>13:30</v>
      </c>
      <c r="P1760" s="317" t="str">
        <f t="shared" si="1786"/>
        <v>15:45</v>
      </c>
      <c r="Q1760" s="318">
        <f t="shared" si="1657"/>
        <v>46127.4375</v>
      </c>
      <c r="R1760" s="318">
        <f t="shared" si="1658"/>
        <v>46127.5625</v>
      </c>
      <c r="S1760" s="318">
        <f t="shared" si="8"/>
        <v>46127.65625</v>
      </c>
    </row>
    <row r="1761">
      <c r="A1761" s="14" t="str">
        <f t="shared" si="1"/>
        <v>C53546127</v>
      </c>
      <c r="B1761" s="185" t="str">
        <f t="array" ref="B1761">IF(F1761="VL","",IF(F1761="Free","Free",XLOOKUP(D1761,Roster!T:T,Roster!S:S,"",0)))</f>
        <v/>
      </c>
      <c r="C1761" s="313">
        <v>46127.0</v>
      </c>
      <c r="D1761" s="314" t="s">
        <v>145</v>
      </c>
      <c r="E1761" s="307" t="str">
        <f t="array" ref="E1761">(XLOOKUP(D1761,Roster!F:F,Roster!B:B,"",0))</f>
        <v>Lina Cadena</v>
      </c>
      <c r="F1761" s="315" t="str">
        <f t="array" ref="F1761">IF(B1761=100,"Free",TEXT(XLOOKUP($D1761,OperationVoice!$A:$A,OperationVoice!U:U,XLOOKUP($D1761,OperationTickets!$A:$A,OperationTickets!U:U,"",0)),"hh:mm"))</f>
        <v>08:00</v>
      </c>
      <c r="G1761" s="309">
        <f t="shared" si="3"/>
        <v>0.7083333333</v>
      </c>
      <c r="H1761" s="316">
        <f t="array" ref="H1761">XLOOKUP(B1761,Roster!L:L,Roster!N:N,XLOOKUP(D1761,TicketsBreak!A:A,TicketsBreak!E:E,"",0),0)</f>
        <v>0.3854166667</v>
      </c>
      <c r="I1761" s="316">
        <f t="array" ref="I1761">XLOOKUP(B1761,Roster!L:L,Roster!O:O,XLOOKUP(D1761,TicketsBreak!A:A,TicketsBreak!F:F,"",0),0)</f>
        <v>0.5833333333</v>
      </c>
      <c r="J1761" s="316">
        <f t="array" ref="J1761">XLOOKUP(B1761,Roster!L:L,Roster!P:P,XLOOKUP(D1761,TicketsBreak!A:A,TicketsBreak!G:G,"",0),0)</f>
        <v>0.6458333333</v>
      </c>
      <c r="K1761" s="310">
        <f t="shared" si="4"/>
        <v>46127</v>
      </c>
      <c r="L1761" s="317">
        <f t="array" ref="L1761">(XLOOKUP(D1761,Roster!F:F,Roster!D:D,"",0))</f>
        <v>2</v>
      </c>
      <c r="M1761" s="317" t="str">
        <f t="array" ref="M1761">XLOOKUP(D1761,Roster!F:F,Roster!E:E)</f>
        <v>Tickets</v>
      </c>
      <c r="N1761" s="317" t="str">
        <f t="shared" ref="N1761:P1761" si="1787">LEFT(H1761,5)</f>
        <v>09:15</v>
      </c>
      <c r="O1761" s="317" t="str">
        <f t="shared" si="1787"/>
        <v>14:00</v>
      </c>
      <c r="P1761" s="317" t="str">
        <f t="shared" si="1787"/>
        <v>15:30</v>
      </c>
      <c r="Q1761" s="318">
        <f t="shared" si="1657"/>
        <v>46127.38542</v>
      </c>
      <c r="R1761" s="318">
        <f t="shared" si="1658"/>
        <v>46127.58333</v>
      </c>
      <c r="S1761" s="318">
        <f t="shared" si="8"/>
        <v>46127.64583</v>
      </c>
    </row>
    <row r="1762">
      <c r="A1762" s="14" t="str">
        <f t="shared" si="1"/>
        <v>C151746127</v>
      </c>
      <c r="B1762" s="185">
        <f t="array" ref="B1762">IF(F1762="VL","",IF(F1762="Free","Free",XLOOKUP(D1762,Roster!T:T,Roster!S:S,"",0)))</f>
        <v>124</v>
      </c>
      <c r="C1762" s="313">
        <v>46127.0</v>
      </c>
      <c r="D1762" s="314" t="s">
        <v>57</v>
      </c>
      <c r="E1762" s="307" t="str">
        <f t="array" ref="E1762">(XLOOKUP(D1762,Roster!F:F,Roster!B:B,"",0))</f>
        <v>Lisandro Alvarado</v>
      </c>
      <c r="F1762" s="315" t="str">
        <f t="array" ref="F1762">IF(B1762=100,"Free",TEXT(XLOOKUP($D1762,OperationVoice!$A:$A,OperationVoice!U:U,XLOOKUP($D1762,OperationTickets!$A:$A,OperationTickets!U:U,"",0)),"hh:mm"))</f>
        <v>08:00</v>
      </c>
      <c r="G1762" s="309">
        <f t="shared" si="3"/>
        <v>0.7083333333</v>
      </c>
      <c r="H1762" s="316" t="str">
        <f t="array" ref="H1762">XLOOKUP(B1762,Roster!L:L,Roster!N:N,XLOOKUP(D1762,TicketsBreak!A:A,TicketsBreak!E:E,"",0),0)</f>
        <v>10:00 - 10:15</v>
      </c>
      <c r="I1762" s="316" t="str">
        <f t="array" ref="I1762">XLOOKUP(B1762,Roster!L:L,Roster!O:O,XLOOKUP(D1762,TicketsBreak!A:A,TicketsBreak!F:F,"",0),0)</f>
        <v>13:00 - 13:30</v>
      </c>
      <c r="J1762" s="316" t="str">
        <f t="array" ref="J1762">XLOOKUP(B1762,Roster!L:L,Roster!P:P,XLOOKUP(D1762,TicketsBreak!A:A,TicketsBreak!G:G,"",0),0)</f>
        <v>15:30 - 15:45</v>
      </c>
      <c r="K1762" s="310">
        <f t="shared" si="4"/>
        <v>46127</v>
      </c>
      <c r="L1762" s="317">
        <f t="array" ref="L1762">(XLOOKUP(D1762,Roster!F:F,Roster!D:D,"",0))</f>
        <v>35</v>
      </c>
      <c r="M1762" s="317" t="str">
        <f t="array" ref="M1762">XLOOKUP(D1762,Roster!F:F,Roster!E:E)</f>
        <v>Voice</v>
      </c>
      <c r="N1762" s="317" t="str">
        <f t="shared" ref="N1762:P1762" si="1788">LEFT(H1762,5)</f>
        <v>10:00</v>
      </c>
      <c r="O1762" s="317" t="str">
        <f t="shared" si="1788"/>
        <v>13:00</v>
      </c>
      <c r="P1762" s="317" t="str">
        <f t="shared" si="1788"/>
        <v>15:30</v>
      </c>
      <c r="Q1762" s="318">
        <f t="shared" si="1657"/>
        <v>46127.41667</v>
      </c>
      <c r="R1762" s="318">
        <f t="shared" si="1658"/>
        <v>46127.54167</v>
      </c>
      <c r="S1762" s="318">
        <f t="shared" si="8"/>
        <v>46127.64583</v>
      </c>
    </row>
    <row r="1763">
      <c r="A1763" s="14" t="str">
        <f t="shared" si="1"/>
        <v>C143346127</v>
      </c>
      <c r="B1763" s="185">
        <f t="array" ref="B1763">IF(F1763="VL","",IF(F1763="Free","Free",XLOOKUP(D1763,Roster!T:T,Roster!S:S,"",0)))</f>
        <v>500</v>
      </c>
      <c r="C1763" s="313">
        <v>46127.0</v>
      </c>
      <c r="D1763" s="314" t="s">
        <v>58</v>
      </c>
      <c r="E1763" s="307" t="str">
        <f t="array" ref="E1763">(XLOOKUP(D1763,Roster!F:F,Roster!B:B,"",0))</f>
        <v>Luis Lopez</v>
      </c>
      <c r="F1763" s="315" t="str">
        <f t="array" ref="F1763">IF(B1763=100,"Free",TEXT(XLOOKUP($D1763,OperationVoice!$A:$A,OperationVoice!U:U,XLOOKUP($D1763,OperationTickets!$A:$A,OperationTickets!U:U,"",0)),"hh:mm"))</f>
        <v>10:00</v>
      </c>
      <c r="G1763" s="309">
        <f t="shared" si="3"/>
        <v>0.7916666667</v>
      </c>
      <c r="H1763" s="316" t="str">
        <f t="array" ref="H1763">XLOOKUP(B1763,Roster!L:L,Roster!N:N,XLOOKUP(D1763,TicketsBreak!A:A,TicketsBreak!E:E,"",0),0)</f>
        <v>Team Leader</v>
      </c>
      <c r="I1763" s="316" t="str">
        <f t="array" ref="I1763">XLOOKUP(B1763,Roster!L:L,Roster!O:O,XLOOKUP(D1763,TicketsBreak!A:A,TicketsBreak!F:F,"",0),0)</f>
        <v>Team Leader</v>
      </c>
      <c r="J1763" s="316" t="str">
        <f t="array" ref="J1763">XLOOKUP(B1763,Roster!L:L,Roster!P:P,XLOOKUP(D1763,TicketsBreak!A:A,TicketsBreak!G:G,"",0),0)</f>
        <v/>
      </c>
      <c r="K1763" s="310">
        <f t="shared" si="4"/>
        <v>46127</v>
      </c>
      <c r="L1763" s="317">
        <f t="array" ref="L1763">(XLOOKUP(D1763,Roster!F:F,Roster!D:D,"",0))</f>
        <v>32</v>
      </c>
      <c r="M1763" s="317" t="str">
        <f t="array" ref="M1763">XLOOKUP(D1763,Roster!F:F,Roster!E:E)</f>
        <v>Voice</v>
      </c>
      <c r="N1763" s="317" t="str">
        <f t="shared" ref="N1763:P1763" si="1789">LEFT(H1763,5)</f>
        <v>Team </v>
      </c>
      <c r="O1763" s="317" t="str">
        <f t="shared" si="1789"/>
        <v>Team </v>
      </c>
      <c r="P1763" s="317" t="str">
        <f t="shared" si="1789"/>
        <v/>
      </c>
      <c r="Q1763" s="318" t="str">
        <f t="shared" si="1657"/>
        <v>#VALUE!</v>
      </c>
      <c r="R1763" s="318" t="str">
        <f t="shared" si="1658"/>
        <v>#VALUE!</v>
      </c>
      <c r="S1763" s="318" t="str">
        <f t="shared" si="8"/>
        <v/>
      </c>
    </row>
    <row r="1764">
      <c r="A1764" s="14" t="str">
        <f t="shared" si="1"/>
        <v>C153446127</v>
      </c>
      <c r="B1764" s="185">
        <f t="array" ref="B1764">IF(F1764="VL","",IF(F1764="Free","Free",XLOOKUP(D1764,Roster!T:T,Roster!S:S,"",0)))</f>
        <v>126</v>
      </c>
      <c r="C1764" s="313">
        <v>46127.0</v>
      </c>
      <c r="D1764" s="314" t="s">
        <v>59</v>
      </c>
      <c r="E1764" s="307" t="str">
        <f t="array" ref="E1764">(XLOOKUP(D1764,Roster!F:F,Roster!B:B,"",0))</f>
        <v>Luis Munoz</v>
      </c>
      <c r="F1764" s="315" t="str">
        <f t="array" ref="F1764">IF(B1764=100,"Free",TEXT(XLOOKUP($D1764,OperationVoice!$A:$A,OperationVoice!U:U,XLOOKUP($D1764,OperationTickets!$A:$A,OperationTickets!U:U,"",0)),"hh:mm"))</f>
        <v>08:00</v>
      </c>
      <c r="G1764" s="309">
        <f t="shared" si="3"/>
        <v>0.7083333333</v>
      </c>
      <c r="H1764" s="316" t="str">
        <f t="array" ref="H1764">XLOOKUP(B1764,Roster!L:L,Roster!N:N,XLOOKUP(D1764,TicketsBreak!A:A,TicketsBreak!E:E,"",0),0)</f>
        <v>10:45 - 11:00</v>
      </c>
      <c r="I1764" s="316" t="str">
        <f t="array" ref="I1764">XLOOKUP(B1764,Roster!L:L,Roster!O:O,XLOOKUP(D1764,TicketsBreak!A:A,TicketsBreak!F:F,"",0),0)</f>
        <v>14:00 - 14:30</v>
      </c>
      <c r="J1764" s="316" t="str">
        <f t="array" ref="J1764">XLOOKUP(B1764,Roster!L:L,Roster!P:P,XLOOKUP(D1764,TicketsBreak!A:A,TicketsBreak!G:G,"",0),0)</f>
        <v>15:45 - 16:00</v>
      </c>
      <c r="K1764" s="310">
        <f t="shared" si="4"/>
        <v>46127</v>
      </c>
      <c r="L1764" s="317">
        <f t="array" ref="L1764">(XLOOKUP(D1764,Roster!F:F,Roster!D:D,"",0))</f>
        <v>36</v>
      </c>
      <c r="M1764" s="317" t="str">
        <f t="array" ref="M1764">XLOOKUP(D1764,Roster!F:F,Roster!E:E)</f>
        <v>Voice</v>
      </c>
      <c r="N1764" s="317" t="str">
        <f t="shared" ref="N1764:P1764" si="1790">LEFT(H1764,5)</f>
        <v>10:45</v>
      </c>
      <c r="O1764" s="317" t="str">
        <f t="shared" si="1790"/>
        <v>14:00</v>
      </c>
      <c r="P1764" s="317" t="str">
        <f t="shared" si="1790"/>
        <v>15:45</v>
      </c>
      <c r="Q1764" s="318">
        <f t="shared" si="1657"/>
        <v>46127.44792</v>
      </c>
      <c r="R1764" s="318">
        <f t="shared" si="1658"/>
        <v>46127.58333</v>
      </c>
      <c r="S1764" s="318">
        <f t="shared" si="8"/>
        <v>46127.65625</v>
      </c>
    </row>
    <row r="1765">
      <c r="A1765" s="14" t="str">
        <f t="shared" si="1"/>
        <v>C53846127</v>
      </c>
      <c r="B1765" s="185" t="str">
        <f t="array" ref="B1765">IF(F1765="VL","",IF(F1765="Free","Free",XLOOKUP(D1765,Roster!T:T,Roster!S:S,"",0)))</f>
        <v/>
      </c>
      <c r="C1765" s="313">
        <v>46127.0</v>
      </c>
      <c r="D1765" s="314" t="s">
        <v>165</v>
      </c>
      <c r="E1765" s="307" t="str">
        <f t="array" ref="E1765">(XLOOKUP(D1765,Roster!F:F,Roster!B:B,"",0))</f>
        <v>Luisa Arenas</v>
      </c>
      <c r="F1765" s="315" t="str">
        <f t="array" ref="F1765">IF(B1765=100,"Free",TEXT(XLOOKUP($D1765,OperationVoice!$A:$A,OperationVoice!U:U,XLOOKUP($D1765,OperationTickets!$A:$A,OperationTickets!U:U,"",0)),"hh:mm"))</f>
        <v>08:00</v>
      </c>
      <c r="G1765" s="309">
        <f t="shared" si="3"/>
        <v>0.7083333333</v>
      </c>
      <c r="H1765" s="316" t="str">
        <f t="array" ref="H1765">XLOOKUP(B1765,Roster!L:L,Roster!N:N,XLOOKUP(D1765,TicketsBreak!A:A,TicketsBreak!E:E,"",0),0)</f>
        <v/>
      </c>
      <c r="I1765" s="316" t="str">
        <f t="array" ref="I1765">XLOOKUP(B1765,Roster!L:L,Roster!O:O,XLOOKUP(D1765,TicketsBreak!A:A,TicketsBreak!F:F,"",0),0)</f>
        <v/>
      </c>
      <c r="J1765" s="316" t="str">
        <f t="array" ref="J1765">XLOOKUP(B1765,Roster!L:L,Roster!P:P,XLOOKUP(D1765,TicketsBreak!A:A,TicketsBreak!G:G,"",0),0)</f>
        <v/>
      </c>
      <c r="K1765" s="310">
        <f t="shared" si="4"/>
        <v>46127</v>
      </c>
      <c r="L1765" s="317">
        <f t="array" ref="L1765">(XLOOKUP(D1765,Roster!F:F,Roster!D:D,"",0))</f>
        <v>35</v>
      </c>
      <c r="M1765" s="317" t="str">
        <f t="array" ref="M1765">XLOOKUP(D1765,Roster!F:F,Roster!E:E)</f>
        <v>Tickets</v>
      </c>
      <c r="N1765" s="317" t="str">
        <f t="shared" ref="N1765:P1765" si="1791">LEFT(H1765,5)</f>
        <v/>
      </c>
      <c r="O1765" s="317" t="str">
        <f t="shared" si="1791"/>
        <v/>
      </c>
      <c r="P1765" s="317" t="str">
        <f t="shared" si="1791"/>
        <v/>
      </c>
      <c r="Q1765" s="318" t="str">
        <f t="shared" si="1657"/>
        <v/>
      </c>
      <c r="R1765" s="318" t="str">
        <f t="shared" si="1658"/>
        <v/>
      </c>
      <c r="S1765" s="318" t="str">
        <f t="shared" si="8"/>
        <v/>
      </c>
    </row>
    <row r="1766">
      <c r="A1766" s="14" t="str">
        <f t="shared" si="1"/>
        <v>C113646127</v>
      </c>
      <c r="B1766" s="185">
        <f t="array" ref="B1766">IF(F1766="VL","",IF(F1766="Free","Free",XLOOKUP(D1766,Roster!T:T,Roster!S:S,"",0)))</f>
        <v>126</v>
      </c>
      <c r="C1766" s="313">
        <v>46127.0</v>
      </c>
      <c r="D1766" s="314" t="s">
        <v>60</v>
      </c>
      <c r="E1766" s="307" t="str">
        <f t="array" ref="E1766">(XLOOKUP(D1766,Roster!F:F,Roster!B:B,"",0))</f>
        <v>Luisa Gonzalez</v>
      </c>
      <c r="F1766" s="315" t="str">
        <f t="array" ref="F1766">IF(B1766=100,"Free",TEXT(XLOOKUP($D1766,OperationVoice!$A:$A,OperationVoice!U:U,XLOOKUP($D1766,OperationTickets!$A:$A,OperationTickets!U:U,"",0)),"hh:mm"))</f>
        <v>08:00</v>
      </c>
      <c r="G1766" s="309">
        <f t="shared" si="3"/>
        <v>0.7083333333</v>
      </c>
      <c r="H1766" s="316" t="str">
        <f t="array" ref="H1766">XLOOKUP(B1766,Roster!L:L,Roster!N:N,XLOOKUP(D1766,TicketsBreak!A:A,TicketsBreak!E:E,"",0),0)</f>
        <v>10:45 - 11:00</v>
      </c>
      <c r="I1766" s="316" t="str">
        <f t="array" ref="I1766">XLOOKUP(B1766,Roster!L:L,Roster!O:O,XLOOKUP(D1766,TicketsBreak!A:A,TicketsBreak!F:F,"",0),0)</f>
        <v>14:00 - 14:30</v>
      </c>
      <c r="J1766" s="316" t="str">
        <f t="array" ref="J1766">XLOOKUP(B1766,Roster!L:L,Roster!P:P,XLOOKUP(D1766,TicketsBreak!A:A,TicketsBreak!G:G,"",0),0)</f>
        <v>15:45 - 16:00</v>
      </c>
      <c r="K1766" s="310">
        <f t="shared" si="4"/>
        <v>46127</v>
      </c>
      <c r="L1766" s="317">
        <f t="array" ref="L1766">(XLOOKUP(D1766,Roster!F:F,Roster!D:D,"",0))</f>
        <v>22</v>
      </c>
      <c r="M1766" s="317" t="str">
        <f t="array" ref="M1766">XLOOKUP(D1766,Roster!F:F,Roster!E:E)</f>
        <v>Voice</v>
      </c>
      <c r="N1766" s="317" t="str">
        <f t="shared" ref="N1766:P1766" si="1792">LEFT(H1766,5)</f>
        <v>10:45</v>
      </c>
      <c r="O1766" s="317" t="str">
        <f t="shared" si="1792"/>
        <v>14:00</v>
      </c>
      <c r="P1766" s="317" t="str">
        <f t="shared" si="1792"/>
        <v>15:45</v>
      </c>
      <c r="Q1766" s="318">
        <f t="shared" si="1657"/>
        <v>46127.44792</v>
      </c>
      <c r="R1766" s="318">
        <f t="shared" si="1658"/>
        <v>46127.58333</v>
      </c>
      <c r="S1766" s="318">
        <f t="shared" si="8"/>
        <v>46127.65625</v>
      </c>
    </row>
    <row r="1767">
      <c r="A1767" s="14" t="str">
        <f t="shared" si="1"/>
        <v>C157746127</v>
      </c>
      <c r="B1767" s="185">
        <f t="array" ref="B1767">IF(F1767="VL","",IF(F1767="Free","Free",XLOOKUP(D1767,Roster!T:T,Roster!S:S,"",0)))</f>
        <v>126</v>
      </c>
      <c r="C1767" s="313">
        <v>46127.0</v>
      </c>
      <c r="D1767" s="314" t="s">
        <v>61</v>
      </c>
      <c r="E1767" s="307" t="str">
        <f t="array" ref="E1767">(XLOOKUP(D1767,Roster!F:F,Roster!B:B,"",0))</f>
        <v>Luna Morales</v>
      </c>
      <c r="F1767" s="315" t="str">
        <f t="array" ref="F1767">IF(B1767=100,"Free",TEXT(XLOOKUP($D1767,OperationVoice!$A:$A,OperationVoice!U:U,XLOOKUP($D1767,OperationTickets!$A:$A,OperationTickets!U:U,"",0)),"hh:mm"))</f>
        <v>08:00</v>
      </c>
      <c r="G1767" s="309">
        <f t="shared" si="3"/>
        <v>0.7083333333</v>
      </c>
      <c r="H1767" s="316" t="str">
        <f t="array" ref="H1767">XLOOKUP(B1767,Roster!L:L,Roster!N:N,XLOOKUP(D1767,TicketsBreak!A:A,TicketsBreak!E:E,"",0),0)</f>
        <v>10:45 - 11:00</v>
      </c>
      <c r="I1767" s="316" t="str">
        <f t="array" ref="I1767">XLOOKUP(B1767,Roster!L:L,Roster!O:O,XLOOKUP(D1767,TicketsBreak!A:A,TicketsBreak!F:F,"",0),0)</f>
        <v>14:00 - 14:30</v>
      </c>
      <c r="J1767" s="316" t="str">
        <f t="array" ref="J1767">XLOOKUP(B1767,Roster!L:L,Roster!P:P,XLOOKUP(D1767,TicketsBreak!A:A,TicketsBreak!G:G,"",0),0)</f>
        <v>15:45 - 16:00</v>
      </c>
      <c r="K1767" s="310">
        <f t="shared" si="4"/>
        <v>46127</v>
      </c>
      <c r="L1767" s="317">
        <f t="array" ref="L1767">(XLOOKUP(D1767,Roster!F:F,Roster!D:D,"",0))</f>
        <v>38</v>
      </c>
      <c r="M1767" s="317" t="str">
        <f t="array" ref="M1767">XLOOKUP(D1767,Roster!F:F,Roster!E:E)</f>
        <v>Voice</v>
      </c>
      <c r="N1767" s="317" t="str">
        <f t="shared" ref="N1767:P1767" si="1793">LEFT(H1767,5)</f>
        <v>10:45</v>
      </c>
      <c r="O1767" s="317" t="str">
        <f t="shared" si="1793"/>
        <v>14:00</v>
      </c>
      <c r="P1767" s="317" t="str">
        <f t="shared" si="1793"/>
        <v>15:45</v>
      </c>
      <c r="Q1767" s="318">
        <f t="shared" si="1657"/>
        <v>46127.44792</v>
      </c>
      <c r="R1767" s="318">
        <f t="shared" si="1658"/>
        <v>46127.58333</v>
      </c>
      <c r="S1767" s="318">
        <f t="shared" si="8"/>
        <v>46127.65625</v>
      </c>
    </row>
    <row r="1768">
      <c r="A1768" s="14" t="str">
        <f t="shared" si="1"/>
        <v>C121946127</v>
      </c>
      <c r="B1768" s="185" t="str">
        <f t="array" ref="B1768">IF(F1768="VL","",IF(F1768="Free","Free",XLOOKUP(D1768,Roster!T:T,Roster!S:S,"",0)))</f>
        <v>Free</v>
      </c>
      <c r="C1768" s="313">
        <v>46127.0</v>
      </c>
      <c r="D1768" s="314" t="s">
        <v>146</v>
      </c>
      <c r="E1768" s="307" t="str">
        <f t="array" ref="E1768">(XLOOKUP(D1768,Roster!F:F,Roster!B:B,"",0))</f>
        <v>Madelyn Jaramillo</v>
      </c>
      <c r="F1768" s="315" t="str">
        <f t="array" ref="F1768">IF(B1768=100,"Free",TEXT(XLOOKUP($D1768,OperationVoice!$A:$A,OperationVoice!U:U,XLOOKUP($D1768,OperationTickets!$A:$A,OperationTickets!U:U,"",0)),"hh:mm"))</f>
        <v>Free</v>
      </c>
      <c r="G1768" s="309" t="str">
        <f t="shared" si="3"/>
        <v>Free</v>
      </c>
      <c r="H1768" s="316" t="str">
        <f t="array" ref="H1768">XLOOKUP(B1768,Roster!L:L,Roster!N:N,XLOOKUP(D1768,TicketsBreak!A:A,TicketsBreak!E:E,"",0),0)</f>
        <v/>
      </c>
      <c r="I1768" s="316" t="str">
        <f t="array" ref="I1768">XLOOKUP(B1768,Roster!L:L,Roster!O:O,XLOOKUP(D1768,TicketsBreak!A:A,TicketsBreak!F:F,"",0),0)</f>
        <v/>
      </c>
      <c r="J1768" s="316" t="str">
        <f t="array" ref="J1768">XLOOKUP(B1768,Roster!L:L,Roster!P:P,XLOOKUP(D1768,TicketsBreak!A:A,TicketsBreak!G:G,"",0),0)</f>
        <v/>
      </c>
      <c r="K1768" s="310">
        <f t="shared" si="4"/>
        <v>46127</v>
      </c>
      <c r="L1768" s="317">
        <f t="array" ref="L1768">(XLOOKUP(D1768,Roster!F:F,Roster!D:D,"",0))</f>
        <v>26</v>
      </c>
      <c r="M1768" s="317" t="str">
        <f t="array" ref="M1768">XLOOKUP(D1768,Roster!F:F,Roster!E:E)</f>
        <v>Tickets</v>
      </c>
      <c r="N1768" s="317" t="str">
        <f t="shared" ref="N1768:P1768" si="1794">LEFT(H1768,5)</f>
        <v/>
      </c>
      <c r="O1768" s="317" t="str">
        <f t="shared" si="1794"/>
        <v/>
      </c>
      <c r="P1768" s="317" t="str">
        <f t="shared" si="1794"/>
        <v/>
      </c>
      <c r="Q1768" s="318" t="str">
        <f t="shared" si="1657"/>
        <v/>
      </c>
      <c r="R1768" s="318" t="str">
        <f t="shared" si="1658"/>
        <v/>
      </c>
      <c r="S1768" s="318" t="str">
        <f t="shared" si="8"/>
        <v/>
      </c>
    </row>
    <row r="1769">
      <c r="A1769" s="14" t="str">
        <f t="shared" si="1"/>
        <v>C151646127</v>
      </c>
      <c r="B1769" s="185">
        <f t="array" ref="B1769">IF(F1769="VL","",IF(F1769="Free","Free",XLOOKUP(D1769,Roster!T:T,Roster!S:S,"",0)))</f>
        <v>122</v>
      </c>
      <c r="C1769" s="313">
        <v>46127.0</v>
      </c>
      <c r="D1769" s="314" t="s">
        <v>62</v>
      </c>
      <c r="E1769" s="307" t="str">
        <f t="array" ref="E1769">(XLOOKUP(D1769,Roster!F:F,Roster!B:B,"",0))</f>
        <v>Magda Foronda</v>
      </c>
      <c r="F1769" s="315" t="str">
        <f t="array" ref="F1769">IF(B1769=100,"Free",TEXT(XLOOKUP($D1769,OperationVoice!$A:$A,OperationVoice!U:U,XLOOKUP($D1769,OperationTickets!$A:$A,OperationTickets!U:U,"",0)),"hh:mm"))</f>
        <v>08:00</v>
      </c>
      <c r="G1769" s="309">
        <f t="shared" si="3"/>
        <v>0.7083333333</v>
      </c>
      <c r="H1769" s="316" t="str">
        <f t="array" ref="H1769">XLOOKUP(B1769,Roster!L:L,Roster!N:N,XLOOKUP(D1769,TicketsBreak!A:A,TicketsBreak!E:E,"",0),0)</f>
        <v>09:30 - 09:45</v>
      </c>
      <c r="I1769" s="316" t="str">
        <f t="array" ref="I1769">XLOOKUP(B1769,Roster!L:L,Roster!O:O,XLOOKUP(D1769,TicketsBreak!A:A,TicketsBreak!F:F,"",0),0)</f>
        <v>12:00 - 12:30</v>
      </c>
      <c r="J1769" s="316" t="str">
        <f t="array" ref="J1769">XLOOKUP(B1769,Roster!L:L,Roster!P:P,XLOOKUP(D1769,TicketsBreak!A:A,TicketsBreak!G:G,"",0),0)</f>
        <v>14:45 - 15:00</v>
      </c>
      <c r="K1769" s="310">
        <f t="shared" si="4"/>
        <v>46127</v>
      </c>
      <c r="L1769" s="317">
        <f t="array" ref="L1769">(XLOOKUP(D1769,Roster!F:F,Roster!D:D,"",0))</f>
        <v>35</v>
      </c>
      <c r="M1769" s="317" t="str">
        <f t="array" ref="M1769">XLOOKUP(D1769,Roster!F:F,Roster!E:E)</f>
        <v>Voice</v>
      </c>
      <c r="N1769" s="317" t="str">
        <f t="shared" ref="N1769:P1769" si="1795">LEFT(H1769,5)</f>
        <v>09:30</v>
      </c>
      <c r="O1769" s="317" t="str">
        <f t="shared" si="1795"/>
        <v>12:00</v>
      </c>
      <c r="P1769" s="317" t="str">
        <f t="shared" si="1795"/>
        <v>14:45</v>
      </c>
      <c r="Q1769" s="318">
        <f t="shared" si="1657"/>
        <v>46127.39583</v>
      </c>
      <c r="R1769" s="318">
        <f t="shared" si="1658"/>
        <v>46127.5</v>
      </c>
      <c r="S1769" s="318">
        <f t="shared" si="8"/>
        <v>46127.61458</v>
      </c>
    </row>
    <row r="1770">
      <c r="A1770" s="14" t="str">
        <f t="shared" si="1"/>
        <v>C118046127</v>
      </c>
      <c r="B1770" s="185">
        <f t="array" ref="B1770">IF(F1770="VL","",IF(F1770="Free","Free",XLOOKUP(D1770,Roster!T:T,Roster!S:S,"",0)))</f>
        <v>500</v>
      </c>
      <c r="C1770" s="313">
        <v>46127.0</v>
      </c>
      <c r="D1770" s="314" t="s">
        <v>147</v>
      </c>
      <c r="E1770" s="307" t="str">
        <f t="array" ref="E1770">(XLOOKUP(D1770,Roster!F:F,Roster!B:B,"",0))</f>
        <v>Manuela Moreno</v>
      </c>
      <c r="F1770" s="315" t="str">
        <f t="array" ref="F1770">IF(B1770=100,"Free",TEXT(XLOOKUP($D1770,OperationVoice!$A:$A,OperationVoice!U:U,XLOOKUP($D1770,OperationTickets!$A:$A,OperationTickets!U:U,"",0)),"hh:mm"))</f>
        <v>09:00</v>
      </c>
      <c r="G1770" s="309">
        <f t="shared" si="3"/>
        <v>0.75</v>
      </c>
      <c r="H1770" s="316" t="str">
        <f t="array" ref="H1770">XLOOKUP(B1770,Roster!L:L,Roster!N:N,XLOOKUP(D1770,TicketsBreak!A:A,TicketsBreak!E:E,"",0),0)</f>
        <v>Team Leader</v>
      </c>
      <c r="I1770" s="316" t="str">
        <f t="array" ref="I1770">XLOOKUP(B1770,Roster!L:L,Roster!O:O,XLOOKUP(D1770,TicketsBreak!A:A,TicketsBreak!F:F,"",0),0)</f>
        <v>Team Leader</v>
      </c>
      <c r="J1770" s="316" t="str">
        <f t="array" ref="J1770">XLOOKUP(B1770,Roster!L:L,Roster!P:P,XLOOKUP(D1770,TicketsBreak!A:A,TicketsBreak!G:G,"",0),0)</f>
        <v/>
      </c>
      <c r="K1770" s="310">
        <f t="shared" si="4"/>
        <v>46127</v>
      </c>
      <c r="L1770" s="317">
        <f t="array" ref="L1770">(XLOOKUP(D1770,Roster!F:F,Roster!D:D,"",0))</f>
        <v>24</v>
      </c>
      <c r="M1770" s="317" t="str">
        <f t="array" ref="M1770">XLOOKUP(D1770,Roster!F:F,Roster!E:E)</f>
        <v>Tickets</v>
      </c>
      <c r="N1770" s="317" t="str">
        <f t="shared" ref="N1770:P1770" si="1796">LEFT(H1770,5)</f>
        <v>Team </v>
      </c>
      <c r="O1770" s="317" t="str">
        <f t="shared" si="1796"/>
        <v>Team </v>
      </c>
      <c r="P1770" s="317" t="str">
        <f t="shared" si="1796"/>
        <v/>
      </c>
      <c r="Q1770" s="318" t="str">
        <f>IF(P1770="","",$C1770+N1770)</f>
        <v/>
      </c>
      <c r="R1770" s="318" t="str">
        <f>if(P1770="","",$C1770+O1770)</f>
        <v/>
      </c>
      <c r="S1770" s="318" t="str">
        <f t="shared" si="8"/>
        <v/>
      </c>
    </row>
    <row r="1771">
      <c r="A1771" s="14" t="str">
        <f t="shared" si="1"/>
        <v>C153646127</v>
      </c>
      <c r="B1771" s="185">
        <f t="array" ref="B1771">IF(F1771="VL","",IF(F1771="Free","Free",XLOOKUP(D1771,Roster!T:T,Roster!S:S,"",0)))</f>
        <v>121</v>
      </c>
      <c r="C1771" s="313">
        <v>46127.0</v>
      </c>
      <c r="D1771" s="314" t="s">
        <v>63</v>
      </c>
      <c r="E1771" s="307" t="str">
        <f t="array" ref="E1771">(XLOOKUP(D1771,Roster!F:F,Roster!B:B,"",0))</f>
        <v>Maria Mesa</v>
      </c>
      <c r="F1771" s="315" t="str">
        <f t="array" ref="F1771">IF(B1771=100,"Free",TEXT(XLOOKUP($D1771,OperationVoice!$A:$A,OperationVoice!U:U,XLOOKUP($D1771,OperationTickets!$A:$A,OperationTickets!U:U,"",0)),"hh:mm"))</f>
        <v>08:00</v>
      </c>
      <c r="G1771" s="309">
        <f t="shared" si="3"/>
        <v>0.7083333333</v>
      </c>
      <c r="H1771" s="316" t="str">
        <f t="array" ref="H1771">XLOOKUP(B1771,Roster!L:L,Roster!N:N,XLOOKUP(D1771,TicketsBreak!A:A,TicketsBreak!E:E,"",0),0)</f>
        <v>09:15 - 09:30</v>
      </c>
      <c r="I1771" s="316" t="str">
        <f t="array" ref="I1771">XLOOKUP(B1771,Roster!L:L,Roster!O:O,XLOOKUP(D1771,TicketsBreak!A:A,TicketsBreak!F:F,"",0),0)</f>
        <v>11:30 - 12:00</v>
      </c>
      <c r="J1771" s="316" t="str">
        <f t="array" ref="J1771">XLOOKUP(B1771,Roster!L:L,Roster!P:P,XLOOKUP(D1771,TicketsBreak!A:A,TicketsBreak!G:G,"",0),0)</f>
        <v>14:30 - 14:45</v>
      </c>
      <c r="K1771" s="310">
        <f t="shared" si="4"/>
        <v>46127</v>
      </c>
      <c r="L1771" s="317">
        <f t="array" ref="L1771">(XLOOKUP(D1771,Roster!F:F,Roster!D:D,"",0))</f>
        <v>36</v>
      </c>
      <c r="M1771" s="317" t="str">
        <f t="array" ref="M1771">XLOOKUP(D1771,Roster!F:F,Roster!E:E)</f>
        <v>Voice</v>
      </c>
      <c r="N1771" s="317" t="str">
        <f t="shared" ref="N1771:P1771" si="1797">LEFT(H1771,5)</f>
        <v>09:15</v>
      </c>
      <c r="O1771" s="317" t="str">
        <f t="shared" si="1797"/>
        <v>11:30</v>
      </c>
      <c r="P1771" s="317" t="str">
        <f t="shared" si="1797"/>
        <v>14:30</v>
      </c>
      <c r="Q1771" s="318">
        <f t="shared" ref="Q1771:Q1909" si="1799">IF(N1771="","",$C1771+N1771)</f>
        <v>46127.38542</v>
      </c>
      <c r="R1771" s="318">
        <f t="shared" ref="R1771:R1909" si="1800">if(O1771="","",$C1771+O1771)</f>
        <v>46127.47917</v>
      </c>
      <c r="S1771" s="318">
        <f t="shared" si="8"/>
        <v>46127.60417</v>
      </c>
    </row>
    <row r="1772">
      <c r="A1772" s="14" t="str">
        <f t="shared" si="1"/>
        <v>C74046127</v>
      </c>
      <c r="B1772" s="185" t="str">
        <f t="array" ref="B1772">IF(F1772="VL","",IF(F1772="Free","Free",XLOOKUP(D1772,Roster!T:T,Roster!S:S,"",0)))</f>
        <v/>
      </c>
      <c r="C1772" s="313">
        <v>46127.0</v>
      </c>
      <c r="D1772" s="314" t="s">
        <v>166</v>
      </c>
      <c r="E1772" s="307" t="str">
        <f t="array" ref="E1772">(XLOOKUP(D1772,Roster!F:F,Roster!B:B,"",0))</f>
        <v>Mateo Agudelo</v>
      </c>
      <c r="F1772" s="315" t="str">
        <f t="array" ref="F1772">IF(B1772=100,"Free",TEXT(XLOOKUP($D1772,OperationVoice!$A:$A,OperationVoice!U:U,XLOOKUP($D1772,OperationTickets!$A:$A,OperationTickets!U:U,"",0)),"hh:mm"))</f>
        <v>08:00</v>
      </c>
      <c r="G1772" s="309">
        <f t="shared" si="3"/>
        <v>0.7083333333</v>
      </c>
      <c r="H1772" s="316">
        <f t="array" ref="H1772">XLOOKUP(B1772,Roster!L:L,Roster!N:N,XLOOKUP(D1772,TicketsBreak!A:A,TicketsBreak!E:E,"",0),0)</f>
        <v>0.4166666667</v>
      </c>
      <c r="I1772" s="316">
        <f t="array" ref="I1772">XLOOKUP(B1772,Roster!L:L,Roster!O:O,XLOOKUP(D1772,TicketsBreak!A:A,TicketsBreak!F:F,"",0),0)</f>
        <v>0.5</v>
      </c>
      <c r="J1772" s="316">
        <f t="array" ref="J1772">XLOOKUP(B1772,Roster!L:L,Roster!P:P,XLOOKUP(D1772,TicketsBreak!A:A,TicketsBreak!G:G,"",0),0)</f>
        <v>0.65625</v>
      </c>
      <c r="K1772" s="310">
        <f t="shared" si="4"/>
        <v>46127</v>
      </c>
      <c r="L1772" s="317">
        <f t="array" ref="L1772">(XLOOKUP(D1772,Roster!F:F,Roster!D:D,"",0))</f>
        <v>8</v>
      </c>
      <c r="M1772" s="317" t="str">
        <f t="array" ref="M1772">XLOOKUP(D1772,Roster!F:F,Roster!E:E)</f>
        <v>Tickets</v>
      </c>
      <c r="N1772" s="317" t="str">
        <f t="shared" ref="N1772:P1772" si="1798">LEFT(H1772,5)</f>
        <v>10:00</v>
      </c>
      <c r="O1772" s="317" t="str">
        <f t="shared" si="1798"/>
        <v>12:00</v>
      </c>
      <c r="P1772" s="317" t="str">
        <f t="shared" si="1798"/>
        <v>15:45</v>
      </c>
      <c r="Q1772" s="318">
        <f t="shared" si="1799"/>
        <v>46127.41667</v>
      </c>
      <c r="R1772" s="318">
        <f t="shared" si="1800"/>
        <v>46127.5</v>
      </c>
      <c r="S1772" s="318">
        <f t="shared" si="8"/>
        <v>46127.65625</v>
      </c>
    </row>
    <row r="1773">
      <c r="A1773" s="14" t="str">
        <f t="shared" si="1"/>
        <v>C142946127</v>
      </c>
      <c r="B1773" s="185" t="str">
        <f t="array" ref="B1773">IF(F1773="VL","",IF(F1773="Free","Free",XLOOKUP(D1773,Roster!T:T,Roster!S:S,"",0)))</f>
        <v>Free</v>
      </c>
      <c r="C1773" s="313">
        <v>46127.0</v>
      </c>
      <c r="D1773" s="314" t="s">
        <v>178</v>
      </c>
      <c r="E1773" s="307" t="str">
        <f t="array" ref="E1773">(XLOOKUP(D1773,Roster!F:F,Roster!B:B,"",0))</f>
        <v>Mateo Vanegas</v>
      </c>
      <c r="F1773" s="315" t="str">
        <f t="array" ref="F1773">IF(B1773=100,"Free",TEXT(XLOOKUP($D1773,OperationVoice!$A:$A,OperationVoice!U:U,XLOOKUP($D1773,OperationTickets!$A:$A,OperationTickets!U:U,"",0)),"hh:mm"))</f>
        <v>Free</v>
      </c>
      <c r="G1773" s="309" t="str">
        <f t="shared" si="3"/>
        <v>Free</v>
      </c>
      <c r="H1773" s="316" t="str">
        <f t="array" ref="H1773">XLOOKUP(B1773,Roster!L:L,Roster!N:N,XLOOKUP(D1773,TicketsBreak!A:A,TicketsBreak!E:E,"",0),0)</f>
        <v/>
      </c>
      <c r="I1773" s="316" t="str">
        <f t="array" ref="I1773">XLOOKUP(B1773,Roster!L:L,Roster!O:O,XLOOKUP(D1773,TicketsBreak!A:A,TicketsBreak!F:F,"",0),0)</f>
        <v/>
      </c>
      <c r="J1773" s="316" t="str">
        <f t="array" ref="J1773">XLOOKUP(B1773,Roster!L:L,Roster!P:P,XLOOKUP(D1773,TicketsBreak!A:A,TicketsBreak!G:G,"",0),0)</f>
        <v/>
      </c>
      <c r="K1773" s="310">
        <f t="shared" si="4"/>
        <v>46127</v>
      </c>
      <c r="L1773" s="317">
        <f t="array" ref="L1773">(XLOOKUP(D1773,Roster!F:F,Roster!D:D,"",0))</f>
        <v>32</v>
      </c>
      <c r="M1773" s="317" t="str">
        <f t="array" ref="M1773">XLOOKUP(D1773,Roster!F:F,Roster!E:E)</f>
        <v>Tickets</v>
      </c>
      <c r="N1773" s="317" t="str">
        <f t="shared" ref="N1773:P1773" si="1801">LEFT(H1773,5)</f>
        <v/>
      </c>
      <c r="O1773" s="317" t="str">
        <f t="shared" si="1801"/>
        <v/>
      </c>
      <c r="P1773" s="317" t="str">
        <f t="shared" si="1801"/>
        <v/>
      </c>
      <c r="Q1773" s="318" t="str">
        <f t="shared" si="1799"/>
        <v/>
      </c>
      <c r="R1773" s="318" t="str">
        <f t="shared" si="1800"/>
        <v/>
      </c>
      <c r="S1773" s="318" t="str">
        <f t="shared" si="8"/>
        <v/>
      </c>
    </row>
    <row r="1774">
      <c r="A1774" s="14" t="str">
        <f t="shared" si="1"/>
        <v>C146846127</v>
      </c>
      <c r="B1774" s="185">
        <f t="array" ref="B1774">IF(F1774="VL","",IF(F1774="Free","Free",XLOOKUP(D1774,Roster!T:T,Roster!S:S,"",0)))</f>
        <v>122</v>
      </c>
      <c r="C1774" s="313">
        <v>46127.0</v>
      </c>
      <c r="D1774" s="314" t="s">
        <v>64</v>
      </c>
      <c r="E1774" s="307" t="str">
        <f t="array" ref="E1774">(XLOOKUP(D1774,Roster!F:F,Roster!B:B,"",0))</f>
        <v>Miguel Betancur</v>
      </c>
      <c r="F1774" s="315" t="str">
        <f t="array" ref="F1774">IF(B1774=100,"Free",TEXT(XLOOKUP($D1774,OperationVoice!$A:$A,OperationVoice!U:U,XLOOKUP($D1774,OperationTickets!$A:$A,OperationTickets!U:U,"",0)),"hh:mm"))</f>
        <v>08:00</v>
      </c>
      <c r="G1774" s="309">
        <f t="shared" si="3"/>
        <v>0.7083333333</v>
      </c>
      <c r="H1774" s="316" t="str">
        <f t="array" ref="H1774">XLOOKUP(B1774,Roster!L:L,Roster!N:N,XLOOKUP(D1774,TicketsBreak!A:A,TicketsBreak!E:E,"",0),0)</f>
        <v>09:30 - 09:45</v>
      </c>
      <c r="I1774" s="316" t="str">
        <f t="array" ref="I1774">XLOOKUP(B1774,Roster!L:L,Roster!O:O,XLOOKUP(D1774,TicketsBreak!A:A,TicketsBreak!F:F,"",0),0)</f>
        <v>12:00 - 12:30</v>
      </c>
      <c r="J1774" s="316" t="str">
        <f t="array" ref="J1774">XLOOKUP(B1774,Roster!L:L,Roster!P:P,XLOOKUP(D1774,TicketsBreak!A:A,TicketsBreak!G:G,"",0),0)</f>
        <v>14:45 - 15:00</v>
      </c>
      <c r="K1774" s="310">
        <f t="shared" si="4"/>
        <v>46127</v>
      </c>
      <c r="L1774" s="317">
        <f t="array" ref="L1774">(XLOOKUP(D1774,Roster!F:F,Roster!D:D,"",0))</f>
        <v>33</v>
      </c>
      <c r="M1774" s="317" t="str">
        <f t="array" ref="M1774">XLOOKUP(D1774,Roster!F:F,Roster!E:E)</f>
        <v>Voice</v>
      </c>
      <c r="N1774" s="317" t="str">
        <f t="shared" ref="N1774:P1774" si="1802">LEFT(H1774,5)</f>
        <v>09:30</v>
      </c>
      <c r="O1774" s="317" t="str">
        <f t="shared" si="1802"/>
        <v>12:00</v>
      </c>
      <c r="P1774" s="317" t="str">
        <f t="shared" si="1802"/>
        <v>14:45</v>
      </c>
      <c r="Q1774" s="318">
        <f t="shared" si="1799"/>
        <v>46127.39583</v>
      </c>
      <c r="R1774" s="318">
        <f t="shared" si="1800"/>
        <v>46127.5</v>
      </c>
      <c r="S1774" s="318">
        <f t="shared" si="8"/>
        <v>46127.61458</v>
      </c>
    </row>
    <row r="1775">
      <c r="A1775" s="14" t="str">
        <f t="shared" si="1"/>
        <v>C106546127</v>
      </c>
      <c r="B1775" s="185" t="str">
        <f t="array" ref="B1775">IF(F1775="VL","",IF(F1775="Free","Free",XLOOKUP(D1775,Roster!T:T,Roster!S:S,"",0)))</f>
        <v/>
      </c>
      <c r="C1775" s="313">
        <v>46127.0</v>
      </c>
      <c r="D1775" s="314" t="s">
        <v>148</v>
      </c>
      <c r="E1775" s="307" t="str">
        <f t="array" ref="E1775">(XLOOKUP(D1775,Roster!F:F,Roster!B:B,"",0))</f>
        <v>Miguel Hoyos</v>
      </c>
      <c r="F1775" s="315" t="str">
        <f t="array" ref="F1775">IF(B1775=100,"Free",TEXT(XLOOKUP($D1775,OperationVoice!$A:$A,OperationVoice!U:U,XLOOKUP($D1775,OperationTickets!$A:$A,OperationTickets!U:U,"",0)),"hh:mm"))</f>
        <v>07:00</v>
      </c>
      <c r="G1775" s="309">
        <f t="shared" si="3"/>
        <v>0.6666666667</v>
      </c>
      <c r="H1775" s="316">
        <f t="array" ref="H1775">XLOOKUP(B1775,Roster!L:L,Roster!N:N,XLOOKUP(D1775,TicketsBreak!A:A,TicketsBreak!E:E,"",0),0)</f>
        <v>0.4583333333</v>
      </c>
      <c r="I1775" s="316">
        <f t="array" ref="I1775">XLOOKUP(B1775,Roster!L:L,Roster!O:O,XLOOKUP(D1775,TicketsBreak!A:A,TicketsBreak!F:F,"",0),0)</f>
        <v>0.5625</v>
      </c>
      <c r="J1775" s="316">
        <f t="array" ref="J1775">XLOOKUP(B1775,Roster!L:L,Roster!P:P,XLOOKUP(D1775,TicketsBreak!A:A,TicketsBreak!G:G,"",0),0)</f>
        <v>0.65625</v>
      </c>
      <c r="K1775" s="310">
        <f t="shared" si="4"/>
        <v>46127</v>
      </c>
      <c r="L1775" s="317">
        <f t="array" ref="L1775">(XLOOKUP(D1775,Roster!F:F,Roster!D:D,"",0))</f>
        <v>17</v>
      </c>
      <c r="M1775" s="317" t="str">
        <f t="array" ref="M1775">XLOOKUP(D1775,Roster!F:F,Roster!E:E)</f>
        <v>Tickets</v>
      </c>
      <c r="N1775" s="317" t="str">
        <f t="shared" ref="N1775:P1775" si="1803">LEFT(H1775,5)</f>
        <v>11:00</v>
      </c>
      <c r="O1775" s="317" t="str">
        <f t="shared" si="1803"/>
        <v>13:30</v>
      </c>
      <c r="P1775" s="317" t="str">
        <f t="shared" si="1803"/>
        <v>15:45</v>
      </c>
      <c r="Q1775" s="318">
        <f t="shared" si="1799"/>
        <v>46127.45833</v>
      </c>
      <c r="R1775" s="318">
        <f t="shared" si="1800"/>
        <v>46127.5625</v>
      </c>
      <c r="S1775" s="318">
        <f t="shared" si="8"/>
        <v>46127.65625</v>
      </c>
    </row>
    <row r="1776">
      <c r="A1776" s="14" t="str">
        <f t="shared" si="1"/>
        <v>C111446127</v>
      </c>
      <c r="B1776" s="185">
        <f t="array" ref="B1776">IF(F1776="VL","",IF(F1776="Free","Free",XLOOKUP(D1776,Roster!T:T,Roster!S:S,"",0)))</f>
        <v>113</v>
      </c>
      <c r="C1776" s="313">
        <v>46127.0</v>
      </c>
      <c r="D1776" s="314" t="s">
        <v>65</v>
      </c>
      <c r="E1776" s="307" t="str">
        <f t="array" ref="E1776">(XLOOKUP(D1776,Roster!F:F,Roster!B:B,"",0))</f>
        <v>Mikel Bowie</v>
      </c>
      <c r="F1776" s="315" t="str">
        <f t="array" ref="F1776">IF(B1776=100,"Free",TEXT(XLOOKUP($D1776,OperationVoice!$A:$A,OperationVoice!U:U,XLOOKUP($D1776,OperationTickets!$A:$A,OperationTickets!U:U,"",0)),"hh:mm"))</f>
        <v>09:00</v>
      </c>
      <c r="G1776" s="309">
        <f t="shared" si="3"/>
        <v>0.75</v>
      </c>
      <c r="H1776" s="316" t="str">
        <f t="array" ref="H1776">XLOOKUP(B1776,Roster!L:L,Roster!N:N,XLOOKUP(D1776,TicketsBreak!A:A,TicketsBreak!E:E,"",0),0)</f>
        <v>09:45 - 10:00</v>
      </c>
      <c r="I1776" s="316" t="str">
        <f t="array" ref="I1776">XLOOKUP(B1776,Roster!L:L,Roster!O:O,XLOOKUP(D1776,TicketsBreak!A:A,TicketsBreak!F:F,"",0),0)</f>
        <v>12:30 - 13:00</v>
      </c>
      <c r="J1776" s="316" t="str">
        <f t="array" ref="J1776">XLOOKUP(B1776,Roster!L:L,Roster!P:P,XLOOKUP(D1776,TicketsBreak!A:A,TicketsBreak!G:G,"",0),0)</f>
        <v>14:45 - 15:00</v>
      </c>
      <c r="K1776" s="310">
        <f t="shared" si="4"/>
        <v>46127</v>
      </c>
      <c r="L1776" s="317">
        <f t="array" ref="L1776">(XLOOKUP(D1776,Roster!F:F,Roster!D:D,"",0))</f>
        <v>20</v>
      </c>
      <c r="M1776" s="317" t="str">
        <f t="array" ref="M1776">XLOOKUP(D1776,Roster!F:F,Roster!E:E)</f>
        <v>Voice</v>
      </c>
      <c r="N1776" s="317" t="str">
        <f t="shared" ref="N1776:P1776" si="1804">LEFT(H1776,5)</f>
        <v>09:45</v>
      </c>
      <c r="O1776" s="317" t="str">
        <f t="shared" si="1804"/>
        <v>12:30</v>
      </c>
      <c r="P1776" s="317" t="str">
        <f t="shared" si="1804"/>
        <v>14:45</v>
      </c>
      <c r="Q1776" s="318">
        <f t="shared" si="1799"/>
        <v>46127.40625</v>
      </c>
      <c r="R1776" s="318">
        <f t="shared" si="1800"/>
        <v>46127.52083</v>
      </c>
      <c r="S1776" s="318">
        <f t="shared" si="8"/>
        <v>46127.61458</v>
      </c>
    </row>
    <row r="1777">
      <c r="A1777" s="14" t="str">
        <f t="shared" si="1"/>
        <v>C116346127</v>
      </c>
      <c r="B1777" s="185">
        <f t="array" ref="B1777">IF(F1777="VL","",IF(F1777="Free","Free",XLOOKUP(D1777,Roster!T:T,Roster!S:S,"",0)))</f>
        <v>123</v>
      </c>
      <c r="C1777" s="313">
        <v>46127.0</v>
      </c>
      <c r="D1777" s="314" t="s">
        <v>66</v>
      </c>
      <c r="E1777" s="307" t="str">
        <f t="array" ref="E1777">(XLOOKUP(D1777,Roster!F:F,Roster!B:B,"",0))</f>
        <v>Natalia Cardona</v>
      </c>
      <c r="F1777" s="315" t="str">
        <f t="array" ref="F1777">IF(B1777=100,"Free",TEXT(XLOOKUP($D1777,OperationVoice!$A:$A,OperationVoice!U:U,XLOOKUP($D1777,OperationTickets!$A:$A,OperationTickets!U:U,"",0)),"hh:mm"))</f>
        <v>08:00</v>
      </c>
      <c r="G1777" s="309">
        <f t="shared" si="3"/>
        <v>0.7083333333</v>
      </c>
      <c r="H1777" s="316" t="str">
        <f t="array" ref="H1777">XLOOKUP(B1777,Roster!L:L,Roster!N:N,XLOOKUP(D1777,TicketsBreak!A:A,TicketsBreak!E:E,"",0),0)</f>
        <v>09:45 - 10:00 </v>
      </c>
      <c r="I1777" s="316" t="str">
        <f t="array" ref="I1777">XLOOKUP(B1777,Roster!L:L,Roster!O:O,XLOOKUP(D1777,TicketsBreak!A:A,TicketsBreak!F:F,"",0),0)</f>
        <v>12:30 - 13:00</v>
      </c>
      <c r="J1777" s="316" t="str">
        <f t="array" ref="J1777">XLOOKUP(B1777,Roster!L:L,Roster!P:P,XLOOKUP(D1777,TicketsBreak!A:A,TicketsBreak!G:G,"",0),0)</f>
        <v>15:00 - 15:15</v>
      </c>
      <c r="K1777" s="310">
        <f t="shared" si="4"/>
        <v>46127</v>
      </c>
      <c r="L1777" s="317">
        <f t="array" ref="L1777">(XLOOKUP(D1777,Roster!F:F,Roster!D:D,"",0))</f>
        <v>24</v>
      </c>
      <c r="M1777" s="317" t="str">
        <f t="array" ref="M1777">XLOOKUP(D1777,Roster!F:F,Roster!E:E)</f>
        <v>Voice</v>
      </c>
      <c r="N1777" s="317" t="str">
        <f t="shared" ref="N1777:P1777" si="1805">LEFT(H1777,5)</f>
        <v>09:45</v>
      </c>
      <c r="O1777" s="317" t="str">
        <f t="shared" si="1805"/>
        <v>12:30</v>
      </c>
      <c r="P1777" s="317" t="str">
        <f t="shared" si="1805"/>
        <v>15:00</v>
      </c>
      <c r="Q1777" s="318">
        <f t="shared" si="1799"/>
        <v>46127.40625</v>
      </c>
      <c r="R1777" s="318">
        <f t="shared" si="1800"/>
        <v>46127.52083</v>
      </c>
      <c r="S1777" s="318">
        <f t="shared" si="8"/>
        <v>46127.625</v>
      </c>
    </row>
    <row r="1778">
      <c r="A1778" s="14" t="str">
        <f t="shared" si="1"/>
        <v>C55646127</v>
      </c>
      <c r="B1778" s="185" t="str">
        <f t="array" ref="B1778">IF(F1778="VL","",IF(F1778="Free","Free",XLOOKUP(D1778,Roster!T:T,Roster!S:S,"",0)))</f>
        <v/>
      </c>
      <c r="C1778" s="313">
        <v>46127.0</v>
      </c>
      <c r="D1778" s="314" t="s">
        <v>167</v>
      </c>
      <c r="E1778" s="307" t="str">
        <f t="array" ref="E1778">(XLOOKUP(D1778,Roster!F:F,Roster!B:B,"",0))</f>
        <v>Nelson Londono</v>
      </c>
      <c r="F1778" s="315" t="str">
        <f t="array" ref="F1778">IF(B1778=100,"Free",TEXT(XLOOKUP($D1778,OperationVoice!$A:$A,OperationVoice!U:U,XLOOKUP($D1778,OperationTickets!$A:$A,OperationTickets!U:U,"",0)),"hh:mm"))</f>
        <v>07:00</v>
      </c>
      <c r="G1778" s="309">
        <f t="shared" si="3"/>
        <v>0.6666666667</v>
      </c>
      <c r="H1778" s="316">
        <f t="array" ref="H1778">XLOOKUP(B1778,Roster!L:L,Roster!N:N,XLOOKUP(D1778,TicketsBreak!A:A,TicketsBreak!E:E,"",0),0)</f>
        <v>0.3854166667</v>
      </c>
      <c r="I1778" s="316">
        <f t="array" ref="I1778">XLOOKUP(B1778,Roster!L:L,Roster!O:O,XLOOKUP(D1778,TicketsBreak!A:A,TicketsBreak!F:F,"",0),0)</f>
        <v>0.5833333333</v>
      </c>
      <c r="J1778" s="316">
        <f t="array" ref="J1778">XLOOKUP(B1778,Roster!L:L,Roster!P:P,XLOOKUP(D1778,TicketsBreak!A:A,TicketsBreak!G:G,"",0),0)</f>
        <v>0.6458333333</v>
      </c>
      <c r="K1778" s="310">
        <f t="shared" si="4"/>
        <v>46127</v>
      </c>
      <c r="L1778" s="317">
        <f t="array" ref="L1778">(XLOOKUP(D1778,Roster!F:F,Roster!D:D,"",0))</f>
        <v>2</v>
      </c>
      <c r="M1778" s="317" t="str">
        <f t="array" ref="M1778">XLOOKUP(D1778,Roster!F:F,Roster!E:E)</f>
        <v>Tickets</v>
      </c>
      <c r="N1778" s="317" t="str">
        <f t="shared" ref="N1778:P1778" si="1806">LEFT(H1778,5)</f>
        <v>09:15</v>
      </c>
      <c r="O1778" s="317" t="str">
        <f t="shared" si="1806"/>
        <v>14:00</v>
      </c>
      <c r="P1778" s="317" t="str">
        <f t="shared" si="1806"/>
        <v>15:30</v>
      </c>
      <c r="Q1778" s="318">
        <f t="shared" si="1799"/>
        <v>46127.38542</v>
      </c>
      <c r="R1778" s="318">
        <f t="shared" si="1800"/>
        <v>46127.58333</v>
      </c>
      <c r="S1778" s="318">
        <f t="shared" si="8"/>
        <v>46127.64583</v>
      </c>
    </row>
    <row r="1779">
      <c r="A1779" s="14" t="str">
        <f t="shared" si="1"/>
        <v>C150746127</v>
      </c>
      <c r="B1779" s="185">
        <f t="array" ref="B1779">IF(F1779="VL","",IF(F1779="Free","Free",XLOOKUP(D1779,Roster!T:T,Roster!S:S,"",0)))</f>
        <v>125</v>
      </c>
      <c r="C1779" s="313">
        <v>46127.0</v>
      </c>
      <c r="D1779" s="314" t="s">
        <v>67</v>
      </c>
      <c r="E1779" s="307" t="str">
        <f t="array" ref="E1779">(XLOOKUP(D1779,Roster!F:F,Roster!B:B,"",0))</f>
        <v>Nicols Quinones</v>
      </c>
      <c r="F1779" s="315" t="str">
        <f t="array" ref="F1779">IF(B1779=100,"Free",TEXT(XLOOKUP($D1779,OperationVoice!$A:$A,OperationVoice!U:U,XLOOKUP($D1779,OperationTickets!$A:$A,OperationTickets!U:U,"",0)),"hh:mm"))</f>
        <v>08:00</v>
      </c>
      <c r="G1779" s="309">
        <f t="shared" si="3"/>
        <v>0.7083333333</v>
      </c>
      <c r="H1779" s="316" t="str">
        <f t="array" ref="H1779">XLOOKUP(B1779,Roster!L:L,Roster!N:N,XLOOKUP(D1779,TicketsBreak!A:A,TicketsBreak!E:E,"",0),0)</f>
        <v>10:30 - 10:45</v>
      </c>
      <c r="I1779" s="316" t="str">
        <f t="array" ref="I1779">XLOOKUP(B1779,Roster!L:L,Roster!O:O,XLOOKUP(D1779,TicketsBreak!A:A,TicketsBreak!F:F,"",0),0)</f>
        <v>13:30 - 14:00</v>
      </c>
      <c r="J1779" s="316" t="str">
        <f t="array" ref="J1779">XLOOKUP(B1779,Roster!L:L,Roster!P:P,XLOOKUP(D1779,TicketsBreak!A:A,TicketsBreak!G:G,"",0),0)</f>
        <v>15:45 - 16:00</v>
      </c>
      <c r="K1779" s="310">
        <f t="shared" si="4"/>
        <v>46127</v>
      </c>
      <c r="L1779" s="317">
        <f t="array" ref="L1779">(XLOOKUP(D1779,Roster!F:F,Roster!D:D,"",0))</f>
        <v>35</v>
      </c>
      <c r="M1779" s="317" t="str">
        <f t="array" ref="M1779">XLOOKUP(D1779,Roster!F:F,Roster!E:E)</f>
        <v>Voice</v>
      </c>
      <c r="N1779" s="317" t="str">
        <f t="shared" ref="N1779:P1779" si="1807">LEFT(H1779,5)</f>
        <v>10:30</v>
      </c>
      <c r="O1779" s="317" t="str">
        <f t="shared" si="1807"/>
        <v>13:30</v>
      </c>
      <c r="P1779" s="317" t="str">
        <f t="shared" si="1807"/>
        <v>15:45</v>
      </c>
      <c r="Q1779" s="318">
        <f t="shared" si="1799"/>
        <v>46127.4375</v>
      </c>
      <c r="R1779" s="318">
        <f t="shared" si="1800"/>
        <v>46127.5625</v>
      </c>
      <c r="S1779" s="318">
        <f t="shared" si="8"/>
        <v>46127.65625</v>
      </c>
    </row>
    <row r="1780">
      <c r="A1780" s="14" t="str">
        <f t="shared" si="1"/>
        <v>C71446127</v>
      </c>
      <c r="B1780" s="185" t="str">
        <f t="array" ref="B1780">IF(F1780="VL","",IF(F1780="Free","Free",XLOOKUP(D1780,Roster!T:T,Roster!S:S,"",0)))</f>
        <v/>
      </c>
      <c r="C1780" s="313">
        <v>46127.0</v>
      </c>
      <c r="D1780" s="314" t="s">
        <v>149</v>
      </c>
      <c r="E1780" s="307" t="str">
        <f t="array" ref="E1780">(XLOOKUP(D1780,Roster!F:F,Roster!B:B,"",0))</f>
        <v>Onel Olivera</v>
      </c>
      <c r="F1780" s="315" t="str">
        <f t="array" ref="F1780">IF(B1780=100,"Free",TEXT(XLOOKUP($D1780,OperationVoice!$A:$A,OperationVoice!U:U,XLOOKUP($D1780,OperationTickets!$A:$A,OperationTickets!U:U,"",0)),"hh:mm"))</f>
        <v>08:00</v>
      </c>
      <c r="G1780" s="309">
        <f t="shared" si="3"/>
        <v>0.7083333333</v>
      </c>
      <c r="H1780" s="316">
        <f t="array" ref="H1780">XLOOKUP(B1780,Roster!L:L,Roster!N:N,XLOOKUP(D1780,TicketsBreak!A:A,TicketsBreak!E:E,"",0),0)</f>
        <v>0.4166666667</v>
      </c>
      <c r="I1780" s="316">
        <f t="array" ref="I1780">XLOOKUP(B1780,Roster!L:L,Roster!O:O,XLOOKUP(D1780,TicketsBreak!A:A,TicketsBreak!F:F,"",0),0)</f>
        <v>0.5</v>
      </c>
      <c r="J1780" s="316">
        <f t="array" ref="J1780">XLOOKUP(B1780,Roster!L:L,Roster!P:P,XLOOKUP(D1780,TicketsBreak!A:A,TicketsBreak!G:G,"",0),0)</f>
        <v>0.625</v>
      </c>
      <c r="K1780" s="310">
        <f t="shared" si="4"/>
        <v>46127</v>
      </c>
      <c r="L1780" s="317">
        <f t="array" ref="L1780">(XLOOKUP(D1780,Roster!F:F,Roster!D:D,"",0))</f>
        <v>1</v>
      </c>
      <c r="M1780" s="317" t="str">
        <f t="array" ref="M1780">XLOOKUP(D1780,Roster!F:F,Roster!E:E)</f>
        <v>Tickets</v>
      </c>
      <c r="N1780" s="317" t="str">
        <f t="shared" ref="N1780:P1780" si="1808">LEFT(H1780,5)</f>
        <v>10:00</v>
      </c>
      <c r="O1780" s="317" t="str">
        <f t="shared" si="1808"/>
        <v>12:00</v>
      </c>
      <c r="P1780" s="317" t="str">
        <f t="shared" si="1808"/>
        <v>15:00</v>
      </c>
      <c r="Q1780" s="318">
        <f t="shared" si="1799"/>
        <v>46127.41667</v>
      </c>
      <c r="R1780" s="318">
        <f t="shared" si="1800"/>
        <v>46127.5</v>
      </c>
      <c r="S1780" s="318">
        <f t="shared" si="8"/>
        <v>46127.625</v>
      </c>
    </row>
    <row r="1781">
      <c r="A1781" s="14" t="str">
        <f t="shared" si="1"/>
        <v>C116446127</v>
      </c>
      <c r="B1781" s="185" t="str">
        <f t="array" ref="B1781">IF(F1781="VL","",IF(F1781="Free","Free",XLOOKUP(D1781,Roster!T:T,Roster!S:S,"",0)))</f>
        <v/>
      </c>
      <c r="C1781" s="313">
        <v>46127.0</v>
      </c>
      <c r="D1781" s="314" t="s">
        <v>179</v>
      </c>
      <c r="E1781" s="307" t="str">
        <f t="array" ref="E1781">(XLOOKUP(D1781,Roster!F:F,Roster!B:B,"",0))</f>
        <v>Oscar Florez</v>
      </c>
      <c r="F1781" s="315" t="str">
        <f t="array" ref="F1781">IF(B1781=100,"Free",TEXT(XLOOKUP($D1781,OperationVoice!$A:$A,OperationVoice!U:U,XLOOKUP($D1781,OperationTickets!$A:$A,OperationTickets!U:U,"",0)),"hh:mm"))</f>
        <v>08:00</v>
      </c>
      <c r="G1781" s="309">
        <f t="shared" si="3"/>
        <v>0.7083333333</v>
      </c>
      <c r="H1781" s="316" t="str">
        <f t="array" ref="H1781">XLOOKUP(B1781,Roster!L:L,Roster!N:N,XLOOKUP(D1781,TicketsBreak!A:A,TicketsBreak!E:E,"",0),0)</f>
        <v/>
      </c>
      <c r="I1781" s="316" t="str">
        <f t="array" ref="I1781">XLOOKUP(B1781,Roster!L:L,Roster!O:O,XLOOKUP(D1781,TicketsBreak!A:A,TicketsBreak!F:F,"",0),0)</f>
        <v/>
      </c>
      <c r="J1781" s="316" t="str">
        <f t="array" ref="J1781">XLOOKUP(B1781,Roster!L:L,Roster!P:P,XLOOKUP(D1781,TicketsBreak!A:A,TicketsBreak!G:G,"",0),0)</f>
        <v/>
      </c>
      <c r="K1781" s="310">
        <f t="shared" si="4"/>
        <v>46127</v>
      </c>
      <c r="L1781" s="317">
        <f t="array" ref="L1781">(XLOOKUP(D1781,Roster!F:F,Roster!D:D,"",0))</f>
        <v>24</v>
      </c>
      <c r="M1781" s="317" t="str">
        <f t="array" ref="M1781">XLOOKUP(D1781,Roster!F:F,Roster!E:E)</f>
        <v>Tickets</v>
      </c>
      <c r="N1781" s="317" t="str">
        <f t="shared" ref="N1781:P1781" si="1809">LEFT(H1781,5)</f>
        <v/>
      </c>
      <c r="O1781" s="317" t="str">
        <f t="shared" si="1809"/>
        <v/>
      </c>
      <c r="P1781" s="317" t="str">
        <f t="shared" si="1809"/>
        <v/>
      </c>
      <c r="Q1781" s="318" t="str">
        <f t="shared" si="1799"/>
        <v/>
      </c>
      <c r="R1781" s="318" t="str">
        <f t="shared" si="1800"/>
        <v/>
      </c>
      <c r="S1781" s="318" t="str">
        <f t="shared" si="8"/>
        <v/>
      </c>
    </row>
    <row r="1782">
      <c r="A1782" s="14" t="str">
        <f t="shared" si="1"/>
        <v>C153846127</v>
      </c>
      <c r="B1782" s="185">
        <f t="array" ref="B1782">IF(F1782="VL","",IF(F1782="Free","Free",XLOOKUP(D1782,Roster!T:T,Roster!S:S,"",0)))</f>
        <v>151</v>
      </c>
      <c r="C1782" s="313">
        <v>46127.0</v>
      </c>
      <c r="D1782" s="314" t="s">
        <v>68</v>
      </c>
      <c r="E1782" s="307" t="str">
        <f t="array" ref="E1782">(XLOOKUP(D1782,Roster!F:F,Roster!B:B,"",0))</f>
        <v>Oscar Roldan</v>
      </c>
      <c r="F1782" s="315" t="str">
        <f t="array" ref="F1782">IF(B1782=100,"Free",TEXT(XLOOKUP($D1782,OperationVoice!$A:$A,OperationVoice!U:U,XLOOKUP($D1782,OperationTickets!$A:$A,OperationTickets!U:U,"",0)),"hh:mm"))</f>
        <v>11:00</v>
      </c>
      <c r="G1782" s="309">
        <f t="shared" si="3"/>
        <v>0.8333333333</v>
      </c>
      <c r="H1782" s="316" t="str">
        <f t="array" ref="H1782">XLOOKUP(B1782,Roster!L:L,Roster!N:N,XLOOKUP(D1782,TicketsBreak!A:A,TicketsBreak!E:E,"",0),0)</f>
        <v>12:15 - 12:30</v>
      </c>
      <c r="I1782" s="316" t="str">
        <f t="array" ref="I1782">XLOOKUP(B1782,Roster!L:L,Roster!O:O,XLOOKUP(D1782,TicketsBreak!A:A,TicketsBreak!F:F,"",0),0)</f>
        <v>14:00 - 14:30</v>
      </c>
      <c r="J1782" s="316" t="str">
        <f t="array" ref="J1782">XLOOKUP(B1782,Roster!L:L,Roster!P:P,XLOOKUP(D1782,TicketsBreak!A:A,TicketsBreak!G:G,"",0),0)</f>
        <v>17:15 - 17:30</v>
      </c>
      <c r="K1782" s="310">
        <f t="shared" si="4"/>
        <v>46127</v>
      </c>
      <c r="L1782" s="317">
        <f t="array" ref="L1782">(XLOOKUP(D1782,Roster!F:F,Roster!D:D,"",0))</f>
        <v>36</v>
      </c>
      <c r="M1782" s="317" t="str">
        <f t="array" ref="M1782">XLOOKUP(D1782,Roster!F:F,Roster!E:E)</f>
        <v>Voice</v>
      </c>
      <c r="N1782" s="317" t="str">
        <f t="shared" ref="N1782:P1782" si="1810">LEFT(H1782,5)</f>
        <v>12:15</v>
      </c>
      <c r="O1782" s="317" t="str">
        <f t="shared" si="1810"/>
        <v>14:00</v>
      </c>
      <c r="P1782" s="317" t="str">
        <f t="shared" si="1810"/>
        <v>17:15</v>
      </c>
      <c r="Q1782" s="318">
        <f t="shared" si="1799"/>
        <v>46127.51042</v>
      </c>
      <c r="R1782" s="318">
        <f t="shared" si="1800"/>
        <v>46127.58333</v>
      </c>
      <c r="S1782" s="318">
        <f t="shared" si="8"/>
        <v>46127.71875</v>
      </c>
    </row>
    <row r="1783">
      <c r="A1783" s="14" t="str">
        <f t="shared" si="1"/>
        <v>C151146127</v>
      </c>
      <c r="B1783" s="185" t="str">
        <f t="array" ref="B1783">IF(F1783="VL","",IF(F1783="Free","Free",XLOOKUP(D1783,Roster!T:T,Roster!S:S,"",0)))</f>
        <v>Free</v>
      </c>
      <c r="C1783" s="313">
        <v>46127.0</v>
      </c>
      <c r="D1783" s="314" t="s">
        <v>69</v>
      </c>
      <c r="E1783" s="307" t="str">
        <f t="array" ref="E1783">(XLOOKUP(D1783,Roster!F:F,Roster!B:B,"",0))</f>
        <v>Salma Giraldo</v>
      </c>
      <c r="F1783" s="315" t="str">
        <f t="array" ref="F1783">IF(B1783=100,"Free",TEXT(XLOOKUP($D1783,OperationVoice!$A:$A,OperationVoice!U:U,XLOOKUP($D1783,OperationTickets!$A:$A,OperationTickets!U:U,"",0)),"hh:mm"))</f>
        <v>Free</v>
      </c>
      <c r="G1783" s="309" t="str">
        <f t="shared" si="3"/>
        <v>Free</v>
      </c>
      <c r="H1783" s="316" t="str">
        <f t="array" ref="H1783">XLOOKUP(B1783,Roster!L:L,Roster!N:N,XLOOKUP(D1783,TicketsBreak!A:A,TicketsBreak!E:E,"",0),0)</f>
        <v/>
      </c>
      <c r="I1783" s="316" t="str">
        <f t="array" ref="I1783">XLOOKUP(B1783,Roster!L:L,Roster!O:O,XLOOKUP(D1783,TicketsBreak!A:A,TicketsBreak!F:F,"",0),0)</f>
        <v/>
      </c>
      <c r="J1783" s="316" t="str">
        <f t="array" ref="J1783">XLOOKUP(B1783,Roster!L:L,Roster!P:P,XLOOKUP(D1783,TicketsBreak!A:A,TicketsBreak!G:G,"",0),0)</f>
        <v/>
      </c>
      <c r="K1783" s="310">
        <f t="shared" si="4"/>
        <v>46127</v>
      </c>
      <c r="L1783" s="317">
        <f t="array" ref="L1783">(XLOOKUP(D1783,Roster!F:F,Roster!D:D,"",0))</f>
        <v>35</v>
      </c>
      <c r="M1783" s="317" t="str">
        <f t="array" ref="M1783">XLOOKUP(D1783,Roster!F:F,Roster!E:E)</f>
        <v>Voice</v>
      </c>
      <c r="N1783" s="317" t="str">
        <f t="shared" ref="N1783:P1783" si="1811">LEFT(H1783,5)</f>
        <v/>
      </c>
      <c r="O1783" s="317" t="str">
        <f t="shared" si="1811"/>
        <v/>
      </c>
      <c r="P1783" s="317" t="str">
        <f t="shared" si="1811"/>
        <v/>
      </c>
      <c r="Q1783" s="318" t="str">
        <f t="shared" si="1799"/>
        <v/>
      </c>
      <c r="R1783" s="318" t="str">
        <f t="shared" si="1800"/>
        <v/>
      </c>
      <c r="S1783" s="318" t="str">
        <f t="shared" si="8"/>
        <v/>
      </c>
    </row>
    <row r="1784">
      <c r="A1784" s="14" t="str">
        <f t="shared" si="1"/>
        <v>C93346127</v>
      </c>
      <c r="B1784" s="185">
        <f t="array" ref="B1784">IF(F1784="VL","",IF(F1784="Free","Free",XLOOKUP(D1784,Roster!T:T,Roster!S:S,"",0)))</f>
        <v>124</v>
      </c>
      <c r="C1784" s="313">
        <v>46127.0</v>
      </c>
      <c r="D1784" s="314" t="s">
        <v>70</v>
      </c>
      <c r="E1784" s="307" t="str">
        <f t="array" ref="E1784">(XLOOKUP(D1784,Roster!F:F,Roster!B:B,"",0))</f>
        <v>Salome Arias</v>
      </c>
      <c r="F1784" s="315" t="str">
        <f t="array" ref="F1784">IF(B1784=100,"Free",TEXT(XLOOKUP($D1784,OperationVoice!$A:$A,OperationVoice!U:U,XLOOKUP($D1784,OperationTickets!$A:$A,OperationTickets!U:U,"",0)),"hh:mm"))</f>
        <v>08:00</v>
      </c>
      <c r="G1784" s="309">
        <f t="shared" si="3"/>
        <v>0.7083333333</v>
      </c>
      <c r="H1784" s="316" t="str">
        <f t="array" ref="H1784">XLOOKUP(B1784,Roster!L:L,Roster!N:N,XLOOKUP(D1784,TicketsBreak!A:A,TicketsBreak!E:E,"",0),0)</f>
        <v>10:00 - 10:15</v>
      </c>
      <c r="I1784" s="316" t="str">
        <f t="array" ref="I1784">XLOOKUP(B1784,Roster!L:L,Roster!O:O,XLOOKUP(D1784,TicketsBreak!A:A,TicketsBreak!F:F,"",0),0)</f>
        <v>13:00 - 13:30</v>
      </c>
      <c r="J1784" s="316" t="str">
        <f t="array" ref="J1784">XLOOKUP(B1784,Roster!L:L,Roster!P:P,XLOOKUP(D1784,TicketsBreak!A:A,TicketsBreak!G:G,"",0),0)</f>
        <v>15:30 - 15:45</v>
      </c>
      <c r="K1784" s="310">
        <f t="shared" si="4"/>
        <v>46127</v>
      </c>
      <c r="L1784" s="317">
        <f t="array" ref="L1784">(XLOOKUP(D1784,Roster!F:F,Roster!D:D,"",0))</f>
        <v>12</v>
      </c>
      <c r="M1784" s="317" t="str">
        <f t="array" ref="M1784">XLOOKUP(D1784,Roster!F:F,Roster!E:E)</f>
        <v>Voice</v>
      </c>
      <c r="N1784" s="317" t="str">
        <f t="shared" ref="N1784:P1784" si="1812">LEFT(H1784,5)</f>
        <v>10:00</v>
      </c>
      <c r="O1784" s="317" t="str">
        <f t="shared" si="1812"/>
        <v>13:00</v>
      </c>
      <c r="P1784" s="317" t="str">
        <f t="shared" si="1812"/>
        <v>15:30</v>
      </c>
      <c r="Q1784" s="318">
        <f t="shared" si="1799"/>
        <v>46127.41667</v>
      </c>
      <c r="R1784" s="318">
        <f t="shared" si="1800"/>
        <v>46127.54167</v>
      </c>
      <c r="S1784" s="318">
        <f t="shared" si="8"/>
        <v>46127.64583</v>
      </c>
    </row>
    <row r="1785">
      <c r="A1785" s="14" t="str">
        <f t="shared" si="1"/>
        <v>C128246127</v>
      </c>
      <c r="B1785" s="185" t="str">
        <f t="array" ref="B1785">IF(F1785="VL","",IF(F1785="Free","Free",XLOOKUP(D1785,Roster!T:T,Roster!S:S,"",0)))</f>
        <v/>
      </c>
      <c r="C1785" s="313">
        <v>46127.0</v>
      </c>
      <c r="D1785" s="314" t="s">
        <v>168</v>
      </c>
      <c r="E1785" s="307" t="str">
        <f t="array" ref="E1785">(XLOOKUP(D1785,Roster!F:F,Roster!B:B,"",0))</f>
        <v>Samuel Acevedo</v>
      </c>
      <c r="F1785" s="315" t="str">
        <f t="array" ref="F1785">IF(B1785=100,"Free",TEXT(XLOOKUP($D1785,OperationVoice!$A:$A,OperationVoice!U:U,XLOOKUP($D1785,OperationTickets!$A:$A,OperationTickets!U:U,"",0)),"hh:mm"))</f>
        <v>08:00</v>
      </c>
      <c r="G1785" s="309">
        <f t="shared" si="3"/>
        <v>0.7083333333</v>
      </c>
      <c r="H1785" s="316" t="str">
        <f t="array" ref="H1785">XLOOKUP(B1785,Roster!L:L,Roster!N:N,XLOOKUP(D1785,TicketsBreak!A:A,TicketsBreak!E:E,"",0),0)</f>
        <v/>
      </c>
      <c r="I1785" s="316" t="str">
        <f t="array" ref="I1785">XLOOKUP(B1785,Roster!L:L,Roster!O:O,XLOOKUP(D1785,TicketsBreak!A:A,TicketsBreak!F:F,"",0),0)</f>
        <v/>
      </c>
      <c r="J1785" s="316" t="str">
        <f t="array" ref="J1785">XLOOKUP(B1785,Roster!L:L,Roster!P:P,XLOOKUP(D1785,TicketsBreak!A:A,TicketsBreak!G:G,"",0),0)</f>
        <v/>
      </c>
      <c r="K1785" s="310">
        <f t="shared" si="4"/>
        <v>46127</v>
      </c>
      <c r="L1785" s="317">
        <f t="array" ref="L1785">(XLOOKUP(D1785,Roster!F:F,Roster!D:D,"",0))</f>
        <v>27</v>
      </c>
      <c r="M1785" s="317" t="str">
        <f t="array" ref="M1785">XLOOKUP(D1785,Roster!F:F,Roster!E:E)</f>
        <v>Tickets</v>
      </c>
      <c r="N1785" s="317" t="str">
        <f t="shared" ref="N1785:P1785" si="1813">LEFT(H1785,5)</f>
        <v/>
      </c>
      <c r="O1785" s="317" t="str">
        <f t="shared" si="1813"/>
        <v/>
      </c>
      <c r="P1785" s="317" t="str">
        <f t="shared" si="1813"/>
        <v/>
      </c>
      <c r="Q1785" s="318" t="str">
        <f t="shared" si="1799"/>
        <v/>
      </c>
      <c r="R1785" s="318" t="str">
        <f t="shared" si="1800"/>
        <v/>
      </c>
      <c r="S1785" s="318" t="str">
        <f t="shared" si="8"/>
        <v/>
      </c>
    </row>
    <row r="1786">
      <c r="A1786" s="14" t="str">
        <f t="shared" si="1"/>
        <v>C156446127</v>
      </c>
      <c r="B1786" s="185">
        <f t="array" ref="B1786">IF(F1786="VL","",IF(F1786="Free","Free",XLOOKUP(D1786,Roster!T:T,Roster!S:S,"",0)))</f>
        <v>121</v>
      </c>
      <c r="C1786" s="313">
        <v>46127.0</v>
      </c>
      <c r="D1786" s="314" t="s">
        <v>71</v>
      </c>
      <c r="E1786" s="307" t="str">
        <f t="array" ref="E1786">(XLOOKUP(D1786,Roster!F:F,Roster!B:B,"",0))</f>
        <v>Samuel Acevedo Cadavid</v>
      </c>
      <c r="F1786" s="315" t="str">
        <f t="array" ref="F1786">IF(B1786=100,"Free",TEXT(XLOOKUP($D1786,OperationVoice!$A:$A,OperationVoice!U:U,XLOOKUP($D1786,OperationTickets!$A:$A,OperationTickets!U:U,"",0)),"hh:mm"))</f>
        <v>11:00</v>
      </c>
      <c r="G1786" s="309">
        <f t="shared" si="3"/>
        <v>0.8333333333</v>
      </c>
      <c r="H1786" s="316" t="str">
        <f t="array" ref="H1786">XLOOKUP(B1786,Roster!L:L,Roster!N:N,XLOOKUP(D1786,TicketsBreak!A:A,TicketsBreak!E:E,"",0),0)</f>
        <v>09:15 - 09:30</v>
      </c>
      <c r="I1786" s="316" t="str">
        <f t="array" ref="I1786">XLOOKUP(B1786,Roster!L:L,Roster!O:O,XLOOKUP(D1786,TicketsBreak!A:A,TicketsBreak!F:F,"",0),0)</f>
        <v>11:30 - 12:00</v>
      </c>
      <c r="J1786" s="316" t="str">
        <f t="array" ref="J1786">XLOOKUP(B1786,Roster!L:L,Roster!P:P,XLOOKUP(D1786,TicketsBreak!A:A,TicketsBreak!G:G,"",0),0)</f>
        <v>14:30 - 14:45</v>
      </c>
      <c r="K1786" s="310">
        <f t="shared" si="4"/>
        <v>46127</v>
      </c>
      <c r="L1786" s="317">
        <f t="array" ref="L1786">(XLOOKUP(D1786,Roster!F:F,Roster!D:D,"",0))</f>
        <v>38</v>
      </c>
      <c r="M1786" s="317" t="str">
        <f t="array" ref="M1786">XLOOKUP(D1786,Roster!F:F,Roster!E:E)</f>
        <v>Voice</v>
      </c>
      <c r="N1786" s="317" t="str">
        <f t="shared" ref="N1786:P1786" si="1814">LEFT(H1786,5)</f>
        <v>09:15</v>
      </c>
      <c r="O1786" s="317" t="str">
        <f t="shared" si="1814"/>
        <v>11:30</v>
      </c>
      <c r="P1786" s="317" t="str">
        <f t="shared" si="1814"/>
        <v>14:30</v>
      </c>
      <c r="Q1786" s="318">
        <f t="shared" si="1799"/>
        <v>46127.38542</v>
      </c>
      <c r="R1786" s="318">
        <f t="shared" si="1800"/>
        <v>46127.47917</v>
      </c>
      <c r="S1786" s="318">
        <f t="shared" si="8"/>
        <v>46127.60417</v>
      </c>
    </row>
    <row r="1787">
      <c r="A1787" s="14" t="str">
        <f t="shared" si="1"/>
        <v>C116846127</v>
      </c>
      <c r="B1787" s="185">
        <f t="array" ref="B1787">IF(F1787="VL","",IF(F1787="Free","Free",XLOOKUP(D1787,Roster!T:T,Roster!S:S,"",0)))</f>
        <v>125</v>
      </c>
      <c r="C1787" s="313">
        <v>46127.0</v>
      </c>
      <c r="D1787" s="314" t="s">
        <v>180</v>
      </c>
      <c r="E1787" s="307" t="str">
        <f t="array" ref="E1787">(XLOOKUP(D1787,Roster!F:F,Roster!B:B,"",0))</f>
        <v>Santiago Gaviria</v>
      </c>
      <c r="F1787" s="315" t="str">
        <f t="array" ref="F1787">IF(B1787=100,"Free",TEXT(XLOOKUP($D1787,OperationVoice!$A:$A,OperationVoice!U:U,XLOOKUP($D1787,OperationTickets!$A:$A,OperationTickets!U:U,"",0)),"hh:mm"))</f>
        <v>08:00</v>
      </c>
      <c r="G1787" s="309">
        <f t="shared" si="3"/>
        <v>0.7083333333</v>
      </c>
      <c r="H1787" s="316" t="str">
        <f t="array" ref="H1787">XLOOKUP(B1787,Roster!L:L,Roster!N:N,XLOOKUP(D1787,TicketsBreak!A:A,TicketsBreak!E:E,"",0),0)</f>
        <v>10:30 - 10:45</v>
      </c>
      <c r="I1787" s="316" t="str">
        <f t="array" ref="I1787">XLOOKUP(B1787,Roster!L:L,Roster!O:O,XLOOKUP(D1787,TicketsBreak!A:A,TicketsBreak!F:F,"",0),0)</f>
        <v>13:30 - 14:00</v>
      </c>
      <c r="J1787" s="316" t="str">
        <f t="array" ref="J1787">XLOOKUP(B1787,Roster!L:L,Roster!P:P,XLOOKUP(D1787,TicketsBreak!A:A,TicketsBreak!G:G,"",0),0)</f>
        <v>15:45 - 16:00</v>
      </c>
      <c r="K1787" s="310">
        <f t="shared" si="4"/>
        <v>46127</v>
      </c>
      <c r="L1787" s="317">
        <f t="array" ref="L1787">(XLOOKUP(D1787,Roster!F:F,Roster!D:D,"",0))</f>
        <v>24</v>
      </c>
      <c r="M1787" s="317" t="str">
        <f t="array" ref="M1787">XLOOKUP(D1787,Roster!F:F,Roster!E:E)</f>
        <v>Tickets</v>
      </c>
      <c r="N1787" s="317" t="str">
        <f t="shared" ref="N1787:P1787" si="1815">LEFT(H1787,5)</f>
        <v>10:30</v>
      </c>
      <c r="O1787" s="317" t="str">
        <f t="shared" si="1815"/>
        <v>13:30</v>
      </c>
      <c r="P1787" s="317" t="str">
        <f t="shared" si="1815"/>
        <v>15:45</v>
      </c>
      <c r="Q1787" s="318">
        <f t="shared" si="1799"/>
        <v>46127.4375</v>
      </c>
      <c r="R1787" s="318">
        <f t="shared" si="1800"/>
        <v>46127.5625</v>
      </c>
      <c r="S1787" s="318">
        <f t="shared" si="8"/>
        <v>46127.65625</v>
      </c>
    </row>
    <row r="1788">
      <c r="A1788" s="14" t="str">
        <f t="shared" si="1"/>
        <v>C122046127</v>
      </c>
      <c r="B1788" s="185" t="str">
        <f t="array" ref="B1788">IF(F1788="VL","",IF(F1788="Free","Free",XLOOKUP(D1788,Roster!T:T,Roster!S:S,"",0)))</f>
        <v>Free</v>
      </c>
      <c r="C1788" s="313">
        <v>46127.0</v>
      </c>
      <c r="D1788" s="314" t="s">
        <v>181</v>
      </c>
      <c r="E1788" s="307" t="str">
        <f t="array" ref="E1788">(XLOOKUP(D1788,Roster!F:F,Roster!B:B,"",0))</f>
        <v>Santiago Gonzalez</v>
      </c>
      <c r="F1788" s="315" t="str">
        <f t="array" ref="F1788">IF(B1788=100,"Free",TEXT(XLOOKUP($D1788,OperationVoice!$A:$A,OperationVoice!U:U,XLOOKUP($D1788,OperationTickets!$A:$A,OperationTickets!U:U,"",0)),"hh:mm"))</f>
        <v>Free</v>
      </c>
      <c r="G1788" s="309" t="str">
        <f t="shared" si="3"/>
        <v>Free</v>
      </c>
      <c r="H1788" s="316" t="str">
        <f t="array" ref="H1788">XLOOKUP(B1788,Roster!L:L,Roster!N:N,XLOOKUP(D1788,TicketsBreak!A:A,TicketsBreak!E:E,"",0),0)</f>
        <v/>
      </c>
      <c r="I1788" s="316" t="str">
        <f t="array" ref="I1788">XLOOKUP(B1788,Roster!L:L,Roster!O:O,XLOOKUP(D1788,TicketsBreak!A:A,TicketsBreak!F:F,"",0),0)</f>
        <v/>
      </c>
      <c r="J1788" s="316" t="str">
        <f t="array" ref="J1788">XLOOKUP(B1788,Roster!L:L,Roster!P:P,XLOOKUP(D1788,TicketsBreak!A:A,TicketsBreak!G:G,"",0),0)</f>
        <v/>
      </c>
      <c r="K1788" s="310">
        <f t="shared" si="4"/>
        <v>46127</v>
      </c>
      <c r="L1788" s="317">
        <f t="array" ref="L1788">(XLOOKUP(D1788,Roster!F:F,Roster!D:D,"",0))</f>
        <v>26</v>
      </c>
      <c r="M1788" s="317" t="str">
        <f t="array" ref="M1788">XLOOKUP(D1788,Roster!F:F,Roster!E:E)</f>
        <v>Tickets</v>
      </c>
      <c r="N1788" s="317" t="str">
        <f t="shared" ref="N1788:P1788" si="1816">LEFT(H1788,5)</f>
        <v/>
      </c>
      <c r="O1788" s="317" t="str">
        <f t="shared" si="1816"/>
        <v/>
      </c>
      <c r="P1788" s="317" t="str">
        <f t="shared" si="1816"/>
        <v/>
      </c>
      <c r="Q1788" s="318" t="str">
        <f t="shared" si="1799"/>
        <v/>
      </c>
      <c r="R1788" s="318" t="str">
        <f t="shared" si="1800"/>
        <v/>
      </c>
      <c r="S1788" s="318" t="str">
        <f t="shared" si="8"/>
        <v/>
      </c>
    </row>
    <row r="1789">
      <c r="A1789" s="14" t="str">
        <f t="shared" si="1"/>
        <v>C140646127</v>
      </c>
      <c r="B1789" s="185">
        <f t="array" ref="B1789">IF(F1789="VL","",IF(F1789="Free","Free",XLOOKUP(D1789,Roster!T:T,Roster!S:S,"",0)))</f>
        <v>152</v>
      </c>
      <c r="C1789" s="313">
        <v>46127.0</v>
      </c>
      <c r="D1789" s="314" t="s">
        <v>72</v>
      </c>
      <c r="E1789" s="307" t="str">
        <f t="array" ref="E1789">(XLOOKUP(D1789,Roster!F:F,Roster!B:B,"",0))</f>
        <v>Santiago Mora</v>
      </c>
      <c r="F1789" s="315" t="str">
        <f t="array" ref="F1789">IF(B1789=100,"Free",TEXT(XLOOKUP($D1789,OperationVoice!$A:$A,OperationVoice!U:U,XLOOKUP($D1789,OperationTickets!$A:$A,OperationTickets!U:U,"",0)),"hh:mm"))</f>
        <v>11:00</v>
      </c>
      <c r="G1789" s="309">
        <f t="shared" si="3"/>
        <v>0.8333333333</v>
      </c>
      <c r="H1789" s="316" t="str">
        <f t="array" ref="H1789">XLOOKUP(B1789,Roster!L:L,Roster!N:N,XLOOKUP(D1789,TicketsBreak!A:A,TicketsBreak!E:E,"",0),0)</f>
        <v>12:30 - 12:45</v>
      </c>
      <c r="I1789" s="316" t="str">
        <f t="array" ref="I1789">XLOOKUP(B1789,Roster!L:L,Roster!O:O,XLOOKUP(D1789,TicketsBreak!A:A,TicketsBreak!F:F,"",0),0)</f>
        <v>14:30 - 15:00</v>
      </c>
      <c r="J1789" s="316" t="str">
        <f t="array" ref="J1789">XLOOKUP(B1789,Roster!L:L,Roster!P:P,XLOOKUP(D1789,TicketsBreak!A:A,TicketsBreak!G:G,"",0),0)</f>
        <v>17:30 - 17:45</v>
      </c>
      <c r="K1789" s="310">
        <f t="shared" si="4"/>
        <v>46127</v>
      </c>
      <c r="L1789" s="317">
        <f t="array" ref="L1789">(XLOOKUP(D1789,Roster!F:F,Roster!D:D,"",0))</f>
        <v>35</v>
      </c>
      <c r="M1789" s="317" t="str">
        <f t="array" ref="M1789">XLOOKUP(D1789,Roster!F:F,Roster!E:E)</f>
        <v>Voice</v>
      </c>
      <c r="N1789" s="317" t="str">
        <f t="shared" ref="N1789:P1789" si="1817">LEFT(H1789,5)</f>
        <v>12:30</v>
      </c>
      <c r="O1789" s="317" t="str">
        <f t="shared" si="1817"/>
        <v>14:30</v>
      </c>
      <c r="P1789" s="317" t="str">
        <f t="shared" si="1817"/>
        <v>17:30</v>
      </c>
      <c r="Q1789" s="318">
        <f t="shared" si="1799"/>
        <v>46127.52083</v>
      </c>
      <c r="R1789" s="318">
        <f t="shared" si="1800"/>
        <v>46127.60417</v>
      </c>
      <c r="S1789" s="318">
        <f t="shared" si="8"/>
        <v>46127.72917</v>
      </c>
    </row>
    <row r="1790">
      <c r="A1790" s="14" t="str">
        <f t="shared" si="1"/>
        <v>C119946127</v>
      </c>
      <c r="B1790" s="185" t="str">
        <f t="array" ref="B1790">IF(F1790="VL","",IF(F1790="Free","Free",XLOOKUP(D1790,Roster!T:T,Roster!S:S,"",0)))</f>
        <v/>
      </c>
      <c r="C1790" s="313">
        <v>46127.0</v>
      </c>
      <c r="D1790" s="314" t="s">
        <v>182</v>
      </c>
      <c r="E1790" s="307" t="str">
        <f t="array" ref="E1790">(XLOOKUP(D1790,Roster!F:F,Roster!B:B,"",0))</f>
        <v>Santiago Velasquez</v>
      </c>
      <c r="F1790" s="315" t="str">
        <f t="array" ref="F1790">IF(B1790=100,"Free",TEXT(XLOOKUP($D1790,OperationVoice!$A:$A,OperationVoice!U:U,XLOOKUP($D1790,OperationTickets!$A:$A,OperationTickets!U:U,"",0)),"hh:mm"))</f>
        <v>08:00</v>
      </c>
      <c r="G1790" s="309">
        <f t="shared" si="3"/>
        <v>0.7083333333</v>
      </c>
      <c r="H1790" s="316" t="str">
        <f t="array" ref="H1790">XLOOKUP(B1790,Roster!L:L,Roster!N:N,XLOOKUP(D1790,TicketsBreak!A:A,TicketsBreak!E:E,"",0),0)</f>
        <v/>
      </c>
      <c r="I1790" s="316" t="str">
        <f t="array" ref="I1790">XLOOKUP(B1790,Roster!L:L,Roster!O:O,XLOOKUP(D1790,TicketsBreak!A:A,TicketsBreak!F:F,"",0),0)</f>
        <v/>
      </c>
      <c r="J1790" s="316" t="str">
        <f t="array" ref="J1790">XLOOKUP(B1790,Roster!L:L,Roster!P:P,XLOOKUP(D1790,TicketsBreak!A:A,TicketsBreak!G:G,"",0),0)</f>
        <v/>
      </c>
      <c r="K1790" s="310">
        <f t="shared" si="4"/>
        <v>46127</v>
      </c>
      <c r="L1790" s="317">
        <f t="array" ref="L1790">(XLOOKUP(D1790,Roster!F:F,Roster!D:D,"",0))</f>
        <v>25</v>
      </c>
      <c r="M1790" s="317" t="str">
        <f t="array" ref="M1790">XLOOKUP(D1790,Roster!F:F,Roster!E:E)</f>
        <v>Tickets</v>
      </c>
      <c r="N1790" s="317" t="str">
        <f t="shared" ref="N1790:P1790" si="1818">LEFT(H1790,5)</f>
        <v/>
      </c>
      <c r="O1790" s="317" t="str">
        <f t="shared" si="1818"/>
        <v/>
      </c>
      <c r="P1790" s="317" t="str">
        <f t="shared" si="1818"/>
        <v/>
      </c>
      <c r="Q1790" s="318" t="str">
        <f t="shared" si="1799"/>
        <v/>
      </c>
      <c r="R1790" s="318" t="str">
        <f t="shared" si="1800"/>
        <v/>
      </c>
      <c r="S1790" s="318" t="str">
        <f t="shared" si="8"/>
        <v/>
      </c>
    </row>
    <row r="1791">
      <c r="A1791" s="14" t="str">
        <f t="shared" si="1"/>
        <v>C90246127</v>
      </c>
      <c r="B1791" s="185" t="str">
        <f t="array" ref="B1791">IF(F1791="VL","",IF(F1791="Free","Free",XLOOKUP(D1791,Roster!T:T,Roster!S:S,"",0)))</f>
        <v>Free</v>
      </c>
      <c r="C1791" s="313">
        <v>46127.0</v>
      </c>
      <c r="D1791" s="314" t="s">
        <v>150</v>
      </c>
      <c r="E1791" s="307" t="str">
        <f t="array" ref="E1791">(XLOOKUP(D1791,Roster!F:F,Roster!B:B,"",0))</f>
        <v>Sebastiam Vallejo</v>
      </c>
      <c r="F1791" s="315" t="str">
        <f t="array" ref="F1791">IF(B1791=100,"Free",TEXT(XLOOKUP($D1791,OperationVoice!$A:$A,OperationVoice!U:U,XLOOKUP($D1791,OperationTickets!$A:$A,OperationTickets!U:U,"",0)),"hh:mm"))</f>
        <v>Free</v>
      </c>
      <c r="G1791" s="309" t="str">
        <f t="shared" si="3"/>
        <v>Free</v>
      </c>
      <c r="H1791" s="316">
        <f t="array" ref="H1791">XLOOKUP(B1791,Roster!L:L,Roster!N:N,XLOOKUP(D1791,TicketsBreak!A:A,TicketsBreak!E:E,"",0),0)</f>
        <v>0.4375</v>
      </c>
      <c r="I1791" s="316">
        <f t="array" ref="I1791">XLOOKUP(B1791,Roster!L:L,Roster!O:O,XLOOKUP(D1791,TicketsBreak!A:A,TicketsBreak!F:F,"",0),0)</f>
        <v>0.6041666667</v>
      </c>
      <c r="J1791" s="316">
        <f t="array" ref="J1791">XLOOKUP(B1791,Roster!L:L,Roster!P:P,XLOOKUP(D1791,TicketsBreak!A:A,TicketsBreak!G:G,"",0),0)</f>
        <v>0.65625</v>
      </c>
      <c r="K1791" s="310">
        <f t="shared" si="4"/>
        <v>46127</v>
      </c>
      <c r="L1791" s="317">
        <f t="array" ref="L1791">(XLOOKUP(D1791,Roster!F:F,Roster!D:D,"",0))</f>
        <v>11</v>
      </c>
      <c r="M1791" s="317" t="str">
        <f t="array" ref="M1791">XLOOKUP(D1791,Roster!F:F,Roster!E:E)</f>
        <v>Tickets</v>
      </c>
      <c r="N1791" s="317" t="str">
        <f t="shared" ref="N1791:P1791" si="1819">LEFT(H1791,5)</f>
        <v>10:30</v>
      </c>
      <c r="O1791" s="317" t="str">
        <f t="shared" si="1819"/>
        <v>14:30</v>
      </c>
      <c r="P1791" s="317" t="str">
        <f t="shared" si="1819"/>
        <v>15:45</v>
      </c>
      <c r="Q1791" s="318">
        <f t="shared" si="1799"/>
        <v>46127.4375</v>
      </c>
      <c r="R1791" s="318">
        <f t="shared" si="1800"/>
        <v>46127.60417</v>
      </c>
      <c r="S1791" s="318">
        <f t="shared" si="8"/>
        <v>46127.65625</v>
      </c>
    </row>
    <row r="1792">
      <c r="A1792" s="14" t="str">
        <f t="shared" si="1"/>
        <v>C150646127</v>
      </c>
      <c r="B1792" s="185">
        <f t="array" ref="B1792">IF(F1792="VL","",IF(F1792="Free","Free",XLOOKUP(D1792,Roster!T:T,Roster!S:S,"",0)))</f>
        <v>153</v>
      </c>
      <c r="C1792" s="313">
        <v>46127.0</v>
      </c>
      <c r="D1792" s="314" t="s">
        <v>73</v>
      </c>
      <c r="E1792" s="307" t="str">
        <f t="array" ref="E1792">(XLOOKUP(D1792,Roster!F:F,Roster!B:B,"",0))</f>
        <v>Sebastian Agudelo Londono</v>
      </c>
      <c r="F1792" s="315" t="str">
        <f t="array" ref="F1792">IF(B1792=100,"Free",TEXT(XLOOKUP($D1792,OperationVoice!$A:$A,OperationVoice!U:U,XLOOKUP($D1792,OperationTickets!$A:$A,OperationTickets!U:U,"",0)),"hh:mm"))</f>
        <v>11:00</v>
      </c>
      <c r="G1792" s="309">
        <f t="shared" si="3"/>
        <v>0.8333333333</v>
      </c>
      <c r="H1792" s="316" t="str">
        <f t="array" ref="H1792">XLOOKUP(B1792,Roster!L:L,Roster!N:N,XLOOKUP(D1792,TicketsBreak!A:A,TicketsBreak!E:E,"",0),0)</f>
        <v>12:45 - 13:00</v>
      </c>
      <c r="I1792" s="316" t="str">
        <f t="array" ref="I1792">XLOOKUP(B1792,Roster!L:L,Roster!O:O,XLOOKUP(D1792,TicketsBreak!A:A,TicketsBreak!F:F,"",0),0)</f>
        <v>15:00 - 15:30</v>
      </c>
      <c r="J1792" s="316" t="str">
        <f t="array" ref="J1792">XLOOKUP(B1792,Roster!L:L,Roster!P:P,XLOOKUP(D1792,TicketsBreak!A:A,TicketsBreak!G:G,"",0),0)</f>
        <v>17:45 - 18:00</v>
      </c>
      <c r="K1792" s="310">
        <f t="shared" si="4"/>
        <v>46127</v>
      </c>
      <c r="L1792" s="317">
        <f t="array" ref="L1792">(XLOOKUP(D1792,Roster!F:F,Roster!D:D,"",0))</f>
        <v>35</v>
      </c>
      <c r="M1792" s="317" t="str">
        <f t="array" ref="M1792">XLOOKUP(D1792,Roster!F:F,Roster!E:E)</f>
        <v>Voice</v>
      </c>
      <c r="N1792" s="317" t="str">
        <f t="shared" ref="N1792:P1792" si="1820">LEFT(H1792,5)</f>
        <v>12:45</v>
      </c>
      <c r="O1792" s="317" t="str">
        <f t="shared" si="1820"/>
        <v>15:00</v>
      </c>
      <c r="P1792" s="317" t="str">
        <f t="shared" si="1820"/>
        <v>17:45</v>
      </c>
      <c r="Q1792" s="318">
        <f t="shared" si="1799"/>
        <v>46127.53125</v>
      </c>
      <c r="R1792" s="318">
        <f t="shared" si="1800"/>
        <v>46127.625</v>
      </c>
      <c r="S1792" s="318">
        <f t="shared" si="8"/>
        <v>46127.73958</v>
      </c>
    </row>
    <row r="1793">
      <c r="A1793" s="14" t="str">
        <f t="shared" si="1"/>
        <v>C119046127</v>
      </c>
      <c r="B1793" s="185" t="str">
        <f t="array" ref="B1793">IF(F1793="VL","",IF(F1793="Free","Free",XLOOKUP(D1793,Roster!T:T,Roster!S:S,"",0)))</f>
        <v/>
      </c>
      <c r="C1793" s="313">
        <v>46127.0</v>
      </c>
      <c r="D1793" s="314" t="s">
        <v>183</v>
      </c>
      <c r="E1793" s="307" t="str">
        <f t="array" ref="E1793">(XLOOKUP(D1793,Roster!F:F,Roster!B:B,"",0))</f>
        <v>Sebastian Herrera</v>
      </c>
      <c r="F1793" s="315" t="str">
        <f t="array" ref="F1793">IF(B1793=100,"Free",TEXT(XLOOKUP($D1793,OperationVoice!$A:$A,OperationVoice!U:U,XLOOKUP($D1793,OperationTickets!$A:$A,OperationTickets!U:U,"",0)),"hh:mm"))</f>
        <v>07:00</v>
      </c>
      <c r="G1793" s="309">
        <f t="shared" si="3"/>
        <v>0.6666666667</v>
      </c>
      <c r="H1793" s="316">
        <f t="array" ref="H1793">XLOOKUP(B1793,Roster!L:L,Roster!N:N,XLOOKUP(D1793,TicketsBreak!A:A,TicketsBreak!E:E,"",0),0)</f>
        <v>0.40625</v>
      </c>
      <c r="I1793" s="316">
        <f t="array" ref="I1793">XLOOKUP(B1793,Roster!L:L,Roster!O:O,XLOOKUP(D1793,TicketsBreak!A:A,TicketsBreak!F:F,"",0),0)</f>
        <v>0.5416666667</v>
      </c>
      <c r="J1793" s="316">
        <f t="array" ref="J1793">XLOOKUP(B1793,Roster!L:L,Roster!P:P,XLOOKUP(D1793,TicketsBreak!A:A,TicketsBreak!G:G,"",0),0)</f>
        <v>0.625</v>
      </c>
      <c r="K1793" s="310">
        <f t="shared" si="4"/>
        <v>46127</v>
      </c>
      <c r="L1793" s="317">
        <f t="array" ref="L1793">(XLOOKUP(D1793,Roster!F:F,Roster!D:D,"",0))</f>
        <v>25</v>
      </c>
      <c r="M1793" s="317" t="str">
        <f t="array" ref="M1793">XLOOKUP(D1793,Roster!F:F,Roster!E:E)</f>
        <v>Tickets</v>
      </c>
      <c r="N1793" s="317" t="str">
        <f t="shared" ref="N1793:P1793" si="1821">LEFT(H1793,5)</f>
        <v>09:45</v>
      </c>
      <c r="O1793" s="317" t="str">
        <f t="shared" si="1821"/>
        <v>13:00</v>
      </c>
      <c r="P1793" s="317" t="str">
        <f t="shared" si="1821"/>
        <v>15:00</v>
      </c>
      <c r="Q1793" s="318">
        <f t="shared" si="1799"/>
        <v>46127.40625</v>
      </c>
      <c r="R1793" s="318">
        <f t="shared" si="1800"/>
        <v>46127.54167</v>
      </c>
      <c r="S1793" s="318">
        <f t="shared" si="8"/>
        <v>46127.625</v>
      </c>
    </row>
    <row r="1794">
      <c r="A1794" s="14" t="str">
        <f t="shared" si="1"/>
        <v>C71046127</v>
      </c>
      <c r="B1794" s="185" t="str">
        <f t="array" ref="B1794">IF(F1794="VL","",IF(F1794="Free","Free",XLOOKUP(D1794,Roster!T:T,Roster!S:S,"",0)))</f>
        <v/>
      </c>
      <c r="C1794" s="313">
        <v>46127.0</v>
      </c>
      <c r="D1794" s="314" t="s">
        <v>184</v>
      </c>
      <c r="E1794" s="307" t="str">
        <f t="array" ref="E1794">(XLOOKUP(D1794,Roster!F:F,Roster!B:B,"",0))</f>
        <v>Sebastian Martinez</v>
      </c>
      <c r="F1794" s="315" t="str">
        <f t="array" ref="F1794">IF(B1794=100,"Free",TEXT(XLOOKUP($D1794,OperationVoice!$A:$A,OperationVoice!U:U,XLOOKUP($D1794,OperationTickets!$A:$A,OperationTickets!U:U,"",0)),"hh:mm"))</f>
        <v>08:00</v>
      </c>
      <c r="G1794" s="309">
        <f t="shared" si="3"/>
        <v>0.7083333333</v>
      </c>
      <c r="H1794" s="316">
        <f t="array" ref="H1794">XLOOKUP(B1794,Roster!L:L,Roster!N:N,XLOOKUP(D1794,TicketsBreak!A:A,TicketsBreak!E:E,"",0),0)</f>
        <v>0.40625</v>
      </c>
      <c r="I1794" s="316">
        <f t="array" ref="I1794">XLOOKUP(B1794,Roster!L:L,Roster!O:O,XLOOKUP(D1794,TicketsBreak!A:A,TicketsBreak!F:F,"",0),0)</f>
        <v>0.5625</v>
      </c>
      <c r="J1794" s="316">
        <f t="array" ref="J1794">XLOOKUP(B1794,Roster!L:L,Roster!P:P,XLOOKUP(D1794,TicketsBreak!A:A,TicketsBreak!G:G,"",0),0)</f>
        <v>0.65625</v>
      </c>
      <c r="K1794" s="310">
        <f t="shared" si="4"/>
        <v>46127</v>
      </c>
      <c r="L1794" s="317">
        <f t="array" ref="L1794">(XLOOKUP(D1794,Roster!F:F,Roster!D:D,"",0))</f>
        <v>6</v>
      </c>
      <c r="M1794" s="317" t="str">
        <f t="array" ref="M1794">XLOOKUP(D1794,Roster!F:F,Roster!E:E)</f>
        <v>Tickets</v>
      </c>
      <c r="N1794" s="317" t="str">
        <f t="shared" ref="N1794:P1794" si="1822">LEFT(H1794,5)</f>
        <v>09:45</v>
      </c>
      <c r="O1794" s="317" t="str">
        <f t="shared" si="1822"/>
        <v>13:30</v>
      </c>
      <c r="P1794" s="317" t="str">
        <f t="shared" si="1822"/>
        <v>15:45</v>
      </c>
      <c r="Q1794" s="318">
        <f t="shared" si="1799"/>
        <v>46127.40625</v>
      </c>
      <c r="R1794" s="318">
        <f t="shared" si="1800"/>
        <v>46127.5625</v>
      </c>
      <c r="S1794" s="318">
        <f t="shared" si="8"/>
        <v>46127.65625</v>
      </c>
    </row>
    <row r="1795">
      <c r="A1795" s="14" t="str">
        <f t="shared" si="1"/>
        <v>C72346127</v>
      </c>
      <c r="B1795" s="185" t="str">
        <f t="array" ref="B1795">IF(F1795="VL","",IF(F1795="Free","Free",XLOOKUP(D1795,Roster!T:T,Roster!S:S,"",0)))</f>
        <v/>
      </c>
      <c r="C1795" s="313">
        <v>46127.0</v>
      </c>
      <c r="D1795" s="314" t="s">
        <v>169</v>
      </c>
      <c r="E1795" s="307" t="str">
        <f t="array" ref="E1795">(XLOOKUP(D1795,Roster!F:F,Roster!B:B,"",0))</f>
        <v>Sebastian Parra</v>
      </c>
      <c r="F1795" s="315" t="str">
        <f t="array" ref="F1795">IF(B1795=100,"Free",TEXT(XLOOKUP($D1795,OperationVoice!$A:$A,OperationVoice!U:U,XLOOKUP($D1795,OperationTickets!$A:$A,OperationTickets!U:U,"",0)),"hh:mm"))</f>
        <v>08:00</v>
      </c>
      <c r="G1795" s="309">
        <f t="shared" si="3"/>
        <v>0.7083333333</v>
      </c>
      <c r="H1795" s="316">
        <f t="array" ref="H1795">XLOOKUP(B1795,Roster!L:L,Roster!N:N,XLOOKUP(D1795,TicketsBreak!A:A,TicketsBreak!E:E,"",0),0)</f>
        <v>0.4166666667</v>
      </c>
      <c r="I1795" s="316">
        <f t="array" ref="I1795">XLOOKUP(B1795,Roster!L:L,Roster!O:O,XLOOKUP(D1795,TicketsBreak!A:A,TicketsBreak!F:F,"",0),0)</f>
        <v>0.5347222222</v>
      </c>
      <c r="J1795" s="316">
        <f t="array" ref="J1795">XLOOKUP(B1795,Roster!L:L,Roster!P:P,XLOOKUP(D1795,TicketsBreak!A:A,TicketsBreak!G:G,"",0),0)</f>
        <v>0.65625</v>
      </c>
      <c r="K1795" s="310">
        <f t="shared" si="4"/>
        <v>46127</v>
      </c>
      <c r="L1795" s="317">
        <f t="array" ref="L1795">(XLOOKUP(D1795,Roster!F:F,Roster!D:D,"",0))</f>
        <v>7</v>
      </c>
      <c r="M1795" s="317" t="str">
        <f t="array" ref="M1795">XLOOKUP(D1795,Roster!F:F,Roster!E:E)</f>
        <v>Tickets</v>
      </c>
      <c r="N1795" s="317" t="str">
        <f t="shared" ref="N1795:P1795" si="1823">LEFT(H1795,5)</f>
        <v>10:00</v>
      </c>
      <c r="O1795" s="317" t="str">
        <f t="shared" si="1823"/>
        <v>12:50</v>
      </c>
      <c r="P1795" s="317" t="str">
        <f t="shared" si="1823"/>
        <v>15:45</v>
      </c>
      <c r="Q1795" s="318">
        <f t="shared" si="1799"/>
        <v>46127.41667</v>
      </c>
      <c r="R1795" s="318">
        <f t="shared" si="1800"/>
        <v>46127.53472</v>
      </c>
      <c r="S1795" s="318">
        <f t="shared" si="8"/>
        <v>46127.65625</v>
      </c>
    </row>
    <row r="1796">
      <c r="A1796" s="14" t="str">
        <f t="shared" si="1"/>
        <v>C137646127</v>
      </c>
      <c r="B1796" s="185" t="str">
        <f t="array" ref="B1796">IF(F1796="VL","",IF(F1796="Free","Free",XLOOKUP(D1796,Roster!T:T,Roster!S:S,"",0)))</f>
        <v/>
      </c>
      <c r="C1796" s="313">
        <v>46127.0</v>
      </c>
      <c r="D1796" s="314" t="s">
        <v>151</v>
      </c>
      <c r="E1796" s="307" t="str">
        <f t="array" ref="E1796">(XLOOKUP(D1796,Roster!F:F,Roster!B:B,"",0))</f>
        <v>Sebastian Quiroz</v>
      </c>
      <c r="F1796" s="315" t="str">
        <f t="array" ref="F1796">IF(B1796=100,"Free",TEXT(XLOOKUP($D1796,OperationVoice!$A:$A,OperationVoice!U:U,XLOOKUP($D1796,OperationTickets!$A:$A,OperationTickets!U:U,"",0)),"hh:mm"))</f>
        <v>08:00</v>
      </c>
      <c r="G1796" s="309">
        <f t="shared" si="3"/>
        <v>0.7083333333</v>
      </c>
      <c r="H1796" s="316" t="str">
        <f t="array" ref="H1796">XLOOKUP(B1796,Roster!L:L,Roster!N:N,XLOOKUP(D1796,TicketsBreak!A:A,TicketsBreak!E:E,"",0),0)</f>
        <v/>
      </c>
      <c r="I1796" s="316" t="str">
        <f t="array" ref="I1796">XLOOKUP(B1796,Roster!L:L,Roster!O:O,XLOOKUP(D1796,TicketsBreak!A:A,TicketsBreak!F:F,"",0),0)</f>
        <v/>
      </c>
      <c r="J1796" s="316" t="str">
        <f t="array" ref="J1796">XLOOKUP(B1796,Roster!L:L,Roster!P:P,XLOOKUP(D1796,TicketsBreak!A:A,TicketsBreak!G:G,"",0),0)</f>
        <v/>
      </c>
      <c r="K1796" s="310">
        <f t="shared" si="4"/>
        <v>46127</v>
      </c>
      <c r="L1796" s="317">
        <f t="array" ref="L1796">(XLOOKUP(D1796,Roster!F:F,Roster!D:D,"",0))</f>
        <v>31</v>
      </c>
      <c r="M1796" s="317" t="str">
        <f t="array" ref="M1796">XLOOKUP(D1796,Roster!F:F,Roster!E:E)</f>
        <v>Tickets</v>
      </c>
      <c r="N1796" s="317" t="str">
        <f t="shared" ref="N1796:P1796" si="1824">LEFT(H1796,5)</f>
        <v/>
      </c>
      <c r="O1796" s="317" t="str">
        <f t="shared" si="1824"/>
        <v/>
      </c>
      <c r="P1796" s="317" t="str">
        <f t="shared" si="1824"/>
        <v/>
      </c>
      <c r="Q1796" s="318" t="str">
        <f t="shared" si="1799"/>
        <v/>
      </c>
      <c r="R1796" s="318" t="str">
        <f t="shared" si="1800"/>
        <v/>
      </c>
      <c r="S1796" s="318" t="str">
        <f t="shared" si="8"/>
        <v/>
      </c>
    </row>
    <row r="1797">
      <c r="A1797" s="14" t="str">
        <f t="shared" si="1"/>
        <v>C72646127</v>
      </c>
      <c r="B1797" s="185" t="str">
        <f t="array" ref="B1797">IF(F1797="VL","",IF(F1797="Free","Free",XLOOKUP(D1797,Roster!T:T,Roster!S:S,"",0)))</f>
        <v/>
      </c>
      <c r="C1797" s="313">
        <v>46127.0</v>
      </c>
      <c r="D1797" s="314" t="s">
        <v>185</v>
      </c>
      <c r="E1797" s="307" t="str">
        <f t="array" ref="E1797">(XLOOKUP(D1797,Roster!F:F,Roster!B:B,"",0))</f>
        <v>Sebastian Rodriguez</v>
      </c>
      <c r="F1797" s="315" t="str">
        <f t="array" ref="F1797">IF(B1797=100,"Free",TEXT(XLOOKUP($D1797,OperationVoice!$A:$A,OperationVoice!U:U,XLOOKUP($D1797,OperationTickets!$A:$A,OperationTickets!U:U,"",0)),"hh:mm"))</f>
        <v>08:00</v>
      </c>
      <c r="G1797" s="309">
        <f t="shared" si="3"/>
        <v>0.7083333333</v>
      </c>
      <c r="H1797" s="316">
        <f t="array" ref="H1797">XLOOKUP(B1797,Roster!L:L,Roster!N:N,XLOOKUP(D1797,TicketsBreak!A:A,TicketsBreak!E:E,"",0),0)</f>
        <v>0.4166666667</v>
      </c>
      <c r="I1797" s="316">
        <f t="array" ref="I1797">XLOOKUP(B1797,Roster!L:L,Roster!O:O,XLOOKUP(D1797,TicketsBreak!A:A,TicketsBreak!F:F,"",0),0)</f>
        <v>0.5625</v>
      </c>
      <c r="J1797" s="316">
        <f t="array" ref="J1797">XLOOKUP(B1797,Roster!L:L,Roster!P:P,XLOOKUP(D1797,TicketsBreak!A:A,TicketsBreak!G:G,"",0),0)</f>
        <v>0.6458333333</v>
      </c>
      <c r="K1797" s="310">
        <f t="shared" si="4"/>
        <v>46127</v>
      </c>
      <c r="L1797" s="317">
        <f t="array" ref="L1797">(XLOOKUP(D1797,Roster!F:F,Roster!D:D,"",0))</f>
        <v>7</v>
      </c>
      <c r="M1797" s="317" t="str">
        <f t="array" ref="M1797">XLOOKUP(D1797,Roster!F:F,Roster!E:E)</f>
        <v>Tickets</v>
      </c>
      <c r="N1797" s="317" t="str">
        <f t="shared" ref="N1797:P1797" si="1825">LEFT(H1797,5)</f>
        <v>10:00</v>
      </c>
      <c r="O1797" s="317" t="str">
        <f t="shared" si="1825"/>
        <v>13:30</v>
      </c>
      <c r="P1797" s="317" t="str">
        <f t="shared" si="1825"/>
        <v>15:30</v>
      </c>
      <c r="Q1797" s="318">
        <f t="shared" si="1799"/>
        <v>46127.41667</v>
      </c>
      <c r="R1797" s="318">
        <f t="shared" si="1800"/>
        <v>46127.5625</v>
      </c>
      <c r="S1797" s="318">
        <f t="shared" si="8"/>
        <v>46127.64583</v>
      </c>
    </row>
    <row r="1798">
      <c r="A1798" s="14" t="str">
        <f t="shared" si="1"/>
        <v>C60246127</v>
      </c>
      <c r="B1798" s="185" t="str">
        <f t="array" ref="B1798">IF(F1798="VL","",IF(F1798="Free","Free",XLOOKUP(D1798,Roster!T:T,Roster!S:S,"",0)))</f>
        <v/>
      </c>
      <c r="C1798" s="313">
        <v>46127.0</v>
      </c>
      <c r="D1798" s="314" t="s">
        <v>170</v>
      </c>
      <c r="E1798" s="307" t="str">
        <f t="array" ref="E1798">(XLOOKUP(D1798,Roster!F:F,Roster!B:B,"",0))</f>
        <v>Sebastian Torres</v>
      </c>
      <c r="F1798" s="315" t="str">
        <f t="array" ref="F1798">IF(B1798=100,"Free",TEXT(XLOOKUP($D1798,OperationVoice!$A:$A,OperationVoice!U:U,XLOOKUP($D1798,OperationTickets!$A:$A,OperationTickets!U:U,"",0)),"hh:mm"))</f>
        <v>08:00</v>
      </c>
      <c r="G1798" s="309">
        <f t="shared" si="3"/>
        <v>0.7083333333</v>
      </c>
      <c r="H1798" s="316">
        <f t="array" ref="H1798">XLOOKUP(B1798,Roster!L:L,Roster!N:N,XLOOKUP(D1798,TicketsBreak!A:A,TicketsBreak!E:E,"",0),0)</f>
        <v>0.4583333333</v>
      </c>
      <c r="I1798" s="316">
        <f t="array" ref="I1798">XLOOKUP(B1798,Roster!L:L,Roster!O:O,XLOOKUP(D1798,TicketsBreak!A:A,TicketsBreak!F:F,"",0),0)</f>
        <v>0.5833333333</v>
      </c>
      <c r="J1798" s="316">
        <f t="array" ref="J1798">XLOOKUP(B1798,Roster!L:L,Roster!P:P,XLOOKUP(D1798,TicketsBreak!A:A,TicketsBreak!G:G,"",0),0)</f>
        <v>0.65625</v>
      </c>
      <c r="K1798" s="310">
        <f t="shared" si="4"/>
        <v>46127</v>
      </c>
      <c r="L1798" s="317">
        <f t="array" ref="L1798">(XLOOKUP(D1798,Roster!F:F,Roster!D:D,"",0))</f>
        <v>8</v>
      </c>
      <c r="M1798" s="317" t="str">
        <f t="array" ref="M1798">XLOOKUP(D1798,Roster!F:F,Roster!E:E)</f>
        <v>Tickets</v>
      </c>
      <c r="N1798" s="317" t="str">
        <f t="shared" ref="N1798:P1798" si="1826">LEFT(H1798,5)</f>
        <v>11:00</v>
      </c>
      <c r="O1798" s="317" t="str">
        <f t="shared" si="1826"/>
        <v>14:00</v>
      </c>
      <c r="P1798" s="317" t="str">
        <f t="shared" si="1826"/>
        <v>15:45</v>
      </c>
      <c r="Q1798" s="318">
        <f t="shared" si="1799"/>
        <v>46127.45833</v>
      </c>
      <c r="R1798" s="318">
        <f t="shared" si="1800"/>
        <v>46127.58333</v>
      </c>
      <c r="S1798" s="318">
        <f t="shared" si="8"/>
        <v>46127.65625</v>
      </c>
    </row>
    <row r="1799">
      <c r="A1799" s="14" t="str">
        <f t="shared" si="1"/>
        <v>C143146127</v>
      </c>
      <c r="B1799" s="185">
        <f t="array" ref="B1799">IF(F1799="VL","",IF(F1799="Free","Free",XLOOKUP(D1799,Roster!T:T,Roster!S:S,"",0)))</f>
        <v>151</v>
      </c>
      <c r="C1799" s="313">
        <v>46127.0</v>
      </c>
      <c r="D1799" s="314" t="s">
        <v>74</v>
      </c>
      <c r="E1799" s="307" t="str">
        <f t="array" ref="E1799">(XLOOKUP(D1799,Roster!F:F,Roster!B:B,"",0))</f>
        <v>Sebastian Torres Gomez</v>
      </c>
      <c r="F1799" s="315" t="str">
        <f t="array" ref="F1799">IF(B1799=100,"Free",TEXT(XLOOKUP($D1799,OperationVoice!$A:$A,OperationVoice!U:U,XLOOKUP($D1799,OperationTickets!$A:$A,OperationTickets!U:U,"",0)),"hh:mm"))</f>
        <v>11:00</v>
      </c>
      <c r="G1799" s="309">
        <f t="shared" si="3"/>
        <v>0.8333333333</v>
      </c>
      <c r="H1799" s="316" t="str">
        <f t="array" ref="H1799">XLOOKUP(B1799,Roster!L:L,Roster!N:N,XLOOKUP(D1799,TicketsBreak!A:A,TicketsBreak!E:E,"",0),0)</f>
        <v>12:15 - 12:30</v>
      </c>
      <c r="I1799" s="316" t="str">
        <f t="array" ref="I1799">XLOOKUP(B1799,Roster!L:L,Roster!O:O,XLOOKUP(D1799,TicketsBreak!A:A,TicketsBreak!F:F,"",0),0)</f>
        <v>14:00 - 14:30</v>
      </c>
      <c r="J1799" s="316" t="str">
        <f t="array" ref="J1799">XLOOKUP(B1799,Roster!L:L,Roster!P:P,XLOOKUP(D1799,TicketsBreak!A:A,TicketsBreak!G:G,"",0),0)</f>
        <v>17:15 - 17:30</v>
      </c>
      <c r="K1799" s="310">
        <f t="shared" si="4"/>
        <v>46127</v>
      </c>
      <c r="L1799" s="317">
        <f t="array" ref="L1799">(XLOOKUP(D1799,Roster!F:F,Roster!D:D,"",0))</f>
        <v>32</v>
      </c>
      <c r="M1799" s="317" t="str">
        <f t="array" ref="M1799">XLOOKUP(D1799,Roster!F:F,Roster!E:E)</f>
        <v>Voice</v>
      </c>
      <c r="N1799" s="317" t="str">
        <f t="shared" ref="N1799:P1799" si="1827">LEFT(H1799,5)</f>
        <v>12:15</v>
      </c>
      <c r="O1799" s="317" t="str">
        <f t="shared" si="1827"/>
        <v>14:00</v>
      </c>
      <c r="P1799" s="317" t="str">
        <f t="shared" si="1827"/>
        <v>17:15</v>
      </c>
      <c r="Q1799" s="318">
        <f t="shared" si="1799"/>
        <v>46127.51042</v>
      </c>
      <c r="R1799" s="318">
        <f t="shared" si="1800"/>
        <v>46127.58333</v>
      </c>
      <c r="S1799" s="318">
        <f t="shared" si="8"/>
        <v>46127.71875</v>
      </c>
    </row>
    <row r="1800">
      <c r="A1800" s="14" t="str">
        <f t="shared" si="1"/>
        <v>C149146127</v>
      </c>
      <c r="B1800" s="185" t="str">
        <f t="array" ref="B1800">IF(F1800="VL","",IF(F1800="Free","Free",XLOOKUP(D1800,Roster!T:T,Roster!S:S,"",0)))</f>
        <v/>
      </c>
      <c r="C1800" s="313">
        <v>46127.0</v>
      </c>
      <c r="D1800" s="314" t="s">
        <v>315</v>
      </c>
      <c r="E1800" s="307" t="str">
        <f t="array" ref="E1800">(XLOOKUP(D1800,Roster!F:F,Roster!B:B,"",0))</f>
        <v>Sebastian Vanegas</v>
      </c>
      <c r="F1800" s="315" t="str">
        <f t="array" ref="F1800">IF(B1800=100,"Free",TEXT(XLOOKUP($D1800,OperationVoice!$A:$A,OperationVoice!U:U,XLOOKUP($D1800,OperationTickets!$A:$A,OperationTickets!U:U,"",0)),"hh:mm"))</f>
        <v/>
      </c>
      <c r="G1800" s="309" t="str">
        <f t="shared" si="3"/>
        <v/>
      </c>
      <c r="H1800" s="316" t="str">
        <f t="array" ref="H1800">XLOOKUP(B1800,Roster!L:L,Roster!N:N,XLOOKUP(D1800,TicketsBreak!A:A,TicketsBreak!E:E,"",0),0)</f>
        <v/>
      </c>
      <c r="I1800" s="316" t="str">
        <f t="array" ref="I1800">XLOOKUP(B1800,Roster!L:L,Roster!O:O,XLOOKUP(D1800,TicketsBreak!A:A,TicketsBreak!F:F,"",0),0)</f>
        <v/>
      </c>
      <c r="J1800" s="316" t="str">
        <f t="array" ref="J1800">XLOOKUP(B1800,Roster!L:L,Roster!P:P,XLOOKUP(D1800,TicketsBreak!A:A,TicketsBreak!G:G,"",0),0)</f>
        <v/>
      </c>
      <c r="K1800" s="310">
        <f t="shared" si="4"/>
        <v>46127</v>
      </c>
      <c r="L1800" s="317">
        <f t="array" ref="L1800">(XLOOKUP(D1800,Roster!F:F,Roster!D:D,"",0))</f>
        <v>34</v>
      </c>
      <c r="M1800" s="317" t="str">
        <f t="array" ref="M1800">XLOOKUP(D1800,Roster!F:F,Roster!E:E)</f>
        <v>Voice</v>
      </c>
      <c r="N1800" s="317" t="str">
        <f t="shared" ref="N1800:P1800" si="1828">LEFT(H1800,5)</f>
        <v/>
      </c>
      <c r="O1800" s="317" t="str">
        <f t="shared" si="1828"/>
        <v/>
      </c>
      <c r="P1800" s="317" t="str">
        <f t="shared" si="1828"/>
        <v/>
      </c>
      <c r="Q1800" s="318" t="str">
        <f t="shared" si="1799"/>
        <v/>
      </c>
      <c r="R1800" s="318" t="str">
        <f t="shared" si="1800"/>
        <v/>
      </c>
      <c r="S1800" s="318" t="str">
        <f t="shared" si="8"/>
        <v/>
      </c>
    </row>
    <row r="1801">
      <c r="A1801" s="14" t="str">
        <f t="shared" si="1"/>
        <v>C93746127</v>
      </c>
      <c r="B1801" s="185">
        <f t="array" ref="B1801">IF(F1801="VL","",IF(F1801="Free","Free",XLOOKUP(D1801,Roster!T:T,Roster!S:S,"",0)))</f>
        <v>126</v>
      </c>
      <c r="C1801" s="313">
        <v>46127.0</v>
      </c>
      <c r="D1801" s="314" t="s">
        <v>75</v>
      </c>
      <c r="E1801" s="307" t="str">
        <f t="array" ref="E1801">(XLOOKUP(D1801,Roster!F:F,Roster!B:B,"",0))</f>
        <v>Sebastian Zapata</v>
      </c>
      <c r="F1801" s="315" t="str">
        <f t="array" ref="F1801">IF(B1801=100,"Free",TEXT(XLOOKUP($D1801,OperationVoice!$A:$A,OperationVoice!U:U,XLOOKUP($D1801,OperationTickets!$A:$A,OperationTickets!U:U,"",0)),"hh:mm"))</f>
        <v>08:00</v>
      </c>
      <c r="G1801" s="309">
        <f t="shared" si="3"/>
        <v>0.7083333333</v>
      </c>
      <c r="H1801" s="316" t="str">
        <f t="array" ref="H1801">XLOOKUP(B1801,Roster!L:L,Roster!N:N,XLOOKUP(D1801,TicketsBreak!A:A,TicketsBreak!E:E,"",0),0)</f>
        <v>10:45 - 11:00</v>
      </c>
      <c r="I1801" s="316" t="str">
        <f t="array" ref="I1801">XLOOKUP(B1801,Roster!L:L,Roster!O:O,XLOOKUP(D1801,TicketsBreak!A:A,TicketsBreak!F:F,"",0),0)</f>
        <v>14:00 - 14:30</v>
      </c>
      <c r="J1801" s="316" t="str">
        <f t="array" ref="J1801">XLOOKUP(B1801,Roster!L:L,Roster!P:P,XLOOKUP(D1801,TicketsBreak!A:A,TicketsBreak!G:G,"",0),0)</f>
        <v>15:45 - 16:00</v>
      </c>
      <c r="K1801" s="310">
        <f t="shared" si="4"/>
        <v>46127</v>
      </c>
      <c r="L1801" s="317">
        <f t="array" ref="L1801">(XLOOKUP(D1801,Roster!F:F,Roster!D:D,"",0))</f>
        <v>12</v>
      </c>
      <c r="M1801" s="317" t="str">
        <f t="array" ref="M1801">XLOOKUP(D1801,Roster!F:F,Roster!E:E)</f>
        <v>Voice</v>
      </c>
      <c r="N1801" s="317" t="str">
        <f t="shared" ref="N1801:P1801" si="1829">LEFT(H1801,5)</f>
        <v>10:45</v>
      </c>
      <c r="O1801" s="317" t="str">
        <f t="shared" si="1829"/>
        <v>14:00</v>
      </c>
      <c r="P1801" s="317" t="str">
        <f t="shared" si="1829"/>
        <v>15:45</v>
      </c>
      <c r="Q1801" s="318">
        <f t="shared" si="1799"/>
        <v>46127.44792</v>
      </c>
      <c r="R1801" s="318">
        <f t="shared" si="1800"/>
        <v>46127.58333</v>
      </c>
      <c r="S1801" s="318">
        <f t="shared" si="8"/>
        <v>46127.65625</v>
      </c>
    </row>
    <row r="1802">
      <c r="A1802" s="14" t="str">
        <f t="shared" si="1"/>
        <v>C156546127</v>
      </c>
      <c r="B1802" s="185">
        <f t="array" ref="B1802">IF(F1802="VL","",IF(F1802="Free","Free",XLOOKUP(D1802,Roster!T:T,Roster!S:S,"",0)))</f>
        <v>122</v>
      </c>
      <c r="C1802" s="313">
        <v>46127.0</v>
      </c>
      <c r="D1802" s="314" t="s">
        <v>76</v>
      </c>
      <c r="E1802" s="307" t="str">
        <f t="array" ref="E1802">(XLOOKUP(D1802,Roster!F:F,Roster!B:B,"",0))</f>
        <v>Sergio Rojas</v>
      </c>
      <c r="F1802" s="315" t="str">
        <f t="array" ref="F1802">IF(B1802=100,"Free",TEXT(XLOOKUP($D1802,OperationVoice!$A:$A,OperationVoice!U:U,XLOOKUP($D1802,OperationTickets!$A:$A,OperationTickets!U:U,"",0)),"hh:mm"))</f>
        <v>11:00</v>
      </c>
      <c r="G1802" s="309">
        <f t="shared" si="3"/>
        <v>0.8333333333</v>
      </c>
      <c r="H1802" s="316" t="str">
        <f t="array" ref="H1802">XLOOKUP(B1802,Roster!L:L,Roster!N:N,XLOOKUP(D1802,TicketsBreak!A:A,TicketsBreak!E:E,"",0),0)</f>
        <v>09:30 - 09:45</v>
      </c>
      <c r="I1802" s="316" t="str">
        <f t="array" ref="I1802">XLOOKUP(B1802,Roster!L:L,Roster!O:O,XLOOKUP(D1802,TicketsBreak!A:A,TicketsBreak!F:F,"",0),0)</f>
        <v>12:00 - 12:30</v>
      </c>
      <c r="J1802" s="316" t="str">
        <f t="array" ref="J1802">XLOOKUP(B1802,Roster!L:L,Roster!P:P,XLOOKUP(D1802,TicketsBreak!A:A,TicketsBreak!G:G,"",0),0)</f>
        <v>14:45 - 15:00</v>
      </c>
      <c r="K1802" s="310">
        <f t="shared" si="4"/>
        <v>46127</v>
      </c>
      <c r="L1802" s="317">
        <f t="array" ref="L1802">(XLOOKUP(D1802,Roster!F:F,Roster!D:D,"",0))</f>
        <v>38</v>
      </c>
      <c r="M1802" s="317" t="str">
        <f t="array" ref="M1802">XLOOKUP(D1802,Roster!F:F,Roster!E:E)</f>
        <v>Voice</v>
      </c>
      <c r="N1802" s="317" t="str">
        <f t="shared" ref="N1802:P1802" si="1830">LEFT(H1802,5)</f>
        <v>09:30</v>
      </c>
      <c r="O1802" s="317" t="str">
        <f t="shared" si="1830"/>
        <v>12:00</v>
      </c>
      <c r="P1802" s="317" t="str">
        <f t="shared" si="1830"/>
        <v>14:45</v>
      </c>
      <c r="Q1802" s="318">
        <f t="shared" si="1799"/>
        <v>46127.39583</v>
      </c>
      <c r="R1802" s="318">
        <f t="shared" si="1800"/>
        <v>46127.5</v>
      </c>
      <c r="S1802" s="318">
        <f t="shared" si="8"/>
        <v>46127.61458</v>
      </c>
    </row>
    <row r="1803">
      <c r="A1803" s="14" t="str">
        <f t="shared" si="1"/>
        <v>C147846127</v>
      </c>
      <c r="B1803" s="185" t="str">
        <f t="array" ref="B1803">IF(F1803="VL","",IF(F1803="Free","Free",XLOOKUP(D1803,Roster!T:T,Roster!S:S,"",0)))</f>
        <v>Free</v>
      </c>
      <c r="C1803" s="313">
        <v>46127.0</v>
      </c>
      <c r="D1803" s="314" t="s">
        <v>186</v>
      </c>
      <c r="E1803" s="307" t="str">
        <f t="array" ref="E1803">(XLOOKUP(D1803,Roster!F:F,Roster!B:B,"",0))</f>
        <v>Simon Atehortua</v>
      </c>
      <c r="F1803" s="315" t="str">
        <f t="array" ref="F1803">IF(B1803=100,"Free",TEXT(XLOOKUP($D1803,OperationVoice!$A:$A,OperationVoice!U:U,XLOOKUP($D1803,OperationTickets!$A:$A,OperationTickets!U:U,"",0)),"hh:mm"))</f>
        <v>Free</v>
      </c>
      <c r="G1803" s="309" t="str">
        <f t="shared" si="3"/>
        <v>Free</v>
      </c>
      <c r="H1803" s="316" t="str">
        <f t="array" ref="H1803">XLOOKUP(B1803,Roster!L:L,Roster!N:N,XLOOKUP(D1803,TicketsBreak!A:A,TicketsBreak!E:E,"",0),0)</f>
        <v/>
      </c>
      <c r="I1803" s="316" t="str">
        <f t="array" ref="I1803">XLOOKUP(B1803,Roster!L:L,Roster!O:O,XLOOKUP(D1803,TicketsBreak!A:A,TicketsBreak!F:F,"",0),0)</f>
        <v/>
      </c>
      <c r="J1803" s="316" t="str">
        <f t="array" ref="J1803">XLOOKUP(B1803,Roster!L:L,Roster!P:P,XLOOKUP(D1803,TicketsBreak!A:A,TicketsBreak!G:G,"",0),0)</f>
        <v/>
      </c>
      <c r="K1803" s="310">
        <f t="shared" si="4"/>
        <v>46127</v>
      </c>
      <c r="L1803" s="317">
        <f t="array" ref="L1803">(XLOOKUP(D1803,Roster!F:F,Roster!D:D,"",0))</f>
        <v>32</v>
      </c>
      <c r="M1803" s="317" t="str">
        <f t="array" ref="M1803">XLOOKUP(D1803,Roster!F:F,Roster!E:E)</f>
        <v>Tickets</v>
      </c>
      <c r="N1803" s="317" t="str">
        <f t="shared" ref="N1803:P1803" si="1831">LEFT(H1803,5)</f>
        <v/>
      </c>
      <c r="O1803" s="317" t="str">
        <f t="shared" si="1831"/>
        <v/>
      </c>
      <c r="P1803" s="317" t="str">
        <f t="shared" si="1831"/>
        <v/>
      </c>
      <c r="Q1803" s="318" t="str">
        <f t="shared" si="1799"/>
        <v/>
      </c>
      <c r="R1803" s="318" t="str">
        <f t="shared" si="1800"/>
        <v/>
      </c>
      <c r="S1803" s="318" t="str">
        <f t="shared" si="8"/>
        <v/>
      </c>
    </row>
    <row r="1804">
      <c r="A1804" s="14" t="str">
        <f t="shared" si="1"/>
        <v>C148346127</v>
      </c>
      <c r="B1804" s="185">
        <f t="array" ref="B1804">IF(F1804="VL","",IF(F1804="Free","Free",XLOOKUP(D1804,Roster!T:T,Roster!S:S,"",0)))</f>
        <v>152</v>
      </c>
      <c r="C1804" s="313">
        <v>46127.0</v>
      </c>
      <c r="D1804" s="314" t="s">
        <v>77</v>
      </c>
      <c r="E1804" s="307" t="str">
        <f t="array" ref="E1804">(XLOOKUP(D1804,Roster!F:F,Roster!B:B,"",0))</f>
        <v>Simon Zuluaica</v>
      </c>
      <c r="F1804" s="315" t="str">
        <f t="array" ref="F1804">IF(B1804=100,"Free",TEXT(XLOOKUP($D1804,OperationVoice!$A:$A,OperationVoice!U:U,XLOOKUP($D1804,OperationTickets!$A:$A,OperationTickets!U:U,"",0)),"hh:mm"))</f>
        <v>11:00</v>
      </c>
      <c r="G1804" s="309">
        <f t="shared" si="3"/>
        <v>0.8333333333</v>
      </c>
      <c r="H1804" s="316" t="str">
        <f t="array" ref="H1804">XLOOKUP(B1804,Roster!L:L,Roster!N:N,XLOOKUP(D1804,TicketsBreak!A:A,TicketsBreak!E:E,"",0),0)</f>
        <v>12:30 - 12:45</v>
      </c>
      <c r="I1804" s="316" t="str">
        <f t="array" ref="I1804">XLOOKUP(B1804,Roster!L:L,Roster!O:O,XLOOKUP(D1804,TicketsBreak!A:A,TicketsBreak!F:F,"",0),0)</f>
        <v>14:30 - 15:00</v>
      </c>
      <c r="J1804" s="316" t="str">
        <f t="array" ref="J1804">XLOOKUP(B1804,Roster!L:L,Roster!P:P,XLOOKUP(D1804,TicketsBreak!A:A,TicketsBreak!G:G,"",0),0)</f>
        <v>17:30 - 17:45</v>
      </c>
      <c r="K1804" s="310">
        <f t="shared" si="4"/>
        <v>46127</v>
      </c>
      <c r="L1804" s="317">
        <f t="array" ref="L1804">(XLOOKUP(D1804,Roster!F:F,Roster!D:D,"",0))</f>
        <v>34</v>
      </c>
      <c r="M1804" s="317" t="str">
        <f t="array" ref="M1804">XLOOKUP(D1804,Roster!F:F,Roster!E:E)</f>
        <v>Voice</v>
      </c>
      <c r="N1804" s="317" t="str">
        <f t="shared" ref="N1804:P1804" si="1832">LEFT(H1804,5)</f>
        <v>12:30</v>
      </c>
      <c r="O1804" s="317" t="str">
        <f t="shared" si="1832"/>
        <v>14:30</v>
      </c>
      <c r="P1804" s="317" t="str">
        <f t="shared" si="1832"/>
        <v>17:30</v>
      </c>
      <c r="Q1804" s="318">
        <f t="shared" si="1799"/>
        <v>46127.52083</v>
      </c>
      <c r="R1804" s="318">
        <f t="shared" si="1800"/>
        <v>46127.60417</v>
      </c>
      <c r="S1804" s="318">
        <f t="shared" si="8"/>
        <v>46127.72917</v>
      </c>
    </row>
    <row r="1805">
      <c r="A1805" s="14" t="str">
        <f t="shared" si="1"/>
        <v>C154046127</v>
      </c>
      <c r="B1805" s="185">
        <f t="array" ref="B1805">IF(F1805="VL","",IF(F1805="Free","Free",XLOOKUP(D1805,Roster!T:T,Roster!S:S,"",0)))</f>
        <v>122</v>
      </c>
      <c r="C1805" s="313">
        <v>46127.0</v>
      </c>
      <c r="D1805" s="314" t="s">
        <v>78</v>
      </c>
      <c r="E1805" s="307" t="str">
        <f t="array" ref="E1805">(XLOOKUP(D1805,Roster!F:F,Roster!B:B,"",0))</f>
        <v>Tomas Perez</v>
      </c>
      <c r="F1805" s="315" t="str">
        <f t="array" ref="F1805">IF(B1805=100,"Free",TEXT(XLOOKUP($D1805,OperationVoice!$A:$A,OperationVoice!U:U,XLOOKUP($D1805,OperationTickets!$A:$A,OperationTickets!U:U,"",0)),"hh:mm"))</f>
        <v>08:00</v>
      </c>
      <c r="G1805" s="309">
        <f t="shared" si="3"/>
        <v>0.7083333333</v>
      </c>
      <c r="H1805" s="316" t="str">
        <f t="array" ref="H1805">XLOOKUP(B1805,Roster!L:L,Roster!N:N,XLOOKUP(D1805,TicketsBreak!A:A,TicketsBreak!E:E,"",0),0)</f>
        <v>09:30 - 09:45</v>
      </c>
      <c r="I1805" s="316" t="str">
        <f t="array" ref="I1805">XLOOKUP(B1805,Roster!L:L,Roster!O:O,XLOOKUP(D1805,TicketsBreak!A:A,TicketsBreak!F:F,"",0),0)</f>
        <v>12:00 - 12:30</v>
      </c>
      <c r="J1805" s="316" t="str">
        <f t="array" ref="J1805">XLOOKUP(B1805,Roster!L:L,Roster!P:P,XLOOKUP(D1805,TicketsBreak!A:A,TicketsBreak!G:G,"",0),0)</f>
        <v>14:45 - 15:00</v>
      </c>
      <c r="K1805" s="310">
        <f t="shared" si="4"/>
        <v>46127</v>
      </c>
      <c r="L1805" s="317">
        <f t="array" ref="L1805">(XLOOKUP(D1805,Roster!F:F,Roster!D:D,"",0))</f>
        <v>36</v>
      </c>
      <c r="M1805" s="317" t="str">
        <f t="array" ref="M1805">XLOOKUP(D1805,Roster!F:F,Roster!E:E)</f>
        <v>Voice</v>
      </c>
      <c r="N1805" s="317" t="str">
        <f t="shared" ref="N1805:P1805" si="1833">LEFT(H1805,5)</f>
        <v>09:30</v>
      </c>
      <c r="O1805" s="317" t="str">
        <f t="shared" si="1833"/>
        <v>12:00</v>
      </c>
      <c r="P1805" s="317" t="str">
        <f t="shared" si="1833"/>
        <v>14:45</v>
      </c>
      <c r="Q1805" s="318">
        <f t="shared" si="1799"/>
        <v>46127.39583</v>
      </c>
      <c r="R1805" s="318">
        <f t="shared" si="1800"/>
        <v>46127.5</v>
      </c>
      <c r="S1805" s="318">
        <f t="shared" si="8"/>
        <v>46127.61458</v>
      </c>
    </row>
    <row r="1806">
      <c r="A1806" s="14" t="str">
        <f t="shared" si="1"/>
        <v>C154746127</v>
      </c>
      <c r="B1806" s="185">
        <f t="array" ref="B1806">IF(F1806="VL","",IF(F1806="Free","Free",XLOOKUP(D1806,Roster!T:T,Roster!S:S,"",0)))</f>
        <v>121</v>
      </c>
      <c r="C1806" s="313">
        <v>46127.0</v>
      </c>
      <c r="D1806" s="314" t="s">
        <v>79</v>
      </c>
      <c r="E1806" s="307" t="str">
        <f t="array" ref="E1806">(XLOOKUP(D1806,Roster!F:F,Roster!B:B,"",0))</f>
        <v>Valentina Barreto</v>
      </c>
      <c r="F1806" s="315" t="str">
        <f t="array" ref="F1806">IF(B1806=100,"Free",TEXT(XLOOKUP($D1806,OperationVoice!$A:$A,OperationVoice!U:U,XLOOKUP($D1806,OperationTickets!$A:$A,OperationTickets!U:U,"",0)),"hh:mm"))</f>
        <v>08:00</v>
      </c>
      <c r="G1806" s="309">
        <f t="shared" si="3"/>
        <v>0.7083333333</v>
      </c>
      <c r="H1806" s="316" t="str">
        <f t="array" ref="H1806">XLOOKUP(B1806,Roster!L:L,Roster!N:N,XLOOKUP(D1806,TicketsBreak!A:A,TicketsBreak!E:E,"",0),0)</f>
        <v>09:15 - 09:30</v>
      </c>
      <c r="I1806" s="316" t="str">
        <f t="array" ref="I1806">XLOOKUP(B1806,Roster!L:L,Roster!O:O,XLOOKUP(D1806,TicketsBreak!A:A,TicketsBreak!F:F,"",0),0)</f>
        <v>11:30 - 12:00</v>
      </c>
      <c r="J1806" s="316" t="str">
        <f t="array" ref="J1806">XLOOKUP(B1806,Roster!L:L,Roster!P:P,XLOOKUP(D1806,TicketsBreak!A:A,TicketsBreak!G:G,"",0),0)</f>
        <v>14:30 - 14:45</v>
      </c>
      <c r="K1806" s="310">
        <f t="shared" si="4"/>
        <v>46127</v>
      </c>
      <c r="L1806" s="317">
        <f t="array" ref="L1806">(XLOOKUP(D1806,Roster!F:F,Roster!D:D,"",0))</f>
        <v>37</v>
      </c>
      <c r="M1806" s="317" t="str">
        <f t="array" ref="M1806">XLOOKUP(D1806,Roster!F:F,Roster!E:E)</f>
        <v>Voice</v>
      </c>
      <c r="N1806" s="317" t="str">
        <f t="shared" ref="N1806:P1806" si="1834">LEFT(H1806,5)</f>
        <v>09:15</v>
      </c>
      <c r="O1806" s="317" t="str">
        <f t="shared" si="1834"/>
        <v>11:30</v>
      </c>
      <c r="P1806" s="317" t="str">
        <f t="shared" si="1834"/>
        <v>14:30</v>
      </c>
      <c r="Q1806" s="318">
        <f t="shared" si="1799"/>
        <v>46127.38542</v>
      </c>
      <c r="R1806" s="318">
        <f t="shared" si="1800"/>
        <v>46127.47917</v>
      </c>
      <c r="S1806" s="318">
        <f t="shared" si="8"/>
        <v>46127.60417</v>
      </c>
    </row>
    <row r="1807">
      <c r="A1807" s="14" t="str">
        <f t="shared" si="1"/>
        <v>C155346127</v>
      </c>
      <c r="B1807" s="185" t="str">
        <f t="array" ref="B1807">IF(F1807="VL","",IF(F1807="Free","Free",XLOOKUP(D1807,Roster!T:T,Roster!S:S,"",0)))</f>
        <v>Free</v>
      </c>
      <c r="C1807" s="313">
        <v>46127.0</v>
      </c>
      <c r="D1807" s="314" t="s">
        <v>80</v>
      </c>
      <c r="E1807" s="307" t="str">
        <f t="array" ref="E1807">(XLOOKUP(D1807,Roster!F:F,Roster!B:B,"",0))</f>
        <v>Valentina Castro</v>
      </c>
      <c r="F1807" s="315" t="str">
        <f t="array" ref="F1807">IF(B1807=100,"Free",TEXT(XLOOKUP($D1807,OperationVoice!$A:$A,OperationVoice!U:U,XLOOKUP($D1807,OperationTickets!$A:$A,OperationTickets!U:U,"",0)),"hh:mm"))</f>
        <v>Free</v>
      </c>
      <c r="G1807" s="309" t="str">
        <f t="shared" si="3"/>
        <v>Free</v>
      </c>
      <c r="H1807" s="316" t="str">
        <f t="array" ref="H1807">XLOOKUP(B1807,Roster!L:L,Roster!N:N,XLOOKUP(D1807,TicketsBreak!A:A,TicketsBreak!E:E,"",0),0)</f>
        <v/>
      </c>
      <c r="I1807" s="316" t="str">
        <f t="array" ref="I1807">XLOOKUP(B1807,Roster!L:L,Roster!O:O,XLOOKUP(D1807,TicketsBreak!A:A,TicketsBreak!F:F,"",0),0)</f>
        <v/>
      </c>
      <c r="J1807" s="316" t="str">
        <f t="array" ref="J1807">XLOOKUP(B1807,Roster!L:L,Roster!P:P,XLOOKUP(D1807,TicketsBreak!A:A,TicketsBreak!G:G,"",0),0)</f>
        <v/>
      </c>
      <c r="K1807" s="310">
        <f t="shared" si="4"/>
        <v>46127</v>
      </c>
      <c r="L1807" s="317">
        <f t="array" ref="L1807">(XLOOKUP(D1807,Roster!F:F,Roster!D:D,"",0))</f>
        <v>37</v>
      </c>
      <c r="M1807" s="317" t="str">
        <f t="array" ref="M1807">XLOOKUP(D1807,Roster!F:F,Roster!E:E)</f>
        <v>Voice</v>
      </c>
      <c r="N1807" s="317" t="str">
        <f t="shared" ref="N1807:P1807" si="1835">LEFT(H1807,5)</f>
        <v/>
      </c>
      <c r="O1807" s="317" t="str">
        <f t="shared" si="1835"/>
        <v/>
      </c>
      <c r="P1807" s="317" t="str">
        <f t="shared" si="1835"/>
        <v/>
      </c>
      <c r="Q1807" s="318" t="str">
        <f t="shared" si="1799"/>
        <v/>
      </c>
      <c r="R1807" s="318" t="str">
        <f t="shared" si="1800"/>
        <v/>
      </c>
      <c r="S1807" s="318" t="str">
        <f t="shared" si="8"/>
        <v/>
      </c>
    </row>
    <row r="1808">
      <c r="A1808" s="14" t="str">
        <f t="shared" si="1"/>
        <v>C150246127</v>
      </c>
      <c r="B1808" s="185" t="str">
        <f t="array" ref="B1808">IF(F1808="VL","",IF(F1808="Free","Free",XLOOKUP(D1808,Roster!T:T,Roster!S:S,"",0)))</f>
        <v/>
      </c>
      <c r="C1808" s="313">
        <v>46127.0</v>
      </c>
      <c r="D1808" s="314" t="s">
        <v>316</v>
      </c>
      <c r="E1808" s="307" t="str">
        <f t="array" ref="E1808">(XLOOKUP(D1808,Roster!F:F,Roster!B:B,"",0))</f>
        <v>Valentina Gallego</v>
      </c>
      <c r="F1808" s="315" t="str">
        <f t="array" ref="F1808">IF(B1808=100,"Free",TEXT(XLOOKUP($D1808,OperationVoice!$A:$A,OperationVoice!U:U,XLOOKUP($D1808,OperationTickets!$A:$A,OperationTickets!U:U,"",0)),"hh:mm"))</f>
        <v/>
      </c>
      <c r="G1808" s="309" t="str">
        <f t="shared" si="3"/>
        <v/>
      </c>
      <c r="H1808" s="316" t="str">
        <f t="array" ref="H1808">XLOOKUP(B1808,Roster!L:L,Roster!N:N,XLOOKUP(D1808,TicketsBreak!A:A,TicketsBreak!E:E,"",0),0)</f>
        <v/>
      </c>
      <c r="I1808" s="316" t="str">
        <f t="array" ref="I1808">XLOOKUP(B1808,Roster!L:L,Roster!O:O,XLOOKUP(D1808,TicketsBreak!A:A,TicketsBreak!F:F,"",0),0)</f>
        <v/>
      </c>
      <c r="J1808" s="316" t="str">
        <f t="array" ref="J1808">XLOOKUP(B1808,Roster!L:L,Roster!P:P,XLOOKUP(D1808,TicketsBreak!A:A,TicketsBreak!G:G,"",0),0)</f>
        <v/>
      </c>
      <c r="K1808" s="310">
        <f t="shared" si="4"/>
        <v>46127</v>
      </c>
      <c r="L1808" s="317">
        <f t="array" ref="L1808">(XLOOKUP(D1808,Roster!F:F,Roster!D:D,"",0))</f>
        <v>35</v>
      </c>
      <c r="M1808" s="317" t="str">
        <f t="array" ref="M1808">XLOOKUP(D1808,Roster!F:F,Roster!E:E)</f>
        <v>Voice</v>
      </c>
      <c r="N1808" s="317" t="str">
        <f t="shared" ref="N1808:P1808" si="1836">LEFT(H1808,5)</f>
        <v/>
      </c>
      <c r="O1808" s="317" t="str">
        <f t="shared" si="1836"/>
        <v/>
      </c>
      <c r="P1808" s="317" t="str">
        <f t="shared" si="1836"/>
        <v/>
      </c>
      <c r="Q1808" s="318" t="str">
        <f t="shared" si="1799"/>
        <v/>
      </c>
      <c r="R1808" s="318" t="str">
        <f t="shared" si="1800"/>
        <v/>
      </c>
      <c r="S1808" s="318" t="str">
        <f t="shared" si="8"/>
        <v/>
      </c>
    </row>
    <row r="1809">
      <c r="A1809" s="14" t="str">
        <f t="shared" si="1"/>
        <v>C112646127</v>
      </c>
      <c r="B1809" s="185" t="str">
        <f t="array" ref="B1809">IF(F1809="VL","",IF(F1809="Free","Free",XLOOKUP(D1809,Roster!T:T,Roster!S:S,"",0)))</f>
        <v/>
      </c>
      <c r="C1809" s="313">
        <v>46127.0</v>
      </c>
      <c r="D1809" s="314" t="s">
        <v>152</v>
      </c>
      <c r="E1809" s="307" t="str">
        <f t="array" ref="E1809">(XLOOKUP(D1809,Roster!F:F,Roster!B:B,"",0))</f>
        <v>Valery Escobar</v>
      </c>
      <c r="F1809" s="315" t="str">
        <f t="array" ref="F1809">IF(B1809=100,"Free",TEXT(XLOOKUP($D1809,OperationVoice!$A:$A,OperationVoice!U:U,XLOOKUP($D1809,OperationTickets!$A:$A,OperationTickets!U:U,"",0)),"hh:mm"))</f>
        <v>08:00</v>
      </c>
      <c r="G1809" s="309">
        <f t="shared" si="3"/>
        <v>0.7083333333</v>
      </c>
      <c r="H1809" s="316">
        <f t="array" ref="H1809">XLOOKUP(B1809,Roster!L:L,Roster!N:N,XLOOKUP(D1809,TicketsBreak!A:A,TicketsBreak!E:E,"",0),0)</f>
        <v>0.3854166667</v>
      </c>
      <c r="I1809" s="316">
        <f t="array" ref="I1809">XLOOKUP(B1809,Roster!L:L,Roster!O:O,XLOOKUP(D1809,TicketsBreak!A:A,TicketsBreak!F:F,"",0),0)</f>
        <v>0.5</v>
      </c>
      <c r="J1809" s="316">
        <f t="array" ref="J1809">XLOOKUP(B1809,Roster!L:L,Roster!P:P,XLOOKUP(D1809,TicketsBreak!A:A,TicketsBreak!G:G,"",0),0)</f>
        <v>0.6041666667</v>
      </c>
      <c r="K1809" s="310">
        <f t="shared" si="4"/>
        <v>46127</v>
      </c>
      <c r="L1809" s="317">
        <f t="array" ref="L1809">(XLOOKUP(D1809,Roster!F:F,Roster!D:D,"",0))</f>
        <v>21</v>
      </c>
      <c r="M1809" s="317" t="str">
        <f t="array" ref="M1809">XLOOKUP(D1809,Roster!F:F,Roster!E:E)</f>
        <v>Tickets</v>
      </c>
      <c r="N1809" s="317" t="str">
        <f t="shared" ref="N1809:P1809" si="1837">LEFT(H1809,5)</f>
        <v>09:15</v>
      </c>
      <c r="O1809" s="317" t="str">
        <f t="shared" si="1837"/>
        <v>12:00</v>
      </c>
      <c r="P1809" s="317" t="str">
        <f t="shared" si="1837"/>
        <v>14:30</v>
      </c>
      <c r="Q1809" s="318">
        <f t="shared" si="1799"/>
        <v>46127.38542</v>
      </c>
      <c r="R1809" s="318">
        <f t="shared" si="1800"/>
        <v>46127.5</v>
      </c>
      <c r="S1809" s="318">
        <f t="shared" si="8"/>
        <v>46127.60417</v>
      </c>
    </row>
    <row r="1810">
      <c r="A1810" s="14" t="str">
        <f t="shared" si="1"/>
        <v>C155246127</v>
      </c>
      <c r="B1810" s="185">
        <f t="array" ref="B1810">IF(F1810="VL","",IF(F1810="Free","Free",XLOOKUP(D1810,Roster!T:T,Roster!S:S,"",0)))</f>
        <v>125</v>
      </c>
      <c r="C1810" s="313">
        <v>46127.0</v>
      </c>
      <c r="D1810" s="314" t="s">
        <v>81</v>
      </c>
      <c r="E1810" s="307" t="str">
        <f t="array" ref="E1810">(XLOOKUP(D1810,Roster!F:F,Roster!B:B,"",0))</f>
        <v>Wendy Machado</v>
      </c>
      <c r="F1810" s="315" t="str">
        <f t="array" ref="F1810">IF(B1810=100,"Free",TEXT(XLOOKUP($D1810,OperationVoice!$A:$A,OperationVoice!U:U,XLOOKUP($D1810,OperationTickets!$A:$A,OperationTickets!U:U,"",0)),"hh:mm"))</f>
        <v>08:00</v>
      </c>
      <c r="G1810" s="309">
        <f t="shared" si="3"/>
        <v>0.7083333333</v>
      </c>
      <c r="H1810" s="316" t="str">
        <f t="array" ref="H1810">XLOOKUP(B1810,Roster!L:L,Roster!N:N,XLOOKUP(D1810,TicketsBreak!A:A,TicketsBreak!E:E,"",0),0)</f>
        <v>10:30 - 10:45</v>
      </c>
      <c r="I1810" s="316" t="str">
        <f t="array" ref="I1810">XLOOKUP(B1810,Roster!L:L,Roster!O:O,XLOOKUP(D1810,TicketsBreak!A:A,TicketsBreak!F:F,"",0),0)</f>
        <v>13:30 - 14:00</v>
      </c>
      <c r="J1810" s="316" t="str">
        <f t="array" ref="J1810">XLOOKUP(B1810,Roster!L:L,Roster!P:P,XLOOKUP(D1810,TicketsBreak!A:A,TicketsBreak!G:G,"",0),0)</f>
        <v>15:45 - 16:00</v>
      </c>
      <c r="K1810" s="310">
        <f t="shared" si="4"/>
        <v>46127</v>
      </c>
      <c r="L1810" s="317">
        <f t="array" ref="L1810">(XLOOKUP(D1810,Roster!F:F,Roster!D:D,"",0))</f>
        <v>37</v>
      </c>
      <c r="M1810" s="317" t="str">
        <f t="array" ref="M1810">XLOOKUP(D1810,Roster!F:F,Roster!E:E)</f>
        <v>Voice</v>
      </c>
      <c r="N1810" s="317" t="str">
        <f t="shared" ref="N1810:P1810" si="1838">LEFT(H1810,5)</f>
        <v>10:30</v>
      </c>
      <c r="O1810" s="317" t="str">
        <f t="shared" si="1838"/>
        <v>13:30</v>
      </c>
      <c r="P1810" s="317" t="str">
        <f t="shared" si="1838"/>
        <v>15:45</v>
      </c>
      <c r="Q1810" s="318">
        <f t="shared" si="1799"/>
        <v>46127.4375</v>
      </c>
      <c r="R1810" s="318">
        <f t="shared" si="1800"/>
        <v>46127.5625</v>
      </c>
      <c r="S1810" s="318">
        <f t="shared" si="8"/>
        <v>46127.65625</v>
      </c>
    </row>
    <row r="1811">
      <c r="A1811" s="14" t="str">
        <f t="shared" si="1"/>
        <v>C78646127</v>
      </c>
      <c r="B1811" s="185" t="str">
        <f t="array" ref="B1811">IF(F1811="VL","",IF(F1811="Free","Free",XLOOKUP(D1811,Roster!T:T,Roster!S:S,"",0)))</f>
        <v/>
      </c>
      <c r="C1811" s="313">
        <v>46127.0</v>
      </c>
      <c r="D1811" s="314" t="s">
        <v>136</v>
      </c>
      <c r="E1811" s="307" t="str">
        <f t="array" ref="E1811">(XLOOKUP(D1811,Roster!F:F,Roster!B:B,"",0))</f>
        <v>Wendy Navarro</v>
      </c>
      <c r="F1811" s="315" t="str">
        <f t="array" ref="F1811">IF(B1811=100,"Free",TEXT(XLOOKUP($D1811,OperationVoice!$A:$A,OperationVoice!U:U,XLOOKUP($D1811,OperationTickets!$A:$A,OperationTickets!U:U,"",0)),"hh:mm"))</f>
        <v>08:00</v>
      </c>
      <c r="G1811" s="309">
        <f t="shared" si="3"/>
        <v>0.7083333333</v>
      </c>
      <c r="H1811" s="316">
        <f t="array" ref="H1811">XLOOKUP(B1811,Roster!L:L,Roster!N:N,XLOOKUP(D1811,TicketsBreak!A:A,TicketsBreak!E:E,"",0),0)</f>
        <v>0.4166666667</v>
      </c>
      <c r="I1811" s="316">
        <f t="array" ref="I1811">XLOOKUP(B1811,Roster!L:L,Roster!O:O,XLOOKUP(D1811,TicketsBreak!A:A,TicketsBreak!F:F,"",0),0)</f>
        <v>0.5416666667</v>
      </c>
      <c r="J1811" s="316">
        <f t="array" ref="J1811">XLOOKUP(B1811,Roster!L:L,Roster!P:P,XLOOKUP(D1811,TicketsBreak!A:A,TicketsBreak!G:G,"",0),0)</f>
        <v>0.6458333333</v>
      </c>
      <c r="K1811" s="310">
        <f t="shared" si="4"/>
        <v>46127</v>
      </c>
      <c r="L1811" s="317">
        <f t="array" ref="L1811">(XLOOKUP(D1811,Roster!F:F,Roster!D:D,"",0))</f>
        <v>16</v>
      </c>
      <c r="M1811" s="317" t="str">
        <f t="array" ref="M1811">XLOOKUP(D1811,Roster!F:F,Roster!E:E)</f>
        <v>Tickets</v>
      </c>
      <c r="N1811" s="317" t="str">
        <f t="shared" ref="N1811:P1811" si="1839">LEFT(H1811,5)</f>
        <v>10:00</v>
      </c>
      <c r="O1811" s="317" t="str">
        <f t="shared" si="1839"/>
        <v>13:00</v>
      </c>
      <c r="P1811" s="317" t="str">
        <f t="shared" si="1839"/>
        <v>15:30</v>
      </c>
      <c r="Q1811" s="318">
        <f t="shared" si="1799"/>
        <v>46127.41667</v>
      </c>
      <c r="R1811" s="318">
        <f t="shared" si="1800"/>
        <v>46127.54167</v>
      </c>
      <c r="S1811" s="318">
        <f t="shared" si="8"/>
        <v>46127.64583</v>
      </c>
    </row>
    <row r="1812">
      <c r="A1812" s="14" t="str">
        <f t="shared" si="1"/>
        <v>C153746127</v>
      </c>
      <c r="B1812" s="185">
        <f t="array" ref="B1812">IF(F1812="VL","",IF(F1812="Free","Free",XLOOKUP(D1812,Roster!T:T,Roster!S:S,"",0)))</f>
        <v>135</v>
      </c>
      <c r="C1812" s="313">
        <v>46127.0</v>
      </c>
      <c r="D1812" s="314" t="s">
        <v>82</v>
      </c>
      <c r="E1812" s="307" t="str">
        <f t="array" ref="E1812">(XLOOKUP(D1812,Roster!F:F,Roster!B:B,"",0))</f>
        <v>William Florez</v>
      </c>
      <c r="F1812" s="315" t="str">
        <f t="array" ref="F1812">IF(B1812=100,"Free",TEXT(XLOOKUP($D1812,OperationVoice!$A:$A,OperationVoice!U:U,XLOOKUP($D1812,OperationTickets!$A:$A,OperationTickets!U:U,"",0)),"hh:mm"))</f>
        <v>09:00</v>
      </c>
      <c r="G1812" s="309">
        <f t="shared" si="3"/>
        <v>0.75</v>
      </c>
      <c r="H1812" s="316" t="str">
        <f t="array" ref="H1812">XLOOKUP(B1812,Roster!L:L,Roster!N:N,XLOOKUP(D1812,TicketsBreak!A:A,TicketsBreak!E:E,"",0),0)</f>
        <v>11:15 - 11:30</v>
      </c>
      <c r="I1812" s="316" t="str">
        <f t="array" ref="I1812">XLOOKUP(B1812,Roster!L:L,Roster!O:O,XLOOKUP(D1812,TicketsBreak!A:A,TicketsBreak!F:F,"",0),0)</f>
        <v>14:15 - 14:45</v>
      </c>
      <c r="J1812" s="316" t="str">
        <f t="array" ref="J1812">XLOOKUP(B1812,Roster!L:L,Roster!P:P,XLOOKUP(D1812,TicketsBreak!A:A,TicketsBreak!G:G,"",0),0)</f>
        <v>16:15 - 16:30</v>
      </c>
      <c r="K1812" s="310">
        <f t="shared" si="4"/>
        <v>46127</v>
      </c>
      <c r="L1812" s="317">
        <f t="array" ref="L1812">(XLOOKUP(D1812,Roster!F:F,Roster!D:D,"",0))</f>
        <v>36</v>
      </c>
      <c r="M1812" s="317" t="str">
        <f t="array" ref="M1812">XLOOKUP(D1812,Roster!F:F,Roster!E:E)</f>
        <v>Voice</v>
      </c>
      <c r="N1812" s="317" t="str">
        <f t="shared" ref="N1812:P1812" si="1840">LEFT(H1812,5)</f>
        <v>11:15</v>
      </c>
      <c r="O1812" s="317" t="str">
        <f t="shared" si="1840"/>
        <v>14:15</v>
      </c>
      <c r="P1812" s="317" t="str">
        <f t="shared" si="1840"/>
        <v>16:15</v>
      </c>
      <c r="Q1812" s="318">
        <f t="shared" si="1799"/>
        <v>46127.46875</v>
      </c>
      <c r="R1812" s="318">
        <f t="shared" si="1800"/>
        <v>46127.59375</v>
      </c>
      <c r="S1812" s="318">
        <f t="shared" si="8"/>
        <v>46127.67708</v>
      </c>
    </row>
    <row r="1813">
      <c r="A1813" s="14" t="str">
        <f t="shared" si="1"/>
        <v>C135346127</v>
      </c>
      <c r="B1813" s="185">
        <f t="array" ref="B1813">IF(F1813="VL","",IF(F1813="Free","Free",XLOOKUP(D1813,Roster!T:T,Roster!S:S,"",0)))</f>
        <v>121</v>
      </c>
      <c r="C1813" s="313">
        <v>46127.0</v>
      </c>
      <c r="D1813" s="314" t="s">
        <v>83</v>
      </c>
      <c r="E1813" s="307" t="str">
        <f t="array" ref="E1813">(XLOOKUP(D1813,Roster!F:F,Roster!B:B,"",0))</f>
        <v>Wilson Martinez</v>
      </c>
      <c r="F1813" s="315" t="str">
        <f t="array" ref="F1813">IF(B1813=100,"Free",TEXT(XLOOKUP($D1813,OperationVoice!$A:$A,OperationVoice!U:U,XLOOKUP($D1813,OperationTickets!$A:$A,OperationTickets!U:U,"",0)),"hh:mm"))</f>
        <v>08:00</v>
      </c>
      <c r="G1813" s="309">
        <f t="shared" si="3"/>
        <v>0.7083333333</v>
      </c>
      <c r="H1813" s="316" t="str">
        <f t="array" ref="H1813">XLOOKUP(B1813,Roster!L:L,Roster!N:N,XLOOKUP(D1813,TicketsBreak!A:A,TicketsBreak!E:E,"",0),0)</f>
        <v>09:15 - 09:30</v>
      </c>
      <c r="I1813" s="316" t="str">
        <f t="array" ref="I1813">XLOOKUP(B1813,Roster!L:L,Roster!O:O,XLOOKUP(D1813,TicketsBreak!A:A,TicketsBreak!F:F,"",0),0)</f>
        <v>11:30 - 12:00</v>
      </c>
      <c r="J1813" s="316" t="str">
        <f t="array" ref="J1813">XLOOKUP(B1813,Roster!L:L,Roster!P:P,XLOOKUP(D1813,TicketsBreak!A:A,TicketsBreak!G:G,"",0),0)</f>
        <v>14:30 - 14:45</v>
      </c>
      <c r="K1813" s="310">
        <f t="shared" si="4"/>
        <v>46127</v>
      </c>
      <c r="L1813" s="317">
        <f t="array" ref="L1813">(XLOOKUP(D1813,Roster!F:F,Roster!D:D,"",0))</f>
        <v>30</v>
      </c>
      <c r="M1813" s="317" t="str">
        <f t="array" ref="M1813">XLOOKUP(D1813,Roster!F:F,Roster!E:E)</f>
        <v>Voice</v>
      </c>
      <c r="N1813" s="317" t="str">
        <f t="shared" ref="N1813:P1813" si="1841">LEFT(H1813,5)</f>
        <v>09:15</v>
      </c>
      <c r="O1813" s="317" t="str">
        <f t="shared" si="1841"/>
        <v>11:30</v>
      </c>
      <c r="P1813" s="317" t="str">
        <f t="shared" si="1841"/>
        <v>14:30</v>
      </c>
      <c r="Q1813" s="318">
        <f t="shared" si="1799"/>
        <v>46127.38542</v>
      </c>
      <c r="R1813" s="318">
        <f t="shared" si="1800"/>
        <v>46127.47917</v>
      </c>
      <c r="S1813" s="318">
        <f t="shared" si="8"/>
        <v>46127.60417</v>
      </c>
    </row>
    <row r="1814">
      <c r="A1814" s="14" t="str">
        <f t="shared" si="1"/>
        <v>C117346127</v>
      </c>
      <c r="B1814" s="185">
        <f t="array" ref="B1814">IF(F1814="VL","",IF(F1814="Free","Free",XLOOKUP(D1814,Roster!T:T,Roster!S:S,"",0)))</f>
        <v>122</v>
      </c>
      <c r="C1814" s="313">
        <v>46127.0</v>
      </c>
      <c r="D1814" s="314" t="s">
        <v>84</v>
      </c>
      <c r="E1814" s="307" t="str">
        <f t="array" ref="E1814">(XLOOKUP(D1814,Roster!F:F,Roster!B:B,"",0))</f>
        <v>Yaidy Mosquera</v>
      </c>
      <c r="F1814" s="315" t="str">
        <f t="array" ref="F1814">IF(B1814=100,"Free",TEXT(XLOOKUP($D1814,OperationVoice!$A:$A,OperationVoice!U:U,XLOOKUP($D1814,OperationTickets!$A:$A,OperationTickets!U:U,"",0)),"hh:mm"))</f>
        <v>08:00</v>
      </c>
      <c r="G1814" s="309">
        <f t="shared" si="3"/>
        <v>0.7083333333</v>
      </c>
      <c r="H1814" s="316" t="str">
        <f t="array" ref="H1814">XLOOKUP(B1814,Roster!L:L,Roster!N:N,XLOOKUP(D1814,TicketsBreak!A:A,TicketsBreak!E:E,"",0),0)</f>
        <v>09:30 - 09:45</v>
      </c>
      <c r="I1814" s="316" t="str">
        <f t="array" ref="I1814">XLOOKUP(B1814,Roster!L:L,Roster!O:O,XLOOKUP(D1814,TicketsBreak!A:A,TicketsBreak!F:F,"",0),0)</f>
        <v>12:00 - 12:30</v>
      </c>
      <c r="J1814" s="316" t="str">
        <f t="array" ref="J1814">XLOOKUP(B1814,Roster!L:L,Roster!P:P,XLOOKUP(D1814,TicketsBreak!A:A,TicketsBreak!G:G,"",0),0)</f>
        <v>14:45 - 15:00</v>
      </c>
      <c r="K1814" s="310">
        <f t="shared" si="4"/>
        <v>46127</v>
      </c>
      <c r="L1814" s="317">
        <f t="array" ref="L1814">(XLOOKUP(D1814,Roster!F:F,Roster!D:D,"",0))</f>
        <v>24</v>
      </c>
      <c r="M1814" s="317" t="str">
        <f t="array" ref="M1814">XLOOKUP(D1814,Roster!F:F,Roster!E:E)</f>
        <v>Voice</v>
      </c>
      <c r="N1814" s="317" t="str">
        <f t="shared" ref="N1814:P1814" si="1842">LEFT(H1814,5)</f>
        <v>09:30</v>
      </c>
      <c r="O1814" s="317" t="str">
        <f t="shared" si="1842"/>
        <v>12:00</v>
      </c>
      <c r="P1814" s="317" t="str">
        <f t="shared" si="1842"/>
        <v>14:45</v>
      </c>
      <c r="Q1814" s="318">
        <f t="shared" si="1799"/>
        <v>46127.39583</v>
      </c>
      <c r="R1814" s="318">
        <f t="shared" si="1800"/>
        <v>46127.5</v>
      </c>
      <c r="S1814" s="318">
        <f t="shared" si="8"/>
        <v>46127.61458</v>
      </c>
    </row>
    <row r="1815">
      <c r="A1815" s="14" t="str">
        <f t="shared" si="1"/>
        <v>C110846127</v>
      </c>
      <c r="B1815" s="185" t="str">
        <f t="array" ref="B1815">IF(F1815="VL","",IF(F1815="Free","Free",XLOOKUP(D1815,Roster!T:T,Roster!S:S,"",0)))</f>
        <v>Free</v>
      </c>
      <c r="C1815" s="313">
        <v>46127.0</v>
      </c>
      <c r="D1815" s="314" t="s">
        <v>187</v>
      </c>
      <c r="E1815" s="307" t="str">
        <f t="array" ref="E1815">(XLOOKUP(D1815,Roster!F:F,Roster!B:B,"",0))</f>
        <v>Yeiner Tapias</v>
      </c>
      <c r="F1815" s="315" t="str">
        <f t="array" ref="F1815">IF(B1815=100,"Free",TEXT(XLOOKUP($D1815,OperationVoice!$A:$A,OperationVoice!U:U,XLOOKUP($D1815,OperationTickets!$A:$A,OperationTickets!U:U,"",0)),"hh:mm"))</f>
        <v>Free</v>
      </c>
      <c r="G1815" s="309" t="str">
        <f t="shared" si="3"/>
        <v>Free</v>
      </c>
      <c r="H1815" s="316">
        <f t="array" ref="H1815">XLOOKUP(B1815,Roster!L:L,Roster!N:N,XLOOKUP(D1815,TicketsBreak!A:A,TicketsBreak!E:E,"",0),0)</f>
        <v>0.3958333333</v>
      </c>
      <c r="I1815" s="316">
        <f t="array" ref="I1815">XLOOKUP(B1815,Roster!L:L,Roster!O:O,XLOOKUP(D1815,TicketsBreak!A:A,TicketsBreak!F:F,"",0),0)</f>
        <v>0.5208333333</v>
      </c>
      <c r="J1815" s="316">
        <f t="array" ref="J1815">XLOOKUP(B1815,Roster!L:L,Roster!P:P,XLOOKUP(D1815,TicketsBreak!A:A,TicketsBreak!G:G,"",0),0)</f>
        <v>0.6145833333</v>
      </c>
      <c r="K1815" s="310">
        <f t="shared" si="4"/>
        <v>46127</v>
      </c>
      <c r="L1815" s="317">
        <f t="array" ref="L1815">(XLOOKUP(D1815,Roster!F:F,Roster!D:D,"",0))</f>
        <v>20</v>
      </c>
      <c r="M1815" s="317" t="str">
        <f t="array" ref="M1815">XLOOKUP(D1815,Roster!F:F,Roster!E:E)</f>
        <v>Tickets</v>
      </c>
      <c r="N1815" s="317" t="str">
        <f t="shared" ref="N1815:P1815" si="1843">LEFT(H1815,5)</f>
        <v>09:30</v>
      </c>
      <c r="O1815" s="317" t="str">
        <f t="shared" si="1843"/>
        <v>12:30</v>
      </c>
      <c r="P1815" s="317" t="str">
        <f t="shared" si="1843"/>
        <v>14:45</v>
      </c>
      <c r="Q1815" s="318">
        <f t="shared" si="1799"/>
        <v>46127.39583</v>
      </c>
      <c r="R1815" s="318">
        <f t="shared" si="1800"/>
        <v>46127.52083</v>
      </c>
      <c r="S1815" s="318">
        <f t="shared" si="8"/>
        <v>46127.61458</v>
      </c>
    </row>
    <row r="1816">
      <c r="A1816" s="14" t="str">
        <f t="shared" si="1"/>
        <v>C153946127</v>
      </c>
      <c r="B1816" s="185">
        <f t="array" ref="B1816">IF(F1816="VL","",IF(F1816="Free","Free",XLOOKUP(D1816,Roster!T:T,Roster!S:S,"",0)))</f>
        <v>123</v>
      </c>
      <c r="C1816" s="313">
        <v>46127.0</v>
      </c>
      <c r="D1816" s="314" t="s">
        <v>85</v>
      </c>
      <c r="E1816" s="307" t="str">
        <f t="array" ref="E1816">(XLOOKUP(D1816,Roster!F:F,Roster!B:B,"",0))</f>
        <v>Yovanny Ceballos</v>
      </c>
      <c r="F1816" s="315" t="str">
        <f t="array" ref="F1816">IF(B1816=100,"Free",TEXT(XLOOKUP($D1816,OperationVoice!$A:$A,OperationVoice!U:U,XLOOKUP($D1816,OperationTickets!$A:$A,OperationTickets!U:U,"",0)),"hh:mm"))</f>
        <v/>
      </c>
      <c r="G1816" s="309" t="str">
        <f t="shared" si="3"/>
        <v/>
      </c>
      <c r="H1816" s="316" t="str">
        <f t="array" ref="H1816">XLOOKUP(B1816,Roster!L:L,Roster!N:N,XLOOKUP(D1816,TicketsBreak!A:A,TicketsBreak!E:E,"",0),0)</f>
        <v>09:45 - 10:00 </v>
      </c>
      <c r="I1816" s="316" t="str">
        <f t="array" ref="I1816">XLOOKUP(B1816,Roster!L:L,Roster!O:O,XLOOKUP(D1816,TicketsBreak!A:A,TicketsBreak!F:F,"",0),0)</f>
        <v>12:30 - 13:00</v>
      </c>
      <c r="J1816" s="316" t="str">
        <f t="array" ref="J1816">XLOOKUP(B1816,Roster!L:L,Roster!P:P,XLOOKUP(D1816,TicketsBreak!A:A,TicketsBreak!G:G,"",0),0)</f>
        <v>15:00 - 15:15</v>
      </c>
      <c r="K1816" s="310">
        <f t="shared" si="4"/>
        <v>46127</v>
      </c>
      <c r="L1816" s="317">
        <f t="array" ref="L1816">(XLOOKUP(D1816,Roster!F:F,Roster!D:D,"",0))</f>
        <v>36</v>
      </c>
      <c r="M1816" s="317" t="str">
        <f t="array" ref="M1816">XLOOKUP(D1816,Roster!F:F,Roster!E:E)</f>
        <v>Voice</v>
      </c>
      <c r="N1816" s="317" t="str">
        <f t="shared" ref="N1816:P1816" si="1844">LEFT(H1816,5)</f>
        <v>09:45</v>
      </c>
      <c r="O1816" s="317" t="str">
        <f t="shared" si="1844"/>
        <v>12:30</v>
      </c>
      <c r="P1816" s="317" t="str">
        <f t="shared" si="1844"/>
        <v>15:00</v>
      </c>
      <c r="Q1816" s="318">
        <f t="shared" si="1799"/>
        <v>46127.40625</v>
      </c>
      <c r="R1816" s="318">
        <f t="shared" si="1800"/>
        <v>46127.52083</v>
      </c>
      <c r="S1816" s="318">
        <f t="shared" si="8"/>
        <v>46127.625</v>
      </c>
    </row>
    <row r="1817">
      <c r="A1817" s="14" t="str">
        <f t="shared" si="1"/>
        <v>46127</v>
      </c>
      <c r="B1817" s="185" t="str">
        <f t="array" ref="B1817">IF(F1817="VL","",IF(F1817="Free","Free",XLOOKUP(D1817,Roster!T:T,Roster!S:S,"",0)))</f>
        <v/>
      </c>
      <c r="C1817" s="313">
        <v>46127.0</v>
      </c>
      <c r="D1817" s="314"/>
      <c r="E1817" s="307" t="str">
        <f t="array" ref="E1817">(XLOOKUP(D1817,Roster!F:F,Roster!B:B,"",0))</f>
        <v/>
      </c>
      <c r="F1817" s="315" t="str">
        <f t="array" ref="F1817">IF(B1817=100,"Free",TEXT(XLOOKUP($D1817,OperationVoice!$A:$A,OperationVoice!U:U,XLOOKUP($D1817,OperationTickets!$A:$A,OperationTickets!U:U,"",0)),"hh:mm"))</f>
        <v/>
      </c>
      <c r="G1817" s="309" t="str">
        <f t="shared" si="3"/>
        <v/>
      </c>
      <c r="H1817" s="316" t="str">
        <f t="array" ref="H1817">XLOOKUP(B1817,Roster!L:L,Roster!N:N,XLOOKUP(D1817,TicketsBreak!A:A,TicketsBreak!E:E,"",0),0)</f>
        <v/>
      </c>
      <c r="I1817" s="316" t="str">
        <f t="array" ref="I1817">XLOOKUP(B1817,Roster!L:L,Roster!O:O,XLOOKUP(D1817,TicketsBreak!A:A,TicketsBreak!F:F,"",0),0)</f>
        <v/>
      </c>
      <c r="J1817" s="316" t="str">
        <f t="array" ref="J1817">XLOOKUP(B1817,Roster!L:L,Roster!P:P,XLOOKUP(D1817,TicketsBreak!A:A,TicketsBreak!G:G,"",0),0)</f>
        <v/>
      </c>
      <c r="K1817" s="310">
        <f t="shared" si="4"/>
        <v>46127</v>
      </c>
      <c r="L1817" s="317" t="str">
        <f t="array" ref="L1817">(XLOOKUP(D1817,Roster!F:F,Roster!D:D,"",0))</f>
        <v/>
      </c>
      <c r="M1817" s="317" t="str">
        <f t="array" ref="M1817">XLOOKUP(D1817,Roster!F:F,Roster!E:E)</f>
        <v>#N/A</v>
      </c>
      <c r="N1817" s="317" t="str">
        <f t="shared" ref="N1817:P1817" si="1845">LEFT(H1817,5)</f>
        <v/>
      </c>
      <c r="O1817" s="317" t="str">
        <f t="shared" si="1845"/>
        <v/>
      </c>
      <c r="P1817" s="317" t="str">
        <f t="shared" si="1845"/>
        <v/>
      </c>
      <c r="Q1817" s="318" t="str">
        <f t="shared" si="1799"/>
        <v/>
      </c>
      <c r="R1817" s="318" t="str">
        <f t="shared" si="1800"/>
        <v/>
      </c>
      <c r="S1817" s="318" t="str">
        <f t="shared" si="8"/>
        <v/>
      </c>
    </row>
    <row r="1818">
      <c r="A1818" s="14" t="str">
        <f t="shared" si="1"/>
        <v>46127</v>
      </c>
      <c r="B1818" s="185" t="str">
        <f t="array" ref="B1818">IF(F1818="VL","",IF(F1818="Free","Free",XLOOKUP(D1818,Roster!T:T,Roster!S:S,"",0)))</f>
        <v/>
      </c>
      <c r="C1818" s="313">
        <v>46127.0</v>
      </c>
      <c r="D1818" s="314"/>
      <c r="E1818" s="307" t="str">
        <f t="array" ref="E1818">(XLOOKUP(D1818,Roster!F:F,Roster!B:B,"",0))</f>
        <v/>
      </c>
      <c r="F1818" s="315" t="str">
        <f t="array" ref="F1818">IF(B1818=100,"Free",TEXT(XLOOKUP($D1818,OperationVoice!$A:$A,OperationVoice!U:U,XLOOKUP($D1818,OperationTickets!$A:$A,OperationTickets!U:U,"",0)),"hh:mm"))</f>
        <v/>
      </c>
      <c r="G1818" s="309" t="str">
        <f t="shared" si="3"/>
        <v/>
      </c>
      <c r="H1818" s="316" t="str">
        <f t="array" ref="H1818">XLOOKUP(B1818,Roster!L:L,Roster!N:N,XLOOKUP(D1818,TicketsBreak!A:A,TicketsBreak!E:E,"",0),0)</f>
        <v/>
      </c>
      <c r="I1818" s="316" t="str">
        <f t="array" ref="I1818">XLOOKUP(B1818,Roster!L:L,Roster!O:O,XLOOKUP(D1818,TicketsBreak!A:A,TicketsBreak!F:F,"",0),0)</f>
        <v/>
      </c>
      <c r="J1818" s="316" t="str">
        <f t="array" ref="J1818">XLOOKUP(B1818,Roster!L:L,Roster!P:P,XLOOKUP(D1818,TicketsBreak!A:A,TicketsBreak!G:G,"",0),0)</f>
        <v/>
      </c>
      <c r="K1818" s="310">
        <f t="shared" si="4"/>
        <v>46127</v>
      </c>
      <c r="L1818" s="317" t="str">
        <f t="array" ref="L1818">(XLOOKUP(D1818,Roster!F:F,Roster!D:D,"",0))</f>
        <v/>
      </c>
      <c r="M1818" s="317" t="str">
        <f t="array" ref="M1818">XLOOKUP(D1818,Roster!F:F,Roster!E:E)</f>
        <v>#N/A</v>
      </c>
      <c r="N1818" s="317" t="str">
        <f t="shared" ref="N1818:P1818" si="1846">LEFT(H1818,5)</f>
        <v/>
      </c>
      <c r="O1818" s="317" t="str">
        <f t="shared" si="1846"/>
        <v/>
      </c>
      <c r="P1818" s="317" t="str">
        <f t="shared" si="1846"/>
        <v/>
      </c>
      <c r="Q1818" s="318" t="str">
        <f t="shared" si="1799"/>
        <v/>
      </c>
      <c r="R1818" s="318" t="str">
        <f t="shared" si="1800"/>
        <v/>
      </c>
      <c r="S1818" s="318" t="str">
        <f t="shared" si="8"/>
        <v/>
      </c>
    </row>
    <row r="1819">
      <c r="A1819" s="14" t="str">
        <f t="shared" si="1"/>
        <v>46127</v>
      </c>
      <c r="B1819" s="185" t="str">
        <f t="array" ref="B1819">IF(F1819="VL","",IF(F1819="Free","Free",XLOOKUP(D1819,Roster!T:T,Roster!S:S,"",0)))</f>
        <v/>
      </c>
      <c r="C1819" s="313">
        <v>46127.0</v>
      </c>
      <c r="D1819" s="314"/>
      <c r="E1819" s="307" t="str">
        <f t="array" ref="E1819">(XLOOKUP(D1819,Roster!F:F,Roster!B:B,"",0))</f>
        <v/>
      </c>
      <c r="F1819" s="315" t="str">
        <f t="array" ref="F1819">IF(B1819=100,"Free",TEXT(XLOOKUP($D1819,OperationVoice!$A:$A,OperationVoice!U:U,XLOOKUP($D1819,OperationTickets!$A:$A,OperationTickets!U:U,"",0)),"hh:mm"))</f>
        <v/>
      </c>
      <c r="G1819" s="309" t="str">
        <f t="shared" si="3"/>
        <v/>
      </c>
      <c r="H1819" s="316" t="str">
        <f t="array" ref="H1819">XLOOKUP(B1819,Roster!L:L,Roster!N:N,XLOOKUP(D1819,TicketsBreak!A:A,TicketsBreak!E:E,"",0),0)</f>
        <v/>
      </c>
      <c r="I1819" s="316" t="str">
        <f t="array" ref="I1819">XLOOKUP(B1819,Roster!L:L,Roster!O:O,XLOOKUP(D1819,TicketsBreak!A:A,TicketsBreak!F:F,"",0),0)</f>
        <v/>
      </c>
      <c r="J1819" s="316" t="str">
        <f t="array" ref="J1819">XLOOKUP(B1819,Roster!L:L,Roster!P:P,XLOOKUP(D1819,TicketsBreak!A:A,TicketsBreak!G:G,"",0),0)</f>
        <v/>
      </c>
      <c r="K1819" s="310">
        <f t="shared" si="4"/>
        <v>46127</v>
      </c>
      <c r="L1819" s="317" t="str">
        <f t="array" ref="L1819">(XLOOKUP(D1819,Roster!F:F,Roster!D:D,"",0))</f>
        <v/>
      </c>
      <c r="M1819" s="317" t="str">
        <f t="array" ref="M1819">XLOOKUP(D1819,Roster!F:F,Roster!E:E)</f>
        <v>#N/A</v>
      </c>
      <c r="N1819" s="317" t="str">
        <f t="shared" ref="N1819:P1819" si="1847">LEFT(H1819,5)</f>
        <v/>
      </c>
      <c r="O1819" s="317" t="str">
        <f t="shared" si="1847"/>
        <v/>
      </c>
      <c r="P1819" s="317" t="str">
        <f t="shared" si="1847"/>
        <v/>
      </c>
      <c r="Q1819" s="318" t="str">
        <f t="shared" si="1799"/>
        <v/>
      </c>
      <c r="R1819" s="318" t="str">
        <f t="shared" si="1800"/>
        <v/>
      </c>
      <c r="S1819" s="318" t="str">
        <f t="shared" si="8"/>
        <v/>
      </c>
    </row>
    <row r="1820">
      <c r="A1820" s="14" t="str">
        <f t="shared" si="1"/>
        <v>46127</v>
      </c>
      <c r="B1820" s="185" t="str">
        <f t="array" ref="B1820">IF(F1820="VL","",IF(F1820="Free","Free",XLOOKUP(D1820,Roster!T:T,Roster!S:S,"",0)))</f>
        <v/>
      </c>
      <c r="C1820" s="313">
        <v>46127.0</v>
      </c>
      <c r="D1820" s="314"/>
      <c r="E1820" s="307" t="str">
        <f t="array" ref="E1820">(XLOOKUP(D1820,Roster!F:F,Roster!B:B,"",0))</f>
        <v/>
      </c>
      <c r="F1820" s="315" t="str">
        <f t="array" ref="F1820">IF(B1820=100,"Free",TEXT(XLOOKUP($D1820,OperationVoice!$A:$A,OperationVoice!U:U,XLOOKUP($D1820,OperationTickets!$A:$A,OperationTickets!U:U,"",0)),"hh:mm"))</f>
        <v/>
      </c>
      <c r="G1820" s="309" t="str">
        <f t="shared" si="3"/>
        <v/>
      </c>
      <c r="H1820" s="316" t="str">
        <f t="array" ref="H1820">XLOOKUP(B1820,Roster!L:L,Roster!N:N,XLOOKUP(D1820,TicketsBreak!A:A,TicketsBreak!E:E,"",0),0)</f>
        <v/>
      </c>
      <c r="I1820" s="316" t="str">
        <f t="array" ref="I1820">XLOOKUP(B1820,Roster!L:L,Roster!O:O,XLOOKUP(D1820,TicketsBreak!A:A,TicketsBreak!F:F,"",0),0)</f>
        <v/>
      </c>
      <c r="J1820" s="316" t="str">
        <f t="array" ref="J1820">XLOOKUP(B1820,Roster!L:L,Roster!P:P,XLOOKUP(D1820,TicketsBreak!A:A,TicketsBreak!G:G,"",0),0)</f>
        <v/>
      </c>
      <c r="K1820" s="310">
        <f t="shared" si="4"/>
        <v>46127</v>
      </c>
      <c r="L1820" s="317" t="str">
        <f t="array" ref="L1820">(XLOOKUP(D1820,Roster!F:F,Roster!D:D,"",0))</f>
        <v/>
      </c>
      <c r="M1820" s="317" t="str">
        <f t="array" ref="M1820">XLOOKUP(D1820,Roster!F:F,Roster!E:E)</f>
        <v>#N/A</v>
      </c>
      <c r="N1820" s="317" t="str">
        <f t="shared" ref="N1820:P1820" si="1848">LEFT(H1820,5)</f>
        <v/>
      </c>
      <c r="O1820" s="317" t="str">
        <f t="shared" si="1848"/>
        <v/>
      </c>
      <c r="P1820" s="317" t="str">
        <f t="shared" si="1848"/>
        <v/>
      </c>
      <c r="Q1820" s="318" t="str">
        <f t="shared" si="1799"/>
        <v/>
      </c>
      <c r="R1820" s="318" t="str">
        <f t="shared" si="1800"/>
        <v/>
      </c>
      <c r="S1820" s="318" t="str">
        <f t="shared" si="8"/>
        <v/>
      </c>
    </row>
    <row r="1821">
      <c r="A1821" s="14" t="str">
        <f t="shared" si="1"/>
        <v>46127</v>
      </c>
      <c r="B1821" s="185" t="str">
        <f t="array" ref="B1821">IF(F1821="VL","",IF(F1821="Free","Free",XLOOKUP(D1821,Roster!T:T,Roster!S:S,"",0)))</f>
        <v/>
      </c>
      <c r="C1821" s="313">
        <v>46127.0</v>
      </c>
      <c r="D1821" s="314"/>
      <c r="E1821" s="307" t="str">
        <f t="array" ref="E1821">(XLOOKUP(D1821,Roster!F:F,Roster!B:B,"",0))</f>
        <v/>
      </c>
      <c r="F1821" s="315" t="str">
        <f t="array" ref="F1821">IF(B1821=100,"Free",TEXT(XLOOKUP($D1821,OperationVoice!$A:$A,OperationVoice!U:U,XLOOKUP($D1821,OperationTickets!$A:$A,OperationTickets!U:U,"",0)),"hh:mm"))</f>
        <v/>
      </c>
      <c r="G1821" s="309" t="str">
        <f t="shared" si="3"/>
        <v/>
      </c>
      <c r="H1821" s="316" t="str">
        <f t="array" ref="H1821">XLOOKUP(B1821,Roster!L:L,Roster!N:N,XLOOKUP(D1821,TicketsBreak!A:A,TicketsBreak!E:E,"",0),0)</f>
        <v/>
      </c>
      <c r="I1821" s="316" t="str">
        <f t="array" ref="I1821">XLOOKUP(B1821,Roster!L:L,Roster!O:O,XLOOKUP(D1821,TicketsBreak!A:A,TicketsBreak!F:F,"",0),0)</f>
        <v/>
      </c>
      <c r="J1821" s="316" t="str">
        <f t="array" ref="J1821">XLOOKUP(B1821,Roster!L:L,Roster!P:P,XLOOKUP(D1821,TicketsBreak!A:A,TicketsBreak!G:G,"",0),0)</f>
        <v/>
      </c>
      <c r="K1821" s="310">
        <f t="shared" si="4"/>
        <v>46127</v>
      </c>
      <c r="L1821" s="317" t="str">
        <f t="array" ref="L1821">(XLOOKUP(D1821,Roster!F:F,Roster!D:D,"",0))</f>
        <v/>
      </c>
      <c r="M1821" s="317" t="str">
        <f t="array" ref="M1821">XLOOKUP(D1821,Roster!F:F,Roster!E:E)</f>
        <v>#N/A</v>
      </c>
      <c r="N1821" s="317" t="str">
        <f t="shared" ref="N1821:P1821" si="1849">LEFT(H1821,5)</f>
        <v/>
      </c>
      <c r="O1821" s="317" t="str">
        <f t="shared" si="1849"/>
        <v/>
      </c>
      <c r="P1821" s="317" t="str">
        <f t="shared" si="1849"/>
        <v/>
      </c>
      <c r="Q1821" s="318" t="str">
        <f t="shared" si="1799"/>
        <v/>
      </c>
      <c r="R1821" s="318" t="str">
        <f t="shared" si="1800"/>
        <v/>
      </c>
      <c r="S1821" s="318" t="str">
        <f t="shared" si="8"/>
        <v/>
      </c>
    </row>
    <row r="1822">
      <c r="A1822" s="14" t="str">
        <f t="shared" si="1"/>
        <v>C81846128</v>
      </c>
      <c r="B1822" s="185">
        <f t="array" ref="B1822">IF(F1822="VL","",IF(F1822="Free","Free",XLOOKUP(D1822,Roster!T:T,Roster!S:S,"",0)))</f>
        <v>123</v>
      </c>
      <c r="C1822" s="313">
        <v>46128.0</v>
      </c>
      <c r="D1822" s="314" t="s">
        <v>9</v>
      </c>
      <c r="E1822" s="307" t="str">
        <f t="array" ref="E1822">(XLOOKUP(D1822,Roster!F:F,Roster!B:B,"",0))</f>
        <v>Adriana Moncaleano</v>
      </c>
      <c r="F1822" s="315" t="str">
        <f t="array" ref="F1822">IF(B1822=100,"Free",TEXT(XLOOKUP($D1822,OperationVoice!$A:$A,OperationVoice!V:V,XLOOKUP($D1822,OperationTickets!$A:$A,OperationTickets!V:V,"",0)),"hh:mm"))</f>
        <v>08:00</v>
      </c>
      <c r="G1822" s="309">
        <f t="shared" si="3"/>
        <v>0.7083333333</v>
      </c>
      <c r="H1822" s="316" t="str">
        <f t="array" ref="H1822">XLOOKUP(B1822,Roster!L:L,Roster!N:N,XLOOKUP(D1822,TicketsBreak!A:A,TicketsBreak!E:E,"",0),0)</f>
        <v>09:45 - 10:00 </v>
      </c>
      <c r="I1822" s="316" t="str">
        <f t="array" ref="I1822">XLOOKUP(B1822,Roster!L:L,Roster!O:O,XLOOKUP(D1822,TicketsBreak!A:A,TicketsBreak!F:F,"",0),0)</f>
        <v>12:30 - 13:00</v>
      </c>
      <c r="J1822" s="316" t="str">
        <f t="array" ref="J1822">XLOOKUP(B1822,Roster!L:L,Roster!P:P,XLOOKUP(D1822,TicketsBreak!A:A,TicketsBreak!G:G,"",0),0)</f>
        <v>15:00 - 15:15</v>
      </c>
      <c r="K1822" s="310">
        <f t="shared" si="4"/>
        <v>46128</v>
      </c>
      <c r="L1822" s="317">
        <f t="array" ref="L1822">(XLOOKUP(D1822,Roster!F:F,Roster!D:D,"",0))</f>
        <v>23</v>
      </c>
      <c r="M1822" s="317" t="str">
        <f t="array" ref="M1822">XLOOKUP(D1822,Roster!F:F,Roster!E:E)</f>
        <v>Voice</v>
      </c>
      <c r="N1822" s="317" t="str">
        <f t="shared" ref="N1822:P1822" si="1850">LEFT(H1822,5)</f>
        <v>09:45</v>
      </c>
      <c r="O1822" s="317" t="str">
        <f t="shared" si="1850"/>
        <v>12:30</v>
      </c>
      <c r="P1822" s="317" t="str">
        <f t="shared" si="1850"/>
        <v>15:00</v>
      </c>
      <c r="Q1822" s="318">
        <f t="shared" si="1799"/>
        <v>46128.40625</v>
      </c>
      <c r="R1822" s="318">
        <f t="shared" si="1800"/>
        <v>46128.52083</v>
      </c>
      <c r="S1822" s="318">
        <f t="shared" si="8"/>
        <v>46128.625</v>
      </c>
    </row>
    <row r="1823">
      <c r="A1823" s="14" t="str">
        <f t="shared" si="1"/>
        <v>C110746128</v>
      </c>
      <c r="B1823" s="185">
        <f t="array" ref="B1823">IF(F1823="VL","",IF(F1823="Free","Free",XLOOKUP(D1823,Roster!T:T,Roster!S:S,"",0)))</f>
        <v>153</v>
      </c>
      <c r="C1823" s="313">
        <v>46128.0</v>
      </c>
      <c r="D1823" s="314" t="s">
        <v>10</v>
      </c>
      <c r="E1823" s="307" t="str">
        <f t="array" ref="E1823">(XLOOKUP(D1823,Roster!F:F,Roster!B:B,"",0))</f>
        <v>Alejandro Malave</v>
      </c>
      <c r="F1823" s="315" t="str">
        <f t="array" ref="F1823">IF(B1823=100,"Free",TEXT(XLOOKUP($D1823,OperationVoice!$A:$A,OperationVoice!V:V,XLOOKUP($D1823,OperationTickets!$A:$A,OperationTickets!V:V,"",0)),"hh:mm"))</f>
        <v>11:00</v>
      </c>
      <c r="G1823" s="309">
        <f t="shared" si="3"/>
        <v>0.8333333333</v>
      </c>
      <c r="H1823" s="316" t="str">
        <f t="array" ref="H1823">XLOOKUP(B1823,Roster!L:L,Roster!N:N,XLOOKUP(D1823,TicketsBreak!A:A,TicketsBreak!E:E,"",0),0)</f>
        <v>12:45 - 13:00</v>
      </c>
      <c r="I1823" s="316" t="str">
        <f t="array" ref="I1823">XLOOKUP(B1823,Roster!L:L,Roster!O:O,XLOOKUP(D1823,TicketsBreak!A:A,TicketsBreak!F:F,"",0),0)</f>
        <v>15:00 - 15:30</v>
      </c>
      <c r="J1823" s="316" t="str">
        <f t="array" ref="J1823">XLOOKUP(B1823,Roster!L:L,Roster!P:P,XLOOKUP(D1823,TicketsBreak!A:A,TicketsBreak!G:G,"",0),0)</f>
        <v>17:45 - 18:00</v>
      </c>
      <c r="K1823" s="310">
        <f t="shared" si="4"/>
        <v>46128</v>
      </c>
      <c r="L1823" s="317">
        <f t="array" ref="L1823">(XLOOKUP(D1823,Roster!F:F,Roster!D:D,"",0))</f>
        <v>36</v>
      </c>
      <c r="M1823" s="317" t="str">
        <f t="array" ref="M1823">XLOOKUP(D1823,Roster!F:F,Roster!E:E)</f>
        <v>Voice</v>
      </c>
      <c r="N1823" s="317" t="str">
        <f t="shared" ref="N1823:P1823" si="1851">LEFT(H1823,5)</f>
        <v>12:45</v>
      </c>
      <c r="O1823" s="317" t="str">
        <f t="shared" si="1851"/>
        <v>15:00</v>
      </c>
      <c r="P1823" s="317" t="str">
        <f t="shared" si="1851"/>
        <v>17:45</v>
      </c>
      <c r="Q1823" s="318">
        <f t="shared" si="1799"/>
        <v>46128.53125</v>
      </c>
      <c r="R1823" s="318">
        <f t="shared" si="1800"/>
        <v>46128.625</v>
      </c>
      <c r="S1823" s="318">
        <f t="shared" si="8"/>
        <v>46128.73958</v>
      </c>
    </row>
    <row r="1824">
      <c r="A1824" s="14" t="str">
        <f t="shared" si="1"/>
        <v>C69946128</v>
      </c>
      <c r="B1824" s="185" t="str">
        <f t="array" ref="B1824">IF(F1824="VL","",IF(F1824="Free","Free",XLOOKUP(D1824,Roster!T:T,Roster!S:S,"",0)))</f>
        <v/>
      </c>
      <c r="C1824" s="313">
        <v>46128.0</v>
      </c>
      <c r="D1824" s="314" t="s">
        <v>137</v>
      </c>
      <c r="E1824" s="307" t="str">
        <f t="array" ref="E1824">(XLOOKUP(D1824,Roster!F:F,Roster!B:B,"",0))</f>
        <v>Alexa Arenas</v>
      </c>
      <c r="F1824" s="315" t="str">
        <f t="array" ref="F1824">IF(B1824=100,"Free",TEXT(XLOOKUP($D1824,OperationVoice!$A:$A,OperationVoice!V:V,XLOOKUP($D1824,OperationTickets!$A:$A,OperationTickets!V:V,"",0)),"hh:mm"))</f>
        <v>08:00</v>
      </c>
      <c r="G1824" s="309">
        <f t="shared" si="3"/>
        <v>0.7083333333</v>
      </c>
      <c r="H1824" s="316">
        <f t="array" ref="H1824">XLOOKUP(B1824,Roster!L:L,Roster!N:N,XLOOKUP(D1824,TicketsBreak!A:A,TicketsBreak!E:E,"",0),0)</f>
        <v>0.40625</v>
      </c>
      <c r="I1824" s="316">
        <f t="array" ref="I1824">XLOOKUP(B1824,Roster!L:L,Roster!O:O,XLOOKUP(D1824,TicketsBreak!A:A,TicketsBreak!F:F,"",0),0)</f>
        <v>0.5</v>
      </c>
      <c r="J1824" s="316">
        <f t="array" ref="J1824">XLOOKUP(B1824,Roster!L:L,Roster!P:P,XLOOKUP(D1824,TicketsBreak!A:A,TicketsBreak!G:G,"",0),0)</f>
        <v>0.65625</v>
      </c>
      <c r="K1824" s="310">
        <f t="shared" si="4"/>
        <v>46128</v>
      </c>
      <c r="L1824" s="317">
        <f t="array" ref="L1824">(XLOOKUP(D1824,Roster!F:F,Roster!D:D,"",0))</f>
        <v>5</v>
      </c>
      <c r="M1824" s="317" t="str">
        <f t="array" ref="M1824">XLOOKUP(D1824,Roster!F:F,Roster!E:E)</f>
        <v>Tickets</v>
      </c>
      <c r="N1824" s="317" t="str">
        <f t="shared" ref="N1824:P1824" si="1852">LEFT(H1824,5)</f>
        <v>09:45</v>
      </c>
      <c r="O1824" s="317" t="str">
        <f t="shared" si="1852"/>
        <v>12:00</v>
      </c>
      <c r="P1824" s="317" t="str">
        <f t="shared" si="1852"/>
        <v>15:45</v>
      </c>
      <c r="Q1824" s="318">
        <f t="shared" si="1799"/>
        <v>46128.40625</v>
      </c>
      <c r="R1824" s="318">
        <f t="shared" si="1800"/>
        <v>46128.5</v>
      </c>
      <c r="S1824" s="318">
        <f t="shared" si="8"/>
        <v>46128.65625</v>
      </c>
    </row>
    <row r="1825">
      <c r="A1825" s="14" t="str">
        <f t="shared" si="1"/>
        <v>C157046128</v>
      </c>
      <c r="B1825" s="185">
        <f t="array" ref="B1825">IF(F1825="VL","",IF(F1825="Free","Free",XLOOKUP(D1825,Roster!T:T,Roster!S:S,"",0)))</f>
        <v>123</v>
      </c>
      <c r="C1825" s="313">
        <v>46128.0</v>
      </c>
      <c r="D1825" s="314" t="s">
        <v>11</v>
      </c>
      <c r="E1825" s="307" t="str">
        <f t="array" ref="E1825">(XLOOKUP(D1825,Roster!F:F,Roster!B:B,"",0))</f>
        <v>Alexander Bartoli</v>
      </c>
      <c r="F1825" s="315" t="str">
        <f t="array" ref="F1825">IF(B1825=100,"Free",TEXT(XLOOKUP($D1825,OperationVoice!$A:$A,OperationVoice!V:V,XLOOKUP($D1825,OperationTickets!$A:$A,OperationTickets!V:V,"",0)),"hh:mm"))</f>
        <v>08:00</v>
      </c>
      <c r="G1825" s="309">
        <f t="shared" si="3"/>
        <v>0.7083333333</v>
      </c>
      <c r="H1825" s="316" t="str">
        <f t="array" ref="H1825">XLOOKUP(B1825,Roster!L:L,Roster!N:N,XLOOKUP(D1825,TicketsBreak!A:A,TicketsBreak!E:E,"",0),0)</f>
        <v>09:45 - 10:00 </v>
      </c>
      <c r="I1825" s="316" t="str">
        <f t="array" ref="I1825">XLOOKUP(B1825,Roster!L:L,Roster!O:O,XLOOKUP(D1825,TicketsBreak!A:A,TicketsBreak!F:F,"",0),0)</f>
        <v>12:30 - 13:00</v>
      </c>
      <c r="J1825" s="316" t="str">
        <f t="array" ref="J1825">XLOOKUP(B1825,Roster!L:L,Roster!P:P,XLOOKUP(D1825,TicketsBreak!A:A,TicketsBreak!G:G,"",0),0)</f>
        <v>15:00 - 15:15</v>
      </c>
      <c r="K1825" s="310">
        <f t="shared" si="4"/>
        <v>46128</v>
      </c>
      <c r="L1825" s="317">
        <f t="array" ref="L1825">(XLOOKUP(D1825,Roster!F:F,Roster!D:D,"",0))</f>
        <v>38</v>
      </c>
      <c r="M1825" s="317" t="str">
        <f t="array" ref="M1825">XLOOKUP(D1825,Roster!F:F,Roster!E:E)</f>
        <v>Voice</v>
      </c>
      <c r="N1825" s="317" t="str">
        <f t="shared" ref="N1825:P1825" si="1853">LEFT(H1825,5)</f>
        <v>09:45</v>
      </c>
      <c r="O1825" s="317" t="str">
        <f t="shared" si="1853"/>
        <v>12:30</v>
      </c>
      <c r="P1825" s="317" t="str">
        <f t="shared" si="1853"/>
        <v>15:00</v>
      </c>
      <c r="Q1825" s="318">
        <f t="shared" si="1799"/>
        <v>46128.40625</v>
      </c>
      <c r="R1825" s="318">
        <f t="shared" si="1800"/>
        <v>46128.52083</v>
      </c>
      <c r="S1825" s="318">
        <f t="shared" si="8"/>
        <v>46128.625</v>
      </c>
    </row>
    <row r="1826">
      <c r="A1826" s="14" t="str">
        <f t="shared" si="1"/>
        <v>C93546128</v>
      </c>
      <c r="B1826" s="185" t="str">
        <f t="array" ref="B1826">IF(F1826="VL","",IF(F1826="Free","Free",XLOOKUP(D1826,Roster!T:T,Roster!S:S,"",0)))</f>
        <v/>
      </c>
      <c r="C1826" s="313">
        <v>46128.0</v>
      </c>
      <c r="D1826" s="314" t="s">
        <v>153</v>
      </c>
      <c r="E1826" s="307" t="str">
        <f t="array" ref="E1826">(XLOOKUP(D1826,Roster!F:F,Roster!B:B,"",0))</f>
        <v>Alexis Arias</v>
      </c>
      <c r="F1826" s="315" t="str">
        <f t="array" ref="F1826">IF(B1826=100,"Free",TEXT(XLOOKUP($D1826,OperationVoice!$A:$A,OperationVoice!V:V,XLOOKUP($D1826,OperationTickets!$A:$A,OperationTickets!V:V,"",0)),"hh:mm"))</f>
        <v>07:30</v>
      </c>
      <c r="G1826" s="309">
        <f t="shared" si="3"/>
        <v>0.6875</v>
      </c>
      <c r="H1826" s="316">
        <f t="array" ref="H1826">XLOOKUP(B1826,Roster!L:L,Roster!N:N,XLOOKUP(D1826,TicketsBreak!A:A,TicketsBreak!E:E,"",0),0)</f>
        <v>0.4270833333</v>
      </c>
      <c r="I1826" s="316">
        <f t="array" ref="I1826">XLOOKUP(B1826,Roster!L:L,Roster!O:O,XLOOKUP(D1826,TicketsBreak!A:A,TicketsBreak!F:F,"",0),0)</f>
        <v>0.53125</v>
      </c>
      <c r="J1826" s="316">
        <f t="array" ref="J1826">XLOOKUP(B1826,Roster!L:L,Roster!P:P,XLOOKUP(D1826,TicketsBreak!A:A,TicketsBreak!G:G,"",0),0)</f>
        <v>0.6458333333</v>
      </c>
      <c r="K1826" s="310">
        <f t="shared" si="4"/>
        <v>46128</v>
      </c>
      <c r="L1826" s="317">
        <f t="array" ref="L1826">(XLOOKUP(D1826,Roster!F:F,Roster!D:D,"",0))</f>
        <v>12</v>
      </c>
      <c r="M1826" s="317" t="str">
        <f t="array" ref="M1826">XLOOKUP(D1826,Roster!F:F,Roster!E:E)</f>
        <v>Tickets</v>
      </c>
      <c r="N1826" s="317" t="str">
        <f t="shared" ref="N1826:P1826" si="1854">LEFT(H1826,5)</f>
        <v>10:15</v>
      </c>
      <c r="O1826" s="317" t="str">
        <f t="shared" si="1854"/>
        <v>12:45</v>
      </c>
      <c r="P1826" s="317" t="str">
        <f t="shared" si="1854"/>
        <v>15:30</v>
      </c>
      <c r="Q1826" s="318">
        <f t="shared" si="1799"/>
        <v>46128.42708</v>
      </c>
      <c r="R1826" s="318">
        <f t="shared" si="1800"/>
        <v>46128.53125</v>
      </c>
      <c r="S1826" s="318">
        <f t="shared" si="8"/>
        <v>46128.64583</v>
      </c>
    </row>
    <row r="1827">
      <c r="A1827" s="14" t="str">
        <f t="shared" si="1"/>
        <v>C72746128</v>
      </c>
      <c r="B1827" s="185" t="str">
        <f t="array" ref="B1827">IF(F1827="VL","",IF(F1827="Free","Free",XLOOKUP(D1827,Roster!T:T,Roster!S:S,"",0)))</f>
        <v>Free</v>
      </c>
      <c r="C1827" s="313">
        <v>46128.0</v>
      </c>
      <c r="D1827" s="314" t="s">
        <v>154</v>
      </c>
      <c r="E1827" s="307" t="str">
        <f t="array" ref="E1827">(XLOOKUP(D1827,Roster!F:F,Roster!B:B,"",0))</f>
        <v>Ana Moreno</v>
      </c>
      <c r="F1827" s="315" t="str">
        <f t="array" ref="F1827">IF(B1827=100,"Free",TEXT(XLOOKUP($D1827,OperationVoice!$A:$A,OperationVoice!V:V,XLOOKUP($D1827,OperationTickets!$A:$A,OperationTickets!V:V,"",0)),"hh:mm"))</f>
        <v>Free</v>
      </c>
      <c r="G1827" s="309" t="str">
        <f t="shared" si="3"/>
        <v>Free</v>
      </c>
      <c r="H1827" s="316">
        <f t="array" ref="H1827">XLOOKUP(B1827,Roster!L:L,Roster!N:N,XLOOKUP(D1827,TicketsBreak!A:A,TicketsBreak!E:E,"",0),0)</f>
        <v>0.4166666667</v>
      </c>
      <c r="I1827" s="316">
        <f t="array" ref="I1827">XLOOKUP(B1827,Roster!L:L,Roster!O:O,XLOOKUP(D1827,TicketsBreak!A:A,TicketsBreak!F:F,"",0),0)</f>
        <v>0.5208333333</v>
      </c>
      <c r="J1827" s="316">
        <f t="array" ref="J1827">XLOOKUP(B1827,Roster!L:L,Roster!P:P,XLOOKUP(D1827,TicketsBreak!A:A,TicketsBreak!G:G,"",0),0)</f>
        <v>0.65625</v>
      </c>
      <c r="K1827" s="310">
        <f t="shared" si="4"/>
        <v>46128</v>
      </c>
      <c r="L1827" s="317">
        <f t="array" ref="L1827">(XLOOKUP(D1827,Roster!F:F,Roster!D:D,"",0))</f>
        <v>7</v>
      </c>
      <c r="M1827" s="317" t="str">
        <f t="array" ref="M1827">XLOOKUP(D1827,Roster!F:F,Roster!E:E)</f>
        <v>Tickets</v>
      </c>
      <c r="N1827" s="317" t="str">
        <f t="shared" ref="N1827:P1827" si="1855">LEFT(H1827,5)</f>
        <v>10:00</v>
      </c>
      <c r="O1827" s="317" t="str">
        <f t="shared" si="1855"/>
        <v>12:30</v>
      </c>
      <c r="P1827" s="317" t="str">
        <f t="shared" si="1855"/>
        <v>15:45</v>
      </c>
      <c r="Q1827" s="318">
        <f t="shared" si="1799"/>
        <v>46128.41667</v>
      </c>
      <c r="R1827" s="318">
        <f t="shared" si="1800"/>
        <v>46128.52083</v>
      </c>
      <c r="S1827" s="318">
        <f t="shared" si="8"/>
        <v>46128.65625</v>
      </c>
    </row>
    <row r="1828">
      <c r="A1828" s="14" t="str">
        <f t="shared" si="1"/>
        <v>C157446128</v>
      </c>
      <c r="B1828" s="185">
        <f t="array" ref="B1828">IF(F1828="VL","",IF(F1828="Free","Free",XLOOKUP(D1828,Roster!T:T,Roster!S:S,"",0)))</f>
        <v>124</v>
      </c>
      <c r="C1828" s="313">
        <v>46128.0</v>
      </c>
      <c r="D1828" s="314" t="s">
        <v>12</v>
      </c>
      <c r="E1828" s="307" t="str">
        <f t="array" ref="E1828">(XLOOKUP(D1828,Roster!F:F,Roster!B:B,"",0))</f>
        <v>Ana Quintero</v>
      </c>
      <c r="F1828" s="315" t="str">
        <f t="array" ref="F1828">IF(B1828=100,"Free",TEXT(XLOOKUP($D1828,OperationVoice!$A:$A,OperationVoice!V:V,XLOOKUP($D1828,OperationTickets!$A:$A,OperationTickets!V:V,"",0)),"hh:mm"))</f>
        <v>08:00</v>
      </c>
      <c r="G1828" s="309">
        <f t="shared" si="3"/>
        <v>0.7083333333</v>
      </c>
      <c r="H1828" s="316" t="str">
        <f t="array" ref="H1828">XLOOKUP(B1828,Roster!L:L,Roster!N:N,XLOOKUP(D1828,TicketsBreak!A:A,TicketsBreak!E:E,"",0),0)</f>
        <v>10:00 - 10:15</v>
      </c>
      <c r="I1828" s="316" t="str">
        <f t="array" ref="I1828">XLOOKUP(B1828,Roster!L:L,Roster!O:O,XLOOKUP(D1828,TicketsBreak!A:A,TicketsBreak!F:F,"",0),0)</f>
        <v>13:00 - 13:30</v>
      </c>
      <c r="J1828" s="316" t="str">
        <f t="array" ref="J1828">XLOOKUP(B1828,Roster!L:L,Roster!P:P,XLOOKUP(D1828,TicketsBreak!A:A,TicketsBreak!G:G,"",0),0)</f>
        <v>15:30 - 15:45</v>
      </c>
      <c r="K1828" s="310">
        <f t="shared" si="4"/>
        <v>46128</v>
      </c>
      <c r="L1828" s="317">
        <f t="array" ref="L1828">(XLOOKUP(D1828,Roster!F:F,Roster!D:D,"",0))</f>
        <v>38</v>
      </c>
      <c r="M1828" s="317" t="str">
        <f t="array" ref="M1828">XLOOKUP(D1828,Roster!F:F,Roster!E:E)</f>
        <v>Voice</v>
      </c>
      <c r="N1828" s="317" t="str">
        <f t="shared" ref="N1828:P1828" si="1856">LEFT(H1828,5)</f>
        <v>10:00</v>
      </c>
      <c r="O1828" s="317" t="str">
        <f t="shared" si="1856"/>
        <v>13:00</v>
      </c>
      <c r="P1828" s="317" t="str">
        <f t="shared" si="1856"/>
        <v>15:30</v>
      </c>
      <c r="Q1828" s="318">
        <f t="shared" si="1799"/>
        <v>46128.41667</v>
      </c>
      <c r="R1828" s="318">
        <f t="shared" si="1800"/>
        <v>46128.54167</v>
      </c>
      <c r="S1828" s="318">
        <f t="shared" si="8"/>
        <v>46128.64583</v>
      </c>
    </row>
    <row r="1829">
      <c r="A1829" s="14" t="str">
        <f t="shared" si="1"/>
        <v>C46946128</v>
      </c>
      <c r="B1829" s="185" t="str">
        <f t="array" ref="B1829">IF(F1829="VL","",IF(F1829="Free","Free",XLOOKUP(D1829,Roster!T:T,Roster!S:S,"",0)))</f>
        <v/>
      </c>
      <c r="C1829" s="313">
        <v>46128.0</v>
      </c>
      <c r="D1829" s="314" t="s">
        <v>171</v>
      </c>
      <c r="E1829" s="307" t="str">
        <f t="array" ref="E1829">(XLOOKUP(D1829,Roster!F:F,Roster!B:B,"",0))</f>
        <v>Ana Ruiz</v>
      </c>
      <c r="F1829" s="315" t="str">
        <f t="array" ref="F1829">IF(B1829=100,"Free",TEXT(XLOOKUP($D1829,OperationVoice!$A:$A,OperationVoice!V:V,XLOOKUP($D1829,OperationTickets!$A:$A,OperationTickets!V:V,"",0)),"hh:mm"))</f>
        <v>08:00</v>
      </c>
      <c r="G1829" s="309">
        <f t="shared" si="3"/>
        <v>0.7083333333</v>
      </c>
      <c r="H1829" s="316">
        <f t="array" ref="H1829">XLOOKUP(B1829,Roster!L:L,Roster!N:N,XLOOKUP(D1829,TicketsBreak!A:A,TicketsBreak!E:E,"",0),0)</f>
        <v>0.3854166667</v>
      </c>
      <c r="I1829" s="316">
        <f t="array" ref="I1829">XLOOKUP(B1829,Roster!L:L,Roster!O:O,XLOOKUP(D1829,TicketsBreak!A:A,TicketsBreak!F:F,"",0),0)</f>
        <v>0.5</v>
      </c>
      <c r="J1829" s="316">
        <f t="array" ref="J1829">XLOOKUP(B1829,Roster!L:L,Roster!P:P,XLOOKUP(D1829,TicketsBreak!A:A,TicketsBreak!G:G,"",0),0)</f>
        <v>0.6041666667</v>
      </c>
      <c r="K1829" s="310">
        <f t="shared" si="4"/>
        <v>46128</v>
      </c>
      <c r="L1829" s="317">
        <f t="array" ref="L1829">(XLOOKUP(D1829,Roster!F:F,Roster!D:D,"",0))</f>
        <v>3</v>
      </c>
      <c r="M1829" s="317" t="str">
        <f t="array" ref="M1829">XLOOKUP(D1829,Roster!F:F,Roster!E:E)</f>
        <v>Tickets</v>
      </c>
      <c r="N1829" s="317" t="str">
        <f t="shared" ref="N1829:P1829" si="1857">LEFT(H1829,5)</f>
        <v>09:15</v>
      </c>
      <c r="O1829" s="317" t="str">
        <f t="shared" si="1857"/>
        <v>12:00</v>
      </c>
      <c r="P1829" s="317" t="str">
        <f t="shared" si="1857"/>
        <v>14:30</v>
      </c>
      <c r="Q1829" s="318">
        <f t="shared" si="1799"/>
        <v>46128.38542</v>
      </c>
      <c r="R1829" s="318">
        <f t="shared" si="1800"/>
        <v>46128.5</v>
      </c>
      <c r="S1829" s="318">
        <f t="shared" si="8"/>
        <v>46128.60417</v>
      </c>
    </row>
    <row r="1830">
      <c r="A1830" s="14" t="str">
        <f t="shared" si="1"/>
        <v>C155446128</v>
      </c>
      <c r="B1830" s="185">
        <f t="array" ref="B1830">IF(F1830="VL","",IF(F1830="Free","Free",XLOOKUP(D1830,Roster!T:T,Roster!S:S,"",0)))</f>
        <v>131</v>
      </c>
      <c r="C1830" s="313">
        <v>46128.0</v>
      </c>
      <c r="D1830" s="314" t="s">
        <v>13</v>
      </c>
      <c r="E1830" s="307" t="str">
        <f t="array" ref="E1830">(XLOOKUP(D1830,Roster!F:F,Roster!B:B,"",0))</f>
        <v>Andres Lopez</v>
      </c>
      <c r="F1830" s="315" t="str">
        <f t="array" ref="F1830">IF(B1830=100,"Free",TEXT(XLOOKUP($D1830,OperationVoice!$A:$A,OperationVoice!V:V,XLOOKUP($D1830,OperationTickets!$A:$A,OperationTickets!V:V,"",0)),"hh:mm"))</f>
        <v>09:00</v>
      </c>
      <c r="G1830" s="309">
        <f t="shared" si="3"/>
        <v>0.75</v>
      </c>
      <c r="H1830" s="316" t="str">
        <f t="array" ref="H1830">XLOOKUP(B1830,Roster!L:L,Roster!N:N,XLOOKUP(D1830,TicketsBreak!A:A,TicketsBreak!E:E,"",0),0)</f>
        <v>10:15 - 10:30</v>
      </c>
      <c r="I1830" s="316" t="str">
        <f t="array" ref="I1830">XLOOKUP(B1830,Roster!L:L,Roster!O:O,XLOOKUP(D1830,TicketsBreak!A:A,TicketsBreak!F:F,"",0),0)</f>
        <v>12:30 - 13:00</v>
      </c>
      <c r="J1830" s="316" t="str">
        <f t="array" ref="J1830">XLOOKUP(B1830,Roster!L:L,Roster!P:P,XLOOKUP(D1830,TicketsBreak!A:A,TicketsBreak!G:G,"",0),0)</f>
        <v>15:15 - 15:30</v>
      </c>
      <c r="K1830" s="310">
        <f t="shared" si="4"/>
        <v>46128</v>
      </c>
      <c r="L1830" s="317">
        <f t="array" ref="L1830">(XLOOKUP(D1830,Roster!F:F,Roster!D:D,"",0))</f>
        <v>37</v>
      </c>
      <c r="M1830" s="317" t="str">
        <f t="array" ref="M1830">XLOOKUP(D1830,Roster!F:F,Roster!E:E)</f>
        <v>Voice</v>
      </c>
      <c r="N1830" s="317" t="str">
        <f t="shared" ref="N1830:P1830" si="1858">LEFT(H1830,5)</f>
        <v>10:15</v>
      </c>
      <c r="O1830" s="317" t="str">
        <f t="shared" si="1858"/>
        <v>12:30</v>
      </c>
      <c r="P1830" s="317" t="str">
        <f t="shared" si="1858"/>
        <v>15:15</v>
      </c>
      <c r="Q1830" s="318">
        <f t="shared" si="1799"/>
        <v>46128.42708</v>
      </c>
      <c r="R1830" s="318">
        <f t="shared" si="1800"/>
        <v>46128.52083</v>
      </c>
      <c r="S1830" s="318">
        <f t="shared" si="8"/>
        <v>46128.63542</v>
      </c>
    </row>
    <row r="1831">
      <c r="A1831" s="14" t="str">
        <f t="shared" si="1"/>
        <v>C156746128</v>
      </c>
      <c r="B1831" s="185">
        <f t="array" ref="B1831">IF(F1831="VL","",IF(F1831="Free","Free",XLOOKUP(D1831,Roster!T:T,Roster!S:S,"",0)))</f>
        <v>125</v>
      </c>
      <c r="C1831" s="313">
        <v>46128.0</v>
      </c>
      <c r="D1831" s="314" t="s">
        <v>14</v>
      </c>
      <c r="E1831" s="307" t="str">
        <f t="array" ref="E1831">(XLOOKUP(D1831,Roster!F:F,Roster!B:B,"",0))</f>
        <v>Andres Salazar</v>
      </c>
      <c r="F1831" s="315" t="str">
        <f t="array" ref="F1831">IF(B1831=100,"Free",TEXT(XLOOKUP($D1831,OperationVoice!$A:$A,OperationVoice!V:V,XLOOKUP($D1831,OperationTickets!$A:$A,OperationTickets!V:V,"",0)),"hh:mm"))</f>
        <v>08:00</v>
      </c>
      <c r="G1831" s="309">
        <f t="shared" si="3"/>
        <v>0.7083333333</v>
      </c>
      <c r="H1831" s="316" t="str">
        <f t="array" ref="H1831">XLOOKUP(B1831,Roster!L:L,Roster!N:N,XLOOKUP(D1831,TicketsBreak!A:A,TicketsBreak!E:E,"",0),0)</f>
        <v>10:30 - 10:45</v>
      </c>
      <c r="I1831" s="316" t="str">
        <f t="array" ref="I1831">XLOOKUP(B1831,Roster!L:L,Roster!O:O,XLOOKUP(D1831,TicketsBreak!A:A,TicketsBreak!F:F,"",0),0)</f>
        <v>13:30 - 14:00</v>
      </c>
      <c r="J1831" s="316" t="str">
        <f t="array" ref="J1831">XLOOKUP(B1831,Roster!L:L,Roster!P:P,XLOOKUP(D1831,TicketsBreak!A:A,TicketsBreak!G:G,"",0),0)</f>
        <v>15:45 - 16:00</v>
      </c>
      <c r="K1831" s="310">
        <f t="shared" si="4"/>
        <v>46128</v>
      </c>
      <c r="L1831" s="317">
        <f t="array" ref="L1831">(XLOOKUP(D1831,Roster!F:F,Roster!D:D,"",0))</f>
        <v>38</v>
      </c>
      <c r="M1831" s="317" t="str">
        <f t="array" ref="M1831">XLOOKUP(D1831,Roster!F:F,Roster!E:E)</f>
        <v>Voice</v>
      </c>
      <c r="N1831" s="317" t="str">
        <f t="shared" ref="N1831:P1831" si="1859">LEFT(H1831,5)</f>
        <v>10:30</v>
      </c>
      <c r="O1831" s="317" t="str">
        <f t="shared" si="1859"/>
        <v>13:30</v>
      </c>
      <c r="P1831" s="317" t="str">
        <f t="shared" si="1859"/>
        <v>15:45</v>
      </c>
      <c r="Q1831" s="318">
        <f t="shared" si="1799"/>
        <v>46128.4375</v>
      </c>
      <c r="R1831" s="318">
        <f t="shared" si="1800"/>
        <v>46128.5625</v>
      </c>
      <c r="S1831" s="318">
        <f t="shared" si="8"/>
        <v>46128.65625</v>
      </c>
    </row>
    <row r="1832">
      <c r="A1832" s="14" t="str">
        <f t="shared" si="1"/>
        <v>C134846128</v>
      </c>
      <c r="B1832" s="185">
        <f t="array" ref="B1832">IF(F1832="VL","",IF(F1832="Free","Free",XLOOKUP(D1832,Roster!T:T,Roster!S:S,"",0)))</f>
        <v>124</v>
      </c>
      <c r="C1832" s="313">
        <v>46128.0</v>
      </c>
      <c r="D1832" s="314" t="s">
        <v>15</v>
      </c>
      <c r="E1832" s="307" t="str">
        <f t="array" ref="E1832">(XLOOKUP(D1832,Roster!F:F,Roster!B:B,"",0))</f>
        <v>Angelo Zapata</v>
      </c>
      <c r="F1832" s="315" t="str">
        <f t="array" ref="F1832">IF(B1832=100,"Free",TEXT(XLOOKUP($D1832,OperationVoice!$A:$A,OperationVoice!V:V,XLOOKUP($D1832,OperationTickets!$A:$A,OperationTickets!V:V,"",0)),"hh:mm"))</f>
        <v>08:00</v>
      </c>
      <c r="G1832" s="309">
        <f t="shared" si="3"/>
        <v>0.7083333333</v>
      </c>
      <c r="H1832" s="316" t="str">
        <f t="array" ref="H1832">XLOOKUP(B1832,Roster!L:L,Roster!N:N,XLOOKUP(D1832,TicketsBreak!A:A,TicketsBreak!E:E,"",0),0)</f>
        <v>10:00 - 10:15</v>
      </c>
      <c r="I1832" s="316" t="str">
        <f t="array" ref="I1832">XLOOKUP(B1832,Roster!L:L,Roster!O:O,XLOOKUP(D1832,TicketsBreak!A:A,TicketsBreak!F:F,"",0),0)</f>
        <v>13:00 - 13:30</v>
      </c>
      <c r="J1832" s="316" t="str">
        <f t="array" ref="J1832">XLOOKUP(B1832,Roster!L:L,Roster!P:P,XLOOKUP(D1832,TicketsBreak!A:A,TicketsBreak!G:G,"",0),0)</f>
        <v>15:30 - 15:45</v>
      </c>
      <c r="K1832" s="310">
        <f t="shared" si="4"/>
        <v>46128</v>
      </c>
      <c r="L1832" s="317">
        <f t="array" ref="L1832">(XLOOKUP(D1832,Roster!F:F,Roster!D:D,"",0))</f>
        <v>30</v>
      </c>
      <c r="M1832" s="317" t="str">
        <f t="array" ref="M1832">XLOOKUP(D1832,Roster!F:F,Roster!E:E)</f>
        <v>Voice</v>
      </c>
      <c r="N1832" s="317" t="str">
        <f t="shared" ref="N1832:P1832" si="1860">LEFT(H1832,5)</f>
        <v>10:00</v>
      </c>
      <c r="O1832" s="317" t="str">
        <f t="shared" si="1860"/>
        <v>13:00</v>
      </c>
      <c r="P1832" s="317" t="str">
        <f t="shared" si="1860"/>
        <v>15:30</v>
      </c>
      <c r="Q1832" s="318">
        <f t="shared" si="1799"/>
        <v>46128.41667</v>
      </c>
      <c r="R1832" s="318">
        <f t="shared" si="1800"/>
        <v>46128.54167</v>
      </c>
      <c r="S1832" s="318">
        <f t="shared" si="8"/>
        <v>46128.64583</v>
      </c>
    </row>
    <row r="1833">
      <c r="A1833" s="14" t="str">
        <f t="shared" si="1"/>
        <v>C116746128</v>
      </c>
      <c r="B1833" s="185" t="str">
        <f t="array" ref="B1833">IF(F1833="VL","",IF(F1833="Free","Free",XLOOKUP(D1833,Roster!T:T,Roster!S:S,"",0)))</f>
        <v/>
      </c>
      <c r="C1833" s="313">
        <v>46128.0</v>
      </c>
      <c r="D1833" s="314" t="s">
        <v>172</v>
      </c>
      <c r="E1833" s="307" t="str">
        <f t="array" ref="E1833">(XLOOKUP(D1833,Roster!F:F,Roster!B:B,"",0))</f>
        <v>Angie Rua</v>
      </c>
      <c r="F1833" s="315" t="str">
        <f t="array" ref="F1833">IF(B1833=100,"Free",TEXT(XLOOKUP($D1833,OperationVoice!$A:$A,OperationVoice!V:V,XLOOKUP($D1833,OperationTickets!$A:$A,OperationTickets!V:V,"",0)),"hh:mm"))</f>
        <v>07:00</v>
      </c>
      <c r="G1833" s="309">
        <f t="shared" si="3"/>
        <v>0.6666666667</v>
      </c>
      <c r="H1833" s="316" t="str">
        <f t="array" ref="H1833">XLOOKUP(B1833,Roster!L:L,Roster!N:N,XLOOKUP(D1833,TicketsBreak!A:A,TicketsBreak!E:E,"",0),0)</f>
        <v/>
      </c>
      <c r="I1833" s="316" t="str">
        <f t="array" ref="I1833">XLOOKUP(B1833,Roster!L:L,Roster!O:O,XLOOKUP(D1833,TicketsBreak!A:A,TicketsBreak!F:F,"",0),0)</f>
        <v/>
      </c>
      <c r="J1833" s="316" t="str">
        <f t="array" ref="J1833">XLOOKUP(B1833,Roster!L:L,Roster!P:P,XLOOKUP(D1833,TicketsBreak!A:A,TicketsBreak!G:G,"",0),0)</f>
        <v/>
      </c>
      <c r="K1833" s="310">
        <f t="shared" si="4"/>
        <v>46128</v>
      </c>
      <c r="L1833" s="317">
        <f t="array" ref="L1833">(XLOOKUP(D1833,Roster!F:F,Roster!D:D,"",0))</f>
        <v>24</v>
      </c>
      <c r="M1833" s="317" t="str">
        <f t="array" ref="M1833">XLOOKUP(D1833,Roster!F:F,Roster!E:E)</f>
        <v>Tickets</v>
      </c>
      <c r="N1833" s="317" t="str">
        <f t="shared" ref="N1833:P1833" si="1861">LEFT(H1833,5)</f>
        <v/>
      </c>
      <c r="O1833" s="317" t="str">
        <f t="shared" si="1861"/>
        <v/>
      </c>
      <c r="P1833" s="317" t="str">
        <f t="shared" si="1861"/>
        <v/>
      </c>
      <c r="Q1833" s="318" t="str">
        <f t="shared" si="1799"/>
        <v/>
      </c>
      <c r="R1833" s="318" t="str">
        <f t="shared" si="1800"/>
        <v/>
      </c>
      <c r="S1833" s="318" t="str">
        <f t="shared" si="8"/>
        <v/>
      </c>
    </row>
    <row r="1834">
      <c r="A1834" s="14" t="str">
        <f t="shared" si="1"/>
        <v>C157946128</v>
      </c>
      <c r="B1834" s="185">
        <f t="array" ref="B1834">IF(F1834="VL","",IF(F1834="Free","Free",XLOOKUP(D1834,Roster!T:T,Roster!S:S,"",0)))</f>
        <v>126</v>
      </c>
      <c r="C1834" s="313">
        <v>46128.0</v>
      </c>
      <c r="D1834" s="314" t="s">
        <v>16</v>
      </c>
      <c r="E1834" s="307" t="str">
        <f t="array" ref="E1834">(XLOOKUP(D1834,Roster!F:F,Roster!B:B,"",0))</f>
        <v>Anibal Munoz</v>
      </c>
      <c r="F1834" s="315" t="str">
        <f t="array" ref="F1834">IF(B1834=100,"Free",TEXT(XLOOKUP($D1834,OperationVoice!$A:$A,OperationVoice!V:V,XLOOKUP($D1834,OperationTickets!$A:$A,OperationTickets!V:V,"",0)),"hh:mm"))</f>
        <v>08:00</v>
      </c>
      <c r="G1834" s="309">
        <f t="shared" si="3"/>
        <v>0.7083333333</v>
      </c>
      <c r="H1834" s="316" t="str">
        <f t="array" ref="H1834">XLOOKUP(B1834,Roster!L:L,Roster!N:N,XLOOKUP(D1834,TicketsBreak!A:A,TicketsBreak!E:E,"",0),0)</f>
        <v>10:45 - 11:00</v>
      </c>
      <c r="I1834" s="316" t="str">
        <f t="array" ref="I1834">XLOOKUP(B1834,Roster!L:L,Roster!O:O,XLOOKUP(D1834,TicketsBreak!A:A,TicketsBreak!F:F,"",0),0)</f>
        <v>14:00 - 14:30</v>
      </c>
      <c r="J1834" s="316" t="str">
        <f t="array" ref="J1834">XLOOKUP(B1834,Roster!L:L,Roster!P:P,XLOOKUP(D1834,TicketsBreak!A:A,TicketsBreak!G:G,"",0),0)</f>
        <v>15:45 - 16:00</v>
      </c>
      <c r="K1834" s="310">
        <f t="shared" si="4"/>
        <v>46128</v>
      </c>
      <c r="L1834" s="317">
        <f t="array" ref="L1834">(XLOOKUP(D1834,Roster!F:F,Roster!D:D,"",0))</f>
        <v>38</v>
      </c>
      <c r="M1834" s="317" t="str">
        <f t="array" ref="M1834">XLOOKUP(D1834,Roster!F:F,Roster!E:E)</f>
        <v>Voice</v>
      </c>
      <c r="N1834" s="317" t="str">
        <f t="shared" ref="N1834:P1834" si="1862">LEFT(H1834,5)</f>
        <v>10:45</v>
      </c>
      <c r="O1834" s="317" t="str">
        <f t="shared" si="1862"/>
        <v>14:00</v>
      </c>
      <c r="P1834" s="317" t="str">
        <f t="shared" si="1862"/>
        <v>15:45</v>
      </c>
      <c r="Q1834" s="318">
        <f t="shared" si="1799"/>
        <v>46128.44792</v>
      </c>
      <c r="R1834" s="318">
        <f t="shared" si="1800"/>
        <v>46128.58333</v>
      </c>
      <c r="S1834" s="318">
        <f t="shared" si="8"/>
        <v>46128.65625</v>
      </c>
    </row>
    <row r="1835">
      <c r="A1835" s="14" t="str">
        <f t="shared" si="1"/>
        <v>C08046128</v>
      </c>
      <c r="B1835" s="185" t="str">
        <f t="array" ref="B1835">IF(F1835="VL","",IF(F1835="Free","Free",XLOOKUP(D1835,Roster!T:T,Roster!S:S,"",0)))</f>
        <v/>
      </c>
      <c r="C1835" s="313">
        <v>46128.0</v>
      </c>
      <c r="D1835" s="314" t="s">
        <v>138</v>
      </c>
      <c r="E1835" s="307" t="str">
        <f t="array" ref="E1835">(XLOOKUP(D1835,Roster!F:F,Roster!B:B,"",0))</f>
        <v>Arturo Padilla</v>
      </c>
      <c r="F1835" s="315" t="str">
        <f t="array" ref="F1835">IF(B1835=100,"Free",TEXT(XLOOKUP($D1835,OperationVoice!$A:$A,OperationVoice!V:V,XLOOKUP($D1835,OperationTickets!$A:$A,OperationTickets!V:V,"",0)),"hh:mm"))</f>
        <v>08:00</v>
      </c>
      <c r="G1835" s="309">
        <f t="shared" si="3"/>
        <v>0.7083333333</v>
      </c>
      <c r="H1835" s="316">
        <f t="array" ref="H1835">XLOOKUP(B1835,Roster!L:L,Roster!N:N,XLOOKUP(D1835,TicketsBreak!A:A,TicketsBreak!E:E,"",0),0)</f>
        <v>0.375</v>
      </c>
      <c r="I1835" s="316">
        <f t="array" ref="I1835">XLOOKUP(B1835,Roster!L:L,Roster!O:O,XLOOKUP(D1835,TicketsBreak!A:A,TicketsBreak!F:F,"",0),0)</f>
        <v>0.5</v>
      </c>
      <c r="J1835" s="316">
        <f t="array" ref="J1835">XLOOKUP(B1835,Roster!L:L,Roster!P:P,XLOOKUP(D1835,TicketsBreak!A:A,TicketsBreak!G:G,"",0),0)</f>
        <v>0.6458333333</v>
      </c>
      <c r="K1835" s="310">
        <f t="shared" si="4"/>
        <v>46128</v>
      </c>
      <c r="L1835" s="317">
        <f t="array" ref="L1835">(XLOOKUP(D1835,Roster!F:F,Roster!D:D,"",0))</f>
        <v>1</v>
      </c>
      <c r="M1835" s="317" t="str">
        <f t="array" ref="M1835">XLOOKUP(D1835,Roster!F:F,Roster!E:E)</f>
        <v>Tickets</v>
      </c>
      <c r="N1835" s="317" t="str">
        <f t="shared" ref="N1835:P1835" si="1863">LEFT(H1835,5)</f>
        <v>09:00</v>
      </c>
      <c r="O1835" s="317" t="str">
        <f t="shared" si="1863"/>
        <v>12:00</v>
      </c>
      <c r="P1835" s="317" t="str">
        <f t="shared" si="1863"/>
        <v>15:30</v>
      </c>
      <c r="Q1835" s="318">
        <f t="shared" si="1799"/>
        <v>46128.375</v>
      </c>
      <c r="R1835" s="318">
        <f t="shared" si="1800"/>
        <v>46128.5</v>
      </c>
      <c r="S1835" s="318">
        <f t="shared" si="8"/>
        <v>46128.64583</v>
      </c>
    </row>
    <row r="1836">
      <c r="A1836" s="14" t="str">
        <f t="shared" si="1"/>
        <v>C150446128</v>
      </c>
      <c r="B1836" s="185" t="str">
        <f t="array" ref="B1836">IF(F1836="VL","",IF(F1836="Free","Free",XLOOKUP(D1836,Roster!T:T,Roster!S:S,"",0)))</f>
        <v>Free</v>
      </c>
      <c r="C1836" s="313">
        <v>46128.0</v>
      </c>
      <c r="D1836" s="314" t="s">
        <v>155</v>
      </c>
      <c r="E1836" s="307" t="str">
        <f t="array" ref="E1836">(XLOOKUP(D1836,Roster!F:F,Roster!B:B,"",0))</f>
        <v>Beatriz Montanez</v>
      </c>
      <c r="F1836" s="315" t="str">
        <f t="array" ref="F1836">IF(B1836=100,"Free",TEXT(XLOOKUP($D1836,OperationVoice!$A:$A,OperationVoice!V:V,XLOOKUP($D1836,OperationTickets!$A:$A,OperationTickets!V:V,"",0)),"hh:mm"))</f>
        <v>Free</v>
      </c>
      <c r="G1836" s="309" t="str">
        <f t="shared" si="3"/>
        <v>Free</v>
      </c>
      <c r="H1836" s="316" t="str">
        <f t="array" ref="H1836">XLOOKUP(B1836,Roster!L:L,Roster!N:N,XLOOKUP(D1836,TicketsBreak!A:A,TicketsBreak!E:E,"",0),0)</f>
        <v/>
      </c>
      <c r="I1836" s="316" t="str">
        <f t="array" ref="I1836">XLOOKUP(B1836,Roster!L:L,Roster!O:O,XLOOKUP(D1836,TicketsBreak!A:A,TicketsBreak!F:F,"",0),0)</f>
        <v/>
      </c>
      <c r="J1836" s="316" t="str">
        <f t="array" ref="J1836">XLOOKUP(B1836,Roster!L:L,Roster!P:P,XLOOKUP(D1836,TicketsBreak!A:A,TicketsBreak!G:G,"",0),0)</f>
        <v/>
      </c>
      <c r="K1836" s="310">
        <f t="shared" si="4"/>
        <v>46128</v>
      </c>
      <c r="L1836" s="317">
        <f t="array" ref="L1836">(XLOOKUP(D1836,Roster!F:F,Roster!D:D,"",0))</f>
        <v>35</v>
      </c>
      <c r="M1836" s="317" t="str">
        <f t="array" ref="M1836">XLOOKUP(D1836,Roster!F:F,Roster!E:E)</f>
        <v>Tickets</v>
      </c>
      <c r="N1836" s="317" t="str">
        <f t="shared" ref="N1836:P1836" si="1864">LEFT(H1836,5)</f>
        <v/>
      </c>
      <c r="O1836" s="317" t="str">
        <f t="shared" si="1864"/>
        <v/>
      </c>
      <c r="P1836" s="317" t="str">
        <f t="shared" si="1864"/>
        <v/>
      </c>
      <c r="Q1836" s="318" t="str">
        <f t="shared" si="1799"/>
        <v/>
      </c>
      <c r="R1836" s="318" t="str">
        <f t="shared" si="1800"/>
        <v/>
      </c>
      <c r="S1836" s="318" t="str">
        <f t="shared" si="8"/>
        <v/>
      </c>
    </row>
    <row r="1837">
      <c r="A1837" s="14" t="str">
        <f t="shared" si="1"/>
        <v>C107746128</v>
      </c>
      <c r="B1837" s="185">
        <f t="array" ref="B1837">IF(F1837="VL","",IF(F1837="Free","Free",XLOOKUP(D1837,Roster!T:T,Roster!S:S,"",0)))</f>
        <v>125</v>
      </c>
      <c r="C1837" s="313">
        <v>46128.0</v>
      </c>
      <c r="D1837" s="314" t="s">
        <v>17</v>
      </c>
      <c r="E1837" s="307" t="str">
        <f t="array" ref="E1837">(XLOOKUP(D1837,Roster!F:F,Roster!B:B,"",0))</f>
        <v>Brahian Prado</v>
      </c>
      <c r="F1837" s="315" t="str">
        <f t="array" ref="F1837">IF(B1837=100,"Free",TEXT(XLOOKUP($D1837,OperationVoice!$A:$A,OperationVoice!V:V,XLOOKUP($D1837,OperationTickets!$A:$A,OperationTickets!V:V,"",0)),"hh:mm"))</f>
        <v>08:00</v>
      </c>
      <c r="G1837" s="309">
        <f t="shared" si="3"/>
        <v>0.7083333333</v>
      </c>
      <c r="H1837" s="316" t="str">
        <f t="array" ref="H1837">XLOOKUP(B1837,Roster!L:L,Roster!N:N,XLOOKUP(D1837,TicketsBreak!A:A,TicketsBreak!E:E,"",0),0)</f>
        <v>10:30 - 10:45</v>
      </c>
      <c r="I1837" s="316" t="str">
        <f t="array" ref="I1837">XLOOKUP(B1837,Roster!L:L,Roster!O:O,XLOOKUP(D1837,TicketsBreak!A:A,TicketsBreak!F:F,"",0),0)</f>
        <v>13:30 - 14:00</v>
      </c>
      <c r="J1837" s="316" t="str">
        <f t="array" ref="J1837">XLOOKUP(B1837,Roster!L:L,Roster!P:P,XLOOKUP(D1837,TicketsBreak!A:A,TicketsBreak!G:G,"",0),0)</f>
        <v>15:45 - 16:00</v>
      </c>
      <c r="K1837" s="310">
        <f t="shared" si="4"/>
        <v>46128</v>
      </c>
      <c r="L1837" s="317">
        <f t="array" ref="L1837">(XLOOKUP(D1837,Roster!F:F,Roster!D:D,"",0))</f>
        <v>18</v>
      </c>
      <c r="M1837" s="317" t="str">
        <f t="array" ref="M1837">XLOOKUP(D1837,Roster!F:F,Roster!E:E)</f>
        <v>Voice</v>
      </c>
      <c r="N1837" s="317" t="str">
        <f t="shared" ref="N1837:P1837" si="1865">LEFT(H1837,5)</f>
        <v>10:30</v>
      </c>
      <c r="O1837" s="317" t="str">
        <f t="shared" si="1865"/>
        <v>13:30</v>
      </c>
      <c r="P1837" s="317" t="str">
        <f t="shared" si="1865"/>
        <v>15:45</v>
      </c>
      <c r="Q1837" s="318">
        <f t="shared" si="1799"/>
        <v>46128.4375</v>
      </c>
      <c r="R1837" s="318">
        <f t="shared" si="1800"/>
        <v>46128.5625</v>
      </c>
      <c r="S1837" s="318">
        <f t="shared" si="8"/>
        <v>46128.65625</v>
      </c>
    </row>
    <row r="1838">
      <c r="A1838" s="14" t="str">
        <f t="shared" si="1"/>
        <v>C116546128</v>
      </c>
      <c r="B1838" s="185" t="str">
        <f t="array" ref="B1838">IF(F1838="VL","",IF(F1838="Free","Free",XLOOKUP(D1838,Roster!T:T,Roster!S:S,"",0)))</f>
        <v>Free</v>
      </c>
      <c r="C1838" s="313">
        <v>46128.0</v>
      </c>
      <c r="D1838" s="314" t="s">
        <v>139</v>
      </c>
      <c r="E1838" s="307" t="str">
        <f t="array" ref="E1838">(XLOOKUP(D1838,Roster!F:F,Roster!B:B,"",0))</f>
        <v>Braian Restrepo</v>
      </c>
      <c r="F1838" s="315" t="str">
        <f t="array" ref="F1838">IF(B1838=100,"Free",TEXT(XLOOKUP($D1838,OperationVoice!$A:$A,OperationVoice!V:V,XLOOKUP($D1838,OperationTickets!$A:$A,OperationTickets!V:V,"",0)),"hh:mm"))</f>
        <v>Free</v>
      </c>
      <c r="G1838" s="309" t="str">
        <f t="shared" si="3"/>
        <v>Free</v>
      </c>
      <c r="H1838" s="316" t="str">
        <f t="array" ref="H1838">XLOOKUP(B1838,Roster!L:L,Roster!N:N,XLOOKUP(D1838,TicketsBreak!A:A,TicketsBreak!E:E,"",0),0)</f>
        <v/>
      </c>
      <c r="I1838" s="316" t="str">
        <f t="array" ref="I1838">XLOOKUP(B1838,Roster!L:L,Roster!O:O,XLOOKUP(D1838,TicketsBreak!A:A,TicketsBreak!F:F,"",0),0)</f>
        <v/>
      </c>
      <c r="J1838" s="316" t="str">
        <f t="array" ref="J1838">XLOOKUP(B1838,Roster!L:L,Roster!P:P,XLOOKUP(D1838,TicketsBreak!A:A,TicketsBreak!G:G,"",0),0)</f>
        <v/>
      </c>
      <c r="K1838" s="310">
        <f t="shared" si="4"/>
        <v>46128</v>
      </c>
      <c r="L1838" s="317">
        <f t="array" ref="L1838">(XLOOKUP(D1838,Roster!F:F,Roster!D:D,"",0))</f>
        <v>24</v>
      </c>
      <c r="M1838" s="317" t="str">
        <f t="array" ref="M1838">XLOOKUP(D1838,Roster!F:F,Roster!E:E)</f>
        <v>Tickets</v>
      </c>
      <c r="N1838" s="317" t="str">
        <f t="shared" ref="N1838:P1838" si="1866">LEFT(H1838,5)</f>
        <v/>
      </c>
      <c r="O1838" s="317" t="str">
        <f t="shared" si="1866"/>
        <v/>
      </c>
      <c r="P1838" s="317" t="str">
        <f t="shared" si="1866"/>
        <v/>
      </c>
      <c r="Q1838" s="318" t="str">
        <f t="shared" si="1799"/>
        <v/>
      </c>
      <c r="R1838" s="318" t="str">
        <f t="shared" si="1800"/>
        <v/>
      </c>
      <c r="S1838" s="318" t="str">
        <f t="shared" si="8"/>
        <v/>
      </c>
    </row>
    <row r="1839">
      <c r="A1839" s="14" t="str">
        <f t="shared" si="1"/>
        <v>C127446128</v>
      </c>
      <c r="B1839" s="185">
        <f t="array" ref="B1839">IF(F1839="VL","",IF(F1839="Free","Free",XLOOKUP(D1839,Roster!T:T,Roster!S:S,"",0)))</f>
        <v>126</v>
      </c>
      <c r="C1839" s="313">
        <v>46128.0</v>
      </c>
      <c r="D1839" s="314" t="s">
        <v>250</v>
      </c>
      <c r="E1839" s="307" t="str">
        <f t="array" ref="E1839">(XLOOKUP(D1839,Roster!F:F,Roster!B:B,"",0))</f>
        <v>Brayan Franco</v>
      </c>
      <c r="F1839" s="315" t="str">
        <f t="array" ref="F1839">IF(B1839=100,"Free",TEXT(XLOOKUP($D1839,OperationVoice!$A:$A,OperationVoice!V:V,XLOOKUP($D1839,OperationTickets!$A:$A,OperationTickets!V:V,"",0)),"hh:mm"))</f>
        <v/>
      </c>
      <c r="G1839" s="309" t="str">
        <f t="shared" si="3"/>
        <v/>
      </c>
      <c r="H1839" s="316" t="str">
        <f t="array" ref="H1839">XLOOKUP(B1839,Roster!L:L,Roster!N:N,XLOOKUP(D1839,TicketsBreak!A:A,TicketsBreak!E:E,"",0),0)</f>
        <v>10:45 - 11:00</v>
      </c>
      <c r="I1839" s="316" t="str">
        <f t="array" ref="I1839">XLOOKUP(B1839,Roster!L:L,Roster!O:O,XLOOKUP(D1839,TicketsBreak!A:A,TicketsBreak!F:F,"",0),0)</f>
        <v>14:00 - 14:30</v>
      </c>
      <c r="J1839" s="316" t="str">
        <f t="array" ref="J1839">XLOOKUP(B1839,Roster!L:L,Roster!P:P,XLOOKUP(D1839,TicketsBreak!A:A,TicketsBreak!G:G,"",0),0)</f>
        <v>15:45 - 16:00</v>
      </c>
      <c r="K1839" s="310">
        <f t="shared" si="4"/>
        <v>46128</v>
      </c>
      <c r="L1839" s="317">
        <f t="array" ref="L1839">(XLOOKUP(D1839,Roster!F:F,Roster!D:D,"",0))</f>
        <v>27</v>
      </c>
      <c r="M1839" s="317" t="str">
        <f t="array" ref="M1839">XLOOKUP(D1839,Roster!F:F,Roster!E:E)</f>
        <v>Voice</v>
      </c>
      <c r="N1839" s="317" t="str">
        <f t="shared" ref="N1839:P1839" si="1867">LEFT(H1839,5)</f>
        <v>10:45</v>
      </c>
      <c r="O1839" s="317" t="str">
        <f t="shared" si="1867"/>
        <v>14:00</v>
      </c>
      <c r="P1839" s="317" t="str">
        <f t="shared" si="1867"/>
        <v>15:45</v>
      </c>
      <c r="Q1839" s="318">
        <f t="shared" si="1799"/>
        <v>46128.44792</v>
      </c>
      <c r="R1839" s="318">
        <f t="shared" si="1800"/>
        <v>46128.58333</v>
      </c>
      <c r="S1839" s="318">
        <f t="shared" si="8"/>
        <v>46128.65625</v>
      </c>
    </row>
    <row r="1840">
      <c r="A1840" s="14" t="str">
        <f t="shared" si="1"/>
        <v>C119146128</v>
      </c>
      <c r="B1840" s="185">
        <f t="array" ref="B1840">IF(F1840="VL","",IF(F1840="Free","Free",XLOOKUP(D1840,Roster!T:T,Roster!S:S,"",0)))</f>
        <v>111</v>
      </c>
      <c r="C1840" s="313">
        <v>46128.0</v>
      </c>
      <c r="D1840" s="314" t="s">
        <v>18</v>
      </c>
      <c r="E1840" s="307" t="str">
        <f t="array" ref="E1840">(XLOOKUP(D1840,Roster!F:F,Roster!B:B,"",0))</f>
        <v>Brayan Montoya</v>
      </c>
      <c r="F1840" s="315" t="str">
        <f t="array" ref="F1840">IF(B1840=100,"Free",TEXT(XLOOKUP($D1840,OperationVoice!$A:$A,OperationVoice!V:V,XLOOKUP($D1840,OperationTickets!$A:$A,OperationTickets!V:V,"",0)),"hh:mm"))</f>
        <v>07:00</v>
      </c>
      <c r="G1840" s="309">
        <f t="shared" si="3"/>
        <v>0.6666666667</v>
      </c>
      <c r="H1840" s="316" t="str">
        <f t="array" ref="H1840">XLOOKUP(B1840,Roster!L:L,Roster!N:N,XLOOKUP(D1840,TicketsBreak!A:A,TicketsBreak!E:E,"",0),0)</f>
        <v>09:00 - 09:15</v>
      </c>
      <c r="I1840" s="316" t="str">
        <f t="array" ref="I1840">XLOOKUP(B1840,Roster!L:L,Roster!O:O,XLOOKUP(D1840,TicketsBreak!A:A,TicketsBreak!F:F,"",0),0)</f>
        <v>11:45 - 12:15</v>
      </c>
      <c r="J1840" s="316" t="str">
        <f t="array" ref="J1840">XLOOKUP(B1840,Roster!L:L,Roster!P:P,XLOOKUP(D1840,TicketsBreak!A:A,TicketsBreak!G:G,"",0),0)</f>
        <v>14:30 - 14:45</v>
      </c>
      <c r="K1840" s="310">
        <f t="shared" si="4"/>
        <v>46128</v>
      </c>
      <c r="L1840" s="317">
        <f t="array" ref="L1840">(XLOOKUP(D1840,Roster!F:F,Roster!D:D,"",0))</f>
        <v>25</v>
      </c>
      <c r="M1840" s="317" t="str">
        <f t="array" ref="M1840">XLOOKUP(D1840,Roster!F:F,Roster!E:E)</f>
        <v>Voice</v>
      </c>
      <c r="N1840" s="317" t="str">
        <f t="shared" ref="N1840:P1840" si="1868">LEFT(H1840,5)</f>
        <v>09:00</v>
      </c>
      <c r="O1840" s="317" t="str">
        <f t="shared" si="1868"/>
        <v>11:45</v>
      </c>
      <c r="P1840" s="317" t="str">
        <f t="shared" si="1868"/>
        <v>14:30</v>
      </c>
      <c r="Q1840" s="318">
        <f t="shared" si="1799"/>
        <v>46128.375</v>
      </c>
      <c r="R1840" s="318">
        <f t="shared" si="1800"/>
        <v>46128.48958</v>
      </c>
      <c r="S1840" s="318">
        <f t="shared" si="8"/>
        <v>46128.60417</v>
      </c>
    </row>
    <row r="1841">
      <c r="A1841" s="14" t="str">
        <f t="shared" si="1"/>
        <v>C152646128</v>
      </c>
      <c r="B1841" s="185">
        <f t="array" ref="B1841">IF(F1841="VL","",IF(F1841="Free","Free",XLOOKUP(D1841,Roster!T:T,Roster!S:S,"",0)))</f>
        <v>121</v>
      </c>
      <c r="C1841" s="313">
        <v>46128.0</v>
      </c>
      <c r="D1841" s="314" t="s">
        <v>19</v>
      </c>
      <c r="E1841" s="307" t="str">
        <f t="array" ref="E1841">(XLOOKUP(D1841,Roster!F:F,Roster!B:B,"",0))</f>
        <v>Breitner Benitez</v>
      </c>
      <c r="F1841" s="315" t="str">
        <f t="array" ref="F1841">IF(B1841=100,"Free",TEXT(XLOOKUP($D1841,OperationVoice!$A:$A,OperationVoice!V:V,XLOOKUP($D1841,OperationTickets!$A:$A,OperationTickets!V:V,"",0)),"hh:mm"))</f>
        <v>08:00</v>
      </c>
      <c r="G1841" s="309">
        <f t="shared" si="3"/>
        <v>0.7083333333</v>
      </c>
      <c r="H1841" s="316" t="str">
        <f t="array" ref="H1841">XLOOKUP(B1841,Roster!L:L,Roster!N:N,XLOOKUP(D1841,TicketsBreak!A:A,TicketsBreak!E:E,"",0),0)</f>
        <v>09:15 - 09:30</v>
      </c>
      <c r="I1841" s="316" t="str">
        <f t="array" ref="I1841">XLOOKUP(B1841,Roster!L:L,Roster!O:O,XLOOKUP(D1841,TicketsBreak!A:A,TicketsBreak!F:F,"",0),0)</f>
        <v>11:30 - 12:00</v>
      </c>
      <c r="J1841" s="316" t="str">
        <f t="array" ref="J1841">XLOOKUP(B1841,Roster!L:L,Roster!P:P,XLOOKUP(D1841,TicketsBreak!A:A,TicketsBreak!G:G,"",0),0)</f>
        <v>14:30 - 14:45</v>
      </c>
      <c r="K1841" s="310">
        <f t="shared" si="4"/>
        <v>46128</v>
      </c>
      <c r="L1841" s="317">
        <f t="array" ref="L1841">(XLOOKUP(D1841,Roster!F:F,Roster!D:D,"",0))</f>
        <v>13</v>
      </c>
      <c r="M1841" s="317" t="str">
        <f t="array" ref="M1841">XLOOKUP(D1841,Roster!F:F,Roster!E:E)</f>
        <v>Voice</v>
      </c>
      <c r="N1841" s="317" t="str">
        <f t="shared" ref="N1841:P1841" si="1869">LEFT(H1841,5)</f>
        <v>09:15</v>
      </c>
      <c r="O1841" s="317" t="str">
        <f t="shared" si="1869"/>
        <v>11:30</v>
      </c>
      <c r="P1841" s="317" t="str">
        <f t="shared" si="1869"/>
        <v>14:30</v>
      </c>
      <c r="Q1841" s="318">
        <f t="shared" si="1799"/>
        <v>46128.38542</v>
      </c>
      <c r="R1841" s="318">
        <f t="shared" si="1800"/>
        <v>46128.47917</v>
      </c>
      <c r="S1841" s="318">
        <f t="shared" si="8"/>
        <v>46128.60417</v>
      </c>
    </row>
    <row r="1842">
      <c r="A1842" s="14" t="str">
        <f t="shared" si="1"/>
        <v>C153546128</v>
      </c>
      <c r="B1842" s="185" t="str">
        <f t="array" ref="B1842">IF(F1842="VL","",IF(F1842="Free","Free",XLOOKUP(D1842,Roster!T:T,Roster!S:S,"",0)))</f>
        <v>Free</v>
      </c>
      <c r="C1842" s="313">
        <v>46128.0</v>
      </c>
      <c r="D1842" s="314" t="s">
        <v>20</v>
      </c>
      <c r="E1842" s="307" t="str">
        <f t="array" ref="E1842">(XLOOKUP(D1842,Roster!F:F,Roster!B:B,"",0))</f>
        <v>Carlos Alzate</v>
      </c>
      <c r="F1842" s="315" t="str">
        <f t="array" ref="F1842">IF(B1842=100,"Free",TEXT(XLOOKUP($D1842,OperationVoice!$A:$A,OperationVoice!V:V,XLOOKUP($D1842,OperationTickets!$A:$A,OperationTickets!V:V,"",0)),"hh:mm"))</f>
        <v>Free</v>
      </c>
      <c r="G1842" s="309" t="str">
        <f t="shared" si="3"/>
        <v>Free</v>
      </c>
      <c r="H1842" s="316" t="str">
        <f t="array" ref="H1842">XLOOKUP(B1842,Roster!L:L,Roster!N:N,XLOOKUP(D1842,TicketsBreak!A:A,TicketsBreak!E:E,"",0),0)</f>
        <v/>
      </c>
      <c r="I1842" s="316" t="str">
        <f t="array" ref="I1842">XLOOKUP(B1842,Roster!L:L,Roster!O:O,XLOOKUP(D1842,TicketsBreak!A:A,TicketsBreak!F:F,"",0),0)</f>
        <v/>
      </c>
      <c r="J1842" s="316" t="str">
        <f t="array" ref="J1842">XLOOKUP(B1842,Roster!L:L,Roster!P:P,XLOOKUP(D1842,TicketsBreak!A:A,TicketsBreak!G:G,"",0),0)</f>
        <v/>
      </c>
      <c r="K1842" s="310">
        <f t="shared" si="4"/>
        <v>46128</v>
      </c>
      <c r="L1842" s="317">
        <f t="array" ref="L1842">(XLOOKUP(D1842,Roster!F:F,Roster!D:D,"",0))</f>
        <v>36</v>
      </c>
      <c r="M1842" s="317" t="str">
        <f t="array" ref="M1842">XLOOKUP(D1842,Roster!F:F,Roster!E:E)</f>
        <v>Voice</v>
      </c>
      <c r="N1842" s="317" t="str">
        <f t="shared" ref="N1842:P1842" si="1870">LEFT(H1842,5)</f>
        <v/>
      </c>
      <c r="O1842" s="317" t="str">
        <f t="shared" si="1870"/>
        <v/>
      </c>
      <c r="P1842" s="317" t="str">
        <f t="shared" si="1870"/>
        <v/>
      </c>
      <c r="Q1842" s="318" t="str">
        <f t="shared" si="1799"/>
        <v/>
      </c>
      <c r="R1842" s="318" t="str">
        <f t="shared" si="1800"/>
        <v/>
      </c>
      <c r="S1842" s="318" t="str">
        <f t="shared" si="8"/>
        <v/>
      </c>
    </row>
    <row r="1843">
      <c r="A1843" s="14" t="str">
        <f t="shared" si="1"/>
        <v>C153146128</v>
      </c>
      <c r="B1843" s="185">
        <f t="array" ref="B1843">IF(F1843="VL","",IF(F1843="Free","Free",XLOOKUP(D1843,Roster!T:T,Roster!S:S,"",0)))</f>
        <v>123</v>
      </c>
      <c r="C1843" s="313">
        <v>46128.0</v>
      </c>
      <c r="D1843" s="314" t="s">
        <v>21</v>
      </c>
      <c r="E1843" s="307" t="str">
        <f t="array" ref="E1843">(XLOOKUP(D1843,Roster!F:F,Roster!B:B,"",0))</f>
        <v>Carlos Palma</v>
      </c>
      <c r="F1843" s="315" t="str">
        <f t="array" ref="F1843">IF(B1843=100,"Free",TEXT(XLOOKUP($D1843,OperationVoice!$A:$A,OperationVoice!V:V,XLOOKUP($D1843,OperationTickets!$A:$A,OperationTickets!V:V,"",0)),"hh:mm"))</f>
        <v>08:00</v>
      </c>
      <c r="G1843" s="309">
        <f t="shared" si="3"/>
        <v>0.7083333333</v>
      </c>
      <c r="H1843" s="316" t="str">
        <f t="array" ref="H1843">XLOOKUP(B1843,Roster!L:L,Roster!N:N,XLOOKUP(D1843,TicketsBreak!A:A,TicketsBreak!E:E,"",0),0)</f>
        <v>09:45 - 10:00 </v>
      </c>
      <c r="I1843" s="316" t="str">
        <f t="array" ref="I1843">XLOOKUP(B1843,Roster!L:L,Roster!O:O,XLOOKUP(D1843,TicketsBreak!A:A,TicketsBreak!F:F,"",0),0)</f>
        <v>12:30 - 13:00</v>
      </c>
      <c r="J1843" s="316" t="str">
        <f t="array" ref="J1843">XLOOKUP(B1843,Roster!L:L,Roster!P:P,XLOOKUP(D1843,TicketsBreak!A:A,TicketsBreak!G:G,"",0),0)</f>
        <v>15:00 - 15:15</v>
      </c>
      <c r="K1843" s="310">
        <f t="shared" si="4"/>
        <v>46128</v>
      </c>
      <c r="L1843" s="317">
        <f t="array" ref="L1843">(XLOOKUP(D1843,Roster!F:F,Roster!D:D,"",0))</f>
        <v>36</v>
      </c>
      <c r="M1843" s="317" t="str">
        <f t="array" ref="M1843">XLOOKUP(D1843,Roster!F:F,Roster!E:E)</f>
        <v>Voice</v>
      </c>
      <c r="N1843" s="317" t="str">
        <f t="shared" ref="N1843:P1843" si="1871">LEFT(H1843,5)</f>
        <v>09:45</v>
      </c>
      <c r="O1843" s="317" t="str">
        <f t="shared" si="1871"/>
        <v>12:30</v>
      </c>
      <c r="P1843" s="317" t="str">
        <f t="shared" si="1871"/>
        <v>15:00</v>
      </c>
      <c r="Q1843" s="318">
        <f t="shared" si="1799"/>
        <v>46128.40625</v>
      </c>
      <c r="R1843" s="318">
        <f t="shared" si="1800"/>
        <v>46128.52083</v>
      </c>
      <c r="S1843" s="318">
        <f t="shared" si="8"/>
        <v>46128.625</v>
      </c>
    </row>
    <row r="1844">
      <c r="A1844" s="14" t="str">
        <f t="shared" si="1"/>
        <v>C157646128</v>
      </c>
      <c r="B1844" s="185" t="str">
        <f t="array" ref="B1844">IF(F1844="VL","",IF(F1844="Free","Free",XLOOKUP(D1844,Roster!T:T,Roster!S:S,"",0)))</f>
        <v/>
      </c>
      <c r="C1844" s="313">
        <v>46128.0</v>
      </c>
      <c r="D1844" s="314" t="s">
        <v>313</v>
      </c>
      <c r="E1844" s="307" t="str">
        <f t="array" ref="E1844">(XLOOKUP(D1844,Roster!F:F,Roster!B:B,"",0))</f>
        <v>Carlos Ruiz</v>
      </c>
      <c r="F1844" s="315" t="str">
        <f t="array" ref="F1844">IF(B1844=100,"Free",TEXT(XLOOKUP($D1844,OperationVoice!$A:$A,OperationVoice!V:V,XLOOKUP($D1844,OperationTickets!$A:$A,OperationTickets!V:V,"",0)),"hh:mm"))</f>
        <v/>
      </c>
      <c r="G1844" s="309" t="str">
        <f t="shared" si="3"/>
        <v/>
      </c>
      <c r="H1844" s="316" t="str">
        <f t="array" ref="H1844">XLOOKUP(B1844,Roster!L:L,Roster!N:N,XLOOKUP(D1844,TicketsBreak!A:A,TicketsBreak!E:E,"",0),0)</f>
        <v/>
      </c>
      <c r="I1844" s="316" t="str">
        <f t="array" ref="I1844">XLOOKUP(B1844,Roster!L:L,Roster!O:O,XLOOKUP(D1844,TicketsBreak!A:A,TicketsBreak!F:F,"",0),0)</f>
        <v/>
      </c>
      <c r="J1844" s="316" t="str">
        <f t="array" ref="J1844">XLOOKUP(B1844,Roster!L:L,Roster!P:P,XLOOKUP(D1844,TicketsBreak!A:A,TicketsBreak!G:G,"",0),0)</f>
        <v/>
      </c>
      <c r="K1844" s="310">
        <f t="shared" si="4"/>
        <v>46128</v>
      </c>
      <c r="L1844" s="317">
        <f t="array" ref="L1844">(XLOOKUP(D1844,Roster!F:F,Roster!D:D,"",0))</f>
        <v>38</v>
      </c>
      <c r="M1844" s="317" t="str">
        <f t="array" ref="M1844">XLOOKUP(D1844,Roster!F:F,Roster!E:E)</f>
        <v>Nesting</v>
      </c>
      <c r="N1844" s="317" t="str">
        <f t="shared" ref="N1844:P1844" si="1872">LEFT(H1844,5)</f>
        <v/>
      </c>
      <c r="O1844" s="317" t="str">
        <f t="shared" si="1872"/>
        <v/>
      </c>
      <c r="P1844" s="317" t="str">
        <f t="shared" si="1872"/>
        <v/>
      </c>
      <c r="Q1844" s="318" t="str">
        <f t="shared" si="1799"/>
        <v/>
      </c>
      <c r="R1844" s="318" t="str">
        <f t="shared" si="1800"/>
        <v/>
      </c>
      <c r="S1844" s="318" t="str">
        <f t="shared" si="8"/>
        <v/>
      </c>
    </row>
    <row r="1845">
      <c r="A1845" s="14" t="str">
        <f t="shared" si="1"/>
        <v>C47946128</v>
      </c>
      <c r="B1845" s="185" t="str">
        <f t="array" ref="B1845">IF(F1845="VL","",IF(F1845="Free","Free",XLOOKUP(D1845,Roster!T:T,Roster!S:S,"",0)))</f>
        <v>Free</v>
      </c>
      <c r="C1845" s="313">
        <v>46128.0</v>
      </c>
      <c r="D1845" s="314" t="s">
        <v>173</v>
      </c>
      <c r="E1845" s="307" t="str">
        <f t="array" ref="E1845">(XLOOKUP(D1845,Roster!F:F,Roster!B:B,"",0))</f>
        <v>Carmen Grajales</v>
      </c>
      <c r="F1845" s="315" t="str">
        <f t="array" ref="F1845">IF(B1845=100,"Free",TEXT(XLOOKUP($D1845,OperationVoice!$A:$A,OperationVoice!V:V,XLOOKUP($D1845,OperationTickets!$A:$A,OperationTickets!V:V,"",0)),"hh:mm"))</f>
        <v>Free</v>
      </c>
      <c r="G1845" s="309" t="str">
        <f t="shared" si="3"/>
        <v>Free</v>
      </c>
      <c r="H1845" s="316">
        <f t="array" ref="H1845">XLOOKUP(B1845,Roster!L:L,Roster!N:N,XLOOKUP(D1845,TicketsBreak!A:A,TicketsBreak!E:E,"",0),0)</f>
        <v>0.4270833333</v>
      </c>
      <c r="I1845" s="316">
        <f t="array" ref="I1845">XLOOKUP(B1845,Roster!L:L,Roster!O:O,XLOOKUP(D1845,TicketsBreak!A:A,TicketsBreak!F:F,"",0),0)</f>
        <v>0.53125</v>
      </c>
      <c r="J1845" s="316">
        <f t="array" ref="J1845">XLOOKUP(B1845,Roster!L:L,Roster!P:P,XLOOKUP(D1845,TicketsBreak!A:A,TicketsBreak!G:G,"",0),0)</f>
        <v>0.65625</v>
      </c>
      <c r="K1845" s="310">
        <f t="shared" si="4"/>
        <v>46128</v>
      </c>
      <c r="L1845" s="317">
        <f t="array" ref="L1845">(XLOOKUP(D1845,Roster!F:F,Roster!D:D,"",0))</f>
        <v>2</v>
      </c>
      <c r="M1845" s="317" t="str">
        <f t="array" ref="M1845">XLOOKUP(D1845,Roster!F:F,Roster!E:E)</f>
        <v>Tickets</v>
      </c>
      <c r="N1845" s="317" t="str">
        <f t="shared" ref="N1845:P1845" si="1873">LEFT(H1845,5)</f>
        <v>10:15</v>
      </c>
      <c r="O1845" s="317" t="str">
        <f t="shared" si="1873"/>
        <v>12:45</v>
      </c>
      <c r="P1845" s="317" t="str">
        <f t="shared" si="1873"/>
        <v>15:45</v>
      </c>
      <c r="Q1845" s="318">
        <f t="shared" si="1799"/>
        <v>46128.42708</v>
      </c>
      <c r="R1845" s="318">
        <f t="shared" si="1800"/>
        <v>46128.53125</v>
      </c>
      <c r="S1845" s="318">
        <f t="shared" si="8"/>
        <v>46128.65625</v>
      </c>
    </row>
    <row r="1846">
      <c r="A1846" s="14" t="str">
        <f t="shared" si="1"/>
        <v>C68746128</v>
      </c>
      <c r="B1846" s="185">
        <f t="array" ref="B1846">IF(F1846="VL","",IF(F1846="Free","Free",XLOOKUP(D1846,Roster!T:T,Roster!S:S,"",0)))</f>
        <v>122</v>
      </c>
      <c r="C1846" s="313">
        <v>46128.0</v>
      </c>
      <c r="D1846" s="314" t="s">
        <v>22</v>
      </c>
      <c r="E1846" s="307" t="str">
        <f t="array" ref="E1846">(XLOOKUP(D1846,Roster!F:F,Roster!B:B,"",0))</f>
        <v>Carolina Rios</v>
      </c>
      <c r="F1846" s="315" t="str">
        <f t="array" ref="F1846">IF(B1846=100,"Free",TEXT(XLOOKUP($D1846,OperationVoice!$A:$A,OperationVoice!V:V,XLOOKUP($D1846,OperationTickets!$A:$A,OperationTickets!V:V,"",0)),"hh:mm"))</f>
        <v>08:00</v>
      </c>
      <c r="G1846" s="309">
        <f t="shared" si="3"/>
        <v>0.7083333333</v>
      </c>
      <c r="H1846" s="316" t="str">
        <f t="array" ref="H1846">XLOOKUP(B1846,Roster!L:L,Roster!N:N,XLOOKUP(D1846,TicketsBreak!A:A,TicketsBreak!E:E,"",0),0)</f>
        <v>09:30 - 09:45</v>
      </c>
      <c r="I1846" s="316" t="str">
        <f t="array" ref="I1846">XLOOKUP(B1846,Roster!L:L,Roster!O:O,XLOOKUP(D1846,TicketsBreak!A:A,TicketsBreak!F:F,"",0),0)</f>
        <v>12:00 - 12:30</v>
      </c>
      <c r="J1846" s="316" t="str">
        <f t="array" ref="J1846">XLOOKUP(B1846,Roster!L:L,Roster!P:P,XLOOKUP(D1846,TicketsBreak!A:A,TicketsBreak!G:G,"",0),0)</f>
        <v>14:45 - 15:00</v>
      </c>
      <c r="K1846" s="310">
        <f t="shared" si="4"/>
        <v>46128</v>
      </c>
      <c r="L1846" s="317">
        <f t="array" ref="L1846">(XLOOKUP(D1846,Roster!F:F,Roster!D:D,"",0))</f>
        <v>5</v>
      </c>
      <c r="M1846" s="317" t="str">
        <f t="array" ref="M1846">XLOOKUP(D1846,Roster!F:F,Roster!E:E)</f>
        <v>Voice</v>
      </c>
      <c r="N1846" s="317" t="str">
        <f t="shared" ref="N1846:P1846" si="1874">LEFT(H1846,5)</f>
        <v>09:30</v>
      </c>
      <c r="O1846" s="317" t="str">
        <f t="shared" si="1874"/>
        <v>12:00</v>
      </c>
      <c r="P1846" s="317" t="str">
        <f t="shared" si="1874"/>
        <v>14:45</v>
      </c>
      <c r="Q1846" s="318">
        <f t="shared" si="1799"/>
        <v>46128.39583</v>
      </c>
      <c r="R1846" s="318">
        <f t="shared" si="1800"/>
        <v>46128.5</v>
      </c>
      <c r="S1846" s="318">
        <f t="shared" si="8"/>
        <v>46128.61458</v>
      </c>
    </row>
    <row r="1847">
      <c r="A1847" s="14" t="str">
        <f t="shared" si="1"/>
        <v>C152846128</v>
      </c>
      <c r="B1847" s="185">
        <f t="array" ref="B1847">IF(F1847="VL","",IF(F1847="Free","Free",XLOOKUP(D1847,Roster!T:T,Roster!S:S,"",0)))</f>
        <v>132</v>
      </c>
      <c r="C1847" s="313">
        <v>46128.0</v>
      </c>
      <c r="D1847" s="314" t="s">
        <v>23</v>
      </c>
      <c r="E1847" s="307" t="str">
        <f t="array" ref="E1847">(XLOOKUP(D1847,Roster!F:F,Roster!B:B,"",0))</f>
        <v>Christian Ramirez</v>
      </c>
      <c r="F1847" s="315" t="str">
        <f t="array" ref="F1847">IF(B1847=100,"Free",TEXT(XLOOKUP($D1847,OperationVoice!$A:$A,OperationVoice!V:V,XLOOKUP($D1847,OperationTickets!$A:$A,OperationTickets!V:V,"",0)),"hh:mm"))</f>
        <v>09:00</v>
      </c>
      <c r="G1847" s="309">
        <f t="shared" si="3"/>
        <v>0.75</v>
      </c>
      <c r="H1847" s="316" t="str">
        <f t="array" ref="H1847">XLOOKUP(B1847,Roster!L:L,Roster!N:N,XLOOKUP(D1847,TicketsBreak!A:A,TicketsBreak!E:E,"",0),0)</f>
        <v>10:30 - 10:45</v>
      </c>
      <c r="I1847" s="316" t="str">
        <f t="array" ref="I1847">XLOOKUP(B1847,Roster!L:L,Roster!O:O,XLOOKUP(D1847,TicketsBreak!A:A,TicketsBreak!F:F,"",0),0)</f>
        <v>13:00 - 13:30</v>
      </c>
      <c r="J1847" s="316" t="str">
        <f t="array" ref="J1847">XLOOKUP(B1847,Roster!L:L,Roster!P:P,XLOOKUP(D1847,TicketsBreak!A:A,TicketsBreak!G:G,"",0),0)</f>
        <v>15:30 - 15:45</v>
      </c>
      <c r="K1847" s="310">
        <f t="shared" si="4"/>
        <v>46128</v>
      </c>
      <c r="L1847" s="317">
        <f t="array" ref="L1847">(XLOOKUP(D1847,Roster!F:F,Roster!D:D,"",0))</f>
        <v>36</v>
      </c>
      <c r="M1847" s="317" t="str">
        <f t="array" ref="M1847">XLOOKUP(D1847,Roster!F:F,Roster!E:E)</f>
        <v>Voice</v>
      </c>
      <c r="N1847" s="317" t="str">
        <f t="shared" ref="N1847:P1847" si="1875">LEFT(H1847,5)</f>
        <v>10:30</v>
      </c>
      <c r="O1847" s="317" t="str">
        <f t="shared" si="1875"/>
        <v>13:00</v>
      </c>
      <c r="P1847" s="317" t="str">
        <f t="shared" si="1875"/>
        <v>15:30</v>
      </c>
      <c r="Q1847" s="318">
        <f t="shared" si="1799"/>
        <v>46128.4375</v>
      </c>
      <c r="R1847" s="318">
        <f t="shared" si="1800"/>
        <v>46128.54167</v>
      </c>
      <c r="S1847" s="318">
        <f t="shared" si="8"/>
        <v>46128.64583</v>
      </c>
    </row>
    <row r="1848">
      <c r="A1848" s="14" t="str">
        <f t="shared" si="1"/>
        <v>C132546128</v>
      </c>
      <c r="B1848" s="185" t="str">
        <f t="array" ref="B1848">IF(F1848="VL","",IF(F1848="Free","Free",XLOOKUP(D1848,Roster!T:T,Roster!S:S,"",0)))</f>
        <v>Free</v>
      </c>
      <c r="C1848" s="313">
        <v>46128.0</v>
      </c>
      <c r="D1848" s="314" t="s">
        <v>174</v>
      </c>
      <c r="E1848" s="307" t="str">
        <f t="array" ref="E1848">(XLOOKUP(D1848,Roster!F:F,Roster!B:B,"",0))</f>
        <v>Cristian Ferreira</v>
      </c>
      <c r="F1848" s="315" t="str">
        <f t="array" ref="F1848">IF(B1848=100,"Free",TEXT(XLOOKUP($D1848,OperationVoice!$A:$A,OperationVoice!V:V,XLOOKUP($D1848,OperationTickets!$A:$A,OperationTickets!V:V,"",0)),"hh:mm"))</f>
        <v>Free</v>
      </c>
      <c r="G1848" s="309" t="str">
        <f t="shared" si="3"/>
        <v>Free</v>
      </c>
      <c r="H1848" s="316" t="str">
        <f t="array" ref="H1848">XLOOKUP(B1848,Roster!L:L,Roster!N:N,XLOOKUP(D1848,TicketsBreak!A:A,TicketsBreak!E:E,"",0),0)</f>
        <v/>
      </c>
      <c r="I1848" s="316" t="str">
        <f t="array" ref="I1848">XLOOKUP(B1848,Roster!L:L,Roster!O:O,XLOOKUP(D1848,TicketsBreak!A:A,TicketsBreak!F:F,"",0),0)</f>
        <v/>
      </c>
      <c r="J1848" s="316" t="str">
        <f t="array" ref="J1848">XLOOKUP(B1848,Roster!L:L,Roster!P:P,XLOOKUP(D1848,TicketsBreak!A:A,TicketsBreak!G:G,"",0),0)</f>
        <v/>
      </c>
      <c r="K1848" s="310">
        <f t="shared" si="4"/>
        <v>46128</v>
      </c>
      <c r="L1848" s="317">
        <f t="array" ref="L1848">(XLOOKUP(D1848,Roster!F:F,Roster!D:D,"",0))</f>
        <v>29</v>
      </c>
      <c r="M1848" s="317" t="str">
        <f t="array" ref="M1848">XLOOKUP(D1848,Roster!F:F,Roster!E:E)</f>
        <v>Tickets</v>
      </c>
      <c r="N1848" s="317" t="str">
        <f t="shared" ref="N1848:P1848" si="1876">LEFT(H1848,5)</f>
        <v/>
      </c>
      <c r="O1848" s="317" t="str">
        <f t="shared" si="1876"/>
        <v/>
      </c>
      <c r="P1848" s="317" t="str">
        <f t="shared" si="1876"/>
        <v/>
      </c>
      <c r="Q1848" s="318" t="str">
        <f t="shared" si="1799"/>
        <v/>
      </c>
      <c r="R1848" s="318" t="str">
        <f t="shared" si="1800"/>
        <v/>
      </c>
      <c r="S1848" s="318" t="str">
        <f t="shared" si="8"/>
        <v/>
      </c>
    </row>
    <row r="1849">
      <c r="A1849" s="14" t="str">
        <f t="shared" si="1"/>
        <v>C151046128</v>
      </c>
      <c r="B1849" s="185">
        <f t="array" ref="B1849">IF(F1849="VL","",IF(F1849="Free","Free",XLOOKUP(D1849,Roster!T:T,Roster!S:S,"",0)))</f>
        <v>121</v>
      </c>
      <c r="C1849" s="313">
        <v>46128.0</v>
      </c>
      <c r="D1849" s="314" t="s">
        <v>24</v>
      </c>
      <c r="E1849" s="307" t="str">
        <f t="array" ref="E1849">(XLOOKUP(D1849,Roster!F:F,Roster!B:B,"",0))</f>
        <v>Cristian Gomez</v>
      </c>
      <c r="F1849" s="315" t="str">
        <f t="array" ref="F1849">IF(B1849=100,"Free",TEXT(XLOOKUP($D1849,OperationVoice!$A:$A,OperationVoice!V:V,XLOOKUP($D1849,OperationTickets!$A:$A,OperationTickets!V:V,"",0)),"hh:mm"))</f>
        <v>08:00</v>
      </c>
      <c r="G1849" s="309">
        <f t="shared" si="3"/>
        <v>0.7083333333</v>
      </c>
      <c r="H1849" s="316" t="str">
        <f t="array" ref="H1849">XLOOKUP(B1849,Roster!L:L,Roster!N:N,XLOOKUP(D1849,TicketsBreak!A:A,TicketsBreak!E:E,"",0),0)</f>
        <v>09:15 - 09:30</v>
      </c>
      <c r="I1849" s="316" t="str">
        <f t="array" ref="I1849">XLOOKUP(B1849,Roster!L:L,Roster!O:O,XLOOKUP(D1849,TicketsBreak!A:A,TicketsBreak!F:F,"",0),0)</f>
        <v>11:30 - 12:00</v>
      </c>
      <c r="J1849" s="316" t="str">
        <f t="array" ref="J1849">XLOOKUP(B1849,Roster!L:L,Roster!P:P,XLOOKUP(D1849,TicketsBreak!A:A,TicketsBreak!G:G,"",0),0)</f>
        <v>14:30 - 14:45</v>
      </c>
      <c r="K1849" s="310">
        <f t="shared" si="4"/>
        <v>46128</v>
      </c>
      <c r="L1849" s="317">
        <f t="array" ref="L1849">(XLOOKUP(D1849,Roster!F:F,Roster!D:D,"",0))</f>
        <v>35</v>
      </c>
      <c r="M1849" s="317" t="str">
        <f t="array" ref="M1849">XLOOKUP(D1849,Roster!F:F,Roster!E:E)</f>
        <v>Voice</v>
      </c>
      <c r="N1849" s="317" t="str">
        <f t="shared" ref="N1849:P1849" si="1877">LEFT(H1849,5)</f>
        <v>09:15</v>
      </c>
      <c r="O1849" s="317" t="str">
        <f t="shared" si="1877"/>
        <v>11:30</v>
      </c>
      <c r="P1849" s="317" t="str">
        <f t="shared" si="1877"/>
        <v>14:30</v>
      </c>
      <c r="Q1849" s="318">
        <f t="shared" si="1799"/>
        <v>46128.38542</v>
      </c>
      <c r="R1849" s="318">
        <f t="shared" si="1800"/>
        <v>46128.47917</v>
      </c>
      <c r="S1849" s="318">
        <f t="shared" si="8"/>
        <v>46128.60417</v>
      </c>
    </row>
    <row r="1850">
      <c r="A1850" s="14" t="str">
        <f t="shared" si="1"/>
        <v>C67346128</v>
      </c>
      <c r="B1850" s="185" t="str">
        <f t="array" ref="B1850">IF(F1850="VL","",IF(F1850="Free","Free",XLOOKUP(D1850,Roster!T:T,Roster!S:S,"",0)))</f>
        <v/>
      </c>
      <c r="C1850" s="313">
        <v>46128.0</v>
      </c>
      <c r="D1850" s="314" t="s">
        <v>156</v>
      </c>
      <c r="E1850" s="307" t="str">
        <f t="array" ref="E1850">(XLOOKUP(D1850,Roster!F:F,Roster!B:B,"",0))</f>
        <v>Dahiana Cano</v>
      </c>
      <c r="F1850" s="315" t="str">
        <f t="array" ref="F1850">IF(B1850=100,"Free",TEXT(XLOOKUP($D1850,OperationVoice!$A:$A,OperationVoice!V:V,XLOOKUP($D1850,OperationTickets!$A:$A,OperationTickets!V:V,"",0)),"hh:mm"))</f>
        <v>08:00</v>
      </c>
      <c r="G1850" s="309">
        <f t="shared" si="3"/>
        <v>0.7083333333</v>
      </c>
      <c r="H1850" s="316">
        <f t="array" ref="H1850">XLOOKUP(B1850,Roster!L:L,Roster!N:N,XLOOKUP(D1850,TicketsBreak!A:A,TicketsBreak!E:E,"",0),0)</f>
        <v>0.4583333333</v>
      </c>
      <c r="I1850" s="316">
        <f t="array" ref="I1850">XLOOKUP(B1850,Roster!L:L,Roster!O:O,XLOOKUP(D1850,TicketsBreak!A:A,TicketsBreak!F:F,"",0),0)</f>
        <v>0.5833333333</v>
      </c>
      <c r="J1850" s="316">
        <f t="array" ref="J1850">XLOOKUP(B1850,Roster!L:L,Roster!P:P,XLOOKUP(D1850,TicketsBreak!A:A,TicketsBreak!G:G,"",0),0)</f>
        <v>0.65625</v>
      </c>
      <c r="K1850" s="310">
        <f t="shared" si="4"/>
        <v>46128</v>
      </c>
      <c r="L1850" s="317">
        <f t="array" ref="L1850">(XLOOKUP(D1850,Roster!F:F,Roster!D:D,"",0))</f>
        <v>4</v>
      </c>
      <c r="M1850" s="317" t="str">
        <f t="array" ref="M1850">XLOOKUP(D1850,Roster!F:F,Roster!E:E)</f>
        <v>Tickets</v>
      </c>
      <c r="N1850" s="317" t="str">
        <f t="shared" ref="N1850:P1850" si="1878">LEFT(H1850,5)</f>
        <v>11:00</v>
      </c>
      <c r="O1850" s="317" t="str">
        <f t="shared" si="1878"/>
        <v>14:00</v>
      </c>
      <c r="P1850" s="317" t="str">
        <f t="shared" si="1878"/>
        <v>15:45</v>
      </c>
      <c r="Q1850" s="318">
        <f t="shared" si="1799"/>
        <v>46128.45833</v>
      </c>
      <c r="R1850" s="318">
        <f t="shared" si="1800"/>
        <v>46128.58333</v>
      </c>
      <c r="S1850" s="318">
        <f t="shared" si="8"/>
        <v>46128.65625</v>
      </c>
    </row>
    <row r="1851">
      <c r="A1851" s="14" t="str">
        <f t="shared" si="1"/>
        <v>C152946128</v>
      </c>
      <c r="B1851" s="185">
        <f t="array" ref="B1851">IF(F1851="VL","",IF(F1851="Free","Free",XLOOKUP(D1851,Roster!T:T,Roster!S:S,"",0)))</f>
        <v>133</v>
      </c>
      <c r="C1851" s="313">
        <v>46128.0</v>
      </c>
      <c r="D1851" s="314" t="s">
        <v>25</v>
      </c>
      <c r="E1851" s="307" t="str">
        <f t="array" ref="E1851">(XLOOKUP(D1851,Roster!F:F,Roster!B:B,"",0))</f>
        <v>Daniel Barrientos</v>
      </c>
      <c r="F1851" s="315" t="str">
        <f t="array" ref="F1851">IF(B1851=100,"Free",TEXT(XLOOKUP($D1851,OperationVoice!$A:$A,OperationVoice!V:V,XLOOKUP($D1851,OperationTickets!$A:$A,OperationTickets!V:V,"",0)),"hh:mm"))</f>
        <v>09:00</v>
      </c>
      <c r="G1851" s="309">
        <f t="shared" si="3"/>
        <v>0.75</v>
      </c>
      <c r="H1851" s="316" t="str">
        <f t="array" ref="H1851">XLOOKUP(B1851,Roster!L:L,Roster!N:N,XLOOKUP(D1851,TicketsBreak!A:A,TicketsBreak!E:E,"",0),0)</f>
        <v>10:45 - 11:00 </v>
      </c>
      <c r="I1851" s="316" t="str">
        <f t="array" ref="I1851">XLOOKUP(B1851,Roster!L:L,Roster!O:O,XLOOKUP(D1851,TicketsBreak!A:A,TicketsBreak!F:F,"",0),0)</f>
        <v>13:30 - 14:00</v>
      </c>
      <c r="J1851" s="316" t="str">
        <f t="array" ref="J1851">XLOOKUP(B1851,Roster!L:L,Roster!P:P,XLOOKUP(D1851,TicketsBreak!A:A,TicketsBreak!G:G,"",0),0)</f>
        <v>15:45 - 16:00</v>
      </c>
      <c r="K1851" s="310">
        <f t="shared" si="4"/>
        <v>46128</v>
      </c>
      <c r="L1851" s="317">
        <f t="array" ref="L1851">(XLOOKUP(D1851,Roster!F:F,Roster!D:D,"",0))</f>
        <v>36</v>
      </c>
      <c r="M1851" s="317" t="str">
        <f t="array" ref="M1851">XLOOKUP(D1851,Roster!F:F,Roster!E:E)</f>
        <v>Voice</v>
      </c>
      <c r="N1851" s="317" t="str">
        <f t="shared" ref="N1851:P1851" si="1879">LEFT(H1851,5)</f>
        <v>10:45</v>
      </c>
      <c r="O1851" s="317" t="str">
        <f t="shared" si="1879"/>
        <v>13:30</v>
      </c>
      <c r="P1851" s="317" t="str">
        <f t="shared" si="1879"/>
        <v>15:45</v>
      </c>
      <c r="Q1851" s="318">
        <f t="shared" si="1799"/>
        <v>46128.44792</v>
      </c>
      <c r="R1851" s="318">
        <f t="shared" si="1800"/>
        <v>46128.5625</v>
      </c>
      <c r="S1851" s="318">
        <f t="shared" si="8"/>
        <v>46128.65625</v>
      </c>
    </row>
    <row r="1852">
      <c r="A1852" s="14" t="str">
        <f t="shared" si="1"/>
        <v>C106446128</v>
      </c>
      <c r="B1852" s="185" t="str">
        <f t="array" ref="B1852">IF(F1852="VL","",IF(F1852="Free","Free",XLOOKUP(D1852,Roster!T:T,Roster!S:S,"",0)))</f>
        <v/>
      </c>
      <c r="C1852" s="313">
        <v>46128.0</v>
      </c>
      <c r="D1852" s="314" t="s">
        <v>175</v>
      </c>
      <c r="E1852" s="307" t="str">
        <f t="array" ref="E1852">(XLOOKUP(D1852,Roster!F:F,Roster!B:B,"",0))</f>
        <v>Daniel Urrego</v>
      </c>
      <c r="F1852" s="315" t="str">
        <f t="array" ref="F1852">IF(B1852=100,"Free",TEXT(XLOOKUP($D1852,OperationVoice!$A:$A,OperationVoice!V:V,XLOOKUP($D1852,OperationTickets!$A:$A,OperationTickets!V:V,"",0)),"hh:mm"))</f>
        <v>08:00</v>
      </c>
      <c r="G1852" s="309">
        <f t="shared" si="3"/>
        <v>0.7083333333</v>
      </c>
      <c r="H1852" s="316" t="str">
        <f t="array" ref="H1852">XLOOKUP(B1852,Roster!L:L,Roster!N:N,XLOOKUP(D1852,TicketsBreak!A:A,TicketsBreak!E:E,"",0),0)</f>
        <v/>
      </c>
      <c r="I1852" s="316" t="str">
        <f t="array" ref="I1852">XLOOKUP(B1852,Roster!L:L,Roster!O:O,XLOOKUP(D1852,TicketsBreak!A:A,TicketsBreak!F:F,"",0),0)</f>
        <v/>
      </c>
      <c r="J1852" s="316" t="str">
        <f t="array" ref="J1852">XLOOKUP(B1852,Roster!L:L,Roster!P:P,XLOOKUP(D1852,TicketsBreak!A:A,TicketsBreak!G:G,"",0),0)</f>
        <v/>
      </c>
      <c r="K1852" s="310">
        <f t="shared" si="4"/>
        <v>46128</v>
      </c>
      <c r="L1852" s="317">
        <f t="array" ref="L1852">(XLOOKUP(D1852,Roster!F:F,Roster!D:D,"",0))</f>
        <v>17</v>
      </c>
      <c r="M1852" s="317" t="str">
        <f t="array" ref="M1852">XLOOKUP(D1852,Roster!F:F,Roster!E:E)</f>
        <v>Tickets</v>
      </c>
      <c r="N1852" s="317" t="str">
        <f t="shared" ref="N1852:P1852" si="1880">LEFT(H1852,5)</f>
        <v/>
      </c>
      <c r="O1852" s="317" t="str">
        <f t="shared" si="1880"/>
        <v/>
      </c>
      <c r="P1852" s="317" t="str">
        <f t="shared" si="1880"/>
        <v/>
      </c>
      <c r="Q1852" s="318" t="str">
        <f t="shared" si="1799"/>
        <v/>
      </c>
      <c r="R1852" s="318" t="str">
        <f t="shared" si="1800"/>
        <v/>
      </c>
      <c r="S1852" s="318" t="str">
        <f t="shared" si="8"/>
        <v/>
      </c>
    </row>
    <row r="1853">
      <c r="A1853" s="14" t="str">
        <f t="shared" si="1"/>
        <v>C151346128</v>
      </c>
      <c r="B1853" s="185">
        <f t="array" ref="B1853">IF(F1853="VL","",IF(F1853="Free","Free",XLOOKUP(D1853,Roster!T:T,Roster!S:S,"",0)))</f>
        <v>126</v>
      </c>
      <c r="C1853" s="313">
        <v>46128.0</v>
      </c>
      <c r="D1853" s="314" t="s">
        <v>26</v>
      </c>
      <c r="E1853" s="307" t="str">
        <f t="array" ref="E1853">(XLOOKUP(D1853,Roster!F:F,Roster!B:B,"",0))</f>
        <v>David Patino</v>
      </c>
      <c r="F1853" s="315" t="str">
        <f t="array" ref="F1853">IF(B1853=100,"Free",TEXT(XLOOKUP($D1853,OperationVoice!$A:$A,OperationVoice!V:V,XLOOKUP($D1853,OperationTickets!$A:$A,OperationTickets!V:V,"",0)),"hh:mm"))</f>
        <v>08:00</v>
      </c>
      <c r="G1853" s="309">
        <f t="shared" si="3"/>
        <v>0.7083333333</v>
      </c>
      <c r="H1853" s="316" t="str">
        <f t="array" ref="H1853">XLOOKUP(B1853,Roster!L:L,Roster!N:N,XLOOKUP(D1853,TicketsBreak!A:A,TicketsBreak!E:E,"",0),0)</f>
        <v>10:45 - 11:00</v>
      </c>
      <c r="I1853" s="316" t="str">
        <f t="array" ref="I1853">XLOOKUP(B1853,Roster!L:L,Roster!O:O,XLOOKUP(D1853,TicketsBreak!A:A,TicketsBreak!F:F,"",0),0)</f>
        <v>14:00 - 14:30</v>
      </c>
      <c r="J1853" s="316" t="str">
        <f t="array" ref="J1853">XLOOKUP(B1853,Roster!L:L,Roster!P:P,XLOOKUP(D1853,TicketsBreak!A:A,TicketsBreak!G:G,"",0),0)</f>
        <v>15:45 - 16:00</v>
      </c>
      <c r="K1853" s="310">
        <f t="shared" si="4"/>
        <v>46128</v>
      </c>
      <c r="L1853" s="317">
        <f t="array" ref="L1853">(XLOOKUP(D1853,Roster!F:F,Roster!D:D,"",0))</f>
        <v>35</v>
      </c>
      <c r="M1853" s="317" t="str">
        <f t="array" ref="M1853">XLOOKUP(D1853,Roster!F:F,Roster!E:E)</f>
        <v>Voice</v>
      </c>
      <c r="N1853" s="317" t="str">
        <f t="shared" ref="N1853:P1853" si="1881">LEFT(H1853,5)</f>
        <v>10:45</v>
      </c>
      <c r="O1853" s="317" t="str">
        <f t="shared" si="1881"/>
        <v>14:00</v>
      </c>
      <c r="P1853" s="317" t="str">
        <f t="shared" si="1881"/>
        <v>15:45</v>
      </c>
      <c r="Q1853" s="318">
        <f t="shared" si="1799"/>
        <v>46128.44792</v>
      </c>
      <c r="R1853" s="318">
        <f t="shared" si="1800"/>
        <v>46128.58333</v>
      </c>
      <c r="S1853" s="318">
        <f t="shared" si="8"/>
        <v>46128.65625</v>
      </c>
    </row>
    <row r="1854">
      <c r="A1854" s="14" t="str">
        <f t="shared" si="1"/>
        <v>C127746128</v>
      </c>
      <c r="B1854" s="185">
        <f t="array" ref="B1854">IF(F1854="VL","",IF(F1854="Free","Free",XLOOKUP(D1854,Roster!T:T,Roster!S:S,"",0)))</f>
        <v>124</v>
      </c>
      <c r="C1854" s="313">
        <v>46128.0</v>
      </c>
      <c r="D1854" s="314" t="s">
        <v>27</v>
      </c>
      <c r="E1854" s="307" t="str">
        <f t="array" ref="E1854">(XLOOKUP(D1854,Roster!F:F,Roster!B:B,"",0))</f>
        <v>Edwuin Martinez</v>
      </c>
      <c r="F1854" s="315" t="str">
        <f t="array" ref="F1854">IF(B1854=100,"Free",TEXT(XLOOKUP($D1854,OperationVoice!$A:$A,OperationVoice!V:V,XLOOKUP($D1854,OperationTickets!$A:$A,OperationTickets!V:V,"",0)),"hh:mm"))</f>
        <v>08:00</v>
      </c>
      <c r="G1854" s="309">
        <f t="shared" si="3"/>
        <v>0.7083333333</v>
      </c>
      <c r="H1854" s="316" t="str">
        <f t="array" ref="H1854">XLOOKUP(B1854,Roster!L:L,Roster!N:N,XLOOKUP(D1854,TicketsBreak!A:A,TicketsBreak!E:E,"",0),0)</f>
        <v>10:00 - 10:15</v>
      </c>
      <c r="I1854" s="316" t="str">
        <f t="array" ref="I1854">XLOOKUP(B1854,Roster!L:L,Roster!O:O,XLOOKUP(D1854,TicketsBreak!A:A,TicketsBreak!F:F,"",0),0)</f>
        <v>13:00 - 13:30</v>
      </c>
      <c r="J1854" s="316" t="str">
        <f t="array" ref="J1854">XLOOKUP(B1854,Roster!L:L,Roster!P:P,XLOOKUP(D1854,TicketsBreak!A:A,TicketsBreak!G:G,"",0),0)</f>
        <v>15:30 - 15:45</v>
      </c>
      <c r="K1854" s="310">
        <f t="shared" si="4"/>
        <v>46128</v>
      </c>
      <c r="L1854" s="317">
        <f t="array" ref="L1854">(XLOOKUP(D1854,Roster!F:F,Roster!D:D,"",0))</f>
        <v>27</v>
      </c>
      <c r="M1854" s="317" t="str">
        <f t="array" ref="M1854">XLOOKUP(D1854,Roster!F:F,Roster!E:E)</f>
        <v>Voice</v>
      </c>
      <c r="N1854" s="317" t="str">
        <f t="shared" ref="N1854:P1854" si="1882">LEFT(H1854,5)</f>
        <v>10:00</v>
      </c>
      <c r="O1854" s="317" t="str">
        <f t="shared" si="1882"/>
        <v>13:00</v>
      </c>
      <c r="P1854" s="317" t="str">
        <f t="shared" si="1882"/>
        <v>15:30</v>
      </c>
      <c r="Q1854" s="318">
        <f t="shared" si="1799"/>
        <v>46128.41667</v>
      </c>
      <c r="R1854" s="318">
        <f t="shared" si="1800"/>
        <v>46128.54167</v>
      </c>
      <c r="S1854" s="318">
        <f t="shared" si="8"/>
        <v>46128.64583</v>
      </c>
    </row>
    <row r="1855">
      <c r="A1855" s="14" t="str">
        <f t="shared" si="1"/>
        <v>C121646128</v>
      </c>
      <c r="B1855" s="185" t="str">
        <f t="array" ref="B1855">IF(F1855="VL","",IF(F1855="Free","Free",XLOOKUP(D1855,Roster!T:T,Roster!S:S,"",0)))</f>
        <v>Free</v>
      </c>
      <c r="C1855" s="313">
        <v>46128.0</v>
      </c>
      <c r="D1855" s="314" t="s">
        <v>134</v>
      </c>
      <c r="E1855" s="307" t="str">
        <f t="array" ref="E1855">(XLOOKUP(D1855,Roster!F:F,Roster!B:B,"",0))</f>
        <v>Eliana Pena</v>
      </c>
      <c r="F1855" s="315" t="str">
        <f t="array" ref="F1855">IF(B1855=100,"Free",TEXT(XLOOKUP($D1855,OperationVoice!$A:$A,OperationVoice!V:V,XLOOKUP($D1855,OperationTickets!$A:$A,OperationTickets!V:V,"",0)),"hh:mm"))</f>
        <v>Free</v>
      </c>
      <c r="G1855" s="309" t="str">
        <f t="shared" si="3"/>
        <v>Free</v>
      </c>
      <c r="H1855" s="316">
        <f t="array" ref="H1855">XLOOKUP(B1855,Roster!L:L,Roster!N:N,XLOOKUP(D1855,TicketsBreak!A:A,TicketsBreak!E:E,"",0),0)</f>
        <v>0.3958333333</v>
      </c>
      <c r="I1855" s="316">
        <f t="array" ref="I1855">XLOOKUP(B1855,Roster!L:L,Roster!O:O,XLOOKUP(D1855,TicketsBreak!A:A,TicketsBreak!F:F,"",0),0)</f>
        <v>0.5416666667</v>
      </c>
      <c r="J1855" s="316">
        <f t="array" ref="J1855">XLOOKUP(B1855,Roster!L:L,Roster!P:P,XLOOKUP(D1855,TicketsBreak!A:A,TicketsBreak!G:G,"",0),0)</f>
        <v>0.6354166667</v>
      </c>
      <c r="K1855" s="310">
        <f t="shared" si="4"/>
        <v>46128</v>
      </c>
      <c r="L1855" s="317">
        <f t="array" ref="L1855">(XLOOKUP(D1855,Roster!F:F,Roster!D:D,"",0))</f>
        <v>26</v>
      </c>
      <c r="M1855" s="317" t="str">
        <f t="array" ref="M1855">XLOOKUP(D1855,Roster!F:F,Roster!E:E)</f>
        <v>Tickets</v>
      </c>
      <c r="N1855" s="317" t="str">
        <f t="shared" ref="N1855:P1855" si="1883">LEFT(H1855,5)</f>
        <v>09:30</v>
      </c>
      <c r="O1855" s="317" t="str">
        <f t="shared" si="1883"/>
        <v>13:00</v>
      </c>
      <c r="P1855" s="317" t="str">
        <f t="shared" si="1883"/>
        <v>15:15</v>
      </c>
      <c r="Q1855" s="318">
        <f t="shared" si="1799"/>
        <v>46128.39583</v>
      </c>
      <c r="R1855" s="318">
        <f t="shared" si="1800"/>
        <v>46128.54167</v>
      </c>
      <c r="S1855" s="318">
        <f t="shared" si="8"/>
        <v>46128.63542</v>
      </c>
    </row>
    <row r="1856">
      <c r="A1856" s="14" t="str">
        <f t="shared" si="1"/>
        <v>C157346128</v>
      </c>
      <c r="B1856" s="185">
        <f t="array" ref="B1856">IF(F1856="VL","",IF(F1856="Free","Free",XLOOKUP(D1856,Roster!T:T,Roster!S:S,"",0)))</f>
        <v>123</v>
      </c>
      <c r="C1856" s="313">
        <v>46128.0</v>
      </c>
      <c r="D1856" s="314" t="s">
        <v>28</v>
      </c>
      <c r="E1856" s="307" t="str">
        <f t="array" ref="E1856">(XLOOKUP(D1856,Roster!F:F,Roster!B:B,"",0))</f>
        <v>Esteban Correa</v>
      </c>
      <c r="F1856" s="315" t="str">
        <f t="array" ref="F1856">IF(B1856=100,"Free",TEXT(XLOOKUP($D1856,OperationVoice!$A:$A,OperationVoice!V:V,XLOOKUP($D1856,OperationTickets!$A:$A,OperationTickets!V:V,"",0)),"hh:mm"))</f>
        <v>08:00</v>
      </c>
      <c r="G1856" s="309">
        <f t="shared" si="3"/>
        <v>0.7083333333</v>
      </c>
      <c r="H1856" s="316" t="str">
        <f t="array" ref="H1856">XLOOKUP(B1856,Roster!L:L,Roster!N:N,XLOOKUP(D1856,TicketsBreak!A:A,TicketsBreak!E:E,"",0),0)</f>
        <v>09:45 - 10:00 </v>
      </c>
      <c r="I1856" s="316" t="str">
        <f t="array" ref="I1856">XLOOKUP(B1856,Roster!L:L,Roster!O:O,XLOOKUP(D1856,TicketsBreak!A:A,TicketsBreak!F:F,"",0),0)</f>
        <v>12:30 - 13:00</v>
      </c>
      <c r="J1856" s="316" t="str">
        <f t="array" ref="J1856">XLOOKUP(B1856,Roster!L:L,Roster!P:P,XLOOKUP(D1856,TicketsBreak!A:A,TicketsBreak!G:G,"",0),0)</f>
        <v>15:00 - 15:15</v>
      </c>
      <c r="K1856" s="310">
        <f t="shared" si="4"/>
        <v>46128</v>
      </c>
      <c r="L1856" s="317">
        <f t="array" ref="L1856">(XLOOKUP(D1856,Roster!F:F,Roster!D:D,"",0))</f>
        <v>38</v>
      </c>
      <c r="M1856" s="317" t="str">
        <f t="array" ref="M1856">XLOOKUP(D1856,Roster!F:F,Roster!E:E)</f>
        <v>Voice</v>
      </c>
      <c r="N1856" s="317" t="str">
        <f t="shared" ref="N1856:P1856" si="1884">LEFT(H1856,5)</f>
        <v>09:45</v>
      </c>
      <c r="O1856" s="317" t="str">
        <f t="shared" si="1884"/>
        <v>12:30</v>
      </c>
      <c r="P1856" s="317" t="str">
        <f t="shared" si="1884"/>
        <v>15:00</v>
      </c>
      <c r="Q1856" s="318">
        <f t="shared" si="1799"/>
        <v>46128.40625</v>
      </c>
      <c r="R1856" s="318">
        <f t="shared" si="1800"/>
        <v>46128.52083</v>
      </c>
      <c r="S1856" s="318">
        <f t="shared" si="8"/>
        <v>46128.625</v>
      </c>
    </row>
    <row r="1857">
      <c r="A1857" s="14" t="str">
        <f t="shared" si="1"/>
        <v>C71346128</v>
      </c>
      <c r="B1857" s="185">
        <f t="array" ref="B1857">IF(F1857="VL","",IF(F1857="Free","Free",XLOOKUP(D1857,Roster!T:T,Roster!S:S,"",0)))</f>
        <v>125</v>
      </c>
      <c r="C1857" s="313">
        <v>46128.0</v>
      </c>
      <c r="D1857" s="314" t="s">
        <v>29</v>
      </c>
      <c r="E1857" s="307" t="str">
        <f t="array" ref="E1857">(XLOOKUP(D1857,Roster!F:F,Roster!B:B,"",0))</f>
        <v>Frank Marin</v>
      </c>
      <c r="F1857" s="315" t="str">
        <f t="array" ref="F1857">IF(B1857=100,"Free",TEXT(XLOOKUP($D1857,OperationVoice!$A:$A,OperationVoice!V:V,XLOOKUP($D1857,OperationTickets!$A:$A,OperationTickets!V:V,"",0)),"hh:mm"))</f>
        <v>08:00</v>
      </c>
      <c r="G1857" s="309">
        <f t="shared" si="3"/>
        <v>0.7083333333</v>
      </c>
      <c r="H1857" s="316" t="str">
        <f t="array" ref="H1857">XLOOKUP(B1857,Roster!L:L,Roster!N:N,XLOOKUP(D1857,TicketsBreak!A:A,TicketsBreak!E:E,"",0),0)</f>
        <v>10:30 - 10:45</v>
      </c>
      <c r="I1857" s="316" t="str">
        <f t="array" ref="I1857">XLOOKUP(B1857,Roster!L:L,Roster!O:O,XLOOKUP(D1857,TicketsBreak!A:A,TicketsBreak!F:F,"",0),0)</f>
        <v>13:30 - 14:00</v>
      </c>
      <c r="J1857" s="316" t="str">
        <f t="array" ref="J1857">XLOOKUP(B1857,Roster!L:L,Roster!P:P,XLOOKUP(D1857,TicketsBreak!A:A,TicketsBreak!G:G,"",0),0)</f>
        <v>15:45 - 16:00</v>
      </c>
      <c r="K1857" s="310">
        <f t="shared" si="4"/>
        <v>46128</v>
      </c>
      <c r="L1857" s="317">
        <f t="array" ref="L1857">(XLOOKUP(D1857,Roster!F:F,Roster!D:D,"",0))</f>
        <v>6</v>
      </c>
      <c r="M1857" s="317" t="str">
        <f t="array" ref="M1857">XLOOKUP(D1857,Roster!F:F,Roster!E:E)</f>
        <v>Voice</v>
      </c>
      <c r="N1857" s="317" t="str">
        <f t="shared" ref="N1857:P1857" si="1885">LEFT(H1857,5)</f>
        <v>10:30</v>
      </c>
      <c r="O1857" s="317" t="str">
        <f t="shared" si="1885"/>
        <v>13:30</v>
      </c>
      <c r="P1857" s="317" t="str">
        <f t="shared" si="1885"/>
        <v>15:45</v>
      </c>
      <c r="Q1857" s="318">
        <f t="shared" si="1799"/>
        <v>46128.4375</v>
      </c>
      <c r="R1857" s="318">
        <f t="shared" si="1800"/>
        <v>46128.5625</v>
      </c>
      <c r="S1857" s="318">
        <f t="shared" si="8"/>
        <v>46128.65625</v>
      </c>
    </row>
    <row r="1858">
      <c r="A1858" s="14" t="str">
        <f t="shared" si="1"/>
        <v>C154846128</v>
      </c>
      <c r="B1858" s="185" t="str">
        <f t="array" ref="B1858">IF(F1858="VL","",IF(F1858="Free","Free",XLOOKUP(D1858,Roster!T:T,Roster!S:S,"",0)))</f>
        <v>Free</v>
      </c>
      <c r="C1858" s="313">
        <v>46128.0</v>
      </c>
      <c r="D1858" s="314" t="s">
        <v>30</v>
      </c>
      <c r="E1858" s="307" t="str">
        <f t="array" ref="E1858">(XLOOKUP(D1858,Roster!F:F,Roster!B:B,"",0))</f>
        <v>Frey ortiz</v>
      </c>
      <c r="F1858" s="315" t="str">
        <f t="array" ref="F1858">IF(B1858=100,"Free",TEXT(XLOOKUP($D1858,OperationVoice!$A:$A,OperationVoice!V:V,XLOOKUP($D1858,OperationTickets!$A:$A,OperationTickets!V:V,"",0)),"hh:mm"))</f>
        <v>Free</v>
      </c>
      <c r="G1858" s="309" t="str">
        <f t="shared" si="3"/>
        <v>Free</v>
      </c>
      <c r="H1858" s="316" t="str">
        <f t="array" ref="H1858">XLOOKUP(B1858,Roster!L:L,Roster!N:N,XLOOKUP(D1858,TicketsBreak!A:A,TicketsBreak!E:E,"",0),0)</f>
        <v/>
      </c>
      <c r="I1858" s="316" t="str">
        <f t="array" ref="I1858">XLOOKUP(B1858,Roster!L:L,Roster!O:O,XLOOKUP(D1858,TicketsBreak!A:A,TicketsBreak!F:F,"",0),0)</f>
        <v/>
      </c>
      <c r="J1858" s="316" t="str">
        <f t="array" ref="J1858">XLOOKUP(B1858,Roster!L:L,Roster!P:P,XLOOKUP(D1858,TicketsBreak!A:A,TicketsBreak!G:G,"",0),0)</f>
        <v/>
      </c>
      <c r="K1858" s="310">
        <f t="shared" si="4"/>
        <v>46128</v>
      </c>
      <c r="L1858" s="317">
        <f t="array" ref="L1858">(XLOOKUP(D1858,Roster!F:F,Roster!D:D,"",0))</f>
        <v>37</v>
      </c>
      <c r="M1858" s="317" t="str">
        <f t="array" ref="M1858">XLOOKUP(D1858,Roster!F:F,Roster!E:E)</f>
        <v>Voice</v>
      </c>
      <c r="N1858" s="317" t="str">
        <f t="shared" ref="N1858:P1858" si="1886">LEFT(H1858,5)</f>
        <v/>
      </c>
      <c r="O1858" s="317" t="str">
        <f t="shared" si="1886"/>
        <v/>
      </c>
      <c r="P1858" s="317" t="str">
        <f t="shared" si="1886"/>
        <v/>
      </c>
      <c r="Q1858" s="318" t="str">
        <f t="shared" si="1799"/>
        <v/>
      </c>
      <c r="R1858" s="318" t="str">
        <f t="shared" si="1800"/>
        <v/>
      </c>
      <c r="S1858" s="318" t="str">
        <f t="shared" si="8"/>
        <v/>
      </c>
    </row>
    <row r="1859">
      <c r="A1859" s="14" t="str">
        <f t="shared" si="1"/>
        <v>C148646128</v>
      </c>
      <c r="B1859" s="185" t="str">
        <f t="array" ref="B1859">IF(F1859="VL","",IF(F1859="Free","Free",XLOOKUP(D1859,Roster!T:T,Roster!S:S,"",0)))</f>
        <v>Free</v>
      </c>
      <c r="C1859" s="313">
        <v>46128.0</v>
      </c>
      <c r="D1859" s="314" t="s">
        <v>31</v>
      </c>
      <c r="E1859" s="307" t="str">
        <f t="array" ref="E1859">(XLOOKUP(D1859,Roster!F:F,Roster!B:B,"",0))</f>
        <v>Gabriel Gomez</v>
      </c>
      <c r="F1859" s="315" t="str">
        <f t="array" ref="F1859">IF(B1859=100,"Free",TEXT(XLOOKUP($D1859,OperationVoice!$A:$A,OperationVoice!V:V,XLOOKUP($D1859,OperationTickets!$A:$A,OperationTickets!V:V,"",0)),"hh:mm"))</f>
        <v>Free</v>
      </c>
      <c r="G1859" s="309" t="str">
        <f t="shared" si="3"/>
        <v>Free</v>
      </c>
      <c r="H1859" s="316" t="str">
        <f t="array" ref="H1859">XLOOKUP(B1859,Roster!L:L,Roster!N:N,XLOOKUP(D1859,TicketsBreak!A:A,TicketsBreak!E:E,"",0),0)</f>
        <v/>
      </c>
      <c r="I1859" s="316" t="str">
        <f t="array" ref="I1859">XLOOKUP(B1859,Roster!L:L,Roster!O:O,XLOOKUP(D1859,TicketsBreak!A:A,TicketsBreak!F:F,"",0),0)</f>
        <v/>
      </c>
      <c r="J1859" s="316" t="str">
        <f t="array" ref="J1859">XLOOKUP(B1859,Roster!L:L,Roster!P:P,XLOOKUP(D1859,TicketsBreak!A:A,TicketsBreak!G:G,"",0),0)</f>
        <v/>
      </c>
      <c r="K1859" s="310">
        <f t="shared" si="4"/>
        <v>46128</v>
      </c>
      <c r="L1859" s="317">
        <f t="array" ref="L1859">(XLOOKUP(D1859,Roster!F:F,Roster!D:D,"",0))</f>
        <v>34</v>
      </c>
      <c r="M1859" s="317" t="str">
        <f t="array" ref="M1859">XLOOKUP(D1859,Roster!F:F,Roster!E:E)</f>
        <v>Voice</v>
      </c>
      <c r="N1859" s="317" t="str">
        <f t="shared" ref="N1859:P1859" si="1887">LEFT(H1859,5)</f>
        <v/>
      </c>
      <c r="O1859" s="317" t="str">
        <f t="shared" si="1887"/>
        <v/>
      </c>
      <c r="P1859" s="317" t="str">
        <f t="shared" si="1887"/>
        <v/>
      </c>
      <c r="Q1859" s="318" t="str">
        <f t="shared" si="1799"/>
        <v/>
      </c>
      <c r="R1859" s="318" t="str">
        <f t="shared" si="1800"/>
        <v/>
      </c>
      <c r="S1859" s="318" t="str">
        <f t="shared" si="8"/>
        <v/>
      </c>
    </row>
    <row r="1860">
      <c r="A1860" s="14" t="str">
        <f t="shared" si="1"/>
        <v>C136946128</v>
      </c>
      <c r="B1860" s="185">
        <f t="array" ref="B1860">IF(F1860="VL","",IF(F1860="Free","Free",XLOOKUP(D1860,Roster!T:T,Roster!S:S,"",0)))</f>
        <v>126</v>
      </c>
      <c r="C1860" s="313">
        <v>46128.0</v>
      </c>
      <c r="D1860" s="314" t="s">
        <v>157</v>
      </c>
      <c r="E1860" s="307" t="str">
        <f t="array" ref="E1860">(XLOOKUP(D1860,Roster!F:F,Roster!B:B,"",0))</f>
        <v>Gabriela Jimenez</v>
      </c>
      <c r="F1860" s="315" t="str">
        <f t="array" ref="F1860">IF(B1860=100,"Free",TEXT(XLOOKUP($D1860,OperationVoice!$A:$A,OperationVoice!V:V,XLOOKUP($D1860,OperationTickets!$A:$A,OperationTickets!V:V,"",0)),"hh:mm"))</f>
        <v>08:00</v>
      </c>
      <c r="G1860" s="309">
        <f t="shared" si="3"/>
        <v>0.7083333333</v>
      </c>
      <c r="H1860" s="316" t="str">
        <f t="array" ref="H1860">XLOOKUP(B1860,Roster!L:L,Roster!N:N,XLOOKUP(D1860,TicketsBreak!A:A,TicketsBreak!E:E,"",0),0)</f>
        <v>10:45 - 11:00</v>
      </c>
      <c r="I1860" s="316" t="str">
        <f t="array" ref="I1860">XLOOKUP(B1860,Roster!L:L,Roster!O:O,XLOOKUP(D1860,TicketsBreak!A:A,TicketsBreak!F:F,"",0),0)</f>
        <v>14:00 - 14:30</v>
      </c>
      <c r="J1860" s="316" t="str">
        <f t="array" ref="J1860">XLOOKUP(B1860,Roster!L:L,Roster!P:P,XLOOKUP(D1860,TicketsBreak!A:A,TicketsBreak!G:G,"",0),0)</f>
        <v>15:45 - 16:00</v>
      </c>
      <c r="K1860" s="310">
        <f t="shared" si="4"/>
        <v>46128</v>
      </c>
      <c r="L1860" s="317">
        <f t="array" ref="L1860">(XLOOKUP(D1860,Roster!F:F,Roster!D:D,"",0))</f>
        <v>31</v>
      </c>
      <c r="M1860" s="317" t="str">
        <f t="array" ref="M1860">XLOOKUP(D1860,Roster!F:F,Roster!E:E)</f>
        <v>Tickets</v>
      </c>
      <c r="N1860" s="317" t="str">
        <f t="shared" ref="N1860:P1860" si="1888">LEFT(H1860,5)</f>
        <v>10:45</v>
      </c>
      <c r="O1860" s="317" t="str">
        <f t="shared" si="1888"/>
        <v>14:00</v>
      </c>
      <c r="P1860" s="317" t="str">
        <f t="shared" si="1888"/>
        <v>15:45</v>
      </c>
      <c r="Q1860" s="318">
        <f t="shared" si="1799"/>
        <v>46128.44792</v>
      </c>
      <c r="R1860" s="318">
        <f t="shared" si="1800"/>
        <v>46128.58333</v>
      </c>
      <c r="S1860" s="318">
        <f t="shared" si="8"/>
        <v>46128.65625</v>
      </c>
    </row>
    <row r="1861">
      <c r="A1861" s="14" t="str">
        <f t="shared" si="1"/>
        <v>C101746128</v>
      </c>
      <c r="B1861" s="185">
        <f t="array" ref="B1861">IF(F1861="VL","",IF(F1861="Free","Free",XLOOKUP(D1861,Roster!T:T,Roster!S:S,"",0)))</f>
        <v>121</v>
      </c>
      <c r="C1861" s="313">
        <v>46128.0</v>
      </c>
      <c r="D1861" s="314" t="s">
        <v>32</v>
      </c>
      <c r="E1861" s="307" t="str">
        <f t="array" ref="E1861">(XLOOKUP(D1861,Roster!F:F,Roster!B:B,"",0))</f>
        <v>Geraldine Correa</v>
      </c>
      <c r="F1861" s="315" t="str">
        <f t="array" ref="F1861">IF(B1861=100,"Free",TEXT(XLOOKUP($D1861,OperationVoice!$A:$A,OperationVoice!V:V,XLOOKUP($D1861,OperationTickets!$A:$A,OperationTickets!V:V,"",0)),"hh:mm"))</f>
        <v>08:00</v>
      </c>
      <c r="G1861" s="309">
        <f t="shared" si="3"/>
        <v>0.7083333333</v>
      </c>
      <c r="H1861" s="316" t="str">
        <f t="array" ref="H1861">XLOOKUP(B1861,Roster!L:L,Roster!N:N,XLOOKUP(D1861,TicketsBreak!A:A,TicketsBreak!E:E,"",0),0)</f>
        <v>09:15 - 09:30</v>
      </c>
      <c r="I1861" s="316" t="str">
        <f t="array" ref="I1861">XLOOKUP(B1861,Roster!L:L,Roster!O:O,XLOOKUP(D1861,TicketsBreak!A:A,TicketsBreak!F:F,"",0),0)</f>
        <v>11:30 - 12:00</v>
      </c>
      <c r="J1861" s="316" t="str">
        <f t="array" ref="J1861">XLOOKUP(B1861,Roster!L:L,Roster!P:P,XLOOKUP(D1861,TicketsBreak!A:A,TicketsBreak!G:G,"",0),0)</f>
        <v>14:30 - 14:45</v>
      </c>
      <c r="K1861" s="310">
        <f t="shared" si="4"/>
        <v>46128</v>
      </c>
      <c r="L1861" s="317">
        <f t="array" ref="L1861">(XLOOKUP(D1861,Roster!F:F,Roster!D:D,"",0))</f>
        <v>23</v>
      </c>
      <c r="M1861" s="317" t="str">
        <f t="array" ref="M1861">XLOOKUP(D1861,Roster!F:F,Roster!E:E)</f>
        <v>Voice</v>
      </c>
      <c r="N1861" s="317" t="str">
        <f t="shared" ref="N1861:P1861" si="1889">LEFT(H1861,5)</f>
        <v>09:15</v>
      </c>
      <c r="O1861" s="317" t="str">
        <f t="shared" si="1889"/>
        <v>11:30</v>
      </c>
      <c r="P1861" s="317" t="str">
        <f t="shared" si="1889"/>
        <v>14:30</v>
      </c>
      <c r="Q1861" s="318">
        <f t="shared" si="1799"/>
        <v>46128.38542</v>
      </c>
      <c r="R1861" s="318">
        <f t="shared" si="1800"/>
        <v>46128.47917</v>
      </c>
      <c r="S1861" s="318">
        <f t="shared" si="8"/>
        <v>46128.60417</v>
      </c>
    </row>
    <row r="1862">
      <c r="A1862" s="14" t="str">
        <f t="shared" si="1"/>
        <v>C154146128</v>
      </c>
      <c r="B1862" s="185">
        <f t="array" ref="B1862">IF(F1862="VL","",IF(F1862="Free","Free",XLOOKUP(D1862,Roster!T:T,Roster!S:S,"",0)))</f>
        <v>155</v>
      </c>
      <c r="C1862" s="313">
        <v>46128.0</v>
      </c>
      <c r="D1862" s="314" t="s">
        <v>33</v>
      </c>
      <c r="E1862" s="307" t="str">
        <f t="array" ref="E1862">(XLOOKUP(D1862,Roster!F:F,Roster!B:B,"",0))</f>
        <v>Gisel Moya</v>
      </c>
      <c r="F1862" s="315" t="str">
        <f t="array" ref="F1862">IF(B1862=100,"Free",TEXT(XLOOKUP($D1862,OperationVoice!$A:$A,OperationVoice!V:V,XLOOKUP($D1862,OperationTickets!$A:$A,OperationTickets!V:V,"",0)),"hh:mm"))</f>
        <v>11:00</v>
      </c>
      <c r="G1862" s="309">
        <f t="shared" si="3"/>
        <v>0.8333333333</v>
      </c>
      <c r="H1862" s="316" t="str">
        <f t="array" ref="H1862">XLOOKUP(B1862,Roster!L:L,Roster!N:N,XLOOKUP(D1862,TicketsBreak!A:A,TicketsBreak!E:E,"",0),0)</f>
        <v>13:15 - 13:30</v>
      </c>
      <c r="I1862" s="316" t="str">
        <f t="array" ref="I1862">XLOOKUP(B1862,Roster!L:L,Roster!O:O,XLOOKUP(D1862,TicketsBreak!A:A,TicketsBreak!F:F,"",0),0)</f>
        <v>15:45 - 16:15</v>
      </c>
      <c r="J1862" s="316" t="str">
        <f t="array" ref="J1862">XLOOKUP(B1862,Roster!L:L,Roster!P:P,XLOOKUP(D1862,TicketsBreak!A:A,TicketsBreak!G:G,"",0),0)</f>
        <v>18:15 - 18:30</v>
      </c>
      <c r="K1862" s="310">
        <f t="shared" si="4"/>
        <v>46128</v>
      </c>
      <c r="L1862" s="317">
        <f t="array" ref="L1862">(XLOOKUP(D1862,Roster!F:F,Roster!D:D,"",0))</f>
        <v>36</v>
      </c>
      <c r="M1862" s="317" t="str">
        <f t="array" ref="M1862">XLOOKUP(D1862,Roster!F:F,Roster!E:E)</f>
        <v>Voice</v>
      </c>
      <c r="N1862" s="317" t="str">
        <f t="shared" ref="N1862:P1862" si="1890">LEFT(H1862,5)</f>
        <v>13:15</v>
      </c>
      <c r="O1862" s="317" t="str">
        <f t="shared" si="1890"/>
        <v>15:45</v>
      </c>
      <c r="P1862" s="317" t="str">
        <f t="shared" si="1890"/>
        <v>18:15</v>
      </c>
      <c r="Q1862" s="318">
        <f t="shared" si="1799"/>
        <v>46128.55208</v>
      </c>
      <c r="R1862" s="318">
        <f t="shared" si="1800"/>
        <v>46128.65625</v>
      </c>
      <c r="S1862" s="318">
        <f t="shared" si="8"/>
        <v>46128.76042</v>
      </c>
    </row>
    <row r="1863">
      <c r="A1863" s="14" t="str">
        <f t="shared" si="1"/>
        <v>C86046128</v>
      </c>
      <c r="B1863" s="185" t="str">
        <f t="array" ref="B1863">IF(F1863="VL","",IF(F1863="Free","Free",XLOOKUP(D1863,Roster!T:T,Roster!S:S,"",0)))</f>
        <v>Free</v>
      </c>
      <c r="C1863" s="313">
        <v>46128.0</v>
      </c>
      <c r="D1863" s="314" t="s">
        <v>158</v>
      </c>
      <c r="E1863" s="307" t="str">
        <f t="array" ref="E1863">(XLOOKUP(D1863,Roster!F:F,Roster!B:B,"",0))</f>
        <v>Ief Fabre</v>
      </c>
      <c r="F1863" s="315" t="str">
        <f t="array" ref="F1863">IF(B1863=100,"Free",TEXT(XLOOKUP($D1863,OperationVoice!$A:$A,OperationVoice!V:V,XLOOKUP($D1863,OperationTickets!$A:$A,OperationTickets!V:V,"",0)),"hh:mm"))</f>
        <v>Free</v>
      </c>
      <c r="G1863" s="309" t="str">
        <f t="shared" si="3"/>
        <v>Free</v>
      </c>
      <c r="H1863" s="316">
        <f t="array" ref="H1863">XLOOKUP(B1863,Roster!L:L,Roster!N:N,XLOOKUP(D1863,TicketsBreak!A:A,TicketsBreak!E:E,"",0),0)</f>
        <v>0.4166666667</v>
      </c>
      <c r="I1863" s="316">
        <f t="array" ref="I1863">XLOOKUP(B1863,Roster!L:L,Roster!O:O,XLOOKUP(D1863,TicketsBreak!A:A,TicketsBreak!F:F,"",0),0)</f>
        <v>0.5</v>
      </c>
      <c r="J1863" s="316">
        <f t="array" ref="J1863">XLOOKUP(B1863,Roster!L:L,Roster!P:P,XLOOKUP(D1863,TicketsBreak!A:A,TicketsBreak!G:G,"",0),0)</f>
        <v>0.625</v>
      </c>
      <c r="K1863" s="310">
        <f t="shared" si="4"/>
        <v>46128</v>
      </c>
      <c r="L1863" s="317">
        <f t="array" ref="L1863">(XLOOKUP(D1863,Roster!F:F,Roster!D:D,"",0))</f>
        <v>10</v>
      </c>
      <c r="M1863" s="317" t="str">
        <f t="array" ref="M1863">XLOOKUP(D1863,Roster!F:F,Roster!E:E)</f>
        <v>Tickets</v>
      </c>
      <c r="N1863" s="317" t="str">
        <f t="shared" ref="N1863:P1863" si="1891">LEFT(H1863,5)</f>
        <v>10:00</v>
      </c>
      <c r="O1863" s="317" t="str">
        <f t="shared" si="1891"/>
        <v>12:00</v>
      </c>
      <c r="P1863" s="317" t="str">
        <f t="shared" si="1891"/>
        <v>15:00</v>
      </c>
      <c r="Q1863" s="318">
        <f t="shared" si="1799"/>
        <v>46128.41667</v>
      </c>
      <c r="R1863" s="318">
        <f t="shared" si="1800"/>
        <v>46128.5</v>
      </c>
      <c r="S1863" s="318">
        <f t="shared" si="8"/>
        <v>46128.625</v>
      </c>
    </row>
    <row r="1864">
      <c r="A1864" s="14" t="str">
        <f t="shared" si="1"/>
        <v>C148146128</v>
      </c>
      <c r="B1864" s="185">
        <f t="array" ref="B1864">IF(F1864="VL","",IF(F1864="Free","Free",XLOOKUP(D1864,Roster!T:T,Roster!S:S,"",0)))</f>
        <v>155</v>
      </c>
      <c r="C1864" s="313">
        <v>46128.0</v>
      </c>
      <c r="D1864" s="314" t="s">
        <v>34</v>
      </c>
      <c r="E1864" s="307" t="str">
        <f t="array" ref="E1864">(XLOOKUP(D1864,Roster!F:F,Roster!B:B,"",0))</f>
        <v>Jasam Mejia</v>
      </c>
      <c r="F1864" s="315" t="str">
        <f t="array" ref="F1864">IF(B1864=100,"Free",TEXT(XLOOKUP($D1864,OperationVoice!$A:$A,OperationVoice!V:V,XLOOKUP($D1864,OperationTickets!$A:$A,OperationTickets!V:V,"",0)),"hh:mm"))</f>
        <v>11:00</v>
      </c>
      <c r="G1864" s="309">
        <f t="shared" si="3"/>
        <v>0.8333333333</v>
      </c>
      <c r="H1864" s="316" t="str">
        <f t="array" ref="H1864">XLOOKUP(B1864,Roster!L:L,Roster!N:N,XLOOKUP(D1864,TicketsBreak!A:A,TicketsBreak!E:E,"",0),0)</f>
        <v>13:15 - 13:30</v>
      </c>
      <c r="I1864" s="316" t="str">
        <f t="array" ref="I1864">XLOOKUP(B1864,Roster!L:L,Roster!O:O,XLOOKUP(D1864,TicketsBreak!A:A,TicketsBreak!F:F,"",0),0)</f>
        <v>15:45 - 16:15</v>
      </c>
      <c r="J1864" s="316" t="str">
        <f t="array" ref="J1864">XLOOKUP(B1864,Roster!L:L,Roster!P:P,XLOOKUP(D1864,TicketsBreak!A:A,TicketsBreak!G:G,"",0),0)</f>
        <v>18:15 - 18:30</v>
      </c>
      <c r="K1864" s="310">
        <f t="shared" si="4"/>
        <v>46128</v>
      </c>
      <c r="L1864" s="317">
        <f t="array" ref="L1864">(XLOOKUP(D1864,Roster!F:F,Roster!D:D,"",0))</f>
        <v>34</v>
      </c>
      <c r="M1864" s="317" t="str">
        <f t="array" ref="M1864">XLOOKUP(D1864,Roster!F:F,Roster!E:E)</f>
        <v>Voice</v>
      </c>
      <c r="N1864" s="317" t="str">
        <f t="shared" ref="N1864:P1864" si="1892">LEFT(H1864,5)</f>
        <v>13:15</v>
      </c>
      <c r="O1864" s="317" t="str">
        <f t="shared" si="1892"/>
        <v>15:45</v>
      </c>
      <c r="P1864" s="317" t="str">
        <f t="shared" si="1892"/>
        <v>18:15</v>
      </c>
      <c r="Q1864" s="318">
        <f t="shared" si="1799"/>
        <v>46128.55208</v>
      </c>
      <c r="R1864" s="318">
        <f t="shared" si="1800"/>
        <v>46128.65625</v>
      </c>
      <c r="S1864" s="318">
        <f t="shared" si="8"/>
        <v>46128.76042</v>
      </c>
    </row>
    <row r="1865">
      <c r="A1865" s="14" t="str">
        <f t="shared" si="1"/>
        <v>C131846128</v>
      </c>
      <c r="B1865" s="185" t="str">
        <f t="array" ref="B1865">IF(F1865="VL","",IF(F1865="Free","Free",XLOOKUP(D1865,Roster!T:T,Roster!S:S,"",0)))</f>
        <v>Free</v>
      </c>
      <c r="C1865" s="313">
        <v>46128.0</v>
      </c>
      <c r="D1865" s="314" t="s">
        <v>159</v>
      </c>
      <c r="E1865" s="307" t="str">
        <f t="array" ref="E1865">(XLOOKUP(D1865,Roster!F:F,Roster!B:B,"",0))</f>
        <v>Jeampierre Jaramillo</v>
      </c>
      <c r="F1865" s="315" t="str">
        <f t="array" ref="F1865">IF(B1865=100,"Free",TEXT(XLOOKUP($D1865,OperationVoice!$A:$A,OperationVoice!V:V,XLOOKUP($D1865,OperationTickets!$A:$A,OperationTickets!V:V,"",0)),"hh:mm"))</f>
        <v>Free</v>
      </c>
      <c r="G1865" s="309" t="str">
        <f t="shared" si="3"/>
        <v>Free</v>
      </c>
      <c r="H1865" s="316" t="str">
        <f t="array" ref="H1865">XLOOKUP(B1865,Roster!L:L,Roster!N:N,XLOOKUP(D1865,TicketsBreak!A:A,TicketsBreak!E:E,"",0),0)</f>
        <v/>
      </c>
      <c r="I1865" s="316" t="str">
        <f t="array" ref="I1865">XLOOKUP(B1865,Roster!L:L,Roster!O:O,XLOOKUP(D1865,TicketsBreak!A:A,TicketsBreak!F:F,"",0),0)</f>
        <v/>
      </c>
      <c r="J1865" s="316" t="str">
        <f t="array" ref="J1865">XLOOKUP(B1865,Roster!L:L,Roster!P:P,XLOOKUP(D1865,TicketsBreak!A:A,TicketsBreak!G:G,"",0),0)</f>
        <v/>
      </c>
      <c r="K1865" s="310">
        <f t="shared" si="4"/>
        <v>46128</v>
      </c>
      <c r="L1865" s="317">
        <f t="array" ref="L1865">(XLOOKUP(D1865,Roster!F:F,Roster!D:D,"",0))</f>
        <v>29</v>
      </c>
      <c r="M1865" s="317" t="str">
        <f t="array" ref="M1865">XLOOKUP(D1865,Roster!F:F,Roster!E:E)</f>
        <v>Tickets</v>
      </c>
      <c r="N1865" s="317" t="str">
        <f t="shared" ref="N1865:P1865" si="1893">LEFT(H1865,5)</f>
        <v/>
      </c>
      <c r="O1865" s="317" t="str">
        <f t="shared" si="1893"/>
        <v/>
      </c>
      <c r="P1865" s="317" t="str">
        <f t="shared" si="1893"/>
        <v/>
      </c>
      <c r="Q1865" s="318" t="str">
        <f t="shared" si="1799"/>
        <v/>
      </c>
      <c r="R1865" s="318" t="str">
        <f t="shared" si="1800"/>
        <v/>
      </c>
      <c r="S1865" s="318" t="str">
        <f t="shared" si="8"/>
        <v/>
      </c>
    </row>
    <row r="1866">
      <c r="A1866" s="14" t="str">
        <f t="shared" si="1"/>
        <v>C155046128</v>
      </c>
      <c r="B1866" s="185">
        <f t="array" ref="B1866">IF(F1866="VL","",IF(F1866="Free","Free",XLOOKUP(D1866,Roster!T:T,Roster!S:S,"",0)))</f>
        <v>126</v>
      </c>
      <c r="C1866" s="313">
        <v>46128.0</v>
      </c>
      <c r="D1866" s="314" t="s">
        <v>35</v>
      </c>
      <c r="E1866" s="307" t="str">
        <f t="array" ref="E1866">(XLOOKUP(D1866,Roster!F:F,Roster!B:B,"",0))</f>
        <v>Jeidin Vargas</v>
      </c>
      <c r="F1866" s="315" t="str">
        <f t="array" ref="F1866">IF(B1866=100,"Free",TEXT(XLOOKUP($D1866,OperationVoice!$A:$A,OperationVoice!V:V,XLOOKUP($D1866,OperationTickets!$A:$A,OperationTickets!V:V,"",0)),"hh:mm"))</f>
        <v>08:00</v>
      </c>
      <c r="G1866" s="309">
        <f t="shared" si="3"/>
        <v>0.7083333333</v>
      </c>
      <c r="H1866" s="316" t="str">
        <f t="array" ref="H1866">XLOOKUP(B1866,Roster!L:L,Roster!N:N,XLOOKUP(D1866,TicketsBreak!A:A,TicketsBreak!E:E,"",0),0)</f>
        <v>10:45 - 11:00</v>
      </c>
      <c r="I1866" s="316" t="str">
        <f t="array" ref="I1866">XLOOKUP(B1866,Roster!L:L,Roster!O:O,XLOOKUP(D1866,TicketsBreak!A:A,TicketsBreak!F:F,"",0),0)</f>
        <v>14:00 - 14:30</v>
      </c>
      <c r="J1866" s="316" t="str">
        <f t="array" ref="J1866">XLOOKUP(B1866,Roster!L:L,Roster!P:P,XLOOKUP(D1866,TicketsBreak!A:A,TicketsBreak!G:G,"",0),0)</f>
        <v>15:45 - 16:00</v>
      </c>
      <c r="K1866" s="310">
        <f t="shared" si="4"/>
        <v>46128</v>
      </c>
      <c r="L1866" s="317">
        <f t="array" ref="L1866">(XLOOKUP(D1866,Roster!F:F,Roster!D:D,"",0))</f>
        <v>37</v>
      </c>
      <c r="M1866" s="317" t="str">
        <f t="array" ref="M1866">XLOOKUP(D1866,Roster!F:F,Roster!E:E)</f>
        <v>Voice</v>
      </c>
      <c r="N1866" s="317" t="str">
        <f t="shared" ref="N1866:P1866" si="1894">LEFT(H1866,5)</f>
        <v>10:45</v>
      </c>
      <c r="O1866" s="317" t="str">
        <f t="shared" si="1894"/>
        <v>14:00</v>
      </c>
      <c r="P1866" s="317" t="str">
        <f t="shared" si="1894"/>
        <v>15:45</v>
      </c>
      <c r="Q1866" s="318">
        <f t="shared" si="1799"/>
        <v>46128.44792</v>
      </c>
      <c r="R1866" s="318">
        <f t="shared" si="1800"/>
        <v>46128.58333</v>
      </c>
      <c r="S1866" s="318">
        <f t="shared" si="8"/>
        <v>46128.65625</v>
      </c>
    </row>
    <row r="1867">
      <c r="A1867" s="14" t="str">
        <f t="shared" si="1"/>
        <v>C51246128</v>
      </c>
      <c r="B1867" s="185">
        <f t="array" ref="B1867">IF(F1867="VL","",IF(F1867="Free","Free",XLOOKUP(D1867,Roster!T:T,Roster!S:S,"",0)))</f>
        <v>122</v>
      </c>
      <c r="C1867" s="313">
        <v>46128.0</v>
      </c>
      <c r="D1867" s="314" t="s">
        <v>36</v>
      </c>
      <c r="E1867" s="307" t="str">
        <f t="array" ref="E1867">(XLOOKUP(D1867,Roster!F:F,Roster!B:B,"",0))</f>
        <v>Jhoam Quiroz</v>
      </c>
      <c r="F1867" s="315" t="str">
        <f t="array" ref="F1867">IF(B1867=100,"Free",TEXT(XLOOKUP($D1867,OperationVoice!$A:$A,OperationVoice!V:V,XLOOKUP($D1867,OperationTickets!$A:$A,OperationTickets!V:V,"",0)),"hh:mm"))</f>
        <v>08:00</v>
      </c>
      <c r="G1867" s="309">
        <f t="shared" si="3"/>
        <v>0.7083333333</v>
      </c>
      <c r="H1867" s="316" t="str">
        <f t="array" ref="H1867">XLOOKUP(B1867,Roster!L:L,Roster!N:N,XLOOKUP(D1867,TicketsBreak!A:A,TicketsBreak!E:E,"",0),0)</f>
        <v>09:30 - 09:45</v>
      </c>
      <c r="I1867" s="316" t="str">
        <f t="array" ref="I1867">XLOOKUP(B1867,Roster!L:L,Roster!O:O,XLOOKUP(D1867,TicketsBreak!A:A,TicketsBreak!F:F,"",0),0)</f>
        <v>12:00 - 12:30</v>
      </c>
      <c r="J1867" s="316" t="str">
        <f t="array" ref="J1867">XLOOKUP(B1867,Roster!L:L,Roster!P:P,XLOOKUP(D1867,TicketsBreak!A:A,TicketsBreak!G:G,"",0),0)</f>
        <v>14:45 - 15:00</v>
      </c>
      <c r="K1867" s="310">
        <f t="shared" si="4"/>
        <v>46128</v>
      </c>
      <c r="L1867" s="317">
        <f t="array" ref="L1867">(XLOOKUP(D1867,Roster!F:F,Roster!D:D,"",0))</f>
        <v>1</v>
      </c>
      <c r="M1867" s="317" t="str">
        <f t="array" ref="M1867">XLOOKUP(D1867,Roster!F:F,Roster!E:E)</f>
        <v>Voice</v>
      </c>
      <c r="N1867" s="317" t="str">
        <f t="shared" ref="N1867:P1867" si="1895">LEFT(H1867,5)</f>
        <v>09:30</v>
      </c>
      <c r="O1867" s="317" t="str">
        <f t="shared" si="1895"/>
        <v>12:00</v>
      </c>
      <c r="P1867" s="317" t="str">
        <f t="shared" si="1895"/>
        <v>14:45</v>
      </c>
      <c r="Q1867" s="318">
        <f t="shared" si="1799"/>
        <v>46128.39583</v>
      </c>
      <c r="R1867" s="318">
        <f t="shared" si="1800"/>
        <v>46128.5</v>
      </c>
      <c r="S1867" s="318">
        <f t="shared" si="8"/>
        <v>46128.61458</v>
      </c>
    </row>
    <row r="1868">
      <c r="A1868" s="14" t="str">
        <f t="shared" si="1"/>
        <v>C150946128</v>
      </c>
      <c r="B1868" s="185" t="str">
        <f t="array" ref="B1868">IF(F1868="VL","",IF(F1868="Free","Free",XLOOKUP(D1868,Roster!T:T,Roster!S:S,"",0)))</f>
        <v>Free</v>
      </c>
      <c r="C1868" s="313">
        <v>46128.0</v>
      </c>
      <c r="D1868" s="314" t="s">
        <v>37</v>
      </c>
      <c r="E1868" s="307" t="str">
        <f t="array" ref="E1868">(XLOOKUP(D1868,Roster!F:F,Roster!B:B,"",0))</f>
        <v>Jhonatan Gomez</v>
      </c>
      <c r="F1868" s="315" t="str">
        <f t="array" ref="F1868">IF(B1868=100,"Free",TEXT(XLOOKUP($D1868,OperationVoice!$A:$A,OperationVoice!V:V,XLOOKUP($D1868,OperationTickets!$A:$A,OperationTickets!V:V,"",0)),"hh:mm"))</f>
        <v>Free</v>
      </c>
      <c r="G1868" s="309" t="str">
        <f t="shared" si="3"/>
        <v>Free</v>
      </c>
      <c r="H1868" s="316" t="str">
        <f t="array" ref="H1868">XLOOKUP(B1868,Roster!L:L,Roster!N:N,XLOOKUP(D1868,TicketsBreak!A:A,TicketsBreak!E:E,"",0),0)</f>
        <v/>
      </c>
      <c r="I1868" s="316" t="str">
        <f t="array" ref="I1868">XLOOKUP(B1868,Roster!L:L,Roster!O:O,XLOOKUP(D1868,TicketsBreak!A:A,TicketsBreak!F:F,"",0),0)</f>
        <v/>
      </c>
      <c r="J1868" s="316" t="str">
        <f t="array" ref="J1868">XLOOKUP(B1868,Roster!L:L,Roster!P:P,XLOOKUP(D1868,TicketsBreak!A:A,TicketsBreak!G:G,"",0),0)</f>
        <v/>
      </c>
      <c r="K1868" s="310">
        <f t="shared" si="4"/>
        <v>46128</v>
      </c>
      <c r="L1868" s="317">
        <f t="array" ref="L1868">(XLOOKUP(D1868,Roster!F:F,Roster!D:D,"",0))</f>
        <v>35</v>
      </c>
      <c r="M1868" s="317" t="str">
        <f t="array" ref="M1868">XLOOKUP(D1868,Roster!F:F,Roster!E:E)</f>
        <v>Voice</v>
      </c>
      <c r="N1868" s="317" t="str">
        <f t="shared" ref="N1868:P1868" si="1896">LEFT(H1868,5)</f>
        <v/>
      </c>
      <c r="O1868" s="317" t="str">
        <f t="shared" si="1896"/>
        <v/>
      </c>
      <c r="P1868" s="317" t="str">
        <f t="shared" si="1896"/>
        <v/>
      </c>
      <c r="Q1868" s="318" t="str">
        <f t="shared" si="1799"/>
        <v/>
      </c>
      <c r="R1868" s="318" t="str">
        <f t="shared" si="1800"/>
        <v/>
      </c>
      <c r="S1868" s="318" t="str">
        <f t="shared" si="8"/>
        <v/>
      </c>
    </row>
    <row r="1869">
      <c r="A1869" s="14" t="str">
        <f t="shared" si="1"/>
        <v>C151546128</v>
      </c>
      <c r="B1869" s="185">
        <f t="array" ref="B1869">IF(F1869="VL","",IF(F1869="Free","Free",XLOOKUP(D1869,Roster!T:T,Roster!S:S,"",0)))</f>
        <v>151</v>
      </c>
      <c r="C1869" s="313">
        <v>46128.0</v>
      </c>
      <c r="D1869" s="314" t="s">
        <v>38</v>
      </c>
      <c r="E1869" s="307" t="str">
        <f t="array" ref="E1869">(XLOOKUP(D1869,Roster!F:F,Roster!B:B,"",0))</f>
        <v>Joan Perez</v>
      </c>
      <c r="F1869" s="315" t="str">
        <f t="array" ref="F1869">IF(B1869=100,"Free",TEXT(XLOOKUP($D1869,OperationVoice!$A:$A,OperationVoice!V:V,XLOOKUP($D1869,OperationTickets!$A:$A,OperationTickets!V:V,"",0)),"hh:mm"))</f>
        <v/>
      </c>
      <c r="G1869" s="309" t="str">
        <f t="shared" si="3"/>
        <v/>
      </c>
      <c r="H1869" s="316" t="str">
        <f t="array" ref="H1869">XLOOKUP(B1869,Roster!L:L,Roster!N:N,XLOOKUP(D1869,TicketsBreak!A:A,TicketsBreak!E:E,"",0),0)</f>
        <v>12:15 - 12:30</v>
      </c>
      <c r="I1869" s="316" t="str">
        <f t="array" ref="I1869">XLOOKUP(B1869,Roster!L:L,Roster!O:O,XLOOKUP(D1869,TicketsBreak!A:A,TicketsBreak!F:F,"",0),0)</f>
        <v>14:00 - 14:30</v>
      </c>
      <c r="J1869" s="316" t="str">
        <f t="array" ref="J1869">XLOOKUP(B1869,Roster!L:L,Roster!P:P,XLOOKUP(D1869,TicketsBreak!A:A,TicketsBreak!G:G,"",0),0)</f>
        <v>17:15 - 17:30</v>
      </c>
      <c r="K1869" s="310">
        <f t="shared" si="4"/>
        <v>46128</v>
      </c>
      <c r="L1869" s="317">
        <f t="array" ref="L1869">(XLOOKUP(D1869,Roster!F:F,Roster!D:D,"",0))</f>
        <v>35</v>
      </c>
      <c r="M1869" s="317" t="str">
        <f t="array" ref="M1869">XLOOKUP(D1869,Roster!F:F,Roster!E:E)</f>
        <v>Voice</v>
      </c>
      <c r="N1869" s="317" t="str">
        <f t="shared" ref="N1869:P1869" si="1897">LEFT(H1869,5)</f>
        <v>12:15</v>
      </c>
      <c r="O1869" s="317" t="str">
        <f t="shared" si="1897"/>
        <v>14:00</v>
      </c>
      <c r="P1869" s="317" t="str">
        <f t="shared" si="1897"/>
        <v>17:15</v>
      </c>
      <c r="Q1869" s="318">
        <f t="shared" si="1799"/>
        <v>46128.51042</v>
      </c>
      <c r="R1869" s="318">
        <f t="shared" si="1800"/>
        <v>46128.58333</v>
      </c>
      <c r="S1869" s="318">
        <f t="shared" si="8"/>
        <v>46128.71875</v>
      </c>
    </row>
    <row r="1870">
      <c r="A1870" s="14" t="str">
        <f t="shared" si="1"/>
        <v>C128946128</v>
      </c>
      <c r="B1870" s="185" t="str">
        <f t="array" ref="B1870">IF(F1870="VL","",IF(F1870="Free","Free",XLOOKUP(D1870,Roster!T:T,Roster!S:S,"",0)))</f>
        <v/>
      </c>
      <c r="C1870" s="313">
        <v>46128.0</v>
      </c>
      <c r="D1870" s="314" t="s">
        <v>140</v>
      </c>
      <c r="E1870" s="307" t="str">
        <f t="array" ref="E1870">(XLOOKUP(D1870,Roster!F:F,Roster!B:B,"",0))</f>
        <v>Johana Villarreal</v>
      </c>
      <c r="F1870" s="315" t="str">
        <f t="array" ref="F1870">IF(B1870=100,"Free",TEXT(XLOOKUP($D1870,OperationVoice!$A:$A,OperationVoice!V:V,XLOOKUP($D1870,OperationTickets!$A:$A,OperationTickets!V:V,"",0)),"hh:mm"))</f>
        <v>07:00</v>
      </c>
      <c r="G1870" s="309">
        <f t="shared" si="3"/>
        <v>0.6666666667</v>
      </c>
      <c r="H1870" s="316" t="str">
        <f t="array" ref="H1870">XLOOKUP(B1870,Roster!L:L,Roster!N:N,XLOOKUP(D1870,TicketsBreak!A:A,TicketsBreak!E:E,"",0),0)</f>
        <v/>
      </c>
      <c r="I1870" s="316" t="str">
        <f t="array" ref="I1870">XLOOKUP(B1870,Roster!L:L,Roster!O:O,XLOOKUP(D1870,TicketsBreak!A:A,TicketsBreak!F:F,"",0),0)</f>
        <v/>
      </c>
      <c r="J1870" s="316" t="str">
        <f t="array" ref="J1870">XLOOKUP(B1870,Roster!L:L,Roster!P:P,XLOOKUP(D1870,TicketsBreak!A:A,TicketsBreak!G:G,"",0),0)</f>
        <v/>
      </c>
      <c r="K1870" s="310">
        <f t="shared" si="4"/>
        <v>46128</v>
      </c>
      <c r="L1870" s="317">
        <f t="array" ref="L1870">(XLOOKUP(D1870,Roster!F:F,Roster!D:D,"",0))</f>
        <v>28</v>
      </c>
      <c r="M1870" s="317" t="str">
        <f t="array" ref="M1870">XLOOKUP(D1870,Roster!F:F,Roster!E:E)</f>
        <v>Tickets</v>
      </c>
      <c r="N1870" s="317" t="str">
        <f t="shared" ref="N1870:P1870" si="1898">LEFT(H1870,5)</f>
        <v/>
      </c>
      <c r="O1870" s="317" t="str">
        <f t="shared" si="1898"/>
        <v/>
      </c>
      <c r="P1870" s="317" t="str">
        <f t="shared" si="1898"/>
        <v/>
      </c>
      <c r="Q1870" s="318" t="str">
        <f t="shared" si="1799"/>
        <v/>
      </c>
      <c r="R1870" s="318" t="str">
        <f t="shared" si="1800"/>
        <v/>
      </c>
      <c r="S1870" s="318" t="str">
        <f t="shared" si="8"/>
        <v/>
      </c>
    </row>
    <row r="1871">
      <c r="A1871" s="14" t="str">
        <f t="shared" si="1"/>
        <v>C155146128</v>
      </c>
      <c r="B1871" s="185">
        <f t="array" ref="B1871">IF(F1871="VL","",IF(F1871="Free","Free",XLOOKUP(D1871,Roster!T:T,Roster!S:S,"",0)))</f>
        <v>124</v>
      </c>
      <c r="C1871" s="313">
        <v>46128.0</v>
      </c>
      <c r="D1871" s="314" t="s">
        <v>39</v>
      </c>
      <c r="E1871" s="307" t="str">
        <f t="array" ref="E1871">(XLOOKUP(D1871,Roster!F:F,Roster!B:B,"",0))</f>
        <v>John Atilano</v>
      </c>
      <c r="F1871" s="315" t="str">
        <f t="array" ref="F1871">IF(B1871=100,"Free",TEXT(XLOOKUP($D1871,OperationVoice!$A:$A,OperationVoice!V:V,XLOOKUP($D1871,OperationTickets!$A:$A,OperationTickets!V:V,"",0)),"hh:mm"))</f>
        <v>08:00</v>
      </c>
      <c r="G1871" s="309">
        <f t="shared" si="3"/>
        <v>0.7083333333</v>
      </c>
      <c r="H1871" s="316" t="str">
        <f t="array" ref="H1871">XLOOKUP(B1871,Roster!L:L,Roster!N:N,XLOOKUP(D1871,TicketsBreak!A:A,TicketsBreak!E:E,"",0),0)</f>
        <v>10:00 - 10:15</v>
      </c>
      <c r="I1871" s="316" t="str">
        <f t="array" ref="I1871">XLOOKUP(B1871,Roster!L:L,Roster!O:O,XLOOKUP(D1871,TicketsBreak!A:A,TicketsBreak!F:F,"",0),0)</f>
        <v>13:00 - 13:30</v>
      </c>
      <c r="J1871" s="316" t="str">
        <f t="array" ref="J1871">XLOOKUP(B1871,Roster!L:L,Roster!P:P,XLOOKUP(D1871,TicketsBreak!A:A,TicketsBreak!G:G,"",0),0)</f>
        <v>15:30 - 15:45</v>
      </c>
      <c r="K1871" s="310">
        <f t="shared" si="4"/>
        <v>46128</v>
      </c>
      <c r="L1871" s="317">
        <f t="array" ref="L1871">(XLOOKUP(D1871,Roster!F:F,Roster!D:D,"",0))</f>
        <v>37</v>
      </c>
      <c r="M1871" s="317" t="str">
        <f t="array" ref="M1871">XLOOKUP(D1871,Roster!F:F,Roster!E:E)</f>
        <v>Voice</v>
      </c>
      <c r="N1871" s="317" t="str">
        <f t="shared" ref="N1871:P1871" si="1899">LEFT(H1871,5)</f>
        <v>10:00</v>
      </c>
      <c r="O1871" s="317" t="str">
        <f t="shared" si="1899"/>
        <v>13:00</v>
      </c>
      <c r="P1871" s="317" t="str">
        <f t="shared" si="1899"/>
        <v>15:30</v>
      </c>
      <c r="Q1871" s="318">
        <f t="shared" si="1799"/>
        <v>46128.41667</v>
      </c>
      <c r="R1871" s="318">
        <f t="shared" si="1800"/>
        <v>46128.54167</v>
      </c>
      <c r="S1871" s="318">
        <f t="shared" si="8"/>
        <v>46128.64583</v>
      </c>
    </row>
    <row r="1872">
      <c r="A1872" s="14" t="str">
        <f t="shared" si="1"/>
        <v>C154346128</v>
      </c>
      <c r="B1872" s="185">
        <f t="array" ref="B1872">IF(F1872="VL","",IF(F1872="Free","Free",XLOOKUP(D1872,Roster!T:T,Roster!S:S,"",0)))</f>
        <v>134</v>
      </c>
      <c r="C1872" s="313">
        <v>46128.0</v>
      </c>
      <c r="D1872" s="314" t="s">
        <v>40</v>
      </c>
      <c r="E1872" s="307" t="str">
        <f t="array" ref="E1872">(XLOOKUP(D1872,Roster!F:F,Roster!B:B,"",0))</f>
        <v>John Palacio</v>
      </c>
      <c r="F1872" s="315" t="str">
        <f t="array" ref="F1872">IF(B1872=100,"Free",TEXT(XLOOKUP($D1872,OperationVoice!$A:$A,OperationVoice!V:V,XLOOKUP($D1872,OperationTickets!$A:$A,OperationTickets!V:V,"",0)),"hh:mm"))</f>
        <v>09:00</v>
      </c>
      <c r="G1872" s="309">
        <f t="shared" si="3"/>
        <v>0.75</v>
      </c>
      <c r="H1872" s="316" t="str">
        <f t="array" ref="H1872">XLOOKUP(B1872,Roster!L:L,Roster!N:N,XLOOKUP(D1872,TicketsBreak!A:A,TicketsBreak!E:E,"",0),0)</f>
        <v>11:00 - 11:15</v>
      </c>
      <c r="I1872" s="316" t="str">
        <f t="array" ref="I1872">XLOOKUP(B1872,Roster!L:L,Roster!O:O,XLOOKUP(D1872,TicketsBreak!A:A,TicketsBreak!F:F,"",0),0)</f>
        <v>13:45 - 14:15</v>
      </c>
      <c r="J1872" s="316" t="str">
        <f t="array" ref="J1872">XLOOKUP(B1872,Roster!L:L,Roster!P:P,XLOOKUP(D1872,TicketsBreak!A:A,TicketsBreak!G:G,"",0),0)</f>
        <v>16:00 - 16:15</v>
      </c>
      <c r="K1872" s="310">
        <f t="shared" si="4"/>
        <v>46128</v>
      </c>
      <c r="L1872" s="317">
        <f t="array" ref="L1872">(XLOOKUP(D1872,Roster!F:F,Roster!D:D,"",0))</f>
        <v>36</v>
      </c>
      <c r="M1872" s="317" t="str">
        <f t="array" ref="M1872">XLOOKUP(D1872,Roster!F:F,Roster!E:E)</f>
        <v>Voice</v>
      </c>
      <c r="N1872" s="317" t="str">
        <f t="shared" ref="N1872:P1872" si="1900">LEFT(H1872,5)</f>
        <v>11:00</v>
      </c>
      <c r="O1872" s="317" t="str">
        <f t="shared" si="1900"/>
        <v>13:45</v>
      </c>
      <c r="P1872" s="317" t="str">
        <f t="shared" si="1900"/>
        <v>16:00</v>
      </c>
      <c r="Q1872" s="318">
        <f t="shared" si="1799"/>
        <v>46128.45833</v>
      </c>
      <c r="R1872" s="318">
        <f t="shared" si="1800"/>
        <v>46128.57292</v>
      </c>
      <c r="S1872" s="318">
        <f t="shared" si="8"/>
        <v>46128.66667</v>
      </c>
    </row>
    <row r="1873">
      <c r="A1873" s="14" t="str">
        <f t="shared" si="1"/>
        <v>C154246128</v>
      </c>
      <c r="B1873" s="185">
        <f t="array" ref="B1873">IF(F1873="VL","",IF(F1873="Free","Free",XLOOKUP(D1873,Roster!T:T,Roster!S:S,"",0)))</f>
        <v>124</v>
      </c>
      <c r="C1873" s="313">
        <v>46128.0</v>
      </c>
      <c r="D1873" s="314" t="s">
        <v>41</v>
      </c>
      <c r="E1873" s="307" t="str">
        <f t="array" ref="E1873">(XLOOKUP(D1873,Roster!F:F,Roster!B:B,"",0))</f>
        <v>Johny Garcia</v>
      </c>
      <c r="F1873" s="315" t="str">
        <f t="array" ref="F1873">IF(B1873=100,"Free",TEXT(XLOOKUP($D1873,OperationVoice!$A:$A,OperationVoice!V:V,XLOOKUP($D1873,OperationTickets!$A:$A,OperationTickets!V:V,"",0)),"hh:mm"))</f>
        <v>08:00</v>
      </c>
      <c r="G1873" s="309">
        <f t="shared" si="3"/>
        <v>0.7083333333</v>
      </c>
      <c r="H1873" s="316" t="str">
        <f t="array" ref="H1873">XLOOKUP(B1873,Roster!L:L,Roster!N:N,XLOOKUP(D1873,TicketsBreak!A:A,TicketsBreak!E:E,"",0),0)</f>
        <v>10:00 - 10:15</v>
      </c>
      <c r="I1873" s="316" t="str">
        <f t="array" ref="I1873">XLOOKUP(B1873,Roster!L:L,Roster!O:O,XLOOKUP(D1873,TicketsBreak!A:A,TicketsBreak!F:F,"",0),0)</f>
        <v>13:00 - 13:30</v>
      </c>
      <c r="J1873" s="316" t="str">
        <f t="array" ref="J1873">XLOOKUP(B1873,Roster!L:L,Roster!P:P,XLOOKUP(D1873,TicketsBreak!A:A,TicketsBreak!G:G,"",0),0)</f>
        <v>15:30 - 15:45</v>
      </c>
      <c r="K1873" s="310">
        <f t="shared" si="4"/>
        <v>46128</v>
      </c>
      <c r="L1873" s="317">
        <f t="array" ref="L1873">(XLOOKUP(D1873,Roster!F:F,Roster!D:D,"",0))</f>
        <v>36</v>
      </c>
      <c r="M1873" s="317" t="str">
        <f t="array" ref="M1873">XLOOKUP(D1873,Roster!F:F,Roster!E:E)</f>
        <v>Voice</v>
      </c>
      <c r="N1873" s="317" t="str">
        <f t="shared" ref="N1873:P1873" si="1901">LEFT(H1873,5)</f>
        <v>10:00</v>
      </c>
      <c r="O1873" s="317" t="str">
        <f t="shared" si="1901"/>
        <v>13:00</v>
      </c>
      <c r="P1873" s="317" t="str">
        <f t="shared" si="1901"/>
        <v>15:30</v>
      </c>
      <c r="Q1873" s="318">
        <f t="shared" si="1799"/>
        <v>46128.41667</v>
      </c>
      <c r="R1873" s="318">
        <f t="shared" si="1800"/>
        <v>46128.54167</v>
      </c>
      <c r="S1873" s="318">
        <f t="shared" si="8"/>
        <v>46128.64583</v>
      </c>
    </row>
    <row r="1874">
      <c r="A1874" s="14" t="str">
        <f t="shared" si="1"/>
        <v>C156946128</v>
      </c>
      <c r="B1874" s="185" t="str">
        <f t="array" ref="B1874">IF(F1874="VL","",IF(F1874="Free","Free",XLOOKUP(D1874,Roster!T:T,Roster!S:S,"",0)))</f>
        <v>Free</v>
      </c>
      <c r="C1874" s="313">
        <v>46128.0</v>
      </c>
      <c r="D1874" s="314" t="s">
        <v>42</v>
      </c>
      <c r="E1874" s="307" t="str">
        <f t="array" ref="E1874">(XLOOKUP(D1874,Roster!F:F,Roster!B:B,"",0))</f>
        <v>Jorge Orozco</v>
      </c>
      <c r="F1874" s="315" t="str">
        <f t="array" ref="F1874">IF(B1874=100,"Free",TEXT(XLOOKUP($D1874,OperationVoice!$A:$A,OperationVoice!V:V,XLOOKUP($D1874,OperationTickets!$A:$A,OperationTickets!V:V,"",0)),"hh:mm"))</f>
        <v>Free</v>
      </c>
      <c r="G1874" s="309" t="str">
        <f t="shared" si="3"/>
        <v>Free</v>
      </c>
      <c r="H1874" s="316" t="str">
        <f t="array" ref="H1874">XLOOKUP(B1874,Roster!L:L,Roster!N:N,XLOOKUP(D1874,TicketsBreak!A:A,TicketsBreak!E:E,"",0),0)</f>
        <v/>
      </c>
      <c r="I1874" s="316" t="str">
        <f t="array" ref="I1874">XLOOKUP(B1874,Roster!L:L,Roster!O:O,XLOOKUP(D1874,TicketsBreak!A:A,TicketsBreak!F:F,"",0),0)</f>
        <v/>
      </c>
      <c r="J1874" s="316" t="str">
        <f t="array" ref="J1874">XLOOKUP(B1874,Roster!L:L,Roster!P:P,XLOOKUP(D1874,TicketsBreak!A:A,TicketsBreak!G:G,"",0),0)</f>
        <v/>
      </c>
      <c r="K1874" s="310">
        <f t="shared" si="4"/>
        <v>46128</v>
      </c>
      <c r="L1874" s="317">
        <f t="array" ref="L1874">(XLOOKUP(D1874,Roster!F:F,Roster!D:D,"",0))</f>
        <v>38</v>
      </c>
      <c r="M1874" s="317" t="str">
        <f t="array" ref="M1874">XLOOKUP(D1874,Roster!F:F,Roster!E:E)</f>
        <v>Voice</v>
      </c>
      <c r="N1874" s="317" t="str">
        <f t="shared" ref="N1874:P1874" si="1902">LEFT(H1874,5)</f>
        <v/>
      </c>
      <c r="O1874" s="317" t="str">
        <f t="shared" si="1902"/>
        <v/>
      </c>
      <c r="P1874" s="317" t="str">
        <f t="shared" si="1902"/>
        <v/>
      </c>
      <c r="Q1874" s="318" t="str">
        <f t="shared" si="1799"/>
        <v/>
      </c>
      <c r="R1874" s="318" t="str">
        <f t="shared" si="1800"/>
        <v/>
      </c>
      <c r="S1874" s="318" t="str">
        <f t="shared" si="8"/>
        <v/>
      </c>
    </row>
    <row r="1875">
      <c r="A1875" s="14" t="str">
        <f t="shared" si="1"/>
        <v>C102746128</v>
      </c>
      <c r="B1875" s="185" t="str">
        <f t="array" ref="B1875">IF(F1875="VL","",IF(F1875="Free","Free",XLOOKUP(D1875,Roster!T:T,Roster!S:S,"",0)))</f>
        <v/>
      </c>
      <c r="C1875" s="313">
        <v>46128.0</v>
      </c>
      <c r="D1875" s="314" t="s">
        <v>160</v>
      </c>
      <c r="E1875" s="307" t="str">
        <f t="array" ref="E1875">(XLOOKUP(D1875,Roster!F:F,Roster!B:B,"",0))</f>
        <v>Jose Perez</v>
      </c>
      <c r="F1875" s="315" t="str">
        <f t="array" ref="F1875">IF(B1875=100,"Free",TEXT(XLOOKUP($D1875,OperationVoice!$A:$A,OperationVoice!V:V,XLOOKUP($D1875,OperationTickets!$A:$A,OperationTickets!V:V,"",0)),"hh:mm"))</f>
        <v>06:00</v>
      </c>
      <c r="G1875" s="309">
        <f t="shared" si="3"/>
        <v>0.625</v>
      </c>
      <c r="H1875" s="316">
        <f t="array" ref="H1875">XLOOKUP(B1875,Roster!L:L,Roster!N:N,XLOOKUP(D1875,TicketsBreak!A:A,TicketsBreak!E:E,"",0),0)</f>
        <v>0.4166666667</v>
      </c>
      <c r="I1875" s="316">
        <f t="array" ref="I1875">XLOOKUP(B1875,Roster!L:L,Roster!O:O,XLOOKUP(D1875,TicketsBreak!A:A,TicketsBreak!F:F,"",0),0)</f>
        <v>0.5208333333</v>
      </c>
      <c r="J1875" s="316">
        <f t="array" ref="J1875">XLOOKUP(B1875,Roster!L:L,Roster!P:P,XLOOKUP(D1875,TicketsBreak!A:A,TicketsBreak!G:G,"",0),0)</f>
        <v>0.6354166667</v>
      </c>
      <c r="K1875" s="310">
        <f t="shared" si="4"/>
        <v>46128</v>
      </c>
      <c r="L1875" s="317">
        <f t="array" ref="L1875">(XLOOKUP(D1875,Roster!F:F,Roster!D:D,"",0))</f>
        <v>15</v>
      </c>
      <c r="M1875" s="317" t="str">
        <f t="array" ref="M1875">XLOOKUP(D1875,Roster!F:F,Roster!E:E)</f>
        <v>Tickets</v>
      </c>
      <c r="N1875" s="317" t="str">
        <f t="shared" ref="N1875:P1875" si="1903">LEFT(H1875,5)</f>
        <v>10:00</v>
      </c>
      <c r="O1875" s="317" t="str">
        <f t="shared" si="1903"/>
        <v>12:30</v>
      </c>
      <c r="P1875" s="317" t="str">
        <f t="shared" si="1903"/>
        <v>15:15</v>
      </c>
      <c r="Q1875" s="318">
        <f t="shared" si="1799"/>
        <v>46128.41667</v>
      </c>
      <c r="R1875" s="318">
        <f t="shared" si="1800"/>
        <v>46128.52083</v>
      </c>
      <c r="S1875" s="318">
        <f t="shared" si="8"/>
        <v>46128.63542</v>
      </c>
    </row>
    <row r="1876">
      <c r="A1876" s="14" t="str">
        <f t="shared" si="1"/>
        <v>C142646128</v>
      </c>
      <c r="B1876" s="185">
        <f t="array" ref="B1876">IF(F1876="VL","",IF(F1876="Free","Free",XLOOKUP(D1876,Roster!T:T,Roster!S:S,"",0)))</f>
        <v>123</v>
      </c>
      <c r="C1876" s="313">
        <v>46128.0</v>
      </c>
      <c r="D1876" s="314" t="s">
        <v>161</v>
      </c>
      <c r="E1876" s="307" t="str">
        <f t="array" ref="E1876">(XLOOKUP(D1876,Roster!F:F,Roster!B:B,"",0))</f>
        <v>Jose Zapata</v>
      </c>
      <c r="F1876" s="315" t="str">
        <f t="array" ref="F1876">IF(B1876=100,"Free",TEXT(XLOOKUP($D1876,OperationVoice!$A:$A,OperationVoice!V:V,XLOOKUP($D1876,OperationTickets!$A:$A,OperationTickets!V:V,"",0)),"hh:mm"))</f>
        <v>08:00</v>
      </c>
      <c r="G1876" s="309">
        <f t="shared" si="3"/>
        <v>0.7083333333</v>
      </c>
      <c r="H1876" s="316" t="str">
        <f t="array" ref="H1876">XLOOKUP(B1876,Roster!L:L,Roster!N:N,XLOOKUP(D1876,TicketsBreak!A:A,TicketsBreak!E:E,"",0),0)</f>
        <v>09:45 - 10:00 </v>
      </c>
      <c r="I1876" s="316" t="str">
        <f t="array" ref="I1876">XLOOKUP(B1876,Roster!L:L,Roster!O:O,XLOOKUP(D1876,TicketsBreak!A:A,TicketsBreak!F:F,"",0),0)</f>
        <v>12:30 - 13:00</v>
      </c>
      <c r="J1876" s="316" t="str">
        <f t="array" ref="J1876">XLOOKUP(B1876,Roster!L:L,Roster!P:P,XLOOKUP(D1876,TicketsBreak!A:A,TicketsBreak!G:G,"",0),0)</f>
        <v>15:00 - 15:15</v>
      </c>
      <c r="K1876" s="310">
        <f t="shared" si="4"/>
        <v>46128</v>
      </c>
      <c r="L1876" s="317">
        <f t="array" ref="L1876">(XLOOKUP(D1876,Roster!F:F,Roster!D:D,"",0))</f>
        <v>32</v>
      </c>
      <c r="M1876" s="317" t="str">
        <f t="array" ref="M1876">XLOOKUP(D1876,Roster!F:F,Roster!E:E)</f>
        <v>Tickets</v>
      </c>
      <c r="N1876" s="317" t="str">
        <f t="shared" ref="N1876:P1876" si="1904">LEFT(H1876,5)</f>
        <v>09:45</v>
      </c>
      <c r="O1876" s="317" t="str">
        <f t="shared" si="1904"/>
        <v>12:30</v>
      </c>
      <c r="P1876" s="317" t="str">
        <f t="shared" si="1904"/>
        <v>15:00</v>
      </c>
      <c r="Q1876" s="318">
        <f t="shared" si="1799"/>
        <v>46128.40625</v>
      </c>
      <c r="R1876" s="318">
        <f t="shared" si="1800"/>
        <v>46128.52083</v>
      </c>
      <c r="S1876" s="318">
        <f t="shared" si="8"/>
        <v>46128.625</v>
      </c>
    </row>
    <row r="1877">
      <c r="A1877" s="14" t="str">
        <f t="shared" si="1"/>
        <v>C153346128</v>
      </c>
      <c r="B1877" s="185">
        <f t="array" ref="B1877">IF(F1877="VL","",IF(F1877="Free","Free",XLOOKUP(D1877,Roster!T:T,Roster!S:S,"",0)))</f>
        <v>125</v>
      </c>
      <c r="C1877" s="313">
        <v>46128.0</v>
      </c>
      <c r="D1877" s="314" t="s">
        <v>43</v>
      </c>
      <c r="E1877" s="307" t="str">
        <f t="array" ref="E1877">(XLOOKUP(D1877,Roster!F:F,Roster!B:B,"",0))</f>
        <v>Juan Barrera</v>
      </c>
      <c r="F1877" s="315" t="str">
        <f t="array" ref="F1877">IF(B1877=100,"Free",TEXT(XLOOKUP($D1877,OperationVoice!$A:$A,OperationVoice!V:V,XLOOKUP($D1877,OperationTickets!$A:$A,OperationTickets!V:V,"",0)),"hh:mm"))</f>
        <v>08:00</v>
      </c>
      <c r="G1877" s="309">
        <f t="shared" si="3"/>
        <v>0.7083333333</v>
      </c>
      <c r="H1877" s="316" t="str">
        <f t="array" ref="H1877">XLOOKUP(B1877,Roster!L:L,Roster!N:N,XLOOKUP(D1877,TicketsBreak!A:A,TicketsBreak!E:E,"",0),0)</f>
        <v>10:30 - 10:45</v>
      </c>
      <c r="I1877" s="316" t="str">
        <f t="array" ref="I1877">XLOOKUP(B1877,Roster!L:L,Roster!O:O,XLOOKUP(D1877,TicketsBreak!A:A,TicketsBreak!F:F,"",0),0)</f>
        <v>13:30 - 14:00</v>
      </c>
      <c r="J1877" s="316" t="str">
        <f t="array" ref="J1877">XLOOKUP(B1877,Roster!L:L,Roster!P:P,XLOOKUP(D1877,TicketsBreak!A:A,TicketsBreak!G:G,"",0),0)</f>
        <v>15:45 - 16:00</v>
      </c>
      <c r="K1877" s="310">
        <f t="shared" si="4"/>
        <v>46128</v>
      </c>
      <c r="L1877" s="317">
        <f t="array" ref="L1877">(XLOOKUP(D1877,Roster!F:F,Roster!D:D,"",0))</f>
        <v>36</v>
      </c>
      <c r="M1877" s="317" t="str">
        <f t="array" ref="M1877">XLOOKUP(D1877,Roster!F:F,Roster!E:E)</f>
        <v>Voice</v>
      </c>
      <c r="N1877" s="317" t="str">
        <f t="shared" ref="N1877:P1877" si="1905">LEFT(H1877,5)</f>
        <v>10:30</v>
      </c>
      <c r="O1877" s="317" t="str">
        <f t="shared" si="1905"/>
        <v>13:30</v>
      </c>
      <c r="P1877" s="317" t="str">
        <f t="shared" si="1905"/>
        <v>15:45</v>
      </c>
      <c r="Q1877" s="318">
        <f t="shared" si="1799"/>
        <v>46128.4375</v>
      </c>
      <c r="R1877" s="318">
        <f t="shared" si="1800"/>
        <v>46128.5625</v>
      </c>
      <c r="S1877" s="318">
        <f t="shared" si="8"/>
        <v>46128.65625</v>
      </c>
    </row>
    <row r="1878">
      <c r="A1878" s="14" t="str">
        <f t="shared" si="1"/>
        <v>C146546128</v>
      </c>
      <c r="B1878" s="185">
        <f t="array" ref="B1878">IF(F1878="VL","",IF(F1878="Free","Free",XLOOKUP(D1878,Roster!T:T,Roster!S:S,"",0)))</f>
        <v>500</v>
      </c>
      <c r="C1878" s="313">
        <v>46128.0</v>
      </c>
      <c r="D1878" s="314" t="s">
        <v>44</v>
      </c>
      <c r="E1878" s="307" t="str">
        <f t="array" ref="E1878">(XLOOKUP(D1878,Roster!F:F,Roster!B:B,"",0))</f>
        <v>Juan Castilla</v>
      </c>
      <c r="F1878" s="315" t="str">
        <f t="array" ref="F1878">IF(B1878=100,"Free",TEXT(XLOOKUP($D1878,OperationVoice!$A:$A,OperationVoice!V:V,XLOOKUP($D1878,OperationTickets!$A:$A,OperationTickets!V:V,"",0)),"hh:mm"))</f>
        <v>08:00</v>
      </c>
      <c r="G1878" s="309">
        <f t="shared" si="3"/>
        <v>0.7083333333</v>
      </c>
      <c r="H1878" s="316" t="str">
        <f t="array" ref="H1878">XLOOKUP(B1878,Roster!L:L,Roster!N:N,XLOOKUP(D1878,TicketsBreak!A:A,TicketsBreak!E:E,"",0),0)</f>
        <v>Team Leader</v>
      </c>
      <c r="I1878" s="316" t="str">
        <f t="array" ref="I1878">XLOOKUP(B1878,Roster!L:L,Roster!O:O,XLOOKUP(D1878,TicketsBreak!A:A,TicketsBreak!F:F,"",0),0)</f>
        <v>Team Leader</v>
      </c>
      <c r="J1878" s="316" t="str">
        <f t="array" ref="J1878">XLOOKUP(B1878,Roster!L:L,Roster!P:P,XLOOKUP(D1878,TicketsBreak!A:A,TicketsBreak!G:G,"",0),0)</f>
        <v/>
      </c>
      <c r="K1878" s="310">
        <f t="shared" si="4"/>
        <v>46128</v>
      </c>
      <c r="L1878" s="317">
        <f t="array" ref="L1878">(XLOOKUP(D1878,Roster!F:F,Roster!D:D,"",0))</f>
        <v>33</v>
      </c>
      <c r="M1878" s="317" t="str">
        <f t="array" ref="M1878">XLOOKUP(D1878,Roster!F:F,Roster!E:E)</f>
        <v>Voice</v>
      </c>
      <c r="N1878" s="317" t="str">
        <f t="shared" ref="N1878:P1878" si="1906">LEFT(H1878,5)</f>
        <v>Team </v>
      </c>
      <c r="O1878" s="317" t="str">
        <f t="shared" si="1906"/>
        <v>Team </v>
      </c>
      <c r="P1878" s="317" t="str">
        <f t="shared" si="1906"/>
        <v/>
      </c>
      <c r="Q1878" s="318" t="str">
        <f t="shared" si="1799"/>
        <v>#VALUE!</v>
      </c>
      <c r="R1878" s="318" t="str">
        <f t="shared" si="1800"/>
        <v>#VALUE!</v>
      </c>
      <c r="S1878" s="318" t="str">
        <f t="shared" si="8"/>
        <v/>
      </c>
    </row>
    <row r="1879">
      <c r="A1879" s="14" t="str">
        <f t="shared" si="1"/>
        <v>C72046128</v>
      </c>
      <c r="B1879" s="185" t="str">
        <f t="array" ref="B1879">IF(F1879="VL","",IF(F1879="Free","Free",XLOOKUP(D1879,Roster!T:T,Roster!S:S,"",0)))</f>
        <v/>
      </c>
      <c r="C1879" s="313">
        <v>46128.0</v>
      </c>
      <c r="D1879" s="314" t="s">
        <v>162</v>
      </c>
      <c r="E1879" s="307" t="str">
        <f t="array" ref="E1879">(XLOOKUP(D1879,Roster!F:F,Roster!B:B,"",0))</f>
        <v>Juan Durango</v>
      </c>
      <c r="F1879" s="315" t="str">
        <f t="array" ref="F1879">IF(B1879=100,"Free",TEXT(XLOOKUP($D1879,OperationVoice!$A:$A,OperationVoice!V:V,XLOOKUP($D1879,OperationTickets!$A:$A,OperationTickets!V:V,"",0)),"hh:mm"))</f>
        <v>08:00</v>
      </c>
      <c r="G1879" s="309">
        <f t="shared" si="3"/>
        <v>0.7083333333</v>
      </c>
      <c r="H1879" s="316">
        <f t="array" ref="H1879">XLOOKUP(B1879,Roster!L:L,Roster!N:N,XLOOKUP(D1879,TicketsBreak!A:A,TicketsBreak!E:E,"",0),0)</f>
        <v>0.40625</v>
      </c>
      <c r="I1879" s="316">
        <f t="array" ref="I1879">XLOOKUP(B1879,Roster!L:L,Roster!O:O,XLOOKUP(D1879,TicketsBreak!A:A,TicketsBreak!F:F,"",0),0)</f>
        <v>0.5729166667</v>
      </c>
      <c r="J1879" s="316">
        <f t="array" ref="J1879">XLOOKUP(B1879,Roster!L:L,Roster!P:P,XLOOKUP(D1879,TicketsBreak!A:A,TicketsBreak!G:G,"",0),0)</f>
        <v>0.65625</v>
      </c>
      <c r="K1879" s="310">
        <f t="shared" si="4"/>
        <v>46128</v>
      </c>
      <c r="L1879" s="317">
        <f t="array" ref="L1879">(XLOOKUP(D1879,Roster!F:F,Roster!D:D,"",0))</f>
        <v>7</v>
      </c>
      <c r="M1879" s="317" t="str">
        <f t="array" ref="M1879">XLOOKUP(D1879,Roster!F:F,Roster!E:E)</f>
        <v>Tickets</v>
      </c>
      <c r="N1879" s="317" t="str">
        <f t="shared" ref="N1879:P1879" si="1907">LEFT(H1879,5)</f>
        <v>09:45</v>
      </c>
      <c r="O1879" s="317" t="str">
        <f t="shared" si="1907"/>
        <v>13:45</v>
      </c>
      <c r="P1879" s="317" t="str">
        <f t="shared" si="1907"/>
        <v>15:45</v>
      </c>
      <c r="Q1879" s="318">
        <f t="shared" si="1799"/>
        <v>46128.40625</v>
      </c>
      <c r="R1879" s="318">
        <f t="shared" si="1800"/>
        <v>46128.57292</v>
      </c>
      <c r="S1879" s="318">
        <f t="shared" si="8"/>
        <v>46128.65625</v>
      </c>
    </row>
    <row r="1880">
      <c r="A1880" s="14" t="str">
        <f t="shared" si="1"/>
        <v>C59846128</v>
      </c>
      <c r="B1880" s="185" t="str">
        <f t="array" ref="B1880">IF(F1880="VL","",IF(F1880="Free","Free",XLOOKUP(D1880,Roster!T:T,Roster!S:S,"",0)))</f>
        <v/>
      </c>
      <c r="C1880" s="313">
        <v>46128.0</v>
      </c>
      <c r="D1880" s="314" t="s">
        <v>314</v>
      </c>
      <c r="E1880" s="307" t="str">
        <f t="array" ref="E1880">(XLOOKUP(D1880,Roster!F:F,Roster!B:B,"",0))</f>
        <v>Juan Fonnegra</v>
      </c>
      <c r="F1880" s="315" t="str">
        <f t="array" ref="F1880">IF(B1880=100,"Free",TEXT(XLOOKUP($D1880,OperationVoice!$A:$A,OperationVoice!V:V,XLOOKUP($D1880,OperationTickets!$A:$A,OperationTickets!V:V,"",0)),"hh:mm"))</f>
        <v/>
      </c>
      <c r="G1880" s="309" t="str">
        <f t="shared" si="3"/>
        <v/>
      </c>
      <c r="H1880" s="316">
        <f t="array" ref="H1880">XLOOKUP(B1880,Roster!L:L,Roster!N:N,XLOOKUP(D1880,TicketsBreak!A:A,TicketsBreak!E:E,"",0),0)</f>
        <v>0.4166666667</v>
      </c>
      <c r="I1880" s="316">
        <f t="array" ref="I1880">XLOOKUP(B1880,Roster!L:L,Roster!O:O,XLOOKUP(D1880,TicketsBreak!A:A,TicketsBreak!F:F,"",0),0)</f>
        <v>0.5208333333</v>
      </c>
      <c r="J1880" s="316">
        <f t="array" ref="J1880">XLOOKUP(B1880,Roster!L:L,Roster!P:P,XLOOKUP(D1880,TicketsBreak!A:A,TicketsBreak!G:G,"",0),0)</f>
        <v>0.65625</v>
      </c>
      <c r="K1880" s="310">
        <f t="shared" si="4"/>
        <v>46128</v>
      </c>
      <c r="L1880" s="317">
        <f t="array" ref="L1880">(XLOOKUP(D1880,Roster!F:F,Roster!D:D,"",0))</f>
        <v>1</v>
      </c>
      <c r="M1880" s="317" t="str">
        <f t="array" ref="M1880">XLOOKUP(D1880,Roster!F:F,Roster!E:E)</f>
        <v>Tickets</v>
      </c>
      <c r="N1880" s="317" t="str">
        <f t="shared" ref="N1880:P1880" si="1908">LEFT(H1880,5)</f>
        <v>10:00</v>
      </c>
      <c r="O1880" s="317" t="str">
        <f t="shared" si="1908"/>
        <v>12:30</v>
      </c>
      <c r="P1880" s="317" t="str">
        <f t="shared" si="1908"/>
        <v>15:45</v>
      </c>
      <c r="Q1880" s="318">
        <f t="shared" si="1799"/>
        <v>46128.41667</v>
      </c>
      <c r="R1880" s="318">
        <f t="shared" si="1800"/>
        <v>46128.52083</v>
      </c>
      <c r="S1880" s="318">
        <f t="shared" si="8"/>
        <v>46128.65625</v>
      </c>
    </row>
    <row r="1881">
      <c r="A1881" s="14" t="str">
        <f t="shared" si="1"/>
        <v>C113946128</v>
      </c>
      <c r="B1881" s="185">
        <f t="array" ref="B1881">IF(F1881="VL","",IF(F1881="Free","Free",XLOOKUP(D1881,Roster!T:T,Roster!S:S,"",0)))</f>
        <v>125</v>
      </c>
      <c r="C1881" s="313">
        <v>46128.0</v>
      </c>
      <c r="D1881" s="314" t="s">
        <v>45</v>
      </c>
      <c r="E1881" s="307" t="str">
        <f t="array" ref="E1881">(XLOOKUP(D1881,Roster!F:F,Roster!B:B,"",0))</f>
        <v>Juan Largacha</v>
      </c>
      <c r="F1881" s="315" t="str">
        <f t="array" ref="F1881">IF(B1881=100,"Free",TEXT(XLOOKUP($D1881,OperationVoice!$A:$A,OperationVoice!V:V,XLOOKUP($D1881,OperationTickets!$A:$A,OperationTickets!V:V,"",0)),"hh:mm"))</f>
        <v>08:00</v>
      </c>
      <c r="G1881" s="309">
        <f t="shared" si="3"/>
        <v>0.7083333333</v>
      </c>
      <c r="H1881" s="316" t="str">
        <f t="array" ref="H1881">XLOOKUP(B1881,Roster!L:L,Roster!N:N,XLOOKUP(D1881,TicketsBreak!A:A,TicketsBreak!E:E,"",0),0)</f>
        <v>10:30 - 10:45</v>
      </c>
      <c r="I1881" s="316" t="str">
        <f t="array" ref="I1881">XLOOKUP(B1881,Roster!L:L,Roster!O:O,XLOOKUP(D1881,TicketsBreak!A:A,TicketsBreak!F:F,"",0),0)</f>
        <v>13:30 - 14:00</v>
      </c>
      <c r="J1881" s="316" t="str">
        <f t="array" ref="J1881">XLOOKUP(B1881,Roster!L:L,Roster!P:P,XLOOKUP(D1881,TicketsBreak!A:A,TicketsBreak!G:G,"",0),0)</f>
        <v>15:45 - 16:00</v>
      </c>
      <c r="K1881" s="310">
        <f t="shared" si="4"/>
        <v>46128</v>
      </c>
      <c r="L1881" s="317">
        <f t="array" ref="L1881">(XLOOKUP(D1881,Roster!F:F,Roster!D:D,"",0))</f>
        <v>22</v>
      </c>
      <c r="M1881" s="317" t="str">
        <f t="array" ref="M1881">XLOOKUP(D1881,Roster!F:F,Roster!E:E)</f>
        <v>Voice</v>
      </c>
      <c r="N1881" s="317" t="str">
        <f t="shared" ref="N1881:P1881" si="1909">LEFT(H1881,5)</f>
        <v>10:30</v>
      </c>
      <c r="O1881" s="317" t="str">
        <f t="shared" si="1909"/>
        <v>13:30</v>
      </c>
      <c r="P1881" s="317" t="str">
        <f t="shared" si="1909"/>
        <v>15:45</v>
      </c>
      <c r="Q1881" s="318">
        <f t="shared" si="1799"/>
        <v>46128.4375</v>
      </c>
      <c r="R1881" s="318">
        <f t="shared" si="1800"/>
        <v>46128.5625</v>
      </c>
      <c r="S1881" s="318">
        <f t="shared" si="8"/>
        <v>46128.65625</v>
      </c>
    </row>
    <row r="1882">
      <c r="A1882" s="14" t="str">
        <f t="shared" si="1"/>
        <v>C156646128</v>
      </c>
      <c r="B1882" s="185">
        <f t="array" ref="B1882">IF(F1882="VL","",IF(F1882="Free","Free",XLOOKUP(D1882,Roster!T:T,Roster!S:S,"",0)))</f>
        <v>124</v>
      </c>
      <c r="C1882" s="313">
        <v>46128.0</v>
      </c>
      <c r="D1882" s="314" t="s">
        <v>46</v>
      </c>
      <c r="E1882" s="307" t="str">
        <f t="array" ref="E1882">(XLOOKUP(D1882,Roster!F:F,Roster!B:B,"",0))</f>
        <v>Juan Ocampo</v>
      </c>
      <c r="F1882" s="315" t="str">
        <f t="array" ref="F1882">IF(B1882=100,"Free",TEXT(XLOOKUP($D1882,OperationVoice!$A:$A,OperationVoice!V:V,XLOOKUP($D1882,OperationTickets!$A:$A,OperationTickets!V:V,"",0)),"hh:mm"))</f>
        <v>08:00</v>
      </c>
      <c r="G1882" s="309">
        <f t="shared" si="3"/>
        <v>0.7083333333</v>
      </c>
      <c r="H1882" s="316" t="str">
        <f t="array" ref="H1882">XLOOKUP(B1882,Roster!L:L,Roster!N:N,XLOOKUP(D1882,TicketsBreak!A:A,TicketsBreak!E:E,"",0),0)</f>
        <v>10:00 - 10:15</v>
      </c>
      <c r="I1882" s="316" t="str">
        <f t="array" ref="I1882">XLOOKUP(B1882,Roster!L:L,Roster!O:O,XLOOKUP(D1882,TicketsBreak!A:A,TicketsBreak!F:F,"",0),0)</f>
        <v>13:00 - 13:30</v>
      </c>
      <c r="J1882" s="316" t="str">
        <f t="array" ref="J1882">XLOOKUP(B1882,Roster!L:L,Roster!P:P,XLOOKUP(D1882,TicketsBreak!A:A,TicketsBreak!G:G,"",0),0)</f>
        <v>15:30 - 15:45</v>
      </c>
      <c r="K1882" s="310">
        <f t="shared" si="4"/>
        <v>46128</v>
      </c>
      <c r="L1882" s="317">
        <f t="array" ref="L1882">(XLOOKUP(D1882,Roster!F:F,Roster!D:D,"",0))</f>
        <v>38</v>
      </c>
      <c r="M1882" s="317" t="str">
        <f t="array" ref="M1882">XLOOKUP(D1882,Roster!F:F,Roster!E:E)</f>
        <v>Voice</v>
      </c>
      <c r="N1882" s="317" t="str">
        <f t="shared" ref="N1882:P1882" si="1910">LEFT(H1882,5)</f>
        <v>10:00</v>
      </c>
      <c r="O1882" s="317" t="str">
        <f t="shared" si="1910"/>
        <v>13:00</v>
      </c>
      <c r="P1882" s="317" t="str">
        <f t="shared" si="1910"/>
        <v>15:30</v>
      </c>
      <c r="Q1882" s="318">
        <f t="shared" si="1799"/>
        <v>46128.41667</v>
      </c>
      <c r="R1882" s="318">
        <f t="shared" si="1800"/>
        <v>46128.54167</v>
      </c>
      <c r="S1882" s="318">
        <f t="shared" si="8"/>
        <v>46128.64583</v>
      </c>
    </row>
    <row r="1883">
      <c r="A1883" s="14" t="str">
        <f t="shared" si="1"/>
        <v>C148446128</v>
      </c>
      <c r="B1883" s="185">
        <f t="array" ref="B1883">IF(F1883="VL","",IF(F1883="Free","Free",XLOOKUP(D1883,Roster!T:T,Roster!S:S,"",0)))</f>
        <v>126</v>
      </c>
      <c r="C1883" s="313">
        <v>46128.0</v>
      </c>
      <c r="D1883" s="314" t="s">
        <v>141</v>
      </c>
      <c r="E1883" s="307" t="str">
        <f t="array" ref="E1883">(XLOOKUP(D1883,Roster!F:F,Roster!B:B,"",0))</f>
        <v>Juan Ospina</v>
      </c>
      <c r="F1883" s="315" t="str">
        <f t="array" ref="F1883">IF(B1883=100,"Free",TEXT(XLOOKUP($D1883,OperationVoice!$A:$A,OperationVoice!V:V,XLOOKUP($D1883,OperationTickets!$A:$A,OperationTickets!V:V,"",0)),"hh:mm"))</f>
        <v>08:00</v>
      </c>
      <c r="G1883" s="309">
        <f t="shared" si="3"/>
        <v>0.7083333333</v>
      </c>
      <c r="H1883" s="316" t="str">
        <f t="array" ref="H1883">XLOOKUP(B1883,Roster!L:L,Roster!N:N,XLOOKUP(D1883,TicketsBreak!A:A,TicketsBreak!E:E,"",0),0)</f>
        <v>10:45 - 11:00</v>
      </c>
      <c r="I1883" s="316" t="str">
        <f t="array" ref="I1883">XLOOKUP(B1883,Roster!L:L,Roster!O:O,XLOOKUP(D1883,TicketsBreak!A:A,TicketsBreak!F:F,"",0),0)</f>
        <v>14:00 - 14:30</v>
      </c>
      <c r="J1883" s="316" t="str">
        <f t="array" ref="J1883">XLOOKUP(B1883,Roster!L:L,Roster!P:P,XLOOKUP(D1883,TicketsBreak!A:A,TicketsBreak!G:G,"",0),0)</f>
        <v>15:45 - 16:00</v>
      </c>
      <c r="K1883" s="310">
        <f t="shared" si="4"/>
        <v>46128</v>
      </c>
      <c r="L1883" s="317">
        <f t="array" ref="L1883">(XLOOKUP(D1883,Roster!F:F,Roster!D:D,"",0))</f>
        <v>34</v>
      </c>
      <c r="M1883" s="317" t="str">
        <f t="array" ref="M1883">XLOOKUP(D1883,Roster!F:F,Roster!E:E)</f>
        <v>Tickets</v>
      </c>
      <c r="N1883" s="317" t="str">
        <f t="shared" ref="N1883:P1883" si="1911">LEFT(H1883,5)</f>
        <v>10:45</v>
      </c>
      <c r="O1883" s="317" t="str">
        <f t="shared" si="1911"/>
        <v>14:00</v>
      </c>
      <c r="P1883" s="317" t="str">
        <f t="shared" si="1911"/>
        <v>15:45</v>
      </c>
      <c r="Q1883" s="318">
        <f t="shared" si="1799"/>
        <v>46128.44792</v>
      </c>
      <c r="R1883" s="318">
        <f t="shared" si="1800"/>
        <v>46128.58333</v>
      </c>
      <c r="S1883" s="318">
        <f t="shared" si="8"/>
        <v>46128.65625</v>
      </c>
    </row>
    <row r="1884">
      <c r="A1884" s="14" t="str">
        <f t="shared" si="1"/>
        <v>C141346128</v>
      </c>
      <c r="B1884" s="185">
        <f t="array" ref="B1884">IF(F1884="VL","",IF(F1884="Free","Free",XLOOKUP(D1884,Roster!T:T,Roster!S:S,"",0)))</f>
        <v>121</v>
      </c>
      <c r="C1884" s="313">
        <v>46128.0</v>
      </c>
      <c r="D1884" s="314" t="s">
        <v>47</v>
      </c>
      <c r="E1884" s="307" t="str">
        <f t="array" ref="E1884">(XLOOKUP(D1884,Roster!F:F,Roster!B:B,"",0))</f>
        <v>Juan Parra</v>
      </c>
      <c r="F1884" s="315" t="str">
        <f t="array" ref="F1884">IF(B1884=100,"Free",TEXT(XLOOKUP($D1884,OperationVoice!$A:$A,OperationVoice!V:V,XLOOKUP($D1884,OperationTickets!$A:$A,OperationTickets!V:V,"",0)),"hh:mm"))</f>
        <v>08:00</v>
      </c>
      <c r="G1884" s="309">
        <f t="shared" si="3"/>
        <v>0.7083333333</v>
      </c>
      <c r="H1884" s="316" t="str">
        <f t="array" ref="H1884">XLOOKUP(B1884,Roster!L:L,Roster!N:N,XLOOKUP(D1884,TicketsBreak!A:A,TicketsBreak!E:E,"",0),0)</f>
        <v>09:15 - 09:30</v>
      </c>
      <c r="I1884" s="316" t="str">
        <f t="array" ref="I1884">XLOOKUP(B1884,Roster!L:L,Roster!O:O,XLOOKUP(D1884,TicketsBreak!A:A,TicketsBreak!F:F,"",0),0)</f>
        <v>11:30 - 12:00</v>
      </c>
      <c r="J1884" s="316" t="str">
        <f t="array" ref="J1884">XLOOKUP(B1884,Roster!L:L,Roster!P:P,XLOOKUP(D1884,TicketsBreak!A:A,TicketsBreak!G:G,"",0),0)</f>
        <v>14:30 - 14:45</v>
      </c>
      <c r="K1884" s="310">
        <f t="shared" si="4"/>
        <v>46128</v>
      </c>
      <c r="L1884" s="317">
        <f t="array" ref="L1884">(XLOOKUP(D1884,Roster!F:F,Roster!D:D,"",0))</f>
        <v>32</v>
      </c>
      <c r="M1884" s="317" t="str">
        <f t="array" ref="M1884">XLOOKUP(D1884,Roster!F:F,Roster!E:E)</f>
        <v>Voice</v>
      </c>
      <c r="N1884" s="317" t="str">
        <f t="shared" ref="N1884:P1884" si="1912">LEFT(H1884,5)</f>
        <v>09:15</v>
      </c>
      <c r="O1884" s="317" t="str">
        <f t="shared" si="1912"/>
        <v>11:30</v>
      </c>
      <c r="P1884" s="317" t="str">
        <f t="shared" si="1912"/>
        <v>14:30</v>
      </c>
      <c r="Q1884" s="318">
        <f t="shared" si="1799"/>
        <v>46128.38542</v>
      </c>
      <c r="R1884" s="318">
        <f t="shared" si="1800"/>
        <v>46128.47917</v>
      </c>
      <c r="S1884" s="318">
        <f t="shared" si="8"/>
        <v>46128.60417</v>
      </c>
    </row>
    <row r="1885">
      <c r="A1885" s="14" t="str">
        <f t="shared" si="1"/>
        <v>C132746128</v>
      </c>
      <c r="B1885" s="185" t="str">
        <f t="array" ref="B1885">IF(F1885="VL","",IF(F1885="Free","Free",XLOOKUP(D1885,Roster!T:T,Roster!S:S,"",0)))</f>
        <v/>
      </c>
      <c r="C1885" s="313">
        <v>46128.0</v>
      </c>
      <c r="D1885" s="314" t="s">
        <v>163</v>
      </c>
      <c r="E1885" s="307" t="str">
        <f t="array" ref="E1885">(XLOOKUP(D1885,Roster!F:F,Roster!B:B,"",0))</f>
        <v>Juan Restrepo</v>
      </c>
      <c r="F1885" s="315" t="str">
        <f t="array" ref="F1885">IF(B1885=100,"Free",TEXT(XLOOKUP($D1885,OperationVoice!$A:$A,OperationVoice!V:V,XLOOKUP($D1885,OperationTickets!$A:$A,OperationTickets!V:V,"",0)),"hh:mm"))</f>
        <v>07:00</v>
      </c>
      <c r="G1885" s="309">
        <f t="shared" si="3"/>
        <v>0.6666666667</v>
      </c>
      <c r="H1885" s="316" t="str">
        <f t="array" ref="H1885">XLOOKUP(B1885,Roster!L:L,Roster!N:N,XLOOKUP(D1885,TicketsBreak!A:A,TicketsBreak!E:E,"",0),0)</f>
        <v/>
      </c>
      <c r="I1885" s="316" t="str">
        <f t="array" ref="I1885">XLOOKUP(B1885,Roster!L:L,Roster!O:O,XLOOKUP(D1885,TicketsBreak!A:A,TicketsBreak!F:F,"",0),0)</f>
        <v/>
      </c>
      <c r="J1885" s="316" t="str">
        <f t="array" ref="J1885">XLOOKUP(B1885,Roster!L:L,Roster!P:P,XLOOKUP(D1885,TicketsBreak!A:A,TicketsBreak!G:G,"",0),0)</f>
        <v/>
      </c>
      <c r="K1885" s="310">
        <f t="shared" si="4"/>
        <v>46128</v>
      </c>
      <c r="L1885" s="317">
        <f t="array" ref="L1885">(XLOOKUP(D1885,Roster!F:F,Roster!D:D,"",0))</f>
        <v>29</v>
      </c>
      <c r="M1885" s="317" t="str">
        <f t="array" ref="M1885">XLOOKUP(D1885,Roster!F:F,Roster!E:E)</f>
        <v>Tickets</v>
      </c>
      <c r="N1885" s="317" t="str">
        <f t="shared" ref="N1885:P1885" si="1913">LEFT(H1885,5)</f>
        <v/>
      </c>
      <c r="O1885" s="317" t="str">
        <f t="shared" si="1913"/>
        <v/>
      </c>
      <c r="P1885" s="317" t="str">
        <f t="shared" si="1913"/>
        <v/>
      </c>
      <c r="Q1885" s="318" t="str">
        <f t="shared" si="1799"/>
        <v/>
      </c>
      <c r="R1885" s="318" t="str">
        <f t="shared" si="1800"/>
        <v/>
      </c>
      <c r="S1885" s="318" t="str">
        <f t="shared" si="8"/>
        <v/>
      </c>
    </row>
    <row r="1886">
      <c r="A1886" s="14" t="str">
        <f t="shared" si="1"/>
        <v>C146946128</v>
      </c>
      <c r="B1886" s="185">
        <f t="array" ref="B1886">IF(F1886="VL","",IF(F1886="Free","Free",XLOOKUP(D1886,Roster!T:T,Roster!S:S,"",0)))</f>
        <v>122</v>
      </c>
      <c r="C1886" s="313">
        <v>46128.0</v>
      </c>
      <c r="D1886" s="314" t="s">
        <v>48</v>
      </c>
      <c r="E1886" s="307" t="str">
        <f t="array" ref="E1886">(XLOOKUP(D1886,Roster!F:F,Roster!B:B,"",0))</f>
        <v>Juan Restrepo Restrepo</v>
      </c>
      <c r="F1886" s="315" t="str">
        <f t="array" ref="F1886">IF(B1886=100,"Free",TEXT(XLOOKUP($D1886,OperationVoice!$A:$A,OperationVoice!V:V,XLOOKUP($D1886,OperationTickets!$A:$A,OperationTickets!V:V,"",0)),"hh:mm"))</f>
        <v>08:00</v>
      </c>
      <c r="G1886" s="309">
        <f t="shared" si="3"/>
        <v>0.7083333333</v>
      </c>
      <c r="H1886" s="316" t="str">
        <f t="array" ref="H1886">XLOOKUP(B1886,Roster!L:L,Roster!N:N,XLOOKUP(D1886,TicketsBreak!A:A,TicketsBreak!E:E,"",0),0)</f>
        <v>09:30 - 09:45</v>
      </c>
      <c r="I1886" s="316" t="str">
        <f t="array" ref="I1886">XLOOKUP(B1886,Roster!L:L,Roster!O:O,XLOOKUP(D1886,TicketsBreak!A:A,TicketsBreak!F:F,"",0),0)</f>
        <v>12:00 - 12:30</v>
      </c>
      <c r="J1886" s="316" t="str">
        <f t="array" ref="J1886">XLOOKUP(B1886,Roster!L:L,Roster!P:P,XLOOKUP(D1886,TicketsBreak!A:A,TicketsBreak!G:G,"",0),0)</f>
        <v>14:45 - 15:00</v>
      </c>
      <c r="K1886" s="310">
        <f t="shared" si="4"/>
        <v>46128</v>
      </c>
      <c r="L1886" s="317">
        <f t="array" ref="L1886">(XLOOKUP(D1886,Roster!F:F,Roster!D:D,"",0))</f>
        <v>33</v>
      </c>
      <c r="M1886" s="317" t="str">
        <f t="array" ref="M1886">XLOOKUP(D1886,Roster!F:F,Roster!E:E)</f>
        <v>Voice</v>
      </c>
      <c r="N1886" s="317" t="str">
        <f t="shared" ref="N1886:P1886" si="1914">LEFT(H1886,5)</f>
        <v>09:30</v>
      </c>
      <c r="O1886" s="317" t="str">
        <f t="shared" si="1914"/>
        <v>12:00</v>
      </c>
      <c r="P1886" s="317" t="str">
        <f t="shared" si="1914"/>
        <v>14:45</v>
      </c>
      <c r="Q1886" s="318">
        <f t="shared" si="1799"/>
        <v>46128.39583</v>
      </c>
      <c r="R1886" s="318">
        <f t="shared" si="1800"/>
        <v>46128.5</v>
      </c>
      <c r="S1886" s="318">
        <f t="shared" si="8"/>
        <v>46128.61458</v>
      </c>
    </row>
    <row r="1887">
      <c r="A1887" s="14" t="str">
        <f t="shared" si="1"/>
        <v>C117146128</v>
      </c>
      <c r="B1887" s="185" t="str">
        <f t="array" ref="B1887">IF(F1887="VL","",IF(F1887="Free","Free",XLOOKUP(D1887,Roster!T:T,Roster!S:S,"",0)))</f>
        <v>Free</v>
      </c>
      <c r="C1887" s="313">
        <v>46128.0</v>
      </c>
      <c r="D1887" s="314" t="s">
        <v>142</v>
      </c>
      <c r="E1887" s="307" t="str">
        <f t="array" ref="E1887">(XLOOKUP(D1887,Roster!F:F,Roster!B:B,"",0))</f>
        <v>Juan Sanchez</v>
      </c>
      <c r="F1887" s="315" t="str">
        <f t="array" ref="F1887">IF(B1887=100,"Free",TEXT(XLOOKUP($D1887,OperationVoice!$A:$A,OperationVoice!V:V,XLOOKUP($D1887,OperationTickets!$A:$A,OperationTickets!V:V,"",0)),"hh:mm"))</f>
        <v>Free</v>
      </c>
      <c r="G1887" s="309" t="str">
        <f t="shared" si="3"/>
        <v>Free</v>
      </c>
      <c r="H1887" s="316" t="str">
        <f t="array" ref="H1887">XLOOKUP(B1887,Roster!L:L,Roster!N:N,XLOOKUP(D1887,TicketsBreak!A:A,TicketsBreak!E:E,"",0),0)</f>
        <v/>
      </c>
      <c r="I1887" s="316" t="str">
        <f t="array" ref="I1887">XLOOKUP(B1887,Roster!L:L,Roster!O:O,XLOOKUP(D1887,TicketsBreak!A:A,TicketsBreak!F:F,"",0),0)</f>
        <v/>
      </c>
      <c r="J1887" s="316" t="str">
        <f t="array" ref="J1887">XLOOKUP(B1887,Roster!L:L,Roster!P:P,XLOOKUP(D1887,TicketsBreak!A:A,TicketsBreak!G:G,"",0),0)</f>
        <v/>
      </c>
      <c r="K1887" s="310">
        <f t="shared" si="4"/>
        <v>46128</v>
      </c>
      <c r="L1887" s="317">
        <f t="array" ref="L1887">(XLOOKUP(D1887,Roster!F:F,Roster!D:D,"",0))</f>
        <v>24</v>
      </c>
      <c r="M1887" s="317" t="str">
        <f t="array" ref="M1887">XLOOKUP(D1887,Roster!F:F,Roster!E:E)</f>
        <v>Tickets</v>
      </c>
      <c r="N1887" s="317" t="str">
        <f t="shared" ref="N1887:P1887" si="1915">LEFT(H1887,5)</f>
        <v/>
      </c>
      <c r="O1887" s="317" t="str">
        <f t="shared" si="1915"/>
        <v/>
      </c>
      <c r="P1887" s="317" t="str">
        <f t="shared" si="1915"/>
        <v/>
      </c>
      <c r="Q1887" s="318" t="str">
        <f t="shared" si="1799"/>
        <v/>
      </c>
      <c r="R1887" s="318" t="str">
        <f t="shared" si="1800"/>
        <v/>
      </c>
      <c r="S1887" s="318" t="str">
        <f t="shared" si="8"/>
        <v/>
      </c>
    </row>
    <row r="1888">
      <c r="A1888" s="14" t="str">
        <f t="shared" si="1"/>
        <v>C74346128</v>
      </c>
      <c r="B1888" s="185" t="str">
        <f t="array" ref="B1888">IF(F1888="VL","",IF(F1888="Free","Free",XLOOKUP(D1888,Roster!T:T,Roster!S:S,"",0)))</f>
        <v/>
      </c>
      <c r="C1888" s="313">
        <v>46128.0</v>
      </c>
      <c r="D1888" s="314" t="s">
        <v>164</v>
      </c>
      <c r="E1888" s="307" t="str">
        <f t="array" ref="E1888">(XLOOKUP(D1888,Roster!F:F,Roster!B:B,"",0))</f>
        <v>Juan Suarez</v>
      </c>
      <c r="F1888" s="315" t="str">
        <f t="array" ref="F1888">IF(B1888=100,"Free",TEXT(XLOOKUP($D1888,OperationVoice!$A:$A,OperationVoice!V:V,XLOOKUP($D1888,OperationTickets!$A:$A,OperationTickets!V:V,"",0)),"hh:mm"))</f>
        <v>VL</v>
      </c>
      <c r="G1888" s="309" t="str">
        <f t="shared" si="3"/>
        <v>VL</v>
      </c>
      <c r="H1888" s="316">
        <f t="array" ref="H1888">XLOOKUP(B1888,Roster!L:L,Roster!N:N,XLOOKUP(D1888,TicketsBreak!A:A,TicketsBreak!E:E,"",0),0)</f>
        <v>0.3958333333</v>
      </c>
      <c r="I1888" s="316">
        <f t="array" ref="I1888">XLOOKUP(B1888,Roster!L:L,Roster!O:O,XLOOKUP(D1888,TicketsBreak!A:A,TicketsBreak!F:F,"",0),0)</f>
        <v>0.5208333333</v>
      </c>
      <c r="J1888" s="316">
        <f t="array" ref="J1888">XLOOKUP(B1888,Roster!L:L,Roster!P:P,XLOOKUP(D1888,TicketsBreak!A:A,TicketsBreak!G:G,"",0),0)</f>
        <v>0.6145833333</v>
      </c>
      <c r="K1888" s="310">
        <f t="shared" si="4"/>
        <v>46128</v>
      </c>
      <c r="L1888" s="317">
        <f t="array" ref="L1888">(XLOOKUP(D1888,Roster!F:F,Roster!D:D,"",0))</f>
        <v>8</v>
      </c>
      <c r="M1888" s="317" t="str">
        <f t="array" ref="M1888">XLOOKUP(D1888,Roster!F:F,Roster!E:E)</f>
        <v>Tickets</v>
      </c>
      <c r="N1888" s="317" t="str">
        <f t="shared" ref="N1888:P1888" si="1916">LEFT(H1888,5)</f>
        <v>09:30</v>
      </c>
      <c r="O1888" s="317" t="str">
        <f t="shared" si="1916"/>
        <v>12:30</v>
      </c>
      <c r="P1888" s="317" t="str">
        <f t="shared" si="1916"/>
        <v>14:45</v>
      </c>
      <c r="Q1888" s="318">
        <f t="shared" si="1799"/>
        <v>46128.39583</v>
      </c>
      <c r="R1888" s="318">
        <f t="shared" si="1800"/>
        <v>46128.52083</v>
      </c>
      <c r="S1888" s="318">
        <f t="shared" si="8"/>
        <v>46128.61458</v>
      </c>
    </row>
    <row r="1889">
      <c r="A1889" s="14" t="str">
        <f t="shared" si="1"/>
        <v>C156846128</v>
      </c>
      <c r="B1889" s="185">
        <f t="array" ref="B1889">IF(F1889="VL","",IF(F1889="Free","Free",XLOOKUP(D1889,Roster!T:T,Roster!S:S,"",0)))</f>
        <v>122</v>
      </c>
      <c r="C1889" s="313">
        <v>46128.0</v>
      </c>
      <c r="D1889" s="314" t="s">
        <v>49</v>
      </c>
      <c r="E1889" s="307" t="str">
        <f t="array" ref="E1889">(XLOOKUP(D1889,Roster!F:F,Roster!B:B,"",0))</f>
        <v>Juan Zapata</v>
      </c>
      <c r="F1889" s="315" t="str">
        <f t="array" ref="F1889">IF(B1889=100,"Free",TEXT(XLOOKUP($D1889,OperationVoice!$A:$A,OperationVoice!V:V,XLOOKUP($D1889,OperationTickets!$A:$A,OperationTickets!V:V,"",0)),"hh:mm"))</f>
        <v>08:00</v>
      </c>
      <c r="G1889" s="309">
        <f t="shared" si="3"/>
        <v>0.7083333333</v>
      </c>
      <c r="H1889" s="316" t="str">
        <f t="array" ref="H1889">XLOOKUP(B1889,Roster!L:L,Roster!N:N,XLOOKUP(D1889,TicketsBreak!A:A,TicketsBreak!E:E,"",0),0)</f>
        <v>09:30 - 09:45</v>
      </c>
      <c r="I1889" s="316" t="str">
        <f t="array" ref="I1889">XLOOKUP(B1889,Roster!L:L,Roster!O:O,XLOOKUP(D1889,TicketsBreak!A:A,TicketsBreak!F:F,"",0),0)</f>
        <v>12:00 - 12:30</v>
      </c>
      <c r="J1889" s="316" t="str">
        <f t="array" ref="J1889">XLOOKUP(B1889,Roster!L:L,Roster!P:P,XLOOKUP(D1889,TicketsBreak!A:A,TicketsBreak!G:G,"",0),0)</f>
        <v>14:45 - 15:00</v>
      </c>
      <c r="K1889" s="310">
        <f t="shared" si="4"/>
        <v>46128</v>
      </c>
      <c r="L1889" s="317">
        <f t="array" ref="L1889">(XLOOKUP(D1889,Roster!F:F,Roster!D:D,"",0))</f>
        <v>38</v>
      </c>
      <c r="M1889" s="317" t="str">
        <f t="array" ref="M1889">XLOOKUP(D1889,Roster!F:F,Roster!E:E)</f>
        <v>Voice</v>
      </c>
      <c r="N1889" s="317" t="str">
        <f t="shared" ref="N1889:P1889" si="1917">LEFT(H1889,5)</f>
        <v>09:30</v>
      </c>
      <c r="O1889" s="317" t="str">
        <f t="shared" si="1917"/>
        <v>12:00</v>
      </c>
      <c r="P1889" s="317" t="str">
        <f t="shared" si="1917"/>
        <v>14:45</v>
      </c>
      <c r="Q1889" s="318">
        <f t="shared" si="1799"/>
        <v>46128.39583</v>
      </c>
      <c r="R1889" s="318">
        <f t="shared" si="1800"/>
        <v>46128.5</v>
      </c>
      <c r="S1889" s="318">
        <f t="shared" si="8"/>
        <v>46128.61458</v>
      </c>
    </row>
    <row r="1890">
      <c r="A1890" s="14" t="str">
        <f t="shared" si="1"/>
        <v>C75546128</v>
      </c>
      <c r="B1890" s="185" t="str">
        <f t="array" ref="B1890">IF(F1890="VL","",IF(F1890="Free","Free",XLOOKUP(D1890,Roster!T:T,Roster!S:S,"",0)))</f>
        <v/>
      </c>
      <c r="C1890" s="313">
        <v>46128.0</v>
      </c>
      <c r="D1890" s="314" t="s">
        <v>143</v>
      </c>
      <c r="E1890" s="307" t="str">
        <f t="array" ref="E1890">(XLOOKUP(D1890,Roster!F:F,Roster!B:B,"",0))</f>
        <v>Julian Higuita</v>
      </c>
      <c r="F1890" s="315" t="str">
        <f t="array" ref="F1890">IF(B1890=100,"Free",TEXT(XLOOKUP($D1890,OperationVoice!$A:$A,OperationVoice!V:V,XLOOKUP($D1890,OperationTickets!$A:$A,OperationTickets!V:V,"",0)),"hh:mm"))</f>
        <v>VL</v>
      </c>
      <c r="G1890" s="309" t="str">
        <f t="shared" si="3"/>
        <v>VL</v>
      </c>
      <c r="H1890" s="316" t="str">
        <f t="array" ref="H1890">XLOOKUP(B1890,Roster!L:L,Roster!N:N,XLOOKUP(D1890,TicketsBreak!A:A,TicketsBreak!E:E,"",0),0)</f>
        <v/>
      </c>
      <c r="I1890" s="316" t="str">
        <f t="array" ref="I1890">XLOOKUP(B1890,Roster!L:L,Roster!O:O,XLOOKUP(D1890,TicketsBreak!A:A,TicketsBreak!F:F,"",0),0)</f>
        <v/>
      </c>
      <c r="J1890" s="316" t="str">
        <f t="array" ref="J1890">XLOOKUP(B1890,Roster!L:L,Roster!P:P,XLOOKUP(D1890,TicketsBreak!A:A,TicketsBreak!G:G,"",0),0)</f>
        <v/>
      </c>
      <c r="K1890" s="310">
        <f t="shared" si="4"/>
        <v>46128</v>
      </c>
      <c r="L1890" s="317">
        <f t="array" ref="L1890">(XLOOKUP(D1890,Roster!F:F,Roster!D:D,"",0))</f>
        <v>35</v>
      </c>
      <c r="M1890" s="317" t="str">
        <f t="array" ref="M1890">XLOOKUP(D1890,Roster!F:F,Roster!E:E)</f>
        <v>Tickets</v>
      </c>
      <c r="N1890" s="317" t="str">
        <f t="shared" ref="N1890:P1890" si="1918">LEFT(H1890,5)</f>
        <v/>
      </c>
      <c r="O1890" s="317" t="str">
        <f t="shared" si="1918"/>
        <v/>
      </c>
      <c r="P1890" s="317" t="str">
        <f t="shared" si="1918"/>
        <v/>
      </c>
      <c r="Q1890" s="318" t="str">
        <f t="shared" si="1799"/>
        <v/>
      </c>
      <c r="R1890" s="318" t="str">
        <f t="shared" si="1800"/>
        <v/>
      </c>
      <c r="S1890" s="318" t="str">
        <f t="shared" si="8"/>
        <v/>
      </c>
    </row>
    <row r="1891">
      <c r="A1891" s="14" t="str">
        <f t="shared" si="1"/>
        <v>C52546128</v>
      </c>
      <c r="B1891" s="185" t="str">
        <f t="array" ref="B1891">IF(F1891="VL","",IF(F1891="Free","Free",XLOOKUP(D1891,Roster!T:T,Roster!S:S,"",0)))</f>
        <v/>
      </c>
      <c r="C1891" s="313">
        <v>46128.0</v>
      </c>
      <c r="D1891" s="314" t="s">
        <v>176</v>
      </c>
      <c r="E1891" s="307" t="str">
        <f t="array" ref="E1891">(XLOOKUP(D1891,Roster!F:F,Roster!B:B,"",0))</f>
        <v>Julian Pineda</v>
      </c>
      <c r="F1891" s="315" t="str">
        <f t="array" ref="F1891">IF(B1891=100,"Free",TEXT(XLOOKUP($D1891,OperationVoice!$A:$A,OperationVoice!V:V,XLOOKUP($D1891,OperationTickets!$A:$A,OperationTickets!V:V,"",0)),"hh:mm"))</f>
        <v>08:00</v>
      </c>
      <c r="G1891" s="309">
        <f t="shared" si="3"/>
        <v>0.7083333333</v>
      </c>
      <c r="H1891" s="316" t="str">
        <f t="array" ref="H1891">XLOOKUP(B1891,Roster!L:L,Roster!N:N,XLOOKUP(D1891,TicketsBreak!A:A,TicketsBreak!E:E,"",0),0)</f>
        <v/>
      </c>
      <c r="I1891" s="316" t="str">
        <f t="array" ref="I1891">XLOOKUP(B1891,Roster!L:L,Roster!O:O,XLOOKUP(D1891,TicketsBreak!A:A,TicketsBreak!F:F,"",0),0)</f>
        <v/>
      </c>
      <c r="J1891" s="316" t="str">
        <f t="array" ref="J1891">XLOOKUP(B1891,Roster!L:L,Roster!P:P,XLOOKUP(D1891,TicketsBreak!A:A,TicketsBreak!G:G,"",0),0)</f>
        <v/>
      </c>
      <c r="K1891" s="310">
        <f t="shared" si="4"/>
        <v>46128</v>
      </c>
      <c r="L1891" s="317">
        <f t="array" ref="L1891">(XLOOKUP(D1891,Roster!F:F,Roster!D:D,"",0))</f>
        <v>35</v>
      </c>
      <c r="M1891" s="317" t="str">
        <f t="array" ref="M1891">XLOOKUP(D1891,Roster!F:F,Roster!E:E)</f>
        <v>Tickets</v>
      </c>
      <c r="N1891" s="317" t="str">
        <f t="shared" ref="N1891:P1891" si="1919">LEFT(H1891,5)</f>
        <v/>
      </c>
      <c r="O1891" s="317" t="str">
        <f t="shared" si="1919"/>
        <v/>
      </c>
      <c r="P1891" s="317" t="str">
        <f t="shared" si="1919"/>
        <v/>
      </c>
      <c r="Q1891" s="318" t="str">
        <f t="shared" si="1799"/>
        <v/>
      </c>
      <c r="R1891" s="318" t="str">
        <f t="shared" si="1800"/>
        <v/>
      </c>
      <c r="S1891" s="318" t="str">
        <f t="shared" si="8"/>
        <v/>
      </c>
    </row>
    <row r="1892">
      <c r="A1892" s="14" t="str">
        <f t="shared" si="1"/>
        <v>C142746128</v>
      </c>
      <c r="B1892" s="185">
        <f t="array" ref="B1892">IF(F1892="VL","",IF(F1892="Free","Free",XLOOKUP(D1892,Roster!T:T,Roster!S:S,"",0)))</f>
        <v>123</v>
      </c>
      <c r="C1892" s="313">
        <v>46128.0</v>
      </c>
      <c r="D1892" s="314" t="s">
        <v>50</v>
      </c>
      <c r="E1892" s="307" t="str">
        <f t="array" ref="E1892">(XLOOKUP(D1892,Roster!F:F,Roster!B:B,"",0))</f>
        <v>Karen Lorena Martinez</v>
      </c>
      <c r="F1892" s="315" t="str">
        <f t="array" ref="F1892">IF(B1892=100,"Free",TEXT(XLOOKUP($D1892,OperationVoice!$A:$A,OperationVoice!V:V,XLOOKUP($D1892,OperationTickets!$A:$A,OperationTickets!V:V,"",0)),"hh:mm"))</f>
        <v>08:00</v>
      </c>
      <c r="G1892" s="309">
        <f t="shared" si="3"/>
        <v>0.7083333333</v>
      </c>
      <c r="H1892" s="316" t="str">
        <f t="array" ref="H1892">XLOOKUP(B1892,Roster!L:L,Roster!N:N,XLOOKUP(D1892,TicketsBreak!A:A,TicketsBreak!E:E,"",0),0)</f>
        <v>09:45 - 10:00 </v>
      </c>
      <c r="I1892" s="316" t="str">
        <f t="array" ref="I1892">XLOOKUP(B1892,Roster!L:L,Roster!O:O,XLOOKUP(D1892,TicketsBreak!A:A,TicketsBreak!F:F,"",0),0)</f>
        <v>12:30 - 13:00</v>
      </c>
      <c r="J1892" s="316" t="str">
        <f t="array" ref="J1892">XLOOKUP(B1892,Roster!L:L,Roster!P:P,XLOOKUP(D1892,TicketsBreak!A:A,TicketsBreak!G:G,"",0),0)</f>
        <v>15:00 - 15:15</v>
      </c>
      <c r="K1892" s="310">
        <f t="shared" si="4"/>
        <v>46128</v>
      </c>
      <c r="L1892" s="317">
        <f t="array" ref="L1892">(XLOOKUP(D1892,Roster!F:F,Roster!D:D,"",0))</f>
        <v>32</v>
      </c>
      <c r="M1892" s="317" t="str">
        <f t="array" ref="M1892">XLOOKUP(D1892,Roster!F:F,Roster!E:E)</f>
        <v>Voice</v>
      </c>
      <c r="N1892" s="317" t="str">
        <f t="shared" ref="N1892:P1892" si="1920">LEFT(H1892,5)</f>
        <v>09:45</v>
      </c>
      <c r="O1892" s="317" t="str">
        <f t="shared" si="1920"/>
        <v>12:30</v>
      </c>
      <c r="P1892" s="317" t="str">
        <f t="shared" si="1920"/>
        <v>15:00</v>
      </c>
      <c r="Q1892" s="318">
        <f t="shared" si="1799"/>
        <v>46128.40625</v>
      </c>
      <c r="R1892" s="318">
        <f t="shared" si="1800"/>
        <v>46128.52083</v>
      </c>
      <c r="S1892" s="318">
        <f t="shared" si="8"/>
        <v>46128.625</v>
      </c>
    </row>
    <row r="1893">
      <c r="A1893" s="14" t="str">
        <f t="shared" si="1"/>
        <v>C57946128</v>
      </c>
      <c r="B1893" s="185" t="str">
        <f t="array" ref="B1893">IF(F1893="VL","",IF(F1893="Free","Free",XLOOKUP(D1893,Roster!T:T,Roster!S:S,"",0)))</f>
        <v>Free</v>
      </c>
      <c r="C1893" s="313">
        <v>46128.0</v>
      </c>
      <c r="D1893" s="314" t="s">
        <v>144</v>
      </c>
      <c r="E1893" s="307" t="str">
        <f t="array" ref="E1893">(XLOOKUP(D1893,Roster!F:F,Roster!B:B,"",0))</f>
        <v>Karen Martinez</v>
      </c>
      <c r="F1893" s="315" t="str">
        <f t="array" ref="F1893">IF(B1893=100,"Free",TEXT(XLOOKUP($D1893,OperationVoice!$A:$A,OperationVoice!V:V,XLOOKUP($D1893,OperationTickets!$A:$A,OperationTickets!V:V,"",0)),"hh:mm"))</f>
        <v>Free</v>
      </c>
      <c r="G1893" s="309" t="str">
        <f t="shared" si="3"/>
        <v>Free</v>
      </c>
      <c r="H1893" s="316">
        <f t="array" ref="H1893">XLOOKUP(B1893,Roster!L:L,Roster!N:N,XLOOKUP(D1893,TicketsBreak!A:A,TicketsBreak!E:E,"",0),0)</f>
        <v>0.4166666667</v>
      </c>
      <c r="I1893" s="316">
        <f t="array" ref="I1893">XLOOKUP(B1893,Roster!L:L,Roster!O:O,XLOOKUP(D1893,TicketsBreak!A:A,TicketsBreak!F:F,"",0),0)</f>
        <v>0.5</v>
      </c>
      <c r="J1893" s="316">
        <f t="array" ref="J1893">XLOOKUP(B1893,Roster!L:L,Roster!P:P,XLOOKUP(D1893,TicketsBreak!A:A,TicketsBreak!G:G,"",0),0)</f>
        <v>0.625</v>
      </c>
      <c r="K1893" s="310">
        <f t="shared" si="4"/>
        <v>46128</v>
      </c>
      <c r="L1893" s="317">
        <f t="array" ref="L1893">(XLOOKUP(D1893,Roster!F:F,Roster!D:D,"",0))</f>
        <v>4</v>
      </c>
      <c r="M1893" s="317" t="str">
        <f t="array" ref="M1893">XLOOKUP(D1893,Roster!F:F,Roster!E:E)</f>
        <v>Tickets</v>
      </c>
      <c r="N1893" s="317" t="str">
        <f t="shared" ref="N1893:P1893" si="1921">LEFT(H1893,5)</f>
        <v>10:00</v>
      </c>
      <c r="O1893" s="317" t="str">
        <f t="shared" si="1921"/>
        <v>12:00</v>
      </c>
      <c r="P1893" s="317" t="str">
        <f t="shared" si="1921"/>
        <v>15:00</v>
      </c>
      <c r="Q1893" s="318">
        <f t="shared" si="1799"/>
        <v>46128.41667</v>
      </c>
      <c r="R1893" s="318">
        <f t="shared" si="1800"/>
        <v>46128.5</v>
      </c>
      <c r="S1893" s="318">
        <f t="shared" si="8"/>
        <v>46128.625</v>
      </c>
    </row>
    <row r="1894">
      <c r="A1894" s="14" t="str">
        <f t="shared" si="1"/>
        <v>C108646128</v>
      </c>
      <c r="B1894" s="185">
        <f t="array" ref="B1894">IF(F1894="VL","",IF(F1894="Free","Free",XLOOKUP(D1894,Roster!T:T,Roster!S:S,"",0)))</f>
        <v>124</v>
      </c>
      <c r="C1894" s="313">
        <v>46128.0</v>
      </c>
      <c r="D1894" s="314" t="s">
        <v>51</v>
      </c>
      <c r="E1894" s="307" t="str">
        <f t="array" ref="E1894">(XLOOKUP(D1894,Roster!F:F,Roster!B:B,"",0))</f>
        <v>Karen Panqueva</v>
      </c>
      <c r="F1894" s="315" t="str">
        <f t="array" ref="F1894">IF(B1894=100,"Free",TEXT(XLOOKUP($D1894,OperationVoice!$A:$A,OperationVoice!V:V,XLOOKUP($D1894,OperationTickets!$A:$A,OperationTickets!V:V,"",0)),"hh:mm"))</f>
        <v>08:00</v>
      </c>
      <c r="G1894" s="309">
        <f t="shared" si="3"/>
        <v>0.7083333333</v>
      </c>
      <c r="H1894" s="316" t="str">
        <f t="array" ref="H1894">XLOOKUP(B1894,Roster!L:L,Roster!N:N,XLOOKUP(D1894,TicketsBreak!A:A,TicketsBreak!E:E,"",0),0)</f>
        <v>10:00 - 10:15</v>
      </c>
      <c r="I1894" s="316" t="str">
        <f t="array" ref="I1894">XLOOKUP(B1894,Roster!L:L,Roster!O:O,XLOOKUP(D1894,TicketsBreak!A:A,TicketsBreak!F:F,"",0),0)</f>
        <v>13:00 - 13:30</v>
      </c>
      <c r="J1894" s="316" t="str">
        <f t="array" ref="J1894">XLOOKUP(B1894,Roster!L:L,Roster!P:P,XLOOKUP(D1894,TicketsBreak!A:A,TicketsBreak!G:G,"",0),0)</f>
        <v>15:30 - 15:45</v>
      </c>
      <c r="K1894" s="310">
        <f t="shared" si="4"/>
        <v>46128</v>
      </c>
      <c r="L1894" s="317">
        <f t="array" ref="L1894">(XLOOKUP(D1894,Roster!F:F,Roster!D:D,"",0))</f>
        <v>19</v>
      </c>
      <c r="M1894" s="317" t="str">
        <f t="array" ref="M1894">XLOOKUP(D1894,Roster!F:F,Roster!E:E)</f>
        <v>Voice</v>
      </c>
      <c r="N1894" s="317" t="str">
        <f t="shared" ref="N1894:P1894" si="1922">LEFT(H1894,5)</f>
        <v>10:00</v>
      </c>
      <c r="O1894" s="317" t="str">
        <f t="shared" si="1922"/>
        <v>13:00</v>
      </c>
      <c r="P1894" s="317" t="str">
        <f t="shared" si="1922"/>
        <v>15:30</v>
      </c>
      <c r="Q1894" s="318">
        <f t="shared" si="1799"/>
        <v>46128.41667</v>
      </c>
      <c r="R1894" s="318">
        <f t="shared" si="1800"/>
        <v>46128.54167</v>
      </c>
      <c r="S1894" s="318">
        <f t="shared" si="8"/>
        <v>46128.64583</v>
      </c>
    </row>
    <row r="1895">
      <c r="A1895" s="14" t="str">
        <f t="shared" si="1"/>
        <v>C149246128</v>
      </c>
      <c r="B1895" s="185">
        <f t="array" ref="B1895">IF(F1895="VL","",IF(F1895="Free","Free",XLOOKUP(D1895,Roster!T:T,Roster!S:S,"",0)))</f>
        <v>125</v>
      </c>
      <c r="C1895" s="313">
        <v>46128.0</v>
      </c>
      <c r="D1895" s="314" t="s">
        <v>52</v>
      </c>
      <c r="E1895" s="307" t="str">
        <f t="array" ref="E1895">(XLOOKUP(D1895,Roster!F:F,Roster!B:B,"",0))</f>
        <v>Karol Pineda</v>
      </c>
      <c r="F1895" s="315" t="str">
        <f t="array" ref="F1895">IF(B1895=100,"Free",TEXT(XLOOKUP($D1895,OperationVoice!$A:$A,OperationVoice!V:V,XLOOKUP($D1895,OperationTickets!$A:$A,OperationTickets!V:V,"",0)),"hh:mm"))</f>
        <v>08:00</v>
      </c>
      <c r="G1895" s="309">
        <f t="shared" si="3"/>
        <v>0.7083333333</v>
      </c>
      <c r="H1895" s="316" t="str">
        <f t="array" ref="H1895">XLOOKUP(B1895,Roster!L:L,Roster!N:N,XLOOKUP(D1895,TicketsBreak!A:A,TicketsBreak!E:E,"",0),0)</f>
        <v>10:30 - 10:45</v>
      </c>
      <c r="I1895" s="316" t="str">
        <f t="array" ref="I1895">XLOOKUP(B1895,Roster!L:L,Roster!O:O,XLOOKUP(D1895,TicketsBreak!A:A,TicketsBreak!F:F,"",0),0)</f>
        <v>13:30 - 14:00</v>
      </c>
      <c r="J1895" s="316" t="str">
        <f t="array" ref="J1895">XLOOKUP(B1895,Roster!L:L,Roster!P:P,XLOOKUP(D1895,TicketsBreak!A:A,TicketsBreak!G:G,"",0),0)</f>
        <v>15:45 - 16:00</v>
      </c>
      <c r="K1895" s="310">
        <f t="shared" si="4"/>
        <v>46128</v>
      </c>
      <c r="L1895" s="317">
        <f t="array" ref="L1895">(XLOOKUP(D1895,Roster!F:F,Roster!D:D,"",0))</f>
        <v>34</v>
      </c>
      <c r="M1895" s="317" t="str">
        <f t="array" ref="M1895">XLOOKUP(D1895,Roster!F:F,Roster!E:E)</f>
        <v>Voice</v>
      </c>
      <c r="N1895" s="317" t="str">
        <f t="shared" ref="N1895:P1895" si="1923">LEFT(H1895,5)</f>
        <v>10:30</v>
      </c>
      <c r="O1895" s="317" t="str">
        <f t="shared" si="1923"/>
        <v>13:30</v>
      </c>
      <c r="P1895" s="317" t="str">
        <f t="shared" si="1923"/>
        <v>15:45</v>
      </c>
      <c r="Q1895" s="318">
        <f t="shared" si="1799"/>
        <v>46128.4375</v>
      </c>
      <c r="R1895" s="318">
        <f t="shared" si="1800"/>
        <v>46128.5625</v>
      </c>
      <c r="S1895" s="318">
        <f t="shared" si="8"/>
        <v>46128.65625</v>
      </c>
    </row>
    <row r="1896">
      <c r="A1896" s="14" t="str">
        <f t="shared" si="1"/>
        <v>C65846128</v>
      </c>
      <c r="B1896" s="185">
        <f t="array" ref="B1896">IF(F1896="VL","",IF(F1896="Free","Free",XLOOKUP(D1896,Roster!T:T,Roster!S:S,"",0)))</f>
        <v>112</v>
      </c>
      <c r="C1896" s="313">
        <v>46128.0</v>
      </c>
      <c r="D1896" s="314" t="s">
        <v>53</v>
      </c>
      <c r="E1896" s="307" t="str">
        <f t="array" ref="E1896">(XLOOKUP(D1896,Roster!F:F,Roster!B:B,"",0))</f>
        <v>Kennedy Giraldo</v>
      </c>
      <c r="F1896" s="315" t="str">
        <f t="array" ref="F1896">IF(B1896=100,"Free",TEXT(XLOOKUP($D1896,OperationVoice!$A:$A,OperationVoice!V:V,XLOOKUP($D1896,OperationTickets!$A:$A,OperationTickets!V:V,"",0)),"hh:mm"))</f>
        <v>07:00</v>
      </c>
      <c r="G1896" s="309">
        <f t="shared" si="3"/>
        <v>0.6666666667</v>
      </c>
      <c r="H1896" s="316" t="str">
        <f t="array" ref="H1896">XLOOKUP(B1896,Roster!L:L,Roster!N:N,XLOOKUP(D1896,TicketsBreak!A:A,TicketsBreak!E:E,"",0),0)</f>
        <v>09:30 - 09:45</v>
      </c>
      <c r="I1896" s="316" t="str">
        <f t="array" ref="I1896">XLOOKUP(B1896,Roster!L:L,Roster!O:O,XLOOKUP(D1896,TicketsBreak!A:A,TicketsBreak!F:F,"",0),0)</f>
        <v>12:15 - 12:45</v>
      </c>
      <c r="J1896" s="316" t="str">
        <f t="array" ref="J1896">XLOOKUP(B1896,Roster!L:L,Roster!P:P,XLOOKUP(D1896,TicketsBreak!A:A,TicketsBreak!G:G,"",0),0)</f>
        <v>14:45 - 15:00</v>
      </c>
      <c r="K1896" s="310">
        <f t="shared" si="4"/>
        <v>46128</v>
      </c>
      <c r="L1896" s="317">
        <f t="array" ref="L1896">(XLOOKUP(D1896,Roster!F:F,Roster!D:D,"",0))</f>
        <v>2</v>
      </c>
      <c r="M1896" s="317" t="str">
        <f t="array" ref="M1896">XLOOKUP(D1896,Roster!F:F,Roster!E:E)</f>
        <v>Voice</v>
      </c>
      <c r="N1896" s="317" t="str">
        <f t="shared" ref="N1896:P1896" si="1924">LEFT(H1896,5)</f>
        <v>09:30</v>
      </c>
      <c r="O1896" s="317" t="str">
        <f t="shared" si="1924"/>
        <v>12:15</v>
      </c>
      <c r="P1896" s="317" t="str">
        <f t="shared" si="1924"/>
        <v>14:45</v>
      </c>
      <c r="Q1896" s="318">
        <f t="shared" si="1799"/>
        <v>46128.39583</v>
      </c>
      <c r="R1896" s="318">
        <f t="shared" si="1800"/>
        <v>46128.51042</v>
      </c>
      <c r="S1896" s="318">
        <f t="shared" si="8"/>
        <v>46128.61458</v>
      </c>
    </row>
    <row r="1897">
      <c r="A1897" s="14" t="str">
        <f t="shared" si="1"/>
        <v>C151446128</v>
      </c>
      <c r="B1897" s="185">
        <f t="array" ref="B1897">IF(F1897="VL","",IF(F1897="Free","Free",XLOOKUP(D1897,Roster!T:T,Roster!S:S,"",0)))</f>
        <v>122</v>
      </c>
      <c r="C1897" s="313">
        <v>46128.0</v>
      </c>
      <c r="D1897" s="314" t="s">
        <v>54</v>
      </c>
      <c r="E1897" s="307" t="str">
        <f t="array" ref="E1897">(XLOOKUP(D1897,Roster!F:F,Roster!B:B,"",0))</f>
        <v>Kevin Betancur</v>
      </c>
      <c r="F1897" s="315" t="str">
        <f t="array" ref="F1897">IF(B1897=100,"Free",TEXT(XLOOKUP($D1897,OperationVoice!$A:$A,OperationVoice!V:V,XLOOKUP($D1897,OperationTickets!$A:$A,OperationTickets!V:V,"",0)),"hh:mm"))</f>
        <v>08:00</v>
      </c>
      <c r="G1897" s="309">
        <f t="shared" si="3"/>
        <v>0.7083333333</v>
      </c>
      <c r="H1897" s="316" t="str">
        <f t="array" ref="H1897">XLOOKUP(B1897,Roster!L:L,Roster!N:N,XLOOKUP(D1897,TicketsBreak!A:A,TicketsBreak!E:E,"",0),0)</f>
        <v>09:30 - 09:45</v>
      </c>
      <c r="I1897" s="316" t="str">
        <f t="array" ref="I1897">XLOOKUP(B1897,Roster!L:L,Roster!O:O,XLOOKUP(D1897,TicketsBreak!A:A,TicketsBreak!F:F,"",0),0)</f>
        <v>12:00 - 12:30</v>
      </c>
      <c r="J1897" s="316" t="str">
        <f t="array" ref="J1897">XLOOKUP(B1897,Roster!L:L,Roster!P:P,XLOOKUP(D1897,TicketsBreak!A:A,TicketsBreak!G:G,"",0),0)</f>
        <v>14:45 - 15:00</v>
      </c>
      <c r="K1897" s="310">
        <f t="shared" si="4"/>
        <v>46128</v>
      </c>
      <c r="L1897" s="317">
        <f t="array" ref="L1897">(XLOOKUP(D1897,Roster!F:F,Roster!D:D,"",0))</f>
        <v>35</v>
      </c>
      <c r="M1897" s="317" t="str">
        <f t="array" ref="M1897">XLOOKUP(D1897,Roster!F:F,Roster!E:E)</f>
        <v>Voice</v>
      </c>
      <c r="N1897" s="317" t="str">
        <f t="shared" ref="N1897:P1897" si="1925">LEFT(H1897,5)</f>
        <v>09:30</v>
      </c>
      <c r="O1897" s="317" t="str">
        <f t="shared" si="1925"/>
        <v>12:00</v>
      </c>
      <c r="P1897" s="317" t="str">
        <f t="shared" si="1925"/>
        <v>14:45</v>
      </c>
      <c r="Q1897" s="318">
        <f t="shared" si="1799"/>
        <v>46128.39583</v>
      </c>
      <c r="R1897" s="318">
        <f t="shared" si="1800"/>
        <v>46128.5</v>
      </c>
      <c r="S1897" s="318">
        <f t="shared" si="8"/>
        <v>46128.61458</v>
      </c>
    </row>
    <row r="1898">
      <c r="A1898" s="14" t="str">
        <f t="shared" si="1"/>
        <v>C157146128</v>
      </c>
      <c r="B1898" s="185">
        <f t="array" ref="B1898">IF(F1898="VL","",IF(F1898="Free","Free",XLOOKUP(D1898,Roster!T:T,Roster!S:S,"",0)))</f>
        <v>123</v>
      </c>
      <c r="C1898" s="313">
        <v>46128.0</v>
      </c>
      <c r="D1898" s="314" t="s">
        <v>55</v>
      </c>
      <c r="E1898" s="307" t="str">
        <f t="array" ref="E1898">(XLOOKUP(D1898,Roster!F:F,Roster!B:B,"",0))</f>
        <v>Laura Chamorro</v>
      </c>
      <c r="F1898" s="315" t="str">
        <f t="array" ref="F1898">IF(B1898=100,"Free",TEXT(XLOOKUP($D1898,OperationVoice!$A:$A,OperationVoice!V:V,XLOOKUP($D1898,OperationTickets!$A:$A,OperationTickets!V:V,"",0)),"hh:mm"))</f>
        <v>08:00</v>
      </c>
      <c r="G1898" s="309">
        <f t="shared" si="3"/>
        <v>0.7083333333</v>
      </c>
      <c r="H1898" s="316" t="str">
        <f t="array" ref="H1898">XLOOKUP(B1898,Roster!L:L,Roster!N:N,XLOOKUP(D1898,TicketsBreak!A:A,TicketsBreak!E:E,"",0),0)</f>
        <v>09:45 - 10:00 </v>
      </c>
      <c r="I1898" s="316" t="str">
        <f t="array" ref="I1898">XLOOKUP(B1898,Roster!L:L,Roster!O:O,XLOOKUP(D1898,TicketsBreak!A:A,TicketsBreak!F:F,"",0),0)</f>
        <v>12:30 - 13:00</v>
      </c>
      <c r="J1898" s="316" t="str">
        <f t="array" ref="J1898">XLOOKUP(B1898,Roster!L:L,Roster!P:P,XLOOKUP(D1898,TicketsBreak!A:A,TicketsBreak!G:G,"",0),0)</f>
        <v>15:00 - 15:15</v>
      </c>
      <c r="K1898" s="310">
        <f t="shared" si="4"/>
        <v>46128</v>
      </c>
      <c r="L1898" s="317">
        <f t="array" ref="L1898">(XLOOKUP(D1898,Roster!F:F,Roster!D:D,"",0))</f>
        <v>38</v>
      </c>
      <c r="M1898" s="317" t="str">
        <f t="array" ref="M1898">XLOOKUP(D1898,Roster!F:F,Roster!E:E)</f>
        <v>Voice</v>
      </c>
      <c r="N1898" s="317" t="str">
        <f t="shared" ref="N1898:P1898" si="1926">LEFT(H1898,5)</f>
        <v>09:45</v>
      </c>
      <c r="O1898" s="317" t="str">
        <f t="shared" si="1926"/>
        <v>12:30</v>
      </c>
      <c r="P1898" s="317" t="str">
        <f t="shared" si="1926"/>
        <v>15:00</v>
      </c>
      <c r="Q1898" s="318">
        <f t="shared" si="1799"/>
        <v>46128.40625</v>
      </c>
      <c r="R1898" s="318">
        <f t="shared" si="1800"/>
        <v>46128.52083</v>
      </c>
      <c r="S1898" s="318">
        <f t="shared" si="8"/>
        <v>46128.625</v>
      </c>
    </row>
    <row r="1899">
      <c r="A1899" s="14" t="str">
        <f t="shared" si="1"/>
        <v>C53446128</v>
      </c>
      <c r="B1899" s="185" t="str">
        <f t="array" ref="B1899">IF(F1899="VL","",IF(F1899="Free","Free",XLOOKUP(D1899,Roster!T:T,Roster!S:S,"",0)))</f>
        <v/>
      </c>
      <c r="C1899" s="313">
        <v>46128.0</v>
      </c>
      <c r="D1899" s="314" t="s">
        <v>177</v>
      </c>
      <c r="E1899" s="307" t="str">
        <f t="array" ref="E1899">(XLOOKUP(D1899,Roster!F:F,Roster!B:B,"",0))</f>
        <v>Leandry La Rosa</v>
      </c>
      <c r="F1899" s="315" t="str">
        <f t="array" ref="F1899">IF(B1899=100,"Free",TEXT(XLOOKUP($D1899,OperationVoice!$A:$A,OperationVoice!V:V,XLOOKUP($D1899,OperationTickets!$A:$A,OperationTickets!V:V,"",0)),"hh:mm"))</f>
        <v>08:00</v>
      </c>
      <c r="G1899" s="309">
        <f t="shared" si="3"/>
        <v>0.7083333333</v>
      </c>
      <c r="H1899" s="316">
        <f t="array" ref="H1899">XLOOKUP(B1899,Roster!L:L,Roster!N:N,XLOOKUP(D1899,TicketsBreak!A:A,TicketsBreak!E:E,"",0),0)</f>
        <v>0.40625</v>
      </c>
      <c r="I1899" s="316">
        <f t="array" ref="I1899">XLOOKUP(B1899,Roster!L:L,Roster!O:O,XLOOKUP(D1899,TicketsBreak!A:A,TicketsBreak!F:F,"",0),0)</f>
        <v>0.5416666667</v>
      </c>
      <c r="J1899" s="316">
        <f t="array" ref="J1899">XLOOKUP(B1899,Roster!L:L,Roster!P:P,XLOOKUP(D1899,TicketsBreak!A:A,TicketsBreak!G:G,"",0),0)</f>
        <v>0.65625</v>
      </c>
      <c r="K1899" s="310">
        <f t="shared" si="4"/>
        <v>46128</v>
      </c>
      <c r="L1899" s="317">
        <f t="array" ref="L1899">(XLOOKUP(D1899,Roster!F:F,Roster!D:D,"",0))</f>
        <v>1</v>
      </c>
      <c r="M1899" s="317" t="str">
        <f t="array" ref="M1899">XLOOKUP(D1899,Roster!F:F,Roster!E:E)</f>
        <v>Tickets</v>
      </c>
      <c r="N1899" s="317" t="str">
        <f t="shared" ref="N1899:P1899" si="1927">LEFT(H1899,5)</f>
        <v>09:45</v>
      </c>
      <c r="O1899" s="317" t="str">
        <f t="shared" si="1927"/>
        <v>13:00</v>
      </c>
      <c r="P1899" s="317" t="str">
        <f t="shared" si="1927"/>
        <v>15:45</v>
      </c>
      <c r="Q1899" s="318">
        <f t="shared" si="1799"/>
        <v>46128.40625</v>
      </c>
      <c r="R1899" s="318">
        <f t="shared" si="1800"/>
        <v>46128.54167</v>
      </c>
      <c r="S1899" s="318">
        <f t="shared" si="8"/>
        <v>46128.65625</v>
      </c>
    </row>
    <row r="1900">
      <c r="A1900" s="14" t="str">
        <f t="shared" si="1"/>
        <v>C157846128</v>
      </c>
      <c r="B1900" s="185" t="str">
        <f t="array" ref="B1900">IF(F1900="VL","",IF(F1900="Free","Free",XLOOKUP(D1900,Roster!T:T,Roster!S:S,"",0)))</f>
        <v>Free</v>
      </c>
      <c r="C1900" s="313">
        <v>46128.0</v>
      </c>
      <c r="D1900" s="314" t="s">
        <v>56</v>
      </c>
      <c r="E1900" s="307" t="str">
        <f t="array" ref="E1900">(XLOOKUP(D1900,Roster!F:F,Roster!B:B,"",0))</f>
        <v>Leonerrichi Caicedo</v>
      </c>
      <c r="F1900" s="315" t="str">
        <f t="array" ref="F1900">IF(B1900=100,"Free",TEXT(XLOOKUP($D1900,OperationVoice!$A:$A,OperationVoice!V:V,XLOOKUP($D1900,OperationTickets!$A:$A,OperationTickets!V:V,"",0)),"hh:mm"))</f>
        <v>Free</v>
      </c>
      <c r="G1900" s="309" t="str">
        <f t="shared" si="3"/>
        <v>Free</v>
      </c>
      <c r="H1900" s="316" t="str">
        <f t="array" ref="H1900">XLOOKUP(B1900,Roster!L:L,Roster!N:N,XLOOKUP(D1900,TicketsBreak!A:A,TicketsBreak!E:E,"",0),0)</f>
        <v/>
      </c>
      <c r="I1900" s="316" t="str">
        <f t="array" ref="I1900">XLOOKUP(B1900,Roster!L:L,Roster!O:O,XLOOKUP(D1900,TicketsBreak!A:A,TicketsBreak!F:F,"",0),0)</f>
        <v/>
      </c>
      <c r="J1900" s="316" t="str">
        <f t="array" ref="J1900">XLOOKUP(B1900,Roster!L:L,Roster!P:P,XLOOKUP(D1900,TicketsBreak!A:A,TicketsBreak!G:G,"",0),0)</f>
        <v/>
      </c>
      <c r="K1900" s="310">
        <f t="shared" si="4"/>
        <v>46128</v>
      </c>
      <c r="L1900" s="317">
        <f t="array" ref="L1900">(XLOOKUP(D1900,Roster!F:F,Roster!D:D,"",0))</f>
        <v>38</v>
      </c>
      <c r="M1900" s="317" t="str">
        <f t="array" ref="M1900">XLOOKUP(D1900,Roster!F:F,Roster!E:E)</f>
        <v>Voice</v>
      </c>
      <c r="N1900" s="317" t="str">
        <f t="shared" ref="N1900:P1900" si="1928">LEFT(H1900,5)</f>
        <v/>
      </c>
      <c r="O1900" s="317" t="str">
        <f t="shared" si="1928"/>
        <v/>
      </c>
      <c r="P1900" s="317" t="str">
        <f t="shared" si="1928"/>
        <v/>
      </c>
      <c r="Q1900" s="318" t="str">
        <f t="shared" si="1799"/>
        <v/>
      </c>
      <c r="R1900" s="318" t="str">
        <f t="shared" si="1800"/>
        <v/>
      </c>
      <c r="S1900" s="318" t="str">
        <f t="shared" si="8"/>
        <v/>
      </c>
    </row>
    <row r="1901">
      <c r="A1901" s="14" t="str">
        <f t="shared" si="1"/>
        <v>C53546128</v>
      </c>
      <c r="B1901" s="185" t="str">
        <f t="array" ref="B1901">IF(F1901="VL","",IF(F1901="Free","Free",XLOOKUP(D1901,Roster!T:T,Roster!S:S,"",0)))</f>
        <v/>
      </c>
      <c r="C1901" s="313">
        <v>46128.0</v>
      </c>
      <c r="D1901" s="314" t="s">
        <v>145</v>
      </c>
      <c r="E1901" s="307" t="str">
        <f t="array" ref="E1901">(XLOOKUP(D1901,Roster!F:F,Roster!B:B,"",0))</f>
        <v>Lina Cadena</v>
      </c>
      <c r="F1901" s="315" t="str">
        <f t="array" ref="F1901">IF(B1901=100,"Free",TEXT(XLOOKUP($D1901,OperationVoice!$A:$A,OperationVoice!V:V,XLOOKUP($D1901,OperationTickets!$A:$A,OperationTickets!V:V,"",0)),"hh:mm"))</f>
        <v>08:00</v>
      </c>
      <c r="G1901" s="309">
        <f t="shared" si="3"/>
        <v>0.7083333333</v>
      </c>
      <c r="H1901" s="316">
        <f t="array" ref="H1901">XLOOKUP(B1901,Roster!L:L,Roster!N:N,XLOOKUP(D1901,TicketsBreak!A:A,TicketsBreak!E:E,"",0),0)</f>
        <v>0.3854166667</v>
      </c>
      <c r="I1901" s="316">
        <f t="array" ref="I1901">XLOOKUP(B1901,Roster!L:L,Roster!O:O,XLOOKUP(D1901,TicketsBreak!A:A,TicketsBreak!F:F,"",0),0)</f>
        <v>0.5833333333</v>
      </c>
      <c r="J1901" s="316">
        <f t="array" ref="J1901">XLOOKUP(B1901,Roster!L:L,Roster!P:P,XLOOKUP(D1901,TicketsBreak!A:A,TicketsBreak!G:G,"",0),0)</f>
        <v>0.6458333333</v>
      </c>
      <c r="K1901" s="310">
        <f t="shared" si="4"/>
        <v>46128</v>
      </c>
      <c r="L1901" s="317">
        <f t="array" ref="L1901">(XLOOKUP(D1901,Roster!F:F,Roster!D:D,"",0))</f>
        <v>2</v>
      </c>
      <c r="M1901" s="317" t="str">
        <f t="array" ref="M1901">XLOOKUP(D1901,Roster!F:F,Roster!E:E)</f>
        <v>Tickets</v>
      </c>
      <c r="N1901" s="317" t="str">
        <f t="shared" ref="N1901:P1901" si="1929">LEFT(H1901,5)</f>
        <v>09:15</v>
      </c>
      <c r="O1901" s="317" t="str">
        <f t="shared" si="1929"/>
        <v>14:00</v>
      </c>
      <c r="P1901" s="317" t="str">
        <f t="shared" si="1929"/>
        <v>15:30</v>
      </c>
      <c r="Q1901" s="318">
        <f t="shared" si="1799"/>
        <v>46128.38542</v>
      </c>
      <c r="R1901" s="318">
        <f t="shared" si="1800"/>
        <v>46128.58333</v>
      </c>
      <c r="S1901" s="318">
        <f t="shared" si="8"/>
        <v>46128.64583</v>
      </c>
    </row>
    <row r="1902">
      <c r="A1902" s="14" t="str">
        <f t="shared" si="1"/>
        <v>C151746128</v>
      </c>
      <c r="B1902" s="185">
        <f t="array" ref="B1902">IF(F1902="VL","",IF(F1902="Free","Free",XLOOKUP(D1902,Roster!T:T,Roster!S:S,"",0)))</f>
        <v>124</v>
      </c>
      <c r="C1902" s="313">
        <v>46128.0</v>
      </c>
      <c r="D1902" s="314" t="s">
        <v>57</v>
      </c>
      <c r="E1902" s="307" t="str">
        <f t="array" ref="E1902">(XLOOKUP(D1902,Roster!F:F,Roster!B:B,"",0))</f>
        <v>Lisandro Alvarado</v>
      </c>
      <c r="F1902" s="315" t="str">
        <f t="array" ref="F1902">IF(B1902=100,"Free",TEXT(XLOOKUP($D1902,OperationVoice!$A:$A,OperationVoice!V:V,XLOOKUP($D1902,OperationTickets!$A:$A,OperationTickets!V:V,"",0)),"hh:mm"))</f>
        <v>08:00</v>
      </c>
      <c r="G1902" s="309">
        <f t="shared" si="3"/>
        <v>0.7083333333</v>
      </c>
      <c r="H1902" s="316" t="str">
        <f t="array" ref="H1902">XLOOKUP(B1902,Roster!L:L,Roster!N:N,XLOOKUP(D1902,TicketsBreak!A:A,TicketsBreak!E:E,"",0),0)</f>
        <v>10:00 - 10:15</v>
      </c>
      <c r="I1902" s="316" t="str">
        <f t="array" ref="I1902">XLOOKUP(B1902,Roster!L:L,Roster!O:O,XLOOKUP(D1902,TicketsBreak!A:A,TicketsBreak!F:F,"",0),0)</f>
        <v>13:00 - 13:30</v>
      </c>
      <c r="J1902" s="316" t="str">
        <f t="array" ref="J1902">XLOOKUP(B1902,Roster!L:L,Roster!P:P,XLOOKUP(D1902,TicketsBreak!A:A,TicketsBreak!G:G,"",0),0)</f>
        <v>15:30 - 15:45</v>
      </c>
      <c r="K1902" s="310">
        <f t="shared" si="4"/>
        <v>46128</v>
      </c>
      <c r="L1902" s="317">
        <f t="array" ref="L1902">(XLOOKUP(D1902,Roster!F:F,Roster!D:D,"",0))</f>
        <v>35</v>
      </c>
      <c r="M1902" s="317" t="str">
        <f t="array" ref="M1902">XLOOKUP(D1902,Roster!F:F,Roster!E:E)</f>
        <v>Voice</v>
      </c>
      <c r="N1902" s="317" t="str">
        <f t="shared" ref="N1902:P1902" si="1930">LEFT(H1902,5)</f>
        <v>10:00</v>
      </c>
      <c r="O1902" s="317" t="str">
        <f t="shared" si="1930"/>
        <v>13:00</v>
      </c>
      <c r="P1902" s="317" t="str">
        <f t="shared" si="1930"/>
        <v>15:30</v>
      </c>
      <c r="Q1902" s="318">
        <f t="shared" si="1799"/>
        <v>46128.41667</v>
      </c>
      <c r="R1902" s="318">
        <f t="shared" si="1800"/>
        <v>46128.54167</v>
      </c>
      <c r="S1902" s="318">
        <f t="shared" si="8"/>
        <v>46128.64583</v>
      </c>
    </row>
    <row r="1903">
      <c r="A1903" s="14" t="str">
        <f t="shared" si="1"/>
        <v>C143346128</v>
      </c>
      <c r="B1903" s="185">
        <f t="array" ref="B1903">IF(F1903="VL","",IF(F1903="Free","Free",XLOOKUP(D1903,Roster!T:T,Roster!S:S,"",0)))</f>
        <v>500</v>
      </c>
      <c r="C1903" s="313">
        <v>46128.0</v>
      </c>
      <c r="D1903" s="314" t="s">
        <v>58</v>
      </c>
      <c r="E1903" s="307" t="str">
        <f t="array" ref="E1903">(XLOOKUP(D1903,Roster!F:F,Roster!B:B,"",0))</f>
        <v>Luis Lopez</v>
      </c>
      <c r="F1903" s="315" t="str">
        <f t="array" ref="F1903">IF(B1903=100,"Free",TEXT(XLOOKUP($D1903,OperationVoice!$A:$A,OperationVoice!V:V,XLOOKUP($D1903,OperationTickets!$A:$A,OperationTickets!V:V,"",0)),"hh:mm"))</f>
        <v>13:00</v>
      </c>
      <c r="G1903" s="309">
        <f t="shared" si="3"/>
        <v>0.9166666667</v>
      </c>
      <c r="H1903" s="316" t="str">
        <f t="array" ref="H1903">XLOOKUP(B1903,Roster!L:L,Roster!N:N,XLOOKUP(D1903,TicketsBreak!A:A,TicketsBreak!E:E,"",0),0)</f>
        <v>Team Leader</v>
      </c>
      <c r="I1903" s="316" t="str">
        <f t="array" ref="I1903">XLOOKUP(B1903,Roster!L:L,Roster!O:O,XLOOKUP(D1903,TicketsBreak!A:A,TicketsBreak!F:F,"",0),0)</f>
        <v>Team Leader</v>
      </c>
      <c r="J1903" s="316" t="str">
        <f t="array" ref="J1903">XLOOKUP(B1903,Roster!L:L,Roster!P:P,XLOOKUP(D1903,TicketsBreak!A:A,TicketsBreak!G:G,"",0),0)</f>
        <v/>
      </c>
      <c r="K1903" s="310">
        <f t="shared" si="4"/>
        <v>46128</v>
      </c>
      <c r="L1903" s="317">
        <f t="array" ref="L1903">(XLOOKUP(D1903,Roster!F:F,Roster!D:D,"",0))</f>
        <v>32</v>
      </c>
      <c r="M1903" s="317" t="str">
        <f t="array" ref="M1903">XLOOKUP(D1903,Roster!F:F,Roster!E:E)</f>
        <v>Voice</v>
      </c>
      <c r="N1903" s="317" t="str">
        <f t="shared" ref="N1903:P1903" si="1931">LEFT(H1903,5)</f>
        <v>Team </v>
      </c>
      <c r="O1903" s="317" t="str">
        <f t="shared" si="1931"/>
        <v>Team </v>
      </c>
      <c r="P1903" s="317" t="str">
        <f t="shared" si="1931"/>
        <v/>
      </c>
      <c r="Q1903" s="318" t="str">
        <f t="shared" si="1799"/>
        <v>#VALUE!</v>
      </c>
      <c r="R1903" s="318" t="str">
        <f t="shared" si="1800"/>
        <v>#VALUE!</v>
      </c>
      <c r="S1903" s="318" t="str">
        <f t="shared" si="8"/>
        <v/>
      </c>
    </row>
    <row r="1904">
      <c r="A1904" s="14" t="str">
        <f t="shared" si="1"/>
        <v>C153446128</v>
      </c>
      <c r="B1904" s="185">
        <f t="array" ref="B1904">IF(F1904="VL","",IF(F1904="Free","Free",XLOOKUP(D1904,Roster!T:T,Roster!S:S,"",0)))</f>
        <v>126</v>
      </c>
      <c r="C1904" s="313">
        <v>46128.0</v>
      </c>
      <c r="D1904" s="314" t="s">
        <v>59</v>
      </c>
      <c r="E1904" s="307" t="str">
        <f t="array" ref="E1904">(XLOOKUP(D1904,Roster!F:F,Roster!B:B,"",0))</f>
        <v>Luis Munoz</v>
      </c>
      <c r="F1904" s="315" t="str">
        <f t="array" ref="F1904">IF(B1904=100,"Free",TEXT(XLOOKUP($D1904,OperationVoice!$A:$A,OperationVoice!V:V,XLOOKUP($D1904,OperationTickets!$A:$A,OperationTickets!V:V,"",0)),"hh:mm"))</f>
        <v>08:00</v>
      </c>
      <c r="G1904" s="309">
        <f t="shared" si="3"/>
        <v>0.7083333333</v>
      </c>
      <c r="H1904" s="316" t="str">
        <f t="array" ref="H1904">XLOOKUP(B1904,Roster!L:L,Roster!N:N,XLOOKUP(D1904,TicketsBreak!A:A,TicketsBreak!E:E,"",0),0)</f>
        <v>10:45 - 11:00</v>
      </c>
      <c r="I1904" s="316" t="str">
        <f t="array" ref="I1904">XLOOKUP(B1904,Roster!L:L,Roster!O:O,XLOOKUP(D1904,TicketsBreak!A:A,TicketsBreak!F:F,"",0),0)</f>
        <v>14:00 - 14:30</v>
      </c>
      <c r="J1904" s="316" t="str">
        <f t="array" ref="J1904">XLOOKUP(B1904,Roster!L:L,Roster!P:P,XLOOKUP(D1904,TicketsBreak!A:A,TicketsBreak!G:G,"",0),0)</f>
        <v>15:45 - 16:00</v>
      </c>
      <c r="K1904" s="310">
        <f t="shared" si="4"/>
        <v>46128</v>
      </c>
      <c r="L1904" s="317">
        <f t="array" ref="L1904">(XLOOKUP(D1904,Roster!F:F,Roster!D:D,"",0))</f>
        <v>36</v>
      </c>
      <c r="M1904" s="317" t="str">
        <f t="array" ref="M1904">XLOOKUP(D1904,Roster!F:F,Roster!E:E)</f>
        <v>Voice</v>
      </c>
      <c r="N1904" s="317" t="str">
        <f t="shared" ref="N1904:P1904" si="1932">LEFT(H1904,5)</f>
        <v>10:45</v>
      </c>
      <c r="O1904" s="317" t="str">
        <f t="shared" si="1932"/>
        <v>14:00</v>
      </c>
      <c r="P1904" s="317" t="str">
        <f t="shared" si="1932"/>
        <v>15:45</v>
      </c>
      <c r="Q1904" s="318">
        <f t="shared" si="1799"/>
        <v>46128.44792</v>
      </c>
      <c r="R1904" s="318">
        <f t="shared" si="1800"/>
        <v>46128.58333</v>
      </c>
      <c r="S1904" s="318">
        <f t="shared" si="8"/>
        <v>46128.65625</v>
      </c>
    </row>
    <row r="1905">
      <c r="A1905" s="14" t="str">
        <f t="shared" si="1"/>
        <v>C53846128</v>
      </c>
      <c r="B1905" s="185" t="str">
        <f t="array" ref="B1905">IF(F1905="VL","",IF(F1905="Free","Free",XLOOKUP(D1905,Roster!T:T,Roster!S:S,"",0)))</f>
        <v/>
      </c>
      <c r="C1905" s="313">
        <v>46128.0</v>
      </c>
      <c r="D1905" s="314" t="s">
        <v>165</v>
      </c>
      <c r="E1905" s="307" t="str">
        <f t="array" ref="E1905">(XLOOKUP(D1905,Roster!F:F,Roster!B:B,"",0))</f>
        <v>Luisa Arenas</v>
      </c>
      <c r="F1905" s="315" t="str">
        <f t="array" ref="F1905">IF(B1905=100,"Free",TEXT(XLOOKUP($D1905,OperationVoice!$A:$A,OperationVoice!V:V,XLOOKUP($D1905,OperationTickets!$A:$A,OperationTickets!V:V,"",0)),"hh:mm"))</f>
        <v>08:00</v>
      </c>
      <c r="G1905" s="309">
        <f t="shared" si="3"/>
        <v>0.7083333333</v>
      </c>
      <c r="H1905" s="316" t="str">
        <f t="array" ref="H1905">XLOOKUP(B1905,Roster!L:L,Roster!N:N,XLOOKUP(D1905,TicketsBreak!A:A,TicketsBreak!E:E,"",0),0)</f>
        <v/>
      </c>
      <c r="I1905" s="316" t="str">
        <f t="array" ref="I1905">XLOOKUP(B1905,Roster!L:L,Roster!O:O,XLOOKUP(D1905,TicketsBreak!A:A,TicketsBreak!F:F,"",0),0)</f>
        <v/>
      </c>
      <c r="J1905" s="316" t="str">
        <f t="array" ref="J1905">XLOOKUP(B1905,Roster!L:L,Roster!P:P,XLOOKUP(D1905,TicketsBreak!A:A,TicketsBreak!G:G,"",0),0)</f>
        <v/>
      </c>
      <c r="K1905" s="310">
        <f t="shared" si="4"/>
        <v>46128</v>
      </c>
      <c r="L1905" s="317">
        <f t="array" ref="L1905">(XLOOKUP(D1905,Roster!F:F,Roster!D:D,"",0))</f>
        <v>35</v>
      </c>
      <c r="M1905" s="317" t="str">
        <f t="array" ref="M1905">XLOOKUP(D1905,Roster!F:F,Roster!E:E)</f>
        <v>Tickets</v>
      </c>
      <c r="N1905" s="317" t="str">
        <f t="shared" ref="N1905:P1905" si="1933">LEFT(H1905,5)</f>
        <v/>
      </c>
      <c r="O1905" s="317" t="str">
        <f t="shared" si="1933"/>
        <v/>
      </c>
      <c r="P1905" s="317" t="str">
        <f t="shared" si="1933"/>
        <v/>
      </c>
      <c r="Q1905" s="318" t="str">
        <f t="shared" si="1799"/>
        <v/>
      </c>
      <c r="R1905" s="318" t="str">
        <f t="shared" si="1800"/>
        <v/>
      </c>
      <c r="S1905" s="318" t="str">
        <f t="shared" si="8"/>
        <v/>
      </c>
    </row>
    <row r="1906">
      <c r="A1906" s="14" t="str">
        <f t="shared" si="1"/>
        <v>C113646128</v>
      </c>
      <c r="B1906" s="185">
        <f t="array" ref="B1906">IF(F1906="VL","",IF(F1906="Free","Free",XLOOKUP(D1906,Roster!T:T,Roster!S:S,"",0)))</f>
        <v>126</v>
      </c>
      <c r="C1906" s="313">
        <v>46128.0</v>
      </c>
      <c r="D1906" s="314" t="s">
        <v>60</v>
      </c>
      <c r="E1906" s="307" t="str">
        <f t="array" ref="E1906">(XLOOKUP(D1906,Roster!F:F,Roster!B:B,"",0))</f>
        <v>Luisa Gonzalez</v>
      </c>
      <c r="F1906" s="315" t="str">
        <f t="array" ref="F1906">IF(B1906=100,"Free",TEXT(XLOOKUP($D1906,OperationVoice!$A:$A,OperationVoice!V:V,XLOOKUP($D1906,OperationTickets!$A:$A,OperationTickets!V:V,"",0)),"hh:mm"))</f>
        <v>08:00</v>
      </c>
      <c r="G1906" s="309">
        <f t="shared" si="3"/>
        <v>0.7083333333</v>
      </c>
      <c r="H1906" s="316" t="str">
        <f t="array" ref="H1906">XLOOKUP(B1906,Roster!L:L,Roster!N:N,XLOOKUP(D1906,TicketsBreak!A:A,TicketsBreak!E:E,"",0),0)</f>
        <v>10:45 - 11:00</v>
      </c>
      <c r="I1906" s="316" t="str">
        <f t="array" ref="I1906">XLOOKUP(B1906,Roster!L:L,Roster!O:O,XLOOKUP(D1906,TicketsBreak!A:A,TicketsBreak!F:F,"",0),0)</f>
        <v>14:00 - 14:30</v>
      </c>
      <c r="J1906" s="316" t="str">
        <f t="array" ref="J1906">XLOOKUP(B1906,Roster!L:L,Roster!P:P,XLOOKUP(D1906,TicketsBreak!A:A,TicketsBreak!G:G,"",0),0)</f>
        <v>15:45 - 16:00</v>
      </c>
      <c r="K1906" s="310">
        <f t="shared" si="4"/>
        <v>46128</v>
      </c>
      <c r="L1906" s="317">
        <f t="array" ref="L1906">(XLOOKUP(D1906,Roster!F:F,Roster!D:D,"",0))</f>
        <v>22</v>
      </c>
      <c r="M1906" s="317" t="str">
        <f t="array" ref="M1906">XLOOKUP(D1906,Roster!F:F,Roster!E:E)</f>
        <v>Voice</v>
      </c>
      <c r="N1906" s="317" t="str">
        <f t="shared" ref="N1906:P1906" si="1934">LEFT(H1906,5)</f>
        <v>10:45</v>
      </c>
      <c r="O1906" s="317" t="str">
        <f t="shared" si="1934"/>
        <v>14:00</v>
      </c>
      <c r="P1906" s="317" t="str">
        <f t="shared" si="1934"/>
        <v>15:45</v>
      </c>
      <c r="Q1906" s="318">
        <f t="shared" si="1799"/>
        <v>46128.44792</v>
      </c>
      <c r="R1906" s="318">
        <f t="shared" si="1800"/>
        <v>46128.58333</v>
      </c>
      <c r="S1906" s="318">
        <f t="shared" si="8"/>
        <v>46128.65625</v>
      </c>
    </row>
    <row r="1907">
      <c r="A1907" s="14" t="str">
        <f t="shared" si="1"/>
        <v>C157746128</v>
      </c>
      <c r="B1907" s="185">
        <f t="array" ref="B1907">IF(F1907="VL","",IF(F1907="Free","Free",XLOOKUP(D1907,Roster!T:T,Roster!S:S,"",0)))</f>
        <v>126</v>
      </c>
      <c r="C1907" s="313">
        <v>46128.0</v>
      </c>
      <c r="D1907" s="314" t="s">
        <v>61</v>
      </c>
      <c r="E1907" s="307" t="str">
        <f t="array" ref="E1907">(XLOOKUP(D1907,Roster!F:F,Roster!B:B,"",0))</f>
        <v>Luna Morales</v>
      </c>
      <c r="F1907" s="315" t="str">
        <f t="array" ref="F1907">IF(B1907=100,"Free",TEXT(XLOOKUP($D1907,OperationVoice!$A:$A,OperationVoice!V:V,XLOOKUP($D1907,OperationTickets!$A:$A,OperationTickets!V:V,"",0)),"hh:mm"))</f>
        <v>11:00</v>
      </c>
      <c r="G1907" s="309">
        <f t="shared" si="3"/>
        <v>0.8333333333</v>
      </c>
      <c r="H1907" s="316" t="str">
        <f t="array" ref="H1907">XLOOKUP(B1907,Roster!L:L,Roster!N:N,XLOOKUP(D1907,TicketsBreak!A:A,TicketsBreak!E:E,"",0),0)</f>
        <v>10:45 - 11:00</v>
      </c>
      <c r="I1907" s="316" t="str">
        <f t="array" ref="I1907">XLOOKUP(B1907,Roster!L:L,Roster!O:O,XLOOKUP(D1907,TicketsBreak!A:A,TicketsBreak!F:F,"",0),0)</f>
        <v>14:00 - 14:30</v>
      </c>
      <c r="J1907" s="316" t="str">
        <f t="array" ref="J1907">XLOOKUP(B1907,Roster!L:L,Roster!P:P,XLOOKUP(D1907,TicketsBreak!A:A,TicketsBreak!G:G,"",0),0)</f>
        <v>15:45 - 16:00</v>
      </c>
      <c r="K1907" s="310">
        <f t="shared" si="4"/>
        <v>46128</v>
      </c>
      <c r="L1907" s="317">
        <f t="array" ref="L1907">(XLOOKUP(D1907,Roster!F:F,Roster!D:D,"",0))</f>
        <v>38</v>
      </c>
      <c r="M1907" s="317" t="str">
        <f t="array" ref="M1907">XLOOKUP(D1907,Roster!F:F,Roster!E:E)</f>
        <v>Voice</v>
      </c>
      <c r="N1907" s="317" t="str">
        <f t="shared" ref="N1907:P1907" si="1935">LEFT(H1907,5)</f>
        <v>10:45</v>
      </c>
      <c r="O1907" s="317" t="str">
        <f t="shared" si="1935"/>
        <v>14:00</v>
      </c>
      <c r="P1907" s="317" t="str">
        <f t="shared" si="1935"/>
        <v>15:45</v>
      </c>
      <c r="Q1907" s="318">
        <f t="shared" si="1799"/>
        <v>46128.44792</v>
      </c>
      <c r="R1907" s="318">
        <f t="shared" si="1800"/>
        <v>46128.58333</v>
      </c>
      <c r="S1907" s="318">
        <f t="shared" si="8"/>
        <v>46128.65625</v>
      </c>
    </row>
    <row r="1908">
      <c r="A1908" s="14" t="str">
        <f t="shared" si="1"/>
        <v>C121946128</v>
      </c>
      <c r="B1908" s="185" t="str">
        <f t="array" ref="B1908">IF(F1908="VL","",IF(F1908="Free","Free",XLOOKUP(D1908,Roster!T:T,Roster!S:S,"",0)))</f>
        <v/>
      </c>
      <c r="C1908" s="313">
        <v>46128.0</v>
      </c>
      <c r="D1908" s="314" t="s">
        <v>146</v>
      </c>
      <c r="E1908" s="307" t="str">
        <f t="array" ref="E1908">(XLOOKUP(D1908,Roster!F:F,Roster!B:B,"",0))</f>
        <v>Madelyn Jaramillo</v>
      </c>
      <c r="F1908" s="315" t="str">
        <f t="array" ref="F1908">IF(B1908=100,"Free",TEXT(XLOOKUP($D1908,OperationVoice!$A:$A,OperationVoice!V:V,XLOOKUP($D1908,OperationTickets!$A:$A,OperationTickets!V:V,"",0)),"hh:mm"))</f>
        <v>08:00</v>
      </c>
      <c r="G1908" s="309">
        <f t="shared" si="3"/>
        <v>0.7083333333</v>
      </c>
      <c r="H1908" s="316" t="str">
        <f t="array" ref="H1908">XLOOKUP(B1908,Roster!L:L,Roster!N:N,XLOOKUP(D1908,TicketsBreak!A:A,TicketsBreak!E:E,"",0),0)</f>
        <v/>
      </c>
      <c r="I1908" s="316" t="str">
        <f t="array" ref="I1908">XLOOKUP(B1908,Roster!L:L,Roster!O:O,XLOOKUP(D1908,TicketsBreak!A:A,TicketsBreak!F:F,"",0),0)</f>
        <v/>
      </c>
      <c r="J1908" s="316" t="str">
        <f t="array" ref="J1908">XLOOKUP(B1908,Roster!L:L,Roster!P:P,XLOOKUP(D1908,TicketsBreak!A:A,TicketsBreak!G:G,"",0),0)</f>
        <v/>
      </c>
      <c r="K1908" s="310">
        <f t="shared" si="4"/>
        <v>46128</v>
      </c>
      <c r="L1908" s="317">
        <f t="array" ref="L1908">(XLOOKUP(D1908,Roster!F:F,Roster!D:D,"",0))</f>
        <v>26</v>
      </c>
      <c r="M1908" s="317" t="str">
        <f t="array" ref="M1908">XLOOKUP(D1908,Roster!F:F,Roster!E:E)</f>
        <v>Tickets</v>
      </c>
      <c r="N1908" s="317" t="str">
        <f t="shared" ref="N1908:P1908" si="1936">LEFT(H1908,5)</f>
        <v/>
      </c>
      <c r="O1908" s="317" t="str">
        <f t="shared" si="1936"/>
        <v/>
      </c>
      <c r="P1908" s="317" t="str">
        <f t="shared" si="1936"/>
        <v/>
      </c>
      <c r="Q1908" s="318" t="str">
        <f t="shared" si="1799"/>
        <v/>
      </c>
      <c r="R1908" s="318" t="str">
        <f t="shared" si="1800"/>
        <v/>
      </c>
      <c r="S1908" s="318" t="str">
        <f t="shared" si="8"/>
        <v/>
      </c>
    </row>
    <row r="1909">
      <c r="A1909" s="14" t="str">
        <f t="shared" si="1"/>
        <v>C151646128</v>
      </c>
      <c r="B1909" s="185">
        <f t="array" ref="B1909">IF(F1909="VL","",IF(F1909="Free","Free",XLOOKUP(D1909,Roster!T:T,Roster!S:S,"",0)))</f>
        <v>122</v>
      </c>
      <c r="C1909" s="313">
        <v>46128.0</v>
      </c>
      <c r="D1909" s="314" t="s">
        <v>62</v>
      </c>
      <c r="E1909" s="307" t="str">
        <f t="array" ref="E1909">(XLOOKUP(D1909,Roster!F:F,Roster!B:B,"",0))</f>
        <v>Magda Foronda</v>
      </c>
      <c r="F1909" s="315" t="str">
        <f t="array" ref="F1909">IF(B1909=100,"Free",TEXT(XLOOKUP($D1909,OperationVoice!$A:$A,OperationVoice!V:V,XLOOKUP($D1909,OperationTickets!$A:$A,OperationTickets!V:V,"",0)),"hh:mm"))</f>
        <v>08:00</v>
      </c>
      <c r="G1909" s="309">
        <f t="shared" si="3"/>
        <v>0.7083333333</v>
      </c>
      <c r="H1909" s="316" t="str">
        <f t="array" ref="H1909">XLOOKUP(B1909,Roster!L:L,Roster!N:N,XLOOKUP(D1909,TicketsBreak!A:A,TicketsBreak!E:E,"",0),0)</f>
        <v>09:30 - 09:45</v>
      </c>
      <c r="I1909" s="316" t="str">
        <f t="array" ref="I1909">XLOOKUP(B1909,Roster!L:L,Roster!O:O,XLOOKUP(D1909,TicketsBreak!A:A,TicketsBreak!F:F,"",0),0)</f>
        <v>12:00 - 12:30</v>
      </c>
      <c r="J1909" s="316" t="str">
        <f t="array" ref="J1909">XLOOKUP(B1909,Roster!L:L,Roster!P:P,XLOOKUP(D1909,TicketsBreak!A:A,TicketsBreak!G:G,"",0),0)</f>
        <v>14:45 - 15:00</v>
      </c>
      <c r="K1909" s="310">
        <f t="shared" si="4"/>
        <v>46128</v>
      </c>
      <c r="L1909" s="317">
        <f t="array" ref="L1909">(XLOOKUP(D1909,Roster!F:F,Roster!D:D,"",0))</f>
        <v>35</v>
      </c>
      <c r="M1909" s="317" t="str">
        <f t="array" ref="M1909">XLOOKUP(D1909,Roster!F:F,Roster!E:E)</f>
        <v>Voice</v>
      </c>
      <c r="N1909" s="317" t="str">
        <f t="shared" ref="N1909:P1909" si="1937">LEFT(H1909,5)</f>
        <v>09:30</v>
      </c>
      <c r="O1909" s="317" t="str">
        <f t="shared" si="1937"/>
        <v>12:00</v>
      </c>
      <c r="P1909" s="317" t="str">
        <f t="shared" si="1937"/>
        <v>14:45</v>
      </c>
      <c r="Q1909" s="318">
        <f t="shared" si="1799"/>
        <v>46128.39583</v>
      </c>
      <c r="R1909" s="318">
        <f t="shared" si="1800"/>
        <v>46128.5</v>
      </c>
      <c r="S1909" s="318">
        <f t="shared" si="8"/>
        <v>46128.61458</v>
      </c>
    </row>
    <row r="1910">
      <c r="A1910" s="14" t="str">
        <f t="shared" si="1"/>
        <v>C118046128</v>
      </c>
      <c r="B1910" s="185">
        <f t="array" ref="B1910">IF(F1910="VL","",IF(F1910="Free","Free",XLOOKUP(D1910,Roster!T:T,Roster!S:S,"",0)))</f>
        <v>500</v>
      </c>
      <c r="C1910" s="313">
        <v>46128.0</v>
      </c>
      <c r="D1910" s="314" t="s">
        <v>147</v>
      </c>
      <c r="E1910" s="307" t="str">
        <f t="array" ref="E1910">(XLOOKUP(D1910,Roster!F:F,Roster!B:B,"",0))</f>
        <v>Manuela Moreno</v>
      </c>
      <c r="F1910" s="315" t="str">
        <f t="array" ref="F1910">IF(B1910=100,"Free",TEXT(XLOOKUP($D1910,OperationVoice!$A:$A,OperationVoice!V:V,XLOOKUP($D1910,OperationTickets!$A:$A,OperationTickets!V:V,"",0)),"hh:mm"))</f>
        <v>09:00</v>
      </c>
      <c r="G1910" s="309">
        <f t="shared" si="3"/>
        <v>0.75</v>
      </c>
      <c r="H1910" s="316" t="str">
        <f t="array" ref="H1910">XLOOKUP(B1910,Roster!L:L,Roster!N:N,XLOOKUP(D1910,TicketsBreak!A:A,TicketsBreak!E:E,"",0),0)</f>
        <v>Team Leader</v>
      </c>
      <c r="I1910" s="316" t="str">
        <f t="array" ref="I1910">XLOOKUP(B1910,Roster!L:L,Roster!O:O,XLOOKUP(D1910,TicketsBreak!A:A,TicketsBreak!F:F,"",0),0)</f>
        <v>Team Leader</v>
      </c>
      <c r="J1910" s="316" t="str">
        <f t="array" ref="J1910">XLOOKUP(B1910,Roster!L:L,Roster!P:P,XLOOKUP(D1910,TicketsBreak!A:A,TicketsBreak!G:G,"",0),0)</f>
        <v/>
      </c>
      <c r="K1910" s="310">
        <f t="shared" si="4"/>
        <v>46128</v>
      </c>
      <c r="L1910" s="317">
        <f t="array" ref="L1910">(XLOOKUP(D1910,Roster!F:F,Roster!D:D,"",0))</f>
        <v>24</v>
      </c>
      <c r="M1910" s="317" t="str">
        <f t="array" ref="M1910">XLOOKUP(D1910,Roster!F:F,Roster!E:E)</f>
        <v>Tickets</v>
      </c>
      <c r="N1910" s="317" t="str">
        <f t="shared" ref="N1910:P1910" si="1938">LEFT(H1910,5)</f>
        <v>Team </v>
      </c>
      <c r="O1910" s="317" t="str">
        <f t="shared" si="1938"/>
        <v>Team </v>
      </c>
      <c r="P1910" s="317" t="str">
        <f t="shared" si="1938"/>
        <v/>
      </c>
      <c r="Q1910" s="318" t="str">
        <f>IF(P1910="","",$C1910+N1910)</f>
        <v/>
      </c>
      <c r="R1910" s="318" t="str">
        <f>if(P1910="","",$C1910+O1910)</f>
        <v/>
      </c>
      <c r="S1910" s="318" t="str">
        <f t="shared" si="8"/>
        <v/>
      </c>
    </row>
    <row r="1911">
      <c r="A1911" s="14" t="str">
        <f t="shared" si="1"/>
        <v>C153646128</v>
      </c>
      <c r="B1911" s="185">
        <f t="array" ref="B1911">IF(F1911="VL","",IF(F1911="Free","Free",XLOOKUP(D1911,Roster!T:T,Roster!S:S,"",0)))</f>
        <v>121</v>
      </c>
      <c r="C1911" s="313">
        <v>46128.0</v>
      </c>
      <c r="D1911" s="314" t="s">
        <v>63</v>
      </c>
      <c r="E1911" s="307" t="str">
        <f t="array" ref="E1911">(XLOOKUP(D1911,Roster!F:F,Roster!B:B,"",0))</f>
        <v>Maria Mesa</v>
      </c>
      <c r="F1911" s="315" t="str">
        <f t="array" ref="F1911">IF(B1911=100,"Free",TEXT(XLOOKUP($D1911,OperationVoice!$A:$A,OperationVoice!V:V,XLOOKUP($D1911,OperationTickets!$A:$A,OperationTickets!V:V,"",0)),"hh:mm"))</f>
        <v>08:00</v>
      </c>
      <c r="G1911" s="309">
        <f t="shared" si="3"/>
        <v>0.7083333333</v>
      </c>
      <c r="H1911" s="316" t="str">
        <f t="array" ref="H1911">XLOOKUP(B1911,Roster!L:L,Roster!N:N,XLOOKUP(D1911,TicketsBreak!A:A,TicketsBreak!E:E,"",0),0)</f>
        <v>09:15 - 09:30</v>
      </c>
      <c r="I1911" s="316" t="str">
        <f t="array" ref="I1911">XLOOKUP(B1911,Roster!L:L,Roster!O:O,XLOOKUP(D1911,TicketsBreak!A:A,TicketsBreak!F:F,"",0),0)</f>
        <v>11:30 - 12:00</v>
      </c>
      <c r="J1911" s="316" t="str">
        <f t="array" ref="J1911">XLOOKUP(B1911,Roster!L:L,Roster!P:P,XLOOKUP(D1911,TicketsBreak!A:A,TicketsBreak!G:G,"",0),0)</f>
        <v>14:30 - 14:45</v>
      </c>
      <c r="K1911" s="310">
        <f t="shared" si="4"/>
        <v>46128</v>
      </c>
      <c r="L1911" s="317">
        <f t="array" ref="L1911">(XLOOKUP(D1911,Roster!F:F,Roster!D:D,"",0))</f>
        <v>36</v>
      </c>
      <c r="M1911" s="317" t="str">
        <f t="array" ref="M1911">XLOOKUP(D1911,Roster!F:F,Roster!E:E)</f>
        <v>Voice</v>
      </c>
      <c r="N1911" s="317" t="str">
        <f t="shared" ref="N1911:P1911" si="1939">LEFT(H1911,5)</f>
        <v>09:15</v>
      </c>
      <c r="O1911" s="317" t="str">
        <f t="shared" si="1939"/>
        <v>11:30</v>
      </c>
      <c r="P1911" s="317" t="str">
        <f t="shared" si="1939"/>
        <v>14:30</v>
      </c>
      <c r="Q1911" s="318">
        <f t="shared" ref="Q1911:Q2049" si="1941">IF(N1911="","",$C1911+N1911)</f>
        <v>46128.38542</v>
      </c>
      <c r="R1911" s="318">
        <f t="shared" ref="R1911:R2049" si="1942">if(O1911="","",$C1911+O1911)</f>
        <v>46128.47917</v>
      </c>
      <c r="S1911" s="318">
        <f t="shared" si="8"/>
        <v>46128.60417</v>
      </c>
    </row>
    <row r="1912">
      <c r="A1912" s="14" t="str">
        <f t="shared" si="1"/>
        <v>C74046128</v>
      </c>
      <c r="B1912" s="185" t="str">
        <f t="array" ref="B1912">IF(F1912="VL","",IF(F1912="Free","Free",XLOOKUP(D1912,Roster!T:T,Roster!S:S,"",0)))</f>
        <v/>
      </c>
      <c r="C1912" s="313">
        <v>46128.0</v>
      </c>
      <c r="D1912" s="314" t="s">
        <v>166</v>
      </c>
      <c r="E1912" s="307" t="str">
        <f t="array" ref="E1912">(XLOOKUP(D1912,Roster!F:F,Roster!B:B,"",0))</f>
        <v>Mateo Agudelo</v>
      </c>
      <c r="F1912" s="315" t="str">
        <f t="array" ref="F1912">IF(B1912=100,"Free",TEXT(XLOOKUP($D1912,OperationVoice!$A:$A,OperationVoice!V:V,XLOOKUP($D1912,OperationTickets!$A:$A,OperationTickets!V:V,"",0)),"hh:mm"))</f>
        <v>08:00</v>
      </c>
      <c r="G1912" s="309">
        <f t="shared" si="3"/>
        <v>0.7083333333</v>
      </c>
      <c r="H1912" s="316">
        <f t="array" ref="H1912">XLOOKUP(B1912,Roster!L:L,Roster!N:N,XLOOKUP(D1912,TicketsBreak!A:A,TicketsBreak!E:E,"",0),0)</f>
        <v>0.4166666667</v>
      </c>
      <c r="I1912" s="316">
        <f t="array" ref="I1912">XLOOKUP(B1912,Roster!L:L,Roster!O:O,XLOOKUP(D1912,TicketsBreak!A:A,TicketsBreak!F:F,"",0),0)</f>
        <v>0.5</v>
      </c>
      <c r="J1912" s="316">
        <f t="array" ref="J1912">XLOOKUP(B1912,Roster!L:L,Roster!P:P,XLOOKUP(D1912,TicketsBreak!A:A,TicketsBreak!G:G,"",0),0)</f>
        <v>0.65625</v>
      </c>
      <c r="K1912" s="310">
        <f t="shared" si="4"/>
        <v>46128</v>
      </c>
      <c r="L1912" s="317">
        <f t="array" ref="L1912">(XLOOKUP(D1912,Roster!F:F,Roster!D:D,"",0))</f>
        <v>8</v>
      </c>
      <c r="M1912" s="317" t="str">
        <f t="array" ref="M1912">XLOOKUP(D1912,Roster!F:F,Roster!E:E)</f>
        <v>Tickets</v>
      </c>
      <c r="N1912" s="317" t="str">
        <f t="shared" ref="N1912:P1912" si="1940">LEFT(H1912,5)</f>
        <v>10:00</v>
      </c>
      <c r="O1912" s="317" t="str">
        <f t="shared" si="1940"/>
        <v>12:00</v>
      </c>
      <c r="P1912" s="317" t="str">
        <f t="shared" si="1940"/>
        <v>15:45</v>
      </c>
      <c r="Q1912" s="318">
        <f t="shared" si="1941"/>
        <v>46128.41667</v>
      </c>
      <c r="R1912" s="318">
        <f t="shared" si="1942"/>
        <v>46128.5</v>
      </c>
      <c r="S1912" s="318">
        <f t="shared" si="8"/>
        <v>46128.65625</v>
      </c>
    </row>
    <row r="1913">
      <c r="A1913" s="14" t="str">
        <f t="shared" si="1"/>
        <v>C142946128</v>
      </c>
      <c r="B1913" s="185">
        <f t="array" ref="B1913">IF(F1913="VL","",IF(F1913="Free","Free",XLOOKUP(D1913,Roster!T:T,Roster!S:S,"",0)))</f>
        <v>121</v>
      </c>
      <c r="C1913" s="313">
        <v>46128.0</v>
      </c>
      <c r="D1913" s="314" t="s">
        <v>178</v>
      </c>
      <c r="E1913" s="307" t="str">
        <f t="array" ref="E1913">(XLOOKUP(D1913,Roster!F:F,Roster!B:B,"",0))</f>
        <v>Mateo Vanegas</v>
      </c>
      <c r="F1913" s="315" t="str">
        <f t="array" ref="F1913">IF(B1913=100,"Free",TEXT(XLOOKUP($D1913,OperationVoice!$A:$A,OperationVoice!V:V,XLOOKUP($D1913,OperationTickets!$A:$A,OperationTickets!V:V,"",0)),"hh:mm"))</f>
        <v>08:00</v>
      </c>
      <c r="G1913" s="309">
        <f t="shared" si="3"/>
        <v>0.7083333333</v>
      </c>
      <c r="H1913" s="316" t="str">
        <f t="array" ref="H1913">XLOOKUP(B1913,Roster!L:L,Roster!N:N,XLOOKUP(D1913,TicketsBreak!A:A,TicketsBreak!E:E,"",0),0)</f>
        <v>09:15 - 09:30</v>
      </c>
      <c r="I1913" s="316" t="str">
        <f t="array" ref="I1913">XLOOKUP(B1913,Roster!L:L,Roster!O:O,XLOOKUP(D1913,TicketsBreak!A:A,TicketsBreak!F:F,"",0),0)</f>
        <v>11:30 - 12:00</v>
      </c>
      <c r="J1913" s="316" t="str">
        <f t="array" ref="J1913">XLOOKUP(B1913,Roster!L:L,Roster!P:P,XLOOKUP(D1913,TicketsBreak!A:A,TicketsBreak!G:G,"",0),0)</f>
        <v>14:30 - 14:45</v>
      </c>
      <c r="K1913" s="310">
        <f t="shared" si="4"/>
        <v>46128</v>
      </c>
      <c r="L1913" s="317">
        <f t="array" ref="L1913">(XLOOKUP(D1913,Roster!F:F,Roster!D:D,"",0))</f>
        <v>32</v>
      </c>
      <c r="M1913" s="317" t="str">
        <f t="array" ref="M1913">XLOOKUP(D1913,Roster!F:F,Roster!E:E)</f>
        <v>Tickets</v>
      </c>
      <c r="N1913" s="317" t="str">
        <f t="shared" ref="N1913:P1913" si="1943">LEFT(H1913,5)</f>
        <v>09:15</v>
      </c>
      <c r="O1913" s="317" t="str">
        <f t="shared" si="1943"/>
        <v>11:30</v>
      </c>
      <c r="P1913" s="317" t="str">
        <f t="shared" si="1943"/>
        <v>14:30</v>
      </c>
      <c r="Q1913" s="318">
        <f t="shared" si="1941"/>
        <v>46128.38542</v>
      </c>
      <c r="R1913" s="318">
        <f t="shared" si="1942"/>
        <v>46128.47917</v>
      </c>
      <c r="S1913" s="318">
        <f t="shared" si="8"/>
        <v>46128.60417</v>
      </c>
    </row>
    <row r="1914">
      <c r="A1914" s="14" t="str">
        <f t="shared" si="1"/>
        <v>C146846128</v>
      </c>
      <c r="B1914" s="185">
        <f t="array" ref="B1914">IF(F1914="VL","",IF(F1914="Free","Free",XLOOKUP(D1914,Roster!T:T,Roster!S:S,"",0)))</f>
        <v>122</v>
      </c>
      <c r="C1914" s="313">
        <v>46128.0</v>
      </c>
      <c r="D1914" s="314" t="s">
        <v>64</v>
      </c>
      <c r="E1914" s="307" t="str">
        <f t="array" ref="E1914">(XLOOKUP(D1914,Roster!F:F,Roster!B:B,"",0))</f>
        <v>Miguel Betancur</v>
      </c>
      <c r="F1914" s="315" t="str">
        <f t="array" ref="F1914">IF(B1914=100,"Free",TEXT(XLOOKUP($D1914,OperationVoice!$A:$A,OperationVoice!V:V,XLOOKUP($D1914,OperationTickets!$A:$A,OperationTickets!V:V,"",0)),"hh:mm"))</f>
        <v>08:00</v>
      </c>
      <c r="G1914" s="309">
        <f t="shared" si="3"/>
        <v>0.7083333333</v>
      </c>
      <c r="H1914" s="316" t="str">
        <f t="array" ref="H1914">XLOOKUP(B1914,Roster!L:L,Roster!N:N,XLOOKUP(D1914,TicketsBreak!A:A,TicketsBreak!E:E,"",0),0)</f>
        <v>09:30 - 09:45</v>
      </c>
      <c r="I1914" s="316" t="str">
        <f t="array" ref="I1914">XLOOKUP(B1914,Roster!L:L,Roster!O:O,XLOOKUP(D1914,TicketsBreak!A:A,TicketsBreak!F:F,"",0),0)</f>
        <v>12:00 - 12:30</v>
      </c>
      <c r="J1914" s="316" t="str">
        <f t="array" ref="J1914">XLOOKUP(B1914,Roster!L:L,Roster!P:P,XLOOKUP(D1914,TicketsBreak!A:A,TicketsBreak!G:G,"",0),0)</f>
        <v>14:45 - 15:00</v>
      </c>
      <c r="K1914" s="310">
        <f t="shared" si="4"/>
        <v>46128</v>
      </c>
      <c r="L1914" s="317">
        <f t="array" ref="L1914">(XLOOKUP(D1914,Roster!F:F,Roster!D:D,"",0))</f>
        <v>33</v>
      </c>
      <c r="M1914" s="317" t="str">
        <f t="array" ref="M1914">XLOOKUP(D1914,Roster!F:F,Roster!E:E)</f>
        <v>Voice</v>
      </c>
      <c r="N1914" s="317" t="str">
        <f t="shared" ref="N1914:P1914" si="1944">LEFT(H1914,5)</f>
        <v>09:30</v>
      </c>
      <c r="O1914" s="317" t="str">
        <f t="shared" si="1944"/>
        <v>12:00</v>
      </c>
      <c r="P1914" s="317" t="str">
        <f t="shared" si="1944"/>
        <v>14:45</v>
      </c>
      <c r="Q1914" s="318">
        <f t="shared" si="1941"/>
        <v>46128.39583</v>
      </c>
      <c r="R1914" s="318">
        <f t="shared" si="1942"/>
        <v>46128.5</v>
      </c>
      <c r="S1914" s="318">
        <f t="shared" si="8"/>
        <v>46128.61458</v>
      </c>
    </row>
    <row r="1915">
      <c r="A1915" s="14" t="str">
        <f t="shared" si="1"/>
        <v>C106546128</v>
      </c>
      <c r="B1915" s="185" t="str">
        <f t="array" ref="B1915">IF(F1915="VL","",IF(F1915="Free","Free",XLOOKUP(D1915,Roster!T:T,Roster!S:S,"",0)))</f>
        <v>Free</v>
      </c>
      <c r="C1915" s="313">
        <v>46128.0</v>
      </c>
      <c r="D1915" s="314" t="s">
        <v>148</v>
      </c>
      <c r="E1915" s="307" t="str">
        <f t="array" ref="E1915">(XLOOKUP(D1915,Roster!F:F,Roster!B:B,"",0))</f>
        <v>Miguel Hoyos</v>
      </c>
      <c r="F1915" s="315" t="str">
        <f t="array" ref="F1915">IF(B1915=100,"Free",TEXT(XLOOKUP($D1915,OperationVoice!$A:$A,OperationVoice!V:V,XLOOKUP($D1915,OperationTickets!$A:$A,OperationTickets!V:V,"",0)),"hh:mm"))</f>
        <v>Free</v>
      </c>
      <c r="G1915" s="309" t="str">
        <f t="shared" si="3"/>
        <v>Free</v>
      </c>
      <c r="H1915" s="316">
        <f t="array" ref="H1915">XLOOKUP(B1915,Roster!L:L,Roster!N:N,XLOOKUP(D1915,TicketsBreak!A:A,TicketsBreak!E:E,"",0),0)</f>
        <v>0.4583333333</v>
      </c>
      <c r="I1915" s="316">
        <f t="array" ref="I1915">XLOOKUP(B1915,Roster!L:L,Roster!O:O,XLOOKUP(D1915,TicketsBreak!A:A,TicketsBreak!F:F,"",0),0)</f>
        <v>0.5625</v>
      </c>
      <c r="J1915" s="316">
        <f t="array" ref="J1915">XLOOKUP(B1915,Roster!L:L,Roster!P:P,XLOOKUP(D1915,TicketsBreak!A:A,TicketsBreak!G:G,"",0),0)</f>
        <v>0.65625</v>
      </c>
      <c r="K1915" s="310">
        <f t="shared" si="4"/>
        <v>46128</v>
      </c>
      <c r="L1915" s="317">
        <f t="array" ref="L1915">(XLOOKUP(D1915,Roster!F:F,Roster!D:D,"",0))</f>
        <v>17</v>
      </c>
      <c r="M1915" s="317" t="str">
        <f t="array" ref="M1915">XLOOKUP(D1915,Roster!F:F,Roster!E:E)</f>
        <v>Tickets</v>
      </c>
      <c r="N1915" s="317" t="str">
        <f t="shared" ref="N1915:P1915" si="1945">LEFT(H1915,5)</f>
        <v>11:00</v>
      </c>
      <c r="O1915" s="317" t="str">
        <f t="shared" si="1945"/>
        <v>13:30</v>
      </c>
      <c r="P1915" s="317" t="str">
        <f t="shared" si="1945"/>
        <v>15:45</v>
      </c>
      <c r="Q1915" s="318">
        <f t="shared" si="1941"/>
        <v>46128.45833</v>
      </c>
      <c r="R1915" s="318">
        <f t="shared" si="1942"/>
        <v>46128.5625</v>
      </c>
      <c r="S1915" s="318">
        <f t="shared" si="8"/>
        <v>46128.65625</v>
      </c>
    </row>
    <row r="1916">
      <c r="A1916" s="14" t="str">
        <f t="shared" si="1"/>
        <v>C111446128</v>
      </c>
      <c r="B1916" s="185">
        <f t="array" ref="B1916">IF(F1916="VL","",IF(F1916="Free","Free",XLOOKUP(D1916,Roster!T:T,Roster!S:S,"",0)))</f>
        <v>113</v>
      </c>
      <c r="C1916" s="313">
        <v>46128.0</v>
      </c>
      <c r="D1916" s="314" t="s">
        <v>65</v>
      </c>
      <c r="E1916" s="307" t="str">
        <f t="array" ref="E1916">(XLOOKUP(D1916,Roster!F:F,Roster!B:B,"",0))</f>
        <v>Mikel Bowie</v>
      </c>
      <c r="F1916" s="315" t="str">
        <f t="array" ref="F1916">IF(B1916=100,"Free",TEXT(XLOOKUP($D1916,OperationVoice!$A:$A,OperationVoice!V:V,XLOOKUP($D1916,OperationTickets!$A:$A,OperationTickets!V:V,"",0)),"hh:mm"))</f>
        <v>07:00</v>
      </c>
      <c r="G1916" s="309">
        <f t="shared" si="3"/>
        <v>0.6666666667</v>
      </c>
      <c r="H1916" s="316" t="str">
        <f t="array" ref="H1916">XLOOKUP(B1916,Roster!L:L,Roster!N:N,XLOOKUP(D1916,TicketsBreak!A:A,TicketsBreak!E:E,"",0),0)</f>
        <v>09:45 - 10:00</v>
      </c>
      <c r="I1916" s="316" t="str">
        <f t="array" ref="I1916">XLOOKUP(B1916,Roster!L:L,Roster!O:O,XLOOKUP(D1916,TicketsBreak!A:A,TicketsBreak!F:F,"",0),0)</f>
        <v>12:30 - 13:00</v>
      </c>
      <c r="J1916" s="316" t="str">
        <f t="array" ref="J1916">XLOOKUP(B1916,Roster!L:L,Roster!P:P,XLOOKUP(D1916,TicketsBreak!A:A,TicketsBreak!G:G,"",0),0)</f>
        <v>14:45 - 15:00</v>
      </c>
      <c r="K1916" s="310">
        <f t="shared" si="4"/>
        <v>46128</v>
      </c>
      <c r="L1916" s="317">
        <f t="array" ref="L1916">(XLOOKUP(D1916,Roster!F:F,Roster!D:D,"",0))</f>
        <v>20</v>
      </c>
      <c r="M1916" s="317" t="str">
        <f t="array" ref="M1916">XLOOKUP(D1916,Roster!F:F,Roster!E:E)</f>
        <v>Voice</v>
      </c>
      <c r="N1916" s="317" t="str">
        <f t="shared" ref="N1916:P1916" si="1946">LEFT(H1916,5)</f>
        <v>09:45</v>
      </c>
      <c r="O1916" s="317" t="str">
        <f t="shared" si="1946"/>
        <v>12:30</v>
      </c>
      <c r="P1916" s="317" t="str">
        <f t="shared" si="1946"/>
        <v>14:45</v>
      </c>
      <c r="Q1916" s="318">
        <f t="shared" si="1941"/>
        <v>46128.40625</v>
      </c>
      <c r="R1916" s="318">
        <f t="shared" si="1942"/>
        <v>46128.52083</v>
      </c>
      <c r="S1916" s="318">
        <f t="shared" si="8"/>
        <v>46128.61458</v>
      </c>
    </row>
    <row r="1917">
      <c r="A1917" s="14" t="str">
        <f t="shared" si="1"/>
        <v>C116346128</v>
      </c>
      <c r="B1917" s="185">
        <f t="array" ref="B1917">IF(F1917="VL","",IF(F1917="Free","Free",XLOOKUP(D1917,Roster!T:T,Roster!S:S,"",0)))</f>
        <v>123</v>
      </c>
      <c r="C1917" s="313">
        <v>46128.0</v>
      </c>
      <c r="D1917" s="314" t="s">
        <v>66</v>
      </c>
      <c r="E1917" s="307" t="str">
        <f t="array" ref="E1917">(XLOOKUP(D1917,Roster!F:F,Roster!B:B,"",0))</f>
        <v>Natalia Cardona</v>
      </c>
      <c r="F1917" s="315" t="str">
        <f t="array" ref="F1917">IF(B1917=100,"Free",TEXT(XLOOKUP($D1917,OperationVoice!$A:$A,OperationVoice!V:V,XLOOKUP($D1917,OperationTickets!$A:$A,OperationTickets!V:V,"",0)),"hh:mm"))</f>
        <v>08:00</v>
      </c>
      <c r="G1917" s="309">
        <f t="shared" si="3"/>
        <v>0.7083333333</v>
      </c>
      <c r="H1917" s="316" t="str">
        <f t="array" ref="H1917">XLOOKUP(B1917,Roster!L:L,Roster!N:N,XLOOKUP(D1917,TicketsBreak!A:A,TicketsBreak!E:E,"",0),0)</f>
        <v>09:45 - 10:00 </v>
      </c>
      <c r="I1917" s="316" t="str">
        <f t="array" ref="I1917">XLOOKUP(B1917,Roster!L:L,Roster!O:O,XLOOKUP(D1917,TicketsBreak!A:A,TicketsBreak!F:F,"",0),0)</f>
        <v>12:30 - 13:00</v>
      </c>
      <c r="J1917" s="316" t="str">
        <f t="array" ref="J1917">XLOOKUP(B1917,Roster!L:L,Roster!P:P,XLOOKUP(D1917,TicketsBreak!A:A,TicketsBreak!G:G,"",0),0)</f>
        <v>15:00 - 15:15</v>
      </c>
      <c r="K1917" s="310">
        <f t="shared" si="4"/>
        <v>46128</v>
      </c>
      <c r="L1917" s="317">
        <f t="array" ref="L1917">(XLOOKUP(D1917,Roster!F:F,Roster!D:D,"",0))</f>
        <v>24</v>
      </c>
      <c r="M1917" s="317" t="str">
        <f t="array" ref="M1917">XLOOKUP(D1917,Roster!F:F,Roster!E:E)</f>
        <v>Voice</v>
      </c>
      <c r="N1917" s="317" t="str">
        <f t="shared" ref="N1917:P1917" si="1947">LEFT(H1917,5)</f>
        <v>09:45</v>
      </c>
      <c r="O1917" s="317" t="str">
        <f t="shared" si="1947"/>
        <v>12:30</v>
      </c>
      <c r="P1917" s="317" t="str">
        <f t="shared" si="1947"/>
        <v>15:00</v>
      </c>
      <c r="Q1917" s="318">
        <f t="shared" si="1941"/>
        <v>46128.40625</v>
      </c>
      <c r="R1917" s="318">
        <f t="shared" si="1942"/>
        <v>46128.52083</v>
      </c>
      <c r="S1917" s="318">
        <f t="shared" si="8"/>
        <v>46128.625</v>
      </c>
    </row>
    <row r="1918">
      <c r="A1918" s="14" t="str">
        <f t="shared" si="1"/>
        <v>C55646128</v>
      </c>
      <c r="B1918" s="185" t="str">
        <f t="array" ref="B1918">IF(F1918="VL","",IF(F1918="Free","Free",XLOOKUP(D1918,Roster!T:T,Roster!S:S,"",0)))</f>
        <v/>
      </c>
      <c r="C1918" s="313">
        <v>46128.0</v>
      </c>
      <c r="D1918" s="314" t="s">
        <v>167</v>
      </c>
      <c r="E1918" s="307" t="str">
        <f t="array" ref="E1918">(XLOOKUP(D1918,Roster!F:F,Roster!B:B,"",0))</f>
        <v>Nelson Londono</v>
      </c>
      <c r="F1918" s="315" t="str">
        <f t="array" ref="F1918">IF(B1918=100,"Free",TEXT(XLOOKUP($D1918,OperationVoice!$A:$A,OperationVoice!V:V,XLOOKUP($D1918,OperationTickets!$A:$A,OperationTickets!V:V,"",0)),"hh:mm"))</f>
        <v>07:00</v>
      </c>
      <c r="G1918" s="309">
        <f t="shared" si="3"/>
        <v>0.6666666667</v>
      </c>
      <c r="H1918" s="316">
        <f t="array" ref="H1918">XLOOKUP(B1918,Roster!L:L,Roster!N:N,XLOOKUP(D1918,TicketsBreak!A:A,TicketsBreak!E:E,"",0),0)</f>
        <v>0.3854166667</v>
      </c>
      <c r="I1918" s="316">
        <f t="array" ref="I1918">XLOOKUP(B1918,Roster!L:L,Roster!O:O,XLOOKUP(D1918,TicketsBreak!A:A,TicketsBreak!F:F,"",0),0)</f>
        <v>0.5833333333</v>
      </c>
      <c r="J1918" s="316">
        <f t="array" ref="J1918">XLOOKUP(B1918,Roster!L:L,Roster!P:P,XLOOKUP(D1918,TicketsBreak!A:A,TicketsBreak!G:G,"",0),0)</f>
        <v>0.6458333333</v>
      </c>
      <c r="K1918" s="310">
        <f t="shared" si="4"/>
        <v>46128</v>
      </c>
      <c r="L1918" s="317">
        <f t="array" ref="L1918">(XLOOKUP(D1918,Roster!F:F,Roster!D:D,"",0))</f>
        <v>2</v>
      </c>
      <c r="M1918" s="317" t="str">
        <f t="array" ref="M1918">XLOOKUP(D1918,Roster!F:F,Roster!E:E)</f>
        <v>Tickets</v>
      </c>
      <c r="N1918" s="317" t="str">
        <f t="shared" ref="N1918:P1918" si="1948">LEFT(H1918,5)</f>
        <v>09:15</v>
      </c>
      <c r="O1918" s="317" t="str">
        <f t="shared" si="1948"/>
        <v>14:00</v>
      </c>
      <c r="P1918" s="317" t="str">
        <f t="shared" si="1948"/>
        <v>15:30</v>
      </c>
      <c r="Q1918" s="318">
        <f t="shared" si="1941"/>
        <v>46128.38542</v>
      </c>
      <c r="R1918" s="318">
        <f t="shared" si="1942"/>
        <v>46128.58333</v>
      </c>
      <c r="S1918" s="318">
        <f t="shared" si="8"/>
        <v>46128.64583</v>
      </c>
    </row>
    <row r="1919">
      <c r="A1919" s="14" t="str">
        <f t="shared" si="1"/>
        <v>C150746128</v>
      </c>
      <c r="B1919" s="185">
        <f t="array" ref="B1919">IF(F1919="VL","",IF(F1919="Free","Free",XLOOKUP(D1919,Roster!T:T,Roster!S:S,"",0)))</f>
        <v>125</v>
      </c>
      <c r="C1919" s="313">
        <v>46128.0</v>
      </c>
      <c r="D1919" s="314" t="s">
        <v>67</v>
      </c>
      <c r="E1919" s="307" t="str">
        <f t="array" ref="E1919">(XLOOKUP(D1919,Roster!F:F,Roster!B:B,"",0))</f>
        <v>Nicols Quinones</v>
      </c>
      <c r="F1919" s="315" t="str">
        <f t="array" ref="F1919">IF(B1919=100,"Free",TEXT(XLOOKUP($D1919,OperationVoice!$A:$A,OperationVoice!V:V,XLOOKUP($D1919,OperationTickets!$A:$A,OperationTickets!V:V,"",0)),"hh:mm"))</f>
        <v>08:00</v>
      </c>
      <c r="G1919" s="309">
        <f t="shared" si="3"/>
        <v>0.7083333333</v>
      </c>
      <c r="H1919" s="316" t="str">
        <f t="array" ref="H1919">XLOOKUP(B1919,Roster!L:L,Roster!N:N,XLOOKUP(D1919,TicketsBreak!A:A,TicketsBreak!E:E,"",0),0)</f>
        <v>10:30 - 10:45</v>
      </c>
      <c r="I1919" s="316" t="str">
        <f t="array" ref="I1919">XLOOKUP(B1919,Roster!L:L,Roster!O:O,XLOOKUP(D1919,TicketsBreak!A:A,TicketsBreak!F:F,"",0),0)</f>
        <v>13:30 - 14:00</v>
      </c>
      <c r="J1919" s="316" t="str">
        <f t="array" ref="J1919">XLOOKUP(B1919,Roster!L:L,Roster!P:P,XLOOKUP(D1919,TicketsBreak!A:A,TicketsBreak!G:G,"",0),0)</f>
        <v>15:45 - 16:00</v>
      </c>
      <c r="K1919" s="310">
        <f t="shared" si="4"/>
        <v>46128</v>
      </c>
      <c r="L1919" s="317">
        <f t="array" ref="L1919">(XLOOKUP(D1919,Roster!F:F,Roster!D:D,"",0))</f>
        <v>35</v>
      </c>
      <c r="M1919" s="317" t="str">
        <f t="array" ref="M1919">XLOOKUP(D1919,Roster!F:F,Roster!E:E)</f>
        <v>Voice</v>
      </c>
      <c r="N1919" s="317" t="str">
        <f t="shared" ref="N1919:P1919" si="1949">LEFT(H1919,5)</f>
        <v>10:30</v>
      </c>
      <c r="O1919" s="317" t="str">
        <f t="shared" si="1949"/>
        <v>13:30</v>
      </c>
      <c r="P1919" s="317" t="str">
        <f t="shared" si="1949"/>
        <v>15:45</v>
      </c>
      <c r="Q1919" s="318">
        <f t="shared" si="1941"/>
        <v>46128.4375</v>
      </c>
      <c r="R1919" s="318">
        <f t="shared" si="1942"/>
        <v>46128.5625</v>
      </c>
      <c r="S1919" s="318">
        <f t="shared" si="8"/>
        <v>46128.65625</v>
      </c>
    </row>
    <row r="1920">
      <c r="A1920" s="14" t="str">
        <f t="shared" si="1"/>
        <v>C71446128</v>
      </c>
      <c r="B1920" s="185" t="str">
        <f t="array" ref="B1920">IF(F1920="VL","",IF(F1920="Free","Free",XLOOKUP(D1920,Roster!T:T,Roster!S:S,"",0)))</f>
        <v/>
      </c>
      <c r="C1920" s="313">
        <v>46128.0</v>
      </c>
      <c r="D1920" s="314" t="s">
        <v>149</v>
      </c>
      <c r="E1920" s="307" t="str">
        <f t="array" ref="E1920">(XLOOKUP(D1920,Roster!F:F,Roster!B:B,"",0))</f>
        <v>Onel Olivera</v>
      </c>
      <c r="F1920" s="315" t="str">
        <f t="array" ref="F1920">IF(B1920=100,"Free",TEXT(XLOOKUP($D1920,OperationVoice!$A:$A,OperationVoice!V:V,XLOOKUP($D1920,OperationTickets!$A:$A,OperationTickets!V:V,"",0)),"hh:mm"))</f>
        <v>08:00</v>
      </c>
      <c r="G1920" s="309">
        <f t="shared" si="3"/>
        <v>0.7083333333</v>
      </c>
      <c r="H1920" s="316">
        <f t="array" ref="H1920">XLOOKUP(B1920,Roster!L:L,Roster!N:N,XLOOKUP(D1920,TicketsBreak!A:A,TicketsBreak!E:E,"",0),0)</f>
        <v>0.4166666667</v>
      </c>
      <c r="I1920" s="316">
        <f t="array" ref="I1920">XLOOKUP(B1920,Roster!L:L,Roster!O:O,XLOOKUP(D1920,TicketsBreak!A:A,TicketsBreak!F:F,"",0),0)</f>
        <v>0.5</v>
      </c>
      <c r="J1920" s="316">
        <f t="array" ref="J1920">XLOOKUP(B1920,Roster!L:L,Roster!P:P,XLOOKUP(D1920,TicketsBreak!A:A,TicketsBreak!G:G,"",0),0)</f>
        <v>0.625</v>
      </c>
      <c r="K1920" s="310">
        <f t="shared" si="4"/>
        <v>46128</v>
      </c>
      <c r="L1920" s="317">
        <f t="array" ref="L1920">(XLOOKUP(D1920,Roster!F:F,Roster!D:D,"",0))</f>
        <v>1</v>
      </c>
      <c r="M1920" s="317" t="str">
        <f t="array" ref="M1920">XLOOKUP(D1920,Roster!F:F,Roster!E:E)</f>
        <v>Tickets</v>
      </c>
      <c r="N1920" s="317" t="str">
        <f t="shared" ref="N1920:P1920" si="1950">LEFT(H1920,5)</f>
        <v>10:00</v>
      </c>
      <c r="O1920" s="317" t="str">
        <f t="shared" si="1950"/>
        <v>12:00</v>
      </c>
      <c r="P1920" s="317" t="str">
        <f t="shared" si="1950"/>
        <v>15:00</v>
      </c>
      <c r="Q1920" s="318">
        <f t="shared" si="1941"/>
        <v>46128.41667</v>
      </c>
      <c r="R1920" s="318">
        <f t="shared" si="1942"/>
        <v>46128.5</v>
      </c>
      <c r="S1920" s="318">
        <f t="shared" si="8"/>
        <v>46128.625</v>
      </c>
    </row>
    <row r="1921">
      <c r="A1921" s="14" t="str">
        <f t="shared" si="1"/>
        <v>C116446128</v>
      </c>
      <c r="B1921" s="185" t="str">
        <f t="array" ref="B1921">IF(F1921="VL","",IF(F1921="Free","Free",XLOOKUP(D1921,Roster!T:T,Roster!S:S,"",0)))</f>
        <v/>
      </c>
      <c r="C1921" s="313">
        <v>46128.0</v>
      </c>
      <c r="D1921" s="314" t="s">
        <v>179</v>
      </c>
      <c r="E1921" s="307" t="str">
        <f t="array" ref="E1921">(XLOOKUP(D1921,Roster!F:F,Roster!B:B,"",0))</f>
        <v>Oscar Florez</v>
      </c>
      <c r="F1921" s="315" t="str">
        <f t="array" ref="F1921">IF(B1921=100,"Free",TEXT(XLOOKUP($D1921,OperationVoice!$A:$A,OperationVoice!V:V,XLOOKUP($D1921,OperationTickets!$A:$A,OperationTickets!V:V,"",0)),"hh:mm"))</f>
        <v>08:00</v>
      </c>
      <c r="G1921" s="309">
        <f t="shared" si="3"/>
        <v>0.7083333333</v>
      </c>
      <c r="H1921" s="316" t="str">
        <f t="array" ref="H1921">XLOOKUP(B1921,Roster!L:L,Roster!N:N,XLOOKUP(D1921,TicketsBreak!A:A,TicketsBreak!E:E,"",0),0)</f>
        <v/>
      </c>
      <c r="I1921" s="316" t="str">
        <f t="array" ref="I1921">XLOOKUP(B1921,Roster!L:L,Roster!O:O,XLOOKUP(D1921,TicketsBreak!A:A,TicketsBreak!F:F,"",0),0)</f>
        <v/>
      </c>
      <c r="J1921" s="316" t="str">
        <f t="array" ref="J1921">XLOOKUP(B1921,Roster!L:L,Roster!P:P,XLOOKUP(D1921,TicketsBreak!A:A,TicketsBreak!G:G,"",0),0)</f>
        <v/>
      </c>
      <c r="K1921" s="310">
        <f t="shared" si="4"/>
        <v>46128</v>
      </c>
      <c r="L1921" s="317">
        <f t="array" ref="L1921">(XLOOKUP(D1921,Roster!F:F,Roster!D:D,"",0))</f>
        <v>24</v>
      </c>
      <c r="M1921" s="317" t="str">
        <f t="array" ref="M1921">XLOOKUP(D1921,Roster!F:F,Roster!E:E)</f>
        <v>Tickets</v>
      </c>
      <c r="N1921" s="317" t="str">
        <f t="shared" ref="N1921:P1921" si="1951">LEFT(H1921,5)</f>
        <v/>
      </c>
      <c r="O1921" s="317" t="str">
        <f t="shared" si="1951"/>
        <v/>
      </c>
      <c r="P1921" s="317" t="str">
        <f t="shared" si="1951"/>
        <v/>
      </c>
      <c r="Q1921" s="318" t="str">
        <f t="shared" si="1941"/>
        <v/>
      </c>
      <c r="R1921" s="318" t="str">
        <f t="shared" si="1942"/>
        <v/>
      </c>
      <c r="S1921" s="318" t="str">
        <f t="shared" si="8"/>
        <v/>
      </c>
    </row>
    <row r="1922">
      <c r="A1922" s="14" t="str">
        <f t="shared" si="1"/>
        <v>C153846128</v>
      </c>
      <c r="B1922" s="185">
        <f t="array" ref="B1922">IF(F1922="VL","",IF(F1922="Free","Free",XLOOKUP(D1922,Roster!T:T,Roster!S:S,"",0)))</f>
        <v>151</v>
      </c>
      <c r="C1922" s="313">
        <v>46128.0</v>
      </c>
      <c r="D1922" s="314" t="s">
        <v>68</v>
      </c>
      <c r="E1922" s="307" t="str">
        <f t="array" ref="E1922">(XLOOKUP(D1922,Roster!F:F,Roster!B:B,"",0))</f>
        <v>Oscar Roldan</v>
      </c>
      <c r="F1922" s="315" t="str">
        <f t="array" ref="F1922">IF(B1922=100,"Free",TEXT(XLOOKUP($D1922,OperationVoice!$A:$A,OperationVoice!V:V,XLOOKUP($D1922,OperationTickets!$A:$A,OperationTickets!V:V,"",0)),"hh:mm"))</f>
        <v>11:00</v>
      </c>
      <c r="G1922" s="309">
        <f t="shared" si="3"/>
        <v>0.8333333333</v>
      </c>
      <c r="H1922" s="316" t="str">
        <f t="array" ref="H1922">XLOOKUP(B1922,Roster!L:L,Roster!N:N,XLOOKUP(D1922,TicketsBreak!A:A,TicketsBreak!E:E,"",0),0)</f>
        <v>12:15 - 12:30</v>
      </c>
      <c r="I1922" s="316" t="str">
        <f t="array" ref="I1922">XLOOKUP(B1922,Roster!L:L,Roster!O:O,XLOOKUP(D1922,TicketsBreak!A:A,TicketsBreak!F:F,"",0),0)</f>
        <v>14:00 - 14:30</v>
      </c>
      <c r="J1922" s="316" t="str">
        <f t="array" ref="J1922">XLOOKUP(B1922,Roster!L:L,Roster!P:P,XLOOKUP(D1922,TicketsBreak!A:A,TicketsBreak!G:G,"",0),0)</f>
        <v>17:15 - 17:30</v>
      </c>
      <c r="K1922" s="310">
        <f t="shared" si="4"/>
        <v>46128</v>
      </c>
      <c r="L1922" s="317">
        <f t="array" ref="L1922">(XLOOKUP(D1922,Roster!F:F,Roster!D:D,"",0))</f>
        <v>36</v>
      </c>
      <c r="M1922" s="317" t="str">
        <f t="array" ref="M1922">XLOOKUP(D1922,Roster!F:F,Roster!E:E)</f>
        <v>Voice</v>
      </c>
      <c r="N1922" s="317" t="str">
        <f t="shared" ref="N1922:P1922" si="1952">LEFT(H1922,5)</f>
        <v>12:15</v>
      </c>
      <c r="O1922" s="317" t="str">
        <f t="shared" si="1952"/>
        <v>14:00</v>
      </c>
      <c r="P1922" s="317" t="str">
        <f t="shared" si="1952"/>
        <v>17:15</v>
      </c>
      <c r="Q1922" s="318">
        <f t="shared" si="1941"/>
        <v>46128.51042</v>
      </c>
      <c r="R1922" s="318">
        <f t="shared" si="1942"/>
        <v>46128.58333</v>
      </c>
      <c r="S1922" s="318">
        <f t="shared" si="8"/>
        <v>46128.71875</v>
      </c>
    </row>
    <row r="1923">
      <c r="A1923" s="14" t="str">
        <f t="shared" si="1"/>
        <v>C151146128</v>
      </c>
      <c r="B1923" s="185">
        <f t="array" ref="B1923">IF(F1923="VL","",IF(F1923="Free","Free",XLOOKUP(D1923,Roster!T:T,Roster!S:S,"",0)))</f>
        <v>131</v>
      </c>
      <c r="C1923" s="313">
        <v>46128.0</v>
      </c>
      <c r="D1923" s="314" t="s">
        <v>69</v>
      </c>
      <c r="E1923" s="307" t="str">
        <f t="array" ref="E1923">(XLOOKUP(D1923,Roster!F:F,Roster!B:B,"",0))</f>
        <v>Salma Giraldo</v>
      </c>
      <c r="F1923" s="315" t="str">
        <f t="array" ref="F1923">IF(B1923=100,"Free",TEXT(XLOOKUP($D1923,OperationVoice!$A:$A,OperationVoice!V:V,XLOOKUP($D1923,OperationTickets!$A:$A,OperationTickets!V:V,"",0)),"hh:mm"))</f>
        <v>08:00</v>
      </c>
      <c r="G1923" s="309">
        <f t="shared" si="3"/>
        <v>0.7083333333</v>
      </c>
      <c r="H1923" s="316" t="str">
        <f t="array" ref="H1923">XLOOKUP(B1923,Roster!L:L,Roster!N:N,XLOOKUP(D1923,TicketsBreak!A:A,TicketsBreak!E:E,"",0),0)</f>
        <v>10:15 - 10:30</v>
      </c>
      <c r="I1923" s="316" t="str">
        <f t="array" ref="I1923">XLOOKUP(B1923,Roster!L:L,Roster!O:O,XLOOKUP(D1923,TicketsBreak!A:A,TicketsBreak!F:F,"",0),0)</f>
        <v>12:30 - 13:00</v>
      </c>
      <c r="J1923" s="316" t="str">
        <f t="array" ref="J1923">XLOOKUP(B1923,Roster!L:L,Roster!P:P,XLOOKUP(D1923,TicketsBreak!A:A,TicketsBreak!G:G,"",0),0)</f>
        <v>15:15 - 15:30</v>
      </c>
      <c r="K1923" s="310">
        <f t="shared" si="4"/>
        <v>46128</v>
      </c>
      <c r="L1923" s="317">
        <f t="array" ref="L1923">(XLOOKUP(D1923,Roster!F:F,Roster!D:D,"",0))</f>
        <v>35</v>
      </c>
      <c r="M1923" s="317" t="str">
        <f t="array" ref="M1923">XLOOKUP(D1923,Roster!F:F,Roster!E:E)</f>
        <v>Voice</v>
      </c>
      <c r="N1923" s="317" t="str">
        <f t="shared" ref="N1923:P1923" si="1953">LEFT(H1923,5)</f>
        <v>10:15</v>
      </c>
      <c r="O1923" s="317" t="str">
        <f t="shared" si="1953"/>
        <v>12:30</v>
      </c>
      <c r="P1923" s="317" t="str">
        <f t="shared" si="1953"/>
        <v>15:15</v>
      </c>
      <c r="Q1923" s="318">
        <f t="shared" si="1941"/>
        <v>46128.42708</v>
      </c>
      <c r="R1923" s="318">
        <f t="shared" si="1942"/>
        <v>46128.52083</v>
      </c>
      <c r="S1923" s="318">
        <f t="shared" si="8"/>
        <v>46128.63542</v>
      </c>
    </row>
    <row r="1924">
      <c r="A1924" s="14" t="str">
        <f t="shared" si="1"/>
        <v>C93346128</v>
      </c>
      <c r="B1924" s="185">
        <f t="array" ref="B1924">IF(F1924="VL","",IF(F1924="Free","Free",XLOOKUP(D1924,Roster!T:T,Roster!S:S,"",0)))</f>
        <v>124</v>
      </c>
      <c r="C1924" s="313">
        <v>46128.0</v>
      </c>
      <c r="D1924" s="314" t="s">
        <v>70</v>
      </c>
      <c r="E1924" s="307" t="str">
        <f t="array" ref="E1924">(XLOOKUP(D1924,Roster!F:F,Roster!B:B,"",0))</f>
        <v>Salome Arias</v>
      </c>
      <c r="F1924" s="315" t="str">
        <f t="array" ref="F1924">IF(B1924=100,"Free",TEXT(XLOOKUP($D1924,OperationVoice!$A:$A,OperationVoice!V:V,XLOOKUP($D1924,OperationTickets!$A:$A,OperationTickets!V:V,"",0)),"hh:mm"))</f>
        <v>08:00</v>
      </c>
      <c r="G1924" s="309">
        <f t="shared" si="3"/>
        <v>0.7083333333</v>
      </c>
      <c r="H1924" s="316" t="str">
        <f t="array" ref="H1924">XLOOKUP(B1924,Roster!L:L,Roster!N:N,XLOOKUP(D1924,TicketsBreak!A:A,TicketsBreak!E:E,"",0),0)</f>
        <v>10:00 - 10:15</v>
      </c>
      <c r="I1924" s="316" t="str">
        <f t="array" ref="I1924">XLOOKUP(B1924,Roster!L:L,Roster!O:O,XLOOKUP(D1924,TicketsBreak!A:A,TicketsBreak!F:F,"",0),0)</f>
        <v>13:00 - 13:30</v>
      </c>
      <c r="J1924" s="316" t="str">
        <f t="array" ref="J1924">XLOOKUP(B1924,Roster!L:L,Roster!P:P,XLOOKUP(D1924,TicketsBreak!A:A,TicketsBreak!G:G,"",0),0)</f>
        <v>15:30 - 15:45</v>
      </c>
      <c r="K1924" s="310">
        <f t="shared" si="4"/>
        <v>46128</v>
      </c>
      <c r="L1924" s="317">
        <f t="array" ref="L1924">(XLOOKUP(D1924,Roster!F:F,Roster!D:D,"",0))</f>
        <v>12</v>
      </c>
      <c r="M1924" s="317" t="str">
        <f t="array" ref="M1924">XLOOKUP(D1924,Roster!F:F,Roster!E:E)</f>
        <v>Voice</v>
      </c>
      <c r="N1924" s="317" t="str">
        <f t="shared" ref="N1924:P1924" si="1954">LEFT(H1924,5)</f>
        <v>10:00</v>
      </c>
      <c r="O1924" s="317" t="str">
        <f t="shared" si="1954"/>
        <v>13:00</v>
      </c>
      <c r="P1924" s="317" t="str">
        <f t="shared" si="1954"/>
        <v>15:30</v>
      </c>
      <c r="Q1924" s="318">
        <f t="shared" si="1941"/>
        <v>46128.41667</v>
      </c>
      <c r="R1924" s="318">
        <f t="shared" si="1942"/>
        <v>46128.54167</v>
      </c>
      <c r="S1924" s="318">
        <f t="shared" si="8"/>
        <v>46128.64583</v>
      </c>
    </row>
    <row r="1925">
      <c r="A1925" s="14" t="str">
        <f t="shared" si="1"/>
        <v>C128246128</v>
      </c>
      <c r="B1925" s="185" t="str">
        <f t="array" ref="B1925">IF(F1925="VL","",IF(F1925="Free","Free",XLOOKUP(D1925,Roster!T:T,Roster!S:S,"",0)))</f>
        <v/>
      </c>
      <c r="C1925" s="313">
        <v>46128.0</v>
      </c>
      <c r="D1925" s="314" t="s">
        <v>168</v>
      </c>
      <c r="E1925" s="307" t="str">
        <f t="array" ref="E1925">(XLOOKUP(D1925,Roster!F:F,Roster!B:B,"",0))</f>
        <v>Samuel Acevedo</v>
      </c>
      <c r="F1925" s="315" t="str">
        <f t="array" ref="F1925">IF(B1925=100,"Free",TEXT(XLOOKUP($D1925,OperationVoice!$A:$A,OperationVoice!V:V,XLOOKUP($D1925,OperationTickets!$A:$A,OperationTickets!V:V,"",0)),"hh:mm"))</f>
        <v>08:00</v>
      </c>
      <c r="G1925" s="309">
        <f t="shared" si="3"/>
        <v>0.7083333333</v>
      </c>
      <c r="H1925" s="316" t="str">
        <f t="array" ref="H1925">XLOOKUP(B1925,Roster!L:L,Roster!N:N,XLOOKUP(D1925,TicketsBreak!A:A,TicketsBreak!E:E,"",0),0)</f>
        <v/>
      </c>
      <c r="I1925" s="316" t="str">
        <f t="array" ref="I1925">XLOOKUP(B1925,Roster!L:L,Roster!O:O,XLOOKUP(D1925,TicketsBreak!A:A,TicketsBreak!F:F,"",0),0)</f>
        <v/>
      </c>
      <c r="J1925" s="316" t="str">
        <f t="array" ref="J1925">XLOOKUP(B1925,Roster!L:L,Roster!P:P,XLOOKUP(D1925,TicketsBreak!A:A,TicketsBreak!G:G,"",0),0)</f>
        <v/>
      </c>
      <c r="K1925" s="310">
        <f t="shared" si="4"/>
        <v>46128</v>
      </c>
      <c r="L1925" s="317">
        <f t="array" ref="L1925">(XLOOKUP(D1925,Roster!F:F,Roster!D:D,"",0))</f>
        <v>27</v>
      </c>
      <c r="M1925" s="317" t="str">
        <f t="array" ref="M1925">XLOOKUP(D1925,Roster!F:F,Roster!E:E)</f>
        <v>Tickets</v>
      </c>
      <c r="N1925" s="317" t="str">
        <f t="shared" ref="N1925:P1925" si="1955">LEFT(H1925,5)</f>
        <v/>
      </c>
      <c r="O1925" s="317" t="str">
        <f t="shared" si="1955"/>
        <v/>
      </c>
      <c r="P1925" s="317" t="str">
        <f t="shared" si="1955"/>
        <v/>
      </c>
      <c r="Q1925" s="318" t="str">
        <f t="shared" si="1941"/>
        <v/>
      </c>
      <c r="R1925" s="318" t="str">
        <f t="shared" si="1942"/>
        <v/>
      </c>
      <c r="S1925" s="318" t="str">
        <f t="shared" si="8"/>
        <v/>
      </c>
    </row>
    <row r="1926">
      <c r="A1926" s="14" t="str">
        <f t="shared" si="1"/>
        <v>C156446128</v>
      </c>
      <c r="B1926" s="185" t="str">
        <f t="array" ref="B1926">IF(F1926="VL","",IF(F1926="Free","Free",XLOOKUP(D1926,Roster!T:T,Roster!S:S,"",0)))</f>
        <v>Free</v>
      </c>
      <c r="C1926" s="313">
        <v>46128.0</v>
      </c>
      <c r="D1926" s="314" t="s">
        <v>71</v>
      </c>
      <c r="E1926" s="307" t="str">
        <f t="array" ref="E1926">(XLOOKUP(D1926,Roster!F:F,Roster!B:B,"",0))</f>
        <v>Samuel Acevedo Cadavid</v>
      </c>
      <c r="F1926" s="315" t="str">
        <f t="array" ref="F1926">IF(B1926=100,"Free",TEXT(XLOOKUP($D1926,OperationVoice!$A:$A,OperationVoice!V:V,XLOOKUP($D1926,OperationTickets!$A:$A,OperationTickets!V:V,"",0)),"hh:mm"))</f>
        <v>Free</v>
      </c>
      <c r="G1926" s="309" t="str">
        <f t="shared" si="3"/>
        <v>Free</v>
      </c>
      <c r="H1926" s="316" t="str">
        <f t="array" ref="H1926">XLOOKUP(B1926,Roster!L:L,Roster!N:N,XLOOKUP(D1926,TicketsBreak!A:A,TicketsBreak!E:E,"",0),0)</f>
        <v/>
      </c>
      <c r="I1926" s="316" t="str">
        <f t="array" ref="I1926">XLOOKUP(B1926,Roster!L:L,Roster!O:O,XLOOKUP(D1926,TicketsBreak!A:A,TicketsBreak!F:F,"",0),0)</f>
        <v/>
      </c>
      <c r="J1926" s="316" t="str">
        <f t="array" ref="J1926">XLOOKUP(B1926,Roster!L:L,Roster!P:P,XLOOKUP(D1926,TicketsBreak!A:A,TicketsBreak!G:G,"",0),0)</f>
        <v/>
      </c>
      <c r="K1926" s="310">
        <f t="shared" si="4"/>
        <v>46128</v>
      </c>
      <c r="L1926" s="317">
        <f t="array" ref="L1926">(XLOOKUP(D1926,Roster!F:F,Roster!D:D,"",0))</f>
        <v>38</v>
      </c>
      <c r="M1926" s="317" t="str">
        <f t="array" ref="M1926">XLOOKUP(D1926,Roster!F:F,Roster!E:E)</f>
        <v>Voice</v>
      </c>
      <c r="N1926" s="317" t="str">
        <f t="shared" ref="N1926:P1926" si="1956">LEFT(H1926,5)</f>
        <v/>
      </c>
      <c r="O1926" s="317" t="str">
        <f t="shared" si="1956"/>
        <v/>
      </c>
      <c r="P1926" s="317" t="str">
        <f t="shared" si="1956"/>
        <v/>
      </c>
      <c r="Q1926" s="318" t="str">
        <f t="shared" si="1941"/>
        <v/>
      </c>
      <c r="R1926" s="318" t="str">
        <f t="shared" si="1942"/>
        <v/>
      </c>
      <c r="S1926" s="318" t="str">
        <f t="shared" si="8"/>
        <v/>
      </c>
    </row>
    <row r="1927">
      <c r="A1927" s="14" t="str">
        <f t="shared" si="1"/>
        <v>C116846128</v>
      </c>
      <c r="B1927" s="185">
        <f t="array" ref="B1927">IF(F1927="VL","",IF(F1927="Free","Free",XLOOKUP(D1927,Roster!T:T,Roster!S:S,"",0)))</f>
        <v>125</v>
      </c>
      <c r="C1927" s="313">
        <v>46128.0</v>
      </c>
      <c r="D1927" s="314" t="s">
        <v>180</v>
      </c>
      <c r="E1927" s="307" t="str">
        <f t="array" ref="E1927">(XLOOKUP(D1927,Roster!F:F,Roster!B:B,"",0))</f>
        <v>Santiago Gaviria</v>
      </c>
      <c r="F1927" s="315" t="str">
        <f t="array" ref="F1927">IF(B1927=100,"Free",TEXT(XLOOKUP($D1927,OperationVoice!$A:$A,OperationVoice!V:V,XLOOKUP($D1927,OperationTickets!$A:$A,OperationTickets!V:V,"",0)),"hh:mm"))</f>
        <v>08:00</v>
      </c>
      <c r="G1927" s="309">
        <f t="shared" si="3"/>
        <v>0.7083333333</v>
      </c>
      <c r="H1927" s="316" t="str">
        <f t="array" ref="H1927">XLOOKUP(B1927,Roster!L:L,Roster!N:N,XLOOKUP(D1927,TicketsBreak!A:A,TicketsBreak!E:E,"",0),0)</f>
        <v>10:30 - 10:45</v>
      </c>
      <c r="I1927" s="316" t="str">
        <f t="array" ref="I1927">XLOOKUP(B1927,Roster!L:L,Roster!O:O,XLOOKUP(D1927,TicketsBreak!A:A,TicketsBreak!F:F,"",0),0)</f>
        <v>13:30 - 14:00</v>
      </c>
      <c r="J1927" s="316" t="str">
        <f t="array" ref="J1927">XLOOKUP(B1927,Roster!L:L,Roster!P:P,XLOOKUP(D1927,TicketsBreak!A:A,TicketsBreak!G:G,"",0),0)</f>
        <v>15:45 - 16:00</v>
      </c>
      <c r="K1927" s="310">
        <f t="shared" si="4"/>
        <v>46128</v>
      </c>
      <c r="L1927" s="317">
        <f t="array" ref="L1927">(XLOOKUP(D1927,Roster!F:F,Roster!D:D,"",0))</f>
        <v>24</v>
      </c>
      <c r="M1927" s="317" t="str">
        <f t="array" ref="M1927">XLOOKUP(D1927,Roster!F:F,Roster!E:E)</f>
        <v>Tickets</v>
      </c>
      <c r="N1927" s="317" t="str">
        <f t="shared" ref="N1927:P1927" si="1957">LEFT(H1927,5)</f>
        <v>10:30</v>
      </c>
      <c r="O1927" s="317" t="str">
        <f t="shared" si="1957"/>
        <v>13:30</v>
      </c>
      <c r="P1927" s="317" t="str">
        <f t="shared" si="1957"/>
        <v>15:45</v>
      </c>
      <c r="Q1927" s="318">
        <f t="shared" si="1941"/>
        <v>46128.4375</v>
      </c>
      <c r="R1927" s="318">
        <f t="shared" si="1942"/>
        <v>46128.5625</v>
      </c>
      <c r="S1927" s="318">
        <f t="shared" si="8"/>
        <v>46128.65625</v>
      </c>
    </row>
    <row r="1928">
      <c r="A1928" s="14" t="str">
        <f t="shared" si="1"/>
        <v>C122046128</v>
      </c>
      <c r="B1928" s="185" t="str">
        <f t="array" ref="B1928">IF(F1928="VL","",IF(F1928="Free","Free",XLOOKUP(D1928,Roster!T:T,Roster!S:S,"",0)))</f>
        <v/>
      </c>
      <c r="C1928" s="313">
        <v>46128.0</v>
      </c>
      <c r="D1928" s="314" t="s">
        <v>181</v>
      </c>
      <c r="E1928" s="307" t="str">
        <f t="array" ref="E1928">(XLOOKUP(D1928,Roster!F:F,Roster!B:B,"",0))</f>
        <v>Santiago Gonzalez</v>
      </c>
      <c r="F1928" s="315" t="str">
        <f t="array" ref="F1928">IF(B1928=100,"Free",TEXT(XLOOKUP($D1928,OperationVoice!$A:$A,OperationVoice!V:V,XLOOKUP($D1928,OperationTickets!$A:$A,OperationTickets!V:V,"",0)),"hh:mm"))</f>
        <v>08:00</v>
      </c>
      <c r="G1928" s="309">
        <f t="shared" si="3"/>
        <v>0.7083333333</v>
      </c>
      <c r="H1928" s="316" t="str">
        <f t="array" ref="H1928">XLOOKUP(B1928,Roster!L:L,Roster!N:N,XLOOKUP(D1928,TicketsBreak!A:A,TicketsBreak!E:E,"",0),0)</f>
        <v/>
      </c>
      <c r="I1928" s="316" t="str">
        <f t="array" ref="I1928">XLOOKUP(B1928,Roster!L:L,Roster!O:O,XLOOKUP(D1928,TicketsBreak!A:A,TicketsBreak!F:F,"",0),0)</f>
        <v/>
      </c>
      <c r="J1928" s="316" t="str">
        <f t="array" ref="J1928">XLOOKUP(B1928,Roster!L:L,Roster!P:P,XLOOKUP(D1928,TicketsBreak!A:A,TicketsBreak!G:G,"",0),0)</f>
        <v/>
      </c>
      <c r="K1928" s="310">
        <f t="shared" si="4"/>
        <v>46128</v>
      </c>
      <c r="L1928" s="317">
        <f t="array" ref="L1928">(XLOOKUP(D1928,Roster!F:F,Roster!D:D,"",0))</f>
        <v>26</v>
      </c>
      <c r="M1928" s="317" t="str">
        <f t="array" ref="M1928">XLOOKUP(D1928,Roster!F:F,Roster!E:E)</f>
        <v>Tickets</v>
      </c>
      <c r="N1928" s="317" t="str">
        <f t="shared" ref="N1928:P1928" si="1958">LEFT(H1928,5)</f>
        <v/>
      </c>
      <c r="O1928" s="317" t="str">
        <f t="shared" si="1958"/>
        <v/>
      </c>
      <c r="P1928" s="317" t="str">
        <f t="shared" si="1958"/>
        <v/>
      </c>
      <c r="Q1928" s="318" t="str">
        <f t="shared" si="1941"/>
        <v/>
      </c>
      <c r="R1928" s="318" t="str">
        <f t="shared" si="1942"/>
        <v/>
      </c>
      <c r="S1928" s="318" t="str">
        <f t="shared" si="8"/>
        <v/>
      </c>
    </row>
    <row r="1929">
      <c r="A1929" s="14" t="str">
        <f t="shared" si="1"/>
        <v>C140646128</v>
      </c>
      <c r="B1929" s="185">
        <f t="array" ref="B1929">IF(F1929="VL","",IF(F1929="Free","Free",XLOOKUP(D1929,Roster!T:T,Roster!S:S,"",0)))</f>
        <v>152</v>
      </c>
      <c r="C1929" s="313">
        <v>46128.0</v>
      </c>
      <c r="D1929" s="314" t="s">
        <v>72</v>
      </c>
      <c r="E1929" s="307" t="str">
        <f t="array" ref="E1929">(XLOOKUP(D1929,Roster!F:F,Roster!B:B,"",0))</f>
        <v>Santiago Mora</v>
      </c>
      <c r="F1929" s="315" t="str">
        <f t="array" ref="F1929">IF(B1929=100,"Free",TEXT(XLOOKUP($D1929,OperationVoice!$A:$A,OperationVoice!V:V,XLOOKUP($D1929,OperationTickets!$A:$A,OperationTickets!V:V,"",0)),"hh:mm"))</f>
        <v>11:00</v>
      </c>
      <c r="G1929" s="309">
        <f t="shared" si="3"/>
        <v>0.8333333333</v>
      </c>
      <c r="H1929" s="316" t="str">
        <f t="array" ref="H1929">XLOOKUP(B1929,Roster!L:L,Roster!N:N,XLOOKUP(D1929,TicketsBreak!A:A,TicketsBreak!E:E,"",0),0)</f>
        <v>12:30 - 12:45</v>
      </c>
      <c r="I1929" s="316" t="str">
        <f t="array" ref="I1929">XLOOKUP(B1929,Roster!L:L,Roster!O:O,XLOOKUP(D1929,TicketsBreak!A:A,TicketsBreak!F:F,"",0),0)</f>
        <v>14:30 - 15:00</v>
      </c>
      <c r="J1929" s="316" t="str">
        <f t="array" ref="J1929">XLOOKUP(B1929,Roster!L:L,Roster!P:P,XLOOKUP(D1929,TicketsBreak!A:A,TicketsBreak!G:G,"",0),0)</f>
        <v>17:30 - 17:45</v>
      </c>
      <c r="K1929" s="310">
        <f t="shared" si="4"/>
        <v>46128</v>
      </c>
      <c r="L1929" s="317">
        <f t="array" ref="L1929">(XLOOKUP(D1929,Roster!F:F,Roster!D:D,"",0))</f>
        <v>35</v>
      </c>
      <c r="M1929" s="317" t="str">
        <f t="array" ref="M1929">XLOOKUP(D1929,Roster!F:F,Roster!E:E)</f>
        <v>Voice</v>
      </c>
      <c r="N1929" s="317" t="str">
        <f t="shared" ref="N1929:P1929" si="1959">LEFT(H1929,5)</f>
        <v>12:30</v>
      </c>
      <c r="O1929" s="317" t="str">
        <f t="shared" si="1959"/>
        <v>14:30</v>
      </c>
      <c r="P1929" s="317" t="str">
        <f t="shared" si="1959"/>
        <v>17:30</v>
      </c>
      <c r="Q1929" s="318">
        <f t="shared" si="1941"/>
        <v>46128.52083</v>
      </c>
      <c r="R1929" s="318">
        <f t="shared" si="1942"/>
        <v>46128.60417</v>
      </c>
      <c r="S1929" s="318">
        <f t="shared" si="8"/>
        <v>46128.72917</v>
      </c>
    </row>
    <row r="1930">
      <c r="A1930" s="14" t="str">
        <f t="shared" si="1"/>
        <v>C119946128</v>
      </c>
      <c r="B1930" s="185" t="str">
        <f t="array" ref="B1930">IF(F1930="VL","",IF(F1930="Free","Free",XLOOKUP(D1930,Roster!T:T,Roster!S:S,"",0)))</f>
        <v/>
      </c>
      <c r="C1930" s="313">
        <v>46128.0</v>
      </c>
      <c r="D1930" s="314" t="s">
        <v>182</v>
      </c>
      <c r="E1930" s="307" t="str">
        <f t="array" ref="E1930">(XLOOKUP(D1930,Roster!F:F,Roster!B:B,"",0))</f>
        <v>Santiago Velasquez</v>
      </c>
      <c r="F1930" s="315" t="str">
        <f t="array" ref="F1930">IF(B1930=100,"Free",TEXT(XLOOKUP($D1930,OperationVoice!$A:$A,OperationVoice!V:V,XLOOKUP($D1930,OperationTickets!$A:$A,OperationTickets!V:V,"",0)),"hh:mm"))</f>
        <v>08:00</v>
      </c>
      <c r="G1930" s="309">
        <f t="shared" si="3"/>
        <v>0.7083333333</v>
      </c>
      <c r="H1930" s="316" t="str">
        <f t="array" ref="H1930">XLOOKUP(B1930,Roster!L:L,Roster!N:N,XLOOKUP(D1930,TicketsBreak!A:A,TicketsBreak!E:E,"",0),0)</f>
        <v/>
      </c>
      <c r="I1930" s="316" t="str">
        <f t="array" ref="I1930">XLOOKUP(B1930,Roster!L:L,Roster!O:O,XLOOKUP(D1930,TicketsBreak!A:A,TicketsBreak!F:F,"",0),0)</f>
        <v/>
      </c>
      <c r="J1930" s="316" t="str">
        <f t="array" ref="J1930">XLOOKUP(B1930,Roster!L:L,Roster!P:P,XLOOKUP(D1930,TicketsBreak!A:A,TicketsBreak!G:G,"",0),0)</f>
        <v/>
      </c>
      <c r="K1930" s="310">
        <f t="shared" si="4"/>
        <v>46128</v>
      </c>
      <c r="L1930" s="317">
        <f t="array" ref="L1930">(XLOOKUP(D1930,Roster!F:F,Roster!D:D,"",0))</f>
        <v>25</v>
      </c>
      <c r="M1930" s="317" t="str">
        <f t="array" ref="M1930">XLOOKUP(D1930,Roster!F:F,Roster!E:E)</f>
        <v>Tickets</v>
      </c>
      <c r="N1930" s="317" t="str">
        <f t="shared" ref="N1930:P1930" si="1960">LEFT(H1930,5)</f>
        <v/>
      </c>
      <c r="O1930" s="317" t="str">
        <f t="shared" si="1960"/>
        <v/>
      </c>
      <c r="P1930" s="317" t="str">
        <f t="shared" si="1960"/>
        <v/>
      </c>
      <c r="Q1930" s="318" t="str">
        <f t="shared" si="1941"/>
        <v/>
      </c>
      <c r="R1930" s="318" t="str">
        <f t="shared" si="1942"/>
        <v/>
      </c>
      <c r="S1930" s="318" t="str">
        <f t="shared" si="8"/>
        <v/>
      </c>
    </row>
    <row r="1931">
      <c r="A1931" s="14" t="str">
        <f t="shared" si="1"/>
        <v>C90246128</v>
      </c>
      <c r="B1931" s="185" t="str">
        <f t="array" ref="B1931">IF(F1931="VL","",IF(F1931="Free","Free",XLOOKUP(D1931,Roster!T:T,Roster!S:S,"",0)))</f>
        <v/>
      </c>
      <c r="C1931" s="313">
        <v>46128.0</v>
      </c>
      <c r="D1931" s="314" t="s">
        <v>150</v>
      </c>
      <c r="E1931" s="307" t="str">
        <f t="array" ref="E1931">(XLOOKUP(D1931,Roster!F:F,Roster!B:B,"",0))</f>
        <v>Sebastiam Vallejo</v>
      </c>
      <c r="F1931" s="315" t="str">
        <f t="array" ref="F1931">IF(B1931=100,"Free",TEXT(XLOOKUP($D1931,OperationVoice!$A:$A,OperationVoice!V:V,XLOOKUP($D1931,OperationTickets!$A:$A,OperationTickets!V:V,"",0)),"hh:mm"))</f>
        <v>08:00</v>
      </c>
      <c r="G1931" s="309">
        <f t="shared" si="3"/>
        <v>0.7083333333</v>
      </c>
      <c r="H1931" s="316">
        <f t="array" ref="H1931">XLOOKUP(B1931,Roster!L:L,Roster!N:N,XLOOKUP(D1931,TicketsBreak!A:A,TicketsBreak!E:E,"",0),0)</f>
        <v>0.4375</v>
      </c>
      <c r="I1931" s="316">
        <f t="array" ref="I1931">XLOOKUP(B1931,Roster!L:L,Roster!O:O,XLOOKUP(D1931,TicketsBreak!A:A,TicketsBreak!F:F,"",0),0)</f>
        <v>0.6041666667</v>
      </c>
      <c r="J1931" s="316">
        <f t="array" ref="J1931">XLOOKUP(B1931,Roster!L:L,Roster!P:P,XLOOKUP(D1931,TicketsBreak!A:A,TicketsBreak!G:G,"",0),0)</f>
        <v>0.65625</v>
      </c>
      <c r="K1931" s="310">
        <f t="shared" si="4"/>
        <v>46128</v>
      </c>
      <c r="L1931" s="317">
        <f t="array" ref="L1931">(XLOOKUP(D1931,Roster!F:F,Roster!D:D,"",0))</f>
        <v>11</v>
      </c>
      <c r="M1931" s="317" t="str">
        <f t="array" ref="M1931">XLOOKUP(D1931,Roster!F:F,Roster!E:E)</f>
        <v>Tickets</v>
      </c>
      <c r="N1931" s="317" t="str">
        <f t="shared" ref="N1931:P1931" si="1961">LEFT(H1931,5)</f>
        <v>10:30</v>
      </c>
      <c r="O1931" s="317" t="str">
        <f t="shared" si="1961"/>
        <v>14:30</v>
      </c>
      <c r="P1931" s="317" t="str">
        <f t="shared" si="1961"/>
        <v>15:45</v>
      </c>
      <c r="Q1931" s="318">
        <f t="shared" si="1941"/>
        <v>46128.4375</v>
      </c>
      <c r="R1931" s="318">
        <f t="shared" si="1942"/>
        <v>46128.60417</v>
      </c>
      <c r="S1931" s="318">
        <f t="shared" si="8"/>
        <v>46128.65625</v>
      </c>
    </row>
    <row r="1932">
      <c r="A1932" s="14" t="str">
        <f t="shared" si="1"/>
        <v>C150646128</v>
      </c>
      <c r="B1932" s="185">
        <f t="array" ref="B1932">IF(F1932="VL","",IF(F1932="Free","Free",XLOOKUP(D1932,Roster!T:T,Roster!S:S,"",0)))</f>
        <v>153</v>
      </c>
      <c r="C1932" s="313">
        <v>46128.0</v>
      </c>
      <c r="D1932" s="314" t="s">
        <v>73</v>
      </c>
      <c r="E1932" s="307" t="str">
        <f t="array" ref="E1932">(XLOOKUP(D1932,Roster!F:F,Roster!B:B,"",0))</f>
        <v>Sebastian Agudelo Londono</v>
      </c>
      <c r="F1932" s="315" t="str">
        <f t="array" ref="F1932">IF(B1932=100,"Free",TEXT(XLOOKUP($D1932,OperationVoice!$A:$A,OperationVoice!V:V,XLOOKUP($D1932,OperationTickets!$A:$A,OperationTickets!V:V,"",0)),"hh:mm"))</f>
        <v>11:00</v>
      </c>
      <c r="G1932" s="309">
        <f t="shared" si="3"/>
        <v>0.8333333333</v>
      </c>
      <c r="H1932" s="316" t="str">
        <f t="array" ref="H1932">XLOOKUP(B1932,Roster!L:L,Roster!N:N,XLOOKUP(D1932,TicketsBreak!A:A,TicketsBreak!E:E,"",0),0)</f>
        <v>12:45 - 13:00</v>
      </c>
      <c r="I1932" s="316" t="str">
        <f t="array" ref="I1932">XLOOKUP(B1932,Roster!L:L,Roster!O:O,XLOOKUP(D1932,TicketsBreak!A:A,TicketsBreak!F:F,"",0),0)</f>
        <v>15:00 - 15:30</v>
      </c>
      <c r="J1932" s="316" t="str">
        <f t="array" ref="J1932">XLOOKUP(B1932,Roster!L:L,Roster!P:P,XLOOKUP(D1932,TicketsBreak!A:A,TicketsBreak!G:G,"",0),0)</f>
        <v>17:45 - 18:00</v>
      </c>
      <c r="K1932" s="310">
        <f t="shared" si="4"/>
        <v>46128</v>
      </c>
      <c r="L1932" s="317">
        <f t="array" ref="L1932">(XLOOKUP(D1932,Roster!F:F,Roster!D:D,"",0))</f>
        <v>35</v>
      </c>
      <c r="M1932" s="317" t="str">
        <f t="array" ref="M1932">XLOOKUP(D1932,Roster!F:F,Roster!E:E)</f>
        <v>Voice</v>
      </c>
      <c r="N1932" s="317" t="str">
        <f t="shared" ref="N1932:P1932" si="1962">LEFT(H1932,5)</f>
        <v>12:45</v>
      </c>
      <c r="O1932" s="317" t="str">
        <f t="shared" si="1962"/>
        <v>15:00</v>
      </c>
      <c r="P1932" s="317" t="str">
        <f t="shared" si="1962"/>
        <v>17:45</v>
      </c>
      <c r="Q1932" s="318">
        <f t="shared" si="1941"/>
        <v>46128.53125</v>
      </c>
      <c r="R1932" s="318">
        <f t="shared" si="1942"/>
        <v>46128.625</v>
      </c>
      <c r="S1932" s="318">
        <f t="shared" si="8"/>
        <v>46128.73958</v>
      </c>
    </row>
    <row r="1933">
      <c r="A1933" s="14" t="str">
        <f t="shared" si="1"/>
        <v>C119046128</v>
      </c>
      <c r="B1933" s="185" t="str">
        <f t="array" ref="B1933">IF(F1933="VL","",IF(F1933="Free","Free",XLOOKUP(D1933,Roster!T:T,Roster!S:S,"",0)))</f>
        <v/>
      </c>
      <c r="C1933" s="313">
        <v>46128.0</v>
      </c>
      <c r="D1933" s="314" t="s">
        <v>183</v>
      </c>
      <c r="E1933" s="307" t="str">
        <f t="array" ref="E1933">(XLOOKUP(D1933,Roster!F:F,Roster!B:B,"",0))</f>
        <v>Sebastian Herrera</v>
      </c>
      <c r="F1933" s="315" t="str">
        <f t="array" ref="F1933">IF(B1933=100,"Free",TEXT(XLOOKUP($D1933,OperationVoice!$A:$A,OperationVoice!V:V,XLOOKUP($D1933,OperationTickets!$A:$A,OperationTickets!V:V,"",0)),"hh:mm"))</f>
        <v>07:00</v>
      </c>
      <c r="G1933" s="309">
        <f t="shared" si="3"/>
        <v>0.6666666667</v>
      </c>
      <c r="H1933" s="316">
        <f t="array" ref="H1933">XLOOKUP(B1933,Roster!L:L,Roster!N:N,XLOOKUP(D1933,TicketsBreak!A:A,TicketsBreak!E:E,"",0),0)</f>
        <v>0.40625</v>
      </c>
      <c r="I1933" s="316">
        <f t="array" ref="I1933">XLOOKUP(B1933,Roster!L:L,Roster!O:O,XLOOKUP(D1933,TicketsBreak!A:A,TicketsBreak!F:F,"",0),0)</f>
        <v>0.5416666667</v>
      </c>
      <c r="J1933" s="316">
        <f t="array" ref="J1933">XLOOKUP(B1933,Roster!L:L,Roster!P:P,XLOOKUP(D1933,TicketsBreak!A:A,TicketsBreak!G:G,"",0),0)</f>
        <v>0.625</v>
      </c>
      <c r="K1933" s="310">
        <f t="shared" si="4"/>
        <v>46128</v>
      </c>
      <c r="L1933" s="317">
        <f t="array" ref="L1933">(XLOOKUP(D1933,Roster!F:F,Roster!D:D,"",0))</f>
        <v>25</v>
      </c>
      <c r="M1933" s="317" t="str">
        <f t="array" ref="M1933">XLOOKUP(D1933,Roster!F:F,Roster!E:E)</f>
        <v>Tickets</v>
      </c>
      <c r="N1933" s="317" t="str">
        <f t="shared" ref="N1933:P1933" si="1963">LEFT(H1933,5)</f>
        <v>09:45</v>
      </c>
      <c r="O1933" s="317" t="str">
        <f t="shared" si="1963"/>
        <v>13:00</v>
      </c>
      <c r="P1933" s="317" t="str">
        <f t="shared" si="1963"/>
        <v>15:00</v>
      </c>
      <c r="Q1933" s="318">
        <f t="shared" si="1941"/>
        <v>46128.40625</v>
      </c>
      <c r="R1933" s="318">
        <f t="shared" si="1942"/>
        <v>46128.54167</v>
      </c>
      <c r="S1933" s="318">
        <f t="shared" si="8"/>
        <v>46128.625</v>
      </c>
    </row>
    <row r="1934">
      <c r="A1934" s="14" t="str">
        <f t="shared" si="1"/>
        <v>C71046128</v>
      </c>
      <c r="B1934" s="185" t="str">
        <f t="array" ref="B1934">IF(F1934="VL","",IF(F1934="Free","Free",XLOOKUP(D1934,Roster!T:T,Roster!S:S,"",0)))</f>
        <v/>
      </c>
      <c r="C1934" s="313">
        <v>46128.0</v>
      </c>
      <c r="D1934" s="314" t="s">
        <v>184</v>
      </c>
      <c r="E1934" s="307" t="str">
        <f t="array" ref="E1934">(XLOOKUP(D1934,Roster!F:F,Roster!B:B,"",0))</f>
        <v>Sebastian Martinez</v>
      </c>
      <c r="F1934" s="315" t="str">
        <f t="array" ref="F1934">IF(B1934=100,"Free",TEXT(XLOOKUP($D1934,OperationVoice!$A:$A,OperationVoice!V:V,XLOOKUP($D1934,OperationTickets!$A:$A,OperationTickets!V:V,"",0)),"hh:mm"))</f>
        <v>08:00</v>
      </c>
      <c r="G1934" s="309">
        <f t="shared" si="3"/>
        <v>0.7083333333</v>
      </c>
      <c r="H1934" s="316">
        <f t="array" ref="H1934">XLOOKUP(B1934,Roster!L:L,Roster!N:N,XLOOKUP(D1934,TicketsBreak!A:A,TicketsBreak!E:E,"",0),0)</f>
        <v>0.40625</v>
      </c>
      <c r="I1934" s="316">
        <f t="array" ref="I1934">XLOOKUP(B1934,Roster!L:L,Roster!O:O,XLOOKUP(D1934,TicketsBreak!A:A,TicketsBreak!F:F,"",0),0)</f>
        <v>0.5625</v>
      </c>
      <c r="J1934" s="316">
        <f t="array" ref="J1934">XLOOKUP(B1934,Roster!L:L,Roster!P:P,XLOOKUP(D1934,TicketsBreak!A:A,TicketsBreak!G:G,"",0),0)</f>
        <v>0.65625</v>
      </c>
      <c r="K1934" s="310">
        <f t="shared" si="4"/>
        <v>46128</v>
      </c>
      <c r="L1934" s="317">
        <f t="array" ref="L1934">(XLOOKUP(D1934,Roster!F:F,Roster!D:D,"",0))</f>
        <v>6</v>
      </c>
      <c r="M1934" s="317" t="str">
        <f t="array" ref="M1934">XLOOKUP(D1934,Roster!F:F,Roster!E:E)</f>
        <v>Tickets</v>
      </c>
      <c r="N1934" s="317" t="str">
        <f t="shared" ref="N1934:P1934" si="1964">LEFT(H1934,5)</f>
        <v>09:45</v>
      </c>
      <c r="O1934" s="317" t="str">
        <f t="shared" si="1964"/>
        <v>13:30</v>
      </c>
      <c r="P1934" s="317" t="str">
        <f t="shared" si="1964"/>
        <v>15:45</v>
      </c>
      <c r="Q1934" s="318">
        <f t="shared" si="1941"/>
        <v>46128.40625</v>
      </c>
      <c r="R1934" s="318">
        <f t="shared" si="1942"/>
        <v>46128.5625</v>
      </c>
      <c r="S1934" s="318">
        <f t="shared" si="8"/>
        <v>46128.65625</v>
      </c>
    </row>
    <row r="1935">
      <c r="A1935" s="14" t="str">
        <f t="shared" si="1"/>
        <v>C72346128</v>
      </c>
      <c r="B1935" s="185" t="str">
        <f t="array" ref="B1935">IF(F1935="VL","",IF(F1935="Free","Free",XLOOKUP(D1935,Roster!T:T,Roster!S:S,"",0)))</f>
        <v/>
      </c>
      <c r="C1935" s="313">
        <v>46128.0</v>
      </c>
      <c r="D1935" s="314" t="s">
        <v>169</v>
      </c>
      <c r="E1935" s="307" t="str">
        <f t="array" ref="E1935">(XLOOKUP(D1935,Roster!F:F,Roster!B:B,"",0))</f>
        <v>Sebastian Parra</v>
      </c>
      <c r="F1935" s="315" t="str">
        <f t="array" ref="F1935">IF(B1935=100,"Free",TEXT(XLOOKUP($D1935,OperationVoice!$A:$A,OperationVoice!V:V,XLOOKUP($D1935,OperationTickets!$A:$A,OperationTickets!V:V,"",0)),"hh:mm"))</f>
        <v>08:00</v>
      </c>
      <c r="G1935" s="309">
        <f t="shared" si="3"/>
        <v>0.7083333333</v>
      </c>
      <c r="H1935" s="316">
        <f t="array" ref="H1935">XLOOKUP(B1935,Roster!L:L,Roster!N:N,XLOOKUP(D1935,TicketsBreak!A:A,TicketsBreak!E:E,"",0),0)</f>
        <v>0.4166666667</v>
      </c>
      <c r="I1935" s="316">
        <f t="array" ref="I1935">XLOOKUP(B1935,Roster!L:L,Roster!O:O,XLOOKUP(D1935,TicketsBreak!A:A,TicketsBreak!F:F,"",0),0)</f>
        <v>0.5347222222</v>
      </c>
      <c r="J1935" s="316">
        <f t="array" ref="J1935">XLOOKUP(B1935,Roster!L:L,Roster!P:P,XLOOKUP(D1935,TicketsBreak!A:A,TicketsBreak!G:G,"",0),0)</f>
        <v>0.65625</v>
      </c>
      <c r="K1935" s="310">
        <f t="shared" si="4"/>
        <v>46128</v>
      </c>
      <c r="L1935" s="317">
        <f t="array" ref="L1935">(XLOOKUP(D1935,Roster!F:F,Roster!D:D,"",0))</f>
        <v>7</v>
      </c>
      <c r="M1935" s="317" t="str">
        <f t="array" ref="M1935">XLOOKUP(D1935,Roster!F:F,Roster!E:E)</f>
        <v>Tickets</v>
      </c>
      <c r="N1935" s="317" t="str">
        <f t="shared" ref="N1935:P1935" si="1965">LEFT(H1935,5)</f>
        <v>10:00</v>
      </c>
      <c r="O1935" s="317" t="str">
        <f t="shared" si="1965"/>
        <v>12:50</v>
      </c>
      <c r="P1935" s="317" t="str">
        <f t="shared" si="1965"/>
        <v>15:45</v>
      </c>
      <c r="Q1935" s="318">
        <f t="shared" si="1941"/>
        <v>46128.41667</v>
      </c>
      <c r="R1935" s="318">
        <f t="shared" si="1942"/>
        <v>46128.53472</v>
      </c>
      <c r="S1935" s="318">
        <f t="shared" si="8"/>
        <v>46128.65625</v>
      </c>
    </row>
    <row r="1936">
      <c r="A1936" s="14" t="str">
        <f t="shared" si="1"/>
        <v>C137646128</v>
      </c>
      <c r="B1936" s="185" t="str">
        <f t="array" ref="B1936">IF(F1936="VL","",IF(F1936="Free","Free",XLOOKUP(D1936,Roster!T:T,Roster!S:S,"",0)))</f>
        <v>Free</v>
      </c>
      <c r="C1936" s="313">
        <v>46128.0</v>
      </c>
      <c r="D1936" s="314" t="s">
        <v>151</v>
      </c>
      <c r="E1936" s="307" t="str">
        <f t="array" ref="E1936">(XLOOKUP(D1936,Roster!F:F,Roster!B:B,"",0))</f>
        <v>Sebastian Quiroz</v>
      </c>
      <c r="F1936" s="315" t="str">
        <f t="array" ref="F1936">IF(B1936=100,"Free",TEXT(XLOOKUP($D1936,OperationVoice!$A:$A,OperationVoice!V:V,XLOOKUP($D1936,OperationTickets!$A:$A,OperationTickets!V:V,"",0)),"hh:mm"))</f>
        <v>Free</v>
      </c>
      <c r="G1936" s="309" t="str">
        <f t="shared" si="3"/>
        <v>Free</v>
      </c>
      <c r="H1936" s="316" t="str">
        <f t="array" ref="H1936">XLOOKUP(B1936,Roster!L:L,Roster!N:N,XLOOKUP(D1936,TicketsBreak!A:A,TicketsBreak!E:E,"",0),0)</f>
        <v/>
      </c>
      <c r="I1936" s="316" t="str">
        <f t="array" ref="I1936">XLOOKUP(B1936,Roster!L:L,Roster!O:O,XLOOKUP(D1936,TicketsBreak!A:A,TicketsBreak!F:F,"",0),0)</f>
        <v/>
      </c>
      <c r="J1936" s="316" t="str">
        <f t="array" ref="J1936">XLOOKUP(B1936,Roster!L:L,Roster!P:P,XLOOKUP(D1936,TicketsBreak!A:A,TicketsBreak!G:G,"",0),0)</f>
        <v/>
      </c>
      <c r="K1936" s="310">
        <f t="shared" si="4"/>
        <v>46128</v>
      </c>
      <c r="L1936" s="317">
        <f t="array" ref="L1936">(XLOOKUP(D1936,Roster!F:F,Roster!D:D,"",0))</f>
        <v>31</v>
      </c>
      <c r="M1936" s="317" t="str">
        <f t="array" ref="M1936">XLOOKUP(D1936,Roster!F:F,Roster!E:E)</f>
        <v>Tickets</v>
      </c>
      <c r="N1936" s="317" t="str">
        <f t="shared" ref="N1936:P1936" si="1966">LEFT(H1936,5)</f>
        <v/>
      </c>
      <c r="O1936" s="317" t="str">
        <f t="shared" si="1966"/>
        <v/>
      </c>
      <c r="P1936" s="317" t="str">
        <f t="shared" si="1966"/>
        <v/>
      </c>
      <c r="Q1936" s="318" t="str">
        <f t="shared" si="1941"/>
        <v/>
      </c>
      <c r="R1936" s="318" t="str">
        <f t="shared" si="1942"/>
        <v/>
      </c>
      <c r="S1936" s="318" t="str">
        <f t="shared" si="8"/>
        <v/>
      </c>
    </row>
    <row r="1937">
      <c r="A1937" s="14" t="str">
        <f t="shared" si="1"/>
        <v>C72646128</v>
      </c>
      <c r="B1937" s="185" t="str">
        <f t="array" ref="B1937">IF(F1937="VL","",IF(F1937="Free","Free",XLOOKUP(D1937,Roster!T:T,Roster!S:S,"",0)))</f>
        <v/>
      </c>
      <c r="C1937" s="313">
        <v>46128.0</v>
      </c>
      <c r="D1937" s="314" t="s">
        <v>185</v>
      </c>
      <c r="E1937" s="307" t="str">
        <f t="array" ref="E1937">(XLOOKUP(D1937,Roster!F:F,Roster!B:B,"",0))</f>
        <v>Sebastian Rodriguez</v>
      </c>
      <c r="F1937" s="315" t="str">
        <f t="array" ref="F1937">IF(B1937=100,"Free",TEXT(XLOOKUP($D1937,OperationVoice!$A:$A,OperationVoice!V:V,XLOOKUP($D1937,OperationTickets!$A:$A,OperationTickets!V:V,"",0)),"hh:mm"))</f>
        <v>08:00</v>
      </c>
      <c r="G1937" s="309">
        <f t="shared" si="3"/>
        <v>0.7083333333</v>
      </c>
      <c r="H1937" s="316">
        <f t="array" ref="H1937">XLOOKUP(B1937,Roster!L:L,Roster!N:N,XLOOKUP(D1937,TicketsBreak!A:A,TicketsBreak!E:E,"",0),0)</f>
        <v>0.4166666667</v>
      </c>
      <c r="I1937" s="316">
        <f t="array" ref="I1937">XLOOKUP(B1937,Roster!L:L,Roster!O:O,XLOOKUP(D1937,TicketsBreak!A:A,TicketsBreak!F:F,"",0),0)</f>
        <v>0.5625</v>
      </c>
      <c r="J1937" s="316">
        <f t="array" ref="J1937">XLOOKUP(B1937,Roster!L:L,Roster!P:P,XLOOKUP(D1937,TicketsBreak!A:A,TicketsBreak!G:G,"",0),0)</f>
        <v>0.6458333333</v>
      </c>
      <c r="K1937" s="310">
        <f t="shared" si="4"/>
        <v>46128</v>
      </c>
      <c r="L1937" s="317">
        <f t="array" ref="L1937">(XLOOKUP(D1937,Roster!F:F,Roster!D:D,"",0))</f>
        <v>7</v>
      </c>
      <c r="M1937" s="317" t="str">
        <f t="array" ref="M1937">XLOOKUP(D1937,Roster!F:F,Roster!E:E)</f>
        <v>Tickets</v>
      </c>
      <c r="N1937" s="317" t="str">
        <f t="shared" ref="N1937:P1937" si="1967">LEFT(H1937,5)</f>
        <v>10:00</v>
      </c>
      <c r="O1937" s="317" t="str">
        <f t="shared" si="1967"/>
        <v>13:30</v>
      </c>
      <c r="P1937" s="317" t="str">
        <f t="shared" si="1967"/>
        <v>15:30</v>
      </c>
      <c r="Q1937" s="318">
        <f t="shared" si="1941"/>
        <v>46128.41667</v>
      </c>
      <c r="R1937" s="318">
        <f t="shared" si="1942"/>
        <v>46128.5625</v>
      </c>
      <c r="S1937" s="318">
        <f t="shared" si="8"/>
        <v>46128.64583</v>
      </c>
    </row>
    <row r="1938">
      <c r="A1938" s="14" t="str">
        <f t="shared" si="1"/>
        <v>C60246128</v>
      </c>
      <c r="B1938" s="185" t="str">
        <f t="array" ref="B1938">IF(F1938="VL","",IF(F1938="Free","Free",XLOOKUP(D1938,Roster!T:T,Roster!S:S,"",0)))</f>
        <v>Free</v>
      </c>
      <c r="C1938" s="313">
        <v>46128.0</v>
      </c>
      <c r="D1938" s="314" t="s">
        <v>170</v>
      </c>
      <c r="E1938" s="307" t="str">
        <f t="array" ref="E1938">(XLOOKUP(D1938,Roster!F:F,Roster!B:B,"",0))</f>
        <v>Sebastian Torres</v>
      </c>
      <c r="F1938" s="315" t="str">
        <f t="array" ref="F1938">IF(B1938=100,"Free",TEXT(XLOOKUP($D1938,OperationVoice!$A:$A,OperationVoice!V:V,XLOOKUP($D1938,OperationTickets!$A:$A,OperationTickets!V:V,"",0)),"hh:mm"))</f>
        <v>Free</v>
      </c>
      <c r="G1938" s="309" t="str">
        <f t="shared" si="3"/>
        <v>Free</v>
      </c>
      <c r="H1938" s="316">
        <f t="array" ref="H1938">XLOOKUP(B1938,Roster!L:L,Roster!N:N,XLOOKUP(D1938,TicketsBreak!A:A,TicketsBreak!E:E,"",0),0)</f>
        <v>0.4583333333</v>
      </c>
      <c r="I1938" s="316">
        <f t="array" ref="I1938">XLOOKUP(B1938,Roster!L:L,Roster!O:O,XLOOKUP(D1938,TicketsBreak!A:A,TicketsBreak!F:F,"",0),0)</f>
        <v>0.5833333333</v>
      </c>
      <c r="J1938" s="316">
        <f t="array" ref="J1938">XLOOKUP(B1938,Roster!L:L,Roster!P:P,XLOOKUP(D1938,TicketsBreak!A:A,TicketsBreak!G:G,"",0),0)</f>
        <v>0.65625</v>
      </c>
      <c r="K1938" s="310">
        <f t="shared" si="4"/>
        <v>46128</v>
      </c>
      <c r="L1938" s="317">
        <f t="array" ref="L1938">(XLOOKUP(D1938,Roster!F:F,Roster!D:D,"",0))</f>
        <v>8</v>
      </c>
      <c r="M1938" s="317" t="str">
        <f t="array" ref="M1938">XLOOKUP(D1938,Roster!F:F,Roster!E:E)</f>
        <v>Tickets</v>
      </c>
      <c r="N1938" s="317" t="str">
        <f t="shared" ref="N1938:P1938" si="1968">LEFT(H1938,5)</f>
        <v>11:00</v>
      </c>
      <c r="O1938" s="317" t="str">
        <f t="shared" si="1968"/>
        <v>14:00</v>
      </c>
      <c r="P1938" s="317" t="str">
        <f t="shared" si="1968"/>
        <v>15:45</v>
      </c>
      <c r="Q1938" s="318">
        <f t="shared" si="1941"/>
        <v>46128.45833</v>
      </c>
      <c r="R1938" s="318">
        <f t="shared" si="1942"/>
        <v>46128.58333</v>
      </c>
      <c r="S1938" s="318">
        <f t="shared" si="8"/>
        <v>46128.65625</v>
      </c>
    </row>
    <row r="1939">
      <c r="A1939" s="14" t="str">
        <f t="shared" si="1"/>
        <v>C143146128</v>
      </c>
      <c r="B1939" s="185">
        <f t="array" ref="B1939">IF(F1939="VL","",IF(F1939="Free","Free",XLOOKUP(D1939,Roster!T:T,Roster!S:S,"",0)))</f>
        <v>151</v>
      </c>
      <c r="C1939" s="313">
        <v>46128.0</v>
      </c>
      <c r="D1939" s="314" t="s">
        <v>74</v>
      </c>
      <c r="E1939" s="307" t="str">
        <f t="array" ref="E1939">(XLOOKUP(D1939,Roster!F:F,Roster!B:B,"",0))</f>
        <v>Sebastian Torres Gomez</v>
      </c>
      <c r="F1939" s="315" t="str">
        <f t="array" ref="F1939">IF(B1939=100,"Free",TEXT(XLOOKUP($D1939,OperationVoice!$A:$A,OperationVoice!V:V,XLOOKUP($D1939,OperationTickets!$A:$A,OperationTickets!V:V,"",0)),"hh:mm"))</f>
        <v>11:00</v>
      </c>
      <c r="G1939" s="309">
        <f t="shared" si="3"/>
        <v>0.8333333333</v>
      </c>
      <c r="H1939" s="316" t="str">
        <f t="array" ref="H1939">XLOOKUP(B1939,Roster!L:L,Roster!N:N,XLOOKUP(D1939,TicketsBreak!A:A,TicketsBreak!E:E,"",0),0)</f>
        <v>12:15 - 12:30</v>
      </c>
      <c r="I1939" s="316" t="str">
        <f t="array" ref="I1939">XLOOKUP(B1939,Roster!L:L,Roster!O:O,XLOOKUP(D1939,TicketsBreak!A:A,TicketsBreak!F:F,"",0),0)</f>
        <v>14:00 - 14:30</v>
      </c>
      <c r="J1939" s="316" t="str">
        <f t="array" ref="J1939">XLOOKUP(B1939,Roster!L:L,Roster!P:P,XLOOKUP(D1939,TicketsBreak!A:A,TicketsBreak!G:G,"",0),0)</f>
        <v>17:15 - 17:30</v>
      </c>
      <c r="K1939" s="310">
        <f t="shared" si="4"/>
        <v>46128</v>
      </c>
      <c r="L1939" s="317">
        <f t="array" ref="L1939">(XLOOKUP(D1939,Roster!F:F,Roster!D:D,"",0))</f>
        <v>32</v>
      </c>
      <c r="M1939" s="317" t="str">
        <f t="array" ref="M1939">XLOOKUP(D1939,Roster!F:F,Roster!E:E)</f>
        <v>Voice</v>
      </c>
      <c r="N1939" s="317" t="str">
        <f t="shared" ref="N1939:P1939" si="1969">LEFT(H1939,5)</f>
        <v>12:15</v>
      </c>
      <c r="O1939" s="317" t="str">
        <f t="shared" si="1969"/>
        <v>14:00</v>
      </c>
      <c r="P1939" s="317" t="str">
        <f t="shared" si="1969"/>
        <v>17:15</v>
      </c>
      <c r="Q1939" s="318">
        <f t="shared" si="1941"/>
        <v>46128.51042</v>
      </c>
      <c r="R1939" s="318">
        <f t="shared" si="1942"/>
        <v>46128.58333</v>
      </c>
      <c r="S1939" s="318">
        <f t="shared" si="8"/>
        <v>46128.71875</v>
      </c>
    </row>
    <row r="1940">
      <c r="A1940" s="14" t="str">
        <f t="shared" si="1"/>
        <v>C149146128</v>
      </c>
      <c r="B1940" s="185" t="str">
        <f t="array" ref="B1940">IF(F1940="VL","",IF(F1940="Free","Free",XLOOKUP(D1940,Roster!T:T,Roster!S:S,"",0)))</f>
        <v/>
      </c>
      <c r="C1940" s="313">
        <v>46128.0</v>
      </c>
      <c r="D1940" s="314" t="s">
        <v>315</v>
      </c>
      <c r="E1940" s="307" t="str">
        <f t="array" ref="E1940">(XLOOKUP(D1940,Roster!F:F,Roster!B:B,"",0))</f>
        <v>Sebastian Vanegas</v>
      </c>
      <c r="F1940" s="315" t="str">
        <f t="array" ref="F1940">IF(B1940=100,"Free",TEXT(XLOOKUP($D1940,OperationVoice!$A:$A,OperationVoice!V:V,XLOOKUP($D1940,OperationTickets!$A:$A,OperationTickets!V:V,"",0)),"hh:mm"))</f>
        <v/>
      </c>
      <c r="G1940" s="309" t="str">
        <f t="shared" si="3"/>
        <v/>
      </c>
      <c r="H1940" s="316" t="str">
        <f t="array" ref="H1940">XLOOKUP(B1940,Roster!L:L,Roster!N:N,XLOOKUP(D1940,TicketsBreak!A:A,TicketsBreak!E:E,"",0),0)</f>
        <v/>
      </c>
      <c r="I1940" s="316" t="str">
        <f t="array" ref="I1940">XLOOKUP(B1940,Roster!L:L,Roster!O:O,XLOOKUP(D1940,TicketsBreak!A:A,TicketsBreak!F:F,"",0),0)</f>
        <v/>
      </c>
      <c r="J1940" s="316" t="str">
        <f t="array" ref="J1940">XLOOKUP(B1940,Roster!L:L,Roster!P:P,XLOOKUP(D1940,TicketsBreak!A:A,TicketsBreak!G:G,"",0),0)</f>
        <v/>
      </c>
      <c r="K1940" s="310">
        <f t="shared" si="4"/>
        <v>46128</v>
      </c>
      <c r="L1940" s="317">
        <f t="array" ref="L1940">(XLOOKUP(D1940,Roster!F:F,Roster!D:D,"",0))</f>
        <v>34</v>
      </c>
      <c r="M1940" s="317" t="str">
        <f t="array" ref="M1940">XLOOKUP(D1940,Roster!F:F,Roster!E:E)</f>
        <v>Voice</v>
      </c>
      <c r="N1940" s="317" t="str">
        <f t="shared" ref="N1940:P1940" si="1970">LEFT(H1940,5)</f>
        <v/>
      </c>
      <c r="O1940" s="317" t="str">
        <f t="shared" si="1970"/>
        <v/>
      </c>
      <c r="P1940" s="317" t="str">
        <f t="shared" si="1970"/>
        <v/>
      </c>
      <c r="Q1940" s="318" t="str">
        <f t="shared" si="1941"/>
        <v/>
      </c>
      <c r="R1940" s="318" t="str">
        <f t="shared" si="1942"/>
        <v/>
      </c>
      <c r="S1940" s="318" t="str">
        <f t="shared" si="8"/>
        <v/>
      </c>
    </row>
    <row r="1941">
      <c r="A1941" s="14" t="str">
        <f t="shared" si="1"/>
        <v>C93746128</v>
      </c>
      <c r="B1941" s="185">
        <f t="array" ref="B1941">IF(F1941="VL","",IF(F1941="Free","Free",XLOOKUP(D1941,Roster!T:T,Roster!S:S,"",0)))</f>
        <v>126</v>
      </c>
      <c r="C1941" s="313">
        <v>46128.0</v>
      </c>
      <c r="D1941" s="314" t="s">
        <v>75</v>
      </c>
      <c r="E1941" s="307" t="str">
        <f t="array" ref="E1941">(XLOOKUP(D1941,Roster!F:F,Roster!B:B,"",0))</f>
        <v>Sebastian Zapata</v>
      </c>
      <c r="F1941" s="315" t="str">
        <f t="array" ref="F1941">IF(B1941=100,"Free",TEXT(XLOOKUP($D1941,OperationVoice!$A:$A,OperationVoice!V:V,XLOOKUP($D1941,OperationTickets!$A:$A,OperationTickets!V:V,"",0)),"hh:mm"))</f>
        <v>08:00</v>
      </c>
      <c r="G1941" s="309">
        <f t="shared" si="3"/>
        <v>0.7083333333</v>
      </c>
      <c r="H1941" s="316" t="str">
        <f t="array" ref="H1941">XLOOKUP(B1941,Roster!L:L,Roster!N:N,XLOOKUP(D1941,TicketsBreak!A:A,TicketsBreak!E:E,"",0),0)</f>
        <v>10:45 - 11:00</v>
      </c>
      <c r="I1941" s="316" t="str">
        <f t="array" ref="I1941">XLOOKUP(B1941,Roster!L:L,Roster!O:O,XLOOKUP(D1941,TicketsBreak!A:A,TicketsBreak!F:F,"",0),0)</f>
        <v>14:00 - 14:30</v>
      </c>
      <c r="J1941" s="316" t="str">
        <f t="array" ref="J1941">XLOOKUP(B1941,Roster!L:L,Roster!P:P,XLOOKUP(D1941,TicketsBreak!A:A,TicketsBreak!G:G,"",0),0)</f>
        <v>15:45 - 16:00</v>
      </c>
      <c r="K1941" s="310">
        <f t="shared" si="4"/>
        <v>46128</v>
      </c>
      <c r="L1941" s="317">
        <f t="array" ref="L1941">(XLOOKUP(D1941,Roster!F:F,Roster!D:D,"",0))</f>
        <v>12</v>
      </c>
      <c r="M1941" s="317" t="str">
        <f t="array" ref="M1941">XLOOKUP(D1941,Roster!F:F,Roster!E:E)</f>
        <v>Voice</v>
      </c>
      <c r="N1941" s="317" t="str">
        <f t="shared" ref="N1941:P1941" si="1971">LEFT(H1941,5)</f>
        <v>10:45</v>
      </c>
      <c r="O1941" s="317" t="str">
        <f t="shared" si="1971"/>
        <v>14:00</v>
      </c>
      <c r="P1941" s="317" t="str">
        <f t="shared" si="1971"/>
        <v>15:45</v>
      </c>
      <c r="Q1941" s="318">
        <f t="shared" si="1941"/>
        <v>46128.44792</v>
      </c>
      <c r="R1941" s="318">
        <f t="shared" si="1942"/>
        <v>46128.58333</v>
      </c>
      <c r="S1941" s="318">
        <f t="shared" si="8"/>
        <v>46128.65625</v>
      </c>
    </row>
    <row r="1942">
      <c r="A1942" s="14" t="str">
        <f t="shared" si="1"/>
        <v>C156546128</v>
      </c>
      <c r="B1942" s="185" t="str">
        <f t="array" ref="B1942">IF(F1942="VL","",IF(F1942="Free","Free",XLOOKUP(D1942,Roster!T:T,Roster!S:S,"",0)))</f>
        <v>Free</v>
      </c>
      <c r="C1942" s="313">
        <v>46128.0</v>
      </c>
      <c r="D1942" s="314" t="s">
        <v>76</v>
      </c>
      <c r="E1942" s="307" t="str">
        <f t="array" ref="E1942">(XLOOKUP(D1942,Roster!F:F,Roster!B:B,"",0))</f>
        <v>Sergio Rojas</v>
      </c>
      <c r="F1942" s="315" t="str">
        <f t="array" ref="F1942">IF(B1942=100,"Free",TEXT(XLOOKUP($D1942,OperationVoice!$A:$A,OperationVoice!V:V,XLOOKUP($D1942,OperationTickets!$A:$A,OperationTickets!V:V,"",0)),"hh:mm"))</f>
        <v>Free</v>
      </c>
      <c r="G1942" s="309" t="str">
        <f t="shared" si="3"/>
        <v>Free</v>
      </c>
      <c r="H1942" s="316" t="str">
        <f t="array" ref="H1942">XLOOKUP(B1942,Roster!L:L,Roster!N:N,XLOOKUP(D1942,TicketsBreak!A:A,TicketsBreak!E:E,"",0),0)</f>
        <v/>
      </c>
      <c r="I1942" s="316" t="str">
        <f t="array" ref="I1942">XLOOKUP(B1942,Roster!L:L,Roster!O:O,XLOOKUP(D1942,TicketsBreak!A:A,TicketsBreak!F:F,"",0),0)</f>
        <v/>
      </c>
      <c r="J1942" s="316" t="str">
        <f t="array" ref="J1942">XLOOKUP(B1942,Roster!L:L,Roster!P:P,XLOOKUP(D1942,TicketsBreak!A:A,TicketsBreak!G:G,"",0),0)</f>
        <v/>
      </c>
      <c r="K1942" s="310">
        <f t="shared" si="4"/>
        <v>46128</v>
      </c>
      <c r="L1942" s="317">
        <f t="array" ref="L1942">(XLOOKUP(D1942,Roster!F:F,Roster!D:D,"",0))</f>
        <v>38</v>
      </c>
      <c r="M1942" s="317" t="str">
        <f t="array" ref="M1942">XLOOKUP(D1942,Roster!F:F,Roster!E:E)</f>
        <v>Voice</v>
      </c>
      <c r="N1942" s="317" t="str">
        <f t="shared" ref="N1942:P1942" si="1972">LEFT(H1942,5)</f>
        <v/>
      </c>
      <c r="O1942" s="317" t="str">
        <f t="shared" si="1972"/>
        <v/>
      </c>
      <c r="P1942" s="317" t="str">
        <f t="shared" si="1972"/>
        <v/>
      </c>
      <c r="Q1942" s="318" t="str">
        <f t="shared" si="1941"/>
        <v/>
      </c>
      <c r="R1942" s="318" t="str">
        <f t="shared" si="1942"/>
        <v/>
      </c>
      <c r="S1942" s="318" t="str">
        <f t="shared" si="8"/>
        <v/>
      </c>
    </row>
    <row r="1943">
      <c r="A1943" s="14" t="str">
        <f t="shared" si="1"/>
        <v>C147846128</v>
      </c>
      <c r="B1943" s="185" t="str">
        <f t="array" ref="B1943">IF(F1943="VL","",IF(F1943="Free","Free",XLOOKUP(D1943,Roster!T:T,Roster!S:S,"",0)))</f>
        <v/>
      </c>
      <c r="C1943" s="313">
        <v>46128.0</v>
      </c>
      <c r="D1943" s="314" t="s">
        <v>186</v>
      </c>
      <c r="E1943" s="307" t="str">
        <f t="array" ref="E1943">(XLOOKUP(D1943,Roster!F:F,Roster!B:B,"",0))</f>
        <v>Simon Atehortua</v>
      </c>
      <c r="F1943" s="315" t="str">
        <f t="array" ref="F1943">IF(B1943=100,"Free",TEXT(XLOOKUP($D1943,OperationVoice!$A:$A,OperationVoice!V:V,XLOOKUP($D1943,OperationTickets!$A:$A,OperationTickets!V:V,"",0)),"hh:mm"))</f>
        <v>07:00</v>
      </c>
      <c r="G1943" s="309">
        <f t="shared" si="3"/>
        <v>0.6666666667</v>
      </c>
      <c r="H1943" s="316" t="str">
        <f t="array" ref="H1943">XLOOKUP(B1943,Roster!L:L,Roster!N:N,XLOOKUP(D1943,TicketsBreak!A:A,TicketsBreak!E:E,"",0),0)</f>
        <v/>
      </c>
      <c r="I1943" s="316" t="str">
        <f t="array" ref="I1943">XLOOKUP(B1943,Roster!L:L,Roster!O:O,XLOOKUP(D1943,TicketsBreak!A:A,TicketsBreak!F:F,"",0),0)</f>
        <v/>
      </c>
      <c r="J1943" s="316" t="str">
        <f t="array" ref="J1943">XLOOKUP(B1943,Roster!L:L,Roster!P:P,XLOOKUP(D1943,TicketsBreak!A:A,TicketsBreak!G:G,"",0),0)</f>
        <v/>
      </c>
      <c r="K1943" s="310">
        <f t="shared" si="4"/>
        <v>46128</v>
      </c>
      <c r="L1943" s="317">
        <f t="array" ref="L1943">(XLOOKUP(D1943,Roster!F:F,Roster!D:D,"",0))</f>
        <v>32</v>
      </c>
      <c r="M1943" s="317" t="str">
        <f t="array" ref="M1943">XLOOKUP(D1943,Roster!F:F,Roster!E:E)</f>
        <v>Tickets</v>
      </c>
      <c r="N1943" s="317" t="str">
        <f t="shared" ref="N1943:P1943" si="1973">LEFT(H1943,5)</f>
        <v/>
      </c>
      <c r="O1943" s="317" t="str">
        <f t="shared" si="1973"/>
        <v/>
      </c>
      <c r="P1943" s="317" t="str">
        <f t="shared" si="1973"/>
        <v/>
      </c>
      <c r="Q1943" s="318" t="str">
        <f t="shared" si="1941"/>
        <v/>
      </c>
      <c r="R1943" s="318" t="str">
        <f t="shared" si="1942"/>
        <v/>
      </c>
      <c r="S1943" s="318" t="str">
        <f t="shared" si="8"/>
        <v/>
      </c>
    </row>
    <row r="1944">
      <c r="A1944" s="14" t="str">
        <f t="shared" si="1"/>
        <v>C148346128</v>
      </c>
      <c r="B1944" s="185">
        <f t="array" ref="B1944">IF(F1944="VL","",IF(F1944="Free","Free",XLOOKUP(D1944,Roster!T:T,Roster!S:S,"",0)))</f>
        <v>152</v>
      </c>
      <c r="C1944" s="313">
        <v>46128.0</v>
      </c>
      <c r="D1944" s="314" t="s">
        <v>77</v>
      </c>
      <c r="E1944" s="307" t="str">
        <f t="array" ref="E1944">(XLOOKUP(D1944,Roster!F:F,Roster!B:B,"",0))</f>
        <v>Simon Zuluaica</v>
      </c>
      <c r="F1944" s="315" t="str">
        <f t="array" ref="F1944">IF(B1944=100,"Free",TEXT(XLOOKUP($D1944,OperationVoice!$A:$A,OperationVoice!V:V,XLOOKUP($D1944,OperationTickets!$A:$A,OperationTickets!V:V,"",0)),"hh:mm"))</f>
        <v>11:00</v>
      </c>
      <c r="G1944" s="309">
        <f t="shared" si="3"/>
        <v>0.8333333333</v>
      </c>
      <c r="H1944" s="316" t="str">
        <f t="array" ref="H1944">XLOOKUP(B1944,Roster!L:L,Roster!N:N,XLOOKUP(D1944,TicketsBreak!A:A,TicketsBreak!E:E,"",0),0)</f>
        <v>12:30 - 12:45</v>
      </c>
      <c r="I1944" s="316" t="str">
        <f t="array" ref="I1944">XLOOKUP(B1944,Roster!L:L,Roster!O:O,XLOOKUP(D1944,TicketsBreak!A:A,TicketsBreak!F:F,"",0),0)</f>
        <v>14:30 - 15:00</v>
      </c>
      <c r="J1944" s="316" t="str">
        <f t="array" ref="J1944">XLOOKUP(B1944,Roster!L:L,Roster!P:P,XLOOKUP(D1944,TicketsBreak!A:A,TicketsBreak!G:G,"",0),0)</f>
        <v>17:30 - 17:45</v>
      </c>
      <c r="K1944" s="310">
        <f t="shared" si="4"/>
        <v>46128</v>
      </c>
      <c r="L1944" s="317">
        <f t="array" ref="L1944">(XLOOKUP(D1944,Roster!F:F,Roster!D:D,"",0))</f>
        <v>34</v>
      </c>
      <c r="M1944" s="317" t="str">
        <f t="array" ref="M1944">XLOOKUP(D1944,Roster!F:F,Roster!E:E)</f>
        <v>Voice</v>
      </c>
      <c r="N1944" s="317" t="str">
        <f t="shared" ref="N1944:P1944" si="1974">LEFT(H1944,5)</f>
        <v>12:30</v>
      </c>
      <c r="O1944" s="317" t="str">
        <f t="shared" si="1974"/>
        <v>14:30</v>
      </c>
      <c r="P1944" s="317" t="str">
        <f t="shared" si="1974"/>
        <v>17:30</v>
      </c>
      <c r="Q1944" s="318">
        <f t="shared" si="1941"/>
        <v>46128.52083</v>
      </c>
      <c r="R1944" s="318">
        <f t="shared" si="1942"/>
        <v>46128.60417</v>
      </c>
      <c r="S1944" s="318">
        <f t="shared" si="8"/>
        <v>46128.72917</v>
      </c>
    </row>
    <row r="1945">
      <c r="A1945" s="14" t="str">
        <f t="shared" si="1"/>
        <v>C154046128</v>
      </c>
      <c r="B1945" s="185">
        <f t="array" ref="B1945">IF(F1945="VL","",IF(F1945="Free","Free",XLOOKUP(D1945,Roster!T:T,Roster!S:S,"",0)))</f>
        <v>122</v>
      </c>
      <c r="C1945" s="313">
        <v>46128.0</v>
      </c>
      <c r="D1945" s="314" t="s">
        <v>78</v>
      </c>
      <c r="E1945" s="307" t="str">
        <f t="array" ref="E1945">(XLOOKUP(D1945,Roster!F:F,Roster!B:B,"",0))</f>
        <v>Tomas Perez</v>
      </c>
      <c r="F1945" s="315" t="str">
        <f t="array" ref="F1945">IF(B1945=100,"Free",TEXT(XLOOKUP($D1945,OperationVoice!$A:$A,OperationVoice!V:V,XLOOKUP($D1945,OperationTickets!$A:$A,OperationTickets!V:V,"",0)),"hh:mm"))</f>
        <v>08:00</v>
      </c>
      <c r="G1945" s="309">
        <f t="shared" si="3"/>
        <v>0.7083333333</v>
      </c>
      <c r="H1945" s="316" t="str">
        <f t="array" ref="H1945">XLOOKUP(B1945,Roster!L:L,Roster!N:N,XLOOKUP(D1945,TicketsBreak!A:A,TicketsBreak!E:E,"",0),0)</f>
        <v>09:30 - 09:45</v>
      </c>
      <c r="I1945" s="316" t="str">
        <f t="array" ref="I1945">XLOOKUP(B1945,Roster!L:L,Roster!O:O,XLOOKUP(D1945,TicketsBreak!A:A,TicketsBreak!F:F,"",0),0)</f>
        <v>12:00 - 12:30</v>
      </c>
      <c r="J1945" s="316" t="str">
        <f t="array" ref="J1945">XLOOKUP(B1945,Roster!L:L,Roster!P:P,XLOOKUP(D1945,TicketsBreak!A:A,TicketsBreak!G:G,"",0),0)</f>
        <v>14:45 - 15:00</v>
      </c>
      <c r="K1945" s="310">
        <f t="shared" si="4"/>
        <v>46128</v>
      </c>
      <c r="L1945" s="317">
        <f t="array" ref="L1945">(XLOOKUP(D1945,Roster!F:F,Roster!D:D,"",0))</f>
        <v>36</v>
      </c>
      <c r="M1945" s="317" t="str">
        <f t="array" ref="M1945">XLOOKUP(D1945,Roster!F:F,Roster!E:E)</f>
        <v>Voice</v>
      </c>
      <c r="N1945" s="317" t="str">
        <f t="shared" ref="N1945:P1945" si="1975">LEFT(H1945,5)</f>
        <v>09:30</v>
      </c>
      <c r="O1945" s="317" t="str">
        <f t="shared" si="1975"/>
        <v>12:00</v>
      </c>
      <c r="P1945" s="317" t="str">
        <f t="shared" si="1975"/>
        <v>14:45</v>
      </c>
      <c r="Q1945" s="318">
        <f t="shared" si="1941"/>
        <v>46128.39583</v>
      </c>
      <c r="R1945" s="318">
        <f t="shared" si="1942"/>
        <v>46128.5</v>
      </c>
      <c r="S1945" s="318">
        <f t="shared" si="8"/>
        <v>46128.61458</v>
      </c>
    </row>
    <row r="1946">
      <c r="A1946" s="14" t="str">
        <f t="shared" si="1"/>
        <v>C154746128</v>
      </c>
      <c r="B1946" s="185">
        <f t="array" ref="B1946">IF(F1946="VL","",IF(F1946="Free","Free",XLOOKUP(D1946,Roster!T:T,Roster!S:S,"",0)))</f>
        <v>121</v>
      </c>
      <c r="C1946" s="313">
        <v>46128.0</v>
      </c>
      <c r="D1946" s="314" t="s">
        <v>79</v>
      </c>
      <c r="E1946" s="307" t="str">
        <f t="array" ref="E1946">(XLOOKUP(D1946,Roster!F:F,Roster!B:B,"",0))</f>
        <v>Valentina Barreto</v>
      </c>
      <c r="F1946" s="315" t="str">
        <f t="array" ref="F1946">IF(B1946=100,"Free",TEXT(XLOOKUP($D1946,OperationVoice!$A:$A,OperationVoice!V:V,XLOOKUP($D1946,OperationTickets!$A:$A,OperationTickets!V:V,"",0)),"hh:mm"))</f>
        <v>08:00</v>
      </c>
      <c r="G1946" s="309">
        <f t="shared" si="3"/>
        <v>0.7083333333</v>
      </c>
      <c r="H1946" s="316" t="str">
        <f t="array" ref="H1946">XLOOKUP(B1946,Roster!L:L,Roster!N:N,XLOOKUP(D1946,TicketsBreak!A:A,TicketsBreak!E:E,"",0),0)</f>
        <v>09:15 - 09:30</v>
      </c>
      <c r="I1946" s="316" t="str">
        <f t="array" ref="I1946">XLOOKUP(B1946,Roster!L:L,Roster!O:O,XLOOKUP(D1946,TicketsBreak!A:A,TicketsBreak!F:F,"",0),0)</f>
        <v>11:30 - 12:00</v>
      </c>
      <c r="J1946" s="316" t="str">
        <f t="array" ref="J1946">XLOOKUP(B1946,Roster!L:L,Roster!P:P,XLOOKUP(D1946,TicketsBreak!A:A,TicketsBreak!G:G,"",0),0)</f>
        <v>14:30 - 14:45</v>
      </c>
      <c r="K1946" s="310">
        <f t="shared" si="4"/>
        <v>46128</v>
      </c>
      <c r="L1946" s="317">
        <f t="array" ref="L1946">(XLOOKUP(D1946,Roster!F:F,Roster!D:D,"",0))</f>
        <v>37</v>
      </c>
      <c r="M1946" s="317" t="str">
        <f t="array" ref="M1946">XLOOKUP(D1946,Roster!F:F,Roster!E:E)</f>
        <v>Voice</v>
      </c>
      <c r="N1946" s="317" t="str">
        <f t="shared" ref="N1946:P1946" si="1976">LEFT(H1946,5)</f>
        <v>09:15</v>
      </c>
      <c r="O1946" s="317" t="str">
        <f t="shared" si="1976"/>
        <v>11:30</v>
      </c>
      <c r="P1946" s="317" t="str">
        <f t="shared" si="1976"/>
        <v>14:30</v>
      </c>
      <c r="Q1946" s="318">
        <f t="shared" si="1941"/>
        <v>46128.38542</v>
      </c>
      <c r="R1946" s="318">
        <f t="shared" si="1942"/>
        <v>46128.47917</v>
      </c>
      <c r="S1946" s="318">
        <f t="shared" si="8"/>
        <v>46128.60417</v>
      </c>
    </row>
    <row r="1947">
      <c r="A1947" s="14" t="str">
        <f t="shared" si="1"/>
        <v>C155346128</v>
      </c>
      <c r="B1947" s="185">
        <f t="array" ref="B1947">IF(F1947="VL","",IF(F1947="Free","Free",XLOOKUP(D1947,Roster!T:T,Roster!S:S,"",0)))</f>
        <v>122</v>
      </c>
      <c r="C1947" s="313">
        <v>46128.0</v>
      </c>
      <c r="D1947" s="314" t="s">
        <v>80</v>
      </c>
      <c r="E1947" s="307" t="str">
        <f t="array" ref="E1947">(XLOOKUP(D1947,Roster!F:F,Roster!B:B,"",0))</f>
        <v>Valentina Castro</v>
      </c>
      <c r="F1947" s="315" t="str">
        <f t="array" ref="F1947">IF(B1947=100,"Free",TEXT(XLOOKUP($D1947,OperationVoice!$A:$A,OperationVoice!V:V,XLOOKUP($D1947,OperationTickets!$A:$A,OperationTickets!V:V,"",0)),"hh:mm"))</f>
        <v>08:00</v>
      </c>
      <c r="G1947" s="309">
        <f t="shared" si="3"/>
        <v>0.7083333333</v>
      </c>
      <c r="H1947" s="316" t="str">
        <f t="array" ref="H1947">XLOOKUP(B1947,Roster!L:L,Roster!N:N,XLOOKUP(D1947,TicketsBreak!A:A,TicketsBreak!E:E,"",0),0)</f>
        <v>09:30 - 09:45</v>
      </c>
      <c r="I1947" s="316" t="str">
        <f t="array" ref="I1947">XLOOKUP(B1947,Roster!L:L,Roster!O:O,XLOOKUP(D1947,TicketsBreak!A:A,TicketsBreak!F:F,"",0),0)</f>
        <v>12:00 - 12:30</v>
      </c>
      <c r="J1947" s="316" t="str">
        <f t="array" ref="J1947">XLOOKUP(B1947,Roster!L:L,Roster!P:P,XLOOKUP(D1947,TicketsBreak!A:A,TicketsBreak!G:G,"",0),0)</f>
        <v>14:45 - 15:00</v>
      </c>
      <c r="K1947" s="310">
        <f t="shared" si="4"/>
        <v>46128</v>
      </c>
      <c r="L1947" s="317">
        <f t="array" ref="L1947">(XLOOKUP(D1947,Roster!F:F,Roster!D:D,"",0))</f>
        <v>37</v>
      </c>
      <c r="M1947" s="317" t="str">
        <f t="array" ref="M1947">XLOOKUP(D1947,Roster!F:F,Roster!E:E)</f>
        <v>Voice</v>
      </c>
      <c r="N1947" s="317" t="str">
        <f t="shared" ref="N1947:P1947" si="1977">LEFT(H1947,5)</f>
        <v>09:30</v>
      </c>
      <c r="O1947" s="317" t="str">
        <f t="shared" si="1977"/>
        <v>12:00</v>
      </c>
      <c r="P1947" s="317" t="str">
        <f t="shared" si="1977"/>
        <v>14:45</v>
      </c>
      <c r="Q1947" s="318">
        <f t="shared" si="1941"/>
        <v>46128.39583</v>
      </c>
      <c r="R1947" s="318">
        <f t="shared" si="1942"/>
        <v>46128.5</v>
      </c>
      <c r="S1947" s="318">
        <f t="shared" si="8"/>
        <v>46128.61458</v>
      </c>
    </row>
    <row r="1948">
      <c r="A1948" s="14" t="str">
        <f t="shared" si="1"/>
        <v>C150246128</v>
      </c>
      <c r="B1948" s="185" t="str">
        <f t="array" ref="B1948">IF(F1948="VL","",IF(F1948="Free","Free",XLOOKUP(D1948,Roster!T:T,Roster!S:S,"",0)))</f>
        <v/>
      </c>
      <c r="C1948" s="313">
        <v>46128.0</v>
      </c>
      <c r="D1948" s="314" t="s">
        <v>316</v>
      </c>
      <c r="E1948" s="307" t="str">
        <f t="array" ref="E1948">(XLOOKUP(D1948,Roster!F:F,Roster!B:B,"",0))</f>
        <v>Valentina Gallego</v>
      </c>
      <c r="F1948" s="315" t="str">
        <f t="array" ref="F1948">IF(B1948=100,"Free",TEXT(XLOOKUP($D1948,OperationVoice!$A:$A,OperationVoice!V:V,XLOOKUP($D1948,OperationTickets!$A:$A,OperationTickets!V:V,"",0)),"hh:mm"))</f>
        <v/>
      </c>
      <c r="G1948" s="309" t="str">
        <f t="shared" si="3"/>
        <v/>
      </c>
      <c r="H1948" s="316" t="str">
        <f t="array" ref="H1948">XLOOKUP(B1948,Roster!L:L,Roster!N:N,XLOOKUP(D1948,TicketsBreak!A:A,TicketsBreak!E:E,"",0),0)</f>
        <v/>
      </c>
      <c r="I1948" s="316" t="str">
        <f t="array" ref="I1948">XLOOKUP(B1948,Roster!L:L,Roster!O:O,XLOOKUP(D1948,TicketsBreak!A:A,TicketsBreak!F:F,"",0),0)</f>
        <v/>
      </c>
      <c r="J1948" s="316" t="str">
        <f t="array" ref="J1948">XLOOKUP(B1948,Roster!L:L,Roster!P:P,XLOOKUP(D1948,TicketsBreak!A:A,TicketsBreak!G:G,"",0),0)</f>
        <v/>
      </c>
      <c r="K1948" s="310">
        <f t="shared" si="4"/>
        <v>46128</v>
      </c>
      <c r="L1948" s="317">
        <f t="array" ref="L1948">(XLOOKUP(D1948,Roster!F:F,Roster!D:D,"",0))</f>
        <v>35</v>
      </c>
      <c r="M1948" s="317" t="str">
        <f t="array" ref="M1948">XLOOKUP(D1948,Roster!F:F,Roster!E:E)</f>
        <v>Voice</v>
      </c>
      <c r="N1948" s="317" t="str">
        <f t="shared" ref="N1948:P1948" si="1978">LEFT(H1948,5)</f>
        <v/>
      </c>
      <c r="O1948" s="317" t="str">
        <f t="shared" si="1978"/>
        <v/>
      </c>
      <c r="P1948" s="317" t="str">
        <f t="shared" si="1978"/>
        <v/>
      </c>
      <c r="Q1948" s="318" t="str">
        <f t="shared" si="1941"/>
        <v/>
      </c>
      <c r="R1948" s="318" t="str">
        <f t="shared" si="1942"/>
        <v/>
      </c>
      <c r="S1948" s="318" t="str">
        <f t="shared" si="8"/>
        <v/>
      </c>
    </row>
    <row r="1949">
      <c r="A1949" s="14" t="str">
        <f t="shared" si="1"/>
        <v>C112646128</v>
      </c>
      <c r="B1949" s="185" t="str">
        <f t="array" ref="B1949">IF(F1949="VL","",IF(F1949="Free","Free",XLOOKUP(D1949,Roster!T:T,Roster!S:S,"",0)))</f>
        <v>Free</v>
      </c>
      <c r="C1949" s="313">
        <v>46128.0</v>
      </c>
      <c r="D1949" s="314" t="s">
        <v>152</v>
      </c>
      <c r="E1949" s="307" t="str">
        <f t="array" ref="E1949">(XLOOKUP(D1949,Roster!F:F,Roster!B:B,"",0))</f>
        <v>Valery Escobar</v>
      </c>
      <c r="F1949" s="315" t="str">
        <f t="array" ref="F1949">IF(B1949=100,"Free",TEXT(XLOOKUP($D1949,OperationVoice!$A:$A,OperationVoice!V:V,XLOOKUP($D1949,OperationTickets!$A:$A,OperationTickets!V:V,"",0)),"hh:mm"))</f>
        <v>Free</v>
      </c>
      <c r="G1949" s="309" t="str">
        <f t="shared" si="3"/>
        <v>Free</v>
      </c>
      <c r="H1949" s="316">
        <f t="array" ref="H1949">XLOOKUP(B1949,Roster!L:L,Roster!N:N,XLOOKUP(D1949,TicketsBreak!A:A,TicketsBreak!E:E,"",0),0)</f>
        <v>0.3854166667</v>
      </c>
      <c r="I1949" s="316">
        <f t="array" ref="I1949">XLOOKUP(B1949,Roster!L:L,Roster!O:O,XLOOKUP(D1949,TicketsBreak!A:A,TicketsBreak!F:F,"",0),0)</f>
        <v>0.5</v>
      </c>
      <c r="J1949" s="316">
        <f t="array" ref="J1949">XLOOKUP(B1949,Roster!L:L,Roster!P:P,XLOOKUP(D1949,TicketsBreak!A:A,TicketsBreak!G:G,"",0),0)</f>
        <v>0.6041666667</v>
      </c>
      <c r="K1949" s="310">
        <f t="shared" si="4"/>
        <v>46128</v>
      </c>
      <c r="L1949" s="317">
        <f t="array" ref="L1949">(XLOOKUP(D1949,Roster!F:F,Roster!D:D,"",0))</f>
        <v>21</v>
      </c>
      <c r="M1949" s="317" t="str">
        <f t="array" ref="M1949">XLOOKUP(D1949,Roster!F:F,Roster!E:E)</f>
        <v>Tickets</v>
      </c>
      <c r="N1949" s="317" t="str">
        <f t="shared" ref="N1949:P1949" si="1979">LEFT(H1949,5)</f>
        <v>09:15</v>
      </c>
      <c r="O1949" s="317" t="str">
        <f t="shared" si="1979"/>
        <v>12:00</v>
      </c>
      <c r="P1949" s="317" t="str">
        <f t="shared" si="1979"/>
        <v>14:30</v>
      </c>
      <c r="Q1949" s="318">
        <f t="shared" si="1941"/>
        <v>46128.38542</v>
      </c>
      <c r="R1949" s="318">
        <f t="shared" si="1942"/>
        <v>46128.5</v>
      </c>
      <c r="S1949" s="318">
        <f t="shared" si="8"/>
        <v>46128.60417</v>
      </c>
    </row>
    <row r="1950">
      <c r="A1950" s="14" t="str">
        <f t="shared" si="1"/>
        <v>C155246128</v>
      </c>
      <c r="B1950" s="185">
        <f t="array" ref="B1950">IF(F1950="VL","",IF(F1950="Free","Free",XLOOKUP(D1950,Roster!T:T,Roster!S:S,"",0)))</f>
        <v>125</v>
      </c>
      <c r="C1950" s="313">
        <v>46128.0</v>
      </c>
      <c r="D1950" s="314" t="s">
        <v>81</v>
      </c>
      <c r="E1950" s="307" t="str">
        <f t="array" ref="E1950">(XLOOKUP(D1950,Roster!F:F,Roster!B:B,"",0))</f>
        <v>Wendy Machado</v>
      </c>
      <c r="F1950" s="315" t="str">
        <f t="array" ref="F1950">IF(B1950=100,"Free",TEXT(XLOOKUP($D1950,OperationVoice!$A:$A,OperationVoice!V:V,XLOOKUP($D1950,OperationTickets!$A:$A,OperationTickets!V:V,"",0)),"hh:mm"))</f>
        <v>08:00</v>
      </c>
      <c r="G1950" s="309">
        <f t="shared" si="3"/>
        <v>0.7083333333</v>
      </c>
      <c r="H1950" s="316" t="str">
        <f t="array" ref="H1950">XLOOKUP(B1950,Roster!L:L,Roster!N:N,XLOOKUP(D1950,TicketsBreak!A:A,TicketsBreak!E:E,"",0),0)</f>
        <v>10:30 - 10:45</v>
      </c>
      <c r="I1950" s="316" t="str">
        <f t="array" ref="I1950">XLOOKUP(B1950,Roster!L:L,Roster!O:O,XLOOKUP(D1950,TicketsBreak!A:A,TicketsBreak!F:F,"",0),0)</f>
        <v>13:30 - 14:00</v>
      </c>
      <c r="J1950" s="316" t="str">
        <f t="array" ref="J1950">XLOOKUP(B1950,Roster!L:L,Roster!P:P,XLOOKUP(D1950,TicketsBreak!A:A,TicketsBreak!G:G,"",0),0)</f>
        <v>15:45 - 16:00</v>
      </c>
      <c r="K1950" s="310">
        <f t="shared" si="4"/>
        <v>46128</v>
      </c>
      <c r="L1950" s="317">
        <f t="array" ref="L1950">(XLOOKUP(D1950,Roster!F:F,Roster!D:D,"",0))</f>
        <v>37</v>
      </c>
      <c r="M1950" s="317" t="str">
        <f t="array" ref="M1950">XLOOKUP(D1950,Roster!F:F,Roster!E:E)</f>
        <v>Voice</v>
      </c>
      <c r="N1950" s="317" t="str">
        <f t="shared" ref="N1950:P1950" si="1980">LEFT(H1950,5)</f>
        <v>10:30</v>
      </c>
      <c r="O1950" s="317" t="str">
        <f t="shared" si="1980"/>
        <v>13:30</v>
      </c>
      <c r="P1950" s="317" t="str">
        <f t="shared" si="1980"/>
        <v>15:45</v>
      </c>
      <c r="Q1950" s="318">
        <f t="shared" si="1941"/>
        <v>46128.4375</v>
      </c>
      <c r="R1950" s="318">
        <f t="shared" si="1942"/>
        <v>46128.5625</v>
      </c>
      <c r="S1950" s="318">
        <f t="shared" si="8"/>
        <v>46128.65625</v>
      </c>
    </row>
    <row r="1951">
      <c r="A1951" s="14" t="str">
        <f t="shared" si="1"/>
        <v>C78646128</v>
      </c>
      <c r="B1951" s="185" t="str">
        <f t="array" ref="B1951">IF(F1951="VL","",IF(F1951="Free","Free",XLOOKUP(D1951,Roster!T:T,Roster!S:S,"",0)))</f>
        <v/>
      </c>
      <c r="C1951" s="313">
        <v>46128.0</v>
      </c>
      <c r="D1951" s="314" t="s">
        <v>136</v>
      </c>
      <c r="E1951" s="307" t="str">
        <f t="array" ref="E1951">(XLOOKUP(D1951,Roster!F:F,Roster!B:B,"",0))</f>
        <v>Wendy Navarro</v>
      </c>
      <c r="F1951" s="315" t="str">
        <f t="array" ref="F1951">IF(B1951=100,"Free",TEXT(XLOOKUP($D1951,OperationVoice!$A:$A,OperationVoice!V:V,XLOOKUP($D1951,OperationTickets!$A:$A,OperationTickets!V:V,"",0)),"hh:mm"))</f>
        <v>08:00</v>
      </c>
      <c r="G1951" s="309">
        <f t="shared" si="3"/>
        <v>0.7083333333</v>
      </c>
      <c r="H1951" s="316">
        <f t="array" ref="H1951">XLOOKUP(B1951,Roster!L:L,Roster!N:N,XLOOKUP(D1951,TicketsBreak!A:A,TicketsBreak!E:E,"",0),0)</f>
        <v>0.4166666667</v>
      </c>
      <c r="I1951" s="316">
        <f t="array" ref="I1951">XLOOKUP(B1951,Roster!L:L,Roster!O:O,XLOOKUP(D1951,TicketsBreak!A:A,TicketsBreak!F:F,"",0),0)</f>
        <v>0.5416666667</v>
      </c>
      <c r="J1951" s="316">
        <f t="array" ref="J1951">XLOOKUP(B1951,Roster!L:L,Roster!P:P,XLOOKUP(D1951,TicketsBreak!A:A,TicketsBreak!G:G,"",0),0)</f>
        <v>0.6458333333</v>
      </c>
      <c r="K1951" s="310">
        <f t="shared" si="4"/>
        <v>46128</v>
      </c>
      <c r="L1951" s="317">
        <f t="array" ref="L1951">(XLOOKUP(D1951,Roster!F:F,Roster!D:D,"",0))</f>
        <v>16</v>
      </c>
      <c r="M1951" s="317" t="str">
        <f t="array" ref="M1951">XLOOKUP(D1951,Roster!F:F,Roster!E:E)</f>
        <v>Tickets</v>
      </c>
      <c r="N1951" s="317" t="str">
        <f t="shared" ref="N1951:P1951" si="1981">LEFT(H1951,5)</f>
        <v>10:00</v>
      </c>
      <c r="O1951" s="317" t="str">
        <f t="shared" si="1981"/>
        <v>13:00</v>
      </c>
      <c r="P1951" s="317" t="str">
        <f t="shared" si="1981"/>
        <v>15:30</v>
      </c>
      <c r="Q1951" s="318">
        <f t="shared" si="1941"/>
        <v>46128.41667</v>
      </c>
      <c r="R1951" s="318">
        <f t="shared" si="1942"/>
        <v>46128.54167</v>
      </c>
      <c r="S1951" s="318">
        <f t="shared" si="8"/>
        <v>46128.64583</v>
      </c>
    </row>
    <row r="1952">
      <c r="A1952" s="14" t="str">
        <f t="shared" si="1"/>
        <v>C153746128</v>
      </c>
      <c r="B1952" s="185">
        <f t="array" ref="B1952">IF(F1952="VL","",IF(F1952="Free","Free",XLOOKUP(D1952,Roster!T:T,Roster!S:S,"",0)))</f>
        <v>135</v>
      </c>
      <c r="C1952" s="313">
        <v>46128.0</v>
      </c>
      <c r="D1952" s="314" t="s">
        <v>82</v>
      </c>
      <c r="E1952" s="307" t="str">
        <f t="array" ref="E1952">(XLOOKUP(D1952,Roster!F:F,Roster!B:B,"",0))</f>
        <v>William Florez</v>
      </c>
      <c r="F1952" s="315" t="str">
        <f t="array" ref="F1952">IF(B1952=100,"Free",TEXT(XLOOKUP($D1952,OperationVoice!$A:$A,OperationVoice!V:V,XLOOKUP($D1952,OperationTickets!$A:$A,OperationTickets!V:V,"",0)),"hh:mm"))</f>
        <v>09:00</v>
      </c>
      <c r="G1952" s="309">
        <f t="shared" si="3"/>
        <v>0.75</v>
      </c>
      <c r="H1952" s="316" t="str">
        <f t="array" ref="H1952">XLOOKUP(B1952,Roster!L:L,Roster!N:N,XLOOKUP(D1952,TicketsBreak!A:A,TicketsBreak!E:E,"",0),0)</f>
        <v>11:15 - 11:30</v>
      </c>
      <c r="I1952" s="316" t="str">
        <f t="array" ref="I1952">XLOOKUP(B1952,Roster!L:L,Roster!O:O,XLOOKUP(D1952,TicketsBreak!A:A,TicketsBreak!F:F,"",0),0)</f>
        <v>14:15 - 14:45</v>
      </c>
      <c r="J1952" s="316" t="str">
        <f t="array" ref="J1952">XLOOKUP(B1952,Roster!L:L,Roster!P:P,XLOOKUP(D1952,TicketsBreak!A:A,TicketsBreak!G:G,"",0),0)</f>
        <v>16:15 - 16:30</v>
      </c>
      <c r="K1952" s="310">
        <f t="shared" si="4"/>
        <v>46128</v>
      </c>
      <c r="L1952" s="317">
        <f t="array" ref="L1952">(XLOOKUP(D1952,Roster!F:F,Roster!D:D,"",0))</f>
        <v>36</v>
      </c>
      <c r="M1952" s="317" t="str">
        <f t="array" ref="M1952">XLOOKUP(D1952,Roster!F:F,Roster!E:E)</f>
        <v>Voice</v>
      </c>
      <c r="N1952" s="317" t="str">
        <f t="shared" ref="N1952:P1952" si="1982">LEFT(H1952,5)</f>
        <v>11:15</v>
      </c>
      <c r="O1952" s="317" t="str">
        <f t="shared" si="1982"/>
        <v>14:15</v>
      </c>
      <c r="P1952" s="317" t="str">
        <f t="shared" si="1982"/>
        <v>16:15</v>
      </c>
      <c r="Q1952" s="318">
        <f t="shared" si="1941"/>
        <v>46128.46875</v>
      </c>
      <c r="R1952" s="318">
        <f t="shared" si="1942"/>
        <v>46128.59375</v>
      </c>
      <c r="S1952" s="318">
        <f t="shared" si="8"/>
        <v>46128.67708</v>
      </c>
    </row>
    <row r="1953">
      <c r="A1953" s="14" t="str">
        <f t="shared" si="1"/>
        <v>C135346128</v>
      </c>
      <c r="B1953" s="185">
        <f t="array" ref="B1953">IF(F1953="VL","",IF(F1953="Free","Free",XLOOKUP(D1953,Roster!T:T,Roster!S:S,"",0)))</f>
        <v>121</v>
      </c>
      <c r="C1953" s="313">
        <v>46128.0</v>
      </c>
      <c r="D1953" s="314" t="s">
        <v>83</v>
      </c>
      <c r="E1953" s="307" t="str">
        <f t="array" ref="E1953">(XLOOKUP(D1953,Roster!F:F,Roster!B:B,"",0))</f>
        <v>Wilson Martinez</v>
      </c>
      <c r="F1953" s="315" t="str">
        <f t="array" ref="F1953">IF(B1953=100,"Free",TEXT(XLOOKUP($D1953,OperationVoice!$A:$A,OperationVoice!V:V,XLOOKUP($D1953,OperationTickets!$A:$A,OperationTickets!V:V,"",0)),"hh:mm"))</f>
        <v>08:00</v>
      </c>
      <c r="G1953" s="309">
        <f t="shared" si="3"/>
        <v>0.7083333333</v>
      </c>
      <c r="H1953" s="316" t="str">
        <f t="array" ref="H1953">XLOOKUP(B1953,Roster!L:L,Roster!N:N,XLOOKUP(D1953,TicketsBreak!A:A,TicketsBreak!E:E,"",0),0)</f>
        <v>09:15 - 09:30</v>
      </c>
      <c r="I1953" s="316" t="str">
        <f t="array" ref="I1953">XLOOKUP(B1953,Roster!L:L,Roster!O:O,XLOOKUP(D1953,TicketsBreak!A:A,TicketsBreak!F:F,"",0),0)</f>
        <v>11:30 - 12:00</v>
      </c>
      <c r="J1953" s="316" t="str">
        <f t="array" ref="J1953">XLOOKUP(B1953,Roster!L:L,Roster!P:P,XLOOKUP(D1953,TicketsBreak!A:A,TicketsBreak!G:G,"",0),0)</f>
        <v>14:30 - 14:45</v>
      </c>
      <c r="K1953" s="310">
        <f t="shared" si="4"/>
        <v>46128</v>
      </c>
      <c r="L1953" s="317">
        <f t="array" ref="L1953">(XLOOKUP(D1953,Roster!F:F,Roster!D:D,"",0))</f>
        <v>30</v>
      </c>
      <c r="M1953" s="317" t="str">
        <f t="array" ref="M1953">XLOOKUP(D1953,Roster!F:F,Roster!E:E)</f>
        <v>Voice</v>
      </c>
      <c r="N1953" s="317" t="str">
        <f t="shared" ref="N1953:P1953" si="1983">LEFT(H1953,5)</f>
        <v>09:15</v>
      </c>
      <c r="O1953" s="317" t="str">
        <f t="shared" si="1983"/>
        <v>11:30</v>
      </c>
      <c r="P1953" s="317" t="str">
        <f t="shared" si="1983"/>
        <v>14:30</v>
      </c>
      <c r="Q1953" s="318">
        <f t="shared" si="1941"/>
        <v>46128.38542</v>
      </c>
      <c r="R1953" s="318">
        <f t="shared" si="1942"/>
        <v>46128.47917</v>
      </c>
      <c r="S1953" s="318">
        <f t="shared" si="8"/>
        <v>46128.60417</v>
      </c>
    </row>
    <row r="1954">
      <c r="A1954" s="14" t="str">
        <f t="shared" si="1"/>
        <v>C117346128</v>
      </c>
      <c r="B1954" s="185">
        <f t="array" ref="B1954">IF(F1954="VL","",IF(F1954="Free","Free",XLOOKUP(D1954,Roster!T:T,Roster!S:S,"",0)))</f>
        <v>122</v>
      </c>
      <c r="C1954" s="313">
        <v>46128.0</v>
      </c>
      <c r="D1954" s="314" t="s">
        <v>84</v>
      </c>
      <c r="E1954" s="307" t="str">
        <f t="array" ref="E1954">(XLOOKUP(D1954,Roster!F:F,Roster!B:B,"",0))</f>
        <v>Yaidy Mosquera</v>
      </c>
      <c r="F1954" s="315" t="str">
        <f t="array" ref="F1954">IF(B1954=100,"Free",TEXT(XLOOKUP($D1954,OperationVoice!$A:$A,OperationVoice!V:V,XLOOKUP($D1954,OperationTickets!$A:$A,OperationTickets!V:V,"",0)),"hh:mm"))</f>
        <v>08:00</v>
      </c>
      <c r="G1954" s="309">
        <f t="shared" si="3"/>
        <v>0.7083333333</v>
      </c>
      <c r="H1954" s="316" t="str">
        <f t="array" ref="H1954">XLOOKUP(B1954,Roster!L:L,Roster!N:N,XLOOKUP(D1954,TicketsBreak!A:A,TicketsBreak!E:E,"",0),0)</f>
        <v>09:30 - 09:45</v>
      </c>
      <c r="I1954" s="316" t="str">
        <f t="array" ref="I1954">XLOOKUP(B1954,Roster!L:L,Roster!O:O,XLOOKUP(D1954,TicketsBreak!A:A,TicketsBreak!F:F,"",0),0)</f>
        <v>12:00 - 12:30</v>
      </c>
      <c r="J1954" s="316" t="str">
        <f t="array" ref="J1954">XLOOKUP(B1954,Roster!L:L,Roster!P:P,XLOOKUP(D1954,TicketsBreak!A:A,TicketsBreak!G:G,"",0),0)</f>
        <v>14:45 - 15:00</v>
      </c>
      <c r="K1954" s="310">
        <f t="shared" si="4"/>
        <v>46128</v>
      </c>
      <c r="L1954" s="317">
        <f t="array" ref="L1954">(XLOOKUP(D1954,Roster!F:F,Roster!D:D,"",0))</f>
        <v>24</v>
      </c>
      <c r="M1954" s="317" t="str">
        <f t="array" ref="M1954">XLOOKUP(D1954,Roster!F:F,Roster!E:E)</f>
        <v>Voice</v>
      </c>
      <c r="N1954" s="317" t="str">
        <f t="shared" ref="N1954:P1954" si="1984">LEFT(H1954,5)</f>
        <v>09:30</v>
      </c>
      <c r="O1954" s="317" t="str">
        <f t="shared" si="1984"/>
        <v>12:00</v>
      </c>
      <c r="P1954" s="317" t="str">
        <f t="shared" si="1984"/>
        <v>14:45</v>
      </c>
      <c r="Q1954" s="318">
        <f t="shared" si="1941"/>
        <v>46128.39583</v>
      </c>
      <c r="R1954" s="318">
        <f t="shared" si="1942"/>
        <v>46128.5</v>
      </c>
      <c r="S1954" s="318">
        <f t="shared" si="8"/>
        <v>46128.61458</v>
      </c>
    </row>
    <row r="1955">
      <c r="A1955" s="14" t="str">
        <f t="shared" si="1"/>
        <v>C110846128</v>
      </c>
      <c r="B1955" s="185" t="str">
        <f t="array" ref="B1955">IF(F1955="VL","",IF(F1955="Free","Free",XLOOKUP(D1955,Roster!T:T,Roster!S:S,"",0)))</f>
        <v/>
      </c>
      <c r="C1955" s="313">
        <v>46128.0</v>
      </c>
      <c r="D1955" s="314" t="s">
        <v>187</v>
      </c>
      <c r="E1955" s="307" t="str">
        <f t="array" ref="E1955">(XLOOKUP(D1955,Roster!F:F,Roster!B:B,"",0))</f>
        <v>Yeiner Tapias</v>
      </c>
      <c r="F1955" s="315" t="str">
        <f t="array" ref="F1955">IF(B1955=100,"Free",TEXT(XLOOKUP($D1955,OperationVoice!$A:$A,OperationVoice!V:V,XLOOKUP($D1955,OperationTickets!$A:$A,OperationTickets!V:V,"",0)),"hh:mm"))</f>
        <v>08:00</v>
      </c>
      <c r="G1955" s="309">
        <f t="shared" si="3"/>
        <v>0.7083333333</v>
      </c>
      <c r="H1955" s="316">
        <f t="array" ref="H1955">XLOOKUP(B1955,Roster!L:L,Roster!N:N,XLOOKUP(D1955,TicketsBreak!A:A,TicketsBreak!E:E,"",0),0)</f>
        <v>0.3958333333</v>
      </c>
      <c r="I1955" s="316">
        <f t="array" ref="I1955">XLOOKUP(B1955,Roster!L:L,Roster!O:O,XLOOKUP(D1955,TicketsBreak!A:A,TicketsBreak!F:F,"",0),0)</f>
        <v>0.5208333333</v>
      </c>
      <c r="J1955" s="316">
        <f t="array" ref="J1955">XLOOKUP(B1955,Roster!L:L,Roster!P:P,XLOOKUP(D1955,TicketsBreak!A:A,TicketsBreak!G:G,"",0),0)</f>
        <v>0.6145833333</v>
      </c>
      <c r="K1955" s="310">
        <f t="shared" si="4"/>
        <v>46128</v>
      </c>
      <c r="L1955" s="317">
        <f t="array" ref="L1955">(XLOOKUP(D1955,Roster!F:F,Roster!D:D,"",0))</f>
        <v>20</v>
      </c>
      <c r="M1955" s="317" t="str">
        <f t="array" ref="M1955">XLOOKUP(D1955,Roster!F:F,Roster!E:E)</f>
        <v>Tickets</v>
      </c>
      <c r="N1955" s="317" t="str">
        <f t="shared" ref="N1955:P1955" si="1985">LEFT(H1955,5)</f>
        <v>09:30</v>
      </c>
      <c r="O1955" s="317" t="str">
        <f t="shared" si="1985"/>
        <v>12:30</v>
      </c>
      <c r="P1955" s="317" t="str">
        <f t="shared" si="1985"/>
        <v>14:45</v>
      </c>
      <c r="Q1955" s="318">
        <f t="shared" si="1941"/>
        <v>46128.39583</v>
      </c>
      <c r="R1955" s="318">
        <f t="shared" si="1942"/>
        <v>46128.52083</v>
      </c>
      <c r="S1955" s="318">
        <f t="shared" si="8"/>
        <v>46128.61458</v>
      </c>
    </row>
    <row r="1956">
      <c r="A1956" s="14" t="str">
        <f t="shared" si="1"/>
        <v>C153946128</v>
      </c>
      <c r="B1956" s="185">
        <f t="array" ref="B1956">IF(F1956="VL","",IF(F1956="Free","Free",XLOOKUP(D1956,Roster!T:T,Roster!S:S,"",0)))</f>
        <v>123</v>
      </c>
      <c r="C1956" s="313">
        <v>46128.0</v>
      </c>
      <c r="D1956" s="314" t="s">
        <v>85</v>
      </c>
      <c r="E1956" s="307" t="str">
        <f t="array" ref="E1956">(XLOOKUP(D1956,Roster!F:F,Roster!B:B,"",0))</f>
        <v>Yovanny Ceballos</v>
      </c>
      <c r="F1956" s="315" t="str">
        <f t="array" ref="F1956">IF(B1956=100,"Free",TEXT(XLOOKUP($D1956,OperationVoice!$A:$A,OperationVoice!V:V,XLOOKUP($D1956,OperationTickets!$A:$A,OperationTickets!V:V,"",0)),"hh:mm"))</f>
        <v/>
      </c>
      <c r="G1956" s="309" t="str">
        <f t="shared" si="3"/>
        <v/>
      </c>
      <c r="H1956" s="316" t="str">
        <f t="array" ref="H1956">XLOOKUP(B1956,Roster!L:L,Roster!N:N,XLOOKUP(D1956,TicketsBreak!A:A,TicketsBreak!E:E,"",0),0)</f>
        <v>09:45 - 10:00 </v>
      </c>
      <c r="I1956" s="316" t="str">
        <f t="array" ref="I1956">XLOOKUP(B1956,Roster!L:L,Roster!O:O,XLOOKUP(D1956,TicketsBreak!A:A,TicketsBreak!F:F,"",0),0)</f>
        <v>12:30 - 13:00</v>
      </c>
      <c r="J1956" s="316" t="str">
        <f t="array" ref="J1956">XLOOKUP(B1956,Roster!L:L,Roster!P:P,XLOOKUP(D1956,TicketsBreak!A:A,TicketsBreak!G:G,"",0),0)</f>
        <v>15:00 - 15:15</v>
      </c>
      <c r="K1956" s="310">
        <f t="shared" si="4"/>
        <v>46128</v>
      </c>
      <c r="L1956" s="317">
        <f t="array" ref="L1956">(XLOOKUP(D1956,Roster!F:F,Roster!D:D,"",0))</f>
        <v>36</v>
      </c>
      <c r="M1956" s="317" t="str">
        <f t="array" ref="M1956">XLOOKUP(D1956,Roster!F:F,Roster!E:E)</f>
        <v>Voice</v>
      </c>
      <c r="N1956" s="317" t="str">
        <f t="shared" ref="N1956:P1956" si="1986">LEFT(H1956,5)</f>
        <v>09:45</v>
      </c>
      <c r="O1956" s="317" t="str">
        <f t="shared" si="1986"/>
        <v>12:30</v>
      </c>
      <c r="P1956" s="317" t="str">
        <f t="shared" si="1986"/>
        <v>15:00</v>
      </c>
      <c r="Q1956" s="318">
        <f t="shared" si="1941"/>
        <v>46128.40625</v>
      </c>
      <c r="R1956" s="318">
        <f t="shared" si="1942"/>
        <v>46128.52083</v>
      </c>
      <c r="S1956" s="318">
        <f t="shared" si="8"/>
        <v>46128.625</v>
      </c>
    </row>
    <row r="1957">
      <c r="A1957" s="14" t="str">
        <f t="shared" si="1"/>
        <v>46128</v>
      </c>
      <c r="B1957" s="185" t="str">
        <f t="array" ref="B1957">IF(F1957="VL","",IF(F1957="Free","Free",XLOOKUP(D1957,Roster!T:T,Roster!S:S,"",0)))</f>
        <v/>
      </c>
      <c r="C1957" s="313">
        <v>46128.0</v>
      </c>
      <c r="D1957" s="314"/>
      <c r="E1957" s="307" t="str">
        <f t="array" ref="E1957">(XLOOKUP(D1957,Roster!F:F,Roster!B:B,"",0))</f>
        <v/>
      </c>
      <c r="F1957" s="315" t="str">
        <f t="array" ref="F1957">IF(B1957=100,"Free",TEXT(XLOOKUP($D1957,OperationVoice!$A:$A,OperationVoice!V:V,XLOOKUP($D1957,OperationTickets!$A:$A,OperationTickets!V:V,"",0)),"hh:mm"))</f>
        <v/>
      </c>
      <c r="G1957" s="309" t="str">
        <f t="shared" si="3"/>
        <v/>
      </c>
      <c r="H1957" s="316" t="str">
        <f t="array" ref="H1957">XLOOKUP(B1957,Roster!L:L,Roster!N:N,XLOOKUP(D1957,TicketsBreak!A:A,TicketsBreak!E:E,"",0),0)</f>
        <v/>
      </c>
      <c r="I1957" s="316" t="str">
        <f t="array" ref="I1957">XLOOKUP(B1957,Roster!L:L,Roster!O:O,XLOOKUP(D1957,TicketsBreak!A:A,TicketsBreak!F:F,"",0),0)</f>
        <v/>
      </c>
      <c r="J1957" s="316" t="str">
        <f t="array" ref="J1957">XLOOKUP(B1957,Roster!L:L,Roster!P:P,XLOOKUP(D1957,TicketsBreak!A:A,TicketsBreak!G:G,"",0),0)</f>
        <v/>
      </c>
      <c r="K1957" s="310">
        <f t="shared" si="4"/>
        <v>46128</v>
      </c>
      <c r="L1957" s="317" t="str">
        <f t="array" ref="L1957">(XLOOKUP(D1957,Roster!F:F,Roster!D:D,"",0))</f>
        <v/>
      </c>
      <c r="M1957" s="317" t="str">
        <f t="array" ref="M1957">XLOOKUP(D1957,Roster!F:F,Roster!E:E)</f>
        <v>#N/A</v>
      </c>
      <c r="N1957" s="317" t="str">
        <f t="shared" ref="N1957:P1957" si="1987">LEFT(H1957,5)</f>
        <v/>
      </c>
      <c r="O1957" s="317" t="str">
        <f t="shared" si="1987"/>
        <v/>
      </c>
      <c r="P1957" s="317" t="str">
        <f t="shared" si="1987"/>
        <v/>
      </c>
      <c r="Q1957" s="318" t="str">
        <f t="shared" si="1941"/>
        <v/>
      </c>
      <c r="R1957" s="318" t="str">
        <f t="shared" si="1942"/>
        <v/>
      </c>
      <c r="S1957" s="318" t="str">
        <f t="shared" si="8"/>
        <v/>
      </c>
    </row>
    <row r="1958">
      <c r="A1958" s="14" t="str">
        <f t="shared" si="1"/>
        <v>46128</v>
      </c>
      <c r="B1958" s="185" t="str">
        <f t="array" ref="B1958">IF(F1958="VL","",IF(F1958="Free","Free",XLOOKUP(D1958,Roster!T:T,Roster!S:S,"",0)))</f>
        <v/>
      </c>
      <c r="C1958" s="313">
        <v>46128.0</v>
      </c>
      <c r="D1958" s="314"/>
      <c r="E1958" s="307" t="str">
        <f t="array" ref="E1958">(XLOOKUP(D1958,Roster!F:F,Roster!B:B,"",0))</f>
        <v/>
      </c>
      <c r="F1958" s="315" t="str">
        <f t="array" ref="F1958">IF(B1958=100,"Free",TEXT(XLOOKUP($D1958,OperationVoice!$A:$A,OperationVoice!V:V,XLOOKUP($D1958,OperationTickets!$A:$A,OperationTickets!V:V,"",0)),"hh:mm"))</f>
        <v/>
      </c>
      <c r="G1958" s="309" t="str">
        <f t="shared" si="3"/>
        <v/>
      </c>
      <c r="H1958" s="316" t="str">
        <f t="array" ref="H1958">XLOOKUP(B1958,Roster!L:L,Roster!N:N,XLOOKUP(D1958,TicketsBreak!A:A,TicketsBreak!E:E,"",0),0)</f>
        <v/>
      </c>
      <c r="I1958" s="316" t="str">
        <f t="array" ref="I1958">XLOOKUP(B1958,Roster!L:L,Roster!O:O,XLOOKUP(D1958,TicketsBreak!A:A,TicketsBreak!F:F,"",0),0)</f>
        <v/>
      </c>
      <c r="J1958" s="316" t="str">
        <f t="array" ref="J1958">XLOOKUP(B1958,Roster!L:L,Roster!P:P,XLOOKUP(D1958,TicketsBreak!A:A,TicketsBreak!G:G,"",0),0)</f>
        <v/>
      </c>
      <c r="K1958" s="310">
        <f t="shared" si="4"/>
        <v>46128</v>
      </c>
      <c r="L1958" s="317" t="str">
        <f t="array" ref="L1958">(XLOOKUP(D1958,Roster!F:F,Roster!D:D,"",0))</f>
        <v/>
      </c>
      <c r="M1958" s="317" t="str">
        <f t="array" ref="M1958">XLOOKUP(D1958,Roster!F:F,Roster!E:E)</f>
        <v>#N/A</v>
      </c>
      <c r="N1958" s="317" t="str">
        <f t="shared" ref="N1958:P1958" si="1988">LEFT(H1958,5)</f>
        <v/>
      </c>
      <c r="O1958" s="317" t="str">
        <f t="shared" si="1988"/>
        <v/>
      </c>
      <c r="P1958" s="317" t="str">
        <f t="shared" si="1988"/>
        <v/>
      </c>
      <c r="Q1958" s="318" t="str">
        <f t="shared" si="1941"/>
        <v/>
      </c>
      <c r="R1958" s="318" t="str">
        <f t="shared" si="1942"/>
        <v/>
      </c>
      <c r="S1958" s="318" t="str">
        <f t="shared" si="8"/>
        <v/>
      </c>
    </row>
    <row r="1959">
      <c r="A1959" s="14" t="str">
        <f t="shared" si="1"/>
        <v>46128</v>
      </c>
      <c r="B1959" s="185" t="str">
        <f t="array" ref="B1959">IF(F1959="VL","",IF(F1959="Free","Free",XLOOKUP(D1959,Roster!T:T,Roster!S:S,"",0)))</f>
        <v/>
      </c>
      <c r="C1959" s="313">
        <v>46128.0</v>
      </c>
      <c r="D1959" s="314"/>
      <c r="E1959" s="307" t="str">
        <f t="array" ref="E1959">(XLOOKUP(D1959,Roster!F:F,Roster!B:B,"",0))</f>
        <v/>
      </c>
      <c r="F1959" s="315" t="str">
        <f t="array" ref="F1959">IF(B1959=100,"Free",TEXT(XLOOKUP($D1959,OperationVoice!$A:$A,OperationVoice!V:V,XLOOKUP($D1959,OperationTickets!$A:$A,OperationTickets!V:V,"",0)),"hh:mm"))</f>
        <v/>
      </c>
      <c r="G1959" s="309" t="str">
        <f t="shared" si="3"/>
        <v/>
      </c>
      <c r="H1959" s="316" t="str">
        <f t="array" ref="H1959">XLOOKUP(B1959,Roster!L:L,Roster!N:N,XLOOKUP(D1959,TicketsBreak!A:A,TicketsBreak!E:E,"",0),0)</f>
        <v/>
      </c>
      <c r="I1959" s="316" t="str">
        <f t="array" ref="I1959">XLOOKUP(B1959,Roster!L:L,Roster!O:O,XLOOKUP(D1959,TicketsBreak!A:A,TicketsBreak!F:F,"",0),0)</f>
        <v/>
      </c>
      <c r="J1959" s="316" t="str">
        <f t="array" ref="J1959">XLOOKUP(B1959,Roster!L:L,Roster!P:P,XLOOKUP(D1959,TicketsBreak!A:A,TicketsBreak!G:G,"",0),0)</f>
        <v/>
      </c>
      <c r="K1959" s="310">
        <f t="shared" si="4"/>
        <v>46128</v>
      </c>
      <c r="L1959" s="317" t="str">
        <f t="array" ref="L1959">(XLOOKUP(D1959,Roster!F:F,Roster!D:D,"",0))</f>
        <v/>
      </c>
      <c r="M1959" s="317" t="str">
        <f t="array" ref="M1959">XLOOKUP(D1959,Roster!F:F,Roster!E:E)</f>
        <v>#N/A</v>
      </c>
      <c r="N1959" s="317" t="str">
        <f t="shared" ref="N1959:P1959" si="1989">LEFT(H1959,5)</f>
        <v/>
      </c>
      <c r="O1959" s="317" t="str">
        <f t="shared" si="1989"/>
        <v/>
      </c>
      <c r="P1959" s="317" t="str">
        <f t="shared" si="1989"/>
        <v/>
      </c>
      <c r="Q1959" s="318" t="str">
        <f t="shared" si="1941"/>
        <v/>
      </c>
      <c r="R1959" s="318" t="str">
        <f t="shared" si="1942"/>
        <v/>
      </c>
      <c r="S1959" s="318" t="str">
        <f t="shared" si="8"/>
        <v/>
      </c>
    </row>
    <row r="1960">
      <c r="A1960" s="14" t="str">
        <f t="shared" si="1"/>
        <v>46128</v>
      </c>
      <c r="B1960" s="185" t="str">
        <f t="array" ref="B1960">IF(F1960="VL","",IF(F1960="Free","Free",XLOOKUP(D1960,Roster!T:T,Roster!S:S,"",0)))</f>
        <v/>
      </c>
      <c r="C1960" s="313">
        <v>46128.0</v>
      </c>
      <c r="D1960" s="314"/>
      <c r="E1960" s="307" t="str">
        <f t="array" ref="E1960">(XLOOKUP(D1960,Roster!F:F,Roster!B:B,"",0))</f>
        <v/>
      </c>
      <c r="F1960" s="315" t="str">
        <f t="array" ref="F1960">IF(B1960=100,"Free",TEXT(XLOOKUP($D1960,OperationVoice!$A:$A,OperationVoice!V:V,XLOOKUP($D1960,OperationTickets!$A:$A,OperationTickets!V:V,"",0)),"hh:mm"))</f>
        <v/>
      </c>
      <c r="G1960" s="309" t="str">
        <f t="shared" si="3"/>
        <v/>
      </c>
      <c r="H1960" s="316" t="str">
        <f t="array" ref="H1960">XLOOKUP(B1960,Roster!L:L,Roster!N:N,XLOOKUP(D1960,TicketsBreak!A:A,TicketsBreak!E:E,"",0),0)</f>
        <v/>
      </c>
      <c r="I1960" s="316" t="str">
        <f t="array" ref="I1960">XLOOKUP(B1960,Roster!L:L,Roster!O:O,XLOOKUP(D1960,TicketsBreak!A:A,TicketsBreak!F:F,"",0),0)</f>
        <v/>
      </c>
      <c r="J1960" s="316" t="str">
        <f t="array" ref="J1960">XLOOKUP(B1960,Roster!L:L,Roster!P:P,XLOOKUP(D1960,TicketsBreak!A:A,TicketsBreak!G:G,"",0),0)</f>
        <v/>
      </c>
      <c r="K1960" s="310">
        <f t="shared" si="4"/>
        <v>46128</v>
      </c>
      <c r="L1960" s="317" t="str">
        <f t="array" ref="L1960">(XLOOKUP(D1960,Roster!F:F,Roster!D:D,"",0))</f>
        <v/>
      </c>
      <c r="M1960" s="317" t="str">
        <f t="array" ref="M1960">XLOOKUP(D1960,Roster!F:F,Roster!E:E)</f>
        <v>#N/A</v>
      </c>
      <c r="N1960" s="317" t="str">
        <f t="shared" ref="N1960:P1960" si="1990">LEFT(H1960,5)</f>
        <v/>
      </c>
      <c r="O1960" s="317" t="str">
        <f t="shared" si="1990"/>
        <v/>
      </c>
      <c r="P1960" s="317" t="str">
        <f t="shared" si="1990"/>
        <v/>
      </c>
      <c r="Q1960" s="318" t="str">
        <f t="shared" si="1941"/>
        <v/>
      </c>
      <c r="R1960" s="318" t="str">
        <f t="shared" si="1942"/>
        <v/>
      </c>
      <c r="S1960" s="318" t="str">
        <f t="shared" si="8"/>
        <v/>
      </c>
    </row>
    <row r="1961">
      <c r="A1961" s="14" t="str">
        <f t="shared" si="1"/>
        <v>46128</v>
      </c>
      <c r="B1961" s="185" t="str">
        <f t="array" ref="B1961">IF(F1961="VL","",IF(F1961="Free","Free",XLOOKUP(D1961,Roster!T:T,Roster!S:S,"",0)))</f>
        <v/>
      </c>
      <c r="C1961" s="313">
        <v>46128.0</v>
      </c>
      <c r="D1961" s="314"/>
      <c r="E1961" s="307" t="str">
        <f t="array" ref="E1961">(XLOOKUP(D1961,Roster!F:F,Roster!B:B,"",0))</f>
        <v/>
      </c>
      <c r="F1961" s="315" t="str">
        <f t="array" ref="F1961">IF(B1961=100,"Free",TEXT(XLOOKUP($D1961,OperationVoice!$A:$A,OperationVoice!V:V,XLOOKUP($D1961,OperationTickets!$A:$A,OperationTickets!V:V,"",0)),"hh:mm"))</f>
        <v/>
      </c>
      <c r="G1961" s="309" t="str">
        <f t="shared" si="3"/>
        <v/>
      </c>
      <c r="H1961" s="316" t="str">
        <f t="array" ref="H1961">XLOOKUP(B1961,Roster!L:L,Roster!N:N,XLOOKUP(D1961,TicketsBreak!A:A,TicketsBreak!E:E,"",0),0)</f>
        <v/>
      </c>
      <c r="I1961" s="316" t="str">
        <f t="array" ref="I1961">XLOOKUP(B1961,Roster!L:L,Roster!O:O,XLOOKUP(D1961,TicketsBreak!A:A,TicketsBreak!F:F,"",0),0)</f>
        <v/>
      </c>
      <c r="J1961" s="316" t="str">
        <f t="array" ref="J1961">XLOOKUP(B1961,Roster!L:L,Roster!P:P,XLOOKUP(D1961,TicketsBreak!A:A,TicketsBreak!G:G,"",0),0)</f>
        <v/>
      </c>
      <c r="K1961" s="310">
        <f t="shared" si="4"/>
        <v>46128</v>
      </c>
      <c r="L1961" s="317" t="str">
        <f t="array" ref="L1961">(XLOOKUP(D1961,Roster!F:F,Roster!D:D,"",0))</f>
        <v/>
      </c>
      <c r="M1961" s="317" t="str">
        <f t="array" ref="M1961">XLOOKUP(D1961,Roster!F:F,Roster!E:E)</f>
        <v>#N/A</v>
      </c>
      <c r="N1961" s="317" t="str">
        <f t="shared" ref="N1961:P1961" si="1991">LEFT(H1961,5)</f>
        <v/>
      </c>
      <c r="O1961" s="317" t="str">
        <f t="shared" si="1991"/>
        <v/>
      </c>
      <c r="P1961" s="317" t="str">
        <f t="shared" si="1991"/>
        <v/>
      </c>
      <c r="Q1961" s="318" t="str">
        <f t="shared" si="1941"/>
        <v/>
      </c>
      <c r="R1961" s="318" t="str">
        <f t="shared" si="1942"/>
        <v/>
      </c>
      <c r="S1961" s="318" t="str">
        <f t="shared" si="8"/>
        <v/>
      </c>
    </row>
    <row r="1962">
      <c r="A1962" s="14" t="str">
        <f t="shared" si="1"/>
        <v>C81846129</v>
      </c>
      <c r="B1962" s="185">
        <f t="array" ref="B1962">IF(F1962="VL","",IF(F1962="Free","Free",XLOOKUP(D1962,Roster!T:T,Roster!S:S,"",0)))</f>
        <v>123</v>
      </c>
      <c r="C1962" s="313">
        <v>46129.0</v>
      </c>
      <c r="D1962" s="314" t="s">
        <v>9</v>
      </c>
      <c r="E1962" s="307" t="str">
        <f t="array" ref="E1962">(XLOOKUP(D1962,Roster!F:F,Roster!B:B,"",0))</f>
        <v>Adriana Moncaleano</v>
      </c>
      <c r="F1962" s="315" t="str">
        <f t="array" ref="F1962">IF(B1962=100,"Free",TEXT(XLOOKUP($D1962,OperationVoice!$A:$A,OperationVoice!W:W,XLOOKUP($D1962,OperationTickets!$A:$A,OperationTickets!W:W,"",0)),"hh:mm"))</f>
        <v>08:00</v>
      </c>
      <c r="G1962" s="309">
        <f t="shared" si="3"/>
        <v>0.7083333333</v>
      </c>
      <c r="H1962" s="316" t="str">
        <f t="array" ref="H1962">XLOOKUP(B1962,Roster!L:L,Roster!N:N,XLOOKUP(D1962,TicketsBreak!A:A,TicketsBreak!E:E,"",0),0)</f>
        <v>09:45 - 10:00 </v>
      </c>
      <c r="I1962" s="316" t="str">
        <f t="array" ref="I1962">XLOOKUP(B1962,Roster!L:L,Roster!O:O,XLOOKUP(D1962,TicketsBreak!A:A,TicketsBreak!F:F,"",0),0)</f>
        <v>12:30 - 13:00</v>
      </c>
      <c r="J1962" s="316" t="str">
        <f t="array" ref="J1962">XLOOKUP(B1962,Roster!L:L,Roster!P:P,XLOOKUP(D1962,TicketsBreak!A:A,TicketsBreak!G:G,"",0),0)</f>
        <v>15:00 - 15:15</v>
      </c>
      <c r="K1962" s="310">
        <f t="shared" si="4"/>
        <v>46129</v>
      </c>
      <c r="L1962" s="317">
        <f t="array" ref="L1962">(XLOOKUP(D1962,Roster!F:F,Roster!D:D,"",0))</f>
        <v>23</v>
      </c>
      <c r="M1962" s="317" t="str">
        <f t="array" ref="M1962">XLOOKUP(D1962,Roster!F:F,Roster!E:E)</f>
        <v>Voice</v>
      </c>
      <c r="N1962" s="317" t="str">
        <f t="shared" ref="N1962:P1962" si="1992">LEFT(H1962,5)</f>
        <v>09:45</v>
      </c>
      <c r="O1962" s="317" t="str">
        <f t="shared" si="1992"/>
        <v>12:30</v>
      </c>
      <c r="P1962" s="317" t="str">
        <f t="shared" si="1992"/>
        <v>15:00</v>
      </c>
      <c r="Q1962" s="318">
        <f t="shared" si="1941"/>
        <v>46129.40625</v>
      </c>
      <c r="R1962" s="318">
        <f t="shared" si="1942"/>
        <v>46129.52083</v>
      </c>
      <c r="S1962" s="318">
        <f t="shared" si="8"/>
        <v>46129.625</v>
      </c>
    </row>
    <row r="1963">
      <c r="A1963" s="14" t="str">
        <f t="shared" si="1"/>
        <v>C110746129</v>
      </c>
      <c r="B1963" s="185">
        <f t="array" ref="B1963">IF(F1963="VL","",IF(F1963="Free","Free",XLOOKUP(D1963,Roster!T:T,Roster!S:S,"",0)))</f>
        <v>153</v>
      </c>
      <c r="C1963" s="313">
        <v>46129.0</v>
      </c>
      <c r="D1963" s="314" t="s">
        <v>10</v>
      </c>
      <c r="E1963" s="307" t="str">
        <f t="array" ref="E1963">(XLOOKUP(D1963,Roster!F:F,Roster!B:B,"",0))</f>
        <v>Alejandro Malave</v>
      </c>
      <c r="F1963" s="315" t="str">
        <f t="array" ref="F1963">IF(B1963=100,"Free",TEXT(XLOOKUP($D1963,OperationVoice!$A:$A,OperationVoice!W:W,XLOOKUP($D1963,OperationTickets!$A:$A,OperationTickets!W:W,"",0)),"hh:mm"))</f>
        <v>11:00</v>
      </c>
      <c r="G1963" s="309">
        <f t="shared" si="3"/>
        <v>0.8333333333</v>
      </c>
      <c r="H1963" s="316" t="str">
        <f t="array" ref="H1963">XLOOKUP(B1963,Roster!L:L,Roster!N:N,XLOOKUP(D1963,TicketsBreak!A:A,TicketsBreak!E:E,"",0),0)</f>
        <v>12:45 - 13:00</v>
      </c>
      <c r="I1963" s="316" t="str">
        <f t="array" ref="I1963">XLOOKUP(B1963,Roster!L:L,Roster!O:O,XLOOKUP(D1963,TicketsBreak!A:A,TicketsBreak!F:F,"",0),0)</f>
        <v>15:00 - 15:30</v>
      </c>
      <c r="J1963" s="316" t="str">
        <f t="array" ref="J1963">XLOOKUP(B1963,Roster!L:L,Roster!P:P,XLOOKUP(D1963,TicketsBreak!A:A,TicketsBreak!G:G,"",0),0)</f>
        <v>17:45 - 18:00</v>
      </c>
      <c r="K1963" s="310">
        <f t="shared" si="4"/>
        <v>46129</v>
      </c>
      <c r="L1963" s="317">
        <f t="array" ref="L1963">(XLOOKUP(D1963,Roster!F:F,Roster!D:D,"",0))</f>
        <v>36</v>
      </c>
      <c r="M1963" s="317" t="str">
        <f t="array" ref="M1963">XLOOKUP(D1963,Roster!F:F,Roster!E:E)</f>
        <v>Voice</v>
      </c>
      <c r="N1963" s="317" t="str">
        <f t="shared" ref="N1963:P1963" si="1993">LEFT(H1963,5)</f>
        <v>12:45</v>
      </c>
      <c r="O1963" s="317" t="str">
        <f t="shared" si="1993"/>
        <v>15:00</v>
      </c>
      <c r="P1963" s="317" t="str">
        <f t="shared" si="1993"/>
        <v>17:45</v>
      </c>
      <c r="Q1963" s="318">
        <f t="shared" si="1941"/>
        <v>46129.53125</v>
      </c>
      <c r="R1963" s="318">
        <f t="shared" si="1942"/>
        <v>46129.625</v>
      </c>
      <c r="S1963" s="318">
        <f t="shared" si="8"/>
        <v>46129.73958</v>
      </c>
    </row>
    <row r="1964">
      <c r="A1964" s="14" t="str">
        <f t="shared" si="1"/>
        <v>C69946129</v>
      </c>
      <c r="B1964" s="185" t="str">
        <f t="array" ref="B1964">IF(F1964="VL","",IF(F1964="Free","Free",XLOOKUP(D1964,Roster!T:T,Roster!S:S,"",0)))</f>
        <v/>
      </c>
      <c r="C1964" s="313">
        <v>46129.0</v>
      </c>
      <c r="D1964" s="314" t="s">
        <v>137</v>
      </c>
      <c r="E1964" s="307" t="str">
        <f t="array" ref="E1964">(XLOOKUP(D1964,Roster!F:F,Roster!B:B,"",0))</f>
        <v>Alexa Arenas</v>
      </c>
      <c r="F1964" s="315" t="str">
        <f t="array" ref="F1964">IF(B1964=100,"Free",TEXT(XLOOKUP($D1964,OperationVoice!$A:$A,OperationVoice!W:W,XLOOKUP($D1964,OperationTickets!$A:$A,OperationTickets!W:W,"",0)),"hh:mm"))</f>
        <v>08:00</v>
      </c>
      <c r="G1964" s="309">
        <f t="shared" si="3"/>
        <v>0.7083333333</v>
      </c>
      <c r="H1964" s="316">
        <f t="array" ref="H1964">XLOOKUP(B1964,Roster!L:L,Roster!N:N,XLOOKUP(D1964,TicketsBreak!A:A,TicketsBreak!E:E,"",0),0)</f>
        <v>0.40625</v>
      </c>
      <c r="I1964" s="316">
        <f t="array" ref="I1964">XLOOKUP(B1964,Roster!L:L,Roster!O:O,XLOOKUP(D1964,TicketsBreak!A:A,TicketsBreak!F:F,"",0),0)</f>
        <v>0.5</v>
      </c>
      <c r="J1964" s="316">
        <f t="array" ref="J1964">XLOOKUP(B1964,Roster!L:L,Roster!P:P,XLOOKUP(D1964,TicketsBreak!A:A,TicketsBreak!G:G,"",0),0)</f>
        <v>0.65625</v>
      </c>
      <c r="K1964" s="310">
        <f t="shared" si="4"/>
        <v>46129</v>
      </c>
      <c r="L1964" s="317">
        <f t="array" ref="L1964">(XLOOKUP(D1964,Roster!F:F,Roster!D:D,"",0))</f>
        <v>5</v>
      </c>
      <c r="M1964" s="317" t="str">
        <f t="array" ref="M1964">XLOOKUP(D1964,Roster!F:F,Roster!E:E)</f>
        <v>Tickets</v>
      </c>
      <c r="N1964" s="317" t="str">
        <f t="shared" ref="N1964:P1964" si="1994">LEFT(H1964,5)</f>
        <v>09:45</v>
      </c>
      <c r="O1964" s="317" t="str">
        <f t="shared" si="1994"/>
        <v>12:00</v>
      </c>
      <c r="P1964" s="317" t="str">
        <f t="shared" si="1994"/>
        <v>15:45</v>
      </c>
      <c r="Q1964" s="318">
        <f t="shared" si="1941"/>
        <v>46129.40625</v>
      </c>
      <c r="R1964" s="318">
        <f t="shared" si="1942"/>
        <v>46129.5</v>
      </c>
      <c r="S1964" s="318">
        <f t="shared" si="8"/>
        <v>46129.65625</v>
      </c>
    </row>
    <row r="1965">
      <c r="A1965" s="14" t="str">
        <f t="shared" si="1"/>
        <v>C157046129</v>
      </c>
      <c r="B1965" s="185">
        <f t="array" ref="B1965">IF(F1965="VL","",IF(F1965="Free","Free",XLOOKUP(D1965,Roster!T:T,Roster!S:S,"",0)))</f>
        <v>123</v>
      </c>
      <c r="C1965" s="313">
        <v>46129.0</v>
      </c>
      <c r="D1965" s="314" t="s">
        <v>11</v>
      </c>
      <c r="E1965" s="307" t="str">
        <f t="array" ref="E1965">(XLOOKUP(D1965,Roster!F:F,Roster!B:B,"",0))</f>
        <v>Alexander Bartoli</v>
      </c>
      <c r="F1965" s="315" t="str">
        <f t="array" ref="F1965">IF(B1965=100,"Free",TEXT(XLOOKUP($D1965,OperationVoice!$A:$A,OperationVoice!W:W,XLOOKUP($D1965,OperationTickets!$A:$A,OperationTickets!W:W,"",0)),"hh:mm"))</f>
        <v>08:00</v>
      </c>
      <c r="G1965" s="309">
        <f t="shared" si="3"/>
        <v>0.7083333333</v>
      </c>
      <c r="H1965" s="316" t="str">
        <f t="array" ref="H1965">XLOOKUP(B1965,Roster!L:L,Roster!N:N,XLOOKUP(D1965,TicketsBreak!A:A,TicketsBreak!E:E,"",0),0)</f>
        <v>09:45 - 10:00 </v>
      </c>
      <c r="I1965" s="316" t="str">
        <f t="array" ref="I1965">XLOOKUP(B1965,Roster!L:L,Roster!O:O,XLOOKUP(D1965,TicketsBreak!A:A,TicketsBreak!F:F,"",0),0)</f>
        <v>12:30 - 13:00</v>
      </c>
      <c r="J1965" s="316" t="str">
        <f t="array" ref="J1965">XLOOKUP(B1965,Roster!L:L,Roster!P:P,XLOOKUP(D1965,TicketsBreak!A:A,TicketsBreak!G:G,"",0),0)</f>
        <v>15:00 - 15:15</v>
      </c>
      <c r="K1965" s="310">
        <f t="shared" si="4"/>
        <v>46129</v>
      </c>
      <c r="L1965" s="317">
        <f t="array" ref="L1965">(XLOOKUP(D1965,Roster!F:F,Roster!D:D,"",0))</f>
        <v>38</v>
      </c>
      <c r="M1965" s="317" t="str">
        <f t="array" ref="M1965">XLOOKUP(D1965,Roster!F:F,Roster!E:E)</f>
        <v>Voice</v>
      </c>
      <c r="N1965" s="317" t="str">
        <f t="shared" ref="N1965:P1965" si="1995">LEFT(H1965,5)</f>
        <v>09:45</v>
      </c>
      <c r="O1965" s="317" t="str">
        <f t="shared" si="1995"/>
        <v>12:30</v>
      </c>
      <c r="P1965" s="317" t="str">
        <f t="shared" si="1995"/>
        <v>15:00</v>
      </c>
      <c r="Q1965" s="318">
        <f t="shared" si="1941"/>
        <v>46129.40625</v>
      </c>
      <c r="R1965" s="318">
        <f t="shared" si="1942"/>
        <v>46129.52083</v>
      </c>
      <c r="S1965" s="318">
        <f t="shared" si="8"/>
        <v>46129.625</v>
      </c>
    </row>
    <row r="1966">
      <c r="A1966" s="14" t="str">
        <f t="shared" si="1"/>
        <v>C93546129</v>
      </c>
      <c r="B1966" s="185" t="str">
        <f t="array" ref="B1966">IF(F1966="VL","",IF(F1966="Free","Free",XLOOKUP(D1966,Roster!T:T,Roster!S:S,"",0)))</f>
        <v/>
      </c>
      <c r="C1966" s="313">
        <v>46129.0</v>
      </c>
      <c r="D1966" s="314" t="s">
        <v>153</v>
      </c>
      <c r="E1966" s="307" t="str">
        <f t="array" ref="E1966">(XLOOKUP(D1966,Roster!F:F,Roster!B:B,"",0))</f>
        <v>Alexis Arias</v>
      </c>
      <c r="F1966" s="315" t="str">
        <f t="array" ref="F1966">IF(B1966=100,"Free",TEXT(XLOOKUP($D1966,OperationVoice!$A:$A,OperationVoice!W:W,XLOOKUP($D1966,OperationTickets!$A:$A,OperationTickets!W:W,"",0)),"hh:mm"))</f>
        <v>07:30</v>
      </c>
      <c r="G1966" s="309">
        <f t="shared" si="3"/>
        <v>0.6875</v>
      </c>
      <c r="H1966" s="316">
        <f t="array" ref="H1966">XLOOKUP(B1966,Roster!L:L,Roster!N:N,XLOOKUP(D1966,TicketsBreak!A:A,TicketsBreak!E:E,"",0),0)</f>
        <v>0.4270833333</v>
      </c>
      <c r="I1966" s="316">
        <f t="array" ref="I1966">XLOOKUP(B1966,Roster!L:L,Roster!O:O,XLOOKUP(D1966,TicketsBreak!A:A,TicketsBreak!F:F,"",0),0)</f>
        <v>0.53125</v>
      </c>
      <c r="J1966" s="316">
        <f t="array" ref="J1966">XLOOKUP(B1966,Roster!L:L,Roster!P:P,XLOOKUP(D1966,TicketsBreak!A:A,TicketsBreak!G:G,"",0),0)</f>
        <v>0.6458333333</v>
      </c>
      <c r="K1966" s="310">
        <f t="shared" si="4"/>
        <v>46129</v>
      </c>
      <c r="L1966" s="317">
        <f t="array" ref="L1966">(XLOOKUP(D1966,Roster!F:F,Roster!D:D,"",0))</f>
        <v>12</v>
      </c>
      <c r="M1966" s="317" t="str">
        <f t="array" ref="M1966">XLOOKUP(D1966,Roster!F:F,Roster!E:E)</f>
        <v>Tickets</v>
      </c>
      <c r="N1966" s="317" t="str">
        <f t="shared" ref="N1966:P1966" si="1996">LEFT(H1966,5)</f>
        <v>10:15</v>
      </c>
      <c r="O1966" s="317" t="str">
        <f t="shared" si="1996"/>
        <v>12:45</v>
      </c>
      <c r="P1966" s="317" t="str">
        <f t="shared" si="1996"/>
        <v>15:30</v>
      </c>
      <c r="Q1966" s="318">
        <f t="shared" si="1941"/>
        <v>46129.42708</v>
      </c>
      <c r="R1966" s="318">
        <f t="shared" si="1942"/>
        <v>46129.53125</v>
      </c>
      <c r="S1966" s="318">
        <f t="shared" si="8"/>
        <v>46129.64583</v>
      </c>
    </row>
    <row r="1967">
      <c r="A1967" s="14" t="str">
        <f t="shared" si="1"/>
        <v>C72746129</v>
      </c>
      <c r="B1967" s="185" t="str">
        <f t="array" ref="B1967">IF(F1967="VL","",IF(F1967="Free","Free",XLOOKUP(D1967,Roster!T:T,Roster!S:S,"",0)))</f>
        <v/>
      </c>
      <c r="C1967" s="313">
        <v>46129.0</v>
      </c>
      <c r="D1967" s="314" t="s">
        <v>154</v>
      </c>
      <c r="E1967" s="307" t="str">
        <f t="array" ref="E1967">(XLOOKUP(D1967,Roster!F:F,Roster!B:B,"",0))</f>
        <v>Ana Moreno</v>
      </c>
      <c r="F1967" s="315" t="str">
        <f t="array" ref="F1967">IF(B1967=100,"Free",TEXT(XLOOKUP($D1967,OperationVoice!$A:$A,OperationVoice!W:W,XLOOKUP($D1967,OperationTickets!$A:$A,OperationTickets!W:W,"",0)),"hh:mm"))</f>
        <v>08:00</v>
      </c>
      <c r="G1967" s="309">
        <f t="shared" si="3"/>
        <v>0.7083333333</v>
      </c>
      <c r="H1967" s="316">
        <f t="array" ref="H1967">XLOOKUP(B1967,Roster!L:L,Roster!N:N,XLOOKUP(D1967,TicketsBreak!A:A,TicketsBreak!E:E,"",0),0)</f>
        <v>0.4166666667</v>
      </c>
      <c r="I1967" s="316">
        <f t="array" ref="I1967">XLOOKUP(B1967,Roster!L:L,Roster!O:O,XLOOKUP(D1967,TicketsBreak!A:A,TicketsBreak!F:F,"",0),0)</f>
        <v>0.5208333333</v>
      </c>
      <c r="J1967" s="316">
        <f t="array" ref="J1967">XLOOKUP(B1967,Roster!L:L,Roster!P:P,XLOOKUP(D1967,TicketsBreak!A:A,TicketsBreak!G:G,"",0),0)</f>
        <v>0.65625</v>
      </c>
      <c r="K1967" s="310">
        <f t="shared" si="4"/>
        <v>46129</v>
      </c>
      <c r="L1967" s="317">
        <f t="array" ref="L1967">(XLOOKUP(D1967,Roster!F:F,Roster!D:D,"",0))</f>
        <v>7</v>
      </c>
      <c r="M1967" s="317" t="str">
        <f t="array" ref="M1967">XLOOKUP(D1967,Roster!F:F,Roster!E:E)</f>
        <v>Tickets</v>
      </c>
      <c r="N1967" s="317" t="str">
        <f t="shared" ref="N1967:P1967" si="1997">LEFT(H1967,5)</f>
        <v>10:00</v>
      </c>
      <c r="O1967" s="317" t="str">
        <f t="shared" si="1997"/>
        <v>12:30</v>
      </c>
      <c r="P1967" s="317" t="str">
        <f t="shared" si="1997"/>
        <v>15:45</v>
      </c>
      <c r="Q1967" s="318">
        <f t="shared" si="1941"/>
        <v>46129.41667</v>
      </c>
      <c r="R1967" s="318">
        <f t="shared" si="1942"/>
        <v>46129.52083</v>
      </c>
      <c r="S1967" s="318">
        <f t="shared" si="8"/>
        <v>46129.65625</v>
      </c>
    </row>
    <row r="1968">
      <c r="A1968" s="14" t="str">
        <f t="shared" si="1"/>
        <v>C157446129</v>
      </c>
      <c r="B1968" s="185">
        <f t="array" ref="B1968">IF(F1968="VL","",IF(F1968="Free","Free",XLOOKUP(D1968,Roster!T:T,Roster!S:S,"",0)))</f>
        <v>124</v>
      </c>
      <c r="C1968" s="313">
        <v>46129.0</v>
      </c>
      <c r="D1968" s="314" t="s">
        <v>12</v>
      </c>
      <c r="E1968" s="307" t="str">
        <f t="array" ref="E1968">(XLOOKUP(D1968,Roster!F:F,Roster!B:B,"",0))</f>
        <v>Ana Quintero</v>
      </c>
      <c r="F1968" s="315" t="str">
        <f t="array" ref="F1968">IF(B1968=100,"Free",TEXT(XLOOKUP($D1968,OperationVoice!$A:$A,OperationVoice!W:W,XLOOKUP($D1968,OperationTickets!$A:$A,OperationTickets!W:W,"",0)),"hh:mm"))</f>
        <v>08:00</v>
      </c>
      <c r="G1968" s="309">
        <f t="shared" si="3"/>
        <v>0.7083333333</v>
      </c>
      <c r="H1968" s="316" t="str">
        <f t="array" ref="H1968">XLOOKUP(B1968,Roster!L:L,Roster!N:N,XLOOKUP(D1968,TicketsBreak!A:A,TicketsBreak!E:E,"",0),0)</f>
        <v>10:00 - 10:15</v>
      </c>
      <c r="I1968" s="316" t="str">
        <f t="array" ref="I1968">XLOOKUP(B1968,Roster!L:L,Roster!O:O,XLOOKUP(D1968,TicketsBreak!A:A,TicketsBreak!F:F,"",0),0)</f>
        <v>13:00 - 13:30</v>
      </c>
      <c r="J1968" s="316" t="str">
        <f t="array" ref="J1968">XLOOKUP(B1968,Roster!L:L,Roster!P:P,XLOOKUP(D1968,TicketsBreak!A:A,TicketsBreak!G:G,"",0),0)</f>
        <v>15:30 - 15:45</v>
      </c>
      <c r="K1968" s="310">
        <f t="shared" si="4"/>
        <v>46129</v>
      </c>
      <c r="L1968" s="317">
        <f t="array" ref="L1968">(XLOOKUP(D1968,Roster!F:F,Roster!D:D,"",0))</f>
        <v>38</v>
      </c>
      <c r="M1968" s="317" t="str">
        <f t="array" ref="M1968">XLOOKUP(D1968,Roster!F:F,Roster!E:E)</f>
        <v>Voice</v>
      </c>
      <c r="N1968" s="317" t="str">
        <f t="shared" ref="N1968:P1968" si="1998">LEFT(H1968,5)</f>
        <v>10:00</v>
      </c>
      <c r="O1968" s="317" t="str">
        <f t="shared" si="1998"/>
        <v>13:00</v>
      </c>
      <c r="P1968" s="317" t="str">
        <f t="shared" si="1998"/>
        <v>15:30</v>
      </c>
      <c r="Q1968" s="318">
        <f t="shared" si="1941"/>
        <v>46129.41667</v>
      </c>
      <c r="R1968" s="318">
        <f t="shared" si="1942"/>
        <v>46129.54167</v>
      </c>
      <c r="S1968" s="318">
        <f t="shared" si="8"/>
        <v>46129.64583</v>
      </c>
    </row>
    <row r="1969">
      <c r="A1969" s="14" t="str">
        <f t="shared" si="1"/>
        <v>C46946129</v>
      </c>
      <c r="B1969" s="185" t="str">
        <f t="array" ref="B1969">IF(F1969="VL","",IF(F1969="Free","Free",XLOOKUP(D1969,Roster!T:T,Roster!S:S,"",0)))</f>
        <v/>
      </c>
      <c r="C1969" s="313">
        <v>46129.0</v>
      </c>
      <c r="D1969" s="314" t="s">
        <v>171</v>
      </c>
      <c r="E1969" s="307" t="str">
        <f t="array" ref="E1969">(XLOOKUP(D1969,Roster!F:F,Roster!B:B,"",0))</f>
        <v>Ana Ruiz</v>
      </c>
      <c r="F1969" s="315" t="str">
        <f t="array" ref="F1969">IF(B1969=100,"Free",TEXT(XLOOKUP($D1969,OperationVoice!$A:$A,OperationVoice!W:W,XLOOKUP($D1969,OperationTickets!$A:$A,OperationTickets!W:W,"",0)),"hh:mm"))</f>
        <v>08:00</v>
      </c>
      <c r="G1969" s="309">
        <f t="shared" si="3"/>
        <v>0.7083333333</v>
      </c>
      <c r="H1969" s="316">
        <f t="array" ref="H1969">XLOOKUP(B1969,Roster!L:L,Roster!N:N,XLOOKUP(D1969,TicketsBreak!A:A,TicketsBreak!E:E,"",0),0)</f>
        <v>0.3854166667</v>
      </c>
      <c r="I1969" s="316">
        <f t="array" ref="I1969">XLOOKUP(B1969,Roster!L:L,Roster!O:O,XLOOKUP(D1969,TicketsBreak!A:A,TicketsBreak!F:F,"",0),0)</f>
        <v>0.5</v>
      </c>
      <c r="J1969" s="316">
        <f t="array" ref="J1969">XLOOKUP(B1969,Roster!L:L,Roster!P:P,XLOOKUP(D1969,TicketsBreak!A:A,TicketsBreak!G:G,"",0),0)</f>
        <v>0.6041666667</v>
      </c>
      <c r="K1969" s="310">
        <f t="shared" si="4"/>
        <v>46129</v>
      </c>
      <c r="L1969" s="317">
        <f t="array" ref="L1969">(XLOOKUP(D1969,Roster!F:F,Roster!D:D,"",0))</f>
        <v>3</v>
      </c>
      <c r="M1969" s="317" t="str">
        <f t="array" ref="M1969">XLOOKUP(D1969,Roster!F:F,Roster!E:E)</f>
        <v>Tickets</v>
      </c>
      <c r="N1969" s="317" t="str">
        <f t="shared" ref="N1969:P1969" si="1999">LEFT(H1969,5)</f>
        <v>09:15</v>
      </c>
      <c r="O1969" s="317" t="str">
        <f t="shared" si="1999"/>
        <v>12:00</v>
      </c>
      <c r="P1969" s="317" t="str">
        <f t="shared" si="1999"/>
        <v>14:30</v>
      </c>
      <c r="Q1969" s="318">
        <f t="shared" si="1941"/>
        <v>46129.38542</v>
      </c>
      <c r="R1969" s="318">
        <f t="shared" si="1942"/>
        <v>46129.5</v>
      </c>
      <c r="S1969" s="318">
        <f t="shared" si="8"/>
        <v>46129.60417</v>
      </c>
    </row>
    <row r="1970">
      <c r="A1970" s="14" t="str">
        <f t="shared" si="1"/>
        <v>C155446129</v>
      </c>
      <c r="B1970" s="185">
        <f t="array" ref="B1970">IF(F1970="VL","",IF(F1970="Free","Free",XLOOKUP(D1970,Roster!T:T,Roster!S:S,"",0)))</f>
        <v>131</v>
      </c>
      <c r="C1970" s="313">
        <v>46129.0</v>
      </c>
      <c r="D1970" s="314" t="s">
        <v>13</v>
      </c>
      <c r="E1970" s="307" t="str">
        <f t="array" ref="E1970">(XLOOKUP(D1970,Roster!F:F,Roster!B:B,"",0))</f>
        <v>Andres Lopez</v>
      </c>
      <c r="F1970" s="315" t="str">
        <f t="array" ref="F1970">IF(B1970=100,"Free",TEXT(XLOOKUP($D1970,OperationVoice!$A:$A,OperationVoice!W:W,XLOOKUP($D1970,OperationTickets!$A:$A,OperationTickets!W:W,"",0)),"hh:mm"))</f>
        <v>09:00</v>
      </c>
      <c r="G1970" s="309">
        <f t="shared" si="3"/>
        <v>0.75</v>
      </c>
      <c r="H1970" s="316" t="str">
        <f t="array" ref="H1970">XLOOKUP(B1970,Roster!L:L,Roster!N:N,XLOOKUP(D1970,TicketsBreak!A:A,TicketsBreak!E:E,"",0),0)</f>
        <v>10:15 - 10:30</v>
      </c>
      <c r="I1970" s="316" t="str">
        <f t="array" ref="I1970">XLOOKUP(B1970,Roster!L:L,Roster!O:O,XLOOKUP(D1970,TicketsBreak!A:A,TicketsBreak!F:F,"",0),0)</f>
        <v>12:30 - 13:00</v>
      </c>
      <c r="J1970" s="316" t="str">
        <f t="array" ref="J1970">XLOOKUP(B1970,Roster!L:L,Roster!P:P,XLOOKUP(D1970,TicketsBreak!A:A,TicketsBreak!G:G,"",0),0)</f>
        <v>15:15 - 15:30</v>
      </c>
      <c r="K1970" s="310">
        <f t="shared" si="4"/>
        <v>46129</v>
      </c>
      <c r="L1970" s="317">
        <f t="array" ref="L1970">(XLOOKUP(D1970,Roster!F:F,Roster!D:D,"",0))</f>
        <v>37</v>
      </c>
      <c r="M1970" s="317" t="str">
        <f t="array" ref="M1970">XLOOKUP(D1970,Roster!F:F,Roster!E:E)</f>
        <v>Voice</v>
      </c>
      <c r="N1970" s="317" t="str">
        <f t="shared" ref="N1970:P1970" si="2000">LEFT(H1970,5)</f>
        <v>10:15</v>
      </c>
      <c r="O1970" s="317" t="str">
        <f t="shared" si="2000"/>
        <v>12:30</v>
      </c>
      <c r="P1970" s="317" t="str">
        <f t="shared" si="2000"/>
        <v>15:15</v>
      </c>
      <c r="Q1970" s="318">
        <f t="shared" si="1941"/>
        <v>46129.42708</v>
      </c>
      <c r="R1970" s="318">
        <f t="shared" si="1942"/>
        <v>46129.52083</v>
      </c>
      <c r="S1970" s="318">
        <f t="shared" si="8"/>
        <v>46129.63542</v>
      </c>
    </row>
    <row r="1971">
      <c r="A1971" s="14" t="str">
        <f t="shared" si="1"/>
        <v>C156746129</v>
      </c>
      <c r="B1971" s="185" t="str">
        <f t="array" ref="B1971">IF(F1971="VL","",IF(F1971="Free","Free",XLOOKUP(D1971,Roster!T:T,Roster!S:S,"",0)))</f>
        <v>Free</v>
      </c>
      <c r="C1971" s="313">
        <v>46129.0</v>
      </c>
      <c r="D1971" s="314" t="s">
        <v>14</v>
      </c>
      <c r="E1971" s="307" t="str">
        <f t="array" ref="E1971">(XLOOKUP(D1971,Roster!F:F,Roster!B:B,"",0))</f>
        <v>Andres Salazar</v>
      </c>
      <c r="F1971" s="315" t="str">
        <f t="array" ref="F1971">IF(B1971=100,"Free",TEXT(XLOOKUP($D1971,OperationVoice!$A:$A,OperationVoice!W:W,XLOOKUP($D1971,OperationTickets!$A:$A,OperationTickets!W:W,"",0)),"hh:mm"))</f>
        <v>Free</v>
      </c>
      <c r="G1971" s="309" t="str">
        <f t="shared" si="3"/>
        <v>Free</v>
      </c>
      <c r="H1971" s="316" t="str">
        <f t="array" ref="H1971">XLOOKUP(B1971,Roster!L:L,Roster!N:N,XLOOKUP(D1971,TicketsBreak!A:A,TicketsBreak!E:E,"",0),0)</f>
        <v/>
      </c>
      <c r="I1971" s="316" t="str">
        <f t="array" ref="I1971">XLOOKUP(B1971,Roster!L:L,Roster!O:O,XLOOKUP(D1971,TicketsBreak!A:A,TicketsBreak!F:F,"",0),0)</f>
        <v/>
      </c>
      <c r="J1971" s="316" t="str">
        <f t="array" ref="J1971">XLOOKUP(B1971,Roster!L:L,Roster!P:P,XLOOKUP(D1971,TicketsBreak!A:A,TicketsBreak!G:G,"",0),0)</f>
        <v/>
      </c>
      <c r="K1971" s="310">
        <f t="shared" si="4"/>
        <v>46129</v>
      </c>
      <c r="L1971" s="317">
        <f t="array" ref="L1971">(XLOOKUP(D1971,Roster!F:F,Roster!D:D,"",0))</f>
        <v>38</v>
      </c>
      <c r="M1971" s="317" t="str">
        <f t="array" ref="M1971">XLOOKUP(D1971,Roster!F:F,Roster!E:E)</f>
        <v>Voice</v>
      </c>
      <c r="N1971" s="317" t="str">
        <f t="shared" ref="N1971:P1971" si="2001">LEFT(H1971,5)</f>
        <v/>
      </c>
      <c r="O1971" s="317" t="str">
        <f t="shared" si="2001"/>
        <v/>
      </c>
      <c r="P1971" s="317" t="str">
        <f t="shared" si="2001"/>
        <v/>
      </c>
      <c r="Q1971" s="318" t="str">
        <f t="shared" si="1941"/>
        <v/>
      </c>
      <c r="R1971" s="318" t="str">
        <f t="shared" si="1942"/>
        <v/>
      </c>
      <c r="S1971" s="318" t="str">
        <f t="shared" si="8"/>
        <v/>
      </c>
    </row>
    <row r="1972">
      <c r="A1972" s="14" t="str">
        <f t="shared" si="1"/>
        <v>C134846129</v>
      </c>
      <c r="B1972" s="185">
        <f t="array" ref="B1972">IF(F1972="VL","",IF(F1972="Free","Free",XLOOKUP(D1972,Roster!T:T,Roster!S:S,"",0)))</f>
        <v>124</v>
      </c>
      <c r="C1972" s="313">
        <v>46129.0</v>
      </c>
      <c r="D1972" s="314" t="s">
        <v>15</v>
      </c>
      <c r="E1972" s="307" t="str">
        <f t="array" ref="E1972">(XLOOKUP(D1972,Roster!F:F,Roster!B:B,"",0))</f>
        <v>Angelo Zapata</v>
      </c>
      <c r="F1972" s="315" t="str">
        <f t="array" ref="F1972">IF(B1972=100,"Free",TEXT(XLOOKUP($D1972,OperationVoice!$A:$A,OperationVoice!W:W,XLOOKUP($D1972,OperationTickets!$A:$A,OperationTickets!W:W,"",0)),"hh:mm"))</f>
        <v>08:00</v>
      </c>
      <c r="G1972" s="309">
        <f t="shared" si="3"/>
        <v>0.7083333333</v>
      </c>
      <c r="H1972" s="316" t="str">
        <f t="array" ref="H1972">XLOOKUP(B1972,Roster!L:L,Roster!N:N,XLOOKUP(D1972,TicketsBreak!A:A,TicketsBreak!E:E,"",0),0)</f>
        <v>10:00 - 10:15</v>
      </c>
      <c r="I1972" s="316" t="str">
        <f t="array" ref="I1972">XLOOKUP(B1972,Roster!L:L,Roster!O:O,XLOOKUP(D1972,TicketsBreak!A:A,TicketsBreak!F:F,"",0),0)</f>
        <v>13:00 - 13:30</v>
      </c>
      <c r="J1972" s="316" t="str">
        <f t="array" ref="J1972">XLOOKUP(B1972,Roster!L:L,Roster!P:P,XLOOKUP(D1972,TicketsBreak!A:A,TicketsBreak!G:G,"",0),0)</f>
        <v>15:30 - 15:45</v>
      </c>
      <c r="K1972" s="310">
        <f t="shared" si="4"/>
        <v>46129</v>
      </c>
      <c r="L1972" s="317">
        <f t="array" ref="L1972">(XLOOKUP(D1972,Roster!F:F,Roster!D:D,"",0))</f>
        <v>30</v>
      </c>
      <c r="M1972" s="317" t="str">
        <f t="array" ref="M1972">XLOOKUP(D1972,Roster!F:F,Roster!E:E)</f>
        <v>Voice</v>
      </c>
      <c r="N1972" s="317" t="str">
        <f t="shared" ref="N1972:P1972" si="2002">LEFT(H1972,5)</f>
        <v>10:00</v>
      </c>
      <c r="O1972" s="317" t="str">
        <f t="shared" si="2002"/>
        <v>13:00</v>
      </c>
      <c r="P1972" s="317" t="str">
        <f t="shared" si="2002"/>
        <v>15:30</v>
      </c>
      <c r="Q1972" s="318">
        <f t="shared" si="1941"/>
        <v>46129.41667</v>
      </c>
      <c r="R1972" s="318">
        <f t="shared" si="1942"/>
        <v>46129.54167</v>
      </c>
      <c r="S1972" s="318">
        <f t="shared" si="8"/>
        <v>46129.64583</v>
      </c>
    </row>
    <row r="1973">
      <c r="A1973" s="14" t="str">
        <f t="shared" si="1"/>
        <v>C116746129</v>
      </c>
      <c r="B1973" s="185" t="str">
        <f t="array" ref="B1973">IF(F1973="VL","",IF(F1973="Free","Free",XLOOKUP(D1973,Roster!T:T,Roster!S:S,"",0)))</f>
        <v/>
      </c>
      <c r="C1973" s="313">
        <v>46129.0</v>
      </c>
      <c r="D1973" s="314" t="s">
        <v>172</v>
      </c>
      <c r="E1973" s="307" t="str">
        <f t="array" ref="E1973">(XLOOKUP(D1973,Roster!F:F,Roster!B:B,"",0))</f>
        <v>Angie Rua</v>
      </c>
      <c r="F1973" s="315" t="str">
        <f t="array" ref="F1973">IF(B1973=100,"Free",TEXT(XLOOKUP($D1973,OperationVoice!$A:$A,OperationVoice!W:W,XLOOKUP($D1973,OperationTickets!$A:$A,OperationTickets!W:W,"",0)),"hh:mm"))</f>
        <v>07:00</v>
      </c>
      <c r="G1973" s="309">
        <f t="shared" si="3"/>
        <v>0.6666666667</v>
      </c>
      <c r="H1973" s="316" t="str">
        <f t="array" ref="H1973">XLOOKUP(B1973,Roster!L:L,Roster!N:N,XLOOKUP(D1973,TicketsBreak!A:A,TicketsBreak!E:E,"",0),0)</f>
        <v/>
      </c>
      <c r="I1973" s="316" t="str">
        <f t="array" ref="I1973">XLOOKUP(B1973,Roster!L:L,Roster!O:O,XLOOKUP(D1973,TicketsBreak!A:A,TicketsBreak!F:F,"",0),0)</f>
        <v/>
      </c>
      <c r="J1973" s="316" t="str">
        <f t="array" ref="J1973">XLOOKUP(B1973,Roster!L:L,Roster!P:P,XLOOKUP(D1973,TicketsBreak!A:A,TicketsBreak!G:G,"",0),0)</f>
        <v/>
      </c>
      <c r="K1973" s="310">
        <f t="shared" si="4"/>
        <v>46129</v>
      </c>
      <c r="L1973" s="317">
        <f t="array" ref="L1973">(XLOOKUP(D1973,Roster!F:F,Roster!D:D,"",0))</f>
        <v>24</v>
      </c>
      <c r="M1973" s="317" t="str">
        <f t="array" ref="M1973">XLOOKUP(D1973,Roster!F:F,Roster!E:E)</f>
        <v>Tickets</v>
      </c>
      <c r="N1973" s="317" t="str">
        <f t="shared" ref="N1973:P1973" si="2003">LEFT(H1973,5)</f>
        <v/>
      </c>
      <c r="O1973" s="317" t="str">
        <f t="shared" si="2003"/>
        <v/>
      </c>
      <c r="P1973" s="317" t="str">
        <f t="shared" si="2003"/>
        <v/>
      </c>
      <c r="Q1973" s="318" t="str">
        <f t="shared" si="1941"/>
        <v/>
      </c>
      <c r="R1973" s="318" t="str">
        <f t="shared" si="1942"/>
        <v/>
      </c>
      <c r="S1973" s="318" t="str">
        <f t="shared" si="8"/>
        <v/>
      </c>
    </row>
    <row r="1974">
      <c r="A1974" s="14" t="str">
        <f t="shared" si="1"/>
        <v>C157946129</v>
      </c>
      <c r="B1974" s="185">
        <f t="array" ref="B1974">IF(F1974="VL","",IF(F1974="Free","Free",XLOOKUP(D1974,Roster!T:T,Roster!S:S,"",0)))</f>
        <v>126</v>
      </c>
      <c r="C1974" s="313">
        <v>46129.0</v>
      </c>
      <c r="D1974" s="314" t="s">
        <v>16</v>
      </c>
      <c r="E1974" s="307" t="str">
        <f t="array" ref="E1974">(XLOOKUP(D1974,Roster!F:F,Roster!B:B,"",0))</f>
        <v>Anibal Munoz</v>
      </c>
      <c r="F1974" s="315" t="str">
        <f t="array" ref="F1974">IF(B1974=100,"Free",TEXT(XLOOKUP($D1974,OperationVoice!$A:$A,OperationVoice!W:W,XLOOKUP($D1974,OperationTickets!$A:$A,OperationTickets!W:W,"",0)),"hh:mm"))</f>
        <v>08:00</v>
      </c>
      <c r="G1974" s="309">
        <f t="shared" si="3"/>
        <v>0.7083333333</v>
      </c>
      <c r="H1974" s="316" t="str">
        <f t="array" ref="H1974">XLOOKUP(B1974,Roster!L:L,Roster!N:N,XLOOKUP(D1974,TicketsBreak!A:A,TicketsBreak!E:E,"",0),0)</f>
        <v>10:45 - 11:00</v>
      </c>
      <c r="I1974" s="316" t="str">
        <f t="array" ref="I1974">XLOOKUP(B1974,Roster!L:L,Roster!O:O,XLOOKUP(D1974,TicketsBreak!A:A,TicketsBreak!F:F,"",0),0)</f>
        <v>14:00 - 14:30</v>
      </c>
      <c r="J1974" s="316" t="str">
        <f t="array" ref="J1974">XLOOKUP(B1974,Roster!L:L,Roster!P:P,XLOOKUP(D1974,TicketsBreak!A:A,TicketsBreak!G:G,"",0),0)</f>
        <v>15:45 - 16:00</v>
      </c>
      <c r="K1974" s="310">
        <f t="shared" si="4"/>
        <v>46129</v>
      </c>
      <c r="L1974" s="317">
        <f t="array" ref="L1974">(XLOOKUP(D1974,Roster!F:F,Roster!D:D,"",0))</f>
        <v>38</v>
      </c>
      <c r="M1974" s="317" t="str">
        <f t="array" ref="M1974">XLOOKUP(D1974,Roster!F:F,Roster!E:E)</f>
        <v>Voice</v>
      </c>
      <c r="N1974" s="317" t="str">
        <f t="shared" ref="N1974:P1974" si="2004">LEFT(H1974,5)</f>
        <v>10:45</v>
      </c>
      <c r="O1974" s="317" t="str">
        <f t="shared" si="2004"/>
        <v>14:00</v>
      </c>
      <c r="P1974" s="317" t="str">
        <f t="shared" si="2004"/>
        <v>15:45</v>
      </c>
      <c r="Q1974" s="318">
        <f t="shared" si="1941"/>
        <v>46129.44792</v>
      </c>
      <c r="R1974" s="318">
        <f t="shared" si="1942"/>
        <v>46129.58333</v>
      </c>
      <c r="S1974" s="318">
        <f t="shared" si="8"/>
        <v>46129.65625</v>
      </c>
    </row>
    <row r="1975">
      <c r="A1975" s="14" t="str">
        <f t="shared" si="1"/>
        <v>C08046129</v>
      </c>
      <c r="B1975" s="185" t="str">
        <f t="array" ref="B1975">IF(F1975="VL","",IF(F1975="Free","Free",XLOOKUP(D1975,Roster!T:T,Roster!S:S,"",0)))</f>
        <v/>
      </c>
      <c r="C1975" s="313">
        <v>46129.0</v>
      </c>
      <c r="D1975" s="314" t="s">
        <v>138</v>
      </c>
      <c r="E1975" s="307" t="str">
        <f t="array" ref="E1975">(XLOOKUP(D1975,Roster!F:F,Roster!B:B,"",0))</f>
        <v>Arturo Padilla</v>
      </c>
      <c r="F1975" s="315" t="str">
        <f t="array" ref="F1975">IF(B1975=100,"Free",TEXT(XLOOKUP($D1975,OperationVoice!$A:$A,OperationVoice!W:W,XLOOKUP($D1975,OperationTickets!$A:$A,OperationTickets!W:W,"",0)),"hh:mm"))</f>
        <v>08:00</v>
      </c>
      <c r="G1975" s="309">
        <f t="shared" si="3"/>
        <v>0.7083333333</v>
      </c>
      <c r="H1975" s="316">
        <f t="array" ref="H1975">XLOOKUP(B1975,Roster!L:L,Roster!N:N,XLOOKUP(D1975,TicketsBreak!A:A,TicketsBreak!E:E,"",0),0)</f>
        <v>0.375</v>
      </c>
      <c r="I1975" s="316">
        <f t="array" ref="I1975">XLOOKUP(B1975,Roster!L:L,Roster!O:O,XLOOKUP(D1975,TicketsBreak!A:A,TicketsBreak!F:F,"",0),0)</f>
        <v>0.5</v>
      </c>
      <c r="J1975" s="316">
        <f t="array" ref="J1975">XLOOKUP(B1975,Roster!L:L,Roster!P:P,XLOOKUP(D1975,TicketsBreak!A:A,TicketsBreak!G:G,"",0),0)</f>
        <v>0.6458333333</v>
      </c>
      <c r="K1975" s="310">
        <f t="shared" si="4"/>
        <v>46129</v>
      </c>
      <c r="L1975" s="317">
        <f t="array" ref="L1975">(XLOOKUP(D1975,Roster!F:F,Roster!D:D,"",0))</f>
        <v>1</v>
      </c>
      <c r="M1975" s="317" t="str">
        <f t="array" ref="M1975">XLOOKUP(D1975,Roster!F:F,Roster!E:E)</f>
        <v>Tickets</v>
      </c>
      <c r="N1975" s="317" t="str">
        <f t="shared" ref="N1975:P1975" si="2005">LEFT(H1975,5)</f>
        <v>09:00</v>
      </c>
      <c r="O1975" s="317" t="str">
        <f t="shared" si="2005"/>
        <v>12:00</v>
      </c>
      <c r="P1975" s="317" t="str">
        <f t="shared" si="2005"/>
        <v>15:30</v>
      </c>
      <c r="Q1975" s="318">
        <f t="shared" si="1941"/>
        <v>46129.375</v>
      </c>
      <c r="R1975" s="318">
        <f t="shared" si="1942"/>
        <v>46129.5</v>
      </c>
      <c r="S1975" s="318">
        <f t="shared" si="8"/>
        <v>46129.64583</v>
      </c>
    </row>
    <row r="1976">
      <c r="A1976" s="14" t="str">
        <f t="shared" si="1"/>
        <v>C150446129</v>
      </c>
      <c r="B1976" s="185">
        <f t="array" ref="B1976">IF(F1976="VL","",IF(F1976="Free","Free",XLOOKUP(D1976,Roster!T:T,Roster!S:S,"",0)))</f>
        <v>123</v>
      </c>
      <c r="C1976" s="313">
        <v>46129.0</v>
      </c>
      <c r="D1976" s="314" t="s">
        <v>155</v>
      </c>
      <c r="E1976" s="307" t="str">
        <f t="array" ref="E1976">(XLOOKUP(D1976,Roster!F:F,Roster!B:B,"",0))</f>
        <v>Beatriz Montanez</v>
      </c>
      <c r="F1976" s="315" t="str">
        <f t="array" ref="F1976">IF(B1976=100,"Free",TEXT(XLOOKUP($D1976,OperationVoice!$A:$A,OperationVoice!W:W,XLOOKUP($D1976,OperationTickets!$A:$A,OperationTickets!W:W,"",0)),"hh:mm"))</f>
        <v>08:00</v>
      </c>
      <c r="G1976" s="309">
        <f t="shared" si="3"/>
        <v>0.7083333333</v>
      </c>
      <c r="H1976" s="316" t="str">
        <f t="array" ref="H1976">XLOOKUP(B1976,Roster!L:L,Roster!N:N,XLOOKUP(D1976,TicketsBreak!A:A,TicketsBreak!E:E,"",0),0)</f>
        <v>09:45 - 10:00 </v>
      </c>
      <c r="I1976" s="316" t="str">
        <f t="array" ref="I1976">XLOOKUP(B1976,Roster!L:L,Roster!O:O,XLOOKUP(D1976,TicketsBreak!A:A,TicketsBreak!F:F,"",0),0)</f>
        <v>12:30 - 13:00</v>
      </c>
      <c r="J1976" s="316" t="str">
        <f t="array" ref="J1976">XLOOKUP(B1976,Roster!L:L,Roster!P:P,XLOOKUP(D1976,TicketsBreak!A:A,TicketsBreak!G:G,"",0),0)</f>
        <v>15:00 - 15:15</v>
      </c>
      <c r="K1976" s="310">
        <f t="shared" si="4"/>
        <v>46129</v>
      </c>
      <c r="L1976" s="317">
        <f t="array" ref="L1976">(XLOOKUP(D1976,Roster!F:F,Roster!D:D,"",0))</f>
        <v>35</v>
      </c>
      <c r="M1976" s="317" t="str">
        <f t="array" ref="M1976">XLOOKUP(D1976,Roster!F:F,Roster!E:E)</f>
        <v>Tickets</v>
      </c>
      <c r="N1976" s="317" t="str">
        <f t="shared" ref="N1976:P1976" si="2006">LEFT(H1976,5)</f>
        <v>09:45</v>
      </c>
      <c r="O1976" s="317" t="str">
        <f t="shared" si="2006"/>
        <v>12:30</v>
      </c>
      <c r="P1976" s="317" t="str">
        <f t="shared" si="2006"/>
        <v>15:00</v>
      </c>
      <c r="Q1976" s="318">
        <f t="shared" si="1941"/>
        <v>46129.40625</v>
      </c>
      <c r="R1976" s="318">
        <f t="shared" si="1942"/>
        <v>46129.52083</v>
      </c>
      <c r="S1976" s="318">
        <f t="shared" si="8"/>
        <v>46129.625</v>
      </c>
    </row>
    <row r="1977">
      <c r="A1977" s="14" t="str">
        <f t="shared" si="1"/>
        <v>C107746129</v>
      </c>
      <c r="B1977" s="185">
        <f t="array" ref="B1977">IF(F1977="VL","",IF(F1977="Free","Free",XLOOKUP(D1977,Roster!T:T,Roster!S:S,"",0)))</f>
        <v>125</v>
      </c>
      <c r="C1977" s="313">
        <v>46129.0</v>
      </c>
      <c r="D1977" s="314" t="s">
        <v>17</v>
      </c>
      <c r="E1977" s="307" t="str">
        <f t="array" ref="E1977">(XLOOKUP(D1977,Roster!F:F,Roster!B:B,"",0))</f>
        <v>Brahian Prado</v>
      </c>
      <c r="F1977" s="315" t="str">
        <f t="array" ref="F1977">IF(B1977=100,"Free",TEXT(XLOOKUP($D1977,OperationVoice!$A:$A,OperationVoice!W:W,XLOOKUP($D1977,OperationTickets!$A:$A,OperationTickets!W:W,"",0)),"hh:mm"))</f>
        <v>08:00</v>
      </c>
      <c r="G1977" s="309">
        <f t="shared" si="3"/>
        <v>0.7083333333</v>
      </c>
      <c r="H1977" s="316" t="str">
        <f t="array" ref="H1977">XLOOKUP(B1977,Roster!L:L,Roster!N:N,XLOOKUP(D1977,TicketsBreak!A:A,TicketsBreak!E:E,"",0),0)</f>
        <v>10:30 - 10:45</v>
      </c>
      <c r="I1977" s="316" t="str">
        <f t="array" ref="I1977">XLOOKUP(B1977,Roster!L:L,Roster!O:O,XLOOKUP(D1977,TicketsBreak!A:A,TicketsBreak!F:F,"",0),0)</f>
        <v>13:30 - 14:00</v>
      </c>
      <c r="J1977" s="316" t="str">
        <f t="array" ref="J1977">XLOOKUP(B1977,Roster!L:L,Roster!P:P,XLOOKUP(D1977,TicketsBreak!A:A,TicketsBreak!G:G,"",0),0)</f>
        <v>15:45 - 16:00</v>
      </c>
      <c r="K1977" s="310">
        <f t="shared" si="4"/>
        <v>46129</v>
      </c>
      <c r="L1977" s="317">
        <f t="array" ref="L1977">(XLOOKUP(D1977,Roster!F:F,Roster!D:D,"",0))</f>
        <v>18</v>
      </c>
      <c r="M1977" s="317" t="str">
        <f t="array" ref="M1977">XLOOKUP(D1977,Roster!F:F,Roster!E:E)</f>
        <v>Voice</v>
      </c>
      <c r="N1977" s="317" t="str">
        <f t="shared" ref="N1977:P1977" si="2007">LEFT(H1977,5)</f>
        <v>10:30</v>
      </c>
      <c r="O1977" s="317" t="str">
        <f t="shared" si="2007"/>
        <v>13:30</v>
      </c>
      <c r="P1977" s="317" t="str">
        <f t="shared" si="2007"/>
        <v>15:45</v>
      </c>
      <c r="Q1977" s="318">
        <f t="shared" si="1941"/>
        <v>46129.4375</v>
      </c>
      <c r="R1977" s="318">
        <f t="shared" si="1942"/>
        <v>46129.5625</v>
      </c>
      <c r="S1977" s="318">
        <f t="shared" si="8"/>
        <v>46129.65625</v>
      </c>
    </row>
    <row r="1978">
      <c r="A1978" s="14" t="str">
        <f t="shared" si="1"/>
        <v>C116546129</v>
      </c>
      <c r="B1978" s="185" t="str">
        <f t="array" ref="B1978">IF(F1978="VL","",IF(F1978="Free","Free",XLOOKUP(D1978,Roster!T:T,Roster!S:S,"",0)))</f>
        <v/>
      </c>
      <c r="C1978" s="313">
        <v>46129.0</v>
      </c>
      <c r="D1978" s="314" t="s">
        <v>139</v>
      </c>
      <c r="E1978" s="307" t="str">
        <f t="array" ref="E1978">(XLOOKUP(D1978,Roster!F:F,Roster!B:B,"",0))</f>
        <v>Braian Restrepo</v>
      </c>
      <c r="F1978" s="315" t="str">
        <f t="array" ref="F1978">IF(B1978=100,"Free",TEXT(XLOOKUP($D1978,OperationVoice!$A:$A,OperationVoice!W:W,XLOOKUP($D1978,OperationTickets!$A:$A,OperationTickets!W:W,"",0)),"hh:mm"))</f>
        <v>08:00</v>
      </c>
      <c r="G1978" s="309">
        <f t="shared" si="3"/>
        <v>0.7083333333</v>
      </c>
      <c r="H1978" s="316" t="str">
        <f t="array" ref="H1978">XLOOKUP(B1978,Roster!L:L,Roster!N:N,XLOOKUP(D1978,TicketsBreak!A:A,TicketsBreak!E:E,"",0),0)</f>
        <v/>
      </c>
      <c r="I1978" s="316" t="str">
        <f t="array" ref="I1978">XLOOKUP(B1978,Roster!L:L,Roster!O:O,XLOOKUP(D1978,TicketsBreak!A:A,TicketsBreak!F:F,"",0),0)</f>
        <v/>
      </c>
      <c r="J1978" s="316" t="str">
        <f t="array" ref="J1978">XLOOKUP(B1978,Roster!L:L,Roster!P:P,XLOOKUP(D1978,TicketsBreak!A:A,TicketsBreak!G:G,"",0),0)</f>
        <v/>
      </c>
      <c r="K1978" s="310">
        <f t="shared" si="4"/>
        <v>46129</v>
      </c>
      <c r="L1978" s="317">
        <f t="array" ref="L1978">(XLOOKUP(D1978,Roster!F:F,Roster!D:D,"",0))</f>
        <v>24</v>
      </c>
      <c r="M1978" s="317" t="str">
        <f t="array" ref="M1978">XLOOKUP(D1978,Roster!F:F,Roster!E:E)</f>
        <v>Tickets</v>
      </c>
      <c r="N1978" s="317" t="str">
        <f t="shared" ref="N1978:P1978" si="2008">LEFT(H1978,5)</f>
        <v/>
      </c>
      <c r="O1978" s="317" t="str">
        <f t="shared" si="2008"/>
        <v/>
      </c>
      <c r="P1978" s="317" t="str">
        <f t="shared" si="2008"/>
        <v/>
      </c>
      <c r="Q1978" s="318" t="str">
        <f t="shared" si="1941"/>
        <v/>
      </c>
      <c r="R1978" s="318" t="str">
        <f t="shared" si="1942"/>
        <v/>
      </c>
      <c r="S1978" s="318" t="str">
        <f t="shared" si="8"/>
        <v/>
      </c>
    </row>
    <row r="1979">
      <c r="A1979" s="14" t="str">
        <f t="shared" si="1"/>
        <v>C127446129</v>
      </c>
      <c r="B1979" s="185">
        <f t="array" ref="B1979">IF(F1979="VL","",IF(F1979="Free","Free",XLOOKUP(D1979,Roster!T:T,Roster!S:S,"",0)))</f>
        <v>126</v>
      </c>
      <c r="C1979" s="313">
        <v>46129.0</v>
      </c>
      <c r="D1979" s="314" t="s">
        <v>250</v>
      </c>
      <c r="E1979" s="307" t="str">
        <f t="array" ref="E1979">(XLOOKUP(D1979,Roster!F:F,Roster!B:B,"",0))</f>
        <v>Brayan Franco</v>
      </c>
      <c r="F1979" s="315" t="str">
        <f t="array" ref="F1979">IF(B1979=100,"Free",TEXT(XLOOKUP($D1979,OperationVoice!$A:$A,OperationVoice!W:W,XLOOKUP($D1979,OperationTickets!$A:$A,OperationTickets!W:W,"",0)),"hh:mm"))</f>
        <v/>
      </c>
      <c r="G1979" s="309" t="str">
        <f t="shared" si="3"/>
        <v/>
      </c>
      <c r="H1979" s="316" t="str">
        <f t="array" ref="H1979">XLOOKUP(B1979,Roster!L:L,Roster!N:N,XLOOKUP(D1979,TicketsBreak!A:A,TicketsBreak!E:E,"",0),0)</f>
        <v>10:45 - 11:00</v>
      </c>
      <c r="I1979" s="316" t="str">
        <f t="array" ref="I1979">XLOOKUP(B1979,Roster!L:L,Roster!O:O,XLOOKUP(D1979,TicketsBreak!A:A,TicketsBreak!F:F,"",0),0)</f>
        <v>14:00 - 14:30</v>
      </c>
      <c r="J1979" s="316" t="str">
        <f t="array" ref="J1979">XLOOKUP(B1979,Roster!L:L,Roster!P:P,XLOOKUP(D1979,TicketsBreak!A:A,TicketsBreak!G:G,"",0),0)</f>
        <v>15:45 - 16:00</v>
      </c>
      <c r="K1979" s="310">
        <f t="shared" si="4"/>
        <v>46129</v>
      </c>
      <c r="L1979" s="317">
        <f t="array" ref="L1979">(XLOOKUP(D1979,Roster!F:F,Roster!D:D,"",0))</f>
        <v>27</v>
      </c>
      <c r="M1979" s="317" t="str">
        <f t="array" ref="M1979">XLOOKUP(D1979,Roster!F:F,Roster!E:E)</f>
        <v>Voice</v>
      </c>
      <c r="N1979" s="317" t="str">
        <f t="shared" ref="N1979:P1979" si="2009">LEFT(H1979,5)</f>
        <v>10:45</v>
      </c>
      <c r="O1979" s="317" t="str">
        <f t="shared" si="2009"/>
        <v>14:00</v>
      </c>
      <c r="P1979" s="317" t="str">
        <f t="shared" si="2009"/>
        <v>15:45</v>
      </c>
      <c r="Q1979" s="318">
        <f t="shared" si="1941"/>
        <v>46129.44792</v>
      </c>
      <c r="R1979" s="318">
        <f t="shared" si="1942"/>
        <v>46129.58333</v>
      </c>
      <c r="S1979" s="318">
        <f t="shared" si="8"/>
        <v>46129.65625</v>
      </c>
    </row>
    <row r="1980">
      <c r="A1980" s="14" t="str">
        <f t="shared" si="1"/>
        <v>C119146129</v>
      </c>
      <c r="B1980" s="185">
        <f t="array" ref="B1980">IF(F1980="VL","",IF(F1980="Free","Free",XLOOKUP(D1980,Roster!T:T,Roster!S:S,"",0)))</f>
        <v>111</v>
      </c>
      <c r="C1980" s="313">
        <v>46129.0</v>
      </c>
      <c r="D1980" s="314" t="s">
        <v>18</v>
      </c>
      <c r="E1980" s="307" t="str">
        <f t="array" ref="E1980">(XLOOKUP(D1980,Roster!F:F,Roster!B:B,"",0))</f>
        <v>Brayan Montoya</v>
      </c>
      <c r="F1980" s="315" t="str">
        <f t="array" ref="F1980">IF(B1980=100,"Free",TEXT(XLOOKUP($D1980,OperationVoice!$A:$A,OperationVoice!W:W,XLOOKUP($D1980,OperationTickets!$A:$A,OperationTickets!W:W,"",0)),"hh:mm"))</f>
        <v>07:00</v>
      </c>
      <c r="G1980" s="309">
        <f t="shared" si="3"/>
        <v>0.6666666667</v>
      </c>
      <c r="H1980" s="316" t="str">
        <f t="array" ref="H1980">XLOOKUP(B1980,Roster!L:L,Roster!N:N,XLOOKUP(D1980,TicketsBreak!A:A,TicketsBreak!E:E,"",0),0)</f>
        <v>09:00 - 09:15</v>
      </c>
      <c r="I1980" s="316" t="str">
        <f t="array" ref="I1980">XLOOKUP(B1980,Roster!L:L,Roster!O:O,XLOOKUP(D1980,TicketsBreak!A:A,TicketsBreak!F:F,"",0),0)</f>
        <v>11:45 - 12:15</v>
      </c>
      <c r="J1980" s="316" t="str">
        <f t="array" ref="J1980">XLOOKUP(B1980,Roster!L:L,Roster!P:P,XLOOKUP(D1980,TicketsBreak!A:A,TicketsBreak!G:G,"",0),0)</f>
        <v>14:30 - 14:45</v>
      </c>
      <c r="K1980" s="310">
        <f t="shared" si="4"/>
        <v>46129</v>
      </c>
      <c r="L1980" s="317">
        <f t="array" ref="L1980">(XLOOKUP(D1980,Roster!F:F,Roster!D:D,"",0))</f>
        <v>25</v>
      </c>
      <c r="M1980" s="317" t="str">
        <f t="array" ref="M1980">XLOOKUP(D1980,Roster!F:F,Roster!E:E)</f>
        <v>Voice</v>
      </c>
      <c r="N1980" s="317" t="str">
        <f t="shared" ref="N1980:P1980" si="2010">LEFT(H1980,5)</f>
        <v>09:00</v>
      </c>
      <c r="O1980" s="317" t="str">
        <f t="shared" si="2010"/>
        <v>11:45</v>
      </c>
      <c r="P1980" s="317" t="str">
        <f t="shared" si="2010"/>
        <v>14:30</v>
      </c>
      <c r="Q1980" s="318">
        <f t="shared" si="1941"/>
        <v>46129.375</v>
      </c>
      <c r="R1980" s="318">
        <f t="shared" si="1942"/>
        <v>46129.48958</v>
      </c>
      <c r="S1980" s="318">
        <f t="shared" si="8"/>
        <v>46129.60417</v>
      </c>
    </row>
    <row r="1981">
      <c r="A1981" s="14" t="str">
        <f t="shared" si="1"/>
        <v>C152646129</v>
      </c>
      <c r="B1981" s="185">
        <f t="array" ref="B1981">IF(F1981="VL","",IF(F1981="Free","Free",XLOOKUP(D1981,Roster!T:T,Roster!S:S,"",0)))</f>
        <v>121</v>
      </c>
      <c r="C1981" s="313">
        <v>46129.0</v>
      </c>
      <c r="D1981" s="314" t="s">
        <v>19</v>
      </c>
      <c r="E1981" s="307" t="str">
        <f t="array" ref="E1981">(XLOOKUP(D1981,Roster!F:F,Roster!B:B,"",0))</f>
        <v>Breitner Benitez</v>
      </c>
      <c r="F1981" s="315" t="str">
        <f t="array" ref="F1981">IF(B1981=100,"Free",TEXT(XLOOKUP($D1981,OperationVoice!$A:$A,OperationVoice!W:W,XLOOKUP($D1981,OperationTickets!$A:$A,OperationTickets!W:W,"",0)),"hh:mm"))</f>
        <v>08:00</v>
      </c>
      <c r="G1981" s="309">
        <f t="shared" si="3"/>
        <v>0.7083333333</v>
      </c>
      <c r="H1981" s="316" t="str">
        <f t="array" ref="H1981">XLOOKUP(B1981,Roster!L:L,Roster!N:N,XLOOKUP(D1981,TicketsBreak!A:A,TicketsBreak!E:E,"",0),0)</f>
        <v>09:15 - 09:30</v>
      </c>
      <c r="I1981" s="316" t="str">
        <f t="array" ref="I1981">XLOOKUP(B1981,Roster!L:L,Roster!O:O,XLOOKUP(D1981,TicketsBreak!A:A,TicketsBreak!F:F,"",0),0)</f>
        <v>11:30 - 12:00</v>
      </c>
      <c r="J1981" s="316" t="str">
        <f t="array" ref="J1981">XLOOKUP(B1981,Roster!L:L,Roster!P:P,XLOOKUP(D1981,TicketsBreak!A:A,TicketsBreak!G:G,"",0),0)</f>
        <v>14:30 - 14:45</v>
      </c>
      <c r="K1981" s="310">
        <f t="shared" si="4"/>
        <v>46129</v>
      </c>
      <c r="L1981" s="317">
        <f t="array" ref="L1981">(XLOOKUP(D1981,Roster!F:F,Roster!D:D,"",0))</f>
        <v>13</v>
      </c>
      <c r="M1981" s="317" t="str">
        <f t="array" ref="M1981">XLOOKUP(D1981,Roster!F:F,Roster!E:E)</f>
        <v>Voice</v>
      </c>
      <c r="N1981" s="317" t="str">
        <f t="shared" ref="N1981:P1981" si="2011">LEFT(H1981,5)</f>
        <v>09:15</v>
      </c>
      <c r="O1981" s="317" t="str">
        <f t="shared" si="2011"/>
        <v>11:30</v>
      </c>
      <c r="P1981" s="317" t="str">
        <f t="shared" si="2011"/>
        <v>14:30</v>
      </c>
      <c r="Q1981" s="318">
        <f t="shared" si="1941"/>
        <v>46129.38542</v>
      </c>
      <c r="R1981" s="318">
        <f t="shared" si="1942"/>
        <v>46129.47917</v>
      </c>
      <c r="S1981" s="318">
        <f t="shared" si="8"/>
        <v>46129.60417</v>
      </c>
    </row>
    <row r="1982">
      <c r="A1982" s="14" t="str">
        <f t="shared" si="1"/>
        <v>C153546129</v>
      </c>
      <c r="B1982" s="185">
        <f t="array" ref="B1982">IF(F1982="VL","",IF(F1982="Free","Free",XLOOKUP(D1982,Roster!T:T,Roster!S:S,"",0)))</f>
        <v>154</v>
      </c>
      <c r="C1982" s="313">
        <v>46129.0</v>
      </c>
      <c r="D1982" s="314" t="s">
        <v>20</v>
      </c>
      <c r="E1982" s="307" t="str">
        <f t="array" ref="E1982">(XLOOKUP(D1982,Roster!F:F,Roster!B:B,"",0))</f>
        <v>Carlos Alzate</v>
      </c>
      <c r="F1982" s="315" t="str">
        <f t="array" ref="F1982">IF(B1982=100,"Free",TEXT(XLOOKUP($D1982,OperationVoice!$A:$A,OperationVoice!W:W,XLOOKUP($D1982,OperationTickets!$A:$A,OperationTickets!W:W,"",0)),"hh:mm"))</f>
        <v>11:00</v>
      </c>
      <c r="G1982" s="309">
        <f t="shared" si="3"/>
        <v>0.8333333333</v>
      </c>
      <c r="H1982" s="316" t="str">
        <f t="array" ref="H1982">XLOOKUP(B1982,Roster!L:L,Roster!N:N,XLOOKUP(D1982,TicketsBreak!A:A,TicketsBreak!E:E,"",0),0)</f>
        <v>13:00 - 13:15</v>
      </c>
      <c r="I1982" s="316" t="str">
        <f t="array" ref="I1982">XLOOKUP(B1982,Roster!L:L,Roster!O:O,XLOOKUP(D1982,TicketsBreak!A:A,TicketsBreak!F:F,"",0),0)</f>
        <v>15:15 - 15:45</v>
      </c>
      <c r="J1982" s="316" t="str">
        <f t="array" ref="J1982">XLOOKUP(B1982,Roster!L:L,Roster!P:P,XLOOKUP(D1982,TicketsBreak!A:A,TicketsBreak!G:G,"",0),0)</f>
        <v>18:00 - 18:15</v>
      </c>
      <c r="K1982" s="310">
        <f t="shared" si="4"/>
        <v>46129</v>
      </c>
      <c r="L1982" s="317">
        <f t="array" ref="L1982">(XLOOKUP(D1982,Roster!F:F,Roster!D:D,"",0))</f>
        <v>36</v>
      </c>
      <c r="M1982" s="317" t="str">
        <f t="array" ref="M1982">XLOOKUP(D1982,Roster!F:F,Roster!E:E)</f>
        <v>Voice</v>
      </c>
      <c r="N1982" s="317" t="str">
        <f t="shared" ref="N1982:P1982" si="2012">LEFT(H1982,5)</f>
        <v>13:00</v>
      </c>
      <c r="O1982" s="317" t="str">
        <f t="shared" si="2012"/>
        <v>15:15</v>
      </c>
      <c r="P1982" s="317" t="str">
        <f t="shared" si="2012"/>
        <v>18:00</v>
      </c>
      <c r="Q1982" s="318">
        <f t="shared" si="1941"/>
        <v>46129.54167</v>
      </c>
      <c r="R1982" s="318">
        <f t="shared" si="1942"/>
        <v>46129.63542</v>
      </c>
      <c r="S1982" s="318">
        <f t="shared" si="8"/>
        <v>46129.75</v>
      </c>
    </row>
    <row r="1983">
      <c r="A1983" s="14" t="str">
        <f t="shared" si="1"/>
        <v>C153146129</v>
      </c>
      <c r="B1983" s="185">
        <f t="array" ref="B1983">IF(F1983="VL","",IF(F1983="Free","Free",XLOOKUP(D1983,Roster!T:T,Roster!S:S,"",0)))</f>
        <v>123</v>
      </c>
      <c r="C1983" s="313">
        <v>46129.0</v>
      </c>
      <c r="D1983" s="314" t="s">
        <v>21</v>
      </c>
      <c r="E1983" s="307" t="str">
        <f t="array" ref="E1983">(XLOOKUP(D1983,Roster!F:F,Roster!B:B,"",0))</f>
        <v>Carlos Palma</v>
      </c>
      <c r="F1983" s="315" t="str">
        <f t="array" ref="F1983">IF(B1983=100,"Free",TEXT(XLOOKUP($D1983,OperationVoice!$A:$A,OperationVoice!W:W,XLOOKUP($D1983,OperationTickets!$A:$A,OperationTickets!W:W,"",0)),"hh:mm"))</f>
        <v>08:00</v>
      </c>
      <c r="G1983" s="309">
        <f t="shared" si="3"/>
        <v>0.7083333333</v>
      </c>
      <c r="H1983" s="316" t="str">
        <f t="array" ref="H1983">XLOOKUP(B1983,Roster!L:L,Roster!N:N,XLOOKUP(D1983,TicketsBreak!A:A,TicketsBreak!E:E,"",0),0)</f>
        <v>09:45 - 10:00 </v>
      </c>
      <c r="I1983" s="316" t="str">
        <f t="array" ref="I1983">XLOOKUP(B1983,Roster!L:L,Roster!O:O,XLOOKUP(D1983,TicketsBreak!A:A,TicketsBreak!F:F,"",0),0)</f>
        <v>12:30 - 13:00</v>
      </c>
      <c r="J1983" s="316" t="str">
        <f t="array" ref="J1983">XLOOKUP(B1983,Roster!L:L,Roster!P:P,XLOOKUP(D1983,TicketsBreak!A:A,TicketsBreak!G:G,"",0),0)</f>
        <v>15:00 - 15:15</v>
      </c>
      <c r="K1983" s="310">
        <f t="shared" si="4"/>
        <v>46129</v>
      </c>
      <c r="L1983" s="317">
        <f t="array" ref="L1983">(XLOOKUP(D1983,Roster!F:F,Roster!D:D,"",0))</f>
        <v>36</v>
      </c>
      <c r="M1983" s="317" t="str">
        <f t="array" ref="M1983">XLOOKUP(D1983,Roster!F:F,Roster!E:E)</f>
        <v>Voice</v>
      </c>
      <c r="N1983" s="317" t="str">
        <f t="shared" ref="N1983:P1983" si="2013">LEFT(H1983,5)</f>
        <v>09:45</v>
      </c>
      <c r="O1983" s="317" t="str">
        <f t="shared" si="2013"/>
        <v>12:30</v>
      </c>
      <c r="P1983" s="317" t="str">
        <f t="shared" si="2013"/>
        <v>15:00</v>
      </c>
      <c r="Q1983" s="318">
        <f t="shared" si="1941"/>
        <v>46129.40625</v>
      </c>
      <c r="R1983" s="318">
        <f t="shared" si="1942"/>
        <v>46129.52083</v>
      </c>
      <c r="S1983" s="318">
        <f t="shared" si="8"/>
        <v>46129.625</v>
      </c>
    </row>
    <row r="1984">
      <c r="A1984" s="14" t="str">
        <f t="shared" si="1"/>
        <v>C157646129</v>
      </c>
      <c r="B1984" s="185" t="str">
        <f t="array" ref="B1984">IF(F1984="VL","",IF(F1984="Free","Free",XLOOKUP(D1984,Roster!T:T,Roster!S:S,"",0)))</f>
        <v/>
      </c>
      <c r="C1984" s="313">
        <v>46129.0</v>
      </c>
      <c r="D1984" s="314" t="s">
        <v>313</v>
      </c>
      <c r="E1984" s="307" t="str">
        <f t="array" ref="E1984">(XLOOKUP(D1984,Roster!F:F,Roster!B:B,"",0))</f>
        <v>Carlos Ruiz</v>
      </c>
      <c r="F1984" s="315" t="str">
        <f t="array" ref="F1984">IF(B1984=100,"Free",TEXT(XLOOKUP($D1984,OperationVoice!$A:$A,OperationVoice!W:W,XLOOKUP($D1984,OperationTickets!$A:$A,OperationTickets!W:W,"",0)),"hh:mm"))</f>
        <v/>
      </c>
      <c r="G1984" s="309" t="str">
        <f t="shared" si="3"/>
        <v/>
      </c>
      <c r="H1984" s="316" t="str">
        <f t="array" ref="H1984">XLOOKUP(B1984,Roster!L:L,Roster!N:N,XLOOKUP(D1984,TicketsBreak!A:A,TicketsBreak!E:E,"",0),0)</f>
        <v/>
      </c>
      <c r="I1984" s="316" t="str">
        <f t="array" ref="I1984">XLOOKUP(B1984,Roster!L:L,Roster!O:O,XLOOKUP(D1984,TicketsBreak!A:A,TicketsBreak!F:F,"",0),0)</f>
        <v/>
      </c>
      <c r="J1984" s="316" t="str">
        <f t="array" ref="J1984">XLOOKUP(B1984,Roster!L:L,Roster!P:P,XLOOKUP(D1984,TicketsBreak!A:A,TicketsBreak!G:G,"",0),0)</f>
        <v/>
      </c>
      <c r="K1984" s="310">
        <f t="shared" si="4"/>
        <v>46129</v>
      </c>
      <c r="L1984" s="317">
        <f t="array" ref="L1984">(XLOOKUP(D1984,Roster!F:F,Roster!D:D,"",0))</f>
        <v>38</v>
      </c>
      <c r="M1984" s="317" t="str">
        <f t="array" ref="M1984">XLOOKUP(D1984,Roster!F:F,Roster!E:E)</f>
        <v>Nesting</v>
      </c>
      <c r="N1984" s="317" t="str">
        <f t="shared" ref="N1984:P1984" si="2014">LEFT(H1984,5)</f>
        <v/>
      </c>
      <c r="O1984" s="317" t="str">
        <f t="shared" si="2014"/>
        <v/>
      </c>
      <c r="P1984" s="317" t="str">
        <f t="shared" si="2014"/>
        <v/>
      </c>
      <c r="Q1984" s="318" t="str">
        <f t="shared" si="1941"/>
        <v/>
      </c>
      <c r="R1984" s="318" t="str">
        <f t="shared" si="1942"/>
        <v/>
      </c>
      <c r="S1984" s="318" t="str">
        <f t="shared" si="8"/>
        <v/>
      </c>
    </row>
    <row r="1985">
      <c r="A1985" s="14" t="str">
        <f t="shared" si="1"/>
        <v>C47946129</v>
      </c>
      <c r="B1985" s="185" t="str">
        <f t="array" ref="B1985">IF(F1985="VL","",IF(F1985="Free","Free",XLOOKUP(D1985,Roster!T:T,Roster!S:S,"",0)))</f>
        <v/>
      </c>
      <c r="C1985" s="313">
        <v>46129.0</v>
      </c>
      <c r="D1985" s="314" t="s">
        <v>173</v>
      </c>
      <c r="E1985" s="307" t="str">
        <f t="array" ref="E1985">(XLOOKUP(D1985,Roster!F:F,Roster!B:B,"",0))</f>
        <v>Carmen Grajales</v>
      </c>
      <c r="F1985" s="315" t="str">
        <f t="array" ref="F1985">IF(B1985=100,"Free",TEXT(XLOOKUP($D1985,OperationVoice!$A:$A,OperationVoice!W:W,XLOOKUP($D1985,OperationTickets!$A:$A,OperationTickets!W:W,"",0)),"hh:mm"))</f>
        <v>08:00</v>
      </c>
      <c r="G1985" s="309">
        <f t="shared" si="3"/>
        <v>0.7083333333</v>
      </c>
      <c r="H1985" s="316">
        <f t="array" ref="H1985">XLOOKUP(B1985,Roster!L:L,Roster!N:N,XLOOKUP(D1985,TicketsBreak!A:A,TicketsBreak!E:E,"",0),0)</f>
        <v>0.4270833333</v>
      </c>
      <c r="I1985" s="316">
        <f t="array" ref="I1985">XLOOKUP(B1985,Roster!L:L,Roster!O:O,XLOOKUP(D1985,TicketsBreak!A:A,TicketsBreak!F:F,"",0),0)</f>
        <v>0.53125</v>
      </c>
      <c r="J1985" s="316">
        <f t="array" ref="J1985">XLOOKUP(B1985,Roster!L:L,Roster!P:P,XLOOKUP(D1985,TicketsBreak!A:A,TicketsBreak!G:G,"",0),0)</f>
        <v>0.65625</v>
      </c>
      <c r="K1985" s="310">
        <f t="shared" si="4"/>
        <v>46129</v>
      </c>
      <c r="L1985" s="317">
        <f t="array" ref="L1985">(XLOOKUP(D1985,Roster!F:F,Roster!D:D,"",0))</f>
        <v>2</v>
      </c>
      <c r="M1985" s="317" t="str">
        <f t="array" ref="M1985">XLOOKUP(D1985,Roster!F:F,Roster!E:E)</f>
        <v>Tickets</v>
      </c>
      <c r="N1985" s="317" t="str">
        <f t="shared" ref="N1985:P1985" si="2015">LEFT(H1985,5)</f>
        <v>10:15</v>
      </c>
      <c r="O1985" s="317" t="str">
        <f t="shared" si="2015"/>
        <v>12:45</v>
      </c>
      <c r="P1985" s="317" t="str">
        <f t="shared" si="2015"/>
        <v>15:45</v>
      </c>
      <c r="Q1985" s="318">
        <f t="shared" si="1941"/>
        <v>46129.42708</v>
      </c>
      <c r="R1985" s="318">
        <f t="shared" si="1942"/>
        <v>46129.53125</v>
      </c>
      <c r="S1985" s="318">
        <f t="shared" si="8"/>
        <v>46129.65625</v>
      </c>
    </row>
    <row r="1986">
      <c r="A1986" s="14" t="str">
        <f t="shared" si="1"/>
        <v>C68746129</v>
      </c>
      <c r="B1986" s="185">
        <f t="array" ref="B1986">IF(F1986="VL","",IF(F1986="Free","Free",XLOOKUP(D1986,Roster!T:T,Roster!S:S,"",0)))</f>
        <v>122</v>
      </c>
      <c r="C1986" s="313">
        <v>46129.0</v>
      </c>
      <c r="D1986" s="314" t="s">
        <v>22</v>
      </c>
      <c r="E1986" s="307" t="str">
        <f t="array" ref="E1986">(XLOOKUP(D1986,Roster!F:F,Roster!B:B,"",0))</f>
        <v>Carolina Rios</v>
      </c>
      <c r="F1986" s="315" t="str">
        <f t="array" ref="F1986">IF(B1986=100,"Free",TEXT(XLOOKUP($D1986,OperationVoice!$A:$A,OperationVoice!W:W,XLOOKUP($D1986,OperationTickets!$A:$A,OperationTickets!W:W,"",0)),"hh:mm"))</f>
        <v>08:00</v>
      </c>
      <c r="G1986" s="309">
        <f t="shared" si="3"/>
        <v>0.7083333333</v>
      </c>
      <c r="H1986" s="316" t="str">
        <f t="array" ref="H1986">XLOOKUP(B1986,Roster!L:L,Roster!N:N,XLOOKUP(D1986,TicketsBreak!A:A,TicketsBreak!E:E,"",0),0)</f>
        <v>09:30 - 09:45</v>
      </c>
      <c r="I1986" s="316" t="str">
        <f t="array" ref="I1986">XLOOKUP(B1986,Roster!L:L,Roster!O:O,XLOOKUP(D1986,TicketsBreak!A:A,TicketsBreak!F:F,"",0),0)</f>
        <v>12:00 - 12:30</v>
      </c>
      <c r="J1986" s="316" t="str">
        <f t="array" ref="J1986">XLOOKUP(B1986,Roster!L:L,Roster!P:P,XLOOKUP(D1986,TicketsBreak!A:A,TicketsBreak!G:G,"",0),0)</f>
        <v>14:45 - 15:00</v>
      </c>
      <c r="K1986" s="310">
        <f t="shared" si="4"/>
        <v>46129</v>
      </c>
      <c r="L1986" s="317">
        <f t="array" ref="L1986">(XLOOKUP(D1986,Roster!F:F,Roster!D:D,"",0))</f>
        <v>5</v>
      </c>
      <c r="M1986" s="317" t="str">
        <f t="array" ref="M1986">XLOOKUP(D1986,Roster!F:F,Roster!E:E)</f>
        <v>Voice</v>
      </c>
      <c r="N1986" s="317" t="str">
        <f t="shared" ref="N1986:P1986" si="2016">LEFT(H1986,5)</f>
        <v>09:30</v>
      </c>
      <c r="O1986" s="317" t="str">
        <f t="shared" si="2016"/>
        <v>12:00</v>
      </c>
      <c r="P1986" s="317" t="str">
        <f t="shared" si="2016"/>
        <v>14:45</v>
      </c>
      <c r="Q1986" s="318">
        <f t="shared" si="1941"/>
        <v>46129.39583</v>
      </c>
      <c r="R1986" s="318">
        <f t="shared" si="1942"/>
        <v>46129.5</v>
      </c>
      <c r="S1986" s="318">
        <f t="shared" si="8"/>
        <v>46129.61458</v>
      </c>
    </row>
    <row r="1987">
      <c r="A1987" s="14" t="str">
        <f t="shared" si="1"/>
        <v>C152846129</v>
      </c>
      <c r="B1987" s="185">
        <f t="array" ref="B1987">IF(F1987="VL","",IF(F1987="Free","Free",XLOOKUP(D1987,Roster!T:T,Roster!S:S,"",0)))</f>
        <v>132</v>
      </c>
      <c r="C1987" s="313">
        <v>46129.0</v>
      </c>
      <c r="D1987" s="314" t="s">
        <v>23</v>
      </c>
      <c r="E1987" s="307" t="str">
        <f t="array" ref="E1987">(XLOOKUP(D1987,Roster!F:F,Roster!B:B,"",0))</f>
        <v>Christian Ramirez</v>
      </c>
      <c r="F1987" s="315" t="str">
        <f t="array" ref="F1987">IF(B1987=100,"Free",TEXT(XLOOKUP($D1987,OperationVoice!$A:$A,OperationVoice!W:W,XLOOKUP($D1987,OperationTickets!$A:$A,OperationTickets!W:W,"",0)),"hh:mm"))</f>
        <v>09:00</v>
      </c>
      <c r="G1987" s="309">
        <f t="shared" si="3"/>
        <v>0.75</v>
      </c>
      <c r="H1987" s="316" t="str">
        <f t="array" ref="H1987">XLOOKUP(B1987,Roster!L:L,Roster!N:N,XLOOKUP(D1987,TicketsBreak!A:A,TicketsBreak!E:E,"",0),0)</f>
        <v>10:30 - 10:45</v>
      </c>
      <c r="I1987" s="316" t="str">
        <f t="array" ref="I1987">XLOOKUP(B1987,Roster!L:L,Roster!O:O,XLOOKUP(D1987,TicketsBreak!A:A,TicketsBreak!F:F,"",0),0)</f>
        <v>13:00 - 13:30</v>
      </c>
      <c r="J1987" s="316" t="str">
        <f t="array" ref="J1987">XLOOKUP(B1987,Roster!L:L,Roster!P:P,XLOOKUP(D1987,TicketsBreak!A:A,TicketsBreak!G:G,"",0),0)</f>
        <v>15:30 - 15:45</v>
      </c>
      <c r="K1987" s="310">
        <f t="shared" si="4"/>
        <v>46129</v>
      </c>
      <c r="L1987" s="317">
        <f t="array" ref="L1987">(XLOOKUP(D1987,Roster!F:F,Roster!D:D,"",0))</f>
        <v>36</v>
      </c>
      <c r="M1987" s="317" t="str">
        <f t="array" ref="M1987">XLOOKUP(D1987,Roster!F:F,Roster!E:E)</f>
        <v>Voice</v>
      </c>
      <c r="N1987" s="317" t="str">
        <f t="shared" ref="N1987:P1987" si="2017">LEFT(H1987,5)</f>
        <v>10:30</v>
      </c>
      <c r="O1987" s="317" t="str">
        <f t="shared" si="2017"/>
        <v>13:00</v>
      </c>
      <c r="P1987" s="317" t="str">
        <f t="shared" si="2017"/>
        <v>15:30</v>
      </c>
      <c r="Q1987" s="318">
        <f t="shared" si="1941"/>
        <v>46129.4375</v>
      </c>
      <c r="R1987" s="318">
        <f t="shared" si="1942"/>
        <v>46129.54167</v>
      </c>
      <c r="S1987" s="318">
        <f t="shared" si="8"/>
        <v>46129.64583</v>
      </c>
    </row>
    <row r="1988">
      <c r="A1988" s="14" t="str">
        <f t="shared" si="1"/>
        <v>C132546129</v>
      </c>
      <c r="B1988" s="185">
        <f t="array" ref="B1988">IF(F1988="VL","",IF(F1988="Free","Free",XLOOKUP(D1988,Roster!T:T,Roster!S:S,"",0)))</f>
        <v>123</v>
      </c>
      <c r="C1988" s="313">
        <v>46129.0</v>
      </c>
      <c r="D1988" s="314" t="s">
        <v>174</v>
      </c>
      <c r="E1988" s="307" t="str">
        <f t="array" ref="E1988">(XLOOKUP(D1988,Roster!F:F,Roster!B:B,"",0))</f>
        <v>Cristian Ferreira</v>
      </c>
      <c r="F1988" s="315" t="str">
        <f t="array" ref="F1988">IF(B1988=100,"Free",TEXT(XLOOKUP($D1988,OperationVoice!$A:$A,OperationVoice!W:W,XLOOKUP($D1988,OperationTickets!$A:$A,OperationTickets!W:W,"",0)),"hh:mm"))</f>
        <v>08:00</v>
      </c>
      <c r="G1988" s="309">
        <f t="shared" si="3"/>
        <v>0.7083333333</v>
      </c>
      <c r="H1988" s="316" t="str">
        <f t="array" ref="H1988">XLOOKUP(B1988,Roster!L:L,Roster!N:N,XLOOKUP(D1988,TicketsBreak!A:A,TicketsBreak!E:E,"",0),0)</f>
        <v>09:45 - 10:00 </v>
      </c>
      <c r="I1988" s="316" t="str">
        <f t="array" ref="I1988">XLOOKUP(B1988,Roster!L:L,Roster!O:O,XLOOKUP(D1988,TicketsBreak!A:A,TicketsBreak!F:F,"",0),0)</f>
        <v>12:30 - 13:00</v>
      </c>
      <c r="J1988" s="316" t="str">
        <f t="array" ref="J1988">XLOOKUP(B1988,Roster!L:L,Roster!P:P,XLOOKUP(D1988,TicketsBreak!A:A,TicketsBreak!G:G,"",0),0)</f>
        <v>15:00 - 15:15</v>
      </c>
      <c r="K1988" s="310">
        <f t="shared" si="4"/>
        <v>46129</v>
      </c>
      <c r="L1988" s="317">
        <f t="array" ref="L1988">(XLOOKUP(D1988,Roster!F:F,Roster!D:D,"",0))</f>
        <v>29</v>
      </c>
      <c r="M1988" s="317" t="str">
        <f t="array" ref="M1988">XLOOKUP(D1988,Roster!F:F,Roster!E:E)</f>
        <v>Tickets</v>
      </c>
      <c r="N1988" s="317" t="str">
        <f t="shared" ref="N1988:P1988" si="2018">LEFT(H1988,5)</f>
        <v>09:45</v>
      </c>
      <c r="O1988" s="317" t="str">
        <f t="shared" si="2018"/>
        <v>12:30</v>
      </c>
      <c r="P1988" s="317" t="str">
        <f t="shared" si="2018"/>
        <v>15:00</v>
      </c>
      <c r="Q1988" s="318">
        <f t="shared" si="1941"/>
        <v>46129.40625</v>
      </c>
      <c r="R1988" s="318">
        <f t="shared" si="1942"/>
        <v>46129.52083</v>
      </c>
      <c r="S1988" s="318">
        <f t="shared" si="8"/>
        <v>46129.625</v>
      </c>
    </row>
    <row r="1989">
      <c r="A1989" s="14" t="str">
        <f t="shared" si="1"/>
        <v>C151046129</v>
      </c>
      <c r="B1989" s="185">
        <f t="array" ref="B1989">IF(F1989="VL","",IF(F1989="Free","Free",XLOOKUP(D1989,Roster!T:T,Roster!S:S,"",0)))</f>
        <v>121</v>
      </c>
      <c r="C1989" s="313">
        <v>46129.0</v>
      </c>
      <c r="D1989" s="314" t="s">
        <v>24</v>
      </c>
      <c r="E1989" s="307" t="str">
        <f t="array" ref="E1989">(XLOOKUP(D1989,Roster!F:F,Roster!B:B,"",0))</f>
        <v>Cristian Gomez</v>
      </c>
      <c r="F1989" s="315" t="str">
        <f t="array" ref="F1989">IF(B1989=100,"Free",TEXT(XLOOKUP($D1989,OperationVoice!$A:$A,OperationVoice!W:W,XLOOKUP($D1989,OperationTickets!$A:$A,OperationTickets!W:W,"",0)),"hh:mm"))</f>
        <v>08:00</v>
      </c>
      <c r="G1989" s="309">
        <f t="shared" si="3"/>
        <v>0.7083333333</v>
      </c>
      <c r="H1989" s="316" t="str">
        <f t="array" ref="H1989">XLOOKUP(B1989,Roster!L:L,Roster!N:N,XLOOKUP(D1989,TicketsBreak!A:A,TicketsBreak!E:E,"",0),0)</f>
        <v>09:15 - 09:30</v>
      </c>
      <c r="I1989" s="316" t="str">
        <f t="array" ref="I1989">XLOOKUP(B1989,Roster!L:L,Roster!O:O,XLOOKUP(D1989,TicketsBreak!A:A,TicketsBreak!F:F,"",0),0)</f>
        <v>11:30 - 12:00</v>
      </c>
      <c r="J1989" s="316" t="str">
        <f t="array" ref="J1989">XLOOKUP(B1989,Roster!L:L,Roster!P:P,XLOOKUP(D1989,TicketsBreak!A:A,TicketsBreak!G:G,"",0),0)</f>
        <v>14:30 - 14:45</v>
      </c>
      <c r="K1989" s="310">
        <f t="shared" si="4"/>
        <v>46129</v>
      </c>
      <c r="L1989" s="317">
        <f t="array" ref="L1989">(XLOOKUP(D1989,Roster!F:F,Roster!D:D,"",0))</f>
        <v>35</v>
      </c>
      <c r="M1989" s="317" t="str">
        <f t="array" ref="M1989">XLOOKUP(D1989,Roster!F:F,Roster!E:E)</f>
        <v>Voice</v>
      </c>
      <c r="N1989" s="317" t="str">
        <f t="shared" ref="N1989:P1989" si="2019">LEFT(H1989,5)</f>
        <v>09:15</v>
      </c>
      <c r="O1989" s="317" t="str">
        <f t="shared" si="2019"/>
        <v>11:30</v>
      </c>
      <c r="P1989" s="317" t="str">
        <f t="shared" si="2019"/>
        <v>14:30</v>
      </c>
      <c r="Q1989" s="318">
        <f t="shared" si="1941"/>
        <v>46129.38542</v>
      </c>
      <c r="R1989" s="318">
        <f t="shared" si="1942"/>
        <v>46129.47917</v>
      </c>
      <c r="S1989" s="318">
        <f t="shared" si="8"/>
        <v>46129.60417</v>
      </c>
    </row>
    <row r="1990">
      <c r="A1990" s="14" t="str">
        <f t="shared" si="1"/>
        <v>C67346129</v>
      </c>
      <c r="B1990" s="185" t="str">
        <f t="array" ref="B1990">IF(F1990="VL","",IF(F1990="Free","Free",XLOOKUP(D1990,Roster!T:T,Roster!S:S,"",0)))</f>
        <v/>
      </c>
      <c r="C1990" s="313">
        <v>46129.0</v>
      </c>
      <c r="D1990" s="314" t="s">
        <v>156</v>
      </c>
      <c r="E1990" s="307" t="str">
        <f t="array" ref="E1990">(XLOOKUP(D1990,Roster!F:F,Roster!B:B,"",0))</f>
        <v>Dahiana Cano</v>
      </c>
      <c r="F1990" s="315" t="str">
        <f t="array" ref="F1990">IF(B1990=100,"Free",TEXT(XLOOKUP($D1990,OperationVoice!$A:$A,OperationVoice!W:W,XLOOKUP($D1990,OperationTickets!$A:$A,OperationTickets!W:W,"",0)),"hh:mm"))</f>
        <v>08:00</v>
      </c>
      <c r="G1990" s="309">
        <f t="shared" si="3"/>
        <v>0.7083333333</v>
      </c>
      <c r="H1990" s="316">
        <f t="array" ref="H1990">XLOOKUP(B1990,Roster!L:L,Roster!N:N,XLOOKUP(D1990,TicketsBreak!A:A,TicketsBreak!E:E,"",0),0)</f>
        <v>0.4583333333</v>
      </c>
      <c r="I1990" s="316">
        <f t="array" ref="I1990">XLOOKUP(B1990,Roster!L:L,Roster!O:O,XLOOKUP(D1990,TicketsBreak!A:A,TicketsBreak!F:F,"",0),0)</f>
        <v>0.5833333333</v>
      </c>
      <c r="J1990" s="316">
        <f t="array" ref="J1990">XLOOKUP(B1990,Roster!L:L,Roster!P:P,XLOOKUP(D1990,TicketsBreak!A:A,TicketsBreak!G:G,"",0),0)</f>
        <v>0.65625</v>
      </c>
      <c r="K1990" s="310">
        <f t="shared" si="4"/>
        <v>46129</v>
      </c>
      <c r="L1990" s="317">
        <f t="array" ref="L1990">(XLOOKUP(D1990,Roster!F:F,Roster!D:D,"",0))</f>
        <v>4</v>
      </c>
      <c r="M1990" s="317" t="str">
        <f t="array" ref="M1990">XLOOKUP(D1990,Roster!F:F,Roster!E:E)</f>
        <v>Tickets</v>
      </c>
      <c r="N1990" s="317" t="str">
        <f t="shared" ref="N1990:P1990" si="2020">LEFT(H1990,5)</f>
        <v>11:00</v>
      </c>
      <c r="O1990" s="317" t="str">
        <f t="shared" si="2020"/>
        <v>14:00</v>
      </c>
      <c r="P1990" s="317" t="str">
        <f t="shared" si="2020"/>
        <v>15:45</v>
      </c>
      <c r="Q1990" s="318">
        <f t="shared" si="1941"/>
        <v>46129.45833</v>
      </c>
      <c r="R1990" s="318">
        <f t="shared" si="1942"/>
        <v>46129.58333</v>
      </c>
      <c r="S1990" s="318">
        <f t="shared" si="8"/>
        <v>46129.65625</v>
      </c>
    </row>
    <row r="1991">
      <c r="A1991" s="14" t="str">
        <f t="shared" si="1"/>
        <v>C152946129</v>
      </c>
      <c r="B1991" s="185">
        <f t="array" ref="B1991">IF(F1991="VL","",IF(F1991="Free","Free",XLOOKUP(D1991,Roster!T:T,Roster!S:S,"",0)))</f>
        <v>133</v>
      </c>
      <c r="C1991" s="313">
        <v>46129.0</v>
      </c>
      <c r="D1991" s="314" t="s">
        <v>25</v>
      </c>
      <c r="E1991" s="307" t="str">
        <f t="array" ref="E1991">(XLOOKUP(D1991,Roster!F:F,Roster!B:B,"",0))</f>
        <v>Daniel Barrientos</v>
      </c>
      <c r="F1991" s="315" t="str">
        <f t="array" ref="F1991">IF(B1991=100,"Free",TEXT(XLOOKUP($D1991,OperationVoice!$A:$A,OperationVoice!W:W,XLOOKUP($D1991,OperationTickets!$A:$A,OperationTickets!W:W,"",0)),"hh:mm"))</f>
        <v>09:00</v>
      </c>
      <c r="G1991" s="309">
        <f t="shared" si="3"/>
        <v>0.75</v>
      </c>
      <c r="H1991" s="316" t="str">
        <f t="array" ref="H1991">XLOOKUP(B1991,Roster!L:L,Roster!N:N,XLOOKUP(D1991,TicketsBreak!A:A,TicketsBreak!E:E,"",0),0)</f>
        <v>10:45 - 11:00 </v>
      </c>
      <c r="I1991" s="316" t="str">
        <f t="array" ref="I1991">XLOOKUP(B1991,Roster!L:L,Roster!O:O,XLOOKUP(D1991,TicketsBreak!A:A,TicketsBreak!F:F,"",0),0)</f>
        <v>13:30 - 14:00</v>
      </c>
      <c r="J1991" s="316" t="str">
        <f t="array" ref="J1991">XLOOKUP(B1991,Roster!L:L,Roster!P:P,XLOOKUP(D1991,TicketsBreak!A:A,TicketsBreak!G:G,"",0),0)</f>
        <v>15:45 - 16:00</v>
      </c>
      <c r="K1991" s="310">
        <f t="shared" si="4"/>
        <v>46129</v>
      </c>
      <c r="L1991" s="317">
        <f t="array" ref="L1991">(XLOOKUP(D1991,Roster!F:F,Roster!D:D,"",0))</f>
        <v>36</v>
      </c>
      <c r="M1991" s="317" t="str">
        <f t="array" ref="M1991">XLOOKUP(D1991,Roster!F:F,Roster!E:E)</f>
        <v>Voice</v>
      </c>
      <c r="N1991" s="317" t="str">
        <f t="shared" ref="N1991:P1991" si="2021">LEFT(H1991,5)</f>
        <v>10:45</v>
      </c>
      <c r="O1991" s="317" t="str">
        <f t="shared" si="2021"/>
        <v>13:30</v>
      </c>
      <c r="P1991" s="317" t="str">
        <f t="shared" si="2021"/>
        <v>15:45</v>
      </c>
      <c r="Q1991" s="318">
        <f t="shared" si="1941"/>
        <v>46129.44792</v>
      </c>
      <c r="R1991" s="318">
        <f t="shared" si="1942"/>
        <v>46129.5625</v>
      </c>
      <c r="S1991" s="318">
        <f t="shared" si="8"/>
        <v>46129.65625</v>
      </c>
    </row>
    <row r="1992">
      <c r="A1992" s="14" t="str">
        <f t="shared" si="1"/>
        <v>C106446129</v>
      </c>
      <c r="B1992" s="185" t="str">
        <f t="array" ref="B1992">IF(F1992="VL","",IF(F1992="Free","Free",XLOOKUP(D1992,Roster!T:T,Roster!S:S,"",0)))</f>
        <v/>
      </c>
      <c r="C1992" s="313">
        <v>46129.0</v>
      </c>
      <c r="D1992" s="314" t="s">
        <v>175</v>
      </c>
      <c r="E1992" s="307" t="str">
        <f t="array" ref="E1992">(XLOOKUP(D1992,Roster!F:F,Roster!B:B,"",0))</f>
        <v>Daniel Urrego</v>
      </c>
      <c r="F1992" s="315" t="str">
        <f t="array" ref="F1992">IF(B1992=100,"Free",TEXT(XLOOKUP($D1992,OperationVoice!$A:$A,OperationVoice!W:W,XLOOKUP($D1992,OperationTickets!$A:$A,OperationTickets!W:W,"",0)),"hh:mm"))</f>
        <v>08:00</v>
      </c>
      <c r="G1992" s="309">
        <f t="shared" si="3"/>
        <v>0.7083333333</v>
      </c>
      <c r="H1992" s="316" t="str">
        <f t="array" ref="H1992">XLOOKUP(B1992,Roster!L:L,Roster!N:N,XLOOKUP(D1992,TicketsBreak!A:A,TicketsBreak!E:E,"",0),0)</f>
        <v/>
      </c>
      <c r="I1992" s="316" t="str">
        <f t="array" ref="I1992">XLOOKUP(B1992,Roster!L:L,Roster!O:O,XLOOKUP(D1992,TicketsBreak!A:A,TicketsBreak!F:F,"",0),0)</f>
        <v/>
      </c>
      <c r="J1992" s="316" t="str">
        <f t="array" ref="J1992">XLOOKUP(B1992,Roster!L:L,Roster!P:P,XLOOKUP(D1992,TicketsBreak!A:A,TicketsBreak!G:G,"",0),0)</f>
        <v/>
      </c>
      <c r="K1992" s="310">
        <f t="shared" si="4"/>
        <v>46129</v>
      </c>
      <c r="L1992" s="317">
        <f t="array" ref="L1992">(XLOOKUP(D1992,Roster!F:F,Roster!D:D,"",0))</f>
        <v>17</v>
      </c>
      <c r="M1992" s="317" t="str">
        <f t="array" ref="M1992">XLOOKUP(D1992,Roster!F:F,Roster!E:E)</f>
        <v>Tickets</v>
      </c>
      <c r="N1992" s="317" t="str">
        <f t="shared" ref="N1992:P1992" si="2022">LEFT(H1992,5)</f>
        <v/>
      </c>
      <c r="O1992" s="317" t="str">
        <f t="shared" si="2022"/>
        <v/>
      </c>
      <c r="P1992" s="317" t="str">
        <f t="shared" si="2022"/>
        <v/>
      </c>
      <c r="Q1992" s="318" t="str">
        <f t="shared" si="1941"/>
        <v/>
      </c>
      <c r="R1992" s="318" t="str">
        <f t="shared" si="1942"/>
        <v/>
      </c>
      <c r="S1992" s="318" t="str">
        <f t="shared" si="8"/>
        <v/>
      </c>
    </row>
    <row r="1993">
      <c r="A1993" s="14" t="str">
        <f t="shared" si="1"/>
        <v>C151346129</v>
      </c>
      <c r="B1993" s="185">
        <f t="array" ref="B1993">IF(F1993="VL","",IF(F1993="Free","Free",XLOOKUP(D1993,Roster!T:T,Roster!S:S,"",0)))</f>
        <v>126</v>
      </c>
      <c r="C1993" s="313">
        <v>46129.0</v>
      </c>
      <c r="D1993" s="314" t="s">
        <v>26</v>
      </c>
      <c r="E1993" s="307" t="str">
        <f t="array" ref="E1993">(XLOOKUP(D1993,Roster!F:F,Roster!B:B,"",0))</f>
        <v>David Patino</v>
      </c>
      <c r="F1993" s="315" t="str">
        <f t="array" ref="F1993">IF(B1993=100,"Free",TEXT(XLOOKUP($D1993,OperationVoice!$A:$A,OperationVoice!W:W,XLOOKUP($D1993,OperationTickets!$A:$A,OperationTickets!W:W,"",0)),"hh:mm"))</f>
        <v>08:00</v>
      </c>
      <c r="G1993" s="309">
        <f t="shared" si="3"/>
        <v>0.7083333333</v>
      </c>
      <c r="H1993" s="316" t="str">
        <f t="array" ref="H1993">XLOOKUP(B1993,Roster!L:L,Roster!N:N,XLOOKUP(D1993,TicketsBreak!A:A,TicketsBreak!E:E,"",0),0)</f>
        <v>10:45 - 11:00</v>
      </c>
      <c r="I1993" s="316" t="str">
        <f t="array" ref="I1993">XLOOKUP(B1993,Roster!L:L,Roster!O:O,XLOOKUP(D1993,TicketsBreak!A:A,TicketsBreak!F:F,"",0),0)</f>
        <v>14:00 - 14:30</v>
      </c>
      <c r="J1993" s="316" t="str">
        <f t="array" ref="J1993">XLOOKUP(B1993,Roster!L:L,Roster!P:P,XLOOKUP(D1993,TicketsBreak!A:A,TicketsBreak!G:G,"",0),0)</f>
        <v>15:45 - 16:00</v>
      </c>
      <c r="K1993" s="310">
        <f t="shared" si="4"/>
        <v>46129</v>
      </c>
      <c r="L1993" s="317">
        <f t="array" ref="L1993">(XLOOKUP(D1993,Roster!F:F,Roster!D:D,"",0))</f>
        <v>35</v>
      </c>
      <c r="M1993" s="317" t="str">
        <f t="array" ref="M1993">XLOOKUP(D1993,Roster!F:F,Roster!E:E)</f>
        <v>Voice</v>
      </c>
      <c r="N1993" s="317" t="str">
        <f t="shared" ref="N1993:P1993" si="2023">LEFT(H1993,5)</f>
        <v>10:45</v>
      </c>
      <c r="O1993" s="317" t="str">
        <f t="shared" si="2023"/>
        <v>14:00</v>
      </c>
      <c r="P1993" s="317" t="str">
        <f t="shared" si="2023"/>
        <v>15:45</v>
      </c>
      <c r="Q1993" s="318">
        <f t="shared" si="1941"/>
        <v>46129.44792</v>
      </c>
      <c r="R1993" s="318">
        <f t="shared" si="1942"/>
        <v>46129.58333</v>
      </c>
      <c r="S1993" s="318">
        <f t="shared" si="8"/>
        <v>46129.65625</v>
      </c>
    </row>
    <row r="1994">
      <c r="A1994" s="14" t="str">
        <f t="shared" si="1"/>
        <v>C127746129</v>
      </c>
      <c r="B1994" s="185">
        <f t="array" ref="B1994">IF(F1994="VL","",IF(F1994="Free","Free",XLOOKUP(D1994,Roster!T:T,Roster!S:S,"",0)))</f>
        <v>124</v>
      </c>
      <c r="C1994" s="313">
        <v>46129.0</v>
      </c>
      <c r="D1994" s="314" t="s">
        <v>27</v>
      </c>
      <c r="E1994" s="307" t="str">
        <f t="array" ref="E1994">(XLOOKUP(D1994,Roster!F:F,Roster!B:B,"",0))</f>
        <v>Edwuin Martinez</v>
      </c>
      <c r="F1994" s="315" t="str">
        <f t="array" ref="F1994">IF(B1994=100,"Free",TEXT(XLOOKUP($D1994,OperationVoice!$A:$A,OperationVoice!W:W,XLOOKUP($D1994,OperationTickets!$A:$A,OperationTickets!W:W,"",0)),"hh:mm"))</f>
        <v>08:00</v>
      </c>
      <c r="G1994" s="309">
        <f t="shared" si="3"/>
        <v>0.7083333333</v>
      </c>
      <c r="H1994" s="316" t="str">
        <f t="array" ref="H1994">XLOOKUP(B1994,Roster!L:L,Roster!N:N,XLOOKUP(D1994,TicketsBreak!A:A,TicketsBreak!E:E,"",0),0)</f>
        <v>10:00 - 10:15</v>
      </c>
      <c r="I1994" s="316" t="str">
        <f t="array" ref="I1994">XLOOKUP(B1994,Roster!L:L,Roster!O:O,XLOOKUP(D1994,TicketsBreak!A:A,TicketsBreak!F:F,"",0),0)</f>
        <v>13:00 - 13:30</v>
      </c>
      <c r="J1994" s="316" t="str">
        <f t="array" ref="J1994">XLOOKUP(B1994,Roster!L:L,Roster!P:P,XLOOKUP(D1994,TicketsBreak!A:A,TicketsBreak!G:G,"",0),0)</f>
        <v>15:30 - 15:45</v>
      </c>
      <c r="K1994" s="310">
        <f t="shared" si="4"/>
        <v>46129</v>
      </c>
      <c r="L1994" s="317">
        <f t="array" ref="L1994">(XLOOKUP(D1994,Roster!F:F,Roster!D:D,"",0))</f>
        <v>27</v>
      </c>
      <c r="M1994" s="317" t="str">
        <f t="array" ref="M1994">XLOOKUP(D1994,Roster!F:F,Roster!E:E)</f>
        <v>Voice</v>
      </c>
      <c r="N1994" s="317" t="str">
        <f t="shared" ref="N1994:P1994" si="2024">LEFT(H1994,5)</f>
        <v>10:00</v>
      </c>
      <c r="O1994" s="317" t="str">
        <f t="shared" si="2024"/>
        <v>13:00</v>
      </c>
      <c r="P1994" s="317" t="str">
        <f t="shared" si="2024"/>
        <v>15:30</v>
      </c>
      <c r="Q1994" s="318">
        <f t="shared" si="1941"/>
        <v>46129.41667</v>
      </c>
      <c r="R1994" s="318">
        <f t="shared" si="1942"/>
        <v>46129.54167</v>
      </c>
      <c r="S1994" s="318">
        <f t="shared" si="8"/>
        <v>46129.64583</v>
      </c>
    </row>
    <row r="1995">
      <c r="A1995" s="14" t="str">
        <f t="shared" si="1"/>
        <v>C121646129</v>
      </c>
      <c r="B1995" s="185" t="str">
        <f t="array" ref="B1995">IF(F1995="VL","",IF(F1995="Free","Free",XLOOKUP(D1995,Roster!T:T,Roster!S:S,"",0)))</f>
        <v/>
      </c>
      <c r="C1995" s="313">
        <v>46129.0</v>
      </c>
      <c r="D1995" s="314" t="s">
        <v>134</v>
      </c>
      <c r="E1995" s="307" t="str">
        <f t="array" ref="E1995">(XLOOKUP(D1995,Roster!F:F,Roster!B:B,"",0))</f>
        <v>Eliana Pena</v>
      </c>
      <c r="F1995" s="315" t="str">
        <f t="array" ref="F1995">IF(B1995=100,"Free",TEXT(XLOOKUP($D1995,OperationVoice!$A:$A,OperationVoice!W:W,XLOOKUP($D1995,OperationTickets!$A:$A,OperationTickets!W:W,"",0)),"hh:mm"))</f>
        <v>08:00</v>
      </c>
      <c r="G1995" s="309">
        <f t="shared" si="3"/>
        <v>0.7083333333</v>
      </c>
      <c r="H1995" s="316">
        <f t="array" ref="H1995">XLOOKUP(B1995,Roster!L:L,Roster!N:N,XLOOKUP(D1995,TicketsBreak!A:A,TicketsBreak!E:E,"",0),0)</f>
        <v>0.3958333333</v>
      </c>
      <c r="I1995" s="316">
        <f t="array" ref="I1995">XLOOKUP(B1995,Roster!L:L,Roster!O:O,XLOOKUP(D1995,TicketsBreak!A:A,TicketsBreak!F:F,"",0),0)</f>
        <v>0.5416666667</v>
      </c>
      <c r="J1995" s="316">
        <f t="array" ref="J1995">XLOOKUP(B1995,Roster!L:L,Roster!P:P,XLOOKUP(D1995,TicketsBreak!A:A,TicketsBreak!G:G,"",0),0)</f>
        <v>0.6354166667</v>
      </c>
      <c r="K1995" s="310">
        <f t="shared" si="4"/>
        <v>46129</v>
      </c>
      <c r="L1995" s="317">
        <f t="array" ref="L1995">(XLOOKUP(D1995,Roster!F:F,Roster!D:D,"",0))</f>
        <v>26</v>
      </c>
      <c r="M1995" s="317" t="str">
        <f t="array" ref="M1995">XLOOKUP(D1995,Roster!F:F,Roster!E:E)</f>
        <v>Tickets</v>
      </c>
      <c r="N1995" s="317" t="str">
        <f t="shared" ref="N1995:P1995" si="2025">LEFT(H1995,5)</f>
        <v>09:30</v>
      </c>
      <c r="O1995" s="317" t="str">
        <f t="shared" si="2025"/>
        <v>13:00</v>
      </c>
      <c r="P1995" s="317" t="str">
        <f t="shared" si="2025"/>
        <v>15:15</v>
      </c>
      <c r="Q1995" s="318">
        <f t="shared" si="1941"/>
        <v>46129.39583</v>
      </c>
      <c r="R1995" s="318">
        <f t="shared" si="1942"/>
        <v>46129.54167</v>
      </c>
      <c r="S1995" s="318">
        <f t="shared" si="8"/>
        <v>46129.63542</v>
      </c>
    </row>
    <row r="1996">
      <c r="A1996" s="14" t="str">
        <f t="shared" si="1"/>
        <v>C157346129</v>
      </c>
      <c r="B1996" s="185" t="str">
        <f t="array" ref="B1996">IF(F1996="VL","",IF(F1996="Free","Free",XLOOKUP(D1996,Roster!T:T,Roster!S:S,"",0)))</f>
        <v>Free</v>
      </c>
      <c r="C1996" s="313">
        <v>46129.0</v>
      </c>
      <c r="D1996" s="314" t="s">
        <v>28</v>
      </c>
      <c r="E1996" s="307" t="str">
        <f t="array" ref="E1996">(XLOOKUP(D1996,Roster!F:F,Roster!B:B,"",0))</f>
        <v>Esteban Correa</v>
      </c>
      <c r="F1996" s="315" t="str">
        <f t="array" ref="F1996">IF(B1996=100,"Free",TEXT(XLOOKUP($D1996,OperationVoice!$A:$A,OperationVoice!W:W,XLOOKUP($D1996,OperationTickets!$A:$A,OperationTickets!W:W,"",0)),"hh:mm"))</f>
        <v>Free</v>
      </c>
      <c r="G1996" s="309" t="str">
        <f t="shared" si="3"/>
        <v>Free</v>
      </c>
      <c r="H1996" s="316" t="str">
        <f t="array" ref="H1996">XLOOKUP(B1996,Roster!L:L,Roster!N:N,XLOOKUP(D1996,TicketsBreak!A:A,TicketsBreak!E:E,"",0),0)</f>
        <v/>
      </c>
      <c r="I1996" s="316" t="str">
        <f t="array" ref="I1996">XLOOKUP(B1996,Roster!L:L,Roster!O:O,XLOOKUP(D1996,TicketsBreak!A:A,TicketsBreak!F:F,"",0),0)</f>
        <v/>
      </c>
      <c r="J1996" s="316" t="str">
        <f t="array" ref="J1996">XLOOKUP(B1996,Roster!L:L,Roster!P:P,XLOOKUP(D1996,TicketsBreak!A:A,TicketsBreak!G:G,"",0),0)</f>
        <v/>
      </c>
      <c r="K1996" s="310">
        <f t="shared" si="4"/>
        <v>46129</v>
      </c>
      <c r="L1996" s="317">
        <f t="array" ref="L1996">(XLOOKUP(D1996,Roster!F:F,Roster!D:D,"",0))</f>
        <v>38</v>
      </c>
      <c r="M1996" s="317" t="str">
        <f t="array" ref="M1996">XLOOKUP(D1996,Roster!F:F,Roster!E:E)</f>
        <v>Voice</v>
      </c>
      <c r="N1996" s="317" t="str">
        <f t="shared" ref="N1996:P1996" si="2026">LEFT(H1996,5)</f>
        <v/>
      </c>
      <c r="O1996" s="317" t="str">
        <f t="shared" si="2026"/>
        <v/>
      </c>
      <c r="P1996" s="317" t="str">
        <f t="shared" si="2026"/>
        <v/>
      </c>
      <c r="Q1996" s="318" t="str">
        <f t="shared" si="1941"/>
        <v/>
      </c>
      <c r="R1996" s="318" t="str">
        <f t="shared" si="1942"/>
        <v/>
      </c>
      <c r="S1996" s="318" t="str">
        <f t="shared" si="8"/>
        <v/>
      </c>
    </row>
    <row r="1997">
      <c r="A1997" s="14" t="str">
        <f t="shared" si="1"/>
        <v>C71346129</v>
      </c>
      <c r="B1997" s="185">
        <f t="array" ref="B1997">IF(F1997="VL","",IF(F1997="Free","Free",XLOOKUP(D1997,Roster!T:T,Roster!S:S,"",0)))</f>
        <v>125</v>
      </c>
      <c r="C1997" s="313">
        <v>46129.0</v>
      </c>
      <c r="D1997" s="314" t="s">
        <v>29</v>
      </c>
      <c r="E1997" s="307" t="str">
        <f t="array" ref="E1997">(XLOOKUP(D1997,Roster!F:F,Roster!B:B,"",0))</f>
        <v>Frank Marin</v>
      </c>
      <c r="F1997" s="315" t="str">
        <f t="array" ref="F1997">IF(B1997=100,"Free",TEXT(XLOOKUP($D1997,OperationVoice!$A:$A,OperationVoice!W:W,XLOOKUP($D1997,OperationTickets!$A:$A,OperationTickets!W:W,"",0)),"hh:mm"))</f>
        <v>08:00</v>
      </c>
      <c r="G1997" s="309">
        <f t="shared" si="3"/>
        <v>0.7083333333</v>
      </c>
      <c r="H1997" s="316" t="str">
        <f t="array" ref="H1997">XLOOKUP(B1997,Roster!L:L,Roster!N:N,XLOOKUP(D1997,TicketsBreak!A:A,TicketsBreak!E:E,"",0),0)</f>
        <v>10:30 - 10:45</v>
      </c>
      <c r="I1997" s="316" t="str">
        <f t="array" ref="I1997">XLOOKUP(B1997,Roster!L:L,Roster!O:O,XLOOKUP(D1997,TicketsBreak!A:A,TicketsBreak!F:F,"",0),0)</f>
        <v>13:30 - 14:00</v>
      </c>
      <c r="J1997" s="316" t="str">
        <f t="array" ref="J1997">XLOOKUP(B1997,Roster!L:L,Roster!P:P,XLOOKUP(D1997,TicketsBreak!A:A,TicketsBreak!G:G,"",0),0)</f>
        <v>15:45 - 16:00</v>
      </c>
      <c r="K1997" s="310">
        <f t="shared" si="4"/>
        <v>46129</v>
      </c>
      <c r="L1997" s="317">
        <f t="array" ref="L1997">(XLOOKUP(D1997,Roster!F:F,Roster!D:D,"",0))</f>
        <v>6</v>
      </c>
      <c r="M1997" s="317" t="str">
        <f t="array" ref="M1997">XLOOKUP(D1997,Roster!F:F,Roster!E:E)</f>
        <v>Voice</v>
      </c>
      <c r="N1997" s="317" t="str">
        <f t="shared" ref="N1997:P1997" si="2027">LEFT(H1997,5)</f>
        <v>10:30</v>
      </c>
      <c r="O1997" s="317" t="str">
        <f t="shared" si="2027"/>
        <v>13:30</v>
      </c>
      <c r="P1997" s="317" t="str">
        <f t="shared" si="2027"/>
        <v>15:45</v>
      </c>
      <c r="Q1997" s="318">
        <f t="shared" si="1941"/>
        <v>46129.4375</v>
      </c>
      <c r="R1997" s="318">
        <f t="shared" si="1942"/>
        <v>46129.5625</v>
      </c>
      <c r="S1997" s="318">
        <f t="shared" si="8"/>
        <v>46129.65625</v>
      </c>
    </row>
    <row r="1998">
      <c r="A1998" s="14" t="str">
        <f t="shared" si="1"/>
        <v>C154846129</v>
      </c>
      <c r="B1998" s="185">
        <f t="array" ref="B1998">IF(F1998="VL","",IF(F1998="Free","Free",XLOOKUP(D1998,Roster!T:T,Roster!S:S,"",0)))</f>
        <v>152</v>
      </c>
      <c r="C1998" s="313">
        <v>46129.0</v>
      </c>
      <c r="D1998" s="314" t="s">
        <v>30</v>
      </c>
      <c r="E1998" s="307" t="str">
        <f t="array" ref="E1998">(XLOOKUP(D1998,Roster!F:F,Roster!B:B,"",0))</f>
        <v>Frey ortiz</v>
      </c>
      <c r="F1998" s="315" t="str">
        <f t="array" ref="F1998">IF(B1998=100,"Free",TEXT(XLOOKUP($D1998,OperationVoice!$A:$A,OperationVoice!W:W,XLOOKUP($D1998,OperationTickets!$A:$A,OperationTickets!W:W,"",0)),"hh:mm"))</f>
        <v>11:00</v>
      </c>
      <c r="G1998" s="309">
        <f t="shared" si="3"/>
        <v>0.8333333333</v>
      </c>
      <c r="H1998" s="316" t="str">
        <f t="array" ref="H1998">XLOOKUP(B1998,Roster!L:L,Roster!N:N,XLOOKUP(D1998,TicketsBreak!A:A,TicketsBreak!E:E,"",0),0)</f>
        <v>12:30 - 12:45</v>
      </c>
      <c r="I1998" s="316" t="str">
        <f t="array" ref="I1998">XLOOKUP(B1998,Roster!L:L,Roster!O:O,XLOOKUP(D1998,TicketsBreak!A:A,TicketsBreak!F:F,"",0),0)</f>
        <v>14:30 - 15:00</v>
      </c>
      <c r="J1998" s="316" t="str">
        <f t="array" ref="J1998">XLOOKUP(B1998,Roster!L:L,Roster!P:P,XLOOKUP(D1998,TicketsBreak!A:A,TicketsBreak!G:G,"",0),0)</f>
        <v>17:30 - 17:45</v>
      </c>
      <c r="K1998" s="310">
        <f t="shared" si="4"/>
        <v>46129</v>
      </c>
      <c r="L1998" s="317">
        <f t="array" ref="L1998">(XLOOKUP(D1998,Roster!F:F,Roster!D:D,"",0))</f>
        <v>37</v>
      </c>
      <c r="M1998" s="317" t="str">
        <f t="array" ref="M1998">XLOOKUP(D1998,Roster!F:F,Roster!E:E)</f>
        <v>Voice</v>
      </c>
      <c r="N1998" s="317" t="str">
        <f t="shared" ref="N1998:P1998" si="2028">LEFT(H1998,5)</f>
        <v>12:30</v>
      </c>
      <c r="O1998" s="317" t="str">
        <f t="shared" si="2028"/>
        <v>14:30</v>
      </c>
      <c r="P1998" s="317" t="str">
        <f t="shared" si="2028"/>
        <v>17:30</v>
      </c>
      <c r="Q1998" s="318">
        <f t="shared" si="1941"/>
        <v>46129.52083</v>
      </c>
      <c r="R1998" s="318">
        <f t="shared" si="1942"/>
        <v>46129.60417</v>
      </c>
      <c r="S1998" s="318">
        <f t="shared" si="8"/>
        <v>46129.72917</v>
      </c>
    </row>
    <row r="1999">
      <c r="A1999" s="14" t="str">
        <f t="shared" si="1"/>
        <v>C148646129</v>
      </c>
      <c r="B1999" s="185">
        <f t="array" ref="B1999">IF(F1999="VL","",IF(F1999="Free","Free",XLOOKUP(D1999,Roster!T:T,Roster!S:S,"",0)))</f>
        <v>154</v>
      </c>
      <c r="C1999" s="313">
        <v>46129.0</v>
      </c>
      <c r="D1999" s="314" t="s">
        <v>31</v>
      </c>
      <c r="E1999" s="307" t="str">
        <f t="array" ref="E1999">(XLOOKUP(D1999,Roster!F:F,Roster!B:B,"",0))</f>
        <v>Gabriel Gomez</v>
      </c>
      <c r="F1999" s="315" t="str">
        <f t="array" ref="F1999">IF(B1999=100,"Free",TEXT(XLOOKUP($D1999,OperationVoice!$A:$A,OperationVoice!W:W,XLOOKUP($D1999,OperationTickets!$A:$A,OperationTickets!W:W,"",0)),"hh:mm"))</f>
        <v>11:00</v>
      </c>
      <c r="G1999" s="309">
        <f t="shared" si="3"/>
        <v>0.8333333333</v>
      </c>
      <c r="H1999" s="316" t="str">
        <f t="array" ref="H1999">XLOOKUP(B1999,Roster!L:L,Roster!N:N,XLOOKUP(D1999,TicketsBreak!A:A,TicketsBreak!E:E,"",0),0)</f>
        <v>13:00 - 13:15</v>
      </c>
      <c r="I1999" s="316" t="str">
        <f t="array" ref="I1999">XLOOKUP(B1999,Roster!L:L,Roster!O:O,XLOOKUP(D1999,TicketsBreak!A:A,TicketsBreak!F:F,"",0),0)</f>
        <v>15:15 - 15:45</v>
      </c>
      <c r="J1999" s="316" t="str">
        <f t="array" ref="J1999">XLOOKUP(B1999,Roster!L:L,Roster!P:P,XLOOKUP(D1999,TicketsBreak!A:A,TicketsBreak!G:G,"",0),0)</f>
        <v>18:00 - 18:15</v>
      </c>
      <c r="K1999" s="310">
        <f t="shared" si="4"/>
        <v>46129</v>
      </c>
      <c r="L1999" s="317">
        <f t="array" ref="L1999">(XLOOKUP(D1999,Roster!F:F,Roster!D:D,"",0))</f>
        <v>34</v>
      </c>
      <c r="M1999" s="317" t="str">
        <f t="array" ref="M1999">XLOOKUP(D1999,Roster!F:F,Roster!E:E)</f>
        <v>Voice</v>
      </c>
      <c r="N1999" s="317" t="str">
        <f t="shared" ref="N1999:P1999" si="2029">LEFT(H1999,5)</f>
        <v>13:00</v>
      </c>
      <c r="O1999" s="317" t="str">
        <f t="shared" si="2029"/>
        <v>15:15</v>
      </c>
      <c r="P1999" s="317" t="str">
        <f t="shared" si="2029"/>
        <v>18:00</v>
      </c>
      <c r="Q1999" s="318">
        <f t="shared" si="1941"/>
        <v>46129.54167</v>
      </c>
      <c r="R1999" s="318">
        <f t="shared" si="1942"/>
        <v>46129.63542</v>
      </c>
      <c r="S1999" s="318">
        <f t="shared" si="8"/>
        <v>46129.75</v>
      </c>
    </row>
    <row r="2000">
      <c r="A2000" s="14" t="str">
        <f t="shared" si="1"/>
        <v>C136946129</v>
      </c>
      <c r="B2000" s="185">
        <f t="array" ref="B2000">IF(F2000="VL","",IF(F2000="Free","Free",XLOOKUP(D2000,Roster!T:T,Roster!S:S,"",0)))</f>
        <v>126</v>
      </c>
      <c r="C2000" s="313">
        <v>46129.0</v>
      </c>
      <c r="D2000" s="314" t="s">
        <v>157</v>
      </c>
      <c r="E2000" s="307" t="str">
        <f t="array" ref="E2000">(XLOOKUP(D2000,Roster!F:F,Roster!B:B,"",0))</f>
        <v>Gabriela Jimenez</v>
      </c>
      <c r="F2000" s="315" t="str">
        <f t="array" ref="F2000">IF(B2000=100,"Free",TEXT(XLOOKUP($D2000,OperationVoice!$A:$A,OperationVoice!W:W,XLOOKUP($D2000,OperationTickets!$A:$A,OperationTickets!W:W,"",0)),"hh:mm"))</f>
        <v>08:00</v>
      </c>
      <c r="G2000" s="309">
        <f t="shared" si="3"/>
        <v>0.7083333333</v>
      </c>
      <c r="H2000" s="316" t="str">
        <f t="array" ref="H2000">XLOOKUP(B2000,Roster!L:L,Roster!N:N,XLOOKUP(D2000,TicketsBreak!A:A,TicketsBreak!E:E,"",0),0)</f>
        <v>10:45 - 11:00</v>
      </c>
      <c r="I2000" s="316" t="str">
        <f t="array" ref="I2000">XLOOKUP(B2000,Roster!L:L,Roster!O:O,XLOOKUP(D2000,TicketsBreak!A:A,TicketsBreak!F:F,"",0),0)</f>
        <v>14:00 - 14:30</v>
      </c>
      <c r="J2000" s="316" t="str">
        <f t="array" ref="J2000">XLOOKUP(B2000,Roster!L:L,Roster!P:P,XLOOKUP(D2000,TicketsBreak!A:A,TicketsBreak!G:G,"",0),0)</f>
        <v>15:45 - 16:00</v>
      </c>
      <c r="K2000" s="310">
        <f t="shared" si="4"/>
        <v>46129</v>
      </c>
      <c r="L2000" s="317">
        <f t="array" ref="L2000">(XLOOKUP(D2000,Roster!F:F,Roster!D:D,"",0))</f>
        <v>31</v>
      </c>
      <c r="M2000" s="317" t="str">
        <f t="array" ref="M2000">XLOOKUP(D2000,Roster!F:F,Roster!E:E)</f>
        <v>Tickets</v>
      </c>
      <c r="N2000" s="317" t="str">
        <f t="shared" ref="N2000:P2000" si="2030">LEFT(H2000,5)</f>
        <v>10:45</v>
      </c>
      <c r="O2000" s="317" t="str">
        <f t="shared" si="2030"/>
        <v>14:00</v>
      </c>
      <c r="P2000" s="317" t="str">
        <f t="shared" si="2030"/>
        <v>15:45</v>
      </c>
      <c r="Q2000" s="318">
        <f t="shared" si="1941"/>
        <v>46129.44792</v>
      </c>
      <c r="R2000" s="318">
        <f t="shared" si="1942"/>
        <v>46129.58333</v>
      </c>
      <c r="S2000" s="318">
        <f t="shared" si="8"/>
        <v>46129.65625</v>
      </c>
    </row>
    <row r="2001">
      <c r="A2001" s="14" t="str">
        <f t="shared" si="1"/>
        <v>C101746129</v>
      </c>
      <c r="B2001" s="185">
        <f t="array" ref="B2001">IF(F2001="VL","",IF(F2001="Free","Free",XLOOKUP(D2001,Roster!T:T,Roster!S:S,"",0)))</f>
        <v>121</v>
      </c>
      <c r="C2001" s="313">
        <v>46129.0</v>
      </c>
      <c r="D2001" s="314" t="s">
        <v>32</v>
      </c>
      <c r="E2001" s="307" t="str">
        <f t="array" ref="E2001">(XLOOKUP(D2001,Roster!F:F,Roster!B:B,"",0))</f>
        <v>Geraldine Correa</v>
      </c>
      <c r="F2001" s="315" t="str">
        <f t="array" ref="F2001">IF(B2001=100,"Free",TEXT(XLOOKUP($D2001,OperationVoice!$A:$A,OperationVoice!W:W,XLOOKUP($D2001,OperationTickets!$A:$A,OperationTickets!W:W,"",0)),"hh:mm"))</f>
        <v>08:00</v>
      </c>
      <c r="G2001" s="309">
        <f t="shared" si="3"/>
        <v>0.7083333333</v>
      </c>
      <c r="H2001" s="316" t="str">
        <f t="array" ref="H2001">XLOOKUP(B2001,Roster!L:L,Roster!N:N,XLOOKUP(D2001,TicketsBreak!A:A,TicketsBreak!E:E,"",0),0)</f>
        <v>09:15 - 09:30</v>
      </c>
      <c r="I2001" s="316" t="str">
        <f t="array" ref="I2001">XLOOKUP(B2001,Roster!L:L,Roster!O:O,XLOOKUP(D2001,TicketsBreak!A:A,TicketsBreak!F:F,"",0),0)</f>
        <v>11:30 - 12:00</v>
      </c>
      <c r="J2001" s="316" t="str">
        <f t="array" ref="J2001">XLOOKUP(B2001,Roster!L:L,Roster!P:P,XLOOKUP(D2001,TicketsBreak!A:A,TicketsBreak!G:G,"",0),0)</f>
        <v>14:30 - 14:45</v>
      </c>
      <c r="K2001" s="310">
        <f t="shared" si="4"/>
        <v>46129</v>
      </c>
      <c r="L2001" s="317">
        <f t="array" ref="L2001">(XLOOKUP(D2001,Roster!F:F,Roster!D:D,"",0))</f>
        <v>23</v>
      </c>
      <c r="M2001" s="317" t="str">
        <f t="array" ref="M2001">XLOOKUP(D2001,Roster!F:F,Roster!E:E)</f>
        <v>Voice</v>
      </c>
      <c r="N2001" s="317" t="str">
        <f t="shared" ref="N2001:P2001" si="2031">LEFT(H2001,5)</f>
        <v>09:15</v>
      </c>
      <c r="O2001" s="317" t="str">
        <f t="shared" si="2031"/>
        <v>11:30</v>
      </c>
      <c r="P2001" s="317" t="str">
        <f t="shared" si="2031"/>
        <v>14:30</v>
      </c>
      <c r="Q2001" s="318">
        <f t="shared" si="1941"/>
        <v>46129.38542</v>
      </c>
      <c r="R2001" s="318">
        <f t="shared" si="1942"/>
        <v>46129.47917</v>
      </c>
      <c r="S2001" s="318">
        <f t="shared" si="8"/>
        <v>46129.60417</v>
      </c>
    </row>
    <row r="2002">
      <c r="A2002" s="14" t="str">
        <f t="shared" si="1"/>
        <v>C154146129</v>
      </c>
      <c r="B2002" s="185">
        <f t="array" ref="B2002">IF(F2002="VL","",IF(F2002="Free","Free",XLOOKUP(D2002,Roster!T:T,Roster!S:S,"",0)))</f>
        <v>155</v>
      </c>
      <c r="C2002" s="313">
        <v>46129.0</v>
      </c>
      <c r="D2002" s="314" t="s">
        <v>33</v>
      </c>
      <c r="E2002" s="307" t="str">
        <f t="array" ref="E2002">(XLOOKUP(D2002,Roster!F:F,Roster!B:B,"",0))</f>
        <v>Gisel Moya</v>
      </c>
      <c r="F2002" s="315" t="str">
        <f t="array" ref="F2002">IF(B2002=100,"Free",TEXT(XLOOKUP($D2002,OperationVoice!$A:$A,OperationVoice!W:W,XLOOKUP($D2002,OperationTickets!$A:$A,OperationTickets!W:W,"",0)),"hh:mm"))</f>
        <v>11:00</v>
      </c>
      <c r="G2002" s="309">
        <f t="shared" si="3"/>
        <v>0.8333333333</v>
      </c>
      <c r="H2002" s="316" t="str">
        <f t="array" ref="H2002">XLOOKUP(B2002,Roster!L:L,Roster!N:N,XLOOKUP(D2002,TicketsBreak!A:A,TicketsBreak!E:E,"",0),0)</f>
        <v>13:15 - 13:30</v>
      </c>
      <c r="I2002" s="316" t="str">
        <f t="array" ref="I2002">XLOOKUP(B2002,Roster!L:L,Roster!O:O,XLOOKUP(D2002,TicketsBreak!A:A,TicketsBreak!F:F,"",0),0)</f>
        <v>15:45 - 16:15</v>
      </c>
      <c r="J2002" s="316" t="str">
        <f t="array" ref="J2002">XLOOKUP(B2002,Roster!L:L,Roster!P:P,XLOOKUP(D2002,TicketsBreak!A:A,TicketsBreak!G:G,"",0),0)</f>
        <v>18:15 - 18:30</v>
      </c>
      <c r="K2002" s="310">
        <f t="shared" si="4"/>
        <v>46129</v>
      </c>
      <c r="L2002" s="317">
        <f t="array" ref="L2002">(XLOOKUP(D2002,Roster!F:F,Roster!D:D,"",0))</f>
        <v>36</v>
      </c>
      <c r="M2002" s="317" t="str">
        <f t="array" ref="M2002">XLOOKUP(D2002,Roster!F:F,Roster!E:E)</f>
        <v>Voice</v>
      </c>
      <c r="N2002" s="317" t="str">
        <f t="shared" ref="N2002:P2002" si="2032">LEFT(H2002,5)</f>
        <v>13:15</v>
      </c>
      <c r="O2002" s="317" t="str">
        <f t="shared" si="2032"/>
        <v>15:45</v>
      </c>
      <c r="P2002" s="317" t="str">
        <f t="shared" si="2032"/>
        <v>18:15</v>
      </c>
      <c r="Q2002" s="318">
        <f t="shared" si="1941"/>
        <v>46129.55208</v>
      </c>
      <c r="R2002" s="318">
        <f t="shared" si="1942"/>
        <v>46129.65625</v>
      </c>
      <c r="S2002" s="318">
        <f t="shared" si="8"/>
        <v>46129.76042</v>
      </c>
    </row>
    <row r="2003">
      <c r="A2003" s="14" t="str">
        <f t="shared" si="1"/>
        <v>C86046129</v>
      </c>
      <c r="B2003" s="185" t="str">
        <f t="array" ref="B2003">IF(F2003="VL","",IF(F2003="Free","Free",XLOOKUP(D2003,Roster!T:T,Roster!S:S,"",0)))</f>
        <v/>
      </c>
      <c r="C2003" s="313">
        <v>46129.0</v>
      </c>
      <c r="D2003" s="314" t="s">
        <v>158</v>
      </c>
      <c r="E2003" s="307" t="str">
        <f t="array" ref="E2003">(XLOOKUP(D2003,Roster!F:F,Roster!B:B,"",0))</f>
        <v>Ief Fabre</v>
      </c>
      <c r="F2003" s="315" t="str">
        <f t="array" ref="F2003">IF(B2003=100,"Free",TEXT(XLOOKUP($D2003,OperationVoice!$A:$A,OperationVoice!W:W,XLOOKUP($D2003,OperationTickets!$A:$A,OperationTickets!W:W,"",0)),"hh:mm"))</f>
        <v>08:00</v>
      </c>
      <c r="G2003" s="309">
        <f t="shared" si="3"/>
        <v>0.7083333333</v>
      </c>
      <c r="H2003" s="316">
        <f t="array" ref="H2003">XLOOKUP(B2003,Roster!L:L,Roster!N:N,XLOOKUP(D2003,TicketsBreak!A:A,TicketsBreak!E:E,"",0),0)</f>
        <v>0.4166666667</v>
      </c>
      <c r="I2003" s="316">
        <f t="array" ref="I2003">XLOOKUP(B2003,Roster!L:L,Roster!O:O,XLOOKUP(D2003,TicketsBreak!A:A,TicketsBreak!F:F,"",0),0)</f>
        <v>0.5</v>
      </c>
      <c r="J2003" s="316">
        <f t="array" ref="J2003">XLOOKUP(B2003,Roster!L:L,Roster!P:P,XLOOKUP(D2003,TicketsBreak!A:A,TicketsBreak!G:G,"",0),0)</f>
        <v>0.625</v>
      </c>
      <c r="K2003" s="310">
        <f t="shared" si="4"/>
        <v>46129</v>
      </c>
      <c r="L2003" s="317">
        <f t="array" ref="L2003">(XLOOKUP(D2003,Roster!F:F,Roster!D:D,"",0))</f>
        <v>10</v>
      </c>
      <c r="M2003" s="317" t="str">
        <f t="array" ref="M2003">XLOOKUP(D2003,Roster!F:F,Roster!E:E)</f>
        <v>Tickets</v>
      </c>
      <c r="N2003" s="317" t="str">
        <f t="shared" ref="N2003:P2003" si="2033">LEFT(H2003,5)</f>
        <v>10:00</v>
      </c>
      <c r="O2003" s="317" t="str">
        <f t="shared" si="2033"/>
        <v>12:00</v>
      </c>
      <c r="P2003" s="317" t="str">
        <f t="shared" si="2033"/>
        <v>15:00</v>
      </c>
      <c r="Q2003" s="318">
        <f t="shared" si="1941"/>
        <v>46129.41667</v>
      </c>
      <c r="R2003" s="318">
        <f t="shared" si="1942"/>
        <v>46129.5</v>
      </c>
      <c r="S2003" s="318">
        <f t="shared" si="8"/>
        <v>46129.625</v>
      </c>
    </row>
    <row r="2004">
      <c r="A2004" s="14" t="str">
        <f t="shared" si="1"/>
        <v>C148146129</v>
      </c>
      <c r="B2004" s="185" t="str">
        <f t="array" ref="B2004">IF(F2004="VL","",IF(F2004="Free","Free",XLOOKUP(D2004,Roster!T:T,Roster!S:S,"",0)))</f>
        <v>Free</v>
      </c>
      <c r="C2004" s="313">
        <v>46129.0</v>
      </c>
      <c r="D2004" s="314" t="s">
        <v>34</v>
      </c>
      <c r="E2004" s="307" t="str">
        <f t="array" ref="E2004">(XLOOKUP(D2004,Roster!F:F,Roster!B:B,"",0))</f>
        <v>Jasam Mejia</v>
      </c>
      <c r="F2004" s="315" t="str">
        <f t="array" ref="F2004">IF(B2004=100,"Free",TEXT(XLOOKUP($D2004,OperationVoice!$A:$A,OperationVoice!W:W,XLOOKUP($D2004,OperationTickets!$A:$A,OperationTickets!W:W,"",0)),"hh:mm"))</f>
        <v>Free</v>
      </c>
      <c r="G2004" s="309" t="str">
        <f t="shared" si="3"/>
        <v>Free</v>
      </c>
      <c r="H2004" s="316" t="str">
        <f t="array" ref="H2004">XLOOKUP(B2004,Roster!L:L,Roster!N:N,XLOOKUP(D2004,TicketsBreak!A:A,TicketsBreak!E:E,"",0),0)</f>
        <v/>
      </c>
      <c r="I2004" s="316" t="str">
        <f t="array" ref="I2004">XLOOKUP(B2004,Roster!L:L,Roster!O:O,XLOOKUP(D2004,TicketsBreak!A:A,TicketsBreak!F:F,"",0),0)</f>
        <v/>
      </c>
      <c r="J2004" s="316" t="str">
        <f t="array" ref="J2004">XLOOKUP(B2004,Roster!L:L,Roster!P:P,XLOOKUP(D2004,TicketsBreak!A:A,TicketsBreak!G:G,"",0),0)</f>
        <v/>
      </c>
      <c r="K2004" s="310">
        <f t="shared" si="4"/>
        <v>46129</v>
      </c>
      <c r="L2004" s="317">
        <f t="array" ref="L2004">(XLOOKUP(D2004,Roster!F:F,Roster!D:D,"",0))</f>
        <v>34</v>
      </c>
      <c r="M2004" s="317" t="str">
        <f t="array" ref="M2004">XLOOKUP(D2004,Roster!F:F,Roster!E:E)</f>
        <v>Voice</v>
      </c>
      <c r="N2004" s="317" t="str">
        <f t="shared" ref="N2004:P2004" si="2034">LEFT(H2004,5)</f>
        <v/>
      </c>
      <c r="O2004" s="317" t="str">
        <f t="shared" si="2034"/>
        <v/>
      </c>
      <c r="P2004" s="317" t="str">
        <f t="shared" si="2034"/>
        <v/>
      </c>
      <c r="Q2004" s="318" t="str">
        <f t="shared" si="1941"/>
        <v/>
      </c>
      <c r="R2004" s="318" t="str">
        <f t="shared" si="1942"/>
        <v/>
      </c>
      <c r="S2004" s="318" t="str">
        <f t="shared" si="8"/>
        <v/>
      </c>
    </row>
    <row r="2005">
      <c r="A2005" s="14" t="str">
        <f t="shared" si="1"/>
        <v>C131846129</v>
      </c>
      <c r="B2005" s="185" t="str">
        <f t="array" ref="B2005">IF(F2005="VL","",IF(F2005="Free","Free",XLOOKUP(D2005,Roster!T:T,Roster!S:S,"",0)))</f>
        <v/>
      </c>
      <c r="C2005" s="313">
        <v>46129.0</v>
      </c>
      <c r="D2005" s="314" t="s">
        <v>159</v>
      </c>
      <c r="E2005" s="307" t="str">
        <f t="array" ref="E2005">(XLOOKUP(D2005,Roster!F:F,Roster!B:B,"",0))</f>
        <v>Jeampierre Jaramillo</v>
      </c>
      <c r="F2005" s="315" t="str">
        <f t="array" ref="F2005">IF(B2005=100,"Free",TEXT(XLOOKUP($D2005,OperationVoice!$A:$A,OperationVoice!W:W,XLOOKUP($D2005,OperationTickets!$A:$A,OperationTickets!W:W,"",0)),"hh:mm"))</f>
        <v>07:00</v>
      </c>
      <c r="G2005" s="309">
        <f t="shared" si="3"/>
        <v>0.6666666667</v>
      </c>
      <c r="H2005" s="316" t="str">
        <f t="array" ref="H2005">XLOOKUP(B2005,Roster!L:L,Roster!N:N,XLOOKUP(D2005,TicketsBreak!A:A,TicketsBreak!E:E,"",0),0)</f>
        <v/>
      </c>
      <c r="I2005" s="316" t="str">
        <f t="array" ref="I2005">XLOOKUP(B2005,Roster!L:L,Roster!O:O,XLOOKUP(D2005,TicketsBreak!A:A,TicketsBreak!F:F,"",0),0)</f>
        <v/>
      </c>
      <c r="J2005" s="316" t="str">
        <f t="array" ref="J2005">XLOOKUP(B2005,Roster!L:L,Roster!P:P,XLOOKUP(D2005,TicketsBreak!A:A,TicketsBreak!G:G,"",0),0)</f>
        <v/>
      </c>
      <c r="K2005" s="310">
        <f t="shared" si="4"/>
        <v>46129</v>
      </c>
      <c r="L2005" s="317">
        <f t="array" ref="L2005">(XLOOKUP(D2005,Roster!F:F,Roster!D:D,"",0))</f>
        <v>29</v>
      </c>
      <c r="M2005" s="317" t="str">
        <f t="array" ref="M2005">XLOOKUP(D2005,Roster!F:F,Roster!E:E)</f>
        <v>Tickets</v>
      </c>
      <c r="N2005" s="317" t="str">
        <f t="shared" ref="N2005:P2005" si="2035">LEFT(H2005,5)</f>
        <v/>
      </c>
      <c r="O2005" s="317" t="str">
        <f t="shared" si="2035"/>
        <v/>
      </c>
      <c r="P2005" s="317" t="str">
        <f t="shared" si="2035"/>
        <v/>
      </c>
      <c r="Q2005" s="318" t="str">
        <f t="shared" si="1941"/>
        <v/>
      </c>
      <c r="R2005" s="318" t="str">
        <f t="shared" si="1942"/>
        <v/>
      </c>
      <c r="S2005" s="318" t="str">
        <f t="shared" si="8"/>
        <v/>
      </c>
    </row>
    <row r="2006">
      <c r="A2006" s="14" t="str">
        <f t="shared" si="1"/>
        <v>C155046129</v>
      </c>
      <c r="B2006" s="185">
        <f t="array" ref="B2006">IF(F2006="VL","",IF(F2006="Free","Free",XLOOKUP(D2006,Roster!T:T,Roster!S:S,"",0)))</f>
        <v>126</v>
      </c>
      <c r="C2006" s="313">
        <v>46129.0</v>
      </c>
      <c r="D2006" s="314" t="s">
        <v>35</v>
      </c>
      <c r="E2006" s="307" t="str">
        <f t="array" ref="E2006">(XLOOKUP(D2006,Roster!F:F,Roster!B:B,"",0))</f>
        <v>Jeidin Vargas</v>
      </c>
      <c r="F2006" s="315" t="str">
        <f t="array" ref="F2006">IF(B2006=100,"Free",TEXT(XLOOKUP($D2006,OperationVoice!$A:$A,OperationVoice!W:W,XLOOKUP($D2006,OperationTickets!$A:$A,OperationTickets!W:W,"",0)),"hh:mm"))</f>
        <v>08:00</v>
      </c>
      <c r="G2006" s="309">
        <f t="shared" si="3"/>
        <v>0.7083333333</v>
      </c>
      <c r="H2006" s="316" t="str">
        <f t="array" ref="H2006">XLOOKUP(B2006,Roster!L:L,Roster!N:N,XLOOKUP(D2006,TicketsBreak!A:A,TicketsBreak!E:E,"",0),0)</f>
        <v>10:45 - 11:00</v>
      </c>
      <c r="I2006" s="316" t="str">
        <f t="array" ref="I2006">XLOOKUP(B2006,Roster!L:L,Roster!O:O,XLOOKUP(D2006,TicketsBreak!A:A,TicketsBreak!F:F,"",0),0)</f>
        <v>14:00 - 14:30</v>
      </c>
      <c r="J2006" s="316" t="str">
        <f t="array" ref="J2006">XLOOKUP(B2006,Roster!L:L,Roster!P:P,XLOOKUP(D2006,TicketsBreak!A:A,TicketsBreak!G:G,"",0),0)</f>
        <v>15:45 - 16:00</v>
      </c>
      <c r="K2006" s="310">
        <f t="shared" si="4"/>
        <v>46129</v>
      </c>
      <c r="L2006" s="317">
        <f t="array" ref="L2006">(XLOOKUP(D2006,Roster!F:F,Roster!D:D,"",0))</f>
        <v>37</v>
      </c>
      <c r="M2006" s="317" t="str">
        <f t="array" ref="M2006">XLOOKUP(D2006,Roster!F:F,Roster!E:E)</f>
        <v>Voice</v>
      </c>
      <c r="N2006" s="317" t="str">
        <f t="shared" ref="N2006:P2006" si="2036">LEFT(H2006,5)</f>
        <v>10:45</v>
      </c>
      <c r="O2006" s="317" t="str">
        <f t="shared" si="2036"/>
        <v>14:00</v>
      </c>
      <c r="P2006" s="317" t="str">
        <f t="shared" si="2036"/>
        <v>15:45</v>
      </c>
      <c r="Q2006" s="318">
        <f t="shared" si="1941"/>
        <v>46129.44792</v>
      </c>
      <c r="R2006" s="318">
        <f t="shared" si="1942"/>
        <v>46129.58333</v>
      </c>
      <c r="S2006" s="318">
        <f t="shared" si="8"/>
        <v>46129.65625</v>
      </c>
    </row>
    <row r="2007">
      <c r="A2007" s="14" t="str">
        <f t="shared" si="1"/>
        <v>C51246129</v>
      </c>
      <c r="B2007" s="185">
        <f t="array" ref="B2007">IF(F2007="VL","",IF(F2007="Free","Free",XLOOKUP(D2007,Roster!T:T,Roster!S:S,"",0)))</f>
        <v>122</v>
      </c>
      <c r="C2007" s="313">
        <v>46129.0</v>
      </c>
      <c r="D2007" s="314" t="s">
        <v>36</v>
      </c>
      <c r="E2007" s="307" t="str">
        <f t="array" ref="E2007">(XLOOKUP(D2007,Roster!F:F,Roster!B:B,"",0))</f>
        <v>Jhoam Quiroz</v>
      </c>
      <c r="F2007" s="315" t="str">
        <f t="array" ref="F2007">IF(B2007=100,"Free",TEXT(XLOOKUP($D2007,OperationVoice!$A:$A,OperationVoice!W:W,XLOOKUP($D2007,OperationTickets!$A:$A,OperationTickets!W:W,"",0)),"hh:mm"))</f>
        <v>08:00</v>
      </c>
      <c r="G2007" s="309">
        <f t="shared" si="3"/>
        <v>0.7083333333</v>
      </c>
      <c r="H2007" s="316" t="str">
        <f t="array" ref="H2007">XLOOKUP(B2007,Roster!L:L,Roster!N:N,XLOOKUP(D2007,TicketsBreak!A:A,TicketsBreak!E:E,"",0),0)</f>
        <v>09:30 - 09:45</v>
      </c>
      <c r="I2007" s="316" t="str">
        <f t="array" ref="I2007">XLOOKUP(B2007,Roster!L:L,Roster!O:O,XLOOKUP(D2007,TicketsBreak!A:A,TicketsBreak!F:F,"",0),0)</f>
        <v>12:00 - 12:30</v>
      </c>
      <c r="J2007" s="316" t="str">
        <f t="array" ref="J2007">XLOOKUP(B2007,Roster!L:L,Roster!P:P,XLOOKUP(D2007,TicketsBreak!A:A,TicketsBreak!G:G,"",0),0)</f>
        <v>14:45 - 15:00</v>
      </c>
      <c r="K2007" s="310">
        <f t="shared" si="4"/>
        <v>46129</v>
      </c>
      <c r="L2007" s="317">
        <f t="array" ref="L2007">(XLOOKUP(D2007,Roster!F:F,Roster!D:D,"",0))</f>
        <v>1</v>
      </c>
      <c r="M2007" s="317" t="str">
        <f t="array" ref="M2007">XLOOKUP(D2007,Roster!F:F,Roster!E:E)</f>
        <v>Voice</v>
      </c>
      <c r="N2007" s="317" t="str">
        <f t="shared" ref="N2007:P2007" si="2037">LEFT(H2007,5)</f>
        <v>09:30</v>
      </c>
      <c r="O2007" s="317" t="str">
        <f t="shared" si="2037"/>
        <v>12:00</v>
      </c>
      <c r="P2007" s="317" t="str">
        <f t="shared" si="2037"/>
        <v>14:45</v>
      </c>
      <c r="Q2007" s="318">
        <f t="shared" si="1941"/>
        <v>46129.39583</v>
      </c>
      <c r="R2007" s="318">
        <f t="shared" si="1942"/>
        <v>46129.5</v>
      </c>
      <c r="S2007" s="318">
        <f t="shared" si="8"/>
        <v>46129.61458</v>
      </c>
    </row>
    <row r="2008">
      <c r="A2008" s="14" t="str">
        <f t="shared" si="1"/>
        <v>C150946129</v>
      </c>
      <c r="B2008" s="185">
        <f t="array" ref="B2008">IF(F2008="VL","",IF(F2008="Free","Free",XLOOKUP(D2008,Roster!T:T,Roster!S:S,"",0)))</f>
        <v>121</v>
      </c>
      <c r="C2008" s="313">
        <v>46129.0</v>
      </c>
      <c r="D2008" s="314" t="s">
        <v>37</v>
      </c>
      <c r="E2008" s="307" t="str">
        <f t="array" ref="E2008">(XLOOKUP(D2008,Roster!F:F,Roster!B:B,"",0))</f>
        <v>Jhonatan Gomez</v>
      </c>
      <c r="F2008" s="315" t="str">
        <f t="array" ref="F2008">IF(B2008=100,"Free",TEXT(XLOOKUP($D2008,OperationVoice!$A:$A,OperationVoice!W:W,XLOOKUP($D2008,OperationTickets!$A:$A,OperationTickets!W:W,"",0)),"hh:mm"))</f>
        <v>08:00</v>
      </c>
      <c r="G2008" s="309">
        <f t="shared" si="3"/>
        <v>0.7083333333</v>
      </c>
      <c r="H2008" s="316" t="str">
        <f t="array" ref="H2008">XLOOKUP(B2008,Roster!L:L,Roster!N:N,XLOOKUP(D2008,TicketsBreak!A:A,TicketsBreak!E:E,"",0),0)</f>
        <v>09:15 - 09:30</v>
      </c>
      <c r="I2008" s="316" t="str">
        <f t="array" ref="I2008">XLOOKUP(B2008,Roster!L:L,Roster!O:O,XLOOKUP(D2008,TicketsBreak!A:A,TicketsBreak!F:F,"",0),0)</f>
        <v>11:30 - 12:00</v>
      </c>
      <c r="J2008" s="316" t="str">
        <f t="array" ref="J2008">XLOOKUP(B2008,Roster!L:L,Roster!P:P,XLOOKUP(D2008,TicketsBreak!A:A,TicketsBreak!G:G,"",0),0)</f>
        <v>14:30 - 14:45</v>
      </c>
      <c r="K2008" s="310">
        <f t="shared" si="4"/>
        <v>46129</v>
      </c>
      <c r="L2008" s="317">
        <f t="array" ref="L2008">(XLOOKUP(D2008,Roster!F:F,Roster!D:D,"",0))</f>
        <v>35</v>
      </c>
      <c r="M2008" s="317" t="str">
        <f t="array" ref="M2008">XLOOKUP(D2008,Roster!F:F,Roster!E:E)</f>
        <v>Voice</v>
      </c>
      <c r="N2008" s="317" t="str">
        <f t="shared" ref="N2008:P2008" si="2038">LEFT(H2008,5)</f>
        <v>09:15</v>
      </c>
      <c r="O2008" s="317" t="str">
        <f t="shared" si="2038"/>
        <v>11:30</v>
      </c>
      <c r="P2008" s="317" t="str">
        <f t="shared" si="2038"/>
        <v>14:30</v>
      </c>
      <c r="Q2008" s="318">
        <f t="shared" si="1941"/>
        <v>46129.38542</v>
      </c>
      <c r="R2008" s="318">
        <f t="shared" si="1942"/>
        <v>46129.47917</v>
      </c>
      <c r="S2008" s="318">
        <f t="shared" si="8"/>
        <v>46129.60417</v>
      </c>
    </row>
    <row r="2009">
      <c r="A2009" s="14" t="str">
        <f t="shared" si="1"/>
        <v>C151546129</v>
      </c>
      <c r="B2009" s="185">
        <f t="array" ref="B2009">IF(F2009="VL","",IF(F2009="Free","Free",XLOOKUP(D2009,Roster!T:T,Roster!S:S,"",0)))</f>
        <v>151</v>
      </c>
      <c r="C2009" s="313">
        <v>46129.0</v>
      </c>
      <c r="D2009" s="314" t="s">
        <v>38</v>
      </c>
      <c r="E2009" s="307" t="str">
        <f t="array" ref="E2009">(XLOOKUP(D2009,Roster!F:F,Roster!B:B,"",0))</f>
        <v>Joan Perez</v>
      </c>
      <c r="F2009" s="315" t="str">
        <f t="array" ref="F2009">IF(B2009=100,"Free",TEXT(XLOOKUP($D2009,OperationVoice!$A:$A,OperationVoice!W:W,XLOOKUP($D2009,OperationTickets!$A:$A,OperationTickets!W:W,"",0)),"hh:mm"))</f>
        <v/>
      </c>
      <c r="G2009" s="309" t="str">
        <f t="shared" si="3"/>
        <v/>
      </c>
      <c r="H2009" s="316" t="str">
        <f t="array" ref="H2009">XLOOKUP(B2009,Roster!L:L,Roster!N:N,XLOOKUP(D2009,TicketsBreak!A:A,TicketsBreak!E:E,"",0),0)</f>
        <v>12:15 - 12:30</v>
      </c>
      <c r="I2009" s="316" t="str">
        <f t="array" ref="I2009">XLOOKUP(B2009,Roster!L:L,Roster!O:O,XLOOKUP(D2009,TicketsBreak!A:A,TicketsBreak!F:F,"",0),0)</f>
        <v>14:00 - 14:30</v>
      </c>
      <c r="J2009" s="316" t="str">
        <f t="array" ref="J2009">XLOOKUP(B2009,Roster!L:L,Roster!P:P,XLOOKUP(D2009,TicketsBreak!A:A,TicketsBreak!G:G,"",0),0)</f>
        <v>17:15 - 17:30</v>
      </c>
      <c r="K2009" s="310">
        <f t="shared" si="4"/>
        <v>46129</v>
      </c>
      <c r="L2009" s="317">
        <f t="array" ref="L2009">(XLOOKUP(D2009,Roster!F:F,Roster!D:D,"",0))</f>
        <v>35</v>
      </c>
      <c r="M2009" s="317" t="str">
        <f t="array" ref="M2009">XLOOKUP(D2009,Roster!F:F,Roster!E:E)</f>
        <v>Voice</v>
      </c>
      <c r="N2009" s="317" t="str">
        <f t="shared" ref="N2009:P2009" si="2039">LEFT(H2009,5)</f>
        <v>12:15</v>
      </c>
      <c r="O2009" s="317" t="str">
        <f t="shared" si="2039"/>
        <v>14:00</v>
      </c>
      <c r="P2009" s="317" t="str">
        <f t="shared" si="2039"/>
        <v>17:15</v>
      </c>
      <c r="Q2009" s="318">
        <f t="shared" si="1941"/>
        <v>46129.51042</v>
      </c>
      <c r="R2009" s="318">
        <f t="shared" si="1942"/>
        <v>46129.58333</v>
      </c>
      <c r="S2009" s="318">
        <f t="shared" si="8"/>
        <v>46129.71875</v>
      </c>
    </row>
    <row r="2010">
      <c r="A2010" s="14" t="str">
        <f t="shared" si="1"/>
        <v>C128946129</v>
      </c>
      <c r="B2010" s="185" t="str">
        <f t="array" ref="B2010">IF(F2010="VL","",IF(F2010="Free","Free",XLOOKUP(D2010,Roster!T:T,Roster!S:S,"",0)))</f>
        <v/>
      </c>
      <c r="C2010" s="313">
        <v>46129.0</v>
      </c>
      <c r="D2010" s="314" t="s">
        <v>140</v>
      </c>
      <c r="E2010" s="307" t="str">
        <f t="array" ref="E2010">(XLOOKUP(D2010,Roster!F:F,Roster!B:B,"",0))</f>
        <v>Johana Villarreal</v>
      </c>
      <c r="F2010" s="315" t="str">
        <f t="array" ref="F2010">IF(B2010=100,"Free",TEXT(XLOOKUP($D2010,OperationVoice!$A:$A,OperationVoice!W:W,XLOOKUP($D2010,OperationTickets!$A:$A,OperationTickets!W:W,"",0)),"hh:mm"))</f>
        <v>07:00</v>
      </c>
      <c r="G2010" s="309">
        <f t="shared" si="3"/>
        <v>0.6666666667</v>
      </c>
      <c r="H2010" s="316" t="str">
        <f t="array" ref="H2010">XLOOKUP(B2010,Roster!L:L,Roster!N:N,XLOOKUP(D2010,TicketsBreak!A:A,TicketsBreak!E:E,"",0),0)</f>
        <v/>
      </c>
      <c r="I2010" s="316" t="str">
        <f t="array" ref="I2010">XLOOKUP(B2010,Roster!L:L,Roster!O:O,XLOOKUP(D2010,TicketsBreak!A:A,TicketsBreak!F:F,"",0),0)</f>
        <v/>
      </c>
      <c r="J2010" s="316" t="str">
        <f t="array" ref="J2010">XLOOKUP(B2010,Roster!L:L,Roster!P:P,XLOOKUP(D2010,TicketsBreak!A:A,TicketsBreak!G:G,"",0),0)</f>
        <v/>
      </c>
      <c r="K2010" s="310">
        <f t="shared" si="4"/>
        <v>46129</v>
      </c>
      <c r="L2010" s="317">
        <f t="array" ref="L2010">(XLOOKUP(D2010,Roster!F:F,Roster!D:D,"",0))</f>
        <v>28</v>
      </c>
      <c r="M2010" s="317" t="str">
        <f t="array" ref="M2010">XLOOKUP(D2010,Roster!F:F,Roster!E:E)</f>
        <v>Tickets</v>
      </c>
      <c r="N2010" s="317" t="str">
        <f t="shared" ref="N2010:P2010" si="2040">LEFT(H2010,5)</f>
        <v/>
      </c>
      <c r="O2010" s="317" t="str">
        <f t="shared" si="2040"/>
        <v/>
      </c>
      <c r="P2010" s="317" t="str">
        <f t="shared" si="2040"/>
        <v/>
      </c>
      <c r="Q2010" s="318" t="str">
        <f t="shared" si="1941"/>
        <v/>
      </c>
      <c r="R2010" s="318" t="str">
        <f t="shared" si="1942"/>
        <v/>
      </c>
      <c r="S2010" s="318" t="str">
        <f t="shared" si="8"/>
        <v/>
      </c>
    </row>
    <row r="2011">
      <c r="A2011" s="14" t="str">
        <f t="shared" si="1"/>
        <v>C155146129</v>
      </c>
      <c r="B2011" s="185" t="str">
        <f t="array" ref="B2011">IF(F2011="VL","",IF(F2011="Free","Free",XLOOKUP(D2011,Roster!T:T,Roster!S:S,"",0)))</f>
        <v>Free</v>
      </c>
      <c r="C2011" s="313">
        <v>46129.0</v>
      </c>
      <c r="D2011" s="314" t="s">
        <v>39</v>
      </c>
      <c r="E2011" s="307" t="str">
        <f t="array" ref="E2011">(XLOOKUP(D2011,Roster!F:F,Roster!B:B,"",0))</f>
        <v>John Atilano</v>
      </c>
      <c r="F2011" s="315" t="str">
        <f t="array" ref="F2011">IF(B2011=100,"Free",TEXT(XLOOKUP($D2011,OperationVoice!$A:$A,OperationVoice!W:W,XLOOKUP($D2011,OperationTickets!$A:$A,OperationTickets!W:W,"",0)),"hh:mm"))</f>
        <v>Free</v>
      </c>
      <c r="G2011" s="309" t="str">
        <f t="shared" si="3"/>
        <v>Free</v>
      </c>
      <c r="H2011" s="316" t="str">
        <f t="array" ref="H2011">XLOOKUP(B2011,Roster!L:L,Roster!N:N,XLOOKUP(D2011,TicketsBreak!A:A,TicketsBreak!E:E,"",0),0)</f>
        <v/>
      </c>
      <c r="I2011" s="316" t="str">
        <f t="array" ref="I2011">XLOOKUP(B2011,Roster!L:L,Roster!O:O,XLOOKUP(D2011,TicketsBreak!A:A,TicketsBreak!F:F,"",0),0)</f>
        <v/>
      </c>
      <c r="J2011" s="316" t="str">
        <f t="array" ref="J2011">XLOOKUP(B2011,Roster!L:L,Roster!P:P,XLOOKUP(D2011,TicketsBreak!A:A,TicketsBreak!G:G,"",0),0)</f>
        <v/>
      </c>
      <c r="K2011" s="310">
        <f t="shared" si="4"/>
        <v>46129</v>
      </c>
      <c r="L2011" s="317">
        <f t="array" ref="L2011">(XLOOKUP(D2011,Roster!F:F,Roster!D:D,"",0))</f>
        <v>37</v>
      </c>
      <c r="M2011" s="317" t="str">
        <f t="array" ref="M2011">XLOOKUP(D2011,Roster!F:F,Roster!E:E)</f>
        <v>Voice</v>
      </c>
      <c r="N2011" s="317" t="str">
        <f t="shared" ref="N2011:P2011" si="2041">LEFT(H2011,5)</f>
        <v/>
      </c>
      <c r="O2011" s="317" t="str">
        <f t="shared" si="2041"/>
        <v/>
      </c>
      <c r="P2011" s="317" t="str">
        <f t="shared" si="2041"/>
        <v/>
      </c>
      <c r="Q2011" s="318" t="str">
        <f t="shared" si="1941"/>
        <v/>
      </c>
      <c r="R2011" s="318" t="str">
        <f t="shared" si="1942"/>
        <v/>
      </c>
      <c r="S2011" s="318" t="str">
        <f t="shared" si="8"/>
        <v/>
      </c>
    </row>
    <row r="2012">
      <c r="A2012" s="14" t="str">
        <f t="shared" si="1"/>
        <v>C154346129</v>
      </c>
      <c r="B2012" s="185">
        <f t="array" ref="B2012">IF(F2012="VL","",IF(F2012="Free","Free",XLOOKUP(D2012,Roster!T:T,Roster!S:S,"",0)))</f>
        <v>134</v>
      </c>
      <c r="C2012" s="313">
        <v>46129.0</v>
      </c>
      <c r="D2012" s="314" t="s">
        <v>40</v>
      </c>
      <c r="E2012" s="307" t="str">
        <f t="array" ref="E2012">(XLOOKUP(D2012,Roster!F:F,Roster!B:B,"",0))</f>
        <v>John Palacio</v>
      </c>
      <c r="F2012" s="315" t="str">
        <f t="array" ref="F2012">IF(B2012=100,"Free",TEXT(XLOOKUP($D2012,OperationVoice!$A:$A,OperationVoice!W:W,XLOOKUP($D2012,OperationTickets!$A:$A,OperationTickets!W:W,"",0)),"hh:mm"))</f>
        <v>09:00</v>
      </c>
      <c r="G2012" s="309">
        <f t="shared" si="3"/>
        <v>0.75</v>
      </c>
      <c r="H2012" s="316" t="str">
        <f t="array" ref="H2012">XLOOKUP(B2012,Roster!L:L,Roster!N:N,XLOOKUP(D2012,TicketsBreak!A:A,TicketsBreak!E:E,"",0),0)</f>
        <v>11:00 - 11:15</v>
      </c>
      <c r="I2012" s="316" t="str">
        <f t="array" ref="I2012">XLOOKUP(B2012,Roster!L:L,Roster!O:O,XLOOKUP(D2012,TicketsBreak!A:A,TicketsBreak!F:F,"",0),0)</f>
        <v>13:45 - 14:15</v>
      </c>
      <c r="J2012" s="316" t="str">
        <f t="array" ref="J2012">XLOOKUP(B2012,Roster!L:L,Roster!P:P,XLOOKUP(D2012,TicketsBreak!A:A,TicketsBreak!G:G,"",0),0)</f>
        <v>16:00 - 16:15</v>
      </c>
      <c r="K2012" s="310">
        <f t="shared" si="4"/>
        <v>46129</v>
      </c>
      <c r="L2012" s="317">
        <f t="array" ref="L2012">(XLOOKUP(D2012,Roster!F:F,Roster!D:D,"",0))</f>
        <v>36</v>
      </c>
      <c r="M2012" s="317" t="str">
        <f t="array" ref="M2012">XLOOKUP(D2012,Roster!F:F,Roster!E:E)</f>
        <v>Voice</v>
      </c>
      <c r="N2012" s="317" t="str">
        <f t="shared" ref="N2012:P2012" si="2042">LEFT(H2012,5)</f>
        <v>11:00</v>
      </c>
      <c r="O2012" s="317" t="str">
        <f t="shared" si="2042"/>
        <v>13:45</v>
      </c>
      <c r="P2012" s="317" t="str">
        <f t="shared" si="2042"/>
        <v>16:00</v>
      </c>
      <c r="Q2012" s="318">
        <f t="shared" si="1941"/>
        <v>46129.45833</v>
      </c>
      <c r="R2012" s="318">
        <f t="shared" si="1942"/>
        <v>46129.57292</v>
      </c>
      <c r="S2012" s="318">
        <f t="shared" si="8"/>
        <v>46129.66667</v>
      </c>
    </row>
    <row r="2013">
      <c r="A2013" s="14" t="str">
        <f t="shared" si="1"/>
        <v>C154246129</v>
      </c>
      <c r="B2013" s="185">
        <f t="array" ref="B2013">IF(F2013="VL","",IF(F2013="Free","Free",XLOOKUP(D2013,Roster!T:T,Roster!S:S,"",0)))</f>
        <v>124</v>
      </c>
      <c r="C2013" s="313">
        <v>46129.0</v>
      </c>
      <c r="D2013" s="314" t="s">
        <v>41</v>
      </c>
      <c r="E2013" s="307" t="str">
        <f t="array" ref="E2013">(XLOOKUP(D2013,Roster!F:F,Roster!B:B,"",0))</f>
        <v>Johny Garcia</v>
      </c>
      <c r="F2013" s="315" t="str">
        <f t="array" ref="F2013">IF(B2013=100,"Free",TEXT(XLOOKUP($D2013,OperationVoice!$A:$A,OperationVoice!W:W,XLOOKUP($D2013,OperationTickets!$A:$A,OperationTickets!W:W,"",0)),"hh:mm"))</f>
        <v>08:00</v>
      </c>
      <c r="G2013" s="309">
        <f t="shared" si="3"/>
        <v>0.7083333333</v>
      </c>
      <c r="H2013" s="316" t="str">
        <f t="array" ref="H2013">XLOOKUP(B2013,Roster!L:L,Roster!N:N,XLOOKUP(D2013,TicketsBreak!A:A,TicketsBreak!E:E,"",0),0)</f>
        <v>10:00 - 10:15</v>
      </c>
      <c r="I2013" s="316" t="str">
        <f t="array" ref="I2013">XLOOKUP(B2013,Roster!L:L,Roster!O:O,XLOOKUP(D2013,TicketsBreak!A:A,TicketsBreak!F:F,"",0),0)</f>
        <v>13:00 - 13:30</v>
      </c>
      <c r="J2013" s="316" t="str">
        <f t="array" ref="J2013">XLOOKUP(B2013,Roster!L:L,Roster!P:P,XLOOKUP(D2013,TicketsBreak!A:A,TicketsBreak!G:G,"",0),0)</f>
        <v>15:30 - 15:45</v>
      </c>
      <c r="K2013" s="310">
        <f t="shared" si="4"/>
        <v>46129</v>
      </c>
      <c r="L2013" s="317">
        <f t="array" ref="L2013">(XLOOKUP(D2013,Roster!F:F,Roster!D:D,"",0))</f>
        <v>36</v>
      </c>
      <c r="M2013" s="317" t="str">
        <f t="array" ref="M2013">XLOOKUP(D2013,Roster!F:F,Roster!E:E)</f>
        <v>Voice</v>
      </c>
      <c r="N2013" s="317" t="str">
        <f t="shared" ref="N2013:P2013" si="2043">LEFT(H2013,5)</f>
        <v>10:00</v>
      </c>
      <c r="O2013" s="317" t="str">
        <f t="shared" si="2043"/>
        <v>13:00</v>
      </c>
      <c r="P2013" s="317" t="str">
        <f t="shared" si="2043"/>
        <v>15:30</v>
      </c>
      <c r="Q2013" s="318">
        <f t="shared" si="1941"/>
        <v>46129.41667</v>
      </c>
      <c r="R2013" s="318">
        <f t="shared" si="1942"/>
        <v>46129.54167</v>
      </c>
      <c r="S2013" s="318">
        <f t="shared" si="8"/>
        <v>46129.64583</v>
      </c>
    </row>
    <row r="2014">
      <c r="A2014" s="14" t="str">
        <f t="shared" si="1"/>
        <v>C156946129</v>
      </c>
      <c r="B2014" s="185">
        <f t="array" ref="B2014">IF(F2014="VL","",IF(F2014="Free","Free",XLOOKUP(D2014,Roster!T:T,Roster!S:S,"",0)))</f>
        <v>121</v>
      </c>
      <c r="C2014" s="313">
        <v>46129.0</v>
      </c>
      <c r="D2014" s="314" t="s">
        <v>42</v>
      </c>
      <c r="E2014" s="307" t="str">
        <f t="array" ref="E2014">(XLOOKUP(D2014,Roster!F:F,Roster!B:B,"",0))</f>
        <v>Jorge Orozco</v>
      </c>
      <c r="F2014" s="315" t="str">
        <f t="array" ref="F2014">IF(B2014=100,"Free",TEXT(XLOOKUP($D2014,OperationVoice!$A:$A,OperationVoice!W:W,XLOOKUP($D2014,OperationTickets!$A:$A,OperationTickets!W:W,"",0)),"hh:mm"))</f>
        <v>08:00</v>
      </c>
      <c r="G2014" s="309">
        <f t="shared" si="3"/>
        <v>0.7083333333</v>
      </c>
      <c r="H2014" s="316" t="str">
        <f t="array" ref="H2014">XLOOKUP(B2014,Roster!L:L,Roster!N:N,XLOOKUP(D2014,TicketsBreak!A:A,TicketsBreak!E:E,"",0),0)</f>
        <v>09:15 - 09:30</v>
      </c>
      <c r="I2014" s="316" t="str">
        <f t="array" ref="I2014">XLOOKUP(B2014,Roster!L:L,Roster!O:O,XLOOKUP(D2014,TicketsBreak!A:A,TicketsBreak!F:F,"",0),0)</f>
        <v>11:30 - 12:00</v>
      </c>
      <c r="J2014" s="316" t="str">
        <f t="array" ref="J2014">XLOOKUP(B2014,Roster!L:L,Roster!P:P,XLOOKUP(D2014,TicketsBreak!A:A,TicketsBreak!G:G,"",0),0)</f>
        <v>14:30 - 14:45</v>
      </c>
      <c r="K2014" s="310">
        <f t="shared" si="4"/>
        <v>46129</v>
      </c>
      <c r="L2014" s="317">
        <f t="array" ref="L2014">(XLOOKUP(D2014,Roster!F:F,Roster!D:D,"",0))</f>
        <v>38</v>
      </c>
      <c r="M2014" s="317" t="str">
        <f t="array" ref="M2014">XLOOKUP(D2014,Roster!F:F,Roster!E:E)</f>
        <v>Voice</v>
      </c>
      <c r="N2014" s="317" t="str">
        <f t="shared" ref="N2014:P2014" si="2044">LEFT(H2014,5)</f>
        <v>09:15</v>
      </c>
      <c r="O2014" s="317" t="str">
        <f t="shared" si="2044"/>
        <v>11:30</v>
      </c>
      <c r="P2014" s="317" t="str">
        <f t="shared" si="2044"/>
        <v>14:30</v>
      </c>
      <c r="Q2014" s="318">
        <f t="shared" si="1941"/>
        <v>46129.38542</v>
      </c>
      <c r="R2014" s="318">
        <f t="shared" si="1942"/>
        <v>46129.47917</v>
      </c>
      <c r="S2014" s="318">
        <f t="shared" si="8"/>
        <v>46129.60417</v>
      </c>
    </row>
    <row r="2015">
      <c r="A2015" s="14" t="str">
        <f t="shared" si="1"/>
        <v>C102746129</v>
      </c>
      <c r="B2015" s="185" t="str">
        <f t="array" ref="B2015">IF(F2015="VL","",IF(F2015="Free","Free",XLOOKUP(D2015,Roster!T:T,Roster!S:S,"",0)))</f>
        <v/>
      </c>
      <c r="C2015" s="313">
        <v>46129.0</v>
      </c>
      <c r="D2015" s="314" t="s">
        <v>160</v>
      </c>
      <c r="E2015" s="307" t="str">
        <f t="array" ref="E2015">(XLOOKUP(D2015,Roster!F:F,Roster!B:B,"",0))</f>
        <v>Jose Perez</v>
      </c>
      <c r="F2015" s="315" t="str">
        <f t="array" ref="F2015">IF(B2015=100,"Free",TEXT(XLOOKUP($D2015,OperationVoice!$A:$A,OperationVoice!W:W,XLOOKUP($D2015,OperationTickets!$A:$A,OperationTickets!W:W,"",0)),"hh:mm"))</f>
        <v>06:00</v>
      </c>
      <c r="G2015" s="309">
        <f t="shared" si="3"/>
        <v>0.625</v>
      </c>
      <c r="H2015" s="316">
        <f t="array" ref="H2015">XLOOKUP(B2015,Roster!L:L,Roster!N:N,XLOOKUP(D2015,TicketsBreak!A:A,TicketsBreak!E:E,"",0),0)</f>
        <v>0.4166666667</v>
      </c>
      <c r="I2015" s="316">
        <f t="array" ref="I2015">XLOOKUP(B2015,Roster!L:L,Roster!O:O,XLOOKUP(D2015,TicketsBreak!A:A,TicketsBreak!F:F,"",0),0)</f>
        <v>0.5208333333</v>
      </c>
      <c r="J2015" s="316">
        <f t="array" ref="J2015">XLOOKUP(B2015,Roster!L:L,Roster!P:P,XLOOKUP(D2015,TicketsBreak!A:A,TicketsBreak!G:G,"",0),0)</f>
        <v>0.6354166667</v>
      </c>
      <c r="K2015" s="310">
        <f t="shared" si="4"/>
        <v>46129</v>
      </c>
      <c r="L2015" s="317">
        <f t="array" ref="L2015">(XLOOKUP(D2015,Roster!F:F,Roster!D:D,"",0))</f>
        <v>15</v>
      </c>
      <c r="M2015" s="317" t="str">
        <f t="array" ref="M2015">XLOOKUP(D2015,Roster!F:F,Roster!E:E)</f>
        <v>Tickets</v>
      </c>
      <c r="N2015" s="317" t="str">
        <f t="shared" ref="N2015:P2015" si="2045">LEFT(H2015,5)</f>
        <v>10:00</v>
      </c>
      <c r="O2015" s="317" t="str">
        <f t="shared" si="2045"/>
        <v>12:30</v>
      </c>
      <c r="P2015" s="317" t="str">
        <f t="shared" si="2045"/>
        <v>15:15</v>
      </c>
      <c r="Q2015" s="318">
        <f t="shared" si="1941"/>
        <v>46129.41667</v>
      </c>
      <c r="R2015" s="318">
        <f t="shared" si="1942"/>
        <v>46129.52083</v>
      </c>
      <c r="S2015" s="318">
        <f t="shared" si="8"/>
        <v>46129.63542</v>
      </c>
    </row>
    <row r="2016">
      <c r="A2016" s="14" t="str">
        <f t="shared" si="1"/>
        <v>C142646129</v>
      </c>
      <c r="B2016" s="185" t="str">
        <f t="array" ref="B2016">IF(F2016="VL","",IF(F2016="Free","Free",XLOOKUP(D2016,Roster!T:T,Roster!S:S,"",0)))</f>
        <v>Free</v>
      </c>
      <c r="C2016" s="313">
        <v>46129.0</v>
      </c>
      <c r="D2016" s="314" t="s">
        <v>161</v>
      </c>
      <c r="E2016" s="307" t="str">
        <f t="array" ref="E2016">(XLOOKUP(D2016,Roster!F:F,Roster!B:B,"",0))</f>
        <v>Jose Zapata</v>
      </c>
      <c r="F2016" s="315" t="str">
        <f t="array" ref="F2016">IF(B2016=100,"Free",TEXT(XLOOKUP($D2016,OperationVoice!$A:$A,OperationVoice!W:W,XLOOKUP($D2016,OperationTickets!$A:$A,OperationTickets!W:W,"",0)),"hh:mm"))</f>
        <v>Free</v>
      </c>
      <c r="G2016" s="309" t="str">
        <f t="shared" si="3"/>
        <v>Free</v>
      </c>
      <c r="H2016" s="316" t="str">
        <f t="array" ref="H2016">XLOOKUP(B2016,Roster!L:L,Roster!N:N,XLOOKUP(D2016,TicketsBreak!A:A,TicketsBreak!E:E,"",0),0)</f>
        <v/>
      </c>
      <c r="I2016" s="316" t="str">
        <f t="array" ref="I2016">XLOOKUP(B2016,Roster!L:L,Roster!O:O,XLOOKUP(D2016,TicketsBreak!A:A,TicketsBreak!F:F,"",0),0)</f>
        <v/>
      </c>
      <c r="J2016" s="316" t="str">
        <f t="array" ref="J2016">XLOOKUP(B2016,Roster!L:L,Roster!P:P,XLOOKUP(D2016,TicketsBreak!A:A,TicketsBreak!G:G,"",0),0)</f>
        <v/>
      </c>
      <c r="K2016" s="310">
        <f t="shared" si="4"/>
        <v>46129</v>
      </c>
      <c r="L2016" s="317">
        <f t="array" ref="L2016">(XLOOKUP(D2016,Roster!F:F,Roster!D:D,"",0))</f>
        <v>32</v>
      </c>
      <c r="M2016" s="317" t="str">
        <f t="array" ref="M2016">XLOOKUP(D2016,Roster!F:F,Roster!E:E)</f>
        <v>Tickets</v>
      </c>
      <c r="N2016" s="317" t="str">
        <f t="shared" ref="N2016:P2016" si="2046">LEFT(H2016,5)</f>
        <v/>
      </c>
      <c r="O2016" s="317" t="str">
        <f t="shared" si="2046"/>
        <v/>
      </c>
      <c r="P2016" s="317" t="str">
        <f t="shared" si="2046"/>
        <v/>
      </c>
      <c r="Q2016" s="318" t="str">
        <f t="shared" si="1941"/>
        <v/>
      </c>
      <c r="R2016" s="318" t="str">
        <f t="shared" si="1942"/>
        <v/>
      </c>
      <c r="S2016" s="318" t="str">
        <f t="shared" si="8"/>
        <v/>
      </c>
    </row>
    <row r="2017">
      <c r="A2017" s="14" t="str">
        <f t="shared" si="1"/>
        <v>C153346129</v>
      </c>
      <c r="B2017" s="185">
        <f t="array" ref="B2017">IF(F2017="VL","",IF(F2017="Free","Free",XLOOKUP(D2017,Roster!T:T,Roster!S:S,"",0)))</f>
        <v>125</v>
      </c>
      <c r="C2017" s="313">
        <v>46129.0</v>
      </c>
      <c r="D2017" s="314" t="s">
        <v>43</v>
      </c>
      <c r="E2017" s="307" t="str">
        <f t="array" ref="E2017">(XLOOKUP(D2017,Roster!F:F,Roster!B:B,"",0))</f>
        <v>Juan Barrera</v>
      </c>
      <c r="F2017" s="315" t="str">
        <f t="array" ref="F2017">IF(B2017=100,"Free",TEXT(XLOOKUP($D2017,OperationVoice!$A:$A,OperationVoice!W:W,XLOOKUP($D2017,OperationTickets!$A:$A,OperationTickets!W:W,"",0)),"hh:mm"))</f>
        <v>08:00</v>
      </c>
      <c r="G2017" s="309">
        <f t="shared" si="3"/>
        <v>0.7083333333</v>
      </c>
      <c r="H2017" s="316" t="str">
        <f t="array" ref="H2017">XLOOKUP(B2017,Roster!L:L,Roster!N:N,XLOOKUP(D2017,TicketsBreak!A:A,TicketsBreak!E:E,"",0),0)</f>
        <v>10:30 - 10:45</v>
      </c>
      <c r="I2017" s="316" t="str">
        <f t="array" ref="I2017">XLOOKUP(B2017,Roster!L:L,Roster!O:O,XLOOKUP(D2017,TicketsBreak!A:A,TicketsBreak!F:F,"",0),0)</f>
        <v>13:30 - 14:00</v>
      </c>
      <c r="J2017" s="316" t="str">
        <f t="array" ref="J2017">XLOOKUP(B2017,Roster!L:L,Roster!P:P,XLOOKUP(D2017,TicketsBreak!A:A,TicketsBreak!G:G,"",0),0)</f>
        <v>15:45 - 16:00</v>
      </c>
      <c r="K2017" s="310">
        <f t="shared" si="4"/>
        <v>46129</v>
      </c>
      <c r="L2017" s="317">
        <f t="array" ref="L2017">(XLOOKUP(D2017,Roster!F:F,Roster!D:D,"",0))</f>
        <v>36</v>
      </c>
      <c r="M2017" s="317" t="str">
        <f t="array" ref="M2017">XLOOKUP(D2017,Roster!F:F,Roster!E:E)</f>
        <v>Voice</v>
      </c>
      <c r="N2017" s="317" t="str">
        <f t="shared" ref="N2017:P2017" si="2047">LEFT(H2017,5)</f>
        <v>10:30</v>
      </c>
      <c r="O2017" s="317" t="str">
        <f t="shared" si="2047"/>
        <v>13:30</v>
      </c>
      <c r="P2017" s="317" t="str">
        <f t="shared" si="2047"/>
        <v>15:45</v>
      </c>
      <c r="Q2017" s="318">
        <f t="shared" si="1941"/>
        <v>46129.4375</v>
      </c>
      <c r="R2017" s="318">
        <f t="shared" si="1942"/>
        <v>46129.5625</v>
      </c>
      <c r="S2017" s="318">
        <f t="shared" si="8"/>
        <v>46129.65625</v>
      </c>
    </row>
    <row r="2018">
      <c r="A2018" s="14" t="str">
        <f t="shared" si="1"/>
        <v>C146546129</v>
      </c>
      <c r="B2018" s="185">
        <f t="array" ref="B2018">IF(F2018="VL","",IF(F2018="Free","Free",XLOOKUP(D2018,Roster!T:T,Roster!S:S,"",0)))</f>
        <v>500</v>
      </c>
      <c r="C2018" s="313">
        <v>46129.0</v>
      </c>
      <c r="D2018" s="314" t="s">
        <v>44</v>
      </c>
      <c r="E2018" s="307" t="str">
        <f t="array" ref="E2018">(XLOOKUP(D2018,Roster!F:F,Roster!B:B,"",0))</f>
        <v>Juan Castilla</v>
      </c>
      <c r="F2018" s="315" t="str">
        <f t="array" ref="F2018">IF(B2018=100,"Free",TEXT(XLOOKUP($D2018,OperationVoice!$A:$A,OperationVoice!W:W,XLOOKUP($D2018,OperationTickets!$A:$A,OperationTickets!W:W,"",0)),"hh:mm"))</f>
        <v>08:00</v>
      </c>
      <c r="G2018" s="309">
        <f t="shared" si="3"/>
        <v>0.7083333333</v>
      </c>
      <c r="H2018" s="316" t="str">
        <f t="array" ref="H2018">XLOOKUP(B2018,Roster!L:L,Roster!N:N,XLOOKUP(D2018,TicketsBreak!A:A,TicketsBreak!E:E,"",0),0)</f>
        <v>Team Leader</v>
      </c>
      <c r="I2018" s="316" t="str">
        <f t="array" ref="I2018">XLOOKUP(B2018,Roster!L:L,Roster!O:O,XLOOKUP(D2018,TicketsBreak!A:A,TicketsBreak!F:F,"",0),0)</f>
        <v>Team Leader</v>
      </c>
      <c r="J2018" s="316" t="str">
        <f t="array" ref="J2018">XLOOKUP(B2018,Roster!L:L,Roster!P:P,XLOOKUP(D2018,TicketsBreak!A:A,TicketsBreak!G:G,"",0),0)</f>
        <v/>
      </c>
      <c r="K2018" s="310">
        <f t="shared" si="4"/>
        <v>46129</v>
      </c>
      <c r="L2018" s="317">
        <f t="array" ref="L2018">(XLOOKUP(D2018,Roster!F:F,Roster!D:D,"",0))</f>
        <v>33</v>
      </c>
      <c r="M2018" s="317" t="str">
        <f t="array" ref="M2018">XLOOKUP(D2018,Roster!F:F,Roster!E:E)</f>
        <v>Voice</v>
      </c>
      <c r="N2018" s="317" t="str">
        <f t="shared" ref="N2018:P2018" si="2048">LEFT(H2018,5)</f>
        <v>Team </v>
      </c>
      <c r="O2018" s="317" t="str">
        <f t="shared" si="2048"/>
        <v>Team </v>
      </c>
      <c r="P2018" s="317" t="str">
        <f t="shared" si="2048"/>
        <v/>
      </c>
      <c r="Q2018" s="318" t="str">
        <f t="shared" si="1941"/>
        <v>#VALUE!</v>
      </c>
      <c r="R2018" s="318" t="str">
        <f t="shared" si="1942"/>
        <v>#VALUE!</v>
      </c>
      <c r="S2018" s="318" t="str">
        <f t="shared" si="8"/>
        <v/>
      </c>
    </row>
    <row r="2019">
      <c r="A2019" s="14" t="str">
        <f t="shared" si="1"/>
        <v>C72046129</v>
      </c>
      <c r="B2019" s="185" t="str">
        <f t="array" ref="B2019">IF(F2019="VL","",IF(F2019="Free","Free",XLOOKUP(D2019,Roster!T:T,Roster!S:S,"",0)))</f>
        <v/>
      </c>
      <c r="C2019" s="313">
        <v>46129.0</v>
      </c>
      <c r="D2019" s="314" t="s">
        <v>162</v>
      </c>
      <c r="E2019" s="307" t="str">
        <f t="array" ref="E2019">(XLOOKUP(D2019,Roster!F:F,Roster!B:B,"",0))</f>
        <v>Juan Durango</v>
      </c>
      <c r="F2019" s="315" t="str">
        <f t="array" ref="F2019">IF(B2019=100,"Free",TEXT(XLOOKUP($D2019,OperationVoice!$A:$A,OperationVoice!W:W,XLOOKUP($D2019,OperationTickets!$A:$A,OperationTickets!W:W,"",0)),"hh:mm"))</f>
        <v>08:00</v>
      </c>
      <c r="G2019" s="309">
        <f t="shared" si="3"/>
        <v>0.7083333333</v>
      </c>
      <c r="H2019" s="316">
        <f t="array" ref="H2019">XLOOKUP(B2019,Roster!L:L,Roster!N:N,XLOOKUP(D2019,TicketsBreak!A:A,TicketsBreak!E:E,"",0),0)</f>
        <v>0.40625</v>
      </c>
      <c r="I2019" s="316">
        <f t="array" ref="I2019">XLOOKUP(B2019,Roster!L:L,Roster!O:O,XLOOKUP(D2019,TicketsBreak!A:A,TicketsBreak!F:F,"",0),0)</f>
        <v>0.5729166667</v>
      </c>
      <c r="J2019" s="316">
        <f t="array" ref="J2019">XLOOKUP(B2019,Roster!L:L,Roster!P:P,XLOOKUP(D2019,TicketsBreak!A:A,TicketsBreak!G:G,"",0),0)</f>
        <v>0.65625</v>
      </c>
      <c r="K2019" s="310">
        <f t="shared" si="4"/>
        <v>46129</v>
      </c>
      <c r="L2019" s="317">
        <f t="array" ref="L2019">(XLOOKUP(D2019,Roster!F:F,Roster!D:D,"",0))</f>
        <v>7</v>
      </c>
      <c r="M2019" s="317" t="str">
        <f t="array" ref="M2019">XLOOKUP(D2019,Roster!F:F,Roster!E:E)</f>
        <v>Tickets</v>
      </c>
      <c r="N2019" s="317" t="str">
        <f t="shared" ref="N2019:P2019" si="2049">LEFT(H2019,5)</f>
        <v>09:45</v>
      </c>
      <c r="O2019" s="317" t="str">
        <f t="shared" si="2049"/>
        <v>13:45</v>
      </c>
      <c r="P2019" s="317" t="str">
        <f t="shared" si="2049"/>
        <v>15:45</v>
      </c>
      <c r="Q2019" s="318">
        <f t="shared" si="1941"/>
        <v>46129.40625</v>
      </c>
      <c r="R2019" s="318">
        <f t="shared" si="1942"/>
        <v>46129.57292</v>
      </c>
      <c r="S2019" s="318">
        <f t="shared" si="8"/>
        <v>46129.65625</v>
      </c>
    </row>
    <row r="2020">
      <c r="A2020" s="14" t="str">
        <f t="shared" si="1"/>
        <v>C59846129</v>
      </c>
      <c r="B2020" s="185" t="str">
        <f t="array" ref="B2020">IF(F2020="VL","",IF(F2020="Free","Free",XLOOKUP(D2020,Roster!T:T,Roster!S:S,"",0)))</f>
        <v/>
      </c>
      <c r="C2020" s="313">
        <v>46129.0</v>
      </c>
      <c r="D2020" s="314" t="s">
        <v>314</v>
      </c>
      <c r="E2020" s="307" t="str">
        <f t="array" ref="E2020">(XLOOKUP(D2020,Roster!F:F,Roster!B:B,"",0))</f>
        <v>Juan Fonnegra</v>
      </c>
      <c r="F2020" s="315" t="str">
        <f t="array" ref="F2020">IF(B2020=100,"Free",TEXT(XLOOKUP($D2020,OperationVoice!$A:$A,OperationVoice!W:W,XLOOKUP($D2020,OperationTickets!$A:$A,OperationTickets!W:W,"",0)),"hh:mm"))</f>
        <v/>
      </c>
      <c r="G2020" s="309" t="str">
        <f t="shared" si="3"/>
        <v/>
      </c>
      <c r="H2020" s="316">
        <f t="array" ref="H2020">XLOOKUP(B2020,Roster!L:L,Roster!N:N,XLOOKUP(D2020,TicketsBreak!A:A,TicketsBreak!E:E,"",0),0)</f>
        <v>0.4166666667</v>
      </c>
      <c r="I2020" s="316">
        <f t="array" ref="I2020">XLOOKUP(B2020,Roster!L:L,Roster!O:O,XLOOKUP(D2020,TicketsBreak!A:A,TicketsBreak!F:F,"",0),0)</f>
        <v>0.5208333333</v>
      </c>
      <c r="J2020" s="316">
        <f t="array" ref="J2020">XLOOKUP(B2020,Roster!L:L,Roster!P:P,XLOOKUP(D2020,TicketsBreak!A:A,TicketsBreak!G:G,"",0),0)</f>
        <v>0.65625</v>
      </c>
      <c r="K2020" s="310">
        <f t="shared" si="4"/>
        <v>46129</v>
      </c>
      <c r="L2020" s="317">
        <f t="array" ref="L2020">(XLOOKUP(D2020,Roster!F:F,Roster!D:D,"",0))</f>
        <v>1</v>
      </c>
      <c r="M2020" s="317" t="str">
        <f t="array" ref="M2020">XLOOKUP(D2020,Roster!F:F,Roster!E:E)</f>
        <v>Tickets</v>
      </c>
      <c r="N2020" s="317" t="str">
        <f t="shared" ref="N2020:P2020" si="2050">LEFT(H2020,5)</f>
        <v>10:00</v>
      </c>
      <c r="O2020" s="317" t="str">
        <f t="shared" si="2050"/>
        <v>12:30</v>
      </c>
      <c r="P2020" s="317" t="str">
        <f t="shared" si="2050"/>
        <v>15:45</v>
      </c>
      <c r="Q2020" s="318">
        <f t="shared" si="1941"/>
        <v>46129.41667</v>
      </c>
      <c r="R2020" s="318">
        <f t="shared" si="1942"/>
        <v>46129.52083</v>
      </c>
      <c r="S2020" s="318">
        <f t="shared" si="8"/>
        <v>46129.65625</v>
      </c>
    </row>
    <row r="2021">
      <c r="A2021" s="14" t="str">
        <f t="shared" si="1"/>
        <v>C113946129</v>
      </c>
      <c r="B2021" s="185">
        <f t="array" ref="B2021">IF(F2021="VL","",IF(F2021="Free","Free",XLOOKUP(D2021,Roster!T:T,Roster!S:S,"",0)))</f>
        <v>125</v>
      </c>
      <c r="C2021" s="313">
        <v>46129.0</v>
      </c>
      <c r="D2021" s="314" t="s">
        <v>45</v>
      </c>
      <c r="E2021" s="307" t="str">
        <f t="array" ref="E2021">(XLOOKUP(D2021,Roster!F:F,Roster!B:B,"",0))</f>
        <v>Juan Largacha</v>
      </c>
      <c r="F2021" s="315" t="str">
        <f t="array" ref="F2021">IF(B2021=100,"Free",TEXT(XLOOKUP($D2021,OperationVoice!$A:$A,OperationVoice!W:W,XLOOKUP($D2021,OperationTickets!$A:$A,OperationTickets!W:W,"",0)),"hh:mm"))</f>
        <v>08:00</v>
      </c>
      <c r="G2021" s="309">
        <f t="shared" si="3"/>
        <v>0.7083333333</v>
      </c>
      <c r="H2021" s="316" t="str">
        <f t="array" ref="H2021">XLOOKUP(B2021,Roster!L:L,Roster!N:N,XLOOKUP(D2021,TicketsBreak!A:A,TicketsBreak!E:E,"",0),0)</f>
        <v>10:30 - 10:45</v>
      </c>
      <c r="I2021" s="316" t="str">
        <f t="array" ref="I2021">XLOOKUP(B2021,Roster!L:L,Roster!O:O,XLOOKUP(D2021,TicketsBreak!A:A,TicketsBreak!F:F,"",0),0)</f>
        <v>13:30 - 14:00</v>
      </c>
      <c r="J2021" s="316" t="str">
        <f t="array" ref="J2021">XLOOKUP(B2021,Roster!L:L,Roster!P:P,XLOOKUP(D2021,TicketsBreak!A:A,TicketsBreak!G:G,"",0),0)</f>
        <v>15:45 - 16:00</v>
      </c>
      <c r="K2021" s="310">
        <f t="shared" si="4"/>
        <v>46129</v>
      </c>
      <c r="L2021" s="317">
        <f t="array" ref="L2021">(XLOOKUP(D2021,Roster!F:F,Roster!D:D,"",0))</f>
        <v>22</v>
      </c>
      <c r="M2021" s="317" t="str">
        <f t="array" ref="M2021">XLOOKUP(D2021,Roster!F:F,Roster!E:E)</f>
        <v>Voice</v>
      </c>
      <c r="N2021" s="317" t="str">
        <f t="shared" ref="N2021:P2021" si="2051">LEFT(H2021,5)</f>
        <v>10:30</v>
      </c>
      <c r="O2021" s="317" t="str">
        <f t="shared" si="2051"/>
        <v>13:30</v>
      </c>
      <c r="P2021" s="317" t="str">
        <f t="shared" si="2051"/>
        <v>15:45</v>
      </c>
      <c r="Q2021" s="318">
        <f t="shared" si="1941"/>
        <v>46129.4375</v>
      </c>
      <c r="R2021" s="318">
        <f t="shared" si="1942"/>
        <v>46129.5625</v>
      </c>
      <c r="S2021" s="318">
        <f t="shared" si="8"/>
        <v>46129.65625</v>
      </c>
    </row>
    <row r="2022">
      <c r="A2022" s="14" t="str">
        <f t="shared" si="1"/>
        <v>C156646129</v>
      </c>
      <c r="B2022" s="185">
        <f t="array" ref="B2022">IF(F2022="VL","",IF(F2022="Free","Free",XLOOKUP(D2022,Roster!T:T,Roster!S:S,"",0)))</f>
        <v>124</v>
      </c>
      <c r="C2022" s="313">
        <v>46129.0</v>
      </c>
      <c r="D2022" s="314" t="s">
        <v>46</v>
      </c>
      <c r="E2022" s="307" t="str">
        <f t="array" ref="E2022">(XLOOKUP(D2022,Roster!F:F,Roster!B:B,"",0))</f>
        <v>Juan Ocampo</v>
      </c>
      <c r="F2022" s="315" t="str">
        <f t="array" ref="F2022">IF(B2022=100,"Free",TEXT(XLOOKUP($D2022,OperationVoice!$A:$A,OperationVoice!W:W,XLOOKUP($D2022,OperationTickets!$A:$A,OperationTickets!W:W,"",0)),"hh:mm"))</f>
        <v>08:00</v>
      </c>
      <c r="G2022" s="309">
        <f t="shared" si="3"/>
        <v>0.7083333333</v>
      </c>
      <c r="H2022" s="316" t="str">
        <f t="array" ref="H2022">XLOOKUP(B2022,Roster!L:L,Roster!N:N,XLOOKUP(D2022,TicketsBreak!A:A,TicketsBreak!E:E,"",0),0)</f>
        <v>10:00 - 10:15</v>
      </c>
      <c r="I2022" s="316" t="str">
        <f t="array" ref="I2022">XLOOKUP(B2022,Roster!L:L,Roster!O:O,XLOOKUP(D2022,TicketsBreak!A:A,TicketsBreak!F:F,"",0),0)</f>
        <v>13:00 - 13:30</v>
      </c>
      <c r="J2022" s="316" t="str">
        <f t="array" ref="J2022">XLOOKUP(B2022,Roster!L:L,Roster!P:P,XLOOKUP(D2022,TicketsBreak!A:A,TicketsBreak!G:G,"",0),0)</f>
        <v>15:30 - 15:45</v>
      </c>
      <c r="K2022" s="310">
        <f t="shared" si="4"/>
        <v>46129</v>
      </c>
      <c r="L2022" s="317">
        <f t="array" ref="L2022">(XLOOKUP(D2022,Roster!F:F,Roster!D:D,"",0))</f>
        <v>38</v>
      </c>
      <c r="M2022" s="317" t="str">
        <f t="array" ref="M2022">XLOOKUP(D2022,Roster!F:F,Roster!E:E)</f>
        <v>Voice</v>
      </c>
      <c r="N2022" s="317" t="str">
        <f t="shared" ref="N2022:P2022" si="2052">LEFT(H2022,5)</f>
        <v>10:00</v>
      </c>
      <c r="O2022" s="317" t="str">
        <f t="shared" si="2052"/>
        <v>13:00</v>
      </c>
      <c r="P2022" s="317" t="str">
        <f t="shared" si="2052"/>
        <v>15:30</v>
      </c>
      <c r="Q2022" s="318">
        <f t="shared" si="1941"/>
        <v>46129.41667</v>
      </c>
      <c r="R2022" s="318">
        <f t="shared" si="1942"/>
        <v>46129.54167</v>
      </c>
      <c r="S2022" s="318">
        <f t="shared" si="8"/>
        <v>46129.64583</v>
      </c>
    </row>
    <row r="2023">
      <c r="A2023" s="14" t="str">
        <f t="shared" si="1"/>
        <v>C148446129</v>
      </c>
      <c r="B2023" s="185">
        <f t="array" ref="B2023">IF(F2023="VL","",IF(F2023="Free","Free",XLOOKUP(D2023,Roster!T:T,Roster!S:S,"",0)))</f>
        <v>126</v>
      </c>
      <c r="C2023" s="313">
        <v>46129.0</v>
      </c>
      <c r="D2023" s="314" t="s">
        <v>141</v>
      </c>
      <c r="E2023" s="307" t="str">
        <f t="array" ref="E2023">(XLOOKUP(D2023,Roster!F:F,Roster!B:B,"",0))</f>
        <v>Juan Ospina</v>
      </c>
      <c r="F2023" s="315" t="str">
        <f t="array" ref="F2023">IF(B2023=100,"Free",TEXT(XLOOKUP($D2023,OperationVoice!$A:$A,OperationVoice!W:W,XLOOKUP($D2023,OperationTickets!$A:$A,OperationTickets!W:W,"",0)),"hh:mm"))</f>
        <v>08:00</v>
      </c>
      <c r="G2023" s="309">
        <f t="shared" si="3"/>
        <v>0.7083333333</v>
      </c>
      <c r="H2023" s="316" t="str">
        <f t="array" ref="H2023">XLOOKUP(B2023,Roster!L:L,Roster!N:N,XLOOKUP(D2023,TicketsBreak!A:A,TicketsBreak!E:E,"",0),0)</f>
        <v>10:45 - 11:00</v>
      </c>
      <c r="I2023" s="316" t="str">
        <f t="array" ref="I2023">XLOOKUP(B2023,Roster!L:L,Roster!O:O,XLOOKUP(D2023,TicketsBreak!A:A,TicketsBreak!F:F,"",0),0)</f>
        <v>14:00 - 14:30</v>
      </c>
      <c r="J2023" s="316" t="str">
        <f t="array" ref="J2023">XLOOKUP(B2023,Roster!L:L,Roster!P:P,XLOOKUP(D2023,TicketsBreak!A:A,TicketsBreak!G:G,"",0),0)</f>
        <v>15:45 - 16:00</v>
      </c>
      <c r="K2023" s="310">
        <f t="shared" si="4"/>
        <v>46129</v>
      </c>
      <c r="L2023" s="317">
        <f t="array" ref="L2023">(XLOOKUP(D2023,Roster!F:F,Roster!D:D,"",0))</f>
        <v>34</v>
      </c>
      <c r="M2023" s="317" t="str">
        <f t="array" ref="M2023">XLOOKUP(D2023,Roster!F:F,Roster!E:E)</f>
        <v>Tickets</v>
      </c>
      <c r="N2023" s="317" t="str">
        <f t="shared" ref="N2023:P2023" si="2053">LEFT(H2023,5)</f>
        <v>10:45</v>
      </c>
      <c r="O2023" s="317" t="str">
        <f t="shared" si="2053"/>
        <v>14:00</v>
      </c>
      <c r="P2023" s="317" t="str">
        <f t="shared" si="2053"/>
        <v>15:45</v>
      </c>
      <c r="Q2023" s="318">
        <f t="shared" si="1941"/>
        <v>46129.44792</v>
      </c>
      <c r="R2023" s="318">
        <f t="shared" si="1942"/>
        <v>46129.58333</v>
      </c>
      <c r="S2023" s="318">
        <f t="shared" si="8"/>
        <v>46129.65625</v>
      </c>
    </row>
    <row r="2024">
      <c r="A2024" s="14" t="str">
        <f t="shared" si="1"/>
        <v>C141346129</v>
      </c>
      <c r="B2024" s="185">
        <f t="array" ref="B2024">IF(F2024="VL","",IF(F2024="Free","Free",XLOOKUP(D2024,Roster!T:T,Roster!S:S,"",0)))</f>
        <v>121</v>
      </c>
      <c r="C2024" s="313">
        <v>46129.0</v>
      </c>
      <c r="D2024" s="314" t="s">
        <v>47</v>
      </c>
      <c r="E2024" s="307" t="str">
        <f t="array" ref="E2024">(XLOOKUP(D2024,Roster!F:F,Roster!B:B,"",0))</f>
        <v>Juan Parra</v>
      </c>
      <c r="F2024" s="315" t="str">
        <f t="array" ref="F2024">IF(B2024=100,"Free",TEXT(XLOOKUP($D2024,OperationVoice!$A:$A,OperationVoice!W:W,XLOOKUP($D2024,OperationTickets!$A:$A,OperationTickets!W:W,"",0)),"hh:mm"))</f>
        <v>08:00</v>
      </c>
      <c r="G2024" s="309">
        <f t="shared" si="3"/>
        <v>0.7083333333</v>
      </c>
      <c r="H2024" s="316" t="str">
        <f t="array" ref="H2024">XLOOKUP(B2024,Roster!L:L,Roster!N:N,XLOOKUP(D2024,TicketsBreak!A:A,TicketsBreak!E:E,"",0),0)</f>
        <v>09:15 - 09:30</v>
      </c>
      <c r="I2024" s="316" t="str">
        <f t="array" ref="I2024">XLOOKUP(B2024,Roster!L:L,Roster!O:O,XLOOKUP(D2024,TicketsBreak!A:A,TicketsBreak!F:F,"",0),0)</f>
        <v>11:30 - 12:00</v>
      </c>
      <c r="J2024" s="316" t="str">
        <f t="array" ref="J2024">XLOOKUP(B2024,Roster!L:L,Roster!P:P,XLOOKUP(D2024,TicketsBreak!A:A,TicketsBreak!G:G,"",0),0)</f>
        <v>14:30 - 14:45</v>
      </c>
      <c r="K2024" s="310">
        <f t="shared" si="4"/>
        <v>46129</v>
      </c>
      <c r="L2024" s="317">
        <f t="array" ref="L2024">(XLOOKUP(D2024,Roster!F:F,Roster!D:D,"",0))</f>
        <v>32</v>
      </c>
      <c r="M2024" s="317" t="str">
        <f t="array" ref="M2024">XLOOKUP(D2024,Roster!F:F,Roster!E:E)</f>
        <v>Voice</v>
      </c>
      <c r="N2024" s="317" t="str">
        <f t="shared" ref="N2024:P2024" si="2054">LEFT(H2024,5)</f>
        <v>09:15</v>
      </c>
      <c r="O2024" s="317" t="str">
        <f t="shared" si="2054"/>
        <v>11:30</v>
      </c>
      <c r="P2024" s="317" t="str">
        <f t="shared" si="2054"/>
        <v>14:30</v>
      </c>
      <c r="Q2024" s="318">
        <f t="shared" si="1941"/>
        <v>46129.38542</v>
      </c>
      <c r="R2024" s="318">
        <f t="shared" si="1942"/>
        <v>46129.47917</v>
      </c>
      <c r="S2024" s="318">
        <f t="shared" si="8"/>
        <v>46129.60417</v>
      </c>
    </row>
    <row r="2025">
      <c r="A2025" s="14" t="str">
        <f t="shared" si="1"/>
        <v>C132746129</v>
      </c>
      <c r="B2025" s="185" t="str">
        <f t="array" ref="B2025">IF(F2025="VL","",IF(F2025="Free","Free",XLOOKUP(D2025,Roster!T:T,Roster!S:S,"",0)))</f>
        <v/>
      </c>
      <c r="C2025" s="313">
        <v>46129.0</v>
      </c>
      <c r="D2025" s="314" t="s">
        <v>163</v>
      </c>
      <c r="E2025" s="307" t="str">
        <f t="array" ref="E2025">(XLOOKUP(D2025,Roster!F:F,Roster!B:B,"",0))</f>
        <v>Juan Restrepo</v>
      </c>
      <c r="F2025" s="315" t="str">
        <f t="array" ref="F2025">IF(B2025=100,"Free",TEXT(XLOOKUP($D2025,OperationVoice!$A:$A,OperationVoice!W:W,XLOOKUP($D2025,OperationTickets!$A:$A,OperationTickets!W:W,"",0)),"hh:mm"))</f>
        <v>07:00</v>
      </c>
      <c r="G2025" s="309">
        <f t="shared" si="3"/>
        <v>0.6666666667</v>
      </c>
      <c r="H2025" s="316" t="str">
        <f t="array" ref="H2025">XLOOKUP(B2025,Roster!L:L,Roster!N:N,XLOOKUP(D2025,TicketsBreak!A:A,TicketsBreak!E:E,"",0),0)</f>
        <v/>
      </c>
      <c r="I2025" s="316" t="str">
        <f t="array" ref="I2025">XLOOKUP(B2025,Roster!L:L,Roster!O:O,XLOOKUP(D2025,TicketsBreak!A:A,TicketsBreak!F:F,"",0),0)</f>
        <v/>
      </c>
      <c r="J2025" s="316" t="str">
        <f t="array" ref="J2025">XLOOKUP(B2025,Roster!L:L,Roster!P:P,XLOOKUP(D2025,TicketsBreak!A:A,TicketsBreak!G:G,"",0),0)</f>
        <v/>
      </c>
      <c r="K2025" s="310">
        <f t="shared" si="4"/>
        <v>46129</v>
      </c>
      <c r="L2025" s="317">
        <f t="array" ref="L2025">(XLOOKUP(D2025,Roster!F:F,Roster!D:D,"",0))</f>
        <v>29</v>
      </c>
      <c r="M2025" s="317" t="str">
        <f t="array" ref="M2025">XLOOKUP(D2025,Roster!F:F,Roster!E:E)</f>
        <v>Tickets</v>
      </c>
      <c r="N2025" s="317" t="str">
        <f t="shared" ref="N2025:P2025" si="2055">LEFT(H2025,5)</f>
        <v/>
      </c>
      <c r="O2025" s="317" t="str">
        <f t="shared" si="2055"/>
        <v/>
      </c>
      <c r="P2025" s="317" t="str">
        <f t="shared" si="2055"/>
        <v/>
      </c>
      <c r="Q2025" s="318" t="str">
        <f t="shared" si="1941"/>
        <v/>
      </c>
      <c r="R2025" s="318" t="str">
        <f t="shared" si="1942"/>
        <v/>
      </c>
      <c r="S2025" s="318" t="str">
        <f t="shared" si="8"/>
        <v/>
      </c>
    </row>
    <row r="2026">
      <c r="A2026" s="14" t="str">
        <f t="shared" si="1"/>
        <v>C146946129</v>
      </c>
      <c r="B2026" s="185" t="str">
        <f t="array" ref="B2026">IF(F2026="VL","",IF(F2026="Free","Free",XLOOKUP(D2026,Roster!T:T,Roster!S:S,"",0)))</f>
        <v>Free</v>
      </c>
      <c r="C2026" s="313">
        <v>46129.0</v>
      </c>
      <c r="D2026" s="314" t="s">
        <v>48</v>
      </c>
      <c r="E2026" s="307" t="str">
        <f t="array" ref="E2026">(XLOOKUP(D2026,Roster!F:F,Roster!B:B,"",0))</f>
        <v>Juan Restrepo Restrepo</v>
      </c>
      <c r="F2026" s="315" t="str">
        <f t="array" ref="F2026">IF(B2026=100,"Free",TEXT(XLOOKUP($D2026,OperationVoice!$A:$A,OperationVoice!W:W,XLOOKUP($D2026,OperationTickets!$A:$A,OperationTickets!W:W,"",0)),"hh:mm"))</f>
        <v>Free</v>
      </c>
      <c r="G2026" s="309" t="str">
        <f t="shared" si="3"/>
        <v>Free</v>
      </c>
      <c r="H2026" s="316" t="str">
        <f t="array" ref="H2026">XLOOKUP(B2026,Roster!L:L,Roster!N:N,XLOOKUP(D2026,TicketsBreak!A:A,TicketsBreak!E:E,"",0),0)</f>
        <v/>
      </c>
      <c r="I2026" s="316" t="str">
        <f t="array" ref="I2026">XLOOKUP(B2026,Roster!L:L,Roster!O:O,XLOOKUP(D2026,TicketsBreak!A:A,TicketsBreak!F:F,"",0),0)</f>
        <v/>
      </c>
      <c r="J2026" s="316" t="str">
        <f t="array" ref="J2026">XLOOKUP(B2026,Roster!L:L,Roster!P:P,XLOOKUP(D2026,TicketsBreak!A:A,TicketsBreak!G:G,"",0),0)</f>
        <v/>
      </c>
      <c r="K2026" s="310">
        <f t="shared" si="4"/>
        <v>46129</v>
      </c>
      <c r="L2026" s="317">
        <f t="array" ref="L2026">(XLOOKUP(D2026,Roster!F:F,Roster!D:D,"",0))</f>
        <v>33</v>
      </c>
      <c r="M2026" s="317" t="str">
        <f t="array" ref="M2026">XLOOKUP(D2026,Roster!F:F,Roster!E:E)</f>
        <v>Voice</v>
      </c>
      <c r="N2026" s="317" t="str">
        <f t="shared" ref="N2026:P2026" si="2056">LEFT(H2026,5)</f>
        <v/>
      </c>
      <c r="O2026" s="317" t="str">
        <f t="shared" si="2056"/>
        <v/>
      </c>
      <c r="P2026" s="317" t="str">
        <f t="shared" si="2056"/>
        <v/>
      </c>
      <c r="Q2026" s="318" t="str">
        <f t="shared" si="1941"/>
        <v/>
      </c>
      <c r="R2026" s="318" t="str">
        <f t="shared" si="1942"/>
        <v/>
      </c>
      <c r="S2026" s="318" t="str">
        <f t="shared" si="8"/>
        <v/>
      </c>
    </row>
    <row r="2027">
      <c r="A2027" s="14" t="str">
        <f t="shared" si="1"/>
        <v>C117146129</v>
      </c>
      <c r="B2027" s="185" t="str">
        <f t="array" ref="B2027">IF(F2027="VL","",IF(F2027="Free","Free",XLOOKUP(D2027,Roster!T:T,Roster!S:S,"",0)))</f>
        <v/>
      </c>
      <c r="C2027" s="313">
        <v>46129.0</v>
      </c>
      <c r="D2027" s="314" t="s">
        <v>142</v>
      </c>
      <c r="E2027" s="307" t="str">
        <f t="array" ref="E2027">(XLOOKUP(D2027,Roster!F:F,Roster!B:B,"",0))</f>
        <v>Juan Sanchez</v>
      </c>
      <c r="F2027" s="315" t="str">
        <f t="array" ref="F2027">IF(B2027=100,"Free",TEXT(XLOOKUP($D2027,OperationVoice!$A:$A,OperationVoice!W:W,XLOOKUP($D2027,OperationTickets!$A:$A,OperationTickets!W:W,"",0)),"hh:mm"))</f>
        <v>08:00</v>
      </c>
      <c r="G2027" s="309">
        <f t="shared" si="3"/>
        <v>0.7083333333</v>
      </c>
      <c r="H2027" s="316" t="str">
        <f t="array" ref="H2027">XLOOKUP(B2027,Roster!L:L,Roster!N:N,XLOOKUP(D2027,TicketsBreak!A:A,TicketsBreak!E:E,"",0),0)</f>
        <v/>
      </c>
      <c r="I2027" s="316" t="str">
        <f t="array" ref="I2027">XLOOKUP(B2027,Roster!L:L,Roster!O:O,XLOOKUP(D2027,TicketsBreak!A:A,TicketsBreak!F:F,"",0),0)</f>
        <v/>
      </c>
      <c r="J2027" s="316" t="str">
        <f t="array" ref="J2027">XLOOKUP(B2027,Roster!L:L,Roster!P:P,XLOOKUP(D2027,TicketsBreak!A:A,TicketsBreak!G:G,"",0),0)</f>
        <v/>
      </c>
      <c r="K2027" s="310">
        <f t="shared" si="4"/>
        <v>46129</v>
      </c>
      <c r="L2027" s="317">
        <f t="array" ref="L2027">(XLOOKUP(D2027,Roster!F:F,Roster!D:D,"",0))</f>
        <v>24</v>
      </c>
      <c r="M2027" s="317" t="str">
        <f t="array" ref="M2027">XLOOKUP(D2027,Roster!F:F,Roster!E:E)</f>
        <v>Tickets</v>
      </c>
      <c r="N2027" s="317" t="str">
        <f t="shared" ref="N2027:P2027" si="2057">LEFT(H2027,5)</f>
        <v/>
      </c>
      <c r="O2027" s="317" t="str">
        <f t="shared" si="2057"/>
        <v/>
      </c>
      <c r="P2027" s="317" t="str">
        <f t="shared" si="2057"/>
        <v/>
      </c>
      <c r="Q2027" s="318" t="str">
        <f t="shared" si="1941"/>
        <v/>
      </c>
      <c r="R2027" s="318" t="str">
        <f t="shared" si="1942"/>
        <v/>
      </c>
      <c r="S2027" s="318" t="str">
        <f t="shared" si="8"/>
        <v/>
      </c>
    </row>
    <row r="2028">
      <c r="A2028" s="14" t="str">
        <f t="shared" si="1"/>
        <v>C74346129</v>
      </c>
      <c r="B2028" s="185" t="str">
        <f t="array" ref="B2028">IF(F2028="VL","",IF(F2028="Free","Free",XLOOKUP(D2028,Roster!T:T,Roster!S:S,"",0)))</f>
        <v/>
      </c>
      <c r="C2028" s="313">
        <v>46129.0</v>
      </c>
      <c r="D2028" s="314" t="s">
        <v>164</v>
      </c>
      <c r="E2028" s="307" t="str">
        <f t="array" ref="E2028">(XLOOKUP(D2028,Roster!F:F,Roster!B:B,"",0))</f>
        <v>Juan Suarez</v>
      </c>
      <c r="F2028" s="315" t="str">
        <f t="array" ref="F2028">IF(B2028=100,"Free",TEXT(XLOOKUP($D2028,OperationVoice!$A:$A,OperationVoice!W:W,XLOOKUP($D2028,OperationTickets!$A:$A,OperationTickets!W:W,"",0)),"hh:mm"))</f>
        <v>VL</v>
      </c>
      <c r="G2028" s="309" t="str">
        <f t="shared" si="3"/>
        <v>VL</v>
      </c>
      <c r="H2028" s="316">
        <f t="array" ref="H2028">XLOOKUP(B2028,Roster!L:L,Roster!N:N,XLOOKUP(D2028,TicketsBreak!A:A,TicketsBreak!E:E,"",0),0)</f>
        <v>0.3958333333</v>
      </c>
      <c r="I2028" s="316">
        <f t="array" ref="I2028">XLOOKUP(B2028,Roster!L:L,Roster!O:O,XLOOKUP(D2028,TicketsBreak!A:A,TicketsBreak!F:F,"",0),0)</f>
        <v>0.5208333333</v>
      </c>
      <c r="J2028" s="316">
        <f t="array" ref="J2028">XLOOKUP(B2028,Roster!L:L,Roster!P:P,XLOOKUP(D2028,TicketsBreak!A:A,TicketsBreak!G:G,"",0),0)</f>
        <v>0.6145833333</v>
      </c>
      <c r="K2028" s="310">
        <f t="shared" si="4"/>
        <v>46129</v>
      </c>
      <c r="L2028" s="317">
        <f t="array" ref="L2028">(XLOOKUP(D2028,Roster!F:F,Roster!D:D,"",0))</f>
        <v>8</v>
      </c>
      <c r="M2028" s="317" t="str">
        <f t="array" ref="M2028">XLOOKUP(D2028,Roster!F:F,Roster!E:E)</f>
        <v>Tickets</v>
      </c>
      <c r="N2028" s="317" t="str">
        <f t="shared" ref="N2028:P2028" si="2058">LEFT(H2028,5)</f>
        <v>09:30</v>
      </c>
      <c r="O2028" s="317" t="str">
        <f t="shared" si="2058"/>
        <v>12:30</v>
      </c>
      <c r="P2028" s="317" t="str">
        <f t="shared" si="2058"/>
        <v>14:45</v>
      </c>
      <c r="Q2028" s="318">
        <f t="shared" si="1941"/>
        <v>46129.39583</v>
      </c>
      <c r="R2028" s="318">
        <f t="shared" si="1942"/>
        <v>46129.52083</v>
      </c>
      <c r="S2028" s="318">
        <f t="shared" si="8"/>
        <v>46129.61458</v>
      </c>
    </row>
    <row r="2029">
      <c r="A2029" s="14" t="str">
        <f t="shared" si="1"/>
        <v>C156846129</v>
      </c>
      <c r="B2029" s="185">
        <f t="array" ref="B2029">IF(F2029="VL","",IF(F2029="Free","Free",XLOOKUP(D2029,Roster!T:T,Roster!S:S,"",0)))</f>
        <v>122</v>
      </c>
      <c r="C2029" s="313">
        <v>46129.0</v>
      </c>
      <c r="D2029" s="314" t="s">
        <v>49</v>
      </c>
      <c r="E2029" s="307" t="str">
        <f t="array" ref="E2029">(XLOOKUP(D2029,Roster!F:F,Roster!B:B,"",0))</f>
        <v>Juan Zapata</v>
      </c>
      <c r="F2029" s="315" t="str">
        <f t="array" ref="F2029">IF(B2029=100,"Free",TEXT(XLOOKUP($D2029,OperationVoice!$A:$A,OperationVoice!W:W,XLOOKUP($D2029,OperationTickets!$A:$A,OperationTickets!W:W,"",0)),"hh:mm"))</f>
        <v>08:00</v>
      </c>
      <c r="G2029" s="309">
        <f t="shared" si="3"/>
        <v>0.7083333333</v>
      </c>
      <c r="H2029" s="316" t="str">
        <f t="array" ref="H2029">XLOOKUP(B2029,Roster!L:L,Roster!N:N,XLOOKUP(D2029,TicketsBreak!A:A,TicketsBreak!E:E,"",0),0)</f>
        <v>09:30 - 09:45</v>
      </c>
      <c r="I2029" s="316" t="str">
        <f t="array" ref="I2029">XLOOKUP(B2029,Roster!L:L,Roster!O:O,XLOOKUP(D2029,TicketsBreak!A:A,TicketsBreak!F:F,"",0),0)</f>
        <v>12:00 - 12:30</v>
      </c>
      <c r="J2029" s="316" t="str">
        <f t="array" ref="J2029">XLOOKUP(B2029,Roster!L:L,Roster!P:P,XLOOKUP(D2029,TicketsBreak!A:A,TicketsBreak!G:G,"",0),0)</f>
        <v>14:45 - 15:00</v>
      </c>
      <c r="K2029" s="310">
        <f t="shared" si="4"/>
        <v>46129</v>
      </c>
      <c r="L2029" s="317">
        <f t="array" ref="L2029">(XLOOKUP(D2029,Roster!F:F,Roster!D:D,"",0))</f>
        <v>38</v>
      </c>
      <c r="M2029" s="317" t="str">
        <f t="array" ref="M2029">XLOOKUP(D2029,Roster!F:F,Roster!E:E)</f>
        <v>Voice</v>
      </c>
      <c r="N2029" s="317" t="str">
        <f t="shared" ref="N2029:P2029" si="2059">LEFT(H2029,5)</f>
        <v>09:30</v>
      </c>
      <c r="O2029" s="317" t="str">
        <f t="shared" si="2059"/>
        <v>12:00</v>
      </c>
      <c r="P2029" s="317" t="str">
        <f t="shared" si="2059"/>
        <v>14:45</v>
      </c>
      <c r="Q2029" s="318">
        <f t="shared" si="1941"/>
        <v>46129.39583</v>
      </c>
      <c r="R2029" s="318">
        <f t="shared" si="1942"/>
        <v>46129.5</v>
      </c>
      <c r="S2029" s="318">
        <f t="shared" si="8"/>
        <v>46129.61458</v>
      </c>
    </row>
    <row r="2030">
      <c r="A2030" s="14" t="str">
        <f t="shared" si="1"/>
        <v>C75546129</v>
      </c>
      <c r="B2030" s="185" t="str">
        <f t="array" ref="B2030">IF(F2030="VL","",IF(F2030="Free","Free",XLOOKUP(D2030,Roster!T:T,Roster!S:S,"",0)))</f>
        <v/>
      </c>
      <c r="C2030" s="313">
        <v>46129.0</v>
      </c>
      <c r="D2030" s="314" t="s">
        <v>143</v>
      </c>
      <c r="E2030" s="307" t="str">
        <f t="array" ref="E2030">(XLOOKUP(D2030,Roster!F:F,Roster!B:B,"",0))</f>
        <v>Julian Higuita</v>
      </c>
      <c r="F2030" s="315" t="str">
        <f t="array" ref="F2030">IF(B2030=100,"Free",TEXT(XLOOKUP($D2030,OperationVoice!$A:$A,OperationVoice!W:W,XLOOKUP($D2030,OperationTickets!$A:$A,OperationTickets!W:W,"",0)),"hh:mm"))</f>
        <v>VL</v>
      </c>
      <c r="G2030" s="309" t="str">
        <f t="shared" si="3"/>
        <v>VL</v>
      </c>
      <c r="H2030" s="316" t="str">
        <f t="array" ref="H2030">XLOOKUP(B2030,Roster!L:L,Roster!N:N,XLOOKUP(D2030,TicketsBreak!A:A,TicketsBreak!E:E,"",0),0)</f>
        <v/>
      </c>
      <c r="I2030" s="316" t="str">
        <f t="array" ref="I2030">XLOOKUP(B2030,Roster!L:L,Roster!O:O,XLOOKUP(D2030,TicketsBreak!A:A,TicketsBreak!F:F,"",0),0)</f>
        <v/>
      </c>
      <c r="J2030" s="316" t="str">
        <f t="array" ref="J2030">XLOOKUP(B2030,Roster!L:L,Roster!P:P,XLOOKUP(D2030,TicketsBreak!A:A,TicketsBreak!G:G,"",0),0)</f>
        <v/>
      </c>
      <c r="K2030" s="310">
        <f t="shared" si="4"/>
        <v>46129</v>
      </c>
      <c r="L2030" s="317">
        <f t="array" ref="L2030">(XLOOKUP(D2030,Roster!F:F,Roster!D:D,"",0))</f>
        <v>35</v>
      </c>
      <c r="M2030" s="317" t="str">
        <f t="array" ref="M2030">XLOOKUP(D2030,Roster!F:F,Roster!E:E)</f>
        <v>Tickets</v>
      </c>
      <c r="N2030" s="317" t="str">
        <f t="shared" ref="N2030:P2030" si="2060">LEFT(H2030,5)</f>
        <v/>
      </c>
      <c r="O2030" s="317" t="str">
        <f t="shared" si="2060"/>
        <v/>
      </c>
      <c r="P2030" s="317" t="str">
        <f t="shared" si="2060"/>
        <v/>
      </c>
      <c r="Q2030" s="318" t="str">
        <f t="shared" si="1941"/>
        <v/>
      </c>
      <c r="R2030" s="318" t="str">
        <f t="shared" si="1942"/>
        <v/>
      </c>
      <c r="S2030" s="318" t="str">
        <f t="shared" si="8"/>
        <v/>
      </c>
    </row>
    <row r="2031">
      <c r="A2031" s="14" t="str">
        <f t="shared" si="1"/>
        <v>C52546129</v>
      </c>
      <c r="B2031" s="185" t="str">
        <f t="array" ref="B2031">IF(F2031="VL","",IF(F2031="Free","Free",XLOOKUP(D2031,Roster!T:T,Roster!S:S,"",0)))</f>
        <v/>
      </c>
      <c r="C2031" s="313">
        <v>46129.0</v>
      </c>
      <c r="D2031" s="314" t="s">
        <v>176</v>
      </c>
      <c r="E2031" s="307" t="str">
        <f t="array" ref="E2031">(XLOOKUP(D2031,Roster!F:F,Roster!B:B,"",0))</f>
        <v>Julian Pineda</v>
      </c>
      <c r="F2031" s="315" t="str">
        <f t="array" ref="F2031">IF(B2031=100,"Free",TEXT(XLOOKUP($D2031,OperationVoice!$A:$A,OperationVoice!W:W,XLOOKUP($D2031,OperationTickets!$A:$A,OperationTickets!W:W,"",0)),"hh:mm"))</f>
        <v>08:00</v>
      </c>
      <c r="G2031" s="309">
        <f t="shared" si="3"/>
        <v>0.7083333333</v>
      </c>
      <c r="H2031" s="316" t="str">
        <f t="array" ref="H2031">XLOOKUP(B2031,Roster!L:L,Roster!N:N,XLOOKUP(D2031,TicketsBreak!A:A,TicketsBreak!E:E,"",0),0)</f>
        <v/>
      </c>
      <c r="I2031" s="316" t="str">
        <f t="array" ref="I2031">XLOOKUP(B2031,Roster!L:L,Roster!O:O,XLOOKUP(D2031,TicketsBreak!A:A,TicketsBreak!F:F,"",0),0)</f>
        <v/>
      </c>
      <c r="J2031" s="316" t="str">
        <f t="array" ref="J2031">XLOOKUP(B2031,Roster!L:L,Roster!P:P,XLOOKUP(D2031,TicketsBreak!A:A,TicketsBreak!G:G,"",0),0)</f>
        <v/>
      </c>
      <c r="K2031" s="310">
        <f t="shared" si="4"/>
        <v>46129</v>
      </c>
      <c r="L2031" s="317">
        <f t="array" ref="L2031">(XLOOKUP(D2031,Roster!F:F,Roster!D:D,"",0))</f>
        <v>35</v>
      </c>
      <c r="M2031" s="317" t="str">
        <f t="array" ref="M2031">XLOOKUP(D2031,Roster!F:F,Roster!E:E)</f>
        <v>Tickets</v>
      </c>
      <c r="N2031" s="317" t="str">
        <f t="shared" ref="N2031:P2031" si="2061">LEFT(H2031,5)</f>
        <v/>
      </c>
      <c r="O2031" s="317" t="str">
        <f t="shared" si="2061"/>
        <v/>
      </c>
      <c r="P2031" s="317" t="str">
        <f t="shared" si="2061"/>
        <v/>
      </c>
      <c r="Q2031" s="318" t="str">
        <f t="shared" si="1941"/>
        <v/>
      </c>
      <c r="R2031" s="318" t="str">
        <f t="shared" si="1942"/>
        <v/>
      </c>
      <c r="S2031" s="318" t="str">
        <f t="shared" si="8"/>
        <v/>
      </c>
    </row>
    <row r="2032">
      <c r="A2032" s="14" t="str">
        <f t="shared" si="1"/>
        <v>C142746129</v>
      </c>
      <c r="B2032" s="185">
        <f t="array" ref="B2032">IF(F2032="VL","",IF(F2032="Free","Free",XLOOKUP(D2032,Roster!T:T,Roster!S:S,"",0)))</f>
        <v>123</v>
      </c>
      <c r="C2032" s="313">
        <v>46129.0</v>
      </c>
      <c r="D2032" s="314" t="s">
        <v>50</v>
      </c>
      <c r="E2032" s="307" t="str">
        <f t="array" ref="E2032">(XLOOKUP(D2032,Roster!F:F,Roster!B:B,"",0))</f>
        <v>Karen Lorena Martinez</v>
      </c>
      <c r="F2032" s="315" t="str">
        <f t="array" ref="F2032">IF(B2032=100,"Free",TEXT(XLOOKUP($D2032,OperationVoice!$A:$A,OperationVoice!W:W,XLOOKUP($D2032,OperationTickets!$A:$A,OperationTickets!W:W,"",0)),"hh:mm"))</f>
        <v>08:00</v>
      </c>
      <c r="G2032" s="309">
        <f t="shared" si="3"/>
        <v>0.7083333333</v>
      </c>
      <c r="H2032" s="316" t="str">
        <f t="array" ref="H2032">XLOOKUP(B2032,Roster!L:L,Roster!N:N,XLOOKUP(D2032,TicketsBreak!A:A,TicketsBreak!E:E,"",0),0)</f>
        <v>09:45 - 10:00 </v>
      </c>
      <c r="I2032" s="316" t="str">
        <f t="array" ref="I2032">XLOOKUP(B2032,Roster!L:L,Roster!O:O,XLOOKUP(D2032,TicketsBreak!A:A,TicketsBreak!F:F,"",0),0)</f>
        <v>12:30 - 13:00</v>
      </c>
      <c r="J2032" s="316" t="str">
        <f t="array" ref="J2032">XLOOKUP(B2032,Roster!L:L,Roster!P:P,XLOOKUP(D2032,TicketsBreak!A:A,TicketsBreak!G:G,"",0),0)</f>
        <v>15:00 - 15:15</v>
      </c>
      <c r="K2032" s="310">
        <f t="shared" si="4"/>
        <v>46129</v>
      </c>
      <c r="L2032" s="317">
        <f t="array" ref="L2032">(XLOOKUP(D2032,Roster!F:F,Roster!D:D,"",0))</f>
        <v>32</v>
      </c>
      <c r="M2032" s="317" t="str">
        <f t="array" ref="M2032">XLOOKUP(D2032,Roster!F:F,Roster!E:E)</f>
        <v>Voice</v>
      </c>
      <c r="N2032" s="317" t="str">
        <f t="shared" ref="N2032:P2032" si="2062">LEFT(H2032,5)</f>
        <v>09:45</v>
      </c>
      <c r="O2032" s="317" t="str">
        <f t="shared" si="2062"/>
        <v>12:30</v>
      </c>
      <c r="P2032" s="317" t="str">
        <f t="shared" si="2062"/>
        <v>15:00</v>
      </c>
      <c r="Q2032" s="318">
        <f t="shared" si="1941"/>
        <v>46129.40625</v>
      </c>
      <c r="R2032" s="318">
        <f t="shared" si="1942"/>
        <v>46129.52083</v>
      </c>
      <c r="S2032" s="318">
        <f t="shared" si="8"/>
        <v>46129.625</v>
      </c>
    </row>
    <row r="2033">
      <c r="A2033" s="14" t="str">
        <f t="shared" si="1"/>
        <v>C57946129</v>
      </c>
      <c r="B2033" s="185" t="str">
        <f t="array" ref="B2033">IF(F2033="VL","",IF(F2033="Free","Free",XLOOKUP(D2033,Roster!T:T,Roster!S:S,"",0)))</f>
        <v/>
      </c>
      <c r="C2033" s="313">
        <v>46129.0</v>
      </c>
      <c r="D2033" s="314" t="s">
        <v>144</v>
      </c>
      <c r="E2033" s="307" t="str">
        <f t="array" ref="E2033">(XLOOKUP(D2033,Roster!F:F,Roster!B:B,"",0))</f>
        <v>Karen Martinez</v>
      </c>
      <c r="F2033" s="315" t="str">
        <f t="array" ref="F2033">IF(B2033=100,"Free",TEXT(XLOOKUP($D2033,OperationVoice!$A:$A,OperationVoice!W:W,XLOOKUP($D2033,OperationTickets!$A:$A,OperationTickets!W:W,"",0)),"hh:mm"))</f>
        <v>08:00</v>
      </c>
      <c r="G2033" s="309">
        <f t="shared" si="3"/>
        <v>0.7083333333</v>
      </c>
      <c r="H2033" s="316">
        <f t="array" ref="H2033">XLOOKUP(B2033,Roster!L:L,Roster!N:N,XLOOKUP(D2033,TicketsBreak!A:A,TicketsBreak!E:E,"",0),0)</f>
        <v>0.4166666667</v>
      </c>
      <c r="I2033" s="316">
        <f t="array" ref="I2033">XLOOKUP(B2033,Roster!L:L,Roster!O:O,XLOOKUP(D2033,TicketsBreak!A:A,TicketsBreak!F:F,"",0),0)</f>
        <v>0.5</v>
      </c>
      <c r="J2033" s="316">
        <f t="array" ref="J2033">XLOOKUP(B2033,Roster!L:L,Roster!P:P,XLOOKUP(D2033,TicketsBreak!A:A,TicketsBreak!G:G,"",0),0)</f>
        <v>0.625</v>
      </c>
      <c r="K2033" s="310">
        <f t="shared" si="4"/>
        <v>46129</v>
      </c>
      <c r="L2033" s="317">
        <f t="array" ref="L2033">(XLOOKUP(D2033,Roster!F:F,Roster!D:D,"",0))</f>
        <v>4</v>
      </c>
      <c r="M2033" s="317" t="str">
        <f t="array" ref="M2033">XLOOKUP(D2033,Roster!F:F,Roster!E:E)</f>
        <v>Tickets</v>
      </c>
      <c r="N2033" s="317" t="str">
        <f t="shared" ref="N2033:P2033" si="2063">LEFT(H2033,5)</f>
        <v>10:00</v>
      </c>
      <c r="O2033" s="317" t="str">
        <f t="shared" si="2063"/>
        <v>12:00</v>
      </c>
      <c r="P2033" s="317" t="str">
        <f t="shared" si="2063"/>
        <v>15:00</v>
      </c>
      <c r="Q2033" s="318">
        <f t="shared" si="1941"/>
        <v>46129.41667</v>
      </c>
      <c r="R2033" s="318">
        <f t="shared" si="1942"/>
        <v>46129.5</v>
      </c>
      <c r="S2033" s="318">
        <f t="shared" si="8"/>
        <v>46129.625</v>
      </c>
    </row>
    <row r="2034">
      <c r="A2034" s="14" t="str">
        <f t="shared" si="1"/>
        <v>C108646129</v>
      </c>
      <c r="B2034" s="185">
        <f t="array" ref="B2034">IF(F2034="VL","",IF(F2034="Free","Free",XLOOKUP(D2034,Roster!T:T,Roster!S:S,"",0)))</f>
        <v>124</v>
      </c>
      <c r="C2034" s="313">
        <v>46129.0</v>
      </c>
      <c r="D2034" s="314" t="s">
        <v>51</v>
      </c>
      <c r="E2034" s="307" t="str">
        <f t="array" ref="E2034">(XLOOKUP(D2034,Roster!F:F,Roster!B:B,"",0))</f>
        <v>Karen Panqueva</v>
      </c>
      <c r="F2034" s="315" t="str">
        <f t="array" ref="F2034">IF(B2034=100,"Free",TEXT(XLOOKUP($D2034,OperationVoice!$A:$A,OperationVoice!W:W,XLOOKUP($D2034,OperationTickets!$A:$A,OperationTickets!W:W,"",0)),"hh:mm"))</f>
        <v>08:00</v>
      </c>
      <c r="G2034" s="309">
        <f t="shared" si="3"/>
        <v>0.7083333333</v>
      </c>
      <c r="H2034" s="316" t="str">
        <f t="array" ref="H2034">XLOOKUP(B2034,Roster!L:L,Roster!N:N,XLOOKUP(D2034,TicketsBreak!A:A,TicketsBreak!E:E,"",0),0)</f>
        <v>10:00 - 10:15</v>
      </c>
      <c r="I2034" s="316" t="str">
        <f t="array" ref="I2034">XLOOKUP(B2034,Roster!L:L,Roster!O:O,XLOOKUP(D2034,TicketsBreak!A:A,TicketsBreak!F:F,"",0),0)</f>
        <v>13:00 - 13:30</v>
      </c>
      <c r="J2034" s="316" t="str">
        <f t="array" ref="J2034">XLOOKUP(B2034,Roster!L:L,Roster!P:P,XLOOKUP(D2034,TicketsBreak!A:A,TicketsBreak!G:G,"",0),0)</f>
        <v>15:30 - 15:45</v>
      </c>
      <c r="K2034" s="310">
        <f t="shared" si="4"/>
        <v>46129</v>
      </c>
      <c r="L2034" s="317">
        <f t="array" ref="L2034">(XLOOKUP(D2034,Roster!F:F,Roster!D:D,"",0))</f>
        <v>19</v>
      </c>
      <c r="M2034" s="317" t="str">
        <f t="array" ref="M2034">XLOOKUP(D2034,Roster!F:F,Roster!E:E)</f>
        <v>Voice</v>
      </c>
      <c r="N2034" s="317" t="str">
        <f t="shared" ref="N2034:P2034" si="2064">LEFT(H2034,5)</f>
        <v>10:00</v>
      </c>
      <c r="O2034" s="317" t="str">
        <f t="shared" si="2064"/>
        <v>13:00</v>
      </c>
      <c r="P2034" s="317" t="str">
        <f t="shared" si="2064"/>
        <v>15:30</v>
      </c>
      <c r="Q2034" s="318">
        <f t="shared" si="1941"/>
        <v>46129.41667</v>
      </c>
      <c r="R2034" s="318">
        <f t="shared" si="1942"/>
        <v>46129.54167</v>
      </c>
      <c r="S2034" s="318">
        <f t="shared" si="8"/>
        <v>46129.64583</v>
      </c>
    </row>
    <row r="2035">
      <c r="A2035" s="14" t="str">
        <f t="shared" si="1"/>
        <v>C149246129</v>
      </c>
      <c r="B2035" s="185">
        <f t="array" ref="B2035">IF(F2035="VL","",IF(F2035="Free","Free",XLOOKUP(D2035,Roster!T:T,Roster!S:S,"",0)))</f>
        <v>125</v>
      </c>
      <c r="C2035" s="313">
        <v>46129.0</v>
      </c>
      <c r="D2035" s="314" t="s">
        <v>52</v>
      </c>
      <c r="E2035" s="307" t="str">
        <f t="array" ref="E2035">(XLOOKUP(D2035,Roster!F:F,Roster!B:B,"",0))</f>
        <v>Karol Pineda</v>
      </c>
      <c r="F2035" s="315" t="str">
        <f t="array" ref="F2035">IF(B2035=100,"Free",TEXT(XLOOKUP($D2035,OperationVoice!$A:$A,OperationVoice!W:W,XLOOKUP($D2035,OperationTickets!$A:$A,OperationTickets!W:W,"",0)),"hh:mm"))</f>
        <v>08:00</v>
      </c>
      <c r="G2035" s="309">
        <f t="shared" si="3"/>
        <v>0.7083333333</v>
      </c>
      <c r="H2035" s="316" t="str">
        <f t="array" ref="H2035">XLOOKUP(B2035,Roster!L:L,Roster!N:N,XLOOKUP(D2035,TicketsBreak!A:A,TicketsBreak!E:E,"",0),0)</f>
        <v>10:30 - 10:45</v>
      </c>
      <c r="I2035" s="316" t="str">
        <f t="array" ref="I2035">XLOOKUP(B2035,Roster!L:L,Roster!O:O,XLOOKUP(D2035,TicketsBreak!A:A,TicketsBreak!F:F,"",0),0)</f>
        <v>13:30 - 14:00</v>
      </c>
      <c r="J2035" s="316" t="str">
        <f t="array" ref="J2035">XLOOKUP(B2035,Roster!L:L,Roster!P:P,XLOOKUP(D2035,TicketsBreak!A:A,TicketsBreak!G:G,"",0),0)</f>
        <v>15:45 - 16:00</v>
      </c>
      <c r="K2035" s="310">
        <f t="shared" si="4"/>
        <v>46129</v>
      </c>
      <c r="L2035" s="317">
        <f t="array" ref="L2035">(XLOOKUP(D2035,Roster!F:F,Roster!D:D,"",0))</f>
        <v>34</v>
      </c>
      <c r="M2035" s="317" t="str">
        <f t="array" ref="M2035">XLOOKUP(D2035,Roster!F:F,Roster!E:E)</f>
        <v>Voice</v>
      </c>
      <c r="N2035" s="317" t="str">
        <f t="shared" ref="N2035:P2035" si="2065">LEFT(H2035,5)</f>
        <v>10:30</v>
      </c>
      <c r="O2035" s="317" t="str">
        <f t="shared" si="2065"/>
        <v>13:30</v>
      </c>
      <c r="P2035" s="317" t="str">
        <f t="shared" si="2065"/>
        <v>15:45</v>
      </c>
      <c r="Q2035" s="318">
        <f t="shared" si="1941"/>
        <v>46129.4375</v>
      </c>
      <c r="R2035" s="318">
        <f t="shared" si="1942"/>
        <v>46129.5625</v>
      </c>
      <c r="S2035" s="318">
        <f t="shared" si="8"/>
        <v>46129.65625</v>
      </c>
    </row>
    <row r="2036">
      <c r="A2036" s="14" t="str">
        <f t="shared" si="1"/>
        <v>C65846129</v>
      </c>
      <c r="B2036" s="185">
        <f t="array" ref="B2036">IF(F2036="VL","",IF(F2036="Free","Free",XLOOKUP(D2036,Roster!T:T,Roster!S:S,"",0)))</f>
        <v>112</v>
      </c>
      <c r="C2036" s="313">
        <v>46129.0</v>
      </c>
      <c r="D2036" s="314" t="s">
        <v>53</v>
      </c>
      <c r="E2036" s="307" t="str">
        <f t="array" ref="E2036">(XLOOKUP(D2036,Roster!F:F,Roster!B:B,"",0))</f>
        <v>Kennedy Giraldo</v>
      </c>
      <c r="F2036" s="315" t="str">
        <f t="array" ref="F2036">IF(B2036=100,"Free",TEXT(XLOOKUP($D2036,OperationVoice!$A:$A,OperationVoice!W:W,XLOOKUP($D2036,OperationTickets!$A:$A,OperationTickets!W:W,"",0)),"hh:mm"))</f>
        <v>07:00</v>
      </c>
      <c r="G2036" s="309">
        <f t="shared" si="3"/>
        <v>0.6666666667</v>
      </c>
      <c r="H2036" s="316" t="str">
        <f t="array" ref="H2036">XLOOKUP(B2036,Roster!L:L,Roster!N:N,XLOOKUP(D2036,TicketsBreak!A:A,TicketsBreak!E:E,"",0),0)</f>
        <v>09:30 - 09:45</v>
      </c>
      <c r="I2036" s="316" t="str">
        <f t="array" ref="I2036">XLOOKUP(B2036,Roster!L:L,Roster!O:O,XLOOKUP(D2036,TicketsBreak!A:A,TicketsBreak!F:F,"",0),0)</f>
        <v>12:15 - 12:45</v>
      </c>
      <c r="J2036" s="316" t="str">
        <f t="array" ref="J2036">XLOOKUP(B2036,Roster!L:L,Roster!P:P,XLOOKUP(D2036,TicketsBreak!A:A,TicketsBreak!G:G,"",0),0)</f>
        <v>14:45 - 15:00</v>
      </c>
      <c r="K2036" s="310">
        <f t="shared" si="4"/>
        <v>46129</v>
      </c>
      <c r="L2036" s="317">
        <f t="array" ref="L2036">(XLOOKUP(D2036,Roster!F:F,Roster!D:D,"",0))</f>
        <v>2</v>
      </c>
      <c r="M2036" s="317" t="str">
        <f t="array" ref="M2036">XLOOKUP(D2036,Roster!F:F,Roster!E:E)</f>
        <v>Voice</v>
      </c>
      <c r="N2036" s="317" t="str">
        <f t="shared" ref="N2036:P2036" si="2066">LEFT(H2036,5)</f>
        <v>09:30</v>
      </c>
      <c r="O2036" s="317" t="str">
        <f t="shared" si="2066"/>
        <v>12:15</v>
      </c>
      <c r="P2036" s="317" t="str">
        <f t="shared" si="2066"/>
        <v>14:45</v>
      </c>
      <c r="Q2036" s="318">
        <f t="shared" si="1941"/>
        <v>46129.39583</v>
      </c>
      <c r="R2036" s="318">
        <f t="shared" si="1942"/>
        <v>46129.51042</v>
      </c>
      <c r="S2036" s="318">
        <f t="shared" si="8"/>
        <v>46129.61458</v>
      </c>
    </row>
    <row r="2037">
      <c r="A2037" s="14" t="str">
        <f t="shared" si="1"/>
        <v>C151446129</v>
      </c>
      <c r="B2037" s="185">
        <f t="array" ref="B2037">IF(F2037="VL","",IF(F2037="Free","Free",XLOOKUP(D2037,Roster!T:T,Roster!S:S,"",0)))</f>
        <v>122</v>
      </c>
      <c r="C2037" s="313">
        <v>46129.0</v>
      </c>
      <c r="D2037" s="314" t="s">
        <v>54</v>
      </c>
      <c r="E2037" s="307" t="str">
        <f t="array" ref="E2037">(XLOOKUP(D2037,Roster!F:F,Roster!B:B,"",0))</f>
        <v>Kevin Betancur</v>
      </c>
      <c r="F2037" s="315" t="str">
        <f t="array" ref="F2037">IF(B2037=100,"Free",TEXT(XLOOKUP($D2037,OperationVoice!$A:$A,OperationVoice!W:W,XLOOKUP($D2037,OperationTickets!$A:$A,OperationTickets!W:W,"",0)),"hh:mm"))</f>
        <v>08:00</v>
      </c>
      <c r="G2037" s="309">
        <f t="shared" si="3"/>
        <v>0.7083333333</v>
      </c>
      <c r="H2037" s="316" t="str">
        <f t="array" ref="H2037">XLOOKUP(B2037,Roster!L:L,Roster!N:N,XLOOKUP(D2037,TicketsBreak!A:A,TicketsBreak!E:E,"",0),0)</f>
        <v>09:30 - 09:45</v>
      </c>
      <c r="I2037" s="316" t="str">
        <f t="array" ref="I2037">XLOOKUP(B2037,Roster!L:L,Roster!O:O,XLOOKUP(D2037,TicketsBreak!A:A,TicketsBreak!F:F,"",0),0)</f>
        <v>12:00 - 12:30</v>
      </c>
      <c r="J2037" s="316" t="str">
        <f t="array" ref="J2037">XLOOKUP(B2037,Roster!L:L,Roster!P:P,XLOOKUP(D2037,TicketsBreak!A:A,TicketsBreak!G:G,"",0),0)</f>
        <v>14:45 - 15:00</v>
      </c>
      <c r="K2037" s="310">
        <f t="shared" si="4"/>
        <v>46129</v>
      </c>
      <c r="L2037" s="317">
        <f t="array" ref="L2037">(XLOOKUP(D2037,Roster!F:F,Roster!D:D,"",0))</f>
        <v>35</v>
      </c>
      <c r="M2037" s="317" t="str">
        <f t="array" ref="M2037">XLOOKUP(D2037,Roster!F:F,Roster!E:E)</f>
        <v>Voice</v>
      </c>
      <c r="N2037" s="317" t="str">
        <f t="shared" ref="N2037:P2037" si="2067">LEFT(H2037,5)</f>
        <v>09:30</v>
      </c>
      <c r="O2037" s="317" t="str">
        <f t="shared" si="2067"/>
        <v>12:00</v>
      </c>
      <c r="P2037" s="317" t="str">
        <f t="shared" si="2067"/>
        <v>14:45</v>
      </c>
      <c r="Q2037" s="318">
        <f t="shared" si="1941"/>
        <v>46129.39583</v>
      </c>
      <c r="R2037" s="318">
        <f t="shared" si="1942"/>
        <v>46129.5</v>
      </c>
      <c r="S2037" s="318">
        <f t="shared" si="8"/>
        <v>46129.61458</v>
      </c>
    </row>
    <row r="2038">
      <c r="A2038" s="14" t="str">
        <f t="shared" si="1"/>
        <v>C157146129</v>
      </c>
      <c r="B2038" s="185">
        <f t="array" ref="B2038">IF(F2038="VL","",IF(F2038="Free","Free",XLOOKUP(D2038,Roster!T:T,Roster!S:S,"",0)))</f>
        <v>123</v>
      </c>
      <c r="C2038" s="313">
        <v>46129.0</v>
      </c>
      <c r="D2038" s="314" t="s">
        <v>55</v>
      </c>
      <c r="E2038" s="307" t="str">
        <f t="array" ref="E2038">(XLOOKUP(D2038,Roster!F:F,Roster!B:B,"",0))</f>
        <v>Laura Chamorro</v>
      </c>
      <c r="F2038" s="315" t="str">
        <f t="array" ref="F2038">IF(B2038=100,"Free",TEXT(XLOOKUP($D2038,OperationVoice!$A:$A,OperationVoice!W:W,XLOOKUP($D2038,OperationTickets!$A:$A,OperationTickets!W:W,"",0)),"hh:mm"))</f>
        <v>08:00</v>
      </c>
      <c r="G2038" s="309">
        <f t="shared" si="3"/>
        <v>0.7083333333</v>
      </c>
      <c r="H2038" s="316" t="str">
        <f t="array" ref="H2038">XLOOKUP(B2038,Roster!L:L,Roster!N:N,XLOOKUP(D2038,TicketsBreak!A:A,TicketsBreak!E:E,"",0),0)</f>
        <v>09:45 - 10:00 </v>
      </c>
      <c r="I2038" s="316" t="str">
        <f t="array" ref="I2038">XLOOKUP(B2038,Roster!L:L,Roster!O:O,XLOOKUP(D2038,TicketsBreak!A:A,TicketsBreak!F:F,"",0),0)</f>
        <v>12:30 - 13:00</v>
      </c>
      <c r="J2038" s="316" t="str">
        <f t="array" ref="J2038">XLOOKUP(B2038,Roster!L:L,Roster!P:P,XLOOKUP(D2038,TicketsBreak!A:A,TicketsBreak!G:G,"",0),0)</f>
        <v>15:00 - 15:15</v>
      </c>
      <c r="K2038" s="310">
        <f t="shared" si="4"/>
        <v>46129</v>
      </c>
      <c r="L2038" s="317">
        <f t="array" ref="L2038">(XLOOKUP(D2038,Roster!F:F,Roster!D:D,"",0))</f>
        <v>38</v>
      </c>
      <c r="M2038" s="317" t="str">
        <f t="array" ref="M2038">XLOOKUP(D2038,Roster!F:F,Roster!E:E)</f>
        <v>Voice</v>
      </c>
      <c r="N2038" s="317" t="str">
        <f t="shared" ref="N2038:P2038" si="2068">LEFT(H2038,5)</f>
        <v>09:45</v>
      </c>
      <c r="O2038" s="317" t="str">
        <f t="shared" si="2068"/>
        <v>12:30</v>
      </c>
      <c r="P2038" s="317" t="str">
        <f t="shared" si="2068"/>
        <v>15:00</v>
      </c>
      <c r="Q2038" s="318">
        <f t="shared" si="1941"/>
        <v>46129.40625</v>
      </c>
      <c r="R2038" s="318">
        <f t="shared" si="1942"/>
        <v>46129.52083</v>
      </c>
      <c r="S2038" s="318">
        <f t="shared" si="8"/>
        <v>46129.625</v>
      </c>
    </row>
    <row r="2039">
      <c r="A2039" s="14" t="str">
        <f t="shared" si="1"/>
        <v>C53446129</v>
      </c>
      <c r="B2039" s="185" t="str">
        <f t="array" ref="B2039">IF(F2039="VL","",IF(F2039="Free","Free",XLOOKUP(D2039,Roster!T:T,Roster!S:S,"",0)))</f>
        <v/>
      </c>
      <c r="C2039" s="313">
        <v>46129.0</v>
      </c>
      <c r="D2039" s="314" t="s">
        <v>177</v>
      </c>
      <c r="E2039" s="307" t="str">
        <f t="array" ref="E2039">(XLOOKUP(D2039,Roster!F:F,Roster!B:B,"",0))</f>
        <v>Leandry La Rosa</v>
      </c>
      <c r="F2039" s="315" t="str">
        <f t="array" ref="F2039">IF(B2039=100,"Free",TEXT(XLOOKUP($D2039,OperationVoice!$A:$A,OperationVoice!W:W,XLOOKUP($D2039,OperationTickets!$A:$A,OperationTickets!W:W,"",0)),"hh:mm"))</f>
        <v>08:00</v>
      </c>
      <c r="G2039" s="309">
        <f t="shared" si="3"/>
        <v>0.7083333333</v>
      </c>
      <c r="H2039" s="316">
        <f t="array" ref="H2039">XLOOKUP(B2039,Roster!L:L,Roster!N:N,XLOOKUP(D2039,TicketsBreak!A:A,TicketsBreak!E:E,"",0),0)</f>
        <v>0.40625</v>
      </c>
      <c r="I2039" s="316">
        <f t="array" ref="I2039">XLOOKUP(B2039,Roster!L:L,Roster!O:O,XLOOKUP(D2039,TicketsBreak!A:A,TicketsBreak!F:F,"",0),0)</f>
        <v>0.5416666667</v>
      </c>
      <c r="J2039" s="316">
        <f t="array" ref="J2039">XLOOKUP(B2039,Roster!L:L,Roster!P:P,XLOOKUP(D2039,TicketsBreak!A:A,TicketsBreak!G:G,"",0),0)</f>
        <v>0.65625</v>
      </c>
      <c r="K2039" s="310">
        <f t="shared" si="4"/>
        <v>46129</v>
      </c>
      <c r="L2039" s="317">
        <f t="array" ref="L2039">(XLOOKUP(D2039,Roster!F:F,Roster!D:D,"",0))</f>
        <v>1</v>
      </c>
      <c r="M2039" s="317" t="str">
        <f t="array" ref="M2039">XLOOKUP(D2039,Roster!F:F,Roster!E:E)</f>
        <v>Tickets</v>
      </c>
      <c r="N2039" s="317" t="str">
        <f t="shared" ref="N2039:P2039" si="2069">LEFT(H2039,5)</f>
        <v>09:45</v>
      </c>
      <c r="O2039" s="317" t="str">
        <f t="shared" si="2069"/>
        <v>13:00</v>
      </c>
      <c r="P2039" s="317" t="str">
        <f t="shared" si="2069"/>
        <v>15:45</v>
      </c>
      <c r="Q2039" s="318">
        <f t="shared" si="1941"/>
        <v>46129.40625</v>
      </c>
      <c r="R2039" s="318">
        <f t="shared" si="1942"/>
        <v>46129.54167</v>
      </c>
      <c r="S2039" s="318">
        <f t="shared" si="8"/>
        <v>46129.65625</v>
      </c>
    </row>
    <row r="2040">
      <c r="A2040" s="14" t="str">
        <f t="shared" si="1"/>
        <v>C157846129</v>
      </c>
      <c r="B2040" s="185">
        <f t="array" ref="B2040">IF(F2040="VL","",IF(F2040="Free","Free",XLOOKUP(D2040,Roster!T:T,Roster!S:S,"",0)))</f>
        <v>125</v>
      </c>
      <c r="C2040" s="313">
        <v>46129.0</v>
      </c>
      <c r="D2040" s="314" t="s">
        <v>56</v>
      </c>
      <c r="E2040" s="307" t="str">
        <f t="array" ref="E2040">(XLOOKUP(D2040,Roster!F:F,Roster!B:B,"",0))</f>
        <v>Leonerrichi Caicedo</v>
      </c>
      <c r="F2040" s="315" t="str">
        <f t="array" ref="F2040">IF(B2040=100,"Free",TEXT(XLOOKUP($D2040,OperationVoice!$A:$A,OperationVoice!W:W,XLOOKUP($D2040,OperationTickets!$A:$A,OperationTickets!W:W,"",0)),"hh:mm"))</f>
        <v>08:00</v>
      </c>
      <c r="G2040" s="309">
        <f t="shared" si="3"/>
        <v>0.7083333333</v>
      </c>
      <c r="H2040" s="316" t="str">
        <f t="array" ref="H2040">XLOOKUP(B2040,Roster!L:L,Roster!N:N,XLOOKUP(D2040,TicketsBreak!A:A,TicketsBreak!E:E,"",0),0)</f>
        <v>10:30 - 10:45</v>
      </c>
      <c r="I2040" s="316" t="str">
        <f t="array" ref="I2040">XLOOKUP(B2040,Roster!L:L,Roster!O:O,XLOOKUP(D2040,TicketsBreak!A:A,TicketsBreak!F:F,"",0),0)</f>
        <v>13:30 - 14:00</v>
      </c>
      <c r="J2040" s="316" t="str">
        <f t="array" ref="J2040">XLOOKUP(B2040,Roster!L:L,Roster!P:P,XLOOKUP(D2040,TicketsBreak!A:A,TicketsBreak!G:G,"",0),0)</f>
        <v>15:45 - 16:00</v>
      </c>
      <c r="K2040" s="310">
        <f t="shared" si="4"/>
        <v>46129</v>
      </c>
      <c r="L2040" s="317">
        <f t="array" ref="L2040">(XLOOKUP(D2040,Roster!F:F,Roster!D:D,"",0))</f>
        <v>38</v>
      </c>
      <c r="M2040" s="317" t="str">
        <f t="array" ref="M2040">XLOOKUP(D2040,Roster!F:F,Roster!E:E)</f>
        <v>Voice</v>
      </c>
      <c r="N2040" s="317" t="str">
        <f t="shared" ref="N2040:P2040" si="2070">LEFT(H2040,5)</f>
        <v>10:30</v>
      </c>
      <c r="O2040" s="317" t="str">
        <f t="shared" si="2070"/>
        <v>13:30</v>
      </c>
      <c r="P2040" s="317" t="str">
        <f t="shared" si="2070"/>
        <v>15:45</v>
      </c>
      <c r="Q2040" s="318">
        <f t="shared" si="1941"/>
        <v>46129.4375</v>
      </c>
      <c r="R2040" s="318">
        <f t="shared" si="1942"/>
        <v>46129.5625</v>
      </c>
      <c r="S2040" s="318">
        <f t="shared" si="8"/>
        <v>46129.65625</v>
      </c>
    </row>
    <row r="2041">
      <c r="A2041" s="14" t="str">
        <f t="shared" si="1"/>
        <v>C53546129</v>
      </c>
      <c r="B2041" s="185" t="str">
        <f t="array" ref="B2041">IF(F2041="VL","",IF(F2041="Free","Free",XLOOKUP(D2041,Roster!T:T,Roster!S:S,"",0)))</f>
        <v/>
      </c>
      <c r="C2041" s="313">
        <v>46129.0</v>
      </c>
      <c r="D2041" s="314" t="s">
        <v>145</v>
      </c>
      <c r="E2041" s="307" t="str">
        <f t="array" ref="E2041">(XLOOKUP(D2041,Roster!F:F,Roster!B:B,"",0))</f>
        <v>Lina Cadena</v>
      </c>
      <c r="F2041" s="315" t="str">
        <f t="array" ref="F2041">IF(B2041=100,"Free",TEXT(XLOOKUP($D2041,OperationVoice!$A:$A,OperationVoice!W:W,XLOOKUP($D2041,OperationTickets!$A:$A,OperationTickets!W:W,"",0)),"hh:mm"))</f>
        <v>08:00</v>
      </c>
      <c r="G2041" s="309">
        <f t="shared" si="3"/>
        <v>0.7083333333</v>
      </c>
      <c r="H2041" s="316">
        <f t="array" ref="H2041">XLOOKUP(B2041,Roster!L:L,Roster!N:N,XLOOKUP(D2041,TicketsBreak!A:A,TicketsBreak!E:E,"",0),0)</f>
        <v>0.3854166667</v>
      </c>
      <c r="I2041" s="316">
        <f t="array" ref="I2041">XLOOKUP(B2041,Roster!L:L,Roster!O:O,XLOOKUP(D2041,TicketsBreak!A:A,TicketsBreak!F:F,"",0),0)</f>
        <v>0.5833333333</v>
      </c>
      <c r="J2041" s="316">
        <f t="array" ref="J2041">XLOOKUP(B2041,Roster!L:L,Roster!P:P,XLOOKUP(D2041,TicketsBreak!A:A,TicketsBreak!G:G,"",0),0)</f>
        <v>0.6458333333</v>
      </c>
      <c r="K2041" s="310">
        <f t="shared" si="4"/>
        <v>46129</v>
      </c>
      <c r="L2041" s="317">
        <f t="array" ref="L2041">(XLOOKUP(D2041,Roster!F:F,Roster!D:D,"",0))</f>
        <v>2</v>
      </c>
      <c r="M2041" s="317" t="str">
        <f t="array" ref="M2041">XLOOKUP(D2041,Roster!F:F,Roster!E:E)</f>
        <v>Tickets</v>
      </c>
      <c r="N2041" s="317" t="str">
        <f t="shared" ref="N2041:P2041" si="2071">LEFT(H2041,5)</f>
        <v>09:15</v>
      </c>
      <c r="O2041" s="317" t="str">
        <f t="shared" si="2071"/>
        <v>14:00</v>
      </c>
      <c r="P2041" s="317" t="str">
        <f t="shared" si="2071"/>
        <v>15:30</v>
      </c>
      <c r="Q2041" s="318">
        <f t="shared" si="1941"/>
        <v>46129.38542</v>
      </c>
      <c r="R2041" s="318">
        <f t="shared" si="1942"/>
        <v>46129.58333</v>
      </c>
      <c r="S2041" s="318">
        <f t="shared" si="8"/>
        <v>46129.64583</v>
      </c>
    </row>
    <row r="2042">
      <c r="A2042" s="14" t="str">
        <f t="shared" si="1"/>
        <v>C151746129</v>
      </c>
      <c r="B2042" s="185">
        <f t="array" ref="B2042">IF(F2042="VL","",IF(F2042="Free","Free",XLOOKUP(D2042,Roster!T:T,Roster!S:S,"",0)))</f>
        <v>124</v>
      </c>
      <c r="C2042" s="313">
        <v>46129.0</v>
      </c>
      <c r="D2042" s="314" t="s">
        <v>57</v>
      </c>
      <c r="E2042" s="307" t="str">
        <f t="array" ref="E2042">(XLOOKUP(D2042,Roster!F:F,Roster!B:B,"",0))</f>
        <v>Lisandro Alvarado</v>
      </c>
      <c r="F2042" s="315" t="str">
        <f t="array" ref="F2042">IF(B2042=100,"Free",TEXT(XLOOKUP($D2042,OperationVoice!$A:$A,OperationVoice!W:W,XLOOKUP($D2042,OperationTickets!$A:$A,OperationTickets!W:W,"",0)),"hh:mm"))</f>
        <v>08:00</v>
      </c>
      <c r="G2042" s="309">
        <f t="shared" si="3"/>
        <v>0.7083333333</v>
      </c>
      <c r="H2042" s="316" t="str">
        <f t="array" ref="H2042">XLOOKUP(B2042,Roster!L:L,Roster!N:N,XLOOKUP(D2042,TicketsBreak!A:A,TicketsBreak!E:E,"",0),0)</f>
        <v>10:00 - 10:15</v>
      </c>
      <c r="I2042" s="316" t="str">
        <f t="array" ref="I2042">XLOOKUP(B2042,Roster!L:L,Roster!O:O,XLOOKUP(D2042,TicketsBreak!A:A,TicketsBreak!F:F,"",0),0)</f>
        <v>13:00 - 13:30</v>
      </c>
      <c r="J2042" s="316" t="str">
        <f t="array" ref="J2042">XLOOKUP(B2042,Roster!L:L,Roster!P:P,XLOOKUP(D2042,TicketsBreak!A:A,TicketsBreak!G:G,"",0),0)</f>
        <v>15:30 - 15:45</v>
      </c>
      <c r="K2042" s="310">
        <f t="shared" si="4"/>
        <v>46129</v>
      </c>
      <c r="L2042" s="317">
        <f t="array" ref="L2042">(XLOOKUP(D2042,Roster!F:F,Roster!D:D,"",0))</f>
        <v>35</v>
      </c>
      <c r="M2042" s="317" t="str">
        <f t="array" ref="M2042">XLOOKUP(D2042,Roster!F:F,Roster!E:E)</f>
        <v>Voice</v>
      </c>
      <c r="N2042" s="317" t="str">
        <f t="shared" ref="N2042:P2042" si="2072">LEFT(H2042,5)</f>
        <v>10:00</v>
      </c>
      <c r="O2042" s="317" t="str">
        <f t="shared" si="2072"/>
        <v>13:00</v>
      </c>
      <c r="P2042" s="317" t="str">
        <f t="shared" si="2072"/>
        <v>15:30</v>
      </c>
      <c r="Q2042" s="318">
        <f t="shared" si="1941"/>
        <v>46129.41667</v>
      </c>
      <c r="R2042" s="318">
        <f t="shared" si="1942"/>
        <v>46129.54167</v>
      </c>
      <c r="S2042" s="318">
        <f t="shared" si="8"/>
        <v>46129.64583</v>
      </c>
    </row>
    <row r="2043">
      <c r="A2043" s="14" t="str">
        <f t="shared" si="1"/>
        <v>C143346129</v>
      </c>
      <c r="B2043" s="185">
        <f t="array" ref="B2043">IF(F2043="VL","",IF(F2043="Free","Free",XLOOKUP(D2043,Roster!T:T,Roster!S:S,"",0)))</f>
        <v>500</v>
      </c>
      <c r="C2043" s="313">
        <v>46129.0</v>
      </c>
      <c r="D2043" s="314" t="s">
        <v>58</v>
      </c>
      <c r="E2043" s="307" t="str">
        <f t="array" ref="E2043">(XLOOKUP(D2043,Roster!F:F,Roster!B:B,"",0))</f>
        <v>Luis Lopez</v>
      </c>
      <c r="F2043" s="315" t="str">
        <f t="array" ref="F2043">IF(B2043=100,"Free",TEXT(XLOOKUP($D2043,OperationVoice!$A:$A,OperationVoice!W:W,XLOOKUP($D2043,OperationTickets!$A:$A,OperationTickets!W:W,"",0)),"hh:mm"))</f>
        <v>11:00</v>
      </c>
      <c r="G2043" s="309">
        <f t="shared" si="3"/>
        <v>0.8333333333</v>
      </c>
      <c r="H2043" s="316" t="str">
        <f t="array" ref="H2043">XLOOKUP(B2043,Roster!L:L,Roster!N:N,XLOOKUP(D2043,TicketsBreak!A:A,TicketsBreak!E:E,"",0),0)</f>
        <v>Team Leader</v>
      </c>
      <c r="I2043" s="316" t="str">
        <f t="array" ref="I2043">XLOOKUP(B2043,Roster!L:L,Roster!O:O,XLOOKUP(D2043,TicketsBreak!A:A,TicketsBreak!F:F,"",0),0)</f>
        <v>Team Leader</v>
      </c>
      <c r="J2043" s="316" t="str">
        <f t="array" ref="J2043">XLOOKUP(B2043,Roster!L:L,Roster!P:P,XLOOKUP(D2043,TicketsBreak!A:A,TicketsBreak!G:G,"",0),0)</f>
        <v/>
      </c>
      <c r="K2043" s="310">
        <f t="shared" si="4"/>
        <v>46129</v>
      </c>
      <c r="L2043" s="317">
        <f t="array" ref="L2043">(XLOOKUP(D2043,Roster!F:F,Roster!D:D,"",0))</f>
        <v>32</v>
      </c>
      <c r="M2043" s="317" t="str">
        <f t="array" ref="M2043">XLOOKUP(D2043,Roster!F:F,Roster!E:E)</f>
        <v>Voice</v>
      </c>
      <c r="N2043" s="317" t="str">
        <f t="shared" ref="N2043:P2043" si="2073">LEFT(H2043,5)</f>
        <v>Team </v>
      </c>
      <c r="O2043" s="317" t="str">
        <f t="shared" si="2073"/>
        <v>Team </v>
      </c>
      <c r="P2043" s="317" t="str">
        <f t="shared" si="2073"/>
        <v/>
      </c>
      <c r="Q2043" s="318" t="str">
        <f t="shared" si="1941"/>
        <v>#VALUE!</v>
      </c>
      <c r="R2043" s="318" t="str">
        <f t="shared" si="1942"/>
        <v>#VALUE!</v>
      </c>
      <c r="S2043" s="318" t="str">
        <f t="shared" si="8"/>
        <v/>
      </c>
    </row>
    <row r="2044">
      <c r="A2044" s="14" t="str">
        <f t="shared" si="1"/>
        <v>C153446129</v>
      </c>
      <c r="B2044" s="185">
        <f t="array" ref="B2044">IF(F2044="VL","",IF(F2044="Free","Free",XLOOKUP(D2044,Roster!T:T,Roster!S:S,"",0)))</f>
        <v>126</v>
      </c>
      <c r="C2044" s="313">
        <v>46129.0</v>
      </c>
      <c r="D2044" s="314" t="s">
        <v>59</v>
      </c>
      <c r="E2044" s="307" t="str">
        <f t="array" ref="E2044">(XLOOKUP(D2044,Roster!F:F,Roster!B:B,"",0))</f>
        <v>Luis Munoz</v>
      </c>
      <c r="F2044" s="315" t="str">
        <f t="array" ref="F2044">IF(B2044=100,"Free",TEXT(XLOOKUP($D2044,OperationVoice!$A:$A,OperationVoice!W:W,XLOOKUP($D2044,OperationTickets!$A:$A,OperationTickets!W:W,"",0)),"hh:mm"))</f>
        <v>08:00</v>
      </c>
      <c r="G2044" s="309">
        <f t="shared" si="3"/>
        <v>0.7083333333</v>
      </c>
      <c r="H2044" s="316" t="str">
        <f t="array" ref="H2044">XLOOKUP(B2044,Roster!L:L,Roster!N:N,XLOOKUP(D2044,TicketsBreak!A:A,TicketsBreak!E:E,"",0),0)</f>
        <v>10:45 - 11:00</v>
      </c>
      <c r="I2044" s="316" t="str">
        <f t="array" ref="I2044">XLOOKUP(B2044,Roster!L:L,Roster!O:O,XLOOKUP(D2044,TicketsBreak!A:A,TicketsBreak!F:F,"",0),0)</f>
        <v>14:00 - 14:30</v>
      </c>
      <c r="J2044" s="316" t="str">
        <f t="array" ref="J2044">XLOOKUP(B2044,Roster!L:L,Roster!P:P,XLOOKUP(D2044,TicketsBreak!A:A,TicketsBreak!G:G,"",0),0)</f>
        <v>15:45 - 16:00</v>
      </c>
      <c r="K2044" s="310">
        <f t="shared" si="4"/>
        <v>46129</v>
      </c>
      <c r="L2044" s="317">
        <f t="array" ref="L2044">(XLOOKUP(D2044,Roster!F:F,Roster!D:D,"",0))</f>
        <v>36</v>
      </c>
      <c r="M2044" s="317" t="str">
        <f t="array" ref="M2044">XLOOKUP(D2044,Roster!F:F,Roster!E:E)</f>
        <v>Voice</v>
      </c>
      <c r="N2044" s="317" t="str">
        <f t="shared" ref="N2044:P2044" si="2074">LEFT(H2044,5)</f>
        <v>10:45</v>
      </c>
      <c r="O2044" s="317" t="str">
        <f t="shared" si="2074"/>
        <v>14:00</v>
      </c>
      <c r="P2044" s="317" t="str">
        <f t="shared" si="2074"/>
        <v>15:45</v>
      </c>
      <c r="Q2044" s="318">
        <f t="shared" si="1941"/>
        <v>46129.44792</v>
      </c>
      <c r="R2044" s="318">
        <f t="shared" si="1942"/>
        <v>46129.58333</v>
      </c>
      <c r="S2044" s="318">
        <f t="shared" si="8"/>
        <v>46129.65625</v>
      </c>
    </row>
    <row r="2045">
      <c r="A2045" s="14" t="str">
        <f t="shared" si="1"/>
        <v>C53846129</v>
      </c>
      <c r="B2045" s="185" t="str">
        <f t="array" ref="B2045">IF(F2045="VL","",IF(F2045="Free","Free",XLOOKUP(D2045,Roster!T:T,Roster!S:S,"",0)))</f>
        <v/>
      </c>
      <c r="C2045" s="313">
        <v>46129.0</v>
      </c>
      <c r="D2045" s="314" t="s">
        <v>165</v>
      </c>
      <c r="E2045" s="307" t="str">
        <f t="array" ref="E2045">(XLOOKUP(D2045,Roster!F:F,Roster!B:B,"",0))</f>
        <v>Luisa Arenas</v>
      </c>
      <c r="F2045" s="315" t="str">
        <f t="array" ref="F2045">IF(B2045=100,"Free",TEXT(XLOOKUP($D2045,OperationVoice!$A:$A,OperationVoice!W:W,XLOOKUP($D2045,OperationTickets!$A:$A,OperationTickets!W:W,"",0)),"hh:mm"))</f>
        <v>08:00</v>
      </c>
      <c r="G2045" s="309">
        <f t="shared" si="3"/>
        <v>0.7083333333</v>
      </c>
      <c r="H2045" s="316" t="str">
        <f t="array" ref="H2045">XLOOKUP(B2045,Roster!L:L,Roster!N:N,XLOOKUP(D2045,TicketsBreak!A:A,TicketsBreak!E:E,"",0),0)</f>
        <v/>
      </c>
      <c r="I2045" s="316" t="str">
        <f t="array" ref="I2045">XLOOKUP(B2045,Roster!L:L,Roster!O:O,XLOOKUP(D2045,TicketsBreak!A:A,TicketsBreak!F:F,"",0),0)</f>
        <v/>
      </c>
      <c r="J2045" s="316" t="str">
        <f t="array" ref="J2045">XLOOKUP(B2045,Roster!L:L,Roster!P:P,XLOOKUP(D2045,TicketsBreak!A:A,TicketsBreak!G:G,"",0),0)</f>
        <v/>
      </c>
      <c r="K2045" s="310">
        <f t="shared" si="4"/>
        <v>46129</v>
      </c>
      <c r="L2045" s="317">
        <f t="array" ref="L2045">(XLOOKUP(D2045,Roster!F:F,Roster!D:D,"",0))</f>
        <v>35</v>
      </c>
      <c r="M2045" s="317" t="str">
        <f t="array" ref="M2045">XLOOKUP(D2045,Roster!F:F,Roster!E:E)</f>
        <v>Tickets</v>
      </c>
      <c r="N2045" s="317" t="str">
        <f t="shared" ref="N2045:P2045" si="2075">LEFT(H2045,5)</f>
        <v/>
      </c>
      <c r="O2045" s="317" t="str">
        <f t="shared" si="2075"/>
        <v/>
      </c>
      <c r="P2045" s="317" t="str">
        <f t="shared" si="2075"/>
        <v/>
      </c>
      <c r="Q2045" s="318" t="str">
        <f t="shared" si="1941"/>
        <v/>
      </c>
      <c r="R2045" s="318" t="str">
        <f t="shared" si="1942"/>
        <v/>
      </c>
      <c r="S2045" s="318" t="str">
        <f t="shared" si="8"/>
        <v/>
      </c>
    </row>
    <row r="2046">
      <c r="A2046" s="14" t="str">
        <f t="shared" si="1"/>
        <v>C113646129</v>
      </c>
      <c r="B2046" s="185">
        <f t="array" ref="B2046">IF(F2046="VL","",IF(F2046="Free","Free",XLOOKUP(D2046,Roster!T:T,Roster!S:S,"",0)))</f>
        <v>126</v>
      </c>
      <c r="C2046" s="313">
        <v>46129.0</v>
      </c>
      <c r="D2046" s="314" t="s">
        <v>60</v>
      </c>
      <c r="E2046" s="307" t="str">
        <f t="array" ref="E2046">(XLOOKUP(D2046,Roster!F:F,Roster!B:B,"",0))</f>
        <v>Luisa Gonzalez</v>
      </c>
      <c r="F2046" s="315" t="str">
        <f t="array" ref="F2046">IF(B2046=100,"Free",TEXT(XLOOKUP($D2046,OperationVoice!$A:$A,OperationVoice!W:W,XLOOKUP($D2046,OperationTickets!$A:$A,OperationTickets!W:W,"",0)),"hh:mm"))</f>
        <v>08:00</v>
      </c>
      <c r="G2046" s="309">
        <f t="shared" si="3"/>
        <v>0.7083333333</v>
      </c>
      <c r="H2046" s="316" t="str">
        <f t="array" ref="H2046">XLOOKUP(B2046,Roster!L:L,Roster!N:N,XLOOKUP(D2046,TicketsBreak!A:A,TicketsBreak!E:E,"",0),0)</f>
        <v>10:45 - 11:00</v>
      </c>
      <c r="I2046" s="316" t="str">
        <f t="array" ref="I2046">XLOOKUP(B2046,Roster!L:L,Roster!O:O,XLOOKUP(D2046,TicketsBreak!A:A,TicketsBreak!F:F,"",0),0)</f>
        <v>14:00 - 14:30</v>
      </c>
      <c r="J2046" s="316" t="str">
        <f t="array" ref="J2046">XLOOKUP(B2046,Roster!L:L,Roster!P:P,XLOOKUP(D2046,TicketsBreak!A:A,TicketsBreak!G:G,"",0),0)</f>
        <v>15:45 - 16:00</v>
      </c>
      <c r="K2046" s="310">
        <f t="shared" si="4"/>
        <v>46129</v>
      </c>
      <c r="L2046" s="317">
        <f t="array" ref="L2046">(XLOOKUP(D2046,Roster!F:F,Roster!D:D,"",0))</f>
        <v>22</v>
      </c>
      <c r="M2046" s="317" t="str">
        <f t="array" ref="M2046">XLOOKUP(D2046,Roster!F:F,Roster!E:E)</f>
        <v>Voice</v>
      </c>
      <c r="N2046" s="317" t="str">
        <f t="shared" ref="N2046:P2046" si="2076">LEFT(H2046,5)</f>
        <v>10:45</v>
      </c>
      <c r="O2046" s="317" t="str">
        <f t="shared" si="2076"/>
        <v>14:00</v>
      </c>
      <c r="P2046" s="317" t="str">
        <f t="shared" si="2076"/>
        <v>15:45</v>
      </c>
      <c r="Q2046" s="318">
        <f t="shared" si="1941"/>
        <v>46129.44792</v>
      </c>
      <c r="R2046" s="318">
        <f t="shared" si="1942"/>
        <v>46129.58333</v>
      </c>
      <c r="S2046" s="318">
        <f t="shared" si="8"/>
        <v>46129.65625</v>
      </c>
    </row>
    <row r="2047">
      <c r="A2047" s="14" t="str">
        <f t="shared" si="1"/>
        <v>C157746129</v>
      </c>
      <c r="B2047" s="185">
        <f t="array" ref="B2047">IF(F2047="VL","",IF(F2047="Free","Free",XLOOKUP(D2047,Roster!T:T,Roster!S:S,"",0)))</f>
        <v>126</v>
      </c>
      <c r="C2047" s="313">
        <v>46129.0</v>
      </c>
      <c r="D2047" s="314" t="s">
        <v>61</v>
      </c>
      <c r="E2047" s="307" t="str">
        <f t="array" ref="E2047">(XLOOKUP(D2047,Roster!F:F,Roster!B:B,"",0))</f>
        <v>Luna Morales</v>
      </c>
      <c r="F2047" s="315" t="str">
        <f t="array" ref="F2047">IF(B2047=100,"Free",TEXT(XLOOKUP($D2047,OperationVoice!$A:$A,OperationVoice!W:W,XLOOKUP($D2047,OperationTickets!$A:$A,OperationTickets!W:W,"",0)),"hh:mm"))</f>
        <v>08:00</v>
      </c>
      <c r="G2047" s="309">
        <f t="shared" si="3"/>
        <v>0.7083333333</v>
      </c>
      <c r="H2047" s="316" t="str">
        <f t="array" ref="H2047">XLOOKUP(B2047,Roster!L:L,Roster!N:N,XLOOKUP(D2047,TicketsBreak!A:A,TicketsBreak!E:E,"",0),0)</f>
        <v>10:45 - 11:00</v>
      </c>
      <c r="I2047" s="316" t="str">
        <f t="array" ref="I2047">XLOOKUP(B2047,Roster!L:L,Roster!O:O,XLOOKUP(D2047,TicketsBreak!A:A,TicketsBreak!F:F,"",0),0)</f>
        <v>14:00 - 14:30</v>
      </c>
      <c r="J2047" s="316" t="str">
        <f t="array" ref="J2047">XLOOKUP(B2047,Roster!L:L,Roster!P:P,XLOOKUP(D2047,TicketsBreak!A:A,TicketsBreak!G:G,"",0),0)</f>
        <v>15:45 - 16:00</v>
      </c>
      <c r="K2047" s="310">
        <f t="shared" si="4"/>
        <v>46129</v>
      </c>
      <c r="L2047" s="317">
        <f t="array" ref="L2047">(XLOOKUP(D2047,Roster!F:F,Roster!D:D,"",0))</f>
        <v>38</v>
      </c>
      <c r="M2047" s="317" t="str">
        <f t="array" ref="M2047">XLOOKUP(D2047,Roster!F:F,Roster!E:E)</f>
        <v>Voice</v>
      </c>
      <c r="N2047" s="317" t="str">
        <f t="shared" ref="N2047:P2047" si="2077">LEFT(H2047,5)</f>
        <v>10:45</v>
      </c>
      <c r="O2047" s="317" t="str">
        <f t="shared" si="2077"/>
        <v>14:00</v>
      </c>
      <c r="P2047" s="317" t="str">
        <f t="shared" si="2077"/>
        <v>15:45</v>
      </c>
      <c r="Q2047" s="318">
        <f t="shared" si="1941"/>
        <v>46129.44792</v>
      </c>
      <c r="R2047" s="318">
        <f t="shared" si="1942"/>
        <v>46129.58333</v>
      </c>
      <c r="S2047" s="318">
        <f t="shared" si="8"/>
        <v>46129.65625</v>
      </c>
    </row>
    <row r="2048">
      <c r="A2048" s="14" t="str">
        <f t="shared" si="1"/>
        <v>C121946129</v>
      </c>
      <c r="B2048" s="185" t="str">
        <f t="array" ref="B2048">IF(F2048="VL","",IF(F2048="Free","Free",XLOOKUP(D2048,Roster!T:T,Roster!S:S,"",0)))</f>
        <v/>
      </c>
      <c r="C2048" s="313">
        <v>46129.0</v>
      </c>
      <c r="D2048" s="314" t="s">
        <v>146</v>
      </c>
      <c r="E2048" s="307" t="str">
        <f t="array" ref="E2048">(XLOOKUP(D2048,Roster!F:F,Roster!B:B,"",0))</f>
        <v>Madelyn Jaramillo</v>
      </c>
      <c r="F2048" s="315" t="str">
        <f t="array" ref="F2048">IF(B2048=100,"Free",TEXT(XLOOKUP($D2048,OperationVoice!$A:$A,OperationVoice!W:W,XLOOKUP($D2048,OperationTickets!$A:$A,OperationTickets!W:W,"",0)),"hh:mm"))</f>
        <v>08:00</v>
      </c>
      <c r="G2048" s="309">
        <f t="shared" si="3"/>
        <v>0.7083333333</v>
      </c>
      <c r="H2048" s="316" t="str">
        <f t="array" ref="H2048">XLOOKUP(B2048,Roster!L:L,Roster!N:N,XLOOKUP(D2048,TicketsBreak!A:A,TicketsBreak!E:E,"",0),0)</f>
        <v/>
      </c>
      <c r="I2048" s="316" t="str">
        <f t="array" ref="I2048">XLOOKUP(B2048,Roster!L:L,Roster!O:O,XLOOKUP(D2048,TicketsBreak!A:A,TicketsBreak!F:F,"",0),0)</f>
        <v/>
      </c>
      <c r="J2048" s="316" t="str">
        <f t="array" ref="J2048">XLOOKUP(B2048,Roster!L:L,Roster!P:P,XLOOKUP(D2048,TicketsBreak!A:A,TicketsBreak!G:G,"",0),0)</f>
        <v/>
      </c>
      <c r="K2048" s="310">
        <f t="shared" si="4"/>
        <v>46129</v>
      </c>
      <c r="L2048" s="317">
        <f t="array" ref="L2048">(XLOOKUP(D2048,Roster!F:F,Roster!D:D,"",0))</f>
        <v>26</v>
      </c>
      <c r="M2048" s="317" t="str">
        <f t="array" ref="M2048">XLOOKUP(D2048,Roster!F:F,Roster!E:E)</f>
        <v>Tickets</v>
      </c>
      <c r="N2048" s="317" t="str">
        <f t="shared" ref="N2048:P2048" si="2078">LEFT(H2048,5)</f>
        <v/>
      </c>
      <c r="O2048" s="317" t="str">
        <f t="shared" si="2078"/>
        <v/>
      </c>
      <c r="P2048" s="317" t="str">
        <f t="shared" si="2078"/>
        <v/>
      </c>
      <c r="Q2048" s="318" t="str">
        <f t="shared" si="1941"/>
        <v/>
      </c>
      <c r="R2048" s="318" t="str">
        <f t="shared" si="1942"/>
        <v/>
      </c>
      <c r="S2048" s="318" t="str">
        <f t="shared" si="8"/>
        <v/>
      </c>
    </row>
    <row r="2049">
      <c r="A2049" s="14" t="str">
        <f t="shared" si="1"/>
        <v>C151646129</v>
      </c>
      <c r="B2049" s="185">
        <f t="array" ref="B2049">IF(F2049="VL","",IF(F2049="Free","Free",XLOOKUP(D2049,Roster!T:T,Roster!S:S,"",0)))</f>
        <v>122</v>
      </c>
      <c r="C2049" s="313">
        <v>46129.0</v>
      </c>
      <c r="D2049" s="314" t="s">
        <v>62</v>
      </c>
      <c r="E2049" s="307" t="str">
        <f t="array" ref="E2049">(XLOOKUP(D2049,Roster!F:F,Roster!B:B,"",0))</f>
        <v>Magda Foronda</v>
      </c>
      <c r="F2049" s="315" t="str">
        <f t="array" ref="F2049">IF(B2049=100,"Free",TEXT(XLOOKUP($D2049,OperationVoice!$A:$A,OperationVoice!W:W,XLOOKUP($D2049,OperationTickets!$A:$A,OperationTickets!W:W,"",0)),"hh:mm"))</f>
        <v>08:00</v>
      </c>
      <c r="G2049" s="309">
        <f t="shared" si="3"/>
        <v>0.7083333333</v>
      </c>
      <c r="H2049" s="316" t="str">
        <f t="array" ref="H2049">XLOOKUP(B2049,Roster!L:L,Roster!N:N,XLOOKUP(D2049,TicketsBreak!A:A,TicketsBreak!E:E,"",0),0)</f>
        <v>09:30 - 09:45</v>
      </c>
      <c r="I2049" s="316" t="str">
        <f t="array" ref="I2049">XLOOKUP(B2049,Roster!L:L,Roster!O:O,XLOOKUP(D2049,TicketsBreak!A:A,TicketsBreak!F:F,"",0),0)</f>
        <v>12:00 - 12:30</v>
      </c>
      <c r="J2049" s="316" t="str">
        <f t="array" ref="J2049">XLOOKUP(B2049,Roster!L:L,Roster!P:P,XLOOKUP(D2049,TicketsBreak!A:A,TicketsBreak!G:G,"",0),0)</f>
        <v>14:45 - 15:00</v>
      </c>
      <c r="K2049" s="310">
        <f t="shared" si="4"/>
        <v>46129</v>
      </c>
      <c r="L2049" s="317">
        <f t="array" ref="L2049">(XLOOKUP(D2049,Roster!F:F,Roster!D:D,"",0))</f>
        <v>35</v>
      </c>
      <c r="M2049" s="317" t="str">
        <f t="array" ref="M2049">XLOOKUP(D2049,Roster!F:F,Roster!E:E)</f>
        <v>Voice</v>
      </c>
      <c r="N2049" s="317" t="str">
        <f t="shared" ref="N2049:P2049" si="2079">LEFT(H2049,5)</f>
        <v>09:30</v>
      </c>
      <c r="O2049" s="317" t="str">
        <f t="shared" si="2079"/>
        <v>12:00</v>
      </c>
      <c r="P2049" s="317" t="str">
        <f t="shared" si="2079"/>
        <v>14:45</v>
      </c>
      <c r="Q2049" s="318">
        <f t="shared" si="1941"/>
        <v>46129.39583</v>
      </c>
      <c r="R2049" s="318">
        <f t="shared" si="1942"/>
        <v>46129.5</v>
      </c>
      <c r="S2049" s="318">
        <f t="shared" si="8"/>
        <v>46129.61458</v>
      </c>
    </row>
    <row r="2050">
      <c r="A2050" s="14" t="str">
        <f t="shared" si="1"/>
        <v>C118046129</v>
      </c>
      <c r="B2050" s="185">
        <f t="array" ref="B2050">IF(F2050="VL","",IF(F2050="Free","Free",XLOOKUP(D2050,Roster!T:T,Roster!S:S,"",0)))</f>
        <v>500</v>
      </c>
      <c r="C2050" s="313">
        <v>46129.0</v>
      </c>
      <c r="D2050" s="314" t="s">
        <v>147</v>
      </c>
      <c r="E2050" s="307" t="str">
        <f t="array" ref="E2050">(XLOOKUP(D2050,Roster!F:F,Roster!B:B,"",0))</f>
        <v>Manuela Moreno</v>
      </c>
      <c r="F2050" s="315" t="str">
        <f t="array" ref="F2050">IF(B2050=100,"Free",TEXT(XLOOKUP($D2050,OperationVoice!$A:$A,OperationVoice!W:W,XLOOKUP($D2050,OperationTickets!$A:$A,OperationTickets!W:W,"",0)),"hh:mm"))</f>
        <v>09:00</v>
      </c>
      <c r="G2050" s="309">
        <f t="shared" si="3"/>
        <v>0.75</v>
      </c>
      <c r="H2050" s="316" t="str">
        <f t="array" ref="H2050">XLOOKUP(B2050,Roster!L:L,Roster!N:N,XLOOKUP(D2050,TicketsBreak!A:A,TicketsBreak!E:E,"",0),0)</f>
        <v>Team Leader</v>
      </c>
      <c r="I2050" s="316" t="str">
        <f t="array" ref="I2050">XLOOKUP(B2050,Roster!L:L,Roster!O:O,XLOOKUP(D2050,TicketsBreak!A:A,TicketsBreak!F:F,"",0),0)</f>
        <v>Team Leader</v>
      </c>
      <c r="J2050" s="316" t="str">
        <f t="array" ref="J2050">XLOOKUP(B2050,Roster!L:L,Roster!P:P,XLOOKUP(D2050,TicketsBreak!A:A,TicketsBreak!G:G,"",0),0)</f>
        <v/>
      </c>
      <c r="K2050" s="310">
        <f t="shared" si="4"/>
        <v>46129</v>
      </c>
      <c r="L2050" s="317">
        <f t="array" ref="L2050">(XLOOKUP(D2050,Roster!F:F,Roster!D:D,"",0))</f>
        <v>24</v>
      </c>
      <c r="M2050" s="317" t="str">
        <f t="array" ref="M2050">XLOOKUP(D2050,Roster!F:F,Roster!E:E)</f>
        <v>Tickets</v>
      </c>
      <c r="N2050" s="317" t="str">
        <f t="shared" ref="N2050:P2050" si="2080">LEFT(H2050,5)</f>
        <v>Team </v>
      </c>
      <c r="O2050" s="317" t="str">
        <f t="shared" si="2080"/>
        <v>Team </v>
      </c>
      <c r="P2050" s="317" t="str">
        <f t="shared" si="2080"/>
        <v/>
      </c>
      <c r="Q2050" s="318" t="str">
        <f>IF(P2050="","",$C2050+N2050)</f>
        <v/>
      </c>
      <c r="R2050" s="318" t="str">
        <f>if(P2050="","",$C2050+O2050)</f>
        <v/>
      </c>
      <c r="S2050" s="318" t="str">
        <f t="shared" si="8"/>
        <v/>
      </c>
    </row>
    <row r="2051">
      <c r="A2051" s="14" t="str">
        <f t="shared" si="1"/>
        <v>C153646129</v>
      </c>
      <c r="B2051" s="185">
        <f t="array" ref="B2051">IF(F2051="VL","",IF(F2051="Free","Free",XLOOKUP(D2051,Roster!T:T,Roster!S:S,"",0)))</f>
        <v>121</v>
      </c>
      <c r="C2051" s="313">
        <v>46129.0</v>
      </c>
      <c r="D2051" s="314" t="s">
        <v>63</v>
      </c>
      <c r="E2051" s="307" t="str">
        <f t="array" ref="E2051">(XLOOKUP(D2051,Roster!F:F,Roster!B:B,"",0))</f>
        <v>Maria Mesa</v>
      </c>
      <c r="F2051" s="315" t="str">
        <f t="array" ref="F2051">IF(B2051=100,"Free",TEXT(XLOOKUP($D2051,OperationVoice!$A:$A,OperationVoice!W:W,XLOOKUP($D2051,OperationTickets!$A:$A,OperationTickets!W:W,"",0)),"hh:mm"))</f>
        <v>08:00</v>
      </c>
      <c r="G2051" s="309">
        <f t="shared" si="3"/>
        <v>0.7083333333</v>
      </c>
      <c r="H2051" s="316" t="str">
        <f t="array" ref="H2051">XLOOKUP(B2051,Roster!L:L,Roster!N:N,XLOOKUP(D2051,TicketsBreak!A:A,TicketsBreak!E:E,"",0),0)</f>
        <v>09:15 - 09:30</v>
      </c>
      <c r="I2051" s="316" t="str">
        <f t="array" ref="I2051">XLOOKUP(B2051,Roster!L:L,Roster!O:O,XLOOKUP(D2051,TicketsBreak!A:A,TicketsBreak!F:F,"",0),0)</f>
        <v>11:30 - 12:00</v>
      </c>
      <c r="J2051" s="316" t="str">
        <f t="array" ref="J2051">XLOOKUP(B2051,Roster!L:L,Roster!P:P,XLOOKUP(D2051,TicketsBreak!A:A,TicketsBreak!G:G,"",0),0)</f>
        <v>14:30 - 14:45</v>
      </c>
      <c r="K2051" s="310">
        <f t="shared" si="4"/>
        <v>46129</v>
      </c>
      <c r="L2051" s="317">
        <f t="array" ref="L2051">(XLOOKUP(D2051,Roster!F:F,Roster!D:D,"",0))</f>
        <v>36</v>
      </c>
      <c r="M2051" s="317" t="str">
        <f t="array" ref="M2051">XLOOKUP(D2051,Roster!F:F,Roster!E:E)</f>
        <v>Voice</v>
      </c>
      <c r="N2051" s="317" t="str">
        <f t="shared" ref="N2051:P2051" si="2081">LEFT(H2051,5)</f>
        <v>09:15</v>
      </c>
      <c r="O2051" s="317" t="str">
        <f t="shared" si="2081"/>
        <v>11:30</v>
      </c>
      <c r="P2051" s="317" t="str">
        <f t="shared" si="2081"/>
        <v>14:30</v>
      </c>
      <c r="Q2051" s="318">
        <f t="shared" ref="Q2051:Q2329" si="2083">IF(N2051="","",$C2051+N2051)</f>
        <v>46129.38542</v>
      </c>
      <c r="R2051" s="318">
        <f t="shared" ref="R2051:R2329" si="2084">if(O2051="","",$C2051+O2051)</f>
        <v>46129.47917</v>
      </c>
      <c r="S2051" s="318">
        <f t="shared" si="8"/>
        <v>46129.60417</v>
      </c>
    </row>
    <row r="2052">
      <c r="A2052" s="14" t="str">
        <f t="shared" si="1"/>
        <v>C74046129</v>
      </c>
      <c r="B2052" s="185" t="str">
        <f t="array" ref="B2052">IF(F2052="VL","",IF(F2052="Free","Free",XLOOKUP(D2052,Roster!T:T,Roster!S:S,"",0)))</f>
        <v/>
      </c>
      <c r="C2052" s="313">
        <v>46129.0</v>
      </c>
      <c r="D2052" s="314" t="s">
        <v>166</v>
      </c>
      <c r="E2052" s="307" t="str">
        <f t="array" ref="E2052">(XLOOKUP(D2052,Roster!F:F,Roster!B:B,"",0))</f>
        <v>Mateo Agudelo</v>
      </c>
      <c r="F2052" s="315" t="str">
        <f t="array" ref="F2052">IF(B2052=100,"Free",TEXT(XLOOKUP($D2052,OperationVoice!$A:$A,OperationVoice!W:W,XLOOKUP($D2052,OperationTickets!$A:$A,OperationTickets!W:W,"",0)),"hh:mm"))</f>
        <v>08:00</v>
      </c>
      <c r="G2052" s="309">
        <f t="shared" si="3"/>
        <v>0.7083333333</v>
      </c>
      <c r="H2052" s="316">
        <f t="array" ref="H2052">XLOOKUP(B2052,Roster!L:L,Roster!N:N,XLOOKUP(D2052,TicketsBreak!A:A,TicketsBreak!E:E,"",0),0)</f>
        <v>0.4166666667</v>
      </c>
      <c r="I2052" s="316">
        <f t="array" ref="I2052">XLOOKUP(B2052,Roster!L:L,Roster!O:O,XLOOKUP(D2052,TicketsBreak!A:A,TicketsBreak!F:F,"",0),0)</f>
        <v>0.5</v>
      </c>
      <c r="J2052" s="316">
        <f t="array" ref="J2052">XLOOKUP(B2052,Roster!L:L,Roster!P:P,XLOOKUP(D2052,TicketsBreak!A:A,TicketsBreak!G:G,"",0),0)</f>
        <v>0.65625</v>
      </c>
      <c r="K2052" s="310">
        <f t="shared" si="4"/>
        <v>46129</v>
      </c>
      <c r="L2052" s="317">
        <f t="array" ref="L2052">(XLOOKUP(D2052,Roster!F:F,Roster!D:D,"",0))</f>
        <v>8</v>
      </c>
      <c r="M2052" s="317" t="str">
        <f t="array" ref="M2052">XLOOKUP(D2052,Roster!F:F,Roster!E:E)</f>
        <v>Tickets</v>
      </c>
      <c r="N2052" s="317" t="str">
        <f t="shared" ref="N2052:P2052" si="2082">LEFT(H2052,5)</f>
        <v>10:00</v>
      </c>
      <c r="O2052" s="317" t="str">
        <f t="shared" si="2082"/>
        <v>12:00</v>
      </c>
      <c r="P2052" s="317" t="str">
        <f t="shared" si="2082"/>
        <v>15:45</v>
      </c>
      <c r="Q2052" s="318">
        <f t="shared" si="2083"/>
        <v>46129.41667</v>
      </c>
      <c r="R2052" s="318">
        <f t="shared" si="2084"/>
        <v>46129.5</v>
      </c>
      <c r="S2052" s="318">
        <f t="shared" si="8"/>
        <v>46129.65625</v>
      </c>
    </row>
    <row r="2053">
      <c r="A2053" s="14" t="str">
        <f t="shared" si="1"/>
        <v>C142946129</v>
      </c>
      <c r="B2053" s="185">
        <f t="array" ref="B2053">IF(F2053="VL","",IF(F2053="Free","Free",XLOOKUP(D2053,Roster!T:T,Roster!S:S,"",0)))</f>
        <v>121</v>
      </c>
      <c r="C2053" s="313">
        <v>46129.0</v>
      </c>
      <c r="D2053" s="314" t="s">
        <v>178</v>
      </c>
      <c r="E2053" s="307" t="str">
        <f t="array" ref="E2053">(XLOOKUP(D2053,Roster!F:F,Roster!B:B,"",0))</f>
        <v>Mateo Vanegas</v>
      </c>
      <c r="F2053" s="315" t="str">
        <f t="array" ref="F2053">IF(B2053=100,"Free",TEXT(XLOOKUP($D2053,OperationVoice!$A:$A,OperationVoice!W:W,XLOOKUP($D2053,OperationTickets!$A:$A,OperationTickets!W:W,"",0)),"hh:mm"))</f>
        <v>08:00</v>
      </c>
      <c r="G2053" s="309">
        <f t="shared" si="3"/>
        <v>0.7083333333</v>
      </c>
      <c r="H2053" s="316" t="str">
        <f t="array" ref="H2053">XLOOKUP(B2053,Roster!L:L,Roster!N:N,XLOOKUP(D2053,TicketsBreak!A:A,TicketsBreak!E:E,"",0),0)</f>
        <v>09:15 - 09:30</v>
      </c>
      <c r="I2053" s="316" t="str">
        <f t="array" ref="I2053">XLOOKUP(B2053,Roster!L:L,Roster!O:O,XLOOKUP(D2053,TicketsBreak!A:A,TicketsBreak!F:F,"",0),0)</f>
        <v>11:30 - 12:00</v>
      </c>
      <c r="J2053" s="316" t="str">
        <f t="array" ref="J2053">XLOOKUP(B2053,Roster!L:L,Roster!P:P,XLOOKUP(D2053,TicketsBreak!A:A,TicketsBreak!G:G,"",0),0)</f>
        <v>14:30 - 14:45</v>
      </c>
      <c r="K2053" s="310">
        <f t="shared" si="4"/>
        <v>46129</v>
      </c>
      <c r="L2053" s="317">
        <f t="array" ref="L2053">(XLOOKUP(D2053,Roster!F:F,Roster!D:D,"",0))</f>
        <v>32</v>
      </c>
      <c r="M2053" s="317" t="str">
        <f t="array" ref="M2053">XLOOKUP(D2053,Roster!F:F,Roster!E:E)</f>
        <v>Tickets</v>
      </c>
      <c r="N2053" s="317" t="str">
        <f t="shared" ref="N2053:P2053" si="2085">LEFT(H2053,5)</f>
        <v>09:15</v>
      </c>
      <c r="O2053" s="317" t="str">
        <f t="shared" si="2085"/>
        <v>11:30</v>
      </c>
      <c r="P2053" s="317" t="str">
        <f t="shared" si="2085"/>
        <v>14:30</v>
      </c>
      <c r="Q2053" s="318">
        <f t="shared" si="2083"/>
        <v>46129.38542</v>
      </c>
      <c r="R2053" s="318">
        <f t="shared" si="2084"/>
        <v>46129.47917</v>
      </c>
      <c r="S2053" s="318">
        <f t="shared" si="8"/>
        <v>46129.60417</v>
      </c>
    </row>
    <row r="2054">
      <c r="A2054" s="14" t="str">
        <f t="shared" si="1"/>
        <v>C146846129</v>
      </c>
      <c r="B2054" s="185">
        <f t="array" ref="B2054">IF(F2054="VL","",IF(F2054="Free","Free",XLOOKUP(D2054,Roster!T:T,Roster!S:S,"",0)))</f>
        <v>122</v>
      </c>
      <c r="C2054" s="313">
        <v>46129.0</v>
      </c>
      <c r="D2054" s="314" t="s">
        <v>64</v>
      </c>
      <c r="E2054" s="307" t="str">
        <f t="array" ref="E2054">(XLOOKUP(D2054,Roster!F:F,Roster!B:B,"",0))</f>
        <v>Miguel Betancur</v>
      </c>
      <c r="F2054" s="315" t="str">
        <f t="array" ref="F2054">IF(B2054=100,"Free",TEXT(XLOOKUP($D2054,OperationVoice!$A:$A,OperationVoice!W:W,XLOOKUP($D2054,OperationTickets!$A:$A,OperationTickets!W:W,"",0)),"hh:mm"))</f>
        <v>08:00</v>
      </c>
      <c r="G2054" s="309">
        <f t="shared" si="3"/>
        <v>0.7083333333</v>
      </c>
      <c r="H2054" s="316" t="str">
        <f t="array" ref="H2054">XLOOKUP(B2054,Roster!L:L,Roster!N:N,XLOOKUP(D2054,TicketsBreak!A:A,TicketsBreak!E:E,"",0),0)</f>
        <v>09:30 - 09:45</v>
      </c>
      <c r="I2054" s="316" t="str">
        <f t="array" ref="I2054">XLOOKUP(B2054,Roster!L:L,Roster!O:O,XLOOKUP(D2054,TicketsBreak!A:A,TicketsBreak!F:F,"",0),0)</f>
        <v>12:00 - 12:30</v>
      </c>
      <c r="J2054" s="316" t="str">
        <f t="array" ref="J2054">XLOOKUP(B2054,Roster!L:L,Roster!P:P,XLOOKUP(D2054,TicketsBreak!A:A,TicketsBreak!G:G,"",0),0)</f>
        <v>14:45 - 15:00</v>
      </c>
      <c r="K2054" s="310">
        <f t="shared" si="4"/>
        <v>46129</v>
      </c>
      <c r="L2054" s="317">
        <f t="array" ref="L2054">(XLOOKUP(D2054,Roster!F:F,Roster!D:D,"",0))</f>
        <v>33</v>
      </c>
      <c r="M2054" s="317" t="str">
        <f t="array" ref="M2054">XLOOKUP(D2054,Roster!F:F,Roster!E:E)</f>
        <v>Voice</v>
      </c>
      <c r="N2054" s="317" t="str">
        <f t="shared" ref="N2054:P2054" si="2086">LEFT(H2054,5)</f>
        <v>09:30</v>
      </c>
      <c r="O2054" s="317" t="str">
        <f t="shared" si="2086"/>
        <v>12:00</v>
      </c>
      <c r="P2054" s="317" t="str">
        <f t="shared" si="2086"/>
        <v>14:45</v>
      </c>
      <c r="Q2054" s="318">
        <f t="shared" si="2083"/>
        <v>46129.39583</v>
      </c>
      <c r="R2054" s="318">
        <f t="shared" si="2084"/>
        <v>46129.5</v>
      </c>
      <c r="S2054" s="318">
        <f t="shared" si="8"/>
        <v>46129.61458</v>
      </c>
    </row>
    <row r="2055">
      <c r="A2055" s="14" t="str">
        <f t="shared" si="1"/>
        <v>C106546129</v>
      </c>
      <c r="B2055" s="185" t="str">
        <f t="array" ref="B2055">IF(F2055="VL","",IF(F2055="Free","Free",XLOOKUP(D2055,Roster!T:T,Roster!S:S,"",0)))</f>
        <v/>
      </c>
      <c r="C2055" s="313">
        <v>46129.0</v>
      </c>
      <c r="D2055" s="314" t="s">
        <v>148</v>
      </c>
      <c r="E2055" s="307" t="str">
        <f t="array" ref="E2055">(XLOOKUP(D2055,Roster!F:F,Roster!B:B,"",0))</f>
        <v>Miguel Hoyos</v>
      </c>
      <c r="F2055" s="315" t="str">
        <f t="array" ref="F2055">IF(B2055=100,"Free",TEXT(XLOOKUP($D2055,OperationVoice!$A:$A,OperationVoice!W:W,XLOOKUP($D2055,OperationTickets!$A:$A,OperationTickets!W:W,"",0)),"hh:mm"))</f>
        <v>07:00</v>
      </c>
      <c r="G2055" s="309">
        <f t="shared" si="3"/>
        <v>0.6666666667</v>
      </c>
      <c r="H2055" s="316">
        <f t="array" ref="H2055">XLOOKUP(B2055,Roster!L:L,Roster!N:N,XLOOKUP(D2055,TicketsBreak!A:A,TicketsBreak!E:E,"",0),0)</f>
        <v>0.4583333333</v>
      </c>
      <c r="I2055" s="316">
        <f t="array" ref="I2055">XLOOKUP(B2055,Roster!L:L,Roster!O:O,XLOOKUP(D2055,TicketsBreak!A:A,TicketsBreak!F:F,"",0),0)</f>
        <v>0.5625</v>
      </c>
      <c r="J2055" s="316">
        <f t="array" ref="J2055">XLOOKUP(B2055,Roster!L:L,Roster!P:P,XLOOKUP(D2055,TicketsBreak!A:A,TicketsBreak!G:G,"",0),0)</f>
        <v>0.65625</v>
      </c>
      <c r="K2055" s="310">
        <f t="shared" si="4"/>
        <v>46129</v>
      </c>
      <c r="L2055" s="317">
        <f t="array" ref="L2055">(XLOOKUP(D2055,Roster!F:F,Roster!D:D,"",0))</f>
        <v>17</v>
      </c>
      <c r="M2055" s="317" t="str">
        <f t="array" ref="M2055">XLOOKUP(D2055,Roster!F:F,Roster!E:E)</f>
        <v>Tickets</v>
      </c>
      <c r="N2055" s="317" t="str">
        <f t="shared" ref="N2055:P2055" si="2087">LEFT(H2055,5)</f>
        <v>11:00</v>
      </c>
      <c r="O2055" s="317" t="str">
        <f t="shared" si="2087"/>
        <v>13:30</v>
      </c>
      <c r="P2055" s="317" t="str">
        <f t="shared" si="2087"/>
        <v>15:45</v>
      </c>
      <c r="Q2055" s="318">
        <f t="shared" si="2083"/>
        <v>46129.45833</v>
      </c>
      <c r="R2055" s="318">
        <f t="shared" si="2084"/>
        <v>46129.5625</v>
      </c>
      <c r="S2055" s="318">
        <f t="shared" si="8"/>
        <v>46129.65625</v>
      </c>
    </row>
    <row r="2056">
      <c r="A2056" s="14" t="str">
        <f t="shared" si="1"/>
        <v>C111446129</v>
      </c>
      <c r="B2056" s="185">
        <f t="array" ref="B2056">IF(F2056="VL","",IF(F2056="Free","Free",XLOOKUP(D2056,Roster!T:T,Roster!S:S,"",0)))</f>
        <v>113</v>
      </c>
      <c r="C2056" s="313">
        <v>46129.0</v>
      </c>
      <c r="D2056" s="314" t="s">
        <v>65</v>
      </c>
      <c r="E2056" s="307" t="str">
        <f t="array" ref="E2056">(XLOOKUP(D2056,Roster!F:F,Roster!B:B,"",0))</f>
        <v>Mikel Bowie</v>
      </c>
      <c r="F2056" s="315" t="str">
        <f t="array" ref="F2056">IF(B2056=100,"Free",TEXT(XLOOKUP($D2056,OperationVoice!$A:$A,OperationVoice!W:W,XLOOKUP($D2056,OperationTickets!$A:$A,OperationTickets!W:W,"",0)),"hh:mm"))</f>
        <v>07:00</v>
      </c>
      <c r="G2056" s="309">
        <f t="shared" si="3"/>
        <v>0.6666666667</v>
      </c>
      <c r="H2056" s="316" t="str">
        <f t="array" ref="H2056">XLOOKUP(B2056,Roster!L:L,Roster!N:N,XLOOKUP(D2056,TicketsBreak!A:A,TicketsBreak!E:E,"",0),0)</f>
        <v>09:45 - 10:00</v>
      </c>
      <c r="I2056" s="316" t="str">
        <f t="array" ref="I2056">XLOOKUP(B2056,Roster!L:L,Roster!O:O,XLOOKUP(D2056,TicketsBreak!A:A,TicketsBreak!F:F,"",0),0)</f>
        <v>12:30 - 13:00</v>
      </c>
      <c r="J2056" s="316" t="str">
        <f t="array" ref="J2056">XLOOKUP(B2056,Roster!L:L,Roster!P:P,XLOOKUP(D2056,TicketsBreak!A:A,TicketsBreak!G:G,"",0),0)</f>
        <v>14:45 - 15:00</v>
      </c>
      <c r="K2056" s="310">
        <f t="shared" si="4"/>
        <v>46129</v>
      </c>
      <c r="L2056" s="317">
        <f t="array" ref="L2056">(XLOOKUP(D2056,Roster!F:F,Roster!D:D,"",0))</f>
        <v>20</v>
      </c>
      <c r="M2056" s="317" t="str">
        <f t="array" ref="M2056">XLOOKUP(D2056,Roster!F:F,Roster!E:E)</f>
        <v>Voice</v>
      </c>
      <c r="N2056" s="317" t="str">
        <f t="shared" ref="N2056:P2056" si="2088">LEFT(H2056,5)</f>
        <v>09:45</v>
      </c>
      <c r="O2056" s="317" t="str">
        <f t="shared" si="2088"/>
        <v>12:30</v>
      </c>
      <c r="P2056" s="317" t="str">
        <f t="shared" si="2088"/>
        <v>14:45</v>
      </c>
      <c r="Q2056" s="318">
        <f t="shared" si="2083"/>
        <v>46129.40625</v>
      </c>
      <c r="R2056" s="318">
        <f t="shared" si="2084"/>
        <v>46129.52083</v>
      </c>
      <c r="S2056" s="318">
        <f t="shared" si="8"/>
        <v>46129.61458</v>
      </c>
    </row>
    <row r="2057">
      <c r="A2057" s="14" t="str">
        <f t="shared" si="1"/>
        <v>C116346129</v>
      </c>
      <c r="B2057" s="185">
        <f t="array" ref="B2057">IF(F2057="VL","",IF(F2057="Free","Free",XLOOKUP(D2057,Roster!T:T,Roster!S:S,"",0)))</f>
        <v>123</v>
      </c>
      <c r="C2057" s="313">
        <v>46129.0</v>
      </c>
      <c r="D2057" s="314" t="s">
        <v>66</v>
      </c>
      <c r="E2057" s="307" t="str">
        <f t="array" ref="E2057">(XLOOKUP(D2057,Roster!F:F,Roster!B:B,"",0))</f>
        <v>Natalia Cardona</v>
      </c>
      <c r="F2057" s="315" t="str">
        <f t="array" ref="F2057">IF(B2057=100,"Free",TEXT(XLOOKUP($D2057,OperationVoice!$A:$A,OperationVoice!W:W,XLOOKUP($D2057,OperationTickets!$A:$A,OperationTickets!W:W,"",0)),"hh:mm"))</f>
        <v>08:00</v>
      </c>
      <c r="G2057" s="309">
        <f t="shared" si="3"/>
        <v>0.7083333333</v>
      </c>
      <c r="H2057" s="316" t="str">
        <f t="array" ref="H2057">XLOOKUP(B2057,Roster!L:L,Roster!N:N,XLOOKUP(D2057,TicketsBreak!A:A,TicketsBreak!E:E,"",0),0)</f>
        <v>09:45 - 10:00 </v>
      </c>
      <c r="I2057" s="316" t="str">
        <f t="array" ref="I2057">XLOOKUP(B2057,Roster!L:L,Roster!O:O,XLOOKUP(D2057,TicketsBreak!A:A,TicketsBreak!F:F,"",0),0)</f>
        <v>12:30 - 13:00</v>
      </c>
      <c r="J2057" s="316" t="str">
        <f t="array" ref="J2057">XLOOKUP(B2057,Roster!L:L,Roster!P:P,XLOOKUP(D2057,TicketsBreak!A:A,TicketsBreak!G:G,"",0),0)</f>
        <v>15:00 - 15:15</v>
      </c>
      <c r="K2057" s="310">
        <f t="shared" si="4"/>
        <v>46129</v>
      </c>
      <c r="L2057" s="317">
        <f t="array" ref="L2057">(XLOOKUP(D2057,Roster!F:F,Roster!D:D,"",0))</f>
        <v>24</v>
      </c>
      <c r="M2057" s="317" t="str">
        <f t="array" ref="M2057">XLOOKUP(D2057,Roster!F:F,Roster!E:E)</f>
        <v>Voice</v>
      </c>
      <c r="N2057" s="317" t="str">
        <f t="shared" ref="N2057:P2057" si="2089">LEFT(H2057,5)</f>
        <v>09:45</v>
      </c>
      <c r="O2057" s="317" t="str">
        <f t="shared" si="2089"/>
        <v>12:30</v>
      </c>
      <c r="P2057" s="317" t="str">
        <f t="shared" si="2089"/>
        <v>15:00</v>
      </c>
      <c r="Q2057" s="318">
        <f t="shared" si="2083"/>
        <v>46129.40625</v>
      </c>
      <c r="R2057" s="318">
        <f t="shared" si="2084"/>
        <v>46129.52083</v>
      </c>
      <c r="S2057" s="318">
        <f t="shared" si="8"/>
        <v>46129.625</v>
      </c>
    </row>
    <row r="2058">
      <c r="A2058" s="14" t="str">
        <f t="shared" si="1"/>
        <v>C55646129</v>
      </c>
      <c r="B2058" s="185" t="str">
        <f t="array" ref="B2058">IF(F2058="VL","",IF(F2058="Free","Free",XLOOKUP(D2058,Roster!T:T,Roster!S:S,"",0)))</f>
        <v/>
      </c>
      <c r="C2058" s="313">
        <v>46129.0</v>
      </c>
      <c r="D2058" s="314" t="s">
        <v>167</v>
      </c>
      <c r="E2058" s="307" t="str">
        <f t="array" ref="E2058">(XLOOKUP(D2058,Roster!F:F,Roster!B:B,"",0))</f>
        <v>Nelson Londono</v>
      </c>
      <c r="F2058" s="315" t="str">
        <f t="array" ref="F2058">IF(B2058=100,"Free",TEXT(XLOOKUP($D2058,OperationVoice!$A:$A,OperationVoice!W:W,XLOOKUP($D2058,OperationTickets!$A:$A,OperationTickets!W:W,"",0)),"hh:mm"))</f>
        <v>07:00</v>
      </c>
      <c r="G2058" s="309">
        <f t="shared" si="3"/>
        <v>0.6666666667</v>
      </c>
      <c r="H2058" s="316">
        <f t="array" ref="H2058">XLOOKUP(B2058,Roster!L:L,Roster!N:N,XLOOKUP(D2058,TicketsBreak!A:A,TicketsBreak!E:E,"",0),0)</f>
        <v>0.3854166667</v>
      </c>
      <c r="I2058" s="316">
        <f t="array" ref="I2058">XLOOKUP(B2058,Roster!L:L,Roster!O:O,XLOOKUP(D2058,TicketsBreak!A:A,TicketsBreak!F:F,"",0),0)</f>
        <v>0.5833333333</v>
      </c>
      <c r="J2058" s="316">
        <f t="array" ref="J2058">XLOOKUP(B2058,Roster!L:L,Roster!P:P,XLOOKUP(D2058,TicketsBreak!A:A,TicketsBreak!G:G,"",0),0)</f>
        <v>0.6458333333</v>
      </c>
      <c r="K2058" s="310">
        <f t="shared" si="4"/>
        <v>46129</v>
      </c>
      <c r="L2058" s="317">
        <f t="array" ref="L2058">(XLOOKUP(D2058,Roster!F:F,Roster!D:D,"",0))</f>
        <v>2</v>
      </c>
      <c r="M2058" s="317" t="str">
        <f t="array" ref="M2058">XLOOKUP(D2058,Roster!F:F,Roster!E:E)</f>
        <v>Tickets</v>
      </c>
      <c r="N2058" s="317" t="str">
        <f t="shared" ref="N2058:P2058" si="2090">LEFT(H2058,5)</f>
        <v>09:15</v>
      </c>
      <c r="O2058" s="317" t="str">
        <f t="shared" si="2090"/>
        <v>14:00</v>
      </c>
      <c r="P2058" s="317" t="str">
        <f t="shared" si="2090"/>
        <v>15:30</v>
      </c>
      <c r="Q2058" s="318">
        <f t="shared" si="2083"/>
        <v>46129.38542</v>
      </c>
      <c r="R2058" s="318">
        <f t="shared" si="2084"/>
        <v>46129.58333</v>
      </c>
      <c r="S2058" s="318">
        <f t="shared" si="8"/>
        <v>46129.64583</v>
      </c>
    </row>
    <row r="2059">
      <c r="A2059" s="14" t="str">
        <f t="shared" si="1"/>
        <v>C150746129</v>
      </c>
      <c r="B2059" s="185">
        <f t="array" ref="B2059">IF(F2059="VL","",IF(F2059="Free","Free",XLOOKUP(D2059,Roster!T:T,Roster!S:S,"",0)))</f>
        <v>125</v>
      </c>
      <c r="C2059" s="313">
        <v>46129.0</v>
      </c>
      <c r="D2059" s="314" t="s">
        <v>67</v>
      </c>
      <c r="E2059" s="307" t="str">
        <f t="array" ref="E2059">(XLOOKUP(D2059,Roster!F:F,Roster!B:B,"",0))</f>
        <v>Nicols Quinones</v>
      </c>
      <c r="F2059" s="315" t="str">
        <f t="array" ref="F2059">IF(B2059=100,"Free",TEXT(XLOOKUP($D2059,OperationVoice!$A:$A,OperationVoice!W:W,XLOOKUP($D2059,OperationTickets!$A:$A,OperationTickets!W:W,"",0)),"hh:mm"))</f>
        <v>08:00</v>
      </c>
      <c r="G2059" s="309">
        <f t="shared" si="3"/>
        <v>0.7083333333</v>
      </c>
      <c r="H2059" s="316" t="str">
        <f t="array" ref="H2059">XLOOKUP(B2059,Roster!L:L,Roster!N:N,XLOOKUP(D2059,TicketsBreak!A:A,TicketsBreak!E:E,"",0),0)</f>
        <v>10:30 - 10:45</v>
      </c>
      <c r="I2059" s="316" t="str">
        <f t="array" ref="I2059">XLOOKUP(B2059,Roster!L:L,Roster!O:O,XLOOKUP(D2059,TicketsBreak!A:A,TicketsBreak!F:F,"",0),0)</f>
        <v>13:30 - 14:00</v>
      </c>
      <c r="J2059" s="316" t="str">
        <f t="array" ref="J2059">XLOOKUP(B2059,Roster!L:L,Roster!P:P,XLOOKUP(D2059,TicketsBreak!A:A,TicketsBreak!G:G,"",0),0)</f>
        <v>15:45 - 16:00</v>
      </c>
      <c r="K2059" s="310">
        <f t="shared" si="4"/>
        <v>46129</v>
      </c>
      <c r="L2059" s="317">
        <f t="array" ref="L2059">(XLOOKUP(D2059,Roster!F:F,Roster!D:D,"",0))</f>
        <v>35</v>
      </c>
      <c r="M2059" s="317" t="str">
        <f t="array" ref="M2059">XLOOKUP(D2059,Roster!F:F,Roster!E:E)</f>
        <v>Voice</v>
      </c>
      <c r="N2059" s="317" t="str">
        <f t="shared" ref="N2059:P2059" si="2091">LEFT(H2059,5)</f>
        <v>10:30</v>
      </c>
      <c r="O2059" s="317" t="str">
        <f t="shared" si="2091"/>
        <v>13:30</v>
      </c>
      <c r="P2059" s="317" t="str">
        <f t="shared" si="2091"/>
        <v>15:45</v>
      </c>
      <c r="Q2059" s="318">
        <f t="shared" si="2083"/>
        <v>46129.4375</v>
      </c>
      <c r="R2059" s="318">
        <f t="shared" si="2084"/>
        <v>46129.5625</v>
      </c>
      <c r="S2059" s="318">
        <f t="shared" si="8"/>
        <v>46129.65625</v>
      </c>
    </row>
    <row r="2060">
      <c r="A2060" s="14" t="str">
        <f t="shared" si="1"/>
        <v>C71446129</v>
      </c>
      <c r="B2060" s="185" t="str">
        <f t="array" ref="B2060">IF(F2060="VL","",IF(F2060="Free","Free",XLOOKUP(D2060,Roster!T:T,Roster!S:S,"",0)))</f>
        <v/>
      </c>
      <c r="C2060" s="313">
        <v>46129.0</v>
      </c>
      <c r="D2060" s="314" t="s">
        <v>149</v>
      </c>
      <c r="E2060" s="307" t="str">
        <f t="array" ref="E2060">(XLOOKUP(D2060,Roster!F:F,Roster!B:B,"",0))</f>
        <v>Onel Olivera</v>
      </c>
      <c r="F2060" s="315" t="str">
        <f t="array" ref="F2060">IF(B2060=100,"Free",TEXT(XLOOKUP($D2060,OperationVoice!$A:$A,OperationVoice!W:W,XLOOKUP($D2060,OperationTickets!$A:$A,OperationTickets!W:W,"",0)),"hh:mm"))</f>
        <v>08:00</v>
      </c>
      <c r="G2060" s="309">
        <f t="shared" si="3"/>
        <v>0.7083333333</v>
      </c>
      <c r="H2060" s="316">
        <f t="array" ref="H2060">XLOOKUP(B2060,Roster!L:L,Roster!N:N,XLOOKUP(D2060,TicketsBreak!A:A,TicketsBreak!E:E,"",0),0)</f>
        <v>0.4166666667</v>
      </c>
      <c r="I2060" s="316">
        <f t="array" ref="I2060">XLOOKUP(B2060,Roster!L:L,Roster!O:O,XLOOKUP(D2060,TicketsBreak!A:A,TicketsBreak!F:F,"",0),0)</f>
        <v>0.5</v>
      </c>
      <c r="J2060" s="316">
        <f t="array" ref="J2060">XLOOKUP(B2060,Roster!L:L,Roster!P:P,XLOOKUP(D2060,TicketsBreak!A:A,TicketsBreak!G:G,"",0),0)</f>
        <v>0.625</v>
      </c>
      <c r="K2060" s="310">
        <f t="shared" si="4"/>
        <v>46129</v>
      </c>
      <c r="L2060" s="317">
        <f t="array" ref="L2060">(XLOOKUP(D2060,Roster!F:F,Roster!D:D,"",0))</f>
        <v>1</v>
      </c>
      <c r="M2060" s="317" t="str">
        <f t="array" ref="M2060">XLOOKUP(D2060,Roster!F:F,Roster!E:E)</f>
        <v>Tickets</v>
      </c>
      <c r="N2060" s="317" t="str">
        <f t="shared" ref="N2060:P2060" si="2092">LEFT(H2060,5)</f>
        <v>10:00</v>
      </c>
      <c r="O2060" s="317" t="str">
        <f t="shared" si="2092"/>
        <v>12:00</v>
      </c>
      <c r="P2060" s="317" t="str">
        <f t="shared" si="2092"/>
        <v>15:00</v>
      </c>
      <c r="Q2060" s="318">
        <f t="shared" si="2083"/>
        <v>46129.41667</v>
      </c>
      <c r="R2060" s="318">
        <f t="shared" si="2084"/>
        <v>46129.5</v>
      </c>
      <c r="S2060" s="318">
        <f t="shared" si="8"/>
        <v>46129.625</v>
      </c>
    </row>
    <row r="2061">
      <c r="A2061" s="14" t="str">
        <f t="shared" si="1"/>
        <v>C116446129</v>
      </c>
      <c r="B2061" s="185" t="str">
        <f t="array" ref="B2061">IF(F2061="VL","",IF(F2061="Free","Free",XLOOKUP(D2061,Roster!T:T,Roster!S:S,"",0)))</f>
        <v/>
      </c>
      <c r="C2061" s="313">
        <v>46129.0</v>
      </c>
      <c r="D2061" s="314" t="s">
        <v>179</v>
      </c>
      <c r="E2061" s="307" t="str">
        <f t="array" ref="E2061">(XLOOKUP(D2061,Roster!F:F,Roster!B:B,"",0))</f>
        <v>Oscar Florez</v>
      </c>
      <c r="F2061" s="315" t="str">
        <f t="array" ref="F2061">IF(B2061=100,"Free",TEXT(XLOOKUP($D2061,OperationVoice!$A:$A,OperationVoice!W:W,XLOOKUP($D2061,OperationTickets!$A:$A,OperationTickets!W:W,"",0)),"hh:mm"))</f>
        <v>08:00</v>
      </c>
      <c r="G2061" s="309">
        <f t="shared" si="3"/>
        <v>0.7083333333</v>
      </c>
      <c r="H2061" s="316" t="str">
        <f t="array" ref="H2061">XLOOKUP(B2061,Roster!L:L,Roster!N:N,XLOOKUP(D2061,TicketsBreak!A:A,TicketsBreak!E:E,"",0),0)</f>
        <v/>
      </c>
      <c r="I2061" s="316" t="str">
        <f t="array" ref="I2061">XLOOKUP(B2061,Roster!L:L,Roster!O:O,XLOOKUP(D2061,TicketsBreak!A:A,TicketsBreak!F:F,"",0),0)</f>
        <v/>
      </c>
      <c r="J2061" s="316" t="str">
        <f t="array" ref="J2061">XLOOKUP(B2061,Roster!L:L,Roster!P:P,XLOOKUP(D2061,TicketsBreak!A:A,TicketsBreak!G:G,"",0),0)</f>
        <v/>
      </c>
      <c r="K2061" s="310">
        <f t="shared" si="4"/>
        <v>46129</v>
      </c>
      <c r="L2061" s="317">
        <f t="array" ref="L2061">(XLOOKUP(D2061,Roster!F:F,Roster!D:D,"",0))</f>
        <v>24</v>
      </c>
      <c r="M2061" s="317" t="str">
        <f t="array" ref="M2061">XLOOKUP(D2061,Roster!F:F,Roster!E:E)</f>
        <v>Tickets</v>
      </c>
      <c r="N2061" s="317" t="str">
        <f t="shared" ref="N2061:P2061" si="2093">LEFT(H2061,5)</f>
        <v/>
      </c>
      <c r="O2061" s="317" t="str">
        <f t="shared" si="2093"/>
        <v/>
      </c>
      <c r="P2061" s="317" t="str">
        <f t="shared" si="2093"/>
        <v/>
      </c>
      <c r="Q2061" s="318" t="str">
        <f t="shared" si="2083"/>
        <v/>
      </c>
      <c r="R2061" s="318" t="str">
        <f t="shared" si="2084"/>
        <v/>
      </c>
      <c r="S2061" s="318" t="str">
        <f t="shared" si="8"/>
        <v/>
      </c>
    </row>
    <row r="2062">
      <c r="A2062" s="14" t="str">
        <f t="shared" si="1"/>
        <v>C153846129</v>
      </c>
      <c r="B2062" s="185" t="str">
        <f t="array" ref="B2062">IF(F2062="VL","",IF(F2062="Free","Free",XLOOKUP(D2062,Roster!T:T,Roster!S:S,"",0)))</f>
        <v>Free</v>
      </c>
      <c r="C2062" s="313">
        <v>46129.0</v>
      </c>
      <c r="D2062" s="314" t="s">
        <v>68</v>
      </c>
      <c r="E2062" s="307" t="str">
        <f t="array" ref="E2062">(XLOOKUP(D2062,Roster!F:F,Roster!B:B,"",0))</f>
        <v>Oscar Roldan</v>
      </c>
      <c r="F2062" s="315" t="str">
        <f t="array" ref="F2062">IF(B2062=100,"Free",TEXT(XLOOKUP($D2062,OperationVoice!$A:$A,OperationVoice!W:W,XLOOKUP($D2062,OperationTickets!$A:$A,OperationTickets!W:W,"",0)),"hh:mm"))</f>
        <v>Free</v>
      </c>
      <c r="G2062" s="309" t="str">
        <f t="shared" si="3"/>
        <v>Free</v>
      </c>
      <c r="H2062" s="316" t="str">
        <f t="array" ref="H2062">XLOOKUP(B2062,Roster!L:L,Roster!N:N,XLOOKUP(D2062,TicketsBreak!A:A,TicketsBreak!E:E,"",0),0)</f>
        <v/>
      </c>
      <c r="I2062" s="316" t="str">
        <f t="array" ref="I2062">XLOOKUP(B2062,Roster!L:L,Roster!O:O,XLOOKUP(D2062,TicketsBreak!A:A,TicketsBreak!F:F,"",0),0)</f>
        <v/>
      </c>
      <c r="J2062" s="316" t="str">
        <f t="array" ref="J2062">XLOOKUP(B2062,Roster!L:L,Roster!P:P,XLOOKUP(D2062,TicketsBreak!A:A,TicketsBreak!G:G,"",0),0)</f>
        <v/>
      </c>
      <c r="K2062" s="310">
        <f t="shared" si="4"/>
        <v>46129</v>
      </c>
      <c r="L2062" s="317">
        <f t="array" ref="L2062">(XLOOKUP(D2062,Roster!F:F,Roster!D:D,"",0))</f>
        <v>36</v>
      </c>
      <c r="M2062" s="317" t="str">
        <f t="array" ref="M2062">XLOOKUP(D2062,Roster!F:F,Roster!E:E)</f>
        <v>Voice</v>
      </c>
      <c r="N2062" s="317" t="str">
        <f t="shared" ref="N2062:P2062" si="2094">LEFT(H2062,5)</f>
        <v/>
      </c>
      <c r="O2062" s="317" t="str">
        <f t="shared" si="2094"/>
        <v/>
      </c>
      <c r="P2062" s="317" t="str">
        <f t="shared" si="2094"/>
        <v/>
      </c>
      <c r="Q2062" s="318" t="str">
        <f t="shared" si="2083"/>
        <v/>
      </c>
      <c r="R2062" s="318" t="str">
        <f t="shared" si="2084"/>
        <v/>
      </c>
      <c r="S2062" s="318" t="str">
        <f t="shared" si="8"/>
        <v/>
      </c>
    </row>
    <row r="2063">
      <c r="A2063" s="14" t="str">
        <f t="shared" si="1"/>
        <v>C151146129</v>
      </c>
      <c r="B2063" s="185">
        <f t="array" ref="B2063">IF(F2063="VL","",IF(F2063="Free","Free",XLOOKUP(D2063,Roster!T:T,Roster!S:S,"",0)))</f>
        <v>131</v>
      </c>
      <c r="C2063" s="313">
        <v>46129.0</v>
      </c>
      <c r="D2063" s="314" t="s">
        <v>69</v>
      </c>
      <c r="E2063" s="307" t="str">
        <f t="array" ref="E2063">(XLOOKUP(D2063,Roster!F:F,Roster!B:B,"",0))</f>
        <v>Salma Giraldo</v>
      </c>
      <c r="F2063" s="315" t="str">
        <f t="array" ref="F2063">IF(B2063=100,"Free",TEXT(XLOOKUP($D2063,OperationVoice!$A:$A,OperationVoice!W:W,XLOOKUP($D2063,OperationTickets!$A:$A,OperationTickets!W:W,"",0)),"hh:mm"))</f>
        <v>08:00</v>
      </c>
      <c r="G2063" s="309">
        <f t="shared" si="3"/>
        <v>0.7083333333</v>
      </c>
      <c r="H2063" s="316" t="str">
        <f t="array" ref="H2063">XLOOKUP(B2063,Roster!L:L,Roster!N:N,XLOOKUP(D2063,TicketsBreak!A:A,TicketsBreak!E:E,"",0),0)</f>
        <v>10:15 - 10:30</v>
      </c>
      <c r="I2063" s="316" t="str">
        <f t="array" ref="I2063">XLOOKUP(B2063,Roster!L:L,Roster!O:O,XLOOKUP(D2063,TicketsBreak!A:A,TicketsBreak!F:F,"",0),0)</f>
        <v>12:30 - 13:00</v>
      </c>
      <c r="J2063" s="316" t="str">
        <f t="array" ref="J2063">XLOOKUP(B2063,Roster!L:L,Roster!P:P,XLOOKUP(D2063,TicketsBreak!A:A,TicketsBreak!G:G,"",0),0)</f>
        <v>15:15 - 15:30</v>
      </c>
      <c r="K2063" s="310">
        <f t="shared" si="4"/>
        <v>46129</v>
      </c>
      <c r="L2063" s="317">
        <f t="array" ref="L2063">(XLOOKUP(D2063,Roster!F:F,Roster!D:D,"",0))</f>
        <v>35</v>
      </c>
      <c r="M2063" s="317" t="str">
        <f t="array" ref="M2063">XLOOKUP(D2063,Roster!F:F,Roster!E:E)</f>
        <v>Voice</v>
      </c>
      <c r="N2063" s="317" t="str">
        <f t="shared" ref="N2063:P2063" si="2095">LEFT(H2063,5)</f>
        <v>10:15</v>
      </c>
      <c r="O2063" s="317" t="str">
        <f t="shared" si="2095"/>
        <v>12:30</v>
      </c>
      <c r="P2063" s="317" t="str">
        <f t="shared" si="2095"/>
        <v>15:15</v>
      </c>
      <c r="Q2063" s="318">
        <f t="shared" si="2083"/>
        <v>46129.42708</v>
      </c>
      <c r="R2063" s="318">
        <f t="shared" si="2084"/>
        <v>46129.52083</v>
      </c>
      <c r="S2063" s="318">
        <f t="shared" si="8"/>
        <v>46129.63542</v>
      </c>
    </row>
    <row r="2064">
      <c r="A2064" s="14" t="str">
        <f t="shared" si="1"/>
        <v>C93346129</v>
      </c>
      <c r="B2064" s="185">
        <f t="array" ref="B2064">IF(F2064="VL","",IF(F2064="Free","Free",XLOOKUP(D2064,Roster!T:T,Roster!S:S,"",0)))</f>
        <v>124</v>
      </c>
      <c r="C2064" s="313">
        <v>46129.0</v>
      </c>
      <c r="D2064" s="314" t="s">
        <v>70</v>
      </c>
      <c r="E2064" s="307" t="str">
        <f t="array" ref="E2064">(XLOOKUP(D2064,Roster!F:F,Roster!B:B,"",0))</f>
        <v>Salome Arias</v>
      </c>
      <c r="F2064" s="315" t="str">
        <f t="array" ref="F2064">IF(B2064=100,"Free",TEXT(XLOOKUP($D2064,OperationVoice!$A:$A,OperationVoice!W:W,XLOOKUP($D2064,OperationTickets!$A:$A,OperationTickets!W:W,"",0)),"hh:mm"))</f>
        <v>08:00</v>
      </c>
      <c r="G2064" s="309">
        <f t="shared" si="3"/>
        <v>0.7083333333</v>
      </c>
      <c r="H2064" s="316" t="str">
        <f t="array" ref="H2064">XLOOKUP(B2064,Roster!L:L,Roster!N:N,XLOOKUP(D2064,TicketsBreak!A:A,TicketsBreak!E:E,"",0),0)</f>
        <v>10:00 - 10:15</v>
      </c>
      <c r="I2064" s="316" t="str">
        <f t="array" ref="I2064">XLOOKUP(B2064,Roster!L:L,Roster!O:O,XLOOKUP(D2064,TicketsBreak!A:A,TicketsBreak!F:F,"",0),0)</f>
        <v>13:00 - 13:30</v>
      </c>
      <c r="J2064" s="316" t="str">
        <f t="array" ref="J2064">XLOOKUP(B2064,Roster!L:L,Roster!P:P,XLOOKUP(D2064,TicketsBreak!A:A,TicketsBreak!G:G,"",0),0)</f>
        <v>15:30 - 15:45</v>
      </c>
      <c r="K2064" s="310">
        <f t="shared" si="4"/>
        <v>46129</v>
      </c>
      <c r="L2064" s="317">
        <f t="array" ref="L2064">(XLOOKUP(D2064,Roster!F:F,Roster!D:D,"",0))</f>
        <v>12</v>
      </c>
      <c r="M2064" s="317" t="str">
        <f t="array" ref="M2064">XLOOKUP(D2064,Roster!F:F,Roster!E:E)</f>
        <v>Voice</v>
      </c>
      <c r="N2064" s="317" t="str">
        <f t="shared" ref="N2064:P2064" si="2096">LEFT(H2064,5)</f>
        <v>10:00</v>
      </c>
      <c r="O2064" s="317" t="str">
        <f t="shared" si="2096"/>
        <v>13:00</v>
      </c>
      <c r="P2064" s="317" t="str">
        <f t="shared" si="2096"/>
        <v>15:30</v>
      </c>
      <c r="Q2064" s="318">
        <f t="shared" si="2083"/>
        <v>46129.41667</v>
      </c>
      <c r="R2064" s="318">
        <f t="shared" si="2084"/>
        <v>46129.54167</v>
      </c>
      <c r="S2064" s="318">
        <f t="shared" si="8"/>
        <v>46129.64583</v>
      </c>
    </row>
    <row r="2065">
      <c r="A2065" s="14" t="str">
        <f t="shared" si="1"/>
        <v>C128246129</v>
      </c>
      <c r="B2065" s="185" t="str">
        <f t="array" ref="B2065">IF(F2065="VL","",IF(F2065="Free","Free",XLOOKUP(D2065,Roster!T:T,Roster!S:S,"",0)))</f>
        <v/>
      </c>
      <c r="C2065" s="313">
        <v>46129.0</v>
      </c>
      <c r="D2065" s="314" t="s">
        <v>168</v>
      </c>
      <c r="E2065" s="307" t="str">
        <f t="array" ref="E2065">(XLOOKUP(D2065,Roster!F:F,Roster!B:B,"",0))</f>
        <v>Samuel Acevedo</v>
      </c>
      <c r="F2065" s="315" t="str">
        <f t="array" ref="F2065">IF(B2065=100,"Free",TEXT(XLOOKUP($D2065,OperationVoice!$A:$A,OperationVoice!W:W,XLOOKUP($D2065,OperationTickets!$A:$A,OperationTickets!W:W,"",0)),"hh:mm"))</f>
        <v>08:00</v>
      </c>
      <c r="G2065" s="309">
        <f t="shared" si="3"/>
        <v>0.7083333333</v>
      </c>
      <c r="H2065" s="316" t="str">
        <f t="array" ref="H2065">XLOOKUP(B2065,Roster!L:L,Roster!N:N,XLOOKUP(D2065,TicketsBreak!A:A,TicketsBreak!E:E,"",0),0)</f>
        <v/>
      </c>
      <c r="I2065" s="316" t="str">
        <f t="array" ref="I2065">XLOOKUP(B2065,Roster!L:L,Roster!O:O,XLOOKUP(D2065,TicketsBreak!A:A,TicketsBreak!F:F,"",0),0)</f>
        <v/>
      </c>
      <c r="J2065" s="316" t="str">
        <f t="array" ref="J2065">XLOOKUP(B2065,Roster!L:L,Roster!P:P,XLOOKUP(D2065,TicketsBreak!A:A,TicketsBreak!G:G,"",0),0)</f>
        <v/>
      </c>
      <c r="K2065" s="310">
        <f t="shared" si="4"/>
        <v>46129</v>
      </c>
      <c r="L2065" s="317">
        <f t="array" ref="L2065">(XLOOKUP(D2065,Roster!F:F,Roster!D:D,"",0))</f>
        <v>27</v>
      </c>
      <c r="M2065" s="317" t="str">
        <f t="array" ref="M2065">XLOOKUP(D2065,Roster!F:F,Roster!E:E)</f>
        <v>Tickets</v>
      </c>
      <c r="N2065" s="317" t="str">
        <f t="shared" ref="N2065:P2065" si="2097">LEFT(H2065,5)</f>
        <v/>
      </c>
      <c r="O2065" s="317" t="str">
        <f t="shared" si="2097"/>
        <v/>
      </c>
      <c r="P2065" s="317" t="str">
        <f t="shared" si="2097"/>
        <v/>
      </c>
      <c r="Q2065" s="318" t="str">
        <f t="shared" si="2083"/>
        <v/>
      </c>
      <c r="R2065" s="318" t="str">
        <f t="shared" si="2084"/>
        <v/>
      </c>
      <c r="S2065" s="318" t="str">
        <f t="shared" si="8"/>
        <v/>
      </c>
    </row>
    <row r="2066">
      <c r="A2066" s="14" t="str">
        <f t="shared" si="1"/>
        <v>C156446129</v>
      </c>
      <c r="B2066" s="185">
        <f t="array" ref="B2066">IF(F2066="VL","",IF(F2066="Free","Free",XLOOKUP(D2066,Roster!T:T,Roster!S:S,"",0)))</f>
        <v>121</v>
      </c>
      <c r="C2066" s="313">
        <v>46129.0</v>
      </c>
      <c r="D2066" s="314" t="s">
        <v>71</v>
      </c>
      <c r="E2066" s="307" t="str">
        <f t="array" ref="E2066">(XLOOKUP(D2066,Roster!F:F,Roster!B:B,"",0))</f>
        <v>Samuel Acevedo Cadavid</v>
      </c>
      <c r="F2066" s="315" t="str">
        <f t="array" ref="F2066">IF(B2066=100,"Free",TEXT(XLOOKUP($D2066,OperationVoice!$A:$A,OperationVoice!W:W,XLOOKUP($D2066,OperationTickets!$A:$A,OperationTickets!W:W,"",0)),"hh:mm"))</f>
        <v>11:00</v>
      </c>
      <c r="G2066" s="309">
        <f t="shared" si="3"/>
        <v>0.8333333333</v>
      </c>
      <c r="H2066" s="316" t="str">
        <f t="array" ref="H2066">XLOOKUP(B2066,Roster!L:L,Roster!N:N,XLOOKUP(D2066,TicketsBreak!A:A,TicketsBreak!E:E,"",0),0)</f>
        <v>09:15 - 09:30</v>
      </c>
      <c r="I2066" s="316" t="str">
        <f t="array" ref="I2066">XLOOKUP(B2066,Roster!L:L,Roster!O:O,XLOOKUP(D2066,TicketsBreak!A:A,TicketsBreak!F:F,"",0),0)</f>
        <v>11:30 - 12:00</v>
      </c>
      <c r="J2066" s="316" t="str">
        <f t="array" ref="J2066">XLOOKUP(B2066,Roster!L:L,Roster!P:P,XLOOKUP(D2066,TicketsBreak!A:A,TicketsBreak!G:G,"",0),0)</f>
        <v>14:30 - 14:45</v>
      </c>
      <c r="K2066" s="310">
        <f t="shared" si="4"/>
        <v>46129</v>
      </c>
      <c r="L2066" s="317">
        <f t="array" ref="L2066">(XLOOKUP(D2066,Roster!F:F,Roster!D:D,"",0))</f>
        <v>38</v>
      </c>
      <c r="M2066" s="317" t="str">
        <f t="array" ref="M2066">XLOOKUP(D2066,Roster!F:F,Roster!E:E)</f>
        <v>Voice</v>
      </c>
      <c r="N2066" s="317" t="str">
        <f t="shared" ref="N2066:P2066" si="2098">LEFT(H2066,5)</f>
        <v>09:15</v>
      </c>
      <c r="O2066" s="317" t="str">
        <f t="shared" si="2098"/>
        <v>11:30</v>
      </c>
      <c r="P2066" s="317" t="str">
        <f t="shared" si="2098"/>
        <v>14:30</v>
      </c>
      <c r="Q2066" s="318">
        <f t="shared" si="2083"/>
        <v>46129.38542</v>
      </c>
      <c r="R2066" s="318">
        <f t="shared" si="2084"/>
        <v>46129.47917</v>
      </c>
      <c r="S2066" s="318">
        <f t="shared" si="8"/>
        <v>46129.60417</v>
      </c>
    </row>
    <row r="2067">
      <c r="A2067" s="14" t="str">
        <f t="shared" si="1"/>
        <v>C116846129</v>
      </c>
      <c r="B2067" s="185">
        <f t="array" ref="B2067">IF(F2067="VL","",IF(F2067="Free","Free",XLOOKUP(D2067,Roster!T:T,Roster!S:S,"",0)))</f>
        <v>125</v>
      </c>
      <c r="C2067" s="313">
        <v>46129.0</v>
      </c>
      <c r="D2067" s="314" t="s">
        <v>180</v>
      </c>
      <c r="E2067" s="307" t="str">
        <f t="array" ref="E2067">(XLOOKUP(D2067,Roster!F:F,Roster!B:B,"",0))</f>
        <v>Santiago Gaviria</v>
      </c>
      <c r="F2067" s="315" t="str">
        <f t="array" ref="F2067">IF(B2067=100,"Free",TEXT(XLOOKUP($D2067,OperationVoice!$A:$A,OperationVoice!W:W,XLOOKUP($D2067,OperationTickets!$A:$A,OperationTickets!W:W,"",0)),"hh:mm"))</f>
        <v>08:00</v>
      </c>
      <c r="G2067" s="309">
        <f t="shared" si="3"/>
        <v>0.7083333333</v>
      </c>
      <c r="H2067" s="316" t="str">
        <f t="array" ref="H2067">XLOOKUP(B2067,Roster!L:L,Roster!N:N,XLOOKUP(D2067,TicketsBreak!A:A,TicketsBreak!E:E,"",0),0)</f>
        <v>10:30 - 10:45</v>
      </c>
      <c r="I2067" s="316" t="str">
        <f t="array" ref="I2067">XLOOKUP(B2067,Roster!L:L,Roster!O:O,XLOOKUP(D2067,TicketsBreak!A:A,TicketsBreak!F:F,"",0),0)</f>
        <v>13:30 - 14:00</v>
      </c>
      <c r="J2067" s="316" t="str">
        <f t="array" ref="J2067">XLOOKUP(B2067,Roster!L:L,Roster!P:P,XLOOKUP(D2067,TicketsBreak!A:A,TicketsBreak!G:G,"",0),0)</f>
        <v>15:45 - 16:00</v>
      </c>
      <c r="K2067" s="310">
        <f t="shared" si="4"/>
        <v>46129</v>
      </c>
      <c r="L2067" s="317">
        <f t="array" ref="L2067">(XLOOKUP(D2067,Roster!F:F,Roster!D:D,"",0))</f>
        <v>24</v>
      </c>
      <c r="M2067" s="317" t="str">
        <f t="array" ref="M2067">XLOOKUP(D2067,Roster!F:F,Roster!E:E)</f>
        <v>Tickets</v>
      </c>
      <c r="N2067" s="317" t="str">
        <f t="shared" ref="N2067:P2067" si="2099">LEFT(H2067,5)</f>
        <v>10:30</v>
      </c>
      <c r="O2067" s="317" t="str">
        <f t="shared" si="2099"/>
        <v>13:30</v>
      </c>
      <c r="P2067" s="317" t="str">
        <f t="shared" si="2099"/>
        <v>15:45</v>
      </c>
      <c r="Q2067" s="318">
        <f t="shared" si="2083"/>
        <v>46129.4375</v>
      </c>
      <c r="R2067" s="318">
        <f t="shared" si="2084"/>
        <v>46129.5625</v>
      </c>
      <c r="S2067" s="318">
        <f t="shared" si="8"/>
        <v>46129.65625</v>
      </c>
    </row>
    <row r="2068">
      <c r="A2068" s="14" t="str">
        <f t="shared" si="1"/>
        <v>C122046129</v>
      </c>
      <c r="B2068" s="185" t="str">
        <f t="array" ref="B2068">IF(F2068="VL","",IF(F2068="Free","Free",XLOOKUP(D2068,Roster!T:T,Roster!S:S,"",0)))</f>
        <v/>
      </c>
      <c r="C2068" s="313">
        <v>46129.0</v>
      </c>
      <c r="D2068" s="314" t="s">
        <v>181</v>
      </c>
      <c r="E2068" s="307" t="str">
        <f t="array" ref="E2068">(XLOOKUP(D2068,Roster!F:F,Roster!B:B,"",0))</f>
        <v>Santiago Gonzalez</v>
      </c>
      <c r="F2068" s="315" t="str">
        <f t="array" ref="F2068">IF(B2068=100,"Free",TEXT(XLOOKUP($D2068,OperationVoice!$A:$A,OperationVoice!W:W,XLOOKUP($D2068,OperationTickets!$A:$A,OperationTickets!W:W,"",0)),"hh:mm"))</f>
        <v>08:00</v>
      </c>
      <c r="G2068" s="309">
        <f t="shared" si="3"/>
        <v>0.7083333333</v>
      </c>
      <c r="H2068" s="316" t="str">
        <f t="array" ref="H2068">XLOOKUP(B2068,Roster!L:L,Roster!N:N,XLOOKUP(D2068,TicketsBreak!A:A,TicketsBreak!E:E,"",0),0)</f>
        <v/>
      </c>
      <c r="I2068" s="316" t="str">
        <f t="array" ref="I2068">XLOOKUP(B2068,Roster!L:L,Roster!O:O,XLOOKUP(D2068,TicketsBreak!A:A,TicketsBreak!F:F,"",0),0)</f>
        <v/>
      </c>
      <c r="J2068" s="316" t="str">
        <f t="array" ref="J2068">XLOOKUP(B2068,Roster!L:L,Roster!P:P,XLOOKUP(D2068,TicketsBreak!A:A,TicketsBreak!G:G,"",0),0)</f>
        <v/>
      </c>
      <c r="K2068" s="310">
        <f t="shared" si="4"/>
        <v>46129</v>
      </c>
      <c r="L2068" s="317">
        <f t="array" ref="L2068">(XLOOKUP(D2068,Roster!F:F,Roster!D:D,"",0))</f>
        <v>26</v>
      </c>
      <c r="M2068" s="317" t="str">
        <f t="array" ref="M2068">XLOOKUP(D2068,Roster!F:F,Roster!E:E)</f>
        <v>Tickets</v>
      </c>
      <c r="N2068" s="317" t="str">
        <f t="shared" ref="N2068:P2068" si="2100">LEFT(H2068,5)</f>
        <v/>
      </c>
      <c r="O2068" s="317" t="str">
        <f t="shared" si="2100"/>
        <v/>
      </c>
      <c r="P2068" s="317" t="str">
        <f t="shared" si="2100"/>
        <v/>
      </c>
      <c r="Q2068" s="318" t="str">
        <f t="shared" si="2083"/>
        <v/>
      </c>
      <c r="R2068" s="318" t="str">
        <f t="shared" si="2084"/>
        <v/>
      </c>
      <c r="S2068" s="318" t="str">
        <f t="shared" si="8"/>
        <v/>
      </c>
    </row>
    <row r="2069">
      <c r="A2069" s="14" t="str">
        <f t="shared" si="1"/>
        <v>C140646129</v>
      </c>
      <c r="B2069" s="185">
        <f t="array" ref="B2069">IF(F2069="VL","",IF(F2069="Free","Free",XLOOKUP(D2069,Roster!T:T,Roster!S:S,"",0)))</f>
        <v>152</v>
      </c>
      <c r="C2069" s="313">
        <v>46129.0</v>
      </c>
      <c r="D2069" s="314" t="s">
        <v>72</v>
      </c>
      <c r="E2069" s="307" t="str">
        <f t="array" ref="E2069">(XLOOKUP(D2069,Roster!F:F,Roster!B:B,"",0))</f>
        <v>Santiago Mora</v>
      </c>
      <c r="F2069" s="315" t="str">
        <f t="array" ref="F2069">IF(B2069=100,"Free",TEXT(XLOOKUP($D2069,OperationVoice!$A:$A,OperationVoice!W:W,XLOOKUP($D2069,OperationTickets!$A:$A,OperationTickets!W:W,"",0)),"hh:mm"))</f>
        <v>11:00</v>
      </c>
      <c r="G2069" s="309">
        <f t="shared" si="3"/>
        <v>0.8333333333</v>
      </c>
      <c r="H2069" s="316" t="str">
        <f t="array" ref="H2069">XLOOKUP(B2069,Roster!L:L,Roster!N:N,XLOOKUP(D2069,TicketsBreak!A:A,TicketsBreak!E:E,"",0),0)</f>
        <v>12:30 - 12:45</v>
      </c>
      <c r="I2069" s="316" t="str">
        <f t="array" ref="I2069">XLOOKUP(B2069,Roster!L:L,Roster!O:O,XLOOKUP(D2069,TicketsBreak!A:A,TicketsBreak!F:F,"",0),0)</f>
        <v>14:30 - 15:00</v>
      </c>
      <c r="J2069" s="316" t="str">
        <f t="array" ref="J2069">XLOOKUP(B2069,Roster!L:L,Roster!P:P,XLOOKUP(D2069,TicketsBreak!A:A,TicketsBreak!G:G,"",0),0)</f>
        <v>17:30 - 17:45</v>
      </c>
      <c r="K2069" s="310">
        <f t="shared" si="4"/>
        <v>46129</v>
      </c>
      <c r="L2069" s="317">
        <f t="array" ref="L2069">(XLOOKUP(D2069,Roster!F:F,Roster!D:D,"",0))</f>
        <v>35</v>
      </c>
      <c r="M2069" s="317" t="str">
        <f t="array" ref="M2069">XLOOKUP(D2069,Roster!F:F,Roster!E:E)</f>
        <v>Voice</v>
      </c>
      <c r="N2069" s="317" t="str">
        <f t="shared" ref="N2069:P2069" si="2101">LEFT(H2069,5)</f>
        <v>12:30</v>
      </c>
      <c r="O2069" s="317" t="str">
        <f t="shared" si="2101"/>
        <v>14:30</v>
      </c>
      <c r="P2069" s="317" t="str">
        <f t="shared" si="2101"/>
        <v>17:30</v>
      </c>
      <c r="Q2069" s="318">
        <f t="shared" si="2083"/>
        <v>46129.52083</v>
      </c>
      <c r="R2069" s="318">
        <f t="shared" si="2084"/>
        <v>46129.60417</v>
      </c>
      <c r="S2069" s="318">
        <f t="shared" si="8"/>
        <v>46129.72917</v>
      </c>
    </row>
    <row r="2070">
      <c r="A2070" s="14" t="str">
        <f t="shared" si="1"/>
        <v>C119946129</v>
      </c>
      <c r="B2070" s="185" t="str">
        <f t="array" ref="B2070">IF(F2070="VL","",IF(F2070="Free","Free",XLOOKUP(D2070,Roster!T:T,Roster!S:S,"",0)))</f>
        <v/>
      </c>
      <c r="C2070" s="313">
        <v>46129.0</v>
      </c>
      <c r="D2070" s="314" t="s">
        <v>182</v>
      </c>
      <c r="E2070" s="307" t="str">
        <f t="array" ref="E2070">(XLOOKUP(D2070,Roster!F:F,Roster!B:B,"",0))</f>
        <v>Santiago Velasquez</v>
      </c>
      <c r="F2070" s="315" t="str">
        <f t="array" ref="F2070">IF(B2070=100,"Free",TEXT(XLOOKUP($D2070,OperationVoice!$A:$A,OperationVoice!W:W,XLOOKUP($D2070,OperationTickets!$A:$A,OperationTickets!W:W,"",0)),"hh:mm"))</f>
        <v>08:00</v>
      </c>
      <c r="G2070" s="309">
        <f t="shared" si="3"/>
        <v>0.7083333333</v>
      </c>
      <c r="H2070" s="316" t="str">
        <f t="array" ref="H2070">XLOOKUP(B2070,Roster!L:L,Roster!N:N,XLOOKUP(D2070,TicketsBreak!A:A,TicketsBreak!E:E,"",0),0)</f>
        <v/>
      </c>
      <c r="I2070" s="316" t="str">
        <f t="array" ref="I2070">XLOOKUP(B2070,Roster!L:L,Roster!O:O,XLOOKUP(D2070,TicketsBreak!A:A,TicketsBreak!F:F,"",0),0)</f>
        <v/>
      </c>
      <c r="J2070" s="316" t="str">
        <f t="array" ref="J2070">XLOOKUP(B2070,Roster!L:L,Roster!P:P,XLOOKUP(D2070,TicketsBreak!A:A,TicketsBreak!G:G,"",0),0)</f>
        <v/>
      </c>
      <c r="K2070" s="310">
        <f t="shared" si="4"/>
        <v>46129</v>
      </c>
      <c r="L2070" s="317">
        <f t="array" ref="L2070">(XLOOKUP(D2070,Roster!F:F,Roster!D:D,"",0))</f>
        <v>25</v>
      </c>
      <c r="M2070" s="317" t="str">
        <f t="array" ref="M2070">XLOOKUP(D2070,Roster!F:F,Roster!E:E)</f>
        <v>Tickets</v>
      </c>
      <c r="N2070" s="317" t="str">
        <f t="shared" ref="N2070:P2070" si="2102">LEFT(H2070,5)</f>
        <v/>
      </c>
      <c r="O2070" s="317" t="str">
        <f t="shared" si="2102"/>
        <v/>
      </c>
      <c r="P2070" s="317" t="str">
        <f t="shared" si="2102"/>
        <v/>
      </c>
      <c r="Q2070" s="318" t="str">
        <f t="shared" si="2083"/>
        <v/>
      </c>
      <c r="R2070" s="318" t="str">
        <f t="shared" si="2084"/>
        <v/>
      </c>
      <c r="S2070" s="318" t="str">
        <f t="shared" si="8"/>
        <v/>
      </c>
    </row>
    <row r="2071">
      <c r="A2071" s="14" t="str">
        <f t="shared" si="1"/>
        <v>C90246129</v>
      </c>
      <c r="B2071" s="185" t="str">
        <f t="array" ref="B2071">IF(F2071="VL","",IF(F2071="Free","Free",XLOOKUP(D2071,Roster!T:T,Roster!S:S,"",0)))</f>
        <v/>
      </c>
      <c r="C2071" s="313">
        <v>46129.0</v>
      </c>
      <c r="D2071" s="314" t="s">
        <v>150</v>
      </c>
      <c r="E2071" s="307" t="str">
        <f t="array" ref="E2071">(XLOOKUP(D2071,Roster!F:F,Roster!B:B,"",0))</f>
        <v>Sebastiam Vallejo</v>
      </c>
      <c r="F2071" s="315" t="str">
        <f t="array" ref="F2071">IF(B2071=100,"Free",TEXT(XLOOKUP($D2071,OperationVoice!$A:$A,OperationVoice!W:W,XLOOKUP($D2071,OperationTickets!$A:$A,OperationTickets!W:W,"",0)),"hh:mm"))</f>
        <v>08:00</v>
      </c>
      <c r="G2071" s="309">
        <f t="shared" si="3"/>
        <v>0.7083333333</v>
      </c>
      <c r="H2071" s="316">
        <f t="array" ref="H2071">XLOOKUP(B2071,Roster!L:L,Roster!N:N,XLOOKUP(D2071,TicketsBreak!A:A,TicketsBreak!E:E,"",0),0)</f>
        <v>0.4375</v>
      </c>
      <c r="I2071" s="316">
        <f t="array" ref="I2071">XLOOKUP(B2071,Roster!L:L,Roster!O:O,XLOOKUP(D2071,TicketsBreak!A:A,TicketsBreak!F:F,"",0),0)</f>
        <v>0.6041666667</v>
      </c>
      <c r="J2071" s="316">
        <f t="array" ref="J2071">XLOOKUP(B2071,Roster!L:L,Roster!P:P,XLOOKUP(D2071,TicketsBreak!A:A,TicketsBreak!G:G,"",0),0)</f>
        <v>0.65625</v>
      </c>
      <c r="K2071" s="310">
        <f t="shared" si="4"/>
        <v>46129</v>
      </c>
      <c r="L2071" s="317">
        <f t="array" ref="L2071">(XLOOKUP(D2071,Roster!F:F,Roster!D:D,"",0))</f>
        <v>11</v>
      </c>
      <c r="M2071" s="317" t="str">
        <f t="array" ref="M2071">XLOOKUP(D2071,Roster!F:F,Roster!E:E)</f>
        <v>Tickets</v>
      </c>
      <c r="N2071" s="317" t="str">
        <f t="shared" ref="N2071:P2071" si="2103">LEFT(H2071,5)</f>
        <v>10:30</v>
      </c>
      <c r="O2071" s="317" t="str">
        <f t="shared" si="2103"/>
        <v>14:30</v>
      </c>
      <c r="P2071" s="317" t="str">
        <f t="shared" si="2103"/>
        <v>15:45</v>
      </c>
      <c r="Q2071" s="318">
        <f t="shared" si="2083"/>
        <v>46129.4375</v>
      </c>
      <c r="R2071" s="318">
        <f t="shared" si="2084"/>
        <v>46129.60417</v>
      </c>
      <c r="S2071" s="318">
        <f t="shared" si="8"/>
        <v>46129.65625</v>
      </c>
    </row>
    <row r="2072">
      <c r="A2072" s="14" t="str">
        <f t="shared" si="1"/>
        <v>C150646129</v>
      </c>
      <c r="B2072" s="185">
        <f t="array" ref="B2072">IF(F2072="VL","",IF(F2072="Free","Free",XLOOKUP(D2072,Roster!T:T,Roster!S:S,"",0)))</f>
        <v>153</v>
      </c>
      <c r="C2072" s="313">
        <v>46129.0</v>
      </c>
      <c r="D2072" s="314" t="s">
        <v>73</v>
      </c>
      <c r="E2072" s="307" t="str">
        <f t="array" ref="E2072">(XLOOKUP(D2072,Roster!F:F,Roster!B:B,"",0))</f>
        <v>Sebastian Agudelo Londono</v>
      </c>
      <c r="F2072" s="315" t="str">
        <f t="array" ref="F2072">IF(B2072=100,"Free",TEXT(XLOOKUP($D2072,OperationVoice!$A:$A,OperationVoice!W:W,XLOOKUP($D2072,OperationTickets!$A:$A,OperationTickets!W:W,"",0)),"hh:mm"))</f>
        <v>11:00</v>
      </c>
      <c r="G2072" s="309">
        <f t="shared" si="3"/>
        <v>0.8333333333</v>
      </c>
      <c r="H2072" s="316" t="str">
        <f t="array" ref="H2072">XLOOKUP(B2072,Roster!L:L,Roster!N:N,XLOOKUP(D2072,TicketsBreak!A:A,TicketsBreak!E:E,"",0),0)</f>
        <v>12:45 - 13:00</v>
      </c>
      <c r="I2072" s="316" t="str">
        <f t="array" ref="I2072">XLOOKUP(B2072,Roster!L:L,Roster!O:O,XLOOKUP(D2072,TicketsBreak!A:A,TicketsBreak!F:F,"",0),0)</f>
        <v>15:00 - 15:30</v>
      </c>
      <c r="J2072" s="316" t="str">
        <f t="array" ref="J2072">XLOOKUP(B2072,Roster!L:L,Roster!P:P,XLOOKUP(D2072,TicketsBreak!A:A,TicketsBreak!G:G,"",0),0)</f>
        <v>17:45 - 18:00</v>
      </c>
      <c r="K2072" s="310">
        <f t="shared" si="4"/>
        <v>46129</v>
      </c>
      <c r="L2072" s="317">
        <f t="array" ref="L2072">(XLOOKUP(D2072,Roster!F:F,Roster!D:D,"",0))</f>
        <v>35</v>
      </c>
      <c r="M2072" s="317" t="str">
        <f t="array" ref="M2072">XLOOKUP(D2072,Roster!F:F,Roster!E:E)</f>
        <v>Voice</v>
      </c>
      <c r="N2072" s="317" t="str">
        <f t="shared" ref="N2072:P2072" si="2104">LEFT(H2072,5)</f>
        <v>12:45</v>
      </c>
      <c r="O2072" s="317" t="str">
        <f t="shared" si="2104"/>
        <v>15:00</v>
      </c>
      <c r="P2072" s="317" t="str">
        <f t="shared" si="2104"/>
        <v>17:45</v>
      </c>
      <c r="Q2072" s="318">
        <f t="shared" si="2083"/>
        <v>46129.53125</v>
      </c>
      <c r="R2072" s="318">
        <f t="shared" si="2084"/>
        <v>46129.625</v>
      </c>
      <c r="S2072" s="318">
        <f t="shared" si="8"/>
        <v>46129.73958</v>
      </c>
    </row>
    <row r="2073">
      <c r="A2073" s="14" t="str">
        <f t="shared" si="1"/>
        <v>C119046129</v>
      </c>
      <c r="B2073" s="185" t="str">
        <f t="array" ref="B2073">IF(F2073="VL","",IF(F2073="Free","Free",XLOOKUP(D2073,Roster!T:T,Roster!S:S,"",0)))</f>
        <v/>
      </c>
      <c r="C2073" s="313">
        <v>46129.0</v>
      </c>
      <c r="D2073" s="314" t="s">
        <v>183</v>
      </c>
      <c r="E2073" s="307" t="str">
        <f t="array" ref="E2073">(XLOOKUP(D2073,Roster!F:F,Roster!B:B,"",0))</f>
        <v>Sebastian Herrera</v>
      </c>
      <c r="F2073" s="315" t="str">
        <f t="array" ref="F2073">IF(B2073=100,"Free",TEXT(XLOOKUP($D2073,OperationVoice!$A:$A,OperationVoice!W:W,XLOOKUP($D2073,OperationTickets!$A:$A,OperationTickets!W:W,"",0)),"hh:mm"))</f>
        <v>07:00</v>
      </c>
      <c r="G2073" s="309">
        <f t="shared" si="3"/>
        <v>0.6666666667</v>
      </c>
      <c r="H2073" s="316">
        <f t="array" ref="H2073">XLOOKUP(B2073,Roster!L:L,Roster!N:N,XLOOKUP(D2073,TicketsBreak!A:A,TicketsBreak!E:E,"",0),0)</f>
        <v>0.40625</v>
      </c>
      <c r="I2073" s="316">
        <f t="array" ref="I2073">XLOOKUP(B2073,Roster!L:L,Roster!O:O,XLOOKUP(D2073,TicketsBreak!A:A,TicketsBreak!F:F,"",0),0)</f>
        <v>0.5416666667</v>
      </c>
      <c r="J2073" s="316">
        <f t="array" ref="J2073">XLOOKUP(B2073,Roster!L:L,Roster!P:P,XLOOKUP(D2073,TicketsBreak!A:A,TicketsBreak!G:G,"",0),0)</f>
        <v>0.625</v>
      </c>
      <c r="K2073" s="310">
        <f t="shared" si="4"/>
        <v>46129</v>
      </c>
      <c r="L2073" s="317">
        <f t="array" ref="L2073">(XLOOKUP(D2073,Roster!F:F,Roster!D:D,"",0))</f>
        <v>25</v>
      </c>
      <c r="M2073" s="317" t="str">
        <f t="array" ref="M2073">XLOOKUP(D2073,Roster!F:F,Roster!E:E)</f>
        <v>Tickets</v>
      </c>
      <c r="N2073" s="317" t="str">
        <f t="shared" ref="N2073:P2073" si="2105">LEFT(H2073,5)</f>
        <v>09:45</v>
      </c>
      <c r="O2073" s="317" t="str">
        <f t="shared" si="2105"/>
        <v>13:00</v>
      </c>
      <c r="P2073" s="317" t="str">
        <f t="shared" si="2105"/>
        <v>15:00</v>
      </c>
      <c r="Q2073" s="318">
        <f t="shared" si="2083"/>
        <v>46129.40625</v>
      </c>
      <c r="R2073" s="318">
        <f t="shared" si="2084"/>
        <v>46129.54167</v>
      </c>
      <c r="S2073" s="318">
        <f t="shared" si="8"/>
        <v>46129.625</v>
      </c>
    </row>
    <row r="2074">
      <c r="A2074" s="14" t="str">
        <f t="shared" si="1"/>
        <v>C71046129</v>
      </c>
      <c r="B2074" s="185" t="str">
        <f t="array" ref="B2074">IF(F2074="VL","",IF(F2074="Free","Free",XLOOKUP(D2074,Roster!T:T,Roster!S:S,"",0)))</f>
        <v/>
      </c>
      <c r="C2074" s="313">
        <v>46129.0</v>
      </c>
      <c r="D2074" s="314" t="s">
        <v>184</v>
      </c>
      <c r="E2074" s="307" t="str">
        <f t="array" ref="E2074">(XLOOKUP(D2074,Roster!F:F,Roster!B:B,"",0))</f>
        <v>Sebastian Martinez</v>
      </c>
      <c r="F2074" s="315" t="str">
        <f t="array" ref="F2074">IF(B2074=100,"Free",TEXT(XLOOKUP($D2074,OperationVoice!$A:$A,OperationVoice!W:W,XLOOKUP($D2074,OperationTickets!$A:$A,OperationTickets!W:W,"",0)),"hh:mm"))</f>
        <v>08:00</v>
      </c>
      <c r="G2074" s="309">
        <f t="shared" si="3"/>
        <v>0.7083333333</v>
      </c>
      <c r="H2074" s="316">
        <f t="array" ref="H2074">XLOOKUP(B2074,Roster!L:L,Roster!N:N,XLOOKUP(D2074,TicketsBreak!A:A,TicketsBreak!E:E,"",0),0)</f>
        <v>0.40625</v>
      </c>
      <c r="I2074" s="316">
        <f t="array" ref="I2074">XLOOKUP(B2074,Roster!L:L,Roster!O:O,XLOOKUP(D2074,TicketsBreak!A:A,TicketsBreak!F:F,"",0),0)</f>
        <v>0.5625</v>
      </c>
      <c r="J2074" s="316">
        <f t="array" ref="J2074">XLOOKUP(B2074,Roster!L:L,Roster!P:P,XLOOKUP(D2074,TicketsBreak!A:A,TicketsBreak!G:G,"",0),0)</f>
        <v>0.65625</v>
      </c>
      <c r="K2074" s="310">
        <f t="shared" si="4"/>
        <v>46129</v>
      </c>
      <c r="L2074" s="317">
        <f t="array" ref="L2074">(XLOOKUP(D2074,Roster!F:F,Roster!D:D,"",0))</f>
        <v>6</v>
      </c>
      <c r="M2074" s="317" t="str">
        <f t="array" ref="M2074">XLOOKUP(D2074,Roster!F:F,Roster!E:E)</f>
        <v>Tickets</v>
      </c>
      <c r="N2074" s="317" t="str">
        <f t="shared" ref="N2074:P2074" si="2106">LEFT(H2074,5)</f>
        <v>09:45</v>
      </c>
      <c r="O2074" s="317" t="str">
        <f t="shared" si="2106"/>
        <v>13:30</v>
      </c>
      <c r="P2074" s="317" t="str">
        <f t="shared" si="2106"/>
        <v>15:45</v>
      </c>
      <c r="Q2074" s="318">
        <f t="shared" si="2083"/>
        <v>46129.40625</v>
      </c>
      <c r="R2074" s="318">
        <f t="shared" si="2084"/>
        <v>46129.5625</v>
      </c>
      <c r="S2074" s="318">
        <f t="shared" si="8"/>
        <v>46129.65625</v>
      </c>
    </row>
    <row r="2075">
      <c r="A2075" s="14" t="str">
        <f t="shared" si="1"/>
        <v>C72346129</v>
      </c>
      <c r="B2075" s="185" t="str">
        <f t="array" ref="B2075">IF(F2075="VL","",IF(F2075="Free","Free",XLOOKUP(D2075,Roster!T:T,Roster!S:S,"",0)))</f>
        <v/>
      </c>
      <c r="C2075" s="313">
        <v>46129.0</v>
      </c>
      <c r="D2075" s="314" t="s">
        <v>169</v>
      </c>
      <c r="E2075" s="307" t="str">
        <f t="array" ref="E2075">(XLOOKUP(D2075,Roster!F:F,Roster!B:B,"",0))</f>
        <v>Sebastian Parra</v>
      </c>
      <c r="F2075" s="315" t="str">
        <f t="array" ref="F2075">IF(B2075=100,"Free",TEXT(XLOOKUP($D2075,OperationVoice!$A:$A,OperationVoice!W:W,XLOOKUP($D2075,OperationTickets!$A:$A,OperationTickets!W:W,"",0)),"hh:mm"))</f>
        <v>08:00</v>
      </c>
      <c r="G2075" s="309">
        <f t="shared" si="3"/>
        <v>0.7083333333</v>
      </c>
      <c r="H2075" s="316">
        <f t="array" ref="H2075">XLOOKUP(B2075,Roster!L:L,Roster!N:N,XLOOKUP(D2075,TicketsBreak!A:A,TicketsBreak!E:E,"",0),0)</f>
        <v>0.4166666667</v>
      </c>
      <c r="I2075" s="316">
        <f t="array" ref="I2075">XLOOKUP(B2075,Roster!L:L,Roster!O:O,XLOOKUP(D2075,TicketsBreak!A:A,TicketsBreak!F:F,"",0),0)</f>
        <v>0.5347222222</v>
      </c>
      <c r="J2075" s="316">
        <f t="array" ref="J2075">XLOOKUP(B2075,Roster!L:L,Roster!P:P,XLOOKUP(D2075,TicketsBreak!A:A,TicketsBreak!G:G,"",0),0)</f>
        <v>0.65625</v>
      </c>
      <c r="K2075" s="310">
        <f t="shared" si="4"/>
        <v>46129</v>
      </c>
      <c r="L2075" s="317">
        <f t="array" ref="L2075">(XLOOKUP(D2075,Roster!F:F,Roster!D:D,"",0))</f>
        <v>7</v>
      </c>
      <c r="M2075" s="317" t="str">
        <f t="array" ref="M2075">XLOOKUP(D2075,Roster!F:F,Roster!E:E)</f>
        <v>Tickets</v>
      </c>
      <c r="N2075" s="317" t="str">
        <f t="shared" ref="N2075:P2075" si="2107">LEFT(H2075,5)</f>
        <v>10:00</v>
      </c>
      <c r="O2075" s="317" t="str">
        <f t="shared" si="2107"/>
        <v>12:50</v>
      </c>
      <c r="P2075" s="317" t="str">
        <f t="shared" si="2107"/>
        <v>15:45</v>
      </c>
      <c r="Q2075" s="318">
        <f t="shared" si="2083"/>
        <v>46129.41667</v>
      </c>
      <c r="R2075" s="318">
        <f t="shared" si="2084"/>
        <v>46129.53472</v>
      </c>
      <c r="S2075" s="318">
        <f t="shared" si="8"/>
        <v>46129.65625</v>
      </c>
    </row>
    <row r="2076">
      <c r="A2076" s="14" t="str">
        <f t="shared" si="1"/>
        <v>C137646129</v>
      </c>
      <c r="B2076" s="185" t="str">
        <f t="array" ref="B2076">IF(F2076="VL","",IF(F2076="Free","Free",XLOOKUP(D2076,Roster!T:T,Roster!S:S,"",0)))</f>
        <v/>
      </c>
      <c r="C2076" s="313">
        <v>46129.0</v>
      </c>
      <c r="D2076" s="314" t="s">
        <v>151</v>
      </c>
      <c r="E2076" s="307" t="str">
        <f t="array" ref="E2076">(XLOOKUP(D2076,Roster!F:F,Roster!B:B,"",0))</f>
        <v>Sebastian Quiroz</v>
      </c>
      <c r="F2076" s="315" t="str">
        <f t="array" ref="F2076">IF(B2076=100,"Free",TEXT(XLOOKUP($D2076,OperationVoice!$A:$A,OperationVoice!W:W,XLOOKUP($D2076,OperationTickets!$A:$A,OperationTickets!W:W,"",0)),"hh:mm"))</f>
        <v>08:00</v>
      </c>
      <c r="G2076" s="309">
        <f t="shared" si="3"/>
        <v>0.7083333333</v>
      </c>
      <c r="H2076" s="316" t="str">
        <f t="array" ref="H2076">XLOOKUP(B2076,Roster!L:L,Roster!N:N,XLOOKUP(D2076,TicketsBreak!A:A,TicketsBreak!E:E,"",0),0)</f>
        <v/>
      </c>
      <c r="I2076" s="316" t="str">
        <f t="array" ref="I2076">XLOOKUP(B2076,Roster!L:L,Roster!O:O,XLOOKUP(D2076,TicketsBreak!A:A,TicketsBreak!F:F,"",0),0)</f>
        <v/>
      </c>
      <c r="J2076" s="316" t="str">
        <f t="array" ref="J2076">XLOOKUP(B2076,Roster!L:L,Roster!P:P,XLOOKUP(D2076,TicketsBreak!A:A,TicketsBreak!G:G,"",0),0)</f>
        <v/>
      </c>
      <c r="K2076" s="310">
        <f t="shared" si="4"/>
        <v>46129</v>
      </c>
      <c r="L2076" s="317">
        <f t="array" ref="L2076">(XLOOKUP(D2076,Roster!F:F,Roster!D:D,"",0))</f>
        <v>31</v>
      </c>
      <c r="M2076" s="317" t="str">
        <f t="array" ref="M2076">XLOOKUP(D2076,Roster!F:F,Roster!E:E)</f>
        <v>Tickets</v>
      </c>
      <c r="N2076" s="317" t="str">
        <f t="shared" ref="N2076:P2076" si="2108">LEFT(H2076,5)</f>
        <v/>
      </c>
      <c r="O2076" s="317" t="str">
        <f t="shared" si="2108"/>
        <v/>
      </c>
      <c r="P2076" s="317" t="str">
        <f t="shared" si="2108"/>
        <v/>
      </c>
      <c r="Q2076" s="318" t="str">
        <f t="shared" si="2083"/>
        <v/>
      </c>
      <c r="R2076" s="318" t="str">
        <f t="shared" si="2084"/>
        <v/>
      </c>
      <c r="S2076" s="318" t="str">
        <f t="shared" si="8"/>
        <v/>
      </c>
    </row>
    <row r="2077">
      <c r="A2077" s="14" t="str">
        <f t="shared" si="1"/>
        <v>C72646129</v>
      </c>
      <c r="B2077" s="185" t="str">
        <f t="array" ref="B2077">IF(F2077="VL","",IF(F2077="Free","Free",XLOOKUP(D2077,Roster!T:T,Roster!S:S,"",0)))</f>
        <v/>
      </c>
      <c r="C2077" s="313">
        <v>46129.0</v>
      </c>
      <c r="D2077" s="314" t="s">
        <v>185</v>
      </c>
      <c r="E2077" s="307" t="str">
        <f t="array" ref="E2077">(XLOOKUP(D2077,Roster!F:F,Roster!B:B,"",0))</f>
        <v>Sebastian Rodriguez</v>
      </c>
      <c r="F2077" s="315" t="str">
        <f t="array" ref="F2077">IF(B2077=100,"Free",TEXT(XLOOKUP($D2077,OperationVoice!$A:$A,OperationVoice!W:W,XLOOKUP($D2077,OperationTickets!$A:$A,OperationTickets!W:W,"",0)),"hh:mm"))</f>
        <v>08:00</v>
      </c>
      <c r="G2077" s="309">
        <f t="shared" si="3"/>
        <v>0.7083333333</v>
      </c>
      <c r="H2077" s="316">
        <f t="array" ref="H2077">XLOOKUP(B2077,Roster!L:L,Roster!N:N,XLOOKUP(D2077,TicketsBreak!A:A,TicketsBreak!E:E,"",0),0)</f>
        <v>0.4166666667</v>
      </c>
      <c r="I2077" s="316">
        <f t="array" ref="I2077">XLOOKUP(B2077,Roster!L:L,Roster!O:O,XLOOKUP(D2077,TicketsBreak!A:A,TicketsBreak!F:F,"",0),0)</f>
        <v>0.5625</v>
      </c>
      <c r="J2077" s="316">
        <f t="array" ref="J2077">XLOOKUP(B2077,Roster!L:L,Roster!P:P,XLOOKUP(D2077,TicketsBreak!A:A,TicketsBreak!G:G,"",0),0)</f>
        <v>0.6458333333</v>
      </c>
      <c r="K2077" s="310">
        <f t="shared" si="4"/>
        <v>46129</v>
      </c>
      <c r="L2077" s="317">
        <f t="array" ref="L2077">(XLOOKUP(D2077,Roster!F:F,Roster!D:D,"",0))</f>
        <v>7</v>
      </c>
      <c r="M2077" s="317" t="str">
        <f t="array" ref="M2077">XLOOKUP(D2077,Roster!F:F,Roster!E:E)</f>
        <v>Tickets</v>
      </c>
      <c r="N2077" s="317" t="str">
        <f t="shared" ref="N2077:P2077" si="2109">LEFT(H2077,5)</f>
        <v>10:00</v>
      </c>
      <c r="O2077" s="317" t="str">
        <f t="shared" si="2109"/>
        <v>13:30</v>
      </c>
      <c r="P2077" s="317" t="str">
        <f t="shared" si="2109"/>
        <v>15:30</v>
      </c>
      <c r="Q2077" s="318">
        <f t="shared" si="2083"/>
        <v>46129.41667</v>
      </c>
      <c r="R2077" s="318">
        <f t="shared" si="2084"/>
        <v>46129.5625</v>
      </c>
      <c r="S2077" s="318">
        <f t="shared" si="8"/>
        <v>46129.64583</v>
      </c>
    </row>
    <row r="2078">
      <c r="A2078" s="14" t="str">
        <f t="shared" si="1"/>
        <v>C60246129</v>
      </c>
      <c r="B2078" s="185" t="str">
        <f t="array" ref="B2078">IF(F2078="VL","",IF(F2078="Free","Free",XLOOKUP(D2078,Roster!T:T,Roster!S:S,"",0)))</f>
        <v/>
      </c>
      <c r="C2078" s="313">
        <v>46129.0</v>
      </c>
      <c r="D2078" s="314" t="s">
        <v>170</v>
      </c>
      <c r="E2078" s="307" t="str">
        <f t="array" ref="E2078">(XLOOKUP(D2078,Roster!F:F,Roster!B:B,"",0))</f>
        <v>Sebastian Torres</v>
      </c>
      <c r="F2078" s="315" t="str">
        <f t="array" ref="F2078">IF(B2078=100,"Free",TEXT(XLOOKUP($D2078,OperationVoice!$A:$A,OperationVoice!W:W,XLOOKUP($D2078,OperationTickets!$A:$A,OperationTickets!W:W,"",0)),"hh:mm"))</f>
        <v>08:00</v>
      </c>
      <c r="G2078" s="309">
        <f t="shared" si="3"/>
        <v>0.7083333333</v>
      </c>
      <c r="H2078" s="316">
        <f t="array" ref="H2078">XLOOKUP(B2078,Roster!L:L,Roster!N:N,XLOOKUP(D2078,TicketsBreak!A:A,TicketsBreak!E:E,"",0),0)</f>
        <v>0.4583333333</v>
      </c>
      <c r="I2078" s="316">
        <f t="array" ref="I2078">XLOOKUP(B2078,Roster!L:L,Roster!O:O,XLOOKUP(D2078,TicketsBreak!A:A,TicketsBreak!F:F,"",0),0)</f>
        <v>0.5833333333</v>
      </c>
      <c r="J2078" s="316">
        <f t="array" ref="J2078">XLOOKUP(B2078,Roster!L:L,Roster!P:P,XLOOKUP(D2078,TicketsBreak!A:A,TicketsBreak!G:G,"",0),0)</f>
        <v>0.65625</v>
      </c>
      <c r="K2078" s="310">
        <f t="shared" si="4"/>
        <v>46129</v>
      </c>
      <c r="L2078" s="317">
        <f t="array" ref="L2078">(XLOOKUP(D2078,Roster!F:F,Roster!D:D,"",0))</f>
        <v>8</v>
      </c>
      <c r="M2078" s="317" t="str">
        <f t="array" ref="M2078">XLOOKUP(D2078,Roster!F:F,Roster!E:E)</f>
        <v>Tickets</v>
      </c>
      <c r="N2078" s="317" t="str">
        <f t="shared" ref="N2078:P2078" si="2110">LEFT(H2078,5)</f>
        <v>11:00</v>
      </c>
      <c r="O2078" s="317" t="str">
        <f t="shared" si="2110"/>
        <v>14:00</v>
      </c>
      <c r="P2078" s="317" t="str">
        <f t="shared" si="2110"/>
        <v>15:45</v>
      </c>
      <c r="Q2078" s="318">
        <f t="shared" si="2083"/>
        <v>46129.45833</v>
      </c>
      <c r="R2078" s="318">
        <f t="shared" si="2084"/>
        <v>46129.58333</v>
      </c>
      <c r="S2078" s="318">
        <f t="shared" si="8"/>
        <v>46129.65625</v>
      </c>
    </row>
    <row r="2079">
      <c r="A2079" s="14" t="str">
        <f t="shared" si="1"/>
        <v>C143146129</v>
      </c>
      <c r="B2079" s="185">
        <f t="array" ref="B2079">IF(F2079="VL","",IF(F2079="Free","Free",XLOOKUP(D2079,Roster!T:T,Roster!S:S,"",0)))</f>
        <v>151</v>
      </c>
      <c r="C2079" s="313">
        <v>46129.0</v>
      </c>
      <c r="D2079" s="314" t="s">
        <v>74</v>
      </c>
      <c r="E2079" s="307" t="str">
        <f t="array" ref="E2079">(XLOOKUP(D2079,Roster!F:F,Roster!B:B,"",0))</f>
        <v>Sebastian Torres Gomez</v>
      </c>
      <c r="F2079" s="315" t="str">
        <f t="array" ref="F2079">IF(B2079=100,"Free",TEXT(XLOOKUP($D2079,OperationVoice!$A:$A,OperationVoice!W:W,XLOOKUP($D2079,OperationTickets!$A:$A,OperationTickets!W:W,"",0)),"hh:mm"))</f>
        <v>11:00</v>
      </c>
      <c r="G2079" s="309">
        <f t="shared" si="3"/>
        <v>0.8333333333</v>
      </c>
      <c r="H2079" s="316" t="str">
        <f t="array" ref="H2079">XLOOKUP(B2079,Roster!L:L,Roster!N:N,XLOOKUP(D2079,TicketsBreak!A:A,TicketsBreak!E:E,"",0),0)</f>
        <v>12:15 - 12:30</v>
      </c>
      <c r="I2079" s="316" t="str">
        <f t="array" ref="I2079">XLOOKUP(B2079,Roster!L:L,Roster!O:O,XLOOKUP(D2079,TicketsBreak!A:A,TicketsBreak!F:F,"",0),0)</f>
        <v>14:00 - 14:30</v>
      </c>
      <c r="J2079" s="316" t="str">
        <f t="array" ref="J2079">XLOOKUP(B2079,Roster!L:L,Roster!P:P,XLOOKUP(D2079,TicketsBreak!A:A,TicketsBreak!G:G,"",0),0)</f>
        <v>17:15 - 17:30</v>
      </c>
      <c r="K2079" s="310">
        <f t="shared" si="4"/>
        <v>46129</v>
      </c>
      <c r="L2079" s="317">
        <f t="array" ref="L2079">(XLOOKUP(D2079,Roster!F:F,Roster!D:D,"",0))</f>
        <v>32</v>
      </c>
      <c r="M2079" s="317" t="str">
        <f t="array" ref="M2079">XLOOKUP(D2079,Roster!F:F,Roster!E:E)</f>
        <v>Voice</v>
      </c>
      <c r="N2079" s="317" t="str">
        <f t="shared" ref="N2079:P2079" si="2111">LEFT(H2079,5)</f>
        <v>12:15</v>
      </c>
      <c r="O2079" s="317" t="str">
        <f t="shared" si="2111"/>
        <v>14:00</v>
      </c>
      <c r="P2079" s="317" t="str">
        <f t="shared" si="2111"/>
        <v>17:15</v>
      </c>
      <c r="Q2079" s="318">
        <f t="shared" si="2083"/>
        <v>46129.51042</v>
      </c>
      <c r="R2079" s="318">
        <f t="shared" si="2084"/>
        <v>46129.58333</v>
      </c>
      <c r="S2079" s="318">
        <f t="shared" si="8"/>
        <v>46129.71875</v>
      </c>
    </row>
    <row r="2080">
      <c r="A2080" s="14" t="str">
        <f t="shared" si="1"/>
        <v>C149146129</v>
      </c>
      <c r="B2080" s="185" t="str">
        <f t="array" ref="B2080">IF(F2080="VL","",IF(F2080="Free","Free",XLOOKUP(D2080,Roster!T:T,Roster!S:S,"",0)))</f>
        <v/>
      </c>
      <c r="C2080" s="313">
        <v>46129.0</v>
      </c>
      <c r="D2080" s="314" t="s">
        <v>315</v>
      </c>
      <c r="E2080" s="307" t="str">
        <f t="array" ref="E2080">(XLOOKUP(D2080,Roster!F:F,Roster!B:B,"",0))</f>
        <v>Sebastian Vanegas</v>
      </c>
      <c r="F2080" s="315" t="str">
        <f t="array" ref="F2080">IF(B2080=100,"Free",TEXT(XLOOKUP($D2080,OperationVoice!$A:$A,OperationVoice!W:W,XLOOKUP($D2080,OperationTickets!$A:$A,OperationTickets!W:W,"",0)),"hh:mm"))</f>
        <v/>
      </c>
      <c r="G2080" s="309" t="str">
        <f t="shared" si="3"/>
        <v/>
      </c>
      <c r="H2080" s="316" t="str">
        <f t="array" ref="H2080">XLOOKUP(B2080,Roster!L:L,Roster!N:N,XLOOKUP(D2080,TicketsBreak!A:A,TicketsBreak!E:E,"",0),0)</f>
        <v/>
      </c>
      <c r="I2080" s="316" t="str">
        <f t="array" ref="I2080">XLOOKUP(B2080,Roster!L:L,Roster!O:O,XLOOKUP(D2080,TicketsBreak!A:A,TicketsBreak!F:F,"",0),0)</f>
        <v/>
      </c>
      <c r="J2080" s="316" t="str">
        <f t="array" ref="J2080">XLOOKUP(B2080,Roster!L:L,Roster!P:P,XLOOKUP(D2080,TicketsBreak!A:A,TicketsBreak!G:G,"",0),0)</f>
        <v/>
      </c>
      <c r="K2080" s="310">
        <f t="shared" si="4"/>
        <v>46129</v>
      </c>
      <c r="L2080" s="317">
        <f t="array" ref="L2080">(XLOOKUP(D2080,Roster!F:F,Roster!D:D,"",0))</f>
        <v>34</v>
      </c>
      <c r="M2080" s="317" t="str">
        <f t="array" ref="M2080">XLOOKUP(D2080,Roster!F:F,Roster!E:E)</f>
        <v>Voice</v>
      </c>
      <c r="N2080" s="317" t="str">
        <f t="shared" ref="N2080:P2080" si="2112">LEFT(H2080,5)</f>
        <v/>
      </c>
      <c r="O2080" s="317" t="str">
        <f t="shared" si="2112"/>
        <v/>
      </c>
      <c r="P2080" s="317" t="str">
        <f t="shared" si="2112"/>
        <v/>
      </c>
      <c r="Q2080" s="318" t="str">
        <f t="shared" si="2083"/>
        <v/>
      </c>
      <c r="R2080" s="318" t="str">
        <f t="shared" si="2084"/>
        <v/>
      </c>
      <c r="S2080" s="318" t="str">
        <f t="shared" si="8"/>
        <v/>
      </c>
    </row>
    <row r="2081">
      <c r="A2081" s="14" t="str">
        <f t="shared" si="1"/>
        <v>C93746129</v>
      </c>
      <c r="B2081" s="185">
        <f t="array" ref="B2081">IF(F2081="VL","",IF(F2081="Free","Free",XLOOKUP(D2081,Roster!T:T,Roster!S:S,"",0)))</f>
        <v>126</v>
      </c>
      <c r="C2081" s="313">
        <v>46129.0</v>
      </c>
      <c r="D2081" s="314" t="s">
        <v>75</v>
      </c>
      <c r="E2081" s="307" t="str">
        <f t="array" ref="E2081">(XLOOKUP(D2081,Roster!F:F,Roster!B:B,"",0))</f>
        <v>Sebastian Zapata</v>
      </c>
      <c r="F2081" s="315" t="str">
        <f t="array" ref="F2081">IF(B2081=100,"Free",TEXT(XLOOKUP($D2081,OperationVoice!$A:$A,OperationVoice!W:W,XLOOKUP($D2081,OperationTickets!$A:$A,OperationTickets!W:W,"",0)),"hh:mm"))</f>
        <v>08:00</v>
      </c>
      <c r="G2081" s="309">
        <f t="shared" si="3"/>
        <v>0.7083333333</v>
      </c>
      <c r="H2081" s="316" t="str">
        <f t="array" ref="H2081">XLOOKUP(B2081,Roster!L:L,Roster!N:N,XLOOKUP(D2081,TicketsBreak!A:A,TicketsBreak!E:E,"",0),0)</f>
        <v>10:45 - 11:00</v>
      </c>
      <c r="I2081" s="316" t="str">
        <f t="array" ref="I2081">XLOOKUP(B2081,Roster!L:L,Roster!O:O,XLOOKUP(D2081,TicketsBreak!A:A,TicketsBreak!F:F,"",0),0)</f>
        <v>14:00 - 14:30</v>
      </c>
      <c r="J2081" s="316" t="str">
        <f t="array" ref="J2081">XLOOKUP(B2081,Roster!L:L,Roster!P:P,XLOOKUP(D2081,TicketsBreak!A:A,TicketsBreak!G:G,"",0),0)</f>
        <v>15:45 - 16:00</v>
      </c>
      <c r="K2081" s="310">
        <f t="shared" si="4"/>
        <v>46129</v>
      </c>
      <c r="L2081" s="317">
        <f t="array" ref="L2081">(XLOOKUP(D2081,Roster!F:F,Roster!D:D,"",0))</f>
        <v>12</v>
      </c>
      <c r="M2081" s="317" t="str">
        <f t="array" ref="M2081">XLOOKUP(D2081,Roster!F:F,Roster!E:E)</f>
        <v>Voice</v>
      </c>
      <c r="N2081" s="317" t="str">
        <f t="shared" ref="N2081:P2081" si="2113">LEFT(H2081,5)</f>
        <v>10:45</v>
      </c>
      <c r="O2081" s="317" t="str">
        <f t="shared" si="2113"/>
        <v>14:00</v>
      </c>
      <c r="P2081" s="317" t="str">
        <f t="shared" si="2113"/>
        <v>15:45</v>
      </c>
      <c r="Q2081" s="318">
        <f t="shared" si="2083"/>
        <v>46129.44792</v>
      </c>
      <c r="R2081" s="318">
        <f t="shared" si="2084"/>
        <v>46129.58333</v>
      </c>
      <c r="S2081" s="318">
        <f t="shared" si="8"/>
        <v>46129.65625</v>
      </c>
    </row>
    <row r="2082">
      <c r="A2082" s="14" t="str">
        <f t="shared" si="1"/>
        <v>C156546129</v>
      </c>
      <c r="B2082" s="185">
        <f t="array" ref="B2082">IF(F2082="VL","",IF(F2082="Free","Free",XLOOKUP(D2082,Roster!T:T,Roster!S:S,"",0)))</f>
        <v>122</v>
      </c>
      <c r="C2082" s="313">
        <v>46129.0</v>
      </c>
      <c r="D2082" s="314" t="s">
        <v>76</v>
      </c>
      <c r="E2082" s="307" t="str">
        <f t="array" ref="E2082">(XLOOKUP(D2082,Roster!F:F,Roster!B:B,"",0))</f>
        <v>Sergio Rojas</v>
      </c>
      <c r="F2082" s="315" t="str">
        <f t="array" ref="F2082">IF(B2082=100,"Free",TEXT(XLOOKUP($D2082,OperationVoice!$A:$A,OperationVoice!W:W,XLOOKUP($D2082,OperationTickets!$A:$A,OperationTickets!W:W,"",0)),"hh:mm"))</f>
        <v>11:00</v>
      </c>
      <c r="G2082" s="309">
        <f t="shared" si="3"/>
        <v>0.8333333333</v>
      </c>
      <c r="H2082" s="316" t="str">
        <f t="array" ref="H2082">XLOOKUP(B2082,Roster!L:L,Roster!N:N,XLOOKUP(D2082,TicketsBreak!A:A,TicketsBreak!E:E,"",0),0)</f>
        <v>09:30 - 09:45</v>
      </c>
      <c r="I2082" s="316" t="str">
        <f t="array" ref="I2082">XLOOKUP(B2082,Roster!L:L,Roster!O:O,XLOOKUP(D2082,TicketsBreak!A:A,TicketsBreak!F:F,"",0),0)</f>
        <v>12:00 - 12:30</v>
      </c>
      <c r="J2082" s="316" t="str">
        <f t="array" ref="J2082">XLOOKUP(B2082,Roster!L:L,Roster!P:P,XLOOKUP(D2082,TicketsBreak!A:A,TicketsBreak!G:G,"",0),0)</f>
        <v>14:45 - 15:00</v>
      </c>
      <c r="K2082" s="310">
        <f t="shared" si="4"/>
        <v>46129</v>
      </c>
      <c r="L2082" s="317">
        <f t="array" ref="L2082">(XLOOKUP(D2082,Roster!F:F,Roster!D:D,"",0))</f>
        <v>38</v>
      </c>
      <c r="M2082" s="317" t="str">
        <f t="array" ref="M2082">XLOOKUP(D2082,Roster!F:F,Roster!E:E)</f>
        <v>Voice</v>
      </c>
      <c r="N2082" s="317" t="str">
        <f t="shared" ref="N2082:P2082" si="2114">LEFT(H2082,5)</f>
        <v>09:30</v>
      </c>
      <c r="O2082" s="317" t="str">
        <f t="shared" si="2114"/>
        <v>12:00</v>
      </c>
      <c r="P2082" s="317" t="str">
        <f t="shared" si="2114"/>
        <v>14:45</v>
      </c>
      <c r="Q2082" s="318">
        <f t="shared" si="2083"/>
        <v>46129.39583</v>
      </c>
      <c r="R2082" s="318">
        <f t="shared" si="2084"/>
        <v>46129.5</v>
      </c>
      <c r="S2082" s="318">
        <f t="shared" si="8"/>
        <v>46129.61458</v>
      </c>
    </row>
    <row r="2083">
      <c r="A2083" s="14" t="str">
        <f t="shared" si="1"/>
        <v>C147846129</v>
      </c>
      <c r="B2083" s="185" t="str">
        <f t="array" ref="B2083">IF(F2083="VL","",IF(F2083="Free","Free",XLOOKUP(D2083,Roster!T:T,Roster!S:S,"",0)))</f>
        <v/>
      </c>
      <c r="C2083" s="313">
        <v>46129.0</v>
      </c>
      <c r="D2083" s="314" t="s">
        <v>186</v>
      </c>
      <c r="E2083" s="307" t="str">
        <f t="array" ref="E2083">(XLOOKUP(D2083,Roster!F:F,Roster!B:B,"",0))</f>
        <v>Simon Atehortua</v>
      </c>
      <c r="F2083" s="315" t="str">
        <f t="array" ref="F2083">IF(B2083=100,"Free",TEXT(XLOOKUP($D2083,OperationVoice!$A:$A,OperationVoice!W:W,XLOOKUP($D2083,OperationTickets!$A:$A,OperationTickets!W:W,"",0)),"hh:mm"))</f>
        <v>07:00</v>
      </c>
      <c r="G2083" s="309">
        <f t="shared" si="3"/>
        <v>0.6666666667</v>
      </c>
      <c r="H2083" s="316" t="str">
        <f t="array" ref="H2083">XLOOKUP(B2083,Roster!L:L,Roster!N:N,XLOOKUP(D2083,TicketsBreak!A:A,TicketsBreak!E:E,"",0),0)</f>
        <v/>
      </c>
      <c r="I2083" s="316" t="str">
        <f t="array" ref="I2083">XLOOKUP(B2083,Roster!L:L,Roster!O:O,XLOOKUP(D2083,TicketsBreak!A:A,TicketsBreak!F:F,"",0),0)</f>
        <v/>
      </c>
      <c r="J2083" s="316" t="str">
        <f t="array" ref="J2083">XLOOKUP(B2083,Roster!L:L,Roster!P:P,XLOOKUP(D2083,TicketsBreak!A:A,TicketsBreak!G:G,"",0),0)</f>
        <v/>
      </c>
      <c r="K2083" s="310">
        <f t="shared" si="4"/>
        <v>46129</v>
      </c>
      <c r="L2083" s="317">
        <f t="array" ref="L2083">(XLOOKUP(D2083,Roster!F:F,Roster!D:D,"",0))</f>
        <v>32</v>
      </c>
      <c r="M2083" s="317" t="str">
        <f t="array" ref="M2083">XLOOKUP(D2083,Roster!F:F,Roster!E:E)</f>
        <v>Tickets</v>
      </c>
      <c r="N2083" s="317" t="str">
        <f t="shared" ref="N2083:P2083" si="2115">LEFT(H2083,5)</f>
        <v/>
      </c>
      <c r="O2083" s="317" t="str">
        <f t="shared" si="2115"/>
        <v/>
      </c>
      <c r="P2083" s="317" t="str">
        <f t="shared" si="2115"/>
        <v/>
      </c>
      <c r="Q2083" s="318" t="str">
        <f t="shared" si="2083"/>
        <v/>
      </c>
      <c r="R2083" s="318" t="str">
        <f t="shared" si="2084"/>
        <v/>
      </c>
      <c r="S2083" s="318" t="str">
        <f t="shared" si="8"/>
        <v/>
      </c>
    </row>
    <row r="2084">
      <c r="A2084" s="14" t="str">
        <f t="shared" si="1"/>
        <v>C148346129</v>
      </c>
      <c r="B2084" s="185">
        <f t="array" ref="B2084">IF(F2084="VL","",IF(F2084="Free","Free",XLOOKUP(D2084,Roster!T:T,Roster!S:S,"",0)))</f>
        <v>152</v>
      </c>
      <c r="C2084" s="313">
        <v>46129.0</v>
      </c>
      <c r="D2084" s="314" t="s">
        <v>77</v>
      </c>
      <c r="E2084" s="307" t="str">
        <f t="array" ref="E2084">(XLOOKUP(D2084,Roster!F:F,Roster!B:B,"",0))</f>
        <v>Simon Zuluaica</v>
      </c>
      <c r="F2084" s="315" t="str">
        <f t="array" ref="F2084">IF(B2084=100,"Free",TEXT(XLOOKUP($D2084,OperationVoice!$A:$A,OperationVoice!W:W,XLOOKUP($D2084,OperationTickets!$A:$A,OperationTickets!W:W,"",0)),"hh:mm"))</f>
        <v>11:00</v>
      </c>
      <c r="G2084" s="309">
        <f t="shared" si="3"/>
        <v>0.8333333333</v>
      </c>
      <c r="H2084" s="316" t="str">
        <f t="array" ref="H2084">XLOOKUP(B2084,Roster!L:L,Roster!N:N,XLOOKUP(D2084,TicketsBreak!A:A,TicketsBreak!E:E,"",0),0)</f>
        <v>12:30 - 12:45</v>
      </c>
      <c r="I2084" s="316" t="str">
        <f t="array" ref="I2084">XLOOKUP(B2084,Roster!L:L,Roster!O:O,XLOOKUP(D2084,TicketsBreak!A:A,TicketsBreak!F:F,"",0),0)</f>
        <v>14:30 - 15:00</v>
      </c>
      <c r="J2084" s="316" t="str">
        <f t="array" ref="J2084">XLOOKUP(B2084,Roster!L:L,Roster!P:P,XLOOKUP(D2084,TicketsBreak!A:A,TicketsBreak!G:G,"",0),0)</f>
        <v>17:30 - 17:45</v>
      </c>
      <c r="K2084" s="310">
        <f t="shared" si="4"/>
        <v>46129</v>
      </c>
      <c r="L2084" s="317">
        <f t="array" ref="L2084">(XLOOKUP(D2084,Roster!F:F,Roster!D:D,"",0))</f>
        <v>34</v>
      </c>
      <c r="M2084" s="317" t="str">
        <f t="array" ref="M2084">XLOOKUP(D2084,Roster!F:F,Roster!E:E)</f>
        <v>Voice</v>
      </c>
      <c r="N2084" s="317" t="str">
        <f t="shared" ref="N2084:P2084" si="2116">LEFT(H2084,5)</f>
        <v>12:30</v>
      </c>
      <c r="O2084" s="317" t="str">
        <f t="shared" si="2116"/>
        <v>14:30</v>
      </c>
      <c r="P2084" s="317" t="str">
        <f t="shared" si="2116"/>
        <v>17:30</v>
      </c>
      <c r="Q2084" s="318">
        <f t="shared" si="2083"/>
        <v>46129.52083</v>
      </c>
      <c r="R2084" s="318">
        <f t="shared" si="2084"/>
        <v>46129.60417</v>
      </c>
      <c r="S2084" s="318">
        <f t="shared" si="8"/>
        <v>46129.72917</v>
      </c>
    </row>
    <row r="2085">
      <c r="A2085" s="14" t="str">
        <f t="shared" si="1"/>
        <v>C154046129</v>
      </c>
      <c r="B2085" s="185">
        <f t="array" ref="B2085">IF(F2085="VL","",IF(F2085="Free","Free",XLOOKUP(D2085,Roster!T:T,Roster!S:S,"",0)))</f>
        <v>122</v>
      </c>
      <c r="C2085" s="313">
        <v>46129.0</v>
      </c>
      <c r="D2085" s="314" t="s">
        <v>78</v>
      </c>
      <c r="E2085" s="307" t="str">
        <f t="array" ref="E2085">(XLOOKUP(D2085,Roster!F:F,Roster!B:B,"",0))</f>
        <v>Tomas Perez</v>
      </c>
      <c r="F2085" s="315" t="str">
        <f t="array" ref="F2085">IF(B2085=100,"Free",TEXT(XLOOKUP($D2085,OperationVoice!$A:$A,OperationVoice!W:W,XLOOKUP($D2085,OperationTickets!$A:$A,OperationTickets!W:W,"",0)),"hh:mm"))</f>
        <v>08:00</v>
      </c>
      <c r="G2085" s="309">
        <f t="shared" si="3"/>
        <v>0.7083333333</v>
      </c>
      <c r="H2085" s="316" t="str">
        <f t="array" ref="H2085">XLOOKUP(B2085,Roster!L:L,Roster!N:N,XLOOKUP(D2085,TicketsBreak!A:A,TicketsBreak!E:E,"",0),0)</f>
        <v>09:30 - 09:45</v>
      </c>
      <c r="I2085" s="316" t="str">
        <f t="array" ref="I2085">XLOOKUP(B2085,Roster!L:L,Roster!O:O,XLOOKUP(D2085,TicketsBreak!A:A,TicketsBreak!F:F,"",0),0)</f>
        <v>12:00 - 12:30</v>
      </c>
      <c r="J2085" s="316" t="str">
        <f t="array" ref="J2085">XLOOKUP(B2085,Roster!L:L,Roster!P:P,XLOOKUP(D2085,TicketsBreak!A:A,TicketsBreak!G:G,"",0),0)</f>
        <v>14:45 - 15:00</v>
      </c>
      <c r="K2085" s="310">
        <f t="shared" si="4"/>
        <v>46129</v>
      </c>
      <c r="L2085" s="317">
        <f t="array" ref="L2085">(XLOOKUP(D2085,Roster!F:F,Roster!D:D,"",0))</f>
        <v>36</v>
      </c>
      <c r="M2085" s="317" t="str">
        <f t="array" ref="M2085">XLOOKUP(D2085,Roster!F:F,Roster!E:E)</f>
        <v>Voice</v>
      </c>
      <c r="N2085" s="317" t="str">
        <f t="shared" ref="N2085:P2085" si="2117">LEFT(H2085,5)</f>
        <v>09:30</v>
      </c>
      <c r="O2085" s="317" t="str">
        <f t="shared" si="2117"/>
        <v>12:00</v>
      </c>
      <c r="P2085" s="317" t="str">
        <f t="shared" si="2117"/>
        <v>14:45</v>
      </c>
      <c r="Q2085" s="318">
        <f t="shared" si="2083"/>
        <v>46129.39583</v>
      </c>
      <c r="R2085" s="318">
        <f t="shared" si="2084"/>
        <v>46129.5</v>
      </c>
      <c r="S2085" s="318">
        <f t="shared" si="8"/>
        <v>46129.61458</v>
      </c>
    </row>
    <row r="2086">
      <c r="A2086" s="14" t="str">
        <f t="shared" si="1"/>
        <v>C154746129</v>
      </c>
      <c r="B2086" s="185">
        <f t="array" ref="B2086">IF(F2086="VL","",IF(F2086="Free","Free",XLOOKUP(D2086,Roster!T:T,Roster!S:S,"",0)))</f>
        <v>121</v>
      </c>
      <c r="C2086" s="313">
        <v>46129.0</v>
      </c>
      <c r="D2086" s="314" t="s">
        <v>79</v>
      </c>
      <c r="E2086" s="307" t="str">
        <f t="array" ref="E2086">(XLOOKUP(D2086,Roster!F:F,Roster!B:B,"",0))</f>
        <v>Valentina Barreto</v>
      </c>
      <c r="F2086" s="315" t="str">
        <f t="array" ref="F2086">IF(B2086=100,"Free",TEXT(XLOOKUP($D2086,OperationVoice!$A:$A,OperationVoice!W:W,XLOOKUP($D2086,OperationTickets!$A:$A,OperationTickets!W:W,"",0)),"hh:mm"))</f>
        <v>08:00</v>
      </c>
      <c r="G2086" s="309">
        <f t="shared" si="3"/>
        <v>0.7083333333</v>
      </c>
      <c r="H2086" s="316" t="str">
        <f t="array" ref="H2086">XLOOKUP(B2086,Roster!L:L,Roster!N:N,XLOOKUP(D2086,TicketsBreak!A:A,TicketsBreak!E:E,"",0),0)</f>
        <v>09:15 - 09:30</v>
      </c>
      <c r="I2086" s="316" t="str">
        <f t="array" ref="I2086">XLOOKUP(B2086,Roster!L:L,Roster!O:O,XLOOKUP(D2086,TicketsBreak!A:A,TicketsBreak!F:F,"",0),0)</f>
        <v>11:30 - 12:00</v>
      </c>
      <c r="J2086" s="316" t="str">
        <f t="array" ref="J2086">XLOOKUP(B2086,Roster!L:L,Roster!P:P,XLOOKUP(D2086,TicketsBreak!A:A,TicketsBreak!G:G,"",0),0)</f>
        <v>14:30 - 14:45</v>
      </c>
      <c r="K2086" s="310">
        <f t="shared" si="4"/>
        <v>46129</v>
      </c>
      <c r="L2086" s="317">
        <f t="array" ref="L2086">(XLOOKUP(D2086,Roster!F:F,Roster!D:D,"",0))</f>
        <v>37</v>
      </c>
      <c r="M2086" s="317" t="str">
        <f t="array" ref="M2086">XLOOKUP(D2086,Roster!F:F,Roster!E:E)</f>
        <v>Voice</v>
      </c>
      <c r="N2086" s="317" t="str">
        <f t="shared" ref="N2086:P2086" si="2118">LEFT(H2086,5)</f>
        <v>09:15</v>
      </c>
      <c r="O2086" s="317" t="str">
        <f t="shared" si="2118"/>
        <v>11:30</v>
      </c>
      <c r="P2086" s="317" t="str">
        <f t="shared" si="2118"/>
        <v>14:30</v>
      </c>
      <c r="Q2086" s="318">
        <f t="shared" si="2083"/>
        <v>46129.38542</v>
      </c>
      <c r="R2086" s="318">
        <f t="shared" si="2084"/>
        <v>46129.47917</v>
      </c>
      <c r="S2086" s="318">
        <f t="shared" si="8"/>
        <v>46129.60417</v>
      </c>
    </row>
    <row r="2087">
      <c r="A2087" s="14" t="str">
        <f t="shared" si="1"/>
        <v>C155346129</v>
      </c>
      <c r="B2087" s="185">
        <f t="array" ref="B2087">IF(F2087="VL","",IF(F2087="Free","Free",XLOOKUP(D2087,Roster!T:T,Roster!S:S,"",0)))</f>
        <v>122</v>
      </c>
      <c r="C2087" s="313">
        <v>46129.0</v>
      </c>
      <c r="D2087" s="314" t="s">
        <v>80</v>
      </c>
      <c r="E2087" s="307" t="str">
        <f t="array" ref="E2087">(XLOOKUP(D2087,Roster!F:F,Roster!B:B,"",0))</f>
        <v>Valentina Castro</v>
      </c>
      <c r="F2087" s="315" t="str">
        <f t="array" ref="F2087">IF(B2087=100,"Free",TEXT(XLOOKUP($D2087,OperationVoice!$A:$A,OperationVoice!W:W,XLOOKUP($D2087,OperationTickets!$A:$A,OperationTickets!W:W,"",0)),"hh:mm"))</f>
        <v>08:00</v>
      </c>
      <c r="G2087" s="309">
        <f t="shared" si="3"/>
        <v>0.7083333333</v>
      </c>
      <c r="H2087" s="316" t="str">
        <f t="array" ref="H2087">XLOOKUP(B2087,Roster!L:L,Roster!N:N,XLOOKUP(D2087,TicketsBreak!A:A,TicketsBreak!E:E,"",0),0)</f>
        <v>09:30 - 09:45</v>
      </c>
      <c r="I2087" s="316" t="str">
        <f t="array" ref="I2087">XLOOKUP(B2087,Roster!L:L,Roster!O:O,XLOOKUP(D2087,TicketsBreak!A:A,TicketsBreak!F:F,"",0),0)</f>
        <v>12:00 - 12:30</v>
      </c>
      <c r="J2087" s="316" t="str">
        <f t="array" ref="J2087">XLOOKUP(B2087,Roster!L:L,Roster!P:P,XLOOKUP(D2087,TicketsBreak!A:A,TicketsBreak!G:G,"",0),0)</f>
        <v>14:45 - 15:00</v>
      </c>
      <c r="K2087" s="310">
        <f t="shared" si="4"/>
        <v>46129</v>
      </c>
      <c r="L2087" s="317">
        <f t="array" ref="L2087">(XLOOKUP(D2087,Roster!F:F,Roster!D:D,"",0))</f>
        <v>37</v>
      </c>
      <c r="M2087" s="317" t="str">
        <f t="array" ref="M2087">XLOOKUP(D2087,Roster!F:F,Roster!E:E)</f>
        <v>Voice</v>
      </c>
      <c r="N2087" s="317" t="str">
        <f t="shared" ref="N2087:P2087" si="2119">LEFT(H2087,5)</f>
        <v>09:30</v>
      </c>
      <c r="O2087" s="317" t="str">
        <f t="shared" si="2119"/>
        <v>12:00</v>
      </c>
      <c r="P2087" s="317" t="str">
        <f t="shared" si="2119"/>
        <v>14:45</v>
      </c>
      <c r="Q2087" s="318">
        <f t="shared" si="2083"/>
        <v>46129.39583</v>
      </c>
      <c r="R2087" s="318">
        <f t="shared" si="2084"/>
        <v>46129.5</v>
      </c>
      <c r="S2087" s="318">
        <f t="shared" si="8"/>
        <v>46129.61458</v>
      </c>
    </row>
    <row r="2088">
      <c r="A2088" s="14" t="str">
        <f t="shared" si="1"/>
        <v>C150246129</v>
      </c>
      <c r="B2088" s="185" t="str">
        <f t="array" ref="B2088">IF(F2088="VL","",IF(F2088="Free","Free",XLOOKUP(D2088,Roster!T:T,Roster!S:S,"",0)))</f>
        <v/>
      </c>
      <c r="C2088" s="313">
        <v>46129.0</v>
      </c>
      <c r="D2088" s="314" t="s">
        <v>316</v>
      </c>
      <c r="E2088" s="307" t="str">
        <f t="array" ref="E2088">(XLOOKUP(D2088,Roster!F:F,Roster!B:B,"",0))</f>
        <v>Valentina Gallego</v>
      </c>
      <c r="F2088" s="315" t="str">
        <f t="array" ref="F2088">IF(B2088=100,"Free",TEXT(XLOOKUP($D2088,OperationVoice!$A:$A,OperationVoice!W:W,XLOOKUP($D2088,OperationTickets!$A:$A,OperationTickets!W:W,"",0)),"hh:mm"))</f>
        <v/>
      </c>
      <c r="G2088" s="309" t="str">
        <f t="shared" si="3"/>
        <v/>
      </c>
      <c r="H2088" s="316" t="str">
        <f t="array" ref="H2088">XLOOKUP(B2088,Roster!L:L,Roster!N:N,XLOOKUP(D2088,TicketsBreak!A:A,TicketsBreak!E:E,"",0),0)</f>
        <v/>
      </c>
      <c r="I2088" s="316" t="str">
        <f t="array" ref="I2088">XLOOKUP(B2088,Roster!L:L,Roster!O:O,XLOOKUP(D2088,TicketsBreak!A:A,TicketsBreak!F:F,"",0),0)</f>
        <v/>
      </c>
      <c r="J2088" s="316" t="str">
        <f t="array" ref="J2088">XLOOKUP(B2088,Roster!L:L,Roster!P:P,XLOOKUP(D2088,TicketsBreak!A:A,TicketsBreak!G:G,"",0),0)</f>
        <v/>
      </c>
      <c r="K2088" s="310">
        <f t="shared" si="4"/>
        <v>46129</v>
      </c>
      <c r="L2088" s="317">
        <f t="array" ref="L2088">(XLOOKUP(D2088,Roster!F:F,Roster!D:D,"",0))</f>
        <v>35</v>
      </c>
      <c r="M2088" s="317" t="str">
        <f t="array" ref="M2088">XLOOKUP(D2088,Roster!F:F,Roster!E:E)</f>
        <v>Voice</v>
      </c>
      <c r="N2088" s="317" t="str">
        <f t="shared" ref="N2088:P2088" si="2120">LEFT(H2088,5)</f>
        <v/>
      </c>
      <c r="O2088" s="317" t="str">
        <f t="shared" si="2120"/>
        <v/>
      </c>
      <c r="P2088" s="317" t="str">
        <f t="shared" si="2120"/>
        <v/>
      </c>
      <c r="Q2088" s="318" t="str">
        <f t="shared" si="2083"/>
        <v/>
      </c>
      <c r="R2088" s="318" t="str">
        <f t="shared" si="2084"/>
        <v/>
      </c>
      <c r="S2088" s="318" t="str">
        <f t="shared" si="8"/>
        <v/>
      </c>
    </row>
    <row r="2089">
      <c r="A2089" s="14" t="str">
        <f t="shared" si="1"/>
        <v>C112646129</v>
      </c>
      <c r="B2089" s="185" t="str">
        <f t="array" ref="B2089">IF(F2089="VL","",IF(F2089="Free","Free",XLOOKUP(D2089,Roster!T:T,Roster!S:S,"",0)))</f>
        <v/>
      </c>
      <c r="C2089" s="313">
        <v>46129.0</v>
      </c>
      <c r="D2089" s="314" t="s">
        <v>152</v>
      </c>
      <c r="E2089" s="307" t="str">
        <f t="array" ref="E2089">(XLOOKUP(D2089,Roster!F:F,Roster!B:B,"",0))</f>
        <v>Valery Escobar</v>
      </c>
      <c r="F2089" s="315" t="str">
        <f t="array" ref="F2089">IF(B2089=100,"Free",TEXT(XLOOKUP($D2089,OperationVoice!$A:$A,OperationVoice!W:W,XLOOKUP($D2089,OperationTickets!$A:$A,OperationTickets!W:W,"",0)),"hh:mm"))</f>
        <v>08:00</v>
      </c>
      <c r="G2089" s="309">
        <f t="shared" si="3"/>
        <v>0.7083333333</v>
      </c>
      <c r="H2089" s="316">
        <f t="array" ref="H2089">XLOOKUP(B2089,Roster!L:L,Roster!N:N,XLOOKUP(D2089,TicketsBreak!A:A,TicketsBreak!E:E,"",0),0)</f>
        <v>0.3854166667</v>
      </c>
      <c r="I2089" s="316">
        <f t="array" ref="I2089">XLOOKUP(B2089,Roster!L:L,Roster!O:O,XLOOKUP(D2089,TicketsBreak!A:A,TicketsBreak!F:F,"",0),0)</f>
        <v>0.5</v>
      </c>
      <c r="J2089" s="316">
        <f t="array" ref="J2089">XLOOKUP(B2089,Roster!L:L,Roster!P:P,XLOOKUP(D2089,TicketsBreak!A:A,TicketsBreak!G:G,"",0),0)</f>
        <v>0.6041666667</v>
      </c>
      <c r="K2089" s="310">
        <f t="shared" si="4"/>
        <v>46129</v>
      </c>
      <c r="L2089" s="317">
        <f t="array" ref="L2089">(XLOOKUP(D2089,Roster!F:F,Roster!D:D,"",0))</f>
        <v>21</v>
      </c>
      <c r="M2089" s="317" t="str">
        <f t="array" ref="M2089">XLOOKUP(D2089,Roster!F:F,Roster!E:E)</f>
        <v>Tickets</v>
      </c>
      <c r="N2089" s="317" t="str">
        <f t="shared" ref="N2089:P2089" si="2121">LEFT(H2089,5)</f>
        <v>09:15</v>
      </c>
      <c r="O2089" s="317" t="str">
        <f t="shared" si="2121"/>
        <v>12:00</v>
      </c>
      <c r="P2089" s="317" t="str">
        <f t="shared" si="2121"/>
        <v>14:30</v>
      </c>
      <c r="Q2089" s="318">
        <f t="shared" si="2083"/>
        <v>46129.38542</v>
      </c>
      <c r="R2089" s="318">
        <f t="shared" si="2084"/>
        <v>46129.5</v>
      </c>
      <c r="S2089" s="318">
        <f t="shared" si="8"/>
        <v>46129.60417</v>
      </c>
    </row>
    <row r="2090">
      <c r="A2090" s="14" t="str">
        <f t="shared" si="1"/>
        <v>C155246129</v>
      </c>
      <c r="B2090" s="185" t="str">
        <f t="array" ref="B2090">IF(F2090="VL","",IF(F2090="Free","Free",XLOOKUP(D2090,Roster!T:T,Roster!S:S,"",0)))</f>
        <v>Free</v>
      </c>
      <c r="C2090" s="313">
        <v>46129.0</v>
      </c>
      <c r="D2090" s="314" t="s">
        <v>81</v>
      </c>
      <c r="E2090" s="307" t="str">
        <f t="array" ref="E2090">(XLOOKUP(D2090,Roster!F:F,Roster!B:B,"",0))</f>
        <v>Wendy Machado</v>
      </c>
      <c r="F2090" s="315" t="str">
        <f t="array" ref="F2090">IF(B2090=100,"Free",TEXT(XLOOKUP($D2090,OperationVoice!$A:$A,OperationVoice!W:W,XLOOKUP($D2090,OperationTickets!$A:$A,OperationTickets!W:W,"",0)),"hh:mm"))</f>
        <v>Free</v>
      </c>
      <c r="G2090" s="309" t="str">
        <f t="shared" si="3"/>
        <v>Free</v>
      </c>
      <c r="H2090" s="316" t="str">
        <f t="array" ref="H2090">XLOOKUP(B2090,Roster!L:L,Roster!N:N,XLOOKUP(D2090,TicketsBreak!A:A,TicketsBreak!E:E,"",0),0)</f>
        <v/>
      </c>
      <c r="I2090" s="316" t="str">
        <f t="array" ref="I2090">XLOOKUP(B2090,Roster!L:L,Roster!O:O,XLOOKUP(D2090,TicketsBreak!A:A,TicketsBreak!F:F,"",0),0)</f>
        <v/>
      </c>
      <c r="J2090" s="316" t="str">
        <f t="array" ref="J2090">XLOOKUP(B2090,Roster!L:L,Roster!P:P,XLOOKUP(D2090,TicketsBreak!A:A,TicketsBreak!G:G,"",0),0)</f>
        <v/>
      </c>
      <c r="K2090" s="310">
        <f t="shared" si="4"/>
        <v>46129</v>
      </c>
      <c r="L2090" s="317">
        <f t="array" ref="L2090">(XLOOKUP(D2090,Roster!F:F,Roster!D:D,"",0))</f>
        <v>37</v>
      </c>
      <c r="M2090" s="317" t="str">
        <f t="array" ref="M2090">XLOOKUP(D2090,Roster!F:F,Roster!E:E)</f>
        <v>Voice</v>
      </c>
      <c r="N2090" s="317" t="str">
        <f t="shared" ref="N2090:P2090" si="2122">LEFT(H2090,5)</f>
        <v/>
      </c>
      <c r="O2090" s="317" t="str">
        <f t="shared" si="2122"/>
        <v/>
      </c>
      <c r="P2090" s="317" t="str">
        <f t="shared" si="2122"/>
        <v/>
      </c>
      <c r="Q2090" s="318" t="str">
        <f t="shared" si="2083"/>
        <v/>
      </c>
      <c r="R2090" s="318" t="str">
        <f t="shared" si="2084"/>
        <v/>
      </c>
      <c r="S2090" s="318" t="str">
        <f t="shared" si="8"/>
        <v/>
      </c>
    </row>
    <row r="2091">
      <c r="A2091" s="14" t="str">
        <f t="shared" si="1"/>
        <v>C78646129</v>
      </c>
      <c r="B2091" s="185" t="str">
        <f t="array" ref="B2091">IF(F2091="VL","",IF(F2091="Free","Free",XLOOKUP(D2091,Roster!T:T,Roster!S:S,"",0)))</f>
        <v/>
      </c>
      <c r="C2091" s="313">
        <v>46129.0</v>
      </c>
      <c r="D2091" s="314" t="s">
        <v>136</v>
      </c>
      <c r="E2091" s="307" t="str">
        <f t="array" ref="E2091">(XLOOKUP(D2091,Roster!F:F,Roster!B:B,"",0))</f>
        <v>Wendy Navarro</v>
      </c>
      <c r="F2091" s="315" t="str">
        <f t="array" ref="F2091">IF(B2091=100,"Free",TEXT(XLOOKUP($D2091,OperationVoice!$A:$A,OperationVoice!W:W,XLOOKUP($D2091,OperationTickets!$A:$A,OperationTickets!W:W,"",0)),"hh:mm"))</f>
        <v>08:00</v>
      </c>
      <c r="G2091" s="309">
        <f t="shared" si="3"/>
        <v>0.7083333333</v>
      </c>
      <c r="H2091" s="316">
        <f t="array" ref="H2091">XLOOKUP(B2091,Roster!L:L,Roster!N:N,XLOOKUP(D2091,TicketsBreak!A:A,TicketsBreak!E:E,"",0),0)</f>
        <v>0.4166666667</v>
      </c>
      <c r="I2091" s="316">
        <f t="array" ref="I2091">XLOOKUP(B2091,Roster!L:L,Roster!O:O,XLOOKUP(D2091,TicketsBreak!A:A,TicketsBreak!F:F,"",0),0)</f>
        <v>0.5416666667</v>
      </c>
      <c r="J2091" s="316">
        <f t="array" ref="J2091">XLOOKUP(B2091,Roster!L:L,Roster!P:P,XLOOKUP(D2091,TicketsBreak!A:A,TicketsBreak!G:G,"",0),0)</f>
        <v>0.6458333333</v>
      </c>
      <c r="K2091" s="310">
        <f t="shared" si="4"/>
        <v>46129</v>
      </c>
      <c r="L2091" s="317">
        <f t="array" ref="L2091">(XLOOKUP(D2091,Roster!F:F,Roster!D:D,"",0))</f>
        <v>16</v>
      </c>
      <c r="M2091" s="317" t="str">
        <f t="array" ref="M2091">XLOOKUP(D2091,Roster!F:F,Roster!E:E)</f>
        <v>Tickets</v>
      </c>
      <c r="N2091" s="317" t="str">
        <f t="shared" ref="N2091:P2091" si="2123">LEFT(H2091,5)</f>
        <v>10:00</v>
      </c>
      <c r="O2091" s="317" t="str">
        <f t="shared" si="2123"/>
        <v>13:00</v>
      </c>
      <c r="P2091" s="317" t="str">
        <f t="shared" si="2123"/>
        <v>15:30</v>
      </c>
      <c r="Q2091" s="318">
        <f t="shared" si="2083"/>
        <v>46129.41667</v>
      </c>
      <c r="R2091" s="318">
        <f t="shared" si="2084"/>
        <v>46129.54167</v>
      </c>
      <c r="S2091" s="318">
        <f t="shared" si="8"/>
        <v>46129.64583</v>
      </c>
    </row>
    <row r="2092">
      <c r="A2092" s="14" t="str">
        <f t="shared" si="1"/>
        <v>C153746129</v>
      </c>
      <c r="B2092" s="185">
        <f t="array" ref="B2092">IF(F2092="VL","",IF(F2092="Free","Free",XLOOKUP(D2092,Roster!T:T,Roster!S:S,"",0)))</f>
        <v>135</v>
      </c>
      <c r="C2092" s="313">
        <v>46129.0</v>
      </c>
      <c r="D2092" s="314" t="s">
        <v>82</v>
      </c>
      <c r="E2092" s="307" t="str">
        <f t="array" ref="E2092">(XLOOKUP(D2092,Roster!F:F,Roster!B:B,"",0))</f>
        <v>William Florez</v>
      </c>
      <c r="F2092" s="315" t="str">
        <f t="array" ref="F2092">IF(B2092=100,"Free",TEXT(XLOOKUP($D2092,OperationVoice!$A:$A,OperationVoice!W:W,XLOOKUP($D2092,OperationTickets!$A:$A,OperationTickets!W:W,"",0)),"hh:mm"))</f>
        <v>09:00</v>
      </c>
      <c r="G2092" s="309">
        <f t="shared" si="3"/>
        <v>0.75</v>
      </c>
      <c r="H2092" s="316" t="str">
        <f t="array" ref="H2092">XLOOKUP(B2092,Roster!L:L,Roster!N:N,XLOOKUP(D2092,TicketsBreak!A:A,TicketsBreak!E:E,"",0),0)</f>
        <v>11:15 - 11:30</v>
      </c>
      <c r="I2092" s="316" t="str">
        <f t="array" ref="I2092">XLOOKUP(B2092,Roster!L:L,Roster!O:O,XLOOKUP(D2092,TicketsBreak!A:A,TicketsBreak!F:F,"",0),0)</f>
        <v>14:15 - 14:45</v>
      </c>
      <c r="J2092" s="316" t="str">
        <f t="array" ref="J2092">XLOOKUP(B2092,Roster!L:L,Roster!P:P,XLOOKUP(D2092,TicketsBreak!A:A,TicketsBreak!G:G,"",0),0)</f>
        <v>16:15 - 16:30</v>
      </c>
      <c r="K2092" s="310">
        <f t="shared" si="4"/>
        <v>46129</v>
      </c>
      <c r="L2092" s="317">
        <f t="array" ref="L2092">(XLOOKUP(D2092,Roster!F:F,Roster!D:D,"",0))</f>
        <v>36</v>
      </c>
      <c r="M2092" s="317" t="str">
        <f t="array" ref="M2092">XLOOKUP(D2092,Roster!F:F,Roster!E:E)</f>
        <v>Voice</v>
      </c>
      <c r="N2092" s="317" t="str">
        <f t="shared" ref="N2092:P2092" si="2124">LEFT(H2092,5)</f>
        <v>11:15</v>
      </c>
      <c r="O2092" s="317" t="str">
        <f t="shared" si="2124"/>
        <v>14:15</v>
      </c>
      <c r="P2092" s="317" t="str">
        <f t="shared" si="2124"/>
        <v>16:15</v>
      </c>
      <c r="Q2092" s="318">
        <f t="shared" si="2083"/>
        <v>46129.46875</v>
      </c>
      <c r="R2092" s="318">
        <f t="shared" si="2084"/>
        <v>46129.59375</v>
      </c>
      <c r="S2092" s="318">
        <f t="shared" si="8"/>
        <v>46129.67708</v>
      </c>
    </row>
    <row r="2093">
      <c r="A2093" s="14" t="str">
        <f t="shared" si="1"/>
        <v>C135346129</v>
      </c>
      <c r="B2093" s="185">
        <f t="array" ref="B2093">IF(F2093="VL","",IF(F2093="Free","Free",XLOOKUP(D2093,Roster!T:T,Roster!S:S,"",0)))</f>
        <v>121</v>
      </c>
      <c r="C2093" s="313">
        <v>46129.0</v>
      </c>
      <c r="D2093" s="314" t="s">
        <v>83</v>
      </c>
      <c r="E2093" s="307" t="str">
        <f t="array" ref="E2093">(XLOOKUP(D2093,Roster!F:F,Roster!B:B,"",0))</f>
        <v>Wilson Martinez</v>
      </c>
      <c r="F2093" s="315" t="str">
        <f t="array" ref="F2093">IF(B2093=100,"Free",TEXT(XLOOKUP($D2093,OperationVoice!$A:$A,OperationVoice!W:W,XLOOKUP($D2093,OperationTickets!$A:$A,OperationTickets!W:W,"",0)),"hh:mm"))</f>
        <v>08:00</v>
      </c>
      <c r="G2093" s="309">
        <f t="shared" si="3"/>
        <v>0.7083333333</v>
      </c>
      <c r="H2093" s="316" t="str">
        <f t="array" ref="H2093">XLOOKUP(B2093,Roster!L:L,Roster!N:N,XLOOKUP(D2093,TicketsBreak!A:A,TicketsBreak!E:E,"",0),0)</f>
        <v>09:15 - 09:30</v>
      </c>
      <c r="I2093" s="316" t="str">
        <f t="array" ref="I2093">XLOOKUP(B2093,Roster!L:L,Roster!O:O,XLOOKUP(D2093,TicketsBreak!A:A,TicketsBreak!F:F,"",0),0)</f>
        <v>11:30 - 12:00</v>
      </c>
      <c r="J2093" s="316" t="str">
        <f t="array" ref="J2093">XLOOKUP(B2093,Roster!L:L,Roster!P:P,XLOOKUP(D2093,TicketsBreak!A:A,TicketsBreak!G:G,"",0),0)</f>
        <v>14:30 - 14:45</v>
      </c>
      <c r="K2093" s="310">
        <f t="shared" si="4"/>
        <v>46129</v>
      </c>
      <c r="L2093" s="317">
        <f t="array" ref="L2093">(XLOOKUP(D2093,Roster!F:F,Roster!D:D,"",0))</f>
        <v>30</v>
      </c>
      <c r="M2093" s="317" t="str">
        <f t="array" ref="M2093">XLOOKUP(D2093,Roster!F:F,Roster!E:E)</f>
        <v>Voice</v>
      </c>
      <c r="N2093" s="317" t="str">
        <f t="shared" ref="N2093:P2093" si="2125">LEFT(H2093,5)</f>
        <v>09:15</v>
      </c>
      <c r="O2093" s="317" t="str">
        <f t="shared" si="2125"/>
        <v>11:30</v>
      </c>
      <c r="P2093" s="317" t="str">
        <f t="shared" si="2125"/>
        <v>14:30</v>
      </c>
      <c r="Q2093" s="318">
        <f t="shared" si="2083"/>
        <v>46129.38542</v>
      </c>
      <c r="R2093" s="318">
        <f t="shared" si="2084"/>
        <v>46129.47917</v>
      </c>
      <c r="S2093" s="318">
        <f t="shared" si="8"/>
        <v>46129.60417</v>
      </c>
    </row>
    <row r="2094">
      <c r="A2094" s="14" t="str">
        <f t="shared" si="1"/>
        <v>C117346129</v>
      </c>
      <c r="B2094" s="185">
        <f t="array" ref="B2094">IF(F2094="VL","",IF(F2094="Free","Free",XLOOKUP(D2094,Roster!T:T,Roster!S:S,"",0)))</f>
        <v>122</v>
      </c>
      <c r="C2094" s="313">
        <v>46129.0</v>
      </c>
      <c r="D2094" s="314" t="s">
        <v>84</v>
      </c>
      <c r="E2094" s="307" t="str">
        <f t="array" ref="E2094">(XLOOKUP(D2094,Roster!F:F,Roster!B:B,"",0))</f>
        <v>Yaidy Mosquera</v>
      </c>
      <c r="F2094" s="315" t="str">
        <f t="array" ref="F2094">IF(B2094=100,"Free",TEXT(XLOOKUP($D2094,OperationVoice!$A:$A,OperationVoice!W:W,XLOOKUP($D2094,OperationTickets!$A:$A,OperationTickets!W:W,"",0)),"hh:mm"))</f>
        <v>08:00</v>
      </c>
      <c r="G2094" s="309">
        <f t="shared" si="3"/>
        <v>0.7083333333</v>
      </c>
      <c r="H2094" s="316" t="str">
        <f t="array" ref="H2094">XLOOKUP(B2094,Roster!L:L,Roster!N:N,XLOOKUP(D2094,TicketsBreak!A:A,TicketsBreak!E:E,"",0),0)</f>
        <v>09:30 - 09:45</v>
      </c>
      <c r="I2094" s="316" t="str">
        <f t="array" ref="I2094">XLOOKUP(B2094,Roster!L:L,Roster!O:O,XLOOKUP(D2094,TicketsBreak!A:A,TicketsBreak!F:F,"",0),0)</f>
        <v>12:00 - 12:30</v>
      </c>
      <c r="J2094" s="316" t="str">
        <f t="array" ref="J2094">XLOOKUP(B2094,Roster!L:L,Roster!P:P,XLOOKUP(D2094,TicketsBreak!A:A,TicketsBreak!G:G,"",0),0)</f>
        <v>14:45 - 15:00</v>
      </c>
      <c r="K2094" s="310">
        <f t="shared" si="4"/>
        <v>46129</v>
      </c>
      <c r="L2094" s="317">
        <f t="array" ref="L2094">(XLOOKUP(D2094,Roster!F:F,Roster!D:D,"",0))</f>
        <v>24</v>
      </c>
      <c r="M2094" s="317" t="str">
        <f t="array" ref="M2094">XLOOKUP(D2094,Roster!F:F,Roster!E:E)</f>
        <v>Voice</v>
      </c>
      <c r="N2094" s="317" t="str">
        <f t="shared" ref="N2094:P2094" si="2126">LEFT(H2094,5)</f>
        <v>09:30</v>
      </c>
      <c r="O2094" s="317" t="str">
        <f t="shared" si="2126"/>
        <v>12:00</v>
      </c>
      <c r="P2094" s="317" t="str">
        <f t="shared" si="2126"/>
        <v>14:45</v>
      </c>
      <c r="Q2094" s="318">
        <f t="shared" si="2083"/>
        <v>46129.39583</v>
      </c>
      <c r="R2094" s="318">
        <f t="shared" si="2084"/>
        <v>46129.5</v>
      </c>
      <c r="S2094" s="318">
        <f t="shared" si="8"/>
        <v>46129.61458</v>
      </c>
    </row>
    <row r="2095">
      <c r="A2095" s="14" t="str">
        <f t="shared" si="1"/>
        <v>C110846129</v>
      </c>
      <c r="B2095" s="185" t="str">
        <f t="array" ref="B2095">IF(F2095="VL","",IF(F2095="Free","Free",XLOOKUP(D2095,Roster!T:T,Roster!S:S,"",0)))</f>
        <v/>
      </c>
      <c r="C2095" s="313">
        <v>46129.0</v>
      </c>
      <c r="D2095" s="314" t="s">
        <v>187</v>
      </c>
      <c r="E2095" s="307" t="str">
        <f t="array" ref="E2095">(XLOOKUP(D2095,Roster!F:F,Roster!B:B,"",0))</f>
        <v>Yeiner Tapias</v>
      </c>
      <c r="F2095" s="315" t="str">
        <f t="array" ref="F2095">IF(B2095=100,"Free",TEXT(XLOOKUP($D2095,OperationVoice!$A:$A,OperationVoice!W:W,XLOOKUP($D2095,OperationTickets!$A:$A,OperationTickets!W:W,"",0)),"hh:mm"))</f>
        <v>08:00</v>
      </c>
      <c r="G2095" s="309">
        <f t="shared" si="3"/>
        <v>0.7083333333</v>
      </c>
      <c r="H2095" s="316">
        <f t="array" ref="H2095">XLOOKUP(B2095,Roster!L:L,Roster!N:N,XLOOKUP(D2095,TicketsBreak!A:A,TicketsBreak!E:E,"",0),0)</f>
        <v>0.3958333333</v>
      </c>
      <c r="I2095" s="316">
        <f t="array" ref="I2095">XLOOKUP(B2095,Roster!L:L,Roster!O:O,XLOOKUP(D2095,TicketsBreak!A:A,TicketsBreak!F:F,"",0),0)</f>
        <v>0.5208333333</v>
      </c>
      <c r="J2095" s="316">
        <f t="array" ref="J2095">XLOOKUP(B2095,Roster!L:L,Roster!P:P,XLOOKUP(D2095,TicketsBreak!A:A,TicketsBreak!G:G,"",0),0)</f>
        <v>0.6145833333</v>
      </c>
      <c r="K2095" s="310">
        <f t="shared" si="4"/>
        <v>46129</v>
      </c>
      <c r="L2095" s="317">
        <f t="array" ref="L2095">(XLOOKUP(D2095,Roster!F:F,Roster!D:D,"",0))</f>
        <v>20</v>
      </c>
      <c r="M2095" s="317" t="str">
        <f t="array" ref="M2095">XLOOKUP(D2095,Roster!F:F,Roster!E:E)</f>
        <v>Tickets</v>
      </c>
      <c r="N2095" s="317" t="str">
        <f t="shared" ref="N2095:P2095" si="2127">LEFT(H2095,5)</f>
        <v>09:30</v>
      </c>
      <c r="O2095" s="317" t="str">
        <f t="shared" si="2127"/>
        <v>12:30</v>
      </c>
      <c r="P2095" s="317" t="str">
        <f t="shared" si="2127"/>
        <v>14:45</v>
      </c>
      <c r="Q2095" s="318">
        <f t="shared" si="2083"/>
        <v>46129.39583</v>
      </c>
      <c r="R2095" s="318">
        <f t="shared" si="2084"/>
        <v>46129.52083</v>
      </c>
      <c r="S2095" s="318">
        <f t="shared" si="8"/>
        <v>46129.61458</v>
      </c>
    </row>
    <row r="2096">
      <c r="A2096" s="14" t="str">
        <f t="shared" si="1"/>
        <v>C153946129</v>
      </c>
      <c r="B2096" s="185">
        <f t="array" ref="B2096">IF(F2096="VL","",IF(F2096="Free","Free",XLOOKUP(D2096,Roster!T:T,Roster!S:S,"",0)))</f>
        <v>123</v>
      </c>
      <c r="C2096" s="313">
        <v>46129.0</v>
      </c>
      <c r="D2096" s="314" t="s">
        <v>85</v>
      </c>
      <c r="E2096" s="307" t="str">
        <f t="array" ref="E2096">(XLOOKUP(D2096,Roster!F:F,Roster!B:B,"",0))</f>
        <v>Yovanny Ceballos</v>
      </c>
      <c r="F2096" s="315" t="str">
        <f t="array" ref="F2096">IF(B2096=100,"Free",TEXT(XLOOKUP($D2096,OperationVoice!$A:$A,OperationVoice!W:W,XLOOKUP($D2096,OperationTickets!$A:$A,OperationTickets!W:W,"",0)),"hh:mm"))</f>
        <v/>
      </c>
      <c r="G2096" s="309" t="str">
        <f t="shared" si="3"/>
        <v/>
      </c>
      <c r="H2096" s="316" t="str">
        <f t="array" ref="H2096">XLOOKUP(B2096,Roster!L:L,Roster!N:N,XLOOKUP(D2096,TicketsBreak!A:A,TicketsBreak!E:E,"",0),0)</f>
        <v>09:45 - 10:00 </v>
      </c>
      <c r="I2096" s="316" t="str">
        <f t="array" ref="I2096">XLOOKUP(B2096,Roster!L:L,Roster!O:O,XLOOKUP(D2096,TicketsBreak!A:A,TicketsBreak!F:F,"",0),0)</f>
        <v>12:30 - 13:00</v>
      </c>
      <c r="J2096" s="316" t="str">
        <f t="array" ref="J2096">XLOOKUP(B2096,Roster!L:L,Roster!P:P,XLOOKUP(D2096,TicketsBreak!A:A,TicketsBreak!G:G,"",0),0)</f>
        <v>15:00 - 15:15</v>
      </c>
      <c r="K2096" s="310">
        <f t="shared" si="4"/>
        <v>46129</v>
      </c>
      <c r="L2096" s="317">
        <f t="array" ref="L2096">(XLOOKUP(D2096,Roster!F:F,Roster!D:D,"",0))</f>
        <v>36</v>
      </c>
      <c r="M2096" s="317" t="str">
        <f t="array" ref="M2096">XLOOKUP(D2096,Roster!F:F,Roster!E:E)</f>
        <v>Voice</v>
      </c>
      <c r="N2096" s="317" t="str">
        <f t="shared" ref="N2096:P2096" si="2128">LEFT(H2096,5)</f>
        <v>09:45</v>
      </c>
      <c r="O2096" s="317" t="str">
        <f t="shared" si="2128"/>
        <v>12:30</v>
      </c>
      <c r="P2096" s="317" t="str">
        <f t="shared" si="2128"/>
        <v>15:00</v>
      </c>
      <c r="Q2096" s="318">
        <f t="shared" si="2083"/>
        <v>46129.40625</v>
      </c>
      <c r="R2096" s="318">
        <f t="shared" si="2084"/>
        <v>46129.52083</v>
      </c>
      <c r="S2096" s="318">
        <f t="shared" si="8"/>
        <v>46129.625</v>
      </c>
    </row>
    <row r="2097">
      <c r="A2097" s="14" t="str">
        <f t="shared" si="1"/>
        <v>46129</v>
      </c>
      <c r="B2097" s="185" t="str">
        <f t="array" ref="B2097">IF(F2097="VL","",IF(F2097="Free","Free",XLOOKUP(D2097,Roster!T:T,Roster!S:S,"",0)))</f>
        <v/>
      </c>
      <c r="C2097" s="313">
        <v>46129.0</v>
      </c>
      <c r="D2097" s="314"/>
      <c r="E2097" s="307" t="str">
        <f t="array" ref="E2097">(XLOOKUP(D2097,Roster!F:F,Roster!B:B,"",0))</f>
        <v/>
      </c>
      <c r="F2097" s="315" t="str">
        <f t="array" ref="F2097">IF(B2097=100,"Free",TEXT(XLOOKUP($D2097,OperationVoice!$A:$A,OperationVoice!W:W,XLOOKUP($D2097,OperationTickets!$A:$A,OperationTickets!W:W,"",0)),"hh:mm"))</f>
        <v/>
      </c>
      <c r="G2097" s="309" t="str">
        <f t="shared" si="3"/>
        <v/>
      </c>
      <c r="H2097" s="316" t="str">
        <f t="array" ref="H2097">XLOOKUP(B2097,Roster!L:L,Roster!N:N,XLOOKUP(D2097,TicketsBreak!A:A,TicketsBreak!E:E,"",0),0)</f>
        <v/>
      </c>
      <c r="I2097" s="316" t="str">
        <f t="array" ref="I2097">XLOOKUP(B2097,Roster!L:L,Roster!O:O,XLOOKUP(D2097,TicketsBreak!A:A,TicketsBreak!F:F,"",0),0)</f>
        <v/>
      </c>
      <c r="J2097" s="316" t="str">
        <f t="array" ref="J2097">XLOOKUP(B2097,Roster!L:L,Roster!P:P,XLOOKUP(D2097,TicketsBreak!A:A,TicketsBreak!G:G,"",0),0)</f>
        <v/>
      </c>
      <c r="K2097" s="310">
        <f t="shared" si="4"/>
        <v>46129</v>
      </c>
      <c r="L2097" s="317" t="str">
        <f t="array" ref="L2097">(XLOOKUP(D2097,Roster!F:F,Roster!D:D,"",0))</f>
        <v/>
      </c>
      <c r="M2097" s="317" t="str">
        <f t="array" ref="M2097">XLOOKUP(D2097,Roster!F:F,Roster!E:E)</f>
        <v>#N/A</v>
      </c>
      <c r="N2097" s="317" t="str">
        <f t="shared" ref="N2097:P2097" si="2129">LEFT(H2097,5)</f>
        <v/>
      </c>
      <c r="O2097" s="317" t="str">
        <f t="shared" si="2129"/>
        <v/>
      </c>
      <c r="P2097" s="317" t="str">
        <f t="shared" si="2129"/>
        <v/>
      </c>
      <c r="Q2097" s="318" t="str">
        <f t="shared" si="2083"/>
        <v/>
      </c>
      <c r="R2097" s="318" t="str">
        <f t="shared" si="2084"/>
        <v/>
      </c>
      <c r="S2097" s="318" t="str">
        <f t="shared" si="8"/>
        <v/>
      </c>
    </row>
    <row r="2098">
      <c r="A2098" s="14" t="str">
        <f t="shared" si="1"/>
        <v>46129</v>
      </c>
      <c r="B2098" s="185" t="str">
        <f t="array" ref="B2098">IF(F2098="VL","",IF(F2098="Free","Free",XLOOKUP(D2098,Roster!T:T,Roster!S:S,"",0)))</f>
        <v/>
      </c>
      <c r="C2098" s="313">
        <v>46129.0</v>
      </c>
      <c r="D2098" s="314"/>
      <c r="E2098" s="307" t="str">
        <f t="array" ref="E2098">(XLOOKUP(D2098,Roster!F:F,Roster!B:B,"",0))</f>
        <v/>
      </c>
      <c r="F2098" s="315" t="str">
        <f t="array" ref="F2098">IF(B2098=100,"Free",TEXT(XLOOKUP($D2098,OperationVoice!$A:$A,OperationVoice!W:W,XLOOKUP($D2098,OperationTickets!$A:$A,OperationTickets!W:W,"",0)),"hh:mm"))</f>
        <v/>
      </c>
      <c r="G2098" s="309" t="str">
        <f t="shared" si="3"/>
        <v/>
      </c>
      <c r="H2098" s="316" t="str">
        <f t="array" ref="H2098">XLOOKUP(B2098,Roster!L:L,Roster!N:N,XLOOKUP(D2098,TicketsBreak!A:A,TicketsBreak!E:E,"",0),0)</f>
        <v/>
      </c>
      <c r="I2098" s="316" t="str">
        <f t="array" ref="I2098">XLOOKUP(B2098,Roster!L:L,Roster!O:O,XLOOKUP(D2098,TicketsBreak!A:A,TicketsBreak!F:F,"",0),0)</f>
        <v/>
      </c>
      <c r="J2098" s="316" t="str">
        <f t="array" ref="J2098">XLOOKUP(B2098,Roster!L:L,Roster!P:P,XLOOKUP(D2098,TicketsBreak!A:A,TicketsBreak!G:G,"",0),0)</f>
        <v/>
      </c>
      <c r="K2098" s="310">
        <f t="shared" si="4"/>
        <v>46129</v>
      </c>
      <c r="L2098" s="317" t="str">
        <f t="array" ref="L2098">(XLOOKUP(D2098,Roster!F:F,Roster!D:D,"",0))</f>
        <v/>
      </c>
      <c r="M2098" s="317" t="str">
        <f t="array" ref="M2098">XLOOKUP(D2098,Roster!F:F,Roster!E:E)</f>
        <v>#N/A</v>
      </c>
      <c r="N2098" s="317" t="str">
        <f t="shared" ref="N2098:P2098" si="2130">LEFT(H2098,5)</f>
        <v/>
      </c>
      <c r="O2098" s="317" t="str">
        <f t="shared" si="2130"/>
        <v/>
      </c>
      <c r="P2098" s="317" t="str">
        <f t="shared" si="2130"/>
        <v/>
      </c>
      <c r="Q2098" s="318" t="str">
        <f t="shared" si="2083"/>
        <v/>
      </c>
      <c r="R2098" s="318" t="str">
        <f t="shared" si="2084"/>
        <v/>
      </c>
      <c r="S2098" s="318" t="str">
        <f t="shared" si="8"/>
        <v/>
      </c>
    </row>
    <row r="2099">
      <c r="A2099" s="14" t="str">
        <f t="shared" si="1"/>
        <v>46129</v>
      </c>
      <c r="B2099" s="185" t="str">
        <f t="array" ref="B2099">IF(F2099="VL","",IF(F2099="Free","Free",XLOOKUP(D2099,Roster!T:T,Roster!S:S,"",0)))</f>
        <v/>
      </c>
      <c r="C2099" s="313">
        <v>46129.0</v>
      </c>
      <c r="D2099" s="314"/>
      <c r="E2099" s="307" t="str">
        <f t="array" ref="E2099">(XLOOKUP(D2099,Roster!F:F,Roster!B:B,"",0))</f>
        <v/>
      </c>
      <c r="F2099" s="315" t="str">
        <f t="array" ref="F2099">IF(B2099=100,"Free",TEXT(XLOOKUP($D2099,OperationVoice!$A:$A,OperationVoice!W:W,XLOOKUP($D2099,OperationTickets!$A:$A,OperationTickets!W:W,"",0)),"hh:mm"))</f>
        <v/>
      </c>
      <c r="G2099" s="309" t="str">
        <f t="shared" si="3"/>
        <v/>
      </c>
      <c r="H2099" s="316" t="str">
        <f t="array" ref="H2099">XLOOKUP(B2099,Roster!L:L,Roster!N:N,XLOOKUP(D2099,TicketsBreak!A:A,TicketsBreak!E:E,"",0),0)</f>
        <v/>
      </c>
      <c r="I2099" s="316" t="str">
        <f t="array" ref="I2099">XLOOKUP(B2099,Roster!L:L,Roster!O:O,XLOOKUP(D2099,TicketsBreak!A:A,TicketsBreak!F:F,"",0),0)</f>
        <v/>
      </c>
      <c r="J2099" s="316" t="str">
        <f t="array" ref="J2099">XLOOKUP(B2099,Roster!L:L,Roster!P:P,XLOOKUP(D2099,TicketsBreak!A:A,TicketsBreak!G:G,"",0),0)</f>
        <v/>
      </c>
      <c r="K2099" s="310">
        <f t="shared" si="4"/>
        <v>46129</v>
      </c>
      <c r="L2099" s="317" t="str">
        <f t="array" ref="L2099">(XLOOKUP(D2099,Roster!F:F,Roster!D:D,"",0))</f>
        <v/>
      </c>
      <c r="M2099" s="317" t="str">
        <f t="array" ref="M2099">XLOOKUP(D2099,Roster!F:F,Roster!E:E)</f>
        <v>#N/A</v>
      </c>
      <c r="N2099" s="317" t="str">
        <f t="shared" ref="N2099:P2099" si="2131">LEFT(H2099,5)</f>
        <v/>
      </c>
      <c r="O2099" s="317" t="str">
        <f t="shared" si="2131"/>
        <v/>
      </c>
      <c r="P2099" s="317" t="str">
        <f t="shared" si="2131"/>
        <v/>
      </c>
      <c r="Q2099" s="318" t="str">
        <f t="shared" si="2083"/>
        <v/>
      </c>
      <c r="R2099" s="318" t="str">
        <f t="shared" si="2084"/>
        <v/>
      </c>
      <c r="S2099" s="318" t="str">
        <f t="shared" si="8"/>
        <v/>
      </c>
    </row>
    <row r="2100">
      <c r="A2100" s="14" t="str">
        <f t="shared" si="1"/>
        <v>46129</v>
      </c>
      <c r="B2100" s="185" t="str">
        <f t="array" ref="B2100">IF(F2100="VL","",IF(F2100="Free","Free",XLOOKUP(D2100,Roster!T:T,Roster!S:S,"",0)))</f>
        <v/>
      </c>
      <c r="C2100" s="313">
        <v>46129.0</v>
      </c>
      <c r="D2100" s="314"/>
      <c r="E2100" s="307" t="str">
        <f t="array" ref="E2100">(XLOOKUP(D2100,Roster!F:F,Roster!B:B,"",0))</f>
        <v/>
      </c>
      <c r="F2100" s="315" t="str">
        <f t="array" ref="F2100">IF(B2100=100,"Free",TEXT(XLOOKUP($D2100,OperationVoice!$A:$A,OperationVoice!W:W,XLOOKUP($D2100,OperationTickets!$A:$A,OperationTickets!W:W,"",0)),"hh:mm"))</f>
        <v/>
      </c>
      <c r="G2100" s="309" t="str">
        <f t="shared" si="3"/>
        <v/>
      </c>
      <c r="H2100" s="316" t="str">
        <f t="array" ref="H2100">XLOOKUP(B2100,Roster!L:L,Roster!N:N,XLOOKUP(D2100,TicketsBreak!A:A,TicketsBreak!E:E,"",0),0)</f>
        <v/>
      </c>
      <c r="I2100" s="316" t="str">
        <f t="array" ref="I2100">XLOOKUP(B2100,Roster!L:L,Roster!O:O,XLOOKUP(D2100,TicketsBreak!A:A,TicketsBreak!F:F,"",0),0)</f>
        <v/>
      </c>
      <c r="J2100" s="316" t="str">
        <f t="array" ref="J2100">XLOOKUP(B2100,Roster!L:L,Roster!P:P,XLOOKUP(D2100,TicketsBreak!A:A,TicketsBreak!G:G,"",0),0)</f>
        <v/>
      </c>
      <c r="K2100" s="310">
        <f t="shared" si="4"/>
        <v>46129</v>
      </c>
      <c r="L2100" s="317" t="str">
        <f t="array" ref="L2100">(XLOOKUP(D2100,Roster!F:F,Roster!D:D,"",0))</f>
        <v/>
      </c>
      <c r="M2100" s="317" t="str">
        <f t="array" ref="M2100">XLOOKUP(D2100,Roster!F:F,Roster!E:E)</f>
        <v>#N/A</v>
      </c>
      <c r="N2100" s="317" t="str">
        <f t="shared" ref="N2100:P2100" si="2132">LEFT(H2100,5)</f>
        <v/>
      </c>
      <c r="O2100" s="317" t="str">
        <f t="shared" si="2132"/>
        <v/>
      </c>
      <c r="P2100" s="317" t="str">
        <f t="shared" si="2132"/>
        <v/>
      </c>
      <c r="Q2100" s="318" t="str">
        <f t="shared" si="2083"/>
        <v/>
      </c>
      <c r="R2100" s="318" t="str">
        <f t="shared" si="2084"/>
        <v/>
      </c>
      <c r="S2100" s="318" t="str">
        <f t="shared" si="8"/>
        <v/>
      </c>
    </row>
    <row r="2101">
      <c r="A2101" s="14" t="str">
        <f t="shared" si="1"/>
        <v>46129</v>
      </c>
      <c r="B2101" s="185" t="str">
        <f t="array" ref="B2101">IF(F2101="VL","",IF(F2101="Free","Free",XLOOKUP(D2101,Roster!T:T,Roster!S:S,"",0)))</f>
        <v/>
      </c>
      <c r="C2101" s="313">
        <v>46129.0</v>
      </c>
      <c r="D2101" s="314"/>
      <c r="E2101" s="307" t="str">
        <f t="array" ref="E2101">(XLOOKUP(D2101,Roster!F:F,Roster!B:B,"",0))</f>
        <v/>
      </c>
      <c r="F2101" s="315" t="str">
        <f t="array" ref="F2101">IF(B2101=100,"Free",TEXT(XLOOKUP($D2101,OperationVoice!$A:$A,OperationVoice!W:W,XLOOKUP($D2101,OperationTickets!$A:$A,OperationTickets!W:W,"",0)),"hh:mm"))</f>
        <v/>
      </c>
      <c r="G2101" s="309" t="str">
        <f t="shared" si="3"/>
        <v/>
      </c>
      <c r="H2101" s="316" t="str">
        <f t="array" ref="H2101">XLOOKUP(B2101,Roster!L:L,Roster!N:N,XLOOKUP(D2101,TicketsBreak!A:A,TicketsBreak!E:E,"",0),0)</f>
        <v/>
      </c>
      <c r="I2101" s="316" t="str">
        <f t="array" ref="I2101">XLOOKUP(B2101,Roster!L:L,Roster!O:O,XLOOKUP(D2101,TicketsBreak!A:A,TicketsBreak!F:F,"",0),0)</f>
        <v/>
      </c>
      <c r="J2101" s="316" t="str">
        <f t="array" ref="J2101">XLOOKUP(B2101,Roster!L:L,Roster!P:P,XLOOKUP(D2101,TicketsBreak!A:A,TicketsBreak!G:G,"",0),0)</f>
        <v/>
      </c>
      <c r="K2101" s="310">
        <f t="shared" si="4"/>
        <v>46129</v>
      </c>
      <c r="L2101" s="317" t="str">
        <f t="array" ref="L2101">(XLOOKUP(D2101,Roster!F:F,Roster!D:D,"",0))</f>
        <v/>
      </c>
      <c r="M2101" s="317" t="str">
        <f t="array" ref="M2101">XLOOKUP(D2101,Roster!F:F,Roster!E:E)</f>
        <v>#N/A</v>
      </c>
      <c r="N2101" s="317" t="str">
        <f t="shared" ref="N2101:P2101" si="2133">LEFT(H2101,5)</f>
        <v/>
      </c>
      <c r="O2101" s="317" t="str">
        <f t="shared" si="2133"/>
        <v/>
      </c>
      <c r="P2101" s="317" t="str">
        <f t="shared" si="2133"/>
        <v/>
      </c>
      <c r="Q2101" s="318" t="str">
        <f t="shared" si="2083"/>
        <v/>
      </c>
      <c r="R2101" s="318" t="str">
        <f t="shared" si="2084"/>
        <v/>
      </c>
      <c r="S2101" s="318" t="str">
        <f t="shared" si="8"/>
        <v/>
      </c>
    </row>
    <row r="2102">
      <c r="A2102" s="14" t="str">
        <f t="shared" si="1"/>
        <v>C81846130</v>
      </c>
      <c r="B2102" s="185" t="str">
        <f t="array" ref="B2102">IF(F2102="VL","",IF(F2102="Free","Free",XLOOKUP(D2102,Roster!T:T,Roster!S:S,"",0)))</f>
        <v>Free</v>
      </c>
      <c r="C2102" s="313">
        <v>46130.0</v>
      </c>
      <c r="D2102" s="314" t="s">
        <v>9</v>
      </c>
      <c r="E2102" s="307" t="str">
        <f t="array" ref="E2102">(XLOOKUP(D2102,Roster!F:F,Roster!B:B,"",0))</f>
        <v>Adriana Moncaleano</v>
      </c>
      <c r="F2102" s="315" t="str">
        <f t="array" ref="F2102">IF(B2102=100,"Free",TEXT(XLOOKUP($D2102,OperationVoice!$A:$A,OperationVoice!X:X,XLOOKUP($D2102,OperationTickets!$A:$A,OperationTickets!X:X,"",0)),"hh:mm"))</f>
        <v>Free</v>
      </c>
      <c r="G2102" s="309" t="str">
        <f t="shared" si="3"/>
        <v>Free</v>
      </c>
      <c r="H2102" s="316" t="str">
        <f t="array" ref="H2102">XLOOKUP(B2102,Roster!L:L,Roster!N:N,XLOOKUP(D2102,TicketsBreak!A:A,TicketsBreak!E:E,"",0),0)</f>
        <v/>
      </c>
      <c r="I2102" s="316" t="str">
        <f t="array" ref="I2102">XLOOKUP(B2102,Roster!L:L,Roster!O:O,XLOOKUP(D2102,TicketsBreak!A:A,TicketsBreak!F:F,"",0),0)</f>
        <v/>
      </c>
      <c r="J2102" s="316" t="str">
        <f t="array" ref="J2102">XLOOKUP(B2102,Roster!L:L,Roster!P:P,XLOOKUP(D2102,TicketsBreak!A:A,TicketsBreak!G:G,"",0),0)</f>
        <v/>
      </c>
      <c r="K2102" s="310">
        <f t="shared" si="4"/>
        <v>46130</v>
      </c>
      <c r="L2102" s="317">
        <f t="array" ref="L2102">(XLOOKUP(D2102,Roster!F:F,Roster!D:D,"",0))</f>
        <v>23</v>
      </c>
      <c r="M2102" s="317" t="str">
        <f t="array" ref="M2102">XLOOKUP(D2102,Roster!F:F,Roster!E:E)</f>
        <v>Voice</v>
      </c>
      <c r="N2102" s="317" t="str">
        <f t="shared" ref="N2102:P2102" si="2134">LEFT(H2102,5)</f>
        <v/>
      </c>
      <c r="O2102" s="317" t="str">
        <f t="shared" si="2134"/>
        <v/>
      </c>
      <c r="P2102" s="317" t="str">
        <f t="shared" si="2134"/>
        <v/>
      </c>
      <c r="Q2102" s="318" t="str">
        <f t="shared" si="2083"/>
        <v/>
      </c>
      <c r="R2102" s="318" t="str">
        <f t="shared" si="2084"/>
        <v/>
      </c>
      <c r="S2102" s="318" t="str">
        <f t="shared" si="8"/>
        <v/>
      </c>
    </row>
    <row r="2103">
      <c r="A2103" s="14" t="str">
        <f t="shared" si="1"/>
        <v>C110746130</v>
      </c>
      <c r="B2103" s="185">
        <f t="array" ref="B2103">IF(F2103="VL","",IF(F2103="Free","Free",XLOOKUP(D2103,Roster!T:T,Roster!S:S,"",0)))</f>
        <v>153</v>
      </c>
      <c r="C2103" s="313">
        <v>46130.0</v>
      </c>
      <c r="D2103" s="314" t="s">
        <v>10</v>
      </c>
      <c r="E2103" s="307" t="str">
        <f t="array" ref="E2103">(XLOOKUP(D2103,Roster!F:F,Roster!B:B,"",0))</f>
        <v>Alejandro Malave</v>
      </c>
      <c r="F2103" s="315" t="str">
        <f t="array" ref="F2103">IF(B2103=100,"Free",TEXT(XLOOKUP($D2103,OperationVoice!$A:$A,OperationVoice!X:X,XLOOKUP($D2103,OperationTickets!$A:$A,OperationTickets!X:X,"",0)),"hh:mm"))</f>
        <v>11:00</v>
      </c>
      <c r="G2103" s="309">
        <f t="shared" si="3"/>
        <v>0.8333333333</v>
      </c>
      <c r="H2103" s="316" t="str">
        <f t="array" ref="H2103">XLOOKUP(B2103,Roster!L:L,Roster!N:N,XLOOKUP(D2103,TicketsBreak!A:A,TicketsBreak!E:E,"",0),0)</f>
        <v>12:45 - 13:00</v>
      </c>
      <c r="I2103" s="316" t="str">
        <f t="array" ref="I2103">XLOOKUP(B2103,Roster!L:L,Roster!O:O,XLOOKUP(D2103,TicketsBreak!A:A,TicketsBreak!F:F,"",0),0)</f>
        <v>15:00 - 15:30</v>
      </c>
      <c r="J2103" s="316" t="str">
        <f t="array" ref="J2103">XLOOKUP(B2103,Roster!L:L,Roster!P:P,XLOOKUP(D2103,TicketsBreak!A:A,TicketsBreak!G:G,"",0),0)</f>
        <v>17:45 - 18:00</v>
      </c>
      <c r="K2103" s="310">
        <f t="shared" si="4"/>
        <v>46130</v>
      </c>
      <c r="L2103" s="317">
        <f t="array" ref="L2103">(XLOOKUP(D2103,Roster!F:F,Roster!D:D,"",0))</f>
        <v>36</v>
      </c>
      <c r="M2103" s="317" t="str">
        <f t="array" ref="M2103">XLOOKUP(D2103,Roster!F:F,Roster!E:E)</f>
        <v>Voice</v>
      </c>
      <c r="N2103" s="317" t="str">
        <f t="shared" ref="N2103:P2103" si="2135">LEFT(H2103,5)</f>
        <v>12:45</v>
      </c>
      <c r="O2103" s="317" t="str">
        <f t="shared" si="2135"/>
        <v>15:00</v>
      </c>
      <c r="P2103" s="317" t="str">
        <f t="shared" si="2135"/>
        <v>17:45</v>
      </c>
      <c r="Q2103" s="318">
        <f t="shared" si="2083"/>
        <v>46130.53125</v>
      </c>
      <c r="R2103" s="318">
        <f t="shared" si="2084"/>
        <v>46130.625</v>
      </c>
      <c r="S2103" s="318">
        <f t="shared" si="8"/>
        <v>46130.73958</v>
      </c>
    </row>
    <row r="2104">
      <c r="A2104" s="14" t="str">
        <f t="shared" si="1"/>
        <v>C69946130</v>
      </c>
      <c r="B2104" s="185" t="str">
        <f t="array" ref="B2104">IF(F2104="VL","",IF(F2104="Free","Free",XLOOKUP(D2104,Roster!T:T,Roster!S:S,"",0)))</f>
        <v>Free</v>
      </c>
      <c r="C2104" s="313">
        <v>46130.0</v>
      </c>
      <c r="D2104" s="314" t="s">
        <v>137</v>
      </c>
      <c r="E2104" s="307" t="str">
        <f t="array" ref="E2104">(XLOOKUP(D2104,Roster!F:F,Roster!B:B,"",0))</f>
        <v>Alexa Arenas</v>
      </c>
      <c r="F2104" s="315" t="str">
        <f t="array" ref="F2104">IF(B2104=100,"Free",TEXT(XLOOKUP($D2104,OperationVoice!$A:$A,OperationVoice!X:X,XLOOKUP($D2104,OperationTickets!$A:$A,OperationTickets!X:X,"",0)),"hh:mm"))</f>
        <v>Free</v>
      </c>
      <c r="G2104" s="309" t="str">
        <f t="shared" si="3"/>
        <v>Free</v>
      </c>
      <c r="H2104" s="316">
        <f t="array" ref="H2104">XLOOKUP(B2104,Roster!L:L,Roster!N:N,XLOOKUP(D2104,TicketsBreak!A:A,TicketsBreak!E:E,"",0),0)</f>
        <v>0.40625</v>
      </c>
      <c r="I2104" s="316">
        <f t="array" ref="I2104">XLOOKUP(B2104,Roster!L:L,Roster!O:O,XLOOKUP(D2104,TicketsBreak!A:A,TicketsBreak!F:F,"",0),0)</f>
        <v>0.5</v>
      </c>
      <c r="J2104" s="316">
        <f t="array" ref="J2104">XLOOKUP(B2104,Roster!L:L,Roster!P:P,XLOOKUP(D2104,TicketsBreak!A:A,TicketsBreak!G:G,"",0),0)</f>
        <v>0.65625</v>
      </c>
      <c r="K2104" s="310">
        <f t="shared" si="4"/>
        <v>46130</v>
      </c>
      <c r="L2104" s="317">
        <f t="array" ref="L2104">(XLOOKUP(D2104,Roster!F:F,Roster!D:D,"",0))</f>
        <v>5</v>
      </c>
      <c r="M2104" s="317" t="str">
        <f t="array" ref="M2104">XLOOKUP(D2104,Roster!F:F,Roster!E:E)</f>
        <v>Tickets</v>
      </c>
      <c r="N2104" s="317" t="str">
        <f t="shared" ref="N2104:P2104" si="2136">LEFT(H2104,5)</f>
        <v>09:45</v>
      </c>
      <c r="O2104" s="317" t="str">
        <f t="shared" si="2136"/>
        <v>12:00</v>
      </c>
      <c r="P2104" s="317" t="str">
        <f t="shared" si="2136"/>
        <v>15:45</v>
      </c>
      <c r="Q2104" s="318">
        <f t="shared" si="2083"/>
        <v>46130.40625</v>
      </c>
      <c r="R2104" s="318">
        <f t="shared" si="2084"/>
        <v>46130.5</v>
      </c>
      <c r="S2104" s="318">
        <f t="shared" si="8"/>
        <v>46130.65625</v>
      </c>
    </row>
    <row r="2105">
      <c r="A2105" s="14" t="str">
        <f t="shared" si="1"/>
        <v>C157046130</v>
      </c>
      <c r="B2105" s="185">
        <f t="array" ref="B2105">IF(F2105="VL","",IF(F2105="Free","Free",XLOOKUP(D2105,Roster!T:T,Roster!S:S,"",0)))</f>
        <v>123</v>
      </c>
      <c r="C2105" s="313">
        <v>46130.0</v>
      </c>
      <c r="D2105" s="314" t="s">
        <v>11</v>
      </c>
      <c r="E2105" s="307" t="str">
        <f t="array" ref="E2105">(XLOOKUP(D2105,Roster!F:F,Roster!B:B,"",0))</f>
        <v>Alexander Bartoli</v>
      </c>
      <c r="F2105" s="315" t="str">
        <f t="array" ref="F2105">IF(B2105=100,"Free",TEXT(XLOOKUP($D2105,OperationVoice!$A:$A,OperationVoice!X:X,XLOOKUP($D2105,OperationTickets!$A:$A,OperationTickets!X:X,"",0)),"hh:mm"))</f>
        <v>08:00</v>
      </c>
      <c r="G2105" s="309">
        <f t="shared" si="3"/>
        <v>0.7083333333</v>
      </c>
      <c r="H2105" s="316" t="str">
        <f t="array" ref="H2105">XLOOKUP(B2105,Roster!L:L,Roster!N:N,XLOOKUP(D2105,TicketsBreak!A:A,TicketsBreak!E:E,"",0),0)</f>
        <v>09:45 - 10:00 </v>
      </c>
      <c r="I2105" s="316" t="str">
        <f t="array" ref="I2105">XLOOKUP(B2105,Roster!L:L,Roster!O:O,XLOOKUP(D2105,TicketsBreak!A:A,TicketsBreak!F:F,"",0),0)</f>
        <v>12:30 - 13:00</v>
      </c>
      <c r="J2105" s="316" t="str">
        <f t="array" ref="J2105">XLOOKUP(B2105,Roster!L:L,Roster!P:P,XLOOKUP(D2105,TicketsBreak!A:A,TicketsBreak!G:G,"",0),0)</f>
        <v>15:00 - 15:15</v>
      </c>
      <c r="K2105" s="310">
        <f t="shared" si="4"/>
        <v>46130</v>
      </c>
      <c r="L2105" s="317">
        <f t="array" ref="L2105">(XLOOKUP(D2105,Roster!F:F,Roster!D:D,"",0))</f>
        <v>38</v>
      </c>
      <c r="M2105" s="317" t="str">
        <f t="array" ref="M2105">XLOOKUP(D2105,Roster!F:F,Roster!E:E)</f>
        <v>Voice</v>
      </c>
      <c r="N2105" s="317" t="str">
        <f t="shared" ref="N2105:P2105" si="2137">LEFT(H2105,5)</f>
        <v>09:45</v>
      </c>
      <c r="O2105" s="317" t="str">
        <f t="shared" si="2137"/>
        <v>12:30</v>
      </c>
      <c r="P2105" s="317" t="str">
        <f t="shared" si="2137"/>
        <v>15:00</v>
      </c>
      <c r="Q2105" s="318">
        <f t="shared" si="2083"/>
        <v>46130.40625</v>
      </c>
      <c r="R2105" s="318">
        <f t="shared" si="2084"/>
        <v>46130.52083</v>
      </c>
      <c r="S2105" s="318">
        <f t="shared" si="8"/>
        <v>46130.625</v>
      </c>
    </row>
    <row r="2106">
      <c r="A2106" s="14" t="str">
        <f t="shared" si="1"/>
        <v>C93546130</v>
      </c>
      <c r="B2106" s="185" t="str">
        <f t="array" ref="B2106">IF(F2106="VL","",IF(F2106="Free","Free",XLOOKUP(D2106,Roster!T:T,Roster!S:S,"",0)))</f>
        <v/>
      </c>
      <c r="C2106" s="313">
        <v>46130.0</v>
      </c>
      <c r="D2106" s="314" t="s">
        <v>153</v>
      </c>
      <c r="E2106" s="307" t="str">
        <f t="array" ref="E2106">(XLOOKUP(D2106,Roster!F:F,Roster!B:B,"",0))</f>
        <v>Alexis Arias</v>
      </c>
      <c r="F2106" s="315" t="str">
        <f t="array" ref="F2106">IF(B2106=100,"Free",TEXT(XLOOKUP($D2106,OperationVoice!$A:$A,OperationVoice!X:X,XLOOKUP($D2106,OperationTickets!$A:$A,OperationTickets!X:X,"",0)),"hh:mm"))</f>
        <v>07:30</v>
      </c>
      <c r="G2106" s="309">
        <f t="shared" si="3"/>
        <v>0.6875</v>
      </c>
      <c r="H2106" s="316">
        <f t="array" ref="H2106">XLOOKUP(B2106,Roster!L:L,Roster!N:N,XLOOKUP(D2106,TicketsBreak!A:A,TicketsBreak!E:E,"",0),0)</f>
        <v>0.4270833333</v>
      </c>
      <c r="I2106" s="316">
        <f t="array" ref="I2106">XLOOKUP(B2106,Roster!L:L,Roster!O:O,XLOOKUP(D2106,TicketsBreak!A:A,TicketsBreak!F:F,"",0),0)</f>
        <v>0.53125</v>
      </c>
      <c r="J2106" s="316">
        <f t="array" ref="J2106">XLOOKUP(B2106,Roster!L:L,Roster!P:P,XLOOKUP(D2106,TicketsBreak!A:A,TicketsBreak!G:G,"",0),0)</f>
        <v>0.6458333333</v>
      </c>
      <c r="K2106" s="310">
        <f t="shared" si="4"/>
        <v>46130</v>
      </c>
      <c r="L2106" s="317">
        <f t="array" ref="L2106">(XLOOKUP(D2106,Roster!F:F,Roster!D:D,"",0))</f>
        <v>12</v>
      </c>
      <c r="M2106" s="317" t="str">
        <f t="array" ref="M2106">XLOOKUP(D2106,Roster!F:F,Roster!E:E)</f>
        <v>Tickets</v>
      </c>
      <c r="N2106" s="317" t="str">
        <f t="shared" ref="N2106:P2106" si="2138">LEFT(H2106,5)</f>
        <v>10:15</v>
      </c>
      <c r="O2106" s="317" t="str">
        <f t="shared" si="2138"/>
        <v>12:45</v>
      </c>
      <c r="P2106" s="317" t="str">
        <f t="shared" si="2138"/>
        <v>15:30</v>
      </c>
      <c r="Q2106" s="318">
        <f t="shared" si="2083"/>
        <v>46130.42708</v>
      </c>
      <c r="R2106" s="318">
        <f t="shared" si="2084"/>
        <v>46130.53125</v>
      </c>
      <c r="S2106" s="318">
        <f t="shared" si="8"/>
        <v>46130.64583</v>
      </c>
    </row>
    <row r="2107">
      <c r="A2107" s="14" t="str">
        <f t="shared" si="1"/>
        <v>C72746130</v>
      </c>
      <c r="B2107" s="185" t="str">
        <f t="array" ref="B2107">IF(F2107="VL","",IF(F2107="Free","Free",XLOOKUP(D2107,Roster!T:T,Roster!S:S,"",0)))</f>
        <v/>
      </c>
      <c r="C2107" s="313">
        <v>46130.0</v>
      </c>
      <c r="D2107" s="314" t="s">
        <v>154</v>
      </c>
      <c r="E2107" s="307" t="str">
        <f t="array" ref="E2107">(XLOOKUP(D2107,Roster!F:F,Roster!B:B,"",0))</f>
        <v>Ana Moreno</v>
      </c>
      <c r="F2107" s="315" t="str">
        <f t="array" ref="F2107">IF(B2107=100,"Free",TEXT(XLOOKUP($D2107,OperationVoice!$A:$A,OperationVoice!X:X,XLOOKUP($D2107,OperationTickets!$A:$A,OperationTickets!X:X,"",0)),"hh:mm"))</f>
        <v>08:00</v>
      </c>
      <c r="G2107" s="309">
        <f t="shared" si="3"/>
        <v>0.7083333333</v>
      </c>
      <c r="H2107" s="316">
        <f t="array" ref="H2107">XLOOKUP(B2107,Roster!L:L,Roster!N:N,XLOOKUP(D2107,TicketsBreak!A:A,TicketsBreak!E:E,"",0),0)</f>
        <v>0.4166666667</v>
      </c>
      <c r="I2107" s="316">
        <f t="array" ref="I2107">XLOOKUP(B2107,Roster!L:L,Roster!O:O,XLOOKUP(D2107,TicketsBreak!A:A,TicketsBreak!F:F,"",0),0)</f>
        <v>0.5208333333</v>
      </c>
      <c r="J2107" s="316">
        <f t="array" ref="J2107">XLOOKUP(B2107,Roster!L:L,Roster!P:P,XLOOKUP(D2107,TicketsBreak!A:A,TicketsBreak!G:G,"",0),0)</f>
        <v>0.65625</v>
      </c>
      <c r="K2107" s="310">
        <f t="shared" si="4"/>
        <v>46130</v>
      </c>
      <c r="L2107" s="317">
        <f t="array" ref="L2107">(XLOOKUP(D2107,Roster!F:F,Roster!D:D,"",0))</f>
        <v>7</v>
      </c>
      <c r="M2107" s="317" t="str">
        <f t="array" ref="M2107">XLOOKUP(D2107,Roster!F:F,Roster!E:E)</f>
        <v>Tickets</v>
      </c>
      <c r="N2107" s="317" t="str">
        <f t="shared" ref="N2107:P2107" si="2139">LEFT(H2107,5)</f>
        <v>10:00</v>
      </c>
      <c r="O2107" s="317" t="str">
        <f t="shared" si="2139"/>
        <v>12:30</v>
      </c>
      <c r="P2107" s="317" t="str">
        <f t="shared" si="2139"/>
        <v>15:45</v>
      </c>
      <c r="Q2107" s="318">
        <f t="shared" si="2083"/>
        <v>46130.41667</v>
      </c>
      <c r="R2107" s="318">
        <f t="shared" si="2084"/>
        <v>46130.52083</v>
      </c>
      <c r="S2107" s="318">
        <f t="shared" si="8"/>
        <v>46130.65625</v>
      </c>
    </row>
    <row r="2108">
      <c r="A2108" s="14" t="str">
        <f t="shared" si="1"/>
        <v>C157446130</v>
      </c>
      <c r="B2108" s="185">
        <f t="array" ref="B2108">IF(F2108="VL","",IF(F2108="Free","Free",XLOOKUP(D2108,Roster!T:T,Roster!S:S,"",0)))</f>
        <v>124</v>
      </c>
      <c r="C2108" s="313">
        <v>46130.0</v>
      </c>
      <c r="D2108" s="314" t="s">
        <v>12</v>
      </c>
      <c r="E2108" s="307" t="str">
        <f t="array" ref="E2108">(XLOOKUP(D2108,Roster!F:F,Roster!B:B,"",0))</f>
        <v>Ana Quintero</v>
      </c>
      <c r="F2108" s="315" t="str">
        <f t="array" ref="F2108">IF(B2108=100,"Free",TEXT(XLOOKUP($D2108,OperationVoice!$A:$A,OperationVoice!X:X,XLOOKUP($D2108,OperationTickets!$A:$A,OperationTickets!X:X,"",0)),"hh:mm"))</f>
        <v>08:00</v>
      </c>
      <c r="G2108" s="309">
        <f t="shared" si="3"/>
        <v>0.7083333333</v>
      </c>
      <c r="H2108" s="316" t="str">
        <f t="array" ref="H2108">XLOOKUP(B2108,Roster!L:L,Roster!N:N,XLOOKUP(D2108,TicketsBreak!A:A,TicketsBreak!E:E,"",0),0)</f>
        <v>10:00 - 10:15</v>
      </c>
      <c r="I2108" s="316" t="str">
        <f t="array" ref="I2108">XLOOKUP(B2108,Roster!L:L,Roster!O:O,XLOOKUP(D2108,TicketsBreak!A:A,TicketsBreak!F:F,"",0),0)</f>
        <v>13:00 - 13:30</v>
      </c>
      <c r="J2108" s="316" t="str">
        <f t="array" ref="J2108">XLOOKUP(B2108,Roster!L:L,Roster!P:P,XLOOKUP(D2108,TicketsBreak!A:A,TicketsBreak!G:G,"",0),0)</f>
        <v>15:30 - 15:45</v>
      </c>
      <c r="K2108" s="310">
        <f t="shared" si="4"/>
        <v>46130</v>
      </c>
      <c r="L2108" s="317">
        <f t="array" ref="L2108">(XLOOKUP(D2108,Roster!F:F,Roster!D:D,"",0))</f>
        <v>38</v>
      </c>
      <c r="M2108" s="317" t="str">
        <f t="array" ref="M2108">XLOOKUP(D2108,Roster!F:F,Roster!E:E)</f>
        <v>Voice</v>
      </c>
      <c r="N2108" s="317" t="str">
        <f t="shared" ref="N2108:P2108" si="2140">LEFT(H2108,5)</f>
        <v>10:00</v>
      </c>
      <c r="O2108" s="317" t="str">
        <f t="shared" si="2140"/>
        <v>13:00</v>
      </c>
      <c r="P2108" s="317" t="str">
        <f t="shared" si="2140"/>
        <v>15:30</v>
      </c>
      <c r="Q2108" s="318">
        <f t="shared" si="2083"/>
        <v>46130.41667</v>
      </c>
      <c r="R2108" s="318">
        <f t="shared" si="2084"/>
        <v>46130.54167</v>
      </c>
      <c r="S2108" s="318">
        <f t="shared" si="8"/>
        <v>46130.64583</v>
      </c>
    </row>
    <row r="2109">
      <c r="A2109" s="14" t="str">
        <f t="shared" si="1"/>
        <v>C46946130</v>
      </c>
      <c r="B2109" s="185" t="str">
        <f t="array" ref="B2109">IF(F2109="VL","",IF(F2109="Free","Free",XLOOKUP(D2109,Roster!T:T,Roster!S:S,"",0)))</f>
        <v/>
      </c>
      <c r="C2109" s="313">
        <v>46130.0</v>
      </c>
      <c r="D2109" s="314" t="s">
        <v>171</v>
      </c>
      <c r="E2109" s="307" t="str">
        <f t="array" ref="E2109">(XLOOKUP(D2109,Roster!F:F,Roster!B:B,"",0))</f>
        <v>Ana Ruiz</v>
      </c>
      <c r="F2109" s="315" t="str">
        <f t="array" ref="F2109">IF(B2109=100,"Free",TEXT(XLOOKUP($D2109,OperationVoice!$A:$A,OperationVoice!X:X,XLOOKUP($D2109,OperationTickets!$A:$A,OperationTickets!X:X,"",0)),"hh:mm"))</f>
        <v>08:00</v>
      </c>
      <c r="G2109" s="309">
        <f t="shared" si="3"/>
        <v>0.7083333333</v>
      </c>
      <c r="H2109" s="316">
        <f t="array" ref="H2109">XLOOKUP(B2109,Roster!L:L,Roster!N:N,XLOOKUP(D2109,TicketsBreak!A:A,TicketsBreak!E:E,"",0),0)</f>
        <v>0.3854166667</v>
      </c>
      <c r="I2109" s="316">
        <f t="array" ref="I2109">XLOOKUP(B2109,Roster!L:L,Roster!O:O,XLOOKUP(D2109,TicketsBreak!A:A,TicketsBreak!F:F,"",0),0)</f>
        <v>0.5</v>
      </c>
      <c r="J2109" s="316">
        <f t="array" ref="J2109">XLOOKUP(B2109,Roster!L:L,Roster!P:P,XLOOKUP(D2109,TicketsBreak!A:A,TicketsBreak!G:G,"",0),0)</f>
        <v>0.6041666667</v>
      </c>
      <c r="K2109" s="310">
        <f t="shared" si="4"/>
        <v>46130</v>
      </c>
      <c r="L2109" s="317">
        <f t="array" ref="L2109">(XLOOKUP(D2109,Roster!F:F,Roster!D:D,"",0))</f>
        <v>3</v>
      </c>
      <c r="M2109" s="317" t="str">
        <f t="array" ref="M2109">XLOOKUP(D2109,Roster!F:F,Roster!E:E)</f>
        <v>Tickets</v>
      </c>
      <c r="N2109" s="317" t="str">
        <f t="shared" ref="N2109:P2109" si="2141">LEFT(H2109,5)</f>
        <v>09:15</v>
      </c>
      <c r="O2109" s="317" t="str">
        <f t="shared" si="2141"/>
        <v>12:00</v>
      </c>
      <c r="P2109" s="317" t="str">
        <f t="shared" si="2141"/>
        <v>14:30</v>
      </c>
      <c r="Q2109" s="318">
        <f t="shared" si="2083"/>
        <v>46130.38542</v>
      </c>
      <c r="R2109" s="318">
        <f t="shared" si="2084"/>
        <v>46130.5</v>
      </c>
      <c r="S2109" s="318">
        <f t="shared" si="8"/>
        <v>46130.60417</v>
      </c>
    </row>
    <row r="2110">
      <c r="A2110" s="14" t="str">
        <f t="shared" si="1"/>
        <v>C155446130</v>
      </c>
      <c r="B2110" s="185">
        <f t="array" ref="B2110">IF(F2110="VL","",IF(F2110="Free","Free",XLOOKUP(D2110,Roster!T:T,Roster!S:S,"",0)))</f>
        <v>131</v>
      </c>
      <c r="C2110" s="313">
        <v>46130.0</v>
      </c>
      <c r="D2110" s="314" t="s">
        <v>13</v>
      </c>
      <c r="E2110" s="307" t="str">
        <f t="array" ref="E2110">(XLOOKUP(D2110,Roster!F:F,Roster!B:B,"",0))</f>
        <v>Andres Lopez</v>
      </c>
      <c r="F2110" s="315" t="str">
        <f t="array" ref="F2110">IF(B2110=100,"Free",TEXT(XLOOKUP($D2110,OperationVoice!$A:$A,OperationVoice!X:X,XLOOKUP($D2110,OperationTickets!$A:$A,OperationTickets!X:X,"",0)),"hh:mm"))</f>
        <v>09:00</v>
      </c>
      <c r="G2110" s="309">
        <f t="shared" si="3"/>
        <v>0.75</v>
      </c>
      <c r="H2110" s="316" t="str">
        <f t="array" ref="H2110">XLOOKUP(B2110,Roster!L:L,Roster!N:N,XLOOKUP(D2110,TicketsBreak!A:A,TicketsBreak!E:E,"",0),0)</f>
        <v>10:15 - 10:30</v>
      </c>
      <c r="I2110" s="316" t="str">
        <f t="array" ref="I2110">XLOOKUP(B2110,Roster!L:L,Roster!O:O,XLOOKUP(D2110,TicketsBreak!A:A,TicketsBreak!F:F,"",0),0)</f>
        <v>12:30 - 13:00</v>
      </c>
      <c r="J2110" s="316" t="str">
        <f t="array" ref="J2110">XLOOKUP(B2110,Roster!L:L,Roster!P:P,XLOOKUP(D2110,TicketsBreak!A:A,TicketsBreak!G:G,"",0),0)</f>
        <v>15:15 - 15:30</v>
      </c>
      <c r="K2110" s="310">
        <f t="shared" si="4"/>
        <v>46130</v>
      </c>
      <c r="L2110" s="317">
        <f t="array" ref="L2110">(XLOOKUP(D2110,Roster!F:F,Roster!D:D,"",0))</f>
        <v>37</v>
      </c>
      <c r="M2110" s="317" t="str">
        <f t="array" ref="M2110">XLOOKUP(D2110,Roster!F:F,Roster!E:E)</f>
        <v>Voice</v>
      </c>
      <c r="N2110" s="317" t="str">
        <f t="shared" ref="N2110:P2110" si="2142">LEFT(H2110,5)</f>
        <v>10:15</v>
      </c>
      <c r="O2110" s="317" t="str">
        <f t="shared" si="2142"/>
        <v>12:30</v>
      </c>
      <c r="P2110" s="317" t="str">
        <f t="shared" si="2142"/>
        <v>15:15</v>
      </c>
      <c r="Q2110" s="318">
        <f t="shared" si="2083"/>
        <v>46130.42708</v>
      </c>
      <c r="R2110" s="318">
        <f t="shared" si="2084"/>
        <v>46130.52083</v>
      </c>
      <c r="S2110" s="318">
        <f t="shared" si="8"/>
        <v>46130.63542</v>
      </c>
    </row>
    <row r="2111">
      <c r="A2111" s="14" t="str">
        <f t="shared" si="1"/>
        <v>C156746130</v>
      </c>
      <c r="B2111" s="185">
        <f t="array" ref="B2111">IF(F2111="VL","",IF(F2111="Free","Free",XLOOKUP(D2111,Roster!T:T,Roster!S:S,"",0)))</f>
        <v>125</v>
      </c>
      <c r="C2111" s="313">
        <v>46130.0</v>
      </c>
      <c r="D2111" s="314" t="s">
        <v>14</v>
      </c>
      <c r="E2111" s="307" t="str">
        <f t="array" ref="E2111">(XLOOKUP(D2111,Roster!F:F,Roster!B:B,"",0))</f>
        <v>Andres Salazar</v>
      </c>
      <c r="F2111" s="315" t="str">
        <f t="array" ref="F2111">IF(B2111=100,"Free",TEXT(XLOOKUP($D2111,OperationVoice!$A:$A,OperationVoice!X:X,XLOOKUP($D2111,OperationTickets!$A:$A,OperationTickets!X:X,"",0)),"hh:mm"))</f>
        <v>08:00</v>
      </c>
      <c r="G2111" s="309">
        <f t="shared" si="3"/>
        <v>0.7083333333</v>
      </c>
      <c r="H2111" s="316" t="str">
        <f t="array" ref="H2111">XLOOKUP(B2111,Roster!L:L,Roster!N:N,XLOOKUP(D2111,TicketsBreak!A:A,TicketsBreak!E:E,"",0),0)</f>
        <v>10:30 - 10:45</v>
      </c>
      <c r="I2111" s="316" t="str">
        <f t="array" ref="I2111">XLOOKUP(B2111,Roster!L:L,Roster!O:O,XLOOKUP(D2111,TicketsBreak!A:A,TicketsBreak!F:F,"",0),0)</f>
        <v>13:30 - 14:00</v>
      </c>
      <c r="J2111" s="316" t="str">
        <f t="array" ref="J2111">XLOOKUP(B2111,Roster!L:L,Roster!P:P,XLOOKUP(D2111,TicketsBreak!A:A,TicketsBreak!G:G,"",0),0)</f>
        <v>15:45 - 16:00</v>
      </c>
      <c r="K2111" s="310">
        <f t="shared" si="4"/>
        <v>46130</v>
      </c>
      <c r="L2111" s="317">
        <f t="array" ref="L2111">(XLOOKUP(D2111,Roster!F:F,Roster!D:D,"",0))</f>
        <v>38</v>
      </c>
      <c r="M2111" s="317" t="str">
        <f t="array" ref="M2111">XLOOKUP(D2111,Roster!F:F,Roster!E:E)</f>
        <v>Voice</v>
      </c>
      <c r="N2111" s="317" t="str">
        <f t="shared" ref="N2111:P2111" si="2143">LEFT(H2111,5)</f>
        <v>10:30</v>
      </c>
      <c r="O2111" s="317" t="str">
        <f t="shared" si="2143"/>
        <v>13:30</v>
      </c>
      <c r="P2111" s="317" t="str">
        <f t="shared" si="2143"/>
        <v>15:45</v>
      </c>
      <c r="Q2111" s="318">
        <f t="shared" si="2083"/>
        <v>46130.4375</v>
      </c>
      <c r="R2111" s="318">
        <f t="shared" si="2084"/>
        <v>46130.5625</v>
      </c>
      <c r="S2111" s="318">
        <f t="shared" si="8"/>
        <v>46130.65625</v>
      </c>
    </row>
    <row r="2112">
      <c r="A2112" s="14" t="str">
        <f t="shared" si="1"/>
        <v>C134846130</v>
      </c>
      <c r="B2112" s="185" t="str">
        <f t="array" ref="B2112">IF(F2112="VL","",IF(F2112="Free","Free",XLOOKUP(D2112,Roster!T:T,Roster!S:S,"",0)))</f>
        <v>Free</v>
      </c>
      <c r="C2112" s="313">
        <v>46130.0</v>
      </c>
      <c r="D2112" s="314" t="s">
        <v>15</v>
      </c>
      <c r="E2112" s="307" t="str">
        <f t="array" ref="E2112">(XLOOKUP(D2112,Roster!F:F,Roster!B:B,"",0))</f>
        <v>Angelo Zapata</v>
      </c>
      <c r="F2112" s="315" t="str">
        <f t="array" ref="F2112">IF(B2112=100,"Free",TEXT(XLOOKUP($D2112,OperationVoice!$A:$A,OperationVoice!X:X,XLOOKUP($D2112,OperationTickets!$A:$A,OperationTickets!X:X,"",0)),"hh:mm"))</f>
        <v>Free</v>
      </c>
      <c r="G2112" s="309" t="str">
        <f t="shared" si="3"/>
        <v>Free</v>
      </c>
      <c r="H2112" s="316" t="str">
        <f t="array" ref="H2112">XLOOKUP(B2112,Roster!L:L,Roster!N:N,XLOOKUP(D2112,TicketsBreak!A:A,TicketsBreak!E:E,"",0),0)</f>
        <v/>
      </c>
      <c r="I2112" s="316" t="str">
        <f t="array" ref="I2112">XLOOKUP(B2112,Roster!L:L,Roster!O:O,XLOOKUP(D2112,TicketsBreak!A:A,TicketsBreak!F:F,"",0),0)</f>
        <v/>
      </c>
      <c r="J2112" s="316" t="str">
        <f t="array" ref="J2112">XLOOKUP(B2112,Roster!L:L,Roster!P:P,XLOOKUP(D2112,TicketsBreak!A:A,TicketsBreak!G:G,"",0),0)</f>
        <v/>
      </c>
      <c r="K2112" s="310">
        <f t="shared" si="4"/>
        <v>46130</v>
      </c>
      <c r="L2112" s="317">
        <f t="array" ref="L2112">(XLOOKUP(D2112,Roster!F:F,Roster!D:D,"",0))</f>
        <v>30</v>
      </c>
      <c r="M2112" s="317" t="str">
        <f t="array" ref="M2112">XLOOKUP(D2112,Roster!F:F,Roster!E:E)</f>
        <v>Voice</v>
      </c>
      <c r="N2112" s="317" t="str">
        <f t="shared" ref="N2112:P2112" si="2144">LEFT(H2112,5)</f>
        <v/>
      </c>
      <c r="O2112" s="317" t="str">
        <f t="shared" si="2144"/>
        <v/>
      </c>
      <c r="P2112" s="317" t="str">
        <f t="shared" si="2144"/>
        <v/>
      </c>
      <c r="Q2112" s="318" t="str">
        <f t="shared" si="2083"/>
        <v/>
      </c>
      <c r="R2112" s="318" t="str">
        <f t="shared" si="2084"/>
        <v/>
      </c>
      <c r="S2112" s="318" t="str">
        <f t="shared" si="8"/>
        <v/>
      </c>
    </row>
    <row r="2113">
      <c r="A2113" s="14" t="str">
        <f t="shared" si="1"/>
        <v>C116746130</v>
      </c>
      <c r="B2113" s="185" t="str">
        <f t="array" ref="B2113">IF(F2113="VL","",IF(F2113="Free","Free",XLOOKUP(D2113,Roster!T:T,Roster!S:S,"",0)))</f>
        <v>Free</v>
      </c>
      <c r="C2113" s="313">
        <v>46130.0</v>
      </c>
      <c r="D2113" s="314" t="s">
        <v>172</v>
      </c>
      <c r="E2113" s="307" t="str">
        <f t="array" ref="E2113">(XLOOKUP(D2113,Roster!F:F,Roster!B:B,"",0))</f>
        <v>Angie Rua</v>
      </c>
      <c r="F2113" s="315" t="str">
        <f t="array" ref="F2113">IF(B2113=100,"Free",TEXT(XLOOKUP($D2113,OperationVoice!$A:$A,OperationVoice!X:X,XLOOKUP($D2113,OperationTickets!$A:$A,OperationTickets!X:X,"",0)),"hh:mm"))</f>
        <v>Free</v>
      </c>
      <c r="G2113" s="309" t="str">
        <f t="shared" si="3"/>
        <v>Free</v>
      </c>
      <c r="H2113" s="316" t="str">
        <f t="array" ref="H2113">XLOOKUP(B2113,Roster!L:L,Roster!N:N,XLOOKUP(D2113,TicketsBreak!A:A,TicketsBreak!E:E,"",0),0)</f>
        <v/>
      </c>
      <c r="I2113" s="316" t="str">
        <f t="array" ref="I2113">XLOOKUP(B2113,Roster!L:L,Roster!O:O,XLOOKUP(D2113,TicketsBreak!A:A,TicketsBreak!F:F,"",0),0)</f>
        <v/>
      </c>
      <c r="J2113" s="316" t="str">
        <f t="array" ref="J2113">XLOOKUP(B2113,Roster!L:L,Roster!P:P,XLOOKUP(D2113,TicketsBreak!A:A,TicketsBreak!G:G,"",0),0)</f>
        <v/>
      </c>
      <c r="K2113" s="310">
        <f t="shared" si="4"/>
        <v>46130</v>
      </c>
      <c r="L2113" s="317">
        <f t="array" ref="L2113">(XLOOKUP(D2113,Roster!F:F,Roster!D:D,"",0))</f>
        <v>24</v>
      </c>
      <c r="M2113" s="317" t="str">
        <f t="array" ref="M2113">XLOOKUP(D2113,Roster!F:F,Roster!E:E)</f>
        <v>Tickets</v>
      </c>
      <c r="N2113" s="317" t="str">
        <f t="shared" ref="N2113:P2113" si="2145">LEFT(H2113,5)</f>
        <v/>
      </c>
      <c r="O2113" s="317" t="str">
        <f t="shared" si="2145"/>
        <v/>
      </c>
      <c r="P2113" s="317" t="str">
        <f t="shared" si="2145"/>
        <v/>
      </c>
      <c r="Q2113" s="318" t="str">
        <f t="shared" si="2083"/>
        <v/>
      </c>
      <c r="R2113" s="318" t="str">
        <f t="shared" si="2084"/>
        <v/>
      </c>
      <c r="S2113" s="318" t="str">
        <f t="shared" si="8"/>
        <v/>
      </c>
    </row>
    <row r="2114">
      <c r="A2114" s="14" t="str">
        <f t="shared" si="1"/>
        <v>C157946130</v>
      </c>
      <c r="B2114" s="185" t="str">
        <f t="array" ref="B2114">IF(F2114="VL","",IF(F2114="Free","Free",XLOOKUP(D2114,Roster!T:T,Roster!S:S,"",0)))</f>
        <v>Free</v>
      </c>
      <c r="C2114" s="313">
        <v>46130.0</v>
      </c>
      <c r="D2114" s="314" t="s">
        <v>16</v>
      </c>
      <c r="E2114" s="307" t="str">
        <f t="array" ref="E2114">(XLOOKUP(D2114,Roster!F:F,Roster!B:B,"",0))</f>
        <v>Anibal Munoz</v>
      </c>
      <c r="F2114" s="315" t="str">
        <f t="array" ref="F2114">IF(B2114=100,"Free",TEXT(XLOOKUP($D2114,OperationVoice!$A:$A,OperationVoice!X:X,XLOOKUP($D2114,OperationTickets!$A:$A,OperationTickets!X:X,"",0)),"hh:mm"))</f>
        <v>Free</v>
      </c>
      <c r="G2114" s="309" t="str">
        <f t="shared" si="3"/>
        <v>Free</v>
      </c>
      <c r="H2114" s="316" t="str">
        <f t="array" ref="H2114">XLOOKUP(B2114,Roster!L:L,Roster!N:N,XLOOKUP(D2114,TicketsBreak!A:A,TicketsBreak!E:E,"",0),0)</f>
        <v/>
      </c>
      <c r="I2114" s="316" t="str">
        <f t="array" ref="I2114">XLOOKUP(B2114,Roster!L:L,Roster!O:O,XLOOKUP(D2114,TicketsBreak!A:A,TicketsBreak!F:F,"",0),0)</f>
        <v/>
      </c>
      <c r="J2114" s="316" t="str">
        <f t="array" ref="J2114">XLOOKUP(B2114,Roster!L:L,Roster!P:P,XLOOKUP(D2114,TicketsBreak!A:A,TicketsBreak!G:G,"",0),0)</f>
        <v/>
      </c>
      <c r="K2114" s="310">
        <f t="shared" si="4"/>
        <v>46130</v>
      </c>
      <c r="L2114" s="317">
        <f t="array" ref="L2114">(XLOOKUP(D2114,Roster!F:F,Roster!D:D,"",0))</f>
        <v>38</v>
      </c>
      <c r="M2114" s="317" t="str">
        <f t="array" ref="M2114">XLOOKUP(D2114,Roster!F:F,Roster!E:E)</f>
        <v>Voice</v>
      </c>
      <c r="N2114" s="317" t="str">
        <f t="shared" ref="N2114:P2114" si="2146">LEFT(H2114,5)</f>
        <v/>
      </c>
      <c r="O2114" s="317" t="str">
        <f t="shared" si="2146"/>
        <v/>
      </c>
      <c r="P2114" s="317" t="str">
        <f t="shared" si="2146"/>
        <v/>
      </c>
      <c r="Q2114" s="318" t="str">
        <f t="shared" si="2083"/>
        <v/>
      </c>
      <c r="R2114" s="318" t="str">
        <f t="shared" si="2084"/>
        <v/>
      </c>
      <c r="S2114" s="318" t="str">
        <f t="shared" si="8"/>
        <v/>
      </c>
    </row>
    <row r="2115">
      <c r="A2115" s="14" t="str">
        <f t="shared" si="1"/>
        <v>C08046130</v>
      </c>
      <c r="B2115" s="185" t="str">
        <f t="array" ref="B2115">IF(F2115="VL","",IF(F2115="Free","Free",XLOOKUP(D2115,Roster!T:T,Roster!S:S,"",0)))</f>
        <v>Free</v>
      </c>
      <c r="C2115" s="313">
        <v>46130.0</v>
      </c>
      <c r="D2115" s="314" t="s">
        <v>138</v>
      </c>
      <c r="E2115" s="307" t="str">
        <f t="array" ref="E2115">(XLOOKUP(D2115,Roster!F:F,Roster!B:B,"",0))</f>
        <v>Arturo Padilla</v>
      </c>
      <c r="F2115" s="315" t="str">
        <f t="array" ref="F2115">IF(B2115=100,"Free",TEXT(XLOOKUP($D2115,OperationVoice!$A:$A,OperationVoice!X:X,XLOOKUP($D2115,OperationTickets!$A:$A,OperationTickets!X:X,"",0)),"hh:mm"))</f>
        <v>Free</v>
      </c>
      <c r="G2115" s="309" t="str">
        <f t="shared" si="3"/>
        <v>Free</v>
      </c>
      <c r="H2115" s="316">
        <f t="array" ref="H2115">XLOOKUP(B2115,Roster!L:L,Roster!N:N,XLOOKUP(D2115,TicketsBreak!A:A,TicketsBreak!E:E,"",0),0)</f>
        <v>0.375</v>
      </c>
      <c r="I2115" s="316">
        <f t="array" ref="I2115">XLOOKUP(B2115,Roster!L:L,Roster!O:O,XLOOKUP(D2115,TicketsBreak!A:A,TicketsBreak!F:F,"",0),0)</f>
        <v>0.5</v>
      </c>
      <c r="J2115" s="316">
        <f t="array" ref="J2115">XLOOKUP(B2115,Roster!L:L,Roster!P:P,XLOOKUP(D2115,TicketsBreak!A:A,TicketsBreak!G:G,"",0),0)</f>
        <v>0.6458333333</v>
      </c>
      <c r="K2115" s="310">
        <f t="shared" si="4"/>
        <v>46130</v>
      </c>
      <c r="L2115" s="317">
        <f t="array" ref="L2115">(XLOOKUP(D2115,Roster!F:F,Roster!D:D,"",0))</f>
        <v>1</v>
      </c>
      <c r="M2115" s="317" t="str">
        <f t="array" ref="M2115">XLOOKUP(D2115,Roster!F:F,Roster!E:E)</f>
        <v>Tickets</v>
      </c>
      <c r="N2115" s="317" t="str">
        <f t="shared" ref="N2115:P2115" si="2147">LEFT(H2115,5)</f>
        <v>09:00</v>
      </c>
      <c r="O2115" s="317" t="str">
        <f t="shared" si="2147"/>
        <v>12:00</v>
      </c>
      <c r="P2115" s="317" t="str">
        <f t="shared" si="2147"/>
        <v>15:30</v>
      </c>
      <c r="Q2115" s="318">
        <f t="shared" si="2083"/>
        <v>46130.375</v>
      </c>
      <c r="R2115" s="318">
        <f t="shared" si="2084"/>
        <v>46130.5</v>
      </c>
      <c r="S2115" s="318">
        <f t="shared" si="8"/>
        <v>46130.64583</v>
      </c>
    </row>
    <row r="2116">
      <c r="A2116" s="14" t="str">
        <f t="shared" si="1"/>
        <v>C150446130</v>
      </c>
      <c r="B2116" s="185">
        <f t="array" ref="B2116">IF(F2116="VL","",IF(F2116="Free","Free",XLOOKUP(D2116,Roster!T:T,Roster!S:S,"",0)))</f>
        <v>123</v>
      </c>
      <c r="C2116" s="313">
        <v>46130.0</v>
      </c>
      <c r="D2116" s="314" t="s">
        <v>155</v>
      </c>
      <c r="E2116" s="307" t="str">
        <f t="array" ref="E2116">(XLOOKUP(D2116,Roster!F:F,Roster!B:B,"",0))</f>
        <v>Beatriz Montanez</v>
      </c>
      <c r="F2116" s="315" t="str">
        <f t="array" ref="F2116">IF(B2116=100,"Free",TEXT(XLOOKUP($D2116,OperationVoice!$A:$A,OperationVoice!X:X,XLOOKUP($D2116,OperationTickets!$A:$A,OperationTickets!X:X,"",0)),"hh:mm"))</f>
        <v>08:00</v>
      </c>
      <c r="G2116" s="309">
        <f t="shared" si="3"/>
        <v>0.7083333333</v>
      </c>
      <c r="H2116" s="316" t="str">
        <f t="array" ref="H2116">XLOOKUP(B2116,Roster!L:L,Roster!N:N,XLOOKUP(D2116,TicketsBreak!A:A,TicketsBreak!E:E,"",0),0)</f>
        <v>09:45 - 10:00 </v>
      </c>
      <c r="I2116" s="316" t="str">
        <f t="array" ref="I2116">XLOOKUP(B2116,Roster!L:L,Roster!O:O,XLOOKUP(D2116,TicketsBreak!A:A,TicketsBreak!F:F,"",0),0)</f>
        <v>12:30 - 13:00</v>
      </c>
      <c r="J2116" s="316" t="str">
        <f t="array" ref="J2116">XLOOKUP(B2116,Roster!L:L,Roster!P:P,XLOOKUP(D2116,TicketsBreak!A:A,TicketsBreak!G:G,"",0),0)</f>
        <v>15:00 - 15:15</v>
      </c>
      <c r="K2116" s="310">
        <f t="shared" si="4"/>
        <v>46130</v>
      </c>
      <c r="L2116" s="317">
        <f t="array" ref="L2116">(XLOOKUP(D2116,Roster!F:F,Roster!D:D,"",0))</f>
        <v>35</v>
      </c>
      <c r="M2116" s="317" t="str">
        <f t="array" ref="M2116">XLOOKUP(D2116,Roster!F:F,Roster!E:E)</f>
        <v>Tickets</v>
      </c>
      <c r="N2116" s="317" t="str">
        <f t="shared" ref="N2116:P2116" si="2148">LEFT(H2116,5)</f>
        <v>09:45</v>
      </c>
      <c r="O2116" s="317" t="str">
        <f t="shared" si="2148"/>
        <v>12:30</v>
      </c>
      <c r="P2116" s="317" t="str">
        <f t="shared" si="2148"/>
        <v>15:00</v>
      </c>
      <c r="Q2116" s="318">
        <f t="shared" si="2083"/>
        <v>46130.40625</v>
      </c>
      <c r="R2116" s="318">
        <f t="shared" si="2084"/>
        <v>46130.52083</v>
      </c>
      <c r="S2116" s="318">
        <f t="shared" si="8"/>
        <v>46130.625</v>
      </c>
    </row>
    <row r="2117">
      <c r="A2117" s="14" t="str">
        <f t="shared" si="1"/>
        <v>C107746130</v>
      </c>
      <c r="B2117" s="185" t="str">
        <f t="array" ref="B2117">IF(F2117="VL","",IF(F2117="Free","Free",XLOOKUP(D2117,Roster!T:T,Roster!S:S,"",0)))</f>
        <v>Free</v>
      </c>
      <c r="C2117" s="313">
        <v>46130.0</v>
      </c>
      <c r="D2117" s="314" t="s">
        <v>17</v>
      </c>
      <c r="E2117" s="307" t="str">
        <f t="array" ref="E2117">(XLOOKUP(D2117,Roster!F:F,Roster!B:B,"",0))</f>
        <v>Brahian Prado</v>
      </c>
      <c r="F2117" s="315" t="str">
        <f t="array" ref="F2117">IF(B2117=100,"Free",TEXT(XLOOKUP($D2117,OperationVoice!$A:$A,OperationVoice!X:X,XLOOKUP($D2117,OperationTickets!$A:$A,OperationTickets!X:X,"",0)),"hh:mm"))</f>
        <v>Free</v>
      </c>
      <c r="G2117" s="309" t="str">
        <f t="shared" si="3"/>
        <v>Free</v>
      </c>
      <c r="H2117" s="316" t="str">
        <f t="array" ref="H2117">XLOOKUP(B2117,Roster!L:L,Roster!N:N,XLOOKUP(D2117,TicketsBreak!A:A,TicketsBreak!E:E,"",0),0)</f>
        <v/>
      </c>
      <c r="I2117" s="316" t="str">
        <f t="array" ref="I2117">XLOOKUP(B2117,Roster!L:L,Roster!O:O,XLOOKUP(D2117,TicketsBreak!A:A,TicketsBreak!F:F,"",0),0)</f>
        <v/>
      </c>
      <c r="J2117" s="316" t="str">
        <f t="array" ref="J2117">XLOOKUP(B2117,Roster!L:L,Roster!P:P,XLOOKUP(D2117,TicketsBreak!A:A,TicketsBreak!G:G,"",0),0)</f>
        <v/>
      </c>
      <c r="K2117" s="310">
        <f t="shared" si="4"/>
        <v>46130</v>
      </c>
      <c r="L2117" s="317">
        <f t="array" ref="L2117">(XLOOKUP(D2117,Roster!F:F,Roster!D:D,"",0))</f>
        <v>18</v>
      </c>
      <c r="M2117" s="317" t="str">
        <f t="array" ref="M2117">XLOOKUP(D2117,Roster!F:F,Roster!E:E)</f>
        <v>Voice</v>
      </c>
      <c r="N2117" s="317" t="str">
        <f t="shared" ref="N2117:P2117" si="2149">LEFT(H2117,5)</f>
        <v/>
      </c>
      <c r="O2117" s="317" t="str">
        <f t="shared" si="2149"/>
        <v/>
      </c>
      <c r="P2117" s="317" t="str">
        <f t="shared" si="2149"/>
        <v/>
      </c>
      <c r="Q2117" s="318" t="str">
        <f t="shared" si="2083"/>
        <v/>
      </c>
      <c r="R2117" s="318" t="str">
        <f t="shared" si="2084"/>
        <v/>
      </c>
      <c r="S2117" s="318" t="str">
        <f t="shared" si="8"/>
        <v/>
      </c>
    </row>
    <row r="2118">
      <c r="A2118" s="14" t="str">
        <f t="shared" si="1"/>
        <v>C116546130</v>
      </c>
      <c r="B2118" s="185" t="str">
        <f t="array" ref="B2118">IF(F2118="VL","",IF(F2118="Free","Free",XLOOKUP(D2118,Roster!T:T,Roster!S:S,"",0)))</f>
        <v/>
      </c>
      <c r="C2118" s="313">
        <v>46130.0</v>
      </c>
      <c r="D2118" s="314" t="s">
        <v>139</v>
      </c>
      <c r="E2118" s="307" t="str">
        <f t="array" ref="E2118">(XLOOKUP(D2118,Roster!F:F,Roster!B:B,"",0))</f>
        <v>Braian Restrepo</v>
      </c>
      <c r="F2118" s="315" t="str">
        <f t="array" ref="F2118">IF(B2118=100,"Free",TEXT(XLOOKUP($D2118,OperationVoice!$A:$A,OperationVoice!X:X,XLOOKUP($D2118,OperationTickets!$A:$A,OperationTickets!X:X,"",0)),"hh:mm"))</f>
        <v>08:00</v>
      </c>
      <c r="G2118" s="309">
        <f t="shared" si="3"/>
        <v>0.7083333333</v>
      </c>
      <c r="H2118" s="316" t="str">
        <f t="array" ref="H2118">XLOOKUP(B2118,Roster!L:L,Roster!N:N,XLOOKUP(D2118,TicketsBreak!A:A,TicketsBreak!E:E,"",0),0)</f>
        <v/>
      </c>
      <c r="I2118" s="316" t="str">
        <f t="array" ref="I2118">XLOOKUP(B2118,Roster!L:L,Roster!O:O,XLOOKUP(D2118,TicketsBreak!A:A,TicketsBreak!F:F,"",0),0)</f>
        <v/>
      </c>
      <c r="J2118" s="316" t="str">
        <f t="array" ref="J2118">XLOOKUP(B2118,Roster!L:L,Roster!P:P,XLOOKUP(D2118,TicketsBreak!A:A,TicketsBreak!G:G,"",0),0)</f>
        <v/>
      </c>
      <c r="K2118" s="310">
        <f t="shared" si="4"/>
        <v>46130</v>
      </c>
      <c r="L2118" s="317">
        <f t="array" ref="L2118">(XLOOKUP(D2118,Roster!F:F,Roster!D:D,"",0))</f>
        <v>24</v>
      </c>
      <c r="M2118" s="317" t="str">
        <f t="array" ref="M2118">XLOOKUP(D2118,Roster!F:F,Roster!E:E)</f>
        <v>Tickets</v>
      </c>
      <c r="N2118" s="317" t="str">
        <f t="shared" ref="N2118:P2118" si="2150">LEFT(H2118,5)</f>
        <v/>
      </c>
      <c r="O2118" s="317" t="str">
        <f t="shared" si="2150"/>
        <v/>
      </c>
      <c r="P2118" s="317" t="str">
        <f t="shared" si="2150"/>
        <v/>
      </c>
      <c r="Q2118" s="318" t="str">
        <f t="shared" si="2083"/>
        <v/>
      </c>
      <c r="R2118" s="318" t="str">
        <f t="shared" si="2084"/>
        <v/>
      </c>
      <c r="S2118" s="318" t="str">
        <f t="shared" si="8"/>
        <v/>
      </c>
    </row>
    <row r="2119">
      <c r="A2119" s="14" t="str">
        <f t="shared" si="1"/>
        <v>C127446130</v>
      </c>
      <c r="B2119" s="185">
        <f t="array" ref="B2119">IF(F2119="VL","",IF(F2119="Free","Free",XLOOKUP(D2119,Roster!T:T,Roster!S:S,"",0)))</f>
        <v>126</v>
      </c>
      <c r="C2119" s="313">
        <v>46130.0</v>
      </c>
      <c r="D2119" s="314" t="s">
        <v>250</v>
      </c>
      <c r="E2119" s="307" t="str">
        <f t="array" ref="E2119">(XLOOKUP(D2119,Roster!F:F,Roster!B:B,"",0))</f>
        <v>Brayan Franco</v>
      </c>
      <c r="F2119" s="315" t="str">
        <f t="array" ref="F2119">IF(B2119=100,"Free",TEXT(XLOOKUP($D2119,OperationVoice!$A:$A,OperationVoice!X:X,XLOOKUP($D2119,OperationTickets!$A:$A,OperationTickets!X:X,"",0)),"hh:mm"))</f>
        <v/>
      </c>
      <c r="G2119" s="309" t="str">
        <f t="shared" si="3"/>
        <v/>
      </c>
      <c r="H2119" s="316" t="str">
        <f t="array" ref="H2119">XLOOKUP(B2119,Roster!L:L,Roster!N:N,XLOOKUP(D2119,TicketsBreak!A:A,TicketsBreak!E:E,"",0),0)</f>
        <v>10:45 - 11:00</v>
      </c>
      <c r="I2119" s="316" t="str">
        <f t="array" ref="I2119">XLOOKUP(B2119,Roster!L:L,Roster!O:O,XLOOKUP(D2119,TicketsBreak!A:A,TicketsBreak!F:F,"",0),0)</f>
        <v>14:00 - 14:30</v>
      </c>
      <c r="J2119" s="316" t="str">
        <f t="array" ref="J2119">XLOOKUP(B2119,Roster!L:L,Roster!P:P,XLOOKUP(D2119,TicketsBreak!A:A,TicketsBreak!G:G,"",0),0)</f>
        <v>15:45 - 16:00</v>
      </c>
      <c r="K2119" s="310">
        <f t="shared" si="4"/>
        <v>46130</v>
      </c>
      <c r="L2119" s="317">
        <f t="array" ref="L2119">(XLOOKUP(D2119,Roster!F:F,Roster!D:D,"",0))</f>
        <v>27</v>
      </c>
      <c r="M2119" s="317" t="str">
        <f t="array" ref="M2119">XLOOKUP(D2119,Roster!F:F,Roster!E:E)</f>
        <v>Voice</v>
      </c>
      <c r="N2119" s="317" t="str">
        <f t="shared" ref="N2119:P2119" si="2151">LEFT(H2119,5)</f>
        <v>10:45</v>
      </c>
      <c r="O2119" s="317" t="str">
        <f t="shared" si="2151"/>
        <v>14:00</v>
      </c>
      <c r="P2119" s="317" t="str">
        <f t="shared" si="2151"/>
        <v>15:45</v>
      </c>
      <c r="Q2119" s="318">
        <f t="shared" si="2083"/>
        <v>46130.44792</v>
      </c>
      <c r="R2119" s="318">
        <f t="shared" si="2084"/>
        <v>46130.58333</v>
      </c>
      <c r="S2119" s="318">
        <f t="shared" si="8"/>
        <v>46130.65625</v>
      </c>
    </row>
    <row r="2120">
      <c r="A2120" s="14" t="str">
        <f t="shared" si="1"/>
        <v>C119146130</v>
      </c>
      <c r="B2120" s="185" t="str">
        <f t="array" ref="B2120">IF(F2120="VL","",IF(F2120="Free","Free",XLOOKUP(D2120,Roster!T:T,Roster!S:S,"",0)))</f>
        <v>Free</v>
      </c>
      <c r="C2120" s="313">
        <v>46130.0</v>
      </c>
      <c r="D2120" s="314" t="s">
        <v>18</v>
      </c>
      <c r="E2120" s="307" t="str">
        <f t="array" ref="E2120">(XLOOKUP(D2120,Roster!F:F,Roster!B:B,"",0))</f>
        <v>Brayan Montoya</v>
      </c>
      <c r="F2120" s="315" t="str">
        <f t="array" ref="F2120">IF(B2120=100,"Free",TEXT(XLOOKUP($D2120,OperationVoice!$A:$A,OperationVoice!X:X,XLOOKUP($D2120,OperationTickets!$A:$A,OperationTickets!X:X,"",0)),"hh:mm"))</f>
        <v>Free</v>
      </c>
      <c r="G2120" s="309" t="str">
        <f t="shared" si="3"/>
        <v>Free</v>
      </c>
      <c r="H2120" s="316" t="str">
        <f t="array" ref="H2120">XLOOKUP(B2120,Roster!L:L,Roster!N:N,XLOOKUP(D2120,TicketsBreak!A:A,TicketsBreak!E:E,"",0),0)</f>
        <v/>
      </c>
      <c r="I2120" s="316" t="str">
        <f t="array" ref="I2120">XLOOKUP(B2120,Roster!L:L,Roster!O:O,XLOOKUP(D2120,TicketsBreak!A:A,TicketsBreak!F:F,"",0),0)</f>
        <v/>
      </c>
      <c r="J2120" s="316" t="str">
        <f t="array" ref="J2120">XLOOKUP(B2120,Roster!L:L,Roster!P:P,XLOOKUP(D2120,TicketsBreak!A:A,TicketsBreak!G:G,"",0),0)</f>
        <v/>
      </c>
      <c r="K2120" s="310">
        <f t="shared" si="4"/>
        <v>46130</v>
      </c>
      <c r="L2120" s="317">
        <f t="array" ref="L2120">(XLOOKUP(D2120,Roster!F:F,Roster!D:D,"",0))</f>
        <v>25</v>
      </c>
      <c r="M2120" s="317" t="str">
        <f t="array" ref="M2120">XLOOKUP(D2120,Roster!F:F,Roster!E:E)</f>
        <v>Voice</v>
      </c>
      <c r="N2120" s="317" t="str">
        <f t="shared" ref="N2120:P2120" si="2152">LEFT(H2120,5)</f>
        <v/>
      </c>
      <c r="O2120" s="317" t="str">
        <f t="shared" si="2152"/>
        <v/>
      </c>
      <c r="P2120" s="317" t="str">
        <f t="shared" si="2152"/>
        <v/>
      </c>
      <c r="Q2120" s="318" t="str">
        <f t="shared" si="2083"/>
        <v/>
      </c>
      <c r="R2120" s="318" t="str">
        <f t="shared" si="2084"/>
        <v/>
      </c>
      <c r="S2120" s="318" t="str">
        <f t="shared" si="8"/>
        <v/>
      </c>
    </row>
    <row r="2121">
      <c r="A2121" s="14" t="str">
        <f t="shared" si="1"/>
        <v>C152646130</v>
      </c>
      <c r="B2121" s="185">
        <f t="array" ref="B2121">IF(F2121="VL","",IF(F2121="Free","Free",XLOOKUP(D2121,Roster!T:T,Roster!S:S,"",0)))</f>
        <v>121</v>
      </c>
      <c r="C2121" s="313">
        <v>46130.0</v>
      </c>
      <c r="D2121" s="314" t="s">
        <v>19</v>
      </c>
      <c r="E2121" s="307" t="str">
        <f t="array" ref="E2121">(XLOOKUP(D2121,Roster!F:F,Roster!B:B,"",0))</f>
        <v>Breitner Benitez</v>
      </c>
      <c r="F2121" s="315" t="str">
        <f t="array" ref="F2121">IF(B2121=100,"Free",TEXT(XLOOKUP($D2121,OperationVoice!$A:$A,OperationVoice!X:X,XLOOKUP($D2121,OperationTickets!$A:$A,OperationTickets!X:X,"",0)),"hh:mm"))</f>
        <v>08:00</v>
      </c>
      <c r="G2121" s="309">
        <f t="shared" si="3"/>
        <v>0.7083333333</v>
      </c>
      <c r="H2121" s="316" t="str">
        <f t="array" ref="H2121">XLOOKUP(B2121,Roster!L:L,Roster!N:N,XLOOKUP(D2121,TicketsBreak!A:A,TicketsBreak!E:E,"",0),0)</f>
        <v>09:15 - 09:30</v>
      </c>
      <c r="I2121" s="316" t="str">
        <f t="array" ref="I2121">XLOOKUP(B2121,Roster!L:L,Roster!O:O,XLOOKUP(D2121,TicketsBreak!A:A,TicketsBreak!F:F,"",0),0)</f>
        <v>11:30 - 12:00</v>
      </c>
      <c r="J2121" s="316" t="str">
        <f t="array" ref="J2121">XLOOKUP(B2121,Roster!L:L,Roster!P:P,XLOOKUP(D2121,TicketsBreak!A:A,TicketsBreak!G:G,"",0),0)</f>
        <v>14:30 - 14:45</v>
      </c>
      <c r="K2121" s="310">
        <f t="shared" si="4"/>
        <v>46130</v>
      </c>
      <c r="L2121" s="317">
        <f t="array" ref="L2121">(XLOOKUP(D2121,Roster!F:F,Roster!D:D,"",0))</f>
        <v>13</v>
      </c>
      <c r="M2121" s="317" t="str">
        <f t="array" ref="M2121">XLOOKUP(D2121,Roster!F:F,Roster!E:E)</f>
        <v>Voice</v>
      </c>
      <c r="N2121" s="317" t="str">
        <f t="shared" ref="N2121:P2121" si="2153">LEFT(H2121,5)</f>
        <v>09:15</v>
      </c>
      <c r="O2121" s="317" t="str">
        <f t="shared" si="2153"/>
        <v>11:30</v>
      </c>
      <c r="P2121" s="317" t="str">
        <f t="shared" si="2153"/>
        <v>14:30</v>
      </c>
      <c r="Q2121" s="318">
        <f t="shared" si="2083"/>
        <v>46130.38542</v>
      </c>
      <c r="R2121" s="318">
        <f t="shared" si="2084"/>
        <v>46130.47917</v>
      </c>
      <c r="S2121" s="318">
        <f t="shared" si="8"/>
        <v>46130.60417</v>
      </c>
    </row>
    <row r="2122">
      <c r="A2122" s="14" t="str">
        <f t="shared" si="1"/>
        <v>C153546130</v>
      </c>
      <c r="B2122" s="185">
        <f t="array" ref="B2122">IF(F2122="VL","",IF(F2122="Free","Free",XLOOKUP(D2122,Roster!T:T,Roster!S:S,"",0)))</f>
        <v>154</v>
      </c>
      <c r="C2122" s="313">
        <v>46130.0</v>
      </c>
      <c r="D2122" s="314" t="s">
        <v>20</v>
      </c>
      <c r="E2122" s="307" t="str">
        <f t="array" ref="E2122">(XLOOKUP(D2122,Roster!F:F,Roster!B:B,"",0))</f>
        <v>Carlos Alzate</v>
      </c>
      <c r="F2122" s="315" t="str">
        <f t="array" ref="F2122">IF(B2122=100,"Free",TEXT(XLOOKUP($D2122,OperationVoice!$A:$A,OperationVoice!X:X,XLOOKUP($D2122,OperationTickets!$A:$A,OperationTickets!X:X,"",0)),"hh:mm"))</f>
        <v>11:00</v>
      </c>
      <c r="G2122" s="309">
        <f t="shared" si="3"/>
        <v>0.8333333333</v>
      </c>
      <c r="H2122" s="316" t="str">
        <f t="array" ref="H2122">XLOOKUP(B2122,Roster!L:L,Roster!N:N,XLOOKUP(D2122,TicketsBreak!A:A,TicketsBreak!E:E,"",0),0)</f>
        <v>13:00 - 13:15</v>
      </c>
      <c r="I2122" s="316" t="str">
        <f t="array" ref="I2122">XLOOKUP(B2122,Roster!L:L,Roster!O:O,XLOOKUP(D2122,TicketsBreak!A:A,TicketsBreak!F:F,"",0),0)</f>
        <v>15:15 - 15:45</v>
      </c>
      <c r="J2122" s="316" t="str">
        <f t="array" ref="J2122">XLOOKUP(B2122,Roster!L:L,Roster!P:P,XLOOKUP(D2122,TicketsBreak!A:A,TicketsBreak!G:G,"",0),0)</f>
        <v>18:00 - 18:15</v>
      </c>
      <c r="K2122" s="310">
        <f t="shared" si="4"/>
        <v>46130</v>
      </c>
      <c r="L2122" s="317">
        <f t="array" ref="L2122">(XLOOKUP(D2122,Roster!F:F,Roster!D:D,"",0))</f>
        <v>36</v>
      </c>
      <c r="M2122" s="317" t="str">
        <f t="array" ref="M2122">XLOOKUP(D2122,Roster!F:F,Roster!E:E)</f>
        <v>Voice</v>
      </c>
      <c r="N2122" s="317" t="str">
        <f t="shared" ref="N2122:P2122" si="2154">LEFT(H2122,5)</f>
        <v>13:00</v>
      </c>
      <c r="O2122" s="317" t="str">
        <f t="shared" si="2154"/>
        <v>15:15</v>
      </c>
      <c r="P2122" s="317" t="str">
        <f t="shared" si="2154"/>
        <v>18:00</v>
      </c>
      <c r="Q2122" s="318">
        <f t="shared" si="2083"/>
        <v>46130.54167</v>
      </c>
      <c r="R2122" s="318">
        <f t="shared" si="2084"/>
        <v>46130.63542</v>
      </c>
      <c r="S2122" s="318">
        <f t="shared" si="8"/>
        <v>46130.75</v>
      </c>
    </row>
    <row r="2123">
      <c r="A2123" s="14" t="str">
        <f t="shared" si="1"/>
        <v>C153146130</v>
      </c>
      <c r="B2123" s="185">
        <f t="array" ref="B2123">IF(F2123="VL","",IF(F2123="Free","Free",XLOOKUP(D2123,Roster!T:T,Roster!S:S,"",0)))</f>
        <v>123</v>
      </c>
      <c r="C2123" s="313">
        <v>46130.0</v>
      </c>
      <c r="D2123" s="314" t="s">
        <v>21</v>
      </c>
      <c r="E2123" s="307" t="str">
        <f t="array" ref="E2123">(XLOOKUP(D2123,Roster!F:F,Roster!B:B,"",0))</f>
        <v>Carlos Palma</v>
      </c>
      <c r="F2123" s="315" t="str">
        <f t="array" ref="F2123">IF(B2123=100,"Free",TEXT(XLOOKUP($D2123,OperationVoice!$A:$A,OperationVoice!X:X,XLOOKUP($D2123,OperationTickets!$A:$A,OperationTickets!X:X,"",0)),"hh:mm"))</f>
        <v>08:00</v>
      </c>
      <c r="G2123" s="309">
        <f t="shared" si="3"/>
        <v>0.7083333333</v>
      </c>
      <c r="H2123" s="316" t="str">
        <f t="array" ref="H2123">XLOOKUP(B2123,Roster!L:L,Roster!N:N,XLOOKUP(D2123,TicketsBreak!A:A,TicketsBreak!E:E,"",0),0)</f>
        <v>09:45 - 10:00 </v>
      </c>
      <c r="I2123" s="316" t="str">
        <f t="array" ref="I2123">XLOOKUP(B2123,Roster!L:L,Roster!O:O,XLOOKUP(D2123,TicketsBreak!A:A,TicketsBreak!F:F,"",0),0)</f>
        <v>12:30 - 13:00</v>
      </c>
      <c r="J2123" s="316" t="str">
        <f t="array" ref="J2123">XLOOKUP(B2123,Roster!L:L,Roster!P:P,XLOOKUP(D2123,TicketsBreak!A:A,TicketsBreak!G:G,"",0),0)</f>
        <v>15:00 - 15:15</v>
      </c>
      <c r="K2123" s="310">
        <f t="shared" si="4"/>
        <v>46130</v>
      </c>
      <c r="L2123" s="317">
        <f t="array" ref="L2123">(XLOOKUP(D2123,Roster!F:F,Roster!D:D,"",0))</f>
        <v>36</v>
      </c>
      <c r="M2123" s="317" t="str">
        <f t="array" ref="M2123">XLOOKUP(D2123,Roster!F:F,Roster!E:E)</f>
        <v>Voice</v>
      </c>
      <c r="N2123" s="317" t="str">
        <f t="shared" ref="N2123:P2123" si="2155">LEFT(H2123,5)</f>
        <v>09:45</v>
      </c>
      <c r="O2123" s="317" t="str">
        <f t="shared" si="2155"/>
        <v>12:30</v>
      </c>
      <c r="P2123" s="317" t="str">
        <f t="shared" si="2155"/>
        <v>15:00</v>
      </c>
      <c r="Q2123" s="318">
        <f t="shared" si="2083"/>
        <v>46130.40625</v>
      </c>
      <c r="R2123" s="318">
        <f t="shared" si="2084"/>
        <v>46130.52083</v>
      </c>
      <c r="S2123" s="318">
        <f t="shared" si="8"/>
        <v>46130.625</v>
      </c>
    </row>
    <row r="2124">
      <c r="A2124" s="14" t="str">
        <f t="shared" si="1"/>
        <v>C157646130</v>
      </c>
      <c r="B2124" s="185" t="str">
        <f t="array" ref="B2124">IF(F2124="VL","",IF(F2124="Free","Free",XLOOKUP(D2124,Roster!T:T,Roster!S:S,"",0)))</f>
        <v/>
      </c>
      <c r="C2124" s="313">
        <v>46130.0</v>
      </c>
      <c r="D2124" s="314" t="s">
        <v>313</v>
      </c>
      <c r="E2124" s="307" t="str">
        <f t="array" ref="E2124">(XLOOKUP(D2124,Roster!F:F,Roster!B:B,"",0))</f>
        <v>Carlos Ruiz</v>
      </c>
      <c r="F2124" s="315" t="str">
        <f t="array" ref="F2124">IF(B2124=100,"Free",TEXT(XLOOKUP($D2124,OperationVoice!$A:$A,OperationVoice!X:X,XLOOKUP($D2124,OperationTickets!$A:$A,OperationTickets!X:X,"",0)),"hh:mm"))</f>
        <v/>
      </c>
      <c r="G2124" s="309" t="str">
        <f t="shared" si="3"/>
        <v/>
      </c>
      <c r="H2124" s="316" t="str">
        <f t="array" ref="H2124">XLOOKUP(B2124,Roster!L:L,Roster!N:N,XLOOKUP(D2124,TicketsBreak!A:A,TicketsBreak!E:E,"",0),0)</f>
        <v/>
      </c>
      <c r="I2124" s="316" t="str">
        <f t="array" ref="I2124">XLOOKUP(B2124,Roster!L:L,Roster!O:O,XLOOKUP(D2124,TicketsBreak!A:A,TicketsBreak!F:F,"",0),0)</f>
        <v/>
      </c>
      <c r="J2124" s="316" t="str">
        <f t="array" ref="J2124">XLOOKUP(B2124,Roster!L:L,Roster!P:P,XLOOKUP(D2124,TicketsBreak!A:A,TicketsBreak!G:G,"",0),0)</f>
        <v/>
      </c>
      <c r="K2124" s="310">
        <f t="shared" si="4"/>
        <v>46130</v>
      </c>
      <c r="L2124" s="317">
        <f t="array" ref="L2124">(XLOOKUP(D2124,Roster!F:F,Roster!D:D,"",0))</f>
        <v>38</v>
      </c>
      <c r="M2124" s="317" t="str">
        <f t="array" ref="M2124">XLOOKUP(D2124,Roster!F:F,Roster!E:E)</f>
        <v>Nesting</v>
      </c>
      <c r="N2124" s="317" t="str">
        <f t="shared" ref="N2124:P2124" si="2156">LEFT(H2124,5)</f>
        <v/>
      </c>
      <c r="O2124" s="317" t="str">
        <f t="shared" si="2156"/>
        <v/>
      </c>
      <c r="P2124" s="317" t="str">
        <f t="shared" si="2156"/>
        <v/>
      </c>
      <c r="Q2124" s="318" t="str">
        <f t="shared" si="2083"/>
        <v/>
      </c>
      <c r="R2124" s="318" t="str">
        <f t="shared" si="2084"/>
        <v/>
      </c>
      <c r="S2124" s="318" t="str">
        <f t="shared" si="8"/>
        <v/>
      </c>
    </row>
    <row r="2125">
      <c r="A2125" s="14" t="str">
        <f t="shared" si="1"/>
        <v>C47946130</v>
      </c>
      <c r="B2125" s="185" t="str">
        <f t="array" ref="B2125">IF(F2125="VL","",IF(F2125="Free","Free",XLOOKUP(D2125,Roster!T:T,Roster!S:S,"",0)))</f>
        <v/>
      </c>
      <c r="C2125" s="313">
        <v>46130.0</v>
      </c>
      <c r="D2125" s="314" t="s">
        <v>173</v>
      </c>
      <c r="E2125" s="307" t="str">
        <f t="array" ref="E2125">(XLOOKUP(D2125,Roster!F:F,Roster!B:B,"",0))</f>
        <v>Carmen Grajales</v>
      </c>
      <c r="F2125" s="315" t="str">
        <f t="array" ref="F2125">IF(B2125=100,"Free",TEXT(XLOOKUP($D2125,OperationVoice!$A:$A,OperationVoice!X:X,XLOOKUP($D2125,OperationTickets!$A:$A,OperationTickets!X:X,"",0)),"hh:mm"))</f>
        <v>08:00</v>
      </c>
      <c r="G2125" s="309">
        <f t="shared" si="3"/>
        <v>0.7083333333</v>
      </c>
      <c r="H2125" s="316">
        <f t="array" ref="H2125">XLOOKUP(B2125,Roster!L:L,Roster!N:N,XLOOKUP(D2125,TicketsBreak!A:A,TicketsBreak!E:E,"",0),0)</f>
        <v>0.4270833333</v>
      </c>
      <c r="I2125" s="316">
        <f t="array" ref="I2125">XLOOKUP(B2125,Roster!L:L,Roster!O:O,XLOOKUP(D2125,TicketsBreak!A:A,TicketsBreak!F:F,"",0),0)</f>
        <v>0.53125</v>
      </c>
      <c r="J2125" s="316">
        <f t="array" ref="J2125">XLOOKUP(B2125,Roster!L:L,Roster!P:P,XLOOKUP(D2125,TicketsBreak!A:A,TicketsBreak!G:G,"",0),0)</f>
        <v>0.65625</v>
      </c>
      <c r="K2125" s="310">
        <f t="shared" si="4"/>
        <v>46130</v>
      </c>
      <c r="L2125" s="317">
        <f t="array" ref="L2125">(XLOOKUP(D2125,Roster!F:F,Roster!D:D,"",0))</f>
        <v>2</v>
      </c>
      <c r="M2125" s="317" t="str">
        <f t="array" ref="M2125">XLOOKUP(D2125,Roster!F:F,Roster!E:E)</f>
        <v>Tickets</v>
      </c>
      <c r="N2125" s="317" t="str">
        <f t="shared" ref="N2125:P2125" si="2157">LEFT(H2125,5)</f>
        <v>10:15</v>
      </c>
      <c r="O2125" s="317" t="str">
        <f t="shared" si="2157"/>
        <v>12:45</v>
      </c>
      <c r="P2125" s="317" t="str">
        <f t="shared" si="2157"/>
        <v>15:45</v>
      </c>
      <c r="Q2125" s="318">
        <f t="shared" si="2083"/>
        <v>46130.42708</v>
      </c>
      <c r="R2125" s="318">
        <f t="shared" si="2084"/>
        <v>46130.53125</v>
      </c>
      <c r="S2125" s="318">
        <f t="shared" si="8"/>
        <v>46130.65625</v>
      </c>
    </row>
    <row r="2126">
      <c r="A2126" s="14" t="str">
        <f t="shared" si="1"/>
        <v>C68746130</v>
      </c>
      <c r="B2126" s="185" t="str">
        <f t="array" ref="B2126">IF(F2126="VL","",IF(F2126="Free","Free",XLOOKUP(D2126,Roster!T:T,Roster!S:S,"",0)))</f>
        <v>Free</v>
      </c>
      <c r="C2126" s="313">
        <v>46130.0</v>
      </c>
      <c r="D2126" s="314" t="s">
        <v>22</v>
      </c>
      <c r="E2126" s="307" t="str">
        <f t="array" ref="E2126">(XLOOKUP(D2126,Roster!F:F,Roster!B:B,"",0))</f>
        <v>Carolina Rios</v>
      </c>
      <c r="F2126" s="315" t="str">
        <f t="array" ref="F2126">IF(B2126=100,"Free",TEXT(XLOOKUP($D2126,OperationVoice!$A:$A,OperationVoice!X:X,XLOOKUP($D2126,OperationTickets!$A:$A,OperationTickets!X:X,"",0)),"hh:mm"))</f>
        <v>Free</v>
      </c>
      <c r="G2126" s="309" t="str">
        <f t="shared" si="3"/>
        <v>Free</v>
      </c>
      <c r="H2126" s="316" t="str">
        <f t="array" ref="H2126">XLOOKUP(B2126,Roster!L:L,Roster!N:N,XLOOKUP(D2126,TicketsBreak!A:A,TicketsBreak!E:E,"",0),0)</f>
        <v/>
      </c>
      <c r="I2126" s="316" t="str">
        <f t="array" ref="I2126">XLOOKUP(B2126,Roster!L:L,Roster!O:O,XLOOKUP(D2126,TicketsBreak!A:A,TicketsBreak!F:F,"",0),0)</f>
        <v/>
      </c>
      <c r="J2126" s="316" t="str">
        <f t="array" ref="J2126">XLOOKUP(B2126,Roster!L:L,Roster!P:P,XLOOKUP(D2126,TicketsBreak!A:A,TicketsBreak!G:G,"",0),0)</f>
        <v/>
      </c>
      <c r="K2126" s="310">
        <f t="shared" si="4"/>
        <v>46130</v>
      </c>
      <c r="L2126" s="317">
        <f t="array" ref="L2126">(XLOOKUP(D2126,Roster!F:F,Roster!D:D,"",0))</f>
        <v>5</v>
      </c>
      <c r="M2126" s="317" t="str">
        <f t="array" ref="M2126">XLOOKUP(D2126,Roster!F:F,Roster!E:E)</f>
        <v>Voice</v>
      </c>
      <c r="N2126" s="317" t="str">
        <f t="shared" ref="N2126:P2126" si="2158">LEFT(H2126,5)</f>
        <v/>
      </c>
      <c r="O2126" s="317" t="str">
        <f t="shared" si="2158"/>
        <v/>
      </c>
      <c r="P2126" s="317" t="str">
        <f t="shared" si="2158"/>
        <v/>
      </c>
      <c r="Q2126" s="318" t="str">
        <f t="shared" si="2083"/>
        <v/>
      </c>
      <c r="R2126" s="318" t="str">
        <f t="shared" si="2084"/>
        <v/>
      </c>
      <c r="S2126" s="318" t="str">
        <f t="shared" si="8"/>
        <v/>
      </c>
    </row>
    <row r="2127">
      <c r="A2127" s="14" t="str">
        <f t="shared" si="1"/>
        <v>C152846130</v>
      </c>
      <c r="B2127" s="185">
        <f t="array" ref="B2127">IF(F2127="VL","",IF(F2127="Free","Free",XLOOKUP(D2127,Roster!T:T,Roster!S:S,"",0)))</f>
        <v>132</v>
      </c>
      <c r="C2127" s="313">
        <v>46130.0</v>
      </c>
      <c r="D2127" s="314" t="s">
        <v>23</v>
      </c>
      <c r="E2127" s="307" t="str">
        <f t="array" ref="E2127">(XLOOKUP(D2127,Roster!F:F,Roster!B:B,"",0))</f>
        <v>Christian Ramirez</v>
      </c>
      <c r="F2127" s="315" t="str">
        <f t="array" ref="F2127">IF(B2127=100,"Free",TEXT(XLOOKUP($D2127,OperationVoice!$A:$A,OperationVoice!X:X,XLOOKUP($D2127,OperationTickets!$A:$A,OperationTickets!X:X,"",0)),"hh:mm"))</f>
        <v>09:00</v>
      </c>
      <c r="G2127" s="309">
        <f t="shared" si="3"/>
        <v>0.75</v>
      </c>
      <c r="H2127" s="316" t="str">
        <f t="array" ref="H2127">XLOOKUP(B2127,Roster!L:L,Roster!N:N,XLOOKUP(D2127,TicketsBreak!A:A,TicketsBreak!E:E,"",0),0)</f>
        <v>10:30 - 10:45</v>
      </c>
      <c r="I2127" s="316" t="str">
        <f t="array" ref="I2127">XLOOKUP(B2127,Roster!L:L,Roster!O:O,XLOOKUP(D2127,TicketsBreak!A:A,TicketsBreak!F:F,"",0),0)</f>
        <v>13:00 - 13:30</v>
      </c>
      <c r="J2127" s="316" t="str">
        <f t="array" ref="J2127">XLOOKUP(B2127,Roster!L:L,Roster!P:P,XLOOKUP(D2127,TicketsBreak!A:A,TicketsBreak!G:G,"",0),0)</f>
        <v>15:30 - 15:45</v>
      </c>
      <c r="K2127" s="310">
        <f t="shared" si="4"/>
        <v>46130</v>
      </c>
      <c r="L2127" s="317">
        <f t="array" ref="L2127">(XLOOKUP(D2127,Roster!F:F,Roster!D:D,"",0))</f>
        <v>36</v>
      </c>
      <c r="M2127" s="317" t="str">
        <f t="array" ref="M2127">XLOOKUP(D2127,Roster!F:F,Roster!E:E)</f>
        <v>Voice</v>
      </c>
      <c r="N2127" s="317" t="str">
        <f t="shared" ref="N2127:P2127" si="2159">LEFT(H2127,5)</f>
        <v>10:30</v>
      </c>
      <c r="O2127" s="317" t="str">
        <f t="shared" si="2159"/>
        <v>13:00</v>
      </c>
      <c r="P2127" s="317" t="str">
        <f t="shared" si="2159"/>
        <v>15:30</v>
      </c>
      <c r="Q2127" s="318">
        <f t="shared" si="2083"/>
        <v>46130.4375</v>
      </c>
      <c r="R2127" s="318">
        <f t="shared" si="2084"/>
        <v>46130.54167</v>
      </c>
      <c r="S2127" s="318">
        <f t="shared" si="8"/>
        <v>46130.64583</v>
      </c>
    </row>
    <row r="2128">
      <c r="A2128" s="14" t="str">
        <f t="shared" si="1"/>
        <v>C132546130</v>
      </c>
      <c r="B2128" s="185">
        <f t="array" ref="B2128">IF(F2128="VL","",IF(F2128="Free","Free",XLOOKUP(D2128,Roster!T:T,Roster!S:S,"",0)))</f>
        <v>123</v>
      </c>
      <c r="C2128" s="313">
        <v>46130.0</v>
      </c>
      <c r="D2128" s="314" t="s">
        <v>174</v>
      </c>
      <c r="E2128" s="307" t="str">
        <f t="array" ref="E2128">(XLOOKUP(D2128,Roster!F:F,Roster!B:B,"",0))</f>
        <v>Cristian Ferreira</v>
      </c>
      <c r="F2128" s="315" t="str">
        <f t="array" ref="F2128">IF(B2128=100,"Free",TEXT(XLOOKUP($D2128,OperationVoice!$A:$A,OperationVoice!X:X,XLOOKUP($D2128,OperationTickets!$A:$A,OperationTickets!X:X,"",0)),"hh:mm"))</f>
        <v>08:00</v>
      </c>
      <c r="G2128" s="309">
        <f t="shared" si="3"/>
        <v>0.7083333333</v>
      </c>
      <c r="H2128" s="316" t="str">
        <f t="array" ref="H2128">XLOOKUP(B2128,Roster!L:L,Roster!N:N,XLOOKUP(D2128,TicketsBreak!A:A,TicketsBreak!E:E,"",0),0)</f>
        <v>09:45 - 10:00 </v>
      </c>
      <c r="I2128" s="316" t="str">
        <f t="array" ref="I2128">XLOOKUP(B2128,Roster!L:L,Roster!O:O,XLOOKUP(D2128,TicketsBreak!A:A,TicketsBreak!F:F,"",0),0)</f>
        <v>12:30 - 13:00</v>
      </c>
      <c r="J2128" s="316" t="str">
        <f t="array" ref="J2128">XLOOKUP(B2128,Roster!L:L,Roster!P:P,XLOOKUP(D2128,TicketsBreak!A:A,TicketsBreak!G:G,"",0),0)</f>
        <v>15:00 - 15:15</v>
      </c>
      <c r="K2128" s="310">
        <f t="shared" si="4"/>
        <v>46130</v>
      </c>
      <c r="L2128" s="317">
        <f t="array" ref="L2128">(XLOOKUP(D2128,Roster!F:F,Roster!D:D,"",0))</f>
        <v>29</v>
      </c>
      <c r="M2128" s="317" t="str">
        <f t="array" ref="M2128">XLOOKUP(D2128,Roster!F:F,Roster!E:E)</f>
        <v>Tickets</v>
      </c>
      <c r="N2128" s="317" t="str">
        <f t="shared" ref="N2128:P2128" si="2160">LEFT(H2128,5)</f>
        <v>09:45</v>
      </c>
      <c r="O2128" s="317" t="str">
        <f t="shared" si="2160"/>
        <v>12:30</v>
      </c>
      <c r="P2128" s="317" t="str">
        <f t="shared" si="2160"/>
        <v>15:00</v>
      </c>
      <c r="Q2128" s="318">
        <f t="shared" si="2083"/>
        <v>46130.40625</v>
      </c>
      <c r="R2128" s="318">
        <f t="shared" si="2084"/>
        <v>46130.52083</v>
      </c>
      <c r="S2128" s="318">
        <f t="shared" si="8"/>
        <v>46130.625</v>
      </c>
    </row>
    <row r="2129">
      <c r="A2129" s="14" t="str">
        <f t="shared" si="1"/>
        <v>C151046130</v>
      </c>
      <c r="B2129" s="185">
        <f t="array" ref="B2129">IF(F2129="VL","",IF(F2129="Free","Free",XLOOKUP(D2129,Roster!T:T,Roster!S:S,"",0)))</f>
        <v>121</v>
      </c>
      <c r="C2129" s="313">
        <v>46130.0</v>
      </c>
      <c r="D2129" s="314" t="s">
        <v>24</v>
      </c>
      <c r="E2129" s="307" t="str">
        <f t="array" ref="E2129">(XLOOKUP(D2129,Roster!F:F,Roster!B:B,"",0))</f>
        <v>Cristian Gomez</v>
      </c>
      <c r="F2129" s="315" t="str">
        <f t="array" ref="F2129">IF(B2129=100,"Free",TEXT(XLOOKUP($D2129,OperationVoice!$A:$A,OperationVoice!X:X,XLOOKUP($D2129,OperationTickets!$A:$A,OperationTickets!X:X,"",0)),"hh:mm"))</f>
        <v>08:00</v>
      </c>
      <c r="G2129" s="309">
        <f t="shared" si="3"/>
        <v>0.7083333333</v>
      </c>
      <c r="H2129" s="316" t="str">
        <f t="array" ref="H2129">XLOOKUP(B2129,Roster!L:L,Roster!N:N,XLOOKUP(D2129,TicketsBreak!A:A,TicketsBreak!E:E,"",0),0)</f>
        <v>09:15 - 09:30</v>
      </c>
      <c r="I2129" s="316" t="str">
        <f t="array" ref="I2129">XLOOKUP(B2129,Roster!L:L,Roster!O:O,XLOOKUP(D2129,TicketsBreak!A:A,TicketsBreak!F:F,"",0),0)</f>
        <v>11:30 - 12:00</v>
      </c>
      <c r="J2129" s="316" t="str">
        <f t="array" ref="J2129">XLOOKUP(B2129,Roster!L:L,Roster!P:P,XLOOKUP(D2129,TicketsBreak!A:A,TicketsBreak!G:G,"",0),0)</f>
        <v>14:30 - 14:45</v>
      </c>
      <c r="K2129" s="310">
        <f t="shared" si="4"/>
        <v>46130</v>
      </c>
      <c r="L2129" s="317">
        <f t="array" ref="L2129">(XLOOKUP(D2129,Roster!F:F,Roster!D:D,"",0))</f>
        <v>35</v>
      </c>
      <c r="M2129" s="317" t="str">
        <f t="array" ref="M2129">XLOOKUP(D2129,Roster!F:F,Roster!E:E)</f>
        <v>Voice</v>
      </c>
      <c r="N2129" s="317" t="str">
        <f t="shared" ref="N2129:P2129" si="2161">LEFT(H2129,5)</f>
        <v>09:15</v>
      </c>
      <c r="O2129" s="317" t="str">
        <f t="shared" si="2161"/>
        <v>11:30</v>
      </c>
      <c r="P2129" s="317" t="str">
        <f t="shared" si="2161"/>
        <v>14:30</v>
      </c>
      <c r="Q2129" s="318">
        <f t="shared" si="2083"/>
        <v>46130.38542</v>
      </c>
      <c r="R2129" s="318">
        <f t="shared" si="2084"/>
        <v>46130.47917</v>
      </c>
      <c r="S2129" s="318">
        <f t="shared" si="8"/>
        <v>46130.60417</v>
      </c>
    </row>
    <row r="2130">
      <c r="A2130" s="14" t="str">
        <f t="shared" si="1"/>
        <v>C67346130</v>
      </c>
      <c r="B2130" s="185" t="str">
        <f t="array" ref="B2130">IF(F2130="VL","",IF(F2130="Free","Free",XLOOKUP(D2130,Roster!T:T,Roster!S:S,"",0)))</f>
        <v/>
      </c>
      <c r="C2130" s="313">
        <v>46130.0</v>
      </c>
      <c r="D2130" s="314" t="s">
        <v>156</v>
      </c>
      <c r="E2130" s="307" t="str">
        <f t="array" ref="E2130">(XLOOKUP(D2130,Roster!F:F,Roster!B:B,"",0))</f>
        <v>Dahiana Cano</v>
      </c>
      <c r="F2130" s="315" t="str">
        <f t="array" ref="F2130">IF(B2130=100,"Free",TEXT(XLOOKUP($D2130,OperationVoice!$A:$A,OperationVoice!X:X,XLOOKUP($D2130,OperationTickets!$A:$A,OperationTickets!X:X,"",0)),"hh:mm"))</f>
        <v>08:00</v>
      </c>
      <c r="G2130" s="309">
        <f t="shared" si="3"/>
        <v>0.7083333333</v>
      </c>
      <c r="H2130" s="316">
        <f t="array" ref="H2130">XLOOKUP(B2130,Roster!L:L,Roster!N:N,XLOOKUP(D2130,TicketsBreak!A:A,TicketsBreak!E:E,"",0),0)</f>
        <v>0.4583333333</v>
      </c>
      <c r="I2130" s="316">
        <f t="array" ref="I2130">XLOOKUP(B2130,Roster!L:L,Roster!O:O,XLOOKUP(D2130,TicketsBreak!A:A,TicketsBreak!F:F,"",0),0)</f>
        <v>0.5833333333</v>
      </c>
      <c r="J2130" s="316">
        <f t="array" ref="J2130">XLOOKUP(B2130,Roster!L:L,Roster!P:P,XLOOKUP(D2130,TicketsBreak!A:A,TicketsBreak!G:G,"",0),0)</f>
        <v>0.65625</v>
      </c>
      <c r="K2130" s="310">
        <f t="shared" si="4"/>
        <v>46130</v>
      </c>
      <c r="L2130" s="317">
        <f t="array" ref="L2130">(XLOOKUP(D2130,Roster!F:F,Roster!D:D,"",0))</f>
        <v>4</v>
      </c>
      <c r="M2130" s="317" t="str">
        <f t="array" ref="M2130">XLOOKUP(D2130,Roster!F:F,Roster!E:E)</f>
        <v>Tickets</v>
      </c>
      <c r="N2130" s="317" t="str">
        <f t="shared" ref="N2130:P2130" si="2162">LEFT(H2130,5)</f>
        <v>11:00</v>
      </c>
      <c r="O2130" s="317" t="str">
        <f t="shared" si="2162"/>
        <v>14:00</v>
      </c>
      <c r="P2130" s="317" t="str">
        <f t="shared" si="2162"/>
        <v>15:45</v>
      </c>
      <c r="Q2130" s="318">
        <f t="shared" si="2083"/>
        <v>46130.45833</v>
      </c>
      <c r="R2130" s="318">
        <f t="shared" si="2084"/>
        <v>46130.58333</v>
      </c>
      <c r="S2130" s="318">
        <f t="shared" si="8"/>
        <v>46130.65625</v>
      </c>
    </row>
    <row r="2131">
      <c r="A2131" s="14" t="str">
        <f t="shared" si="1"/>
        <v>C152946130</v>
      </c>
      <c r="B2131" s="185" t="str">
        <f t="array" ref="B2131">IF(F2131="VL","",IF(F2131="Free","Free",XLOOKUP(D2131,Roster!T:T,Roster!S:S,"",0)))</f>
        <v>Free</v>
      </c>
      <c r="C2131" s="313">
        <v>46130.0</v>
      </c>
      <c r="D2131" s="314" t="s">
        <v>25</v>
      </c>
      <c r="E2131" s="307" t="str">
        <f t="array" ref="E2131">(XLOOKUP(D2131,Roster!F:F,Roster!B:B,"",0))</f>
        <v>Daniel Barrientos</v>
      </c>
      <c r="F2131" s="315" t="str">
        <f t="array" ref="F2131">IF(B2131=100,"Free",TEXT(XLOOKUP($D2131,OperationVoice!$A:$A,OperationVoice!X:X,XLOOKUP($D2131,OperationTickets!$A:$A,OperationTickets!X:X,"",0)),"hh:mm"))</f>
        <v>Free</v>
      </c>
      <c r="G2131" s="309" t="str">
        <f t="shared" si="3"/>
        <v>Free</v>
      </c>
      <c r="H2131" s="316" t="str">
        <f t="array" ref="H2131">XLOOKUP(B2131,Roster!L:L,Roster!N:N,XLOOKUP(D2131,TicketsBreak!A:A,TicketsBreak!E:E,"",0),0)</f>
        <v/>
      </c>
      <c r="I2131" s="316" t="str">
        <f t="array" ref="I2131">XLOOKUP(B2131,Roster!L:L,Roster!O:O,XLOOKUP(D2131,TicketsBreak!A:A,TicketsBreak!F:F,"",0),0)</f>
        <v/>
      </c>
      <c r="J2131" s="316" t="str">
        <f t="array" ref="J2131">XLOOKUP(B2131,Roster!L:L,Roster!P:P,XLOOKUP(D2131,TicketsBreak!A:A,TicketsBreak!G:G,"",0),0)</f>
        <v/>
      </c>
      <c r="K2131" s="310">
        <f t="shared" si="4"/>
        <v>46130</v>
      </c>
      <c r="L2131" s="317">
        <f t="array" ref="L2131">(XLOOKUP(D2131,Roster!F:F,Roster!D:D,"",0))</f>
        <v>36</v>
      </c>
      <c r="M2131" s="317" t="str">
        <f t="array" ref="M2131">XLOOKUP(D2131,Roster!F:F,Roster!E:E)</f>
        <v>Voice</v>
      </c>
      <c r="N2131" s="317" t="str">
        <f t="shared" ref="N2131:P2131" si="2163">LEFT(H2131,5)</f>
        <v/>
      </c>
      <c r="O2131" s="317" t="str">
        <f t="shared" si="2163"/>
        <v/>
      </c>
      <c r="P2131" s="317" t="str">
        <f t="shared" si="2163"/>
        <v/>
      </c>
      <c r="Q2131" s="318" t="str">
        <f t="shared" si="2083"/>
        <v/>
      </c>
      <c r="R2131" s="318" t="str">
        <f t="shared" si="2084"/>
        <v/>
      </c>
      <c r="S2131" s="318" t="str">
        <f t="shared" si="8"/>
        <v/>
      </c>
    </row>
    <row r="2132">
      <c r="A2132" s="14" t="str">
        <f t="shared" si="1"/>
        <v>C106446130</v>
      </c>
      <c r="B2132" s="185" t="str">
        <f t="array" ref="B2132">IF(F2132="VL","",IF(F2132="Free","Free",XLOOKUP(D2132,Roster!T:T,Roster!S:S,"",0)))</f>
        <v/>
      </c>
      <c r="C2132" s="313">
        <v>46130.0</v>
      </c>
      <c r="D2132" s="314" t="s">
        <v>175</v>
      </c>
      <c r="E2132" s="307" t="str">
        <f t="array" ref="E2132">(XLOOKUP(D2132,Roster!F:F,Roster!B:B,"",0))</f>
        <v>Daniel Urrego</v>
      </c>
      <c r="F2132" s="315" t="str">
        <f t="array" ref="F2132">IF(B2132=100,"Free",TEXT(XLOOKUP($D2132,OperationVoice!$A:$A,OperationVoice!X:X,XLOOKUP($D2132,OperationTickets!$A:$A,OperationTickets!X:X,"",0)),"hh:mm"))</f>
        <v>08:00</v>
      </c>
      <c r="G2132" s="309">
        <f t="shared" si="3"/>
        <v>0.7083333333</v>
      </c>
      <c r="H2132" s="316" t="str">
        <f t="array" ref="H2132">XLOOKUP(B2132,Roster!L:L,Roster!N:N,XLOOKUP(D2132,TicketsBreak!A:A,TicketsBreak!E:E,"",0),0)</f>
        <v/>
      </c>
      <c r="I2132" s="316" t="str">
        <f t="array" ref="I2132">XLOOKUP(B2132,Roster!L:L,Roster!O:O,XLOOKUP(D2132,TicketsBreak!A:A,TicketsBreak!F:F,"",0),0)</f>
        <v/>
      </c>
      <c r="J2132" s="316" t="str">
        <f t="array" ref="J2132">XLOOKUP(B2132,Roster!L:L,Roster!P:P,XLOOKUP(D2132,TicketsBreak!A:A,TicketsBreak!G:G,"",0),0)</f>
        <v/>
      </c>
      <c r="K2132" s="310">
        <f t="shared" si="4"/>
        <v>46130</v>
      </c>
      <c r="L2132" s="317">
        <f t="array" ref="L2132">(XLOOKUP(D2132,Roster!F:F,Roster!D:D,"",0))</f>
        <v>17</v>
      </c>
      <c r="M2132" s="317" t="str">
        <f t="array" ref="M2132">XLOOKUP(D2132,Roster!F:F,Roster!E:E)</f>
        <v>Tickets</v>
      </c>
      <c r="N2132" s="317" t="str">
        <f t="shared" ref="N2132:P2132" si="2164">LEFT(H2132,5)</f>
        <v/>
      </c>
      <c r="O2132" s="317" t="str">
        <f t="shared" si="2164"/>
        <v/>
      </c>
      <c r="P2132" s="317" t="str">
        <f t="shared" si="2164"/>
        <v/>
      </c>
      <c r="Q2132" s="318" t="str">
        <f t="shared" si="2083"/>
        <v/>
      </c>
      <c r="R2132" s="318" t="str">
        <f t="shared" si="2084"/>
        <v/>
      </c>
      <c r="S2132" s="318" t="str">
        <f t="shared" si="8"/>
        <v/>
      </c>
    </row>
    <row r="2133">
      <c r="A2133" s="14" t="str">
        <f t="shared" si="1"/>
        <v>C151346130</v>
      </c>
      <c r="B2133" s="185">
        <f t="array" ref="B2133">IF(F2133="VL","",IF(F2133="Free","Free",XLOOKUP(D2133,Roster!T:T,Roster!S:S,"",0)))</f>
        <v>126</v>
      </c>
      <c r="C2133" s="313">
        <v>46130.0</v>
      </c>
      <c r="D2133" s="314" t="s">
        <v>26</v>
      </c>
      <c r="E2133" s="307" t="str">
        <f t="array" ref="E2133">(XLOOKUP(D2133,Roster!F:F,Roster!B:B,"",0))</f>
        <v>David Patino</v>
      </c>
      <c r="F2133" s="315" t="str">
        <f t="array" ref="F2133">IF(B2133=100,"Free",TEXT(XLOOKUP($D2133,OperationVoice!$A:$A,OperationVoice!X:X,XLOOKUP($D2133,OperationTickets!$A:$A,OperationTickets!X:X,"",0)),"hh:mm"))</f>
        <v>08:00</v>
      </c>
      <c r="G2133" s="309">
        <f t="shared" si="3"/>
        <v>0.7083333333</v>
      </c>
      <c r="H2133" s="316" t="str">
        <f t="array" ref="H2133">XLOOKUP(B2133,Roster!L:L,Roster!N:N,XLOOKUP(D2133,TicketsBreak!A:A,TicketsBreak!E:E,"",0),0)</f>
        <v>10:45 - 11:00</v>
      </c>
      <c r="I2133" s="316" t="str">
        <f t="array" ref="I2133">XLOOKUP(B2133,Roster!L:L,Roster!O:O,XLOOKUP(D2133,TicketsBreak!A:A,TicketsBreak!F:F,"",0),0)</f>
        <v>14:00 - 14:30</v>
      </c>
      <c r="J2133" s="316" t="str">
        <f t="array" ref="J2133">XLOOKUP(B2133,Roster!L:L,Roster!P:P,XLOOKUP(D2133,TicketsBreak!A:A,TicketsBreak!G:G,"",0),0)</f>
        <v>15:45 - 16:00</v>
      </c>
      <c r="K2133" s="310">
        <f t="shared" si="4"/>
        <v>46130</v>
      </c>
      <c r="L2133" s="317">
        <f t="array" ref="L2133">(XLOOKUP(D2133,Roster!F:F,Roster!D:D,"",0))</f>
        <v>35</v>
      </c>
      <c r="M2133" s="317" t="str">
        <f t="array" ref="M2133">XLOOKUP(D2133,Roster!F:F,Roster!E:E)</f>
        <v>Voice</v>
      </c>
      <c r="N2133" s="317" t="str">
        <f t="shared" ref="N2133:P2133" si="2165">LEFT(H2133,5)</f>
        <v>10:45</v>
      </c>
      <c r="O2133" s="317" t="str">
        <f t="shared" si="2165"/>
        <v>14:00</v>
      </c>
      <c r="P2133" s="317" t="str">
        <f t="shared" si="2165"/>
        <v>15:45</v>
      </c>
      <c r="Q2133" s="318">
        <f t="shared" si="2083"/>
        <v>46130.44792</v>
      </c>
      <c r="R2133" s="318">
        <f t="shared" si="2084"/>
        <v>46130.58333</v>
      </c>
      <c r="S2133" s="318">
        <f t="shared" si="8"/>
        <v>46130.65625</v>
      </c>
    </row>
    <row r="2134">
      <c r="A2134" s="14" t="str">
        <f t="shared" si="1"/>
        <v>C127746130</v>
      </c>
      <c r="B2134" s="185">
        <f t="array" ref="B2134">IF(F2134="VL","",IF(F2134="Free","Free",XLOOKUP(D2134,Roster!T:T,Roster!S:S,"",0)))</f>
        <v>124</v>
      </c>
      <c r="C2134" s="313">
        <v>46130.0</v>
      </c>
      <c r="D2134" s="314" t="s">
        <v>27</v>
      </c>
      <c r="E2134" s="307" t="str">
        <f t="array" ref="E2134">(XLOOKUP(D2134,Roster!F:F,Roster!B:B,"",0))</f>
        <v>Edwuin Martinez</v>
      </c>
      <c r="F2134" s="315" t="str">
        <f t="array" ref="F2134">IF(B2134=100,"Free",TEXT(XLOOKUP($D2134,OperationVoice!$A:$A,OperationVoice!X:X,XLOOKUP($D2134,OperationTickets!$A:$A,OperationTickets!X:X,"",0)),"hh:mm"))</f>
        <v>08:00</v>
      </c>
      <c r="G2134" s="309">
        <f t="shared" si="3"/>
        <v>0.7083333333</v>
      </c>
      <c r="H2134" s="316" t="str">
        <f t="array" ref="H2134">XLOOKUP(B2134,Roster!L:L,Roster!N:N,XLOOKUP(D2134,TicketsBreak!A:A,TicketsBreak!E:E,"",0),0)</f>
        <v>10:00 - 10:15</v>
      </c>
      <c r="I2134" s="316" t="str">
        <f t="array" ref="I2134">XLOOKUP(B2134,Roster!L:L,Roster!O:O,XLOOKUP(D2134,TicketsBreak!A:A,TicketsBreak!F:F,"",0),0)</f>
        <v>13:00 - 13:30</v>
      </c>
      <c r="J2134" s="316" t="str">
        <f t="array" ref="J2134">XLOOKUP(B2134,Roster!L:L,Roster!P:P,XLOOKUP(D2134,TicketsBreak!A:A,TicketsBreak!G:G,"",0),0)</f>
        <v>15:30 - 15:45</v>
      </c>
      <c r="K2134" s="310">
        <f t="shared" si="4"/>
        <v>46130</v>
      </c>
      <c r="L2134" s="317">
        <f t="array" ref="L2134">(XLOOKUP(D2134,Roster!F:F,Roster!D:D,"",0))</f>
        <v>27</v>
      </c>
      <c r="M2134" s="317" t="str">
        <f t="array" ref="M2134">XLOOKUP(D2134,Roster!F:F,Roster!E:E)</f>
        <v>Voice</v>
      </c>
      <c r="N2134" s="317" t="str">
        <f t="shared" ref="N2134:P2134" si="2166">LEFT(H2134,5)</f>
        <v>10:00</v>
      </c>
      <c r="O2134" s="317" t="str">
        <f t="shared" si="2166"/>
        <v>13:00</v>
      </c>
      <c r="P2134" s="317" t="str">
        <f t="shared" si="2166"/>
        <v>15:30</v>
      </c>
      <c r="Q2134" s="318">
        <f t="shared" si="2083"/>
        <v>46130.41667</v>
      </c>
      <c r="R2134" s="318">
        <f t="shared" si="2084"/>
        <v>46130.54167</v>
      </c>
      <c r="S2134" s="318">
        <f t="shared" si="8"/>
        <v>46130.64583</v>
      </c>
    </row>
    <row r="2135">
      <c r="A2135" s="14" t="str">
        <f t="shared" si="1"/>
        <v>C121646130</v>
      </c>
      <c r="B2135" s="185" t="str">
        <f t="array" ref="B2135">IF(F2135="VL","",IF(F2135="Free","Free",XLOOKUP(D2135,Roster!T:T,Roster!S:S,"",0)))</f>
        <v/>
      </c>
      <c r="C2135" s="313">
        <v>46130.0</v>
      </c>
      <c r="D2135" s="314" t="s">
        <v>134</v>
      </c>
      <c r="E2135" s="307" t="str">
        <f t="array" ref="E2135">(XLOOKUP(D2135,Roster!F:F,Roster!B:B,"",0))</f>
        <v>Eliana Pena</v>
      </c>
      <c r="F2135" s="315" t="str">
        <f t="array" ref="F2135">IF(B2135=100,"Free",TEXT(XLOOKUP($D2135,OperationVoice!$A:$A,OperationVoice!X:X,XLOOKUP($D2135,OperationTickets!$A:$A,OperationTickets!X:X,"",0)),"hh:mm"))</f>
        <v>08:00</v>
      </c>
      <c r="G2135" s="309">
        <f t="shared" si="3"/>
        <v>0.7083333333</v>
      </c>
      <c r="H2135" s="316">
        <f t="array" ref="H2135">XLOOKUP(B2135,Roster!L:L,Roster!N:N,XLOOKUP(D2135,TicketsBreak!A:A,TicketsBreak!E:E,"",0),0)</f>
        <v>0.3958333333</v>
      </c>
      <c r="I2135" s="316">
        <f t="array" ref="I2135">XLOOKUP(B2135,Roster!L:L,Roster!O:O,XLOOKUP(D2135,TicketsBreak!A:A,TicketsBreak!F:F,"",0),0)</f>
        <v>0.5416666667</v>
      </c>
      <c r="J2135" s="316">
        <f t="array" ref="J2135">XLOOKUP(B2135,Roster!L:L,Roster!P:P,XLOOKUP(D2135,TicketsBreak!A:A,TicketsBreak!G:G,"",0),0)</f>
        <v>0.6354166667</v>
      </c>
      <c r="K2135" s="310">
        <f t="shared" si="4"/>
        <v>46130</v>
      </c>
      <c r="L2135" s="317">
        <f t="array" ref="L2135">(XLOOKUP(D2135,Roster!F:F,Roster!D:D,"",0))</f>
        <v>26</v>
      </c>
      <c r="M2135" s="317" t="str">
        <f t="array" ref="M2135">XLOOKUP(D2135,Roster!F:F,Roster!E:E)</f>
        <v>Tickets</v>
      </c>
      <c r="N2135" s="317" t="str">
        <f t="shared" ref="N2135:P2135" si="2167">LEFT(H2135,5)</f>
        <v>09:30</v>
      </c>
      <c r="O2135" s="317" t="str">
        <f t="shared" si="2167"/>
        <v>13:00</v>
      </c>
      <c r="P2135" s="317" t="str">
        <f t="shared" si="2167"/>
        <v>15:15</v>
      </c>
      <c r="Q2135" s="318">
        <f t="shared" si="2083"/>
        <v>46130.39583</v>
      </c>
      <c r="R2135" s="318">
        <f t="shared" si="2084"/>
        <v>46130.54167</v>
      </c>
      <c r="S2135" s="318">
        <f t="shared" si="8"/>
        <v>46130.63542</v>
      </c>
    </row>
    <row r="2136">
      <c r="A2136" s="14" t="str">
        <f t="shared" si="1"/>
        <v>C157346130</v>
      </c>
      <c r="B2136" s="185">
        <f t="array" ref="B2136">IF(F2136="VL","",IF(F2136="Free","Free",XLOOKUP(D2136,Roster!T:T,Roster!S:S,"",0)))</f>
        <v>123</v>
      </c>
      <c r="C2136" s="313">
        <v>46130.0</v>
      </c>
      <c r="D2136" s="314" t="s">
        <v>28</v>
      </c>
      <c r="E2136" s="307" t="str">
        <f t="array" ref="E2136">(XLOOKUP(D2136,Roster!F:F,Roster!B:B,"",0))</f>
        <v>Esteban Correa</v>
      </c>
      <c r="F2136" s="315" t="str">
        <f t="array" ref="F2136">IF(B2136=100,"Free",TEXT(XLOOKUP($D2136,OperationVoice!$A:$A,OperationVoice!X:X,XLOOKUP($D2136,OperationTickets!$A:$A,OperationTickets!X:X,"",0)),"hh:mm"))</f>
        <v>08:00</v>
      </c>
      <c r="G2136" s="309">
        <f t="shared" si="3"/>
        <v>0.7083333333</v>
      </c>
      <c r="H2136" s="316" t="str">
        <f t="array" ref="H2136">XLOOKUP(B2136,Roster!L:L,Roster!N:N,XLOOKUP(D2136,TicketsBreak!A:A,TicketsBreak!E:E,"",0),0)</f>
        <v>09:45 - 10:00 </v>
      </c>
      <c r="I2136" s="316" t="str">
        <f t="array" ref="I2136">XLOOKUP(B2136,Roster!L:L,Roster!O:O,XLOOKUP(D2136,TicketsBreak!A:A,TicketsBreak!F:F,"",0),0)</f>
        <v>12:30 - 13:00</v>
      </c>
      <c r="J2136" s="316" t="str">
        <f t="array" ref="J2136">XLOOKUP(B2136,Roster!L:L,Roster!P:P,XLOOKUP(D2136,TicketsBreak!A:A,TicketsBreak!G:G,"",0),0)</f>
        <v>15:00 - 15:15</v>
      </c>
      <c r="K2136" s="310">
        <f t="shared" si="4"/>
        <v>46130</v>
      </c>
      <c r="L2136" s="317">
        <f t="array" ref="L2136">(XLOOKUP(D2136,Roster!F:F,Roster!D:D,"",0))</f>
        <v>38</v>
      </c>
      <c r="M2136" s="317" t="str">
        <f t="array" ref="M2136">XLOOKUP(D2136,Roster!F:F,Roster!E:E)</f>
        <v>Voice</v>
      </c>
      <c r="N2136" s="317" t="str">
        <f t="shared" ref="N2136:P2136" si="2168">LEFT(H2136,5)</f>
        <v>09:45</v>
      </c>
      <c r="O2136" s="317" t="str">
        <f t="shared" si="2168"/>
        <v>12:30</v>
      </c>
      <c r="P2136" s="317" t="str">
        <f t="shared" si="2168"/>
        <v>15:00</v>
      </c>
      <c r="Q2136" s="318">
        <f t="shared" si="2083"/>
        <v>46130.40625</v>
      </c>
      <c r="R2136" s="318">
        <f t="shared" si="2084"/>
        <v>46130.52083</v>
      </c>
      <c r="S2136" s="318">
        <f t="shared" si="8"/>
        <v>46130.625</v>
      </c>
    </row>
    <row r="2137">
      <c r="A2137" s="14" t="str">
        <f t="shared" si="1"/>
        <v>C71346130</v>
      </c>
      <c r="B2137" s="185" t="str">
        <f t="array" ref="B2137">IF(F2137="VL","",IF(F2137="Free","Free",XLOOKUP(D2137,Roster!T:T,Roster!S:S,"",0)))</f>
        <v>Free</v>
      </c>
      <c r="C2137" s="313">
        <v>46130.0</v>
      </c>
      <c r="D2137" s="314" t="s">
        <v>29</v>
      </c>
      <c r="E2137" s="307" t="str">
        <f t="array" ref="E2137">(XLOOKUP(D2137,Roster!F:F,Roster!B:B,"",0))</f>
        <v>Frank Marin</v>
      </c>
      <c r="F2137" s="315" t="str">
        <f t="array" ref="F2137">IF(B2137=100,"Free",TEXT(XLOOKUP($D2137,OperationVoice!$A:$A,OperationVoice!X:X,XLOOKUP($D2137,OperationTickets!$A:$A,OperationTickets!X:X,"",0)),"hh:mm"))</f>
        <v>Free</v>
      </c>
      <c r="G2137" s="309" t="str">
        <f t="shared" si="3"/>
        <v>Free</v>
      </c>
      <c r="H2137" s="316" t="str">
        <f t="array" ref="H2137">XLOOKUP(B2137,Roster!L:L,Roster!N:N,XLOOKUP(D2137,TicketsBreak!A:A,TicketsBreak!E:E,"",0),0)</f>
        <v/>
      </c>
      <c r="I2137" s="316" t="str">
        <f t="array" ref="I2137">XLOOKUP(B2137,Roster!L:L,Roster!O:O,XLOOKUP(D2137,TicketsBreak!A:A,TicketsBreak!F:F,"",0),0)</f>
        <v/>
      </c>
      <c r="J2137" s="316" t="str">
        <f t="array" ref="J2137">XLOOKUP(B2137,Roster!L:L,Roster!P:P,XLOOKUP(D2137,TicketsBreak!A:A,TicketsBreak!G:G,"",0),0)</f>
        <v/>
      </c>
      <c r="K2137" s="310">
        <f t="shared" si="4"/>
        <v>46130</v>
      </c>
      <c r="L2137" s="317">
        <f t="array" ref="L2137">(XLOOKUP(D2137,Roster!F:F,Roster!D:D,"",0))</f>
        <v>6</v>
      </c>
      <c r="M2137" s="317" t="str">
        <f t="array" ref="M2137">XLOOKUP(D2137,Roster!F:F,Roster!E:E)</f>
        <v>Voice</v>
      </c>
      <c r="N2137" s="317" t="str">
        <f t="shared" ref="N2137:P2137" si="2169">LEFT(H2137,5)</f>
        <v/>
      </c>
      <c r="O2137" s="317" t="str">
        <f t="shared" si="2169"/>
        <v/>
      </c>
      <c r="P2137" s="317" t="str">
        <f t="shared" si="2169"/>
        <v/>
      </c>
      <c r="Q2137" s="318" t="str">
        <f t="shared" si="2083"/>
        <v/>
      </c>
      <c r="R2137" s="318" t="str">
        <f t="shared" si="2084"/>
        <v/>
      </c>
      <c r="S2137" s="318" t="str">
        <f t="shared" si="8"/>
        <v/>
      </c>
    </row>
    <row r="2138">
      <c r="A2138" s="14" t="str">
        <f t="shared" si="1"/>
        <v>C154846130</v>
      </c>
      <c r="B2138" s="185">
        <f t="array" ref="B2138">IF(F2138="VL","",IF(F2138="Free","Free",XLOOKUP(D2138,Roster!T:T,Roster!S:S,"",0)))</f>
        <v>152</v>
      </c>
      <c r="C2138" s="313">
        <v>46130.0</v>
      </c>
      <c r="D2138" s="314" t="s">
        <v>30</v>
      </c>
      <c r="E2138" s="307" t="str">
        <f t="array" ref="E2138">(XLOOKUP(D2138,Roster!F:F,Roster!B:B,"",0))</f>
        <v>Frey ortiz</v>
      </c>
      <c r="F2138" s="315" t="str">
        <f t="array" ref="F2138">IF(B2138=100,"Free",TEXT(XLOOKUP($D2138,OperationVoice!$A:$A,OperationVoice!X:X,XLOOKUP($D2138,OperationTickets!$A:$A,OperationTickets!X:X,"",0)),"hh:mm"))</f>
        <v>11:00</v>
      </c>
      <c r="G2138" s="309">
        <f t="shared" si="3"/>
        <v>0.8333333333</v>
      </c>
      <c r="H2138" s="316" t="str">
        <f t="array" ref="H2138">XLOOKUP(B2138,Roster!L:L,Roster!N:N,XLOOKUP(D2138,TicketsBreak!A:A,TicketsBreak!E:E,"",0),0)</f>
        <v>12:30 - 12:45</v>
      </c>
      <c r="I2138" s="316" t="str">
        <f t="array" ref="I2138">XLOOKUP(B2138,Roster!L:L,Roster!O:O,XLOOKUP(D2138,TicketsBreak!A:A,TicketsBreak!F:F,"",0),0)</f>
        <v>14:30 - 15:00</v>
      </c>
      <c r="J2138" s="316" t="str">
        <f t="array" ref="J2138">XLOOKUP(B2138,Roster!L:L,Roster!P:P,XLOOKUP(D2138,TicketsBreak!A:A,TicketsBreak!G:G,"",0),0)</f>
        <v>17:30 - 17:45</v>
      </c>
      <c r="K2138" s="310">
        <f t="shared" si="4"/>
        <v>46130</v>
      </c>
      <c r="L2138" s="317">
        <f t="array" ref="L2138">(XLOOKUP(D2138,Roster!F:F,Roster!D:D,"",0))</f>
        <v>37</v>
      </c>
      <c r="M2138" s="317" t="str">
        <f t="array" ref="M2138">XLOOKUP(D2138,Roster!F:F,Roster!E:E)</f>
        <v>Voice</v>
      </c>
      <c r="N2138" s="317" t="str">
        <f t="shared" ref="N2138:P2138" si="2170">LEFT(H2138,5)</f>
        <v>12:30</v>
      </c>
      <c r="O2138" s="317" t="str">
        <f t="shared" si="2170"/>
        <v>14:30</v>
      </c>
      <c r="P2138" s="317" t="str">
        <f t="shared" si="2170"/>
        <v>17:30</v>
      </c>
      <c r="Q2138" s="318">
        <f t="shared" si="2083"/>
        <v>46130.52083</v>
      </c>
      <c r="R2138" s="318">
        <f t="shared" si="2084"/>
        <v>46130.60417</v>
      </c>
      <c r="S2138" s="318">
        <f t="shared" si="8"/>
        <v>46130.72917</v>
      </c>
    </row>
    <row r="2139">
      <c r="A2139" s="14" t="str">
        <f t="shared" si="1"/>
        <v>C148646130</v>
      </c>
      <c r="B2139" s="185">
        <f t="array" ref="B2139">IF(F2139="VL","",IF(F2139="Free","Free",XLOOKUP(D2139,Roster!T:T,Roster!S:S,"",0)))</f>
        <v>154</v>
      </c>
      <c r="C2139" s="313">
        <v>46130.0</v>
      </c>
      <c r="D2139" s="314" t="s">
        <v>31</v>
      </c>
      <c r="E2139" s="307" t="str">
        <f t="array" ref="E2139">(XLOOKUP(D2139,Roster!F:F,Roster!B:B,"",0))</f>
        <v>Gabriel Gomez</v>
      </c>
      <c r="F2139" s="315" t="str">
        <f t="array" ref="F2139">IF(B2139=100,"Free",TEXT(XLOOKUP($D2139,OperationVoice!$A:$A,OperationVoice!X:X,XLOOKUP($D2139,OperationTickets!$A:$A,OperationTickets!X:X,"",0)),"hh:mm"))</f>
        <v>11:00</v>
      </c>
      <c r="G2139" s="309">
        <f t="shared" si="3"/>
        <v>0.8333333333</v>
      </c>
      <c r="H2139" s="316" t="str">
        <f t="array" ref="H2139">XLOOKUP(B2139,Roster!L:L,Roster!N:N,XLOOKUP(D2139,TicketsBreak!A:A,TicketsBreak!E:E,"",0),0)</f>
        <v>13:00 - 13:15</v>
      </c>
      <c r="I2139" s="316" t="str">
        <f t="array" ref="I2139">XLOOKUP(B2139,Roster!L:L,Roster!O:O,XLOOKUP(D2139,TicketsBreak!A:A,TicketsBreak!F:F,"",0),0)</f>
        <v>15:15 - 15:45</v>
      </c>
      <c r="J2139" s="316" t="str">
        <f t="array" ref="J2139">XLOOKUP(B2139,Roster!L:L,Roster!P:P,XLOOKUP(D2139,TicketsBreak!A:A,TicketsBreak!G:G,"",0),0)</f>
        <v>18:00 - 18:15</v>
      </c>
      <c r="K2139" s="310">
        <f t="shared" si="4"/>
        <v>46130</v>
      </c>
      <c r="L2139" s="317">
        <f t="array" ref="L2139">(XLOOKUP(D2139,Roster!F:F,Roster!D:D,"",0))</f>
        <v>34</v>
      </c>
      <c r="M2139" s="317" t="str">
        <f t="array" ref="M2139">XLOOKUP(D2139,Roster!F:F,Roster!E:E)</f>
        <v>Voice</v>
      </c>
      <c r="N2139" s="317" t="str">
        <f t="shared" ref="N2139:P2139" si="2171">LEFT(H2139,5)</f>
        <v>13:00</v>
      </c>
      <c r="O2139" s="317" t="str">
        <f t="shared" si="2171"/>
        <v>15:15</v>
      </c>
      <c r="P2139" s="317" t="str">
        <f t="shared" si="2171"/>
        <v>18:00</v>
      </c>
      <c r="Q2139" s="318">
        <f t="shared" si="2083"/>
        <v>46130.54167</v>
      </c>
      <c r="R2139" s="318">
        <f t="shared" si="2084"/>
        <v>46130.63542</v>
      </c>
      <c r="S2139" s="318">
        <f t="shared" si="8"/>
        <v>46130.75</v>
      </c>
    </row>
    <row r="2140">
      <c r="A2140" s="14" t="str">
        <f t="shared" si="1"/>
        <v>C136946130</v>
      </c>
      <c r="B2140" s="185" t="str">
        <f t="array" ref="B2140">IF(F2140="VL","",IF(F2140="Free","Free",XLOOKUP(D2140,Roster!T:T,Roster!S:S,"",0)))</f>
        <v>Free</v>
      </c>
      <c r="C2140" s="313">
        <v>46130.0</v>
      </c>
      <c r="D2140" s="314" t="s">
        <v>157</v>
      </c>
      <c r="E2140" s="307" t="str">
        <f t="array" ref="E2140">(XLOOKUP(D2140,Roster!F:F,Roster!B:B,"",0))</f>
        <v>Gabriela Jimenez</v>
      </c>
      <c r="F2140" s="315" t="str">
        <f t="array" ref="F2140">IF(B2140=100,"Free",TEXT(XLOOKUP($D2140,OperationVoice!$A:$A,OperationVoice!X:X,XLOOKUP($D2140,OperationTickets!$A:$A,OperationTickets!X:X,"",0)),"hh:mm"))</f>
        <v>Free</v>
      </c>
      <c r="G2140" s="309" t="str">
        <f t="shared" si="3"/>
        <v>Free</v>
      </c>
      <c r="H2140" s="316" t="str">
        <f t="array" ref="H2140">XLOOKUP(B2140,Roster!L:L,Roster!N:N,XLOOKUP(D2140,TicketsBreak!A:A,TicketsBreak!E:E,"",0),0)</f>
        <v/>
      </c>
      <c r="I2140" s="316" t="str">
        <f t="array" ref="I2140">XLOOKUP(B2140,Roster!L:L,Roster!O:O,XLOOKUP(D2140,TicketsBreak!A:A,TicketsBreak!F:F,"",0),0)</f>
        <v/>
      </c>
      <c r="J2140" s="316" t="str">
        <f t="array" ref="J2140">XLOOKUP(B2140,Roster!L:L,Roster!P:P,XLOOKUP(D2140,TicketsBreak!A:A,TicketsBreak!G:G,"",0),0)</f>
        <v/>
      </c>
      <c r="K2140" s="310">
        <f t="shared" si="4"/>
        <v>46130</v>
      </c>
      <c r="L2140" s="317">
        <f t="array" ref="L2140">(XLOOKUP(D2140,Roster!F:F,Roster!D:D,"",0))</f>
        <v>31</v>
      </c>
      <c r="M2140" s="317" t="str">
        <f t="array" ref="M2140">XLOOKUP(D2140,Roster!F:F,Roster!E:E)</f>
        <v>Tickets</v>
      </c>
      <c r="N2140" s="317" t="str">
        <f t="shared" ref="N2140:P2140" si="2172">LEFT(H2140,5)</f>
        <v/>
      </c>
      <c r="O2140" s="317" t="str">
        <f t="shared" si="2172"/>
        <v/>
      </c>
      <c r="P2140" s="317" t="str">
        <f t="shared" si="2172"/>
        <v/>
      </c>
      <c r="Q2140" s="318" t="str">
        <f t="shared" si="2083"/>
        <v/>
      </c>
      <c r="R2140" s="318" t="str">
        <f t="shared" si="2084"/>
        <v/>
      </c>
      <c r="S2140" s="318" t="str">
        <f t="shared" si="8"/>
        <v/>
      </c>
    </row>
    <row r="2141">
      <c r="A2141" s="14" t="str">
        <f t="shared" si="1"/>
        <v>C101746130</v>
      </c>
      <c r="B2141" s="185" t="str">
        <f t="array" ref="B2141">IF(F2141="VL","",IF(F2141="Free","Free",XLOOKUP(D2141,Roster!T:T,Roster!S:S,"",0)))</f>
        <v>Free</v>
      </c>
      <c r="C2141" s="313">
        <v>46130.0</v>
      </c>
      <c r="D2141" s="314" t="s">
        <v>32</v>
      </c>
      <c r="E2141" s="307" t="str">
        <f t="array" ref="E2141">(XLOOKUP(D2141,Roster!F:F,Roster!B:B,"",0))</f>
        <v>Geraldine Correa</v>
      </c>
      <c r="F2141" s="315" t="str">
        <f t="array" ref="F2141">IF(B2141=100,"Free",TEXT(XLOOKUP($D2141,OperationVoice!$A:$A,OperationVoice!X:X,XLOOKUP($D2141,OperationTickets!$A:$A,OperationTickets!X:X,"",0)),"hh:mm"))</f>
        <v>Free</v>
      </c>
      <c r="G2141" s="309" t="str">
        <f t="shared" si="3"/>
        <v>Free</v>
      </c>
      <c r="H2141" s="316" t="str">
        <f t="array" ref="H2141">XLOOKUP(B2141,Roster!L:L,Roster!N:N,XLOOKUP(D2141,TicketsBreak!A:A,TicketsBreak!E:E,"",0),0)</f>
        <v/>
      </c>
      <c r="I2141" s="316" t="str">
        <f t="array" ref="I2141">XLOOKUP(B2141,Roster!L:L,Roster!O:O,XLOOKUP(D2141,TicketsBreak!A:A,TicketsBreak!F:F,"",0),0)</f>
        <v/>
      </c>
      <c r="J2141" s="316" t="str">
        <f t="array" ref="J2141">XLOOKUP(B2141,Roster!L:L,Roster!P:P,XLOOKUP(D2141,TicketsBreak!A:A,TicketsBreak!G:G,"",0),0)</f>
        <v/>
      </c>
      <c r="K2141" s="310">
        <f t="shared" si="4"/>
        <v>46130</v>
      </c>
      <c r="L2141" s="317">
        <f t="array" ref="L2141">(XLOOKUP(D2141,Roster!F:F,Roster!D:D,"",0))</f>
        <v>23</v>
      </c>
      <c r="M2141" s="317" t="str">
        <f t="array" ref="M2141">XLOOKUP(D2141,Roster!F:F,Roster!E:E)</f>
        <v>Voice</v>
      </c>
      <c r="N2141" s="317" t="str">
        <f t="shared" ref="N2141:P2141" si="2173">LEFT(H2141,5)</f>
        <v/>
      </c>
      <c r="O2141" s="317" t="str">
        <f t="shared" si="2173"/>
        <v/>
      </c>
      <c r="P2141" s="317" t="str">
        <f t="shared" si="2173"/>
        <v/>
      </c>
      <c r="Q2141" s="318" t="str">
        <f t="shared" si="2083"/>
        <v/>
      </c>
      <c r="R2141" s="318" t="str">
        <f t="shared" si="2084"/>
        <v/>
      </c>
      <c r="S2141" s="318" t="str">
        <f t="shared" si="8"/>
        <v/>
      </c>
    </row>
    <row r="2142">
      <c r="A2142" s="14" t="str">
        <f t="shared" si="1"/>
        <v>C154146130</v>
      </c>
      <c r="B2142" s="185">
        <f t="array" ref="B2142">IF(F2142="VL","",IF(F2142="Free","Free",XLOOKUP(D2142,Roster!T:T,Roster!S:S,"",0)))</f>
        <v>155</v>
      </c>
      <c r="C2142" s="313">
        <v>46130.0</v>
      </c>
      <c r="D2142" s="314" t="s">
        <v>33</v>
      </c>
      <c r="E2142" s="307" t="str">
        <f t="array" ref="E2142">(XLOOKUP(D2142,Roster!F:F,Roster!B:B,"",0))</f>
        <v>Gisel Moya</v>
      </c>
      <c r="F2142" s="315" t="str">
        <f t="array" ref="F2142">IF(B2142=100,"Free",TEXT(XLOOKUP($D2142,OperationVoice!$A:$A,OperationVoice!X:X,XLOOKUP($D2142,OperationTickets!$A:$A,OperationTickets!X:X,"",0)),"hh:mm"))</f>
        <v>11:00</v>
      </c>
      <c r="G2142" s="309">
        <f t="shared" si="3"/>
        <v>0.8333333333</v>
      </c>
      <c r="H2142" s="316" t="str">
        <f t="array" ref="H2142">XLOOKUP(B2142,Roster!L:L,Roster!N:N,XLOOKUP(D2142,TicketsBreak!A:A,TicketsBreak!E:E,"",0),0)</f>
        <v>13:15 - 13:30</v>
      </c>
      <c r="I2142" s="316" t="str">
        <f t="array" ref="I2142">XLOOKUP(B2142,Roster!L:L,Roster!O:O,XLOOKUP(D2142,TicketsBreak!A:A,TicketsBreak!F:F,"",0),0)</f>
        <v>15:45 - 16:15</v>
      </c>
      <c r="J2142" s="316" t="str">
        <f t="array" ref="J2142">XLOOKUP(B2142,Roster!L:L,Roster!P:P,XLOOKUP(D2142,TicketsBreak!A:A,TicketsBreak!G:G,"",0),0)</f>
        <v>18:15 - 18:30</v>
      </c>
      <c r="K2142" s="310">
        <f t="shared" si="4"/>
        <v>46130</v>
      </c>
      <c r="L2142" s="317">
        <f t="array" ref="L2142">(XLOOKUP(D2142,Roster!F:F,Roster!D:D,"",0))</f>
        <v>36</v>
      </c>
      <c r="M2142" s="317" t="str">
        <f t="array" ref="M2142">XLOOKUP(D2142,Roster!F:F,Roster!E:E)</f>
        <v>Voice</v>
      </c>
      <c r="N2142" s="317" t="str">
        <f t="shared" ref="N2142:P2142" si="2174">LEFT(H2142,5)</f>
        <v>13:15</v>
      </c>
      <c r="O2142" s="317" t="str">
        <f t="shared" si="2174"/>
        <v>15:45</v>
      </c>
      <c r="P2142" s="317" t="str">
        <f t="shared" si="2174"/>
        <v>18:15</v>
      </c>
      <c r="Q2142" s="318">
        <f t="shared" si="2083"/>
        <v>46130.55208</v>
      </c>
      <c r="R2142" s="318">
        <f t="shared" si="2084"/>
        <v>46130.65625</v>
      </c>
      <c r="S2142" s="318">
        <f t="shared" si="8"/>
        <v>46130.76042</v>
      </c>
    </row>
    <row r="2143">
      <c r="A2143" s="14" t="str">
        <f t="shared" si="1"/>
        <v>C86046130</v>
      </c>
      <c r="B2143" s="185" t="str">
        <f t="array" ref="B2143">IF(F2143="VL","",IF(F2143="Free","Free",XLOOKUP(D2143,Roster!T:T,Roster!S:S,"",0)))</f>
        <v/>
      </c>
      <c r="C2143" s="313">
        <v>46130.0</v>
      </c>
      <c r="D2143" s="314" t="s">
        <v>158</v>
      </c>
      <c r="E2143" s="307" t="str">
        <f t="array" ref="E2143">(XLOOKUP(D2143,Roster!F:F,Roster!B:B,"",0))</f>
        <v>Ief Fabre</v>
      </c>
      <c r="F2143" s="315" t="str">
        <f t="array" ref="F2143">IF(B2143=100,"Free",TEXT(XLOOKUP($D2143,OperationVoice!$A:$A,OperationVoice!X:X,XLOOKUP($D2143,OperationTickets!$A:$A,OperationTickets!X:X,"",0)),"hh:mm"))</f>
        <v>08:00</v>
      </c>
      <c r="G2143" s="309">
        <f t="shared" si="3"/>
        <v>0.7083333333</v>
      </c>
      <c r="H2143" s="316">
        <f t="array" ref="H2143">XLOOKUP(B2143,Roster!L:L,Roster!N:N,XLOOKUP(D2143,TicketsBreak!A:A,TicketsBreak!E:E,"",0),0)</f>
        <v>0.4166666667</v>
      </c>
      <c r="I2143" s="316">
        <f t="array" ref="I2143">XLOOKUP(B2143,Roster!L:L,Roster!O:O,XLOOKUP(D2143,TicketsBreak!A:A,TicketsBreak!F:F,"",0),0)</f>
        <v>0.5</v>
      </c>
      <c r="J2143" s="316">
        <f t="array" ref="J2143">XLOOKUP(B2143,Roster!L:L,Roster!P:P,XLOOKUP(D2143,TicketsBreak!A:A,TicketsBreak!G:G,"",0),0)</f>
        <v>0.625</v>
      </c>
      <c r="K2143" s="310">
        <f t="shared" si="4"/>
        <v>46130</v>
      </c>
      <c r="L2143" s="317">
        <f t="array" ref="L2143">(XLOOKUP(D2143,Roster!F:F,Roster!D:D,"",0))</f>
        <v>10</v>
      </c>
      <c r="M2143" s="317" t="str">
        <f t="array" ref="M2143">XLOOKUP(D2143,Roster!F:F,Roster!E:E)</f>
        <v>Tickets</v>
      </c>
      <c r="N2143" s="317" t="str">
        <f t="shared" ref="N2143:P2143" si="2175">LEFT(H2143,5)</f>
        <v>10:00</v>
      </c>
      <c r="O2143" s="317" t="str">
        <f t="shared" si="2175"/>
        <v>12:00</v>
      </c>
      <c r="P2143" s="317" t="str">
        <f t="shared" si="2175"/>
        <v>15:00</v>
      </c>
      <c r="Q2143" s="318">
        <f t="shared" si="2083"/>
        <v>46130.41667</v>
      </c>
      <c r="R2143" s="318">
        <f t="shared" si="2084"/>
        <v>46130.5</v>
      </c>
      <c r="S2143" s="318">
        <f t="shared" si="8"/>
        <v>46130.625</v>
      </c>
    </row>
    <row r="2144">
      <c r="A2144" s="14" t="str">
        <f t="shared" si="1"/>
        <v>C148146130</v>
      </c>
      <c r="B2144" s="185">
        <f t="array" ref="B2144">IF(F2144="VL","",IF(F2144="Free","Free",XLOOKUP(D2144,Roster!T:T,Roster!S:S,"",0)))</f>
        <v>155</v>
      </c>
      <c r="C2144" s="313">
        <v>46130.0</v>
      </c>
      <c r="D2144" s="314" t="s">
        <v>34</v>
      </c>
      <c r="E2144" s="307" t="str">
        <f t="array" ref="E2144">(XLOOKUP(D2144,Roster!F:F,Roster!B:B,"",0))</f>
        <v>Jasam Mejia</v>
      </c>
      <c r="F2144" s="315" t="str">
        <f t="array" ref="F2144">IF(B2144=100,"Free",TEXT(XLOOKUP($D2144,OperationVoice!$A:$A,OperationVoice!X:X,XLOOKUP($D2144,OperationTickets!$A:$A,OperationTickets!X:X,"",0)),"hh:mm"))</f>
        <v>10:00</v>
      </c>
      <c r="G2144" s="309">
        <f t="shared" si="3"/>
        <v>0.7916666667</v>
      </c>
      <c r="H2144" s="316" t="str">
        <f t="array" ref="H2144">XLOOKUP(B2144,Roster!L:L,Roster!N:N,XLOOKUP(D2144,TicketsBreak!A:A,TicketsBreak!E:E,"",0),0)</f>
        <v>13:15 - 13:30</v>
      </c>
      <c r="I2144" s="316" t="str">
        <f t="array" ref="I2144">XLOOKUP(B2144,Roster!L:L,Roster!O:O,XLOOKUP(D2144,TicketsBreak!A:A,TicketsBreak!F:F,"",0),0)</f>
        <v>15:45 - 16:15</v>
      </c>
      <c r="J2144" s="316" t="str">
        <f t="array" ref="J2144">XLOOKUP(B2144,Roster!L:L,Roster!P:P,XLOOKUP(D2144,TicketsBreak!A:A,TicketsBreak!G:G,"",0),0)</f>
        <v>18:15 - 18:30</v>
      </c>
      <c r="K2144" s="310">
        <f t="shared" si="4"/>
        <v>46130</v>
      </c>
      <c r="L2144" s="317">
        <f t="array" ref="L2144">(XLOOKUP(D2144,Roster!F:F,Roster!D:D,"",0))</f>
        <v>34</v>
      </c>
      <c r="M2144" s="317" t="str">
        <f t="array" ref="M2144">XLOOKUP(D2144,Roster!F:F,Roster!E:E)</f>
        <v>Voice</v>
      </c>
      <c r="N2144" s="317" t="str">
        <f t="shared" ref="N2144:P2144" si="2176">LEFT(H2144,5)</f>
        <v>13:15</v>
      </c>
      <c r="O2144" s="317" t="str">
        <f t="shared" si="2176"/>
        <v>15:45</v>
      </c>
      <c r="P2144" s="317" t="str">
        <f t="shared" si="2176"/>
        <v>18:15</v>
      </c>
      <c r="Q2144" s="318">
        <f t="shared" si="2083"/>
        <v>46130.55208</v>
      </c>
      <c r="R2144" s="318">
        <f t="shared" si="2084"/>
        <v>46130.65625</v>
      </c>
      <c r="S2144" s="318">
        <f t="shared" si="8"/>
        <v>46130.76042</v>
      </c>
    </row>
    <row r="2145">
      <c r="A2145" s="14" t="str">
        <f t="shared" si="1"/>
        <v>C131846130</v>
      </c>
      <c r="B2145" s="185" t="str">
        <f t="array" ref="B2145">IF(F2145="VL","",IF(F2145="Free","Free",XLOOKUP(D2145,Roster!T:T,Roster!S:S,"",0)))</f>
        <v/>
      </c>
      <c r="C2145" s="313">
        <v>46130.0</v>
      </c>
      <c r="D2145" s="314" t="s">
        <v>159</v>
      </c>
      <c r="E2145" s="307" t="str">
        <f t="array" ref="E2145">(XLOOKUP(D2145,Roster!F:F,Roster!B:B,"",0))</f>
        <v>Jeampierre Jaramillo</v>
      </c>
      <c r="F2145" s="315" t="str">
        <f t="array" ref="F2145">IF(B2145=100,"Free",TEXT(XLOOKUP($D2145,OperationVoice!$A:$A,OperationVoice!X:X,XLOOKUP($D2145,OperationTickets!$A:$A,OperationTickets!X:X,"",0)),"hh:mm"))</f>
        <v>07:00</v>
      </c>
      <c r="G2145" s="309">
        <f t="shared" si="3"/>
        <v>0.6666666667</v>
      </c>
      <c r="H2145" s="316" t="str">
        <f t="array" ref="H2145">XLOOKUP(B2145,Roster!L:L,Roster!N:N,XLOOKUP(D2145,TicketsBreak!A:A,TicketsBreak!E:E,"",0),0)</f>
        <v/>
      </c>
      <c r="I2145" s="316" t="str">
        <f t="array" ref="I2145">XLOOKUP(B2145,Roster!L:L,Roster!O:O,XLOOKUP(D2145,TicketsBreak!A:A,TicketsBreak!F:F,"",0),0)</f>
        <v/>
      </c>
      <c r="J2145" s="316" t="str">
        <f t="array" ref="J2145">XLOOKUP(B2145,Roster!L:L,Roster!P:P,XLOOKUP(D2145,TicketsBreak!A:A,TicketsBreak!G:G,"",0),0)</f>
        <v/>
      </c>
      <c r="K2145" s="310">
        <f t="shared" si="4"/>
        <v>46130</v>
      </c>
      <c r="L2145" s="317">
        <f t="array" ref="L2145">(XLOOKUP(D2145,Roster!F:F,Roster!D:D,"",0))</f>
        <v>29</v>
      </c>
      <c r="M2145" s="317" t="str">
        <f t="array" ref="M2145">XLOOKUP(D2145,Roster!F:F,Roster!E:E)</f>
        <v>Tickets</v>
      </c>
      <c r="N2145" s="317" t="str">
        <f t="shared" ref="N2145:P2145" si="2177">LEFT(H2145,5)</f>
        <v/>
      </c>
      <c r="O2145" s="317" t="str">
        <f t="shared" si="2177"/>
        <v/>
      </c>
      <c r="P2145" s="317" t="str">
        <f t="shared" si="2177"/>
        <v/>
      </c>
      <c r="Q2145" s="318" t="str">
        <f t="shared" si="2083"/>
        <v/>
      </c>
      <c r="R2145" s="318" t="str">
        <f t="shared" si="2084"/>
        <v/>
      </c>
      <c r="S2145" s="318" t="str">
        <f t="shared" si="8"/>
        <v/>
      </c>
    </row>
    <row r="2146">
      <c r="A2146" s="14" t="str">
        <f t="shared" si="1"/>
        <v>C155046130</v>
      </c>
      <c r="B2146" s="185" t="str">
        <f t="array" ref="B2146">IF(F2146="VL","",IF(F2146="Free","Free",XLOOKUP(D2146,Roster!T:T,Roster!S:S,"",0)))</f>
        <v>Free</v>
      </c>
      <c r="C2146" s="313">
        <v>46130.0</v>
      </c>
      <c r="D2146" s="314" t="s">
        <v>35</v>
      </c>
      <c r="E2146" s="307" t="str">
        <f t="array" ref="E2146">(XLOOKUP(D2146,Roster!F:F,Roster!B:B,"",0))</f>
        <v>Jeidin Vargas</v>
      </c>
      <c r="F2146" s="315" t="str">
        <f t="array" ref="F2146">IF(B2146=100,"Free",TEXT(XLOOKUP($D2146,OperationVoice!$A:$A,OperationVoice!X:X,XLOOKUP($D2146,OperationTickets!$A:$A,OperationTickets!X:X,"",0)),"hh:mm"))</f>
        <v>Free</v>
      </c>
      <c r="G2146" s="309" t="str">
        <f t="shared" si="3"/>
        <v>Free</v>
      </c>
      <c r="H2146" s="316" t="str">
        <f t="array" ref="H2146">XLOOKUP(B2146,Roster!L:L,Roster!N:N,XLOOKUP(D2146,TicketsBreak!A:A,TicketsBreak!E:E,"",0),0)</f>
        <v/>
      </c>
      <c r="I2146" s="316" t="str">
        <f t="array" ref="I2146">XLOOKUP(B2146,Roster!L:L,Roster!O:O,XLOOKUP(D2146,TicketsBreak!A:A,TicketsBreak!F:F,"",0),0)</f>
        <v/>
      </c>
      <c r="J2146" s="316" t="str">
        <f t="array" ref="J2146">XLOOKUP(B2146,Roster!L:L,Roster!P:P,XLOOKUP(D2146,TicketsBreak!A:A,TicketsBreak!G:G,"",0),0)</f>
        <v/>
      </c>
      <c r="K2146" s="310">
        <f t="shared" si="4"/>
        <v>46130</v>
      </c>
      <c r="L2146" s="317">
        <f t="array" ref="L2146">(XLOOKUP(D2146,Roster!F:F,Roster!D:D,"",0))</f>
        <v>37</v>
      </c>
      <c r="M2146" s="317" t="str">
        <f t="array" ref="M2146">XLOOKUP(D2146,Roster!F:F,Roster!E:E)</f>
        <v>Voice</v>
      </c>
      <c r="N2146" s="317" t="str">
        <f t="shared" ref="N2146:P2146" si="2178">LEFT(H2146,5)</f>
        <v/>
      </c>
      <c r="O2146" s="317" t="str">
        <f t="shared" si="2178"/>
        <v/>
      </c>
      <c r="P2146" s="317" t="str">
        <f t="shared" si="2178"/>
        <v/>
      </c>
      <c r="Q2146" s="318" t="str">
        <f t="shared" si="2083"/>
        <v/>
      </c>
      <c r="R2146" s="318" t="str">
        <f t="shared" si="2084"/>
        <v/>
      </c>
      <c r="S2146" s="318" t="str">
        <f t="shared" si="8"/>
        <v/>
      </c>
    </row>
    <row r="2147">
      <c r="A2147" s="14" t="str">
        <f t="shared" si="1"/>
        <v>C51246130</v>
      </c>
      <c r="B2147" s="185" t="str">
        <f t="array" ref="B2147">IF(F2147="VL","",IF(F2147="Free","Free",XLOOKUP(D2147,Roster!T:T,Roster!S:S,"",0)))</f>
        <v>Free</v>
      </c>
      <c r="C2147" s="313">
        <v>46130.0</v>
      </c>
      <c r="D2147" s="314" t="s">
        <v>36</v>
      </c>
      <c r="E2147" s="307" t="str">
        <f t="array" ref="E2147">(XLOOKUP(D2147,Roster!F:F,Roster!B:B,"",0))</f>
        <v>Jhoam Quiroz</v>
      </c>
      <c r="F2147" s="315" t="str">
        <f t="array" ref="F2147">IF(B2147=100,"Free",TEXT(XLOOKUP($D2147,OperationVoice!$A:$A,OperationVoice!X:X,XLOOKUP($D2147,OperationTickets!$A:$A,OperationTickets!X:X,"",0)),"hh:mm"))</f>
        <v>Free</v>
      </c>
      <c r="G2147" s="309" t="str">
        <f t="shared" si="3"/>
        <v>Free</v>
      </c>
      <c r="H2147" s="316" t="str">
        <f t="array" ref="H2147">XLOOKUP(B2147,Roster!L:L,Roster!N:N,XLOOKUP(D2147,TicketsBreak!A:A,TicketsBreak!E:E,"",0),0)</f>
        <v/>
      </c>
      <c r="I2147" s="316" t="str">
        <f t="array" ref="I2147">XLOOKUP(B2147,Roster!L:L,Roster!O:O,XLOOKUP(D2147,TicketsBreak!A:A,TicketsBreak!F:F,"",0),0)</f>
        <v/>
      </c>
      <c r="J2147" s="316" t="str">
        <f t="array" ref="J2147">XLOOKUP(B2147,Roster!L:L,Roster!P:P,XLOOKUP(D2147,TicketsBreak!A:A,TicketsBreak!G:G,"",0),0)</f>
        <v/>
      </c>
      <c r="K2147" s="310">
        <f t="shared" si="4"/>
        <v>46130</v>
      </c>
      <c r="L2147" s="317">
        <f t="array" ref="L2147">(XLOOKUP(D2147,Roster!F:F,Roster!D:D,"",0))</f>
        <v>1</v>
      </c>
      <c r="M2147" s="317" t="str">
        <f t="array" ref="M2147">XLOOKUP(D2147,Roster!F:F,Roster!E:E)</f>
        <v>Voice</v>
      </c>
      <c r="N2147" s="317" t="str">
        <f t="shared" ref="N2147:P2147" si="2179">LEFT(H2147,5)</f>
        <v/>
      </c>
      <c r="O2147" s="317" t="str">
        <f t="shared" si="2179"/>
        <v/>
      </c>
      <c r="P2147" s="317" t="str">
        <f t="shared" si="2179"/>
        <v/>
      </c>
      <c r="Q2147" s="318" t="str">
        <f t="shared" si="2083"/>
        <v/>
      </c>
      <c r="R2147" s="318" t="str">
        <f t="shared" si="2084"/>
        <v/>
      </c>
      <c r="S2147" s="318" t="str">
        <f t="shared" si="8"/>
        <v/>
      </c>
    </row>
    <row r="2148">
      <c r="A2148" s="14" t="str">
        <f t="shared" si="1"/>
        <v>C150946130</v>
      </c>
      <c r="B2148" s="185">
        <f t="array" ref="B2148">IF(F2148="VL","",IF(F2148="Free","Free",XLOOKUP(D2148,Roster!T:T,Roster!S:S,"",0)))</f>
        <v>121</v>
      </c>
      <c r="C2148" s="313">
        <v>46130.0</v>
      </c>
      <c r="D2148" s="314" t="s">
        <v>37</v>
      </c>
      <c r="E2148" s="307" t="str">
        <f t="array" ref="E2148">(XLOOKUP(D2148,Roster!F:F,Roster!B:B,"",0))</f>
        <v>Jhonatan Gomez</v>
      </c>
      <c r="F2148" s="315" t="str">
        <f t="array" ref="F2148">IF(B2148=100,"Free",TEXT(XLOOKUP($D2148,OperationVoice!$A:$A,OperationVoice!X:X,XLOOKUP($D2148,OperationTickets!$A:$A,OperationTickets!X:X,"",0)),"hh:mm"))</f>
        <v>08:00</v>
      </c>
      <c r="G2148" s="309">
        <f t="shared" si="3"/>
        <v>0.7083333333</v>
      </c>
      <c r="H2148" s="316" t="str">
        <f t="array" ref="H2148">XLOOKUP(B2148,Roster!L:L,Roster!N:N,XLOOKUP(D2148,TicketsBreak!A:A,TicketsBreak!E:E,"",0),0)</f>
        <v>09:15 - 09:30</v>
      </c>
      <c r="I2148" s="316" t="str">
        <f t="array" ref="I2148">XLOOKUP(B2148,Roster!L:L,Roster!O:O,XLOOKUP(D2148,TicketsBreak!A:A,TicketsBreak!F:F,"",0),0)</f>
        <v>11:30 - 12:00</v>
      </c>
      <c r="J2148" s="316" t="str">
        <f t="array" ref="J2148">XLOOKUP(B2148,Roster!L:L,Roster!P:P,XLOOKUP(D2148,TicketsBreak!A:A,TicketsBreak!G:G,"",0),0)</f>
        <v>14:30 - 14:45</v>
      </c>
      <c r="K2148" s="310">
        <f t="shared" si="4"/>
        <v>46130</v>
      </c>
      <c r="L2148" s="317">
        <f t="array" ref="L2148">(XLOOKUP(D2148,Roster!F:F,Roster!D:D,"",0))</f>
        <v>35</v>
      </c>
      <c r="M2148" s="317" t="str">
        <f t="array" ref="M2148">XLOOKUP(D2148,Roster!F:F,Roster!E:E)</f>
        <v>Voice</v>
      </c>
      <c r="N2148" s="317" t="str">
        <f t="shared" ref="N2148:P2148" si="2180">LEFT(H2148,5)</f>
        <v>09:15</v>
      </c>
      <c r="O2148" s="317" t="str">
        <f t="shared" si="2180"/>
        <v>11:30</v>
      </c>
      <c r="P2148" s="317" t="str">
        <f t="shared" si="2180"/>
        <v>14:30</v>
      </c>
      <c r="Q2148" s="318">
        <f t="shared" si="2083"/>
        <v>46130.38542</v>
      </c>
      <c r="R2148" s="318">
        <f t="shared" si="2084"/>
        <v>46130.47917</v>
      </c>
      <c r="S2148" s="318">
        <f t="shared" si="8"/>
        <v>46130.60417</v>
      </c>
    </row>
    <row r="2149">
      <c r="A2149" s="14" t="str">
        <f t="shared" si="1"/>
        <v>C151546130</v>
      </c>
      <c r="B2149" s="185">
        <f t="array" ref="B2149">IF(F2149="VL","",IF(F2149="Free","Free",XLOOKUP(D2149,Roster!T:T,Roster!S:S,"",0)))</f>
        <v>151</v>
      </c>
      <c r="C2149" s="313">
        <v>46130.0</v>
      </c>
      <c r="D2149" s="314" t="s">
        <v>38</v>
      </c>
      <c r="E2149" s="307" t="str">
        <f t="array" ref="E2149">(XLOOKUP(D2149,Roster!F:F,Roster!B:B,"",0))</f>
        <v>Joan Perez</v>
      </c>
      <c r="F2149" s="315" t="str">
        <f t="array" ref="F2149">IF(B2149=100,"Free",TEXT(XLOOKUP($D2149,OperationVoice!$A:$A,OperationVoice!X:X,XLOOKUP($D2149,OperationTickets!$A:$A,OperationTickets!X:X,"",0)),"hh:mm"))</f>
        <v/>
      </c>
      <c r="G2149" s="309" t="str">
        <f t="shared" si="3"/>
        <v/>
      </c>
      <c r="H2149" s="316" t="str">
        <f t="array" ref="H2149">XLOOKUP(B2149,Roster!L:L,Roster!N:N,XLOOKUP(D2149,TicketsBreak!A:A,TicketsBreak!E:E,"",0),0)</f>
        <v>12:15 - 12:30</v>
      </c>
      <c r="I2149" s="316" t="str">
        <f t="array" ref="I2149">XLOOKUP(B2149,Roster!L:L,Roster!O:O,XLOOKUP(D2149,TicketsBreak!A:A,TicketsBreak!F:F,"",0),0)</f>
        <v>14:00 - 14:30</v>
      </c>
      <c r="J2149" s="316" t="str">
        <f t="array" ref="J2149">XLOOKUP(B2149,Roster!L:L,Roster!P:P,XLOOKUP(D2149,TicketsBreak!A:A,TicketsBreak!G:G,"",0),0)</f>
        <v>17:15 - 17:30</v>
      </c>
      <c r="K2149" s="310">
        <f t="shared" si="4"/>
        <v>46130</v>
      </c>
      <c r="L2149" s="317">
        <f t="array" ref="L2149">(XLOOKUP(D2149,Roster!F:F,Roster!D:D,"",0))</f>
        <v>35</v>
      </c>
      <c r="M2149" s="317" t="str">
        <f t="array" ref="M2149">XLOOKUP(D2149,Roster!F:F,Roster!E:E)</f>
        <v>Voice</v>
      </c>
      <c r="N2149" s="317" t="str">
        <f t="shared" ref="N2149:P2149" si="2181">LEFT(H2149,5)</f>
        <v>12:15</v>
      </c>
      <c r="O2149" s="317" t="str">
        <f t="shared" si="2181"/>
        <v>14:00</v>
      </c>
      <c r="P2149" s="317" t="str">
        <f t="shared" si="2181"/>
        <v>17:15</v>
      </c>
      <c r="Q2149" s="318">
        <f t="shared" si="2083"/>
        <v>46130.51042</v>
      </c>
      <c r="R2149" s="318">
        <f t="shared" si="2084"/>
        <v>46130.58333</v>
      </c>
      <c r="S2149" s="318">
        <f t="shared" si="8"/>
        <v>46130.71875</v>
      </c>
    </row>
    <row r="2150">
      <c r="A2150" s="14" t="str">
        <f t="shared" si="1"/>
        <v>C128946130</v>
      </c>
      <c r="B2150" s="185" t="str">
        <f t="array" ref="B2150">IF(F2150="VL","",IF(F2150="Free","Free",XLOOKUP(D2150,Roster!T:T,Roster!S:S,"",0)))</f>
        <v>Free</v>
      </c>
      <c r="C2150" s="313">
        <v>46130.0</v>
      </c>
      <c r="D2150" s="314" t="s">
        <v>140</v>
      </c>
      <c r="E2150" s="307" t="str">
        <f t="array" ref="E2150">(XLOOKUP(D2150,Roster!F:F,Roster!B:B,"",0))</f>
        <v>Johana Villarreal</v>
      </c>
      <c r="F2150" s="315" t="str">
        <f t="array" ref="F2150">IF(B2150=100,"Free",TEXT(XLOOKUP($D2150,OperationVoice!$A:$A,OperationVoice!X:X,XLOOKUP($D2150,OperationTickets!$A:$A,OperationTickets!X:X,"",0)),"hh:mm"))</f>
        <v>Free</v>
      </c>
      <c r="G2150" s="309" t="str">
        <f t="shared" si="3"/>
        <v>Free</v>
      </c>
      <c r="H2150" s="316" t="str">
        <f t="array" ref="H2150">XLOOKUP(B2150,Roster!L:L,Roster!N:N,XLOOKUP(D2150,TicketsBreak!A:A,TicketsBreak!E:E,"",0),0)</f>
        <v/>
      </c>
      <c r="I2150" s="316" t="str">
        <f t="array" ref="I2150">XLOOKUP(B2150,Roster!L:L,Roster!O:O,XLOOKUP(D2150,TicketsBreak!A:A,TicketsBreak!F:F,"",0),0)</f>
        <v/>
      </c>
      <c r="J2150" s="316" t="str">
        <f t="array" ref="J2150">XLOOKUP(B2150,Roster!L:L,Roster!P:P,XLOOKUP(D2150,TicketsBreak!A:A,TicketsBreak!G:G,"",0),0)</f>
        <v/>
      </c>
      <c r="K2150" s="310">
        <f t="shared" si="4"/>
        <v>46130</v>
      </c>
      <c r="L2150" s="317">
        <f t="array" ref="L2150">(XLOOKUP(D2150,Roster!F:F,Roster!D:D,"",0))</f>
        <v>28</v>
      </c>
      <c r="M2150" s="317" t="str">
        <f t="array" ref="M2150">XLOOKUP(D2150,Roster!F:F,Roster!E:E)</f>
        <v>Tickets</v>
      </c>
      <c r="N2150" s="317" t="str">
        <f t="shared" ref="N2150:P2150" si="2182">LEFT(H2150,5)</f>
        <v/>
      </c>
      <c r="O2150" s="317" t="str">
        <f t="shared" si="2182"/>
        <v/>
      </c>
      <c r="P2150" s="317" t="str">
        <f t="shared" si="2182"/>
        <v/>
      </c>
      <c r="Q2150" s="318" t="str">
        <f t="shared" si="2083"/>
        <v/>
      </c>
      <c r="R2150" s="318" t="str">
        <f t="shared" si="2084"/>
        <v/>
      </c>
      <c r="S2150" s="318" t="str">
        <f t="shared" si="8"/>
        <v/>
      </c>
    </row>
    <row r="2151">
      <c r="A2151" s="14" t="str">
        <f t="shared" si="1"/>
        <v>C155146130</v>
      </c>
      <c r="B2151" s="185">
        <f t="array" ref="B2151">IF(F2151="VL","",IF(F2151="Free","Free",XLOOKUP(D2151,Roster!T:T,Roster!S:S,"",0)))</f>
        <v>124</v>
      </c>
      <c r="C2151" s="313">
        <v>46130.0</v>
      </c>
      <c r="D2151" s="314" t="s">
        <v>39</v>
      </c>
      <c r="E2151" s="307" t="str">
        <f t="array" ref="E2151">(XLOOKUP(D2151,Roster!F:F,Roster!B:B,"",0))</f>
        <v>John Atilano</v>
      </c>
      <c r="F2151" s="315" t="str">
        <f t="array" ref="F2151">IF(B2151=100,"Free",TEXT(XLOOKUP($D2151,OperationVoice!$A:$A,OperationVoice!X:X,XLOOKUP($D2151,OperationTickets!$A:$A,OperationTickets!X:X,"",0)),"hh:mm"))</f>
        <v>08:00</v>
      </c>
      <c r="G2151" s="309">
        <f t="shared" si="3"/>
        <v>0.7083333333</v>
      </c>
      <c r="H2151" s="316" t="str">
        <f t="array" ref="H2151">XLOOKUP(B2151,Roster!L:L,Roster!N:N,XLOOKUP(D2151,TicketsBreak!A:A,TicketsBreak!E:E,"",0),0)</f>
        <v>10:00 - 10:15</v>
      </c>
      <c r="I2151" s="316" t="str">
        <f t="array" ref="I2151">XLOOKUP(B2151,Roster!L:L,Roster!O:O,XLOOKUP(D2151,TicketsBreak!A:A,TicketsBreak!F:F,"",0),0)</f>
        <v>13:00 - 13:30</v>
      </c>
      <c r="J2151" s="316" t="str">
        <f t="array" ref="J2151">XLOOKUP(B2151,Roster!L:L,Roster!P:P,XLOOKUP(D2151,TicketsBreak!A:A,TicketsBreak!G:G,"",0),0)</f>
        <v>15:30 - 15:45</v>
      </c>
      <c r="K2151" s="310">
        <f t="shared" si="4"/>
        <v>46130</v>
      </c>
      <c r="L2151" s="317">
        <f t="array" ref="L2151">(XLOOKUP(D2151,Roster!F:F,Roster!D:D,"",0))</f>
        <v>37</v>
      </c>
      <c r="M2151" s="317" t="str">
        <f t="array" ref="M2151">XLOOKUP(D2151,Roster!F:F,Roster!E:E)</f>
        <v>Voice</v>
      </c>
      <c r="N2151" s="317" t="str">
        <f t="shared" ref="N2151:P2151" si="2183">LEFT(H2151,5)</f>
        <v>10:00</v>
      </c>
      <c r="O2151" s="317" t="str">
        <f t="shared" si="2183"/>
        <v>13:00</v>
      </c>
      <c r="P2151" s="317" t="str">
        <f t="shared" si="2183"/>
        <v>15:30</v>
      </c>
      <c r="Q2151" s="318">
        <f t="shared" si="2083"/>
        <v>46130.41667</v>
      </c>
      <c r="R2151" s="318">
        <f t="shared" si="2084"/>
        <v>46130.54167</v>
      </c>
      <c r="S2151" s="318">
        <f t="shared" si="8"/>
        <v>46130.64583</v>
      </c>
    </row>
    <row r="2152">
      <c r="A2152" s="14" t="str">
        <f t="shared" si="1"/>
        <v>C154346130</v>
      </c>
      <c r="B2152" s="185" t="str">
        <f t="array" ref="B2152">IF(F2152="VL","",IF(F2152="Free","Free",XLOOKUP(D2152,Roster!T:T,Roster!S:S,"",0)))</f>
        <v>Free</v>
      </c>
      <c r="C2152" s="313">
        <v>46130.0</v>
      </c>
      <c r="D2152" s="314" t="s">
        <v>40</v>
      </c>
      <c r="E2152" s="307" t="str">
        <f t="array" ref="E2152">(XLOOKUP(D2152,Roster!F:F,Roster!B:B,"",0))</f>
        <v>John Palacio</v>
      </c>
      <c r="F2152" s="315" t="str">
        <f t="array" ref="F2152">IF(B2152=100,"Free",TEXT(XLOOKUP($D2152,OperationVoice!$A:$A,OperationVoice!X:X,XLOOKUP($D2152,OperationTickets!$A:$A,OperationTickets!X:X,"",0)),"hh:mm"))</f>
        <v>Free</v>
      </c>
      <c r="G2152" s="309" t="str">
        <f t="shared" si="3"/>
        <v>Free</v>
      </c>
      <c r="H2152" s="316" t="str">
        <f t="array" ref="H2152">XLOOKUP(B2152,Roster!L:L,Roster!N:N,XLOOKUP(D2152,TicketsBreak!A:A,TicketsBreak!E:E,"",0),0)</f>
        <v/>
      </c>
      <c r="I2152" s="316" t="str">
        <f t="array" ref="I2152">XLOOKUP(B2152,Roster!L:L,Roster!O:O,XLOOKUP(D2152,TicketsBreak!A:A,TicketsBreak!F:F,"",0),0)</f>
        <v/>
      </c>
      <c r="J2152" s="316" t="str">
        <f t="array" ref="J2152">XLOOKUP(B2152,Roster!L:L,Roster!P:P,XLOOKUP(D2152,TicketsBreak!A:A,TicketsBreak!G:G,"",0),0)</f>
        <v/>
      </c>
      <c r="K2152" s="310">
        <f t="shared" si="4"/>
        <v>46130</v>
      </c>
      <c r="L2152" s="317">
        <f t="array" ref="L2152">(XLOOKUP(D2152,Roster!F:F,Roster!D:D,"",0))</f>
        <v>36</v>
      </c>
      <c r="M2152" s="317" t="str">
        <f t="array" ref="M2152">XLOOKUP(D2152,Roster!F:F,Roster!E:E)</f>
        <v>Voice</v>
      </c>
      <c r="N2152" s="317" t="str">
        <f t="shared" ref="N2152:P2152" si="2184">LEFT(H2152,5)</f>
        <v/>
      </c>
      <c r="O2152" s="317" t="str">
        <f t="shared" si="2184"/>
        <v/>
      </c>
      <c r="P2152" s="317" t="str">
        <f t="shared" si="2184"/>
        <v/>
      </c>
      <c r="Q2152" s="318" t="str">
        <f t="shared" si="2083"/>
        <v/>
      </c>
      <c r="R2152" s="318" t="str">
        <f t="shared" si="2084"/>
        <v/>
      </c>
      <c r="S2152" s="318" t="str">
        <f t="shared" si="8"/>
        <v/>
      </c>
    </row>
    <row r="2153">
      <c r="A2153" s="14" t="str">
        <f t="shared" si="1"/>
        <v>C154246130</v>
      </c>
      <c r="B2153" s="185" t="str">
        <f t="array" ref="B2153">IF(F2153="VL","",IF(F2153="Free","Free",XLOOKUP(D2153,Roster!T:T,Roster!S:S,"",0)))</f>
        <v>Free</v>
      </c>
      <c r="C2153" s="313">
        <v>46130.0</v>
      </c>
      <c r="D2153" s="314" t="s">
        <v>41</v>
      </c>
      <c r="E2153" s="307" t="str">
        <f t="array" ref="E2153">(XLOOKUP(D2153,Roster!F:F,Roster!B:B,"",0))</f>
        <v>Johny Garcia</v>
      </c>
      <c r="F2153" s="315" t="str">
        <f t="array" ref="F2153">IF(B2153=100,"Free",TEXT(XLOOKUP($D2153,OperationVoice!$A:$A,OperationVoice!X:X,XLOOKUP($D2153,OperationTickets!$A:$A,OperationTickets!X:X,"",0)),"hh:mm"))</f>
        <v>Free</v>
      </c>
      <c r="G2153" s="309" t="str">
        <f t="shared" si="3"/>
        <v>Free</v>
      </c>
      <c r="H2153" s="316" t="str">
        <f t="array" ref="H2153">XLOOKUP(B2153,Roster!L:L,Roster!N:N,XLOOKUP(D2153,TicketsBreak!A:A,TicketsBreak!E:E,"",0),0)</f>
        <v/>
      </c>
      <c r="I2153" s="316" t="str">
        <f t="array" ref="I2153">XLOOKUP(B2153,Roster!L:L,Roster!O:O,XLOOKUP(D2153,TicketsBreak!A:A,TicketsBreak!F:F,"",0),0)</f>
        <v/>
      </c>
      <c r="J2153" s="316" t="str">
        <f t="array" ref="J2153">XLOOKUP(B2153,Roster!L:L,Roster!P:P,XLOOKUP(D2153,TicketsBreak!A:A,TicketsBreak!G:G,"",0),0)</f>
        <v/>
      </c>
      <c r="K2153" s="310">
        <f t="shared" si="4"/>
        <v>46130</v>
      </c>
      <c r="L2153" s="317">
        <f t="array" ref="L2153">(XLOOKUP(D2153,Roster!F:F,Roster!D:D,"",0))</f>
        <v>36</v>
      </c>
      <c r="M2153" s="317" t="str">
        <f t="array" ref="M2153">XLOOKUP(D2153,Roster!F:F,Roster!E:E)</f>
        <v>Voice</v>
      </c>
      <c r="N2153" s="317" t="str">
        <f t="shared" ref="N2153:P2153" si="2185">LEFT(H2153,5)</f>
        <v/>
      </c>
      <c r="O2153" s="317" t="str">
        <f t="shared" si="2185"/>
        <v/>
      </c>
      <c r="P2153" s="317" t="str">
        <f t="shared" si="2185"/>
        <v/>
      </c>
      <c r="Q2153" s="318" t="str">
        <f t="shared" si="2083"/>
        <v/>
      </c>
      <c r="R2153" s="318" t="str">
        <f t="shared" si="2084"/>
        <v/>
      </c>
      <c r="S2153" s="318" t="str">
        <f t="shared" si="8"/>
        <v/>
      </c>
    </row>
    <row r="2154">
      <c r="A2154" s="14" t="str">
        <f t="shared" si="1"/>
        <v>C156946130</v>
      </c>
      <c r="B2154" s="185">
        <f t="array" ref="B2154">IF(F2154="VL","",IF(F2154="Free","Free",XLOOKUP(D2154,Roster!T:T,Roster!S:S,"",0)))</f>
        <v>121</v>
      </c>
      <c r="C2154" s="313">
        <v>46130.0</v>
      </c>
      <c r="D2154" s="314" t="s">
        <v>42</v>
      </c>
      <c r="E2154" s="307" t="str">
        <f t="array" ref="E2154">(XLOOKUP(D2154,Roster!F:F,Roster!B:B,"",0))</f>
        <v>Jorge Orozco</v>
      </c>
      <c r="F2154" s="315" t="str">
        <f t="array" ref="F2154">IF(B2154=100,"Free",TEXT(XLOOKUP($D2154,OperationVoice!$A:$A,OperationVoice!X:X,XLOOKUP($D2154,OperationTickets!$A:$A,OperationTickets!X:X,"",0)),"hh:mm"))</f>
        <v>08:00</v>
      </c>
      <c r="G2154" s="309">
        <f t="shared" si="3"/>
        <v>0.7083333333</v>
      </c>
      <c r="H2154" s="316" t="str">
        <f t="array" ref="H2154">XLOOKUP(B2154,Roster!L:L,Roster!N:N,XLOOKUP(D2154,TicketsBreak!A:A,TicketsBreak!E:E,"",0),0)</f>
        <v>09:15 - 09:30</v>
      </c>
      <c r="I2154" s="316" t="str">
        <f t="array" ref="I2154">XLOOKUP(B2154,Roster!L:L,Roster!O:O,XLOOKUP(D2154,TicketsBreak!A:A,TicketsBreak!F:F,"",0),0)</f>
        <v>11:30 - 12:00</v>
      </c>
      <c r="J2154" s="316" t="str">
        <f t="array" ref="J2154">XLOOKUP(B2154,Roster!L:L,Roster!P:P,XLOOKUP(D2154,TicketsBreak!A:A,TicketsBreak!G:G,"",0),0)</f>
        <v>14:30 - 14:45</v>
      </c>
      <c r="K2154" s="310">
        <f t="shared" si="4"/>
        <v>46130</v>
      </c>
      <c r="L2154" s="317">
        <f t="array" ref="L2154">(XLOOKUP(D2154,Roster!F:F,Roster!D:D,"",0))</f>
        <v>38</v>
      </c>
      <c r="M2154" s="317" t="str">
        <f t="array" ref="M2154">XLOOKUP(D2154,Roster!F:F,Roster!E:E)</f>
        <v>Voice</v>
      </c>
      <c r="N2154" s="317" t="str">
        <f t="shared" ref="N2154:P2154" si="2186">LEFT(H2154,5)</f>
        <v>09:15</v>
      </c>
      <c r="O2154" s="317" t="str">
        <f t="shared" si="2186"/>
        <v>11:30</v>
      </c>
      <c r="P2154" s="317" t="str">
        <f t="shared" si="2186"/>
        <v>14:30</v>
      </c>
      <c r="Q2154" s="318">
        <f t="shared" si="2083"/>
        <v>46130.38542</v>
      </c>
      <c r="R2154" s="318">
        <f t="shared" si="2084"/>
        <v>46130.47917</v>
      </c>
      <c r="S2154" s="318">
        <f t="shared" si="8"/>
        <v>46130.60417</v>
      </c>
    </row>
    <row r="2155">
      <c r="A2155" s="14" t="str">
        <f t="shared" si="1"/>
        <v>C102746130</v>
      </c>
      <c r="B2155" s="185" t="str">
        <f t="array" ref="B2155">IF(F2155="VL","",IF(F2155="Free","Free",XLOOKUP(D2155,Roster!T:T,Roster!S:S,"",0)))</f>
        <v>Free</v>
      </c>
      <c r="C2155" s="313">
        <v>46130.0</v>
      </c>
      <c r="D2155" s="314" t="s">
        <v>160</v>
      </c>
      <c r="E2155" s="307" t="str">
        <f t="array" ref="E2155">(XLOOKUP(D2155,Roster!F:F,Roster!B:B,"",0))</f>
        <v>Jose Perez</v>
      </c>
      <c r="F2155" s="315" t="str">
        <f t="array" ref="F2155">IF(B2155=100,"Free",TEXT(XLOOKUP($D2155,OperationVoice!$A:$A,OperationVoice!X:X,XLOOKUP($D2155,OperationTickets!$A:$A,OperationTickets!X:X,"",0)),"hh:mm"))</f>
        <v>Free</v>
      </c>
      <c r="G2155" s="309" t="str">
        <f t="shared" si="3"/>
        <v>Free</v>
      </c>
      <c r="H2155" s="316">
        <f t="array" ref="H2155">XLOOKUP(B2155,Roster!L:L,Roster!N:N,XLOOKUP(D2155,TicketsBreak!A:A,TicketsBreak!E:E,"",0),0)</f>
        <v>0.4166666667</v>
      </c>
      <c r="I2155" s="316">
        <f t="array" ref="I2155">XLOOKUP(B2155,Roster!L:L,Roster!O:O,XLOOKUP(D2155,TicketsBreak!A:A,TicketsBreak!F:F,"",0),0)</f>
        <v>0.5208333333</v>
      </c>
      <c r="J2155" s="316">
        <f t="array" ref="J2155">XLOOKUP(B2155,Roster!L:L,Roster!P:P,XLOOKUP(D2155,TicketsBreak!A:A,TicketsBreak!G:G,"",0),0)</f>
        <v>0.6354166667</v>
      </c>
      <c r="K2155" s="310">
        <f t="shared" si="4"/>
        <v>46130</v>
      </c>
      <c r="L2155" s="317">
        <f t="array" ref="L2155">(XLOOKUP(D2155,Roster!F:F,Roster!D:D,"",0))</f>
        <v>15</v>
      </c>
      <c r="M2155" s="317" t="str">
        <f t="array" ref="M2155">XLOOKUP(D2155,Roster!F:F,Roster!E:E)</f>
        <v>Tickets</v>
      </c>
      <c r="N2155" s="317" t="str">
        <f t="shared" ref="N2155:P2155" si="2187">LEFT(H2155,5)</f>
        <v>10:00</v>
      </c>
      <c r="O2155" s="317" t="str">
        <f t="shared" si="2187"/>
        <v>12:30</v>
      </c>
      <c r="P2155" s="317" t="str">
        <f t="shared" si="2187"/>
        <v>15:15</v>
      </c>
      <c r="Q2155" s="318">
        <f t="shared" si="2083"/>
        <v>46130.41667</v>
      </c>
      <c r="R2155" s="318">
        <f t="shared" si="2084"/>
        <v>46130.52083</v>
      </c>
      <c r="S2155" s="318">
        <f t="shared" si="8"/>
        <v>46130.63542</v>
      </c>
    </row>
    <row r="2156">
      <c r="A2156" s="14" t="str">
        <f t="shared" si="1"/>
        <v>C142646130</v>
      </c>
      <c r="B2156" s="185">
        <f t="array" ref="B2156">IF(F2156="VL","",IF(F2156="Free","Free",XLOOKUP(D2156,Roster!T:T,Roster!S:S,"",0)))</f>
        <v>123</v>
      </c>
      <c r="C2156" s="313">
        <v>46130.0</v>
      </c>
      <c r="D2156" s="314" t="s">
        <v>161</v>
      </c>
      <c r="E2156" s="307" t="str">
        <f t="array" ref="E2156">(XLOOKUP(D2156,Roster!F:F,Roster!B:B,"",0))</f>
        <v>Jose Zapata</v>
      </c>
      <c r="F2156" s="315" t="str">
        <f t="array" ref="F2156">IF(B2156=100,"Free",TEXT(XLOOKUP($D2156,OperationVoice!$A:$A,OperationVoice!X:X,XLOOKUP($D2156,OperationTickets!$A:$A,OperationTickets!X:X,"",0)),"hh:mm"))</f>
        <v>08:00</v>
      </c>
      <c r="G2156" s="309">
        <f t="shared" si="3"/>
        <v>0.7083333333</v>
      </c>
      <c r="H2156" s="316" t="str">
        <f t="array" ref="H2156">XLOOKUP(B2156,Roster!L:L,Roster!N:N,XLOOKUP(D2156,TicketsBreak!A:A,TicketsBreak!E:E,"",0),0)</f>
        <v>09:45 - 10:00 </v>
      </c>
      <c r="I2156" s="316" t="str">
        <f t="array" ref="I2156">XLOOKUP(B2156,Roster!L:L,Roster!O:O,XLOOKUP(D2156,TicketsBreak!A:A,TicketsBreak!F:F,"",0),0)</f>
        <v>12:30 - 13:00</v>
      </c>
      <c r="J2156" s="316" t="str">
        <f t="array" ref="J2156">XLOOKUP(B2156,Roster!L:L,Roster!P:P,XLOOKUP(D2156,TicketsBreak!A:A,TicketsBreak!G:G,"",0),0)</f>
        <v>15:00 - 15:15</v>
      </c>
      <c r="K2156" s="310">
        <f t="shared" si="4"/>
        <v>46130</v>
      </c>
      <c r="L2156" s="317">
        <f t="array" ref="L2156">(XLOOKUP(D2156,Roster!F:F,Roster!D:D,"",0))</f>
        <v>32</v>
      </c>
      <c r="M2156" s="317" t="str">
        <f t="array" ref="M2156">XLOOKUP(D2156,Roster!F:F,Roster!E:E)</f>
        <v>Tickets</v>
      </c>
      <c r="N2156" s="317" t="str">
        <f t="shared" ref="N2156:P2156" si="2188">LEFT(H2156,5)</f>
        <v>09:45</v>
      </c>
      <c r="O2156" s="317" t="str">
        <f t="shared" si="2188"/>
        <v>12:30</v>
      </c>
      <c r="P2156" s="317" t="str">
        <f t="shared" si="2188"/>
        <v>15:00</v>
      </c>
      <c r="Q2156" s="318">
        <f t="shared" si="2083"/>
        <v>46130.40625</v>
      </c>
      <c r="R2156" s="318">
        <f t="shared" si="2084"/>
        <v>46130.52083</v>
      </c>
      <c r="S2156" s="318">
        <f t="shared" si="8"/>
        <v>46130.625</v>
      </c>
    </row>
    <row r="2157">
      <c r="A2157" s="14" t="str">
        <f t="shared" si="1"/>
        <v>C153346130</v>
      </c>
      <c r="B2157" s="185" t="str">
        <f t="array" ref="B2157">IF(F2157="VL","",IF(F2157="Free","Free",XLOOKUP(D2157,Roster!T:T,Roster!S:S,"",0)))</f>
        <v>Free</v>
      </c>
      <c r="C2157" s="313">
        <v>46130.0</v>
      </c>
      <c r="D2157" s="314" t="s">
        <v>43</v>
      </c>
      <c r="E2157" s="307" t="str">
        <f t="array" ref="E2157">(XLOOKUP(D2157,Roster!F:F,Roster!B:B,"",0))</f>
        <v>Juan Barrera</v>
      </c>
      <c r="F2157" s="315" t="str">
        <f t="array" ref="F2157">IF(B2157=100,"Free",TEXT(XLOOKUP($D2157,OperationVoice!$A:$A,OperationVoice!X:X,XLOOKUP($D2157,OperationTickets!$A:$A,OperationTickets!X:X,"",0)),"hh:mm"))</f>
        <v>Free</v>
      </c>
      <c r="G2157" s="309" t="str">
        <f t="shared" si="3"/>
        <v>Free</v>
      </c>
      <c r="H2157" s="316" t="str">
        <f t="array" ref="H2157">XLOOKUP(B2157,Roster!L:L,Roster!N:N,XLOOKUP(D2157,TicketsBreak!A:A,TicketsBreak!E:E,"",0),0)</f>
        <v/>
      </c>
      <c r="I2157" s="316" t="str">
        <f t="array" ref="I2157">XLOOKUP(B2157,Roster!L:L,Roster!O:O,XLOOKUP(D2157,TicketsBreak!A:A,TicketsBreak!F:F,"",0),0)</f>
        <v/>
      </c>
      <c r="J2157" s="316" t="str">
        <f t="array" ref="J2157">XLOOKUP(B2157,Roster!L:L,Roster!P:P,XLOOKUP(D2157,TicketsBreak!A:A,TicketsBreak!G:G,"",0),0)</f>
        <v/>
      </c>
      <c r="K2157" s="310">
        <f t="shared" si="4"/>
        <v>46130</v>
      </c>
      <c r="L2157" s="317">
        <f t="array" ref="L2157">(XLOOKUP(D2157,Roster!F:F,Roster!D:D,"",0))</f>
        <v>36</v>
      </c>
      <c r="M2157" s="317" t="str">
        <f t="array" ref="M2157">XLOOKUP(D2157,Roster!F:F,Roster!E:E)</f>
        <v>Voice</v>
      </c>
      <c r="N2157" s="317" t="str">
        <f t="shared" ref="N2157:P2157" si="2189">LEFT(H2157,5)</f>
        <v/>
      </c>
      <c r="O2157" s="317" t="str">
        <f t="shared" si="2189"/>
        <v/>
      </c>
      <c r="P2157" s="317" t="str">
        <f t="shared" si="2189"/>
        <v/>
      </c>
      <c r="Q2157" s="318" t="str">
        <f t="shared" si="2083"/>
        <v/>
      </c>
      <c r="R2157" s="318" t="str">
        <f t="shared" si="2084"/>
        <v/>
      </c>
      <c r="S2157" s="318" t="str">
        <f t="shared" si="8"/>
        <v/>
      </c>
    </row>
    <row r="2158">
      <c r="A2158" s="14" t="str">
        <f t="shared" si="1"/>
        <v>C146546130</v>
      </c>
      <c r="B2158" s="185" t="str">
        <f t="array" ref="B2158">IF(F2158="VL","",IF(F2158="Free","Free",XLOOKUP(D2158,Roster!T:T,Roster!S:S,"",0)))</f>
        <v>Free</v>
      </c>
      <c r="C2158" s="313">
        <v>46130.0</v>
      </c>
      <c r="D2158" s="314" t="s">
        <v>44</v>
      </c>
      <c r="E2158" s="307" t="str">
        <f t="array" ref="E2158">(XLOOKUP(D2158,Roster!F:F,Roster!B:B,"",0))</f>
        <v>Juan Castilla</v>
      </c>
      <c r="F2158" s="315" t="str">
        <f t="array" ref="F2158">IF(B2158=100,"Free",TEXT(XLOOKUP($D2158,OperationVoice!$A:$A,OperationVoice!X:X,XLOOKUP($D2158,OperationTickets!$A:$A,OperationTickets!X:X,"",0)),"hh:mm"))</f>
        <v>Free</v>
      </c>
      <c r="G2158" s="309" t="str">
        <f t="shared" si="3"/>
        <v>Free</v>
      </c>
      <c r="H2158" s="316" t="str">
        <f t="array" ref="H2158">XLOOKUP(B2158,Roster!L:L,Roster!N:N,XLOOKUP(D2158,TicketsBreak!A:A,TicketsBreak!E:E,"",0),0)</f>
        <v/>
      </c>
      <c r="I2158" s="316" t="str">
        <f t="array" ref="I2158">XLOOKUP(B2158,Roster!L:L,Roster!O:O,XLOOKUP(D2158,TicketsBreak!A:A,TicketsBreak!F:F,"",0),0)</f>
        <v/>
      </c>
      <c r="J2158" s="316" t="str">
        <f t="array" ref="J2158">XLOOKUP(B2158,Roster!L:L,Roster!P:P,XLOOKUP(D2158,TicketsBreak!A:A,TicketsBreak!G:G,"",0),0)</f>
        <v/>
      </c>
      <c r="K2158" s="310">
        <f t="shared" si="4"/>
        <v>46130</v>
      </c>
      <c r="L2158" s="317">
        <f t="array" ref="L2158">(XLOOKUP(D2158,Roster!F:F,Roster!D:D,"",0))</f>
        <v>33</v>
      </c>
      <c r="M2158" s="317" t="str">
        <f t="array" ref="M2158">XLOOKUP(D2158,Roster!F:F,Roster!E:E)</f>
        <v>Voice</v>
      </c>
      <c r="N2158" s="317" t="str">
        <f t="shared" ref="N2158:P2158" si="2190">LEFT(H2158,5)</f>
        <v/>
      </c>
      <c r="O2158" s="317" t="str">
        <f t="shared" si="2190"/>
        <v/>
      </c>
      <c r="P2158" s="317" t="str">
        <f t="shared" si="2190"/>
        <v/>
      </c>
      <c r="Q2158" s="318" t="str">
        <f t="shared" si="2083"/>
        <v/>
      </c>
      <c r="R2158" s="318" t="str">
        <f t="shared" si="2084"/>
        <v/>
      </c>
      <c r="S2158" s="318" t="str">
        <f t="shared" si="8"/>
        <v/>
      </c>
    </row>
    <row r="2159">
      <c r="A2159" s="14" t="str">
        <f t="shared" si="1"/>
        <v>C72046130</v>
      </c>
      <c r="B2159" s="185" t="str">
        <f t="array" ref="B2159">IF(F2159="VL","",IF(F2159="Free","Free",XLOOKUP(D2159,Roster!T:T,Roster!S:S,"",0)))</f>
        <v>Free</v>
      </c>
      <c r="C2159" s="313">
        <v>46130.0</v>
      </c>
      <c r="D2159" s="314" t="s">
        <v>162</v>
      </c>
      <c r="E2159" s="307" t="str">
        <f t="array" ref="E2159">(XLOOKUP(D2159,Roster!F:F,Roster!B:B,"",0))</f>
        <v>Juan Durango</v>
      </c>
      <c r="F2159" s="315" t="str">
        <f t="array" ref="F2159">IF(B2159=100,"Free",TEXT(XLOOKUP($D2159,OperationVoice!$A:$A,OperationVoice!X:X,XLOOKUP($D2159,OperationTickets!$A:$A,OperationTickets!X:X,"",0)),"hh:mm"))</f>
        <v>Free</v>
      </c>
      <c r="G2159" s="309" t="str">
        <f t="shared" si="3"/>
        <v>Free</v>
      </c>
      <c r="H2159" s="316">
        <f t="array" ref="H2159">XLOOKUP(B2159,Roster!L:L,Roster!N:N,XLOOKUP(D2159,TicketsBreak!A:A,TicketsBreak!E:E,"",0),0)</f>
        <v>0.40625</v>
      </c>
      <c r="I2159" s="316">
        <f t="array" ref="I2159">XLOOKUP(B2159,Roster!L:L,Roster!O:O,XLOOKUP(D2159,TicketsBreak!A:A,TicketsBreak!F:F,"",0),0)</f>
        <v>0.5729166667</v>
      </c>
      <c r="J2159" s="316">
        <f t="array" ref="J2159">XLOOKUP(B2159,Roster!L:L,Roster!P:P,XLOOKUP(D2159,TicketsBreak!A:A,TicketsBreak!G:G,"",0),0)</f>
        <v>0.65625</v>
      </c>
      <c r="K2159" s="310">
        <f t="shared" si="4"/>
        <v>46130</v>
      </c>
      <c r="L2159" s="317">
        <f t="array" ref="L2159">(XLOOKUP(D2159,Roster!F:F,Roster!D:D,"",0))</f>
        <v>7</v>
      </c>
      <c r="M2159" s="317" t="str">
        <f t="array" ref="M2159">XLOOKUP(D2159,Roster!F:F,Roster!E:E)</f>
        <v>Tickets</v>
      </c>
      <c r="N2159" s="317" t="str">
        <f t="shared" ref="N2159:P2159" si="2191">LEFT(H2159,5)</f>
        <v>09:45</v>
      </c>
      <c r="O2159" s="317" t="str">
        <f t="shared" si="2191"/>
        <v>13:45</v>
      </c>
      <c r="P2159" s="317" t="str">
        <f t="shared" si="2191"/>
        <v>15:45</v>
      </c>
      <c r="Q2159" s="318">
        <f t="shared" si="2083"/>
        <v>46130.40625</v>
      </c>
      <c r="R2159" s="318">
        <f t="shared" si="2084"/>
        <v>46130.57292</v>
      </c>
      <c r="S2159" s="318">
        <f t="shared" si="8"/>
        <v>46130.65625</v>
      </c>
    </row>
    <row r="2160">
      <c r="A2160" s="14" t="str">
        <f t="shared" si="1"/>
        <v>C59846130</v>
      </c>
      <c r="B2160" s="185" t="str">
        <f t="array" ref="B2160">IF(F2160="VL","",IF(F2160="Free","Free",XLOOKUP(D2160,Roster!T:T,Roster!S:S,"",0)))</f>
        <v/>
      </c>
      <c r="C2160" s="313">
        <v>46130.0</v>
      </c>
      <c r="D2160" s="314" t="s">
        <v>314</v>
      </c>
      <c r="E2160" s="307" t="str">
        <f t="array" ref="E2160">(XLOOKUP(D2160,Roster!F:F,Roster!B:B,"",0))</f>
        <v>Juan Fonnegra</v>
      </c>
      <c r="F2160" s="315" t="str">
        <f t="array" ref="F2160">IF(B2160=100,"Free",TEXT(XLOOKUP($D2160,OperationVoice!$A:$A,OperationVoice!X:X,XLOOKUP($D2160,OperationTickets!$A:$A,OperationTickets!X:X,"",0)),"hh:mm"))</f>
        <v/>
      </c>
      <c r="G2160" s="309" t="str">
        <f t="shared" si="3"/>
        <v/>
      </c>
      <c r="H2160" s="316">
        <f t="array" ref="H2160">XLOOKUP(B2160,Roster!L:L,Roster!N:N,XLOOKUP(D2160,TicketsBreak!A:A,TicketsBreak!E:E,"",0),0)</f>
        <v>0.4166666667</v>
      </c>
      <c r="I2160" s="316">
        <f t="array" ref="I2160">XLOOKUP(B2160,Roster!L:L,Roster!O:O,XLOOKUP(D2160,TicketsBreak!A:A,TicketsBreak!F:F,"",0),0)</f>
        <v>0.5208333333</v>
      </c>
      <c r="J2160" s="316">
        <f t="array" ref="J2160">XLOOKUP(B2160,Roster!L:L,Roster!P:P,XLOOKUP(D2160,TicketsBreak!A:A,TicketsBreak!G:G,"",0),0)</f>
        <v>0.65625</v>
      </c>
      <c r="K2160" s="310">
        <f t="shared" si="4"/>
        <v>46130</v>
      </c>
      <c r="L2160" s="317">
        <f t="array" ref="L2160">(XLOOKUP(D2160,Roster!F:F,Roster!D:D,"",0))</f>
        <v>1</v>
      </c>
      <c r="M2160" s="317" t="str">
        <f t="array" ref="M2160">XLOOKUP(D2160,Roster!F:F,Roster!E:E)</f>
        <v>Tickets</v>
      </c>
      <c r="N2160" s="317" t="str">
        <f t="shared" ref="N2160:P2160" si="2192">LEFT(H2160,5)</f>
        <v>10:00</v>
      </c>
      <c r="O2160" s="317" t="str">
        <f t="shared" si="2192"/>
        <v>12:30</v>
      </c>
      <c r="P2160" s="317" t="str">
        <f t="shared" si="2192"/>
        <v>15:45</v>
      </c>
      <c r="Q2160" s="318">
        <f t="shared" si="2083"/>
        <v>46130.41667</v>
      </c>
      <c r="R2160" s="318">
        <f t="shared" si="2084"/>
        <v>46130.52083</v>
      </c>
      <c r="S2160" s="318">
        <f t="shared" si="8"/>
        <v>46130.65625</v>
      </c>
    </row>
    <row r="2161">
      <c r="A2161" s="14" t="str">
        <f t="shared" si="1"/>
        <v>C113946130</v>
      </c>
      <c r="B2161" s="185" t="str">
        <f t="array" ref="B2161">IF(F2161="VL","",IF(F2161="Free","Free",XLOOKUP(D2161,Roster!T:T,Roster!S:S,"",0)))</f>
        <v>Free</v>
      </c>
      <c r="C2161" s="313">
        <v>46130.0</v>
      </c>
      <c r="D2161" s="314" t="s">
        <v>45</v>
      </c>
      <c r="E2161" s="307" t="str">
        <f t="array" ref="E2161">(XLOOKUP(D2161,Roster!F:F,Roster!B:B,"",0))</f>
        <v>Juan Largacha</v>
      </c>
      <c r="F2161" s="315" t="str">
        <f t="array" ref="F2161">IF(B2161=100,"Free",TEXT(XLOOKUP($D2161,OperationVoice!$A:$A,OperationVoice!X:X,XLOOKUP($D2161,OperationTickets!$A:$A,OperationTickets!X:X,"",0)),"hh:mm"))</f>
        <v>Free</v>
      </c>
      <c r="G2161" s="309" t="str">
        <f t="shared" si="3"/>
        <v>Free</v>
      </c>
      <c r="H2161" s="316" t="str">
        <f t="array" ref="H2161">XLOOKUP(B2161,Roster!L:L,Roster!N:N,XLOOKUP(D2161,TicketsBreak!A:A,TicketsBreak!E:E,"",0),0)</f>
        <v/>
      </c>
      <c r="I2161" s="316" t="str">
        <f t="array" ref="I2161">XLOOKUP(B2161,Roster!L:L,Roster!O:O,XLOOKUP(D2161,TicketsBreak!A:A,TicketsBreak!F:F,"",0),0)</f>
        <v/>
      </c>
      <c r="J2161" s="316" t="str">
        <f t="array" ref="J2161">XLOOKUP(B2161,Roster!L:L,Roster!P:P,XLOOKUP(D2161,TicketsBreak!A:A,TicketsBreak!G:G,"",0),0)</f>
        <v/>
      </c>
      <c r="K2161" s="310">
        <f t="shared" si="4"/>
        <v>46130</v>
      </c>
      <c r="L2161" s="317">
        <f t="array" ref="L2161">(XLOOKUP(D2161,Roster!F:F,Roster!D:D,"",0))</f>
        <v>22</v>
      </c>
      <c r="M2161" s="317" t="str">
        <f t="array" ref="M2161">XLOOKUP(D2161,Roster!F:F,Roster!E:E)</f>
        <v>Voice</v>
      </c>
      <c r="N2161" s="317" t="str">
        <f t="shared" ref="N2161:P2161" si="2193">LEFT(H2161,5)</f>
        <v/>
      </c>
      <c r="O2161" s="317" t="str">
        <f t="shared" si="2193"/>
        <v/>
      </c>
      <c r="P2161" s="317" t="str">
        <f t="shared" si="2193"/>
        <v/>
      </c>
      <c r="Q2161" s="318" t="str">
        <f t="shared" si="2083"/>
        <v/>
      </c>
      <c r="R2161" s="318" t="str">
        <f t="shared" si="2084"/>
        <v/>
      </c>
      <c r="S2161" s="318" t="str">
        <f t="shared" si="8"/>
        <v/>
      </c>
    </row>
    <row r="2162">
      <c r="A2162" s="14" t="str">
        <f t="shared" si="1"/>
        <v>C156646130</v>
      </c>
      <c r="B2162" s="185" t="str">
        <f t="array" ref="B2162">IF(F2162="VL","",IF(F2162="Free","Free",XLOOKUP(D2162,Roster!T:T,Roster!S:S,"",0)))</f>
        <v>Free</v>
      </c>
      <c r="C2162" s="313">
        <v>46130.0</v>
      </c>
      <c r="D2162" s="314" t="s">
        <v>46</v>
      </c>
      <c r="E2162" s="307" t="str">
        <f t="array" ref="E2162">(XLOOKUP(D2162,Roster!F:F,Roster!B:B,"",0))</f>
        <v>Juan Ocampo</v>
      </c>
      <c r="F2162" s="315" t="str">
        <f t="array" ref="F2162">IF(B2162=100,"Free",TEXT(XLOOKUP($D2162,OperationVoice!$A:$A,OperationVoice!X:X,XLOOKUP($D2162,OperationTickets!$A:$A,OperationTickets!X:X,"",0)),"hh:mm"))</f>
        <v>Free</v>
      </c>
      <c r="G2162" s="309" t="str">
        <f t="shared" si="3"/>
        <v>Free</v>
      </c>
      <c r="H2162" s="316" t="str">
        <f t="array" ref="H2162">XLOOKUP(B2162,Roster!L:L,Roster!N:N,XLOOKUP(D2162,TicketsBreak!A:A,TicketsBreak!E:E,"",0),0)</f>
        <v/>
      </c>
      <c r="I2162" s="316" t="str">
        <f t="array" ref="I2162">XLOOKUP(B2162,Roster!L:L,Roster!O:O,XLOOKUP(D2162,TicketsBreak!A:A,TicketsBreak!F:F,"",0),0)</f>
        <v/>
      </c>
      <c r="J2162" s="316" t="str">
        <f t="array" ref="J2162">XLOOKUP(B2162,Roster!L:L,Roster!P:P,XLOOKUP(D2162,TicketsBreak!A:A,TicketsBreak!G:G,"",0),0)</f>
        <v/>
      </c>
      <c r="K2162" s="310">
        <f t="shared" si="4"/>
        <v>46130</v>
      </c>
      <c r="L2162" s="317">
        <f t="array" ref="L2162">(XLOOKUP(D2162,Roster!F:F,Roster!D:D,"",0))</f>
        <v>38</v>
      </c>
      <c r="M2162" s="317" t="str">
        <f t="array" ref="M2162">XLOOKUP(D2162,Roster!F:F,Roster!E:E)</f>
        <v>Voice</v>
      </c>
      <c r="N2162" s="317" t="str">
        <f t="shared" ref="N2162:P2162" si="2194">LEFT(H2162,5)</f>
        <v/>
      </c>
      <c r="O2162" s="317" t="str">
        <f t="shared" si="2194"/>
        <v/>
      </c>
      <c r="P2162" s="317" t="str">
        <f t="shared" si="2194"/>
        <v/>
      </c>
      <c r="Q2162" s="318" t="str">
        <f t="shared" si="2083"/>
        <v/>
      </c>
      <c r="R2162" s="318" t="str">
        <f t="shared" si="2084"/>
        <v/>
      </c>
      <c r="S2162" s="318" t="str">
        <f t="shared" si="8"/>
        <v/>
      </c>
    </row>
    <row r="2163">
      <c r="A2163" s="14" t="str">
        <f t="shared" si="1"/>
        <v>C148446130</v>
      </c>
      <c r="B2163" s="185" t="str">
        <f t="array" ref="B2163">IF(F2163="VL","",IF(F2163="Free","Free",XLOOKUP(D2163,Roster!T:T,Roster!S:S,"",0)))</f>
        <v>Free</v>
      </c>
      <c r="C2163" s="313">
        <v>46130.0</v>
      </c>
      <c r="D2163" s="314" t="s">
        <v>141</v>
      </c>
      <c r="E2163" s="307" t="str">
        <f t="array" ref="E2163">(XLOOKUP(D2163,Roster!F:F,Roster!B:B,"",0))</f>
        <v>Juan Ospina</v>
      </c>
      <c r="F2163" s="315" t="str">
        <f t="array" ref="F2163">IF(B2163=100,"Free",TEXT(XLOOKUP($D2163,OperationVoice!$A:$A,OperationVoice!X:X,XLOOKUP($D2163,OperationTickets!$A:$A,OperationTickets!X:X,"",0)),"hh:mm"))</f>
        <v>Free</v>
      </c>
      <c r="G2163" s="309" t="str">
        <f t="shared" si="3"/>
        <v>Free</v>
      </c>
      <c r="H2163" s="316" t="str">
        <f t="array" ref="H2163">XLOOKUP(B2163,Roster!L:L,Roster!N:N,XLOOKUP(D2163,TicketsBreak!A:A,TicketsBreak!E:E,"",0),0)</f>
        <v/>
      </c>
      <c r="I2163" s="316" t="str">
        <f t="array" ref="I2163">XLOOKUP(B2163,Roster!L:L,Roster!O:O,XLOOKUP(D2163,TicketsBreak!A:A,TicketsBreak!F:F,"",0),0)</f>
        <v/>
      </c>
      <c r="J2163" s="316" t="str">
        <f t="array" ref="J2163">XLOOKUP(B2163,Roster!L:L,Roster!P:P,XLOOKUP(D2163,TicketsBreak!A:A,TicketsBreak!G:G,"",0),0)</f>
        <v/>
      </c>
      <c r="K2163" s="310">
        <f t="shared" si="4"/>
        <v>46130</v>
      </c>
      <c r="L2163" s="317">
        <f t="array" ref="L2163">(XLOOKUP(D2163,Roster!F:F,Roster!D:D,"",0))</f>
        <v>34</v>
      </c>
      <c r="M2163" s="317" t="str">
        <f t="array" ref="M2163">XLOOKUP(D2163,Roster!F:F,Roster!E:E)</f>
        <v>Tickets</v>
      </c>
      <c r="N2163" s="317" t="str">
        <f t="shared" ref="N2163:P2163" si="2195">LEFT(H2163,5)</f>
        <v/>
      </c>
      <c r="O2163" s="317" t="str">
        <f t="shared" si="2195"/>
        <v/>
      </c>
      <c r="P2163" s="317" t="str">
        <f t="shared" si="2195"/>
        <v/>
      </c>
      <c r="Q2163" s="318" t="str">
        <f t="shared" si="2083"/>
        <v/>
      </c>
      <c r="R2163" s="318" t="str">
        <f t="shared" si="2084"/>
        <v/>
      </c>
      <c r="S2163" s="318" t="str">
        <f t="shared" si="8"/>
        <v/>
      </c>
    </row>
    <row r="2164">
      <c r="A2164" s="14" t="str">
        <f t="shared" si="1"/>
        <v>C141346130</v>
      </c>
      <c r="B2164" s="185" t="str">
        <f t="array" ref="B2164">IF(F2164="VL","",IF(F2164="Free","Free",XLOOKUP(D2164,Roster!T:T,Roster!S:S,"",0)))</f>
        <v>Free</v>
      </c>
      <c r="C2164" s="313">
        <v>46130.0</v>
      </c>
      <c r="D2164" s="314" t="s">
        <v>47</v>
      </c>
      <c r="E2164" s="307" t="str">
        <f t="array" ref="E2164">(XLOOKUP(D2164,Roster!F:F,Roster!B:B,"",0))</f>
        <v>Juan Parra</v>
      </c>
      <c r="F2164" s="315" t="str">
        <f t="array" ref="F2164">IF(B2164=100,"Free",TEXT(XLOOKUP($D2164,OperationVoice!$A:$A,OperationVoice!X:X,XLOOKUP($D2164,OperationTickets!$A:$A,OperationTickets!X:X,"",0)),"hh:mm"))</f>
        <v>Free</v>
      </c>
      <c r="G2164" s="309" t="str">
        <f t="shared" si="3"/>
        <v>Free</v>
      </c>
      <c r="H2164" s="316" t="str">
        <f t="array" ref="H2164">XLOOKUP(B2164,Roster!L:L,Roster!N:N,XLOOKUP(D2164,TicketsBreak!A:A,TicketsBreak!E:E,"",0),0)</f>
        <v/>
      </c>
      <c r="I2164" s="316" t="str">
        <f t="array" ref="I2164">XLOOKUP(B2164,Roster!L:L,Roster!O:O,XLOOKUP(D2164,TicketsBreak!A:A,TicketsBreak!F:F,"",0),0)</f>
        <v/>
      </c>
      <c r="J2164" s="316" t="str">
        <f t="array" ref="J2164">XLOOKUP(B2164,Roster!L:L,Roster!P:P,XLOOKUP(D2164,TicketsBreak!A:A,TicketsBreak!G:G,"",0),0)</f>
        <v/>
      </c>
      <c r="K2164" s="310">
        <f t="shared" si="4"/>
        <v>46130</v>
      </c>
      <c r="L2164" s="317">
        <f t="array" ref="L2164">(XLOOKUP(D2164,Roster!F:F,Roster!D:D,"",0))</f>
        <v>32</v>
      </c>
      <c r="M2164" s="317" t="str">
        <f t="array" ref="M2164">XLOOKUP(D2164,Roster!F:F,Roster!E:E)</f>
        <v>Voice</v>
      </c>
      <c r="N2164" s="317" t="str">
        <f t="shared" ref="N2164:P2164" si="2196">LEFT(H2164,5)</f>
        <v/>
      </c>
      <c r="O2164" s="317" t="str">
        <f t="shared" si="2196"/>
        <v/>
      </c>
      <c r="P2164" s="317" t="str">
        <f t="shared" si="2196"/>
        <v/>
      </c>
      <c r="Q2164" s="318" t="str">
        <f t="shared" si="2083"/>
        <v/>
      </c>
      <c r="R2164" s="318" t="str">
        <f t="shared" si="2084"/>
        <v/>
      </c>
      <c r="S2164" s="318" t="str">
        <f t="shared" si="8"/>
        <v/>
      </c>
    </row>
    <row r="2165">
      <c r="A2165" s="14" t="str">
        <f t="shared" si="1"/>
        <v>C132746130</v>
      </c>
      <c r="B2165" s="185" t="str">
        <f t="array" ref="B2165">IF(F2165="VL","",IF(F2165="Free","Free",XLOOKUP(D2165,Roster!T:T,Roster!S:S,"",0)))</f>
        <v/>
      </c>
      <c r="C2165" s="313">
        <v>46130.0</v>
      </c>
      <c r="D2165" s="314" t="s">
        <v>163</v>
      </c>
      <c r="E2165" s="307" t="str">
        <f t="array" ref="E2165">(XLOOKUP(D2165,Roster!F:F,Roster!B:B,"",0))</f>
        <v>Juan Restrepo</v>
      </c>
      <c r="F2165" s="315" t="str">
        <f t="array" ref="F2165">IF(B2165=100,"Free",TEXT(XLOOKUP($D2165,OperationVoice!$A:$A,OperationVoice!X:X,XLOOKUP($D2165,OperationTickets!$A:$A,OperationTickets!X:X,"",0)),"hh:mm"))</f>
        <v>07:00</v>
      </c>
      <c r="G2165" s="309">
        <f t="shared" si="3"/>
        <v>0.6666666667</v>
      </c>
      <c r="H2165" s="316" t="str">
        <f t="array" ref="H2165">XLOOKUP(B2165,Roster!L:L,Roster!N:N,XLOOKUP(D2165,TicketsBreak!A:A,TicketsBreak!E:E,"",0),0)</f>
        <v/>
      </c>
      <c r="I2165" s="316" t="str">
        <f t="array" ref="I2165">XLOOKUP(B2165,Roster!L:L,Roster!O:O,XLOOKUP(D2165,TicketsBreak!A:A,TicketsBreak!F:F,"",0),0)</f>
        <v/>
      </c>
      <c r="J2165" s="316" t="str">
        <f t="array" ref="J2165">XLOOKUP(B2165,Roster!L:L,Roster!P:P,XLOOKUP(D2165,TicketsBreak!A:A,TicketsBreak!G:G,"",0),0)</f>
        <v/>
      </c>
      <c r="K2165" s="310">
        <f t="shared" si="4"/>
        <v>46130</v>
      </c>
      <c r="L2165" s="317">
        <f t="array" ref="L2165">(XLOOKUP(D2165,Roster!F:F,Roster!D:D,"",0))</f>
        <v>29</v>
      </c>
      <c r="M2165" s="317" t="str">
        <f t="array" ref="M2165">XLOOKUP(D2165,Roster!F:F,Roster!E:E)</f>
        <v>Tickets</v>
      </c>
      <c r="N2165" s="317" t="str">
        <f t="shared" ref="N2165:P2165" si="2197">LEFT(H2165,5)</f>
        <v/>
      </c>
      <c r="O2165" s="317" t="str">
        <f t="shared" si="2197"/>
        <v/>
      </c>
      <c r="P2165" s="317" t="str">
        <f t="shared" si="2197"/>
        <v/>
      </c>
      <c r="Q2165" s="318" t="str">
        <f t="shared" si="2083"/>
        <v/>
      </c>
      <c r="R2165" s="318" t="str">
        <f t="shared" si="2084"/>
        <v/>
      </c>
      <c r="S2165" s="318" t="str">
        <f t="shared" si="8"/>
        <v/>
      </c>
    </row>
    <row r="2166">
      <c r="A2166" s="14" t="str">
        <f t="shared" si="1"/>
        <v>C146946130</v>
      </c>
      <c r="B2166" s="185">
        <f t="array" ref="B2166">IF(F2166="VL","",IF(F2166="Free","Free",XLOOKUP(D2166,Roster!T:T,Roster!S:S,"",0)))</f>
        <v>122</v>
      </c>
      <c r="C2166" s="313">
        <v>46130.0</v>
      </c>
      <c r="D2166" s="314" t="s">
        <v>48</v>
      </c>
      <c r="E2166" s="307" t="str">
        <f t="array" ref="E2166">(XLOOKUP(D2166,Roster!F:F,Roster!B:B,"",0))</f>
        <v>Juan Restrepo Restrepo</v>
      </c>
      <c r="F2166" s="315" t="str">
        <f t="array" ref="F2166">IF(B2166=100,"Free",TEXT(XLOOKUP($D2166,OperationVoice!$A:$A,OperationVoice!X:X,XLOOKUP($D2166,OperationTickets!$A:$A,OperationTickets!X:X,"",0)),"hh:mm"))</f>
        <v>08:00</v>
      </c>
      <c r="G2166" s="309">
        <f t="shared" si="3"/>
        <v>0.7083333333</v>
      </c>
      <c r="H2166" s="316" t="str">
        <f t="array" ref="H2166">XLOOKUP(B2166,Roster!L:L,Roster!N:N,XLOOKUP(D2166,TicketsBreak!A:A,TicketsBreak!E:E,"",0),0)</f>
        <v>09:30 - 09:45</v>
      </c>
      <c r="I2166" s="316" t="str">
        <f t="array" ref="I2166">XLOOKUP(B2166,Roster!L:L,Roster!O:O,XLOOKUP(D2166,TicketsBreak!A:A,TicketsBreak!F:F,"",0),0)</f>
        <v>12:00 - 12:30</v>
      </c>
      <c r="J2166" s="316" t="str">
        <f t="array" ref="J2166">XLOOKUP(B2166,Roster!L:L,Roster!P:P,XLOOKUP(D2166,TicketsBreak!A:A,TicketsBreak!G:G,"",0),0)</f>
        <v>14:45 - 15:00</v>
      </c>
      <c r="K2166" s="310">
        <f t="shared" si="4"/>
        <v>46130</v>
      </c>
      <c r="L2166" s="317">
        <f t="array" ref="L2166">(XLOOKUP(D2166,Roster!F:F,Roster!D:D,"",0))</f>
        <v>33</v>
      </c>
      <c r="M2166" s="317" t="str">
        <f t="array" ref="M2166">XLOOKUP(D2166,Roster!F:F,Roster!E:E)</f>
        <v>Voice</v>
      </c>
      <c r="N2166" s="317" t="str">
        <f t="shared" ref="N2166:P2166" si="2198">LEFT(H2166,5)</f>
        <v>09:30</v>
      </c>
      <c r="O2166" s="317" t="str">
        <f t="shared" si="2198"/>
        <v>12:00</v>
      </c>
      <c r="P2166" s="317" t="str">
        <f t="shared" si="2198"/>
        <v>14:45</v>
      </c>
      <c r="Q2166" s="318">
        <f t="shared" si="2083"/>
        <v>46130.39583</v>
      </c>
      <c r="R2166" s="318">
        <f t="shared" si="2084"/>
        <v>46130.5</v>
      </c>
      <c r="S2166" s="318">
        <f t="shared" si="8"/>
        <v>46130.61458</v>
      </c>
    </row>
    <row r="2167">
      <c r="A2167" s="14" t="str">
        <f t="shared" si="1"/>
        <v>C117146130</v>
      </c>
      <c r="B2167" s="185" t="str">
        <f t="array" ref="B2167">IF(F2167="VL","",IF(F2167="Free","Free",XLOOKUP(D2167,Roster!T:T,Roster!S:S,"",0)))</f>
        <v/>
      </c>
      <c r="C2167" s="313">
        <v>46130.0</v>
      </c>
      <c r="D2167" s="314" t="s">
        <v>142</v>
      </c>
      <c r="E2167" s="307" t="str">
        <f t="array" ref="E2167">(XLOOKUP(D2167,Roster!F:F,Roster!B:B,"",0))</f>
        <v>Juan Sanchez</v>
      </c>
      <c r="F2167" s="315" t="str">
        <f t="array" ref="F2167">IF(B2167=100,"Free",TEXT(XLOOKUP($D2167,OperationVoice!$A:$A,OperationVoice!X:X,XLOOKUP($D2167,OperationTickets!$A:$A,OperationTickets!X:X,"",0)),"hh:mm"))</f>
        <v>08:00</v>
      </c>
      <c r="G2167" s="309">
        <f t="shared" si="3"/>
        <v>0.7083333333</v>
      </c>
      <c r="H2167" s="316" t="str">
        <f t="array" ref="H2167">XLOOKUP(B2167,Roster!L:L,Roster!N:N,XLOOKUP(D2167,TicketsBreak!A:A,TicketsBreak!E:E,"",0),0)</f>
        <v/>
      </c>
      <c r="I2167" s="316" t="str">
        <f t="array" ref="I2167">XLOOKUP(B2167,Roster!L:L,Roster!O:O,XLOOKUP(D2167,TicketsBreak!A:A,TicketsBreak!F:F,"",0),0)</f>
        <v/>
      </c>
      <c r="J2167" s="316" t="str">
        <f t="array" ref="J2167">XLOOKUP(B2167,Roster!L:L,Roster!P:P,XLOOKUP(D2167,TicketsBreak!A:A,TicketsBreak!G:G,"",0),0)</f>
        <v/>
      </c>
      <c r="K2167" s="310">
        <f t="shared" si="4"/>
        <v>46130</v>
      </c>
      <c r="L2167" s="317">
        <f t="array" ref="L2167">(XLOOKUP(D2167,Roster!F:F,Roster!D:D,"",0))</f>
        <v>24</v>
      </c>
      <c r="M2167" s="317" t="str">
        <f t="array" ref="M2167">XLOOKUP(D2167,Roster!F:F,Roster!E:E)</f>
        <v>Tickets</v>
      </c>
      <c r="N2167" s="317" t="str">
        <f t="shared" ref="N2167:P2167" si="2199">LEFT(H2167,5)</f>
        <v/>
      </c>
      <c r="O2167" s="317" t="str">
        <f t="shared" si="2199"/>
        <v/>
      </c>
      <c r="P2167" s="317" t="str">
        <f t="shared" si="2199"/>
        <v/>
      </c>
      <c r="Q2167" s="318" t="str">
        <f t="shared" si="2083"/>
        <v/>
      </c>
      <c r="R2167" s="318" t="str">
        <f t="shared" si="2084"/>
        <v/>
      </c>
      <c r="S2167" s="318" t="str">
        <f t="shared" si="8"/>
        <v/>
      </c>
    </row>
    <row r="2168">
      <c r="A2168" s="14" t="str">
        <f t="shared" si="1"/>
        <v>C74346130</v>
      </c>
      <c r="B2168" s="185" t="str">
        <f t="array" ref="B2168">IF(F2168="VL","",IF(F2168="Free","Free",XLOOKUP(D2168,Roster!T:T,Roster!S:S,"",0)))</f>
        <v/>
      </c>
      <c r="C2168" s="313">
        <v>46130.0</v>
      </c>
      <c r="D2168" s="314" t="s">
        <v>164</v>
      </c>
      <c r="E2168" s="307" t="str">
        <f t="array" ref="E2168">(XLOOKUP(D2168,Roster!F:F,Roster!B:B,"",0))</f>
        <v>Juan Suarez</v>
      </c>
      <c r="F2168" s="315" t="str">
        <f t="array" ref="F2168">IF(B2168=100,"Free",TEXT(XLOOKUP($D2168,OperationVoice!$A:$A,OperationVoice!X:X,XLOOKUP($D2168,OperationTickets!$A:$A,OperationTickets!X:X,"",0)),"hh:mm"))</f>
        <v>VL</v>
      </c>
      <c r="G2168" s="309" t="str">
        <f t="shared" si="3"/>
        <v>VL</v>
      </c>
      <c r="H2168" s="316">
        <f t="array" ref="H2168">XLOOKUP(B2168,Roster!L:L,Roster!N:N,XLOOKUP(D2168,TicketsBreak!A:A,TicketsBreak!E:E,"",0),0)</f>
        <v>0.3958333333</v>
      </c>
      <c r="I2168" s="316">
        <f t="array" ref="I2168">XLOOKUP(B2168,Roster!L:L,Roster!O:O,XLOOKUP(D2168,TicketsBreak!A:A,TicketsBreak!F:F,"",0),0)</f>
        <v>0.5208333333</v>
      </c>
      <c r="J2168" s="316">
        <f t="array" ref="J2168">XLOOKUP(B2168,Roster!L:L,Roster!P:P,XLOOKUP(D2168,TicketsBreak!A:A,TicketsBreak!G:G,"",0),0)</f>
        <v>0.6145833333</v>
      </c>
      <c r="K2168" s="310">
        <f t="shared" si="4"/>
        <v>46130</v>
      </c>
      <c r="L2168" s="317">
        <f t="array" ref="L2168">(XLOOKUP(D2168,Roster!F:F,Roster!D:D,"",0))</f>
        <v>8</v>
      </c>
      <c r="M2168" s="317" t="str">
        <f t="array" ref="M2168">XLOOKUP(D2168,Roster!F:F,Roster!E:E)</f>
        <v>Tickets</v>
      </c>
      <c r="N2168" s="317" t="str">
        <f t="shared" ref="N2168:P2168" si="2200">LEFT(H2168,5)</f>
        <v>09:30</v>
      </c>
      <c r="O2168" s="317" t="str">
        <f t="shared" si="2200"/>
        <v>12:30</v>
      </c>
      <c r="P2168" s="317" t="str">
        <f t="shared" si="2200"/>
        <v>14:45</v>
      </c>
      <c r="Q2168" s="318">
        <f t="shared" si="2083"/>
        <v>46130.39583</v>
      </c>
      <c r="R2168" s="318">
        <f t="shared" si="2084"/>
        <v>46130.52083</v>
      </c>
      <c r="S2168" s="318">
        <f t="shared" si="8"/>
        <v>46130.61458</v>
      </c>
    </row>
    <row r="2169">
      <c r="A2169" s="14" t="str">
        <f t="shared" si="1"/>
        <v>C156846130</v>
      </c>
      <c r="B2169" s="185">
        <f t="array" ref="B2169">IF(F2169="VL","",IF(F2169="Free","Free",XLOOKUP(D2169,Roster!T:T,Roster!S:S,"",0)))</f>
        <v>122</v>
      </c>
      <c r="C2169" s="313">
        <v>46130.0</v>
      </c>
      <c r="D2169" s="314" t="s">
        <v>49</v>
      </c>
      <c r="E2169" s="307" t="str">
        <f t="array" ref="E2169">(XLOOKUP(D2169,Roster!F:F,Roster!B:B,"",0))</f>
        <v>Juan Zapata</v>
      </c>
      <c r="F2169" s="315" t="str">
        <f t="array" ref="F2169">IF(B2169=100,"Free",TEXT(XLOOKUP($D2169,OperationVoice!$A:$A,OperationVoice!X:X,XLOOKUP($D2169,OperationTickets!$A:$A,OperationTickets!X:X,"",0)),"hh:mm"))</f>
        <v>08:00</v>
      </c>
      <c r="G2169" s="309">
        <f t="shared" si="3"/>
        <v>0.7083333333</v>
      </c>
      <c r="H2169" s="316" t="str">
        <f t="array" ref="H2169">XLOOKUP(B2169,Roster!L:L,Roster!N:N,XLOOKUP(D2169,TicketsBreak!A:A,TicketsBreak!E:E,"",0),0)</f>
        <v>09:30 - 09:45</v>
      </c>
      <c r="I2169" s="316" t="str">
        <f t="array" ref="I2169">XLOOKUP(B2169,Roster!L:L,Roster!O:O,XLOOKUP(D2169,TicketsBreak!A:A,TicketsBreak!F:F,"",0),0)</f>
        <v>12:00 - 12:30</v>
      </c>
      <c r="J2169" s="316" t="str">
        <f t="array" ref="J2169">XLOOKUP(B2169,Roster!L:L,Roster!P:P,XLOOKUP(D2169,TicketsBreak!A:A,TicketsBreak!G:G,"",0),0)</f>
        <v>14:45 - 15:00</v>
      </c>
      <c r="K2169" s="310">
        <f t="shared" si="4"/>
        <v>46130</v>
      </c>
      <c r="L2169" s="317">
        <f t="array" ref="L2169">(XLOOKUP(D2169,Roster!F:F,Roster!D:D,"",0))</f>
        <v>38</v>
      </c>
      <c r="M2169" s="317" t="str">
        <f t="array" ref="M2169">XLOOKUP(D2169,Roster!F:F,Roster!E:E)</f>
        <v>Voice</v>
      </c>
      <c r="N2169" s="317" t="str">
        <f t="shared" ref="N2169:P2169" si="2201">LEFT(H2169,5)</f>
        <v>09:30</v>
      </c>
      <c r="O2169" s="317" t="str">
        <f t="shared" si="2201"/>
        <v>12:00</v>
      </c>
      <c r="P2169" s="317" t="str">
        <f t="shared" si="2201"/>
        <v>14:45</v>
      </c>
      <c r="Q2169" s="318">
        <f t="shared" si="2083"/>
        <v>46130.39583</v>
      </c>
      <c r="R2169" s="318">
        <f t="shared" si="2084"/>
        <v>46130.5</v>
      </c>
      <c r="S2169" s="318">
        <f t="shared" si="8"/>
        <v>46130.61458</v>
      </c>
    </row>
    <row r="2170">
      <c r="A2170" s="14" t="str">
        <f t="shared" si="1"/>
        <v>C75546130</v>
      </c>
      <c r="B2170" s="185" t="str">
        <f t="array" ref="B2170">IF(F2170="VL","",IF(F2170="Free","Free",XLOOKUP(D2170,Roster!T:T,Roster!S:S,"",0)))</f>
        <v/>
      </c>
      <c r="C2170" s="313">
        <v>46130.0</v>
      </c>
      <c r="D2170" s="314" t="s">
        <v>143</v>
      </c>
      <c r="E2170" s="307" t="str">
        <f t="array" ref="E2170">(XLOOKUP(D2170,Roster!F:F,Roster!B:B,"",0))</f>
        <v>Julian Higuita</v>
      </c>
      <c r="F2170" s="315" t="str">
        <f t="array" ref="F2170">IF(B2170=100,"Free",TEXT(XLOOKUP($D2170,OperationVoice!$A:$A,OperationVoice!X:X,XLOOKUP($D2170,OperationTickets!$A:$A,OperationTickets!X:X,"",0)),"hh:mm"))</f>
        <v>VL</v>
      </c>
      <c r="G2170" s="309" t="str">
        <f t="shared" si="3"/>
        <v>VL</v>
      </c>
      <c r="H2170" s="316" t="str">
        <f t="array" ref="H2170">XLOOKUP(B2170,Roster!L:L,Roster!N:N,XLOOKUP(D2170,TicketsBreak!A:A,TicketsBreak!E:E,"",0),0)</f>
        <v/>
      </c>
      <c r="I2170" s="316" t="str">
        <f t="array" ref="I2170">XLOOKUP(B2170,Roster!L:L,Roster!O:O,XLOOKUP(D2170,TicketsBreak!A:A,TicketsBreak!F:F,"",0),0)</f>
        <v/>
      </c>
      <c r="J2170" s="316" t="str">
        <f t="array" ref="J2170">XLOOKUP(B2170,Roster!L:L,Roster!P:P,XLOOKUP(D2170,TicketsBreak!A:A,TicketsBreak!G:G,"",0),0)</f>
        <v/>
      </c>
      <c r="K2170" s="310">
        <f t="shared" si="4"/>
        <v>46130</v>
      </c>
      <c r="L2170" s="317">
        <f t="array" ref="L2170">(XLOOKUP(D2170,Roster!F:F,Roster!D:D,"",0))</f>
        <v>35</v>
      </c>
      <c r="M2170" s="317" t="str">
        <f t="array" ref="M2170">XLOOKUP(D2170,Roster!F:F,Roster!E:E)</f>
        <v>Tickets</v>
      </c>
      <c r="N2170" s="317" t="str">
        <f t="shared" ref="N2170:P2170" si="2202">LEFT(H2170,5)</f>
        <v/>
      </c>
      <c r="O2170" s="317" t="str">
        <f t="shared" si="2202"/>
        <v/>
      </c>
      <c r="P2170" s="317" t="str">
        <f t="shared" si="2202"/>
        <v/>
      </c>
      <c r="Q2170" s="318" t="str">
        <f t="shared" si="2083"/>
        <v/>
      </c>
      <c r="R2170" s="318" t="str">
        <f t="shared" si="2084"/>
        <v/>
      </c>
      <c r="S2170" s="318" t="str">
        <f t="shared" si="8"/>
        <v/>
      </c>
    </row>
    <row r="2171">
      <c r="A2171" s="14" t="str">
        <f t="shared" si="1"/>
        <v>C52546130</v>
      </c>
      <c r="B2171" s="185" t="str">
        <f t="array" ref="B2171">IF(F2171="VL","",IF(F2171="Free","Free",XLOOKUP(D2171,Roster!T:T,Roster!S:S,"",0)))</f>
        <v/>
      </c>
      <c r="C2171" s="313">
        <v>46130.0</v>
      </c>
      <c r="D2171" s="314" t="s">
        <v>176</v>
      </c>
      <c r="E2171" s="307" t="str">
        <f t="array" ref="E2171">(XLOOKUP(D2171,Roster!F:F,Roster!B:B,"",0))</f>
        <v>Julian Pineda</v>
      </c>
      <c r="F2171" s="315" t="str">
        <f t="array" ref="F2171">IF(B2171=100,"Free",TEXT(XLOOKUP($D2171,OperationVoice!$A:$A,OperationVoice!X:X,XLOOKUP($D2171,OperationTickets!$A:$A,OperationTickets!X:X,"",0)),"hh:mm"))</f>
        <v>08:00</v>
      </c>
      <c r="G2171" s="309">
        <f t="shared" si="3"/>
        <v>0.7083333333</v>
      </c>
      <c r="H2171" s="316" t="str">
        <f t="array" ref="H2171">XLOOKUP(B2171,Roster!L:L,Roster!N:N,XLOOKUP(D2171,TicketsBreak!A:A,TicketsBreak!E:E,"",0),0)</f>
        <v/>
      </c>
      <c r="I2171" s="316" t="str">
        <f t="array" ref="I2171">XLOOKUP(B2171,Roster!L:L,Roster!O:O,XLOOKUP(D2171,TicketsBreak!A:A,TicketsBreak!F:F,"",0),0)</f>
        <v/>
      </c>
      <c r="J2171" s="316" t="str">
        <f t="array" ref="J2171">XLOOKUP(B2171,Roster!L:L,Roster!P:P,XLOOKUP(D2171,TicketsBreak!A:A,TicketsBreak!G:G,"",0),0)</f>
        <v/>
      </c>
      <c r="K2171" s="310">
        <f t="shared" si="4"/>
        <v>46130</v>
      </c>
      <c r="L2171" s="317">
        <f t="array" ref="L2171">(XLOOKUP(D2171,Roster!F:F,Roster!D:D,"",0))</f>
        <v>35</v>
      </c>
      <c r="M2171" s="317" t="str">
        <f t="array" ref="M2171">XLOOKUP(D2171,Roster!F:F,Roster!E:E)</f>
        <v>Tickets</v>
      </c>
      <c r="N2171" s="317" t="str">
        <f t="shared" ref="N2171:P2171" si="2203">LEFT(H2171,5)</f>
        <v/>
      </c>
      <c r="O2171" s="317" t="str">
        <f t="shared" si="2203"/>
        <v/>
      </c>
      <c r="P2171" s="317" t="str">
        <f t="shared" si="2203"/>
        <v/>
      </c>
      <c r="Q2171" s="318" t="str">
        <f t="shared" si="2083"/>
        <v/>
      </c>
      <c r="R2171" s="318" t="str">
        <f t="shared" si="2084"/>
        <v/>
      </c>
      <c r="S2171" s="318" t="str">
        <f t="shared" si="8"/>
        <v/>
      </c>
    </row>
    <row r="2172">
      <c r="A2172" s="14" t="str">
        <f t="shared" si="1"/>
        <v>C142746130</v>
      </c>
      <c r="B2172" s="185" t="str">
        <f t="array" ref="B2172">IF(F2172="VL","",IF(F2172="Free","Free",XLOOKUP(D2172,Roster!T:T,Roster!S:S,"",0)))</f>
        <v>Free</v>
      </c>
      <c r="C2172" s="313">
        <v>46130.0</v>
      </c>
      <c r="D2172" s="314" t="s">
        <v>50</v>
      </c>
      <c r="E2172" s="307" t="str">
        <f t="array" ref="E2172">(XLOOKUP(D2172,Roster!F:F,Roster!B:B,"",0))</f>
        <v>Karen Lorena Martinez</v>
      </c>
      <c r="F2172" s="315" t="str">
        <f t="array" ref="F2172">IF(B2172=100,"Free",TEXT(XLOOKUP($D2172,OperationVoice!$A:$A,OperationVoice!X:X,XLOOKUP($D2172,OperationTickets!$A:$A,OperationTickets!X:X,"",0)),"hh:mm"))</f>
        <v>Free</v>
      </c>
      <c r="G2172" s="309" t="str">
        <f t="shared" si="3"/>
        <v>Free</v>
      </c>
      <c r="H2172" s="316" t="str">
        <f t="array" ref="H2172">XLOOKUP(B2172,Roster!L:L,Roster!N:N,XLOOKUP(D2172,TicketsBreak!A:A,TicketsBreak!E:E,"",0),0)</f>
        <v/>
      </c>
      <c r="I2172" s="316" t="str">
        <f t="array" ref="I2172">XLOOKUP(B2172,Roster!L:L,Roster!O:O,XLOOKUP(D2172,TicketsBreak!A:A,TicketsBreak!F:F,"",0),0)</f>
        <v/>
      </c>
      <c r="J2172" s="316" t="str">
        <f t="array" ref="J2172">XLOOKUP(B2172,Roster!L:L,Roster!P:P,XLOOKUP(D2172,TicketsBreak!A:A,TicketsBreak!G:G,"",0),0)</f>
        <v/>
      </c>
      <c r="K2172" s="310">
        <f t="shared" si="4"/>
        <v>46130</v>
      </c>
      <c r="L2172" s="317">
        <f t="array" ref="L2172">(XLOOKUP(D2172,Roster!F:F,Roster!D:D,"",0))</f>
        <v>32</v>
      </c>
      <c r="M2172" s="317" t="str">
        <f t="array" ref="M2172">XLOOKUP(D2172,Roster!F:F,Roster!E:E)</f>
        <v>Voice</v>
      </c>
      <c r="N2172" s="317" t="str">
        <f t="shared" ref="N2172:P2172" si="2204">LEFT(H2172,5)</f>
        <v/>
      </c>
      <c r="O2172" s="317" t="str">
        <f t="shared" si="2204"/>
        <v/>
      </c>
      <c r="P2172" s="317" t="str">
        <f t="shared" si="2204"/>
        <v/>
      </c>
      <c r="Q2172" s="318" t="str">
        <f t="shared" si="2083"/>
        <v/>
      </c>
      <c r="R2172" s="318" t="str">
        <f t="shared" si="2084"/>
        <v/>
      </c>
      <c r="S2172" s="318" t="str">
        <f t="shared" si="8"/>
        <v/>
      </c>
    </row>
    <row r="2173">
      <c r="A2173" s="14" t="str">
        <f t="shared" si="1"/>
        <v>C57946130</v>
      </c>
      <c r="B2173" s="185" t="str">
        <f t="array" ref="B2173">IF(F2173="VL","",IF(F2173="Free","Free",XLOOKUP(D2173,Roster!T:T,Roster!S:S,"",0)))</f>
        <v/>
      </c>
      <c r="C2173" s="313">
        <v>46130.0</v>
      </c>
      <c r="D2173" s="314" t="s">
        <v>144</v>
      </c>
      <c r="E2173" s="307" t="str">
        <f t="array" ref="E2173">(XLOOKUP(D2173,Roster!F:F,Roster!B:B,"",0))</f>
        <v>Karen Martinez</v>
      </c>
      <c r="F2173" s="315" t="str">
        <f t="array" ref="F2173">IF(B2173=100,"Free",TEXT(XLOOKUP($D2173,OperationVoice!$A:$A,OperationVoice!X:X,XLOOKUP($D2173,OperationTickets!$A:$A,OperationTickets!X:X,"",0)),"hh:mm"))</f>
        <v>08:00</v>
      </c>
      <c r="G2173" s="309">
        <f t="shared" si="3"/>
        <v>0.7083333333</v>
      </c>
      <c r="H2173" s="316">
        <f t="array" ref="H2173">XLOOKUP(B2173,Roster!L:L,Roster!N:N,XLOOKUP(D2173,TicketsBreak!A:A,TicketsBreak!E:E,"",0),0)</f>
        <v>0.4166666667</v>
      </c>
      <c r="I2173" s="316">
        <f t="array" ref="I2173">XLOOKUP(B2173,Roster!L:L,Roster!O:O,XLOOKUP(D2173,TicketsBreak!A:A,TicketsBreak!F:F,"",0),0)</f>
        <v>0.5</v>
      </c>
      <c r="J2173" s="316">
        <f t="array" ref="J2173">XLOOKUP(B2173,Roster!L:L,Roster!P:P,XLOOKUP(D2173,TicketsBreak!A:A,TicketsBreak!G:G,"",0),0)</f>
        <v>0.625</v>
      </c>
      <c r="K2173" s="310">
        <f t="shared" si="4"/>
        <v>46130</v>
      </c>
      <c r="L2173" s="317">
        <f t="array" ref="L2173">(XLOOKUP(D2173,Roster!F:F,Roster!D:D,"",0))</f>
        <v>4</v>
      </c>
      <c r="M2173" s="317" t="str">
        <f t="array" ref="M2173">XLOOKUP(D2173,Roster!F:F,Roster!E:E)</f>
        <v>Tickets</v>
      </c>
      <c r="N2173" s="317" t="str">
        <f t="shared" ref="N2173:P2173" si="2205">LEFT(H2173,5)</f>
        <v>10:00</v>
      </c>
      <c r="O2173" s="317" t="str">
        <f t="shared" si="2205"/>
        <v>12:00</v>
      </c>
      <c r="P2173" s="317" t="str">
        <f t="shared" si="2205"/>
        <v>15:00</v>
      </c>
      <c r="Q2173" s="318">
        <f t="shared" si="2083"/>
        <v>46130.41667</v>
      </c>
      <c r="R2173" s="318">
        <f t="shared" si="2084"/>
        <v>46130.5</v>
      </c>
      <c r="S2173" s="318">
        <f t="shared" si="8"/>
        <v>46130.625</v>
      </c>
    </row>
    <row r="2174">
      <c r="A2174" s="14" t="str">
        <f t="shared" si="1"/>
        <v>C108646130</v>
      </c>
      <c r="B2174" s="185" t="str">
        <f t="array" ref="B2174">IF(F2174="VL","",IF(F2174="Free","Free",XLOOKUP(D2174,Roster!T:T,Roster!S:S,"",0)))</f>
        <v>Free</v>
      </c>
      <c r="C2174" s="313">
        <v>46130.0</v>
      </c>
      <c r="D2174" s="314" t="s">
        <v>51</v>
      </c>
      <c r="E2174" s="307" t="str">
        <f t="array" ref="E2174">(XLOOKUP(D2174,Roster!F:F,Roster!B:B,"",0))</f>
        <v>Karen Panqueva</v>
      </c>
      <c r="F2174" s="315" t="str">
        <f t="array" ref="F2174">IF(B2174=100,"Free",TEXT(XLOOKUP($D2174,OperationVoice!$A:$A,OperationVoice!X:X,XLOOKUP($D2174,OperationTickets!$A:$A,OperationTickets!X:X,"",0)),"hh:mm"))</f>
        <v>Free</v>
      </c>
      <c r="G2174" s="309" t="str">
        <f t="shared" si="3"/>
        <v>Free</v>
      </c>
      <c r="H2174" s="316" t="str">
        <f t="array" ref="H2174">XLOOKUP(B2174,Roster!L:L,Roster!N:N,XLOOKUP(D2174,TicketsBreak!A:A,TicketsBreak!E:E,"",0),0)</f>
        <v/>
      </c>
      <c r="I2174" s="316" t="str">
        <f t="array" ref="I2174">XLOOKUP(B2174,Roster!L:L,Roster!O:O,XLOOKUP(D2174,TicketsBreak!A:A,TicketsBreak!F:F,"",0),0)</f>
        <v/>
      </c>
      <c r="J2174" s="316" t="str">
        <f t="array" ref="J2174">XLOOKUP(B2174,Roster!L:L,Roster!P:P,XLOOKUP(D2174,TicketsBreak!A:A,TicketsBreak!G:G,"",0),0)</f>
        <v/>
      </c>
      <c r="K2174" s="310">
        <f t="shared" si="4"/>
        <v>46130</v>
      </c>
      <c r="L2174" s="317">
        <f t="array" ref="L2174">(XLOOKUP(D2174,Roster!F:F,Roster!D:D,"",0))</f>
        <v>19</v>
      </c>
      <c r="M2174" s="317" t="str">
        <f t="array" ref="M2174">XLOOKUP(D2174,Roster!F:F,Roster!E:E)</f>
        <v>Voice</v>
      </c>
      <c r="N2174" s="317" t="str">
        <f t="shared" ref="N2174:P2174" si="2206">LEFT(H2174,5)</f>
        <v/>
      </c>
      <c r="O2174" s="317" t="str">
        <f t="shared" si="2206"/>
        <v/>
      </c>
      <c r="P2174" s="317" t="str">
        <f t="shared" si="2206"/>
        <v/>
      </c>
      <c r="Q2174" s="318" t="str">
        <f t="shared" si="2083"/>
        <v/>
      </c>
      <c r="R2174" s="318" t="str">
        <f t="shared" si="2084"/>
        <v/>
      </c>
      <c r="S2174" s="318" t="str">
        <f t="shared" si="8"/>
        <v/>
      </c>
    </row>
    <row r="2175">
      <c r="A2175" s="14" t="str">
        <f t="shared" si="1"/>
        <v>C149246130</v>
      </c>
      <c r="B2175" s="185" t="str">
        <f t="array" ref="B2175">IF(F2175="VL","",IF(F2175="Free","Free",XLOOKUP(D2175,Roster!T:T,Roster!S:S,"",0)))</f>
        <v>Free</v>
      </c>
      <c r="C2175" s="313">
        <v>46130.0</v>
      </c>
      <c r="D2175" s="314" t="s">
        <v>52</v>
      </c>
      <c r="E2175" s="307" t="str">
        <f t="array" ref="E2175">(XLOOKUP(D2175,Roster!F:F,Roster!B:B,"",0))</f>
        <v>Karol Pineda</v>
      </c>
      <c r="F2175" s="315" t="str">
        <f t="array" ref="F2175">IF(B2175=100,"Free",TEXT(XLOOKUP($D2175,OperationVoice!$A:$A,OperationVoice!X:X,XLOOKUP($D2175,OperationTickets!$A:$A,OperationTickets!X:X,"",0)),"hh:mm"))</f>
        <v>Free</v>
      </c>
      <c r="G2175" s="309" t="str">
        <f t="shared" si="3"/>
        <v>Free</v>
      </c>
      <c r="H2175" s="316" t="str">
        <f t="array" ref="H2175">XLOOKUP(B2175,Roster!L:L,Roster!N:N,XLOOKUP(D2175,TicketsBreak!A:A,TicketsBreak!E:E,"",0),0)</f>
        <v/>
      </c>
      <c r="I2175" s="316" t="str">
        <f t="array" ref="I2175">XLOOKUP(B2175,Roster!L:L,Roster!O:O,XLOOKUP(D2175,TicketsBreak!A:A,TicketsBreak!F:F,"",0),0)</f>
        <v/>
      </c>
      <c r="J2175" s="316" t="str">
        <f t="array" ref="J2175">XLOOKUP(B2175,Roster!L:L,Roster!P:P,XLOOKUP(D2175,TicketsBreak!A:A,TicketsBreak!G:G,"",0),0)</f>
        <v/>
      </c>
      <c r="K2175" s="310">
        <f t="shared" si="4"/>
        <v>46130</v>
      </c>
      <c r="L2175" s="317">
        <f t="array" ref="L2175">(XLOOKUP(D2175,Roster!F:F,Roster!D:D,"",0))</f>
        <v>34</v>
      </c>
      <c r="M2175" s="317" t="str">
        <f t="array" ref="M2175">XLOOKUP(D2175,Roster!F:F,Roster!E:E)</f>
        <v>Voice</v>
      </c>
      <c r="N2175" s="317" t="str">
        <f t="shared" ref="N2175:P2175" si="2207">LEFT(H2175,5)</f>
        <v/>
      </c>
      <c r="O2175" s="317" t="str">
        <f t="shared" si="2207"/>
        <v/>
      </c>
      <c r="P2175" s="317" t="str">
        <f t="shared" si="2207"/>
        <v/>
      </c>
      <c r="Q2175" s="318" t="str">
        <f t="shared" si="2083"/>
        <v/>
      </c>
      <c r="R2175" s="318" t="str">
        <f t="shared" si="2084"/>
        <v/>
      </c>
      <c r="S2175" s="318" t="str">
        <f t="shared" si="8"/>
        <v/>
      </c>
    </row>
    <row r="2176">
      <c r="A2176" s="14" t="str">
        <f t="shared" si="1"/>
        <v>C65846130</v>
      </c>
      <c r="B2176" s="185" t="str">
        <f t="array" ref="B2176">IF(F2176="VL","",IF(F2176="Free","Free",XLOOKUP(D2176,Roster!T:T,Roster!S:S,"",0)))</f>
        <v>Free</v>
      </c>
      <c r="C2176" s="313">
        <v>46130.0</v>
      </c>
      <c r="D2176" s="314" t="s">
        <v>53</v>
      </c>
      <c r="E2176" s="307" t="str">
        <f t="array" ref="E2176">(XLOOKUP(D2176,Roster!F:F,Roster!B:B,"",0))</f>
        <v>Kennedy Giraldo</v>
      </c>
      <c r="F2176" s="315" t="str">
        <f t="array" ref="F2176">IF(B2176=100,"Free",TEXT(XLOOKUP($D2176,OperationVoice!$A:$A,OperationVoice!X:X,XLOOKUP($D2176,OperationTickets!$A:$A,OperationTickets!X:X,"",0)),"hh:mm"))</f>
        <v>Free</v>
      </c>
      <c r="G2176" s="309" t="str">
        <f t="shared" si="3"/>
        <v>Free</v>
      </c>
      <c r="H2176" s="316" t="str">
        <f t="array" ref="H2176">XLOOKUP(B2176,Roster!L:L,Roster!N:N,XLOOKUP(D2176,TicketsBreak!A:A,TicketsBreak!E:E,"",0),0)</f>
        <v/>
      </c>
      <c r="I2176" s="316" t="str">
        <f t="array" ref="I2176">XLOOKUP(B2176,Roster!L:L,Roster!O:O,XLOOKUP(D2176,TicketsBreak!A:A,TicketsBreak!F:F,"",0),0)</f>
        <v/>
      </c>
      <c r="J2176" s="316" t="str">
        <f t="array" ref="J2176">XLOOKUP(B2176,Roster!L:L,Roster!P:P,XLOOKUP(D2176,TicketsBreak!A:A,TicketsBreak!G:G,"",0),0)</f>
        <v/>
      </c>
      <c r="K2176" s="310">
        <f t="shared" si="4"/>
        <v>46130</v>
      </c>
      <c r="L2176" s="317">
        <f t="array" ref="L2176">(XLOOKUP(D2176,Roster!F:F,Roster!D:D,"",0))</f>
        <v>2</v>
      </c>
      <c r="M2176" s="317" t="str">
        <f t="array" ref="M2176">XLOOKUP(D2176,Roster!F:F,Roster!E:E)</f>
        <v>Voice</v>
      </c>
      <c r="N2176" s="317" t="str">
        <f t="shared" ref="N2176:P2176" si="2208">LEFT(H2176,5)</f>
        <v/>
      </c>
      <c r="O2176" s="317" t="str">
        <f t="shared" si="2208"/>
        <v/>
      </c>
      <c r="P2176" s="317" t="str">
        <f t="shared" si="2208"/>
        <v/>
      </c>
      <c r="Q2176" s="318" t="str">
        <f t="shared" si="2083"/>
        <v/>
      </c>
      <c r="R2176" s="318" t="str">
        <f t="shared" si="2084"/>
        <v/>
      </c>
      <c r="S2176" s="318" t="str">
        <f t="shared" si="8"/>
        <v/>
      </c>
    </row>
    <row r="2177">
      <c r="A2177" s="14" t="str">
        <f t="shared" si="1"/>
        <v>C151446130</v>
      </c>
      <c r="B2177" s="185" t="str">
        <f t="array" ref="B2177">IF(F2177="VL","",IF(F2177="Free","Free",XLOOKUP(D2177,Roster!T:T,Roster!S:S,"",0)))</f>
        <v>Free</v>
      </c>
      <c r="C2177" s="313">
        <v>46130.0</v>
      </c>
      <c r="D2177" s="314" t="s">
        <v>54</v>
      </c>
      <c r="E2177" s="307" t="str">
        <f t="array" ref="E2177">(XLOOKUP(D2177,Roster!F:F,Roster!B:B,"",0))</f>
        <v>Kevin Betancur</v>
      </c>
      <c r="F2177" s="315" t="str">
        <f t="array" ref="F2177">IF(B2177=100,"Free",TEXT(XLOOKUP($D2177,OperationVoice!$A:$A,OperationVoice!X:X,XLOOKUP($D2177,OperationTickets!$A:$A,OperationTickets!X:X,"",0)),"hh:mm"))</f>
        <v>Free</v>
      </c>
      <c r="G2177" s="309" t="str">
        <f t="shared" si="3"/>
        <v>Free</v>
      </c>
      <c r="H2177" s="316" t="str">
        <f t="array" ref="H2177">XLOOKUP(B2177,Roster!L:L,Roster!N:N,XLOOKUP(D2177,TicketsBreak!A:A,TicketsBreak!E:E,"",0),0)</f>
        <v/>
      </c>
      <c r="I2177" s="316" t="str">
        <f t="array" ref="I2177">XLOOKUP(B2177,Roster!L:L,Roster!O:O,XLOOKUP(D2177,TicketsBreak!A:A,TicketsBreak!F:F,"",0),0)</f>
        <v/>
      </c>
      <c r="J2177" s="316" t="str">
        <f t="array" ref="J2177">XLOOKUP(B2177,Roster!L:L,Roster!P:P,XLOOKUP(D2177,TicketsBreak!A:A,TicketsBreak!G:G,"",0),0)</f>
        <v/>
      </c>
      <c r="K2177" s="310">
        <f t="shared" si="4"/>
        <v>46130</v>
      </c>
      <c r="L2177" s="317">
        <f t="array" ref="L2177">(XLOOKUP(D2177,Roster!F:F,Roster!D:D,"",0))</f>
        <v>35</v>
      </c>
      <c r="M2177" s="317" t="str">
        <f t="array" ref="M2177">XLOOKUP(D2177,Roster!F:F,Roster!E:E)</f>
        <v>Voice</v>
      </c>
      <c r="N2177" s="317" t="str">
        <f t="shared" ref="N2177:P2177" si="2209">LEFT(H2177,5)</f>
        <v/>
      </c>
      <c r="O2177" s="317" t="str">
        <f t="shared" si="2209"/>
        <v/>
      </c>
      <c r="P2177" s="317" t="str">
        <f t="shared" si="2209"/>
        <v/>
      </c>
      <c r="Q2177" s="318" t="str">
        <f t="shared" si="2083"/>
        <v/>
      </c>
      <c r="R2177" s="318" t="str">
        <f t="shared" si="2084"/>
        <v/>
      </c>
      <c r="S2177" s="318" t="str">
        <f t="shared" si="8"/>
        <v/>
      </c>
    </row>
    <row r="2178">
      <c r="A2178" s="14" t="str">
        <f t="shared" si="1"/>
        <v>C157146130</v>
      </c>
      <c r="B2178" s="185">
        <f t="array" ref="B2178">IF(F2178="VL","",IF(F2178="Free","Free",XLOOKUP(D2178,Roster!T:T,Roster!S:S,"",0)))</f>
        <v>123</v>
      </c>
      <c r="C2178" s="313">
        <v>46130.0</v>
      </c>
      <c r="D2178" s="314" t="s">
        <v>55</v>
      </c>
      <c r="E2178" s="307" t="str">
        <f t="array" ref="E2178">(XLOOKUP(D2178,Roster!F:F,Roster!B:B,"",0))</f>
        <v>Laura Chamorro</v>
      </c>
      <c r="F2178" s="315" t="str">
        <f t="array" ref="F2178">IF(B2178=100,"Free",TEXT(XLOOKUP($D2178,OperationVoice!$A:$A,OperationVoice!X:X,XLOOKUP($D2178,OperationTickets!$A:$A,OperationTickets!X:X,"",0)),"hh:mm"))</f>
        <v>08:00</v>
      </c>
      <c r="G2178" s="309">
        <f t="shared" si="3"/>
        <v>0.7083333333</v>
      </c>
      <c r="H2178" s="316" t="str">
        <f t="array" ref="H2178">XLOOKUP(B2178,Roster!L:L,Roster!N:N,XLOOKUP(D2178,TicketsBreak!A:A,TicketsBreak!E:E,"",0),0)</f>
        <v>09:45 - 10:00 </v>
      </c>
      <c r="I2178" s="316" t="str">
        <f t="array" ref="I2178">XLOOKUP(B2178,Roster!L:L,Roster!O:O,XLOOKUP(D2178,TicketsBreak!A:A,TicketsBreak!F:F,"",0),0)</f>
        <v>12:30 - 13:00</v>
      </c>
      <c r="J2178" s="316" t="str">
        <f t="array" ref="J2178">XLOOKUP(B2178,Roster!L:L,Roster!P:P,XLOOKUP(D2178,TicketsBreak!A:A,TicketsBreak!G:G,"",0),0)</f>
        <v>15:00 - 15:15</v>
      </c>
      <c r="K2178" s="310">
        <f t="shared" si="4"/>
        <v>46130</v>
      </c>
      <c r="L2178" s="317">
        <f t="array" ref="L2178">(XLOOKUP(D2178,Roster!F:F,Roster!D:D,"",0))</f>
        <v>38</v>
      </c>
      <c r="M2178" s="317" t="str">
        <f t="array" ref="M2178">XLOOKUP(D2178,Roster!F:F,Roster!E:E)</f>
        <v>Voice</v>
      </c>
      <c r="N2178" s="317" t="str">
        <f t="shared" ref="N2178:P2178" si="2210">LEFT(H2178,5)</f>
        <v>09:45</v>
      </c>
      <c r="O2178" s="317" t="str">
        <f t="shared" si="2210"/>
        <v>12:30</v>
      </c>
      <c r="P2178" s="317" t="str">
        <f t="shared" si="2210"/>
        <v>15:00</v>
      </c>
      <c r="Q2178" s="318">
        <f t="shared" si="2083"/>
        <v>46130.40625</v>
      </c>
      <c r="R2178" s="318">
        <f t="shared" si="2084"/>
        <v>46130.52083</v>
      </c>
      <c r="S2178" s="318">
        <f t="shared" si="8"/>
        <v>46130.625</v>
      </c>
    </row>
    <row r="2179">
      <c r="A2179" s="14" t="str">
        <f t="shared" si="1"/>
        <v>C53446130</v>
      </c>
      <c r="B2179" s="185" t="str">
        <f t="array" ref="B2179">IF(F2179="VL","",IF(F2179="Free","Free",XLOOKUP(D2179,Roster!T:T,Roster!S:S,"",0)))</f>
        <v>Free</v>
      </c>
      <c r="C2179" s="313">
        <v>46130.0</v>
      </c>
      <c r="D2179" s="314" t="s">
        <v>177</v>
      </c>
      <c r="E2179" s="307" t="str">
        <f t="array" ref="E2179">(XLOOKUP(D2179,Roster!F:F,Roster!B:B,"",0))</f>
        <v>Leandry La Rosa</v>
      </c>
      <c r="F2179" s="315" t="str">
        <f t="array" ref="F2179">IF(B2179=100,"Free",TEXT(XLOOKUP($D2179,OperationVoice!$A:$A,OperationVoice!X:X,XLOOKUP($D2179,OperationTickets!$A:$A,OperationTickets!X:X,"",0)),"hh:mm"))</f>
        <v>Free</v>
      </c>
      <c r="G2179" s="309" t="str">
        <f t="shared" si="3"/>
        <v>Free</v>
      </c>
      <c r="H2179" s="316">
        <f t="array" ref="H2179">XLOOKUP(B2179,Roster!L:L,Roster!N:N,XLOOKUP(D2179,TicketsBreak!A:A,TicketsBreak!E:E,"",0),0)</f>
        <v>0.40625</v>
      </c>
      <c r="I2179" s="316">
        <f t="array" ref="I2179">XLOOKUP(B2179,Roster!L:L,Roster!O:O,XLOOKUP(D2179,TicketsBreak!A:A,TicketsBreak!F:F,"",0),0)</f>
        <v>0.5416666667</v>
      </c>
      <c r="J2179" s="316">
        <f t="array" ref="J2179">XLOOKUP(B2179,Roster!L:L,Roster!P:P,XLOOKUP(D2179,TicketsBreak!A:A,TicketsBreak!G:G,"",0),0)</f>
        <v>0.65625</v>
      </c>
      <c r="K2179" s="310">
        <f t="shared" si="4"/>
        <v>46130</v>
      </c>
      <c r="L2179" s="317">
        <f t="array" ref="L2179">(XLOOKUP(D2179,Roster!F:F,Roster!D:D,"",0))</f>
        <v>1</v>
      </c>
      <c r="M2179" s="317" t="str">
        <f t="array" ref="M2179">XLOOKUP(D2179,Roster!F:F,Roster!E:E)</f>
        <v>Tickets</v>
      </c>
      <c r="N2179" s="317" t="str">
        <f t="shared" ref="N2179:P2179" si="2211">LEFT(H2179,5)</f>
        <v>09:45</v>
      </c>
      <c r="O2179" s="317" t="str">
        <f t="shared" si="2211"/>
        <v>13:00</v>
      </c>
      <c r="P2179" s="317" t="str">
        <f t="shared" si="2211"/>
        <v>15:45</v>
      </c>
      <c r="Q2179" s="318">
        <f t="shared" si="2083"/>
        <v>46130.40625</v>
      </c>
      <c r="R2179" s="318">
        <f t="shared" si="2084"/>
        <v>46130.54167</v>
      </c>
      <c r="S2179" s="318">
        <f t="shared" si="8"/>
        <v>46130.65625</v>
      </c>
    </row>
    <row r="2180">
      <c r="A2180" s="14" t="str">
        <f t="shared" si="1"/>
        <v>C157846130</v>
      </c>
      <c r="B2180" s="185">
        <f t="array" ref="B2180">IF(F2180="VL","",IF(F2180="Free","Free",XLOOKUP(D2180,Roster!T:T,Roster!S:S,"",0)))</f>
        <v>125</v>
      </c>
      <c r="C2180" s="313">
        <v>46130.0</v>
      </c>
      <c r="D2180" s="314" t="s">
        <v>56</v>
      </c>
      <c r="E2180" s="307" t="str">
        <f t="array" ref="E2180">(XLOOKUP(D2180,Roster!F:F,Roster!B:B,"",0))</f>
        <v>Leonerrichi Caicedo</v>
      </c>
      <c r="F2180" s="315" t="str">
        <f t="array" ref="F2180">IF(B2180=100,"Free",TEXT(XLOOKUP($D2180,OperationVoice!$A:$A,OperationVoice!X:X,XLOOKUP($D2180,OperationTickets!$A:$A,OperationTickets!X:X,"",0)),"hh:mm"))</f>
        <v>08:00</v>
      </c>
      <c r="G2180" s="309">
        <f t="shared" si="3"/>
        <v>0.7083333333</v>
      </c>
      <c r="H2180" s="316" t="str">
        <f t="array" ref="H2180">XLOOKUP(B2180,Roster!L:L,Roster!N:N,XLOOKUP(D2180,TicketsBreak!A:A,TicketsBreak!E:E,"",0),0)</f>
        <v>10:30 - 10:45</v>
      </c>
      <c r="I2180" s="316" t="str">
        <f t="array" ref="I2180">XLOOKUP(B2180,Roster!L:L,Roster!O:O,XLOOKUP(D2180,TicketsBreak!A:A,TicketsBreak!F:F,"",0),0)</f>
        <v>13:30 - 14:00</v>
      </c>
      <c r="J2180" s="316" t="str">
        <f t="array" ref="J2180">XLOOKUP(B2180,Roster!L:L,Roster!P:P,XLOOKUP(D2180,TicketsBreak!A:A,TicketsBreak!G:G,"",0),0)</f>
        <v>15:45 - 16:00</v>
      </c>
      <c r="K2180" s="310">
        <f t="shared" si="4"/>
        <v>46130</v>
      </c>
      <c r="L2180" s="317">
        <f t="array" ref="L2180">(XLOOKUP(D2180,Roster!F:F,Roster!D:D,"",0))</f>
        <v>38</v>
      </c>
      <c r="M2180" s="317" t="str">
        <f t="array" ref="M2180">XLOOKUP(D2180,Roster!F:F,Roster!E:E)</f>
        <v>Voice</v>
      </c>
      <c r="N2180" s="317" t="str">
        <f t="shared" ref="N2180:P2180" si="2212">LEFT(H2180,5)</f>
        <v>10:30</v>
      </c>
      <c r="O2180" s="317" t="str">
        <f t="shared" si="2212"/>
        <v>13:30</v>
      </c>
      <c r="P2180" s="317" t="str">
        <f t="shared" si="2212"/>
        <v>15:45</v>
      </c>
      <c r="Q2180" s="318">
        <f t="shared" si="2083"/>
        <v>46130.4375</v>
      </c>
      <c r="R2180" s="318">
        <f t="shared" si="2084"/>
        <v>46130.5625</v>
      </c>
      <c r="S2180" s="318">
        <f t="shared" si="8"/>
        <v>46130.65625</v>
      </c>
    </row>
    <row r="2181">
      <c r="A2181" s="14" t="str">
        <f t="shared" si="1"/>
        <v>C53546130</v>
      </c>
      <c r="B2181" s="185" t="str">
        <f t="array" ref="B2181">IF(F2181="VL","",IF(F2181="Free","Free",XLOOKUP(D2181,Roster!T:T,Roster!S:S,"",0)))</f>
        <v>Free</v>
      </c>
      <c r="C2181" s="313">
        <v>46130.0</v>
      </c>
      <c r="D2181" s="314" t="s">
        <v>145</v>
      </c>
      <c r="E2181" s="307" t="str">
        <f t="array" ref="E2181">(XLOOKUP(D2181,Roster!F:F,Roster!B:B,"",0))</f>
        <v>Lina Cadena</v>
      </c>
      <c r="F2181" s="315" t="str">
        <f t="array" ref="F2181">IF(B2181=100,"Free",TEXT(XLOOKUP($D2181,OperationVoice!$A:$A,OperationVoice!X:X,XLOOKUP($D2181,OperationTickets!$A:$A,OperationTickets!X:X,"",0)),"hh:mm"))</f>
        <v>Free</v>
      </c>
      <c r="G2181" s="309" t="str">
        <f t="shared" si="3"/>
        <v>Free</v>
      </c>
      <c r="H2181" s="316">
        <f t="array" ref="H2181">XLOOKUP(B2181,Roster!L:L,Roster!N:N,XLOOKUP(D2181,TicketsBreak!A:A,TicketsBreak!E:E,"",0),0)</f>
        <v>0.3854166667</v>
      </c>
      <c r="I2181" s="316">
        <f t="array" ref="I2181">XLOOKUP(B2181,Roster!L:L,Roster!O:O,XLOOKUP(D2181,TicketsBreak!A:A,TicketsBreak!F:F,"",0),0)</f>
        <v>0.5833333333</v>
      </c>
      <c r="J2181" s="316">
        <f t="array" ref="J2181">XLOOKUP(B2181,Roster!L:L,Roster!P:P,XLOOKUP(D2181,TicketsBreak!A:A,TicketsBreak!G:G,"",0),0)</f>
        <v>0.6458333333</v>
      </c>
      <c r="K2181" s="310">
        <f t="shared" si="4"/>
        <v>46130</v>
      </c>
      <c r="L2181" s="317">
        <f t="array" ref="L2181">(XLOOKUP(D2181,Roster!F:F,Roster!D:D,"",0))</f>
        <v>2</v>
      </c>
      <c r="M2181" s="317" t="str">
        <f t="array" ref="M2181">XLOOKUP(D2181,Roster!F:F,Roster!E:E)</f>
        <v>Tickets</v>
      </c>
      <c r="N2181" s="317" t="str">
        <f t="shared" ref="N2181:P2181" si="2213">LEFT(H2181,5)</f>
        <v>09:15</v>
      </c>
      <c r="O2181" s="317" t="str">
        <f t="shared" si="2213"/>
        <v>14:00</v>
      </c>
      <c r="P2181" s="317" t="str">
        <f t="shared" si="2213"/>
        <v>15:30</v>
      </c>
      <c r="Q2181" s="318">
        <f t="shared" si="2083"/>
        <v>46130.38542</v>
      </c>
      <c r="R2181" s="318">
        <f t="shared" si="2084"/>
        <v>46130.58333</v>
      </c>
      <c r="S2181" s="318">
        <f t="shared" si="8"/>
        <v>46130.64583</v>
      </c>
    </row>
    <row r="2182">
      <c r="A2182" s="14" t="str">
        <f t="shared" si="1"/>
        <v>C151746130</v>
      </c>
      <c r="B2182" s="185" t="str">
        <f t="array" ref="B2182">IF(F2182="VL","",IF(F2182="Free","Free",XLOOKUP(D2182,Roster!T:T,Roster!S:S,"",0)))</f>
        <v>Free</v>
      </c>
      <c r="C2182" s="313">
        <v>46130.0</v>
      </c>
      <c r="D2182" s="314" t="s">
        <v>57</v>
      </c>
      <c r="E2182" s="307" t="str">
        <f t="array" ref="E2182">(XLOOKUP(D2182,Roster!F:F,Roster!B:B,"",0))</f>
        <v>Lisandro Alvarado</v>
      </c>
      <c r="F2182" s="315" t="str">
        <f t="array" ref="F2182">IF(B2182=100,"Free",TEXT(XLOOKUP($D2182,OperationVoice!$A:$A,OperationVoice!X:X,XLOOKUP($D2182,OperationTickets!$A:$A,OperationTickets!X:X,"",0)),"hh:mm"))</f>
        <v>Free</v>
      </c>
      <c r="G2182" s="309" t="str">
        <f t="shared" si="3"/>
        <v>Free</v>
      </c>
      <c r="H2182" s="316" t="str">
        <f t="array" ref="H2182">XLOOKUP(B2182,Roster!L:L,Roster!N:N,XLOOKUP(D2182,TicketsBreak!A:A,TicketsBreak!E:E,"",0),0)</f>
        <v/>
      </c>
      <c r="I2182" s="316" t="str">
        <f t="array" ref="I2182">XLOOKUP(B2182,Roster!L:L,Roster!O:O,XLOOKUP(D2182,TicketsBreak!A:A,TicketsBreak!F:F,"",0),0)</f>
        <v/>
      </c>
      <c r="J2182" s="316" t="str">
        <f t="array" ref="J2182">XLOOKUP(B2182,Roster!L:L,Roster!P:P,XLOOKUP(D2182,TicketsBreak!A:A,TicketsBreak!G:G,"",0),0)</f>
        <v/>
      </c>
      <c r="K2182" s="310">
        <f t="shared" si="4"/>
        <v>46130</v>
      </c>
      <c r="L2182" s="317">
        <f t="array" ref="L2182">(XLOOKUP(D2182,Roster!F:F,Roster!D:D,"",0))</f>
        <v>35</v>
      </c>
      <c r="M2182" s="317" t="str">
        <f t="array" ref="M2182">XLOOKUP(D2182,Roster!F:F,Roster!E:E)</f>
        <v>Voice</v>
      </c>
      <c r="N2182" s="317" t="str">
        <f t="shared" ref="N2182:P2182" si="2214">LEFT(H2182,5)</f>
        <v/>
      </c>
      <c r="O2182" s="317" t="str">
        <f t="shared" si="2214"/>
        <v/>
      </c>
      <c r="P2182" s="317" t="str">
        <f t="shared" si="2214"/>
        <v/>
      </c>
      <c r="Q2182" s="318" t="str">
        <f t="shared" si="2083"/>
        <v/>
      </c>
      <c r="R2182" s="318" t="str">
        <f t="shared" si="2084"/>
        <v/>
      </c>
      <c r="S2182" s="318" t="str">
        <f t="shared" si="8"/>
        <v/>
      </c>
    </row>
    <row r="2183">
      <c r="A2183" s="14" t="str">
        <f t="shared" si="1"/>
        <v>C143346130</v>
      </c>
      <c r="B2183" s="185" t="str">
        <f t="array" ref="B2183">IF(F2183="VL","",IF(F2183="Free","Free",XLOOKUP(D2183,Roster!T:T,Roster!S:S,"",0)))</f>
        <v>Free</v>
      </c>
      <c r="C2183" s="313">
        <v>46130.0</v>
      </c>
      <c r="D2183" s="314" t="s">
        <v>58</v>
      </c>
      <c r="E2183" s="307" t="str">
        <f t="array" ref="E2183">(XLOOKUP(D2183,Roster!F:F,Roster!B:B,"",0))</f>
        <v>Luis Lopez</v>
      </c>
      <c r="F2183" s="315" t="str">
        <f t="array" ref="F2183">IF(B2183=100,"Free",TEXT(XLOOKUP($D2183,OperationVoice!$A:$A,OperationVoice!X:X,XLOOKUP($D2183,OperationTickets!$A:$A,OperationTickets!X:X,"",0)),"hh:mm"))</f>
        <v>Free</v>
      </c>
      <c r="G2183" s="309" t="str">
        <f t="shared" si="3"/>
        <v>Free</v>
      </c>
      <c r="H2183" s="316" t="str">
        <f t="array" ref="H2183">XLOOKUP(B2183,Roster!L:L,Roster!N:N,XLOOKUP(D2183,TicketsBreak!A:A,TicketsBreak!E:E,"",0),0)</f>
        <v/>
      </c>
      <c r="I2183" s="316" t="str">
        <f t="array" ref="I2183">XLOOKUP(B2183,Roster!L:L,Roster!O:O,XLOOKUP(D2183,TicketsBreak!A:A,TicketsBreak!F:F,"",0),0)</f>
        <v/>
      </c>
      <c r="J2183" s="316" t="str">
        <f t="array" ref="J2183">XLOOKUP(B2183,Roster!L:L,Roster!P:P,XLOOKUP(D2183,TicketsBreak!A:A,TicketsBreak!G:G,"",0),0)</f>
        <v/>
      </c>
      <c r="K2183" s="310">
        <f t="shared" si="4"/>
        <v>46130</v>
      </c>
      <c r="L2183" s="317">
        <f t="array" ref="L2183">(XLOOKUP(D2183,Roster!F:F,Roster!D:D,"",0))</f>
        <v>32</v>
      </c>
      <c r="M2183" s="317" t="str">
        <f t="array" ref="M2183">XLOOKUP(D2183,Roster!F:F,Roster!E:E)</f>
        <v>Voice</v>
      </c>
      <c r="N2183" s="317" t="str">
        <f t="shared" ref="N2183:P2183" si="2215">LEFT(H2183,5)</f>
        <v/>
      </c>
      <c r="O2183" s="317" t="str">
        <f t="shared" si="2215"/>
        <v/>
      </c>
      <c r="P2183" s="317" t="str">
        <f t="shared" si="2215"/>
        <v/>
      </c>
      <c r="Q2183" s="318" t="str">
        <f t="shared" si="2083"/>
        <v/>
      </c>
      <c r="R2183" s="318" t="str">
        <f t="shared" si="2084"/>
        <v/>
      </c>
      <c r="S2183" s="318" t="str">
        <f t="shared" si="8"/>
        <v/>
      </c>
    </row>
    <row r="2184">
      <c r="A2184" s="14" t="str">
        <f t="shared" si="1"/>
        <v>C153446130</v>
      </c>
      <c r="B2184" s="185" t="str">
        <f t="array" ref="B2184">IF(F2184="VL","",IF(F2184="Free","Free",XLOOKUP(D2184,Roster!T:T,Roster!S:S,"",0)))</f>
        <v>Free</v>
      </c>
      <c r="C2184" s="313">
        <v>46130.0</v>
      </c>
      <c r="D2184" s="314" t="s">
        <v>59</v>
      </c>
      <c r="E2184" s="307" t="str">
        <f t="array" ref="E2184">(XLOOKUP(D2184,Roster!F:F,Roster!B:B,"",0))</f>
        <v>Luis Munoz</v>
      </c>
      <c r="F2184" s="315" t="str">
        <f t="array" ref="F2184">IF(B2184=100,"Free",TEXT(XLOOKUP($D2184,OperationVoice!$A:$A,OperationVoice!X:X,XLOOKUP($D2184,OperationTickets!$A:$A,OperationTickets!X:X,"",0)),"hh:mm"))</f>
        <v>Free</v>
      </c>
      <c r="G2184" s="309" t="str">
        <f t="shared" si="3"/>
        <v>Free</v>
      </c>
      <c r="H2184" s="316" t="str">
        <f t="array" ref="H2184">XLOOKUP(B2184,Roster!L:L,Roster!N:N,XLOOKUP(D2184,TicketsBreak!A:A,TicketsBreak!E:E,"",0),0)</f>
        <v/>
      </c>
      <c r="I2184" s="316" t="str">
        <f t="array" ref="I2184">XLOOKUP(B2184,Roster!L:L,Roster!O:O,XLOOKUP(D2184,TicketsBreak!A:A,TicketsBreak!F:F,"",0),0)</f>
        <v/>
      </c>
      <c r="J2184" s="316" t="str">
        <f t="array" ref="J2184">XLOOKUP(B2184,Roster!L:L,Roster!P:P,XLOOKUP(D2184,TicketsBreak!A:A,TicketsBreak!G:G,"",0),0)</f>
        <v/>
      </c>
      <c r="K2184" s="310">
        <f t="shared" si="4"/>
        <v>46130</v>
      </c>
      <c r="L2184" s="317">
        <f t="array" ref="L2184">(XLOOKUP(D2184,Roster!F:F,Roster!D:D,"",0))</f>
        <v>36</v>
      </c>
      <c r="M2184" s="317" t="str">
        <f t="array" ref="M2184">XLOOKUP(D2184,Roster!F:F,Roster!E:E)</f>
        <v>Voice</v>
      </c>
      <c r="N2184" s="317" t="str">
        <f t="shared" ref="N2184:P2184" si="2216">LEFT(H2184,5)</f>
        <v/>
      </c>
      <c r="O2184" s="317" t="str">
        <f t="shared" si="2216"/>
        <v/>
      </c>
      <c r="P2184" s="317" t="str">
        <f t="shared" si="2216"/>
        <v/>
      </c>
      <c r="Q2184" s="318" t="str">
        <f t="shared" si="2083"/>
        <v/>
      </c>
      <c r="R2184" s="318" t="str">
        <f t="shared" si="2084"/>
        <v/>
      </c>
      <c r="S2184" s="318" t="str">
        <f t="shared" si="8"/>
        <v/>
      </c>
    </row>
    <row r="2185">
      <c r="A2185" s="14" t="str">
        <f t="shared" si="1"/>
        <v>C53846130</v>
      </c>
      <c r="B2185" s="185" t="str">
        <f t="array" ref="B2185">IF(F2185="VL","",IF(F2185="Free","Free",XLOOKUP(D2185,Roster!T:T,Roster!S:S,"",0)))</f>
        <v>Free</v>
      </c>
      <c r="C2185" s="313">
        <v>46130.0</v>
      </c>
      <c r="D2185" s="314" t="s">
        <v>165</v>
      </c>
      <c r="E2185" s="307" t="str">
        <f t="array" ref="E2185">(XLOOKUP(D2185,Roster!F:F,Roster!B:B,"",0))</f>
        <v>Luisa Arenas</v>
      </c>
      <c r="F2185" s="315" t="str">
        <f t="array" ref="F2185">IF(B2185=100,"Free",TEXT(XLOOKUP($D2185,OperationVoice!$A:$A,OperationVoice!X:X,XLOOKUP($D2185,OperationTickets!$A:$A,OperationTickets!X:X,"",0)),"hh:mm"))</f>
        <v>Free</v>
      </c>
      <c r="G2185" s="309" t="str">
        <f t="shared" si="3"/>
        <v>Free</v>
      </c>
      <c r="H2185" s="316" t="str">
        <f t="array" ref="H2185">XLOOKUP(B2185,Roster!L:L,Roster!N:N,XLOOKUP(D2185,TicketsBreak!A:A,TicketsBreak!E:E,"",0),0)</f>
        <v/>
      </c>
      <c r="I2185" s="316" t="str">
        <f t="array" ref="I2185">XLOOKUP(B2185,Roster!L:L,Roster!O:O,XLOOKUP(D2185,TicketsBreak!A:A,TicketsBreak!F:F,"",0),0)</f>
        <v/>
      </c>
      <c r="J2185" s="316" t="str">
        <f t="array" ref="J2185">XLOOKUP(B2185,Roster!L:L,Roster!P:P,XLOOKUP(D2185,TicketsBreak!A:A,TicketsBreak!G:G,"",0),0)</f>
        <v/>
      </c>
      <c r="K2185" s="310">
        <f t="shared" si="4"/>
        <v>46130</v>
      </c>
      <c r="L2185" s="317">
        <f t="array" ref="L2185">(XLOOKUP(D2185,Roster!F:F,Roster!D:D,"",0))</f>
        <v>35</v>
      </c>
      <c r="M2185" s="317" t="str">
        <f t="array" ref="M2185">XLOOKUP(D2185,Roster!F:F,Roster!E:E)</f>
        <v>Tickets</v>
      </c>
      <c r="N2185" s="317" t="str">
        <f t="shared" ref="N2185:P2185" si="2217">LEFT(H2185,5)</f>
        <v/>
      </c>
      <c r="O2185" s="317" t="str">
        <f t="shared" si="2217"/>
        <v/>
      </c>
      <c r="P2185" s="317" t="str">
        <f t="shared" si="2217"/>
        <v/>
      </c>
      <c r="Q2185" s="318" t="str">
        <f t="shared" si="2083"/>
        <v/>
      </c>
      <c r="R2185" s="318" t="str">
        <f t="shared" si="2084"/>
        <v/>
      </c>
      <c r="S2185" s="318" t="str">
        <f t="shared" si="8"/>
        <v/>
      </c>
    </row>
    <row r="2186">
      <c r="A2186" s="14" t="str">
        <f t="shared" si="1"/>
        <v>C113646130</v>
      </c>
      <c r="B2186" s="185" t="str">
        <f t="array" ref="B2186">IF(F2186="VL","",IF(F2186="Free","Free",XLOOKUP(D2186,Roster!T:T,Roster!S:S,"",0)))</f>
        <v>Free</v>
      </c>
      <c r="C2186" s="313">
        <v>46130.0</v>
      </c>
      <c r="D2186" s="314" t="s">
        <v>60</v>
      </c>
      <c r="E2186" s="307" t="str">
        <f t="array" ref="E2186">(XLOOKUP(D2186,Roster!F:F,Roster!B:B,"",0))</f>
        <v>Luisa Gonzalez</v>
      </c>
      <c r="F2186" s="315" t="str">
        <f t="array" ref="F2186">IF(B2186=100,"Free",TEXT(XLOOKUP($D2186,OperationVoice!$A:$A,OperationVoice!X:X,XLOOKUP($D2186,OperationTickets!$A:$A,OperationTickets!X:X,"",0)),"hh:mm"))</f>
        <v>Free</v>
      </c>
      <c r="G2186" s="309" t="str">
        <f t="shared" si="3"/>
        <v>Free</v>
      </c>
      <c r="H2186" s="316" t="str">
        <f t="array" ref="H2186">XLOOKUP(B2186,Roster!L:L,Roster!N:N,XLOOKUP(D2186,TicketsBreak!A:A,TicketsBreak!E:E,"",0),0)</f>
        <v/>
      </c>
      <c r="I2186" s="316" t="str">
        <f t="array" ref="I2186">XLOOKUP(B2186,Roster!L:L,Roster!O:O,XLOOKUP(D2186,TicketsBreak!A:A,TicketsBreak!F:F,"",0),0)</f>
        <v/>
      </c>
      <c r="J2186" s="316" t="str">
        <f t="array" ref="J2186">XLOOKUP(B2186,Roster!L:L,Roster!P:P,XLOOKUP(D2186,TicketsBreak!A:A,TicketsBreak!G:G,"",0),0)</f>
        <v/>
      </c>
      <c r="K2186" s="310">
        <f t="shared" si="4"/>
        <v>46130</v>
      </c>
      <c r="L2186" s="317">
        <f t="array" ref="L2186">(XLOOKUP(D2186,Roster!F:F,Roster!D:D,"",0))</f>
        <v>22</v>
      </c>
      <c r="M2186" s="317" t="str">
        <f t="array" ref="M2186">XLOOKUP(D2186,Roster!F:F,Roster!E:E)</f>
        <v>Voice</v>
      </c>
      <c r="N2186" s="317" t="str">
        <f t="shared" ref="N2186:P2186" si="2218">LEFT(H2186,5)</f>
        <v/>
      </c>
      <c r="O2186" s="317" t="str">
        <f t="shared" si="2218"/>
        <v/>
      </c>
      <c r="P2186" s="317" t="str">
        <f t="shared" si="2218"/>
        <v/>
      </c>
      <c r="Q2186" s="318" t="str">
        <f t="shared" si="2083"/>
        <v/>
      </c>
      <c r="R2186" s="318" t="str">
        <f t="shared" si="2084"/>
        <v/>
      </c>
      <c r="S2186" s="318" t="str">
        <f t="shared" si="8"/>
        <v/>
      </c>
    </row>
    <row r="2187">
      <c r="A2187" s="14" t="str">
        <f t="shared" si="1"/>
        <v>C157746130</v>
      </c>
      <c r="B2187" s="185" t="str">
        <f t="array" ref="B2187">IF(F2187="VL","",IF(F2187="Free","Free",XLOOKUP(D2187,Roster!T:T,Roster!S:S,"",0)))</f>
        <v>Free</v>
      </c>
      <c r="C2187" s="313">
        <v>46130.0</v>
      </c>
      <c r="D2187" s="314" t="s">
        <v>61</v>
      </c>
      <c r="E2187" s="307" t="str">
        <f t="array" ref="E2187">(XLOOKUP(D2187,Roster!F:F,Roster!B:B,"",0))</f>
        <v>Luna Morales</v>
      </c>
      <c r="F2187" s="315" t="str">
        <f t="array" ref="F2187">IF(B2187=100,"Free",TEXT(XLOOKUP($D2187,OperationVoice!$A:$A,OperationVoice!X:X,XLOOKUP($D2187,OperationTickets!$A:$A,OperationTickets!X:X,"",0)),"hh:mm"))</f>
        <v>Free</v>
      </c>
      <c r="G2187" s="309" t="str">
        <f t="shared" si="3"/>
        <v>Free</v>
      </c>
      <c r="H2187" s="316" t="str">
        <f t="array" ref="H2187">XLOOKUP(B2187,Roster!L:L,Roster!N:N,XLOOKUP(D2187,TicketsBreak!A:A,TicketsBreak!E:E,"",0),0)</f>
        <v/>
      </c>
      <c r="I2187" s="316" t="str">
        <f t="array" ref="I2187">XLOOKUP(B2187,Roster!L:L,Roster!O:O,XLOOKUP(D2187,TicketsBreak!A:A,TicketsBreak!F:F,"",0),0)</f>
        <v/>
      </c>
      <c r="J2187" s="316" t="str">
        <f t="array" ref="J2187">XLOOKUP(B2187,Roster!L:L,Roster!P:P,XLOOKUP(D2187,TicketsBreak!A:A,TicketsBreak!G:G,"",0),0)</f>
        <v/>
      </c>
      <c r="K2187" s="310">
        <f t="shared" si="4"/>
        <v>46130</v>
      </c>
      <c r="L2187" s="317">
        <f t="array" ref="L2187">(XLOOKUP(D2187,Roster!F:F,Roster!D:D,"",0))</f>
        <v>38</v>
      </c>
      <c r="M2187" s="317" t="str">
        <f t="array" ref="M2187">XLOOKUP(D2187,Roster!F:F,Roster!E:E)</f>
        <v>Voice</v>
      </c>
      <c r="N2187" s="317" t="str">
        <f t="shared" ref="N2187:P2187" si="2219">LEFT(H2187,5)</f>
        <v/>
      </c>
      <c r="O2187" s="317" t="str">
        <f t="shared" si="2219"/>
        <v/>
      </c>
      <c r="P2187" s="317" t="str">
        <f t="shared" si="2219"/>
        <v/>
      </c>
      <c r="Q2187" s="318" t="str">
        <f t="shared" si="2083"/>
        <v/>
      </c>
      <c r="R2187" s="318" t="str">
        <f t="shared" si="2084"/>
        <v/>
      </c>
      <c r="S2187" s="318" t="str">
        <f t="shared" si="8"/>
        <v/>
      </c>
    </row>
    <row r="2188">
      <c r="A2188" s="14" t="str">
        <f t="shared" si="1"/>
        <v>C121946130</v>
      </c>
      <c r="B2188" s="185" t="str">
        <f t="array" ref="B2188">IF(F2188="VL","",IF(F2188="Free","Free",XLOOKUP(D2188,Roster!T:T,Roster!S:S,"",0)))</f>
        <v/>
      </c>
      <c r="C2188" s="313">
        <v>46130.0</v>
      </c>
      <c r="D2188" s="314" t="s">
        <v>146</v>
      </c>
      <c r="E2188" s="307" t="str">
        <f t="array" ref="E2188">(XLOOKUP(D2188,Roster!F:F,Roster!B:B,"",0))</f>
        <v>Madelyn Jaramillo</v>
      </c>
      <c r="F2188" s="315" t="str">
        <f t="array" ref="F2188">IF(B2188=100,"Free",TEXT(XLOOKUP($D2188,OperationVoice!$A:$A,OperationVoice!X:X,XLOOKUP($D2188,OperationTickets!$A:$A,OperationTickets!X:X,"",0)),"hh:mm"))</f>
        <v>08:00</v>
      </c>
      <c r="G2188" s="309">
        <f t="shared" si="3"/>
        <v>0.7083333333</v>
      </c>
      <c r="H2188" s="316" t="str">
        <f t="array" ref="H2188">XLOOKUP(B2188,Roster!L:L,Roster!N:N,XLOOKUP(D2188,TicketsBreak!A:A,TicketsBreak!E:E,"",0),0)</f>
        <v/>
      </c>
      <c r="I2188" s="316" t="str">
        <f t="array" ref="I2188">XLOOKUP(B2188,Roster!L:L,Roster!O:O,XLOOKUP(D2188,TicketsBreak!A:A,TicketsBreak!F:F,"",0),0)</f>
        <v/>
      </c>
      <c r="J2188" s="316" t="str">
        <f t="array" ref="J2188">XLOOKUP(B2188,Roster!L:L,Roster!P:P,XLOOKUP(D2188,TicketsBreak!A:A,TicketsBreak!G:G,"",0),0)</f>
        <v/>
      </c>
      <c r="K2188" s="310">
        <f t="shared" si="4"/>
        <v>46130</v>
      </c>
      <c r="L2188" s="317">
        <f t="array" ref="L2188">(XLOOKUP(D2188,Roster!F:F,Roster!D:D,"",0))</f>
        <v>26</v>
      </c>
      <c r="M2188" s="317" t="str">
        <f t="array" ref="M2188">XLOOKUP(D2188,Roster!F:F,Roster!E:E)</f>
        <v>Tickets</v>
      </c>
      <c r="N2188" s="317" t="str">
        <f t="shared" ref="N2188:P2188" si="2220">LEFT(H2188,5)</f>
        <v/>
      </c>
      <c r="O2188" s="317" t="str">
        <f t="shared" si="2220"/>
        <v/>
      </c>
      <c r="P2188" s="317" t="str">
        <f t="shared" si="2220"/>
        <v/>
      </c>
      <c r="Q2188" s="318" t="str">
        <f t="shared" si="2083"/>
        <v/>
      </c>
      <c r="R2188" s="318" t="str">
        <f t="shared" si="2084"/>
        <v/>
      </c>
      <c r="S2188" s="318" t="str">
        <f t="shared" si="8"/>
        <v/>
      </c>
    </row>
    <row r="2189">
      <c r="A2189" s="14" t="str">
        <f t="shared" si="1"/>
        <v>C151646130</v>
      </c>
      <c r="B2189" s="185" t="str">
        <f t="array" ref="B2189">IF(F2189="VL","",IF(F2189="Free","Free",XLOOKUP(D2189,Roster!T:T,Roster!S:S,"",0)))</f>
        <v>Free</v>
      </c>
      <c r="C2189" s="313">
        <v>46130.0</v>
      </c>
      <c r="D2189" s="314" t="s">
        <v>62</v>
      </c>
      <c r="E2189" s="307" t="str">
        <f t="array" ref="E2189">(XLOOKUP(D2189,Roster!F:F,Roster!B:B,"",0))</f>
        <v>Magda Foronda</v>
      </c>
      <c r="F2189" s="315" t="str">
        <f t="array" ref="F2189">IF(B2189=100,"Free",TEXT(XLOOKUP($D2189,OperationVoice!$A:$A,OperationVoice!X:X,XLOOKUP($D2189,OperationTickets!$A:$A,OperationTickets!X:X,"",0)),"hh:mm"))</f>
        <v>Free</v>
      </c>
      <c r="G2189" s="309" t="str">
        <f t="shared" si="3"/>
        <v>Free</v>
      </c>
      <c r="H2189" s="316" t="str">
        <f t="array" ref="H2189">XLOOKUP(B2189,Roster!L:L,Roster!N:N,XLOOKUP(D2189,TicketsBreak!A:A,TicketsBreak!E:E,"",0),0)</f>
        <v/>
      </c>
      <c r="I2189" s="316" t="str">
        <f t="array" ref="I2189">XLOOKUP(B2189,Roster!L:L,Roster!O:O,XLOOKUP(D2189,TicketsBreak!A:A,TicketsBreak!F:F,"",0),0)</f>
        <v/>
      </c>
      <c r="J2189" s="316" t="str">
        <f t="array" ref="J2189">XLOOKUP(B2189,Roster!L:L,Roster!P:P,XLOOKUP(D2189,TicketsBreak!A:A,TicketsBreak!G:G,"",0),0)</f>
        <v/>
      </c>
      <c r="K2189" s="310">
        <f t="shared" si="4"/>
        <v>46130</v>
      </c>
      <c r="L2189" s="317">
        <f t="array" ref="L2189">(XLOOKUP(D2189,Roster!F:F,Roster!D:D,"",0))</f>
        <v>35</v>
      </c>
      <c r="M2189" s="317" t="str">
        <f t="array" ref="M2189">XLOOKUP(D2189,Roster!F:F,Roster!E:E)</f>
        <v>Voice</v>
      </c>
      <c r="N2189" s="317" t="str">
        <f t="shared" ref="N2189:P2189" si="2221">LEFT(H2189,5)</f>
        <v/>
      </c>
      <c r="O2189" s="317" t="str">
        <f t="shared" si="2221"/>
        <v/>
      </c>
      <c r="P2189" s="317" t="str">
        <f t="shared" si="2221"/>
        <v/>
      </c>
      <c r="Q2189" s="318" t="str">
        <f t="shared" si="2083"/>
        <v/>
      </c>
      <c r="R2189" s="318" t="str">
        <f t="shared" si="2084"/>
        <v/>
      </c>
      <c r="S2189" s="318" t="str">
        <f t="shared" si="8"/>
        <v/>
      </c>
    </row>
    <row r="2190">
      <c r="A2190" s="14" t="str">
        <f t="shared" si="1"/>
        <v>C118046130</v>
      </c>
      <c r="B2190" s="185" t="str">
        <f t="array" ref="B2190">IF(F2190="VL","",IF(F2190="Free","Free",XLOOKUP(D2190,Roster!T:T,Roster!S:S,"",0)))</f>
        <v>Free</v>
      </c>
      <c r="C2190" s="313">
        <v>46130.0</v>
      </c>
      <c r="D2190" s="314" t="s">
        <v>147</v>
      </c>
      <c r="E2190" s="307" t="str">
        <f t="array" ref="E2190">(XLOOKUP(D2190,Roster!F:F,Roster!B:B,"",0))</f>
        <v>Manuela Moreno</v>
      </c>
      <c r="F2190" s="315" t="str">
        <f t="array" ref="F2190">IF(B2190=100,"Free",TEXT(XLOOKUP($D2190,OperationVoice!$A:$A,OperationVoice!X:X,XLOOKUP($D2190,OperationTickets!$A:$A,OperationTickets!X:X,"",0)),"hh:mm"))</f>
        <v>Free</v>
      </c>
      <c r="G2190" s="309" t="str">
        <f t="shared" si="3"/>
        <v>Free</v>
      </c>
      <c r="H2190" s="316" t="str">
        <f t="array" ref="H2190">XLOOKUP(B2190,Roster!L:L,Roster!N:N,XLOOKUP(D2190,TicketsBreak!A:A,TicketsBreak!E:E,"",0),0)</f>
        <v/>
      </c>
      <c r="I2190" s="316" t="str">
        <f t="array" ref="I2190">XLOOKUP(B2190,Roster!L:L,Roster!O:O,XLOOKUP(D2190,TicketsBreak!A:A,TicketsBreak!F:F,"",0),0)</f>
        <v/>
      </c>
      <c r="J2190" s="316" t="str">
        <f t="array" ref="J2190">XLOOKUP(B2190,Roster!L:L,Roster!P:P,XLOOKUP(D2190,TicketsBreak!A:A,TicketsBreak!G:G,"",0),0)</f>
        <v/>
      </c>
      <c r="K2190" s="310">
        <f t="shared" si="4"/>
        <v>46130</v>
      </c>
      <c r="L2190" s="317">
        <f t="array" ref="L2190">(XLOOKUP(D2190,Roster!F:F,Roster!D:D,"",0))</f>
        <v>24</v>
      </c>
      <c r="M2190" s="317" t="str">
        <f t="array" ref="M2190">XLOOKUP(D2190,Roster!F:F,Roster!E:E)</f>
        <v>Tickets</v>
      </c>
      <c r="N2190" s="317" t="str">
        <f t="shared" ref="N2190:P2190" si="2222">LEFT(H2190,5)</f>
        <v/>
      </c>
      <c r="O2190" s="317" t="str">
        <f t="shared" si="2222"/>
        <v/>
      </c>
      <c r="P2190" s="317" t="str">
        <f t="shared" si="2222"/>
        <v/>
      </c>
      <c r="Q2190" s="318" t="str">
        <f t="shared" si="2083"/>
        <v/>
      </c>
      <c r="R2190" s="318" t="str">
        <f t="shared" si="2084"/>
        <v/>
      </c>
      <c r="S2190" s="318" t="str">
        <f t="shared" si="8"/>
        <v/>
      </c>
    </row>
    <row r="2191">
      <c r="A2191" s="14" t="str">
        <f t="shared" si="1"/>
        <v>C153646130</v>
      </c>
      <c r="B2191" s="185" t="str">
        <f t="array" ref="B2191">IF(F2191="VL","",IF(F2191="Free","Free",XLOOKUP(D2191,Roster!T:T,Roster!S:S,"",0)))</f>
        <v>Free</v>
      </c>
      <c r="C2191" s="313">
        <v>46130.0</v>
      </c>
      <c r="D2191" s="314" t="s">
        <v>63</v>
      </c>
      <c r="E2191" s="307" t="str">
        <f t="array" ref="E2191">(XLOOKUP(D2191,Roster!F:F,Roster!B:B,"",0))</f>
        <v>Maria Mesa</v>
      </c>
      <c r="F2191" s="315" t="str">
        <f t="array" ref="F2191">IF(B2191=100,"Free",TEXT(XLOOKUP($D2191,OperationVoice!$A:$A,OperationVoice!X:X,XLOOKUP($D2191,OperationTickets!$A:$A,OperationTickets!X:X,"",0)),"hh:mm"))</f>
        <v>Free</v>
      </c>
      <c r="G2191" s="309" t="str">
        <f t="shared" si="3"/>
        <v>Free</v>
      </c>
      <c r="H2191" s="316" t="str">
        <f t="array" ref="H2191">XLOOKUP(B2191,Roster!L:L,Roster!N:N,XLOOKUP(D2191,TicketsBreak!A:A,TicketsBreak!E:E,"",0),0)</f>
        <v/>
      </c>
      <c r="I2191" s="316" t="str">
        <f t="array" ref="I2191">XLOOKUP(B2191,Roster!L:L,Roster!O:O,XLOOKUP(D2191,TicketsBreak!A:A,TicketsBreak!F:F,"",0),0)</f>
        <v/>
      </c>
      <c r="J2191" s="316" t="str">
        <f t="array" ref="J2191">XLOOKUP(B2191,Roster!L:L,Roster!P:P,XLOOKUP(D2191,TicketsBreak!A:A,TicketsBreak!G:G,"",0),0)</f>
        <v/>
      </c>
      <c r="K2191" s="310">
        <f t="shared" si="4"/>
        <v>46130</v>
      </c>
      <c r="L2191" s="317">
        <f t="array" ref="L2191">(XLOOKUP(D2191,Roster!F:F,Roster!D:D,"",0))</f>
        <v>36</v>
      </c>
      <c r="M2191" s="317" t="str">
        <f t="array" ref="M2191">XLOOKUP(D2191,Roster!F:F,Roster!E:E)</f>
        <v>Voice</v>
      </c>
      <c r="N2191" s="317" t="str">
        <f t="shared" ref="N2191:P2191" si="2223">LEFT(H2191,5)</f>
        <v/>
      </c>
      <c r="O2191" s="317" t="str">
        <f t="shared" si="2223"/>
        <v/>
      </c>
      <c r="P2191" s="317" t="str">
        <f t="shared" si="2223"/>
        <v/>
      </c>
      <c r="Q2191" s="318" t="str">
        <f t="shared" si="2083"/>
        <v/>
      </c>
      <c r="R2191" s="318" t="str">
        <f t="shared" si="2084"/>
        <v/>
      </c>
      <c r="S2191" s="318" t="str">
        <f t="shared" si="8"/>
        <v/>
      </c>
    </row>
    <row r="2192">
      <c r="A2192" s="14" t="str">
        <f t="shared" si="1"/>
        <v>C74046130</v>
      </c>
      <c r="B2192" s="185" t="str">
        <f t="array" ref="B2192">IF(F2192="VL","",IF(F2192="Free","Free",XLOOKUP(D2192,Roster!T:T,Roster!S:S,"",0)))</f>
        <v/>
      </c>
      <c r="C2192" s="313">
        <v>46130.0</v>
      </c>
      <c r="D2192" s="314" t="s">
        <v>166</v>
      </c>
      <c r="E2192" s="307" t="str">
        <f t="array" ref="E2192">(XLOOKUP(D2192,Roster!F:F,Roster!B:B,"",0))</f>
        <v>Mateo Agudelo</v>
      </c>
      <c r="F2192" s="315" t="str">
        <f t="array" ref="F2192">IF(B2192=100,"Free",TEXT(XLOOKUP($D2192,OperationVoice!$A:$A,OperationVoice!X:X,XLOOKUP($D2192,OperationTickets!$A:$A,OperationTickets!X:X,"",0)),"hh:mm"))</f>
        <v>08:00</v>
      </c>
      <c r="G2192" s="309">
        <f t="shared" si="3"/>
        <v>0.7083333333</v>
      </c>
      <c r="H2192" s="316">
        <f t="array" ref="H2192">XLOOKUP(B2192,Roster!L:L,Roster!N:N,XLOOKUP(D2192,TicketsBreak!A:A,TicketsBreak!E:E,"",0),0)</f>
        <v>0.4166666667</v>
      </c>
      <c r="I2192" s="316">
        <f t="array" ref="I2192">XLOOKUP(B2192,Roster!L:L,Roster!O:O,XLOOKUP(D2192,TicketsBreak!A:A,TicketsBreak!F:F,"",0),0)</f>
        <v>0.5</v>
      </c>
      <c r="J2192" s="316">
        <f t="array" ref="J2192">XLOOKUP(B2192,Roster!L:L,Roster!P:P,XLOOKUP(D2192,TicketsBreak!A:A,TicketsBreak!G:G,"",0),0)</f>
        <v>0.65625</v>
      </c>
      <c r="K2192" s="310">
        <f t="shared" si="4"/>
        <v>46130</v>
      </c>
      <c r="L2192" s="317">
        <f t="array" ref="L2192">(XLOOKUP(D2192,Roster!F:F,Roster!D:D,"",0))</f>
        <v>8</v>
      </c>
      <c r="M2192" s="317" t="str">
        <f t="array" ref="M2192">XLOOKUP(D2192,Roster!F:F,Roster!E:E)</f>
        <v>Tickets</v>
      </c>
      <c r="N2192" s="317" t="str">
        <f t="shared" ref="N2192:P2192" si="2224">LEFT(H2192,5)</f>
        <v>10:00</v>
      </c>
      <c r="O2192" s="317" t="str">
        <f t="shared" si="2224"/>
        <v>12:00</v>
      </c>
      <c r="P2192" s="317" t="str">
        <f t="shared" si="2224"/>
        <v>15:45</v>
      </c>
      <c r="Q2192" s="318">
        <f t="shared" si="2083"/>
        <v>46130.41667</v>
      </c>
      <c r="R2192" s="318">
        <f t="shared" si="2084"/>
        <v>46130.5</v>
      </c>
      <c r="S2192" s="318">
        <f t="shared" si="8"/>
        <v>46130.65625</v>
      </c>
    </row>
    <row r="2193">
      <c r="A2193" s="14" t="str">
        <f t="shared" si="1"/>
        <v>C142946130</v>
      </c>
      <c r="B2193" s="185">
        <f t="array" ref="B2193">IF(F2193="VL","",IF(F2193="Free","Free",XLOOKUP(D2193,Roster!T:T,Roster!S:S,"",0)))</f>
        <v>121</v>
      </c>
      <c r="C2193" s="313">
        <v>46130.0</v>
      </c>
      <c r="D2193" s="314" t="s">
        <v>178</v>
      </c>
      <c r="E2193" s="307" t="str">
        <f t="array" ref="E2193">(XLOOKUP(D2193,Roster!F:F,Roster!B:B,"",0))</f>
        <v>Mateo Vanegas</v>
      </c>
      <c r="F2193" s="315" t="str">
        <f t="array" ref="F2193">IF(B2193=100,"Free",TEXT(XLOOKUP($D2193,OperationVoice!$A:$A,OperationVoice!X:X,XLOOKUP($D2193,OperationTickets!$A:$A,OperationTickets!X:X,"",0)),"hh:mm"))</f>
        <v>08:00</v>
      </c>
      <c r="G2193" s="309">
        <f t="shared" si="3"/>
        <v>0.7083333333</v>
      </c>
      <c r="H2193" s="316" t="str">
        <f t="array" ref="H2193">XLOOKUP(B2193,Roster!L:L,Roster!N:N,XLOOKUP(D2193,TicketsBreak!A:A,TicketsBreak!E:E,"",0),0)</f>
        <v>09:15 - 09:30</v>
      </c>
      <c r="I2193" s="316" t="str">
        <f t="array" ref="I2193">XLOOKUP(B2193,Roster!L:L,Roster!O:O,XLOOKUP(D2193,TicketsBreak!A:A,TicketsBreak!F:F,"",0),0)</f>
        <v>11:30 - 12:00</v>
      </c>
      <c r="J2193" s="316" t="str">
        <f t="array" ref="J2193">XLOOKUP(B2193,Roster!L:L,Roster!P:P,XLOOKUP(D2193,TicketsBreak!A:A,TicketsBreak!G:G,"",0),0)</f>
        <v>14:30 - 14:45</v>
      </c>
      <c r="K2193" s="310">
        <f t="shared" si="4"/>
        <v>46130</v>
      </c>
      <c r="L2193" s="317">
        <f t="array" ref="L2193">(XLOOKUP(D2193,Roster!F:F,Roster!D:D,"",0))</f>
        <v>32</v>
      </c>
      <c r="M2193" s="317" t="str">
        <f t="array" ref="M2193">XLOOKUP(D2193,Roster!F:F,Roster!E:E)</f>
        <v>Tickets</v>
      </c>
      <c r="N2193" s="317" t="str">
        <f t="shared" ref="N2193:P2193" si="2225">LEFT(H2193,5)</f>
        <v>09:15</v>
      </c>
      <c r="O2193" s="317" t="str">
        <f t="shared" si="2225"/>
        <v>11:30</v>
      </c>
      <c r="P2193" s="317" t="str">
        <f t="shared" si="2225"/>
        <v>14:30</v>
      </c>
      <c r="Q2193" s="318">
        <f t="shared" si="2083"/>
        <v>46130.38542</v>
      </c>
      <c r="R2193" s="318">
        <f t="shared" si="2084"/>
        <v>46130.47917</v>
      </c>
      <c r="S2193" s="318">
        <f t="shared" si="8"/>
        <v>46130.60417</v>
      </c>
    </row>
    <row r="2194">
      <c r="A2194" s="14" t="str">
        <f t="shared" si="1"/>
        <v>C146846130</v>
      </c>
      <c r="B2194" s="185" t="str">
        <f t="array" ref="B2194">IF(F2194="VL","",IF(F2194="Free","Free",XLOOKUP(D2194,Roster!T:T,Roster!S:S,"",0)))</f>
        <v>Free</v>
      </c>
      <c r="C2194" s="313">
        <v>46130.0</v>
      </c>
      <c r="D2194" s="314" t="s">
        <v>64</v>
      </c>
      <c r="E2194" s="307" t="str">
        <f t="array" ref="E2194">(XLOOKUP(D2194,Roster!F:F,Roster!B:B,"",0))</f>
        <v>Miguel Betancur</v>
      </c>
      <c r="F2194" s="315" t="str">
        <f t="array" ref="F2194">IF(B2194=100,"Free",TEXT(XLOOKUP($D2194,OperationVoice!$A:$A,OperationVoice!X:X,XLOOKUP($D2194,OperationTickets!$A:$A,OperationTickets!X:X,"",0)),"hh:mm"))</f>
        <v>Free</v>
      </c>
      <c r="G2194" s="309" t="str">
        <f t="shared" si="3"/>
        <v>Free</v>
      </c>
      <c r="H2194" s="316" t="str">
        <f t="array" ref="H2194">XLOOKUP(B2194,Roster!L:L,Roster!N:N,XLOOKUP(D2194,TicketsBreak!A:A,TicketsBreak!E:E,"",0),0)</f>
        <v/>
      </c>
      <c r="I2194" s="316" t="str">
        <f t="array" ref="I2194">XLOOKUP(B2194,Roster!L:L,Roster!O:O,XLOOKUP(D2194,TicketsBreak!A:A,TicketsBreak!F:F,"",0),0)</f>
        <v/>
      </c>
      <c r="J2194" s="316" t="str">
        <f t="array" ref="J2194">XLOOKUP(B2194,Roster!L:L,Roster!P:P,XLOOKUP(D2194,TicketsBreak!A:A,TicketsBreak!G:G,"",0),0)</f>
        <v/>
      </c>
      <c r="K2194" s="310">
        <f t="shared" si="4"/>
        <v>46130</v>
      </c>
      <c r="L2194" s="317">
        <f t="array" ref="L2194">(XLOOKUP(D2194,Roster!F:F,Roster!D:D,"",0))</f>
        <v>33</v>
      </c>
      <c r="M2194" s="317" t="str">
        <f t="array" ref="M2194">XLOOKUP(D2194,Roster!F:F,Roster!E:E)</f>
        <v>Voice</v>
      </c>
      <c r="N2194" s="317" t="str">
        <f t="shared" ref="N2194:P2194" si="2226">LEFT(H2194,5)</f>
        <v/>
      </c>
      <c r="O2194" s="317" t="str">
        <f t="shared" si="2226"/>
        <v/>
      </c>
      <c r="P2194" s="317" t="str">
        <f t="shared" si="2226"/>
        <v/>
      </c>
      <c r="Q2194" s="318" t="str">
        <f t="shared" si="2083"/>
        <v/>
      </c>
      <c r="R2194" s="318" t="str">
        <f t="shared" si="2084"/>
        <v/>
      </c>
      <c r="S2194" s="318" t="str">
        <f t="shared" si="8"/>
        <v/>
      </c>
    </row>
    <row r="2195">
      <c r="A2195" s="14" t="str">
        <f t="shared" si="1"/>
        <v>C106546130</v>
      </c>
      <c r="B2195" s="185" t="str">
        <f t="array" ref="B2195">IF(F2195="VL","",IF(F2195="Free","Free",XLOOKUP(D2195,Roster!T:T,Roster!S:S,"",0)))</f>
        <v/>
      </c>
      <c r="C2195" s="313">
        <v>46130.0</v>
      </c>
      <c r="D2195" s="314" t="s">
        <v>148</v>
      </c>
      <c r="E2195" s="307" t="str">
        <f t="array" ref="E2195">(XLOOKUP(D2195,Roster!F:F,Roster!B:B,"",0))</f>
        <v>Miguel Hoyos</v>
      </c>
      <c r="F2195" s="315" t="str">
        <f t="array" ref="F2195">IF(B2195=100,"Free",TEXT(XLOOKUP($D2195,OperationVoice!$A:$A,OperationVoice!X:X,XLOOKUP($D2195,OperationTickets!$A:$A,OperationTickets!X:X,"",0)),"hh:mm"))</f>
        <v>07:00</v>
      </c>
      <c r="G2195" s="309">
        <f t="shared" si="3"/>
        <v>0.6666666667</v>
      </c>
      <c r="H2195" s="316">
        <f t="array" ref="H2195">XLOOKUP(B2195,Roster!L:L,Roster!N:N,XLOOKUP(D2195,TicketsBreak!A:A,TicketsBreak!E:E,"",0),0)</f>
        <v>0.4583333333</v>
      </c>
      <c r="I2195" s="316">
        <f t="array" ref="I2195">XLOOKUP(B2195,Roster!L:L,Roster!O:O,XLOOKUP(D2195,TicketsBreak!A:A,TicketsBreak!F:F,"",0),0)</f>
        <v>0.5625</v>
      </c>
      <c r="J2195" s="316">
        <f t="array" ref="J2195">XLOOKUP(B2195,Roster!L:L,Roster!P:P,XLOOKUP(D2195,TicketsBreak!A:A,TicketsBreak!G:G,"",0),0)</f>
        <v>0.65625</v>
      </c>
      <c r="K2195" s="310">
        <f t="shared" si="4"/>
        <v>46130</v>
      </c>
      <c r="L2195" s="317">
        <f t="array" ref="L2195">(XLOOKUP(D2195,Roster!F:F,Roster!D:D,"",0))</f>
        <v>17</v>
      </c>
      <c r="M2195" s="317" t="str">
        <f t="array" ref="M2195">XLOOKUP(D2195,Roster!F:F,Roster!E:E)</f>
        <v>Tickets</v>
      </c>
      <c r="N2195" s="317" t="str">
        <f t="shared" ref="N2195:P2195" si="2227">LEFT(H2195,5)</f>
        <v>11:00</v>
      </c>
      <c r="O2195" s="317" t="str">
        <f t="shared" si="2227"/>
        <v>13:30</v>
      </c>
      <c r="P2195" s="317" t="str">
        <f t="shared" si="2227"/>
        <v>15:45</v>
      </c>
      <c r="Q2195" s="318">
        <f t="shared" si="2083"/>
        <v>46130.45833</v>
      </c>
      <c r="R2195" s="318">
        <f t="shared" si="2084"/>
        <v>46130.5625</v>
      </c>
      <c r="S2195" s="318">
        <f t="shared" si="8"/>
        <v>46130.65625</v>
      </c>
    </row>
    <row r="2196">
      <c r="A2196" s="14" t="str">
        <f t="shared" si="1"/>
        <v>C111446130</v>
      </c>
      <c r="B2196" s="185" t="str">
        <f t="array" ref="B2196">IF(F2196="VL","",IF(F2196="Free","Free",XLOOKUP(D2196,Roster!T:T,Roster!S:S,"",0)))</f>
        <v>Free</v>
      </c>
      <c r="C2196" s="313">
        <v>46130.0</v>
      </c>
      <c r="D2196" s="314" t="s">
        <v>65</v>
      </c>
      <c r="E2196" s="307" t="str">
        <f t="array" ref="E2196">(XLOOKUP(D2196,Roster!F:F,Roster!B:B,"",0))</f>
        <v>Mikel Bowie</v>
      </c>
      <c r="F2196" s="315" t="str">
        <f t="array" ref="F2196">IF(B2196=100,"Free",TEXT(XLOOKUP($D2196,OperationVoice!$A:$A,OperationVoice!X:X,XLOOKUP($D2196,OperationTickets!$A:$A,OperationTickets!X:X,"",0)),"hh:mm"))</f>
        <v>Free</v>
      </c>
      <c r="G2196" s="309" t="str">
        <f t="shared" si="3"/>
        <v>Free</v>
      </c>
      <c r="H2196" s="316" t="str">
        <f t="array" ref="H2196">XLOOKUP(B2196,Roster!L:L,Roster!N:N,XLOOKUP(D2196,TicketsBreak!A:A,TicketsBreak!E:E,"",0),0)</f>
        <v/>
      </c>
      <c r="I2196" s="316" t="str">
        <f t="array" ref="I2196">XLOOKUP(B2196,Roster!L:L,Roster!O:O,XLOOKUP(D2196,TicketsBreak!A:A,TicketsBreak!F:F,"",0),0)</f>
        <v/>
      </c>
      <c r="J2196" s="316" t="str">
        <f t="array" ref="J2196">XLOOKUP(B2196,Roster!L:L,Roster!P:P,XLOOKUP(D2196,TicketsBreak!A:A,TicketsBreak!G:G,"",0),0)</f>
        <v/>
      </c>
      <c r="K2196" s="310">
        <f t="shared" si="4"/>
        <v>46130</v>
      </c>
      <c r="L2196" s="317">
        <f t="array" ref="L2196">(XLOOKUP(D2196,Roster!F:F,Roster!D:D,"",0))</f>
        <v>20</v>
      </c>
      <c r="M2196" s="317" t="str">
        <f t="array" ref="M2196">XLOOKUP(D2196,Roster!F:F,Roster!E:E)</f>
        <v>Voice</v>
      </c>
      <c r="N2196" s="317" t="str">
        <f t="shared" ref="N2196:P2196" si="2228">LEFT(H2196,5)</f>
        <v/>
      </c>
      <c r="O2196" s="317" t="str">
        <f t="shared" si="2228"/>
        <v/>
      </c>
      <c r="P2196" s="317" t="str">
        <f t="shared" si="2228"/>
        <v/>
      </c>
      <c r="Q2196" s="318" t="str">
        <f t="shared" si="2083"/>
        <v/>
      </c>
      <c r="R2196" s="318" t="str">
        <f t="shared" si="2084"/>
        <v/>
      </c>
      <c r="S2196" s="318" t="str">
        <f t="shared" si="8"/>
        <v/>
      </c>
    </row>
    <row r="2197">
      <c r="A2197" s="14" t="str">
        <f t="shared" si="1"/>
        <v>C116346130</v>
      </c>
      <c r="B2197" s="185" t="str">
        <f t="array" ref="B2197">IF(F2197="VL","",IF(F2197="Free","Free",XLOOKUP(D2197,Roster!T:T,Roster!S:S,"",0)))</f>
        <v>Free</v>
      </c>
      <c r="C2197" s="313">
        <v>46130.0</v>
      </c>
      <c r="D2197" s="314" t="s">
        <v>66</v>
      </c>
      <c r="E2197" s="307" t="str">
        <f t="array" ref="E2197">(XLOOKUP(D2197,Roster!F:F,Roster!B:B,"",0))</f>
        <v>Natalia Cardona</v>
      </c>
      <c r="F2197" s="315" t="str">
        <f t="array" ref="F2197">IF(B2197=100,"Free",TEXT(XLOOKUP($D2197,OperationVoice!$A:$A,OperationVoice!X:X,XLOOKUP($D2197,OperationTickets!$A:$A,OperationTickets!X:X,"",0)),"hh:mm"))</f>
        <v>Free</v>
      </c>
      <c r="G2197" s="309" t="str">
        <f t="shared" si="3"/>
        <v>Free</v>
      </c>
      <c r="H2197" s="316" t="str">
        <f t="array" ref="H2197">XLOOKUP(B2197,Roster!L:L,Roster!N:N,XLOOKUP(D2197,TicketsBreak!A:A,TicketsBreak!E:E,"",0),0)</f>
        <v/>
      </c>
      <c r="I2197" s="316" t="str">
        <f t="array" ref="I2197">XLOOKUP(B2197,Roster!L:L,Roster!O:O,XLOOKUP(D2197,TicketsBreak!A:A,TicketsBreak!F:F,"",0),0)</f>
        <v/>
      </c>
      <c r="J2197" s="316" t="str">
        <f t="array" ref="J2197">XLOOKUP(B2197,Roster!L:L,Roster!P:P,XLOOKUP(D2197,TicketsBreak!A:A,TicketsBreak!G:G,"",0),0)</f>
        <v/>
      </c>
      <c r="K2197" s="310">
        <f t="shared" si="4"/>
        <v>46130</v>
      </c>
      <c r="L2197" s="317">
        <f t="array" ref="L2197">(XLOOKUP(D2197,Roster!F:F,Roster!D:D,"",0))</f>
        <v>24</v>
      </c>
      <c r="M2197" s="317" t="str">
        <f t="array" ref="M2197">XLOOKUP(D2197,Roster!F:F,Roster!E:E)</f>
        <v>Voice</v>
      </c>
      <c r="N2197" s="317" t="str">
        <f t="shared" ref="N2197:P2197" si="2229">LEFT(H2197,5)</f>
        <v/>
      </c>
      <c r="O2197" s="317" t="str">
        <f t="shared" si="2229"/>
        <v/>
      </c>
      <c r="P2197" s="317" t="str">
        <f t="shared" si="2229"/>
        <v/>
      </c>
      <c r="Q2197" s="318" t="str">
        <f t="shared" si="2083"/>
        <v/>
      </c>
      <c r="R2197" s="318" t="str">
        <f t="shared" si="2084"/>
        <v/>
      </c>
      <c r="S2197" s="318" t="str">
        <f t="shared" si="8"/>
        <v/>
      </c>
    </row>
    <row r="2198">
      <c r="A2198" s="14" t="str">
        <f t="shared" si="1"/>
        <v>C55646130</v>
      </c>
      <c r="B2198" s="185" t="str">
        <f t="array" ref="B2198">IF(F2198="VL","",IF(F2198="Free","Free",XLOOKUP(D2198,Roster!T:T,Roster!S:S,"",0)))</f>
        <v>Free</v>
      </c>
      <c r="C2198" s="313">
        <v>46130.0</v>
      </c>
      <c r="D2198" s="314" t="s">
        <v>167</v>
      </c>
      <c r="E2198" s="307" t="str">
        <f t="array" ref="E2198">(XLOOKUP(D2198,Roster!F:F,Roster!B:B,"",0))</f>
        <v>Nelson Londono</v>
      </c>
      <c r="F2198" s="315" t="str">
        <f t="array" ref="F2198">IF(B2198=100,"Free",TEXT(XLOOKUP($D2198,OperationVoice!$A:$A,OperationVoice!X:X,XLOOKUP($D2198,OperationTickets!$A:$A,OperationTickets!X:X,"",0)),"hh:mm"))</f>
        <v>Free</v>
      </c>
      <c r="G2198" s="309" t="str">
        <f t="shared" si="3"/>
        <v>Free</v>
      </c>
      <c r="H2198" s="316">
        <f t="array" ref="H2198">XLOOKUP(B2198,Roster!L:L,Roster!N:N,XLOOKUP(D2198,TicketsBreak!A:A,TicketsBreak!E:E,"",0),0)</f>
        <v>0.3854166667</v>
      </c>
      <c r="I2198" s="316">
        <f t="array" ref="I2198">XLOOKUP(B2198,Roster!L:L,Roster!O:O,XLOOKUP(D2198,TicketsBreak!A:A,TicketsBreak!F:F,"",0),0)</f>
        <v>0.5833333333</v>
      </c>
      <c r="J2198" s="316">
        <f t="array" ref="J2198">XLOOKUP(B2198,Roster!L:L,Roster!P:P,XLOOKUP(D2198,TicketsBreak!A:A,TicketsBreak!G:G,"",0),0)</f>
        <v>0.6458333333</v>
      </c>
      <c r="K2198" s="310">
        <f t="shared" si="4"/>
        <v>46130</v>
      </c>
      <c r="L2198" s="317">
        <f t="array" ref="L2198">(XLOOKUP(D2198,Roster!F:F,Roster!D:D,"",0))</f>
        <v>2</v>
      </c>
      <c r="M2198" s="317" t="str">
        <f t="array" ref="M2198">XLOOKUP(D2198,Roster!F:F,Roster!E:E)</f>
        <v>Tickets</v>
      </c>
      <c r="N2198" s="317" t="str">
        <f t="shared" ref="N2198:P2198" si="2230">LEFT(H2198,5)</f>
        <v>09:15</v>
      </c>
      <c r="O2198" s="317" t="str">
        <f t="shared" si="2230"/>
        <v>14:00</v>
      </c>
      <c r="P2198" s="317" t="str">
        <f t="shared" si="2230"/>
        <v>15:30</v>
      </c>
      <c r="Q2198" s="318">
        <f t="shared" si="2083"/>
        <v>46130.38542</v>
      </c>
      <c r="R2198" s="318">
        <f t="shared" si="2084"/>
        <v>46130.58333</v>
      </c>
      <c r="S2198" s="318">
        <f t="shared" si="8"/>
        <v>46130.64583</v>
      </c>
    </row>
    <row r="2199">
      <c r="A2199" s="14" t="str">
        <f t="shared" si="1"/>
        <v>C150746130</v>
      </c>
      <c r="B2199" s="185" t="str">
        <f t="array" ref="B2199">IF(F2199="VL","",IF(F2199="Free","Free",XLOOKUP(D2199,Roster!T:T,Roster!S:S,"",0)))</f>
        <v>Free</v>
      </c>
      <c r="C2199" s="313">
        <v>46130.0</v>
      </c>
      <c r="D2199" s="314" t="s">
        <v>67</v>
      </c>
      <c r="E2199" s="307" t="str">
        <f t="array" ref="E2199">(XLOOKUP(D2199,Roster!F:F,Roster!B:B,"",0))</f>
        <v>Nicols Quinones</v>
      </c>
      <c r="F2199" s="315" t="str">
        <f t="array" ref="F2199">IF(B2199=100,"Free",TEXT(XLOOKUP($D2199,OperationVoice!$A:$A,OperationVoice!X:X,XLOOKUP($D2199,OperationTickets!$A:$A,OperationTickets!X:X,"",0)),"hh:mm"))</f>
        <v>Free</v>
      </c>
      <c r="G2199" s="309" t="str">
        <f t="shared" si="3"/>
        <v>Free</v>
      </c>
      <c r="H2199" s="316" t="str">
        <f t="array" ref="H2199">XLOOKUP(B2199,Roster!L:L,Roster!N:N,XLOOKUP(D2199,TicketsBreak!A:A,TicketsBreak!E:E,"",0),0)</f>
        <v/>
      </c>
      <c r="I2199" s="316" t="str">
        <f t="array" ref="I2199">XLOOKUP(B2199,Roster!L:L,Roster!O:O,XLOOKUP(D2199,TicketsBreak!A:A,TicketsBreak!F:F,"",0),0)</f>
        <v/>
      </c>
      <c r="J2199" s="316" t="str">
        <f t="array" ref="J2199">XLOOKUP(B2199,Roster!L:L,Roster!P:P,XLOOKUP(D2199,TicketsBreak!A:A,TicketsBreak!G:G,"",0),0)</f>
        <v/>
      </c>
      <c r="K2199" s="310">
        <f t="shared" si="4"/>
        <v>46130</v>
      </c>
      <c r="L2199" s="317">
        <f t="array" ref="L2199">(XLOOKUP(D2199,Roster!F:F,Roster!D:D,"",0))</f>
        <v>35</v>
      </c>
      <c r="M2199" s="317" t="str">
        <f t="array" ref="M2199">XLOOKUP(D2199,Roster!F:F,Roster!E:E)</f>
        <v>Voice</v>
      </c>
      <c r="N2199" s="317" t="str">
        <f t="shared" ref="N2199:P2199" si="2231">LEFT(H2199,5)</f>
        <v/>
      </c>
      <c r="O2199" s="317" t="str">
        <f t="shared" si="2231"/>
        <v/>
      </c>
      <c r="P2199" s="317" t="str">
        <f t="shared" si="2231"/>
        <v/>
      </c>
      <c r="Q2199" s="318" t="str">
        <f t="shared" si="2083"/>
        <v/>
      </c>
      <c r="R2199" s="318" t="str">
        <f t="shared" si="2084"/>
        <v/>
      </c>
      <c r="S2199" s="318" t="str">
        <f t="shared" si="8"/>
        <v/>
      </c>
    </row>
    <row r="2200">
      <c r="A2200" s="14" t="str">
        <f t="shared" si="1"/>
        <v>C71446130</v>
      </c>
      <c r="B2200" s="185" t="str">
        <f t="array" ref="B2200">IF(F2200="VL","",IF(F2200="Free","Free",XLOOKUP(D2200,Roster!T:T,Roster!S:S,"",0)))</f>
        <v>Free</v>
      </c>
      <c r="C2200" s="313">
        <v>46130.0</v>
      </c>
      <c r="D2200" s="314" t="s">
        <v>149</v>
      </c>
      <c r="E2200" s="307" t="str">
        <f t="array" ref="E2200">(XLOOKUP(D2200,Roster!F:F,Roster!B:B,"",0))</f>
        <v>Onel Olivera</v>
      </c>
      <c r="F2200" s="315" t="str">
        <f t="array" ref="F2200">IF(B2200=100,"Free",TEXT(XLOOKUP($D2200,OperationVoice!$A:$A,OperationVoice!X:X,XLOOKUP($D2200,OperationTickets!$A:$A,OperationTickets!X:X,"",0)),"hh:mm"))</f>
        <v>Free</v>
      </c>
      <c r="G2200" s="309" t="str">
        <f t="shared" si="3"/>
        <v>Free</v>
      </c>
      <c r="H2200" s="316">
        <f t="array" ref="H2200">XLOOKUP(B2200,Roster!L:L,Roster!N:N,XLOOKUP(D2200,TicketsBreak!A:A,TicketsBreak!E:E,"",0),0)</f>
        <v>0.4166666667</v>
      </c>
      <c r="I2200" s="316">
        <f t="array" ref="I2200">XLOOKUP(B2200,Roster!L:L,Roster!O:O,XLOOKUP(D2200,TicketsBreak!A:A,TicketsBreak!F:F,"",0),0)</f>
        <v>0.5</v>
      </c>
      <c r="J2200" s="316">
        <f t="array" ref="J2200">XLOOKUP(B2200,Roster!L:L,Roster!P:P,XLOOKUP(D2200,TicketsBreak!A:A,TicketsBreak!G:G,"",0),0)</f>
        <v>0.625</v>
      </c>
      <c r="K2200" s="310">
        <f t="shared" si="4"/>
        <v>46130</v>
      </c>
      <c r="L2200" s="317">
        <f t="array" ref="L2200">(XLOOKUP(D2200,Roster!F:F,Roster!D:D,"",0))</f>
        <v>1</v>
      </c>
      <c r="M2200" s="317" t="str">
        <f t="array" ref="M2200">XLOOKUP(D2200,Roster!F:F,Roster!E:E)</f>
        <v>Tickets</v>
      </c>
      <c r="N2200" s="317" t="str">
        <f t="shared" ref="N2200:P2200" si="2232">LEFT(H2200,5)</f>
        <v>10:00</v>
      </c>
      <c r="O2200" s="317" t="str">
        <f t="shared" si="2232"/>
        <v>12:00</v>
      </c>
      <c r="P2200" s="317" t="str">
        <f t="shared" si="2232"/>
        <v>15:00</v>
      </c>
      <c r="Q2200" s="318">
        <f t="shared" si="2083"/>
        <v>46130.41667</v>
      </c>
      <c r="R2200" s="318">
        <f t="shared" si="2084"/>
        <v>46130.5</v>
      </c>
      <c r="S2200" s="318">
        <f t="shared" si="8"/>
        <v>46130.625</v>
      </c>
    </row>
    <row r="2201">
      <c r="A2201" s="14" t="str">
        <f t="shared" si="1"/>
        <v>C116446130</v>
      </c>
      <c r="B2201" s="185" t="str">
        <f t="array" ref="B2201">IF(F2201="VL","",IF(F2201="Free","Free",XLOOKUP(D2201,Roster!T:T,Roster!S:S,"",0)))</f>
        <v>Free</v>
      </c>
      <c r="C2201" s="313">
        <v>46130.0</v>
      </c>
      <c r="D2201" s="314" t="s">
        <v>179</v>
      </c>
      <c r="E2201" s="307" t="str">
        <f t="array" ref="E2201">(XLOOKUP(D2201,Roster!F:F,Roster!B:B,"",0))</f>
        <v>Oscar Florez</v>
      </c>
      <c r="F2201" s="315" t="str">
        <f t="array" ref="F2201">IF(B2201=100,"Free",TEXT(XLOOKUP($D2201,OperationVoice!$A:$A,OperationVoice!X:X,XLOOKUP($D2201,OperationTickets!$A:$A,OperationTickets!X:X,"",0)),"hh:mm"))</f>
        <v>Free</v>
      </c>
      <c r="G2201" s="309" t="str">
        <f t="shared" si="3"/>
        <v>Free</v>
      </c>
      <c r="H2201" s="316" t="str">
        <f t="array" ref="H2201">XLOOKUP(B2201,Roster!L:L,Roster!N:N,XLOOKUP(D2201,TicketsBreak!A:A,TicketsBreak!E:E,"",0),0)</f>
        <v/>
      </c>
      <c r="I2201" s="316" t="str">
        <f t="array" ref="I2201">XLOOKUP(B2201,Roster!L:L,Roster!O:O,XLOOKUP(D2201,TicketsBreak!A:A,TicketsBreak!F:F,"",0),0)</f>
        <v/>
      </c>
      <c r="J2201" s="316" t="str">
        <f t="array" ref="J2201">XLOOKUP(B2201,Roster!L:L,Roster!P:P,XLOOKUP(D2201,TicketsBreak!A:A,TicketsBreak!G:G,"",0),0)</f>
        <v/>
      </c>
      <c r="K2201" s="310">
        <f t="shared" si="4"/>
        <v>46130</v>
      </c>
      <c r="L2201" s="317">
        <f t="array" ref="L2201">(XLOOKUP(D2201,Roster!F:F,Roster!D:D,"",0))</f>
        <v>24</v>
      </c>
      <c r="M2201" s="317" t="str">
        <f t="array" ref="M2201">XLOOKUP(D2201,Roster!F:F,Roster!E:E)</f>
        <v>Tickets</v>
      </c>
      <c r="N2201" s="317" t="str">
        <f t="shared" ref="N2201:P2201" si="2233">LEFT(H2201,5)</f>
        <v/>
      </c>
      <c r="O2201" s="317" t="str">
        <f t="shared" si="2233"/>
        <v/>
      </c>
      <c r="P2201" s="317" t="str">
        <f t="shared" si="2233"/>
        <v/>
      </c>
      <c r="Q2201" s="318" t="str">
        <f t="shared" si="2083"/>
        <v/>
      </c>
      <c r="R2201" s="318" t="str">
        <f t="shared" si="2084"/>
        <v/>
      </c>
      <c r="S2201" s="318" t="str">
        <f t="shared" si="8"/>
        <v/>
      </c>
    </row>
    <row r="2202">
      <c r="A2202" s="14" t="str">
        <f t="shared" si="1"/>
        <v>C153846130</v>
      </c>
      <c r="B2202" s="185">
        <f t="array" ref="B2202">IF(F2202="VL","",IF(F2202="Free","Free",XLOOKUP(D2202,Roster!T:T,Roster!S:S,"",0)))</f>
        <v>151</v>
      </c>
      <c r="C2202" s="313">
        <v>46130.0</v>
      </c>
      <c r="D2202" s="314" t="s">
        <v>68</v>
      </c>
      <c r="E2202" s="307" t="str">
        <f t="array" ref="E2202">(XLOOKUP(D2202,Roster!F:F,Roster!B:B,"",0))</f>
        <v>Oscar Roldan</v>
      </c>
      <c r="F2202" s="315" t="str">
        <f t="array" ref="F2202">IF(B2202=100,"Free",TEXT(XLOOKUP($D2202,OperationVoice!$A:$A,OperationVoice!X:X,XLOOKUP($D2202,OperationTickets!$A:$A,OperationTickets!X:X,"",0)),"hh:mm"))</f>
        <v>11:00</v>
      </c>
      <c r="G2202" s="309">
        <f t="shared" si="3"/>
        <v>0.8333333333</v>
      </c>
      <c r="H2202" s="316" t="str">
        <f t="array" ref="H2202">XLOOKUP(B2202,Roster!L:L,Roster!N:N,XLOOKUP(D2202,TicketsBreak!A:A,TicketsBreak!E:E,"",0),0)</f>
        <v>12:15 - 12:30</v>
      </c>
      <c r="I2202" s="316" t="str">
        <f t="array" ref="I2202">XLOOKUP(B2202,Roster!L:L,Roster!O:O,XLOOKUP(D2202,TicketsBreak!A:A,TicketsBreak!F:F,"",0),0)</f>
        <v>14:00 - 14:30</v>
      </c>
      <c r="J2202" s="316" t="str">
        <f t="array" ref="J2202">XLOOKUP(B2202,Roster!L:L,Roster!P:P,XLOOKUP(D2202,TicketsBreak!A:A,TicketsBreak!G:G,"",0),0)</f>
        <v>17:15 - 17:30</v>
      </c>
      <c r="K2202" s="310">
        <f t="shared" si="4"/>
        <v>46130</v>
      </c>
      <c r="L2202" s="317">
        <f t="array" ref="L2202">(XLOOKUP(D2202,Roster!F:F,Roster!D:D,"",0))</f>
        <v>36</v>
      </c>
      <c r="M2202" s="317" t="str">
        <f t="array" ref="M2202">XLOOKUP(D2202,Roster!F:F,Roster!E:E)</f>
        <v>Voice</v>
      </c>
      <c r="N2202" s="317" t="str">
        <f t="shared" ref="N2202:P2202" si="2234">LEFT(H2202,5)</f>
        <v>12:15</v>
      </c>
      <c r="O2202" s="317" t="str">
        <f t="shared" si="2234"/>
        <v>14:00</v>
      </c>
      <c r="P2202" s="317" t="str">
        <f t="shared" si="2234"/>
        <v>17:15</v>
      </c>
      <c r="Q2202" s="318">
        <f t="shared" si="2083"/>
        <v>46130.51042</v>
      </c>
      <c r="R2202" s="318">
        <f t="shared" si="2084"/>
        <v>46130.58333</v>
      </c>
      <c r="S2202" s="318">
        <f t="shared" si="8"/>
        <v>46130.71875</v>
      </c>
    </row>
    <row r="2203">
      <c r="A2203" s="14" t="str">
        <f t="shared" si="1"/>
        <v>C151146130</v>
      </c>
      <c r="B2203" s="185">
        <f t="array" ref="B2203">IF(F2203="VL","",IF(F2203="Free","Free",XLOOKUP(D2203,Roster!T:T,Roster!S:S,"",0)))</f>
        <v>131</v>
      </c>
      <c r="C2203" s="313">
        <v>46130.0</v>
      </c>
      <c r="D2203" s="314" t="s">
        <v>69</v>
      </c>
      <c r="E2203" s="307" t="str">
        <f t="array" ref="E2203">(XLOOKUP(D2203,Roster!F:F,Roster!B:B,"",0))</f>
        <v>Salma Giraldo</v>
      </c>
      <c r="F2203" s="315" t="str">
        <f t="array" ref="F2203">IF(B2203=100,"Free",TEXT(XLOOKUP($D2203,OperationVoice!$A:$A,OperationVoice!X:X,XLOOKUP($D2203,OperationTickets!$A:$A,OperationTickets!X:X,"",0)),"hh:mm"))</f>
        <v>08:00</v>
      </c>
      <c r="G2203" s="309">
        <f t="shared" si="3"/>
        <v>0.7083333333</v>
      </c>
      <c r="H2203" s="316" t="str">
        <f t="array" ref="H2203">XLOOKUP(B2203,Roster!L:L,Roster!N:N,XLOOKUP(D2203,TicketsBreak!A:A,TicketsBreak!E:E,"",0),0)</f>
        <v>10:15 - 10:30</v>
      </c>
      <c r="I2203" s="316" t="str">
        <f t="array" ref="I2203">XLOOKUP(B2203,Roster!L:L,Roster!O:O,XLOOKUP(D2203,TicketsBreak!A:A,TicketsBreak!F:F,"",0),0)</f>
        <v>12:30 - 13:00</v>
      </c>
      <c r="J2203" s="316" t="str">
        <f t="array" ref="J2203">XLOOKUP(B2203,Roster!L:L,Roster!P:P,XLOOKUP(D2203,TicketsBreak!A:A,TicketsBreak!G:G,"",0),0)</f>
        <v>15:15 - 15:30</v>
      </c>
      <c r="K2203" s="310">
        <f t="shared" si="4"/>
        <v>46130</v>
      </c>
      <c r="L2203" s="317">
        <f t="array" ref="L2203">(XLOOKUP(D2203,Roster!F:F,Roster!D:D,"",0))</f>
        <v>35</v>
      </c>
      <c r="M2203" s="317" t="str">
        <f t="array" ref="M2203">XLOOKUP(D2203,Roster!F:F,Roster!E:E)</f>
        <v>Voice</v>
      </c>
      <c r="N2203" s="317" t="str">
        <f t="shared" ref="N2203:P2203" si="2235">LEFT(H2203,5)</f>
        <v>10:15</v>
      </c>
      <c r="O2203" s="317" t="str">
        <f t="shared" si="2235"/>
        <v>12:30</v>
      </c>
      <c r="P2203" s="317" t="str">
        <f t="shared" si="2235"/>
        <v>15:15</v>
      </c>
      <c r="Q2203" s="318">
        <f t="shared" si="2083"/>
        <v>46130.42708</v>
      </c>
      <c r="R2203" s="318">
        <f t="shared" si="2084"/>
        <v>46130.52083</v>
      </c>
      <c r="S2203" s="318">
        <f t="shared" si="8"/>
        <v>46130.63542</v>
      </c>
    </row>
    <row r="2204">
      <c r="A2204" s="14" t="str">
        <f t="shared" si="1"/>
        <v>C93346130</v>
      </c>
      <c r="B2204" s="185" t="str">
        <f t="array" ref="B2204">IF(F2204="VL","",IF(F2204="Free","Free",XLOOKUP(D2204,Roster!T:T,Roster!S:S,"",0)))</f>
        <v>Free</v>
      </c>
      <c r="C2204" s="313">
        <v>46130.0</v>
      </c>
      <c r="D2204" s="314" t="s">
        <v>70</v>
      </c>
      <c r="E2204" s="307" t="str">
        <f t="array" ref="E2204">(XLOOKUP(D2204,Roster!F:F,Roster!B:B,"",0))</f>
        <v>Salome Arias</v>
      </c>
      <c r="F2204" s="315" t="str">
        <f t="array" ref="F2204">IF(B2204=100,"Free",TEXT(XLOOKUP($D2204,OperationVoice!$A:$A,OperationVoice!X:X,XLOOKUP($D2204,OperationTickets!$A:$A,OperationTickets!X:X,"",0)),"hh:mm"))</f>
        <v>Free</v>
      </c>
      <c r="G2204" s="309" t="str">
        <f t="shared" si="3"/>
        <v>Free</v>
      </c>
      <c r="H2204" s="316" t="str">
        <f t="array" ref="H2204">XLOOKUP(B2204,Roster!L:L,Roster!N:N,XLOOKUP(D2204,TicketsBreak!A:A,TicketsBreak!E:E,"",0),0)</f>
        <v/>
      </c>
      <c r="I2204" s="316" t="str">
        <f t="array" ref="I2204">XLOOKUP(B2204,Roster!L:L,Roster!O:O,XLOOKUP(D2204,TicketsBreak!A:A,TicketsBreak!F:F,"",0),0)</f>
        <v/>
      </c>
      <c r="J2204" s="316" t="str">
        <f t="array" ref="J2204">XLOOKUP(B2204,Roster!L:L,Roster!P:P,XLOOKUP(D2204,TicketsBreak!A:A,TicketsBreak!G:G,"",0),0)</f>
        <v/>
      </c>
      <c r="K2204" s="310">
        <f t="shared" si="4"/>
        <v>46130</v>
      </c>
      <c r="L2204" s="317">
        <f t="array" ref="L2204">(XLOOKUP(D2204,Roster!F:F,Roster!D:D,"",0))</f>
        <v>12</v>
      </c>
      <c r="M2204" s="317" t="str">
        <f t="array" ref="M2204">XLOOKUP(D2204,Roster!F:F,Roster!E:E)</f>
        <v>Voice</v>
      </c>
      <c r="N2204" s="317" t="str">
        <f t="shared" ref="N2204:P2204" si="2236">LEFT(H2204,5)</f>
        <v/>
      </c>
      <c r="O2204" s="317" t="str">
        <f t="shared" si="2236"/>
        <v/>
      </c>
      <c r="P2204" s="317" t="str">
        <f t="shared" si="2236"/>
        <v/>
      </c>
      <c r="Q2204" s="318" t="str">
        <f t="shared" si="2083"/>
        <v/>
      </c>
      <c r="R2204" s="318" t="str">
        <f t="shared" si="2084"/>
        <v/>
      </c>
      <c r="S2204" s="318" t="str">
        <f t="shared" si="8"/>
        <v/>
      </c>
    </row>
    <row r="2205">
      <c r="A2205" s="14" t="str">
        <f t="shared" si="1"/>
        <v>C128246130</v>
      </c>
      <c r="B2205" s="185" t="str">
        <f t="array" ref="B2205">IF(F2205="VL","",IF(F2205="Free","Free",XLOOKUP(D2205,Roster!T:T,Roster!S:S,"",0)))</f>
        <v>Free</v>
      </c>
      <c r="C2205" s="313">
        <v>46130.0</v>
      </c>
      <c r="D2205" s="314" t="s">
        <v>168</v>
      </c>
      <c r="E2205" s="307" t="str">
        <f t="array" ref="E2205">(XLOOKUP(D2205,Roster!F:F,Roster!B:B,"",0))</f>
        <v>Samuel Acevedo</v>
      </c>
      <c r="F2205" s="315" t="str">
        <f t="array" ref="F2205">IF(B2205=100,"Free",TEXT(XLOOKUP($D2205,OperationVoice!$A:$A,OperationVoice!X:X,XLOOKUP($D2205,OperationTickets!$A:$A,OperationTickets!X:X,"",0)),"hh:mm"))</f>
        <v>Free</v>
      </c>
      <c r="G2205" s="309" t="str">
        <f t="shared" si="3"/>
        <v>Free</v>
      </c>
      <c r="H2205" s="316" t="str">
        <f t="array" ref="H2205">XLOOKUP(B2205,Roster!L:L,Roster!N:N,XLOOKUP(D2205,TicketsBreak!A:A,TicketsBreak!E:E,"",0),0)</f>
        <v/>
      </c>
      <c r="I2205" s="316" t="str">
        <f t="array" ref="I2205">XLOOKUP(B2205,Roster!L:L,Roster!O:O,XLOOKUP(D2205,TicketsBreak!A:A,TicketsBreak!F:F,"",0),0)</f>
        <v/>
      </c>
      <c r="J2205" s="316" t="str">
        <f t="array" ref="J2205">XLOOKUP(B2205,Roster!L:L,Roster!P:P,XLOOKUP(D2205,TicketsBreak!A:A,TicketsBreak!G:G,"",0),0)</f>
        <v/>
      </c>
      <c r="K2205" s="310">
        <f t="shared" si="4"/>
        <v>46130</v>
      </c>
      <c r="L2205" s="317">
        <f t="array" ref="L2205">(XLOOKUP(D2205,Roster!F:F,Roster!D:D,"",0))</f>
        <v>27</v>
      </c>
      <c r="M2205" s="317" t="str">
        <f t="array" ref="M2205">XLOOKUP(D2205,Roster!F:F,Roster!E:E)</f>
        <v>Tickets</v>
      </c>
      <c r="N2205" s="317" t="str">
        <f t="shared" ref="N2205:P2205" si="2237">LEFT(H2205,5)</f>
        <v/>
      </c>
      <c r="O2205" s="317" t="str">
        <f t="shared" si="2237"/>
        <v/>
      </c>
      <c r="P2205" s="317" t="str">
        <f t="shared" si="2237"/>
        <v/>
      </c>
      <c r="Q2205" s="318" t="str">
        <f t="shared" si="2083"/>
        <v/>
      </c>
      <c r="R2205" s="318" t="str">
        <f t="shared" si="2084"/>
        <v/>
      </c>
      <c r="S2205" s="318" t="str">
        <f t="shared" si="8"/>
        <v/>
      </c>
    </row>
    <row r="2206">
      <c r="A2206" s="14" t="str">
        <f t="shared" si="1"/>
        <v>C156446130</v>
      </c>
      <c r="B2206" s="185">
        <f t="array" ref="B2206">IF(F2206="VL","",IF(F2206="Free","Free",XLOOKUP(D2206,Roster!T:T,Roster!S:S,"",0)))</f>
        <v>121</v>
      </c>
      <c r="C2206" s="313">
        <v>46130.0</v>
      </c>
      <c r="D2206" s="314" t="s">
        <v>71</v>
      </c>
      <c r="E2206" s="307" t="str">
        <f t="array" ref="E2206">(XLOOKUP(D2206,Roster!F:F,Roster!B:B,"",0))</f>
        <v>Samuel Acevedo Cadavid</v>
      </c>
      <c r="F2206" s="315" t="str">
        <f t="array" ref="F2206">IF(B2206=100,"Free",TEXT(XLOOKUP($D2206,OperationVoice!$A:$A,OperationVoice!X:X,XLOOKUP($D2206,OperationTickets!$A:$A,OperationTickets!X:X,"",0)),"hh:mm"))</f>
        <v>08:00</v>
      </c>
      <c r="G2206" s="309">
        <f t="shared" si="3"/>
        <v>0.7083333333</v>
      </c>
      <c r="H2206" s="316" t="str">
        <f t="array" ref="H2206">XLOOKUP(B2206,Roster!L:L,Roster!N:N,XLOOKUP(D2206,TicketsBreak!A:A,TicketsBreak!E:E,"",0),0)</f>
        <v>09:15 - 09:30</v>
      </c>
      <c r="I2206" s="316" t="str">
        <f t="array" ref="I2206">XLOOKUP(B2206,Roster!L:L,Roster!O:O,XLOOKUP(D2206,TicketsBreak!A:A,TicketsBreak!F:F,"",0),0)</f>
        <v>11:30 - 12:00</v>
      </c>
      <c r="J2206" s="316" t="str">
        <f t="array" ref="J2206">XLOOKUP(B2206,Roster!L:L,Roster!P:P,XLOOKUP(D2206,TicketsBreak!A:A,TicketsBreak!G:G,"",0),0)</f>
        <v>14:30 - 14:45</v>
      </c>
      <c r="K2206" s="310">
        <f t="shared" si="4"/>
        <v>46130</v>
      </c>
      <c r="L2206" s="317">
        <f t="array" ref="L2206">(XLOOKUP(D2206,Roster!F:F,Roster!D:D,"",0))</f>
        <v>38</v>
      </c>
      <c r="M2206" s="317" t="str">
        <f t="array" ref="M2206">XLOOKUP(D2206,Roster!F:F,Roster!E:E)</f>
        <v>Voice</v>
      </c>
      <c r="N2206" s="317" t="str">
        <f t="shared" ref="N2206:P2206" si="2238">LEFT(H2206,5)</f>
        <v>09:15</v>
      </c>
      <c r="O2206" s="317" t="str">
        <f t="shared" si="2238"/>
        <v>11:30</v>
      </c>
      <c r="P2206" s="317" t="str">
        <f t="shared" si="2238"/>
        <v>14:30</v>
      </c>
      <c r="Q2206" s="318">
        <f t="shared" si="2083"/>
        <v>46130.38542</v>
      </c>
      <c r="R2206" s="318">
        <f t="shared" si="2084"/>
        <v>46130.47917</v>
      </c>
      <c r="S2206" s="318">
        <f t="shared" si="8"/>
        <v>46130.60417</v>
      </c>
    </row>
    <row r="2207">
      <c r="A2207" s="14" t="str">
        <f t="shared" si="1"/>
        <v>C116846130</v>
      </c>
      <c r="B2207" s="185">
        <f t="array" ref="B2207">IF(F2207="VL","",IF(F2207="Free","Free",XLOOKUP(D2207,Roster!T:T,Roster!S:S,"",0)))</f>
        <v>125</v>
      </c>
      <c r="C2207" s="313">
        <v>46130.0</v>
      </c>
      <c r="D2207" s="314" t="s">
        <v>180</v>
      </c>
      <c r="E2207" s="307" t="str">
        <f t="array" ref="E2207">(XLOOKUP(D2207,Roster!F:F,Roster!B:B,"",0))</f>
        <v>Santiago Gaviria</v>
      </c>
      <c r="F2207" s="315" t="str">
        <f t="array" ref="F2207">IF(B2207=100,"Free",TEXT(XLOOKUP($D2207,OperationVoice!$A:$A,OperationVoice!X:X,XLOOKUP($D2207,OperationTickets!$A:$A,OperationTickets!X:X,"",0)),"hh:mm"))</f>
        <v>08:00</v>
      </c>
      <c r="G2207" s="309">
        <f t="shared" si="3"/>
        <v>0.7083333333</v>
      </c>
      <c r="H2207" s="316" t="str">
        <f t="array" ref="H2207">XLOOKUP(B2207,Roster!L:L,Roster!N:N,XLOOKUP(D2207,TicketsBreak!A:A,TicketsBreak!E:E,"",0),0)</f>
        <v>10:30 - 10:45</v>
      </c>
      <c r="I2207" s="316" t="str">
        <f t="array" ref="I2207">XLOOKUP(B2207,Roster!L:L,Roster!O:O,XLOOKUP(D2207,TicketsBreak!A:A,TicketsBreak!F:F,"",0),0)</f>
        <v>13:30 - 14:00</v>
      </c>
      <c r="J2207" s="316" t="str">
        <f t="array" ref="J2207">XLOOKUP(B2207,Roster!L:L,Roster!P:P,XLOOKUP(D2207,TicketsBreak!A:A,TicketsBreak!G:G,"",0),0)</f>
        <v>15:45 - 16:00</v>
      </c>
      <c r="K2207" s="310">
        <f t="shared" si="4"/>
        <v>46130</v>
      </c>
      <c r="L2207" s="317">
        <f t="array" ref="L2207">(XLOOKUP(D2207,Roster!F:F,Roster!D:D,"",0))</f>
        <v>24</v>
      </c>
      <c r="M2207" s="317" t="str">
        <f t="array" ref="M2207">XLOOKUP(D2207,Roster!F:F,Roster!E:E)</f>
        <v>Tickets</v>
      </c>
      <c r="N2207" s="317" t="str">
        <f t="shared" ref="N2207:P2207" si="2239">LEFT(H2207,5)</f>
        <v>10:30</v>
      </c>
      <c r="O2207" s="317" t="str">
        <f t="shared" si="2239"/>
        <v>13:30</v>
      </c>
      <c r="P2207" s="317" t="str">
        <f t="shared" si="2239"/>
        <v>15:45</v>
      </c>
      <c r="Q2207" s="318">
        <f t="shared" si="2083"/>
        <v>46130.4375</v>
      </c>
      <c r="R2207" s="318">
        <f t="shared" si="2084"/>
        <v>46130.5625</v>
      </c>
      <c r="S2207" s="318">
        <f t="shared" si="8"/>
        <v>46130.65625</v>
      </c>
    </row>
    <row r="2208">
      <c r="A2208" s="14" t="str">
        <f t="shared" si="1"/>
        <v>C122046130</v>
      </c>
      <c r="B2208" s="185" t="str">
        <f t="array" ref="B2208">IF(F2208="VL","",IF(F2208="Free","Free",XLOOKUP(D2208,Roster!T:T,Roster!S:S,"",0)))</f>
        <v/>
      </c>
      <c r="C2208" s="313">
        <v>46130.0</v>
      </c>
      <c r="D2208" s="314" t="s">
        <v>181</v>
      </c>
      <c r="E2208" s="307" t="str">
        <f t="array" ref="E2208">(XLOOKUP(D2208,Roster!F:F,Roster!B:B,"",0))</f>
        <v>Santiago Gonzalez</v>
      </c>
      <c r="F2208" s="315" t="str">
        <f t="array" ref="F2208">IF(B2208=100,"Free",TEXT(XLOOKUP($D2208,OperationVoice!$A:$A,OperationVoice!X:X,XLOOKUP($D2208,OperationTickets!$A:$A,OperationTickets!X:X,"",0)),"hh:mm"))</f>
        <v>08:00</v>
      </c>
      <c r="G2208" s="309">
        <f t="shared" si="3"/>
        <v>0.7083333333</v>
      </c>
      <c r="H2208" s="316" t="str">
        <f t="array" ref="H2208">XLOOKUP(B2208,Roster!L:L,Roster!N:N,XLOOKUP(D2208,TicketsBreak!A:A,TicketsBreak!E:E,"",0),0)</f>
        <v/>
      </c>
      <c r="I2208" s="316" t="str">
        <f t="array" ref="I2208">XLOOKUP(B2208,Roster!L:L,Roster!O:O,XLOOKUP(D2208,TicketsBreak!A:A,TicketsBreak!F:F,"",0),0)</f>
        <v/>
      </c>
      <c r="J2208" s="316" t="str">
        <f t="array" ref="J2208">XLOOKUP(B2208,Roster!L:L,Roster!P:P,XLOOKUP(D2208,TicketsBreak!A:A,TicketsBreak!G:G,"",0),0)</f>
        <v/>
      </c>
      <c r="K2208" s="310">
        <f t="shared" si="4"/>
        <v>46130</v>
      </c>
      <c r="L2208" s="317">
        <f t="array" ref="L2208">(XLOOKUP(D2208,Roster!F:F,Roster!D:D,"",0))</f>
        <v>26</v>
      </c>
      <c r="M2208" s="317" t="str">
        <f t="array" ref="M2208">XLOOKUP(D2208,Roster!F:F,Roster!E:E)</f>
        <v>Tickets</v>
      </c>
      <c r="N2208" s="317" t="str">
        <f t="shared" ref="N2208:P2208" si="2240">LEFT(H2208,5)</f>
        <v/>
      </c>
      <c r="O2208" s="317" t="str">
        <f t="shared" si="2240"/>
        <v/>
      </c>
      <c r="P2208" s="317" t="str">
        <f t="shared" si="2240"/>
        <v/>
      </c>
      <c r="Q2208" s="318" t="str">
        <f t="shared" si="2083"/>
        <v/>
      </c>
      <c r="R2208" s="318" t="str">
        <f t="shared" si="2084"/>
        <v/>
      </c>
      <c r="S2208" s="318" t="str">
        <f t="shared" si="8"/>
        <v/>
      </c>
    </row>
    <row r="2209">
      <c r="A2209" s="14" t="str">
        <f t="shared" si="1"/>
        <v>C140646130</v>
      </c>
      <c r="B2209" s="185" t="str">
        <f t="array" ref="B2209">IF(F2209="VL","",IF(F2209="Free","Free",XLOOKUP(D2209,Roster!T:T,Roster!S:S,"",0)))</f>
        <v>Free</v>
      </c>
      <c r="C2209" s="313">
        <v>46130.0</v>
      </c>
      <c r="D2209" s="314" t="s">
        <v>72</v>
      </c>
      <c r="E2209" s="307" t="str">
        <f t="array" ref="E2209">(XLOOKUP(D2209,Roster!F:F,Roster!B:B,"",0))</f>
        <v>Santiago Mora</v>
      </c>
      <c r="F2209" s="315" t="str">
        <f t="array" ref="F2209">IF(B2209=100,"Free",TEXT(XLOOKUP($D2209,OperationVoice!$A:$A,OperationVoice!X:X,XLOOKUP($D2209,OperationTickets!$A:$A,OperationTickets!X:X,"",0)),"hh:mm"))</f>
        <v>Free</v>
      </c>
      <c r="G2209" s="309" t="str">
        <f t="shared" si="3"/>
        <v>Free</v>
      </c>
      <c r="H2209" s="316" t="str">
        <f t="array" ref="H2209">XLOOKUP(B2209,Roster!L:L,Roster!N:N,XLOOKUP(D2209,TicketsBreak!A:A,TicketsBreak!E:E,"",0),0)</f>
        <v/>
      </c>
      <c r="I2209" s="316" t="str">
        <f t="array" ref="I2209">XLOOKUP(B2209,Roster!L:L,Roster!O:O,XLOOKUP(D2209,TicketsBreak!A:A,TicketsBreak!F:F,"",0),0)</f>
        <v/>
      </c>
      <c r="J2209" s="316" t="str">
        <f t="array" ref="J2209">XLOOKUP(B2209,Roster!L:L,Roster!P:P,XLOOKUP(D2209,TicketsBreak!A:A,TicketsBreak!G:G,"",0),0)</f>
        <v/>
      </c>
      <c r="K2209" s="310">
        <f t="shared" si="4"/>
        <v>46130</v>
      </c>
      <c r="L2209" s="317">
        <f t="array" ref="L2209">(XLOOKUP(D2209,Roster!F:F,Roster!D:D,"",0))</f>
        <v>35</v>
      </c>
      <c r="M2209" s="317" t="str">
        <f t="array" ref="M2209">XLOOKUP(D2209,Roster!F:F,Roster!E:E)</f>
        <v>Voice</v>
      </c>
      <c r="N2209" s="317" t="str">
        <f t="shared" ref="N2209:P2209" si="2241">LEFT(H2209,5)</f>
        <v/>
      </c>
      <c r="O2209" s="317" t="str">
        <f t="shared" si="2241"/>
        <v/>
      </c>
      <c r="P2209" s="317" t="str">
        <f t="shared" si="2241"/>
        <v/>
      </c>
      <c r="Q2209" s="318" t="str">
        <f t="shared" si="2083"/>
        <v/>
      </c>
      <c r="R2209" s="318" t="str">
        <f t="shared" si="2084"/>
        <v/>
      </c>
      <c r="S2209" s="318" t="str">
        <f t="shared" si="8"/>
        <v/>
      </c>
    </row>
    <row r="2210">
      <c r="A2210" s="14" t="str">
        <f t="shared" si="1"/>
        <v>C119946130</v>
      </c>
      <c r="B2210" s="185" t="str">
        <f t="array" ref="B2210">IF(F2210="VL","",IF(F2210="Free","Free",XLOOKUP(D2210,Roster!T:T,Roster!S:S,"",0)))</f>
        <v>Free</v>
      </c>
      <c r="C2210" s="313">
        <v>46130.0</v>
      </c>
      <c r="D2210" s="314" t="s">
        <v>182</v>
      </c>
      <c r="E2210" s="307" t="str">
        <f t="array" ref="E2210">(XLOOKUP(D2210,Roster!F:F,Roster!B:B,"",0))</f>
        <v>Santiago Velasquez</v>
      </c>
      <c r="F2210" s="315" t="str">
        <f t="array" ref="F2210">IF(B2210=100,"Free",TEXT(XLOOKUP($D2210,OperationVoice!$A:$A,OperationVoice!X:X,XLOOKUP($D2210,OperationTickets!$A:$A,OperationTickets!X:X,"",0)),"hh:mm"))</f>
        <v>Free</v>
      </c>
      <c r="G2210" s="309" t="str">
        <f t="shared" si="3"/>
        <v>Free</v>
      </c>
      <c r="H2210" s="316" t="str">
        <f t="array" ref="H2210">XLOOKUP(B2210,Roster!L:L,Roster!N:N,XLOOKUP(D2210,TicketsBreak!A:A,TicketsBreak!E:E,"",0),0)</f>
        <v/>
      </c>
      <c r="I2210" s="316" t="str">
        <f t="array" ref="I2210">XLOOKUP(B2210,Roster!L:L,Roster!O:O,XLOOKUP(D2210,TicketsBreak!A:A,TicketsBreak!F:F,"",0),0)</f>
        <v/>
      </c>
      <c r="J2210" s="316" t="str">
        <f t="array" ref="J2210">XLOOKUP(B2210,Roster!L:L,Roster!P:P,XLOOKUP(D2210,TicketsBreak!A:A,TicketsBreak!G:G,"",0),0)</f>
        <v/>
      </c>
      <c r="K2210" s="310">
        <f t="shared" si="4"/>
        <v>46130</v>
      </c>
      <c r="L2210" s="317">
        <f t="array" ref="L2210">(XLOOKUP(D2210,Roster!F:F,Roster!D:D,"",0))</f>
        <v>25</v>
      </c>
      <c r="M2210" s="317" t="str">
        <f t="array" ref="M2210">XLOOKUP(D2210,Roster!F:F,Roster!E:E)</f>
        <v>Tickets</v>
      </c>
      <c r="N2210" s="317" t="str">
        <f t="shared" ref="N2210:P2210" si="2242">LEFT(H2210,5)</f>
        <v/>
      </c>
      <c r="O2210" s="317" t="str">
        <f t="shared" si="2242"/>
        <v/>
      </c>
      <c r="P2210" s="317" t="str">
        <f t="shared" si="2242"/>
        <v/>
      </c>
      <c r="Q2210" s="318" t="str">
        <f t="shared" si="2083"/>
        <v/>
      </c>
      <c r="R2210" s="318" t="str">
        <f t="shared" si="2084"/>
        <v/>
      </c>
      <c r="S2210" s="318" t="str">
        <f t="shared" si="8"/>
        <v/>
      </c>
    </row>
    <row r="2211">
      <c r="A2211" s="14" t="str">
        <f t="shared" si="1"/>
        <v>C90246130</v>
      </c>
      <c r="B2211" s="185" t="str">
        <f t="array" ref="B2211">IF(F2211="VL","",IF(F2211="Free","Free",XLOOKUP(D2211,Roster!T:T,Roster!S:S,"",0)))</f>
        <v/>
      </c>
      <c r="C2211" s="313">
        <v>46130.0</v>
      </c>
      <c r="D2211" s="314" t="s">
        <v>150</v>
      </c>
      <c r="E2211" s="307" t="str">
        <f t="array" ref="E2211">(XLOOKUP(D2211,Roster!F:F,Roster!B:B,"",0))</f>
        <v>Sebastiam Vallejo</v>
      </c>
      <c r="F2211" s="315" t="str">
        <f t="array" ref="F2211">IF(B2211=100,"Free",TEXT(XLOOKUP($D2211,OperationVoice!$A:$A,OperationVoice!X:X,XLOOKUP($D2211,OperationTickets!$A:$A,OperationTickets!X:X,"",0)),"hh:mm"))</f>
        <v>08:00</v>
      </c>
      <c r="G2211" s="309">
        <f t="shared" si="3"/>
        <v>0.7083333333</v>
      </c>
      <c r="H2211" s="316">
        <f t="array" ref="H2211">XLOOKUP(B2211,Roster!L:L,Roster!N:N,XLOOKUP(D2211,TicketsBreak!A:A,TicketsBreak!E:E,"",0),0)</f>
        <v>0.4375</v>
      </c>
      <c r="I2211" s="316">
        <f t="array" ref="I2211">XLOOKUP(B2211,Roster!L:L,Roster!O:O,XLOOKUP(D2211,TicketsBreak!A:A,TicketsBreak!F:F,"",0),0)</f>
        <v>0.6041666667</v>
      </c>
      <c r="J2211" s="316">
        <f t="array" ref="J2211">XLOOKUP(B2211,Roster!L:L,Roster!P:P,XLOOKUP(D2211,TicketsBreak!A:A,TicketsBreak!G:G,"",0),0)</f>
        <v>0.65625</v>
      </c>
      <c r="K2211" s="310">
        <f t="shared" si="4"/>
        <v>46130</v>
      </c>
      <c r="L2211" s="317">
        <f t="array" ref="L2211">(XLOOKUP(D2211,Roster!F:F,Roster!D:D,"",0))</f>
        <v>11</v>
      </c>
      <c r="M2211" s="317" t="str">
        <f t="array" ref="M2211">XLOOKUP(D2211,Roster!F:F,Roster!E:E)</f>
        <v>Tickets</v>
      </c>
      <c r="N2211" s="317" t="str">
        <f t="shared" ref="N2211:P2211" si="2243">LEFT(H2211,5)</f>
        <v>10:30</v>
      </c>
      <c r="O2211" s="317" t="str">
        <f t="shared" si="2243"/>
        <v>14:30</v>
      </c>
      <c r="P2211" s="317" t="str">
        <f t="shared" si="2243"/>
        <v>15:45</v>
      </c>
      <c r="Q2211" s="318">
        <f t="shared" si="2083"/>
        <v>46130.4375</v>
      </c>
      <c r="R2211" s="318">
        <f t="shared" si="2084"/>
        <v>46130.60417</v>
      </c>
      <c r="S2211" s="318">
        <f t="shared" si="8"/>
        <v>46130.65625</v>
      </c>
    </row>
    <row r="2212">
      <c r="A2212" s="14" t="str">
        <f t="shared" si="1"/>
        <v>C150646130</v>
      </c>
      <c r="B2212" s="185">
        <f t="array" ref="B2212">IF(F2212="VL","",IF(F2212="Free","Free",XLOOKUP(D2212,Roster!T:T,Roster!S:S,"",0)))</f>
        <v>153</v>
      </c>
      <c r="C2212" s="313">
        <v>46130.0</v>
      </c>
      <c r="D2212" s="314" t="s">
        <v>73</v>
      </c>
      <c r="E2212" s="307" t="str">
        <f t="array" ref="E2212">(XLOOKUP(D2212,Roster!F:F,Roster!B:B,"",0))</f>
        <v>Sebastian Agudelo Londono</v>
      </c>
      <c r="F2212" s="315" t="str">
        <f t="array" ref="F2212">IF(B2212=100,"Free",TEXT(XLOOKUP($D2212,OperationVoice!$A:$A,OperationVoice!X:X,XLOOKUP($D2212,OperationTickets!$A:$A,OperationTickets!X:X,"",0)),"hh:mm"))</f>
        <v>11:00</v>
      </c>
      <c r="G2212" s="309">
        <f t="shared" si="3"/>
        <v>0.8333333333</v>
      </c>
      <c r="H2212" s="316" t="str">
        <f t="array" ref="H2212">XLOOKUP(B2212,Roster!L:L,Roster!N:N,XLOOKUP(D2212,TicketsBreak!A:A,TicketsBreak!E:E,"",0),0)</f>
        <v>12:45 - 13:00</v>
      </c>
      <c r="I2212" s="316" t="str">
        <f t="array" ref="I2212">XLOOKUP(B2212,Roster!L:L,Roster!O:O,XLOOKUP(D2212,TicketsBreak!A:A,TicketsBreak!F:F,"",0),0)</f>
        <v>15:00 - 15:30</v>
      </c>
      <c r="J2212" s="316" t="str">
        <f t="array" ref="J2212">XLOOKUP(B2212,Roster!L:L,Roster!P:P,XLOOKUP(D2212,TicketsBreak!A:A,TicketsBreak!G:G,"",0),0)</f>
        <v>17:45 - 18:00</v>
      </c>
      <c r="K2212" s="310">
        <f t="shared" si="4"/>
        <v>46130</v>
      </c>
      <c r="L2212" s="317">
        <f t="array" ref="L2212">(XLOOKUP(D2212,Roster!F:F,Roster!D:D,"",0))</f>
        <v>35</v>
      </c>
      <c r="M2212" s="317" t="str">
        <f t="array" ref="M2212">XLOOKUP(D2212,Roster!F:F,Roster!E:E)</f>
        <v>Voice</v>
      </c>
      <c r="N2212" s="317" t="str">
        <f t="shared" ref="N2212:P2212" si="2244">LEFT(H2212,5)</f>
        <v>12:45</v>
      </c>
      <c r="O2212" s="317" t="str">
        <f t="shared" si="2244"/>
        <v>15:00</v>
      </c>
      <c r="P2212" s="317" t="str">
        <f t="shared" si="2244"/>
        <v>17:45</v>
      </c>
      <c r="Q2212" s="318">
        <f t="shared" si="2083"/>
        <v>46130.53125</v>
      </c>
      <c r="R2212" s="318">
        <f t="shared" si="2084"/>
        <v>46130.625</v>
      </c>
      <c r="S2212" s="318">
        <f t="shared" si="8"/>
        <v>46130.73958</v>
      </c>
    </row>
    <row r="2213">
      <c r="A2213" s="14" t="str">
        <f t="shared" si="1"/>
        <v>C119046130</v>
      </c>
      <c r="B2213" s="185" t="str">
        <f t="array" ref="B2213">IF(F2213="VL","",IF(F2213="Free","Free",XLOOKUP(D2213,Roster!T:T,Roster!S:S,"",0)))</f>
        <v>Free</v>
      </c>
      <c r="C2213" s="313">
        <v>46130.0</v>
      </c>
      <c r="D2213" s="314" t="s">
        <v>183</v>
      </c>
      <c r="E2213" s="307" t="str">
        <f t="array" ref="E2213">(XLOOKUP(D2213,Roster!F:F,Roster!B:B,"",0))</f>
        <v>Sebastian Herrera</v>
      </c>
      <c r="F2213" s="315" t="str">
        <f t="array" ref="F2213">IF(B2213=100,"Free",TEXT(XLOOKUP($D2213,OperationVoice!$A:$A,OperationVoice!X:X,XLOOKUP($D2213,OperationTickets!$A:$A,OperationTickets!X:X,"",0)),"hh:mm"))</f>
        <v>Free</v>
      </c>
      <c r="G2213" s="309" t="str">
        <f t="shared" si="3"/>
        <v>Free</v>
      </c>
      <c r="H2213" s="316">
        <f t="array" ref="H2213">XLOOKUP(B2213,Roster!L:L,Roster!N:N,XLOOKUP(D2213,TicketsBreak!A:A,TicketsBreak!E:E,"",0),0)</f>
        <v>0.40625</v>
      </c>
      <c r="I2213" s="316">
        <f t="array" ref="I2213">XLOOKUP(B2213,Roster!L:L,Roster!O:O,XLOOKUP(D2213,TicketsBreak!A:A,TicketsBreak!F:F,"",0),0)</f>
        <v>0.5416666667</v>
      </c>
      <c r="J2213" s="316">
        <f t="array" ref="J2213">XLOOKUP(B2213,Roster!L:L,Roster!P:P,XLOOKUP(D2213,TicketsBreak!A:A,TicketsBreak!G:G,"",0),0)</f>
        <v>0.625</v>
      </c>
      <c r="K2213" s="310">
        <f t="shared" si="4"/>
        <v>46130</v>
      </c>
      <c r="L2213" s="317">
        <f t="array" ref="L2213">(XLOOKUP(D2213,Roster!F:F,Roster!D:D,"",0))</f>
        <v>25</v>
      </c>
      <c r="M2213" s="317" t="str">
        <f t="array" ref="M2213">XLOOKUP(D2213,Roster!F:F,Roster!E:E)</f>
        <v>Tickets</v>
      </c>
      <c r="N2213" s="317" t="str">
        <f t="shared" ref="N2213:P2213" si="2245">LEFT(H2213,5)</f>
        <v>09:45</v>
      </c>
      <c r="O2213" s="317" t="str">
        <f t="shared" si="2245"/>
        <v>13:00</v>
      </c>
      <c r="P2213" s="317" t="str">
        <f t="shared" si="2245"/>
        <v>15:00</v>
      </c>
      <c r="Q2213" s="318">
        <f t="shared" si="2083"/>
        <v>46130.40625</v>
      </c>
      <c r="R2213" s="318">
        <f t="shared" si="2084"/>
        <v>46130.54167</v>
      </c>
      <c r="S2213" s="318">
        <f t="shared" si="8"/>
        <v>46130.625</v>
      </c>
    </row>
    <row r="2214">
      <c r="A2214" s="14" t="str">
        <f t="shared" si="1"/>
        <v>C71046130</v>
      </c>
      <c r="B2214" s="185" t="str">
        <f t="array" ref="B2214">IF(F2214="VL","",IF(F2214="Free","Free",XLOOKUP(D2214,Roster!T:T,Roster!S:S,"",0)))</f>
        <v>Free</v>
      </c>
      <c r="C2214" s="313">
        <v>46130.0</v>
      </c>
      <c r="D2214" s="314" t="s">
        <v>184</v>
      </c>
      <c r="E2214" s="307" t="str">
        <f t="array" ref="E2214">(XLOOKUP(D2214,Roster!F:F,Roster!B:B,"",0))</f>
        <v>Sebastian Martinez</v>
      </c>
      <c r="F2214" s="315" t="str">
        <f t="array" ref="F2214">IF(B2214=100,"Free",TEXT(XLOOKUP($D2214,OperationVoice!$A:$A,OperationVoice!X:X,XLOOKUP($D2214,OperationTickets!$A:$A,OperationTickets!X:X,"",0)),"hh:mm"))</f>
        <v>Free</v>
      </c>
      <c r="G2214" s="309" t="str">
        <f t="shared" si="3"/>
        <v>Free</v>
      </c>
      <c r="H2214" s="316">
        <f t="array" ref="H2214">XLOOKUP(B2214,Roster!L:L,Roster!N:N,XLOOKUP(D2214,TicketsBreak!A:A,TicketsBreak!E:E,"",0),0)</f>
        <v>0.40625</v>
      </c>
      <c r="I2214" s="316">
        <f t="array" ref="I2214">XLOOKUP(B2214,Roster!L:L,Roster!O:O,XLOOKUP(D2214,TicketsBreak!A:A,TicketsBreak!F:F,"",0),0)</f>
        <v>0.5625</v>
      </c>
      <c r="J2214" s="316">
        <f t="array" ref="J2214">XLOOKUP(B2214,Roster!L:L,Roster!P:P,XLOOKUP(D2214,TicketsBreak!A:A,TicketsBreak!G:G,"",0),0)</f>
        <v>0.65625</v>
      </c>
      <c r="K2214" s="310">
        <f t="shared" si="4"/>
        <v>46130</v>
      </c>
      <c r="L2214" s="317">
        <f t="array" ref="L2214">(XLOOKUP(D2214,Roster!F:F,Roster!D:D,"",0))</f>
        <v>6</v>
      </c>
      <c r="M2214" s="317" t="str">
        <f t="array" ref="M2214">XLOOKUP(D2214,Roster!F:F,Roster!E:E)</f>
        <v>Tickets</v>
      </c>
      <c r="N2214" s="317" t="str">
        <f t="shared" ref="N2214:P2214" si="2246">LEFT(H2214,5)</f>
        <v>09:45</v>
      </c>
      <c r="O2214" s="317" t="str">
        <f t="shared" si="2246"/>
        <v>13:30</v>
      </c>
      <c r="P2214" s="317" t="str">
        <f t="shared" si="2246"/>
        <v>15:45</v>
      </c>
      <c r="Q2214" s="318">
        <f t="shared" si="2083"/>
        <v>46130.40625</v>
      </c>
      <c r="R2214" s="318">
        <f t="shared" si="2084"/>
        <v>46130.5625</v>
      </c>
      <c r="S2214" s="318">
        <f t="shared" si="8"/>
        <v>46130.65625</v>
      </c>
    </row>
    <row r="2215">
      <c r="A2215" s="14" t="str">
        <f t="shared" si="1"/>
        <v>C72346130</v>
      </c>
      <c r="B2215" s="185" t="str">
        <f t="array" ref="B2215">IF(F2215="VL","",IF(F2215="Free","Free",XLOOKUP(D2215,Roster!T:T,Roster!S:S,"",0)))</f>
        <v/>
      </c>
      <c r="C2215" s="313">
        <v>46130.0</v>
      </c>
      <c r="D2215" s="314" t="s">
        <v>169</v>
      </c>
      <c r="E2215" s="307" t="str">
        <f t="array" ref="E2215">(XLOOKUP(D2215,Roster!F:F,Roster!B:B,"",0))</f>
        <v>Sebastian Parra</v>
      </c>
      <c r="F2215" s="315" t="str">
        <f t="array" ref="F2215">IF(B2215=100,"Free",TEXT(XLOOKUP($D2215,OperationVoice!$A:$A,OperationVoice!X:X,XLOOKUP($D2215,OperationTickets!$A:$A,OperationTickets!X:X,"",0)),"hh:mm"))</f>
        <v>08:00</v>
      </c>
      <c r="G2215" s="309">
        <f t="shared" si="3"/>
        <v>0.7083333333</v>
      </c>
      <c r="H2215" s="316">
        <f t="array" ref="H2215">XLOOKUP(B2215,Roster!L:L,Roster!N:N,XLOOKUP(D2215,TicketsBreak!A:A,TicketsBreak!E:E,"",0),0)</f>
        <v>0.4166666667</v>
      </c>
      <c r="I2215" s="316">
        <f t="array" ref="I2215">XLOOKUP(B2215,Roster!L:L,Roster!O:O,XLOOKUP(D2215,TicketsBreak!A:A,TicketsBreak!F:F,"",0),0)</f>
        <v>0.5347222222</v>
      </c>
      <c r="J2215" s="316">
        <f t="array" ref="J2215">XLOOKUP(B2215,Roster!L:L,Roster!P:P,XLOOKUP(D2215,TicketsBreak!A:A,TicketsBreak!G:G,"",0),0)</f>
        <v>0.65625</v>
      </c>
      <c r="K2215" s="310">
        <f t="shared" si="4"/>
        <v>46130</v>
      </c>
      <c r="L2215" s="317">
        <f t="array" ref="L2215">(XLOOKUP(D2215,Roster!F:F,Roster!D:D,"",0))</f>
        <v>7</v>
      </c>
      <c r="M2215" s="317" t="str">
        <f t="array" ref="M2215">XLOOKUP(D2215,Roster!F:F,Roster!E:E)</f>
        <v>Tickets</v>
      </c>
      <c r="N2215" s="317" t="str">
        <f t="shared" ref="N2215:P2215" si="2247">LEFT(H2215,5)</f>
        <v>10:00</v>
      </c>
      <c r="O2215" s="317" t="str">
        <f t="shared" si="2247"/>
        <v>12:50</v>
      </c>
      <c r="P2215" s="317" t="str">
        <f t="shared" si="2247"/>
        <v>15:45</v>
      </c>
      <c r="Q2215" s="318">
        <f t="shared" si="2083"/>
        <v>46130.41667</v>
      </c>
      <c r="R2215" s="318">
        <f t="shared" si="2084"/>
        <v>46130.53472</v>
      </c>
      <c r="S2215" s="318">
        <f t="shared" si="8"/>
        <v>46130.65625</v>
      </c>
    </row>
    <row r="2216">
      <c r="A2216" s="14" t="str">
        <f t="shared" si="1"/>
        <v>C137646130</v>
      </c>
      <c r="B2216" s="185" t="str">
        <f t="array" ref="B2216">IF(F2216="VL","",IF(F2216="Free","Free",XLOOKUP(D2216,Roster!T:T,Roster!S:S,"",0)))</f>
        <v/>
      </c>
      <c r="C2216" s="313">
        <v>46130.0</v>
      </c>
      <c r="D2216" s="314" t="s">
        <v>151</v>
      </c>
      <c r="E2216" s="307" t="str">
        <f t="array" ref="E2216">(XLOOKUP(D2216,Roster!F:F,Roster!B:B,"",0))</f>
        <v>Sebastian Quiroz</v>
      </c>
      <c r="F2216" s="315" t="str">
        <f t="array" ref="F2216">IF(B2216=100,"Free",TEXT(XLOOKUP($D2216,OperationVoice!$A:$A,OperationVoice!X:X,XLOOKUP($D2216,OperationTickets!$A:$A,OperationTickets!X:X,"",0)),"hh:mm"))</f>
        <v>08:00</v>
      </c>
      <c r="G2216" s="309">
        <f t="shared" si="3"/>
        <v>0.7083333333</v>
      </c>
      <c r="H2216" s="316" t="str">
        <f t="array" ref="H2216">XLOOKUP(B2216,Roster!L:L,Roster!N:N,XLOOKUP(D2216,TicketsBreak!A:A,TicketsBreak!E:E,"",0),0)</f>
        <v/>
      </c>
      <c r="I2216" s="316" t="str">
        <f t="array" ref="I2216">XLOOKUP(B2216,Roster!L:L,Roster!O:O,XLOOKUP(D2216,TicketsBreak!A:A,TicketsBreak!F:F,"",0),0)</f>
        <v/>
      </c>
      <c r="J2216" s="316" t="str">
        <f t="array" ref="J2216">XLOOKUP(B2216,Roster!L:L,Roster!P:P,XLOOKUP(D2216,TicketsBreak!A:A,TicketsBreak!G:G,"",0),0)</f>
        <v/>
      </c>
      <c r="K2216" s="310">
        <f t="shared" si="4"/>
        <v>46130</v>
      </c>
      <c r="L2216" s="317">
        <f t="array" ref="L2216">(XLOOKUP(D2216,Roster!F:F,Roster!D:D,"",0))</f>
        <v>31</v>
      </c>
      <c r="M2216" s="317" t="str">
        <f t="array" ref="M2216">XLOOKUP(D2216,Roster!F:F,Roster!E:E)</f>
        <v>Tickets</v>
      </c>
      <c r="N2216" s="317" t="str">
        <f t="shared" ref="N2216:P2216" si="2248">LEFT(H2216,5)</f>
        <v/>
      </c>
      <c r="O2216" s="317" t="str">
        <f t="shared" si="2248"/>
        <v/>
      </c>
      <c r="P2216" s="317" t="str">
        <f t="shared" si="2248"/>
        <v/>
      </c>
      <c r="Q2216" s="318" t="str">
        <f t="shared" si="2083"/>
        <v/>
      </c>
      <c r="R2216" s="318" t="str">
        <f t="shared" si="2084"/>
        <v/>
      </c>
      <c r="S2216" s="318" t="str">
        <f t="shared" si="8"/>
        <v/>
      </c>
    </row>
    <row r="2217">
      <c r="A2217" s="14" t="str">
        <f t="shared" si="1"/>
        <v>C72646130</v>
      </c>
      <c r="B2217" s="185" t="str">
        <f t="array" ref="B2217">IF(F2217="VL","",IF(F2217="Free","Free",XLOOKUP(D2217,Roster!T:T,Roster!S:S,"",0)))</f>
        <v>Free</v>
      </c>
      <c r="C2217" s="313">
        <v>46130.0</v>
      </c>
      <c r="D2217" s="314" t="s">
        <v>185</v>
      </c>
      <c r="E2217" s="307" t="str">
        <f t="array" ref="E2217">(XLOOKUP(D2217,Roster!F:F,Roster!B:B,"",0))</f>
        <v>Sebastian Rodriguez</v>
      </c>
      <c r="F2217" s="315" t="str">
        <f t="array" ref="F2217">IF(B2217=100,"Free",TEXT(XLOOKUP($D2217,OperationVoice!$A:$A,OperationVoice!X:X,XLOOKUP($D2217,OperationTickets!$A:$A,OperationTickets!X:X,"",0)),"hh:mm"))</f>
        <v>Free</v>
      </c>
      <c r="G2217" s="309" t="str">
        <f t="shared" si="3"/>
        <v>Free</v>
      </c>
      <c r="H2217" s="316">
        <f t="array" ref="H2217">XLOOKUP(B2217,Roster!L:L,Roster!N:N,XLOOKUP(D2217,TicketsBreak!A:A,TicketsBreak!E:E,"",0),0)</f>
        <v>0.4166666667</v>
      </c>
      <c r="I2217" s="316">
        <f t="array" ref="I2217">XLOOKUP(B2217,Roster!L:L,Roster!O:O,XLOOKUP(D2217,TicketsBreak!A:A,TicketsBreak!F:F,"",0),0)</f>
        <v>0.5625</v>
      </c>
      <c r="J2217" s="316">
        <f t="array" ref="J2217">XLOOKUP(B2217,Roster!L:L,Roster!P:P,XLOOKUP(D2217,TicketsBreak!A:A,TicketsBreak!G:G,"",0),0)</f>
        <v>0.6458333333</v>
      </c>
      <c r="K2217" s="310">
        <f t="shared" si="4"/>
        <v>46130</v>
      </c>
      <c r="L2217" s="317">
        <f t="array" ref="L2217">(XLOOKUP(D2217,Roster!F:F,Roster!D:D,"",0))</f>
        <v>7</v>
      </c>
      <c r="M2217" s="317" t="str">
        <f t="array" ref="M2217">XLOOKUP(D2217,Roster!F:F,Roster!E:E)</f>
        <v>Tickets</v>
      </c>
      <c r="N2217" s="317" t="str">
        <f t="shared" ref="N2217:P2217" si="2249">LEFT(H2217,5)</f>
        <v>10:00</v>
      </c>
      <c r="O2217" s="317" t="str">
        <f t="shared" si="2249"/>
        <v>13:30</v>
      </c>
      <c r="P2217" s="317" t="str">
        <f t="shared" si="2249"/>
        <v>15:30</v>
      </c>
      <c r="Q2217" s="318">
        <f t="shared" si="2083"/>
        <v>46130.41667</v>
      </c>
      <c r="R2217" s="318">
        <f t="shared" si="2084"/>
        <v>46130.5625</v>
      </c>
      <c r="S2217" s="318">
        <f t="shared" si="8"/>
        <v>46130.64583</v>
      </c>
    </row>
    <row r="2218">
      <c r="A2218" s="14" t="str">
        <f t="shared" si="1"/>
        <v>C60246130</v>
      </c>
      <c r="B2218" s="185" t="str">
        <f t="array" ref="B2218">IF(F2218="VL","",IF(F2218="Free","Free",XLOOKUP(D2218,Roster!T:T,Roster!S:S,"",0)))</f>
        <v/>
      </c>
      <c r="C2218" s="313">
        <v>46130.0</v>
      </c>
      <c r="D2218" s="314" t="s">
        <v>170</v>
      </c>
      <c r="E2218" s="307" t="str">
        <f t="array" ref="E2218">(XLOOKUP(D2218,Roster!F:F,Roster!B:B,"",0))</f>
        <v>Sebastian Torres</v>
      </c>
      <c r="F2218" s="315" t="str">
        <f t="array" ref="F2218">IF(B2218=100,"Free",TEXT(XLOOKUP($D2218,OperationVoice!$A:$A,OperationVoice!X:X,XLOOKUP($D2218,OperationTickets!$A:$A,OperationTickets!X:X,"",0)),"hh:mm"))</f>
        <v>08:00</v>
      </c>
      <c r="G2218" s="309">
        <f t="shared" si="3"/>
        <v>0.7083333333</v>
      </c>
      <c r="H2218" s="316">
        <f t="array" ref="H2218">XLOOKUP(B2218,Roster!L:L,Roster!N:N,XLOOKUP(D2218,TicketsBreak!A:A,TicketsBreak!E:E,"",0),0)</f>
        <v>0.4583333333</v>
      </c>
      <c r="I2218" s="316">
        <f t="array" ref="I2218">XLOOKUP(B2218,Roster!L:L,Roster!O:O,XLOOKUP(D2218,TicketsBreak!A:A,TicketsBreak!F:F,"",0),0)</f>
        <v>0.5833333333</v>
      </c>
      <c r="J2218" s="316">
        <f t="array" ref="J2218">XLOOKUP(B2218,Roster!L:L,Roster!P:P,XLOOKUP(D2218,TicketsBreak!A:A,TicketsBreak!G:G,"",0),0)</f>
        <v>0.65625</v>
      </c>
      <c r="K2218" s="310">
        <f t="shared" si="4"/>
        <v>46130</v>
      </c>
      <c r="L2218" s="317">
        <f t="array" ref="L2218">(XLOOKUP(D2218,Roster!F:F,Roster!D:D,"",0))</f>
        <v>8</v>
      </c>
      <c r="M2218" s="317" t="str">
        <f t="array" ref="M2218">XLOOKUP(D2218,Roster!F:F,Roster!E:E)</f>
        <v>Tickets</v>
      </c>
      <c r="N2218" s="317" t="str">
        <f t="shared" ref="N2218:P2218" si="2250">LEFT(H2218,5)</f>
        <v>11:00</v>
      </c>
      <c r="O2218" s="317" t="str">
        <f t="shared" si="2250"/>
        <v>14:00</v>
      </c>
      <c r="P2218" s="317" t="str">
        <f t="shared" si="2250"/>
        <v>15:45</v>
      </c>
      <c r="Q2218" s="318">
        <f t="shared" si="2083"/>
        <v>46130.45833</v>
      </c>
      <c r="R2218" s="318">
        <f t="shared" si="2084"/>
        <v>46130.58333</v>
      </c>
      <c r="S2218" s="318">
        <f t="shared" si="8"/>
        <v>46130.65625</v>
      </c>
    </row>
    <row r="2219">
      <c r="A2219" s="14" t="str">
        <f t="shared" si="1"/>
        <v>C143146130</v>
      </c>
      <c r="B2219" s="185">
        <f t="array" ref="B2219">IF(F2219="VL","",IF(F2219="Free","Free",XLOOKUP(D2219,Roster!T:T,Roster!S:S,"",0)))</f>
        <v>151</v>
      </c>
      <c r="C2219" s="313">
        <v>46130.0</v>
      </c>
      <c r="D2219" s="314" t="s">
        <v>74</v>
      </c>
      <c r="E2219" s="307" t="str">
        <f t="array" ref="E2219">(XLOOKUP(D2219,Roster!F:F,Roster!B:B,"",0))</f>
        <v>Sebastian Torres Gomez</v>
      </c>
      <c r="F2219" s="315" t="str">
        <f t="array" ref="F2219">IF(B2219=100,"Free",TEXT(XLOOKUP($D2219,OperationVoice!$A:$A,OperationVoice!X:X,XLOOKUP($D2219,OperationTickets!$A:$A,OperationTickets!X:X,"",0)),"hh:mm"))</f>
        <v>11:00</v>
      </c>
      <c r="G2219" s="309">
        <f t="shared" si="3"/>
        <v>0.8333333333</v>
      </c>
      <c r="H2219" s="316" t="str">
        <f t="array" ref="H2219">XLOOKUP(B2219,Roster!L:L,Roster!N:N,XLOOKUP(D2219,TicketsBreak!A:A,TicketsBreak!E:E,"",0),0)</f>
        <v>12:15 - 12:30</v>
      </c>
      <c r="I2219" s="316" t="str">
        <f t="array" ref="I2219">XLOOKUP(B2219,Roster!L:L,Roster!O:O,XLOOKUP(D2219,TicketsBreak!A:A,TicketsBreak!F:F,"",0),0)</f>
        <v>14:00 - 14:30</v>
      </c>
      <c r="J2219" s="316" t="str">
        <f t="array" ref="J2219">XLOOKUP(B2219,Roster!L:L,Roster!P:P,XLOOKUP(D2219,TicketsBreak!A:A,TicketsBreak!G:G,"",0),0)</f>
        <v>17:15 - 17:30</v>
      </c>
      <c r="K2219" s="310">
        <f t="shared" si="4"/>
        <v>46130</v>
      </c>
      <c r="L2219" s="317">
        <f t="array" ref="L2219">(XLOOKUP(D2219,Roster!F:F,Roster!D:D,"",0))</f>
        <v>32</v>
      </c>
      <c r="M2219" s="317" t="str">
        <f t="array" ref="M2219">XLOOKUP(D2219,Roster!F:F,Roster!E:E)</f>
        <v>Voice</v>
      </c>
      <c r="N2219" s="317" t="str">
        <f t="shared" ref="N2219:P2219" si="2251">LEFT(H2219,5)</f>
        <v>12:15</v>
      </c>
      <c r="O2219" s="317" t="str">
        <f t="shared" si="2251"/>
        <v>14:00</v>
      </c>
      <c r="P2219" s="317" t="str">
        <f t="shared" si="2251"/>
        <v>17:15</v>
      </c>
      <c r="Q2219" s="318">
        <f t="shared" si="2083"/>
        <v>46130.51042</v>
      </c>
      <c r="R2219" s="318">
        <f t="shared" si="2084"/>
        <v>46130.58333</v>
      </c>
      <c r="S2219" s="318">
        <f t="shared" si="8"/>
        <v>46130.71875</v>
      </c>
    </row>
    <row r="2220">
      <c r="A2220" s="14" t="str">
        <f t="shared" si="1"/>
        <v>C149146130</v>
      </c>
      <c r="B2220" s="185" t="str">
        <f t="array" ref="B2220">IF(F2220="VL","",IF(F2220="Free","Free",XLOOKUP(D2220,Roster!T:T,Roster!S:S,"",0)))</f>
        <v/>
      </c>
      <c r="C2220" s="313">
        <v>46130.0</v>
      </c>
      <c r="D2220" s="314" t="s">
        <v>315</v>
      </c>
      <c r="E2220" s="307" t="str">
        <f t="array" ref="E2220">(XLOOKUP(D2220,Roster!F:F,Roster!B:B,"",0))</f>
        <v>Sebastian Vanegas</v>
      </c>
      <c r="F2220" s="315" t="str">
        <f t="array" ref="F2220">IF(B2220=100,"Free",TEXT(XLOOKUP($D2220,OperationVoice!$A:$A,OperationVoice!X:X,XLOOKUP($D2220,OperationTickets!$A:$A,OperationTickets!X:X,"",0)),"hh:mm"))</f>
        <v/>
      </c>
      <c r="G2220" s="309" t="str">
        <f t="shared" si="3"/>
        <v/>
      </c>
      <c r="H2220" s="316" t="str">
        <f t="array" ref="H2220">XLOOKUP(B2220,Roster!L:L,Roster!N:N,XLOOKUP(D2220,TicketsBreak!A:A,TicketsBreak!E:E,"",0),0)</f>
        <v/>
      </c>
      <c r="I2220" s="316" t="str">
        <f t="array" ref="I2220">XLOOKUP(B2220,Roster!L:L,Roster!O:O,XLOOKUP(D2220,TicketsBreak!A:A,TicketsBreak!F:F,"",0),0)</f>
        <v/>
      </c>
      <c r="J2220" s="316" t="str">
        <f t="array" ref="J2220">XLOOKUP(B2220,Roster!L:L,Roster!P:P,XLOOKUP(D2220,TicketsBreak!A:A,TicketsBreak!G:G,"",0),0)</f>
        <v/>
      </c>
      <c r="K2220" s="310">
        <f t="shared" si="4"/>
        <v>46130</v>
      </c>
      <c r="L2220" s="317">
        <f t="array" ref="L2220">(XLOOKUP(D2220,Roster!F:F,Roster!D:D,"",0))</f>
        <v>34</v>
      </c>
      <c r="M2220" s="317" t="str">
        <f t="array" ref="M2220">XLOOKUP(D2220,Roster!F:F,Roster!E:E)</f>
        <v>Voice</v>
      </c>
      <c r="N2220" s="317" t="str">
        <f t="shared" ref="N2220:P2220" si="2252">LEFT(H2220,5)</f>
        <v/>
      </c>
      <c r="O2220" s="317" t="str">
        <f t="shared" si="2252"/>
        <v/>
      </c>
      <c r="P2220" s="317" t="str">
        <f t="shared" si="2252"/>
        <v/>
      </c>
      <c r="Q2220" s="318" t="str">
        <f t="shared" si="2083"/>
        <v/>
      </c>
      <c r="R2220" s="318" t="str">
        <f t="shared" si="2084"/>
        <v/>
      </c>
      <c r="S2220" s="318" t="str">
        <f t="shared" si="8"/>
        <v/>
      </c>
    </row>
    <row r="2221">
      <c r="A2221" s="14" t="str">
        <f t="shared" si="1"/>
        <v>C93746130</v>
      </c>
      <c r="B2221" s="185" t="str">
        <f t="array" ref="B2221">IF(F2221="VL","",IF(F2221="Free","Free",XLOOKUP(D2221,Roster!T:T,Roster!S:S,"",0)))</f>
        <v>Free</v>
      </c>
      <c r="C2221" s="313">
        <v>46130.0</v>
      </c>
      <c r="D2221" s="314" t="s">
        <v>75</v>
      </c>
      <c r="E2221" s="307" t="str">
        <f t="array" ref="E2221">(XLOOKUP(D2221,Roster!F:F,Roster!B:B,"",0))</f>
        <v>Sebastian Zapata</v>
      </c>
      <c r="F2221" s="315" t="str">
        <f t="array" ref="F2221">IF(B2221=100,"Free",TEXT(XLOOKUP($D2221,OperationVoice!$A:$A,OperationVoice!X:X,XLOOKUP($D2221,OperationTickets!$A:$A,OperationTickets!X:X,"",0)),"hh:mm"))</f>
        <v>Free</v>
      </c>
      <c r="G2221" s="309" t="str">
        <f t="shared" si="3"/>
        <v>Free</v>
      </c>
      <c r="H2221" s="316" t="str">
        <f t="array" ref="H2221">XLOOKUP(B2221,Roster!L:L,Roster!N:N,XLOOKUP(D2221,TicketsBreak!A:A,TicketsBreak!E:E,"",0),0)</f>
        <v/>
      </c>
      <c r="I2221" s="316" t="str">
        <f t="array" ref="I2221">XLOOKUP(B2221,Roster!L:L,Roster!O:O,XLOOKUP(D2221,TicketsBreak!A:A,TicketsBreak!F:F,"",0),0)</f>
        <v/>
      </c>
      <c r="J2221" s="316" t="str">
        <f t="array" ref="J2221">XLOOKUP(B2221,Roster!L:L,Roster!P:P,XLOOKUP(D2221,TicketsBreak!A:A,TicketsBreak!G:G,"",0),0)</f>
        <v/>
      </c>
      <c r="K2221" s="310">
        <f t="shared" si="4"/>
        <v>46130</v>
      </c>
      <c r="L2221" s="317">
        <f t="array" ref="L2221">(XLOOKUP(D2221,Roster!F:F,Roster!D:D,"",0))</f>
        <v>12</v>
      </c>
      <c r="M2221" s="317" t="str">
        <f t="array" ref="M2221">XLOOKUP(D2221,Roster!F:F,Roster!E:E)</f>
        <v>Voice</v>
      </c>
      <c r="N2221" s="317" t="str">
        <f t="shared" ref="N2221:P2221" si="2253">LEFT(H2221,5)</f>
        <v/>
      </c>
      <c r="O2221" s="317" t="str">
        <f t="shared" si="2253"/>
        <v/>
      </c>
      <c r="P2221" s="317" t="str">
        <f t="shared" si="2253"/>
        <v/>
      </c>
      <c r="Q2221" s="318" t="str">
        <f t="shared" si="2083"/>
        <v/>
      </c>
      <c r="R2221" s="318" t="str">
        <f t="shared" si="2084"/>
        <v/>
      </c>
      <c r="S2221" s="318" t="str">
        <f t="shared" si="8"/>
        <v/>
      </c>
    </row>
    <row r="2222">
      <c r="A2222" s="14" t="str">
        <f t="shared" si="1"/>
        <v>C156546130</v>
      </c>
      <c r="B2222" s="185">
        <f t="array" ref="B2222">IF(F2222="VL","",IF(F2222="Free","Free",XLOOKUP(D2222,Roster!T:T,Roster!S:S,"",0)))</f>
        <v>122</v>
      </c>
      <c r="C2222" s="313">
        <v>46130.0</v>
      </c>
      <c r="D2222" s="314" t="s">
        <v>76</v>
      </c>
      <c r="E2222" s="307" t="str">
        <f t="array" ref="E2222">(XLOOKUP(D2222,Roster!F:F,Roster!B:B,"",0))</f>
        <v>Sergio Rojas</v>
      </c>
      <c r="F2222" s="315" t="str">
        <f t="array" ref="F2222">IF(B2222=100,"Free",TEXT(XLOOKUP($D2222,OperationVoice!$A:$A,OperationVoice!X:X,XLOOKUP($D2222,OperationTickets!$A:$A,OperationTickets!X:X,"",0)),"hh:mm"))</f>
        <v>11:00</v>
      </c>
      <c r="G2222" s="309">
        <f t="shared" si="3"/>
        <v>0.8333333333</v>
      </c>
      <c r="H2222" s="316" t="str">
        <f t="array" ref="H2222">XLOOKUP(B2222,Roster!L:L,Roster!N:N,XLOOKUP(D2222,TicketsBreak!A:A,TicketsBreak!E:E,"",0),0)</f>
        <v>09:30 - 09:45</v>
      </c>
      <c r="I2222" s="316" t="str">
        <f t="array" ref="I2222">XLOOKUP(B2222,Roster!L:L,Roster!O:O,XLOOKUP(D2222,TicketsBreak!A:A,TicketsBreak!F:F,"",0),0)</f>
        <v>12:00 - 12:30</v>
      </c>
      <c r="J2222" s="316" t="str">
        <f t="array" ref="J2222">XLOOKUP(B2222,Roster!L:L,Roster!P:P,XLOOKUP(D2222,TicketsBreak!A:A,TicketsBreak!G:G,"",0),0)</f>
        <v>14:45 - 15:00</v>
      </c>
      <c r="K2222" s="310">
        <f t="shared" si="4"/>
        <v>46130</v>
      </c>
      <c r="L2222" s="317">
        <f t="array" ref="L2222">(XLOOKUP(D2222,Roster!F:F,Roster!D:D,"",0))</f>
        <v>38</v>
      </c>
      <c r="M2222" s="317" t="str">
        <f t="array" ref="M2222">XLOOKUP(D2222,Roster!F:F,Roster!E:E)</f>
        <v>Voice</v>
      </c>
      <c r="N2222" s="317" t="str">
        <f t="shared" ref="N2222:P2222" si="2254">LEFT(H2222,5)</f>
        <v>09:30</v>
      </c>
      <c r="O2222" s="317" t="str">
        <f t="shared" si="2254"/>
        <v>12:00</v>
      </c>
      <c r="P2222" s="317" t="str">
        <f t="shared" si="2254"/>
        <v>14:45</v>
      </c>
      <c r="Q2222" s="318">
        <f t="shared" si="2083"/>
        <v>46130.39583</v>
      </c>
      <c r="R2222" s="318">
        <f t="shared" si="2084"/>
        <v>46130.5</v>
      </c>
      <c r="S2222" s="318">
        <f t="shared" si="8"/>
        <v>46130.61458</v>
      </c>
    </row>
    <row r="2223">
      <c r="A2223" s="14" t="str">
        <f t="shared" si="1"/>
        <v>C147846130</v>
      </c>
      <c r="B2223" s="185" t="str">
        <f t="array" ref="B2223">IF(F2223="VL","",IF(F2223="Free","Free",XLOOKUP(D2223,Roster!T:T,Roster!S:S,"",0)))</f>
        <v/>
      </c>
      <c r="C2223" s="313">
        <v>46130.0</v>
      </c>
      <c r="D2223" s="314" t="s">
        <v>186</v>
      </c>
      <c r="E2223" s="307" t="str">
        <f t="array" ref="E2223">(XLOOKUP(D2223,Roster!F:F,Roster!B:B,"",0))</f>
        <v>Simon Atehortua</v>
      </c>
      <c r="F2223" s="315" t="str">
        <f t="array" ref="F2223">IF(B2223=100,"Free",TEXT(XLOOKUP($D2223,OperationVoice!$A:$A,OperationVoice!X:X,XLOOKUP($D2223,OperationTickets!$A:$A,OperationTickets!X:X,"",0)),"hh:mm"))</f>
        <v>07:00</v>
      </c>
      <c r="G2223" s="309">
        <f t="shared" si="3"/>
        <v>0.6666666667</v>
      </c>
      <c r="H2223" s="316" t="str">
        <f t="array" ref="H2223">XLOOKUP(B2223,Roster!L:L,Roster!N:N,XLOOKUP(D2223,TicketsBreak!A:A,TicketsBreak!E:E,"",0),0)</f>
        <v/>
      </c>
      <c r="I2223" s="316" t="str">
        <f t="array" ref="I2223">XLOOKUP(B2223,Roster!L:L,Roster!O:O,XLOOKUP(D2223,TicketsBreak!A:A,TicketsBreak!F:F,"",0),0)</f>
        <v/>
      </c>
      <c r="J2223" s="316" t="str">
        <f t="array" ref="J2223">XLOOKUP(B2223,Roster!L:L,Roster!P:P,XLOOKUP(D2223,TicketsBreak!A:A,TicketsBreak!G:G,"",0),0)</f>
        <v/>
      </c>
      <c r="K2223" s="310">
        <f t="shared" si="4"/>
        <v>46130</v>
      </c>
      <c r="L2223" s="317">
        <f t="array" ref="L2223">(XLOOKUP(D2223,Roster!F:F,Roster!D:D,"",0))</f>
        <v>32</v>
      </c>
      <c r="M2223" s="317" t="str">
        <f t="array" ref="M2223">XLOOKUP(D2223,Roster!F:F,Roster!E:E)</f>
        <v>Tickets</v>
      </c>
      <c r="N2223" s="317" t="str">
        <f t="shared" ref="N2223:P2223" si="2255">LEFT(H2223,5)</f>
        <v/>
      </c>
      <c r="O2223" s="317" t="str">
        <f t="shared" si="2255"/>
        <v/>
      </c>
      <c r="P2223" s="317" t="str">
        <f t="shared" si="2255"/>
        <v/>
      </c>
      <c r="Q2223" s="318" t="str">
        <f t="shared" si="2083"/>
        <v/>
      </c>
      <c r="R2223" s="318" t="str">
        <f t="shared" si="2084"/>
        <v/>
      </c>
      <c r="S2223" s="318" t="str">
        <f t="shared" si="8"/>
        <v/>
      </c>
    </row>
    <row r="2224">
      <c r="A2224" s="14" t="str">
        <f t="shared" si="1"/>
        <v>C148346130</v>
      </c>
      <c r="B2224" s="185" t="str">
        <f t="array" ref="B2224">IF(F2224="VL","",IF(F2224="Free","Free",XLOOKUP(D2224,Roster!T:T,Roster!S:S,"",0)))</f>
        <v>Free</v>
      </c>
      <c r="C2224" s="313">
        <v>46130.0</v>
      </c>
      <c r="D2224" s="314" t="s">
        <v>77</v>
      </c>
      <c r="E2224" s="307" t="str">
        <f t="array" ref="E2224">(XLOOKUP(D2224,Roster!F:F,Roster!B:B,"",0))</f>
        <v>Simon Zuluaica</v>
      </c>
      <c r="F2224" s="315" t="str">
        <f t="array" ref="F2224">IF(B2224=100,"Free",TEXT(XLOOKUP($D2224,OperationVoice!$A:$A,OperationVoice!X:X,XLOOKUP($D2224,OperationTickets!$A:$A,OperationTickets!X:X,"",0)),"hh:mm"))</f>
        <v>Free</v>
      </c>
      <c r="G2224" s="309" t="str">
        <f t="shared" si="3"/>
        <v>Free</v>
      </c>
      <c r="H2224" s="316" t="str">
        <f t="array" ref="H2224">XLOOKUP(B2224,Roster!L:L,Roster!N:N,XLOOKUP(D2224,TicketsBreak!A:A,TicketsBreak!E:E,"",0),0)</f>
        <v/>
      </c>
      <c r="I2224" s="316" t="str">
        <f t="array" ref="I2224">XLOOKUP(B2224,Roster!L:L,Roster!O:O,XLOOKUP(D2224,TicketsBreak!A:A,TicketsBreak!F:F,"",0),0)</f>
        <v/>
      </c>
      <c r="J2224" s="316" t="str">
        <f t="array" ref="J2224">XLOOKUP(B2224,Roster!L:L,Roster!P:P,XLOOKUP(D2224,TicketsBreak!A:A,TicketsBreak!G:G,"",0),0)</f>
        <v/>
      </c>
      <c r="K2224" s="310">
        <f t="shared" si="4"/>
        <v>46130</v>
      </c>
      <c r="L2224" s="317">
        <f t="array" ref="L2224">(XLOOKUP(D2224,Roster!F:F,Roster!D:D,"",0))</f>
        <v>34</v>
      </c>
      <c r="M2224" s="317" t="str">
        <f t="array" ref="M2224">XLOOKUP(D2224,Roster!F:F,Roster!E:E)</f>
        <v>Voice</v>
      </c>
      <c r="N2224" s="317" t="str">
        <f t="shared" ref="N2224:P2224" si="2256">LEFT(H2224,5)</f>
        <v/>
      </c>
      <c r="O2224" s="317" t="str">
        <f t="shared" si="2256"/>
        <v/>
      </c>
      <c r="P2224" s="317" t="str">
        <f t="shared" si="2256"/>
        <v/>
      </c>
      <c r="Q2224" s="318" t="str">
        <f t="shared" si="2083"/>
        <v/>
      </c>
      <c r="R2224" s="318" t="str">
        <f t="shared" si="2084"/>
        <v/>
      </c>
      <c r="S2224" s="318" t="str">
        <f t="shared" si="8"/>
        <v/>
      </c>
    </row>
    <row r="2225">
      <c r="A2225" s="14" t="str">
        <f t="shared" si="1"/>
        <v>C154046130</v>
      </c>
      <c r="B2225" s="185" t="str">
        <f t="array" ref="B2225">IF(F2225="VL","",IF(F2225="Free","Free",XLOOKUP(D2225,Roster!T:T,Roster!S:S,"",0)))</f>
        <v>Free</v>
      </c>
      <c r="C2225" s="313">
        <v>46130.0</v>
      </c>
      <c r="D2225" s="314" t="s">
        <v>78</v>
      </c>
      <c r="E2225" s="307" t="str">
        <f t="array" ref="E2225">(XLOOKUP(D2225,Roster!F:F,Roster!B:B,"",0))</f>
        <v>Tomas Perez</v>
      </c>
      <c r="F2225" s="315" t="str">
        <f t="array" ref="F2225">IF(B2225=100,"Free",TEXT(XLOOKUP($D2225,OperationVoice!$A:$A,OperationVoice!X:X,XLOOKUP($D2225,OperationTickets!$A:$A,OperationTickets!X:X,"",0)),"hh:mm"))</f>
        <v>Free</v>
      </c>
      <c r="G2225" s="309" t="str">
        <f t="shared" si="3"/>
        <v>Free</v>
      </c>
      <c r="H2225" s="316" t="str">
        <f t="array" ref="H2225">XLOOKUP(B2225,Roster!L:L,Roster!N:N,XLOOKUP(D2225,TicketsBreak!A:A,TicketsBreak!E:E,"",0),0)</f>
        <v/>
      </c>
      <c r="I2225" s="316" t="str">
        <f t="array" ref="I2225">XLOOKUP(B2225,Roster!L:L,Roster!O:O,XLOOKUP(D2225,TicketsBreak!A:A,TicketsBreak!F:F,"",0),0)</f>
        <v/>
      </c>
      <c r="J2225" s="316" t="str">
        <f t="array" ref="J2225">XLOOKUP(B2225,Roster!L:L,Roster!P:P,XLOOKUP(D2225,TicketsBreak!A:A,TicketsBreak!G:G,"",0),0)</f>
        <v/>
      </c>
      <c r="K2225" s="310">
        <f t="shared" si="4"/>
        <v>46130</v>
      </c>
      <c r="L2225" s="317">
        <f t="array" ref="L2225">(XLOOKUP(D2225,Roster!F:F,Roster!D:D,"",0))</f>
        <v>36</v>
      </c>
      <c r="M2225" s="317" t="str">
        <f t="array" ref="M2225">XLOOKUP(D2225,Roster!F:F,Roster!E:E)</f>
        <v>Voice</v>
      </c>
      <c r="N2225" s="317" t="str">
        <f t="shared" ref="N2225:P2225" si="2257">LEFT(H2225,5)</f>
        <v/>
      </c>
      <c r="O2225" s="317" t="str">
        <f t="shared" si="2257"/>
        <v/>
      </c>
      <c r="P2225" s="317" t="str">
        <f t="shared" si="2257"/>
        <v/>
      </c>
      <c r="Q2225" s="318" t="str">
        <f t="shared" si="2083"/>
        <v/>
      </c>
      <c r="R2225" s="318" t="str">
        <f t="shared" si="2084"/>
        <v/>
      </c>
      <c r="S2225" s="318" t="str">
        <f t="shared" si="8"/>
        <v/>
      </c>
    </row>
    <row r="2226">
      <c r="A2226" s="14" t="str">
        <f t="shared" si="1"/>
        <v>C154746130</v>
      </c>
      <c r="B2226" s="185" t="str">
        <f t="array" ref="B2226">IF(F2226="VL","",IF(F2226="Free","Free",XLOOKUP(D2226,Roster!T:T,Roster!S:S,"",0)))</f>
        <v>Free</v>
      </c>
      <c r="C2226" s="313">
        <v>46130.0</v>
      </c>
      <c r="D2226" s="314" t="s">
        <v>79</v>
      </c>
      <c r="E2226" s="307" t="str">
        <f t="array" ref="E2226">(XLOOKUP(D2226,Roster!F:F,Roster!B:B,"",0))</f>
        <v>Valentina Barreto</v>
      </c>
      <c r="F2226" s="315" t="str">
        <f t="array" ref="F2226">IF(B2226=100,"Free",TEXT(XLOOKUP($D2226,OperationVoice!$A:$A,OperationVoice!X:X,XLOOKUP($D2226,OperationTickets!$A:$A,OperationTickets!X:X,"",0)),"hh:mm"))</f>
        <v>Free</v>
      </c>
      <c r="G2226" s="309" t="str">
        <f t="shared" si="3"/>
        <v>Free</v>
      </c>
      <c r="H2226" s="316" t="str">
        <f t="array" ref="H2226">XLOOKUP(B2226,Roster!L:L,Roster!N:N,XLOOKUP(D2226,TicketsBreak!A:A,TicketsBreak!E:E,"",0),0)</f>
        <v/>
      </c>
      <c r="I2226" s="316" t="str">
        <f t="array" ref="I2226">XLOOKUP(B2226,Roster!L:L,Roster!O:O,XLOOKUP(D2226,TicketsBreak!A:A,TicketsBreak!F:F,"",0),0)</f>
        <v/>
      </c>
      <c r="J2226" s="316" t="str">
        <f t="array" ref="J2226">XLOOKUP(B2226,Roster!L:L,Roster!P:P,XLOOKUP(D2226,TicketsBreak!A:A,TicketsBreak!G:G,"",0),0)</f>
        <v/>
      </c>
      <c r="K2226" s="310">
        <f t="shared" si="4"/>
        <v>46130</v>
      </c>
      <c r="L2226" s="317">
        <f t="array" ref="L2226">(XLOOKUP(D2226,Roster!F:F,Roster!D:D,"",0))</f>
        <v>37</v>
      </c>
      <c r="M2226" s="317" t="str">
        <f t="array" ref="M2226">XLOOKUP(D2226,Roster!F:F,Roster!E:E)</f>
        <v>Voice</v>
      </c>
      <c r="N2226" s="317" t="str">
        <f t="shared" ref="N2226:P2226" si="2258">LEFT(H2226,5)</f>
        <v/>
      </c>
      <c r="O2226" s="317" t="str">
        <f t="shared" si="2258"/>
        <v/>
      </c>
      <c r="P2226" s="317" t="str">
        <f t="shared" si="2258"/>
        <v/>
      </c>
      <c r="Q2226" s="318" t="str">
        <f t="shared" si="2083"/>
        <v/>
      </c>
      <c r="R2226" s="318" t="str">
        <f t="shared" si="2084"/>
        <v/>
      </c>
      <c r="S2226" s="318" t="str">
        <f t="shared" si="8"/>
        <v/>
      </c>
    </row>
    <row r="2227">
      <c r="A2227" s="14" t="str">
        <f t="shared" si="1"/>
        <v>C155346130</v>
      </c>
      <c r="B2227" s="185">
        <f t="array" ref="B2227">IF(F2227="VL","",IF(F2227="Free","Free",XLOOKUP(D2227,Roster!T:T,Roster!S:S,"",0)))</f>
        <v>122</v>
      </c>
      <c r="C2227" s="313">
        <v>46130.0</v>
      </c>
      <c r="D2227" s="314" t="s">
        <v>80</v>
      </c>
      <c r="E2227" s="307" t="str">
        <f t="array" ref="E2227">(XLOOKUP(D2227,Roster!F:F,Roster!B:B,"",0))</f>
        <v>Valentina Castro</v>
      </c>
      <c r="F2227" s="315" t="str">
        <f t="array" ref="F2227">IF(B2227=100,"Free",TEXT(XLOOKUP($D2227,OperationVoice!$A:$A,OperationVoice!X:X,XLOOKUP($D2227,OperationTickets!$A:$A,OperationTickets!X:X,"",0)),"hh:mm"))</f>
        <v>08:00</v>
      </c>
      <c r="G2227" s="309">
        <f t="shared" si="3"/>
        <v>0.7083333333</v>
      </c>
      <c r="H2227" s="316" t="str">
        <f t="array" ref="H2227">XLOOKUP(B2227,Roster!L:L,Roster!N:N,XLOOKUP(D2227,TicketsBreak!A:A,TicketsBreak!E:E,"",0),0)</f>
        <v>09:30 - 09:45</v>
      </c>
      <c r="I2227" s="316" t="str">
        <f t="array" ref="I2227">XLOOKUP(B2227,Roster!L:L,Roster!O:O,XLOOKUP(D2227,TicketsBreak!A:A,TicketsBreak!F:F,"",0),0)</f>
        <v>12:00 - 12:30</v>
      </c>
      <c r="J2227" s="316" t="str">
        <f t="array" ref="J2227">XLOOKUP(B2227,Roster!L:L,Roster!P:P,XLOOKUP(D2227,TicketsBreak!A:A,TicketsBreak!G:G,"",0),0)</f>
        <v>14:45 - 15:00</v>
      </c>
      <c r="K2227" s="310">
        <f t="shared" si="4"/>
        <v>46130</v>
      </c>
      <c r="L2227" s="317">
        <f t="array" ref="L2227">(XLOOKUP(D2227,Roster!F:F,Roster!D:D,"",0))</f>
        <v>37</v>
      </c>
      <c r="M2227" s="317" t="str">
        <f t="array" ref="M2227">XLOOKUP(D2227,Roster!F:F,Roster!E:E)</f>
        <v>Voice</v>
      </c>
      <c r="N2227" s="317" t="str">
        <f t="shared" ref="N2227:P2227" si="2259">LEFT(H2227,5)</f>
        <v>09:30</v>
      </c>
      <c r="O2227" s="317" t="str">
        <f t="shared" si="2259"/>
        <v>12:00</v>
      </c>
      <c r="P2227" s="317" t="str">
        <f t="shared" si="2259"/>
        <v>14:45</v>
      </c>
      <c r="Q2227" s="318">
        <f t="shared" si="2083"/>
        <v>46130.39583</v>
      </c>
      <c r="R2227" s="318">
        <f t="shared" si="2084"/>
        <v>46130.5</v>
      </c>
      <c r="S2227" s="318">
        <f t="shared" si="8"/>
        <v>46130.61458</v>
      </c>
    </row>
    <row r="2228">
      <c r="A2228" s="14" t="str">
        <f t="shared" si="1"/>
        <v>C150246130</v>
      </c>
      <c r="B2228" s="185" t="str">
        <f t="array" ref="B2228">IF(F2228="VL","",IF(F2228="Free","Free",XLOOKUP(D2228,Roster!T:T,Roster!S:S,"",0)))</f>
        <v/>
      </c>
      <c r="C2228" s="313">
        <v>46130.0</v>
      </c>
      <c r="D2228" s="314" t="s">
        <v>316</v>
      </c>
      <c r="E2228" s="307" t="str">
        <f t="array" ref="E2228">(XLOOKUP(D2228,Roster!F:F,Roster!B:B,"",0))</f>
        <v>Valentina Gallego</v>
      </c>
      <c r="F2228" s="315" t="str">
        <f t="array" ref="F2228">IF(B2228=100,"Free",TEXT(XLOOKUP($D2228,OperationVoice!$A:$A,OperationVoice!X:X,XLOOKUP($D2228,OperationTickets!$A:$A,OperationTickets!X:X,"",0)),"hh:mm"))</f>
        <v/>
      </c>
      <c r="G2228" s="309" t="str">
        <f t="shared" si="3"/>
        <v/>
      </c>
      <c r="H2228" s="316" t="str">
        <f t="array" ref="H2228">XLOOKUP(B2228,Roster!L:L,Roster!N:N,XLOOKUP(D2228,TicketsBreak!A:A,TicketsBreak!E:E,"",0),0)</f>
        <v/>
      </c>
      <c r="I2228" s="316" t="str">
        <f t="array" ref="I2228">XLOOKUP(B2228,Roster!L:L,Roster!O:O,XLOOKUP(D2228,TicketsBreak!A:A,TicketsBreak!F:F,"",0),0)</f>
        <v/>
      </c>
      <c r="J2228" s="316" t="str">
        <f t="array" ref="J2228">XLOOKUP(B2228,Roster!L:L,Roster!P:P,XLOOKUP(D2228,TicketsBreak!A:A,TicketsBreak!G:G,"",0),0)</f>
        <v/>
      </c>
      <c r="K2228" s="310">
        <f t="shared" si="4"/>
        <v>46130</v>
      </c>
      <c r="L2228" s="317">
        <f t="array" ref="L2228">(XLOOKUP(D2228,Roster!F:F,Roster!D:D,"",0))</f>
        <v>35</v>
      </c>
      <c r="M2228" s="317" t="str">
        <f t="array" ref="M2228">XLOOKUP(D2228,Roster!F:F,Roster!E:E)</f>
        <v>Voice</v>
      </c>
      <c r="N2228" s="317" t="str">
        <f t="shared" ref="N2228:P2228" si="2260">LEFT(H2228,5)</f>
        <v/>
      </c>
      <c r="O2228" s="317" t="str">
        <f t="shared" si="2260"/>
        <v/>
      </c>
      <c r="P2228" s="317" t="str">
        <f t="shared" si="2260"/>
        <v/>
      </c>
      <c r="Q2228" s="318" t="str">
        <f t="shared" si="2083"/>
        <v/>
      </c>
      <c r="R2228" s="318" t="str">
        <f t="shared" si="2084"/>
        <v/>
      </c>
      <c r="S2228" s="318" t="str">
        <f t="shared" si="8"/>
        <v/>
      </c>
    </row>
    <row r="2229">
      <c r="A2229" s="14" t="str">
        <f t="shared" si="1"/>
        <v>C112646130</v>
      </c>
      <c r="B2229" s="185" t="str">
        <f t="array" ref="B2229">IF(F2229="VL","",IF(F2229="Free","Free",XLOOKUP(D2229,Roster!T:T,Roster!S:S,"",0)))</f>
        <v/>
      </c>
      <c r="C2229" s="313">
        <v>46130.0</v>
      </c>
      <c r="D2229" s="314" t="s">
        <v>152</v>
      </c>
      <c r="E2229" s="307" t="str">
        <f t="array" ref="E2229">(XLOOKUP(D2229,Roster!F:F,Roster!B:B,"",0))</f>
        <v>Valery Escobar</v>
      </c>
      <c r="F2229" s="315" t="str">
        <f t="array" ref="F2229">IF(B2229=100,"Free",TEXT(XLOOKUP($D2229,OperationVoice!$A:$A,OperationVoice!X:X,XLOOKUP($D2229,OperationTickets!$A:$A,OperationTickets!X:X,"",0)),"hh:mm"))</f>
        <v>08:00</v>
      </c>
      <c r="G2229" s="309">
        <f t="shared" si="3"/>
        <v>0.7083333333</v>
      </c>
      <c r="H2229" s="316">
        <f t="array" ref="H2229">XLOOKUP(B2229,Roster!L:L,Roster!N:N,XLOOKUP(D2229,TicketsBreak!A:A,TicketsBreak!E:E,"",0),0)</f>
        <v>0.3854166667</v>
      </c>
      <c r="I2229" s="316">
        <f t="array" ref="I2229">XLOOKUP(B2229,Roster!L:L,Roster!O:O,XLOOKUP(D2229,TicketsBreak!A:A,TicketsBreak!F:F,"",0),0)</f>
        <v>0.5</v>
      </c>
      <c r="J2229" s="316">
        <f t="array" ref="J2229">XLOOKUP(B2229,Roster!L:L,Roster!P:P,XLOOKUP(D2229,TicketsBreak!A:A,TicketsBreak!G:G,"",0),0)</f>
        <v>0.6041666667</v>
      </c>
      <c r="K2229" s="310">
        <f t="shared" si="4"/>
        <v>46130</v>
      </c>
      <c r="L2229" s="317">
        <f t="array" ref="L2229">(XLOOKUP(D2229,Roster!F:F,Roster!D:D,"",0))</f>
        <v>21</v>
      </c>
      <c r="M2229" s="317" t="str">
        <f t="array" ref="M2229">XLOOKUP(D2229,Roster!F:F,Roster!E:E)</f>
        <v>Tickets</v>
      </c>
      <c r="N2229" s="317" t="str">
        <f t="shared" ref="N2229:P2229" si="2261">LEFT(H2229,5)</f>
        <v>09:15</v>
      </c>
      <c r="O2229" s="317" t="str">
        <f t="shared" si="2261"/>
        <v>12:00</v>
      </c>
      <c r="P2229" s="317" t="str">
        <f t="shared" si="2261"/>
        <v>14:30</v>
      </c>
      <c r="Q2229" s="318">
        <f t="shared" si="2083"/>
        <v>46130.38542</v>
      </c>
      <c r="R2229" s="318">
        <f t="shared" si="2084"/>
        <v>46130.5</v>
      </c>
      <c r="S2229" s="318">
        <f t="shared" si="8"/>
        <v>46130.60417</v>
      </c>
    </row>
    <row r="2230">
      <c r="A2230" s="14" t="str">
        <f t="shared" si="1"/>
        <v>C155246130</v>
      </c>
      <c r="B2230" s="185">
        <f t="array" ref="B2230">IF(F2230="VL","",IF(F2230="Free","Free",XLOOKUP(D2230,Roster!T:T,Roster!S:S,"",0)))</f>
        <v>125</v>
      </c>
      <c r="C2230" s="313">
        <v>46130.0</v>
      </c>
      <c r="D2230" s="314" t="s">
        <v>81</v>
      </c>
      <c r="E2230" s="307" t="str">
        <f t="array" ref="E2230">(XLOOKUP(D2230,Roster!F:F,Roster!B:B,"",0))</f>
        <v>Wendy Machado</v>
      </c>
      <c r="F2230" s="315" t="str">
        <f t="array" ref="F2230">IF(B2230=100,"Free",TEXT(XLOOKUP($D2230,OperationVoice!$A:$A,OperationVoice!X:X,XLOOKUP($D2230,OperationTickets!$A:$A,OperationTickets!X:X,"",0)),"hh:mm"))</f>
        <v>08:00</v>
      </c>
      <c r="G2230" s="309">
        <f t="shared" si="3"/>
        <v>0.7083333333</v>
      </c>
      <c r="H2230" s="316" t="str">
        <f t="array" ref="H2230">XLOOKUP(B2230,Roster!L:L,Roster!N:N,XLOOKUP(D2230,TicketsBreak!A:A,TicketsBreak!E:E,"",0),0)</f>
        <v>10:30 - 10:45</v>
      </c>
      <c r="I2230" s="316" t="str">
        <f t="array" ref="I2230">XLOOKUP(B2230,Roster!L:L,Roster!O:O,XLOOKUP(D2230,TicketsBreak!A:A,TicketsBreak!F:F,"",0),0)</f>
        <v>13:30 - 14:00</v>
      </c>
      <c r="J2230" s="316" t="str">
        <f t="array" ref="J2230">XLOOKUP(B2230,Roster!L:L,Roster!P:P,XLOOKUP(D2230,TicketsBreak!A:A,TicketsBreak!G:G,"",0),0)</f>
        <v>15:45 - 16:00</v>
      </c>
      <c r="K2230" s="310">
        <f t="shared" si="4"/>
        <v>46130</v>
      </c>
      <c r="L2230" s="317">
        <f t="array" ref="L2230">(XLOOKUP(D2230,Roster!F:F,Roster!D:D,"",0))</f>
        <v>37</v>
      </c>
      <c r="M2230" s="317" t="str">
        <f t="array" ref="M2230">XLOOKUP(D2230,Roster!F:F,Roster!E:E)</f>
        <v>Voice</v>
      </c>
      <c r="N2230" s="317" t="str">
        <f t="shared" ref="N2230:P2230" si="2262">LEFT(H2230,5)</f>
        <v>10:30</v>
      </c>
      <c r="O2230" s="317" t="str">
        <f t="shared" si="2262"/>
        <v>13:30</v>
      </c>
      <c r="P2230" s="317" t="str">
        <f t="shared" si="2262"/>
        <v>15:45</v>
      </c>
      <c r="Q2230" s="318">
        <f t="shared" si="2083"/>
        <v>46130.4375</v>
      </c>
      <c r="R2230" s="318">
        <f t="shared" si="2084"/>
        <v>46130.5625</v>
      </c>
      <c r="S2230" s="318">
        <f t="shared" si="8"/>
        <v>46130.65625</v>
      </c>
    </row>
    <row r="2231">
      <c r="A2231" s="14" t="str">
        <f t="shared" si="1"/>
        <v>C78646130</v>
      </c>
      <c r="B2231" s="185" t="str">
        <f t="array" ref="B2231">IF(F2231="VL","",IF(F2231="Free","Free",XLOOKUP(D2231,Roster!T:T,Roster!S:S,"",0)))</f>
        <v>Free</v>
      </c>
      <c r="C2231" s="313">
        <v>46130.0</v>
      </c>
      <c r="D2231" s="314" t="s">
        <v>136</v>
      </c>
      <c r="E2231" s="307" t="str">
        <f t="array" ref="E2231">(XLOOKUP(D2231,Roster!F:F,Roster!B:B,"",0))</f>
        <v>Wendy Navarro</v>
      </c>
      <c r="F2231" s="315" t="str">
        <f t="array" ref="F2231">IF(B2231=100,"Free",TEXT(XLOOKUP($D2231,OperationVoice!$A:$A,OperationVoice!X:X,XLOOKUP($D2231,OperationTickets!$A:$A,OperationTickets!X:X,"",0)),"hh:mm"))</f>
        <v>Free</v>
      </c>
      <c r="G2231" s="309" t="str">
        <f t="shared" si="3"/>
        <v>Free</v>
      </c>
      <c r="H2231" s="316">
        <f t="array" ref="H2231">XLOOKUP(B2231,Roster!L:L,Roster!N:N,XLOOKUP(D2231,TicketsBreak!A:A,TicketsBreak!E:E,"",0),0)</f>
        <v>0.4166666667</v>
      </c>
      <c r="I2231" s="316">
        <f t="array" ref="I2231">XLOOKUP(B2231,Roster!L:L,Roster!O:O,XLOOKUP(D2231,TicketsBreak!A:A,TicketsBreak!F:F,"",0),0)</f>
        <v>0.5416666667</v>
      </c>
      <c r="J2231" s="316">
        <f t="array" ref="J2231">XLOOKUP(B2231,Roster!L:L,Roster!P:P,XLOOKUP(D2231,TicketsBreak!A:A,TicketsBreak!G:G,"",0),0)</f>
        <v>0.6458333333</v>
      </c>
      <c r="K2231" s="310">
        <f t="shared" si="4"/>
        <v>46130</v>
      </c>
      <c r="L2231" s="317">
        <f t="array" ref="L2231">(XLOOKUP(D2231,Roster!F:F,Roster!D:D,"",0))</f>
        <v>16</v>
      </c>
      <c r="M2231" s="317" t="str">
        <f t="array" ref="M2231">XLOOKUP(D2231,Roster!F:F,Roster!E:E)</f>
        <v>Tickets</v>
      </c>
      <c r="N2231" s="317" t="str">
        <f t="shared" ref="N2231:P2231" si="2263">LEFT(H2231,5)</f>
        <v>10:00</v>
      </c>
      <c r="O2231" s="317" t="str">
        <f t="shared" si="2263"/>
        <v>13:00</v>
      </c>
      <c r="P2231" s="317" t="str">
        <f t="shared" si="2263"/>
        <v>15:30</v>
      </c>
      <c r="Q2231" s="318">
        <f t="shared" si="2083"/>
        <v>46130.41667</v>
      </c>
      <c r="R2231" s="318">
        <f t="shared" si="2084"/>
        <v>46130.54167</v>
      </c>
      <c r="S2231" s="318">
        <f t="shared" si="8"/>
        <v>46130.64583</v>
      </c>
    </row>
    <row r="2232">
      <c r="A2232" s="14" t="str">
        <f t="shared" si="1"/>
        <v>C153746130</v>
      </c>
      <c r="B2232" s="185" t="str">
        <f t="array" ref="B2232">IF(F2232="VL","",IF(F2232="Free","Free",XLOOKUP(D2232,Roster!T:T,Roster!S:S,"",0)))</f>
        <v>Free</v>
      </c>
      <c r="C2232" s="313">
        <v>46130.0</v>
      </c>
      <c r="D2232" s="314" t="s">
        <v>82</v>
      </c>
      <c r="E2232" s="307" t="str">
        <f t="array" ref="E2232">(XLOOKUP(D2232,Roster!F:F,Roster!B:B,"",0))</f>
        <v>William Florez</v>
      </c>
      <c r="F2232" s="315" t="str">
        <f t="array" ref="F2232">IF(B2232=100,"Free",TEXT(XLOOKUP($D2232,OperationVoice!$A:$A,OperationVoice!X:X,XLOOKUP($D2232,OperationTickets!$A:$A,OperationTickets!X:X,"",0)),"hh:mm"))</f>
        <v>Free</v>
      </c>
      <c r="G2232" s="309" t="str">
        <f t="shared" si="3"/>
        <v>Free</v>
      </c>
      <c r="H2232" s="316" t="str">
        <f t="array" ref="H2232">XLOOKUP(B2232,Roster!L:L,Roster!N:N,XLOOKUP(D2232,TicketsBreak!A:A,TicketsBreak!E:E,"",0),0)</f>
        <v/>
      </c>
      <c r="I2232" s="316" t="str">
        <f t="array" ref="I2232">XLOOKUP(B2232,Roster!L:L,Roster!O:O,XLOOKUP(D2232,TicketsBreak!A:A,TicketsBreak!F:F,"",0),0)</f>
        <v/>
      </c>
      <c r="J2232" s="316" t="str">
        <f t="array" ref="J2232">XLOOKUP(B2232,Roster!L:L,Roster!P:P,XLOOKUP(D2232,TicketsBreak!A:A,TicketsBreak!G:G,"",0),0)</f>
        <v/>
      </c>
      <c r="K2232" s="310">
        <f t="shared" si="4"/>
        <v>46130</v>
      </c>
      <c r="L2232" s="317">
        <f t="array" ref="L2232">(XLOOKUP(D2232,Roster!F:F,Roster!D:D,"",0))</f>
        <v>36</v>
      </c>
      <c r="M2232" s="317" t="str">
        <f t="array" ref="M2232">XLOOKUP(D2232,Roster!F:F,Roster!E:E)</f>
        <v>Voice</v>
      </c>
      <c r="N2232" s="317" t="str">
        <f t="shared" ref="N2232:P2232" si="2264">LEFT(H2232,5)</f>
        <v/>
      </c>
      <c r="O2232" s="317" t="str">
        <f t="shared" si="2264"/>
        <v/>
      </c>
      <c r="P2232" s="317" t="str">
        <f t="shared" si="2264"/>
        <v/>
      </c>
      <c r="Q2232" s="318" t="str">
        <f t="shared" si="2083"/>
        <v/>
      </c>
      <c r="R2232" s="318" t="str">
        <f t="shared" si="2084"/>
        <v/>
      </c>
      <c r="S2232" s="318" t="str">
        <f t="shared" si="8"/>
        <v/>
      </c>
    </row>
    <row r="2233">
      <c r="A2233" s="14" t="str">
        <f t="shared" si="1"/>
        <v>C135346130</v>
      </c>
      <c r="B2233" s="185" t="str">
        <f t="array" ref="B2233">IF(F2233="VL","",IF(F2233="Free","Free",XLOOKUP(D2233,Roster!T:T,Roster!S:S,"",0)))</f>
        <v>Free</v>
      </c>
      <c r="C2233" s="313">
        <v>46130.0</v>
      </c>
      <c r="D2233" s="314" t="s">
        <v>83</v>
      </c>
      <c r="E2233" s="307" t="str">
        <f t="array" ref="E2233">(XLOOKUP(D2233,Roster!F:F,Roster!B:B,"",0))</f>
        <v>Wilson Martinez</v>
      </c>
      <c r="F2233" s="315" t="str">
        <f t="array" ref="F2233">IF(B2233=100,"Free",TEXT(XLOOKUP($D2233,OperationVoice!$A:$A,OperationVoice!X:X,XLOOKUP($D2233,OperationTickets!$A:$A,OperationTickets!X:X,"",0)),"hh:mm"))</f>
        <v>Free</v>
      </c>
      <c r="G2233" s="309" t="str">
        <f t="shared" si="3"/>
        <v>Free</v>
      </c>
      <c r="H2233" s="316" t="str">
        <f t="array" ref="H2233">XLOOKUP(B2233,Roster!L:L,Roster!N:N,XLOOKUP(D2233,TicketsBreak!A:A,TicketsBreak!E:E,"",0),0)</f>
        <v/>
      </c>
      <c r="I2233" s="316" t="str">
        <f t="array" ref="I2233">XLOOKUP(B2233,Roster!L:L,Roster!O:O,XLOOKUP(D2233,TicketsBreak!A:A,TicketsBreak!F:F,"",0),0)</f>
        <v/>
      </c>
      <c r="J2233" s="316" t="str">
        <f t="array" ref="J2233">XLOOKUP(B2233,Roster!L:L,Roster!P:P,XLOOKUP(D2233,TicketsBreak!A:A,TicketsBreak!G:G,"",0),0)</f>
        <v/>
      </c>
      <c r="K2233" s="310">
        <f t="shared" si="4"/>
        <v>46130</v>
      </c>
      <c r="L2233" s="317">
        <f t="array" ref="L2233">(XLOOKUP(D2233,Roster!F:F,Roster!D:D,"",0))</f>
        <v>30</v>
      </c>
      <c r="M2233" s="317" t="str">
        <f t="array" ref="M2233">XLOOKUP(D2233,Roster!F:F,Roster!E:E)</f>
        <v>Voice</v>
      </c>
      <c r="N2233" s="317" t="str">
        <f t="shared" ref="N2233:P2233" si="2265">LEFT(H2233,5)</f>
        <v/>
      </c>
      <c r="O2233" s="317" t="str">
        <f t="shared" si="2265"/>
        <v/>
      </c>
      <c r="P2233" s="317" t="str">
        <f t="shared" si="2265"/>
        <v/>
      </c>
      <c r="Q2233" s="318" t="str">
        <f t="shared" si="2083"/>
        <v/>
      </c>
      <c r="R2233" s="318" t="str">
        <f t="shared" si="2084"/>
        <v/>
      </c>
      <c r="S2233" s="318" t="str">
        <f t="shared" si="8"/>
        <v/>
      </c>
    </row>
    <row r="2234">
      <c r="A2234" s="14" t="str">
        <f t="shared" si="1"/>
        <v>C117346130</v>
      </c>
      <c r="B2234" s="185" t="str">
        <f t="array" ref="B2234">IF(F2234="VL","",IF(F2234="Free","Free",XLOOKUP(D2234,Roster!T:T,Roster!S:S,"",0)))</f>
        <v>Free</v>
      </c>
      <c r="C2234" s="313">
        <v>46130.0</v>
      </c>
      <c r="D2234" s="314" t="s">
        <v>84</v>
      </c>
      <c r="E2234" s="307" t="str">
        <f t="array" ref="E2234">(XLOOKUP(D2234,Roster!F:F,Roster!B:B,"",0))</f>
        <v>Yaidy Mosquera</v>
      </c>
      <c r="F2234" s="315" t="str">
        <f t="array" ref="F2234">IF(B2234=100,"Free",TEXT(XLOOKUP($D2234,OperationVoice!$A:$A,OperationVoice!X:X,XLOOKUP($D2234,OperationTickets!$A:$A,OperationTickets!X:X,"",0)),"hh:mm"))</f>
        <v>Free</v>
      </c>
      <c r="G2234" s="309" t="str">
        <f t="shared" si="3"/>
        <v>Free</v>
      </c>
      <c r="H2234" s="316" t="str">
        <f t="array" ref="H2234">XLOOKUP(B2234,Roster!L:L,Roster!N:N,XLOOKUP(D2234,TicketsBreak!A:A,TicketsBreak!E:E,"",0),0)</f>
        <v/>
      </c>
      <c r="I2234" s="316" t="str">
        <f t="array" ref="I2234">XLOOKUP(B2234,Roster!L:L,Roster!O:O,XLOOKUP(D2234,TicketsBreak!A:A,TicketsBreak!F:F,"",0),0)</f>
        <v/>
      </c>
      <c r="J2234" s="316" t="str">
        <f t="array" ref="J2234">XLOOKUP(B2234,Roster!L:L,Roster!P:P,XLOOKUP(D2234,TicketsBreak!A:A,TicketsBreak!G:G,"",0),0)</f>
        <v/>
      </c>
      <c r="K2234" s="310">
        <f t="shared" si="4"/>
        <v>46130</v>
      </c>
      <c r="L2234" s="317">
        <f t="array" ref="L2234">(XLOOKUP(D2234,Roster!F:F,Roster!D:D,"",0))</f>
        <v>24</v>
      </c>
      <c r="M2234" s="317" t="str">
        <f t="array" ref="M2234">XLOOKUP(D2234,Roster!F:F,Roster!E:E)</f>
        <v>Voice</v>
      </c>
      <c r="N2234" s="317" t="str">
        <f t="shared" ref="N2234:P2234" si="2266">LEFT(H2234,5)</f>
        <v/>
      </c>
      <c r="O2234" s="317" t="str">
        <f t="shared" si="2266"/>
        <v/>
      </c>
      <c r="P2234" s="317" t="str">
        <f t="shared" si="2266"/>
        <v/>
      </c>
      <c r="Q2234" s="318" t="str">
        <f t="shared" si="2083"/>
        <v/>
      </c>
      <c r="R2234" s="318" t="str">
        <f t="shared" si="2084"/>
        <v/>
      </c>
      <c r="S2234" s="318" t="str">
        <f t="shared" si="8"/>
        <v/>
      </c>
    </row>
    <row r="2235">
      <c r="A2235" s="14" t="str">
        <f t="shared" si="1"/>
        <v>C110846130</v>
      </c>
      <c r="B2235" s="185" t="str">
        <f t="array" ref="B2235">IF(F2235="VL","",IF(F2235="Free","Free",XLOOKUP(D2235,Roster!T:T,Roster!S:S,"",0)))</f>
        <v/>
      </c>
      <c r="C2235" s="313">
        <v>46130.0</v>
      </c>
      <c r="D2235" s="314" t="s">
        <v>187</v>
      </c>
      <c r="E2235" s="307" t="str">
        <f t="array" ref="E2235">(XLOOKUP(D2235,Roster!F:F,Roster!B:B,"",0))</f>
        <v>Yeiner Tapias</v>
      </c>
      <c r="F2235" s="315" t="str">
        <f t="array" ref="F2235">IF(B2235=100,"Free",TEXT(XLOOKUP($D2235,OperationVoice!$A:$A,OperationVoice!X:X,XLOOKUP($D2235,OperationTickets!$A:$A,OperationTickets!X:X,"",0)),"hh:mm"))</f>
        <v>08:00</v>
      </c>
      <c r="G2235" s="309">
        <f t="shared" si="3"/>
        <v>0.7083333333</v>
      </c>
      <c r="H2235" s="316">
        <f t="array" ref="H2235">XLOOKUP(B2235,Roster!L:L,Roster!N:N,XLOOKUP(D2235,TicketsBreak!A:A,TicketsBreak!E:E,"",0),0)</f>
        <v>0.3958333333</v>
      </c>
      <c r="I2235" s="316">
        <f t="array" ref="I2235">XLOOKUP(B2235,Roster!L:L,Roster!O:O,XLOOKUP(D2235,TicketsBreak!A:A,TicketsBreak!F:F,"",0),0)</f>
        <v>0.5208333333</v>
      </c>
      <c r="J2235" s="316">
        <f t="array" ref="J2235">XLOOKUP(B2235,Roster!L:L,Roster!P:P,XLOOKUP(D2235,TicketsBreak!A:A,TicketsBreak!G:G,"",0),0)</f>
        <v>0.6145833333</v>
      </c>
      <c r="K2235" s="310">
        <f t="shared" si="4"/>
        <v>46130</v>
      </c>
      <c r="L2235" s="317">
        <f t="array" ref="L2235">(XLOOKUP(D2235,Roster!F:F,Roster!D:D,"",0))</f>
        <v>20</v>
      </c>
      <c r="M2235" s="317" t="str">
        <f t="array" ref="M2235">XLOOKUP(D2235,Roster!F:F,Roster!E:E)</f>
        <v>Tickets</v>
      </c>
      <c r="N2235" s="317" t="str">
        <f t="shared" ref="N2235:P2235" si="2267">LEFT(H2235,5)</f>
        <v>09:30</v>
      </c>
      <c r="O2235" s="317" t="str">
        <f t="shared" si="2267"/>
        <v>12:30</v>
      </c>
      <c r="P2235" s="317" t="str">
        <f t="shared" si="2267"/>
        <v>14:45</v>
      </c>
      <c r="Q2235" s="318">
        <f t="shared" si="2083"/>
        <v>46130.39583</v>
      </c>
      <c r="R2235" s="318">
        <f t="shared" si="2084"/>
        <v>46130.52083</v>
      </c>
      <c r="S2235" s="318">
        <f t="shared" si="8"/>
        <v>46130.61458</v>
      </c>
    </row>
    <row r="2236">
      <c r="A2236" s="14" t="str">
        <f t="shared" si="1"/>
        <v>C153946130</v>
      </c>
      <c r="B2236" s="185">
        <f t="array" ref="B2236">IF(F2236="VL","",IF(F2236="Free","Free",XLOOKUP(D2236,Roster!T:T,Roster!S:S,"",0)))</f>
        <v>123</v>
      </c>
      <c r="C2236" s="313">
        <v>46130.0</v>
      </c>
      <c r="D2236" s="314" t="s">
        <v>85</v>
      </c>
      <c r="E2236" s="307" t="str">
        <f t="array" ref="E2236">(XLOOKUP(D2236,Roster!F:F,Roster!B:B,"",0))</f>
        <v>Yovanny Ceballos</v>
      </c>
      <c r="F2236" s="315" t="str">
        <f t="array" ref="F2236">IF(B2236=100,"Free",TEXT(XLOOKUP($D2236,OperationVoice!$A:$A,OperationVoice!X:X,XLOOKUP($D2236,OperationTickets!$A:$A,OperationTickets!X:X,"",0)),"hh:mm"))</f>
        <v/>
      </c>
      <c r="G2236" s="309" t="str">
        <f t="shared" si="3"/>
        <v/>
      </c>
      <c r="H2236" s="316" t="str">
        <f t="array" ref="H2236">XLOOKUP(B2236,Roster!L:L,Roster!N:N,XLOOKUP(D2236,TicketsBreak!A:A,TicketsBreak!E:E,"",0),0)</f>
        <v>09:45 - 10:00 </v>
      </c>
      <c r="I2236" s="316" t="str">
        <f t="array" ref="I2236">XLOOKUP(B2236,Roster!L:L,Roster!O:O,XLOOKUP(D2236,TicketsBreak!A:A,TicketsBreak!F:F,"",0),0)</f>
        <v>12:30 - 13:00</v>
      </c>
      <c r="J2236" s="316" t="str">
        <f t="array" ref="J2236">XLOOKUP(B2236,Roster!L:L,Roster!P:P,XLOOKUP(D2236,TicketsBreak!A:A,TicketsBreak!G:G,"",0),0)</f>
        <v>15:00 - 15:15</v>
      </c>
      <c r="K2236" s="310">
        <f t="shared" si="4"/>
        <v>46130</v>
      </c>
      <c r="L2236" s="317">
        <f t="array" ref="L2236">(XLOOKUP(D2236,Roster!F:F,Roster!D:D,"",0))</f>
        <v>36</v>
      </c>
      <c r="M2236" s="317" t="str">
        <f t="array" ref="M2236">XLOOKUP(D2236,Roster!F:F,Roster!E:E)</f>
        <v>Voice</v>
      </c>
      <c r="N2236" s="317" t="str">
        <f t="shared" ref="N2236:P2236" si="2268">LEFT(H2236,5)</f>
        <v>09:45</v>
      </c>
      <c r="O2236" s="317" t="str">
        <f t="shared" si="2268"/>
        <v>12:30</v>
      </c>
      <c r="P2236" s="317" t="str">
        <f t="shared" si="2268"/>
        <v>15:00</v>
      </c>
      <c r="Q2236" s="318">
        <f t="shared" si="2083"/>
        <v>46130.40625</v>
      </c>
      <c r="R2236" s="318">
        <f t="shared" si="2084"/>
        <v>46130.52083</v>
      </c>
      <c r="S2236" s="318">
        <f t="shared" si="8"/>
        <v>46130.625</v>
      </c>
    </row>
    <row r="2237">
      <c r="A2237" s="14" t="str">
        <f t="shared" si="1"/>
        <v>46130</v>
      </c>
      <c r="B2237" s="185" t="str">
        <f t="array" ref="B2237">IF(F2237="VL","",IF(F2237="Free","Free",XLOOKUP(D2237,Roster!T:T,Roster!S:S,"",0)))</f>
        <v/>
      </c>
      <c r="C2237" s="313">
        <v>46130.0</v>
      </c>
      <c r="D2237" s="314"/>
      <c r="E2237" s="307" t="str">
        <f t="array" ref="E2237">(XLOOKUP(D2237,Roster!F:F,Roster!B:B,"",0))</f>
        <v/>
      </c>
      <c r="F2237" s="315" t="str">
        <f t="array" ref="F2237">IF(B2237=100,"Free",TEXT(XLOOKUP($D2237,OperationVoice!$A:$A,OperationVoice!X:X,XLOOKUP($D2237,OperationTickets!$A:$A,OperationTickets!X:X,"",0)),"hh:mm"))</f>
        <v/>
      </c>
      <c r="G2237" s="309" t="str">
        <f t="shared" si="3"/>
        <v/>
      </c>
      <c r="H2237" s="316" t="str">
        <f t="array" ref="H2237">XLOOKUP(B2237,Roster!L:L,Roster!N:N,XLOOKUP(D2237,TicketsBreak!A:A,TicketsBreak!E:E,"",0),0)</f>
        <v/>
      </c>
      <c r="I2237" s="316" t="str">
        <f t="array" ref="I2237">XLOOKUP(B2237,Roster!L:L,Roster!O:O,XLOOKUP(D2237,TicketsBreak!A:A,TicketsBreak!F:F,"",0),0)</f>
        <v/>
      </c>
      <c r="J2237" s="316" t="str">
        <f t="array" ref="J2237">XLOOKUP(B2237,Roster!L:L,Roster!P:P,XLOOKUP(D2237,TicketsBreak!A:A,TicketsBreak!G:G,"",0),0)</f>
        <v/>
      </c>
      <c r="K2237" s="310">
        <f t="shared" si="4"/>
        <v>46130</v>
      </c>
      <c r="L2237" s="317" t="str">
        <f t="array" ref="L2237">(XLOOKUP(D2237,Roster!F:F,Roster!D:D,"",0))</f>
        <v/>
      </c>
      <c r="M2237" s="317" t="str">
        <f t="array" ref="M2237">XLOOKUP(D2237,Roster!F:F,Roster!E:E)</f>
        <v>#N/A</v>
      </c>
      <c r="N2237" s="317" t="str">
        <f t="shared" ref="N2237:P2237" si="2269">LEFT(H2237,5)</f>
        <v/>
      </c>
      <c r="O2237" s="317" t="str">
        <f t="shared" si="2269"/>
        <v/>
      </c>
      <c r="P2237" s="317" t="str">
        <f t="shared" si="2269"/>
        <v/>
      </c>
      <c r="Q2237" s="318" t="str">
        <f t="shared" si="2083"/>
        <v/>
      </c>
      <c r="R2237" s="318" t="str">
        <f t="shared" si="2084"/>
        <v/>
      </c>
      <c r="S2237" s="318" t="str">
        <f t="shared" si="8"/>
        <v/>
      </c>
    </row>
    <row r="2238">
      <c r="A2238" s="14" t="str">
        <f t="shared" si="1"/>
        <v>46130</v>
      </c>
      <c r="B2238" s="185" t="str">
        <f t="array" ref="B2238">IF(F2238="VL","",IF(F2238="Free","Free",XLOOKUP(D2238,Roster!T:T,Roster!S:S,"",0)))</f>
        <v/>
      </c>
      <c r="C2238" s="313">
        <v>46130.0</v>
      </c>
      <c r="D2238" s="314"/>
      <c r="E2238" s="307" t="str">
        <f t="array" ref="E2238">(XLOOKUP(D2238,Roster!F:F,Roster!B:B,"",0))</f>
        <v/>
      </c>
      <c r="F2238" s="315" t="str">
        <f t="array" ref="F2238">IF(B2238=100,"Free",TEXT(XLOOKUP($D2238,OperationVoice!$A:$A,OperationVoice!X:X,XLOOKUP($D2238,OperationTickets!$A:$A,OperationTickets!X:X,"",0)),"hh:mm"))</f>
        <v/>
      </c>
      <c r="G2238" s="309" t="str">
        <f t="shared" si="3"/>
        <v/>
      </c>
      <c r="H2238" s="316" t="str">
        <f t="array" ref="H2238">XLOOKUP(B2238,Roster!L:L,Roster!N:N,XLOOKUP(D2238,TicketsBreak!A:A,TicketsBreak!E:E,"",0),0)</f>
        <v/>
      </c>
      <c r="I2238" s="316" t="str">
        <f t="array" ref="I2238">XLOOKUP(B2238,Roster!L:L,Roster!O:O,XLOOKUP(D2238,TicketsBreak!A:A,TicketsBreak!F:F,"",0),0)</f>
        <v/>
      </c>
      <c r="J2238" s="316" t="str">
        <f t="array" ref="J2238">XLOOKUP(B2238,Roster!L:L,Roster!P:P,XLOOKUP(D2238,TicketsBreak!A:A,TicketsBreak!G:G,"",0),0)</f>
        <v/>
      </c>
      <c r="K2238" s="310">
        <f t="shared" si="4"/>
        <v>46130</v>
      </c>
      <c r="L2238" s="317" t="str">
        <f t="array" ref="L2238">(XLOOKUP(D2238,Roster!F:F,Roster!D:D,"",0))</f>
        <v/>
      </c>
      <c r="M2238" s="317" t="str">
        <f t="array" ref="M2238">XLOOKUP(D2238,Roster!F:F,Roster!E:E)</f>
        <v>#N/A</v>
      </c>
      <c r="N2238" s="317" t="str">
        <f t="shared" ref="N2238:P2238" si="2270">LEFT(H2238,5)</f>
        <v/>
      </c>
      <c r="O2238" s="317" t="str">
        <f t="shared" si="2270"/>
        <v/>
      </c>
      <c r="P2238" s="317" t="str">
        <f t="shared" si="2270"/>
        <v/>
      </c>
      <c r="Q2238" s="318" t="str">
        <f t="shared" si="2083"/>
        <v/>
      </c>
      <c r="R2238" s="318" t="str">
        <f t="shared" si="2084"/>
        <v/>
      </c>
      <c r="S2238" s="318" t="str">
        <f t="shared" si="8"/>
        <v/>
      </c>
    </row>
    <row r="2239">
      <c r="A2239" s="14" t="str">
        <f t="shared" si="1"/>
        <v>46130</v>
      </c>
      <c r="B2239" s="185" t="str">
        <f t="array" ref="B2239">IF(F2239="VL","",IF(F2239="Free","Free",XLOOKUP(D2239,Roster!T:T,Roster!S:S,"",0)))</f>
        <v/>
      </c>
      <c r="C2239" s="313">
        <v>46130.0</v>
      </c>
      <c r="D2239" s="314"/>
      <c r="E2239" s="307" t="str">
        <f t="array" ref="E2239">(XLOOKUP(D2239,Roster!F:F,Roster!B:B,"",0))</f>
        <v/>
      </c>
      <c r="F2239" s="315" t="str">
        <f t="array" ref="F2239">IF(B2239=100,"Free",TEXT(XLOOKUP($D2239,OperationVoice!$A:$A,OperationVoice!X:X,XLOOKUP($D2239,OperationTickets!$A:$A,OperationTickets!X:X,"",0)),"hh:mm"))</f>
        <v/>
      </c>
      <c r="G2239" s="309" t="str">
        <f t="shared" si="3"/>
        <v/>
      </c>
      <c r="H2239" s="316" t="str">
        <f t="array" ref="H2239">XLOOKUP(B2239,Roster!L:L,Roster!N:N,XLOOKUP(D2239,TicketsBreak!A:A,TicketsBreak!E:E,"",0),0)</f>
        <v/>
      </c>
      <c r="I2239" s="316" t="str">
        <f t="array" ref="I2239">XLOOKUP(B2239,Roster!L:L,Roster!O:O,XLOOKUP(D2239,TicketsBreak!A:A,TicketsBreak!F:F,"",0),0)</f>
        <v/>
      </c>
      <c r="J2239" s="316" t="str">
        <f t="array" ref="J2239">XLOOKUP(B2239,Roster!L:L,Roster!P:P,XLOOKUP(D2239,TicketsBreak!A:A,TicketsBreak!G:G,"",0),0)</f>
        <v/>
      </c>
      <c r="K2239" s="310">
        <f t="shared" si="4"/>
        <v>46130</v>
      </c>
      <c r="L2239" s="317" t="str">
        <f t="array" ref="L2239">(XLOOKUP(D2239,Roster!F:F,Roster!D:D,"",0))</f>
        <v/>
      </c>
      <c r="M2239" s="317" t="str">
        <f t="array" ref="M2239">XLOOKUP(D2239,Roster!F:F,Roster!E:E)</f>
        <v>#N/A</v>
      </c>
      <c r="N2239" s="317" t="str">
        <f t="shared" ref="N2239:P2239" si="2271">LEFT(H2239,5)</f>
        <v/>
      </c>
      <c r="O2239" s="317" t="str">
        <f t="shared" si="2271"/>
        <v/>
      </c>
      <c r="P2239" s="317" t="str">
        <f t="shared" si="2271"/>
        <v/>
      </c>
      <c r="Q2239" s="318" t="str">
        <f t="shared" si="2083"/>
        <v/>
      </c>
      <c r="R2239" s="318" t="str">
        <f t="shared" si="2084"/>
        <v/>
      </c>
      <c r="S2239" s="318" t="str">
        <f t="shared" si="8"/>
        <v/>
      </c>
    </row>
    <row r="2240">
      <c r="A2240" s="14" t="str">
        <f t="shared" si="1"/>
        <v>46130</v>
      </c>
      <c r="B2240" s="185" t="str">
        <f t="array" ref="B2240">IF(F2240="VL","",IF(F2240="Free","Free",XLOOKUP(D2240,Roster!T:T,Roster!S:S,"",0)))</f>
        <v/>
      </c>
      <c r="C2240" s="313">
        <v>46130.0</v>
      </c>
      <c r="D2240" s="314"/>
      <c r="E2240" s="307" t="str">
        <f t="array" ref="E2240">(XLOOKUP(D2240,Roster!F:F,Roster!B:B,"",0))</f>
        <v/>
      </c>
      <c r="F2240" s="315" t="str">
        <f t="array" ref="F2240">IF(B2240=100,"Free",TEXT(XLOOKUP($D2240,OperationVoice!$A:$A,OperationVoice!X:X,XLOOKUP($D2240,OperationTickets!$A:$A,OperationTickets!X:X,"",0)),"hh:mm"))</f>
        <v/>
      </c>
      <c r="G2240" s="309" t="str">
        <f t="shared" si="3"/>
        <v/>
      </c>
      <c r="H2240" s="316" t="str">
        <f t="array" ref="H2240">XLOOKUP(B2240,Roster!L:L,Roster!N:N,XLOOKUP(D2240,TicketsBreak!A:A,TicketsBreak!E:E,"",0),0)</f>
        <v/>
      </c>
      <c r="I2240" s="316" t="str">
        <f t="array" ref="I2240">XLOOKUP(B2240,Roster!L:L,Roster!O:O,XLOOKUP(D2240,TicketsBreak!A:A,TicketsBreak!F:F,"",0),0)</f>
        <v/>
      </c>
      <c r="J2240" s="316" t="str">
        <f t="array" ref="J2240">XLOOKUP(B2240,Roster!L:L,Roster!P:P,XLOOKUP(D2240,TicketsBreak!A:A,TicketsBreak!G:G,"",0),0)</f>
        <v/>
      </c>
      <c r="K2240" s="310">
        <f t="shared" si="4"/>
        <v>46130</v>
      </c>
      <c r="L2240" s="317" t="str">
        <f t="array" ref="L2240">(XLOOKUP(D2240,Roster!F:F,Roster!D:D,"",0))</f>
        <v/>
      </c>
      <c r="M2240" s="317" t="str">
        <f t="array" ref="M2240">XLOOKUP(D2240,Roster!F:F,Roster!E:E)</f>
        <v>#N/A</v>
      </c>
      <c r="N2240" s="317" t="str">
        <f t="shared" ref="N2240:P2240" si="2272">LEFT(H2240,5)</f>
        <v/>
      </c>
      <c r="O2240" s="317" t="str">
        <f t="shared" si="2272"/>
        <v/>
      </c>
      <c r="P2240" s="317" t="str">
        <f t="shared" si="2272"/>
        <v/>
      </c>
      <c r="Q2240" s="318" t="str">
        <f t="shared" si="2083"/>
        <v/>
      </c>
      <c r="R2240" s="318" t="str">
        <f t="shared" si="2084"/>
        <v/>
      </c>
      <c r="S2240" s="318" t="str">
        <f t="shared" si="8"/>
        <v/>
      </c>
    </row>
    <row r="2241">
      <c r="A2241" s="14" t="str">
        <f t="shared" si="1"/>
        <v>46130</v>
      </c>
      <c r="B2241" s="185" t="str">
        <f t="array" ref="B2241">IF(F2241="VL","",IF(F2241="Free","Free",XLOOKUP(D2241,Roster!T:T,Roster!S:S,"",0)))</f>
        <v/>
      </c>
      <c r="C2241" s="313">
        <v>46130.0</v>
      </c>
      <c r="D2241" s="314"/>
      <c r="E2241" s="307" t="str">
        <f t="array" ref="E2241">(XLOOKUP(D2241,Roster!F:F,Roster!B:B,"",0))</f>
        <v/>
      </c>
      <c r="F2241" s="315" t="str">
        <f t="array" ref="F2241">IF(B2241=100,"Free",TEXT(XLOOKUP($D2241,OperationVoice!$A:$A,OperationVoice!X:X,XLOOKUP($D2241,OperationTickets!$A:$A,OperationTickets!X:X,"",0)),"hh:mm"))</f>
        <v/>
      </c>
      <c r="G2241" s="309" t="str">
        <f t="shared" si="3"/>
        <v/>
      </c>
      <c r="H2241" s="316" t="str">
        <f t="array" ref="H2241">XLOOKUP(B2241,Roster!L:L,Roster!N:N,XLOOKUP(D2241,TicketsBreak!A:A,TicketsBreak!E:E,"",0),0)</f>
        <v/>
      </c>
      <c r="I2241" s="316" t="str">
        <f t="array" ref="I2241">XLOOKUP(B2241,Roster!L:L,Roster!O:O,XLOOKUP(D2241,TicketsBreak!A:A,TicketsBreak!F:F,"",0),0)</f>
        <v/>
      </c>
      <c r="J2241" s="316" t="str">
        <f t="array" ref="J2241">XLOOKUP(B2241,Roster!L:L,Roster!P:P,XLOOKUP(D2241,TicketsBreak!A:A,TicketsBreak!G:G,"",0),0)</f>
        <v/>
      </c>
      <c r="K2241" s="310">
        <f t="shared" si="4"/>
        <v>46130</v>
      </c>
      <c r="L2241" s="317" t="str">
        <f t="array" ref="L2241">(XLOOKUP(D2241,Roster!F:F,Roster!D:D,"",0))</f>
        <v/>
      </c>
      <c r="M2241" s="317" t="str">
        <f t="array" ref="M2241">XLOOKUP(D2241,Roster!F:F,Roster!E:E)</f>
        <v>#N/A</v>
      </c>
      <c r="N2241" s="317" t="str">
        <f t="shared" ref="N2241:P2241" si="2273">LEFT(H2241,5)</f>
        <v/>
      </c>
      <c r="O2241" s="317" t="str">
        <f t="shared" si="2273"/>
        <v/>
      </c>
      <c r="P2241" s="317" t="str">
        <f t="shared" si="2273"/>
        <v/>
      </c>
      <c r="Q2241" s="318" t="str">
        <f t="shared" si="2083"/>
        <v/>
      </c>
      <c r="R2241" s="318" t="str">
        <f t="shared" si="2084"/>
        <v/>
      </c>
      <c r="S2241" s="318" t="str">
        <f t="shared" si="8"/>
        <v/>
      </c>
    </row>
    <row r="2242">
      <c r="A2242" s="14" t="str">
        <f t="shared" si="1"/>
        <v>C81846132</v>
      </c>
      <c r="B2242" s="185">
        <f t="array" ref="B2242">IF(F2242="VL","",IF(F2242="Free","Free",XLOOKUP(D2242,Roster!T:T,Roster!S:S,"",0)))</f>
        <v>123</v>
      </c>
      <c r="C2242" s="313">
        <v>46132.0</v>
      </c>
      <c r="D2242" s="314" t="s">
        <v>9</v>
      </c>
      <c r="E2242" s="307" t="str">
        <f t="array" ref="E2242">(XLOOKUP(D2242,Roster!F:F,Roster!B:B,"",0))</f>
        <v>Adriana Moncaleano</v>
      </c>
      <c r="F2242" s="315" t="str">
        <f t="array" ref="F2242">IF(B2242=100,"Free",TEXT(XLOOKUP($D2242,OperationVoice!$A:$A,OperationVoice!Z:Z,XLOOKUP($D2242,OperationTickets!$A:$A,OperationTickets!Z:Z,"",0)),"hh:mm"))</f>
        <v>08:00</v>
      </c>
      <c r="G2242" s="309">
        <f t="shared" si="3"/>
        <v>0.7083333333</v>
      </c>
      <c r="H2242" s="316" t="str">
        <f t="array" ref="H2242">XLOOKUP(B2242,Roster!L:L,Roster!N:N,XLOOKUP(D2242,TicketsBreak!A:A,TicketsBreak!E:E,"",0),0)</f>
        <v>09:45 - 10:00 </v>
      </c>
      <c r="I2242" s="316" t="str">
        <f t="array" ref="I2242">XLOOKUP(B2242,Roster!L:L,Roster!O:O,XLOOKUP(D2242,TicketsBreak!A:A,TicketsBreak!F:F,"",0),0)</f>
        <v>12:30 - 13:00</v>
      </c>
      <c r="J2242" s="316" t="str">
        <f t="array" ref="J2242">XLOOKUP(B2242,Roster!L:L,Roster!P:P,XLOOKUP(D2242,TicketsBreak!A:A,TicketsBreak!G:G,"",0),0)</f>
        <v>15:00 - 15:15</v>
      </c>
      <c r="K2242" s="310">
        <f t="shared" si="4"/>
        <v>46132</v>
      </c>
      <c r="L2242" s="317">
        <f t="array" ref="L2242">(XLOOKUP(D2242,Roster!F:F,Roster!D:D,"",0))</f>
        <v>23</v>
      </c>
      <c r="M2242" s="317" t="str">
        <f t="array" ref="M2242">XLOOKUP(D2242,Roster!F:F,Roster!E:E)</f>
        <v>Voice</v>
      </c>
      <c r="N2242" s="317" t="str">
        <f t="shared" ref="N2242:P2242" si="2274">LEFT(H2242,5)</f>
        <v>09:45</v>
      </c>
      <c r="O2242" s="317" t="str">
        <f t="shared" si="2274"/>
        <v>12:30</v>
      </c>
      <c r="P2242" s="317" t="str">
        <f t="shared" si="2274"/>
        <v>15:00</v>
      </c>
      <c r="Q2242" s="318">
        <f t="shared" si="2083"/>
        <v>46132.40625</v>
      </c>
      <c r="R2242" s="318">
        <f t="shared" si="2084"/>
        <v>46132.52083</v>
      </c>
      <c r="S2242" s="318">
        <f t="shared" si="8"/>
        <v>46132.625</v>
      </c>
    </row>
    <row r="2243">
      <c r="A2243" s="14" t="str">
        <f t="shared" si="1"/>
        <v>C110746132</v>
      </c>
      <c r="B2243" s="185">
        <f t="array" ref="B2243">IF(F2243="VL","",IF(F2243="Free","Free",XLOOKUP(D2243,Roster!T:T,Roster!S:S,"",0)))</f>
        <v>153</v>
      </c>
      <c r="C2243" s="313">
        <v>46132.0</v>
      </c>
      <c r="D2243" s="314" t="s">
        <v>10</v>
      </c>
      <c r="E2243" s="307" t="str">
        <f t="array" ref="E2243">(XLOOKUP(D2243,Roster!F:F,Roster!B:B,"",0))</f>
        <v>Alejandro Malave</v>
      </c>
      <c r="F2243" s="315" t="str">
        <f t="array" ref="F2243">IF(B2243=100,"Free",TEXT(XLOOKUP($D2243,OperationVoice!$A:$A,OperationVoice!Z:Z,XLOOKUP($D2243,OperationTickets!$A:$A,OperationTickets!Z:Z,"",0)),"hh:mm"))</f>
        <v>11:00</v>
      </c>
      <c r="G2243" s="309">
        <f t="shared" si="3"/>
        <v>0.8333333333</v>
      </c>
      <c r="H2243" s="316" t="str">
        <f t="array" ref="H2243">XLOOKUP(B2243,Roster!L:L,Roster!N:N,XLOOKUP(D2243,TicketsBreak!A:A,TicketsBreak!E:E,"",0),0)</f>
        <v>12:45 - 13:00</v>
      </c>
      <c r="I2243" s="316" t="str">
        <f t="array" ref="I2243">XLOOKUP(B2243,Roster!L:L,Roster!O:O,XLOOKUP(D2243,TicketsBreak!A:A,TicketsBreak!F:F,"",0),0)</f>
        <v>15:00 - 15:30</v>
      </c>
      <c r="J2243" s="316" t="str">
        <f t="array" ref="J2243">XLOOKUP(B2243,Roster!L:L,Roster!P:P,XLOOKUP(D2243,TicketsBreak!A:A,TicketsBreak!G:G,"",0),0)</f>
        <v>17:45 - 18:00</v>
      </c>
      <c r="K2243" s="310">
        <f t="shared" si="4"/>
        <v>46132</v>
      </c>
      <c r="L2243" s="317">
        <f t="array" ref="L2243">(XLOOKUP(D2243,Roster!F:F,Roster!D:D,"",0))</f>
        <v>36</v>
      </c>
      <c r="M2243" s="317" t="str">
        <f t="array" ref="M2243">XLOOKUP(D2243,Roster!F:F,Roster!E:E)</f>
        <v>Voice</v>
      </c>
      <c r="N2243" s="317" t="str">
        <f t="shared" ref="N2243:P2243" si="2275">LEFT(H2243,5)</f>
        <v>12:45</v>
      </c>
      <c r="O2243" s="317" t="str">
        <f t="shared" si="2275"/>
        <v>15:00</v>
      </c>
      <c r="P2243" s="317" t="str">
        <f t="shared" si="2275"/>
        <v>17:45</v>
      </c>
      <c r="Q2243" s="318">
        <f t="shared" si="2083"/>
        <v>46132.53125</v>
      </c>
      <c r="R2243" s="318">
        <f t="shared" si="2084"/>
        <v>46132.625</v>
      </c>
      <c r="S2243" s="318">
        <f t="shared" si="8"/>
        <v>46132.73958</v>
      </c>
    </row>
    <row r="2244">
      <c r="A2244" s="14" t="str">
        <f t="shared" si="1"/>
        <v>C69946132</v>
      </c>
      <c r="B2244" s="185" t="str">
        <f t="array" ref="B2244">IF(F2244="VL","",IF(F2244="Free","Free",XLOOKUP(D2244,Roster!T:T,Roster!S:S,"",0)))</f>
        <v/>
      </c>
      <c r="C2244" s="313">
        <v>46132.0</v>
      </c>
      <c r="D2244" s="314" t="s">
        <v>137</v>
      </c>
      <c r="E2244" s="307" t="str">
        <f t="array" ref="E2244">(XLOOKUP(D2244,Roster!F:F,Roster!B:B,"",0))</f>
        <v>Alexa Arenas</v>
      </c>
      <c r="F2244" s="315" t="str">
        <f t="array" ref="F2244">IF(B2244=100,"Free",TEXT(XLOOKUP($D2244,OperationVoice!$A:$A,OperationVoice!Z:Z,XLOOKUP($D2244,OperationTickets!$A:$A,OperationTickets!Z:Z,"",0)),"hh:mm"))</f>
        <v>08:00</v>
      </c>
      <c r="G2244" s="309">
        <f t="shared" si="3"/>
        <v>0.7083333333</v>
      </c>
      <c r="H2244" s="316">
        <f t="array" ref="H2244">XLOOKUP(B2244,Roster!L:L,Roster!N:N,XLOOKUP(D2244,TicketsBreak!A:A,TicketsBreak!E:E,"",0),0)</f>
        <v>0.40625</v>
      </c>
      <c r="I2244" s="316">
        <f t="array" ref="I2244">XLOOKUP(B2244,Roster!L:L,Roster!O:O,XLOOKUP(D2244,TicketsBreak!A:A,TicketsBreak!F:F,"",0),0)</f>
        <v>0.5</v>
      </c>
      <c r="J2244" s="316">
        <f t="array" ref="J2244">XLOOKUP(B2244,Roster!L:L,Roster!P:P,XLOOKUP(D2244,TicketsBreak!A:A,TicketsBreak!G:G,"",0),0)</f>
        <v>0.65625</v>
      </c>
      <c r="K2244" s="310">
        <f t="shared" si="4"/>
        <v>46132</v>
      </c>
      <c r="L2244" s="317">
        <f t="array" ref="L2244">(XLOOKUP(D2244,Roster!F:F,Roster!D:D,"",0))</f>
        <v>5</v>
      </c>
      <c r="M2244" s="317" t="str">
        <f t="array" ref="M2244">XLOOKUP(D2244,Roster!F:F,Roster!E:E)</f>
        <v>Tickets</v>
      </c>
      <c r="N2244" s="317" t="str">
        <f t="shared" ref="N2244:P2244" si="2276">LEFT(H2244,5)</f>
        <v>09:45</v>
      </c>
      <c r="O2244" s="317" t="str">
        <f t="shared" si="2276"/>
        <v>12:00</v>
      </c>
      <c r="P2244" s="317" t="str">
        <f t="shared" si="2276"/>
        <v>15:45</v>
      </c>
      <c r="Q2244" s="318">
        <f t="shared" si="2083"/>
        <v>46132.40625</v>
      </c>
      <c r="R2244" s="318">
        <f t="shared" si="2084"/>
        <v>46132.5</v>
      </c>
      <c r="S2244" s="318">
        <f t="shared" si="8"/>
        <v>46132.65625</v>
      </c>
    </row>
    <row r="2245">
      <c r="A2245" s="14" t="str">
        <f t="shared" si="1"/>
        <v>C157046132</v>
      </c>
      <c r="B2245" s="185">
        <f t="array" ref="B2245">IF(F2245="VL","",IF(F2245="Free","Free",XLOOKUP(D2245,Roster!T:T,Roster!S:S,"",0)))</f>
        <v>123</v>
      </c>
      <c r="C2245" s="313">
        <v>46132.0</v>
      </c>
      <c r="D2245" s="314" t="s">
        <v>11</v>
      </c>
      <c r="E2245" s="307" t="str">
        <f t="array" ref="E2245">(XLOOKUP(D2245,Roster!F:F,Roster!B:B,"",0))</f>
        <v>Alexander Bartoli</v>
      </c>
      <c r="F2245" s="315" t="str">
        <f t="array" ref="F2245">IF(B2245=100,"Free",TEXT(XLOOKUP($D2245,OperationVoice!$A:$A,OperationVoice!Z:Z,XLOOKUP($D2245,OperationTickets!$A:$A,OperationTickets!Z:Z,"",0)),"hh:mm"))</f>
        <v>08:00</v>
      </c>
      <c r="G2245" s="309">
        <f t="shared" si="3"/>
        <v>0.7083333333</v>
      </c>
      <c r="H2245" s="316" t="str">
        <f t="array" ref="H2245">XLOOKUP(B2245,Roster!L:L,Roster!N:N,XLOOKUP(D2245,TicketsBreak!A:A,TicketsBreak!E:E,"",0),0)</f>
        <v>09:45 - 10:00 </v>
      </c>
      <c r="I2245" s="316" t="str">
        <f t="array" ref="I2245">XLOOKUP(B2245,Roster!L:L,Roster!O:O,XLOOKUP(D2245,TicketsBreak!A:A,TicketsBreak!F:F,"",0),0)</f>
        <v>12:30 - 13:00</v>
      </c>
      <c r="J2245" s="316" t="str">
        <f t="array" ref="J2245">XLOOKUP(B2245,Roster!L:L,Roster!P:P,XLOOKUP(D2245,TicketsBreak!A:A,TicketsBreak!G:G,"",0),0)</f>
        <v>15:00 - 15:15</v>
      </c>
      <c r="K2245" s="310">
        <f t="shared" si="4"/>
        <v>46132</v>
      </c>
      <c r="L2245" s="317">
        <f t="array" ref="L2245">(XLOOKUP(D2245,Roster!F:F,Roster!D:D,"",0))</f>
        <v>38</v>
      </c>
      <c r="M2245" s="317" t="str">
        <f t="array" ref="M2245">XLOOKUP(D2245,Roster!F:F,Roster!E:E)</f>
        <v>Voice</v>
      </c>
      <c r="N2245" s="317" t="str">
        <f t="shared" ref="N2245:P2245" si="2277">LEFT(H2245,5)</f>
        <v>09:45</v>
      </c>
      <c r="O2245" s="317" t="str">
        <f t="shared" si="2277"/>
        <v>12:30</v>
      </c>
      <c r="P2245" s="317" t="str">
        <f t="shared" si="2277"/>
        <v>15:00</v>
      </c>
      <c r="Q2245" s="318">
        <f t="shared" si="2083"/>
        <v>46132.40625</v>
      </c>
      <c r="R2245" s="318">
        <f t="shared" si="2084"/>
        <v>46132.52083</v>
      </c>
      <c r="S2245" s="318">
        <f t="shared" si="8"/>
        <v>46132.625</v>
      </c>
    </row>
    <row r="2246">
      <c r="A2246" s="14" t="str">
        <f t="shared" si="1"/>
        <v>C93546132</v>
      </c>
      <c r="B2246" s="185" t="str">
        <f t="array" ref="B2246">IF(F2246="VL","",IF(F2246="Free","Free",XLOOKUP(D2246,Roster!T:T,Roster!S:S,"",0)))</f>
        <v/>
      </c>
      <c r="C2246" s="313">
        <v>46132.0</v>
      </c>
      <c r="D2246" s="314" t="s">
        <v>153</v>
      </c>
      <c r="E2246" s="307" t="str">
        <f t="array" ref="E2246">(XLOOKUP(D2246,Roster!F:F,Roster!B:B,"",0))</f>
        <v>Alexis Arias</v>
      </c>
      <c r="F2246" s="315" t="str">
        <f t="array" ref="F2246">IF(B2246=100,"Free",TEXT(XLOOKUP($D2246,OperationVoice!$A:$A,OperationVoice!Z:Z,XLOOKUP($D2246,OperationTickets!$A:$A,OperationTickets!Z:Z,"",0)),"hh:mm"))</f>
        <v>07:30</v>
      </c>
      <c r="G2246" s="309">
        <f t="shared" si="3"/>
        <v>0.6875</v>
      </c>
      <c r="H2246" s="316">
        <f t="array" ref="H2246">XLOOKUP(B2246,Roster!L:L,Roster!N:N,XLOOKUP(D2246,TicketsBreak!A:A,TicketsBreak!E:E,"",0),0)</f>
        <v>0.4270833333</v>
      </c>
      <c r="I2246" s="316">
        <f t="array" ref="I2246">XLOOKUP(B2246,Roster!L:L,Roster!O:O,XLOOKUP(D2246,TicketsBreak!A:A,TicketsBreak!F:F,"",0),0)</f>
        <v>0.53125</v>
      </c>
      <c r="J2246" s="316">
        <f t="array" ref="J2246">XLOOKUP(B2246,Roster!L:L,Roster!P:P,XLOOKUP(D2246,TicketsBreak!A:A,TicketsBreak!G:G,"",0),0)</f>
        <v>0.6458333333</v>
      </c>
      <c r="K2246" s="310">
        <f t="shared" si="4"/>
        <v>46132</v>
      </c>
      <c r="L2246" s="317">
        <f t="array" ref="L2246">(XLOOKUP(D2246,Roster!F:F,Roster!D:D,"",0))</f>
        <v>12</v>
      </c>
      <c r="M2246" s="317" t="str">
        <f t="array" ref="M2246">XLOOKUP(D2246,Roster!F:F,Roster!E:E)</f>
        <v>Tickets</v>
      </c>
      <c r="N2246" s="317" t="str">
        <f t="shared" ref="N2246:P2246" si="2278">LEFT(H2246,5)</f>
        <v>10:15</v>
      </c>
      <c r="O2246" s="317" t="str">
        <f t="shared" si="2278"/>
        <v>12:45</v>
      </c>
      <c r="P2246" s="317" t="str">
        <f t="shared" si="2278"/>
        <v>15:30</v>
      </c>
      <c r="Q2246" s="318">
        <f t="shared" si="2083"/>
        <v>46132.42708</v>
      </c>
      <c r="R2246" s="318">
        <f t="shared" si="2084"/>
        <v>46132.53125</v>
      </c>
      <c r="S2246" s="318">
        <f t="shared" si="8"/>
        <v>46132.64583</v>
      </c>
    </row>
    <row r="2247">
      <c r="A2247" s="14" t="str">
        <f t="shared" si="1"/>
        <v>C72746132</v>
      </c>
      <c r="B2247" s="185" t="str">
        <f t="array" ref="B2247">IF(F2247="VL","",IF(F2247="Free","Free",XLOOKUP(D2247,Roster!T:T,Roster!S:S,"",0)))</f>
        <v/>
      </c>
      <c r="C2247" s="313">
        <v>46132.0</v>
      </c>
      <c r="D2247" s="314" t="s">
        <v>154</v>
      </c>
      <c r="E2247" s="307" t="str">
        <f t="array" ref="E2247">(XLOOKUP(D2247,Roster!F:F,Roster!B:B,"",0))</f>
        <v>Ana Moreno</v>
      </c>
      <c r="F2247" s="315" t="str">
        <f t="array" ref="F2247">IF(B2247=100,"Free",TEXT(XLOOKUP($D2247,OperationVoice!$A:$A,OperationVoice!Z:Z,XLOOKUP($D2247,OperationTickets!$A:$A,OperationTickets!Z:Z,"",0)),"hh:mm"))</f>
        <v>08:00</v>
      </c>
      <c r="G2247" s="309">
        <f t="shared" si="3"/>
        <v>0.7083333333</v>
      </c>
      <c r="H2247" s="316">
        <f t="array" ref="H2247">XLOOKUP(B2247,Roster!L:L,Roster!N:N,XLOOKUP(D2247,TicketsBreak!A:A,TicketsBreak!E:E,"",0),0)</f>
        <v>0.4166666667</v>
      </c>
      <c r="I2247" s="316">
        <f t="array" ref="I2247">XLOOKUP(B2247,Roster!L:L,Roster!O:O,XLOOKUP(D2247,TicketsBreak!A:A,TicketsBreak!F:F,"",0),0)</f>
        <v>0.5208333333</v>
      </c>
      <c r="J2247" s="316">
        <f t="array" ref="J2247">XLOOKUP(B2247,Roster!L:L,Roster!P:P,XLOOKUP(D2247,TicketsBreak!A:A,TicketsBreak!G:G,"",0),0)</f>
        <v>0.65625</v>
      </c>
      <c r="K2247" s="310">
        <f t="shared" si="4"/>
        <v>46132</v>
      </c>
      <c r="L2247" s="317">
        <f t="array" ref="L2247">(XLOOKUP(D2247,Roster!F:F,Roster!D:D,"",0))</f>
        <v>7</v>
      </c>
      <c r="M2247" s="317" t="str">
        <f t="array" ref="M2247">XLOOKUP(D2247,Roster!F:F,Roster!E:E)</f>
        <v>Tickets</v>
      </c>
      <c r="N2247" s="317" t="str">
        <f t="shared" ref="N2247:P2247" si="2279">LEFT(H2247,5)</f>
        <v>10:00</v>
      </c>
      <c r="O2247" s="317" t="str">
        <f t="shared" si="2279"/>
        <v>12:30</v>
      </c>
      <c r="P2247" s="317" t="str">
        <f t="shared" si="2279"/>
        <v>15:45</v>
      </c>
      <c r="Q2247" s="318">
        <f t="shared" si="2083"/>
        <v>46132.41667</v>
      </c>
      <c r="R2247" s="318">
        <f t="shared" si="2084"/>
        <v>46132.52083</v>
      </c>
      <c r="S2247" s="318">
        <f t="shared" si="8"/>
        <v>46132.65625</v>
      </c>
    </row>
    <row r="2248">
      <c r="A2248" s="14" t="str">
        <f t="shared" si="1"/>
        <v>C157446132</v>
      </c>
      <c r="B2248" s="185">
        <f t="array" ref="B2248">IF(F2248="VL","",IF(F2248="Free","Free",XLOOKUP(D2248,Roster!T:T,Roster!S:S,"",0)))</f>
        <v>124</v>
      </c>
      <c r="C2248" s="313">
        <v>46132.0</v>
      </c>
      <c r="D2248" s="314" t="s">
        <v>12</v>
      </c>
      <c r="E2248" s="307" t="str">
        <f t="array" ref="E2248">(XLOOKUP(D2248,Roster!F:F,Roster!B:B,"",0))</f>
        <v>Ana Quintero</v>
      </c>
      <c r="F2248" s="315" t="str">
        <f t="array" ref="F2248">IF(B2248=100,"Free",TEXT(XLOOKUP($D2248,OperationVoice!$A:$A,OperationVoice!Z:Z,XLOOKUP($D2248,OperationTickets!$A:$A,OperationTickets!Z:Z,"",0)),"hh:mm"))</f>
        <v>08:00</v>
      </c>
      <c r="G2248" s="309">
        <f t="shared" si="3"/>
        <v>0.7083333333</v>
      </c>
      <c r="H2248" s="316" t="str">
        <f t="array" ref="H2248">XLOOKUP(B2248,Roster!L:L,Roster!N:N,XLOOKUP(D2248,TicketsBreak!A:A,TicketsBreak!E:E,"",0),0)</f>
        <v>10:00 - 10:15</v>
      </c>
      <c r="I2248" s="316" t="str">
        <f t="array" ref="I2248">XLOOKUP(B2248,Roster!L:L,Roster!O:O,XLOOKUP(D2248,TicketsBreak!A:A,TicketsBreak!F:F,"",0),0)</f>
        <v>13:00 - 13:30</v>
      </c>
      <c r="J2248" s="316" t="str">
        <f t="array" ref="J2248">XLOOKUP(B2248,Roster!L:L,Roster!P:P,XLOOKUP(D2248,TicketsBreak!A:A,TicketsBreak!G:G,"",0),0)</f>
        <v>15:30 - 15:45</v>
      </c>
      <c r="K2248" s="310">
        <f t="shared" si="4"/>
        <v>46132</v>
      </c>
      <c r="L2248" s="317">
        <f t="array" ref="L2248">(XLOOKUP(D2248,Roster!F:F,Roster!D:D,"",0))</f>
        <v>38</v>
      </c>
      <c r="M2248" s="317" t="str">
        <f t="array" ref="M2248">XLOOKUP(D2248,Roster!F:F,Roster!E:E)</f>
        <v>Voice</v>
      </c>
      <c r="N2248" s="317" t="str">
        <f t="shared" ref="N2248:P2248" si="2280">LEFT(H2248,5)</f>
        <v>10:00</v>
      </c>
      <c r="O2248" s="317" t="str">
        <f t="shared" si="2280"/>
        <v>13:00</v>
      </c>
      <c r="P2248" s="317" t="str">
        <f t="shared" si="2280"/>
        <v>15:30</v>
      </c>
      <c r="Q2248" s="318">
        <f t="shared" si="2083"/>
        <v>46132.41667</v>
      </c>
      <c r="R2248" s="318">
        <f t="shared" si="2084"/>
        <v>46132.54167</v>
      </c>
      <c r="S2248" s="318">
        <f t="shared" si="8"/>
        <v>46132.64583</v>
      </c>
    </row>
    <row r="2249">
      <c r="A2249" s="14" t="str">
        <f t="shared" si="1"/>
        <v>C46946132</v>
      </c>
      <c r="B2249" s="185" t="str">
        <f t="array" ref="B2249">IF(F2249="VL","",IF(F2249="Free","Free",XLOOKUP(D2249,Roster!T:T,Roster!S:S,"",0)))</f>
        <v/>
      </c>
      <c r="C2249" s="313">
        <v>46132.0</v>
      </c>
      <c r="D2249" s="314" t="s">
        <v>171</v>
      </c>
      <c r="E2249" s="307" t="str">
        <f t="array" ref="E2249">(XLOOKUP(D2249,Roster!F:F,Roster!B:B,"",0))</f>
        <v>Ana Ruiz</v>
      </c>
      <c r="F2249" s="315" t="str">
        <f t="array" ref="F2249">IF(B2249=100,"Free",TEXT(XLOOKUP($D2249,OperationVoice!$A:$A,OperationVoice!Z:Z,XLOOKUP($D2249,OperationTickets!$A:$A,OperationTickets!Z:Z,"",0)),"hh:mm"))</f>
        <v>08:00</v>
      </c>
      <c r="G2249" s="309">
        <f t="shared" si="3"/>
        <v>0.7083333333</v>
      </c>
      <c r="H2249" s="316">
        <f t="array" ref="H2249">XLOOKUP(B2249,Roster!L:L,Roster!N:N,XLOOKUP(D2249,TicketsBreak!A:A,TicketsBreak!E:E,"",0),0)</f>
        <v>0.3854166667</v>
      </c>
      <c r="I2249" s="316">
        <f t="array" ref="I2249">XLOOKUP(B2249,Roster!L:L,Roster!O:O,XLOOKUP(D2249,TicketsBreak!A:A,TicketsBreak!F:F,"",0),0)</f>
        <v>0.5</v>
      </c>
      <c r="J2249" s="316">
        <f t="array" ref="J2249">XLOOKUP(B2249,Roster!L:L,Roster!P:P,XLOOKUP(D2249,TicketsBreak!A:A,TicketsBreak!G:G,"",0),0)</f>
        <v>0.6041666667</v>
      </c>
      <c r="K2249" s="310">
        <f t="shared" si="4"/>
        <v>46132</v>
      </c>
      <c r="L2249" s="317">
        <f t="array" ref="L2249">(XLOOKUP(D2249,Roster!F:F,Roster!D:D,"",0))</f>
        <v>3</v>
      </c>
      <c r="M2249" s="317" t="str">
        <f t="array" ref="M2249">XLOOKUP(D2249,Roster!F:F,Roster!E:E)</f>
        <v>Tickets</v>
      </c>
      <c r="N2249" s="317" t="str">
        <f t="shared" ref="N2249:P2249" si="2281">LEFT(H2249,5)</f>
        <v>09:15</v>
      </c>
      <c r="O2249" s="317" t="str">
        <f t="shared" si="2281"/>
        <v>12:00</v>
      </c>
      <c r="P2249" s="317" t="str">
        <f t="shared" si="2281"/>
        <v>14:30</v>
      </c>
      <c r="Q2249" s="318">
        <f t="shared" si="2083"/>
        <v>46132.38542</v>
      </c>
      <c r="R2249" s="318">
        <f t="shared" si="2084"/>
        <v>46132.5</v>
      </c>
      <c r="S2249" s="318">
        <f t="shared" si="8"/>
        <v>46132.60417</v>
      </c>
    </row>
    <row r="2250">
      <c r="A2250" s="14" t="str">
        <f t="shared" si="1"/>
        <v>C155446132</v>
      </c>
      <c r="B2250" s="185">
        <f t="array" ref="B2250">IF(F2250="VL","",IF(F2250="Free","Free",XLOOKUP(D2250,Roster!T:T,Roster!S:S,"",0)))</f>
        <v>131</v>
      </c>
      <c r="C2250" s="313">
        <v>46132.0</v>
      </c>
      <c r="D2250" s="314" t="s">
        <v>13</v>
      </c>
      <c r="E2250" s="307" t="str">
        <f t="array" ref="E2250">(XLOOKUP(D2250,Roster!F:F,Roster!B:B,"",0))</f>
        <v>Andres Lopez</v>
      </c>
      <c r="F2250" s="315" t="str">
        <f t="array" ref="F2250">IF(B2250=100,"Free",TEXT(XLOOKUP($D2250,OperationVoice!$A:$A,OperationVoice!Z:Z,XLOOKUP($D2250,OperationTickets!$A:$A,OperationTickets!Z:Z,"",0)),"hh:mm"))</f>
        <v>09:00</v>
      </c>
      <c r="G2250" s="309">
        <f t="shared" si="3"/>
        <v>0.75</v>
      </c>
      <c r="H2250" s="316" t="str">
        <f t="array" ref="H2250">XLOOKUP(B2250,Roster!L:L,Roster!N:N,XLOOKUP(D2250,TicketsBreak!A:A,TicketsBreak!E:E,"",0),0)</f>
        <v>10:15 - 10:30</v>
      </c>
      <c r="I2250" s="316" t="str">
        <f t="array" ref="I2250">XLOOKUP(B2250,Roster!L:L,Roster!O:O,XLOOKUP(D2250,TicketsBreak!A:A,TicketsBreak!F:F,"",0),0)</f>
        <v>12:30 - 13:00</v>
      </c>
      <c r="J2250" s="316" t="str">
        <f t="array" ref="J2250">XLOOKUP(B2250,Roster!L:L,Roster!P:P,XLOOKUP(D2250,TicketsBreak!A:A,TicketsBreak!G:G,"",0),0)</f>
        <v>15:15 - 15:30</v>
      </c>
      <c r="K2250" s="310">
        <f t="shared" si="4"/>
        <v>46132</v>
      </c>
      <c r="L2250" s="317">
        <f t="array" ref="L2250">(XLOOKUP(D2250,Roster!F:F,Roster!D:D,"",0))</f>
        <v>37</v>
      </c>
      <c r="M2250" s="317" t="str">
        <f t="array" ref="M2250">XLOOKUP(D2250,Roster!F:F,Roster!E:E)</f>
        <v>Voice</v>
      </c>
      <c r="N2250" s="317" t="str">
        <f t="shared" ref="N2250:P2250" si="2282">LEFT(H2250,5)</f>
        <v>10:15</v>
      </c>
      <c r="O2250" s="317" t="str">
        <f t="shared" si="2282"/>
        <v>12:30</v>
      </c>
      <c r="P2250" s="317" t="str">
        <f t="shared" si="2282"/>
        <v>15:15</v>
      </c>
      <c r="Q2250" s="318">
        <f t="shared" si="2083"/>
        <v>46132.42708</v>
      </c>
      <c r="R2250" s="318">
        <f t="shared" si="2084"/>
        <v>46132.52083</v>
      </c>
      <c r="S2250" s="318">
        <f t="shared" si="8"/>
        <v>46132.63542</v>
      </c>
    </row>
    <row r="2251">
      <c r="A2251" s="14" t="str">
        <f t="shared" si="1"/>
        <v>C156746132</v>
      </c>
      <c r="B2251" s="185">
        <f t="array" ref="B2251">IF(F2251="VL","",IF(F2251="Free","Free",XLOOKUP(D2251,Roster!T:T,Roster!S:S,"",0)))</f>
        <v>125</v>
      </c>
      <c r="C2251" s="313">
        <v>46132.0</v>
      </c>
      <c r="D2251" s="314" t="s">
        <v>14</v>
      </c>
      <c r="E2251" s="307" t="str">
        <f t="array" ref="E2251">(XLOOKUP(D2251,Roster!F:F,Roster!B:B,"",0))</f>
        <v>Andres Salazar</v>
      </c>
      <c r="F2251" s="315" t="str">
        <f t="array" ref="F2251">IF(B2251=100,"Free",TEXT(XLOOKUP($D2251,OperationVoice!$A:$A,OperationVoice!Z:Z,XLOOKUP($D2251,OperationTickets!$A:$A,OperationTickets!Z:Z,"",0)),"hh:mm"))</f>
        <v>08:00</v>
      </c>
      <c r="G2251" s="309">
        <f t="shared" si="3"/>
        <v>0.7083333333</v>
      </c>
      <c r="H2251" s="316" t="str">
        <f t="array" ref="H2251">XLOOKUP(B2251,Roster!L:L,Roster!N:N,XLOOKUP(D2251,TicketsBreak!A:A,TicketsBreak!E:E,"",0),0)</f>
        <v>10:30 - 10:45</v>
      </c>
      <c r="I2251" s="316" t="str">
        <f t="array" ref="I2251">XLOOKUP(B2251,Roster!L:L,Roster!O:O,XLOOKUP(D2251,TicketsBreak!A:A,TicketsBreak!F:F,"",0),0)</f>
        <v>13:30 - 14:00</v>
      </c>
      <c r="J2251" s="316" t="str">
        <f t="array" ref="J2251">XLOOKUP(B2251,Roster!L:L,Roster!P:P,XLOOKUP(D2251,TicketsBreak!A:A,TicketsBreak!G:G,"",0),0)</f>
        <v>15:45 - 16:00</v>
      </c>
      <c r="K2251" s="310">
        <f t="shared" si="4"/>
        <v>46132</v>
      </c>
      <c r="L2251" s="317">
        <f t="array" ref="L2251">(XLOOKUP(D2251,Roster!F:F,Roster!D:D,"",0))</f>
        <v>38</v>
      </c>
      <c r="M2251" s="317" t="str">
        <f t="array" ref="M2251">XLOOKUP(D2251,Roster!F:F,Roster!E:E)</f>
        <v>Voice</v>
      </c>
      <c r="N2251" s="317" t="str">
        <f t="shared" ref="N2251:P2251" si="2283">LEFT(H2251,5)</f>
        <v>10:30</v>
      </c>
      <c r="O2251" s="317" t="str">
        <f t="shared" si="2283"/>
        <v>13:30</v>
      </c>
      <c r="P2251" s="317" t="str">
        <f t="shared" si="2283"/>
        <v>15:45</v>
      </c>
      <c r="Q2251" s="318">
        <f t="shared" si="2083"/>
        <v>46132.4375</v>
      </c>
      <c r="R2251" s="318">
        <f t="shared" si="2084"/>
        <v>46132.5625</v>
      </c>
      <c r="S2251" s="318">
        <f t="shared" si="8"/>
        <v>46132.65625</v>
      </c>
    </row>
    <row r="2252">
      <c r="A2252" s="14" t="str">
        <f t="shared" si="1"/>
        <v>C134846132</v>
      </c>
      <c r="B2252" s="185">
        <f t="array" ref="B2252">IF(F2252="VL","",IF(F2252="Free","Free",XLOOKUP(D2252,Roster!T:T,Roster!S:S,"",0)))</f>
        <v>124</v>
      </c>
      <c r="C2252" s="313">
        <v>46132.0</v>
      </c>
      <c r="D2252" s="314" t="s">
        <v>15</v>
      </c>
      <c r="E2252" s="307" t="str">
        <f t="array" ref="E2252">(XLOOKUP(D2252,Roster!F:F,Roster!B:B,"",0))</f>
        <v>Angelo Zapata</v>
      </c>
      <c r="F2252" s="315" t="str">
        <f t="array" ref="F2252">IF(B2252=100,"Free",TEXT(XLOOKUP($D2252,OperationVoice!$A:$A,OperationVoice!Z:Z,XLOOKUP($D2252,OperationTickets!$A:$A,OperationTickets!Z:Z,"",0)),"hh:mm"))</f>
        <v>08:00</v>
      </c>
      <c r="G2252" s="309">
        <f t="shared" si="3"/>
        <v>0.7083333333</v>
      </c>
      <c r="H2252" s="316" t="str">
        <f t="array" ref="H2252">XLOOKUP(B2252,Roster!L:L,Roster!N:N,XLOOKUP(D2252,TicketsBreak!A:A,TicketsBreak!E:E,"",0),0)</f>
        <v>10:00 - 10:15</v>
      </c>
      <c r="I2252" s="316" t="str">
        <f t="array" ref="I2252">XLOOKUP(B2252,Roster!L:L,Roster!O:O,XLOOKUP(D2252,TicketsBreak!A:A,TicketsBreak!F:F,"",0),0)</f>
        <v>13:00 - 13:30</v>
      </c>
      <c r="J2252" s="316" t="str">
        <f t="array" ref="J2252">XLOOKUP(B2252,Roster!L:L,Roster!P:P,XLOOKUP(D2252,TicketsBreak!A:A,TicketsBreak!G:G,"",0),0)</f>
        <v>15:30 - 15:45</v>
      </c>
      <c r="K2252" s="310">
        <f t="shared" si="4"/>
        <v>46132</v>
      </c>
      <c r="L2252" s="317">
        <f t="array" ref="L2252">(XLOOKUP(D2252,Roster!F:F,Roster!D:D,"",0))</f>
        <v>30</v>
      </c>
      <c r="M2252" s="317" t="str">
        <f t="array" ref="M2252">XLOOKUP(D2252,Roster!F:F,Roster!E:E)</f>
        <v>Voice</v>
      </c>
      <c r="N2252" s="317" t="str">
        <f t="shared" ref="N2252:P2252" si="2284">LEFT(H2252,5)</f>
        <v>10:00</v>
      </c>
      <c r="O2252" s="317" t="str">
        <f t="shared" si="2284"/>
        <v>13:00</v>
      </c>
      <c r="P2252" s="317" t="str">
        <f t="shared" si="2284"/>
        <v>15:30</v>
      </c>
      <c r="Q2252" s="318">
        <f t="shared" si="2083"/>
        <v>46132.41667</v>
      </c>
      <c r="R2252" s="318">
        <f t="shared" si="2084"/>
        <v>46132.54167</v>
      </c>
      <c r="S2252" s="318">
        <f t="shared" si="8"/>
        <v>46132.64583</v>
      </c>
    </row>
    <row r="2253">
      <c r="A2253" s="14" t="str">
        <f t="shared" si="1"/>
        <v>C116746132</v>
      </c>
      <c r="B2253" s="185" t="str">
        <f t="array" ref="B2253">IF(F2253="VL","",IF(F2253="Free","Free",XLOOKUP(D2253,Roster!T:T,Roster!S:S,"",0)))</f>
        <v/>
      </c>
      <c r="C2253" s="313">
        <v>46132.0</v>
      </c>
      <c r="D2253" s="314" t="s">
        <v>172</v>
      </c>
      <c r="E2253" s="307" t="str">
        <f t="array" ref="E2253">(XLOOKUP(D2253,Roster!F:F,Roster!B:B,"",0))</f>
        <v>Angie Rua</v>
      </c>
      <c r="F2253" s="315" t="str">
        <f t="array" ref="F2253">IF(B2253=100,"Free",TEXT(XLOOKUP($D2253,OperationVoice!$A:$A,OperationVoice!Z:Z,XLOOKUP($D2253,OperationTickets!$A:$A,OperationTickets!Z:Z,"",0)),"hh:mm"))</f>
        <v>12:00</v>
      </c>
      <c r="G2253" s="309">
        <f t="shared" si="3"/>
        <v>0.875</v>
      </c>
      <c r="H2253" s="316" t="str">
        <f t="array" ref="H2253">XLOOKUP(B2253,Roster!L:L,Roster!N:N,XLOOKUP(D2253,TicketsBreak!A:A,TicketsBreak!E:E,"",0),0)</f>
        <v/>
      </c>
      <c r="I2253" s="316" t="str">
        <f t="array" ref="I2253">XLOOKUP(B2253,Roster!L:L,Roster!O:O,XLOOKUP(D2253,TicketsBreak!A:A,TicketsBreak!F:F,"",0),0)</f>
        <v/>
      </c>
      <c r="J2253" s="316" t="str">
        <f t="array" ref="J2253">XLOOKUP(B2253,Roster!L:L,Roster!P:P,XLOOKUP(D2253,TicketsBreak!A:A,TicketsBreak!G:G,"",0),0)</f>
        <v/>
      </c>
      <c r="K2253" s="310">
        <f t="shared" si="4"/>
        <v>46132</v>
      </c>
      <c r="L2253" s="317">
        <f t="array" ref="L2253">(XLOOKUP(D2253,Roster!F:F,Roster!D:D,"",0))</f>
        <v>24</v>
      </c>
      <c r="M2253" s="317" t="str">
        <f t="array" ref="M2253">XLOOKUP(D2253,Roster!F:F,Roster!E:E)</f>
        <v>Tickets</v>
      </c>
      <c r="N2253" s="317" t="str">
        <f t="shared" ref="N2253:P2253" si="2285">LEFT(H2253,5)</f>
        <v/>
      </c>
      <c r="O2253" s="317" t="str">
        <f t="shared" si="2285"/>
        <v/>
      </c>
      <c r="P2253" s="317" t="str">
        <f t="shared" si="2285"/>
        <v/>
      </c>
      <c r="Q2253" s="318" t="str">
        <f t="shared" si="2083"/>
        <v/>
      </c>
      <c r="R2253" s="318" t="str">
        <f t="shared" si="2084"/>
        <v/>
      </c>
      <c r="S2253" s="318" t="str">
        <f t="shared" si="8"/>
        <v/>
      </c>
    </row>
    <row r="2254">
      <c r="A2254" s="14" t="str">
        <f t="shared" si="1"/>
        <v>C157946132</v>
      </c>
      <c r="B2254" s="185">
        <f t="array" ref="B2254">IF(F2254="VL","",IF(F2254="Free","Free",XLOOKUP(D2254,Roster!T:T,Roster!S:S,"",0)))</f>
        <v>126</v>
      </c>
      <c r="C2254" s="313">
        <v>46132.0</v>
      </c>
      <c r="D2254" s="314" t="s">
        <v>16</v>
      </c>
      <c r="E2254" s="307" t="str">
        <f t="array" ref="E2254">(XLOOKUP(D2254,Roster!F:F,Roster!B:B,"",0))</f>
        <v>Anibal Munoz</v>
      </c>
      <c r="F2254" s="315" t="str">
        <f t="array" ref="F2254">IF(B2254=100,"Free",TEXT(XLOOKUP($D2254,OperationVoice!$A:$A,OperationVoice!Z:Z,XLOOKUP($D2254,OperationTickets!$A:$A,OperationTickets!Z:Z,"",0)),"hh:mm"))</f>
        <v>08:00</v>
      </c>
      <c r="G2254" s="309">
        <f t="shared" si="3"/>
        <v>0.7083333333</v>
      </c>
      <c r="H2254" s="316" t="str">
        <f t="array" ref="H2254">XLOOKUP(B2254,Roster!L:L,Roster!N:N,XLOOKUP(D2254,TicketsBreak!A:A,TicketsBreak!E:E,"",0),0)</f>
        <v>10:45 - 11:00</v>
      </c>
      <c r="I2254" s="316" t="str">
        <f t="array" ref="I2254">XLOOKUP(B2254,Roster!L:L,Roster!O:O,XLOOKUP(D2254,TicketsBreak!A:A,TicketsBreak!F:F,"",0),0)</f>
        <v>14:00 - 14:30</v>
      </c>
      <c r="J2254" s="316" t="str">
        <f t="array" ref="J2254">XLOOKUP(B2254,Roster!L:L,Roster!P:P,XLOOKUP(D2254,TicketsBreak!A:A,TicketsBreak!G:G,"",0),0)</f>
        <v>15:45 - 16:00</v>
      </c>
      <c r="K2254" s="310">
        <f t="shared" si="4"/>
        <v>46132</v>
      </c>
      <c r="L2254" s="317">
        <f t="array" ref="L2254">(XLOOKUP(D2254,Roster!F:F,Roster!D:D,"",0))</f>
        <v>38</v>
      </c>
      <c r="M2254" s="317" t="str">
        <f t="array" ref="M2254">XLOOKUP(D2254,Roster!F:F,Roster!E:E)</f>
        <v>Voice</v>
      </c>
      <c r="N2254" s="317" t="str">
        <f t="shared" ref="N2254:P2254" si="2286">LEFT(H2254,5)</f>
        <v>10:45</v>
      </c>
      <c r="O2254" s="317" t="str">
        <f t="shared" si="2286"/>
        <v>14:00</v>
      </c>
      <c r="P2254" s="317" t="str">
        <f t="shared" si="2286"/>
        <v>15:45</v>
      </c>
      <c r="Q2254" s="318">
        <f t="shared" si="2083"/>
        <v>46132.44792</v>
      </c>
      <c r="R2254" s="318">
        <f t="shared" si="2084"/>
        <v>46132.58333</v>
      </c>
      <c r="S2254" s="318">
        <f t="shared" si="8"/>
        <v>46132.65625</v>
      </c>
    </row>
    <row r="2255">
      <c r="A2255" s="14" t="str">
        <f t="shared" si="1"/>
        <v>C08046132</v>
      </c>
      <c r="B2255" s="185" t="str">
        <f t="array" ref="B2255">IF(F2255="VL","",IF(F2255="Free","Free",XLOOKUP(D2255,Roster!T:T,Roster!S:S,"",0)))</f>
        <v/>
      </c>
      <c r="C2255" s="313">
        <v>46132.0</v>
      </c>
      <c r="D2255" s="314" t="s">
        <v>138</v>
      </c>
      <c r="E2255" s="307" t="str">
        <f t="array" ref="E2255">(XLOOKUP(D2255,Roster!F:F,Roster!B:B,"",0))</f>
        <v>Arturo Padilla</v>
      </c>
      <c r="F2255" s="315" t="str">
        <f t="array" ref="F2255">IF(B2255=100,"Free",TEXT(XLOOKUP($D2255,OperationVoice!$A:$A,OperationVoice!Z:Z,XLOOKUP($D2255,OperationTickets!$A:$A,OperationTickets!Z:Z,"",0)),"hh:mm"))</f>
        <v>08:00</v>
      </c>
      <c r="G2255" s="309">
        <f t="shared" si="3"/>
        <v>0.7083333333</v>
      </c>
      <c r="H2255" s="316">
        <f t="array" ref="H2255">XLOOKUP(B2255,Roster!L:L,Roster!N:N,XLOOKUP(D2255,TicketsBreak!A:A,TicketsBreak!E:E,"",0),0)</f>
        <v>0.375</v>
      </c>
      <c r="I2255" s="316">
        <f t="array" ref="I2255">XLOOKUP(B2255,Roster!L:L,Roster!O:O,XLOOKUP(D2255,TicketsBreak!A:A,TicketsBreak!F:F,"",0),0)</f>
        <v>0.5</v>
      </c>
      <c r="J2255" s="316">
        <f t="array" ref="J2255">XLOOKUP(B2255,Roster!L:L,Roster!P:P,XLOOKUP(D2255,TicketsBreak!A:A,TicketsBreak!G:G,"",0),0)</f>
        <v>0.6458333333</v>
      </c>
      <c r="K2255" s="310">
        <f t="shared" si="4"/>
        <v>46132</v>
      </c>
      <c r="L2255" s="317">
        <f t="array" ref="L2255">(XLOOKUP(D2255,Roster!F:F,Roster!D:D,"",0))</f>
        <v>1</v>
      </c>
      <c r="M2255" s="317" t="str">
        <f t="array" ref="M2255">XLOOKUP(D2255,Roster!F:F,Roster!E:E)</f>
        <v>Tickets</v>
      </c>
      <c r="N2255" s="317" t="str">
        <f t="shared" ref="N2255:P2255" si="2287">LEFT(H2255,5)</f>
        <v>09:00</v>
      </c>
      <c r="O2255" s="317" t="str">
        <f t="shared" si="2287"/>
        <v>12:00</v>
      </c>
      <c r="P2255" s="317" t="str">
        <f t="shared" si="2287"/>
        <v>15:30</v>
      </c>
      <c r="Q2255" s="318">
        <f t="shared" si="2083"/>
        <v>46132.375</v>
      </c>
      <c r="R2255" s="318">
        <f t="shared" si="2084"/>
        <v>46132.5</v>
      </c>
      <c r="S2255" s="318">
        <f t="shared" si="8"/>
        <v>46132.64583</v>
      </c>
    </row>
    <row r="2256">
      <c r="A2256" s="14" t="str">
        <f t="shared" si="1"/>
        <v>C150446132</v>
      </c>
      <c r="B2256" s="185">
        <f t="array" ref="B2256">IF(F2256="VL","",IF(F2256="Free","Free",XLOOKUP(D2256,Roster!T:T,Roster!S:S,"",0)))</f>
        <v>123</v>
      </c>
      <c r="C2256" s="313">
        <v>46132.0</v>
      </c>
      <c r="D2256" s="314" t="s">
        <v>155</v>
      </c>
      <c r="E2256" s="307" t="str">
        <f t="array" ref="E2256">(XLOOKUP(D2256,Roster!F:F,Roster!B:B,"",0))</f>
        <v>Beatriz Montanez</v>
      </c>
      <c r="F2256" s="315" t="str">
        <f t="array" ref="F2256">IF(B2256=100,"Free",TEXT(XLOOKUP($D2256,OperationVoice!$A:$A,OperationVoice!Z:Z,XLOOKUP($D2256,OperationTickets!$A:$A,OperationTickets!Z:Z,"",0)),"hh:mm"))</f>
        <v>08:00</v>
      </c>
      <c r="G2256" s="309">
        <f t="shared" si="3"/>
        <v>0.7083333333</v>
      </c>
      <c r="H2256" s="316" t="str">
        <f t="array" ref="H2256">XLOOKUP(B2256,Roster!L:L,Roster!N:N,XLOOKUP(D2256,TicketsBreak!A:A,TicketsBreak!E:E,"",0),0)</f>
        <v>09:45 - 10:00 </v>
      </c>
      <c r="I2256" s="316" t="str">
        <f t="array" ref="I2256">XLOOKUP(B2256,Roster!L:L,Roster!O:O,XLOOKUP(D2256,TicketsBreak!A:A,TicketsBreak!F:F,"",0),0)</f>
        <v>12:30 - 13:00</v>
      </c>
      <c r="J2256" s="316" t="str">
        <f t="array" ref="J2256">XLOOKUP(B2256,Roster!L:L,Roster!P:P,XLOOKUP(D2256,TicketsBreak!A:A,TicketsBreak!G:G,"",0),0)</f>
        <v>15:00 - 15:15</v>
      </c>
      <c r="K2256" s="310">
        <f t="shared" si="4"/>
        <v>46132</v>
      </c>
      <c r="L2256" s="317">
        <f t="array" ref="L2256">(XLOOKUP(D2256,Roster!F:F,Roster!D:D,"",0))</f>
        <v>35</v>
      </c>
      <c r="M2256" s="317" t="str">
        <f t="array" ref="M2256">XLOOKUP(D2256,Roster!F:F,Roster!E:E)</f>
        <v>Tickets</v>
      </c>
      <c r="N2256" s="317" t="str">
        <f t="shared" ref="N2256:P2256" si="2288">LEFT(H2256,5)</f>
        <v>09:45</v>
      </c>
      <c r="O2256" s="317" t="str">
        <f t="shared" si="2288"/>
        <v>12:30</v>
      </c>
      <c r="P2256" s="317" t="str">
        <f t="shared" si="2288"/>
        <v>15:00</v>
      </c>
      <c r="Q2256" s="318">
        <f t="shared" si="2083"/>
        <v>46132.40625</v>
      </c>
      <c r="R2256" s="318">
        <f t="shared" si="2084"/>
        <v>46132.52083</v>
      </c>
      <c r="S2256" s="318">
        <f t="shared" si="8"/>
        <v>46132.625</v>
      </c>
    </row>
    <row r="2257">
      <c r="A2257" s="14" t="str">
        <f t="shared" si="1"/>
        <v>C107746132</v>
      </c>
      <c r="B2257" s="185">
        <f t="array" ref="B2257">IF(F2257="VL","",IF(F2257="Free","Free",XLOOKUP(D2257,Roster!T:T,Roster!S:S,"",0)))</f>
        <v>125</v>
      </c>
      <c r="C2257" s="313">
        <v>46132.0</v>
      </c>
      <c r="D2257" s="314" t="s">
        <v>17</v>
      </c>
      <c r="E2257" s="307" t="str">
        <f t="array" ref="E2257">(XLOOKUP(D2257,Roster!F:F,Roster!B:B,"",0))</f>
        <v>Brahian Prado</v>
      </c>
      <c r="F2257" s="315" t="str">
        <f t="array" ref="F2257">IF(B2257=100,"Free",TEXT(XLOOKUP($D2257,OperationVoice!$A:$A,OperationVoice!Z:Z,XLOOKUP($D2257,OperationTickets!$A:$A,OperationTickets!Z:Z,"",0)),"hh:mm"))</f>
        <v>08:00</v>
      </c>
      <c r="G2257" s="309">
        <f t="shared" si="3"/>
        <v>0.7083333333</v>
      </c>
      <c r="H2257" s="316" t="str">
        <f t="array" ref="H2257">XLOOKUP(B2257,Roster!L:L,Roster!N:N,XLOOKUP(D2257,TicketsBreak!A:A,TicketsBreak!E:E,"",0),0)</f>
        <v>10:30 - 10:45</v>
      </c>
      <c r="I2257" s="316" t="str">
        <f t="array" ref="I2257">XLOOKUP(B2257,Roster!L:L,Roster!O:O,XLOOKUP(D2257,TicketsBreak!A:A,TicketsBreak!F:F,"",0),0)</f>
        <v>13:30 - 14:00</v>
      </c>
      <c r="J2257" s="316" t="str">
        <f t="array" ref="J2257">XLOOKUP(B2257,Roster!L:L,Roster!P:P,XLOOKUP(D2257,TicketsBreak!A:A,TicketsBreak!G:G,"",0),0)</f>
        <v>15:45 - 16:00</v>
      </c>
      <c r="K2257" s="310">
        <f t="shared" si="4"/>
        <v>46132</v>
      </c>
      <c r="L2257" s="317">
        <f t="array" ref="L2257">(XLOOKUP(D2257,Roster!F:F,Roster!D:D,"",0))</f>
        <v>18</v>
      </c>
      <c r="M2257" s="317" t="str">
        <f t="array" ref="M2257">XLOOKUP(D2257,Roster!F:F,Roster!E:E)</f>
        <v>Voice</v>
      </c>
      <c r="N2257" s="317" t="str">
        <f t="shared" ref="N2257:P2257" si="2289">LEFT(H2257,5)</f>
        <v>10:30</v>
      </c>
      <c r="O2257" s="317" t="str">
        <f t="shared" si="2289"/>
        <v>13:30</v>
      </c>
      <c r="P2257" s="317" t="str">
        <f t="shared" si="2289"/>
        <v>15:45</v>
      </c>
      <c r="Q2257" s="318">
        <f t="shared" si="2083"/>
        <v>46132.4375</v>
      </c>
      <c r="R2257" s="318">
        <f t="shared" si="2084"/>
        <v>46132.5625</v>
      </c>
      <c r="S2257" s="318">
        <f t="shared" si="8"/>
        <v>46132.65625</v>
      </c>
    </row>
    <row r="2258">
      <c r="A2258" s="14" t="str">
        <f t="shared" si="1"/>
        <v>C116546132</v>
      </c>
      <c r="B2258" s="185" t="str">
        <f t="array" ref="B2258">IF(F2258="VL","",IF(F2258="Free","Free",XLOOKUP(D2258,Roster!T:T,Roster!S:S,"",0)))</f>
        <v/>
      </c>
      <c r="C2258" s="313">
        <v>46132.0</v>
      </c>
      <c r="D2258" s="314" t="s">
        <v>139</v>
      </c>
      <c r="E2258" s="307" t="str">
        <f t="array" ref="E2258">(XLOOKUP(D2258,Roster!F:F,Roster!B:B,"",0))</f>
        <v>Braian Restrepo</v>
      </c>
      <c r="F2258" s="315" t="str">
        <f t="array" ref="F2258">IF(B2258=100,"Free",TEXT(XLOOKUP($D2258,OperationVoice!$A:$A,OperationVoice!Z:Z,XLOOKUP($D2258,OperationTickets!$A:$A,OperationTickets!Z:Z,"",0)),"hh:mm"))</f>
        <v>08:00</v>
      </c>
      <c r="G2258" s="309">
        <f t="shared" si="3"/>
        <v>0.7083333333</v>
      </c>
      <c r="H2258" s="316" t="str">
        <f t="array" ref="H2258">XLOOKUP(B2258,Roster!L:L,Roster!N:N,XLOOKUP(D2258,TicketsBreak!A:A,TicketsBreak!E:E,"",0),0)</f>
        <v/>
      </c>
      <c r="I2258" s="316" t="str">
        <f t="array" ref="I2258">XLOOKUP(B2258,Roster!L:L,Roster!O:O,XLOOKUP(D2258,TicketsBreak!A:A,TicketsBreak!F:F,"",0),0)</f>
        <v/>
      </c>
      <c r="J2258" s="316" t="str">
        <f t="array" ref="J2258">XLOOKUP(B2258,Roster!L:L,Roster!P:P,XLOOKUP(D2258,TicketsBreak!A:A,TicketsBreak!G:G,"",0),0)</f>
        <v/>
      </c>
      <c r="K2258" s="310">
        <f t="shared" si="4"/>
        <v>46132</v>
      </c>
      <c r="L2258" s="317">
        <f t="array" ref="L2258">(XLOOKUP(D2258,Roster!F:F,Roster!D:D,"",0))</f>
        <v>24</v>
      </c>
      <c r="M2258" s="317" t="str">
        <f t="array" ref="M2258">XLOOKUP(D2258,Roster!F:F,Roster!E:E)</f>
        <v>Tickets</v>
      </c>
      <c r="N2258" s="317" t="str">
        <f t="shared" ref="N2258:P2258" si="2290">LEFT(H2258,5)</f>
        <v/>
      </c>
      <c r="O2258" s="317" t="str">
        <f t="shared" si="2290"/>
        <v/>
      </c>
      <c r="P2258" s="317" t="str">
        <f t="shared" si="2290"/>
        <v/>
      </c>
      <c r="Q2258" s="318" t="str">
        <f t="shared" si="2083"/>
        <v/>
      </c>
      <c r="R2258" s="318" t="str">
        <f t="shared" si="2084"/>
        <v/>
      </c>
      <c r="S2258" s="318" t="str">
        <f t="shared" si="8"/>
        <v/>
      </c>
    </row>
    <row r="2259">
      <c r="A2259" s="14" t="str">
        <f t="shared" si="1"/>
        <v>C127446132</v>
      </c>
      <c r="B2259" s="185">
        <f t="array" ref="B2259">IF(F2259="VL","",IF(F2259="Free","Free",XLOOKUP(D2259,Roster!T:T,Roster!S:S,"",0)))</f>
        <v>126</v>
      </c>
      <c r="C2259" s="313">
        <v>46132.0</v>
      </c>
      <c r="D2259" s="314" t="s">
        <v>250</v>
      </c>
      <c r="E2259" s="307" t="str">
        <f t="array" ref="E2259">(XLOOKUP(D2259,Roster!F:F,Roster!B:B,"",0))</f>
        <v>Brayan Franco</v>
      </c>
      <c r="F2259" s="315" t="str">
        <f t="array" ref="F2259">IF(B2259=100,"Free",TEXT(XLOOKUP($D2259,OperationVoice!$A:$A,OperationVoice!Z:Z,XLOOKUP($D2259,OperationTickets!$A:$A,OperationTickets!Z:Z,"",0)),"hh:mm"))</f>
        <v/>
      </c>
      <c r="G2259" s="309" t="str">
        <f t="shared" si="3"/>
        <v/>
      </c>
      <c r="H2259" s="316" t="str">
        <f t="array" ref="H2259">XLOOKUP(B2259,Roster!L:L,Roster!N:N,XLOOKUP(D2259,TicketsBreak!A:A,TicketsBreak!E:E,"",0),0)</f>
        <v>10:45 - 11:00</v>
      </c>
      <c r="I2259" s="316" t="str">
        <f t="array" ref="I2259">XLOOKUP(B2259,Roster!L:L,Roster!O:O,XLOOKUP(D2259,TicketsBreak!A:A,TicketsBreak!F:F,"",0),0)</f>
        <v>14:00 - 14:30</v>
      </c>
      <c r="J2259" s="316" t="str">
        <f t="array" ref="J2259">XLOOKUP(B2259,Roster!L:L,Roster!P:P,XLOOKUP(D2259,TicketsBreak!A:A,TicketsBreak!G:G,"",0),0)</f>
        <v>15:45 - 16:00</v>
      </c>
      <c r="K2259" s="310">
        <f t="shared" si="4"/>
        <v>46132</v>
      </c>
      <c r="L2259" s="317">
        <f t="array" ref="L2259">(XLOOKUP(D2259,Roster!F:F,Roster!D:D,"",0))</f>
        <v>27</v>
      </c>
      <c r="M2259" s="317" t="str">
        <f t="array" ref="M2259">XLOOKUP(D2259,Roster!F:F,Roster!E:E)</f>
        <v>Voice</v>
      </c>
      <c r="N2259" s="317" t="str">
        <f t="shared" ref="N2259:P2259" si="2291">LEFT(H2259,5)</f>
        <v>10:45</v>
      </c>
      <c r="O2259" s="317" t="str">
        <f t="shared" si="2291"/>
        <v>14:00</v>
      </c>
      <c r="P2259" s="317" t="str">
        <f t="shared" si="2291"/>
        <v>15:45</v>
      </c>
      <c r="Q2259" s="318">
        <f t="shared" si="2083"/>
        <v>46132.44792</v>
      </c>
      <c r="R2259" s="318">
        <f t="shared" si="2084"/>
        <v>46132.58333</v>
      </c>
      <c r="S2259" s="318">
        <f t="shared" si="8"/>
        <v>46132.65625</v>
      </c>
    </row>
    <row r="2260">
      <c r="A2260" s="14" t="str">
        <f t="shared" si="1"/>
        <v>C119146132</v>
      </c>
      <c r="B2260" s="185">
        <f t="array" ref="B2260">IF(F2260="VL","",IF(F2260="Free","Free",XLOOKUP(D2260,Roster!T:T,Roster!S:S,"",0)))</f>
        <v>111</v>
      </c>
      <c r="C2260" s="313">
        <v>46132.0</v>
      </c>
      <c r="D2260" s="314" t="s">
        <v>18</v>
      </c>
      <c r="E2260" s="307" t="str">
        <f t="array" ref="E2260">(XLOOKUP(D2260,Roster!F:F,Roster!B:B,"",0))</f>
        <v>Brayan Montoya</v>
      </c>
      <c r="F2260" s="315" t="str">
        <f t="array" ref="F2260">IF(B2260=100,"Free",TEXT(XLOOKUP($D2260,OperationVoice!$A:$A,OperationVoice!Z:Z,XLOOKUP($D2260,OperationTickets!$A:$A,OperationTickets!Z:Z,"",0)),"hh:mm"))</f>
        <v>07:00</v>
      </c>
      <c r="G2260" s="309">
        <f t="shared" si="3"/>
        <v>0.6666666667</v>
      </c>
      <c r="H2260" s="316" t="str">
        <f t="array" ref="H2260">XLOOKUP(B2260,Roster!L:L,Roster!N:N,XLOOKUP(D2260,TicketsBreak!A:A,TicketsBreak!E:E,"",0),0)</f>
        <v>09:00 - 09:15</v>
      </c>
      <c r="I2260" s="316" t="str">
        <f t="array" ref="I2260">XLOOKUP(B2260,Roster!L:L,Roster!O:O,XLOOKUP(D2260,TicketsBreak!A:A,TicketsBreak!F:F,"",0),0)</f>
        <v>11:45 - 12:15</v>
      </c>
      <c r="J2260" s="316" t="str">
        <f t="array" ref="J2260">XLOOKUP(B2260,Roster!L:L,Roster!P:P,XLOOKUP(D2260,TicketsBreak!A:A,TicketsBreak!G:G,"",0),0)</f>
        <v>14:30 - 14:45</v>
      </c>
      <c r="K2260" s="310">
        <f t="shared" si="4"/>
        <v>46132</v>
      </c>
      <c r="L2260" s="317">
        <f t="array" ref="L2260">(XLOOKUP(D2260,Roster!F:F,Roster!D:D,"",0))</f>
        <v>25</v>
      </c>
      <c r="M2260" s="317" t="str">
        <f t="array" ref="M2260">XLOOKUP(D2260,Roster!F:F,Roster!E:E)</f>
        <v>Voice</v>
      </c>
      <c r="N2260" s="317" t="str">
        <f t="shared" ref="N2260:P2260" si="2292">LEFT(H2260,5)</f>
        <v>09:00</v>
      </c>
      <c r="O2260" s="317" t="str">
        <f t="shared" si="2292"/>
        <v>11:45</v>
      </c>
      <c r="P2260" s="317" t="str">
        <f t="shared" si="2292"/>
        <v>14:30</v>
      </c>
      <c r="Q2260" s="318">
        <f t="shared" si="2083"/>
        <v>46132.375</v>
      </c>
      <c r="R2260" s="318">
        <f t="shared" si="2084"/>
        <v>46132.48958</v>
      </c>
      <c r="S2260" s="318">
        <f t="shared" si="8"/>
        <v>46132.60417</v>
      </c>
    </row>
    <row r="2261">
      <c r="A2261" s="14" t="str">
        <f t="shared" si="1"/>
        <v>C152646132</v>
      </c>
      <c r="B2261" s="185">
        <f t="array" ref="B2261">IF(F2261="VL","",IF(F2261="Free","Free",XLOOKUP(D2261,Roster!T:T,Roster!S:S,"",0)))</f>
        <v>121</v>
      </c>
      <c r="C2261" s="313">
        <v>46132.0</v>
      </c>
      <c r="D2261" s="314" t="s">
        <v>19</v>
      </c>
      <c r="E2261" s="307" t="str">
        <f t="array" ref="E2261">(XLOOKUP(D2261,Roster!F:F,Roster!B:B,"",0))</f>
        <v>Breitner Benitez</v>
      </c>
      <c r="F2261" s="315" t="str">
        <f t="array" ref="F2261">IF(B2261=100,"Free",TEXT(XLOOKUP($D2261,OperationVoice!$A:$A,OperationVoice!Z:Z,XLOOKUP($D2261,OperationTickets!$A:$A,OperationTickets!Z:Z,"",0)),"hh:mm"))</f>
        <v>08:00</v>
      </c>
      <c r="G2261" s="309">
        <f t="shared" si="3"/>
        <v>0.7083333333</v>
      </c>
      <c r="H2261" s="316" t="str">
        <f t="array" ref="H2261">XLOOKUP(B2261,Roster!L:L,Roster!N:N,XLOOKUP(D2261,TicketsBreak!A:A,TicketsBreak!E:E,"",0),0)</f>
        <v>09:15 - 09:30</v>
      </c>
      <c r="I2261" s="316" t="str">
        <f t="array" ref="I2261">XLOOKUP(B2261,Roster!L:L,Roster!O:O,XLOOKUP(D2261,TicketsBreak!A:A,TicketsBreak!F:F,"",0),0)</f>
        <v>11:30 - 12:00</v>
      </c>
      <c r="J2261" s="316" t="str">
        <f t="array" ref="J2261">XLOOKUP(B2261,Roster!L:L,Roster!P:P,XLOOKUP(D2261,TicketsBreak!A:A,TicketsBreak!G:G,"",0),0)</f>
        <v>14:30 - 14:45</v>
      </c>
      <c r="K2261" s="310">
        <f t="shared" si="4"/>
        <v>46132</v>
      </c>
      <c r="L2261" s="317">
        <f t="array" ref="L2261">(XLOOKUP(D2261,Roster!F:F,Roster!D:D,"",0))</f>
        <v>13</v>
      </c>
      <c r="M2261" s="317" t="str">
        <f t="array" ref="M2261">XLOOKUP(D2261,Roster!F:F,Roster!E:E)</f>
        <v>Voice</v>
      </c>
      <c r="N2261" s="317" t="str">
        <f t="shared" ref="N2261:P2261" si="2293">LEFT(H2261,5)</f>
        <v>09:15</v>
      </c>
      <c r="O2261" s="317" t="str">
        <f t="shared" si="2293"/>
        <v>11:30</v>
      </c>
      <c r="P2261" s="317" t="str">
        <f t="shared" si="2293"/>
        <v>14:30</v>
      </c>
      <c r="Q2261" s="318">
        <f t="shared" si="2083"/>
        <v>46132.38542</v>
      </c>
      <c r="R2261" s="318">
        <f t="shared" si="2084"/>
        <v>46132.47917</v>
      </c>
      <c r="S2261" s="318">
        <f t="shared" si="8"/>
        <v>46132.60417</v>
      </c>
    </row>
    <row r="2262">
      <c r="A2262" s="14" t="str">
        <f t="shared" si="1"/>
        <v>C153546132</v>
      </c>
      <c r="B2262" s="185">
        <f t="array" ref="B2262">IF(F2262="VL","",IF(F2262="Free","Free",XLOOKUP(D2262,Roster!T:T,Roster!S:S,"",0)))</f>
        <v>154</v>
      </c>
      <c r="C2262" s="313">
        <v>46132.0</v>
      </c>
      <c r="D2262" s="314" t="s">
        <v>20</v>
      </c>
      <c r="E2262" s="307" t="str">
        <f t="array" ref="E2262">(XLOOKUP(D2262,Roster!F:F,Roster!B:B,"",0))</f>
        <v>Carlos Alzate</v>
      </c>
      <c r="F2262" s="315" t="str">
        <f t="array" ref="F2262">IF(B2262=100,"Free",TEXT(XLOOKUP($D2262,OperationVoice!$A:$A,OperationVoice!Z:Z,XLOOKUP($D2262,OperationTickets!$A:$A,OperationTickets!Z:Z,"",0)),"hh:mm"))</f>
        <v>11:00</v>
      </c>
      <c r="G2262" s="309">
        <f t="shared" si="3"/>
        <v>0.8333333333</v>
      </c>
      <c r="H2262" s="316" t="str">
        <f t="array" ref="H2262">XLOOKUP(B2262,Roster!L:L,Roster!N:N,XLOOKUP(D2262,TicketsBreak!A:A,TicketsBreak!E:E,"",0),0)</f>
        <v>13:00 - 13:15</v>
      </c>
      <c r="I2262" s="316" t="str">
        <f t="array" ref="I2262">XLOOKUP(B2262,Roster!L:L,Roster!O:O,XLOOKUP(D2262,TicketsBreak!A:A,TicketsBreak!F:F,"",0),0)</f>
        <v>15:15 - 15:45</v>
      </c>
      <c r="J2262" s="316" t="str">
        <f t="array" ref="J2262">XLOOKUP(B2262,Roster!L:L,Roster!P:P,XLOOKUP(D2262,TicketsBreak!A:A,TicketsBreak!G:G,"",0),0)</f>
        <v>18:00 - 18:15</v>
      </c>
      <c r="K2262" s="310">
        <f t="shared" si="4"/>
        <v>46132</v>
      </c>
      <c r="L2262" s="317">
        <f t="array" ref="L2262">(XLOOKUP(D2262,Roster!F:F,Roster!D:D,"",0))</f>
        <v>36</v>
      </c>
      <c r="M2262" s="317" t="str">
        <f t="array" ref="M2262">XLOOKUP(D2262,Roster!F:F,Roster!E:E)</f>
        <v>Voice</v>
      </c>
      <c r="N2262" s="317" t="str">
        <f t="shared" ref="N2262:P2262" si="2294">LEFT(H2262,5)</f>
        <v>13:00</v>
      </c>
      <c r="O2262" s="317" t="str">
        <f t="shared" si="2294"/>
        <v>15:15</v>
      </c>
      <c r="P2262" s="317" t="str">
        <f t="shared" si="2294"/>
        <v>18:00</v>
      </c>
      <c r="Q2262" s="318">
        <f t="shared" si="2083"/>
        <v>46132.54167</v>
      </c>
      <c r="R2262" s="318">
        <f t="shared" si="2084"/>
        <v>46132.63542</v>
      </c>
      <c r="S2262" s="318">
        <f t="shared" si="8"/>
        <v>46132.75</v>
      </c>
    </row>
    <row r="2263">
      <c r="A2263" s="14" t="str">
        <f t="shared" si="1"/>
        <v>C153146132</v>
      </c>
      <c r="B2263" s="185">
        <f t="array" ref="B2263">IF(F2263="VL","",IF(F2263="Free","Free",XLOOKUP(D2263,Roster!T:T,Roster!S:S,"",0)))</f>
        <v>123</v>
      </c>
      <c r="C2263" s="313">
        <v>46132.0</v>
      </c>
      <c r="D2263" s="314" t="s">
        <v>21</v>
      </c>
      <c r="E2263" s="307" t="str">
        <f t="array" ref="E2263">(XLOOKUP(D2263,Roster!F:F,Roster!B:B,"",0))</f>
        <v>Carlos Palma</v>
      </c>
      <c r="F2263" s="315" t="str">
        <f t="array" ref="F2263">IF(B2263=100,"Free",TEXT(XLOOKUP($D2263,OperationVoice!$A:$A,OperationVoice!Z:Z,XLOOKUP($D2263,OperationTickets!$A:$A,OperationTickets!Z:Z,"",0)),"hh:mm"))</f>
        <v>08:00</v>
      </c>
      <c r="G2263" s="309">
        <f t="shared" si="3"/>
        <v>0.7083333333</v>
      </c>
      <c r="H2263" s="316" t="str">
        <f t="array" ref="H2263">XLOOKUP(B2263,Roster!L:L,Roster!N:N,XLOOKUP(D2263,TicketsBreak!A:A,TicketsBreak!E:E,"",0),0)</f>
        <v>09:45 - 10:00 </v>
      </c>
      <c r="I2263" s="316" t="str">
        <f t="array" ref="I2263">XLOOKUP(B2263,Roster!L:L,Roster!O:O,XLOOKUP(D2263,TicketsBreak!A:A,TicketsBreak!F:F,"",0),0)</f>
        <v>12:30 - 13:00</v>
      </c>
      <c r="J2263" s="316" t="str">
        <f t="array" ref="J2263">XLOOKUP(B2263,Roster!L:L,Roster!P:P,XLOOKUP(D2263,TicketsBreak!A:A,TicketsBreak!G:G,"",0),0)</f>
        <v>15:00 - 15:15</v>
      </c>
      <c r="K2263" s="310">
        <f t="shared" si="4"/>
        <v>46132</v>
      </c>
      <c r="L2263" s="317">
        <f t="array" ref="L2263">(XLOOKUP(D2263,Roster!F:F,Roster!D:D,"",0))</f>
        <v>36</v>
      </c>
      <c r="M2263" s="317" t="str">
        <f t="array" ref="M2263">XLOOKUP(D2263,Roster!F:F,Roster!E:E)</f>
        <v>Voice</v>
      </c>
      <c r="N2263" s="317" t="str">
        <f t="shared" ref="N2263:P2263" si="2295">LEFT(H2263,5)</f>
        <v>09:45</v>
      </c>
      <c r="O2263" s="317" t="str">
        <f t="shared" si="2295"/>
        <v>12:30</v>
      </c>
      <c r="P2263" s="317" t="str">
        <f t="shared" si="2295"/>
        <v>15:00</v>
      </c>
      <c r="Q2263" s="318">
        <f t="shared" si="2083"/>
        <v>46132.40625</v>
      </c>
      <c r="R2263" s="318">
        <f t="shared" si="2084"/>
        <v>46132.52083</v>
      </c>
      <c r="S2263" s="318">
        <f t="shared" si="8"/>
        <v>46132.625</v>
      </c>
    </row>
    <row r="2264">
      <c r="A2264" s="14" t="str">
        <f t="shared" si="1"/>
        <v>C157646132</v>
      </c>
      <c r="B2264" s="185" t="str">
        <f t="array" ref="B2264">IF(F2264="VL","",IF(F2264="Free","Free",XLOOKUP(D2264,Roster!T:T,Roster!S:S,"",0)))</f>
        <v/>
      </c>
      <c r="C2264" s="313">
        <v>46132.0</v>
      </c>
      <c r="D2264" s="314" t="s">
        <v>313</v>
      </c>
      <c r="E2264" s="307" t="str">
        <f t="array" ref="E2264">(XLOOKUP(D2264,Roster!F:F,Roster!B:B,"",0))</f>
        <v>Carlos Ruiz</v>
      </c>
      <c r="F2264" s="315" t="str">
        <f t="array" ref="F2264">IF(B2264=100,"Free",TEXT(XLOOKUP($D2264,OperationVoice!$A:$A,OperationVoice!Z:Z,XLOOKUP($D2264,OperationTickets!$A:$A,OperationTickets!Z:Z,"",0)),"hh:mm"))</f>
        <v/>
      </c>
      <c r="G2264" s="309" t="str">
        <f t="shared" si="3"/>
        <v/>
      </c>
      <c r="H2264" s="316" t="str">
        <f t="array" ref="H2264">XLOOKUP(B2264,Roster!L:L,Roster!N:N,XLOOKUP(D2264,TicketsBreak!A:A,TicketsBreak!E:E,"",0),0)</f>
        <v/>
      </c>
      <c r="I2264" s="316" t="str">
        <f t="array" ref="I2264">XLOOKUP(B2264,Roster!L:L,Roster!O:O,XLOOKUP(D2264,TicketsBreak!A:A,TicketsBreak!F:F,"",0),0)</f>
        <v/>
      </c>
      <c r="J2264" s="316" t="str">
        <f t="array" ref="J2264">XLOOKUP(B2264,Roster!L:L,Roster!P:P,XLOOKUP(D2264,TicketsBreak!A:A,TicketsBreak!G:G,"",0),0)</f>
        <v/>
      </c>
      <c r="K2264" s="310">
        <f t="shared" si="4"/>
        <v>46132</v>
      </c>
      <c r="L2264" s="317">
        <f t="array" ref="L2264">(XLOOKUP(D2264,Roster!F:F,Roster!D:D,"",0))</f>
        <v>38</v>
      </c>
      <c r="M2264" s="317" t="str">
        <f t="array" ref="M2264">XLOOKUP(D2264,Roster!F:F,Roster!E:E)</f>
        <v>Nesting</v>
      </c>
      <c r="N2264" s="317" t="str">
        <f t="shared" ref="N2264:P2264" si="2296">LEFT(H2264,5)</f>
        <v/>
      </c>
      <c r="O2264" s="317" t="str">
        <f t="shared" si="2296"/>
        <v/>
      </c>
      <c r="P2264" s="317" t="str">
        <f t="shared" si="2296"/>
        <v/>
      </c>
      <c r="Q2264" s="318" t="str">
        <f t="shared" si="2083"/>
        <v/>
      </c>
      <c r="R2264" s="318" t="str">
        <f t="shared" si="2084"/>
        <v/>
      </c>
      <c r="S2264" s="318" t="str">
        <f t="shared" si="8"/>
        <v/>
      </c>
    </row>
    <row r="2265">
      <c r="A2265" s="14" t="str">
        <f t="shared" si="1"/>
        <v>C47946132</v>
      </c>
      <c r="B2265" s="185" t="str">
        <f t="array" ref="B2265">IF(F2265="VL","",IF(F2265="Free","Free",XLOOKUP(D2265,Roster!T:T,Roster!S:S,"",0)))</f>
        <v/>
      </c>
      <c r="C2265" s="313">
        <v>46132.0</v>
      </c>
      <c r="D2265" s="314" t="s">
        <v>173</v>
      </c>
      <c r="E2265" s="307" t="str">
        <f t="array" ref="E2265">(XLOOKUP(D2265,Roster!F:F,Roster!B:B,"",0))</f>
        <v>Carmen Grajales</v>
      </c>
      <c r="F2265" s="315" t="str">
        <f t="array" ref="F2265">IF(B2265=100,"Free",TEXT(XLOOKUP($D2265,OperationVoice!$A:$A,OperationVoice!Z:Z,XLOOKUP($D2265,OperationTickets!$A:$A,OperationTickets!Z:Z,"",0)),"hh:mm"))</f>
        <v>08:00</v>
      </c>
      <c r="G2265" s="309">
        <f t="shared" si="3"/>
        <v>0.7083333333</v>
      </c>
      <c r="H2265" s="316">
        <f t="array" ref="H2265">XLOOKUP(B2265,Roster!L:L,Roster!N:N,XLOOKUP(D2265,TicketsBreak!A:A,TicketsBreak!E:E,"",0),0)</f>
        <v>0.4270833333</v>
      </c>
      <c r="I2265" s="316">
        <f t="array" ref="I2265">XLOOKUP(B2265,Roster!L:L,Roster!O:O,XLOOKUP(D2265,TicketsBreak!A:A,TicketsBreak!F:F,"",0),0)</f>
        <v>0.53125</v>
      </c>
      <c r="J2265" s="316">
        <f t="array" ref="J2265">XLOOKUP(B2265,Roster!L:L,Roster!P:P,XLOOKUP(D2265,TicketsBreak!A:A,TicketsBreak!G:G,"",0),0)</f>
        <v>0.65625</v>
      </c>
      <c r="K2265" s="310">
        <f t="shared" si="4"/>
        <v>46132</v>
      </c>
      <c r="L2265" s="317">
        <f t="array" ref="L2265">(XLOOKUP(D2265,Roster!F:F,Roster!D:D,"",0))</f>
        <v>2</v>
      </c>
      <c r="M2265" s="317" t="str">
        <f t="array" ref="M2265">XLOOKUP(D2265,Roster!F:F,Roster!E:E)</f>
        <v>Tickets</v>
      </c>
      <c r="N2265" s="317" t="str">
        <f t="shared" ref="N2265:P2265" si="2297">LEFT(H2265,5)</f>
        <v>10:15</v>
      </c>
      <c r="O2265" s="317" t="str">
        <f t="shared" si="2297"/>
        <v>12:45</v>
      </c>
      <c r="P2265" s="317" t="str">
        <f t="shared" si="2297"/>
        <v>15:45</v>
      </c>
      <c r="Q2265" s="318">
        <f t="shared" si="2083"/>
        <v>46132.42708</v>
      </c>
      <c r="R2265" s="318">
        <f t="shared" si="2084"/>
        <v>46132.53125</v>
      </c>
      <c r="S2265" s="318">
        <f t="shared" si="8"/>
        <v>46132.65625</v>
      </c>
    </row>
    <row r="2266">
      <c r="A2266" s="14" t="str">
        <f t="shared" si="1"/>
        <v>C68746132</v>
      </c>
      <c r="B2266" s="185">
        <f t="array" ref="B2266">IF(F2266="VL","",IF(F2266="Free","Free",XLOOKUP(D2266,Roster!T:T,Roster!S:S,"",0)))</f>
        <v>122</v>
      </c>
      <c r="C2266" s="313">
        <v>46132.0</v>
      </c>
      <c r="D2266" s="314" t="s">
        <v>22</v>
      </c>
      <c r="E2266" s="307" t="str">
        <f t="array" ref="E2266">(XLOOKUP(D2266,Roster!F:F,Roster!B:B,"",0))</f>
        <v>Carolina Rios</v>
      </c>
      <c r="F2266" s="315" t="str">
        <f t="array" ref="F2266">IF(B2266=100,"Free",TEXT(XLOOKUP($D2266,OperationVoice!$A:$A,OperationVoice!Z:Z,XLOOKUP($D2266,OperationTickets!$A:$A,OperationTickets!Z:Z,"",0)),"hh:mm"))</f>
        <v>08:00</v>
      </c>
      <c r="G2266" s="309">
        <f t="shared" si="3"/>
        <v>0.7083333333</v>
      </c>
      <c r="H2266" s="316" t="str">
        <f t="array" ref="H2266">XLOOKUP(B2266,Roster!L:L,Roster!N:N,XLOOKUP(D2266,TicketsBreak!A:A,TicketsBreak!E:E,"",0),0)</f>
        <v>09:30 - 09:45</v>
      </c>
      <c r="I2266" s="316" t="str">
        <f t="array" ref="I2266">XLOOKUP(B2266,Roster!L:L,Roster!O:O,XLOOKUP(D2266,TicketsBreak!A:A,TicketsBreak!F:F,"",0),0)</f>
        <v>12:00 - 12:30</v>
      </c>
      <c r="J2266" s="316" t="str">
        <f t="array" ref="J2266">XLOOKUP(B2266,Roster!L:L,Roster!P:P,XLOOKUP(D2266,TicketsBreak!A:A,TicketsBreak!G:G,"",0),0)</f>
        <v>14:45 - 15:00</v>
      </c>
      <c r="K2266" s="310">
        <f t="shared" si="4"/>
        <v>46132</v>
      </c>
      <c r="L2266" s="317">
        <f t="array" ref="L2266">(XLOOKUP(D2266,Roster!F:F,Roster!D:D,"",0))</f>
        <v>5</v>
      </c>
      <c r="M2266" s="317" t="str">
        <f t="array" ref="M2266">XLOOKUP(D2266,Roster!F:F,Roster!E:E)</f>
        <v>Voice</v>
      </c>
      <c r="N2266" s="317" t="str">
        <f t="shared" ref="N2266:P2266" si="2298">LEFT(H2266,5)</f>
        <v>09:30</v>
      </c>
      <c r="O2266" s="317" t="str">
        <f t="shared" si="2298"/>
        <v>12:00</v>
      </c>
      <c r="P2266" s="317" t="str">
        <f t="shared" si="2298"/>
        <v>14:45</v>
      </c>
      <c r="Q2266" s="318">
        <f t="shared" si="2083"/>
        <v>46132.39583</v>
      </c>
      <c r="R2266" s="318">
        <f t="shared" si="2084"/>
        <v>46132.5</v>
      </c>
      <c r="S2266" s="318">
        <f t="shared" si="8"/>
        <v>46132.61458</v>
      </c>
    </row>
    <row r="2267">
      <c r="A2267" s="14" t="str">
        <f t="shared" si="1"/>
        <v>C152846132</v>
      </c>
      <c r="B2267" s="185">
        <f t="array" ref="B2267">IF(F2267="VL","",IF(F2267="Free","Free",XLOOKUP(D2267,Roster!T:T,Roster!S:S,"",0)))</f>
        <v>132</v>
      </c>
      <c r="C2267" s="313">
        <v>46132.0</v>
      </c>
      <c r="D2267" s="314" t="s">
        <v>23</v>
      </c>
      <c r="E2267" s="307" t="str">
        <f t="array" ref="E2267">(XLOOKUP(D2267,Roster!F:F,Roster!B:B,"",0))</f>
        <v>Christian Ramirez</v>
      </c>
      <c r="F2267" s="315" t="str">
        <f t="array" ref="F2267">IF(B2267=100,"Free",TEXT(XLOOKUP($D2267,OperationVoice!$A:$A,OperationVoice!Z:Z,XLOOKUP($D2267,OperationTickets!$A:$A,OperationTickets!Z:Z,"",0)),"hh:mm"))</f>
        <v>08:00</v>
      </c>
      <c r="G2267" s="309">
        <f t="shared" si="3"/>
        <v>0.7083333333</v>
      </c>
      <c r="H2267" s="316" t="str">
        <f t="array" ref="H2267">XLOOKUP(B2267,Roster!L:L,Roster!N:N,XLOOKUP(D2267,TicketsBreak!A:A,TicketsBreak!E:E,"",0),0)</f>
        <v>10:30 - 10:45</v>
      </c>
      <c r="I2267" s="316" t="str">
        <f t="array" ref="I2267">XLOOKUP(B2267,Roster!L:L,Roster!O:O,XLOOKUP(D2267,TicketsBreak!A:A,TicketsBreak!F:F,"",0),0)</f>
        <v>13:00 - 13:30</v>
      </c>
      <c r="J2267" s="316" t="str">
        <f t="array" ref="J2267">XLOOKUP(B2267,Roster!L:L,Roster!P:P,XLOOKUP(D2267,TicketsBreak!A:A,TicketsBreak!G:G,"",0),0)</f>
        <v>15:30 - 15:45</v>
      </c>
      <c r="K2267" s="310">
        <f t="shared" si="4"/>
        <v>46132</v>
      </c>
      <c r="L2267" s="317">
        <f t="array" ref="L2267">(XLOOKUP(D2267,Roster!F:F,Roster!D:D,"",0))</f>
        <v>36</v>
      </c>
      <c r="M2267" s="317" t="str">
        <f t="array" ref="M2267">XLOOKUP(D2267,Roster!F:F,Roster!E:E)</f>
        <v>Voice</v>
      </c>
      <c r="N2267" s="317" t="str">
        <f t="shared" ref="N2267:P2267" si="2299">LEFT(H2267,5)</f>
        <v>10:30</v>
      </c>
      <c r="O2267" s="317" t="str">
        <f t="shared" si="2299"/>
        <v>13:00</v>
      </c>
      <c r="P2267" s="317" t="str">
        <f t="shared" si="2299"/>
        <v>15:30</v>
      </c>
      <c r="Q2267" s="318">
        <f t="shared" si="2083"/>
        <v>46132.4375</v>
      </c>
      <c r="R2267" s="318">
        <f t="shared" si="2084"/>
        <v>46132.54167</v>
      </c>
      <c r="S2267" s="318">
        <f t="shared" si="8"/>
        <v>46132.64583</v>
      </c>
    </row>
    <row r="2268">
      <c r="A2268" s="14" t="str">
        <f t="shared" si="1"/>
        <v>C132546132</v>
      </c>
      <c r="B2268" s="185">
        <f t="array" ref="B2268">IF(F2268="VL","",IF(F2268="Free","Free",XLOOKUP(D2268,Roster!T:T,Roster!S:S,"",0)))</f>
        <v>123</v>
      </c>
      <c r="C2268" s="313">
        <v>46132.0</v>
      </c>
      <c r="D2268" s="314" t="s">
        <v>174</v>
      </c>
      <c r="E2268" s="307" t="str">
        <f t="array" ref="E2268">(XLOOKUP(D2268,Roster!F:F,Roster!B:B,"",0))</f>
        <v>Cristian Ferreira</v>
      </c>
      <c r="F2268" s="315" t="str">
        <f t="array" ref="F2268">IF(B2268=100,"Free",TEXT(XLOOKUP($D2268,OperationVoice!$A:$A,OperationVoice!Z:Z,XLOOKUP($D2268,OperationTickets!$A:$A,OperationTickets!Z:Z,"",0)),"hh:mm"))</f>
        <v>08:00</v>
      </c>
      <c r="G2268" s="309">
        <f t="shared" si="3"/>
        <v>0.7083333333</v>
      </c>
      <c r="H2268" s="316" t="str">
        <f t="array" ref="H2268">XLOOKUP(B2268,Roster!L:L,Roster!N:N,XLOOKUP(D2268,TicketsBreak!A:A,TicketsBreak!E:E,"",0),0)</f>
        <v>09:45 - 10:00 </v>
      </c>
      <c r="I2268" s="316" t="str">
        <f t="array" ref="I2268">XLOOKUP(B2268,Roster!L:L,Roster!O:O,XLOOKUP(D2268,TicketsBreak!A:A,TicketsBreak!F:F,"",0),0)</f>
        <v>12:30 - 13:00</v>
      </c>
      <c r="J2268" s="316" t="str">
        <f t="array" ref="J2268">XLOOKUP(B2268,Roster!L:L,Roster!P:P,XLOOKUP(D2268,TicketsBreak!A:A,TicketsBreak!G:G,"",0),0)</f>
        <v>15:00 - 15:15</v>
      </c>
      <c r="K2268" s="310">
        <f t="shared" si="4"/>
        <v>46132</v>
      </c>
      <c r="L2268" s="317">
        <f t="array" ref="L2268">(XLOOKUP(D2268,Roster!F:F,Roster!D:D,"",0))</f>
        <v>29</v>
      </c>
      <c r="M2268" s="317" t="str">
        <f t="array" ref="M2268">XLOOKUP(D2268,Roster!F:F,Roster!E:E)</f>
        <v>Tickets</v>
      </c>
      <c r="N2268" s="317" t="str">
        <f t="shared" ref="N2268:P2268" si="2300">LEFT(H2268,5)</f>
        <v>09:45</v>
      </c>
      <c r="O2268" s="317" t="str">
        <f t="shared" si="2300"/>
        <v>12:30</v>
      </c>
      <c r="P2268" s="317" t="str">
        <f t="shared" si="2300"/>
        <v>15:00</v>
      </c>
      <c r="Q2268" s="318">
        <f t="shared" si="2083"/>
        <v>46132.40625</v>
      </c>
      <c r="R2268" s="318">
        <f t="shared" si="2084"/>
        <v>46132.52083</v>
      </c>
      <c r="S2268" s="318">
        <f t="shared" si="8"/>
        <v>46132.625</v>
      </c>
    </row>
    <row r="2269">
      <c r="A2269" s="14" t="str">
        <f t="shared" si="1"/>
        <v>C151046132</v>
      </c>
      <c r="B2269" s="185">
        <f t="array" ref="B2269">IF(F2269="VL","",IF(F2269="Free","Free",XLOOKUP(D2269,Roster!T:T,Roster!S:S,"",0)))</f>
        <v>121</v>
      </c>
      <c r="C2269" s="313">
        <v>46132.0</v>
      </c>
      <c r="D2269" s="314" t="s">
        <v>24</v>
      </c>
      <c r="E2269" s="307" t="str">
        <f t="array" ref="E2269">(XLOOKUP(D2269,Roster!F:F,Roster!B:B,"",0))</f>
        <v>Cristian Gomez</v>
      </c>
      <c r="F2269" s="315" t="str">
        <f t="array" ref="F2269">IF(B2269=100,"Free",TEXT(XLOOKUP($D2269,OperationVoice!$A:$A,OperationVoice!Z:Z,XLOOKUP($D2269,OperationTickets!$A:$A,OperationTickets!Z:Z,"",0)),"hh:mm"))</f>
        <v>08:00</v>
      </c>
      <c r="G2269" s="309">
        <f t="shared" si="3"/>
        <v>0.7083333333</v>
      </c>
      <c r="H2269" s="316" t="str">
        <f t="array" ref="H2269">XLOOKUP(B2269,Roster!L:L,Roster!N:N,XLOOKUP(D2269,TicketsBreak!A:A,TicketsBreak!E:E,"",0),0)</f>
        <v>09:15 - 09:30</v>
      </c>
      <c r="I2269" s="316" t="str">
        <f t="array" ref="I2269">XLOOKUP(B2269,Roster!L:L,Roster!O:O,XLOOKUP(D2269,TicketsBreak!A:A,TicketsBreak!F:F,"",0),0)</f>
        <v>11:30 - 12:00</v>
      </c>
      <c r="J2269" s="316" t="str">
        <f t="array" ref="J2269">XLOOKUP(B2269,Roster!L:L,Roster!P:P,XLOOKUP(D2269,TicketsBreak!A:A,TicketsBreak!G:G,"",0),0)</f>
        <v>14:30 - 14:45</v>
      </c>
      <c r="K2269" s="310">
        <f t="shared" si="4"/>
        <v>46132</v>
      </c>
      <c r="L2269" s="317">
        <f t="array" ref="L2269">(XLOOKUP(D2269,Roster!F:F,Roster!D:D,"",0))</f>
        <v>35</v>
      </c>
      <c r="M2269" s="317" t="str">
        <f t="array" ref="M2269">XLOOKUP(D2269,Roster!F:F,Roster!E:E)</f>
        <v>Voice</v>
      </c>
      <c r="N2269" s="317" t="str">
        <f t="shared" ref="N2269:P2269" si="2301">LEFT(H2269,5)</f>
        <v>09:15</v>
      </c>
      <c r="O2269" s="317" t="str">
        <f t="shared" si="2301"/>
        <v>11:30</v>
      </c>
      <c r="P2269" s="317" t="str">
        <f t="shared" si="2301"/>
        <v>14:30</v>
      </c>
      <c r="Q2269" s="318">
        <f t="shared" si="2083"/>
        <v>46132.38542</v>
      </c>
      <c r="R2269" s="318">
        <f t="shared" si="2084"/>
        <v>46132.47917</v>
      </c>
      <c r="S2269" s="318">
        <f t="shared" si="8"/>
        <v>46132.60417</v>
      </c>
    </row>
    <row r="2270">
      <c r="A2270" s="14" t="str">
        <f t="shared" si="1"/>
        <v>C67346132</v>
      </c>
      <c r="B2270" s="185" t="str">
        <f t="array" ref="B2270">IF(F2270="VL","",IF(F2270="Free","Free",XLOOKUP(D2270,Roster!T:T,Roster!S:S,"",0)))</f>
        <v/>
      </c>
      <c r="C2270" s="313">
        <v>46132.0</v>
      </c>
      <c r="D2270" s="314" t="s">
        <v>156</v>
      </c>
      <c r="E2270" s="307" t="str">
        <f t="array" ref="E2270">(XLOOKUP(D2270,Roster!F:F,Roster!B:B,"",0))</f>
        <v>Dahiana Cano</v>
      </c>
      <c r="F2270" s="315" t="str">
        <f t="array" ref="F2270">IF(B2270=100,"Free",TEXT(XLOOKUP($D2270,OperationVoice!$A:$A,OperationVoice!Z:Z,XLOOKUP($D2270,OperationTickets!$A:$A,OperationTickets!Z:Z,"",0)),"hh:mm"))</f>
        <v>08:00</v>
      </c>
      <c r="G2270" s="309">
        <f t="shared" si="3"/>
        <v>0.7083333333</v>
      </c>
      <c r="H2270" s="316">
        <f t="array" ref="H2270">XLOOKUP(B2270,Roster!L:L,Roster!N:N,XLOOKUP(D2270,TicketsBreak!A:A,TicketsBreak!E:E,"",0),0)</f>
        <v>0.4583333333</v>
      </c>
      <c r="I2270" s="316">
        <f t="array" ref="I2270">XLOOKUP(B2270,Roster!L:L,Roster!O:O,XLOOKUP(D2270,TicketsBreak!A:A,TicketsBreak!F:F,"",0),0)</f>
        <v>0.5833333333</v>
      </c>
      <c r="J2270" s="316">
        <f t="array" ref="J2270">XLOOKUP(B2270,Roster!L:L,Roster!P:P,XLOOKUP(D2270,TicketsBreak!A:A,TicketsBreak!G:G,"",0),0)</f>
        <v>0.65625</v>
      </c>
      <c r="K2270" s="310">
        <f t="shared" si="4"/>
        <v>46132</v>
      </c>
      <c r="L2270" s="317">
        <f t="array" ref="L2270">(XLOOKUP(D2270,Roster!F:F,Roster!D:D,"",0))</f>
        <v>4</v>
      </c>
      <c r="M2270" s="317" t="str">
        <f t="array" ref="M2270">XLOOKUP(D2270,Roster!F:F,Roster!E:E)</f>
        <v>Tickets</v>
      </c>
      <c r="N2270" s="317" t="str">
        <f t="shared" ref="N2270:P2270" si="2302">LEFT(H2270,5)</f>
        <v>11:00</v>
      </c>
      <c r="O2270" s="317" t="str">
        <f t="shared" si="2302"/>
        <v>14:00</v>
      </c>
      <c r="P2270" s="317" t="str">
        <f t="shared" si="2302"/>
        <v>15:45</v>
      </c>
      <c r="Q2270" s="318">
        <f t="shared" si="2083"/>
        <v>46132.45833</v>
      </c>
      <c r="R2270" s="318">
        <f t="shared" si="2084"/>
        <v>46132.58333</v>
      </c>
      <c r="S2270" s="318">
        <f t="shared" si="8"/>
        <v>46132.65625</v>
      </c>
    </row>
    <row r="2271">
      <c r="A2271" s="14" t="str">
        <f t="shared" si="1"/>
        <v>C152946132</v>
      </c>
      <c r="B2271" s="185">
        <f t="array" ref="B2271">IF(F2271="VL","",IF(F2271="Free","Free",XLOOKUP(D2271,Roster!T:T,Roster!S:S,"",0)))</f>
        <v>133</v>
      </c>
      <c r="C2271" s="313">
        <v>46132.0</v>
      </c>
      <c r="D2271" s="314" t="s">
        <v>25</v>
      </c>
      <c r="E2271" s="307" t="str">
        <f t="array" ref="E2271">(XLOOKUP(D2271,Roster!F:F,Roster!B:B,"",0))</f>
        <v>Daniel Barrientos</v>
      </c>
      <c r="F2271" s="315" t="str">
        <f t="array" ref="F2271">IF(B2271=100,"Free",TEXT(XLOOKUP($D2271,OperationVoice!$A:$A,OperationVoice!Z:Z,XLOOKUP($D2271,OperationTickets!$A:$A,OperationTickets!Z:Z,"",0)),"hh:mm"))</f>
        <v>09:00</v>
      </c>
      <c r="G2271" s="309">
        <f t="shared" si="3"/>
        <v>0.75</v>
      </c>
      <c r="H2271" s="316" t="str">
        <f t="array" ref="H2271">XLOOKUP(B2271,Roster!L:L,Roster!N:N,XLOOKUP(D2271,TicketsBreak!A:A,TicketsBreak!E:E,"",0),0)</f>
        <v>10:45 - 11:00 </v>
      </c>
      <c r="I2271" s="316" t="str">
        <f t="array" ref="I2271">XLOOKUP(B2271,Roster!L:L,Roster!O:O,XLOOKUP(D2271,TicketsBreak!A:A,TicketsBreak!F:F,"",0),0)</f>
        <v>13:30 - 14:00</v>
      </c>
      <c r="J2271" s="316" t="str">
        <f t="array" ref="J2271">XLOOKUP(B2271,Roster!L:L,Roster!P:P,XLOOKUP(D2271,TicketsBreak!A:A,TicketsBreak!G:G,"",0),0)</f>
        <v>15:45 - 16:00</v>
      </c>
      <c r="K2271" s="310">
        <f t="shared" si="4"/>
        <v>46132</v>
      </c>
      <c r="L2271" s="317">
        <f t="array" ref="L2271">(XLOOKUP(D2271,Roster!F:F,Roster!D:D,"",0))</f>
        <v>36</v>
      </c>
      <c r="M2271" s="317" t="str">
        <f t="array" ref="M2271">XLOOKUP(D2271,Roster!F:F,Roster!E:E)</f>
        <v>Voice</v>
      </c>
      <c r="N2271" s="317" t="str">
        <f t="shared" ref="N2271:P2271" si="2303">LEFT(H2271,5)</f>
        <v>10:45</v>
      </c>
      <c r="O2271" s="317" t="str">
        <f t="shared" si="2303"/>
        <v>13:30</v>
      </c>
      <c r="P2271" s="317" t="str">
        <f t="shared" si="2303"/>
        <v>15:45</v>
      </c>
      <c r="Q2271" s="318">
        <f t="shared" si="2083"/>
        <v>46132.44792</v>
      </c>
      <c r="R2271" s="318">
        <f t="shared" si="2084"/>
        <v>46132.5625</v>
      </c>
      <c r="S2271" s="318">
        <f t="shared" si="8"/>
        <v>46132.65625</v>
      </c>
    </row>
    <row r="2272">
      <c r="A2272" s="14" t="str">
        <f t="shared" si="1"/>
        <v>C106446132</v>
      </c>
      <c r="B2272" s="185" t="str">
        <f t="array" ref="B2272">IF(F2272="VL","",IF(F2272="Free","Free",XLOOKUP(D2272,Roster!T:T,Roster!S:S,"",0)))</f>
        <v/>
      </c>
      <c r="C2272" s="313">
        <v>46132.0</v>
      </c>
      <c r="D2272" s="314" t="s">
        <v>175</v>
      </c>
      <c r="E2272" s="307" t="str">
        <f t="array" ref="E2272">(XLOOKUP(D2272,Roster!F:F,Roster!B:B,"",0))</f>
        <v>Daniel Urrego</v>
      </c>
      <c r="F2272" s="315" t="str">
        <f t="array" ref="F2272">IF(B2272=100,"Free",TEXT(XLOOKUP($D2272,OperationVoice!$A:$A,OperationVoice!Z:Z,XLOOKUP($D2272,OperationTickets!$A:$A,OperationTickets!Z:Z,"",0)),"hh:mm"))</f>
        <v>08:00</v>
      </c>
      <c r="G2272" s="309">
        <f t="shared" si="3"/>
        <v>0.7083333333</v>
      </c>
      <c r="H2272" s="316" t="str">
        <f t="array" ref="H2272">XLOOKUP(B2272,Roster!L:L,Roster!N:N,XLOOKUP(D2272,TicketsBreak!A:A,TicketsBreak!E:E,"",0),0)</f>
        <v/>
      </c>
      <c r="I2272" s="316" t="str">
        <f t="array" ref="I2272">XLOOKUP(B2272,Roster!L:L,Roster!O:O,XLOOKUP(D2272,TicketsBreak!A:A,TicketsBreak!F:F,"",0),0)</f>
        <v/>
      </c>
      <c r="J2272" s="316" t="str">
        <f t="array" ref="J2272">XLOOKUP(B2272,Roster!L:L,Roster!P:P,XLOOKUP(D2272,TicketsBreak!A:A,TicketsBreak!G:G,"",0),0)</f>
        <v/>
      </c>
      <c r="K2272" s="310">
        <f t="shared" si="4"/>
        <v>46132</v>
      </c>
      <c r="L2272" s="317">
        <f t="array" ref="L2272">(XLOOKUP(D2272,Roster!F:F,Roster!D:D,"",0))</f>
        <v>17</v>
      </c>
      <c r="M2272" s="317" t="str">
        <f t="array" ref="M2272">XLOOKUP(D2272,Roster!F:F,Roster!E:E)</f>
        <v>Tickets</v>
      </c>
      <c r="N2272" s="317" t="str">
        <f t="shared" ref="N2272:P2272" si="2304">LEFT(H2272,5)</f>
        <v/>
      </c>
      <c r="O2272" s="317" t="str">
        <f t="shared" si="2304"/>
        <v/>
      </c>
      <c r="P2272" s="317" t="str">
        <f t="shared" si="2304"/>
        <v/>
      </c>
      <c r="Q2272" s="318" t="str">
        <f t="shared" si="2083"/>
        <v/>
      </c>
      <c r="R2272" s="318" t="str">
        <f t="shared" si="2084"/>
        <v/>
      </c>
      <c r="S2272" s="318" t="str">
        <f t="shared" si="8"/>
        <v/>
      </c>
    </row>
    <row r="2273">
      <c r="A2273" s="14" t="str">
        <f t="shared" si="1"/>
        <v>C151346132</v>
      </c>
      <c r="B2273" s="185">
        <f t="array" ref="B2273">IF(F2273="VL","",IF(F2273="Free","Free",XLOOKUP(D2273,Roster!T:T,Roster!S:S,"",0)))</f>
        <v>126</v>
      </c>
      <c r="C2273" s="313">
        <v>46132.0</v>
      </c>
      <c r="D2273" s="314" t="s">
        <v>26</v>
      </c>
      <c r="E2273" s="307" t="str">
        <f t="array" ref="E2273">(XLOOKUP(D2273,Roster!F:F,Roster!B:B,"",0))</f>
        <v>David Patino</v>
      </c>
      <c r="F2273" s="315" t="str">
        <f t="array" ref="F2273">IF(B2273=100,"Free",TEXT(XLOOKUP($D2273,OperationVoice!$A:$A,OperationVoice!Z:Z,XLOOKUP($D2273,OperationTickets!$A:$A,OperationTickets!Z:Z,"",0)),"hh:mm"))</f>
        <v>08:00</v>
      </c>
      <c r="G2273" s="309">
        <f t="shared" si="3"/>
        <v>0.7083333333</v>
      </c>
      <c r="H2273" s="316" t="str">
        <f t="array" ref="H2273">XLOOKUP(B2273,Roster!L:L,Roster!N:N,XLOOKUP(D2273,TicketsBreak!A:A,TicketsBreak!E:E,"",0),0)</f>
        <v>10:45 - 11:00</v>
      </c>
      <c r="I2273" s="316" t="str">
        <f t="array" ref="I2273">XLOOKUP(B2273,Roster!L:L,Roster!O:O,XLOOKUP(D2273,TicketsBreak!A:A,TicketsBreak!F:F,"",0),0)</f>
        <v>14:00 - 14:30</v>
      </c>
      <c r="J2273" s="316" t="str">
        <f t="array" ref="J2273">XLOOKUP(B2273,Roster!L:L,Roster!P:P,XLOOKUP(D2273,TicketsBreak!A:A,TicketsBreak!G:G,"",0),0)</f>
        <v>15:45 - 16:00</v>
      </c>
      <c r="K2273" s="310">
        <f t="shared" si="4"/>
        <v>46132</v>
      </c>
      <c r="L2273" s="317">
        <f t="array" ref="L2273">(XLOOKUP(D2273,Roster!F:F,Roster!D:D,"",0))</f>
        <v>35</v>
      </c>
      <c r="M2273" s="317" t="str">
        <f t="array" ref="M2273">XLOOKUP(D2273,Roster!F:F,Roster!E:E)</f>
        <v>Voice</v>
      </c>
      <c r="N2273" s="317" t="str">
        <f t="shared" ref="N2273:P2273" si="2305">LEFT(H2273,5)</f>
        <v>10:45</v>
      </c>
      <c r="O2273" s="317" t="str">
        <f t="shared" si="2305"/>
        <v>14:00</v>
      </c>
      <c r="P2273" s="317" t="str">
        <f t="shared" si="2305"/>
        <v>15:45</v>
      </c>
      <c r="Q2273" s="318">
        <f t="shared" si="2083"/>
        <v>46132.44792</v>
      </c>
      <c r="R2273" s="318">
        <f t="shared" si="2084"/>
        <v>46132.58333</v>
      </c>
      <c r="S2273" s="318">
        <f t="shared" si="8"/>
        <v>46132.65625</v>
      </c>
    </row>
    <row r="2274">
      <c r="A2274" s="14" t="str">
        <f t="shared" si="1"/>
        <v>C127746132</v>
      </c>
      <c r="B2274" s="185" t="str">
        <f t="array" ref="B2274">IF(F2274="VL","",IF(F2274="Free","Free",XLOOKUP(D2274,Roster!T:T,Roster!S:S,"",0)))</f>
        <v>Free</v>
      </c>
      <c r="C2274" s="313">
        <v>46132.0</v>
      </c>
      <c r="D2274" s="314" t="s">
        <v>27</v>
      </c>
      <c r="E2274" s="307" t="str">
        <f t="array" ref="E2274">(XLOOKUP(D2274,Roster!F:F,Roster!B:B,"",0))</f>
        <v>Edwuin Martinez</v>
      </c>
      <c r="F2274" s="315" t="str">
        <f t="array" ref="F2274">IF(B2274=100,"Free",TEXT(XLOOKUP($D2274,OperationVoice!$A:$A,OperationVoice!Z:Z,XLOOKUP($D2274,OperationTickets!$A:$A,OperationTickets!Z:Z,"",0)),"hh:mm"))</f>
        <v>Free</v>
      </c>
      <c r="G2274" s="309" t="str">
        <f t="shared" si="3"/>
        <v>Free</v>
      </c>
      <c r="H2274" s="316" t="str">
        <f t="array" ref="H2274">XLOOKUP(B2274,Roster!L:L,Roster!N:N,XLOOKUP(D2274,TicketsBreak!A:A,TicketsBreak!E:E,"",0),0)</f>
        <v/>
      </c>
      <c r="I2274" s="316" t="str">
        <f t="array" ref="I2274">XLOOKUP(B2274,Roster!L:L,Roster!O:O,XLOOKUP(D2274,TicketsBreak!A:A,TicketsBreak!F:F,"",0),0)</f>
        <v/>
      </c>
      <c r="J2274" s="316" t="str">
        <f t="array" ref="J2274">XLOOKUP(B2274,Roster!L:L,Roster!P:P,XLOOKUP(D2274,TicketsBreak!A:A,TicketsBreak!G:G,"",0),0)</f>
        <v/>
      </c>
      <c r="K2274" s="310">
        <f t="shared" si="4"/>
        <v>46132</v>
      </c>
      <c r="L2274" s="317">
        <f t="array" ref="L2274">(XLOOKUP(D2274,Roster!F:F,Roster!D:D,"",0))</f>
        <v>27</v>
      </c>
      <c r="M2274" s="317" t="str">
        <f t="array" ref="M2274">XLOOKUP(D2274,Roster!F:F,Roster!E:E)</f>
        <v>Voice</v>
      </c>
      <c r="N2274" s="317" t="str">
        <f t="shared" ref="N2274:P2274" si="2306">LEFT(H2274,5)</f>
        <v/>
      </c>
      <c r="O2274" s="317" t="str">
        <f t="shared" si="2306"/>
        <v/>
      </c>
      <c r="P2274" s="317" t="str">
        <f t="shared" si="2306"/>
        <v/>
      </c>
      <c r="Q2274" s="318" t="str">
        <f t="shared" si="2083"/>
        <v/>
      </c>
      <c r="R2274" s="318" t="str">
        <f t="shared" si="2084"/>
        <v/>
      </c>
      <c r="S2274" s="318" t="str">
        <f t="shared" si="8"/>
        <v/>
      </c>
    </row>
    <row r="2275">
      <c r="A2275" s="14" t="str">
        <f t="shared" si="1"/>
        <v>C121646132</v>
      </c>
      <c r="B2275" s="185" t="str">
        <f t="array" ref="B2275">IF(F2275="VL","",IF(F2275="Free","Free",XLOOKUP(D2275,Roster!T:T,Roster!S:S,"",0)))</f>
        <v/>
      </c>
      <c r="C2275" s="313">
        <v>46132.0</v>
      </c>
      <c r="D2275" s="314" t="s">
        <v>134</v>
      </c>
      <c r="E2275" s="307" t="str">
        <f t="array" ref="E2275">(XLOOKUP(D2275,Roster!F:F,Roster!B:B,"",0))</f>
        <v>Eliana Pena</v>
      </c>
      <c r="F2275" s="315" t="str">
        <f t="array" ref="F2275">IF(B2275=100,"Free",TEXT(XLOOKUP($D2275,OperationVoice!$A:$A,OperationVoice!Z:Z,XLOOKUP($D2275,OperationTickets!$A:$A,OperationTickets!Z:Z,"",0)),"hh:mm"))</f>
        <v>08:00</v>
      </c>
      <c r="G2275" s="309">
        <f t="shared" si="3"/>
        <v>0.7083333333</v>
      </c>
      <c r="H2275" s="316">
        <f t="array" ref="H2275">XLOOKUP(B2275,Roster!L:L,Roster!N:N,XLOOKUP(D2275,TicketsBreak!A:A,TicketsBreak!E:E,"",0),0)</f>
        <v>0.3958333333</v>
      </c>
      <c r="I2275" s="316">
        <f t="array" ref="I2275">XLOOKUP(B2275,Roster!L:L,Roster!O:O,XLOOKUP(D2275,TicketsBreak!A:A,TicketsBreak!F:F,"",0),0)</f>
        <v>0.5416666667</v>
      </c>
      <c r="J2275" s="316">
        <f t="array" ref="J2275">XLOOKUP(B2275,Roster!L:L,Roster!P:P,XLOOKUP(D2275,TicketsBreak!A:A,TicketsBreak!G:G,"",0),0)</f>
        <v>0.6354166667</v>
      </c>
      <c r="K2275" s="310">
        <f t="shared" si="4"/>
        <v>46132</v>
      </c>
      <c r="L2275" s="317">
        <f t="array" ref="L2275">(XLOOKUP(D2275,Roster!F:F,Roster!D:D,"",0))</f>
        <v>26</v>
      </c>
      <c r="M2275" s="317" t="str">
        <f t="array" ref="M2275">XLOOKUP(D2275,Roster!F:F,Roster!E:E)</f>
        <v>Tickets</v>
      </c>
      <c r="N2275" s="317" t="str">
        <f t="shared" ref="N2275:P2275" si="2307">LEFT(H2275,5)</f>
        <v>09:30</v>
      </c>
      <c r="O2275" s="317" t="str">
        <f t="shared" si="2307"/>
        <v>13:00</v>
      </c>
      <c r="P2275" s="317" t="str">
        <f t="shared" si="2307"/>
        <v>15:15</v>
      </c>
      <c r="Q2275" s="318">
        <f t="shared" si="2083"/>
        <v>46132.39583</v>
      </c>
      <c r="R2275" s="318">
        <f t="shared" si="2084"/>
        <v>46132.54167</v>
      </c>
      <c r="S2275" s="318">
        <f t="shared" si="8"/>
        <v>46132.63542</v>
      </c>
    </row>
    <row r="2276">
      <c r="A2276" s="14" t="str">
        <f t="shared" si="1"/>
        <v>C157346132</v>
      </c>
      <c r="B2276" s="185">
        <f t="array" ref="B2276">IF(F2276="VL","",IF(F2276="Free","Free",XLOOKUP(D2276,Roster!T:T,Roster!S:S,"",0)))</f>
        <v>123</v>
      </c>
      <c r="C2276" s="313">
        <v>46132.0</v>
      </c>
      <c r="D2276" s="314" t="s">
        <v>28</v>
      </c>
      <c r="E2276" s="307" t="str">
        <f t="array" ref="E2276">(XLOOKUP(D2276,Roster!F:F,Roster!B:B,"",0))</f>
        <v>Esteban Correa</v>
      </c>
      <c r="F2276" s="315" t="str">
        <f t="array" ref="F2276">IF(B2276=100,"Free",TEXT(XLOOKUP($D2276,OperationVoice!$A:$A,OperationVoice!Z:Z,XLOOKUP($D2276,OperationTickets!$A:$A,OperationTickets!Z:Z,"",0)),"hh:mm"))</f>
        <v>08:00</v>
      </c>
      <c r="G2276" s="309">
        <f t="shared" si="3"/>
        <v>0.7083333333</v>
      </c>
      <c r="H2276" s="316" t="str">
        <f t="array" ref="H2276">XLOOKUP(B2276,Roster!L:L,Roster!N:N,XLOOKUP(D2276,TicketsBreak!A:A,TicketsBreak!E:E,"",0),0)</f>
        <v>09:45 - 10:00 </v>
      </c>
      <c r="I2276" s="316" t="str">
        <f t="array" ref="I2276">XLOOKUP(B2276,Roster!L:L,Roster!O:O,XLOOKUP(D2276,TicketsBreak!A:A,TicketsBreak!F:F,"",0),0)</f>
        <v>12:30 - 13:00</v>
      </c>
      <c r="J2276" s="316" t="str">
        <f t="array" ref="J2276">XLOOKUP(B2276,Roster!L:L,Roster!P:P,XLOOKUP(D2276,TicketsBreak!A:A,TicketsBreak!G:G,"",0),0)</f>
        <v>15:00 - 15:15</v>
      </c>
      <c r="K2276" s="310">
        <f t="shared" si="4"/>
        <v>46132</v>
      </c>
      <c r="L2276" s="317">
        <f t="array" ref="L2276">(XLOOKUP(D2276,Roster!F:F,Roster!D:D,"",0))</f>
        <v>38</v>
      </c>
      <c r="M2276" s="317" t="str">
        <f t="array" ref="M2276">XLOOKUP(D2276,Roster!F:F,Roster!E:E)</f>
        <v>Voice</v>
      </c>
      <c r="N2276" s="317" t="str">
        <f t="shared" ref="N2276:P2276" si="2308">LEFT(H2276,5)</f>
        <v>09:45</v>
      </c>
      <c r="O2276" s="317" t="str">
        <f t="shared" si="2308"/>
        <v>12:30</v>
      </c>
      <c r="P2276" s="317" t="str">
        <f t="shared" si="2308"/>
        <v>15:00</v>
      </c>
      <c r="Q2276" s="318">
        <f t="shared" si="2083"/>
        <v>46132.40625</v>
      </c>
      <c r="R2276" s="318">
        <f t="shared" si="2084"/>
        <v>46132.52083</v>
      </c>
      <c r="S2276" s="318">
        <f t="shared" si="8"/>
        <v>46132.625</v>
      </c>
    </row>
    <row r="2277">
      <c r="A2277" s="14" t="str">
        <f t="shared" si="1"/>
        <v>C71346132</v>
      </c>
      <c r="B2277" s="185">
        <f t="array" ref="B2277">IF(F2277="VL","",IF(F2277="Free","Free",XLOOKUP(D2277,Roster!T:T,Roster!S:S,"",0)))</f>
        <v>125</v>
      </c>
      <c r="C2277" s="313">
        <v>46132.0</v>
      </c>
      <c r="D2277" s="314" t="s">
        <v>29</v>
      </c>
      <c r="E2277" s="307" t="str">
        <f t="array" ref="E2277">(XLOOKUP(D2277,Roster!F:F,Roster!B:B,"",0))</f>
        <v>Frank Marin</v>
      </c>
      <c r="F2277" s="315" t="str">
        <f t="array" ref="F2277">IF(B2277=100,"Free",TEXT(XLOOKUP($D2277,OperationVoice!$A:$A,OperationVoice!Z:Z,XLOOKUP($D2277,OperationTickets!$A:$A,OperationTickets!Z:Z,"",0)),"hh:mm"))</f>
        <v>08:00</v>
      </c>
      <c r="G2277" s="309">
        <f t="shared" si="3"/>
        <v>0.7083333333</v>
      </c>
      <c r="H2277" s="316" t="str">
        <f t="array" ref="H2277">XLOOKUP(B2277,Roster!L:L,Roster!N:N,XLOOKUP(D2277,TicketsBreak!A:A,TicketsBreak!E:E,"",0),0)</f>
        <v>10:30 - 10:45</v>
      </c>
      <c r="I2277" s="316" t="str">
        <f t="array" ref="I2277">XLOOKUP(B2277,Roster!L:L,Roster!O:O,XLOOKUP(D2277,TicketsBreak!A:A,TicketsBreak!F:F,"",0),0)</f>
        <v>13:30 - 14:00</v>
      </c>
      <c r="J2277" s="316" t="str">
        <f t="array" ref="J2277">XLOOKUP(B2277,Roster!L:L,Roster!P:P,XLOOKUP(D2277,TicketsBreak!A:A,TicketsBreak!G:G,"",0),0)</f>
        <v>15:45 - 16:00</v>
      </c>
      <c r="K2277" s="310">
        <f t="shared" si="4"/>
        <v>46132</v>
      </c>
      <c r="L2277" s="317">
        <f t="array" ref="L2277">(XLOOKUP(D2277,Roster!F:F,Roster!D:D,"",0))</f>
        <v>6</v>
      </c>
      <c r="M2277" s="317" t="str">
        <f t="array" ref="M2277">XLOOKUP(D2277,Roster!F:F,Roster!E:E)</f>
        <v>Voice</v>
      </c>
      <c r="N2277" s="317" t="str">
        <f t="shared" ref="N2277:P2277" si="2309">LEFT(H2277,5)</f>
        <v>10:30</v>
      </c>
      <c r="O2277" s="317" t="str">
        <f t="shared" si="2309"/>
        <v>13:30</v>
      </c>
      <c r="P2277" s="317" t="str">
        <f t="shared" si="2309"/>
        <v>15:45</v>
      </c>
      <c r="Q2277" s="318">
        <f t="shared" si="2083"/>
        <v>46132.4375</v>
      </c>
      <c r="R2277" s="318">
        <f t="shared" si="2084"/>
        <v>46132.5625</v>
      </c>
      <c r="S2277" s="318">
        <f t="shared" si="8"/>
        <v>46132.65625</v>
      </c>
    </row>
    <row r="2278">
      <c r="A2278" s="14" t="str">
        <f t="shared" si="1"/>
        <v>C154846132</v>
      </c>
      <c r="B2278" s="185">
        <f t="array" ref="B2278">IF(F2278="VL","",IF(F2278="Free","Free",XLOOKUP(D2278,Roster!T:T,Roster!S:S,"",0)))</f>
        <v>152</v>
      </c>
      <c r="C2278" s="313">
        <v>46132.0</v>
      </c>
      <c r="D2278" s="314" t="s">
        <v>30</v>
      </c>
      <c r="E2278" s="307" t="str">
        <f t="array" ref="E2278">(XLOOKUP(D2278,Roster!F:F,Roster!B:B,"",0))</f>
        <v>Frey ortiz</v>
      </c>
      <c r="F2278" s="315" t="str">
        <f t="array" ref="F2278">IF(B2278=100,"Free",TEXT(XLOOKUP($D2278,OperationVoice!$A:$A,OperationVoice!Z:Z,XLOOKUP($D2278,OperationTickets!$A:$A,OperationTickets!Z:Z,"",0)),"hh:mm"))</f>
        <v>11:00</v>
      </c>
      <c r="G2278" s="309">
        <f t="shared" si="3"/>
        <v>0.8333333333</v>
      </c>
      <c r="H2278" s="316" t="str">
        <f t="array" ref="H2278">XLOOKUP(B2278,Roster!L:L,Roster!N:N,XLOOKUP(D2278,TicketsBreak!A:A,TicketsBreak!E:E,"",0),0)</f>
        <v>12:30 - 12:45</v>
      </c>
      <c r="I2278" s="316" t="str">
        <f t="array" ref="I2278">XLOOKUP(B2278,Roster!L:L,Roster!O:O,XLOOKUP(D2278,TicketsBreak!A:A,TicketsBreak!F:F,"",0),0)</f>
        <v>14:30 - 15:00</v>
      </c>
      <c r="J2278" s="316" t="str">
        <f t="array" ref="J2278">XLOOKUP(B2278,Roster!L:L,Roster!P:P,XLOOKUP(D2278,TicketsBreak!A:A,TicketsBreak!G:G,"",0),0)</f>
        <v>17:30 - 17:45</v>
      </c>
      <c r="K2278" s="310">
        <f t="shared" si="4"/>
        <v>46132</v>
      </c>
      <c r="L2278" s="317">
        <f t="array" ref="L2278">(XLOOKUP(D2278,Roster!F:F,Roster!D:D,"",0))</f>
        <v>37</v>
      </c>
      <c r="M2278" s="317" t="str">
        <f t="array" ref="M2278">XLOOKUP(D2278,Roster!F:F,Roster!E:E)</f>
        <v>Voice</v>
      </c>
      <c r="N2278" s="317" t="str">
        <f t="shared" ref="N2278:P2278" si="2310">LEFT(H2278,5)</f>
        <v>12:30</v>
      </c>
      <c r="O2278" s="317" t="str">
        <f t="shared" si="2310"/>
        <v>14:30</v>
      </c>
      <c r="P2278" s="317" t="str">
        <f t="shared" si="2310"/>
        <v>17:30</v>
      </c>
      <c r="Q2278" s="318">
        <f t="shared" si="2083"/>
        <v>46132.52083</v>
      </c>
      <c r="R2278" s="318">
        <f t="shared" si="2084"/>
        <v>46132.60417</v>
      </c>
      <c r="S2278" s="318">
        <f t="shared" si="8"/>
        <v>46132.72917</v>
      </c>
    </row>
    <row r="2279">
      <c r="A2279" s="14" t="str">
        <f t="shared" si="1"/>
        <v>C148646132</v>
      </c>
      <c r="B2279" s="185">
        <f t="array" ref="B2279">IF(F2279="VL","",IF(F2279="Free","Free",XLOOKUP(D2279,Roster!T:T,Roster!S:S,"",0)))</f>
        <v>154</v>
      </c>
      <c r="C2279" s="313">
        <v>46132.0</v>
      </c>
      <c r="D2279" s="314" t="s">
        <v>31</v>
      </c>
      <c r="E2279" s="307" t="str">
        <f t="array" ref="E2279">(XLOOKUP(D2279,Roster!F:F,Roster!B:B,"",0))</f>
        <v>Gabriel Gomez</v>
      </c>
      <c r="F2279" s="315" t="str">
        <f t="array" ref="F2279">IF(B2279=100,"Free",TEXT(XLOOKUP($D2279,OperationVoice!$A:$A,OperationVoice!Z:Z,XLOOKUP($D2279,OperationTickets!$A:$A,OperationTickets!Z:Z,"",0)),"hh:mm"))</f>
        <v>11:00</v>
      </c>
      <c r="G2279" s="309">
        <f t="shared" si="3"/>
        <v>0.8333333333</v>
      </c>
      <c r="H2279" s="316" t="str">
        <f t="array" ref="H2279">XLOOKUP(B2279,Roster!L:L,Roster!N:N,XLOOKUP(D2279,TicketsBreak!A:A,TicketsBreak!E:E,"",0),0)</f>
        <v>13:00 - 13:15</v>
      </c>
      <c r="I2279" s="316" t="str">
        <f t="array" ref="I2279">XLOOKUP(B2279,Roster!L:L,Roster!O:O,XLOOKUP(D2279,TicketsBreak!A:A,TicketsBreak!F:F,"",0),0)</f>
        <v>15:15 - 15:45</v>
      </c>
      <c r="J2279" s="316" t="str">
        <f t="array" ref="J2279">XLOOKUP(B2279,Roster!L:L,Roster!P:P,XLOOKUP(D2279,TicketsBreak!A:A,TicketsBreak!G:G,"",0),0)</f>
        <v>18:00 - 18:15</v>
      </c>
      <c r="K2279" s="310">
        <f t="shared" si="4"/>
        <v>46132</v>
      </c>
      <c r="L2279" s="317">
        <f t="array" ref="L2279">(XLOOKUP(D2279,Roster!F:F,Roster!D:D,"",0))</f>
        <v>34</v>
      </c>
      <c r="M2279" s="317" t="str">
        <f t="array" ref="M2279">XLOOKUP(D2279,Roster!F:F,Roster!E:E)</f>
        <v>Voice</v>
      </c>
      <c r="N2279" s="317" t="str">
        <f t="shared" ref="N2279:P2279" si="2311">LEFT(H2279,5)</f>
        <v>13:00</v>
      </c>
      <c r="O2279" s="317" t="str">
        <f t="shared" si="2311"/>
        <v>15:15</v>
      </c>
      <c r="P2279" s="317" t="str">
        <f t="shared" si="2311"/>
        <v>18:00</v>
      </c>
      <c r="Q2279" s="318">
        <f t="shared" si="2083"/>
        <v>46132.54167</v>
      </c>
      <c r="R2279" s="318">
        <f t="shared" si="2084"/>
        <v>46132.63542</v>
      </c>
      <c r="S2279" s="318">
        <f t="shared" si="8"/>
        <v>46132.75</v>
      </c>
    </row>
    <row r="2280">
      <c r="A2280" s="14" t="str">
        <f t="shared" si="1"/>
        <v>C136946132</v>
      </c>
      <c r="B2280" s="185">
        <f t="array" ref="B2280">IF(F2280="VL","",IF(F2280="Free","Free",XLOOKUP(D2280,Roster!T:T,Roster!S:S,"",0)))</f>
        <v>126</v>
      </c>
      <c r="C2280" s="313">
        <v>46132.0</v>
      </c>
      <c r="D2280" s="314" t="s">
        <v>157</v>
      </c>
      <c r="E2280" s="307" t="str">
        <f t="array" ref="E2280">(XLOOKUP(D2280,Roster!F:F,Roster!B:B,"",0))</f>
        <v>Gabriela Jimenez</v>
      </c>
      <c r="F2280" s="315" t="str">
        <f t="array" ref="F2280">IF(B2280=100,"Free",TEXT(XLOOKUP($D2280,OperationVoice!$A:$A,OperationVoice!Z:Z,XLOOKUP($D2280,OperationTickets!$A:$A,OperationTickets!Z:Z,"",0)),"hh:mm"))</f>
        <v>08:00</v>
      </c>
      <c r="G2280" s="309">
        <f t="shared" si="3"/>
        <v>0.7083333333</v>
      </c>
      <c r="H2280" s="316" t="str">
        <f t="array" ref="H2280">XLOOKUP(B2280,Roster!L:L,Roster!N:N,XLOOKUP(D2280,TicketsBreak!A:A,TicketsBreak!E:E,"",0),0)</f>
        <v>10:45 - 11:00</v>
      </c>
      <c r="I2280" s="316" t="str">
        <f t="array" ref="I2280">XLOOKUP(B2280,Roster!L:L,Roster!O:O,XLOOKUP(D2280,TicketsBreak!A:A,TicketsBreak!F:F,"",0),0)</f>
        <v>14:00 - 14:30</v>
      </c>
      <c r="J2280" s="316" t="str">
        <f t="array" ref="J2280">XLOOKUP(B2280,Roster!L:L,Roster!P:P,XLOOKUP(D2280,TicketsBreak!A:A,TicketsBreak!G:G,"",0),0)</f>
        <v>15:45 - 16:00</v>
      </c>
      <c r="K2280" s="310">
        <f t="shared" si="4"/>
        <v>46132</v>
      </c>
      <c r="L2280" s="317">
        <f t="array" ref="L2280">(XLOOKUP(D2280,Roster!F:F,Roster!D:D,"",0))</f>
        <v>31</v>
      </c>
      <c r="M2280" s="317" t="str">
        <f t="array" ref="M2280">XLOOKUP(D2280,Roster!F:F,Roster!E:E)</f>
        <v>Tickets</v>
      </c>
      <c r="N2280" s="317" t="str">
        <f t="shared" ref="N2280:P2280" si="2312">LEFT(H2280,5)</f>
        <v>10:45</v>
      </c>
      <c r="O2280" s="317" t="str">
        <f t="shared" si="2312"/>
        <v>14:00</v>
      </c>
      <c r="P2280" s="317" t="str">
        <f t="shared" si="2312"/>
        <v>15:45</v>
      </c>
      <c r="Q2280" s="318">
        <f t="shared" si="2083"/>
        <v>46132.44792</v>
      </c>
      <c r="R2280" s="318">
        <f t="shared" si="2084"/>
        <v>46132.58333</v>
      </c>
      <c r="S2280" s="318">
        <f t="shared" si="8"/>
        <v>46132.65625</v>
      </c>
    </row>
    <row r="2281">
      <c r="A2281" s="14" t="str">
        <f t="shared" si="1"/>
        <v>C101746132</v>
      </c>
      <c r="B2281" s="185">
        <f t="array" ref="B2281">IF(F2281="VL","",IF(F2281="Free","Free",XLOOKUP(D2281,Roster!T:T,Roster!S:S,"",0)))</f>
        <v>121</v>
      </c>
      <c r="C2281" s="313">
        <v>46132.0</v>
      </c>
      <c r="D2281" s="314" t="s">
        <v>32</v>
      </c>
      <c r="E2281" s="307" t="str">
        <f t="array" ref="E2281">(XLOOKUP(D2281,Roster!F:F,Roster!B:B,"",0))</f>
        <v>Geraldine Correa</v>
      </c>
      <c r="F2281" s="315" t="str">
        <f t="array" ref="F2281">IF(B2281=100,"Free",TEXT(XLOOKUP($D2281,OperationVoice!$A:$A,OperationVoice!Z:Z,XLOOKUP($D2281,OperationTickets!$A:$A,OperationTickets!Z:Z,"",0)),"hh:mm"))</f>
        <v>08:00</v>
      </c>
      <c r="G2281" s="309">
        <f t="shared" si="3"/>
        <v>0.7083333333</v>
      </c>
      <c r="H2281" s="316" t="str">
        <f t="array" ref="H2281">XLOOKUP(B2281,Roster!L:L,Roster!N:N,XLOOKUP(D2281,TicketsBreak!A:A,TicketsBreak!E:E,"",0),0)</f>
        <v>09:15 - 09:30</v>
      </c>
      <c r="I2281" s="316" t="str">
        <f t="array" ref="I2281">XLOOKUP(B2281,Roster!L:L,Roster!O:O,XLOOKUP(D2281,TicketsBreak!A:A,TicketsBreak!F:F,"",0),0)</f>
        <v>11:30 - 12:00</v>
      </c>
      <c r="J2281" s="316" t="str">
        <f t="array" ref="J2281">XLOOKUP(B2281,Roster!L:L,Roster!P:P,XLOOKUP(D2281,TicketsBreak!A:A,TicketsBreak!G:G,"",0),0)</f>
        <v>14:30 - 14:45</v>
      </c>
      <c r="K2281" s="310">
        <f t="shared" si="4"/>
        <v>46132</v>
      </c>
      <c r="L2281" s="317">
        <f t="array" ref="L2281">(XLOOKUP(D2281,Roster!F:F,Roster!D:D,"",0))</f>
        <v>23</v>
      </c>
      <c r="M2281" s="317" t="str">
        <f t="array" ref="M2281">XLOOKUP(D2281,Roster!F:F,Roster!E:E)</f>
        <v>Voice</v>
      </c>
      <c r="N2281" s="317" t="str">
        <f t="shared" ref="N2281:P2281" si="2313">LEFT(H2281,5)</f>
        <v>09:15</v>
      </c>
      <c r="O2281" s="317" t="str">
        <f t="shared" si="2313"/>
        <v>11:30</v>
      </c>
      <c r="P2281" s="317" t="str">
        <f t="shared" si="2313"/>
        <v>14:30</v>
      </c>
      <c r="Q2281" s="318">
        <f t="shared" si="2083"/>
        <v>46132.38542</v>
      </c>
      <c r="R2281" s="318">
        <f t="shared" si="2084"/>
        <v>46132.47917</v>
      </c>
      <c r="S2281" s="318">
        <f t="shared" si="8"/>
        <v>46132.60417</v>
      </c>
    </row>
    <row r="2282">
      <c r="A2282" s="14" t="str">
        <f t="shared" si="1"/>
        <v>C154146132</v>
      </c>
      <c r="B2282" s="185">
        <f t="array" ref="B2282">IF(F2282="VL","",IF(F2282="Free","Free",XLOOKUP(D2282,Roster!T:T,Roster!S:S,"",0)))</f>
        <v>155</v>
      </c>
      <c r="C2282" s="313">
        <v>46132.0</v>
      </c>
      <c r="D2282" s="314" t="s">
        <v>33</v>
      </c>
      <c r="E2282" s="307" t="str">
        <f t="array" ref="E2282">(XLOOKUP(D2282,Roster!F:F,Roster!B:B,"",0))</f>
        <v>Gisel Moya</v>
      </c>
      <c r="F2282" s="315" t="str">
        <f t="array" ref="F2282">IF(B2282=100,"Free",TEXT(XLOOKUP($D2282,OperationVoice!$A:$A,OperationVoice!Z:Z,XLOOKUP($D2282,OperationTickets!$A:$A,OperationTickets!Z:Z,"",0)),"hh:mm"))</f>
        <v>11:00</v>
      </c>
      <c r="G2282" s="309">
        <f t="shared" si="3"/>
        <v>0.8333333333</v>
      </c>
      <c r="H2282" s="316" t="str">
        <f t="array" ref="H2282">XLOOKUP(B2282,Roster!L:L,Roster!N:N,XLOOKUP(D2282,TicketsBreak!A:A,TicketsBreak!E:E,"",0),0)</f>
        <v>13:15 - 13:30</v>
      </c>
      <c r="I2282" s="316" t="str">
        <f t="array" ref="I2282">XLOOKUP(B2282,Roster!L:L,Roster!O:O,XLOOKUP(D2282,TicketsBreak!A:A,TicketsBreak!F:F,"",0),0)</f>
        <v>15:45 - 16:15</v>
      </c>
      <c r="J2282" s="316" t="str">
        <f t="array" ref="J2282">XLOOKUP(B2282,Roster!L:L,Roster!P:P,XLOOKUP(D2282,TicketsBreak!A:A,TicketsBreak!G:G,"",0),0)</f>
        <v>18:15 - 18:30</v>
      </c>
      <c r="K2282" s="310">
        <f t="shared" si="4"/>
        <v>46132</v>
      </c>
      <c r="L2282" s="317">
        <f t="array" ref="L2282">(XLOOKUP(D2282,Roster!F:F,Roster!D:D,"",0))</f>
        <v>36</v>
      </c>
      <c r="M2282" s="317" t="str">
        <f t="array" ref="M2282">XLOOKUP(D2282,Roster!F:F,Roster!E:E)</f>
        <v>Voice</v>
      </c>
      <c r="N2282" s="317" t="str">
        <f t="shared" ref="N2282:P2282" si="2314">LEFT(H2282,5)</f>
        <v>13:15</v>
      </c>
      <c r="O2282" s="317" t="str">
        <f t="shared" si="2314"/>
        <v>15:45</v>
      </c>
      <c r="P2282" s="317" t="str">
        <f t="shared" si="2314"/>
        <v>18:15</v>
      </c>
      <c r="Q2282" s="318">
        <f t="shared" si="2083"/>
        <v>46132.55208</v>
      </c>
      <c r="R2282" s="318">
        <f t="shared" si="2084"/>
        <v>46132.65625</v>
      </c>
      <c r="S2282" s="318">
        <f t="shared" si="8"/>
        <v>46132.76042</v>
      </c>
    </row>
    <row r="2283">
      <c r="A2283" s="14" t="str">
        <f t="shared" si="1"/>
        <v>C86046132</v>
      </c>
      <c r="B2283" s="185" t="str">
        <f t="array" ref="B2283">IF(F2283="VL","",IF(F2283="Free","Free",XLOOKUP(D2283,Roster!T:T,Roster!S:S,"",0)))</f>
        <v/>
      </c>
      <c r="C2283" s="313">
        <v>46132.0</v>
      </c>
      <c r="D2283" s="314" t="s">
        <v>158</v>
      </c>
      <c r="E2283" s="307" t="str">
        <f t="array" ref="E2283">(XLOOKUP(D2283,Roster!F:F,Roster!B:B,"",0))</f>
        <v>Ief Fabre</v>
      </c>
      <c r="F2283" s="315" t="str">
        <f t="array" ref="F2283">IF(B2283=100,"Free",TEXT(XLOOKUP($D2283,OperationVoice!$A:$A,OperationVoice!Z:Z,XLOOKUP($D2283,OperationTickets!$A:$A,OperationTickets!Z:Z,"",0)),"hh:mm"))</f>
        <v>08:00</v>
      </c>
      <c r="G2283" s="309">
        <f t="shared" si="3"/>
        <v>0.7083333333</v>
      </c>
      <c r="H2283" s="316">
        <f t="array" ref="H2283">XLOOKUP(B2283,Roster!L:L,Roster!N:N,XLOOKUP(D2283,TicketsBreak!A:A,TicketsBreak!E:E,"",0),0)</f>
        <v>0.4166666667</v>
      </c>
      <c r="I2283" s="316">
        <f t="array" ref="I2283">XLOOKUP(B2283,Roster!L:L,Roster!O:O,XLOOKUP(D2283,TicketsBreak!A:A,TicketsBreak!F:F,"",0),0)</f>
        <v>0.5</v>
      </c>
      <c r="J2283" s="316">
        <f t="array" ref="J2283">XLOOKUP(B2283,Roster!L:L,Roster!P:P,XLOOKUP(D2283,TicketsBreak!A:A,TicketsBreak!G:G,"",0),0)</f>
        <v>0.625</v>
      </c>
      <c r="K2283" s="310">
        <f t="shared" si="4"/>
        <v>46132</v>
      </c>
      <c r="L2283" s="317">
        <f t="array" ref="L2283">(XLOOKUP(D2283,Roster!F:F,Roster!D:D,"",0))</f>
        <v>10</v>
      </c>
      <c r="M2283" s="317" t="str">
        <f t="array" ref="M2283">XLOOKUP(D2283,Roster!F:F,Roster!E:E)</f>
        <v>Tickets</v>
      </c>
      <c r="N2283" s="317" t="str">
        <f t="shared" ref="N2283:P2283" si="2315">LEFT(H2283,5)</f>
        <v>10:00</v>
      </c>
      <c r="O2283" s="317" t="str">
        <f t="shared" si="2315"/>
        <v>12:00</v>
      </c>
      <c r="P2283" s="317" t="str">
        <f t="shared" si="2315"/>
        <v>15:00</v>
      </c>
      <c r="Q2283" s="318">
        <f t="shared" si="2083"/>
        <v>46132.41667</v>
      </c>
      <c r="R2283" s="318">
        <f t="shared" si="2084"/>
        <v>46132.5</v>
      </c>
      <c r="S2283" s="318">
        <f t="shared" si="8"/>
        <v>46132.625</v>
      </c>
    </row>
    <row r="2284">
      <c r="A2284" s="14" t="str">
        <f t="shared" si="1"/>
        <v>C148146132</v>
      </c>
      <c r="B2284" s="185">
        <f t="array" ref="B2284">IF(F2284="VL","",IF(F2284="Free","Free",XLOOKUP(D2284,Roster!T:T,Roster!S:S,"",0)))</f>
        <v>155</v>
      </c>
      <c r="C2284" s="313">
        <v>46132.0</v>
      </c>
      <c r="D2284" s="314" t="s">
        <v>34</v>
      </c>
      <c r="E2284" s="307" t="str">
        <f t="array" ref="E2284">(XLOOKUP(D2284,Roster!F:F,Roster!B:B,"",0))</f>
        <v>Jasam Mejia</v>
      </c>
      <c r="F2284" s="315" t="str">
        <f t="array" ref="F2284">IF(B2284=100,"Free",TEXT(XLOOKUP($D2284,OperationVoice!$A:$A,OperationVoice!Z:Z,XLOOKUP($D2284,OperationTickets!$A:$A,OperationTickets!Z:Z,"",0)),"hh:mm"))</f>
        <v>11:00</v>
      </c>
      <c r="G2284" s="309">
        <f t="shared" si="3"/>
        <v>0.8333333333</v>
      </c>
      <c r="H2284" s="316" t="str">
        <f t="array" ref="H2284">XLOOKUP(B2284,Roster!L:L,Roster!N:N,XLOOKUP(D2284,TicketsBreak!A:A,TicketsBreak!E:E,"",0),0)</f>
        <v>13:15 - 13:30</v>
      </c>
      <c r="I2284" s="316" t="str">
        <f t="array" ref="I2284">XLOOKUP(B2284,Roster!L:L,Roster!O:O,XLOOKUP(D2284,TicketsBreak!A:A,TicketsBreak!F:F,"",0),0)</f>
        <v>15:45 - 16:15</v>
      </c>
      <c r="J2284" s="316" t="str">
        <f t="array" ref="J2284">XLOOKUP(B2284,Roster!L:L,Roster!P:P,XLOOKUP(D2284,TicketsBreak!A:A,TicketsBreak!G:G,"",0),0)</f>
        <v>18:15 - 18:30</v>
      </c>
      <c r="K2284" s="310">
        <f t="shared" si="4"/>
        <v>46132</v>
      </c>
      <c r="L2284" s="317">
        <f t="array" ref="L2284">(XLOOKUP(D2284,Roster!F:F,Roster!D:D,"",0))</f>
        <v>34</v>
      </c>
      <c r="M2284" s="317" t="str">
        <f t="array" ref="M2284">XLOOKUP(D2284,Roster!F:F,Roster!E:E)</f>
        <v>Voice</v>
      </c>
      <c r="N2284" s="317" t="str">
        <f t="shared" ref="N2284:P2284" si="2316">LEFT(H2284,5)</f>
        <v>13:15</v>
      </c>
      <c r="O2284" s="317" t="str">
        <f t="shared" si="2316"/>
        <v>15:45</v>
      </c>
      <c r="P2284" s="317" t="str">
        <f t="shared" si="2316"/>
        <v>18:15</v>
      </c>
      <c r="Q2284" s="318">
        <f t="shared" si="2083"/>
        <v>46132.55208</v>
      </c>
      <c r="R2284" s="318">
        <f t="shared" si="2084"/>
        <v>46132.65625</v>
      </c>
      <c r="S2284" s="318">
        <f t="shared" si="8"/>
        <v>46132.76042</v>
      </c>
    </row>
    <row r="2285">
      <c r="A2285" s="14" t="str">
        <f t="shared" si="1"/>
        <v>C131846132</v>
      </c>
      <c r="B2285" s="185" t="str">
        <f t="array" ref="B2285">IF(F2285="VL","",IF(F2285="Free","Free",XLOOKUP(D2285,Roster!T:T,Roster!S:S,"",0)))</f>
        <v/>
      </c>
      <c r="C2285" s="313">
        <v>46132.0</v>
      </c>
      <c r="D2285" s="314" t="s">
        <v>159</v>
      </c>
      <c r="E2285" s="307" t="str">
        <f t="array" ref="E2285">(XLOOKUP(D2285,Roster!F:F,Roster!B:B,"",0))</f>
        <v>Jeampierre Jaramillo</v>
      </c>
      <c r="F2285" s="315" t="str">
        <f t="array" ref="F2285">IF(B2285=100,"Free",TEXT(XLOOKUP($D2285,OperationVoice!$A:$A,OperationVoice!Z:Z,XLOOKUP($D2285,OperationTickets!$A:$A,OperationTickets!Z:Z,"",0)),"hh:mm"))</f>
        <v>07:00</v>
      </c>
      <c r="G2285" s="309">
        <f t="shared" si="3"/>
        <v>0.6666666667</v>
      </c>
      <c r="H2285" s="316" t="str">
        <f t="array" ref="H2285">XLOOKUP(B2285,Roster!L:L,Roster!N:N,XLOOKUP(D2285,TicketsBreak!A:A,TicketsBreak!E:E,"",0),0)</f>
        <v/>
      </c>
      <c r="I2285" s="316" t="str">
        <f t="array" ref="I2285">XLOOKUP(B2285,Roster!L:L,Roster!O:O,XLOOKUP(D2285,TicketsBreak!A:A,TicketsBreak!F:F,"",0),0)</f>
        <v/>
      </c>
      <c r="J2285" s="316" t="str">
        <f t="array" ref="J2285">XLOOKUP(B2285,Roster!L:L,Roster!P:P,XLOOKUP(D2285,TicketsBreak!A:A,TicketsBreak!G:G,"",0),0)</f>
        <v/>
      </c>
      <c r="K2285" s="310">
        <f t="shared" si="4"/>
        <v>46132</v>
      </c>
      <c r="L2285" s="317">
        <f t="array" ref="L2285">(XLOOKUP(D2285,Roster!F:F,Roster!D:D,"",0))</f>
        <v>29</v>
      </c>
      <c r="M2285" s="317" t="str">
        <f t="array" ref="M2285">XLOOKUP(D2285,Roster!F:F,Roster!E:E)</f>
        <v>Tickets</v>
      </c>
      <c r="N2285" s="317" t="str">
        <f t="shared" ref="N2285:P2285" si="2317">LEFT(H2285,5)</f>
        <v/>
      </c>
      <c r="O2285" s="317" t="str">
        <f t="shared" si="2317"/>
        <v/>
      </c>
      <c r="P2285" s="317" t="str">
        <f t="shared" si="2317"/>
        <v/>
      </c>
      <c r="Q2285" s="318" t="str">
        <f t="shared" si="2083"/>
        <v/>
      </c>
      <c r="R2285" s="318" t="str">
        <f t="shared" si="2084"/>
        <v/>
      </c>
      <c r="S2285" s="318" t="str">
        <f t="shared" si="8"/>
        <v/>
      </c>
    </row>
    <row r="2286">
      <c r="A2286" s="14" t="str">
        <f t="shared" si="1"/>
        <v>C155046132</v>
      </c>
      <c r="B2286" s="185">
        <f t="array" ref="B2286">IF(F2286="VL","",IF(F2286="Free","Free",XLOOKUP(D2286,Roster!T:T,Roster!S:S,"",0)))</f>
        <v>126</v>
      </c>
      <c r="C2286" s="313">
        <v>46132.0</v>
      </c>
      <c r="D2286" s="314" t="s">
        <v>35</v>
      </c>
      <c r="E2286" s="307" t="str">
        <f t="array" ref="E2286">(XLOOKUP(D2286,Roster!F:F,Roster!B:B,"",0))</f>
        <v>Jeidin Vargas</v>
      </c>
      <c r="F2286" s="315" t="str">
        <f t="array" ref="F2286">IF(B2286=100,"Free",TEXT(XLOOKUP($D2286,OperationVoice!$A:$A,OperationVoice!Z:Z,XLOOKUP($D2286,OperationTickets!$A:$A,OperationTickets!Z:Z,"",0)),"hh:mm"))</f>
        <v>08:00</v>
      </c>
      <c r="G2286" s="309">
        <f t="shared" si="3"/>
        <v>0.7083333333</v>
      </c>
      <c r="H2286" s="316" t="str">
        <f t="array" ref="H2286">XLOOKUP(B2286,Roster!L:L,Roster!N:N,XLOOKUP(D2286,TicketsBreak!A:A,TicketsBreak!E:E,"",0),0)</f>
        <v>10:45 - 11:00</v>
      </c>
      <c r="I2286" s="316" t="str">
        <f t="array" ref="I2286">XLOOKUP(B2286,Roster!L:L,Roster!O:O,XLOOKUP(D2286,TicketsBreak!A:A,TicketsBreak!F:F,"",0),0)</f>
        <v>14:00 - 14:30</v>
      </c>
      <c r="J2286" s="316" t="str">
        <f t="array" ref="J2286">XLOOKUP(B2286,Roster!L:L,Roster!P:P,XLOOKUP(D2286,TicketsBreak!A:A,TicketsBreak!G:G,"",0),0)</f>
        <v>15:45 - 16:00</v>
      </c>
      <c r="K2286" s="310">
        <f t="shared" si="4"/>
        <v>46132</v>
      </c>
      <c r="L2286" s="317">
        <f t="array" ref="L2286">(XLOOKUP(D2286,Roster!F:F,Roster!D:D,"",0))</f>
        <v>37</v>
      </c>
      <c r="M2286" s="317" t="str">
        <f t="array" ref="M2286">XLOOKUP(D2286,Roster!F:F,Roster!E:E)</f>
        <v>Voice</v>
      </c>
      <c r="N2286" s="317" t="str">
        <f t="shared" ref="N2286:P2286" si="2318">LEFT(H2286,5)</f>
        <v>10:45</v>
      </c>
      <c r="O2286" s="317" t="str">
        <f t="shared" si="2318"/>
        <v>14:00</v>
      </c>
      <c r="P2286" s="317" t="str">
        <f t="shared" si="2318"/>
        <v>15:45</v>
      </c>
      <c r="Q2286" s="318">
        <f t="shared" si="2083"/>
        <v>46132.44792</v>
      </c>
      <c r="R2286" s="318">
        <f t="shared" si="2084"/>
        <v>46132.58333</v>
      </c>
      <c r="S2286" s="318">
        <f t="shared" si="8"/>
        <v>46132.65625</v>
      </c>
    </row>
    <row r="2287">
      <c r="A2287" s="14" t="str">
        <f t="shared" si="1"/>
        <v>C51246132</v>
      </c>
      <c r="B2287" s="185">
        <f t="array" ref="B2287">IF(F2287="VL","",IF(F2287="Free","Free",XLOOKUP(D2287,Roster!T:T,Roster!S:S,"",0)))</f>
        <v>122</v>
      </c>
      <c r="C2287" s="313">
        <v>46132.0</v>
      </c>
      <c r="D2287" s="314" t="s">
        <v>36</v>
      </c>
      <c r="E2287" s="307" t="str">
        <f t="array" ref="E2287">(XLOOKUP(D2287,Roster!F:F,Roster!B:B,"",0))</f>
        <v>Jhoam Quiroz</v>
      </c>
      <c r="F2287" s="315" t="str">
        <f t="array" ref="F2287">IF(B2287=100,"Free",TEXT(XLOOKUP($D2287,OperationVoice!$A:$A,OperationVoice!Z:Z,XLOOKUP($D2287,OperationTickets!$A:$A,OperationTickets!Z:Z,"",0)),"hh:mm"))</f>
        <v>08:00</v>
      </c>
      <c r="G2287" s="309">
        <f t="shared" si="3"/>
        <v>0.7083333333</v>
      </c>
      <c r="H2287" s="316" t="str">
        <f t="array" ref="H2287">XLOOKUP(B2287,Roster!L:L,Roster!N:N,XLOOKUP(D2287,TicketsBreak!A:A,TicketsBreak!E:E,"",0),0)</f>
        <v>09:30 - 09:45</v>
      </c>
      <c r="I2287" s="316" t="str">
        <f t="array" ref="I2287">XLOOKUP(B2287,Roster!L:L,Roster!O:O,XLOOKUP(D2287,TicketsBreak!A:A,TicketsBreak!F:F,"",0),0)</f>
        <v>12:00 - 12:30</v>
      </c>
      <c r="J2287" s="316" t="str">
        <f t="array" ref="J2287">XLOOKUP(B2287,Roster!L:L,Roster!P:P,XLOOKUP(D2287,TicketsBreak!A:A,TicketsBreak!G:G,"",0),0)</f>
        <v>14:45 - 15:00</v>
      </c>
      <c r="K2287" s="310">
        <f t="shared" si="4"/>
        <v>46132</v>
      </c>
      <c r="L2287" s="317">
        <f t="array" ref="L2287">(XLOOKUP(D2287,Roster!F:F,Roster!D:D,"",0))</f>
        <v>1</v>
      </c>
      <c r="M2287" s="317" t="str">
        <f t="array" ref="M2287">XLOOKUP(D2287,Roster!F:F,Roster!E:E)</f>
        <v>Voice</v>
      </c>
      <c r="N2287" s="317" t="str">
        <f t="shared" ref="N2287:P2287" si="2319">LEFT(H2287,5)</f>
        <v>09:30</v>
      </c>
      <c r="O2287" s="317" t="str">
        <f t="shared" si="2319"/>
        <v>12:00</v>
      </c>
      <c r="P2287" s="317" t="str">
        <f t="shared" si="2319"/>
        <v>14:45</v>
      </c>
      <c r="Q2287" s="318">
        <f t="shared" si="2083"/>
        <v>46132.39583</v>
      </c>
      <c r="R2287" s="318">
        <f t="shared" si="2084"/>
        <v>46132.5</v>
      </c>
      <c r="S2287" s="318">
        <f t="shared" si="8"/>
        <v>46132.61458</v>
      </c>
    </row>
    <row r="2288">
      <c r="A2288" s="14" t="str">
        <f t="shared" si="1"/>
        <v>C150946132</v>
      </c>
      <c r="B2288" s="185">
        <f t="array" ref="B2288">IF(F2288="VL","",IF(F2288="Free","Free",XLOOKUP(D2288,Roster!T:T,Roster!S:S,"",0)))</f>
        <v>121</v>
      </c>
      <c r="C2288" s="313">
        <v>46132.0</v>
      </c>
      <c r="D2288" s="314" t="s">
        <v>37</v>
      </c>
      <c r="E2288" s="307" t="str">
        <f t="array" ref="E2288">(XLOOKUP(D2288,Roster!F:F,Roster!B:B,"",0))</f>
        <v>Jhonatan Gomez</v>
      </c>
      <c r="F2288" s="315" t="str">
        <f t="array" ref="F2288">IF(B2288=100,"Free",TEXT(XLOOKUP($D2288,OperationVoice!$A:$A,OperationVoice!Z:Z,XLOOKUP($D2288,OperationTickets!$A:$A,OperationTickets!Z:Z,"",0)),"hh:mm"))</f>
        <v>08:00</v>
      </c>
      <c r="G2288" s="309">
        <f t="shared" si="3"/>
        <v>0.7083333333</v>
      </c>
      <c r="H2288" s="316" t="str">
        <f t="array" ref="H2288">XLOOKUP(B2288,Roster!L:L,Roster!N:N,XLOOKUP(D2288,TicketsBreak!A:A,TicketsBreak!E:E,"",0),0)</f>
        <v>09:15 - 09:30</v>
      </c>
      <c r="I2288" s="316" t="str">
        <f t="array" ref="I2288">XLOOKUP(B2288,Roster!L:L,Roster!O:O,XLOOKUP(D2288,TicketsBreak!A:A,TicketsBreak!F:F,"",0),0)</f>
        <v>11:30 - 12:00</v>
      </c>
      <c r="J2288" s="316" t="str">
        <f t="array" ref="J2288">XLOOKUP(B2288,Roster!L:L,Roster!P:P,XLOOKUP(D2288,TicketsBreak!A:A,TicketsBreak!G:G,"",0),0)</f>
        <v>14:30 - 14:45</v>
      </c>
      <c r="K2288" s="310">
        <f t="shared" si="4"/>
        <v>46132</v>
      </c>
      <c r="L2288" s="317">
        <f t="array" ref="L2288">(XLOOKUP(D2288,Roster!F:F,Roster!D:D,"",0))</f>
        <v>35</v>
      </c>
      <c r="M2288" s="317" t="str">
        <f t="array" ref="M2288">XLOOKUP(D2288,Roster!F:F,Roster!E:E)</f>
        <v>Voice</v>
      </c>
      <c r="N2288" s="317" t="str">
        <f t="shared" ref="N2288:P2288" si="2320">LEFT(H2288,5)</f>
        <v>09:15</v>
      </c>
      <c r="O2288" s="317" t="str">
        <f t="shared" si="2320"/>
        <v>11:30</v>
      </c>
      <c r="P2288" s="317" t="str">
        <f t="shared" si="2320"/>
        <v>14:30</v>
      </c>
      <c r="Q2288" s="318">
        <f t="shared" si="2083"/>
        <v>46132.38542</v>
      </c>
      <c r="R2288" s="318">
        <f t="shared" si="2084"/>
        <v>46132.47917</v>
      </c>
      <c r="S2288" s="318">
        <f t="shared" si="8"/>
        <v>46132.60417</v>
      </c>
    </row>
    <row r="2289">
      <c r="A2289" s="14" t="str">
        <f t="shared" si="1"/>
        <v>C151546132</v>
      </c>
      <c r="B2289" s="185">
        <f t="array" ref="B2289">IF(F2289="VL","",IF(F2289="Free","Free",XLOOKUP(D2289,Roster!T:T,Roster!S:S,"",0)))</f>
        <v>151</v>
      </c>
      <c r="C2289" s="313">
        <v>46132.0</v>
      </c>
      <c r="D2289" s="314" t="s">
        <v>38</v>
      </c>
      <c r="E2289" s="307" t="str">
        <f t="array" ref="E2289">(XLOOKUP(D2289,Roster!F:F,Roster!B:B,"",0))</f>
        <v>Joan Perez</v>
      </c>
      <c r="F2289" s="315" t="str">
        <f t="array" ref="F2289">IF(B2289=100,"Free",TEXT(XLOOKUP($D2289,OperationVoice!$A:$A,OperationVoice!Z:Z,XLOOKUP($D2289,OperationTickets!$A:$A,OperationTickets!Z:Z,"",0)),"hh:mm"))</f>
        <v/>
      </c>
      <c r="G2289" s="309" t="str">
        <f t="shared" si="3"/>
        <v/>
      </c>
      <c r="H2289" s="316" t="str">
        <f t="array" ref="H2289">XLOOKUP(B2289,Roster!L:L,Roster!N:N,XLOOKUP(D2289,TicketsBreak!A:A,TicketsBreak!E:E,"",0),0)</f>
        <v>12:15 - 12:30</v>
      </c>
      <c r="I2289" s="316" t="str">
        <f t="array" ref="I2289">XLOOKUP(B2289,Roster!L:L,Roster!O:O,XLOOKUP(D2289,TicketsBreak!A:A,TicketsBreak!F:F,"",0),0)</f>
        <v>14:00 - 14:30</v>
      </c>
      <c r="J2289" s="316" t="str">
        <f t="array" ref="J2289">XLOOKUP(B2289,Roster!L:L,Roster!P:P,XLOOKUP(D2289,TicketsBreak!A:A,TicketsBreak!G:G,"",0),0)</f>
        <v>17:15 - 17:30</v>
      </c>
      <c r="K2289" s="310">
        <f t="shared" si="4"/>
        <v>46132</v>
      </c>
      <c r="L2289" s="317">
        <f t="array" ref="L2289">(XLOOKUP(D2289,Roster!F:F,Roster!D:D,"",0))</f>
        <v>35</v>
      </c>
      <c r="M2289" s="317" t="str">
        <f t="array" ref="M2289">XLOOKUP(D2289,Roster!F:F,Roster!E:E)</f>
        <v>Voice</v>
      </c>
      <c r="N2289" s="317" t="str">
        <f t="shared" ref="N2289:P2289" si="2321">LEFT(H2289,5)</f>
        <v>12:15</v>
      </c>
      <c r="O2289" s="317" t="str">
        <f t="shared" si="2321"/>
        <v>14:00</v>
      </c>
      <c r="P2289" s="317" t="str">
        <f t="shared" si="2321"/>
        <v>17:15</v>
      </c>
      <c r="Q2289" s="318">
        <f t="shared" si="2083"/>
        <v>46132.51042</v>
      </c>
      <c r="R2289" s="318">
        <f t="shared" si="2084"/>
        <v>46132.58333</v>
      </c>
      <c r="S2289" s="318">
        <f t="shared" si="8"/>
        <v>46132.71875</v>
      </c>
    </row>
    <row r="2290">
      <c r="A2290" s="14" t="str">
        <f t="shared" si="1"/>
        <v>C128946132</v>
      </c>
      <c r="B2290" s="185" t="str">
        <f t="array" ref="B2290">IF(F2290="VL","",IF(F2290="Free","Free",XLOOKUP(D2290,Roster!T:T,Roster!S:S,"",0)))</f>
        <v/>
      </c>
      <c r="C2290" s="313">
        <v>46132.0</v>
      </c>
      <c r="D2290" s="314" t="s">
        <v>140</v>
      </c>
      <c r="E2290" s="307" t="str">
        <f t="array" ref="E2290">(XLOOKUP(D2290,Roster!F:F,Roster!B:B,"",0))</f>
        <v>Johana Villarreal</v>
      </c>
      <c r="F2290" s="315" t="str">
        <f t="array" ref="F2290">IF(B2290=100,"Free",TEXT(XLOOKUP($D2290,OperationVoice!$A:$A,OperationVoice!Z:Z,XLOOKUP($D2290,OperationTickets!$A:$A,OperationTickets!Z:Z,"",0)),"hh:mm"))</f>
        <v>07:00</v>
      </c>
      <c r="G2290" s="309">
        <f t="shared" si="3"/>
        <v>0.6666666667</v>
      </c>
      <c r="H2290" s="316" t="str">
        <f t="array" ref="H2290">XLOOKUP(B2290,Roster!L:L,Roster!N:N,XLOOKUP(D2290,TicketsBreak!A:A,TicketsBreak!E:E,"",0),0)</f>
        <v/>
      </c>
      <c r="I2290" s="316" t="str">
        <f t="array" ref="I2290">XLOOKUP(B2290,Roster!L:L,Roster!O:O,XLOOKUP(D2290,TicketsBreak!A:A,TicketsBreak!F:F,"",0),0)</f>
        <v/>
      </c>
      <c r="J2290" s="316" t="str">
        <f t="array" ref="J2290">XLOOKUP(B2290,Roster!L:L,Roster!P:P,XLOOKUP(D2290,TicketsBreak!A:A,TicketsBreak!G:G,"",0),0)</f>
        <v/>
      </c>
      <c r="K2290" s="310">
        <f t="shared" si="4"/>
        <v>46132</v>
      </c>
      <c r="L2290" s="317">
        <f t="array" ref="L2290">(XLOOKUP(D2290,Roster!F:F,Roster!D:D,"",0))</f>
        <v>28</v>
      </c>
      <c r="M2290" s="317" t="str">
        <f t="array" ref="M2290">XLOOKUP(D2290,Roster!F:F,Roster!E:E)</f>
        <v>Tickets</v>
      </c>
      <c r="N2290" s="317" t="str">
        <f t="shared" ref="N2290:P2290" si="2322">LEFT(H2290,5)</f>
        <v/>
      </c>
      <c r="O2290" s="317" t="str">
        <f t="shared" si="2322"/>
        <v/>
      </c>
      <c r="P2290" s="317" t="str">
        <f t="shared" si="2322"/>
        <v/>
      </c>
      <c r="Q2290" s="318" t="str">
        <f t="shared" si="2083"/>
        <v/>
      </c>
      <c r="R2290" s="318" t="str">
        <f t="shared" si="2084"/>
        <v/>
      </c>
      <c r="S2290" s="318" t="str">
        <f t="shared" si="8"/>
        <v/>
      </c>
    </row>
    <row r="2291">
      <c r="A2291" s="14" t="str">
        <f t="shared" si="1"/>
        <v>C155146132</v>
      </c>
      <c r="B2291" s="185">
        <f t="array" ref="B2291">IF(F2291="VL","",IF(F2291="Free","Free",XLOOKUP(D2291,Roster!T:T,Roster!S:S,"",0)))</f>
        <v>124</v>
      </c>
      <c r="C2291" s="313">
        <v>46132.0</v>
      </c>
      <c r="D2291" s="314" t="s">
        <v>39</v>
      </c>
      <c r="E2291" s="307" t="str">
        <f t="array" ref="E2291">(XLOOKUP(D2291,Roster!F:F,Roster!B:B,"",0))</f>
        <v>John Atilano</v>
      </c>
      <c r="F2291" s="315" t="str">
        <f t="array" ref="F2291">IF(B2291=100,"Free",TEXT(XLOOKUP($D2291,OperationVoice!$A:$A,OperationVoice!Z:Z,XLOOKUP($D2291,OperationTickets!$A:$A,OperationTickets!Z:Z,"",0)),"hh:mm"))</f>
        <v>08:00</v>
      </c>
      <c r="G2291" s="309">
        <f t="shared" si="3"/>
        <v>0.7083333333</v>
      </c>
      <c r="H2291" s="316" t="str">
        <f t="array" ref="H2291">XLOOKUP(B2291,Roster!L:L,Roster!N:N,XLOOKUP(D2291,TicketsBreak!A:A,TicketsBreak!E:E,"",0),0)</f>
        <v>10:00 - 10:15</v>
      </c>
      <c r="I2291" s="316" t="str">
        <f t="array" ref="I2291">XLOOKUP(B2291,Roster!L:L,Roster!O:O,XLOOKUP(D2291,TicketsBreak!A:A,TicketsBreak!F:F,"",0),0)</f>
        <v>13:00 - 13:30</v>
      </c>
      <c r="J2291" s="316" t="str">
        <f t="array" ref="J2291">XLOOKUP(B2291,Roster!L:L,Roster!P:P,XLOOKUP(D2291,TicketsBreak!A:A,TicketsBreak!G:G,"",0),0)</f>
        <v>15:30 - 15:45</v>
      </c>
      <c r="K2291" s="310">
        <f t="shared" si="4"/>
        <v>46132</v>
      </c>
      <c r="L2291" s="317">
        <f t="array" ref="L2291">(XLOOKUP(D2291,Roster!F:F,Roster!D:D,"",0))</f>
        <v>37</v>
      </c>
      <c r="M2291" s="317" t="str">
        <f t="array" ref="M2291">XLOOKUP(D2291,Roster!F:F,Roster!E:E)</f>
        <v>Voice</v>
      </c>
      <c r="N2291" s="317" t="str">
        <f t="shared" ref="N2291:P2291" si="2323">LEFT(H2291,5)</f>
        <v>10:00</v>
      </c>
      <c r="O2291" s="317" t="str">
        <f t="shared" si="2323"/>
        <v>13:00</v>
      </c>
      <c r="P2291" s="317" t="str">
        <f t="shared" si="2323"/>
        <v>15:30</v>
      </c>
      <c r="Q2291" s="318">
        <f t="shared" si="2083"/>
        <v>46132.41667</v>
      </c>
      <c r="R2291" s="318">
        <f t="shared" si="2084"/>
        <v>46132.54167</v>
      </c>
      <c r="S2291" s="318">
        <f t="shared" si="8"/>
        <v>46132.64583</v>
      </c>
    </row>
    <row r="2292">
      <c r="A2292" s="14" t="str">
        <f t="shared" si="1"/>
        <v>C154346132</v>
      </c>
      <c r="B2292" s="185">
        <f t="array" ref="B2292">IF(F2292="VL","",IF(F2292="Free","Free",XLOOKUP(D2292,Roster!T:T,Roster!S:S,"",0)))</f>
        <v>134</v>
      </c>
      <c r="C2292" s="313">
        <v>46132.0</v>
      </c>
      <c r="D2292" s="314" t="s">
        <v>40</v>
      </c>
      <c r="E2292" s="307" t="str">
        <f t="array" ref="E2292">(XLOOKUP(D2292,Roster!F:F,Roster!B:B,"",0))</f>
        <v>John Palacio</v>
      </c>
      <c r="F2292" s="315" t="str">
        <f t="array" ref="F2292">IF(B2292=100,"Free",TEXT(XLOOKUP($D2292,OperationVoice!$A:$A,OperationVoice!Z:Z,XLOOKUP($D2292,OperationTickets!$A:$A,OperationTickets!Z:Z,"",0)),"hh:mm"))</f>
        <v>09:00</v>
      </c>
      <c r="G2292" s="309">
        <f t="shared" si="3"/>
        <v>0.75</v>
      </c>
      <c r="H2292" s="316" t="str">
        <f t="array" ref="H2292">XLOOKUP(B2292,Roster!L:L,Roster!N:N,XLOOKUP(D2292,TicketsBreak!A:A,TicketsBreak!E:E,"",0),0)</f>
        <v>11:00 - 11:15</v>
      </c>
      <c r="I2292" s="316" t="str">
        <f t="array" ref="I2292">XLOOKUP(B2292,Roster!L:L,Roster!O:O,XLOOKUP(D2292,TicketsBreak!A:A,TicketsBreak!F:F,"",0),0)</f>
        <v>13:45 - 14:15</v>
      </c>
      <c r="J2292" s="316" t="str">
        <f t="array" ref="J2292">XLOOKUP(B2292,Roster!L:L,Roster!P:P,XLOOKUP(D2292,TicketsBreak!A:A,TicketsBreak!G:G,"",0),0)</f>
        <v>16:00 - 16:15</v>
      </c>
      <c r="K2292" s="310">
        <f t="shared" si="4"/>
        <v>46132</v>
      </c>
      <c r="L2292" s="317">
        <f t="array" ref="L2292">(XLOOKUP(D2292,Roster!F:F,Roster!D:D,"",0))</f>
        <v>36</v>
      </c>
      <c r="M2292" s="317" t="str">
        <f t="array" ref="M2292">XLOOKUP(D2292,Roster!F:F,Roster!E:E)</f>
        <v>Voice</v>
      </c>
      <c r="N2292" s="317" t="str">
        <f t="shared" ref="N2292:P2292" si="2324">LEFT(H2292,5)</f>
        <v>11:00</v>
      </c>
      <c r="O2292" s="317" t="str">
        <f t="shared" si="2324"/>
        <v>13:45</v>
      </c>
      <c r="P2292" s="317" t="str">
        <f t="shared" si="2324"/>
        <v>16:00</v>
      </c>
      <c r="Q2292" s="318">
        <f t="shared" si="2083"/>
        <v>46132.45833</v>
      </c>
      <c r="R2292" s="318">
        <f t="shared" si="2084"/>
        <v>46132.57292</v>
      </c>
      <c r="S2292" s="318">
        <f t="shared" si="8"/>
        <v>46132.66667</v>
      </c>
    </row>
    <row r="2293">
      <c r="A2293" s="14" t="str">
        <f t="shared" si="1"/>
        <v>C154246132</v>
      </c>
      <c r="B2293" s="185">
        <f t="array" ref="B2293">IF(F2293="VL","",IF(F2293="Free","Free",XLOOKUP(D2293,Roster!T:T,Roster!S:S,"",0)))</f>
        <v>124</v>
      </c>
      <c r="C2293" s="313">
        <v>46132.0</v>
      </c>
      <c r="D2293" s="314" t="s">
        <v>41</v>
      </c>
      <c r="E2293" s="307" t="str">
        <f t="array" ref="E2293">(XLOOKUP(D2293,Roster!F:F,Roster!B:B,"",0))</f>
        <v>Johny Garcia</v>
      </c>
      <c r="F2293" s="315" t="str">
        <f t="array" ref="F2293">IF(B2293=100,"Free",TEXT(XLOOKUP($D2293,OperationVoice!$A:$A,OperationVoice!Z:Z,XLOOKUP($D2293,OperationTickets!$A:$A,OperationTickets!Z:Z,"",0)),"hh:mm"))</f>
        <v>08:00</v>
      </c>
      <c r="G2293" s="309">
        <f t="shared" si="3"/>
        <v>0.7083333333</v>
      </c>
      <c r="H2293" s="316" t="str">
        <f t="array" ref="H2293">XLOOKUP(B2293,Roster!L:L,Roster!N:N,XLOOKUP(D2293,TicketsBreak!A:A,TicketsBreak!E:E,"",0),0)</f>
        <v>10:00 - 10:15</v>
      </c>
      <c r="I2293" s="316" t="str">
        <f t="array" ref="I2293">XLOOKUP(B2293,Roster!L:L,Roster!O:O,XLOOKUP(D2293,TicketsBreak!A:A,TicketsBreak!F:F,"",0),0)</f>
        <v>13:00 - 13:30</v>
      </c>
      <c r="J2293" s="316" t="str">
        <f t="array" ref="J2293">XLOOKUP(B2293,Roster!L:L,Roster!P:P,XLOOKUP(D2293,TicketsBreak!A:A,TicketsBreak!G:G,"",0),0)</f>
        <v>15:30 - 15:45</v>
      </c>
      <c r="K2293" s="310">
        <f t="shared" si="4"/>
        <v>46132</v>
      </c>
      <c r="L2293" s="317">
        <f t="array" ref="L2293">(XLOOKUP(D2293,Roster!F:F,Roster!D:D,"",0))</f>
        <v>36</v>
      </c>
      <c r="M2293" s="317" t="str">
        <f t="array" ref="M2293">XLOOKUP(D2293,Roster!F:F,Roster!E:E)</f>
        <v>Voice</v>
      </c>
      <c r="N2293" s="317" t="str">
        <f t="shared" ref="N2293:P2293" si="2325">LEFT(H2293,5)</f>
        <v>10:00</v>
      </c>
      <c r="O2293" s="317" t="str">
        <f t="shared" si="2325"/>
        <v>13:00</v>
      </c>
      <c r="P2293" s="317" t="str">
        <f t="shared" si="2325"/>
        <v>15:30</v>
      </c>
      <c r="Q2293" s="318">
        <f t="shared" si="2083"/>
        <v>46132.41667</v>
      </c>
      <c r="R2293" s="318">
        <f t="shared" si="2084"/>
        <v>46132.54167</v>
      </c>
      <c r="S2293" s="318">
        <f t="shared" si="8"/>
        <v>46132.64583</v>
      </c>
    </row>
    <row r="2294">
      <c r="A2294" s="14" t="str">
        <f t="shared" si="1"/>
        <v>C156946132</v>
      </c>
      <c r="B2294" s="185">
        <f t="array" ref="B2294">IF(F2294="VL","",IF(F2294="Free","Free",XLOOKUP(D2294,Roster!T:T,Roster!S:S,"",0)))</f>
        <v>121</v>
      </c>
      <c r="C2294" s="313">
        <v>46132.0</v>
      </c>
      <c r="D2294" s="314" t="s">
        <v>42</v>
      </c>
      <c r="E2294" s="307" t="str">
        <f t="array" ref="E2294">(XLOOKUP(D2294,Roster!F:F,Roster!B:B,"",0))</f>
        <v>Jorge Orozco</v>
      </c>
      <c r="F2294" s="315" t="str">
        <f t="array" ref="F2294">IF(B2294=100,"Free",TEXT(XLOOKUP($D2294,OperationVoice!$A:$A,OperationVoice!Z:Z,XLOOKUP($D2294,OperationTickets!$A:$A,OperationTickets!Z:Z,"",0)),"hh:mm"))</f>
        <v>08:00</v>
      </c>
      <c r="G2294" s="309">
        <f t="shared" si="3"/>
        <v>0.7083333333</v>
      </c>
      <c r="H2294" s="316" t="str">
        <f t="array" ref="H2294">XLOOKUP(B2294,Roster!L:L,Roster!N:N,XLOOKUP(D2294,TicketsBreak!A:A,TicketsBreak!E:E,"",0),0)</f>
        <v>09:15 - 09:30</v>
      </c>
      <c r="I2294" s="316" t="str">
        <f t="array" ref="I2294">XLOOKUP(B2294,Roster!L:L,Roster!O:O,XLOOKUP(D2294,TicketsBreak!A:A,TicketsBreak!F:F,"",0),0)</f>
        <v>11:30 - 12:00</v>
      </c>
      <c r="J2294" s="316" t="str">
        <f t="array" ref="J2294">XLOOKUP(B2294,Roster!L:L,Roster!P:P,XLOOKUP(D2294,TicketsBreak!A:A,TicketsBreak!G:G,"",0),0)</f>
        <v>14:30 - 14:45</v>
      </c>
      <c r="K2294" s="310">
        <f t="shared" si="4"/>
        <v>46132</v>
      </c>
      <c r="L2294" s="317">
        <f t="array" ref="L2294">(XLOOKUP(D2294,Roster!F:F,Roster!D:D,"",0))</f>
        <v>38</v>
      </c>
      <c r="M2294" s="317" t="str">
        <f t="array" ref="M2294">XLOOKUP(D2294,Roster!F:F,Roster!E:E)</f>
        <v>Voice</v>
      </c>
      <c r="N2294" s="317" t="str">
        <f t="shared" ref="N2294:P2294" si="2326">LEFT(H2294,5)</f>
        <v>09:15</v>
      </c>
      <c r="O2294" s="317" t="str">
        <f t="shared" si="2326"/>
        <v>11:30</v>
      </c>
      <c r="P2294" s="317" t="str">
        <f t="shared" si="2326"/>
        <v>14:30</v>
      </c>
      <c r="Q2294" s="318">
        <f t="shared" si="2083"/>
        <v>46132.38542</v>
      </c>
      <c r="R2294" s="318">
        <f t="shared" si="2084"/>
        <v>46132.47917</v>
      </c>
      <c r="S2294" s="318">
        <f t="shared" si="8"/>
        <v>46132.60417</v>
      </c>
    </row>
    <row r="2295">
      <c r="A2295" s="14" t="str">
        <f t="shared" si="1"/>
        <v>C102746132</v>
      </c>
      <c r="B2295" s="185" t="str">
        <f t="array" ref="B2295">IF(F2295="VL","",IF(F2295="Free","Free",XLOOKUP(D2295,Roster!T:T,Roster!S:S,"",0)))</f>
        <v/>
      </c>
      <c r="C2295" s="313">
        <v>46132.0</v>
      </c>
      <c r="D2295" s="314" t="s">
        <v>160</v>
      </c>
      <c r="E2295" s="307" t="str">
        <f t="array" ref="E2295">(XLOOKUP(D2295,Roster!F:F,Roster!B:B,"",0))</f>
        <v>Jose Perez</v>
      </c>
      <c r="F2295" s="315" t="str">
        <f t="array" ref="F2295">IF(B2295=100,"Free",TEXT(XLOOKUP($D2295,OperationVoice!$A:$A,OperationVoice!Z:Z,XLOOKUP($D2295,OperationTickets!$A:$A,OperationTickets!Z:Z,"",0)),"hh:mm"))</f>
        <v>06:00</v>
      </c>
      <c r="G2295" s="309">
        <f t="shared" si="3"/>
        <v>0.625</v>
      </c>
      <c r="H2295" s="316">
        <f t="array" ref="H2295">XLOOKUP(B2295,Roster!L:L,Roster!N:N,XLOOKUP(D2295,TicketsBreak!A:A,TicketsBreak!E:E,"",0),0)</f>
        <v>0.4166666667</v>
      </c>
      <c r="I2295" s="316">
        <f t="array" ref="I2295">XLOOKUP(B2295,Roster!L:L,Roster!O:O,XLOOKUP(D2295,TicketsBreak!A:A,TicketsBreak!F:F,"",0),0)</f>
        <v>0.5208333333</v>
      </c>
      <c r="J2295" s="316">
        <f t="array" ref="J2295">XLOOKUP(B2295,Roster!L:L,Roster!P:P,XLOOKUP(D2295,TicketsBreak!A:A,TicketsBreak!G:G,"",0),0)</f>
        <v>0.6354166667</v>
      </c>
      <c r="K2295" s="310">
        <f t="shared" si="4"/>
        <v>46132</v>
      </c>
      <c r="L2295" s="317">
        <f t="array" ref="L2295">(XLOOKUP(D2295,Roster!F:F,Roster!D:D,"",0))</f>
        <v>15</v>
      </c>
      <c r="M2295" s="317" t="str">
        <f t="array" ref="M2295">XLOOKUP(D2295,Roster!F:F,Roster!E:E)</f>
        <v>Tickets</v>
      </c>
      <c r="N2295" s="317" t="str">
        <f t="shared" ref="N2295:P2295" si="2327">LEFT(H2295,5)</f>
        <v>10:00</v>
      </c>
      <c r="O2295" s="317" t="str">
        <f t="shared" si="2327"/>
        <v>12:30</v>
      </c>
      <c r="P2295" s="317" t="str">
        <f t="shared" si="2327"/>
        <v>15:15</v>
      </c>
      <c r="Q2295" s="318">
        <f t="shared" si="2083"/>
        <v>46132.41667</v>
      </c>
      <c r="R2295" s="318">
        <f t="shared" si="2084"/>
        <v>46132.52083</v>
      </c>
      <c r="S2295" s="318">
        <f t="shared" si="8"/>
        <v>46132.63542</v>
      </c>
    </row>
    <row r="2296">
      <c r="A2296" s="14" t="str">
        <f t="shared" si="1"/>
        <v>C142646132</v>
      </c>
      <c r="B2296" s="185">
        <f t="array" ref="B2296">IF(F2296="VL","",IF(F2296="Free","Free",XLOOKUP(D2296,Roster!T:T,Roster!S:S,"",0)))</f>
        <v>123</v>
      </c>
      <c r="C2296" s="313">
        <v>46132.0</v>
      </c>
      <c r="D2296" s="314" t="s">
        <v>161</v>
      </c>
      <c r="E2296" s="307" t="str">
        <f t="array" ref="E2296">(XLOOKUP(D2296,Roster!F:F,Roster!B:B,"",0))</f>
        <v>Jose Zapata</v>
      </c>
      <c r="F2296" s="315" t="str">
        <f t="array" ref="F2296">IF(B2296=100,"Free",TEXT(XLOOKUP($D2296,OperationVoice!$A:$A,OperationVoice!Z:Z,XLOOKUP($D2296,OperationTickets!$A:$A,OperationTickets!Z:Z,"",0)),"hh:mm"))</f>
        <v>08:00</v>
      </c>
      <c r="G2296" s="309">
        <f t="shared" si="3"/>
        <v>0.7083333333</v>
      </c>
      <c r="H2296" s="316" t="str">
        <f t="array" ref="H2296">XLOOKUP(B2296,Roster!L:L,Roster!N:N,XLOOKUP(D2296,TicketsBreak!A:A,TicketsBreak!E:E,"",0),0)</f>
        <v>09:45 - 10:00 </v>
      </c>
      <c r="I2296" s="316" t="str">
        <f t="array" ref="I2296">XLOOKUP(B2296,Roster!L:L,Roster!O:O,XLOOKUP(D2296,TicketsBreak!A:A,TicketsBreak!F:F,"",0),0)</f>
        <v>12:30 - 13:00</v>
      </c>
      <c r="J2296" s="316" t="str">
        <f t="array" ref="J2296">XLOOKUP(B2296,Roster!L:L,Roster!P:P,XLOOKUP(D2296,TicketsBreak!A:A,TicketsBreak!G:G,"",0),0)</f>
        <v>15:00 - 15:15</v>
      </c>
      <c r="K2296" s="310">
        <f t="shared" si="4"/>
        <v>46132</v>
      </c>
      <c r="L2296" s="317">
        <f t="array" ref="L2296">(XLOOKUP(D2296,Roster!F:F,Roster!D:D,"",0))</f>
        <v>32</v>
      </c>
      <c r="M2296" s="317" t="str">
        <f t="array" ref="M2296">XLOOKUP(D2296,Roster!F:F,Roster!E:E)</f>
        <v>Tickets</v>
      </c>
      <c r="N2296" s="317" t="str">
        <f t="shared" ref="N2296:P2296" si="2328">LEFT(H2296,5)</f>
        <v>09:45</v>
      </c>
      <c r="O2296" s="317" t="str">
        <f t="shared" si="2328"/>
        <v>12:30</v>
      </c>
      <c r="P2296" s="317" t="str">
        <f t="shared" si="2328"/>
        <v>15:00</v>
      </c>
      <c r="Q2296" s="318">
        <f t="shared" si="2083"/>
        <v>46132.40625</v>
      </c>
      <c r="R2296" s="318">
        <f t="shared" si="2084"/>
        <v>46132.52083</v>
      </c>
      <c r="S2296" s="318">
        <f t="shared" si="8"/>
        <v>46132.625</v>
      </c>
    </row>
    <row r="2297">
      <c r="A2297" s="14" t="str">
        <f t="shared" si="1"/>
        <v>C153346132</v>
      </c>
      <c r="B2297" s="185">
        <f t="array" ref="B2297">IF(F2297="VL","",IF(F2297="Free","Free",XLOOKUP(D2297,Roster!T:T,Roster!S:S,"",0)))</f>
        <v>125</v>
      </c>
      <c r="C2297" s="313">
        <v>46132.0</v>
      </c>
      <c r="D2297" s="314" t="s">
        <v>43</v>
      </c>
      <c r="E2297" s="307" t="str">
        <f t="array" ref="E2297">(XLOOKUP(D2297,Roster!F:F,Roster!B:B,"",0))</f>
        <v>Juan Barrera</v>
      </c>
      <c r="F2297" s="315" t="str">
        <f t="array" ref="F2297">IF(B2297=100,"Free",TEXT(XLOOKUP($D2297,OperationVoice!$A:$A,OperationVoice!Z:Z,XLOOKUP($D2297,OperationTickets!$A:$A,OperationTickets!Z:Z,"",0)),"hh:mm"))</f>
        <v>08:00</v>
      </c>
      <c r="G2297" s="309">
        <f t="shared" si="3"/>
        <v>0.7083333333</v>
      </c>
      <c r="H2297" s="316" t="str">
        <f t="array" ref="H2297">XLOOKUP(B2297,Roster!L:L,Roster!N:N,XLOOKUP(D2297,TicketsBreak!A:A,TicketsBreak!E:E,"",0),0)</f>
        <v>10:30 - 10:45</v>
      </c>
      <c r="I2297" s="316" t="str">
        <f t="array" ref="I2297">XLOOKUP(B2297,Roster!L:L,Roster!O:O,XLOOKUP(D2297,TicketsBreak!A:A,TicketsBreak!F:F,"",0),0)</f>
        <v>13:30 - 14:00</v>
      </c>
      <c r="J2297" s="316" t="str">
        <f t="array" ref="J2297">XLOOKUP(B2297,Roster!L:L,Roster!P:P,XLOOKUP(D2297,TicketsBreak!A:A,TicketsBreak!G:G,"",0),0)</f>
        <v>15:45 - 16:00</v>
      </c>
      <c r="K2297" s="310">
        <f t="shared" si="4"/>
        <v>46132</v>
      </c>
      <c r="L2297" s="317">
        <f t="array" ref="L2297">(XLOOKUP(D2297,Roster!F:F,Roster!D:D,"",0))</f>
        <v>36</v>
      </c>
      <c r="M2297" s="317" t="str">
        <f t="array" ref="M2297">XLOOKUP(D2297,Roster!F:F,Roster!E:E)</f>
        <v>Voice</v>
      </c>
      <c r="N2297" s="317" t="str">
        <f t="shared" ref="N2297:P2297" si="2329">LEFT(H2297,5)</f>
        <v>10:30</v>
      </c>
      <c r="O2297" s="317" t="str">
        <f t="shared" si="2329"/>
        <v>13:30</v>
      </c>
      <c r="P2297" s="317" t="str">
        <f t="shared" si="2329"/>
        <v>15:45</v>
      </c>
      <c r="Q2297" s="318">
        <f t="shared" si="2083"/>
        <v>46132.4375</v>
      </c>
      <c r="R2297" s="318">
        <f t="shared" si="2084"/>
        <v>46132.5625</v>
      </c>
      <c r="S2297" s="318">
        <f t="shared" si="8"/>
        <v>46132.65625</v>
      </c>
    </row>
    <row r="2298">
      <c r="A2298" s="14" t="str">
        <f t="shared" si="1"/>
        <v>C146546132</v>
      </c>
      <c r="B2298" s="185">
        <f t="array" ref="B2298">IF(F2298="VL","",IF(F2298="Free","Free",XLOOKUP(D2298,Roster!T:T,Roster!S:S,"",0)))</f>
        <v>500</v>
      </c>
      <c r="C2298" s="313">
        <v>46132.0</v>
      </c>
      <c r="D2298" s="314" t="s">
        <v>44</v>
      </c>
      <c r="E2298" s="307" t="str">
        <f t="array" ref="E2298">(XLOOKUP(D2298,Roster!F:F,Roster!B:B,"",0))</f>
        <v>Juan Castilla</v>
      </c>
      <c r="F2298" s="315" t="str">
        <f t="array" ref="F2298">IF(B2298=100,"Free",TEXT(XLOOKUP($D2298,OperationVoice!$A:$A,OperationVoice!Z:Z,XLOOKUP($D2298,OperationTickets!$A:$A,OperationTickets!Z:Z,"",0)),"hh:mm"))</f>
        <v>08:00</v>
      </c>
      <c r="G2298" s="309">
        <f t="shared" si="3"/>
        <v>0.7083333333</v>
      </c>
      <c r="H2298" s="316" t="str">
        <f t="array" ref="H2298">XLOOKUP(B2298,Roster!L:L,Roster!N:N,XLOOKUP(D2298,TicketsBreak!A:A,TicketsBreak!E:E,"",0),0)</f>
        <v>Team Leader</v>
      </c>
      <c r="I2298" s="316" t="str">
        <f t="array" ref="I2298">XLOOKUP(B2298,Roster!L:L,Roster!O:O,XLOOKUP(D2298,TicketsBreak!A:A,TicketsBreak!F:F,"",0),0)</f>
        <v>Team Leader</v>
      </c>
      <c r="J2298" s="316" t="str">
        <f t="array" ref="J2298">XLOOKUP(B2298,Roster!L:L,Roster!P:P,XLOOKUP(D2298,TicketsBreak!A:A,TicketsBreak!G:G,"",0),0)</f>
        <v/>
      </c>
      <c r="K2298" s="310">
        <f t="shared" si="4"/>
        <v>46132</v>
      </c>
      <c r="L2298" s="317">
        <f t="array" ref="L2298">(XLOOKUP(D2298,Roster!F:F,Roster!D:D,"",0))</f>
        <v>33</v>
      </c>
      <c r="M2298" s="317" t="str">
        <f t="array" ref="M2298">XLOOKUP(D2298,Roster!F:F,Roster!E:E)</f>
        <v>Voice</v>
      </c>
      <c r="N2298" s="317" t="str">
        <f t="shared" ref="N2298:P2298" si="2330">LEFT(H2298,5)</f>
        <v>Team </v>
      </c>
      <c r="O2298" s="317" t="str">
        <f t="shared" si="2330"/>
        <v>Team </v>
      </c>
      <c r="P2298" s="317" t="str">
        <f t="shared" si="2330"/>
        <v/>
      </c>
      <c r="Q2298" s="318" t="str">
        <f t="shared" si="2083"/>
        <v>#VALUE!</v>
      </c>
      <c r="R2298" s="318" t="str">
        <f t="shared" si="2084"/>
        <v>#VALUE!</v>
      </c>
      <c r="S2298" s="318" t="str">
        <f t="shared" si="8"/>
        <v/>
      </c>
    </row>
    <row r="2299">
      <c r="A2299" s="14" t="str">
        <f t="shared" si="1"/>
        <v>C72046132</v>
      </c>
      <c r="B2299" s="185" t="str">
        <f t="array" ref="B2299">IF(F2299="VL","",IF(F2299="Free","Free",XLOOKUP(D2299,Roster!T:T,Roster!S:S,"",0)))</f>
        <v/>
      </c>
      <c r="C2299" s="313">
        <v>46132.0</v>
      </c>
      <c r="D2299" s="314" t="s">
        <v>162</v>
      </c>
      <c r="E2299" s="307" t="str">
        <f t="array" ref="E2299">(XLOOKUP(D2299,Roster!F:F,Roster!B:B,"",0))</f>
        <v>Juan Durango</v>
      </c>
      <c r="F2299" s="315" t="str">
        <f t="array" ref="F2299">IF(B2299=100,"Free",TEXT(XLOOKUP($D2299,OperationVoice!$A:$A,OperationVoice!Z:Z,XLOOKUP($D2299,OperationTickets!$A:$A,OperationTickets!Z:Z,"",0)),"hh:mm"))</f>
        <v>08:00</v>
      </c>
      <c r="G2299" s="309">
        <f t="shared" si="3"/>
        <v>0.7083333333</v>
      </c>
      <c r="H2299" s="316">
        <f t="array" ref="H2299">XLOOKUP(B2299,Roster!L:L,Roster!N:N,XLOOKUP(D2299,TicketsBreak!A:A,TicketsBreak!E:E,"",0),0)</f>
        <v>0.40625</v>
      </c>
      <c r="I2299" s="316">
        <f t="array" ref="I2299">XLOOKUP(B2299,Roster!L:L,Roster!O:O,XLOOKUP(D2299,TicketsBreak!A:A,TicketsBreak!F:F,"",0),0)</f>
        <v>0.5729166667</v>
      </c>
      <c r="J2299" s="316">
        <f t="array" ref="J2299">XLOOKUP(B2299,Roster!L:L,Roster!P:P,XLOOKUP(D2299,TicketsBreak!A:A,TicketsBreak!G:G,"",0),0)</f>
        <v>0.65625</v>
      </c>
      <c r="K2299" s="310">
        <f t="shared" si="4"/>
        <v>46132</v>
      </c>
      <c r="L2299" s="317">
        <f t="array" ref="L2299">(XLOOKUP(D2299,Roster!F:F,Roster!D:D,"",0))</f>
        <v>7</v>
      </c>
      <c r="M2299" s="317" t="str">
        <f t="array" ref="M2299">XLOOKUP(D2299,Roster!F:F,Roster!E:E)</f>
        <v>Tickets</v>
      </c>
      <c r="N2299" s="317" t="str">
        <f t="shared" ref="N2299:P2299" si="2331">LEFT(H2299,5)</f>
        <v>09:45</v>
      </c>
      <c r="O2299" s="317" t="str">
        <f t="shared" si="2331"/>
        <v>13:45</v>
      </c>
      <c r="P2299" s="317" t="str">
        <f t="shared" si="2331"/>
        <v>15:45</v>
      </c>
      <c r="Q2299" s="318">
        <f t="shared" si="2083"/>
        <v>46132.40625</v>
      </c>
      <c r="R2299" s="318">
        <f t="shared" si="2084"/>
        <v>46132.57292</v>
      </c>
      <c r="S2299" s="318">
        <f t="shared" si="8"/>
        <v>46132.65625</v>
      </c>
    </row>
    <row r="2300">
      <c r="A2300" s="14" t="str">
        <f t="shared" si="1"/>
        <v>C59846132</v>
      </c>
      <c r="B2300" s="185" t="str">
        <f t="array" ref="B2300">IF(F2300="VL","",IF(F2300="Free","Free",XLOOKUP(D2300,Roster!T:T,Roster!S:S,"",0)))</f>
        <v/>
      </c>
      <c r="C2300" s="313">
        <v>46132.0</v>
      </c>
      <c r="D2300" s="314" t="s">
        <v>314</v>
      </c>
      <c r="E2300" s="307" t="str">
        <f t="array" ref="E2300">(XLOOKUP(D2300,Roster!F:F,Roster!B:B,"",0))</f>
        <v>Juan Fonnegra</v>
      </c>
      <c r="F2300" s="315" t="str">
        <f t="array" ref="F2300">IF(B2300=100,"Free",TEXT(XLOOKUP($D2300,OperationVoice!$A:$A,OperationVoice!Z:Z,XLOOKUP($D2300,OperationTickets!$A:$A,OperationTickets!Z:Z,"",0)),"hh:mm"))</f>
        <v/>
      </c>
      <c r="G2300" s="309" t="str">
        <f t="shared" si="3"/>
        <v/>
      </c>
      <c r="H2300" s="316">
        <f t="array" ref="H2300">XLOOKUP(B2300,Roster!L:L,Roster!N:N,XLOOKUP(D2300,TicketsBreak!A:A,TicketsBreak!E:E,"",0),0)</f>
        <v>0.4166666667</v>
      </c>
      <c r="I2300" s="316">
        <f t="array" ref="I2300">XLOOKUP(B2300,Roster!L:L,Roster!O:O,XLOOKUP(D2300,TicketsBreak!A:A,TicketsBreak!F:F,"",0),0)</f>
        <v>0.5208333333</v>
      </c>
      <c r="J2300" s="316">
        <f t="array" ref="J2300">XLOOKUP(B2300,Roster!L:L,Roster!P:P,XLOOKUP(D2300,TicketsBreak!A:A,TicketsBreak!G:G,"",0),0)</f>
        <v>0.65625</v>
      </c>
      <c r="K2300" s="310">
        <f t="shared" si="4"/>
        <v>46132</v>
      </c>
      <c r="L2300" s="317">
        <f t="array" ref="L2300">(XLOOKUP(D2300,Roster!F:F,Roster!D:D,"",0))</f>
        <v>1</v>
      </c>
      <c r="M2300" s="317" t="str">
        <f t="array" ref="M2300">XLOOKUP(D2300,Roster!F:F,Roster!E:E)</f>
        <v>Tickets</v>
      </c>
      <c r="N2300" s="317" t="str">
        <f t="shared" ref="N2300:P2300" si="2332">LEFT(H2300,5)</f>
        <v>10:00</v>
      </c>
      <c r="O2300" s="317" t="str">
        <f t="shared" si="2332"/>
        <v>12:30</v>
      </c>
      <c r="P2300" s="317" t="str">
        <f t="shared" si="2332"/>
        <v>15:45</v>
      </c>
      <c r="Q2300" s="318">
        <f t="shared" si="2083"/>
        <v>46132.41667</v>
      </c>
      <c r="R2300" s="318">
        <f t="shared" si="2084"/>
        <v>46132.52083</v>
      </c>
      <c r="S2300" s="318">
        <f t="shared" si="8"/>
        <v>46132.65625</v>
      </c>
    </row>
    <row r="2301">
      <c r="A2301" s="14" t="str">
        <f t="shared" si="1"/>
        <v>C113946132</v>
      </c>
      <c r="B2301" s="185">
        <f t="array" ref="B2301">IF(F2301="VL","",IF(F2301="Free","Free",XLOOKUP(D2301,Roster!T:T,Roster!S:S,"",0)))</f>
        <v>125</v>
      </c>
      <c r="C2301" s="313">
        <v>46132.0</v>
      </c>
      <c r="D2301" s="314" t="s">
        <v>45</v>
      </c>
      <c r="E2301" s="307" t="str">
        <f t="array" ref="E2301">(XLOOKUP(D2301,Roster!F:F,Roster!B:B,"",0))</f>
        <v>Juan Largacha</v>
      </c>
      <c r="F2301" s="315" t="str">
        <f t="array" ref="F2301">IF(B2301=100,"Free",TEXT(XLOOKUP($D2301,OperationVoice!$A:$A,OperationVoice!Z:Z,XLOOKUP($D2301,OperationTickets!$A:$A,OperationTickets!Z:Z,"",0)),"hh:mm"))</f>
        <v>08:00</v>
      </c>
      <c r="G2301" s="309">
        <f t="shared" si="3"/>
        <v>0.7083333333</v>
      </c>
      <c r="H2301" s="316" t="str">
        <f t="array" ref="H2301">XLOOKUP(B2301,Roster!L:L,Roster!N:N,XLOOKUP(D2301,TicketsBreak!A:A,TicketsBreak!E:E,"",0),0)</f>
        <v>10:30 - 10:45</v>
      </c>
      <c r="I2301" s="316" t="str">
        <f t="array" ref="I2301">XLOOKUP(B2301,Roster!L:L,Roster!O:O,XLOOKUP(D2301,TicketsBreak!A:A,TicketsBreak!F:F,"",0),0)</f>
        <v>13:30 - 14:00</v>
      </c>
      <c r="J2301" s="316" t="str">
        <f t="array" ref="J2301">XLOOKUP(B2301,Roster!L:L,Roster!P:P,XLOOKUP(D2301,TicketsBreak!A:A,TicketsBreak!G:G,"",0),0)</f>
        <v>15:45 - 16:00</v>
      </c>
      <c r="K2301" s="310">
        <f t="shared" si="4"/>
        <v>46132</v>
      </c>
      <c r="L2301" s="317">
        <f t="array" ref="L2301">(XLOOKUP(D2301,Roster!F:F,Roster!D:D,"",0))</f>
        <v>22</v>
      </c>
      <c r="M2301" s="317" t="str">
        <f t="array" ref="M2301">XLOOKUP(D2301,Roster!F:F,Roster!E:E)</f>
        <v>Voice</v>
      </c>
      <c r="N2301" s="317" t="str">
        <f t="shared" ref="N2301:P2301" si="2333">LEFT(H2301,5)</f>
        <v>10:30</v>
      </c>
      <c r="O2301" s="317" t="str">
        <f t="shared" si="2333"/>
        <v>13:30</v>
      </c>
      <c r="P2301" s="317" t="str">
        <f t="shared" si="2333"/>
        <v>15:45</v>
      </c>
      <c r="Q2301" s="318">
        <f t="shared" si="2083"/>
        <v>46132.4375</v>
      </c>
      <c r="R2301" s="318">
        <f t="shared" si="2084"/>
        <v>46132.5625</v>
      </c>
      <c r="S2301" s="318">
        <f t="shared" si="8"/>
        <v>46132.65625</v>
      </c>
    </row>
    <row r="2302">
      <c r="A2302" s="14" t="str">
        <f t="shared" si="1"/>
        <v>C156646132</v>
      </c>
      <c r="B2302" s="185">
        <f t="array" ref="B2302">IF(F2302="VL","",IF(F2302="Free","Free",XLOOKUP(D2302,Roster!T:T,Roster!S:S,"",0)))</f>
        <v>124</v>
      </c>
      <c r="C2302" s="313">
        <v>46132.0</v>
      </c>
      <c r="D2302" s="314" t="s">
        <v>46</v>
      </c>
      <c r="E2302" s="307" t="str">
        <f t="array" ref="E2302">(XLOOKUP(D2302,Roster!F:F,Roster!B:B,"",0))</f>
        <v>Juan Ocampo</v>
      </c>
      <c r="F2302" s="315" t="str">
        <f t="array" ref="F2302">IF(B2302=100,"Free",TEXT(XLOOKUP($D2302,OperationVoice!$A:$A,OperationVoice!Z:Z,XLOOKUP($D2302,OperationTickets!$A:$A,OperationTickets!Z:Z,"",0)),"hh:mm"))</f>
        <v>08:00</v>
      </c>
      <c r="G2302" s="309">
        <f t="shared" si="3"/>
        <v>0.7083333333</v>
      </c>
      <c r="H2302" s="316" t="str">
        <f t="array" ref="H2302">XLOOKUP(B2302,Roster!L:L,Roster!N:N,XLOOKUP(D2302,TicketsBreak!A:A,TicketsBreak!E:E,"",0),0)</f>
        <v>10:00 - 10:15</v>
      </c>
      <c r="I2302" s="316" t="str">
        <f t="array" ref="I2302">XLOOKUP(B2302,Roster!L:L,Roster!O:O,XLOOKUP(D2302,TicketsBreak!A:A,TicketsBreak!F:F,"",0),0)</f>
        <v>13:00 - 13:30</v>
      </c>
      <c r="J2302" s="316" t="str">
        <f t="array" ref="J2302">XLOOKUP(B2302,Roster!L:L,Roster!P:P,XLOOKUP(D2302,TicketsBreak!A:A,TicketsBreak!G:G,"",0),0)</f>
        <v>15:30 - 15:45</v>
      </c>
      <c r="K2302" s="310">
        <f t="shared" si="4"/>
        <v>46132</v>
      </c>
      <c r="L2302" s="317">
        <f t="array" ref="L2302">(XLOOKUP(D2302,Roster!F:F,Roster!D:D,"",0))</f>
        <v>38</v>
      </c>
      <c r="M2302" s="317" t="str">
        <f t="array" ref="M2302">XLOOKUP(D2302,Roster!F:F,Roster!E:E)</f>
        <v>Voice</v>
      </c>
      <c r="N2302" s="317" t="str">
        <f t="shared" ref="N2302:P2302" si="2334">LEFT(H2302,5)</f>
        <v>10:00</v>
      </c>
      <c r="O2302" s="317" t="str">
        <f t="shared" si="2334"/>
        <v>13:00</v>
      </c>
      <c r="P2302" s="317" t="str">
        <f t="shared" si="2334"/>
        <v>15:30</v>
      </c>
      <c r="Q2302" s="318">
        <f t="shared" si="2083"/>
        <v>46132.41667</v>
      </c>
      <c r="R2302" s="318">
        <f t="shared" si="2084"/>
        <v>46132.54167</v>
      </c>
      <c r="S2302" s="318">
        <f t="shared" si="8"/>
        <v>46132.64583</v>
      </c>
    </row>
    <row r="2303">
      <c r="A2303" s="14" t="str">
        <f t="shared" si="1"/>
        <v>C148446132</v>
      </c>
      <c r="B2303" s="185">
        <f t="array" ref="B2303">IF(F2303="VL","",IF(F2303="Free","Free",XLOOKUP(D2303,Roster!T:T,Roster!S:S,"",0)))</f>
        <v>126</v>
      </c>
      <c r="C2303" s="313">
        <v>46132.0</v>
      </c>
      <c r="D2303" s="314" t="s">
        <v>141</v>
      </c>
      <c r="E2303" s="307" t="str">
        <f t="array" ref="E2303">(XLOOKUP(D2303,Roster!F:F,Roster!B:B,"",0))</f>
        <v>Juan Ospina</v>
      </c>
      <c r="F2303" s="315" t="str">
        <f t="array" ref="F2303">IF(B2303=100,"Free",TEXT(XLOOKUP($D2303,OperationVoice!$A:$A,OperationVoice!Z:Z,XLOOKUP($D2303,OperationTickets!$A:$A,OperationTickets!Z:Z,"",0)),"hh:mm"))</f>
        <v>08:00</v>
      </c>
      <c r="G2303" s="309">
        <f t="shared" si="3"/>
        <v>0.7083333333</v>
      </c>
      <c r="H2303" s="316" t="str">
        <f t="array" ref="H2303">XLOOKUP(B2303,Roster!L:L,Roster!N:N,XLOOKUP(D2303,TicketsBreak!A:A,TicketsBreak!E:E,"",0),0)</f>
        <v>10:45 - 11:00</v>
      </c>
      <c r="I2303" s="316" t="str">
        <f t="array" ref="I2303">XLOOKUP(B2303,Roster!L:L,Roster!O:O,XLOOKUP(D2303,TicketsBreak!A:A,TicketsBreak!F:F,"",0),0)</f>
        <v>14:00 - 14:30</v>
      </c>
      <c r="J2303" s="316" t="str">
        <f t="array" ref="J2303">XLOOKUP(B2303,Roster!L:L,Roster!P:P,XLOOKUP(D2303,TicketsBreak!A:A,TicketsBreak!G:G,"",0),0)</f>
        <v>15:45 - 16:00</v>
      </c>
      <c r="K2303" s="310">
        <f t="shared" si="4"/>
        <v>46132</v>
      </c>
      <c r="L2303" s="317">
        <f t="array" ref="L2303">(XLOOKUP(D2303,Roster!F:F,Roster!D:D,"",0))</f>
        <v>34</v>
      </c>
      <c r="M2303" s="317" t="str">
        <f t="array" ref="M2303">XLOOKUP(D2303,Roster!F:F,Roster!E:E)</f>
        <v>Tickets</v>
      </c>
      <c r="N2303" s="317" t="str">
        <f t="shared" ref="N2303:P2303" si="2335">LEFT(H2303,5)</f>
        <v>10:45</v>
      </c>
      <c r="O2303" s="317" t="str">
        <f t="shared" si="2335"/>
        <v>14:00</v>
      </c>
      <c r="P2303" s="317" t="str">
        <f t="shared" si="2335"/>
        <v>15:45</v>
      </c>
      <c r="Q2303" s="318">
        <f t="shared" si="2083"/>
        <v>46132.44792</v>
      </c>
      <c r="R2303" s="318">
        <f t="shared" si="2084"/>
        <v>46132.58333</v>
      </c>
      <c r="S2303" s="318">
        <f t="shared" si="8"/>
        <v>46132.65625</v>
      </c>
    </row>
    <row r="2304">
      <c r="A2304" s="14" t="str">
        <f t="shared" si="1"/>
        <v>C141346132</v>
      </c>
      <c r="B2304" s="185">
        <f t="array" ref="B2304">IF(F2304="VL","",IF(F2304="Free","Free",XLOOKUP(D2304,Roster!T:T,Roster!S:S,"",0)))</f>
        <v>121</v>
      </c>
      <c r="C2304" s="313">
        <v>46132.0</v>
      </c>
      <c r="D2304" s="314" t="s">
        <v>47</v>
      </c>
      <c r="E2304" s="307" t="str">
        <f t="array" ref="E2304">(XLOOKUP(D2304,Roster!F:F,Roster!B:B,"",0))</f>
        <v>Juan Parra</v>
      </c>
      <c r="F2304" s="315" t="str">
        <f t="array" ref="F2304">IF(B2304=100,"Free",TEXT(XLOOKUP($D2304,OperationVoice!$A:$A,OperationVoice!Z:Z,XLOOKUP($D2304,OperationTickets!$A:$A,OperationTickets!Z:Z,"",0)),"hh:mm"))</f>
        <v>08:00</v>
      </c>
      <c r="G2304" s="309">
        <f t="shared" si="3"/>
        <v>0.7083333333</v>
      </c>
      <c r="H2304" s="316" t="str">
        <f t="array" ref="H2304">XLOOKUP(B2304,Roster!L:L,Roster!N:N,XLOOKUP(D2304,TicketsBreak!A:A,TicketsBreak!E:E,"",0),0)</f>
        <v>09:15 - 09:30</v>
      </c>
      <c r="I2304" s="316" t="str">
        <f t="array" ref="I2304">XLOOKUP(B2304,Roster!L:L,Roster!O:O,XLOOKUP(D2304,TicketsBreak!A:A,TicketsBreak!F:F,"",0),0)</f>
        <v>11:30 - 12:00</v>
      </c>
      <c r="J2304" s="316" t="str">
        <f t="array" ref="J2304">XLOOKUP(B2304,Roster!L:L,Roster!P:P,XLOOKUP(D2304,TicketsBreak!A:A,TicketsBreak!G:G,"",0),0)</f>
        <v>14:30 - 14:45</v>
      </c>
      <c r="K2304" s="310">
        <f t="shared" si="4"/>
        <v>46132</v>
      </c>
      <c r="L2304" s="317">
        <f t="array" ref="L2304">(XLOOKUP(D2304,Roster!F:F,Roster!D:D,"",0))</f>
        <v>32</v>
      </c>
      <c r="M2304" s="317" t="str">
        <f t="array" ref="M2304">XLOOKUP(D2304,Roster!F:F,Roster!E:E)</f>
        <v>Voice</v>
      </c>
      <c r="N2304" s="317" t="str">
        <f t="shared" ref="N2304:P2304" si="2336">LEFT(H2304,5)</f>
        <v>09:15</v>
      </c>
      <c r="O2304" s="317" t="str">
        <f t="shared" si="2336"/>
        <v>11:30</v>
      </c>
      <c r="P2304" s="317" t="str">
        <f t="shared" si="2336"/>
        <v>14:30</v>
      </c>
      <c r="Q2304" s="318">
        <f t="shared" si="2083"/>
        <v>46132.38542</v>
      </c>
      <c r="R2304" s="318">
        <f t="shared" si="2084"/>
        <v>46132.47917</v>
      </c>
      <c r="S2304" s="318">
        <f t="shared" si="8"/>
        <v>46132.60417</v>
      </c>
    </row>
    <row r="2305">
      <c r="A2305" s="14" t="str">
        <f t="shared" si="1"/>
        <v>C132746132</v>
      </c>
      <c r="B2305" s="185" t="str">
        <f t="array" ref="B2305">IF(F2305="VL","",IF(F2305="Free","Free",XLOOKUP(D2305,Roster!T:T,Roster!S:S,"",0)))</f>
        <v/>
      </c>
      <c r="C2305" s="313">
        <v>46132.0</v>
      </c>
      <c r="D2305" s="314" t="s">
        <v>163</v>
      </c>
      <c r="E2305" s="307" t="str">
        <f t="array" ref="E2305">(XLOOKUP(D2305,Roster!F:F,Roster!B:B,"",0))</f>
        <v>Juan Restrepo</v>
      </c>
      <c r="F2305" s="315" t="str">
        <f t="array" ref="F2305">IF(B2305=100,"Free",TEXT(XLOOKUP($D2305,OperationVoice!$A:$A,OperationVoice!Z:Z,XLOOKUP($D2305,OperationTickets!$A:$A,OperationTickets!Z:Z,"",0)),"hh:mm"))</f>
        <v>07:00</v>
      </c>
      <c r="G2305" s="309">
        <f t="shared" si="3"/>
        <v>0.6666666667</v>
      </c>
      <c r="H2305" s="316" t="str">
        <f t="array" ref="H2305">XLOOKUP(B2305,Roster!L:L,Roster!N:N,XLOOKUP(D2305,TicketsBreak!A:A,TicketsBreak!E:E,"",0),0)</f>
        <v/>
      </c>
      <c r="I2305" s="316" t="str">
        <f t="array" ref="I2305">XLOOKUP(B2305,Roster!L:L,Roster!O:O,XLOOKUP(D2305,TicketsBreak!A:A,TicketsBreak!F:F,"",0),0)</f>
        <v/>
      </c>
      <c r="J2305" s="316" t="str">
        <f t="array" ref="J2305">XLOOKUP(B2305,Roster!L:L,Roster!P:P,XLOOKUP(D2305,TicketsBreak!A:A,TicketsBreak!G:G,"",0),0)</f>
        <v/>
      </c>
      <c r="K2305" s="310">
        <f t="shared" si="4"/>
        <v>46132</v>
      </c>
      <c r="L2305" s="317">
        <f t="array" ref="L2305">(XLOOKUP(D2305,Roster!F:F,Roster!D:D,"",0))</f>
        <v>29</v>
      </c>
      <c r="M2305" s="317" t="str">
        <f t="array" ref="M2305">XLOOKUP(D2305,Roster!F:F,Roster!E:E)</f>
        <v>Tickets</v>
      </c>
      <c r="N2305" s="317" t="str">
        <f t="shared" ref="N2305:P2305" si="2337">LEFT(H2305,5)</f>
        <v/>
      </c>
      <c r="O2305" s="317" t="str">
        <f t="shared" si="2337"/>
        <v/>
      </c>
      <c r="P2305" s="317" t="str">
        <f t="shared" si="2337"/>
        <v/>
      </c>
      <c r="Q2305" s="318" t="str">
        <f t="shared" si="2083"/>
        <v/>
      </c>
      <c r="R2305" s="318" t="str">
        <f t="shared" si="2084"/>
        <v/>
      </c>
      <c r="S2305" s="318" t="str">
        <f t="shared" si="8"/>
        <v/>
      </c>
    </row>
    <row r="2306">
      <c r="A2306" s="14" t="str">
        <f t="shared" si="1"/>
        <v>C146946132</v>
      </c>
      <c r="B2306" s="185">
        <f t="array" ref="B2306">IF(F2306="VL","",IF(F2306="Free","Free",XLOOKUP(D2306,Roster!T:T,Roster!S:S,"",0)))</f>
        <v>122</v>
      </c>
      <c r="C2306" s="313">
        <v>46132.0</v>
      </c>
      <c r="D2306" s="314" t="s">
        <v>48</v>
      </c>
      <c r="E2306" s="307" t="str">
        <f t="array" ref="E2306">(XLOOKUP(D2306,Roster!F:F,Roster!B:B,"",0))</f>
        <v>Juan Restrepo Restrepo</v>
      </c>
      <c r="F2306" s="315" t="str">
        <f t="array" ref="F2306">IF(B2306=100,"Free",TEXT(XLOOKUP($D2306,OperationVoice!$A:$A,OperationVoice!Z:Z,XLOOKUP($D2306,OperationTickets!$A:$A,OperationTickets!Z:Z,"",0)),"hh:mm"))</f>
        <v>08:00</v>
      </c>
      <c r="G2306" s="309">
        <f t="shared" si="3"/>
        <v>0.7083333333</v>
      </c>
      <c r="H2306" s="316" t="str">
        <f t="array" ref="H2306">XLOOKUP(B2306,Roster!L:L,Roster!N:N,XLOOKUP(D2306,TicketsBreak!A:A,TicketsBreak!E:E,"",0),0)</f>
        <v>09:30 - 09:45</v>
      </c>
      <c r="I2306" s="316" t="str">
        <f t="array" ref="I2306">XLOOKUP(B2306,Roster!L:L,Roster!O:O,XLOOKUP(D2306,TicketsBreak!A:A,TicketsBreak!F:F,"",0),0)</f>
        <v>12:00 - 12:30</v>
      </c>
      <c r="J2306" s="316" t="str">
        <f t="array" ref="J2306">XLOOKUP(B2306,Roster!L:L,Roster!P:P,XLOOKUP(D2306,TicketsBreak!A:A,TicketsBreak!G:G,"",0),0)</f>
        <v>14:45 - 15:00</v>
      </c>
      <c r="K2306" s="310">
        <f t="shared" si="4"/>
        <v>46132</v>
      </c>
      <c r="L2306" s="317">
        <f t="array" ref="L2306">(XLOOKUP(D2306,Roster!F:F,Roster!D:D,"",0))</f>
        <v>33</v>
      </c>
      <c r="M2306" s="317" t="str">
        <f t="array" ref="M2306">XLOOKUP(D2306,Roster!F:F,Roster!E:E)</f>
        <v>Voice</v>
      </c>
      <c r="N2306" s="317" t="str">
        <f t="shared" ref="N2306:P2306" si="2338">LEFT(H2306,5)</f>
        <v>09:30</v>
      </c>
      <c r="O2306" s="317" t="str">
        <f t="shared" si="2338"/>
        <v>12:00</v>
      </c>
      <c r="P2306" s="317" t="str">
        <f t="shared" si="2338"/>
        <v>14:45</v>
      </c>
      <c r="Q2306" s="318">
        <f t="shared" si="2083"/>
        <v>46132.39583</v>
      </c>
      <c r="R2306" s="318">
        <f t="shared" si="2084"/>
        <v>46132.5</v>
      </c>
      <c r="S2306" s="318">
        <f t="shared" si="8"/>
        <v>46132.61458</v>
      </c>
    </row>
    <row r="2307">
      <c r="A2307" s="14" t="str">
        <f t="shared" si="1"/>
        <v>C117146132</v>
      </c>
      <c r="B2307" s="185" t="str">
        <f t="array" ref="B2307">IF(F2307="VL","",IF(F2307="Free","Free",XLOOKUP(D2307,Roster!T:T,Roster!S:S,"",0)))</f>
        <v/>
      </c>
      <c r="C2307" s="313">
        <v>46132.0</v>
      </c>
      <c r="D2307" s="314" t="s">
        <v>142</v>
      </c>
      <c r="E2307" s="307" t="str">
        <f t="array" ref="E2307">(XLOOKUP(D2307,Roster!F:F,Roster!B:B,"",0))</f>
        <v>Juan Sanchez</v>
      </c>
      <c r="F2307" s="315" t="str">
        <f t="array" ref="F2307">IF(B2307=100,"Free",TEXT(XLOOKUP($D2307,OperationVoice!$A:$A,OperationVoice!Z:Z,XLOOKUP($D2307,OperationTickets!$A:$A,OperationTickets!Z:Z,"",0)),"hh:mm"))</f>
        <v>08:00</v>
      </c>
      <c r="G2307" s="309">
        <f t="shared" si="3"/>
        <v>0.7083333333</v>
      </c>
      <c r="H2307" s="316" t="str">
        <f t="array" ref="H2307">XLOOKUP(B2307,Roster!L:L,Roster!N:N,XLOOKUP(D2307,TicketsBreak!A:A,TicketsBreak!E:E,"",0),0)</f>
        <v/>
      </c>
      <c r="I2307" s="316" t="str">
        <f t="array" ref="I2307">XLOOKUP(B2307,Roster!L:L,Roster!O:O,XLOOKUP(D2307,TicketsBreak!A:A,TicketsBreak!F:F,"",0),0)</f>
        <v/>
      </c>
      <c r="J2307" s="316" t="str">
        <f t="array" ref="J2307">XLOOKUP(B2307,Roster!L:L,Roster!P:P,XLOOKUP(D2307,TicketsBreak!A:A,TicketsBreak!G:G,"",0),0)</f>
        <v/>
      </c>
      <c r="K2307" s="310">
        <f t="shared" si="4"/>
        <v>46132</v>
      </c>
      <c r="L2307" s="317">
        <f t="array" ref="L2307">(XLOOKUP(D2307,Roster!F:F,Roster!D:D,"",0))</f>
        <v>24</v>
      </c>
      <c r="M2307" s="317" t="str">
        <f t="array" ref="M2307">XLOOKUP(D2307,Roster!F:F,Roster!E:E)</f>
        <v>Tickets</v>
      </c>
      <c r="N2307" s="317" t="str">
        <f t="shared" ref="N2307:P2307" si="2339">LEFT(H2307,5)</f>
        <v/>
      </c>
      <c r="O2307" s="317" t="str">
        <f t="shared" si="2339"/>
        <v/>
      </c>
      <c r="P2307" s="317" t="str">
        <f t="shared" si="2339"/>
        <v/>
      </c>
      <c r="Q2307" s="318" t="str">
        <f t="shared" si="2083"/>
        <v/>
      </c>
      <c r="R2307" s="318" t="str">
        <f t="shared" si="2084"/>
        <v/>
      </c>
      <c r="S2307" s="318" t="str">
        <f t="shared" si="8"/>
        <v/>
      </c>
    </row>
    <row r="2308">
      <c r="A2308" s="14" t="str">
        <f t="shared" si="1"/>
        <v>C74346132</v>
      </c>
      <c r="B2308" s="185" t="str">
        <f t="array" ref="B2308">IF(F2308="VL","",IF(F2308="Free","Free",XLOOKUP(D2308,Roster!T:T,Roster!S:S,"",0)))</f>
        <v/>
      </c>
      <c r="C2308" s="313">
        <v>46132.0</v>
      </c>
      <c r="D2308" s="314" t="s">
        <v>164</v>
      </c>
      <c r="E2308" s="307" t="str">
        <f t="array" ref="E2308">(XLOOKUP(D2308,Roster!F:F,Roster!B:B,"",0))</f>
        <v>Juan Suarez</v>
      </c>
      <c r="F2308" s="315" t="str">
        <f t="array" ref="F2308">IF(B2308=100,"Free",TEXT(XLOOKUP($D2308,OperationVoice!$A:$A,OperationVoice!Z:Z,XLOOKUP($D2308,OperationTickets!$A:$A,OperationTickets!Z:Z,"",0)),"hh:mm"))</f>
        <v>VL</v>
      </c>
      <c r="G2308" s="309" t="str">
        <f t="shared" si="3"/>
        <v>VL</v>
      </c>
      <c r="H2308" s="316">
        <f t="array" ref="H2308">XLOOKUP(B2308,Roster!L:L,Roster!N:N,XLOOKUP(D2308,TicketsBreak!A:A,TicketsBreak!E:E,"",0),0)</f>
        <v>0.3958333333</v>
      </c>
      <c r="I2308" s="316">
        <f t="array" ref="I2308">XLOOKUP(B2308,Roster!L:L,Roster!O:O,XLOOKUP(D2308,TicketsBreak!A:A,TicketsBreak!F:F,"",0),0)</f>
        <v>0.5208333333</v>
      </c>
      <c r="J2308" s="316">
        <f t="array" ref="J2308">XLOOKUP(B2308,Roster!L:L,Roster!P:P,XLOOKUP(D2308,TicketsBreak!A:A,TicketsBreak!G:G,"",0),0)</f>
        <v>0.6145833333</v>
      </c>
      <c r="K2308" s="310">
        <f t="shared" si="4"/>
        <v>46132</v>
      </c>
      <c r="L2308" s="317">
        <f t="array" ref="L2308">(XLOOKUP(D2308,Roster!F:F,Roster!D:D,"",0))</f>
        <v>8</v>
      </c>
      <c r="M2308" s="317" t="str">
        <f t="array" ref="M2308">XLOOKUP(D2308,Roster!F:F,Roster!E:E)</f>
        <v>Tickets</v>
      </c>
      <c r="N2308" s="317" t="str">
        <f t="shared" ref="N2308:P2308" si="2340">LEFT(H2308,5)</f>
        <v>09:30</v>
      </c>
      <c r="O2308" s="317" t="str">
        <f t="shared" si="2340"/>
        <v>12:30</v>
      </c>
      <c r="P2308" s="317" t="str">
        <f t="shared" si="2340"/>
        <v>14:45</v>
      </c>
      <c r="Q2308" s="318">
        <f t="shared" si="2083"/>
        <v>46132.39583</v>
      </c>
      <c r="R2308" s="318">
        <f t="shared" si="2084"/>
        <v>46132.52083</v>
      </c>
      <c r="S2308" s="318">
        <f t="shared" si="8"/>
        <v>46132.61458</v>
      </c>
    </row>
    <row r="2309">
      <c r="A2309" s="14" t="str">
        <f t="shared" si="1"/>
        <v>C156846132</v>
      </c>
      <c r="B2309" s="185">
        <f t="array" ref="B2309">IF(F2309="VL","",IF(F2309="Free","Free",XLOOKUP(D2309,Roster!T:T,Roster!S:S,"",0)))</f>
        <v>122</v>
      </c>
      <c r="C2309" s="313">
        <v>46132.0</v>
      </c>
      <c r="D2309" s="314" t="s">
        <v>49</v>
      </c>
      <c r="E2309" s="307" t="str">
        <f t="array" ref="E2309">(XLOOKUP(D2309,Roster!F:F,Roster!B:B,"",0))</f>
        <v>Juan Zapata</v>
      </c>
      <c r="F2309" s="315" t="str">
        <f t="array" ref="F2309">IF(B2309=100,"Free",TEXT(XLOOKUP($D2309,OperationVoice!$A:$A,OperationVoice!Z:Z,XLOOKUP($D2309,OperationTickets!$A:$A,OperationTickets!Z:Z,"",0)),"hh:mm"))</f>
        <v>08:00</v>
      </c>
      <c r="G2309" s="309">
        <f t="shared" si="3"/>
        <v>0.7083333333</v>
      </c>
      <c r="H2309" s="316" t="str">
        <f t="array" ref="H2309">XLOOKUP(B2309,Roster!L:L,Roster!N:N,XLOOKUP(D2309,TicketsBreak!A:A,TicketsBreak!E:E,"",0),0)</f>
        <v>09:30 - 09:45</v>
      </c>
      <c r="I2309" s="316" t="str">
        <f t="array" ref="I2309">XLOOKUP(B2309,Roster!L:L,Roster!O:O,XLOOKUP(D2309,TicketsBreak!A:A,TicketsBreak!F:F,"",0),0)</f>
        <v>12:00 - 12:30</v>
      </c>
      <c r="J2309" s="316" t="str">
        <f t="array" ref="J2309">XLOOKUP(B2309,Roster!L:L,Roster!P:P,XLOOKUP(D2309,TicketsBreak!A:A,TicketsBreak!G:G,"",0),0)</f>
        <v>14:45 - 15:00</v>
      </c>
      <c r="K2309" s="310">
        <f t="shared" si="4"/>
        <v>46132</v>
      </c>
      <c r="L2309" s="317">
        <f t="array" ref="L2309">(XLOOKUP(D2309,Roster!F:F,Roster!D:D,"",0))</f>
        <v>38</v>
      </c>
      <c r="M2309" s="317" t="str">
        <f t="array" ref="M2309">XLOOKUP(D2309,Roster!F:F,Roster!E:E)</f>
        <v>Voice</v>
      </c>
      <c r="N2309" s="317" t="str">
        <f t="shared" ref="N2309:P2309" si="2341">LEFT(H2309,5)</f>
        <v>09:30</v>
      </c>
      <c r="O2309" s="317" t="str">
        <f t="shared" si="2341"/>
        <v>12:00</v>
      </c>
      <c r="P2309" s="317" t="str">
        <f t="shared" si="2341"/>
        <v>14:45</v>
      </c>
      <c r="Q2309" s="318">
        <f t="shared" si="2083"/>
        <v>46132.39583</v>
      </c>
      <c r="R2309" s="318">
        <f t="shared" si="2084"/>
        <v>46132.5</v>
      </c>
      <c r="S2309" s="318">
        <f t="shared" si="8"/>
        <v>46132.61458</v>
      </c>
    </row>
    <row r="2310">
      <c r="A2310" s="14" t="str">
        <f t="shared" si="1"/>
        <v>C75546132</v>
      </c>
      <c r="B2310" s="185" t="str">
        <f t="array" ref="B2310">IF(F2310="VL","",IF(F2310="Free","Free",XLOOKUP(D2310,Roster!T:T,Roster!S:S,"",0)))</f>
        <v/>
      </c>
      <c r="C2310" s="313">
        <v>46132.0</v>
      </c>
      <c r="D2310" s="314" t="s">
        <v>143</v>
      </c>
      <c r="E2310" s="307" t="str">
        <f t="array" ref="E2310">(XLOOKUP(D2310,Roster!F:F,Roster!B:B,"",0))</f>
        <v>Julian Higuita</v>
      </c>
      <c r="F2310" s="315" t="str">
        <f t="array" ref="F2310">IF(B2310=100,"Free",TEXT(XLOOKUP($D2310,OperationVoice!$A:$A,OperationVoice!Z:Z,XLOOKUP($D2310,OperationTickets!$A:$A,OperationTickets!Z:Z,"",0)),"hh:mm"))</f>
        <v>VL</v>
      </c>
      <c r="G2310" s="309" t="str">
        <f t="shared" si="3"/>
        <v>VL</v>
      </c>
      <c r="H2310" s="316" t="str">
        <f t="array" ref="H2310">XLOOKUP(B2310,Roster!L:L,Roster!N:N,XLOOKUP(D2310,TicketsBreak!A:A,TicketsBreak!E:E,"",0),0)</f>
        <v/>
      </c>
      <c r="I2310" s="316" t="str">
        <f t="array" ref="I2310">XLOOKUP(B2310,Roster!L:L,Roster!O:O,XLOOKUP(D2310,TicketsBreak!A:A,TicketsBreak!F:F,"",0),0)</f>
        <v/>
      </c>
      <c r="J2310" s="316" t="str">
        <f t="array" ref="J2310">XLOOKUP(B2310,Roster!L:L,Roster!P:P,XLOOKUP(D2310,TicketsBreak!A:A,TicketsBreak!G:G,"",0),0)</f>
        <v/>
      </c>
      <c r="K2310" s="310">
        <f t="shared" si="4"/>
        <v>46132</v>
      </c>
      <c r="L2310" s="317">
        <f t="array" ref="L2310">(XLOOKUP(D2310,Roster!F:F,Roster!D:D,"",0))</f>
        <v>35</v>
      </c>
      <c r="M2310" s="317" t="str">
        <f t="array" ref="M2310">XLOOKUP(D2310,Roster!F:F,Roster!E:E)</f>
        <v>Tickets</v>
      </c>
      <c r="N2310" s="317" t="str">
        <f t="shared" ref="N2310:P2310" si="2342">LEFT(H2310,5)</f>
        <v/>
      </c>
      <c r="O2310" s="317" t="str">
        <f t="shared" si="2342"/>
        <v/>
      </c>
      <c r="P2310" s="317" t="str">
        <f t="shared" si="2342"/>
        <v/>
      </c>
      <c r="Q2310" s="318" t="str">
        <f t="shared" si="2083"/>
        <v/>
      </c>
      <c r="R2310" s="318" t="str">
        <f t="shared" si="2084"/>
        <v/>
      </c>
      <c r="S2310" s="318" t="str">
        <f t="shared" si="8"/>
        <v/>
      </c>
    </row>
    <row r="2311">
      <c r="A2311" s="14" t="str">
        <f t="shared" si="1"/>
        <v>C52546132</v>
      </c>
      <c r="B2311" s="185" t="str">
        <f t="array" ref="B2311">IF(F2311="VL","",IF(F2311="Free","Free",XLOOKUP(D2311,Roster!T:T,Roster!S:S,"",0)))</f>
        <v/>
      </c>
      <c r="C2311" s="313">
        <v>46132.0</v>
      </c>
      <c r="D2311" s="314" t="s">
        <v>176</v>
      </c>
      <c r="E2311" s="307" t="str">
        <f t="array" ref="E2311">(XLOOKUP(D2311,Roster!F:F,Roster!B:B,"",0))</f>
        <v>Julian Pineda</v>
      </c>
      <c r="F2311" s="315" t="str">
        <f t="array" ref="F2311">IF(B2311=100,"Free",TEXT(XLOOKUP($D2311,OperationVoice!$A:$A,OperationVoice!Z:Z,XLOOKUP($D2311,OperationTickets!$A:$A,OperationTickets!Z:Z,"",0)),"hh:mm"))</f>
        <v>08:00</v>
      </c>
      <c r="G2311" s="309">
        <f t="shared" si="3"/>
        <v>0.7083333333</v>
      </c>
      <c r="H2311" s="316" t="str">
        <f t="array" ref="H2311">XLOOKUP(B2311,Roster!L:L,Roster!N:N,XLOOKUP(D2311,TicketsBreak!A:A,TicketsBreak!E:E,"",0),0)</f>
        <v/>
      </c>
      <c r="I2311" s="316" t="str">
        <f t="array" ref="I2311">XLOOKUP(B2311,Roster!L:L,Roster!O:O,XLOOKUP(D2311,TicketsBreak!A:A,TicketsBreak!F:F,"",0),0)</f>
        <v/>
      </c>
      <c r="J2311" s="316" t="str">
        <f t="array" ref="J2311">XLOOKUP(B2311,Roster!L:L,Roster!P:P,XLOOKUP(D2311,TicketsBreak!A:A,TicketsBreak!G:G,"",0),0)</f>
        <v/>
      </c>
      <c r="K2311" s="310">
        <f t="shared" si="4"/>
        <v>46132</v>
      </c>
      <c r="L2311" s="317">
        <f t="array" ref="L2311">(XLOOKUP(D2311,Roster!F:F,Roster!D:D,"",0))</f>
        <v>35</v>
      </c>
      <c r="M2311" s="317" t="str">
        <f t="array" ref="M2311">XLOOKUP(D2311,Roster!F:F,Roster!E:E)</f>
        <v>Tickets</v>
      </c>
      <c r="N2311" s="317" t="str">
        <f t="shared" ref="N2311:P2311" si="2343">LEFT(H2311,5)</f>
        <v/>
      </c>
      <c r="O2311" s="317" t="str">
        <f t="shared" si="2343"/>
        <v/>
      </c>
      <c r="P2311" s="317" t="str">
        <f t="shared" si="2343"/>
        <v/>
      </c>
      <c r="Q2311" s="318" t="str">
        <f t="shared" si="2083"/>
        <v/>
      </c>
      <c r="R2311" s="318" t="str">
        <f t="shared" si="2084"/>
        <v/>
      </c>
      <c r="S2311" s="318" t="str">
        <f t="shared" si="8"/>
        <v/>
      </c>
    </row>
    <row r="2312">
      <c r="A2312" s="14" t="str">
        <f t="shared" si="1"/>
        <v>C142746132</v>
      </c>
      <c r="B2312" s="185">
        <f t="array" ref="B2312">IF(F2312="VL","",IF(F2312="Free","Free",XLOOKUP(D2312,Roster!T:T,Roster!S:S,"",0)))</f>
        <v>123</v>
      </c>
      <c r="C2312" s="313">
        <v>46132.0</v>
      </c>
      <c r="D2312" s="314" t="s">
        <v>50</v>
      </c>
      <c r="E2312" s="307" t="str">
        <f t="array" ref="E2312">(XLOOKUP(D2312,Roster!F:F,Roster!B:B,"",0))</f>
        <v>Karen Lorena Martinez</v>
      </c>
      <c r="F2312" s="315" t="str">
        <f t="array" ref="F2312">IF(B2312=100,"Free",TEXT(XLOOKUP($D2312,OperationVoice!$A:$A,OperationVoice!Z:Z,XLOOKUP($D2312,OperationTickets!$A:$A,OperationTickets!Z:Z,"",0)),"hh:mm"))</f>
        <v>08:00</v>
      </c>
      <c r="G2312" s="309">
        <f t="shared" si="3"/>
        <v>0.7083333333</v>
      </c>
      <c r="H2312" s="316" t="str">
        <f t="array" ref="H2312">XLOOKUP(B2312,Roster!L:L,Roster!N:N,XLOOKUP(D2312,TicketsBreak!A:A,TicketsBreak!E:E,"",0),0)</f>
        <v>09:45 - 10:00 </v>
      </c>
      <c r="I2312" s="316" t="str">
        <f t="array" ref="I2312">XLOOKUP(B2312,Roster!L:L,Roster!O:O,XLOOKUP(D2312,TicketsBreak!A:A,TicketsBreak!F:F,"",0),0)</f>
        <v>12:30 - 13:00</v>
      </c>
      <c r="J2312" s="316" t="str">
        <f t="array" ref="J2312">XLOOKUP(B2312,Roster!L:L,Roster!P:P,XLOOKUP(D2312,TicketsBreak!A:A,TicketsBreak!G:G,"",0),0)</f>
        <v>15:00 - 15:15</v>
      </c>
      <c r="K2312" s="310">
        <f t="shared" si="4"/>
        <v>46132</v>
      </c>
      <c r="L2312" s="317">
        <f t="array" ref="L2312">(XLOOKUP(D2312,Roster!F:F,Roster!D:D,"",0))</f>
        <v>32</v>
      </c>
      <c r="M2312" s="317" t="str">
        <f t="array" ref="M2312">XLOOKUP(D2312,Roster!F:F,Roster!E:E)</f>
        <v>Voice</v>
      </c>
      <c r="N2312" s="317" t="str">
        <f t="shared" ref="N2312:P2312" si="2344">LEFT(H2312,5)</f>
        <v>09:45</v>
      </c>
      <c r="O2312" s="317" t="str">
        <f t="shared" si="2344"/>
        <v>12:30</v>
      </c>
      <c r="P2312" s="317" t="str">
        <f t="shared" si="2344"/>
        <v>15:00</v>
      </c>
      <c r="Q2312" s="318">
        <f t="shared" si="2083"/>
        <v>46132.40625</v>
      </c>
      <c r="R2312" s="318">
        <f t="shared" si="2084"/>
        <v>46132.52083</v>
      </c>
      <c r="S2312" s="318">
        <f t="shared" si="8"/>
        <v>46132.625</v>
      </c>
    </row>
    <row r="2313">
      <c r="A2313" s="14" t="str">
        <f t="shared" si="1"/>
        <v>C57946132</v>
      </c>
      <c r="B2313" s="185" t="str">
        <f t="array" ref="B2313">IF(F2313="VL","",IF(F2313="Free","Free",XLOOKUP(D2313,Roster!T:T,Roster!S:S,"",0)))</f>
        <v/>
      </c>
      <c r="C2313" s="313">
        <v>46132.0</v>
      </c>
      <c r="D2313" s="314" t="s">
        <v>144</v>
      </c>
      <c r="E2313" s="307" t="str">
        <f t="array" ref="E2313">(XLOOKUP(D2313,Roster!F:F,Roster!B:B,"",0))</f>
        <v>Karen Martinez</v>
      </c>
      <c r="F2313" s="315" t="str">
        <f t="array" ref="F2313">IF(B2313=100,"Free",TEXT(XLOOKUP($D2313,OperationVoice!$A:$A,OperationVoice!Z:Z,XLOOKUP($D2313,OperationTickets!$A:$A,OperationTickets!Z:Z,"",0)),"hh:mm"))</f>
        <v>08:00</v>
      </c>
      <c r="G2313" s="309">
        <f t="shared" si="3"/>
        <v>0.7083333333</v>
      </c>
      <c r="H2313" s="316">
        <f t="array" ref="H2313">XLOOKUP(B2313,Roster!L:L,Roster!N:N,XLOOKUP(D2313,TicketsBreak!A:A,TicketsBreak!E:E,"",0),0)</f>
        <v>0.4166666667</v>
      </c>
      <c r="I2313" s="316">
        <f t="array" ref="I2313">XLOOKUP(B2313,Roster!L:L,Roster!O:O,XLOOKUP(D2313,TicketsBreak!A:A,TicketsBreak!F:F,"",0),0)</f>
        <v>0.5</v>
      </c>
      <c r="J2313" s="316">
        <f t="array" ref="J2313">XLOOKUP(B2313,Roster!L:L,Roster!P:P,XLOOKUP(D2313,TicketsBreak!A:A,TicketsBreak!G:G,"",0),0)</f>
        <v>0.625</v>
      </c>
      <c r="K2313" s="310">
        <f t="shared" si="4"/>
        <v>46132</v>
      </c>
      <c r="L2313" s="317">
        <f t="array" ref="L2313">(XLOOKUP(D2313,Roster!F:F,Roster!D:D,"",0))</f>
        <v>4</v>
      </c>
      <c r="M2313" s="317" t="str">
        <f t="array" ref="M2313">XLOOKUP(D2313,Roster!F:F,Roster!E:E)</f>
        <v>Tickets</v>
      </c>
      <c r="N2313" s="317" t="str">
        <f t="shared" ref="N2313:P2313" si="2345">LEFT(H2313,5)</f>
        <v>10:00</v>
      </c>
      <c r="O2313" s="317" t="str">
        <f t="shared" si="2345"/>
        <v>12:00</v>
      </c>
      <c r="P2313" s="317" t="str">
        <f t="shared" si="2345"/>
        <v>15:00</v>
      </c>
      <c r="Q2313" s="318">
        <f t="shared" si="2083"/>
        <v>46132.41667</v>
      </c>
      <c r="R2313" s="318">
        <f t="shared" si="2084"/>
        <v>46132.5</v>
      </c>
      <c r="S2313" s="318">
        <f t="shared" si="8"/>
        <v>46132.625</v>
      </c>
    </row>
    <row r="2314">
      <c r="A2314" s="14" t="str">
        <f t="shared" si="1"/>
        <v>C108646132</v>
      </c>
      <c r="B2314" s="185">
        <f t="array" ref="B2314">IF(F2314="VL","",IF(F2314="Free","Free",XLOOKUP(D2314,Roster!T:T,Roster!S:S,"",0)))</f>
        <v>124</v>
      </c>
      <c r="C2314" s="313">
        <v>46132.0</v>
      </c>
      <c r="D2314" s="314" t="s">
        <v>51</v>
      </c>
      <c r="E2314" s="307" t="str">
        <f t="array" ref="E2314">(XLOOKUP(D2314,Roster!F:F,Roster!B:B,"",0))</f>
        <v>Karen Panqueva</v>
      </c>
      <c r="F2314" s="315" t="str">
        <f t="array" ref="F2314">IF(B2314=100,"Free",TEXT(XLOOKUP($D2314,OperationVoice!$A:$A,OperationVoice!Z:Z,XLOOKUP($D2314,OperationTickets!$A:$A,OperationTickets!Z:Z,"",0)),"hh:mm"))</f>
        <v>08:00</v>
      </c>
      <c r="G2314" s="309">
        <f t="shared" si="3"/>
        <v>0.7083333333</v>
      </c>
      <c r="H2314" s="316" t="str">
        <f t="array" ref="H2314">XLOOKUP(B2314,Roster!L:L,Roster!N:N,XLOOKUP(D2314,TicketsBreak!A:A,TicketsBreak!E:E,"",0),0)</f>
        <v>10:00 - 10:15</v>
      </c>
      <c r="I2314" s="316" t="str">
        <f t="array" ref="I2314">XLOOKUP(B2314,Roster!L:L,Roster!O:O,XLOOKUP(D2314,TicketsBreak!A:A,TicketsBreak!F:F,"",0),0)</f>
        <v>13:00 - 13:30</v>
      </c>
      <c r="J2314" s="316" t="str">
        <f t="array" ref="J2314">XLOOKUP(B2314,Roster!L:L,Roster!P:P,XLOOKUP(D2314,TicketsBreak!A:A,TicketsBreak!G:G,"",0),0)</f>
        <v>15:30 - 15:45</v>
      </c>
      <c r="K2314" s="310">
        <f t="shared" si="4"/>
        <v>46132</v>
      </c>
      <c r="L2314" s="317">
        <f t="array" ref="L2314">(XLOOKUP(D2314,Roster!F:F,Roster!D:D,"",0))</f>
        <v>19</v>
      </c>
      <c r="M2314" s="317" t="str">
        <f t="array" ref="M2314">XLOOKUP(D2314,Roster!F:F,Roster!E:E)</f>
        <v>Voice</v>
      </c>
      <c r="N2314" s="317" t="str">
        <f t="shared" ref="N2314:P2314" si="2346">LEFT(H2314,5)</f>
        <v>10:00</v>
      </c>
      <c r="O2314" s="317" t="str">
        <f t="shared" si="2346"/>
        <v>13:00</v>
      </c>
      <c r="P2314" s="317" t="str">
        <f t="shared" si="2346"/>
        <v>15:30</v>
      </c>
      <c r="Q2314" s="318">
        <f t="shared" si="2083"/>
        <v>46132.41667</v>
      </c>
      <c r="R2314" s="318">
        <f t="shared" si="2084"/>
        <v>46132.54167</v>
      </c>
      <c r="S2314" s="318">
        <f t="shared" si="8"/>
        <v>46132.64583</v>
      </c>
    </row>
    <row r="2315">
      <c r="A2315" s="14" t="str">
        <f t="shared" si="1"/>
        <v>C149246132</v>
      </c>
      <c r="B2315" s="185">
        <f t="array" ref="B2315">IF(F2315="VL","",IF(F2315="Free","Free",XLOOKUP(D2315,Roster!T:T,Roster!S:S,"",0)))</f>
        <v>125</v>
      </c>
      <c r="C2315" s="313">
        <v>46132.0</v>
      </c>
      <c r="D2315" s="314" t="s">
        <v>52</v>
      </c>
      <c r="E2315" s="307" t="str">
        <f t="array" ref="E2315">(XLOOKUP(D2315,Roster!F:F,Roster!B:B,"",0))</f>
        <v>Karol Pineda</v>
      </c>
      <c r="F2315" s="315" t="str">
        <f t="array" ref="F2315">IF(B2315=100,"Free",TEXT(XLOOKUP($D2315,OperationVoice!$A:$A,OperationVoice!Z:Z,XLOOKUP($D2315,OperationTickets!$A:$A,OperationTickets!Z:Z,"",0)),"hh:mm"))</f>
        <v>08:00</v>
      </c>
      <c r="G2315" s="309">
        <f t="shared" si="3"/>
        <v>0.7083333333</v>
      </c>
      <c r="H2315" s="316" t="str">
        <f t="array" ref="H2315">XLOOKUP(B2315,Roster!L:L,Roster!N:N,XLOOKUP(D2315,TicketsBreak!A:A,TicketsBreak!E:E,"",0),0)</f>
        <v>10:30 - 10:45</v>
      </c>
      <c r="I2315" s="316" t="str">
        <f t="array" ref="I2315">XLOOKUP(B2315,Roster!L:L,Roster!O:O,XLOOKUP(D2315,TicketsBreak!A:A,TicketsBreak!F:F,"",0),0)</f>
        <v>13:30 - 14:00</v>
      </c>
      <c r="J2315" s="316" t="str">
        <f t="array" ref="J2315">XLOOKUP(B2315,Roster!L:L,Roster!P:P,XLOOKUP(D2315,TicketsBreak!A:A,TicketsBreak!G:G,"",0),0)</f>
        <v>15:45 - 16:00</v>
      </c>
      <c r="K2315" s="310">
        <f t="shared" si="4"/>
        <v>46132</v>
      </c>
      <c r="L2315" s="317">
        <f t="array" ref="L2315">(XLOOKUP(D2315,Roster!F:F,Roster!D:D,"",0))</f>
        <v>34</v>
      </c>
      <c r="M2315" s="317" t="str">
        <f t="array" ref="M2315">XLOOKUP(D2315,Roster!F:F,Roster!E:E)</f>
        <v>Voice</v>
      </c>
      <c r="N2315" s="317" t="str">
        <f t="shared" ref="N2315:P2315" si="2347">LEFT(H2315,5)</f>
        <v>10:30</v>
      </c>
      <c r="O2315" s="317" t="str">
        <f t="shared" si="2347"/>
        <v>13:30</v>
      </c>
      <c r="P2315" s="317" t="str">
        <f t="shared" si="2347"/>
        <v>15:45</v>
      </c>
      <c r="Q2315" s="318">
        <f t="shared" si="2083"/>
        <v>46132.4375</v>
      </c>
      <c r="R2315" s="318">
        <f t="shared" si="2084"/>
        <v>46132.5625</v>
      </c>
      <c r="S2315" s="318">
        <f t="shared" si="8"/>
        <v>46132.65625</v>
      </c>
    </row>
    <row r="2316">
      <c r="A2316" s="14" t="str">
        <f t="shared" si="1"/>
        <v>C65846132</v>
      </c>
      <c r="B2316" s="185">
        <f t="array" ref="B2316">IF(F2316="VL","",IF(F2316="Free","Free",XLOOKUP(D2316,Roster!T:T,Roster!S:S,"",0)))</f>
        <v>112</v>
      </c>
      <c r="C2316" s="313">
        <v>46132.0</v>
      </c>
      <c r="D2316" s="314" t="s">
        <v>53</v>
      </c>
      <c r="E2316" s="307" t="str">
        <f t="array" ref="E2316">(XLOOKUP(D2316,Roster!F:F,Roster!B:B,"",0))</f>
        <v>Kennedy Giraldo</v>
      </c>
      <c r="F2316" s="315" t="str">
        <f t="array" ref="F2316">IF(B2316=100,"Free",TEXT(XLOOKUP($D2316,OperationVoice!$A:$A,OperationVoice!Z:Z,XLOOKUP($D2316,OperationTickets!$A:$A,OperationTickets!Z:Z,"",0)),"hh:mm"))</f>
        <v>07:00</v>
      </c>
      <c r="G2316" s="309">
        <f t="shared" si="3"/>
        <v>0.6666666667</v>
      </c>
      <c r="H2316" s="316" t="str">
        <f t="array" ref="H2316">XLOOKUP(B2316,Roster!L:L,Roster!N:N,XLOOKUP(D2316,TicketsBreak!A:A,TicketsBreak!E:E,"",0),0)</f>
        <v>09:30 - 09:45</v>
      </c>
      <c r="I2316" s="316" t="str">
        <f t="array" ref="I2316">XLOOKUP(B2316,Roster!L:L,Roster!O:O,XLOOKUP(D2316,TicketsBreak!A:A,TicketsBreak!F:F,"",0),0)</f>
        <v>12:15 - 12:45</v>
      </c>
      <c r="J2316" s="316" t="str">
        <f t="array" ref="J2316">XLOOKUP(B2316,Roster!L:L,Roster!P:P,XLOOKUP(D2316,TicketsBreak!A:A,TicketsBreak!G:G,"",0),0)</f>
        <v>14:45 - 15:00</v>
      </c>
      <c r="K2316" s="310">
        <f t="shared" si="4"/>
        <v>46132</v>
      </c>
      <c r="L2316" s="317">
        <f t="array" ref="L2316">(XLOOKUP(D2316,Roster!F:F,Roster!D:D,"",0))</f>
        <v>2</v>
      </c>
      <c r="M2316" s="317" t="str">
        <f t="array" ref="M2316">XLOOKUP(D2316,Roster!F:F,Roster!E:E)</f>
        <v>Voice</v>
      </c>
      <c r="N2316" s="317" t="str">
        <f t="shared" ref="N2316:P2316" si="2348">LEFT(H2316,5)</f>
        <v>09:30</v>
      </c>
      <c r="O2316" s="317" t="str">
        <f t="shared" si="2348"/>
        <v>12:15</v>
      </c>
      <c r="P2316" s="317" t="str">
        <f t="shared" si="2348"/>
        <v>14:45</v>
      </c>
      <c r="Q2316" s="318">
        <f t="shared" si="2083"/>
        <v>46132.39583</v>
      </c>
      <c r="R2316" s="318">
        <f t="shared" si="2084"/>
        <v>46132.51042</v>
      </c>
      <c r="S2316" s="318">
        <f t="shared" si="8"/>
        <v>46132.61458</v>
      </c>
    </row>
    <row r="2317">
      <c r="A2317" s="14" t="str">
        <f t="shared" si="1"/>
        <v>C151446132</v>
      </c>
      <c r="B2317" s="185">
        <f t="array" ref="B2317">IF(F2317="VL","",IF(F2317="Free","Free",XLOOKUP(D2317,Roster!T:T,Roster!S:S,"",0)))</f>
        <v>122</v>
      </c>
      <c r="C2317" s="313">
        <v>46132.0</v>
      </c>
      <c r="D2317" s="314" t="s">
        <v>54</v>
      </c>
      <c r="E2317" s="307" t="str">
        <f t="array" ref="E2317">(XLOOKUP(D2317,Roster!F:F,Roster!B:B,"",0))</f>
        <v>Kevin Betancur</v>
      </c>
      <c r="F2317" s="315" t="str">
        <f t="array" ref="F2317">IF(B2317=100,"Free",TEXT(XLOOKUP($D2317,OperationVoice!$A:$A,OperationVoice!Z:Z,XLOOKUP($D2317,OperationTickets!$A:$A,OperationTickets!Z:Z,"",0)),"hh:mm"))</f>
        <v>08:00</v>
      </c>
      <c r="G2317" s="309">
        <f t="shared" si="3"/>
        <v>0.7083333333</v>
      </c>
      <c r="H2317" s="316" t="str">
        <f t="array" ref="H2317">XLOOKUP(B2317,Roster!L:L,Roster!N:N,XLOOKUP(D2317,TicketsBreak!A:A,TicketsBreak!E:E,"",0),0)</f>
        <v>09:30 - 09:45</v>
      </c>
      <c r="I2317" s="316" t="str">
        <f t="array" ref="I2317">XLOOKUP(B2317,Roster!L:L,Roster!O:O,XLOOKUP(D2317,TicketsBreak!A:A,TicketsBreak!F:F,"",0),0)</f>
        <v>12:00 - 12:30</v>
      </c>
      <c r="J2317" s="316" t="str">
        <f t="array" ref="J2317">XLOOKUP(B2317,Roster!L:L,Roster!P:P,XLOOKUP(D2317,TicketsBreak!A:A,TicketsBreak!G:G,"",0),0)</f>
        <v>14:45 - 15:00</v>
      </c>
      <c r="K2317" s="310">
        <f t="shared" si="4"/>
        <v>46132</v>
      </c>
      <c r="L2317" s="317">
        <f t="array" ref="L2317">(XLOOKUP(D2317,Roster!F:F,Roster!D:D,"",0))</f>
        <v>35</v>
      </c>
      <c r="M2317" s="317" t="str">
        <f t="array" ref="M2317">XLOOKUP(D2317,Roster!F:F,Roster!E:E)</f>
        <v>Voice</v>
      </c>
      <c r="N2317" s="317" t="str">
        <f t="shared" ref="N2317:P2317" si="2349">LEFT(H2317,5)</f>
        <v>09:30</v>
      </c>
      <c r="O2317" s="317" t="str">
        <f t="shared" si="2349"/>
        <v>12:00</v>
      </c>
      <c r="P2317" s="317" t="str">
        <f t="shared" si="2349"/>
        <v>14:45</v>
      </c>
      <c r="Q2317" s="318">
        <f t="shared" si="2083"/>
        <v>46132.39583</v>
      </c>
      <c r="R2317" s="318">
        <f t="shared" si="2084"/>
        <v>46132.5</v>
      </c>
      <c r="S2317" s="318">
        <f t="shared" si="8"/>
        <v>46132.61458</v>
      </c>
    </row>
    <row r="2318">
      <c r="A2318" s="14" t="str">
        <f t="shared" si="1"/>
        <v>C157146132</v>
      </c>
      <c r="B2318" s="185">
        <f t="array" ref="B2318">IF(F2318="VL","",IF(F2318="Free","Free",XLOOKUP(D2318,Roster!T:T,Roster!S:S,"",0)))</f>
        <v>123</v>
      </c>
      <c r="C2318" s="313">
        <v>46132.0</v>
      </c>
      <c r="D2318" s="314" t="s">
        <v>55</v>
      </c>
      <c r="E2318" s="307" t="str">
        <f t="array" ref="E2318">(XLOOKUP(D2318,Roster!F:F,Roster!B:B,"",0))</f>
        <v>Laura Chamorro</v>
      </c>
      <c r="F2318" s="315" t="str">
        <f t="array" ref="F2318">IF(B2318=100,"Free",TEXT(XLOOKUP($D2318,OperationVoice!$A:$A,OperationVoice!Z:Z,XLOOKUP($D2318,OperationTickets!$A:$A,OperationTickets!Z:Z,"",0)),"hh:mm"))</f>
        <v>08:00</v>
      </c>
      <c r="G2318" s="309">
        <f t="shared" si="3"/>
        <v>0.7083333333</v>
      </c>
      <c r="H2318" s="316" t="str">
        <f t="array" ref="H2318">XLOOKUP(B2318,Roster!L:L,Roster!N:N,XLOOKUP(D2318,TicketsBreak!A:A,TicketsBreak!E:E,"",0),0)</f>
        <v>09:45 - 10:00 </v>
      </c>
      <c r="I2318" s="316" t="str">
        <f t="array" ref="I2318">XLOOKUP(B2318,Roster!L:L,Roster!O:O,XLOOKUP(D2318,TicketsBreak!A:A,TicketsBreak!F:F,"",0),0)</f>
        <v>12:30 - 13:00</v>
      </c>
      <c r="J2318" s="316" t="str">
        <f t="array" ref="J2318">XLOOKUP(B2318,Roster!L:L,Roster!P:P,XLOOKUP(D2318,TicketsBreak!A:A,TicketsBreak!G:G,"",0),0)</f>
        <v>15:00 - 15:15</v>
      </c>
      <c r="K2318" s="310">
        <f t="shared" si="4"/>
        <v>46132</v>
      </c>
      <c r="L2318" s="317">
        <f t="array" ref="L2318">(XLOOKUP(D2318,Roster!F:F,Roster!D:D,"",0))</f>
        <v>38</v>
      </c>
      <c r="M2318" s="317" t="str">
        <f t="array" ref="M2318">XLOOKUP(D2318,Roster!F:F,Roster!E:E)</f>
        <v>Voice</v>
      </c>
      <c r="N2318" s="317" t="str">
        <f t="shared" ref="N2318:P2318" si="2350">LEFT(H2318,5)</f>
        <v>09:45</v>
      </c>
      <c r="O2318" s="317" t="str">
        <f t="shared" si="2350"/>
        <v>12:30</v>
      </c>
      <c r="P2318" s="317" t="str">
        <f t="shared" si="2350"/>
        <v>15:00</v>
      </c>
      <c r="Q2318" s="318">
        <f t="shared" si="2083"/>
        <v>46132.40625</v>
      </c>
      <c r="R2318" s="318">
        <f t="shared" si="2084"/>
        <v>46132.52083</v>
      </c>
      <c r="S2318" s="318">
        <f t="shared" si="8"/>
        <v>46132.625</v>
      </c>
    </row>
    <row r="2319">
      <c r="A2319" s="14" t="str">
        <f t="shared" si="1"/>
        <v>C53446132</v>
      </c>
      <c r="B2319" s="185" t="str">
        <f t="array" ref="B2319">IF(F2319="VL","",IF(F2319="Free","Free",XLOOKUP(D2319,Roster!T:T,Roster!S:S,"",0)))</f>
        <v/>
      </c>
      <c r="C2319" s="313">
        <v>46132.0</v>
      </c>
      <c r="D2319" s="314" t="s">
        <v>177</v>
      </c>
      <c r="E2319" s="307" t="str">
        <f t="array" ref="E2319">(XLOOKUP(D2319,Roster!F:F,Roster!B:B,"",0))</f>
        <v>Leandry La Rosa</v>
      </c>
      <c r="F2319" s="315" t="str">
        <f t="array" ref="F2319">IF(B2319=100,"Free",TEXT(XLOOKUP($D2319,OperationVoice!$A:$A,OperationVoice!Z:Z,XLOOKUP($D2319,OperationTickets!$A:$A,OperationTickets!Z:Z,"",0)),"hh:mm"))</f>
        <v>08:00</v>
      </c>
      <c r="G2319" s="309">
        <f t="shared" si="3"/>
        <v>0.7083333333</v>
      </c>
      <c r="H2319" s="316">
        <f t="array" ref="H2319">XLOOKUP(B2319,Roster!L:L,Roster!N:N,XLOOKUP(D2319,TicketsBreak!A:A,TicketsBreak!E:E,"",0),0)</f>
        <v>0.40625</v>
      </c>
      <c r="I2319" s="316">
        <f t="array" ref="I2319">XLOOKUP(B2319,Roster!L:L,Roster!O:O,XLOOKUP(D2319,TicketsBreak!A:A,TicketsBreak!F:F,"",0),0)</f>
        <v>0.5416666667</v>
      </c>
      <c r="J2319" s="316">
        <f t="array" ref="J2319">XLOOKUP(B2319,Roster!L:L,Roster!P:P,XLOOKUP(D2319,TicketsBreak!A:A,TicketsBreak!G:G,"",0),0)</f>
        <v>0.65625</v>
      </c>
      <c r="K2319" s="310">
        <f t="shared" si="4"/>
        <v>46132</v>
      </c>
      <c r="L2319" s="317">
        <f t="array" ref="L2319">(XLOOKUP(D2319,Roster!F:F,Roster!D:D,"",0))</f>
        <v>1</v>
      </c>
      <c r="M2319" s="317" t="str">
        <f t="array" ref="M2319">XLOOKUP(D2319,Roster!F:F,Roster!E:E)</f>
        <v>Tickets</v>
      </c>
      <c r="N2319" s="317" t="str">
        <f t="shared" ref="N2319:P2319" si="2351">LEFT(H2319,5)</f>
        <v>09:45</v>
      </c>
      <c r="O2319" s="317" t="str">
        <f t="shared" si="2351"/>
        <v>13:00</v>
      </c>
      <c r="P2319" s="317" t="str">
        <f t="shared" si="2351"/>
        <v>15:45</v>
      </c>
      <c r="Q2319" s="318">
        <f t="shared" si="2083"/>
        <v>46132.40625</v>
      </c>
      <c r="R2319" s="318">
        <f t="shared" si="2084"/>
        <v>46132.54167</v>
      </c>
      <c r="S2319" s="318">
        <f t="shared" si="8"/>
        <v>46132.65625</v>
      </c>
    </row>
    <row r="2320">
      <c r="A2320" s="14" t="str">
        <f t="shared" si="1"/>
        <v>C157846132</v>
      </c>
      <c r="B2320" s="185">
        <f t="array" ref="B2320">IF(F2320="VL","",IF(F2320="Free","Free",XLOOKUP(D2320,Roster!T:T,Roster!S:S,"",0)))</f>
        <v>125</v>
      </c>
      <c r="C2320" s="313">
        <v>46132.0</v>
      </c>
      <c r="D2320" s="314" t="s">
        <v>56</v>
      </c>
      <c r="E2320" s="307" t="str">
        <f t="array" ref="E2320">(XLOOKUP(D2320,Roster!F:F,Roster!B:B,"",0))</f>
        <v>Leonerrichi Caicedo</v>
      </c>
      <c r="F2320" s="315" t="str">
        <f t="array" ref="F2320">IF(B2320=100,"Free",TEXT(XLOOKUP($D2320,OperationVoice!$A:$A,OperationVoice!Z:Z,XLOOKUP($D2320,OperationTickets!$A:$A,OperationTickets!Z:Z,"",0)),"hh:mm"))</f>
        <v>08:00</v>
      </c>
      <c r="G2320" s="309">
        <f t="shared" si="3"/>
        <v>0.7083333333</v>
      </c>
      <c r="H2320" s="316" t="str">
        <f t="array" ref="H2320">XLOOKUP(B2320,Roster!L:L,Roster!N:N,XLOOKUP(D2320,TicketsBreak!A:A,TicketsBreak!E:E,"",0),0)</f>
        <v>10:30 - 10:45</v>
      </c>
      <c r="I2320" s="316" t="str">
        <f t="array" ref="I2320">XLOOKUP(B2320,Roster!L:L,Roster!O:O,XLOOKUP(D2320,TicketsBreak!A:A,TicketsBreak!F:F,"",0),0)</f>
        <v>13:30 - 14:00</v>
      </c>
      <c r="J2320" s="316" t="str">
        <f t="array" ref="J2320">XLOOKUP(B2320,Roster!L:L,Roster!P:P,XLOOKUP(D2320,TicketsBreak!A:A,TicketsBreak!G:G,"",0),0)</f>
        <v>15:45 - 16:00</v>
      </c>
      <c r="K2320" s="310">
        <f t="shared" si="4"/>
        <v>46132</v>
      </c>
      <c r="L2320" s="317">
        <f t="array" ref="L2320">(XLOOKUP(D2320,Roster!F:F,Roster!D:D,"",0))</f>
        <v>38</v>
      </c>
      <c r="M2320" s="317" t="str">
        <f t="array" ref="M2320">XLOOKUP(D2320,Roster!F:F,Roster!E:E)</f>
        <v>Voice</v>
      </c>
      <c r="N2320" s="317" t="str">
        <f t="shared" ref="N2320:P2320" si="2352">LEFT(H2320,5)</f>
        <v>10:30</v>
      </c>
      <c r="O2320" s="317" t="str">
        <f t="shared" si="2352"/>
        <v>13:30</v>
      </c>
      <c r="P2320" s="317" t="str">
        <f t="shared" si="2352"/>
        <v>15:45</v>
      </c>
      <c r="Q2320" s="318">
        <f t="shared" si="2083"/>
        <v>46132.4375</v>
      </c>
      <c r="R2320" s="318">
        <f t="shared" si="2084"/>
        <v>46132.5625</v>
      </c>
      <c r="S2320" s="318">
        <f t="shared" si="8"/>
        <v>46132.65625</v>
      </c>
    </row>
    <row r="2321">
      <c r="A2321" s="14" t="str">
        <f t="shared" si="1"/>
        <v>C53546132</v>
      </c>
      <c r="B2321" s="185" t="str">
        <f t="array" ref="B2321">IF(F2321="VL","",IF(F2321="Free","Free",XLOOKUP(D2321,Roster!T:T,Roster!S:S,"",0)))</f>
        <v/>
      </c>
      <c r="C2321" s="313">
        <v>46132.0</v>
      </c>
      <c r="D2321" s="314" t="s">
        <v>145</v>
      </c>
      <c r="E2321" s="307" t="str">
        <f t="array" ref="E2321">(XLOOKUP(D2321,Roster!F:F,Roster!B:B,"",0))</f>
        <v>Lina Cadena</v>
      </c>
      <c r="F2321" s="315" t="str">
        <f t="array" ref="F2321">IF(B2321=100,"Free",TEXT(XLOOKUP($D2321,OperationVoice!$A:$A,OperationVoice!Z:Z,XLOOKUP($D2321,OperationTickets!$A:$A,OperationTickets!Z:Z,"",0)),"hh:mm"))</f>
        <v>08:00</v>
      </c>
      <c r="G2321" s="309">
        <f t="shared" si="3"/>
        <v>0.7083333333</v>
      </c>
      <c r="H2321" s="316">
        <f t="array" ref="H2321">XLOOKUP(B2321,Roster!L:L,Roster!N:N,XLOOKUP(D2321,TicketsBreak!A:A,TicketsBreak!E:E,"",0),0)</f>
        <v>0.3854166667</v>
      </c>
      <c r="I2321" s="316">
        <f t="array" ref="I2321">XLOOKUP(B2321,Roster!L:L,Roster!O:O,XLOOKUP(D2321,TicketsBreak!A:A,TicketsBreak!F:F,"",0),0)</f>
        <v>0.5833333333</v>
      </c>
      <c r="J2321" s="316">
        <f t="array" ref="J2321">XLOOKUP(B2321,Roster!L:L,Roster!P:P,XLOOKUP(D2321,TicketsBreak!A:A,TicketsBreak!G:G,"",0),0)</f>
        <v>0.6458333333</v>
      </c>
      <c r="K2321" s="310">
        <f t="shared" si="4"/>
        <v>46132</v>
      </c>
      <c r="L2321" s="317">
        <f t="array" ref="L2321">(XLOOKUP(D2321,Roster!F:F,Roster!D:D,"",0))</f>
        <v>2</v>
      </c>
      <c r="M2321" s="317" t="str">
        <f t="array" ref="M2321">XLOOKUP(D2321,Roster!F:F,Roster!E:E)</f>
        <v>Tickets</v>
      </c>
      <c r="N2321" s="317" t="str">
        <f t="shared" ref="N2321:P2321" si="2353">LEFT(H2321,5)</f>
        <v>09:15</v>
      </c>
      <c r="O2321" s="317" t="str">
        <f t="shared" si="2353"/>
        <v>14:00</v>
      </c>
      <c r="P2321" s="317" t="str">
        <f t="shared" si="2353"/>
        <v>15:30</v>
      </c>
      <c r="Q2321" s="318">
        <f t="shared" si="2083"/>
        <v>46132.38542</v>
      </c>
      <c r="R2321" s="318">
        <f t="shared" si="2084"/>
        <v>46132.58333</v>
      </c>
      <c r="S2321" s="318">
        <f t="shared" si="8"/>
        <v>46132.64583</v>
      </c>
    </row>
    <row r="2322">
      <c r="A2322" s="14" t="str">
        <f t="shared" si="1"/>
        <v>C151746132</v>
      </c>
      <c r="B2322" s="185">
        <f t="array" ref="B2322">IF(F2322="VL","",IF(F2322="Free","Free",XLOOKUP(D2322,Roster!T:T,Roster!S:S,"",0)))</f>
        <v>124</v>
      </c>
      <c r="C2322" s="313">
        <v>46132.0</v>
      </c>
      <c r="D2322" s="314" t="s">
        <v>57</v>
      </c>
      <c r="E2322" s="307" t="str">
        <f t="array" ref="E2322">(XLOOKUP(D2322,Roster!F:F,Roster!B:B,"",0))</f>
        <v>Lisandro Alvarado</v>
      </c>
      <c r="F2322" s="315" t="str">
        <f t="array" ref="F2322">IF(B2322=100,"Free",TEXT(XLOOKUP($D2322,OperationVoice!$A:$A,OperationVoice!Z:Z,XLOOKUP($D2322,OperationTickets!$A:$A,OperationTickets!Z:Z,"",0)),"hh:mm"))</f>
        <v>08:00</v>
      </c>
      <c r="G2322" s="309">
        <f t="shared" si="3"/>
        <v>0.7083333333</v>
      </c>
      <c r="H2322" s="316" t="str">
        <f t="array" ref="H2322">XLOOKUP(B2322,Roster!L:L,Roster!N:N,XLOOKUP(D2322,TicketsBreak!A:A,TicketsBreak!E:E,"",0),0)</f>
        <v>10:00 - 10:15</v>
      </c>
      <c r="I2322" s="316" t="str">
        <f t="array" ref="I2322">XLOOKUP(B2322,Roster!L:L,Roster!O:O,XLOOKUP(D2322,TicketsBreak!A:A,TicketsBreak!F:F,"",0),0)</f>
        <v>13:00 - 13:30</v>
      </c>
      <c r="J2322" s="316" t="str">
        <f t="array" ref="J2322">XLOOKUP(B2322,Roster!L:L,Roster!P:P,XLOOKUP(D2322,TicketsBreak!A:A,TicketsBreak!G:G,"",0),0)</f>
        <v>15:30 - 15:45</v>
      </c>
      <c r="K2322" s="310">
        <f t="shared" si="4"/>
        <v>46132</v>
      </c>
      <c r="L2322" s="317">
        <f t="array" ref="L2322">(XLOOKUP(D2322,Roster!F:F,Roster!D:D,"",0))</f>
        <v>35</v>
      </c>
      <c r="M2322" s="317" t="str">
        <f t="array" ref="M2322">XLOOKUP(D2322,Roster!F:F,Roster!E:E)</f>
        <v>Voice</v>
      </c>
      <c r="N2322" s="317" t="str">
        <f t="shared" ref="N2322:P2322" si="2354">LEFT(H2322,5)</f>
        <v>10:00</v>
      </c>
      <c r="O2322" s="317" t="str">
        <f t="shared" si="2354"/>
        <v>13:00</v>
      </c>
      <c r="P2322" s="317" t="str">
        <f t="shared" si="2354"/>
        <v>15:30</v>
      </c>
      <c r="Q2322" s="318">
        <f t="shared" si="2083"/>
        <v>46132.41667</v>
      </c>
      <c r="R2322" s="318">
        <f t="shared" si="2084"/>
        <v>46132.54167</v>
      </c>
      <c r="S2322" s="318">
        <f t="shared" si="8"/>
        <v>46132.64583</v>
      </c>
    </row>
    <row r="2323">
      <c r="A2323" s="14" t="str">
        <f t="shared" si="1"/>
        <v>C143346132</v>
      </c>
      <c r="B2323" s="185">
        <f t="array" ref="B2323">IF(F2323="VL","",IF(F2323="Free","Free",XLOOKUP(D2323,Roster!T:T,Roster!S:S,"",0)))</f>
        <v>500</v>
      </c>
      <c r="C2323" s="313">
        <v>46132.0</v>
      </c>
      <c r="D2323" s="314" t="s">
        <v>58</v>
      </c>
      <c r="E2323" s="307" t="str">
        <f t="array" ref="E2323">(XLOOKUP(D2323,Roster!F:F,Roster!B:B,"",0))</f>
        <v>Luis Lopez</v>
      </c>
      <c r="F2323" s="315" t="str">
        <f t="array" ref="F2323">IF(B2323=100,"Free",TEXT(XLOOKUP($D2323,OperationVoice!$A:$A,OperationVoice!Z:Z,XLOOKUP($D2323,OperationTickets!$A:$A,OperationTickets!Z:Z,"",0)),"hh:mm"))</f>
        <v>07:00</v>
      </c>
      <c r="G2323" s="309">
        <f t="shared" si="3"/>
        <v>0.6666666667</v>
      </c>
      <c r="H2323" s="316" t="str">
        <f t="array" ref="H2323">XLOOKUP(B2323,Roster!L:L,Roster!N:N,XLOOKUP(D2323,TicketsBreak!A:A,TicketsBreak!E:E,"",0),0)</f>
        <v>Team Leader</v>
      </c>
      <c r="I2323" s="316" t="str">
        <f t="array" ref="I2323">XLOOKUP(B2323,Roster!L:L,Roster!O:O,XLOOKUP(D2323,TicketsBreak!A:A,TicketsBreak!F:F,"",0),0)</f>
        <v>Team Leader</v>
      </c>
      <c r="J2323" s="316" t="str">
        <f t="array" ref="J2323">XLOOKUP(B2323,Roster!L:L,Roster!P:P,XLOOKUP(D2323,TicketsBreak!A:A,TicketsBreak!G:G,"",0),0)</f>
        <v/>
      </c>
      <c r="K2323" s="310">
        <f t="shared" si="4"/>
        <v>46132</v>
      </c>
      <c r="L2323" s="317">
        <f t="array" ref="L2323">(XLOOKUP(D2323,Roster!F:F,Roster!D:D,"",0))</f>
        <v>32</v>
      </c>
      <c r="M2323" s="317" t="str">
        <f t="array" ref="M2323">XLOOKUP(D2323,Roster!F:F,Roster!E:E)</f>
        <v>Voice</v>
      </c>
      <c r="N2323" s="317" t="str">
        <f t="shared" ref="N2323:P2323" si="2355">LEFT(H2323,5)</f>
        <v>Team </v>
      </c>
      <c r="O2323" s="317" t="str">
        <f t="shared" si="2355"/>
        <v>Team </v>
      </c>
      <c r="P2323" s="317" t="str">
        <f t="shared" si="2355"/>
        <v/>
      </c>
      <c r="Q2323" s="318" t="str">
        <f t="shared" si="2083"/>
        <v>#VALUE!</v>
      </c>
      <c r="R2323" s="318" t="str">
        <f t="shared" si="2084"/>
        <v>#VALUE!</v>
      </c>
      <c r="S2323" s="318" t="str">
        <f t="shared" si="8"/>
        <v/>
      </c>
    </row>
    <row r="2324">
      <c r="A2324" s="14" t="str">
        <f t="shared" si="1"/>
        <v>C153446132</v>
      </c>
      <c r="B2324" s="185">
        <f t="array" ref="B2324">IF(F2324="VL","",IF(F2324="Free","Free",XLOOKUP(D2324,Roster!T:T,Roster!S:S,"",0)))</f>
        <v>126</v>
      </c>
      <c r="C2324" s="313">
        <v>46132.0</v>
      </c>
      <c r="D2324" s="314" t="s">
        <v>59</v>
      </c>
      <c r="E2324" s="307" t="str">
        <f t="array" ref="E2324">(XLOOKUP(D2324,Roster!F:F,Roster!B:B,"",0))</f>
        <v>Luis Munoz</v>
      </c>
      <c r="F2324" s="315" t="str">
        <f t="array" ref="F2324">IF(B2324=100,"Free",TEXT(XLOOKUP($D2324,OperationVoice!$A:$A,OperationVoice!Z:Z,XLOOKUP($D2324,OperationTickets!$A:$A,OperationTickets!Z:Z,"",0)),"hh:mm"))</f>
        <v>08:00</v>
      </c>
      <c r="G2324" s="309">
        <f t="shared" si="3"/>
        <v>0.7083333333</v>
      </c>
      <c r="H2324" s="316" t="str">
        <f t="array" ref="H2324">XLOOKUP(B2324,Roster!L:L,Roster!N:N,XLOOKUP(D2324,TicketsBreak!A:A,TicketsBreak!E:E,"",0),0)</f>
        <v>10:45 - 11:00</v>
      </c>
      <c r="I2324" s="316" t="str">
        <f t="array" ref="I2324">XLOOKUP(B2324,Roster!L:L,Roster!O:O,XLOOKUP(D2324,TicketsBreak!A:A,TicketsBreak!F:F,"",0),0)</f>
        <v>14:00 - 14:30</v>
      </c>
      <c r="J2324" s="316" t="str">
        <f t="array" ref="J2324">XLOOKUP(B2324,Roster!L:L,Roster!P:P,XLOOKUP(D2324,TicketsBreak!A:A,TicketsBreak!G:G,"",0),0)</f>
        <v>15:45 - 16:00</v>
      </c>
      <c r="K2324" s="310">
        <f t="shared" si="4"/>
        <v>46132</v>
      </c>
      <c r="L2324" s="317">
        <f t="array" ref="L2324">(XLOOKUP(D2324,Roster!F:F,Roster!D:D,"",0))</f>
        <v>36</v>
      </c>
      <c r="M2324" s="317" t="str">
        <f t="array" ref="M2324">XLOOKUP(D2324,Roster!F:F,Roster!E:E)</f>
        <v>Voice</v>
      </c>
      <c r="N2324" s="317" t="str">
        <f t="shared" ref="N2324:P2324" si="2356">LEFT(H2324,5)</f>
        <v>10:45</v>
      </c>
      <c r="O2324" s="317" t="str">
        <f t="shared" si="2356"/>
        <v>14:00</v>
      </c>
      <c r="P2324" s="317" t="str">
        <f t="shared" si="2356"/>
        <v>15:45</v>
      </c>
      <c r="Q2324" s="318">
        <f t="shared" si="2083"/>
        <v>46132.44792</v>
      </c>
      <c r="R2324" s="318">
        <f t="shared" si="2084"/>
        <v>46132.58333</v>
      </c>
      <c r="S2324" s="318">
        <f t="shared" si="8"/>
        <v>46132.65625</v>
      </c>
    </row>
    <row r="2325">
      <c r="A2325" s="14" t="str">
        <f t="shared" si="1"/>
        <v>C53846132</v>
      </c>
      <c r="B2325" s="185" t="str">
        <f t="array" ref="B2325">IF(F2325="VL","",IF(F2325="Free","Free",XLOOKUP(D2325,Roster!T:T,Roster!S:S,"",0)))</f>
        <v/>
      </c>
      <c r="C2325" s="313">
        <v>46132.0</v>
      </c>
      <c r="D2325" s="314" t="s">
        <v>165</v>
      </c>
      <c r="E2325" s="307" t="str">
        <f t="array" ref="E2325">(XLOOKUP(D2325,Roster!F:F,Roster!B:B,"",0))</f>
        <v>Luisa Arenas</v>
      </c>
      <c r="F2325" s="315" t="str">
        <f t="array" ref="F2325">IF(B2325=100,"Free",TEXT(XLOOKUP($D2325,OperationVoice!$A:$A,OperationVoice!Z:Z,XLOOKUP($D2325,OperationTickets!$A:$A,OperationTickets!Z:Z,"",0)),"hh:mm"))</f>
        <v>08:00</v>
      </c>
      <c r="G2325" s="309">
        <f t="shared" si="3"/>
        <v>0.7083333333</v>
      </c>
      <c r="H2325" s="316" t="str">
        <f t="array" ref="H2325">XLOOKUP(B2325,Roster!L:L,Roster!N:N,XLOOKUP(D2325,TicketsBreak!A:A,TicketsBreak!E:E,"",0),0)</f>
        <v/>
      </c>
      <c r="I2325" s="316" t="str">
        <f t="array" ref="I2325">XLOOKUP(B2325,Roster!L:L,Roster!O:O,XLOOKUP(D2325,TicketsBreak!A:A,TicketsBreak!F:F,"",0),0)</f>
        <v/>
      </c>
      <c r="J2325" s="316" t="str">
        <f t="array" ref="J2325">XLOOKUP(B2325,Roster!L:L,Roster!P:P,XLOOKUP(D2325,TicketsBreak!A:A,TicketsBreak!G:G,"",0),0)</f>
        <v/>
      </c>
      <c r="K2325" s="310">
        <f t="shared" si="4"/>
        <v>46132</v>
      </c>
      <c r="L2325" s="317">
        <f t="array" ref="L2325">(XLOOKUP(D2325,Roster!F:F,Roster!D:D,"",0))</f>
        <v>35</v>
      </c>
      <c r="M2325" s="317" t="str">
        <f t="array" ref="M2325">XLOOKUP(D2325,Roster!F:F,Roster!E:E)</f>
        <v>Tickets</v>
      </c>
      <c r="N2325" s="317" t="str">
        <f t="shared" ref="N2325:P2325" si="2357">LEFT(H2325,5)</f>
        <v/>
      </c>
      <c r="O2325" s="317" t="str">
        <f t="shared" si="2357"/>
        <v/>
      </c>
      <c r="P2325" s="317" t="str">
        <f t="shared" si="2357"/>
        <v/>
      </c>
      <c r="Q2325" s="318" t="str">
        <f t="shared" si="2083"/>
        <v/>
      </c>
      <c r="R2325" s="318" t="str">
        <f t="shared" si="2084"/>
        <v/>
      </c>
      <c r="S2325" s="318" t="str">
        <f t="shared" si="8"/>
        <v/>
      </c>
    </row>
    <row r="2326">
      <c r="A2326" s="14" t="str">
        <f t="shared" si="1"/>
        <v>C113646132</v>
      </c>
      <c r="B2326" s="185">
        <f t="array" ref="B2326">IF(F2326="VL","",IF(F2326="Free","Free",XLOOKUP(D2326,Roster!T:T,Roster!S:S,"",0)))</f>
        <v>126</v>
      </c>
      <c r="C2326" s="313">
        <v>46132.0</v>
      </c>
      <c r="D2326" s="314" t="s">
        <v>60</v>
      </c>
      <c r="E2326" s="307" t="str">
        <f t="array" ref="E2326">(XLOOKUP(D2326,Roster!F:F,Roster!B:B,"",0))</f>
        <v>Luisa Gonzalez</v>
      </c>
      <c r="F2326" s="315" t="str">
        <f t="array" ref="F2326">IF(B2326=100,"Free",TEXT(XLOOKUP($D2326,OperationVoice!$A:$A,OperationVoice!Z:Z,XLOOKUP($D2326,OperationTickets!$A:$A,OperationTickets!Z:Z,"",0)),"hh:mm"))</f>
        <v>08:00</v>
      </c>
      <c r="G2326" s="309">
        <f t="shared" si="3"/>
        <v>0.7083333333</v>
      </c>
      <c r="H2326" s="316" t="str">
        <f t="array" ref="H2326">XLOOKUP(B2326,Roster!L:L,Roster!N:N,XLOOKUP(D2326,TicketsBreak!A:A,TicketsBreak!E:E,"",0),0)</f>
        <v>10:45 - 11:00</v>
      </c>
      <c r="I2326" s="316" t="str">
        <f t="array" ref="I2326">XLOOKUP(B2326,Roster!L:L,Roster!O:O,XLOOKUP(D2326,TicketsBreak!A:A,TicketsBreak!F:F,"",0),0)</f>
        <v>14:00 - 14:30</v>
      </c>
      <c r="J2326" s="316" t="str">
        <f t="array" ref="J2326">XLOOKUP(B2326,Roster!L:L,Roster!P:P,XLOOKUP(D2326,TicketsBreak!A:A,TicketsBreak!G:G,"",0),0)</f>
        <v>15:45 - 16:00</v>
      </c>
      <c r="K2326" s="310">
        <f t="shared" si="4"/>
        <v>46132</v>
      </c>
      <c r="L2326" s="317">
        <f t="array" ref="L2326">(XLOOKUP(D2326,Roster!F:F,Roster!D:D,"",0))</f>
        <v>22</v>
      </c>
      <c r="M2326" s="317" t="str">
        <f t="array" ref="M2326">XLOOKUP(D2326,Roster!F:F,Roster!E:E)</f>
        <v>Voice</v>
      </c>
      <c r="N2326" s="317" t="str">
        <f t="shared" ref="N2326:P2326" si="2358">LEFT(H2326,5)</f>
        <v>10:45</v>
      </c>
      <c r="O2326" s="317" t="str">
        <f t="shared" si="2358"/>
        <v>14:00</v>
      </c>
      <c r="P2326" s="317" t="str">
        <f t="shared" si="2358"/>
        <v>15:45</v>
      </c>
      <c r="Q2326" s="318">
        <f t="shared" si="2083"/>
        <v>46132.44792</v>
      </c>
      <c r="R2326" s="318">
        <f t="shared" si="2084"/>
        <v>46132.58333</v>
      </c>
      <c r="S2326" s="318">
        <f t="shared" si="8"/>
        <v>46132.65625</v>
      </c>
    </row>
    <row r="2327">
      <c r="A2327" s="14" t="str">
        <f t="shared" si="1"/>
        <v>C157746132</v>
      </c>
      <c r="B2327" s="185">
        <f t="array" ref="B2327">IF(F2327="VL","",IF(F2327="Free","Free",XLOOKUP(D2327,Roster!T:T,Roster!S:S,"",0)))</f>
        <v>126</v>
      </c>
      <c r="C2327" s="313">
        <v>46132.0</v>
      </c>
      <c r="D2327" s="314" t="s">
        <v>61</v>
      </c>
      <c r="E2327" s="307" t="str">
        <f t="array" ref="E2327">(XLOOKUP(D2327,Roster!F:F,Roster!B:B,"",0))</f>
        <v>Luna Morales</v>
      </c>
      <c r="F2327" s="315" t="str">
        <f t="array" ref="F2327">IF(B2327=100,"Free",TEXT(XLOOKUP($D2327,OperationVoice!$A:$A,OperationVoice!Z:Z,XLOOKUP($D2327,OperationTickets!$A:$A,OperationTickets!Z:Z,"",0)),"hh:mm"))</f>
        <v>08:00</v>
      </c>
      <c r="G2327" s="309">
        <f t="shared" si="3"/>
        <v>0.7083333333</v>
      </c>
      <c r="H2327" s="316" t="str">
        <f t="array" ref="H2327">XLOOKUP(B2327,Roster!L:L,Roster!N:N,XLOOKUP(D2327,TicketsBreak!A:A,TicketsBreak!E:E,"",0),0)</f>
        <v>10:45 - 11:00</v>
      </c>
      <c r="I2327" s="316" t="str">
        <f t="array" ref="I2327">XLOOKUP(B2327,Roster!L:L,Roster!O:O,XLOOKUP(D2327,TicketsBreak!A:A,TicketsBreak!F:F,"",0),0)</f>
        <v>14:00 - 14:30</v>
      </c>
      <c r="J2327" s="316" t="str">
        <f t="array" ref="J2327">XLOOKUP(B2327,Roster!L:L,Roster!P:P,XLOOKUP(D2327,TicketsBreak!A:A,TicketsBreak!G:G,"",0),0)</f>
        <v>15:45 - 16:00</v>
      </c>
      <c r="K2327" s="310">
        <f t="shared" si="4"/>
        <v>46132</v>
      </c>
      <c r="L2327" s="317">
        <f t="array" ref="L2327">(XLOOKUP(D2327,Roster!F:F,Roster!D:D,"",0))</f>
        <v>38</v>
      </c>
      <c r="M2327" s="317" t="str">
        <f t="array" ref="M2327">XLOOKUP(D2327,Roster!F:F,Roster!E:E)</f>
        <v>Voice</v>
      </c>
      <c r="N2327" s="317" t="str">
        <f t="shared" ref="N2327:P2327" si="2359">LEFT(H2327,5)</f>
        <v>10:45</v>
      </c>
      <c r="O2327" s="317" t="str">
        <f t="shared" si="2359"/>
        <v>14:00</v>
      </c>
      <c r="P2327" s="317" t="str">
        <f t="shared" si="2359"/>
        <v>15:45</v>
      </c>
      <c r="Q2327" s="318">
        <f t="shared" si="2083"/>
        <v>46132.44792</v>
      </c>
      <c r="R2327" s="318">
        <f t="shared" si="2084"/>
        <v>46132.58333</v>
      </c>
      <c r="S2327" s="318">
        <f t="shared" si="8"/>
        <v>46132.65625</v>
      </c>
    </row>
    <row r="2328">
      <c r="A2328" s="14" t="str">
        <f t="shared" si="1"/>
        <v>C121946132</v>
      </c>
      <c r="B2328" s="185" t="str">
        <f t="array" ref="B2328">IF(F2328="VL","",IF(F2328="Free","Free",XLOOKUP(D2328,Roster!T:T,Roster!S:S,"",0)))</f>
        <v/>
      </c>
      <c r="C2328" s="313">
        <v>46132.0</v>
      </c>
      <c r="D2328" s="314" t="s">
        <v>146</v>
      </c>
      <c r="E2328" s="307" t="str">
        <f t="array" ref="E2328">(XLOOKUP(D2328,Roster!F:F,Roster!B:B,"",0))</f>
        <v>Madelyn Jaramillo</v>
      </c>
      <c r="F2328" s="315" t="str">
        <f t="array" ref="F2328">IF(B2328=100,"Free",TEXT(XLOOKUP($D2328,OperationVoice!$A:$A,OperationVoice!Z:Z,XLOOKUP($D2328,OperationTickets!$A:$A,OperationTickets!Z:Z,"",0)),"hh:mm"))</f>
        <v>08:00</v>
      </c>
      <c r="G2328" s="309">
        <f t="shared" si="3"/>
        <v>0.7083333333</v>
      </c>
      <c r="H2328" s="316" t="str">
        <f t="array" ref="H2328">XLOOKUP(B2328,Roster!L:L,Roster!N:N,XLOOKUP(D2328,TicketsBreak!A:A,TicketsBreak!E:E,"",0),0)</f>
        <v/>
      </c>
      <c r="I2328" s="316" t="str">
        <f t="array" ref="I2328">XLOOKUP(B2328,Roster!L:L,Roster!O:O,XLOOKUP(D2328,TicketsBreak!A:A,TicketsBreak!F:F,"",0),0)</f>
        <v/>
      </c>
      <c r="J2328" s="316" t="str">
        <f t="array" ref="J2328">XLOOKUP(B2328,Roster!L:L,Roster!P:P,XLOOKUP(D2328,TicketsBreak!A:A,TicketsBreak!G:G,"",0),0)</f>
        <v/>
      </c>
      <c r="K2328" s="310">
        <f t="shared" si="4"/>
        <v>46132</v>
      </c>
      <c r="L2328" s="317">
        <f t="array" ref="L2328">(XLOOKUP(D2328,Roster!F:F,Roster!D:D,"",0))</f>
        <v>26</v>
      </c>
      <c r="M2328" s="317" t="str">
        <f t="array" ref="M2328">XLOOKUP(D2328,Roster!F:F,Roster!E:E)</f>
        <v>Tickets</v>
      </c>
      <c r="N2328" s="317" t="str">
        <f t="shared" ref="N2328:P2328" si="2360">LEFT(H2328,5)</f>
        <v/>
      </c>
      <c r="O2328" s="317" t="str">
        <f t="shared" si="2360"/>
        <v/>
      </c>
      <c r="P2328" s="317" t="str">
        <f t="shared" si="2360"/>
        <v/>
      </c>
      <c r="Q2328" s="318" t="str">
        <f t="shared" si="2083"/>
        <v/>
      </c>
      <c r="R2328" s="318" t="str">
        <f t="shared" si="2084"/>
        <v/>
      </c>
      <c r="S2328" s="318" t="str">
        <f t="shared" si="8"/>
        <v/>
      </c>
    </row>
    <row r="2329">
      <c r="A2329" s="14" t="str">
        <f t="shared" si="1"/>
        <v>C151646132</v>
      </c>
      <c r="B2329" s="185">
        <f t="array" ref="B2329">IF(F2329="VL","",IF(F2329="Free","Free",XLOOKUP(D2329,Roster!T:T,Roster!S:S,"",0)))</f>
        <v>122</v>
      </c>
      <c r="C2329" s="313">
        <v>46132.0</v>
      </c>
      <c r="D2329" s="314" t="s">
        <v>62</v>
      </c>
      <c r="E2329" s="307" t="str">
        <f t="array" ref="E2329">(XLOOKUP(D2329,Roster!F:F,Roster!B:B,"",0))</f>
        <v>Magda Foronda</v>
      </c>
      <c r="F2329" s="315" t="str">
        <f t="array" ref="F2329">IF(B2329=100,"Free",TEXT(XLOOKUP($D2329,OperationVoice!$A:$A,OperationVoice!Z:Z,XLOOKUP($D2329,OperationTickets!$A:$A,OperationTickets!Z:Z,"",0)),"hh:mm"))</f>
        <v>08:00</v>
      </c>
      <c r="G2329" s="309">
        <f t="shared" si="3"/>
        <v>0.7083333333</v>
      </c>
      <c r="H2329" s="316" t="str">
        <f t="array" ref="H2329">XLOOKUP(B2329,Roster!L:L,Roster!N:N,XLOOKUP(D2329,TicketsBreak!A:A,TicketsBreak!E:E,"",0),0)</f>
        <v>09:30 - 09:45</v>
      </c>
      <c r="I2329" s="316" t="str">
        <f t="array" ref="I2329">XLOOKUP(B2329,Roster!L:L,Roster!O:O,XLOOKUP(D2329,TicketsBreak!A:A,TicketsBreak!F:F,"",0),0)</f>
        <v>12:00 - 12:30</v>
      </c>
      <c r="J2329" s="316" t="str">
        <f t="array" ref="J2329">XLOOKUP(B2329,Roster!L:L,Roster!P:P,XLOOKUP(D2329,TicketsBreak!A:A,TicketsBreak!G:G,"",0),0)</f>
        <v>14:45 - 15:00</v>
      </c>
      <c r="K2329" s="310">
        <f t="shared" si="4"/>
        <v>46132</v>
      </c>
      <c r="L2329" s="317">
        <f t="array" ref="L2329">(XLOOKUP(D2329,Roster!F:F,Roster!D:D,"",0))</f>
        <v>35</v>
      </c>
      <c r="M2329" s="317" t="str">
        <f t="array" ref="M2329">XLOOKUP(D2329,Roster!F:F,Roster!E:E)</f>
        <v>Voice</v>
      </c>
      <c r="N2329" s="317" t="str">
        <f t="shared" ref="N2329:P2329" si="2361">LEFT(H2329,5)</f>
        <v>09:30</v>
      </c>
      <c r="O2329" s="317" t="str">
        <f t="shared" si="2361"/>
        <v>12:00</v>
      </c>
      <c r="P2329" s="317" t="str">
        <f t="shared" si="2361"/>
        <v>14:45</v>
      </c>
      <c r="Q2329" s="318">
        <f t="shared" si="2083"/>
        <v>46132.39583</v>
      </c>
      <c r="R2329" s="318">
        <f t="shared" si="2084"/>
        <v>46132.5</v>
      </c>
      <c r="S2329" s="318">
        <f t="shared" si="8"/>
        <v>46132.61458</v>
      </c>
    </row>
    <row r="2330">
      <c r="A2330" s="14" t="str">
        <f t="shared" si="1"/>
        <v>C118046132</v>
      </c>
      <c r="B2330" s="185">
        <f t="array" ref="B2330">IF(F2330="VL","",IF(F2330="Free","Free",XLOOKUP(D2330,Roster!T:T,Roster!S:S,"",0)))</f>
        <v>500</v>
      </c>
      <c r="C2330" s="313">
        <v>46132.0</v>
      </c>
      <c r="D2330" s="314" t="s">
        <v>147</v>
      </c>
      <c r="E2330" s="307" t="str">
        <f t="array" ref="E2330">(XLOOKUP(D2330,Roster!F:F,Roster!B:B,"",0))</f>
        <v>Manuela Moreno</v>
      </c>
      <c r="F2330" s="315" t="str">
        <f t="array" ref="F2330">IF(B2330=100,"Free",TEXT(XLOOKUP($D2330,OperationVoice!$A:$A,OperationVoice!Z:Z,XLOOKUP($D2330,OperationTickets!$A:$A,OperationTickets!Z:Z,"",0)),"hh:mm"))</f>
        <v>09:00</v>
      </c>
      <c r="G2330" s="309">
        <f t="shared" si="3"/>
        <v>0.75</v>
      </c>
      <c r="H2330" s="316" t="str">
        <f t="array" ref="H2330">XLOOKUP(B2330,Roster!L:L,Roster!N:N,XLOOKUP(D2330,TicketsBreak!A:A,TicketsBreak!E:E,"",0),0)</f>
        <v>Team Leader</v>
      </c>
      <c r="I2330" s="316" t="str">
        <f t="array" ref="I2330">XLOOKUP(B2330,Roster!L:L,Roster!O:O,XLOOKUP(D2330,TicketsBreak!A:A,TicketsBreak!F:F,"",0),0)</f>
        <v>Team Leader</v>
      </c>
      <c r="J2330" s="316" t="str">
        <f t="array" ref="J2330">XLOOKUP(B2330,Roster!L:L,Roster!P:P,XLOOKUP(D2330,TicketsBreak!A:A,TicketsBreak!G:G,"",0),0)</f>
        <v/>
      </c>
      <c r="K2330" s="310">
        <f t="shared" si="4"/>
        <v>46132</v>
      </c>
      <c r="L2330" s="317">
        <f t="array" ref="L2330">(XLOOKUP(D2330,Roster!F:F,Roster!D:D,"",0))</f>
        <v>24</v>
      </c>
      <c r="M2330" s="317" t="str">
        <f t="array" ref="M2330">XLOOKUP(D2330,Roster!F:F,Roster!E:E)</f>
        <v>Tickets</v>
      </c>
      <c r="N2330" s="317" t="str">
        <f t="shared" ref="N2330:P2330" si="2362">LEFT(H2330,5)</f>
        <v>Team </v>
      </c>
      <c r="O2330" s="317" t="str">
        <f t="shared" si="2362"/>
        <v>Team </v>
      </c>
      <c r="P2330" s="317" t="str">
        <f t="shared" si="2362"/>
        <v/>
      </c>
      <c r="Q2330" s="318" t="str">
        <f>IF(P2330="","",$C2330+N2330)</f>
        <v/>
      </c>
      <c r="R2330" s="318" t="str">
        <f>if(P2330="","",$C2330+O2330)</f>
        <v/>
      </c>
      <c r="S2330" s="318" t="str">
        <f t="shared" si="8"/>
        <v/>
      </c>
    </row>
    <row r="2331">
      <c r="A2331" s="14" t="str">
        <f t="shared" si="1"/>
        <v>C153646132</v>
      </c>
      <c r="B2331" s="185">
        <f t="array" ref="B2331">IF(F2331="VL","",IF(F2331="Free","Free",XLOOKUP(D2331,Roster!T:T,Roster!S:S,"",0)))</f>
        <v>121</v>
      </c>
      <c r="C2331" s="313">
        <v>46132.0</v>
      </c>
      <c r="D2331" s="314" t="s">
        <v>63</v>
      </c>
      <c r="E2331" s="307" t="str">
        <f t="array" ref="E2331">(XLOOKUP(D2331,Roster!F:F,Roster!B:B,"",0))</f>
        <v>Maria Mesa</v>
      </c>
      <c r="F2331" s="315" t="str">
        <f t="array" ref="F2331">IF(B2331=100,"Free",TEXT(XLOOKUP($D2331,OperationVoice!$A:$A,OperationVoice!Z:Z,XLOOKUP($D2331,OperationTickets!$A:$A,OperationTickets!Z:Z,"",0)),"hh:mm"))</f>
        <v>08:00</v>
      </c>
      <c r="G2331" s="309">
        <f t="shared" si="3"/>
        <v>0.7083333333</v>
      </c>
      <c r="H2331" s="316" t="str">
        <f t="array" ref="H2331">XLOOKUP(B2331,Roster!L:L,Roster!N:N,XLOOKUP(D2331,TicketsBreak!A:A,TicketsBreak!E:E,"",0),0)</f>
        <v>09:15 - 09:30</v>
      </c>
      <c r="I2331" s="316" t="str">
        <f t="array" ref="I2331">XLOOKUP(B2331,Roster!L:L,Roster!O:O,XLOOKUP(D2331,TicketsBreak!A:A,TicketsBreak!F:F,"",0),0)</f>
        <v>11:30 - 12:00</v>
      </c>
      <c r="J2331" s="316" t="str">
        <f t="array" ref="J2331">XLOOKUP(B2331,Roster!L:L,Roster!P:P,XLOOKUP(D2331,TicketsBreak!A:A,TicketsBreak!G:G,"",0),0)</f>
        <v>14:30 - 14:45</v>
      </c>
      <c r="K2331" s="310">
        <f t="shared" si="4"/>
        <v>46132</v>
      </c>
      <c r="L2331" s="317">
        <f t="array" ref="L2331">(XLOOKUP(D2331,Roster!F:F,Roster!D:D,"",0))</f>
        <v>36</v>
      </c>
      <c r="M2331" s="317" t="str">
        <f t="array" ref="M2331">XLOOKUP(D2331,Roster!F:F,Roster!E:E)</f>
        <v>Voice</v>
      </c>
      <c r="N2331" s="317" t="str">
        <f t="shared" ref="N2331:P2331" si="2363">LEFT(H2331,5)</f>
        <v>09:15</v>
      </c>
      <c r="O2331" s="317" t="str">
        <f t="shared" si="2363"/>
        <v>11:30</v>
      </c>
      <c r="P2331" s="317" t="str">
        <f t="shared" si="2363"/>
        <v>14:30</v>
      </c>
      <c r="Q2331" s="318">
        <f t="shared" ref="Q2331:Q2469" si="2365">IF(N2331="","",$C2331+N2331)</f>
        <v>46132.38542</v>
      </c>
      <c r="R2331" s="318">
        <f t="shared" ref="R2331:R2469" si="2366">if(O2331="","",$C2331+O2331)</f>
        <v>46132.47917</v>
      </c>
      <c r="S2331" s="318">
        <f t="shared" si="8"/>
        <v>46132.60417</v>
      </c>
    </row>
    <row r="2332">
      <c r="A2332" s="14" t="str">
        <f t="shared" si="1"/>
        <v>C74046132</v>
      </c>
      <c r="B2332" s="185" t="str">
        <f t="array" ref="B2332">IF(F2332="VL","",IF(F2332="Free","Free",XLOOKUP(D2332,Roster!T:T,Roster!S:S,"",0)))</f>
        <v/>
      </c>
      <c r="C2332" s="313">
        <v>46132.0</v>
      </c>
      <c r="D2332" s="314" t="s">
        <v>166</v>
      </c>
      <c r="E2332" s="307" t="str">
        <f t="array" ref="E2332">(XLOOKUP(D2332,Roster!F:F,Roster!B:B,"",0))</f>
        <v>Mateo Agudelo</v>
      </c>
      <c r="F2332" s="315" t="str">
        <f t="array" ref="F2332">IF(B2332=100,"Free",TEXT(XLOOKUP($D2332,OperationVoice!$A:$A,OperationVoice!Z:Z,XLOOKUP($D2332,OperationTickets!$A:$A,OperationTickets!Z:Z,"",0)),"hh:mm"))</f>
        <v>08:00</v>
      </c>
      <c r="G2332" s="309">
        <f t="shared" si="3"/>
        <v>0.7083333333</v>
      </c>
      <c r="H2332" s="316">
        <f t="array" ref="H2332">XLOOKUP(B2332,Roster!L:L,Roster!N:N,XLOOKUP(D2332,TicketsBreak!A:A,TicketsBreak!E:E,"",0),0)</f>
        <v>0.4166666667</v>
      </c>
      <c r="I2332" s="316">
        <f t="array" ref="I2332">XLOOKUP(B2332,Roster!L:L,Roster!O:O,XLOOKUP(D2332,TicketsBreak!A:A,TicketsBreak!F:F,"",0),0)</f>
        <v>0.5</v>
      </c>
      <c r="J2332" s="316">
        <f t="array" ref="J2332">XLOOKUP(B2332,Roster!L:L,Roster!P:P,XLOOKUP(D2332,TicketsBreak!A:A,TicketsBreak!G:G,"",0),0)</f>
        <v>0.65625</v>
      </c>
      <c r="K2332" s="310">
        <f t="shared" si="4"/>
        <v>46132</v>
      </c>
      <c r="L2332" s="317">
        <f t="array" ref="L2332">(XLOOKUP(D2332,Roster!F:F,Roster!D:D,"",0))</f>
        <v>8</v>
      </c>
      <c r="M2332" s="317" t="str">
        <f t="array" ref="M2332">XLOOKUP(D2332,Roster!F:F,Roster!E:E)</f>
        <v>Tickets</v>
      </c>
      <c r="N2332" s="317" t="str">
        <f t="shared" ref="N2332:P2332" si="2364">LEFT(H2332,5)</f>
        <v>10:00</v>
      </c>
      <c r="O2332" s="317" t="str">
        <f t="shared" si="2364"/>
        <v>12:00</v>
      </c>
      <c r="P2332" s="317" t="str">
        <f t="shared" si="2364"/>
        <v>15:45</v>
      </c>
      <c r="Q2332" s="318">
        <f t="shared" si="2365"/>
        <v>46132.41667</v>
      </c>
      <c r="R2332" s="318">
        <f t="shared" si="2366"/>
        <v>46132.5</v>
      </c>
      <c r="S2332" s="318">
        <f t="shared" si="8"/>
        <v>46132.65625</v>
      </c>
    </row>
    <row r="2333">
      <c r="A2333" s="14" t="str">
        <f t="shared" si="1"/>
        <v>C142946132</v>
      </c>
      <c r="B2333" s="185">
        <f t="array" ref="B2333">IF(F2333="VL","",IF(F2333="Free","Free",XLOOKUP(D2333,Roster!T:T,Roster!S:S,"",0)))</f>
        <v>121</v>
      </c>
      <c r="C2333" s="313">
        <v>46132.0</v>
      </c>
      <c r="D2333" s="314" t="s">
        <v>178</v>
      </c>
      <c r="E2333" s="307" t="str">
        <f t="array" ref="E2333">(XLOOKUP(D2333,Roster!F:F,Roster!B:B,"",0))</f>
        <v>Mateo Vanegas</v>
      </c>
      <c r="F2333" s="315" t="str">
        <f t="array" ref="F2333">IF(B2333=100,"Free",TEXT(XLOOKUP($D2333,OperationVoice!$A:$A,OperationVoice!Z:Z,XLOOKUP($D2333,OperationTickets!$A:$A,OperationTickets!Z:Z,"",0)),"hh:mm"))</f>
        <v>08:00</v>
      </c>
      <c r="G2333" s="309">
        <f t="shared" si="3"/>
        <v>0.7083333333</v>
      </c>
      <c r="H2333" s="316" t="str">
        <f t="array" ref="H2333">XLOOKUP(B2333,Roster!L:L,Roster!N:N,XLOOKUP(D2333,TicketsBreak!A:A,TicketsBreak!E:E,"",0),0)</f>
        <v>09:15 - 09:30</v>
      </c>
      <c r="I2333" s="316" t="str">
        <f t="array" ref="I2333">XLOOKUP(B2333,Roster!L:L,Roster!O:O,XLOOKUP(D2333,TicketsBreak!A:A,TicketsBreak!F:F,"",0),0)</f>
        <v>11:30 - 12:00</v>
      </c>
      <c r="J2333" s="316" t="str">
        <f t="array" ref="J2333">XLOOKUP(B2333,Roster!L:L,Roster!P:P,XLOOKUP(D2333,TicketsBreak!A:A,TicketsBreak!G:G,"",0),0)</f>
        <v>14:30 - 14:45</v>
      </c>
      <c r="K2333" s="310">
        <f t="shared" si="4"/>
        <v>46132</v>
      </c>
      <c r="L2333" s="317">
        <f t="array" ref="L2333">(XLOOKUP(D2333,Roster!F:F,Roster!D:D,"",0))</f>
        <v>32</v>
      </c>
      <c r="M2333" s="317" t="str">
        <f t="array" ref="M2333">XLOOKUP(D2333,Roster!F:F,Roster!E:E)</f>
        <v>Tickets</v>
      </c>
      <c r="N2333" s="317" t="str">
        <f t="shared" ref="N2333:P2333" si="2367">LEFT(H2333,5)</f>
        <v>09:15</v>
      </c>
      <c r="O2333" s="317" t="str">
        <f t="shared" si="2367"/>
        <v>11:30</v>
      </c>
      <c r="P2333" s="317" t="str">
        <f t="shared" si="2367"/>
        <v>14:30</v>
      </c>
      <c r="Q2333" s="318">
        <f t="shared" si="2365"/>
        <v>46132.38542</v>
      </c>
      <c r="R2333" s="318">
        <f t="shared" si="2366"/>
        <v>46132.47917</v>
      </c>
      <c r="S2333" s="318">
        <f t="shared" si="8"/>
        <v>46132.60417</v>
      </c>
    </row>
    <row r="2334">
      <c r="A2334" s="14" t="str">
        <f t="shared" si="1"/>
        <v>C146846132</v>
      </c>
      <c r="B2334" s="185">
        <f t="array" ref="B2334">IF(F2334="VL","",IF(F2334="Free","Free",XLOOKUP(D2334,Roster!T:T,Roster!S:S,"",0)))</f>
        <v>122</v>
      </c>
      <c r="C2334" s="313">
        <v>46132.0</v>
      </c>
      <c r="D2334" s="314" t="s">
        <v>64</v>
      </c>
      <c r="E2334" s="307" t="str">
        <f t="array" ref="E2334">(XLOOKUP(D2334,Roster!F:F,Roster!B:B,"",0))</f>
        <v>Miguel Betancur</v>
      </c>
      <c r="F2334" s="315" t="str">
        <f t="array" ref="F2334">IF(B2334=100,"Free",TEXT(XLOOKUP($D2334,OperationVoice!$A:$A,OperationVoice!Z:Z,XLOOKUP($D2334,OperationTickets!$A:$A,OperationTickets!Z:Z,"",0)),"hh:mm"))</f>
        <v>08:00</v>
      </c>
      <c r="G2334" s="309">
        <f t="shared" si="3"/>
        <v>0.7083333333</v>
      </c>
      <c r="H2334" s="316" t="str">
        <f t="array" ref="H2334">XLOOKUP(B2334,Roster!L:L,Roster!N:N,XLOOKUP(D2334,TicketsBreak!A:A,TicketsBreak!E:E,"",0),0)</f>
        <v>09:30 - 09:45</v>
      </c>
      <c r="I2334" s="316" t="str">
        <f t="array" ref="I2334">XLOOKUP(B2334,Roster!L:L,Roster!O:O,XLOOKUP(D2334,TicketsBreak!A:A,TicketsBreak!F:F,"",0),0)</f>
        <v>12:00 - 12:30</v>
      </c>
      <c r="J2334" s="316" t="str">
        <f t="array" ref="J2334">XLOOKUP(B2334,Roster!L:L,Roster!P:P,XLOOKUP(D2334,TicketsBreak!A:A,TicketsBreak!G:G,"",0),0)</f>
        <v>14:45 - 15:00</v>
      </c>
      <c r="K2334" s="310">
        <f t="shared" si="4"/>
        <v>46132</v>
      </c>
      <c r="L2334" s="317">
        <f t="array" ref="L2334">(XLOOKUP(D2334,Roster!F:F,Roster!D:D,"",0))</f>
        <v>33</v>
      </c>
      <c r="M2334" s="317" t="str">
        <f t="array" ref="M2334">XLOOKUP(D2334,Roster!F:F,Roster!E:E)</f>
        <v>Voice</v>
      </c>
      <c r="N2334" s="317" t="str">
        <f t="shared" ref="N2334:P2334" si="2368">LEFT(H2334,5)</f>
        <v>09:30</v>
      </c>
      <c r="O2334" s="317" t="str">
        <f t="shared" si="2368"/>
        <v>12:00</v>
      </c>
      <c r="P2334" s="317" t="str">
        <f t="shared" si="2368"/>
        <v>14:45</v>
      </c>
      <c r="Q2334" s="318">
        <f t="shared" si="2365"/>
        <v>46132.39583</v>
      </c>
      <c r="R2334" s="318">
        <f t="shared" si="2366"/>
        <v>46132.5</v>
      </c>
      <c r="S2334" s="318">
        <f t="shared" si="8"/>
        <v>46132.61458</v>
      </c>
    </row>
    <row r="2335">
      <c r="A2335" s="14" t="str">
        <f t="shared" si="1"/>
        <v>C106546132</v>
      </c>
      <c r="B2335" s="185" t="str">
        <f t="array" ref="B2335">IF(F2335="VL","",IF(F2335="Free","Free",XLOOKUP(D2335,Roster!T:T,Roster!S:S,"",0)))</f>
        <v/>
      </c>
      <c r="C2335" s="313">
        <v>46132.0</v>
      </c>
      <c r="D2335" s="314" t="s">
        <v>148</v>
      </c>
      <c r="E2335" s="307" t="str">
        <f t="array" ref="E2335">(XLOOKUP(D2335,Roster!F:F,Roster!B:B,"",0))</f>
        <v>Miguel Hoyos</v>
      </c>
      <c r="F2335" s="315" t="str">
        <f t="array" ref="F2335">IF(B2335=100,"Free",TEXT(XLOOKUP($D2335,OperationVoice!$A:$A,OperationVoice!Z:Z,XLOOKUP($D2335,OperationTickets!$A:$A,OperationTickets!Z:Z,"",0)),"hh:mm"))</f>
        <v>07:00</v>
      </c>
      <c r="G2335" s="309">
        <f t="shared" si="3"/>
        <v>0.6666666667</v>
      </c>
      <c r="H2335" s="316">
        <f t="array" ref="H2335">XLOOKUP(B2335,Roster!L:L,Roster!N:N,XLOOKUP(D2335,TicketsBreak!A:A,TicketsBreak!E:E,"",0),0)</f>
        <v>0.4583333333</v>
      </c>
      <c r="I2335" s="316">
        <f t="array" ref="I2335">XLOOKUP(B2335,Roster!L:L,Roster!O:O,XLOOKUP(D2335,TicketsBreak!A:A,TicketsBreak!F:F,"",0),0)</f>
        <v>0.5625</v>
      </c>
      <c r="J2335" s="316">
        <f t="array" ref="J2335">XLOOKUP(B2335,Roster!L:L,Roster!P:P,XLOOKUP(D2335,TicketsBreak!A:A,TicketsBreak!G:G,"",0),0)</f>
        <v>0.65625</v>
      </c>
      <c r="K2335" s="310">
        <f t="shared" si="4"/>
        <v>46132</v>
      </c>
      <c r="L2335" s="317">
        <f t="array" ref="L2335">(XLOOKUP(D2335,Roster!F:F,Roster!D:D,"",0))</f>
        <v>17</v>
      </c>
      <c r="M2335" s="317" t="str">
        <f t="array" ref="M2335">XLOOKUP(D2335,Roster!F:F,Roster!E:E)</f>
        <v>Tickets</v>
      </c>
      <c r="N2335" s="317" t="str">
        <f t="shared" ref="N2335:P2335" si="2369">LEFT(H2335,5)</f>
        <v>11:00</v>
      </c>
      <c r="O2335" s="317" t="str">
        <f t="shared" si="2369"/>
        <v>13:30</v>
      </c>
      <c r="P2335" s="317" t="str">
        <f t="shared" si="2369"/>
        <v>15:45</v>
      </c>
      <c r="Q2335" s="318">
        <f t="shared" si="2365"/>
        <v>46132.45833</v>
      </c>
      <c r="R2335" s="318">
        <f t="shared" si="2366"/>
        <v>46132.5625</v>
      </c>
      <c r="S2335" s="318">
        <f t="shared" si="8"/>
        <v>46132.65625</v>
      </c>
    </row>
    <row r="2336">
      <c r="A2336" s="14" t="str">
        <f t="shared" si="1"/>
        <v>C111446132</v>
      </c>
      <c r="B2336" s="185">
        <f t="array" ref="B2336">IF(F2336="VL","",IF(F2336="Free","Free",XLOOKUP(D2336,Roster!T:T,Roster!S:S,"",0)))</f>
        <v>113</v>
      </c>
      <c r="C2336" s="313">
        <v>46132.0</v>
      </c>
      <c r="D2336" s="314" t="s">
        <v>65</v>
      </c>
      <c r="E2336" s="307" t="str">
        <f t="array" ref="E2336">(XLOOKUP(D2336,Roster!F:F,Roster!B:B,"",0))</f>
        <v>Mikel Bowie</v>
      </c>
      <c r="F2336" s="315" t="str">
        <f t="array" ref="F2336">IF(B2336=100,"Free",TEXT(XLOOKUP($D2336,OperationVoice!$A:$A,OperationVoice!Z:Z,XLOOKUP($D2336,OperationTickets!$A:$A,OperationTickets!Z:Z,"",0)),"hh:mm"))</f>
        <v>08:00</v>
      </c>
      <c r="G2336" s="309">
        <f t="shared" si="3"/>
        <v>0.7083333333</v>
      </c>
      <c r="H2336" s="316" t="str">
        <f t="array" ref="H2336">XLOOKUP(B2336,Roster!L:L,Roster!N:N,XLOOKUP(D2336,TicketsBreak!A:A,TicketsBreak!E:E,"",0),0)</f>
        <v>09:45 - 10:00</v>
      </c>
      <c r="I2336" s="316" t="str">
        <f t="array" ref="I2336">XLOOKUP(B2336,Roster!L:L,Roster!O:O,XLOOKUP(D2336,TicketsBreak!A:A,TicketsBreak!F:F,"",0),0)</f>
        <v>12:30 - 13:00</v>
      </c>
      <c r="J2336" s="316" t="str">
        <f t="array" ref="J2336">XLOOKUP(B2336,Roster!L:L,Roster!P:P,XLOOKUP(D2336,TicketsBreak!A:A,TicketsBreak!G:G,"",0),0)</f>
        <v>14:45 - 15:00</v>
      </c>
      <c r="K2336" s="310">
        <f t="shared" si="4"/>
        <v>46132</v>
      </c>
      <c r="L2336" s="317">
        <f t="array" ref="L2336">(XLOOKUP(D2336,Roster!F:F,Roster!D:D,"",0))</f>
        <v>20</v>
      </c>
      <c r="M2336" s="317" t="str">
        <f t="array" ref="M2336">XLOOKUP(D2336,Roster!F:F,Roster!E:E)</f>
        <v>Voice</v>
      </c>
      <c r="N2336" s="317" t="str">
        <f t="shared" ref="N2336:P2336" si="2370">LEFT(H2336,5)</f>
        <v>09:45</v>
      </c>
      <c r="O2336" s="317" t="str">
        <f t="shared" si="2370"/>
        <v>12:30</v>
      </c>
      <c r="P2336" s="317" t="str">
        <f t="shared" si="2370"/>
        <v>14:45</v>
      </c>
      <c r="Q2336" s="318">
        <f t="shared" si="2365"/>
        <v>46132.40625</v>
      </c>
      <c r="R2336" s="318">
        <f t="shared" si="2366"/>
        <v>46132.52083</v>
      </c>
      <c r="S2336" s="318">
        <f t="shared" si="8"/>
        <v>46132.61458</v>
      </c>
    </row>
    <row r="2337">
      <c r="A2337" s="14" t="str">
        <f t="shared" si="1"/>
        <v>C116346132</v>
      </c>
      <c r="B2337" s="185">
        <f t="array" ref="B2337">IF(F2337="VL","",IF(F2337="Free","Free",XLOOKUP(D2337,Roster!T:T,Roster!S:S,"",0)))</f>
        <v>123</v>
      </c>
      <c r="C2337" s="313">
        <v>46132.0</v>
      </c>
      <c r="D2337" s="314" t="s">
        <v>66</v>
      </c>
      <c r="E2337" s="307" t="str">
        <f t="array" ref="E2337">(XLOOKUP(D2337,Roster!F:F,Roster!B:B,"",0))</f>
        <v>Natalia Cardona</v>
      </c>
      <c r="F2337" s="315" t="str">
        <f t="array" ref="F2337">IF(B2337=100,"Free",TEXT(XLOOKUP($D2337,OperationVoice!$A:$A,OperationVoice!Z:Z,XLOOKUP($D2337,OperationTickets!$A:$A,OperationTickets!Z:Z,"",0)),"hh:mm"))</f>
        <v>08:00</v>
      </c>
      <c r="G2337" s="309">
        <f t="shared" si="3"/>
        <v>0.7083333333</v>
      </c>
      <c r="H2337" s="316" t="str">
        <f t="array" ref="H2337">XLOOKUP(B2337,Roster!L:L,Roster!N:N,XLOOKUP(D2337,TicketsBreak!A:A,TicketsBreak!E:E,"",0),0)</f>
        <v>09:45 - 10:00 </v>
      </c>
      <c r="I2337" s="316" t="str">
        <f t="array" ref="I2337">XLOOKUP(B2337,Roster!L:L,Roster!O:O,XLOOKUP(D2337,TicketsBreak!A:A,TicketsBreak!F:F,"",0),0)</f>
        <v>12:30 - 13:00</v>
      </c>
      <c r="J2337" s="316" t="str">
        <f t="array" ref="J2337">XLOOKUP(B2337,Roster!L:L,Roster!P:P,XLOOKUP(D2337,TicketsBreak!A:A,TicketsBreak!G:G,"",0),0)</f>
        <v>15:00 - 15:15</v>
      </c>
      <c r="K2337" s="310">
        <f t="shared" si="4"/>
        <v>46132</v>
      </c>
      <c r="L2337" s="317">
        <f t="array" ref="L2337">(XLOOKUP(D2337,Roster!F:F,Roster!D:D,"",0))</f>
        <v>24</v>
      </c>
      <c r="M2337" s="317" t="str">
        <f t="array" ref="M2337">XLOOKUP(D2337,Roster!F:F,Roster!E:E)</f>
        <v>Voice</v>
      </c>
      <c r="N2337" s="317" t="str">
        <f t="shared" ref="N2337:P2337" si="2371">LEFT(H2337,5)</f>
        <v>09:45</v>
      </c>
      <c r="O2337" s="317" t="str">
        <f t="shared" si="2371"/>
        <v>12:30</v>
      </c>
      <c r="P2337" s="317" t="str">
        <f t="shared" si="2371"/>
        <v>15:00</v>
      </c>
      <c r="Q2337" s="318">
        <f t="shared" si="2365"/>
        <v>46132.40625</v>
      </c>
      <c r="R2337" s="318">
        <f t="shared" si="2366"/>
        <v>46132.52083</v>
      </c>
      <c r="S2337" s="318">
        <f t="shared" si="8"/>
        <v>46132.625</v>
      </c>
    </row>
    <row r="2338">
      <c r="A2338" s="14" t="str">
        <f t="shared" si="1"/>
        <v>C55646132</v>
      </c>
      <c r="B2338" s="185" t="str">
        <f t="array" ref="B2338">IF(F2338="VL","",IF(F2338="Free","Free",XLOOKUP(D2338,Roster!T:T,Roster!S:S,"",0)))</f>
        <v/>
      </c>
      <c r="C2338" s="313">
        <v>46132.0</v>
      </c>
      <c r="D2338" s="314" t="s">
        <v>167</v>
      </c>
      <c r="E2338" s="307" t="str">
        <f t="array" ref="E2338">(XLOOKUP(D2338,Roster!F:F,Roster!B:B,"",0))</f>
        <v>Nelson Londono</v>
      </c>
      <c r="F2338" s="315" t="str">
        <f t="array" ref="F2338">IF(B2338=100,"Free",TEXT(XLOOKUP($D2338,OperationVoice!$A:$A,OperationVoice!Z:Z,XLOOKUP($D2338,OperationTickets!$A:$A,OperationTickets!Z:Z,"",0)),"hh:mm"))</f>
        <v>07:00</v>
      </c>
      <c r="G2338" s="309">
        <f t="shared" si="3"/>
        <v>0.6666666667</v>
      </c>
      <c r="H2338" s="316">
        <f t="array" ref="H2338">XLOOKUP(B2338,Roster!L:L,Roster!N:N,XLOOKUP(D2338,TicketsBreak!A:A,TicketsBreak!E:E,"",0),0)</f>
        <v>0.3854166667</v>
      </c>
      <c r="I2338" s="316">
        <f t="array" ref="I2338">XLOOKUP(B2338,Roster!L:L,Roster!O:O,XLOOKUP(D2338,TicketsBreak!A:A,TicketsBreak!F:F,"",0),0)</f>
        <v>0.5833333333</v>
      </c>
      <c r="J2338" s="316">
        <f t="array" ref="J2338">XLOOKUP(B2338,Roster!L:L,Roster!P:P,XLOOKUP(D2338,TicketsBreak!A:A,TicketsBreak!G:G,"",0),0)</f>
        <v>0.6458333333</v>
      </c>
      <c r="K2338" s="310">
        <f t="shared" si="4"/>
        <v>46132</v>
      </c>
      <c r="L2338" s="317">
        <f t="array" ref="L2338">(XLOOKUP(D2338,Roster!F:F,Roster!D:D,"",0))</f>
        <v>2</v>
      </c>
      <c r="M2338" s="317" t="str">
        <f t="array" ref="M2338">XLOOKUP(D2338,Roster!F:F,Roster!E:E)</f>
        <v>Tickets</v>
      </c>
      <c r="N2338" s="317" t="str">
        <f t="shared" ref="N2338:P2338" si="2372">LEFT(H2338,5)</f>
        <v>09:15</v>
      </c>
      <c r="O2338" s="317" t="str">
        <f t="shared" si="2372"/>
        <v>14:00</v>
      </c>
      <c r="P2338" s="317" t="str">
        <f t="shared" si="2372"/>
        <v>15:30</v>
      </c>
      <c r="Q2338" s="318">
        <f t="shared" si="2365"/>
        <v>46132.38542</v>
      </c>
      <c r="R2338" s="318">
        <f t="shared" si="2366"/>
        <v>46132.58333</v>
      </c>
      <c r="S2338" s="318">
        <f t="shared" si="8"/>
        <v>46132.64583</v>
      </c>
    </row>
    <row r="2339">
      <c r="A2339" s="14" t="str">
        <f t="shared" si="1"/>
        <v>C150746132</v>
      </c>
      <c r="B2339" s="185">
        <f t="array" ref="B2339">IF(F2339="VL","",IF(F2339="Free","Free",XLOOKUP(D2339,Roster!T:T,Roster!S:S,"",0)))</f>
        <v>125</v>
      </c>
      <c r="C2339" s="313">
        <v>46132.0</v>
      </c>
      <c r="D2339" s="314" t="s">
        <v>67</v>
      </c>
      <c r="E2339" s="307" t="str">
        <f t="array" ref="E2339">(XLOOKUP(D2339,Roster!F:F,Roster!B:B,"",0))</f>
        <v>Nicols Quinones</v>
      </c>
      <c r="F2339" s="315" t="str">
        <f t="array" ref="F2339">IF(B2339=100,"Free",TEXT(XLOOKUP($D2339,OperationVoice!$A:$A,OperationVoice!Z:Z,XLOOKUP($D2339,OperationTickets!$A:$A,OperationTickets!Z:Z,"",0)),"hh:mm"))</f>
        <v>08:00</v>
      </c>
      <c r="G2339" s="309">
        <f t="shared" si="3"/>
        <v>0.7083333333</v>
      </c>
      <c r="H2339" s="316" t="str">
        <f t="array" ref="H2339">XLOOKUP(B2339,Roster!L:L,Roster!N:N,XLOOKUP(D2339,TicketsBreak!A:A,TicketsBreak!E:E,"",0),0)</f>
        <v>10:30 - 10:45</v>
      </c>
      <c r="I2339" s="316" t="str">
        <f t="array" ref="I2339">XLOOKUP(B2339,Roster!L:L,Roster!O:O,XLOOKUP(D2339,TicketsBreak!A:A,TicketsBreak!F:F,"",0),0)</f>
        <v>13:30 - 14:00</v>
      </c>
      <c r="J2339" s="316" t="str">
        <f t="array" ref="J2339">XLOOKUP(B2339,Roster!L:L,Roster!P:P,XLOOKUP(D2339,TicketsBreak!A:A,TicketsBreak!G:G,"",0),0)</f>
        <v>15:45 - 16:00</v>
      </c>
      <c r="K2339" s="310">
        <f t="shared" si="4"/>
        <v>46132</v>
      </c>
      <c r="L2339" s="317">
        <f t="array" ref="L2339">(XLOOKUP(D2339,Roster!F:F,Roster!D:D,"",0))</f>
        <v>35</v>
      </c>
      <c r="M2339" s="317" t="str">
        <f t="array" ref="M2339">XLOOKUP(D2339,Roster!F:F,Roster!E:E)</f>
        <v>Voice</v>
      </c>
      <c r="N2339" s="317" t="str">
        <f t="shared" ref="N2339:P2339" si="2373">LEFT(H2339,5)</f>
        <v>10:30</v>
      </c>
      <c r="O2339" s="317" t="str">
        <f t="shared" si="2373"/>
        <v>13:30</v>
      </c>
      <c r="P2339" s="317" t="str">
        <f t="shared" si="2373"/>
        <v>15:45</v>
      </c>
      <c r="Q2339" s="318">
        <f t="shared" si="2365"/>
        <v>46132.4375</v>
      </c>
      <c r="R2339" s="318">
        <f t="shared" si="2366"/>
        <v>46132.5625</v>
      </c>
      <c r="S2339" s="318">
        <f t="shared" si="8"/>
        <v>46132.65625</v>
      </c>
    </row>
    <row r="2340">
      <c r="A2340" s="14" t="str">
        <f t="shared" si="1"/>
        <v>C71446132</v>
      </c>
      <c r="B2340" s="185" t="str">
        <f t="array" ref="B2340">IF(F2340="VL","",IF(F2340="Free","Free",XLOOKUP(D2340,Roster!T:T,Roster!S:S,"",0)))</f>
        <v/>
      </c>
      <c r="C2340" s="313">
        <v>46132.0</v>
      </c>
      <c r="D2340" s="314" t="s">
        <v>149</v>
      </c>
      <c r="E2340" s="307" t="str">
        <f t="array" ref="E2340">(XLOOKUP(D2340,Roster!F:F,Roster!B:B,"",0))</f>
        <v>Onel Olivera</v>
      </c>
      <c r="F2340" s="315" t="str">
        <f t="array" ref="F2340">IF(B2340=100,"Free",TEXT(XLOOKUP($D2340,OperationVoice!$A:$A,OperationVoice!Z:Z,XLOOKUP($D2340,OperationTickets!$A:$A,OperationTickets!Z:Z,"",0)),"hh:mm"))</f>
        <v>08:00</v>
      </c>
      <c r="G2340" s="309">
        <f t="shared" si="3"/>
        <v>0.7083333333</v>
      </c>
      <c r="H2340" s="316">
        <f t="array" ref="H2340">XLOOKUP(B2340,Roster!L:L,Roster!N:N,XLOOKUP(D2340,TicketsBreak!A:A,TicketsBreak!E:E,"",0),0)</f>
        <v>0.4166666667</v>
      </c>
      <c r="I2340" s="316">
        <f t="array" ref="I2340">XLOOKUP(B2340,Roster!L:L,Roster!O:O,XLOOKUP(D2340,TicketsBreak!A:A,TicketsBreak!F:F,"",0),0)</f>
        <v>0.5</v>
      </c>
      <c r="J2340" s="316">
        <f t="array" ref="J2340">XLOOKUP(B2340,Roster!L:L,Roster!P:P,XLOOKUP(D2340,TicketsBreak!A:A,TicketsBreak!G:G,"",0),0)</f>
        <v>0.625</v>
      </c>
      <c r="K2340" s="310">
        <f t="shared" si="4"/>
        <v>46132</v>
      </c>
      <c r="L2340" s="317">
        <f t="array" ref="L2340">(XLOOKUP(D2340,Roster!F:F,Roster!D:D,"",0))</f>
        <v>1</v>
      </c>
      <c r="M2340" s="317" t="str">
        <f t="array" ref="M2340">XLOOKUP(D2340,Roster!F:F,Roster!E:E)</f>
        <v>Tickets</v>
      </c>
      <c r="N2340" s="317" t="str">
        <f t="shared" ref="N2340:P2340" si="2374">LEFT(H2340,5)</f>
        <v>10:00</v>
      </c>
      <c r="O2340" s="317" t="str">
        <f t="shared" si="2374"/>
        <v>12:00</v>
      </c>
      <c r="P2340" s="317" t="str">
        <f t="shared" si="2374"/>
        <v>15:00</v>
      </c>
      <c r="Q2340" s="318">
        <f t="shared" si="2365"/>
        <v>46132.41667</v>
      </c>
      <c r="R2340" s="318">
        <f t="shared" si="2366"/>
        <v>46132.5</v>
      </c>
      <c r="S2340" s="318">
        <f t="shared" si="8"/>
        <v>46132.625</v>
      </c>
    </row>
    <row r="2341">
      <c r="A2341" s="14" t="str">
        <f t="shared" si="1"/>
        <v>C116446132</v>
      </c>
      <c r="B2341" s="185" t="str">
        <f t="array" ref="B2341">IF(F2341="VL","",IF(F2341="Free","Free",XLOOKUP(D2341,Roster!T:T,Roster!S:S,"",0)))</f>
        <v/>
      </c>
      <c r="C2341" s="313">
        <v>46132.0</v>
      </c>
      <c r="D2341" s="314" t="s">
        <v>179</v>
      </c>
      <c r="E2341" s="307" t="str">
        <f t="array" ref="E2341">(XLOOKUP(D2341,Roster!F:F,Roster!B:B,"",0))</f>
        <v>Oscar Florez</v>
      </c>
      <c r="F2341" s="315" t="str">
        <f t="array" ref="F2341">IF(B2341=100,"Free",TEXT(XLOOKUP($D2341,OperationVoice!$A:$A,OperationVoice!Z:Z,XLOOKUP($D2341,OperationTickets!$A:$A,OperationTickets!Z:Z,"",0)),"hh:mm"))</f>
        <v>08:00</v>
      </c>
      <c r="G2341" s="309">
        <f t="shared" si="3"/>
        <v>0.7083333333</v>
      </c>
      <c r="H2341" s="316" t="str">
        <f t="array" ref="H2341">XLOOKUP(B2341,Roster!L:L,Roster!N:N,XLOOKUP(D2341,TicketsBreak!A:A,TicketsBreak!E:E,"",0),0)</f>
        <v/>
      </c>
      <c r="I2341" s="316" t="str">
        <f t="array" ref="I2341">XLOOKUP(B2341,Roster!L:L,Roster!O:O,XLOOKUP(D2341,TicketsBreak!A:A,TicketsBreak!F:F,"",0),0)</f>
        <v/>
      </c>
      <c r="J2341" s="316" t="str">
        <f t="array" ref="J2341">XLOOKUP(B2341,Roster!L:L,Roster!P:P,XLOOKUP(D2341,TicketsBreak!A:A,TicketsBreak!G:G,"",0),0)</f>
        <v/>
      </c>
      <c r="K2341" s="310">
        <f t="shared" si="4"/>
        <v>46132</v>
      </c>
      <c r="L2341" s="317">
        <f t="array" ref="L2341">(XLOOKUP(D2341,Roster!F:F,Roster!D:D,"",0))</f>
        <v>24</v>
      </c>
      <c r="M2341" s="317" t="str">
        <f t="array" ref="M2341">XLOOKUP(D2341,Roster!F:F,Roster!E:E)</f>
        <v>Tickets</v>
      </c>
      <c r="N2341" s="317" t="str">
        <f t="shared" ref="N2341:P2341" si="2375">LEFT(H2341,5)</f>
        <v/>
      </c>
      <c r="O2341" s="317" t="str">
        <f t="shared" si="2375"/>
        <v/>
      </c>
      <c r="P2341" s="317" t="str">
        <f t="shared" si="2375"/>
        <v/>
      </c>
      <c r="Q2341" s="318" t="str">
        <f t="shared" si="2365"/>
        <v/>
      </c>
      <c r="R2341" s="318" t="str">
        <f t="shared" si="2366"/>
        <v/>
      </c>
      <c r="S2341" s="318" t="str">
        <f t="shared" si="8"/>
        <v/>
      </c>
    </row>
    <row r="2342">
      <c r="A2342" s="14" t="str">
        <f t="shared" si="1"/>
        <v>C153846132</v>
      </c>
      <c r="B2342" s="185">
        <f t="array" ref="B2342">IF(F2342="VL","",IF(F2342="Free","Free",XLOOKUP(D2342,Roster!T:T,Roster!S:S,"",0)))</f>
        <v>151</v>
      </c>
      <c r="C2342" s="313">
        <v>46132.0</v>
      </c>
      <c r="D2342" s="314" t="s">
        <v>68</v>
      </c>
      <c r="E2342" s="307" t="str">
        <f t="array" ref="E2342">(XLOOKUP(D2342,Roster!F:F,Roster!B:B,"",0))</f>
        <v>Oscar Roldan</v>
      </c>
      <c r="F2342" s="315" t="str">
        <f t="array" ref="F2342">IF(B2342=100,"Free",TEXT(XLOOKUP($D2342,OperationVoice!$A:$A,OperationVoice!Z:Z,XLOOKUP($D2342,OperationTickets!$A:$A,OperationTickets!Z:Z,"",0)),"hh:mm"))</f>
        <v>11:00</v>
      </c>
      <c r="G2342" s="309">
        <f t="shared" si="3"/>
        <v>0.8333333333</v>
      </c>
      <c r="H2342" s="316" t="str">
        <f t="array" ref="H2342">XLOOKUP(B2342,Roster!L:L,Roster!N:N,XLOOKUP(D2342,TicketsBreak!A:A,TicketsBreak!E:E,"",0),0)</f>
        <v>12:15 - 12:30</v>
      </c>
      <c r="I2342" s="316" t="str">
        <f t="array" ref="I2342">XLOOKUP(B2342,Roster!L:L,Roster!O:O,XLOOKUP(D2342,TicketsBreak!A:A,TicketsBreak!F:F,"",0),0)</f>
        <v>14:00 - 14:30</v>
      </c>
      <c r="J2342" s="316" t="str">
        <f t="array" ref="J2342">XLOOKUP(B2342,Roster!L:L,Roster!P:P,XLOOKUP(D2342,TicketsBreak!A:A,TicketsBreak!G:G,"",0),0)</f>
        <v>17:15 - 17:30</v>
      </c>
      <c r="K2342" s="310">
        <f t="shared" si="4"/>
        <v>46132</v>
      </c>
      <c r="L2342" s="317">
        <f t="array" ref="L2342">(XLOOKUP(D2342,Roster!F:F,Roster!D:D,"",0))</f>
        <v>36</v>
      </c>
      <c r="M2342" s="317" t="str">
        <f t="array" ref="M2342">XLOOKUP(D2342,Roster!F:F,Roster!E:E)</f>
        <v>Voice</v>
      </c>
      <c r="N2342" s="317" t="str">
        <f t="shared" ref="N2342:P2342" si="2376">LEFT(H2342,5)</f>
        <v>12:15</v>
      </c>
      <c r="O2342" s="317" t="str">
        <f t="shared" si="2376"/>
        <v>14:00</v>
      </c>
      <c r="P2342" s="317" t="str">
        <f t="shared" si="2376"/>
        <v>17:15</v>
      </c>
      <c r="Q2342" s="318">
        <f t="shared" si="2365"/>
        <v>46132.51042</v>
      </c>
      <c r="R2342" s="318">
        <f t="shared" si="2366"/>
        <v>46132.58333</v>
      </c>
      <c r="S2342" s="318">
        <f t="shared" si="8"/>
        <v>46132.71875</v>
      </c>
    </row>
    <row r="2343">
      <c r="A2343" s="14" t="str">
        <f t="shared" si="1"/>
        <v>C151146132</v>
      </c>
      <c r="B2343" s="185">
        <f t="array" ref="B2343">IF(F2343="VL","",IF(F2343="Free","Free",XLOOKUP(D2343,Roster!T:T,Roster!S:S,"",0)))</f>
        <v>131</v>
      </c>
      <c r="C2343" s="313">
        <v>46132.0</v>
      </c>
      <c r="D2343" s="314" t="s">
        <v>69</v>
      </c>
      <c r="E2343" s="307" t="str">
        <f t="array" ref="E2343">(XLOOKUP(D2343,Roster!F:F,Roster!B:B,"",0))</f>
        <v>Salma Giraldo</v>
      </c>
      <c r="F2343" s="315" t="str">
        <f t="array" ref="F2343">IF(B2343=100,"Free",TEXT(XLOOKUP($D2343,OperationVoice!$A:$A,OperationVoice!Z:Z,XLOOKUP($D2343,OperationTickets!$A:$A,OperationTickets!Z:Z,"",0)),"hh:mm"))</f>
        <v>08:00</v>
      </c>
      <c r="G2343" s="309">
        <f t="shared" si="3"/>
        <v>0.7083333333</v>
      </c>
      <c r="H2343" s="316" t="str">
        <f t="array" ref="H2343">XLOOKUP(B2343,Roster!L:L,Roster!N:N,XLOOKUP(D2343,TicketsBreak!A:A,TicketsBreak!E:E,"",0),0)</f>
        <v>10:15 - 10:30</v>
      </c>
      <c r="I2343" s="316" t="str">
        <f t="array" ref="I2343">XLOOKUP(B2343,Roster!L:L,Roster!O:O,XLOOKUP(D2343,TicketsBreak!A:A,TicketsBreak!F:F,"",0),0)</f>
        <v>12:30 - 13:00</v>
      </c>
      <c r="J2343" s="316" t="str">
        <f t="array" ref="J2343">XLOOKUP(B2343,Roster!L:L,Roster!P:P,XLOOKUP(D2343,TicketsBreak!A:A,TicketsBreak!G:G,"",0),0)</f>
        <v>15:15 - 15:30</v>
      </c>
      <c r="K2343" s="310">
        <f t="shared" si="4"/>
        <v>46132</v>
      </c>
      <c r="L2343" s="317">
        <f t="array" ref="L2343">(XLOOKUP(D2343,Roster!F:F,Roster!D:D,"",0))</f>
        <v>35</v>
      </c>
      <c r="M2343" s="317" t="str">
        <f t="array" ref="M2343">XLOOKUP(D2343,Roster!F:F,Roster!E:E)</f>
        <v>Voice</v>
      </c>
      <c r="N2343" s="317" t="str">
        <f t="shared" ref="N2343:P2343" si="2377">LEFT(H2343,5)</f>
        <v>10:15</v>
      </c>
      <c r="O2343" s="317" t="str">
        <f t="shared" si="2377"/>
        <v>12:30</v>
      </c>
      <c r="P2343" s="317" t="str">
        <f t="shared" si="2377"/>
        <v>15:15</v>
      </c>
      <c r="Q2343" s="318">
        <f t="shared" si="2365"/>
        <v>46132.42708</v>
      </c>
      <c r="R2343" s="318">
        <f t="shared" si="2366"/>
        <v>46132.52083</v>
      </c>
      <c r="S2343" s="318">
        <f t="shared" si="8"/>
        <v>46132.63542</v>
      </c>
    </row>
    <row r="2344">
      <c r="A2344" s="14" t="str">
        <f t="shared" si="1"/>
        <v>C93346132</v>
      </c>
      <c r="B2344" s="185">
        <f t="array" ref="B2344">IF(F2344="VL","",IF(F2344="Free","Free",XLOOKUP(D2344,Roster!T:T,Roster!S:S,"",0)))</f>
        <v>124</v>
      </c>
      <c r="C2344" s="313">
        <v>46132.0</v>
      </c>
      <c r="D2344" s="314" t="s">
        <v>70</v>
      </c>
      <c r="E2344" s="307" t="str">
        <f t="array" ref="E2344">(XLOOKUP(D2344,Roster!F:F,Roster!B:B,"",0))</f>
        <v>Salome Arias</v>
      </c>
      <c r="F2344" s="315" t="str">
        <f t="array" ref="F2344">IF(B2344=100,"Free",TEXT(XLOOKUP($D2344,OperationVoice!$A:$A,OperationVoice!Z:Z,XLOOKUP($D2344,OperationTickets!$A:$A,OperationTickets!Z:Z,"",0)),"hh:mm"))</f>
        <v>08:00</v>
      </c>
      <c r="G2344" s="309">
        <f t="shared" si="3"/>
        <v>0.7083333333</v>
      </c>
      <c r="H2344" s="316" t="str">
        <f t="array" ref="H2344">XLOOKUP(B2344,Roster!L:L,Roster!N:N,XLOOKUP(D2344,TicketsBreak!A:A,TicketsBreak!E:E,"",0),0)</f>
        <v>10:00 - 10:15</v>
      </c>
      <c r="I2344" s="316" t="str">
        <f t="array" ref="I2344">XLOOKUP(B2344,Roster!L:L,Roster!O:O,XLOOKUP(D2344,TicketsBreak!A:A,TicketsBreak!F:F,"",0),0)</f>
        <v>13:00 - 13:30</v>
      </c>
      <c r="J2344" s="316" t="str">
        <f t="array" ref="J2344">XLOOKUP(B2344,Roster!L:L,Roster!P:P,XLOOKUP(D2344,TicketsBreak!A:A,TicketsBreak!G:G,"",0),0)</f>
        <v>15:30 - 15:45</v>
      </c>
      <c r="K2344" s="310">
        <f t="shared" si="4"/>
        <v>46132</v>
      </c>
      <c r="L2344" s="317">
        <f t="array" ref="L2344">(XLOOKUP(D2344,Roster!F:F,Roster!D:D,"",0))</f>
        <v>12</v>
      </c>
      <c r="M2344" s="317" t="str">
        <f t="array" ref="M2344">XLOOKUP(D2344,Roster!F:F,Roster!E:E)</f>
        <v>Voice</v>
      </c>
      <c r="N2344" s="317" t="str">
        <f t="shared" ref="N2344:P2344" si="2378">LEFT(H2344,5)</f>
        <v>10:00</v>
      </c>
      <c r="O2344" s="317" t="str">
        <f t="shared" si="2378"/>
        <v>13:00</v>
      </c>
      <c r="P2344" s="317" t="str">
        <f t="shared" si="2378"/>
        <v>15:30</v>
      </c>
      <c r="Q2344" s="318">
        <f t="shared" si="2365"/>
        <v>46132.41667</v>
      </c>
      <c r="R2344" s="318">
        <f t="shared" si="2366"/>
        <v>46132.54167</v>
      </c>
      <c r="S2344" s="318">
        <f t="shared" si="8"/>
        <v>46132.64583</v>
      </c>
    </row>
    <row r="2345">
      <c r="A2345" s="14" t="str">
        <f t="shared" si="1"/>
        <v>C128246132</v>
      </c>
      <c r="B2345" s="185" t="str">
        <f t="array" ref="B2345">IF(F2345="VL","",IF(F2345="Free","Free",XLOOKUP(D2345,Roster!T:T,Roster!S:S,"",0)))</f>
        <v/>
      </c>
      <c r="C2345" s="313">
        <v>46132.0</v>
      </c>
      <c r="D2345" s="314" t="s">
        <v>168</v>
      </c>
      <c r="E2345" s="307" t="str">
        <f t="array" ref="E2345">(XLOOKUP(D2345,Roster!F:F,Roster!B:B,"",0))</f>
        <v>Samuel Acevedo</v>
      </c>
      <c r="F2345" s="315" t="str">
        <f t="array" ref="F2345">IF(B2345=100,"Free",TEXT(XLOOKUP($D2345,OperationVoice!$A:$A,OperationVoice!Z:Z,XLOOKUP($D2345,OperationTickets!$A:$A,OperationTickets!Z:Z,"",0)),"hh:mm"))</f>
        <v>08:00</v>
      </c>
      <c r="G2345" s="309">
        <f t="shared" si="3"/>
        <v>0.7083333333</v>
      </c>
      <c r="H2345" s="316" t="str">
        <f t="array" ref="H2345">XLOOKUP(B2345,Roster!L:L,Roster!N:N,XLOOKUP(D2345,TicketsBreak!A:A,TicketsBreak!E:E,"",0),0)</f>
        <v/>
      </c>
      <c r="I2345" s="316" t="str">
        <f t="array" ref="I2345">XLOOKUP(B2345,Roster!L:L,Roster!O:O,XLOOKUP(D2345,TicketsBreak!A:A,TicketsBreak!F:F,"",0),0)</f>
        <v/>
      </c>
      <c r="J2345" s="316" t="str">
        <f t="array" ref="J2345">XLOOKUP(B2345,Roster!L:L,Roster!P:P,XLOOKUP(D2345,TicketsBreak!A:A,TicketsBreak!G:G,"",0),0)</f>
        <v/>
      </c>
      <c r="K2345" s="310">
        <f t="shared" si="4"/>
        <v>46132</v>
      </c>
      <c r="L2345" s="317">
        <f t="array" ref="L2345">(XLOOKUP(D2345,Roster!F:F,Roster!D:D,"",0))</f>
        <v>27</v>
      </c>
      <c r="M2345" s="317" t="str">
        <f t="array" ref="M2345">XLOOKUP(D2345,Roster!F:F,Roster!E:E)</f>
        <v>Tickets</v>
      </c>
      <c r="N2345" s="317" t="str">
        <f t="shared" ref="N2345:P2345" si="2379">LEFT(H2345,5)</f>
        <v/>
      </c>
      <c r="O2345" s="317" t="str">
        <f t="shared" si="2379"/>
        <v/>
      </c>
      <c r="P2345" s="317" t="str">
        <f t="shared" si="2379"/>
        <v/>
      </c>
      <c r="Q2345" s="318" t="str">
        <f t="shared" si="2365"/>
        <v/>
      </c>
      <c r="R2345" s="318" t="str">
        <f t="shared" si="2366"/>
        <v/>
      </c>
      <c r="S2345" s="318" t="str">
        <f t="shared" si="8"/>
        <v/>
      </c>
    </row>
    <row r="2346">
      <c r="A2346" s="14" t="str">
        <f t="shared" si="1"/>
        <v>C156446132</v>
      </c>
      <c r="B2346" s="185">
        <f t="array" ref="B2346">IF(F2346="VL","",IF(F2346="Free","Free",XLOOKUP(D2346,Roster!T:T,Roster!S:S,"",0)))</f>
        <v>121</v>
      </c>
      <c r="C2346" s="313">
        <v>46132.0</v>
      </c>
      <c r="D2346" s="314" t="s">
        <v>71</v>
      </c>
      <c r="E2346" s="307" t="str">
        <f t="array" ref="E2346">(XLOOKUP(D2346,Roster!F:F,Roster!B:B,"",0))</f>
        <v>Samuel Acevedo Cadavid</v>
      </c>
      <c r="F2346" s="315" t="str">
        <f t="array" ref="F2346">IF(B2346=100,"Free",TEXT(XLOOKUP($D2346,OperationVoice!$A:$A,OperationVoice!Z:Z,XLOOKUP($D2346,OperationTickets!$A:$A,OperationTickets!Z:Z,"",0)),"hh:mm"))</f>
        <v>11:00</v>
      </c>
      <c r="G2346" s="309">
        <f t="shared" si="3"/>
        <v>0.8333333333</v>
      </c>
      <c r="H2346" s="316" t="str">
        <f t="array" ref="H2346">XLOOKUP(B2346,Roster!L:L,Roster!N:N,XLOOKUP(D2346,TicketsBreak!A:A,TicketsBreak!E:E,"",0),0)</f>
        <v>09:15 - 09:30</v>
      </c>
      <c r="I2346" s="316" t="str">
        <f t="array" ref="I2346">XLOOKUP(B2346,Roster!L:L,Roster!O:O,XLOOKUP(D2346,TicketsBreak!A:A,TicketsBreak!F:F,"",0),0)</f>
        <v>11:30 - 12:00</v>
      </c>
      <c r="J2346" s="316" t="str">
        <f t="array" ref="J2346">XLOOKUP(B2346,Roster!L:L,Roster!P:P,XLOOKUP(D2346,TicketsBreak!A:A,TicketsBreak!G:G,"",0),0)</f>
        <v>14:30 - 14:45</v>
      </c>
      <c r="K2346" s="310">
        <f t="shared" si="4"/>
        <v>46132</v>
      </c>
      <c r="L2346" s="317">
        <f t="array" ref="L2346">(XLOOKUP(D2346,Roster!F:F,Roster!D:D,"",0))</f>
        <v>38</v>
      </c>
      <c r="M2346" s="317" t="str">
        <f t="array" ref="M2346">XLOOKUP(D2346,Roster!F:F,Roster!E:E)</f>
        <v>Voice</v>
      </c>
      <c r="N2346" s="317" t="str">
        <f t="shared" ref="N2346:P2346" si="2380">LEFT(H2346,5)</f>
        <v>09:15</v>
      </c>
      <c r="O2346" s="317" t="str">
        <f t="shared" si="2380"/>
        <v>11:30</v>
      </c>
      <c r="P2346" s="317" t="str">
        <f t="shared" si="2380"/>
        <v>14:30</v>
      </c>
      <c r="Q2346" s="318">
        <f t="shared" si="2365"/>
        <v>46132.38542</v>
      </c>
      <c r="R2346" s="318">
        <f t="shared" si="2366"/>
        <v>46132.47917</v>
      </c>
      <c r="S2346" s="318">
        <f t="shared" si="8"/>
        <v>46132.60417</v>
      </c>
    </row>
    <row r="2347">
      <c r="A2347" s="14" t="str">
        <f t="shared" si="1"/>
        <v>C116846132</v>
      </c>
      <c r="B2347" s="185">
        <f t="array" ref="B2347">IF(F2347="VL","",IF(F2347="Free","Free",XLOOKUP(D2347,Roster!T:T,Roster!S:S,"",0)))</f>
        <v>125</v>
      </c>
      <c r="C2347" s="313">
        <v>46132.0</v>
      </c>
      <c r="D2347" s="314" t="s">
        <v>180</v>
      </c>
      <c r="E2347" s="307" t="str">
        <f t="array" ref="E2347">(XLOOKUP(D2347,Roster!F:F,Roster!B:B,"",0))</f>
        <v>Santiago Gaviria</v>
      </c>
      <c r="F2347" s="315" t="str">
        <f t="array" ref="F2347">IF(B2347=100,"Free",TEXT(XLOOKUP($D2347,OperationVoice!$A:$A,OperationVoice!Z:Z,XLOOKUP($D2347,OperationTickets!$A:$A,OperationTickets!Z:Z,"",0)),"hh:mm"))</f>
        <v>08:00</v>
      </c>
      <c r="G2347" s="309">
        <f t="shared" si="3"/>
        <v>0.7083333333</v>
      </c>
      <c r="H2347" s="316" t="str">
        <f t="array" ref="H2347">XLOOKUP(B2347,Roster!L:L,Roster!N:N,XLOOKUP(D2347,TicketsBreak!A:A,TicketsBreak!E:E,"",0),0)</f>
        <v>10:30 - 10:45</v>
      </c>
      <c r="I2347" s="316" t="str">
        <f t="array" ref="I2347">XLOOKUP(B2347,Roster!L:L,Roster!O:O,XLOOKUP(D2347,TicketsBreak!A:A,TicketsBreak!F:F,"",0),0)</f>
        <v>13:30 - 14:00</v>
      </c>
      <c r="J2347" s="316" t="str">
        <f t="array" ref="J2347">XLOOKUP(B2347,Roster!L:L,Roster!P:P,XLOOKUP(D2347,TicketsBreak!A:A,TicketsBreak!G:G,"",0),0)</f>
        <v>15:45 - 16:00</v>
      </c>
      <c r="K2347" s="310">
        <f t="shared" si="4"/>
        <v>46132</v>
      </c>
      <c r="L2347" s="317">
        <f t="array" ref="L2347">(XLOOKUP(D2347,Roster!F:F,Roster!D:D,"",0))</f>
        <v>24</v>
      </c>
      <c r="M2347" s="317" t="str">
        <f t="array" ref="M2347">XLOOKUP(D2347,Roster!F:F,Roster!E:E)</f>
        <v>Tickets</v>
      </c>
      <c r="N2347" s="317" t="str">
        <f t="shared" ref="N2347:P2347" si="2381">LEFT(H2347,5)</f>
        <v>10:30</v>
      </c>
      <c r="O2347" s="317" t="str">
        <f t="shared" si="2381"/>
        <v>13:30</v>
      </c>
      <c r="P2347" s="317" t="str">
        <f t="shared" si="2381"/>
        <v>15:45</v>
      </c>
      <c r="Q2347" s="318">
        <f t="shared" si="2365"/>
        <v>46132.4375</v>
      </c>
      <c r="R2347" s="318">
        <f t="shared" si="2366"/>
        <v>46132.5625</v>
      </c>
      <c r="S2347" s="318">
        <f t="shared" si="8"/>
        <v>46132.65625</v>
      </c>
    </row>
    <row r="2348">
      <c r="A2348" s="14" t="str">
        <f t="shared" si="1"/>
        <v>C122046132</v>
      </c>
      <c r="B2348" s="185" t="str">
        <f t="array" ref="B2348">IF(F2348="VL","",IF(F2348="Free","Free",XLOOKUP(D2348,Roster!T:T,Roster!S:S,"",0)))</f>
        <v/>
      </c>
      <c r="C2348" s="313">
        <v>46132.0</v>
      </c>
      <c r="D2348" s="314" t="s">
        <v>181</v>
      </c>
      <c r="E2348" s="307" t="str">
        <f t="array" ref="E2348">(XLOOKUP(D2348,Roster!F:F,Roster!B:B,"",0))</f>
        <v>Santiago Gonzalez</v>
      </c>
      <c r="F2348" s="315" t="str">
        <f t="array" ref="F2348">IF(B2348=100,"Free",TEXT(XLOOKUP($D2348,OperationVoice!$A:$A,OperationVoice!Z:Z,XLOOKUP($D2348,OperationTickets!$A:$A,OperationTickets!Z:Z,"",0)),"hh:mm"))</f>
        <v>08:00</v>
      </c>
      <c r="G2348" s="309">
        <f t="shared" si="3"/>
        <v>0.7083333333</v>
      </c>
      <c r="H2348" s="316" t="str">
        <f t="array" ref="H2348">XLOOKUP(B2348,Roster!L:L,Roster!N:N,XLOOKUP(D2348,TicketsBreak!A:A,TicketsBreak!E:E,"",0),0)</f>
        <v/>
      </c>
      <c r="I2348" s="316" t="str">
        <f t="array" ref="I2348">XLOOKUP(B2348,Roster!L:L,Roster!O:O,XLOOKUP(D2348,TicketsBreak!A:A,TicketsBreak!F:F,"",0),0)</f>
        <v/>
      </c>
      <c r="J2348" s="316" t="str">
        <f t="array" ref="J2348">XLOOKUP(B2348,Roster!L:L,Roster!P:P,XLOOKUP(D2348,TicketsBreak!A:A,TicketsBreak!G:G,"",0),0)</f>
        <v/>
      </c>
      <c r="K2348" s="310">
        <f t="shared" si="4"/>
        <v>46132</v>
      </c>
      <c r="L2348" s="317">
        <f t="array" ref="L2348">(XLOOKUP(D2348,Roster!F:F,Roster!D:D,"",0))</f>
        <v>26</v>
      </c>
      <c r="M2348" s="317" t="str">
        <f t="array" ref="M2348">XLOOKUP(D2348,Roster!F:F,Roster!E:E)</f>
        <v>Tickets</v>
      </c>
      <c r="N2348" s="317" t="str">
        <f t="shared" ref="N2348:P2348" si="2382">LEFT(H2348,5)</f>
        <v/>
      </c>
      <c r="O2348" s="317" t="str">
        <f t="shared" si="2382"/>
        <v/>
      </c>
      <c r="P2348" s="317" t="str">
        <f t="shared" si="2382"/>
        <v/>
      </c>
      <c r="Q2348" s="318" t="str">
        <f t="shared" si="2365"/>
        <v/>
      </c>
      <c r="R2348" s="318" t="str">
        <f t="shared" si="2366"/>
        <v/>
      </c>
      <c r="S2348" s="318" t="str">
        <f t="shared" si="8"/>
        <v/>
      </c>
    </row>
    <row r="2349">
      <c r="A2349" s="14" t="str">
        <f t="shared" si="1"/>
        <v>C140646132</v>
      </c>
      <c r="B2349" s="185">
        <f t="array" ref="B2349">IF(F2349="VL","",IF(F2349="Free","Free",XLOOKUP(D2349,Roster!T:T,Roster!S:S,"",0)))</f>
        <v>152</v>
      </c>
      <c r="C2349" s="313">
        <v>46132.0</v>
      </c>
      <c r="D2349" s="314" t="s">
        <v>72</v>
      </c>
      <c r="E2349" s="307" t="str">
        <f t="array" ref="E2349">(XLOOKUP(D2349,Roster!F:F,Roster!B:B,"",0))</f>
        <v>Santiago Mora</v>
      </c>
      <c r="F2349" s="315" t="str">
        <f t="array" ref="F2349">IF(B2349=100,"Free",TEXT(XLOOKUP($D2349,OperationVoice!$A:$A,OperationVoice!Z:Z,XLOOKUP($D2349,OperationTickets!$A:$A,OperationTickets!Z:Z,"",0)),"hh:mm"))</f>
        <v>11:00</v>
      </c>
      <c r="G2349" s="309">
        <f t="shared" si="3"/>
        <v>0.8333333333</v>
      </c>
      <c r="H2349" s="316" t="str">
        <f t="array" ref="H2349">XLOOKUP(B2349,Roster!L:L,Roster!N:N,XLOOKUP(D2349,TicketsBreak!A:A,TicketsBreak!E:E,"",0),0)</f>
        <v>12:30 - 12:45</v>
      </c>
      <c r="I2349" s="316" t="str">
        <f t="array" ref="I2349">XLOOKUP(B2349,Roster!L:L,Roster!O:O,XLOOKUP(D2349,TicketsBreak!A:A,TicketsBreak!F:F,"",0),0)</f>
        <v>14:30 - 15:00</v>
      </c>
      <c r="J2349" s="316" t="str">
        <f t="array" ref="J2349">XLOOKUP(B2349,Roster!L:L,Roster!P:P,XLOOKUP(D2349,TicketsBreak!A:A,TicketsBreak!G:G,"",0),0)</f>
        <v>17:30 - 17:45</v>
      </c>
      <c r="K2349" s="310">
        <f t="shared" si="4"/>
        <v>46132</v>
      </c>
      <c r="L2349" s="317">
        <f t="array" ref="L2349">(XLOOKUP(D2349,Roster!F:F,Roster!D:D,"",0))</f>
        <v>35</v>
      </c>
      <c r="M2349" s="317" t="str">
        <f t="array" ref="M2349">XLOOKUP(D2349,Roster!F:F,Roster!E:E)</f>
        <v>Voice</v>
      </c>
      <c r="N2349" s="317" t="str">
        <f t="shared" ref="N2349:P2349" si="2383">LEFT(H2349,5)</f>
        <v>12:30</v>
      </c>
      <c r="O2349" s="317" t="str">
        <f t="shared" si="2383"/>
        <v>14:30</v>
      </c>
      <c r="P2349" s="317" t="str">
        <f t="shared" si="2383"/>
        <v>17:30</v>
      </c>
      <c r="Q2349" s="318">
        <f t="shared" si="2365"/>
        <v>46132.52083</v>
      </c>
      <c r="R2349" s="318">
        <f t="shared" si="2366"/>
        <v>46132.60417</v>
      </c>
      <c r="S2349" s="318">
        <f t="shared" si="8"/>
        <v>46132.72917</v>
      </c>
    </row>
    <row r="2350">
      <c r="A2350" s="14" t="str">
        <f t="shared" si="1"/>
        <v>C119946132</v>
      </c>
      <c r="B2350" s="185" t="str">
        <f t="array" ref="B2350">IF(F2350="VL","",IF(F2350="Free","Free",XLOOKUP(D2350,Roster!T:T,Roster!S:S,"",0)))</f>
        <v/>
      </c>
      <c r="C2350" s="313">
        <v>46132.0</v>
      </c>
      <c r="D2350" s="314" t="s">
        <v>182</v>
      </c>
      <c r="E2350" s="307" t="str">
        <f t="array" ref="E2350">(XLOOKUP(D2350,Roster!F:F,Roster!B:B,"",0))</f>
        <v>Santiago Velasquez</v>
      </c>
      <c r="F2350" s="315" t="str">
        <f t="array" ref="F2350">IF(B2350=100,"Free",TEXT(XLOOKUP($D2350,OperationVoice!$A:$A,OperationVoice!Z:Z,XLOOKUP($D2350,OperationTickets!$A:$A,OperationTickets!Z:Z,"",0)),"hh:mm"))</f>
        <v>08:00</v>
      </c>
      <c r="G2350" s="309">
        <f t="shared" si="3"/>
        <v>0.7083333333</v>
      </c>
      <c r="H2350" s="316" t="str">
        <f t="array" ref="H2350">XLOOKUP(B2350,Roster!L:L,Roster!N:N,XLOOKUP(D2350,TicketsBreak!A:A,TicketsBreak!E:E,"",0),0)</f>
        <v/>
      </c>
      <c r="I2350" s="316" t="str">
        <f t="array" ref="I2350">XLOOKUP(B2350,Roster!L:L,Roster!O:O,XLOOKUP(D2350,TicketsBreak!A:A,TicketsBreak!F:F,"",0),0)</f>
        <v/>
      </c>
      <c r="J2350" s="316" t="str">
        <f t="array" ref="J2350">XLOOKUP(B2350,Roster!L:L,Roster!P:P,XLOOKUP(D2350,TicketsBreak!A:A,TicketsBreak!G:G,"",0),0)</f>
        <v/>
      </c>
      <c r="K2350" s="310">
        <f t="shared" si="4"/>
        <v>46132</v>
      </c>
      <c r="L2350" s="317">
        <f t="array" ref="L2350">(XLOOKUP(D2350,Roster!F:F,Roster!D:D,"",0))</f>
        <v>25</v>
      </c>
      <c r="M2350" s="317" t="str">
        <f t="array" ref="M2350">XLOOKUP(D2350,Roster!F:F,Roster!E:E)</f>
        <v>Tickets</v>
      </c>
      <c r="N2350" s="317" t="str">
        <f t="shared" ref="N2350:P2350" si="2384">LEFT(H2350,5)</f>
        <v/>
      </c>
      <c r="O2350" s="317" t="str">
        <f t="shared" si="2384"/>
        <v/>
      </c>
      <c r="P2350" s="317" t="str">
        <f t="shared" si="2384"/>
        <v/>
      </c>
      <c r="Q2350" s="318" t="str">
        <f t="shared" si="2365"/>
        <v/>
      </c>
      <c r="R2350" s="318" t="str">
        <f t="shared" si="2366"/>
        <v/>
      </c>
      <c r="S2350" s="318" t="str">
        <f t="shared" si="8"/>
        <v/>
      </c>
    </row>
    <row r="2351">
      <c r="A2351" s="14" t="str">
        <f t="shared" si="1"/>
        <v>C90246132</v>
      </c>
      <c r="B2351" s="185" t="str">
        <f t="array" ref="B2351">IF(F2351="VL","",IF(F2351="Free","Free",XLOOKUP(D2351,Roster!T:T,Roster!S:S,"",0)))</f>
        <v/>
      </c>
      <c r="C2351" s="313">
        <v>46132.0</v>
      </c>
      <c r="D2351" s="314" t="s">
        <v>150</v>
      </c>
      <c r="E2351" s="307" t="str">
        <f t="array" ref="E2351">(XLOOKUP(D2351,Roster!F:F,Roster!B:B,"",0))</f>
        <v>Sebastiam Vallejo</v>
      </c>
      <c r="F2351" s="315" t="str">
        <f t="array" ref="F2351">IF(B2351=100,"Free",TEXT(XLOOKUP($D2351,OperationVoice!$A:$A,OperationVoice!Z:Z,XLOOKUP($D2351,OperationTickets!$A:$A,OperationTickets!Z:Z,"",0)),"hh:mm"))</f>
        <v>08:00</v>
      </c>
      <c r="G2351" s="309">
        <f t="shared" si="3"/>
        <v>0.7083333333</v>
      </c>
      <c r="H2351" s="316">
        <f t="array" ref="H2351">XLOOKUP(B2351,Roster!L:L,Roster!N:N,XLOOKUP(D2351,TicketsBreak!A:A,TicketsBreak!E:E,"",0),0)</f>
        <v>0.4375</v>
      </c>
      <c r="I2351" s="316">
        <f t="array" ref="I2351">XLOOKUP(B2351,Roster!L:L,Roster!O:O,XLOOKUP(D2351,TicketsBreak!A:A,TicketsBreak!F:F,"",0),0)</f>
        <v>0.6041666667</v>
      </c>
      <c r="J2351" s="316">
        <f t="array" ref="J2351">XLOOKUP(B2351,Roster!L:L,Roster!P:P,XLOOKUP(D2351,TicketsBreak!A:A,TicketsBreak!G:G,"",0),0)</f>
        <v>0.65625</v>
      </c>
      <c r="K2351" s="310">
        <f t="shared" si="4"/>
        <v>46132</v>
      </c>
      <c r="L2351" s="317">
        <f t="array" ref="L2351">(XLOOKUP(D2351,Roster!F:F,Roster!D:D,"",0))</f>
        <v>11</v>
      </c>
      <c r="M2351" s="317" t="str">
        <f t="array" ref="M2351">XLOOKUP(D2351,Roster!F:F,Roster!E:E)</f>
        <v>Tickets</v>
      </c>
      <c r="N2351" s="317" t="str">
        <f t="shared" ref="N2351:P2351" si="2385">LEFT(H2351,5)</f>
        <v>10:30</v>
      </c>
      <c r="O2351" s="317" t="str">
        <f t="shared" si="2385"/>
        <v>14:30</v>
      </c>
      <c r="P2351" s="317" t="str">
        <f t="shared" si="2385"/>
        <v>15:45</v>
      </c>
      <c r="Q2351" s="318">
        <f t="shared" si="2365"/>
        <v>46132.4375</v>
      </c>
      <c r="R2351" s="318">
        <f t="shared" si="2366"/>
        <v>46132.60417</v>
      </c>
      <c r="S2351" s="318">
        <f t="shared" si="8"/>
        <v>46132.65625</v>
      </c>
    </row>
    <row r="2352">
      <c r="A2352" s="14" t="str">
        <f t="shared" si="1"/>
        <v>C150646132</v>
      </c>
      <c r="B2352" s="185">
        <f t="array" ref="B2352">IF(F2352="VL","",IF(F2352="Free","Free",XLOOKUP(D2352,Roster!T:T,Roster!S:S,"",0)))</f>
        <v>153</v>
      </c>
      <c r="C2352" s="313">
        <v>46132.0</v>
      </c>
      <c r="D2352" s="314" t="s">
        <v>73</v>
      </c>
      <c r="E2352" s="307" t="str">
        <f t="array" ref="E2352">(XLOOKUP(D2352,Roster!F:F,Roster!B:B,"",0))</f>
        <v>Sebastian Agudelo Londono</v>
      </c>
      <c r="F2352" s="315" t="str">
        <f t="array" ref="F2352">IF(B2352=100,"Free",TEXT(XLOOKUP($D2352,OperationVoice!$A:$A,OperationVoice!Z:Z,XLOOKUP($D2352,OperationTickets!$A:$A,OperationTickets!Z:Z,"",0)),"hh:mm"))</f>
        <v>11:00</v>
      </c>
      <c r="G2352" s="309">
        <f t="shared" si="3"/>
        <v>0.8333333333</v>
      </c>
      <c r="H2352" s="316" t="str">
        <f t="array" ref="H2352">XLOOKUP(B2352,Roster!L:L,Roster!N:N,XLOOKUP(D2352,TicketsBreak!A:A,TicketsBreak!E:E,"",0),0)</f>
        <v>12:45 - 13:00</v>
      </c>
      <c r="I2352" s="316" t="str">
        <f t="array" ref="I2352">XLOOKUP(B2352,Roster!L:L,Roster!O:O,XLOOKUP(D2352,TicketsBreak!A:A,TicketsBreak!F:F,"",0),0)</f>
        <v>15:00 - 15:30</v>
      </c>
      <c r="J2352" s="316" t="str">
        <f t="array" ref="J2352">XLOOKUP(B2352,Roster!L:L,Roster!P:P,XLOOKUP(D2352,TicketsBreak!A:A,TicketsBreak!G:G,"",0),0)</f>
        <v>17:45 - 18:00</v>
      </c>
      <c r="K2352" s="310">
        <f t="shared" si="4"/>
        <v>46132</v>
      </c>
      <c r="L2352" s="317">
        <f t="array" ref="L2352">(XLOOKUP(D2352,Roster!F:F,Roster!D:D,"",0))</f>
        <v>35</v>
      </c>
      <c r="M2352" s="317" t="str">
        <f t="array" ref="M2352">XLOOKUP(D2352,Roster!F:F,Roster!E:E)</f>
        <v>Voice</v>
      </c>
      <c r="N2352" s="317" t="str">
        <f t="shared" ref="N2352:P2352" si="2386">LEFT(H2352,5)</f>
        <v>12:45</v>
      </c>
      <c r="O2352" s="317" t="str">
        <f t="shared" si="2386"/>
        <v>15:00</v>
      </c>
      <c r="P2352" s="317" t="str">
        <f t="shared" si="2386"/>
        <v>17:45</v>
      </c>
      <c r="Q2352" s="318">
        <f t="shared" si="2365"/>
        <v>46132.53125</v>
      </c>
      <c r="R2352" s="318">
        <f t="shared" si="2366"/>
        <v>46132.625</v>
      </c>
      <c r="S2352" s="318">
        <f t="shared" si="8"/>
        <v>46132.73958</v>
      </c>
    </row>
    <row r="2353">
      <c r="A2353" s="14" t="str">
        <f t="shared" si="1"/>
        <v>C119046132</v>
      </c>
      <c r="B2353" s="185" t="str">
        <f t="array" ref="B2353">IF(F2353="VL","",IF(F2353="Free","Free",XLOOKUP(D2353,Roster!T:T,Roster!S:S,"",0)))</f>
        <v/>
      </c>
      <c r="C2353" s="313">
        <v>46132.0</v>
      </c>
      <c r="D2353" s="314" t="s">
        <v>183</v>
      </c>
      <c r="E2353" s="307" t="str">
        <f t="array" ref="E2353">(XLOOKUP(D2353,Roster!F:F,Roster!B:B,"",0))</f>
        <v>Sebastian Herrera</v>
      </c>
      <c r="F2353" s="315" t="str">
        <f t="array" ref="F2353">IF(B2353=100,"Free",TEXT(XLOOKUP($D2353,OperationVoice!$A:$A,OperationVoice!Z:Z,XLOOKUP($D2353,OperationTickets!$A:$A,OperationTickets!Z:Z,"",0)),"hh:mm"))</f>
        <v>07:00</v>
      </c>
      <c r="G2353" s="309">
        <f t="shared" si="3"/>
        <v>0.6666666667</v>
      </c>
      <c r="H2353" s="316">
        <f t="array" ref="H2353">XLOOKUP(B2353,Roster!L:L,Roster!N:N,XLOOKUP(D2353,TicketsBreak!A:A,TicketsBreak!E:E,"",0),0)</f>
        <v>0.40625</v>
      </c>
      <c r="I2353" s="316">
        <f t="array" ref="I2353">XLOOKUP(B2353,Roster!L:L,Roster!O:O,XLOOKUP(D2353,TicketsBreak!A:A,TicketsBreak!F:F,"",0),0)</f>
        <v>0.5416666667</v>
      </c>
      <c r="J2353" s="316">
        <f t="array" ref="J2353">XLOOKUP(B2353,Roster!L:L,Roster!P:P,XLOOKUP(D2353,TicketsBreak!A:A,TicketsBreak!G:G,"",0),0)</f>
        <v>0.625</v>
      </c>
      <c r="K2353" s="310">
        <f t="shared" si="4"/>
        <v>46132</v>
      </c>
      <c r="L2353" s="317">
        <f t="array" ref="L2353">(XLOOKUP(D2353,Roster!F:F,Roster!D:D,"",0))</f>
        <v>25</v>
      </c>
      <c r="M2353" s="317" t="str">
        <f t="array" ref="M2353">XLOOKUP(D2353,Roster!F:F,Roster!E:E)</f>
        <v>Tickets</v>
      </c>
      <c r="N2353" s="317" t="str">
        <f t="shared" ref="N2353:P2353" si="2387">LEFT(H2353,5)</f>
        <v>09:45</v>
      </c>
      <c r="O2353" s="317" t="str">
        <f t="shared" si="2387"/>
        <v>13:00</v>
      </c>
      <c r="P2353" s="317" t="str">
        <f t="shared" si="2387"/>
        <v>15:00</v>
      </c>
      <c r="Q2353" s="318">
        <f t="shared" si="2365"/>
        <v>46132.40625</v>
      </c>
      <c r="R2353" s="318">
        <f t="shared" si="2366"/>
        <v>46132.54167</v>
      </c>
      <c r="S2353" s="318">
        <f t="shared" si="8"/>
        <v>46132.625</v>
      </c>
    </row>
    <row r="2354">
      <c r="A2354" s="14" t="str">
        <f t="shared" si="1"/>
        <v>C71046132</v>
      </c>
      <c r="B2354" s="185" t="str">
        <f t="array" ref="B2354">IF(F2354="VL","",IF(F2354="Free","Free",XLOOKUP(D2354,Roster!T:T,Roster!S:S,"",0)))</f>
        <v/>
      </c>
      <c r="C2354" s="313">
        <v>46132.0</v>
      </c>
      <c r="D2354" s="314" t="s">
        <v>184</v>
      </c>
      <c r="E2354" s="307" t="str">
        <f t="array" ref="E2354">(XLOOKUP(D2354,Roster!F:F,Roster!B:B,"",0))</f>
        <v>Sebastian Martinez</v>
      </c>
      <c r="F2354" s="315" t="str">
        <f t="array" ref="F2354">IF(B2354=100,"Free",TEXT(XLOOKUP($D2354,OperationVoice!$A:$A,OperationVoice!Z:Z,XLOOKUP($D2354,OperationTickets!$A:$A,OperationTickets!Z:Z,"",0)),"hh:mm"))</f>
        <v>08:00</v>
      </c>
      <c r="G2354" s="309">
        <f t="shared" si="3"/>
        <v>0.7083333333</v>
      </c>
      <c r="H2354" s="316">
        <f t="array" ref="H2354">XLOOKUP(B2354,Roster!L:L,Roster!N:N,XLOOKUP(D2354,TicketsBreak!A:A,TicketsBreak!E:E,"",0),0)</f>
        <v>0.40625</v>
      </c>
      <c r="I2354" s="316">
        <f t="array" ref="I2354">XLOOKUP(B2354,Roster!L:L,Roster!O:O,XLOOKUP(D2354,TicketsBreak!A:A,TicketsBreak!F:F,"",0),0)</f>
        <v>0.5625</v>
      </c>
      <c r="J2354" s="316">
        <f t="array" ref="J2354">XLOOKUP(B2354,Roster!L:L,Roster!P:P,XLOOKUP(D2354,TicketsBreak!A:A,TicketsBreak!G:G,"",0),0)</f>
        <v>0.65625</v>
      </c>
      <c r="K2354" s="310">
        <f t="shared" si="4"/>
        <v>46132</v>
      </c>
      <c r="L2354" s="317">
        <f t="array" ref="L2354">(XLOOKUP(D2354,Roster!F:F,Roster!D:D,"",0))</f>
        <v>6</v>
      </c>
      <c r="M2354" s="317" t="str">
        <f t="array" ref="M2354">XLOOKUP(D2354,Roster!F:F,Roster!E:E)</f>
        <v>Tickets</v>
      </c>
      <c r="N2354" s="317" t="str">
        <f t="shared" ref="N2354:P2354" si="2388">LEFT(H2354,5)</f>
        <v>09:45</v>
      </c>
      <c r="O2354" s="317" t="str">
        <f t="shared" si="2388"/>
        <v>13:30</v>
      </c>
      <c r="P2354" s="317" t="str">
        <f t="shared" si="2388"/>
        <v>15:45</v>
      </c>
      <c r="Q2354" s="318">
        <f t="shared" si="2365"/>
        <v>46132.40625</v>
      </c>
      <c r="R2354" s="318">
        <f t="shared" si="2366"/>
        <v>46132.5625</v>
      </c>
      <c r="S2354" s="318">
        <f t="shared" si="8"/>
        <v>46132.65625</v>
      </c>
    </row>
    <row r="2355">
      <c r="A2355" s="14" t="str">
        <f t="shared" si="1"/>
        <v>C72346132</v>
      </c>
      <c r="B2355" s="185" t="str">
        <f t="array" ref="B2355">IF(F2355="VL","",IF(F2355="Free","Free",XLOOKUP(D2355,Roster!T:T,Roster!S:S,"",0)))</f>
        <v/>
      </c>
      <c r="C2355" s="313">
        <v>46132.0</v>
      </c>
      <c r="D2355" s="314" t="s">
        <v>169</v>
      </c>
      <c r="E2355" s="307" t="str">
        <f t="array" ref="E2355">(XLOOKUP(D2355,Roster!F:F,Roster!B:B,"",0))</f>
        <v>Sebastian Parra</v>
      </c>
      <c r="F2355" s="315" t="str">
        <f t="array" ref="F2355">IF(B2355=100,"Free",TEXT(XLOOKUP($D2355,OperationVoice!$A:$A,OperationVoice!Z:Z,XLOOKUP($D2355,OperationTickets!$A:$A,OperationTickets!Z:Z,"",0)),"hh:mm"))</f>
        <v>08:00</v>
      </c>
      <c r="G2355" s="309">
        <f t="shared" si="3"/>
        <v>0.7083333333</v>
      </c>
      <c r="H2355" s="316">
        <f t="array" ref="H2355">XLOOKUP(B2355,Roster!L:L,Roster!N:N,XLOOKUP(D2355,TicketsBreak!A:A,TicketsBreak!E:E,"",0),0)</f>
        <v>0.4166666667</v>
      </c>
      <c r="I2355" s="316">
        <f t="array" ref="I2355">XLOOKUP(B2355,Roster!L:L,Roster!O:O,XLOOKUP(D2355,TicketsBreak!A:A,TicketsBreak!F:F,"",0),0)</f>
        <v>0.5347222222</v>
      </c>
      <c r="J2355" s="316">
        <f t="array" ref="J2355">XLOOKUP(B2355,Roster!L:L,Roster!P:P,XLOOKUP(D2355,TicketsBreak!A:A,TicketsBreak!G:G,"",0),0)</f>
        <v>0.65625</v>
      </c>
      <c r="K2355" s="310">
        <f t="shared" si="4"/>
        <v>46132</v>
      </c>
      <c r="L2355" s="317">
        <f t="array" ref="L2355">(XLOOKUP(D2355,Roster!F:F,Roster!D:D,"",0))</f>
        <v>7</v>
      </c>
      <c r="M2355" s="317" t="str">
        <f t="array" ref="M2355">XLOOKUP(D2355,Roster!F:F,Roster!E:E)</f>
        <v>Tickets</v>
      </c>
      <c r="N2355" s="317" t="str">
        <f t="shared" ref="N2355:P2355" si="2389">LEFT(H2355,5)</f>
        <v>10:00</v>
      </c>
      <c r="O2355" s="317" t="str">
        <f t="shared" si="2389"/>
        <v>12:50</v>
      </c>
      <c r="P2355" s="317" t="str">
        <f t="shared" si="2389"/>
        <v>15:45</v>
      </c>
      <c r="Q2355" s="318">
        <f t="shared" si="2365"/>
        <v>46132.41667</v>
      </c>
      <c r="R2355" s="318">
        <f t="shared" si="2366"/>
        <v>46132.53472</v>
      </c>
      <c r="S2355" s="318">
        <f t="shared" si="8"/>
        <v>46132.65625</v>
      </c>
    </row>
    <row r="2356">
      <c r="A2356" s="14" t="str">
        <f t="shared" si="1"/>
        <v>C137646132</v>
      </c>
      <c r="B2356" s="185" t="str">
        <f t="array" ref="B2356">IF(F2356="VL","",IF(F2356="Free","Free",XLOOKUP(D2356,Roster!T:T,Roster!S:S,"",0)))</f>
        <v/>
      </c>
      <c r="C2356" s="313">
        <v>46132.0</v>
      </c>
      <c r="D2356" s="314" t="s">
        <v>151</v>
      </c>
      <c r="E2356" s="307" t="str">
        <f t="array" ref="E2356">(XLOOKUP(D2356,Roster!F:F,Roster!B:B,"",0))</f>
        <v>Sebastian Quiroz</v>
      </c>
      <c r="F2356" s="315" t="str">
        <f t="array" ref="F2356">IF(B2356=100,"Free",TEXT(XLOOKUP($D2356,OperationVoice!$A:$A,OperationVoice!Z:Z,XLOOKUP($D2356,OperationTickets!$A:$A,OperationTickets!Z:Z,"",0)),"hh:mm"))</f>
        <v>08:00</v>
      </c>
      <c r="G2356" s="309">
        <f t="shared" si="3"/>
        <v>0.7083333333</v>
      </c>
      <c r="H2356" s="316" t="str">
        <f t="array" ref="H2356">XLOOKUP(B2356,Roster!L:L,Roster!N:N,XLOOKUP(D2356,TicketsBreak!A:A,TicketsBreak!E:E,"",0),0)</f>
        <v/>
      </c>
      <c r="I2356" s="316" t="str">
        <f t="array" ref="I2356">XLOOKUP(B2356,Roster!L:L,Roster!O:O,XLOOKUP(D2356,TicketsBreak!A:A,TicketsBreak!F:F,"",0),0)</f>
        <v/>
      </c>
      <c r="J2356" s="316" t="str">
        <f t="array" ref="J2356">XLOOKUP(B2356,Roster!L:L,Roster!P:P,XLOOKUP(D2356,TicketsBreak!A:A,TicketsBreak!G:G,"",0),0)</f>
        <v/>
      </c>
      <c r="K2356" s="310">
        <f t="shared" si="4"/>
        <v>46132</v>
      </c>
      <c r="L2356" s="317">
        <f t="array" ref="L2356">(XLOOKUP(D2356,Roster!F:F,Roster!D:D,"",0))</f>
        <v>31</v>
      </c>
      <c r="M2356" s="317" t="str">
        <f t="array" ref="M2356">XLOOKUP(D2356,Roster!F:F,Roster!E:E)</f>
        <v>Tickets</v>
      </c>
      <c r="N2356" s="317" t="str">
        <f t="shared" ref="N2356:P2356" si="2390">LEFT(H2356,5)</f>
        <v/>
      </c>
      <c r="O2356" s="317" t="str">
        <f t="shared" si="2390"/>
        <v/>
      </c>
      <c r="P2356" s="317" t="str">
        <f t="shared" si="2390"/>
        <v/>
      </c>
      <c r="Q2356" s="318" t="str">
        <f t="shared" si="2365"/>
        <v/>
      </c>
      <c r="R2356" s="318" t="str">
        <f t="shared" si="2366"/>
        <v/>
      </c>
      <c r="S2356" s="318" t="str">
        <f t="shared" si="8"/>
        <v/>
      </c>
    </row>
    <row r="2357">
      <c r="A2357" s="14" t="str">
        <f t="shared" si="1"/>
        <v>C72646132</v>
      </c>
      <c r="B2357" s="185" t="str">
        <f t="array" ref="B2357">IF(F2357="VL","",IF(F2357="Free","Free",XLOOKUP(D2357,Roster!T:T,Roster!S:S,"",0)))</f>
        <v/>
      </c>
      <c r="C2357" s="313">
        <v>46132.0</v>
      </c>
      <c r="D2357" s="314" t="s">
        <v>185</v>
      </c>
      <c r="E2357" s="307" t="str">
        <f t="array" ref="E2357">(XLOOKUP(D2357,Roster!F:F,Roster!B:B,"",0))</f>
        <v>Sebastian Rodriguez</v>
      </c>
      <c r="F2357" s="315" t="str">
        <f t="array" ref="F2357">IF(B2357=100,"Free",TEXT(XLOOKUP($D2357,OperationVoice!$A:$A,OperationVoice!Z:Z,XLOOKUP($D2357,OperationTickets!$A:$A,OperationTickets!Z:Z,"",0)),"hh:mm"))</f>
        <v>08:00</v>
      </c>
      <c r="G2357" s="309">
        <f t="shared" si="3"/>
        <v>0.7083333333</v>
      </c>
      <c r="H2357" s="316">
        <f t="array" ref="H2357">XLOOKUP(B2357,Roster!L:L,Roster!N:N,XLOOKUP(D2357,TicketsBreak!A:A,TicketsBreak!E:E,"",0),0)</f>
        <v>0.4166666667</v>
      </c>
      <c r="I2357" s="316">
        <f t="array" ref="I2357">XLOOKUP(B2357,Roster!L:L,Roster!O:O,XLOOKUP(D2357,TicketsBreak!A:A,TicketsBreak!F:F,"",0),0)</f>
        <v>0.5625</v>
      </c>
      <c r="J2357" s="316">
        <f t="array" ref="J2357">XLOOKUP(B2357,Roster!L:L,Roster!P:P,XLOOKUP(D2357,TicketsBreak!A:A,TicketsBreak!G:G,"",0),0)</f>
        <v>0.6458333333</v>
      </c>
      <c r="K2357" s="310">
        <f t="shared" si="4"/>
        <v>46132</v>
      </c>
      <c r="L2357" s="317">
        <f t="array" ref="L2357">(XLOOKUP(D2357,Roster!F:F,Roster!D:D,"",0))</f>
        <v>7</v>
      </c>
      <c r="M2357" s="317" t="str">
        <f t="array" ref="M2357">XLOOKUP(D2357,Roster!F:F,Roster!E:E)</f>
        <v>Tickets</v>
      </c>
      <c r="N2357" s="317" t="str">
        <f t="shared" ref="N2357:P2357" si="2391">LEFT(H2357,5)</f>
        <v>10:00</v>
      </c>
      <c r="O2357" s="317" t="str">
        <f t="shared" si="2391"/>
        <v>13:30</v>
      </c>
      <c r="P2357" s="317" t="str">
        <f t="shared" si="2391"/>
        <v>15:30</v>
      </c>
      <c r="Q2357" s="318">
        <f t="shared" si="2365"/>
        <v>46132.41667</v>
      </c>
      <c r="R2357" s="318">
        <f t="shared" si="2366"/>
        <v>46132.5625</v>
      </c>
      <c r="S2357" s="318">
        <f t="shared" si="8"/>
        <v>46132.64583</v>
      </c>
    </row>
    <row r="2358">
      <c r="A2358" s="14" t="str">
        <f t="shared" si="1"/>
        <v>C60246132</v>
      </c>
      <c r="B2358" s="185" t="str">
        <f t="array" ref="B2358">IF(F2358="VL","",IF(F2358="Free","Free",XLOOKUP(D2358,Roster!T:T,Roster!S:S,"",0)))</f>
        <v/>
      </c>
      <c r="C2358" s="313">
        <v>46132.0</v>
      </c>
      <c r="D2358" s="314" t="s">
        <v>170</v>
      </c>
      <c r="E2358" s="307" t="str">
        <f t="array" ref="E2358">(XLOOKUP(D2358,Roster!F:F,Roster!B:B,"",0))</f>
        <v>Sebastian Torres</v>
      </c>
      <c r="F2358" s="315" t="str">
        <f t="array" ref="F2358">IF(B2358=100,"Free",TEXT(XLOOKUP($D2358,OperationVoice!$A:$A,OperationVoice!Z:Z,XLOOKUP($D2358,OperationTickets!$A:$A,OperationTickets!Z:Z,"",0)),"hh:mm"))</f>
        <v>08:00</v>
      </c>
      <c r="G2358" s="309">
        <f t="shared" si="3"/>
        <v>0.7083333333</v>
      </c>
      <c r="H2358" s="316">
        <f t="array" ref="H2358">XLOOKUP(B2358,Roster!L:L,Roster!N:N,XLOOKUP(D2358,TicketsBreak!A:A,TicketsBreak!E:E,"",0),0)</f>
        <v>0.4583333333</v>
      </c>
      <c r="I2358" s="316">
        <f t="array" ref="I2358">XLOOKUP(B2358,Roster!L:L,Roster!O:O,XLOOKUP(D2358,TicketsBreak!A:A,TicketsBreak!F:F,"",0),0)</f>
        <v>0.5833333333</v>
      </c>
      <c r="J2358" s="316">
        <f t="array" ref="J2358">XLOOKUP(B2358,Roster!L:L,Roster!P:P,XLOOKUP(D2358,TicketsBreak!A:A,TicketsBreak!G:G,"",0),0)</f>
        <v>0.65625</v>
      </c>
      <c r="K2358" s="310">
        <f t="shared" si="4"/>
        <v>46132</v>
      </c>
      <c r="L2358" s="317">
        <f t="array" ref="L2358">(XLOOKUP(D2358,Roster!F:F,Roster!D:D,"",0))</f>
        <v>8</v>
      </c>
      <c r="M2358" s="317" t="str">
        <f t="array" ref="M2358">XLOOKUP(D2358,Roster!F:F,Roster!E:E)</f>
        <v>Tickets</v>
      </c>
      <c r="N2358" s="317" t="str">
        <f t="shared" ref="N2358:P2358" si="2392">LEFT(H2358,5)</f>
        <v>11:00</v>
      </c>
      <c r="O2358" s="317" t="str">
        <f t="shared" si="2392"/>
        <v>14:00</v>
      </c>
      <c r="P2358" s="317" t="str">
        <f t="shared" si="2392"/>
        <v>15:45</v>
      </c>
      <c r="Q2358" s="318">
        <f t="shared" si="2365"/>
        <v>46132.45833</v>
      </c>
      <c r="R2358" s="318">
        <f t="shared" si="2366"/>
        <v>46132.58333</v>
      </c>
      <c r="S2358" s="318">
        <f t="shared" si="8"/>
        <v>46132.65625</v>
      </c>
    </row>
    <row r="2359">
      <c r="A2359" s="14" t="str">
        <f t="shared" si="1"/>
        <v>C143146132</v>
      </c>
      <c r="B2359" s="185">
        <f t="array" ref="B2359">IF(F2359="VL","",IF(F2359="Free","Free",XLOOKUP(D2359,Roster!T:T,Roster!S:S,"",0)))</f>
        <v>151</v>
      </c>
      <c r="C2359" s="313">
        <v>46132.0</v>
      </c>
      <c r="D2359" s="314" t="s">
        <v>74</v>
      </c>
      <c r="E2359" s="307" t="str">
        <f t="array" ref="E2359">(XLOOKUP(D2359,Roster!F:F,Roster!B:B,"",0))</f>
        <v>Sebastian Torres Gomez</v>
      </c>
      <c r="F2359" s="315" t="str">
        <f t="array" ref="F2359">IF(B2359=100,"Free",TEXT(XLOOKUP($D2359,OperationVoice!$A:$A,OperationVoice!Z:Z,XLOOKUP($D2359,OperationTickets!$A:$A,OperationTickets!Z:Z,"",0)),"hh:mm"))</f>
        <v>11:00</v>
      </c>
      <c r="G2359" s="309">
        <f t="shared" si="3"/>
        <v>0.8333333333</v>
      </c>
      <c r="H2359" s="316" t="str">
        <f t="array" ref="H2359">XLOOKUP(B2359,Roster!L:L,Roster!N:N,XLOOKUP(D2359,TicketsBreak!A:A,TicketsBreak!E:E,"",0),0)</f>
        <v>12:15 - 12:30</v>
      </c>
      <c r="I2359" s="316" t="str">
        <f t="array" ref="I2359">XLOOKUP(B2359,Roster!L:L,Roster!O:O,XLOOKUP(D2359,TicketsBreak!A:A,TicketsBreak!F:F,"",0),0)</f>
        <v>14:00 - 14:30</v>
      </c>
      <c r="J2359" s="316" t="str">
        <f t="array" ref="J2359">XLOOKUP(B2359,Roster!L:L,Roster!P:P,XLOOKUP(D2359,TicketsBreak!A:A,TicketsBreak!G:G,"",0),0)</f>
        <v>17:15 - 17:30</v>
      </c>
      <c r="K2359" s="310">
        <f t="shared" si="4"/>
        <v>46132</v>
      </c>
      <c r="L2359" s="317">
        <f t="array" ref="L2359">(XLOOKUP(D2359,Roster!F:F,Roster!D:D,"",0))</f>
        <v>32</v>
      </c>
      <c r="M2359" s="317" t="str">
        <f t="array" ref="M2359">XLOOKUP(D2359,Roster!F:F,Roster!E:E)</f>
        <v>Voice</v>
      </c>
      <c r="N2359" s="317" t="str">
        <f t="shared" ref="N2359:P2359" si="2393">LEFT(H2359,5)</f>
        <v>12:15</v>
      </c>
      <c r="O2359" s="317" t="str">
        <f t="shared" si="2393"/>
        <v>14:00</v>
      </c>
      <c r="P2359" s="317" t="str">
        <f t="shared" si="2393"/>
        <v>17:15</v>
      </c>
      <c r="Q2359" s="318">
        <f t="shared" si="2365"/>
        <v>46132.51042</v>
      </c>
      <c r="R2359" s="318">
        <f t="shared" si="2366"/>
        <v>46132.58333</v>
      </c>
      <c r="S2359" s="318">
        <f t="shared" si="8"/>
        <v>46132.71875</v>
      </c>
    </row>
    <row r="2360">
      <c r="A2360" s="14" t="str">
        <f t="shared" si="1"/>
        <v>C149146132</v>
      </c>
      <c r="B2360" s="185" t="str">
        <f t="array" ref="B2360">IF(F2360="VL","",IF(F2360="Free","Free",XLOOKUP(D2360,Roster!T:T,Roster!S:S,"",0)))</f>
        <v/>
      </c>
      <c r="C2360" s="313">
        <v>46132.0</v>
      </c>
      <c r="D2360" s="314" t="s">
        <v>315</v>
      </c>
      <c r="E2360" s="307" t="str">
        <f t="array" ref="E2360">(XLOOKUP(D2360,Roster!F:F,Roster!B:B,"",0))</f>
        <v>Sebastian Vanegas</v>
      </c>
      <c r="F2360" s="315" t="str">
        <f t="array" ref="F2360">IF(B2360=100,"Free",TEXT(XLOOKUP($D2360,OperationVoice!$A:$A,OperationVoice!Z:Z,XLOOKUP($D2360,OperationTickets!$A:$A,OperationTickets!Z:Z,"",0)),"hh:mm"))</f>
        <v/>
      </c>
      <c r="G2360" s="309" t="str">
        <f t="shared" si="3"/>
        <v/>
      </c>
      <c r="H2360" s="316" t="str">
        <f t="array" ref="H2360">XLOOKUP(B2360,Roster!L:L,Roster!N:N,XLOOKUP(D2360,TicketsBreak!A:A,TicketsBreak!E:E,"",0),0)</f>
        <v/>
      </c>
      <c r="I2360" s="316" t="str">
        <f t="array" ref="I2360">XLOOKUP(B2360,Roster!L:L,Roster!O:O,XLOOKUP(D2360,TicketsBreak!A:A,TicketsBreak!F:F,"",0),0)</f>
        <v/>
      </c>
      <c r="J2360" s="316" t="str">
        <f t="array" ref="J2360">XLOOKUP(B2360,Roster!L:L,Roster!P:P,XLOOKUP(D2360,TicketsBreak!A:A,TicketsBreak!G:G,"",0),0)</f>
        <v/>
      </c>
      <c r="K2360" s="310">
        <f t="shared" si="4"/>
        <v>46132</v>
      </c>
      <c r="L2360" s="317">
        <f t="array" ref="L2360">(XLOOKUP(D2360,Roster!F:F,Roster!D:D,"",0))</f>
        <v>34</v>
      </c>
      <c r="M2360" s="317" t="str">
        <f t="array" ref="M2360">XLOOKUP(D2360,Roster!F:F,Roster!E:E)</f>
        <v>Voice</v>
      </c>
      <c r="N2360" s="317" t="str">
        <f t="shared" ref="N2360:P2360" si="2394">LEFT(H2360,5)</f>
        <v/>
      </c>
      <c r="O2360" s="317" t="str">
        <f t="shared" si="2394"/>
        <v/>
      </c>
      <c r="P2360" s="317" t="str">
        <f t="shared" si="2394"/>
        <v/>
      </c>
      <c r="Q2360" s="318" t="str">
        <f t="shared" si="2365"/>
        <v/>
      </c>
      <c r="R2360" s="318" t="str">
        <f t="shared" si="2366"/>
        <v/>
      </c>
      <c r="S2360" s="318" t="str">
        <f t="shared" si="8"/>
        <v/>
      </c>
    </row>
    <row r="2361">
      <c r="A2361" s="14" t="str">
        <f t="shared" si="1"/>
        <v>C93746132</v>
      </c>
      <c r="B2361" s="185">
        <f t="array" ref="B2361">IF(F2361="VL","",IF(F2361="Free","Free",XLOOKUP(D2361,Roster!T:T,Roster!S:S,"",0)))</f>
        <v>126</v>
      </c>
      <c r="C2361" s="313">
        <v>46132.0</v>
      </c>
      <c r="D2361" s="314" t="s">
        <v>75</v>
      </c>
      <c r="E2361" s="307" t="str">
        <f t="array" ref="E2361">(XLOOKUP(D2361,Roster!F:F,Roster!B:B,"",0))</f>
        <v>Sebastian Zapata</v>
      </c>
      <c r="F2361" s="315" t="str">
        <f t="array" ref="F2361">IF(B2361=100,"Free",TEXT(XLOOKUP($D2361,OperationVoice!$A:$A,OperationVoice!Z:Z,XLOOKUP($D2361,OperationTickets!$A:$A,OperationTickets!Z:Z,"",0)),"hh:mm"))</f>
        <v>08:00</v>
      </c>
      <c r="G2361" s="309">
        <f t="shared" si="3"/>
        <v>0.7083333333</v>
      </c>
      <c r="H2361" s="316" t="str">
        <f t="array" ref="H2361">XLOOKUP(B2361,Roster!L:L,Roster!N:N,XLOOKUP(D2361,TicketsBreak!A:A,TicketsBreak!E:E,"",0),0)</f>
        <v>10:45 - 11:00</v>
      </c>
      <c r="I2361" s="316" t="str">
        <f t="array" ref="I2361">XLOOKUP(B2361,Roster!L:L,Roster!O:O,XLOOKUP(D2361,TicketsBreak!A:A,TicketsBreak!F:F,"",0),0)</f>
        <v>14:00 - 14:30</v>
      </c>
      <c r="J2361" s="316" t="str">
        <f t="array" ref="J2361">XLOOKUP(B2361,Roster!L:L,Roster!P:P,XLOOKUP(D2361,TicketsBreak!A:A,TicketsBreak!G:G,"",0),0)</f>
        <v>15:45 - 16:00</v>
      </c>
      <c r="K2361" s="310">
        <f t="shared" si="4"/>
        <v>46132</v>
      </c>
      <c r="L2361" s="317">
        <f t="array" ref="L2361">(XLOOKUP(D2361,Roster!F:F,Roster!D:D,"",0))</f>
        <v>12</v>
      </c>
      <c r="M2361" s="317" t="str">
        <f t="array" ref="M2361">XLOOKUP(D2361,Roster!F:F,Roster!E:E)</f>
        <v>Voice</v>
      </c>
      <c r="N2361" s="317" t="str">
        <f t="shared" ref="N2361:P2361" si="2395">LEFT(H2361,5)</f>
        <v>10:45</v>
      </c>
      <c r="O2361" s="317" t="str">
        <f t="shared" si="2395"/>
        <v>14:00</v>
      </c>
      <c r="P2361" s="317" t="str">
        <f t="shared" si="2395"/>
        <v>15:45</v>
      </c>
      <c r="Q2361" s="318">
        <f t="shared" si="2365"/>
        <v>46132.44792</v>
      </c>
      <c r="R2361" s="318">
        <f t="shared" si="2366"/>
        <v>46132.58333</v>
      </c>
      <c r="S2361" s="318">
        <f t="shared" si="8"/>
        <v>46132.65625</v>
      </c>
    </row>
    <row r="2362">
      <c r="A2362" s="14" t="str">
        <f t="shared" si="1"/>
        <v>C156546132</v>
      </c>
      <c r="B2362" s="185">
        <f t="array" ref="B2362">IF(F2362="VL","",IF(F2362="Free","Free",XLOOKUP(D2362,Roster!T:T,Roster!S:S,"",0)))</f>
        <v>122</v>
      </c>
      <c r="C2362" s="313">
        <v>46132.0</v>
      </c>
      <c r="D2362" s="314" t="s">
        <v>76</v>
      </c>
      <c r="E2362" s="307" t="str">
        <f t="array" ref="E2362">(XLOOKUP(D2362,Roster!F:F,Roster!B:B,"",0))</f>
        <v>Sergio Rojas</v>
      </c>
      <c r="F2362" s="315" t="str">
        <f t="array" ref="F2362">IF(B2362=100,"Free",TEXT(XLOOKUP($D2362,OperationVoice!$A:$A,OperationVoice!Z:Z,XLOOKUP($D2362,OperationTickets!$A:$A,OperationTickets!Z:Z,"",0)),"hh:mm"))</f>
        <v>11:00</v>
      </c>
      <c r="G2362" s="309">
        <f t="shared" si="3"/>
        <v>0.8333333333</v>
      </c>
      <c r="H2362" s="316" t="str">
        <f t="array" ref="H2362">XLOOKUP(B2362,Roster!L:L,Roster!N:N,XLOOKUP(D2362,TicketsBreak!A:A,TicketsBreak!E:E,"",0),0)</f>
        <v>09:30 - 09:45</v>
      </c>
      <c r="I2362" s="316" t="str">
        <f t="array" ref="I2362">XLOOKUP(B2362,Roster!L:L,Roster!O:O,XLOOKUP(D2362,TicketsBreak!A:A,TicketsBreak!F:F,"",0),0)</f>
        <v>12:00 - 12:30</v>
      </c>
      <c r="J2362" s="316" t="str">
        <f t="array" ref="J2362">XLOOKUP(B2362,Roster!L:L,Roster!P:P,XLOOKUP(D2362,TicketsBreak!A:A,TicketsBreak!G:G,"",0),0)</f>
        <v>14:45 - 15:00</v>
      </c>
      <c r="K2362" s="310">
        <f t="shared" si="4"/>
        <v>46132</v>
      </c>
      <c r="L2362" s="317">
        <f t="array" ref="L2362">(XLOOKUP(D2362,Roster!F:F,Roster!D:D,"",0))</f>
        <v>38</v>
      </c>
      <c r="M2362" s="317" t="str">
        <f t="array" ref="M2362">XLOOKUP(D2362,Roster!F:F,Roster!E:E)</f>
        <v>Voice</v>
      </c>
      <c r="N2362" s="317" t="str">
        <f t="shared" ref="N2362:P2362" si="2396">LEFT(H2362,5)</f>
        <v>09:30</v>
      </c>
      <c r="O2362" s="317" t="str">
        <f t="shared" si="2396"/>
        <v>12:00</v>
      </c>
      <c r="P2362" s="317" t="str">
        <f t="shared" si="2396"/>
        <v>14:45</v>
      </c>
      <c r="Q2362" s="318">
        <f t="shared" si="2365"/>
        <v>46132.39583</v>
      </c>
      <c r="R2362" s="318">
        <f t="shared" si="2366"/>
        <v>46132.5</v>
      </c>
      <c r="S2362" s="318">
        <f t="shared" si="8"/>
        <v>46132.61458</v>
      </c>
    </row>
    <row r="2363">
      <c r="A2363" s="14" t="str">
        <f t="shared" si="1"/>
        <v>C147846132</v>
      </c>
      <c r="B2363" s="185" t="str">
        <f t="array" ref="B2363">IF(F2363="VL","",IF(F2363="Free","Free",XLOOKUP(D2363,Roster!T:T,Roster!S:S,"",0)))</f>
        <v/>
      </c>
      <c r="C2363" s="313">
        <v>46132.0</v>
      </c>
      <c r="D2363" s="314" t="s">
        <v>186</v>
      </c>
      <c r="E2363" s="307" t="str">
        <f t="array" ref="E2363">(XLOOKUP(D2363,Roster!F:F,Roster!B:B,"",0))</f>
        <v>Simon Atehortua</v>
      </c>
      <c r="F2363" s="315" t="str">
        <f t="array" ref="F2363">IF(B2363=100,"Free",TEXT(XLOOKUP($D2363,OperationVoice!$A:$A,OperationVoice!Z:Z,XLOOKUP($D2363,OperationTickets!$A:$A,OperationTickets!Z:Z,"",0)),"hh:mm"))</f>
        <v>07:00</v>
      </c>
      <c r="G2363" s="309">
        <f t="shared" si="3"/>
        <v>0.6666666667</v>
      </c>
      <c r="H2363" s="316" t="str">
        <f t="array" ref="H2363">XLOOKUP(B2363,Roster!L:L,Roster!N:N,XLOOKUP(D2363,TicketsBreak!A:A,TicketsBreak!E:E,"",0),0)</f>
        <v/>
      </c>
      <c r="I2363" s="316" t="str">
        <f t="array" ref="I2363">XLOOKUP(B2363,Roster!L:L,Roster!O:O,XLOOKUP(D2363,TicketsBreak!A:A,TicketsBreak!F:F,"",0),0)</f>
        <v/>
      </c>
      <c r="J2363" s="316" t="str">
        <f t="array" ref="J2363">XLOOKUP(B2363,Roster!L:L,Roster!P:P,XLOOKUP(D2363,TicketsBreak!A:A,TicketsBreak!G:G,"",0),0)</f>
        <v/>
      </c>
      <c r="K2363" s="310">
        <f t="shared" si="4"/>
        <v>46132</v>
      </c>
      <c r="L2363" s="317">
        <f t="array" ref="L2363">(XLOOKUP(D2363,Roster!F:F,Roster!D:D,"",0))</f>
        <v>32</v>
      </c>
      <c r="M2363" s="317" t="str">
        <f t="array" ref="M2363">XLOOKUP(D2363,Roster!F:F,Roster!E:E)</f>
        <v>Tickets</v>
      </c>
      <c r="N2363" s="317" t="str">
        <f t="shared" ref="N2363:P2363" si="2397">LEFT(H2363,5)</f>
        <v/>
      </c>
      <c r="O2363" s="317" t="str">
        <f t="shared" si="2397"/>
        <v/>
      </c>
      <c r="P2363" s="317" t="str">
        <f t="shared" si="2397"/>
        <v/>
      </c>
      <c r="Q2363" s="318" t="str">
        <f t="shared" si="2365"/>
        <v/>
      </c>
      <c r="R2363" s="318" t="str">
        <f t="shared" si="2366"/>
        <v/>
      </c>
      <c r="S2363" s="318" t="str">
        <f t="shared" si="8"/>
        <v/>
      </c>
    </row>
    <row r="2364">
      <c r="A2364" s="14" t="str">
        <f t="shared" si="1"/>
        <v>C148346132</v>
      </c>
      <c r="B2364" s="185">
        <f t="array" ref="B2364">IF(F2364="VL","",IF(F2364="Free","Free",XLOOKUP(D2364,Roster!T:T,Roster!S:S,"",0)))</f>
        <v>152</v>
      </c>
      <c r="C2364" s="313">
        <v>46132.0</v>
      </c>
      <c r="D2364" s="314" t="s">
        <v>77</v>
      </c>
      <c r="E2364" s="307" t="str">
        <f t="array" ref="E2364">(XLOOKUP(D2364,Roster!F:F,Roster!B:B,"",0))</f>
        <v>Simon Zuluaica</v>
      </c>
      <c r="F2364" s="315" t="str">
        <f t="array" ref="F2364">IF(B2364=100,"Free",TEXT(XLOOKUP($D2364,OperationVoice!$A:$A,OperationVoice!Z:Z,XLOOKUP($D2364,OperationTickets!$A:$A,OperationTickets!Z:Z,"",0)),"hh:mm"))</f>
        <v>11:00</v>
      </c>
      <c r="G2364" s="309">
        <f t="shared" si="3"/>
        <v>0.8333333333</v>
      </c>
      <c r="H2364" s="316" t="str">
        <f t="array" ref="H2364">XLOOKUP(B2364,Roster!L:L,Roster!N:N,XLOOKUP(D2364,TicketsBreak!A:A,TicketsBreak!E:E,"",0),0)</f>
        <v>12:30 - 12:45</v>
      </c>
      <c r="I2364" s="316" t="str">
        <f t="array" ref="I2364">XLOOKUP(B2364,Roster!L:L,Roster!O:O,XLOOKUP(D2364,TicketsBreak!A:A,TicketsBreak!F:F,"",0),0)</f>
        <v>14:30 - 15:00</v>
      </c>
      <c r="J2364" s="316" t="str">
        <f t="array" ref="J2364">XLOOKUP(B2364,Roster!L:L,Roster!P:P,XLOOKUP(D2364,TicketsBreak!A:A,TicketsBreak!G:G,"",0),0)</f>
        <v>17:30 - 17:45</v>
      </c>
      <c r="K2364" s="310">
        <f t="shared" si="4"/>
        <v>46132</v>
      </c>
      <c r="L2364" s="317">
        <f t="array" ref="L2364">(XLOOKUP(D2364,Roster!F:F,Roster!D:D,"",0))</f>
        <v>34</v>
      </c>
      <c r="M2364" s="317" t="str">
        <f t="array" ref="M2364">XLOOKUP(D2364,Roster!F:F,Roster!E:E)</f>
        <v>Voice</v>
      </c>
      <c r="N2364" s="317" t="str">
        <f t="shared" ref="N2364:P2364" si="2398">LEFT(H2364,5)</f>
        <v>12:30</v>
      </c>
      <c r="O2364" s="317" t="str">
        <f t="shared" si="2398"/>
        <v>14:30</v>
      </c>
      <c r="P2364" s="317" t="str">
        <f t="shared" si="2398"/>
        <v>17:30</v>
      </c>
      <c r="Q2364" s="318">
        <f t="shared" si="2365"/>
        <v>46132.52083</v>
      </c>
      <c r="R2364" s="318">
        <f t="shared" si="2366"/>
        <v>46132.60417</v>
      </c>
      <c r="S2364" s="318">
        <f t="shared" si="8"/>
        <v>46132.72917</v>
      </c>
    </row>
    <row r="2365">
      <c r="A2365" s="14" t="str">
        <f t="shared" si="1"/>
        <v>C154046132</v>
      </c>
      <c r="B2365" s="185">
        <f t="array" ref="B2365">IF(F2365="VL","",IF(F2365="Free","Free",XLOOKUP(D2365,Roster!T:T,Roster!S:S,"",0)))</f>
        <v>122</v>
      </c>
      <c r="C2365" s="313">
        <v>46132.0</v>
      </c>
      <c r="D2365" s="314" t="s">
        <v>78</v>
      </c>
      <c r="E2365" s="307" t="str">
        <f t="array" ref="E2365">(XLOOKUP(D2365,Roster!F:F,Roster!B:B,"",0))</f>
        <v>Tomas Perez</v>
      </c>
      <c r="F2365" s="315" t="str">
        <f t="array" ref="F2365">IF(B2365=100,"Free",TEXT(XLOOKUP($D2365,OperationVoice!$A:$A,OperationVoice!Z:Z,XLOOKUP($D2365,OperationTickets!$A:$A,OperationTickets!Z:Z,"",0)),"hh:mm"))</f>
        <v>08:00</v>
      </c>
      <c r="G2365" s="309">
        <f t="shared" si="3"/>
        <v>0.7083333333</v>
      </c>
      <c r="H2365" s="316" t="str">
        <f t="array" ref="H2365">XLOOKUP(B2365,Roster!L:L,Roster!N:N,XLOOKUP(D2365,TicketsBreak!A:A,TicketsBreak!E:E,"",0),0)</f>
        <v>09:30 - 09:45</v>
      </c>
      <c r="I2365" s="316" t="str">
        <f t="array" ref="I2365">XLOOKUP(B2365,Roster!L:L,Roster!O:O,XLOOKUP(D2365,TicketsBreak!A:A,TicketsBreak!F:F,"",0),0)</f>
        <v>12:00 - 12:30</v>
      </c>
      <c r="J2365" s="316" t="str">
        <f t="array" ref="J2365">XLOOKUP(B2365,Roster!L:L,Roster!P:P,XLOOKUP(D2365,TicketsBreak!A:A,TicketsBreak!G:G,"",0),0)</f>
        <v>14:45 - 15:00</v>
      </c>
      <c r="K2365" s="310">
        <f t="shared" si="4"/>
        <v>46132</v>
      </c>
      <c r="L2365" s="317">
        <f t="array" ref="L2365">(XLOOKUP(D2365,Roster!F:F,Roster!D:D,"",0))</f>
        <v>36</v>
      </c>
      <c r="M2365" s="317" t="str">
        <f t="array" ref="M2365">XLOOKUP(D2365,Roster!F:F,Roster!E:E)</f>
        <v>Voice</v>
      </c>
      <c r="N2365" s="317" t="str">
        <f t="shared" ref="N2365:P2365" si="2399">LEFT(H2365,5)</f>
        <v>09:30</v>
      </c>
      <c r="O2365" s="317" t="str">
        <f t="shared" si="2399"/>
        <v>12:00</v>
      </c>
      <c r="P2365" s="317" t="str">
        <f t="shared" si="2399"/>
        <v>14:45</v>
      </c>
      <c r="Q2365" s="318">
        <f t="shared" si="2365"/>
        <v>46132.39583</v>
      </c>
      <c r="R2365" s="318">
        <f t="shared" si="2366"/>
        <v>46132.5</v>
      </c>
      <c r="S2365" s="318">
        <f t="shared" si="8"/>
        <v>46132.61458</v>
      </c>
    </row>
    <row r="2366">
      <c r="A2366" s="14" t="str">
        <f t="shared" si="1"/>
        <v>C154746132</v>
      </c>
      <c r="B2366" s="185">
        <f t="array" ref="B2366">IF(F2366="VL","",IF(F2366="Free","Free",XLOOKUP(D2366,Roster!T:T,Roster!S:S,"",0)))</f>
        <v>121</v>
      </c>
      <c r="C2366" s="313">
        <v>46132.0</v>
      </c>
      <c r="D2366" s="314" t="s">
        <v>79</v>
      </c>
      <c r="E2366" s="307" t="str">
        <f t="array" ref="E2366">(XLOOKUP(D2366,Roster!F:F,Roster!B:B,"",0))</f>
        <v>Valentina Barreto</v>
      </c>
      <c r="F2366" s="315" t="str">
        <f t="array" ref="F2366">IF(B2366=100,"Free",TEXT(XLOOKUP($D2366,OperationVoice!$A:$A,OperationVoice!Z:Z,XLOOKUP($D2366,OperationTickets!$A:$A,OperationTickets!Z:Z,"",0)),"hh:mm"))</f>
        <v>08:00</v>
      </c>
      <c r="G2366" s="309">
        <f t="shared" si="3"/>
        <v>0.7083333333</v>
      </c>
      <c r="H2366" s="316" t="str">
        <f t="array" ref="H2366">XLOOKUP(B2366,Roster!L:L,Roster!N:N,XLOOKUP(D2366,TicketsBreak!A:A,TicketsBreak!E:E,"",0),0)</f>
        <v>09:15 - 09:30</v>
      </c>
      <c r="I2366" s="316" t="str">
        <f t="array" ref="I2366">XLOOKUP(B2366,Roster!L:L,Roster!O:O,XLOOKUP(D2366,TicketsBreak!A:A,TicketsBreak!F:F,"",0),0)</f>
        <v>11:30 - 12:00</v>
      </c>
      <c r="J2366" s="316" t="str">
        <f t="array" ref="J2366">XLOOKUP(B2366,Roster!L:L,Roster!P:P,XLOOKUP(D2366,TicketsBreak!A:A,TicketsBreak!G:G,"",0),0)</f>
        <v>14:30 - 14:45</v>
      </c>
      <c r="K2366" s="310">
        <f t="shared" si="4"/>
        <v>46132</v>
      </c>
      <c r="L2366" s="317">
        <f t="array" ref="L2366">(XLOOKUP(D2366,Roster!F:F,Roster!D:D,"",0))</f>
        <v>37</v>
      </c>
      <c r="M2366" s="317" t="str">
        <f t="array" ref="M2366">XLOOKUP(D2366,Roster!F:F,Roster!E:E)</f>
        <v>Voice</v>
      </c>
      <c r="N2366" s="317" t="str">
        <f t="shared" ref="N2366:P2366" si="2400">LEFT(H2366,5)</f>
        <v>09:15</v>
      </c>
      <c r="O2366" s="317" t="str">
        <f t="shared" si="2400"/>
        <v>11:30</v>
      </c>
      <c r="P2366" s="317" t="str">
        <f t="shared" si="2400"/>
        <v>14:30</v>
      </c>
      <c r="Q2366" s="318">
        <f t="shared" si="2365"/>
        <v>46132.38542</v>
      </c>
      <c r="R2366" s="318">
        <f t="shared" si="2366"/>
        <v>46132.47917</v>
      </c>
      <c r="S2366" s="318">
        <f t="shared" si="8"/>
        <v>46132.60417</v>
      </c>
    </row>
    <row r="2367">
      <c r="A2367" s="14" t="str">
        <f t="shared" si="1"/>
        <v>C155346132</v>
      </c>
      <c r="B2367" s="185">
        <f t="array" ref="B2367">IF(F2367="VL","",IF(F2367="Free","Free",XLOOKUP(D2367,Roster!T:T,Roster!S:S,"",0)))</f>
        <v>122</v>
      </c>
      <c r="C2367" s="313">
        <v>46132.0</v>
      </c>
      <c r="D2367" s="314" t="s">
        <v>80</v>
      </c>
      <c r="E2367" s="307" t="str">
        <f t="array" ref="E2367">(XLOOKUP(D2367,Roster!F:F,Roster!B:B,"",0))</f>
        <v>Valentina Castro</v>
      </c>
      <c r="F2367" s="315" t="str">
        <f t="array" ref="F2367">IF(B2367=100,"Free",TEXT(XLOOKUP($D2367,OperationVoice!$A:$A,OperationVoice!Z:Z,XLOOKUP($D2367,OperationTickets!$A:$A,OperationTickets!Z:Z,"",0)),"hh:mm"))</f>
        <v>08:00</v>
      </c>
      <c r="G2367" s="309">
        <f t="shared" si="3"/>
        <v>0.7083333333</v>
      </c>
      <c r="H2367" s="316" t="str">
        <f t="array" ref="H2367">XLOOKUP(B2367,Roster!L:L,Roster!N:N,XLOOKUP(D2367,TicketsBreak!A:A,TicketsBreak!E:E,"",0),0)</f>
        <v>09:30 - 09:45</v>
      </c>
      <c r="I2367" s="316" t="str">
        <f t="array" ref="I2367">XLOOKUP(B2367,Roster!L:L,Roster!O:O,XLOOKUP(D2367,TicketsBreak!A:A,TicketsBreak!F:F,"",0),0)</f>
        <v>12:00 - 12:30</v>
      </c>
      <c r="J2367" s="316" t="str">
        <f t="array" ref="J2367">XLOOKUP(B2367,Roster!L:L,Roster!P:P,XLOOKUP(D2367,TicketsBreak!A:A,TicketsBreak!G:G,"",0),0)</f>
        <v>14:45 - 15:00</v>
      </c>
      <c r="K2367" s="310">
        <f t="shared" si="4"/>
        <v>46132</v>
      </c>
      <c r="L2367" s="317">
        <f t="array" ref="L2367">(XLOOKUP(D2367,Roster!F:F,Roster!D:D,"",0))</f>
        <v>37</v>
      </c>
      <c r="M2367" s="317" t="str">
        <f t="array" ref="M2367">XLOOKUP(D2367,Roster!F:F,Roster!E:E)</f>
        <v>Voice</v>
      </c>
      <c r="N2367" s="317" t="str">
        <f t="shared" ref="N2367:P2367" si="2401">LEFT(H2367,5)</f>
        <v>09:30</v>
      </c>
      <c r="O2367" s="317" t="str">
        <f t="shared" si="2401"/>
        <v>12:00</v>
      </c>
      <c r="P2367" s="317" t="str">
        <f t="shared" si="2401"/>
        <v>14:45</v>
      </c>
      <c r="Q2367" s="318">
        <f t="shared" si="2365"/>
        <v>46132.39583</v>
      </c>
      <c r="R2367" s="318">
        <f t="shared" si="2366"/>
        <v>46132.5</v>
      </c>
      <c r="S2367" s="318">
        <f t="shared" si="8"/>
        <v>46132.61458</v>
      </c>
    </row>
    <row r="2368">
      <c r="A2368" s="14" t="str">
        <f t="shared" si="1"/>
        <v>C150246132</v>
      </c>
      <c r="B2368" s="185" t="str">
        <f t="array" ref="B2368">IF(F2368="VL","",IF(F2368="Free","Free",XLOOKUP(D2368,Roster!T:T,Roster!S:S,"",0)))</f>
        <v/>
      </c>
      <c r="C2368" s="313">
        <v>46132.0</v>
      </c>
      <c r="D2368" s="314" t="s">
        <v>316</v>
      </c>
      <c r="E2368" s="307" t="str">
        <f t="array" ref="E2368">(XLOOKUP(D2368,Roster!F:F,Roster!B:B,"",0))</f>
        <v>Valentina Gallego</v>
      </c>
      <c r="F2368" s="315" t="str">
        <f t="array" ref="F2368">IF(B2368=100,"Free",TEXT(XLOOKUP($D2368,OperationVoice!$A:$A,OperationVoice!Z:Z,XLOOKUP($D2368,OperationTickets!$A:$A,OperationTickets!Z:Z,"",0)),"hh:mm"))</f>
        <v/>
      </c>
      <c r="G2368" s="309" t="str">
        <f t="shared" si="3"/>
        <v/>
      </c>
      <c r="H2368" s="316" t="str">
        <f t="array" ref="H2368">XLOOKUP(B2368,Roster!L:L,Roster!N:N,XLOOKUP(D2368,TicketsBreak!A:A,TicketsBreak!E:E,"",0),0)</f>
        <v/>
      </c>
      <c r="I2368" s="316" t="str">
        <f t="array" ref="I2368">XLOOKUP(B2368,Roster!L:L,Roster!O:O,XLOOKUP(D2368,TicketsBreak!A:A,TicketsBreak!F:F,"",0),0)</f>
        <v/>
      </c>
      <c r="J2368" s="316" t="str">
        <f t="array" ref="J2368">XLOOKUP(B2368,Roster!L:L,Roster!P:P,XLOOKUP(D2368,TicketsBreak!A:A,TicketsBreak!G:G,"",0),0)</f>
        <v/>
      </c>
      <c r="K2368" s="310">
        <f t="shared" si="4"/>
        <v>46132</v>
      </c>
      <c r="L2368" s="317">
        <f t="array" ref="L2368">(XLOOKUP(D2368,Roster!F:F,Roster!D:D,"",0))</f>
        <v>35</v>
      </c>
      <c r="M2368" s="317" t="str">
        <f t="array" ref="M2368">XLOOKUP(D2368,Roster!F:F,Roster!E:E)</f>
        <v>Voice</v>
      </c>
      <c r="N2368" s="317" t="str">
        <f t="shared" ref="N2368:P2368" si="2402">LEFT(H2368,5)</f>
        <v/>
      </c>
      <c r="O2368" s="317" t="str">
        <f t="shared" si="2402"/>
        <v/>
      </c>
      <c r="P2368" s="317" t="str">
        <f t="shared" si="2402"/>
        <v/>
      </c>
      <c r="Q2368" s="318" t="str">
        <f t="shared" si="2365"/>
        <v/>
      </c>
      <c r="R2368" s="318" t="str">
        <f t="shared" si="2366"/>
        <v/>
      </c>
      <c r="S2368" s="318" t="str">
        <f t="shared" si="8"/>
        <v/>
      </c>
    </row>
    <row r="2369">
      <c r="A2369" s="14" t="str">
        <f t="shared" si="1"/>
        <v>C112646132</v>
      </c>
      <c r="B2369" s="185" t="str">
        <f t="array" ref="B2369">IF(F2369="VL","",IF(F2369="Free","Free",XLOOKUP(D2369,Roster!T:T,Roster!S:S,"",0)))</f>
        <v/>
      </c>
      <c r="C2369" s="313">
        <v>46132.0</v>
      </c>
      <c r="D2369" s="314" t="s">
        <v>152</v>
      </c>
      <c r="E2369" s="307" t="str">
        <f t="array" ref="E2369">(XLOOKUP(D2369,Roster!F:F,Roster!B:B,"",0))</f>
        <v>Valery Escobar</v>
      </c>
      <c r="F2369" s="315" t="str">
        <f t="array" ref="F2369">IF(B2369=100,"Free",TEXT(XLOOKUP($D2369,OperationVoice!$A:$A,OperationVoice!Z:Z,XLOOKUP($D2369,OperationTickets!$A:$A,OperationTickets!Z:Z,"",0)),"hh:mm"))</f>
        <v>08:00</v>
      </c>
      <c r="G2369" s="309">
        <f t="shared" si="3"/>
        <v>0.7083333333</v>
      </c>
      <c r="H2369" s="316">
        <f t="array" ref="H2369">XLOOKUP(B2369,Roster!L:L,Roster!N:N,XLOOKUP(D2369,TicketsBreak!A:A,TicketsBreak!E:E,"",0),0)</f>
        <v>0.3854166667</v>
      </c>
      <c r="I2369" s="316">
        <f t="array" ref="I2369">XLOOKUP(B2369,Roster!L:L,Roster!O:O,XLOOKUP(D2369,TicketsBreak!A:A,TicketsBreak!F:F,"",0),0)</f>
        <v>0.5</v>
      </c>
      <c r="J2369" s="316">
        <f t="array" ref="J2369">XLOOKUP(B2369,Roster!L:L,Roster!P:P,XLOOKUP(D2369,TicketsBreak!A:A,TicketsBreak!G:G,"",0),0)</f>
        <v>0.6041666667</v>
      </c>
      <c r="K2369" s="310">
        <f t="shared" si="4"/>
        <v>46132</v>
      </c>
      <c r="L2369" s="317">
        <f t="array" ref="L2369">(XLOOKUP(D2369,Roster!F:F,Roster!D:D,"",0))</f>
        <v>21</v>
      </c>
      <c r="M2369" s="317" t="str">
        <f t="array" ref="M2369">XLOOKUP(D2369,Roster!F:F,Roster!E:E)</f>
        <v>Tickets</v>
      </c>
      <c r="N2369" s="317" t="str">
        <f t="shared" ref="N2369:P2369" si="2403">LEFT(H2369,5)</f>
        <v>09:15</v>
      </c>
      <c r="O2369" s="317" t="str">
        <f t="shared" si="2403"/>
        <v>12:00</v>
      </c>
      <c r="P2369" s="317" t="str">
        <f t="shared" si="2403"/>
        <v>14:30</v>
      </c>
      <c r="Q2369" s="318">
        <f t="shared" si="2365"/>
        <v>46132.38542</v>
      </c>
      <c r="R2369" s="318">
        <f t="shared" si="2366"/>
        <v>46132.5</v>
      </c>
      <c r="S2369" s="318">
        <f t="shared" si="8"/>
        <v>46132.60417</v>
      </c>
    </row>
    <row r="2370">
      <c r="A2370" s="14" t="str">
        <f t="shared" si="1"/>
        <v>C155246132</v>
      </c>
      <c r="B2370" s="185">
        <f t="array" ref="B2370">IF(F2370="VL","",IF(F2370="Free","Free",XLOOKUP(D2370,Roster!T:T,Roster!S:S,"",0)))</f>
        <v>125</v>
      </c>
      <c r="C2370" s="313">
        <v>46132.0</v>
      </c>
      <c r="D2370" s="314" t="s">
        <v>81</v>
      </c>
      <c r="E2370" s="307" t="str">
        <f t="array" ref="E2370">(XLOOKUP(D2370,Roster!F:F,Roster!B:B,"",0))</f>
        <v>Wendy Machado</v>
      </c>
      <c r="F2370" s="315" t="str">
        <f t="array" ref="F2370">IF(B2370=100,"Free",TEXT(XLOOKUP($D2370,OperationVoice!$A:$A,OperationVoice!Z:Z,XLOOKUP($D2370,OperationTickets!$A:$A,OperationTickets!Z:Z,"",0)),"hh:mm"))</f>
        <v>08:00</v>
      </c>
      <c r="G2370" s="309">
        <f t="shared" si="3"/>
        <v>0.7083333333</v>
      </c>
      <c r="H2370" s="316" t="str">
        <f t="array" ref="H2370">XLOOKUP(B2370,Roster!L:L,Roster!N:N,XLOOKUP(D2370,TicketsBreak!A:A,TicketsBreak!E:E,"",0),0)</f>
        <v>10:30 - 10:45</v>
      </c>
      <c r="I2370" s="316" t="str">
        <f t="array" ref="I2370">XLOOKUP(B2370,Roster!L:L,Roster!O:O,XLOOKUP(D2370,TicketsBreak!A:A,TicketsBreak!F:F,"",0),0)</f>
        <v>13:30 - 14:00</v>
      </c>
      <c r="J2370" s="316" t="str">
        <f t="array" ref="J2370">XLOOKUP(B2370,Roster!L:L,Roster!P:P,XLOOKUP(D2370,TicketsBreak!A:A,TicketsBreak!G:G,"",0),0)</f>
        <v>15:45 - 16:00</v>
      </c>
      <c r="K2370" s="310">
        <f t="shared" si="4"/>
        <v>46132</v>
      </c>
      <c r="L2370" s="317">
        <f t="array" ref="L2370">(XLOOKUP(D2370,Roster!F:F,Roster!D:D,"",0))</f>
        <v>37</v>
      </c>
      <c r="M2370" s="317" t="str">
        <f t="array" ref="M2370">XLOOKUP(D2370,Roster!F:F,Roster!E:E)</f>
        <v>Voice</v>
      </c>
      <c r="N2370" s="317" t="str">
        <f t="shared" ref="N2370:P2370" si="2404">LEFT(H2370,5)</f>
        <v>10:30</v>
      </c>
      <c r="O2370" s="317" t="str">
        <f t="shared" si="2404"/>
        <v>13:30</v>
      </c>
      <c r="P2370" s="317" t="str">
        <f t="shared" si="2404"/>
        <v>15:45</v>
      </c>
      <c r="Q2370" s="318">
        <f t="shared" si="2365"/>
        <v>46132.4375</v>
      </c>
      <c r="R2370" s="318">
        <f t="shared" si="2366"/>
        <v>46132.5625</v>
      </c>
      <c r="S2370" s="318">
        <f t="shared" si="8"/>
        <v>46132.65625</v>
      </c>
    </row>
    <row r="2371">
      <c r="A2371" s="14" t="str">
        <f t="shared" si="1"/>
        <v>C78646132</v>
      </c>
      <c r="B2371" s="185" t="str">
        <f t="array" ref="B2371">IF(F2371="VL","",IF(F2371="Free","Free",XLOOKUP(D2371,Roster!T:T,Roster!S:S,"",0)))</f>
        <v/>
      </c>
      <c r="C2371" s="313">
        <v>46132.0</v>
      </c>
      <c r="D2371" s="314" t="s">
        <v>136</v>
      </c>
      <c r="E2371" s="307" t="str">
        <f t="array" ref="E2371">(XLOOKUP(D2371,Roster!F:F,Roster!B:B,"",0))</f>
        <v>Wendy Navarro</v>
      </c>
      <c r="F2371" s="315" t="str">
        <f t="array" ref="F2371">IF(B2371=100,"Free",TEXT(XLOOKUP($D2371,OperationVoice!$A:$A,OperationVoice!Z:Z,XLOOKUP($D2371,OperationTickets!$A:$A,OperationTickets!Z:Z,"",0)),"hh:mm"))</f>
        <v>08:00</v>
      </c>
      <c r="G2371" s="309">
        <f t="shared" si="3"/>
        <v>0.7083333333</v>
      </c>
      <c r="H2371" s="316">
        <f t="array" ref="H2371">XLOOKUP(B2371,Roster!L:L,Roster!N:N,XLOOKUP(D2371,TicketsBreak!A:A,TicketsBreak!E:E,"",0),0)</f>
        <v>0.4166666667</v>
      </c>
      <c r="I2371" s="316">
        <f t="array" ref="I2371">XLOOKUP(B2371,Roster!L:L,Roster!O:O,XLOOKUP(D2371,TicketsBreak!A:A,TicketsBreak!F:F,"",0),0)</f>
        <v>0.5416666667</v>
      </c>
      <c r="J2371" s="316">
        <f t="array" ref="J2371">XLOOKUP(B2371,Roster!L:L,Roster!P:P,XLOOKUP(D2371,TicketsBreak!A:A,TicketsBreak!G:G,"",0),0)</f>
        <v>0.6458333333</v>
      </c>
      <c r="K2371" s="310">
        <f t="shared" si="4"/>
        <v>46132</v>
      </c>
      <c r="L2371" s="317">
        <f t="array" ref="L2371">(XLOOKUP(D2371,Roster!F:F,Roster!D:D,"",0))</f>
        <v>16</v>
      </c>
      <c r="M2371" s="317" t="str">
        <f t="array" ref="M2371">XLOOKUP(D2371,Roster!F:F,Roster!E:E)</f>
        <v>Tickets</v>
      </c>
      <c r="N2371" s="317" t="str">
        <f t="shared" ref="N2371:P2371" si="2405">LEFT(H2371,5)</f>
        <v>10:00</v>
      </c>
      <c r="O2371" s="317" t="str">
        <f t="shared" si="2405"/>
        <v>13:00</v>
      </c>
      <c r="P2371" s="317" t="str">
        <f t="shared" si="2405"/>
        <v>15:30</v>
      </c>
      <c r="Q2371" s="318">
        <f t="shared" si="2365"/>
        <v>46132.41667</v>
      </c>
      <c r="R2371" s="318">
        <f t="shared" si="2366"/>
        <v>46132.54167</v>
      </c>
      <c r="S2371" s="318">
        <f t="shared" si="8"/>
        <v>46132.64583</v>
      </c>
    </row>
    <row r="2372">
      <c r="A2372" s="14" t="str">
        <f t="shared" si="1"/>
        <v>C153746132</v>
      </c>
      <c r="B2372" s="185">
        <f t="array" ref="B2372">IF(F2372="VL","",IF(F2372="Free","Free",XLOOKUP(D2372,Roster!T:T,Roster!S:S,"",0)))</f>
        <v>135</v>
      </c>
      <c r="C2372" s="313">
        <v>46132.0</v>
      </c>
      <c r="D2372" s="314" t="s">
        <v>82</v>
      </c>
      <c r="E2372" s="307" t="str">
        <f t="array" ref="E2372">(XLOOKUP(D2372,Roster!F:F,Roster!B:B,"",0))</f>
        <v>William Florez</v>
      </c>
      <c r="F2372" s="315" t="str">
        <f t="array" ref="F2372">IF(B2372=100,"Free",TEXT(XLOOKUP($D2372,OperationVoice!$A:$A,OperationVoice!Z:Z,XLOOKUP($D2372,OperationTickets!$A:$A,OperationTickets!Z:Z,"",0)),"hh:mm"))</f>
        <v>09:00</v>
      </c>
      <c r="G2372" s="309">
        <f t="shared" si="3"/>
        <v>0.75</v>
      </c>
      <c r="H2372" s="316" t="str">
        <f t="array" ref="H2372">XLOOKUP(B2372,Roster!L:L,Roster!N:N,XLOOKUP(D2372,TicketsBreak!A:A,TicketsBreak!E:E,"",0),0)</f>
        <v>11:15 - 11:30</v>
      </c>
      <c r="I2372" s="316" t="str">
        <f t="array" ref="I2372">XLOOKUP(B2372,Roster!L:L,Roster!O:O,XLOOKUP(D2372,TicketsBreak!A:A,TicketsBreak!F:F,"",0),0)</f>
        <v>14:15 - 14:45</v>
      </c>
      <c r="J2372" s="316" t="str">
        <f t="array" ref="J2372">XLOOKUP(B2372,Roster!L:L,Roster!P:P,XLOOKUP(D2372,TicketsBreak!A:A,TicketsBreak!G:G,"",0),0)</f>
        <v>16:15 - 16:30</v>
      </c>
      <c r="K2372" s="310">
        <f t="shared" si="4"/>
        <v>46132</v>
      </c>
      <c r="L2372" s="317">
        <f t="array" ref="L2372">(XLOOKUP(D2372,Roster!F:F,Roster!D:D,"",0))</f>
        <v>36</v>
      </c>
      <c r="M2372" s="317" t="str">
        <f t="array" ref="M2372">XLOOKUP(D2372,Roster!F:F,Roster!E:E)</f>
        <v>Voice</v>
      </c>
      <c r="N2372" s="317" t="str">
        <f t="shared" ref="N2372:P2372" si="2406">LEFT(H2372,5)</f>
        <v>11:15</v>
      </c>
      <c r="O2372" s="317" t="str">
        <f t="shared" si="2406"/>
        <v>14:15</v>
      </c>
      <c r="P2372" s="317" t="str">
        <f t="shared" si="2406"/>
        <v>16:15</v>
      </c>
      <c r="Q2372" s="318">
        <f t="shared" si="2365"/>
        <v>46132.46875</v>
      </c>
      <c r="R2372" s="318">
        <f t="shared" si="2366"/>
        <v>46132.59375</v>
      </c>
      <c r="S2372" s="318">
        <f t="shared" si="8"/>
        <v>46132.67708</v>
      </c>
    </row>
    <row r="2373">
      <c r="A2373" s="14" t="str">
        <f t="shared" si="1"/>
        <v>C135346132</v>
      </c>
      <c r="B2373" s="185">
        <f t="array" ref="B2373">IF(F2373="VL","",IF(F2373="Free","Free",XLOOKUP(D2373,Roster!T:T,Roster!S:S,"",0)))</f>
        <v>121</v>
      </c>
      <c r="C2373" s="313">
        <v>46132.0</v>
      </c>
      <c r="D2373" s="314" t="s">
        <v>83</v>
      </c>
      <c r="E2373" s="307" t="str">
        <f t="array" ref="E2373">(XLOOKUP(D2373,Roster!F:F,Roster!B:B,"",0))</f>
        <v>Wilson Martinez</v>
      </c>
      <c r="F2373" s="315" t="str">
        <f t="array" ref="F2373">IF(B2373=100,"Free",TEXT(XLOOKUP($D2373,OperationVoice!$A:$A,OperationVoice!Z:Z,XLOOKUP($D2373,OperationTickets!$A:$A,OperationTickets!Z:Z,"",0)),"hh:mm"))</f>
        <v>08:00</v>
      </c>
      <c r="G2373" s="309">
        <f t="shared" si="3"/>
        <v>0.7083333333</v>
      </c>
      <c r="H2373" s="316" t="str">
        <f t="array" ref="H2373">XLOOKUP(B2373,Roster!L:L,Roster!N:N,XLOOKUP(D2373,TicketsBreak!A:A,TicketsBreak!E:E,"",0),0)</f>
        <v>09:15 - 09:30</v>
      </c>
      <c r="I2373" s="316" t="str">
        <f t="array" ref="I2373">XLOOKUP(B2373,Roster!L:L,Roster!O:O,XLOOKUP(D2373,TicketsBreak!A:A,TicketsBreak!F:F,"",0),0)</f>
        <v>11:30 - 12:00</v>
      </c>
      <c r="J2373" s="316" t="str">
        <f t="array" ref="J2373">XLOOKUP(B2373,Roster!L:L,Roster!P:P,XLOOKUP(D2373,TicketsBreak!A:A,TicketsBreak!G:G,"",0),0)</f>
        <v>14:30 - 14:45</v>
      </c>
      <c r="K2373" s="310">
        <f t="shared" si="4"/>
        <v>46132</v>
      </c>
      <c r="L2373" s="317">
        <f t="array" ref="L2373">(XLOOKUP(D2373,Roster!F:F,Roster!D:D,"",0))</f>
        <v>30</v>
      </c>
      <c r="M2373" s="317" t="str">
        <f t="array" ref="M2373">XLOOKUP(D2373,Roster!F:F,Roster!E:E)</f>
        <v>Voice</v>
      </c>
      <c r="N2373" s="317" t="str">
        <f t="shared" ref="N2373:P2373" si="2407">LEFT(H2373,5)</f>
        <v>09:15</v>
      </c>
      <c r="O2373" s="317" t="str">
        <f t="shared" si="2407"/>
        <v>11:30</v>
      </c>
      <c r="P2373" s="317" t="str">
        <f t="shared" si="2407"/>
        <v>14:30</v>
      </c>
      <c r="Q2373" s="318">
        <f t="shared" si="2365"/>
        <v>46132.38542</v>
      </c>
      <c r="R2373" s="318">
        <f t="shared" si="2366"/>
        <v>46132.47917</v>
      </c>
      <c r="S2373" s="318">
        <f t="shared" si="8"/>
        <v>46132.60417</v>
      </c>
    </row>
    <row r="2374">
      <c r="A2374" s="14" t="str">
        <f t="shared" si="1"/>
        <v>C117346132</v>
      </c>
      <c r="B2374" s="185">
        <f t="array" ref="B2374">IF(F2374="VL","",IF(F2374="Free","Free",XLOOKUP(D2374,Roster!T:T,Roster!S:S,"",0)))</f>
        <v>122</v>
      </c>
      <c r="C2374" s="313">
        <v>46132.0</v>
      </c>
      <c r="D2374" s="314" t="s">
        <v>84</v>
      </c>
      <c r="E2374" s="307" t="str">
        <f t="array" ref="E2374">(XLOOKUP(D2374,Roster!F:F,Roster!B:B,"",0))</f>
        <v>Yaidy Mosquera</v>
      </c>
      <c r="F2374" s="315" t="str">
        <f t="array" ref="F2374">IF(B2374=100,"Free",TEXT(XLOOKUP($D2374,OperationVoice!$A:$A,OperationVoice!Z:Z,XLOOKUP($D2374,OperationTickets!$A:$A,OperationTickets!Z:Z,"",0)),"hh:mm"))</f>
        <v>08:00</v>
      </c>
      <c r="G2374" s="309">
        <f t="shared" si="3"/>
        <v>0.7083333333</v>
      </c>
      <c r="H2374" s="316" t="str">
        <f t="array" ref="H2374">XLOOKUP(B2374,Roster!L:L,Roster!N:N,XLOOKUP(D2374,TicketsBreak!A:A,TicketsBreak!E:E,"",0),0)</f>
        <v>09:30 - 09:45</v>
      </c>
      <c r="I2374" s="316" t="str">
        <f t="array" ref="I2374">XLOOKUP(B2374,Roster!L:L,Roster!O:O,XLOOKUP(D2374,TicketsBreak!A:A,TicketsBreak!F:F,"",0),0)</f>
        <v>12:00 - 12:30</v>
      </c>
      <c r="J2374" s="316" t="str">
        <f t="array" ref="J2374">XLOOKUP(B2374,Roster!L:L,Roster!P:P,XLOOKUP(D2374,TicketsBreak!A:A,TicketsBreak!G:G,"",0),0)</f>
        <v>14:45 - 15:00</v>
      </c>
      <c r="K2374" s="310">
        <f t="shared" si="4"/>
        <v>46132</v>
      </c>
      <c r="L2374" s="317">
        <f t="array" ref="L2374">(XLOOKUP(D2374,Roster!F:F,Roster!D:D,"",0))</f>
        <v>24</v>
      </c>
      <c r="M2374" s="317" t="str">
        <f t="array" ref="M2374">XLOOKUP(D2374,Roster!F:F,Roster!E:E)</f>
        <v>Voice</v>
      </c>
      <c r="N2374" s="317" t="str">
        <f t="shared" ref="N2374:P2374" si="2408">LEFT(H2374,5)</f>
        <v>09:30</v>
      </c>
      <c r="O2374" s="317" t="str">
        <f t="shared" si="2408"/>
        <v>12:00</v>
      </c>
      <c r="P2374" s="317" t="str">
        <f t="shared" si="2408"/>
        <v>14:45</v>
      </c>
      <c r="Q2374" s="318">
        <f t="shared" si="2365"/>
        <v>46132.39583</v>
      </c>
      <c r="R2374" s="318">
        <f t="shared" si="2366"/>
        <v>46132.5</v>
      </c>
      <c r="S2374" s="318">
        <f t="shared" si="8"/>
        <v>46132.61458</v>
      </c>
    </row>
    <row r="2375">
      <c r="A2375" s="14" t="str">
        <f t="shared" si="1"/>
        <v>C110846132</v>
      </c>
      <c r="B2375" s="185" t="str">
        <f t="array" ref="B2375">IF(F2375="VL","",IF(F2375="Free","Free",XLOOKUP(D2375,Roster!T:T,Roster!S:S,"",0)))</f>
        <v/>
      </c>
      <c r="C2375" s="313">
        <v>46132.0</v>
      </c>
      <c r="D2375" s="314" t="s">
        <v>187</v>
      </c>
      <c r="E2375" s="307" t="str">
        <f t="array" ref="E2375">(XLOOKUP(D2375,Roster!F:F,Roster!B:B,"",0))</f>
        <v>Yeiner Tapias</v>
      </c>
      <c r="F2375" s="315" t="str">
        <f t="array" ref="F2375">IF(B2375=100,"Free",TEXT(XLOOKUP($D2375,OperationVoice!$A:$A,OperationVoice!Z:Z,XLOOKUP($D2375,OperationTickets!$A:$A,OperationTickets!Z:Z,"",0)),"hh:mm"))</f>
        <v>08:00</v>
      </c>
      <c r="G2375" s="309">
        <f t="shared" si="3"/>
        <v>0.7083333333</v>
      </c>
      <c r="H2375" s="316">
        <f t="array" ref="H2375">XLOOKUP(B2375,Roster!L:L,Roster!N:N,XLOOKUP(D2375,TicketsBreak!A:A,TicketsBreak!E:E,"",0),0)</f>
        <v>0.3958333333</v>
      </c>
      <c r="I2375" s="316">
        <f t="array" ref="I2375">XLOOKUP(B2375,Roster!L:L,Roster!O:O,XLOOKUP(D2375,TicketsBreak!A:A,TicketsBreak!F:F,"",0),0)</f>
        <v>0.5208333333</v>
      </c>
      <c r="J2375" s="316">
        <f t="array" ref="J2375">XLOOKUP(B2375,Roster!L:L,Roster!P:P,XLOOKUP(D2375,TicketsBreak!A:A,TicketsBreak!G:G,"",0),0)</f>
        <v>0.6145833333</v>
      </c>
      <c r="K2375" s="310">
        <f t="shared" si="4"/>
        <v>46132</v>
      </c>
      <c r="L2375" s="317">
        <f t="array" ref="L2375">(XLOOKUP(D2375,Roster!F:F,Roster!D:D,"",0))</f>
        <v>20</v>
      </c>
      <c r="M2375" s="317" t="str">
        <f t="array" ref="M2375">XLOOKUP(D2375,Roster!F:F,Roster!E:E)</f>
        <v>Tickets</v>
      </c>
      <c r="N2375" s="317" t="str">
        <f t="shared" ref="N2375:P2375" si="2409">LEFT(H2375,5)</f>
        <v>09:30</v>
      </c>
      <c r="O2375" s="317" t="str">
        <f t="shared" si="2409"/>
        <v>12:30</v>
      </c>
      <c r="P2375" s="317" t="str">
        <f t="shared" si="2409"/>
        <v>14:45</v>
      </c>
      <c r="Q2375" s="318">
        <f t="shared" si="2365"/>
        <v>46132.39583</v>
      </c>
      <c r="R2375" s="318">
        <f t="shared" si="2366"/>
        <v>46132.52083</v>
      </c>
      <c r="S2375" s="318">
        <f t="shared" si="8"/>
        <v>46132.61458</v>
      </c>
    </row>
    <row r="2376">
      <c r="A2376" s="14" t="str">
        <f t="shared" si="1"/>
        <v>C153946132</v>
      </c>
      <c r="B2376" s="185">
        <f t="array" ref="B2376">IF(F2376="VL","",IF(F2376="Free","Free",XLOOKUP(D2376,Roster!T:T,Roster!S:S,"",0)))</f>
        <v>123</v>
      </c>
      <c r="C2376" s="313">
        <v>46132.0</v>
      </c>
      <c r="D2376" s="314" t="s">
        <v>85</v>
      </c>
      <c r="E2376" s="307" t="str">
        <f t="array" ref="E2376">(XLOOKUP(D2376,Roster!F:F,Roster!B:B,"",0))</f>
        <v>Yovanny Ceballos</v>
      </c>
      <c r="F2376" s="315" t="str">
        <f t="array" ref="F2376">IF(B2376=100,"Free",TEXT(XLOOKUP($D2376,OperationVoice!$A:$A,OperationVoice!Z:Z,XLOOKUP($D2376,OperationTickets!$A:$A,OperationTickets!Z:Z,"",0)),"hh:mm"))</f>
        <v/>
      </c>
      <c r="G2376" s="309" t="str">
        <f t="shared" si="3"/>
        <v/>
      </c>
      <c r="H2376" s="316" t="str">
        <f t="array" ref="H2376">XLOOKUP(B2376,Roster!L:L,Roster!N:N,XLOOKUP(D2376,TicketsBreak!A:A,TicketsBreak!E:E,"",0),0)</f>
        <v>09:45 - 10:00 </v>
      </c>
      <c r="I2376" s="316" t="str">
        <f t="array" ref="I2376">XLOOKUP(B2376,Roster!L:L,Roster!O:O,XLOOKUP(D2376,TicketsBreak!A:A,TicketsBreak!F:F,"",0),0)</f>
        <v>12:30 - 13:00</v>
      </c>
      <c r="J2376" s="316" t="str">
        <f t="array" ref="J2376">XLOOKUP(B2376,Roster!L:L,Roster!P:P,XLOOKUP(D2376,TicketsBreak!A:A,TicketsBreak!G:G,"",0),0)</f>
        <v>15:00 - 15:15</v>
      </c>
      <c r="K2376" s="310">
        <f t="shared" si="4"/>
        <v>46132</v>
      </c>
      <c r="L2376" s="317">
        <f t="array" ref="L2376">(XLOOKUP(D2376,Roster!F:F,Roster!D:D,"",0))</f>
        <v>36</v>
      </c>
      <c r="M2376" s="317" t="str">
        <f t="array" ref="M2376">XLOOKUP(D2376,Roster!F:F,Roster!E:E)</f>
        <v>Voice</v>
      </c>
      <c r="N2376" s="317" t="str">
        <f t="shared" ref="N2376:P2376" si="2410">LEFT(H2376,5)</f>
        <v>09:45</v>
      </c>
      <c r="O2376" s="317" t="str">
        <f t="shared" si="2410"/>
        <v>12:30</v>
      </c>
      <c r="P2376" s="317" t="str">
        <f t="shared" si="2410"/>
        <v>15:00</v>
      </c>
      <c r="Q2376" s="318">
        <f t="shared" si="2365"/>
        <v>46132.40625</v>
      </c>
      <c r="R2376" s="318">
        <f t="shared" si="2366"/>
        <v>46132.52083</v>
      </c>
      <c r="S2376" s="318">
        <f t="shared" si="8"/>
        <v>46132.625</v>
      </c>
    </row>
    <row r="2377">
      <c r="A2377" s="14" t="str">
        <f t="shared" si="1"/>
        <v>46132</v>
      </c>
      <c r="B2377" s="185" t="str">
        <f t="array" ref="B2377">IF(F2377="VL","",IF(F2377="Free","Free",XLOOKUP(D2377,Roster!T:T,Roster!S:S,"",0)))</f>
        <v/>
      </c>
      <c r="C2377" s="313">
        <v>46132.0</v>
      </c>
      <c r="D2377" s="314"/>
      <c r="E2377" s="307" t="str">
        <f t="array" ref="E2377">(XLOOKUP(D2377,Roster!F:F,Roster!B:B,"",0))</f>
        <v/>
      </c>
      <c r="F2377" s="315" t="str">
        <f t="array" ref="F2377">IF(B2377=100,"Free",TEXT(XLOOKUP($D2377,OperationVoice!$A:$A,OperationVoice!Z:Z,XLOOKUP($D2377,OperationTickets!$A:$A,OperationTickets!Z:Z,"",0)),"hh:mm"))</f>
        <v/>
      </c>
      <c r="G2377" s="309" t="str">
        <f t="shared" si="3"/>
        <v/>
      </c>
      <c r="H2377" s="316" t="str">
        <f t="array" ref="H2377">XLOOKUP(B2377,Roster!L:L,Roster!N:N,XLOOKUP(D2377,TicketsBreak!A:A,TicketsBreak!E:E,"",0),0)</f>
        <v/>
      </c>
      <c r="I2377" s="316" t="str">
        <f t="array" ref="I2377">XLOOKUP(B2377,Roster!L:L,Roster!O:O,XLOOKUP(D2377,TicketsBreak!A:A,TicketsBreak!F:F,"",0),0)</f>
        <v/>
      </c>
      <c r="J2377" s="316" t="str">
        <f t="array" ref="J2377">XLOOKUP(B2377,Roster!L:L,Roster!P:P,XLOOKUP(D2377,TicketsBreak!A:A,TicketsBreak!G:G,"",0),0)</f>
        <v/>
      </c>
      <c r="K2377" s="310">
        <f t="shared" si="4"/>
        <v>46132</v>
      </c>
      <c r="L2377" s="317" t="str">
        <f t="array" ref="L2377">(XLOOKUP(D2377,Roster!F:F,Roster!D:D,"",0))</f>
        <v/>
      </c>
      <c r="M2377" s="317" t="str">
        <f t="array" ref="M2377">XLOOKUP(D2377,Roster!F:F,Roster!E:E)</f>
        <v>#N/A</v>
      </c>
      <c r="N2377" s="317" t="str">
        <f t="shared" ref="N2377:P2377" si="2411">LEFT(H2377,5)</f>
        <v/>
      </c>
      <c r="O2377" s="317" t="str">
        <f t="shared" si="2411"/>
        <v/>
      </c>
      <c r="P2377" s="317" t="str">
        <f t="shared" si="2411"/>
        <v/>
      </c>
      <c r="Q2377" s="318" t="str">
        <f t="shared" si="2365"/>
        <v/>
      </c>
      <c r="R2377" s="318" t="str">
        <f t="shared" si="2366"/>
        <v/>
      </c>
      <c r="S2377" s="318" t="str">
        <f t="shared" si="8"/>
        <v/>
      </c>
    </row>
    <row r="2378">
      <c r="A2378" s="14" t="str">
        <f t="shared" si="1"/>
        <v>46132</v>
      </c>
      <c r="B2378" s="185" t="str">
        <f t="array" ref="B2378">IF(F2378="VL","",IF(F2378="Free","Free",XLOOKUP(D2378,Roster!T:T,Roster!S:S,"",0)))</f>
        <v/>
      </c>
      <c r="C2378" s="313">
        <v>46132.0</v>
      </c>
      <c r="D2378" s="314"/>
      <c r="E2378" s="307" t="str">
        <f t="array" ref="E2378">(XLOOKUP(D2378,Roster!F:F,Roster!B:B,"",0))</f>
        <v/>
      </c>
      <c r="F2378" s="315" t="str">
        <f t="array" ref="F2378">IF(B2378=100,"Free",TEXT(XLOOKUP($D2378,OperationVoice!$A:$A,OperationVoice!Z:Z,XLOOKUP($D2378,OperationTickets!$A:$A,OperationTickets!Z:Z,"",0)),"hh:mm"))</f>
        <v/>
      </c>
      <c r="G2378" s="309" t="str">
        <f t="shared" si="3"/>
        <v/>
      </c>
      <c r="H2378" s="316" t="str">
        <f t="array" ref="H2378">XLOOKUP(B2378,Roster!L:L,Roster!N:N,XLOOKUP(D2378,TicketsBreak!A:A,TicketsBreak!E:E,"",0),0)</f>
        <v/>
      </c>
      <c r="I2378" s="316" t="str">
        <f t="array" ref="I2378">XLOOKUP(B2378,Roster!L:L,Roster!O:O,XLOOKUP(D2378,TicketsBreak!A:A,TicketsBreak!F:F,"",0),0)</f>
        <v/>
      </c>
      <c r="J2378" s="316" t="str">
        <f t="array" ref="J2378">XLOOKUP(B2378,Roster!L:L,Roster!P:P,XLOOKUP(D2378,TicketsBreak!A:A,TicketsBreak!G:G,"",0),0)</f>
        <v/>
      </c>
      <c r="K2378" s="310">
        <f t="shared" si="4"/>
        <v>46132</v>
      </c>
      <c r="L2378" s="317" t="str">
        <f t="array" ref="L2378">(XLOOKUP(D2378,Roster!F:F,Roster!D:D,"",0))</f>
        <v/>
      </c>
      <c r="M2378" s="317" t="str">
        <f t="array" ref="M2378">XLOOKUP(D2378,Roster!F:F,Roster!E:E)</f>
        <v>#N/A</v>
      </c>
      <c r="N2378" s="317" t="str">
        <f t="shared" ref="N2378:P2378" si="2412">LEFT(H2378,5)</f>
        <v/>
      </c>
      <c r="O2378" s="317" t="str">
        <f t="shared" si="2412"/>
        <v/>
      </c>
      <c r="P2378" s="317" t="str">
        <f t="shared" si="2412"/>
        <v/>
      </c>
      <c r="Q2378" s="318" t="str">
        <f t="shared" si="2365"/>
        <v/>
      </c>
      <c r="R2378" s="318" t="str">
        <f t="shared" si="2366"/>
        <v/>
      </c>
      <c r="S2378" s="318" t="str">
        <f t="shared" si="8"/>
        <v/>
      </c>
    </row>
    <row r="2379">
      <c r="A2379" s="14" t="str">
        <f t="shared" si="1"/>
        <v>46132</v>
      </c>
      <c r="B2379" s="185" t="str">
        <f t="array" ref="B2379">IF(F2379="VL","",IF(F2379="Free","Free",XLOOKUP(D2379,Roster!T:T,Roster!S:S,"",0)))</f>
        <v/>
      </c>
      <c r="C2379" s="313">
        <v>46132.0</v>
      </c>
      <c r="D2379" s="314"/>
      <c r="E2379" s="307" t="str">
        <f t="array" ref="E2379">(XLOOKUP(D2379,Roster!F:F,Roster!B:B,"",0))</f>
        <v/>
      </c>
      <c r="F2379" s="315" t="str">
        <f t="array" ref="F2379">IF(B2379=100,"Free",TEXT(XLOOKUP($D2379,OperationVoice!$A:$A,OperationVoice!Z:Z,XLOOKUP($D2379,OperationTickets!$A:$A,OperationTickets!Z:Z,"",0)),"hh:mm"))</f>
        <v/>
      </c>
      <c r="G2379" s="309" t="str">
        <f t="shared" si="3"/>
        <v/>
      </c>
      <c r="H2379" s="316" t="str">
        <f t="array" ref="H2379">XLOOKUP(B2379,Roster!L:L,Roster!N:N,XLOOKUP(D2379,TicketsBreak!A:A,TicketsBreak!E:E,"",0),0)</f>
        <v/>
      </c>
      <c r="I2379" s="316" t="str">
        <f t="array" ref="I2379">XLOOKUP(B2379,Roster!L:L,Roster!O:O,XLOOKUP(D2379,TicketsBreak!A:A,TicketsBreak!F:F,"",0),0)</f>
        <v/>
      </c>
      <c r="J2379" s="316" t="str">
        <f t="array" ref="J2379">XLOOKUP(B2379,Roster!L:L,Roster!P:P,XLOOKUP(D2379,TicketsBreak!A:A,TicketsBreak!G:G,"",0),0)</f>
        <v/>
      </c>
      <c r="K2379" s="310">
        <f t="shared" si="4"/>
        <v>46132</v>
      </c>
      <c r="L2379" s="317" t="str">
        <f t="array" ref="L2379">(XLOOKUP(D2379,Roster!F:F,Roster!D:D,"",0))</f>
        <v/>
      </c>
      <c r="M2379" s="317" t="str">
        <f t="array" ref="M2379">XLOOKUP(D2379,Roster!F:F,Roster!E:E)</f>
        <v>#N/A</v>
      </c>
      <c r="N2379" s="317" t="str">
        <f t="shared" ref="N2379:P2379" si="2413">LEFT(H2379,5)</f>
        <v/>
      </c>
      <c r="O2379" s="317" t="str">
        <f t="shared" si="2413"/>
        <v/>
      </c>
      <c r="P2379" s="317" t="str">
        <f t="shared" si="2413"/>
        <v/>
      </c>
      <c r="Q2379" s="318" t="str">
        <f t="shared" si="2365"/>
        <v/>
      </c>
      <c r="R2379" s="318" t="str">
        <f t="shared" si="2366"/>
        <v/>
      </c>
      <c r="S2379" s="318" t="str">
        <f t="shared" si="8"/>
        <v/>
      </c>
    </row>
    <row r="2380">
      <c r="A2380" s="14" t="str">
        <f t="shared" si="1"/>
        <v>46132</v>
      </c>
      <c r="B2380" s="185" t="str">
        <f t="array" ref="B2380">IF(F2380="VL","",IF(F2380="Free","Free",XLOOKUP(D2380,Roster!T:T,Roster!S:S,"",0)))</f>
        <v/>
      </c>
      <c r="C2380" s="313">
        <v>46132.0</v>
      </c>
      <c r="D2380" s="314"/>
      <c r="E2380" s="307" t="str">
        <f t="array" ref="E2380">(XLOOKUP(D2380,Roster!F:F,Roster!B:B,"",0))</f>
        <v/>
      </c>
      <c r="F2380" s="315" t="str">
        <f t="array" ref="F2380">IF(B2380=100,"Free",TEXT(XLOOKUP($D2380,OperationVoice!$A:$A,OperationVoice!Z:Z,XLOOKUP($D2380,OperationTickets!$A:$A,OperationTickets!Z:Z,"",0)),"hh:mm"))</f>
        <v/>
      </c>
      <c r="G2380" s="309" t="str">
        <f t="shared" si="3"/>
        <v/>
      </c>
      <c r="H2380" s="316" t="str">
        <f t="array" ref="H2380">XLOOKUP(B2380,Roster!L:L,Roster!N:N,XLOOKUP(D2380,TicketsBreak!A:A,TicketsBreak!E:E,"",0),0)</f>
        <v/>
      </c>
      <c r="I2380" s="316" t="str">
        <f t="array" ref="I2380">XLOOKUP(B2380,Roster!L:L,Roster!O:O,XLOOKUP(D2380,TicketsBreak!A:A,TicketsBreak!F:F,"",0),0)</f>
        <v/>
      </c>
      <c r="J2380" s="316" t="str">
        <f t="array" ref="J2380">XLOOKUP(B2380,Roster!L:L,Roster!P:P,XLOOKUP(D2380,TicketsBreak!A:A,TicketsBreak!G:G,"",0),0)</f>
        <v/>
      </c>
      <c r="K2380" s="310">
        <f t="shared" si="4"/>
        <v>46132</v>
      </c>
      <c r="L2380" s="317" t="str">
        <f t="array" ref="L2380">(XLOOKUP(D2380,Roster!F:F,Roster!D:D,"",0))</f>
        <v/>
      </c>
      <c r="M2380" s="317" t="str">
        <f t="array" ref="M2380">XLOOKUP(D2380,Roster!F:F,Roster!E:E)</f>
        <v>#N/A</v>
      </c>
      <c r="N2380" s="317" t="str">
        <f t="shared" ref="N2380:P2380" si="2414">LEFT(H2380,5)</f>
        <v/>
      </c>
      <c r="O2380" s="317" t="str">
        <f t="shared" si="2414"/>
        <v/>
      </c>
      <c r="P2380" s="317" t="str">
        <f t="shared" si="2414"/>
        <v/>
      </c>
      <c r="Q2380" s="318" t="str">
        <f t="shared" si="2365"/>
        <v/>
      </c>
      <c r="R2380" s="318" t="str">
        <f t="shared" si="2366"/>
        <v/>
      </c>
      <c r="S2380" s="318" t="str">
        <f t="shared" si="8"/>
        <v/>
      </c>
    </row>
    <row r="2381">
      <c r="A2381" s="14" t="str">
        <f t="shared" si="1"/>
        <v>46132</v>
      </c>
      <c r="B2381" s="185" t="str">
        <f t="array" ref="B2381">IF(F2381="VL","",IF(F2381="Free","Free",XLOOKUP(D2381,Roster!T:T,Roster!S:S,"",0)))</f>
        <v/>
      </c>
      <c r="C2381" s="313">
        <v>46132.0</v>
      </c>
      <c r="D2381" s="314"/>
      <c r="E2381" s="307" t="str">
        <f t="array" ref="E2381">(XLOOKUP(D2381,Roster!F:F,Roster!B:B,"",0))</f>
        <v/>
      </c>
      <c r="F2381" s="315" t="str">
        <f t="array" ref="F2381">IF(B2381=100,"Free",TEXT(XLOOKUP($D2381,OperationVoice!$A:$A,OperationVoice!Z:Z,XLOOKUP($D2381,OperationTickets!$A:$A,OperationTickets!Z:Z,"",0)),"hh:mm"))</f>
        <v/>
      </c>
      <c r="G2381" s="309" t="str">
        <f t="shared" si="3"/>
        <v/>
      </c>
      <c r="H2381" s="316" t="str">
        <f t="array" ref="H2381">XLOOKUP(B2381,Roster!L:L,Roster!N:N,XLOOKUP(D2381,TicketsBreak!A:A,TicketsBreak!E:E,"",0),0)</f>
        <v/>
      </c>
      <c r="I2381" s="316" t="str">
        <f t="array" ref="I2381">XLOOKUP(B2381,Roster!L:L,Roster!O:O,XLOOKUP(D2381,TicketsBreak!A:A,TicketsBreak!F:F,"",0),0)</f>
        <v/>
      </c>
      <c r="J2381" s="316" t="str">
        <f t="array" ref="J2381">XLOOKUP(B2381,Roster!L:L,Roster!P:P,XLOOKUP(D2381,TicketsBreak!A:A,TicketsBreak!G:G,"",0),0)</f>
        <v/>
      </c>
      <c r="K2381" s="310">
        <f t="shared" si="4"/>
        <v>46132</v>
      </c>
      <c r="L2381" s="317" t="str">
        <f t="array" ref="L2381">(XLOOKUP(D2381,Roster!F:F,Roster!D:D,"",0))</f>
        <v/>
      </c>
      <c r="M2381" s="317" t="str">
        <f t="array" ref="M2381">XLOOKUP(D2381,Roster!F:F,Roster!E:E)</f>
        <v>#N/A</v>
      </c>
      <c r="N2381" s="317" t="str">
        <f t="shared" ref="N2381:P2381" si="2415">LEFT(H2381,5)</f>
        <v/>
      </c>
      <c r="O2381" s="317" t="str">
        <f t="shared" si="2415"/>
        <v/>
      </c>
      <c r="P2381" s="317" t="str">
        <f t="shared" si="2415"/>
        <v/>
      </c>
      <c r="Q2381" s="318" t="str">
        <f t="shared" si="2365"/>
        <v/>
      </c>
      <c r="R2381" s="318" t="str">
        <f t="shared" si="2366"/>
        <v/>
      </c>
      <c r="S2381" s="318" t="str">
        <f t="shared" si="8"/>
        <v/>
      </c>
    </row>
    <row r="2382">
      <c r="A2382" s="14" t="str">
        <f t="shared" si="1"/>
        <v>C81846133</v>
      </c>
      <c r="B2382" s="185">
        <f t="array" ref="B2382">IF(F2382="VL","",IF(F2382="Free","Free",XLOOKUP(D2382,Roster!T:T,Roster!S:S,"",0)))</f>
        <v>123</v>
      </c>
      <c r="C2382" s="313">
        <v>46133.0</v>
      </c>
      <c r="D2382" s="314" t="s">
        <v>9</v>
      </c>
      <c r="E2382" s="307" t="str">
        <f t="array" ref="E2382">(XLOOKUP(D2382,Roster!F:F,Roster!B:B,"",0))</f>
        <v>Adriana Moncaleano</v>
      </c>
      <c r="F2382" s="315" t="str">
        <f t="array" ref="F2382">IF(B2382=100,"Free",TEXT(XLOOKUP($D2382,OperationVoice!$A:$A,OperationVoice!AA:AA,XLOOKUP($D2382,OperationTickets!$A:$A,OperationTickets!AA:AA,"",0)),"hh:mm"))</f>
        <v>08:00</v>
      </c>
      <c r="G2382" s="309">
        <f t="shared" si="3"/>
        <v>0.7083333333</v>
      </c>
      <c r="H2382" s="316" t="str">
        <f t="array" ref="H2382">XLOOKUP(B2382,Roster!L:L,Roster!N:N,XLOOKUP(D2382,TicketsBreak!A:A,TicketsBreak!E:E,"",0),0)</f>
        <v>09:45 - 10:00 </v>
      </c>
      <c r="I2382" s="316" t="str">
        <f t="array" ref="I2382">XLOOKUP(B2382,Roster!L:L,Roster!O:O,XLOOKUP(D2382,TicketsBreak!A:A,TicketsBreak!F:F,"",0),0)</f>
        <v>12:30 - 13:00</v>
      </c>
      <c r="J2382" s="316" t="str">
        <f t="array" ref="J2382">XLOOKUP(B2382,Roster!L:L,Roster!P:P,XLOOKUP(D2382,TicketsBreak!A:A,TicketsBreak!G:G,"",0),0)</f>
        <v>15:00 - 15:15</v>
      </c>
      <c r="K2382" s="310">
        <f t="shared" si="4"/>
        <v>46133</v>
      </c>
      <c r="L2382" s="317">
        <f t="array" ref="L2382">(XLOOKUP(D2382,Roster!F:F,Roster!D:D,"",0))</f>
        <v>23</v>
      </c>
      <c r="M2382" s="317" t="str">
        <f t="array" ref="M2382">XLOOKUP(D2382,Roster!F:F,Roster!E:E)</f>
        <v>Voice</v>
      </c>
      <c r="N2382" s="317" t="str">
        <f t="shared" ref="N2382:P2382" si="2416">LEFT(H2382,5)</f>
        <v>09:45</v>
      </c>
      <c r="O2382" s="317" t="str">
        <f t="shared" si="2416"/>
        <v>12:30</v>
      </c>
      <c r="P2382" s="317" t="str">
        <f t="shared" si="2416"/>
        <v>15:00</v>
      </c>
      <c r="Q2382" s="318">
        <f t="shared" si="2365"/>
        <v>46133.40625</v>
      </c>
      <c r="R2382" s="318">
        <f t="shared" si="2366"/>
        <v>46133.52083</v>
      </c>
      <c r="S2382" s="318">
        <f t="shared" si="8"/>
        <v>46133.625</v>
      </c>
    </row>
    <row r="2383">
      <c r="A2383" s="14" t="str">
        <f t="shared" si="1"/>
        <v>C110746133</v>
      </c>
      <c r="B2383" s="185">
        <f t="array" ref="B2383">IF(F2383="VL","",IF(F2383="Free","Free",XLOOKUP(D2383,Roster!T:T,Roster!S:S,"",0)))</f>
        <v>153</v>
      </c>
      <c r="C2383" s="313">
        <v>46133.0</v>
      </c>
      <c r="D2383" s="314" t="s">
        <v>10</v>
      </c>
      <c r="E2383" s="307" t="str">
        <f t="array" ref="E2383">(XLOOKUP(D2383,Roster!F:F,Roster!B:B,"",0))</f>
        <v>Alejandro Malave</v>
      </c>
      <c r="F2383" s="315" t="str">
        <f t="array" ref="F2383">IF(B2383=100,"Free",TEXT(XLOOKUP($D2383,OperationVoice!$A:$A,OperationVoice!AA:AA,XLOOKUP($D2383,OperationTickets!$A:$A,OperationTickets!AA:AA,"",0)),"hh:mm"))</f>
        <v>11:00</v>
      </c>
      <c r="G2383" s="309">
        <f t="shared" si="3"/>
        <v>0.8333333333</v>
      </c>
      <c r="H2383" s="316" t="str">
        <f t="array" ref="H2383">XLOOKUP(B2383,Roster!L:L,Roster!N:N,XLOOKUP(D2383,TicketsBreak!A:A,TicketsBreak!E:E,"",0),0)</f>
        <v>12:45 - 13:00</v>
      </c>
      <c r="I2383" s="316" t="str">
        <f t="array" ref="I2383">XLOOKUP(B2383,Roster!L:L,Roster!O:O,XLOOKUP(D2383,TicketsBreak!A:A,TicketsBreak!F:F,"",0),0)</f>
        <v>15:00 - 15:30</v>
      </c>
      <c r="J2383" s="316" t="str">
        <f t="array" ref="J2383">XLOOKUP(B2383,Roster!L:L,Roster!P:P,XLOOKUP(D2383,TicketsBreak!A:A,TicketsBreak!G:G,"",0),0)</f>
        <v>17:45 - 18:00</v>
      </c>
      <c r="K2383" s="310">
        <f t="shared" si="4"/>
        <v>46133</v>
      </c>
      <c r="L2383" s="317">
        <f t="array" ref="L2383">(XLOOKUP(D2383,Roster!F:F,Roster!D:D,"",0))</f>
        <v>36</v>
      </c>
      <c r="M2383" s="317" t="str">
        <f t="array" ref="M2383">XLOOKUP(D2383,Roster!F:F,Roster!E:E)</f>
        <v>Voice</v>
      </c>
      <c r="N2383" s="317" t="str">
        <f t="shared" ref="N2383:P2383" si="2417">LEFT(H2383,5)</f>
        <v>12:45</v>
      </c>
      <c r="O2383" s="317" t="str">
        <f t="shared" si="2417"/>
        <v>15:00</v>
      </c>
      <c r="P2383" s="317" t="str">
        <f t="shared" si="2417"/>
        <v>17:45</v>
      </c>
      <c r="Q2383" s="318">
        <f t="shared" si="2365"/>
        <v>46133.53125</v>
      </c>
      <c r="R2383" s="318">
        <f t="shared" si="2366"/>
        <v>46133.625</v>
      </c>
      <c r="S2383" s="318">
        <f t="shared" si="8"/>
        <v>46133.73958</v>
      </c>
    </row>
    <row r="2384">
      <c r="A2384" s="14" t="str">
        <f t="shared" si="1"/>
        <v>C69946133</v>
      </c>
      <c r="B2384" s="185" t="str">
        <f t="array" ref="B2384">IF(F2384="VL","",IF(F2384="Free","Free",XLOOKUP(D2384,Roster!T:T,Roster!S:S,"",0)))</f>
        <v/>
      </c>
      <c r="C2384" s="313">
        <v>46133.0</v>
      </c>
      <c r="D2384" s="314" t="s">
        <v>137</v>
      </c>
      <c r="E2384" s="307" t="str">
        <f t="array" ref="E2384">(XLOOKUP(D2384,Roster!F:F,Roster!B:B,"",0))</f>
        <v>Alexa Arenas</v>
      </c>
      <c r="F2384" s="315" t="str">
        <f t="array" ref="F2384">IF(B2384=100,"Free",TEXT(XLOOKUP($D2384,OperationVoice!$A:$A,OperationVoice!AA:AA,XLOOKUP($D2384,OperationTickets!$A:$A,OperationTickets!AA:AA,"",0)),"hh:mm"))</f>
        <v>08:00</v>
      </c>
      <c r="G2384" s="309">
        <f t="shared" si="3"/>
        <v>0.7083333333</v>
      </c>
      <c r="H2384" s="316">
        <f t="array" ref="H2384">XLOOKUP(B2384,Roster!L:L,Roster!N:N,XLOOKUP(D2384,TicketsBreak!A:A,TicketsBreak!E:E,"",0),0)</f>
        <v>0.40625</v>
      </c>
      <c r="I2384" s="316">
        <f t="array" ref="I2384">XLOOKUP(B2384,Roster!L:L,Roster!O:O,XLOOKUP(D2384,TicketsBreak!A:A,TicketsBreak!F:F,"",0),0)</f>
        <v>0.5</v>
      </c>
      <c r="J2384" s="316">
        <f t="array" ref="J2384">XLOOKUP(B2384,Roster!L:L,Roster!P:P,XLOOKUP(D2384,TicketsBreak!A:A,TicketsBreak!G:G,"",0),0)</f>
        <v>0.65625</v>
      </c>
      <c r="K2384" s="310">
        <f t="shared" si="4"/>
        <v>46133</v>
      </c>
      <c r="L2384" s="317">
        <f t="array" ref="L2384">(XLOOKUP(D2384,Roster!F:F,Roster!D:D,"",0))</f>
        <v>5</v>
      </c>
      <c r="M2384" s="317" t="str">
        <f t="array" ref="M2384">XLOOKUP(D2384,Roster!F:F,Roster!E:E)</f>
        <v>Tickets</v>
      </c>
      <c r="N2384" s="317" t="str">
        <f t="shared" ref="N2384:P2384" si="2418">LEFT(H2384,5)</f>
        <v>09:45</v>
      </c>
      <c r="O2384" s="317" t="str">
        <f t="shared" si="2418"/>
        <v>12:00</v>
      </c>
      <c r="P2384" s="317" t="str">
        <f t="shared" si="2418"/>
        <v>15:45</v>
      </c>
      <c r="Q2384" s="318">
        <f t="shared" si="2365"/>
        <v>46133.40625</v>
      </c>
      <c r="R2384" s="318">
        <f t="shared" si="2366"/>
        <v>46133.5</v>
      </c>
      <c r="S2384" s="318">
        <f t="shared" si="8"/>
        <v>46133.65625</v>
      </c>
    </row>
    <row r="2385">
      <c r="A2385" s="14" t="str">
        <f t="shared" si="1"/>
        <v>C157046133</v>
      </c>
      <c r="B2385" s="185">
        <f t="array" ref="B2385">IF(F2385="VL","",IF(F2385="Free","Free",XLOOKUP(D2385,Roster!T:T,Roster!S:S,"",0)))</f>
        <v>123</v>
      </c>
      <c r="C2385" s="313">
        <v>46133.0</v>
      </c>
      <c r="D2385" s="314" t="s">
        <v>11</v>
      </c>
      <c r="E2385" s="307" t="str">
        <f t="array" ref="E2385">(XLOOKUP(D2385,Roster!F:F,Roster!B:B,"",0))</f>
        <v>Alexander Bartoli</v>
      </c>
      <c r="F2385" s="315" t="str">
        <f t="array" ref="F2385">IF(B2385=100,"Free",TEXT(XLOOKUP($D2385,OperationVoice!$A:$A,OperationVoice!AA:AA,XLOOKUP($D2385,OperationTickets!$A:$A,OperationTickets!AA:AA,"",0)),"hh:mm"))</f>
        <v>08:00</v>
      </c>
      <c r="G2385" s="309">
        <f t="shared" si="3"/>
        <v>0.7083333333</v>
      </c>
      <c r="H2385" s="316" t="str">
        <f t="array" ref="H2385">XLOOKUP(B2385,Roster!L:L,Roster!N:N,XLOOKUP(D2385,TicketsBreak!A:A,TicketsBreak!E:E,"",0),0)</f>
        <v>09:45 - 10:00 </v>
      </c>
      <c r="I2385" s="316" t="str">
        <f t="array" ref="I2385">XLOOKUP(B2385,Roster!L:L,Roster!O:O,XLOOKUP(D2385,TicketsBreak!A:A,TicketsBreak!F:F,"",0),0)</f>
        <v>12:30 - 13:00</v>
      </c>
      <c r="J2385" s="316" t="str">
        <f t="array" ref="J2385">XLOOKUP(B2385,Roster!L:L,Roster!P:P,XLOOKUP(D2385,TicketsBreak!A:A,TicketsBreak!G:G,"",0),0)</f>
        <v>15:00 - 15:15</v>
      </c>
      <c r="K2385" s="310">
        <f t="shared" si="4"/>
        <v>46133</v>
      </c>
      <c r="L2385" s="317">
        <f t="array" ref="L2385">(XLOOKUP(D2385,Roster!F:F,Roster!D:D,"",0))</f>
        <v>38</v>
      </c>
      <c r="M2385" s="317" t="str">
        <f t="array" ref="M2385">XLOOKUP(D2385,Roster!F:F,Roster!E:E)</f>
        <v>Voice</v>
      </c>
      <c r="N2385" s="317" t="str">
        <f t="shared" ref="N2385:P2385" si="2419">LEFT(H2385,5)</f>
        <v>09:45</v>
      </c>
      <c r="O2385" s="317" t="str">
        <f t="shared" si="2419"/>
        <v>12:30</v>
      </c>
      <c r="P2385" s="317" t="str">
        <f t="shared" si="2419"/>
        <v>15:00</v>
      </c>
      <c r="Q2385" s="318">
        <f t="shared" si="2365"/>
        <v>46133.40625</v>
      </c>
      <c r="R2385" s="318">
        <f t="shared" si="2366"/>
        <v>46133.52083</v>
      </c>
      <c r="S2385" s="318">
        <f t="shared" si="8"/>
        <v>46133.625</v>
      </c>
    </row>
    <row r="2386">
      <c r="A2386" s="14" t="str">
        <f t="shared" si="1"/>
        <v>C93546133</v>
      </c>
      <c r="B2386" s="185" t="str">
        <f t="array" ref="B2386">IF(F2386="VL","",IF(F2386="Free","Free",XLOOKUP(D2386,Roster!T:T,Roster!S:S,"",0)))</f>
        <v/>
      </c>
      <c r="C2386" s="313">
        <v>46133.0</v>
      </c>
      <c r="D2386" s="314" t="s">
        <v>153</v>
      </c>
      <c r="E2386" s="307" t="str">
        <f t="array" ref="E2386">(XLOOKUP(D2386,Roster!F:F,Roster!B:B,"",0))</f>
        <v>Alexis Arias</v>
      </c>
      <c r="F2386" s="315" t="str">
        <f t="array" ref="F2386">IF(B2386=100,"Free",TEXT(XLOOKUP($D2386,OperationVoice!$A:$A,OperationVoice!AA:AA,XLOOKUP($D2386,OperationTickets!$A:$A,OperationTickets!AA:AA,"",0)),"hh:mm"))</f>
        <v>07:30</v>
      </c>
      <c r="G2386" s="309">
        <f t="shared" si="3"/>
        <v>0.6875</v>
      </c>
      <c r="H2386" s="316">
        <f t="array" ref="H2386">XLOOKUP(B2386,Roster!L:L,Roster!N:N,XLOOKUP(D2386,TicketsBreak!A:A,TicketsBreak!E:E,"",0),0)</f>
        <v>0.4270833333</v>
      </c>
      <c r="I2386" s="316">
        <f t="array" ref="I2386">XLOOKUP(B2386,Roster!L:L,Roster!O:O,XLOOKUP(D2386,TicketsBreak!A:A,TicketsBreak!F:F,"",0),0)</f>
        <v>0.53125</v>
      </c>
      <c r="J2386" s="316">
        <f t="array" ref="J2386">XLOOKUP(B2386,Roster!L:L,Roster!P:P,XLOOKUP(D2386,TicketsBreak!A:A,TicketsBreak!G:G,"",0),0)</f>
        <v>0.6458333333</v>
      </c>
      <c r="K2386" s="310">
        <f t="shared" si="4"/>
        <v>46133</v>
      </c>
      <c r="L2386" s="317">
        <f t="array" ref="L2386">(XLOOKUP(D2386,Roster!F:F,Roster!D:D,"",0))</f>
        <v>12</v>
      </c>
      <c r="M2386" s="317" t="str">
        <f t="array" ref="M2386">XLOOKUP(D2386,Roster!F:F,Roster!E:E)</f>
        <v>Tickets</v>
      </c>
      <c r="N2386" s="317" t="str">
        <f t="shared" ref="N2386:P2386" si="2420">LEFT(H2386,5)</f>
        <v>10:15</v>
      </c>
      <c r="O2386" s="317" t="str">
        <f t="shared" si="2420"/>
        <v>12:45</v>
      </c>
      <c r="P2386" s="317" t="str">
        <f t="shared" si="2420"/>
        <v>15:30</v>
      </c>
      <c r="Q2386" s="318">
        <f t="shared" si="2365"/>
        <v>46133.42708</v>
      </c>
      <c r="R2386" s="318">
        <f t="shared" si="2366"/>
        <v>46133.53125</v>
      </c>
      <c r="S2386" s="318">
        <f t="shared" si="8"/>
        <v>46133.64583</v>
      </c>
    </row>
    <row r="2387">
      <c r="A2387" s="14" t="str">
        <f t="shared" si="1"/>
        <v>C72746133</v>
      </c>
      <c r="B2387" s="185" t="str">
        <f t="array" ref="B2387">IF(F2387="VL","",IF(F2387="Free","Free",XLOOKUP(D2387,Roster!T:T,Roster!S:S,"",0)))</f>
        <v/>
      </c>
      <c r="C2387" s="313">
        <v>46133.0</v>
      </c>
      <c r="D2387" s="314" t="s">
        <v>154</v>
      </c>
      <c r="E2387" s="307" t="str">
        <f t="array" ref="E2387">(XLOOKUP(D2387,Roster!F:F,Roster!B:B,"",0))</f>
        <v>Ana Moreno</v>
      </c>
      <c r="F2387" s="315" t="str">
        <f t="array" ref="F2387">IF(B2387=100,"Free",TEXT(XLOOKUP($D2387,OperationVoice!$A:$A,OperationVoice!AA:AA,XLOOKUP($D2387,OperationTickets!$A:$A,OperationTickets!AA:AA,"",0)),"hh:mm"))</f>
        <v>08:00</v>
      </c>
      <c r="G2387" s="309">
        <f t="shared" si="3"/>
        <v>0.7083333333</v>
      </c>
      <c r="H2387" s="316">
        <f t="array" ref="H2387">XLOOKUP(B2387,Roster!L:L,Roster!N:N,XLOOKUP(D2387,TicketsBreak!A:A,TicketsBreak!E:E,"",0),0)</f>
        <v>0.4166666667</v>
      </c>
      <c r="I2387" s="316">
        <f t="array" ref="I2387">XLOOKUP(B2387,Roster!L:L,Roster!O:O,XLOOKUP(D2387,TicketsBreak!A:A,TicketsBreak!F:F,"",0),0)</f>
        <v>0.5208333333</v>
      </c>
      <c r="J2387" s="316">
        <f t="array" ref="J2387">XLOOKUP(B2387,Roster!L:L,Roster!P:P,XLOOKUP(D2387,TicketsBreak!A:A,TicketsBreak!G:G,"",0),0)</f>
        <v>0.65625</v>
      </c>
      <c r="K2387" s="310">
        <f t="shared" si="4"/>
        <v>46133</v>
      </c>
      <c r="L2387" s="317">
        <f t="array" ref="L2387">(XLOOKUP(D2387,Roster!F:F,Roster!D:D,"",0))</f>
        <v>7</v>
      </c>
      <c r="M2387" s="317" t="str">
        <f t="array" ref="M2387">XLOOKUP(D2387,Roster!F:F,Roster!E:E)</f>
        <v>Tickets</v>
      </c>
      <c r="N2387" s="317" t="str">
        <f t="shared" ref="N2387:P2387" si="2421">LEFT(H2387,5)</f>
        <v>10:00</v>
      </c>
      <c r="O2387" s="317" t="str">
        <f t="shared" si="2421"/>
        <v>12:30</v>
      </c>
      <c r="P2387" s="317" t="str">
        <f t="shared" si="2421"/>
        <v>15:45</v>
      </c>
      <c r="Q2387" s="318">
        <f t="shared" si="2365"/>
        <v>46133.41667</v>
      </c>
      <c r="R2387" s="318">
        <f t="shared" si="2366"/>
        <v>46133.52083</v>
      </c>
      <c r="S2387" s="318">
        <f t="shared" si="8"/>
        <v>46133.65625</v>
      </c>
    </row>
    <row r="2388">
      <c r="A2388" s="14" t="str">
        <f t="shared" si="1"/>
        <v>C157446133</v>
      </c>
      <c r="B2388" s="185">
        <f t="array" ref="B2388">IF(F2388="VL","",IF(F2388="Free","Free",XLOOKUP(D2388,Roster!T:T,Roster!S:S,"",0)))</f>
        <v>124</v>
      </c>
      <c r="C2388" s="313">
        <v>46133.0</v>
      </c>
      <c r="D2388" s="314" t="s">
        <v>12</v>
      </c>
      <c r="E2388" s="307" t="str">
        <f t="array" ref="E2388">(XLOOKUP(D2388,Roster!F:F,Roster!B:B,"",0))</f>
        <v>Ana Quintero</v>
      </c>
      <c r="F2388" s="315" t="str">
        <f t="array" ref="F2388">IF(B2388=100,"Free",TEXT(XLOOKUP($D2388,OperationVoice!$A:$A,OperationVoice!AA:AA,XLOOKUP($D2388,OperationTickets!$A:$A,OperationTickets!AA:AA,"",0)),"hh:mm"))</f>
        <v>08:00</v>
      </c>
      <c r="G2388" s="309">
        <f t="shared" si="3"/>
        <v>0.7083333333</v>
      </c>
      <c r="H2388" s="316" t="str">
        <f t="array" ref="H2388">XLOOKUP(B2388,Roster!L:L,Roster!N:N,XLOOKUP(D2388,TicketsBreak!A:A,TicketsBreak!E:E,"",0),0)</f>
        <v>10:00 - 10:15</v>
      </c>
      <c r="I2388" s="316" t="str">
        <f t="array" ref="I2388">XLOOKUP(B2388,Roster!L:L,Roster!O:O,XLOOKUP(D2388,TicketsBreak!A:A,TicketsBreak!F:F,"",0),0)</f>
        <v>13:00 - 13:30</v>
      </c>
      <c r="J2388" s="316" t="str">
        <f t="array" ref="J2388">XLOOKUP(B2388,Roster!L:L,Roster!P:P,XLOOKUP(D2388,TicketsBreak!A:A,TicketsBreak!G:G,"",0),0)</f>
        <v>15:30 - 15:45</v>
      </c>
      <c r="K2388" s="310">
        <f t="shared" si="4"/>
        <v>46133</v>
      </c>
      <c r="L2388" s="317">
        <f t="array" ref="L2388">(XLOOKUP(D2388,Roster!F:F,Roster!D:D,"",0))</f>
        <v>38</v>
      </c>
      <c r="M2388" s="317" t="str">
        <f t="array" ref="M2388">XLOOKUP(D2388,Roster!F:F,Roster!E:E)</f>
        <v>Voice</v>
      </c>
      <c r="N2388" s="317" t="str">
        <f t="shared" ref="N2388:P2388" si="2422">LEFT(H2388,5)</f>
        <v>10:00</v>
      </c>
      <c r="O2388" s="317" t="str">
        <f t="shared" si="2422"/>
        <v>13:00</v>
      </c>
      <c r="P2388" s="317" t="str">
        <f t="shared" si="2422"/>
        <v>15:30</v>
      </c>
      <c r="Q2388" s="318">
        <f t="shared" si="2365"/>
        <v>46133.41667</v>
      </c>
      <c r="R2388" s="318">
        <f t="shared" si="2366"/>
        <v>46133.54167</v>
      </c>
      <c r="S2388" s="318">
        <f t="shared" si="8"/>
        <v>46133.64583</v>
      </c>
    </row>
    <row r="2389">
      <c r="A2389" s="14" t="str">
        <f t="shared" si="1"/>
        <v>C46946133</v>
      </c>
      <c r="B2389" s="185" t="str">
        <f t="array" ref="B2389">IF(F2389="VL","",IF(F2389="Free","Free",XLOOKUP(D2389,Roster!T:T,Roster!S:S,"",0)))</f>
        <v/>
      </c>
      <c r="C2389" s="313">
        <v>46133.0</v>
      </c>
      <c r="D2389" s="314" t="s">
        <v>171</v>
      </c>
      <c r="E2389" s="307" t="str">
        <f t="array" ref="E2389">(XLOOKUP(D2389,Roster!F:F,Roster!B:B,"",0))</f>
        <v>Ana Ruiz</v>
      </c>
      <c r="F2389" s="315" t="str">
        <f t="array" ref="F2389">IF(B2389=100,"Free",TEXT(XLOOKUP($D2389,OperationVoice!$A:$A,OperationVoice!AA:AA,XLOOKUP($D2389,OperationTickets!$A:$A,OperationTickets!AA:AA,"",0)),"hh:mm"))</f>
        <v>08:00</v>
      </c>
      <c r="G2389" s="309">
        <f t="shared" si="3"/>
        <v>0.7083333333</v>
      </c>
      <c r="H2389" s="316">
        <f t="array" ref="H2389">XLOOKUP(B2389,Roster!L:L,Roster!N:N,XLOOKUP(D2389,TicketsBreak!A:A,TicketsBreak!E:E,"",0),0)</f>
        <v>0.3854166667</v>
      </c>
      <c r="I2389" s="316">
        <f t="array" ref="I2389">XLOOKUP(B2389,Roster!L:L,Roster!O:O,XLOOKUP(D2389,TicketsBreak!A:A,TicketsBreak!F:F,"",0),0)</f>
        <v>0.5</v>
      </c>
      <c r="J2389" s="316">
        <f t="array" ref="J2389">XLOOKUP(B2389,Roster!L:L,Roster!P:P,XLOOKUP(D2389,TicketsBreak!A:A,TicketsBreak!G:G,"",0),0)</f>
        <v>0.6041666667</v>
      </c>
      <c r="K2389" s="310">
        <f t="shared" si="4"/>
        <v>46133</v>
      </c>
      <c r="L2389" s="317">
        <f t="array" ref="L2389">(XLOOKUP(D2389,Roster!F:F,Roster!D:D,"",0))</f>
        <v>3</v>
      </c>
      <c r="M2389" s="317" t="str">
        <f t="array" ref="M2389">XLOOKUP(D2389,Roster!F:F,Roster!E:E)</f>
        <v>Tickets</v>
      </c>
      <c r="N2389" s="317" t="str">
        <f t="shared" ref="N2389:P2389" si="2423">LEFT(H2389,5)</f>
        <v>09:15</v>
      </c>
      <c r="O2389" s="317" t="str">
        <f t="shared" si="2423"/>
        <v>12:00</v>
      </c>
      <c r="P2389" s="317" t="str">
        <f t="shared" si="2423"/>
        <v>14:30</v>
      </c>
      <c r="Q2389" s="318">
        <f t="shared" si="2365"/>
        <v>46133.38542</v>
      </c>
      <c r="R2389" s="318">
        <f t="shared" si="2366"/>
        <v>46133.5</v>
      </c>
      <c r="S2389" s="318">
        <f t="shared" si="8"/>
        <v>46133.60417</v>
      </c>
    </row>
    <row r="2390">
      <c r="A2390" s="14" t="str">
        <f t="shared" si="1"/>
        <v>C155446133</v>
      </c>
      <c r="B2390" s="185">
        <f t="array" ref="B2390">IF(F2390="VL","",IF(F2390="Free","Free",XLOOKUP(D2390,Roster!T:T,Roster!S:S,"",0)))</f>
        <v>131</v>
      </c>
      <c r="C2390" s="313">
        <v>46133.0</v>
      </c>
      <c r="D2390" s="314" t="s">
        <v>13</v>
      </c>
      <c r="E2390" s="307" t="str">
        <f t="array" ref="E2390">(XLOOKUP(D2390,Roster!F:F,Roster!B:B,"",0))</f>
        <v>Andres Lopez</v>
      </c>
      <c r="F2390" s="315" t="str">
        <f t="array" ref="F2390">IF(B2390=100,"Free",TEXT(XLOOKUP($D2390,OperationVoice!$A:$A,OperationVoice!AA:AA,XLOOKUP($D2390,OperationTickets!$A:$A,OperationTickets!AA:AA,"",0)),"hh:mm"))</f>
        <v>09:00</v>
      </c>
      <c r="G2390" s="309">
        <f t="shared" si="3"/>
        <v>0.75</v>
      </c>
      <c r="H2390" s="316" t="str">
        <f t="array" ref="H2390">XLOOKUP(B2390,Roster!L:L,Roster!N:N,XLOOKUP(D2390,TicketsBreak!A:A,TicketsBreak!E:E,"",0),0)</f>
        <v>10:15 - 10:30</v>
      </c>
      <c r="I2390" s="316" t="str">
        <f t="array" ref="I2390">XLOOKUP(B2390,Roster!L:L,Roster!O:O,XLOOKUP(D2390,TicketsBreak!A:A,TicketsBreak!F:F,"",0),0)</f>
        <v>12:30 - 13:00</v>
      </c>
      <c r="J2390" s="316" t="str">
        <f t="array" ref="J2390">XLOOKUP(B2390,Roster!L:L,Roster!P:P,XLOOKUP(D2390,TicketsBreak!A:A,TicketsBreak!G:G,"",0),0)</f>
        <v>15:15 - 15:30</v>
      </c>
      <c r="K2390" s="310">
        <f t="shared" si="4"/>
        <v>46133</v>
      </c>
      <c r="L2390" s="317">
        <f t="array" ref="L2390">(XLOOKUP(D2390,Roster!F:F,Roster!D:D,"",0))</f>
        <v>37</v>
      </c>
      <c r="M2390" s="317" t="str">
        <f t="array" ref="M2390">XLOOKUP(D2390,Roster!F:F,Roster!E:E)</f>
        <v>Voice</v>
      </c>
      <c r="N2390" s="317" t="str">
        <f t="shared" ref="N2390:P2390" si="2424">LEFT(H2390,5)</f>
        <v>10:15</v>
      </c>
      <c r="O2390" s="317" t="str">
        <f t="shared" si="2424"/>
        <v>12:30</v>
      </c>
      <c r="P2390" s="317" t="str">
        <f t="shared" si="2424"/>
        <v>15:15</v>
      </c>
      <c r="Q2390" s="318">
        <f t="shared" si="2365"/>
        <v>46133.42708</v>
      </c>
      <c r="R2390" s="318">
        <f t="shared" si="2366"/>
        <v>46133.52083</v>
      </c>
      <c r="S2390" s="318">
        <f t="shared" si="8"/>
        <v>46133.63542</v>
      </c>
    </row>
    <row r="2391">
      <c r="A2391" s="14" t="str">
        <f t="shared" si="1"/>
        <v>C156746133</v>
      </c>
      <c r="B2391" s="185">
        <f t="array" ref="B2391">IF(F2391="VL","",IF(F2391="Free","Free",XLOOKUP(D2391,Roster!T:T,Roster!S:S,"",0)))</f>
        <v>125</v>
      </c>
      <c r="C2391" s="313">
        <v>46133.0</v>
      </c>
      <c r="D2391" s="314" t="s">
        <v>14</v>
      </c>
      <c r="E2391" s="307" t="str">
        <f t="array" ref="E2391">(XLOOKUP(D2391,Roster!F:F,Roster!B:B,"",0))</f>
        <v>Andres Salazar</v>
      </c>
      <c r="F2391" s="315" t="str">
        <f t="array" ref="F2391">IF(B2391=100,"Free",TEXT(XLOOKUP($D2391,OperationVoice!$A:$A,OperationVoice!AA:AA,XLOOKUP($D2391,OperationTickets!$A:$A,OperationTickets!AA:AA,"",0)),"hh:mm"))</f>
        <v>08:00</v>
      </c>
      <c r="G2391" s="309">
        <f t="shared" si="3"/>
        <v>0.7083333333</v>
      </c>
      <c r="H2391" s="316" t="str">
        <f t="array" ref="H2391">XLOOKUP(B2391,Roster!L:L,Roster!N:N,XLOOKUP(D2391,TicketsBreak!A:A,TicketsBreak!E:E,"",0),0)</f>
        <v>10:30 - 10:45</v>
      </c>
      <c r="I2391" s="316" t="str">
        <f t="array" ref="I2391">XLOOKUP(B2391,Roster!L:L,Roster!O:O,XLOOKUP(D2391,TicketsBreak!A:A,TicketsBreak!F:F,"",0),0)</f>
        <v>13:30 - 14:00</v>
      </c>
      <c r="J2391" s="316" t="str">
        <f t="array" ref="J2391">XLOOKUP(B2391,Roster!L:L,Roster!P:P,XLOOKUP(D2391,TicketsBreak!A:A,TicketsBreak!G:G,"",0),0)</f>
        <v>15:45 - 16:00</v>
      </c>
      <c r="K2391" s="310">
        <f t="shared" si="4"/>
        <v>46133</v>
      </c>
      <c r="L2391" s="317">
        <f t="array" ref="L2391">(XLOOKUP(D2391,Roster!F:F,Roster!D:D,"",0))</f>
        <v>38</v>
      </c>
      <c r="M2391" s="317" t="str">
        <f t="array" ref="M2391">XLOOKUP(D2391,Roster!F:F,Roster!E:E)</f>
        <v>Voice</v>
      </c>
      <c r="N2391" s="317" t="str">
        <f t="shared" ref="N2391:P2391" si="2425">LEFT(H2391,5)</f>
        <v>10:30</v>
      </c>
      <c r="O2391" s="317" t="str">
        <f t="shared" si="2425"/>
        <v>13:30</v>
      </c>
      <c r="P2391" s="317" t="str">
        <f t="shared" si="2425"/>
        <v>15:45</v>
      </c>
      <c r="Q2391" s="318">
        <f t="shared" si="2365"/>
        <v>46133.4375</v>
      </c>
      <c r="R2391" s="318">
        <f t="shared" si="2366"/>
        <v>46133.5625</v>
      </c>
      <c r="S2391" s="318">
        <f t="shared" si="8"/>
        <v>46133.65625</v>
      </c>
    </row>
    <row r="2392">
      <c r="A2392" s="14" t="str">
        <f t="shared" si="1"/>
        <v>C134846133</v>
      </c>
      <c r="B2392" s="185">
        <f t="array" ref="B2392">IF(F2392="VL","",IF(F2392="Free","Free",XLOOKUP(D2392,Roster!T:T,Roster!S:S,"",0)))</f>
        <v>124</v>
      </c>
      <c r="C2392" s="313">
        <v>46133.0</v>
      </c>
      <c r="D2392" s="314" t="s">
        <v>15</v>
      </c>
      <c r="E2392" s="307" t="str">
        <f t="array" ref="E2392">(XLOOKUP(D2392,Roster!F:F,Roster!B:B,"",0))</f>
        <v>Angelo Zapata</v>
      </c>
      <c r="F2392" s="315" t="str">
        <f t="array" ref="F2392">IF(B2392=100,"Free",TEXT(XLOOKUP($D2392,OperationVoice!$A:$A,OperationVoice!AA:AA,XLOOKUP($D2392,OperationTickets!$A:$A,OperationTickets!AA:AA,"",0)),"hh:mm"))</f>
        <v>08:00</v>
      </c>
      <c r="G2392" s="309">
        <f t="shared" si="3"/>
        <v>0.7083333333</v>
      </c>
      <c r="H2392" s="316" t="str">
        <f t="array" ref="H2392">XLOOKUP(B2392,Roster!L:L,Roster!N:N,XLOOKUP(D2392,TicketsBreak!A:A,TicketsBreak!E:E,"",0),0)</f>
        <v>10:00 - 10:15</v>
      </c>
      <c r="I2392" s="316" t="str">
        <f t="array" ref="I2392">XLOOKUP(B2392,Roster!L:L,Roster!O:O,XLOOKUP(D2392,TicketsBreak!A:A,TicketsBreak!F:F,"",0),0)</f>
        <v>13:00 - 13:30</v>
      </c>
      <c r="J2392" s="316" t="str">
        <f t="array" ref="J2392">XLOOKUP(B2392,Roster!L:L,Roster!P:P,XLOOKUP(D2392,TicketsBreak!A:A,TicketsBreak!G:G,"",0),0)</f>
        <v>15:30 - 15:45</v>
      </c>
      <c r="K2392" s="310">
        <f t="shared" si="4"/>
        <v>46133</v>
      </c>
      <c r="L2392" s="317">
        <f t="array" ref="L2392">(XLOOKUP(D2392,Roster!F:F,Roster!D:D,"",0))</f>
        <v>30</v>
      </c>
      <c r="M2392" s="317" t="str">
        <f t="array" ref="M2392">XLOOKUP(D2392,Roster!F:F,Roster!E:E)</f>
        <v>Voice</v>
      </c>
      <c r="N2392" s="317" t="str">
        <f t="shared" ref="N2392:P2392" si="2426">LEFT(H2392,5)</f>
        <v>10:00</v>
      </c>
      <c r="O2392" s="317" t="str">
        <f t="shared" si="2426"/>
        <v>13:00</v>
      </c>
      <c r="P2392" s="317" t="str">
        <f t="shared" si="2426"/>
        <v>15:30</v>
      </c>
      <c r="Q2392" s="318">
        <f t="shared" si="2365"/>
        <v>46133.41667</v>
      </c>
      <c r="R2392" s="318">
        <f t="shared" si="2366"/>
        <v>46133.54167</v>
      </c>
      <c r="S2392" s="318">
        <f t="shared" si="8"/>
        <v>46133.64583</v>
      </c>
    </row>
    <row r="2393">
      <c r="A2393" s="14" t="str">
        <f t="shared" si="1"/>
        <v>C116746133</v>
      </c>
      <c r="B2393" s="185" t="str">
        <f t="array" ref="B2393">IF(F2393="VL","",IF(F2393="Free","Free",XLOOKUP(D2393,Roster!T:T,Roster!S:S,"",0)))</f>
        <v/>
      </c>
      <c r="C2393" s="313">
        <v>46133.0</v>
      </c>
      <c r="D2393" s="314" t="s">
        <v>172</v>
      </c>
      <c r="E2393" s="307" t="str">
        <f t="array" ref="E2393">(XLOOKUP(D2393,Roster!F:F,Roster!B:B,"",0))</f>
        <v>Angie Rua</v>
      </c>
      <c r="F2393" s="315" t="str">
        <f t="array" ref="F2393">IF(B2393=100,"Free",TEXT(XLOOKUP($D2393,OperationVoice!$A:$A,OperationVoice!AA:AA,XLOOKUP($D2393,OperationTickets!$A:$A,OperationTickets!AA:AA,"",0)),"hh:mm"))</f>
        <v>07:00</v>
      </c>
      <c r="G2393" s="309">
        <f t="shared" si="3"/>
        <v>0.6666666667</v>
      </c>
      <c r="H2393" s="316" t="str">
        <f t="array" ref="H2393">XLOOKUP(B2393,Roster!L:L,Roster!N:N,XLOOKUP(D2393,TicketsBreak!A:A,TicketsBreak!E:E,"",0),0)</f>
        <v/>
      </c>
      <c r="I2393" s="316" t="str">
        <f t="array" ref="I2393">XLOOKUP(B2393,Roster!L:L,Roster!O:O,XLOOKUP(D2393,TicketsBreak!A:A,TicketsBreak!F:F,"",0),0)</f>
        <v/>
      </c>
      <c r="J2393" s="316" t="str">
        <f t="array" ref="J2393">XLOOKUP(B2393,Roster!L:L,Roster!P:P,XLOOKUP(D2393,TicketsBreak!A:A,TicketsBreak!G:G,"",0),0)</f>
        <v/>
      </c>
      <c r="K2393" s="310">
        <f t="shared" si="4"/>
        <v>46133</v>
      </c>
      <c r="L2393" s="317">
        <f t="array" ref="L2393">(XLOOKUP(D2393,Roster!F:F,Roster!D:D,"",0))</f>
        <v>24</v>
      </c>
      <c r="M2393" s="317" t="str">
        <f t="array" ref="M2393">XLOOKUP(D2393,Roster!F:F,Roster!E:E)</f>
        <v>Tickets</v>
      </c>
      <c r="N2393" s="317" t="str">
        <f t="shared" ref="N2393:P2393" si="2427">LEFT(H2393,5)</f>
        <v/>
      </c>
      <c r="O2393" s="317" t="str">
        <f t="shared" si="2427"/>
        <v/>
      </c>
      <c r="P2393" s="317" t="str">
        <f t="shared" si="2427"/>
        <v/>
      </c>
      <c r="Q2393" s="318" t="str">
        <f t="shared" si="2365"/>
        <v/>
      </c>
      <c r="R2393" s="318" t="str">
        <f t="shared" si="2366"/>
        <v/>
      </c>
      <c r="S2393" s="318" t="str">
        <f t="shared" si="8"/>
        <v/>
      </c>
    </row>
    <row r="2394">
      <c r="A2394" s="14" t="str">
        <f t="shared" si="1"/>
        <v>C157946133</v>
      </c>
      <c r="B2394" s="185">
        <f t="array" ref="B2394">IF(F2394="VL","",IF(F2394="Free","Free",XLOOKUP(D2394,Roster!T:T,Roster!S:S,"",0)))</f>
        <v>126</v>
      </c>
      <c r="C2394" s="313">
        <v>46133.0</v>
      </c>
      <c r="D2394" s="314" t="s">
        <v>16</v>
      </c>
      <c r="E2394" s="307" t="str">
        <f t="array" ref="E2394">(XLOOKUP(D2394,Roster!F:F,Roster!B:B,"",0))</f>
        <v>Anibal Munoz</v>
      </c>
      <c r="F2394" s="315" t="str">
        <f t="array" ref="F2394">IF(B2394=100,"Free",TEXT(XLOOKUP($D2394,OperationVoice!$A:$A,OperationVoice!AA:AA,XLOOKUP($D2394,OperationTickets!$A:$A,OperationTickets!AA:AA,"",0)),"hh:mm"))</f>
        <v>08:00</v>
      </c>
      <c r="G2394" s="309">
        <f t="shared" si="3"/>
        <v>0.7083333333</v>
      </c>
      <c r="H2394" s="316" t="str">
        <f t="array" ref="H2394">XLOOKUP(B2394,Roster!L:L,Roster!N:N,XLOOKUP(D2394,TicketsBreak!A:A,TicketsBreak!E:E,"",0),0)</f>
        <v>10:45 - 11:00</v>
      </c>
      <c r="I2394" s="316" t="str">
        <f t="array" ref="I2394">XLOOKUP(B2394,Roster!L:L,Roster!O:O,XLOOKUP(D2394,TicketsBreak!A:A,TicketsBreak!F:F,"",0),0)</f>
        <v>14:00 - 14:30</v>
      </c>
      <c r="J2394" s="316" t="str">
        <f t="array" ref="J2394">XLOOKUP(B2394,Roster!L:L,Roster!P:P,XLOOKUP(D2394,TicketsBreak!A:A,TicketsBreak!G:G,"",0),0)</f>
        <v>15:45 - 16:00</v>
      </c>
      <c r="K2394" s="310">
        <f t="shared" si="4"/>
        <v>46133</v>
      </c>
      <c r="L2394" s="317">
        <f t="array" ref="L2394">(XLOOKUP(D2394,Roster!F:F,Roster!D:D,"",0))</f>
        <v>38</v>
      </c>
      <c r="M2394" s="317" t="str">
        <f t="array" ref="M2394">XLOOKUP(D2394,Roster!F:F,Roster!E:E)</f>
        <v>Voice</v>
      </c>
      <c r="N2394" s="317" t="str">
        <f t="shared" ref="N2394:P2394" si="2428">LEFT(H2394,5)</f>
        <v>10:45</v>
      </c>
      <c r="O2394" s="317" t="str">
        <f t="shared" si="2428"/>
        <v>14:00</v>
      </c>
      <c r="P2394" s="317" t="str">
        <f t="shared" si="2428"/>
        <v>15:45</v>
      </c>
      <c r="Q2394" s="318">
        <f t="shared" si="2365"/>
        <v>46133.44792</v>
      </c>
      <c r="R2394" s="318">
        <f t="shared" si="2366"/>
        <v>46133.58333</v>
      </c>
      <c r="S2394" s="318">
        <f t="shared" si="8"/>
        <v>46133.65625</v>
      </c>
    </row>
    <row r="2395">
      <c r="A2395" s="14" t="str">
        <f t="shared" si="1"/>
        <v>C08046133</v>
      </c>
      <c r="B2395" s="185" t="str">
        <f t="array" ref="B2395">IF(F2395="VL","",IF(F2395="Free","Free",XLOOKUP(D2395,Roster!T:T,Roster!S:S,"",0)))</f>
        <v/>
      </c>
      <c r="C2395" s="313">
        <v>46133.0</v>
      </c>
      <c r="D2395" s="314" t="s">
        <v>138</v>
      </c>
      <c r="E2395" s="307" t="str">
        <f t="array" ref="E2395">(XLOOKUP(D2395,Roster!F:F,Roster!B:B,"",0))</f>
        <v>Arturo Padilla</v>
      </c>
      <c r="F2395" s="315" t="str">
        <f t="array" ref="F2395">IF(B2395=100,"Free",TEXT(XLOOKUP($D2395,OperationVoice!$A:$A,OperationVoice!AA:AA,XLOOKUP($D2395,OperationTickets!$A:$A,OperationTickets!AA:AA,"",0)),"hh:mm"))</f>
        <v>08:00</v>
      </c>
      <c r="G2395" s="309">
        <f t="shared" si="3"/>
        <v>0.7083333333</v>
      </c>
      <c r="H2395" s="316">
        <f t="array" ref="H2395">XLOOKUP(B2395,Roster!L:L,Roster!N:N,XLOOKUP(D2395,TicketsBreak!A:A,TicketsBreak!E:E,"",0),0)</f>
        <v>0.375</v>
      </c>
      <c r="I2395" s="316">
        <f t="array" ref="I2395">XLOOKUP(B2395,Roster!L:L,Roster!O:O,XLOOKUP(D2395,TicketsBreak!A:A,TicketsBreak!F:F,"",0),0)</f>
        <v>0.5</v>
      </c>
      <c r="J2395" s="316">
        <f t="array" ref="J2395">XLOOKUP(B2395,Roster!L:L,Roster!P:P,XLOOKUP(D2395,TicketsBreak!A:A,TicketsBreak!G:G,"",0),0)</f>
        <v>0.6458333333</v>
      </c>
      <c r="K2395" s="310">
        <f t="shared" si="4"/>
        <v>46133</v>
      </c>
      <c r="L2395" s="317">
        <f t="array" ref="L2395">(XLOOKUP(D2395,Roster!F:F,Roster!D:D,"",0))</f>
        <v>1</v>
      </c>
      <c r="M2395" s="317" t="str">
        <f t="array" ref="M2395">XLOOKUP(D2395,Roster!F:F,Roster!E:E)</f>
        <v>Tickets</v>
      </c>
      <c r="N2395" s="317" t="str">
        <f t="shared" ref="N2395:P2395" si="2429">LEFT(H2395,5)</f>
        <v>09:00</v>
      </c>
      <c r="O2395" s="317" t="str">
        <f t="shared" si="2429"/>
        <v>12:00</v>
      </c>
      <c r="P2395" s="317" t="str">
        <f t="shared" si="2429"/>
        <v>15:30</v>
      </c>
      <c r="Q2395" s="318">
        <f t="shared" si="2365"/>
        <v>46133.375</v>
      </c>
      <c r="R2395" s="318">
        <f t="shared" si="2366"/>
        <v>46133.5</v>
      </c>
      <c r="S2395" s="318">
        <f t="shared" si="8"/>
        <v>46133.64583</v>
      </c>
    </row>
    <row r="2396">
      <c r="A2396" s="14" t="str">
        <f t="shared" si="1"/>
        <v>C150446133</v>
      </c>
      <c r="B2396" s="185">
        <f t="array" ref="B2396">IF(F2396="VL","",IF(F2396="Free","Free",XLOOKUP(D2396,Roster!T:T,Roster!S:S,"",0)))</f>
        <v>123</v>
      </c>
      <c r="C2396" s="313">
        <v>46133.0</v>
      </c>
      <c r="D2396" s="314" t="s">
        <v>155</v>
      </c>
      <c r="E2396" s="307" t="str">
        <f t="array" ref="E2396">(XLOOKUP(D2396,Roster!F:F,Roster!B:B,"",0))</f>
        <v>Beatriz Montanez</v>
      </c>
      <c r="F2396" s="315" t="str">
        <f t="array" ref="F2396">IF(B2396=100,"Free",TEXT(XLOOKUP($D2396,OperationVoice!$A:$A,OperationVoice!AA:AA,XLOOKUP($D2396,OperationTickets!$A:$A,OperationTickets!AA:AA,"",0)),"hh:mm"))</f>
        <v>08:00</v>
      </c>
      <c r="G2396" s="309">
        <f t="shared" si="3"/>
        <v>0.7083333333</v>
      </c>
      <c r="H2396" s="316" t="str">
        <f t="array" ref="H2396">XLOOKUP(B2396,Roster!L:L,Roster!N:N,XLOOKUP(D2396,TicketsBreak!A:A,TicketsBreak!E:E,"",0),0)</f>
        <v>09:45 - 10:00 </v>
      </c>
      <c r="I2396" s="316" t="str">
        <f t="array" ref="I2396">XLOOKUP(B2396,Roster!L:L,Roster!O:O,XLOOKUP(D2396,TicketsBreak!A:A,TicketsBreak!F:F,"",0),0)</f>
        <v>12:30 - 13:00</v>
      </c>
      <c r="J2396" s="316" t="str">
        <f t="array" ref="J2396">XLOOKUP(B2396,Roster!L:L,Roster!P:P,XLOOKUP(D2396,TicketsBreak!A:A,TicketsBreak!G:G,"",0),0)</f>
        <v>15:00 - 15:15</v>
      </c>
      <c r="K2396" s="310">
        <f t="shared" si="4"/>
        <v>46133</v>
      </c>
      <c r="L2396" s="317">
        <f t="array" ref="L2396">(XLOOKUP(D2396,Roster!F:F,Roster!D:D,"",0))</f>
        <v>35</v>
      </c>
      <c r="M2396" s="317" t="str">
        <f t="array" ref="M2396">XLOOKUP(D2396,Roster!F:F,Roster!E:E)</f>
        <v>Tickets</v>
      </c>
      <c r="N2396" s="317" t="str">
        <f t="shared" ref="N2396:P2396" si="2430">LEFT(H2396,5)</f>
        <v>09:45</v>
      </c>
      <c r="O2396" s="317" t="str">
        <f t="shared" si="2430"/>
        <v>12:30</v>
      </c>
      <c r="P2396" s="317" t="str">
        <f t="shared" si="2430"/>
        <v>15:00</v>
      </c>
      <c r="Q2396" s="318">
        <f t="shared" si="2365"/>
        <v>46133.40625</v>
      </c>
      <c r="R2396" s="318">
        <f t="shared" si="2366"/>
        <v>46133.52083</v>
      </c>
      <c r="S2396" s="318">
        <f t="shared" si="8"/>
        <v>46133.625</v>
      </c>
    </row>
    <row r="2397">
      <c r="A2397" s="14" t="str">
        <f t="shared" si="1"/>
        <v>C107746133</v>
      </c>
      <c r="B2397" s="185">
        <f t="array" ref="B2397">IF(F2397="VL","",IF(F2397="Free","Free",XLOOKUP(D2397,Roster!T:T,Roster!S:S,"",0)))</f>
        <v>125</v>
      </c>
      <c r="C2397" s="313">
        <v>46133.0</v>
      </c>
      <c r="D2397" s="314" t="s">
        <v>17</v>
      </c>
      <c r="E2397" s="307" t="str">
        <f t="array" ref="E2397">(XLOOKUP(D2397,Roster!F:F,Roster!B:B,"",0))</f>
        <v>Brahian Prado</v>
      </c>
      <c r="F2397" s="315" t="str">
        <f t="array" ref="F2397">IF(B2397=100,"Free",TEXT(XLOOKUP($D2397,OperationVoice!$A:$A,OperationVoice!AA:AA,XLOOKUP($D2397,OperationTickets!$A:$A,OperationTickets!AA:AA,"",0)),"hh:mm"))</f>
        <v>08:00</v>
      </c>
      <c r="G2397" s="309">
        <f t="shared" si="3"/>
        <v>0.7083333333</v>
      </c>
      <c r="H2397" s="316" t="str">
        <f t="array" ref="H2397">XLOOKUP(B2397,Roster!L:L,Roster!N:N,XLOOKUP(D2397,TicketsBreak!A:A,TicketsBreak!E:E,"",0),0)</f>
        <v>10:30 - 10:45</v>
      </c>
      <c r="I2397" s="316" t="str">
        <f t="array" ref="I2397">XLOOKUP(B2397,Roster!L:L,Roster!O:O,XLOOKUP(D2397,TicketsBreak!A:A,TicketsBreak!F:F,"",0),0)</f>
        <v>13:30 - 14:00</v>
      </c>
      <c r="J2397" s="316" t="str">
        <f t="array" ref="J2397">XLOOKUP(B2397,Roster!L:L,Roster!P:P,XLOOKUP(D2397,TicketsBreak!A:A,TicketsBreak!G:G,"",0),0)</f>
        <v>15:45 - 16:00</v>
      </c>
      <c r="K2397" s="310">
        <f t="shared" si="4"/>
        <v>46133</v>
      </c>
      <c r="L2397" s="317">
        <f t="array" ref="L2397">(XLOOKUP(D2397,Roster!F:F,Roster!D:D,"",0))</f>
        <v>18</v>
      </c>
      <c r="M2397" s="317" t="str">
        <f t="array" ref="M2397">XLOOKUP(D2397,Roster!F:F,Roster!E:E)</f>
        <v>Voice</v>
      </c>
      <c r="N2397" s="317" t="str">
        <f t="shared" ref="N2397:P2397" si="2431">LEFT(H2397,5)</f>
        <v>10:30</v>
      </c>
      <c r="O2397" s="317" t="str">
        <f t="shared" si="2431"/>
        <v>13:30</v>
      </c>
      <c r="P2397" s="317" t="str">
        <f t="shared" si="2431"/>
        <v>15:45</v>
      </c>
      <c r="Q2397" s="318">
        <f t="shared" si="2365"/>
        <v>46133.4375</v>
      </c>
      <c r="R2397" s="318">
        <f t="shared" si="2366"/>
        <v>46133.5625</v>
      </c>
      <c r="S2397" s="318">
        <f t="shared" si="8"/>
        <v>46133.65625</v>
      </c>
    </row>
    <row r="2398">
      <c r="A2398" s="14" t="str">
        <f t="shared" si="1"/>
        <v>C116546133</v>
      </c>
      <c r="B2398" s="185" t="str">
        <f t="array" ref="B2398">IF(F2398="VL","",IF(F2398="Free","Free",XLOOKUP(D2398,Roster!T:T,Roster!S:S,"",0)))</f>
        <v/>
      </c>
      <c r="C2398" s="313">
        <v>46133.0</v>
      </c>
      <c r="D2398" s="314" t="s">
        <v>139</v>
      </c>
      <c r="E2398" s="307" t="str">
        <f t="array" ref="E2398">(XLOOKUP(D2398,Roster!F:F,Roster!B:B,"",0))</f>
        <v>Braian Restrepo</v>
      </c>
      <c r="F2398" s="315" t="str">
        <f t="array" ref="F2398">IF(B2398=100,"Free",TEXT(XLOOKUP($D2398,OperationVoice!$A:$A,OperationVoice!AA:AA,XLOOKUP($D2398,OperationTickets!$A:$A,OperationTickets!AA:AA,"",0)),"hh:mm"))</f>
        <v>08:00</v>
      </c>
      <c r="G2398" s="309">
        <f t="shared" si="3"/>
        <v>0.7083333333</v>
      </c>
      <c r="H2398" s="316" t="str">
        <f t="array" ref="H2398">XLOOKUP(B2398,Roster!L:L,Roster!N:N,XLOOKUP(D2398,TicketsBreak!A:A,TicketsBreak!E:E,"",0),0)</f>
        <v/>
      </c>
      <c r="I2398" s="316" t="str">
        <f t="array" ref="I2398">XLOOKUP(B2398,Roster!L:L,Roster!O:O,XLOOKUP(D2398,TicketsBreak!A:A,TicketsBreak!F:F,"",0),0)</f>
        <v/>
      </c>
      <c r="J2398" s="316" t="str">
        <f t="array" ref="J2398">XLOOKUP(B2398,Roster!L:L,Roster!P:P,XLOOKUP(D2398,TicketsBreak!A:A,TicketsBreak!G:G,"",0),0)</f>
        <v/>
      </c>
      <c r="K2398" s="310">
        <f t="shared" si="4"/>
        <v>46133</v>
      </c>
      <c r="L2398" s="317">
        <f t="array" ref="L2398">(XLOOKUP(D2398,Roster!F:F,Roster!D:D,"",0))</f>
        <v>24</v>
      </c>
      <c r="M2398" s="317" t="str">
        <f t="array" ref="M2398">XLOOKUP(D2398,Roster!F:F,Roster!E:E)</f>
        <v>Tickets</v>
      </c>
      <c r="N2398" s="317" t="str">
        <f t="shared" ref="N2398:P2398" si="2432">LEFT(H2398,5)</f>
        <v/>
      </c>
      <c r="O2398" s="317" t="str">
        <f t="shared" si="2432"/>
        <v/>
      </c>
      <c r="P2398" s="317" t="str">
        <f t="shared" si="2432"/>
        <v/>
      </c>
      <c r="Q2398" s="318" t="str">
        <f t="shared" si="2365"/>
        <v/>
      </c>
      <c r="R2398" s="318" t="str">
        <f t="shared" si="2366"/>
        <v/>
      </c>
      <c r="S2398" s="318" t="str">
        <f t="shared" si="8"/>
        <v/>
      </c>
    </row>
    <row r="2399">
      <c r="A2399" s="14" t="str">
        <f t="shared" si="1"/>
        <v>C127446133</v>
      </c>
      <c r="B2399" s="185">
        <f t="array" ref="B2399">IF(F2399="VL","",IF(F2399="Free","Free",XLOOKUP(D2399,Roster!T:T,Roster!S:S,"",0)))</f>
        <v>126</v>
      </c>
      <c r="C2399" s="313">
        <v>46133.0</v>
      </c>
      <c r="D2399" s="314" t="s">
        <v>250</v>
      </c>
      <c r="E2399" s="307" t="str">
        <f t="array" ref="E2399">(XLOOKUP(D2399,Roster!F:F,Roster!B:B,"",0))</f>
        <v>Brayan Franco</v>
      </c>
      <c r="F2399" s="315" t="str">
        <f t="array" ref="F2399">IF(B2399=100,"Free",TEXT(XLOOKUP($D2399,OperationVoice!$A:$A,OperationVoice!AA:AA,XLOOKUP($D2399,OperationTickets!$A:$A,OperationTickets!AA:AA,"",0)),"hh:mm"))</f>
        <v/>
      </c>
      <c r="G2399" s="309" t="str">
        <f t="shared" si="3"/>
        <v/>
      </c>
      <c r="H2399" s="316" t="str">
        <f t="array" ref="H2399">XLOOKUP(B2399,Roster!L:L,Roster!N:N,XLOOKUP(D2399,TicketsBreak!A:A,TicketsBreak!E:E,"",0),0)</f>
        <v>10:45 - 11:00</v>
      </c>
      <c r="I2399" s="316" t="str">
        <f t="array" ref="I2399">XLOOKUP(B2399,Roster!L:L,Roster!O:O,XLOOKUP(D2399,TicketsBreak!A:A,TicketsBreak!F:F,"",0),0)</f>
        <v>14:00 - 14:30</v>
      </c>
      <c r="J2399" s="316" t="str">
        <f t="array" ref="J2399">XLOOKUP(B2399,Roster!L:L,Roster!P:P,XLOOKUP(D2399,TicketsBreak!A:A,TicketsBreak!G:G,"",0),0)</f>
        <v>15:45 - 16:00</v>
      </c>
      <c r="K2399" s="310">
        <f t="shared" si="4"/>
        <v>46133</v>
      </c>
      <c r="L2399" s="317">
        <f t="array" ref="L2399">(XLOOKUP(D2399,Roster!F:F,Roster!D:D,"",0))</f>
        <v>27</v>
      </c>
      <c r="M2399" s="317" t="str">
        <f t="array" ref="M2399">XLOOKUP(D2399,Roster!F:F,Roster!E:E)</f>
        <v>Voice</v>
      </c>
      <c r="N2399" s="317" t="str">
        <f t="shared" ref="N2399:P2399" si="2433">LEFT(H2399,5)</f>
        <v>10:45</v>
      </c>
      <c r="O2399" s="317" t="str">
        <f t="shared" si="2433"/>
        <v>14:00</v>
      </c>
      <c r="P2399" s="317" t="str">
        <f t="shared" si="2433"/>
        <v>15:45</v>
      </c>
      <c r="Q2399" s="318">
        <f t="shared" si="2365"/>
        <v>46133.44792</v>
      </c>
      <c r="R2399" s="318">
        <f t="shared" si="2366"/>
        <v>46133.58333</v>
      </c>
      <c r="S2399" s="318">
        <f t="shared" si="8"/>
        <v>46133.65625</v>
      </c>
    </row>
    <row r="2400">
      <c r="A2400" s="14" t="str">
        <f t="shared" si="1"/>
        <v>C119146133</v>
      </c>
      <c r="B2400" s="185">
        <f t="array" ref="B2400">IF(F2400="VL","",IF(F2400="Free","Free",XLOOKUP(D2400,Roster!T:T,Roster!S:S,"",0)))</f>
        <v>111</v>
      </c>
      <c r="C2400" s="313">
        <v>46133.0</v>
      </c>
      <c r="D2400" s="314" t="s">
        <v>18</v>
      </c>
      <c r="E2400" s="307" t="str">
        <f t="array" ref="E2400">(XLOOKUP(D2400,Roster!F:F,Roster!B:B,"",0))</f>
        <v>Brayan Montoya</v>
      </c>
      <c r="F2400" s="315" t="str">
        <f t="array" ref="F2400">IF(B2400=100,"Free",TEXT(XLOOKUP($D2400,OperationVoice!$A:$A,OperationVoice!AA:AA,XLOOKUP($D2400,OperationTickets!$A:$A,OperationTickets!AA:AA,"",0)),"hh:mm"))</f>
        <v>07:00</v>
      </c>
      <c r="G2400" s="309">
        <f t="shared" si="3"/>
        <v>0.6666666667</v>
      </c>
      <c r="H2400" s="316" t="str">
        <f t="array" ref="H2400">XLOOKUP(B2400,Roster!L:L,Roster!N:N,XLOOKUP(D2400,TicketsBreak!A:A,TicketsBreak!E:E,"",0),0)</f>
        <v>09:00 - 09:15</v>
      </c>
      <c r="I2400" s="316" t="str">
        <f t="array" ref="I2400">XLOOKUP(B2400,Roster!L:L,Roster!O:O,XLOOKUP(D2400,TicketsBreak!A:A,TicketsBreak!F:F,"",0),0)</f>
        <v>11:45 - 12:15</v>
      </c>
      <c r="J2400" s="316" t="str">
        <f t="array" ref="J2400">XLOOKUP(B2400,Roster!L:L,Roster!P:P,XLOOKUP(D2400,TicketsBreak!A:A,TicketsBreak!G:G,"",0),0)</f>
        <v>14:30 - 14:45</v>
      </c>
      <c r="K2400" s="310">
        <f t="shared" si="4"/>
        <v>46133</v>
      </c>
      <c r="L2400" s="317">
        <f t="array" ref="L2400">(XLOOKUP(D2400,Roster!F:F,Roster!D:D,"",0))</f>
        <v>25</v>
      </c>
      <c r="M2400" s="317" t="str">
        <f t="array" ref="M2400">XLOOKUP(D2400,Roster!F:F,Roster!E:E)</f>
        <v>Voice</v>
      </c>
      <c r="N2400" s="317" t="str">
        <f t="shared" ref="N2400:P2400" si="2434">LEFT(H2400,5)</f>
        <v>09:00</v>
      </c>
      <c r="O2400" s="317" t="str">
        <f t="shared" si="2434"/>
        <v>11:45</v>
      </c>
      <c r="P2400" s="317" t="str">
        <f t="shared" si="2434"/>
        <v>14:30</v>
      </c>
      <c r="Q2400" s="318">
        <f t="shared" si="2365"/>
        <v>46133.375</v>
      </c>
      <c r="R2400" s="318">
        <f t="shared" si="2366"/>
        <v>46133.48958</v>
      </c>
      <c r="S2400" s="318">
        <f t="shared" si="8"/>
        <v>46133.60417</v>
      </c>
    </row>
    <row r="2401">
      <c r="A2401" s="14" t="str">
        <f t="shared" si="1"/>
        <v>C152646133</v>
      </c>
      <c r="B2401" s="185">
        <f t="array" ref="B2401">IF(F2401="VL","",IF(F2401="Free","Free",XLOOKUP(D2401,Roster!T:T,Roster!S:S,"",0)))</f>
        <v>121</v>
      </c>
      <c r="C2401" s="313">
        <v>46133.0</v>
      </c>
      <c r="D2401" s="314" t="s">
        <v>19</v>
      </c>
      <c r="E2401" s="307" t="str">
        <f t="array" ref="E2401">(XLOOKUP(D2401,Roster!F:F,Roster!B:B,"",0))</f>
        <v>Breitner Benitez</v>
      </c>
      <c r="F2401" s="315" t="str">
        <f t="array" ref="F2401">IF(B2401=100,"Free",TEXT(XLOOKUP($D2401,OperationVoice!$A:$A,OperationVoice!AA:AA,XLOOKUP($D2401,OperationTickets!$A:$A,OperationTickets!AA:AA,"",0)),"hh:mm"))</f>
        <v>08:00</v>
      </c>
      <c r="G2401" s="309">
        <f t="shared" si="3"/>
        <v>0.7083333333</v>
      </c>
      <c r="H2401" s="316" t="str">
        <f t="array" ref="H2401">XLOOKUP(B2401,Roster!L:L,Roster!N:N,XLOOKUP(D2401,TicketsBreak!A:A,TicketsBreak!E:E,"",0),0)</f>
        <v>09:15 - 09:30</v>
      </c>
      <c r="I2401" s="316" t="str">
        <f t="array" ref="I2401">XLOOKUP(B2401,Roster!L:L,Roster!O:O,XLOOKUP(D2401,TicketsBreak!A:A,TicketsBreak!F:F,"",0),0)</f>
        <v>11:30 - 12:00</v>
      </c>
      <c r="J2401" s="316" t="str">
        <f t="array" ref="J2401">XLOOKUP(B2401,Roster!L:L,Roster!P:P,XLOOKUP(D2401,TicketsBreak!A:A,TicketsBreak!G:G,"",0),0)</f>
        <v>14:30 - 14:45</v>
      </c>
      <c r="K2401" s="310">
        <f t="shared" si="4"/>
        <v>46133</v>
      </c>
      <c r="L2401" s="317">
        <f t="array" ref="L2401">(XLOOKUP(D2401,Roster!F:F,Roster!D:D,"",0))</f>
        <v>13</v>
      </c>
      <c r="M2401" s="317" t="str">
        <f t="array" ref="M2401">XLOOKUP(D2401,Roster!F:F,Roster!E:E)</f>
        <v>Voice</v>
      </c>
      <c r="N2401" s="317" t="str">
        <f t="shared" ref="N2401:P2401" si="2435">LEFT(H2401,5)</f>
        <v>09:15</v>
      </c>
      <c r="O2401" s="317" t="str">
        <f t="shared" si="2435"/>
        <v>11:30</v>
      </c>
      <c r="P2401" s="317" t="str">
        <f t="shared" si="2435"/>
        <v>14:30</v>
      </c>
      <c r="Q2401" s="318">
        <f t="shared" si="2365"/>
        <v>46133.38542</v>
      </c>
      <c r="R2401" s="318">
        <f t="shared" si="2366"/>
        <v>46133.47917</v>
      </c>
      <c r="S2401" s="318">
        <f t="shared" si="8"/>
        <v>46133.60417</v>
      </c>
    </row>
    <row r="2402">
      <c r="A2402" s="14" t="str">
        <f t="shared" si="1"/>
        <v>C153546133</v>
      </c>
      <c r="B2402" s="185">
        <f t="array" ref="B2402">IF(F2402="VL","",IF(F2402="Free","Free",XLOOKUP(D2402,Roster!T:T,Roster!S:S,"",0)))</f>
        <v>154</v>
      </c>
      <c r="C2402" s="313">
        <v>46133.0</v>
      </c>
      <c r="D2402" s="314" t="s">
        <v>20</v>
      </c>
      <c r="E2402" s="307" t="str">
        <f t="array" ref="E2402">(XLOOKUP(D2402,Roster!F:F,Roster!B:B,"",0))</f>
        <v>Carlos Alzate</v>
      </c>
      <c r="F2402" s="315" t="str">
        <f t="array" ref="F2402">IF(B2402=100,"Free",TEXT(XLOOKUP($D2402,OperationVoice!$A:$A,OperationVoice!AA:AA,XLOOKUP($D2402,OperationTickets!$A:$A,OperationTickets!AA:AA,"",0)),"hh:mm"))</f>
        <v>11:00</v>
      </c>
      <c r="G2402" s="309">
        <f t="shared" si="3"/>
        <v>0.8333333333</v>
      </c>
      <c r="H2402" s="316" t="str">
        <f t="array" ref="H2402">XLOOKUP(B2402,Roster!L:L,Roster!N:N,XLOOKUP(D2402,TicketsBreak!A:A,TicketsBreak!E:E,"",0),0)</f>
        <v>13:00 - 13:15</v>
      </c>
      <c r="I2402" s="316" t="str">
        <f t="array" ref="I2402">XLOOKUP(B2402,Roster!L:L,Roster!O:O,XLOOKUP(D2402,TicketsBreak!A:A,TicketsBreak!F:F,"",0),0)</f>
        <v>15:15 - 15:45</v>
      </c>
      <c r="J2402" s="316" t="str">
        <f t="array" ref="J2402">XLOOKUP(B2402,Roster!L:L,Roster!P:P,XLOOKUP(D2402,TicketsBreak!A:A,TicketsBreak!G:G,"",0),0)</f>
        <v>18:00 - 18:15</v>
      </c>
      <c r="K2402" s="310">
        <f t="shared" si="4"/>
        <v>46133</v>
      </c>
      <c r="L2402" s="317">
        <f t="array" ref="L2402">(XLOOKUP(D2402,Roster!F:F,Roster!D:D,"",0))</f>
        <v>36</v>
      </c>
      <c r="M2402" s="317" t="str">
        <f t="array" ref="M2402">XLOOKUP(D2402,Roster!F:F,Roster!E:E)</f>
        <v>Voice</v>
      </c>
      <c r="N2402" s="317" t="str">
        <f t="shared" ref="N2402:P2402" si="2436">LEFT(H2402,5)</f>
        <v>13:00</v>
      </c>
      <c r="O2402" s="317" t="str">
        <f t="shared" si="2436"/>
        <v>15:15</v>
      </c>
      <c r="P2402" s="317" t="str">
        <f t="shared" si="2436"/>
        <v>18:00</v>
      </c>
      <c r="Q2402" s="318">
        <f t="shared" si="2365"/>
        <v>46133.54167</v>
      </c>
      <c r="R2402" s="318">
        <f t="shared" si="2366"/>
        <v>46133.63542</v>
      </c>
      <c r="S2402" s="318">
        <f t="shared" si="8"/>
        <v>46133.75</v>
      </c>
    </row>
    <row r="2403">
      <c r="A2403" s="14" t="str">
        <f t="shared" si="1"/>
        <v>C153146133</v>
      </c>
      <c r="B2403" s="185">
        <f t="array" ref="B2403">IF(F2403="VL","",IF(F2403="Free","Free",XLOOKUP(D2403,Roster!T:T,Roster!S:S,"",0)))</f>
        <v>123</v>
      </c>
      <c r="C2403" s="313">
        <v>46133.0</v>
      </c>
      <c r="D2403" s="314" t="s">
        <v>21</v>
      </c>
      <c r="E2403" s="307" t="str">
        <f t="array" ref="E2403">(XLOOKUP(D2403,Roster!F:F,Roster!B:B,"",0))</f>
        <v>Carlos Palma</v>
      </c>
      <c r="F2403" s="315" t="str">
        <f t="array" ref="F2403">IF(B2403=100,"Free",TEXT(XLOOKUP($D2403,OperationVoice!$A:$A,OperationVoice!AA:AA,XLOOKUP($D2403,OperationTickets!$A:$A,OperationTickets!AA:AA,"",0)),"hh:mm"))</f>
        <v>08:00</v>
      </c>
      <c r="G2403" s="309">
        <f t="shared" si="3"/>
        <v>0.7083333333</v>
      </c>
      <c r="H2403" s="316" t="str">
        <f t="array" ref="H2403">XLOOKUP(B2403,Roster!L:L,Roster!N:N,XLOOKUP(D2403,TicketsBreak!A:A,TicketsBreak!E:E,"",0),0)</f>
        <v>09:45 - 10:00 </v>
      </c>
      <c r="I2403" s="316" t="str">
        <f t="array" ref="I2403">XLOOKUP(B2403,Roster!L:L,Roster!O:O,XLOOKUP(D2403,TicketsBreak!A:A,TicketsBreak!F:F,"",0),0)</f>
        <v>12:30 - 13:00</v>
      </c>
      <c r="J2403" s="316" t="str">
        <f t="array" ref="J2403">XLOOKUP(B2403,Roster!L:L,Roster!P:P,XLOOKUP(D2403,TicketsBreak!A:A,TicketsBreak!G:G,"",0),0)</f>
        <v>15:00 - 15:15</v>
      </c>
      <c r="K2403" s="310">
        <f t="shared" si="4"/>
        <v>46133</v>
      </c>
      <c r="L2403" s="317">
        <f t="array" ref="L2403">(XLOOKUP(D2403,Roster!F:F,Roster!D:D,"",0))</f>
        <v>36</v>
      </c>
      <c r="M2403" s="317" t="str">
        <f t="array" ref="M2403">XLOOKUP(D2403,Roster!F:F,Roster!E:E)</f>
        <v>Voice</v>
      </c>
      <c r="N2403" s="317" t="str">
        <f t="shared" ref="N2403:P2403" si="2437">LEFT(H2403,5)</f>
        <v>09:45</v>
      </c>
      <c r="O2403" s="317" t="str">
        <f t="shared" si="2437"/>
        <v>12:30</v>
      </c>
      <c r="P2403" s="317" t="str">
        <f t="shared" si="2437"/>
        <v>15:00</v>
      </c>
      <c r="Q2403" s="318">
        <f t="shared" si="2365"/>
        <v>46133.40625</v>
      </c>
      <c r="R2403" s="318">
        <f t="shared" si="2366"/>
        <v>46133.52083</v>
      </c>
      <c r="S2403" s="318">
        <f t="shared" si="8"/>
        <v>46133.625</v>
      </c>
    </row>
    <row r="2404">
      <c r="A2404" s="14" t="str">
        <f t="shared" si="1"/>
        <v>C157646133</v>
      </c>
      <c r="B2404" s="185" t="str">
        <f t="array" ref="B2404">IF(F2404="VL","",IF(F2404="Free","Free",XLOOKUP(D2404,Roster!T:T,Roster!S:S,"",0)))</f>
        <v/>
      </c>
      <c r="C2404" s="313">
        <v>46133.0</v>
      </c>
      <c r="D2404" s="314" t="s">
        <v>313</v>
      </c>
      <c r="E2404" s="307" t="str">
        <f t="array" ref="E2404">(XLOOKUP(D2404,Roster!F:F,Roster!B:B,"",0))</f>
        <v>Carlos Ruiz</v>
      </c>
      <c r="F2404" s="315" t="str">
        <f t="array" ref="F2404">IF(B2404=100,"Free",TEXT(XLOOKUP($D2404,OperationVoice!$A:$A,OperationVoice!AA:AA,XLOOKUP($D2404,OperationTickets!$A:$A,OperationTickets!AA:AA,"",0)),"hh:mm"))</f>
        <v/>
      </c>
      <c r="G2404" s="309" t="str">
        <f t="shared" si="3"/>
        <v/>
      </c>
      <c r="H2404" s="316" t="str">
        <f t="array" ref="H2404">XLOOKUP(B2404,Roster!L:L,Roster!N:N,XLOOKUP(D2404,TicketsBreak!A:A,TicketsBreak!E:E,"",0),0)</f>
        <v/>
      </c>
      <c r="I2404" s="316" t="str">
        <f t="array" ref="I2404">XLOOKUP(B2404,Roster!L:L,Roster!O:O,XLOOKUP(D2404,TicketsBreak!A:A,TicketsBreak!F:F,"",0),0)</f>
        <v/>
      </c>
      <c r="J2404" s="316" t="str">
        <f t="array" ref="J2404">XLOOKUP(B2404,Roster!L:L,Roster!P:P,XLOOKUP(D2404,TicketsBreak!A:A,TicketsBreak!G:G,"",0),0)</f>
        <v/>
      </c>
      <c r="K2404" s="310">
        <f t="shared" si="4"/>
        <v>46133</v>
      </c>
      <c r="L2404" s="317">
        <f t="array" ref="L2404">(XLOOKUP(D2404,Roster!F:F,Roster!D:D,"",0))</f>
        <v>38</v>
      </c>
      <c r="M2404" s="317" t="str">
        <f t="array" ref="M2404">XLOOKUP(D2404,Roster!F:F,Roster!E:E)</f>
        <v>Nesting</v>
      </c>
      <c r="N2404" s="317" t="str">
        <f t="shared" ref="N2404:P2404" si="2438">LEFT(H2404,5)</f>
        <v/>
      </c>
      <c r="O2404" s="317" t="str">
        <f t="shared" si="2438"/>
        <v/>
      </c>
      <c r="P2404" s="317" t="str">
        <f t="shared" si="2438"/>
        <v/>
      </c>
      <c r="Q2404" s="318" t="str">
        <f t="shared" si="2365"/>
        <v/>
      </c>
      <c r="R2404" s="318" t="str">
        <f t="shared" si="2366"/>
        <v/>
      </c>
      <c r="S2404" s="318" t="str">
        <f t="shared" si="8"/>
        <v/>
      </c>
    </row>
    <row r="2405">
      <c r="A2405" s="14" t="str">
        <f t="shared" si="1"/>
        <v>C47946133</v>
      </c>
      <c r="B2405" s="185" t="str">
        <f t="array" ref="B2405">IF(F2405="VL","",IF(F2405="Free","Free",XLOOKUP(D2405,Roster!T:T,Roster!S:S,"",0)))</f>
        <v/>
      </c>
      <c r="C2405" s="313">
        <v>46133.0</v>
      </c>
      <c r="D2405" s="314" t="s">
        <v>173</v>
      </c>
      <c r="E2405" s="307" t="str">
        <f t="array" ref="E2405">(XLOOKUP(D2405,Roster!F:F,Roster!B:B,"",0))</f>
        <v>Carmen Grajales</v>
      </c>
      <c r="F2405" s="315" t="str">
        <f t="array" ref="F2405">IF(B2405=100,"Free",TEXT(XLOOKUP($D2405,OperationVoice!$A:$A,OperationVoice!AA:AA,XLOOKUP($D2405,OperationTickets!$A:$A,OperationTickets!AA:AA,"",0)),"hh:mm"))</f>
        <v>08:00</v>
      </c>
      <c r="G2405" s="309">
        <f t="shared" si="3"/>
        <v>0.7083333333</v>
      </c>
      <c r="H2405" s="316">
        <f t="array" ref="H2405">XLOOKUP(B2405,Roster!L:L,Roster!N:N,XLOOKUP(D2405,TicketsBreak!A:A,TicketsBreak!E:E,"",0),0)</f>
        <v>0.4270833333</v>
      </c>
      <c r="I2405" s="316">
        <f t="array" ref="I2405">XLOOKUP(B2405,Roster!L:L,Roster!O:O,XLOOKUP(D2405,TicketsBreak!A:A,TicketsBreak!F:F,"",0),0)</f>
        <v>0.53125</v>
      </c>
      <c r="J2405" s="316">
        <f t="array" ref="J2405">XLOOKUP(B2405,Roster!L:L,Roster!P:P,XLOOKUP(D2405,TicketsBreak!A:A,TicketsBreak!G:G,"",0),0)</f>
        <v>0.65625</v>
      </c>
      <c r="K2405" s="310">
        <f t="shared" si="4"/>
        <v>46133</v>
      </c>
      <c r="L2405" s="317">
        <f t="array" ref="L2405">(XLOOKUP(D2405,Roster!F:F,Roster!D:D,"",0))</f>
        <v>2</v>
      </c>
      <c r="M2405" s="317" t="str">
        <f t="array" ref="M2405">XLOOKUP(D2405,Roster!F:F,Roster!E:E)</f>
        <v>Tickets</v>
      </c>
      <c r="N2405" s="317" t="str">
        <f t="shared" ref="N2405:P2405" si="2439">LEFT(H2405,5)</f>
        <v>10:15</v>
      </c>
      <c r="O2405" s="317" t="str">
        <f t="shared" si="2439"/>
        <v>12:45</v>
      </c>
      <c r="P2405" s="317" t="str">
        <f t="shared" si="2439"/>
        <v>15:45</v>
      </c>
      <c r="Q2405" s="318">
        <f t="shared" si="2365"/>
        <v>46133.42708</v>
      </c>
      <c r="R2405" s="318">
        <f t="shared" si="2366"/>
        <v>46133.53125</v>
      </c>
      <c r="S2405" s="318">
        <f t="shared" si="8"/>
        <v>46133.65625</v>
      </c>
    </row>
    <row r="2406">
      <c r="A2406" s="14" t="str">
        <f t="shared" si="1"/>
        <v>C68746133</v>
      </c>
      <c r="B2406" s="185">
        <f t="array" ref="B2406">IF(F2406="VL","",IF(F2406="Free","Free",XLOOKUP(D2406,Roster!T:T,Roster!S:S,"",0)))</f>
        <v>122</v>
      </c>
      <c r="C2406" s="313">
        <v>46133.0</v>
      </c>
      <c r="D2406" s="314" t="s">
        <v>22</v>
      </c>
      <c r="E2406" s="307" t="str">
        <f t="array" ref="E2406">(XLOOKUP(D2406,Roster!F:F,Roster!B:B,"",0))</f>
        <v>Carolina Rios</v>
      </c>
      <c r="F2406" s="315" t="str">
        <f t="array" ref="F2406">IF(B2406=100,"Free",TEXT(XLOOKUP($D2406,OperationVoice!$A:$A,OperationVoice!AA:AA,XLOOKUP($D2406,OperationTickets!$A:$A,OperationTickets!AA:AA,"",0)),"hh:mm"))</f>
        <v>08:00</v>
      </c>
      <c r="G2406" s="309">
        <f t="shared" si="3"/>
        <v>0.7083333333</v>
      </c>
      <c r="H2406" s="316" t="str">
        <f t="array" ref="H2406">XLOOKUP(B2406,Roster!L:L,Roster!N:N,XLOOKUP(D2406,TicketsBreak!A:A,TicketsBreak!E:E,"",0),0)</f>
        <v>09:30 - 09:45</v>
      </c>
      <c r="I2406" s="316" t="str">
        <f t="array" ref="I2406">XLOOKUP(B2406,Roster!L:L,Roster!O:O,XLOOKUP(D2406,TicketsBreak!A:A,TicketsBreak!F:F,"",0),0)</f>
        <v>12:00 - 12:30</v>
      </c>
      <c r="J2406" s="316" t="str">
        <f t="array" ref="J2406">XLOOKUP(B2406,Roster!L:L,Roster!P:P,XLOOKUP(D2406,TicketsBreak!A:A,TicketsBreak!G:G,"",0),0)</f>
        <v>14:45 - 15:00</v>
      </c>
      <c r="K2406" s="310">
        <f t="shared" si="4"/>
        <v>46133</v>
      </c>
      <c r="L2406" s="317">
        <f t="array" ref="L2406">(XLOOKUP(D2406,Roster!F:F,Roster!D:D,"",0))</f>
        <v>5</v>
      </c>
      <c r="M2406" s="317" t="str">
        <f t="array" ref="M2406">XLOOKUP(D2406,Roster!F:F,Roster!E:E)</f>
        <v>Voice</v>
      </c>
      <c r="N2406" s="317" t="str">
        <f t="shared" ref="N2406:P2406" si="2440">LEFT(H2406,5)</f>
        <v>09:30</v>
      </c>
      <c r="O2406" s="317" t="str">
        <f t="shared" si="2440"/>
        <v>12:00</v>
      </c>
      <c r="P2406" s="317" t="str">
        <f t="shared" si="2440"/>
        <v>14:45</v>
      </c>
      <c r="Q2406" s="318">
        <f t="shared" si="2365"/>
        <v>46133.39583</v>
      </c>
      <c r="R2406" s="318">
        <f t="shared" si="2366"/>
        <v>46133.5</v>
      </c>
      <c r="S2406" s="318">
        <f t="shared" si="8"/>
        <v>46133.61458</v>
      </c>
    </row>
    <row r="2407">
      <c r="A2407" s="14" t="str">
        <f t="shared" si="1"/>
        <v>C152846133</v>
      </c>
      <c r="B2407" s="185">
        <f t="array" ref="B2407">IF(F2407="VL","",IF(F2407="Free","Free",XLOOKUP(D2407,Roster!T:T,Roster!S:S,"",0)))</f>
        <v>132</v>
      </c>
      <c r="C2407" s="313">
        <v>46133.0</v>
      </c>
      <c r="D2407" s="314" t="s">
        <v>23</v>
      </c>
      <c r="E2407" s="307" t="str">
        <f t="array" ref="E2407">(XLOOKUP(D2407,Roster!F:F,Roster!B:B,"",0))</f>
        <v>Christian Ramirez</v>
      </c>
      <c r="F2407" s="315" t="str">
        <f t="array" ref="F2407">IF(B2407=100,"Free",TEXT(XLOOKUP($D2407,OperationVoice!$A:$A,OperationVoice!AA:AA,XLOOKUP($D2407,OperationTickets!$A:$A,OperationTickets!AA:AA,"",0)),"hh:mm"))</f>
        <v>08:00</v>
      </c>
      <c r="G2407" s="309">
        <f t="shared" si="3"/>
        <v>0.7083333333</v>
      </c>
      <c r="H2407" s="316" t="str">
        <f t="array" ref="H2407">XLOOKUP(B2407,Roster!L:L,Roster!N:N,XLOOKUP(D2407,TicketsBreak!A:A,TicketsBreak!E:E,"",0),0)</f>
        <v>10:30 - 10:45</v>
      </c>
      <c r="I2407" s="316" t="str">
        <f t="array" ref="I2407">XLOOKUP(B2407,Roster!L:L,Roster!O:O,XLOOKUP(D2407,TicketsBreak!A:A,TicketsBreak!F:F,"",0),0)</f>
        <v>13:00 - 13:30</v>
      </c>
      <c r="J2407" s="316" t="str">
        <f t="array" ref="J2407">XLOOKUP(B2407,Roster!L:L,Roster!P:P,XLOOKUP(D2407,TicketsBreak!A:A,TicketsBreak!G:G,"",0),0)</f>
        <v>15:30 - 15:45</v>
      </c>
      <c r="K2407" s="310">
        <f t="shared" si="4"/>
        <v>46133</v>
      </c>
      <c r="L2407" s="317">
        <f t="array" ref="L2407">(XLOOKUP(D2407,Roster!F:F,Roster!D:D,"",0))</f>
        <v>36</v>
      </c>
      <c r="M2407" s="317" t="str">
        <f t="array" ref="M2407">XLOOKUP(D2407,Roster!F:F,Roster!E:E)</f>
        <v>Voice</v>
      </c>
      <c r="N2407" s="317" t="str">
        <f t="shared" ref="N2407:P2407" si="2441">LEFT(H2407,5)</f>
        <v>10:30</v>
      </c>
      <c r="O2407" s="317" t="str">
        <f t="shared" si="2441"/>
        <v>13:00</v>
      </c>
      <c r="P2407" s="317" t="str">
        <f t="shared" si="2441"/>
        <v>15:30</v>
      </c>
      <c r="Q2407" s="318">
        <f t="shared" si="2365"/>
        <v>46133.4375</v>
      </c>
      <c r="R2407" s="318">
        <f t="shared" si="2366"/>
        <v>46133.54167</v>
      </c>
      <c r="S2407" s="318">
        <f t="shared" si="8"/>
        <v>46133.64583</v>
      </c>
    </row>
    <row r="2408">
      <c r="A2408" s="14" t="str">
        <f t="shared" si="1"/>
        <v>C132546133</v>
      </c>
      <c r="B2408" s="185">
        <f t="array" ref="B2408">IF(F2408="VL","",IF(F2408="Free","Free",XLOOKUP(D2408,Roster!T:T,Roster!S:S,"",0)))</f>
        <v>123</v>
      </c>
      <c r="C2408" s="313">
        <v>46133.0</v>
      </c>
      <c r="D2408" s="314" t="s">
        <v>174</v>
      </c>
      <c r="E2408" s="307" t="str">
        <f t="array" ref="E2408">(XLOOKUP(D2408,Roster!F:F,Roster!B:B,"",0))</f>
        <v>Cristian Ferreira</v>
      </c>
      <c r="F2408" s="315" t="str">
        <f t="array" ref="F2408">IF(B2408=100,"Free",TEXT(XLOOKUP($D2408,OperationVoice!$A:$A,OperationVoice!AA:AA,XLOOKUP($D2408,OperationTickets!$A:$A,OperationTickets!AA:AA,"",0)),"hh:mm"))</f>
        <v>08:00</v>
      </c>
      <c r="G2408" s="309">
        <f t="shared" si="3"/>
        <v>0.7083333333</v>
      </c>
      <c r="H2408" s="316" t="str">
        <f t="array" ref="H2408">XLOOKUP(B2408,Roster!L:L,Roster!N:N,XLOOKUP(D2408,TicketsBreak!A:A,TicketsBreak!E:E,"",0),0)</f>
        <v>09:45 - 10:00 </v>
      </c>
      <c r="I2408" s="316" t="str">
        <f t="array" ref="I2408">XLOOKUP(B2408,Roster!L:L,Roster!O:O,XLOOKUP(D2408,TicketsBreak!A:A,TicketsBreak!F:F,"",0),0)</f>
        <v>12:30 - 13:00</v>
      </c>
      <c r="J2408" s="316" t="str">
        <f t="array" ref="J2408">XLOOKUP(B2408,Roster!L:L,Roster!P:P,XLOOKUP(D2408,TicketsBreak!A:A,TicketsBreak!G:G,"",0),0)</f>
        <v>15:00 - 15:15</v>
      </c>
      <c r="K2408" s="310">
        <f t="shared" si="4"/>
        <v>46133</v>
      </c>
      <c r="L2408" s="317">
        <f t="array" ref="L2408">(XLOOKUP(D2408,Roster!F:F,Roster!D:D,"",0))</f>
        <v>29</v>
      </c>
      <c r="M2408" s="317" t="str">
        <f t="array" ref="M2408">XLOOKUP(D2408,Roster!F:F,Roster!E:E)</f>
        <v>Tickets</v>
      </c>
      <c r="N2408" s="317" t="str">
        <f t="shared" ref="N2408:P2408" si="2442">LEFT(H2408,5)</f>
        <v>09:45</v>
      </c>
      <c r="O2408" s="317" t="str">
        <f t="shared" si="2442"/>
        <v>12:30</v>
      </c>
      <c r="P2408" s="317" t="str">
        <f t="shared" si="2442"/>
        <v>15:00</v>
      </c>
      <c r="Q2408" s="318">
        <f t="shared" si="2365"/>
        <v>46133.40625</v>
      </c>
      <c r="R2408" s="318">
        <f t="shared" si="2366"/>
        <v>46133.52083</v>
      </c>
      <c r="S2408" s="318">
        <f t="shared" si="8"/>
        <v>46133.625</v>
      </c>
    </row>
    <row r="2409">
      <c r="A2409" s="14" t="str">
        <f t="shared" si="1"/>
        <v>C151046133</v>
      </c>
      <c r="B2409" s="185">
        <f t="array" ref="B2409">IF(F2409="VL","",IF(F2409="Free","Free",XLOOKUP(D2409,Roster!T:T,Roster!S:S,"",0)))</f>
        <v>121</v>
      </c>
      <c r="C2409" s="313">
        <v>46133.0</v>
      </c>
      <c r="D2409" s="314" t="s">
        <v>24</v>
      </c>
      <c r="E2409" s="307" t="str">
        <f t="array" ref="E2409">(XLOOKUP(D2409,Roster!F:F,Roster!B:B,"",0))</f>
        <v>Cristian Gomez</v>
      </c>
      <c r="F2409" s="315" t="str">
        <f t="array" ref="F2409">IF(B2409=100,"Free",TEXT(XLOOKUP($D2409,OperationVoice!$A:$A,OperationVoice!AA:AA,XLOOKUP($D2409,OperationTickets!$A:$A,OperationTickets!AA:AA,"",0)),"hh:mm"))</f>
        <v>08:00</v>
      </c>
      <c r="G2409" s="309">
        <f t="shared" si="3"/>
        <v>0.7083333333</v>
      </c>
      <c r="H2409" s="316" t="str">
        <f t="array" ref="H2409">XLOOKUP(B2409,Roster!L:L,Roster!N:N,XLOOKUP(D2409,TicketsBreak!A:A,TicketsBreak!E:E,"",0),0)</f>
        <v>09:15 - 09:30</v>
      </c>
      <c r="I2409" s="316" t="str">
        <f t="array" ref="I2409">XLOOKUP(B2409,Roster!L:L,Roster!O:O,XLOOKUP(D2409,TicketsBreak!A:A,TicketsBreak!F:F,"",0),0)</f>
        <v>11:30 - 12:00</v>
      </c>
      <c r="J2409" s="316" t="str">
        <f t="array" ref="J2409">XLOOKUP(B2409,Roster!L:L,Roster!P:P,XLOOKUP(D2409,TicketsBreak!A:A,TicketsBreak!G:G,"",0),0)</f>
        <v>14:30 - 14:45</v>
      </c>
      <c r="K2409" s="310">
        <f t="shared" si="4"/>
        <v>46133</v>
      </c>
      <c r="L2409" s="317">
        <f t="array" ref="L2409">(XLOOKUP(D2409,Roster!F:F,Roster!D:D,"",0))</f>
        <v>35</v>
      </c>
      <c r="M2409" s="317" t="str">
        <f t="array" ref="M2409">XLOOKUP(D2409,Roster!F:F,Roster!E:E)</f>
        <v>Voice</v>
      </c>
      <c r="N2409" s="317" t="str">
        <f t="shared" ref="N2409:P2409" si="2443">LEFT(H2409,5)</f>
        <v>09:15</v>
      </c>
      <c r="O2409" s="317" t="str">
        <f t="shared" si="2443"/>
        <v>11:30</v>
      </c>
      <c r="P2409" s="317" t="str">
        <f t="shared" si="2443"/>
        <v>14:30</v>
      </c>
      <c r="Q2409" s="318">
        <f t="shared" si="2365"/>
        <v>46133.38542</v>
      </c>
      <c r="R2409" s="318">
        <f t="shared" si="2366"/>
        <v>46133.47917</v>
      </c>
      <c r="S2409" s="318">
        <f t="shared" si="8"/>
        <v>46133.60417</v>
      </c>
    </row>
    <row r="2410">
      <c r="A2410" s="14" t="str">
        <f t="shared" si="1"/>
        <v>C67346133</v>
      </c>
      <c r="B2410" s="185" t="str">
        <f t="array" ref="B2410">IF(F2410="VL","",IF(F2410="Free","Free",XLOOKUP(D2410,Roster!T:T,Roster!S:S,"",0)))</f>
        <v/>
      </c>
      <c r="C2410" s="313">
        <v>46133.0</v>
      </c>
      <c r="D2410" s="314" t="s">
        <v>156</v>
      </c>
      <c r="E2410" s="307" t="str">
        <f t="array" ref="E2410">(XLOOKUP(D2410,Roster!F:F,Roster!B:B,"",0))</f>
        <v>Dahiana Cano</v>
      </c>
      <c r="F2410" s="315" t="str">
        <f t="array" ref="F2410">IF(B2410=100,"Free",TEXT(XLOOKUP($D2410,OperationVoice!$A:$A,OperationVoice!AA:AA,XLOOKUP($D2410,OperationTickets!$A:$A,OperationTickets!AA:AA,"",0)),"hh:mm"))</f>
        <v>08:00</v>
      </c>
      <c r="G2410" s="309">
        <f t="shared" si="3"/>
        <v>0.7083333333</v>
      </c>
      <c r="H2410" s="316">
        <f t="array" ref="H2410">XLOOKUP(B2410,Roster!L:L,Roster!N:N,XLOOKUP(D2410,TicketsBreak!A:A,TicketsBreak!E:E,"",0),0)</f>
        <v>0.4583333333</v>
      </c>
      <c r="I2410" s="316">
        <f t="array" ref="I2410">XLOOKUP(B2410,Roster!L:L,Roster!O:O,XLOOKUP(D2410,TicketsBreak!A:A,TicketsBreak!F:F,"",0),0)</f>
        <v>0.5833333333</v>
      </c>
      <c r="J2410" s="316">
        <f t="array" ref="J2410">XLOOKUP(B2410,Roster!L:L,Roster!P:P,XLOOKUP(D2410,TicketsBreak!A:A,TicketsBreak!G:G,"",0),0)</f>
        <v>0.65625</v>
      </c>
      <c r="K2410" s="310">
        <f t="shared" si="4"/>
        <v>46133</v>
      </c>
      <c r="L2410" s="317">
        <f t="array" ref="L2410">(XLOOKUP(D2410,Roster!F:F,Roster!D:D,"",0))</f>
        <v>4</v>
      </c>
      <c r="M2410" s="317" t="str">
        <f t="array" ref="M2410">XLOOKUP(D2410,Roster!F:F,Roster!E:E)</f>
        <v>Tickets</v>
      </c>
      <c r="N2410" s="317" t="str">
        <f t="shared" ref="N2410:P2410" si="2444">LEFT(H2410,5)</f>
        <v>11:00</v>
      </c>
      <c r="O2410" s="317" t="str">
        <f t="shared" si="2444"/>
        <v>14:00</v>
      </c>
      <c r="P2410" s="317" t="str">
        <f t="shared" si="2444"/>
        <v>15:45</v>
      </c>
      <c r="Q2410" s="318">
        <f t="shared" si="2365"/>
        <v>46133.45833</v>
      </c>
      <c r="R2410" s="318">
        <f t="shared" si="2366"/>
        <v>46133.58333</v>
      </c>
      <c r="S2410" s="318">
        <f t="shared" si="8"/>
        <v>46133.65625</v>
      </c>
    </row>
    <row r="2411">
      <c r="A2411" s="14" t="str">
        <f t="shared" si="1"/>
        <v>C152946133</v>
      </c>
      <c r="B2411" s="185">
        <f t="array" ref="B2411">IF(F2411="VL","",IF(F2411="Free","Free",XLOOKUP(D2411,Roster!T:T,Roster!S:S,"",0)))</f>
        <v>133</v>
      </c>
      <c r="C2411" s="313">
        <v>46133.0</v>
      </c>
      <c r="D2411" s="314" t="s">
        <v>25</v>
      </c>
      <c r="E2411" s="307" t="str">
        <f t="array" ref="E2411">(XLOOKUP(D2411,Roster!F:F,Roster!B:B,"",0))</f>
        <v>Daniel Barrientos</v>
      </c>
      <c r="F2411" s="315" t="str">
        <f t="array" ref="F2411">IF(B2411=100,"Free",TEXT(XLOOKUP($D2411,OperationVoice!$A:$A,OperationVoice!AA:AA,XLOOKUP($D2411,OperationTickets!$A:$A,OperationTickets!AA:AA,"",0)),"hh:mm"))</f>
        <v>09:00</v>
      </c>
      <c r="G2411" s="309">
        <f t="shared" si="3"/>
        <v>0.75</v>
      </c>
      <c r="H2411" s="316" t="str">
        <f t="array" ref="H2411">XLOOKUP(B2411,Roster!L:L,Roster!N:N,XLOOKUP(D2411,TicketsBreak!A:A,TicketsBreak!E:E,"",0),0)</f>
        <v>10:45 - 11:00 </v>
      </c>
      <c r="I2411" s="316" t="str">
        <f t="array" ref="I2411">XLOOKUP(B2411,Roster!L:L,Roster!O:O,XLOOKUP(D2411,TicketsBreak!A:A,TicketsBreak!F:F,"",0),0)</f>
        <v>13:30 - 14:00</v>
      </c>
      <c r="J2411" s="316" t="str">
        <f t="array" ref="J2411">XLOOKUP(B2411,Roster!L:L,Roster!P:P,XLOOKUP(D2411,TicketsBreak!A:A,TicketsBreak!G:G,"",0),0)</f>
        <v>15:45 - 16:00</v>
      </c>
      <c r="K2411" s="310">
        <f t="shared" si="4"/>
        <v>46133</v>
      </c>
      <c r="L2411" s="317">
        <f t="array" ref="L2411">(XLOOKUP(D2411,Roster!F:F,Roster!D:D,"",0))</f>
        <v>36</v>
      </c>
      <c r="M2411" s="317" t="str">
        <f t="array" ref="M2411">XLOOKUP(D2411,Roster!F:F,Roster!E:E)</f>
        <v>Voice</v>
      </c>
      <c r="N2411" s="317" t="str">
        <f t="shared" ref="N2411:P2411" si="2445">LEFT(H2411,5)</f>
        <v>10:45</v>
      </c>
      <c r="O2411" s="317" t="str">
        <f t="shared" si="2445"/>
        <v>13:30</v>
      </c>
      <c r="P2411" s="317" t="str">
        <f t="shared" si="2445"/>
        <v>15:45</v>
      </c>
      <c r="Q2411" s="318">
        <f t="shared" si="2365"/>
        <v>46133.44792</v>
      </c>
      <c r="R2411" s="318">
        <f t="shared" si="2366"/>
        <v>46133.5625</v>
      </c>
      <c r="S2411" s="318">
        <f t="shared" si="8"/>
        <v>46133.65625</v>
      </c>
    </row>
    <row r="2412">
      <c r="A2412" s="14" t="str">
        <f t="shared" si="1"/>
        <v>C106446133</v>
      </c>
      <c r="B2412" s="185" t="str">
        <f t="array" ref="B2412">IF(F2412="VL","",IF(F2412="Free","Free",XLOOKUP(D2412,Roster!T:T,Roster!S:S,"",0)))</f>
        <v/>
      </c>
      <c r="C2412" s="313">
        <v>46133.0</v>
      </c>
      <c r="D2412" s="314" t="s">
        <v>175</v>
      </c>
      <c r="E2412" s="307" t="str">
        <f t="array" ref="E2412">(XLOOKUP(D2412,Roster!F:F,Roster!B:B,"",0))</f>
        <v>Daniel Urrego</v>
      </c>
      <c r="F2412" s="315" t="str">
        <f t="array" ref="F2412">IF(B2412=100,"Free",TEXT(XLOOKUP($D2412,OperationVoice!$A:$A,OperationVoice!AA:AA,XLOOKUP($D2412,OperationTickets!$A:$A,OperationTickets!AA:AA,"",0)),"hh:mm"))</f>
        <v>08:00</v>
      </c>
      <c r="G2412" s="309">
        <f t="shared" si="3"/>
        <v>0.7083333333</v>
      </c>
      <c r="H2412" s="316" t="str">
        <f t="array" ref="H2412">XLOOKUP(B2412,Roster!L:L,Roster!N:N,XLOOKUP(D2412,TicketsBreak!A:A,TicketsBreak!E:E,"",0),0)</f>
        <v/>
      </c>
      <c r="I2412" s="316" t="str">
        <f t="array" ref="I2412">XLOOKUP(B2412,Roster!L:L,Roster!O:O,XLOOKUP(D2412,TicketsBreak!A:A,TicketsBreak!F:F,"",0),0)</f>
        <v/>
      </c>
      <c r="J2412" s="316" t="str">
        <f t="array" ref="J2412">XLOOKUP(B2412,Roster!L:L,Roster!P:P,XLOOKUP(D2412,TicketsBreak!A:A,TicketsBreak!G:G,"",0),0)</f>
        <v/>
      </c>
      <c r="K2412" s="310">
        <f t="shared" si="4"/>
        <v>46133</v>
      </c>
      <c r="L2412" s="317">
        <f t="array" ref="L2412">(XLOOKUP(D2412,Roster!F:F,Roster!D:D,"",0))</f>
        <v>17</v>
      </c>
      <c r="M2412" s="317" t="str">
        <f t="array" ref="M2412">XLOOKUP(D2412,Roster!F:F,Roster!E:E)</f>
        <v>Tickets</v>
      </c>
      <c r="N2412" s="317" t="str">
        <f t="shared" ref="N2412:P2412" si="2446">LEFT(H2412,5)</f>
        <v/>
      </c>
      <c r="O2412" s="317" t="str">
        <f t="shared" si="2446"/>
        <v/>
      </c>
      <c r="P2412" s="317" t="str">
        <f t="shared" si="2446"/>
        <v/>
      </c>
      <c r="Q2412" s="318" t="str">
        <f t="shared" si="2365"/>
        <v/>
      </c>
      <c r="R2412" s="318" t="str">
        <f t="shared" si="2366"/>
        <v/>
      </c>
      <c r="S2412" s="318" t="str">
        <f t="shared" si="8"/>
        <v/>
      </c>
    </row>
    <row r="2413">
      <c r="A2413" s="14" t="str">
        <f t="shared" si="1"/>
        <v>C151346133</v>
      </c>
      <c r="B2413" s="185" t="str">
        <f t="array" ref="B2413">IF(F2413="VL","",IF(F2413="Free","Free",XLOOKUP(D2413,Roster!T:T,Roster!S:S,"",0)))</f>
        <v>Free</v>
      </c>
      <c r="C2413" s="313">
        <v>46133.0</v>
      </c>
      <c r="D2413" s="314" t="s">
        <v>26</v>
      </c>
      <c r="E2413" s="307" t="str">
        <f t="array" ref="E2413">(XLOOKUP(D2413,Roster!F:F,Roster!B:B,"",0))</f>
        <v>David Patino</v>
      </c>
      <c r="F2413" s="315" t="str">
        <f t="array" ref="F2413">IF(B2413=100,"Free",TEXT(XLOOKUP($D2413,OperationVoice!$A:$A,OperationVoice!AA:AA,XLOOKUP($D2413,OperationTickets!$A:$A,OperationTickets!AA:AA,"",0)),"hh:mm"))</f>
        <v>Free</v>
      </c>
      <c r="G2413" s="309" t="str">
        <f t="shared" si="3"/>
        <v>Free</v>
      </c>
      <c r="H2413" s="316" t="str">
        <f t="array" ref="H2413">XLOOKUP(B2413,Roster!L:L,Roster!N:N,XLOOKUP(D2413,TicketsBreak!A:A,TicketsBreak!E:E,"",0),0)</f>
        <v/>
      </c>
      <c r="I2413" s="316" t="str">
        <f t="array" ref="I2413">XLOOKUP(B2413,Roster!L:L,Roster!O:O,XLOOKUP(D2413,TicketsBreak!A:A,TicketsBreak!F:F,"",0),0)</f>
        <v/>
      </c>
      <c r="J2413" s="316" t="str">
        <f t="array" ref="J2413">XLOOKUP(B2413,Roster!L:L,Roster!P:P,XLOOKUP(D2413,TicketsBreak!A:A,TicketsBreak!G:G,"",0),0)</f>
        <v/>
      </c>
      <c r="K2413" s="310">
        <f t="shared" si="4"/>
        <v>46133</v>
      </c>
      <c r="L2413" s="317">
        <f t="array" ref="L2413">(XLOOKUP(D2413,Roster!F:F,Roster!D:D,"",0))</f>
        <v>35</v>
      </c>
      <c r="M2413" s="317" t="str">
        <f t="array" ref="M2413">XLOOKUP(D2413,Roster!F:F,Roster!E:E)</f>
        <v>Voice</v>
      </c>
      <c r="N2413" s="317" t="str">
        <f t="shared" ref="N2413:P2413" si="2447">LEFT(H2413,5)</f>
        <v/>
      </c>
      <c r="O2413" s="317" t="str">
        <f t="shared" si="2447"/>
        <v/>
      </c>
      <c r="P2413" s="317" t="str">
        <f t="shared" si="2447"/>
        <v/>
      </c>
      <c r="Q2413" s="318" t="str">
        <f t="shared" si="2365"/>
        <v/>
      </c>
      <c r="R2413" s="318" t="str">
        <f t="shared" si="2366"/>
        <v/>
      </c>
      <c r="S2413" s="318" t="str">
        <f t="shared" si="8"/>
        <v/>
      </c>
    </row>
    <row r="2414">
      <c r="A2414" s="14" t="str">
        <f t="shared" si="1"/>
        <v>C127746133</v>
      </c>
      <c r="B2414" s="185">
        <f t="array" ref="B2414">IF(F2414="VL","",IF(F2414="Free","Free",XLOOKUP(D2414,Roster!T:T,Roster!S:S,"",0)))</f>
        <v>124</v>
      </c>
      <c r="C2414" s="313">
        <v>46133.0</v>
      </c>
      <c r="D2414" s="314" t="s">
        <v>27</v>
      </c>
      <c r="E2414" s="307" t="str">
        <f t="array" ref="E2414">(XLOOKUP(D2414,Roster!F:F,Roster!B:B,"",0))</f>
        <v>Edwuin Martinez</v>
      </c>
      <c r="F2414" s="315" t="str">
        <f t="array" ref="F2414">IF(B2414=100,"Free",TEXT(XLOOKUP($D2414,OperationVoice!$A:$A,OperationVoice!AA:AA,XLOOKUP($D2414,OperationTickets!$A:$A,OperationTickets!AA:AA,"",0)),"hh:mm"))</f>
        <v>08:00</v>
      </c>
      <c r="G2414" s="309">
        <f t="shared" si="3"/>
        <v>0.7083333333</v>
      </c>
      <c r="H2414" s="316" t="str">
        <f t="array" ref="H2414">XLOOKUP(B2414,Roster!L:L,Roster!N:N,XLOOKUP(D2414,TicketsBreak!A:A,TicketsBreak!E:E,"",0),0)</f>
        <v>10:00 - 10:15</v>
      </c>
      <c r="I2414" s="316" t="str">
        <f t="array" ref="I2414">XLOOKUP(B2414,Roster!L:L,Roster!O:O,XLOOKUP(D2414,TicketsBreak!A:A,TicketsBreak!F:F,"",0),0)</f>
        <v>13:00 - 13:30</v>
      </c>
      <c r="J2414" s="316" t="str">
        <f t="array" ref="J2414">XLOOKUP(B2414,Roster!L:L,Roster!P:P,XLOOKUP(D2414,TicketsBreak!A:A,TicketsBreak!G:G,"",0),0)</f>
        <v>15:30 - 15:45</v>
      </c>
      <c r="K2414" s="310">
        <f t="shared" si="4"/>
        <v>46133</v>
      </c>
      <c r="L2414" s="317">
        <f t="array" ref="L2414">(XLOOKUP(D2414,Roster!F:F,Roster!D:D,"",0))</f>
        <v>27</v>
      </c>
      <c r="M2414" s="317" t="str">
        <f t="array" ref="M2414">XLOOKUP(D2414,Roster!F:F,Roster!E:E)</f>
        <v>Voice</v>
      </c>
      <c r="N2414" s="317" t="str">
        <f t="shared" ref="N2414:P2414" si="2448">LEFT(H2414,5)</f>
        <v>10:00</v>
      </c>
      <c r="O2414" s="317" t="str">
        <f t="shared" si="2448"/>
        <v>13:00</v>
      </c>
      <c r="P2414" s="317" t="str">
        <f t="shared" si="2448"/>
        <v>15:30</v>
      </c>
      <c r="Q2414" s="318">
        <f t="shared" si="2365"/>
        <v>46133.41667</v>
      </c>
      <c r="R2414" s="318">
        <f t="shared" si="2366"/>
        <v>46133.54167</v>
      </c>
      <c r="S2414" s="318">
        <f t="shared" si="8"/>
        <v>46133.64583</v>
      </c>
    </row>
    <row r="2415">
      <c r="A2415" s="14" t="str">
        <f t="shared" si="1"/>
        <v>C121646133</v>
      </c>
      <c r="B2415" s="185" t="str">
        <f t="array" ref="B2415">IF(F2415="VL","",IF(F2415="Free","Free",XLOOKUP(D2415,Roster!T:T,Roster!S:S,"",0)))</f>
        <v/>
      </c>
      <c r="C2415" s="313">
        <v>46133.0</v>
      </c>
      <c r="D2415" s="314" t="s">
        <v>134</v>
      </c>
      <c r="E2415" s="307" t="str">
        <f t="array" ref="E2415">(XLOOKUP(D2415,Roster!F:F,Roster!B:B,"",0))</f>
        <v>Eliana Pena</v>
      </c>
      <c r="F2415" s="315" t="str">
        <f t="array" ref="F2415">IF(B2415=100,"Free",TEXT(XLOOKUP($D2415,OperationVoice!$A:$A,OperationVoice!AA:AA,XLOOKUP($D2415,OperationTickets!$A:$A,OperationTickets!AA:AA,"",0)),"hh:mm"))</f>
        <v>08:00</v>
      </c>
      <c r="G2415" s="309">
        <f t="shared" si="3"/>
        <v>0.7083333333</v>
      </c>
      <c r="H2415" s="316">
        <f t="array" ref="H2415">XLOOKUP(B2415,Roster!L:L,Roster!N:N,XLOOKUP(D2415,TicketsBreak!A:A,TicketsBreak!E:E,"",0),0)</f>
        <v>0.3958333333</v>
      </c>
      <c r="I2415" s="316">
        <f t="array" ref="I2415">XLOOKUP(B2415,Roster!L:L,Roster!O:O,XLOOKUP(D2415,TicketsBreak!A:A,TicketsBreak!F:F,"",0),0)</f>
        <v>0.5416666667</v>
      </c>
      <c r="J2415" s="316">
        <f t="array" ref="J2415">XLOOKUP(B2415,Roster!L:L,Roster!P:P,XLOOKUP(D2415,TicketsBreak!A:A,TicketsBreak!G:G,"",0),0)</f>
        <v>0.6354166667</v>
      </c>
      <c r="K2415" s="310">
        <f t="shared" si="4"/>
        <v>46133</v>
      </c>
      <c r="L2415" s="317">
        <f t="array" ref="L2415">(XLOOKUP(D2415,Roster!F:F,Roster!D:D,"",0))</f>
        <v>26</v>
      </c>
      <c r="M2415" s="317" t="str">
        <f t="array" ref="M2415">XLOOKUP(D2415,Roster!F:F,Roster!E:E)</f>
        <v>Tickets</v>
      </c>
      <c r="N2415" s="317" t="str">
        <f t="shared" ref="N2415:P2415" si="2449">LEFT(H2415,5)</f>
        <v>09:30</v>
      </c>
      <c r="O2415" s="317" t="str">
        <f t="shared" si="2449"/>
        <v>13:00</v>
      </c>
      <c r="P2415" s="317" t="str">
        <f t="shared" si="2449"/>
        <v>15:15</v>
      </c>
      <c r="Q2415" s="318">
        <f t="shared" si="2365"/>
        <v>46133.39583</v>
      </c>
      <c r="R2415" s="318">
        <f t="shared" si="2366"/>
        <v>46133.54167</v>
      </c>
      <c r="S2415" s="318">
        <f t="shared" si="8"/>
        <v>46133.63542</v>
      </c>
    </row>
    <row r="2416">
      <c r="A2416" s="14" t="str">
        <f t="shared" si="1"/>
        <v>C157346133</v>
      </c>
      <c r="B2416" s="185">
        <f t="array" ref="B2416">IF(F2416="VL","",IF(F2416="Free","Free",XLOOKUP(D2416,Roster!T:T,Roster!S:S,"",0)))</f>
        <v>123</v>
      </c>
      <c r="C2416" s="313">
        <v>46133.0</v>
      </c>
      <c r="D2416" s="314" t="s">
        <v>28</v>
      </c>
      <c r="E2416" s="307" t="str">
        <f t="array" ref="E2416">(XLOOKUP(D2416,Roster!F:F,Roster!B:B,"",0))</f>
        <v>Esteban Correa</v>
      </c>
      <c r="F2416" s="315" t="str">
        <f t="array" ref="F2416">IF(B2416=100,"Free",TEXT(XLOOKUP($D2416,OperationVoice!$A:$A,OperationVoice!AA:AA,XLOOKUP($D2416,OperationTickets!$A:$A,OperationTickets!AA:AA,"",0)),"hh:mm"))</f>
        <v>08:00</v>
      </c>
      <c r="G2416" s="309">
        <f t="shared" si="3"/>
        <v>0.7083333333</v>
      </c>
      <c r="H2416" s="316" t="str">
        <f t="array" ref="H2416">XLOOKUP(B2416,Roster!L:L,Roster!N:N,XLOOKUP(D2416,TicketsBreak!A:A,TicketsBreak!E:E,"",0),0)</f>
        <v>09:45 - 10:00 </v>
      </c>
      <c r="I2416" s="316" t="str">
        <f t="array" ref="I2416">XLOOKUP(B2416,Roster!L:L,Roster!O:O,XLOOKUP(D2416,TicketsBreak!A:A,TicketsBreak!F:F,"",0),0)</f>
        <v>12:30 - 13:00</v>
      </c>
      <c r="J2416" s="316" t="str">
        <f t="array" ref="J2416">XLOOKUP(B2416,Roster!L:L,Roster!P:P,XLOOKUP(D2416,TicketsBreak!A:A,TicketsBreak!G:G,"",0),0)</f>
        <v>15:00 - 15:15</v>
      </c>
      <c r="K2416" s="310">
        <f t="shared" si="4"/>
        <v>46133</v>
      </c>
      <c r="L2416" s="317">
        <f t="array" ref="L2416">(XLOOKUP(D2416,Roster!F:F,Roster!D:D,"",0))</f>
        <v>38</v>
      </c>
      <c r="M2416" s="317" t="str">
        <f t="array" ref="M2416">XLOOKUP(D2416,Roster!F:F,Roster!E:E)</f>
        <v>Voice</v>
      </c>
      <c r="N2416" s="317" t="str">
        <f t="shared" ref="N2416:P2416" si="2450">LEFT(H2416,5)</f>
        <v>09:45</v>
      </c>
      <c r="O2416" s="317" t="str">
        <f t="shared" si="2450"/>
        <v>12:30</v>
      </c>
      <c r="P2416" s="317" t="str">
        <f t="shared" si="2450"/>
        <v>15:00</v>
      </c>
      <c r="Q2416" s="318">
        <f t="shared" si="2365"/>
        <v>46133.40625</v>
      </c>
      <c r="R2416" s="318">
        <f t="shared" si="2366"/>
        <v>46133.52083</v>
      </c>
      <c r="S2416" s="318">
        <f t="shared" si="8"/>
        <v>46133.625</v>
      </c>
    </row>
    <row r="2417">
      <c r="A2417" s="14" t="str">
        <f t="shared" si="1"/>
        <v>C71346133</v>
      </c>
      <c r="B2417" s="185">
        <f t="array" ref="B2417">IF(F2417="VL","",IF(F2417="Free","Free",XLOOKUP(D2417,Roster!T:T,Roster!S:S,"",0)))</f>
        <v>125</v>
      </c>
      <c r="C2417" s="313">
        <v>46133.0</v>
      </c>
      <c r="D2417" s="314" t="s">
        <v>29</v>
      </c>
      <c r="E2417" s="307" t="str">
        <f t="array" ref="E2417">(XLOOKUP(D2417,Roster!F:F,Roster!B:B,"",0))</f>
        <v>Frank Marin</v>
      </c>
      <c r="F2417" s="315" t="str">
        <f t="array" ref="F2417">IF(B2417=100,"Free",TEXT(XLOOKUP($D2417,OperationVoice!$A:$A,OperationVoice!AA:AA,XLOOKUP($D2417,OperationTickets!$A:$A,OperationTickets!AA:AA,"",0)),"hh:mm"))</f>
        <v>08:00</v>
      </c>
      <c r="G2417" s="309">
        <f t="shared" si="3"/>
        <v>0.7083333333</v>
      </c>
      <c r="H2417" s="316" t="str">
        <f t="array" ref="H2417">XLOOKUP(B2417,Roster!L:L,Roster!N:N,XLOOKUP(D2417,TicketsBreak!A:A,TicketsBreak!E:E,"",0),0)</f>
        <v>10:30 - 10:45</v>
      </c>
      <c r="I2417" s="316" t="str">
        <f t="array" ref="I2417">XLOOKUP(B2417,Roster!L:L,Roster!O:O,XLOOKUP(D2417,TicketsBreak!A:A,TicketsBreak!F:F,"",0),0)</f>
        <v>13:30 - 14:00</v>
      </c>
      <c r="J2417" s="316" t="str">
        <f t="array" ref="J2417">XLOOKUP(B2417,Roster!L:L,Roster!P:P,XLOOKUP(D2417,TicketsBreak!A:A,TicketsBreak!G:G,"",0),0)</f>
        <v>15:45 - 16:00</v>
      </c>
      <c r="K2417" s="310">
        <f t="shared" si="4"/>
        <v>46133</v>
      </c>
      <c r="L2417" s="317">
        <f t="array" ref="L2417">(XLOOKUP(D2417,Roster!F:F,Roster!D:D,"",0))</f>
        <v>6</v>
      </c>
      <c r="M2417" s="317" t="str">
        <f t="array" ref="M2417">XLOOKUP(D2417,Roster!F:F,Roster!E:E)</f>
        <v>Voice</v>
      </c>
      <c r="N2417" s="317" t="str">
        <f t="shared" ref="N2417:P2417" si="2451">LEFT(H2417,5)</f>
        <v>10:30</v>
      </c>
      <c r="O2417" s="317" t="str">
        <f t="shared" si="2451"/>
        <v>13:30</v>
      </c>
      <c r="P2417" s="317" t="str">
        <f t="shared" si="2451"/>
        <v>15:45</v>
      </c>
      <c r="Q2417" s="318">
        <f t="shared" si="2365"/>
        <v>46133.4375</v>
      </c>
      <c r="R2417" s="318">
        <f t="shared" si="2366"/>
        <v>46133.5625</v>
      </c>
      <c r="S2417" s="318">
        <f t="shared" si="8"/>
        <v>46133.65625</v>
      </c>
    </row>
    <row r="2418">
      <c r="A2418" s="14" t="str">
        <f t="shared" si="1"/>
        <v>C154846133</v>
      </c>
      <c r="B2418" s="185">
        <f t="array" ref="B2418">IF(F2418="VL","",IF(F2418="Free","Free",XLOOKUP(D2418,Roster!T:T,Roster!S:S,"",0)))</f>
        <v>152</v>
      </c>
      <c r="C2418" s="313">
        <v>46133.0</v>
      </c>
      <c r="D2418" s="314" t="s">
        <v>30</v>
      </c>
      <c r="E2418" s="307" t="str">
        <f t="array" ref="E2418">(XLOOKUP(D2418,Roster!F:F,Roster!B:B,"",0))</f>
        <v>Frey ortiz</v>
      </c>
      <c r="F2418" s="315" t="str">
        <f t="array" ref="F2418">IF(B2418=100,"Free",TEXT(XLOOKUP($D2418,OperationVoice!$A:$A,OperationVoice!AA:AA,XLOOKUP($D2418,OperationTickets!$A:$A,OperationTickets!AA:AA,"",0)),"hh:mm"))</f>
        <v>11:00</v>
      </c>
      <c r="G2418" s="309">
        <f t="shared" si="3"/>
        <v>0.8333333333</v>
      </c>
      <c r="H2418" s="316" t="str">
        <f t="array" ref="H2418">XLOOKUP(B2418,Roster!L:L,Roster!N:N,XLOOKUP(D2418,TicketsBreak!A:A,TicketsBreak!E:E,"",0),0)</f>
        <v>12:30 - 12:45</v>
      </c>
      <c r="I2418" s="316" t="str">
        <f t="array" ref="I2418">XLOOKUP(B2418,Roster!L:L,Roster!O:O,XLOOKUP(D2418,TicketsBreak!A:A,TicketsBreak!F:F,"",0),0)</f>
        <v>14:30 - 15:00</v>
      </c>
      <c r="J2418" s="316" t="str">
        <f t="array" ref="J2418">XLOOKUP(B2418,Roster!L:L,Roster!P:P,XLOOKUP(D2418,TicketsBreak!A:A,TicketsBreak!G:G,"",0),0)</f>
        <v>17:30 - 17:45</v>
      </c>
      <c r="K2418" s="310">
        <f t="shared" si="4"/>
        <v>46133</v>
      </c>
      <c r="L2418" s="317">
        <f t="array" ref="L2418">(XLOOKUP(D2418,Roster!F:F,Roster!D:D,"",0))</f>
        <v>37</v>
      </c>
      <c r="M2418" s="317" t="str">
        <f t="array" ref="M2418">XLOOKUP(D2418,Roster!F:F,Roster!E:E)</f>
        <v>Voice</v>
      </c>
      <c r="N2418" s="317" t="str">
        <f t="shared" ref="N2418:P2418" si="2452">LEFT(H2418,5)</f>
        <v>12:30</v>
      </c>
      <c r="O2418" s="317" t="str">
        <f t="shared" si="2452"/>
        <v>14:30</v>
      </c>
      <c r="P2418" s="317" t="str">
        <f t="shared" si="2452"/>
        <v>17:30</v>
      </c>
      <c r="Q2418" s="318">
        <f t="shared" si="2365"/>
        <v>46133.52083</v>
      </c>
      <c r="R2418" s="318">
        <f t="shared" si="2366"/>
        <v>46133.60417</v>
      </c>
      <c r="S2418" s="318">
        <f t="shared" si="8"/>
        <v>46133.72917</v>
      </c>
    </row>
    <row r="2419">
      <c r="A2419" s="14" t="str">
        <f t="shared" si="1"/>
        <v>C148646133</v>
      </c>
      <c r="B2419" s="185">
        <f t="array" ref="B2419">IF(F2419="VL","",IF(F2419="Free","Free",XLOOKUP(D2419,Roster!T:T,Roster!S:S,"",0)))</f>
        <v>154</v>
      </c>
      <c r="C2419" s="313">
        <v>46133.0</v>
      </c>
      <c r="D2419" s="314" t="s">
        <v>31</v>
      </c>
      <c r="E2419" s="307" t="str">
        <f t="array" ref="E2419">(XLOOKUP(D2419,Roster!F:F,Roster!B:B,"",0))</f>
        <v>Gabriel Gomez</v>
      </c>
      <c r="F2419" s="315" t="str">
        <f t="array" ref="F2419">IF(B2419=100,"Free",TEXT(XLOOKUP($D2419,OperationVoice!$A:$A,OperationVoice!AA:AA,XLOOKUP($D2419,OperationTickets!$A:$A,OperationTickets!AA:AA,"",0)),"hh:mm"))</f>
        <v>11:00</v>
      </c>
      <c r="G2419" s="309">
        <f t="shared" si="3"/>
        <v>0.8333333333</v>
      </c>
      <c r="H2419" s="316" t="str">
        <f t="array" ref="H2419">XLOOKUP(B2419,Roster!L:L,Roster!N:N,XLOOKUP(D2419,TicketsBreak!A:A,TicketsBreak!E:E,"",0),0)</f>
        <v>13:00 - 13:15</v>
      </c>
      <c r="I2419" s="316" t="str">
        <f t="array" ref="I2419">XLOOKUP(B2419,Roster!L:L,Roster!O:O,XLOOKUP(D2419,TicketsBreak!A:A,TicketsBreak!F:F,"",0),0)</f>
        <v>15:15 - 15:45</v>
      </c>
      <c r="J2419" s="316" t="str">
        <f t="array" ref="J2419">XLOOKUP(B2419,Roster!L:L,Roster!P:P,XLOOKUP(D2419,TicketsBreak!A:A,TicketsBreak!G:G,"",0),0)</f>
        <v>18:00 - 18:15</v>
      </c>
      <c r="K2419" s="310">
        <f t="shared" si="4"/>
        <v>46133</v>
      </c>
      <c r="L2419" s="317">
        <f t="array" ref="L2419">(XLOOKUP(D2419,Roster!F:F,Roster!D:D,"",0))</f>
        <v>34</v>
      </c>
      <c r="M2419" s="317" t="str">
        <f t="array" ref="M2419">XLOOKUP(D2419,Roster!F:F,Roster!E:E)</f>
        <v>Voice</v>
      </c>
      <c r="N2419" s="317" t="str">
        <f t="shared" ref="N2419:P2419" si="2453">LEFT(H2419,5)</f>
        <v>13:00</v>
      </c>
      <c r="O2419" s="317" t="str">
        <f t="shared" si="2453"/>
        <v>15:15</v>
      </c>
      <c r="P2419" s="317" t="str">
        <f t="shared" si="2453"/>
        <v>18:00</v>
      </c>
      <c r="Q2419" s="318">
        <f t="shared" si="2365"/>
        <v>46133.54167</v>
      </c>
      <c r="R2419" s="318">
        <f t="shared" si="2366"/>
        <v>46133.63542</v>
      </c>
      <c r="S2419" s="318">
        <f t="shared" si="8"/>
        <v>46133.75</v>
      </c>
    </row>
    <row r="2420">
      <c r="A2420" s="14" t="str">
        <f t="shared" si="1"/>
        <v>C136946133</v>
      </c>
      <c r="B2420" s="185">
        <f t="array" ref="B2420">IF(F2420="VL","",IF(F2420="Free","Free",XLOOKUP(D2420,Roster!T:T,Roster!S:S,"",0)))</f>
        <v>126</v>
      </c>
      <c r="C2420" s="313">
        <v>46133.0</v>
      </c>
      <c r="D2420" s="314" t="s">
        <v>157</v>
      </c>
      <c r="E2420" s="307" t="str">
        <f t="array" ref="E2420">(XLOOKUP(D2420,Roster!F:F,Roster!B:B,"",0))</f>
        <v>Gabriela Jimenez</v>
      </c>
      <c r="F2420" s="315" t="str">
        <f t="array" ref="F2420">IF(B2420=100,"Free",TEXT(XLOOKUP($D2420,OperationVoice!$A:$A,OperationVoice!AA:AA,XLOOKUP($D2420,OperationTickets!$A:$A,OperationTickets!AA:AA,"",0)),"hh:mm"))</f>
        <v>08:00</v>
      </c>
      <c r="G2420" s="309">
        <f t="shared" si="3"/>
        <v>0.7083333333</v>
      </c>
      <c r="H2420" s="316" t="str">
        <f t="array" ref="H2420">XLOOKUP(B2420,Roster!L:L,Roster!N:N,XLOOKUP(D2420,TicketsBreak!A:A,TicketsBreak!E:E,"",0),0)</f>
        <v>10:45 - 11:00</v>
      </c>
      <c r="I2420" s="316" t="str">
        <f t="array" ref="I2420">XLOOKUP(B2420,Roster!L:L,Roster!O:O,XLOOKUP(D2420,TicketsBreak!A:A,TicketsBreak!F:F,"",0),0)</f>
        <v>14:00 - 14:30</v>
      </c>
      <c r="J2420" s="316" t="str">
        <f t="array" ref="J2420">XLOOKUP(B2420,Roster!L:L,Roster!P:P,XLOOKUP(D2420,TicketsBreak!A:A,TicketsBreak!G:G,"",0),0)</f>
        <v>15:45 - 16:00</v>
      </c>
      <c r="K2420" s="310">
        <f t="shared" si="4"/>
        <v>46133</v>
      </c>
      <c r="L2420" s="317">
        <f t="array" ref="L2420">(XLOOKUP(D2420,Roster!F:F,Roster!D:D,"",0))</f>
        <v>31</v>
      </c>
      <c r="M2420" s="317" t="str">
        <f t="array" ref="M2420">XLOOKUP(D2420,Roster!F:F,Roster!E:E)</f>
        <v>Tickets</v>
      </c>
      <c r="N2420" s="317" t="str">
        <f t="shared" ref="N2420:P2420" si="2454">LEFT(H2420,5)</f>
        <v>10:45</v>
      </c>
      <c r="O2420" s="317" t="str">
        <f t="shared" si="2454"/>
        <v>14:00</v>
      </c>
      <c r="P2420" s="317" t="str">
        <f t="shared" si="2454"/>
        <v>15:45</v>
      </c>
      <c r="Q2420" s="318">
        <f t="shared" si="2365"/>
        <v>46133.44792</v>
      </c>
      <c r="R2420" s="318">
        <f t="shared" si="2366"/>
        <v>46133.58333</v>
      </c>
      <c r="S2420" s="318">
        <f t="shared" si="8"/>
        <v>46133.65625</v>
      </c>
    </row>
    <row r="2421">
      <c r="A2421" s="14" t="str">
        <f t="shared" si="1"/>
        <v>C101746133</v>
      </c>
      <c r="B2421" s="185">
        <f t="array" ref="B2421">IF(F2421="VL","",IF(F2421="Free","Free",XLOOKUP(D2421,Roster!T:T,Roster!S:S,"",0)))</f>
        <v>121</v>
      </c>
      <c r="C2421" s="313">
        <v>46133.0</v>
      </c>
      <c r="D2421" s="314" t="s">
        <v>32</v>
      </c>
      <c r="E2421" s="307" t="str">
        <f t="array" ref="E2421">(XLOOKUP(D2421,Roster!F:F,Roster!B:B,"",0))</f>
        <v>Geraldine Correa</v>
      </c>
      <c r="F2421" s="315" t="str">
        <f t="array" ref="F2421">IF(B2421=100,"Free",TEXT(XLOOKUP($D2421,OperationVoice!$A:$A,OperationVoice!AA:AA,XLOOKUP($D2421,OperationTickets!$A:$A,OperationTickets!AA:AA,"",0)),"hh:mm"))</f>
        <v>08:00</v>
      </c>
      <c r="G2421" s="309">
        <f t="shared" si="3"/>
        <v>0.7083333333</v>
      </c>
      <c r="H2421" s="316" t="str">
        <f t="array" ref="H2421">XLOOKUP(B2421,Roster!L:L,Roster!N:N,XLOOKUP(D2421,TicketsBreak!A:A,TicketsBreak!E:E,"",0),0)</f>
        <v>09:15 - 09:30</v>
      </c>
      <c r="I2421" s="316" t="str">
        <f t="array" ref="I2421">XLOOKUP(B2421,Roster!L:L,Roster!O:O,XLOOKUP(D2421,TicketsBreak!A:A,TicketsBreak!F:F,"",0),0)</f>
        <v>11:30 - 12:00</v>
      </c>
      <c r="J2421" s="316" t="str">
        <f t="array" ref="J2421">XLOOKUP(B2421,Roster!L:L,Roster!P:P,XLOOKUP(D2421,TicketsBreak!A:A,TicketsBreak!G:G,"",0),0)</f>
        <v>14:30 - 14:45</v>
      </c>
      <c r="K2421" s="310">
        <f t="shared" si="4"/>
        <v>46133</v>
      </c>
      <c r="L2421" s="317">
        <f t="array" ref="L2421">(XLOOKUP(D2421,Roster!F:F,Roster!D:D,"",0))</f>
        <v>23</v>
      </c>
      <c r="M2421" s="317" t="str">
        <f t="array" ref="M2421">XLOOKUP(D2421,Roster!F:F,Roster!E:E)</f>
        <v>Voice</v>
      </c>
      <c r="N2421" s="317" t="str">
        <f t="shared" ref="N2421:P2421" si="2455">LEFT(H2421,5)</f>
        <v>09:15</v>
      </c>
      <c r="O2421" s="317" t="str">
        <f t="shared" si="2455"/>
        <v>11:30</v>
      </c>
      <c r="P2421" s="317" t="str">
        <f t="shared" si="2455"/>
        <v>14:30</v>
      </c>
      <c r="Q2421" s="318">
        <f t="shared" si="2365"/>
        <v>46133.38542</v>
      </c>
      <c r="R2421" s="318">
        <f t="shared" si="2366"/>
        <v>46133.47917</v>
      </c>
      <c r="S2421" s="318">
        <f t="shared" si="8"/>
        <v>46133.60417</v>
      </c>
    </row>
    <row r="2422">
      <c r="A2422" s="14" t="str">
        <f t="shared" si="1"/>
        <v>C154146133</v>
      </c>
      <c r="B2422" s="185">
        <f t="array" ref="B2422">IF(F2422="VL","",IF(F2422="Free","Free",XLOOKUP(D2422,Roster!T:T,Roster!S:S,"",0)))</f>
        <v>155</v>
      </c>
      <c r="C2422" s="313">
        <v>46133.0</v>
      </c>
      <c r="D2422" s="314" t="s">
        <v>33</v>
      </c>
      <c r="E2422" s="307" t="str">
        <f t="array" ref="E2422">(XLOOKUP(D2422,Roster!F:F,Roster!B:B,"",0))</f>
        <v>Gisel Moya</v>
      </c>
      <c r="F2422" s="315" t="str">
        <f t="array" ref="F2422">IF(B2422=100,"Free",TEXT(XLOOKUP($D2422,OperationVoice!$A:$A,OperationVoice!AA:AA,XLOOKUP($D2422,OperationTickets!$A:$A,OperationTickets!AA:AA,"",0)),"hh:mm"))</f>
        <v>11:00</v>
      </c>
      <c r="G2422" s="309">
        <f t="shared" si="3"/>
        <v>0.8333333333</v>
      </c>
      <c r="H2422" s="316" t="str">
        <f t="array" ref="H2422">XLOOKUP(B2422,Roster!L:L,Roster!N:N,XLOOKUP(D2422,TicketsBreak!A:A,TicketsBreak!E:E,"",0),0)</f>
        <v>13:15 - 13:30</v>
      </c>
      <c r="I2422" s="316" t="str">
        <f t="array" ref="I2422">XLOOKUP(B2422,Roster!L:L,Roster!O:O,XLOOKUP(D2422,TicketsBreak!A:A,TicketsBreak!F:F,"",0),0)</f>
        <v>15:45 - 16:15</v>
      </c>
      <c r="J2422" s="316" t="str">
        <f t="array" ref="J2422">XLOOKUP(B2422,Roster!L:L,Roster!P:P,XLOOKUP(D2422,TicketsBreak!A:A,TicketsBreak!G:G,"",0),0)</f>
        <v>18:15 - 18:30</v>
      </c>
      <c r="K2422" s="310">
        <f t="shared" si="4"/>
        <v>46133</v>
      </c>
      <c r="L2422" s="317">
        <f t="array" ref="L2422">(XLOOKUP(D2422,Roster!F:F,Roster!D:D,"",0))</f>
        <v>36</v>
      </c>
      <c r="M2422" s="317" t="str">
        <f t="array" ref="M2422">XLOOKUP(D2422,Roster!F:F,Roster!E:E)</f>
        <v>Voice</v>
      </c>
      <c r="N2422" s="317" t="str">
        <f t="shared" ref="N2422:P2422" si="2456">LEFT(H2422,5)</f>
        <v>13:15</v>
      </c>
      <c r="O2422" s="317" t="str">
        <f t="shared" si="2456"/>
        <v>15:45</v>
      </c>
      <c r="P2422" s="317" t="str">
        <f t="shared" si="2456"/>
        <v>18:15</v>
      </c>
      <c r="Q2422" s="318">
        <f t="shared" si="2365"/>
        <v>46133.55208</v>
      </c>
      <c r="R2422" s="318">
        <f t="shared" si="2366"/>
        <v>46133.65625</v>
      </c>
      <c r="S2422" s="318">
        <f t="shared" si="8"/>
        <v>46133.76042</v>
      </c>
    </row>
    <row r="2423">
      <c r="A2423" s="14" t="str">
        <f t="shared" si="1"/>
        <v>C86046133</v>
      </c>
      <c r="B2423" s="185" t="str">
        <f t="array" ref="B2423">IF(F2423="VL","",IF(F2423="Free","Free",XLOOKUP(D2423,Roster!T:T,Roster!S:S,"",0)))</f>
        <v/>
      </c>
      <c r="C2423" s="313">
        <v>46133.0</v>
      </c>
      <c r="D2423" s="314" t="s">
        <v>158</v>
      </c>
      <c r="E2423" s="307" t="str">
        <f t="array" ref="E2423">(XLOOKUP(D2423,Roster!F:F,Roster!B:B,"",0))</f>
        <v>Ief Fabre</v>
      </c>
      <c r="F2423" s="315" t="str">
        <f t="array" ref="F2423">IF(B2423=100,"Free",TEXT(XLOOKUP($D2423,OperationVoice!$A:$A,OperationVoice!AA:AA,XLOOKUP($D2423,OperationTickets!$A:$A,OperationTickets!AA:AA,"",0)),"hh:mm"))</f>
        <v>08:00</v>
      </c>
      <c r="G2423" s="309">
        <f t="shared" si="3"/>
        <v>0.7083333333</v>
      </c>
      <c r="H2423" s="316">
        <f t="array" ref="H2423">XLOOKUP(B2423,Roster!L:L,Roster!N:N,XLOOKUP(D2423,TicketsBreak!A:A,TicketsBreak!E:E,"",0),0)</f>
        <v>0.4166666667</v>
      </c>
      <c r="I2423" s="316">
        <f t="array" ref="I2423">XLOOKUP(B2423,Roster!L:L,Roster!O:O,XLOOKUP(D2423,TicketsBreak!A:A,TicketsBreak!F:F,"",0),0)</f>
        <v>0.5</v>
      </c>
      <c r="J2423" s="316">
        <f t="array" ref="J2423">XLOOKUP(B2423,Roster!L:L,Roster!P:P,XLOOKUP(D2423,TicketsBreak!A:A,TicketsBreak!G:G,"",0),0)</f>
        <v>0.625</v>
      </c>
      <c r="K2423" s="310">
        <f t="shared" si="4"/>
        <v>46133</v>
      </c>
      <c r="L2423" s="317">
        <f t="array" ref="L2423">(XLOOKUP(D2423,Roster!F:F,Roster!D:D,"",0))</f>
        <v>10</v>
      </c>
      <c r="M2423" s="317" t="str">
        <f t="array" ref="M2423">XLOOKUP(D2423,Roster!F:F,Roster!E:E)</f>
        <v>Tickets</v>
      </c>
      <c r="N2423" s="317" t="str">
        <f t="shared" ref="N2423:P2423" si="2457">LEFT(H2423,5)</f>
        <v>10:00</v>
      </c>
      <c r="O2423" s="317" t="str">
        <f t="shared" si="2457"/>
        <v>12:00</v>
      </c>
      <c r="P2423" s="317" t="str">
        <f t="shared" si="2457"/>
        <v>15:00</v>
      </c>
      <c r="Q2423" s="318">
        <f t="shared" si="2365"/>
        <v>46133.41667</v>
      </c>
      <c r="R2423" s="318">
        <f t="shared" si="2366"/>
        <v>46133.5</v>
      </c>
      <c r="S2423" s="318">
        <f t="shared" si="8"/>
        <v>46133.625</v>
      </c>
    </row>
    <row r="2424">
      <c r="A2424" s="14" t="str">
        <f t="shared" si="1"/>
        <v>C148146133</v>
      </c>
      <c r="B2424" s="185">
        <f t="array" ref="B2424">IF(F2424="VL","",IF(F2424="Free","Free",XLOOKUP(D2424,Roster!T:T,Roster!S:S,"",0)))</f>
        <v>155</v>
      </c>
      <c r="C2424" s="313">
        <v>46133.0</v>
      </c>
      <c r="D2424" s="314" t="s">
        <v>34</v>
      </c>
      <c r="E2424" s="307" t="str">
        <f t="array" ref="E2424">(XLOOKUP(D2424,Roster!F:F,Roster!B:B,"",0))</f>
        <v>Jasam Mejia</v>
      </c>
      <c r="F2424" s="315" t="str">
        <f t="array" ref="F2424">IF(B2424=100,"Free",TEXT(XLOOKUP($D2424,OperationVoice!$A:$A,OperationVoice!AA:AA,XLOOKUP($D2424,OperationTickets!$A:$A,OperationTickets!AA:AA,"",0)),"hh:mm"))</f>
        <v>12:00</v>
      </c>
      <c r="G2424" s="309">
        <f t="shared" si="3"/>
        <v>0.875</v>
      </c>
      <c r="H2424" s="316" t="str">
        <f t="array" ref="H2424">XLOOKUP(B2424,Roster!L:L,Roster!N:N,XLOOKUP(D2424,TicketsBreak!A:A,TicketsBreak!E:E,"",0),0)</f>
        <v>13:15 - 13:30</v>
      </c>
      <c r="I2424" s="316" t="str">
        <f t="array" ref="I2424">XLOOKUP(B2424,Roster!L:L,Roster!O:O,XLOOKUP(D2424,TicketsBreak!A:A,TicketsBreak!F:F,"",0),0)</f>
        <v>15:45 - 16:15</v>
      </c>
      <c r="J2424" s="316" t="str">
        <f t="array" ref="J2424">XLOOKUP(B2424,Roster!L:L,Roster!P:P,XLOOKUP(D2424,TicketsBreak!A:A,TicketsBreak!G:G,"",0),0)</f>
        <v>18:15 - 18:30</v>
      </c>
      <c r="K2424" s="310">
        <f t="shared" si="4"/>
        <v>46133</v>
      </c>
      <c r="L2424" s="317">
        <f t="array" ref="L2424">(XLOOKUP(D2424,Roster!F:F,Roster!D:D,"",0))</f>
        <v>34</v>
      </c>
      <c r="M2424" s="317" t="str">
        <f t="array" ref="M2424">XLOOKUP(D2424,Roster!F:F,Roster!E:E)</f>
        <v>Voice</v>
      </c>
      <c r="N2424" s="317" t="str">
        <f t="shared" ref="N2424:P2424" si="2458">LEFT(H2424,5)</f>
        <v>13:15</v>
      </c>
      <c r="O2424" s="317" t="str">
        <f t="shared" si="2458"/>
        <v>15:45</v>
      </c>
      <c r="P2424" s="317" t="str">
        <f t="shared" si="2458"/>
        <v>18:15</v>
      </c>
      <c r="Q2424" s="318">
        <f t="shared" si="2365"/>
        <v>46133.55208</v>
      </c>
      <c r="R2424" s="318">
        <f t="shared" si="2366"/>
        <v>46133.65625</v>
      </c>
      <c r="S2424" s="318">
        <f t="shared" si="8"/>
        <v>46133.76042</v>
      </c>
    </row>
    <row r="2425">
      <c r="A2425" s="14" t="str">
        <f t="shared" si="1"/>
        <v>C131846133</v>
      </c>
      <c r="B2425" s="185" t="str">
        <f t="array" ref="B2425">IF(F2425="VL","",IF(F2425="Free","Free",XLOOKUP(D2425,Roster!T:T,Roster!S:S,"",0)))</f>
        <v/>
      </c>
      <c r="C2425" s="313">
        <v>46133.0</v>
      </c>
      <c r="D2425" s="314" t="s">
        <v>159</v>
      </c>
      <c r="E2425" s="307" t="str">
        <f t="array" ref="E2425">(XLOOKUP(D2425,Roster!F:F,Roster!B:B,"",0))</f>
        <v>Jeampierre Jaramillo</v>
      </c>
      <c r="F2425" s="315" t="str">
        <f t="array" ref="F2425">IF(B2425=100,"Free",TEXT(XLOOKUP($D2425,OperationVoice!$A:$A,OperationVoice!AA:AA,XLOOKUP($D2425,OperationTickets!$A:$A,OperationTickets!AA:AA,"",0)),"hh:mm"))</f>
        <v>07:00</v>
      </c>
      <c r="G2425" s="309">
        <f t="shared" si="3"/>
        <v>0.6666666667</v>
      </c>
      <c r="H2425" s="316" t="str">
        <f t="array" ref="H2425">XLOOKUP(B2425,Roster!L:L,Roster!N:N,XLOOKUP(D2425,TicketsBreak!A:A,TicketsBreak!E:E,"",0),0)</f>
        <v/>
      </c>
      <c r="I2425" s="316" t="str">
        <f t="array" ref="I2425">XLOOKUP(B2425,Roster!L:L,Roster!O:O,XLOOKUP(D2425,TicketsBreak!A:A,TicketsBreak!F:F,"",0),0)</f>
        <v/>
      </c>
      <c r="J2425" s="316" t="str">
        <f t="array" ref="J2425">XLOOKUP(B2425,Roster!L:L,Roster!P:P,XLOOKUP(D2425,TicketsBreak!A:A,TicketsBreak!G:G,"",0),0)</f>
        <v/>
      </c>
      <c r="K2425" s="310">
        <f t="shared" si="4"/>
        <v>46133</v>
      </c>
      <c r="L2425" s="317">
        <f t="array" ref="L2425">(XLOOKUP(D2425,Roster!F:F,Roster!D:D,"",0))</f>
        <v>29</v>
      </c>
      <c r="M2425" s="317" t="str">
        <f t="array" ref="M2425">XLOOKUP(D2425,Roster!F:F,Roster!E:E)</f>
        <v>Tickets</v>
      </c>
      <c r="N2425" s="317" t="str">
        <f t="shared" ref="N2425:P2425" si="2459">LEFT(H2425,5)</f>
        <v/>
      </c>
      <c r="O2425" s="317" t="str">
        <f t="shared" si="2459"/>
        <v/>
      </c>
      <c r="P2425" s="317" t="str">
        <f t="shared" si="2459"/>
        <v/>
      </c>
      <c r="Q2425" s="318" t="str">
        <f t="shared" si="2365"/>
        <v/>
      </c>
      <c r="R2425" s="318" t="str">
        <f t="shared" si="2366"/>
        <v/>
      </c>
      <c r="S2425" s="318" t="str">
        <f t="shared" si="8"/>
        <v/>
      </c>
    </row>
    <row r="2426">
      <c r="A2426" s="14" t="str">
        <f t="shared" si="1"/>
        <v>C155046133</v>
      </c>
      <c r="B2426" s="185">
        <f t="array" ref="B2426">IF(F2426="VL","",IF(F2426="Free","Free",XLOOKUP(D2426,Roster!T:T,Roster!S:S,"",0)))</f>
        <v>126</v>
      </c>
      <c r="C2426" s="313">
        <v>46133.0</v>
      </c>
      <c r="D2426" s="314" t="s">
        <v>35</v>
      </c>
      <c r="E2426" s="307" t="str">
        <f t="array" ref="E2426">(XLOOKUP(D2426,Roster!F:F,Roster!B:B,"",0))</f>
        <v>Jeidin Vargas</v>
      </c>
      <c r="F2426" s="315" t="str">
        <f t="array" ref="F2426">IF(B2426=100,"Free",TEXT(XLOOKUP($D2426,OperationVoice!$A:$A,OperationVoice!AA:AA,XLOOKUP($D2426,OperationTickets!$A:$A,OperationTickets!AA:AA,"",0)),"hh:mm"))</f>
        <v>08:00</v>
      </c>
      <c r="G2426" s="309">
        <f t="shared" si="3"/>
        <v>0.7083333333</v>
      </c>
      <c r="H2426" s="316" t="str">
        <f t="array" ref="H2426">XLOOKUP(B2426,Roster!L:L,Roster!N:N,XLOOKUP(D2426,TicketsBreak!A:A,TicketsBreak!E:E,"",0),0)</f>
        <v>10:45 - 11:00</v>
      </c>
      <c r="I2426" s="316" t="str">
        <f t="array" ref="I2426">XLOOKUP(B2426,Roster!L:L,Roster!O:O,XLOOKUP(D2426,TicketsBreak!A:A,TicketsBreak!F:F,"",0),0)</f>
        <v>14:00 - 14:30</v>
      </c>
      <c r="J2426" s="316" t="str">
        <f t="array" ref="J2426">XLOOKUP(B2426,Roster!L:L,Roster!P:P,XLOOKUP(D2426,TicketsBreak!A:A,TicketsBreak!G:G,"",0),0)</f>
        <v>15:45 - 16:00</v>
      </c>
      <c r="K2426" s="310">
        <f t="shared" si="4"/>
        <v>46133</v>
      </c>
      <c r="L2426" s="317">
        <f t="array" ref="L2426">(XLOOKUP(D2426,Roster!F:F,Roster!D:D,"",0))</f>
        <v>37</v>
      </c>
      <c r="M2426" s="317" t="str">
        <f t="array" ref="M2426">XLOOKUP(D2426,Roster!F:F,Roster!E:E)</f>
        <v>Voice</v>
      </c>
      <c r="N2426" s="317" t="str">
        <f t="shared" ref="N2426:P2426" si="2460">LEFT(H2426,5)</f>
        <v>10:45</v>
      </c>
      <c r="O2426" s="317" t="str">
        <f t="shared" si="2460"/>
        <v>14:00</v>
      </c>
      <c r="P2426" s="317" t="str">
        <f t="shared" si="2460"/>
        <v>15:45</v>
      </c>
      <c r="Q2426" s="318">
        <f t="shared" si="2365"/>
        <v>46133.44792</v>
      </c>
      <c r="R2426" s="318">
        <f t="shared" si="2366"/>
        <v>46133.58333</v>
      </c>
      <c r="S2426" s="318">
        <f t="shared" si="8"/>
        <v>46133.65625</v>
      </c>
    </row>
    <row r="2427">
      <c r="A2427" s="14" t="str">
        <f t="shared" si="1"/>
        <v>C51246133</v>
      </c>
      <c r="B2427" s="185">
        <f t="array" ref="B2427">IF(F2427="VL","",IF(F2427="Free","Free",XLOOKUP(D2427,Roster!T:T,Roster!S:S,"",0)))</f>
        <v>122</v>
      </c>
      <c r="C2427" s="313">
        <v>46133.0</v>
      </c>
      <c r="D2427" s="314" t="s">
        <v>36</v>
      </c>
      <c r="E2427" s="307" t="str">
        <f t="array" ref="E2427">(XLOOKUP(D2427,Roster!F:F,Roster!B:B,"",0))</f>
        <v>Jhoam Quiroz</v>
      </c>
      <c r="F2427" s="315" t="str">
        <f t="array" ref="F2427">IF(B2427=100,"Free",TEXT(XLOOKUP($D2427,OperationVoice!$A:$A,OperationVoice!AA:AA,XLOOKUP($D2427,OperationTickets!$A:$A,OperationTickets!AA:AA,"",0)),"hh:mm"))</f>
        <v>08:00</v>
      </c>
      <c r="G2427" s="309">
        <f t="shared" si="3"/>
        <v>0.7083333333</v>
      </c>
      <c r="H2427" s="316" t="str">
        <f t="array" ref="H2427">XLOOKUP(B2427,Roster!L:L,Roster!N:N,XLOOKUP(D2427,TicketsBreak!A:A,TicketsBreak!E:E,"",0),0)</f>
        <v>09:30 - 09:45</v>
      </c>
      <c r="I2427" s="316" t="str">
        <f t="array" ref="I2427">XLOOKUP(B2427,Roster!L:L,Roster!O:O,XLOOKUP(D2427,TicketsBreak!A:A,TicketsBreak!F:F,"",0),0)</f>
        <v>12:00 - 12:30</v>
      </c>
      <c r="J2427" s="316" t="str">
        <f t="array" ref="J2427">XLOOKUP(B2427,Roster!L:L,Roster!P:P,XLOOKUP(D2427,TicketsBreak!A:A,TicketsBreak!G:G,"",0),0)</f>
        <v>14:45 - 15:00</v>
      </c>
      <c r="K2427" s="310">
        <f t="shared" si="4"/>
        <v>46133</v>
      </c>
      <c r="L2427" s="317">
        <f t="array" ref="L2427">(XLOOKUP(D2427,Roster!F:F,Roster!D:D,"",0))</f>
        <v>1</v>
      </c>
      <c r="M2427" s="317" t="str">
        <f t="array" ref="M2427">XLOOKUP(D2427,Roster!F:F,Roster!E:E)</f>
        <v>Voice</v>
      </c>
      <c r="N2427" s="317" t="str">
        <f t="shared" ref="N2427:P2427" si="2461">LEFT(H2427,5)</f>
        <v>09:30</v>
      </c>
      <c r="O2427" s="317" t="str">
        <f t="shared" si="2461"/>
        <v>12:00</v>
      </c>
      <c r="P2427" s="317" t="str">
        <f t="shared" si="2461"/>
        <v>14:45</v>
      </c>
      <c r="Q2427" s="318">
        <f t="shared" si="2365"/>
        <v>46133.39583</v>
      </c>
      <c r="R2427" s="318">
        <f t="shared" si="2366"/>
        <v>46133.5</v>
      </c>
      <c r="S2427" s="318">
        <f t="shared" si="8"/>
        <v>46133.61458</v>
      </c>
    </row>
    <row r="2428">
      <c r="A2428" s="14" t="str">
        <f t="shared" si="1"/>
        <v>C150946133</v>
      </c>
      <c r="B2428" s="185">
        <f t="array" ref="B2428">IF(F2428="VL","",IF(F2428="Free","Free",XLOOKUP(D2428,Roster!T:T,Roster!S:S,"",0)))</f>
        <v>121</v>
      </c>
      <c r="C2428" s="313">
        <v>46133.0</v>
      </c>
      <c r="D2428" s="314" t="s">
        <v>37</v>
      </c>
      <c r="E2428" s="307" t="str">
        <f t="array" ref="E2428">(XLOOKUP(D2428,Roster!F:F,Roster!B:B,"",0))</f>
        <v>Jhonatan Gomez</v>
      </c>
      <c r="F2428" s="315" t="str">
        <f t="array" ref="F2428">IF(B2428=100,"Free",TEXT(XLOOKUP($D2428,OperationVoice!$A:$A,OperationVoice!AA:AA,XLOOKUP($D2428,OperationTickets!$A:$A,OperationTickets!AA:AA,"",0)),"hh:mm"))</f>
        <v>08:00</v>
      </c>
      <c r="G2428" s="309">
        <f t="shared" si="3"/>
        <v>0.7083333333</v>
      </c>
      <c r="H2428" s="316" t="str">
        <f t="array" ref="H2428">XLOOKUP(B2428,Roster!L:L,Roster!N:N,XLOOKUP(D2428,TicketsBreak!A:A,TicketsBreak!E:E,"",0),0)</f>
        <v>09:15 - 09:30</v>
      </c>
      <c r="I2428" s="316" t="str">
        <f t="array" ref="I2428">XLOOKUP(B2428,Roster!L:L,Roster!O:O,XLOOKUP(D2428,TicketsBreak!A:A,TicketsBreak!F:F,"",0),0)</f>
        <v>11:30 - 12:00</v>
      </c>
      <c r="J2428" s="316" t="str">
        <f t="array" ref="J2428">XLOOKUP(B2428,Roster!L:L,Roster!P:P,XLOOKUP(D2428,TicketsBreak!A:A,TicketsBreak!G:G,"",0),0)</f>
        <v>14:30 - 14:45</v>
      </c>
      <c r="K2428" s="310">
        <f t="shared" si="4"/>
        <v>46133</v>
      </c>
      <c r="L2428" s="317">
        <f t="array" ref="L2428">(XLOOKUP(D2428,Roster!F:F,Roster!D:D,"",0))</f>
        <v>35</v>
      </c>
      <c r="M2428" s="317" t="str">
        <f t="array" ref="M2428">XLOOKUP(D2428,Roster!F:F,Roster!E:E)</f>
        <v>Voice</v>
      </c>
      <c r="N2428" s="317" t="str">
        <f t="shared" ref="N2428:P2428" si="2462">LEFT(H2428,5)</f>
        <v>09:15</v>
      </c>
      <c r="O2428" s="317" t="str">
        <f t="shared" si="2462"/>
        <v>11:30</v>
      </c>
      <c r="P2428" s="317" t="str">
        <f t="shared" si="2462"/>
        <v>14:30</v>
      </c>
      <c r="Q2428" s="318">
        <f t="shared" si="2365"/>
        <v>46133.38542</v>
      </c>
      <c r="R2428" s="318">
        <f t="shared" si="2366"/>
        <v>46133.47917</v>
      </c>
      <c r="S2428" s="318">
        <f t="shared" si="8"/>
        <v>46133.60417</v>
      </c>
    </row>
    <row r="2429">
      <c r="A2429" s="14" t="str">
        <f t="shared" si="1"/>
        <v>C151546133</v>
      </c>
      <c r="B2429" s="185">
        <f t="array" ref="B2429">IF(F2429="VL","",IF(F2429="Free","Free",XLOOKUP(D2429,Roster!T:T,Roster!S:S,"",0)))</f>
        <v>151</v>
      </c>
      <c r="C2429" s="313">
        <v>46133.0</v>
      </c>
      <c r="D2429" s="314" t="s">
        <v>38</v>
      </c>
      <c r="E2429" s="307" t="str">
        <f t="array" ref="E2429">(XLOOKUP(D2429,Roster!F:F,Roster!B:B,"",0))</f>
        <v>Joan Perez</v>
      </c>
      <c r="F2429" s="315" t="str">
        <f t="array" ref="F2429">IF(B2429=100,"Free",TEXT(XLOOKUP($D2429,OperationVoice!$A:$A,OperationVoice!AA:AA,XLOOKUP($D2429,OperationTickets!$A:$A,OperationTickets!AA:AA,"",0)),"hh:mm"))</f>
        <v/>
      </c>
      <c r="G2429" s="309" t="str">
        <f t="shared" si="3"/>
        <v/>
      </c>
      <c r="H2429" s="316" t="str">
        <f t="array" ref="H2429">XLOOKUP(B2429,Roster!L:L,Roster!N:N,XLOOKUP(D2429,TicketsBreak!A:A,TicketsBreak!E:E,"",0),0)</f>
        <v>12:15 - 12:30</v>
      </c>
      <c r="I2429" s="316" t="str">
        <f t="array" ref="I2429">XLOOKUP(B2429,Roster!L:L,Roster!O:O,XLOOKUP(D2429,TicketsBreak!A:A,TicketsBreak!F:F,"",0),0)</f>
        <v>14:00 - 14:30</v>
      </c>
      <c r="J2429" s="316" t="str">
        <f t="array" ref="J2429">XLOOKUP(B2429,Roster!L:L,Roster!P:P,XLOOKUP(D2429,TicketsBreak!A:A,TicketsBreak!G:G,"",0),0)</f>
        <v>17:15 - 17:30</v>
      </c>
      <c r="K2429" s="310">
        <f t="shared" si="4"/>
        <v>46133</v>
      </c>
      <c r="L2429" s="317">
        <f t="array" ref="L2429">(XLOOKUP(D2429,Roster!F:F,Roster!D:D,"",0))</f>
        <v>35</v>
      </c>
      <c r="M2429" s="317" t="str">
        <f t="array" ref="M2429">XLOOKUP(D2429,Roster!F:F,Roster!E:E)</f>
        <v>Voice</v>
      </c>
      <c r="N2429" s="317" t="str">
        <f t="shared" ref="N2429:P2429" si="2463">LEFT(H2429,5)</f>
        <v>12:15</v>
      </c>
      <c r="O2429" s="317" t="str">
        <f t="shared" si="2463"/>
        <v>14:00</v>
      </c>
      <c r="P2429" s="317" t="str">
        <f t="shared" si="2463"/>
        <v>17:15</v>
      </c>
      <c r="Q2429" s="318">
        <f t="shared" si="2365"/>
        <v>46133.51042</v>
      </c>
      <c r="R2429" s="318">
        <f t="shared" si="2366"/>
        <v>46133.58333</v>
      </c>
      <c r="S2429" s="318">
        <f t="shared" si="8"/>
        <v>46133.71875</v>
      </c>
    </row>
    <row r="2430">
      <c r="A2430" s="14" t="str">
        <f t="shared" si="1"/>
        <v>C128946133</v>
      </c>
      <c r="B2430" s="185" t="str">
        <f t="array" ref="B2430">IF(F2430="VL","",IF(F2430="Free","Free",XLOOKUP(D2430,Roster!T:T,Roster!S:S,"",0)))</f>
        <v>Free</v>
      </c>
      <c r="C2430" s="313">
        <v>46133.0</v>
      </c>
      <c r="D2430" s="314" t="s">
        <v>140</v>
      </c>
      <c r="E2430" s="307" t="str">
        <f t="array" ref="E2430">(XLOOKUP(D2430,Roster!F:F,Roster!B:B,"",0))</f>
        <v>Johana Villarreal</v>
      </c>
      <c r="F2430" s="315" t="str">
        <f t="array" ref="F2430">IF(B2430=100,"Free",TEXT(XLOOKUP($D2430,OperationVoice!$A:$A,OperationVoice!AA:AA,XLOOKUP($D2430,OperationTickets!$A:$A,OperationTickets!AA:AA,"",0)),"hh:mm"))</f>
        <v>Free</v>
      </c>
      <c r="G2430" s="309" t="str">
        <f t="shared" si="3"/>
        <v>Free</v>
      </c>
      <c r="H2430" s="316" t="str">
        <f t="array" ref="H2430">XLOOKUP(B2430,Roster!L:L,Roster!N:N,XLOOKUP(D2430,TicketsBreak!A:A,TicketsBreak!E:E,"",0),0)</f>
        <v/>
      </c>
      <c r="I2430" s="316" t="str">
        <f t="array" ref="I2430">XLOOKUP(B2430,Roster!L:L,Roster!O:O,XLOOKUP(D2430,TicketsBreak!A:A,TicketsBreak!F:F,"",0),0)</f>
        <v/>
      </c>
      <c r="J2430" s="316" t="str">
        <f t="array" ref="J2430">XLOOKUP(B2430,Roster!L:L,Roster!P:P,XLOOKUP(D2430,TicketsBreak!A:A,TicketsBreak!G:G,"",0),0)</f>
        <v/>
      </c>
      <c r="K2430" s="310">
        <f t="shared" si="4"/>
        <v>46133</v>
      </c>
      <c r="L2430" s="317">
        <f t="array" ref="L2430">(XLOOKUP(D2430,Roster!F:F,Roster!D:D,"",0))</f>
        <v>28</v>
      </c>
      <c r="M2430" s="317" t="str">
        <f t="array" ref="M2430">XLOOKUP(D2430,Roster!F:F,Roster!E:E)</f>
        <v>Tickets</v>
      </c>
      <c r="N2430" s="317" t="str">
        <f t="shared" ref="N2430:P2430" si="2464">LEFT(H2430,5)</f>
        <v/>
      </c>
      <c r="O2430" s="317" t="str">
        <f t="shared" si="2464"/>
        <v/>
      </c>
      <c r="P2430" s="317" t="str">
        <f t="shared" si="2464"/>
        <v/>
      </c>
      <c r="Q2430" s="318" t="str">
        <f t="shared" si="2365"/>
        <v/>
      </c>
      <c r="R2430" s="318" t="str">
        <f t="shared" si="2366"/>
        <v/>
      </c>
      <c r="S2430" s="318" t="str">
        <f t="shared" si="8"/>
        <v/>
      </c>
    </row>
    <row r="2431">
      <c r="A2431" s="14" t="str">
        <f t="shared" si="1"/>
        <v>C155146133</v>
      </c>
      <c r="B2431" s="185">
        <f t="array" ref="B2431">IF(F2431="VL","",IF(F2431="Free","Free",XLOOKUP(D2431,Roster!T:T,Roster!S:S,"",0)))</f>
        <v>124</v>
      </c>
      <c r="C2431" s="313">
        <v>46133.0</v>
      </c>
      <c r="D2431" s="314" t="s">
        <v>39</v>
      </c>
      <c r="E2431" s="307" t="str">
        <f t="array" ref="E2431">(XLOOKUP(D2431,Roster!F:F,Roster!B:B,"",0))</f>
        <v>John Atilano</v>
      </c>
      <c r="F2431" s="315" t="str">
        <f t="array" ref="F2431">IF(B2431=100,"Free",TEXT(XLOOKUP($D2431,OperationVoice!$A:$A,OperationVoice!AA:AA,XLOOKUP($D2431,OperationTickets!$A:$A,OperationTickets!AA:AA,"",0)),"hh:mm"))</f>
        <v>08:00</v>
      </c>
      <c r="G2431" s="309">
        <f t="shared" si="3"/>
        <v>0.7083333333</v>
      </c>
      <c r="H2431" s="316" t="str">
        <f t="array" ref="H2431">XLOOKUP(B2431,Roster!L:L,Roster!N:N,XLOOKUP(D2431,TicketsBreak!A:A,TicketsBreak!E:E,"",0),0)</f>
        <v>10:00 - 10:15</v>
      </c>
      <c r="I2431" s="316" t="str">
        <f t="array" ref="I2431">XLOOKUP(B2431,Roster!L:L,Roster!O:O,XLOOKUP(D2431,TicketsBreak!A:A,TicketsBreak!F:F,"",0),0)</f>
        <v>13:00 - 13:30</v>
      </c>
      <c r="J2431" s="316" t="str">
        <f t="array" ref="J2431">XLOOKUP(B2431,Roster!L:L,Roster!P:P,XLOOKUP(D2431,TicketsBreak!A:A,TicketsBreak!G:G,"",0),0)</f>
        <v>15:30 - 15:45</v>
      </c>
      <c r="K2431" s="310">
        <f t="shared" si="4"/>
        <v>46133</v>
      </c>
      <c r="L2431" s="317">
        <f t="array" ref="L2431">(XLOOKUP(D2431,Roster!F:F,Roster!D:D,"",0))</f>
        <v>37</v>
      </c>
      <c r="M2431" s="317" t="str">
        <f t="array" ref="M2431">XLOOKUP(D2431,Roster!F:F,Roster!E:E)</f>
        <v>Voice</v>
      </c>
      <c r="N2431" s="317" t="str">
        <f t="shared" ref="N2431:P2431" si="2465">LEFT(H2431,5)</f>
        <v>10:00</v>
      </c>
      <c r="O2431" s="317" t="str">
        <f t="shared" si="2465"/>
        <v>13:00</v>
      </c>
      <c r="P2431" s="317" t="str">
        <f t="shared" si="2465"/>
        <v>15:30</v>
      </c>
      <c r="Q2431" s="318">
        <f t="shared" si="2365"/>
        <v>46133.41667</v>
      </c>
      <c r="R2431" s="318">
        <f t="shared" si="2366"/>
        <v>46133.54167</v>
      </c>
      <c r="S2431" s="318">
        <f t="shared" si="8"/>
        <v>46133.64583</v>
      </c>
    </row>
    <row r="2432">
      <c r="A2432" s="14" t="str">
        <f t="shared" si="1"/>
        <v>C154346133</v>
      </c>
      <c r="B2432" s="185">
        <f t="array" ref="B2432">IF(F2432="VL","",IF(F2432="Free","Free",XLOOKUP(D2432,Roster!T:T,Roster!S:S,"",0)))</f>
        <v>134</v>
      </c>
      <c r="C2432" s="313">
        <v>46133.0</v>
      </c>
      <c r="D2432" s="314" t="s">
        <v>40</v>
      </c>
      <c r="E2432" s="307" t="str">
        <f t="array" ref="E2432">(XLOOKUP(D2432,Roster!F:F,Roster!B:B,"",0))</f>
        <v>John Palacio</v>
      </c>
      <c r="F2432" s="315" t="str">
        <f t="array" ref="F2432">IF(B2432=100,"Free",TEXT(XLOOKUP($D2432,OperationVoice!$A:$A,OperationVoice!AA:AA,XLOOKUP($D2432,OperationTickets!$A:$A,OperationTickets!AA:AA,"",0)),"hh:mm"))</f>
        <v>09:00</v>
      </c>
      <c r="G2432" s="309">
        <f t="shared" si="3"/>
        <v>0.75</v>
      </c>
      <c r="H2432" s="316" t="str">
        <f t="array" ref="H2432">XLOOKUP(B2432,Roster!L:L,Roster!N:N,XLOOKUP(D2432,TicketsBreak!A:A,TicketsBreak!E:E,"",0),0)</f>
        <v>11:00 - 11:15</v>
      </c>
      <c r="I2432" s="316" t="str">
        <f t="array" ref="I2432">XLOOKUP(B2432,Roster!L:L,Roster!O:O,XLOOKUP(D2432,TicketsBreak!A:A,TicketsBreak!F:F,"",0),0)</f>
        <v>13:45 - 14:15</v>
      </c>
      <c r="J2432" s="316" t="str">
        <f t="array" ref="J2432">XLOOKUP(B2432,Roster!L:L,Roster!P:P,XLOOKUP(D2432,TicketsBreak!A:A,TicketsBreak!G:G,"",0),0)</f>
        <v>16:00 - 16:15</v>
      </c>
      <c r="K2432" s="310">
        <f t="shared" si="4"/>
        <v>46133</v>
      </c>
      <c r="L2432" s="317">
        <f t="array" ref="L2432">(XLOOKUP(D2432,Roster!F:F,Roster!D:D,"",0))</f>
        <v>36</v>
      </c>
      <c r="M2432" s="317" t="str">
        <f t="array" ref="M2432">XLOOKUP(D2432,Roster!F:F,Roster!E:E)</f>
        <v>Voice</v>
      </c>
      <c r="N2432" s="317" t="str">
        <f t="shared" ref="N2432:P2432" si="2466">LEFT(H2432,5)</f>
        <v>11:00</v>
      </c>
      <c r="O2432" s="317" t="str">
        <f t="shared" si="2466"/>
        <v>13:45</v>
      </c>
      <c r="P2432" s="317" t="str">
        <f t="shared" si="2466"/>
        <v>16:00</v>
      </c>
      <c r="Q2432" s="318">
        <f t="shared" si="2365"/>
        <v>46133.45833</v>
      </c>
      <c r="R2432" s="318">
        <f t="shared" si="2366"/>
        <v>46133.57292</v>
      </c>
      <c r="S2432" s="318">
        <f t="shared" si="8"/>
        <v>46133.66667</v>
      </c>
    </row>
    <row r="2433">
      <c r="A2433" s="14" t="str">
        <f t="shared" si="1"/>
        <v>C154246133</v>
      </c>
      <c r="B2433" s="185">
        <f t="array" ref="B2433">IF(F2433="VL","",IF(F2433="Free","Free",XLOOKUP(D2433,Roster!T:T,Roster!S:S,"",0)))</f>
        <v>124</v>
      </c>
      <c r="C2433" s="313">
        <v>46133.0</v>
      </c>
      <c r="D2433" s="314" t="s">
        <v>41</v>
      </c>
      <c r="E2433" s="307" t="str">
        <f t="array" ref="E2433">(XLOOKUP(D2433,Roster!F:F,Roster!B:B,"",0))</f>
        <v>Johny Garcia</v>
      </c>
      <c r="F2433" s="315" t="str">
        <f t="array" ref="F2433">IF(B2433=100,"Free",TEXT(XLOOKUP($D2433,OperationVoice!$A:$A,OperationVoice!AA:AA,XLOOKUP($D2433,OperationTickets!$A:$A,OperationTickets!AA:AA,"",0)),"hh:mm"))</f>
        <v>08:00</v>
      </c>
      <c r="G2433" s="309">
        <f t="shared" si="3"/>
        <v>0.7083333333</v>
      </c>
      <c r="H2433" s="316" t="str">
        <f t="array" ref="H2433">XLOOKUP(B2433,Roster!L:L,Roster!N:N,XLOOKUP(D2433,TicketsBreak!A:A,TicketsBreak!E:E,"",0),0)</f>
        <v>10:00 - 10:15</v>
      </c>
      <c r="I2433" s="316" t="str">
        <f t="array" ref="I2433">XLOOKUP(B2433,Roster!L:L,Roster!O:O,XLOOKUP(D2433,TicketsBreak!A:A,TicketsBreak!F:F,"",0),0)</f>
        <v>13:00 - 13:30</v>
      </c>
      <c r="J2433" s="316" t="str">
        <f t="array" ref="J2433">XLOOKUP(B2433,Roster!L:L,Roster!P:P,XLOOKUP(D2433,TicketsBreak!A:A,TicketsBreak!G:G,"",0),0)</f>
        <v>15:30 - 15:45</v>
      </c>
      <c r="K2433" s="310">
        <f t="shared" si="4"/>
        <v>46133</v>
      </c>
      <c r="L2433" s="317">
        <f t="array" ref="L2433">(XLOOKUP(D2433,Roster!F:F,Roster!D:D,"",0))</f>
        <v>36</v>
      </c>
      <c r="M2433" s="317" t="str">
        <f t="array" ref="M2433">XLOOKUP(D2433,Roster!F:F,Roster!E:E)</f>
        <v>Voice</v>
      </c>
      <c r="N2433" s="317" t="str">
        <f t="shared" ref="N2433:P2433" si="2467">LEFT(H2433,5)</f>
        <v>10:00</v>
      </c>
      <c r="O2433" s="317" t="str">
        <f t="shared" si="2467"/>
        <v>13:00</v>
      </c>
      <c r="P2433" s="317" t="str">
        <f t="shared" si="2467"/>
        <v>15:30</v>
      </c>
      <c r="Q2433" s="318">
        <f t="shared" si="2365"/>
        <v>46133.41667</v>
      </c>
      <c r="R2433" s="318">
        <f t="shared" si="2366"/>
        <v>46133.54167</v>
      </c>
      <c r="S2433" s="318">
        <f t="shared" si="8"/>
        <v>46133.64583</v>
      </c>
    </row>
    <row r="2434">
      <c r="A2434" s="14" t="str">
        <f t="shared" si="1"/>
        <v>C156946133</v>
      </c>
      <c r="B2434" s="185">
        <f t="array" ref="B2434">IF(F2434="VL","",IF(F2434="Free","Free",XLOOKUP(D2434,Roster!T:T,Roster!S:S,"",0)))</f>
        <v>121</v>
      </c>
      <c r="C2434" s="313">
        <v>46133.0</v>
      </c>
      <c r="D2434" s="314" t="s">
        <v>42</v>
      </c>
      <c r="E2434" s="307" t="str">
        <f t="array" ref="E2434">(XLOOKUP(D2434,Roster!F:F,Roster!B:B,"",0))</f>
        <v>Jorge Orozco</v>
      </c>
      <c r="F2434" s="315" t="str">
        <f t="array" ref="F2434">IF(B2434=100,"Free",TEXT(XLOOKUP($D2434,OperationVoice!$A:$A,OperationVoice!AA:AA,XLOOKUP($D2434,OperationTickets!$A:$A,OperationTickets!AA:AA,"",0)),"hh:mm"))</f>
        <v>08:00</v>
      </c>
      <c r="G2434" s="309">
        <f t="shared" si="3"/>
        <v>0.7083333333</v>
      </c>
      <c r="H2434" s="316" t="str">
        <f t="array" ref="H2434">XLOOKUP(B2434,Roster!L:L,Roster!N:N,XLOOKUP(D2434,TicketsBreak!A:A,TicketsBreak!E:E,"",0),0)</f>
        <v>09:15 - 09:30</v>
      </c>
      <c r="I2434" s="316" t="str">
        <f t="array" ref="I2434">XLOOKUP(B2434,Roster!L:L,Roster!O:O,XLOOKUP(D2434,TicketsBreak!A:A,TicketsBreak!F:F,"",0),0)</f>
        <v>11:30 - 12:00</v>
      </c>
      <c r="J2434" s="316" t="str">
        <f t="array" ref="J2434">XLOOKUP(B2434,Roster!L:L,Roster!P:P,XLOOKUP(D2434,TicketsBreak!A:A,TicketsBreak!G:G,"",0),0)</f>
        <v>14:30 - 14:45</v>
      </c>
      <c r="K2434" s="310">
        <f t="shared" si="4"/>
        <v>46133</v>
      </c>
      <c r="L2434" s="317">
        <f t="array" ref="L2434">(XLOOKUP(D2434,Roster!F:F,Roster!D:D,"",0))</f>
        <v>38</v>
      </c>
      <c r="M2434" s="317" t="str">
        <f t="array" ref="M2434">XLOOKUP(D2434,Roster!F:F,Roster!E:E)</f>
        <v>Voice</v>
      </c>
      <c r="N2434" s="317" t="str">
        <f t="shared" ref="N2434:P2434" si="2468">LEFT(H2434,5)</f>
        <v>09:15</v>
      </c>
      <c r="O2434" s="317" t="str">
        <f t="shared" si="2468"/>
        <v>11:30</v>
      </c>
      <c r="P2434" s="317" t="str">
        <f t="shared" si="2468"/>
        <v>14:30</v>
      </c>
      <c r="Q2434" s="318">
        <f t="shared" si="2365"/>
        <v>46133.38542</v>
      </c>
      <c r="R2434" s="318">
        <f t="shared" si="2366"/>
        <v>46133.47917</v>
      </c>
      <c r="S2434" s="318">
        <f t="shared" si="8"/>
        <v>46133.60417</v>
      </c>
    </row>
    <row r="2435">
      <c r="A2435" s="14" t="str">
        <f t="shared" si="1"/>
        <v>C102746133</v>
      </c>
      <c r="B2435" s="185" t="str">
        <f t="array" ref="B2435">IF(F2435="VL","",IF(F2435="Free","Free",XLOOKUP(D2435,Roster!T:T,Roster!S:S,"",0)))</f>
        <v/>
      </c>
      <c r="C2435" s="313">
        <v>46133.0</v>
      </c>
      <c r="D2435" s="314" t="s">
        <v>160</v>
      </c>
      <c r="E2435" s="307" t="str">
        <f t="array" ref="E2435">(XLOOKUP(D2435,Roster!F:F,Roster!B:B,"",0))</f>
        <v>Jose Perez</v>
      </c>
      <c r="F2435" s="315" t="str">
        <f t="array" ref="F2435">IF(B2435=100,"Free",TEXT(XLOOKUP($D2435,OperationVoice!$A:$A,OperationVoice!AA:AA,XLOOKUP($D2435,OperationTickets!$A:$A,OperationTickets!AA:AA,"",0)),"hh:mm"))</f>
        <v>06:00</v>
      </c>
      <c r="G2435" s="309">
        <f t="shared" si="3"/>
        <v>0.625</v>
      </c>
      <c r="H2435" s="316">
        <f t="array" ref="H2435">XLOOKUP(B2435,Roster!L:L,Roster!N:N,XLOOKUP(D2435,TicketsBreak!A:A,TicketsBreak!E:E,"",0),0)</f>
        <v>0.4166666667</v>
      </c>
      <c r="I2435" s="316">
        <f t="array" ref="I2435">XLOOKUP(B2435,Roster!L:L,Roster!O:O,XLOOKUP(D2435,TicketsBreak!A:A,TicketsBreak!F:F,"",0),0)</f>
        <v>0.5208333333</v>
      </c>
      <c r="J2435" s="316">
        <f t="array" ref="J2435">XLOOKUP(B2435,Roster!L:L,Roster!P:P,XLOOKUP(D2435,TicketsBreak!A:A,TicketsBreak!G:G,"",0),0)</f>
        <v>0.6354166667</v>
      </c>
      <c r="K2435" s="310">
        <f t="shared" si="4"/>
        <v>46133</v>
      </c>
      <c r="L2435" s="317">
        <f t="array" ref="L2435">(XLOOKUP(D2435,Roster!F:F,Roster!D:D,"",0))</f>
        <v>15</v>
      </c>
      <c r="M2435" s="317" t="str">
        <f t="array" ref="M2435">XLOOKUP(D2435,Roster!F:F,Roster!E:E)</f>
        <v>Tickets</v>
      </c>
      <c r="N2435" s="317" t="str">
        <f t="shared" ref="N2435:P2435" si="2469">LEFT(H2435,5)</f>
        <v>10:00</v>
      </c>
      <c r="O2435" s="317" t="str">
        <f t="shared" si="2469"/>
        <v>12:30</v>
      </c>
      <c r="P2435" s="317" t="str">
        <f t="shared" si="2469"/>
        <v>15:15</v>
      </c>
      <c r="Q2435" s="318">
        <f t="shared" si="2365"/>
        <v>46133.41667</v>
      </c>
      <c r="R2435" s="318">
        <f t="shared" si="2366"/>
        <v>46133.52083</v>
      </c>
      <c r="S2435" s="318">
        <f t="shared" si="8"/>
        <v>46133.63542</v>
      </c>
    </row>
    <row r="2436">
      <c r="A2436" s="14" t="str">
        <f t="shared" si="1"/>
        <v>C142646133</v>
      </c>
      <c r="B2436" s="185">
        <f t="array" ref="B2436">IF(F2436="VL","",IF(F2436="Free","Free",XLOOKUP(D2436,Roster!T:T,Roster!S:S,"",0)))</f>
        <v>123</v>
      </c>
      <c r="C2436" s="313">
        <v>46133.0</v>
      </c>
      <c r="D2436" s="314" t="s">
        <v>161</v>
      </c>
      <c r="E2436" s="307" t="str">
        <f t="array" ref="E2436">(XLOOKUP(D2436,Roster!F:F,Roster!B:B,"",0))</f>
        <v>Jose Zapata</v>
      </c>
      <c r="F2436" s="315" t="str">
        <f t="array" ref="F2436">IF(B2436=100,"Free",TEXT(XLOOKUP($D2436,OperationVoice!$A:$A,OperationVoice!AA:AA,XLOOKUP($D2436,OperationTickets!$A:$A,OperationTickets!AA:AA,"",0)),"hh:mm"))</f>
        <v>08:00</v>
      </c>
      <c r="G2436" s="309">
        <f t="shared" si="3"/>
        <v>0.7083333333</v>
      </c>
      <c r="H2436" s="316" t="str">
        <f t="array" ref="H2436">XLOOKUP(B2436,Roster!L:L,Roster!N:N,XLOOKUP(D2436,TicketsBreak!A:A,TicketsBreak!E:E,"",0),0)</f>
        <v>09:45 - 10:00 </v>
      </c>
      <c r="I2436" s="316" t="str">
        <f t="array" ref="I2436">XLOOKUP(B2436,Roster!L:L,Roster!O:O,XLOOKUP(D2436,TicketsBreak!A:A,TicketsBreak!F:F,"",0),0)</f>
        <v>12:30 - 13:00</v>
      </c>
      <c r="J2436" s="316" t="str">
        <f t="array" ref="J2436">XLOOKUP(B2436,Roster!L:L,Roster!P:P,XLOOKUP(D2436,TicketsBreak!A:A,TicketsBreak!G:G,"",0),0)</f>
        <v>15:00 - 15:15</v>
      </c>
      <c r="K2436" s="310">
        <f t="shared" si="4"/>
        <v>46133</v>
      </c>
      <c r="L2436" s="317">
        <f t="array" ref="L2436">(XLOOKUP(D2436,Roster!F:F,Roster!D:D,"",0))</f>
        <v>32</v>
      </c>
      <c r="M2436" s="317" t="str">
        <f t="array" ref="M2436">XLOOKUP(D2436,Roster!F:F,Roster!E:E)</f>
        <v>Tickets</v>
      </c>
      <c r="N2436" s="317" t="str">
        <f t="shared" ref="N2436:P2436" si="2470">LEFT(H2436,5)</f>
        <v>09:45</v>
      </c>
      <c r="O2436" s="317" t="str">
        <f t="shared" si="2470"/>
        <v>12:30</v>
      </c>
      <c r="P2436" s="317" t="str">
        <f t="shared" si="2470"/>
        <v>15:00</v>
      </c>
      <c r="Q2436" s="318">
        <f t="shared" si="2365"/>
        <v>46133.40625</v>
      </c>
      <c r="R2436" s="318">
        <f t="shared" si="2366"/>
        <v>46133.52083</v>
      </c>
      <c r="S2436" s="318">
        <f t="shared" si="8"/>
        <v>46133.625</v>
      </c>
    </row>
    <row r="2437">
      <c r="A2437" s="14" t="str">
        <f t="shared" si="1"/>
        <v>C153346133</v>
      </c>
      <c r="B2437" s="185">
        <f t="array" ref="B2437">IF(F2437="VL","",IF(F2437="Free","Free",XLOOKUP(D2437,Roster!T:T,Roster!S:S,"",0)))</f>
        <v>125</v>
      </c>
      <c r="C2437" s="313">
        <v>46133.0</v>
      </c>
      <c r="D2437" s="314" t="s">
        <v>43</v>
      </c>
      <c r="E2437" s="307" t="str">
        <f t="array" ref="E2437">(XLOOKUP(D2437,Roster!F:F,Roster!B:B,"",0))</f>
        <v>Juan Barrera</v>
      </c>
      <c r="F2437" s="315" t="str">
        <f t="array" ref="F2437">IF(B2437=100,"Free",TEXT(XLOOKUP($D2437,OperationVoice!$A:$A,OperationVoice!AA:AA,XLOOKUP($D2437,OperationTickets!$A:$A,OperationTickets!AA:AA,"",0)),"hh:mm"))</f>
        <v>08:00</v>
      </c>
      <c r="G2437" s="309">
        <f t="shared" si="3"/>
        <v>0.7083333333</v>
      </c>
      <c r="H2437" s="316" t="str">
        <f t="array" ref="H2437">XLOOKUP(B2437,Roster!L:L,Roster!N:N,XLOOKUP(D2437,TicketsBreak!A:A,TicketsBreak!E:E,"",0),0)</f>
        <v>10:30 - 10:45</v>
      </c>
      <c r="I2437" s="316" t="str">
        <f t="array" ref="I2437">XLOOKUP(B2437,Roster!L:L,Roster!O:O,XLOOKUP(D2437,TicketsBreak!A:A,TicketsBreak!F:F,"",0),0)</f>
        <v>13:30 - 14:00</v>
      </c>
      <c r="J2437" s="316" t="str">
        <f t="array" ref="J2437">XLOOKUP(B2437,Roster!L:L,Roster!P:P,XLOOKUP(D2437,TicketsBreak!A:A,TicketsBreak!G:G,"",0),0)</f>
        <v>15:45 - 16:00</v>
      </c>
      <c r="K2437" s="310">
        <f t="shared" si="4"/>
        <v>46133</v>
      </c>
      <c r="L2437" s="317">
        <f t="array" ref="L2437">(XLOOKUP(D2437,Roster!F:F,Roster!D:D,"",0))</f>
        <v>36</v>
      </c>
      <c r="M2437" s="317" t="str">
        <f t="array" ref="M2437">XLOOKUP(D2437,Roster!F:F,Roster!E:E)</f>
        <v>Voice</v>
      </c>
      <c r="N2437" s="317" t="str">
        <f t="shared" ref="N2437:P2437" si="2471">LEFT(H2437,5)</f>
        <v>10:30</v>
      </c>
      <c r="O2437" s="317" t="str">
        <f t="shared" si="2471"/>
        <v>13:30</v>
      </c>
      <c r="P2437" s="317" t="str">
        <f t="shared" si="2471"/>
        <v>15:45</v>
      </c>
      <c r="Q2437" s="318">
        <f t="shared" si="2365"/>
        <v>46133.4375</v>
      </c>
      <c r="R2437" s="318">
        <f t="shared" si="2366"/>
        <v>46133.5625</v>
      </c>
      <c r="S2437" s="318">
        <f t="shared" si="8"/>
        <v>46133.65625</v>
      </c>
    </row>
    <row r="2438">
      <c r="A2438" s="14" t="str">
        <f t="shared" si="1"/>
        <v>C146546133</v>
      </c>
      <c r="B2438" s="185">
        <f t="array" ref="B2438">IF(F2438="VL","",IF(F2438="Free","Free",XLOOKUP(D2438,Roster!T:T,Roster!S:S,"",0)))</f>
        <v>500</v>
      </c>
      <c r="C2438" s="313">
        <v>46133.0</v>
      </c>
      <c r="D2438" s="314" t="s">
        <v>44</v>
      </c>
      <c r="E2438" s="307" t="str">
        <f t="array" ref="E2438">(XLOOKUP(D2438,Roster!F:F,Roster!B:B,"",0))</f>
        <v>Juan Castilla</v>
      </c>
      <c r="F2438" s="315" t="str">
        <f t="array" ref="F2438">IF(B2438=100,"Free",TEXT(XLOOKUP($D2438,OperationVoice!$A:$A,OperationVoice!AA:AA,XLOOKUP($D2438,OperationTickets!$A:$A,OperationTickets!AA:AA,"",0)),"hh:mm"))</f>
        <v>08:00</v>
      </c>
      <c r="G2438" s="309">
        <f t="shared" si="3"/>
        <v>0.7083333333</v>
      </c>
      <c r="H2438" s="316" t="str">
        <f t="array" ref="H2438">XLOOKUP(B2438,Roster!L:L,Roster!N:N,XLOOKUP(D2438,TicketsBreak!A:A,TicketsBreak!E:E,"",0),0)</f>
        <v>Team Leader</v>
      </c>
      <c r="I2438" s="316" t="str">
        <f t="array" ref="I2438">XLOOKUP(B2438,Roster!L:L,Roster!O:O,XLOOKUP(D2438,TicketsBreak!A:A,TicketsBreak!F:F,"",0),0)</f>
        <v>Team Leader</v>
      </c>
      <c r="J2438" s="316" t="str">
        <f t="array" ref="J2438">XLOOKUP(B2438,Roster!L:L,Roster!P:P,XLOOKUP(D2438,TicketsBreak!A:A,TicketsBreak!G:G,"",0),0)</f>
        <v/>
      </c>
      <c r="K2438" s="310">
        <f t="shared" si="4"/>
        <v>46133</v>
      </c>
      <c r="L2438" s="317">
        <f t="array" ref="L2438">(XLOOKUP(D2438,Roster!F:F,Roster!D:D,"",0))</f>
        <v>33</v>
      </c>
      <c r="M2438" s="317" t="str">
        <f t="array" ref="M2438">XLOOKUP(D2438,Roster!F:F,Roster!E:E)</f>
        <v>Voice</v>
      </c>
      <c r="N2438" s="317" t="str">
        <f t="shared" ref="N2438:P2438" si="2472">LEFT(H2438,5)</f>
        <v>Team </v>
      </c>
      <c r="O2438" s="317" t="str">
        <f t="shared" si="2472"/>
        <v>Team </v>
      </c>
      <c r="P2438" s="317" t="str">
        <f t="shared" si="2472"/>
        <v/>
      </c>
      <c r="Q2438" s="318" t="str">
        <f t="shared" si="2365"/>
        <v>#VALUE!</v>
      </c>
      <c r="R2438" s="318" t="str">
        <f t="shared" si="2366"/>
        <v>#VALUE!</v>
      </c>
      <c r="S2438" s="318" t="str">
        <f t="shared" si="8"/>
        <v/>
      </c>
    </row>
    <row r="2439">
      <c r="A2439" s="14" t="str">
        <f t="shared" si="1"/>
        <v>C72046133</v>
      </c>
      <c r="B2439" s="185" t="str">
        <f t="array" ref="B2439">IF(F2439="VL","",IF(F2439="Free","Free",XLOOKUP(D2439,Roster!T:T,Roster!S:S,"",0)))</f>
        <v/>
      </c>
      <c r="C2439" s="313">
        <v>46133.0</v>
      </c>
      <c r="D2439" s="314" t="s">
        <v>162</v>
      </c>
      <c r="E2439" s="307" t="str">
        <f t="array" ref="E2439">(XLOOKUP(D2439,Roster!F:F,Roster!B:B,"",0))</f>
        <v>Juan Durango</v>
      </c>
      <c r="F2439" s="315" t="str">
        <f t="array" ref="F2439">IF(B2439=100,"Free",TEXT(XLOOKUP($D2439,OperationVoice!$A:$A,OperationVoice!AA:AA,XLOOKUP($D2439,OperationTickets!$A:$A,OperationTickets!AA:AA,"",0)),"hh:mm"))</f>
        <v>08:00</v>
      </c>
      <c r="G2439" s="309">
        <f t="shared" si="3"/>
        <v>0.7083333333</v>
      </c>
      <c r="H2439" s="316">
        <f t="array" ref="H2439">XLOOKUP(B2439,Roster!L:L,Roster!N:N,XLOOKUP(D2439,TicketsBreak!A:A,TicketsBreak!E:E,"",0),0)</f>
        <v>0.40625</v>
      </c>
      <c r="I2439" s="316">
        <f t="array" ref="I2439">XLOOKUP(B2439,Roster!L:L,Roster!O:O,XLOOKUP(D2439,TicketsBreak!A:A,TicketsBreak!F:F,"",0),0)</f>
        <v>0.5729166667</v>
      </c>
      <c r="J2439" s="316">
        <f t="array" ref="J2439">XLOOKUP(B2439,Roster!L:L,Roster!P:P,XLOOKUP(D2439,TicketsBreak!A:A,TicketsBreak!G:G,"",0),0)</f>
        <v>0.65625</v>
      </c>
      <c r="K2439" s="310">
        <f t="shared" si="4"/>
        <v>46133</v>
      </c>
      <c r="L2439" s="317">
        <f t="array" ref="L2439">(XLOOKUP(D2439,Roster!F:F,Roster!D:D,"",0))</f>
        <v>7</v>
      </c>
      <c r="M2439" s="317" t="str">
        <f t="array" ref="M2439">XLOOKUP(D2439,Roster!F:F,Roster!E:E)</f>
        <v>Tickets</v>
      </c>
      <c r="N2439" s="317" t="str">
        <f t="shared" ref="N2439:P2439" si="2473">LEFT(H2439,5)</f>
        <v>09:45</v>
      </c>
      <c r="O2439" s="317" t="str">
        <f t="shared" si="2473"/>
        <v>13:45</v>
      </c>
      <c r="P2439" s="317" t="str">
        <f t="shared" si="2473"/>
        <v>15:45</v>
      </c>
      <c r="Q2439" s="318">
        <f t="shared" si="2365"/>
        <v>46133.40625</v>
      </c>
      <c r="R2439" s="318">
        <f t="shared" si="2366"/>
        <v>46133.57292</v>
      </c>
      <c r="S2439" s="318">
        <f t="shared" si="8"/>
        <v>46133.65625</v>
      </c>
    </row>
    <row r="2440">
      <c r="A2440" s="14" t="str">
        <f t="shared" si="1"/>
        <v>C59846133</v>
      </c>
      <c r="B2440" s="185" t="str">
        <f t="array" ref="B2440">IF(F2440="VL","",IF(F2440="Free","Free",XLOOKUP(D2440,Roster!T:T,Roster!S:S,"",0)))</f>
        <v/>
      </c>
      <c r="C2440" s="313">
        <v>46133.0</v>
      </c>
      <c r="D2440" s="314" t="s">
        <v>314</v>
      </c>
      <c r="E2440" s="307" t="str">
        <f t="array" ref="E2440">(XLOOKUP(D2440,Roster!F:F,Roster!B:B,"",0))</f>
        <v>Juan Fonnegra</v>
      </c>
      <c r="F2440" s="315" t="str">
        <f t="array" ref="F2440">IF(B2440=100,"Free",TEXT(XLOOKUP($D2440,OperationVoice!$A:$A,OperationVoice!AA:AA,XLOOKUP($D2440,OperationTickets!$A:$A,OperationTickets!AA:AA,"",0)),"hh:mm"))</f>
        <v/>
      </c>
      <c r="G2440" s="309" t="str">
        <f t="shared" si="3"/>
        <v/>
      </c>
      <c r="H2440" s="316">
        <f t="array" ref="H2440">XLOOKUP(B2440,Roster!L:L,Roster!N:N,XLOOKUP(D2440,TicketsBreak!A:A,TicketsBreak!E:E,"",0),0)</f>
        <v>0.4166666667</v>
      </c>
      <c r="I2440" s="316">
        <f t="array" ref="I2440">XLOOKUP(B2440,Roster!L:L,Roster!O:O,XLOOKUP(D2440,TicketsBreak!A:A,TicketsBreak!F:F,"",0),0)</f>
        <v>0.5208333333</v>
      </c>
      <c r="J2440" s="316">
        <f t="array" ref="J2440">XLOOKUP(B2440,Roster!L:L,Roster!P:P,XLOOKUP(D2440,TicketsBreak!A:A,TicketsBreak!G:G,"",0),0)</f>
        <v>0.65625</v>
      </c>
      <c r="K2440" s="310">
        <f t="shared" si="4"/>
        <v>46133</v>
      </c>
      <c r="L2440" s="317">
        <f t="array" ref="L2440">(XLOOKUP(D2440,Roster!F:F,Roster!D:D,"",0))</f>
        <v>1</v>
      </c>
      <c r="M2440" s="317" t="str">
        <f t="array" ref="M2440">XLOOKUP(D2440,Roster!F:F,Roster!E:E)</f>
        <v>Tickets</v>
      </c>
      <c r="N2440" s="317" t="str">
        <f t="shared" ref="N2440:P2440" si="2474">LEFT(H2440,5)</f>
        <v>10:00</v>
      </c>
      <c r="O2440" s="317" t="str">
        <f t="shared" si="2474"/>
        <v>12:30</v>
      </c>
      <c r="P2440" s="317" t="str">
        <f t="shared" si="2474"/>
        <v>15:45</v>
      </c>
      <c r="Q2440" s="318">
        <f t="shared" si="2365"/>
        <v>46133.41667</v>
      </c>
      <c r="R2440" s="318">
        <f t="shared" si="2366"/>
        <v>46133.52083</v>
      </c>
      <c r="S2440" s="318">
        <f t="shared" si="8"/>
        <v>46133.65625</v>
      </c>
    </row>
    <row r="2441">
      <c r="A2441" s="14" t="str">
        <f t="shared" si="1"/>
        <v>C113946133</v>
      </c>
      <c r="B2441" s="185">
        <f t="array" ref="B2441">IF(F2441="VL","",IF(F2441="Free","Free",XLOOKUP(D2441,Roster!T:T,Roster!S:S,"",0)))</f>
        <v>125</v>
      </c>
      <c r="C2441" s="313">
        <v>46133.0</v>
      </c>
      <c r="D2441" s="314" t="s">
        <v>45</v>
      </c>
      <c r="E2441" s="307" t="str">
        <f t="array" ref="E2441">(XLOOKUP(D2441,Roster!F:F,Roster!B:B,"",0))</f>
        <v>Juan Largacha</v>
      </c>
      <c r="F2441" s="315" t="str">
        <f t="array" ref="F2441">IF(B2441=100,"Free",TEXT(XLOOKUP($D2441,OperationVoice!$A:$A,OperationVoice!AA:AA,XLOOKUP($D2441,OperationTickets!$A:$A,OperationTickets!AA:AA,"",0)),"hh:mm"))</f>
        <v>08:00</v>
      </c>
      <c r="G2441" s="309">
        <f t="shared" si="3"/>
        <v>0.7083333333</v>
      </c>
      <c r="H2441" s="316" t="str">
        <f t="array" ref="H2441">XLOOKUP(B2441,Roster!L:L,Roster!N:N,XLOOKUP(D2441,TicketsBreak!A:A,TicketsBreak!E:E,"",0),0)</f>
        <v>10:30 - 10:45</v>
      </c>
      <c r="I2441" s="316" t="str">
        <f t="array" ref="I2441">XLOOKUP(B2441,Roster!L:L,Roster!O:O,XLOOKUP(D2441,TicketsBreak!A:A,TicketsBreak!F:F,"",0),0)</f>
        <v>13:30 - 14:00</v>
      </c>
      <c r="J2441" s="316" t="str">
        <f t="array" ref="J2441">XLOOKUP(B2441,Roster!L:L,Roster!P:P,XLOOKUP(D2441,TicketsBreak!A:A,TicketsBreak!G:G,"",0),0)</f>
        <v>15:45 - 16:00</v>
      </c>
      <c r="K2441" s="310">
        <f t="shared" si="4"/>
        <v>46133</v>
      </c>
      <c r="L2441" s="317">
        <f t="array" ref="L2441">(XLOOKUP(D2441,Roster!F:F,Roster!D:D,"",0))</f>
        <v>22</v>
      </c>
      <c r="M2441" s="317" t="str">
        <f t="array" ref="M2441">XLOOKUP(D2441,Roster!F:F,Roster!E:E)</f>
        <v>Voice</v>
      </c>
      <c r="N2441" s="317" t="str">
        <f t="shared" ref="N2441:P2441" si="2475">LEFT(H2441,5)</f>
        <v>10:30</v>
      </c>
      <c r="O2441" s="317" t="str">
        <f t="shared" si="2475"/>
        <v>13:30</v>
      </c>
      <c r="P2441" s="317" t="str">
        <f t="shared" si="2475"/>
        <v>15:45</v>
      </c>
      <c r="Q2441" s="318">
        <f t="shared" si="2365"/>
        <v>46133.4375</v>
      </c>
      <c r="R2441" s="318">
        <f t="shared" si="2366"/>
        <v>46133.5625</v>
      </c>
      <c r="S2441" s="318">
        <f t="shared" si="8"/>
        <v>46133.65625</v>
      </c>
    </row>
    <row r="2442">
      <c r="A2442" s="14" t="str">
        <f t="shared" si="1"/>
        <v>C156646133</v>
      </c>
      <c r="B2442" s="185">
        <f t="array" ref="B2442">IF(F2442="VL","",IF(F2442="Free","Free",XLOOKUP(D2442,Roster!T:T,Roster!S:S,"",0)))</f>
        <v>124</v>
      </c>
      <c r="C2442" s="313">
        <v>46133.0</v>
      </c>
      <c r="D2442" s="314" t="s">
        <v>46</v>
      </c>
      <c r="E2442" s="307" t="str">
        <f t="array" ref="E2442">(XLOOKUP(D2442,Roster!F:F,Roster!B:B,"",0))</f>
        <v>Juan Ocampo</v>
      </c>
      <c r="F2442" s="315" t="str">
        <f t="array" ref="F2442">IF(B2442=100,"Free",TEXT(XLOOKUP($D2442,OperationVoice!$A:$A,OperationVoice!AA:AA,XLOOKUP($D2442,OperationTickets!$A:$A,OperationTickets!AA:AA,"",0)),"hh:mm"))</f>
        <v>08:00</v>
      </c>
      <c r="G2442" s="309">
        <f t="shared" si="3"/>
        <v>0.7083333333</v>
      </c>
      <c r="H2442" s="316" t="str">
        <f t="array" ref="H2442">XLOOKUP(B2442,Roster!L:L,Roster!N:N,XLOOKUP(D2442,TicketsBreak!A:A,TicketsBreak!E:E,"",0),0)</f>
        <v>10:00 - 10:15</v>
      </c>
      <c r="I2442" s="316" t="str">
        <f t="array" ref="I2442">XLOOKUP(B2442,Roster!L:L,Roster!O:O,XLOOKUP(D2442,TicketsBreak!A:A,TicketsBreak!F:F,"",0),0)</f>
        <v>13:00 - 13:30</v>
      </c>
      <c r="J2442" s="316" t="str">
        <f t="array" ref="J2442">XLOOKUP(B2442,Roster!L:L,Roster!P:P,XLOOKUP(D2442,TicketsBreak!A:A,TicketsBreak!G:G,"",0),0)</f>
        <v>15:30 - 15:45</v>
      </c>
      <c r="K2442" s="310">
        <f t="shared" si="4"/>
        <v>46133</v>
      </c>
      <c r="L2442" s="317">
        <f t="array" ref="L2442">(XLOOKUP(D2442,Roster!F:F,Roster!D:D,"",0))</f>
        <v>38</v>
      </c>
      <c r="M2442" s="317" t="str">
        <f t="array" ref="M2442">XLOOKUP(D2442,Roster!F:F,Roster!E:E)</f>
        <v>Voice</v>
      </c>
      <c r="N2442" s="317" t="str">
        <f t="shared" ref="N2442:P2442" si="2476">LEFT(H2442,5)</f>
        <v>10:00</v>
      </c>
      <c r="O2442" s="317" t="str">
        <f t="shared" si="2476"/>
        <v>13:00</v>
      </c>
      <c r="P2442" s="317" t="str">
        <f t="shared" si="2476"/>
        <v>15:30</v>
      </c>
      <c r="Q2442" s="318">
        <f t="shared" si="2365"/>
        <v>46133.41667</v>
      </c>
      <c r="R2442" s="318">
        <f t="shared" si="2366"/>
        <v>46133.54167</v>
      </c>
      <c r="S2442" s="318">
        <f t="shared" si="8"/>
        <v>46133.64583</v>
      </c>
    </row>
    <row r="2443">
      <c r="A2443" s="14" t="str">
        <f t="shared" si="1"/>
        <v>C148446133</v>
      </c>
      <c r="B2443" s="185">
        <f t="array" ref="B2443">IF(F2443="VL","",IF(F2443="Free","Free",XLOOKUP(D2443,Roster!T:T,Roster!S:S,"",0)))</f>
        <v>126</v>
      </c>
      <c r="C2443" s="313">
        <v>46133.0</v>
      </c>
      <c r="D2443" s="314" t="s">
        <v>141</v>
      </c>
      <c r="E2443" s="307" t="str">
        <f t="array" ref="E2443">(XLOOKUP(D2443,Roster!F:F,Roster!B:B,"",0))</f>
        <v>Juan Ospina</v>
      </c>
      <c r="F2443" s="315" t="str">
        <f t="array" ref="F2443">IF(B2443=100,"Free",TEXT(XLOOKUP($D2443,OperationVoice!$A:$A,OperationVoice!AA:AA,XLOOKUP($D2443,OperationTickets!$A:$A,OperationTickets!AA:AA,"",0)),"hh:mm"))</f>
        <v>08:00</v>
      </c>
      <c r="G2443" s="309">
        <f t="shared" si="3"/>
        <v>0.7083333333</v>
      </c>
      <c r="H2443" s="316" t="str">
        <f t="array" ref="H2443">XLOOKUP(B2443,Roster!L:L,Roster!N:N,XLOOKUP(D2443,TicketsBreak!A:A,TicketsBreak!E:E,"",0),0)</f>
        <v>10:45 - 11:00</v>
      </c>
      <c r="I2443" s="316" t="str">
        <f t="array" ref="I2443">XLOOKUP(B2443,Roster!L:L,Roster!O:O,XLOOKUP(D2443,TicketsBreak!A:A,TicketsBreak!F:F,"",0),0)</f>
        <v>14:00 - 14:30</v>
      </c>
      <c r="J2443" s="316" t="str">
        <f t="array" ref="J2443">XLOOKUP(B2443,Roster!L:L,Roster!P:P,XLOOKUP(D2443,TicketsBreak!A:A,TicketsBreak!G:G,"",0),0)</f>
        <v>15:45 - 16:00</v>
      </c>
      <c r="K2443" s="310">
        <f t="shared" si="4"/>
        <v>46133</v>
      </c>
      <c r="L2443" s="317">
        <f t="array" ref="L2443">(XLOOKUP(D2443,Roster!F:F,Roster!D:D,"",0))</f>
        <v>34</v>
      </c>
      <c r="M2443" s="317" t="str">
        <f t="array" ref="M2443">XLOOKUP(D2443,Roster!F:F,Roster!E:E)</f>
        <v>Tickets</v>
      </c>
      <c r="N2443" s="317" t="str">
        <f t="shared" ref="N2443:P2443" si="2477">LEFT(H2443,5)</f>
        <v>10:45</v>
      </c>
      <c r="O2443" s="317" t="str">
        <f t="shared" si="2477"/>
        <v>14:00</v>
      </c>
      <c r="P2443" s="317" t="str">
        <f t="shared" si="2477"/>
        <v>15:45</v>
      </c>
      <c r="Q2443" s="318">
        <f t="shared" si="2365"/>
        <v>46133.44792</v>
      </c>
      <c r="R2443" s="318">
        <f t="shared" si="2366"/>
        <v>46133.58333</v>
      </c>
      <c r="S2443" s="318">
        <f t="shared" si="8"/>
        <v>46133.65625</v>
      </c>
    </row>
    <row r="2444">
      <c r="A2444" s="14" t="str">
        <f t="shared" si="1"/>
        <v>C141346133</v>
      </c>
      <c r="B2444" s="185">
        <f t="array" ref="B2444">IF(F2444="VL","",IF(F2444="Free","Free",XLOOKUP(D2444,Roster!T:T,Roster!S:S,"",0)))</f>
        <v>121</v>
      </c>
      <c r="C2444" s="313">
        <v>46133.0</v>
      </c>
      <c r="D2444" s="314" t="s">
        <v>47</v>
      </c>
      <c r="E2444" s="307" t="str">
        <f t="array" ref="E2444">(XLOOKUP(D2444,Roster!F:F,Roster!B:B,"",0))</f>
        <v>Juan Parra</v>
      </c>
      <c r="F2444" s="315" t="str">
        <f t="array" ref="F2444">IF(B2444=100,"Free",TEXT(XLOOKUP($D2444,OperationVoice!$A:$A,OperationVoice!AA:AA,XLOOKUP($D2444,OperationTickets!$A:$A,OperationTickets!AA:AA,"",0)),"hh:mm"))</f>
        <v>08:00</v>
      </c>
      <c r="G2444" s="309">
        <f t="shared" si="3"/>
        <v>0.7083333333</v>
      </c>
      <c r="H2444" s="316" t="str">
        <f t="array" ref="H2444">XLOOKUP(B2444,Roster!L:L,Roster!N:N,XLOOKUP(D2444,TicketsBreak!A:A,TicketsBreak!E:E,"",0),0)</f>
        <v>09:15 - 09:30</v>
      </c>
      <c r="I2444" s="316" t="str">
        <f t="array" ref="I2444">XLOOKUP(B2444,Roster!L:L,Roster!O:O,XLOOKUP(D2444,TicketsBreak!A:A,TicketsBreak!F:F,"",0),0)</f>
        <v>11:30 - 12:00</v>
      </c>
      <c r="J2444" s="316" t="str">
        <f t="array" ref="J2444">XLOOKUP(B2444,Roster!L:L,Roster!P:P,XLOOKUP(D2444,TicketsBreak!A:A,TicketsBreak!G:G,"",0),0)</f>
        <v>14:30 - 14:45</v>
      </c>
      <c r="K2444" s="310">
        <f t="shared" si="4"/>
        <v>46133</v>
      </c>
      <c r="L2444" s="317">
        <f t="array" ref="L2444">(XLOOKUP(D2444,Roster!F:F,Roster!D:D,"",0))</f>
        <v>32</v>
      </c>
      <c r="M2444" s="317" t="str">
        <f t="array" ref="M2444">XLOOKUP(D2444,Roster!F:F,Roster!E:E)</f>
        <v>Voice</v>
      </c>
      <c r="N2444" s="317" t="str">
        <f t="shared" ref="N2444:P2444" si="2478">LEFT(H2444,5)</f>
        <v>09:15</v>
      </c>
      <c r="O2444" s="317" t="str">
        <f t="shared" si="2478"/>
        <v>11:30</v>
      </c>
      <c r="P2444" s="317" t="str">
        <f t="shared" si="2478"/>
        <v>14:30</v>
      </c>
      <c r="Q2444" s="318">
        <f t="shared" si="2365"/>
        <v>46133.38542</v>
      </c>
      <c r="R2444" s="318">
        <f t="shared" si="2366"/>
        <v>46133.47917</v>
      </c>
      <c r="S2444" s="318">
        <f t="shared" si="8"/>
        <v>46133.60417</v>
      </c>
    </row>
    <row r="2445">
      <c r="A2445" s="14" t="str">
        <f t="shared" si="1"/>
        <v>C132746133</v>
      </c>
      <c r="B2445" s="185" t="str">
        <f t="array" ref="B2445">IF(F2445="VL","",IF(F2445="Free","Free",XLOOKUP(D2445,Roster!T:T,Roster!S:S,"",0)))</f>
        <v>Free</v>
      </c>
      <c r="C2445" s="313">
        <v>46133.0</v>
      </c>
      <c r="D2445" s="314" t="s">
        <v>163</v>
      </c>
      <c r="E2445" s="307" t="str">
        <f t="array" ref="E2445">(XLOOKUP(D2445,Roster!F:F,Roster!B:B,"",0))</f>
        <v>Juan Restrepo</v>
      </c>
      <c r="F2445" s="315" t="str">
        <f t="array" ref="F2445">IF(B2445=100,"Free",TEXT(XLOOKUP($D2445,OperationVoice!$A:$A,OperationVoice!AA:AA,XLOOKUP($D2445,OperationTickets!$A:$A,OperationTickets!AA:AA,"",0)),"hh:mm"))</f>
        <v>Free</v>
      </c>
      <c r="G2445" s="309" t="str">
        <f t="shared" si="3"/>
        <v>Free</v>
      </c>
      <c r="H2445" s="316" t="str">
        <f t="array" ref="H2445">XLOOKUP(B2445,Roster!L:L,Roster!N:N,XLOOKUP(D2445,TicketsBreak!A:A,TicketsBreak!E:E,"",0),0)</f>
        <v/>
      </c>
      <c r="I2445" s="316" t="str">
        <f t="array" ref="I2445">XLOOKUP(B2445,Roster!L:L,Roster!O:O,XLOOKUP(D2445,TicketsBreak!A:A,TicketsBreak!F:F,"",0),0)</f>
        <v/>
      </c>
      <c r="J2445" s="316" t="str">
        <f t="array" ref="J2445">XLOOKUP(B2445,Roster!L:L,Roster!P:P,XLOOKUP(D2445,TicketsBreak!A:A,TicketsBreak!G:G,"",0),0)</f>
        <v/>
      </c>
      <c r="K2445" s="310">
        <f t="shared" si="4"/>
        <v>46133</v>
      </c>
      <c r="L2445" s="317">
        <f t="array" ref="L2445">(XLOOKUP(D2445,Roster!F:F,Roster!D:D,"",0))</f>
        <v>29</v>
      </c>
      <c r="M2445" s="317" t="str">
        <f t="array" ref="M2445">XLOOKUP(D2445,Roster!F:F,Roster!E:E)</f>
        <v>Tickets</v>
      </c>
      <c r="N2445" s="317" t="str">
        <f t="shared" ref="N2445:P2445" si="2479">LEFT(H2445,5)</f>
        <v/>
      </c>
      <c r="O2445" s="317" t="str">
        <f t="shared" si="2479"/>
        <v/>
      </c>
      <c r="P2445" s="317" t="str">
        <f t="shared" si="2479"/>
        <v/>
      </c>
      <c r="Q2445" s="318" t="str">
        <f t="shared" si="2365"/>
        <v/>
      </c>
      <c r="R2445" s="318" t="str">
        <f t="shared" si="2366"/>
        <v/>
      </c>
      <c r="S2445" s="318" t="str">
        <f t="shared" si="8"/>
        <v/>
      </c>
    </row>
    <row r="2446">
      <c r="A2446" s="14" t="str">
        <f t="shared" si="1"/>
        <v>C146946133</v>
      </c>
      <c r="B2446" s="185">
        <f t="array" ref="B2446">IF(F2446="VL","",IF(F2446="Free","Free",XLOOKUP(D2446,Roster!T:T,Roster!S:S,"",0)))</f>
        <v>122</v>
      </c>
      <c r="C2446" s="313">
        <v>46133.0</v>
      </c>
      <c r="D2446" s="314" t="s">
        <v>48</v>
      </c>
      <c r="E2446" s="307" t="str">
        <f t="array" ref="E2446">(XLOOKUP(D2446,Roster!F:F,Roster!B:B,"",0))</f>
        <v>Juan Restrepo Restrepo</v>
      </c>
      <c r="F2446" s="315" t="str">
        <f t="array" ref="F2446">IF(B2446=100,"Free",TEXT(XLOOKUP($D2446,OperationVoice!$A:$A,OperationVoice!AA:AA,XLOOKUP($D2446,OperationTickets!$A:$A,OperationTickets!AA:AA,"",0)),"hh:mm"))</f>
        <v>08:00</v>
      </c>
      <c r="G2446" s="309">
        <f t="shared" si="3"/>
        <v>0.7083333333</v>
      </c>
      <c r="H2446" s="316" t="str">
        <f t="array" ref="H2446">XLOOKUP(B2446,Roster!L:L,Roster!N:N,XLOOKUP(D2446,TicketsBreak!A:A,TicketsBreak!E:E,"",0),0)</f>
        <v>09:30 - 09:45</v>
      </c>
      <c r="I2446" s="316" t="str">
        <f t="array" ref="I2446">XLOOKUP(B2446,Roster!L:L,Roster!O:O,XLOOKUP(D2446,TicketsBreak!A:A,TicketsBreak!F:F,"",0),0)</f>
        <v>12:00 - 12:30</v>
      </c>
      <c r="J2446" s="316" t="str">
        <f t="array" ref="J2446">XLOOKUP(B2446,Roster!L:L,Roster!P:P,XLOOKUP(D2446,TicketsBreak!A:A,TicketsBreak!G:G,"",0),0)</f>
        <v>14:45 - 15:00</v>
      </c>
      <c r="K2446" s="310">
        <f t="shared" si="4"/>
        <v>46133</v>
      </c>
      <c r="L2446" s="317">
        <f t="array" ref="L2446">(XLOOKUP(D2446,Roster!F:F,Roster!D:D,"",0))</f>
        <v>33</v>
      </c>
      <c r="M2446" s="317" t="str">
        <f t="array" ref="M2446">XLOOKUP(D2446,Roster!F:F,Roster!E:E)</f>
        <v>Voice</v>
      </c>
      <c r="N2446" s="317" t="str">
        <f t="shared" ref="N2446:P2446" si="2480">LEFT(H2446,5)</f>
        <v>09:30</v>
      </c>
      <c r="O2446" s="317" t="str">
        <f t="shared" si="2480"/>
        <v>12:00</v>
      </c>
      <c r="P2446" s="317" t="str">
        <f t="shared" si="2480"/>
        <v>14:45</v>
      </c>
      <c r="Q2446" s="318">
        <f t="shared" si="2365"/>
        <v>46133.39583</v>
      </c>
      <c r="R2446" s="318">
        <f t="shared" si="2366"/>
        <v>46133.5</v>
      </c>
      <c r="S2446" s="318">
        <f t="shared" si="8"/>
        <v>46133.61458</v>
      </c>
    </row>
    <row r="2447">
      <c r="A2447" s="14" t="str">
        <f t="shared" si="1"/>
        <v>C117146133</v>
      </c>
      <c r="B2447" s="185" t="str">
        <f t="array" ref="B2447">IF(F2447="VL","",IF(F2447="Free","Free",XLOOKUP(D2447,Roster!T:T,Roster!S:S,"",0)))</f>
        <v/>
      </c>
      <c r="C2447" s="313">
        <v>46133.0</v>
      </c>
      <c r="D2447" s="314" t="s">
        <v>142</v>
      </c>
      <c r="E2447" s="307" t="str">
        <f t="array" ref="E2447">(XLOOKUP(D2447,Roster!F:F,Roster!B:B,"",0))</f>
        <v>Juan Sanchez</v>
      </c>
      <c r="F2447" s="315" t="str">
        <f t="array" ref="F2447">IF(B2447=100,"Free",TEXT(XLOOKUP($D2447,OperationVoice!$A:$A,OperationVoice!AA:AA,XLOOKUP($D2447,OperationTickets!$A:$A,OperationTickets!AA:AA,"",0)),"hh:mm"))</f>
        <v>08:00</v>
      </c>
      <c r="G2447" s="309">
        <f t="shared" si="3"/>
        <v>0.7083333333</v>
      </c>
      <c r="H2447" s="316" t="str">
        <f t="array" ref="H2447">XLOOKUP(B2447,Roster!L:L,Roster!N:N,XLOOKUP(D2447,TicketsBreak!A:A,TicketsBreak!E:E,"",0),0)</f>
        <v/>
      </c>
      <c r="I2447" s="316" t="str">
        <f t="array" ref="I2447">XLOOKUP(B2447,Roster!L:L,Roster!O:O,XLOOKUP(D2447,TicketsBreak!A:A,TicketsBreak!F:F,"",0),0)</f>
        <v/>
      </c>
      <c r="J2447" s="316" t="str">
        <f t="array" ref="J2447">XLOOKUP(B2447,Roster!L:L,Roster!P:P,XLOOKUP(D2447,TicketsBreak!A:A,TicketsBreak!G:G,"",0),0)</f>
        <v/>
      </c>
      <c r="K2447" s="310">
        <f t="shared" si="4"/>
        <v>46133</v>
      </c>
      <c r="L2447" s="317">
        <f t="array" ref="L2447">(XLOOKUP(D2447,Roster!F:F,Roster!D:D,"",0))</f>
        <v>24</v>
      </c>
      <c r="M2447" s="317" t="str">
        <f t="array" ref="M2447">XLOOKUP(D2447,Roster!F:F,Roster!E:E)</f>
        <v>Tickets</v>
      </c>
      <c r="N2447" s="317" t="str">
        <f t="shared" ref="N2447:P2447" si="2481">LEFT(H2447,5)</f>
        <v/>
      </c>
      <c r="O2447" s="317" t="str">
        <f t="shared" si="2481"/>
        <v/>
      </c>
      <c r="P2447" s="317" t="str">
        <f t="shared" si="2481"/>
        <v/>
      </c>
      <c r="Q2447" s="318" t="str">
        <f t="shared" si="2365"/>
        <v/>
      </c>
      <c r="R2447" s="318" t="str">
        <f t="shared" si="2366"/>
        <v/>
      </c>
      <c r="S2447" s="318" t="str">
        <f t="shared" si="8"/>
        <v/>
      </c>
    </row>
    <row r="2448">
      <c r="A2448" s="14" t="str">
        <f t="shared" si="1"/>
        <v>C74346133</v>
      </c>
      <c r="B2448" s="185" t="str">
        <f t="array" ref="B2448">IF(F2448="VL","",IF(F2448="Free","Free",XLOOKUP(D2448,Roster!T:T,Roster!S:S,"",0)))</f>
        <v/>
      </c>
      <c r="C2448" s="313">
        <v>46133.0</v>
      </c>
      <c r="D2448" s="314" t="s">
        <v>164</v>
      </c>
      <c r="E2448" s="307" t="str">
        <f t="array" ref="E2448">(XLOOKUP(D2448,Roster!F:F,Roster!B:B,"",0))</f>
        <v>Juan Suarez</v>
      </c>
      <c r="F2448" s="315" t="str">
        <f t="array" ref="F2448">IF(B2448=100,"Free",TEXT(XLOOKUP($D2448,OperationVoice!$A:$A,OperationVoice!AA:AA,XLOOKUP($D2448,OperationTickets!$A:$A,OperationTickets!AA:AA,"",0)),"hh:mm"))</f>
        <v>VL</v>
      </c>
      <c r="G2448" s="309" t="str">
        <f t="shared" si="3"/>
        <v>VL</v>
      </c>
      <c r="H2448" s="316">
        <f t="array" ref="H2448">XLOOKUP(B2448,Roster!L:L,Roster!N:N,XLOOKUP(D2448,TicketsBreak!A:A,TicketsBreak!E:E,"",0),0)</f>
        <v>0.3958333333</v>
      </c>
      <c r="I2448" s="316">
        <f t="array" ref="I2448">XLOOKUP(B2448,Roster!L:L,Roster!O:O,XLOOKUP(D2448,TicketsBreak!A:A,TicketsBreak!F:F,"",0),0)</f>
        <v>0.5208333333</v>
      </c>
      <c r="J2448" s="316">
        <f t="array" ref="J2448">XLOOKUP(B2448,Roster!L:L,Roster!P:P,XLOOKUP(D2448,TicketsBreak!A:A,TicketsBreak!G:G,"",0),0)</f>
        <v>0.6145833333</v>
      </c>
      <c r="K2448" s="310">
        <f t="shared" si="4"/>
        <v>46133</v>
      </c>
      <c r="L2448" s="317">
        <f t="array" ref="L2448">(XLOOKUP(D2448,Roster!F:F,Roster!D:D,"",0))</f>
        <v>8</v>
      </c>
      <c r="M2448" s="317" t="str">
        <f t="array" ref="M2448">XLOOKUP(D2448,Roster!F:F,Roster!E:E)</f>
        <v>Tickets</v>
      </c>
      <c r="N2448" s="317" t="str">
        <f t="shared" ref="N2448:P2448" si="2482">LEFT(H2448,5)</f>
        <v>09:30</v>
      </c>
      <c r="O2448" s="317" t="str">
        <f t="shared" si="2482"/>
        <v>12:30</v>
      </c>
      <c r="P2448" s="317" t="str">
        <f t="shared" si="2482"/>
        <v>14:45</v>
      </c>
      <c r="Q2448" s="318">
        <f t="shared" si="2365"/>
        <v>46133.39583</v>
      </c>
      <c r="R2448" s="318">
        <f t="shared" si="2366"/>
        <v>46133.52083</v>
      </c>
      <c r="S2448" s="318">
        <f t="shared" si="8"/>
        <v>46133.61458</v>
      </c>
    </row>
    <row r="2449">
      <c r="A2449" s="14" t="str">
        <f t="shared" si="1"/>
        <v>C156846133</v>
      </c>
      <c r="B2449" s="185" t="str">
        <f t="array" ref="B2449">IF(F2449="VL","",IF(F2449="Free","Free",XLOOKUP(D2449,Roster!T:T,Roster!S:S,"",0)))</f>
        <v>Free</v>
      </c>
      <c r="C2449" s="313">
        <v>46133.0</v>
      </c>
      <c r="D2449" s="314" t="s">
        <v>49</v>
      </c>
      <c r="E2449" s="307" t="str">
        <f t="array" ref="E2449">(XLOOKUP(D2449,Roster!F:F,Roster!B:B,"",0))</f>
        <v>Juan Zapata</v>
      </c>
      <c r="F2449" s="315" t="str">
        <f t="array" ref="F2449">IF(B2449=100,"Free",TEXT(XLOOKUP($D2449,OperationVoice!$A:$A,OperationVoice!AA:AA,XLOOKUP($D2449,OperationTickets!$A:$A,OperationTickets!AA:AA,"",0)),"hh:mm"))</f>
        <v>Free</v>
      </c>
      <c r="G2449" s="309" t="str">
        <f t="shared" si="3"/>
        <v>Free</v>
      </c>
      <c r="H2449" s="316" t="str">
        <f t="array" ref="H2449">XLOOKUP(B2449,Roster!L:L,Roster!N:N,XLOOKUP(D2449,TicketsBreak!A:A,TicketsBreak!E:E,"",0),0)</f>
        <v/>
      </c>
      <c r="I2449" s="316" t="str">
        <f t="array" ref="I2449">XLOOKUP(B2449,Roster!L:L,Roster!O:O,XLOOKUP(D2449,TicketsBreak!A:A,TicketsBreak!F:F,"",0),0)</f>
        <v/>
      </c>
      <c r="J2449" s="316" t="str">
        <f t="array" ref="J2449">XLOOKUP(B2449,Roster!L:L,Roster!P:P,XLOOKUP(D2449,TicketsBreak!A:A,TicketsBreak!G:G,"",0),0)</f>
        <v/>
      </c>
      <c r="K2449" s="310">
        <f t="shared" si="4"/>
        <v>46133</v>
      </c>
      <c r="L2449" s="317">
        <f t="array" ref="L2449">(XLOOKUP(D2449,Roster!F:F,Roster!D:D,"",0))</f>
        <v>38</v>
      </c>
      <c r="M2449" s="317" t="str">
        <f t="array" ref="M2449">XLOOKUP(D2449,Roster!F:F,Roster!E:E)</f>
        <v>Voice</v>
      </c>
      <c r="N2449" s="317" t="str">
        <f t="shared" ref="N2449:P2449" si="2483">LEFT(H2449,5)</f>
        <v/>
      </c>
      <c r="O2449" s="317" t="str">
        <f t="shared" si="2483"/>
        <v/>
      </c>
      <c r="P2449" s="317" t="str">
        <f t="shared" si="2483"/>
        <v/>
      </c>
      <c r="Q2449" s="318" t="str">
        <f t="shared" si="2365"/>
        <v/>
      </c>
      <c r="R2449" s="318" t="str">
        <f t="shared" si="2366"/>
        <v/>
      </c>
      <c r="S2449" s="318" t="str">
        <f t="shared" si="8"/>
        <v/>
      </c>
    </row>
    <row r="2450">
      <c r="A2450" s="14" t="str">
        <f t="shared" si="1"/>
        <v>C75546133</v>
      </c>
      <c r="B2450" s="185" t="str">
        <f t="array" ref="B2450">IF(F2450="VL","",IF(F2450="Free","Free",XLOOKUP(D2450,Roster!T:T,Roster!S:S,"",0)))</f>
        <v/>
      </c>
      <c r="C2450" s="313">
        <v>46133.0</v>
      </c>
      <c r="D2450" s="314" t="s">
        <v>143</v>
      </c>
      <c r="E2450" s="307" t="str">
        <f t="array" ref="E2450">(XLOOKUP(D2450,Roster!F:F,Roster!B:B,"",0))</f>
        <v>Julian Higuita</v>
      </c>
      <c r="F2450" s="315" t="str">
        <f t="array" ref="F2450">IF(B2450=100,"Free",TEXT(XLOOKUP($D2450,OperationVoice!$A:$A,OperationVoice!AA:AA,XLOOKUP($D2450,OperationTickets!$A:$A,OperationTickets!AA:AA,"",0)),"hh:mm"))</f>
        <v>VL</v>
      </c>
      <c r="G2450" s="309" t="str">
        <f t="shared" si="3"/>
        <v>VL</v>
      </c>
      <c r="H2450" s="316" t="str">
        <f t="array" ref="H2450">XLOOKUP(B2450,Roster!L:L,Roster!N:N,XLOOKUP(D2450,TicketsBreak!A:A,TicketsBreak!E:E,"",0),0)</f>
        <v/>
      </c>
      <c r="I2450" s="316" t="str">
        <f t="array" ref="I2450">XLOOKUP(B2450,Roster!L:L,Roster!O:O,XLOOKUP(D2450,TicketsBreak!A:A,TicketsBreak!F:F,"",0),0)</f>
        <v/>
      </c>
      <c r="J2450" s="316" t="str">
        <f t="array" ref="J2450">XLOOKUP(B2450,Roster!L:L,Roster!P:P,XLOOKUP(D2450,TicketsBreak!A:A,TicketsBreak!G:G,"",0),0)</f>
        <v/>
      </c>
      <c r="K2450" s="310">
        <f t="shared" si="4"/>
        <v>46133</v>
      </c>
      <c r="L2450" s="317">
        <f t="array" ref="L2450">(XLOOKUP(D2450,Roster!F:F,Roster!D:D,"",0))</f>
        <v>35</v>
      </c>
      <c r="M2450" s="317" t="str">
        <f t="array" ref="M2450">XLOOKUP(D2450,Roster!F:F,Roster!E:E)</f>
        <v>Tickets</v>
      </c>
      <c r="N2450" s="317" t="str">
        <f t="shared" ref="N2450:P2450" si="2484">LEFT(H2450,5)</f>
        <v/>
      </c>
      <c r="O2450" s="317" t="str">
        <f t="shared" si="2484"/>
        <v/>
      </c>
      <c r="P2450" s="317" t="str">
        <f t="shared" si="2484"/>
        <v/>
      </c>
      <c r="Q2450" s="318" t="str">
        <f t="shared" si="2365"/>
        <v/>
      </c>
      <c r="R2450" s="318" t="str">
        <f t="shared" si="2366"/>
        <v/>
      </c>
      <c r="S2450" s="318" t="str">
        <f t="shared" si="8"/>
        <v/>
      </c>
    </row>
    <row r="2451">
      <c r="A2451" s="14" t="str">
        <f t="shared" si="1"/>
        <v>C52546133</v>
      </c>
      <c r="B2451" s="185" t="str">
        <f t="array" ref="B2451">IF(F2451="VL","",IF(F2451="Free","Free",XLOOKUP(D2451,Roster!T:T,Roster!S:S,"",0)))</f>
        <v/>
      </c>
      <c r="C2451" s="313">
        <v>46133.0</v>
      </c>
      <c r="D2451" s="314" t="s">
        <v>176</v>
      </c>
      <c r="E2451" s="307" t="str">
        <f t="array" ref="E2451">(XLOOKUP(D2451,Roster!F:F,Roster!B:B,"",0))</f>
        <v>Julian Pineda</v>
      </c>
      <c r="F2451" s="315" t="str">
        <f t="array" ref="F2451">IF(B2451=100,"Free",TEXT(XLOOKUP($D2451,OperationVoice!$A:$A,OperationVoice!AA:AA,XLOOKUP($D2451,OperationTickets!$A:$A,OperationTickets!AA:AA,"",0)),"hh:mm"))</f>
        <v>08:00</v>
      </c>
      <c r="G2451" s="309">
        <f t="shared" si="3"/>
        <v>0.7083333333</v>
      </c>
      <c r="H2451" s="316" t="str">
        <f t="array" ref="H2451">XLOOKUP(B2451,Roster!L:L,Roster!N:N,XLOOKUP(D2451,TicketsBreak!A:A,TicketsBreak!E:E,"",0),0)</f>
        <v/>
      </c>
      <c r="I2451" s="316" t="str">
        <f t="array" ref="I2451">XLOOKUP(B2451,Roster!L:L,Roster!O:O,XLOOKUP(D2451,TicketsBreak!A:A,TicketsBreak!F:F,"",0),0)</f>
        <v/>
      </c>
      <c r="J2451" s="316" t="str">
        <f t="array" ref="J2451">XLOOKUP(B2451,Roster!L:L,Roster!P:P,XLOOKUP(D2451,TicketsBreak!A:A,TicketsBreak!G:G,"",0),0)</f>
        <v/>
      </c>
      <c r="K2451" s="310">
        <f t="shared" si="4"/>
        <v>46133</v>
      </c>
      <c r="L2451" s="317">
        <f t="array" ref="L2451">(XLOOKUP(D2451,Roster!F:F,Roster!D:D,"",0))</f>
        <v>35</v>
      </c>
      <c r="M2451" s="317" t="str">
        <f t="array" ref="M2451">XLOOKUP(D2451,Roster!F:F,Roster!E:E)</f>
        <v>Tickets</v>
      </c>
      <c r="N2451" s="317" t="str">
        <f t="shared" ref="N2451:P2451" si="2485">LEFT(H2451,5)</f>
        <v/>
      </c>
      <c r="O2451" s="317" t="str">
        <f t="shared" si="2485"/>
        <v/>
      </c>
      <c r="P2451" s="317" t="str">
        <f t="shared" si="2485"/>
        <v/>
      </c>
      <c r="Q2451" s="318" t="str">
        <f t="shared" si="2365"/>
        <v/>
      </c>
      <c r="R2451" s="318" t="str">
        <f t="shared" si="2366"/>
        <v/>
      </c>
      <c r="S2451" s="318" t="str">
        <f t="shared" si="8"/>
        <v/>
      </c>
    </row>
    <row r="2452">
      <c r="A2452" s="14" t="str">
        <f t="shared" si="1"/>
        <v>C142746133</v>
      </c>
      <c r="B2452" s="185">
        <f t="array" ref="B2452">IF(F2452="VL","",IF(F2452="Free","Free",XLOOKUP(D2452,Roster!T:T,Roster!S:S,"",0)))</f>
        <v>123</v>
      </c>
      <c r="C2452" s="313">
        <v>46133.0</v>
      </c>
      <c r="D2452" s="314" t="s">
        <v>50</v>
      </c>
      <c r="E2452" s="307" t="str">
        <f t="array" ref="E2452">(XLOOKUP(D2452,Roster!F:F,Roster!B:B,"",0))</f>
        <v>Karen Lorena Martinez</v>
      </c>
      <c r="F2452" s="315" t="str">
        <f t="array" ref="F2452">IF(B2452=100,"Free",TEXT(XLOOKUP($D2452,OperationVoice!$A:$A,OperationVoice!AA:AA,XLOOKUP($D2452,OperationTickets!$A:$A,OperationTickets!AA:AA,"",0)),"hh:mm"))</f>
        <v>08:00</v>
      </c>
      <c r="G2452" s="309">
        <f t="shared" si="3"/>
        <v>0.7083333333</v>
      </c>
      <c r="H2452" s="316" t="str">
        <f t="array" ref="H2452">XLOOKUP(B2452,Roster!L:L,Roster!N:N,XLOOKUP(D2452,TicketsBreak!A:A,TicketsBreak!E:E,"",0),0)</f>
        <v>09:45 - 10:00 </v>
      </c>
      <c r="I2452" s="316" t="str">
        <f t="array" ref="I2452">XLOOKUP(B2452,Roster!L:L,Roster!O:O,XLOOKUP(D2452,TicketsBreak!A:A,TicketsBreak!F:F,"",0),0)</f>
        <v>12:30 - 13:00</v>
      </c>
      <c r="J2452" s="316" t="str">
        <f t="array" ref="J2452">XLOOKUP(B2452,Roster!L:L,Roster!P:P,XLOOKUP(D2452,TicketsBreak!A:A,TicketsBreak!G:G,"",0),0)</f>
        <v>15:00 - 15:15</v>
      </c>
      <c r="K2452" s="310">
        <f t="shared" si="4"/>
        <v>46133</v>
      </c>
      <c r="L2452" s="317">
        <f t="array" ref="L2452">(XLOOKUP(D2452,Roster!F:F,Roster!D:D,"",0))</f>
        <v>32</v>
      </c>
      <c r="M2452" s="317" t="str">
        <f t="array" ref="M2452">XLOOKUP(D2452,Roster!F:F,Roster!E:E)</f>
        <v>Voice</v>
      </c>
      <c r="N2452" s="317" t="str">
        <f t="shared" ref="N2452:P2452" si="2486">LEFT(H2452,5)</f>
        <v>09:45</v>
      </c>
      <c r="O2452" s="317" t="str">
        <f t="shared" si="2486"/>
        <v>12:30</v>
      </c>
      <c r="P2452" s="317" t="str">
        <f t="shared" si="2486"/>
        <v>15:00</v>
      </c>
      <c r="Q2452" s="318">
        <f t="shared" si="2365"/>
        <v>46133.40625</v>
      </c>
      <c r="R2452" s="318">
        <f t="shared" si="2366"/>
        <v>46133.52083</v>
      </c>
      <c r="S2452" s="318">
        <f t="shared" si="8"/>
        <v>46133.625</v>
      </c>
    </row>
    <row r="2453">
      <c r="A2453" s="14" t="str">
        <f t="shared" si="1"/>
        <v>C57946133</v>
      </c>
      <c r="B2453" s="185" t="str">
        <f t="array" ref="B2453">IF(F2453="VL","",IF(F2453="Free","Free",XLOOKUP(D2453,Roster!T:T,Roster!S:S,"",0)))</f>
        <v/>
      </c>
      <c r="C2453" s="313">
        <v>46133.0</v>
      </c>
      <c r="D2453" s="314" t="s">
        <v>144</v>
      </c>
      <c r="E2453" s="307" t="str">
        <f t="array" ref="E2453">(XLOOKUP(D2453,Roster!F:F,Roster!B:B,"",0))</f>
        <v>Karen Martinez</v>
      </c>
      <c r="F2453" s="315" t="str">
        <f t="array" ref="F2453">IF(B2453=100,"Free",TEXT(XLOOKUP($D2453,OperationVoice!$A:$A,OperationVoice!AA:AA,XLOOKUP($D2453,OperationTickets!$A:$A,OperationTickets!AA:AA,"",0)),"hh:mm"))</f>
        <v>08:00</v>
      </c>
      <c r="G2453" s="309">
        <f t="shared" si="3"/>
        <v>0.7083333333</v>
      </c>
      <c r="H2453" s="316">
        <f t="array" ref="H2453">XLOOKUP(B2453,Roster!L:L,Roster!N:N,XLOOKUP(D2453,TicketsBreak!A:A,TicketsBreak!E:E,"",0),0)</f>
        <v>0.4166666667</v>
      </c>
      <c r="I2453" s="316">
        <f t="array" ref="I2453">XLOOKUP(B2453,Roster!L:L,Roster!O:O,XLOOKUP(D2453,TicketsBreak!A:A,TicketsBreak!F:F,"",0),0)</f>
        <v>0.5</v>
      </c>
      <c r="J2453" s="316">
        <f t="array" ref="J2453">XLOOKUP(B2453,Roster!L:L,Roster!P:P,XLOOKUP(D2453,TicketsBreak!A:A,TicketsBreak!G:G,"",0),0)</f>
        <v>0.625</v>
      </c>
      <c r="K2453" s="310">
        <f t="shared" si="4"/>
        <v>46133</v>
      </c>
      <c r="L2453" s="317">
        <f t="array" ref="L2453">(XLOOKUP(D2453,Roster!F:F,Roster!D:D,"",0))</f>
        <v>4</v>
      </c>
      <c r="M2453" s="317" t="str">
        <f t="array" ref="M2453">XLOOKUP(D2453,Roster!F:F,Roster!E:E)</f>
        <v>Tickets</v>
      </c>
      <c r="N2453" s="317" t="str">
        <f t="shared" ref="N2453:P2453" si="2487">LEFT(H2453,5)</f>
        <v>10:00</v>
      </c>
      <c r="O2453" s="317" t="str">
        <f t="shared" si="2487"/>
        <v>12:00</v>
      </c>
      <c r="P2453" s="317" t="str">
        <f t="shared" si="2487"/>
        <v>15:00</v>
      </c>
      <c r="Q2453" s="318">
        <f t="shared" si="2365"/>
        <v>46133.41667</v>
      </c>
      <c r="R2453" s="318">
        <f t="shared" si="2366"/>
        <v>46133.5</v>
      </c>
      <c r="S2453" s="318">
        <f t="shared" si="8"/>
        <v>46133.625</v>
      </c>
    </row>
    <row r="2454">
      <c r="A2454" s="14" t="str">
        <f t="shared" si="1"/>
        <v>C108646133</v>
      </c>
      <c r="B2454" s="185">
        <f t="array" ref="B2454">IF(F2454="VL","",IF(F2454="Free","Free",XLOOKUP(D2454,Roster!T:T,Roster!S:S,"",0)))</f>
        <v>124</v>
      </c>
      <c r="C2454" s="313">
        <v>46133.0</v>
      </c>
      <c r="D2454" s="314" t="s">
        <v>51</v>
      </c>
      <c r="E2454" s="307" t="str">
        <f t="array" ref="E2454">(XLOOKUP(D2454,Roster!F:F,Roster!B:B,"",0))</f>
        <v>Karen Panqueva</v>
      </c>
      <c r="F2454" s="315" t="str">
        <f t="array" ref="F2454">IF(B2454=100,"Free",TEXT(XLOOKUP($D2454,OperationVoice!$A:$A,OperationVoice!AA:AA,XLOOKUP($D2454,OperationTickets!$A:$A,OperationTickets!AA:AA,"",0)),"hh:mm"))</f>
        <v>08:00</v>
      </c>
      <c r="G2454" s="309">
        <f t="shared" si="3"/>
        <v>0.7083333333</v>
      </c>
      <c r="H2454" s="316" t="str">
        <f t="array" ref="H2454">XLOOKUP(B2454,Roster!L:L,Roster!N:N,XLOOKUP(D2454,TicketsBreak!A:A,TicketsBreak!E:E,"",0),0)</f>
        <v>10:00 - 10:15</v>
      </c>
      <c r="I2454" s="316" t="str">
        <f t="array" ref="I2454">XLOOKUP(B2454,Roster!L:L,Roster!O:O,XLOOKUP(D2454,TicketsBreak!A:A,TicketsBreak!F:F,"",0),0)</f>
        <v>13:00 - 13:30</v>
      </c>
      <c r="J2454" s="316" t="str">
        <f t="array" ref="J2454">XLOOKUP(B2454,Roster!L:L,Roster!P:P,XLOOKUP(D2454,TicketsBreak!A:A,TicketsBreak!G:G,"",0),0)</f>
        <v>15:30 - 15:45</v>
      </c>
      <c r="K2454" s="310">
        <f t="shared" si="4"/>
        <v>46133</v>
      </c>
      <c r="L2454" s="317">
        <f t="array" ref="L2454">(XLOOKUP(D2454,Roster!F:F,Roster!D:D,"",0))</f>
        <v>19</v>
      </c>
      <c r="M2454" s="317" t="str">
        <f t="array" ref="M2454">XLOOKUP(D2454,Roster!F:F,Roster!E:E)</f>
        <v>Voice</v>
      </c>
      <c r="N2454" s="317" t="str">
        <f t="shared" ref="N2454:P2454" si="2488">LEFT(H2454,5)</f>
        <v>10:00</v>
      </c>
      <c r="O2454" s="317" t="str">
        <f t="shared" si="2488"/>
        <v>13:00</v>
      </c>
      <c r="P2454" s="317" t="str">
        <f t="shared" si="2488"/>
        <v>15:30</v>
      </c>
      <c r="Q2454" s="318">
        <f t="shared" si="2365"/>
        <v>46133.41667</v>
      </c>
      <c r="R2454" s="318">
        <f t="shared" si="2366"/>
        <v>46133.54167</v>
      </c>
      <c r="S2454" s="318">
        <f t="shared" si="8"/>
        <v>46133.64583</v>
      </c>
    </row>
    <row r="2455">
      <c r="A2455" s="14" t="str">
        <f t="shared" si="1"/>
        <v>C149246133</v>
      </c>
      <c r="B2455" s="185">
        <f t="array" ref="B2455">IF(F2455="VL","",IF(F2455="Free","Free",XLOOKUP(D2455,Roster!T:T,Roster!S:S,"",0)))</f>
        <v>125</v>
      </c>
      <c r="C2455" s="313">
        <v>46133.0</v>
      </c>
      <c r="D2455" s="314" t="s">
        <v>52</v>
      </c>
      <c r="E2455" s="307" t="str">
        <f t="array" ref="E2455">(XLOOKUP(D2455,Roster!F:F,Roster!B:B,"",0))</f>
        <v>Karol Pineda</v>
      </c>
      <c r="F2455" s="315" t="str">
        <f t="array" ref="F2455">IF(B2455=100,"Free",TEXT(XLOOKUP($D2455,OperationVoice!$A:$A,OperationVoice!AA:AA,XLOOKUP($D2455,OperationTickets!$A:$A,OperationTickets!AA:AA,"",0)),"hh:mm"))</f>
        <v>08:00</v>
      </c>
      <c r="G2455" s="309">
        <f t="shared" si="3"/>
        <v>0.7083333333</v>
      </c>
      <c r="H2455" s="316" t="str">
        <f t="array" ref="H2455">XLOOKUP(B2455,Roster!L:L,Roster!N:N,XLOOKUP(D2455,TicketsBreak!A:A,TicketsBreak!E:E,"",0),0)</f>
        <v>10:30 - 10:45</v>
      </c>
      <c r="I2455" s="316" t="str">
        <f t="array" ref="I2455">XLOOKUP(B2455,Roster!L:L,Roster!O:O,XLOOKUP(D2455,TicketsBreak!A:A,TicketsBreak!F:F,"",0),0)</f>
        <v>13:30 - 14:00</v>
      </c>
      <c r="J2455" s="316" t="str">
        <f t="array" ref="J2455">XLOOKUP(B2455,Roster!L:L,Roster!P:P,XLOOKUP(D2455,TicketsBreak!A:A,TicketsBreak!G:G,"",0),0)</f>
        <v>15:45 - 16:00</v>
      </c>
      <c r="K2455" s="310">
        <f t="shared" si="4"/>
        <v>46133</v>
      </c>
      <c r="L2455" s="317">
        <f t="array" ref="L2455">(XLOOKUP(D2455,Roster!F:F,Roster!D:D,"",0))</f>
        <v>34</v>
      </c>
      <c r="M2455" s="317" t="str">
        <f t="array" ref="M2455">XLOOKUP(D2455,Roster!F:F,Roster!E:E)</f>
        <v>Voice</v>
      </c>
      <c r="N2455" s="317" t="str">
        <f t="shared" ref="N2455:P2455" si="2489">LEFT(H2455,5)</f>
        <v>10:30</v>
      </c>
      <c r="O2455" s="317" t="str">
        <f t="shared" si="2489"/>
        <v>13:30</v>
      </c>
      <c r="P2455" s="317" t="str">
        <f t="shared" si="2489"/>
        <v>15:45</v>
      </c>
      <c r="Q2455" s="318">
        <f t="shared" si="2365"/>
        <v>46133.4375</v>
      </c>
      <c r="R2455" s="318">
        <f t="shared" si="2366"/>
        <v>46133.5625</v>
      </c>
      <c r="S2455" s="318">
        <f t="shared" si="8"/>
        <v>46133.65625</v>
      </c>
    </row>
    <row r="2456">
      <c r="A2456" s="14" t="str">
        <f t="shared" si="1"/>
        <v>C65846133</v>
      </c>
      <c r="B2456" s="185">
        <f t="array" ref="B2456">IF(F2456="VL","",IF(F2456="Free","Free",XLOOKUP(D2456,Roster!T:T,Roster!S:S,"",0)))</f>
        <v>112</v>
      </c>
      <c r="C2456" s="313">
        <v>46133.0</v>
      </c>
      <c r="D2456" s="314" t="s">
        <v>53</v>
      </c>
      <c r="E2456" s="307" t="str">
        <f t="array" ref="E2456">(XLOOKUP(D2456,Roster!F:F,Roster!B:B,"",0))</f>
        <v>Kennedy Giraldo</v>
      </c>
      <c r="F2456" s="315" t="str">
        <f t="array" ref="F2456">IF(B2456=100,"Free",TEXT(XLOOKUP($D2456,OperationVoice!$A:$A,OperationVoice!AA:AA,XLOOKUP($D2456,OperationTickets!$A:$A,OperationTickets!AA:AA,"",0)),"hh:mm"))</f>
        <v>07:00</v>
      </c>
      <c r="G2456" s="309">
        <f t="shared" si="3"/>
        <v>0.6666666667</v>
      </c>
      <c r="H2456" s="316" t="str">
        <f t="array" ref="H2456">XLOOKUP(B2456,Roster!L:L,Roster!N:N,XLOOKUP(D2456,TicketsBreak!A:A,TicketsBreak!E:E,"",0),0)</f>
        <v>09:30 - 09:45</v>
      </c>
      <c r="I2456" s="316" t="str">
        <f t="array" ref="I2456">XLOOKUP(B2456,Roster!L:L,Roster!O:O,XLOOKUP(D2456,TicketsBreak!A:A,TicketsBreak!F:F,"",0),0)</f>
        <v>12:15 - 12:45</v>
      </c>
      <c r="J2456" s="316" t="str">
        <f t="array" ref="J2456">XLOOKUP(B2456,Roster!L:L,Roster!P:P,XLOOKUP(D2456,TicketsBreak!A:A,TicketsBreak!G:G,"",0),0)</f>
        <v>14:45 - 15:00</v>
      </c>
      <c r="K2456" s="310">
        <f t="shared" si="4"/>
        <v>46133</v>
      </c>
      <c r="L2456" s="317">
        <f t="array" ref="L2456">(XLOOKUP(D2456,Roster!F:F,Roster!D:D,"",0))</f>
        <v>2</v>
      </c>
      <c r="M2456" s="317" t="str">
        <f t="array" ref="M2456">XLOOKUP(D2456,Roster!F:F,Roster!E:E)</f>
        <v>Voice</v>
      </c>
      <c r="N2456" s="317" t="str">
        <f t="shared" ref="N2456:P2456" si="2490">LEFT(H2456,5)</f>
        <v>09:30</v>
      </c>
      <c r="O2456" s="317" t="str">
        <f t="shared" si="2490"/>
        <v>12:15</v>
      </c>
      <c r="P2456" s="317" t="str">
        <f t="shared" si="2490"/>
        <v>14:45</v>
      </c>
      <c r="Q2456" s="318">
        <f t="shared" si="2365"/>
        <v>46133.39583</v>
      </c>
      <c r="R2456" s="318">
        <f t="shared" si="2366"/>
        <v>46133.51042</v>
      </c>
      <c r="S2456" s="318">
        <f t="shared" si="8"/>
        <v>46133.61458</v>
      </c>
    </row>
    <row r="2457">
      <c r="A2457" s="14" t="str">
        <f t="shared" si="1"/>
        <v>C151446133</v>
      </c>
      <c r="B2457" s="185">
        <f t="array" ref="B2457">IF(F2457="VL","",IF(F2457="Free","Free",XLOOKUP(D2457,Roster!T:T,Roster!S:S,"",0)))</f>
        <v>122</v>
      </c>
      <c r="C2457" s="313">
        <v>46133.0</v>
      </c>
      <c r="D2457" s="314" t="s">
        <v>54</v>
      </c>
      <c r="E2457" s="307" t="str">
        <f t="array" ref="E2457">(XLOOKUP(D2457,Roster!F:F,Roster!B:B,"",0))</f>
        <v>Kevin Betancur</v>
      </c>
      <c r="F2457" s="315" t="str">
        <f t="array" ref="F2457">IF(B2457=100,"Free",TEXT(XLOOKUP($D2457,OperationVoice!$A:$A,OperationVoice!AA:AA,XLOOKUP($D2457,OperationTickets!$A:$A,OperationTickets!AA:AA,"",0)),"hh:mm"))</f>
        <v>08:00</v>
      </c>
      <c r="G2457" s="309">
        <f t="shared" si="3"/>
        <v>0.7083333333</v>
      </c>
      <c r="H2457" s="316" t="str">
        <f t="array" ref="H2457">XLOOKUP(B2457,Roster!L:L,Roster!N:N,XLOOKUP(D2457,TicketsBreak!A:A,TicketsBreak!E:E,"",0),0)</f>
        <v>09:30 - 09:45</v>
      </c>
      <c r="I2457" s="316" t="str">
        <f t="array" ref="I2457">XLOOKUP(B2457,Roster!L:L,Roster!O:O,XLOOKUP(D2457,TicketsBreak!A:A,TicketsBreak!F:F,"",0),0)</f>
        <v>12:00 - 12:30</v>
      </c>
      <c r="J2457" s="316" t="str">
        <f t="array" ref="J2457">XLOOKUP(B2457,Roster!L:L,Roster!P:P,XLOOKUP(D2457,TicketsBreak!A:A,TicketsBreak!G:G,"",0),0)</f>
        <v>14:45 - 15:00</v>
      </c>
      <c r="K2457" s="310">
        <f t="shared" si="4"/>
        <v>46133</v>
      </c>
      <c r="L2457" s="317">
        <f t="array" ref="L2457">(XLOOKUP(D2457,Roster!F:F,Roster!D:D,"",0))</f>
        <v>35</v>
      </c>
      <c r="M2457" s="317" t="str">
        <f t="array" ref="M2457">XLOOKUP(D2457,Roster!F:F,Roster!E:E)</f>
        <v>Voice</v>
      </c>
      <c r="N2457" s="317" t="str">
        <f t="shared" ref="N2457:P2457" si="2491">LEFT(H2457,5)</f>
        <v>09:30</v>
      </c>
      <c r="O2457" s="317" t="str">
        <f t="shared" si="2491"/>
        <v>12:00</v>
      </c>
      <c r="P2457" s="317" t="str">
        <f t="shared" si="2491"/>
        <v>14:45</v>
      </c>
      <c r="Q2457" s="318">
        <f t="shared" si="2365"/>
        <v>46133.39583</v>
      </c>
      <c r="R2457" s="318">
        <f t="shared" si="2366"/>
        <v>46133.5</v>
      </c>
      <c r="S2457" s="318">
        <f t="shared" si="8"/>
        <v>46133.61458</v>
      </c>
    </row>
    <row r="2458">
      <c r="A2458" s="14" t="str">
        <f t="shared" si="1"/>
        <v>C157146133</v>
      </c>
      <c r="B2458" s="185">
        <f t="array" ref="B2458">IF(F2458="VL","",IF(F2458="Free","Free",XLOOKUP(D2458,Roster!T:T,Roster!S:S,"",0)))</f>
        <v>123</v>
      </c>
      <c r="C2458" s="313">
        <v>46133.0</v>
      </c>
      <c r="D2458" s="314" t="s">
        <v>55</v>
      </c>
      <c r="E2458" s="307" t="str">
        <f t="array" ref="E2458">(XLOOKUP(D2458,Roster!F:F,Roster!B:B,"",0))</f>
        <v>Laura Chamorro</v>
      </c>
      <c r="F2458" s="315" t="str">
        <f t="array" ref="F2458">IF(B2458=100,"Free",TEXT(XLOOKUP($D2458,OperationVoice!$A:$A,OperationVoice!AA:AA,XLOOKUP($D2458,OperationTickets!$A:$A,OperationTickets!AA:AA,"",0)),"hh:mm"))</f>
        <v>08:00</v>
      </c>
      <c r="G2458" s="309">
        <f t="shared" si="3"/>
        <v>0.7083333333</v>
      </c>
      <c r="H2458" s="316" t="str">
        <f t="array" ref="H2458">XLOOKUP(B2458,Roster!L:L,Roster!N:N,XLOOKUP(D2458,TicketsBreak!A:A,TicketsBreak!E:E,"",0),0)</f>
        <v>09:45 - 10:00 </v>
      </c>
      <c r="I2458" s="316" t="str">
        <f t="array" ref="I2458">XLOOKUP(B2458,Roster!L:L,Roster!O:O,XLOOKUP(D2458,TicketsBreak!A:A,TicketsBreak!F:F,"",0),0)</f>
        <v>12:30 - 13:00</v>
      </c>
      <c r="J2458" s="316" t="str">
        <f t="array" ref="J2458">XLOOKUP(B2458,Roster!L:L,Roster!P:P,XLOOKUP(D2458,TicketsBreak!A:A,TicketsBreak!G:G,"",0),0)</f>
        <v>15:00 - 15:15</v>
      </c>
      <c r="K2458" s="310">
        <f t="shared" si="4"/>
        <v>46133</v>
      </c>
      <c r="L2458" s="317">
        <f t="array" ref="L2458">(XLOOKUP(D2458,Roster!F:F,Roster!D:D,"",0))</f>
        <v>38</v>
      </c>
      <c r="M2458" s="317" t="str">
        <f t="array" ref="M2458">XLOOKUP(D2458,Roster!F:F,Roster!E:E)</f>
        <v>Voice</v>
      </c>
      <c r="N2458" s="317" t="str">
        <f t="shared" ref="N2458:P2458" si="2492">LEFT(H2458,5)</f>
        <v>09:45</v>
      </c>
      <c r="O2458" s="317" t="str">
        <f t="shared" si="2492"/>
        <v>12:30</v>
      </c>
      <c r="P2458" s="317" t="str">
        <f t="shared" si="2492"/>
        <v>15:00</v>
      </c>
      <c r="Q2458" s="318">
        <f t="shared" si="2365"/>
        <v>46133.40625</v>
      </c>
      <c r="R2458" s="318">
        <f t="shared" si="2366"/>
        <v>46133.52083</v>
      </c>
      <c r="S2458" s="318">
        <f t="shared" si="8"/>
        <v>46133.625</v>
      </c>
    </row>
    <row r="2459">
      <c r="A2459" s="14" t="str">
        <f t="shared" si="1"/>
        <v>C53446133</v>
      </c>
      <c r="B2459" s="185" t="str">
        <f t="array" ref="B2459">IF(F2459="VL","",IF(F2459="Free","Free",XLOOKUP(D2459,Roster!T:T,Roster!S:S,"",0)))</f>
        <v/>
      </c>
      <c r="C2459" s="313">
        <v>46133.0</v>
      </c>
      <c r="D2459" s="314" t="s">
        <v>177</v>
      </c>
      <c r="E2459" s="307" t="str">
        <f t="array" ref="E2459">(XLOOKUP(D2459,Roster!F:F,Roster!B:B,"",0))</f>
        <v>Leandry La Rosa</v>
      </c>
      <c r="F2459" s="315" t="str">
        <f t="array" ref="F2459">IF(B2459=100,"Free",TEXT(XLOOKUP($D2459,OperationVoice!$A:$A,OperationVoice!AA:AA,XLOOKUP($D2459,OperationTickets!$A:$A,OperationTickets!AA:AA,"",0)),"hh:mm"))</f>
        <v>08:00</v>
      </c>
      <c r="G2459" s="309">
        <f t="shared" si="3"/>
        <v>0.7083333333</v>
      </c>
      <c r="H2459" s="316">
        <f t="array" ref="H2459">XLOOKUP(B2459,Roster!L:L,Roster!N:N,XLOOKUP(D2459,TicketsBreak!A:A,TicketsBreak!E:E,"",0),0)</f>
        <v>0.40625</v>
      </c>
      <c r="I2459" s="316">
        <f t="array" ref="I2459">XLOOKUP(B2459,Roster!L:L,Roster!O:O,XLOOKUP(D2459,TicketsBreak!A:A,TicketsBreak!F:F,"",0),0)</f>
        <v>0.5416666667</v>
      </c>
      <c r="J2459" s="316">
        <f t="array" ref="J2459">XLOOKUP(B2459,Roster!L:L,Roster!P:P,XLOOKUP(D2459,TicketsBreak!A:A,TicketsBreak!G:G,"",0),0)</f>
        <v>0.65625</v>
      </c>
      <c r="K2459" s="310">
        <f t="shared" si="4"/>
        <v>46133</v>
      </c>
      <c r="L2459" s="317">
        <f t="array" ref="L2459">(XLOOKUP(D2459,Roster!F:F,Roster!D:D,"",0))</f>
        <v>1</v>
      </c>
      <c r="M2459" s="317" t="str">
        <f t="array" ref="M2459">XLOOKUP(D2459,Roster!F:F,Roster!E:E)</f>
        <v>Tickets</v>
      </c>
      <c r="N2459" s="317" t="str">
        <f t="shared" ref="N2459:P2459" si="2493">LEFT(H2459,5)</f>
        <v>09:45</v>
      </c>
      <c r="O2459" s="317" t="str">
        <f t="shared" si="2493"/>
        <v>13:00</v>
      </c>
      <c r="P2459" s="317" t="str">
        <f t="shared" si="2493"/>
        <v>15:45</v>
      </c>
      <c r="Q2459" s="318">
        <f t="shared" si="2365"/>
        <v>46133.40625</v>
      </c>
      <c r="R2459" s="318">
        <f t="shared" si="2366"/>
        <v>46133.54167</v>
      </c>
      <c r="S2459" s="318">
        <f t="shared" si="8"/>
        <v>46133.65625</v>
      </c>
    </row>
    <row r="2460">
      <c r="A2460" s="14" t="str">
        <f t="shared" si="1"/>
        <v>C157846133</v>
      </c>
      <c r="B2460" s="185">
        <f t="array" ref="B2460">IF(F2460="VL","",IF(F2460="Free","Free",XLOOKUP(D2460,Roster!T:T,Roster!S:S,"",0)))</f>
        <v>125</v>
      </c>
      <c r="C2460" s="313">
        <v>46133.0</v>
      </c>
      <c r="D2460" s="314" t="s">
        <v>56</v>
      </c>
      <c r="E2460" s="307" t="str">
        <f t="array" ref="E2460">(XLOOKUP(D2460,Roster!F:F,Roster!B:B,"",0))</f>
        <v>Leonerrichi Caicedo</v>
      </c>
      <c r="F2460" s="315" t="str">
        <f t="array" ref="F2460">IF(B2460=100,"Free",TEXT(XLOOKUP($D2460,OperationVoice!$A:$A,OperationVoice!AA:AA,XLOOKUP($D2460,OperationTickets!$A:$A,OperationTickets!AA:AA,"",0)),"hh:mm"))</f>
        <v>08:00</v>
      </c>
      <c r="G2460" s="309">
        <f t="shared" si="3"/>
        <v>0.7083333333</v>
      </c>
      <c r="H2460" s="316" t="str">
        <f t="array" ref="H2460">XLOOKUP(B2460,Roster!L:L,Roster!N:N,XLOOKUP(D2460,TicketsBreak!A:A,TicketsBreak!E:E,"",0),0)</f>
        <v>10:30 - 10:45</v>
      </c>
      <c r="I2460" s="316" t="str">
        <f t="array" ref="I2460">XLOOKUP(B2460,Roster!L:L,Roster!O:O,XLOOKUP(D2460,TicketsBreak!A:A,TicketsBreak!F:F,"",0),0)</f>
        <v>13:30 - 14:00</v>
      </c>
      <c r="J2460" s="316" t="str">
        <f t="array" ref="J2460">XLOOKUP(B2460,Roster!L:L,Roster!P:P,XLOOKUP(D2460,TicketsBreak!A:A,TicketsBreak!G:G,"",0),0)</f>
        <v>15:45 - 16:00</v>
      </c>
      <c r="K2460" s="310">
        <f t="shared" si="4"/>
        <v>46133</v>
      </c>
      <c r="L2460" s="317">
        <f t="array" ref="L2460">(XLOOKUP(D2460,Roster!F:F,Roster!D:D,"",0))</f>
        <v>38</v>
      </c>
      <c r="M2460" s="317" t="str">
        <f t="array" ref="M2460">XLOOKUP(D2460,Roster!F:F,Roster!E:E)</f>
        <v>Voice</v>
      </c>
      <c r="N2460" s="317" t="str">
        <f t="shared" ref="N2460:P2460" si="2494">LEFT(H2460,5)</f>
        <v>10:30</v>
      </c>
      <c r="O2460" s="317" t="str">
        <f t="shared" si="2494"/>
        <v>13:30</v>
      </c>
      <c r="P2460" s="317" t="str">
        <f t="shared" si="2494"/>
        <v>15:45</v>
      </c>
      <c r="Q2460" s="318">
        <f t="shared" si="2365"/>
        <v>46133.4375</v>
      </c>
      <c r="R2460" s="318">
        <f t="shared" si="2366"/>
        <v>46133.5625</v>
      </c>
      <c r="S2460" s="318">
        <f t="shared" si="8"/>
        <v>46133.65625</v>
      </c>
    </row>
    <row r="2461">
      <c r="A2461" s="14" t="str">
        <f t="shared" si="1"/>
        <v>C53546133</v>
      </c>
      <c r="B2461" s="185" t="str">
        <f t="array" ref="B2461">IF(F2461="VL","",IF(F2461="Free","Free",XLOOKUP(D2461,Roster!T:T,Roster!S:S,"",0)))</f>
        <v/>
      </c>
      <c r="C2461" s="313">
        <v>46133.0</v>
      </c>
      <c r="D2461" s="314" t="s">
        <v>145</v>
      </c>
      <c r="E2461" s="307" t="str">
        <f t="array" ref="E2461">(XLOOKUP(D2461,Roster!F:F,Roster!B:B,"",0))</f>
        <v>Lina Cadena</v>
      </c>
      <c r="F2461" s="315" t="str">
        <f t="array" ref="F2461">IF(B2461=100,"Free",TEXT(XLOOKUP($D2461,OperationVoice!$A:$A,OperationVoice!AA:AA,XLOOKUP($D2461,OperationTickets!$A:$A,OperationTickets!AA:AA,"",0)),"hh:mm"))</f>
        <v>08:00</v>
      </c>
      <c r="G2461" s="309">
        <f t="shared" si="3"/>
        <v>0.7083333333</v>
      </c>
      <c r="H2461" s="316">
        <f t="array" ref="H2461">XLOOKUP(B2461,Roster!L:L,Roster!N:N,XLOOKUP(D2461,TicketsBreak!A:A,TicketsBreak!E:E,"",0),0)</f>
        <v>0.3854166667</v>
      </c>
      <c r="I2461" s="316">
        <f t="array" ref="I2461">XLOOKUP(B2461,Roster!L:L,Roster!O:O,XLOOKUP(D2461,TicketsBreak!A:A,TicketsBreak!F:F,"",0),0)</f>
        <v>0.5833333333</v>
      </c>
      <c r="J2461" s="316">
        <f t="array" ref="J2461">XLOOKUP(B2461,Roster!L:L,Roster!P:P,XLOOKUP(D2461,TicketsBreak!A:A,TicketsBreak!G:G,"",0),0)</f>
        <v>0.6458333333</v>
      </c>
      <c r="K2461" s="310">
        <f t="shared" si="4"/>
        <v>46133</v>
      </c>
      <c r="L2461" s="317">
        <f t="array" ref="L2461">(XLOOKUP(D2461,Roster!F:F,Roster!D:D,"",0))</f>
        <v>2</v>
      </c>
      <c r="M2461" s="317" t="str">
        <f t="array" ref="M2461">XLOOKUP(D2461,Roster!F:F,Roster!E:E)</f>
        <v>Tickets</v>
      </c>
      <c r="N2461" s="317" t="str">
        <f t="shared" ref="N2461:P2461" si="2495">LEFT(H2461,5)</f>
        <v>09:15</v>
      </c>
      <c r="O2461" s="317" t="str">
        <f t="shared" si="2495"/>
        <v>14:00</v>
      </c>
      <c r="P2461" s="317" t="str">
        <f t="shared" si="2495"/>
        <v>15:30</v>
      </c>
      <c r="Q2461" s="318">
        <f t="shared" si="2365"/>
        <v>46133.38542</v>
      </c>
      <c r="R2461" s="318">
        <f t="shared" si="2366"/>
        <v>46133.58333</v>
      </c>
      <c r="S2461" s="318">
        <f t="shared" si="8"/>
        <v>46133.64583</v>
      </c>
    </row>
    <row r="2462">
      <c r="A2462" s="14" t="str">
        <f t="shared" si="1"/>
        <v>C151746133</v>
      </c>
      <c r="B2462" s="185">
        <f t="array" ref="B2462">IF(F2462="VL","",IF(F2462="Free","Free",XLOOKUP(D2462,Roster!T:T,Roster!S:S,"",0)))</f>
        <v>124</v>
      </c>
      <c r="C2462" s="313">
        <v>46133.0</v>
      </c>
      <c r="D2462" s="314" t="s">
        <v>57</v>
      </c>
      <c r="E2462" s="307" t="str">
        <f t="array" ref="E2462">(XLOOKUP(D2462,Roster!F:F,Roster!B:B,"",0))</f>
        <v>Lisandro Alvarado</v>
      </c>
      <c r="F2462" s="315" t="str">
        <f t="array" ref="F2462">IF(B2462=100,"Free",TEXT(XLOOKUP($D2462,OperationVoice!$A:$A,OperationVoice!AA:AA,XLOOKUP($D2462,OperationTickets!$A:$A,OperationTickets!AA:AA,"",0)),"hh:mm"))</f>
        <v>08:00</v>
      </c>
      <c r="G2462" s="309">
        <f t="shared" si="3"/>
        <v>0.7083333333</v>
      </c>
      <c r="H2462" s="316" t="str">
        <f t="array" ref="H2462">XLOOKUP(B2462,Roster!L:L,Roster!N:N,XLOOKUP(D2462,TicketsBreak!A:A,TicketsBreak!E:E,"",0),0)</f>
        <v>10:00 - 10:15</v>
      </c>
      <c r="I2462" s="316" t="str">
        <f t="array" ref="I2462">XLOOKUP(B2462,Roster!L:L,Roster!O:O,XLOOKUP(D2462,TicketsBreak!A:A,TicketsBreak!F:F,"",0),0)</f>
        <v>13:00 - 13:30</v>
      </c>
      <c r="J2462" s="316" t="str">
        <f t="array" ref="J2462">XLOOKUP(B2462,Roster!L:L,Roster!P:P,XLOOKUP(D2462,TicketsBreak!A:A,TicketsBreak!G:G,"",0),0)</f>
        <v>15:30 - 15:45</v>
      </c>
      <c r="K2462" s="310">
        <f t="shared" si="4"/>
        <v>46133</v>
      </c>
      <c r="L2462" s="317">
        <f t="array" ref="L2462">(XLOOKUP(D2462,Roster!F:F,Roster!D:D,"",0))</f>
        <v>35</v>
      </c>
      <c r="M2462" s="317" t="str">
        <f t="array" ref="M2462">XLOOKUP(D2462,Roster!F:F,Roster!E:E)</f>
        <v>Voice</v>
      </c>
      <c r="N2462" s="317" t="str">
        <f t="shared" ref="N2462:P2462" si="2496">LEFT(H2462,5)</f>
        <v>10:00</v>
      </c>
      <c r="O2462" s="317" t="str">
        <f t="shared" si="2496"/>
        <v>13:00</v>
      </c>
      <c r="P2462" s="317" t="str">
        <f t="shared" si="2496"/>
        <v>15:30</v>
      </c>
      <c r="Q2462" s="318">
        <f t="shared" si="2365"/>
        <v>46133.41667</v>
      </c>
      <c r="R2462" s="318">
        <f t="shared" si="2366"/>
        <v>46133.54167</v>
      </c>
      <c r="S2462" s="318">
        <f t="shared" si="8"/>
        <v>46133.64583</v>
      </c>
    </row>
    <row r="2463">
      <c r="A2463" s="14" t="str">
        <f t="shared" si="1"/>
        <v>C143346133</v>
      </c>
      <c r="B2463" s="185">
        <f t="array" ref="B2463">IF(F2463="VL","",IF(F2463="Free","Free",XLOOKUP(D2463,Roster!T:T,Roster!S:S,"",0)))</f>
        <v>500</v>
      </c>
      <c r="C2463" s="313">
        <v>46133.0</v>
      </c>
      <c r="D2463" s="314" t="s">
        <v>58</v>
      </c>
      <c r="E2463" s="307" t="str">
        <f t="array" ref="E2463">(XLOOKUP(D2463,Roster!F:F,Roster!B:B,"",0))</f>
        <v>Luis Lopez</v>
      </c>
      <c r="F2463" s="315" t="str">
        <f t="array" ref="F2463">IF(B2463=100,"Free",TEXT(XLOOKUP($D2463,OperationVoice!$A:$A,OperationVoice!AA:AA,XLOOKUP($D2463,OperationTickets!$A:$A,OperationTickets!AA:AA,"",0)),"hh:mm"))</f>
        <v>15:00</v>
      </c>
      <c r="G2463" s="309">
        <f t="shared" si="3"/>
        <v>1</v>
      </c>
      <c r="H2463" s="316" t="str">
        <f t="array" ref="H2463">XLOOKUP(B2463,Roster!L:L,Roster!N:N,XLOOKUP(D2463,TicketsBreak!A:A,TicketsBreak!E:E,"",0),0)</f>
        <v>Team Leader</v>
      </c>
      <c r="I2463" s="316" t="str">
        <f t="array" ref="I2463">XLOOKUP(B2463,Roster!L:L,Roster!O:O,XLOOKUP(D2463,TicketsBreak!A:A,TicketsBreak!F:F,"",0),0)</f>
        <v>Team Leader</v>
      </c>
      <c r="J2463" s="316" t="str">
        <f t="array" ref="J2463">XLOOKUP(B2463,Roster!L:L,Roster!P:P,XLOOKUP(D2463,TicketsBreak!A:A,TicketsBreak!G:G,"",0),0)</f>
        <v/>
      </c>
      <c r="K2463" s="310">
        <f t="shared" si="4"/>
        <v>46133</v>
      </c>
      <c r="L2463" s="317">
        <f t="array" ref="L2463">(XLOOKUP(D2463,Roster!F:F,Roster!D:D,"",0))</f>
        <v>32</v>
      </c>
      <c r="M2463" s="317" t="str">
        <f t="array" ref="M2463">XLOOKUP(D2463,Roster!F:F,Roster!E:E)</f>
        <v>Voice</v>
      </c>
      <c r="N2463" s="317" t="str">
        <f t="shared" ref="N2463:P2463" si="2497">LEFT(H2463,5)</f>
        <v>Team </v>
      </c>
      <c r="O2463" s="317" t="str">
        <f t="shared" si="2497"/>
        <v>Team </v>
      </c>
      <c r="P2463" s="317" t="str">
        <f t="shared" si="2497"/>
        <v/>
      </c>
      <c r="Q2463" s="318" t="str">
        <f t="shared" si="2365"/>
        <v>#VALUE!</v>
      </c>
      <c r="R2463" s="318" t="str">
        <f t="shared" si="2366"/>
        <v>#VALUE!</v>
      </c>
      <c r="S2463" s="318" t="str">
        <f t="shared" si="8"/>
        <v/>
      </c>
    </row>
    <row r="2464">
      <c r="A2464" s="14" t="str">
        <f t="shared" si="1"/>
        <v>C153446133</v>
      </c>
      <c r="B2464" s="185">
        <f t="array" ref="B2464">IF(F2464="VL","",IF(F2464="Free","Free",XLOOKUP(D2464,Roster!T:T,Roster!S:S,"",0)))</f>
        <v>126</v>
      </c>
      <c r="C2464" s="313">
        <v>46133.0</v>
      </c>
      <c r="D2464" s="314" t="s">
        <v>59</v>
      </c>
      <c r="E2464" s="307" t="str">
        <f t="array" ref="E2464">(XLOOKUP(D2464,Roster!F:F,Roster!B:B,"",0))</f>
        <v>Luis Munoz</v>
      </c>
      <c r="F2464" s="315" t="str">
        <f t="array" ref="F2464">IF(B2464=100,"Free",TEXT(XLOOKUP($D2464,OperationVoice!$A:$A,OperationVoice!AA:AA,XLOOKUP($D2464,OperationTickets!$A:$A,OperationTickets!AA:AA,"",0)),"hh:mm"))</f>
        <v>08:00</v>
      </c>
      <c r="G2464" s="309">
        <f t="shared" si="3"/>
        <v>0.7083333333</v>
      </c>
      <c r="H2464" s="316" t="str">
        <f t="array" ref="H2464">XLOOKUP(B2464,Roster!L:L,Roster!N:N,XLOOKUP(D2464,TicketsBreak!A:A,TicketsBreak!E:E,"",0),0)</f>
        <v>10:45 - 11:00</v>
      </c>
      <c r="I2464" s="316" t="str">
        <f t="array" ref="I2464">XLOOKUP(B2464,Roster!L:L,Roster!O:O,XLOOKUP(D2464,TicketsBreak!A:A,TicketsBreak!F:F,"",0),0)</f>
        <v>14:00 - 14:30</v>
      </c>
      <c r="J2464" s="316" t="str">
        <f t="array" ref="J2464">XLOOKUP(B2464,Roster!L:L,Roster!P:P,XLOOKUP(D2464,TicketsBreak!A:A,TicketsBreak!G:G,"",0),0)</f>
        <v>15:45 - 16:00</v>
      </c>
      <c r="K2464" s="310">
        <f t="shared" si="4"/>
        <v>46133</v>
      </c>
      <c r="L2464" s="317">
        <f t="array" ref="L2464">(XLOOKUP(D2464,Roster!F:F,Roster!D:D,"",0))</f>
        <v>36</v>
      </c>
      <c r="M2464" s="317" t="str">
        <f t="array" ref="M2464">XLOOKUP(D2464,Roster!F:F,Roster!E:E)</f>
        <v>Voice</v>
      </c>
      <c r="N2464" s="317" t="str">
        <f t="shared" ref="N2464:P2464" si="2498">LEFT(H2464,5)</f>
        <v>10:45</v>
      </c>
      <c r="O2464" s="317" t="str">
        <f t="shared" si="2498"/>
        <v>14:00</v>
      </c>
      <c r="P2464" s="317" t="str">
        <f t="shared" si="2498"/>
        <v>15:45</v>
      </c>
      <c r="Q2464" s="318">
        <f t="shared" si="2365"/>
        <v>46133.44792</v>
      </c>
      <c r="R2464" s="318">
        <f t="shared" si="2366"/>
        <v>46133.58333</v>
      </c>
      <c r="S2464" s="318">
        <f t="shared" si="8"/>
        <v>46133.65625</v>
      </c>
    </row>
    <row r="2465">
      <c r="A2465" s="14" t="str">
        <f t="shared" si="1"/>
        <v>C53846133</v>
      </c>
      <c r="B2465" s="185" t="str">
        <f t="array" ref="B2465">IF(F2465="VL","",IF(F2465="Free","Free",XLOOKUP(D2465,Roster!T:T,Roster!S:S,"",0)))</f>
        <v/>
      </c>
      <c r="C2465" s="313">
        <v>46133.0</v>
      </c>
      <c r="D2465" s="314" t="s">
        <v>165</v>
      </c>
      <c r="E2465" s="307" t="str">
        <f t="array" ref="E2465">(XLOOKUP(D2465,Roster!F:F,Roster!B:B,"",0))</f>
        <v>Luisa Arenas</v>
      </c>
      <c r="F2465" s="315" t="str">
        <f t="array" ref="F2465">IF(B2465=100,"Free",TEXT(XLOOKUP($D2465,OperationVoice!$A:$A,OperationVoice!AA:AA,XLOOKUP($D2465,OperationTickets!$A:$A,OperationTickets!AA:AA,"",0)),"hh:mm"))</f>
        <v>08:00</v>
      </c>
      <c r="G2465" s="309">
        <f t="shared" si="3"/>
        <v>0.7083333333</v>
      </c>
      <c r="H2465" s="316" t="str">
        <f t="array" ref="H2465">XLOOKUP(B2465,Roster!L:L,Roster!N:N,XLOOKUP(D2465,TicketsBreak!A:A,TicketsBreak!E:E,"",0),0)</f>
        <v/>
      </c>
      <c r="I2465" s="316" t="str">
        <f t="array" ref="I2465">XLOOKUP(B2465,Roster!L:L,Roster!O:O,XLOOKUP(D2465,TicketsBreak!A:A,TicketsBreak!F:F,"",0),0)</f>
        <v/>
      </c>
      <c r="J2465" s="316" t="str">
        <f t="array" ref="J2465">XLOOKUP(B2465,Roster!L:L,Roster!P:P,XLOOKUP(D2465,TicketsBreak!A:A,TicketsBreak!G:G,"",0),0)</f>
        <v/>
      </c>
      <c r="K2465" s="310">
        <f t="shared" si="4"/>
        <v>46133</v>
      </c>
      <c r="L2465" s="317">
        <f t="array" ref="L2465">(XLOOKUP(D2465,Roster!F:F,Roster!D:D,"",0))</f>
        <v>35</v>
      </c>
      <c r="M2465" s="317" t="str">
        <f t="array" ref="M2465">XLOOKUP(D2465,Roster!F:F,Roster!E:E)</f>
        <v>Tickets</v>
      </c>
      <c r="N2465" s="317" t="str">
        <f t="shared" ref="N2465:P2465" si="2499">LEFT(H2465,5)</f>
        <v/>
      </c>
      <c r="O2465" s="317" t="str">
        <f t="shared" si="2499"/>
        <v/>
      </c>
      <c r="P2465" s="317" t="str">
        <f t="shared" si="2499"/>
        <v/>
      </c>
      <c r="Q2465" s="318" t="str">
        <f t="shared" si="2365"/>
        <v/>
      </c>
      <c r="R2465" s="318" t="str">
        <f t="shared" si="2366"/>
        <v/>
      </c>
      <c r="S2465" s="318" t="str">
        <f t="shared" si="8"/>
        <v/>
      </c>
    </row>
    <row r="2466">
      <c r="A2466" s="14" t="str">
        <f t="shared" si="1"/>
        <v>C113646133</v>
      </c>
      <c r="B2466" s="185">
        <f t="array" ref="B2466">IF(F2466="VL","",IF(F2466="Free","Free",XLOOKUP(D2466,Roster!T:T,Roster!S:S,"",0)))</f>
        <v>126</v>
      </c>
      <c r="C2466" s="313">
        <v>46133.0</v>
      </c>
      <c r="D2466" s="314" t="s">
        <v>60</v>
      </c>
      <c r="E2466" s="307" t="str">
        <f t="array" ref="E2466">(XLOOKUP(D2466,Roster!F:F,Roster!B:B,"",0))</f>
        <v>Luisa Gonzalez</v>
      </c>
      <c r="F2466" s="315" t="str">
        <f t="array" ref="F2466">IF(B2466=100,"Free",TEXT(XLOOKUP($D2466,OperationVoice!$A:$A,OperationVoice!AA:AA,XLOOKUP($D2466,OperationTickets!$A:$A,OperationTickets!AA:AA,"",0)),"hh:mm"))</f>
        <v>08:00</v>
      </c>
      <c r="G2466" s="309">
        <f t="shared" si="3"/>
        <v>0.7083333333</v>
      </c>
      <c r="H2466" s="316" t="str">
        <f t="array" ref="H2466">XLOOKUP(B2466,Roster!L:L,Roster!N:N,XLOOKUP(D2466,TicketsBreak!A:A,TicketsBreak!E:E,"",0),0)</f>
        <v>10:45 - 11:00</v>
      </c>
      <c r="I2466" s="316" t="str">
        <f t="array" ref="I2466">XLOOKUP(B2466,Roster!L:L,Roster!O:O,XLOOKUP(D2466,TicketsBreak!A:A,TicketsBreak!F:F,"",0),0)</f>
        <v>14:00 - 14:30</v>
      </c>
      <c r="J2466" s="316" t="str">
        <f t="array" ref="J2466">XLOOKUP(B2466,Roster!L:L,Roster!P:P,XLOOKUP(D2466,TicketsBreak!A:A,TicketsBreak!G:G,"",0),0)</f>
        <v>15:45 - 16:00</v>
      </c>
      <c r="K2466" s="310">
        <f t="shared" si="4"/>
        <v>46133</v>
      </c>
      <c r="L2466" s="317">
        <f t="array" ref="L2466">(XLOOKUP(D2466,Roster!F:F,Roster!D:D,"",0))</f>
        <v>22</v>
      </c>
      <c r="M2466" s="317" t="str">
        <f t="array" ref="M2466">XLOOKUP(D2466,Roster!F:F,Roster!E:E)</f>
        <v>Voice</v>
      </c>
      <c r="N2466" s="317" t="str">
        <f t="shared" ref="N2466:P2466" si="2500">LEFT(H2466,5)</f>
        <v>10:45</v>
      </c>
      <c r="O2466" s="317" t="str">
        <f t="shared" si="2500"/>
        <v>14:00</v>
      </c>
      <c r="P2466" s="317" t="str">
        <f t="shared" si="2500"/>
        <v>15:45</v>
      </c>
      <c r="Q2466" s="318">
        <f t="shared" si="2365"/>
        <v>46133.44792</v>
      </c>
      <c r="R2466" s="318">
        <f t="shared" si="2366"/>
        <v>46133.58333</v>
      </c>
      <c r="S2466" s="318">
        <f t="shared" si="8"/>
        <v>46133.65625</v>
      </c>
    </row>
    <row r="2467">
      <c r="A2467" s="14" t="str">
        <f t="shared" si="1"/>
        <v>C157746133</v>
      </c>
      <c r="B2467" s="185">
        <f t="array" ref="B2467">IF(F2467="VL","",IF(F2467="Free","Free",XLOOKUP(D2467,Roster!T:T,Roster!S:S,"",0)))</f>
        <v>126</v>
      </c>
      <c r="C2467" s="313">
        <v>46133.0</v>
      </c>
      <c r="D2467" s="314" t="s">
        <v>61</v>
      </c>
      <c r="E2467" s="307" t="str">
        <f t="array" ref="E2467">(XLOOKUP(D2467,Roster!F:F,Roster!B:B,"",0))</f>
        <v>Luna Morales</v>
      </c>
      <c r="F2467" s="315" t="str">
        <f t="array" ref="F2467">IF(B2467=100,"Free",TEXT(XLOOKUP($D2467,OperationVoice!$A:$A,OperationVoice!AA:AA,XLOOKUP($D2467,OperationTickets!$A:$A,OperationTickets!AA:AA,"",0)),"hh:mm"))</f>
        <v>08:00</v>
      </c>
      <c r="G2467" s="309">
        <f t="shared" si="3"/>
        <v>0.7083333333</v>
      </c>
      <c r="H2467" s="316" t="str">
        <f t="array" ref="H2467">XLOOKUP(B2467,Roster!L:L,Roster!N:N,XLOOKUP(D2467,TicketsBreak!A:A,TicketsBreak!E:E,"",0),0)</f>
        <v>10:45 - 11:00</v>
      </c>
      <c r="I2467" s="316" t="str">
        <f t="array" ref="I2467">XLOOKUP(B2467,Roster!L:L,Roster!O:O,XLOOKUP(D2467,TicketsBreak!A:A,TicketsBreak!F:F,"",0),0)</f>
        <v>14:00 - 14:30</v>
      </c>
      <c r="J2467" s="316" t="str">
        <f t="array" ref="J2467">XLOOKUP(B2467,Roster!L:L,Roster!P:P,XLOOKUP(D2467,TicketsBreak!A:A,TicketsBreak!G:G,"",0),0)</f>
        <v>15:45 - 16:00</v>
      </c>
      <c r="K2467" s="310">
        <f t="shared" si="4"/>
        <v>46133</v>
      </c>
      <c r="L2467" s="317">
        <f t="array" ref="L2467">(XLOOKUP(D2467,Roster!F:F,Roster!D:D,"",0))</f>
        <v>38</v>
      </c>
      <c r="M2467" s="317" t="str">
        <f t="array" ref="M2467">XLOOKUP(D2467,Roster!F:F,Roster!E:E)</f>
        <v>Voice</v>
      </c>
      <c r="N2467" s="317" t="str">
        <f t="shared" ref="N2467:P2467" si="2501">LEFT(H2467,5)</f>
        <v>10:45</v>
      </c>
      <c r="O2467" s="317" t="str">
        <f t="shared" si="2501"/>
        <v>14:00</v>
      </c>
      <c r="P2467" s="317" t="str">
        <f t="shared" si="2501"/>
        <v>15:45</v>
      </c>
      <c r="Q2467" s="318">
        <f t="shared" si="2365"/>
        <v>46133.44792</v>
      </c>
      <c r="R2467" s="318">
        <f t="shared" si="2366"/>
        <v>46133.58333</v>
      </c>
      <c r="S2467" s="318">
        <f t="shared" si="8"/>
        <v>46133.65625</v>
      </c>
    </row>
    <row r="2468">
      <c r="A2468" s="14" t="str">
        <f t="shared" si="1"/>
        <v>C121946133</v>
      </c>
      <c r="B2468" s="185" t="str">
        <f t="array" ref="B2468">IF(F2468="VL","",IF(F2468="Free","Free",XLOOKUP(D2468,Roster!T:T,Roster!S:S,"",0)))</f>
        <v/>
      </c>
      <c r="C2468" s="313">
        <v>46133.0</v>
      </c>
      <c r="D2468" s="314" t="s">
        <v>146</v>
      </c>
      <c r="E2468" s="307" t="str">
        <f t="array" ref="E2468">(XLOOKUP(D2468,Roster!F:F,Roster!B:B,"",0))</f>
        <v>Madelyn Jaramillo</v>
      </c>
      <c r="F2468" s="315" t="str">
        <f t="array" ref="F2468">IF(B2468=100,"Free",TEXT(XLOOKUP($D2468,OperationVoice!$A:$A,OperationVoice!AA:AA,XLOOKUP($D2468,OperationTickets!$A:$A,OperationTickets!AA:AA,"",0)),"hh:mm"))</f>
        <v>08:00</v>
      </c>
      <c r="G2468" s="309">
        <f t="shared" si="3"/>
        <v>0.7083333333</v>
      </c>
      <c r="H2468" s="316" t="str">
        <f t="array" ref="H2468">XLOOKUP(B2468,Roster!L:L,Roster!N:N,XLOOKUP(D2468,TicketsBreak!A:A,TicketsBreak!E:E,"",0),0)</f>
        <v/>
      </c>
      <c r="I2468" s="316" t="str">
        <f t="array" ref="I2468">XLOOKUP(B2468,Roster!L:L,Roster!O:O,XLOOKUP(D2468,TicketsBreak!A:A,TicketsBreak!F:F,"",0),0)</f>
        <v/>
      </c>
      <c r="J2468" s="316" t="str">
        <f t="array" ref="J2468">XLOOKUP(B2468,Roster!L:L,Roster!P:P,XLOOKUP(D2468,TicketsBreak!A:A,TicketsBreak!G:G,"",0),0)</f>
        <v/>
      </c>
      <c r="K2468" s="310">
        <f t="shared" si="4"/>
        <v>46133</v>
      </c>
      <c r="L2468" s="317">
        <f t="array" ref="L2468">(XLOOKUP(D2468,Roster!F:F,Roster!D:D,"",0))</f>
        <v>26</v>
      </c>
      <c r="M2468" s="317" t="str">
        <f t="array" ref="M2468">XLOOKUP(D2468,Roster!F:F,Roster!E:E)</f>
        <v>Tickets</v>
      </c>
      <c r="N2468" s="317" t="str">
        <f t="shared" ref="N2468:P2468" si="2502">LEFT(H2468,5)</f>
        <v/>
      </c>
      <c r="O2468" s="317" t="str">
        <f t="shared" si="2502"/>
        <v/>
      </c>
      <c r="P2468" s="317" t="str">
        <f t="shared" si="2502"/>
        <v/>
      </c>
      <c r="Q2468" s="318" t="str">
        <f t="shared" si="2365"/>
        <v/>
      </c>
      <c r="R2468" s="318" t="str">
        <f t="shared" si="2366"/>
        <v/>
      </c>
      <c r="S2468" s="318" t="str">
        <f t="shared" si="8"/>
        <v/>
      </c>
    </row>
    <row r="2469">
      <c r="A2469" s="14" t="str">
        <f t="shared" si="1"/>
        <v>C151646133</v>
      </c>
      <c r="B2469" s="185">
        <f t="array" ref="B2469">IF(F2469="VL","",IF(F2469="Free","Free",XLOOKUP(D2469,Roster!T:T,Roster!S:S,"",0)))</f>
        <v>122</v>
      </c>
      <c r="C2469" s="313">
        <v>46133.0</v>
      </c>
      <c r="D2469" s="314" t="s">
        <v>62</v>
      </c>
      <c r="E2469" s="307" t="str">
        <f t="array" ref="E2469">(XLOOKUP(D2469,Roster!F:F,Roster!B:B,"",0))</f>
        <v>Magda Foronda</v>
      </c>
      <c r="F2469" s="315" t="str">
        <f t="array" ref="F2469">IF(B2469=100,"Free",TEXT(XLOOKUP($D2469,OperationVoice!$A:$A,OperationVoice!AA:AA,XLOOKUP($D2469,OperationTickets!$A:$A,OperationTickets!AA:AA,"",0)),"hh:mm"))</f>
        <v>08:00</v>
      </c>
      <c r="G2469" s="309">
        <f t="shared" si="3"/>
        <v>0.7083333333</v>
      </c>
      <c r="H2469" s="316" t="str">
        <f t="array" ref="H2469">XLOOKUP(B2469,Roster!L:L,Roster!N:N,XLOOKUP(D2469,TicketsBreak!A:A,TicketsBreak!E:E,"",0),0)</f>
        <v>09:30 - 09:45</v>
      </c>
      <c r="I2469" s="316" t="str">
        <f t="array" ref="I2469">XLOOKUP(B2469,Roster!L:L,Roster!O:O,XLOOKUP(D2469,TicketsBreak!A:A,TicketsBreak!F:F,"",0),0)</f>
        <v>12:00 - 12:30</v>
      </c>
      <c r="J2469" s="316" t="str">
        <f t="array" ref="J2469">XLOOKUP(B2469,Roster!L:L,Roster!P:P,XLOOKUP(D2469,TicketsBreak!A:A,TicketsBreak!G:G,"",0),0)</f>
        <v>14:45 - 15:00</v>
      </c>
      <c r="K2469" s="310">
        <f t="shared" si="4"/>
        <v>46133</v>
      </c>
      <c r="L2469" s="317">
        <f t="array" ref="L2469">(XLOOKUP(D2469,Roster!F:F,Roster!D:D,"",0))</f>
        <v>35</v>
      </c>
      <c r="M2469" s="317" t="str">
        <f t="array" ref="M2469">XLOOKUP(D2469,Roster!F:F,Roster!E:E)</f>
        <v>Voice</v>
      </c>
      <c r="N2469" s="317" t="str">
        <f t="shared" ref="N2469:P2469" si="2503">LEFT(H2469,5)</f>
        <v>09:30</v>
      </c>
      <c r="O2469" s="317" t="str">
        <f t="shared" si="2503"/>
        <v>12:00</v>
      </c>
      <c r="P2469" s="317" t="str">
        <f t="shared" si="2503"/>
        <v>14:45</v>
      </c>
      <c r="Q2469" s="318">
        <f t="shared" si="2365"/>
        <v>46133.39583</v>
      </c>
      <c r="R2469" s="318">
        <f t="shared" si="2366"/>
        <v>46133.5</v>
      </c>
      <c r="S2469" s="318">
        <f t="shared" si="8"/>
        <v>46133.61458</v>
      </c>
    </row>
    <row r="2470">
      <c r="A2470" s="14" t="str">
        <f t="shared" si="1"/>
        <v>C118046133</v>
      </c>
      <c r="B2470" s="185">
        <f t="array" ref="B2470">IF(F2470="VL","",IF(F2470="Free","Free",XLOOKUP(D2470,Roster!T:T,Roster!S:S,"",0)))</f>
        <v>500</v>
      </c>
      <c r="C2470" s="313">
        <v>46133.0</v>
      </c>
      <c r="D2470" s="314" t="s">
        <v>147</v>
      </c>
      <c r="E2470" s="307" t="str">
        <f t="array" ref="E2470">(XLOOKUP(D2470,Roster!F:F,Roster!B:B,"",0))</f>
        <v>Manuela Moreno</v>
      </c>
      <c r="F2470" s="315" t="str">
        <f t="array" ref="F2470">IF(B2470=100,"Free",TEXT(XLOOKUP($D2470,OperationVoice!$A:$A,OperationVoice!AA:AA,XLOOKUP($D2470,OperationTickets!$A:$A,OperationTickets!AA:AA,"",0)),"hh:mm"))</f>
        <v>09:00</v>
      </c>
      <c r="G2470" s="309">
        <f t="shared" si="3"/>
        <v>0.75</v>
      </c>
      <c r="H2470" s="316" t="str">
        <f t="array" ref="H2470">XLOOKUP(B2470,Roster!L:L,Roster!N:N,XLOOKUP(D2470,TicketsBreak!A:A,TicketsBreak!E:E,"",0),0)</f>
        <v>Team Leader</v>
      </c>
      <c r="I2470" s="316" t="str">
        <f t="array" ref="I2470">XLOOKUP(B2470,Roster!L:L,Roster!O:O,XLOOKUP(D2470,TicketsBreak!A:A,TicketsBreak!F:F,"",0),0)</f>
        <v>Team Leader</v>
      </c>
      <c r="J2470" s="316" t="str">
        <f t="array" ref="J2470">XLOOKUP(B2470,Roster!L:L,Roster!P:P,XLOOKUP(D2470,TicketsBreak!A:A,TicketsBreak!G:G,"",0),0)</f>
        <v/>
      </c>
      <c r="K2470" s="310">
        <f t="shared" si="4"/>
        <v>46133</v>
      </c>
      <c r="L2470" s="317">
        <f t="array" ref="L2470">(XLOOKUP(D2470,Roster!F:F,Roster!D:D,"",0))</f>
        <v>24</v>
      </c>
      <c r="M2470" s="317" t="str">
        <f t="array" ref="M2470">XLOOKUP(D2470,Roster!F:F,Roster!E:E)</f>
        <v>Tickets</v>
      </c>
      <c r="N2470" s="317" t="str">
        <f t="shared" ref="N2470:P2470" si="2504">LEFT(H2470,5)</f>
        <v>Team </v>
      </c>
      <c r="O2470" s="317" t="str">
        <f t="shared" si="2504"/>
        <v>Team </v>
      </c>
      <c r="P2470" s="317" t="str">
        <f t="shared" si="2504"/>
        <v/>
      </c>
      <c r="Q2470" s="318" t="str">
        <f>IF(P2470="","",$C2470+N2470)</f>
        <v/>
      </c>
      <c r="R2470" s="318" t="str">
        <f>if(P2470="","",$C2470+O2470)</f>
        <v/>
      </c>
      <c r="S2470" s="318" t="str">
        <f t="shared" si="8"/>
        <v/>
      </c>
    </row>
    <row r="2471">
      <c r="A2471" s="14" t="str">
        <f t="shared" si="1"/>
        <v>C153646133</v>
      </c>
      <c r="B2471" s="185">
        <f t="array" ref="B2471">IF(F2471="VL","",IF(F2471="Free","Free",XLOOKUP(D2471,Roster!T:T,Roster!S:S,"",0)))</f>
        <v>121</v>
      </c>
      <c r="C2471" s="313">
        <v>46133.0</v>
      </c>
      <c r="D2471" s="314" t="s">
        <v>63</v>
      </c>
      <c r="E2471" s="307" t="str">
        <f t="array" ref="E2471">(XLOOKUP(D2471,Roster!F:F,Roster!B:B,"",0))</f>
        <v>Maria Mesa</v>
      </c>
      <c r="F2471" s="315" t="str">
        <f t="array" ref="F2471">IF(B2471=100,"Free",TEXT(XLOOKUP($D2471,OperationVoice!$A:$A,OperationVoice!AA:AA,XLOOKUP($D2471,OperationTickets!$A:$A,OperationTickets!AA:AA,"",0)),"hh:mm"))</f>
        <v>08:00</v>
      </c>
      <c r="G2471" s="309">
        <f t="shared" si="3"/>
        <v>0.7083333333</v>
      </c>
      <c r="H2471" s="316" t="str">
        <f t="array" ref="H2471">XLOOKUP(B2471,Roster!L:L,Roster!N:N,XLOOKUP(D2471,TicketsBreak!A:A,TicketsBreak!E:E,"",0),0)</f>
        <v>09:15 - 09:30</v>
      </c>
      <c r="I2471" s="316" t="str">
        <f t="array" ref="I2471">XLOOKUP(B2471,Roster!L:L,Roster!O:O,XLOOKUP(D2471,TicketsBreak!A:A,TicketsBreak!F:F,"",0),0)</f>
        <v>11:30 - 12:00</v>
      </c>
      <c r="J2471" s="316" t="str">
        <f t="array" ref="J2471">XLOOKUP(B2471,Roster!L:L,Roster!P:P,XLOOKUP(D2471,TicketsBreak!A:A,TicketsBreak!G:G,"",0),0)</f>
        <v>14:30 - 14:45</v>
      </c>
      <c r="K2471" s="310">
        <f t="shared" si="4"/>
        <v>46133</v>
      </c>
      <c r="L2471" s="317">
        <f t="array" ref="L2471">(XLOOKUP(D2471,Roster!F:F,Roster!D:D,"",0))</f>
        <v>36</v>
      </c>
      <c r="M2471" s="317" t="str">
        <f t="array" ref="M2471">XLOOKUP(D2471,Roster!F:F,Roster!E:E)</f>
        <v>Voice</v>
      </c>
      <c r="N2471" s="317" t="str">
        <f t="shared" ref="N2471:P2471" si="2505">LEFT(H2471,5)</f>
        <v>09:15</v>
      </c>
      <c r="O2471" s="317" t="str">
        <f t="shared" si="2505"/>
        <v>11:30</v>
      </c>
      <c r="P2471" s="317" t="str">
        <f t="shared" si="2505"/>
        <v>14:30</v>
      </c>
      <c r="Q2471" s="318">
        <f t="shared" ref="Q2471:Q2609" si="2507">IF(N2471="","",$C2471+N2471)</f>
        <v>46133.38542</v>
      </c>
      <c r="R2471" s="318">
        <f t="shared" ref="R2471:R2609" si="2508">if(O2471="","",$C2471+O2471)</f>
        <v>46133.47917</v>
      </c>
      <c r="S2471" s="318">
        <f t="shared" si="8"/>
        <v>46133.60417</v>
      </c>
    </row>
    <row r="2472">
      <c r="A2472" s="14" t="str">
        <f t="shared" si="1"/>
        <v>C74046133</v>
      </c>
      <c r="B2472" s="185" t="str">
        <f t="array" ref="B2472">IF(F2472="VL","",IF(F2472="Free","Free",XLOOKUP(D2472,Roster!T:T,Roster!S:S,"",0)))</f>
        <v>Free</v>
      </c>
      <c r="C2472" s="313">
        <v>46133.0</v>
      </c>
      <c r="D2472" s="314" t="s">
        <v>166</v>
      </c>
      <c r="E2472" s="307" t="str">
        <f t="array" ref="E2472">(XLOOKUP(D2472,Roster!F:F,Roster!B:B,"",0))</f>
        <v>Mateo Agudelo</v>
      </c>
      <c r="F2472" s="315" t="str">
        <f t="array" ref="F2472">IF(B2472=100,"Free",TEXT(XLOOKUP($D2472,OperationVoice!$A:$A,OperationVoice!AA:AA,XLOOKUP($D2472,OperationTickets!$A:$A,OperationTickets!AA:AA,"",0)),"hh:mm"))</f>
        <v>Free</v>
      </c>
      <c r="G2472" s="309" t="str">
        <f t="shared" si="3"/>
        <v>Free</v>
      </c>
      <c r="H2472" s="316">
        <f t="array" ref="H2472">XLOOKUP(B2472,Roster!L:L,Roster!N:N,XLOOKUP(D2472,TicketsBreak!A:A,TicketsBreak!E:E,"",0),0)</f>
        <v>0.4166666667</v>
      </c>
      <c r="I2472" s="316">
        <f t="array" ref="I2472">XLOOKUP(B2472,Roster!L:L,Roster!O:O,XLOOKUP(D2472,TicketsBreak!A:A,TicketsBreak!F:F,"",0),0)</f>
        <v>0.5</v>
      </c>
      <c r="J2472" s="316">
        <f t="array" ref="J2472">XLOOKUP(B2472,Roster!L:L,Roster!P:P,XLOOKUP(D2472,TicketsBreak!A:A,TicketsBreak!G:G,"",0),0)</f>
        <v>0.65625</v>
      </c>
      <c r="K2472" s="310">
        <f t="shared" si="4"/>
        <v>46133</v>
      </c>
      <c r="L2472" s="317">
        <f t="array" ref="L2472">(XLOOKUP(D2472,Roster!F:F,Roster!D:D,"",0))</f>
        <v>8</v>
      </c>
      <c r="M2472" s="317" t="str">
        <f t="array" ref="M2472">XLOOKUP(D2472,Roster!F:F,Roster!E:E)</f>
        <v>Tickets</v>
      </c>
      <c r="N2472" s="317" t="str">
        <f t="shared" ref="N2472:P2472" si="2506">LEFT(H2472,5)</f>
        <v>10:00</v>
      </c>
      <c r="O2472" s="317" t="str">
        <f t="shared" si="2506"/>
        <v>12:00</v>
      </c>
      <c r="P2472" s="317" t="str">
        <f t="shared" si="2506"/>
        <v>15:45</v>
      </c>
      <c r="Q2472" s="318">
        <f t="shared" si="2507"/>
        <v>46133.41667</v>
      </c>
      <c r="R2472" s="318">
        <f t="shared" si="2508"/>
        <v>46133.5</v>
      </c>
      <c r="S2472" s="318">
        <f t="shared" si="8"/>
        <v>46133.65625</v>
      </c>
    </row>
    <row r="2473">
      <c r="A2473" s="14" t="str">
        <f t="shared" si="1"/>
        <v>C142946133</v>
      </c>
      <c r="B2473" s="185">
        <f t="array" ref="B2473">IF(F2473="VL","",IF(F2473="Free","Free",XLOOKUP(D2473,Roster!T:T,Roster!S:S,"",0)))</f>
        <v>121</v>
      </c>
      <c r="C2473" s="313">
        <v>46133.0</v>
      </c>
      <c r="D2473" s="314" t="s">
        <v>178</v>
      </c>
      <c r="E2473" s="307" t="str">
        <f t="array" ref="E2473">(XLOOKUP(D2473,Roster!F:F,Roster!B:B,"",0))</f>
        <v>Mateo Vanegas</v>
      </c>
      <c r="F2473" s="315" t="str">
        <f t="array" ref="F2473">IF(B2473=100,"Free",TEXT(XLOOKUP($D2473,OperationVoice!$A:$A,OperationVoice!AA:AA,XLOOKUP($D2473,OperationTickets!$A:$A,OperationTickets!AA:AA,"",0)),"hh:mm"))</f>
        <v>08:00</v>
      </c>
      <c r="G2473" s="309">
        <f t="shared" si="3"/>
        <v>0.7083333333</v>
      </c>
      <c r="H2473" s="316" t="str">
        <f t="array" ref="H2473">XLOOKUP(B2473,Roster!L:L,Roster!N:N,XLOOKUP(D2473,TicketsBreak!A:A,TicketsBreak!E:E,"",0),0)</f>
        <v>09:15 - 09:30</v>
      </c>
      <c r="I2473" s="316" t="str">
        <f t="array" ref="I2473">XLOOKUP(B2473,Roster!L:L,Roster!O:O,XLOOKUP(D2473,TicketsBreak!A:A,TicketsBreak!F:F,"",0),0)</f>
        <v>11:30 - 12:00</v>
      </c>
      <c r="J2473" s="316" t="str">
        <f t="array" ref="J2473">XLOOKUP(B2473,Roster!L:L,Roster!P:P,XLOOKUP(D2473,TicketsBreak!A:A,TicketsBreak!G:G,"",0),0)</f>
        <v>14:30 - 14:45</v>
      </c>
      <c r="K2473" s="310">
        <f t="shared" si="4"/>
        <v>46133</v>
      </c>
      <c r="L2473" s="317">
        <f t="array" ref="L2473">(XLOOKUP(D2473,Roster!F:F,Roster!D:D,"",0))</f>
        <v>32</v>
      </c>
      <c r="M2473" s="317" t="str">
        <f t="array" ref="M2473">XLOOKUP(D2473,Roster!F:F,Roster!E:E)</f>
        <v>Tickets</v>
      </c>
      <c r="N2473" s="317" t="str">
        <f t="shared" ref="N2473:P2473" si="2509">LEFT(H2473,5)</f>
        <v>09:15</v>
      </c>
      <c r="O2473" s="317" t="str">
        <f t="shared" si="2509"/>
        <v>11:30</v>
      </c>
      <c r="P2473" s="317" t="str">
        <f t="shared" si="2509"/>
        <v>14:30</v>
      </c>
      <c r="Q2473" s="318">
        <f t="shared" si="2507"/>
        <v>46133.38542</v>
      </c>
      <c r="R2473" s="318">
        <f t="shared" si="2508"/>
        <v>46133.47917</v>
      </c>
      <c r="S2473" s="318">
        <f t="shared" si="8"/>
        <v>46133.60417</v>
      </c>
    </row>
    <row r="2474">
      <c r="A2474" s="14" t="str">
        <f t="shared" si="1"/>
        <v>C146846133</v>
      </c>
      <c r="B2474" s="185">
        <f t="array" ref="B2474">IF(F2474="VL","",IF(F2474="Free","Free",XLOOKUP(D2474,Roster!T:T,Roster!S:S,"",0)))</f>
        <v>122</v>
      </c>
      <c r="C2474" s="313">
        <v>46133.0</v>
      </c>
      <c r="D2474" s="314" t="s">
        <v>64</v>
      </c>
      <c r="E2474" s="307" t="str">
        <f t="array" ref="E2474">(XLOOKUP(D2474,Roster!F:F,Roster!B:B,"",0))</f>
        <v>Miguel Betancur</v>
      </c>
      <c r="F2474" s="315" t="str">
        <f t="array" ref="F2474">IF(B2474=100,"Free",TEXT(XLOOKUP($D2474,OperationVoice!$A:$A,OperationVoice!AA:AA,XLOOKUP($D2474,OperationTickets!$A:$A,OperationTickets!AA:AA,"",0)),"hh:mm"))</f>
        <v>08:00</v>
      </c>
      <c r="G2474" s="309">
        <f t="shared" si="3"/>
        <v>0.7083333333</v>
      </c>
      <c r="H2474" s="316" t="str">
        <f t="array" ref="H2474">XLOOKUP(B2474,Roster!L:L,Roster!N:N,XLOOKUP(D2474,TicketsBreak!A:A,TicketsBreak!E:E,"",0),0)</f>
        <v>09:30 - 09:45</v>
      </c>
      <c r="I2474" s="316" t="str">
        <f t="array" ref="I2474">XLOOKUP(B2474,Roster!L:L,Roster!O:O,XLOOKUP(D2474,TicketsBreak!A:A,TicketsBreak!F:F,"",0),0)</f>
        <v>12:00 - 12:30</v>
      </c>
      <c r="J2474" s="316" t="str">
        <f t="array" ref="J2474">XLOOKUP(B2474,Roster!L:L,Roster!P:P,XLOOKUP(D2474,TicketsBreak!A:A,TicketsBreak!G:G,"",0),0)</f>
        <v>14:45 - 15:00</v>
      </c>
      <c r="K2474" s="310">
        <f t="shared" si="4"/>
        <v>46133</v>
      </c>
      <c r="L2474" s="317">
        <f t="array" ref="L2474">(XLOOKUP(D2474,Roster!F:F,Roster!D:D,"",0))</f>
        <v>33</v>
      </c>
      <c r="M2474" s="317" t="str">
        <f t="array" ref="M2474">XLOOKUP(D2474,Roster!F:F,Roster!E:E)</f>
        <v>Voice</v>
      </c>
      <c r="N2474" s="317" t="str">
        <f t="shared" ref="N2474:P2474" si="2510">LEFT(H2474,5)</f>
        <v>09:30</v>
      </c>
      <c r="O2474" s="317" t="str">
        <f t="shared" si="2510"/>
        <v>12:00</v>
      </c>
      <c r="P2474" s="317" t="str">
        <f t="shared" si="2510"/>
        <v>14:45</v>
      </c>
      <c r="Q2474" s="318">
        <f t="shared" si="2507"/>
        <v>46133.39583</v>
      </c>
      <c r="R2474" s="318">
        <f t="shared" si="2508"/>
        <v>46133.5</v>
      </c>
      <c r="S2474" s="318">
        <f t="shared" si="8"/>
        <v>46133.61458</v>
      </c>
    </row>
    <row r="2475">
      <c r="A2475" s="14" t="str">
        <f t="shared" si="1"/>
        <v>C106546133</v>
      </c>
      <c r="B2475" s="185" t="str">
        <f t="array" ref="B2475">IF(F2475="VL","",IF(F2475="Free","Free",XLOOKUP(D2475,Roster!T:T,Roster!S:S,"",0)))</f>
        <v/>
      </c>
      <c r="C2475" s="313">
        <v>46133.0</v>
      </c>
      <c r="D2475" s="314" t="s">
        <v>148</v>
      </c>
      <c r="E2475" s="307" t="str">
        <f t="array" ref="E2475">(XLOOKUP(D2475,Roster!F:F,Roster!B:B,"",0))</f>
        <v>Miguel Hoyos</v>
      </c>
      <c r="F2475" s="315" t="str">
        <f t="array" ref="F2475">IF(B2475=100,"Free",TEXT(XLOOKUP($D2475,OperationVoice!$A:$A,OperationVoice!AA:AA,XLOOKUP($D2475,OperationTickets!$A:$A,OperationTickets!AA:AA,"",0)),"hh:mm"))</f>
        <v>07:00</v>
      </c>
      <c r="G2475" s="309">
        <f t="shared" si="3"/>
        <v>0.6666666667</v>
      </c>
      <c r="H2475" s="316">
        <f t="array" ref="H2475">XLOOKUP(B2475,Roster!L:L,Roster!N:N,XLOOKUP(D2475,TicketsBreak!A:A,TicketsBreak!E:E,"",0),0)</f>
        <v>0.4583333333</v>
      </c>
      <c r="I2475" s="316">
        <f t="array" ref="I2475">XLOOKUP(B2475,Roster!L:L,Roster!O:O,XLOOKUP(D2475,TicketsBreak!A:A,TicketsBreak!F:F,"",0),0)</f>
        <v>0.5625</v>
      </c>
      <c r="J2475" s="316">
        <f t="array" ref="J2475">XLOOKUP(B2475,Roster!L:L,Roster!P:P,XLOOKUP(D2475,TicketsBreak!A:A,TicketsBreak!G:G,"",0),0)</f>
        <v>0.65625</v>
      </c>
      <c r="K2475" s="310">
        <f t="shared" si="4"/>
        <v>46133</v>
      </c>
      <c r="L2475" s="317">
        <f t="array" ref="L2475">(XLOOKUP(D2475,Roster!F:F,Roster!D:D,"",0))</f>
        <v>17</v>
      </c>
      <c r="M2475" s="317" t="str">
        <f t="array" ref="M2475">XLOOKUP(D2475,Roster!F:F,Roster!E:E)</f>
        <v>Tickets</v>
      </c>
      <c r="N2475" s="317" t="str">
        <f t="shared" ref="N2475:P2475" si="2511">LEFT(H2475,5)</f>
        <v>11:00</v>
      </c>
      <c r="O2475" s="317" t="str">
        <f t="shared" si="2511"/>
        <v>13:30</v>
      </c>
      <c r="P2475" s="317" t="str">
        <f t="shared" si="2511"/>
        <v>15:45</v>
      </c>
      <c r="Q2475" s="318">
        <f t="shared" si="2507"/>
        <v>46133.45833</v>
      </c>
      <c r="R2475" s="318">
        <f t="shared" si="2508"/>
        <v>46133.5625</v>
      </c>
      <c r="S2475" s="318">
        <f t="shared" si="8"/>
        <v>46133.65625</v>
      </c>
    </row>
    <row r="2476">
      <c r="A2476" s="14" t="str">
        <f t="shared" si="1"/>
        <v>C111446133</v>
      </c>
      <c r="B2476" s="185">
        <f t="array" ref="B2476">IF(F2476="VL","",IF(F2476="Free","Free",XLOOKUP(D2476,Roster!T:T,Roster!S:S,"",0)))</f>
        <v>113</v>
      </c>
      <c r="C2476" s="313">
        <v>46133.0</v>
      </c>
      <c r="D2476" s="314" t="s">
        <v>65</v>
      </c>
      <c r="E2476" s="307" t="str">
        <f t="array" ref="E2476">(XLOOKUP(D2476,Roster!F:F,Roster!B:B,"",0))</f>
        <v>Mikel Bowie</v>
      </c>
      <c r="F2476" s="315" t="str">
        <f t="array" ref="F2476">IF(B2476=100,"Free",TEXT(XLOOKUP($D2476,OperationVoice!$A:$A,OperationVoice!AA:AA,XLOOKUP($D2476,OperationTickets!$A:$A,OperationTickets!AA:AA,"",0)),"hh:mm"))</f>
        <v>08:00</v>
      </c>
      <c r="G2476" s="309">
        <f t="shared" si="3"/>
        <v>0.7083333333</v>
      </c>
      <c r="H2476" s="316" t="str">
        <f t="array" ref="H2476">XLOOKUP(B2476,Roster!L:L,Roster!N:N,XLOOKUP(D2476,TicketsBreak!A:A,TicketsBreak!E:E,"",0),0)</f>
        <v>09:45 - 10:00</v>
      </c>
      <c r="I2476" s="316" t="str">
        <f t="array" ref="I2476">XLOOKUP(B2476,Roster!L:L,Roster!O:O,XLOOKUP(D2476,TicketsBreak!A:A,TicketsBreak!F:F,"",0),0)</f>
        <v>12:30 - 13:00</v>
      </c>
      <c r="J2476" s="316" t="str">
        <f t="array" ref="J2476">XLOOKUP(B2476,Roster!L:L,Roster!P:P,XLOOKUP(D2476,TicketsBreak!A:A,TicketsBreak!G:G,"",0),0)</f>
        <v>14:45 - 15:00</v>
      </c>
      <c r="K2476" s="310">
        <f t="shared" si="4"/>
        <v>46133</v>
      </c>
      <c r="L2476" s="317">
        <f t="array" ref="L2476">(XLOOKUP(D2476,Roster!F:F,Roster!D:D,"",0))</f>
        <v>20</v>
      </c>
      <c r="M2476" s="317" t="str">
        <f t="array" ref="M2476">XLOOKUP(D2476,Roster!F:F,Roster!E:E)</f>
        <v>Voice</v>
      </c>
      <c r="N2476" s="317" t="str">
        <f t="shared" ref="N2476:P2476" si="2512">LEFT(H2476,5)</f>
        <v>09:45</v>
      </c>
      <c r="O2476" s="317" t="str">
        <f t="shared" si="2512"/>
        <v>12:30</v>
      </c>
      <c r="P2476" s="317" t="str">
        <f t="shared" si="2512"/>
        <v>14:45</v>
      </c>
      <c r="Q2476" s="318">
        <f t="shared" si="2507"/>
        <v>46133.40625</v>
      </c>
      <c r="R2476" s="318">
        <f t="shared" si="2508"/>
        <v>46133.52083</v>
      </c>
      <c r="S2476" s="318">
        <f t="shared" si="8"/>
        <v>46133.61458</v>
      </c>
    </row>
    <row r="2477">
      <c r="A2477" s="14" t="str">
        <f t="shared" si="1"/>
        <v>C116346133</v>
      </c>
      <c r="B2477" s="185">
        <f t="array" ref="B2477">IF(F2477="VL","",IF(F2477="Free","Free",XLOOKUP(D2477,Roster!T:T,Roster!S:S,"",0)))</f>
        <v>123</v>
      </c>
      <c r="C2477" s="313">
        <v>46133.0</v>
      </c>
      <c r="D2477" s="314" t="s">
        <v>66</v>
      </c>
      <c r="E2477" s="307" t="str">
        <f t="array" ref="E2477">(XLOOKUP(D2477,Roster!F:F,Roster!B:B,"",0))</f>
        <v>Natalia Cardona</v>
      </c>
      <c r="F2477" s="315" t="str">
        <f t="array" ref="F2477">IF(B2477=100,"Free",TEXT(XLOOKUP($D2477,OperationVoice!$A:$A,OperationVoice!AA:AA,XLOOKUP($D2477,OperationTickets!$A:$A,OperationTickets!AA:AA,"",0)),"hh:mm"))</f>
        <v>08:00</v>
      </c>
      <c r="G2477" s="309">
        <f t="shared" si="3"/>
        <v>0.7083333333</v>
      </c>
      <c r="H2477" s="316" t="str">
        <f t="array" ref="H2477">XLOOKUP(B2477,Roster!L:L,Roster!N:N,XLOOKUP(D2477,TicketsBreak!A:A,TicketsBreak!E:E,"",0),0)</f>
        <v>09:45 - 10:00 </v>
      </c>
      <c r="I2477" s="316" t="str">
        <f t="array" ref="I2477">XLOOKUP(B2477,Roster!L:L,Roster!O:O,XLOOKUP(D2477,TicketsBreak!A:A,TicketsBreak!F:F,"",0),0)</f>
        <v>12:30 - 13:00</v>
      </c>
      <c r="J2477" s="316" t="str">
        <f t="array" ref="J2477">XLOOKUP(B2477,Roster!L:L,Roster!P:P,XLOOKUP(D2477,TicketsBreak!A:A,TicketsBreak!G:G,"",0),0)</f>
        <v>15:00 - 15:15</v>
      </c>
      <c r="K2477" s="310">
        <f t="shared" si="4"/>
        <v>46133</v>
      </c>
      <c r="L2477" s="317">
        <f t="array" ref="L2477">(XLOOKUP(D2477,Roster!F:F,Roster!D:D,"",0))</f>
        <v>24</v>
      </c>
      <c r="M2477" s="317" t="str">
        <f t="array" ref="M2477">XLOOKUP(D2477,Roster!F:F,Roster!E:E)</f>
        <v>Voice</v>
      </c>
      <c r="N2477" s="317" t="str">
        <f t="shared" ref="N2477:P2477" si="2513">LEFT(H2477,5)</f>
        <v>09:45</v>
      </c>
      <c r="O2477" s="317" t="str">
        <f t="shared" si="2513"/>
        <v>12:30</v>
      </c>
      <c r="P2477" s="317" t="str">
        <f t="shared" si="2513"/>
        <v>15:00</v>
      </c>
      <c r="Q2477" s="318">
        <f t="shared" si="2507"/>
        <v>46133.40625</v>
      </c>
      <c r="R2477" s="318">
        <f t="shared" si="2508"/>
        <v>46133.52083</v>
      </c>
      <c r="S2477" s="318">
        <f t="shared" si="8"/>
        <v>46133.625</v>
      </c>
    </row>
    <row r="2478">
      <c r="A2478" s="14" t="str">
        <f t="shared" si="1"/>
        <v>C55646133</v>
      </c>
      <c r="B2478" s="185" t="str">
        <f t="array" ref="B2478">IF(F2478="VL","",IF(F2478="Free","Free",XLOOKUP(D2478,Roster!T:T,Roster!S:S,"",0)))</f>
        <v/>
      </c>
      <c r="C2478" s="313">
        <v>46133.0</v>
      </c>
      <c r="D2478" s="314" t="s">
        <v>167</v>
      </c>
      <c r="E2478" s="307" t="str">
        <f t="array" ref="E2478">(XLOOKUP(D2478,Roster!F:F,Roster!B:B,"",0))</f>
        <v>Nelson Londono</v>
      </c>
      <c r="F2478" s="315" t="str">
        <f t="array" ref="F2478">IF(B2478=100,"Free",TEXT(XLOOKUP($D2478,OperationVoice!$A:$A,OperationVoice!AA:AA,XLOOKUP($D2478,OperationTickets!$A:$A,OperationTickets!AA:AA,"",0)),"hh:mm"))</f>
        <v>07:00</v>
      </c>
      <c r="G2478" s="309">
        <f t="shared" si="3"/>
        <v>0.6666666667</v>
      </c>
      <c r="H2478" s="316">
        <f t="array" ref="H2478">XLOOKUP(B2478,Roster!L:L,Roster!N:N,XLOOKUP(D2478,TicketsBreak!A:A,TicketsBreak!E:E,"",0),0)</f>
        <v>0.3854166667</v>
      </c>
      <c r="I2478" s="316">
        <f t="array" ref="I2478">XLOOKUP(B2478,Roster!L:L,Roster!O:O,XLOOKUP(D2478,TicketsBreak!A:A,TicketsBreak!F:F,"",0),0)</f>
        <v>0.5833333333</v>
      </c>
      <c r="J2478" s="316">
        <f t="array" ref="J2478">XLOOKUP(B2478,Roster!L:L,Roster!P:P,XLOOKUP(D2478,TicketsBreak!A:A,TicketsBreak!G:G,"",0),0)</f>
        <v>0.6458333333</v>
      </c>
      <c r="K2478" s="310">
        <f t="shared" si="4"/>
        <v>46133</v>
      </c>
      <c r="L2478" s="317">
        <f t="array" ref="L2478">(XLOOKUP(D2478,Roster!F:F,Roster!D:D,"",0))</f>
        <v>2</v>
      </c>
      <c r="M2478" s="317" t="str">
        <f t="array" ref="M2478">XLOOKUP(D2478,Roster!F:F,Roster!E:E)</f>
        <v>Tickets</v>
      </c>
      <c r="N2478" s="317" t="str">
        <f t="shared" ref="N2478:P2478" si="2514">LEFT(H2478,5)</f>
        <v>09:15</v>
      </c>
      <c r="O2478" s="317" t="str">
        <f t="shared" si="2514"/>
        <v>14:00</v>
      </c>
      <c r="P2478" s="317" t="str">
        <f t="shared" si="2514"/>
        <v>15:30</v>
      </c>
      <c r="Q2478" s="318">
        <f t="shared" si="2507"/>
        <v>46133.38542</v>
      </c>
      <c r="R2478" s="318">
        <f t="shared" si="2508"/>
        <v>46133.58333</v>
      </c>
      <c r="S2478" s="318">
        <f t="shared" si="8"/>
        <v>46133.64583</v>
      </c>
    </row>
    <row r="2479">
      <c r="A2479" s="14" t="str">
        <f t="shared" si="1"/>
        <v>C150746133</v>
      </c>
      <c r="B2479" s="185">
        <f t="array" ref="B2479">IF(F2479="VL","",IF(F2479="Free","Free",XLOOKUP(D2479,Roster!T:T,Roster!S:S,"",0)))</f>
        <v>125</v>
      </c>
      <c r="C2479" s="313">
        <v>46133.0</v>
      </c>
      <c r="D2479" s="314" t="s">
        <v>67</v>
      </c>
      <c r="E2479" s="307" t="str">
        <f t="array" ref="E2479">(XLOOKUP(D2479,Roster!F:F,Roster!B:B,"",0))</f>
        <v>Nicols Quinones</v>
      </c>
      <c r="F2479" s="315" t="str">
        <f t="array" ref="F2479">IF(B2479=100,"Free",TEXT(XLOOKUP($D2479,OperationVoice!$A:$A,OperationVoice!AA:AA,XLOOKUP($D2479,OperationTickets!$A:$A,OperationTickets!AA:AA,"",0)),"hh:mm"))</f>
        <v>08:00</v>
      </c>
      <c r="G2479" s="309">
        <f t="shared" si="3"/>
        <v>0.7083333333</v>
      </c>
      <c r="H2479" s="316" t="str">
        <f t="array" ref="H2479">XLOOKUP(B2479,Roster!L:L,Roster!N:N,XLOOKUP(D2479,TicketsBreak!A:A,TicketsBreak!E:E,"",0),0)</f>
        <v>10:30 - 10:45</v>
      </c>
      <c r="I2479" s="316" t="str">
        <f t="array" ref="I2479">XLOOKUP(B2479,Roster!L:L,Roster!O:O,XLOOKUP(D2479,TicketsBreak!A:A,TicketsBreak!F:F,"",0),0)</f>
        <v>13:30 - 14:00</v>
      </c>
      <c r="J2479" s="316" t="str">
        <f t="array" ref="J2479">XLOOKUP(B2479,Roster!L:L,Roster!P:P,XLOOKUP(D2479,TicketsBreak!A:A,TicketsBreak!G:G,"",0),0)</f>
        <v>15:45 - 16:00</v>
      </c>
      <c r="K2479" s="310">
        <f t="shared" si="4"/>
        <v>46133</v>
      </c>
      <c r="L2479" s="317">
        <f t="array" ref="L2479">(XLOOKUP(D2479,Roster!F:F,Roster!D:D,"",0))</f>
        <v>35</v>
      </c>
      <c r="M2479" s="317" t="str">
        <f t="array" ref="M2479">XLOOKUP(D2479,Roster!F:F,Roster!E:E)</f>
        <v>Voice</v>
      </c>
      <c r="N2479" s="317" t="str">
        <f t="shared" ref="N2479:P2479" si="2515">LEFT(H2479,5)</f>
        <v>10:30</v>
      </c>
      <c r="O2479" s="317" t="str">
        <f t="shared" si="2515"/>
        <v>13:30</v>
      </c>
      <c r="P2479" s="317" t="str">
        <f t="shared" si="2515"/>
        <v>15:45</v>
      </c>
      <c r="Q2479" s="318">
        <f t="shared" si="2507"/>
        <v>46133.4375</v>
      </c>
      <c r="R2479" s="318">
        <f t="shared" si="2508"/>
        <v>46133.5625</v>
      </c>
      <c r="S2479" s="318">
        <f t="shared" si="8"/>
        <v>46133.65625</v>
      </c>
    </row>
    <row r="2480">
      <c r="A2480" s="14" t="str">
        <f t="shared" si="1"/>
        <v>C71446133</v>
      </c>
      <c r="B2480" s="185" t="str">
        <f t="array" ref="B2480">IF(F2480="VL","",IF(F2480="Free","Free",XLOOKUP(D2480,Roster!T:T,Roster!S:S,"",0)))</f>
        <v/>
      </c>
      <c r="C2480" s="313">
        <v>46133.0</v>
      </c>
      <c r="D2480" s="314" t="s">
        <v>149</v>
      </c>
      <c r="E2480" s="307" t="str">
        <f t="array" ref="E2480">(XLOOKUP(D2480,Roster!F:F,Roster!B:B,"",0))</f>
        <v>Onel Olivera</v>
      </c>
      <c r="F2480" s="315" t="str">
        <f t="array" ref="F2480">IF(B2480=100,"Free",TEXT(XLOOKUP($D2480,OperationVoice!$A:$A,OperationVoice!AA:AA,XLOOKUP($D2480,OperationTickets!$A:$A,OperationTickets!AA:AA,"",0)),"hh:mm"))</f>
        <v>08:00</v>
      </c>
      <c r="G2480" s="309">
        <f t="shared" si="3"/>
        <v>0.7083333333</v>
      </c>
      <c r="H2480" s="316">
        <f t="array" ref="H2480">XLOOKUP(B2480,Roster!L:L,Roster!N:N,XLOOKUP(D2480,TicketsBreak!A:A,TicketsBreak!E:E,"",0),0)</f>
        <v>0.4166666667</v>
      </c>
      <c r="I2480" s="316">
        <f t="array" ref="I2480">XLOOKUP(B2480,Roster!L:L,Roster!O:O,XLOOKUP(D2480,TicketsBreak!A:A,TicketsBreak!F:F,"",0),0)</f>
        <v>0.5</v>
      </c>
      <c r="J2480" s="316">
        <f t="array" ref="J2480">XLOOKUP(B2480,Roster!L:L,Roster!P:P,XLOOKUP(D2480,TicketsBreak!A:A,TicketsBreak!G:G,"",0),0)</f>
        <v>0.625</v>
      </c>
      <c r="K2480" s="310">
        <f t="shared" si="4"/>
        <v>46133</v>
      </c>
      <c r="L2480" s="317">
        <f t="array" ref="L2480">(XLOOKUP(D2480,Roster!F:F,Roster!D:D,"",0))</f>
        <v>1</v>
      </c>
      <c r="M2480" s="317" t="str">
        <f t="array" ref="M2480">XLOOKUP(D2480,Roster!F:F,Roster!E:E)</f>
        <v>Tickets</v>
      </c>
      <c r="N2480" s="317" t="str">
        <f t="shared" ref="N2480:P2480" si="2516">LEFT(H2480,5)</f>
        <v>10:00</v>
      </c>
      <c r="O2480" s="317" t="str">
        <f t="shared" si="2516"/>
        <v>12:00</v>
      </c>
      <c r="P2480" s="317" t="str">
        <f t="shared" si="2516"/>
        <v>15:00</v>
      </c>
      <c r="Q2480" s="318">
        <f t="shared" si="2507"/>
        <v>46133.41667</v>
      </c>
      <c r="R2480" s="318">
        <f t="shared" si="2508"/>
        <v>46133.5</v>
      </c>
      <c r="S2480" s="318">
        <f t="shared" si="8"/>
        <v>46133.625</v>
      </c>
    </row>
    <row r="2481">
      <c r="A2481" s="14" t="str">
        <f t="shared" si="1"/>
        <v>C116446133</v>
      </c>
      <c r="B2481" s="185" t="str">
        <f t="array" ref="B2481">IF(F2481="VL","",IF(F2481="Free","Free",XLOOKUP(D2481,Roster!T:T,Roster!S:S,"",0)))</f>
        <v/>
      </c>
      <c r="C2481" s="313">
        <v>46133.0</v>
      </c>
      <c r="D2481" s="314" t="s">
        <v>179</v>
      </c>
      <c r="E2481" s="307" t="str">
        <f t="array" ref="E2481">(XLOOKUP(D2481,Roster!F:F,Roster!B:B,"",0))</f>
        <v>Oscar Florez</v>
      </c>
      <c r="F2481" s="315" t="str">
        <f t="array" ref="F2481">IF(B2481=100,"Free",TEXT(XLOOKUP($D2481,OperationVoice!$A:$A,OperationVoice!AA:AA,XLOOKUP($D2481,OperationTickets!$A:$A,OperationTickets!AA:AA,"",0)),"hh:mm"))</f>
        <v>08:00</v>
      </c>
      <c r="G2481" s="309">
        <f t="shared" si="3"/>
        <v>0.7083333333</v>
      </c>
      <c r="H2481" s="316" t="str">
        <f t="array" ref="H2481">XLOOKUP(B2481,Roster!L:L,Roster!N:N,XLOOKUP(D2481,TicketsBreak!A:A,TicketsBreak!E:E,"",0),0)</f>
        <v/>
      </c>
      <c r="I2481" s="316" t="str">
        <f t="array" ref="I2481">XLOOKUP(B2481,Roster!L:L,Roster!O:O,XLOOKUP(D2481,TicketsBreak!A:A,TicketsBreak!F:F,"",0),0)</f>
        <v/>
      </c>
      <c r="J2481" s="316" t="str">
        <f t="array" ref="J2481">XLOOKUP(B2481,Roster!L:L,Roster!P:P,XLOOKUP(D2481,TicketsBreak!A:A,TicketsBreak!G:G,"",0),0)</f>
        <v/>
      </c>
      <c r="K2481" s="310">
        <f t="shared" si="4"/>
        <v>46133</v>
      </c>
      <c r="L2481" s="317">
        <f t="array" ref="L2481">(XLOOKUP(D2481,Roster!F:F,Roster!D:D,"",0))</f>
        <v>24</v>
      </c>
      <c r="M2481" s="317" t="str">
        <f t="array" ref="M2481">XLOOKUP(D2481,Roster!F:F,Roster!E:E)</f>
        <v>Tickets</v>
      </c>
      <c r="N2481" s="317" t="str">
        <f t="shared" ref="N2481:P2481" si="2517">LEFT(H2481,5)</f>
        <v/>
      </c>
      <c r="O2481" s="317" t="str">
        <f t="shared" si="2517"/>
        <v/>
      </c>
      <c r="P2481" s="317" t="str">
        <f t="shared" si="2517"/>
        <v/>
      </c>
      <c r="Q2481" s="318" t="str">
        <f t="shared" si="2507"/>
        <v/>
      </c>
      <c r="R2481" s="318" t="str">
        <f t="shared" si="2508"/>
        <v/>
      </c>
      <c r="S2481" s="318" t="str">
        <f t="shared" si="8"/>
        <v/>
      </c>
    </row>
    <row r="2482">
      <c r="A2482" s="14" t="str">
        <f t="shared" si="1"/>
        <v>C153846133</v>
      </c>
      <c r="B2482" s="185">
        <f t="array" ref="B2482">IF(F2482="VL","",IF(F2482="Free","Free",XLOOKUP(D2482,Roster!T:T,Roster!S:S,"",0)))</f>
        <v>151</v>
      </c>
      <c r="C2482" s="313">
        <v>46133.0</v>
      </c>
      <c r="D2482" s="314" t="s">
        <v>68</v>
      </c>
      <c r="E2482" s="307" t="str">
        <f t="array" ref="E2482">(XLOOKUP(D2482,Roster!F:F,Roster!B:B,"",0))</f>
        <v>Oscar Roldan</v>
      </c>
      <c r="F2482" s="315" t="str">
        <f t="array" ref="F2482">IF(B2482=100,"Free",TEXT(XLOOKUP($D2482,OperationVoice!$A:$A,OperationVoice!AA:AA,XLOOKUP($D2482,OperationTickets!$A:$A,OperationTickets!AA:AA,"",0)),"hh:mm"))</f>
        <v>11:00</v>
      </c>
      <c r="G2482" s="309">
        <f t="shared" si="3"/>
        <v>0.8333333333</v>
      </c>
      <c r="H2482" s="316" t="str">
        <f t="array" ref="H2482">XLOOKUP(B2482,Roster!L:L,Roster!N:N,XLOOKUP(D2482,TicketsBreak!A:A,TicketsBreak!E:E,"",0),0)</f>
        <v>12:15 - 12:30</v>
      </c>
      <c r="I2482" s="316" t="str">
        <f t="array" ref="I2482">XLOOKUP(B2482,Roster!L:L,Roster!O:O,XLOOKUP(D2482,TicketsBreak!A:A,TicketsBreak!F:F,"",0),0)</f>
        <v>14:00 - 14:30</v>
      </c>
      <c r="J2482" s="316" t="str">
        <f t="array" ref="J2482">XLOOKUP(B2482,Roster!L:L,Roster!P:P,XLOOKUP(D2482,TicketsBreak!A:A,TicketsBreak!G:G,"",0),0)</f>
        <v>17:15 - 17:30</v>
      </c>
      <c r="K2482" s="310">
        <f t="shared" si="4"/>
        <v>46133</v>
      </c>
      <c r="L2482" s="317">
        <f t="array" ref="L2482">(XLOOKUP(D2482,Roster!F:F,Roster!D:D,"",0))</f>
        <v>36</v>
      </c>
      <c r="M2482" s="317" t="str">
        <f t="array" ref="M2482">XLOOKUP(D2482,Roster!F:F,Roster!E:E)</f>
        <v>Voice</v>
      </c>
      <c r="N2482" s="317" t="str">
        <f t="shared" ref="N2482:P2482" si="2518">LEFT(H2482,5)</f>
        <v>12:15</v>
      </c>
      <c r="O2482" s="317" t="str">
        <f t="shared" si="2518"/>
        <v>14:00</v>
      </c>
      <c r="P2482" s="317" t="str">
        <f t="shared" si="2518"/>
        <v>17:15</v>
      </c>
      <c r="Q2482" s="318">
        <f t="shared" si="2507"/>
        <v>46133.51042</v>
      </c>
      <c r="R2482" s="318">
        <f t="shared" si="2508"/>
        <v>46133.58333</v>
      </c>
      <c r="S2482" s="318">
        <f t="shared" si="8"/>
        <v>46133.71875</v>
      </c>
    </row>
    <row r="2483">
      <c r="A2483" s="14" t="str">
        <f t="shared" si="1"/>
        <v>C151146133</v>
      </c>
      <c r="B2483" s="185">
        <f t="array" ref="B2483">IF(F2483="VL","",IF(F2483="Free","Free",XLOOKUP(D2483,Roster!T:T,Roster!S:S,"",0)))</f>
        <v>131</v>
      </c>
      <c r="C2483" s="313">
        <v>46133.0</v>
      </c>
      <c r="D2483" s="314" t="s">
        <v>69</v>
      </c>
      <c r="E2483" s="307" t="str">
        <f t="array" ref="E2483">(XLOOKUP(D2483,Roster!F:F,Roster!B:B,"",0))</f>
        <v>Salma Giraldo</v>
      </c>
      <c r="F2483" s="315" t="str">
        <f t="array" ref="F2483">IF(B2483=100,"Free",TEXT(XLOOKUP($D2483,OperationVoice!$A:$A,OperationVoice!AA:AA,XLOOKUP($D2483,OperationTickets!$A:$A,OperationTickets!AA:AA,"",0)),"hh:mm"))</f>
        <v>08:00</v>
      </c>
      <c r="G2483" s="309">
        <f t="shared" si="3"/>
        <v>0.7083333333</v>
      </c>
      <c r="H2483" s="316" t="str">
        <f t="array" ref="H2483">XLOOKUP(B2483,Roster!L:L,Roster!N:N,XLOOKUP(D2483,TicketsBreak!A:A,TicketsBreak!E:E,"",0),0)</f>
        <v>10:15 - 10:30</v>
      </c>
      <c r="I2483" s="316" t="str">
        <f t="array" ref="I2483">XLOOKUP(B2483,Roster!L:L,Roster!O:O,XLOOKUP(D2483,TicketsBreak!A:A,TicketsBreak!F:F,"",0),0)</f>
        <v>12:30 - 13:00</v>
      </c>
      <c r="J2483" s="316" t="str">
        <f t="array" ref="J2483">XLOOKUP(B2483,Roster!L:L,Roster!P:P,XLOOKUP(D2483,TicketsBreak!A:A,TicketsBreak!G:G,"",0),0)</f>
        <v>15:15 - 15:30</v>
      </c>
      <c r="K2483" s="310">
        <f t="shared" si="4"/>
        <v>46133</v>
      </c>
      <c r="L2483" s="317">
        <f t="array" ref="L2483">(XLOOKUP(D2483,Roster!F:F,Roster!D:D,"",0))</f>
        <v>35</v>
      </c>
      <c r="M2483" s="317" t="str">
        <f t="array" ref="M2483">XLOOKUP(D2483,Roster!F:F,Roster!E:E)</f>
        <v>Voice</v>
      </c>
      <c r="N2483" s="317" t="str">
        <f t="shared" ref="N2483:P2483" si="2519">LEFT(H2483,5)</f>
        <v>10:15</v>
      </c>
      <c r="O2483" s="317" t="str">
        <f t="shared" si="2519"/>
        <v>12:30</v>
      </c>
      <c r="P2483" s="317" t="str">
        <f t="shared" si="2519"/>
        <v>15:15</v>
      </c>
      <c r="Q2483" s="318">
        <f t="shared" si="2507"/>
        <v>46133.42708</v>
      </c>
      <c r="R2483" s="318">
        <f t="shared" si="2508"/>
        <v>46133.52083</v>
      </c>
      <c r="S2483" s="318">
        <f t="shared" si="8"/>
        <v>46133.63542</v>
      </c>
    </row>
    <row r="2484">
      <c r="A2484" s="14" t="str">
        <f t="shared" si="1"/>
        <v>C93346133</v>
      </c>
      <c r="B2484" s="185">
        <f t="array" ref="B2484">IF(F2484="VL","",IF(F2484="Free","Free",XLOOKUP(D2484,Roster!T:T,Roster!S:S,"",0)))</f>
        <v>124</v>
      </c>
      <c r="C2484" s="313">
        <v>46133.0</v>
      </c>
      <c r="D2484" s="314" t="s">
        <v>70</v>
      </c>
      <c r="E2484" s="307" t="str">
        <f t="array" ref="E2484">(XLOOKUP(D2484,Roster!F:F,Roster!B:B,"",0))</f>
        <v>Salome Arias</v>
      </c>
      <c r="F2484" s="315" t="str">
        <f t="array" ref="F2484">IF(B2484=100,"Free",TEXT(XLOOKUP($D2484,OperationVoice!$A:$A,OperationVoice!AA:AA,XLOOKUP($D2484,OperationTickets!$A:$A,OperationTickets!AA:AA,"",0)),"hh:mm"))</f>
        <v>08:00</v>
      </c>
      <c r="G2484" s="309">
        <f t="shared" si="3"/>
        <v>0.7083333333</v>
      </c>
      <c r="H2484" s="316" t="str">
        <f t="array" ref="H2484">XLOOKUP(B2484,Roster!L:L,Roster!N:N,XLOOKUP(D2484,TicketsBreak!A:A,TicketsBreak!E:E,"",0),0)</f>
        <v>10:00 - 10:15</v>
      </c>
      <c r="I2484" s="316" t="str">
        <f t="array" ref="I2484">XLOOKUP(B2484,Roster!L:L,Roster!O:O,XLOOKUP(D2484,TicketsBreak!A:A,TicketsBreak!F:F,"",0),0)</f>
        <v>13:00 - 13:30</v>
      </c>
      <c r="J2484" s="316" t="str">
        <f t="array" ref="J2484">XLOOKUP(B2484,Roster!L:L,Roster!P:P,XLOOKUP(D2484,TicketsBreak!A:A,TicketsBreak!G:G,"",0),0)</f>
        <v>15:30 - 15:45</v>
      </c>
      <c r="K2484" s="310">
        <f t="shared" si="4"/>
        <v>46133</v>
      </c>
      <c r="L2484" s="317">
        <f t="array" ref="L2484">(XLOOKUP(D2484,Roster!F:F,Roster!D:D,"",0))</f>
        <v>12</v>
      </c>
      <c r="M2484" s="317" t="str">
        <f t="array" ref="M2484">XLOOKUP(D2484,Roster!F:F,Roster!E:E)</f>
        <v>Voice</v>
      </c>
      <c r="N2484" s="317" t="str">
        <f t="shared" ref="N2484:P2484" si="2520">LEFT(H2484,5)</f>
        <v>10:00</v>
      </c>
      <c r="O2484" s="317" t="str">
        <f t="shared" si="2520"/>
        <v>13:00</v>
      </c>
      <c r="P2484" s="317" t="str">
        <f t="shared" si="2520"/>
        <v>15:30</v>
      </c>
      <c r="Q2484" s="318">
        <f t="shared" si="2507"/>
        <v>46133.41667</v>
      </c>
      <c r="R2484" s="318">
        <f t="shared" si="2508"/>
        <v>46133.54167</v>
      </c>
      <c r="S2484" s="318">
        <f t="shared" si="8"/>
        <v>46133.64583</v>
      </c>
    </row>
    <row r="2485">
      <c r="A2485" s="14" t="str">
        <f t="shared" si="1"/>
        <v>C128246133</v>
      </c>
      <c r="B2485" s="185" t="str">
        <f t="array" ref="B2485">IF(F2485="VL","",IF(F2485="Free","Free",XLOOKUP(D2485,Roster!T:T,Roster!S:S,"",0)))</f>
        <v/>
      </c>
      <c r="C2485" s="313">
        <v>46133.0</v>
      </c>
      <c r="D2485" s="314" t="s">
        <v>168</v>
      </c>
      <c r="E2485" s="307" t="str">
        <f t="array" ref="E2485">(XLOOKUP(D2485,Roster!F:F,Roster!B:B,"",0))</f>
        <v>Samuel Acevedo</v>
      </c>
      <c r="F2485" s="315" t="str">
        <f t="array" ref="F2485">IF(B2485=100,"Free",TEXT(XLOOKUP($D2485,OperationVoice!$A:$A,OperationVoice!AA:AA,XLOOKUP($D2485,OperationTickets!$A:$A,OperationTickets!AA:AA,"",0)),"hh:mm"))</f>
        <v>08:00</v>
      </c>
      <c r="G2485" s="309">
        <f t="shared" si="3"/>
        <v>0.7083333333</v>
      </c>
      <c r="H2485" s="316" t="str">
        <f t="array" ref="H2485">XLOOKUP(B2485,Roster!L:L,Roster!N:N,XLOOKUP(D2485,TicketsBreak!A:A,TicketsBreak!E:E,"",0),0)</f>
        <v/>
      </c>
      <c r="I2485" s="316" t="str">
        <f t="array" ref="I2485">XLOOKUP(B2485,Roster!L:L,Roster!O:O,XLOOKUP(D2485,TicketsBreak!A:A,TicketsBreak!F:F,"",0),0)</f>
        <v/>
      </c>
      <c r="J2485" s="316" t="str">
        <f t="array" ref="J2485">XLOOKUP(B2485,Roster!L:L,Roster!P:P,XLOOKUP(D2485,TicketsBreak!A:A,TicketsBreak!G:G,"",0),0)</f>
        <v/>
      </c>
      <c r="K2485" s="310">
        <f t="shared" si="4"/>
        <v>46133</v>
      </c>
      <c r="L2485" s="317">
        <f t="array" ref="L2485">(XLOOKUP(D2485,Roster!F:F,Roster!D:D,"",0))</f>
        <v>27</v>
      </c>
      <c r="M2485" s="317" t="str">
        <f t="array" ref="M2485">XLOOKUP(D2485,Roster!F:F,Roster!E:E)</f>
        <v>Tickets</v>
      </c>
      <c r="N2485" s="317" t="str">
        <f t="shared" ref="N2485:P2485" si="2521">LEFT(H2485,5)</f>
        <v/>
      </c>
      <c r="O2485" s="317" t="str">
        <f t="shared" si="2521"/>
        <v/>
      </c>
      <c r="P2485" s="317" t="str">
        <f t="shared" si="2521"/>
        <v/>
      </c>
      <c r="Q2485" s="318" t="str">
        <f t="shared" si="2507"/>
        <v/>
      </c>
      <c r="R2485" s="318" t="str">
        <f t="shared" si="2508"/>
        <v/>
      </c>
      <c r="S2485" s="318" t="str">
        <f t="shared" si="8"/>
        <v/>
      </c>
    </row>
    <row r="2486">
      <c r="A2486" s="14" t="str">
        <f t="shared" si="1"/>
        <v>C156446133</v>
      </c>
      <c r="B2486" s="185">
        <f t="array" ref="B2486">IF(F2486="VL","",IF(F2486="Free","Free",XLOOKUP(D2486,Roster!T:T,Roster!S:S,"",0)))</f>
        <v>121</v>
      </c>
      <c r="C2486" s="313">
        <v>46133.0</v>
      </c>
      <c r="D2486" s="314" t="s">
        <v>71</v>
      </c>
      <c r="E2486" s="307" t="str">
        <f t="array" ref="E2486">(XLOOKUP(D2486,Roster!F:F,Roster!B:B,"",0))</f>
        <v>Samuel Acevedo Cadavid</v>
      </c>
      <c r="F2486" s="315" t="str">
        <f t="array" ref="F2486">IF(B2486=100,"Free",TEXT(XLOOKUP($D2486,OperationVoice!$A:$A,OperationVoice!AA:AA,XLOOKUP($D2486,OperationTickets!$A:$A,OperationTickets!AA:AA,"",0)),"hh:mm"))</f>
        <v>11:00</v>
      </c>
      <c r="G2486" s="309">
        <f t="shared" si="3"/>
        <v>0.8333333333</v>
      </c>
      <c r="H2486" s="316" t="str">
        <f t="array" ref="H2486">XLOOKUP(B2486,Roster!L:L,Roster!N:N,XLOOKUP(D2486,TicketsBreak!A:A,TicketsBreak!E:E,"",0),0)</f>
        <v>09:15 - 09:30</v>
      </c>
      <c r="I2486" s="316" t="str">
        <f t="array" ref="I2486">XLOOKUP(B2486,Roster!L:L,Roster!O:O,XLOOKUP(D2486,TicketsBreak!A:A,TicketsBreak!F:F,"",0),0)</f>
        <v>11:30 - 12:00</v>
      </c>
      <c r="J2486" s="316" t="str">
        <f t="array" ref="J2486">XLOOKUP(B2486,Roster!L:L,Roster!P:P,XLOOKUP(D2486,TicketsBreak!A:A,TicketsBreak!G:G,"",0),0)</f>
        <v>14:30 - 14:45</v>
      </c>
      <c r="K2486" s="310">
        <f t="shared" si="4"/>
        <v>46133</v>
      </c>
      <c r="L2486" s="317">
        <f t="array" ref="L2486">(XLOOKUP(D2486,Roster!F:F,Roster!D:D,"",0))</f>
        <v>38</v>
      </c>
      <c r="M2486" s="317" t="str">
        <f t="array" ref="M2486">XLOOKUP(D2486,Roster!F:F,Roster!E:E)</f>
        <v>Voice</v>
      </c>
      <c r="N2486" s="317" t="str">
        <f t="shared" ref="N2486:P2486" si="2522">LEFT(H2486,5)</f>
        <v>09:15</v>
      </c>
      <c r="O2486" s="317" t="str">
        <f t="shared" si="2522"/>
        <v>11:30</v>
      </c>
      <c r="P2486" s="317" t="str">
        <f t="shared" si="2522"/>
        <v>14:30</v>
      </c>
      <c r="Q2486" s="318">
        <f t="shared" si="2507"/>
        <v>46133.38542</v>
      </c>
      <c r="R2486" s="318">
        <f t="shared" si="2508"/>
        <v>46133.47917</v>
      </c>
      <c r="S2486" s="318">
        <f t="shared" si="8"/>
        <v>46133.60417</v>
      </c>
    </row>
    <row r="2487">
      <c r="A2487" s="14" t="str">
        <f t="shared" si="1"/>
        <v>C116846133</v>
      </c>
      <c r="B2487" s="185" t="str">
        <f t="array" ref="B2487">IF(F2487="VL","",IF(F2487="Free","Free",XLOOKUP(D2487,Roster!T:T,Roster!S:S,"",0)))</f>
        <v>Free</v>
      </c>
      <c r="C2487" s="313">
        <v>46133.0</v>
      </c>
      <c r="D2487" s="314" t="s">
        <v>180</v>
      </c>
      <c r="E2487" s="307" t="str">
        <f t="array" ref="E2487">(XLOOKUP(D2487,Roster!F:F,Roster!B:B,"",0))</f>
        <v>Santiago Gaviria</v>
      </c>
      <c r="F2487" s="315" t="str">
        <f t="array" ref="F2487">IF(B2487=100,"Free",TEXT(XLOOKUP($D2487,OperationVoice!$A:$A,OperationVoice!AA:AA,XLOOKUP($D2487,OperationTickets!$A:$A,OperationTickets!AA:AA,"",0)),"hh:mm"))</f>
        <v>Free</v>
      </c>
      <c r="G2487" s="309" t="str">
        <f t="shared" si="3"/>
        <v>Free</v>
      </c>
      <c r="H2487" s="316" t="str">
        <f t="array" ref="H2487">XLOOKUP(B2487,Roster!L:L,Roster!N:N,XLOOKUP(D2487,TicketsBreak!A:A,TicketsBreak!E:E,"",0),0)</f>
        <v/>
      </c>
      <c r="I2487" s="316" t="str">
        <f t="array" ref="I2487">XLOOKUP(B2487,Roster!L:L,Roster!O:O,XLOOKUP(D2487,TicketsBreak!A:A,TicketsBreak!F:F,"",0),0)</f>
        <v/>
      </c>
      <c r="J2487" s="316" t="str">
        <f t="array" ref="J2487">XLOOKUP(B2487,Roster!L:L,Roster!P:P,XLOOKUP(D2487,TicketsBreak!A:A,TicketsBreak!G:G,"",0),0)</f>
        <v/>
      </c>
      <c r="K2487" s="310">
        <f t="shared" si="4"/>
        <v>46133</v>
      </c>
      <c r="L2487" s="317">
        <f t="array" ref="L2487">(XLOOKUP(D2487,Roster!F:F,Roster!D:D,"",0))</f>
        <v>24</v>
      </c>
      <c r="M2487" s="317" t="str">
        <f t="array" ref="M2487">XLOOKUP(D2487,Roster!F:F,Roster!E:E)</f>
        <v>Tickets</v>
      </c>
      <c r="N2487" s="317" t="str">
        <f t="shared" ref="N2487:P2487" si="2523">LEFT(H2487,5)</f>
        <v/>
      </c>
      <c r="O2487" s="317" t="str">
        <f t="shared" si="2523"/>
        <v/>
      </c>
      <c r="P2487" s="317" t="str">
        <f t="shared" si="2523"/>
        <v/>
      </c>
      <c r="Q2487" s="318" t="str">
        <f t="shared" si="2507"/>
        <v/>
      </c>
      <c r="R2487" s="318" t="str">
        <f t="shared" si="2508"/>
        <v/>
      </c>
      <c r="S2487" s="318" t="str">
        <f t="shared" si="8"/>
        <v/>
      </c>
    </row>
    <row r="2488">
      <c r="A2488" s="14" t="str">
        <f t="shared" si="1"/>
        <v>C122046133</v>
      </c>
      <c r="B2488" s="185" t="str">
        <f t="array" ref="B2488">IF(F2488="VL","",IF(F2488="Free","Free",XLOOKUP(D2488,Roster!T:T,Roster!S:S,"",0)))</f>
        <v/>
      </c>
      <c r="C2488" s="313">
        <v>46133.0</v>
      </c>
      <c r="D2488" s="314" t="s">
        <v>181</v>
      </c>
      <c r="E2488" s="307" t="str">
        <f t="array" ref="E2488">(XLOOKUP(D2488,Roster!F:F,Roster!B:B,"",0))</f>
        <v>Santiago Gonzalez</v>
      </c>
      <c r="F2488" s="315" t="str">
        <f t="array" ref="F2488">IF(B2488=100,"Free",TEXT(XLOOKUP($D2488,OperationVoice!$A:$A,OperationVoice!AA:AA,XLOOKUP($D2488,OperationTickets!$A:$A,OperationTickets!AA:AA,"",0)),"hh:mm"))</f>
        <v>08:00</v>
      </c>
      <c r="G2488" s="309">
        <f t="shared" si="3"/>
        <v>0.7083333333</v>
      </c>
      <c r="H2488" s="316" t="str">
        <f t="array" ref="H2488">XLOOKUP(B2488,Roster!L:L,Roster!N:N,XLOOKUP(D2488,TicketsBreak!A:A,TicketsBreak!E:E,"",0),0)</f>
        <v/>
      </c>
      <c r="I2488" s="316" t="str">
        <f t="array" ref="I2488">XLOOKUP(B2488,Roster!L:L,Roster!O:O,XLOOKUP(D2488,TicketsBreak!A:A,TicketsBreak!F:F,"",0),0)</f>
        <v/>
      </c>
      <c r="J2488" s="316" t="str">
        <f t="array" ref="J2488">XLOOKUP(B2488,Roster!L:L,Roster!P:P,XLOOKUP(D2488,TicketsBreak!A:A,TicketsBreak!G:G,"",0),0)</f>
        <v/>
      </c>
      <c r="K2488" s="310">
        <f t="shared" si="4"/>
        <v>46133</v>
      </c>
      <c r="L2488" s="317">
        <f t="array" ref="L2488">(XLOOKUP(D2488,Roster!F:F,Roster!D:D,"",0))</f>
        <v>26</v>
      </c>
      <c r="M2488" s="317" t="str">
        <f t="array" ref="M2488">XLOOKUP(D2488,Roster!F:F,Roster!E:E)</f>
        <v>Tickets</v>
      </c>
      <c r="N2488" s="317" t="str">
        <f t="shared" ref="N2488:P2488" si="2524">LEFT(H2488,5)</f>
        <v/>
      </c>
      <c r="O2488" s="317" t="str">
        <f t="shared" si="2524"/>
        <v/>
      </c>
      <c r="P2488" s="317" t="str">
        <f t="shared" si="2524"/>
        <v/>
      </c>
      <c r="Q2488" s="318" t="str">
        <f t="shared" si="2507"/>
        <v/>
      </c>
      <c r="R2488" s="318" t="str">
        <f t="shared" si="2508"/>
        <v/>
      </c>
      <c r="S2488" s="318" t="str">
        <f t="shared" si="8"/>
        <v/>
      </c>
    </row>
    <row r="2489">
      <c r="A2489" s="14" t="str">
        <f t="shared" si="1"/>
        <v>C140646133</v>
      </c>
      <c r="B2489" s="185">
        <f t="array" ref="B2489">IF(F2489="VL","",IF(F2489="Free","Free",XLOOKUP(D2489,Roster!T:T,Roster!S:S,"",0)))</f>
        <v>152</v>
      </c>
      <c r="C2489" s="313">
        <v>46133.0</v>
      </c>
      <c r="D2489" s="314" t="s">
        <v>72</v>
      </c>
      <c r="E2489" s="307" t="str">
        <f t="array" ref="E2489">(XLOOKUP(D2489,Roster!F:F,Roster!B:B,"",0))</f>
        <v>Santiago Mora</v>
      </c>
      <c r="F2489" s="315" t="str">
        <f t="array" ref="F2489">IF(B2489=100,"Free",TEXT(XLOOKUP($D2489,OperationVoice!$A:$A,OperationVoice!AA:AA,XLOOKUP($D2489,OperationTickets!$A:$A,OperationTickets!AA:AA,"",0)),"hh:mm"))</f>
        <v>11:00</v>
      </c>
      <c r="G2489" s="309">
        <f t="shared" si="3"/>
        <v>0.8333333333</v>
      </c>
      <c r="H2489" s="316" t="str">
        <f t="array" ref="H2489">XLOOKUP(B2489,Roster!L:L,Roster!N:N,XLOOKUP(D2489,TicketsBreak!A:A,TicketsBreak!E:E,"",0),0)</f>
        <v>12:30 - 12:45</v>
      </c>
      <c r="I2489" s="316" t="str">
        <f t="array" ref="I2489">XLOOKUP(B2489,Roster!L:L,Roster!O:O,XLOOKUP(D2489,TicketsBreak!A:A,TicketsBreak!F:F,"",0),0)</f>
        <v>14:30 - 15:00</v>
      </c>
      <c r="J2489" s="316" t="str">
        <f t="array" ref="J2489">XLOOKUP(B2489,Roster!L:L,Roster!P:P,XLOOKUP(D2489,TicketsBreak!A:A,TicketsBreak!G:G,"",0),0)</f>
        <v>17:30 - 17:45</v>
      </c>
      <c r="K2489" s="310">
        <f t="shared" si="4"/>
        <v>46133</v>
      </c>
      <c r="L2489" s="317">
        <f t="array" ref="L2489">(XLOOKUP(D2489,Roster!F:F,Roster!D:D,"",0))</f>
        <v>35</v>
      </c>
      <c r="M2489" s="317" t="str">
        <f t="array" ref="M2489">XLOOKUP(D2489,Roster!F:F,Roster!E:E)</f>
        <v>Voice</v>
      </c>
      <c r="N2489" s="317" t="str">
        <f t="shared" ref="N2489:P2489" si="2525">LEFT(H2489,5)</f>
        <v>12:30</v>
      </c>
      <c r="O2489" s="317" t="str">
        <f t="shared" si="2525"/>
        <v>14:30</v>
      </c>
      <c r="P2489" s="317" t="str">
        <f t="shared" si="2525"/>
        <v>17:30</v>
      </c>
      <c r="Q2489" s="318">
        <f t="shared" si="2507"/>
        <v>46133.52083</v>
      </c>
      <c r="R2489" s="318">
        <f t="shared" si="2508"/>
        <v>46133.60417</v>
      </c>
      <c r="S2489" s="318">
        <f t="shared" si="8"/>
        <v>46133.72917</v>
      </c>
    </row>
    <row r="2490">
      <c r="A2490" s="14" t="str">
        <f t="shared" si="1"/>
        <v>C119946133</v>
      </c>
      <c r="B2490" s="185" t="str">
        <f t="array" ref="B2490">IF(F2490="VL","",IF(F2490="Free","Free",XLOOKUP(D2490,Roster!T:T,Roster!S:S,"",0)))</f>
        <v/>
      </c>
      <c r="C2490" s="313">
        <v>46133.0</v>
      </c>
      <c r="D2490" s="314" t="s">
        <v>182</v>
      </c>
      <c r="E2490" s="307" t="str">
        <f t="array" ref="E2490">(XLOOKUP(D2490,Roster!F:F,Roster!B:B,"",0))</f>
        <v>Santiago Velasquez</v>
      </c>
      <c r="F2490" s="315" t="str">
        <f t="array" ref="F2490">IF(B2490=100,"Free",TEXT(XLOOKUP($D2490,OperationVoice!$A:$A,OperationVoice!AA:AA,XLOOKUP($D2490,OperationTickets!$A:$A,OperationTickets!AA:AA,"",0)),"hh:mm"))</f>
        <v>08:00</v>
      </c>
      <c r="G2490" s="309">
        <f t="shared" si="3"/>
        <v>0.7083333333</v>
      </c>
      <c r="H2490" s="316" t="str">
        <f t="array" ref="H2490">XLOOKUP(B2490,Roster!L:L,Roster!N:N,XLOOKUP(D2490,TicketsBreak!A:A,TicketsBreak!E:E,"",0),0)</f>
        <v/>
      </c>
      <c r="I2490" s="316" t="str">
        <f t="array" ref="I2490">XLOOKUP(B2490,Roster!L:L,Roster!O:O,XLOOKUP(D2490,TicketsBreak!A:A,TicketsBreak!F:F,"",0),0)</f>
        <v/>
      </c>
      <c r="J2490" s="316" t="str">
        <f t="array" ref="J2490">XLOOKUP(B2490,Roster!L:L,Roster!P:P,XLOOKUP(D2490,TicketsBreak!A:A,TicketsBreak!G:G,"",0),0)</f>
        <v/>
      </c>
      <c r="K2490" s="310">
        <f t="shared" si="4"/>
        <v>46133</v>
      </c>
      <c r="L2490" s="317">
        <f t="array" ref="L2490">(XLOOKUP(D2490,Roster!F:F,Roster!D:D,"",0))</f>
        <v>25</v>
      </c>
      <c r="M2490" s="317" t="str">
        <f t="array" ref="M2490">XLOOKUP(D2490,Roster!F:F,Roster!E:E)</f>
        <v>Tickets</v>
      </c>
      <c r="N2490" s="317" t="str">
        <f t="shared" ref="N2490:P2490" si="2526">LEFT(H2490,5)</f>
        <v/>
      </c>
      <c r="O2490" s="317" t="str">
        <f t="shared" si="2526"/>
        <v/>
      </c>
      <c r="P2490" s="317" t="str">
        <f t="shared" si="2526"/>
        <v/>
      </c>
      <c r="Q2490" s="318" t="str">
        <f t="shared" si="2507"/>
        <v/>
      </c>
      <c r="R2490" s="318" t="str">
        <f t="shared" si="2508"/>
        <v/>
      </c>
      <c r="S2490" s="318" t="str">
        <f t="shared" si="8"/>
        <v/>
      </c>
    </row>
    <row r="2491">
      <c r="A2491" s="14" t="str">
        <f t="shared" si="1"/>
        <v>C90246133</v>
      </c>
      <c r="B2491" s="185" t="str">
        <f t="array" ref="B2491">IF(F2491="VL","",IF(F2491="Free","Free",XLOOKUP(D2491,Roster!T:T,Roster!S:S,"",0)))</f>
        <v/>
      </c>
      <c r="C2491" s="313">
        <v>46133.0</v>
      </c>
      <c r="D2491" s="314" t="s">
        <v>150</v>
      </c>
      <c r="E2491" s="307" t="str">
        <f t="array" ref="E2491">(XLOOKUP(D2491,Roster!F:F,Roster!B:B,"",0))</f>
        <v>Sebastiam Vallejo</v>
      </c>
      <c r="F2491" s="315" t="str">
        <f t="array" ref="F2491">IF(B2491=100,"Free",TEXT(XLOOKUP($D2491,OperationVoice!$A:$A,OperationVoice!AA:AA,XLOOKUP($D2491,OperationTickets!$A:$A,OperationTickets!AA:AA,"",0)),"hh:mm"))</f>
        <v>08:00</v>
      </c>
      <c r="G2491" s="309">
        <f t="shared" si="3"/>
        <v>0.7083333333</v>
      </c>
      <c r="H2491" s="316">
        <f t="array" ref="H2491">XLOOKUP(B2491,Roster!L:L,Roster!N:N,XLOOKUP(D2491,TicketsBreak!A:A,TicketsBreak!E:E,"",0),0)</f>
        <v>0.4375</v>
      </c>
      <c r="I2491" s="316">
        <f t="array" ref="I2491">XLOOKUP(B2491,Roster!L:L,Roster!O:O,XLOOKUP(D2491,TicketsBreak!A:A,TicketsBreak!F:F,"",0),0)</f>
        <v>0.6041666667</v>
      </c>
      <c r="J2491" s="316">
        <f t="array" ref="J2491">XLOOKUP(B2491,Roster!L:L,Roster!P:P,XLOOKUP(D2491,TicketsBreak!A:A,TicketsBreak!G:G,"",0),0)</f>
        <v>0.65625</v>
      </c>
      <c r="K2491" s="310">
        <f t="shared" si="4"/>
        <v>46133</v>
      </c>
      <c r="L2491" s="317">
        <f t="array" ref="L2491">(XLOOKUP(D2491,Roster!F:F,Roster!D:D,"",0))</f>
        <v>11</v>
      </c>
      <c r="M2491" s="317" t="str">
        <f t="array" ref="M2491">XLOOKUP(D2491,Roster!F:F,Roster!E:E)</f>
        <v>Tickets</v>
      </c>
      <c r="N2491" s="317" t="str">
        <f t="shared" ref="N2491:P2491" si="2527">LEFT(H2491,5)</f>
        <v>10:30</v>
      </c>
      <c r="O2491" s="317" t="str">
        <f t="shared" si="2527"/>
        <v>14:30</v>
      </c>
      <c r="P2491" s="317" t="str">
        <f t="shared" si="2527"/>
        <v>15:45</v>
      </c>
      <c r="Q2491" s="318">
        <f t="shared" si="2507"/>
        <v>46133.4375</v>
      </c>
      <c r="R2491" s="318">
        <f t="shared" si="2508"/>
        <v>46133.60417</v>
      </c>
      <c r="S2491" s="318">
        <f t="shared" si="8"/>
        <v>46133.65625</v>
      </c>
    </row>
    <row r="2492">
      <c r="A2492" s="14" t="str">
        <f t="shared" si="1"/>
        <v>C150646133</v>
      </c>
      <c r="B2492" s="185" t="str">
        <f t="array" ref="B2492">IF(F2492="VL","",IF(F2492="Free","Free",XLOOKUP(D2492,Roster!T:T,Roster!S:S,"",0)))</f>
        <v>Free</v>
      </c>
      <c r="C2492" s="313">
        <v>46133.0</v>
      </c>
      <c r="D2492" s="314" t="s">
        <v>73</v>
      </c>
      <c r="E2492" s="307" t="str">
        <f t="array" ref="E2492">(XLOOKUP(D2492,Roster!F:F,Roster!B:B,"",0))</f>
        <v>Sebastian Agudelo Londono</v>
      </c>
      <c r="F2492" s="315" t="str">
        <f t="array" ref="F2492">IF(B2492=100,"Free",TEXT(XLOOKUP($D2492,OperationVoice!$A:$A,OperationVoice!AA:AA,XLOOKUP($D2492,OperationTickets!$A:$A,OperationTickets!AA:AA,"",0)),"hh:mm"))</f>
        <v>Free</v>
      </c>
      <c r="G2492" s="309" t="str">
        <f t="shared" si="3"/>
        <v>Free</v>
      </c>
      <c r="H2492" s="316" t="str">
        <f t="array" ref="H2492">XLOOKUP(B2492,Roster!L:L,Roster!N:N,XLOOKUP(D2492,TicketsBreak!A:A,TicketsBreak!E:E,"",0),0)</f>
        <v/>
      </c>
      <c r="I2492" s="316" t="str">
        <f t="array" ref="I2492">XLOOKUP(B2492,Roster!L:L,Roster!O:O,XLOOKUP(D2492,TicketsBreak!A:A,TicketsBreak!F:F,"",0),0)</f>
        <v/>
      </c>
      <c r="J2492" s="316" t="str">
        <f t="array" ref="J2492">XLOOKUP(B2492,Roster!L:L,Roster!P:P,XLOOKUP(D2492,TicketsBreak!A:A,TicketsBreak!G:G,"",0),0)</f>
        <v/>
      </c>
      <c r="K2492" s="310">
        <f t="shared" si="4"/>
        <v>46133</v>
      </c>
      <c r="L2492" s="317">
        <f t="array" ref="L2492">(XLOOKUP(D2492,Roster!F:F,Roster!D:D,"",0))</f>
        <v>35</v>
      </c>
      <c r="M2492" s="317" t="str">
        <f t="array" ref="M2492">XLOOKUP(D2492,Roster!F:F,Roster!E:E)</f>
        <v>Voice</v>
      </c>
      <c r="N2492" s="317" t="str">
        <f t="shared" ref="N2492:P2492" si="2528">LEFT(H2492,5)</f>
        <v/>
      </c>
      <c r="O2492" s="317" t="str">
        <f t="shared" si="2528"/>
        <v/>
      </c>
      <c r="P2492" s="317" t="str">
        <f t="shared" si="2528"/>
        <v/>
      </c>
      <c r="Q2492" s="318" t="str">
        <f t="shared" si="2507"/>
        <v/>
      </c>
      <c r="R2492" s="318" t="str">
        <f t="shared" si="2508"/>
        <v/>
      </c>
      <c r="S2492" s="318" t="str">
        <f t="shared" si="8"/>
        <v/>
      </c>
    </row>
    <row r="2493">
      <c r="A2493" s="14" t="str">
        <f t="shared" si="1"/>
        <v>C119046133</v>
      </c>
      <c r="B2493" s="185" t="str">
        <f t="array" ref="B2493">IF(F2493="VL","",IF(F2493="Free","Free",XLOOKUP(D2493,Roster!T:T,Roster!S:S,"",0)))</f>
        <v/>
      </c>
      <c r="C2493" s="313">
        <v>46133.0</v>
      </c>
      <c r="D2493" s="314" t="s">
        <v>183</v>
      </c>
      <c r="E2493" s="307" t="str">
        <f t="array" ref="E2493">(XLOOKUP(D2493,Roster!F:F,Roster!B:B,"",0))</f>
        <v>Sebastian Herrera</v>
      </c>
      <c r="F2493" s="315" t="str">
        <f t="array" ref="F2493">IF(B2493=100,"Free",TEXT(XLOOKUP($D2493,OperationVoice!$A:$A,OperationVoice!AA:AA,XLOOKUP($D2493,OperationTickets!$A:$A,OperationTickets!AA:AA,"",0)),"hh:mm"))</f>
        <v>07:00</v>
      </c>
      <c r="G2493" s="309">
        <f t="shared" si="3"/>
        <v>0.6666666667</v>
      </c>
      <c r="H2493" s="316">
        <f t="array" ref="H2493">XLOOKUP(B2493,Roster!L:L,Roster!N:N,XLOOKUP(D2493,TicketsBreak!A:A,TicketsBreak!E:E,"",0),0)</f>
        <v>0.40625</v>
      </c>
      <c r="I2493" s="316">
        <f t="array" ref="I2493">XLOOKUP(B2493,Roster!L:L,Roster!O:O,XLOOKUP(D2493,TicketsBreak!A:A,TicketsBreak!F:F,"",0),0)</f>
        <v>0.5416666667</v>
      </c>
      <c r="J2493" s="316">
        <f t="array" ref="J2493">XLOOKUP(B2493,Roster!L:L,Roster!P:P,XLOOKUP(D2493,TicketsBreak!A:A,TicketsBreak!G:G,"",0),0)</f>
        <v>0.625</v>
      </c>
      <c r="K2493" s="310">
        <f t="shared" si="4"/>
        <v>46133</v>
      </c>
      <c r="L2493" s="317">
        <f t="array" ref="L2493">(XLOOKUP(D2493,Roster!F:F,Roster!D:D,"",0))</f>
        <v>25</v>
      </c>
      <c r="M2493" s="317" t="str">
        <f t="array" ref="M2493">XLOOKUP(D2493,Roster!F:F,Roster!E:E)</f>
        <v>Tickets</v>
      </c>
      <c r="N2493" s="317" t="str">
        <f t="shared" ref="N2493:P2493" si="2529">LEFT(H2493,5)</f>
        <v>09:45</v>
      </c>
      <c r="O2493" s="317" t="str">
        <f t="shared" si="2529"/>
        <v>13:00</v>
      </c>
      <c r="P2493" s="317" t="str">
        <f t="shared" si="2529"/>
        <v>15:00</v>
      </c>
      <c r="Q2493" s="318">
        <f t="shared" si="2507"/>
        <v>46133.40625</v>
      </c>
      <c r="R2493" s="318">
        <f t="shared" si="2508"/>
        <v>46133.54167</v>
      </c>
      <c r="S2493" s="318">
        <f t="shared" si="8"/>
        <v>46133.625</v>
      </c>
    </row>
    <row r="2494">
      <c r="A2494" s="14" t="str">
        <f t="shared" si="1"/>
        <v>C71046133</v>
      </c>
      <c r="B2494" s="185" t="str">
        <f t="array" ref="B2494">IF(F2494="VL","",IF(F2494="Free","Free",XLOOKUP(D2494,Roster!T:T,Roster!S:S,"",0)))</f>
        <v/>
      </c>
      <c r="C2494" s="313">
        <v>46133.0</v>
      </c>
      <c r="D2494" s="314" t="s">
        <v>184</v>
      </c>
      <c r="E2494" s="307" t="str">
        <f t="array" ref="E2494">(XLOOKUP(D2494,Roster!F:F,Roster!B:B,"",0))</f>
        <v>Sebastian Martinez</v>
      </c>
      <c r="F2494" s="315" t="str">
        <f t="array" ref="F2494">IF(B2494=100,"Free",TEXT(XLOOKUP($D2494,OperationVoice!$A:$A,OperationVoice!AA:AA,XLOOKUP($D2494,OperationTickets!$A:$A,OperationTickets!AA:AA,"",0)),"hh:mm"))</f>
        <v>08:00</v>
      </c>
      <c r="G2494" s="309">
        <f t="shared" si="3"/>
        <v>0.7083333333</v>
      </c>
      <c r="H2494" s="316">
        <f t="array" ref="H2494">XLOOKUP(B2494,Roster!L:L,Roster!N:N,XLOOKUP(D2494,TicketsBreak!A:A,TicketsBreak!E:E,"",0),0)</f>
        <v>0.40625</v>
      </c>
      <c r="I2494" s="316">
        <f t="array" ref="I2494">XLOOKUP(B2494,Roster!L:L,Roster!O:O,XLOOKUP(D2494,TicketsBreak!A:A,TicketsBreak!F:F,"",0),0)</f>
        <v>0.5625</v>
      </c>
      <c r="J2494" s="316">
        <f t="array" ref="J2494">XLOOKUP(B2494,Roster!L:L,Roster!P:P,XLOOKUP(D2494,TicketsBreak!A:A,TicketsBreak!G:G,"",0),0)</f>
        <v>0.65625</v>
      </c>
      <c r="K2494" s="310">
        <f t="shared" si="4"/>
        <v>46133</v>
      </c>
      <c r="L2494" s="317">
        <f t="array" ref="L2494">(XLOOKUP(D2494,Roster!F:F,Roster!D:D,"",0))</f>
        <v>6</v>
      </c>
      <c r="M2494" s="317" t="str">
        <f t="array" ref="M2494">XLOOKUP(D2494,Roster!F:F,Roster!E:E)</f>
        <v>Tickets</v>
      </c>
      <c r="N2494" s="317" t="str">
        <f t="shared" ref="N2494:P2494" si="2530">LEFT(H2494,5)</f>
        <v>09:45</v>
      </c>
      <c r="O2494" s="317" t="str">
        <f t="shared" si="2530"/>
        <v>13:30</v>
      </c>
      <c r="P2494" s="317" t="str">
        <f t="shared" si="2530"/>
        <v>15:45</v>
      </c>
      <c r="Q2494" s="318">
        <f t="shared" si="2507"/>
        <v>46133.40625</v>
      </c>
      <c r="R2494" s="318">
        <f t="shared" si="2508"/>
        <v>46133.5625</v>
      </c>
      <c r="S2494" s="318">
        <f t="shared" si="8"/>
        <v>46133.65625</v>
      </c>
    </row>
    <row r="2495">
      <c r="A2495" s="14" t="str">
        <f t="shared" si="1"/>
        <v>C72346133</v>
      </c>
      <c r="B2495" s="185" t="str">
        <f t="array" ref="B2495">IF(F2495="VL","",IF(F2495="Free","Free",XLOOKUP(D2495,Roster!T:T,Roster!S:S,"",0)))</f>
        <v>Free</v>
      </c>
      <c r="C2495" s="313">
        <v>46133.0</v>
      </c>
      <c r="D2495" s="314" t="s">
        <v>169</v>
      </c>
      <c r="E2495" s="307" t="str">
        <f t="array" ref="E2495">(XLOOKUP(D2495,Roster!F:F,Roster!B:B,"",0))</f>
        <v>Sebastian Parra</v>
      </c>
      <c r="F2495" s="315" t="str">
        <f t="array" ref="F2495">IF(B2495=100,"Free",TEXT(XLOOKUP($D2495,OperationVoice!$A:$A,OperationVoice!AA:AA,XLOOKUP($D2495,OperationTickets!$A:$A,OperationTickets!AA:AA,"",0)),"hh:mm"))</f>
        <v>Free</v>
      </c>
      <c r="G2495" s="309" t="str">
        <f t="shared" si="3"/>
        <v>Free</v>
      </c>
      <c r="H2495" s="316">
        <f t="array" ref="H2495">XLOOKUP(B2495,Roster!L:L,Roster!N:N,XLOOKUP(D2495,TicketsBreak!A:A,TicketsBreak!E:E,"",0),0)</f>
        <v>0.4166666667</v>
      </c>
      <c r="I2495" s="316">
        <f t="array" ref="I2495">XLOOKUP(B2495,Roster!L:L,Roster!O:O,XLOOKUP(D2495,TicketsBreak!A:A,TicketsBreak!F:F,"",0),0)</f>
        <v>0.5347222222</v>
      </c>
      <c r="J2495" s="316">
        <f t="array" ref="J2495">XLOOKUP(B2495,Roster!L:L,Roster!P:P,XLOOKUP(D2495,TicketsBreak!A:A,TicketsBreak!G:G,"",0),0)</f>
        <v>0.65625</v>
      </c>
      <c r="K2495" s="310">
        <f t="shared" si="4"/>
        <v>46133</v>
      </c>
      <c r="L2495" s="317">
        <f t="array" ref="L2495">(XLOOKUP(D2495,Roster!F:F,Roster!D:D,"",0))</f>
        <v>7</v>
      </c>
      <c r="M2495" s="317" t="str">
        <f t="array" ref="M2495">XLOOKUP(D2495,Roster!F:F,Roster!E:E)</f>
        <v>Tickets</v>
      </c>
      <c r="N2495" s="317" t="str">
        <f t="shared" ref="N2495:P2495" si="2531">LEFT(H2495,5)</f>
        <v>10:00</v>
      </c>
      <c r="O2495" s="317" t="str">
        <f t="shared" si="2531"/>
        <v>12:50</v>
      </c>
      <c r="P2495" s="317" t="str">
        <f t="shared" si="2531"/>
        <v>15:45</v>
      </c>
      <c r="Q2495" s="318">
        <f t="shared" si="2507"/>
        <v>46133.41667</v>
      </c>
      <c r="R2495" s="318">
        <f t="shared" si="2508"/>
        <v>46133.53472</v>
      </c>
      <c r="S2495" s="318">
        <f t="shared" si="8"/>
        <v>46133.65625</v>
      </c>
    </row>
    <row r="2496">
      <c r="A2496" s="14" t="str">
        <f t="shared" si="1"/>
        <v>C137646133</v>
      </c>
      <c r="B2496" s="185" t="str">
        <f t="array" ref="B2496">IF(F2496="VL","",IF(F2496="Free","Free",XLOOKUP(D2496,Roster!T:T,Roster!S:S,"",0)))</f>
        <v/>
      </c>
      <c r="C2496" s="313">
        <v>46133.0</v>
      </c>
      <c r="D2496" s="314" t="s">
        <v>151</v>
      </c>
      <c r="E2496" s="307" t="str">
        <f t="array" ref="E2496">(XLOOKUP(D2496,Roster!F:F,Roster!B:B,"",0))</f>
        <v>Sebastian Quiroz</v>
      </c>
      <c r="F2496" s="315" t="str">
        <f t="array" ref="F2496">IF(B2496=100,"Free",TEXT(XLOOKUP($D2496,OperationVoice!$A:$A,OperationVoice!AA:AA,XLOOKUP($D2496,OperationTickets!$A:$A,OperationTickets!AA:AA,"",0)),"hh:mm"))</f>
        <v>08:00</v>
      </c>
      <c r="G2496" s="309">
        <f t="shared" si="3"/>
        <v>0.7083333333</v>
      </c>
      <c r="H2496" s="316" t="str">
        <f t="array" ref="H2496">XLOOKUP(B2496,Roster!L:L,Roster!N:N,XLOOKUP(D2496,TicketsBreak!A:A,TicketsBreak!E:E,"",0),0)</f>
        <v/>
      </c>
      <c r="I2496" s="316" t="str">
        <f t="array" ref="I2496">XLOOKUP(B2496,Roster!L:L,Roster!O:O,XLOOKUP(D2496,TicketsBreak!A:A,TicketsBreak!F:F,"",0),0)</f>
        <v/>
      </c>
      <c r="J2496" s="316" t="str">
        <f t="array" ref="J2496">XLOOKUP(B2496,Roster!L:L,Roster!P:P,XLOOKUP(D2496,TicketsBreak!A:A,TicketsBreak!G:G,"",0),0)</f>
        <v/>
      </c>
      <c r="K2496" s="310">
        <f t="shared" si="4"/>
        <v>46133</v>
      </c>
      <c r="L2496" s="317">
        <f t="array" ref="L2496">(XLOOKUP(D2496,Roster!F:F,Roster!D:D,"",0))</f>
        <v>31</v>
      </c>
      <c r="M2496" s="317" t="str">
        <f t="array" ref="M2496">XLOOKUP(D2496,Roster!F:F,Roster!E:E)</f>
        <v>Tickets</v>
      </c>
      <c r="N2496" s="317" t="str">
        <f t="shared" ref="N2496:P2496" si="2532">LEFT(H2496,5)</f>
        <v/>
      </c>
      <c r="O2496" s="317" t="str">
        <f t="shared" si="2532"/>
        <v/>
      </c>
      <c r="P2496" s="317" t="str">
        <f t="shared" si="2532"/>
        <v/>
      </c>
      <c r="Q2496" s="318" t="str">
        <f t="shared" si="2507"/>
        <v/>
      </c>
      <c r="R2496" s="318" t="str">
        <f t="shared" si="2508"/>
        <v/>
      </c>
      <c r="S2496" s="318" t="str">
        <f t="shared" si="8"/>
        <v/>
      </c>
    </row>
    <row r="2497">
      <c r="A2497" s="14" t="str">
        <f t="shared" si="1"/>
        <v>C72646133</v>
      </c>
      <c r="B2497" s="185" t="str">
        <f t="array" ref="B2497">IF(F2497="VL","",IF(F2497="Free","Free",XLOOKUP(D2497,Roster!T:T,Roster!S:S,"",0)))</f>
        <v/>
      </c>
      <c r="C2497" s="313">
        <v>46133.0</v>
      </c>
      <c r="D2497" s="314" t="s">
        <v>185</v>
      </c>
      <c r="E2497" s="307" t="str">
        <f t="array" ref="E2497">(XLOOKUP(D2497,Roster!F:F,Roster!B:B,"",0))</f>
        <v>Sebastian Rodriguez</v>
      </c>
      <c r="F2497" s="315" t="str">
        <f t="array" ref="F2497">IF(B2497=100,"Free",TEXT(XLOOKUP($D2497,OperationVoice!$A:$A,OperationVoice!AA:AA,XLOOKUP($D2497,OperationTickets!$A:$A,OperationTickets!AA:AA,"",0)),"hh:mm"))</f>
        <v>08:00</v>
      </c>
      <c r="G2497" s="309">
        <f t="shared" si="3"/>
        <v>0.7083333333</v>
      </c>
      <c r="H2497" s="316">
        <f t="array" ref="H2497">XLOOKUP(B2497,Roster!L:L,Roster!N:N,XLOOKUP(D2497,TicketsBreak!A:A,TicketsBreak!E:E,"",0),0)</f>
        <v>0.4166666667</v>
      </c>
      <c r="I2497" s="316">
        <f t="array" ref="I2497">XLOOKUP(B2497,Roster!L:L,Roster!O:O,XLOOKUP(D2497,TicketsBreak!A:A,TicketsBreak!F:F,"",0),0)</f>
        <v>0.5625</v>
      </c>
      <c r="J2497" s="316">
        <f t="array" ref="J2497">XLOOKUP(B2497,Roster!L:L,Roster!P:P,XLOOKUP(D2497,TicketsBreak!A:A,TicketsBreak!G:G,"",0),0)</f>
        <v>0.6458333333</v>
      </c>
      <c r="K2497" s="310">
        <f t="shared" si="4"/>
        <v>46133</v>
      </c>
      <c r="L2497" s="317">
        <f t="array" ref="L2497">(XLOOKUP(D2497,Roster!F:F,Roster!D:D,"",0))</f>
        <v>7</v>
      </c>
      <c r="M2497" s="317" t="str">
        <f t="array" ref="M2497">XLOOKUP(D2497,Roster!F:F,Roster!E:E)</f>
        <v>Tickets</v>
      </c>
      <c r="N2497" s="317" t="str">
        <f t="shared" ref="N2497:P2497" si="2533">LEFT(H2497,5)</f>
        <v>10:00</v>
      </c>
      <c r="O2497" s="317" t="str">
        <f t="shared" si="2533"/>
        <v>13:30</v>
      </c>
      <c r="P2497" s="317" t="str">
        <f t="shared" si="2533"/>
        <v>15:30</v>
      </c>
      <c r="Q2497" s="318">
        <f t="shared" si="2507"/>
        <v>46133.41667</v>
      </c>
      <c r="R2497" s="318">
        <f t="shared" si="2508"/>
        <v>46133.5625</v>
      </c>
      <c r="S2497" s="318">
        <f t="shared" si="8"/>
        <v>46133.64583</v>
      </c>
    </row>
    <row r="2498">
      <c r="A2498" s="14" t="str">
        <f t="shared" si="1"/>
        <v>C60246133</v>
      </c>
      <c r="B2498" s="185" t="str">
        <f t="array" ref="B2498">IF(F2498="VL","",IF(F2498="Free","Free",XLOOKUP(D2498,Roster!T:T,Roster!S:S,"",0)))</f>
        <v/>
      </c>
      <c r="C2498" s="313">
        <v>46133.0</v>
      </c>
      <c r="D2498" s="314" t="s">
        <v>170</v>
      </c>
      <c r="E2498" s="307" t="str">
        <f t="array" ref="E2498">(XLOOKUP(D2498,Roster!F:F,Roster!B:B,"",0))</f>
        <v>Sebastian Torres</v>
      </c>
      <c r="F2498" s="315" t="str">
        <f t="array" ref="F2498">IF(B2498=100,"Free",TEXT(XLOOKUP($D2498,OperationVoice!$A:$A,OperationVoice!AA:AA,XLOOKUP($D2498,OperationTickets!$A:$A,OperationTickets!AA:AA,"",0)),"hh:mm"))</f>
        <v>08:00</v>
      </c>
      <c r="G2498" s="309">
        <f t="shared" si="3"/>
        <v>0.7083333333</v>
      </c>
      <c r="H2498" s="316">
        <f t="array" ref="H2498">XLOOKUP(B2498,Roster!L:L,Roster!N:N,XLOOKUP(D2498,TicketsBreak!A:A,TicketsBreak!E:E,"",0),0)</f>
        <v>0.4583333333</v>
      </c>
      <c r="I2498" s="316">
        <f t="array" ref="I2498">XLOOKUP(B2498,Roster!L:L,Roster!O:O,XLOOKUP(D2498,TicketsBreak!A:A,TicketsBreak!F:F,"",0),0)</f>
        <v>0.5833333333</v>
      </c>
      <c r="J2498" s="316">
        <f t="array" ref="J2498">XLOOKUP(B2498,Roster!L:L,Roster!P:P,XLOOKUP(D2498,TicketsBreak!A:A,TicketsBreak!G:G,"",0),0)</f>
        <v>0.65625</v>
      </c>
      <c r="K2498" s="310">
        <f t="shared" si="4"/>
        <v>46133</v>
      </c>
      <c r="L2498" s="317">
        <f t="array" ref="L2498">(XLOOKUP(D2498,Roster!F:F,Roster!D:D,"",0))</f>
        <v>8</v>
      </c>
      <c r="M2498" s="317" t="str">
        <f t="array" ref="M2498">XLOOKUP(D2498,Roster!F:F,Roster!E:E)</f>
        <v>Tickets</v>
      </c>
      <c r="N2498" s="317" t="str">
        <f t="shared" ref="N2498:P2498" si="2534">LEFT(H2498,5)</f>
        <v>11:00</v>
      </c>
      <c r="O2498" s="317" t="str">
        <f t="shared" si="2534"/>
        <v>14:00</v>
      </c>
      <c r="P2498" s="317" t="str">
        <f t="shared" si="2534"/>
        <v>15:45</v>
      </c>
      <c r="Q2498" s="318">
        <f t="shared" si="2507"/>
        <v>46133.45833</v>
      </c>
      <c r="R2498" s="318">
        <f t="shared" si="2508"/>
        <v>46133.58333</v>
      </c>
      <c r="S2498" s="318">
        <f t="shared" si="8"/>
        <v>46133.65625</v>
      </c>
    </row>
    <row r="2499">
      <c r="A2499" s="14" t="str">
        <f t="shared" si="1"/>
        <v>C143146133</v>
      </c>
      <c r="B2499" s="185" t="str">
        <f t="array" ref="B2499">IF(F2499="VL","",IF(F2499="Free","Free",XLOOKUP(D2499,Roster!T:T,Roster!S:S,"",0)))</f>
        <v>Free</v>
      </c>
      <c r="C2499" s="313">
        <v>46133.0</v>
      </c>
      <c r="D2499" s="314" t="s">
        <v>74</v>
      </c>
      <c r="E2499" s="307" t="str">
        <f t="array" ref="E2499">(XLOOKUP(D2499,Roster!F:F,Roster!B:B,"",0))</f>
        <v>Sebastian Torres Gomez</v>
      </c>
      <c r="F2499" s="315" t="str">
        <f t="array" ref="F2499">IF(B2499=100,"Free",TEXT(XLOOKUP($D2499,OperationVoice!$A:$A,OperationVoice!AA:AA,XLOOKUP($D2499,OperationTickets!$A:$A,OperationTickets!AA:AA,"",0)),"hh:mm"))</f>
        <v>Free</v>
      </c>
      <c r="G2499" s="309" t="str">
        <f t="shared" si="3"/>
        <v>Free</v>
      </c>
      <c r="H2499" s="316" t="str">
        <f t="array" ref="H2499">XLOOKUP(B2499,Roster!L:L,Roster!N:N,XLOOKUP(D2499,TicketsBreak!A:A,TicketsBreak!E:E,"",0),0)</f>
        <v/>
      </c>
      <c r="I2499" s="316" t="str">
        <f t="array" ref="I2499">XLOOKUP(B2499,Roster!L:L,Roster!O:O,XLOOKUP(D2499,TicketsBreak!A:A,TicketsBreak!F:F,"",0),0)</f>
        <v/>
      </c>
      <c r="J2499" s="316" t="str">
        <f t="array" ref="J2499">XLOOKUP(B2499,Roster!L:L,Roster!P:P,XLOOKUP(D2499,TicketsBreak!A:A,TicketsBreak!G:G,"",0),0)</f>
        <v/>
      </c>
      <c r="K2499" s="310">
        <f t="shared" si="4"/>
        <v>46133</v>
      </c>
      <c r="L2499" s="317">
        <f t="array" ref="L2499">(XLOOKUP(D2499,Roster!F:F,Roster!D:D,"",0))</f>
        <v>32</v>
      </c>
      <c r="M2499" s="317" t="str">
        <f t="array" ref="M2499">XLOOKUP(D2499,Roster!F:F,Roster!E:E)</f>
        <v>Voice</v>
      </c>
      <c r="N2499" s="317" t="str">
        <f t="shared" ref="N2499:P2499" si="2535">LEFT(H2499,5)</f>
        <v/>
      </c>
      <c r="O2499" s="317" t="str">
        <f t="shared" si="2535"/>
        <v/>
      </c>
      <c r="P2499" s="317" t="str">
        <f t="shared" si="2535"/>
        <v/>
      </c>
      <c r="Q2499" s="318" t="str">
        <f t="shared" si="2507"/>
        <v/>
      </c>
      <c r="R2499" s="318" t="str">
        <f t="shared" si="2508"/>
        <v/>
      </c>
      <c r="S2499" s="318" t="str">
        <f t="shared" si="8"/>
        <v/>
      </c>
    </row>
    <row r="2500">
      <c r="A2500" s="14" t="str">
        <f t="shared" si="1"/>
        <v>C149146133</v>
      </c>
      <c r="B2500" s="185" t="str">
        <f t="array" ref="B2500">IF(F2500="VL","",IF(F2500="Free","Free",XLOOKUP(D2500,Roster!T:T,Roster!S:S,"",0)))</f>
        <v/>
      </c>
      <c r="C2500" s="313">
        <v>46133.0</v>
      </c>
      <c r="D2500" s="314" t="s">
        <v>315</v>
      </c>
      <c r="E2500" s="307" t="str">
        <f t="array" ref="E2500">(XLOOKUP(D2500,Roster!F:F,Roster!B:B,"",0))</f>
        <v>Sebastian Vanegas</v>
      </c>
      <c r="F2500" s="315" t="str">
        <f t="array" ref="F2500">IF(B2500=100,"Free",TEXT(XLOOKUP($D2500,OperationVoice!$A:$A,OperationVoice!AA:AA,XLOOKUP($D2500,OperationTickets!$A:$A,OperationTickets!AA:AA,"",0)),"hh:mm"))</f>
        <v/>
      </c>
      <c r="G2500" s="309" t="str">
        <f t="shared" si="3"/>
        <v/>
      </c>
      <c r="H2500" s="316" t="str">
        <f t="array" ref="H2500">XLOOKUP(B2500,Roster!L:L,Roster!N:N,XLOOKUP(D2500,TicketsBreak!A:A,TicketsBreak!E:E,"",0),0)</f>
        <v/>
      </c>
      <c r="I2500" s="316" t="str">
        <f t="array" ref="I2500">XLOOKUP(B2500,Roster!L:L,Roster!O:O,XLOOKUP(D2500,TicketsBreak!A:A,TicketsBreak!F:F,"",0),0)</f>
        <v/>
      </c>
      <c r="J2500" s="316" t="str">
        <f t="array" ref="J2500">XLOOKUP(B2500,Roster!L:L,Roster!P:P,XLOOKUP(D2500,TicketsBreak!A:A,TicketsBreak!G:G,"",0),0)</f>
        <v/>
      </c>
      <c r="K2500" s="310">
        <f t="shared" si="4"/>
        <v>46133</v>
      </c>
      <c r="L2500" s="317">
        <f t="array" ref="L2500">(XLOOKUP(D2500,Roster!F:F,Roster!D:D,"",0))</f>
        <v>34</v>
      </c>
      <c r="M2500" s="317" t="str">
        <f t="array" ref="M2500">XLOOKUP(D2500,Roster!F:F,Roster!E:E)</f>
        <v>Voice</v>
      </c>
      <c r="N2500" s="317" t="str">
        <f t="shared" ref="N2500:P2500" si="2536">LEFT(H2500,5)</f>
        <v/>
      </c>
      <c r="O2500" s="317" t="str">
        <f t="shared" si="2536"/>
        <v/>
      </c>
      <c r="P2500" s="317" t="str">
        <f t="shared" si="2536"/>
        <v/>
      </c>
      <c r="Q2500" s="318" t="str">
        <f t="shared" si="2507"/>
        <v/>
      </c>
      <c r="R2500" s="318" t="str">
        <f t="shared" si="2508"/>
        <v/>
      </c>
      <c r="S2500" s="318" t="str">
        <f t="shared" si="8"/>
        <v/>
      </c>
    </row>
    <row r="2501">
      <c r="A2501" s="14" t="str">
        <f t="shared" si="1"/>
        <v>C93746133</v>
      </c>
      <c r="B2501" s="185">
        <f t="array" ref="B2501">IF(F2501="VL","",IF(F2501="Free","Free",XLOOKUP(D2501,Roster!T:T,Roster!S:S,"",0)))</f>
        <v>126</v>
      </c>
      <c r="C2501" s="313">
        <v>46133.0</v>
      </c>
      <c r="D2501" s="314" t="s">
        <v>75</v>
      </c>
      <c r="E2501" s="307" t="str">
        <f t="array" ref="E2501">(XLOOKUP(D2501,Roster!F:F,Roster!B:B,"",0))</f>
        <v>Sebastian Zapata</v>
      </c>
      <c r="F2501" s="315" t="str">
        <f t="array" ref="F2501">IF(B2501=100,"Free",TEXT(XLOOKUP($D2501,OperationVoice!$A:$A,OperationVoice!AA:AA,XLOOKUP($D2501,OperationTickets!$A:$A,OperationTickets!AA:AA,"",0)),"hh:mm"))</f>
        <v>08:00</v>
      </c>
      <c r="G2501" s="309">
        <f t="shared" si="3"/>
        <v>0.7083333333</v>
      </c>
      <c r="H2501" s="316" t="str">
        <f t="array" ref="H2501">XLOOKUP(B2501,Roster!L:L,Roster!N:N,XLOOKUP(D2501,TicketsBreak!A:A,TicketsBreak!E:E,"",0),0)</f>
        <v>10:45 - 11:00</v>
      </c>
      <c r="I2501" s="316" t="str">
        <f t="array" ref="I2501">XLOOKUP(B2501,Roster!L:L,Roster!O:O,XLOOKUP(D2501,TicketsBreak!A:A,TicketsBreak!F:F,"",0),0)</f>
        <v>14:00 - 14:30</v>
      </c>
      <c r="J2501" s="316" t="str">
        <f t="array" ref="J2501">XLOOKUP(B2501,Roster!L:L,Roster!P:P,XLOOKUP(D2501,TicketsBreak!A:A,TicketsBreak!G:G,"",0),0)</f>
        <v>15:45 - 16:00</v>
      </c>
      <c r="K2501" s="310">
        <f t="shared" si="4"/>
        <v>46133</v>
      </c>
      <c r="L2501" s="317">
        <f t="array" ref="L2501">(XLOOKUP(D2501,Roster!F:F,Roster!D:D,"",0))</f>
        <v>12</v>
      </c>
      <c r="M2501" s="317" t="str">
        <f t="array" ref="M2501">XLOOKUP(D2501,Roster!F:F,Roster!E:E)</f>
        <v>Voice</v>
      </c>
      <c r="N2501" s="317" t="str">
        <f t="shared" ref="N2501:P2501" si="2537">LEFT(H2501,5)</f>
        <v>10:45</v>
      </c>
      <c r="O2501" s="317" t="str">
        <f t="shared" si="2537"/>
        <v>14:00</v>
      </c>
      <c r="P2501" s="317" t="str">
        <f t="shared" si="2537"/>
        <v>15:45</v>
      </c>
      <c r="Q2501" s="318">
        <f t="shared" si="2507"/>
        <v>46133.44792</v>
      </c>
      <c r="R2501" s="318">
        <f t="shared" si="2508"/>
        <v>46133.58333</v>
      </c>
      <c r="S2501" s="318">
        <f t="shared" si="8"/>
        <v>46133.65625</v>
      </c>
    </row>
    <row r="2502">
      <c r="A2502" s="14" t="str">
        <f t="shared" si="1"/>
        <v>C156546133</v>
      </c>
      <c r="B2502" s="185">
        <f t="array" ref="B2502">IF(F2502="VL","",IF(F2502="Free","Free",XLOOKUP(D2502,Roster!T:T,Roster!S:S,"",0)))</f>
        <v>122</v>
      </c>
      <c r="C2502" s="313">
        <v>46133.0</v>
      </c>
      <c r="D2502" s="314" t="s">
        <v>76</v>
      </c>
      <c r="E2502" s="307" t="str">
        <f t="array" ref="E2502">(XLOOKUP(D2502,Roster!F:F,Roster!B:B,"",0))</f>
        <v>Sergio Rojas</v>
      </c>
      <c r="F2502" s="315" t="str">
        <f t="array" ref="F2502">IF(B2502=100,"Free",TEXT(XLOOKUP($D2502,OperationVoice!$A:$A,OperationVoice!AA:AA,XLOOKUP($D2502,OperationTickets!$A:$A,OperationTickets!AA:AA,"",0)),"hh:mm"))</f>
        <v>11:00</v>
      </c>
      <c r="G2502" s="309">
        <f t="shared" si="3"/>
        <v>0.8333333333</v>
      </c>
      <c r="H2502" s="316" t="str">
        <f t="array" ref="H2502">XLOOKUP(B2502,Roster!L:L,Roster!N:N,XLOOKUP(D2502,TicketsBreak!A:A,TicketsBreak!E:E,"",0),0)</f>
        <v>09:30 - 09:45</v>
      </c>
      <c r="I2502" s="316" t="str">
        <f t="array" ref="I2502">XLOOKUP(B2502,Roster!L:L,Roster!O:O,XLOOKUP(D2502,TicketsBreak!A:A,TicketsBreak!F:F,"",0),0)</f>
        <v>12:00 - 12:30</v>
      </c>
      <c r="J2502" s="316" t="str">
        <f t="array" ref="J2502">XLOOKUP(B2502,Roster!L:L,Roster!P:P,XLOOKUP(D2502,TicketsBreak!A:A,TicketsBreak!G:G,"",0),0)</f>
        <v>14:45 - 15:00</v>
      </c>
      <c r="K2502" s="310">
        <f t="shared" si="4"/>
        <v>46133</v>
      </c>
      <c r="L2502" s="317">
        <f t="array" ref="L2502">(XLOOKUP(D2502,Roster!F:F,Roster!D:D,"",0))</f>
        <v>38</v>
      </c>
      <c r="M2502" s="317" t="str">
        <f t="array" ref="M2502">XLOOKUP(D2502,Roster!F:F,Roster!E:E)</f>
        <v>Voice</v>
      </c>
      <c r="N2502" s="317" t="str">
        <f t="shared" ref="N2502:P2502" si="2538">LEFT(H2502,5)</f>
        <v>09:30</v>
      </c>
      <c r="O2502" s="317" t="str">
        <f t="shared" si="2538"/>
        <v>12:00</v>
      </c>
      <c r="P2502" s="317" t="str">
        <f t="shared" si="2538"/>
        <v>14:45</v>
      </c>
      <c r="Q2502" s="318">
        <f t="shared" si="2507"/>
        <v>46133.39583</v>
      </c>
      <c r="R2502" s="318">
        <f t="shared" si="2508"/>
        <v>46133.5</v>
      </c>
      <c r="S2502" s="318">
        <f t="shared" si="8"/>
        <v>46133.61458</v>
      </c>
    </row>
    <row r="2503">
      <c r="A2503" s="14" t="str">
        <f t="shared" si="1"/>
        <v>C147846133</v>
      </c>
      <c r="B2503" s="185" t="str">
        <f t="array" ref="B2503">IF(F2503="VL","",IF(F2503="Free","Free",XLOOKUP(D2503,Roster!T:T,Roster!S:S,"",0)))</f>
        <v/>
      </c>
      <c r="C2503" s="313">
        <v>46133.0</v>
      </c>
      <c r="D2503" s="314" t="s">
        <v>186</v>
      </c>
      <c r="E2503" s="307" t="str">
        <f t="array" ref="E2503">(XLOOKUP(D2503,Roster!F:F,Roster!B:B,"",0))</f>
        <v>Simon Atehortua</v>
      </c>
      <c r="F2503" s="315" t="str">
        <f t="array" ref="F2503">IF(B2503=100,"Free",TEXT(XLOOKUP($D2503,OperationVoice!$A:$A,OperationVoice!AA:AA,XLOOKUP($D2503,OperationTickets!$A:$A,OperationTickets!AA:AA,"",0)),"hh:mm"))</f>
        <v>07:00</v>
      </c>
      <c r="G2503" s="309">
        <f t="shared" si="3"/>
        <v>0.6666666667</v>
      </c>
      <c r="H2503" s="316" t="str">
        <f t="array" ref="H2503">XLOOKUP(B2503,Roster!L:L,Roster!N:N,XLOOKUP(D2503,TicketsBreak!A:A,TicketsBreak!E:E,"",0),0)</f>
        <v/>
      </c>
      <c r="I2503" s="316" t="str">
        <f t="array" ref="I2503">XLOOKUP(B2503,Roster!L:L,Roster!O:O,XLOOKUP(D2503,TicketsBreak!A:A,TicketsBreak!F:F,"",0),0)</f>
        <v/>
      </c>
      <c r="J2503" s="316" t="str">
        <f t="array" ref="J2503">XLOOKUP(B2503,Roster!L:L,Roster!P:P,XLOOKUP(D2503,TicketsBreak!A:A,TicketsBreak!G:G,"",0),0)</f>
        <v/>
      </c>
      <c r="K2503" s="310">
        <f t="shared" si="4"/>
        <v>46133</v>
      </c>
      <c r="L2503" s="317">
        <f t="array" ref="L2503">(XLOOKUP(D2503,Roster!F:F,Roster!D:D,"",0))</f>
        <v>32</v>
      </c>
      <c r="M2503" s="317" t="str">
        <f t="array" ref="M2503">XLOOKUP(D2503,Roster!F:F,Roster!E:E)</f>
        <v>Tickets</v>
      </c>
      <c r="N2503" s="317" t="str">
        <f t="shared" ref="N2503:P2503" si="2539">LEFT(H2503,5)</f>
        <v/>
      </c>
      <c r="O2503" s="317" t="str">
        <f t="shared" si="2539"/>
        <v/>
      </c>
      <c r="P2503" s="317" t="str">
        <f t="shared" si="2539"/>
        <v/>
      </c>
      <c r="Q2503" s="318" t="str">
        <f t="shared" si="2507"/>
        <v/>
      </c>
      <c r="R2503" s="318" t="str">
        <f t="shared" si="2508"/>
        <v/>
      </c>
      <c r="S2503" s="318" t="str">
        <f t="shared" si="8"/>
        <v/>
      </c>
    </row>
    <row r="2504">
      <c r="A2504" s="14" t="str">
        <f t="shared" si="1"/>
        <v>C148346133</v>
      </c>
      <c r="B2504" s="185">
        <f t="array" ref="B2504">IF(F2504="VL","",IF(F2504="Free","Free",XLOOKUP(D2504,Roster!T:T,Roster!S:S,"",0)))</f>
        <v>152</v>
      </c>
      <c r="C2504" s="313">
        <v>46133.0</v>
      </c>
      <c r="D2504" s="314" t="s">
        <v>77</v>
      </c>
      <c r="E2504" s="307" t="str">
        <f t="array" ref="E2504">(XLOOKUP(D2504,Roster!F:F,Roster!B:B,"",0))</f>
        <v>Simon Zuluaica</v>
      </c>
      <c r="F2504" s="315" t="str">
        <f t="array" ref="F2504">IF(B2504=100,"Free",TEXT(XLOOKUP($D2504,OperationVoice!$A:$A,OperationVoice!AA:AA,XLOOKUP($D2504,OperationTickets!$A:$A,OperationTickets!AA:AA,"",0)),"hh:mm"))</f>
        <v>11:00</v>
      </c>
      <c r="G2504" s="309">
        <f t="shared" si="3"/>
        <v>0.8333333333</v>
      </c>
      <c r="H2504" s="316" t="str">
        <f t="array" ref="H2504">XLOOKUP(B2504,Roster!L:L,Roster!N:N,XLOOKUP(D2504,TicketsBreak!A:A,TicketsBreak!E:E,"",0),0)</f>
        <v>12:30 - 12:45</v>
      </c>
      <c r="I2504" s="316" t="str">
        <f t="array" ref="I2504">XLOOKUP(B2504,Roster!L:L,Roster!O:O,XLOOKUP(D2504,TicketsBreak!A:A,TicketsBreak!F:F,"",0),0)</f>
        <v>14:30 - 15:00</v>
      </c>
      <c r="J2504" s="316" t="str">
        <f t="array" ref="J2504">XLOOKUP(B2504,Roster!L:L,Roster!P:P,XLOOKUP(D2504,TicketsBreak!A:A,TicketsBreak!G:G,"",0),0)</f>
        <v>17:30 - 17:45</v>
      </c>
      <c r="K2504" s="310">
        <f t="shared" si="4"/>
        <v>46133</v>
      </c>
      <c r="L2504" s="317">
        <f t="array" ref="L2504">(XLOOKUP(D2504,Roster!F:F,Roster!D:D,"",0))</f>
        <v>34</v>
      </c>
      <c r="M2504" s="317" t="str">
        <f t="array" ref="M2504">XLOOKUP(D2504,Roster!F:F,Roster!E:E)</f>
        <v>Voice</v>
      </c>
      <c r="N2504" s="317" t="str">
        <f t="shared" ref="N2504:P2504" si="2540">LEFT(H2504,5)</f>
        <v>12:30</v>
      </c>
      <c r="O2504" s="317" t="str">
        <f t="shared" si="2540"/>
        <v>14:30</v>
      </c>
      <c r="P2504" s="317" t="str">
        <f t="shared" si="2540"/>
        <v>17:30</v>
      </c>
      <c r="Q2504" s="318">
        <f t="shared" si="2507"/>
        <v>46133.52083</v>
      </c>
      <c r="R2504" s="318">
        <f t="shared" si="2508"/>
        <v>46133.60417</v>
      </c>
      <c r="S2504" s="318">
        <f t="shared" si="8"/>
        <v>46133.72917</v>
      </c>
    </row>
    <row r="2505">
      <c r="A2505" s="14" t="str">
        <f t="shared" si="1"/>
        <v>C154046133</v>
      </c>
      <c r="B2505" s="185">
        <f t="array" ref="B2505">IF(F2505="VL","",IF(F2505="Free","Free",XLOOKUP(D2505,Roster!T:T,Roster!S:S,"",0)))</f>
        <v>122</v>
      </c>
      <c r="C2505" s="313">
        <v>46133.0</v>
      </c>
      <c r="D2505" s="314" t="s">
        <v>78</v>
      </c>
      <c r="E2505" s="307" t="str">
        <f t="array" ref="E2505">(XLOOKUP(D2505,Roster!F:F,Roster!B:B,"",0))</f>
        <v>Tomas Perez</v>
      </c>
      <c r="F2505" s="315" t="str">
        <f t="array" ref="F2505">IF(B2505=100,"Free",TEXT(XLOOKUP($D2505,OperationVoice!$A:$A,OperationVoice!AA:AA,XLOOKUP($D2505,OperationTickets!$A:$A,OperationTickets!AA:AA,"",0)),"hh:mm"))</f>
        <v>08:00</v>
      </c>
      <c r="G2505" s="309">
        <f t="shared" si="3"/>
        <v>0.7083333333</v>
      </c>
      <c r="H2505" s="316" t="str">
        <f t="array" ref="H2505">XLOOKUP(B2505,Roster!L:L,Roster!N:N,XLOOKUP(D2505,TicketsBreak!A:A,TicketsBreak!E:E,"",0),0)</f>
        <v>09:30 - 09:45</v>
      </c>
      <c r="I2505" s="316" t="str">
        <f t="array" ref="I2505">XLOOKUP(B2505,Roster!L:L,Roster!O:O,XLOOKUP(D2505,TicketsBreak!A:A,TicketsBreak!F:F,"",0),0)</f>
        <v>12:00 - 12:30</v>
      </c>
      <c r="J2505" s="316" t="str">
        <f t="array" ref="J2505">XLOOKUP(B2505,Roster!L:L,Roster!P:P,XLOOKUP(D2505,TicketsBreak!A:A,TicketsBreak!G:G,"",0),0)</f>
        <v>14:45 - 15:00</v>
      </c>
      <c r="K2505" s="310">
        <f t="shared" si="4"/>
        <v>46133</v>
      </c>
      <c r="L2505" s="317">
        <f t="array" ref="L2505">(XLOOKUP(D2505,Roster!F:F,Roster!D:D,"",0))</f>
        <v>36</v>
      </c>
      <c r="M2505" s="317" t="str">
        <f t="array" ref="M2505">XLOOKUP(D2505,Roster!F:F,Roster!E:E)</f>
        <v>Voice</v>
      </c>
      <c r="N2505" s="317" t="str">
        <f t="shared" ref="N2505:P2505" si="2541">LEFT(H2505,5)</f>
        <v>09:30</v>
      </c>
      <c r="O2505" s="317" t="str">
        <f t="shared" si="2541"/>
        <v>12:00</v>
      </c>
      <c r="P2505" s="317" t="str">
        <f t="shared" si="2541"/>
        <v>14:45</v>
      </c>
      <c r="Q2505" s="318">
        <f t="shared" si="2507"/>
        <v>46133.39583</v>
      </c>
      <c r="R2505" s="318">
        <f t="shared" si="2508"/>
        <v>46133.5</v>
      </c>
      <c r="S2505" s="318">
        <f t="shared" si="8"/>
        <v>46133.61458</v>
      </c>
    </row>
    <row r="2506">
      <c r="A2506" s="14" t="str">
        <f t="shared" si="1"/>
        <v>C154746133</v>
      </c>
      <c r="B2506" s="185">
        <f t="array" ref="B2506">IF(F2506="VL","",IF(F2506="Free","Free",XLOOKUP(D2506,Roster!T:T,Roster!S:S,"",0)))</f>
        <v>121</v>
      </c>
      <c r="C2506" s="313">
        <v>46133.0</v>
      </c>
      <c r="D2506" s="314" t="s">
        <v>79</v>
      </c>
      <c r="E2506" s="307" t="str">
        <f t="array" ref="E2506">(XLOOKUP(D2506,Roster!F:F,Roster!B:B,"",0))</f>
        <v>Valentina Barreto</v>
      </c>
      <c r="F2506" s="315" t="str">
        <f t="array" ref="F2506">IF(B2506=100,"Free",TEXT(XLOOKUP($D2506,OperationVoice!$A:$A,OperationVoice!AA:AA,XLOOKUP($D2506,OperationTickets!$A:$A,OperationTickets!AA:AA,"",0)),"hh:mm"))</f>
        <v>08:00</v>
      </c>
      <c r="G2506" s="309">
        <f t="shared" si="3"/>
        <v>0.7083333333</v>
      </c>
      <c r="H2506" s="316" t="str">
        <f t="array" ref="H2506">XLOOKUP(B2506,Roster!L:L,Roster!N:N,XLOOKUP(D2506,TicketsBreak!A:A,TicketsBreak!E:E,"",0),0)</f>
        <v>09:15 - 09:30</v>
      </c>
      <c r="I2506" s="316" t="str">
        <f t="array" ref="I2506">XLOOKUP(B2506,Roster!L:L,Roster!O:O,XLOOKUP(D2506,TicketsBreak!A:A,TicketsBreak!F:F,"",0),0)</f>
        <v>11:30 - 12:00</v>
      </c>
      <c r="J2506" s="316" t="str">
        <f t="array" ref="J2506">XLOOKUP(B2506,Roster!L:L,Roster!P:P,XLOOKUP(D2506,TicketsBreak!A:A,TicketsBreak!G:G,"",0),0)</f>
        <v>14:30 - 14:45</v>
      </c>
      <c r="K2506" s="310">
        <f t="shared" si="4"/>
        <v>46133</v>
      </c>
      <c r="L2506" s="317">
        <f t="array" ref="L2506">(XLOOKUP(D2506,Roster!F:F,Roster!D:D,"",0))</f>
        <v>37</v>
      </c>
      <c r="M2506" s="317" t="str">
        <f t="array" ref="M2506">XLOOKUP(D2506,Roster!F:F,Roster!E:E)</f>
        <v>Voice</v>
      </c>
      <c r="N2506" s="317" t="str">
        <f t="shared" ref="N2506:P2506" si="2542">LEFT(H2506,5)</f>
        <v>09:15</v>
      </c>
      <c r="O2506" s="317" t="str">
        <f t="shared" si="2542"/>
        <v>11:30</v>
      </c>
      <c r="P2506" s="317" t="str">
        <f t="shared" si="2542"/>
        <v>14:30</v>
      </c>
      <c r="Q2506" s="318">
        <f t="shared" si="2507"/>
        <v>46133.38542</v>
      </c>
      <c r="R2506" s="318">
        <f t="shared" si="2508"/>
        <v>46133.47917</v>
      </c>
      <c r="S2506" s="318">
        <f t="shared" si="8"/>
        <v>46133.60417</v>
      </c>
    </row>
    <row r="2507">
      <c r="A2507" s="14" t="str">
        <f t="shared" si="1"/>
        <v>C155346133</v>
      </c>
      <c r="B2507" s="185">
        <f t="array" ref="B2507">IF(F2507="VL","",IF(F2507="Free","Free",XLOOKUP(D2507,Roster!T:T,Roster!S:S,"",0)))</f>
        <v>122</v>
      </c>
      <c r="C2507" s="313">
        <v>46133.0</v>
      </c>
      <c r="D2507" s="314" t="s">
        <v>80</v>
      </c>
      <c r="E2507" s="307" t="str">
        <f t="array" ref="E2507">(XLOOKUP(D2507,Roster!F:F,Roster!B:B,"",0))</f>
        <v>Valentina Castro</v>
      </c>
      <c r="F2507" s="315" t="str">
        <f t="array" ref="F2507">IF(B2507=100,"Free",TEXT(XLOOKUP($D2507,OperationVoice!$A:$A,OperationVoice!AA:AA,XLOOKUP($D2507,OperationTickets!$A:$A,OperationTickets!AA:AA,"",0)),"hh:mm"))</f>
        <v>08:00</v>
      </c>
      <c r="G2507" s="309">
        <f t="shared" si="3"/>
        <v>0.7083333333</v>
      </c>
      <c r="H2507" s="316" t="str">
        <f t="array" ref="H2507">XLOOKUP(B2507,Roster!L:L,Roster!N:N,XLOOKUP(D2507,TicketsBreak!A:A,TicketsBreak!E:E,"",0),0)</f>
        <v>09:30 - 09:45</v>
      </c>
      <c r="I2507" s="316" t="str">
        <f t="array" ref="I2507">XLOOKUP(B2507,Roster!L:L,Roster!O:O,XLOOKUP(D2507,TicketsBreak!A:A,TicketsBreak!F:F,"",0),0)</f>
        <v>12:00 - 12:30</v>
      </c>
      <c r="J2507" s="316" t="str">
        <f t="array" ref="J2507">XLOOKUP(B2507,Roster!L:L,Roster!P:P,XLOOKUP(D2507,TicketsBreak!A:A,TicketsBreak!G:G,"",0),0)</f>
        <v>14:45 - 15:00</v>
      </c>
      <c r="K2507" s="310">
        <f t="shared" si="4"/>
        <v>46133</v>
      </c>
      <c r="L2507" s="317">
        <f t="array" ref="L2507">(XLOOKUP(D2507,Roster!F:F,Roster!D:D,"",0))</f>
        <v>37</v>
      </c>
      <c r="M2507" s="317" t="str">
        <f t="array" ref="M2507">XLOOKUP(D2507,Roster!F:F,Roster!E:E)</f>
        <v>Voice</v>
      </c>
      <c r="N2507" s="317" t="str">
        <f t="shared" ref="N2507:P2507" si="2543">LEFT(H2507,5)</f>
        <v>09:30</v>
      </c>
      <c r="O2507" s="317" t="str">
        <f t="shared" si="2543"/>
        <v>12:00</v>
      </c>
      <c r="P2507" s="317" t="str">
        <f t="shared" si="2543"/>
        <v>14:45</v>
      </c>
      <c r="Q2507" s="318">
        <f t="shared" si="2507"/>
        <v>46133.39583</v>
      </c>
      <c r="R2507" s="318">
        <f t="shared" si="2508"/>
        <v>46133.5</v>
      </c>
      <c r="S2507" s="318">
        <f t="shared" si="8"/>
        <v>46133.61458</v>
      </c>
    </row>
    <row r="2508">
      <c r="A2508" s="14" t="str">
        <f t="shared" si="1"/>
        <v>C150246133</v>
      </c>
      <c r="B2508" s="185" t="str">
        <f t="array" ref="B2508">IF(F2508="VL","",IF(F2508="Free","Free",XLOOKUP(D2508,Roster!T:T,Roster!S:S,"",0)))</f>
        <v/>
      </c>
      <c r="C2508" s="313">
        <v>46133.0</v>
      </c>
      <c r="D2508" s="314" t="s">
        <v>316</v>
      </c>
      <c r="E2508" s="307" t="str">
        <f t="array" ref="E2508">(XLOOKUP(D2508,Roster!F:F,Roster!B:B,"",0))</f>
        <v>Valentina Gallego</v>
      </c>
      <c r="F2508" s="315" t="str">
        <f t="array" ref="F2508">IF(B2508=100,"Free",TEXT(XLOOKUP($D2508,OperationVoice!$A:$A,OperationVoice!AA:AA,XLOOKUP($D2508,OperationTickets!$A:$A,OperationTickets!AA:AA,"",0)),"hh:mm"))</f>
        <v/>
      </c>
      <c r="G2508" s="309" t="str">
        <f t="shared" si="3"/>
        <v/>
      </c>
      <c r="H2508" s="316" t="str">
        <f t="array" ref="H2508">XLOOKUP(B2508,Roster!L:L,Roster!N:N,XLOOKUP(D2508,TicketsBreak!A:A,TicketsBreak!E:E,"",0),0)</f>
        <v/>
      </c>
      <c r="I2508" s="316" t="str">
        <f t="array" ref="I2508">XLOOKUP(B2508,Roster!L:L,Roster!O:O,XLOOKUP(D2508,TicketsBreak!A:A,TicketsBreak!F:F,"",0),0)</f>
        <v/>
      </c>
      <c r="J2508" s="316" t="str">
        <f t="array" ref="J2508">XLOOKUP(B2508,Roster!L:L,Roster!P:P,XLOOKUP(D2508,TicketsBreak!A:A,TicketsBreak!G:G,"",0),0)</f>
        <v/>
      </c>
      <c r="K2508" s="310">
        <f t="shared" si="4"/>
        <v>46133</v>
      </c>
      <c r="L2508" s="317">
        <f t="array" ref="L2508">(XLOOKUP(D2508,Roster!F:F,Roster!D:D,"",0))</f>
        <v>35</v>
      </c>
      <c r="M2508" s="317" t="str">
        <f t="array" ref="M2508">XLOOKUP(D2508,Roster!F:F,Roster!E:E)</f>
        <v>Voice</v>
      </c>
      <c r="N2508" s="317" t="str">
        <f t="shared" ref="N2508:P2508" si="2544">LEFT(H2508,5)</f>
        <v/>
      </c>
      <c r="O2508" s="317" t="str">
        <f t="shared" si="2544"/>
        <v/>
      </c>
      <c r="P2508" s="317" t="str">
        <f t="shared" si="2544"/>
        <v/>
      </c>
      <c r="Q2508" s="318" t="str">
        <f t="shared" si="2507"/>
        <v/>
      </c>
      <c r="R2508" s="318" t="str">
        <f t="shared" si="2508"/>
        <v/>
      </c>
      <c r="S2508" s="318" t="str">
        <f t="shared" si="8"/>
        <v/>
      </c>
    </row>
    <row r="2509">
      <c r="A2509" s="14" t="str">
        <f t="shared" si="1"/>
        <v>C112646133</v>
      </c>
      <c r="B2509" s="185" t="str">
        <f t="array" ref="B2509">IF(F2509="VL","",IF(F2509="Free","Free",XLOOKUP(D2509,Roster!T:T,Roster!S:S,"",0)))</f>
        <v/>
      </c>
      <c r="C2509" s="313">
        <v>46133.0</v>
      </c>
      <c r="D2509" s="314" t="s">
        <v>152</v>
      </c>
      <c r="E2509" s="307" t="str">
        <f t="array" ref="E2509">(XLOOKUP(D2509,Roster!F:F,Roster!B:B,"",0))</f>
        <v>Valery Escobar</v>
      </c>
      <c r="F2509" s="315" t="str">
        <f t="array" ref="F2509">IF(B2509=100,"Free",TEXT(XLOOKUP($D2509,OperationVoice!$A:$A,OperationVoice!AA:AA,XLOOKUP($D2509,OperationTickets!$A:$A,OperationTickets!AA:AA,"",0)),"hh:mm"))</f>
        <v>08:00</v>
      </c>
      <c r="G2509" s="309">
        <f t="shared" si="3"/>
        <v>0.7083333333</v>
      </c>
      <c r="H2509" s="316">
        <f t="array" ref="H2509">XLOOKUP(B2509,Roster!L:L,Roster!N:N,XLOOKUP(D2509,TicketsBreak!A:A,TicketsBreak!E:E,"",0),0)</f>
        <v>0.3854166667</v>
      </c>
      <c r="I2509" s="316">
        <f t="array" ref="I2509">XLOOKUP(B2509,Roster!L:L,Roster!O:O,XLOOKUP(D2509,TicketsBreak!A:A,TicketsBreak!F:F,"",0),0)</f>
        <v>0.5</v>
      </c>
      <c r="J2509" s="316">
        <f t="array" ref="J2509">XLOOKUP(B2509,Roster!L:L,Roster!P:P,XLOOKUP(D2509,TicketsBreak!A:A,TicketsBreak!G:G,"",0),0)</f>
        <v>0.6041666667</v>
      </c>
      <c r="K2509" s="310">
        <f t="shared" si="4"/>
        <v>46133</v>
      </c>
      <c r="L2509" s="317">
        <f t="array" ref="L2509">(XLOOKUP(D2509,Roster!F:F,Roster!D:D,"",0))</f>
        <v>21</v>
      </c>
      <c r="M2509" s="317" t="str">
        <f t="array" ref="M2509">XLOOKUP(D2509,Roster!F:F,Roster!E:E)</f>
        <v>Tickets</v>
      </c>
      <c r="N2509" s="317" t="str">
        <f t="shared" ref="N2509:P2509" si="2545">LEFT(H2509,5)</f>
        <v>09:15</v>
      </c>
      <c r="O2509" s="317" t="str">
        <f t="shared" si="2545"/>
        <v>12:00</v>
      </c>
      <c r="P2509" s="317" t="str">
        <f t="shared" si="2545"/>
        <v>14:30</v>
      </c>
      <c r="Q2509" s="318">
        <f t="shared" si="2507"/>
        <v>46133.38542</v>
      </c>
      <c r="R2509" s="318">
        <f t="shared" si="2508"/>
        <v>46133.5</v>
      </c>
      <c r="S2509" s="318">
        <f t="shared" si="8"/>
        <v>46133.60417</v>
      </c>
    </row>
    <row r="2510">
      <c r="A2510" s="14" t="str">
        <f t="shared" si="1"/>
        <v>C155246133</v>
      </c>
      <c r="B2510" s="185">
        <f t="array" ref="B2510">IF(F2510="VL","",IF(F2510="Free","Free",XLOOKUP(D2510,Roster!T:T,Roster!S:S,"",0)))</f>
        <v>125</v>
      </c>
      <c r="C2510" s="313">
        <v>46133.0</v>
      </c>
      <c r="D2510" s="314" t="s">
        <v>81</v>
      </c>
      <c r="E2510" s="307" t="str">
        <f t="array" ref="E2510">(XLOOKUP(D2510,Roster!F:F,Roster!B:B,"",0))</f>
        <v>Wendy Machado</v>
      </c>
      <c r="F2510" s="315" t="str">
        <f t="array" ref="F2510">IF(B2510=100,"Free",TEXT(XLOOKUP($D2510,OperationVoice!$A:$A,OperationVoice!AA:AA,XLOOKUP($D2510,OperationTickets!$A:$A,OperationTickets!AA:AA,"",0)),"hh:mm"))</f>
        <v>08:00</v>
      </c>
      <c r="G2510" s="309">
        <f t="shared" si="3"/>
        <v>0.7083333333</v>
      </c>
      <c r="H2510" s="316" t="str">
        <f t="array" ref="H2510">XLOOKUP(B2510,Roster!L:L,Roster!N:N,XLOOKUP(D2510,TicketsBreak!A:A,TicketsBreak!E:E,"",0),0)</f>
        <v>10:30 - 10:45</v>
      </c>
      <c r="I2510" s="316" t="str">
        <f t="array" ref="I2510">XLOOKUP(B2510,Roster!L:L,Roster!O:O,XLOOKUP(D2510,TicketsBreak!A:A,TicketsBreak!F:F,"",0),0)</f>
        <v>13:30 - 14:00</v>
      </c>
      <c r="J2510" s="316" t="str">
        <f t="array" ref="J2510">XLOOKUP(B2510,Roster!L:L,Roster!P:P,XLOOKUP(D2510,TicketsBreak!A:A,TicketsBreak!G:G,"",0),0)</f>
        <v>15:45 - 16:00</v>
      </c>
      <c r="K2510" s="310">
        <f t="shared" si="4"/>
        <v>46133</v>
      </c>
      <c r="L2510" s="317">
        <f t="array" ref="L2510">(XLOOKUP(D2510,Roster!F:F,Roster!D:D,"",0))</f>
        <v>37</v>
      </c>
      <c r="M2510" s="317" t="str">
        <f t="array" ref="M2510">XLOOKUP(D2510,Roster!F:F,Roster!E:E)</f>
        <v>Voice</v>
      </c>
      <c r="N2510" s="317" t="str">
        <f t="shared" ref="N2510:P2510" si="2546">LEFT(H2510,5)</f>
        <v>10:30</v>
      </c>
      <c r="O2510" s="317" t="str">
        <f t="shared" si="2546"/>
        <v>13:30</v>
      </c>
      <c r="P2510" s="317" t="str">
        <f t="shared" si="2546"/>
        <v>15:45</v>
      </c>
      <c r="Q2510" s="318">
        <f t="shared" si="2507"/>
        <v>46133.4375</v>
      </c>
      <c r="R2510" s="318">
        <f t="shared" si="2508"/>
        <v>46133.5625</v>
      </c>
      <c r="S2510" s="318">
        <f t="shared" si="8"/>
        <v>46133.65625</v>
      </c>
    </row>
    <row r="2511">
      <c r="A2511" s="14" t="str">
        <f t="shared" si="1"/>
        <v>C78646133</v>
      </c>
      <c r="B2511" s="185" t="str">
        <f t="array" ref="B2511">IF(F2511="VL","",IF(F2511="Free","Free",XLOOKUP(D2511,Roster!T:T,Roster!S:S,"",0)))</f>
        <v/>
      </c>
      <c r="C2511" s="313">
        <v>46133.0</v>
      </c>
      <c r="D2511" s="314" t="s">
        <v>136</v>
      </c>
      <c r="E2511" s="307" t="str">
        <f t="array" ref="E2511">(XLOOKUP(D2511,Roster!F:F,Roster!B:B,"",0))</f>
        <v>Wendy Navarro</v>
      </c>
      <c r="F2511" s="315" t="str">
        <f t="array" ref="F2511">IF(B2511=100,"Free",TEXT(XLOOKUP($D2511,OperationVoice!$A:$A,OperationVoice!AA:AA,XLOOKUP($D2511,OperationTickets!$A:$A,OperationTickets!AA:AA,"",0)),"hh:mm"))</f>
        <v>08:00</v>
      </c>
      <c r="G2511" s="309">
        <f t="shared" si="3"/>
        <v>0.7083333333</v>
      </c>
      <c r="H2511" s="316">
        <f t="array" ref="H2511">XLOOKUP(B2511,Roster!L:L,Roster!N:N,XLOOKUP(D2511,TicketsBreak!A:A,TicketsBreak!E:E,"",0),0)</f>
        <v>0.4166666667</v>
      </c>
      <c r="I2511" s="316">
        <f t="array" ref="I2511">XLOOKUP(B2511,Roster!L:L,Roster!O:O,XLOOKUP(D2511,TicketsBreak!A:A,TicketsBreak!F:F,"",0),0)</f>
        <v>0.5416666667</v>
      </c>
      <c r="J2511" s="316">
        <f t="array" ref="J2511">XLOOKUP(B2511,Roster!L:L,Roster!P:P,XLOOKUP(D2511,TicketsBreak!A:A,TicketsBreak!G:G,"",0),0)</f>
        <v>0.6458333333</v>
      </c>
      <c r="K2511" s="310">
        <f t="shared" si="4"/>
        <v>46133</v>
      </c>
      <c r="L2511" s="317">
        <f t="array" ref="L2511">(XLOOKUP(D2511,Roster!F:F,Roster!D:D,"",0))</f>
        <v>16</v>
      </c>
      <c r="M2511" s="317" t="str">
        <f t="array" ref="M2511">XLOOKUP(D2511,Roster!F:F,Roster!E:E)</f>
        <v>Tickets</v>
      </c>
      <c r="N2511" s="317" t="str">
        <f t="shared" ref="N2511:P2511" si="2547">LEFT(H2511,5)</f>
        <v>10:00</v>
      </c>
      <c r="O2511" s="317" t="str">
        <f t="shared" si="2547"/>
        <v>13:00</v>
      </c>
      <c r="P2511" s="317" t="str">
        <f t="shared" si="2547"/>
        <v>15:30</v>
      </c>
      <c r="Q2511" s="318">
        <f t="shared" si="2507"/>
        <v>46133.41667</v>
      </c>
      <c r="R2511" s="318">
        <f t="shared" si="2508"/>
        <v>46133.54167</v>
      </c>
      <c r="S2511" s="318">
        <f t="shared" si="8"/>
        <v>46133.64583</v>
      </c>
    </row>
    <row r="2512">
      <c r="A2512" s="14" t="str">
        <f t="shared" si="1"/>
        <v>C153746133</v>
      </c>
      <c r="B2512" s="185">
        <f t="array" ref="B2512">IF(F2512="VL","",IF(F2512="Free","Free",XLOOKUP(D2512,Roster!T:T,Roster!S:S,"",0)))</f>
        <v>135</v>
      </c>
      <c r="C2512" s="313">
        <v>46133.0</v>
      </c>
      <c r="D2512" s="314" t="s">
        <v>82</v>
      </c>
      <c r="E2512" s="307" t="str">
        <f t="array" ref="E2512">(XLOOKUP(D2512,Roster!F:F,Roster!B:B,"",0))</f>
        <v>William Florez</v>
      </c>
      <c r="F2512" s="315" t="str">
        <f t="array" ref="F2512">IF(B2512=100,"Free",TEXT(XLOOKUP($D2512,OperationVoice!$A:$A,OperationVoice!AA:AA,XLOOKUP($D2512,OperationTickets!$A:$A,OperationTickets!AA:AA,"",0)),"hh:mm"))</f>
        <v>09:00</v>
      </c>
      <c r="G2512" s="309">
        <f t="shared" si="3"/>
        <v>0.75</v>
      </c>
      <c r="H2512" s="316" t="str">
        <f t="array" ref="H2512">XLOOKUP(B2512,Roster!L:L,Roster!N:N,XLOOKUP(D2512,TicketsBreak!A:A,TicketsBreak!E:E,"",0),0)</f>
        <v>11:15 - 11:30</v>
      </c>
      <c r="I2512" s="316" t="str">
        <f t="array" ref="I2512">XLOOKUP(B2512,Roster!L:L,Roster!O:O,XLOOKUP(D2512,TicketsBreak!A:A,TicketsBreak!F:F,"",0),0)</f>
        <v>14:15 - 14:45</v>
      </c>
      <c r="J2512" s="316" t="str">
        <f t="array" ref="J2512">XLOOKUP(B2512,Roster!L:L,Roster!P:P,XLOOKUP(D2512,TicketsBreak!A:A,TicketsBreak!G:G,"",0),0)</f>
        <v>16:15 - 16:30</v>
      </c>
      <c r="K2512" s="310">
        <f t="shared" si="4"/>
        <v>46133</v>
      </c>
      <c r="L2512" s="317">
        <f t="array" ref="L2512">(XLOOKUP(D2512,Roster!F:F,Roster!D:D,"",0))</f>
        <v>36</v>
      </c>
      <c r="M2512" s="317" t="str">
        <f t="array" ref="M2512">XLOOKUP(D2512,Roster!F:F,Roster!E:E)</f>
        <v>Voice</v>
      </c>
      <c r="N2512" s="317" t="str">
        <f t="shared" ref="N2512:P2512" si="2548">LEFT(H2512,5)</f>
        <v>11:15</v>
      </c>
      <c r="O2512" s="317" t="str">
        <f t="shared" si="2548"/>
        <v>14:15</v>
      </c>
      <c r="P2512" s="317" t="str">
        <f t="shared" si="2548"/>
        <v>16:15</v>
      </c>
      <c r="Q2512" s="318">
        <f t="shared" si="2507"/>
        <v>46133.46875</v>
      </c>
      <c r="R2512" s="318">
        <f t="shared" si="2508"/>
        <v>46133.59375</v>
      </c>
      <c r="S2512" s="318">
        <f t="shared" si="8"/>
        <v>46133.67708</v>
      </c>
    </row>
    <row r="2513">
      <c r="A2513" s="14" t="str">
        <f t="shared" si="1"/>
        <v>C135346133</v>
      </c>
      <c r="B2513" s="185">
        <f t="array" ref="B2513">IF(F2513="VL","",IF(F2513="Free","Free",XLOOKUP(D2513,Roster!T:T,Roster!S:S,"",0)))</f>
        <v>121</v>
      </c>
      <c r="C2513" s="313">
        <v>46133.0</v>
      </c>
      <c r="D2513" s="314" t="s">
        <v>83</v>
      </c>
      <c r="E2513" s="307" t="str">
        <f t="array" ref="E2513">(XLOOKUP(D2513,Roster!F:F,Roster!B:B,"",0))</f>
        <v>Wilson Martinez</v>
      </c>
      <c r="F2513" s="315" t="str">
        <f t="array" ref="F2513">IF(B2513=100,"Free",TEXT(XLOOKUP($D2513,OperationVoice!$A:$A,OperationVoice!AA:AA,XLOOKUP($D2513,OperationTickets!$A:$A,OperationTickets!AA:AA,"",0)),"hh:mm"))</f>
        <v>08:00</v>
      </c>
      <c r="G2513" s="309">
        <f t="shared" si="3"/>
        <v>0.7083333333</v>
      </c>
      <c r="H2513" s="316" t="str">
        <f t="array" ref="H2513">XLOOKUP(B2513,Roster!L:L,Roster!N:N,XLOOKUP(D2513,TicketsBreak!A:A,TicketsBreak!E:E,"",0),0)</f>
        <v>09:15 - 09:30</v>
      </c>
      <c r="I2513" s="316" t="str">
        <f t="array" ref="I2513">XLOOKUP(B2513,Roster!L:L,Roster!O:O,XLOOKUP(D2513,TicketsBreak!A:A,TicketsBreak!F:F,"",0),0)</f>
        <v>11:30 - 12:00</v>
      </c>
      <c r="J2513" s="316" t="str">
        <f t="array" ref="J2513">XLOOKUP(B2513,Roster!L:L,Roster!P:P,XLOOKUP(D2513,TicketsBreak!A:A,TicketsBreak!G:G,"",0),0)</f>
        <v>14:30 - 14:45</v>
      </c>
      <c r="K2513" s="310">
        <f t="shared" si="4"/>
        <v>46133</v>
      </c>
      <c r="L2513" s="317">
        <f t="array" ref="L2513">(XLOOKUP(D2513,Roster!F:F,Roster!D:D,"",0))</f>
        <v>30</v>
      </c>
      <c r="M2513" s="317" t="str">
        <f t="array" ref="M2513">XLOOKUP(D2513,Roster!F:F,Roster!E:E)</f>
        <v>Voice</v>
      </c>
      <c r="N2513" s="317" t="str">
        <f t="shared" ref="N2513:P2513" si="2549">LEFT(H2513,5)</f>
        <v>09:15</v>
      </c>
      <c r="O2513" s="317" t="str">
        <f t="shared" si="2549"/>
        <v>11:30</v>
      </c>
      <c r="P2513" s="317" t="str">
        <f t="shared" si="2549"/>
        <v>14:30</v>
      </c>
      <c r="Q2513" s="318">
        <f t="shared" si="2507"/>
        <v>46133.38542</v>
      </c>
      <c r="R2513" s="318">
        <f t="shared" si="2508"/>
        <v>46133.47917</v>
      </c>
      <c r="S2513" s="318">
        <f t="shared" si="8"/>
        <v>46133.60417</v>
      </c>
    </row>
    <row r="2514">
      <c r="A2514" s="14" t="str">
        <f t="shared" si="1"/>
        <v>C117346133</v>
      </c>
      <c r="B2514" s="185">
        <f t="array" ref="B2514">IF(F2514="VL","",IF(F2514="Free","Free",XLOOKUP(D2514,Roster!T:T,Roster!S:S,"",0)))</f>
        <v>122</v>
      </c>
      <c r="C2514" s="313">
        <v>46133.0</v>
      </c>
      <c r="D2514" s="314" t="s">
        <v>84</v>
      </c>
      <c r="E2514" s="307" t="str">
        <f t="array" ref="E2514">(XLOOKUP(D2514,Roster!F:F,Roster!B:B,"",0))</f>
        <v>Yaidy Mosquera</v>
      </c>
      <c r="F2514" s="315" t="str">
        <f t="array" ref="F2514">IF(B2514=100,"Free",TEXT(XLOOKUP($D2514,OperationVoice!$A:$A,OperationVoice!AA:AA,XLOOKUP($D2514,OperationTickets!$A:$A,OperationTickets!AA:AA,"",0)),"hh:mm"))</f>
        <v>08:00</v>
      </c>
      <c r="G2514" s="309">
        <f t="shared" si="3"/>
        <v>0.7083333333</v>
      </c>
      <c r="H2514" s="316" t="str">
        <f t="array" ref="H2514">XLOOKUP(B2514,Roster!L:L,Roster!N:N,XLOOKUP(D2514,TicketsBreak!A:A,TicketsBreak!E:E,"",0),0)</f>
        <v>09:30 - 09:45</v>
      </c>
      <c r="I2514" s="316" t="str">
        <f t="array" ref="I2514">XLOOKUP(B2514,Roster!L:L,Roster!O:O,XLOOKUP(D2514,TicketsBreak!A:A,TicketsBreak!F:F,"",0),0)</f>
        <v>12:00 - 12:30</v>
      </c>
      <c r="J2514" s="316" t="str">
        <f t="array" ref="J2514">XLOOKUP(B2514,Roster!L:L,Roster!P:P,XLOOKUP(D2514,TicketsBreak!A:A,TicketsBreak!G:G,"",0),0)</f>
        <v>14:45 - 15:00</v>
      </c>
      <c r="K2514" s="310">
        <f t="shared" si="4"/>
        <v>46133</v>
      </c>
      <c r="L2514" s="317">
        <f t="array" ref="L2514">(XLOOKUP(D2514,Roster!F:F,Roster!D:D,"",0))</f>
        <v>24</v>
      </c>
      <c r="M2514" s="317" t="str">
        <f t="array" ref="M2514">XLOOKUP(D2514,Roster!F:F,Roster!E:E)</f>
        <v>Voice</v>
      </c>
      <c r="N2514" s="317" t="str">
        <f t="shared" ref="N2514:P2514" si="2550">LEFT(H2514,5)</f>
        <v>09:30</v>
      </c>
      <c r="O2514" s="317" t="str">
        <f t="shared" si="2550"/>
        <v>12:00</v>
      </c>
      <c r="P2514" s="317" t="str">
        <f t="shared" si="2550"/>
        <v>14:45</v>
      </c>
      <c r="Q2514" s="318">
        <f t="shared" si="2507"/>
        <v>46133.39583</v>
      </c>
      <c r="R2514" s="318">
        <f t="shared" si="2508"/>
        <v>46133.5</v>
      </c>
      <c r="S2514" s="318">
        <f t="shared" si="8"/>
        <v>46133.61458</v>
      </c>
    </row>
    <row r="2515">
      <c r="A2515" s="14" t="str">
        <f t="shared" si="1"/>
        <v>C110846133</v>
      </c>
      <c r="B2515" s="185" t="str">
        <f t="array" ref="B2515">IF(F2515="VL","",IF(F2515="Free","Free",XLOOKUP(D2515,Roster!T:T,Roster!S:S,"",0)))</f>
        <v/>
      </c>
      <c r="C2515" s="313">
        <v>46133.0</v>
      </c>
      <c r="D2515" s="314" t="s">
        <v>187</v>
      </c>
      <c r="E2515" s="307" t="str">
        <f t="array" ref="E2515">(XLOOKUP(D2515,Roster!F:F,Roster!B:B,"",0))</f>
        <v>Yeiner Tapias</v>
      </c>
      <c r="F2515" s="315" t="str">
        <f t="array" ref="F2515">IF(B2515=100,"Free",TEXT(XLOOKUP($D2515,OperationVoice!$A:$A,OperationVoice!AA:AA,XLOOKUP($D2515,OperationTickets!$A:$A,OperationTickets!AA:AA,"",0)),"hh:mm"))</f>
        <v>08:00</v>
      </c>
      <c r="G2515" s="309">
        <f t="shared" si="3"/>
        <v>0.7083333333</v>
      </c>
      <c r="H2515" s="316">
        <f t="array" ref="H2515">XLOOKUP(B2515,Roster!L:L,Roster!N:N,XLOOKUP(D2515,TicketsBreak!A:A,TicketsBreak!E:E,"",0),0)</f>
        <v>0.3958333333</v>
      </c>
      <c r="I2515" s="316">
        <f t="array" ref="I2515">XLOOKUP(B2515,Roster!L:L,Roster!O:O,XLOOKUP(D2515,TicketsBreak!A:A,TicketsBreak!F:F,"",0),0)</f>
        <v>0.5208333333</v>
      </c>
      <c r="J2515" s="316">
        <f t="array" ref="J2515">XLOOKUP(B2515,Roster!L:L,Roster!P:P,XLOOKUP(D2515,TicketsBreak!A:A,TicketsBreak!G:G,"",0),0)</f>
        <v>0.6145833333</v>
      </c>
      <c r="K2515" s="310">
        <f t="shared" si="4"/>
        <v>46133</v>
      </c>
      <c r="L2515" s="317">
        <f t="array" ref="L2515">(XLOOKUP(D2515,Roster!F:F,Roster!D:D,"",0))</f>
        <v>20</v>
      </c>
      <c r="M2515" s="317" t="str">
        <f t="array" ref="M2515">XLOOKUP(D2515,Roster!F:F,Roster!E:E)</f>
        <v>Tickets</v>
      </c>
      <c r="N2515" s="317" t="str">
        <f t="shared" ref="N2515:P2515" si="2551">LEFT(H2515,5)</f>
        <v>09:30</v>
      </c>
      <c r="O2515" s="317" t="str">
        <f t="shared" si="2551"/>
        <v>12:30</v>
      </c>
      <c r="P2515" s="317" t="str">
        <f t="shared" si="2551"/>
        <v>14:45</v>
      </c>
      <c r="Q2515" s="318">
        <f t="shared" si="2507"/>
        <v>46133.39583</v>
      </c>
      <c r="R2515" s="318">
        <f t="shared" si="2508"/>
        <v>46133.52083</v>
      </c>
      <c r="S2515" s="318">
        <f t="shared" si="8"/>
        <v>46133.61458</v>
      </c>
    </row>
    <row r="2516">
      <c r="A2516" s="14" t="str">
        <f t="shared" si="1"/>
        <v>C153946133</v>
      </c>
      <c r="B2516" s="185">
        <f t="array" ref="B2516">IF(F2516="VL","",IF(F2516="Free","Free",XLOOKUP(D2516,Roster!T:T,Roster!S:S,"",0)))</f>
        <v>123</v>
      </c>
      <c r="C2516" s="313">
        <v>46133.0</v>
      </c>
      <c r="D2516" s="314" t="s">
        <v>85</v>
      </c>
      <c r="E2516" s="307" t="str">
        <f t="array" ref="E2516">(XLOOKUP(D2516,Roster!F:F,Roster!B:B,"",0))</f>
        <v>Yovanny Ceballos</v>
      </c>
      <c r="F2516" s="315" t="str">
        <f t="array" ref="F2516">IF(B2516=100,"Free",TEXT(XLOOKUP($D2516,OperationVoice!$A:$A,OperationVoice!AA:AA,XLOOKUP($D2516,OperationTickets!$A:$A,OperationTickets!AA:AA,"",0)),"hh:mm"))</f>
        <v/>
      </c>
      <c r="G2516" s="309" t="str">
        <f t="shared" si="3"/>
        <v/>
      </c>
      <c r="H2516" s="316" t="str">
        <f t="array" ref="H2516">XLOOKUP(B2516,Roster!L:L,Roster!N:N,XLOOKUP(D2516,TicketsBreak!A:A,TicketsBreak!E:E,"",0),0)</f>
        <v>09:45 - 10:00 </v>
      </c>
      <c r="I2516" s="316" t="str">
        <f t="array" ref="I2516">XLOOKUP(B2516,Roster!L:L,Roster!O:O,XLOOKUP(D2516,TicketsBreak!A:A,TicketsBreak!F:F,"",0),0)</f>
        <v>12:30 - 13:00</v>
      </c>
      <c r="J2516" s="316" t="str">
        <f t="array" ref="J2516">XLOOKUP(B2516,Roster!L:L,Roster!P:P,XLOOKUP(D2516,TicketsBreak!A:A,TicketsBreak!G:G,"",0),0)</f>
        <v>15:00 - 15:15</v>
      </c>
      <c r="K2516" s="310">
        <f t="shared" si="4"/>
        <v>46133</v>
      </c>
      <c r="L2516" s="317">
        <f t="array" ref="L2516">(XLOOKUP(D2516,Roster!F:F,Roster!D:D,"",0))</f>
        <v>36</v>
      </c>
      <c r="M2516" s="317" t="str">
        <f t="array" ref="M2516">XLOOKUP(D2516,Roster!F:F,Roster!E:E)</f>
        <v>Voice</v>
      </c>
      <c r="N2516" s="317" t="str">
        <f t="shared" ref="N2516:P2516" si="2552">LEFT(H2516,5)</f>
        <v>09:45</v>
      </c>
      <c r="O2516" s="317" t="str">
        <f t="shared" si="2552"/>
        <v>12:30</v>
      </c>
      <c r="P2516" s="317" t="str">
        <f t="shared" si="2552"/>
        <v>15:00</v>
      </c>
      <c r="Q2516" s="318">
        <f t="shared" si="2507"/>
        <v>46133.40625</v>
      </c>
      <c r="R2516" s="318">
        <f t="shared" si="2508"/>
        <v>46133.52083</v>
      </c>
      <c r="S2516" s="318">
        <f t="shared" si="8"/>
        <v>46133.625</v>
      </c>
    </row>
    <row r="2517">
      <c r="A2517" s="14" t="str">
        <f t="shared" si="1"/>
        <v>46133</v>
      </c>
      <c r="B2517" s="185" t="str">
        <f t="array" ref="B2517">IF(F2517="VL","",IF(F2517="Free","Free",XLOOKUP(D2517,Roster!T:T,Roster!S:S,"",0)))</f>
        <v/>
      </c>
      <c r="C2517" s="313">
        <v>46133.0</v>
      </c>
      <c r="D2517" s="314"/>
      <c r="E2517" s="307" t="str">
        <f t="array" ref="E2517">(XLOOKUP(D2517,Roster!F:F,Roster!B:B,"",0))</f>
        <v/>
      </c>
      <c r="F2517" s="315" t="str">
        <f t="array" ref="F2517">IF(B2517=100,"Free",TEXT(XLOOKUP($D2517,OperationVoice!$A:$A,OperationVoice!AA:AA,XLOOKUP($D2517,OperationTickets!$A:$A,OperationTickets!AA:AA,"",0)),"hh:mm"))</f>
        <v/>
      </c>
      <c r="G2517" s="309" t="str">
        <f t="shared" si="3"/>
        <v/>
      </c>
      <c r="H2517" s="316" t="str">
        <f t="array" ref="H2517">XLOOKUP(B2517,Roster!L:L,Roster!N:N,XLOOKUP(D2517,TicketsBreak!A:A,TicketsBreak!E:E,"",0),0)</f>
        <v/>
      </c>
      <c r="I2517" s="316" t="str">
        <f t="array" ref="I2517">XLOOKUP(B2517,Roster!L:L,Roster!O:O,XLOOKUP(D2517,TicketsBreak!A:A,TicketsBreak!F:F,"",0),0)</f>
        <v/>
      </c>
      <c r="J2517" s="316" t="str">
        <f t="array" ref="J2517">XLOOKUP(B2517,Roster!L:L,Roster!P:P,XLOOKUP(D2517,TicketsBreak!A:A,TicketsBreak!G:G,"",0),0)</f>
        <v/>
      </c>
      <c r="K2517" s="310">
        <f t="shared" si="4"/>
        <v>46133</v>
      </c>
      <c r="L2517" s="317" t="str">
        <f t="array" ref="L2517">(XLOOKUP(D2517,Roster!F:F,Roster!D:D,"",0))</f>
        <v/>
      </c>
      <c r="M2517" s="317" t="str">
        <f t="array" ref="M2517">XLOOKUP(D2517,Roster!F:F,Roster!E:E)</f>
        <v>#N/A</v>
      </c>
      <c r="N2517" s="317" t="str">
        <f t="shared" ref="N2517:P2517" si="2553">LEFT(H2517,5)</f>
        <v/>
      </c>
      <c r="O2517" s="317" t="str">
        <f t="shared" si="2553"/>
        <v/>
      </c>
      <c r="P2517" s="317" t="str">
        <f t="shared" si="2553"/>
        <v/>
      </c>
      <c r="Q2517" s="318" t="str">
        <f t="shared" si="2507"/>
        <v/>
      </c>
      <c r="R2517" s="318" t="str">
        <f t="shared" si="2508"/>
        <v/>
      </c>
      <c r="S2517" s="318" t="str">
        <f t="shared" si="8"/>
        <v/>
      </c>
    </row>
    <row r="2518">
      <c r="A2518" s="14" t="str">
        <f t="shared" si="1"/>
        <v>46133</v>
      </c>
      <c r="B2518" s="185" t="str">
        <f t="array" ref="B2518">IF(F2518="VL","",IF(F2518="Free","Free",XLOOKUP(D2518,Roster!T:T,Roster!S:S,"",0)))</f>
        <v/>
      </c>
      <c r="C2518" s="313">
        <v>46133.0</v>
      </c>
      <c r="D2518" s="314"/>
      <c r="E2518" s="307" t="str">
        <f t="array" ref="E2518">(XLOOKUP(D2518,Roster!F:F,Roster!B:B,"",0))</f>
        <v/>
      </c>
      <c r="F2518" s="315" t="str">
        <f t="array" ref="F2518">IF(B2518=100,"Free",TEXT(XLOOKUP($D2518,OperationVoice!$A:$A,OperationVoice!AA:AA,XLOOKUP($D2518,OperationTickets!$A:$A,OperationTickets!AA:AA,"",0)),"hh:mm"))</f>
        <v/>
      </c>
      <c r="G2518" s="309" t="str">
        <f t="shared" si="3"/>
        <v/>
      </c>
      <c r="H2518" s="316" t="str">
        <f t="array" ref="H2518">XLOOKUP(B2518,Roster!L:L,Roster!N:N,XLOOKUP(D2518,TicketsBreak!A:A,TicketsBreak!E:E,"",0),0)</f>
        <v/>
      </c>
      <c r="I2518" s="316" t="str">
        <f t="array" ref="I2518">XLOOKUP(B2518,Roster!L:L,Roster!O:O,XLOOKUP(D2518,TicketsBreak!A:A,TicketsBreak!F:F,"",0),0)</f>
        <v/>
      </c>
      <c r="J2518" s="316" t="str">
        <f t="array" ref="J2518">XLOOKUP(B2518,Roster!L:L,Roster!P:P,XLOOKUP(D2518,TicketsBreak!A:A,TicketsBreak!G:G,"",0),0)</f>
        <v/>
      </c>
      <c r="K2518" s="310">
        <f t="shared" si="4"/>
        <v>46133</v>
      </c>
      <c r="L2518" s="317" t="str">
        <f t="array" ref="L2518">(XLOOKUP(D2518,Roster!F:F,Roster!D:D,"",0))</f>
        <v/>
      </c>
      <c r="M2518" s="317" t="str">
        <f t="array" ref="M2518">XLOOKUP(D2518,Roster!F:F,Roster!E:E)</f>
        <v>#N/A</v>
      </c>
      <c r="N2518" s="317" t="str">
        <f t="shared" ref="N2518:P2518" si="2554">LEFT(H2518,5)</f>
        <v/>
      </c>
      <c r="O2518" s="317" t="str">
        <f t="shared" si="2554"/>
        <v/>
      </c>
      <c r="P2518" s="317" t="str">
        <f t="shared" si="2554"/>
        <v/>
      </c>
      <c r="Q2518" s="318" t="str">
        <f t="shared" si="2507"/>
        <v/>
      </c>
      <c r="R2518" s="318" t="str">
        <f t="shared" si="2508"/>
        <v/>
      </c>
      <c r="S2518" s="318" t="str">
        <f t="shared" si="8"/>
        <v/>
      </c>
    </row>
    <row r="2519">
      <c r="A2519" s="14" t="str">
        <f t="shared" si="1"/>
        <v>46133</v>
      </c>
      <c r="B2519" s="185" t="str">
        <f t="array" ref="B2519">IF(F2519="VL","",IF(F2519="Free","Free",XLOOKUP(D2519,Roster!T:T,Roster!S:S,"",0)))</f>
        <v/>
      </c>
      <c r="C2519" s="313">
        <v>46133.0</v>
      </c>
      <c r="D2519" s="314"/>
      <c r="E2519" s="307" t="str">
        <f t="array" ref="E2519">(XLOOKUP(D2519,Roster!F:F,Roster!B:B,"",0))</f>
        <v/>
      </c>
      <c r="F2519" s="315" t="str">
        <f t="array" ref="F2519">IF(B2519=100,"Free",TEXT(XLOOKUP($D2519,OperationVoice!$A:$A,OperationVoice!AA:AA,XLOOKUP($D2519,OperationTickets!$A:$A,OperationTickets!AA:AA,"",0)),"hh:mm"))</f>
        <v/>
      </c>
      <c r="G2519" s="309" t="str">
        <f t="shared" si="3"/>
        <v/>
      </c>
      <c r="H2519" s="316" t="str">
        <f t="array" ref="H2519">XLOOKUP(B2519,Roster!L:L,Roster!N:N,XLOOKUP(D2519,TicketsBreak!A:A,TicketsBreak!E:E,"",0),0)</f>
        <v/>
      </c>
      <c r="I2519" s="316" t="str">
        <f t="array" ref="I2519">XLOOKUP(B2519,Roster!L:L,Roster!O:O,XLOOKUP(D2519,TicketsBreak!A:A,TicketsBreak!F:F,"",0),0)</f>
        <v/>
      </c>
      <c r="J2519" s="316" t="str">
        <f t="array" ref="J2519">XLOOKUP(B2519,Roster!L:L,Roster!P:P,XLOOKUP(D2519,TicketsBreak!A:A,TicketsBreak!G:G,"",0),0)</f>
        <v/>
      </c>
      <c r="K2519" s="310">
        <f t="shared" si="4"/>
        <v>46133</v>
      </c>
      <c r="L2519" s="317" t="str">
        <f t="array" ref="L2519">(XLOOKUP(D2519,Roster!F:F,Roster!D:D,"",0))</f>
        <v/>
      </c>
      <c r="M2519" s="317" t="str">
        <f t="array" ref="M2519">XLOOKUP(D2519,Roster!F:F,Roster!E:E)</f>
        <v>#N/A</v>
      </c>
      <c r="N2519" s="317" t="str">
        <f t="shared" ref="N2519:P2519" si="2555">LEFT(H2519,5)</f>
        <v/>
      </c>
      <c r="O2519" s="317" t="str">
        <f t="shared" si="2555"/>
        <v/>
      </c>
      <c r="P2519" s="317" t="str">
        <f t="shared" si="2555"/>
        <v/>
      </c>
      <c r="Q2519" s="318" t="str">
        <f t="shared" si="2507"/>
        <v/>
      </c>
      <c r="R2519" s="318" t="str">
        <f t="shared" si="2508"/>
        <v/>
      </c>
      <c r="S2519" s="318" t="str">
        <f t="shared" si="8"/>
        <v/>
      </c>
    </row>
    <row r="2520">
      <c r="A2520" s="14" t="str">
        <f t="shared" si="1"/>
        <v>46133</v>
      </c>
      <c r="B2520" s="185" t="str">
        <f t="array" ref="B2520">IF(F2520="VL","",IF(F2520="Free","Free",XLOOKUP(D2520,Roster!T:T,Roster!S:S,"",0)))</f>
        <v/>
      </c>
      <c r="C2520" s="313">
        <v>46133.0</v>
      </c>
      <c r="D2520" s="314"/>
      <c r="E2520" s="307" t="str">
        <f t="array" ref="E2520">(XLOOKUP(D2520,Roster!F:F,Roster!B:B,"",0))</f>
        <v/>
      </c>
      <c r="F2520" s="315" t="str">
        <f t="array" ref="F2520">IF(B2520=100,"Free",TEXT(XLOOKUP($D2520,OperationVoice!$A:$A,OperationVoice!AA:AA,XLOOKUP($D2520,OperationTickets!$A:$A,OperationTickets!AA:AA,"",0)),"hh:mm"))</f>
        <v/>
      </c>
      <c r="G2520" s="309" t="str">
        <f t="shared" si="3"/>
        <v/>
      </c>
      <c r="H2520" s="316" t="str">
        <f t="array" ref="H2520">XLOOKUP(B2520,Roster!L:L,Roster!N:N,XLOOKUP(D2520,TicketsBreak!A:A,TicketsBreak!E:E,"",0),0)</f>
        <v/>
      </c>
      <c r="I2520" s="316" t="str">
        <f t="array" ref="I2520">XLOOKUP(B2520,Roster!L:L,Roster!O:O,XLOOKUP(D2520,TicketsBreak!A:A,TicketsBreak!F:F,"",0),0)</f>
        <v/>
      </c>
      <c r="J2520" s="316" t="str">
        <f t="array" ref="J2520">XLOOKUP(B2520,Roster!L:L,Roster!P:P,XLOOKUP(D2520,TicketsBreak!A:A,TicketsBreak!G:G,"",0),0)</f>
        <v/>
      </c>
      <c r="K2520" s="310">
        <f t="shared" si="4"/>
        <v>46133</v>
      </c>
      <c r="L2520" s="317" t="str">
        <f t="array" ref="L2520">(XLOOKUP(D2520,Roster!F:F,Roster!D:D,"",0))</f>
        <v/>
      </c>
      <c r="M2520" s="317" t="str">
        <f t="array" ref="M2520">XLOOKUP(D2520,Roster!F:F,Roster!E:E)</f>
        <v>#N/A</v>
      </c>
      <c r="N2520" s="317" t="str">
        <f t="shared" ref="N2520:P2520" si="2556">LEFT(H2520,5)</f>
        <v/>
      </c>
      <c r="O2520" s="317" t="str">
        <f t="shared" si="2556"/>
        <v/>
      </c>
      <c r="P2520" s="317" t="str">
        <f t="shared" si="2556"/>
        <v/>
      </c>
      <c r="Q2520" s="318" t="str">
        <f t="shared" si="2507"/>
        <v/>
      </c>
      <c r="R2520" s="318" t="str">
        <f t="shared" si="2508"/>
        <v/>
      </c>
      <c r="S2520" s="318" t="str">
        <f t="shared" si="8"/>
        <v/>
      </c>
    </row>
    <row r="2521">
      <c r="A2521" s="14" t="str">
        <f t="shared" si="1"/>
        <v>46133</v>
      </c>
      <c r="B2521" s="185" t="str">
        <f t="array" ref="B2521">IF(F2521="VL","",IF(F2521="Free","Free",XLOOKUP(D2521,Roster!T:T,Roster!S:S,"",0)))</f>
        <v/>
      </c>
      <c r="C2521" s="313">
        <v>46133.0</v>
      </c>
      <c r="D2521" s="314"/>
      <c r="E2521" s="307" t="str">
        <f t="array" ref="E2521">(XLOOKUP(D2521,Roster!F:F,Roster!B:B,"",0))</f>
        <v/>
      </c>
      <c r="F2521" s="315" t="str">
        <f t="array" ref="F2521">IF(B2521=100,"Free",TEXT(XLOOKUP($D2521,OperationVoice!$A:$A,OperationVoice!AA:AA,XLOOKUP($D2521,OperationTickets!$A:$A,OperationTickets!AA:AA,"",0)),"hh:mm"))</f>
        <v/>
      </c>
      <c r="G2521" s="309" t="str">
        <f t="shared" si="3"/>
        <v/>
      </c>
      <c r="H2521" s="316" t="str">
        <f t="array" ref="H2521">XLOOKUP(B2521,Roster!L:L,Roster!N:N,XLOOKUP(D2521,TicketsBreak!A:A,TicketsBreak!E:E,"",0),0)</f>
        <v/>
      </c>
      <c r="I2521" s="316" t="str">
        <f t="array" ref="I2521">XLOOKUP(B2521,Roster!L:L,Roster!O:O,XLOOKUP(D2521,TicketsBreak!A:A,TicketsBreak!F:F,"",0),0)</f>
        <v/>
      </c>
      <c r="J2521" s="316" t="str">
        <f t="array" ref="J2521">XLOOKUP(B2521,Roster!L:L,Roster!P:P,XLOOKUP(D2521,TicketsBreak!A:A,TicketsBreak!G:G,"",0),0)</f>
        <v/>
      </c>
      <c r="K2521" s="310">
        <f t="shared" si="4"/>
        <v>46133</v>
      </c>
      <c r="L2521" s="317" t="str">
        <f t="array" ref="L2521">(XLOOKUP(D2521,Roster!F:F,Roster!D:D,"",0))</f>
        <v/>
      </c>
      <c r="M2521" s="317" t="str">
        <f t="array" ref="M2521">XLOOKUP(D2521,Roster!F:F,Roster!E:E)</f>
        <v>#N/A</v>
      </c>
      <c r="N2521" s="317" t="str">
        <f t="shared" ref="N2521:P2521" si="2557">LEFT(H2521,5)</f>
        <v/>
      </c>
      <c r="O2521" s="317" t="str">
        <f t="shared" si="2557"/>
        <v/>
      </c>
      <c r="P2521" s="317" t="str">
        <f t="shared" si="2557"/>
        <v/>
      </c>
      <c r="Q2521" s="318" t="str">
        <f t="shared" si="2507"/>
        <v/>
      </c>
      <c r="R2521" s="318" t="str">
        <f t="shared" si="2508"/>
        <v/>
      </c>
      <c r="S2521" s="318" t="str">
        <f t="shared" si="8"/>
        <v/>
      </c>
    </row>
    <row r="2522">
      <c r="A2522" s="14" t="str">
        <f t="shared" si="1"/>
        <v>C81846134</v>
      </c>
      <c r="B2522" s="185">
        <f t="array" ref="B2522">IF(F2522="VL","",IF(F2522="Free","Free",XLOOKUP(D2522,Roster!T:T,Roster!S:S,"",0)))</f>
        <v>123</v>
      </c>
      <c r="C2522" s="313">
        <v>46134.0</v>
      </c>
      <c r="D2522" s="314" t="s">
        <v>9</v>
      </c>
      <c r="E2522" s="307" t="str">
        <f t="array" ref="E2522">(XLOOKUP(D2522,Roster!F:F,Roster!B:B,"",0))</f>
        <v>Adriana Moncaleano</v>
      </c>
      <c r="F2522" s="315" t="str">
        <f t="array" ref="F2522">IF(B2522=100,"Free",TEXT(XLOOKUP($D2522,OperationVoice!$A:$A,OperationVoice!AB:AB,XLOOKUP($D2522,OperationTickets!$A:$A,OperationTickets!AB:AB,"",0)),"hh:mm"))</f>
        <v>08:00</v>
      </c>
      <c r="G2522" s="309">
        <f t="shared" si="3"/>
        <v>0.7083333333</v>
      </c>
      <c r="H2522" s="316" t="str">
        <f t="array" ref="H2522">XLOOKUP(B2522,Roster!L:L,Roster!N:N,XLOOKUP(D2522,TicketsBreak!A:A,TicketsBreak!E:E,"",0),0)</f>
        <v>09:45 - 10:00 </v>
      </c>
      <c r="I2522" s="316" t="str">
        <f t="array" ref="I2522">XLOOKUP(B2522,Roster!L:L,Roster!O:O,XLOOKUP(D2522,TicketsBreak!A:A,TicketsBreak!F:F,"",0),0)</f>
        <v>12:30 - 13:00</v>
      </c>
      <c r="J2522" s="316" t="str">
        <f t="array" ref="J2522">XLOOKUP(B2522,Roster!L:L,Roster!P:P,XLOOKUP(D2522,TicketsBreak!A:A,TicketsBreak!G:G,"",0),0)</f>
        <v>15:00 - 15:15</v>
      </c>
      <c r="K2522" s="310">
        <f t="shared" si="4"/>
        <v>46134</v>
      </c>
      <c r="L2522" s="317">
        <f t="array" ref="L2522">(XLOOKUP(D2522,Roster!F:F,Roster!D:D,"",0))</f>
        <v>23</v>
      </c>
      <c r="M2522" s="317" t="str">
        <f t="array" ref="M2522">XLOOKUP(D2522,Roster!F:F,Roster!E:E)</f>
        <v>Voice</v>
      </c>
      <c r="N2522" s="317" t="str">
        <f t="shared" ref="N2522:P2522" si="2558">LEFT(H2522,5)</f>
        <v>09:45</v>
      </c>
      <c r="O2522" s="317" t="str">
        <f t="shared" si="2558"/>
        <v>12:30</v>
      </c>
      <c r="P2522" s="317" t="str">
        <f t="shared" si="2558"/>
        <v>15:00</v>
      </c>
      <c r="Q2522" s="318">
        <f t="shared" si="2507"/>
        <v>46134.40625</v>
      </c>
      <c r="R2522" s="318">
        <f t="shared" si="2508"/>
        <v>46134.52083</v>
      </c>
      <c r="S2522" s="318">
        <f t="shared" si="8"/>
        <v>46134.625</v>
      </c>
    </row>
    <row r="2523">
      <c r="A2523" s="14" t="str">
        <f t="shared" si="1"/>
        <v>C110746134</v>
      </c>
      <c r="B2523" s="185" t="str">
        <f t="array" ref="B2523">IF(F2523="VL","",IF(F2523="Free","Free",XLOOKUP(D2523,Roster!T:T,Roster!S:S,"",0)))</f>
        <v>Free</v>
      </c>
      <c r="C2523" s="313">
        <v>46134.0</v>
      </c>
      <c r="D2523" s="314" t="s">
        <v>10</v>
      </c>
      <c r="E2523" s="307" t="str">
        <f t="array" ref="E2523">(XLOOKUP(D2523,Roster!F:F,Roster!B:B,"",0))</f>
        <v>Alejandro Malave</v>
      </c>
      <c r="F2523" s="315" t="str">
        <f t="array" ref="F2523">IF(B2523=100,"Free",TEXT(XLOOKUP($D2523,OperationVoice!$A:$A,OperationVoice!AB:AB,XLOOKUP($D2523,OperationTickets!$A:$A,OperationTickets!AB:AB,"",0)),"hh:mm"))</f>
        <v>Free</v>
      </c>
      <c r="G2523" s="309" t="str">
        <f t="shared" si="3"/>
        <v>Free</v>
      </c>
      <c r="H2523" s="316" t="str">
        <f t="array" ref="H2523">XLOOKUP(B2523,Roster!L:L,Roster!N:N,XLOOKUP(D2523,TicketsBreak!A:A,TicketsBreak!E:E,"",0),0)</f>
        <v/>
      </c>
      <c r="I2523" s="316" t="str">
        <f t="array" ref="I2523">XLOOKUP(B2523,Roster!L:L,Roster!O:O,XLOOKUP(D2523,TicketsBreak!A:A,TicketsBreak!F:F,"",0),0)</f>
        <v/>
      </c>
      <c r="J2523" s="316" t="str">
        <f t="array" ref="J2523">XLOOKUP(B2523,Roster!L:L,Roster!P:P,XLOOKUP(D2523,TicketsBreak!A:A,TicketsBreak!G:G,"",0),0)</f>
        <v/>
      </c>
      <c r="K2523" s="310">
        <f t="shared" si="4"/>
        <v>46134</v>
      </c>
      <c r="L2523" s="317">
        <f t="array" ref="L2523">(XLOOKUP(D2523,Roster!F:F,Roster!D:D,"",0))</f>
        <v>36</v>
      </c>
      <c r="M2523" s="317" t="str">
        <f t="array" ref="M2523">XLOOKUP(D2523,Roster!F:F,Roster!E:E)</f>
        <v>Voice</v>
      </c>
      <c r="N2523" s="317" t="str">
        <f t="shared" ref="N2523:P2523" si="2559">LEFT(H2523,5)</f>
        <v/>
      </c>
      <c r="O2523" s="317" t="str">
        <f t="shared" si="2559"/>
        <v/>
      </c>
      <c r="P2523" s="317" t="str">
        <f t="shared" si="2559"/>
        <v/>
      </c>
      <c r="Q2523" s="318" t="str">
        <f t="shared" si="2507"/>
        <v/>
      </c>
      <c r="R2523" s="318" t="str">
        <f t="shared" si="2508"/>
        <v/>
      </c>
      <c r="S2523" s="318" t="str">
        <f t="shared" si="8"/>
        <v/>
      </c>
    </row>
    <row r="2524">
      <c r="A2524" s="14" t="str">
        <f t="shared" si="1"/>
        <v>C69946134</v>
      </c>
      <c r="B2524" s="185" t="str">
        <f t="array" ref="B2524">IF(F2524="VL","",IF(F2524="Free","Free",XLOOKUP(D2524,Roster!T:T,Roster!S:S,"",0)))</f>
        <v/>
      </c>
      <c r="C2524" s="313">
        <v>46134.0</v>
      </c>
      <c r="D2524" s="314" t="s">
        <v>137</v>
      </c>
      <c r="E2524" s="307" t="str">
        <f t="array" ref="E2524">(XLOOKUP(D2524,Roster!F:F,Roster!B:B,"",0))</f>
        <v>Alexa Arenas</v>
      </c>
      <c r="F2524" s="315" t="str">
        <f t="array" ref="F2524">IF(B2524=100,"Free",TEXT(XLOOKUP($D2524,OperationVoice!$A:$A,OperationVoice!AB:AB,XLOOKUP($D2524,OperationTickets!$A:$A,OperationTickets!AB:AB,"",0)),"hh:mm"))</f>
        <v>08:00</v>
      </c>
      <c r="G2524" s="309">
        <f t="shared" si="3"/>
        <v>0.7083333333</v>
      </c>
      <c r="H2524" s="316">
        <f t="array" ref="H2524">XLOOKUP(B2524,Roster!L:L,Roster!N:N,XLOOKUP(D2524,TicketsBreak!A:A,TicketsBreak!E:E,"",0),0)</f>
        <v>0.40625</v>
      </c>
      <c r="I2524" s="316">
        <f t="array" ref="I2524">XLOOKUP(B2524,Roster!L:L,Roster!O:O,XLOOKUP(D2524,TicketsBreak!A:A,TicketsBreak!F:F,"",0),0)</f>
        <v>0.5</v>
      </c>
      <c r="J2524" s="316">
        <f t="array" ref="J2524">XLOOKUP(B2524,Roster!L:L,Roster!P:P,XLOOKUP(D2524,TicketsBreak!A:A,TicketsBreak!G:G,"",0),0)</f>
        <v>0.65625</v>
      </c>
      <c r="K2524" s="310">
        <f t="shared" si="4"/>
        <v>46134</v>
      </c>
      <c r="L2524" s="317">
        <f t="array" ref="L2524">(XLOOKUP(D2524,Roster!F:F,Roster!D:D,"",0))</f>
        <v>5</v>
      </c>
      <c r="M2524" s="317" t="str">
        <f t="array" ref="M2524">XLOOKUP(D2524,Roster!F:F,Roster!E:E)</f>
        <v>Tickets</v>
      </c>
      <c r="N2524" s="317" t="str">
        <f t="shared" ref="N2524:P2524" si="2560">LEFT(H2524,5)</f>
        <v>09:45</v>
      </c>
      <c r="O2524" s="317" t="str">
        <f t="shared" si="2560"/>
        <v>12:00</v>
      </c>
      <c r="P2524" s="317" t="str">
        <f t="shared" si="2560"/>
        <v>15:45</v>
      </c>
      <c r="Q2524" s="318">
        <f t="shared" si="2507"/>
        <v>46134.40625</v>
      </c>
      <c r="R2524" s="318">
        <f t="shared" si="2508"/>
        <v>46134.5</v>
      </c>
      <c r="S2524" s="318">
        <f t="shared" si="8"/>
        <v>46134.65625</v>
      </c>
    </row>
    <row r="2525">
      <c r="A2525" s="14" t="str">
        <f t="shared" si="1"/>
        <v>C157046134</v>
      </c>
      <c r="B2525" s="185" t="str">
        <f t="array" ref="B2525">IF(F2525="VL","",IF(F2525="Free","Free",XLOOKUP(D2525,Roster!T:T,Roster!S:S,"",0)))</f>
        <v>Free</v>
      </c>
      <c r="C2525" s="313">
        <v>46134.0</v>
      </c>
      <c r="D2525" s="314" t="s">
        <v>11</v>
      </c>
      <c r="E2525" s="307" t="str">
        <f t="array" ref="E2525">(XLOOKUP(D2525,Roster!F:F,Roster!B:B,"",0))</f>
        <v>Alexander Bartoli</v>
      </c>
      <c r="F2525" s="315" t="str">
        <f t="array" ref="F2525">IF(B2525=100,"Free",TEXT(XLOOKUP($D2525,OperationVoice!$A:$A,OperationVoice!AB:AB,XLOOKUP($D2525,OperationTickets!$A:$A,OperationTickets!AB:AB,"",0)),"hh:mm"))</f>
        <v>Free</v>
      </c>
      <c r="G2525" s="309" t="str">
        <f t="shared" si="3"/>
        <v>Free</v>
      </c>
      <c r="H2525" s="316" t="str">
        <f t="array" ref="H2525">XLOOKUP(B2525,Roster!L:L,Roster!N:N,XLOOKUP(D2525,TicketsBreak!A:A,TicketsBreak!E:E,"",0),0)</f>
        <v/>
      </c>
      <c r="I2525" s="316" t="str">
        <f t="array" ref="I2525">XLOOKUP(B2525,Roster!L:L,Roster!O:O,XLOOKUP(D2525,TicketsBreak!A:A,TicketsBreak!F:F,"",0),0)</f>
        <v/>
      </c>
      <c r="J2525" s="316" t="str">
        <f t="array" ref="J2525">XLOOKUP(B2525,Roster!L:L,Roster!P:P,XLOOKUP(D2525,TicketsBreak!A:A,TicketsBreak!G:G,"",0),0)</f>
        <v/>
      </c>
      <c r="K2525" s="310">
        <f t="shared" si="4"/>
        <v>46134</v>
      </c>
      <c r="L2525" s="317">
        <f t="array" ref="L2525">(XLOOKUP(D2525,Roster!F:F,Roster!D:D,"",0))</f>
        <v>38</v>
      </c>
      <c r="M2525" s="317" t="str">
        <f t="array" ref="M2525">XLOOKUP(D2525,Roster!F:F,Roster!E:E)</f>
        <v>Voice</v>
      </c>
      <c r="N2525" s="317" t="str">
        <f t="shared" ref="N2525:P2525" si="2561">LEFT(H2525,5)</f>
        <v/>
      </c>
      <c r="O2525" s="317" t="str">
        <f t="shared" si="2561"/>
        <v/>
      </c>
      <c r="P2525" s="317" t="str">
        <f t="shared" si="2561"/>
        <v/>
      </c>
      <c r="Q2525" s="318" t="str">
        <f t="shared" si="2507"/>
        <v/>
      </c>
      <c r="R2525" s="318" t="str">
        <f t="shared" si="2508"/>
        <v/>
      </c>
      <c r="S2525" s="318" t="str">
        <f t="shared" si="8"/>
        <v/>
      </c>
    </row>
    <row r="2526">
      <c r="A2526" s="14" t="str">
        <f t="shared" si="1"/>
        <v>C93546134</v>
      </c>
      <c r="B2526" s="185" t="str">
        <f t="array" ref="B2526">IF(F2526="VL","",IF(F2526="Free","Free",XLOOKUP(D2526,Roster!T:T,Roster!S:S,"",0)))</f>
        <v>Free</v>
      </c>
      <c r="C2526" s="313">
        <v>46134.0</v>
      </c>
      <c r="D2526" s="314" t="s">
        <v>153</v>
      </c>
      <c r="E2526" s="307" t="str">
        <f t="array" ref="E2526">(XLOOKUP(D2526,Roster!F:F,Roster!B:B,"",0))</f>
        <v>Alexis Arias</v>
      </c>
      <c r="F2526" s="315" t="str">
        <f t="array" ref="F2526">IF(B2526=100,"Free",TEXT(XLOOKUP($D2526,OperationVoice!$A:$A,OperationVoice!AB:AB,XLOOKUP($D2526,OperationTickets!$A:$A,OperationTickets!AB:AB,"",0)),"hh:mm"))</f>
        <v>Free</v>
      </c>
      <c r="G2526" s="309" t="str">
        <f t="shared" si="3"/>
        <v>Free</v>
      </c>
      <c r="H2526" s="316">
        <f t="array" ref="H2526">XLOOKUP(B2526,Roster!L:L,Roster!N:N,XLOOKUP(D2526,TicketsBreak!A:A,TicketsBreak!E:E,"",0),0)</f>
        <v>0.4270833333</v>
      </c>
      <c r="I2526" s="316">
        <f t="array" ref="I2526">XLOOKUP(B2526,Roster!L:L,Roster!O:O,XLOOKUP(D2526,TicketsBreak!A:A,TicketsBreak!F:F,"",0),0)</f>
        <v>0.53125</v>
      </c>
      <c r="J2526" s="316">
        <f t="array" ref="J2526">XLOOKUP(B2526,Roster!L:L,Roster!P:P,XLOOKUP(D2526,TicketsBreak!A:A,TicketsBreak!G:G,"",0),0)</f>
        <v>0.6458333333</v>
      </c>
      <c r="K2526" s="310">
        <f t="shared" si="4"/>
        <v>46134</v>
      </c>
      <c r="L2526" s="317">
        <f t="array" ref="L2526">(XLOOKUP(D2526,Roster!F:F,Roster!D:D,"",0))</f>
        <v>12</v>
      </c>
      <c r="M2526" s="317" t="str">
        <f t="array" ref="M2526">XLOOKUP(D2526,Roster!F:F,Roster!E:E)</f>
        <v>Tickets</v>
      </c>
      <c r="N2526" s="317" t="str">
        <f t="shared" ref="N2526:P2526" si="2562">LEFT(H2526,5)</f>
        <v>10:15</v>
      </c>
      <c r="O2526" s="317" t="str">
        <f t="shared" si="2562"/>
        <v>12:45</v>
      </c>
      <c r="P2526" s="317" t="str">
        <f t="shared" si="2562"/>
        <v>15:30</v>
      </c>
      <c r="Q2526" s="318">
        <f t="shared" si="2507"/>
        <v>46134.42708</v>
      </c>
      <c r="R2526" s="318">
        <f t="shared" si="2508"/>
        <v>46134.53125</v>
      </c>
      <c r="S2526" s="318">
        <f t="shared" si="8"/>
        <v>46134.64583</v>
      </c>
    </row>
    <row r="2527">
      <c r="A2527" s="14" t="str">
        <f t="shared" si="1"/>
        <v>C72746134</v>
      </c>
      <c r="B2527" s="185" t="str">
        <f t="array" ref="B2527">IF(F2527="VL","",IF(F2527="Free","Free",XLOOKUP(D2527,Roster!T:T,Roster!S:S,"",0)))</f>
        <v/>
      </c>
      <c r="C2527" s="313">
        <v>46134.0</v>
      </c>
      <c r="D2527" s="314" t="s">
        <v>154</v>
      </c>
      <c r="E2527" s="307" t="str">
        <f t="array" ref="E2527">(XLOOKUP(D2527,Roster!F:F,Roster!B:B,"",0))</f>
        <v>Ana Moreno</v>
      </c>
      <c r="F2527" s="315" t="str">
        <f t="array" ref="F2527">IF(B2527=100,"Free",TEXT(XLOOKUP($D2527,OperationVoice!$A:$A,OperationVoice!AB:AB,XLOOKUP($D2527,OperationTickets!$A:$A,OperationTickets!AB:AB,"",0)),"hh:mm"))</f>
        <v>08:00</v>
      </c>
      <c r="G2527" s="309">
        <f t="shared" si="3"/>
        <v>0.7083333333</v>
      </c>
      <c r="H2527" s="316">
        <f t="array" ref="H2527">XLOOKUP(B2527,Roster!L:L,Roster!N:N,XLOOKUP(D2527,TicketsBreak!A:A,TicketsBreak!E:E,"",0),0)</f>
        <v>0.4166666667</v>
      </c>
      <c r="I2527" s="316">
        <f t="array" ref="I2527">XLOOKUP(B2527,Roster!L:L,Roster!O:O,XLOOKUP(D2527,TicketsBreak!A:A,TicketsBreak!F:F,"",0),0)</f>
        <v>0.5208333333</v>
      </c>
      <c r="J2527" s="316">
        <f t="array" ref="J2527">XLOOKUP(B2527,Roster!L:L,Roster!P:P,XLOOKUP(D2527,TicketsBreak!A:A,TicketsBreak!G:G,"",0),0)</f>
        <v>0.65625</v>
      </c>
      <c r="K2527" s="310">
        <f t="shared" si="4"/>
        <v>46134</v>
      </c>
      <c r="L2527" s="317">
        <f t="array" ref="L2527">(XLOOKUP(D2527,Roster!F:F,Roster!D:D,"",0))</f>
        <v>7</v>
      </c>
      <c r="M2527" s="317" t="str">
        <f t="array" ref="M2527">XLOOKUP(D2527,Roster!F:F,Roster!E:E)</f>
        <v>Tickets</v>
      </c>
      <c r="N2527" s="317" t="str">
        <f t="shared" ref="N2527:P2527" si="2563">LEFT(H2527,5)</f>
        <v>10:00</v>
      </c>
      <c r="O2527" s="317" t="str">
        <f t="shared" si="2563"/>
        <v>12:30</v>
      </c>
      <c r="P2527" s="317" t="str">
        <f t="shared" si="2563"/>
        <v>15:45</v>
      </c>
      <c r="Q2527" s="318">
        <f t="shared" si="2507"/>
        <v>46134.41667</v>
      </c>
      <c r="R2527" s="318">
        <f t="shared" si="2508"/>
        <v>46134.52083</v>
      </c>
      <c r="S2527" s="318">
        <f t="shared" si="8"/>
        <v>46134.65625</v>
      </c>
    </row>
    <row r="2528">
      <c r="A2528" s="14" t="str">
        <f t="shared" si="1"/>
        <v>C157446134</v>
      </c>
      <c r="B2528" s="185" t="str">
        <f t="array" ref="B2528">IF(F2528="VL","",IF(F2528="Free","Free",XLOOKUP(D2528,Roster!T:T,Roster!S:S,"",0)))</f>
        <v>Free</v>
      </c>
      <c r="C2528" s="313">
        <v>46134.0</v>
      </c>
      <c r="D2528" s="314" t="s">
        <v>12</v>
      </c>
      <c r="E2528" s="307" t="str">
        <f t="array" ref="E2528">(XLOOKUP(D2528,Roster!F:F,Roster!B:B,"",0))</f>
        <v>Ana Quintero</v>
      </c>
      <c r="F2528" s="315" t="str">
        <f t="array" ref="F2528">IF(B2528=100,"Free",TEXT(XLOOKUP($D2528,OperationVoice!$A:$A,OperationVoice!AB:AB,XLOOKUP($D2528,OperationTickets!$A:$A,OperationTickets!AB:AB,"",0)),"hh:mm"))</f>
        <v>Free</v>
      </c>
      <c r="G2528" s="309" t="str">
        <f t="shared" si="3"/>
        <v>Free</v>
      </c>
      <c r="H2528" s="316" t="str">
        <f t="array" ref="H2528">XLOOKUP(B2528,Roster!L:L,Roster!N:N,XLOOKUP(D2528,TicketsBreak!A:A,TicketsBreak!E:E,"",0),0)</f>
        <v/>
      </c>
      <c r="I2528" s="316" t="str">
        <f t="array" ref="I2528">XLOOKUP(B2528,Roster!L:L,Roster!O:O,XLOOKUP(D2528,TicketsBreak!A:A,TicketsBreak!F:F,"",0),0)</f>
        <v/>
      </c>
      <c r="J2528" s="316" t="str">
        <f t="array" ref="J2528">XLOOKUP(B2528,Roster!L:L,Roster!P:P,XLOOKUP(D2528,TicketsBreak!A:A,TicketsBreak!G:G,"",0),0)</f>
        <v/>
      </c>
      <c r="K2528" s="310">
        <f t="shared" si="4"/>
        <v>46134</v>
      </c>
      <c r="L2528" s="317">
        <f t="array" ref="L2528">(XLOOKUP(D2528,Roster!F:F,Roster!D:D,"",0))</f>
        <v>38</v>
      </c>
      <c r="M2528" s="317" t="str">
        <f t="array" ref="M2528">XLOOKUP(D2528,Roster!F:F,Roster!E:E)</f>
        <v>Voice</v>
      </c>
      <c r="N2528" s="317" t="str">
        <f t="shared" ref="N2528:P2528" si="2564">LEFT(H2528,5)</f>
        <v/>
      </c>
      <c r="O2528" s="317" t="str">
        <f t="shared" si="2564"/>
        <v/>
      </c>
      <c r="P2528" s="317" t="str">
        <f t="shared" si="2564"/>
        <v/>
      </c>
      <c r="Q2528" s="318" t="str">
        <f t="shared" si="2507"/>
        <v/>
      </c>
      <c r="R2528" s="318" t="str">
        <f t="shared" si="2508"/>
        <v/>
      </c>
      <c r="S2528" s="318" t="str">
        <f t="shared" si="8"/>
        <v/>
      </c>
    </row>
    <row r="2529">
      <c r="A2529" s="14" t="str">
        <f t="shared" si="1"/>
        <v>C46946134</v>
      </c>
      <c r="B2529" s="185" t="str">
        <f t="array" ref="B2529">IF(F2529="VL","",IF(F2529="Free","Free",XLOOKUP(D2529,Roster!T:T,Roster!S:S,"",0)))</f>
        <v>Free</v>
      </c>
      <c r="C2529" s="313">
        <v>46134.0</v>
      </c>
      <c r="D2529" s="314" t="s">
        <v>171</v>
      </c>
      <c r="E2529" s="307" t="str">
        <f t="array" ref="E2529">(XLOOKUP(D2529,Roster!F:F,Roster!B:B,"",0))</f>
        <v>Ana Ruiz</v>
      </c>
      <c r="F2529" s="315" t="str">
        <f t="array" ref="F2529">IF(B2529=100,"Free",TEXT(XLOOKUP($D2529,OperationVoice!$A:$A,OperationVoice!AB:AB,XLOOKUP($D2529,OperationTickets!$A:$A,OperationTickets!AB:AB,"",0)),"hh:mm"))</f>
        <v>Free</v>
      </c>
      <c r="G2529" s="309" t="str">
        <f t="shared" si="3"/>
        <v>Free</v>
      </c>
      <c r="H2529" s="316">
        <f t="array" ref="H2529">XLOOKUP(B2529,Roster!L:L,Roster!N:N,XLOOKUP(D2529,TicketsBreak!A:A,TicketsBreak!E:E,"",0),0)</f>
        <v>0.3854166667</v>
      </c>
      <c r="I2529" s="316">
        <f t="array" ref="I2529">XLOOKUP(B2529,Roster!L:L,Roster!O:O,XLOOKUP(D2529,TicketsBreak!A:A,TicketsBreak!F:F,"",0),0)</f>
        <v>0.5</v>
      </c>
      <c r="J2529" s="316">
        <f t="array" ref="J2529">XLOOKUP(B2529,Roster!L:L,Roster!P:P,XLOOKUP(D2529,TicketsBreak!A:A,TicketsBreak!G:G,"",0),0)</f>
        <v>0.6041666667</v>
      </c>
      <c r="K2529" s="310">
        <f t="shared" si="4"/>
        <v>46134</v>
      </c>
      <c r="L2529" s="317">
        <f t="array" ref="L2529">(XLOOKUP(D2529,Roster!F:F,Roster!D:D,"",0))</f>
        <v>3</v>
      </c>
      <c r="M2529" s="317" t="str">
        <f t="array" ref="M2529">XLOOKUP(D2529,Roster!F:F,Roster!E:E)</f>
        <v>Tickets</v>
      </c>
      <c r="N2529" s="317" t="str">
        <f t="shared" ref="N2529:P2529" si="2565">LEFT(H2529,5)</f>
        <v>09:15</v>
      </c>
      <c r="O2529" s="317" t="str">
        <f t="shared" si="2565"/>
        <v>12:00</v>
      </c>
      <c r="P2529" s="317" t="str">
        <f t="shared" si="2565"/>
        <v>14:30</v>
      </c>
      <c r="Q2529" s="318">
        <f t="shared" si="2507"/>
        <v>46134.38542</v>
      </c>
      <c r="R2529" s="318">
        <f t="shared" si="2508"/>
        <v>46134.5</v>
      </c>
      <c r="S2529" s="318">
        <f t="shared" si="8"/>
        <v>46134.60417</v>
      </c>
    </row>
    <row r="2530">
      <c r="A2530" s="14" t="str">
        <f t="shared" si="1"/>
        <v>C155446134</v>
      </c>
      <c r="B2530" s="185" t="str">
        <f t="array" ref="B2530">IF(F2530="VL","",IF(F2530="Free","Free",XLOOKUP(D2530,Roster!T:T,Roster!S:S,"",0)))</f>
        <v>Free</v>
      </c>
      <c r="C2530" s="313">
        <v>46134.0</v>
      </c>
      <c r="D2530" s="314" t="s">
        <v>13</v>
      </c>
      <c r="E2530" s="307" t="str">
        <f t="array" ref="E2530">(XLOOKUP(D2530,Roster!F:F,Roster!B:B,"",0))</f>
        <v>Andres Lopez</v>
      </c>
      <c r="F2530" s="315" t="str">
        <f t="array" ref="F2530">IF(B2530=100,"Free",TEXT(XLOOKUP($D2530,OperationVoice!$A:$A,OperationVoice!AB:AB,XLOOKUP($D2530,OperationTickets!$A:$A,OperationTickets!AB:AB,"",0)),"hh:mm"))</f>
        <v>Free</v>
      </c>
      <c r="G2530" s="309" t="str">
        <f t="shared" si="3"/>
        <v>Free</v>
      </c>
      <c r="H2530" s="316" t="str">
        <f t="array" ref="H2530">XLOOKUP(B2530,Roster!L:L,Roster!N:N,XLOOKUP(D2530,TicketsBreak!A:A,TicketsBreak!E:E,"",0),0)</f>
        <v/>
      </c>
      <c r="I2530" s="316" t="str">
        <f t="array" ref="I2530">XLOOKUP(B2530,Roster!L:L,Roster!O:O,XLOOKUP(D2530,TicketsBreak!A:A,TicketsBreak!F:F,"",0),0)</f>
        <v/>
      </c>
      <c r="J2530" s="316" t="str">
        <f t="array" ref="J2530">XLOOKUP(B2530,Roster!L:L,Roster!P:P,XLOOKUP(D2530,TicketsBreak!A:A,TicketsBreak!G:G,"",0),0)</f>
        <v/>
      </c>
      <c r="K2530" s="310">
        <f t="shared" si="4"/>
        <v>46134</v>
      </c>
      <c r="L2530" s="317">
        <f t="array" ref="L2530">(XLOOKUP(D2530,Roster!F:F,Roster!D:D,"",0))</f>
        <v>37</v>
      </c>
      <c r="M2530" s="317" t="str">
        <f t="array" ref="M2530">XLOOKUP(D2530,Roster!F:F,Roster!E:E)</f>
        <v>Voice</v>
      </c>
      <c r="N2530" s="317" t="str">
        <f t="shared" ref="N2530:P2530" si="2566">LEFT(H2530,5)</f>
        <v/>
      </c>
      <c r="O2530" s="317" t="str">
        <f t="shared" si="2566"/>
        <v/>
      </c>
      <c r="P2530" s="317" t="str">
        <f t="shared" si="2566"/>
        <v/>
      </c>
      <c r="Q2530" s="318" t="str">
        <f t="shared" si="2507"/>
        <v/>
      </c>
      <c r="R2530" s="318" t="str">
        <f t="shared" si="2508"/>
        <v/>
      </c>
      <c r="S2530" s="318" t="str">
        <f t="shared" si="8"/>
        <v/>
      </c>
    </row>
    <row r="2531">
      <c r="A2531" s="14" t="str">
        <f t="shared" si="1"/>
        <v>C156746134</v>
      </c>
      <c r="B2531" s="185">
        <f t="array" ref="B2531">IF(F2531="VL","",IF(F2531="Free","Free",XLOOKUP(D2531,Roster!T:T,Roster!S:S,"",0)))</f>
        <v>125</v>
      </c>
      <c r="C2531" s="313">
        <v>46134.0</v>
      </c>
      <c r="D2531" s="314" t="s">
        <v>14</v>
      </c>
      <c r="E2531" s="307" t="str">
        <f t="array" ref="E2531">(XLOOKUP(D2531,Roster!F:F,Roster!B:B,"",0))</f>
        <v>Andres Salazar</v>
      </c>
      <c r="F2531" s="315" t="str">
        <f t="array" ref="F2531">IF(B2531=100,"Free",TEXT(XLOOKUP($D2531,OperationVoice!$A:$A,OperationVoice!AB:AB,XLOOKUP($D2531,OperationTickets!$A:$A,OperationTickets!AB:AB,"",0)),"hh:mm"))</f>
        <v>08:00</v>
      </c>
      <c r="G2531" s="309">
        <f t="shared" si="3"/>
        <v>0.7083333333</v>
      </c>
      <c r="H2531" s="316" t="str">
        <f t="array" ref="H2531">XLOOKUP(B2531,Roster!L:L,Roster!N:N,XLOOKUP(D2531,TicketsBreak!A:A,TicketsBreak!E:E,"",0),0)</f>
        <v>10:30 - 10:45</v>
      </c>
      <c r="I2531" s="316" t="str">
        <f t="array" ref="I2531">XLOOKUP(B2531,Roster!L:L,Roster!O:O,XLOOKUP(D2531,TicketsBreak!A:A,TicketsBreak!F:F,"",0),0)</f>
        <v>13:30 - 14:00</v>
      </c>
      <c r="J2531" s="316" t="str">
        <f t="array" ref="J2531">XLOOKUP(B2531,Roster!L:L,Roster!P:P,XLOOKUP(D2531,TicketsBreak!A:A,TicketsBreak!G:G,"",0),0)</f>
        <v>15:45 - 16:00</v>
      </c>
      <c r="K2531" s="310">
        <f t="shared" si="4"/>
        <v>46134</v>
      </c>
      <c r="L2531" s="317">
        <f t="array" ref="L2531">(XLOOKUP(D2531,Roster!F:F,Roster!D:D,"",0))</f>
        <v>38</v>
      </c>
      <c r="M2531" s="317" t="str">
        <f t="array" ref="M2531">XLOOKUP(D2531,Roster!F:F,Roster!E:E)</f>
        <v>Voice</v>
      </c>
      <c r="N2531" s="317" t="str">
        <f t="shared" ref="N2531:P2531" si="2567">LEFT(H2531,5)</f>
        <v>10:30</v>
      </c>
      <c r="O2531" s="317" t="str">
        <f t="shared" si="2567"/>
        <v>13:30</v>
      </c>
      <c r="P2531" s="317" t="str">
        <f t="shared" si="2567"/>
        <v>15:45</v>
      </c>
      <c r="Q2531" s="318">
        <f t="shared" si="2507"/>
        <v>46134.4375</v>
      </c>
      <c r="R2531" s="318">
        <f t="shared" si="2508"/>
        <v>46134.5625</v>
      </c>
      <c r="S2531" s="318">
        <f t="shared" si="8"/>
        <v>46134.65625</v>
      </c>
    </row>
    <row r="2532">
      <c r="A2532" s="14" t="str">
        <f t="shared" si="1"/>
        <v>C134846134</v>
      </c>
      <c r="B2532" s="185">
        <f t="array" ref="B2532">IF(F2532="VL","",IF(F2532="Free","Free",XLOOKUP(D2532,Roster!T:T,Roster!S:S,"",0)))</f>
        <v>124</v>
      </c>
      <c r="C2532" s="313">
        <v>46134.0</v>
      </c>
      <c r="D2532" s="314" t="s">
        <v>15</v>
      </c>
      <c r="E2532" s="307" t="str">
        <f t="array" ref="E2532">(XLOOKUP(D2532,Roster!F:F,Roster!B:B,"",0))</f>
        <v>Angelo Zapata</v>
      </c>
      <c r="F2532" s="315" t="str">
        <f t="array" ref="F2532">IF(B2532=100,"Free",TEXT(XLOOKUP($D2532,OperationVoice!$A:$A,OperationVoice!AB:AB,XLOOKUP($D2532,OperationTickets!$A:$A,OperationTickets!AB:AB,"",0)),"hh:mm"))</f>
        <v>08:00</v>
      </c>
      <c r="G2532" s="309">
        <f t="shared" si="3"/>
        <v>0.7083333333</v>
      </c>
      <c r="H2532" s="316" t="str">
        <f t="array" ref="H2532">XLOOKUP(B2532,Roster!L:L,Roster!N:N,XLOOKUP(D2532,TicketsBreak!A:A,TicketsBreak!E:E,"",0),0)</f>
        <v>10:00 - 10:15</v>
      </c>
      <c r="I2532" s="316" t="str">
        <f t="array" ref="I2532">XLOOKUP(B2532,Roster!L:L,Roster!O:O,XLOOKUP(D2532,TicketsBreak!A:A,TicketsBreak!F:F,"",0),0)</f>
        <v>13:00 - 13:30</v>
      </c>
      <c r="J2532" s="316" t="str">
        <f t="array" ref="J2532">XLOOKUP(B2532,Roster!L:L,Roster!P:P,XLOOKUP(D2532,TicketsBreak!A:A,TicketsBreak!G:G,"",0),0)</f>
        <v>15:30 - 15:45</v>
      </c>
      <c r="K2532" s="310">
        <f t="shared" si="4"/>
        <v>46134</v>
      </c>
      <c r="L2532" s="317">
        <f t="array" ref="L2532">(XLOOKUP(D2532,Roster!F:F,Roster!D:D,"",0))</f>
        <v>30</v>
      </c>
      <c r="M2532" s="317" t="str">
        <f t="array" ref="M2532">XLOOKUP(D2532,Roster!F:F,Roster!E:E)</f>
        <v>Voice</v>
      </c>
      <c r="N2532" s="317" t="str">
        <f t="shared" ref="N2532:P2532" si="2568">LEFT(H2532,5)</f>
        <v>10:00</v>
      </c>
      <c r="O2532" s="317" t="str">
        <f t="shared" si="2568"/>
        <v>13:00</v>
      </c>
      <c r="P2532" s="317" t="str">
        <f t="shared" si="2568"/>
        <v>15:30</v>
      </c>
      <c r="Q2532" s="318">
        <f t="shared" si="2507"/>
        <v>46134.41667</v>
      </c>
      <c r="R2532" s="318">
        <f t="shared" si="2508"/>
        <v>46134.54167</v>
      </c>
      <c r="S2532" s="318">
        <f t="shared" si="8"/>
        <v>46134.64583</v>
      </c>
    </row>
    <row r="2533">
      <c r="A2533" s="14" t="str">
        <f t="shared" si="1"/>
        <v>C116746134</v>
      </c>
      <c r="B2533" s="185" t="str">
        <f t="array" ref="B2533">IF(F2533="VL","",IF(F2533="Free","Free",XLOOKUP(D2533,Roster!T:T,Roster!S:S,"",0)))</f>
        <v/>
      </c>
      <c r="C2533" s="313">
        <v>46134.0</v>
      </c>
      <c r="D2533" s="314" t="s">
        <v>172</v>
      </c>
      <c r="E2533" s="307" t="str">
        <f t="array" ref="E2533">(XLOOKUP(D2533,Roster!F:F,Roster!B:B,"",0))</f>
        <v>Angie Rua</v>
      </c>
      <c r="F2533" s="315" t="str">
        <f t="array" ref="F2533">IF(B2533=100,"Free",TEXT(XLOOKUP($D2533,OperationVoice!$A:$A,OperationVoice!AB:AB,XLOOKUP($D2533,OperationTickets!$A:$A,OperationTickets!AB:AB,"",0)),"hh:mm"))</f>
        <v>07:00</v>
      </c>
      <c r="G2533" s="309">
        <f t="shared" si="3"/>
        <v>0.6666666667</v>
      </c>
      <c r="H2533" s="316" t="str">
        <f t="array" ref="H2533">XLOOKUP(B2533,Roster!L:L,Roster!N:N,XLOOKUP(D2533,TicketsBreak!A:A,TicketsBreak!E:E,"",0),0)</f>
        <v/>
      </c>
      <c r="I2533" s="316" t="str">
        <f t="array" ref="I2533">XLOOKUP(B2533,Roster!L:L,Roster!O:O,XLOOKUP(D2533,TicketsBreak!A:A,TicketsBreak!F:F,"",0),0)</f>
        <v/>
      </c>
      <c r="J2533" s="316" t="str">
        <f t="array" ref="J2533">XLOOKUP(B2533,Roster!L:L,Roster!P:P,XLOOKUP(D2533,TicketsBreak!A:A,TicketsBreak!G:G,"",0),0)</f>
        <v/>
      </c>
      <c r="K2533" s="310">
        <f t="shared" si="4"/>
        <v>46134</v>
      </c>
      <c r="L2533" s="317">
        <f t="array" ref="L2533">(XLOOKUP(D2533,Roster!F:F,Roster!D:D,"",0))</f>
        <v>24</v>
      </c>
      <c r="M2533" s="317" t="str">
        <f t="array" ref="M2533">XLOOKUP(D2533,Roster!F:F,Roster!E:E)</f>
        <v>Tickets</v>
      </c>
      <c r="N2533" s="317" t="str">
        <f t="shared" ref="N2533:P2533" si="2569">LEFT(H2533,5)</f>
        <v/>
      </c>
      <c r="O2533" s="317" t="str">
        <f t="shared" si="2569"/>
        <v/>
      </c>
      <c r="P2533" s="317" t="str">
        <f t="shared" si="2569"/>
        <v/>
      </c>
      <c r="Q2533" s="318" t="str">
        <f t="shared" si="2507"/>
        <v/>
      </c>
      <c r="R2533" s="318" t="str">
        <f t="shared" si="2508"/>
        <v/>
      </c>
      <c r="S2533" s="318" t="str">
        <f t="shared" si="8"/>
        <v/>
      </c>
    </row>
    <row r="2534">
      <c r="A2534" s="14" t="str">
        <f t="shared" si="1"/>
        <v>C157946134</v>
      </c>
      <c r="B2534" s="185">
        <f t="array" ref="B2534">IF(F2534="VL","",IF(F2534="Free","Free",XLOOKUP(D2534,Roster!T:T,Roster!S:S,"",0)))</f>
        <v>126</v>
      </c>
      <c r="C2534" s="313">
        <v>46134.0</v>
      </c>
      <c r="D2534" s="314" t="s">
        <v>16</v>
      </c>
      <c r="E2534" s="307" t="str">
        <f t="array" ref="E2534">(XLOOKUP(D2534,Roster!F:F,Roster!B:B,"",0))</f>
        <v>Anibal Munoz</v>
      </c>
      <c r="F2534" s="315" t="str">
        <f t="array" ref="F2534">IF(B2534=100,"Free",TEXT(XLOOKUP($D2534,OperationVoice!$A:$A,OperationVoice!AB:AB,XLOOKUP($D2534,OperationTickets!$A:$A,OperationTickets!AB:AB,"",0)),"hh:mm"))</f>
        <v>08:00</v>
      </c>
      <c r="G2534" s="309">
        <f t="shared" si="3"/>
        <v>0.7083333333</v>
      </c>
      <c r="H2534" s="316" t="str">
        <f t="array" ref="H2534">XLOOKUP(B2534,Roster!L:L,Roster!N:N,XLOOKUP(D2534,TicketsBreak!A:A,TicketsBreak!E:E,"",0),0)</f>
        <v>10:45 - 11:00</v>
      </c>
      <c r="I2534" s="316" t="str">
        <f t="array" ref="I2534">XLOOKUP(B2534,Roster!L:L,Roster!O:O,XLOOKUP(D2534,TicketsBreak!A:A,TicketsBreak!F:F,"",0),0)</f>
        <v>14:00 - 14:30</v>
      </c>
      <c r="J2534" s="316" t="str">
        <f t="array" ref="J2534">XLOOKUP(B2534,Roster!L:L,Roster!P:P,XLOOKUP(D2534,TicketsBreak!A:A,TicketsBreak!G:G,"",0),0)</f>
        <v>15:45 - 16:00</v>
      </c>
      <c r="K2534" s="310">
        <f t="shared" si="4"/>
        <v>46134</v>
      </c>
      <c r="L2534" s="317">
        <f t="array" ref="L2534">(XLOOKUP(D2534,Roster!F:F,Roster!D:D,"",0))</f>
        <v>38</v>
      </c>
      <c r="M2534" s="317" t="str">
        <f t="array" ref="M2534">XLOOKUP(D2534,Roster!F:F,Roster!E:E)</f>
        <v>Voice</v>
      </c>
      <c r="N2534" s="317" t="str">
        <f t="shared" ref="N2534:P2534" si="2570">LEFT(H2534,5)</f>
        <v>10:45</v>
      </c>
      <c r="O2534" s="317" t="str">
        <f t="shared" si="2570"/>
        <v>14:00</v>
      </c>
      <c r="P2534" s="317" t="str">
        <f t="shared" si="2570"/>
        <v>15:45</v>
      </c>
      <c r="Q2534" s="318">
        <f t="shared" si="2507"/>
        <v>46134.44792</v>
      </c>
      <c r="R2534" s="318">
        <f t="shared" si="2508"/>
        <v>46134.58333</v>
      </c>
      <c r="S2534" s="318">
        <f t="shared" si="8"/>
        <v>46134.65625</v>
      </c>
    </row>
    <row r="2535">
      <c r="A2535" s="14" t="str">
        <f t="shared" si="1"/>
        <v>C08046134</v>
      </c>
      <c r="B2535" s="185" t="str">
        <f t="array" ref="B2535">IF(F2535="VL","",IF(F2535="Free","Free",XLOOKUP(D2535,Roster!T:T,Roster!S:S,"",0)))</f>
        <v/>
      </c>
      <c r="C2535" s="313">
        <v>46134.0</v>
      </c>
      <c r="D2535" s="314" t="s">
        <v>138</v>
      </c>
      <c r="E2535" s="307" t="str">
        <f t="array" ref="E2535">(XLOOKUP(D2535,Roster!F:F,Roster!B:B,"",0))</f>
        <v>Arturo Padilla</v>
      </c>
      <c r="F2535" s="315" t="str">
        <f t="array" ref="F2535">IF(B2535=100,"Free",TEXT(XLOOKUP($D2535,OperationVoice!$A:$A,OperationVoice!AB:AB,XLOOKUP($D2535,OperationTickets!$A:$A,OperationTickets!AB:AB,"",0)),"hh:mm"))</f>
        <v>08:00</v>
      </c>
      <c r="G2535" s="309">
        <f t="shared" si="3"/>
        <v>0.7083333333</v>
      </c>
      <c r="H2535" s="316">
        <f t="array" ref="H2535">XLOOKUP(B2535,Roster!L:L,Roster!N:N,XLOOKUP(D2535,TicketsBreak!A:A,TicketsBreak!E:E,"",0),0)</f>
        <v>0.375</v>
      </c>
      <c r="I2535" s="316">
        <f t="array" ref="I2535">XLOOKUP(B2535,Roster!L:L,Roster!O:O,XLOOKUP(D2535,TicketsBreak!A:A,TicketsBreak!F:F,"",0),0)</f>
        <v>0.5</v>
      </c>
      <c r="J2535" s="316">
        <f t="array" ref="J2535">XLOOKUP(B2535,Roster!L:L,Roster!P:P,XLOOKUP(D2535,TicketsBreak!A:A,TicketsBreak!G:G,"",0),0)</f>
        <v>0.6458333333</v>
      </c>
      <c r="K2535" s="310">
        <f t="shared" si="4"/>
        <v>46134</v>
      </c>
      <c r="L2535" s="317">
        <f t="array" ref="L2535">(XLOOKUP(D2535,Roster!F:F,Roster!D:D,"",0))</f>
        <v>1</v>
      </c>
      <c r="M2535" s="317" t="str">
        <f t="array" ref="M2535">XLOOKUP(D2535,Roster!F:F,Roster!E:E)</f>
        <v>Tickets</v>
      </c>
      <c r="N2535" s="317" t="str">
        <f t="shared" ref="N2535:P2535" si="2571">LEFT(H2535,5)</f>
        <v>09:00</v>
      </c>
      <c r="O2535" s="317" t="str">
        <f t="shared" si="2571"/>
        <v>12:00</v>
      </c>
      <c r="P2535" s="317" t="str">
        <f t="shared" si="2571"/>
        <v>15:30</v>
      </c>
      <c r="Q2535" s="318">
        <f t="shared" si="2507"/>
        <v>46134.375</v>
      </c>
      <c r="R2535" s="318">
        <f t="shared" si="2508"/>
        <v>46134.5</v>
      </c>
      <c r="S2535" s="318">
        <f t="shared" si="8"/>
        <v>46134.64583</v>
      </c>
    </row>
    <row r="2536">
      <c r="A2536" s="14" t="str">
        <f t="shared" si="1"/>
        <v>C150446134</v>
      </c>
      <c r="B2536" s="185">
        <f t="array" ref="B2536">IF(F2536="VL","",IF(F2536="Free","Free",XLOOKUP(D2536,Roster!T:T,Roster!S:S,"",0)))</f>
        <v>123</v>
      </c>
      <c r="C2536" s="313">
        <v>46134.0</v>
      </c>
      <c r="D2536" s="314" t="s">
        <v>155</v>
      </c>
      <c r="E2536" s="307" t="str">
        <f t="array" ref="E2536">(XLOOKUP(D2536,Roster!F:F,Roster!B:B,"",0))</f>
        <v>Beatriz Montanez</v>
      </c>
      <c r="F2536" s="315" t="str">
        <f t="array" ref="F2536">IF(B2536=100,"Free",TEXT(XLOOKUP($D2536,OperationVoice!$A:$A,OperationVoice!AB:AB,XLOOKUP($D2536,OperationTickets!$A:$A,OperationTickets!AB:AB,"",0)),"hh:mm"))</f>
        <v>08:00</v>
      </c>
      <c r="G2536" s="309">
        <f t="shared" si="3"/>
        <v>0.7083333333</v>
      </c>
      <c r="H2536" s="316" t="str">
        <f t="array" ref="H2536">XLOOKUP(B2536,Roster!L:L,Roster!N:N,XLOOKUP(D2536,TicketsBreak!A:A,TicketsBreak!E:E,"",0),0)</f>
        <v>09:45 - 10:00 </v>
      </c>
      <c r="I2536" s="316" t="str">
        <f t="array" ref="I2536">XLOOKUP(B2536,Roster!L:L,Roster!O:O,XLOOKUP(D2536,TicketsBreak!A:A,TicketsBreak!F:F,"",0),0)</f>
        <v>12:30 - 13:00</v>
      </c>
      <c r="J2536" s="316" t="str">
        <f t="array" ref="J2536">XLOOKUP(B2536,Roster!L:L,Roster!P:P,XLOOKUP(D2536,TicketsBreak!A:A,TicketsBreak!G:G,"",0),0)</f>
        <v>15:00 - 15:15</v>
      </c>
      <c r="K2536" s="310">
        <f t="shared" si="4"/>
        <v>46134</v>
      </c>
      <c r="L2536" s="317">
        <f t="array" ref="L2536">(XLOOKUP(D2536,Roster!F:F,Roster!D:D,"",0))</f>
        <v>35</v>
      </c>
      <c r="M2536" s="317" t="str">
        <f t="array" ref="M2536">XLOOKUP(D2536,Roster!F:F,Roster!E:E)</f>
        <v>Tickets</v>
      </c>
      <c r="N2536" s="317" t="str">
        <f t="shared" ref="N2536:P2536" si="2572">LEFT(H2536,5)</f>
        <v>09:45</v>
      </c>
      <c r="O2536" s="317" t="str">
        <f t="shared" si="2572"/>
        <v>12:30</v>
      </c>
      <c r="P2536" s="317" t="str">
        <f t="shared" si="2572"/>
        <v>15:00</v>
      </c>
      <c r="Q2536" s="318">
        <f t="shared" si="2507"/>
        <v>46134.40625</v>
      </c>
      <c r="R2536" s="318">
        <f t="shared" si="2508"/>
        <v>46134.52083</v>
      </c>
      <c r="S2536" s="318">
        <f t="shared" si="8"/>
        <v>46134.625</v>
      </c>
    </row>
    <row r="2537">
      <c r="A2537" s="14" t="str">
        <f t="shared" si="1"/>
        <v>C107746134</v>
      </c>
      <c r="B2537" s="185">
        <f t="array" ref="B2537">IF(F2537="VL","",IF(F2537="Free","Free",XLOOKUP(D2537,Roster!T:T,Roster!S:S,"",0)))</f>
        <v>125</v>
      </c>
      <c r="C2537" s="313">
        <v>46134.0</v>
      </c>
      <c r="D2537" s="314" t="s">
        <v>17</v>
      </c>
      <c r="E2537" s="307" t="str">
        <f t="array" ref="E2537">(XLOOKUP(D2537,Roster!F:F,Roster!B:B,"",0))</f>
        <v>Brahian Prado</v>
      </c>
      <c r="F2537" s="315" t="str">
        <f t="array" ref="F2537">IF(B2537=100,"Free",TEXT(XLOOKUP($D2537,OperationVoice!$A:$A,OperationVoice!AB:AB,XLOOKUP($D2537,OperationTickets!$A:$A,OperationTickets!AB:AB,"",0)),"hh:mm"))</f>
        <v>08:00</v>
      </c>
      <c r="G2537" s="309">
        <f t="shared" si="3"/>
        <v>0.7083333333</v>
      </c>
      <c r="H2537" s="316" t="str">
        <f t="array" ref="H2537">XLOOKUP(B2537,Roster!L:L,Roster!N:N,XLOOKUP(D2537,TicketsBreak!A:A,TicketsBreak!E:E,"",0),0)</f>
        <v>10:30 - 10:45</v>
      </c>
      <c r="I2537" s="316" t="str">
        <f t="array" ref="I2537">XLOOKUP(B2537,Roster!L:L,Roster!O:O,XLOOKUP(D2537,TicketsBreak!A:A,TicketsBreak!F:F,"",0),0)</f>
        <v>13:30 - 14:00</v>
      </c>
      <c r="J2537" s="316" t="str">
        <f t="array" ref="J2537">XLOOKUP(B2537,Roster!L:L,Roster!P:P,XLOOKUP(D2537,TicketsBreak!A:A,TicketsBreak!G:G,"",0),0)</f>
        <v>15:45 - 16:00</v>
      </c>
      <c r="K2537" s="310">
        <f t="shared" si="4"/>
        <v>46134</v>
      </c>
      <c r="L2537" s="317">
        <f t="array" ref="L2537">(XLOOKUP(D2537,Roster!F:F,Roster!D:D,"",0))</f>
        <v>18</v>
      </c>
      <c r="M2537" s="317" t="str">
        <f t="array" ref="M2537">XLOOKUP(D2537,Roster!F:F,Roster!E:E)</f>
        <v>Voice</v>
      </c>
      <c r="N2537" s="317" t="str">
        <f t="shared" ref="N2537:P2537" si="2573">LEFT(H2537,5)</f>
        <v>10:30</v>
      </c>
      <c r="O2537" s="317" t="str">
        <f t="shared" si="2573"/>
        <v>13:30</v>
      </c>
      <c r="P2537" s="317" t="str">
        <f t="shared" si="2573"/>
        <v>15:45</v>
      </c>
      <c r="Q2537" s="318">
        <f t="shared" si="2507"/>
        <v>46134.4375</v>
      </c>
      <c r="R2537" s="318">
        <f t="shared" si="2508"/>
        <v>46134.5625</v>
      </c>
      <c r="S2537" s="318">
        <f t="shared" si="8"/>
        <v>46134.65625</v>
      </c>
    </row>
    <row r="2538">
      <c r="A2538" s="14" t="str">
        <f t="shared" si="1"/>
        <v>C116546134</v>
      </c>
      <c r="B2538" s="185" t="str">
        <f t="array" ref="B2538">IF(F2538="VL","",IF(F2538="Free","Free",XLOOKUP(D2538,Roster!T:T,Roster!S:S,"",0)))</f>
        <v/>
      </c>
      <c r="C2538" s="313">
        <v>46134.0</v>
      </c>
      <c r="D2538" s="314" t="s">
        <v>139</v>
      </c>
      <c r="E2538" s="307" t="str">
        <f t="array" ref="E2538">(XLOOKUP(D2538,Roster!F:F,Roster!B:B,"",0))</f>
        <v>Braian Restrepo</v>
      </c>
      <c r="F2538" s="315" t="str">
        <f t="array" ref="F2538">IF(B2538=100,"Free",TEXT(XLOOKUP($D2538,OperationVoice!$A:$A,OperationVoice!AB:AB,XLOOKUP($D2538,OperationTickets!$A:$A,OperationTickets!AB:AB,"",0)),"hh:mm"))</f>
        <v>08:00</v>
      </c>
      <c r="G2538" s="309">
        <f t="shared" si="3"/>
        <v>0.7083333333</v>
      </c>
      <c r="H2538" s="316" t="str">
        <f t="array" ref="H2538">XLOOKUP(B2538,Roster!L:L,Roster!N:N,XLOOKUP(D2538,TicketsBreak!A:A,TicketsBreak!E:E,"",0),0)</f>
        <v/>
      </c>
      <c r="I2538" s="316" t="str">
        <f t="array" ref="I2538">XLOOKUP(B2538,Roster!L:L,Roster!O:O,XLOOKUP(D2538,TicketsBreak!A:A,TicketsBreak!F:F,"",0),0)</f>
        <v/>
      </c>
      <c r="J2538" s="316" t="str">
        <f t="array" ref="J2538">XLOOKUP(B2538,Roster!L:L,Roster!P:P,XLOOKUP(D2538,TicketsBreak!A:A,TicketsBreak!G:G,"",0),0)</f>
        <v/>
      </c>
      <c r="K2538" s="310">
        <f t="shared" si="4"/>
        <v>46134</v>
      </c>
      <c r="L2538" s="317">
        <f t="array" ref="L2538">(XLOOKUP(D2538,Roster!F:F,Roster!D:D,"",0))</f>
        <v>24</v>
      </c>
      <c r="M2538" s="317" t="str">
        <f t="array" ref="M2538">XLOOKUP(D2538,Roster!F:F,Roster!E:E)</f>
        <v>Tickets</v>
      </c>
      <c r="N2538" s="317" t="str">
        <f t="shared" ref="N2538:P2538" si="2574">LEFT(H2538,5)</f>
        <v/>
      </c>
      <c r="O2538" s="317" t="str">
        <f t="shared" si="2574"/>
        <v/>
      </c>
      <c r="P2538" s="317" t="str">
        <f t="shared" si="2574"/>
        <v/>
      </c>
      <c r="Q2538" s="318" t="str">
        <f t="shared" si="2507"/>
        <v/>
      </c>
      <c r="R2538" s="318" t="str">
        <f t="shared" si="2508"/>
        <v/>
      </c>
      <c r="S2538" s="318" t="str">
        <f t="shared" si="8"/>
        <v/>
      </c>
    </row>
    <row r="2539">
      <c r="A2539" s="14" t="str">
        <f t="shared" si="1"/>
        <v>C127446134</v>
      </c>
      <c r="B2539" s="185">
        <f t="array" ref="B2539">IF(F2539="VL","",IF(F2539="Free","Free",XLOOKUP(D2539,Roster!T:T,Roster!S:S,"",0)))</f>
        <v>126</v>
      </c>
      <c r="C2539" s="313">
        <v>46134.0</v>
      </c>
      <c r="D2539" s="314" t="s">
        <v>250</v>
      </c>
      <c r="E2539" s="307" t="str">
        <f t="array" ref="E2539">(XLOOKUP(D2539,Roster!F:F,Roster!B:B,"",0))</f>
        <v>Brayan Franco</v>
      </c>
      <c r="F2539" s="315" t="str">
        <f t="array" ref="F2539">IF(B2539=100,"Free",TEXT(XLOOKUP($D2539,OperationVoice!$A:$A,OperationVoice!AB:AB,XLOOKUP($D2539,OperationTickets!$A:$A,OperationTickets!AB:AB,"",0)),"hh:mm"))</f>
        <v/>
      </c>
      <c r="G2539" s="309" t="str">
        <f t="shared" si="3"/>
        <v/>
      </c>
      <c r="H2539" s="316" t="str">
        <f t="array" ref="H2539">XLOOKUP(B2539,Roster!L:L,Roster!N:N,XLOOKUP(D2539,TicketsBreak!A:A,TicketsBreak!E:E,"",0),0)</f>
        <v>10:45 - 11:00</v>
      </c>
      <c r="I2539" s="316" t="str">
        <f t="array" ref="I2539">XLOOKUP(B2539,Roster!L:L,Roster!O:O,XLOOKUP(D2539,TicketsBreak!A:A,TicketsBreak!F:F,"",0),0)</f>
        <v>14:00 - 14:30</v>
      </c>
      <c r="J2539" s="316" t="str">
        <f t="array" ref="J2539">XLOOKUP(B2539,Roster!L:L,Roster!P:P,XLOOKUP(D2539,TicketsBreak!A:A,TicketsBreak!G:G,"",0),0)</f>
        <v>15:45 - 16:00</v>
      </c>
      <c r="K2539" s="310">
        <f t="shared" si="4"/>
        <v>46134</v>
      </c>
      <c r="L2539" s="317">
        <f t="array" ref="L2539">(XLOOKUP(D2539,Roster!F:F,Roster!D:D,"",0))</f>
        <v>27</v>
      </c>
      <c r="M2539" s="317" t="str">
        <f t="array" ref="M2539">XLOOKUP(D2539,Roster!F:F,Roster!E:E)</f>
        <v>Voice</v>
      </c>
      <c r="N2539" s="317" t="str">
        <f t="shared" ref="N2539:P2539" si="2575">LEFT(H2539,5)</f>
        <v>10:45</v>
      </c>
      <c r="O2539" s="317" t="str">
        <f t="shared" si="2575"/>
        <v>14:00</v>
      </c>
      <c r="P2539" s="317" t="str">
        <f t="shared" si="2575"/>
        <v>15:45</v>
      </c>
      <c r="Q2539" s="318">
        <f t="shared" si="2507"/>
        <v>46134.44792</v>
      </c>
      <c r="R2539" s="318">
        <f t="shared" si="2508"/>
        <v>46134.58333</v>
      </c>
      <c r="S2539" s="318">
        <f t="shared" si="8"/>
        <v>46134.65625</v>
      </c>
    </row>
    <row r="2540">
      <c r="A2540" s="14" t="str">
        <f t="shared" si="1"/>
        <v>C119146134</v>
      </c>
      <c r="B2540" s="185">
        <f t="array" ref="B2540">IF(F2540="VL","",IF(F2540="Free","Free",XLOOKUP(D2540,Roster!T:T,Roster!S:S,"",0)))</f>
        <v>111</v>
      </c>
      <c r="C2540" s="313">
        <v>46134.0</v>
      </c>
      <c r="D2540" s="314" t="s">
        <v>18</v>
      </c>
      <c r="E2540" s="307" t="str">
        <f t="array" ref="E2540">(XLOOKUP(D2540,Roster!F:F,Roster!B:B,"",0))</f>
        <v>Brayan Montoya</v>
      </c>
      <c r="F2540" s="315" t="str">
        <f t="array" ref="F2540">IF(B2540=100,"Free",TEXT(XLOOKUP($D2540,OperationVoice!$A:$A,OperationVoice!AB:AB,XLOOKUP($D2540,OperationTickets!$A:$A,OperationTickets!AB:AB,"",0)),"hh:mm"))</f>
        <v>07:00</v>
      </c>
      <c r="G2540" s="309">
        <f t="shared" si="3"/>
        <v>0.6666666667</v>
      </c>
      <c r="H2540" s="316" t="str">
        <f t="array" ref="H2540">XLOOKUP(B2540,Roster!L:L,Roster!N:N,XLOOKUP(D2540,TicketsBreak!A:A,TicketsBreak!E:E,"",0),0)</f>
        <v>09:00 - 09:15</v>
      </c>
      <c r="I2540" s="316" t="str">
        <f t="array" ref="I2540">XLOOKUP(B2540,Roster!L:L,Roster!O:O,XLOOKUP(D2540,TicketsBreak!A:A,TicketsBreak!F:F,"",0),0)</f>
        <v>11:45 - 12:15</v>
      </c>
      <c r="J2540" s="316" t="str">
        <f t="array" ref="J2540">XLOOKUP(B2540,Roster!L:L,Roster!P:P,XLOOKUP(D2540,TicketsBreak!A:A,TicketsBreak!G:G,"",0),0)</f>
        <v>14:30 - 14:45</v>
      </c>
      <c r="K2540" s="310">
        <f t="shared" si="4"/>
        <v>46134</v>
      </c>
      <c r="L2540" s="317">
        <f t="array" ref="L2540">(XLOOKUP(D2540,Roster!F:F,Roster!D:D,"",0))</f>
        <v>25</v>
      </c>
      <c r="M2540" s="317" t="str">
        <f t="array" ref="M2540">XLOOKUP(D2540,Roster!F:F,Roster!E:E)</f>
        <v>Voice</v>
      </c>
      <c r="N2540" s="317" t="str">
        <f t="shared" ref="N2540:P2540" si="2576">LEFT(H2540,5)</f>
        <v>09:00</v>
      </c>
      <c r="O2540" s="317" t="str">
        <f t="shared" si="2576"/>
        <v>11:45</v>
      </c>
      <c r="P2540" s="317" t="str">
        <f t="shared" si="2576"/>
        <v>14:30</v>
      </c>
      <c r="Q2540" s="318">
        <f t="shared" si="2507"/>
        <v>46134.375</v>
      </c>
      <c r="R2540" s="318">
        <f t="shared" si="2508"/>
        <v>46134.48958</v>
      </c>
      <c r="S2540" s="318">
        <f t="shared" si="8"/>
        <v>46134.60417</v>
      </c>
    </row>
    <row r="2541">
      <c r="A2541" s="14" t="str">
        <f t="shared" si="1"/>
        <v>C152646134</v>
      </c>
      <c r="B2541" s="185" t="str">
        <f t="array" ref="B2541">IF(F2541="VL","",IF(F2541="Free","Free",XLOOKUP(D2541,Roster!T:T,Roster!S:S,"",0)))</f>
        <v>Free</v>
      </c>
      <c r="C2541" s="313">
        <v>46134.0</v>
      </c>
      <c r="D2541" s="314" t="s">
        <v>19</v>
      </c>
      <c r="E2541" s="307" t="str">
        <f t="array" ref="E2541">(XLOOKUP(D2541,Roster!F:F,Roster!B:B,"",0))</f>
        <v>Breitner Benitez</v>
      </c>
      <c r="F2541" s="315" t="str">
        <f t="array" ref="F2541">IF(B2541=100,"Free",TEXT(XLOOKUP($D2541,OperationVoice!$A:$A,OperationVoice!AB:AB,XLOOKUP($D2541,OperationTickets!$A:$A,OperationTickets!AB:AB,"",0)),"hh:mm"))</f>
        <v>Free</v>
      </c>
      <c r="G2541" s="309" t="str">
        <f t="shared" si="3"/>
        <v>Free</v>
      </c>
      <c r="H2541" s="316" t="str">
        <f t="array" ref="H2541">XLOOKUP(B2541,Roster!L:L,Roster!N:N,XLOOKUP(D2541,TicketsBreak!A:A,TicketsBreak!E:E,"",0),0)</f>
        <v/>
      </c>
      <c r="I2541" s="316" t="str">
        <f t="array" ref="I2541">XLOOKUP(B2541,Roster!L:L,Roster!O:O,XLOOKUP(D2541,TicketsBreak!A:A,TicketsBreak!F:F,"",0),0)</f>
        <v/>
      </c>
      <c r="J2541" s="316" t="str">
        <f t="array" ref="J2541">XLOOKUP(B2541,Roster!L:L,Roster!P:P,XLOOKUP(D2541,TicketsBreak!A:A,TicketsBreak!G:G,"",0),0)</f>
        <v/>
      </c>
      <c r="K2541" s="310">
        <f t="shared" si="4"/>
        <v>46134</v>
      </c>
      <c r="L2541" s="317">
        <f t="array" ref="L2541">(XLOOKUP(D2541,Roster!F:F,Roster!D:D,"",0))</f>
        <v>13</v>
      </c>
      <c r="M2541" s="317" t="str">
        <f t="array" ref="M2541">XLOOKUP(D2541,Roster!F:F,Roster!E:E)</f>
        <v>Voice</v>
      </c>
      <c r="N2541" s="317" t="str">
        <f t="shared" ref="N2541:P2541" si="2577">LEFT(H2541,5)</f>
        <v/>
      </c>
      <c r="O2541" s="317" t="str">
        <f t="shared" si="2577"/>
        <v/>
      </c>
      <c r="P2541" s="317" t="str">
        <f t="shared" si="2577"/>
        <v/>
      </c>
      <c r="Q2541" s="318" t="str">
        <f t="shared" si="2507"/>
        <v/>
      </c>
      <c r="R2541" s="318" t="str">
        <f t="shared" si="2508"/>
        <v/>
      </c>
      <c r="S2541" s="318" t="str">
        <f t="shared" si="8"/>
        <v/>
      </c>
    </row>
    <row r="2542">
      <c r="A2542" s="14" t="str">
        <f t="shared" si="1"/>
        <v>C153546134</v>
      </c>
      <c r="B2542" s="185">
        <f t="array" ref="B2542">IF(F2542="VL","",IF(F2542="Free","Free",XLOOKUP(D2542,Roster!T:T,Roster!S:S,"",0)))</f>
        <v>154</v>
      </c>
      <c r="C2542" s="313">
        <v>46134.0</v>
      </c>
      <c r="D2542" s="314" t="s">
        <v>20</v>
      </c>
      <c r="E2542" s="307" t="str">
        <f t="array" ref="E2542">(XLOOKUP(D2542,Roster!F:F,Roster!B:B,"",0))</f>
        <v>Carlos Alzate</v>
      </c>
      <c r="F2542" s="315" t="str">
        <f t="array" ref="F2542">IF(B2542=100,"Free",TEXT(XLOOKUP($D2542,OperationVoice!$A:$A,OperationVoice!AB:AB,XLOOKUP($D2542,OperationTickets!$A:$A,OperationTickets!AB:AB,"",0)),"hh:mm"))</f>
        <v>11:00</v>
      </c>
      <c r="G2542" s="309">
        <f t="shared" si="3"/>
        <v>0.8333333333</v>
      </c>
      <c r="H2542" s="316" t="str">
        <f t="array" ref="H2542">XLOOKUP(B2542,Roster!L:L,Roster!N:N,XLOOKUP(D2542,TicketsBreak!A:A,TicketsBreak!E:E,"",0),0)</f>
        <v>13:00 - 13:15</v>
      </c>
      <c r="I2542" s="316" t="str">
        <f t="array" ref="I2542">XLOOKUP(B2542,Roster!L:L,Roster!O:O,XLOOKUP(D2542,TicketsBreak!A:A,TicketsBreak!F:F,"",0),0)</f>
        <v>15:15 - 15:45</v>
      </c>
      <c r="J2542" s="316" t="str">
        <f t="array" ref="J2542">XLOOKUP(B2542,Roster!L:L,Roster!P:P,XLOOKUP(D2542,TicketsBreak!A:A,TicketsBreak!G:G,"",0),0)</f>
        <v>18:00 - 18:15</v>
      </c>
      <c r="K2542" s="310">
        <f t="shared" si="4"/>
        <v>46134</v>
      </c>
      <c r="L2542" s="317">
        <f t="array" ref="L2542">(XLOOKUP(D2542,Roster!F:F,Roster!D:D,"",0))</f>
        <v>36</v>
      </c>
      <c r="M2542" s="317" t="str">
        <f t="array" ref="M2542">XLOOKUP(D2542,Roster!F:F,Roster!E:E)</f>
        <v>Voice</v>
      </c>
      <c r="N2542" s="317" t="str">
        <f t="shared" ref="N2542:P2542" si="2578">LEFT(H2542,5)</f>
        <v>13:00</v>
      </c>
      <c r="O2542" s="317" t="str">
        <f t="shared" si="2578"/>
        <v>15:15</v>
      </c>
      <c r="P2542" s="317" t="str">
        <f t="shared" si="2578"/>
        <v>18:00</v>
      </c>
      <c r="Q2542" s="318">
        <f t="shared" si="2507"/>
        <v>46134.54167</v>
      </c>
      <c r="R2542" s="318">
        <f t="shared" si="2508"/>
        <v>46134.63542</v>
      </c>
      <c r="S2542" s="318">
        <f t="shared" si="8"/>
        <v>46134.75</v>
      </c>
    </row>
    <row r="2543">
      <c r="A2543" s="14" t="str">
        <f t="shared" si="1"/>
        <v>C153146134</v>
      </c>
      <c r="B2543" s="185" t="str">
        <f t="array" ref="B2543">IF(F2543="VL","",IF(F2543="Free","Free",XLOOKUP(D2543,Roster!T:T,Roster!S:S,"",0)))</f>
        <v>Free</v>
      </c>
      <c r="C2543" s="313">
        <v>46134.0</v>
      </c>
      <c r="D2543" s="314" t="s">
        <v>21</v>
      </c>
      <c r="E2543" s="307" t="str">
        <f t="array" ref="E2543">(XLOOKUP(D2543,Roster!F:F,Roster!B:B,"",0))</f>
        <v>Carlos Palma</v>
      </c>
      <c r="F2543" s="315" t="str">
        <f t="array" ref="F2543">IF(B2543=100,"Free",TEXT(XLOOKUP($D2543,OperationVoice!$A:$A,OperationVoice!AB:AB,XLOOKUP($D2543,OperationTickets!$A:$A,OperationTickets!AB:AB,"",0)),"hh:mm"))</f>
        <v>Free</v>
      </c>
      <c r="G2543" s="309" t="str">
        <f t="shared" si="3"/>
        <v>Free</v>
      </c>
      <c r="H2543" s="316" t="str">
        <f t="array" ref="H2543">XLOOKUP(B2543,Roster!L:L,Roster!N:N,XLOOKUP(D2543,TicketsBreak!A:A,TicketsBreak!E:E,"",0),0)</f>
        <v/>
      </c>
      <c r="I2543" s="316" t="str">
        <f t="array" ref="I2543">XLOOKUP(B2543,Roster!L:L,Roster!O:O,XLOOKUP(D2543,TicketsBreak!A:A,TicketsBreak!F:F,"",0),0)</f>
        <v/>
      </c>
      <c r="J2543" s="316" t="str">
        <f t="array" ref="J2543">XLOOKUP(B2543,Roster!L:L,Roster!P:P,XLOOKUP(D2543,TicketsBreak!A:A,TicketsBreak!G:G,"",0),0)</f>
        <v/>
      </c>
      <c r="K2543" s="310">
        <f t="shared" si="4"/>
        <v>46134</v>
      </c>
      <c r="L2543" s="317">
        <f t="array" ref="L2543">(XLOOKUP(D2543,Roster!F:F,Roster!D:D,"",0))</f>
        <v>36</v>
      </c>
      <c r="M2543" s="317" t="str">
        <f t="array" ref="M2543">XLOOKUP(D2543,Roster!F:F,Roster!E:E)</f>
        <v>Voice</v>
      </c>
      <c r="N2543" s="317" t="str">
        <f t="shared" ref="N2543:P2543" si="2579">LEFT(H2543,5)</f>
        <v/>
      </c>
      <c r="O2543" s="317" t="str">
        <f t="shared" si="2579"/>
        <v/>
      </c>
      <c r="P2543" s="317" t="str">
        <f t="shared" si="2579"/>
        <v/>
      </c>
      <c r="Q2543" s="318" t="str">
        <f t="shared" si="2507"/>
        <v/>
      </c>
      <c r="R2543" s="318" t="str">
        <f t="shared" si="2508"/>
        <v/>
      </c>
      <c r="S2543" s="318" t="str">
        <f t="shared" si="8"/>
        <v/>
      </c>
    </row>
    <row r="2544">
      <c r="A2544" s="14" t="str">
        <f t="shared" si="1"/>
        <v>C157646134</v>
      </c>
      <c r="B2544" s="185" t="str">
        <f t="array" ref="B2544">IF(F2544="VL","",IF(F2544="Free","Free",XLOOKUP(D2544,Roster!T:T,Roster!S:S,"",0)))</f>
        <v/>
      </c>
      <c r="C2544" s="313">
        <v>46134.0</v>
      </c>
      <c r="D2544" s="314" t="s">
        <v>313</v>
      </c>
      <c r="E2544" s="307" t="str">
        <f t="array" ref="E2544">(XLOOKUP(D2544,Roster!F:F,Roster!B:B,"",0))</f>
        <v>Carlos Ruiz</v>
      </c>
      <c r="F2544" s="315" t="str">
        <f t="array" ref="F2544">IF(B2544=100,"Free",TEXT(XLOOKUP($D2544,OperationVoice!$A:$A,OperationVoice!AB:AB,XLOOKUP($D2544,OperationTickets!$A:$A,OperationTickets!AB:AB,"",0)),"hh:mm"))</f>
        <v/>
      </c>
      <c r="G2544" s="309" t="str">
        <f t="shared" si="3"/>
        <v/>
      </c>
      <c r="H2544" s="316" t="str">
        <f t="array" ref="H2544">XLOOKUP(B2544,Roster!L:L,Roster!N:N,XLOOKUP(D2544,TicketsBreak!A:A,TicketsBreak!E:E,"",0),0)</f>
        <v/>
      </c>
      <c r="I2544" s="316" t="str">
        <f t="array" ref="I2544">XLOOKUP(B2544,Roster!L:L,Roster!O:O,XLOOKUP(D2544,TicketsBreak!A:A,TicketsBreak!F:F,"",0),0)</f>
        <v/>
      </c>
      <c r="J2544" s="316" t="str">
        <f t="array" ref="J2544">XLOOKUP(B2544,Roster!L:L,Roster!P:P,XLOOKUP(D2544,TicketsBreak!A:A,TicketsBreak!G:G,"",0),0)</f>
        <v/>
      </c>
      <c r="K2544" s="310">
        <f t="shared" si="4"/>
        <v>46134</v>
      </c>
      <c r="L2544" s="317">
        <f t="array" ref="L2544">(XLOOKUP(D2544,Roster!F:F,Roster!D:D,"",0))</f>
        <v>38</v>
      </c>
      <c r="M2544" s="317" t="str">
        <f t="array" ref="M2544">XLOOKUP(D2544,Roster!F:F,Roster!E:E)</f>
        <v>Nesting</v>
      </c>
      <c r="N2544" s="317" t="str">
        <f t="shared" ref="N2544:P2544" si="2580">LEFT(H2544,5)</f>
        <v/>
      </c>
      <c r="O2544" s="317" t="str">
        <f t="shared" si="2580"/>
        <v/>
      </c>
      <c r="P2544" s="317" t="str">
        <f t="shared" si="2580"/>
        <v/>
      </c>
      <c r="Q2544" s="318" t="str">
        <f t="shared" si="2507"/>
        <v/>
      </c>
      <c r="R2544" s="318" t="str">
        <f t="shared" si="2508"/>
        <v/>
      </c>
      <c r="S2544" s="318" t="str">
        <f t="shared" si="8"/>
        <v/>
      </c>
    </row>
    <row r="2545">
      <c r="A2545" s="14" t="str">
        <f t="shared" si="1"/>
        <v>C47946134</v>
      </c>
      <c r="B2545" s="185" t="str">
        <f t="array" ref="B2545">IF(F2545="VL","",IF(F2545="Free","Free",XLOOKUP(D2545,Roster!T:T,Roster!S:S,"",0)))</f>
        <v/>
      </c>
      <c r="C2545" s="313">
        <v>46134.0</v>
      </c>
      <c r="D2545" s="314" t="s">
        <v>173</v>
      </c>
      <c r="E2545" s="307" t="str">
        <f t="array" ref="E2545">(XLOOKUP(D2545,Roster!F:F,Roster!B:B,"",0))</f>
        <v>Carmen Grajales</v>
      </c>
      <c r="F2545" s="315" t="str">
        <f t="array" ref="F2545">IF(B2545=100,"Free",TEXT(XLOOKUP($D2545,OperationVoice!$A:$A,OperationVoice!AB:AB,XLOOKUP($D2545,OperationTickets!$A:$A,OperationTickets!AB:AB,"",0)),"hh:mm"))</f>
        <v>08:00</v>
      </c>
      <c r="G2545" s="309">
        <f t="shared" si="3"/>
        <v>0.7083333333</v>
      </c>
      <c r="H2545" s="316">
        <f t="array" ref="H2545">XLOOKUP(B2545,Roster!L:L,Roster!N:N,XLOOKUP(D2545,TicketsBreak!A:A,TicketsBreak!E:E,"",0),0)</f>
        <v>0.4270833333</v>
      </c>
      <c r="I2545" s="316">
        <f t="array" ref="I2545">XLOOKUP(B2545,Roster!L:L,Roster!O:O,XLOOKUP(D2545,TicketsBreak!A:A,TicketsBreak!F:F,"",0),0)</f>
        <v>0.53125</v>
      </c>
      <c r="J2545" s="316">
        <f t="array" ref="J2545">XLOOKUP(B2545,Roster!L:L,Roster!P:P,XLOOKUP(D2545,TicketsBreak!A:A,TicketsBreak!G:G,"",0),0)</f>
        <v>0.65625</v>
      </c>
      <c r="K2545" s="310">
        <f t="shared" si="4"/>
        <v>46134</v>
      </c>
      <c r="L2545" s="317">
        <f t="array" ref="L2545">(XLOOKUP(D2545,Roster!F:F,Roster!D:D,"",0))</f>
        <v>2</v>
      </c>
      <c r="M2545" s="317" t="str">
        <f t="array" ref="M2545">XLOOKUP(D2545,Roster!F:F,Roster!E:E)</f>
        <v>Tickets</v>
      </c>
      <c r="N2545" s="317" t="str">
        <f t="shared" ref="N2545:P2545" si="2581">LEFT(H2545,5)</f>
        <v>10:15</v>
      </c>
      <c r="O2545" s="317" t="str">
        <f t="shared" si="2581"/>
        <v>12:45</v>
      </c>
      <c r="P2545" s="317" t="str">
        <f t="shared" si="2581"/>
        <v>15:45</v>
      </c>
      <c r="Q2545" s="318">
        <f t="shared" si="2507"/>
        <v>46134.42708</v>
      </c>
      <c r="R2545" s="318">
        <f t="shared" si="2508"/>
        <v>46134.53125</v>
      </c>
      <c r="S2545" s="318">
        <f t="shared" si="8"/>
        <v>46134.65625</v>
      </c>
    </row>
    <row r="2546">
      <c r="A2546" s="14" t="str">
        <f t="shared" si="1"/>
        <v>C68746134</v>
      </c>
      <c r="B2546" s="185">
        <f t="array" ref="B2546">IF(F2546="VL","",IF(F2546="Free","Free",XLOOKUP(D2546,Roster!T:T,Roster!S:S,"",0)))</f>
        <v>122</v>
      </c>
      <c r="C2546" s="313">
        <v>46134.0</v>
      </c>
      <c r="D2546" s="314" t="s">
        <v>22</v>
      </c>
      <c r="E2546" s="307" t="str">
        <f t="array" ref="E2546">(XLOOKUP(D2546,Roster!F:F,Roster!B:B,"",0))</f>
        <v>Carolina Rios</v>
      </c>
      <c r="F2546" s="315" t="str">
        <f t="array" ref="F2546">IF(B2546=100,"Free",TEXT(XLOOKUP($D2546,OperationVoice!$A:$A,OperationVoice!AB:AB,XLOOKUP($D2546,OperationTickets!$A:$A,OperationTickets!AB:AB,"",0)),"hh:mm"))</f>
        <v>08:00</v>
      </c>
      <c r="G2546" s="309">
        <f t="shared" si="3"/>
        <v>0.7083333333</v>
      </c>
      <c r="H2546" s="316" t="str">
        <f t="array" ref="H2546">XLOOKUP(B2546,Roster!L:L,Roster!N:N,XLOOKUP(D2546,TicketsBreak!A:A,TicketsBreak!E:E,"",0),0)</f>
        <v>09:30 - 09:45</v>
      </c>
      <c r="I2546" s="316" t="str">
        <f t="array" ref="I2546">XLOOKUP(B2546,Roster!L:L,Roster!O:O,XLOOKUP(D2546,TicketsBreak!A:A,TicketsBreak!F:F,"",0),0)</f>
        <v>12:00 - 12:30</v>
      </c>
      <c r="J2546" s="316" t="str">
        <f t="array" ref="J2546">XLOOKUP(B2546,Roster!L:L,Roster!P:P,XLOOKUP(D2546,TicketsBreak!A:A,TicketsBreak!G:G,"",0),0)</f>
        <v>14:45 - 15:00</v>
      </c>
      <c r="K2546" s="310">
        <f t="shared" si="4"/>
        <v>46134</v>
      </c>
      <c r="L2546" s="317">
        <f t="array" ref="L2546">(XLOOKUP(D2546,Roster!F:F,Roster!D:D,"",0))</f>
        <v>5</v>
      </c>
      <c r="M2546" s="317" t="str">
        <f t="array" ref="M2546">XLOOKUP(D2546,Roster!F:F,Roster!E:E)</f>
        <v>Voice</v>
      </c>
      <c r="N2546" s="317" t="str">
        <f t="shared" ref="N2546:P2546" si="2582">LEFT(H2546,5)</f>
        <v>09:30</v>
      </c>
      <c r="O2546" s="317" t="str">
        <f t="shared" si="2582"/>
        <v>12:00</v>
      </c>
      <c r="P2546" s="317" t="str">
        <f t="shared" si="2582"/>
        <v>14:45</v>
      </c>
      <c r="Q2546" s="318">
        <f t="shared" si="2507"/>
        <v>46134.39583</v>
      </c>
      <c r="R2546" s="318">
        <f t="shared" si="2508"/>
        <v>46134.5</v>
      </c>
      <c r="S2546" s="318">
        <f t="shared" si="8"/>
        <v>46134.61458</v>
      </c>
    </row>
    <row r="2547">
      <c r="A2547" s="14" t="str">
        <f t="shared" si="1"/>
        <v>C152846134</v>
      </c>
      <c r="B2547" s="185">
        <f t="array" ref="B2547">IF(F2547="VL","",IF(F2547="Free","Free",XLOOKUP(D2547,Roster!T:T,Roster!S:S,"",0)))</f>
        <v>132</v>
      </c>
      <c r="C2547" s="313">
        <v>46134.0</v>
      </c>
      <c r="D2547" s="314" t="s">
        <v>23</v>
      </c>
      <c r="E2547" s="307" t="str">
        <f t="array" ref="E2547">(XLOOKUP(D2547,Roster!F:F,Roster!B:B,"",0))</f>
        <v>Christian Ramirez</v>
      </c>
      <c r="F2547" s="315" t="str">
        <f t="array" ref="F2547">IF(B2547=100,"Free",TEXT(XLOOKUP($D2547,OperationVoice!$A:$A,OperationVoice!AB:AB,XLOOKUP($D2547,OperationTickets!$A:$A,OperationTickets!AB:AB,"",0)),"hh:mm"))</f>
        <v>08:00</v>
      </c>
      <c r="G2547" s="309">
        <f t="shared" si="3"/>
        <v>0.7083333333</v>
      </c>
      <c r="H2547" s="316" t="str">
        <f t="array" ref="H2547">XLOOKUP(B2547,Roster!L:L,Roster!N:N,XLOOKUP(D2547,TicketsBreak!A:A,TicketsBreak!E:E,"",0),0)</f>
        <v>10:30 - 10:45</v>
      </c>
      <c r="I2547" s="316" t="str">
        <f t="array" ref="I2547">XLOOKUP(B2547,Roster!L:L,Roster!O:O,XLOOKUP(D2547,TicketsBreak!A:A,TicketsBreak!F:F,"",0),0)</f>
        <v>13:00 - 13:30</v>
      </c>
      <c r="J2547" s="316" t="str">
        <f t="array" ref="J2547">XLOOKUP(B2547,Roster!L:L,Roster!P:P,XLOOKUP(D2547,TicketsBreak!A:A,TicketsBreak!G:G,"",0),0)</f>
        <v>15:30 - 15:45</v>
      </c>
      <c r="K2547" s="310">
        <f t="shared" si="4"/>
        <v>46134</v>
      </c>
      <c r="L2547" s="317">
        <f t="array" ref="L2547">(XLOOKUP(D2547,Roster!F:F,Roster!D:D,"",0))</f>
        <v>36</v>
      </c>
      <c r="M2547" s="317" t="str">
        <f t="array" ref="M2547">XLOOKUP(D2547,Roster!F:F,Roster!E:E)</f>
        <v>Voice</v>
      </c>
      <c r="N2547" s="317" t="str">
        <f t="shared" ref="N2547:P2547" si="2583">LEFT(H2547,5)</f>
        <v>10:30</v>
      </c>
      <c r="O2547" s="317" t="str">
        <f t="shared" si="2583"/>
        <v>13:00</v>
      </c>
      <c r="P2547" s="317" t="str">
        <f t="shared" si="2583"/>
        <v>15:30</v>
      </c>
      <c r="Q2547" s="318">
        <f t="shared" si="2507"/>
        <v>46134.4375</v>
      </c>
      <c r="R2547" s="318">
        <f t="shared" si="2508"/>
        <v>46134.54167</v>
      </c>
      <c r="S2547" s="318">
        <f t="shared" si="8"/>
        <v>46134.64583</v>
      </c>
    </row>
    <row r="2548">
      <c r="A2548" s="14" t="str">
        <f t="shared" si="1"/>
        <v>C132546134</v>
      </c>
      <c r="B2548" s="185">
        <f t="array" ref="B2548">IF(F2548="VL","",IF(F2548="Free","Free",XLOOKUP(D2548,Roster!T:T,Roster!S:S,"",0)))</f>
        <v>123</v>
      </c>
      <c r="C2548" s="313">
        <v>46134.0</v>
      </c>
      <c r="D2548" s="314" t="s">
        <v>174</v>
      </c>
      <c r="E2548" s="307" t="str">
        <f t="array" ref="E2548">(XLOOKUP(D2548,Roster!F:F,Roster!B:B,"",0))</f>
        <v>Cristian Ferreira</v>
      </c>
      <c r="F2548" s="315" t="str">
        <f t="array" ref="F2548">IF(B2548=100,"Free",TEXT(XLOOKUP($D2548,OperationVoice!$A:$A,OperationVoice!AB:AB,XLOOKUP($D2548,OperationTickets!$A:$A,OperationTickets!AB:AB,"",0)),"hh:mm"))</f>
        <v>08:00</v>
      </c>
      <c r="G2548" s="309">
        <f t="shared" si="3"/>
        <v>0.7083333333</v>
      </c>
      <c r="H2548" s="316" t="str">
        <f t="array" ref="H2548">XLOOKUP(B2548,Roster!L:L,Roster!N:N,XLOOKUP(D2548,TicketsBreak!A:A,TicketsBreak!E:E,"",0),0)</f>
        <v>09:45 - 10:00 </v>
      </c>
      <c r="I2548" s="316" t="str">
        <f t="array" ref="I2548">XLOOKUP(B2548,Roster!L:L,Roster!O:O,XLOOKUP(D2548,TicketsBreak!A:A,TicketsBreak!F:F,"",0),0)</f>
        <v>12:30 - 13:00</v>
      </c>
      <c r="J2548" s="316" t="str">
        <f t="array" ref="J2548">XLOOKUP(B2548,Roster!L:L,Roster!P:P,XLOOKUP(D2548,TicketsBreak!A:A,TicketsBreak!G:G,"",0),0)</f>
        <v>15:00 - 15:15</v>
      </c>
      <c r="K2548" s="310">
        <f t="shared" si="4"/>
        <v>46134</v>
      </c>
      <c r="L2548" s="317">
        <f t="array" ref="L2548">(XLOOKUP(D2548,Roster!F:F,Roster!D:D,"",0))</f>
        <v>29</v>
      </c>
      <c r="M2548" s="317" t="str">
        <f t="array" ref="M2548">XLOOKUP(D2548,Roster!F:F,Roster!E:E)</f>
        <v>Tickets</v>
      </c>
      <c r="N2548" s="317" t="str">
        <f t="shared" ref="N2548:P2548" si="2584">LEFT(H2548,5)</f>
        <v>09:45</v>
      </c>
      <c r="O2548" s="317" t="str">
        <f t="shared" si="2584"/>
        <v>12:30</v>
      </c>
      <c r="P2548" s="317" t="str">
        <f t="shared" si="2584"/>
        <v>15:00</v>
      </c>
      <c r="Q2548" s="318">
        <f t="shared" si="2507"/>
        <v>46134.40625</v>
      </c>
      <c r="R2548" s="318">
        <f t="shared" si="2508"/>
        <v>46134.52083</v>
      </c>
      <c r="S2548" s="318">
        <f t="shared" si="8"/>
        <v>46134.625</v>
      </c>
    </row>
    <row r="2549">
      <c r="A2549" s="14" t="str">
        <f t="shared" si="1"/>
        <v>C151046134</v>
      </c>
      <c r="B2549" s="185" t="str">
        <f t="array" ref="B2549">IF(F2549="VL","",IF(F2549="Free","Free",XLOOKUP(D2549,Roster!T:T,Roster!S:S,"",0)))</f>
        <v>Free</v>
      </c>
      <c r="C2549" s="313">
        <v>46134.0</v>
      </c>
      <c r="D2549" s="314" t="s">
        <v>24</v>
      </c>
      <c r="E2549" s="307" t="str">
        <f t="array" ref="E2549">(XLOOKUP(D2549,Roster!F:F,Roster!B:B,"",0))</f>
        <v>Cristian Gomez</v>
      </c>
      <c r="F2549" s="315" t="str">
        <f t="array" ref="F2549">IF(B2549=100,"Free",TEXT(XLOOKUP($D2549,OperationVoice!$A:$A,OperationVoice!AB:AB,XLOOKUP($D2549,OperationTickets!$A:$A,OperationTickets!AB:AB,"",0)),"hh:mm"))</f>
        <v>Free</v>
      </c>
      <c r="G2549" s="309" t="str">
        <f t="shared" si="3"/>
        <v>Free</v>
      </c>
      <c r="H2549" s="316" t="str">
        <f t="array" ref="H2549">XLOOKUP(B2549,Roster!L:L,Roster!N:N,XLOOKUP(D2549,TicketsBreak!A:A,TicketsBreak!E:E,"",0),0)</f>
        <v/>
      </c>
      <c r="I2549" s="316" t="str">
        <f t="array" ref="I2549">XLOOKUP(B2549,Roster!L:L,Roster!O:O,XLOOKUP(D2549,TicketsBreak!A:A,TicketsBreak!F:F,"",0),0)</f>
        <v/>
      </c>
      <c r="J2549" s="316" t="str">
        <f t="array" ref="J2549">XLOOKUP(B2549,Roster!L:L,Roster!P:P,XLOOKUP(D2549,TicketsBreak!A:A,TicketsBreak!G:G,"",0),0)</f>
        <v/>
      </c>
      <c r="K2549" s="310">
        <f t="shared" si="4"/>
        <v>46134</v>
      </c>
      <c r="L2549" s="317">
        <f t="array" ref="L2549">(XLOOKUP(D2549,Roster!F:F,Roster!D:D,"",0))</f>
        <v>35</v>
      </c>
      <c r="M2549" s="317" t="str">
        <f t="array" ref="M2549">XLOOKUP(D2549,Roster!F:F,Roster!E:E)</f>
        <v>Voice</v>
      </c>
      <c r="N2549" s="317" t="str">
        <f t="shared" ref="N2549:P2549" si="2585">LEFT(H2549,5)</f>
        <v/>
      </c>
      <c r="O2549" s="317" t="str">
        <f t="shared" si="2585"/>
        <v/>
      </c>
      <c r="P2549" s="317" t="str">
        <f t="shared" si="2585"/>
        <v/>
      </c>
      <c r="Q2549" s="318" t="str">
        <f t="shared" si="2507"/>
        <v/>
      </c>
      <c r="R2549" s="318" t="str">
        <f t="shared" si="2508"/>
        <v/>
      </c>
      <c r="S2549" s="318" t="str">
        <f t="shared" si="8"/>
        <v/>
      </c>
    </row>
    <row r="2550">
      <c r="A2550" s="14" t="str">
        <f t="shared" si="1"/>
        <v>C67346134</v>
      </c>
      <c r="B2550" s="185" t="str">
        <f t="array" ref="B2550">IF(F2550="VL","",IF(F2550="Free","Free",XLOOKUP(D2550,Roster!T:T,Roster!S:S,"",0)))</f>
        <v>Free</v>
      </c>
      <c r="C2550" s="313">
        <v>46134.0</v>
      </c>
      <c r="D2550" s="314" t="s">
        <v>156</v>
      </c>
      <c r="E2550" s="307" t="str">
        <f t="array" ref="E2550">(XLOOKUP(D2550,Roster!F:F,Roster!B:B,"",0))</f>
        <v>Dahiana Cano</v>
      </c>
      <c r="F2550" s="315" t="str">
        <f t="array" ref="F2550">IF(B2550=100,"Free",TEXT(XLOOKUP($D2550,OperationVoice!$A:$A,OperationVoice!AB:AB,XLOOKUP($D2550,OperationTickets!$A:$A,OperationTickets!AB:AB,"",0)),"hh:mm"))</f>
        <v>Free</v>
      </c>
      <c r="G2550" s="309" t="str">
        <f t="shared" si="3"/>
        <v>Free</v>
      </c>
      <c r="H2550" s="316">
        <f t="array" ref="H2550">XLOOKUP(B2550,Roster!L:L,Roster!N:N,XLOOKUP(D2550,TicketsBreak!A:A,TicketsBreak!E:E,"",0),0)</f>
        <v>0.4583333333</v>
      </c>
      <c r="I2550" s="316">
        <f t="array" ref="I2550">XLOOKUP(B2550,Roster!L:L,Roster!O:O,XLOOKUP(D2550,TicketsBreak!A:A,TicketsBreak!F:F,"",0),0)</f>
        <v>0.5833333333</v>
      </c>
      <c r="J2550" s="316">
        <f t="array" ref="J2550">XLOOKUP(B2550,Roster!L:L,Roster!P:P,XLOOKUP(D2550,TicketsBreak!A:A,TicketsBreak!G:G,"",0),0)</f>
        <v>0.65625</v>
      </c>
      <c r="K2550" s="310">
        <f t="shared" si="4"/>
        <v>46134</v>
      </c>
      <c r="L2550" s="317">
        <f t="array" ref="L2550">(XLOOKUP(D2550,Roster!F:F,Roster!D:D,"",0))</f>
        <v>4</v>
      </c>
      <c r="M2550" s="317" t="str">
        <f t="array" ref="M2550">XLOOKUP(D2550,Roster!F:F,Roster!E:E)</f>
        <v>Tickets</v>
      </c>
      <c r="N2550" s="317" t="str">
        <f t="shared" ref="N2550:P2550" si="2586">LEFT(H2550,5)</f>
        <v>11:00</v>
      </c>
      <c r="O2550" s="317" t="str">
        <f t="shared" si="2586"/>
        <v>14:00</v>
      </c>
      <c r="P2550" s="317" t="str">
        <f t="shared" si="2586"/>
        <v>15:45</v>
      </c>
      <c r="Q2550" s="318">
        <f t="shared" si="2507"/>
        <v>46134.45833</v>
      </c>
      <c r="R2550" s="318">
        <f t="shared" si="2508"/>
        <v>46134.58333</v>
      </c>
      <c r="S2550" s="318">
        <f t="shared" si="8"/>
        <v>46134.65625</v>
      </c>
    </row>
    <row r="2551">
      <c r="A2551" s="14" t="str">
        <f t="shared" si="1"/>
        <v>C152946134</v>
      </c>
      <c r="B2551" s="185">
        <f t="array" ref="B2551">IF(F2551="VL","",IF(F2551="Free","Free",XLOOKUP(D2551,Roster!T:T,Roster!S:S,"",0)))</f>
        <v>133</v>
      </c>
      <c r="C2551" s="313">
        <v>46134.0</v>
      </c>
      <c r="D2551" s="314" t="s">
        <v>25</v>
      </c>
      <c r="E2551" s="307" t="str">
        <f t="array" ref="E2551">(XLOOKUP(D2551,Roster!F:F,Roster!B:B,"",0))</f>
        <v>Daniel Barrientos</v>
      </c>
      <c r="F2551" s="315" t="str">
        <f t="array" ref="F2551">IF(B2551=100,"Free",TEXT(XLOOKUP($D2551,OperationVoice!$A:$A,OperationVoice!AB:AB,XLOOKUP($D2551,OperationTickets!$A:$A,OperationTickets!AB:AB,"",0)),"hh:mm"))</f>
        <v>09:00</v>
      </c>
      <c r="G2551" s="309">
        <f t="shared" si="3"/>
        <v>0.75</v>
      </c>
      <c r="H2551" s="316" t="str">
        <f t="array" ref="H2551">XLOOKUP(B2551,Roster!L:L,Roster!N:N,XLOOKUP(D2551,TicketsBreak!A:A,TicketsBreak!E:E,"",0),0)</f>
        <v>10:45 - 11:00 </v>
      </c>
      <c r="I2551" s="316" t="str">
        <f t="array" ref="I2551">XLOOKUP(B2551,Roster!L:L,Roster!O:O,XLOOKUP(D2551,TicketsBreak!A:A,TicketsBreak!F:F,"",0),0)</f>
        <v>13:30 - 14:00</v>
      </c>
      <c r="J2551" s="316" t="str">
        <f t="array" ref="J2551">XLOOKUP(B2551,Roster!L:L,Roster!P:P,XLOOKUP(D2551,TicketsBreak!A:A,TicketsBreak!G:G,"",0),0)</f>
        <v>15:45 - 16:00</v>
      </c>
      <c r="K2551" s="310">
        <f t="shared" si="4"/>
        <v>46134</v>
      </c>
      <c r="L2551" s="317">
        <f t="array" ref="L2551">(XLOOKUP(D2551,Roster!F:F,Roster!D:D,"",0))</f>
        <v>36</v>
      </c>
      <c r="M2551" s="317" t="str">
        <f t="array" ref="M2551">XLOOKUP(D2551,Roster!F:F,Roster!E:E)</f>
        <v>Voice</v>
      </c>
      <c r="N2551" s="317" t="str">
        <f t="shared" ref="N2551:P2551" si="2587">LEFT(H2551,5)</f>
        <v>10:45</v>
      </c>
      <c r="O2551" s="317" t="str">
        <f t="shared" si="2587"/>
        <v>13:30</v>
      </c>
      <c r="P2551" s="317" t="str">
        <f t="shared" si="2587"/>
        <v>15:45</v>
      </c>
      <c r="Q2551" s="318">
        <f t="shared" si="2507"/>
        <v>46134.44792</v>
      </c>
      <c r="R2551" s="318">
        <f t="shared" si="2508"/>
        <v>46134.5625</v>
      </c>
      <c r="S2551" s="318">
        <f t="shared" si="8"/>
        <v>46134.65625</v>
      </c>
    </row>
    <row r="2552">
      <c r="A2552" s="14" t="str">
        <f t="shared" si="1"/>
        <v>C106446134</v>
      </c>
      <c r="B2552" s="185" t="str">
        <f t="array" ref="B2552">IF(F2552="VL","",IF(F2552="Free","Free",XLOOKUP(D2552,Roster!T:T,Roster!S:S,"",0)))</f>
        <v>Free</v>
      </c>
      <c r="C2552" s="313">
        <v>46134.0</v>
      </c>
      <c r="D2552" s="314" t="s">
        <v>175</v>
      </c>
      <c r="E2552" s="307" t="str">
        <f t="array" ref="E2552">(XLOOKUP(D2552,Roster!F:F,Roster!B:B,"",0))</f>
        <v>Daniel Urrego</v>
      </c>
      <c r="F2552" s="315" t="str">
        <f t="array" ref="F2552">IF(B2552=100,"Free",TEXT(XLOOKUP($D2552,OperationVoice!$A:$A,OperationVoice!AB:AB,XLOOKUP($D2552,OperationTickets!$A:$A,OperationTickets!AB:AB,"",0)),"hh:mm"))</f>
        <v>Free</v>
      </c>
      <c r="G2552" s="309" t="str">
        <f t="shared" si="3"/>
        <v>Free</v>
      </c>
      <c r="H2552" s="316" t="str">
        <f t="array" ref="H2552">XLOOKUP(B2552,Roster!L:L,Roster!N:N,XLOOKUP(D2552,TicketsBreak!A:A,TicketsBreak!E:E,"",0),0)</f>
        <v/>
      </c>
      <c r="I2552" s="316" t="str">
        <f t="array" ref="I2552">XLOOKUP(B2552,Roster!L:L,Roster!O:O,XLOOKUP(D2552,TicketsBreak!A:A,TicketsBreak!F:F,"",0),0)</f>
        <v/>
      </c>
      <c r="J2552" s="316" t="str">
        <f t="array" ref="J2552">XLOOKUP(B2552,Roster!L:L,Roster!P:P,XLOOKUP(D2552,TicketsBreak!A:A,TicketsBreak!G:G,"",0),0)</f>
        <v/>
      </c>
      <c r="K2552" s="310">
        <f t="shared" si="4"/>
        <v>46134</v>
      </c>
      <c r="L2552" s="317">
        <f t="array" ref="L2552">(XLOOKUP(D2552,Roster!F:F,Roster!D:D,"",0))</f>
        <v>17</v>
      </c>
      <c r="M2552" s="317" t="str">
        <f t="array" ref="M2552">XLOOKUP(D2552,Roster!F:F,Roster!E:E)</f>
        <v>Tickets</v>
      </c>
      <c r="N2552" s="317" t="str">
        <f t="shared" ref="N2552:P2552" si="2588">LEFT(H2552,5)</f>
        <v/>
      </c>
      <c r="O2552" s="317" t="str">
        <f t="shared" si="2588"/>
        <v/>
      </c>
      <c r="P2552" s="317" t="str">
        <f t="shared" si="2588"/>
        <v/>
      </c>
      <c r="Q2552" s="318" t="str">
        <f t="shared" si="2507"/>
        <v/>
      </c>
      <c r="R2552" s="318" t="str">
        <f t="shared" si="2508"/>
        <v/>
      </c>
      <c r="S2552" s="318" t="str">
        <f t="shared" si="8"/>
        <v/>
      </c>
    </row>
    <row r="2553">
      <c r="A2553" s="14" t="str">
        <f t="shared" si="1"/>
        <v>C151346134</v>
      </c>
      <c r="B2553" s="185">
        <f t="array" ref="B2553">IF(F2553="VL","",IF(F2553="Free","Free",XLOOKUP(D2553,Roster!T:T,Roster!S:S,"",0)))</f>
        <v>126</v>
      </c>
      <c r="C2553" s="313">
        <v>46134.0</v>
      </c>
      <c r="D2553" s="314" t="s">
        <v>26</v>
      </c>
      <c r="E2553" s="307" t="str">
        <f t="array" ref="E2553">(XLOOKUP(D2553,Roster!F:F,Roster!B:B,"",0))</f>
        <v>David Patino</v>
      </c>
      <c r="F2553" s="315" t="str">
        <f t="array" ref="F2553">IF(B2553=100,"Free",TEXT(XLOOKUP($D2553,OperationVoice!$A:$A,OperationVoice!AB:AB,XLOOKUP($D2553,OperationTickets!$A:$A,OperationTickets!AB:AB,"",0)),"hh:mm"))</f>
        <v>08:00</v>
      </c>
      <c r="G2553" s="309">
        <f t="shared" si="3"/>
        <v>0.7083333333</v>
      </c>
      <c r="H2553" s="316" t="str">
        <f t="array" ref="H2553">XLOOKUP(B2553,Roster!L:L,Roster!N:N,XLOOKUP(D2553,TicketsBreak!A:A,TicketsBreak!E:E,"",0),0)</f>
        <v>10:45 - 11:00</v>
      </c>
      <c r="I2553" s="316" t="str">
        <f t="array" ref="I2553">XLOOKUP(B2553,Roster!L:L,Roster!O:O,XLOOKUP(D2553,TicketsBreak!A:A,TicketsBreak!F:F,"",0),0)</f>
        <v>14:00 - 14:30</v>
      </c>
      <c r="J2553" s="316" t="str">
        <f t="array" ref="J2553">XLOOKUP(B2553,Roster!L:L,Roster!P:P,XLOOKUP(D2553,TicketsBreak!A:A,TicketsBreak!G:G,"",0),0)</f>
        <v>15:45 - 16:00</v>
      </c>
      <c r="K2553" s="310">
        <f t="shared" si="4"/>
        <v>46134</v>
      </c>
      <c r="L2553" s="317">
        <f t="array" ref="L2553">(XLOOKUP(D2553,Roster!F:F,Roster!D:D,"",0))</f>
        <v>35</v>
      </c>
      <c r="M2553" s="317" t="str">
        <f t="array" ref="M2553">XLOOKUP(D2553,Roster!F:F,Roster!E:E)</f>
        <v>Voice</v>
      </c>
      <c r="N2553" s="317" t="str">
        <f t="shared" ref="N2553:P2553" si="2589">LEFT(H2553,5)</f>
        <v>10:45</v>
      </c>
      <c r="O2553" s="317" t="str">
        <f t="shared" si="2589"/>
        <v>14:00</v>
      </c>
      <c r="P2553" s="317" t="str">
        <f t="shared" si="2589"/>
        <v>15:45</v>
      </c>
      <c r="Q2553" s="318">
        <f t="shared" si="2507"/>
        <v>46134.44792</v>
      </c>
      <c r="R2553" s="318">
        <f t="shared" si="2508"/>
        <v>46134.58333</v>
      </c>
      <c r="S2553" s="318">
        <f t="shared" si="8"/>
        <v>46134.65625</v>
      </c>
    </row>
    <row r="2554">
      <c r="A2554" s="14" t="str">
        <f t="shared" si="1"/>
        <v>C127746134</v>
      </c>
      <c r="B2554" s="185">
        <f t="array" ref="B2554">IF(F2554="VL","",IF(F2554="Free","Free",XLOOKUP(D2554,Roster!T:T,Roster!S:S,"",0)))</f>
        <v>124</v>
      </c>
      <c r="C2554" s="313">
        <v>46134.0</v>
      </c>
      <c r="D2554" s="314" t="s">
        <v>27</v>
      </c>
      <c r="E2554" s="307" t="str">
        <f t="array" ref="E2554">(XLOOKUP(D2554,Roster!F:F,Roster!B:B,"",0))</f>
        <v>Edwuin Martinez</v>
      </c>
      <c r="F2554" s="315" t="str">
        <f t="array" ref="F2554">IF(B2554=100,"Free",TEXT(XLOOKUP($D2554,OperationVoice!$A:$A,OperationVoice!AB:AB,XLOOKUP($D2554,OperationTickets!$A:$A,OperationTickets!AB:AB,"",0)),"hh:mm"))</f>
        <v>08:00</v>
      </c>
      <c r="G2554" s="309">
        <f t="shared" si="3"/>
        <v>0.7083333333</v>
      </c>
      <c r="H2554" s="316" t="str">
        <f t="array" ref="H2554">XLOOKUP(B2554,Roster!L:L,Roster!N:N,XLOOKUP(D2554,TicketsBreak!A:A,TicketsBreak!E:E,"",0),0)</f>
        <v>10:00 - 10:15</v>
      </c>
      <c r="I2554" s="316" t="str">
        <f t="array" ref="I2554">XLOOKUP(B2554,Roster!L:L,Roster!O:O,XLOOKUP(D2554,TicketsBreak!A:A,TicketsBreak!F:F,"",0),0)</f>
        <v>13:00 - 13:30</v>
      </c>
      <c r="J2554" s="316" t="str">
        <f t="array" ref="J2554">XLOOKUP(B2554,Roster!L:L,Roster!P:P,XLOOKUP(D2554,TicketsBreak!A:A,TicketsBreak!G:G,"",0),0)</f>
        <v>15:30 - 15:45</v>
      </c>
      <c r="K2554" s="310">
        <f t="shared" si="4"/>
        <v>46134</v>
      </c>
      <c r="L2554" s="317">
        <f t="array" ref="L2554">(XLOOKUP(D2554,Roster!F:F,Roster!D:D,"",0))</f>
        <v>27</v>
      </c>
      <c r="M2554" s="317" t="str">
        <f t="array" ref="M2554">XLOOKUP(D2554,Roster!F:F,Roster!E:E)</f>
        <v>Voice</v>
      </c>
      <c r="N2554" s="317" t="str">
        <f t="shared" ref="N2554:P2554" si="2590">LEFT(H2554,5)</f>
        <v>10:00</v>
      </c>
      <c r="O2554" s="317" t="str">
        <f t="shared" si="2590"/>
        <v>13:00</v>
      </c>
      <c r="P2554" s="317" t="str">
        <f t="shared" si="2590"/>
        <v>15:30</v>
      </c>
      <c r="Q2554" s="318">
        <f t="shared" si="2507"/>
        <v>46134.41667</v>
      </c>
      <c r="R2554" s="318">
        <f t="shared" si="2508"/>
        <v>46134.54167</v>
      </c>
      <c r="S2554" s="318">
        <f t="shared" si="8"/>
        <v>46134.64583</v>
      </c>
    </row>
    <row r="2555">
      <c r="A2555" s="14" t="str">
        <f t="shared" si="1"/>
        <v>C121646134</v>
      </c>
      <c r="B2555" s="185" t="str">
        <f t="array" ref="B2555">IF(F2555="VL","",IF(F2555="Free","Free",XLOOKUP(D2555,Roster!T:T,Roster!S:S,"",0)))</f>
        <v/>
      </c>
      <c r="C2555" s="313">
        <v>46134.0</v>
      </c>
      <c r="D2555" s="314" t="s">
        <v>134</v>
      </c>
      <c r="E2555" s="307" t="str">
        <f t="array" ref="E2555">(XLOOKUP(D2555,Roster!F:F,Roster!B:B,"",0))</f>
        <v>Eliana Pena</v>
      </c>
      <c r="F2555" s="315" t="str">
        <f t="array" ref="F2555">IF(B2555=100,"Free",TEXT(XLOOKUP($D2555,OperationVoice!$A:$A,OperationVoice!AB:AB,XLOOKUP($D2555,OperationTickets!$A:$A,OperationTickets!AB:AB,"",0)),"hh:mm"))</f>
        <v>08:00</v>
      </c>
      <c r="G2555" s="309">
        <f t="shared" si="3"/>
        <v>0.7083333333</v>
      </c>
      <c r="H2555" s="316">
        <f t="array" ref="H2555">XLOOKUP(B2555,Roster!L:L,Roster!N:N,XLOOKUP(D2555,TicketsBreak!A:A,TicketsBreak!E:E,"",0),0)</f>
        <v>0.3958333333</v>
      </c>
      <c r="I2555" s="316">
        <f t="array" ref="I2555">XLOOKUP(B2555,Roster!L:L,Roster!O:O,XLOOKUP(D2555,TicketsBreak!A:A,TicketsBreak!F:F,"",0),0)</f>
        <v>0.5416666667</v>
      </c>
      <c r="J2555" s="316">
        <f t="array" ref="J2555">XLOOKUP(B2555,Roster!L:L,Roster!P:P,XLOOKUP(D2555,TicketsBreak!A:A,TicketsBreak!G:G,"",0),0)</f>
        <v>0.6354166667</v>
      </c>
      <c r="K2555" s="310">
        <f t="shared" si="4"/>
        <v>46134</v>
      </c>
      <c r="L2555" s="317">
        <f t="array" ref="L2555">(XLOOKUP(D2555,Roster!F:F,Roster!D:D,"",0))</f>
        <v>26</v>
      </c>
      <c r="M2555" s="317" t="str">
        <f t="array" ref="M2555">XLOOKUP(D2555,Roster!F:F,Roster!E:E)</f>
        <v>Tickets</v>
      </c>
      <c r="N2555" s="317" t="str">
        <f t="shared" ref="N2555:P2555" si="2591">LEFT(H2555,5)</f>
        <v>09:30</v>
      </c>
      <c r="O2555" s="317" t="str">
        <f t="shared" si="2591"/>
        <v>13:00</v>
      </c>
      <c r="P2555" s="317" t="str">
        <f t="shared" si="2591"/>
        <v>15:15</v>
      </c>
      <c r="Q2555" s="318">
        <f t="shared" si="2507"/>
        <v>46134.39583</v>
      </c>
      <c r="R2555" s="318">
        <f t="shared" si="2508"/>
        <v>46134.54167</v>
      </c>
      <c r="S2555" s="318">
        <f t="shared" si="8"/>
        <v>46134.63542</v>
      </c>
    </row>
    <row r="2556">
      <c r="A2556" s="14" t="str">
        <f t="shared" si="1"/>
        <v>C157346134</v>
      </c>
      <c r="B2556" s="185">
        <f t="array" ref="B2556">IF(F2556="VL","",IF(F2556="Free","Free",XLOOKUP(D2556,Roster!T:T,Roster!S:S,"",0)))</f>
        <v>123</v>
      </c>
      <c r="C2556" s="313">
        <v>46134.0</v>
      </c>
      <c r="D2556" s="314" t="s">
        <v>28</v>
      </c>
      <c r="E2556" s="307" t="str">
        <f t="array" ref="E2556">(XLOOKUP(D2556,Roster!F:F,Roster!B:B,"",0))</f>
        <v>Esteban Correa</v>
      </c>
      <c r="F2556" s="315" t="str">
        <f t="array" ref="F2556">IF(B2556=100,"Free",TEXT(XLOOKUP($D2556,OperationVoice!$A:$A,OperationVoice!AB:AB,XLOOKUP($D2556,OperationTickets!$A:$A,OperationTickets!AB:AB,"",0)),"hh:mm"))</f>
        <v>08:00</v>
      </c>
      <c r="G2556" s="309">
        <f t="shared" si="3"/>
        <v>0.7083333333</v>
      </c>
      <c r="H2556" s="316" t="str">
        <f t="array" ref="H2556">XLOOKUP(B2556,Roster!L:L,Roster!N:N,XLOOKUP(D2556,TicketsBreak!A:A,TicketsBreak!E:E,"",0),0)</f>
        <v>09:45 - 10:00 </v>
      </c>
      <c r="I2556" s="316" t="str">
        <f t="array" ref="I2556">XLOOKUP(B2556,Roster!L:L,Roster!O:O,XLOOKUP(D2556,TicketsBreak!A:A,TicketsBreak!F:F,"",0),0)</f>
        <v>12:30 - 13:00</v>
      </c>
      <c r="J2556" s="316" t="str">
        <f t="array" ref="J2556">XLOOKUP(B2556,Roster!L:L,Roster!P:P,XLOOKUP(D2556,TicketsBreak!A:A,TicketsBreak!G:G,"",0),0)</f>
        <v>15:00 - 15:15</v>
      </c>
      <c r="K2556" s="310">
        <f t="shared" si="4"/>
        <v>46134</v>
      </c>
      <c r="L2556" s="317">
        <f t="array" ref="L2556">(XLOOKUP(D2556,Roster!F:F,Roster!D:D,"",0))</f>
        <v>38</v>
      </c>
      <c r="M2556" s="317" t="str">
        <f t="array" ref="M2556">XLOOKUP(D2556,Roster!F:F,Roster!E:E)</f>
        <v>Voice</v>
      </c>
      <c r="N2556" s="317" t="str">
        <f t="shared" ref="N2556:P2556" si="2592">LEFT(H2556,5)</f>
        <v>09:45</v>
      </c>
      <c r="O2556" s="317" t="str">
        <f t="shared" si="2592"/>
        <v>12:30</v>
      </c>
      <c r="P2556" s="317" t="str">
        <f t="shared" si="2592"/>
        <v>15:00</v>
      </c>
      <c r="Q2556" s="318">
        <f t="shared" si="2507"/>
        <v>46134.40625</v>
      </c>
      <c r="R2556" s="318">
        <f t="shared" si="2508"/>
        <v>46134.52083</v>
      </c>
      <c r="S2556" s="318">
        <f t="shared" si="8"/>
        <v>46134.625</v>
      </c>
    </row>
    <row r="2557">
      <c r="A2557" s="14" t="str">
        <f t="shared" si="1"/>
        <v>C71346134</v>
      </c>
      <c r="B2557" s="185">
        <f t="array" ref="B2557">IF(F2557="VL","",IF(F2557="Free","Free",XLOOKUP(D2557,Roster!T:T,Roster!S:S,"",0)))</f>
        <v>125</v>
      </c>
      <c r="C2557" s="313">
        <v>46134.0</v>
      </c>
      <c r="D2557" s="314" t="s">
        <v>29</v>
      </c>
      <c r="E2557" s="307" t="str">
        <f t="array" ref="E2557">(XLOOKUP(D2557,Roster!F:F,Roster!B:B,"",0))</f>
        <v>Frank Marin</v>
      </c>
      <c r="F2557" s="315" t="str">
        <f t="array" ref="F2557">IF(B2557=100,"Free",TEXT(XLOOKUP($D2557,OperationVoice!$A:$A,OperationVoice!AB:AB,XLOOKUP($D2557,OperationTickets!$A:$A,OperationTickets!AB:AB,"",0)),"hh:mm"))</f>
        <v>08:00</v>
      </c>
      <c r="G2557" s="309">
        <f t="shared" si="3"/>
        <v>0.7083333333</v>
      </c>
      <c r="H2557" s="316" t="str">
        <f t="array" ref="H2557">XLOOKUP(B2557,Roster!L:L,Roster!N:N,XLOOKUP(D2557,TicketsBreak!A:A,TicketsBreak!E:E,"",0),0)</f>
        <v>10:30 - 10:45</v>
      </c>
      <c r="I2557" s="316" t="str">
        <f t="array" ref="I2557">XLOOKUP(B2557,Roster!L:L,Roster!O:O,XLOOKUP(D2557,TicketsBreak!A:A,TicketsBreak!F:F,"",0),0)</f>
        <v>13:30 - 14:00</v>
      </c>
      <c r="J2557" s="316" t="str">
        <f t="array" ref="J2557">XLOOKUP(B2557,Roster!L:L,Roster!P:P,XLOOKUP(D2557,TicketsBreak!A:A,TicketsBreak!G:G,"",0),0)</f>
        <v>15:45 - 16:00</v>
      </c>
      <c r="K2557" s="310">
        <f t="shared" si="4"/>
        <v>46134</v>
      </c>
      <c r="L2557" s="317">
        <f t="array" ref="L2557">(XLOOKUP(D2557,Roster!F:F,Roster!D:D,"",0))</f>
        <v>6</v>
      </c>
      <c r="M2557" s="317" t="str">
        <f t="array" ref="M2557">XLOOKUP(D2557,Roster!F:F,Roster!E:E)</f>
        <v>Voice</v>
      </c>
      <c r="N2557" s="317" t="str">
        <f t="shared" ref="N2557:P2557" si="2593">LEFT(H2557,5)</f>
        <v>10:30</v>
      </c>
      <c r="O2557" s="317" t="str">
        <f t="shared" si="2593"/>
        <v>13:30</v>
      </c>
      <c r="P2557" s="317" t="str">
        <f t="shared" si="2593"/>
        <v>15:45</v>
      </c>
      <c r="Q2557" s="318">
        <f t="shared" si="2507"/>
        <v>46134.4375</v>
      </c>
      <c r="R2557" s="318">
        <f t="shared" si="2508"/>
        <v>46134.5625</v>
      </c>
      <c r="S2557" s="318">
        <f t="shared" si="8"/>
        <v>46134.65625</v>
      </c>
    </row>
    <row r="2558">
      <c r="A2558" s="14" t="str">
        <f t="shared" si="1"/>
        <v>C154846134</v>
      </c>
      <c r="B2558" s="185">
        <f t="array" ref="B2558">IF(F2558="VL","",IF(F2558="Free","Free",XLOOKUP(D2558,Roster!T:T,Roster!S:S,"",0)))</f>
        <v>152</v>
      </c>
      <c r="C2558" s="313">
        <v>46134.0</v>
      </c>
      <c r="D2558" s="314" t="s">
        <v>30</v>
      </c>
      <c r="E2558" s="307" t="str">
        <f t="array" ref="E2558">(XLOOKUP(D2558,Roster!F:F,Roster!B:B,"",0))</f>
        <v>Frey ortiz</v>
      </c>
      <c r="F2558" s="315" t="str">
        <f t="array" ref="F2558">IF(B2558=100,"Free",TEXT(XLOOKUP($D2558,OperationVoice!$A:$A,OperationVoice!AB:AB,XLOOKUP($D2558,OperationTickets!$A:$A,OperationTickets!AB:AB,"",0)),"hh:mm"))</f>
        <v>11:00</v>
      </c>
      <c r="G2558" s="309">
        <f t="shared" si="3"/>
        <v>0.8333333333</v>
      </c>
      <c r="H2558" s="316" t="str">
        <f t="array" ref="H2558">XLOOKUP(B2558,Roster!L:L,Roster!N:N,XLOOKUP(D2558,TicketsBreak!A:A,TicketsBreak!E:E,"",0),0)</f>
        <v>12:30 - 12:45</v>
      </c>
      <c r="I2558" s="316" t="str">
        <f t="array" ref="I2558">XLOOKUP(B2558,Roster!L:L,Roster!O:O,XLOOKUP(D2558,TicketsBreak!A:A,TicketsBreak!F:F,"",0),0)</f>
        <v>14:30 - 15:00</v>
      </c>
      <c r="J2558" s="316" t="str">
        <f t="array" ref="J2558">XLOOKUP(B2558,Roster!L:L,Roster!P:P,XLOOKUP(D2558,TicketsBreak!A:A,TicketsBreak!G:G,"",0),0)</f>
        <v>17:30 - 17:45</v>
      </c>
      <c r="K2558" s="310">
        <f t="shared" si="4"/>
        <v>46134</v>
      </c>
      <c r="L2558" s="317">
        <f t="array" ref="L2558">(XLOOKUP(D2558,Roster!F:F,Roster!D:D,"",0))</f>
        <v>37</v>
      </c>
      <c r="M2558" s="317" t="str">
        <f t="array" ref="M2558">XLOOKUP(D2558,Roster!F:F,Roster!E:E)</f>
        <v>Voice</v>
      </c>
      <c r="N2558" s="317" t="str">
        <f t="shared" ref="N2558:P2558" si="2594">LEFT(H2558,5)</f>
        <v>12:30</v>
      </c>
      <c r="O2558" s="317" t="str">
        <f t="shared" si="2594"/>
        <v>14:30</v>
      </c>
      <c r="P2558" s="317" t="str">
        <f t="shared" si="2594"/>
        <v>17:30</v>
      </c>
      <c r="Q2558" s="318">
        <f t="shared" si="2507"/>
        <v>46134.52083</v>
      </c>
      <c r="R2558" s="318">
        <f t="shared" si="2508"/>
        <v>46134.60417</v>
      </c>
      <c r="S2558" s="318">
        <f t="shared" si="8"/>
        <v>46134.72917</v>
      </c>
    </row>
    <row r="2559">
      <c r="A2559" s="14" t="str">
        <f t="shared" si="1"/>
        <v>C148646134</v>
      </c>
      <c r="B2559" s="185">
        <f t="array" ref="B2559">IF(F2559="VL","",IF(F2559="Free","Free",XLOOKUP(D2559,Roster!T:T,Roster!S:S,"",0)))</f>
        <v>154</v>
      </c>
      <c r="C2559" s="313">
        <v>46134.0</v>
      </c>
      <c r="D2559" s="314" t="s">
        <v>31</v>
      </c>
      <c r="E2559" s="307" t="str">
        <f t="array" ref="E2559">(XLOOKUP(D2559,Roster!F:F,Roster!B:B,"",0))</f>
        <v>Gabriel Gomez</v>
      </c>
      <c r="F2559" s="315" t="str">
        <f t="array" ref="F2559">IF(B2559=100,"Free",TEXT(XLOOKUP($D2559,OperationVoice!$A:$A,OperationVoice!AB:AB,XLOOKUP($D2559,OperationTickets!$A:$A,OperationTickets!AB:AB,"",0)),"hh:mm"))</f>
        <v>11:00</v>
      </c>
      <c r="G2559" s="309">
        <f t="shared" si="3"/>
        <v>0.8333333333</v>
      </c>
      <c r="H2559" s="316" t="str">
        <f t="array" ref="H2559">XLOOKUP(B2559,Roster!L:L,Roster!N:N,XLOOKUP(D2559,TicketsBreak!A:A,TicketsBreak!E:E,"",0),0)</f>
        <v>13:00 - 13:15</v>
      </c>
      <c r="I2559" s="316" t="str">
        <f t="array" ref="I2559">XLOOKUP(B2559,Roster!L:L,Roster!O:O,XLOOKUP(D2559,TicketsBreak!A:A,TicketsBreak!F:F,"",0),0)</f>
        <v>15:15 - 15:45</v>
      </c>
      <c r="J2559" s="316" t="str">
        <f t="array" ref="J2559">XLOOKUP(B2559,Roster!L:L,Roster!P:P,XLOOKUP(D2559,TicketsBreak!A:A,TicketsBreak!G:G,"",0),0)</f>
        <v>18:00 - 18:15</v>
      </c>
      <c r="K2559" s="310">
        <f t="shared" si="4"/>
        <v>46134</v>
      </c>
      <c r="L2559" s="317">
        <f t="array" ref="L2559">(XLOOKUP(D2559,Roster!F:F,Roster!D:D,"",0))</f>
        <v>34</v>
      </c>
      <c r="M2559" s="317" t="str">
        <f t="array" ref="M2559">XLOOKUP(D2559,Roster!F:F,Roster!E:E)</f>
        <v>Voice</v>
      </c>
      <c r="N2559" s="317" t="str">
        <f t="shared" ref="N2559:P2559" si="2595">LEFT(H2559,5)</f>
        <v>13:00</v>
      </c>
      <c r="O2559" s="317" t="str">
        <f t="shared" si="2595"/>
        <v>15:15</v>
      </c>
      <c r="P2559" s="317" t="str">
        <f t="shared" si="2595"/>
        <v>18:00</v>
      </c>
      <c r="Q2559" s="318">
        <f t="shared" si="2507"/>
        <v>46134.54167</v>
      </c>
      <c r="R2559" s="318">
        <f t="shared" si="2508"/>
        <v>46134.63542</v>
      </c>
      <c r="S2559" s="318">
        <f t="shared" si="8"/>
        <v>46134.75</v>
      </c>
    </row>
    <row r="2560">
      <c r="A2560" s="14" t="str">
        <f t="shared" si="1"/>
        <v>C136946134</v>
      </c>
      <c r="B2560" s="185">
        <f t="array" ref="B2560">IF(F2560="VL","",IF(F2560="Free","Free",XLOOKUP(D2560,Roster!T:T,Roster!S:S,"",0)))</f>
        <v>126</v>
      </c>
      <c r="C2560" s="313">
        <v>46134.0</v>
      </c>
      <c r="D2560" s="314" t="s">
        <v>157</v>
      </c>
      <c r="E2560" s="307" t="str">
        <f t="array" ref="E2560">(XLOOKUP(D2560,Roster!F:F,Roster!B:B,"",0))</f>
        <v>Gabriela Jimenez</v>
      </c>
      <c r="F2560" s="315" t="str">
        <f t="array" ref="F2560">IF(B2560=100,"Free",TEXT(XLOOKUP($D2560,OperationVoice!$A:$A,OperationVoice!AB:AB,XLOOKUP($D2560,OperationTickets!$A:$A,OperationTickets!AB:AB,"",0)),"hh:mm"))</f>
        <v>08:00</v>
      </c>
      <c r="G2560" s="309">
        <f t="shared" si="3"/>
        <v>0.7083333333</v>
      </c>
      <c r="H2560" s="316" t="str">
        <f t="array" ref="H2560">XLOOKUP(B2560,Roster!L:L,Roster!N:N,XLOOKUP(D2560,TicketsBreak!A:A,TicketsBreak!E:E,"",0),0)</f>
        <v>10:45 - 11:00</v>
      </c>
      <c r="I2560" s="316" t="str">
        <f t="array" ref="I2560">XLOOKUP(B2560,Roster!L:L,Roster!O:O,XLOOKUP(D2560,TicketsBreak!A:A,TicketsBreak!F:F,"",0),0)</f>
        <v>14:00 - 14:30</v>
      </c>
      <c r="J2560" s="316" t="str">
        <f t="array" ref="J2560">XLOOKUP(B2560,Roster!L:L,Roster!P:P,XLOOKUP(D2560,TicketsBreak!A:A,TicketsBreak!G:G,"",0),0)</f>
        <v>15:45 - 16:00</v>
      </c>
      <c r="K2560" s="310">
        <f t="shared" si="4"/>
        <v>46134</v>
      </c>
      <c r="L2560" s="317">
        <f t="array" ref="L2560">(XLOOKUP(D2560,Roster!F:F,Roster!D:D,"",0))</f>
        <v>31</v>
      </c>
      <c r="M2560" s="317" t="str">
        <f t="array" ref="M2560">XLOOKUP(D2560,Roster!F:F,Roster!E:E)</f>
        <v>Tickets</v>
      </c>
      <c r="N2560" s="317" t="str">
        <f t="shared" ref="N2560:P2560" si="2596">LEFT(H2560,5)</f>
        <v>10:45</v>
      </c>
      <c r="O2560" s="317" t="str">
        <f t="shared" si="2596"/>
        <v>14:00</v>
      </c>
      <c r="P2560" s="317" t="str">
        <f t="shared" si="2596"/>
        <v>15:45</v>
      </c>
      <c r="Q2560" s="318">
        <f t="shared" si="2507"/>
        <v>46134.44792</v>
      </c>
      <c r="R2560" s="318">
        <f t="shared" si="2508"/>
        <v>46134.58333</v>
      </c>
      <c r="S2560" s="318">
        <f t="shared" si="8"/>
        <v>46134.65625</v>
      </c>
    </row>
    <row r="2561">
      <c r="A2561" s="14" t="str">
        <f t="shared" si="1"/>
        <v>C101746134</v>
      </c>
      <c r="B2561" s="185">
        <f t="array" ref="B2561">IF(F2561="VL","",IF(F2561="Free","Free",XLOOKUP(D2561,Roster!T:T,Roster!S:S,"",0)))</f>
        <v>121</v>
      </c>
      <c r="C2561" s="313">
        <v>46134.0</v>
      </c>
      <c r="D2561" s="314" t="s">
        <v>32</v>
      </c>
      <c r="E2561" s="307" t="str">
        <f t="array" ref="E2561">(XLOOKUP(D2561,Roster!F:F,Roster!B:B,"",0))</f>
        <v>Geraldine Correa</v>
      </c>
      <c r="F2561" s="315" t="str">
        <f t="array" ref="F2561">IF(B2561=100,"Free",TEXT(XLOOKUP($D2561,OperationVoice!$A:$A,OperationVoice!AB:AB,XLOOKUP($D2561,OperationTickets!$A:$A,OperationTickets!AB:AB,"",0)),"hh:mm"))</f>
        <v>08:00</v>
      </c>
      <c r="G2561" s="309">
        <f t="shared" si="3"/>
        <v>0.7083333333</v>
      </c>
      <c r="H2561" s="316" t="str">
        <f t="array" ref="H2561">XLOOKUP(B2561,Roster!L:L,Roster!N:N,XLOOKUP(D2561,TicketsBreak!A:A,TicketsBreak!E:E,"",0),0)</f>
        <v>09:15 - 09:30</v>
      </c>
      <c r="I2561" s="316" t="str">
        <f t="array" ref="I2561">XLOOKUP(B2561,Roster!L:L,Roster!O:O,XLOOKUP(D2561,TicketsBreak!A:A,TicketsBreak!F:F,"",0),0)</f>
        <v>11:30 - 12:00</v>
      </c>
      <c r="J2561" s="316" t="str">
        <f t="array" ref="J2561">XLOOKUP(B2561,Roster!L:L,Roster!P:P,XLOOKUP(D2561,TicketsBreak!A:A,TicketsBreak!G:G,"",0),0)</f>
        <v>14:30 - 14:45</v>
      </c>
      <c r="K2561" s="310">
        <f t="shared" si="4"/>
        <v>46134</v>
      </c>
      <c r="L2561" s="317">
        <f t="array" ref="L2561">(XLOOKUP(D2561,Roster!F:F,Roster!D:D,"",0))</f>
        <v>23</v>
      </c>
      <c r="M2561" s="317" t="str">
        <f t="array" ref="M2561">XLOOKUP(D2561,Roster!F:F,Roster!E:E)</f>
        <v>Voice</v>
      </c>
      <c r="N2561" s="317" t="str">
        <f t="shared" ref="N2561:P2561" si="2597">LEFT(H2561,5)</f>
        <v>09:15</v>
      </c>
      <c r="O2561" s="317" t="str">
        <f t="shared" si="2597"/>
        <v>11:30</v>
      </c>
      <c r="P2561" s="317" t="str">
        <f t="shared" si="2597"/>
        <v>14:30</v>
      </c>
      <c r="Q2561" s="318">
        <f t="shared" si="2507"/>
        <v>46134.38542</v>
      </c>
      <c r="R2561" s="318">
        <f t="shared" si="2508"/>
        <v>46134.47917</v>
      </c>
      <c r="S2561" s="318">
        <f t="shared" si="8"/>
        <v>46134.60417</v>
      </c>
    </row>
    <row r="2562">
      <c r="A2562" s="14" t="str">
        <f t="shared" si="1"/>
        <v>C154146134</v>
      </c>
      <c r="B2562" s="185" t="str">
        <f t="array" ref="B2562">IF(F2562="VL","",IF(F2562="Free","Free",XLOOKUP(D2562,Roster!T:T,Roster!S:S,"",0)))</f>
        <v>Free</v>
      </c>
      <c r="C2562" s="313">
        <v>46134.0</v>
      </c>
      <c r="D2562" s="314" t="s">
        <v>33</v>
      </c>
      <c r="E2562" s="307" t="str">
        <f t="array" ref="E2562">(XLOOKUP(D2562,Roster!F:F,Roster!B:B,"",0))</f>
        <v>Gisel Moya</v>
      </c>
      <c r="F2562" s="315" t="str">
        <f t="array" ref="F2562">IF(B2562=100,"Free",TEXT(XLOOKUP($D2562,OperationVoice!$A:$A,OperationVoice!AB:AB,XLOOKUP($D2562,OperationTickets!$A:$A,OperationTickets!AB:AB,"",0)),"hh:mm"))</f>
        <v>Free</v>
      </c>
      <c r="G2562" s="309" t="str">
        <f t="shared" si="3"/>
        <v>Free</v>
      </c>
      <c r="H2562" s="316" t="str">
        <f t="array" ref="H2562">XLOOKUP(B2562,Roster!L:L,Roster!N:N,XLOOKUP(D2562,TicketsBreak!A:A,TicketsBreak!E:E,"",0),0)</f>
        <v/>
      </c>
      <c r="I2562" s="316" t="str">
        <f t="array" ref="I2562">XLOOKUP(B2562,Roster!L:L,Roster!O:O,XLOOKUP(D2562,TicketsBreak!A:A,TicketsBreak!F:F,"",0),0)</f>
        <v/>
      </c>
      <c r="J2562" s="316" t="str">
        <f t="array" ref="J2562">XLOOKUP(B2562,Roster!L:L,Roster!P:P,XLOOKUP(D2562,TicketsBreak!A:A,TicketsBreak!G:G,"",0),0)</f>
        <v/>
      </c>
      <c r="K2562" s="310">
        <f t="shared" si="4"/>
        <v>46134</v>
      </c>
      <c r="L2562" s="317">
        <f t="array" ref="L2562">(XLOOKUP(D2562,Roster!F:F,Roster!D:D,"",0))</f>
        <v>36</v>
      </c>
      <c r="M2562" s="317" t="str">
        <f t="array" ref="M2562">XLOOKUP(D2562,Roster!F:F,Roster!E:E)</f>
        <v>Voice</v>
      </c>
      <c r="N2562" s="317" t="str">
        <f t="shared" ref="N2562:P2562" si="2598">LEFT(H2562,5)</f>
        <v/>
      </c>
      <c r="O2562" s="317" t="str">
        <f t="shared" si="2598"/>
        <v/>
      </c>
      <c r="P2562" s="317" t="str">
        <f t="shared" si="2598"/>
        <v/>
      </c>
      <c r="Q2562" s="318" t="str">
        <f t="shared" si="2507"/>
        <v/>
      </c>
      <c r="R2562" s="318" t="str">
        <f t="shared" si="2508"/>
        <v/>
      </c>
      <c r="S2562" s="318" t="str">
        <f t="shared" si="8"/>
        <v/>
      </c>
    </row>
    <row r="2563">
      <c r="A2563" s="14" t="str">
        <f t="shared" si="1"/>
        <v>C86046134</v>
      </c>
      <c r="B2563" s="185" t="str">
        <f t="array" ref="B2563">IF(F2563="VL","",IF(F2563="Free","Free",XLOOKUP(D2563,Roster!T:T,Roster!S:S,"",0)))</f>
        <v/>
      </c>
      <c r="C2563" s="313">
        <v>46134.0</v>
      </c>
      <c r="D2563" s="314" t="s">
        <v>158</v>
      </c>
      <c r="E2563" s="307" t="str">
        <f t="array" ref="E2563">(XLOOKUP(D2563,Roster!F:F,Roster!B:B,"",0))</f>
        <v>Ief Fabre</v>
      </c>
      <c r="F2563" s="315" t="str">
        <f t="array" ref="F2563">IF(B2563=100,"Free",TEXT(XLOOKUP($D2563,OperationVoice!$A:$A,OperationVoice!AB:AB,XLOOKUP($D2563,OperationTickets!$A:$A,OperationTickets!AB:AB,"",0)),"hh:mm"))</f>
        <v>08:00</v>
      </c>
      <c r="G2563" s="309">
        <f t="shared" si="3"/>
        <v>0.7083333333</v>
      </c>
      <c r="H2563" s="316">
        <f t="array" ref="H2563">XLOOKUP(B2563,Roster!L:L,Roster!N:N,XLOOKUP(D2563,TicketsBreak!A:A,TicketsBreak!E:E,"",0),0)</f>
        <v>0.4166666667</v>
      </c>
      <c r="I2563" s="316">
        <f t="array" ref="I2563">XLOOKUP(B2563,Roster!L:L,Roster!O:O,XLOOKUP(D2563,TicketsBreak!A:A,TicketsBreak!F:F,"",0),0)</f>
        <v>0.5</v>
      </c>
      <c r="J2563" s="316">
        <f t="array" ref="J2563">XLOOKUP(B2563,Roster!L:L,Roster!P:P,XLOOKUP(D2563,TicketsBreak!A:A,TicketsBreak!G:G,"",0),0)</f>
        <v>0.625</v>
      </c>
      <c r="K2563" s="310">
        <f t="shared" si="4"/>
        <v>46134</v>
      </c>
      <c r="L2563" s="317">
        <f t="array" ref="L2563">(XLOOKUP(D2563,Roster!F:F,Roster!D:D,"",0))</f>
        <v>10</v>
      </c>
      <c r="M2563" s="317" t="str">
        <f t="array" ref="M2563">XLOOKUP(D2563,Roster!F:F,Roster!E:E)</f>
        <v>Tickets</v>
      </c>
      <c r="N2563" s="317" t="str">
        <f t="shared" ref="N2563:P2563" si="2599">LEFT(H2563,5)</f>
        <v>10:00</v>
      </c>
      <c r="O2563" s="317" t="str">
        <f t="shared" si="2599"/>
        <v>12:00</v>
      </c>
      <c r="P2563" s="317" t="str">
        <f t="shared" si="2599"/>
        <v>15:00</v>
      </c>
      <c r="Q2563" s="318">
        <f t="shared" si="2507"/>
        <v>46134.41667</v>
      </c>
      <c r="R2563" s="318">
        <f t="shared" si="2508"/>
        <v>46134.5</v>
      </c>
      <c r="S2563" s="318">
        <f t="shared" si="8"/>
        <v>46134.625</v>
      </c>
    </row>
    <row r="2564">
      <c r="A2564" s="14" t="str">
        <f t="shared" si="1"/>
        <v>C148146134</v>
      </c>
      <c r="B2564" s="185">
        <f t="array" ref="B2564">IF(F2564="VL","",IF(F2564="Free","Free",XLOOKUP(D2564,Roster!T:T,Roster!S:S,"",0)))</f>
        <v>155</v>
      </c>
      <c r="C2564" s="313">
        <v>46134.0</v>
      </c>
      <c r="D2564" s="314" t="s">
        <v>34</v>
      </c>
      <c r="E2564" s="307" t="str">
        <f t="array" ref="E2564">(XLOOKUP(D2564,Roster!F:F,Roster!B:B,"",0))</f>
        <v>Jasam Mejia</v>
      </c>
      <c r="F2564" s="315" t="str">
        <f t="array" ref="F2564">IF(B2564=100,"Free",TEXT(XLOOKUP($D2564,OperationVoice!$A:$A,OperationVoice!AB:AB,XLOOKUP($D2564,OperationTickets!$A:$A,OperationTickets!AB:AB,"",0)),"hh:mm"))</f>
        <v>11:00</v>
      </c>
      <c r="G2564" s="309">
        <f t="shared" si="3"/>
        <v>0.8333333333</v>
      </c>
      <c r="H2564" s="316" t="str">
        <f t="array" ref="H2564">XLOOKUP(B2564,Roster!L:L,Roster!N:N,XLOOKUP(D2564,TicketsBreak!A:A,TicketsBreak!E:E,"",0),0)</f>
        <v>13:15 - 13:30</v>
      </c>
      <c r="I2564" s="316" t="str">
        <f t="array" ref="I2564">XLOOKUP(B2564,Roster!L:L,Roster!O:O,XLOOKUP(D2564,TicketsBreak!A:A,TicketsBreak!F:F,"",0),0)</f>
        <v>15:45 - 16:15</v>
      </c>
      <c r="J2564" s="316" t="str">
        <f t="array" ref="J2564">XLOOKUP(B2564,Roster!L:L,Roster!P:P,XLOOKUP(D2564,TicketsBreak!A:A,TicketsBreak!G:G,"",0),0)</f>
        <v>18:15 - 18:30</v>
      </c>
      <c r="K2564" s="310">
        <f t="shared" si="4"/>
        <v>46134</v>
      </c>
      <c r="L2564" s="317">
        <f t="array" ref="L2564">(XLOOKUP(D2564,Roster!F:F,Roster!D:D,"",0))</f>
        <v>34</v>
      </c>
      <c r="M2564" s="317" t="str">
        <f t="array" ref="M2564">XLOOKUP(D2564,Roster!F:F,Roster!E:E)</f>
        <v>Voice</v>
      </c>
      <c r="N2564" s="317" t="str">
        <f t="shared" ref="N2564:P2564" si="2600">LEFT(H2564,5)</f>
        <v>13:15</v>
      </c>
      <c r="O2564" s="317" t="str">
        <f t="shared" si="2600"/>
        <v>15:45</v>
      </c>
      <c r="P2564" s="317" t="str">
        <f t="shared" si="2600"/>
        <v>18:15</v>
      </c>
      <c r="Q2564" s="318">
        <f t="shared" si="2507"/>
        <v>46134.55208</v>
      </c>
      <c r="R2564" s="318">
        <f t="shared" si="2508"/>
        <v>46134.65625</v>
      </c>
      <c r="S2564" s="318">
        <f t="shared" si="8"/>
        <v>46134.76042</v>
      </c>
    </row>
    <row r="2565">
      <c r="A2565" s="14" t="str">
        <f t="shared" si="1"/>
        <v>C131846134</v>
      </c>
      <c r="B2565" s="185" t="str">
        <f t="array" ref="B2565">IF(F2565="VL","",IF(F2565="Free","Free",XLOOKUP(D2565,Roster!T:T,Roster!S:S,"",0)))</f>
        <v/>
      </c>
      <c r="C2565" s="313">
        <v>46134.0</v>
      </c>
      <c r="D2565" s="314" t="s">
        <v>159</v>
      </c>
      <c r="E2565" s="307" t="str">
        <f t="array" ref="E2565">(XLOOKUP(D2565,Roster!F:F,Roster!B:B,"",0))</f>
        <v>Jeampierre Jaramillo</v>
      </c>
      <c r="F2565" s="315" t="str">
        <f t="array" ref="F2565">IF(B2565=100,"Free",TEXT(XLOOKUP($D2565,OperationVoice!$A:$A,OperationVoice!AB:AB,XLOOKUP($D2565,OperationTickets!$A:$A,OperationTickets!AB:AB,"",0)),"hh:mm"))</f>
        <v>07:00</v>
      </c>
      <c r="G2565" s="309">
        <f t="shared" si="3"/>
        <v>0.6666666667</v>
      </c>
      <c r="H2565" s="316" t="str">
        <f t="array" ref="H2565">XLOOKUP(B2565,Roster!L:L,Roster!N:N,XLOOKUP(D2565,TicketsBreak!A:A,TicketsBreak!E:E,"",0),0)</f>
        <v/>
      </c>
      <c r="I2565" s="316" t="str">
        <f t="array" ref="I2565">XLOOKUP(B2565,Roster!L:L,Roster!O:O,XLOOKUP(D2565,TicketsBreak!A:A,TicketsBreak!F:F,"",0),0)</f>
        <v/>
      </c>
      <c r="J2565" s="316" t="str">
        <f t="array" ref="J2565">XLOOKUP(B2565,Roster!L:L,Roster!P:P,XLOOKUP(D2565,TicketsBreak!A:A,TicketsBreak!G:G,"",0),0)</f>
        <v/>
      </c>
      <c r="K2565" s="310">
        <f t="shared" si="4"/>
        <v>46134</v>
      </c>
      <c r="L2565" s="317">
        <f t="array" ref="L2565">(XLOOKUP(D2565,Roster!F:F,Roster!D:D,"",0))</f>
        <v>29</v>
      </c>
      <c r="M2565" s="317" t="str">
        <f t="array" ref="M2565">XLOOKUP(D2565,Roster!F:F,Roster!E:E)</f>
        <v>Tickets</v>
      </c>
      <c r="N2565" s="317" t="str">
        <f t="shared" ref="N2565:P2565" si="2601">LEFT(H2565,5)</f>
        <v/>
      </c>
      <c r="O2565" s="317" t="str">
        <f t="shared" si="2601"/>
        <v/>
      </c>
      <c r="P2565" s="317" t="str">
        <f t="shared" si="2601"/>
        <v/>
      </c>
      <c r="Q2565" s="318" t="str">
        <f t="shared" si="2507"/>
        <v/>
      </c>
      <c r="R2565" s="318" t="str">
        <f t="shared" si="2508"/>
        <v/>
      </c>
      <c r="S2565" s="318" t="str">
        <f t="shared" si="8"/>
        <v/>
      </c>
    </row>
    <row r="2566">
      <c r="A2566" s="14" t="str">
        <f t="shared" si="1"/>
        <v>C155046134</v>
      </c>
      <c r="B2566" s="185">
        <f t="array" ref="B2566">IF(F2566="VL","",IF(F2566="Free","Free",XLOOKUP(D2566,Roster!T:T,Roster!S:S,"",0)))</f>
        <v>126</v>
      </c>
      <c r="C2566" s="313">
        <v>46134.0</v>
      </c>
      <c r="D2566" s="314" t="s">
        <v>35</v>
      </c>
      <c r="E2566" s="307" t="str">
        <f t="array" ref="E2566">(XLOOKUP(D2566,Roster!F:F,Roster!B:B,"",0))</f>
        <v>Jeidin Vargas</v>
      </c>
      <c r="F2566" s="315" t="str">
        <f t="array" ref="F2566">IF(B2566=100,"Free",TEXT(XLOOKUP($D2566,OperationVoice!$A:$A,OperationVoice!AB:AB,XLOOKUP($D2566,OperationTickets!$A:$A,OperationTickets!AB:AB,"",0)),"hh:mm"))</f>
        <v>08:00</v>
      </c>
      <c r="G2566" s="309">
        <f t="shared" si="3"/>
        <v>0.7083333333</v>
      </c>
      <c r="H2566" s="316" t="str">
        <f t="array" ref="H2566">XLOOKUP(B2566,Roster!L:L,Roster!N:N,XLOOKUP(D2566,TicketsBreak!A:A,TicketsBreak!E:E,"",0),0)</f>
        <v>10:45 - 11:00</v>
      </c>
      <c r="I2566" s="316" t="str">
        <f t="array" ref="I2566">XLOOKUP(B2566,Roster!L:L,Roster!O:O,XLOOKUP(D2566,TicketsBreak!A:A,TicketsBreak!F:F,"",0),0)</f>
        <v>14:00 - 14:30</v>
      </c>
      <c r="J2566" s="316" t="str">
        <f t="array" ref="J2566">XLOOKUP(B2566,Roster!L:L,Roster!P:P,XLOOKUP(D2566,TicketsBreak!A:A,TicketsBreak!G:G,"",0),0)</f>
        <v>15:45 - 16:00</v>
      </c>
      <c r="K2566" s="310">
        <f t="shared" si="4"/>
        <v>46134</v>
      </c>
      <c r="L2566" s="317">
        <f t="array" ref="L2566">(XLOOKUP(D2566,Roster!F:F,Roster!D:D,"",0))</f>
        <v>37</v>
      </c>
      <c r="M2566" s="317" t="str">
        <f t="array" ref="M2566">XLOOKUP(D2566,Roster!F:F,Roster!E:E)</f>
        <v>Voice</v>
      </c>
      <c r="N2566" s="317" t="str">
        <f t="shared" ref="N2566:P2566" si="2602">LEFT(H2566,5)</f>
        <v>10:45</v>
      </c>
      <c r="O2566" s="317" t="str">
        <f t="shared" si="2602"/>
        <v>14:00</v>
      </c>
      <c r="P2566" s="317" t="str">
        <f t="shared" si="2602"/>
        <v>15:45</v>
      </c>
      <c r="Q2566" s="318">
        <f t="shared" si="2507"/>
        <v>46134.44792</v>
      </c>
      <c r="R2566" s="318">
        <f t="shared" si="2508"/>
        <v>46134.58333</v>
      </c>
      <c r="S2566" s="318">
        <f t="shared" si="8"/>
        <v>46134.65625</v>
      </c>
    </row>
    <row r="2567">
      <c r="A2567" s="14" t="str">
        <f t="shared" si="1"/>
        <v>C51246134</v>
      </c>
      <c r="B2567" s="185">
        <f t="array" ref="B2567">IF(F2567="VL","",IF(F2567="Free","Free",XLOOKUP(D2567,Roster!T:T,Roster!S:S,"",0)))</f>
        <v>122</v>
      </c>
      <c r="C2567" s="313">
        <v>46134.0</v>
      </c>
      <c r="D2567" s="314" t="s">
        <v>36</v>
      </c>
      <c r="E2567" s="307" t="str">
        <f t="array" ref="E2567">(XLOOKUP(D2567,Roster!F:F,Roster!B:B,"",0))</f>
        <v>Jhoam Quiroz</v>
      </c>
      <c r="F2567" s="315" t="str">
        <f t="array" ref="F2567">IF(B2567=100,"Free",TEXT(XLOOKUP($D2567,OperationVoice!$A:$A,OperationVoice!AB:AB,XLOOKUP($D2567,OperationTickets!$A:$A,OperationTickets!AB:AB,"",0)),"hh:mm"))</f>
        <v>08:00</v>
      </c>
      <c r="G2567" s="309">
        <f t="shared" si="3"/>
        <v>0.7083333333</v>
      </c>
      <c r="H2567" s="316" t="str">
        <f t="array" ref="H2567">XLOOKUP(B2567,Roster!L:L,Roster!N:N,XLOOKUP(D2567,TicketsBreak!A:A,TicketsBreak!E:E,"",0),0)</f>
        <v>09:30 - 09:45</v>
      </c>
      <c r="I2567" s="316" t="str">
        <f t="array" ref="I2567">XLOOKUP(B2567,Roster!L:L,Roster!O:O,XLOOKUP(D2567,TicketsBreak!A:A,TicketsBreak!F:F,"",0),0)</f>
        <v>12:00 - 12:30</v>
      </c>
      <c r="J2567" s="316" t="str">
        <f t="array" ref="J2567">XLOOKUP(B2567,Roster!L:L,Roster!P:P,XLOOKUP(D2567,TicketsBreak!A:A,TicketsBreak!G:G,"",0),0)</f>
        <v>14:45 - 15:00</v>
      </c>
      <c r="K2567" s="310">
        <f t="shared" si="4"/>
        <v>46134</v>
      </c>
      <c r="L2567" s="317">
        <f t="array" ref="L2567">(XLOOKUP(D2567,Roster!F:F,Roster!D:D,"",0))</f>
        <v>1</v>
      </c>
      <c r="M2567" s="317" t="str">
        <f t="array" ref="M2567">XLOOKUP(D2567,Roster!F:F,Roster!E:E)</f>
        <v>Voice</v>
      </c>
      <c r="N2567" s="317" t="str">
        <f t="shared" ref="N2567:P2567" si="2603">LEFT(H2567,5)</f>
        <v>09:30</v>
      </c>
      <c r="O2567" s="317" t="str">
        <f t="shared" si="2603"/>
        <v>12:00</v>
      </c>
      <c r="P2567" s="317" t="str">
        <f t="shared" si="2603"/>
        <v>14:45</v>
      </c>
      <c r="Q2567" s="318">
        <f t="shared" si="2507"/>
        <v>46134.39583</v>
      </c>
      <c r="R2567" s="318">
        <f t="shared" si="2508"/>
        <v>46134.5</v>
      </c>
      <c r="S2567" s="318">
        <f t="shared" si="8"/>
        <v>46134.61458</v>
      </c>
    </row>
    <row r="2568">
      <c r="A2568" s="14" t="str">
        <f t="shared" si="1"/>
        <v>C150946134</v>
      </c>
      <c r="B2568" s="185">
        <f t="array" ref="B2568">IF(F2568="VL","",IF(F2568="Free","Free",XLOOKUP(D2568,Roster!T:T,Roster!S:S,"",0)))</f>
        <v>121</v>
      </c>
      <c r="C2568" s="313">
        <v>46134.0</v>
      </c>
      <c r="D2568" s="314" t="s">
        <v>37</v>
      </c>
      <c r="E2568" s="307" t="str">
        <f t="array" ref="E2568">(XLOOKUP(D2568,Roster!F:F,Roster!B:B,"",0))</f>
        <v>Jhonatan Gomez</v>
      </c>
      <c r="F2568" s="315" t="str">
        <f t="array" ref="F2568">IF(B2568=100,"Free",TEXT(XLOOKUP($D2568,OperationVoice!$A:$A,OperationVoice!AB:AB,XLOOKUP($D2568,OperationTickets!$A:$A,OperationTickets!AB:AB,"",0)),"hh:mm"))</f>
        <v>08:00</v>
      </c>
      <c r="G2568" s="309">
        <f t="shared" si="3"/>
        <v>0.7083333333</v>
      </c>
      <c r="H2568" s="316" t="str">
        <f t="array" ref="H2568">XLOOKUP(B2568,Roster!L:L,Roster!N:N,XLOOKUP(D2568,TicketsBreak!A:A,TicketsBreak!E:E,"",0),0)</f>
        <v>09:15 - 09:30</v>
      </c>
      <c r="I2568" s="316" t="str">
        <f t="array" ref="I2568">XLOOKUP(B2568,Roster!L:L,Roster!O:O,XLOOKUP(D2568,TicketsBreak!A:A,TicketsBreak!F:F,"",0),0)</f>
        <v>11:30 - 12:00</v>
      </c>
      <c r="J2568" s="316" t="str">
        <f t="array" ref="J2568">XLOOKUP(B2568,Roster!L:L,Roster!P:P,XLOOKUP(D2568,TicketsBreak!A:A,TicketsBreak!G:G,"",0),0)</f>
        <v>14:30 - 14:45</v>
      </c>
      <c r="K2568" s="310">
        <f t="shared" si="4"/>
        <v>46134</v>
      </c>
      <c r="L2568" s="317">
        <f t="array" ref="L2568">(XLOOKUP(D2568,Roster!F:F,Roster!D:D,"",0))</f>
        <v>35</v>
      </c>
      <c r="M2568" s="317" t="str">
        <f t="array" ref="M2568">XLOOKUP(D2568,Roster!F:F,Roster!E:E)</f>
        <v>Voice</v>
      </c>
      <c r="N2568" s="317" t="str">
        <f t="shared" ref="N2568:P2568" si="2604">LEFT(H2568,5)</f>
        <v>09:15</v>
      </c>
      <c r="O2568" s="317" t="str">
        <f t="shared" si="2604"/>
        <v>11:30</v>
      </c>
      <c r="P2568" s="317" t="str">
        <f t="shared" si="2604"/>
        <v>14:30</v>
      </c>
      <c r="Q2568" s="318">
        <f t="shared" si="2507"/>
        <v>46134.38542</v>
      </c>
      <c r="R2568" s="318">
        <f t="shared" si="2508"/>
        <v>46134.47917</v>
      </c>
      <c r="S2568" s="318">
        <f t="shared" si="8"/>
        <v>46134.60417</v>
      </c>
    </row>
    <row r="2569">
      <c r="A2569" s="14" t="str">
        <f t="shared" si="1"/>
        <v>C151546134</v>
      </c>
      <c r="B2569" s="185">
        <f t="array" ref="B2569">IF(F2569="VL","",IF(F2569="Free","Free",XLOOKUP(D2569,Roster!T:T,Roster!S:S,"",0)))</f>
        <v>151</v>
      </c>
      <c r="C2569" s="313">
        <v>46134.0</v>
      </c>
      <c r="D2569" s="314" t="s">
        <v>38</v>
      </c>
      <c r="E2569" s="307" t="str">
        <f t="array" ref="E2569">(XLOOKUP(D2569,Roster!F:F,Roster!B:B,"",0))</f>
        <v>Joan Perez</v>
      </c>
      <c r="F2569" s="315" t="str">
        <f t="array" ref="F2569">IF(B2569=100,"Free",TEXT(XLOOKUP($D2569,OperationVoice!$A:$A,OperationVoice!AB:AB,XLOOKUP($D2569,OperationTickets!$A:$A,OperationTickets!AB:AB,"",0)),"hh:mm"))</f>
        <v/>
      </c>
      <c r="G2569" s="309" t="str">
        <f t="shared" si="3"/>
        <v/>
      </c>
      <c r="H2569" s="316" t="str">
        <f t="array" ref="H2569">XLOOKUP(B2569,Roster!L:L,Roster!N:N,XLOOKUP(D2569,TicketsBreak!A:A,TicketsBreak!E:E,"",0),0)</f>
        <v>12:15 - 12:30</v>
      </c>
      <c r="I2569" s="316" t="str">
        <f t="array" ref="I2569">XLOOKUP(B2569,Roster!L:L,Roster!O:O,XLOOKUP(D2569,TicketsBreak!A:A,TicketsBreak!F:F,"",0),0)</f>
        <v>14:00 - 14:30</v>
      </c>
      <c r="J2569" s="316" t="str">
        <f t="array" ref="J2569">XLOOKUP(B2569,Roster!L:L,Roster!P:P,XLOOKUP(D2569,TicketsBreak!A:A,TicketsBreak!G:G,"",0),0)</f>
        <v>17:15 - 17:30</v>
      </c>
      <c r="K2569" s="310">
        <f t="shared" si="4"/>
        <v>46134</v>
      </c>
      <c r="L2569" s="317">
        <f t="array" ref="L2569">(XLOOKUP(D2569,Roster!F:F,Roster!D:D,"",0))</f>
        <v>35</v>
      </c>
      <c r="M2569" s="317" t="str">
        <f t="array" ref="M2569">XLOOKUP(D2569,Roster!F:F,Roster!E:E)</f>
        <v>Voice</v>
      </c>
      <c r="N2569" s="317" t="str">
        <f t="shared" ref="N2569:P2569" si="2605">LEFT(H2569,5)</f>
        <v>12:15</v>
      </c>
      <c r="O2569" s="317" t="str">
        <f t="shared" si="2605"/>
        <v>14:00</v>
      </c>
      <c r="P2569" s="317" t="str">
        <f t="shared" si="2605"/>
        <v>17:15</v>
      </c>
      <c r="Q2569" s="318">
        <f t="shared" si="2507"/>
        <v>46134.51042</v>
      </c>
      <c r="R2569" s="318">
        <f t="shared" si="2508"/>
        <v>46134.58333</v>
      </c>
      <c r="S2569" s="318">
        <f t="shared" si="8"/>
        <v>46134.71875</v>
      </c>
    </row>
    <row r="2570">
      <c r="A2570" s="14" t="str">
        <f t="shared" si="1"/>
        <v>C128946134</v>
      </c>
      <c r="B2570" s="185" t="str">
        <f t="array" ref="B2570">IF(F2570="VL","",IF(F2570="Free","Free",XLOOKUP(D2570,Roster!T:T,Roster!S:S,"",0)))</f>
        <v/>
      </c>
      <c r="C2570" s="313">
        <v>46134.0</v>
      </c>
      <c r="D2570" s="314" t="s">
        <v>140</v>
      </c>
      <c r="E2570" s="307" t="str">
        <f t="array" ref="E2570">(XLOOKUP(D2570,Roster!F:F,Roster!B:B,"",0))</f>
        <v>Johana Villarreal</v>
      </c>
      <c r="F2570" s="315" t="str">
        <f t="array" ref="F2570">IF(B2570=100,"Free",TEXT(XLOOKUP($D2570,OperationVoice!$A:$A,OperationVoice!AB:AB,XLOOKUP($D2570,OperationTickets!$A:$A,OperationTickets!AB:AB,"",0)),"hh:mm"))</f>
        <v>07:00</v>
      </c>
      <c r="G2570" s="309">
        <f t="shared" si="3"/>
        <v>0.6666666667</v>
      </c>
      <c r="H2570" s="316" t="str">
        <f t="array" ref="H2570">XLOOKUP(B2570,Roster!L:L,Roster!N:N,XLOOKUP(D2570,TicketsBreak!A:A,TicketsBreak!E:E,"",0),0)</f>
        <v/>
      </c>
      <c r="I2570" s="316" t="str">
        <f t="array" ref="I2570">XLOOKUP(B2570,Roster!L:L,Roster!O:O,XLOOKUP(D2570,TicketsBreak!A:A,TicketsBreak!F:F,"",0),0)</f>
        <v/>
      </c>
      <c r="J2570" s="316" t="str">
        <f t="array" ref="J2570">XLOOKUP(B2570,Roster!L:L,Roster!P:P,XLOOKUP(D2570,TicketsBreak!A:A,TicketsBreak!G:G,"",0),0)</f>
        <v/>
      </c>
      <c r="K2570" s="310">
        <f t="shared" si="4"/>
        <v>46134</v>
      </c>
      <c r="L2570" s="317">
        <f t="array" ref="L2570">(XLOOKUP(D2570,Roster!F:F,Roster!D:D,"",0))</f>
        <v>28</v>
      </c>
      <c r="M2570" s="317" t="str">
        <f t="array" ref="M2570">XLOOKUP(D2570,Roster!F:F,Roster!E:E)</f>
        <v>Tickets</v>
      </c>
      <c r="N2570" s="317" t="str">
        <f t="shared" ref="N2570:P2570" si="2606">LEFT(H2570,5)</f>
        <v/>
      </c>
      <c r="O2570" s="317" t="str">
        <f t="shared" si="2606"/>
        <v/>
      </c>
      <c r="P2570" s="317" t="str">
        <f t="shared" si="2606"/>
        <v/>
      </c>
      <c r="Q2570" s="318" t="str">
        <f t="shared" si="2507"/>
        <v/>
      </c>
      <c r="R2570" s="318" t="str">
        <f t="shared" si="2508"/>
        <v/>
      </c>
      <c r="S2570" s="318" t="str">
        <f t="shared" si="8"/>
        <v/>
      </c>
    </row>
    <row r="2571">
      <c r="A2571" s="14" t="str">
        <f t="shared" si="1"/>
        <v>C155146134</v>
      </c>
      <c r="B2571" s="185">
        <f t="array" ref="B2571">IF(F2571="VL","",IF(F2571="Free","Free",XLOOKUP(D2571,Roster!T:T,Roster!S:S,"",0)))</f>
        <v>124</v>
      </c>
      <c r="C2571" s="313">
        <v>46134.0</v>
      </c>
      <c r="D2571" s="314" t="s">
        <v>39</v>
      </c>
      <c r="E2571" s="307" t="str">
        <f t="array" ref="E2571">(XLOOKUP(D2571,Roster!F:F,Roster!B:B,"",0))</f>
        <v>John Atilano</v>
      </c>
      <c r="F2571" s="315" t="str">
        <f t="array" ref="F2571">IF(B2571=100,"Free",TEXT(XLOOKUP($D2571,OperationVoice!$A:$A,OperationVoice!AB:AB,XLOOKUP($D2571,OperationTickets!$A:$A,OperationTickets!AB:AB,"",0)),"hh:mm"))</f>
        <v>08:00</v>
      </c>
      <c r="G2571" s="309">
        <f t="shared" si="3"/>
        <v>0.7083333333</v>
      </c>
      <c r="H2571" s="316" t="str">
        <f t="array" ref="H2571">XLOOKUP(B2571,Roster!L:L,Roster!N:N,XLOOKUP(D2571,TicketsBreak!A:A,TicketsBreak!E:E,"",0),0)</f>
        <v>10:00 - 10:15</v>
      </c>
      <c r="I2571" s="316" t="str">
        <f t="array" ref="I2571">XLOOKUP(B2571,Roster!L:L,Roster!O:O,XLOOKUP(D2571,TicketsBreak!A:A,TicketsBreak!F:F,"",0),0)</f>
        <v>13:00 - 13:30</v>
      </c>
      <c r="J2571" s="316" t="str">
        <f t="array" ref="J2571">XLOOKUP(B2571,Roster!L:L,Roster!P:P,XLOOKUP(D2571,TicketsBreak!A:A,TicketsBreak!G:G,"",0),0)</f>
        <v>15:30 - 15:45</v>
      </c>
      <c r="K2571" s="310">
        <f t="shared" si="4"/>
        <v>46134</v>
      </c>
      <c r="L2571" s="317">
        <f t="array" ref="L2571">(XLOOKUP(D2571,Roster!F:F,Roster!D:D,"",0))</f>
        <v>37</v>
      </c>
      <c r="M2571" s="317" t="str">
        <f t="array" ref="M2571">XLOOKUP(D2571,Roster!F:F,Roster!E:E)</f>
        <v>Voice</v>
      </c>
      <c r="N2571" s="317" t="str">
        <f t="shared" ref="N2571:P2571" si="2607">LEFT(H2571,5)</f>
        <v>10:00</v>
      </c>
      <c r="O2571" s="317" t="str">
        <f t="shared" si="2607"/>
        <v>13:00</v>
      </c>
      <c r="P2571" s="317" t="str">
        <f t="shared" si="2607"/>
        <v>15:30</v>
      </c>
      <c r="Q2571" s="318">
        <f t="shared" si="2507"/>
        <v>46134.41667</v>
      </c>
      <c r="R2571" s="318">
        <f t="shared" si="2508"/>
        <v>46134.54167</v>
      </c>
      <c r="S2571" s="318">
        <f t="shared" si="8"/>
        <v>46134.64583</v>
      </c>
    </row>
    <row r="2572">
      <c r="A2572" s="14" t="str">
        <f t="shared" si="1"/>
        <v>C154346134</v>
      </c>
      <c r="B2572" s="185">
        <f t="array" ref="B2572">IF(F2572="VL","",IF(F2572="Free","Free",XLOOKUP(D2572,Roster!T:T,Roster!S:S,"",0)))</f>
        <v>134</v>
      </c>
      <c r="C2572" s="313">
        <v>46134.0</v>
      </c>
      <c r="D2572" s="314" t="s">
        <v>40</v>
      </c>
      <c r="E2572" s="307" t="str">
        <f t="array" ref="E2572">(XLOOKUP(D2572,Roster!F:F,Roster!B:B,"",0))</f>
        <v>John Palacio</v>
      </c>
      <c r="F2572" s="315" t="str">
        <f t="array" ref="F2572">IF(B2572=100,"Free",TEXT(XLOOKUP($D2572,OperationVoice!$A:$A,OperationVoice!AB:AB,XLOOKUP($D2572,OperationTickets!$A:$A,OperationTickets!AB:AB,"",0)),"hh:mm"))</f>
        <v>09:00</v>
      </c>
      <c r="G2572" s="309">
        <f t="shared" si="3"/>
        <v>0.75</v>
      </c>
      <c r="H2572" s="316" t="str">
        <f t="array" ref="H2572">XLOOKUP(B2572,Roster!L:L,Roster!N:N,XLOOKUP(D2572,TicketsBreak!A:A,TicketsBreak!E:E,"",0),0)</f>
        <v>11:00 - 11:15</v>
      </c>
      <c r="I2572" s="316" t="str">
        <f t="array" ref="I2572">XLOOKUP(B2572,Roster!L:L,Roster!O:O,XLOOKUP(D2572,TicketsBreak!A:A,TicketsBreak!F:F,"",0),0)</f>
        <v>13:45 - 14:15</v>
      </c>
      <c r="J2572" s="316" t="str">
        <f t="array" ref="J2572">XLOOKUP(B2572,Roster!L:L,Roster!P:P,XLOOKUP(D2572,TicketsBreak!A:A,TicketsBreak!G:G,"",0),0)</f>
        <v>16:00 - 16:15</v>
      </c>
      <c r="K2572" s="310">
        <f t="shared" si="4"/>
        <v>46134</v>
      </c>
      <c r="L2572" s="317">
        <f t="array" ref="L2572">(XLOOKUP(D2572,Roster!F:F,Roster!D:D,"",0))</f>
        <v>36</v>
      </c>
      <c r="M2572" s="317" t="str">
        <f t="array" ref="M2572">XLOOKUP(D2572,Roster!F:F,Roster!E:E)</f>
        <v>Voice</v>
      </c>
      <c r="N2572" s="317" t="str">
        <f t="shared" ref="N2572:P2572" si="2608">LEFT(H2572,5)</f>
        <v>11:00</v>
      </c>
      <c r="O2572" s="317" t="str">
        <f t="shared" si="2608"/>
        <v>13:45</v>
      </c>
      <c r="P2572" s="317" t="str">
        <f t="shared" si="2608"/>
        <v>16:00</v>
      </c>
      <c r="Q2572" s="318">
        <f t="shared" si="2507"/>
        <v>46134.45833</v>
      </c>
      <c r="R2572" s="318">
        <f t="shared" si="2508"/>
        <v>46134.57292</v>
      </c>
      <c r="S2572" s="318">
        <f t="shared" si="8"/>
        <v>46134.66667</v>
      </c>
    </row>
    <row r="2573">
      <c r="A2573" s="14" t="str">
        <f t="shared" si="1"/>
        <v>C154246134</v>
      </c>
      <c r="B2573" s="185">
        <f t="array" ref="B2573">IF(F2573="VL","",IF(F2573="Free","Free",XLOOKUP(D2573,Roster!T:T,Roster!S:S,"",0)))</f>
        <v>124</v>
      </c>
      <c r="C2573" s="313">
        <v>46134.0</v>
      </c>
      <c r="D2573" s="314" t="s">
        <v>41</v>
      </c>
      <c r="E2573" s="307" t="str">
        <f t="array" ref="E2573">(XLOOKUP(D2573,Roster!F:F,Roster!B:B,"",0))</f>
        <v>Johny Garcia</v>
      </c>
      <c r="F2573" s="315" t="str">
        <f t="array" ref="F2573">IF(B2573=100,"Free",TEXT(XLOOKUP($D2573,OperationVoice!$A:$A,OperationVoice!AB:AB,XLOOKUP($D2573,OperationTickets!$A:$A,OperationTickets!AB:AB,"",0)),"hh:mm"))</f>
        <v>08:00</v>
      </c>
      <c r="G2573" s="309">
        <f t="shared" si="3"/>
        <v>0.7083333333</v>
      </c>
      <c r="H2573" s="316" t="str">
        <f t="array" ref="H2573">XLOOKUP(B2573,Roster!L:L,Roster!N:N,XLOOKUP(D2573,TicketsBreak!A:A,TicketsBreak!E:E,"",0),0)</f>
        <v>10:00 - 10:15</v>
      </c>
      <c r="I2573" s="316" t="str">
        <f t="array" ref="I2573">XLOOKUP(B2573,Roster!L:L,Roster!O:O,XLOOKUP(D2573,TicketsBreak!A:A,TicketsBreak!F:F,"",0),0)</f>
        <v>13:00 - 13:30</v>
      </c>
      <c r="J2573" s="316" t="str">
        <f t="array" ref="J2573">XLOOKUP(B2573,Roster!L:L,Roster!P:P,XLOOKUP(D2573,TicketsBreak!A:A,TicketsBreak!G:G,"",0),0)</f>
        <v>15:30 - 15:45</v>
      </c>
      <c r="K2573" s="310">
        <f t="shared" si="4"/>
        <v>46134</v>
      </c>
      <c r="L2573" s="317">
        <f t="array" ref="L2573">(XLOOKUP(D2573,Roster!F:F,Roster!D:D,"",0))</f>
        <v>36</v>
      </c>
      <c r="M2573" s="317" t="str">
        <f t="array" ref="M2573">XLOOKUP(D2573,Roster!F:F,Roster!E:E)</f>
        <v>Voice</v>
      </c>
      <c r="N2573" s="317" t="str">
        <f t="shared" ref="N2573:P2573" si="2609">LEFT(H2573,5)</f>
        <v>10:00</v>
      </c>
      <c r="O2573" s="317" t="str">
        <f t="shared" si="2609"/>
        <v>13:00</v>
      </c>
      <c r="P2573" s="317" t="str">
        <f t="shared" si="2609"/>
        <v>15:30</v>
      </c>
      <c r="Q2573" s="318">
        <f t="shared" si="2507"/>
        <v>46134.41667</v>
      </c>
      <c r="R2573" s="318">
        <f t="shared" si="2508"/>
        <v>46134.54167</v>
      </c>
      <c r="S2573" s="318">
        <f t="shared" si="8"/>
        <v>46134.64583</v>
      </c>
    </row>
    <row r="2574">
      <c r="A2574" s="14" t="str">
        <f t="shared" si="1"/>
        <v>C156946134</v>
      </c>
      <c r="B2574" s="185">
        <f t="array" ref="B2574">IF(F2574="VL","",IF(F2574="Free","Free",XLOOKUP(D2574,Roster!T:T,Roster!S:S,"",0)))</f>
        <v>121</v>
      </c>
      <c r="C2574" s="313">
        <v>46134.0</v>
      </c>
      <c r="D2574" s="314" t="s">
        <v>42</v>
      </c>
      <c r="E2574" s="307" t="str">
        <f t="array" ref="E2574">(XLOOKUP(D2574,Roster!F:F,Roster!B:B,"",0))</f>
        <v>Jorge Orozco</v>
      </c>
      <c r="F2574" s="315" t="str">
        <f t="array" ref="F2574">IF(B2574=100,"Free",TEXT(XLOOKUP($D2574,OperationVoice!$A:$A,OperationVoice!AB:AB,XLOOKUP($D2574,OperationTickets!$A:$A,OperationTickets!AB:AB,"",0)),"hh:mm"))</f>
        <v>08:00</v>
      </c>
      <c r="G2574" s="309">
        <f t="shared" si="3"/>
        <v>0.7083333333</v>
      </c>
      <c r="H2574" s="316" t="str">
        <f t="array" ref="H2574">XLOOKUP(B2574,Roster!L:L,Roster!N:N,XLOOKUP(D2574,TicketsBreak!A:A,TicketsBreak!E:E,"",0),0)</f>
        <v>09:15 - 09:30</v>
      </c>
      <c r="I2574" s="316" t="str">
        <f t="array" ref="I2574">XLOOKUP(B2574,Roster!L:L,Roster!O:O,XLOOKUP(D2574,TicketsBreak!A:A,TicketsBreak!F:F,"",0),0)</f>
        <v>11:30 - 12:00</v>
      </c>
      <c r="J2574" s="316" t="str">
        <f t="array" ref="J2574">XLOOKUP(B2574,Roster!L:L,Roster!P:P,XLOOKUP(D2574,TicketsBreak!A:A,TicketsBreak!G:G,"",0),0)</f>
        <v>14:30 - 14:45</v>
      </c>
      <c r="K2574" s="310">
        <f t="shared" si="4"/>
        <v>46134</v>
      </c>
      <c r="L2574" s="317">
        <f t="array" ref="L2574">(XLOOKUP(D2574,Roster!F:F,Roster!D:D,"",0))</f>
        <v>38</v>
      </c>
      <c r="M2574" s="317" t="str">
        <f t="array" ref="M2574">XLOOKUP(D2574,Roster!F:F,Roster!E:E)</f>
        <v>Voice</v>
      </c>
      <c r="N2574" s="317" t="str">
        <f t="shared" ref="N2574:P2574" si="2610">LEFT(H2574,5)</f>
        <v>09:15</v>
      </c>
      <c r="O2574" s="317" t="str">
        <f t="shared" si="2610"/>
        <v>11:30</v>
      </c>
      <c r="P2574" s="317" t="str">
        <f t="shared" si="2610"/>
        <v>14:30</v>
      </c>
      <c r="Q2574" s="318">
        <f t="shared" si="2507"/>
        <v>46134.38542</v>
      </c>
      <c r="R2574" s="318">
        <f t="shared" si="2508"/>
        <v>46134.47917</v>
      </c>
      <c r="S2574" s="318">
        <f t="shared" si="8"/>
        <v>46134.60417</v>
      </c>
    </row>
    <row r="2575">
      <c r="A2575" s="14" t="str">
        <f t="shared" si="1"/>
        <v>C102746134</v>
      </c>
      <c r="B2575" s="185" t="str">
        <f t="array" ref="B2575">IF(F2575="VL","",IF(F2575="Free","Free",XLOOKUP(D2575,Roster!T:T,Roster!S:S,"",0)))</f>
        <v/>
      </c>
      <c r="C2575" s="313">
        <v>46134.0</v>
      </c>
      <c r="D2575" s="314" t="s">
        <v>160</v>
      </c>
      <c r="E2575" s="307" t="str">
        <f t="array" ref="E2575">(XLOOKUP(D2575,Roster!F:F,Roster!B:B,"",0))</f>
        <v>Jose Perez</v>
      </c>
      <c r="F2575" s="315" t="str">
        <f t="array" ref="F2575">IF(B2575=100,"Free",TEXT(XLOOKUP($D2575,OperationVoice!$A:$A,OperationVoice!AB:AB,XLOOKUP($D2575,OperationTickets!$A:$A,OperationTickets!AB:AB,"",0)),"hh:mm"))</f>
        <v>06:00</v>
      </c>
      <c r="G2575" s="309">
        <f t="shared" si="3"/>
        <v>0.625</v>
      </c>
      <c r="H2575" s="316">
        <f t="array" ref="H2575">XLOOKUP(B2575,Roster!L:L,Roster!N:N,XLOOKUP(D2575,TicketsBreak!A:A,TicketsBreak!E:E,"",0),0)</f>
        <v>0.4166666667</v>
      </c>
      <c r="I2575" s="316">
        <f t="array" ref="I2575">XLOOKUP(B2575,Roster!L:L,Roster!O:O,XLOOKUP(D2575,TicketsBreak!A:A,TicketsBreak!F:F,"",0),0)</f>
        <v>0.5208333333</v>
      </c>
      <c r="J2575" s="316">
        <f t="array" ref="J2575">XLOOKUP(B2575,Roster!L:L,Roster!P:P,XLOOKUP(D2575,TicketsBreak!A:A,TicketsBreak!G:G,"",0),0)</f>
        <v>0.6354166667</v>
      </c>
      <c r="K2575" s="310">
        <f t="shared" si="4"/>
        <v>46134</v>
      </c>
      <c r="L2575" s="317">
        <f t="array" ref="L2575">(XLOOKUP(D2575,Roster!F:F,Roster!D:D,"",0))</f>
        <v>15</v>
      </c>
      <c r="M2575" s="317" t="str">
        <f t="array" ref="M2575">XLOOKUP(D2575,Roster!F:F,Roster!E:E)</f>
        <v>Tickets</v>
      </c>
      <c r="N2575" s="317" t="str">
        <f t="shared" ref="N2575:P2575" si="2611">LEFT(H2575,5)</f>
        <v>10:00</v>
      </c>
      <c r="O2575" s="317" t="str">
        <f t="shared" si="2611"/>
        <v>12:30</v>
      </c>
      <c r="P2575" s="317" t="str">
        <f t="shared" si="2611"/>
        <v>15:15</v>
      </c>
      <c r="Q2575" s="318">
        <f t="shared" si="2507"/>
        <v>46134.41667</v>
      </c>
      <c r="R2575" s="318">
        <f t="shared" si="2508"/>
        <v>46134.52083</v>
      </c>
      <c r="S2575" s="318">
        <f t="shared" si="8"/>
        <v>46134.63542</v>
      </c>
    </row>
    <row r="2576">
      <c r="A2576" s="14" t="str">
        <f t="shared" si="1"/>
        <v>C142646134</v>
      </c>
      <c r="B2576" s="185">
        <f t="array" ref="B2576">IF(F2576="VL","",IF(F2576="Free","Free",XLOOKUP(D2576,Roster!T:T,Roster!S:S,"",0)))</f>
        <v>123</v>
      </c>
      <c r="C2576" s="313">
        <v>46134.0</v>
      </c>
      <c r="D2576" s="314" t="s">
        <v>161</v>
      </c>
      <c r="E2576" s="307" t="str">
        <f t="array" ref="E2576">(XLOOKUP(D2576,Roster!F:F,Roster!B:B,"",0))</f>
        <v>Jose Zapata</v>
      </c>
      <c r="F2576" s="315" t="str">
        <f t="array" ref="F2576">IF(B2576=100,"Free",TEXT(XLOOKUP($D2576,OperationVoice!$A:$A,OperationVoice!AB:AB,XLOOKUP($D2576,OperationTickets!$A:$A,OperationTickets!AB:AB,"",0)),"hh:mm"))</f>
        <v>08:00</v>
      </c>
      <c r="G2576" s="309">
        <f t="shared" si="3"/>
        <v>0.7083333333</v>
      </c>
      <c r="H2576" s="316" t="str">
        <f t="array" ref="H2576">XLOOKUP(B2576,Roster!L:L,Roster!N:N,XLOOKUP(D2576,TicketsBreak!A:A,TicketsBreak!E:E,"",0),0)</f>
        <v>09:45 - 10:00 </v>
      </c>
      <c r="I2576" s="316" t="str">
        <f t="array" ref="I2576">XLOOKUP(B2576,Roster!L:L,Roster!O:O,XLOOKUP(D2576,TicketsBreak!A:A,TicketsBreak!F:F,"",0),0)</f>
        <v>12:30 - 13:00</v>
      </c>
      <c r="J2576" s="316" t="str">
        <f t="array" ref="J2576">XLOOKUP(B2576,Roster!L:L,Roster!P:P,XLOOKUP(D2576,TicketsBreak!A:A,TicketsBreak!G:G,"",0),0)</f>
        <v>15:00 - 15:15</v>
      </c>
      <c r="K2576" s="310">
        <f t="shared" si="4"/>
        <v>46134</v>
      </c>
      <c r="L2576" s="317">
        <f t="array" ref="L2576">(XLOOKUP(D2576,Roster!F:F,Roster!D:D,"",0))</f>
        <v>32</v>
      </c>
      <c r="M2576" s="317" t="str">
        <f t="array" ref="M2576">XLOOKUP(D2576,Roster!F:F,Roster!E:E)</f>
        <v>Tickets</v>
      </c>
      <c r="N2576" s="317" t="str">
        <f t="shared" ref="N2576:P2576" si="2612">LEFT(H2576,5)</f>
        <v>09:45</v>
      </c>
      <c r="O2576" s="317" t="str">
        <f t="shared" si="2612"/>
        <v>12:30</v>
      </c>
      <c r="P2576" s="317" t="str">
        <f t="shared" si="2612"/>
        <v>15:00</v>
      </c>
      <c r="Q2576" s="318">
        <f t="shared" si="2507"/>
        <v>46134.40625</v>
      </c>
      <c r="R2576" s="318">
        <f t="shared" si="2508"/>
        <v>46134.52083</v>
      </c>
      <c r="S2576" s="318">
        <f t="shared" si="8"/>
        <v>46134.625</v>
      </c>
    </row>
    <row r="2577">
      <c r="A2577" s="14" t="str">
        <f t="shared" si="1"/>
        <v>C153346134</v>
      </c>
      <c r="B2577" s="185">
        <f t="array" ref="B2577">IF(F2577="VL","",IF(F2577="Free","Free",XLOOKUP(D2577,Roster!T:T,Roster!S:S,"",0)))</f>
        <v>125</v>
      </c>
      <c r="C2577" s="313">
        <v>46134.0</v>
      </c>
      <c r="D2577" s="314" t="s">
        <v>43</v>
      </c>
      <c r="E2577" s="307" t="str">
        <f t="array" ref="E2577">(XLOOKUP(D2577,Roster!F:F,Roster!B:B,"",0))</f>
        <v>Juan Barrera</v>
      </c>
      <c r="F2577" s="315" t="str">
        <f t="array" ref="F2577">IF(B2577=100,"Free",TEXT(XLOOKUP($D2577,OperationVoice!$A:$A,OperationVoice!AB:AB,XLOOKUP($D2577,OperationTickets!$A:$A,OperationTickets!AB:AB,"",0)),"hh:mm"))</f>
        <v>08:00</v>
      </c>
      <c r="G2577" s="309">
        <f t="shared" si="3"/>
        <v>0.7083333333</v>
      </c>
      <c r="H2577" s="316" t="str">
        <f t="array" ref="H2577">XLOOKUP(B2577,Roster!L:L,Roster!N:N,XLOOKUP(D2577,TicketsBreak!A:A,TicketsBreak!E:E,"",0),0)</f>
        <v>10:30 - 10:45</v>
      </c>
      <c r="I2577" s="316" t="str">
        <f t="array" ref="I2577">XLOOKUP(B2577,Roster!L:L,Roster!O:O,XLOOKUP(D2577,TicketsBreak!A:A,TicketsBreak!F:F,"",0),0)</f>
        <v>13:30 - 14:00</v>
      </c>
      <c r="J2577" s="316" t="str">
        <f t="array" ref="J2577">XLOOKUP(B2577,Roster!L:L,Roster!P:P,XLOOKUP(D2577,TicketsBreak!A:A,TicketsBreak!G:G,"",0),0)</f>
        <v>15:45 - 16:00</v>
      </c>
      <c r="K2577" s="310">
        <f t="shared" si="4"/>
        <v>46134</v>
      </c>
      <c r="L2577" s="317">
        <f t="array" ref="L2577">(XLOOKUP(D2577,Roster!F:F,Roster!D:D,"",0))</f>
        <v>36</v>
      </c>
      <c r="M2577" s="317" t="str">
        <f t="array" ref="M2577">XLOOKUP(D2577,Roster!F:F,Roster!E:E)</f>
        <v>Voice</v>
      </c>
      <c r="N2577" s="317" t="str">
        <f t="shared" ref="N2577:P2577" si="2613">LEFT(H2577,5)</f>
        <v>10:30</v>
      </c>
      <c r="O2577" s="317" t="str">
        <f t="shared" si="2613"/>
        <v>13:30</v>
      </c>
      <c r="P2577" s="317" t="str">
        <f t="shared" si="2613"/>
        <v>15:45</v>
      </c>
      <c r="Q2577" s="318">
        <f t="shared" si="2507"/>
        <v>46134.4375</v>
      </c>
      <c r="R2577" s="318">
        <f t="shared" si="2508"/>
        <v>46134.5625</v>
      </c>
      <c r="S2577" s="318">
        <f t="shared" si="8"/>
        <v>46134.65625</v>
      </c>
    </row>
    <row r="2578">
      <c r="A2578" s="14" t="str">
        <f t="shared" si="1"/>
        <v>C146546134</v>
      </c>
      <c r="B2578" s="185">
        <f t="array" ref="B2578">IF(F2578="VL","",IF(F2578="Free","Free",XLOOKUP(D2578,Roster!T:T,Roster!S:S,"",0)))</f>
        <v>500</v>
      </c>
      <c r="C2578" s="313">
        <v>46134.0</v>
      </c>
      <c r="D2578" s="314" t="s">
        <v>44</v>
      </c>
      <c r="E2578" s="307" t="str">
        <f t="array" ref="E2578">(XLOOKUP(D2578,Roster!F:F,Roster!B:B,"",0))</f>
        <v>Juan Castilla</v>
      </c>
      <c r="F2578" s="315" t="str">
        <f t="array" ref="F2578">IF(B2578=100,"Free",TEXT(XLOOKUP($D2578,OperationVoice!$A:$A,OperationVoice!AB:AB,XLOOKUP($D2578,OperationTickets!$A:$A,OperationTickets!AB:AB,"",0)),"hh:mm"))</f>
        <v>08:00</v>
      </c>
      <c r="G2578" s="309">
        <f t="shared" si="3"/>
        <v>0.7083333333</v>
      </c>
      <c r="H2578" s="316" t="str">
        <f t="array" ref="H2578">XLOOKUP(B2578,Roster!L:L,Roster!N:N,XLOOKUP(D2578,TicketsBreak!A:A,TicketsBreak!E:E,"",0),0)</f>
        <v>Team Leader</v>
      </c>
      <c r="I2578" s="316" t="str">
        <f t="array" ref="I2578">XLOOKUP(B2578,Roster!L:L,Roster!O:O,XLOOKUP(D2578,TicketsBreak!A:A,TicketsBreak!F:F,"",0),0)</f>
        <v>Team Leader</v>
      </c>
      <c r="J2578" s="316" t="str">
        <f t="array" ref="J2578">XLOOKUP(B2578,Roster!L:L,Roster!P:P,XLOOKUP(D2578,TicketsBreak!A:A,TicketsBreak!G:G,"",0),0)</f>
        <v/>
      </c>
      <c r="K2578" s="310">
        <f t="shared" si="4"/>
        <v>46134</v>
      </c>
      <c r="L2578" s="317">
        <f t="array" ref="L2578">(XLOOKUP(D2578,Roster!F:F,Roster!D:D,"",0))</f>
        <v>33</v>
      </c>
      <c r="M2578" s="317" t="str">
        <f t="array" ref="M2578">XLOOKUP(D2578,Roster!F:F,Roster!E:E)</f>
        <v>Voice</v>
      </c>
      <c r="N2578" s="317" t="str">
        <f t="shared" ref="N2578:P2578" si="2614">LEFT(H2578,5)</f>
        <v>Team </v>
      </c>
      <c r="O2578" s="317" t="str">
        <f t="shared" si="2614"/>
        <v>Team </v>
      </c>
      <c r="P2578" s="317" t="str">
        <f t="shared" si="2614"/>
        <v/>
      </c>
      <c r="Q2578" s="318" t="str">
        <f t="shared" si="2507"/>
        <v>#VALUE!</v>
      </c>
      <c r="R2578" s="318" t="str">
        <f t="shared" si="2508"/>
        <v>#VALUE!</v>
      </c>
      <c r="S2578" s="318" t="str">
        <f t="shared" si="8"/>
        <v/>
      </c>
    </row>
    <row r="2579">
      <c r="A2579" s="14" t="str">
        <f t="shared" si="1"/>
        <v>C72046134</v>
      </c>
      <c r="B2579" s="185" t="str">
        <f t="array" ref="B2579">IF(F2579="VL","",IF(F2579="Free","Free",XLOOKUP(D2579,Roster!T:T,Roster!S:S,"",0)))</f>
        <v/>
      </c>
      <c r="C2579" s="313">
        <v>46134.0</v>
      </c>
      <c r="D2579" s="314" t="s">
        <v>162</v>
      </c>
      <c r="E2579" s="307" t="str">
        <f t="array" ref="E2579">(XLOOKUP(D2579,Roster!F:F,Roster!B:B,"",0))</f>
        <v>Juan Durango</v>
      </c>
      <c r="F2579" s="315" t="str">
        <f t="array" ref="F2579">IF(B2579=100,"Free",TEXT(XLOOKUP($D2579,OperationVoice!$A:$A,OperationVoice!AB:AB,XLOOKUP($D2579,OperationTickets!$A:$A,OperationTickets!AB:AB,"",0)),"hh:mm"))</f>
        <v>08:00</v>
      </c>
      <c r="G2579" s="309">
        <f t="shared" si="3"/>
        <v>0.7083333333</v>
      </c>
      <c r="H2579" s="316">
        <f t="array" ref="H2579">XLOOKUP(B2579,Roster!L:L,Roster!N:N,XLOOKUP(D2579,TicketsBreak!A:A,TicketsBreak!E:E,"",0),0)</f>
        <v>0.40625</v>
      </c>
      <c r="I2579" s="316">
        <f t="array" ref="I2579">XLOOKUP(B2579,Roster!L:L,Roster!O:O,XLOOKUP(D2579,TicketsBreak!A:A,TicketsBreak!F:F,"",0),0)</f>
        <v>0.5729166667</v>
      </c>
      <c r="J2579" s="316">
        <f t="array" ref="J2579">XLOOKUP(B2579,Roster!L:L,Roster!P:P,XLOOKUP(D2579,TicketsBreak!A:A,TicketsBreak!G:G,"",0),0)</f>
        <v>0.65625</v>
      </c>
      <c r="K2579" s="310">
        <f t="shared" si="4"/>
        <v>46134</v>
      </c>
      <c r="L2579" s="317">
        <f t="array" ref="L2579">(XLOOKUP(D2579,Roster!F:F,Roster!D:D,"",0))</f>
        <v>7</v>
      </c>
      <c r="M2579" s="317" t="str">
        <f t="array" ref="M2579">XLOOKUP(D2579,Roster!F:F,Roster!E:E)</f>
        <v>Tickets</v>
      </c>
      <c r="N2579" s="317" t="str">
        <f t="shared" ref="N2579:P2579" si="2615">LEFT(H2579,5)</f>
        <v>09:45</v>
      </c>
      <c r="O2579" s="317" t="str">
        <f t="shared" si="2615"/>
        <v>13:45</v>
      </c>
      <c r="P2579" s="317" t="str">
        <f t="shared" si="2615"/>
        <v>15:45</v>
      </c>
      <c r="Q2579" s="318">
        <f t="shared" si="2507"/>
        <v>46134.40625</v>
      </c>
      <c r="R2579" s="318">
        <f t="shared" si="2508"/>
        <v>46134.57292</v>
      </c>
      <c r="S2579" s="318">
        <f t="shared" si="8"/>
        <v>46134.65625</v>
      </c>
    </row>
    <row r="2580">
      <c r="A2580" s="14" t="str">
        <f t="shared" si="1"/>
        <v>C59846134</v>
      </c>
      <c r="B2580" s="185" t="str">
        <f t="array" ref="B2580">IF(F2580="VL","",IF(F2580="Free","Free",XLOOKUP(D2580,Roster!T:T,Roster!S:S,"",0)))</f>
        <v/>
      </c>
      <c r="C2580" s="313">
        <v>46134.0</v>
      </c>
      <c r="D2580" s="314" t="s">
        <v>314</v>
      </c>
      <c r="E2580" s="307" t="str">
        <f t="array" ref="E2580">(XLOOKUP(D2580,Roster!F:F,Roster!B:B,"",0))</f>
        <v>Juan Fonnegra</v>
      </c>
      <c r="F2580" s="315" t="str">
        <f t="array" ref="F2580">IF(B2580=100,"Free",TEXT(XLOOKUP($D2580,OperationVoice!$A:$A,OperationVoice!AB:AB,XLOOKUP($D2580,OperationTickets!$A:$A,OperationTickets!AB:AB,"",0)),"hh:mm"))</f>
        <v/>
      </c>
      <c r="G2580" s="309" t="str">
        <f t="shared" si="3"/>
        <v/>
      </c>
      <c r="H2580" s="316">
        <f t="array" ref="H2580">XLOOKUP(B2580,Roster!L:L,Roster!N:N,XLOOKUP(D2580,TicketsBreak!A:A,TicketsBreak!E:E,"",0),0)</f>
        <v>0.4166666667</v>
      </c>
      <c r="I2580" s="316">
        <f t="array" ref="I2580">XLOOKUP(B2580,Roster!L:L,Roster!O:O,XLOOKUP(D2580,TicketsBreak!A:A,TicketsBreak!F:F,"",0),0)</f>
        <v>0.5208333333</v>
      </c>
      <c r="J2580" s="316">
        <f t="array" ref="J2580">XLOOKUP(B2580,Roster!L:L,Roster!P:P,XLOOKUP(D2580,TicketsBreak!A:A,TicketsBreak!G:G,"",0),0)</f>
        <v>0.65625</v>
      </c>
      <c r="K2580" s="310">
        <f t="shared" si="4"/>
        <v>46134</v>
      </c>
      <c r="L2580" s="317">
        <f t="array" ref="L2580">(XLOOKUP(D2580,Roster!F:F,Roster!D:D,"",0))</f>
        <v>1</v>
      </c>
      <c r="M2580" s="317" t="str">
        <f t="array" ref="M2580">XLOOKUP(D2580,Roster!F:F,Roster!E:E)</f>
        <v>Tickets</v>
      </c>
      <c r="N2580" s="317" t="str">
        <f t="shared" ref="N2580:P2580" si="2616">LEFT(H2580,5)</f>
        <v>10:00</v>
      </c>
      <c r="O2580" s="317" t="str">
        <f t="shared" si="2616"/>
        <v>12:30</v>
      </c>
      <c r="P2580" s="317" t="str">
        <f t="shared" si="2616"/>
        <v>15:45</v>
      </c>
      <c r="Q2580" s="318">
        <f t="shared" si="2507"/>
        <v>46134.41667</v>
      </c>
      <c r="R2580" s="318">
        <f t="shared" si="2508"/>
        <v>46134.52083</v>
      </c>
      <c r="S2580" s="318">
        <f t="shared" si="8"/>
        <v>46134.65625</v>
      </c>
    </row>
    <row r="2581">
      <c r="A2581" s="14" t="str">
        <f t="shared" si="1"/>
        <v>C113946134</v>
      </c>
      <c r="B2581" s="185">
        <f t="array" ref="B2581">IF(F2581="VL","",IF(F2581="Free","Free",XLOOKUP(D2581,Roster!T:T,Roster!S:S,"",0)))</f>
        <v>125</v>
      </c>
      <c r="C2581" s="313">
        <v>46134.0</v>
      </c>
      <c r="D2581" s="314" t="s">
        <v>45</v>
      </c>
      <c r="E2581" s="307" t="str">
        <f t="array" ref="E2581">(XLOOKUP(D2581,Roster!F:F,Roster!B:B,"",0))</f>
        <v>Juan Largacha</v>
      </c>
      <c r="F2581" s="315" t="str">
        <f t="array" ref="F2581">IF(B2581=100,"Free",TEXT(XLOOKUP($D2581,OperationVoice!$A:$A,OperationVoice!AB:AB,XLOOKUP($D2581,OperationTickets!$A:$A,OperationTickets!AB:AB,"",0)),"hh:mm"))</f>
        <v>08:00</v>
      </c>
      <c r="G2581" s="309">
        <f t="shared" si="3"/>
        <v>0.7083333333</v>
      </c>
      <c r="H2581" s="316" t="str">
        <f t="array" ref="H2581">XLOOKUP(B2581,Roster!L:L,Roster!N:N,XLOOKUP(D2581,TicketsBreak!A:A,TicketsBreak!E:E,"",0),0)</f>
        <v>10:30 - 10:45</v>
      </c>
      <c r="I2581" s="316" t="str">
        <f t="array" ref="I2581">XLOOKUP(B2581,Roster!L:L,Roster!O:O,XLOOKUP(D2581,TicketsBreak!A:A,TicketsBreak!F:F,"",0),0)</f>
        <v>13:30 - 14:00</v>
      </c>
      <c r="J2581" s="316" t="str">
        <f t="array" ref="J2581">XLOOKUP(B2581,Roster!L:L,Roster!P:P,XLOOKUP(D2581,TicketsBreak!A:A,TicketsBreak!G:G,"",0),0)</f>
        <v>15:45 - 16:00</v>
      </c>
      <c r="K2581" s="310">
        <f t="shared" si="4"/>
        <v>46134</v>
      </c>
      <c r="L2581" s="317">
        <f t="array" ref="L2581">(XLOOKUP(D2581,Roster!F:F,Roster!D:D,"",0))</f>
        <v>22</v>
      </c>
      <c r="M2581" s="317" t="str">
        <f t="array" ref="M2581">XLOOKUP(D2581,Roster!F:F,Roster!E:E)</f>
        <v>Voice</v>
      </c>
      <c r="N2581" s="317" t="str">
        <f t="shared" ref="N2581:P2581" si="2617">LEFT(H2581,5)</f>
        <v>10:30</v>
      </c>
      <c r="O2581" s="317" t="str">
        <f t="shared" si="2617"/>
        <v>13:30</v>
      </c>
      <c r="P2581" s="317" t="str">
        <f t="shared" si="2617"/>
        <v>15:45</v>
      </c>
      <c r="Q2581" s="318">
        <f t="shared" si="2507"/>
        <v>46134.4375</v>
      </c>
      <c r="R2581" s="318">
        <f t="shared" si="2508"/>
        <v>46134.5625</v>
      </c>
      <c r="S2581" s="318">
        <f t="shared" si="8"/>
        <v>46134.65625</v>
      </c>
    </row>
    <row r="2582">
      <c r="A2582" s="14" t="str">
        <f t="shared" si="1"/>
        <v>C156646134</v>
      </c>
      <c r="B2582" s="185">
        <f t="array" ref="B2582">IF(F2582="VL","",IF(F2582="Free","Free",XLOOKUP(D2582,Roster!T:T,Roster!S:S,"",0)))</f>
        <v>124</v>
      </c>
      <c r="C2582" s="313">
        <v>46134.0</v>
      </c>
      <c r="D2582" s="314" t="s">
        <v>46</v>
      </c>
      <c r="E2582" s="307" t="str">
        <f t="array" ref="E2582">(XLOOKUP(D2582,Roster!F:F,Roster!B:B,"",0))</f>
        <v>Juan Ocampo</v>
      </c>
      <c r="F2582" s="315" t="str">
        <f t="array" ref="F2582">IF(B2582=100,"Free",TEXT(XLOOKUP($D2582,OperationVoice!$A:$A,OperationVoice!AB:AB,XLOOKUP($D2582,OperationTickets!$A:$A,OperationTickets!AB:AB,"",0)),"hh:mm"))</f>
        <v>08:00</v>
      </c>
      <c r="G2582" s="309">
        <f t="shared" si="3"/>
        <v>0.7083333333</v>
      </c>
      <c r="H2582" s="316" t="str">
        <f t="array" ref="H2582">XLOOKUP(B2582,Roster!L:L,Roster!N:N,XLOOKUP(D2582,TicketsBreak!A:A,TicketsBreak!E:E,"",0),0)</f>
        <v>10:00 - 10:15</v>
      </c>
      <c r="I2582" s="316" t="str">
        <f t="array" ref="I2582">XLOOKUP(B2582,Roster!L:L,Roster!O:O,XLOOKUP(D2582,TicketsBreak!A:A,TicketsBreak!F:F,"",0),0)</f>
        <v>13:00 - 13:30</v>
      </c>
      <c r="J2582" s="316" t="str">
        <f t="array" ref="J2582">XLOOKUP(B2582,Roster!L:L,Roster!P:P,XLOOKUP(D2582,TicketsBreak!A:A,TicketsBreak!G:G,"",0),0)</f>
        <v>15:30 - 15:45</v>
      </c>
      <c r="K2582" s="310">
        <f t="shared" si="4"/>
        <v>46134</v>
      </c>
      <c r="L2582" s="317">
        <f t="array" ref="L2582">(XLOOKUP(D2582,Roster!F:F,Roster!D:D,"",0))</f>
        <v>38</v>
      </c>
      <c r="M2582" s="317" t="str">
        <f t="array" ref="M2582">XLOOKUP(D2582,Roster!F:F,Roster!E:E)</f>
        <v>Voice</v>
      </c>
      <c r="N2582" s="317" t="str">
        <f t="shared" ref="N2582:P2582" si="2618">LEFT(H2582,5)</f>
        <v>10:00</v>
      </c>
      <c r="O2582" s="317" t="str">
        <f t="shared" si="2618"/>
        <v>13:00</v>
      </c>
      <c r="P2582" s="317" t="str">
        <f t="shared" si="2618"/>
        <v>15:30</v>
      </c>
      <c r="Q2582" s="318">
        <f t="shared" si="2507"/>
        <v>46134.41667</v>
      </c>
      <c r="R2582" s="318">
        <f t="shared" si="2508"/>
        <v>46134.54167</v>
      </c>
      <c r="S2582" s="318">
        <f t="shared" si="8"/>
        <v>46134.64583</v>
      </c>
    </row>
    <row r="2583">
      <c r="A2583" s="14" t="str">
        <f t="shared" si="1"/>
        <v>C148446134</v>
      </c>
      <c r="B2583" s="185">
        <f t="array" ref="B2583">IF(F2583="VL","",IF(F2583="Free","Free",XLOOKUP(D2583,Roster!T:T,Roster!S:S,"",0)))</f>
        <v>126</v>
      </c>
      <c r="C2583" s="313">
        <v>46134.0</v>
      </c>
      <c r="D2583" s="314" t="s">
        <v>141</v>
      </c>
      <c r="E2583" s="307" t="str">
        <f t="array" ref="E2583">(XLOOKUP(D2583,Roster!F:F,Roster!B:B,"",0))</f>
        <v>Juan Ospina</v>
      </c>
      <c r="F2583" s="315" t="str">
        <f t="array" ref="F2583">IF(B2583=100,"Free",TEXT(XLOOKUP($D2583,OperationVoice!$A:$A,OperationVoice!AB:AB,XLOOKUP($D2583,OperationTickets!$A:$A,OperationTickets!AB:AB,"",0)),"hh:mm"))</f>
        <v>08:00</v>
      </c>
      <c r="G2583" s="309">
        <f t="shared" si="3"/>
        <v>0.7083333333</v>
      </c>
      <c r="H2583" s="316" t="str">
        <f t="array" ref="H2583">XLOOKUP(B2583,Roster!L:L,Roster!N:N,XLOOKUP(D2583,TicketsBreak!A:A,TicketsBreak!E:E,"",0),0)</f>
        <v>10:45 - 11:00</v>
      </c>
      <c r="I2583" s="316" t="str">
        <f t="array" ref="I2583">XLOOKUP(B2583,Roster!L:L,Roster!O:O,XLOOKUP(D2583,TicketsBreak!A:A,TicketsBreak!F:F,"",0),0)</f>
        <v>14:00 - 14:30</v>
      </c>
      <c r="J2583" s="316" t="str">
        <f t="array" ref="J2583">XLOOKUP(B2583,Roster!L:L,Roster!P:P,XLOOKUP(D2583,TicketsBreak!A:A,TicketsBreak!G:G,"",0),0)</f>
        <v>15:45 - 16:00</v>
      </c>
      <c r="K2583" s="310">
        <f t="shared" si="4"/>
        <v>46134</v>
      </c>
      <c r="L2583" s="317">
        <f t="array" ref="L2583">(XLOOKUP(D2583,Roster!F:F,Roster!D:D,"",0))</f>
        <v>34</v>
      </c>
      <c r="M2583" s="317" t="str">
        <f t="array" ref="M2583">XLOOKUP(D2583,Roster!F:F,Roster!E:E)</f>
        <v>Tickets</v>
      </c>
      <c r="N2583" s="317" t="str">
        <f t="shared" ref="N2583:P2583" si="2619">LEFT(H2583,5)</f>
        <v>10:45</v>
      </c>
      <c r="O2583" s="317" t="str">
        <f t="shared" si="2619"/>
        <v>14:00</v>
      </c>
      <c r="P2583" s="317" t="str">
        <f t="shared" si="2619"/>
        <v>15:45</v>
      </c>
      <c r="Q2583" s="318">
        <f t="shared" si="2507"/>
        <v>46134.44792</v>
      </c>
      <c r="R2583" s="318">
        <f t="shared" si="2508"/>
        <v>46134.58333</v>
      </c>
      <c r="S2583" s="318">
        <f t="shared" si="8"/>
        <v>46134.65625</v>
      </c>
    </row>
    <row r="2584">
      <c r="A2584" s="14" t="str">
        <f t="shared" si="1"/>
        <v>C141346134</v>
      </c>
      <c r="B2584" s="185">
        <f t="array" ref="B2584">IF(F2584="VL","",IF(F2584="Free","Free",XLOOKUP(D2584,Roster!T:T,Roster!S:S,"",0)))</f>
        <v>121</v>
      </c>
      <c r="C2584" s="313">
        <v>46134.0</v>
      </c>
      <c r="D2584" s="314" t="s">
        <v>47</v>
      </c>
      <c r="E2584" s="307" t="str">
        <f t="array" ref="E2584">(XLOOKUP(D2584,Roster!F:F,Roster!B:B,"",0))</f>
        <v>Juan Parra</v>
      </c>
      <c r="F2584" s="315" t="str">
        <f t="array" ref="F2584">IF(B2584=100,"Free",TEXT(XLOOKUP($D2584,OperationVoice!$A:$A,OperationVoice!AB:AB,XLOOKUP($D2584,OperationTickets!$A:$A,OperationTickets!AB:AB,"",0)),"hh:mm"))</f>
        <v>08:00</v>
      </c>
      <c r="G2584" s="309">
        <f t="shared" si="3"/>
        <v>0.7083333333</v>
      </c>
      <c r="H2584" s="316" t="str">
        <f t="array" ref="H2584">XLOOKUP(B2584,Roster!L:L,Roster!N:N,XLOOKUP(D2584,TicketsBreak!A:A,TicketsBreak!E:E,"",0),0)</f>
        <v>09:15 - 09:30</v>
      </c>
      <c r="I2584" s="316" t="str">
        <f t="array" ref="I2584">XLOOKUP(B2584,Roster!L:L,Roster!O:O,XLOOKUP(D2584,TicketsBreak!A:A,TicketsBreak!F:F,"",0),0)</f>
        <v>11:30 - 12:00</v>
      </c>
      <c r="J2584" s="316" t="str">
        <f t="array" ref="J2584">XLOOKUP(B2584,Roster!L:L,Roster!P:P,XLOOKUP(D2584,TicketsBreak!A:A,TicketsBreak!G:G,"",0),0)</f>
        <v>14:30 - 14:45</v>
      </c>
      <c r="K2584" s="310">
        <f t="shared" si="4"/>
        <v>46134</v>
      </c>
      <c r="L2584" s="317">
        <f t="array" ref="L2584">(XLOOKUP(D2584,Roster!F:F,Roster!D:D,"",0))</f>
        <v>32</v>
      </c>
      <c r="M2584" s="317" t="str">
        <f t="array" ref="M2584">XLOOKUP(D2584,Roster!F:F,Roster!E:E)</f>
        <v>Voice</v>
      </c>
      <c r="N2584" s="317" t="str">
        <f t="shared" ref="N2584:P2584" si="2620">LEFT(H2584,5)</f>
        <v>09:15</v>
      </c>
      <c r="O2584" s="317" t="str">
        <f t="shared" si="2620"/>
        <v>11:30</v>
      </c>
      <c r="P2584" s="317" t="str">
        <f t="shared" si="2620"/>
        <v>14:30</v>
      </c>
      <c r="Q2584" s="318">
        <f t="shared" si="2507"/>
        <v>46134.38542</v>
      </c>
      <c r="R2584" s="318">
        <f t="shared" si="2508"/>
        <v>46134.47917</v>
      </c>
      <c r="S2584" s="318">
        <f t="shared" si="8"/>
        <v>46134.60417</v>
      </c>
    </row>
    <row r="2585">
      <c r="A2585" s="14" t="str">
        <f t="shared" si="1"/>
        <v>C132746134</v>
      </c>
      <c r="B2585" s="185" t="str">
        <f t="array" ref="B2585">IF(F2585="VL","",IF(F2585="Free","Free",XLOOKUP(D2585,Roster!T:T,Roster!S:S,"",0)))</f>
        <v/>
      </c>
      <c r="C2585" s="313">
        <v>46134.0</v>
      </c>
      <c r="D2585" s="314" t="s">
        <v>163</v>
      </c>
      <c r="E2585" s="307" t="str">
        <f t="array" ref="E2585">(XLOOKUP(D2585,Roster!F:F,Roster!B:B,"",0))</f>
        <v>Juan Restrepo</v>
      </c>
      <c r="F2585" s="315" t="str">
        <f t="array" ref="F2585">IF(B2585=100,"Free",TEXT(XLOOKUP($D2585,OperationVoice!$A:$A,OperationVoice!AB:AB,XLOOKUP($D2585,OperationTickets!$A:$A,OperationTickets!AB:AB,"",0)),"hh:mm"))</f>
        <v>07:00</v>
      </c>
      <c r="G2585" s="309">
        <f t="shared" si="3"/>
        <v>0.6666666667</v>
      </c>
      <c r="H2585" s="316" t="str">
        <f t="array" ref="H2585">XLOOKUP(B2585,Roster!L:L,Roster!N:N,XLOOKUP(D2585,TicketsBreak!A:A,TicketsBreak!E:E,"",0),0)</f>
        <v/>
      </c>
      <c r="I2585" s="316" t="str">
        <f t="array" ref="I2585">XLOOKUP(B2585,Roster!L:L,Roster!O:O,XLOOKUP(D2585,TicketsBreak!A:A,TicketsBreak!F:F,"",0),0)</f>
        <v/>
      </c>
      <c r="J2585" s="316" t="str">
        <f t="array" ref="J2585">XLOOKUP(B2585,Roster!L:L,Roster!P:P,XLOOKUP(D2585,TicketsBreak!A:A,TicketsBreak!G:G,"",0),0)</f>
        <v/>
      </c>
      <c r="K2585" s="310">
        <f t="shared" si="4"/>
        <v>46134</v>
      </c>
      <c r="L2585" s="317">
        <f t="array" ref="L2585">(XLOOKUP(D2585,Roster!F:F,Roster!D:D,"",0))</f>
        <v>29</v>
      </c>
      <c r="M2585" s="317" t="str">
        <f t="array" ref="M2585">XLOOKUP(D2585,Roster!F:F,Roster!E:E)</f>
        <v>Tickets</v>
      </c>
      <c r="N2585" s="317" t="str">
        <f t="shared" ref="N2585:P2585" si="2621">LEFT(H2585,5)</f>
        <v/>
      </c>
      <c r="O2585" s="317" t="str">
        <f t="shared" si="2621"/>
        <v/>
      </c>
      <c r="P2585" s="317" t="str">
        <f t="shared" si="2621"/>
        <v/>
      </c>
      <c r="Q2585" s="318" t="str">
        <f t="shared" si="2507"/>
        <v/>
      </c>
      <c r="R2585" s="318" t="str">
        <f t="shared" si="2508"/>
        <v/>
      </c>
      <c r="S2585" s="318" t="str">
        <f t="shared" si="8"/>
        <v/>
      </c>
    </row>
    <row r="2586">
      <c r="A2586" s="14" t="str">
        <f t="shared" si="1"/>
        <v>C146946134</v>
      </c>
      <c r="B2586" s="185">
        <f t="array" ref="B2586">IF(F2586="VL","",IF(F2586="Free","Free",XLOOKUP(D2586,Roster!T:T,Roster!S:S,"",0)))</f>
        <v>122</v>
      </c>
      <c r="C2586" s="313">
        <v>46134.0</v>
      </c>
      <c r="D2586" s="314" t="s">
        <v>48</v>
      </c>
      <c r="E2586" s="307" t="str">
        <f t="array" ref="E2586">(XLOOKUP(D2586,Roster!F:F,Roster!B:B,"",0))</f>
        <v>Juan Restrepo Restrepo</v>
      </c>
      <c r="F2586" s="315" t="str">
        <f t="array" ref="F2586">IF(B2586=100,"Free",TEXT(XLOOKUP($D2586,OperationVoice!$A:$A,OperationVoice!AB:AB,XLOOKUP($D2586,OperationTickets!$A:$A,OperationTickets!AB:AB,"",0)),"hh:mm"))</f>
        <v>08:00</v>
      </c>
      <c r="G2586" s="309">
        <f t="shared" si="3"/>
        <v>0.7083333333</v>
      </c>
      <c r="H2586" s="316" t="str">
        <f t="array" ref="H2586">XLOOKUP(B2586,Roster!L:L,Roster!N:N,XLOOKUP(D2586,TicketsBreak!A:A,TicketsBreak!E:E,"",0),0)</f>
        <v>09:30 - 09:45</v>
      </c>
      <c r="I2586" s="316" t="str">
        <f t="array" ref="I2586">XLOOKUP(B2586,Roster!L:L,Roster!O:O,XLOOKUP(D2586,TicketsBreak!A:A,TicketsBreak!F:F,"",0),0)</f>
        <v>12:00 - 12:30</v>
      </c>
      <c r="J2586" s="316" t="str">
        <f t="array" ref="J2586">XLOOKUP(B2586,Roster!L:L,Roster!P:P,XLOOKUP(D2586,TicketsBreak!A:A,TicketsBreak!G:G,"",0),0)</f>
        <v>14:45 - 15:00</v>
      </c>
      <c r="K2586" s="310">
        <f t="shared" si="4"/>
        <v>46134</v>
      </c>
      <c r="L2586" s="317">
        <f t="array" ref="L2586">(XLOOKUP(D2586,Roster!F:F,Roster!D:D,"",0))</f>
        <v>33</v>
      </c>
      <c r="M2586" s="317" t="str">
        <f t="array" ref="M2586">XLOOKUP(D2586,Roster!F:F,Roster!E:E)</f>
        <v>Voice</v>
      </c>
      <c r="N2586" s="317" t="str">
        <f t="shared" ref="N2586:P2586" si="2622">LEFT(H2586,5)</f>
        <v>09:30</v>
      </c>
      <c r="O2586" s="317" t="str">
        <f t="shared" si="2622"/>
        <v>12:00</v>
      </c>
      <c r="P2586" s="317" t="str">
        <f t="shared" si="2622"/>
        <v>14:45</v>
      </c>
      <c r="Q2586" s="318">
        <f t="shared" si="2507"/>
        <v>46134.39583</v>
      </c>
      <c r="R2586" s="318">
        <f t="shared" si="2508"/>
        <v>46134.5</v>
      </c>
      <c r="S2586" s="318">
        <f t="shared" si="8"/>
        <v>46134.61458</v>
      </c>
    </row>
    <row r="2587">
      <c r="A2587" s="14" t="str">
        <f t="shared" si="1"/>
        <v>C117146134</v>
      </c>
      <c r="B2587" s="185" t="str">
        <f t="array" ref="B2587">IF(F2587="VL","",IF(F2587="Free","Free",XLOOKUP(D2587,Roster!T:T,Roster!S:S,"",0)))</f>
        <v/>
      </c>
      <c r="C2587" s="313">
        <v>46134.0</v>
      </c>
      <c r="D2587" s="314" t="s">
        <v>142</v>
      </c>
      <c r="E2587" s="307" t="str">
        <f t="array" ref="E2587">(XLOOKUP(D2587,Roster!F:F,Roster!B:B,"",0))</f>
        <v>Juan Sanchez</v>
      </c>
      <c r="F2587" s="315" t="str">
        <f t="array" ref="F2587">IF(B2587=100,"Free",TEXT(XLOOKUP($D2587,OperationVoice!$A:$A,OperationVoice!AB:AB,XLOOKUP($D2587,OperationTickets!$A:$A,OperationTickets!AB:AB,"",0)),"hh:mm"))</f>
        <v>08:00</v>
      </c>
      <c r="G2587" s="309">
        <f t="shared" si="3"/>
        <v>0.7083333333</v>
      </c>
      <c r="H2587" s="316" t="str">
        <f t="array" ref="H2587">XLOOKUP(B2587,Roster!L:L,Roster!N:N,XLOOKUP(D2587,TicketsBreak!A:A,TicketsBreak!E:E,"",0),0)</f>
        <v/>
      </c>
      <c r="I2587" s="316" t="str">
        <f t="array" ref="I2587">XLOOKUP(B2587,Roster!L:L,Roster!O:O,XLOOKUP(D2587,TicketsBreak!A:A,TicketsBreak!F:F,"",0),0)</f>
        <v/>
      </c>
      <c r="J2587" s="316" t="str">
        <f t="array" ref="J2587">XLOOKUP(B2587,Roster!L:L,Roster!P:P,XLOOKUP(D2587,TicketsBreak!A:A,TicketsBreak!G:G,"",0),0)</f>
        <v/>
      </c>
      <c r="K2587" s="310">
        <f t="shared" si="4"/>
        <v>46134</v>
      </c>
      <c r="L2587" s="317">
        <f t="array" ref="L2587">(XLOOKUP(D2587,Roster!F:F,Roster!D:D,"",0))</f>
        <v>24</v>
      </c>
      <c r="M2587" s="317" t="str">
        <f t="array" ref="M2587">XLOOKUP(D2587,Roster!F:F,Roster!E:E)</f>
        <v>Tickets</v>
      </c>
      <c r="N2587" s="317" t="str">
        <f t="shared" ref="N2587:P2587" si="2623">LEFT(H2587,5)</f>
        <v/>
      </c>
      <c r="O2587" s="317" t="str">
        <f t="shared" si="2623"/>
        <v/>
      </c>
      <c r="P2587" s="317" t="str">
        <f t="shared" si="2623"/>
        <v/>
      </c>
      <c r="Q2587" s="318" t="str">
        <f t="shared" si="2507"/>
        <v/>
      </c>
      <c r="R2587" s="318" t="str">
        <f t="shared" si="2508"/>
        <v/>
      </c>
      <c r="S2587" s="318" t="str">
        <f t="shared" si="8"/>
        <v/>
      </c>
    </row>
    <row r="2588">
      <c r="A2588" s="14" t="str">
        <f t="shared" si="1"/>
        <v>C74346134</v>
      </c>
      <c r="B2588" s="185" t="str">
        <f t="array" ref="B2588">IF(F2588="VL","",IF(F2588="Free","Free",XLOOKUP(D2588,Roster!T:T,Roster!S:S,"",0)))</f>
        <v/>
      </c>
      <c r="C2588" s="313">
        <v>46134.0</v>
      </c>
      <c r="D2588" s="314" t="s">
        <v>164</v>
      </c>
      <c r="E2588" s="307" t="str">
        <f t="array" ref="E2588">(XLOOKUP(D2588,Roster!F:F,Roster!B:B,"",0))</f>
        <v>Juan Suarez</v>
      </c>
      <c r="F2588" s="315" t="str">
        <f t="array" ref="F2588">IF(B2588=100,"Free",TEXT(XLOOKUP($D2588,OperationVoice!$A:$A,OperationVoice!AB:AB,XLOOKUP($D2588,OperationTickets!$A:$A,OperationTickets!AB:AB,"",0)),"hh:mm"))</f>
        <v>VL</v>
      </c>
      <c r="G2588" s="309" t="str">
        <f t="shared" si="3"/>
        <v>VL</v>
      </c>
      <c r="H2588" s="316">
        <f t="array" ref="H2588">XLOOKUP(B2588,Roster!L:L,Roster!N:N,XLOOKUP(D2588,TicketsBreak!A:A,TicketsBreak!E:E,"",0),0)</f>
        <v>0.3958333333</v>
      </c>
      <c r="I2588" s="316">
        <f t="array" ref="I2588">XLOOKUP(B2588,Roster!L:L,Roster!O:O,XLOOKUP(D2588,TicketsBreak!A:A,TicketsBreak!F:F,"",0),0)</f>
        <v>0.5208333333</v>
      </c>
      <c r="J2588" s="316">
        <f t="array" ref="J2588">XLOOKUP(B2588,Roster!L:L,Roster!P:P,XLOOKUP(D2588,TicketsBreak!A:A,TicketsBreak!G:G,"",0),0)</f>
        <v>0.6145833333</v>
      </c>
      <c r="K2588" s="310">
        <f t="shared" si="4"/>
        <v>46134</v>
      </c>
      <c r="L2588" s="317">
        <f t="array" ref="L2588">(XLOOKUP(D2588,Roster!F:F,Roster!D:D,"",0))</f>
        <v>8</v>
      </c>
      <c r="M2588" s="317" t="str">
        <f t="array" ref="M2588">XLOOKUP(D2588,Roster!F:F,Roster!E:E)</f>
        <v>Tickets</v>
      </c>
      <c r="N2588" s="317" t="str">
        <f t="shared" ref="N2588:P2588" si="2624">LEFT(H2588,5)</f>
        <v>09:30</v>
      </c>
      <c r="O2588" s="317" t="str">
        <f t="shared" si="2624"/>
        <v>12:30</v>
      </c>
      <c r="P2588" s="317" t="str">
        <f t="shared" si="2624"/>
        <v>14:45</v>
      </c>
      <c r="Q2588" s="318">
        <f t="shared" si="2507"/>
        <v>46134.39583</v>
      </c>
      <c r="R2588" s="318">
        <f t="shared" si="2508"/>
        <v>46134.52083</v>
      </c>
      <c r="S2588" s="318">
        <f t="shared" si="8"/>
        <v>46134.61458</v>
      </c>
    </row>
    <row r="2589">
      <c r="A2589" s="14" t="str">
        <f t="shared" si="1"/>
        <v>C156846134</v>
      </c>
      <c r="B2589" s="185">
        <f t="array" ref="B2589">IF(F2589="VL","",IF(F2589="Free","Free",XLOOKUP(D2589,Roster!T:T,Roster!S:S,"",0)))</f>
        <v>122</v>
      </c>
      <c r="C2589" s="313">
        <v>46134.0</v>
      </c>
      <c r="D2589" s="314" t="s">
        <v>49</v>
      </c>
      <c r="E2589" s="307" t="str">
        <f t="array" ref="E2589">(XLOOKUP(D2589,Roster!F:F,Roster!B:B,"",0))</f>
        <v>Juan Zapata</v>
      </c>
      <c r="F2589" s="315" t="str">
        <f t="array" ref="F2589">IF(B2589=100,"Free",TEXT(XLOOKUP($D2589,OperationVoice!$A:$A,OperationVoice!AB:AB,XLOOKUP($D2589,OperationTickets!$A:$A,OperationTickets!AB:AB,"",0)),"hh:mm"))</f>
        <v>08:00</v>
      </c>
      <c r="G2589" s="309">
        <f t="shared" si="3"/>
        <v>0.7083333333</v>
      </c>
      <c r="H2589" s="316" t="str">
        <f t="array" ref="H2589">XLOOKUP(B2589,Roster!L:L,Roster!N:N,XLOOKUP(D2589,TicketsBreak!A:A,TicketsBreak!E:E,"",0),0)</f>
        <v>09:30 - 09:45</v>
      </c>
      <c r="I2589" s="316" t="str">
        <f t="array" ref="I2589">XLOOKUP(B2589,Roster!L:L,Roster!O:O,XLOOKUP(D2589,TicketsBreak!A:A,TicketsBreak!F:F,"",0),0)</f>
        <v>12:00 - 12:30</v>
      </c>
      <c r="J2589" s="316" t="str">
        <f t="array" ref="J2589">XLOOKUP(B2589,Roster!L:L,Roster!P:P,XLOOKUP(D2589,TicketsBreak!A:A,TicketsBreak!G:G,"",0),0)</f>
        <v>14:45 - 15:00</v>
      </c>
      <c r="K2589" s="310">
        <f t="shared" si="4"/>
        <v>46134</v>
      </c>
      <c r="L2589" s="317">
        <f t="array" ref="L2589">(XLOOKUP(D2589,Roster!F:F,Roster!D:D,"",0))</f>
        <v>38</v>
      </c>
      <c r="M2589" s="317" t="str">
        <f t="array" ref="M2589">XLOOKUP(D2589,Roster!F:F,Roster!E:E)</f>
        <v>Voice</v>
      </c>
      <c r="N2589" s="317" t="str">
        <f t="shared" ref="N2589:P2589" si="2625">LEFT(H2589,5)</f>
        <v>09:30</v>
      </c>
      <c r="O2589" s="317" t="str">
        <f t="shared" si="2625"/>
        <v>12:00</v>
      </c>
      <c r="P2589" s="317" t="str">
        <f t="shared" si="2625"/>
        <v>14:45</v>
      </c>
      <c r="Q2589" s="318">
        <f t="shared" si="2507"/>
        <v>46134.39583</v>
      </c>
      <c r="R2589" s="318">
        <f t="shared" si="2508"/>
        <v>46134.5</v>
      </c>
      <c r="S2589" s="318">
        <f t="shared" si="8"/>
        <v>46134.61458</v>
      </c>
    </row>
    <row r="2590">
      <c r="A2590" s="14" t="str">
        <f t="shared" si="1"/>
        <v>C75546134</v>
      </c>
      <c r="B2590" s="185" t="str">
        <f t="array" ref="B2590">IF(F2590="VL","",IF(F2590="Free","Free",XLOOKUP(D2590,Roster!T:T,Roster!S:S,"",0)))</f>
        <v/>
      </c>
      <c r="C2590" s="313">
        <v>46134.0</v>
      </c>
      <c r="D2590" s="314" t="s">
        <v>143</v>
      </c>
      <c r="E2590" s="307" t="str">
        <f t="array" ref="E2590">(XLOOKUP(D2590,Roster!F:F,Roster!B:B,"",0))</f>
        <v>Julian Higuita</v>
      </c>
      <c r="F2590" s="315" t="str">
        <f t="array" ref="F2590">IF(B2590=100,"Free",TEXT(XLOOKUP($D2590,OperationVoice!$A:$A,OperationVoice!AB:AB,XLOOKUP($D2590,OperationTickets!$A:$A,OperationTickets!AB:AB,"",0)),"hh:mm"))</f>
        <v>VL</v>
      </c>
      <c r="G2590" s="309" t="str">
        <f t="shared" si="3"/>
        <v>VL</v>
      </c>
      <c r="H2590" s="316" t="str">
        <f t="array" ref="H2590">XLOOKUP(B2590,Roster!L:L,Roster!N:N,XLOOKUP(D2590,TicketsBreak!A:A,TicketsBreak!E:E,"",0),0)</f>
        <v/>
      </c>
      <c r="I2590" s="316" t="str">
        <f t="array" ref="I2590">XLOOKUP(B2590,Roster!L:L,Roster!O:O,XLOOKUP(D2590,TicketsBreak!A:A,TicketsBreak!F:F,"",0),0)</f>
        <v/>
      </c>
      <c r="J2590" s="316" t="str">
        <f t="array" ref="J2590">XLOOKUP(B2590,Roster!L:L,Roster!P:P,XLOOKUP(D2590,TicketsBreak!A:A,TicketsBreak!G:G,"",0),0)</f>
        <v/>
      </c>
      <c r="K2590" s="310">
        <f t="shared" si="4"/>
        <v>46134</v>
      </c>
      <c r="L2590" s="317">
        <f t="array" ref="L2590">(XLOOKUP(D2590,Roster!F:F,Roster!D:D,"",0))</f>
        <v>35</v>
      </c>
      <c r="M2590" s="317" t="str">
        <f t="array" ref="M2590">XLOOKUP(D2590,Roster!F:F,Roster!E:E)</f>
        <v>Tickets</v>
      </c>
      <c r="N2590" s="317" t="str">
        <f t="shared" ref="N2590:P2590" si="2626">LEFT(H2590,5)</f>
        <v/>
      </c>
      <c r="O2590" s="317" t="str">
        <f t="shared" si="2626"/>
        <v/>
      </c>
      <c r="P2590" s="317" t="str">
        <f t="shared" si="2626"/>
        <v/>
      </c>
      <c r="Q2590" s="318" t="str">
        <f t="shared" si="2507"/>
        <v/>
      </c>
      <c r="R2590" s="318" t="str">
        <f t="shared" si="2508"/>
        <v/>
      </c>
      <c r="S2590" s="318" t="str">
        <f t="shared" si="8"/>
        <v/>
      </c>
    </row>
    <row r="2591">
      <c r="A2591" s="14" t="str">
        <f t="shared" si="1"/>
        <v>C52546134</v>
      </c>
      <c r="B2591" s="185" t="str">
        <f t="array" ref="B2591">IF(F2591="VL","",IF(F2591="Free","Free",XLOOKUP(D2591,Roster!T:T,Roster!S:S,"",0)))</f>
        <v>Free</v>
      </c>
      <c r="C2591" s="313">
        <v>46134.0</v>
      </c>
      <c r="D2591" s="314" t="s">
        <v>176</v>
      </c>
      <c r="E2591" s="307" t="str">
        <f t="array" ref="E2591">(XLOOKUP(D2591,Roster!F:F,Roster!B:B,"",0))</f>
        <v>Julian Pineda</v>
      </c>
      <c r="F2591" s="315" t="str">
        <f t="array" ref="F2591">IF(B2591=100,"Free",TEXT(XLOOKUP($D2591,OperationVoice!$A:$A,OperationVoice!AB:AB,XLOOKUP($D2591,OperationTickets!$A:$A,OperationTickets!AB:AB,"",0)),"hh:mm"))</f>
        <v>Free</v>
      </c>
      <c r="G2591" s="309" t="str">
        <f t="shared" si="3"/>
        <v>Free</v>
      </c>
      <c r="H2591" s="316" t="str">
        <f t="array" ref="H2591">XLOOKUP(B2591,Roster!L:L,Roster!N:N,XLOOKUP(D2591,TicketsBreak!A:A,TicketsBreak!E:E,"",0),0)</f>
        <v/>
      </c>
      <c r="I2591" s="316" t="str">
        <f t="array" ref="I2591">XLOOKUP(B2591,Roster!L:L,Roster!O:O,XLOOKUP(D2591,TicketsBreak!A:A,TicketsBreak!F:F,"",0),0)</f>
        <v/>
      </c>
      <c r="J2591" s="316" t="str">
        <f t="array" ref="J2591">XLOOKUP(B2591,Roster!L:L,Roster!P:P,XLOOKUP(D2591,TicketsBreak!A:A,TicketsBreak!G:G,"",0),0)</f>
        <v/>
      </c>
      <c r="K2591" s="310">
        <f t="shared" si="4"/>
        <v>46134</v>
      </c>
      <c r="L2591" s="317">
        <f t="array" ref="L2591">(XLOOKUP(D2591,Roster!F:F,Roster!D:D,"",0))</f>
        <v>35</v>
      </c>
      <c r="M2591" s="317" t="str">
        <f t="array" ref="M2591">XLOOKUP(D2591,Roster!F:F,Roster!E:E)</f>
        <v>Tickets</v>
      </c>
      <c r="N2591" s="317" t="str">
        <f t="shared" ref="N2591:P2591" si="2627">LEFT(H2591,5)</f>
        <v/>
      </c>
      <c r="O2591" s="317" t="str">
        <f t="shared" si="2627"/>
        <v/>
      </c>
      <c r="P2591" s="317" t="str">
        <f t="shared" si="2627"/>
        <v/>
      </c>
      <c r="Q2591" s="318" t="str">
        <f t="shared" si="2507"/>
        <v/>
      </c>
      <c r="R2591" s="318" t="str">
        <f t="shared" si="2508"/>
        <v/>
      </c>
      <c r="S2591" s="318" t="str">
        <f t="shared" si="8"/>
        <v/>
      </c>
    </row>
    <row r="2592">
      <c r="A2592" s="14" t="str">
        <f t="shared" si="1"/>
        <v>C142746134</v>
      </c>
      <c r="B2592" s="185">
        <f t="array" ref="B2592">IF(F2592="VL","",IF(F2592="Free","Free",XLOOKUP(D2592,Roster!T:T,Roster!S:S,"",0)))</f>
        <v>123</v>
      </c>
      <c r="C2592" s="313">
        <v>46134.0</v>
      </c>
      <c r="D2592" s="314" t="s">
        <v>50</v>
      </c>
      <c r="E2592" s="307" t="str">
        <f t="array" ref="E2592">(XLOOKUP(D2592,Roster!F:F,Roster!B:B,"",0))</f>
        <v>Karen Lorena Martinez</v>
      </c>
      <c r="F2592" s="315" t="str">
        <f t="array" ref="F2592">IF(B2592=100,"Free",TEXT(XLOOKUP($D2592,OperationVoice!$A:$A,OperationVoice!AB:AB,XLOOKUP($D2592,OperationTickets!$A:$A,OperationTickets!AB:AB,"",0)),"hh:mm"))</f>
        <v>08:00</v>
      </c>
      <c r="G2592" s="309">
        <f t="shared" si="3"/>
        <v>0.7083333333</v>
      </c>
      <c r="H2592" s="316" t="str">
        <f t="array" ref="H2592">XLOOKUP(B2592,Roster!L:L,Roster!N:N,XLOOKUP(D2592,TicketsBreak!A:A,TicketsBreak!E:E,"",0),0)</f>
        <v>09:45 - 10:00 </v>
      </c>
      <c r="I2592" s="316" t="str">
        <f t="array" ref="I2592">XLOOKUP(B2592,Roster!L:L,Roster!O:O,XLOOKUP(D2592,TicketsBreak!A:A,TicketsBreak!F:F,"",0),0)</f>
        <v>12:30 - 13:00</v>
      </c>
      <c r="J2592" s="316" t="str">
        <f t="array" ref="J2592">XLOOKUP(B2592,Roster!L:L,Roster!P:P,XLOOKUP(D2592,TicketsBreak!A:A,TicketsBreak!G:G,"",0),0)</f>
        <v>15:00 - 15:15</v>
      </c>
      <c r="K2592" s="310">
        <f t="shared" si="4"/>
        <v>46134</v>
      </c>
      <c r="L2592" s="317">
        <f t="array" ref="L2592">(XLOOKUP(D2592,Roster!F:F,Roster!D:D,"",0))</f>
        <v>32</v>
      </c>
      <c r="M2592" s="317" t="str">
        <f t="array" ref="M2592">XLOOKUP(D2592,Roster!F:F,Roster!E:E)</f>
        <v>Voice</v>
      </c>
      <c r="N2592" s="317" t="str">
        <f t="shared" ref="N2592:P2592" si="2628">LEFT(H2592,5)</f>
        <v>09:45</v>
      </c>
      <c r="O2592" s="317" t="str">
        <f t="shared" si="2628"/>
        <v>12:30</v>
      </c>
      <c r="P2592" s="317" t="str">
        <f t="shared" si="2628"/>
        <v>15:00</v>
      </c>
      <c r="Q2592" s="318">
        <f t="shared" si="2507"/>
        <v>46134.40625</v>
      </c>
      <c r="R2592" s="318">
        <f t="shared" si="2508"/>
        <v>46134.52083</v>
      </c>
      <c r="S2592" s="318">
        <f t="shared" si="8"/>
        <v>46134.625</v>
      </c>
    </row>
    <row r="2593">
      <c r="A2593" s="14" t="str">
        <f t="shared" si="1"/>
        <v>C57946134</v>
      </c>
      <c r="B2593" s="185" t="str">
        <f t="array" ref="B2593">IF(F2593="VL","",IF(F2593="Free","Free",XLOOKUP(D2593,Roster!T:T,Roster!S:S,"",0)))</f>
        <v/>
      </c>
      <c r="C2593" s="313">
        <v>46134.0</v>
      </c>
      <c r="D2593" s="314" t="s">
        <v>144</v>
      </c>
      <c r="E2593" s="307" t="str">
        <f t="array" ref="E2593">(XLOOKUP(D2593,Roster!F:F,Roster!B:B,"",0))</f>
        <v>Karen Martinez</v>
      </c>
      <c r="F2593" s="315" t="str">
        <f t="array" ref="F2593">IF(B2593=100,"Free",TEXT(XLOOKUP($D2593,OperationVoice!$A:$A,OperationVoice!AB:AB,XLOOKUP($D2593,OperationTickets!$A:$A,OperationTickets!AB:AB,"",0)),"hh:mm"))</f>
        <v>08:00</v>
      </c>
      <c r="G2593" s="309">
        <f t="shared" si="3"/>
        <v>0.7083333333</v>
      </c>
      <c r="H2593" s="316">
        <f t="array" ref="H2593">XLOOKUP(B2593,Roster!L:L,Roster!N:N,XLOOKUP(D2593,TicketsBreak!A:A,TicketsBreak!E:E,"",0),0)</f>
        <v>0.4166666667</v>
      </c>
      <c r="I2593" s="316">
        <f t="array" ref="I2593">XLOOKUP(B2593,Roster!L:L,Roster!O:O,XLOOKUP(D2593,TicketsBreak!A:A,TicketsBreak!F:F,"",0),0)</f>
        <v>0.5</v>
      </c>
      <c r="J2593" s="316">
        <f t="array" ref="J2593">XLOOKUP(B2593,Roster!L:L,Roster!P:P,XLOOKUP(D2593,TicketsBreak!A:A,TicketsBreak!G:G,"",0),0)</f>
        <v>0.625</v>
      </c>
      <c r="K2593" s="310">
        <f t="shared" si="4"/>
        <v>46134</v>
      </c>
      <c r="L2593" s="317">
        <f t="array" ref="L2593">(XLOOKUP(D2593,Roster!F:F,Roster!D:D,"",0))</f>
        <v>4</v>
      </c>
      <c r="M2593" s="317" t="str">
        <f t="array" ref="M2593">XLOOKUP(D2593,Roster!F:F,Roster!E:E)</f>
        <v>Tickets</v>
      </c>
      <c r="N2593" s="317" t="str">
        <f t="shared" ref="N2593:P2593" si="2629">LEFT(H2593,5)</f>
        <v>10:00</v>
      </c>
      <c r="O2593" s="317" t="str">
        <f t="shared" si="2629"/>
        <v>12:00</v>
      </c>
      <c r="P2593" s="317" t="str">
        <f t="shared" si="2629"/>
        <v>15:00</v>
      </c>
      <c r="Q2593" s="318">
        <f t="shared" si="2507"/>
        <v>46134.41667</v>
      </c>
      <c r="R2593" s="318">
        <f t="shared" si="2508"/>
        <v>46134.5</v>
      </c>
      <c r="S2593" s="318">
        <f t="shared" si="8"/>
        <v>46134.625</v>
      </c>
    </row>
    <row r="2594">
      <c r="A2594" s="14" t="str">
        <f t="shared" si="1"/>
        <v>C108646134</v>
      </c>
      <c r="B2594" s="185" t="str">
        <f t="array" ref="B2594">IF(F2594="VL","",IF(F2594="Free","Free",XLOOKUP(D2594,Roster!T:T,Roster!S:S,"",0)))</f>
        <v>Free</v>
      </c>
      <c r="C2594" s="313">
        <v>46134.0</v>
      </c>
      <c r="D2594" s="314" t="s">
        <v>51</v>
      </c>
      <c r="E2594" s="307" t="str">
        <f t="array" ref="E2594">(XLOOKUP(D2594,Roster!F:F,Roster!B:B,"",0))</f>
        <v>Karen Panqueva</v>
      </c>
      <c r="F2594" s="315" t="str">
        <f t="array" ref="F2594">IF(B2594=100,"Free",TEXT(XLOOKUP($D2594,OperationVoice!$A:$A,OperationVoice!AB:AB,XLOOKUP($D2594,OperationTickets!$A:$A,OperationTickets!AB:AB,"",0)),"hh:mm"))</f>
        <v>Free</v>
      </c>
      <c r="G2594" s="309" t="str">
        <f t="shared" si="3"/>
        <v>Free</v>
      </c>
      <c r="H2594" s="316" t="str">
        <f t="array" ref="H2594">XLOOKUP(B2594,Roster!L:L,Roster!N:N,XLOOKUP(D2594,TicketsBreak!A:A,TicketsBreak!E:E,"",0),0)</f>
        <v/>
      </c>
      <c r="I2594" s="316" t="str">
        <f t="array" ref="I2594">XLOOKUP(B2594,Roster!L:L,Roster!O:O,XLOOKUP(D2594,TicketsBreak!A:A,TicketsBreak!F:F,"",0),0)</f>
        <v/>
      </c>
      <c r="J2594" s="316" t="str">
        <f t="array" ref="J2594">XLOOKUP(B2594,Roster!L:L,Roster!P:P,XLOOKUP(D2594,TicketsBreak!A:A,TicketsBreak!G:G,"",0),0)</f>
        <v/>
      </c>
      <c r="K2594" s="310">
        <f t="shared" si="4"/>
        <v>46134</v>
      </c>
      <c r="L2594" s="317">
        <f t="array" ref="L2594">(XLOOKUP(D2594,Roster!F:F,Roster!D:D,"",0))</f>
        <v>19</v>
      </c>
      <c r="M2594" s="317" t="str">
        <f t="array" ref="M2594">XLOOKUP(D2594,Roster!F:F,Roster!E:E)</f>
        <v>Voice</v>
      </c>
      <c r="N2594" s="317" t="str">
        <f t="shared" ref="N2594:P2594" si="2630">LEFT(H2594,5)</f>
        <v/>
      </c>
      <c r="O2594" s="317" t="str">
        <f t="shared" si="2630"/>
        <v/>
      </c>
      <c r="P2594" s="317" t="str">
        <f t="shared" si="2630"/>
        <v/>
      </c>
      <c r="Q2594" s="318" t="str">
        <f t="shared" si="2507"/>
        <v/>
      </c>
      <c r="R2594" s="318" t="str">
        <f t="shared" si="2508"/>
        <v/>
      </c>
      <c r="S2594" s="318" t="str">
        <f t="shared" si="8"/>
        <v/>
      </c>
    </row>
    <row r="2595">
      <c r="A2595" s="14" t="str">
        <f t="shared" si="1"/>
        <v>C149246134</v>
      </c>
      <c r="B2595" s="185">
        <f t="array" ref="B2595">IF(F2595="VL","",IF(F2595="Free","Free",XLOOKUP(D2595,Roster!T:T,Roster!S:S,"",0)))</f>
        <v>125</v>
      </c>
      <c r="C2595" s="313">
        <v>46134.0</v>
      </c>
      <c r="D2595" s="314" t="s">
        <v>52</v>
      </c>
      <c r="E2595" s="307" t="str">
        <f t="array" ref="E2595">(XLOOKUP(D2595,Roster!F:F,Roster!B:B,"",0))</f>
        <v>Karol Pineda</v>
      </c>
      <c r="F2595" s="315" t="str">
        <f t="array" ref="F2595">IF(B2595=100,"Free",TEXT(XLOOKUP($D2595,OperationVoice!$A:$A,OperationVoice!AB:AB,XLOOKUP($D2595,OperationTickets!$A:$A,OperationTickets!AB:AB,"",0)),"hh:mm"))</f>
        <v>08:00</v>
      </c>
      <c r="G2595" s="309">
        <f t="shared" si="3"/>
        <v>0.7083333333</v>
      </c>
      <c r="H2595" s="316" t="str">
        <f t="array" ref="H2595">XLOOKUP(B2595,Roster!L:L,Roster!N:N,XLOOKUP(D2595,TicketsBreak!A:A,TicketsBreak!E:E,"",0),0)</f>
        <v>10:30 - 10:45</v>
      </c>
      <c r="I2595" s="316" t="str">
        <f t="array" ref="I2595">XLOOKUP(B2595,Roster!L:L,Roster!O:O,XLOOKUP(D2595,TicketsBreak!A:A,TicketsBreak!F:F,"",0),0)</f>
        <v>13:30 - 14:00</v>
      </c>
      <c r="J2595" s="316" t="str">
        <f t="array" ref="J2595">XLOOKUP(B2595,Roster!L:L,Roster!P:P,XLOOKUP(D2595,TicketsBreak!A:A,TicketsBreak!G:G,"",0),0)</f>
        <v>15:45 - 16:00</v>
      </c>
      <c r="K2595" s="310">
        <f t="shared" si="4"/>
        <v>46134</v>
      </c>
      <c r="L2595" s="317">
        <f t="array" ref="L2595">(XLOOKUP(D2595,Roster!F:F,Roster!D:D,"",0))</f>
        <v>34</v>
      </c>
      <c r="M2595" s="317" t="str">
        <f t="array" ref="M2595">XLOOKUP(D2595,Roster!F:F,Roster!E:E)</f>
        <v>Voice</v>
      </c>
      <c r="N2595" s="317" t="str">
        <f t="shared" ref="N2595:P2595" si="2631">LEFT(H2595,5)</f>
        <v>10:30</v>
      </c>
      <c r="O2595" s="317" t="str">
        <f t="shared" si="2631"/>
        <v>13:30</v>
      </c>
      <c r="P2595" s="317" t="str">
        <f t="shared" si="2631"/>
        <v>15:45</v>
      </c>
      <c r="Q2595" s="318">
        <f t="shared" si="2507"/>
        <v>46134.4375</v>
      </c>
      <c r="R2595" s="318">
        <f t="shared" si="2508"/>
        <v>46134.5625</v>
      </c>
      <c r="S2595" s="318">
        <f t="shared" si="8"/>
        <v>46134.65625</v>
      </c>
    </row>
    <row r="2596">
      <c r="A2596" s="14" t="str">
        <f t="shared" si="1"/>
        <v>C65846134</v>
      </c>
      <c r="B2596" s="185">
        <f t="array" ref="B2596">IF(F2596="VL","",IF(F2596="Free","Free",XLOOKUP(D2596,Roster!T:T,Roster!S:S,"",0)))</f>
        <v>112</v>
      </c>
      <c r="C2596" s="313">
        <v>46134.0</v>
      </c>
      <c r="D2596" s="314" t="s">
        <v>53</v>
      </c>
      <c r="E2596" s="307" t="str">
        <f t="array" ref="E2596">(XLOOKUP(D2596,Roster!F:F,Roster!B:B,"",0))</f>
        <v>Kennedy Giraldo</v>
      </c>
      <c r="F2596" s="315" t="str">
        <f t="array" ref="F2596">IF(B2596=100,"Free",TEXT(XLOOKUP($D2596,OperationVoice!$A:$A,OperationVoice!AB:AB,XLOOKUP($D2596,OperationTickets!$A:$A,OperationTickets!AB:AB,"",0)),"hh:mm"))</f>
        <v>07:00</v>
      </c>
      <c r="G2596" s="309">
        <f t="shared" si="3"/>
        <v>0.6666666667</v>
      </c>
      <c r="H2596" s="316" t="str">
        <f t="array" ref="H2596">XLOOKUP(B2596,Roster!L:L,Roster!N:N,XLOOKUP(D2596,TicketsBreak!A:A,TicketsBreak!E:E,"",0),0)</f>
        <v>09:30 - 09:45</v>
      </c>
      <c r="I2596" s="316" t="str">
        <f t="array" ref="I2596">XLOOKUP(B2596,Roster!L:L,Roster!O:O,XLOOKUP(D2596,TicketsBreak!A:A,TicketsBreak!F:F,"",0),0)</f>
        <v>12:15 - 12:45</v>
      </c>
      <c r="J2596" s="316" t="str">
        <f t="array" ref="J2596">XLOOKUP(B2596,Roster!L:L,Roster!P:P,XLOOKUP(D2596,TicketsBreak!A:A,TicketsBreak!G:G,"",0),0)</f>
        <v>14:45 - 15:00</v>
      </c>
      <c r="K2596" s="310">
        <f t="shared" si="4"/>
        <v>46134</v>
      </c>
      <c r="L2596" s="317">
        <f t="array" ref="L2596">(XLOOKUP(D2596,Roster!F:F,Roster!D:D,"",0))</f>
        <v>2</v>
      </c>
      <c r="M2596" s="317" t="str">
        <f t="array" ref="M2596">XLOOKUP(D2596,Roster!F:F,Roster!E:E)</f>
        <v>Voice</v>
      </c>
      <c r="N2596" s="317" t="str">
        <f t="shared" ref="N2596:P2596" si="2632">LEFT(H2596,5)</f>
        <v>09:30</v>
      </c>
      <c r="O2596" s="317" t="str">
        <f t="shared" si="2632"/>
        <v>12:15</v>
      </c>
      <c r="P2596" s="317" t="str">
        <f t="shared" si="2632"/>
        <v>14:45</v>
      </c>
      <c r="Q2596" s="318">
        <f t="shared" si="2507"/>
        <v>46134.39583</v>
      </c>
      <c r="R2596" s="318">
        <f t="shared" si="2508"/>
        <v>46134.51042</v>
      </c>
      <c r="S2596" s="318">
        <f t="shared" si="8"/>
        <v>46134.61458</v>
      </c>
    </row>
    <row r="2597">
      <c r="A2597" s="14" t="str">
        <f t="shared" si="1"/>
        <v>C151446134</v>
      </c>
      <c r="B2597" s="185">
        <f t="array" ref="B2597">IF(F2597="VL","",IF(F2597="Free","Free",XLOOKUP(D2597,Roster!T:T,Roster!S:S,"",0)))</f>
        <v>122</v>
      </c>
      <c r="C2597" s="313">
        <v>46134.0</v>
      </c>
      <c r="D2597" s="314" t="s">
        <v>54</v>
      </c>
      <c r="E2597" s="307" t="str">
        <f t="array" ref="E2597">(XLOOKUP(D2597,Roster!F:F,Roster!B:B,"",0))</f>
        <v>Kevin Betancur</v>
      </c>
      <c r="F2597" s="315" t="str">
        <f t="array" ref="F2597">IF(B2597=100,"Free",TEXT(XLOOKUP($D2597,OperationVoice!$A:$A,OperationVoice!AB:AB,XLOOKUP($D2597,OperationTickets!$A:$A,OperationTickets!AB:AB,"",0)),"hh:mm"))</f>
        <v>08:00</v>
      </c>
      <c r="G2597" s="309">
        <f t="shared" si="3"/>
        <v>0.7083333333</v>
      </c>
      <c r="H2597" s="316" t="str">
        <f t="array" ref="H2597">XLOOKUP(B2597,Roster!L:L,Roster!N:N,XLOOKUP(D2597,TicketsBreak!A:A,TicketsBreak!E:E,"",0),0)</f>
        <v>09:30 - 09:45</v>
      </c>
      <c r="I2597" s="316" t="str">
        <f t="array" ref="I2597">XLOOKUP(B2597,Roster!L:L,Roster!O:O,XLOOKUP(D2597,TicketsBreak!A:A,TicketsBreak!F:F,"",0),0)</f>
        <v>12:00 - 12:30</v>
      </c>
      <c r="J2597" s="316" t="str">
        <f t="array" ref="J2597">XLOOKUP(B2597,Roster!L:L,Roster!P:P,XLOOKUP(D2597,TicketsBreak!A:A,TicketsBreak!G:G,"",0),0)</f>
        <v>14:45 - 15:00</v>
      </c>
      <c r="K2597" s="310">
        <f t="shared" si="4"/>
        <v>46134</v>
      </c>
      <c r="L2597" s="317">
        <f t="array" ref="L2597">(XLOOKUP(D2597,Roster!F:F,Roster!D:D,"",0))</f>
        <v>35</v>
      </c>
      <c r="M2597" s="317" t="str">
        <f t="array" ref="M2597">XLOOKUP(D2597,Roster!F:F,Roster!E:E)</f>
        <v>Voice</v>
      </c>
      <c r="N2597" s="317" t="str">
        <f t="shared" ref="N2597:P2597" si="2633">LEFT(H2597,5)</f>
        <v>09:30</v>
      </c>
      <c r="O2597" s="317" t="str">
        <f t="shared" si="2633"/>
        <v>12:00</v>
      </c>
      <c r="P2597" s="317" t="str">
        <f t="shared" si="2633"/>
        <v>14:45</v>
      </c>
      <c r="Q2597" s="318">
        <f t="shared" si="2507"/>
        <v>46134.39583</v>
      </c>
      <c r="R2597" s="318">
        <f t="shared" si="2508"/>
        <v>46134.5</v>
      </c>
      <c r="S2597" s="318">
        <f t="shared" si="8"/>
        <v>46134.61458</v>
      </c>
    </row>
    <row r="2598">
      <c r="A2598" s="14" t="str">
        <f t="shared" si="1"/>
        <v>C157146134</v>
      </c>
      <c r="B2598" s="185">
        <f t="array" ref="B2598">IF(F2598="VL","",IF(F2598="Free","Free",XLOOKUP(D2598,Roster!T:T,Roster!S:S,"",0)))</f>
        <v>123</v>
      </c>
      <c r="C2598" s="313">
        <v>46134.0</v>
      </c>
      <c r="D2598" s="314" t="s">
        <v>55</v>
      </c>
      <c r="E2598" s="307" t="str">
        <f t="array" ref="E2598">(XLOOKUP(D2598,Roster!F:F,Roster!B:B,"",0))</f>
        <v>Laura Chamorro</v>
      </c>
      <c r="F2598" s="315" t="str">
        <f t="array" ref="F2598">IF(B2598=100,"Free",TEXT(XLOOKUP($D2598,OperationVoice!$A:$A,OperationVoice!AB:AB,XLOOKUP($D2598,OperationTickets!$A:$A,OperationTickets!AB:AB,"",0)),"hh:mm"))</f>
        <v>08:00</v>
      </c>
      <c r="G2598" s="309">
        <f t="shared" si="3"/>
        <v>0.7083333333</v>
      </c>
      <c r="H2598" s="316" t="str">
        <f t="array" ref="H2598">XLOOKUP(B2598,Roster!L:L,Roster!N:N,XLOOKUP(D2598,TicketsBreak!A:A,TicketsBreak!E:E,"",0),0)</f>
        <v>09:45 - 10:00 </v>
      </c>
      <c r="I2598" s="316" t="str">
        <f t="array" ref="I2598">XLOOKUP(B2598,Roster!L:L,Roster!O:O,XLOOKUP(D2598,TicketsBreak!A:A,TicketsBreak!F:F,"",0),0)</f>
        <v>12:30 - 13:00</v>
      </c>
      <c r="J2598" s="316" t="str">
        <f t="array" ref="J2598">XLOOKUP(B2598,Roster!L:L,Roster!P:P,XLOOKUP(D2598,TicketsBreak!A:A,TicketsBreak!G:G,"",0),0)</f>
        <v>15:00 - 15:15</v>
      </c>
      <c r="K2598" s="310">
        <f t="shared" si="4"/>
        <v>46134</v>
      </c>
      <c r="L2598" s="317">
        <f t="array" ref="L2598">(XLOOKUP(D2598,Roster!F:F,Roster!D:D,"",0))</f>
        <v>38</v>
      </c>
      <c r="M2598" s="317" t="str">
        <f t="array" ref="M2598">XLOOKUP(D2598,Roster!F:F,Roster!E:E)</f>
        <v>Voice</v>
      </c>
      <c r="N2598" s="317" t="str">
        <f t="shared" ref="N2598:P2598" si="2634">LEFT(H2598,5)</f>
        <v>09:45</v>
      </c>
      <c r="O2598" s="317" t="str">
        <f t="shared" si="2634"/>
        <v>12:30</v>
      </c>
      <c r="P2598" s="317" t="str">
        <f t="shared" si="2634"/>
        <v>15:00</v>
      </c>
      <c r="Q2598" s="318">
        <f t="shared" si="2507"/>
        <v>46134.40625</v>
      </c>
      <c r="R2598" s="318">
        <f t="shared" si="2508"/>
        <v>46134.52083</v>
      </c>
      <c r="S2598" s="318">
        <f t="shared" si="8"/>
        <v>46134.625</v>
      </c>
    </row>
    <row r="2599">
      <c r="A2599" s="14" t="str">
        <f t="shared" si="1"/>
        <v>C53446134</v>
      </c>
      <c r="B2599" s="185" t="str">
        <f t="array" ref="B2599">IF(F2599="VL","",IF(F2599="Free","Free",XLOOKUP(D2599,Roster!T:T,Roster!S:S,"",0)))</f>
        <v/>
      </c>
      <c r="C2599" s="313">
        <v>46134.0</v>
      </c>
      <c r="D2599" s="314" t="s">
        <v>177</v>
      </c>
      <c r="E2599" s="307" t="str">
        <f t="array" ref="E2599">(XLOOKUP(D2599,Roster!F:F,Roster!B:B,"",0))</f>
        <v>Leandry La Rosa</v>
      </c>
      <c r="F2599" s="315" t="str">
        <f t="array" ref="F2599">IF(B2599=100,"Free",TEXT(XLOOKUP($D2599,OperationVoice!$A:$A,OperationVoice!AB:AB,XLOOKUP($D2599,OperationTickets!$A:$A,OperationTickets!AB:AB,"",0)),"hh:mm"))</f>
        <v>08:00</v>
      </c>
      <c r="G2599" s="309">
        <f t="shared" si="3"/>
        <v>0.7083333333</v>
      </c>
      <c r="H2599" s="316">
        <f t="array" ref="H2599">XLOOKUP(B2599,Roster!L:L,Roster!N:N,XLOOKUP(D2599,TicketsBreak!A:A,TicketsBreak!E:E,"",0),0)</f>
        <v>0.40625</v>
      </c>
      <c r="I2599" s="316">
        <f t="array" ref="I2599">XLOOKUP(B2599,Roster!L:L,Roster!O:O,XLOOKUP(D2599,TicketsBreak!A:A,TicketsBreak!F:F,"",0),0)</f>
        <v>0.5416666667</v>
      </c>
      <c r="J2599" s="316">
        <f t="array" ref="J2599">XLOOKUP(B2599,Roster!L:L,Roster!P:P,XLOOKUP(D2599,TicketsBreak!A:A,TicketsBreak!G:G,"",0),0)</f>
        <v>0.65625</v>
      </c>
      <c r="K2599" s="310">
        <f t="shared" si="4"/>
        <v>46134</v>
      </c>
      <c r="L2599" s="317">
        <f t="array" ref="L2599">(XLOOKUP(D2599,Roster!F:F,Roster!D:D,"",0))</f>
        <v>1</v>
      </c>
      <c r="M2599" s="317" t="str">
        <f t="array" ref="M2599">XLOOKUP(D2599,Roster!F:F,Roster!E:E)</f>
        <v>Tickets</v>
      </c>
      <c r="N2599" s="317" t="str">
        <f t="shared" ref="N2599:P2599" si="2635">LEFT(H2599,5)</f>
        <v>09:45</v>
      </c>
      <c r="O2599" s="317" t="str">
        <f t="shared" si="2635"/>
        <v>13:00</v>
      </c>
      <c r="P2599" s="317" t="str">
        <f t="shared" si="2635"/>
        <v>15:45</v>
      </c>
      <c r="Q2599" s="318">
        <f t="shared" si="2507"/>
        <v>46134.40625</v>
      </c>
      <c r="R2599" s="318">
        <f t="shared" si="2508"/>
        <v>46134.54167</v>
      </c>
      <c r="S2599" s="318">
        <f t="shared" si="8"/>
        <v>46134.65625</v>
      </c>
    </row>
    <row r="2600">
      <c r="A2600" s="14" t="str">
        <f t="shared" si="1"/>
        <v>C157846134</v>
      </c>
      <c r="B2600" s="185">
        <f t="array" ref="B2600">IF(F2600="VL","",IF(F2600="Free","Free",XLOOKUP(D2600,Roster!T:T,Roster!S:S,"",0)))</f>
        <v>125</v>
      </c>
      <c r="C2600" s="313">
        <v>46134.0</v>
      </c>
      <c r="D2600" s="314" t="s">
        <v>56</v>
      </c>
      <c r="E2600" s="307" t="str">
        <f t="array" ref="E2600">(XLOOKUP(D2600,Roster!F:F,Roster!B:B,"",0))</f>
        <v>Leonerrichi Caicedo</v>
      </c>
      <c r="F2600" s="315" t="str">
        <f t="array" ref="F2600">IF(B2600=100,"Free",TEXT(XLOOKUP($D2600,OperationVoice!$A:$A,OperationVoice!AB:AB,XLOOKUP($D2600,OperationTickets!$A:$A,OperationTickets!AB:AB,"",0)),"hh:mm"))</f>
        <v>08:00</v>
      </c>
      <c r="G2600" s="309">
        <f t="shared" si="3"/>
        <v>0.7083333333</v>
      </c>
      <c r="H2600" s="316" t="str">
        <f t="array" ref="H2600">XLOOKUP(B2600,Roster!L:L,Roster!N:N,XLOOKUP(D2600,TicketsBreak!A:A,TicketsBreak!E:E,"",0),0)</f>
        <v>10:30 - 10:45</v>
      </c>
      <c r="I2600" s="316" t="str">
        <f t="array" ref="I2600">XLOOKUP(B2600,Roster!L:L,Roster!O:O,XLOOKUP(D2600,TicketsBreak!A:A,TicketsBreak!F:F,"",0),0)</f>
        <v>13:30 - 14:00</v>
      </c>
      <c r="J2600" s="316" t="str">
        <f t="array" ref="J2600">XLOOKUP(B2600,Roster!L:L,Roster!P:P,XLOOKUP(D2600,TicketsBreak!A:A,TicketsBreak!G:G,"",0),0)</f>
        <v>15:45 - 16:00</v>
      </c>
      <c r="K2600" s="310">
        <f t="shared" si="4"/>
        <v>46134</v>
      </c>
      <c r="L2600" s="317">
        <f t="array" ref="L2600">(XLOOKUP(D2600,Roster!F:F,Roster!D:D,"",0))</f>
        <v>38</v>
      </c>
      <c r="M2600" s="317" t="str">
        <f t="array" ref="M2600">XLOOKUP(D2600,Roster!F:F,Roster!E:E)</f>
        <v>Voice</v>
      </c>
      <c r="N2600" s="317" t="str">
        <f t="shared" ref="N2600:P2600" si="2636">LEFT(H2600,5)</f>
        <v>10:30</v>
      </c>
      <c r="O2600" s="317" t="str">
        <f t="shared" si="2636"/>
        <v>13:30</v>
      </c>
      <c r="P2600" s="317" t="str">
        <f t="shared" si="2636"/>
        <v>15:45</v>
      </c>
      <c r="Q2600" s="318">
        <f t="shared" si="2507"/>
        <v>46134.4375</v>
      </c>
      <c r="R2600" s="318">
        <f t="shared" si="2508"/>
        <v>46134.5625</v>
      </c>
      <c r="S2600" s="318">
        <f t="shared" si="8"/>
        <v>46134.65625</v>
      </c>
    </row>
    <row r="2601">
      <c r="A2601" s="14" t="str">
        <f t="shared" si="1"/>
        <v>C53546134</v>
      </c>
      <c r="B2601" s="185" t="str">
        <f t="array" ref="B2601">IF(F2601="VL","",IF(F2601="Free","Free",XLOOKUP(D2601,Roster!T:T,Roster!S:S,"",0)))</f>
        <v/>
      </c>
      <c r="C2601" s="313">
        <v>46134.0</v>
      </c>
      <c r="D2601" s="314" t="s">
        <v>145</v>
      </c>
      <c r="E2601" s="307" t="str">
        <f t="array" ref="E2601">(XLOOKUP(D2601,Roster!F:F,Roster!B:B,"",0))</f>
        <v>Lina Cadena</v>
      </c>
      <c r="F2601" s="315" t="str">
        <f t="array" ref="F2601">IF(B2601=100,"Free",TEXT(XLOOKUP($D2601,OperationVoice!$A:$A,OperationVoice!AB:AB,XLOOKUP($D2601,OperationTickets!$A:$A,OperationTickets!AB:AB,"",0)),"hh:mm"))</f>
        <v>08:00</v>
      </c>
      <c r="G2601" s="309">
        <f t="shared" si="3"/>
        <v>0.7083333333</v>
      </c>
      <c r="H2601" s="316">
        <f t="array" ref="H2601">XLOOKUP(B2601,Roster!L:L,Roster!N:N,XLOOKUP(D2601,TicketsBreak!A:A,TicketsBreak!E:E,"",0),0)</f>
        <v>0.3854166667</v>
      </c>
      <c r="I2601" s="316">
        <f t="array" ref="I2601">XLOOKUP(B2601,Roster!L:L,Roster!O:O,XLOOKUP(D2601,TicketsBreak!A:A,TicketsBreak!F:F,"",0),0)</f>
        <v>0.5833333333</v>
      </c>
      <c r="J2601" s="316">
        <f t="array" ref="J2601">XLOOKUP(B2601,Roster!L:L,Roster!P:P,XLOOKUP(D2601,TicketsBreak!A:A,TicketsBreak!G:G,"",0),0)</f>
        <v>0.6458333333</v>
      </c>
      <c r="K2601" s="310">
        <f t="shared" si="4"/>
        <v>46134</v>
      </c>
      <c r="L2601" s="317">
        <f t="array" ref="L2601">(XLOOKUP(D2601,Roster!F:F,Roster!D:D,"",0))</f>
        <v>2</v>
      </c>
      <c r="M2601" s="317" t="str">
        <f t="array" ref="M2601">XLOOKUP(D2601,Roster!F:F,Roster!E:E)</f>
        <v>Tickets</v>
      </c>
      <c r="N2601" s="317" t="str">
        <f t="shared" ref="N2601:P2601" si="2637">LEFT(H2601,5)</f>
        <v>09:15</v>
      </c>
      <c r="O2601" s="317" t="str">
        <f t="shared" si="2637"/>
        <v>14:00</v>
      </c>
      <c r="P2601" s="317" t="str">
        <f t="shared" si="2637"/>
        <v>15:30</v>
      </c>
      <c r="Q2601" s="318">
        <f t="shared" si="2507"/>
        <v>46134.38542</v>
      </c>
      <c r="R2601" s="318">
        <f t="shared" si="2508"/>
        <v>46134.58333</v>
      </c>
      <c r="S2601" s="318">
        <f t="shared" si="8"/>
        <v>46134.64583</v>
      </c>
    </row>
    <row r="2602">
      <c r="A2602" s="14" t="str">
        <f t="shared" si="1"/>
        <v>C151746134</v>
      </c>
      <c r="B2602" s="185">
        <f t="array" ref="B2602">IF(F2602="VL","",IF(F2602="Free","Free",XLOOKUP(D2602,Roster!T:T,Roster!S:S,"",0)))</f>
        <v>124</v>
      </c>
      <c r="C2602" s="313">
        <v>46134.0</v>
      </c>
      <c r="D2602" s="314" t="s">
        <v>57</v>
      </c>
      <c r="E2602" s="307" t="str">
        <f t="array" ref="E2602">(XLOOKUP(D2602,Roster!F:F,Roster!B:B,"",0))</f>
        <v>Lisandro Alvarado</v>
      </c>
      <c r="F2602" s="315" t="str">
        <f t="array" ref="F2602">IF(B2602=100,"Free",TEXT(XLOOKUP($D2602,OperationVoice!$A:$A,OperationVoice!AB:AB,XLOOKUP($D2602,OperationTickets!$A:$A,OperationTickets!AB:AB,"",0)),"hh:mm"))</f>
        <v>08:00</v>
      </c>
      <c r="G2602" s="309">
        <f t="shared" si="3"/>
        <v>0.7083333333</v>
      </c>
      <c r="H2602" s="316" t="str">
        <f t="array" ref="H2602">XLOOKUP(B2602,Roster!L:L,Roster!N:N,XLOOKUP(D2602,TicketsBreak!A:A,TicketsBreak!E:E,"",0),0)</f>
        <v>10:00 - 10:15</v>
      </c>
      <c r="I2602" s="316" t="str">
        <f t="array" ref="I2602">XLOOKUP(B2602,Roster!L:L,Roster!O:O,XLOOKUP(D2602,TicketsBreak!A:A,TicketsBreak!F:F,"",0),0)</f>
        <v>13:00 - 13:30</v>
      </c>
      <c r="J2602" s="316" t="str">
        <f t="array" ref="J2602">XLOOKUP(B2602,Roster!L:L,Roster!P:P,XLOOKUP(D2602,TicketsBreak!A:A,TicketsBreak!G:G,"",0),0)</f>
        <v>15:30 - 15:45</v>
      </c>
      <c r="K2602" s="310">
        <f t="shared" si="4"/>
        <v>46134</v>
      </c>
      <c r="L2602" s="317">
        <f t="array" ref="L2602">(XLOOKUP(D2602,Roster!F:F,Roster!D:D,"",0))</f>
        <v>35</v>
      </c>
      <c r="M2602" s="317" t="str">
        <f t="array" ref="M2602">XLOOKUP(D2602,Roster!F:F,Roster!E:E)</f>
        <v>Voice</v>
      </c>
      <c r="N2602" s="317" t="str">
        <f t="shared" ref="N2602:P2602" si="2638">LEFT(H2602,5)</f>
        <v>10:00</v>
      </c>
      <c r="O2602" s="317" t="str">
        <f t="shared" si="2638"/>
        <v>13:00</v>
      </c>
      <c r="P2602" s="317" t="str">
        <f t="shared" si="2638"/>
        <v>15:30</v>
      </c>
      <c r="Q2602" s="318">
        <f t="shared" si="2507"/>
        <v>46134.41667</v>
      </c>
      <c r="R2602" s="318">
        <f t="shared" si="2508"/>
        <v>46134.54167</v>
      </c>
      <c r="S2602" s="318">
        <f t="shared" si="8"/>
        <v>46134.64583</v>
      </c>
    </row>
    <row r="2603">
      <c r="A2603" s="14" t="str">
        <f t="shared" si="1"/>
        <v>C143346134</v>
      </c>
      <c r="B2603" s="185">
        <f t="array" ref="B2603">IF(F2603="VL","",IF(F2603="Free","Free",XLOOKUP(D2603,Roster!T:T,Roster!S:S,"",0)))</f>
        <v>500</v>
      </c>
      <c r="C2603" s="313">
        <v>46134.0</v>
      </c>
      <c r="D2603" s="314" t="s">
        <v>58</v>
      </c>
      <c r="E2603" s="307" t="str">
        <f t="array" ref="E2603">(XLOOKUP(D2603,Roster!F:F,Roster!B:B,"",0))</f>
        <v>Luis Lopez</v>
      </c>
      <c r="F2603" s="315" t="str">
        <f t="array" ref="F2603">IF(B2603=100,"Free",TEXT(XLOOKUP($D2603,OperationVoice!$A:$A,OperationVoice!AB:AB,XLOOKUP($D2603,OperationTickets!$A:$A,OperationTickets!AB:AB,"",0)),"hh:mm"))</f>
        <v>10:00</v>
      </c>
      <c r="G2603" s="309">
        <f t="shared" si="3"/>
        <v>0.7916666667</v>
      </c>
      <c r="H2603" s="316" t="str">
        <f t="array" ref="H2603">XLOOKUP(B2603,Roster!L:L,Roster!N:N,XLOOKUP(D2603,TicketsBreak!A:A,TicketsBreak!E:E,"",0),0)</f>
        <v>Team Leader</v>
      </c>
      <c r="I2603" s="316" t="str">
        <f t="array" ref="I2603">XLOOKUP(B2603,Roster!L:L,Roster!O:O,XLOOKUP(D2603,TicketsBreak!A:A,TicketsBreak!F:F,"",0),0)</f>
        <v>Team Leader</v>
      </c>
      <c r="J2603" s="316" t="str">
        <f t="array" ref="J2603">XLOOKUP(B2603,Roster!L:L,Roster!P:P,XLOOKUP(D2603,TicketsBreak!A:A,TicketsBreak!G:G,"",0),0)</f>
        <v/>
      </c>
      <c r="K2603" s="310">
        <f t="shared" si="4"/>
        <v>46134</v>
      </c>
      <c r="L2603" s="317">
        <f t="array" ref="L2603">(XLOOKUP(D2603,Roster!F:F,Roster!D:D,"",0))</f>
        <v>32</v>
      </c>
      <c r="M2603" s="317" t="str">
        <f t="array" ref="M2603">XLOOKUP(D2603,Roster!F:F,Roster!E:E)</f>
        <v>Voice</v>
      </c>
      <c r="N2603" s="317" t="str">
        <f t="shared" ref="N2603:P2603" si="2639">LEFT(H2603,5)</f>
        <v>Team </v>
      </c>
      <c r="O2603" s="317" t="str">
        <f t="shared" si="2639"/>
        <v>Team </v>
      </c>
      <c r="P2603" s="317" t="str">
        <f t="shared" si="2639"/>
        <v/>
      </c>
      <c r="Q2603" s="318" t="str">
        <f t="shared" si="2507"/>
        <v>#VALUE!</v>
      </c>
      <c r="R2603" s="318" t="str">
        <f t="shared" si="2508"/>
        <v>#VALUE!</v>
      </c>
      <c r="S2603" s="318" t="str">
        <f t="shared" si="8"/>
        <v/>
      </c>
    </row>
    <row r="2604">
      <c r="A2604" s="14" t="str">
        <f t="shared" si="1"/>
        <v>C153446134</v>
      </c>
      <c r="B2604" s="185">
        <f t="array" ref="B2604">IF(F2604="VL","",IF(F2604="Free","Free",XLOOKUP(D2604,Roster!T:T,Roster!S:S,"",0)))</f>
        <v>126</v>
      </c>
      <c r="C2604" s="313">
        <v>46134.0</v>
      </c>
      <c r="D2604" s="314" t="s">
        <v>59</v>
      </c>
      <c r="E2604" s="307" t="str">
        <f t="array" ref="E2604">(XLOOKUP(D2604,Roster!F:F,Roster!B:B,"",0))</f>
        <v>Luis Munoz</v>
      </c>
      <c r="F2604" s="315" t="str">
        <f t="array" ref="F2604">IF(B2604=100,"Free",TEXT(XLOOKUP($D2604,OperationVoice!$A:$A,OperationVoice!AB:AB,XLOOKUP($D2604,OperationTickets!$A:$A,OperationTickets!AB:AB,"",0)),"hh:mm"))</f>
        <v>08:00</v>
      </c>
      <c r="G2604" s="309">
        <f t="shared" si="3"/>
        <v>0.7083333333</v>
      </c>
      <c r="H2604" s="316" t="str">
        <f t="array" ref="H2604">XLOOKUP(B2604,Roster!L:L,Roster!N:N,XLOOKUP(D2604,TicketsBreak!A:A,TicketsBreak!E:E,"",0),0)</f>
        <v>10:45 - 11:00</v>
      </c>
      <c r="I2604" s="316" t="str">
        <f t="array" ref="I2604">XLOOKUP(B2604,Roster!L:L,Roster!O:O,XLOOKUP(D2604,TicketsBreak!A:A,TicketsBreak!F:F,"",0),0)</f>
        <v>14:00 - 14:30</v>
      </c>
      <c r="J2604" s="316" t="str">
        <f t="array" ref="J2604">XLOOKUP(B2604,Roster!L:L,Roster!P:P,XLOOKUP(D2604,TicketsBreak!A:A,TicketsBreak!G:G,"",0),0)</f>
        <v>15:45 - 16:00</v>
      </c>
      <c r="K2604" s="310">
        <f t="shared" si="4"/>
        <v>46134</v>
      </c>
      <c r="L2604" s="317">
        <f t="array" ref="L2604">(XLOOKUP(D2604,Roster!F:F,Roster!D:D,"",0))</f>
        <v>36</v>
      </c>
      <c r="M2604" s="317" t="str">
        <f t="array" ref="M2604">XLOOKUP(D2604,Roster!F:F,Roster!E:E)</f>
        <v>Voice</v>
      </c>
      <c r="N2604" s="317" t="str">
        <f t="shared" ref="N2604:P2604" si="2640">LEFT(H2604,5)</f>
        <v>10:45</v>
      </c>
      <c r="O2604" s="317" t="str">
        <f t="shared" si="2640"/>
        <v>14:00</v>
      </c>
      <c r="P2604" s="317" t="str">
        <f t="shared" si="2640"/>
        <v>15:45</v>
      </c>
      <c r="Q2604" s="318">
        <f t="shared" si="2507"/>
        <v>46134.44792</v>
      </c>
      <c r="R2604" s="318">
        <f t="shared" si="2508"/>
        <v>46134.58333</v>
      </c>
      <c r="S2604" s="318">
        <f t="shared" si="8"/>
        <v>46134.65625</v>
      </c>
    </row>
    <row r="2605">
      <c r="A2605" s="14" t="str">
        <f t="shared" si="1"/>
        <v>C53846134</v>
      </c>
      <c r="B2605" s="185" t="str">
        <f t="array" ref="B2605">IF(F2605="VL","",IF(F2605="Free","Free",XLOOKUP(D2605,Roster!T:T,Roster!S:S,"",0)))</f>
        <v/>
      </c>
      <c r="C2605" s="313">
        <v>46134.0</v>
      </c>
      <c r="D2605" s="314" t="s">
        <v>165</v>
      </c>
      <c r="E2605" s="307" t="str">
        <f t="array" ref="E2605">(XLOOKUP(D2605,Roster!F:F,Roster!B:B,"",0))</f>
        <v>Luisa Arenas</v>
      </c>
      <c r="F2605" s="315" t="str">
        <f t="array" ref="F2605">IF(B2605=100,"Free",TEXT(XLOOKUP($D2605,OperationVoice!$A:$A,OperationVoice!AB:AB,XLOOKUP($D2605,OperationTickets!$A:$A,OperationTickets!AB:AB,"",0)),"hh:mm"))</f>
        <v>08:00</v>
      </c>
      <c r="G2605" s="309">
        <f t="shared" si="3"/>
        <v>0.7083333333</v>
      </c>
      <c r="H2605" s="316" t="str">
        <f t="array" ref="H2605">XLOOKUP(B2605,Roster!L:L,Roster!N:N,XLOOKUP(D2605,TicketsBreak!A:A,TicketsBreak!E:E,"",0),0)</f>
        <v/>
      </c>
      <c r="I2605" s="316" t="str">
        <f t="array" ref="I2605">XLOOKUP(B2605,Roster!L:L,Roster!O:O,XLOOKUP(D2605,TicketsBreak!A:A,TicketsBreak!F:F,"",0),0)</f>
        <v/>
      </c>
      <c r="J2605" s="316" t="str">
        <f t="array" ref="J2605">XLOOKUP(B2605,Roster!L:L,Roster!P:P,XLOOKUP(D2605,TicketsBreak!A:A,TicketsBreak!G:G,"",0),0)</f>
        <v/>
      </c>
      <c r="K2605" s="310">
        <f t="shared" si="4"/>
        <v>46134</v>
      </c>
      <c r="L2605" s="317">
        <f t="array" ref="L2605">(XLOOKUP(D2605,Roster!F:F,Roster!D:D,"",0))</f>
        <v>35</v>
      </c>
      <c r="M2605" s="317" t="str">
        <f t="array" ref="M2605">XLOOKUP(D2605,Roster!F:F,Roster!E:E)</f>
        <v>Tickets</v>
      </c>
      <c r="N2605" s="317" t="str">
        <f t="shared" ref="N2605:P2605" si="2641">LEFT(H2605,5)</f>
        <v/>
      </c>
      <c r="O2605" s="317" t="str">
        <f t="shared" si="2641"/>
        <v/>
      </c>
      <c r="P2605" s="317" t="str">
        <f t="shared" si="2641"/>
        <v/>
      </c>
      <c r="Q2605" s="318" t="str">
        <f t="shared" si="2507"/>
        <v/>
      </c>
      <c r="R2605" s="318" t="str">
        <f t="shared" si="2508"/>
        <v/>
      </c>
      <c r="S2605" s="318" t="str">
        <f t="shared" si="8"/>
        <v/>
      </c>
    </row>
    <row r="2606">
      <c r="A2606" s="14" t="str">
        <f t="shared" si="1"/>
        <v>C113646134</v>
      </c>
      <c r="B2606" s="185">
        <f t="array" ref="B2606">IF(F2606="VL","",IF(F2606="Free","Free",XLOOKUP(D2606,Roster!T:T,Roster!S:S,"",0)))</f>
        <v>126</v>
      </c>
      <c r="C2606" s="313">
        <v>46134.0</v>
      </c>
      <c r="D2606" s="314" t="s">
        <v>60</v>
      </c>
      <c r="E2606" s="307" t="str">
        <f t="array" ref="E2606">(XLOOKUP(D2606,Roster!F:F,Roster!B:B,"",0))</f>
        <v>Luisa Gonzalez</v>
      </c>
      <c r="F2606" s="315" t="str">
        <f t="array" ref="F2606">IF(B2606=100,"Free",TEXT(XLOOKUP($D2606,OperationVoice!$A:$A,OperationVoice!AB:AB,XLOOKUP($D2606,OperationTickets!$A:$A,OperationTickets!AB:AB,"",0)),"hh:mm"))</f>
        <v>08:00</v>
      </c>
      <c r="G2606" s="309">
        <f t="shared" si="3"/>
        <v>0.7083333333</v>
      </c>
      <c r="H2606" s="316" t="str">
        <f t="array" ref="H2606">XLOOKUP(B2606,Roster!L:L,Roster!N:N,XLOOKUP(D2606,TicketsBreak!A:A,TicketsBreak!E:E,"",0),0)</f>
        <v>10:45 - 11:00</v>
      </c>
      <c r="I2606" s="316" t="str">
        <f t="array" ref="I2606">XLOOKUP(B2606,Roster!L:L,Roster!O:O,XLOOKUP(D2606,TicketsBreak!A:A,TicketsBreak!F:F,"",0),0)</f>
        <v>14:00 - 14:30</v>
      </c>
      <c r="J2606" s="316" t="str">
        <f t="array" ref="J2606">XLOOKUP(B2606,Roster!L:L,Roster!P:P,XLOOKUP(D2606,TicketsBreak!A:A,TicketsBreak!G:G,"",0),0)</f>
        <v>15:45 - 16:00</v>
      </c>
      <c r="K2606" s="310">
        <f t="shared" si="4"/>
        <v>46134</v>
      </c>
      <c r="L2606" s="317">
        <f t="array" ref="L2606">(XLOOKUP(D2606,Roster!F:F,Roster!D:D,"",0))</f>
        <v>22</v>
      </c>
      <c r="M2606" s="317" t="str">
        <f t="array" ref="M2606">XLOOKUP(D2606,Roster!F:F,Roster!E:E)</f>
        <v>Voice</v>
      </c>
      <c r="N2606" s="317" t="str">
        <f t="shared" ref="N2606:P2606" si="2642">LEFT(H2606,5)</f>
        <v>10:45</v>
      </c>
      <c r="O2606" s="317" t="str">
        <f t="shared" si="2642"/>
        <v>14:00</v>
      </c>
      <c r="P2606" s="317" t="str">
        <f t="shared" si="2642"/>
        <v>15:45</v>
      </c>
      <c r="Q2606" s="318">
        <f t="shared" si="2507"/>
        <v>46134.44792</v>
      </c>
      <c r="R2606" s="318">
        <f t="shared" si="2508"/>
        <v>46134.58333</v>
      </c>
      <c r="S2606" s="318">
        <f t="shared" si="8"/>
        <v>46134.65625</v>
      </c>
    </row>
    <row r="2607">
      <c r="A2607" s="14" t="str">
        <f t="shared" si="1"/>
        <v>C157746134</v>
      </c>
      <c r="B2607" s="185">
        <f t="array" ref="B2607">IF(F2607="VL","",IF(F2607="Free","Free",XLOOKUP(D2607,Roster!T:T,Roster!S:S,"",0)))</f>
        <v>126</v>
      </c>
      <c r="C2607" s="313">
        <v>46134.0</v>
      </c>
      <c r="D2607" s="314" t="s">
        <v>61</v>
      </c>
      <c r="E2607" s="307" t="str">
        <f t="array" ref="E2607">(XLOOKUP(D2607,Roster!F:F,Roster!B:B,"",0))</f>
        <v>Luna Morales</v>
      </c>
      <c r="F2607" s="315" t="str">
        <f t="array" ref="F2607">IF(B2607=100,"Free",TEXT(XLOOKUP($D2607,OperationVoice!$A:$A,OperationVoice!AB:AB,XLOOKUP($D2607,OperationTickets!$A:$A,OperationTickets!AB:AB,"",0)),"hh:mm"))</f>
        <v>08:00</v>
      </c>
      <c r="G2607" s="309">
        <f t="shared" si="3"/>
        <v>0.7083333333</v>
      </c>
      <c r="H2607" s="316" t="str">
        <f t="array" ref="H2607">XLOOKUP(B2607,Roster!L:L,Roster!N:N,XLOOKUP(D2607,TicketsBreak!A:A,TicketsBreak!E:E,"",0),0)</f>
        <v>10:45 - 11:00</v>
      </c>
      <c r="I2607" s="316" t="str">
        <f t="array" ref="I2607">XLOOKUP(B2607,Roster!L:L,Roster!O:O,XLOOKUP(D2607,TicketsBreak!A:A,TicketsBreak!F:F,"",0),0)</f>
        <v>14:00 - 14:30</v>
      </c>
      <c r="J2607" s="316" t="str">
        <f t="array" ref="J2607">XLOOKUP(B2607,Roster!L:L,Roster!P:P,XLOOKUP(D2607,TicketsBreak!A:A,TicketsBreak!G:G,"",0),0)</f>
        <v>15:45 - 16:00</v>
      </c>
      <c r="K2607" s="310">
        <f t="shared" si="4"/>
        <v>46134</v>
      </c>
      <c r="L2607" s="317">
        <f t="array" ref="L2607">(XLOOKUP(D2607,Roster!F:F,Roster!D:D,"",0))</f>
        <v>38</v>
      </c>
      <c r="M2607" s="317" t="str">
        <f t="array" ref="M2607">XLOOKUP(D2607,Roster!F:F,Roster!E:E)</f>
        <v>Voice</v>
      </c>
      <c r="N2607" s="317" t="str">
        <f t="shared" ref="N2607:P2607" si="2643">LEFT(H2607,5)</f>
        <v>10:45</v>
      </c>
      <c r="O2607" s="317" t="str">
        <f t="shared" si="2643"/>
        <v>14:00</v>
      </c>
      <c r="P2607" s="317" t="str">
        <f t="shared" si="2643"/>
        <v>15:45</v>
      </c>
      <c r="Q2607" s="318">
        <f t="shared" si="2507"/>
        <v>46134.44792</v>
      </c>
      <c r="R2607" s="318">
        <f t="shared" si="2508"/>
        <v>46134.58333</v>
      </c>
      <c r="S2607" s="318">
        <f t="shared" si="8"/>
        <v>46134.65625</v>
      </c>
    </row>
    <row r="2608">
      <c r="A2608" s="14" t="str">
        <f t="shared" si="1"/>
        <v>C121946134</v>
      </c>
      <c r="B2608" s="185" t="str">
        <f t="array" ref="B2608">IF(F2608="VL","",IF(F2608="Free","Free",XLOOKUP(D2608,Roster!T:T,Roster!S:S,"",0)))</f>
        <v>Free</v>
      </c>
      <c r="C2608" s="313">
        <v>46134.0</v>
      </c>
      <c r="D2608" s="314" t="s">
        <v>146</v>
      </c>
      <c r="E2608" s="307" t="str">
        <f t="array" ref="E2608">(XLOOKUP(D2608,Roster!F:F,Roster!B:B,"",0))</f>
        <v>Madelyn Jaramillo</v>
      </c>
      <c r="F2608" s="315" t="str">
        <f t="array" ref="F2608">IF(B2608=100,"Free",TEXT(XLOOKUP($D2608,OperationVoice!$A:$A,OperationVoice!AB:AB,XLOOKUP($D2608,OperationTickets!$A:$A,OperationTickets!AB:AB,"",0)),"hh:mm"))</f>
        <v>Free</v>
      </c>
      <c r="G2608" s="309" t="str">
        <f t="shared" si="3"/>
        <v>Free</v>
      </c>
      <c r="H2608" s="316" t="str">
        <f t="array" ref="H2608">XLOOKUP(B2608,Roster!L:L,Roster!N:N,XLOOKUP(D2608,TicketsBreak!A:A,TicketsBreak!E:E,"",0),0)</f>
        <v/>
      </c>
      <c r="I2608" s="316" t="str">
        <f t="array" ref="I2608">XLOOKUP(B2608,Roster!L:L,Roster!O:O,XLOOKUP(D2608,TicketsBreak!A:A,TicketsBreak!F:F,"",0),0)</f>
        <v/>
      </c>
      <c r="J2608" s="316" t="str">
        <f t="array" ref="J2608">XLOOKUP(B2608,Roster!L:L,Roster!P:P,XLOOKUP(D2608,TicketsBreak!A:A,TicketsBreak!G:G,"",0),0)</f>
        <v/>
      </c>
      <c r="K2608" s="310">
        <f t="shared" si="4"/>
        <v>46134</v>
      </c>
      <c r="L2608" s="317">
        <f t="array" ref="L2608">(XLOOKUP(D2608,Roster!F:F,Roster!D:D,"",0))</f>
        <v>26</v>
      </c>
      <c r="M2608" s="317" t="str">
        <f t="array" ref="M2608">XLOOKUP(D2608,Roster!F:F,Roster!E:E)</f>
        <v>Tickets</v>
      </c>
      <c r="N2608" s="317" t="str">
        <f t="shared" ref="N2608:P2608" si="2644">LEFT(H2608,5)</f>
        <v/>
      </c>
      <c r="O2608" s="317" t="str">
        <f t="shared" si="2644"/>
        <v/>
      </c>
      <c r="P2608" s="317" t="str">
        <f t="shared" si="2644"/>
        <v/>
      </c>
      <c r="Q2608" s="318" t="str">
        <f t="shared" si="2507"/>
        <v/>
      </c>
      <c r="R2608" s="318" t="str">
        <f t="shared" si="2508"/>
        <v/>
      </c>
      <c r="S2608" s="318" t="str">
        <f t="shared" si="8"/>
        <v/>
      </c>
    </row>
    <row r="2609">
      <c r="A2609" s="14" t="str">
        <f t="shared" si="1"/>
        <v>C151646134</v>
      </c>
      <c r="B2609" s="185">
        <f t="array" ref="B2609">IF(F2609="VL","",IF(F2609="Free","Free",XLOOKUP(D2609,Roster!T:T,Roster!S:S,"",0)))</f>
        <v>122</v>
      </c>
      <c r="C2609" s="313">
        <v>46134.0</v>
      </c>
      <c r="D2609" s="314" t="s">
        <v>62</v>
      </c>
      <c r="E2609" s="307" t="str">
        <f t="array" ref="E2609">(XLOOKUP(D2609,Roster!F:F,Roster!B:B,"",0))</f>
        <v>Magda Foronda</v>
      </c>
      <c r="F2609" s="315" t="str">
        <f t="array" ref="F2609">IF(B2609=100,"Free",TEXT(XLOOKUP($D2609,OperationVoice!$A:$A,OperationVoice!AB:AB,XLOOKUP($D2609,OperationTickets!$A:$A,OperationTickets!AB:AB,"",0)),"hh:mm"))</f>
        <v>08:00</v>
      </c>
      <c r="G2609" s="309">
        <f t="shared" si="3"/>
        <v>0.7083333333</v>
      </c>
      <c r="H2609" s="316" t="str">
        <f t="array" ref="H2609">XLOOKUP(B2609,Roster!L:L,Roster!N:N,XLOOKUP(D2609,TicketsBreak!A:A,TicketsBreak!E:E,"",0),0)</f>
        <v>09:30 - 09:45</v>
      </c>
      <c r="I2609" s="316" t="str">
        <f t="array" ref="I2609">XLOOKUP(B2609,Roster!L:L,Roster!O:O,XLOOKUP(D2609,TicketsBreak!A:A,TicketsBreak!F:F,"",0),0)</f>
        <v>12:00 - 12:30</v>
      </c>
      <c r="J2609" s="316" t="str">
        <f t="array" ref="J2609">XLOOKUP(B2609,Roster!L:L,Roster!P:P,XLOOKUP(D2609,TicketsBreak!A:A,TicketsBreak!G:G,"",0),0)</f>
        <v>14:45 - 15:00</v>
      </c>
      <c r="K2609" s="310">
        <f t="shared" si="4"/>
        <v>46134</v>
      </c>
      <c r="L2609" s="317">
        <f t="array" ref="L2609">(XLOOKUP(D2609,Roster!F:F,Roster!D:D,"",0))</f>
        <v>35</v>
      </c>
      <c r="M2609" s="317" t="str">
        <f t="array" ref="M2609">XLOOKUP(D2609,Roster!F:F,Roster!E:E)</f>
        <v>Voice</v>
      </c>
      <c r="N2609" s="317" t="str">
        <f t="shared" ref="N2609:P2609" si="2645">LEFT(H2609,5)</f>
        <v>09:30</v>
      </c>
      <c r="O2609" s="317" t="str">
        <f t="shared" si="2645"/>
        <v>12:00</v>
      </c>
      <c r="P2609" s="317" t="str">
        <f t="shared" si="2645"/>
        <v>14:45</v>
      </c>
      <c r="Q2609" s="318">
        <f t="shared" si="2507"/>
        <v>46134.39583</v>
      </c>
      <c r="R2609" s="318">
        <f t="shared" si="2508"/>
        <v>46134.5</v>
      </c>
      <c r="S2609" s="318">
        <f t="shared" si="8"/>
        <v>46134.61458</v>
      </c>
    </row>
    <row r="2610">
      <c r="A2610" s="14" t="str">
        <f t="shared" si="1"/>
        <v>C118046134</v>
      </c>
      <c r="B2610" s="185">
        <f t="array" ref="B2610">IF(F2610="VL","",IF(F2610="Free","Free",XLOOKUP(D2610,Roster!T:T,Roster!S:S,"",0)))</f>
        <v>500</v>
      </c>
      <c r="C2610" s="313">
        <v>46134.0</v>
      </c>
      <c r="D2610" s="314" t="s">
        <v>147</v>
      </c>
      <c r="E2610" s="307" t="str">
        <f t="array" ref="E2610">(XLOOKUP(D2610,Roster!F:F,Roster!B:B,"",0))</f>
        <v>Manuela Moreno</v>
      </c>
      <c r="F2610" s="315" t="str">
        <f t="array" ref="F2610">IF(B2610=100,"Free",TEXT(XLOOKUP($D2610,OperationVoice!$A:$A,OperationVoice!AB:AB,XLOOKUP($D2610,OperationTickets!$A:$A,OperationTickets!AB:AB,"",0)),"hh:mm"))</f>
        <v>09:00</v>
      </c>
      <c r="G2610" s="309">
        <f t="shared" si="3"/>
        <v>0.75</v>
      </c>
      <c r="H2610" s="316" t="str">
        <f t="array" ref="H2610">XLOOKUP(B2610,Roster!L:L,Roster!N:N,XLOOKUP(D2610,TicketsBreak!A:A,TicketsBreak!E:E,"",0),0)</f>
        <v>Team Leader</v>
      </c>
      <c r="I2610" s="316" t="str">
        <f t="array" ref="I2610">XLOOKUP(B2610,Roster!L:L,Roster!O:O,XLOOKUP(D2610,TicketsBreak!A:A,TicketsBreak!F:F,"",0),0)</f>
        <v>Team Leader</v>
      </c>
      <c r="J2610" s="316" t="str">
        <f t="array" ref="J2610">XLOOKUP(B2610,Roster!L:L,Roster!P:P,XLOOKUP(D2610,TicketsBreak!A:A,TicketsBreak!G:G,"",0),0)</f>
        <v/>
      </c>
      <c r="K2610" s="310">
        <f t="shared" si="4"/>
        <v>46134</v>
      </c>
      <c r="L2610" s="317">
        <f t="array" ref="L2610">(XLOOKUP(D2610,Roster!F:F,Roster!D:D,"",0))</f>
        <v>24</v>
      </c>
      <c r="M2610" s="317" t="str">
        <f t="array" ref="M2610">XLOOKUP(D2610,Roster!F:F,Roster!E:E)</f>
        <v>Tickets</v>
      </c>
      <c r="N2610" s="317" t="str">
        <f t="shared" ref="N2610:P2610" si="2646">LEFT(H2610,5)</f>
        <v>Team </v>
      </c>
      <c r="O2610" s="317" t="str">
        <f t="shared" si="2646"/>
        <v>Team </v>
      </c>
      <c r="P2610" s="317" t="str">
        <f t="shared" si="2646"/>
        <v/>
      </c>
      <c r="Q2610" s="318" t="str">
        <f>IF(P2610="","",$C2610+N2610)</f>
        <v/>
      </c>
      <c r="R2610" s="318" t="str">
        <f>if(P2610="","",$C2610+O2610)</f>
        <v/>
      </c>
      <c r="S2610" s="318" t="str">
        <f t="shared" si="8"/>
        <v/>
      </c>
    </row>
    <row r="2611">
      <c r="A2611" s="14" t="str">
        <f t="shared" si="1"/>
        <v>C153646134</v>
      </c>
      <c r="B2611" s="185">
        <f t="array" ref="B2611">IF(F2611="VL","",IF(F2611="Free","Free",XLOOKUP(D2611,Roster!T:T,Roster!S:S,"",0)))</f>
        <v>121</v>
      </c>
      <c r="C2611" s="313">
        <v>46134.0</v>
      </c>
      <c r="D2611" s="314" t="s">
        <v>63</v>
      </c>
      <c r="E2611" s="307" t="str">
        <f t="array" ref="E2611">(XLOOKUP(D2611,Roster!F:F,Roster!B:B,"",0))</f>
        <v>Maria Mesa</v>
      </c>
      <c r="F2611" s="315" t="str">
        <f t="array" ref="F2611">IF(B2611=100,"Free",TEXT(XLOOKUP($D2611,OperationVoice!$A:$A,OperationVoice!AB:AB,XLOOKUP($D2611,OperationTickets!$A:$A,OperationTickets!AB:AB,"",0)),"hh:mm"))</f>
        <v>08:00</v>
      </c>
      <c r="G2611" s="309">
        <f t="shared" si="3"/>
        <v>0.7083333333</v>
      </c>
      <c r="H2611" s="316" t="str">
        <f t="array" ref="H2611">XLOOKUP(B2611,Roster!L:L,Roster!N:N,XLOOKUP(D2611,TicketsBreak!A:A,TicketsBreak!E:E,"",0),0)</f>
        <v>09:15 - 09:30</v>
      </c>
      <c r="I2611" s="316" t="str">
        <f t="array" ref="I2611">XLOOKUP(B2611,Roster!L:L,Roster!O:O,XLOOKUP(D2611,TicketsBreak!A:A,TicketsBreak!F:F,"",0),0)</f>
        <v>11:30 - 12:00</v>
      </c>
      <c r="J2611" s="316" t="str">
        <f t="array" ref="J2611">XLOOKUP(B2611,Roster!L:L,Roster!P:P,XLOOKUP(D2611,TicketsBreak!A:A,TicketsBreak!G:G,"",0),0)</f>
        <v>14:30 - 14:45</v>
      </c>
      <c r="K2611" s="310">
        <f t="shared" si="4"/>
        <v>46134</v>
      </c>
      <c r="L2611" s="317">
        <f t="array" ref="L2611">(XLOOKUP(D2611,Roster!F:F,Roster!D:D,"",0))</f>
        <v>36</v>
      </c>
      <c r="M2611" s="317" t="str">
        <f t="array" ref="M2611">XLOOKUP(D2611,Roster!F:F,Roster!E:E)</f>
        <v>Voice</v>
      </c>
      <c r="N2611" s="317" t="str">
        <f t="shared" ref="N2611:P2611" si="2647">LEFT(H2611,5)</f>
        <v>09:15</v>
      </c>
      <c r="O2611" s="317" t="str">
        <f t="shared" si="2647"/>
        <v>11:30</v>
      </c>
      <c r="P2611" s="317" t="str">
        <f t="shared" si="2647"/>
        <v>14:30</v>
      </c>
      <c r="Q2611" s="318">
        <f t="shared" ref="Q2611:Q2749" si="2649">IF(N2611="","",$C2611+N2611)</f>
        <v>46134.38542</v>
      </c>
      <c r="R2611" s="318">
        <f t="shared" ref="R2611:R2749" si="2650">if(O2611="","",$C2611+O2611)</f>
        <v>46134.47917</v>
      </c>
      <c r="S2611" s="318">
        <f t="shared" si="8"/>
        <v>46134.60417</v>
      </c>
    </row>
    <row r="2612">
      <c r="A2612" s="14" t="str">
        <f t="shared" si="1"/>
        <v>C74046134</v>
      </c>
      <c r="B2612" s="185" t="str">
        <f t="array" ref="B2612">IF(F2612="VL","",IF(F2612="Free","Free",XLOOKUP(D2612,Roster!T:T,Roster!S:S,"",0)))</f>
        <v/>
      </c>
      <c r="C2612" s="313">
        <v>46134.0</v>
      </c>
      <c r="D2612" s="314" t="s">
        <v>166</v>
      </c>
      <c r="E2612" s="307" t="str">
        <f t="array" ref="E2612">(XLOOKUP(D2612,Roster!F:F,Roster!B:B,"",0))</f>
        <v>Mateo Agudelo</v>
      </c>
      <c r="F2612" s="315" t="str">
        <f t="array" ref="F2612">IF(B2612=100,"Free",TEXT(XLOOKUP($D2612,OperationVoice!$A:$A,OperationVoice!AB:AB,XLOOKUP($D2612,OperationTickets!$A:$A,OperationTickets!AB:AB,"",0)),"hh:mm"))</f>
        <v>08:00</v>
      </c>
      <c r="G2612" s="309">
        <f t="shared" si="3"/>
        <v>0.7083333333</v>
      </c>
      <c r="H2612" s="316">
        <f t="array" ref="H2612">XLOOKUP(B2612,Roster!L:L,Roster!N:N,XLOOKUP(D2612,TicketsBreak!A:A,TicketsBreak!E:E,"",0),0)</f>
        <v>0.4166666667</v>
      </c>
      <c r="I2612" s="316">
        <f t="array" ref="I2612">XLOOKUP(B2612,Roster!L:L,Roster!O:O,XLOOKUP(D2612,TicketsBreak!A:A,TicketsBreak!F:F,"",0),0)</f>
        <v>0.5</v>
      </c>
      <c r="J2612" s="316">
        <f t="array" ref="J2612">XLOOKUP(B2612,Roster!L:L,Roster!P:P,XLOOKUP(D2612,TicketsBreak!A:A,TicketsBreak!G:G,"",0),0)</f>
        <v>0.65625</v>
      </c>
      <c r="K2612" s="310">
        <f t="shared" si="4"/>
        <v>46134</v>
      </c>
      <c r="L2612" s="317">
        <f t="array" ref="L2612">(XLOOKUP(D2612,Roster!F:F,Roster!D:D,"",0))</f>
        <v>8</v>
      </c>
      <c r="M2612" s="317" t="str">
        <f t="array" ref="M2612">XLOOKUP(D2612,Roster!F:F,Roster!E:E)</f>
        <v>Tickets</v>
      </c>
      <c r="N2612" s="317" t="str">
        <f t="shared" ref="N2612:P2612" si="2648">LEFT(H2612,5)</f>
        <v>10:00</v>
      </c>
      <c r="O2612" s="317" t="str">
        <f t="shared" si="2648"/>
        <v>12:00</v>
      </c>
      <c r="P2612" s="317" t="str">
        <f t="shared" si="2648"/>
        <v>15:45</v>
      </c>
      <c r="Q2612" s="318">
        <f t="shared" si="2649"/>
        <v>46134.41667</v>
      </c>
      <c r="R2612" s="318">
        <f t="shared" si="2650"/>
        <v>46134.5</v>
      </c>
      <c r="S2612" s="318">
        <f t="shared" si="8"/>
        <v>46134.65625</v>
      </c>
    </row>
    <row r="2613">
      <c r="A2613" s="14" t="str">
        <f t="shared" si="1"/>
        <v>C142946134</v>
      </c>
      <c r="B2613" s="185" t="str">
        <f t="array" ref="B2613">IF(F2613="VL","",IF(F2613="Free","Free",XLOOKUP(D2613,Roster!T:T,Roster!S:S,"",0)))</f>
        <v>Free</v>
      </c>
      <c r="C2613" s="313">
        <v>46134.0</v>
      </c>
      <c r="D2613" s="314" t="s">
        <v>178</v>
      </c>
      <c r="E2613" s="307" t="str">
        <f t="array" ref="E2613">(XLOOKUP(D2613,Roster!F:F,Roster!B:B,"",0))</f>
        <v>Mateo Vanegas</v>
      </c>
      <c r="F2613" s="315" t="str">
        <f t="array" ref="F2613">IF(B2613=100,"Free",TEXT(XLOOKUP($D2613,OperationVoice!$A:$A,OperationVoice!AB:AB,XLOOKUP($D2613,OperationTickets!$A:$A,OperationTickets!AB:AB,"",0)),"hh:mm"))</f>
        <v>Free</v>
      </c>
      <c r="G2613" s="309" t="str">
        <f t="shared" si="3"/>
        <v>Free</v>
      </c>
      <c r="H2613" s="316" t="str">
        <f t="array" ref="H2613">XLOOKUP(B2613,Roster!L:L,Roster!N:N,XLOOKUP(D2613,TicketsBreak!A:A,TicketsBreak!E:E,"",0),0)</f>
        <v/>
      </c>
      <c r="I2613" s="316" t="str">
        <f t="array" ref="I2613">XLOOKUP(B2613,Roster!L:L,Roster!O:O,XLOOKUP(D2613,TicketsBreak!A:A,TicketsBreak!F:F,"",0),0)</f>
        <v/>
      </c>
      <c r="J2613" s="316" t="str">
        <f t="array" ref="J2613">XLOOKUP(B2613,Roster!L:L,Roster!P:P,XLOOKUP(D2613,TicketsBreak!A:A,TicketsBreak!G:G,"",0),0)</f>
        <v/>
      </c>
      <c r="K2613" s="310">
        <f t="shared" si="4"/>
        <v>46134</v>
      </c>
      <c r="L2613" s="317">
        <f t="array" ref="L2613">(XLOOKUP(D2613,Roster!F:F,Roster!D:D,"",0))</f>
        <v>32</v>
      </c>
      <c r="M2613" s="317" t="str">
        <f t="array" ref="M2613">XLOOKUP(D2613,Roster!F:F,Roster!E:E)</f>
        <v>Tickets</v>
      </c>
      <c r="N2613" s="317" t="str">
        <f t="shared" ref="N2613:P2613" si="2651">LEFT(H2613,5)</f>
        <v/>
      </c>
      <c r="O2613" s="317" t="str">
        <f t="shared" si="2651"/>
        <v/>
      </c>
      <c r="P2613" s="317" t="str">
        <f t="shared" si="2651"/>
        <v/>
      </c>
      <c r="Q2613" s="318" t="str">
        <f t="shared" si="2649"/>
        <v/>
      </c>
      <c r="R2613" s="318" t="str">
        <f t="shared" si="2650"/>
        <v/>
      </c>
      <c r="S2613" s="318" t="str">
        <f t="shared" si="8"/>
        <v/>
      </c>
    </row>
    <row r="2614">
      <c r="A2614" s="14" t="str">
        <f t="shared" si="1"/>
        <v>C146846134</v>
      </c>
      <c r="B2614" s="185">
        <f t="array" ref="B2614">IF(F2614="VL","",IF(F2614="Free","Free",XLOOKUP(D2614,Roster!T:T,Roster!S:S,"",0)))</f>
        <v>122</v>
      </c>
      <c r="C2614" s="313">
        <v>46134.0</v>
      </c>
      <c r="D2614" s="314" t="s">
        <v>64</v>
      </c>
      <c r="E2614" s="307" t="str">
        <f t="array" ref="E2614">(XLOOKUP(D2614,Roster!F:F,Roster!B:B,"",0))</f>
        <v>Miguel Betancur</v>
      </c>
      <c r="F2614" s="315" t="str">
        <f t="array" ref="F2614">IF(B2614=100,"Free",TEXT(XLOOKUP($D2614,OperationVoice!$A:$A,OperationVoice!AB:AB,XLOOKUP($D2614,OperationTickets!$A:$A,OperationTickets!AB:AB,"",0)),"hh:mm"))</f>
        <v>08:00</v>
      </c>
      <c r="G2614" s="309">
        <f t="shared" si="3"/>
        <v>0.7083333333</v>
      </c>
      <c r="H2614" s="316" t="str">
        <f t="array" ref="H2614">XLOOKUP(B2614,Roster!L:L,Roster!N:N,XLOOKUP(D2614,TicketsBreak!A:A,TicketsBreak!E:E,"",0),0)</f>
        <v>09:30 - 09:45</v>
      </c>
      <c r="I2614" s="316" t="str">
        <f t="array" ref="I2614">XLOOKUP(B2614,Roster!L:L,Roster!O:O,XLOOKUP(D2614,TicketsBreak!A:A,TicketsBreak!F:F,"",0),0)</f>
        <v>12:00 - 12:30</v>
      </c>
      <c r="J2614" s="316" t="str">
        <f t="array" ref="J2614">XLOOKUP(B2614,Roster!L:L,Roster!P:P,XLOOKUP(D2614,TicketsBreak!A:A,TicketsBreak!G:G,"",0),0)</f>
        <v>14:45 - 15:00</v>
      </c>
      <c r="K2614" s="310">
        <f t="shared" si="4"/>
        <v>46134</v>
      </c>
      <c r="L2614" s="317">
        <f t="array" ref="L2614">(XLOOKUP(D2614,Roster!F:F,Roster!D:D,"",0))</f>
        <v>33</v>
      </c>
      <c r="M2614" s="317" t="str">
        <f t="array" ref="M2614">XLOOKUP(D2614,Roster!F:F,Roster!E:E)</f>
        <v>Voice</v>
      </c>
      <c r="N2614" s="317" t="str">
        <f t="shared" ref="N2614:P2614" si="2652">LEFT(H2614,5)</f>
        <v>09:30</v>
      </c>
      <c r="O2614" s="317" t="str">
        <f t="shared" si="2652"/>
        <v>12:00</v>
      </c>
      <c r="P2614" s="317" t="str">
        <f t="shared" si="2652"/>
        <v>14:45</v>
      </c>
      <c r="Q2614" s="318">
        <f t="shared" si="2649"/>
        <v>46134.39583</v>
      </c>
      <c r="R2614" s="318">
        <f t="shared" si="2650"/>
        <v>46134.5</v>
      </c>
      <c r="S2614" s="318">
        <f t="shared" si="8"/>
        <v>46134.61458</v>
      </c>
    </row>
    <row r="2615">
      <c r="A2615" s="14" t="str">
        <f t="shared" si="1"/>
        <v>C106546134</v>
      </c>
      <c r="B2615" s="185" t="str">
        <f t="array" ref="B2615">IF(F2615="VL","",IF(F2615="Free","Free",XLOOKUP(D2615,Roster!T:T,Roster!S:S,"",0)))</f>
        <v/>
      </c>
      <c r="C2615" s="313">
        <v>46134.0</v>
      </c>
      <c r="D2615" s="314" t="s">
        <v>148</v>
      </c>
      <c r="E2615" s="307" t="str">
        <f t="array" ref="E2615">(XLOOKUP(D2615,Roster!F:F,Roster!B:B,"",0))</f>
        <v>Miguel Hoyos</v>
      </c>
      <c r="F2615" s="315" t="str">
        <f t="array" ref="F2615">IF(B2615=100,"Free",TEXT(XLOOKUP($D2615,OperationVoice!$A:$A,OperationVoice!AB:AB,XLOOKUP($D2615,OperationTickets!$A:$A,OperationTickets!AB:AB,"",0)),"hh:mm"))</f>
        <v>07:00</v>
      </c>
      <c r="G2615" s="309">
        <f t="shared" si="3"/>
        <v>0.6666666667</v>
      </c>
      <c r="H2615" s="316">
        <f t="array" ref="H2615">XLOOKUP(B2615,Roster!L:L,Roster!N:N,XLOOKUP(D2615,TicketsBreak!A:A,TicketsBreak!E:E,"",0),0)</f>
        <v>0.4583333333</v>
      </c>
      <c r="I2615" s="316">
        <f t="array" ref="I2615">XLOOKUP(B2615,Roster!L:L,Roster!O:O,XLOOKUP(D2615,TicketsBreak!A:A,TicketsBreak!F:F,"",0),0)</f>
        <v>0.5625</v>
      </c>
      <c r="J2615" s="316">
        <f t="array" ref="J2615">XLOOKUP(B2615,Roster!L:L,Roster!P:P,XLOOKUP(D2615,TicketsBreak!A:A,TicketsBreak!G:G,"",0),0)</f>
        <v>0.65625</v>
      </c>
      <c r="K2615" s="310">
        <f t="shared" si="4"/>
        <v>46134</v>
      </c>
      <c r="L2615" s="317">
        <f t="array" ref="L2615">(XLOOKUP(D2615,Roster!F:F,Roster!D:D,"",0))</f>
        <v>17</v>
      </c>
      <c r="M2615" s="317" t="str">
        <f t="array" ref="M2615">XLOOKUP(D2615,Roster!F:F,Roster!E:E)</f>
        <v>Tickets</v>
      </c>
      <c r="N2615" s="317" t="str">
        <f t="shared" ref="N2615:P2615" si="2653">LEFT(H2615,5)</f>
        <v>11:00</v>
      </c>
      <c r="O2615" s="317" t="str">
        <f t="shared" si="2653"/>
        <v>13:30</v>
      </c>
      <c r="P2615" s="317" t="str">
        <f t="shared" si="2653"/>
        <v>15:45</v>
      </c>
      <c r="Q2615" s="318">
        <f t="shared" si="2649"/>
        <v>46134.45833</v>
      </c>
      <c r="R2615" s="318">
        <f t="shared" si="2650"/>
        <v>46134.5625</v>
      </c>
      <c r="S2615" s="318">
        <f t="shared" si="8"/>
        <v>46134.65625</v>
      </c>
    </row>
    <row r="2616">
      <c r="A2616" s="14" t="str">
        <f t="shared" si="1"/>
        <v>C111446134</v>
      </c>
      <c r="B2616" s="185">
        <f t="array" ref="B2616">IF(F2616="VL","",IF(F2616="Free","Free",XLOOKUP(D2616,Roster!T:T,Roster!S:S,"",0)))</f>
        <v>113</v>
      </c>
      <c r="C2616" s="313">
        <v>46134.0</v>
      </c>
      <c r="D2616" s="314" t="s">
        <v>65</v>
      </c>
      <c r="E2616" s="307" t="str">
        <f t="array" ref="E2616">(XLOOKUP(D2616,Roster!F:F,Roster!B:B,"",0))</f>
        <v>Mikel Bowie</v>
      </c>
      <c r="F2616" s="315" t="str">
        <f t="array" ref="F2616">IF(B2616=100,"Free",TEXT(XLOOKUP($D2616,OperationVoice!$A:$A,OperationVoice!AB:AB,XLOOKUP($D2616,OperationTickets!$A:$A,OperationTickets!AB:AB,"",0)),"hh:mm"))</f>
        <v>08:00</v>
      </c>
      <c r="G2616" s="309">
        <f t="shared" si="3"/>
        <v>0.7083333333</v>
      </c>
      <c r="H2616" s="316" t="str">
        <f t="array" ref="H2616">XLOOKUP(B2616,Roster!L:L,Roster!N:N,XLOOKUP(D2616,TicketsBreak!A:A,TicketsBreak!E:E,"",0),0)</f>
        <v>09:45 - 10:00</v>
      </c>
      <c r="I2616" s="316" t="str">
        <f t="array" ref="I2616">XLOOKUP(B2616,Roster!L:L,Roster!O:O,XLOOKUP(D2616,TicketsBreak!A:A,TicketsBreak!F:F,"",0),0)</f>
        <v>12:30 - 13:00</v>
      </c>
      <c r="J2616" s="316" t="str">
        <f t="array" ref="J2616">XLOOKUP(B2616,Roster!L:L,Roster!P:P,XLOOKUP(D2616,TicketsBreak!A:A,TicketsBreak!G:G,"",0),0)</f>
        <v>14:45 - 15:00</v>
      </c>
      <c r="K2616" s="310">
        <f t="shared" si="4"/>
        <v>46134</v>
      </c>
      <c r="L2616" s="317">
        <f t="array" ref="L2616">(XLOOKUP(D2616,Roster!F:F,Roster!D:D,"",0))</f>
        <v>20</v>
      </c>
      <c r="M2616" s="317" t="str">
        <f t="array" ref="M2616">XLOOKUP(D2616,Roster!F:F,Roster!E:E)</f>
        <v>Voice</v>
      </c>
      <c r="N2616" s="317" t="str">
        <f t="shared" ref="N2616:P2616" si="2654">LEFT(H2616,5)</f>
        <v>09:45</v>
      </c>
      <c r="O2616" s="317" t="str">
        <f t="shared" si="2654"/>
        <v>12:30</v>
      </c>
      <c r="P2616" s="317" t="str">
        <f t="shared" si="2654"/>
        <v>14:45</v>
      </c>
      <c r="Q2616" s="318">
        <f t="shared" si="2649"/>
        <v>46134.40625</v>
      </c>
      <c r="R2616" s="318">
        <f t="shared" si="2650"/>
        <v>46134.52083</v>
      </c>
      <c r="S2616" s="318">
        <f t="shared" si="8"/>
        <v>46134.61458</v>
      </c>
    </row>
    <row r="2617">
      <c r="A2617" s="14" t="str">
        <f t="shared" si="1"/>
        <v>C116346134</v>
      </c>
      <c r="B2617" s="185">
        <f t="array" ref="B2617">IF(F2617="VL","",IF(F2617="Free","Free",XLOOKUP(D2617,Roster!T:T,Roster!S:S,"",0)))</f>
        <v>123</v>
      </c>
      <c r="C2617" s="313">
        <v>46134.0</v>
      </c>
      <c r="D2617" s="314" t="s">
        <v>66</v>
      </c>
      <c r="E2617" s="307" t="str">
        <f t="array" ref="E2617">(XLOOKUP(D2617,Roster!F:F,Roster!B:B,"",0))</f>
        <v>Natalia Cardona</v>
      </c>
      <c r="F2617" s="315" t="str">
        <f t="array" ref="F2617">IF(B2617=100,"Free",TEXT(XLOOKUP($D2617,OperationVoice!$A:$A,OperationVoice!AB:AB,XLOOKUP($D2617,OperationTickets!$A:$A,OperationTickets!AB:AB,"",0)),"hh:mm"))</f>
        <v>08:00</v>
      </c>
      <c r="G2617" s="309">
        <f t="shared" si="3"/>
        <v>0.7083333333</v>
      </c>
      <c r="H2617" s="316" t="str">
        <f t="array" ref="H2617">XLOOKUP(B2617,Roster!L:L,Roster!N:N,XLOOKUP(D2617,TicketsBreak!A:A,TicketsBreak!E:E,"",0),0)</f>
        <v>09:45 - 10:00 </v>
      </c>
      <c r="I2617" s="316" t="str">
        <f t="array" ref="I2617">XLOOKUP(B2617,Roster!L:L,Roster!O:O,XLOOKUP(D2617,TicketsBreak!A:A,TicketsBreak!F:F,"",0),0)</f>
        <v>12:30 - 13:00</v>
      </c>
      <c r="J2617" s="316" t="str">
        <f t="array" ref="J2617">XLOOKUP(B2617,Roster!L:L,Roster!P:P,XLOOKUP(D2617,TicketsBreak!A:A,TicketsBreak!G:G,"",0),0)</f>
        <v>15:00 - 15:15</v>
      </c>
      <c r="K2617" s="310">
        <f t="shared" si="4"/>
        <v>46134</v>
      </c>
      <c r="L2617" s="317">
        <f t="array" ref="L2617">(XLOOKUP(D2617,Roster!F:F,Roster!D:D,"",0))</f>
        <v>24</v>
      </c>
      <c r="M2617" s="317" t="str">
        <f t="array" ref="M2617">XLOOKUP(D2617,Roster!F:F,Roster!E:E)</f>
        <v>Voice</v>
      </c>
      <c r="N2617" s="317" t="str">
        <f t="shared" ref="N2617:P2617" si="2655">LEFT(H2617,5)</f>
        <v>09:45</v>
      </c>
      <c r="O2617" s="317" t="str">
        <f t="shared" si="2655"/>
        <v>12:30</v>
      </c>
      <c r="P2617" s="317" t="str">
        <f t="shared" si="2655"/>
        <v>15:00</v>
      </c>
      <c r="Q2617" s="318">
        <f t="shared" si="2649"/>
        <v>46134.40625</v>
      </c>
      <c r="R2617" s="318">
        <f t="shared" si="2650"/>
        <v>46134.52083</v>
      </c>
      <c r="S2617" s="318">
        <f t="shared" si="8"/>
        <v>46134.625</v>
      </c>
    </row>
    <row r="2618">
      <c r="A2618" s="14" t="str">
        <f t="shared" si="1"/>
        <v>C55646134</v>
      </c>
      <c r="B2618" s="185" t="str">
        <f t="array" ref="B2618">IF(F2618="VL","",IF(F2618="Free","Free",XLOOKUP(D2618,Roster!T:T,Roster!S:S,"",0)))</f>
        <v/>
      </c>
      <c r="C2618" s="313">
        <v>46134.0</v>
      </c>
      <c r="D2618" s="314" t="s">
        <v>167</v>
      </c>
      <c r="E2618" s="307" t="str">
        <f t="array" ref="E2618">(XLOOKUP(D2618,Roster!F:F,Roster!B:B,"",0))</f>
        <v>Nelson Londono</v>
      </c>
      <c r="F2618" s="315" t="str">
        <f t="array" ref="F2618">IF(B2618=100,"Free",TEXT(XLOOKUP($D2618,OperationVoice!$A:$A,OperationVoice!AB:AB,XLOOKUP($D2618,OperationTickets!$A:$A,OperationTickets!AB:AB,"",0)),"hh:mm"))</f>
        <v>07:00</v>
      </c>
      <c r="G2618" s="309">
        <f t="shared" si="3"/>
        <v>0.6666666667</v>
      </c>
      <c r="H2618" s="316">
        <f t="array" ref="H2618">XLOOKUP(B2618,Roster!L:L,Roster!N:N,XLOOKUP(D2618,TicketsBreak!A:A,TicketsBreak!E:E,"",0),0)</f>
        <v>0.3854166667</v>
      </c>
      <c r="I2618" s="316">
        <f t="array" ref="I2618">XLOOKUP(B2618,Roster!L:L,Roster!O:O,XLOOKUP(D2618,TicketsBreak!A:A,TicketsBreak!F:F,"",0),0)</f>
        <v>0.5833333333</v>
      </c>
      <c r="J2618" s="316">
        <f t="array" ref="J2618">XLOOKUP(B2618,Roster!L:L,Roster!P:P,XLOOKUP(D2618,TicketsBreak!A:A,TicketsBreak!G:G,"",0),0)</f>
        <v>0.6458333333</v>
      </c>
      <c r="K2618" s="310">
        <f t="shared" si="4"/>
        <v>46134</v>
      </c>
      <c r="L2618" s="317">
        <f t="array" ref="L2618">(XLOOKUP(D2618,Roster!F:F,Roster!D:D,"",0))</f>
        <v>2</v>
      </c>
      <c r="M2618" s="317" t="str">
        <f t="array" ref="M2618">XLOOKUP(D2618,Roster!F:F,Roster!E:E)</f>
        <v>Tickets</v>
      </c>
      <c r="N2618" s="317" t="str">
        <f t="shared" ref="N2618:P2618" si="2656">LEFT(H2618,5)</f>
        <v>09:15</v>
      </c>
      <c r="O2618" s="317" t="str">
        <f t="shared" si="2656"/>
        <v>14:00</v>
      </c>
      <c r="P2618" s="317" t="str">
        <f t="shared" si="2656"/>
        <v>15:30</v>
      </c>
      <c r="Q2618" s="318">
        <f t="shared" si="2649"/>
        <v>46134.38542</v>
      </c>
      <c r="R2618" s="318">
        <f t="shared" si="2650"/>
        <v>46134.58333</v>
      </c>
      <c r="S2618" s="318">
        <f t="shared" si="8"/>
        <v>46134.64583</v>
      </c>
    </row>
    <row r="2619">
      <c r="A2619" s="14" t="str">
        <f t="shared" si="1"/>
        <v>C150746134</v>
      </c>
      <c r="B2619" s="185">
        <f t="array" ref="B2619">IF(F2619="VL","",IF(F2619="Free","Free",XLOOKUP(D2619,Roster!T:T,Roster!S:S,"",0)))</f>
        <v>125</v>
      </c>
      <c r="C2619" s="313">
        <v>46134.0</v>
      </c>
      <c r="D2619" s="314" t="s">
        <v>67</v>
      </c>
      <c r="E2619" s="307" t="str">
        <f t="array" ref="E2619">(XLOOKUP(D2619,Roster!F:F,Roster!B:B,"",0))</f>
        <v>Nicols Quinones</v>
      </c>
      <c r="F2619" s="315" t="str">
        <f t="array" ref="F2619">IF(B2619=100,"Free",TEXT(XLOOKUP($D2619,OperationVoice!$A:$A,OperationVoice!AB:AB,XLOOKUP($D2619,OperationTickets!$A:$A,OperationTickets!AB:AB,"",0)),"hh:mm"))</f>
        <v>08:00</v>
      </c>
      <c r="G2619" s="309">
        <f t="shared" si="3"/>
        <v>0.7083333333</v>
      </c>
      <c r="H2619" s="316" t="str">
        <f t="array" ref="H2619">XLOOKUP(B2619,Roster!L:L,Roster!N:N,XLOOKUP(D2619,TicketsBreak!A:A,TicketsBreak!E:E,"",0),0)</f>
        <v>10:30 - 10:45</v>
      </c>
      <c r="I2619" s="316" t="str">
        <f t="array" ref="I2619">XLOOKUP(B2619,Roster!L:L,Roster!O:O,XLOOKUP(D2619,TicketsBreak!A:A,TicketsBreak!F:F,"",0),0)</f>
        <v>13:30 - 14:00</v>
      </c>
      <c r="J2619" s="316" t="str">
        <f t="array" ref="J2619">XLOOKUP(B2619,Roster!L:L,Roster!P:P,XLOOKUP(D2619,TicketsBreak!A:A,TicketsBreak!G:G,"",0),0)</f>
        <v>15:45 - 16:00</v>
      </c>
      <c r="K2619" s="310">
        <f t="shared" si="4"/>
        <v>46134</v>
      </c>
      <c r="L2619" s="317">
        <f t="array" ref="L2619">(XLOOKUP(D2619,Roster!F:F,Roster!D:D,"",0))</f>
        <v>35</v>
      </c>
      <c r="M2619" s="317" t="str">
        <f t="array" ref="M2619">XLOOKUP(D2619,Roster!F:F,Roster!E:E)</f>
        <v>Voice</v>
      </c>
      <c r="N2619" s="317" t="str">
        <f t="shared" ref="N2619:P2619" si="2657">LEFT(H2619,5)</f>
        <v>10:30</v>
      </c>
      <c r="O2619" s="317" t="str">
        <f t="shared" si="2657"/>
        <v>13:30</v>
      </c>
      <c r="P2619" s="317" t="str">
        <f t="shared" si="2657"/>
        <v>15:45</v>
      </c>
      <c r="Q2619" s="318">
        <f t="shared" si="2649"/>
        <v>46134.4375</v>
      </c>
      <c r="R2619" s="318">
        <f t="shared" si="2650"/>
        <v>46134.5625</v>
      </c>
      <c r="S2619" s="318">
        <f t="shared" si="8"/>
        <v>46134.65625</v>
      </c>
    </row>
    <row r="2620">
      <c r="A2620" s="14" t="str">
        <f t="shared" si="1"/>
        <v>C71446134</v>
      </c>
      <c r="B2620" s="185" t="str">
        <f t="array" ref="B2620">IF(F2620="VL","",IF(F2620="Free","Free",XLOOKUP(D2620,Roster!T:T,Roster!S:S,"",0)))</f>
        <v/>
      </c>
      <c r="C2620" s="313">
        <v>46134.0</v>
      </c>
      <c r="D2620" s="314" t="s">
        <v>149</v>
      </c>
      <c r="E2620" s="307" t="str">
        <f t="array" ref="E2620">(XLOOKUP(D2620,Roster!F:F,Roster!B:B,"",0))</f>
        <v>Onel Olivera</v>
      </c>
      <c r="F2620" s="315" t="str">
        <f t="array" ref="F2620">IF(B2620=100,"Free",TEXT(XLOOKUP($D2620,OperationVoice!$A:$A,OperationVoice!AB:AB,XLOOKUP($D2620,OperationTickets!$A:$A,OperationTickets!AB:AB,"",0)),"hh:mm"))</f>
        <v>08:00</v>
      </c>
      <c r="G2620" s="309">
        <f t="shared" si="3"/>
        <v>0.7083333333</v>
      </c>
      <c r="H2620" s="316">
        <f t="array" ref="H2620">XLOOKUP(B2620,Roster!L:L,Roster!N:N,XLOOKUP(D2620,TicketsBreak!A:A,TicketsBreak!E:E,"",0),0)</f>
        <v>0.4166666667</v>
      </c>
      <c r="I2620" s="316">
        <f t="array" ref="I2620">XLOOKUP(B2620,Roster!L:L,Roster!O:O,XLOOKUP(D2620,TicketsBreak!A:A,TicketsBreak!F:F,"",0),0)</f>
        <v>0.5</v>
      </c>
      <c r="J2620" s="316">
        <f t="array" ref="J2620">XLOOKUP(B2620,Roster!L:L,Roster!P:P,XLOOKUP(D2620,TicketsBreak!A:A,TicketsBreak!G:G,"",0),0)</f>
        <v>0.625</v>
      </c>
      <c r="K2620" s="310">
        <f t="shared" si="4"/>
        <v>46134</v>
      </c>
      <c r="L2620" s="317">
        <f t="array" ref="L2620">(XLOOKUP(D2620,Roster!F:F,Roster!D:D,"",0))</f>
        <v>1</v>
      </c>
      <c r="M2620" s="317" t="str">
        <f t="array" ref="M2620">XLOOKUP(D2620,Roster!F:F,Roster!E:E)</f>
        <v>Tickets</v>
      </c>
      <c r="N2620" s="317" t="str">
        <f t="shared" ref="N2620:P2620" si="2658">LEFT(H2620,5)</f>
        <v>10:00</v>
      </c>
      <c r="O2620" s="317" t="str">
        <f t="shared" si="2658"/>
        <v>12:00</v>
      </c>
      <c r="P2620" s="317" t="str">
        <f t="shared" si="2658"/>
        <v>15:00</v>
      </c>
      <c r="Q2620" s="318">
        <f t="shared" si="2649"/>
        <v>46134.41667</v>
      </c>
      <c r="R2620" s="318">
        <f t="shared" si="2650"/>
        <v>46134.5</v>
      </c>
      <c r="S2620" s="318">
        <f t="shared" si="8"/>
        <v>46134.625</v>
      </c>
    </row>
    <row r="2621">
      <c r="A2621" s="14" t="str">
        <f t="shared" si="1"/>
        <v>C116446134</v>
      </c>
      <c r="B2621" s="185" t="str">
        <f t="array" ref="B2621">IF(F2621="VL","",IF(F2621="Free","Free",XLOOKUP(D2621,Roster!T:T,Roster!S:S,"",0)))</f>
        <v/>
      </c>
      <c r="C2621" s="313">
        <v>46134.0</v>
      </c>
      <c r="D2621" s="314" t="s">
        <v>179</v>
      </c>
      <c r="E2621" s="307" t="str">
        <f t="array" ref="E2621">(XLOOKUP(D2621,Roster!F:F,Roster!B:B,"",0))</f>
        <v>Oscar Florez</v>
      </c>
      <c r="F2621" s="315" t="str">
        <f t="array" ref="F2621">IF(B2621=100,"Free",TEXT(XLOOKUP($D2621,OperationVoice!$A:$A,OperationVoice!AB:AB,XLOOKUP($D2621,OperationTickets!$A:$A,OperationTickets!AB:AB,"",0)),"hh:mm"))</f>
        <v>08:00</v>
      </c>
      <c r="G2621" s="309">
        <f t="shared" si="3"/>
        <v>0.7083333333</v>
      </c>
      <c r="H2621" s="316" t="str">
        <f t="array" ref="H2621">XLOOKUP(B2621,Roster!L:L,Roster!N:N,XLOOKUP(D2621,TicketsBreak!A:A,TicketsBreak!E:E,"",0),0)</f>
        <v/>
      </c>
      <c r="I2621" s="316" t="str">
        <f t="array" ref="I2621">XLOOKUP(B2621,Roster!L:L,Roster!O:O,XLOOKUP(D2621,TicketsBreak!A:A,TicketsBreak!F:F,"",0),0)</f>
        <v/>
      </c>
      <c r="J2621" s="316" t="str">
        <f t="array" ref="J2621">XLOOKUP(B2621,Roster!L:L,Roster!P:P,XLOOKUP(D2621,TicketsBreak!A:A,TicketsBreak!G:G,"",0),0)</f>
        <v/>
      </c>
      <c r="K2621" s="310">
        <f t="shared" si="4"/>
        <v>46134</v>
      </c>
      <c r="L2621" s="317">
        <f t="array" ref="L2621">(XLOOKUP(D2621,Roster!F:F,Roster!D:D,"",0))</f>
        <v>24</v>
      </c>
      <c r="M2621" s="317" t="str">
        <f t="array" ref="M2621">XLOOKUP(D2621,Roster!F:F,Roster!E:E)</f>
        <v>Tickets</v>
      </c>
      <c r="N2621" s="317" t="str">
        <f t="shared" ref="N2621:P2621" si="2659">LEFT(H2621,5)</f>
        <v/>
      </c>
      <c r="O2621" s="317" t="str">
        <f t="shared" si="2659"/>
        <v/>
      </c>
      <c r="P2621" s="317" t="str">
        <f t="shared" si="2659"/>
        <v/>
      </c>
      <c r="Q2621" s="318" t="str">
        <f t="shared" si="2649"/>
        <v/>
      </c>
      <c r="R2621" s="318" t="str">
        <f t="shared" si="2650"/>
        <v/>
      </c>
      <c r="S2621" s="318" t="str">
        <f t="shared" si="8"/>
        <v/>
      </c>
    </row>
    <row r="2622">
      <c r="A2622" s="14" t="str">
        <f t="shared" si="1"/>
        <v>C153846134</v>
      </c>
      <c r="B2622" s="185">
        <f t="array" ref="B2622">IF(F2622="VL","",IF(F2622="Free","Free",XLOOKUP(D2622,Roster!T:T,Roster!S:S,"",0)))</f>
        <v>151</v>
      </c>
      <c r="C2622" s="313">
        <v>46134.0</v>
      </c>
      <c r="D2622" s="314" t="s">
        <v>68</v>
      </c>
      <c r="E2622" s="307" t="str">
        <f t="array" ref="E2622">(XLOOKUP(D2622,Roster!F:F,Roster!B:B,"",0))</f>
        <v>Oscar Roldan</v>
      </c>
      <c r="F2622" s="315" t="str">
        <f t="array" ref="F2622">IF(B2622=100,"Free",TEXT(XLOOKUP($D2622,OperationVoice!$A:$A,OperationVoice!AB:AB,XLOOKUP($D2622,OperationTickets!$A:$A,OperationTickets!AB:AB,"",0)),"hh:mm"))</f>
        <v>11:00</v>
      </c>
      <c r="G2622" s="309">
        <f t="shared" si="3"/>
        <v>0.8333333333</v>
      </c>
      <c r="H2622" s="316" t="str">
        <f t="array" ref="H2622">XLOOKUP(B2622,Roster!L:L,Roster!N:N,XLOOKUP(D2622,TicketsBreak!A:A,TicketsBreak!E:E,"",0),0)</f>
        <v>12:15 - 12:30</v>
      </c>
      <c r="I2622" s="316" t="str">
        <f t="array" ref="I2622">XLOOKUP(B2622,Roster!L:L,Roster!O:O,XLOOKUP(D2622,TicketsBreak!A:A,TicketsBreak!F:F,"",0),0)</f>
        <v>14:00 - 14:30</v>
      </c>
      <c r="J2622" s="316" t="str">
        <f t="array" ref="J2622">XLOOKUP(B2622,Roster!L:L,Roster!P:P,XLOOKUP(D2622,TicketsBreak!A:A,TicketsBreak!G:G,"",0),0)</f>
        <v>17:15 - 17:30</v>
      </c>
      <c r="K2622" s="310">
        <f t="shared" si="4"/>
        <v>46134</v>
      </c>
      <c r="L2622" s="317">
        <f t="array" ref="L2622">(XLOOKUP(D2622,Roster!F:F,Roster!D:D,"",0))</f>
        <v>36</v>
      </c>
      <c r="M2622" s="317" t="str">
        <f t="array" ref="M2622">XLOOKUP(D2622,Roster!F:F,Roster!E:E)</f>
        <v>Voice</v>
      </c>
      <c r="N2622" s="317" t="str">
        <f t="shared" ref="N2622:P2622" si="2660">LEFT(H2622,5)</f>
        <v>12:15</v>
      </c>
      <c r="O2622" s="317" t="str">
        <f t="shared" si="2660"/>
        <v>14:00</v>
      </c>
      <c r="P2622" s="317" t="str">
        <f t="shared" si="2660"/>
        <v>17:15</v>
      </c>
      <c r="Q2622" s="318">
        <f t="shared" si="2649"/>
        <v>46134.51042</v>
      </c>
      <c r="R2622" s="318">
        <f t="shared" si="2650"/>
        <v>46134.58333</v>
      </c>
      <c r="S2622" s="318">
        <f t="shared" si="8"/>
        <v>46134.71875</v>
      </c>
    </row>
    <row r="2623">
      <c r="A2623" s="14" t="str">
        <f t="shared" si="1"/>
        <v>C151146134</v>
      </c>
      <c r="B2623" s="185" t="str">
        <f t="array" ref="B2623">IF(F2623="VL","",IF(F2623="Free","Free",XLOOKUP(D2623,Roster!T:T,Roster!S:S,"",0)))</f>
        <v>Free</v>
      </c>
      <c r="C2623" s="313">
        <v>46134.0</v>
      </c>
      <c r="D2623" s="314" t="s">
        <v>69</v>
      </c>
      <c r="E2623" s="307" t="str">
        <f t="array" ref="E2623">(XLOOKUP(D2623,Roster!F:F,Roster!B:B,"",0))</f>
        <v>Salma Giraldo</v>
      </c>
      <c r="F2623" s="315" t="str">
        <f t="array" ref="F2623">IF(B2623=100,"Free",TEXT(XLOOKUP($D2623,OperationVoice!$A:$A,OperationVoice!AB:AB,XLOOKUP($D2623,OperationTickets!$A:$A,OperationTickets!AB:AB,"",0)),"hh:mm"))</f>
        <v>Free</v>
      </c>
      <c r="G2623" s="309" t="str">
        <f t="shared" si="3"/>
        <v>Free</v>
      </c>
      <c r="H2623" s="316" t="str">
        <f t="array" ref="H2623">XLOOKUP(B2623,Roster!L:L,Roster!N:N,XLOOKUP(D2623,TicketsBreak!A:A,TicketsBreak!E:E,"",0),0)</f>
        <v/>
      </c>
      <c r="I2623" s="316" t="str">
        <f t="array" ref="I2623">XLOOKUP(B2623,Roster!L:L,Roster!O:O,XLOOKUP(D2623,TicketsBreak!A:A,TicketsBreak!F:F,"",0),0)</f>
        <v/>
      </c>
      <c r="J2623" s="316" t="str">
        <f t="array" ref="J2623">XLOOKUP(B2623,Roster!L:L,Roster!P:P,XLOOKUP(D2623,TicketsBreak!A:A,TicketsBreak!G:G,"",0),0)</f>
        <v/>
      </c>
      <c r="K2623" s="310">
        <f t="shared" si="4"/>
        <v>46134</v>
      </c>
      <c r="L2623" s="317">
        <f t="array" ref="L2623">(XLOOKUP(D2623,Roster!F:F,Roster!D:D,"",0))</f>
        <v>35</v>
      </c>
      <c r="M2623" s="317" t="str">
        <f t="array" ref="M2623">XLOOKUP(D2623,Roster!F:F,Roster!E:E)</f>
        <v>Voice</v>
      </c>
      <c r="N2623" s="317" t="str">
        <f t="shared" ref="N2623:P2623" si="2661">LEFT(H2623,5)</f>
        <v/>
      </c>
      <c r="O2623" s="317" t="str">
        <f t="shared" si="2661"/>
        <v/>
      </c>
      <c r="P2623" s="317" t="str">
        <f t="shared" si="2661"/>
        <v/>
      </c>
      <c r="Q2623" s="318" t="str">
        <f t="shared" si="2649"/>
        <v/>
      </c>
      <c r="R2623" s="318" t="str">
        <f t="shared" si="2650"/>
        <v/>
      </c>
      <c r="S2623" s="318" t="str">
        <f t="shared" si="8"/>
        <v/>
      </c>
    </row>
    <row r="2624">
      <c r="A2624" s="14" t="str">
        <f t="shared" si="1"/>
        <v>C93346134</v>
      </c>
      <c r="B2624" s="185">
        <f t="array" ref="B2624">IF(F2624="VL","",IF(F2624="Free","Free",XLOOKUP(D2624,Roster!T:T,Roster!S:S,"",0)))</f>
        <v>124</v>
      </c>
      <c r="C2624" s="313">
        <v>46134.0</v>
      </c>
      <c r="D2624" s="314" t="s">
        <v>70</v>
      </c>
      <c r="E2624" s="307" t="str">
        <f t="array" ref="E2624">(XLOOKUP(D2624,Roster!F:F,Roster!B:B,"",0))</f>
        <v>Salome Arias</v>
      </c>
      <c r="F2624" s="315" t="str">
        <f t="array" ref="F2624">IF(B2624=100,"Free",TEXT(XLOOKUP($D2624,OperationVoice!$A:$A,OperationVoice!AB:AB,XLOOKUP($D2624,OperationTickets!$A:$A,OperationTickets!AB:AB,"",0)),"hh:mm"))</f>
        <v>08:00</v>
      </c>
      <c r="G2624" s="309">
        <f t="shared" si="3"/>
        <v>0.7083333333</v>
      </c>
      <c r="H2624" s="316" t="str">
        <f t="array" ref="H2624">XLOOKUP(B2624,Roster!L:L,Roster!N:N,XLOOKUP(D2624,TicketsBreak!A:A,TicketsBreak!E:E,"",0),0)</f>
        <v>10:00 - 10:15</v>
      </c>
      <c r="I2624" s="316" t="str">
        <f t="array" ref="I2624">XLOOKUP(B2624,Roster!L:L,Roster!O:O,XLOOKUP(D2624,TicketsBreak!A:A,TicketsBreak!F:F,"",0),0)</f>
        <v>13:00 - 13:30</v>
      </c>
      <c r="J2624" s="316" t="str">
        <f t="array" ref="J2624">XLOOKUP(B2624,Roster!L:L,Roster!P:P,XLOOKUP(D2624,TicketsBreak!A:A,TicketsBreak!G:G,"",0),0)</f>
        <v>15:30 - 15:45</v>
      </c>
      <c r="K2624" s="310">
        <f t="shared" si="4"/>
        <v>46134</v>
      </c>
      <c r="L2624" s="317">
        <f t="array" ref="L2624">(XLOOKUP(D2624,Roster!F:F,Roster!D:D,"",0))</f>
        <v>12</v>
      </c>
      <c r="M2624" s="317" t="str">
        <f t="array" ref="M2624">XLOOKUP(D2624,Roster!F:F,Roster!E:E)</f>
        <v>Voice</v>
      </c>
      <c r="N2624" s="317" t="str">
        <f t="shared" ref="N2624:P2624" si="2662">LEFT(H2624,5)</f>
        <v>10:00</v>
      </c>
      <c r="O2624" s="317" t="str">
        <f t="shared" si="2662"/>
        <v>13:00</v>
      </c>
      <c r="P2624" s="317" t="str">
        <f t="shared" si="2662"/>
        <v>15:30</v>
      </c>
      <c r="Q2624" s="318">
        <f t="shared" si="2649"/>
        <v>46134.41667</v>
      </c>
      <c r="R2624" s="318">
        <f t="shared" si="2650"/>
        <v>46134.54167</v>
      </c>
      <c r="S2624" s="318">
        <f t="shared" si="8"/>
        <v>46134.64583</v>
      </c>
    </row>
    <row r="2625">
      <c r="A2625" s="14" t="str">
        <f t="shared" si="1"/>
        <v>C128246134</v>
      </c>
      <c r="B2625" s="185" t="str">
        <f t="array" ref="B2625">IF(F2625="VL","",IF(F2625="Free","Free",XLOOKUP(D2625,Roster!T:T,Roster!S:S,"",0)))</f>
        <v/>
      </c>
      <c r="C2625" s="313">
        <v>46134.0</v>
      </c>
      <c r="D2625" s="314" t="s">
        <v>168</v>
      </c>
      <c r="E2625" s="307" t="str">
        <f t="array" ref="E2625">(XLOOKUP(D2625,Roster!F:F,Roster!B:B,"",0))</f>
        <v>Samuel Acevedo</v>
      </c>
      <c r="F2625" s="315" t="str">
        <f t="array" ref="F2625">IF(B2625=100,"Free",TEXT(XLOOKUP($D2625,OperationVoice!$A:$A,OperationVoice!AB:AB,XLOOKUP($D2625,OperationTickets!$A:$A,OperationTickets!AB:AB,"",0)),"hh:mm"))</f>
        <v>08:00</v>
      </c>
      <c r="G2625" s="309">
        <f t="shared" si="3"/>
        <v>0.7083333333</v>
      </c>
      <c r="H2625" s="316" t="str">
        <f t="array" ref="H2625">XLOOKUP(B2625,Roster!L:L,Roster!N:N,XLOOKUP(D2625,TicketsBreak!A:A,TicketsBreak!E:E,"",0),0)</f>
        <v/>
      </c>
      <c r="I2625" s="316" t="str">
        <f t="array" ref="I2625">XLOOKUP(B2625,Roster!L:L,Roster!O:O,XLOOKUP(D2625,TicketsBreak!A:A,TicketsBreak!F:F,"",0),0)</f>
        <v/>
      </c>
      <c r="J2625" s="316" t="str">
        <f t="array" ref="J2625">XLOOKUP(B2625,Roster!L:L,Roster!P:P,XLOOKUP(D2625,TicketsBreak!A:A,TicketsBreak!G:G,"",0),0)</f>
        <v/>
      </c>
      <c r="K2625" s="310">
        <f t="shared" si="4"/>
        <v>46134</v>
      </c>
      <c r="L2625" s="317">
        <f t="array" ref="L2625">(XLOOKUP(D2625,Roster!F:F,Roster!D:D,"",0))</f>
        <v>27</v>
      </c>
      <c r="M2625" s="317" t="str">
        <f t="array" ref="M2625">XLOOKUP(D2625,Roster!F:F,Roster!E:E)</f>
        <v>Tickets</v>
      </c>
      <c r="N2625" s="317" t="str">
        <f t="shared" ref="N2625:P2625" si="2663">LEFT(H2625,5)</f>
        <v/>
      </c>
      <c r="O2625" s="317" t="str">
        <f t="shared" si="2663"/>
        <v/>
      </c>
      <c r="P2625" s="317" t="str">
        <f t="shared" si="2663"/>
        <v/>
      </c>
      <c r="Q2625" s="318" t="str">
        <f t="shared" si="2649"/>
        <v/>
      </c>
      <c r="R2625" s="318" t="str">
        <f t="shared" si="2650"/>
        <v/>
      </c>
      <c r="S2625" s="318" t="str">
        <f t="shared" si="8"/>
        <v/>
      </c>
    </row>
    <row r="2626">
      <c r="A2626" s="14" t="str">
        <f t="shared" si="1"/>
        <v>C156446134</v>
      </c>
      <c r="B2626" s="185">
        <f t="array" ref="B2626">IF(F2626="VL","",IF(F2626="Free","Free",XLOOKUP(D2626,Roster!T:T,Roster!S:S,"",0)))</f>
        <v>121</v>
      </c>
      <c r="C2626" s="313">
        <v>46134.0</v>
      </c>
      <c r="D2626" s="314" t="s">
        <v>71</v>
      </c>
      <c r="E2626" s="307" t="str">
        <f t="array" ref="E2626">(XLOOKUP(D2626,Roster!F:F,Roster!B:B,"",0))</f>
        <v>Samuel Acevedo Cadavid</v>
      </c>
      <c r="F2626" s="315" t="str">
        <f t="array" ref="F2626">IF(B2626=100,"Free",TEXT(XLOOKUP($D2626,OperationVoice!$A:$A,OperationVoice!AB:AB,XLOOKUP($D2626,OperationTickets!$A:$A,OperationTickets!AB:AB,"",0)),"hh:mm"))</f>
        <v>11:00</v>
      </c>
      <c r="G2626" s="309">
        <f t="shared" si="3"/>
        <v>0.8333333333</v>
      </c>
      <c r="H2626" s="316" t="str">
        <f t="array" ref="H2626">XLOOKUP(B2626,Roster!L:L,Roster!N:N,XLOOKUP(D2626,TicketsBreak!A:A,TicketsBreak!E:E,"",0),0)</f>
        <v>09:15 - 09:30</v>
      </c>
      <c r="I2626" s="316" t="str">
        <f t="array" ref="I2626">XLOOKUP(B2626,Roster!L:L,Roster!O:O,XLOOKUP(D2626,TicketsBreak!A:A,TicketsBreak!F:F,"",0),0)</f>
        <v>11:30 - 12:00</v>
      </c>
      <c r="J2626" s="316" t="str">
        <f t="array" ref="J2626">XLOOKUP(B2626,Roster!L:L,Roster!P:P,XLOOKUP(D2626,TicketsBreak!A:A,TicketsBreak!G:G,"",0),0)</f>
        <v>14:30 - 14:45</v>
      </c>
      <c r="K2626" s="310">
        <f t="shared" si="4"/>
        <v>46134</v>
      </c>
      <c r="L2626" s="317">
        <f t="array" ref="L2626">(XLOOKUP(D2626,Roster!F:F,Roster!D:D,"",0))</f>
        <v>38</v>
      </c>
      <c r="M2626" s="317" t="str">
        <f t="array" ref="M2626">XLOOKUP(D2626,Roster!F:F,Roster!E:E)</f>
        <v>Voice</v>
      </c>
      <c r="N2626" s="317" t="str">
        <f t="shared" ref="N2626:P2626" si="2664">LEFT(H2626,5)</f>
        <v>09:15</v>
      </c>
      <c r="O2626" s="317" t="str">
        <f t="shared" si="2664"/>
        <v>11:30</v>
      </c>
      <c r="P2626" s="317" t="str">
        <f t="shared" si="2664"/>
        <v>14:30</v>
      </c>
      <c r="Q2626" s="318">
        <f t="shared" si="2649"/>
        <v>46134.38542</v>
      </c>
      <c r="R2626" s="318">
        <f t="shared" si="2650"/>
        <v>46134.47917</v>
      </c>
      <c r="S2626" s="318">
        <f t="shared" si="8"/>
        <v>46134.60417</v>
      </c>
    </row>
    <row r="2627">
      <c r="A2627" s="14" t="str">
        <f t="shared" si="1"/>
        <v>C116846134</v>
      </c>
      <c r="B2627" s="185">
        <f t="array" ref="B2627">IF(F2627="VL","",IF(F2627="Free","Free",XLOOKUP(D2627,Roster!T:T,Roster!S:S,"",0)))</f>
        <v>125</v>
      </c>
      <c r="C2627" s="313">
        <v>46134.0</v>
      </c>
      <c r="D2627" s="314" t="s">
        <v>180</v>
      </c>
      <c r="E2627" s="307" t="str">
        <f t="array" ref="E2627">(XLOOKUP(D2627,Roster!F:F,Roster!B:B,"",0))</f>
        <v>Santiago Gaviria</v>
      </c>
      <c r="F2627" s="315" t="str">
        <f t="array" ref="F2627">IF(B2627=100,"Free",TEXT(XLOOKUP($D2627,OperationVoice!$A:$A,OperationVoice!AB:AB,XLOOKUP($D2627,OperationTickets!$A:$A,OperationTickets!AB:AB,"",0)),"hh:mm"))</f>
        <v>08:00</v>
      </c>
      <c r="G2627" s="309">
        <f t="shared" si="3"/>
        <v>0.7083333333</v>
      </c>
      <c r="H2627" s="316" t="str">
        <f t="array" ref="H2627">XLOOKUP(B2627,Roster!L:L,Roster!N:N,XLOOKUP(D2627,TicketsBreak!A:A,TicketsBreak!E:E,"",0),0)</f>
        <v>10:30 - 10:45</v>
      </c>
      <c r="I2627" s="316" t="str">
        <f t="array" ref="I2627">XLOOKUP(B2627,Roster!L:L,Roster!O:O,XLOOKUP(D2627,TicketsBreak!A:A,TicketsBreak!F:F,"",0),0)</f>
        <v>13:30 - 14:00</v>
      </c>
      <c r="J2627" s="316" t="str">
        <f t="array" ref="J2627">XLOOKUP(B2627,Roster!L:L,Roster!P:P,XLOOKUP(D2627,TicketsBreak!A:A,TicketsBreak!G:G,"",0),0)</f>
        <v>15:45 - 16:00</v>
      </c>
      <c r="K2627" s="310">
        <f t="shared" si="4"/>
        <v>46134</v>
      </c>
      <c r="L2627" s="317">
        <f t="array" ref="L2627">(XLOOKUP(D2627,Roster!F:F,Roster!D:D,"",0))</f>
        <v>24</v>
      </c>
      <c r="M2627" s="317" t="str">
        <f t="array" ref="M2627">XLOOKUP(D2627,Roster!F:F,Roster!E:E)</f>
        <v>Tickets</v>
      </c>
      <c r="N2627" s="317" t="str">
        <f t="shared" ref="N2627:P2627" si="2665">LEFT(H2627,5)</f>
        <v>10:30</v>
      </c>
      <c r="O2627" s="317" t="str">
        <f t="shared" si="2665"/>
        <v>13:30</v>
      </c>
      <c r="P2627" s="317" t="str">
        <f t="shared" si="2665"/>
        <v>15:45</v>
      </c>
      <c r="Q2627" s="318">
        <f t="shared" si="2649"/>
        <v>46134.4375</v>
      </c>
      <c r="R2627" s="318">
        <f t="shared" si="2650"/>
        <v>46134.5625</v>
      </c>
      <c r="S2627" s="318">
        <f t="shared" si="8"/>
        <v>46134.65625</v>
      </c>
    </row>
    <row r="2628">
      <c r="A2628" s="14" t="str">
        <f t="shared" si="1"/>
        <v>C122046134</v>
      </c>
      <c r="B2628" s="185" t="str">
        <f t="array" ref="B2628">IF(F2628="VL","",IF(F2628="Free","Free",XLOOKUP(D2628,Roster!T:T,Roster!S:S,"",0)))</f>
        <v>Free</v>
      </c>
      <c r="C2628" s="313">
        <v>46134.0</v>
      </c>
      <c r="D2628" s="314" t="s">
        <v>181</v>
      </c>
      <c r="E2628" s="307" t="str">
        <f t="array" ref="E2628">(XLOOKUP(D2628,Roster!F:F,Roster!B:B,"",0))</f>
        <v>Santiago Gonzalez</v>
      </c>
      <c r="F2628" s="315" t="str">
        <f t="array" ref="F2628">IF(B2628=100,"Free",TEXT(XLOOKUP($D2628,OperationVoice!$A:$A,OperationVoice!AB:AB,XLOOKUP($D2628,OperationTickets!$A:$A,OperationTickets!AB:AB,"",0)),"hh:mm"))</f>
        <v>Free</v>
      </c>
      <c r="G2628" s="309" t="str">
        <f t="shared" si="3"/>
        <v>Free</v>
      </c>
      <c r="H2628" s="316" t="str">
        <f t="array" ref="H2628">XLOOKUP(B2628,Roster!L:L,Roster!N:N,XLOOKUP(D2628,TicketsBreak!A:A,TicketsBreak!E:E,"",0),0)</f>
        <v/>
      </c>
      <c r="I2628" s="316" t="str">
        <f t="array" ref="I2628">XLOOKUP(B2628,Roster!L:L,Roster!O:O,XLOOKUP(D2628,TicketsBreak!A:A,TicketsBreak!F:F,"",0),0)</f>
        <v/>
      </c>
      <c r="J2628" s="316" t="str">
        <f t="array" ref="J2628">XLOOKUP(B2628,Roster!L:L,Roster!P:P,XLOOKUP(D2628,TicketsBreak!A:A,TicketsBreak!G:G,"",0),0)</f>
        <v/>
      </c>
      <c r="K2628" s="310">
        <f t="shared" si="4"/>
        <v>46134</v>
      </c>
      <c r="L2628" s="317">
        <f t="array" ref="L2628">(XLOOKUP(D2628,Roster!F:F,Roster!D:D,"",0))</f>
        <v>26</v>
      </c>
      <c r="M2628" s="317" t="str">
        <f t="array" ref="M2628">XLOOKUP(D2628,Roster!F:F,Roster!E:E)</f>
        <v>Tickets</v>
      </c>
      <c r="N2628" s="317" t="str">
        <f t="shared" ref="N2628:P2628" si="2666">LEFT(H2628,5)</f>
        <v/>
      </c>
      <c r="O2628" s="317" t="str">
        <f t="shared" si="2666"/>
        <v/>
      </c>
      <c r="P2628" s="317" t="str">
        <f t="shared" si="2666"/>
        <v/>
      </c>
      <c r="Q2628" s="318" t="str">
        <f t="shared" si="2649"/>
        <v/>
      </c>
      <c r="R2628" s="318" t="str">
        <f t="shared" si="2650"/>
        <v/>
      </c>
      <c r="S2628" s="318" t="str">
        <f t="shared" si="8"/>
        <v/>
      </c>
    </row>
    <row r="2629">
      <c r="A2629" s="14" t="str">
        <f t="shared" si="1"/>
        <v>C140646134</v>
      </c>
      <c r="B2629" s="185">
        <f t="array" ref="B2629">IF(F2629="VL","",IF(F2629="Free","Free",XLOOKUP(D2629,Roster!T:T,Roster!S:S,"",0)))</f>
        <v>152</v>
      </c>
      <c r="C2629" s="313">
        <v>46134.0</v>
      </c>
      <c r="D2629" s="314" t="s">
        <v>72</v>
      </c>
      <c r="E2629" s="307" t="str">
        <f t="array" ref="E2629">(XLOOKUP(D2629,Roster!F:F,Roster!B:B,"",0))</f>
        <v>Santiago Mora</v>
      </c>
      <c r="F2629" s="315" t="str">
        <f t="array" ref="F2629">IF(B2629=100,"Free",TEXT(XLOOKUP($D2629,OperationVoice!$A:$A,OperationVoice!AB:AB,XLOOKUP($D2629,OperationTickets!$A:$A,OperationTickets!AB:AB,"",0)),"hh:mm"))</f>
        <v>11:00</v>
      </c>
      <c r="G2629" s="309">
        <f t="shared" si="3"/>
        <v>0.8333333333</v>
      </c>
      <c r="H2629" s="316" t="str">
        <f t="array" ref="H2629">XLOOKUP(B2629,Roster!L:L,Roster!N:N,XLOOKUP(D2629,TicketsBreak!A:A,TicketsBreak!E:E,"",0),0)</f>
        <v>12:30 - 12:45</v>
      </c>
      <c r="I2629" s="316" t="str">
        <f t="array" ref="I2629">XLOOKUP(B2629,Roster!L:L,Roster!O:O,XLOOKUP(D2629,TicketsBreak!A:A,TicketsBreak!F:F,"",0),0)</f>
        <v>14:30 - 15:00</v>
      </c>
      <c r="J2629" s="316" t="str">
        <f t="array" ref="J2629">XLOOKUP(B2629,Roster!L:L,Roster!P:P,XLOOKUP(D2629,TicketsBreak!A:A,TicketsBreak!G:G,"",0),0)</f>
        <v>17:30 - 17:45</v>
      </c>
      <c r="K2629" s="310">
        <f t="shared" si="4"/>
        <v>46134</v>
      </c>
      <c r="L2629" s="317">
        <f t="array" ref="L2629">(XLOOKUP(D2629,Roster!F:F,Roster!D:D,"",0))</f>
        <v>35</v>
      </c>
      <c r="M2629" s="317" t="str">
        <f t="array" ref="M2629">XLOOKUP(D2629,Roster!F:F,Roster!E:E)</f>
        <v>Voice</v>
      </c>
      <c r="N2629" s="317" t="str">
        <f t="shared" ref="N2629:P2629" si="2667">LEFT(H2629,5)</f>
        <v>12:30</v>
      </c>
      <c r="O2629" s="317" t="str">
        <f t="shared" si="2667"/>
        <v>14:30</v>
      </c>
      <c r="P2629" s="317" t="str">
        <f t="shared" si="2667"/>
        <v>17:30</v>
      </c>
      <c r="Q2629" s="318">
        <f t="shared" si="2649"/>
        <v>46134.52083</v>
      </c>
      <c r="R2629" s="318">
        <f t="shared" si="2650"/>
        <v>46134.60417</v>
      </c>
      <c r="S2629" s="318">
        <f t="shared" si="8"/>
        <v>46134.72917</v>
      </c>
    </row>
    <row r="2630">
      <c r="A2630" s="14" t="str">
        <f t="shared" si="1"/>
        <v>C119946134</v>
      </c>
      <c r="B2630" s="185" t="str">
        <f t="array" ref="B2630">IF(F2630="VL","",IF(F2630="Free","Free",XLOOKUP(D2630,Roster!T:T,Roster!S:S,"",0)))</f>
        <v/>
      </c>
      <c r="C2630" s="313">
        <v>46134.0</v>
      </c>
      <c r="D2630" s="314" t="s">
        <v>182</v>
      </c>
      <c r="E2630" s="307" t="str">
        <f t="array" ref="E2630">(XLOOKUP(D2630,Roster!F:F,Roster!B:B,"",0))</f>
        <v>Santiago Velasquez</v>
      </c>
      <c r="F2630" s="315" t="str">
        <f t="array" ref="F2630">IF(B2630=100,"Free",TEXT(XLOOKUP($D2630,OperationVoice!$A:$A,OperationVoice!AB:AB,XLOOKUP($D2630,OperationTickets!$A:$A,OperationTickets!AB:AB,"",0)),"hh:mm"))</f>
        <v>08:00</v>
      </c>
      <c r="G2630" s="309">
        <f t="shared" si="3"/>
        <v>0.7083333333</v>
      </c>
      <c r="H2630" s="316" t="str">
        <f t="array" ref="H2630">XLOOKUP(B2630,Roster!L:L,Roster!N:N,XLOOKUP(D2630,TicketsBreak!A:A,TicketsBreak!E:E,"",0),0)</f>
        <v/>
      </c>
      <c r="I2630" s="316" t="str">
        <f t="array" ref="I2630">XLOOKUP(B2630,Roster!L:L,Roster!O:O,XLOOKUP(D2630,TicketsBreak!A:A,TicketsBreak!F:F,"",0),0)</f>
        <v/>
      </c>
      <c r="J2630" s="316" t="str">
        <f t="array" ref="J2630">XLOOKUP(B2630,Roster!L:L,Roster!P:P,XLOOKUP(D2630,TicketsBreak!A:A,TicketsBreak!G:G,"",0),0)</f>
        <v/>
      </c>
      <c r="K2630" s="310">
        <f t="shared" si="4"/>
        <v>46134</v>
      </c>
      <c r="L2630" s="317">
        <f t="array" ref="L2630">(XLOOKUP(D2630,Roster!F:F,Roster!D:D,"",0))</f>
        <v>25</v>
      </c>
      <c r="M2630" s="317" t="str">
        <f t="array" ref="M2630">XLOOKUP(D2630,Roster!F:F,Roster!E:E)</f>
        <v>Tickets</v>
      </c>
      <c r="N2630" s="317" t="str">
        <f t="shared" ref="N2630:P2630" si="2668">LEFT(H2630,5)</f>
        <v/>
      </c>
      <c r="O2630" s="317" t="str">
        <f t="shared" si="2668"/>
        <v/>
      </c>
      <c r="P2630" s="317" t="str">
        <f t="shared" si="2668"/>
        <v/>
      </c>
      <c r="Q2630" s="318" t="str">
        <f t="shared" si="2649"/>
        <v/>
      </c>
      <c r="R2630" s="318" t="str">
        <f t="shared" si="2650"/>
        <v/>
      </c>
      <c r="S2630" s="318" t="str">
        <f t="shared" si="8"/>
        <v/>
      </c>
    </row>
    <row r="2631">
      <c r="A2631" s="14" t="str">
        <f t="shared" si="1"/>
        <v>C90246134</v>
      </c>
      <c r="B2631" s="185" t="str">
        <f t="array" ref="B2631">IF(F2631="VL","",IF(F2631="Free","Free",XLOOKUP(D2631,Roster!T:T,Roster!S:S,"",0)))</f>
        <v>Free</v>
      </c>
      <c r="C2631" s="313">
        <v>46134.0</v>
      </c>
      <c r="D2631" s="314" t="s">
        <v>150</v>
      </c>
      <c r="E2631" s="307" t="str">
        <f t="array" ref="E2631">(XLOOKUP(D2631,Roster!F:F,Roster!B:B,"",0))</f>
        <v>Sebastiam Vallejo</v>
      </c>
      <c r="F2631" s="315" t="str">
        <f t="array" ref="F2631">IF(B2631=100,"Free",TEXT(XLOOKUP($D2631,OperationVoice!$A:$A,OperationVoice!AB:AB,XLOOKUP($D2631,OperationTickets!$A:$A,OperationTickets!AB:AB,"",0)),"hh:mm"))</f>
        <v>Free</v>
      </c>
      <c r="G2631" s="309" t="str">
        <f t="shared" si="3"/>
        <v>Free</v>
      </c>
      <c r="H2631" s="316">
        <f t="array" ref="H2631">XLOOKUP(B2631,Roster!L:L,Roster!N:N,XLOOKUP(D2631,TicketsBreak!A:A,TicketsBreak!E:E,"",0),0)</f>
        <v>0.4375</v>
      </c>
      <c r="I2631" s="316">
        <f t="array" ref="I2631">XLOOKUP(B2631,Roster!L:L,Roster!O:O,XLOOKUP(D2631,TicketsBreak!A:A,TicketsBreak!F:F,"",0),0)</f>
        <v>0.6041666667</v>
      </c>
      <c r="J2631" s="316">
        <f t="array" ref="J2631">XLOOKUP(B2631,Roster!L:L,Roster!P:P,XLOOKUP(D2631,TicketsBreak!A:A,TicketsBreak!G:G,"",0),0)</f>
        <v>0.65625</v>
      </c>
      <c r="K2631" s="310">
        <f t="shared" si="4"/>
        <v>46134</v>
      </c>
      <c r="L2631" s="317">
        <f t="array" ref="L2631">(XLOOKUP(D2631,Roster!F:F,Roster!D:D,"",0))</f>
        <v>11</v>
      </c>
      <c r="M2631" s="317" t="str">
        <f t="array" ref="M2631">XLOOKUP(D2631,Roster!F:F,Roster!E:E)</f>
        <v>Tickets</v>
      </c>
      <c r="N2631" s="317" t="str">
        <f t="shared" ref="N2631:P2631" si="2669">LEFT(H2631,5)</f>
        <v>10:30</v>
      </c>
      <c r="O2631" s="317" t="str">
        <f t="shared" si="2669"/>
        <v>14:30</v>
      </c>
      <c r="P2631" s="317" t="str">
        <f t="shared" si="2669"/>
        <v>15:45</v>
      </c>
      <c r="Q2631" s="318">
        <f t="shared" si="2649"/>
        <v>46134.4375</v>
      </c>
      <c r="R2631" s="318">
        <f t="shared" si="2650"/>
        <v>46134.60417</v>
      </c>
      <c r="S2631" s="318">
        <f t="shared" si="8"/>
        <v>46134.65625</v>
      </c>
    </row>
    <row r="2632">
      <c r="A2632" s="14" t="str">
        <f t="shared" si="1"/>
        <v>C150646134</v>
      </c>
      <c r="B2632" s="185">
        <f t="array" ref="B2632">IF(F2632="VL","",IF(F2632="Free","Free",XLOOKUP(D2632,Roster!T:T,Roster!S:S,"",0)))</f>
        <v>153</v>
      </c>
      <c r="C2632" s="313">
        <v>46134.0</v>
      </c>
      <c r="D2632" s="314" t="s">
        <v>73</v>
      </c>
      <c r="E2632" s="307" t="str">
        <f t="array" ref="E2632">(XLOOKUP(D2632,Roster!F:F,Roster!B:B,"",0))</f>
        <v>Sebastian Agudelo Londono</v>
      </c>
      <c r="F2632" s="315" t="str">
        <f t="array" ref="F2632">IF(B2632=100,"Free",TEXT(XLOOKUP($D2632,OperationVoice!$A:$A,OperationVoice!AB:AB,XLOOKUP($D2632,OperationTickets!$A:$A,OperationTickets!AB:AB,"",0)),"hh:mm"))</f>
        <v>11:00</v>
      </c>
      <c r="G2632" s="309">
        <f t="shared" si="3"/>
        <v>0.8333333333</v>
      </c>
      <c r="H2632" s="316" t="str">
        <f t="array" ref="H2632">XLOOKUP(B2632,Roster!L:L,Roster!N:N,XLOOKUP(D2632,TicketsBreak!A:A,TicketsBreak!E:E,"",0),0)</f>
        <v>12:45 - 13:00</v>
      </c>
      <c r="I2632" s="316" t="str">
        <f t="array" ref="I2632">XLOOKUP(B2632,Roster!L:L,Roster!O:O,XLOOKUP(D2632,TicketsBreak!A:A,TicketsBreak!F:F,"",0),0)</f>
        <v>15:00 - 15:30</v>
      </c>
      <c r="J2632" s="316" t="str">
        <f t="array" ref="J2632">XLOOKUP(B2632,Roster!L:L,Roster!P:P,XLOOKUP(D2632,TicketsBreak!A:A,TicketsBreak!G:G,"",0),0)</f>
        <v>17:45 - 18:00</v>
      </c>
      <c r="K2632" s="310">
        <f t="shared" si="4"/>
        <v>46134</v>
      </c>
      <c r="L2632" s="317">
        <f t="array" ref="L2632">(XLOOKUP(D2632,Roster!F:F,Roster!D:D,"",0))</f>
        <v>35</v>
      </c>
      <c r="M2632" s="317" t="str">
        <f t="array" ref="M2632">XLOOKUP(D2632,Roster!F:F,Roster!E:E)</f>
        <v>Voice</v>
      </c>
      <c r="N2632" s="317" t="str">
        <f t="shared" ref="N2632:P2632" si="2670">LEFT(H2632,5)</f>
        <v>12:45</v>
      </c>
      <c r="O2632" s="317" t="str">
        <f t="shared" si="2670"/>
        <v>15:00</v>
      </c>
      <c r="P2632" s="317" t="str">
        <f t="shared" si="2670"/>
        <v>17:45</v>
      </c>
      <c r="Q2632" s="318">
        <f t="shared" si="2649"/>
        <v>46134.53125</v>
      </c>
      <c r="R2632" s="318">
        <f t="shared" si="2650"/>
        <v>46134.625</v>
      </c>
      <c r="S2632" s="318">
        <f t="shared" si="8"/>
        <v>46134.73958</v>
      </c>
    </row>
    <row r="2633">
      <c r="A2633" s="14" t="str">
        <f t="shared" si="1"/>
        <v>C119046134</v>
      </c>
      <c r="B2633" s="185" t="str">
        <f t="array" ref="B2633">IF(F2633="VL","",IF(F2633="Free","Free",XLOOKUP(D2633,Roster!T:T,Roster!S:S,"",0)))</f>
        <v/>
      </c>
      <c r="C2633" s="313">
        <v>46134.0</v>
      </c>
      <c r="D2633" s="314" t="s">
        <v>183</v>
      </c>
      <c r="E2633" s="307" t="str">
        <f t="array" ref="E2633">(XLOOKUP(D2633,Roster!F:F,Roster!B:B,"",0))</f>
        <v>Sebastian Herrera</v>
      </c>
      <c r="F2633" s="315" t="str">
        <f t="array" ref="F2633">IF(B2633=100,"Free",TEXT(XLOOKUP($D2633,OperationVoice!$A:$A,OperationVoice!AB:AB,XLOOKUP($D2633,OperationTickets!$A:$A,OperationTickets!AB:AB,"",0)),"hh:mm"))</f>
        <v>07:00</v>
      </c>
      <c r="G2633" s="309">
        <f t="shared" si="3"/>
        <v>0.6666666667</v>
      </c>
      <c r="H2633" s="316">
        <f t="array" ref="H2633">XLOOKUP(B2633,Roster!L:L,Roster!N:N,XLOOKUP(D2633,TicketsBreak!A:A,TicketsBreak!E:E,"",0),0)</f>
        <v>0.40625</v>
      </c>
      <c r="I2633" s="316">
        <f t="array" ref="I2633">XLOOKUP(B2633,Roster!L:L,Roster!O:O,XLOOKUP(D2633,TicketsBreak!A:A,TicketsBreak!F:F,"",0),0)</f>
        <v>0.5416666667</v>
      </c>
      <c r="J2633" s="316">
        <f t="array" ref="J2633">XLOOKUP(B2633,Roster!L:L,Roster!P:P,XLOOKUP(D2633,TicketsBreak!A:A,TicketsBreak!G:G,"",0),0)</f>
        <v>0.625</v>
      </c>
      <c r="K2633" s="310">
        <f t="shared" si="4"/>
        <v>46134</v>
      </c>
      <c r="L2633" s="317">
        <f t="array" ref="L2633">(XLOOKUP(D2633,Roster!F:F,Roster!D:D,"",0))</f>
        <v>25</v>
      </c>
      <c r="M2633" s="317" t="str">
        <f t="array" ref="M2633">XLOOKUP(D2633,Roster!F:F,Roster!E:E)</f>
        <v>Tickets</v>
      </c>
      <c r="N2633" s="317" t="str">
        <f t="shared" ref="N2633:P2633" si="2671">LEFT(H2633,5)</f>
        <v>09:45</v>
      </c>
      <c r="O2633" s="317" t="str">
        <f t="shared" si="2671"/>
        <v>13:00</v>
      </c>
      <c r="P2633" s="317" t="str">
        <f t="shared" si="2671"/>
        <v>15:00</v>
      </c>
      <c r="Q2633" s="318">
        <f t="shared" si="2649"/>
        <v>46134.40625</v>
      </c>
      <c r="R2633" s="318">
        <f t="shared" si="2650"/>
        <v>46134.54167</v>
      </c>
      <c r="S2633" s="318">
        <f t="shared" si="8"/>
        <v>46134.625</v>
      </c>
    </row>
    <row r="2634">
      <c r="A2634" s="14" t="str">
        <f t="shared" si="1"/>
        <v>C71046134</v>
      </c>
      <c r="B2634" s="185" t="str">
        <f t="array" ref="B2634">IF(F2634="VL","",IF(F2634="Free","Free",XLOOKUP(D2634,Roster!T:T,Roster!S:S,"",0)))</f>
        <v/>
      </c>
      <c r="C2634" s="313">
        <v>46134.0</v>
      </c>
      <c r="D2634" s="314" t="s">
        <v>184</v>
      </c>
      <c r="E2634" s="307" t="str">
        <f t="array" ref="E2634">(XLOOKUP(D2634,Roster!F:F,Roster!B:B,"",0))</f>
        <v>Sebastian Martinez</v>
      </c>
      <c r="F2634" s="315" t="str">
        <f t="array" ref="F2634">IF(B2634=100,"Free",TEXT(XLOOKUP($D2634,OperationVoice!$A:$A,OperationVoice!AB:AB,XLOOKUP($D2634,OperationTickets!$A:$A,OperationTickets!AB:AB,"",0)),"hh:mm"))</f>
        <v>08:00</v>
      </c>
      <c r="G2634" s="309">
        <f t="shared" si="3"/>
        <v>0.7083333333</v>
      </c>
      <c r="H2634" s="316">
        <f t="array" ref="H2634">XLOOKUP(B2634,Roster!L:L,Roster!N:N,XLOOKUP(D2634,TicketsBreak!A:A,TicketsBreak!E:E,"",0),0)</f>
        <v>0.40625</v>
      </c>
      <c r="I2634" s="316">
        <f t="array" ref="I2634">XLOOKUP(B2634,Roster!L:L,Roster!O:O,XLOOKUP(D2634,TicketsBreak!A:A,TicketsBreak!F:F,"",0),0)</f>
        <v>0.5625</v>
      </c>
      <c r="J2634" s="316">
        <f t="array" ref="J2634">XLOOKUP(B2634,Roster!L:L,Roster!P:P,XLOOKUP(D2634,TicketsBreak!A:A,TicketsBreak!G:G,"",0),0)</f>
        <v>0.65625</v>
      </c>
      <c r="K2634" s="310">
        <f t="shared" si="4"/>
        <v>46134</v>
      </c>
      <c r="L2634" s="317">
        <f t="array" ref="L2634">(XLOOKUP(D2634,Roster!F:F,Roster!D:D,"",0))</f>
        <v>6</v>
      </c>
      <c r="M2634" s="317" t="str">
        <f t="array" ref="M2634">XLOOKUP(D2634,Roster!F:F,Roster!E:E)</f>
        <v>Tickets</v>
      </c>
      <c r="N2634" s="317" t="str">
        <f t="shared" ref="N2634:P2634" si="2672">LEFT(H2634,5)</f>
        <v>09:45</v>
      </c>
      <c r="O2634" s="317" t="str">
        <f t="shared" si="2672"/>
        <v>13:30</v>
      </c>
      <c r="P2634" s="317" t="str">
        <f t="shared" si="2672"/>
        <v>15:45</v>
      </c>
      <c r="Q2634" s="318">
        <f t="shared" si="2649"/>
        <v>46134.40625</v>
      </c>
      <c r="R2634" s="318">
        <f t="shared" si="2650"/>
        <v>46134.5625</v>
      </c>
      <c r="S2634" s="318">
        <f t="shared" si="8"/>
        <v>46134.65625</v>
      </c>
    </row>
    <row r="2635">
      <c r="A2635" s="14" t="str">
        <f t="shared" si="1"/>
        <v>C72346134</v>
      </c>
      <c r="B2635" s="185" t="str">
        <f t="array" ref="B2635">IF(F2635="VL","",IF(F2635="Free","Free",XLOOKUP(D2635,Roster!T:T,Roster!S:S,"",0)))</f>
        <v/>
      </c>
      <c r="C2635" s="313">
        <v>46134.0</v>
      </c>
      <c r="D2635" s="314" t="s">
        <v>169</v>
      </c>
      <c r="E2635" s="307" t="str">
        <f t="array" ref="E2635">(XLOOKUP(D2635,Roster!F:F,Roster!B:B,"",0))</f>
        <v>Sebastian Parra</v>
      </c>
      <c r="F2635" s="315" t="str">
        <f t="array" ref="F2635">IF(B2635=100,"Free",TEXT(XLOOKUP($D2635,OperationVoice!$A:$A,OperationVoice!AB:AB,XLOOKUP($D2635,OperationTickets!$A:$A,OperationTickets!AB:AB,"",0)),"hh:mm"))</f>
        <v>08:00</v>
      </c>
      <c r="G2635" s="309">
        <f t="shared" si="3"/>
        <v>0.7083333333</v>
      </c>
      <c r="H2635" s="316">
        <f t="array" ref="H2635">XLOOKUP(B2635,Roster!L:L,Roster!N:N,XLOOKUP(D2635,TicketsBreak!A:A,TicketsBreak!E:E,"",0),0)</f>
        <v>0.4166666667</v>
      </c>
      <c r="I2635" s="316">
        <f t="array" ref="I2635">XLOOKUP(B2635,Roster!L:L,Roster!O:O,XLOOKUP(D2635,TicketsBreak!A:A,TicketsBreak!F:F,"",0),0)</f>
        <v>0.5347222222</v>
      </c>
      <c r="J2635" s="316">
        <f t="array" ref="J2635">XLOOKUP(B2635,Roster!L:L,Roster!P:P,XLOOKUP(D2635,TicketsBreak!A:A,TicketsBreak!G:G,"",0),0)</f>
        <v>0.65625</v>
      </c>
      <c r="K2635" s="310">
        <f t="shared" si="4"/>
        <v>46134</v>
      </c>
      <c r="L2635" s="317">
        <f t="array" ref="L2635">(XLOOKUP(D2635,Roster!F:F,Roster!D:D,"",0))</f>
        <v>7</v>
      </c>
      <c r="M2635" s="317" t="str">
        <f t="array" ref="M2635">XLOOKUP(D2635,Roster!F:F,Roster!E:E)</f>
        <v>Tickets</v>
      </c>
      <c r="N2635" s="317" t="str">
        <f t="shared" ref="N2635:P2635" si="2673">LEFT(H2635,5)</f>
        <v>10:00</v>
      </c>
      <c r="O2635" s="317" t="str">
        <f t="shared" si="2673"/>
        <v>12:50</v>
      </c>
      <c r="P2635" s="317" t="str">
        <f t="shared" si="2673"/>
        <v>15:45</v>
      </c>
      <c r="Q2635" s="318">
        <f t="shared" si="2649"/>
        <v>46134.41667</v>
      </c>
      <c r="R2635" s="318">
        <f t="shared" si="2650"/>
        <v>46134.53472</v>
      </c>
      <c r="S2635" s="318">
        <f t="shared" si="8"/>
        <v>46134.65625</v>
      </c>
    </row>
    <row r="2636">
      <c r="A2636" s="14" t="str">
        <f t="shared" si="1"/>
        <v>C137646134</v>
      </c>
      <c r="B2636" s="185" t="str">
        <f t="array" ref="B2636">IF(F2636="VL","",IF(F2636="Free","Free",XLOOKUP(D2636,Roster!T:T,Roster!S:S,"",0)))</f>
        <v/>
      </c>
      <c r="C2636" s="313">
        <v>46134.0</v>
      </c>
      <c r="D2636" s="314" t="s">
        <v>151</v>
      </c>
      <c r="E2636" s="307" t="str">
        <f t="array" ref="E2636">(XLOOKUP(D2636,Roster!F:F,Roster!B:B,"",0))</f>
        <v>Sebastian Quiroz</v>
      </c>
      <c r="F2636" s="315" t="str">
        <f t="array" ref="F2636">IF(B2636=100,"Free",TEXT(XLOOKUP($D2636,OperationVoice!$A:$A,OperationVoice!AB:AB,XLOOKUP($D2636,OperationTickets!$A:$A,OperationTickets!AB:AB,"",0)),"hh:mm"))</f>
        <v>08:00</v>
      </c>
      <c r="G2636" s="309">
        <f t="shared" si="3"/>
        <v>0.7083333333</v>
      </c>
      <c r="H2636" s="316" t="str">
        <f t="array" ref="H2636">XLOOKUP(B2636,Roster!L:L,Roster!N:N,XLOOKUP(D2636,TicketsBreak!A:A,TicketsBreak!E:E,"",0),0)</f>
        <v/>
      </c>
      <c r="I2636" s="316" t="str">
        <f t="array" ref="I2636">XLOOKUP(B2636,Roster!L:L,Roster!O:O,XLOOKUP(D2636,TicketsBreak!A:A,TicketsBreak!F:F,"",0),0)</f>
        <v/>
      </c>
      <c r="J2636" s="316" t="str">
        <f t="array" ref="J2636">XLOOKUP(B2636,Roster!L:L,Roster!P:P,XLOOKUP(D2636,TicketsBreak!A:A,TicketsBreak!G:G,"",0),0)</f>
        <v/>
      </c>
      <c r="K2636" s="310">
        <f t="shared" si="4"/>
        <v>46134</v>
      </c>
      <c r="L2636" s="317">
        <f t="array" ref="L2636">(XLOOKUP(D2636,Roster!F:F,Roster!D:D,"",0))</f>
        <v>31</v>
      </c>
      <c r="M2636" s="317" t="str">
        <f t="array" ref="M2636">XLOOKUP(D2636,Roster!F:F,Roster!E:E)</f>
        <v>Tickets</v>
      </c>
      <c r="N2636" s="317" t="str">
        <f t="shared" ref="N2636:P2636" si="2674">LEFT(H2636,5)</f>
        <v/>
      </c>
      <c r="O2636" s="317" t="str">
        <f t="shared" si="2674"/>
        <v/>
      </c>
      <c r="P2636" s="317" t="str">
        <f t="shared" si="2674"/>
        <v/>
      </c>
      <c r="Q2636" s="318" t="str">
        <f t="shared" si="2649"/>
        <v/>
      </c>
      <c r="R2636" s="318" t="str">
        <f t="shared" si="2650"/>
        <v/>
      </c>
      <c r="S2636" s="318" t="str">
        <f t="shared" si="8"/>
        <v/>
      </c>
    </row>
    <row r="2637">
      <c r="A2637" s="14" t="str">
        <f t="shared" si="1"/>
        <v>C72646134</v>
      </c>
      <c r="B2637" s="185" t="str">
        <f t="array" ref="B2637">IF(F2637="VL","",IF(F2637="Free","Free",XLOOKUP(D2637,Roster!T:T,Roster!S:S,"",0)))</f>
        <v/>
      </c>
      <c r="C2637" s="313">
        <v>46134.0</v>
      </c>
      <c r="D2637" s="314" t="s">
        <v>185</v>
      </c>
      <c r="E2637" s="307" t="str">
        <f t="array" ref="E2637">(XLOOKUP(D2637,Roster!F:F,Roster!B:B,"",0))</f>
        <v>Sebastian Rodriguez</v>
      </c>
      <c r="F2637" s="315" t="str">
        <f t="array" ref="F2637">IF(B2637=100,"Free",TEXT(XLOOKUP($D2637,OperationVoice!$A:$A,OperationVoice!AB:AB,XLOOKUP($D2637,OperationTickets!$A:$A,OperationTickets!AB:AB,"",0)),"hh:mm"))</f>
        <v>08:00</v>
      </c>
      <c r="G2637" s="309">
        <f t="shared" si="3"/>
        <v>0.7083333333</v>
      </c>
      <c r="H2637" s="316">
        <f t="array" ref="H2637">XLOOKUP(B2637,Roster!L:L,Roster!N:N,XLOOKUP(D2637,TicketsBreak!A:A,TicketsBreak!E:E,"",0),0)</f>
        <v>0.4166666667</v>
      </c>
      <c r="I2637" s="316">
        <f t="array" ref="I2637">XLOOKUP(B2637,Roster!L:L,Roster!O:O,XLOOKUP(D2637,TicketsBreak!A:A,TicketsBreak!F:F,"",0),0)</f>
        <v>0.5625</v>
      </c>
      <c r="J2637" s="316">
        <f t="array" ref="J2637">XLOOKUP(B2637,Roster!L:L,Roster!P:P,XLOOKUP(D2637,TicketsBreak!A:A,TicketsBreak!G:G,"",0),0)</f>
        <v>0.6458333333</v>
      </c>
      <c r="K2637" s="310">
        <f t="shared" si="4"/>
        <v>46134</v>
      </c>
      <c r="L2637" s="317">
        <f t="array" ref="L2637">(XLOOKUP(D2637,Roster!F:F,Roster!D:D,"",0))</f>
        <v>7</v>
      </c>
      <c r="M2637" s="317" t="str">
        <f t="array" ref="M2637">XLOOKUP(D2637,Roster!F:F,Roster!E:E)</f>
        <v>Tickets</v>
      </c>
      <c r="N2637" s="317" t="str">
        <f t="shared" ref="N2637:P2637" si="2675">LEFT(H2637,5)</f>
        <v>10:00</v>
      </c>
      <c r="O2637" s="317" t="str">
        <f t="shared" si="2675"/>
        <v>13:30</v>
      </c>
      <c r="P2637" s="317" t="str">
        <f t="shared" si="2675"/>
        <v>15:30</v>
      </c>
      <c r="Q2637" s="318">
        <f t="shared" si="2649"/>
        <v>46134.41667</v>
      </c>
      <c r="R2637" s="318">
        <f t="shared" si="2650"/>
        <v>46134.5625</v>
      </c>
      <c r="S2637" s="318">
        <f t="shared" si="8"/>
        <v>46134.64583</v>
      </c>
    </row>
    <row r="2638">
      <c r="A2638" s="14" t="str">
        <f t="shared" si="1"/>
        <v>C60246134</v>
      </c>
      <c r="B2638" s="185" t="str">
        <f t="array" ref="B2638">IF(F2638="VL","",IF(F2638="Free","Free",XLOOKUP(D2638,Roster!T:T,Roster!S:S,"",0)))</f>
        <v/>
      </c>
      <c r="C2638" s="313">
        <v>46134.0</v>
      </c>
      <c r="D2638" s="314" t="s">
        <v>170</v>
      </c>
      <c r="E2638" s="307" t="str">
        <f t="array" ref="E2638">(XLOOKUP(D2638,Roster!F:F,Roster!B:B,"",0))</f>
        <v>Sebastian Torres</v>
      </c>
      <c r="F2638" s="315" t="str">
        <f t="array" ref="F2638">IF(B2638=100,"Free",TEXT(XLOOKUP($D2638,OperationVoice!$A:$A,OperationVoice!AB:AB,XLOOKUP($D2638,OperationTickets!$A:$A,OperationTickets!AB:AB,"",0)),"hh:mm"))</f>
        <v>08:00</v>
      </c>
      <c r="G2638" s="309">
        <f t="shared" si="3"/>
        <v>0.7083333333</v>
      </c>
      <c r="H2638" s="316">
        <f t="array" ref="H2638">XLOOKUP(B2638,Roster!L:L,Roster!N:N,XLOOKUP(D2638,TicketsBreak!A:A,TicketsBreak!E:E,"",0),0)</f>
        <v>0.4583333333</v>
      </c>
      <c r="I2638" s="316">
        <f t="array" ref="I2638">XLOOKUP(B2638,Roster!L:L,Roster!O:O,XLOOKUP(D2638,TicketsBreak!A:A,TicketsBreak!F:F,"",0),0)</f>
        <v>0.5833333333</v>
      </c>
      <c r="J2638" s="316">
        <f t="array" ref="J2638">XLOOKUP(B2638,Roster!L:L,Roster!P:P,XLOOKUP(D2638,TicketsBreak!A:A,TicketsBreak!G:G,"",0),0)</f>
        <v>0.65625</v>
      </c>
      <c r="K2638" s="310">
        <f t="shared" si="4"/>
        <v>46134</v>
      </c>
      <c r="L2638" s="317">
        <f t="array" ref="L2638">(XLOOKUP(D2638,Roster!F:F,Roster!D:D,"",0))</f>
        <v>8</v>
      </c>
      <c r="M2638" s="317" t="str">
        <f t="array" ref="M2638">XLOOKUP(D2638,Roster!F:F,Roster!E:E)</f>
        <v>Tickets</v>
      </c>
      <c r="N2638" s="317" t="str">
        <f t="shared" ref="N2638:P2638" si="2676">LEFT(H2638,5)</f>
        <v>11:00</v>
      </c>
      <c r="O2638" s="317" t="str">
        <f t="shared" si="2676"/>
        <v>14:00</v>
      </c>
      <c r="P2638" s="317" t="str">
        <f t="shared" si="2676"/>
        <v>15:45</v>
      </c>
      <c r="Q2638" s="318">
        <f t="shared" si="2649"/>
        <v>46134.45833</v>
      </c>
      <c r="R2638" s="318">
        <f t="shared" si="2650"/>
        <v>46134.58333</v>
      </c>
      <c r="S2638" s="318">
        <f t="shared" si="8"/>
        <v>46134.65625</v>
      </c>
    </row>
    <row r="2639">
      <c r="A2639" s="14" t="str">
        <f t="shared" si="1"/>
        <v>C143146134</v>
      </c>
      <c r="B2639" s="185">
        <f t="array" ref="B2639">IF(F2639="VL","",IF(F2639="Free","Free",XLOOKUP(D2639,Roster!T:T,Roster!S:S,"",0)))</f>
        <v>151</v>
      </c>
      <c r="C2639" s="313">
        <v>46134.0</v>
      </c>
      <c r="D2639" s="314" t="s">
        <v>74</v>
      </c>
      <c r="E2639" s="307" t="str">
        <f t="array" ref="E2639">(XLOOKUP(D2639,Roster!F:F,Roster!B:B,"",0))</f>
        <v>Sebastian Torres Gomez</v>
      </c>
      <c r="F2639" s="315" t="str">
        <f t="array" ref="F2639">IF(B2639=100,"Free",TEXT(XLOOKUP($D2639,OperationVoice!$A:$A,OperationVoice!AB:AB,XLOOKUP($D2639,OperationTickets!$A:$A,OperationTickets!AB:AB,"",0)),"hh:mm"))</f>
        <v>11:00</v>
      </c>
      <c r="G2639" s="309">
        <f t="shared" si="3"/>
        <v>0.8333333333</v>
      </c>
      <c r="H2639" s="316" t="str">
        <f t="array" ref="H2639">XLOOKUP(B2639,Roster!L:L,Roster!N:N,XLOOKUP(D2639,TicketsBreak!A:A,TicketsBreak!E:E,"",0),0)</f>
        <v>12:15 - 12:30</v>
      </c>
      <c r="I2639" s="316" t="str">
        <f t="array" ref="I2639">XLOOKUP(B2639,Roster!L:L,Roster!O:O,XLOOKUP(D2639,TicketsBreak!A:A,TicketsBreak!F:F,"",0),0)</f>
        <v>14:00 - 14:30</v>
      </c>
      <c r="J2639" s="316" t="str">
        <f t="array" ref="J2639">XLOOKUP(B2639,Roster!L:L,Roster!P:P,XLOOKUP(D2639,TicketsBreak!A:A,TicketsBreak!G:G,"",0),0)</f>
        <v>17:15 - 17:30</v>
      </c>
      <c r="K2639" s="310">
        <f t="shared" si="4"/>
        <v>46134</v>
      </c>
      <c r="L2639" s="317">
        <f t="array" ref="L2639">(XLOOKUP(D2639,Roster!F:F,Roster!D:D,"",0))</f>
        <v>32</v>
      </c>
      <c r="M2639" s="317" t="str">
        <f t="array" ref="M2639">XLOOKUP(D2639,Roster!F:F,Roster!E:E)</f>
        <v>Voice</v>
      </c>
      <c r="N2639" s="317" t="str">
        <f t="shared" ref="N2639:P2639" si="2677">LEFT(H2639,5)</f>
        <v>12:15</v>
      </c>
      <c r="O2639" s="317" t="str">
        <f t="shared" si="2677"/>
        <v>14:00</v>
      </c>
      <c r="P2639" s="317" t="str">
        <f t="shared" si="2677"/>
        <v>17:15</v>
      </c>
      <c r="Q2639" s="318">
        <f t="shared" si="2649"/>
        <v>46134.51042</v>
      </c>
      <c r="R2639" s="318">
        <f t="shared" si="2650"/>
        <v>46134.58333</v>
      </c>
      <c r="S2639" s="318">
        <f t="shared" si="8"/>
        <v>46134.71875</v>
      </c>
    </row>
    <row r="2640">
      <c r="A2640" s="14" t="str">
        <f t="shared" si="1"/>
        <v>C149146134</v>
      </c>
      <c r="B2640" s="185" t="str">
        <f t="array" ref="B2640">IF(F2640="VL","",IF(F2640="Free","Free",XLOOKUP(D2640,Roster!T:T,Roster!S:S,"",0)))</f>
        <v/>
      </c>
      <c r="C2640" s="313">
        <v>46134.0</v>
      </c>
      <c r="D2640" s="314" t="s">
        <v>315</v>
      </c>
      <c r="E2640" s="307" t="str">
        <f t="array" ref="E2640">(XLOOKUP(D2640,Roster!F:F,Roster!B:B,"",0))</f>
        <v>Sebastian Vanegas</v>
      </c>
      <c r="F2640" s="315" t="str">
        <f t="array" ref="F2640">IF(B2640=100,"Free",TEXT(XLOOKUP($D2640,OperationVoice!$A:$A,OperationVoice!AB:AB,XLOOKUP($D2640,OperationTickets!$A:$A,OperationTickets!AB:AB,"",0)),"hh:mm"))</f>
        <v/>
      </c>
      <c r="G2640" s="309" t="str">
        <f t="shared" si="3"/>
        <v/>
      </c>
      <c r="H2640" s="316" t="str">
        <f t="array" ref="H2640">XLOOKUP(B2640,Roster!L:L,Roster!N:N,XLOOKUP(D2640,TicketsBreak!A:A,TicketsBreak!E:E,"",0),0)</f>
        <v/>
      </c>
      <c r="I2640" s="316" t="str">
        <f t="array" ref="I2640">XLOOKUP(B2640,Roster!L:L,Roster!O:O,XLOOKUP(D2640,TicketsBreak!A:A,TicketsBreak!F:F,"",0),0)</f>
        <v/>
      </c>
      <c r="J2640" s="316" t="str">
        <f t="array" ref="J2640">XLOOKUP(B2640,Roster!L:L,Roster!P:P,XLOOKUP(D2640,TicketsBreak!A:A,TicketsBreak!G:G,"",0),0)</f>
        <v/>
      </c>
      <c r="K2640" s="310">
        <f t="shared" si="4"/>
        <v>46134</v>
      </c>
      <c r="L2640" s="317">
        <f t="array" ref="L2640">(XLOOKUP(D2640,Roster!F:F,Roster!D:D,"",0))</f>
        <v>34</v>
      </c>
      <c r="M2640" s="317" t="str">
        <f t="array" ref="M2640">XLOOKUP(D2640,Roster!F:F,Roster!E:E)</f>
        <v>Voice</v>
      </c>
      <c r="N2640" s="317" t="str">
        <f t="shared" ref="N2640:P2640" si="2678">LEFT(H2640,5)</f>
        <v/>
      </c>
      <c r="O2640" s="317" t="str">
        <f t="shared" si="2678"/>
        <v/>
      </c>
      <c r="P2640" s="317" t="str">
        <f t="shared" si="2678"/>
        <v/>
      </c>
      <c r="Q2640" s="318" t="str">
        <f t="shared" si="2649"/>
        <v/>
      </c>
      <c r="R2640" s="318" t="str">
        <f t="shared" si="2650"/>
        <v/>
      </c>
      <c r="S2640" s="318" t="str">
        <f t="shared" si="8"/>
        <v/>
      </c>
    </row>
    <row r="2641">
      <c r="A2641" s="14" t="str">
        <f t="shared" si="1"/>
        <v>C93746134</v>
      </c>
      <c r="B2641" s="185">
        <f t="array" ref="B2641">IF(F2641="VL","",IF(F2641="Free","Free",XLOOKUP(D2641,Roster!T:T,Roster!S:S,"",0)))</f>
        <v>126</v>
      </c>
      <c r="C2641" s="313">
        <v>46134.0</v>
      </c>
      <c r="D2641" s="314" t="s">
        <v>75</v>
      </c>
      <c r="E2641" s="307" t="str">
        <f t="array" ref="E2641">(XLOOKUP(D2641,Roster!F:F,Roster!B:B,"",0))</f>
        <v>Sebastian Zapata</v>
      </c>
      <c r="F2641" s="315" t="str">
        <f t="array" ref="F2641">IF(B2641=100,"Free",TEXT(XLOOKUP($D2641,OperationVoice!$A:$A,OperationVoice!AB:AB,XLOOKUP($D2641,OperationTickets!$A:$A,OperationTickets!AB:AB,"",0)),"hh:mm"))</f>
        <v>08:00</v>
      </c>
      <c r="G2641" s="309">
        <f t="shared" si="3"/>
        <v>0.7083333333</v>
      </c>
      <c r="H2641" s="316" t="str">
        <f t="array" ref="H2641">XLOOKUP(B2641,Roster!L:L,Roster!N:N,XLOOKUP(D2641,TicketsBreak!A:A,TicketsBreak!E:E,"",0),0)</f>
        <v>10:45 - 11:00</v>
      </c>
      <c r="I2641" s="316" t="str">
        <f t="array" ref="I2641">XLOOKUP(B2641,Roster!L:L,Roster!O:O,XLOOKUP(D2641,TicketsBreak!A:A,TicketsBreak!F:F,"",0),0)</f>
        <v>14:00 - 14:30</v>
      </c>
      <c r="J2641" s="316" t="str">
        <f t="array" ref="J2641">XLOOKUP(B2641,Roster!L:L,Roster!P:P,XLOOKUP(D2641,TicketsBreak!A:A,TicketsBreak!G:G,"",0),0)</f>
        <v>15:45 - 16:00</v>
      </c>
      <c r="K2641" s="310">
        <f t="shared" si="4"/>
        <v>46134</v>
      </c>
      <c r="L2641" s="317">
        <f t="array" ref="L2641">(XLOOKUP(D2641,Roster!F:F,Roster!D:D,"",0))</f>
        <v>12</v>
      </c>
      <c r="M2641" s="317" t="str">
        <f t="array" ref="M2641">XLOOKUP(D2641,Roster!F:F,Roster!E:E)</f>
        <v>Voice</v>
      </c>
      <c r="N2641" s="317" t="str">
        <f t="shared" ref="N2641:P2641" si="2679">LEFT(H2641,5)</f>
        <v>10:45</v>
      </c>
      <c r="O2641" s="317" t="str">
        <f t="shared" si="2679"/>
        <v>14:00</v>
      </c>
      <c r="P2641" s="317" t="str">
        <f t="shared" si="2679"/>
        <v>15:45</v>
      </c>
      <c r="Q2641" s="318">
        <f t="shared" si="2649"/>
        <v>46134.44792</v>
      </c>
      <c r="R2641" s="318">
        <f t="shared" si="2650"/>
        <v>46134.58333</v>
      </c>
      <c r="S2641" s="318">
        <f t="shared" si="8"/>
        <v>46134.65625</v>
      </c>
    </row>
    <row r="2642">
      <c r="A2642" s="14" t="str">
        <f t="shared" si="1"/>
        <v>C156546134</v>
      </c>
      <c r="B2642" s="185">
        <f t="array" ref="B2642">IF(F2642="VL","",IF(F2642="Free","Free",XLOOKUP(D2642,Roster!T:T,Roster!S:S,"",0)))</f>
        <v>122</v>
      </c>
      <c r="C2642" s="313">
        <v>46134.0</v>
      </c>
      <c r="D2642" s="314" t="s">
        <v>76</v>
      </c>
      <c r="E2642" s="307" t="str">
        <f t="array" ref="E2642">(XLOOKUP(D2642,Roster!F:F,Roster!B:B,"",0))</f>
        <v>Sergio Rojas</v>
      </c>
      <c r="F2642" s="315" t="str">
        <f t="array" ref="F2642">IF(B2642=100,"Free",TEXT(XLOOKUP($D2642,OperationVoice!$A:$A,OperationVoice!AB:AB,XLOOKUP($D2642,OperationTickets!$A:$A,OperationTickets!AB:AB,"",0)),"hh:mm"))</f>
        <v>11:00</v>
      </c>
      <c r="G2642" s="309">
        <f t="shared" si="3"/>
        <v>0.8333333333</v>
      </c>
      <c r="H2642" s="316" t="str">
        <f t="array" ref="H2642">XLOOKUP(B2642,Roster!L:L,Roster!N:N,XLOOKUP(D2642,TicketsBreak!A:A,TicketsBreak!E:E,"",0),0)</f>
        <v>09:30 - 09:45</v>
      </c>
      <c r="I2642" s="316" t="str">
        <f t="array" ref="I2642">XLOOKUP(B2642,Roster!L:L,Roster!O:O,XLOOKUP(D2642,TicketsBreak!A:A,TicketsBreak!F:F,"",0),0)</f>
        <v>12:00 - 12:30</v>
      </c>
      <c r="J2642" s="316" t="str">
        <f t="array" ref="J2642">XLOOKUP(B2642,Roster!L:L,Roster!P:P,XLOOKUP(D2642,TicketsBreak!A:A,TicketsBreak!G:G,"",0),0)</f>
        <v>14:45 - 15:00</v>
      </c>
      <c r="K2642" s="310">
        <f t="shared" si="4"/>
        <v>46134</v>
      </c>
      <c r="L2642" s="317">
        <f t="array" ref="L2642">(XLOOKUP(D2642,Roster!F:F,Roster!D:D,"",0))</f>
        <v>38</v>
      </c>
      <c r="M2642" s="317" t="str">
        <f t="array" ref="M2642">XLOOKUP(D2642,Roster!F:F,Roster!E:E)</f>
        <v>Voice</v>
      </c>
      <c r="N2642" s="317" t="str">
        <f t="shared" ref="N2642:P2642" si="2680">LEFT(H2642,5)</f>
        <v>09:30</v>
      </c>
      <c r="O2642" s="317" t="str">
        <f t="shared" si="2680"/>
        <v>12:00</v>
      </c>
      <c r="P2642" s="317" t="str">
        <f t="shared" si="2680"/>
        <v>14:45</v>
      </c>
      <c r="Q2642" s="318">
        <f t="shared" si="2649"/>
        <v>46134.39583</v>
      </c>
      <c r="R2642" s="318">
        <f t="shared" si="2650"/>
        <v>46134.5</v>
      </c>
      <c r="S2642" s="318">
        <f t="shared" si="8"/>
        <v>46134.61458</v>
      </c>
    </row>
    <row r="2643">
      <c r="A2643" s="14" t="str">
        <f t="shared" si="1"/>
        <v>C147846134</v>
      </c>
      <c r="B2643" s="185" t="str">
        <f t="array" ref="B2643">IF(F2643="VL","",IF(F2643="Free","Free",XLOOKUP(D2643,Roster!T:T,Roster!S:S,"",0)))</f>
        <v>Free</v>
      </c>
      <c r="C2643" s="313">
        <v>46134.0</v>
      </c>
      <c r="D2643" s="314" t="s">
        <v>186</v>
      </c>
      <c r="E2643" s="307" t="str">
        <f t="array" ref="E2643">(XLOOKUP(D2643,Roster!F:F,Roster!B:B,"",0))</f>
        <v>Simon Atehortua</v>
      </c>
      <c r="F2643" s="315" t="str">
        <f t="array" ref="F2643">IF(B2643=100,"Free",TEXT(XLOOKUP($D2643,OperationVoice!$A:$A,OperationVoice!AB:AB,XLOOKUP($D2643,OperationTickets!$A:$A,OperationTickets!AB:AB,"",0)),"hh:mm"))</f>
        <v>Free</v>
      </c>
      <c r="G2643" s="309" t="str">
        <f t="shared" si="3"/>
        <v>Free</v>
      </c>
      <c r="H2643" s="316" t="str">
        <f t="array" ref="H2643">XLOOKUP(B2643,Roster!L:L,Roster!N:N,XLOOKUP(D2643,TicketsBreak!A:A,TicketsBreak!E:E,"",0),0)</f>
        <v/>
      </c>
      <c r="I2643" s="316" t="str">
        <f t="array" ref="I2643">XLOOKUP(B2643,Roster!L:L,Roster!O:O,XLOOKUP(D2643,TicketsBreak!A:A,TicketsBreak!F:F,"",0),0)</f>
        <v/>
      </c>
      <c r="J2643" s="316" t="str">
        <f t="array" ref="J2643">XLOOKUP(B2643,Roster!L:L,Roster!P:P,XLOOKUP(D2643,TicketsBreak!A:A,TicketsBreak!G:G,"",0),0)</f>
        <v/>
      </c>
      <c r="K2643" s="310">
        <f t="shared" si="4"/>
        <v>46134</v>
      </c>
      <c r="L2643" s="317">
        <f t="array" ref="L2643">(XLOOKUP(D2643,Roster!F:F,Roster!D:D,"",0))</f>
        <v>32</v>
      </c>
      <c r="M2643" s="317" t="str">
        <f t="array" ref="M2643">XLOOKUP(D2643,Roster!F:F,Roster!E:E)</f>
        <v>Tickets</v>
      </c>
      <c r="N2643" s="317" t="str">
        <f t="shared" ref="N2643:P2643" si="2681">LEFT(H2643,5)</f>
        <v/>
      </c>
      <c r="O2643" s="317" t="str">
        <f t="shared" si="2681"/>
        <v/>
      </c>
      <c r="P2643" s="317" t="str">
        <f t="shared" si="2681"/>
        <v/>
      </c>
      <c r="Q2643" s="318" t="str">
        <f t="shared" si="2649"/>
        <v/>
      </c>
      <c r="R2643" s="318" t="str">
        <f t="shared" si="2650"/>
        <v/>
      </c>
      <c r="S2643" s="318" t="str">
        <f t="shared" si="8"/>
        <v/>
      </c>
    </row>
    <row r="2644">
      <c r="A2644" s="14" t="str">
        <f t="shared" si="1"/>
        <v>C148346134</v>
      </c>
      <c r="B2644" s="185">
        <f t="array" ref="B2644">IF(F2644="VL","",IF(F2644="Free","Free",XLOOKUP(D2644,Roster!T:T,Roster!S:S,"",0)))</f>
        <v>152</v>
      </c>
      <c r="C2644" s="313">
        <v>46134.0</v>
      </c>
      <c r="D2644" s="314" t="s">
        <v>77</v>
      </c>
      <c r="E2644" s="307" t="str">
        <f t="array" ref="E2644">(XLOOKUP(D2644,Roster!F:F,Roster!B:B,"",0))</f>
        <v>Simon Zuluaica</v>
      </c>
      <c r="F2644" s="315" t="str">
        <f t="array" ref="F2644">IF(B2644=100,"Free",TEXT(XLOOKUP($D2644,OperationVoice!$A:$A,OperationVoice!AB:AB,XLOOKUP($D2644,OperationTickets!$A:$A,OperationTickets!AB:AB,"",0)),"hh:mm"))</f>
        <v>11:00</v>
      </c>
      <c r="G2644" s="309">
        <f t="shared" si="3"/>
        <v>0.8333333333</v>
      </c>
      <c r="H2644" s="316" t="str">
        <f t="array" ref="H2644">XLOOKUP(B2644,Roster!L:L,Roster!N:N,XLOOKUP(D2644,TicketsBreak!A:A,TicketsBreak!E:E,"",0),0)</f>
        <v>12:30 - 12:45</v>
      </c>
      <c r="I2644" s="316" t="str">
        <f t="array" ref="I2644">XLOOKUP(B2644,Roster!L:L,Roster!O:O,XLOOKUP(D2644,TicketsBreak!A:A,TicketsBreak!F:F,"",0),0)</f>
        <v>14:30 - 15:00</v>
      </c>
      <c r="J2644" s="316" t="str">
        <f t="array" ref="J2644">XLOOKUP(B2644,Roster!L:L,Roster!P:P,XLOOKUP(D2644,TicketsBreak!A:A,TicketsBreak!G:G,"",0),0)</f>
        <v>17:30 - 17:45</v>
      </c>
      <c r="K2644" s="310">
        <f t="shared" si="4"/>
        <v>46134</v>
      </c>
      <c r="L2644" s="317">
        <f t="array" ref="L2644">(XLOOKUP(D2644,Roster!F:F,Roster!D:D,"",0))</f>
        <v>34</v>
      </c>
      <c r="M2644" s="317" t="str">
        <f t="array" ref="M2644">XLOOKUP(D2644,Roster!F:F,Roster!E:E)</f>
        <v>Voice</v>
      </c>
      <c r="N2644" s="317" t="str">
        <f t="shared" ref="N2644:P2644" si="2682">LEFT(H2644,5)</f>
        <v>12:30</v>
      </c>
      <c r="O2644" s="317" t="str">
        <f t="shared" si="2682"/>
        <v>14:30</v>
      </c>
      <c r="P2644" s="317" t="str">
        <f t="shared" si="2682"/>
        <v>17:30</v>
      </c>
      <c r="Q2644" s="318">
        <f t="shared" si="2649"/>
        <v>46134.52083</v>
      </c>
      <c r="R2644" s="318">
        <f t="shared" si="2650"/>
        <v>46134.60417</v>
      </c>
      <c r="S2644" s="318">
        <f t="shared" si="8"/>
        <v>46134.72917</v>
      </c>
    </row>
    <row r="2645">
      <c r="A2645" s="14" t="str">
        <f t="shared" si="1"/>
        <v>C154046134</v>
      </c>
      <c r="B2645" s="185">
        <f t="array" ref="B2645">IF(F2645="VL","",IF(F2645="Free","Free",XLOOKUP(D2645,Roster!T:T,Roster!S:S,"",0)))</f>
        <v>122</v>
      </c>
      <c r="C2645" s="313">
        <v>46134.0</v>
      </c>
      <c r="D2645" s="314" t="s">
        <v>78</v>
      </c>
      <c r="E2645" s="307" t="str">
        <f t="array" ref="E2645">(XLOOKUP(D2645,Roster!F:F,Roster!B:B,"",0))</f>
        <v>Tomas Perez</v>
      </c>
      <c r="F2645" s="315" t="str">
        <f t="array" ref="F2645">IF(B2645=100,"Free",TEXT(XLOOKUP($D2645,OperationVoice!$A:$A,OperationVoice!AB:AB,XLOOKUP($D2645,OperationTickets!$A:$A,OperationTickets!AB:AB,"",0)),"hh:mm"))</f>
        <v>08:00</v>
      </c>
      <c r="G2645" s="309">
        <f t="shared" si="3"/>
        <v>0.7083333333</v>
      </c>
      <c r="H2645" s="316" t="str">
        <f t="array" ref="H2645">XLOOKUP(B2645,Roster!L:L,Roster!N:N,XLOOKUP(D2645,TicketsBreak!A:A,TicketsBreak!E:E,"",0),0)</f>
        <v>09:30 - 09:45</v>
      </c>
      <c r="I2645" s="316" t="str">
        <f t="array" ref="I2645">XLOOKUP(B2645,Roster!L:L,Roster!O:O,XLOOKUP(D2645,TicketsBreak!A:A,TicketsBreak!F:F,"",0),0)</f>
        <v>12:00 - 12:30</v>
      </c>
      <c r="J2645" s="316" t="str">
        <f t="array" ref="J2645">XLOOKUP(B2645,Roster!L:L,Roster!P:P,XLOOKUP(D2645,TicketsBreak!A:A,TicketsBreak!G:G,"",0),0)</f>
        <v>14:45 - 15:00</v>
      </c>
      <c r="K2645" s="310">
        <f t="shared" si="4"/>
        <v>46134</v>
      </c>
      <c r="L2645" s="317">
        <f t="array" ref="L2645">(XLOOKUP(D2645,Roster!F:F,Roster!D:D,"",0))</f>
        <v>36</v>
      </c>
      <c r="M2645" s="317" t="str">
        <f t="array" ref="M2645">XLOOKUP(D2645,Roster!F:F,Roster!E:E)</f>
        <v>Voice</v>
      </c>
      <c r="N2645" s="317" t="str">
        <f t="shared" ref="N2645:P2645" si="2683">LEFT(H2645,5)</f>
        <v>09:30</v>
      </c>
      <c r="O2645" s="317" t="str">
        <f t="shared" si="2683"/>
        <v>12:00</v>
      </c>
      <c r="P2645" s="317" t="str">
        <f t="shared" si="2683"/>
        <v>14:45</v>
      </c>
      <c r="Q2645" s="318">
        <f t="shared" si="2649"/>
        <v>46134.39583</v>
      </c>
      <c r="R2645" s="318">
        <f t="shared" si="2650"/>
        <v>46134.5</v>
      </c>
      <c r="S2645" s="318">
        <f t="shared" si="8"/>
        <v>46134.61458</v>
      </c>
    </row>
    <row r="2646">
      <c r="A2646" s="14" t="str">
        <f t="shared" si="1"/>
        <v>C154746134</v>
      </c>
      <c r="B2646" s="185">
        <f t="array" ref="B2646">IF(F2646="VL","",IF(F2646="Free","Free",XLOOKUP(D2646,Roster!T:T,Roster!S:S,"",0)))</f>
        <v>121</v>
      </c>
      <c r="C2646" s="313">
        <v>46134.0</v>
      </c>
      <c r="D2646" s="314" t="s">
        <v>79</v>
      </c>
      <c r="E2646" s="307" t="str">
        <f t="array" ref="E2646">(XLOOKUP(D2646,Roster!F:F,Roster!B:B,"",0))</f>
        <v>Valentina Barreto</v>
      </c>
      <c r="F2646" s="315" t="str">
        <f t="array" ref="F2646">IF(B2646=100,"Free",TEXT(XLOOKUP($D2646,OperationVoice!$A:$A,OperationVoice!AB:AB,XLOOKUP($D2646,OperationTickets!$A:$A,OperationTickets!AB:AB,"",0)),"hh:mm"))</f>
        <v>08:00</v>
      </c>
      <c r="G2646" s="309">
        <f t="shared" si="3"/>
        <v>0.7083333333</v>
      </c>
      <c r="H2646" s="316" t="str">
        <f t="array" ref="H2646">XLOOKUP(B2646,Roster!L:L,Roster!N:N,XLOOKUP(D2646,TicketsBreak!A:A,TicketsBreak!E:E,"",0),0)</f>
        <v>09:15 - 09:30</v>
      </c>
      <c r="I2646" s="316" t="str">
        <f t="array" ref="I2646">XLOOKUP(B2646,Roster!L:L,Roster!O:O,XLOOKUP(D2646,TicketsBreak!A:A,TicketsBreak!F:F,"",0),0)</f>
        <v>11:30 - 12:00</v>
      </c>
      <c r="J2646" s="316" t="str">
        <f t="array" ref="J2646">XLOOKUP(B2646,Roster!L:L,Roster!P:P,XLOOKUP(D2646,TicketsBreak!A:A,TicketsBreak!G:G,"",0),0)</f>
        <v>14:30 - 14:45</v>
      </c>
      <c r="K2646" s="310">
        <f t="shared" si="4"/>
        <v>46134</v>
      </c>
      <c r="L2646" s="317">
        <f t="array" ref="L2646">(XLOOKUP(D2646,Roster!F:F,Roster!D:D,"",0))</f>
        <v>37</v>
      </c>
      <c r="M2646" s="317" t="str">
        <f t="array" ref="M2646">XLOOKUP(D2646,Roster!F:F,Roster!E:E)</f>
        <v>Voice</v>
      </c>
      <c r="N2646" s="317" t="str">
        <f t="shared" ref="N2646:P2646" si="2684">LEFT(H2646,5)</f>
        <v>09:15</v>
      </c>
      <c r="O2646" s="317" t="str">
        <f t="shared" si="2684"/>
        <v>11:30</v>
      </c>
      <c r="P2646" s="317" t="str">
        <f t="shared" si="2684"/>
        <v>14:30</v>
      </c>
      <c r="Q2646" s="318">
        <f t="shared" si="2649"/>
        <v>46134.38542</v>
      </c>
      <c r="R2646" s="318">
        <f t="shared" si="2650"/>
        <v>46134.47917</v>
      </c>
      <c r="S2646" s="318">
        <f t="shared" si="8"/>
        <v>46134.60417</v>
      </c>
    </row>
    <row r="2647">
      <c r="A2647" s="14" t="str">
        <f t="shared" si="1"/>
        <v>C155346134</v>
      </c>
      <c r="B2647" s="185" t="str">
        <f t="array" ref="B2647">IF(F2647="VL","",IF(F2647="Free","Free",XLOOKUP(D2647,Roster!T:T,Roster!S:S,"",0)))</f>
        <v>Free</v>
      </c>
      <c r="C2647" s="313">
        <v>46134.0</v>
      </c>
      <c r="D2647" s="314" t="s">
        <v>80</v>
      </c>
      <c r="E2647" s="307" t="str">
        <f t="array" ref="E2647">(XLOOKUP(D2647,Roster!F:F,Roster!B:B,"",0))</f>
        <v>Valentina Castro</v>
      </c>
      <c r="F2647" s="315" t="str">
        <f t="array" ref="F2647">IF(B2647=100,"Free",TEXT(XLOOKUP($D2647,OperationVoice!$A:$A,OperationVoice!AB:AB,XLOOKUP($D2647,OperationTickets!$A:$A,OperationTickets!AB:AB,"",0)),"hh:mm"))</f>
        <v>Free</v>
      </c>
      <c r="G2647" s="309" t="str">
        <f t="shared" si="3"/>
        <v>Free</v>
      </c>
      <c r="H2647" s="316" t="str">
        <f t="array" ref="H2647">XLOOKUP(B2647,Roster!L:L,Roster!N:N,XLOOKUP(D2647,TicketsBreak!A:A,TicketsBreak!E:E,"",0),0)</f>
        <v/>
      </c>
      <c r="I2647" s="316" t="str">
        <f t="array" ref="I2647">XLOOKUP(B2647,Roster!L:L,Roster!O:O,XLOOKUP(D2647,TicketsBreak!A:A,TicketsBreak!F:F,"",0),0)</f>
        <v/>
      </c>
      <c r="J2647" s="316" t="str">
        <f t="array" ref="J2647">XLOOKUP(B2647,Roster!L:L,Roster!P:P,XLOOKUP(D2647,TicketsBreak!A:A,TicketsBreak!G:G,"",0),0)</f>
        <v/>
      </c>
      <c r="K2647" s="310">
        <f t="shared" si="4"/>
        <v>46134</v>
      </c>
      <c r="L2647" s="317">
        <f t="array" ref="L2647">(XLOOKUP(D2647,Roster!F:F,Roster!D:D,"",0))</f>
        <v>37</v>
      </c>
      <c r="M2647" s="317" t="str">
        <f t="array" ref="M2647">XLOOKUP(D2647,Roster!F:F,Roster!E:E)</f>
        <v>Voice</v>
      </c>
      <c r="N2647" s="317" t="str">
        <f t="shared" ref="N2647:P2647" si="2685">LEFT(H2647,5)</f>
        <v/>
      </c>
      <c r="O2647" s="317" t="str">
        <f t="shared" si="2685"/>
        <v/>
      </c>
      <c r="P2647" s="317" t="str">
        <f t="shared" si="2685"/>
        <v/>
      </c>
      <c r="Q2647" s="318" t="str">
        <f t="shared" si="2649"/>
        <v/>
      </c>
      <c r="R2647" s="318" t="str">
        <f t="shared" si="2650"/>
        <v/>
      </c>
      <c r="S2647" s="318" t="str">
        <f t="shared" si="8"/>
        <v/>
      </c>
    </row>
    <row r="2648">
      <c r="A2648" s="14" t="str">
        <f t="shared" si="1"/>
        <v>C150246134</v>
      </c>
      <c r="B2648" s="185" t="str">
        <f t="array" ref="B2648">IF(F2648="VL","",IF(F2648="Free","Free",XLOOKUP(D2648,Roster!T:T,Roster!S:S,"",0)))</f>
        <v/>
      </c>
      <c r="C2648" s="313">
        <v>46134.0</v>
      </c>
      <c r="D2648" s="314" t="s">
        <v>316</v>
      </c>
      <c r="E2648" s="307" t="str">
        <f t="array" ref="E2648">(XLOOKUP(D2648,Roster!F:F,Roster!B:B,"",0))</f>
        <v>Valentina Gallego</v>
      </c>
      <c r="F2648" s="315" t="str">
        <f t="array" ref="F2648">IF(B2648=100,"Free",TEXT(XLOOKUP($D2648,OperationVoice!$A:$A,OperationVoice!AB:AB,XLOOKUP($D2648,OperationTickets!$A:$A,OperationTickets!AB:AB,"",0)),"hh:mm"))</f>
        <v/>
      </c>
      <c r="G2648" s="309" t="str">
        <f t="shared" si="3"/>
        <v/>
      </c>
      <c r="H2648" s="316" t="str">
        <f t="array" ref="H2648">XLOOKUP(B2648,Roster!L:L,Roster!N:N,XLOOKUP(D2648,TicketsBreak!A:A,TicketsBreak!E:E,"",0),0)</f>
        <v/>
      </c>
      <c r="I2648" s="316" t="str">
        <f t="array" ref="I2648">XLOOKUP(B2648,Roster!L:L,Roster!O:O,XLOOKUP(D2648,TicketsBreak!A:A,TicketsBreak!F:F,"",0),0)</f>
        <v/>
      </c>
      <c r="J2648" s="316" t="str">
        <f t="array" ref="J2648">XLOOKUP(B2648,Roster!L:L,Roster!P:P,XLOOKUP(D2648,TicketsBreak!A:A,TicketsBreak!G:G,"",0),0)</f>
        <v/>
      </c>
      <c r="K2648" s="310">
        <f t="shared" si="4"/>
        <v>46134</v>
      </c>
      <c r="L2648" s="317">
        <f t="array" ref="L2648">(XLOOKUP(D2648,Roster!F:F,Roster!D:D,"",0))</f>
        <v>35</v>
      </c>
      <c r="M2648" s="317" t="str">
        <f t="array" ref="M2648">XLOOKUP(D2648,Roster!F:F,Roster!E:E)</f>
        <v>Voice</v>
      </c>
      <c r="N2648" s="317" t="str">
        <f t="shared" ref="N2648:P2648" si="2686">LEFT(H2648,5)</f>
        <v/>
      </c>
      <c r="O2648" s="317" t="str">
        <f t="shared" si="2686"/>
        <v/>
      </c>
      <c r="P2648" s="317" t="str">
        <f t="shared" si="2686"/>
        <v/>
      </c>
      <c r="Q2648" s="318" t="str">
        <f t="shared" si="2649"/>
        <v/>
      </c>
      <c r="R2648" s="318" t="str">
        <f t="shared" si="2650"/>
        <v/>
      </c>
      <c r="S2648" s="318" t="str">
        <f t="shared" si="8"/>
        <v/>
      </c>
    </row>
    <row r="2649">
      <c r="A2649" s="14" t="str">
        <f t="shared" si="1"/>
        <v>C112646134</v>
      </c>
      <c r="B2649" s="185" t="str">
        <f t="array" ref="B2649">IF(F2649="VL","",IF(F2649="Free","Free",XLOOKUP(D2649,Roster!T:T,Roster!S:S,"",0)))</f>
        <v/>
      </c>
      <c r="C2649" s="313">
        <v>46134.0</v>
      </c>
      <c r="D2649" s="314" t="s">
        <v>152</v>
      </c>
      <c r="E2649" s="307" t="str">
        <f t="array" ref="E2649">(XLOOKUP(D2649,Roster!F:F,Roster!B:B,"",0))</f>
        <v>Valery Escobar</v>
      </c>
      <c r="F2649" s="315" t="str">
        <f t="array" ref="F2649">IF(B2649=100,"Free",TEXT(XLOOKUP($D2649,OperationVoice!$A:$A,OperationVoice!AB:AB,XLOOKUP($D2649,OperationTickets!$A:$A,OperationTickets!AB:AB,"",0)),"hh:mm"))</f>
        <v>08:00</v>
      </c>
      <c r="G2649" s="309">
        <f t="shared" si="3"/>
        <v>0.7083333333</v>
      </c>
      <c r="H2649" s="316">
        <f t="array" ref="H2649">XLOOKUP(B2649,Roster!L:L,Roster!N:N,XLOOKUP(D2649,TicketsBreak!A:A,TicketsBreak!E:E,"",0),0)</f>
        <v>0.3854166667</v>
      </c>
      <c r="I2649" s="316">
        <f t="array" ref="I2649">XLOOKUP(B2649,Roster!L:L,Roster!O:O,XLOOKUP(D2649,TicketsBreak!A:A,TicketsBreak!F:F,"",0),0)</f>
        <v>0.5</v>
      </c>
      <c r="J2649" s="316">
        <f t="array" ref="J2649">XLOOKUP(B2649,Roster!L:L,Roster!P:P,XLOOKUP(D2649,TicketsBreak!A:A,TicketsBreak!G:G,"",0),0)</f>
        <v>0.6041666667</v>
      </c>
      <c r="K2649" s="310">
        <f t="shared" si="4"/>
        <v>46134</v>
      </c>
      <c r="L2649" s="317">
        <f t="array" ref="L2649">(XLOOKUP(D2649,Roster!F:F,Roster!D:D,"",0))</f>
        <v>21</v>
      </c>
      <c r="M2649" s="317" t="str">
        <f t="array" ref="M2649">XLOOKUP(D2649,Roster!F:F,Roster!E:E)</f>
        <v>Tickets</v>
      </c>
      <c r="N2649" s="317" t="str">
        <f t="shared" ref="N2649:P2649" si="2687">LEFT(H2649,5)</f>
        <v>09:15</v>
      </c>
      <c r="O2649" s="317" t="str">
        <f t="shared" si="2687"/>
        <v>12:00</v>
      </c>
      <c r="P2649" s="317" t="str">
        <f t="shared" si="2687"/>
        <v>14:30</v>
      </c>
      <c r="Q2649" s="318">
        <f t="shared" si="2649"/>
        <v>46134.38542</v>
      </c>
      <c r="R2649" s="318">
        <f t="shared" si="2650"/>
        <v>46134.5</v>
      </c>
      <c r="S2649" s="318">
        <f t="shared" si="8"/>
        <v>46134.60417</v>
      </c>
    </row>
    <row r="2650">
      <c r="A2650" s="14" t="str">
        <f t="shared" si="1"/>
        <v>C155246134</v>
      </c>
      <c r="B2650" s="185">
        <f t="array" ref="B2650">IF(F2650="VL","",IF(F2650="Free","Free",XLOOKUP(D2650,Roster!T:T,Roster!S:S,"",0)))</f>
        <v>125</v>
      </c>
      <c r="C2650" s="313">
        <v>46134.0</v>
      </c>
      <c r="D2650" s="314" t="s">
        <v>81</v>
      </c>
      <c r="E2650" s="307" t="str">
        <f t="array" ref="E2650">(XLOOKUP(D2650,Roster!F:F,Roster!B:B,"",0))</f>
        <v>Wendy Machado</v>
      </c>
      <c r="F2650" s="315" t="str">
        <f t="array" ref="F2650">IF(B2650=100,"Free",TEXT(XLOOKUP($D2650,OperationVoice!$A:$A,OperationVoice!AB:AB,XLOOKUP($D2650,OperationTickets!$A:$A,OperationTickets!AB:AB,"",0)),"hh:mm"))</f>
        <v>08:00</v>
      </c>
      <c r="G2650" s="309">
        <f t="shared" si="3"/>
        <v>0.7083333333</v>
      </c>
      <c r="H2650" s="316" t="str">
        <f t="array" ref="H2650">XLOOKUP(B2650,Roster!L:L,Roster!N:N,XLOOKUP(D2650,TicketsBreak!A:A,TicketsBreak!E:E,"",0),0)</f>
        <v>10:30 - 10:45</v>
      </c>
      <c r="I2650" s="316" t="str">
        <f t="array" ref="I2650">XLOOKUP(B2650,Roster!L:L,Roster!O:O,XLOOKUP(D2650,TicketsBreak!A:A,TicketsBreak!F:F,"",0),0)</f>
        <v>13:30 - 14:00</v>
      </c>
      <c r="J2650" s="316" t="str">
        <f t="array" ref="J2650">XLOOKUP(B2650,Roster!L:L,Roster!P:P,XLOOKUP(D2650,TicketsBreak!A:A,TicketsBreak!G:G,"",0),0)</f>
        <v>15:45 - 16:00</v>
      </c>
      <c r="K2650" s="310">
        <f t="shared" si="4"/>
        <v>46134</v>
      </c>
      <c r="L2650" s="317">
        <f t="array" ref="L2650">(XLOOKUP(D2650,Roster!F:F,Roster!D:D,"",0))</f>
        <v>37</v>
      </c>
      <c r="M2650" s="317" t="str">
        <f t="array" ref="M2650">XLOOKUP(D2650,Roster!F:F,Roster!E:E)</f>
        <v>Voice</v>
      </c>
      <c r="N2650" s="317" t="str">
        <f t="shared" ref="N2650:P2650" si="2688">LEFT(H2650,5)</f>
        <v>10:30</v>
      </c>
      <c r="O2650" s="317" t="str">
        <f t="shared" si="2688"/>
        <v>13:30</v>
      </c>
      <c r="P2650" s="317" t="str">
        <f t="shared" si="2688"/>
        <v>15:45</v>
      </c>
      <c r="Q2650" s="318">
        <f t="shared" si="2649"/>
        <v>46134.4375</v>
      </c>
      <c r="R2650" s="318">
        <f t="shared" si="2650"/>
        <v>46134.5625</v>
      </c>
      <c r="S2650" s="318">
        <f t="shared" si="8"/>
        <v>46134.65625</v>
      </c>
    </row>
    <row r="2651">
      <c r="A2651" s="14" t="str">
        <f t="shared" si="1"/>
        <v>C78646134</v>
      </c>
      <c r="B2651" s="185" t="str">
        <f t="array" ref="B2651">IF(F2651="VL","",IF(F2651="Free","Free",XLOOKUP(D2651,Roster!T:T,Roster!S:S,"",0)))</f>
        <v/>
      </c>
      <c r="C2651" s="313">
        <v>46134.0</v>
      </c>
      <c r="D2651" s="314" t="s">
        <v>136</v>
      </c>
      <c r="E2651" s="307" t="str">
        <f t="array" ref="E2651">(XLOOKUP(D2651,Roster!F:F,Roster!B:B,"",0))</f>
        <v>Wendy Navarro</v>
      </c>
      <c r="F2651" s="315" t="str">
        <f t="array" ref="F2651">IF(B2651=100,"Free",TEXT(XLOOKUP($D2651,OperationVoice!$A:$A,OperationVoice!AB:AB,XLOOKUP($D2651,OperationTickets!$A:$A,OperationTickets!AB:AB,"",0)),"hh:mm"))</f>
        <v>08:00</v>
      </c>
      <c r="G2651" s="309">
        <f t="shared" si="3"/>
        <v>0.7083333333</v>
      </c>
      <c r="H2651" s="316">
        <f t="array" ref="H2651">XLOOKUP(B2651,Roster!L:L,Roster!N:N,XLOOKUP(D2651,TicketsBreak!A:A,TicketsBreak!E:E,"",0),0)</f>
        <v>0.4166666667</v>
      </c>
      <c r="I2651" s="316">
        <f t="array" ref="I2651">XLOOKUP(B2651,Roster!L:L,Roster!O:O,XLOOKUP(D2651,TicketsBreak!A:A,TicketsBreak!F:F,"",0),0)</f>
        <v>0.5416666667</v>
      </c>
      <c r="J2651" s="316">
        <f t="array" ref="J2651">XLOOKUP(B2651,Roster!L:L,Roster!P:P,XLOOKUP(D2651,TicketsBreak!A:A,TicketsBreak!G:G,"",0),0)</f>
        <v>0.6458333333</v>
      </c>
      <c r="K2651" s="310">
        <f t="shared" si="4"/>
        <v>46134</v>
      </c>
      <c r="L2651" s="317">
        <f t="array" ref="L2651">(XLOOKUP(D2651,Roster!F:F,Roster!D:D,"",0))</f>
        <v>16</v>
      </c>
      <c r="M2651" s="317" t="str">
        <f t="array" ref="M2651">XLOOKUP(D2651,Roster!F:F,Roster!E:E)</f>
        <v>Tickets</v>
      </c>
      <c r="N2651" s="317" t="str">
        <f t="shared" ref="N2651:P2651" si="2689">LEFT(H2651,5)</f>
        <v>10:00</v>
      </c>
      <c r="O2651" s="317" t="str">
        <f t="shared" si="2689"/>
        <v>13:00</v>
      </c>
      <c r="P2651" s="317" t="str">
        <f t="shared" si="2689"/>
        <v>15:30</v>
      </c>
      <c r="Q2651" s="318">
        <f t="shared" si="2649"/>
        <v>46134.41667</v>
      </c>
      <c r="R2651" s="318">
        <f t="shared" si="2650"/>
        <v>46134.54167</v>
      </c>
      <c r="S2651" s="318">
        <f t="shared" si="8"/>
        <v>46134.64583</v>
      </c>
    </row>
    <row r="2652">
      <c r="A2652" s="14" t="str">
        <f t="shared" si="1"/>
        <v>C153746134</v>
      </c>
      <c r="B2652" s="185">
        <f t="array" ref="B2652">IF(F2652="VL","",IF(F2652="Free","Free",XLOOKUP(D2652,Roster!T:T,Roster!S:S,"",0)))</f>
        <v>135</v>
      </c>
      <c r="C2652" s="313">
        <v>46134.0</v>
      </c>
      <c r="D2652" s="314" t="s">
        <v>82</v>
      </c>
      <c r="E2652" s="307" t="str">
        <f t="array" ref="E2652">(XLOOKUP(D2652,Roster!F:F,Roster!B:B,"",0))</f>
        <v>William Florez</v>
      </c>
      <c r="F2652" s="315" t="str">
        <f t="array" ref="F2652">IF(B2652=100,"Free",TEXT(XLOOKUP($D2652,OperationVoice!$A:$A,OperationVoice!AB:AB,XLOOKUP($D2652,OperationTickets!$A:$A,OperationTickets!AB:AB,"",0)),"hh:mm"))</f>
        <v>09:00</v>
      </c>
      <c r="G2652" s="309">
        <f t="shared" si="3"/>
        <v>0.75</v>
      </c>
      <c r="H2652" s="316" t="str">
        <f t="array" ref="H2652">XLOOKUP(B2652,Roster!L:L,Roster!N:N,XLOOKUP(D2652,TicketsBreak!A:A,TicketsBreak!E:E,"",0),0)</f>
        <v>11:15 - 11:30</v>
      </c>
      <c r="I2652" s="316" t="str">
        <f t="array" ref="I2652">XLOOKUP(B2652,Roster!L:L,Roster!O:O,XLOOKUP(D2652,TicketsBreak!A:A,TicketsBreak!F:F,"",0),0)</f>
        <v>14:15 - 14:45</v>
      </c>
      <c r="J2652" s="316" t="str">
        <f t="array" ref="J2652">XLOOKUP(B2652,Roster!L:L,Roster!P:P,XLOOKUP(D2652,TicketsBreak!A:A,TicketsBreak!G:G,"",0),0)</f>
        <v>16:15 - 16:30</v>
      </c>
      <c r="K2652" s="310">
        <f t="shared" si="4"/>
        <v>46134</v>
      </c>
      <c r="L2652" s="317">
        <f t="array" ref="L2652">(XLOOKUP(D2652,Roster!F:F,Roster!D:D,"",0))</f>
        <v>36</v>
      </c>
      <c r="M2652" s="317" t="str">
        <f t="array" ref="M2652">XLOOKUP(D2652,Roster!F:F,Roster!E:E)</f>
        <v>Voice</v>
      </c>
      <c r="N2652" s="317" t="str">
        <f t="shared" ref="N2652:P2652" si="2690">LEFT(H2652,5)</f>
        <v>11:15</v>
      </c>
      <c r="O2652" s="317" t="str">
        <f t="shared" si="2690"/>
        <v>14:15</v>
      </c>
      <c r="P2652" s="317" t="str">
        <f t="shared" si="2690"/>
        <v>16:15</v>
      </c>
      <c r="Q2652" s="318">
        <f t="shared" si="2649"/>
        <v>46134.46875</v>
      </c>
      <c r="R2652" s="318">
        <f t="shared" si="2650"/>
        <v>46134.59375</v>
      </c>
      <c r="S2652" s="318">
        <f t="shared" si="8"/>
        <v>46134.67708</v>
      </c>
    </row>
    <row r="2653">
      <c r="A2653" s="14" t="str">
        <f t="shared" si="1"/>
        <v>C135346134</v>
      </c>
      <c r="B2653" s="185">
        <f t="array" ref="B2653">IF(F2653="VL","",IF(F2653="Free","Free",XLOOKUP(D2653,Roster!T:T,Roster!S:S,"",0)))</f>
        <v>121</v>
      </c>
      <c r="C2653" s="313">
        <v>46134.0</v>
      </c>
      <c r="D2653" s="314" t="s">
        <v>83</v>
      </c>
      <c r="E2653" s="307" t="str">
        <f t="array" ref="E2653">(XLOOKUP(D2653,Roster!F:F,Roster!B:B,"",0))</f>
        <v>Wilson Martinez</v>
      </c>
      <c r="F2653" s="315" t="str">
        <f t="array" ref="F2653">IF(B2653=100,"Free",TEXT(XLOOKUP($D2653,OperationVoice!$A:$A,OperationVoice!AB:AB,XLOOKUP($D2653,OperationTickets!$A:$A,OperationTickets!AB:AB,"",0)),"hh:mm"))</f>
        <v>08:00</v>
      </c>
      <c r="G2653" s="309">
        <f t="shared" si="3"/>
        <v>0.7083333333</v>
      </c>
      <c r="H2653" s="316" t="str">
        <f t="array" ref="H2653">XLOOKUP(B2653,Roster!L:L,Roster!N:N,XLOOKUP(D2653,TicketsBreak!A:A,TicketsBreak!E:E,"",0),0)</f>
        <v>09:15 - 09:30</v>
      </c>
      <c r="I2653" s="316" t="str">
        <f t="array" ref="I2653">XLOOKUP(B2653,Roster!L:L,Roster!O:O,XLOOKUP(D2653,TicketsBreak!A:A,TicketsBreak!F:F,"",0),0)</f>
        <v>11:30 - 12:00</v>
      </c>
      <c r="J2653" s="316" t="str">
        <f t="array" ref="J2653">XLOOKUP(B2653,Roster!L:L,Roster!P:P,XLOOKUP(D2653,TicketsBreak!A:A,TicketsBreak!G:G,"",0),0)</f>
        <v>14:30 - 14:45</v>
      </c>
      <c r="K2653" s="310">
        <f t="shared" si="4"/>
        <v>46134</v>
      </c>
      <c r="L2653" s="317">
        <f t="array" ref="L2653">(XLOOKUP(D2653,Roster!F:F,Roster!D:D,"",0))</f>
        <v>30</v>
      </c>
      <c r="M2653" s="317" t="str">
        <f t="array" ref="M2653">XLOOKUP(D2653,Roster!F:F,Roster!E:E)</f>
        <v>Voice</v>
      </c>
      <c r="N2653" s="317" t="str">
        <f t="shared" ref="N2653:P2653" si="2691">LEFT(H2653,5)</f>
        <v>09:15</v>
      </c>
      <c r="O2653" s="317" t="str">
        <f t="shared" si="2691"/>
        <v>11:30</v>
      </c>
      <c r="P2653" s="317" t="str">
        <f t="shared" si="2691"/>
        <v>14:30</v>
      </c>
      <c r="Q2653" s="318">
        <f t="shared" si="2649"/>
        <v>46134.38542</v>
      </c>
      <c r="R2653" s="318">
        <f t="shared" si="2650"/>
        <v>46134.47917</v>
      </c>
      <c r="S2653" s="318">
        <f t="shared" si="8"/>
        <v>46134.60417</v>
      </c>
    </row>
    <row r="2654">
      <c r="A2654" s="14" t="str">
        <f t="shared" si="1"/>
        <v>C117346134</v>
      </c>
      <c r="B2654" s="185">
        <f t="array" ref="B2654">IF(F2654="VL","",IF(F2654="Free","Free",XLOOKUP(D2654,Roster!T:T,Roster!S:S,"",0)))</f>
        <v>122</v>
      </c>
      <c r="C2654" s="313">
        <v>46134.0</v>
      </c>
      <c r="D2654" s="314" t="s">
        <v>84</v>
      </c>
      <c r="E2654" s="307" t="str">
        <f t="array" ref="E2654">(XLOOKUP(D2654,Roster!F:F,Roster!B:B,"",0))</f>
        <v>Yaidy Mosquera</v>
      </c>
      <c r="F2654" s="315" t="str">
        <f t="array" ref="F2654">IF(B2654=100,"Free",TEXT(XLOOKUP($D2654,OperationVoice!$A:$A,OperationVoice!AB:AB,XLOOKUP($D2654,OperationTickets!$A:$A,OperationTickets!AB:AB,"",0)),"hh:mm"))</f>
        <v>08:00</v>
      </c>
      <c r="G2654" s="309">
        <f t="shared" si="3"/>
        <v>0.7083333333</v>
      </c>
      <c r="H2654" s="316" t="str">
        <f t="array" ref="H2654">XLOOKUP(B2654,Roster!L:L,Roster!N:N,XLOOKUP(D2654,TicketsBreak!A:A,TicketsBreak!E:E,"",0),0)</f>
        <v>09:30 - 09:45</v>
      </c>
      <c r="I2654" s="316" t="str">
        <f t="array" ref="I2654">XLOOKUP(B2654,Roster!L:L,Roster!O:O,XLOOKUP(D2654,TicketsBreak!A:A,TicketsBreak!F:F,"",0),0)</f>
        <v>12:00 - 12:30</v>
      </c>
      <c r="J2654" s="316" t="str">
        <f t="array" ref="J2654">XLOOKUP(B2654,Roster!L:L,Roster!P:P,XLOOKUP(D2654,TicketsBreak!A:A,TicketsBreak!G:G,"",0),0)</f>
        <v>14:45 - 15:00</v>
      </c>
      <c r="K2654" s="310">
        <f t="shared" si="4"/>
        <v>46134</v>
      </c>
      <c r="L2654" s="317">
        <f t="array" ref="L2654">(XLOOKUP(D2654,Roster!F:F,Roster!D:D,"",0))</f>
        <v>24</v>
      </c>
      <c r="M2654" s="317" t="str">
        <f t="array" ref="M2654">XLOOKUP(D2654,Roster!F:F,Roster!E:E)</f>
        <v>Voice</v>
      </c>
      <c r="N2654" s="317" t="str">
        <f t="shared" ref="N2654:P2654" si="2692">LEFT(H2654,5)</f>
        <v>09:30</v>
      </c>
      <c r="O2654" s="317" t="str">
        <f t="shared" si="2692"/>
        <v>12:00</v>
      </c>
      <c r="P2654" s="317" t="str">
        <f t="shared" si="2692"/>
        <v>14:45</v>
      </c>
      <c r="Q2654" s="318">
        <f t="shared" si="2649"/>
        <v>46134.39583</v>
      </c>
      <c r="R2654" s="318">
        <f t="shared" si="2650"/>
        <v>46134.5</v>
      </c>
      <c r="S2654" s="318">
        <f t="shared" si="8"/>
        <v>46134.61458</v>
      </c>
    </row>
    <row r="2655">
      <c r="A2655" s="14" t="str">
        <f t="shared" si="1"/>
        <v>C110846134</v>
      </c>
      <c r="B2655" s="185" t="str">
        <f t="array" ref="B2655">IF(F2655="VL","",IF(F2655="Free","Free",XLOOKUP(D2655,Roster!T:T,Roster!S:S,"",0)))</f>
        <v>Free</v>
      </c>
      <c r="C2655" s="313">
        <v>46134.0</v>
      </c>
      <c r="D2655" s="314" t="s">
        <v>187</v>
      </c>
      <c r="E2655" s="307" t="str">
        <f t="array" ref="E2655">(XLOOKUP(D2655,Roster!F:F,Roster!B:B,"",0))</f>
        <v>Yeiner Tapias</v>
      </c>
      <c r="F2655" s="315" t="str">
        <f t="array" ref="F2655">IF(B2655=100,"Free",TEXT(XLOOKUP($D2655,OperationVoice!$A:$A,OperationVoice!AB:AB,XLOOKUP($D2655,OperationTickets!$A:$A,OperationTickets!AB:AB,"",0)),"hh:mm"))</f>
        <v>Free</v>
      </c>
      <c r="G2655" s="309" t="str">
        <f t="shared" si="3"/>
        <v>Free</v>
      </c>
      <c r="H2655" s="316">
        <f t="array" ref="H2655">XLOOKUP(B2655,Roster!L:L,Roster!N:N,XLOOKUP(D2655,TicketsBreak!A:A,TicketsBreak!E:E,"",0),0)</f>
        <v>0.3958333333</v>
      </c>
      <c r="I2655" s="316">
        <f t="array" ref="I2655">XLOOKUP(B2655,Roster!L:L,Roster!O:O,XLOOKUP(D2655,TicketsBreak!A:A,TicketsBreak!F:F,"",0),0)</f>
        <v>0.5208333333</v>
      </c>
      <c r="J2655" s="316">
        <f t="array" ref="J2655">XLOOKUP(B2655,Roster!L:L,Roster!P:P,XLOOKUP(D2655,TicketsBreak!A:A,TicketsBreak!G:G,"",0),0)</f>
        <v>0.6145833333</v>
      </c>
      <c r="K2655" s="310">
        <f t="shared" si="4"/>
        <v>46134</v>
      </c>
      <c r="L2655" s="317">
        <f t="array" ref="L2655">(XLOOKUP(D2655,Roster!F:F,Roster!D:D,"",0))</f>
        <v>20</v>
      </c>
      <c r="M2655" s="317" t="str">
        <f t="array" ref="M2655">XLOOKUP(D2655,Roster!F:F,Roster!E:E)</f>
        <v>Tickets</v>
      </c>
      <c r="N2655" s="317" t="str">
        <f t="shared" ref="N2655:P2655" si="2693">LEFT(H2655,5)</f>
        <v>09:30</v>
      </c>
      <c r="O2655" s="317" t="str">
        <f t="shared" si="2693"/>
        <v>12:30</v>
      </c>
      <c r="P2655" s="317" t="str">
        <f t="shared" si="2693"/>
        <v>14:45</v>
      </c>
      <c r="Q2655" s="318">
        <f t="shared" si="2649"/>
        <v>46134.39583</v>
      </c>
      <c r="R2655" s="318">
        <f t="shared" si="2650"/>
        <v>46134.52083</v>
      </c>
      <c r="S2655" s="318">
        <f t="shared" si="8"/>
        <v>46134.61458</v>
      </c>
    </row>
    <row r="2656">
      <c r="A2656" s="14" t="str">
        <f t="shared" si="1"/>
        <v>C153946134</v>
      </c>
      <c r="B2656" s="185">
        <f t="array" ref="B2656">IF(F2656="VL","",IF(F2656="Free","Free",XLOOKUP(D2656,Roster!T:T,Roster!S:S,"",0)))</f>
        <v>123</v>
      </c>
      <c r="C2656" s="313">
        <v>46134.0</v>
      </c>
      <c r="D2656" s="314" t="s">
        <v>85</v>
      </c>
      <c r="E2656" s="307" t="str">
        <f t="array" ref="E2656">(XLOOKUP(D2656,Roster!F:F,Roster!B:B,"",0))</f>
        <v>Yovanny Ceballos</v>
      </c>
      <c r="F2656" s="315" t="str">
        <f t="array" ref="F2656">IF(B2656=100,"Free",TEXT(XLOOKUP($D2656,OperationVoice!$A:$A,OperationVoice!AB:AB,XLOOKUP($D2656,OperationTickets!$A:$A,OperationTickets!AB:AB,"",0)),"hh:mm"))</f>
        <v/>
      </c>
      <c r="G2656" s="309" t="str">
        <f t="shared" si="3"/>
        <v/>
      </c>
      <c r="H2656" s="316" t="str">
        <f t="array" ref="H2656">XLOOKUP(B2656,Roster!L:L,Roster!N:N,XLOOKUP(D2656,TicketsBreak!A:A,TicketsBreak!E:E,"",0),0)</f>
        <v>09:45 - 10:00 </v>
      </c>
      <c r="I2656" s="316" t="str">
        <f t="array" ref="I2656">XLOOKUP(B2656,Roster!L:L,Roster!O:O,XLOOKUP(D2656,TicketsBreak!A:A,TicketsBreak!F:F,"",0),0)</f>
        <v>12:30 - 13:00</v>
      </c>
      <c r="J2656" s="316" t="str">
        <f t="array" ref="J2656">XLOOKUP(B2656,Roster!L:L,Roster!P:P,XLOOKUP(D2656,TicketsBreak!A:A,TicketsBreak!G:G,"",0),0)</f>
        <v>15:00 - 15:15</v>
      </c>
      <c r="K2656" s="310">
        <f t="shared" si="4"/>
        <v>46134</v>
      </c>
      <c r="L2656" s="317">
        <f t="array" ref="L2656">(XLOOKUP(D2656,Roster!F:F,Roster!D:D,"",0))</f>
        <v>36</v>
      </c>
      <c r="M2656" s="317" t="str">
        <f t="array" ref="M2656">XLOOKUP(D2656,Roster!F:F,Roster!E:E)</f>
        <v>Voice</v>
      </c>
      <c r="N2656" s="317" t="str">
        <f t="shared" ref="N2656:P2656" si="2694">LEFT(H2656,5)</f>
        <v>09:45</v>
      </c>
      <c r="O2656" s="317" t="str">
        <f t="shared" si="2694"/>
        <v>12:30</v>
      </c>
      <c r="P2656" s="317" t="str">
        <f t="shared" si="2694"/>
        <v>15:00</v>
      </c>
      <c r="Q2656" s="318">
        <f t="shared" si="2649"/>
        <v>46134.40625</v>
      </c>
      <c r="R2656" s="318">
        <f t="shared" si="2650"/>
        <v>46134.52083</v>
      </c>
      <c r="S2656" s="318">
        <f t="shared" si="8"/>
        <v>46134.625</v>
      </c>
    </row>
    <row r="2657">
      <c r="A2657" s="14" t="str">
        <f t="shared" si="1"/>
        <v>46134</v>
      </c>
      <c r="B2657" s="185" t="str">
        <f t="array" ref="B2657">IF(F2657="VL","",IF(F2657="Free","Free",XLOOKUP(D2657,Roster!T:T,Roster!S:S,"",0)))</f>
        <v/>
      </c>
      <c r="C2657" s="313">
        <v>46134.0</v>
      </c>
      <c r="D2657" s="314"/>
      <c r="E2657" s="307" t="str">
        <f t="array" ref="E2657">(XLOOKUP(D2657,Roster!F:F,Roster!B:B,"",0))</f>
        <v/>
      </c>
      <c r="F2657" s="315" t="str">
        <f t="array" ref="F2657">IF(B2657=100,"Free",TEXT(XLOOKUP($D2657,OperationVoice!$A:$A,OperationVoice!AB:AB,XLOOKUP($D2657,OperationTickets!$A:$A,OperationTickets!AB:AB,"",0)),"hh:mm"))</f>
        <v/>
      </c>
      <c r="G2657" s="309" t="str">
        <f t="shared" si="3"/>
        <v/>
      </c>
      <c r="H2657" s="316" t="str">
        <f t="array" ref="H2657">XLOOKUP(B2657,Roster!L:L,Roster!N:N,XLOOKUP(D2657,TicketsBreak!A:A,TicketsBreak!E:E,"",0),0)</f>
        <v/>
      </c>
      <c r="I2657" s="316" t="str">
        <f t="array" ref="I2657">XLOOKUP(B2657,Roster!L:L,Roster!O:O,XLOOKUP(D2657,TicketsBreak!A:A,TicketsBreak!F:F,"",0),0)</f>
        <v/>
      </c>
      <c r="J2657" s="316" t="str">
        <f t="array" ref="J2657">XLOOKUP(B2657,Roster!L:L,Roster!P:P,XLOOKUP(D2657,TicketsBreak!A:A,TicketsBreak!G:G,"",0),0)</f>
        <v/>
      </c>
      <c r="K2657" s="310">
        <f t="shared" si="4"/>
        <v>46134</v>
      </c>
      <c r="L2657" s="317" t="str">
        <f t="array" ref="L2657">(XLOOKUP(D2657,Roster!F:F,Roster!D:D,"",0))</f>
        <v/>
      </c>
      <c r="M2657" s="317" t="str">
        <f t="array" ref="M2657">XLOOKUP(D2657,Roster!F:F,Roster!E:E)</f>
        <v>#N/A</v>
      </c>
      <c r="N2657" s="317" t="str">
        <f t="shared" ref="N2657:P2657" si="2695">LEFT(H2657,5)</f>
        <v/>
      </c>
      <c r="O2657" s="317" t="str">
        <f t="shared" si="2695"/>
        <v/>
      </c>
      <c r="P2657" s="317" t="str">
        <f t="shared" si="2695"/>
        <v/>
      </c>
      <c r="Q2657" s="318" t="str">
        <f t="shared" si="2649"/>
        <v/>
      </c>
      <c r="R2657" s="318" t="str">
        <f t="shared" si="2650"/>
        <v/>
      </c>
      <c r="S2657" s="318" t="str">
        <f t="shared" si="8"/>
        <v/>
      </c>
    </row>
    <row r="2658">
      <c r="A2658" s="14" t="str">
        <f t="shared" si="1"/>
        <v>46134</v>
      </c>
      <c r="B2658" s="185" t="str">
        <f t="array" ref="B2658">IF(F2658="VL","",IF(F2658="Free","Free",XLOOKUP(D2658,Roster!T:T,Roster!S:S,"",0)))</f>
        <v/>
      </c>
      <c r="C2658" s="313">
        <v>46134.0</v>
      </c>
      <c r="D2658" s="314"/>
      <c r="E2658" s="307" t="str">
        <f t="array" ref="E2658">(XLOOKUP(D2658,Roster!F:F,Roster!B:B,"",0))</f>
        <v/>
      </c>
      <c r="F2658" s="315" t="str">
        <f t="array" ref="F2658">IF(B2658=100,"Free",TEXT(XLOOKUP($D2658,OperationVoice!$A:$A,OperationVoice!AB:AB,XLOOKUP($D2658,OperationTickets!$A:$A,OperationTickets!AB:AB,"",0)),"hh:mm"))</f>
        <v/>
      </c>
      <c r="G2658" s="309" t="str">
        <f t="shared" si="3"/>
        <v/>
      </c>
      <c r="H2658" s="316" t="str">
        <f t="array" ref="H2658">XLOOKUP(B2658,Roster!L:L,Roster!N:N,XLOOKUP(D2658,TicketsBreak!A:A,TicketsBreak!E:E,"",0),0)</f>
        <v/>
      </c>
      <c r="I2658" s="316" t="str">
        <f t="array" ref="I2658">XLOOKUP(B2658,Roster!L:L,Roster!O:O,XLOOKUP(D2658,TicketsBreak!A:A,TicketsBreak!F:F,"",0),0)</f>
        <v/>
      </c>
      <c r="J2658" s="316" t="str">
        <f t="array" ref="J2658">XLOOKUP(B2658,Roster!L:L,Roster!P:P,XLOOKUP(D2658,TicketsBreak!A:A,TicketsBreak!G:G,"",0),0)</f>
        <v/>
      </c>
      <c r="K2658" s="310">
        <f t="shared" si="4"/>
        <v>46134</v>
      </c>
      <c r="L2658" s="317" t="str">
        <f t="array" ref="L2658">(XLOOKUP(D2658,Roster!F:F,Roster!D:D,"",0))</f>
        <v/>
      </c>
      <c r="M2658" s="317" t="str">
        <f t="array" ref="M2658">XLOOKUP(D2658,Roster!F:F,Roster!E:E)</f>
        <v>#N/A</v>
      </c>
      <c r="N2658" s="317" t="str">
        <f t="shared" ref="N2658:P2658" si="2696">LEFT(H2658,5)</f>
        <v/>
      </c>
      <c r="O2658" s="317" t="str">
        <f t="shared" si="2696"/>
        <v/>
      </c>
      <c r="P2658" s="317" t="str">
        <f t="shared" si="2696"/>
        <v/>
      </c>
      <c r="Q2658" s="318" t="str">
        <f t="shared" si="2649"/>
        <v/>
      </c>
      <c r="R2658" s="318" t="str">
        <f t="shared" si="2650"/>
        <v/>
      </c>
      <c r="S2658" s="318" t="str">
        <f t="shared" si="8"/>
        <v/>
      </c>
    </row>
    <row r="2659">
      <c r="A2659" s="14" t="str">
        <f t="shared" si="1"/>
        <v>46134</v>
      </c>
      <c r="B2659" s="185" t="str">
        <f t="array" ref="B2659">IF(F2659="VL","",IF(F2659="Free","Free",XLOOKUP(D2659,Roster!T:T,Roster!S:S,"",0)))</f>
        <v/>
      </c>
      <c r="C2659" s="313">
        <v>46134.0</v>
      </c>
      <c r="D2659" s="314"/>
      <c r="E2659" s="307" t="str">
        <f t="array" ref="E2659">(XLOOKUP(D2659,Roster!F:F,Roster!B:B,"",0))</f>
        <v/>
      </c>
      <c r="F2659" s="315" t="str">
        <f t="array" ref="F2659">IF(B2659=100,"Free",TEXT(XLOOKUP($D2659,OperationVoice!$A:$A,OperationVoice!AB:AB,XLOOKUP($D2659,OperationTickets!$A:$A,OperationTickets!AB:AB,"",0)),"hh:mm"))</f>
        <v/>
      </c>
      <c r="G2659" s="309" t="str">
        <f t="shared" si="3"/>
        <v/>
      </c>
      <c r="H2659" s="316" t="str">
        <f t="array" ref="H2659">XLOOKUP(B2659,Roster!L:L,Roster!N:N,XLOOKUP(D2659,TicketsBreak!A:A,TicketsBreak!E:E,"",0),0)</f>
        <v/>
      </c>
      <c r="I2659" s="316" t="str">
        <f t="array" ref="I2659">XLOOKUP(B2659,Roster!L:L,Roster!O:O,XLOOKUP(D2659,TicketsBreak!A:A,TicketsBreak!F:F,"",0),0)</f>
        <v/>
      </c>
      <c r="J2659" s="316" t="str">
        <f t="array" ref="J2659">XLOOKUP(B2659,Roster!L:L,Roster!P:P,XLOOKUP(D2659,TicketsBreak!A:A,TicketsBreak!G:G,"",0),0)</f>
        <v/>
      </c>
      <c r="K2659" s="310">
        <f t="shared" si="4"/>
        <v>46134</v>
      </c>
      <c r="L2659" s="317" t="str">
        <f t="array" ref="L2659">(XLOOKUP(D2659,Roster!F:F,Roster!D:D,"",0))</f>
        <v/>
      </c>
      <c r="M2659" s="317" t="str">
        <f t="array" ref="M2659">XLOOKUP(D2659,Roster!F:F,Roster!E:E)</f>
        <v>#N/A</v>
      </c>
      <c r="N2659" s="317" t="str">
        <f t="shared" ref="N2659:P2659" si="2697">LEFT(H2659,5)</f>
        <v/>
      </c>
      <c r="O2659" s="317" t="str">
        <f t="shared" si="2697"/>
        <v/>
      </c>
      <c r="P2659" s="317" t="str">
        <f t="shared" si="2697"/>
        <v/>
      </c>
      <c r="Q2659" s="318" t="str">
        <f t="shared" si="2649"/>
        <v/>
      </c>
      <c r="R2659" s="318" t="str">
        <f t="shared" si="2650"/>
        <v/>
      </c>
      <c r="S2659" s="318" t="str">
        <f t="shared" si="8"/>
        <v/>
      </c>
    </row>
    <row r="2660">
      <c r="A2660" s="14" t="str">
        <f t="shared" si="1"/>
        <v>46134</v>
      </c>
      <c r="B2660" s="185" t="str">
        <f t="array" ref="B2660">IF(F2660="VL","",IF(F2660="Free","Free",XLOOKUP(D2660,Roster!T:T,Roster!S:S,"",0)))</f>
        <v/>
      </c>
      <c r="C2660" s="313">
        <v>46134.0</v>
      </c>
      <c r="D2660" s="314"/>
      <c r="E2660" s="307" t="str">
        <f t="array" ref="E2660">(XLOOKUP(D2660,Roster!F:F,Roster!B:B,"",0))</f>
        <v/>
      </c>
      <c r="F2660" s="315" t="str">
        <f t="array" ref="F2660">IF(B2660=100,"Free",TEXT(XLOOKUP($D2660,OperationVoice!$A:$A,OperationVoice!AB:AB,XLOOKUP($D2660,OperationTickets!$A:$A,OperationTickets!AB:AB,"",0)),"hh:mm"))</f>
        <v/>
      </c>
      <c r="G2660" s="309" t="str">
        <f t="shared" si="3"/>
        <v/>
      </c>
      <c r="H2660" s="316" t="str">
        <f t="array" ref="H2660">XLOOKUP(B2660,Roster!L:L,Roster!N:N,XLOOKUP(D2660,TicketsBreak!A:A,TicketsBreak!E:E,"",0),0)</f>
        <v/>
      </c>
      <c r="I2660" s="316" t="str">
        <f t="array" ref="I2660">XLOOKUP(B2660,Roster!L:L,Roster!O:O,XLOOKUP(D2660,TicketsBreak!A:A,TicketsBreak!F:F,"",0),0)</f>
        <v/>
      </c>
      <c r="J2660" s="316" t="str">
        <f t="array" ref="J2660">XLOOKUP(B2660,Roster!L:L,Roster!P:P,XLOOKUP(D2660,TicketsBreak!A:A,TicketsBreak!G:G,"",0),0)</f>
        <v/>
      </c>
      <c r="K2660" s="310">
        <f t="shared" si="4"/>
        <v>46134</v>
      </c>
      <c r="L2660" s="317" t="str">
        <f t="array" ref="L2660">(XLOOKUP(D2660,Roster!F:F,Roster!D:D,"",0))</f>
        <v/>
      </c>
      <c r="M2660" s="317" t="str">
        <f t="array" ref="M2660">XLOOKUP(D2660,Roster!F:F,Roster!E:E)</f>
        <v>#N/A</v>
      </c>
      <c r="N2660" s="317" t="str">
        <f t="shared" ref="N2660:P2660" si="2698">LEFT(H2660,5)</f>
        <v/>
      </c>
      <c r="O2660" s="317" t="str">
        <f t="shared" si="2698"/>
        <v/>
      </c>
      <c r="P2660" s="317" t="str">
        <f t="shared" si="2698"/>
        <v/>
      </c>
      <c r="Q2660" s="318" t="str">
        <f t="shared" si="2649"/>
        <v/>
      </c>
      <c r="R2660" s="318" t="str">
        <f t="shared" si="2650"/>
        <v/>
      </c>
      <c r="S2660" s="318" t="str">
        <f t="shared" si="8"/>
        <v/>
      </c>
    </row>
    <row r="2661">
      <c r="A2661" s="14" t="str">
        <f t="shared" si="1"/>
        <v>46134</v>
      </c>
      <c r="B2661" s="185" t="str">
        <f t="array" ref="B2661">IF(F2661="VL","",IF(F2661="Free","Free",XLOOKUP(D2661,Roster!T:T,Roster!S:S,"",0)))</f>
        <v/>
      </c>
      <c r="C2661" s="313">
        <v>46134.0</v>
      </c>
      <c r="D2661" s="314"/>
      <c r="E2661" s="307" t="str">
        <f t="array" ref="E2661">(XLOOKUP(D2661,Roster!F:F,Roster!B:B,"",0))</f>
        <v/>
      </c>
      <c r="F2661" s="315" t="str">
        <f t="array" ref="F2661">IF(B2661=100,"Free",TEXT(XLOOKUP($D2661,OperationVoice!$A:$A,OperationVoice!AB:AB,XLOOKUP($D2661,OperationTickets!$A:$A,OperationTickets!AB:AB,"",0)),"hh:mm"))</f>
        <v/>
      </c>
      <c r="G2661" s="309" t="str">
        <f t="shared" si="3"/>
        <v/>
      </c>
      <c r="H2661" s="316" t="str">
        <f t="array" ref="H2661">XLOOKUP(B2661,Roster!L:L,Roster!N:N,XLOOKUP(D2661,TicketsBreak!A:A,TicketsBreak!E:E,"",0),0)</f>
        <v/>
      </c>
      <c r="I2661" s="316" t="str">
        <f t="array" ref="I2661">XLOOKUP(B2661,Roster!L:L,Roster!O:O,XLOOKUP(D2661,TicketsBreak!A:A,TicketsBreak!F:F,"",0),0)</f>
        <v/>
      </c>
      <c r="J2661" s="316" t="str">
        <f t="array" ref="J2661">XLOOKUP(B2661,Roster!L:L,Roster!P:P,XLOOKUP(D2661,TicketsBreak!A:A,TicketsBreak!G:G,"",0),0)</f>
        <v/>
      </c>
      <c r="K2661" s="310">
        <f t="shared" si="4"/>
        <v>46134</v>
      </c>
      <c r="L2661" s="317" t="str">
        <f t="array" ref="L2661">(XLOOKUP(D2661,Roster!F:F,Roster!D:D,"",0))</f>
        <v/>
      </c>
      <c r="M2661" s="317" t="str">
        <f t="array" ref="M2661">XLOOKUP(D2661,Roster!F:F,Roster!E:E)</f>
        <v>#N/A</v>
      </c>
      <c r="N2661" s="317" t="str">
        <f t="shared" ref="N2661:P2661" si="2699">LEFT(H2661,5)</f>
        <v/>
      </c>
      <c r="O2661" s="317" t="str">
        <f t="shared" si="2699"/>
        <v/>
      </c>
      <c r="P2661" s="317" t="str">
        <f t="shared" si="2699"/>
        <v/>
      </c>
      <c r="Q2661" s="318" t="str">
        <f t="shared" si="2649"/>
        <v/>
      </c>
      <c r="R2661" s="318" t="str">
        <f t="shared" si="2650"/>
        <v/>
      </c>
      <c r="S2661" s="318" t="str">
        <f t="shared" si="8"/>
        <v/>
      </c>
    </row>
    <row r="2662">
      <c r="A2662" s="14" t="str">
        <f t="shared" si="1"/>
        <v>C81846135</v>
      </c>
      <c r="B2662" s="185">
        <f t="array" ref="B2662">IF(F2662="VL","",IF(F2662="Free","Free",XLOOKUP(D2662,Roster!T:T,Roster!S:S,"",0)))</f>
        <v>123</v>
      </c>
      <c r="C2662" s="313">
        <v>46135.0</v>
      </c>
      <c r="D2662" s="314" t="s">
        <v>9</v>
      </c>
      <c r="E2662" s="307" t="str">
        <f t="array" ref="E2662">(XLOOKUP(D2662,Roster!F:F,Roster!B:B,"",0))</f>
        <v>Adriana Moncaleano</v>
      </c>
      <c r="F2662" s="315" t="str">
        <f t="array" ref="F2662">IF(B2662=100,"Free",TEXT(XLOOKUP($D2662,OperationVoice!$A:$A,OperationVoice!AC:AC,XLOOKUP($D2662,OperationTickets!$A:$A,OperationTickets!AC:AC,"",0)),"hh:mm"))</f>
        <v>08:00</v>
      </c>
      <c r="G2662" s="309">
        <f t="shared" si="3"/>
        <v>0.7083333333</v>
      </c>
      <c r="H2662" s="316" t="str">
        <f t="array" ref="H2662">XLOOKUP(B2662,Roster!L:L,Roster!N:N,XLOOKUP(D2662,TicketsBreak!A:A,TicketsBreak!E:E,"",0),0)</f>
        <v>09:45 - 10:00 </v>
      </c>
      <c r="I2662" s="316" t="str">
        <f t="array" ref="I2662">XLOOKUP(B2662,Roster!L:L,Roster!O:O,XLOOKUP(D2662,TicketsBreak!A:A,TicketsBreak!F:F,"",0),0)</f>
        <v>12:30 - 13:00</v>
      </c>
      <c r="J2662" s="316" t="str">
        <f t="array" ref="J2662">XLOOKUP(B2662,Roster!L:L,Roster!P:P,XLOOKUP(D2662,TicketsBreak!A:A,TicketsBreak!G:G,"",0),0)</f>
        <v>15:00 - 15:15</v>
      </c>
      <c r="K2662" s="310">
        <f t="shared" si="4"/>
        <v>46135</v>
      </c>
      <c r="L2662" s="317">
        <f t="array" ref="L2662">(XLOOKUP(D2662,Roster!F:F,Roster!D:D,"",0))</f>
        <v>23</v>
      </c>
      <c r="M2662" s="317" t="str">
        <f t="array" ref="M2662">XLOOKUP(D2662,Roster!F:F,Roster!E:E)</f>
        <v>Voice</v>
      </c>
      <c r="N2662" s="317" t="str">
        <f t="shared" ref="N2662:P2662" si="2700">LEFT(H2662,5)</f>
        <v>09:45</v>
      </c>
      <c r="O2662" s="317" t="str">
        <f t="shared" si="2700"/>
        <v>12:30</v>
      </c>
      <c r="P2662" s="317" t="str">
        <f t="shared" si="2700"/>
        <v>15:00</v>
      </c>
      <c r="Q2662" s="318">
        <f t="shared" si="2649"/>
        <v>46135.40625</v>
      </c>
      <c r="R2662" s="318">
        <f t="shared" si="2650"/>
        <v>46135.52083</v>
      </c>
      <c r="S2662" s="318">
        <f t="shared" si="8"/>
        <v>46135.625</v>
      </c>
    </row>
    <row r="2663">
      <c r="A2663" s="14" t="str">
        <f t="shared" si="1"/>
        <v>C110746135</v>
      </c>
      <c r="B2663" s="185">
        <f t="array" ref="B2663">IF(F2663="VL","",IF(F2663="Free","Free",XLOOKUP(D2663,Roster!T:T,Roster!S:S,"",0)))</f>
        <v>153</v>
      </c>
      <c r="C2663" s="313">
        <v>46135.0</v>
      </c>
      <c r="D2663" s="314" t="s">
        <v>10</v>
      </c>
      <c r="E2663" s="307" t="str">
        <f t="array" ref="E2663">(XLOOKUP(D2663,Roster!F:F,Roster!B:B,"",0))</f>
        <v>Alejandro Malave</v>
      </c>
      <c r="F2663" s="315" t="str">
        <f t="array" ref="F2663">IF(B2663=100,"Free",TEXT(XLOOKUP($D2663,OperationVoice!$A:$A,OperationVoice!AC:AC,XLOOKUP($D2663,OperationTickets!$A:$A,OperationTickets!AC:AC,"",0)),"hh:mm"))</f>
        <v>11:00</v>
      </c>
      <c r="G2663" s="309">
        <f t="shared" si="3"/>
        <v>0.8333333333</v>
      </c>
      <c r="H2663" s="316" t="str">
        <f t="array" ref="H2663">XLOOKUP(B2663,Roster!L:L,Roster!N:N,XLOOKUP(D2663,TicketsBreak!A:A,TicketsBreak!E:E,"",0),0)</f>
        <v>12:45 - 13:00</v>
      </c>
      <c r="I2663" s="316" t="str">
        <f t="array" ref="I2663">XLOOKUP(B2663,Roster!L:L,Roster!O:O,XLOOKUP(D2663,TicketsBreak!A:A,TicketsBreak!F:F,"",0),0)</f>
        <v>15:00 - 15:30</v>
      </c>
      <c r="J2663" s="316" t="str">
        <f t="array" ref="J2663">XLOOKUP(B2663,Roster!L:L,Roster!P:P,XLOOKUP(D2663,TicketsBreak!A:A,TicketsBreak!G:G,"",0),0)</f>
        <v>17:45 - 18:00</v>
      </c>
      <c r="K2663" s="310">
        <f t="shared" si="4"/>
        <v>46135</v>
      </c>
      <c r="L2663" s="317">
        <f t="array" ref="L2663">(XLOOKUP(D2663,Roster!F:F,Roster!D:D,"",0))</f>
        <v>36</v>
      </c>
      <c r="M2663" s="317" t="str">
        <f t="array" ref="M2663">XLOOKUP(D2663,Roster!F:F,Roster!E:E)</f>
        <v>Voice</v>
      </c>
      <c r="N2663" s="317" t="str">
        <f t="shared" ref="N2663:P2663" si="2701">LEFT(H2663,5)</f>
        <v>12:45</v>
      </c>
      <c r="O2663" s="317" t="str">
        <f t="shared" si="2701"/>
        <v>15:00</v>
      </c>
      <c r="P2663" s="317" t="str">
        <f t="shared" si="2701"/>
        <v>17:45</v>
      </c>
      <c r="Q2663" s="318">
        <f t="shared" si="2649"/>
        <v>46135.53125</v>
      </c>
      <c r="R2663" s="318">
        <f t="shared" si="2650"/>
        <v>46135.625</v>
      </c>
      <c r="S2663" s="318">
        <f t="shared" si="8"/>
        <v>46135.73958</v>
      </c>
    </row>
    <row r="2664">
      <c r="A2664" s="14" t="str">
        <f t="shared" si="1"/>
        <v>C69946135</v>
      </c>
      <c r="B2664" s="185" t="str">
        <f t="array" ref="B2664">IF(F2664="VL","",IF(F2664="Free","Free",XLOOKUP(D2664,Roster!T:T,Roster!S:S,"",0)))</f>
        <v/>
      </c>
      <c r="C2664" s="313">
        <v>46135.0</v>
      </c>
      <c r="D2664" s="314" t="s">
        <v>137</v>
      </c>
      <c r="E2664" s="307" t="str">
        <f t="array" ref="E2664">(XLOOKUP(D2664,Roster!F:F,Roster!B:B,"",0))</f>
        <v>Alexa Arenas</v>
      </c>
      <c r="F2664" s="315" t="str">
        <f t="array" ref="F2664">IF(B2664=100,"Free",TEXT(XLOOKUP($D2664,OperationVoice!$A:$A,OperationVoice!AC:AC,XLOOKUP($D2664,OperationTickets!$A:$A,OperationTickets!AC:AC,"",0)),"hh:mm"))</f>
        <v>08:00</v>
      </c>
      <c r="G2664" s="309">
        <f t="shared" si="3"/>
        <v>0.7083333333</v>
      </c>
      <c r="H2664" s="316">
        <f t="array" ref="H2664">XLOOKUP(B2664,Roster!L:L,Roster!N:N,XLOOKUP(D2664,TicketsBreak!A:A,TicketsBreak!E:E,"",0),0)</f>
        <v>0.40625</v>
      </c>
      <c r="I2664" s="316">
        <f t="array" ref="I2664">XLOOKUP(B2664,Roster!L:L,Roster!O:O,XLOOKUP(D2664,TicketsBreak!A:A,TicketsBreak!F:F,"",0),0)</f>
        <v>0.5</v>
      </c>
      <c r="J2664" s="316">
        <f t="array" ref="J2664">XLOOKUP(B2664,Roster!L:L,Roster!P:P,XLOOKUP(D2664,TicketsBreak!A:A,TicketsBreak!G:G,"",0),0)</f>
        <v>0.65625</v>
      </c>
      <c r="K2664" s="310">
        <f t="shared" si="4"/>
        <v>46135</v>
      </c>
      <c r="L2664" s="317">
        <f t="array" ref="L2664">(XLOOKUP(D2664,Roster!F:F,Roster!D:D,"",0))</f>
        <v>5</v>
      </c>
      <c r="M2664" s="317" t="str">
        <f t="array" ref="M2664">XLOOKUP(D2664,Roster!F:F,Roster!E:E)</f>
        <v>Tickets</v>
      </c>
      <c r="N2664" s="317" t="str">
        <f t="shared" ref="N2664:P2664" si="2702">LEFT(H2664,5)</f>
        <v>09:45</v>
      </c>
      <c r="O2664" s="317" t="str">
        <f t="shared" si="2702"/>
        <v>12:00</v>
      </c>
      <c r="P2664" s="317" t="str">
        <f t="shared" si="2702"/>
        <v>15:45</v>
      </c>
      <c r="Q2664" s="318">
        <f t="shared" si="2649"/>
        <v>46135.40625</v>
      </c>
      <c r="R2664" s="318">
        <f t="shared" si="2650"/>
        <v>46135.5</v>
      </c>
      <c r="S2664" s="318">
        <f t="shared" si="8"/>
        <v>46135.65625</v>
      </c>
    </row>
    <row r="2665">
      <c r="A2665" s="14" t="str">
        <f t="shared" si="1"/>
        <v>C157046135</v>
      </c>
      <c r="B2665" s="185">
        <f t="array" ref="B2665">IF(F2665="VL","",IF(F2665="Free","Free",XLOOKUP(D2665,Roster!T:T,Roster!S:S,"",0)))</f>
        <v>123</v>
      </c>
      <c r="C2665" s="313">
        <v>46135.0</v>
      </c>
      <c r="D2665" s="314" t="s">
        <v>11</v>
      </c>
      <c r="E2665" s="307" t="str">
        <f t="array" ref="E2665">(XLOOKUP(D2665,Roster!F:F,Roster!B:B,"",0))</f>
        <v>Alexander Bartoli</v>
      </c>
      <c r="F2665" s="315" t="str">
        <f t="array" ref="F2665">IF(B2665=100,"Free",TEXT(XLOOKUP($D2665,OperationVoice!$A:$A,OperationVoice!AC:AC,XLOOKUP($D2665,OperationTickets!$A:$A,OperationTickets!AC:AC,"",0)),"hh:mm"))</f>
        <v>08:00</v>
      </c>
      <c r="G2665" s="309">
        <f t="shared" si="3"/>
        <v>0.7083333333</v>
      </c>
      <c r="H2665" s="316" t="str">
        <f t="array" ref="H2665">XLOOKUP(B2665,Roster!L:L,Roster!N:N,XLOOKUP(D2665,TicketsBreak!A:A,TicketsBreak!E:E,"",0),0)</f>
        <v>09:45 - 10:00 </v>
      </c>
      <c r="I2665" s="316" t="str">
        <f t="array" ref="I2665">XLOOKUP(B2665,Roster!L:L,Roster!O:O,XLOOKUP(D2665,TicketsBreak!A:A,TicketsBreak!F:F,"",0),0)</f>
        <v>12:30 - 13:00</v>
      </c>
      <c r="J2665" s="316" t="str">
        <f t="array" ref="J2665">XLOOKUP(B2665,Roster!L:L,Roster!P:P,XLOOKUP(D2665,TicketsBreak!A:A,TicketsBreak!G:G,"",0),0)</f>
        <v>15:00 - 15:15</v>
      </c>
      <c r="K2665" s="310">
        <f t="shared" si="4"/>
        <v>46135</v>
      </c>
      <c r="L2665" s="317">
        <f t="array" ref="L2665">(XLOOKUP(D2665,Roster!F:F,Roster!D:D,"",0))</f>
        <v>38</v>
      </c>
      <c r="M2665" s="317" t="str">
        <f t="array" ref="M2665">XLOOKUP(D2665,Roster!F:F,Roster!E:E)</f>
        <v>Voice</v>
      </c>
      <c r="N2665" s="317" t="str">
        <f t="shared" ref="N2665:P2665" si="2703">LEFT(H2665,5)</f>
        <v>09:45</v>
      </c>
      <c r="O2665" s="317" t="str">
        <f t="shared" si="2703"/>
        <v>12:30</v>
      </c>
      <c r="P2665" s="317" t="str">
        <f t="shared" si="2703"/>
        <v>15:00</v>
      </c>
      <c r="Q2665" s="318">
        <f t="shared" si="2649"/>
        <v>46135.40625</v>
      </c>
      <c r="R2665" s="318">
        <f t="shared" si="2650"/>
        <v>46135.52083</v>
      </c>
      <c r="S2665" s="318">
        <f t="shared" si="8"/>
        <v>46135.625</v>
      </c>
    </row>
    <row r="2666">
      <c r="A2666" s="14" t="str">
        <f t="shared" si="1"/>
        <v>C93546135</v>
      </c>
      <c r="B2666" s="185" t="str">
        <f t="array" ref="B2666">IF(F2666="VL","",IF(F2666="Free","Free",XLOOKUP(D2666,Roster!T:T,Roster!S:S,"",0)))</f>
        <v/>
      </c>
      <c r="C2666" s="313">
        <v>46135.0</v>
      </c>
      <c r="D2666" s="314" t="s">
        <v>153</v>
      </c>
      <c r="E2666" s="307" t="str">
        <f t="array" ref="E2666">(XLOOKUP(D2666,Roster!F:F,Roster!B:B,"",0))</f>
        <v>Alexis Arias</v>
      </c>
      <c r="F2666" s="315" t="str">
        <f t="array" ref="F2666">IF(B2666=100,"Free",TEXT(XLOOKUP($D2666,OperationVoice!$A:$A,OperationVoice!AC:AC,XLOOKUP($D2666,OperationTickets!$A:$A,OperationTickets!AC:AC,"",0)),"hh:mm"))</f>
        <v>07:30</v>
      </c>
      <c r="G2666" s="309">
        <f t="shared" si="3"/>
        <v>0.6875</v>
      </c>
      <c r="H2666" s="316">
        <f t="array" ref="H2666">XLOOKUP(B2666,Roster!L:L,Roster!N:N,XLOOKUP(D2666,TicketsBreak!A:A,TicketsBreak!E:E,"",0),0)</f>
        <v>0.4270833333</v>
      </c>
      <c r="I2666" s="316">
        <f t="array" ref="I2666">XLOOKUP(B2666,Roster!L:L,Roster!O:O,XLOOKUP(D2666,TicketsBreak!A:A,TicketsBreak!F:F,"",0),0)</f>
        <v>0.53125</v>
      </c>
      <c r="J2666" s="316">
        <f t="array" ref="J2666">XLOOKUP(B2666,Roster!L:L,Roster!P:P,XLOOKUP(D2666,TicketsBreak!A:A,TicketsBreak!G:G,"",0),0)</f>
        <v>0.6458333333</v>
      </c>
      <c r="K2666" s="310">
        <f t="shared" si="4"/>
        <v>46135</v>
      </c>
      <c r="L2666" s="317">
        <f t="array" ref="L2666">(XLOOKUP(D2666,Roster!F:F,Roster!D:D,"",0))</f>
        <v>12</v>
      </c>
      <c r="M2666" s="317" t="str">
        <f t="array" ref="M2666">XLOOKUP(D2666,Roster!F:F,Roster!E:E)</f>
        <v>Tickets</v>
      </c>
      <c r="N2666" s="317" t="str">
        <f t="shared" ref="N2666:P2666" si="2704">LEFT(H2666,5)</f>
        <v>10:15</v>
      </c>
      <c r="O2666" s="317" t="str">
        <f t="shared" si="2704"/>
        <v>12:45</v>
      </c>
      <c r="P2666" s="317" t="str">
        <f t="shared" si="2704"/>
        <v>15:30</v>
      </c>
      <c r="Q2666" s="318">
        <f t="shared" si="2649"/>
        <v>46135.42708</v>
      </c>
      <c r="R2666" s="318">
        <f t="shared" si="2650"/>
        <v>46135.53125</v>
      </c>
      <c r="S2666" s="318">
        <f t="shared" si="8"/>
        <v>46135.64583</v>
      </c>
    </row>
    <row r="2667">
      <c r="A2667" s="14" t="str">
        <f t="shared" si="1"/>
        <v>C72746135</v>
      </c>
      <c r="B2667" s="185" t="str">
        <f t="array" ref="B2667">IF(F2667="VL","",IF(F2667="Free","Free",XLOOKUP(D2667,Roster!T:T,Roster!S:S,"",0)))</f>
        <v>Free</v>
      </c>
      <c r="C2667" s="313">
        <v>46135.0</v>
      </c>
      <c r="D2667" s="314" t="s">
        <v>154</v>
      </c>
      <c r="E2667" s="307" t="str">
        <f t="array" ref="E2667">(XLOOKUP(D2667,Roster!F:F,Roster!B:B,"",0))</f>
        <v>Ana Moreno</v>
      </c>
      <c r="F2667" s="315" t="str">
        <f t="array" ref="F2667">IF(B2667=100,"Free",TEXT(XLOOKUP($D2667,OperationVoice!$A:$A,OperationVoice!AC:AC,XLOOKUP($D2667,OperationTickets!$A:$A,OperationTickets!AC:AC,"",0)),"hh:mm"))</f>
        <v>Free</v>
      </c>
      <c r="G2667" s="309" t="str">
        <f t="shared" si="3"/>
        <v>Free</v>
      </c>
      <c r="H2667" s="316">
        <f t="array" ref="H2667">XLOOKUP(B2667,Roster!L:L,Roster!N:N,XLOOKUP(D2667,TicketsBreak!A:A,TicketsBreak!E:E,"",0),0)</f>
        <v>0.4166666667</v>
      </c>
      <c r="I2667" s="316">
        <f t="array" ref="I2667">XLOOKUP(B2667,Roster!L:L,Roster!O:O,XLOOKUP(D2667,TicketsBreak!A:A,TicketsBreak!F:F,"",0),0)</f>
        <v>0.5208333333</v>
      </c>
      <c r="J2667" s="316">
        <f t="array" ref="J2667">XLOOKUP(B2667,Roster!L:L,Roster!P:P,XLOOKUP(D2667,TicketsBreak!A:A,TicketsBreak!G:G,"",0),0)</f>
        <v>0.65625</v>
      </c>
      <c r="K2667" s="310">
        <f t="shared" si="4"/>
        <v>46135</v>
      </c>
      <c r="L2667" s="317">
        <f t="array" ref="L2667">(XLOOKUP(D2667,Roster!F:F,Roster!D:D,"",0))</f>
        <v>7</v>
      </c>
      <c r="M2667" s="317" t="str">
        <f t="array" ref="M2667">XLOOKUP(D2667,Roster!F:F,Roster!E:E)</f>
        <v>Tickets</v>
      </c>
      <c r="N2667" s="317" t="str">
        <f t="shared" ref="N2667:P2667" si="2705">LEFT(H2667,5)</f>
        <v>10:00</v>
      </c>
      <c r="O2667" s="317" t="str">
        <f t="shared" si="2705"/>
        <v>12:30</v>
      </c>
      <c r="P2667" s="317" t="str">
        <f t="shared" si="2705"/>
        <v>15:45</v>
      </c>
      <c r="Q2667" s="318">
        <f t="shared" si="2649"/>
        <v>46135.41667</v>
      </c>
      <c r="R2667" s="318">
        <f t="shared" si="2650"/>
        <v>46135.52083</v>
      </c>
      <c r="S2667" s="318">
        <f t="shared" si="8"/>
        <v>46135.65625</v>
      </c>
    </row>
    <row r="2668">
      <c r="A2668" s="14" t="str">
        <f t="shared" si="1"/>
        <v>C157446135</v>
      </c>
      <c r="B2668" s="185">
        <f t="array" ref="B2668">IF(F2668="VL","",IF(F2668="Free","Free",XLOOKUP(D2668,Roster!T:T,Roster!S:S,"",0)))</f>
        <v>124</v>
      </c>
      <c r="C2668" s="313">
        <v>46135.0</v>
      </c>
      <c r="D2668" s="314" t="s">
        <v>12</v>
      </c>
      <c r="E2668" s="307" t="str">
        <f t="array" ref="E2668">(XLOOKUP(D2668,Roster!F:F,Roster!B:B,"",0))</f>
        <v>Ana Quintero</v>
      </c>
      <c r="F2668" s="315" t="str">
        <f t="array" ref="F2668">IF(B2668=100,"Free",TEXT(XLOOKUP($D2668,OperationVoice!$A:$A,OperationVoice!AC:AC,XLOOKUP($D2668,OperationTickets!$A:$A,OperationTickets!AC:AC,"",0)),"hh:mm"))</f>
        <v>08:00</v>
      </c>
      <c r="G2668" s="309">
        <f t="shared" si="3"/>
        <v>0.7083333333</v>
      </c>
      <c r="H2668" s="316" t="str">
        <f t="array" ref="H2668">XLOOKUP(B2668,Roster!L:L,Roster!N:N,XLOOKUP(D2668,TicketsBreak!A:A,TicketsBreak!E:E,"",0),0)</f>
        <v>10:00 - 10:15</v>
      </c>
      <c r="I2668" s="316" t="str">
        <f t="array" ref="I2668">XLOOKUP(B2668,Roster!L:L,Roster!O:O,XLOOKUP(D2668,TicketsBreak!A:A,TicketsBreak!F:F,"",0),0)</f>
        <v>13:00 - 13:30</v>
      </c>
      <c r="J2668" s="316" t="str">
        <f t="array" ref="J2668">XLOOKUP(B2668,Roster!L:L,Roster!P:P,XLOOKUP(D2668,TicketsBreak!A:A,TicketsBreak!G:G,"",0),0)</f>
        <v>15:30 - 15:45</v>
      </c>
      <c r="K2668" s="310">
        <f t="shared" si="4"/>
        <v>46135</v>
      </c>
      <c r="L2668" s="317">
        <f t="array" ref="L2668">(XLOOKUP(D2668,Roster!F:F,Roster!D:D,"",0))</f>
        <v>38</v>
      </c>
      <c r="M2668" s="317" t="str">
        <f t="array" ref="M2668">XLOOKUP(D2668,Roster!F:F,Roster!E:E)</f>
        <v>Voice</v>
      </c>
      <c r="N2668" s="317" t="str">
        <f t="shared" ref="N2668:P2668" si="2706">LEFT(H2668,5)</f>
        <v>10:00</v>
      </c>
      <c r="O2668" s="317" t="str">
        <f t="shared" si="2706"/>
        <v>13:00</v>
      </c>
      <c r="P2668" s="317" t="str">
        <f t="shared" si="2706"/>
        <v>15:30</v>
      </c>
      <c r="Q2668" s="318">
        <f t="shared" si="2649"/>
        <v>46135.41667</v>
      </c>
      <c r="R2668" s="318">
        <f t="shared" si="2650"/>
        <v>46135.54167</v>
      </c>
      <c r="S2668" s="318">
        <f t="shared" si="8"/>
        <v>46135.64583</v>
      </c>
    </row>
    <row r="2669">
      <c r="A2669" s="14" t="str">
        <f t="shared" si="1"/>
        <v>C46946135</v>
      </c>
      <c r="B2669" s="185" t="str">
        <f t="array" ref="B2669">IF(F2669="VL","",IF(F2669="Free","Free",XLOOKUP(D2669,Roster!T:T,Roster!S:S,"",0)))</f>
        <v/>
      </c>
      <c r="C2669" s="313">
        <v>46135.0</v>
      </c>
      <c r="D2669" s="314" t="s">
        <v>171</v>
      </c>
      <c r="E2669" s="307" t="str">
        <f t="array" ref="E2669">(XLOOKUP(D2669,Roster!F:F,Roster!B:B,"",0))</f>
        <v>Ana Ruiz</v>
      </c>
      <c r="F2669" s="315" t="str">
        <f t="array" ref="F2669">IF(B2669=100,"Free",TEXT(XLOOKUP($D2669,OperationVoice!$A:$A,OperationVoice!AC:AC,XLOOKUP($D2669,OperationTickets!$A:$A,OperationTickets!AC:AC,"",0)),"hh:mm"))</f>
        <v>08:00</v>
      </c>
      <c r="G2669" s="309">
        <f t="shared" si="3"/>
        <v>0.7083333333</v>
      </c>
      <c r="H2669" s="316">
        <f t="array" ref="H2669">XLOOKUP(B2669,Roster!L:L,Roster!N:N,XLOOKUP(D2669,TicketsBreak!A:A,TicketsBreak!E:E,"",0),0)</f>
        <v>0.3854166667</v>
      </c>
      <c r="I2669" s="316">
        <f t="array" ref="I2669">XLOOKUP(B2669,Roster!L:L,Roster!O:O,XLOOKUP(D2669,TicketsBreak!A:A,TicketsBreak!F:F,"",0),0)</f>
        <v>0.5</v>
      </c>
      <c r="J2669" s="316">
        <f t="array" ref="J2669">XLOOKUP(B2669,Roster!L:L,Roster!P:P,XLOOKUP(D2669,TicketsBreak!A:A,TicketsBreak!G:G,"",0),0)</f>
        <v>0.6041666667</v>
      </c>
      <c r="K2669" s="310">
        <f t="shared" si="4"/>
        <v>46135</v>
      </c>
      <c r="L2669" s="317">
        <f t="array" ref="L2669">(XLOOKUP(D2669,Roster!F:F,Roster!D:D,"",0))</f>
        <v>3</v>
      </c>
      <c r="M2669" s="317" t="str">
        <f t="array" ref="M2669">XLOOKUP(D2669,Roster!F:F,Roster!E:E)</f>
        <v>Tickets</v>
      </c>
      <c r="N2669" s="317" t="str">
        <f t="shared" ref="N2669:P2669" si="2707">LEFT(H2669,5)</f>
        <v>09:15</v>
      </c>
      <c r="O2669" s="317" t="str">
        <f t="shared" si="2707"/>
        <v>12:00</v>
      </c>
      <c r="P2669" s="317" t="str">
        <f t="shared" si="2707"/>
        <v>14:30</v>
      </c>
      <c r="Q2669" s="318">
        <f t="shared" si="2649"/>
        <v>46135.38542</v>
      </c>
      <c r="R2669" s="318">
        <f t="shared" si="2650"/>
        <v>46135.5</v>
      </c>
      <c r="S2669" s="318">
        <f t="shared" si="8"/>
        <v>46135.60417</v>
      </c>
    </row>
    <row r="2670">
      <c r="A2670" s="14" t="str">
        <f t="shared" si="1"/>
        <v>C155446135</v>
      </c>
      <c r="B2670" s="185">
        <f t="array" ref="B2670">IF(F2670="VL","",IF(F2670="Free","Free",XLOOKUP(D2670,Roster!T:T,Roster!S:S,"",0)))</f>
        <v>131</v>
      </c>
      <c r="C2670" s="313">
        <v>46135.0</v>
      </c>
      <c r="D2670" s="314" t="s">
        <v>13</v>
      </c>
      <c r="E2670" s="307" t="str">
        <f t="array" ref="E2670">(XLOOKUP(D2670,Roster!F:F,Roster!B:B,"",0))</f>
        <v>Andres Lopez</v>
      </c>
      <c r="F2670" s="315" t="str">
        <f t="array" ref="F2670">IF(B2670=100,"Free",TEXT(XLOOKUP($D2670,OperationVoice!$A:$A,OperationVoice!AC:AC,XLOOKUP($D2670,OperationTickets!$A:$A,OperationTickets!AC:AC,"",0)),"hh:mm"))</f>
        <v>09:00</v>
      </c>
      <c r="G2670" s="309">
        <f t="shared" si="3"/>
        <v>0.75</v>
      </c>
      <c r="H2670" s="316" t="str">
        <f t="array" ref="H2670">XLOOKUP(B2670,Roster!L:L,Roster!N:N,XLOOKUP(D2670,TicketsBreak!A:A,TicketsBreak!E:E,"",0),0)</f>
        <v>10:15 - 10:30</v>
      </c>
      <c r="I2670" s="316" t="str">
        <f t="array" ref="I2670">XLOOKUP(B2670,Roster!L:L,Roster!O:O,XLOOKUP(D2670,TicketsBreak!A:A,TicketsBreak!F:F,"",0),0)</f>
        <v>12:30 - 13:00</v>
      </c>
      <c r="J2670" s="316" t="str">
        <f t="array" ref="J2670">XLOOKUP(B2670,Roster!L:L,Roster!P:P,XLOOKUP(D2670,TicketsBreak!A:A,TicketsBreak!G:G,"",0),0)</f>
        <v>15:15 - 15:30</v>
      </c>
      <c r="K2670" s="310">
        <f t="shared" si="4"/>
        <v>46135</v>
      </c>
      <c r="L2670" s="317">
        <f t="array" ref="L2670">(XLOOKUP(D2670,Roster!F:F,Roster!D:D,"",0))</f>
        <v>37</v>
      </c>
      <c r="M2670" s="317" t="str">
        <f t="array" ref="M2670">XLOOKUP(D2670,Roster!F:F,Roster!E:E)</f>
        <v>Voice</v>
      </c>
      <c r="N2670" s="317" t="str">
        <f t="shared" ref="N2670:P2670" si="2708">LEFT(H2670,5)</f>
        <v>10:15</v>
      </c>
      <c r="O2670" s="317" t="str">
        <f t="shared" si="2708"/>
        <v>12:30</v>
      </c>
      <c r="P2670" s="317" t="str">
        <f t="shared" si="2708"/>
        <v>15:15</v>
      </c>
      <c r="Q2670" s="318">
        <f t="shared" si="2649"/>
        <v>46135.42708</v>
      </c>
      <c r="R2670" s="318">
        <f t="shared" si="2650"/>
        <v>46135.52083</v>
      </c>
      <c r="S2670" s="318">
        <f t="shared" si="8"/>
        <v>46135.63542</v>
      </c>
    </row>
    <row r="2671">
      <c r="A2671" s="14" t="str">
        <f t="shared" si="1"/>
        <v>C156746135</v>
      </c>
      <c r="B2671" s="185">
        <f t="array" ref="B2671">IF(F2671="VL","",IF(F2671="Free","Free",XLOOKUP(D2671,Roster!T:T,Roster!S:S,"",0)))</f>
        <v>125</v>
      </c>
      <c r="C2671" s="313">
        <v>46135.0</v>
      </c>
      <c r="D2671" s="314" t="s">
        <v>14</v>
      </c>
      <c r="E2671" s="307" t="str">
        <f t="array" ref="E2671">(XLOOKUP(D2671,Roster!F:F,Roster!B:B,"",0))</f>
        <v>Andres Salazar</v>
      </c>
      <c r="F2671" s="315" t="str">
        <f t="array" ref="F2671">IF(B2671=100,"Free",TEXT(XLOOKUP($D2671,OperationVoice!$A:$A,OperationVoice!AC:AC,XLOOKUP($D2671,OperationTickets!$A:$A,OperationTickets!AC:AC,"",0)),"hh:mm"))</f>
        <v>08:00</v>
      </c>
      <c r="G2671" s="309">
        <f t="shared" si="3"/>
        <v>0.7083333333</v>
      </c>
      <c r="H2671" s="316" t="str">
        <f t="array" ref="H2671">XLOOKUP(B2671,Roster!L:L,Roster!N:N,XLOOKUP(D2671,TicketsBreak!A:A,TicketsBreak!E:E,"",0),0)</f>
        <v>10:30 - 10:45</v>
      </c>
      <c r="I2671" s="316" t="str">
        <f t="array" ref="I2671">XLOOKUP(B2671,Roster!L:L,Roster!O:O,XLOOKUP(D2671,TicketsBreak!A:A,TicketsBreak!F:F,"",0),0)</f>
        <v>13:30 - 14:00</v>
      </c>
      <c r="J2671" s="316" t="str">
        <f t="array" ref="J2671">XLOOKUP(B2671,Roster!L:L,Roster!P:P,XLOOKUP(D2671,TicketsBreak!A:A,TicketsBreak!G:G,"",0),0)</f>
        <v>15:45 - 16:00</v>
      </c>
      <c r="K2671" s="310">
        <f t="shared" si="4"/>
        <v>46135</v>
      </c>
      <c r="L2671" s="317">
        <f t="array" ref="L2671">(XLOOKUP(D2671,Roster!F:F,Roster!D:D,"",0))</f>
        <v>38</v>
      </c>
      <c r="M2671" s="317" t="str">
        <f t="array" ref="M2671">XLOOKUP(D2671,Roster!F:F,Roster!E:E)</f>
        <v>Voice</v>
      </c>
      <c r="N2671" s="317" t="str">
        <f t="shared" ref="N2671:P2671" si="2709">LEFT(H2671,5)</f>
        <v>10:30</v>
      </c>
      <c r="O2671" s="317" t="str">
        <f t="shared" si="2709"/>
        <v>13:30</v>
      </c>
      <c r="P2671" s="317" t="str">
        <f t="shared" si="2709"/>
        <v>15:45</v>
      </c>
      <c r="Q2671" s="318">
        <f t="shared" si="2649"/>
        <v>46135.4375</v>
      </c>
      <c r="R2671" s="318">
        <f t="shared" si="2650"/>
        <v>46135.5625</v>
      </c>
      <c r="S2671" s="318">
        <f t="shared" si="8"/>
        <v>46135.65625</v>
      </c>
    </row>
    <row r="2672">
      <c r="A2672" s="14" t="str">
        <f t="shared" si="1"/>
        <v>C134846135</v>
      </c>
      <c r="B2672" s="185">
        <f t="array" ref="B2672">IF(F2672="VL","",IF(F2672="Free","Free",XLOOKUP(D2672,Roster!T:T,Roster!S:S,"",0)))</f>
        <v>124</v>
      </c>
      <c r="C2672" s="313">
        <v>46135.0</v>
      </c>
      <c r="D2672" s="314" t="s">
        <v>15</v>
      </c>
      <c r="E2672" s="307" t="str">
        <f t="array" ref="E2672">(XLOOKUP(D2672,Roster!F:F,Roster!B:B,"",0))</f>
        <v>Angelo Zapata</v>
      </c>
      <c r="F2672" s="315" t="str">
        <f t="array" ref="F2672">IF(B2672=100,"Free",TEXT(XLOOKUP($D2672,OperationVoice!$A:$A,OperationVoice!AC:AC,XLOOKUP($D2672,OperationTickets!$A:$A,OperationTickets!AC:AC,"",0)),"hh:mm"))</f>
        <v>08:00</v>
      </c>
      <c r="G2672" s="309">
        <f t="shared" si="3"/>
        <v>0.7083333333</v>
      </c>
      <c r="H2672" s="316" t="str">
        <f t="array" ref="H2672">XLOOKUP(B2672,Roster!L:L,Roster!N:N,XLOOKUP(D2672,TicketsBreak!A:A,TicketsBreak!E:E,"",0),0)</f>
        <v>10:00 - 10:15</v>
      </c>
      <c r="I2672" s="316" t="str">
        <f t="array" ref="I2672">XLOOKUP(B2672,Roster!L:L,Roster!O:O,XLOOKUP(D2672,TicketsBreak!A:A,TicketsBreak!F:F,"",0),0)</f>
        <v>13:00 - 13:30</v>
      </c>
      <c r="J2672" s="316" t="str">
        <f t="array" ref="J2672">XLOOKUP(B2672,Roster!L:L,Roster!P:P,XLOOKUP(D2672,TicketsBreak!A:A,TicketsBreak!G:G,"",0),0)</f>
        <v>15:30 - 15:45</v>
      </c>
      <c r="K2672" s="310">
        <f t="shared" si="4"/>
        <v>46135</v>
      </c>
      <c r="L2672" s="317">
        <f t="array" ref="L2672">(XLOOKUP(D2672,Roster!F:F,Roster!D:D,"",0))</f>
        <v>30</v>
      </c>
      <c r="M2672" s="317" t="str">
        <f t="array" ref="M2672">XLOOKUP(D2672,Roster!F:F,Roster!E:E)</f>
        <v>Voice</v>
      </c>
      <c r="N2672" s="317" t="str">
        <f t="shared" ref="N2672:P2672" si="2710">LEFT(H2672,5)</f>
        <v>10:00</v>
      </c>
      <c r="O2672" s="317" t="str">
        <f t="shared" si="2710"/>
        <v>13:00</v>
      </c>
      <c r="P2672" s="317" t="str">
        <f t="shared" si="2710"/>
        <v>15:30</v>
      </c>
      <c r="Q2672" s="318">
        <f t="shared" si="2649"/>
        <v>46135.41667</v>
      </c>
      <c r="R2672" s="318">
        <f t="shared" si="2650"/>
        <v>46135.54167</v>
      </c>
      <c r="S2672" s="318">
        <f t="shared" si="8"/>
        <v>46135.64583</v>
      </c>
    </row>
    <row r="2673">
      <c r="A2673" s="14" t="str">
        <f t="shared" si="1"/>
        <v>C116746135</v>
      </c>
      <c r="B2673" s="185" t="str">
        <f t="array" ref="B2673">IF(F2673="VL","",IF(F2673="Free","Free",XLOOKUP(D2673,Roster!T:T,Roster!S:S,"",0)))</f>
        <v/>
      </c>
      <c r="C2673" s="313">
        <v>46135.0</v>
      </c>
      <c r="D2673" s="314" t="s">
        <v>172</v>
      </c>
      <c r="E2673" s="307" t="str">
        <f t="array" ref="E2673">(XLOOKUP(D2673,Roster!F:F,Roster!B:B,"",0))</f>
        <v>Angie Rua</v>
      </c>
      <c r="F2673" s="315" t="str">
        <f t="array" ref="F2673">IF(B2673=100,"Free",TEXT(XLOOKUP($D2673,OperationVoice!$A:$A,OperationVoice!AC:AC,XLOOKUP($D2673,OperationTickets!$A:$A,OperationTickets!AC:AC,"",0)),"hh:mm"))</f>
        <v>07:00</v>
      </c>
      <c r="G2673" s="309">
        <f t="shared" si="3"/>
        <v>0.6666666667</v>
      </c>
      <c r="H2673" s="316" t="str">
        <f t="array" ref="H2673">XLOOKUP(B2673,Roster!L:L,Roster!N:N,XLOOKUP(D2673,TicketsBreak!A:A,TicketsBreak!E:E,"",0),0)</f>
        <v/>
      </c>
      <c r="I2673" s="316" t="str">
        <f t="array" ref="I2673">XLOOKUP(B2673,Roster!L:L,Roster!O:O,XLOOKUP(D2673,TicketsBreak!A:A,TicketsBreak!F:F,"",0),0)</f>
        <v/>
      </c>
      <c r="J2673" s="316" t="str">
        <f t="array" ref="J2673">XLOOKUP(B2673,Roster!L:L,Roster!P:P,XLOOKUP(D2673,TicketsBreak!A:A,TicketsBreak!G:G,"",0),0)</f>
        <v/>
      </c>
      <c r="K2673" s="310">
        <f t="shared" si="4"/>
        <v>46135</v>
      </c>
      <c r="L2673" s="317">
        <f t="array" ref="L2673">(XLOOKUP(D2673,Roster!F:F,Roster!D:D,"",0))</f>
        <v>24</v>
      </c>
      <c r="M2673" s="317" t="str">
        <f t="array" ref="M2673">XLOOKUP(D2673,Roster!F:F,Roster!E:E)</f>
        <v>Tickets</v>
      </c>
      <c r="N2673" s="317" t="str">
        <f t="shared" ref="N2673:P2673" si="2711">LEFT(H2673,5)</f>
        <v/>
      </c>
      <c r="O2673" s="317" t="str">
        <f t="shared" si="2711"/>
        <v/>
      </c>
      <c r="P2673" s="317" t="str">
        <f t="shared" si="2711"/>
        <v/>
      </c>
      <c r="Q2673" s="318" t="str">
        <f t="shared" si="2649"/>
        <v/>
      </c>
      <c r="R2673" s="318" t="str">
        <f t="shared" si="2650"/>
        <v/>
      </c>
      <c r="S2673" s="318" t="str">
        <f t="shared" si="8"/>
        <v/>
      </c>
    </row>
    <row r="2674">
      <c r="A2674" s="14" t="str">
        <f t="shared" si="1"/>
        <v>C157946135</v>
      </c>
      <c r="B2674" s="185">
        <f t="array" ref="B2674">IF(F2674="VL","",IF(F2674="Free","Free",XLOOKUP(D2674,Roster!T:T,Roster!S:S,"",0)))</f>
        <v>126</v>
      </c>
      <c r="C2674" s="313">
        <v>46135.0</v>
      </c>
      <c r="D2674" s="314" t="s">
        <v>16</v>
      </c>
      <c r="E2674" s="307" t="str">
        <f t="array" ref="E2674">(XLOOKUP(D2674,Roster!F:F,Roster!B:B,"",0))</f>
        <v>Anibal Munoz</v>
      </c>
      <c r="F2674" s="315" t="str">
        <f t="array" ref="F2674">IF(B2674=100,"Free",TEXT(XLOOKUP($D2674,OperationVoice!$A:$A,OperationVoice!AC:AC,XLOOKUP($D2674,OperationTickets!$A:$A,OperationTickets!AC:AC,"",0)),"hh:mm"))</f>
        <v>08:00</v>
      </c>
      <c r="G2674" s="309">
        <f t="shared" si="3"/>
        <v>0.7083333333</v>
      </c>
      <c r="H2674" s="316" t="str">
        <f t="array" ref="H2674">XLOOKUP(B2674,Roster!L:L,Roster!N:N,XLOOKUP(D2674,TicketsBreak!A:A,TicketsBreak!E:E,"",0),0)</f>
        <v>10:45 - 11:00</v>
      </c>
      <c r="I2674" s="316" t="str">
        <f t="array" ref="I2674">XLOOKUP(B2674,Roster!L:L,Roster!O:O,XLOOKUP(D2674,TicketsBreak!A:A,TicketsBreak!F:F,"",0),0)</f>
        <v>14:00 - 14:30</v>
      </c>
      <c r="J2674" s="316" t="str">
        <f t="array" ref="J2674">XLOOKUP(B2674,Roster!L:L,Roster!P:P,XLOOKUP(D2674,TicketsBreak!A:A,TicketsBreak!G:G,"",0),0)</f>
        <v>15:45 - 16:00</v>
      </c>
      <c r="K2674" s="310">
        <f t="shared" si="4"/>
        <v>46135</v>
      </c>
      <c r="L2674" s="317">
        <f t="array" ref="L2674">(XLOOKUP(D2674,Roster!F:F,Roster!D:D,"",0))</f>
        <v>38</v>
      </c>
      <c r="M2674" s="317" t="str">
        <f t="array" ref="M2674">XLOOKUP(D2674,Roster!F:F,Roster!E:E)</f>
        <v>Voice</v>
      </c>
      <c r="N2674" s="317" t="str">
        <f t="shared" ref="N2674:P2674" si="2712">LEFT(H2674,5)</f>
        <v>10:45</v>
      </c>
      <c r="O2674" s="317" t="str">
        <f t="shared" si="2712"/>
        <v>14:00</v>
      </c>
      <c r="P2674" s="317" t="str">
        <f t="shared" si="2712"/>
        <v>15:45</v>
      </c>
      <c r="Q2674" s="318">
        <f t="shared" si="2649"/>
        <v>46135.44792</v>
      </c>
      <c r="R2674" s="318">
        <f t="shared" si="2650"/>
        <v>46135.58333</v>
      </c>
      <c r="S2674" s="318">
        <f t="shared" si="8"/>
        <v>46135.65625</v>
      </c>
    </row>
    <row r="2675">
      <c r="A2675" s="14" t="str">
        <f t="shared" si="1"/>
        <v>C08046135</v>
      </c>
      <c r="B2675" s="185" t="str">
        <f t="array" ref="B2675">IF(F2675="VL","",IF(F2675="Free","Free",XLOOKUP(D2675,Roster!T:T,Roster!S:S,"",0)))</f>
        <v/>
      </c>
      <c r="C2675" s="313">
        <v>46135.0</v>
      </c>
      <c r="D2675" s="314" t="s">
        <v>138</v>
      </c>
      <c r="E2675" s="307" t="str">
        <f t="array" ref="E2675">(XLOOKUP(D2675,Roster!F:F,Roster!B:B,"",0))</f>
        <v>Arturo Padilla</v>
      </c>
      <c r="F2675" s="315" t="str">
        <f t="array" ref="F2675">IF(B2675=100,"Free",TEXT(XLOOKUP($D2675,OperationVoice!$A:$A,OperationVoice!AC:AC,XLOOKUP($D2675,OperationTickets!$A:$A,OperationTickets!AC:AC,"",0)),"hh:mm"))</f>
        <v>08:00</v>
      </c>
      <c r="G2675" s="309">
        <f t="shared" si="3"/>
        <v>0.7083333333</v>
      </c>
      <c r="H2675" s="316">
        <f t="array" ref="H2675">XLOOKUP(B2675,Roster!L:L,Roster!N:N,XLOOKUP(D2675,TicketsBreak!A:A,TicketsBreak!E:E,"",0),0)</f>
        <v>0.375</v>
      </c>
      <c r="I2675" s="316">
        <f t="array" ref="I2675">XLOOKUP(B2675,Roster!L:L,Roster!O:O,XLOOKUP(D2675,TicketsBreak!A:A,TicketsBreak!F:F,"",0),0)</f>
        <v>0.5</v>
      </c>
      <c r="J2675" s="316">
        <f t="array" ref="J2675">XLOOKUP(B2675,Roster!L:L,Roster!P:P,XLOOKUP(D2675,TicketsBreak!A:A,TicketsBreak!G:G,"",0),0)</f>
        <v>0.6458333333</v>
      </c>
      <c r="K2675" s="310">
        <f t="shared" si="4"/>
        <v>46135</v>
      </c>
      <c r="L2675" s="317">
        <f t="array" ref="L2675">(XLOOKUP(D2675,Roster!F:F,Roster!D:D,"",0))</f>
        <v>1</v>
      </c>
      <c r="M2675" s="317" t="str">
        <f t="array" ref="M2675">XLOOKUP(D2675,Roster!F:F,Roster!E:E)</f>
        <v>Tickets</v>
      </c>
      <c r="N2675" s="317" t="str">
        <f t="shared" ref="N2675:P2675" si="2713">LEFT(H2675,5)</f>
        <v>09:00</v>
      </c>
      <c r="O2675" s="317" t="str">
        <f t="shared" si="2713"/>
        <v>12:00</v>
      </c>
      <c r="P2675" s="317" t="str">
        <f t="shared" si="2713"/>
        <v>15:30</v>
      </c>
      <c r="Q2675" s="318">
        <f t="shared" si="2649"/>
        <v>46135.375</v>
      </c>
      <c r="R2675" s="318">
        <f t="shared" si="2650"/>
        <v>46135.5</v>
      </c>
      <c r="S2675" s="318">
        <f t="shared" si="8"/>
        <v>46135.64583</v>
      </c>
    </row>
    <row r="2676">
      <c r="A2676" s="14" t="str">
        <f t="shared" si="1"/>
        <v>C150446135</v>
      </c>
      <c r="B2676" s="185" t="str">
        <f t="array" ref="B2676">IF(F2676="VL","",IF(F2676="Free","Free",XLOOKUP(D2676,Roster!T:T,Roster!S:S,"",0)))</f>
        <v>Free</v>
      </c>
      <c r="C2676" s="313">
        <v>46135.0</v>
      </c>
      <c r="D2676" s="314" t="s">
        <v>155</v>
      </c>
      <c r="E2676" s="307" t="str">
        <f t="array" ref="E2676">(XLOOKUP(D2676,Roster!F:F,Roster!B:B,"",0))</f>
        <v>Beatriz Montanez</v>
      </c>
      <c r="F2676" s="315" t="str">
        <f t="array" ref="F2676">IF(B2676=100,"Free",TEXT(XLOOKUP($D2676,OperationVoice!$A:$A,OperationVoice!AC:AC,XLOOKUP($D2676,OperationTickets!$A:$A,OperationTickets!AC:AC,"",0)),"hh:mm"))</f>
        <v>Free</v>
      </c>
      <c r="G2676" s="309" t="str">
        <f t="shared" si="3"/>
        <v>Free</v>
      </c>
      <c r="H2676" s="316" t="str">
        <f t="array" ref="H2676">XLOOKUP(B2676,Roster!L:L,Roster!N:N,XLOOKUP(D2676,TicketsBreak!A:A,TicketsBreak!E:E,"",0),0)</f>
        <v/>
      </c>
      <c r="I2676" s="316" t="str">
        <f t="array" ref="I2676">XLOOKUP(B2676,Roster!L:L,Roster!O:O,XLOOKUP(D2676,TicketsBreak!A:A,TicketsBreak!F:F,"",0),0)</f>
        <v/>
      </c>
      <c r="J2676" s="316" t="str">
        <f t="array" ref="J2676">XLOOKUP(B2676,Roster!L:L,Roster!P:P,XLOOKUP(D2676,TicketsBreak!A:A,TicketsBreak!G:G,"",0),0)</f>
        <v/>
      </c>
      <c r="K2676" s="310">
        <f t="shared" si="4"/>
        <v>46135</v>
      </c>
      <c r="L2676" s="317">
        <f t="array" ref="L2676">(XLOOKUP(D2676,Roster!F:F,Roster!D:D,"",0))</f>
        <v>35</v>
      </c>
      <c r="M2676" s="317" t="str">
        <f t="array" ref="M2676">XLOOKUP(D2676,Roster!F:F,Roster!E:E)</f>
        <v>Tickets</v>
      </c>
      <c r="N2676" s="317" t="str">
        <f t="shared" ref="N2676:P2676" si="2714">LEFT(H2676,5)</f>
        <v/>
      </c>
      <c r="O2676" s="317" t="str">
        <f t="shared" si="2714"/>
        <v/>
      </c>
      <c r="P2676" s="317" t="str">
        <f t="shared" si="2714"/>
        <v/>
      </c>
      <c r="Q2676" s="318" t="str">
        <f t="shared" si="2649"/>
        <v/>
      </c>
      <c r="R2676" s="318" t="str">
        <f t="shared" si="2650"/>
        <v/>
      </c>
      <c r="S2676" s="318" t="str">
        <f t="shared" si="8"/>
        <v/>
      </c>
    </row>
    <row r="2677">
      <c r="A2677" s="14" t="str">
        <f t="shared" si="1"/>
        <v>C107746135</v>
      </c>
      <c r="B2677" s="185">
        <f t="array" ref="B2677">IF(F2677="VL","",IF(F2677="Free","Free",XLOOKUP(D2677,Roster!T:T,Roster!S:S,"",0)))</f>
        <v>125</v>
      </c>
      <c r="C2677" s="313">
        <v>46135.0</v>
      </c>
      <c r="D2677" s="314" t="s">
        <v>17</v>
      </c>
      <c r="E2677" s="307" t="str">
        <f t="array" ref="E2677">(XLOOKUP(D2677,Roster!F:F,Roster!B:B,"",0))</f>
        <v>Brahian Prado</v>
      </c>
      <c r="F2677" s="315" t="str">
        <f t="array" ref="F2677">IF(B2677=100,"Free",TEXT(XLOOKUP($D2677,OperationVoice!$A:$A,OperationVoice!AC:AC,XLOOKUP($D2677,OperationTickets!$A:$A,OperationTickets!AC:AC,"",0)),"hh:mm"))</f>
        <v>08:00</v>
      </c>
      <c r="G2677" s="309">
        <f t="shared" si="3"/>
        <v>0.7083333333</v>
      </c>
      <c r="H2677" s="316" t="str">
        <f t="array" ref="H2677">XLOOKUP(B2677,Roster!L:L,Roster!N:N,XLOOKUP(D2677,TicketsBreak!A:A,TicketsBreak!E:E,"",0),0)</f>
        <v>10:30 - 10:45</v>
      </c>
      <c r="I2677" s="316" t="str">
        <f t="array" ref="I2677">XLOOKUP(B2677,Roster!L:L,Roster!O:O,XLOOKUP(D2677,TicketsBreak!A:A,TicketsBreak!F:F,"",0),0)</f>
        <v>13:30 - 14:00</v>
      </c>
      <c r="J2677" s="316" t="str">
        <f t="array" ref="J2677">XLOOKUP(B2677,Roster!L:L,Roster!P:P,XLOOKUP(D2677,TicketsBreak!A:A,TicketsBreak!G:G,"",0),0)</f>
        <v>15:45 - 16:00</v>
      </c>
      <c r="K2677" s="310">
        <f t="shared" si="4"/>
        <v>46135</v>
      </c>
      <c r="L2677" s="317">
        <f t="array" ref="L2677">(XLOOKUP(D2677,Roster!F:F,Roster!D:D,"",0))</f>
        <v>18</v>
      </c>
      <c r="M2677" s="317" t="str">
        <f t="array" ref="M2677">XLOOKUP(D2677,Roster!F:F,Roster!E:E)</f>
        <v>Voice</v>
      </c>
      <c r="N2677" s="317" t="str">
        <f t="shared" ref="N2677:P2677" si="2715">LEFT(H2677,5)</f>
        <v>10:30</v>
      </c>
      <c r="O2677" s="317" t="str">
        <f t="shared" si="2715"/>
        <v>13:30</v>
      </c>
      <c r="P2677" s="317" t="str">
        <f t="shared" si="2715"/>
        <v>15:45</v>
      </c>
      <c r="Q2677" s="318">
        <f t="shared" si="2649"/>
        <v>46135.4375</v>
      </c>
      <c r="R2677" s="318">
        <f t="shared" si="2650"/>
        <v>46135.5625</v>
      </c>
      <c r="S2677" s="318">
        <f t="shared" si="8"/>
        <v>46135.65625</v>
      </c>
    </row>
    <row r="2678">
      <c r="A2678" s="14" t="str">
        <f t="shared" si="1"/>
        <v>C116546135</v>
      </c>
      <c r="B2678" s="185" t="str">
        <f t="array" ref="B2678">IF(F2678="VL","",IF(F2678="Free","Free",XLOOKUP(D2678,Roster!T:T,Roster!S:S,"",0)))</f>
        <v>Free</v>
      </c>
      <c r="C2678" s="313">
        <v>46135.0</v>
      </c>
      <c r="D2678" s="314" t="s">
        <v>139</v>
      </c>
      <c r="E2678" s="307" t="str">
        <f t="array" ref="E2678">(XLOOKUP(D2678,Roster!F:F,Roster!B:B,"",0))</f>
        <v>Braian Restrepo</v>
      </c>
      <c r="F2678" s="315" t="str">
        <f t="array" ref="F2678">IF(B2678=100,"Free",TEXT(XLOOKUP($D2678,OperationVoice!$A:$A,OperationVoice!AC:AC,XLOOKUP($D2678,OperationTickets!$A:$A,OperationTickets!AC:AC,"",0)),"hh:mm"))</f>
        <v>Free</v>
      </c>
      <c r="G2678" s="309" t="str">
        <f t="shared" si="3"/>
        <v>Free</v>
      </c>
      <c r="H2678" s="316" t="str">
        <f t="array" ref="H2678">XLOOKUP(B2678,Roster!L:L,Roster!N:N,XLOOKUP(D2678,TicketsBreak!A:A,TicketsBreak!E:E,"",0),0)</f>
        <v/>
      </c>
      <c r="I2678" s="316" t="str">
        <f t="array" ref="I2678">XLOOKUP(B2678,Roster!L:L,Roster!O:O,XLOOKUP(D2678,TicketsBreak!A:A,TicketsBreak!F:F,"",0),0)</f>
        <v/>
      </c>
      <c r="J2678" s="316" t="str">
        <f t="array" ref="J2678">XLOOKUP(B2678,Roster!L:L,Roster!P:P,XLOOKUP(D2678,TicketsBreak!A:A,TicketsBreak!G:G,"",0),0)</f>
        <v/>
      </c>
      <c r="K2678" s="310">
        <f t="shared" si="4"/>
        <v>46135</v>
      </c>
      <c r="L2678" s="317">
        <f t="array" ref="L2678">(XLOOKUP(D2678,Roster!F:F,Roster!D:D,"",0))</f>
        <v>24</v>
      </c>
      <c r="M2678" s="317" t="str">
        <f t="array" ref="M2678">XLOOKUP(D2678,Roster!F:F,Roster!E:E)</f>
        <v>Tickets</v>
      </c>
      <c r="N2678" s="317" t="str">
        <f t="shared" ref="N2678:P2678" si="2716">LEFT(H2678,5)</f>
        <v/>
      </c>
      <c r="O2678" s="317" t="str">
        <f t="shared" si="2716"/>
        <v/>
      </c>
      <c r="P2678" s="317" t="str">
        <f t="shared" si="2716"/>
        <v/>
      </c>
      <c r="Q2678" s="318" t="str">
        <f t="shared" si="2649"/>
        <v/>
      </c>
      <c r="R2678" s="318" t="str">
        <f t="shared" si="2650"/>
        <v/>
      </c>
      <c r="S2678" s="318" t="str">
        <f t="shared" si="8"/>
        <v/>
      </c>
    </row>
    <row r="2679">
      <c r="A2679" s="14" t="str">
        <f t="shared" si="1"/>
        <v>C127446135</v>
      </c>
      <c r="B2679" s="185">
        <f t="array" ref="B2679">IF(F2679="VL","",IF(F2679="Free","Free",XLOOKUP(D2679,Roster!T:T,Roster!S:S,"",0)))</f>
        <v>126</v>
      </c>
      <c r="C2679" s="313">
        <v>46135.0</v>
      </c>
      <c r="D2679" s="314" t="s">
        <v>250</v>
      </c>
      <c r="E2679" s="307" t="str">
        <f t="array" ref="E2679">(XLOOKUP(D2679,Roster!F:F,Roster!B:B,"",0))</f>
        <v>Brayan Franco</v>
      </c>
      <c r="F2679" s="315" t="str">
        <f t="array" ref="F2679">IF(B2679=100,"Free",TEXT(XLOOKUP($D2679,OperationVoice!$A:$A,OperationVoice!AC:AC,XLOOKUP($D2679,OperationTickets!$A:$A,OperationTickets!AC:AC,"",0)),"hh:mm"))</f>
        <v/>
      </c>
      <c r="G2679" s="309" t="str">
        <f t="shared" si="3"/>
        <v/>
      </c>
      <c r="H2679" s="316" t="str">
        <f t="array" ref="H2679">XLOOKUP(B2679,Roster!L:L,Roster!N:N,XLOOKUP(D2679,TicketsBreak!A:A,TicketsBreak!E:E,"",0),0)</f>
        <v>10:45 - 11:00</v>
      </c>
      <c r="I2679" s="316" t="str">
        <f t="array" ref="I2679">XLOOKUP(B2679,Roster!L:L,Roster!O:O,XLOOKUP(D2679,TicketsBreak!A:A,TicketsBreak!F:F,"",0),0)</f>
        <v>14:00 - 14:30</v>
      </c>
      <c r="J2679" s="316" t="str">
        <f t="array" ref="J2679">XLOOKUP(B2679,Roster!L:L,Roster!P:P,XLOOKUP(D2679,TicketsBreak!A:A,TicketsBreak!G:G,"",0),0)</f>
        <v>15:45 - 16:00</v>
      </c>
      <c r="K2679" s="310">
        <f t="shared" si="4"/>
        <v>46135</v>
      </c>
      <c r="L2679" s="317">
        <f t="array" ref="L2679">(XLOOKUP(D2679,Roster!F:F,Roster!D:D,"",0))</f>
        <v>27</v>
      </c>
      <c r="M2679" s="317" t="str">
        <f t="array" ref="M2679">XLOOKUP(D2679,Roster!F:F,Roster!E:E)</f>
        <v>Voice</v>
      </c>
      <c r="N2679" s="317" t="str">
        <f t="shared" ref="N2679:P2679" si="2717">LEFT(H2679,5)</f>
        <v>10:45</v>
      </c>
      <c r="O2679" s="317" t="str">
        <f t="shared" si="2717"/>
        <v>14:00</v>
      </c>
      <c r="P2679" s="317" t="str">
        <f t="shared" si="2717"/>
        <v>15:45</v>
      </c>
      <c r="Q2679" s="318">
        <f t="shared" si="2649"/>
        <v>46135.44792</v>
      </c>
      <c r="R2679" s="318">
        <f t="shared" si="2650"/>
        <v>46135.58333</v>
      </c>
      <c r="S2679" s="318">
        <f t="shared" si="8"/>
        <v>46135.65625</v>
      </c>
    </row>
    <row r="2680">
      <c r="A2680" s="14" t="str">
        <f t="shared" si="1"/>
        <v>C119146135</v>
      </c>
      <c r="B2680" s="185">
        <f t="array" ref="B2680">IF(F2680="VL","",IF(F2680="Free","Free",XLOOKUP(D2680,Roster!T:T,Roster!S:S,"",0)))</f>
        <v>111</v>
      </c>
      <c r="C2680" s="313">
        <v>46135.0</v>
      </c>
      <c r="D2680" s="314" t="s">
        <v>18</v>
      </c>
      <c r="E2680" s="307" t="str">
        <f t="array" ref="E2680">(XLOOKUP(D2680,Roster!F:F,Roster!B:B,"",0))</f>
        <v>Brayan Montoya</v>
      </c>
      <c r="F2680" s="315" t="str">
        <f t="array" ref="F2680">IF(B2680=100,"Free",TEXT(XLOOKUP($D2680,OperationVoice!$A:$A,OperationVoice!AC:AC,XLOOKUP($D2680,OperationTickets!$A:$A,OperationTickets!AC:AC,"",0)),"hh:mm"))</f>
        <v>07:00</v>
      </c>
      <c r="G2680" s="309">
        <f t="shared" si="3"/>
        <v>0.6666666667</v>
      </c>
      <c r="H2680" s="316" t="str">
        <f t="array" ref="H2680">XLOOKUP(B2680,Roster!L:L,Roster!N:N,XLOOKUP(D2680,TicketsBreak!A:A,TicketsBreak!E:E,"",0),0)</f>
        <v>09:00 - 09:15</v>
      </c>
      <c r="I2680" s="316" t="str">
        <f t="array" ref="I2680">XLOOKUP(B2680,Roster!L:L,Roster!O:O,XLOOKUP(D2680,TicketsBreak!A:A,TicketsBreak!F:F,"",0),0)</f>
        <v>11:45 - 12:15</v>
      </c>
      <c r="J2680" s="316" t="str">
        <f t="array" ref="J2680">XLOOKUP(B2680,Roster!L:L,Roster!P:P,XLOOKUP(D2680,TicketsBreak!A:A,TicketsBreak!G:G,"",0),0)</f>
        <v>14:30 - 14:45</v>
      </c>
      <c r="K2680" s="310">
        <f t="shared" si="4"/>
        <v>46135</v>
      </c>
      <c r="L2680" s="317">
        <f t="array" ref="L2680">(XLOOKUP(D2680,Roster!F:F,Roster!D:D,"",0))</f>
        <v>25</v>
      </c>
      <c r="M2680" s="317" t="str">
        <f t="array" ref="M2680">XLOOKUP(D2680,Roster!F:F,Roster!E:E)</f>
        <v>Voice</v>
      </c>
      <c r="N2680" s="317" t="str">
        <f t="shared" ref="N2680:P2680" si="2718">LEFT(H2680,5)</f>
        <v>09:00</v>
      </c>
      <c r="O2680" s="317" t="str">
        <f t="shared" si="2718"/>
        <v>11:45</v>
      </c>
      <c r="P2680" s="317" t="str">
        <f t="shared" si="2718"/>
        <v>14:30</v>
      </c>
      <c r="Q2680" s="318">
        <f t="shared" si="2649"/>
        <v>46135.375</v>
      </c>
      <c r="R2680" s="318">
        <f t="shared" si="2650"/>
        <v>46135.48958</v>
      </c>
      <c r="S2680" s="318">
        <f t="shared" si="8"/>
        <v>46135.60417</v>
      </c>
    </row>
    <row r="2681">
      <c r="A2681" s="14" t="str">
        <f t="shared" si="1"/>
        <v>C152646135</v>
      </c>
      <c r="B2681" s="185">
        <f t="array" ref="B2681">IF(F2681="VL","",IF(F2681="Free","Free",XLOOKUP(D2681,Roster!T:T,Roster!S:S,"",0)))</f>
        <v>121</v>
      </c>
      <c r="C2681" s="313">
        <v>46135.0</v>
      </c>
      <c r="D2681" s="314" t="s">
        <v>19</v>
      </c>
      <c r="E2681" s="307" t="str">
        <f t="array" ref="E2681">(XLOOKUP(D2681,Roster!F:F,Roster!B:B,"",0))</f>
        <v>Breitner Benitez</v>
      </c>
      <c r="F2681" s="315" t="str">
        <f t="array" ref="F2681">IF(B2681=100,"Free",TEXT(XLOOKUP($D2681,OperationVoice!$A:$A,OperationVoice!AC:AC,XLOOKUP($D2681,OperationTickets!$A:$A,OperationTickets!AC:AC,"",0)),"hh:mm"))</f>
        <v>08:00</v>
      </c>
      <c r="G2681" s="309">
        <f t="shared" si="3"/>
        <v>0.7083333333</v>
      </c>
      <c r="H2681" s="316" t="str">
        <f t="array" ref="H2681">XLOOKUP(B2681,Roster!L:L,Roster!N:N,XLOOKUP(D2681,TicketsBreak!A:A,TicketsBreak!E:E,"",0),0)</f>
        <v>09:15 - 09:30</v>
      </c>
      <c r="I2681" s="316" t="str">
        <f t="array" ref="I2681">XLOOKUP(B2681,Roster!L:L,Roster!O:O,XLOOKUP(D2681,TicketsBreak!A:A,TicketsBreak!F:F,"",0),0)</f>
        <v>11:30 - 12:00</v>
      </c>
      <c r="J2681" s="316" t="str">
        <f t="array" ref="J2681">XLOOKUP(B2681,Roster!L:L,Roster!P:P,XLOOKUP(D2681,TicketsBreak!A:A,TicketsBreak!G:G,"",0),0)</f>
        <v>14:30 - 14:45</v>
      </c>
      <c r="K2681" s="310">
        <f t="shared" si="4"/>
        <v>46135</v>
      </c>
      <c r="L2681" s="317">
        <f t="array" ref="L2681">(XLOOKUP(D2681,Roster!F:F,Roster!D:D,"",0))</f>
        <v>13</v>
      </c>
      <c r="M2681" s="317" t="str">
        <f t="array" ref="M2681">XLOOKUP(D2681,Roster!F:F,Roster!E:E)</f>
        <v>Voice</v>
      </c>
      <c r="N2681" s="317" t="str">
        <f t="shared" ref="N2681:P2681" si="2719">LEFT(H2681,5)</f>
        <v>09:15</v>
      </c>
      <c r="O2681" s="317" t="str">
        <f t="shared" si="2719"/>
        <v>11:30</v>
      </c>
      <c r="P2681" s="317" t="str">
        <f t="shared" si="2719"/>
        <v>14:30</v>
      </c>
      <c r="Q2681" s="318">
        <f t="shared" si="2649"/>
        <v>46135.38542</v>
      </c>
      <c r="R2681" s="318">
        <f t="shared" si="2650"/>
        <v>46135.47917</v>
      </c>
      <c r="S2681" s="318">
        <f t="shared" si="8"/>
        <v>46135.60417</v>
      </c>
    </row>
    <row r="2682">
      <c r="A2682" s="14" t="str">
        <f t="shared" si="1"/>
        <v>C153546135</v>
      </c>
      <c r="B2682" s="185" t="str">
        <f t="array" ref="B2682">IF(F2682="VL","",IF(F2682="Free","Free",XLOOKUP(D2682,Roster!T:T,Roster!S:S,"",0)))</f>
        <v>Free</v>
      </c>
      <c r="C2682" s="313">
        <v>46135.0</v>
      </c>
      <c r="D2682" s="314" t="s">
        <v>20</v>
      </c>
      <c r="E2682" s="307" t="str">
        <f t="array" ref="E2682">(XLOOKUP(D2682,Roster!F:F,Roster!B:B,"",0))</f>
        <v>Carlos Alzate</v>
      </c>
      <c r="F2682" s="315" t="str">
        <f t="array" ref="F2682">IF(B2682=100,"Free",TEXT(XLOOKUP($D2682,OperationVoice!$A:$A,OperationVoice!AC:AC,XLOOKUP($D2682,OperationTickets!$A:$A,OperationTickets!AC:AC,"",0)),"hh:mm"))</f>
        <v>Free</v>
      </c>
      <c r="G2682" s="309" t="str">
        <f t="shared" si="3"/>
        <v>Free</v>
      </c>
      <c r="H2682" s="316" t="str">
        <f t="array" ref="H2682">XLOOKUP(B2682,Roster!L:L,Roster!N:N,XLOOKUP(D2682,TicketsBreak!A:A,TicketsBreak!E:E,"",0),0)</f>
        <v/>
      </c>
      <c r="I2682" s="316" t="str">
        <f t="array" ref="I2682">XLOOKUP(B2682,Roster!L:L,Roster!O:O,XLOOKUP(D2682,TicketsBreak!A:A,TicketsBreak!F:F,"",0),0)</f>
        <v/>
      </c>
      <c r="J2682" s="316" t="str">
        <f t="array" ref="J2682">XLOOKUP(B2682,Roster!L:L,Roster!P:P,XLOOKUP(D2682,TicketsBreak!A:A,TicketsBreak!G:G,"",0),0)</f>
        <v/>
      </c>
      <c r="K2682" s="310">
        <f t="shared" si="4"/>
        <v>46135</v>
      </c>
      <c r="L2682" s="317">
        <f t="array" ref="L2682">(XLOOKUP(D2682,Roster!F:F,Roster!D:D,"",0))</f>
        <v>36</v>
      </c>
      <c r="M2682" s="317" t="str">
        <f t="array" ref="M2682">XLOOKUP(D2682,Roster!F:F,Roster!E:E)</f>
        <v>Voice</v>
      </c>
      <c r="N2682" s="317" t="str">
        <f t="shared" ref="N2682:P2682" si="2720">LEFT(H2682,5)</f>
        <v/>
      </c>
      <c r="O2682" s="317" t="str">
        <f t="shared" si="2720"/>
        <v/>
      </c>
      <c r="P2682" s="317" t="str">
        <f t="shared" si="2720"/>
        <v/>
      </c>
      <c r="Q2682" s="318" t="str">
        <f t="shared" si="2649"/>
        <v/>
      </c>
      <c r="R2682" s="318" t="str">
        <f t="shared" si="2650"/>
        <v/>
      </c>
      <c r="S2682" s="318" t="str">
        <f t="shared" si="8"/>
        <v/>
      </c>
    </row>
    <row r="2683">
      <c r="A2683" s="14" t="str">
        <f t="shared" si="1"/>
        <v>C153146135</v>
      </c>
      <c r="B2683" s="185">
        <f t="array" ref="B2683">IF(F2683="VL","",IF(F2683="Free","Free",XLOOKUP(D2683,Roster!T:T,Roster!S:S,"",0)))</f>
        <v>123</v>
      </c>
      <c r="C2683" s="313">
        <v>46135.0</v>
      </c>
      <c r="D2683" s="314" t="s">
        <v>21</v>
      </c>
      <c r="E2683" s="307" t="str">
        <f t="array" ref="E2683">(XLOOKUP(D2683,Roster!F:F,Roster!B:B,"",0))</f>
        <v>Carlos Palma</v>
      </c>
      <c r="F2683" s="315" t="str">
        <f t="array" ref="F2683">IF(B2683=100,"Free",TEXT(XLOOKUP($D2683,OperationVoice!$A:$A,OperationVoice!AC:AC,XLOOKUP($D2683,OperationTickets!$A:$A,OperationTickets!AC:AC,"",0)),"hh:mm"))</f>
        <v>08:00</v>
      </c>
      <c r="G2683" s="309">
        <f t="shared" si="3"/>
        <v>0.7083333333</v>
      </c>
      <c r="H2683" s="316" t="str">
        <f t="array" ref="H2683">XLOOKUP(B2683,Roster!L:L,Roster!N:N,XLOOKUP(D2683,TicketsBreak!A:A,TicketsBreak!E:E,"",0),0)</f>
        <v>09:45 - 10:00 </v>
      </c>
      <c r="I2683" s="316" t="str">
        <f t="array" ref="I2683">XLOOKUP(B2683,Roster!L:L,Roster!O:O,XLOOKUP(D2683,TicketsBreak!A:A,TicketsBreak!F:F,"",0),0)</f>
        <v>12:30 - 13:00</v>
      </c>
      <c r="J2683" s="316" t="str">
        <f t="array" ref="J2683">XLOOKUP(B2683,Roster!L:L,Roster!P:P,XLOOKUP(D2683,TicketsBreak!A:A,TicketsBreak!G:G,"",0),0)</f>
        <v>15:00 - 15:15</v>
      </c>
      <c r="K2683" s="310">
        <f t="shared" si="4"/>
        <v>46135</v>
      </c>
      <c r="L2683" s="317">
        <f t="array" ref="L2683">(XLOOKUP(D2683,Roster!F:F,Roster!D:D,"",0))</f>
        <v>36</v>
      </c>
      <c r="M2683" s="317" t="str">
        <f t="array" ref="M2683">XLOOKUP(D2683,Roster!F:F,Roster!E:E)</f>
        <v>Voice</v>
      </c>
      <c r="N2683" s="317" t="str">
        <f t="shared" ref="N2683:P2683" si="2721">LEFT(H2683,5)</f>
        <v>09:45</v>
      </c>
      <c r="O2683" s="317" t="str">
        <f t="shared" si="2721"/>
        <v>12:30</v>
      </c>
      <c r="P2683" s="317" t="str">
        <f t="shared" si="2721"/>
        <v>15:00</v>
      </c>
      <c r="Q2683" s="318">
        <f t="shared" si="2649"/>
        <v>46135.40625</v>
      </c>
      <c r="R2683" s="318">
        <f t="shared" si="2650"/>
        <v>46135.52083</v>
      </c>
      <c r="S2683" s="318">
        <f t="shared" si="8"/>
        <v>46135.625</v>
      </c>
    </row>
    <row r="2684">
      <c r="A2684" s="14" t="str">
        <f t="shared" si="1"/>
        <v>C157646135</v>
      </c>
      <c r="B2684" s="185" t="str">
        <f t="array" ref="B2684">IF(F2684="VL","",IF(F2684="Free","Free",XLOOKUP(D2684,Roster!T:T,Roster!S:S,"",0)))</f>
        <v/>
      </c>
      <c r="C2684" s="313">
        <v>46135.0</v>
      </c>
      <c r="D2684" s="314" t="s">
        <v>313</v>
      </c>
      <c r="E2684" s="307" t="str">
        <f t="array" ref="E2684">(XLOOKUP(D2684,Roster!F:F,Roster!B:B,"",0))</f>
        <v>Carlos Ruiz</v>
      </c>
      <c r="F2684" s="315" t="str">
        <f t="array" ref="F2684">IF(B2684=100,"Free",TEXT(XLOOKUP($D2684,OperationVoice!$A:$A,OperationVoice!AC:AC,XLOOKUP($D2684,OperationTickets!$A:$A,OperationTickets!AC:AC,"",0)),"hh:mm"))</f>
        <v/>
      </c>
      <c r="G2684" s="309" t="str">
        <f t="shared" si="3"/>
        <v/>
      </c>
      <c r="H2684" s="316" t="str">
        <f t="array" ref="H2684">XLOOKUP(B2684,Roster!L:L,Roster!N:N,XLOOKUP(D2684,TicketsBreak!A:A,TicketsBreak!E:E,"",0),0)</f>
        <v/>
      </c>
      <c r="I2684" s="316" t="str">
        <f t="array" ref="I2684">XLOOKUP(B2684,Roster!L:L,Roster!O:O,XLOOKUP(D2684,TicketsBreak!A:A,TicketsBreak!F:F,"",0),0)</f>
        <v/>
      </c>
      <c r="J2684" s="316" t="str">
        <f t="array" ref="J2684">XLOOKUP(B2684,Roster!L:L,Roster!P:P,XLOOKUP(D2684,TicketsBreak!A:A,TicketsBreak!G:G,"",0),0)</f>
        <v/>
      </c>
      <c r="K2684" s="310">
        <f t="shared" si="4"/>
        <v>46135</v>
      </c>
      <c r="L2684" s="317">
        <f t="array" ref="L2684">(XLOOKUP(D2684,Roster!F:F,Roster!D:D,"",0))</f>
        <v>38</v>
      </c>
      <c r="M2684" s="317" t="str">
        <f t="array" ref="M2684">XLOOKUP(D2684,Roster!F:F,Roster!E:E)</f>
        <v>Nesting</v>
      </c>
      <c r="N2684" s="317" t="str">
        <f t="shared" ref="N2684:P2684" si="2722">LEFT(H2684,5)</f>
        <v/>
      </c>
      <c r="O2684" s="317" t="str">
        <f t="shared" si="2722"/>
        <v/>
      </c>
      <c r="P2684" s="317" t="str">
        <f t="shared" si="2722"/>
        <v/>
      </c>
      <c r="Q2684" s="318" t="str">
        <f t="shared" si="2649"/>
        <v/>
      </c>
      <c r="R2684" s="318" t="str">
        <f t="shared" si="2650"/>
        <v/>
      </c>
      <c r="S2684" s="318" t="str">
        <f t="shared" si="8"/>
        <v/>
      </c>
    </row>
    <row r="2685">
      <c r="A2685" s="14" t="str">
        <f t="shared" si="1"/>
        <v>C47946135</v>
      </c>
      <c r="B2685" s="185" t="str">
        <f t="array" ref="B2685">IF(F2685="VL","",IF(F2685="Free","Free",XLOOKUP(D2685,Roster!T:T,Roster!S:S,"",0)))</f>
        <v/>
      </c>
      <c r="C2685" s="313">
        <v>46135.0</v>
      </c>
      <c r="D2685" s="314" t="s">
        <v>173</v>
      </c>
      <c r="E2685" s="307" t="str">
        <f t="array" ref="E2685">(XLOOKUP(D2685,Roster!F:F,Roster!B:B,"",0))</f>
        <v>Carmen Grajales</v>
      </c>
      <c r="F2685" s="315" t="str">
        <f t="array" ref="F2685">IF(B2685=100,"Free",TEXT(XLOOKUP($D2685,OperationVoice!$A:$A,OperationVoice!AC:AC,XLOOKUP($D2685,OperationTickets!$A:$A,OperationTickets!AC:AC,"",0)),"hh:mm"))</f>
        <v>08:00</v>
      </c>
      <c r="G2685" s="309">
        <f t="shared" si="3"/>
        <v>0.7083333333</v>
      </c>
      <c r="H2685" s="316">
        <f t="array" ref="H2685">XLOOKUP(B2685,Roster!L:L,Roster!N:N,XLOOKUP(D2685,TicketsBreak!A:A,TicketsBreak!E:E,"",0),0)</f>
        <v>0.4270833333</v>
      </c>
      <c r="I2685" s="316">
        <f t="array" ref="I2685">XLOOKUP(B2685,Roster!L:L,Roster!O:O,XLOOKUP(D2685,TicketsBreak!A:A,TicketsBreak!F:F,"",0),0)</f>
        <v>0.53125</v>
      </c>
      <c r="J2685" s="316">
        <f t="array" ref="J2685">XLOOKUP(B2685,Roster!L:L,Roster!P:P,XLOOKUP(D2685,TicketsBreak!A:A,TicketsBreak!G:G,"",0),0)</f>
        <v>0.65625</v>
      </c>
      <c r="K2685" s="310">
        <f t="shared" si="4"/>
        <v>46135</v>
      </c>
      <c r="L2685" s="317">
        <f t="array" ref="L2685">(XLOOKUP(D2685,Roster!F:F,Roster!D:D,"",0))</f>
        <v>2</v>
      </c>
      <c r="M2685" s="317" t="str">
        <f t="array" ref="M2685">XLOOKUP(D2685,Roster!F:F,Roster!E:E)</f>
        <v>Tickets</v>
      </c>
      <c r="N2685" s="317" t="str">
        <f t="shared" ref="N2685:P2685" si="2723">LEFT(H2685,5)</f>
        <v>10:15</v>
      </c>
      <c r="O2685" s="317" t="str">
        <f t="shared" si="2723"/>
        <v>12:45</v>
      </c>
      <c r="P2685" s="317" t="str">
        <f t="shared" si="2723"/>
        <v>15:45</v>
      </c>
      <c r="Q2685" s="318">
        <f t="shared" si="2649"/>
        <v>46135.42708</v>
      </c>
      <c r="R2685" s="318">
        <f t="shared" si="2650"/>
        <v>46135.53125</v>
      </c>
      <c r="S2685" s="318">
        <f t="shared" si="8"/>
        <v>46135.65625</v>
      </c>
    </row>
    <row r="2686">
      <c r="A2686" s="14" t="str">
        <f t="shared" si="1"/>
        <v>C68746135</v>
      </c>
      <c r="B2686" s="185">
        <f t="array" ref="B2686">IF(F2686="VL","",IF(F2686="Free","Free",XLOOKUP(D2686,Roster!T:T,Roster!S:S,"",0)))</f>
        <v>122</v>
      </c>
      <c r="C2686" s="313">
        <v>46135.0</v>
      </c>
      <c r="D2686" s="314" t="s">
        <v>22</v>
      </c>
      <c r="E2686" s="307" t="str">
        <f t="array" ref="E2686">(XLOOKUP(D2686,Roster!F:F,Roster!B:B,"",0))</f>
        <v>Carolina Rios</v>
      </c>
      <c r="F2686" s="315" t="str">
        <f t="array" ref="F2686">IF(B2686=100,"Free",TEXT(XLOOKUP($D2686,OperationVoice!$A:$A,OperationVoice!AC:AC,XLOOKUP($D2686,OperationTickets!$A:$A,OperationTickets!AC:AC,"",0)),"hh:mm"))</f>
        <v>08:00</v>
      </c>
      <c r="G2686" s="309">
        <f t="shared" si="3"/>
        <v>0.7083333333</v>
      </c>
      <c r="H2686" s="316" t="str">
        <f t="array" ref="H2686">XLOOKUP(B2686,Roster!L:L,Roster!N:N,XLOOKUP(D2686,TicketsBreak!A:A,TicketsBreak!E:E,"",0),0)</f>
        <v>09:30 - 09:45</v>
      </c>
      <c r="I2686" s="316" t="str">
        <f t="array" ref="I2686">XLOOKUP(B2686,Roster!L:L,Roster!O:O,XLOOKUP(D2686,TicketsBreak!A:A,TicketsBreak!F:F,"",0),0)</f>
        <v>12:00 - 12:30</v>
      </c>
      <c r="J2686" s="316" t="str">
        <f t="array" ref="J2686">XLOOKUP(B2686,Roster!L:L,Roster!P:P,XLOOKUP(D2686,TicketsBreak!A:A,TicketsBreak!G:G,"",0),0)</f>
        <v>14:45 - 15:00</v>
      </c>
      <c r="K2686" s="310">
        <f t="shared" si="4"/>
        <v>46135</v>
      </c>
      <c r="L2686" s="317">
        <f t="array" ref="L2686">(XLOOKUP(D2686,Roster!F:F,Roster!D:D,"",0))</f>
        <v>5</v>
      </c>
      <c r="M2686" s="317" t="str">
        <f t="array" ref="M2686">XLOOKUP(D2686,Roster!F:F,Roster!E:E)</f>
        <v>Voice</v>
      </c>
      <c r="N2686" s="317" t="str">
        <f t="shared" ref="N2686:P2686" si="2724">LEFT(H2686,5)</f>
        <v>09:30</v>
      </c>
      <c r="O2686" s="317" t="str">
        <f t="shared" si="2724"/>
        <v>12:00</v>
      </c>
      <c r="P2686" s="317" t="str">
        <f t="shared" si="2724"/>
        <v>14:45</v>
      </c>
      <c r="Q2686" s="318">
        <f t="shared" si="2649"/>
        <v>46135.39583</v>
      </c>
      <c r="R2686" s="318">
        <f t="shared" si="2650"/>
        <v>46135.5</v>
      </c>
      <c r="S2686" s="318">
        <f t="shared" si="8"/>
        <v>46135.61458</v>
      </c>
    </row>
    <row r="2687">
      <c r="A2687" s="14" t="str">
        <f t="shared" si="1"/>
        <v>C152846135</v>
      </c>
      <c r="B2687" s="185">
        <f t="array" ref="B2687">IF(F2687="VL","",IF(F2687="Free","Free",XLOOKUP(D2687,Roster!T:T,Roster!S:S,"",0)))</f>
        <v>132</v>
      </c>
      <c r="C2687" s="313">
        <v>46135.0</v>
      </c>
      <c r="D2687" s="314" t="s">
        <v>23</v>
      </c>
      <c r="E2687" s="307" t="str">
        <f t="array" ref="E2687">(XLOOKUP(D2687,Roster!F:F,Roster!B:B,"",0))</f>
        <v>Christian Ramirez</v>
      </c>
      <c r="F2687" s="315" t="str">
        <f t="array" ref="F2687">IF(B2687=100,"Free",TEXT(XLOOKUP($D2687,OperationVoice!$A:$A,OperationVoice!AC:AC,XLOOKUP($D2687,OperationTickets!$A:$A,OperationTickets!AC:AC,"",0)),"hh:mm"))</f>
        <v>08:00</v>
      </c>
      <c r="G2687" s="309">
        <f t="shared" si="3"/>
        <v>0.7083333333</v>
      </c>
      <c r="H2687" s="316" t="str">
        <f t="array" ref="H2687">XLOOKUP(B2687,Roster!L:L,Roster!N:N,XLOOKUP(D2687,TicketsBreak!A:A,TicketsBreak!E:E,"",0),0)</f>
        <v>10:30 - 10:45</v>
      </c>
      <c r="I2687" s="316" t="str">
        <f t="array" ref="I2687">XLOOKUP(B2687,Roster!L:L,Roster!O:O,XLOOKUP(D2687,TicketsBreak!A:A,TicketsBreak!F:F,"",0),0)</f>
        <v>13:00 - 13:30</v>
      </c>
      <c r="J2687" s="316" t="str">
        <f t="array" ref="J2687">XLOOKUP(B2687,Roster!L:L,Roster!P:P,XLOOKUP(D2687,TicketsBreak!A:A,TicketsBreak!G:G,"",0),0)</f>
        <v>15:30 - 15:45</v>
      </c>
      <c r="K2687" s="310">
        <f t="shared" si="4"/>
        <v>46135</v>
      </c>
      <c r="L2687" s="317">
        <f t="array" ref="L2687">(XLOOKUP(D2687,Roster!F:F,Roster!D:D,"",0))</f>
        <v>36</v>
      </c>
      <c r="M2687" s="317" t="str">
        <f t="array" ref="M2687">XLOOKUP(D2687,Roster!F:F,Roster!E:E)</f>
        <v>Voice</v>
      </c>
      <c r="N2687" s="317" t="str">
        <f t="shared" ref="N2687:P2687" si="2725">LEFT(H2687,5)</f>
        <v>10:30</v>
      </c>
      <c r="O2687" s="317" t="str">
        <f t="shared" si="2725"/>
        <v>13:00</v>
      </c>
      <c r="P2687" s="317" t="str">
        <f t="shared" si="2725"/>
        <v>15:30</v>
      </c>
      <c r="Q2687" s="318">
        <f t="shared" si="2649"/>
        <v>46135.4375</v>
      </c>
      <c r="R2687" s="318">
        <f t="shared" si="2650"/>
        <v>46135.54167</v>
      </c>
      <c r="S2687" s="318">
        <f t="shared" si="8"/>
        <v>46135.64583</v>
      </c>
    </row>
    <row r="2688">
      <c r="A2688" s="14" t="str">
        <f t="shared" si="1"/>
        <v>C132546135</v>
      </c>
      <c r="B2688" s="185" t="str">
        <f t="array" ref="B2688">IF(F2688="VL","",IF(F2688="Free","Free",XLOOKUP(D2688,Roster!T:T,Roster!S:S,"",0)))</f>
        <v>Free</v>
      </c>
      <c r="C2688" s="313">
        <v>46135.0</v>
      </c>
      <c r="D2688" s="314" t="s">
        <v>174</v>
      </c>
      <c r="E2688" s="307" t="str">
        <f t="array" ref="E2688">(XLOOKUP(D2688,Roster!F:F,Roster!B:B,"",0))</f>
        <v>Cristian Ferreira</v>
      </c>
      <c r="F2688" s="315" t="str">
        <f t="array" ref="F2688">IF(B2688=100,"Free",TEXT(XLOOKUP($D2688,OperationVoice!$A:$A,OperationVoice!AC:AC,XLOOKUP($D2688,OperationTickets!$A:$A,OperationTickets!AC:AC,"",0)),"hh:mm"))</f>
        <v>Free</v>
      </c>
      <c r="G2688" s="309" t="str">
        <f t="shared" si="3"/>
        <v>Free</v>
      </c>
      <c r="H2688" s="316" t="str">
        <f t="array" ref="H2688">XLOOKUP(B2688,Roster!L:L,Roster!N:N,XLOOKUP(D2688,TicketsBreak!A:A,TicketsBreak!E:E,"",0),0)</f>
        <v/>
      </c>
      <c r="I2688" s="316" t="str">
        <f t="array" ref="I2688">XLOOKUP(B2688,Roster!L:L,Roster!O:O,XLOOKUP(D2688,TicketsBreak!A:A,TicketsBreak!F:F,"",0),0)</f>
        <v/>
      </c>
      <c r="J2688" s="316" t="str">
        <f t="array" ref="J2688">XLOOKUP(B2688,Roster!L:L,Roster!P:P,XLOOKUP(D2688,TicketsBreak!A:A,TicketsBreak!G:G,"",0),0)</f>
        <v/>
      </c>
      <c r="K2688" s="310">
        <f t="shared" si="4"/>
        <v>46135</v>
      </c>
      <c r="L2688" s="317">
        <f t="array" ref="L2688">(XLOOKUP(D2688,Roster!F:F,Roster!D:D,"",0))</f>
        <v>29</v>
      </c>
      <c r="M2688" s="317" t="str">
        <f t="array" ref="M2688">XLOOKUP(D2688,Roster!F:F,Roster!E:E)</f>
        <v>Tickets</v>
      </c>
      <c r="N2688" s="317" t="str">
        <f t="shared" ref="N2688:P2688" si="2726">LEFT(H2688,5)</f>
        <v/>
      </c>
      <c r="O2688" s="317" t="str">
        <f t="shared" si="2726"/>
        <v/>
      </c>
      <c r="P2688" s="317" t="str">
        <f t="shared" si="2726"/>
        <v/>
      </c>
      <c r="Q2688" s="318" t="str">
        <f t="shared" si="2649"/>
        <v/>
      </c>
      <c r="R2688" s="318" t="str">
        <f t="shared" si="2650"/>
        <v/>
      </c>
      <c r="S2688" s="318" t="str">
        <f t="shared" si="8"/>
        <v/>
      </c>
    </row>
    <row r="2689">
      <c r="A2689" s="14" t="str">
        <f t="shared" si="1"/>
        <v>C151046135</v>
      </c>
      <c r="B2689" s="185">
        <f t="array" ref="B2689">IF(F2689="VL","",IF(F2689="Free","Free",XLOOKUP(D2689,Roster!T:T,Roster!S:S,"",0)))</f>
        <v>121</v>
      </c>
      <c r="C2689" s="313">
        <v>46135.0</v>
      </c>
      <c r="D2689" s="314" t="s">
        <v>24</v>
      </c>
      <c r="E2689" s="307" t="str">
        <f t="array" ref="E2689">(XLOOKUP(D2689,Roster!F:F,Roster!B:B,"",0))</f>
        <v>Cristian Gomez</v>
      </c>
      <c r="F2689" s="315" t="str">
        <f t="array" ref="F2689">IF(B2689=100,"Free",TEXT(XLOOKUP($D2689,OperationVoice!$A:$A,OperationVoice!AC:AC,XLOOKUP($D2689,OperationTickets!$A:$A,OperationTickets!AC:AC,"",0)),"hh:mm"))</f>
        <v>08:00</v>
      </c>
      <c r="G2689" s="309">
        <f t="shared" si="3"/>
        <v>0.7083333333</v>
      </c>
      <c r="H2689" s="316" t="str">
        <f t="array" ref="H2689">XLOOKUP(B2689,Roster!L:L,Roster!N:N,XLOOKUP(D2689,TicketsBreak!A:A,TicketsBreak!E:E,"",0),0)</f>
        <v>09:15 - 09:30</v>
      </c>
      <c r="I2689" s="316" t="str">
        <f t="array" ref="I2689">XLOOKUP(B2689,Roster!L:L,Roster!O:O,XLOOKUP(D2689,TicketsBreak!A:A,TicketsBreak!F:F,"",0),0)</f>
        <v>11:30 - 12:00</v>
      </c>
      <c r="J2689" s="316" t="str">
        <f t="array" ref="J2689">XLOOKUP(B2689,Roster!L:L,Roster!P:P,XLOOKUP(D2689,TicketsBreak!A:A,TicketsBreak!G:G,"",0),0)</f>
        <v>14:30 - 14:45</v>
      </c>
      <c r="K2689" s="310">
        <f t="shared" si="4"/>
        <v>46135</v>
      </c>
      <c r="L2689" s="317">
        <f t="array" ref="L2689">(XLOOKUP(D2689,Roster!F:F,Roster!D:D,"",0))</f>
        <v>35</v>
      </c>
      <c r="M2689" s="317" t="str">
        <f t="array" ref="M2689">XLOOKUP(D2689,Roster!F:F,Roster!E:E)</f>
        <v>Voice</v>
      </c>
      <c r="N2689" s="317" t="str">
        <f t="shared" ref="N2689:P2689" si="2727">LEFT(H2689,5)</f>
        <v>09:15</v>
      </c>
      <c r="O2689" s="317" t="str">
        <f t="shared" si="2727"/>
        <v>11:30</v>
      </c>
      <c r="P2689" s="317" t="str">
        <f t="shared" si="2727"/>
        <v>14:30</v>
      </c>
      <c r="Q2689" s="318">
        <f t="shared" si="2649"/>
        <v>46135.38542</v>
      </c>
      <c r="R2689" s="318">
        <f t="shared" si="2650"/>
        <v>46135.47917</v>
      </c>
      <c r="S2689" s="318">
        <f t="shared" si="8"/>
        <v>46135.60417</v>
      </c>
    </row>
    <row r="2690">
      <c r="A2690" s="14" t="str">
        <f t="shared" si="1"/>
        <v>C67346135</v>
      </c>
      <c r="B2690" s="185" t="str">
        <f t="array" ref="B2690">IF(F2690="VL","",IF(F2690="Free","Free",XLOOKUP(D2690,Roster!T:T,Roster!S:S,"",0)))</f>
        <v/>
      </c>
      <c r="C2690" s="313">
        <v>46135.0</v>
      </c>
      <c r="D2690" s="314" t="s">
        <v>156</v>
      </c>
      <c r="E2690" s="307" t="str">
        <f t="array" ref="E2690">(XLOOKUP(D2690,Roster!F:F,Roster!B:B,"",0))</f>
        <v>Dahiana Cano</v>
      </c>
      <c r="F2690" s="315" t="str">
        <f t="array" ref="F2690">IF(B2690=100,"Free",TEXT(XLOOKUP($D2690,OperationVoice!$A:$A,OperationVoice!AC:AC,XLOOKUP($D2690,OperationTickets!$A:$A,OperationTickets!AC:AC,"",0)),"hh:mm"))</f>
        <v>08:00</v>
      </c>
      <c r="G2690" s="309">
        <f t="shared" si="3"/>
        <v>0.7083333333</v>
      </c>
      <c r="H2690" s="316">
        <f t="array" ref="H2690">XLOOKUP(B2690,Roster!L:L,Roster!N:N,XLOOKUP(D2690,TicketsBreak!A:A,TicketsBreak!E:E,"",0),0)</f>
        <v>0.4583333333</v>
      </c>
      <c r="I2690" s="316">
        <f t="array" ref="I2690">XLOOKUP(B2690,Roster!L:L,Roster!O:O,XLOOKUP(D2690,TicketsBreak!A:A,TicketsBreak!F:F,"",0),0)</f>
        <v>0.5833333333</v>
      </c>
      <c r="J2690" s="316">
        <f t="array" ref="J2690">XLOOKUP(B2690,Roster!L:L,Roster!P:P,XLOOKUP(D2690,TicketsBreak!A:A,TicketsBreak!G:G,"",0),0)</f>
        <v>0.65625</v>
      </c>
      <c r="K2690" s="310">
        <f t="shared" si="4"/>
        <v>46135</v>
      </c>
      <c r="L2690" s="317">
        <f t="array" ref="L2690">(XLOOKUP(D2690,Roster!F:F,Roster!D:D,"",0))</f>
        <v>4</v>
      </c>
      <c r="M2690" s="317" t="str">
        <f t="array" ref="M2690">XLOOKUP(D2690,Roster!F:F,Roster!E:E)</f>
        <v>Tickets</v>
      </c>
      <c r="N2690" s="317" t="str">
        <f t="shared" ref="N2690:P2690" si="2728">LEFT(H2690,5)</f>
        <v>11:00</v>
      </c>
      <c r="O2690" s="317" t="str">
        <f t="shared" si="2728"/>
        <v>14:00</v>
      </c>
      <c r="P2690" s="317" t="str">
        <f t="shared" si="2728"/>
        <v>15:45</v>
      </c>
      <c r="Q2690" s="318">
        <f t="shared" si="2649"/>
        <v>46135.45833</v>
      </c>
      <c r="R2690" s="318">
        <f t="shared" si="2650"/>
        <v>46135.58333</v>
      </c>
      <c r="S2690" s="318">
        <f t="shared" si="8"/>
        <v>46135.65625</v>
      </c>
    </row>
    <row r="2691">
      <c r="A2691" s="14" t="str">
        <f t="shared" si="1"/>
        <v>C152946135</v>
      </c>
      <c r="B2691" s="185">
        <f t="array" ref="B2691">IF(F2691="VL","",IF(F2691="Free","Free",XLOOKUP(D2691,Roster!T:T,Roster!S:S,"",0)))</f>
        <v>133</v>
      </c>
      <c r="C2691" s="313">
        <v>46135.0</v>
      </c>
      <c r="D2691" s="314" t="s">
        <v>25</v>
      </c>
      <c r="E2691" s="307" t="str">
        <f t="array" ref="E2691">(XLOOKUP(D2691,Roster!F:F,Roster!B:B,"",0))</f>
        <v>Daniel Barrientos</v>
      </c>
      <c r="F2691" s="315" t="str">
        <f t="array" ref="F2691">IF(B2691=100,"Free",TEXT(XLOOKUP($D2691,OperationVoice!$A:$A,OperationVoice!AC:AC,XLOOKUP($D2691,OperationTickets!$A:$A,OperationTickets!AC:AC,"",0)),"hh:mm"))</f>
        <v>09:00</v>
      </c>
      <c r="G2691" s="309">
        <f t="shared" si="3"/>
        <v>0.75</v>
      </c>
      <c r="H2691" s="316" t="str">
        <f t="array" ref="H2691">XLOOKUP(B2691,Roster!L:L,Roster!N:N,XLOOKUP(D2691,TicketsBreak!A:A,TicketsBreak!E:E,"",0),0)</f>
        <v>10:45 - 11:00 </v>
      </c>
      <c r="I2691" s="316" t="str">
        <f t="array" ref="I2691">XLOOKUP(B2691,Roster!L:L,Roster!O:O,XLOOKUP(D2691,TicketsBreak!A:A,TicketsBreak!F:F,"",0),0)</f>
        <v>13:30 - 14:00</v>
      </c>
      <c r="J2691" s="316" t="str">
        <f t="array" ref="J2691">XLOOKUP(B2691,Roster!L:L,Roster!P:P,XLOOKUP(D2691,TicketsBreak!A:A,TicketsBreak!G:G,"",0),0)</f>
        <v>15:45 - 16:00</v>
      </c>
      <c r="K2691" s="310">
        <f t="shared" si="4"/>
        <v>46135</v>
      </c>
      <c r="L2691" s="317">
        <f t="array" ref="L2691">(XLOOKUP(D2691,Roster!F:F,Roster!D:D,"",0))</f>
        <v>36</v>
      </c>
      <c r="M2691" s="317" t="str">
        <f t="array" ref="M2691">XLOOKUP(D2691,Roster!F:F,Roster!E:E)</f>
        <v>Voice</v>
      </c>
      <c r="N2691" s="317" t="str">
        <f t="shared" ref="N2691:P2691" si="2729">LEFT(H2691,5)</f>
        <v>10:45</v>
      </c>
      <c r="O2691" s="317" t="str">
        <f t="shared" si="2729"/>
        <v>13:30</v>
      </c>
      <c r="P2691" s="317" t="str">
        <f t="shared" si="2729"/>
        <v>15:45</v>
      </c>
      <c r="Q2691" s="318">
        <f t="shared" si="2649"/>
        <v>46135.44792</v>
      </c>
      <c r="R2691" s="318">
        <f t="shared" si="2650"/>
        <v>46135.5625</v>
      </c>
      <c r="S2691" s="318">
        <f t="shared" si="8"/>
        <v>46135.65625</v>
      </c>
    </row>
    <row r="2692">
      <c r="A2692" s="14" t="str">
        <f t="shared" si="1"/>
        <v>C106446135</v>
      </c>
      <c r="B2692" s="185" t="str">
        <f t="array" ref="B2692">IF(F2692="VL","",IF(F2692="Free","Free",XLOOKUP(D2692,Roster!T:T,Roster!S:S,"",0)))</f>
        <v/>
      </c>
      <c r="C2692" s="313">
        <v>46135.0</v>
      </c>
      <c r="D2692" s="314" t="s">
        <v>175</v>
      </c>
      <c r="E2692" s="307" t="str">
        <f t="array" ref="E2692">(XLOOKUP(D2692,Roster!F:F,Roster!B:B,"",0))</f>
        <v>Daniel Urrego</v>
      </c>
      <c r="F2692" s="315" t="str">
        <f t="array" ref="F2692">IF(B2692=100,"Free",TEXT(XLOOKUP($D2692,OperationVoice!$A:$A,OperationVoice!AC:AC,XLOOKUP($D2692,OperationTickets!$A:$A,OperationTickets!AC:AC,"",0)),"hh:mm"))</f>
        <v>08:00</v>
      </c>
      <c r="G2692" s="309">
        <f t="shared" si="3"/>
        <v>0.7083333333</v>
      </c>
      <c r="H2692" s="316" t="str">
        <f t="array" ref="H2692">XLOOKUP(B2692,Roster!L:L,Roster!N:N,XLOOKUP(D2692,TicketsBreak!A:A,TicketsBreak!E:E,"",0),0)</f>
        <v/>
      </c>
      <c r="I2692" s="316" t="str">
        <f t="array" ref="I2692">XLOOKUP(B2692,Roster!L:L,Roster!O:O,XLOOKUP(D2692,TicketsBreak!A:A,TicketsBreak!F:F,"",0),0)</f>
        <v/>
      </c>
      <c r="J2692" s="316" t="str">
        <f t="array" ref="J2692">XLOOKUP(B2692,Roster!L:L,Roster!P:P,XLOOKUP(D2692,TicketsBreak!A:A,TicketsBreak!G:G,"",0),0)</f>
        <v/>
      </c>
      <c r="K2692" s="310">
        <f t="shared" si="4"/>
        <v>46135</v>
      </c>
      <c r="L2692" s="317">
        <f t="array" ref="L2692">(XLOOKUP(D2692,Roster!F:F,Roster!D:D,"",0))</f>
        <v>17</v>
      </c>
      <c r="M2692" s="317" t="str">
        <f t="array" ref="M2692">XLOOKUP(D2692,Roster!F:F,Roster!E:E)</f>
        <v>Tickets</v>
      </c>
      <c r="N2692" s="317" t="str">
        <f t="shared" ref="N2692:P2692" si="2730">LEFT(H2692,5)</f>
        <v/>
      </c>
      <c r="O2692" s="317" t="str">
        <f t="shared" si="2730"/>
        <v/>
      </c>
      <c r="P2692" s="317" t="str">
        <f t="shared" si="2730"/>
        <v/>
      </c>
      <c r="Q2692" s="318" t="str">
        <f t="shared" si="2649"/>
        <v/>
      </c>
      <c r="R2692" s="318" t="str">
        <f t="shared" si="2650"/>
        <v/>
      </c>
      <c r="S2692" s="318" t="str">
        <f t="shared" si="8"/>
        <v/>
      </c>
    </row>
    <row r="2693">
      <c r="A2693" s="14" t="str">
        <f t="shared" si="1"/>
        <v>C151346135</v>
      </c>
      <c r="B2693" s="185">
        <f t="array" ref="B2693">IF(F2693="VL","",IF(F2693="Free","Free",XLOOKUP(D2693,Roster!T:T,Roster!S:S,"",0)))</f>
        <v>126</v>
      </c>
      <c r="C2693" s="313">
        <v>46135.0</v>
      </c>
      <c r="D2693" s="314" t="s">
        <v>26</v>
      </c>
      <c r="E2693" s="307" t="str">
        <f t="array" ref="E2693">(XLOOKUP(D2693,Roster!F:F,Roster!B:B,"",0))</f>
        <v>David Patino</v>
      </c>
      <c r="F2693" s="315" t="str">
        <f t="array" ref="F2693">IF(B2693=100,"Free",TEXT(XLOOKUP($D2693,OperationVoice!$A:$A,OperationVoice!AC:AC,XLOOKUP($D2693,OperationTickets!$A:$A,OperationTickets!AC:AC,"",0)),"hh:mm"))</f>
        <v>08:00</v>
      </c>
      <c r="G2693" s="309">
        <f t="shared" si="3"/>
        <v>0.7083333333</v>
      </c>
      <c r="H2693" s="316" t="str">
        <f t="array" ref="H2693">XLOOKUP(B2693,Roster!L:L,Roster!N:N,XLOOKUP(D2693,TicketsBreak!A:A,TicketsBreak!E:E,"",0),0)</f>
        <v>10:45 - 11:00</v>
      </c>
      <c r="I2693" s="316" t="str">
        <f t="array" ref="I2693">XLOOKUP(B2693,Roster!L:L,Roster!O:O,XLOOKUP(D2693,TicketsBreak!A:A,TicketsBreak!F:F,"",0),0)</f>
        <v>14:00 - 14:30</v>
      </c>
      <c r="J2693" s="316" t="str">
        <f t="array" ref="J2693">XLOOKUP(B2693,Roster!L:L,Roster!P:P,XLOOKUP(D2693,TicketsBreak!A:A,TicketsBreak!G:G,"",0),0)</f>
        <v>15:45 - 16:00</v>
      </c>
      <c r="K2693" s="310">
        <f t="shared" si="4"/>
        <v>46135</v>
      </c>
      <c r="L2693" s="317">
        <f t="array" ref="L2693">(XLOOKUP(D2693,Roster!F:F,Roster!D:D,"",0))</f>
        <v>35</v>
      </c>
      <c r="M2693" s="317" t="str">
        <f t="array" ref="M2693">XLOOKUP(D2693,Roster!F:F,Roster!E:E)</f>
        <v>Voice</v>
      </c>
      <c r="N2693" s="317" t="str">
        <f t="shared" ref="N2693:P2693" si="2731">LEFT(H2693,5)</f>
        <v>10:45</v>
      </c>
      <c r="O2693" s="317" t="str">
        <f t="shared" si="2731"/>
        <v>14:00</v>
      </c>
      <c r="P2693" s="317" t="str">
        <f t="shared" si="2731"/>
        <v>15:45</v>
      </c>
      <c r="Q2693" s="318">
        <f t="shared" si="2649"/>
        <v>46135.44792</v>
      </c>
      <c r="R2693" s="318">
        <f t="shared" si="2650"/>
        <v>46135.58333</v>
      </c>
      <c r="S2693" s="318">
        <f t="shared" si="8"/>
        <v>46135.65625</v>
      </c>
    </row>
    <row r="2694">
      <c r="A2694" s="14" t="str">
        <f t="shared" si="1"/>
        <v>C127746135</v>
      </c>
      <c r="B2694" s="185">
        <f t="array" ref="B2694">IF(F2694="VL","",IF(F2694="Free","Free",XLOOKUP(D2694,Roster!T:T,Roster!S:S,"",0)))</f>
        <v>124</v>
      </c>
      <c r="C2694" s="313">
        <v>46135.0</v>
      </c>
      <c r="D2694" s="314" t="s">
        <v>27</v>
      </c>
      <c r="E2694" s="307" t="str">
        <f t="array" ref="E2694">(XLOOKUP(D2694,Roster!F:F,Roster!B:B,"",0))</f>
        <v>Edwuin Martinez</v>
      </c>
      <c r="F2694" s="315" t="str">
        <f t="array" ref="F2694">IF(B2694=100,"Free",TEXT(XLOOKUP($D2694,OperationVoice!$A:$A,OperationVoice!AC:AC,XLOOKUP($D2694,OperationTickets!$A:$A,OperationTickets!AC:AC,"",0)),"hh:mm"))</f>
        <v>08:00</v>
      </c>
      <c r="G2694" s="309">
        <f t="shared" si="3"/>
        <v>0.7083333333</v>
      </c>
      <c r="H2694" s="316" t="str">
        <f t="array" ref="H2694">XLOOKUP(B2694,Roster!L:L,Roster!N:N,XLOOKUP(D2694,TicketsBreak!A:A,TicketsBreak!E:E,"",0),0)</f>
        <v>10:00 - 10:15</v>
      </c>
      <c r="I2694" s="316" t="str">
        <f t="array" ref="I2694">XLOOKUP(B2694,Roster!L:L,Roster!O:O,XLOOKUP(D2694,TicketsBreak!A:A,TicketsBreak!F:F,"",0),0)</f>
        <v>13:00 - 13:30</v>
      </c>
      <c r="J2694" s="316" t="str">
        <f t="array" ref="J2694">XLOOKUP(B2694,Roster!L:L,Roster!P:P,XLOOKUP(D2694,TicketsBreak!A:A,TicketsBreak!G:G,"",0),0)</f>
        <v>15:30 - 15:45</v>
      </c>
      <c r="K2694" s="310">
        <f t="shared" si="4"/>
        <v>46135</v>
      </c>
      <c r="L2694" s="317">
        <f t="array" ref="L2694">(XLOOKUP(D2694,Roster!F:F,Roster!D:D,"",0))</f>
        <v>27</v>
      </c>
      <c r="M2694" s="317" t="str">
        <f t="array" ref="M2694">XLOOKUP(D2694,Roster!F:F,Roster!E:E)</f>
        <v>Voice</v>
      </c>
      <c r="N2694" s="317" t="str">
        <f t="shared" ref="N2694:P2694" si="2732">LEFT(H2694,5)</f>
        <v>10:00</v>
      </c>
      <c r="O2694" s="317" t="str">
        <f t="shared" si="2732"/>
        <v>13:00</v>
      </c>
      <c r="P2694" s="317" t="str">
        <f t="shared" si="2732"/>
        <v>15:30</v>
      </c>
      <c r="Q2694" s="318">
        <f t="shared" si="2649"/>
        <v>46135.41667</v>
      </c>
      <c r="R2694" s="318">
        <f t="shared" si="2650"/>
        <v>46135.54167</v>
      </c>
      <c r="S2694" s="318">
        <f t="shared" si="8"/>
        <v>46135.64583</v>
      </c>
    </row>
    <row r="2695">
      <c r="A2695" s="14" t="str">
        <f t="shared" si="1"/>
        <v>C121646135</v>
      </c>
      <c r="B2695" s="185" t="str">
        <f t="array" ref="B2695">IF(F2695="VL","",IF(F2695="Free","Free",XLOOKUP(D2695,Roster!T:T,Roster!S:S,"",0)))</f>
        <v>Free</v>
      </c>
      <c r="C2695" s="313">
        <v>46135.0</v>
      </c>
      <c r="D2695" s="314" t="s">
        <v>134</v>
      </c>
      <c r="E2695" s="307" t="str">
        <f t="array" ref="E2695">(XLOOKUP(D2695,Roster!F:F,Roster!B:B,"",0))</f>
        <v>Eliana Pena</v>
      </c>
      <c r="F2695" s="315" t="str">
        <f t="array" ref="F2695">IF(B2695=100,"Free",TEXT(XLOOKUP($D2695,OperationVoice!$A:$A,OperationVoice!AC:AC,XLOOKUP($D2695,OperationTickets!$A:$A,OperationTickets!AC:AC,"",0)),"hh:mm"))</f>
        <v>Free</v>
      </c>
      <c r="G2695" s="309" t="str">
        <f t="shared" si="3"/>
        <v>Free</v>
      </c>
      <c r="H2695" s="316">
        <f t="array" ref="H2695">XLOOKUP(B2695,Roster!L:L,Roster!N:N,XLOOKUP(D2695,TicketsBreak!A:A,TicketsBreak!E:E,"",0),0)</f>
        <v>0.3958333333</v>
      </c>
      <c r="I2695" s="316">
        <f t="array" ref="I2695">XLOOKUP(B2695,Roster!L:L,Roster!O:O,XLOOKUP(D2695,TicketsBreak!A:A,TicketsBreak!F:F,"",0),0)</f>
        <v>0.5416666667</v>
      </c>
      <c r="J2695" s="316">
        <f t="array" ref="J2695">XLOOKUP(B2695,Roster!L:L,Roster!P:P,XLOOKUP(D2695,TicketsBreak!A:A,TicketsBreak!G:G,"",0),0)</f>
        <v>0.6354166667</v>
      </c>
      <c r="K2695" s="310">
        <f t="shared" si="4"/>
        <v>46135</v>
      </c>
      <c r="L2695" s="317">
        <f t="array" ref="L2695">(XLOOKUP(D2695,Roster!F:F,Roster!D:D,"",0))</f>
        <v>26</v>
      </c>
      <c r="M2695" s="317" t="str">
        <f t="array" ref="M2695">XLOOKUP(D2695,Roster!F:F,Roster!E:E)</f>
        <v>Tickets</v>
      </c>
      <c r="N2695" s="317" t="str">
        <f t="shared" ref="N2695:P2695" si="2733">LEFT(H2695,5)</f>
        <v>09:30</v>
      </c>
      <c r="O2695" s="317" t="str">
        <f t="shared" si="2733"/>
        <v>13:00</v>
      </c>
      <c r="P2695" s="317" t="str">
        <f t="shared" si="2733"/>
        <v>15:15</v>
      </c>
      <c r="Q2695" s="318">
        <f t="shared" si="2649"/>
        <v>46135.39583</v>
      </c>
      <c r="R2695" s="318">
        <f t="shared" si="2650"/>
        <v>46135.54167</v>
      </c>
      <c r="S2695" s="318">
        <f t="shared" si="8"/>
        <v>46135.63542</v>
      </c>
    </row>
    <row r="2696">
      <c r="A2696" s="14" t="str">
        <f t="shared" si="1"/>
        <v>C157346135</v>
      </c>
      <c r="B2696" s="185">
        <f t="array" ref="B2696">IF(F2696="VL","",IF(F2696="Free","Free",XLOOKUP(D2696,Roster!T:T,Roster!S:S,"",0)))</f>
        <v>123</v>
      </c>
      <c r="C2696" s="313">
        <v>46135.0</v>
      </c>
      <c r="D2696" s="314" t="s">
        <v>28</v>
      </c>
      <c r="E2696" s="307" t="str">
        <f t="array" ref="E2696">(XLOOKUP(D2696,Roster!F:F,Roster!B:B,"",0))</f>
        <v>Esteban Correa</v>
      </c>
      <c r="F2696" s="315" t="str">
        <f t="array" ref="F2696">IF(B2696=100,"Free",TEXT(XLOOKUP($D2696,OperationVoice!$A:$A,OperationVoice!AC:AC,XLOOKUP($D2696,OperationTickets!$A:$A,OperationTickets!AC:AC,"",0)),"hh:mm"))</f>
        <v>08:00</v>
      </c>
      <c r="G2696" s="309">
        <f t="shared" si="3"/>
        <v>0.7083333333</v>
      </c>
      <c r="H2696" s="316" t="str">
        <f t="array" ref="H2696">XLOOKUP(B2696,Roster!L:L,Roster!N:N,XLOOKUP(D2696,TicketsBreak!A:A,TicketsBreak!E:E,"",0),0)</f>
        <v>09:45 - 10:00 </v>
      </c>
      <c r="I2696" s="316" t="str">
        <f t="array" ref="I2696">XLOOKUP(B2696,Roster!L:L,Roster!O:O,XLOOKUP(D2696,TicketsBreak!A:A,TicketsBreak!F:F,"",0),0)</f>
        <v>12:30 - 13:00</v>
      </c>
      <c r="J2696" s="316" t="str">
        <f t="array" ref="J2696">XLOOKUP(B2696,Roster!L:L,Roster!P:P,XLOOKUP(D2696,TicketsBreak!A:A,TicketsBreak!G:G,"",0),0)</f>
        <v>15:00 - 15:15</v>
      </c>
      <c r="K2696" s="310">
        <f t="shared" si="4"/>
        <v>46135</v>
      </c>
      <c r="L2696" s="317">
        <f t="array" ref="L2696">(XLOOKUP(D2696,Roster!F:F,Roster!D:D,"",0))</f>
        <v>38</v>
      </c>
      <c r="M2696" s="317" t="str">
        <f t="array" ref="M2696">XLOOKUP(D2696,Roster!F:F,Roster!E:E)</f>
        <v>Voice</v>
      </c>
      <c r="N2696" s="317" t="str">
        <f t="shared" ref="N2696:P2696" si="2734">LEFT(H2696,5)</f>
        <v>09:45</v>
      </c>
      <c r="O2696" s="317" t="str">
        <f t="shared" si="2734"/>
        <v>12:30</v>
      </c>
      <c r="P2696" s="317" t="str">
        <f t="shared" si="2734"/>
        <v>15:00</v>
      </c>
      <c r="Q2696" s="318">
        <f t="shared" si="2649"/>
        <v>46135.40625</v>
      </c>
      <c r="R2696" s="318">
        <f t="shared" si="2650"/>
        <v>46135.52083</v>
      </c>
      <c r="S2696" s="318">
        <f t="shared" si="8"/>
        <v>46135.625</v>
      </c>
    </row>
    <row r="2697">
      <c r="A2697" s="14" t="str">
        <f t="shared" si="1"/>
        <v>C71346135</v>
      </c>
      <c r="B2697" s="185">
        <f t="array" ref="B2697">IF(F2697="VL","",IF(F2697="Free","Free",XLOOKUP(D2697,Roster!T:T,Roster!S:S,"",0)))</f>
        <v>125</v>
      </c>
      <c r="C2697" s="313">
        <v>46135.0</v>
      </c>
      <c r="D2697" s="314" t="s">
        <v>29</v>
      </c>
      <c r="E2697" s="307" t="str">
        <f t="array" ref="E2697">(XLOOKUP(D2697,Roster!F:F,Roster!B:B,"",0))</f>
        <v>Frank Marin</v>
      </c>
      <c r="F2697" s="315" t="str">
        <f t="array" ref="F2697">IF(B2697=100,"Free",TEXT(XLOOKUP($D2697,OperationVoice!$A:$A,OperationVoice!AC:AC,XLOOKUP($D2697,OperationTickets!$A:$A,OperationTickets!AC:AC,"",0)),"hh:mm"))</f>
        <v>08:00</v>
      </c>
      <c r="G2697" s="309">
        <f t="shared" si="3"/>
        <v>0.7083333333</v>
      </c>
      <c r="H2697" s="316" t="str">
        <f t="array" ref="H2697">XLOOKUP(B2697,Roster!L:L,Roster!N:N,XLOOKUP(D2697,TicketsBreak!A:A,TicketsBreak!E:E,"",0),0)</f>
        <v>10:30 - 10:45</v>
      </c>
      <c r="I2697" s="316" t="str">
        <f t="array" ref="I2697">XLOOKUP(B2697,Roster!L:L,Roster!O:O,XLOOKUP(D2697,TicketsBreak!A:A,TicketsBreak!F:F,"",0),0)</f>
        <v>13:30 - 14:00</v>
      </c>
      <c r="J2697" s="316" t="str">
        <f t="array" ref="J2697">XLOOKUP(B2697,Roster!L:L,Roster!P:P,XLOOKUP(D2697,TicketsBreak!A:A,TicketsBreak!G:G,"",0),0)</f>
        <v>15:45 - 16:00</v>
      </c>
      <c r="K2697" s="310">
        <f t="shared" si="4"/>
        <v>46135</v>
      </c>
      <c r="L2697" s="317">
        <f t="array" ref="L2697">(XLOOKUP(D2697,Roster!F:F,Roster!D:D,"",0))</f>
        <v>6</v>
      </c>
      <c r="M2697" s="317" t="str">
        <f t="array" ref="M2697">XLOOKUP(D2697,Roster!F:F,Roster!E:E)</f>
        <v>Voice</v>
      </c>
      <c r="N2697" s="317" t="str">
        <f t="shared" ref="N2697:P2697" si="2735">LEFT(H2697,5)</f>
        <v>10:30</v>
      </c>
      <c r="O2697" s="317" t="str">
        <f t="shared" si="2735"/>
        <v>13:30</v>
      </c>
      <c r="P2697" s="317" t="str">
        <f t="shared" si="2735"/>
        <v>15:45</v>
      </c>
      <c r="Q2697" s="318">
        <f t="shared" si="2649"/>
        <v>46135.4375</v>
      </c>
      <c r="R2697" s="318">
        <f t="shared" si="2650"/>
        <v>46135.5625</v>
      </c>
      <c r="S2697" s="318">
        <f t="shared" si="8"/>
        <v>46135.65625</v>
      </c>
    </row>
    <row r="2698">
      <c r="A2698" s="14" t="str">
        <f t="shared" si="1"/>
        <v>C154846135</v>
      </c>
      <c r="B2698" s="185" t="str">
        <f t="array" ref="B2698">IF(F2698="VL","",IF(F2698="Free","Free",XLOOKUP(D2698,Roster!T:T,Roster!S:S,"",0)))</f>
        <v>Free</v>
      </c>
      <c r="C2698" s="313">
        <v>46135.0</v>
      </c>
      <c r="D2698" s="314" t="s">
        <v>30</v>
      </c>
      <c r="E2698" s="307" t="str">
        <f t="array" ref="E2698">(XLOOKUP(D2698,Roster!F:F,Roster!B:B,"",0))</f>
        <v>Frey ortiz</v>
      </c>
      <c r="F2698" s="315" t="str">
        <f t="array" ref="F2698">IF(B2698=100,"Free",TEXT(XLOOKUP($D2698,OperationVoice!$A:$A,OperationVoice!AC:AC,XLOOKUP($D2698,OperationTickets!$A:$A,OperationTickets!AC:AC,"",0)),"hh:mm"))</f>
        <v>Free</v>
      </c>
      <c r="G2698" s="309" t="str">
        <f t="shared" si="3"/>
        <v>Free</v>
      </c>
      <c r="H2698" s="316" t="str">
        <f t="array" ref="H2698">XLOOKUP(B2698,Roster!L:L,Roster!N:N,XLOOKUP(D2698,TicketsBreak!A:A,TicketsBreak!E:E,"",0),0)</f>
        <v/>
      </c>
      <c r="I2698" s="316" t="str">
        <f t="array" ref="I2698">XLOOKUP(B2698,Roster!L:L,Roster!O:O,XLOOKUP(D2698,TicketsBreak!A:A,TicketsBreak!F:F,"",0),0)</f>
        <v/>
      </c>
      <c r="J2698" s="316" t="str">
        <f t="array" ref="J2698">XLOOKUP(B2698,Roster!L:L,Roster!P:P,XLOOKUP(D2698,TicketsBreak!A:A,TicketsBreak!G:G,"",0),0)</f>
        <v/>
      </c>
      <c r="K2698" s="310">
        <f t="shared" si="4"/>
        <v>46135</v>
      </c>
      <c r="L2698" s="317">
        <f t="array" ref="L2698">(XLOOKUP(D2698,Roster!F:F,Roster!D:D,"",0))</f>
        <v>37</v>
      </c>
      <c r="M2698" s="317" t="str">
        <f t="array" ref="M2698">XLOOKUP(D2698,Roster!F:F,Roster!E:E)</f>
        <v>Voice</v>
      </c>
      <c r="N2698" s="317" t="str">
        <f t="shared" ref="N2698:P2698" si="2736">LEFT(H2698,5)</f>
        <v/>
      </c>
      <c r="O2698" s="317" t="str">
        <f t="shared" si="2736"/>
        <v/>
      </c>
      <c r="P2698" s="317" t="str">
        <f t="shared" si="2736"/>
        <v/>
      </c>
      <c r="Q2698" s="318" t="str">
        <f t="shared" si="2649"/>
        <v/>
      </c>
      <c r="R2698" s="318" t="str">
        <f t="shared" si="2650"/>
        <v/>
      </c>
      <c r="S2698" s="318" t="str">
        <f t="shared" si="8"/>
        <v/>
      </c>
    </row>
    <row r="2699">
      <c r="A2699" s="14" t="str">
        <f t="shared" si="1"/>
        <v>C148646135</v>
      </c>
      <c r="B2699" s="185" t="str">
        <f t="array" ref="B2699">IF(F2699="VL","",IF(F2699="Free","Free",XLOOKUP(D2699,Roster!T:T,Roster!S:S,"",0)))</f>
        <v>Free</v>
      </c>
      <c r="C2699" s="313">
        <v>46135.0</v>
      </c>
      <c r="D2699" s="314" t="s">
        <v>31</v>
      </c>
      <c r="E2699" s="307" t="str">
        <f t="array" ref="E2699">(XLOOKUP(D2699,Roster!F:F,Roster!B:B,"",0))</f>
        <v>Gabriel Gomez</v>
      </c>
      <c r="F2699" s="315" t="str">
        <f t="array" ref="F2699">IF(B2699=100,"Free",TEXT(XLOOKUP($D2699,OperationVoice!$A:$A,OperationVoice!AC:AC,XLOOKUP($D2699,OperationTickets!$A:$A,OperationTickets!AC:AC,"",0)),"hh:mm"))</f>
        <v>Free</v>
      </c>
      <c r="G2699" s="309" t="str">
        <f t="shared" si="3"/>
        <v>Free</v>
      </c>
      <c r="H2699" s="316" t="str">
        <f t="array" ref="H2699">XLOOKUP(B2699,Roster!L:L,Roster!N:N,XLOOKUP(D2699,TicketsBreak!A:A,TicketsBreak!E:E,"",0),0)</f>
        <v/>
      </c>
      <c r="I2699" s="316" t="str">
        <f t="array" ref="I2699">XLOOKUP(B2699,Roster!L:L,Roster!O:O,XLOOKUP(D2699,TicketsBreak!A:A,TicketsBreak!F:F,"",0),0)</f>
        <v/>
      </c>
      <c r="J2699" s="316" t="str">
        <f t="array" ref="J2699">XLOOKUP(B2699,Roster!L:L,Roster!P:P,XLOOKUP(D2699,TicketsBreak!A:A,TicketsBreak!G:G,"",0),0)</f>
        <v/>
      </c>
      <c r="K2699" s="310">
        <f t="shared" si="4"/>
        <v>46135</v>
      </c>
      <c r="L2699" s="317">
        <f t="array" ref="L2699">(XLOOKUP(D2699,Roster!F:F,Roster!D:D,"",0))</f>
        <v>34</v>
      </c>
      <c r="M2699" s="317" t="str">
        <f t="array" ref="M2699">XLOOKUP(D2699,Roster!F:F,Roster!E:E)</f>
        <v>Voice</v>
      </c>
      <c r="N2699" s="317" t="str">
        <f t="shared" ref="N2699:P2699" si="2737">LEFT(H2699,5)</f>
        <v/>
      </c>
      <c r="O2699" s="317" t="str">
        <f t="shared" si="2737"/>
        <v/>
      </c>
      <c r="P2699" s="317" t="str">
        <f t="shared" si="2737"/>
        <v/>
      </c>
      <c r="Q2699" s="318" t="str">
        <f t="shared" si="2649"/>
        <v/>
      </c>
      <c r="R2699" s="318" t="str">
        <f t="shared" si="2650"/>
        <v/>
      </c>
      <c r="S2699" s="318" t="str">
        <f t="shared" si="8"/>
        <v/>
      </c>
    </row>
    <row r="2700">
      <c r="A2700" s="14" t="str">
        <f t="shared" si="1"/>
        <v>C136946135</v>
      </c>
      <c r="B2700" s="185">
        <f t="array" ref="B2700">IF(F2700="VL","",IF(F2700="Free","Free",XLOOKUP(D2700,Roster!T:T,Roster!S:S,"",0)))</f>
        <v>126</v>
      </c>
      <c r="C2700" s="313">
        <v>46135.0</v>
      </c>
      <c r="D2700" s="314" t="s">
        <v>157</v>
      </c>
      <c r="E2700" s="307" t="str">
        <f t="array" ref="E2700">(XLOOKUP(D2700,Roster!F:F,Roster!B:B,"",0))</f>
        <v>Gabriela Jimenez</v>
      </c>
      <c r="F2700" s="315" t="str">
        <f t="array" ref="F2700">IF(B2700=100,"Free",TEXT(XLOOKUP($D2700,OperationVoice!$A:$A,OperationVoice!AC:AC,XLOOKUP($D2700,OperationTickets!$A:$A,OperationTickets!AC:AC,"",0)),"hh:mm"))</f>
        <v>08:00</v>
      </c>
      <c r="G2700" s="309">
        <f t="shared" si="3"/>
        <v>0.7083333333</v>
      </c>
      <c r="H2700" s="316" t="str">
        <f t="array" ref="H2700">XLOOKUP(B2700,Roster!L:L,Roster!N:N,XLOOKUP(D2700,TicketsBreak!A:A,TicketsBreak!E:E,"",0),0)</f>
        <v>10:45 - 11:00</v>
      </c>
      <c r="I2700" s="316" t="str">
        <f t="array" ref="I2700">XLOOKUP(B2700,Roster!L:L,Roster!O:O,XLOOKUP(D2700,TicketsBreak!A:A,TicketsBreak!F:F,"",0),0)</f>
        <v>14:00 - 14:30</v>
      </c>
      <c r="J2700" s="316" t="str">
        <f t="array" ref="J2700">XLOOKUP(B2700,Roster!L:L,Roster!P:P,XLOOKUP(D2700,TicketsBreak!A:A,TicketsBreak!G:G,"",0),0)</f>
        <v>15:45 - 16:00</v>
      </c>
      <c r="K2700" s="310">
        <f t="shared" si="4"/>
        <v>46135</v>
      </c>
      <c r="L2700" s="317">
        <f t="array" ref="L2700">(XLOOKUP(D2700,Roster!F:F,Roster!D:D,"",0))</f>
        <v>31</v>
      </c>
      <c r="M2700" s="317" t="str">
        <f t="array" ref="M2700">XLOOKUP(D2700,Roster!F:F,Roster!E:E)</f>
        <v>Tickets</v>
      </c>
      <c r="N2700" s="317" t="str">
        <f t="shared" ref="N2700:P2700" si="2738">LEFT(H2700,5)</f>
        <v>10:45</v>
      </c>
      <c r="O2700" s="317" t="str">
        <f t="shared" si="2738"/>
        <v>14:00</v>
      </c>
      <c r="P2700" s="317" t="str">
        <f t="shared" si="2738"/>
        <v>15:45</v>
      </c>
      <c r="Q2700" s="318">
        <f t="shared" si="2649"/>
        <v>46135.44792</v>
      </c>
      <c r="R2700" s="318">
        <f t="shared" si="2650"/>
        <v>46135.58333</v>
      </c>
      <c r="S2700" s="318">
        <f t="shared" si="8"/>
        <v>46135.65625</v>
      </c>
    </row>
    <row r="2701">
      <c r="A2701" s="14" t="str">
        <f t="shared" si="1"/>
        <v>C101746135</v>
      </c>
      <c r="B2701" s="185">
        <f t="array" ref="B2701">IF(F2701="VL","",IF(F2701="Free","Free",XLOOKUP(D2701,Roster!T:T,Roster!S:S,"",0)))</f>
        <v>121</v>
      </c>
      <c r="C2701" s="313">
        <v>46135.0</v>
      </c>
      <c r="D2701" s="314" t="s">
        <v>32</v>
      </c>
      <c r="E2701" s="307" t="str">
        <f t="array" ref="E2701">(XLOOKUP(D2701,Roster!F:F,Roster!B:B,"",0))</f>
        <v>Geraldine Correa</v>
      </c>
      <c r="F2701" s="315" t="str">
        <f t="array" ref="F2701">IF(B2701=100,"Free",TEXT(XLOOKUP($D2701,OperationVoice!$A:$A,OperationVoice!AC:AC,XLOOKUP($D2701,OperationTickets!$A:$A,OperationTickets!AC:AC,"",0)),"hh:mm"))</f>
        <v>08:00</v>
      </c>
      <c r="G2701" s="309">
        <f t="shared" si="3"/>
        <v>0.7083333333</v>
      </c>
      <c r="H2701" s="316" t="str">
        <f t="array" ref="H2701">XLOOKUP(B2701,Roster!L:L,Roster!N:N,XLOOKUP(D2701,TicketsBreak!A:A,TicketsBreak!E:E,"",0),0)</f>
        <v>09:15 - 09:30</v>
      </c>
      <c r="I2701" s="316" t="str">
        <f t="array" ref="I2701">XLOOKUP(B2701,Roster!L:L,Roster!O:O,XLOOKUP(D2701,TicketsBreak!A:A,TicketsBreak!F:F,"",0),0)</f>
        <v>11:30 - 12:00</v>
      </c>
      <c r="J2701" s="316" t="str">
        <f t="array" ref="J2701">XLOOKUP(B2701,Roster!L:L,Roster!P:P,XLOOKUP(D2701,TicketsBreak!A:A,TicketsBreak!G:G,"",0),0)</f>
        <v>14:30 - 14:45</v>
      </c>
      <c r="K2701" s="310">
        <f t="shared" si="4"/>
        <v>46135</v>
      </c>
      <c r="L2701" s="317">
        <f t="array" ref="L2701">(XLOOKUP(D2701,Roster!F:F,Roster!D:D,"",0))</f>
        <v>23</v>
      </c>
      <c r="M2701" s="317" t="str">
        <f t="array" ref="M2701">XLOOKUP(D2701,Roster!F:F,Roster!E:E)</f>
        <v>Voice</v>
      </c>
      <c r="N2701" s="317" t="str">
        <f t="shared" ref="N2701:P2701" si="2739">LEFT(H2701,5)</f>
        <v>09:15</v>
      </c>
      <c r="O2701" s="317" t="str">
        <f t="shared" si="2739"/>
        <v>11:30</v>
      </c>
      <c r="P2701" s="317" t="str">
        <f t="shared" si="2739"/>
        <v>14:30</v>
      </c>
      <c r="Q2701" s="318">
        <f t="shared" si="2649"/>
        <v>46135.38542</v>
      </c>
      <c r="R2701" s="318">
        <f t="shared" si="2650"/>
        <v>46135.47917</v>
      </c>
      <c r="S2701" s="318">
        <f t="shared" si="8"/>
        <v>46135.60417</v>
      </c>
    </row>
    <row r="2702">
      <c r="A2702" s="14" t="str">
        <f t="shared" si="1"/>
        <v>C154146135</v>
      </c>
      <c r="B2702" s="185">
        <f t="array" ref="B2702">IF(F2702="VL","",IF(F2702="Free","Free",XLOOKUP(D2702,Roster!T:T,Roster!S:S,"",0)))</f>
        <v>155</v>
      </c>
      <c r="C2702" s="313">
        <v>46135.0</v>
      </c>
      <c r="D2702" s="314" t="s">
        <v>33</v>
      </c>
      <c r="E2702" s="307" t="str">
        <f t="array" ref="E2702">(XLOOKUP(D2702,Roster!F:F,Roster!B:B,"",0))</f>
        <v>Gisel Moya</v>
      </c>
      <c r="F2702" s="315" t="str">
        <f t="array" ref="F2702">IF(B2702=100,"Free",TEXT(XLOOKUP($D2702,OperationVoice!$A:$A,OperationVoice!AC:AC,XLOOKUP($D2702,OperationTickets!$A:$A,OperationTickets!AC:AC,"",0)),"hh:mm"))</f>
        <v>11:00</v>
      </c>
      <c r="G2702" s="309">
        <f t="shared" si="3"/>
        <v>0.8333333333</v>
      </c>
      <c r="H2702" s="316" t="str">
        <f t="array" ref="H2702">XLOOKUP(B2702,Roster!L:L,Roster!N:N,XLOOKUP(D2702,TicketsBreak!A:A,TicketsBreak!E:E,"",0),0)</f>
        <v>13:15 - 13:30</v>
      </c>
      <c r="I2702" s="316" t="str">
        <f t="array" ref="I2702">XLOOKUP(B2702,Roster!L:L,Roster!O:O,XLOOKUP(D2702,TicketsBreak!A:A,TicketsBreak!F:F,"",0),0)</f>
        <v>15:45 - 16:15</v>
      </c>
      <c r="J2702" s="316" t="str">
        <f t="array" ref="J2702">XLOOKUP(B2702,Roster!L:L,Roster!P:P,XLOOKUP(D2702,TicketsBreak!A:A,TicketsBreak!G:G,"",0),0)</f>
        <v>18:15 - 18:30</v>
      </c>
      <c r="K2702" s="310">
        <f t="shared" si="4"/>
        <v>46135</v>
      </c>
      <c r="L2702" s="317">
        <f t="array" ref="L2702">(XLOOKUP(D2702,Roster!F:F,Roster!D:D,"",0))</f>
        <v>36</v>
      </c>
      <c r="M2702" s="317" t="str">
        <f t="array" ref="M2702">XLOOKUP(D2702,Roster!F:F,Roster!E:E)</f>
        <v>Voice</v>
      </c>
      <c r="N2702" s="317" t="str">
        <f t="shared" ref="N2702:P2702" si="2740">LEFT(H2702,5)</f>
        <v>13:15</v>
      </c>
      <c r="O2702" s="317" t="str">
        <f t="shared" si="2740"/>
        <v>15:45</v>
      </c>
      <c r="P2702" s="317" t="str">
        <f t="shared" si="2740"/>
        <v>18:15</v>
      </c>
      <c r="Q2702" s="318">
        <f t="shared" si="2649"/>
        <v>46135.55208</v>
      </c>
      <c r="R2702" s="318">
        <f t="shared" si="2650"/>
        <v>46135.65625</v>
      </c>
      <c r="S2702" s="318">
        <f t="shared" si="8"/>
        <v>46135.76042</v>
      </c>
    </row>
    <row r="2703">
      <c r="A2703" s="14" t="str">
        <f t="shared" si="1"/>
        <v>C86046135</v>
      </c>
      <c r="B2703" s="185" t="str">
        <f t="array" ref="B2703">IF(F2703="VL","",IF(F2703="Free","Free",XLOOKUP(D2703,Roster!T:T,Roster!S:S,"",0)))</f>
        <v>Free</v>
      </c>
      <c r="C2703" s="313">
        <v>46135.0</v>
      </c>
      <c r="D2703" s="314" t="s">
        <v>158</v>
      </c>
      <c r="E2703" s="307" t="str">
        <f t="array" ref="E2703">(XLOOKUP(D2703,Roster!F:F,Roster!B:B,"",0))</f>
        <v>Ief Fabre</v>
      </c>
      <c r="F2703" s="315" t="str">
        <f t="array" ref="F2703">IF(B2703=100,"Free",TEXT(XLOOKUP($D2703,OperationVoice!$A:$A,OperationVoice!AC:AC,XLOOKUP($D2703,OperationTickets!$A:$A,OperationTickets!AC:AC,"",0)),"hh:mm"))</f>
        <v>Free</v>
      </c>
      <c r="G2703" s="309" t="str">
        <f t="shared" si="3"/>
        <v>Free</v>
      </c>
      <c r="H2703" s="316">
        <f t="array" ref="H2703">XLOOKUP(B2703,Roster!L:L,Roster!N:N,XLOOKUP(D2703,TicketsBreak!A:A,TicketsBreak!E:E,"",0),0)</f>
        <v>0.4166666667</v>
      </c>
      <c r="I2703" s="316">
        <f t="array" ref="I2703">XLOOKUP(B2703,Roster!L:L,Roster!O:O,XLOOKUP(D2703,TicketsBreak!A:A,TicketsBreak!F:F,"",0),0)</f>
        <v>0.5</v>
      </c>
      <c r="J2703" s="316">
        <f t="array" ref="J2703">XLOOKUP(B2703,Roster!L:L,Roster!P:P,XLOOKUP(D2703,TicketsBreak!A:A,TicketsBreak!G:G,"",0),0)</f>
        <v>0.625</v>
      </c>
      <c r="K2703" s="310">
        <f t="shared" si="4"/>
        <v>46135</v>
      </c>
      <c r="L2703" s="317">
        <f t="array" ref="L2703">(XLOOKUP(D2703,Roster!F:F,Roster!D:D,"",0))</f>
        <v>10</v>
      </c>
      <c r="M2703" s="317" t="str">
        <f t="array" ref="M2703">XLOOKUP(D2703,Roster!F:F,Roster!E:E)</f>
        <v>Tickets</v>
      </c>
      <c r="N2703" s="317" t="str">
        <f t="shared" ref="N2703:P2703" si="2741">LEFT(H2703,5)</f>
        <v>10:00</v>
      </c>
      <c r="O2703" s="317" t="str">
        <f t="shared" si="2741"/>
        <v>12:00</v>
      </c>
      <c r="P2703" s="317" t="str">
        <f t="shared" si="2741"/>
        <v>15:00</v>
      </c>
      <c r="Q2703" s="318">
        <f t="shared" si="2649"/>
        <v>46135.41667</v>
      </c>
      <c r="R2703" s="318">
        <f t="shared" si="2650"/>
        <v>46135.5</v>
      </c>
      <c r="S2703" s="318">
        <f t="shared" si="8"/>
        <v>46135.625</v>
      </c>
    </row>
    <row r="2704">
      <c r="A2704" s="14" t="str">
        <f t="shared" si="1"/>
        <v>C148146135</v>
      </c>
      <c r="B2704" s="185">
        <f t="array" ref="B2704">IF(F2704="VL","",IF(F2704="Free","Free",XLOOKUP(D2704,Roster!T:T,Roster!S:S,"",0)))</f>
        <v>155</v>
      </c>
      <c r="C2704" s="313">
        <v>46135.0</v>
      </c>
      <c r="D2704" s="314" t="s">
        <v>34</v>
      </c>
      <c r="E2704" s="307" t="str">
        <f t="array" ref="E2704">(XLOOKUP(D2704,Roster!F:F,Roster!B:B,"",0))</f>
        <v>Jasam Mejia</v>
      </c>
      <c r="F2704" s="315" t="str">
        <f t="array" ref="F2704">IF(B2704=100,"Free",TEXT(XLOOKUP($D2704,OperationVoice!$A:$A,OperationVoice!AC:AC,XLOOKUP($D2704,OperationTickets!$A:$A,OperationTickets!AC:AC,"",0)),"hh:mm"))</f>
        <v>11:00</v>
      </c>
      <c r="G2704" s="309">
        <f t="shared" si="3"/>
        <v>0.8333333333</v>
      </c>
      <c r="H2704" s="316" t="str">
        <f t="array" ref="H2704">XLOOKUP(B2704,Roster!L:L,Roster!N:N,XLOOKUP(D2704,TicketsBreak!A:A,TicketsBreak!E:E,"",0),0)</f>
        <v>13:15 - 13:30</v>
      </c>
      <c r="I2704" s="316" t="str">
        <f t="array" ref="I2704">XLOOKUP(B2704,Roster!L:L,Roster!O:O,XLOOKUP(D2704,TicketsBreak!A:A,TicketsBreak!F:F,"",0),0)</f>
        <v>15:45 - 16:15</v>
      </c>
      <c r="J2704" s="316" t="str">
        <f t="array" ref="J2704">XLOOKUP(B2704,Roster!L:L,Roster!P:P,XLOOKUP(D2704,TicketsBreak!A:A,TicketsBreak!G:G,"",0),0)</f>
        <v>18:15 - 18:30</v>
      </c>
      <c r="K2704" s="310">
        <f t="shared" si="4"/>
        <v>46135</v>
      </c>
      <c r="L2704" s="317">
        <f t="array" ref="L2704">(XLOOKUP(D2704,Roster!F:F,Roster!D:D,"",0))</f>
        <v>34</v>
      </c>
      <c r="M2704" s="317" t="str">
        <f t="array" ref="M2704">XLOOKUP(D2704,Roster!F:F,Roster!E:E)</f>
        <v>Voice</v>
      </c>
      <c r="N2704" s="317" t="str">
        <f t="shared" ref="N2704:P2704" si="2742">LEFT(H2704,5)</f>
        <v>13:15</v>
      </c>
      <c r="O2704" s="317" t="str">
        <f t="shared" si="2742"/>
        <v>15:45</v>
      </c>
      <c r="P2704" s="317" t="str">
        <f t="shared" si="2742"/>
        <v>18:15</v>
      </c>
      <c r="Q2704" s="318">
        <f t="shared" si="2649"/>
        <v>46135.55208</v>
      </c>
      <c r="R2704" s="318">
        <f t="shared" si="2650"/>
        <v>46135.65625</v>
      </c>
      <c r="S2704" s="318">
        <f t="shared" si="8"/>
        <v>46135.76042</v>
      </c>
    </row>
    <row r="2705">
      <c r="A2705" s="14" t="str">
        <f t="shared" si="1"/>
        <v>C131846135</v>
      </c>
      <c r="B2705" s="185" t="str">
        <f t="array" ref="B2705">IF(F2705="VL","",IF(F2705="Free","Free",XLOOKUP(D2705,Roster!T:T,Roster!S:S,"",0)))</f>
        <v>Free</v>
      </c>
      <c r="C2705" s="313">
        <v>46135.0</v>
      </c>
      <c r="D2705" s="314" t="s">
        <v>159</v>
      </c>
      <c r="E2705" s="307" t="str">
        <f t="array" ref="E2705">(XLOOKUP(D2705,Roster!F:F,Roster!B:B,"",0))</f>
        <v>Jeampierre Jaramillo</v>
      </c>
      <c r="F2705" s="315" t="str">
        <f t="array" ref="F2705">IF(B2705=100,"Free",TEXT(XLOOKUP($D2705,OperationVoice!$A:$A,OperationVoice!AC:AC,XLOOKUP($D2705,OperationTickets!$A:$A,OperationTickets!AC:AC,"",0)),"hh:mm"))</f>
        <v>Free</v>
      </c>
      <c r="G2705" s="309" t="str">
        <f t="shared" si="3"/>
        <v>Free</v>
      </c>
      <c r="H2705" s="316" t="str">
        <f t="array" ref="H2705">XLOOKUP(B2705,Roster!L:L,Roster!N:N,XLOOKUP(D2705,TicketsBreak!A:A,TicketsBreak!E:E,"",0),0)</f>
        <v/>
      </c>
      <c r="I2705" s="316" t="str">
        <f t="array" ref="I2705">XLOOKUP(B2705,Roster!L:L,Roster!O:O,XLOOKUP(D2705,TicketsBreak!A:A,TicketsBreak!F:F,"",0),0)</f>
        <v/>
      </c>
      <c r="J2705" s="316" t="str">
        <f t="array" ref="J2705">XLOOKUP(B2705,Roster!L:L,Roster!P:P,XLOOKUP(D2705,TicketsBreak!A:A,TicketsBreak!G:G,"",0),0)</f>
        <v/>
      </c>
      <c r="K2705" s="310">
        <f t="shared" si="4"/>
        <v>46135</v>
      </c>
      <c r="L2705" s="317">
        <f t="array" ref="L2705">(XLOOKUP(D2705,Roster!F:F,Roster!D:D,"",0))</f>
        <v>29</v>
      </c>
      <c r="M2705" s="317" t="str">
        <f t="array" ref="M2705">XLOOKUP(D2705,Roster!F:F,Roster!E:E)</f>
        <v>Tickets</v>
      </c>
      <c r="N2705" s="317" t="str">
        <f t="shared" ref="N2705:P2705" si="2743">LEFT(H2705,5)</f>
        <v/>
      </c>
      <c r="O2705" s="317" t="str">
        <f t="shared" si="2743"/>
        <v/>
      </c>
      <c r="P2705" s="317" t="str">
        <f t="shared" si="2743"/>
        <v/>
      </c>
      <c r="Q2705" s="318" t="str">
        <f t="shared" si="2649"/>
        <v/>
      </c>
      <c r="R2705" s="318" t="str">
        <f t="shared" si="2650"/>
        <v/>
      </c>
      <c r="S2705" s="318" t="str">
        <f t="shared" si="8"/>
        <v/>
      </c>
    </row>
    <row r="2706">
      <c r="A2706" s="14" t="str">
        <f t="shared" si="1"/>
        <v>C155046135</v>
      </c>
      <c r="B2706" s="185">
        <f t="array" ref="B2706">IF(F2706="VL","",IF(F2706="Free","Free",XLOOKUP(D2706,Roster!T:T,Roster!S:S,"",0)))</f>
        <v>126</v>
      </c>
      <c r="C2706" s="313">
        <v>46135.0</v>
      </c>
      <c r="D2706" s="314" t="s">
        <v>35</v>
      </c>
      <c r="E2706" s="307" t="str">
        <f t="array" ref="E2706">(XLOOKUP(D2706,Roster!F:F,Roster!B:B,"",0))</f>
        <v>Jeidin Vargas</v>
      </c>
      <c r="F2706" s="315" t="str">
        <f t="array" ref="F2706">IF(B2706=100,"Free",TEXT(XLOOKUP($D2706,OperationVoice!$A:$A,OperationVoice!AC:AC,XLOOKUP($D2706,OperationTickets!$A:$A,OperationTickets!AC:AC,"",0)),"hh:mm"))</f>
        <v>08:00</v>
      </c>
      <c r="G2706" s="309">
        <f t="shared" si="3"/>
        <v>0.7083333333</v>
      </c>
      <c r="H2706" s="316" t="str">
        <f t="array" ref="H2706">XLOOKUP(B2706,Roster!L:L,Roster!N:N,XLOOKUP(D2706,TicketsBreak!A:A,TicketsBreak!E:E,"",0),0)</f>
        <v>10:45 - 11:00</v>
      </c>
      <c r="I2706" s="316" t="str">
        <f t="array" ref="I2706">XLOOKUP(B2706,Roster!L:L,Roster!O:O,XLOOKUP(D2706,TicketsBreak!A:A,TicketsBreak!F:F,"",0),0)</f>
        <v>14:00 - 14:30</v>
      </c>
      <c r="J2706" s="316" t="str">
        <f t="array" ref="J2706">XLOOKUP(B2706,Roster!L:L,Roster!P:P,XLOOKUP(D2706,TicketsBreak!A:A,TicketsBreak!G:G,"",0),0)</f>
        <v>15:45 - 16:00</v>
      </c>
      <c r="K2706" s="310">
        <f t="shared" si="4"/>
        <v>46135</v>
      </c>
      <c r="L2706" s="317">
        <f t="array" ref="L2706">(XLOOKUP(D2706,Roster!F:F,Roster!D:D,"",0))</f>
        <v>37</v>
      </c>
      <c r="M2706" s="317" t="str">
        <f t="array" ref="M2706">XLOOKUP(D2706,Roster!F:F,Roster!E:E)</f>
        <v>Voice</v>
      </c>
      <c r="N2706" s="317" t="str">
        <f t="shared" ref="N2706:P2706" si="2744">LEFT(H2706,5)</f>
        <v>10:45</v>
      </c>
      <c r="O2706" s="317" t="str">
        <f t="shared" si="2744"/>
        <v>14:00</v>
      </c>
      <c r="P2706" s="317" t="str">
        <f t="shared" si="2744"/>
        <v>15:45</v>
      </c>
      <c r="Q2706" s="318">
        <f t="shared" si="2649"/>
        <v>46135.44792</v>
      </c>
      <c r="R2706" s="318">
        <f t="shared" si="2650"/>
        <v>46135.58333</v>
      </c>
      <c r="S2706" s="318">
        <f t="shared" si="8"/>
        <v>46135.65625</v>
      </c>
    </row>
    <row r="2707">
      <c r="A2707" s="14" t="str">
        <f t="shared" si="1"/>
        <v>C51246135</v>
      </c>
      <c r="B2707" s="185">
        <f t="array" ref="B2707">IF(F2707="VL","",IF(F2707="Free","Free",XLOOKUP(D2707,Roster!T:T,Roster!S:S,"",0)))</f>
        <v>122</v>
      </c>
      <c r="C2707" s="313">
        <v>46135.0</v>
      </c>
      <c r="D2707" s="314" t="s">
        <v>36</v>
      </c>
      <c r="E2707" s="307" t="str">
        <f t="array" ref="E2707">(XLOOKUP(D2707,Roster!F:F,Roster!B:B,"",0))</f>
        <v>Jhoam Quiroz</v>
      </c>
      <c r="F2707" s="315" t="str">
        <f t="array" ref="F2707">IF(B2707=100,"Free",TEXT(XLOOKUP($D2707,OperationVoice!$A:$A,OperationVoice!AC:AC,XLOOKUP($D2707,OperationTickets!$A:$A,OperationTickets!AC:AC,"",0)),"hh:mm"))</f>
        <v>08:00</v>
      </c>
      <c r="G2707" s="309">
        <f t="shared" si="3"/>
        <v>0.7083333333</v>
      </c>
      <c r="H2707" s="316" t="str">
        <f t="array" ref="H2707">XLOOKUP(B2707,Roster!L:L,Roster!N:N,XLOOKUP(D2707,TicketsBreak!A:A,TicketsBreak!E:E,"",0),0)</f>
        <v>09:30 - 09:45</v>
      </c>
      <c r="I2707" s="316" t="str">
        <f t="array" ref="I2707">XLOOKUP(B2707,Roster!L:L,Roster!O:O,XLOOKUP(D2707,TicketsBreak!A:A,TicketsBreak!F:F,"",0),0)</f>
        <v>12:00 - 12:30</v>
      </c>
      <c r="J2707" s="316" t="str">
        <f t="array" ref="J2707">XLOOKUP(B2707,Roster!L:L,Roster!P:P,XLOOKUP(D2707,TicketsBreak!A:A,TicketsBreak!G:G,"",0),0)</f>
        <v>14:45 - 15:00</v>
      </c>
      <c r="K2707" s="310">
        <f t="shared" si="4"/>
        <v>46135</v>
      </c>
      <c r="L2707" s="317">
        <f t="array" ref="L2707">(XLOOKUP(D2707,Roster!F:F,Roster!D:D,"",0))</f>
        <v>1</v>
      </c>
      <c r="M2707" s="317" t="str">
        <f t="array" ref="M2707">XLOOKUP(D2707,Roster!F:F,Roster!E:E)</f>
        <v>Voice</v>
      </c>
      <c r="N2707" s="317" t="str">
        <f t="shared" ref="N2707:P2707" si="2745">LEFT(H2707,5)</f>
        <v>09:30</v>
      </c>
      <c r="O2707" s="317" t="str">
        <f t="shared" si="2745"/>
        <v>12:00</v>
      </c>
      <c r="P2707" s="317" t="str">
        <f t="shared" si="2745"/>
        <v>14:45</v>
      </c>
      <c r="Q2707" s="318">
        <f t="shared" si="2649"/>
        <v>46135.39583</v>
      </c>
      <c r="R2707" s="318">
        <f t="shared" si="2650"/>
        <v>46135.5</v>
      </c>
      <c r="S2707" s="318">
        <f t="shared" si="8"/>
        <v>46135.61458</v>
      </c>
    </row>
    <row r="2708">
      <c r="A2708" s="14" t="str">
        <f t="shared" si="1"/>
        <v>C150946135</v>
      </c>
      <c r="B2708" s="185" t="str">
        <f t="array" ref="B2708">IF(F2708="VL","",IF(F2708="Free","Free",XLOOKUP(D2708,Roster!T:T,Roster!S:S,"",0)))</f>
        <v>Free</v>
      </c>
      <c r="C2708" s="313">
        <v>46135.0</v>
      </c>
      <c r="D2708" s="314" t="s">
        <v>37</v>
      </c>
      <c r="E2708" s="307" t="str">
        <f t="array" ref="E2708">(XLOOKUP(D2708,Roster!F:F,Roster!B:B,"",0))</f>
        <v>Jhonatan Gomez</v>
      </c>
      <c r="F2708" s="315" t="str">
        <f t="array" ref="F2708">IF(B2708=100,"Free",TEXT(XLOOKUP($D2708,OperationVoice!$A:$A,OperationVoice!AC:AC,XLOOKUP($D2708,OperationTickets!$A:$A,OperationTickets!AC:AC,"",0)),"hh:mm"))</f>
        <v>Free</v>
      </c>
      <c r="G2708" s="309" t="str">
        <f t="shared" si="3"/>
        <v>Free</v>
      </c>
      <c r="H2708" s="316" t="str">
        <f t="array" ref="H2708">XLOOKUP(B2708,Roster!L:L,Roster!N:N,XLOOKUP(D2708,TicketsBreak!A:A,TicketsBreak!E:E,"",0),0)</f>
        <v/>
      </c>
      <c r="I2708" s="316" t="str">
        <f t="array" ref="I2708">XLOOKUP(B2708,Roster!L:L,Roster!O:O,XLOOKUP(D2708,TicketsBreak!A:A,TicketsBreak!F:F,"",0),0)</f>
        <v/>
      </c>
      <c r="J2708" s="316" t="str">
        <f t="array" ref="J2708">XLOOKUP(B2708,Roster!L:L,Roster!P:P,XLOOKUP(D2708,TicketsBreak!A:A,TicketsBreak!G:G,"",0),0)</f>
        <v/>
      </c>
      <c r="K2708" s="310">
        <f t="shared" si="4"/>
        <v>46135</v>
      </c>
      <c r="L2708" s="317">
        <f t="array" ref="L2708">(XLOOKUP(D2708,Roster!F:F,Roster!D:D,"",0))</f>
        <v>35</v>
      </c>
      <c r="M2708" s="317" t="str">
        <f t="array" ref="M2708">XLOOKUP(D2708,Roster!F:F,Roster!E:E)</f>
        <v>Voice</v>
      </c>
      <c r="N2708" s="317" t="str">
        <f t="shared" ref="N2708:P2708" si="2746">LEFT(H2708,5)</f>
        <v/>
      </c>
      <c r="O2708" s="317" t="str">
        <f t="shared" si="2746"/>
        <v/>
      </c>
      <c r="P2708" s="317" t="str">
        <f t="shared" si="2746"/>
        <v/>
      </c>
      <c r="Q2708" s="318" t="str">
        <f t="shared" si="2649"/>
        <v/>
      </c>
      <c r="R2708" s="318" t="str">
        <f t="shared" si="2650"/>
        <v/>
      </c>
      <c r="S2708" s="318" t="str">
        <f t="shared" si="8"/>
        <v/>
      </c>
    </row>
    <row r="2709">
      <c r="A2709" s="14" t="str">
        <f t="shared" si="1"/>
        <v>C151546135</v>
      </c>
      <c r="B2709" s="185">
        <f t="array" ref="B2709">IF(F2709="VL","",IF(F2709="Free","Free",XLOOKUP(D2709,Roster!T:T,Roster!S:S,"",0)))</f>
        <v>151</v>
      </c>
      <c r="C2709" s="313">
        <v>46135.0</v>
      </c>
      <c r="D2709" s="314" t="s">
        <v>38</v>
      </c>
      <c r="E2709" s="307" t="str">
        <f t="array" ref="E2709">(XLOOKUP(D2709,Roster!F:F,Roster!B:B,"",0))</f>
        <v>Joan Perez</v>
      </c>
      <c r="F2709" s="315" t="str">
        <f t="array" ref="F2709">IF(B2709=100,"Free",TEXT(XLOOKUP($D2709,OperationVoice!$A:$A,OperationVoice!AC:AC,XLOOKUP($D2709,OperationTickets!$A:$A,OperationTickets!AC:AC,"",0)),"hh:mm"))</f>
        <v/>
      </c>
      <c r="G2709" s="309" t="str">
        <f t="shared" si="3"/>
        <v/>
      </c>
      <c r="H2709" s="316" t="str">
        <f t="array" ref="H2709">XLOOKUP(B2709,Roster!L:L,Roster!N:N,XLOOKUP(D2709,TicketsBreak!A:A,TicketsBreak!E:E,"",0),0)</f>
        <v>12:15 - 12:30</v>
      </c>
      <c r="I2709" s="316" t="str">
        <f t="array" ref="I2709">XLOOKUP(B2709,Roster!L:L,Roster!O:O,XLOOKUP(D2709,TicketsBreak!A:A,TicketsBreak!F:F,"",0),0)</f>
        <v>14:00 - 14:30</v>
      </c>
      <c r="J2709" s="316" t="str">
        <f t="array" ref="J2709">XLOOKUP(B2709,Roster!L:L,Roster!P:P,XLOOKUP(D2709,TicketsBreak!A:A,TicketsBreak!G:G,"",0),0)</f>
        <v>17:15 - 17:30</v>
      </c>
      <c r="K2709" s="310">
        <f t="shared" si="4"/>
        <v>46135</v>
      </c>
      <c r="L2709" s="317">
        <f t="array" ref="L2709">(XLOOKUP(D2709,Roster!F:F,Roster!D:D,"",0))</f>
        <v>35</v>
      </c>
      <c r="M2709" s="317" t="str">
        <f t="array" ref="M2709">XLOOKUP(D2709,Roster!F:F,Roster!E:E)</f>
        <v>Voice</v>
      </c>
      <c r="N2709" s="317" t="str">
        <f t="shared" ref="N2709:P2709" si="2747">LEFT(H2709,5)</f>
        <v>12:15</v>
      </c>
      <c r="O2709" s="317" t="str">
        <f t="shared" si="2747"/>
        <v>14:00</v>
      </c>
      <c r="P2709" s="317" t="str">
        <f t="shared" si="2747"/>
        <v>17:15</v>
      </c>
      <c r="Q2709" s="318">
        <f t="shared" si="2649"/>
        <v>46135.51042</v>
      </c>
      <c r="R2709" s="318">
        <f t="shared" si="2650"/>
        <v>46135.58333</v>
      </c>
      <c r="S2709" s="318">
        <f t="shared" si="8"/>
        <v>46135.71875</v>
      </c>
    </row>
    <row r="2710">
      <c r="A2710" s="14" t="str">
        <f t="shared" si="1"/>
        <v>C128946135</v>
      </c>
      <c r="B2710" s="185" t="str">
        <f t="array" ref="B2710">IF(F2710="VL","",IF(F2710="Free","Free",XLOOKUP(D2710,Roster!T:T,Roster!S:S,"",0)))</f>
        <v/>
      </c>
      <c r="C2710" s="313">
        <v>46135.0</v>
      </c>
      <c r="D2710" s="314" t="s">
        <v>140</v>
      </c>
      <c r="E2710" s="307" t="str">
        <f t="array" ref="E2710">(XLOOKUP(D2710,Roster!F:F,Roster!B:B,"",0))</f>
        <v>Johana Villarreal</v>
      </c>
      <c r="F2710" s="315" t="str">
        <f t="array" ref="F2710">IF(B2710=100,"Free",TEXT(XLOOKUP($D2710,OperationVoice!$A:$A,OperationVoice!AC:AC,XLOOKUP($D2710,OperationTickets!$A:$A,OperationTickets!AC:AC,"",0)),"hh:mm"))</f>
        <v>07:00</v>
      </c>
      <c r="G2710" s="309">
        <f t="shared" si="3"/>
        <v>0.6666666667</v>
      </c>
      <c r="H2710" s="316" t="str">
        <f t="array" ref="H2710">XLOOKUP(B2710,Roster!L:L,Roster!N:N,XLOOKUP(D2710,TicketsBreak!A:A,TicketsBreak!E:E,"",0),0)</f>
        <v/>
      </c>
      <c r="I2710" s="316" t="str">
        <f t="array" ref="I2710">XLOOKUP(B2710,Roster!L:L,Roster!O:O,XLOOKUP(D2710,TicketsBreak!A:A,TicketsBreak!F:F,"",0),0)</f>
        <v/>
      </c>
      <c r="J2710" s="316" t="str">
        <f t="array" ref="J2710">XLOOKUP(B2710,Roster!L:L,Roster!P:P,XLOOKUP(D2710,TicketsBreak!A:A,TicketsBreak!G:G,"",0),0)</f>
        <v/>
      </c>
      <c r="K2710" s="310">
        <f t="shared" si="4"/>
        <v>46135</v>
      </c>
      <c r="L2710" s="317">
        <f t="array" ref="L2710">(XLOOKUP(D2710,Roster!F:F,Roster!D:D,"",0))</f>
        <v>28</v>
      </c>
      <c r="M2710" s="317" t="str">
        <f t="array" ref="M2710">XLOOKUP(D2710,Roster!F:F,Roster!E:E)</f>
        <v>Tickets</v>
      </c>
      <c r="N2710" s="317" t="str">
        <f t="shared" ref="N2710:P2710" si="2748">LEFT(H2710,5)</f>
        <v/>
      </c>
      <c r="O2710" s="317" t="str">
        <f t="shared" si="2748"/>
        <v/>
      </c>
      <c r="P2710" s="317" t="str">
        <f t="shared" si="2748"/>
        <v/>
      </c>
      <c r="Q2710" s="318" t="str">
        <f t="shared" si="2649"/>
        <v/>
      </c>
      <c r="R2710" s="318" t="str">
        <f t="shared" si="2650"/>
        <v/>
      </c>
      <c r="S2710" s="318" t="str">
        <f t="shared" si="8"/>
        <v/>
      </c>
    </row>
    <row r="2711">
      <c r="A2711" s="14" t="str">
        <f t="shared" si="1"/>
        <v>C155146135</v>
      </c>
      <c r="B2711" s="185">
        <f t="array" ref="B2711">IF(F2711="VL","",IF(F2711="Free","Free",XLOOKUP(D2711,Roster!T:T,Roster!S:S,"",0)))</f>
        <v>124</v>
      </c>
      <c r="C2711" s="313">
        <v>46135.0</v>
      </c>
      <c r="D2711" s="314" t="s">
        <v>39</v>
      </c>
      <c r="E2711" s="307" t="str">
        <f t="array" ref="E2711">(XLOOKUP(D2711,Roster!F:F,Roster!B:B,"",0))</f>
        <v>John Atilano</v>
      </c>
      <c r="F2711" s="315" t="str">
        <f t="array" ref="F2711">IF(B2711=100,"Free",TEXT(XLOOKUP($D2711,OperationVoice!$A:$A,OperationVoice!AC:AC,XLOOKUP($D2711,OperationTickets!$A:$A,OperationTickets!AC:AC,"",0)),"hh:mm"))</f>
        <v>08:00</v>
      </c>
      <c r="G2711" s="309">
        <f t="shared" si="3"/>
        <v>0.7083333333</v>
      </c>
      <c r="H2711" s="316" t="str">
        <f t="array" ref="H2711">XLOOKUP(B2711,Roster!L:L,Roster!N:N,XLOOKUP(D2711,TicketsBreak!A:A,TicketsBreak!E:E,"",0),0)</f>
        <v>10:00 - 10:15</v>
      </c>
      <c r="I2711" s="316" t="str">
        <f t="array" ref="I2711">XLOOKUP(B2711,Roster!L:L,Roster!O:O,XLOOKUP(D2711,TicketsBreak!A:A,TicketsBreak!F:F,"",0),0)</f>
        <v>13:00 - 13:30</v>
      </c>
      <c r="J2711" s="316" t="str">
        <f t="array" ref="J2711">XLOOKUP(B2711,Roster!L:L,Roster!P:P,XLOOKUP(D2711,TicketsBreak!A:A,TicketsBreak!G:G,"",0),0)</f>
        <v>15:30 - 15:45</v>
      </c>
      <c r="K2711" s="310">
        <f t="shared" si="4"/>
        <v>46135</v>
      </c>
      <c r="L2711" s="317">
        <f t="array" ref="L2711">(XLOOKUP(D2711,Roster!F:F,Roster!D:D,"",0))</f>
        <v>37</v>
      </c>
      <c r="M2711" s="317" t="str">
        <f t="array" ref="M2711">XLOOKUP(D2711,Roster!F:F,Roster!E:E)</f>
        <v>Voice</v>
      </c>
      <c r="N2711" s="317" t="str">
        <f t="shared" ref="N2711:P2711" si="2749">LEFT(H2711,5)</f>
        <v>10:00</v>
      </c>
      <c r="O2711" s="317" t="str">
        <f t="shared" si="2749"/>
        <v>13:00</v>
      </c>
      <c r="P2711" s="317" t="str">
        <f t="shared" si="2749"/>
        <v>15:30</v>
      </c>
      <c r="Q2711" s="318">
        <f t="shared" si="2649"/>
        <v>46135.41667</v>
      </c>
      <c r="R2711" s="318">
        <f t="shared" si="2650"/>
        <v>46135.54167</v>
      </c>
      <c r="S2711" s="318">
        <f t="shared" si="8"/>
        <v>46135.64583</v>
      </c>
    </row>
    <row r="2712">
      <c r="A2712" s="14" t="str">
        <f t="shared" si="1"/>
        <v>C154346135</v>
      </c>
      <c r="B2712" s="185">
        <f t="array" ref="B2712">IF(F2712="VL","",IF(F2712="Free","Free",XLOOKUP(D2712,Roster!T:T,Roster!S:S,"",0)))</f>
        <v>134</v>
      </c>
      <c r="C2712" s="313">
        <v>46135.0</v>
      </c>
      <c r="D2712" s="314" t="s">
        <v>40</v>
      </c>
      <c r="E2712" s="307" t="str">
        <f t="array" ref="E2712">(XLOOKUP(D2712,Roster!F:F,Roster!B:B,"",0))</f>
        <v>John Palacio</v>
      </c>
      <c r="F2712" s="315" t="str">
        <f t="array" ref="F2712">IF(B2712=100,"Free",TEXT(XLOOKUP($D2712,OperationVoice!$A:$A,OperationVoice!AC:AC,XLOOKUP($D2712,OperationTickets!$A:$A,OperationTickets!AC:AC,"",0)),"hh:mm"))</f>
        <v>09:00</v>
      </c>
      <c r="G2712" s="309">
        <f t="shared" si="3"/>
        <v>0.75</v>
      </c>
      <c r="H2712" s="316" t="str">
        <f t="array" ref="H2712">XLOOKUP(B2712,Roster!L:L,Roster!N:N,XLOOKUP(D2712,TicketsBreak!A:A,TicketsBreak!E:E,"",0),0)</f>
        <v>11:00 - 11:15</v>
      </c>
      <c r="I2712" s="316" t="str">
        <f t="array" ref="I2712">XLOOKUP(B2712,Roster!L:L,Roster!O:O,XLOOKUP(D2712,TicketsBreak!A:A,TicketsBreak!F:F,"",0),0)</f>
        <v>13:45 - 14:15</v>
      </c>
      <c r="J2712" s="316" t="str">
        <f t="array" ref="J2712">XLOOKUP(B2712,Roster!L:L,Roster!P:P,XLOOKUP(D2712,TicketsBreak!A:A,TicketsBreak!G:G,"",0),0)</f>
        <v>16:00 - 16:15</v>
      </c>
      <c r="K2712" s="310">
        <f t="shared" si="4"/>
        <v>46135</v>
      </c>
      <c r="L2712" s="317">
        <f t="array" ref="L2712">(XLOOKUP(D2712,Roster!F:F,Roster!D:D,"",0))</f>
        <v>36</v>
      </c>
      <c r="M2712" s="317" t="str">
        <f t="array" ref="M2712">XLOOKUP(D2712,Roster!F:F,Roster!E:E)</f>
        <v>Voice</v>
      </c>
      <c r="N2712" s="317" t="str">
        <f t="shared" ref="N2712:P2712" si="2750">LEFT(H2712,5)</f>
        <v>11:00</v>
      </c>
      <c r="O2712" s="317" t="str">
        <f t="shared" si="2750"/>
        <v>13:45</v>
      </c>
      <c r="P2712" s="317" t="str">
        <f t="shared" si="2750"/>
        <v>16:00</v>
      </c>
      <c r="Q2712" s="318">
        <f t="shared" si="2649"/>
        <v>46135.45833</v>
      </c>
      <c r="R2712" s="318">
        <f t="shared" si="2650"/>
        <v>46135.57292</v>
      </c>
      <c r="S2712" s="318">
        <f t="shared" si="8"/>
        <v>46135.66667</v>
      </c>
    </row>
    <row r="2713">
      <c r="A2713" s="14" t="str">
        <f t="shared" si="1"/>
        <v>C154246135</v>
      </c>
      <c r="B2713" s="185">
        <f t="array" ref="B2713">IF(F2713="VL","",IF(F2713="Free","Free",XLOOKUP(D2713,Roster!T:T,Roster!S:S,"",0)))</f>
        <v>124</v>
      </c>
      <c r="C2713" s="313">
        <v>46135.0</v>
      </c>
      <c r="D2713" s="314" t="s">
        <v>41</v>
      </c>
      <c r="E2713" s="307" t="str">
        <f t="array" ref="E2713">(XLOOKUP(D2713,Roster!F:F,Roster!B:B,"",0))</f>
        <v>Johny Garcia</v>
      </c>
      <c r="F2713" s="315" t="str">
        <f t="array" ref="F2713">IF(B2713=100,"Free",TEXT(XLOOKUP($D2713,OperationVoice!$A:$A,OperationVoice!AC:AC,XLOOKUP($D2713,OperationTickets!$A:$A,OperationTickets!AC:AC,"",0)),"hh:mm"))</f>
        <v>08:00</v>
      </c>
      <c r="G2713" s="309">
        <f t="shared" si="3"/>
        <v>0.7083333333</v>
      </c>
      <c r="H2713" s="316" t="str">
        <f t="array" ref="H2713">XLOOKUP(B2713,Roster!L:L,Roster!N:N,XLOOKUP(D2713,TicketsBreak!A:A,TicketsBreak!E:E,"",0),0)</f>
        <v>10:00 - 10:15</v>
      </c>
      <c r="I2713" s="316" t="str">
        <f t="array" ref="I2713">XLOOKUP(B2713,Roster!L:L,Roster!O:O,XLOOKUP(D2713,TicketsBreak!A:A,TicketsBreak!F:F,"",0),0)</f>
        <v>13:00 - 13:30</v>
      </c>
      <c r="J2713" s="316" t="str">
        <f t="array" ref="J2713">XLOOKUP(B2713,Roster!L:L,Roster!P:P,XLOOKUP(D2713,TicketsBreak!A:A,TicketsBreak!G:G,"",0),0)</f>
        <v>15:30 - 15:45</v>
      </c>
      <c r="K2713" s="310">
        <f t="shared" si="4"/>
        <v>46135</v>
      </c>
      <c r="L2713" s="317">
        <f t="array" ref="L2713">(XLOOKUP(D2713,Roster!F:F,Roster!D:D,"",0))</f>
        <v>36</v>
      </c>
      <c r="M2713" s="317" t="str">
        <f t="array" ref="M2713">XLOOKUP(D2713,Roster!F:F,Roster!E:E)</f>
        <v>Voice</v>
      </c>
      <c r="N2713" s="317" t="str">
        <f t="shared" ref="N2713:P2713" si="2751">LEFT(H2713,5)</f>
        <v>10:00</v>
      </c>
      <c r="O2713" s="317" t="str">
        <f t="shared" si="2751"/>
        <v>13:00</v>
      </c>
      <c r="P2713" s="317" t="str">
        <f t="shared" si="2751"/>
        <v>15:30</v>
      </c>
      <c r="Q2713" s="318">
        <f t="shared" si="2649"/>
        <v>46135.41667</v>
      </c>
      <c r="R2713" s="318">
        <f t="shared" si="2650"/>
        <v>46135.54167</v>
      </c>
      <c r="S2713" s="318">
        <f t="shared" si="8"/>
        <v>46135.64583</v>
      </c>
    </row>
    <row r="2714">
      <c r="A2714" s="14" t="str">
        <f t="shared" si="1"/>
        <v>C156946135</v>
      </c>
      <c r="B2714" s="185" t="str">
        <f t="array" ref="B2714">IF(F2714="VL","",IF(F2714="Free","Free",XLOOKUP(D2714,Roster!T:T,Roster!S:S,"",0)))</f>
        <v>Free</v>
      </c>
      <c r="C2714" s="313">
        <v>46135.0</v>
      </c>
      <c r="D2714" s="314" t="s">
        <v>42</v>
      </c>
      <c r="E2714" s="307" t="str">
        <f t="array" ref="E2714">(XLOOKUP(D2714,Roster!F:F,Roster!B:B,"",0))</f>
        <v>Jorge Orozco</v>
      </c>
      <c r="F2714" s="315" t="str">
        <f t="array" ref="F2714">IF(B2714=100,"Free",TEXT(XLOOKUP($D2714,OperationVoice!$A:$A,OperationVoice!AC:AC,XLOOKUP($D2714,OperationTickets!$A:$A,OperationTickets!AC:AC,"",0)),"hh:mm"))</f>
        <v>Free</v>
      </c>
      <c r="G2714" s="309" t="str">
        <f t="shared" si="3"/>
        <v>Free</v>
      </c>
      <c r="H2714" s="316" t="str">
        <f t="array" ref="H2714">XLOOKUP(B2714,Roster!L:L,Roster!N:N,XLOOKUP(D2714,TicketsBreak!A:A,TicketsBreak!E:E,"",0),0)</f>
        <v/>
      </c>
      <c r="I2714" s="316" t="str">
        <f t="array" ref="I2714">XLOOKUP(B2714,Roster!L:L,Roster!O:O,XLOOKUP(D2714,TicketsBreak!A:A,TicketsBreak!F:F,"",0),0)</f>
        <v/>
      </c>
      <c r="J2714" s="316" t="str">
        <f t="array" ref="J2714">XLOOKUP(B2714,Roster!L:L,Roster!P:P,XLOOKUP(D2714,TicketsBreak!A:A,TicketsBreak!G:G,"",0),0)</f>
        <v/>
      </c>
      <c r="K2714" s="310">
        <f t="shared" si="4"/>
        <v>46135</v>
      </c>
      <c r="L2714" s="317">
        <f t="array" ref="L2714">(XLOOKUP(D2714,Roster!F:F,Roster!D:D,"",0))</f>
        <v>38</v>
      </c>
      <c r="M2714" s="317" t="str">
        <f t="array" ref="M2714">XLOOKUP(D2714,Roster!F:F,Roster!E:E)</f>
        <v>Voice</v>
      </c>
      <c r="N2714" s="317" t="str">
        <f t="shared" ref="N2714:P2714" si="2752">LEFT(H2714,5)</f>
        <v/>
      </c>
      <c r="O2714" s="317" t="str">
        <f t="shared" si="2752"/>
        <v/>
      </c>
      <c r="P2714" s="317" t="str">
        <f t="shared" si="2752"/>
        <v/>
      </c>
      <c r="Q2714" s="318" t="str">
        <f t="shared" si="2649"/>
        <v/>
      </c>
      <c r="R2714" s="318" t="str">
        <f t="shared" si="2650"/>
        <v/>
      </c>
      <c r="S2714" s="318" t="str">
        <f t="shared" si="8"/>
        <v/>
      </c>
    </row>
    <row r="2715">
      <c r="A2715" s="14" t="str">
        <f t="shared" si="1"/>
        <v>C102746135</v>
      </c>
      <c r="B2715" s="185" t="str">
        <f t="array" ref="B2715">IF(F2715="VL","",IF(F2715="Free","Free",XLOOKUP(D2715,Roster!T:T,Roster!S:S,"",0)))</f>
        <v/>
      </c>
      <c r="C2715" s="313">
        <v>46135.0</v>
      </c>
      <c r="D2715" s="314" t="s">
        <v>160</v>
      </c>
      <c r="E2715" s="307" t="str">
        <f t="array" ref="E2715">(XLOOKUP(D2715,Roster!F:F,Roster!B:B,"",0))</f>
        <v>Jose Perez</v>
      </c>
      <c r="F2715" s="315" t="str">
        <f t="array" ref="F2715">IF(B2715=100,"Free",TEXT(XLOOKUP($D2715,OperationVoice!$A:$A,OperationVoice!AC:AC,XLOOKUP($D2715,OperationTickets!$A:$A,OperationTickets!AC:AC,"",0)),"hh:mm"))</f>
        <v>06:00</v>
      </c>
      <c r="G2715" s="309">
        <f t="shared" si="3"/>
        <v>0.625</v>
      </c>
      <c r="H2715" s="316">
        <f t="array" ref="H2715">XLOOKUP(B2715,Roster!L:L,Roster!N:N,XLOOKUP(D2715,TicketsBreak!A:A,TicketsBreak!E:E,"",0),0)</f>
        <v>0.4166666667</v>
      </c>
      <c r="I2715" s="316">
        <f t="array" ref="I2715">XLOOKUP(B2715,Roster!L:L,Roster!O:O,XLOOKUP(D2715,TicketsBreak!A:A,TicketsBreak!F:F,"",0),0)</f>
        <v>0.5208333333</v>
      </c>
      <c r="J2715" s="316">
        <f t="array" ref="J2715">XLOOKUP(B2715,Roster!L:L,Roster!P:P,XLOOKUP(D2715,TicketsBreak!A:A,TicketsBreak!G:G,"",0),0)</f>
        <v>0.6354166667</v>
      </c>
      <c r="K2715" s="310">
        <f t="shared" si="4"/>
        <v>46135</v>
      </c>
      <c r="L2715" s="317">
        <f t="array" ref="L2715">(XLOOKUP(D2715,Roster!F:F,Roster!D:D,"",0))</f>
        <v>15</v>
      </c>
      <c r="M2715" s="317" t="str">
        <f t="array" ref="M2715">XLOOKUP(D2715,Roster!F:F,Roster!E:E)</f>
        <v>Tickets</v>
      </c>
      <c r="N2715" s="317" t="str">
        <f t="shared" ref="N2715:P2715" si="2753">LEFT(H2715,5)</f>
        <v>10:00</v>
      </c>
      <c r="O2715" s="317" t="str">
        <f t="shared" si="2753"/>
        <v>12:30</v>
      </c>
      <c r="P2715" s="317" t="str">
        <f t="shared" si="2753"/>
        <v>15:15</v>
      </c>
      <c r="Q2715" s="318">
        <f t="shared" si="2649"/>
        <v>46135.41667</v>
      </c>
      <c r="R2715" s="318">
        <f t="shared" si="2650"/>
        <v>46135.52083</v>
      </c>
      <c r="S2715" s="318">
        <f t="shared" si="8"/>
        <v>46135.63542</v>
      </c>
    </row>
    <row r="2716">
      <c r="A2716" s="14" t="str">
        <f t="shared" si="1"/>
        <v>C142646135</v>
      </c>
      <c r="B2716" s="185">
        <f t="array" ref="B2716">IF(F2716="VL","",IF(F2716="Free","Free",XLOOKUP(D2716,Roster!T:T,Roster!S:S,"",0)))</f>
        <v>123</v>
      </c>
      <c r="C2716" s="313">
        <v>46135.0</v>
      </c>
      <c r="D2716" s="314" t="s">
        <v>161</v>
      </c>
      <c r="E2716" s="307" t="str">
        <f t="array" ref="E2716">(XLOOKUP(D2716,Roster!F:F,Roster!B:B,"",0))</f>
        <v>Jose Zapata</v>
      </c>
      <c r="F2716" s="315" t="str">
        <f t="array" ref="F2716">IF(B2716=100,"Free",TEXT(XLOOKUP($D2716,OperationVoice!$A:$A,OperationVoice!AC:AC,XLOOKUP($D2716,OperationTickets!$A:$A,OperationTickets!AC:AC,"",0)),"hh:mm"))</f>
        <v>08:00</v>
      </c>
      <c r="G2716" s="309">
        <f t="shared" si="3"/>
        <v>0.7083333333</v>
      </c>
      <c r="H2716" s="316" t="str">
        <f t="array" ref="H2716">XLOOKUP(B2716,Roster!L:L,Roster!N:N,XLOOKUP(D2716,TicketsBreak!A:A,TicketsBreak!E:E,"",0),0)</f>
        <v>09:45 - 10:00 </v>
      </c>
      <c r="I2716" s="316" t="str">
        <f t="array" ref="I2716">XLOOKUP(B2716,Roster!L:L,Roster!O:O,XLOOKUP(D2716,TicketsBreak!A:A,TicketsBreak!F:F,"",0),0)</f>
        <v>12:30 - 13:00</v>
      </c>
      <c r="J2716" s="316" t="str">
        <f t="array" ref="J2716">XLOOKUP(B2716,Roster!L:L,Roster!P:P,XLOOKUP(D2716,TicketsBreak!A:A,TicketsBreak!G:G,"",0),0)</f>
        <v>15:00 - 15:15</v>
      </c>
      <c r="K2716" s="310">
        <f t="shared" si="4"/>
        <v>46135</v>
      </c>
      <c r="L2716" s="317">
        <f t="array" ref="L2716">(XLOOKUP(D2716,Roster!F:F,Roster!D:D,"",0))</f>
        <v>32</v>
      </c>
      <c r="M2716" s="317" t="str">
        <f t="array" ref="M2716">XLOOKUP(D2716,Roster!F:F,Roster!E:E)</f>
        <v>Tickets</v>
      </c>
      <c r="N2716" s="317" t="str">
        <f t="shared" ref="N2716:P2716" si="2754">LEFT(H2716,5)</f>
        <v>09:45</v>
      </c>
      <c r="O2716" s="317" t="str">
        <f t="shared" si="2754"/>
        <v>12:30</v>
      </c>
      <c r="P2716" s="317" t="str">
        <f t="shared" si="2754"/>
        <v>15:00</v>
      </c>
      <c r="Q2716" s="318">
        <f t="shared" si="2649"/>
        <v>46135.40625</v>
      </c>
      <c r="R2716" s="318">
        <f t="shared" si="2650"/>
        <v>46135.52083</v>
      </c>
      <c r="S2716" s="318">
        <f t="shared" si="8"/>
        <v>46135.625</v>
      </c>
    </row>
    <row r="2717">
      <c r="A2717" s="14" t="str">
        <f t="shared" si="1"/>
        <v>C153346135</v>
      </c>
      <c r="B2717" s="185">
        <f t="array" ref="B2717">IF(F2717="VL","",IF(F2717="Free","Free",XLOOKUP(D2717,Roster!T:T,Roster!S:S,"",0)))</f>
        <v>125</v>
      </c>
      <c r="C2717" s="313">
        <v>46135.0</v>
      </c>
      <c r="D2717" s="314" t="s">
        <v>43</v>
      </c>
      <c r="E2717" s="307" t="str">
        <f t="array" ref="E2717">(XLOOKUP(D2717,Roster!F:F,Roster!B:B,"",0))</f>
        <v>Juan Barrera</v>
      </c>
      <c r="F2717" s="315" t="str">
        <f t="array" ref="F2717">IF(B2717=100,"Free",TEXT(XLOOKUP($D2717,OperationVoice!$A:$A,OperationVoice!AC:AC,XLOOKUP($D2717,OperationTickets!$A:$A,OperationTickets!AC:AC,"",0)),"hh:mm"))</f>
        <v>08:00</v>
      </c>
      <c r="G2717" s="309">
        <f t="shared" si="3"/>
        <v>0.7083333333</v>
      </c>
      <c r="H2717" s="316" t="str">
        <f t="array" ref="H2717">XLOOKUP(B2717,Roster!L:L,Roster!N:N,XLOOKUP(D2717,TicketsBreak!A:A,TicketsBreak!E:E,"",0),0)</f>
        <v>10:30 - 10:45</v>
      </c>
      <c r="I2717" s="316" t="str">
        <f t="array" ref="I2717">XLOOKUP(B2717,Roster!L:L,Roster!O:O,XLOOKUP(D2717,TicketsBreak!A:A,TicketsBreak!F:F,"",0),0)</f>
        <v>13:30 - 14:00</v>
      </c>
      <c r="J2717" s="316" t="str">
        <f t="array" ref="J2717">XLOOKUP(B2717,Roster!L:L,Roster!P:P,XLOOKUP(D2717,TicketsBreak!A:A,TicketsBreak!G:G,"",0),0)</f>
        <v>15:45 - 16:00</v>
      </c>
      <c r="K2717" s="310">
        <f t="shared" si="4"/>
        <v>46135</v>
      </c>
      <c r="L2717" s="317">
        <f t="array" ref="L2717">(XLOOKUP(D2717,Roster!F:F,Roster!D:D,"",0))</f>
        <v>36</v>
      </c>
      <c r="M2717" s="317" t="str">
        <f t="array" ref="M2717">XLOOKUP(D2717,Roster!F:F,Roster!E:E)</f>
        <v>Voice</v>
      </c>
      <c r="N2717" s="317" t="str">
        <f t="shared" ref="N2717:P2717" si="2755">LEFT(H2717,5)</f>
        <v>10:30</v>
      </c>
      <c r="O2717" s="317" t="str">
        <f t="shared" si="2755"/>
        <v>13:30</v>
      </c>
      <c r="P2717" s="317" t="str">
        <f t="shared" si="2755"/>
        <v>15:45</v>
      </c>
      <c r="Q2717" s="318">
        <f t="shared" si="2649"/>
        <v>46135.4375</v>
      </c>
      <c r="R2717" s="318">
        <f t="shared" si="2650"/>
        <v>46135.5625</v>
      </c>
      <c r="S2717" s="318">
        <f t="shared" si="8"/>
        <v>46135.65625</v>
      </c>
    </row>
    <row r="2718">
      <c r="A2718" s="14" t="str">
        <f t="shared" si="1"/>
        <v>C146546135</v>
      </c>
      <c r="B2718" s="185">
        <f t="array" ref="B2718">IF(F2718="VL","",IF(F2718="Free","Free",XLOOKUP(D2718,Roster!T:T,Roster!S:S,"",0)))</f>
        <v>500</v>
      </c>
      <c r="C2718" s="313">
        <v>46135.0</v>
      </c>
      <c r="D2718" s="314" t="s">
        <v>44</v>
      </c>
      <c r="E2718" s="307" t="str">
        <f t="array" ref="E2718">(XLOOKUP(D2718,Roster!F:F,Roster!B:B,"",0))</f>
        <v>Juan Castilla</v>
      </c>
      <c r="F2718" s="315" t="str">
        <f t="array" ref="F2718">IF(B2718=100,"Free",TEXT(XLOOKUP($D2718,OperationVoice!$A:$A,OperationVoice!AC:AC,XLOOKUP($D2718,OperationTickets!$A:$A,OperationTickets!AC:AC,"",0)),"hh:mm"))</f>
        <v>08:00</v>
      </c>
      <c r="G2718" s="309">
        <f t="shared" si="3"/>
        <v>0.7083333333</v>
      </c>
      <c r="H2718" s="316" t="str">
        <f t="array" ref="H2718">XLOOKUP(B2718,Roster!L:L,Roster!N:N,XLOOKUP(D2718,TicketsBreak!A:A,TicketsBreak!E:E,"",0),0)</f>
        <v>Team Leader</v>
      </c>
      <c r="I2718" s="316" t="str">
        <f t="array" ref="I2718">XLOOKUP(B2718,Roster!L:L,Roster!O:O,XLOOKUP(D2718,TicketsBreak!A:A,TicketsBreak!F:F,"",0),0)</f>
        <v>Team Leader</v>
      </c>
      <c r="J2718" s="316" t="str">
        <f t="array" ref="J2718">XLOOKUP(B2718,Roster!L:L,Roster!P:P,XLOOKUP(D2718,TicketsBreak!A:A,TicketsBreak!G:G,"",0),0)</f>
        <v/>
      </c>
      <c r="K2718" s="310">
        <f t="shared" si="4"/>
        <v>46135</v>
      </c>
      <c r="L2718" s="317">
        <f t="array" ref="L2718">(XLOOKUP(D2718,Roster!F:F,Roster!D:D,"",0))</f>
        <v>33</v>
      </c>
      <c r="M2718" s="317" t="str">
        <f t="array" ref="M2718">XLOOKUP(D2718,Roster!F:F,Roster!E:E)</f>
        <v>Voice</v>
      </c>
      <c r="N2718" s="317" t="str">
        <f t="shared" ref="N2718:P2718" si="2756">LEFT(H2718,5)</f>
        <v>Team </v>
      </c>
      <c r="O2718" s="317" t="str">
        <f t="shared" si="2756"/>
        <v>Team </v>
      </c>
      <c r="P2718" s="317" t="str">
        <f t="shared" si="2756"/>
        <v/>
      </c>
      <c r="Q2718" s="318" t="str">
        <f t="shared" si="2649"/>
        <v>#VALUE!</v>
      </c>
      <c r="R2718" s="318" t="str">
        <f t="shared" si="2650"/>
        <v>#VALUE!</v>
      </c>
      <c r="S2718" s="318" t="str">
        <f t="shared" si="8"/>
        <v/>
      </c>
    </row>
    <row r="2719">
      <c r="A2719" s="14" t="str">
        <f t="shared" si="1"/>
        <v>C72046135</v>
      </c>
      <c r="B2719" s="185" t="str">
        <f t="array" ref="B2719">IF(F2719="VL","",IF(F2719="Free","Free",XLOOKUP(D2719,Roster!T:T,Roster!S:S,"",0)))</f>
        <v/>
      </c>
      <c r="C2719" s="313">
        <v>46135.0</v>
      </c>
      <c r="D2719" s="314" t="s">
        <v>162</v>
      </c>
      <c r="E2719" s="307" t="str">
        <f t="array" ref="E2719">(XLOOKUP(D2719,Roster!F:F,Roster!B:B,"",0))</f>
        <v>Juan Durango</v>
      </c>
      <c r="F2719" s="315" t="str">
        <f t="array" ref="F2719">IF(B2719=100,"Free",TEXT(XLOOKUP($D2719,OperationVoice!$A:$A,OperationVoice!AC:AC,XLOOKUP($D2719,OperationTickets!$A:$A,OperationTickets!AC:AC,"",0)),"hh:mm"))</f>
        <v>08:00</v>
      </c>
      <c r="G2719" s="309">
        <f t="shared" si="3"/>
        <v>0.7083333333</v>
      </c>
      <c r="H2719" s="316">
        <f t="array" ref="H2719">XLOOKUP(B2719,Roster!L:L,Roster!N:N,XLOOKUP(D2719,TicketsBreak!A:A,TicketsBreak!E:E,"",0),0)</f>
        <v>0.40625</v>
      </c>
      <c r="I2719" s="316">
        <f t="array" ref="I2719">XLOOKUP(B2719,Roster!L:L,Roster!O:O,XLOOKUP(D2719,TicketsBreak!A:A,TicketsBreak!F:F,"",0),0)</f>
        <v>0.5729166667</v>
      </c>
      <c r="J2719" s="316">
        <f t="array" ref="J2719">XLOOKUP(B2719,Roster!L:L,Roster!P:P,XLOOKUP(D2719,TicketsBreak!A:A,TicketsBreak!G:G,"",0),0)</f>
        <v>0.65625</v>
      </c>
      <c r="K2719" s="310">
        <f t="shared" si="4"/>
        <v>46135</v>
      </c>
      <c r="L2719" s="317">
        <f t="array" ref="L2719">(XLOOKUP(D2719,Roster!F:F,Roster!D:D,"",0))</f>
        <v>7</v>
      </c>
      <c r="M2719" s="317" t="str">
        <f t="array" ref="M2719">XLOOKUP(D2719,Roster!F:F,Roster!E:E)</f>
        <v>Tickets</v>
      </c>
      <c r="N2719" s="317" t="str">
        <f t="shared" ref="N2719:P2719" si="2757">LEFT(H2719,5)</f>
        <v>09:45</v>
      </c>
      <c r="O2719" s="317" t="str">
        <f t="shared" si="2757"/>
        <v>13:45</v>
      </c>
      <c r="P2719" s="317" t="str">
        <f t="shared" si="2757"/>
        <v>15:45</v>
      </c>
      <c r="Q2719" s="318">
        <f t="shared" si="2649"/>
        <v>46135.40625</v>
      </c>
      <c r="R2719" s="318">
        <f t="shared" si="2650"/>
        <v>46135.57292</v>
      </c>
      <c r="S2719" s="318">
        <f t="shared" si="8"/>
        <v>46135.65625</v>
      </c>
    </row>
    <row r="2720">
      <c r="A2720" s="14" t="str">
        <f t="shared" si="1"/>
        <v>C59846135</v>
      </c>
      <c r="B2720" s="185" t="str">
        <f t="array" ref="B2720">IF(F2720="VL","",IF(F2720="Free","Free",XLOOKUP(D2720,Roster!T:T,Roster!S:S,"",0)))</f>
        <v/>
      </c>
      <c r="C2720" s="313">
        <v>46135.0</v>
      </c>
      <c r="D2720" s="314" t="s">
        <v>314</v>
      </c>
      <c r="E2720" s="307" t="str">
        <f t="array" ref="E2720">(XLOOKUP(D2720,Roster!F:F,Roster!B:B,"",0))</f>
        <v>Juan Fonnegra</v>
      </c>
      <c r="F2720" s="315" t="str">
        <f t="array" ref="F2720">IF(B2720=100,"Free",TEXT(XLOOKUP($D2720,OperationVoice!$A:$A,OperationVoice!AC:AC,XLOOKUP($D2720,OperationTickets!$A:$A,OperationTickets!AC:AC,"",0)),"hh:mm"))</f>
        <v/>
      </c>
      <c r="G2720" s="309" t="str">
        <f t="shared" si="3"/>
        <v/>
      </c>
      <c r="H2720" s="316">
        <f t="array" ref="H2720">XLOOKUP(B2720,Roster!L:L,Roster!N:N,XLOOKUP(D2720,TicketsBreak!A:A,TicketsBreak!E:E,"",0),0)</f>
        <v>0.4166666667</v>
      </c>
      <c r="I2720" s="316">
        <f t="array" ref="I2720">XLOOKUP(B2720,Roster!L:L,Roster!O:O,XLOOKUP(D2720,TicketsBreak!A:A,TicketsBreak!F:F,"",0),0)</f>
        <v>0.5208333333</v>
      </c>
      <c r="J2720" s="316">
        <f t="array" ref="J2720">XLOOKUP(B2720,Roster!L:L,Roster!P:P,XLOOKUP(D2720,TicketsBreak!A:A,TicketsBreak!G:G,"",0),0)</f>
        <v>0.65625</v>
      </c>
      <c r="K2720" s="310">
        <f t="shared" si="4"/>
        <v>46135</v>
      </c>
      <c r="L2720" s="317">
        <f t="array" ref="L2720">(XLOOKUP(D2720,Roster!F:F,Roster!D:D,"",0))</f>
        <v>1</v>
      </c>
      <c r="M2720" s="317" t="str">
        <f t="array" ref="M2720">XLOOKUP(D2720,Roster!F:F,Roster!E:E)</f>
        <v>Tickets</v>
      </c>
      <c r="N2720" s="317" t="str">
        <f t="shared" ref="N2720:P2720" si="2758">LEFT(H2720,5)</f>
        <v>10:00</v>
      </c>
      <c r="O2720" s="317" t="str">
        <f t="shared" si="2758"/>
        <v>12:30</v>
      </c>
      <c r="P2720" s="317" t="str">
        <f t="shared" si="2758"/>
        <v>15:45</v>
      </c>
      <c r="Q2720" s="318">
        <f t="shared" si="2649"/>
        <v>46135.41667</v>
      </c>
      <c r="R2720" s="318">
        <f t="shared" si="2650"/>
        <v>46135.52083</v>
      </c>
      <c r="S2720" s="318">
        <f t="shared" si="8"/>
        <v>46135.65625</v>
      </c>
    </row>
    <row r="2721">
      <c r="A2721" s="14" t="str">
        <f t="shared" si="1"/>
        <v>C113946135</v>
      </c>
      <c r="B2721" s="185">
        <f t="array" ref="B2721">IF(F2721="VL","",IF(F2721="Free","Free",XLOOKUP(D2721,Roster!T:T,Roster!S:S,"",0)))</f>
        <v>125</v>
      </c>
      <c r="C2721" s="313">
        <v>46135.0</v>
      </c>
      <c r="D2721" s="314" t="s">
        <v>45</v>
      </c>
      <c r="E2721" s="307" t="str">
        <f t="array" ref="E2721">(XLOOKUP(D2721,Roster!F:F,Roster!B:B,"",0))</f>
        <v>Juan Largacha</v>
      </c>
      <c r="F2721" s="315" t="str">
        <f t="array" ref="F2721">IF(B2721=100,"Free",TEXT(XLOOKUP($D2721,OperationVoice!$A:$A,OperationVoice!AC:AC,XLOOKUP($D2721,OperationTickets!$A:$A,OperationTickets!AC:AC,"",0)),"hh:mm"))</f>
        <v>08:00</v>
      </c>
      <c r="G2721" s="309">
        <f t="shared" si="3"/>
        <v>0.7083333333</v>
      </c>
      <c r="H2721" s="316" t="str">
        <f t="array" ref="H2721">XLOOKUP(B2721,Roster!L:L,Roster!N:N,XLOOKUP(D2721,TicketsBreak!A:A,TicketsBreak!E:E,"",0),0)</f>
        <v>10:30 - 10:45</v>
      </c>
      <c r="I2721" s="316" t="str">
        <f t="array" ref="I2721">XLOOKUP(B2721,Roster!L:L,Roster!O:O,XLOOKUP(D2721,TicketsBreak!A:A,TicketsBreak!F:F,"",0),0)</f>
        <v>13:30 - 14:00</v>
      </c>
      <c r="J2721" s="316" t="str">
        <f t="array" ref="J2721">XLOOKUP(B2721,Roster!L:L,Roster!P:P,XLOOKUP(D2721,TicketsBreak!A:A,TicketsBreak!G:G,"",0),0)</f>
        <v>15:45 - 16:00</v>
      </c>
      <c r="K2721" s="310">
        <f t="shared" si="4"/>
        <v>46135</v>
      </c>
      <c r="L2721" s="317">
        <f t="array" ref="L2721">(XLOOKUP(D2721,Roster!F:F,Roster!D:D,"",0))</f>
        <v>22</v>
      </c>
      <c r="M2721" s="317" t="str">
        <f t="array" ref="M2721">XLOOKUP(D2721,Roster!F:F,Roster!E:E)</f>
        <v>Voice</v>
      </c>
      <c r="N2721" s="317" t="str">
        <f t="shared" ref="N2721:P2721" si="2759">LEFT(H2721,5)</f>
        <v>10:30</v>
      </c>
      <c r="O2721" s="317" t="str">
        <f t="shared" si="2759"/>
        <v>13:30</v>
      </c>
      <c r="P2721" s="317" t="str">
        <f t="shared" si="2759"/>
        <v>15:45</v>
      </c>
      <c r="Q2721" s="318">
        <f t="shared" si="2649"/>
        <v>46135.4375</v>
      </c>
      <c r="R2721" s="318">
        <f t="shared" si="2650"/>
        <v>46135.5625</v>
      </c>
      <c r="S2721" s="318">
        <f t="shared" si="8"/>
        <v>46135.65625</v>
      </c>
    </row>
    <row r="2722">
      <c r="A2722" s="14" t="str">
        <f t="shared" si="1"/>
        <v>C156646135</v>
      </c>
      <c r="B2722" s="185">
        <f t="array" ref="B2722">IF(F2722="VL","",IF(F2722="Free","Free",XLOOKUP(D2722,Roster!T:T,Roster!S:S,"",0)))</f>
        <v>124</v>
      </c>
      <c r="C2722" s="313">
        <v>46135.0</v>
      </c>
      <c r="D2722" s="314" t="s">
        <v>46</v>
      </c>
      <c r="E2722" s="307" t="str">
        <f t="array" ref="E2722">(XLOOKUP(D2722,Roster!F:F,Roster!B:B,"",0))</f>
        <v>Juan Ocampo</v>
      </c>
      <c r="F2722" s="315" t="str">
        <f t="array" ref="F2722">IF(B2722=100,"Free",TEXT(XLOOKUP($D2722,OperationVoice!$A:$A,OperationVoice!AC:AC,XLOOKUP($D2722,OperationTickets!$A:$A,OperationTickets!AC:AC,"",0)),"hh:mm"))</f>
        <v>08:00</v>
      </c>
      <c r="G2722" s="309">
        <f t="shared" si="3"/>
        <v>0.7083333333</v>
      </c>
      <c r="H2722" s="316" t="str">
        <f t="array" ref="H2722">XLOOKUP(B2722,Roster!L:L,Roster!N:N,XLOOKUP(D2722,TicketsBreak!A:A,TicketsBreak!E:E,"",0),0)</f>
        <v>10:00 - 10:15</v>
      </c>
      <c r="I2722" s="316" t="str">
        <f t="array" ref="I2722">XLOOKUP(B2722,Roster!L:L,Roster!O:O,XLOOKUP(D2722,TicketsBreak!A:A,TicketsBreak!F:F,"",0),0)</f>
        <v>13:00 - 13:30</v>
      </c>
      <c r="J2722" s="316" t="str">
        <f t="array" ref="J2722">XLOOKUP(B2722,Roster!L:L,Roster!P:P,XLOOKUP(D2722,TicketsBreak!A:A,TicketsBreak!G:G,"",0),0)</f>
        <v>15:30 - 15:45</v>
      </c>
      <c r="K2722" s="310">
        <f t="shared" si="4"/>
        <v>46135</v>
      </c>
      <c r="L2722" s="317">
        <f t="array" ref="L2722">(XLOOKUP(D2722,Roster!F:F,Roster!D:D,"",0))</f>
        <v>38</v>
      </c>
      <c r="M2722" s="317" t="str">
        <f t="array" ref="M2722">XLOOKUP(D2722,Roster!F:F,Roster!E:E)</f>
        <v>Voice</v>
      </c>
      <c r="N2722" s="317" t="str">
        <f t="shared" ref="N2722:P2722" si="2760">LEFT(H2722,5)</f>
        <v>10:00</v>
      </c>
      <c r="O2722" s="317" t="str">
        <f t="shared" si="2760"/>
        <v>13:00</v>
      </c>
      <c r="P2722" s="317" t="str">
        <f t="shared" si="2760"/>
        <v>15:30</v>
      </c>
      <c r="Q2722" s="318">
        <f t="shared" si="2649"/>
        <v>46135.41667</v>
      </c>
      <c r="R2722" s="318">
        <f t="shared" si="2650"/>
        <v>46135.54167</v>
      </c>
      <c r="S2722" s="318">
        <f t="shared" si="8"/>
        <v>46135.64583</v>
      </c>
    </row>
    <row r="2723">
      <c r="A2723" s="14" t="str">
        <f t="shared" si="1"/>
        <v>C148446135</v>
      </c>
      <c r="B2723" s="185">
        <f t="array" ref="B2723">IF(F2723="VL","",IF(F2723="Free","Free",XLOOKUP(D2723,Roster!T:T,Roster!S:S,"",0)))</f>
        <v>126</v>
      </c>
      <c r="C2723" s="313">
        <v>46135.0</v>
      </c>
      <c r="D2723" s="314" t="s">
        <v>141</v>
      </c>
      <c r="E2723" s="307" t="str">
        <f t="array" ref="E2723">(XLOOKUP(D2723,Roster!F:F,Roster!B:B,"",0))</f>
        <v>Juan Ospina</v>
      </c>
      <c r="F2723" s="315" t="str">
        <f t="array" ref="F2723">IF(B2723=100,"Free",TEXT(XLOOKUP($D2723,OperationVoice!$A:$A,OperationVoice!AC:AC,XLOOKUP($D2723,OperationTickets!$A:$A,OperationTickets!AC:AC,"",0)),"hh:mm"))</f>
        <v>08:00</v>
      </c>
      <c r="G2723" s="309">
        <f t="shared" si="3"/>
        <v>0.7083333333</v>
      </c>
      <c r="H2723" s="316" t="str">
        <f t="array" ref="H2723">XLOOKUP(B2723,Roster!L:L,Roster!N:N,XLOOKUP(D2723,TicketsBreak!A:A,TicketsBreak!E:E,"",0),0)</f>
        <v>10:45 - 11:00</v>
      </c>
      <c r="I2723" s="316" t="str">
        <f t="array" ref="I2723">XLOOKUP(B2723,Roster!L:L,Roster!O:O,XLOOKUP(D2723,TicketsBreak!A:A,TicketsBreak!F:F,"",0),0)</f>
        <v>14:00 - 14:30</v>
      </c>
      <c r="J2723" s="316" t="str">
        <f t="array" ref="J2723">XLOOKUP(B2723,Roster!L:L,Roster!P:P,XLOOKUP(D2723,TicketsBreak!A:A,TicketsBreak!G:G,"",0),0)</f>
        <v>15:45 - 16:00</v>
      </c>
      <c r="K2723" s="310">
        <f t="shared" si="4"/>
        <v>46135</v>
      </c>
      <c r="L2723" s="317">
        <f t="array" ref="L2723">(XLOOKUP(D2723,Roster!F:F,Roster!D:D,"",0))</f>
        <v>34</v>
      </c>
      <c r="M2723" s="317" t="str">
        <f t="array" ref="M2723">XLOOKUP(D2723,Roster!F:F,Roster!E:E)</f>
        <v>Tickets</v>
      </c>
      <c r="N2723" s="317" t="str">
        <f t="shared" ref="N2723:P2723" si="2761">LEFT(H2723,5)</f>
        <v>10:45</v>
      </c>
      <c r="O2723" s="317" t="str">
        <f t="shared" si="2761"/>
        <v>14:00</v>
      </c>
      <c r="P2723" s="317" t="str">
        <f t="shared" si="2761"/>
        <v>15:45</v>
      </c>
      <c r="Q2723" s="318">
        <f t="shared" si="2649"/>
        <v>46135.44792</v>
      </c>
      <c r="R2723" s="318">
        <f t="shared" si="2650"/>
        <v>46135.58333</v>
      </c>
      <c r="S2723" s="318">
        <f t="shared" si="8"/>
        <v>46135.65625</v>
      </c>
    </row>
    <row r="2724">
      <c r="A2724" s="14" t="str">
        <f t="shared" si="1"/>
        <v>C141346135</v>
      </c>
      <c r="B2724" s="185">
        <f t="array" ref="B2724">IF(F2724="VL","",IF(F2724="Free","Free",XLOOKUP(D2724,Roster!T:T,Roster!S:S,"",0)))</f>
        <v>121</v>
      </c>
      <c r="C2724" s="313">
        <v>46135.0</v>
      </c>
      <c r="D2724" s="314" t="s">
        <v>47</v>
      </c>
      <c r="E2724" s="307" t="str">
        <f t="array" ref="E2724">(XLOOKUP(D2724,Roster!F:F,Roster!B:B,"",0))</f>
        <v>Juan Parra</v>
      </c>
      <c r="F2724" s="315" t="str">
        <f t="array" ref="F2724">IF(B2724=100,"Free",TEXT(XLOOKUP($D2724,OperationVoice!$A:$A,OperationVoice!AC:AC,XLOOKUP($D2724,OperationTickets!$A:$A,OperationTickets!AC:AC,"",0)),"hh:mm"))</f>
        <v>08:00</v>
      </c>
      <c r="G2724" s="309">
        <f t="shared" si="3"/>
        <v>0.7083333333</v>
      </c>
      <c r="H2724" s="316" t="str">
        <f t="array" ref="H2724">XLOOKUP(B2724,Roster!L:L,Roster!N:N,XLOOKUP(D2724,TicketsBreak!A:A,TicketsBreak!E:E,"",0),0)</f>
        <v>09:15 - 09:30</v>
      </c>
      <c r="I2724" s="316" t="str">
        <f t="array" ref="I2724">XLOOKUP(B2724,Roster!L:L,Roster!O:O,XLOOKUP(D2724,TicketsBreak!A:A,TicketsBreak!F:F,"",0),0)</f>
        <v>11:30 - 12:00</v>
      </c>
      <c r="J2724" s="316" t="str">
        <f t="array" ref="J2724">XLOOKUP(B2724,Roster!L:L,Roster!P:P,XLOOKUP(D2724,TicketsBreak!A:A,TicketsBreak!G:G,"",0),0)</f>
        <v>14:30 - 14:45</v>
      </c>
      <c r="K2724" s="310">
        <f t="shared" si="4"/>
        <v>46135</v>
      </c>
      <c r="L2724" s="317">
        <f t="array" ref="L2724">(XLOOKUP(D2724,Roster!F:F,Roster!D:D,"",0))</f>
        <v>32</v>
      </c>
      <c r="M2724" s="317" t="str">
        <f t="array" ref="M2724">XLOOKUP(D2724,Roster!F:F,Roster!E:E)</f>
        <v>Voice</v>
      </c>
      <c r="N2724" s="317" t="str">
        <f t="shared" ref="N2724:P2724" si="2762">LEFT(H2724,5)</f>
        <v>09:15</v>
      </c>
      <c r="O2724" s="317" t="str">
        <f t="shared" si="2762"/>
        <v>11:30</v>
      </c>
      <c r="P2724" s="317" t="str">
        <f t="shared" si="2762"/>
        <v>14:30</v>
      </c>
      <c r="Q2724" s="318">
        <f t="shared" si="2649"/>
        <v>46135.38542</v>
      </c>
      <c r="R2724" s="318">
        <f t="shared" si="2650"/>
        <v>46135.47917</v>
      </c>
      <c r="S2724" s="318">
        <f t="shared" si="8"/>
        <v>46135.60417</v>
      </c>
    </row>
    <row r="2725">
      <c r="A2725" s="14" t="str">
        <f t="shared" si="1"/>
        <v>C132746135</v>
      </c>
      <c r="B2725" s="185" t="str">
        <f t="array" ref="B2725">IF(F2725="VL","",IF(F2725="Free","Free",XLOOKUP(D2725,Roster!T:T,Roster!S:S,"",0)))</f>
        <v/>
      </c>
      <c r="C2725" s="313">
        <v>46135.0</v>
      </c>
      <c r="D2725" s="314" t="s">
        <v>163</v>
      </c>
      <c r="E2725" s="307" t="str">
        <f t="array" ref="E2725">(XLOOKUP(D2725,Roster!F:F,Roster!B:B,"",0))</f>
        <v>Juan Restrepo</v>
      </c>
      <c r="F2725" s="315" t="str">
        <f t="array" ref="F2725">IF(B2725=100,"Free",TEXT(XLOOKUP($D2725,OperationVoice!$A:$A,OperationVoice!AC:AC,XLOOKUP($D2725,OperationTickets!$A:$A,OperationTickets!AC:AC,"",0)),"hh:mm"))</f>
        <v>07:00</v>
      </c>
      <c r="G2725" s="309">
        <f t="shared" si="3"/>
        <v>0.6666666667</v>
      </c>
      <c r="H2725" s="316" t="str">
        <f t="array" ref="H2725">XLOOKUP(B2725,Roster!L:L,Roster!N:N,XLOOKUP(D2725,TicketsBreak!A:A,TicketsBreak!E:E,"",0),0)</f>
        <v/>
      </c>
      <c r="I2725" s="316" t="str">
        <f t="array" ref="I2725">XLOOKUP(B2725,Roster!L:L,Roster!O:O,XLOOKUP(D2725,TicketsBreak!A:A,TicketsBreak!F:F,"",0),0)</f>
        <v/>
      </c>
      <c r="J2725" s="316" t="str">
        <f t="array" ref="J2725">XLOOKUP(B2725,Roster!L:L,Roster!P:P,XLOOKUP(D2725,TicketsBreak!A:A,TicketsBreak!G:G,"",0),0)</f>
        <v/>
      </c>
      <c r="K2725" s="310">
        <f t="shared" si="4"/>
        <v>46135</v>
      </c>
      <c r="L2725" s="317">
        <f t="array" ref="L2725">(XLOOKUP(D2725,Roster!F:F,Roster!D:D,"",0))</f>
        <v>29</v>
      </c>
      <c r="M2725" s="317" t="str">
        <f t="array" ref="M2725">XLOOKUP(D2725,Roster!F:F,Roster!E:E)</f>
        <v>Tickets</v>
      </c>
      <c r="N2725" s="317" t="str">
        <f t="shared" ref="N2725:P2725" si="2763">LEFT(H2725,5)</f>
        <v/>
      </c>
      <c r="O2725" s="317" t="str">
        <f t="shared" si="2763"/>
        <v/>
      </c>
      <c r="P2725" s="317" t="str">
        <f t="shared" si="2763"/>
        <v/>
      </c>
      <c r="Q2725" s="318" t="str">
        <f t="shared" si="2649"/>
        <v/>
      </c>
      <c r="R2725" s="318" t="str">
        <f t="shared" si="2650"/>
        <v/>
      </c>
      <c r="S2725" s="318" t="str">
        <f t="shared" si="8"/>
        <v/>
      </c>
    </row>
    <row r="2726">
      <c r="A2726" s="14" t="str">
        <f t="shared" si="1"/>
        <v>C146946135</v>
      </c>
      <c r="B2726" s="185">
        <f t="array" ref="B2726">IF(F2726="VL","",IF(F2726="Free","Free",XLOOKUP(D2726,Roster!T:T,Roster!S:S,"",0)))</f>
        <v>122</v>
      </c>
      <c r="C2726" s="313">
        <v>46135.0</v>
      </c>
      <c r="D2726" s="314" t="s">
        <v>48</v>
      </c>
      <c r="E2726" s="307" t="str">
        <f t="array" ref="E2726">(XLOOKUP(D2726,Roster!F:F,Roster!B:B,"",0))</f>
        <v>Juan Restrepo Restrepo</v>
      </c>
      <c r="F2726" s="315" t="str">
        <f t="array" ref="F2726">IF(B2726=100,"Free",TEXT(XLOOKUP($D2726,OperationVoice!$A:$A,OperationVoice!AC:AC,XLOOKUP($D2726,OperationTickets!$A:$A,OperationTickets!AC:AC,"",0)),"hh:mm"))</f>
        <v>08:00</v>
      </c>
      <c r="G2726" s="309">
        <f t="shared" si="3"/>
        <v>0.7083333333</v>
      </c>
      <c r="H2726" s="316" t="str">
        <f t="array" ref="H2726">XLOOKUP(B2726,Roster!L:L,Roster!N:N,XLOOKUP(D2726,TicketsBreak!A:A,TicketsBreak!E:E,"",0),0)</f>
        <v>09:30 - 09:45</v>
      </c>
      <c r="I2726" s="316" t="str">
        <f t="array" ref="I2726">XLOOKUP(B2726,Roster!L:L,Roster!O:O,XLOOKUP(D2726,TicketsBreak!A:A,TicketsBreak!F:F,"",0),0)</f>
        <v>12:00 - 12:30</v>
      </c>
      <c r="J2726" s="316" t="str">
        <f t="array" ref="J2726">XLOOKUP(B2726,Roster!L:L,Roster!P:P,XLOOKUP(D2726,TicketsBreak!A:A,TicketsBreak!G:G,"",0),0)</f>
        <v>14:45 - 15:00</v>
      </c>
      <c r="K2726" s="310">
        <f t="shared" si="4"/>
        <v>46135</v>
      </c>
      <c r="L2726" s="317">
        <f t="array" ref="L2726">(XLOOKUP(D2726,Roster!F:F,Roster!D:D,"",0))</f>
        <v>33</v>
      </c>
      <c r="M2726" s="317" t="str">
        <f t="array" ref="M2726">XLOOKUP(D2726,Roster!F:F,Roster!E:E)</f>
        <v>Voice</v>
      </c>
      <c r="N2726" s="317" t="str">
        <f t="shared" ref="N2726:P2726" si="2764">LEFT(H2726,5)</f>
        <v>09:30</v>
      </c>
      <c r="O2726" s="317" t="str">
        <f t="shared" si="2764"/>
        <v>12:00</v>
      </c>
      <c r="P2726" s="317" t="str">
        <f t="shared" si="2764"/>
        <v>14:45</v>
      </c>
      <c r="Q2726" s="318">
        <f t="shared" si="2649"/>
        <v>46135.39583</v>
      </c>
      <c r="R2726" s="318">
        <f t="shared" si="2650"/>
        <v>46135.5</v>
      </c>
      <c r="S2726" s="318">
        <f t="shared" si="8"/>
        <v>46135.61458</v>
      </c>
    </row>
    <row r="2727">
      <c r="A2727" s="14" t="str">
        <f t="shared" si="1"/>
        <v>C117146135</v>
      </c>
      <c r="B2727" s="185" t="str">
        <f t="array" ref="B2727">IF(F2727="VL","",IF(F2727="Free","Free",XLOOKUP(D2727,Roster!T:T,Roster!S:S,"",0)))</f>
        <v>Free</v>
      </c>
      <c r="C2727" s="313">
        <v>46135.0</v>
      </c>
      <c r="D2727" s="314" t="s">
        <v>142</v>
      </c>
      <c r="E2727" s="307" t="str">
        <f t="array" ref="E2727">(XLOOKUP(D2727,Roster!F:F,Roster!B:B,"",0))</f>
        <v>Juan Sanchez</v>
      </c>
      <c r="F2727" s="315" t="str">
        <f t="array" ref="F2727">IF(B2727=100,"Free",TEXT(XLOOKUP($D2727,OperationVoice!$A:$A,OperationVoice!AC:AC,XLOOKUP($D2727,OperationTickets!$A:$A,OperationTickets!AC:AC,"",0)),"hh:mm"))</f>
        <v>Free</v>
      </c>
      <c r="G2727" s="309" t="str">
        <f t="shared" si="3"/>
        <v>Free</v>
      </c>
      <c r="H2727" s="316" t="str">
        <f t="array" ref="H2727">XLOOKUP(B2727,Roster!L:L,Roster!N:N,XLOOKUP(D2727,TicketsBreak!A:A,TicketsBreak!E:E,"",0),0)</f>
        <v/>
      </c>
      <c r="I2727" s="316" t="str">
        <f t="array" ref="I2727">XLOOKUP(B2727,Roster!L:L,Roster!O:O,XLOOKUP(D2727,TicketsBreak!A:A,TicketsBreak!F:F,"",0),0)</f>
        <v/>
      </c>
      <c r="J2727" s="316" t="str">
        <f t="array" ref="J2727">XLOOKUP(B2727,Roster!L:L,Roster!P:P,XLOOKUP(D2727,TicketsBreak!A:A,TicketsBreak!G:G,"",0),0)</f>
        <v/>
      </c>
      <c r="K2727" s="310">
        <f t="shared" si="4"/>
        <v>46135</v>
      </c>
      <c r="L2727" s="317">
        <f t="array" ref="L2727">(XLOOKUP(D2727,Roster!F:F,Roster!D:D,"",0))</f>
        <v>24</v>
      </c>
      <c r="M2727" s="317" t="str">
        <f t="array" ref="M2727">XLOOKUP(D2727,Roster!F:F,Roster!E:E)</f>
        <v>Tickets</v>
      </c>
      <c r="N2727" s="317" t="str">
        <f t="shared" ref="N2727:P2727" si="2765">LEFT(H2727,5)</f>
        <v/>
      </c>
      <c r="O2727" s="317" t="str">
        <f t="shared" si="2765"/>
        <v/>
      </c>
      <c r="P2727" s="317" t="str">
        <f t="shared" si="2765"/>
        <v/>
      </c>
      <c r="Q2727" s="318" t="str">
        <f t="shared" si="2649"/>
        <v/>
      </c>
      <c r="R2727" s="318" t="str">
        <f t="shared" si="2650"/>
        <v/>
      </c>
      <c r="S2727" s="318" t="str">
        <f t="shared" si="8"/>
        <v/>
      </c>
    </row>
    <row r="2728">
      <c r="A2728" s="14" t="str">
        <f t="shared" si="1"/>
        <v>C74346135</v>
      </c>
      <c r="B2728" s="185" t="str">
        <f t="array" ref="B2728">IF(F2728="VL","",IF(F2728="Free","Free",XLOOKUP(D2728,Roster!T:T,Roster!S:S,"",0)))</f>
        <v/>
      </c>
      <c r="C2728" s="313">
        <v>46135.0</v>
      </c>
      <c r="D2728" s="314" t="s">
        <v>164</v>
      </c>
      <c r="E2728" s="307" t="str">
        <f t="array" ref="E2728">(XLOOKUP(D2728,Roster!F:F,Roster!B:B,"",0))</f>
        <v>Juan Suarez</v>
      </c>
      <c r="F2728" s="315" t="str">
        <f t="array" ref="F2728">IF(B2728=100,"Free",TEXT(XLOOKUP($D2728,OperationVoice!$A:$A,OperationVoice!AC:AC,XLOOKUP($D2728,OperationTickets!$A:$A,OperationTickets!AC:AC,"",0)),"hh:mm"))</f>
        <v>VL</v>
      </c>
      <c r="G2728" s="309" t="str">
        <f t="shared" si="3"/>
        <v>VL</v>
      </c>
      <c r="H2728" s="316">
        <f t="array" ref="H2728">XLOOKUP(B2728,Roster!L:L,Roster!N:N,XLOOKUP(D2728,TicketsBreak!A:A,TicketsBreak!E:E,"",0),0)</f>
        <v>0.3958333333</v>
      </c>
      <c r="I2728" s="316">
        <f t="array" ref="I2728">XLOOKUP(B2728,Roster!L:L,Roster!O:O,XLOOKUP(D2728,TicketsBreak!A:A,TicketsBreak!F:F,"",0),0)</f>
        <v>0.5208333333</v>
      </c>
      <c r="J2728" s="316">
        <f t="array" ref="J2728">XLOOKUP(B2728,Roster!L:L,Roster!P:P,XLOOKUP(D2728,TicketsBreak!A:A,TicketsBreak!G:G,"",0),0)</f>
        <v>0.6145833333</v>
      </c>
      <c r="K2728" s="310">
        <f t="shared" si="4"/>
        <v>46135</v>
      </c>
      <c r="L2728" s="317">
        <f t="array" ref="L2728">(XLOOKUP(D2728,Roster!F:F,Roster!D:D,"",0))</f>
        <v>8</v>
      </c>
      <c r="M2728" s="317" t="str">
        <f t="array" ref="M2728">XLOOKUP(D2728,Roster!F:F,Roster!E:E)</f>
        <v>Tickets</v>
      </c>
      <c r="N2728" s="317" t="str">
        <f t="shared" ref="N2728:P2728" si="2766">LEFT(H2728,5)</f>
        <v>09:30</v>
      </c>
      <c r="O2728" s="317" t="str">
        <f t="shared" si="2766"/>
        <v>12:30</v>
      </c>
      <c r="P2728" s="317" t="str">
        <f t="shared" si="2766"/>
        <v>14:45</v>
      </c>
      <c r="Q2728" s="318">
        <f t="shared" si="2649"/>
        <v>46135.39583</v>
      </c>
      <c r="R2728" s="318">
        <f t="shared" si="2650"/>
        <v>46135.52083</v>
      </c>
      <c r="S2728" s="318">
        <f t="shared" si="8"/>
        <v>46135.61458</v>
      </c>
    </row>
    <row r="2729">
      <c r="A2729" s="14" t="str">
        <f t="shared" si="1"/>
        <v>C156846135</v>
      </c>
      <c r="B2729" s="185">
        <f t="array" ref="B2729">IF(F2729="VL","",IF(F2729="Free","Free",XLOOKUP(D2729,Roster!T:T,Roster!S:S,"",0)))</f>
        <v>122</v>
      </c>
      <c r="C2729" s="313">
        <v>46135.0</v>
      </c>
      <c r="D2729" s="314" t="s">
        <v>49</v>
      </c>
      <c r="E2729" s="307" t="str">
        <f t="array" ref="E2729">(XLOOKUP(D2729,Roster!F:F,Roster!B:B,"",0))</f>
        <v>Juan Zapata</v>
      </c>
      <c r="F2729" s="315" t="str">
        <f t="array" ref="F2729">IF(B2729=100,"Free",TEXT(XLOOKUP($D2729,OperationVoice!$A:$A,OperationVoice!AC:AC,XLOOKUP($D2729,OperationTickets!$A:$A,OperationTickets!AC:AC,"",0)),"hh:mm"))</f>
        <v>08:00</v>
      </c>
      <c r="G2729" s="309">
        <f t="shared" si="3"/>
        <v>0.7083333333</v>
      </c>
      <c r="H2729" s="316" t="str">
        <f t="array" ref="H2729">XLOOKUP(B2729,Roster!L:L,Roster!N:N,XLOOKUP(D2729,TicketsBreak!A:A,TicketsBreak!E:E,"",0),0)</f>
        <v>09:30 - 09:45</v>
      </c>
      <c r="I2729" s="316" t="str">
        <f t="array" ref="I2729">XLOOKUP(B2729,Roster!L:L,Roster!O:O,XLOOKUP(D2729,TicketsBreak!A:A,TicketsBreak!F:F,"",0),0)</f>
        <v>12:00 - 12:30</v>
      </c>
      <c r="J2729" s="316" t="str">
        <f t="array" ref="J2729">XLOOKUP(B2729,Roster!L:L,Roster!P:P,XLOOKUP(D2729,TicketsBreak!A:A,TicketsBreak!G:G,"",0),0)</f>
        <v>14:45 - 15:00</v>
      </c>
      <c r="K2729" s="310">
        <f t="shared" si="4"/>
        <v>46135</v>
      </c>
      <c r="L2729" s="317">
        <f t="array" ref="L2729">(XLOOKUP(D2729,Roster!F:F,Roster!D:D,"",0))</f>
        <v>38</v>
      </c>
      <c r="M2729" s="317" t="str">
        <f t="array" ref="M2729">XLOOKUP(D2729,Roster!F:F,Roster!E:E)</f>
        <v>Voice</v>
      </c>
      <c r="N2729" s="317" t="str">
        <f t="shared" ref="N2729:P2729" si="2767">LEFT(H2729,5)</f>
        <v>09:30</v>
      </c>
      <c r="O2729" s="317" t="str">
        <f t="shared" si="2767"/>
        <v>12:00</v>
      </c>
      <c r="P2729" s="317" t="str">
        <f t="shared" si="2767"/>
        <v>14:45</v>
      </c>
      <c r="Q2729" s="318">
        <f t="shared" si="2649"/>
        <v>46135.39583</v>
      </c>
      <c r="R2729" s="318">
        <f t="shared" si="2650"/>
        <v>46135.5</v>
      </c>
      <c r="S2729" s="318">
        <f t="shared" si="8"/>
        <v>46135.61458</v>
      </c>
    </row>
    <row r="2730">
      <c r="A2730" s="14" t="str">
        <f t="shared" si="1"/>
        <v>C75546135</v>
      </c>
      <c r="B2730" s="185" t="str">
        <f t="array" ref="B2730">IF(F2730="VL","",IF(F2730="Free","Free",XLOOKUP(D2730,Roster!T:T,Roster!S:S,"",0)))</f>
        <v/>
      </c>
      <c r="C2730" s="313">
        <v>46135.0</v>
      </c>
      <c r="D2730" s="314" t="s">
        <v>143</v>
      </c>
      <c r="E2730" s="307" t="str">
        <f t="array" ref="E2730">(XLOOKUP(D2730,Roster!F:F,Roster!B:B,"",0))</f>
        <v>Julian Higuita</v>
      </c>
      <c r="F2730" s="315" t="str">
        <f t="array" ref="F2730">IF(B2730=100,"Free",TEXT(XLOOKUP($D2730,OperationVoice!$A:$A,OperationVoice!AC:AC,XLOOKUP($D2730,OperationTickets!$A:$A,OperationTickets!AC:AC,"",0)),"hh:mm"))</f>
        <v>VL</v>
      </c>
      <c r="G2730" s="309" t="str">
        <f t="shared" si="3"/>
        <v>VL</v>
      </c>
      <c r="H2730" s="316" t="str">
        <f t="array" ref="H2730">XLOOKUP(B2730,Roster!L:L,Roster!N:N,XLOOKUP(D2730,TicketsBreak!A:A,TicketsBreak!E:E,"",0),0)</f>
        <v/>
      </c>
      <c r="I2730" s="316" t="str">
        <f t="array" ref="I2730">XLOOKUP(B2730,Roster!L:L,Roster!O:O,XLOOKUP(D2730,TicketsBreak!A:A,TicketsBreak!F:F,"",0),0)</f>
        <v/>
      </c>
      <c r="J2730" s="316" t="str">
        <f t="array" ref="J2730">XLOOKUP(B2730,Roster!L:L,Roster!P:P,XLOOKUP(D2730,TicketsBreak!A:A,TicketsBreak!G:G,"",0),0)</f>
        <v/>
      </c>
      <c r="K2730" s="310">
        <f t="shared" si="4"/>
        <v>46135</v>
      </c>
      <c r="L2730" s="317">
        <f t="array" ref="L2730">(XLOOKUP(D2730,Roster!F:F,Roster!D:D,"",0))</f>
        <v>35</v>
      </c>
      <c r="M2730" s="317" t="str">
        <f t="array" ref="M2730">XLOOKUP(D2730,Roster!F:F,Roster!E:E)</f>
        <v>Tickets</v>
      </c>
      <c r="N2730" s="317" t="str">
        <f t="shared" ref="N2730:P2730" si="2768">LEFT(H2730,5)</f>
        <v/>
      </c>
      <c r="O2730" s="317" t="str">
        <f t="shared" si="2768"/>
        <v/>
      </c>
      <c r="P2730" s="317" t="str">
        <f t="shared" si="2768"/>
        <v/>
      </c>
      <c r="Q2730" s="318" t="str">
        <f t="shared" si="2649"/>
        <v/>
      </c>
      <c r="R2730" s="318" t="str">
        <f t="shared" si="2650"/>
        <v/>
      </c>
      <c r="S2730" s="318" t="str">
        <f t="shared" si="8"/>
        <v/>
      </c>
    </row>
    <row r="2731">
      <c r="A2731" s="14" t="str">
        <f t="shared" si="1"/>
        <v>C52546135</v>
      </c>
      <c r="B2731" s="185" t="str">
        <f t="array" ref="B2731">IF(F2731="VL","",IF(F2731="Free","Free",XLOOKUP(D2731,Roster!T:T,Roster!S:S,"",0)))</f>
        <v/>
      </c>
      <c r="C2731" s="313">
        <v>46135.0</v>
      </c>
      <c r="D2731" s="314" t="s">
        <v>176</v>
      </c>
      <c r="E2731" s="307" t="str">
        <f t="array" ref="E2731">(XLOOKUP(D2731,Roster!F:F,Roster!B:B,"",0))</f>
        <v>Julian Pineda</v>
      </c>
      <c r="F2731" s="315" t="str">
        <f t="array" ref="F2731">IF(B2731=100,"Free",TEXT(XLOOKUP($D2731,OperationVoice!$A:$A,OperationVoice!AC:AC,XLOOKUP($D2731,OperationTickets!$A:$A,OperationTickets!AC:AC,"",0)),"hh:mm"))</f>
        <v>08:00</v>
      </c>
      <c r="G2731" s="309">
        <f t="shared" si="3"/>
        <v>0.7083333333</v>
      </c>
      <c r="H2731" s="316" t="str">
        <f t="array" ref="H2731">XLOOKUP(B2731,Roster!L:L,Roster!N:N,XLOOKUP(D2731,TicketsBreak!A:A,TicketsBreak!E:E,"",0),0)</f>
        <v/>
      </c>
      <c r="I2731" s="316" t="str">
        <f t="array" ref="I2731">XLOOKUP(B2731,Roster!L:L,Roster!O:O,XLOOKUP(D2731,TicketsBreak!A:A,TicketsBreak!F:F,"",0),0)</f>
        <v/>
      </c>
      <c r="J2731" s="316" t="str">
        <f t="array" ref="J2731">XLOOKUP(B2731,Roster!L:L,Roster!P:P,XLOOKUP(D2731,TicketsBreak!A:A,TicketsBreak!G:G,"",0),0)</f>
        <v/>
      </c>
      <c r="K2731" s="310">
        <f t="shared" si="4"/>
        <v>46135</v>
      </c>
      <c r="L2731" s="317">
        <f t="array" ref="L2731">(XLOOKUP(D2731,Roster!F:F,Roster!D:D,"",0))</f>
        <v>35</v>
      </c>
      <c r="M2731" s="317" t="str">
        <f t="array" ref="M2731">XLOOKUP(D2731,Roster!F:F,Roster!E:E)</f>
        <v>Tickets</v>
      </c>
      <c r="N2731" s="317" t="str">
        <f t="shared" ref="N2731:P2731" si="2769">LEFT(H2731,5)</f>
        <v/>
      </c>
      <c r="O2731" s="317" t="str">
        <f t="shared" si="2769"/>
        <v/>
      </c>
      <c r="P2731" s="317" t="str">
        <f t="shared" si="2769"/>
        <v/>
      </c>
      <c r="Q2731" s="318" t="str">
        <f t="shared" si="2649"/>
        <v/>
      </c>
      <c r="R2731" s="318" t="str">
        <f t="shared" si="2650"/>
        <v/>
      </c>
      <c r="S2731" s="318" t="str">
        <f t="shared" si="8"/>
        <v/>
      </c>
    </row>
    <row r="2732">
      <c r="A2732" s="14" t="str">
        <f t="shared" si="1"/>
        <v>C142746135</v>
      </c>
      <c r="B2732" s="185">
        <f t="array" ref="B2732">IF(F2732="VL","",IF(F2732="Free","Free",XLOOKUP(D2732,Roster!T:T,Roster!S:S,"",0)))</f>
        <v>123</v>
      </c>
      <c r="C2732" s="313">
        <v>46135.0</v>
      </c>
      <c r="D2732" s="314" t="s">
        <v>50</v>
      </c>
      <c r="E2732" s="307" t="str">
        <f t="array" ref="E2732">(XLOOKUP(D2732,Roster!F:F,Roster!B:B,"",0))</f>
        <v>Karen Lorena Martinez</v>
      </c>
      <c r="F2732" s="315" t="str">
        <f t="array" ref="F2732">IF(B2732=100,"Free",TEXT(XLOOKUP($D2732,OperationVoice!$A:$A,OperationVoice!AC:AC,XLOOKUP($D2732,OperationTickets!$A:$A,OperationTickets!AC:AC,"",0)),"hh:mm"))</f>
        <v>08:00</v>
      </c>
      <c r="G2732" s="309">
        <f t="shared" si="3"/>
        <v>0.7083333333</v>
      </c>
      <c r="H2732" s="316" t="str">
        <f t="array" ref="H2732">XLOOKUP(B2732,Roster!L:L,Roster!N:N,XLOOKUP(D2732,TicketsBreak!A:A,TicketsBreak!E:E,"",0),0)</f>
        <v>09:45 - 10:00 </v>
      </c>
      <c r="I2732" s="316" t="str">
        <f t="array" ref="I2732">XLOOKUP(B2732,Roster!L:L,Roster!O:O,XLOOKUP(D2732,TicketsBreak!A:A,TicketsBreak!F:F,"",0),0)</f>
        <v>12:30 - 13:00</v>
      </c>
      <c r="J2732" s="316" t="str">
        <f t="array" ref="J2732">XLOOKUP(B2732,Roster!L:L,Roster!P:P,XLOOKUP(D2732,TicketsBreak!A:A,TicketsBreak!G:G,"",0),0)</f>
        <v>15:00 - 15:15</v>
      </c>
      <c r="K2732" s="310">
        <f t="shared" si="4"/>
        <v>46135</v>
      </c>
      <c r="L2732" s="317">
        <f t="array" ref="L2732">(XLOOKUP(D2732,Roster!F:F,Roster!D:D,"",0))</f>
        <v>32</v>
      </c>
      <c r="M2732" s="317" t="str">
        <f t="array" ref="M2732">XLOOKUP(D2732,Roster!F:F,Roster!E:E)</f>
        <v>Voice</v>
      </c>
      <c r="N2732" s="317" t="str">
        <f t="shared" ref="N2732:P2732" si="2770">LEFT(H2732,5)</f>
        <v>09:45</v>
      </c>
      <c r="O2732" s="317" t="str">
        <f t="shared" si="2770"/>
        <v>12:30</v>
      </c>
      <c r="P2732" s="317" t="str">
        <f t="shared" si="2770"/>
        <v>15:00</v>
      </c>
      <c r="Q2732" s="318">
        <f t="shared" si="2649"/>
        <v>46135.40625</v>
      </c>
      <c r="R2732" s="318">
        <f t="shared" si="2650"/>
        <v>46135.52083</v>
      </c>
      <c r="S2732" s="318">
        <f t="shared" si="8"/>
        <v>46135.625</v>
      </c>
    </row>
    <row r="2733">
      <c r="A2733" s="14" t="str">
        <f t="shared" si="1"/>
        <v>C57946135</v>
      </c>
      <c r="B2733" s="185" t="str">
        <f t="array" ref="B2733">IF(F2733="VL","",IF(F2733="Free","Free",XLOOKUP(D2733,Roster!T:T,Roster!S:S,"",0)))</f>
        <v>Free</v>
      </c>
      <c r="C2733" s="313">
        <v>46135.0</v>
      </c>
      <c r="D2733" s="314" t="s">
        <v>144</v>
      </c>
      <c r="E2733" s="307" t="str">
        <f t="array" ref="E2733">(XLOOKUP(D2733,Roster!F:F,Roster!B:B,"",0))</f>
        <v>Karen Martinez</v>
      </c>
      <c r="F2733" s="315" t="str">
        <f t="array" ref="F2733">IF(B2733=100,"Free",TEXT(XLOOKUP($D2733,OperationVoice!$A:$A,OperationVoice!AC:AC,XLOOKUP($D2733,OperationTickets!$A:$A,OperationTickets!AC:AC,"",0)),"hh:mm"))</f>
        <v>Free</v>
      </c>
      <c r="G2733" s="309" t="str">
        <f t="shared" si="3"/>
        <v>Free</v>
      </c>
      <c r="H2733" s="316">
        <f t="array" ref="H2733">XLOOKUP(B2733,Roster!L:L,Roster!N:N,XLOOKUP(D2733,TicketsBreak!A:A,TicketsBreak!E:E,"",0),0)</f>
        <v>0.4166666667</v>
      </c>
      <c r="I2733" s="316">
        <f t="array" ref="I2733">XLOOKUP(B2733,Roster!L:L,Roster!O:O,XLOOKUP(D2733,TicketsBreak!A:A,TicketsBreak!F:F,"",0),0)</f>
        <v>0.5</v>
      </c>
      <c r="J2733" s="316">
        <f t="array" ref="J2733">XLOOKUP(B2733,Roster!L:L,Roster!P:P,XLOOKUP(D2733,TicketsBreak!A:A,TicketsBreak!G:G,"",0),0)</f>
        <v>0.625</v>
      </c>
      <c r="K2733" s="310">
        <f t="shared" si="4"/>
        <v>46135</v>
      </c>
      <c r="L2733" s="317">
        <f t="array" ref="L2733">(XLOOKUP(D2733,Roster!F:F,Roster!D:D,"",0))</f>
        <v>4</v>
      </c>
      <c r="M2733" s="317" t="str">
        <f t="array" ref="M2733">XLOOKUP(D2733,Roster!F:F,Roster!E:E)</f>
        <v>Tickets</v>
      </c>
      <c r="N2733" s="317" t="str">
        <f t="shared" ref="N2733:P2733" si="2771">LEFT(H2733,5)</f>
        <v>10:00</v>
      </c>
      <c r="O2733" s="317" t="str">
        <f t="shared" si="2771"/>
        <v>12:00</v>
      </c>
      <c r="P2733" s="317" t="str">
        <f t="shared" si="2771"/>
        <v>15:00</v>
      </c>
      <c r="Q2733" s="318">
        <f t="shared" si="2649"/>
        <v>46135.41667</v>
      </c>
      <c r="R2733" s="318">
        <f t="shared" si="2650"/>
        <v>46135.5</v>
      </c>
      <c r="S2733" s="318">
        <f t="shared" si="8"/>
        <v>46135.625</v>
      </c>
    </row>
    <row r="2734">
      <c r="A2734" s="14" t="str">
        <f t="shared" si="1"/>
        <v>C108646135</v>
      </c>
      <c r="B2734" s="185">
        <f t="array" ref="B2734">IF(F2734="VL","",IF(F2734="Free","Free",XLOOKUP(D2734,Roster!T:T,Roster!S:S,"",0)))</f>
        <v>124</v>
      </c>
      <c r="C2734" s="313">
        <v>46135.0</v>
      </c>
      <c r="D2734" s="314" t="s">
        <v>51</v>
      </c>
      <c r="E2734" s="307" t="str">
        <f t="array" ref="E2734">(XLOOKUP(D2734,Roster!F:F,Roster!B:B,"",0))</f>
        <v>Karen Panqueva</v>
      </c>
      <c r="F2734" s="315" t="str">
        <f t="array" ref="F2734">IF(B2734=100,"Free",TEXT(XLOOKUP($D2734,OperationVoice!$A:$A,OperationVoice!AC:AC,XLOOKUP($D2734,OperationTickets!$A:$A,OperationTickets!AC:AC,"",0)),"hh:mm"))</f>
        <v>08:00</v>
      </c>
      <c r="G2734" s="309">
        <f t="shared" si="3"/>
        <v>0.7083333333</v>
      </c>
      <c r="H2734" s="316" t="str">
        <f t="array" ref="H2734">XLOOKUP(B2734,Roster!L:L,Roster!N:N,XLOOKUP(D2734,TicketsBreak!A:A,TicketsBreak!E:E,"",0),0)</f>
        <v>10:00 - 10:15</v>
      </c>
      <c r="I2734" s="316" t="str">
        <f t="array" ref="I2734">XLOOKUP(B2734,Roster!L:L,Roster!O:O,XLOOKUP(D2734,TicketsBreak!A:A,TicketsBreak!F:F,"",0),0)</f>
        <v>13:00 - 13:30</v>
      </c>
      <c r="J2734" s="316" t="str">
        <f t="array" ref="J2734">XLOOKUP(B2734,Roster!L:L,Roster!P:P,XLOOKUP(D2734,TicketsBreak!A:A,TicketsBreak!G:G,"",0),0)</f>
        <v>15:30 - 15:45</v>
      </c>
      <c r="K2734" s="310">
        <f t="shared" si="4"/>
        <v>46135</v>
      </c>
      <c r="L2734" s="317">
        <f t="array" ref="L2734">(XLOOKUP(D2734,Roster!F:F,Roster!D:D,"",0))</f>
        <v>19</v>
      </c>
      <c r="M2734" s="317" t="str">
        <f t="array" ref="M2734">XLOOKUP(D2734,Roster!F:F,Roster!E:E)</f>
        <v>Voice</v>
      </c>
      <c r="N2734" s="317" t="str">
        <f t="shared" ref="N2734:P2734" si="2772">LEFT(H2734,5)</f>
        <v>10:00</v>
      </c>
      <c r="O2734" s="317" t="str">
        <f t="shared" si="2772"/>
        <v>13:00</v>
      </c>
      <c r="P2734" s="317" t="str">
        <f t="shared" si="2772"/>
        <v>15:30</v>
      </c>
      <c r="Q2734" s="318">
        <f t="shared" si="2649"/>
        <v>46135.41667</v>
      </c>
      <c r="R2734" s="318">
        <f t="shared" si="2650"/>
        <v>46135.54167</v>
      </c>
      <c r="S2734" s="318">
        <f t="shared" si="8"/>
        <v>46135.64583</v>
      </c>
    </row>
    <row r="2735">
      <c r="A2735" s="14" t="str">
        <f t="shared" si="1"/>
        <v>C149246135</v>
      </c>
      <c r="B2735" s="185">
        <f t="array" ref="B2735">IF(F2735="VL","",IF(F2735="Free","Free",XLOOKUP(D2735,Roster!T:T,Roster!S:S,"",0)))</f>
        <v>125</v>
      </c>
      <c r="C2735" s="313">
        <v>46135.0</v>
      </c>
      <c r="D2735" s="314" t="s">
        <v>52</v>
      </c>
      <c r="E2735" s="307" t="str">
        <f t="array" ref="E2735">(XLOOKUP(D2735,Roster!F:F,Roster!B:B,"",0))</f>
        <v>Karol Pineda</v>
      </c>
      <c r="F2735" s="315" t="str">
        <f t="array" ref="F2735">IF(B2735=100,"Free",TEXT(XLOOKUP($D2735,OperationVoice!$A:$A,OperationVoice!AC:AC,XLOOKUP($D2735,OperationTickets!$A:$A,OperationTickets!AC:AC,"",0)),"hh:mm"))</f>
        <v>08:00</v>
      </c>
      <c r="G2735" s="309">
        <f t="shared" si="3"/>
        <v>0.7083333333</v>
      </c>
      <c r="H2735" s="316" t="str">
        <f t="array" ref="H2735">XLOOKUP(B2735,Roster!L:L,Roster!N:N,XLOOKUP(D2735,TicketsBreak!A:A,TicketsBreak!E:E,"",0),0)</f>
        <v>10:30 - 10:45</v>
      </c>
      <c r="I2735" s="316" t="str">
        <f t="array" ref="I2735">XLOOKUP(B2735,Roster!L:L,Roster!O:O,XLOOKUP(D2735,TicketsBreak!A:A,TicketsBreak!F:F,"",0),0)</f>
        <v>13:30 - 14:00</v>
      </c>
      <c r="J2735" s="316" t="str">
        <f t="array" ref="J2735">XLOOKUP(B2735,Roster!L:L,Roster!P:P,XLOOKUP(D2735,TicketsBreak!A:A,TicketsBreak!G:G,"",0),0)</f>
        <v>15:45 - 16:00</v>
      </c>
      <c r="K2735" s="310">
        <f t="shared" si="4"/>
        <v>46135</v>
      </c>
      <c r="L2735" s="317">
        <f t="array" ref="L2735">(XLOOKUP(D2735,Roster!F:F,Roster!D:D,"",0))</f>
        <v>34</v>
      </c>
      <c r="M2735" s="317" t="str">
        <f t="array" ref="M2735">XLOOKUP(D2735,Roster!F:F,Roster!E:E)</f>
        <v>Voice</v>
      </c>
      <c r="N2735" s="317" t="str">
        <f t="shared" ref="N2735:P2735" si="2773">LEFT(H2735,5)</f>
        <v>10:30</v>
      </c>
      <c r="O2735" s="317" t="str">
        <f t="shared" si="2773"/>
        <v>13:30</v>
      </c>
      <c r="P2735" s="317" t="str">
        <f t="shared" si="2773"/>
        <v>15:45</v>
      </c>
      <c r="Q2735" s="318">
        <f t="shared" si="2649"/>
        <v>46135.4375</v>
      </c>
      <c r="R2735" s="318">
        <f t="shared" si="2650"/>
        <v>46135.5625</v>
      </c>
      <c r="S2735" s="318">
        <f t="shared" si="8"/>
        <v>46135.65625</v>
      </c>
    </row>
    <row r="2736">
      <c r="A2736" s="14" t="str">
        <f t="shared" si="1"/>
        <v>C65846135</v>
      </c>
      <c r="B2736" s="185">
        <f t="array" ref="B2736">IF(F2736="VL","",IF(F2736="Free","Free",XLOOKUP(D2736,Roster!T:T,Roster!S:S,"",0)))</f>
        <v>112</v>
      </c>
      <c r="C2736" s="313">
        <v>46135.0</v>
      </c>
      <c r="D2736" s="314" t="s">
        <v>53</v>
      </c>
      <c r="E2736" s="307" t="str">
        <f t="array" ref="E2736">(XLOOKUP(D2736,Roster!F:F,Roster!B:B,"",0))</f>
        <v>Kennedy Giraldo</v>
      </c>
      <c r="F2736" s="315" t="str">
        <f t="array" ref="F2736">IF(B2736=100,"Free",TEXT(XLOOKUP($D2736,OperationVoice!$A:$A,OperationVoice!AC:AC,XLOOKUP($D2736,OperationTickets!$A:$A,OperationTickets!AC:AC,"",0)),"hh:mm"))</f>
        <v>07:00</v>
      </c>
      <c r="G2736" s="309">
        <f t="shared" si="3"/>
        <v>0.6666666667</v>
      </c>
      <c r="H2736" s="316" t="str">
        <f t="array" ref="H2736">XLOOKUP(B2736,Roster!L:L,Roster!N:N,XLOOKUP(D2736,TicketsBreak!A:A,TicketsBreak!E:E,"",0),0)</f>
        <v>09:30 - 09:45</v>
      </c>
      <c r="I2736" s="316" t="str">
        <f t="array" ref="I2736">XLOOKUP(B2736,Roster!L:L,Roster!O:O,XLOOKUP(D2736,TicketsBreak!A:A,TicketsBreak!F:F,"",0),0)</f>
        <v>12:15 - 12:45</v>
      </c>
      <c r="J2736" s="316" t="str">
        <f t="array" ref="J2736">XLOOKUP(B2736,Roster!L:L,Roster!P:P,XLOOKUP(D2736,TicketsBreak!A:A,TicketsBreak!G:G,"",0),0)</f>
        <v>14:45 - 15:00</v>
      </c>
      <c r="K2736" s="310">
        <f t="shared" si="4"/>
        <v>46135</v>
      </c>
      <c r="L2736" s="317">
        <f t="array" ref="L2736">(XLOOKUP(D2736,Roster!F:F,Roster!D:D,"",0))</f>
        <v>2</v>
      </c>
      <c r="M2736" s="317" t="str">
        <f t="array" ref="M2736">XLOOKUP(D2736,Roster!F:F,Roster!E:E)</f>
        <v>Voice</v>
      </c>
      <c r="N2736" s="317" t="str">
        <f t="shared" ref="N2736:P2736" si="2774">LEFT(H2736,5)</f>
        <v>09:30</v>
      </c>
      <c r="O2736" s="317" t="str">
        <f t="shared" si="2774"/>
        <v>12:15</v>
      </c>
      <c r="P2736" s="317" t="str">
        <f t="shared" si="2774"/>
        <v>14:45</v>
      </c>
      <c r="Q2736" s="318">
        <f t="shared" si="2649"/>
        <v>46135.39583</v>
      </c>
      <c r="R2736" s="318">
        <f t="shared" si="2650"/>
        <v>46135.51042</v>
      </c>
      <c r="S2736" s="318">
        <f t="shared" si="8"/>
        <v>46135.61458</v>
      </c>
    </row>
    <row r="2737">
      <c r="A2737" s="14" t="str">
        <f t="shared" si="1"/>
        <v>C151446135</v>
      </c>
      <c r="B2737" s="185">
        <f t="array" ref="B2737">IF(F2737="VL","",IF(F2737="Free","Free",XLOOKUP(D2737,Roster!T:T,Roster!S:S,"",0)))</f>
        <v>122</v>
      </c>
      <c r="C2737" s="313">
        <v>46135.0</v>
      </c>
      <c r="D2737" s="314" t="s">
        <v>54</v>
      </c>
      <c r="E2737" s="307" t="str">
        <f t="array" ref="E2737">(XLOOKUP(D2737,Roster!F:F,Roster!B:B,"",0))</f>
        <v>Kevin Betancur</v>
      </c>
      <c r="F2737" s="315" t="str">
        <f t="array" ref="F2737">IF(B2737=100,"Free",TEXT(XLOOKUP($D2737,OperationVoice!$A:$A,OperationVoice!AC:AC,XLOOKUP($D2737,OperationTickets!$A:$A,OperationTickets!AC:AC,"",0)),"hh:mm"))</f>
        <v>08:00</v>
      </c>
      <c r="G2737" s="309">
        <f t="shared" si="3"/>
        <v>0.7083333333</v>
      </c>
      <c r="H2737" s="316" t="str">
        <f t="array" ref="H2737">XLOOKUP(B2737,Roster!L:L,Roster!N:N,XLOOKUP(D2737,TicketsBreak!A:A,TicketsBreak!E:E,"",0),0)</f>
        <v>09:30 - 09:45</v>
      </c>
      <c r="I2737" s="316" t="str">
        <f t="array" ref="I2737">XLOOKUP(B2737,Roster!L:L,Roster!O:O,XLOOKUP(D2737,TicketsBreak!A:A,TicketsBreak!F:F,"",0),0)</f>
        <v>12:00 - 12:30</v>
      </c>
      <c r="J2737" s="316" t="str">
        <f t="array" ref="J2737">XLOOKUP(B2737,Roster!L:L,Roster!P:P,XLOOKUP(D2737,TicketsBreak!A:A,TicketsBreak!G:G,"",0),0)</f>
        <v>14:45 - 15:00</v>
      </c>
      <c r="K2737" s="310">
        <f t="shared" si="4"/>
        <v>46135</v>
      </c>
      <c r="L2737" s="317">
        <f t="array" ref="L2737">(XLOOKUP(D2737,Roster!F:F,Roster!D:D,"",0))</f>
        <v>35</v>
      </c>
      <c r="M2737" s="317" t="str">
        <f t="array" ref="M2737">XLOOKUP(D2737,Roster!F:F,Roster!E:E)</f>
        <v>Voice</v>
      </c>
      <c r="N2737" s="317" t="str">
        <f t="shared" ref="N2737:P2737" si="2775">LEFT(H2737,5)</f>
        <v>09:30</v>
      </c>
      <c r="O2737" s="317" t="str">
        <f t="shared" si="2775"/>
        <v>12:00</v>
      </c>
      <c r="P2737" s="317" t="str">
        <f t="shared" si="2775"/>
        <v>14:45</v>
      </c>
      <c r="Q2737" s="318">
        <f t="shared" si="2649"/>
        <v>46135.39583</v>
      </c>
      <c r="R2737" s="318">
        <f t="shared" si="2650"/>
        <v>46135.5</v>
      </c>
      <c r="S2737" s="318">
        <f t="shared" si="8"/>
        <v>46135.61458</v>
      </c>
    </row>
    <row r="2738">
      <c r="A2738" s="14" t="str">
        <f t="shared" si="1"/>
        <v>C157146135</v>
      </c>
      <c r="B2738" s="185">
        <f t="array" ref="B2738">IF(F2738="VL","",IF(F2738="Free","Free",XLOOKUP(D2738,Roster!T:T,Roster!S:S,"",0)))</f>
        <v>123</v>
      </c>
      <c r="C2738" s="313">
        <v>46135.0</v>
      </c>
      <c r="D2738" s="314" t="s">
        <v>55</v>
      </c>
      <c r="E2738" s="307" t="str">
        <f t="array" ref="E2738">(XLOOKUP(D2738,Roster!F:F,Roster!B:B,"",0))</f>
        <v>Laura Chamorro</v>
      </c>
      <c r="F2738" s="315" t="str">
        <f t="array" ref="F2738">IF(B2738=100,"Free",TEXT(XLOOKUP($D2738,OperationVoice!$A:$A,OperationVoice!AC:AC,XLOOKUP($D2738,OperationTickets!$A:$A,OperationTickets!AC:AC,"",0)),"hh:mm"))</f>
        <v>08:00</v>
      </c>
      <c r="G2738" s="309">
        <f t="shared" si="3"/>
        <v>0.7083333333</v>
      </c>
      <c r="H2738" s="316" t="str">
        <f t="array" ref="H2738">XLOOKUP(B2738,Roster!L:L,Roster!N:N,XLOOKUP(D2738,TicketsBreak!A:A,TicketsBreak!E:E,"",0),0)</f>
        <v>09:45 - 10:00 </v>
      </c>
      <c r="I2738" s="316" t="str">
        <f t="array" ref="I2738">XLOOKUP(B2738,Roster!L:L,Roster!O:O,XLOOKUP(D2738,TicketsBreak!A:A,TicketsBreak!F:F,"",0),0)</f>
        <v>12:30 - 13:00</v>
      </c>
      <c r="J2738" s="316" t="str">
        <f t="array" ref="J2738">XLOOKUP(B2738,Roster!L:L,Roster!P:P,XLOOKUP(D2738,TicketsBreak!A:A,TicketsBreak!G:G,"",0),0)</f>
        <v>15:00 - 15:15</v>
      </c>
      <c r="K2738" s="310">
        <f t="shared" si="4"/>
        <v>46135</v>
      </c>
      <c r="L2738" s="317">
        <f t="array" ref="L2738">(XLOOKUP(D2738,Roster!F:F,Roster!D:D,"",0))</f>
        <v>38</v>
      </c>
      <c r="M2738" s="317" t="str">
        <f t="array" ref="M2738">XLOOKUP(D2738,Roster!F:F,Roster!E:E)</f>
        <v>Voice</v>
      </c>
      <c r="N2738" s="317" t="str">
        <f t="shared" ref="N2738:P2738" si="2776">LEFT(H2738,5)</f>
        <v>09:45</v>
      </c>
      <c r="O2738" s="317" t="str">
        <f t="shared" si="2776"/>
        <v>12:30</v>
      </c>
      <c r="P2738" s="317" t="str">
        <f t="shared" si="2776"/>
        <v>15:00</v>
      </c>
      <c r="Q2738" s="318">
        <f t="shared" si="2649"/>
        <v>46135.40625</v>
      </c>
      <c r="R2738" s="318">
        <f t="shared" si="2650"/>
        <v>46135.52083</v>
      </c>
      <c r="S2738" s="318">
        <f t="shared" si="8"/>
        <v>46135.625</v>
      </c>
    </row>
    <row r="2739">
      <c r="A2739" s="14" t="str">
        <f t="shared" si="1"/>
        <v>C53446135</v>
      </c>
      <c r="B2739" s="185" t="str">
        <f t="array" ref="B2739">IF(F2739="VL","",IF(F2739="Free","Free",XLOOKUP(D2739,Roster!T:T,Roster!S:S,"",0)))</f>
        <v/>
      </c>
      <c r="C2739" s="313">
        <v>46135.0</v>
      </c>
      <c r="D2739" s="314" t="s">
        <v>177</v>
      </c>
      <c r="E2739" s="307" t="str">
        <f t="array" ref="E2739">(XLOOKUP(D2739,Roster!F:F,Roster!B:B,"",0))</f>
        <v>Leandry La Rosa</v>
      </c>
      <c r="F2739" s="315" t="str">
        <f t="array" ref="F2739">IF(B2739=100,"Free",TEXT(XLOOKUP($D2739,OperationVoice!$A:$A,OperationVoice!AC:AC,XLOOKUP($D2739,OperationTickets!$A:$A,OperationTickets!AC:AC,"",0)),"hh:mm"))</f>
        <v>08:00</v>
      </c>
      <c r="G2739" s="309">
        <f t="shared" si="3"/>
        <v>0.7083333333</v>
      </c>
      <c r="H2739" s="316">
        <f t="array" ref="H2739">XLOOKUP(B2739,Roster!L:L,Roster!N:N,XLOOKUP(D2739,TicketsBreak!A:A,TicketsBreak!E:E,"",0),0)</f>
        <v>0.40625</v>
      </c>
      <c r="I2739" s="316">
        <f t="array" ref="I2739">XLOOKUP(B2739,Roster!L:L,Roster!O:O,XLOOKUP(D2739,TicketsBreak!A:A,TicketsBreak!F:F,"",0),0)</f>
        <v>0.5416666667</v>
      </c>
      <c r="J2739" s="316">
        <f t="array" ref="J2739">XLOOKUP(B2739,Roster!L:L,Roster!P:P,XLOOKUP(D2739,TicketsBreak!A:A,TicketsBreak!G:G,"",0),0)</f>
        <v>0.65625</v>
      </c>
      <c r="K2739" s="310">
        <f t="shared" si="4"/>
        <v>46135</v>
      </c>
      <c r="L2739" s="317">
        <f t="array" ref="L2739">(XLOOKUP(D2739,Roster!F:F,Roster!D:D,"",0))</f>
        <v>1</v>
      </c>
      <c r="M2739" s="317" t="str">
        <f t="array" ref="M2739">XLOOKUP(D2739,Roster!F:F,Roster!E:E)</f>
        <v>Tickets</v>
      </c>
      <c r="N2739" s="317" t="str">
        <f t="shared" ref="N2739:P2739" si="2777">LEFT(H2739,5)</f>
        <v>09:45</v>
      </c>
      <c r="O2739" s="317" t="str">
        <f t="shared" si="2777"/>
        <v>13:00</v>
      </c>
      <c r="P2739" s="317" t="str">
        <f t="shared" si="2777"/>
        <v>15:45</v>
      </c>
      <c r="Q2739" s="318">
        <f t="shared" si="2649"/>
        <v>46135.40625</v>
      </c>
      <c r="R2739" s="318">
        <f t="shared" si="2650"/>
        <v>46135.54167</v>
      </c>
      <c r="S2739" s="318">
        <f t="shared" si="8"/>
        <v>46135.65625</v>
      </c>
    </row>
    <row r="2740">
      <c r="A2740" s="14" t="str">
        <f t="shared" si="1"/>
        <v>C157846135</v>
      </c>
      <c r="B2740" s="185" t="str">
        <f t="array" ref="B2740">IF(F2740="VL","",IF(F2740="Free","Free",XLOOKUP(D2740,Roster!T:T,Roster!S:S,"",0)))</f>
        <v>Free</v>
      </c>
      <c r="C2740" s="313">
        <v>46135.0</v>
      </c>
      <c r="D2740" s="314" t="s">
        <v>56</v>
      </c>
      <c r="E2740" s="307" t="str">
        <f t="array" ref="E2740">(XLOOKUP(D2740,Roster!F:F,Roster!B:B,"",0))</f>
        <v>Leonerrichi Caicedo</v>
      </c>
      <c r="F2740" s="315" t="str">
        <f t="array" ref="F2740">IF(B2740=100,"Free",TEXT(XLOOKUP($D2740,OperationVoice!$A:$A,OperationVoice!AC:AC,XLOOKUP($D2740,OperationTickets!$A:$A,OperationTickets!AC:AC,"",0)),"hh:mm"))</f>
        <v>Free</v>
      </c>
      <c r="G2740" s="309" t="str">
        <f t="shared" si="3"/>
        <v>Free</v>
      </c>
      <c r="H2740" s="316" t="str">
        <f t="array" ref="H2740">XLOOKUP(B2740,Roster!L:L,Roster!N:N,XLOOKUP(D2740,TicketsBreak!A:A,TicketsBreak!E:E,"",0),0)</f>
        <v/>
      </c>
      <c r="I2740" s="316" t="str">
        <f t="array" ref="I2740">XLOOKUP(B2740,Roster!L:L,Roster!O:O,XLOOKUP(D2740,TicketsBreak!A:A,TicketsBreak!F:F,"",0),0)</f>
        <v/>
      </c>
      <c r="J2740" s="316" t="str">
        <f t="array" ref="J2740">XLOOKUP(B2740,Roster!L:L,Roster!P:P,XLOOKUP(D2740,TicketsBreak!A:A,TicketsBreak!G:G,"",0),0)</f>
        <v/>
      </c>
      <c r="K2740" s="310">
        <f t="shared" si="4"/>
        <v>46135</v>
      </c>
      <c r="L2740" s="317">
        <f t="array" ref="L2740">(XLOOKUP(D2740,Roster!F:F,Roster!D:D,"",0))</f>
        <v>38</v>
      </c>
      <c r="M2740" s="317" t="str">
        <f t="array" ref="M2740">XLOOKUP(D2740,Roster!F:F,Roster!E:E)</f>
        <v>Voice</v>
      </c>
      <c r="N2740" s="317" t="str">
        <f t="shared" ref="N2740:P2740" si="2778">LEFT(H2740,5)</f>
        <v/>
      </c>
      <c r="O2740" s="317" t="str">
        <f t="shared" si="2778"/>
        <v/>
      </c>
      <c r="P2740" s="317" t="str">
        <f t="shared" si="2778"/>
        <v/>
      </c>
      <c r="Q2740" s="318" t="str">
        <f t="shared" si="2649"/>
        <v/>
      </c>
      <c r="R2740" s="318" t="str">
        <f t="shared" si="2650"/>
        <v/>
      </c>
      <c r="S2740" s="318" t="str">
        <f t="shared" si="8"/>
        <v/>
      </c>
    </row>
    <row r="2741">
      <c r="A2741" s="14" t="str">
        <f t="shared" si="1"/>
        <v>C53546135</v>
      </c>
      <c r="B2741" s="185" t="str">
        <f t="array" ref="B2741">IF(F2741="VL","",IF(F2741="Free","Free",XLOOKUP(D2741,Roster!T:T,Roster!S:S,"",0)))</f>
        <v/>
      </c>
      <c r="C2741" s="313">
        <v>46135.0</v>
      </c>
      <c r="D2741" s="314" t="s">
        <v>145</v>
      </c>
      <c r="E2741" s="307" t="str">
        <f t="array" ref="E2741">(XLOOKUP(D2741,Roster!F:F,Roster!B:B,"",0))</f>
        <v>Lina Cadena</v>
      </c>
      <c r="F2741" s="315" t="str">
        <f t="array" ref="F2741">IF(B2741=100,"Free",TEXT(XLOOKUP($D2741,OperationVoice!$A:$A,OperationVoice!AC:AC,XLOOKUP($D2741,OperationTickets!$A:$A,OperationTickets!AC:AC,"",0)),"hh:mm"))</f>
        <v>08:00</v>
      </c>
      <c r="G2741" s="309">
        <f t="shared" si="3"/>
        <v>0.7083333333</v>
      </c>
      <c r="H2741" s="316">
        <f t="array" ref="H2741">XLOOKUP(B2741,Roster!L:L,Roster!N:N,XLOOKUP(D2741,TicketsBreak!A:A,TicketsBreak!E:E,"",0),0)</f>
        <v>0.3854166667</v>
      </c>
      <c r="I2741" s="316">
        <f t="array" ref="I2741">XLOOKUP(B2741,Roster!L:L,Roster!O:O,XLOOKUP(D2741,TicketsBreak!A:A,TicketsBreak!F:F,"",0),0)</f>
        <v>0.5833333333</v>
      </c>
      <c r="J2741" s="316">
        <f t="array" ref="J2741">XLOOKUP(B2741,Roster!L:L,Roster!P:P,XLOOKUP(D2741,TicketsBreak!A:A,TicketsBreak!G:G,"",0),0)</f>
        <v>0.6458333333</v>
      </c>
      <c r="K2741" s="310">
        <f t="shared" si="4"/>
        <v>46135</v>
      </c>
      <c r="L2741" s="317">
        <f t="array" ref="L2741">(XLOOKUP(D2741,Roster!F:F,Roster!D:D,"",0))</f>
        <v>2</v>
      </c>
      <c r="M2741" s="317" t="str">
        <f t="array" ref="M2741">XLOOKUP(D2741,Roster!F:F,Roster!E:E)</f>
        <v>Tickets</v>
      </c>
      <c r="N2741" s="317" t="str">
        <f t="shared" ref="N2741:P2741" si="2779">LEFT(H2741,5)</f>
        <v>09:15</v>
      </c>
      <c r="O2741" s="317" t="str">
        <f t="shared" si="2779"/>
        <v>14:00</v>
      </c>
      <c r="P2741" s="317" t="str">
        <f t="shared" si="2779"/>
        <v>15:30</v>
      </c>
      <c r="Q2741" s="318">
        <f t="shared" si="2649"/>
        <v>46135.38542</v>
      </c>
      <c r="R2741" s="318">
        <f t="shared" si="2650"/>
        <v>46135.58333</v>
      </c>
      <c r="S2741" s="318">
        <f t="shared" si="8"/>
        <v>46135.64583</v>
      </c>
    </row>
    <row r="2742">
      <c r="A2742" s="14" t="str">
        <f t="shared" si="1"/>
        <v>C151746135</v>
      </c>
      <c r="B2742" s="185">
        <f t="array" ref="B2742">IF(F2742="VL","",IF(F2742="Free","Free",XLOOKUP(D2742,Roster!T:T,Roster!S:S,"",0)))</f>
        <v>124</v>
      </c>
      <c r="C2742" s="313">
        <v>46135.0</v>
      </c>
      <c r="D2742" s="314" t="s">
        <v>57</v>
      </c>
      <c r="E2742" s="307" t="str">
        <f t="array" ref="E2742">(XLOOKUP(D2742,Roster!F:F,Roster!B:B,"",0))</f>
        <v>Lisandro Alvarado</v>
      </c>
      <c r="F2742" s="315" t="str">
        <f t="array" ref="F2742">IF(B2742=100,"Free",TEXT(XLOOKUP($D2742,OperationVoice!$A:$A,OperationVoice!AC:AC,XLOOKUP($D2742,OperationTickets!$A:$A,OperationTickets!AC:AC,"",0)),"hh:mm"))</f>
        <v>08:00</v>
      </c>
      <c r="G2742" s="309">
        <f t="shared" si="3"/>
        <v>0.7083333333</v>
      </c>
      <c r="H2742" s="316" t="str">
        <f t="array" ref="H2742">XLOOKUP(B2742,Roster!L:L,Roster!N:N,XLOOKUP(D2742,TicketsBreak!A:A,TicketsBreak!E:E,"",0),0)</f>
        <v>10:00 - 10:15</v>
      </c>
      <c r="I2742" s="316" t="str">
        <f t="array" ref="I2742">XLOOKUP(B2742,Roster!L:L,Roster!O:O,XLOOKUP(D2742,TicketsBreak!A:A,TicketsBreak!F:F,"",0),0)</f>
        <v>13:00 - 13:30</v>
      </c>
      <c r="J2742" s="316" t="str">
        <f t="array" ref="J2742">XLOOKUP(B2742,Roster!L:L,Roster!P:P,XLOOKUP(D2742,TicketsBreak!A:A,TicketsBreak!G:G,"",0),0)</f>
        <v>15:30 - 15:45</v>
      </c>
      <c r="K2742" s="310">
        <f t="shared" si="4"/>
        <v>46135</v>
      </c>
      <c r="L2742" s="317">
        <f t="array" ref="L2742">(XLOOKUP(D2742,Roster!F:F,Roster!D:D,"",0))</f>
        <v>35</v>
      </c>
      <c r="M2742" s="317" t="str">
        <f t="array" ref="M2742">XLOOKUP(D2742,Roster!F:F,Roster!E:E)</f>
        <v>Voice</v>
      </c>
      <c r="N2742" s="317" t="str">
        <f t="shared" ref="N2742:P2742" si="2780">LEFT(H2742,5)</f>
        <v>10:00</v>
      </c>
      <c r="O2742" s="317" t="str">
        <f t="shared" si="2780"/>
        <v>13:00</v>
      </c>
      <c r="P2742" s="317" t="str">
        <f t="shared" si="2780"/>
        <v>15:30</v>
      </c>
      <c r="Q2742" s="318">
        <f t="shared" si="2649"/>
        <v>46135.41667</v>
      </c>
      <c r="R2742" s="318">
        <f t="shared" si="2650"/>
        <v>46135.54167</v>
      </c>
      <c r="S2742" s="318">
        <f t="shared" si="8"/>
        <v>46135.64583</v>
      </c>
    </row>
    <row r="2743">
      <c r="A2743" s="14" t="str">
        <f t="shared" si="1"/>
        <v>C143346135</v>
      </c>
      <c r="B2743" s="185">
        <f t="array" ref="B2743">IF(F2743="VL","",IF(F2743="Free","Free",XLOOKUP(D2743,Roster!T:T,Roster!S:S,"",0)))</f>
        <v>500</v>
      </c>
      <c r="C2743" s="313">
        <v>46135.0</v>
      </c>
      <c r="D2743" s="314" t="s">
        <v>58</v>
      </c>
      <c r="E2743" s="307" t="str">
        <f t="array" ref="E2743">(XLOOKUP(D2743,Roster!F:F,Roster!B:B,"",0))</f>
        <v>Luis Lopez</v>
      </c>
      <c r="F2743" s="315" t="str">
        <f t="array" ref="F2743">IF(B2743=100,"Free",TEXT(XLOOKUP($D2743,OperationVoice!$A:$A,OperationVoice!AC:AC,XLOOKUP($D2743,OperationTickets!$A:$A,OperationTickets!AC:AC,"",0)),"hh:mm"))</f>
        <v>13:00</v>
      </c>
      <c r="G2743" s="309">
        <f t="shared" si="3"/>
        <v>0.9166666667</v>
      </c>
      <c r="H2743" s="316" t="str">
        <f t="array" ref="H2743">XLOOKUP(B2743,Roster!L:L,Roster!N:N,XLOOKUP(D2743,TicketsBreak!A:A,TicketsBreak!E:E,"",0),0)</f>
        <v>Team Leader</v>
      </c>
      <c r="I2743" s="316" t="str">
        <f t="array" ref="I2743">XLOOKUP(B2743,Roster!L:L,Roster!O:O,XLOOKUP(D2743,TicketsBreak!A:A,TicketsBreak!F:F,"",0),0)</f>
        <v>Team Leader</v>
      </c>
      <c r="J2743" s="316" t="str">
        <f t="array" ref="J2743">XLOOKUP(B2743,Roster!L:L,Roster!P:P,XLOOKUP(D2743,TicketsBreak!A:A,TicketsBreak!G:G,"",0),0)</f>
        <v/>
      </c>
      <c r="K2743" s="310">
        <f t="shared" si="4"/>
        <v>46135</v>
      </c>
      <c r="L2743" s="317">
        <f t="array" ref="L2743">(XLOOKUP(D2743,Roster!F:F,Roster!D:D,"",0))</f>
        <v>32</v>
      </c>
      <c r="M2743" s="317" t="str">
        <f t="array" ref="M2743">XLOOKUP(D2743,Roster!F:F,Roster!E:E)</f>
        <v>Voice</v>
      </c>
      <c r="N2743" s="317" t="str">
        <f t="shared" ref="N2743:P2743" si="2781">LEFT(H2743,5)</f>
        <v>Team </v>
      </c>
      <c r="O2743" s="317" t="str">
        <f t="shared" si="2781"/>
        <v>Team </v>
      </c>
      <c r="P2743" s="317" t="str">
        <f t="shared" si="2781"/>
        <v/>
      </c>
      <c r="Q2743" s="318" t="str">
        <f t="shared" si="2649"/>
        <v>#VALUE!</v>
      </c>
      <c r="R2743" s="318" t="str">
        <f t="shared" si="2650"/>
        <v>#VALUE!</v>
      </c>
      <c r="S2743" s="318" t="str">
        <f t="shared" si="8"/>
        <v/>
      </c>
    </row>
    <row r="2744">
      <c r="A2744" s="14" t="str">
        <f t="shared" si="1"/>
        <v>C153446135</v>
      </c>
      <c r="B2744" s="185">
        <f t="array" ref="B2744">IF(F2744="VL","",IF(F2744="Free","Free",XLOOKUP(D2744,Roster!T:T,Roster!S:S,"",0)))</f>
        <v>126</v>
      </c>
      <c r="C2744" s="313">
        <v>46135.0</v>
      </c>
      <c r="D2744" s="314" t="s">
        <v>59</v>
      </c>
      <c r="E2744" s="307" t="str">
        <f t="array" ref="E2744">(XLOOKUP(D2744,Roster!F:F,Roster!B:B,"",0))</f>
        <v>Luis Munoz</v>
      </c>
      <c r="F2744" s="315" t="str">
        <f t="array" ref="F2744">IF(B2744=100,"Free",TEXT(XLOOKUP($D2744,OperationVoice!$A:$A,OperationVoice!AC:AC,XLOOKUP($D2744,OperationTickets!$A:$A,OperationTickets!AC:AC,"",0)),"hh:mm"))</f>
        <v>08:00</v>
      </c>
      <c r="G2744" s="309">
        <f t="shared" si="3"/>
        <v>0.7083333333</v>
      </c>
      <c r="H2744" s="316" t="str">
        <f t="array" ref="H2744">XLOOKUP(B2744,Roster!L:L,Roster!N:N,XLOOKUP(D2744,TicketsBreak!A:A,TicketsBreak!E:E,"",0),0)</f>
        <v>10:45 - 11:00</v>
      </c>
      <c r="I2744" s="316" t="str">
        <f t="array" ref="I2744">XLOOKUP(B2744,Roster!L:L,Roster!O:O,XLOOKUP(D2744,TicketsBreak!A:A,TicketsBreak!F:F,"",0),0)</f>
        <v>14:00 - 14:30</v>
      </c>
      <c r="J2744" s="316" t="str">
        <f t="array" ref="J2744">XLOOKUP(B2744,Roster!L:L,Roster!P:P,XLOOKUP(D2744,TicketsBreak!A:A,TicketsBreak!G:G,"",0),0)</f>
        <v>15:45 - 16:00</v>
      </c>
      <c r="K2744" s="310">
        <f t="shared" si="4"/>
        <v>46135</v>
      </c>
      <c r="L2744" s="317">
        <f t="array" ref="L2744">(XLOOKUP(D2744,Roster!F:F,Roster!D:D,"",0))</f>
        <v>36</v>
      </c>
      <c r="M2744" s="317" t="str">
        <f t="array" ref="M2744">XLOOKUP(D2744,Roster!F:F,Roster!E:E)</f>
        <v>Voice</v>
      </c>
      <c r="N2744" s="317" t="str">
        <f t="shared" ref="N2744:P2744" si="2782">LEFT(H2744,5)</f>
        <v>10:45</v>
      </c>
      <c r="O2744" s="317" t="str">
        <f t="shared" si="2782"/>
        <v>14:00</v>
      </c>
      <c r="P2744" s="317" t="str">
        <f t="shared" si="2782"/>
        <v>15:45</v>
      </c>
      <c r="Q2744" s="318">
        <f t="shared" si="2649"/>
        <v>46135.44792</v>
      </c>
      <c r="R2744" s="318">
        <f t="shared" si="2650"/>
        <v>46135.58333</v>
      </c>
      <c r="S2744" s="318">
        <f t="shared" si="8"/>
        <v>46135.65625</v>
      </c>
    </row>
    <row r="2745">
      <c r="A2745" s="14" t="str">
        <f t="shared" si="1"/>
        <v>C53846135</v>
      </c>
      <c r="B2745" s="185" t="str">
        <f t="array" ref="B2745">IF(F2745="VL","",IF(F2745="Free","Free",XLOOKUP(D2745,Roster!T:T,Roster!S:S,"",0)))</f>
        <v/>
      </c>
      <c r="C2745" s="313">
        <v>46135.0</v>
      </c>
      <c r="D2745" s="314" t="s">
        <v>165</v>
      </c>
      <c r="E2745" s="307" t="str">
        <f t="array" ref="E2745">(XLOOKUP(D2745,Roster!F:F,Roster!B:B,"",0))</f>
        <v>Luisa Arenas</v>
      </c>
      <c r="F2745" s="315" t="str">
        <f t="array" ref="F2745">IF(B2745=100,"Free",TEXT(XLOOKUP($D2745,OperationVoice!$A:$A,OperationVoice!AC:AC,XLOOKUP($D2745,OperationTickets!$A:$A,OperationTickets!AC:AC,"",0)),"hh:mm"))</f>
        <v>08:00</v>
      </c>
      <c r="G2745" s="309">
        <f t="shared" si="3"/>
        <v>0.7083333333</v>
      </c>
      <c r="H2745" s="316" t="str">
        <f t="array" ref="H2745">XLOOKUP(B2745,Roster!L:L,Roster!N:N,XLOOKUP(D2745,TicketsBreak!A:A,TicketsBreak!E:E,"",0),0)</f>
        <v/>
      </c>
      <c r="I2745" s="316" t="str">
        <f t="array" ref="I2745">XLOOKUP(B2745,Roster!L:L,Roster!O:O,XLOOKUP(D2745,TicketsBreak!A:A,TicketsBreak!F:F,"",0),0)</f>
        <v/>
      </c>
      <c r="J2745" s="316" t="str">
        <f t="array" ref="J2745">XLOOKUP(B2745,Roster!L:L,Roster!P:P,XLOOKUP(D2745,TicketsBreak!A:A,TicketsBreak!G:G,"",0),0)</f>
        <v/>
      </c>
      <c r="K2745" s="310">
        <f t="shared" si="4"/>
        <v>46135</v>
      </c>
      <c r="L2745" s="317">
        <f t="array" ref="L2745">(XLOOKUP(D2745,Roster!F:F,Roster!D:D,"",0))</f>
        <v>35</v>
      </c>
      <c r="M2745" s="317" t="str">
        <f t="array" ref="M2745">XLOOKUP(D2745,Roster!F:F,Roster!E:E)</f>
        <v>Tickets</v>
      </c>
      <c r="N2745" s="317" t="str">
        <f t="shared" ref="N2745:P2745" si="2783">LEFT(H2745,5)</f>
        <v/>
      </c>
      <c r="O2745" s="317" t="str">
        <f t="shared" si="2783"/>
        <v/>
      </c>
      <c r="P2745" s="317" t="str">
        <f t="shared" si="2783"/>
        <v/>
      </c>
      <c r="Q2745" s="318" t="str">
        <f t="shared" si="2649"/>
        <v/>
      </c>
      <c r="R2745" s="318" t="str">
        <f t="shared" si="2650"/>
        <v/>
      </c>
      <c r="S2745" s="318" t="str">
        <f t="shared" si="8"/>
        <v/>
      </c>
    </row>
    <row r="2746">
      <c r="A2746" s="14" t="str">
        <f t="shared" si="1"/>
        <v>C113646135</v>
      </c>
      <c r="B2746" s="185">
        <f t="array" ref="B2746">IF(F2746="VL","",IF(F2746="Free","Free",XLOOKUP(D2746,Roster!T:T,Roster!S:S,"",0)))</f>
        <v>126</v>
      </c>
      <c r="C2746" s="313">
        <v>46135.0</v>
      </c>
      <c r="D2746" s="314" t="s">
        <v>60</v>
      </c>
      <c r="E2746" s="307" t="str">
        <f t="array" ref="E2746">(XLOOKUP(D2746,Roster!F:F,Roster!B:B,"",0))</f>
        <v>Luisa Gonzalez</v>
      </c>
      <c r="F2746" s="315" t="str">
        <f t="array" ref="F2746">IF(B2746=100,"Free",TEXT(XLOOKUP($D2746,OperationVoice!$A:$A,OperationVoice!AC:AC,XLOOKUP($D2746,OperationTickets!$A:$A,OperationTickets!AC:AC,"",0)),"hh:mm"))</f>
        <v>08:00</v>
      </c>
      <c r="G2746" s="309">
        <f t="shared" si="3"/>
        <v>0.7083333333</v>
      </c>
      <c r="H2746" s="316" t="str">
        <f t="array" ref="H2746">XLOOKUP(B2746,Roster!L:L,Roster!N:N,XLOOKUP(D2746,TicketsBreak!A:A,TicketsBreak!E:E,"",0),0)</f>
        <v>10:45 - 11:00</v>
      </c>
      <c r="I2746" s="316" t="str">
        <f t="array" ref="I2746">XLOOKUP(B2746,Roster!L:L,Roster!O:O,XLOOKUP(D2746,TicketsBreak!A:A,TicketsBreak!F:F,"",0),0)</f>
        <v>14:00 - 14:30</v>
      </c>
      <c r="J2746" s="316" t="str">
        <f t="array" ref="J2746">XLOOKUP(B2746,Roster!L:L,Roster!P:P,XLOOKUP(D2746,TicketsBreak!A:A,TicketsBreak!G:G,"",0),0)</f>
        <v>15:45 - 16:00</v>
      </c>
      <c r="K2746" s="310">
        <f t="shared" si="4"/>
        <v>46135</v>
      </c>
      <c r="L2746" s="317">
        <f t="array" ref="L2746">(XLOOKUP(D2746,Roster!F:F,Roster!D:D,"",0))</f>
        <v>22</v>
      </c>
      <c r="M2746" s="317" t="str">
        <f t="array" ref="M2746">XLOOKUP(D2746,Roster!F:F,Roster!E:E)</f>
        <v>Voice</v>
      </c>
      <c r="N2746" s="317" t="str">
        <f t="shared" ref="N2746:P2746" si="2784">LEFT(H2746,5)</f>
        <v>10:45</v>
      </c>
      <c r="O2746" s="317" t="str">
        <f t="shared" si="2784"/>
        <v>14:00</v>
      </c>
      <c r="P2746" s="317" t="str">
        <f t="shared" si="2784"/>
        <v>15:45</v>
      </c>
      <c r="Q2746" s="318">
        <f t="shared" si="2649"/>
        <v>46135.44792</v>
      </c>
      <c r="R2746" s="318">
        <f t="shared" si="2650"/>
        <v>46135.58333</v>
      </c>
      <c r="S2746" s="318">
        <f t="shared" si="8"/>
        <v>46135.65625</v>
      </c>
    </row>
    <row r="2747">
      <c r="A2747" s="14" t="str">
        <f t="shared" si="1"/>
        <v>C157746135</v>
      </c>
      <c r="B2747" s="185">
        <f t="array" ref="B2747">IF(F2747="VL","",IF(F2747="Free","Free",XLOOKUP(D2747,Roster!T:T,Roster!S:S,"",0)))</f>
        <v>126</v>
      </c>
      <c r="C2747" s="313">
        <v>46135.0</v>
      </c>
      <c r="D2747" s="314" t="s">
        <v>61</v>
      </c>
      <c r="E2747" s="307" t="str">
        <f t="array" ref="E2747">(XLOOKUP(D2747,Roster!F:F,Roster!B:B,"",0))</f>
        <v>Luna Morales</v>
      </c>
      <c r="F2747" s="315" t="str">
        <f t="array" ref="F2747">IF(B2747=100,"Free",TEXT(XLOOKUP($D2747,OperationVoice!$A:$A,OperationVoice!AC:AC,XLOOKUP($D2747,OperationTickets!$A:$A,OperationTickets!AC:AC,"",0)),"hh:mm"))</f>
        <v>11:00</v>
      </c>
      <c r="G2747" s="309">
        <f t="shared" si="3"/>
        <v>0.8333333333</v>
      </c>
      <c r="H2747" s="316" t="str">
        <f t="array" ref="H2747">XLOOKUP(B2747,Roster!L:L,Roster!N:N,XLOOKUP(D2747,TicketsBreak!A:A,TicketsBreak!E:E,"",0),0)</f>
        <v>10:45 - 11:00</v>
      </c>
      <c r="I2747" s="316" t="str">
        <f t="array" ref="I2747">XLOOKUP(B2747,Roster!L:L,Roster!O:O,XLOOKUP(D2747,TicketsBreak!A:A,TicketsBreak!F:F,"",0),0)</f>
        <v>14:00 - 14:30</v>
      </c>
      <c r="J2747" s="316" t="str">
        <f t="array" ref="J2747">XLOOKUP(B2747,Roster!L:L,Roster!P:P,XLOOKUP(D2747,TicketsBreak!A:A,TicketsBreak!G:G,"",0),0)</f>
        <v>15:45 - 16:00</v>
      </c>
      <c r="K2747" s="310">
        <f t="shared" si="4"/>
        <v>46135</v>
      </c>
      <c r="L2747" s="317">
        <f t="array" ref="L2747">(XLOOKUP(D2747,Roster!F:F,Roster!D:D,"",0))</f>
        <v>38</v>
      </c>
      <c r="M2747" s="317" t="str">
        <f t="array" ref="M2747">XLOOKUP(D2747,Roster!F:F,Roster!E:E)</f>
        <v>Voice</v>
      </c>
      <c r="N2747" s="317" t="str">
        <f t="shared" ref="N2747:P2747" si="2785">LEFT(H2747,5)</f>
        <v>10:45</v>
      </c>
      <c r="O2747" s="317" t="str">
        <f t="shared" si="2785"/>
        <v>14:00</v>
      </c>
      <c r="P2747" s="317" t="str">
        <f t="shared" si="2785"/>
        <v>15:45</v>
      </c>
      <c r="Q2747" s="318">
        <f t="shared" si="2649"/>
        <v>46135.44792</v>
      </c>
      <c r="R2747" s="318">
        <f t="shared" si="2650"/>
        <v>46135.58333</v>
      </c>
      <c r="S2747" s="318">
        <f t="shared" si="8"/>
        <v>46135.65625</v>
      </c>
    </row>
    <row r="2748">
      <c r="A2748" s="14" t="str">
        <f t="shared" si="1"/>
        <v>C121946135</v>
      </c>
      <c r="B2748" s="185" t="str">
        <f t="array" ref="B2748">IF(F2748="VL","",IF(F2748="Free","Free",XLOOKUP(D2748,Roster!T:T,Roster!S:S,"",0)))</f>
        <v/>
      </c>
      <c r="C2748" s="313">
        <v>46135.0</v>
      </c>
      <c r="D2748" s="314" t="s">
        <v>146</v>
      </c>
      <c r="E2748" s="307" t="str">
        <f t="array" ref="E2748">(XLOOKUP(D2748,Roster!F:F,Roster!B:B,"",0))</f>
        <v>Madelyn Jaramillo</v>
      </c>
      <c r="F2748" s="315" t="str">
        <f t="array" ref="F2748">IF(B2748=100,"Free",TEXT(XLOOKUP($D2748,OperationVoice!$A:$A,OperationVoice!AC:AC,XLOOKUP($D2748,OperationTickets!$A:$A,OperationTickets!AC:AC,"",0)),"hh:mm"))</f>
        <v>08:00</v>
      </c>
      <c r="G2748" s="309">
        <f t="shared" si="3"/>
        <v>0.7083333333</v>
      </c>
      <c r="H2748" s="316" t="str">
        <f t="array" ref="H2748">XLOOKUP(B2748,Roster!L:L,Roster!N:N,XLOOKUP(D2748,TicketsBreak!A:A,TicketsBreak!E:E,"",0),0)</f>
        <v/>
      </c>
      <c r="I2748" s="316" t="str">
        <f t="array" ref="I2748">XLOOKUP(B2748,Roster!L:L,Roster!O:O,XLOOKUP(D2748,TicketsBreak!A:A,TicketsBreak!F:F,"",0),0)</f>
        <v/>
      </c>
      <c r="J2748" s="316" t="str">
        <f t="array" ref="J2748">XLOOKUP(B2748,Roster!L:L,Roster!P:P,XLOOKUP(D2748,TicketsBreak!A:A,TicketsBreak!G:G,"",0),0)</f>
        <v/>
      </c>
      <c r="K2748" s="310">
        <f t="shared" si="4"/>
        <v>46135</v>
      </c>
      <c r="L2748" s="317">
        <f t="array" ref="L2748">(XLOOKUP(D2748,Roster!F:F,Roster!D:D,"",0))</f>
        <v>26</v>
      </c>
      <c r="M2748" s="317" t="str">
        <f t="array" ref="M2748">XLOOKUP(D2748,Roster!F:F,Roster!E:E)</f>
        <v>Tickets</v>
      </c>
      <c r="N2748" s="317" t="str">
        <f t="shared" ref="N2748:P2748" si="2786">LEFT(H2748,5)</f>
        <v/>
      </c>
      <c r="O2748" s="317" t="str">
        <f t="shared" si="2786"/>
        <v/>
      </c>
      <c r="P2748" s="317" t="str">
        <f t="shared" si="2786"/>
        <v/>
      </c>
      <c r="Q2748" s="318" t="str">
        <f t="shared" si="2649"/>
        <v/>
      </c>
      <c r="R2748" s="318" t="str">
        <f t="shared" si="2650"/>
        <v/>
      </c>
      <c r="S2748" s="318" t="str">
        <f t="shared" si="8"/>
        <v/>
      </c>
    </row>
    <row r="2749">
      <c r="A2749" s="14" t="str">
        <f t="shared" si="1"/>
        <v>C151646135</v>
      </c>
      <c r="B2749" s="185">
        <f t="array" ref="B2749">IF(F2749="VL","",IF(F2749="Free","Free",XLOOKUP(D2749,Roster!T:T,Roster!S:S,"",0)))</f>
        <v>122</v>
      </c>
      <c r="C2749" s="313">
        <v>46135.0</v>
      </c>
      <c r="D2749" s="314" t="s">
        <v>62</v>
      </c>
      <c r="E2749" s="307" t="str">
        <f t="array" ref="E2749">(XLOOKUP(D2749,Roster!F:F,Roster!B:B,"",0))</f>
        <v>Magda Foronda</v>
      </c>
      <c r="F2749" s="315" t="str">
        <f t="array" ref="F2749">IF(B2749=100,"Free",TEXT(XLOOKUP($D2749,OperationVoice!$A:$A,OperationVoice!AC:AC,XLOOKUP($D2749,OperationTickets!$A:$A,OperationTickets!AC:AC,"",0)),"hh:mm"))</f>
        <v>08:00</v>
      </c>
      <c r="G2749" s="309">
        <f t="shared" si="3"/>
        <v>0.7083333333</v>
      </c>
      <c r="H2749" s="316" t="str">
        <f t="array" ref="H2749">XLOOKUP(B2749,Roster!L:L,Roster!N:N,XLOOKUP(D2749,TicketsBreak!A:A,TicketsBreak!E:E,"",0),0)</f>
        <v>09:30 - 09:45</v>
      </c>
      <c r="I2749" s="316" t="str">
        <f t="array" ref="I2749">XLOOKUP(B2749,Roster!L:L,Roster!O:O,XLOOKUP(D2749,TicketsBreak!A:A,TicketsBreak!F:F,"",0),0)</f>
        <v>12:00 - 12:30</v>
      </c>
      <c r="J2749" s="316" t="str">
        <f t="array" ref="J2749">XLOOKUP(B2749,Roster!L:L,Roster!P:P,XLOOKUP(D2749,TicketsBreak!A:A,TicketsBreak!G:G,"",0),0)</f>
        <v>14:45 - 15:00</v>
      </c>
      <c r="K2749" s="310">
        <f t="shared" si="4"/>
        <v>46135</v>
      </c>
      <c r="L2749" s="317">
        <f t="array" ref="L2749">(XLOOKUP(D2749,Roster!F:F,Roster!D:D,"",0))</f>
        <v>35</v>
      </c>
      <c r="M2749" s="317" t="str">
        <f t="array" ref="M2749">XLOOKUP(D2749,Roster!F:F,Roster!E:E)</f>
        <v>Voice</v>
      </c>
      <c r="N2749" s="317" t="str">
        <f t="shared" ref="N2749:P2749" si="2787">LEFT(H2749,5)</f>
        <v>09:30</v>
      </c>
      <c r="O2749" s="317" t="str">
        <f t="shared" si="2787"/>
        <v>12:00</v>
      </c>
      <c r="P2749" s="317" t="str">
        <f t="shared" si="2787"/>
        <v>14:45</v>
      </c>
      <c r="Q2749" s="318">
        <f t="shared" si="2649"/>
        <v>46135.39583</v>
      </c>
      <c r="R2749" s="318">
        <f t="shared" si="2650"/>
        <v>46135.5</v>
      </c>
      <c r="S2749" s="318">
        <f t="shared" si="8"/>
        <v>46135.61458</v>
      </c>
    </row>
    <row r="2750">
      <c r="A2750" s="14" t="str">
        <f t="shared" si="1"/>
        <v>C118046135</v>
      </c>
      <c r="B2750" s="185">
        <f t="array" ref="B2750">IF(F2750="VL","",IF(F2750="Free","Free",XLOOKUP(D2750,Roster!T:T,Roster!S:S,"",0)))</f>
        <v>500</v>
      </c>
      <c r="C2750" s="313">
        <v>46135.0</v>
      </c>
      <c r="D2750" s="314" t="s">
        <v>147</v>
      </c>
      <c r="E2750" s="307" t="str">
        <f t="array" ref="E2750">(XLOOKUP(D2750,Roster!F:F,Roster!B:B,"",0))</f>
        <v>Manuela Moreno</v>
      </c>
      <c r="F2750" s="315" t="str">
        <f t="array" ref="F2750">IF(B2750=100,"Free",TEXT(XLOOKUP($D2750,OperationVoice!$A:$A,OperationVoice!AC:AC,XLOOKUP($D2750,OperationTickets!$A:$A,OperationTickets!AC:AC,"",0)),"hh:mm"))</f>
        <v>09:00</v>
      </c>
      <c r="G2750" s="309">
        <f t="shared" si="3"/>
        <v>0.75</v>
      </c>
      <c r="H2750" s="316" t="str">
        <f t="array" ref="H2750">XLOOKUP(B2750,Roster!L:L,Roster!N:N,XLOOKUP(D2750,TicketsBreak!A:A,TicketsBreak!E:E,"",0),0)</f>
        <v>Team Leader</v>
      </c>
      <c r="I2750" s="316" t="str">
        <f t="array" ref="I2750">XLOOKUP(B2750,Roster!L:L,Roster!O:O,XLOOKUP(D2750,TicketsBreak!A:A,TicketsBreak!F:F,"",0),0)</f>
        <v>Team Leader</v>
      </c>
      <c r="J2750" s="316" t="str">
        <f t="array" ref="J2750">XLOOKUP(B2750,Roster!L:L,Roster!P:P,XLOOKUP(D2750,TicketsBreak!A:A,TicketsBreak!G:G,"",0),0)</f>
        <v/>
      </c>
      <c r="K2750" s="310">
        <f t="shared" si="4"/>
        <v>46135</v>
      </c>
      <c r="L2750" s="317">
        <f t="array" ref="L2750">(XLOOKUP(D2750,Roster!F:F,Roster!D:D,"",0))</f>
        <v>24</v>
      </c>
      <c r="M2750" s="317" t="str">
        <f t="array" ref="M2750">XLOOKUP(D2750,Roster!F:F,Roster!E:E)</f>
        <v>Tickets</v>
      </c>
      <c r="N2750" s="317" t="str">
        <f t="shared" ref="N2750:P2750" si="2788">LEFT(H2750,5)</f>
        <v>Team </v>
      </c>
      <c r="O2750" s="317" t="str">
        <f t="shared" si="2788"/>
        <v>Team </v>
      </c>
      <c r="P2750" s="317" t="str">
        <f t="shared" si="2788"/>
        <v/>
      </c>
      <c r="Q2750" s="318" t="str">
        <f>IF(P2750="","",$C2750+N2750)</f>
        <v/>
      </c>
      <c r="R2750" s="318" t="str">
        <f>if(P2750="","",$C2750+O2750)</f>
        <v/>
      </c>
      <c r="S2750" s="318" t="str">
        <f t="shared" si="8"/>
        <v/>
      </c>
    </row>
    <row r="2751">
      <c r="A2751" s="14" t="str">
        <f t="shared" si="1"/>
        <v>C153646135</v>
      </c>
      <c r="B2751" s="185">
        <f t="array" ref="B2751">IF(F2751="VL","",IF(F2751="Free","Free",XLOOKUP(D2751,Roster!T:T,Roster!S:S,"",0)))</f>
        <v>121</v>
      </c>
      <c r="C2751" s="313">
        <v>46135.0</v>
      </c>
      <c r="D2751" s="314" t="s">
        <v>63</v>
      </c>
      <c r="E2751" s="307" t="str">
        <f t="array" ref="E2751">(XLOOKUP(D2751,Roster!F:F,Roster!B:B,"",0))</f>
        <v>Maria Mesa</v>
      </c>
      <c r="F2751" s="315" t="str">
        <f t="array" ref="F2751">IF(B2751=100,"Free",TEXT(XLOOKUP($D2751,OperationVoice!$A:$A,OperationVoice!AC:AC,XLOOKUP($D2751,OperationTickets!$A:$A,OperationTickets!AC:AC,"",0)),"hh:mm"))</f>
        <v>08:00</v>
      </c>
      <c r="G2751" s="309">
        <f t="shared" si="3"/>
        <v>0.7083333333</v>
      </c>
      <c r="H2751" s="316" t="str">
        <f t="array" ref="H2751">XLOOKUP(B2751,Roster!L:L,Roster!N:N,XLOOKUP(D2751,TicketsBreak!A:A,TicketsBreak!E:E,"",0),0)</f>
        <v>09:15 - 09:30</v>
      </c>
      <c r="I2751" s="316" t="str">
        <f t="array" ref="I2751">XLOOKUP(B2751,Roster!L:L,Roster!O:O,XLOOKUP(D2751,TicketsBreak!A:A,TicketsBreak!F:F,"",0),0)</f>
        <v>11:30 - 12:00</v>
      </c>
      <c r="J2751" s="316" t="str">
        <f t="array" ref="J2751">XLOOKUP(B2751,Roster!L:L,Roster!P:P,XLOOKUP(D2751,TicketsBreak!A:A,TicketsBreak!G:G,"",0),0)</f>
        <v>14:30 - 14:45</v>
      </c>
      <c r="K2751" s="310">
        <f t="shared" si="4"/>
        <v>46135</v>
      </c>
      <c r="L2751" s="317">
        <f t="array" ref="L2751">(XLOOKUP(D2751,Roster!F:F,Roster!D:D,"",0))</f>
        <v>36</v>
      </c>
      <c r="M2751" s="317" t="str">
        <f t="array" ref="M2751">XLOOKUP(D2751,Roster!F:F,Roster!E:E)</f>
        <v>Voice</v>
      </c>
      <c r="N2751" s="317" t="str">
        <f t="shared" ref="N2751:P2751" si="2789">LEFT(H2751,5)</f>
        <v>09:15</v>
      </c>
      <c r="O2751" s="317" t="str">
        <f t="shared" si="2789"/>
        <v>11:30</v>
      </c>
      <c r="P2751" s="317" t="str">
        <f t="shared" si="2789"/>
        <v>14:30</v>
      </c>
      <c r="Q2751" s="318">
        <f t="shared" ref="Q2751:Q2889" si="2791">IF(N2751="","",$C2751+N2751)</f>
        <v>46135.38542</v>
      </c>
      <c r="R2751" s="318">
        <f t="shared" ref="R2751:R2889" si="2792">if(O2751="","",$C2751+O2751)</f>
        <v>46135.47917</v>
      </c>
      <c r="S2751" s="318">
        <f t="shared" si="8"/>
        <v>46135.60417</v>
      </c>
    </row>
    <row r="2752">
      <c r="A2752" s="14" t="str">
        <f t="shared" si="1"/>
        <v>C74046135</v>
      </c>
      <c r="B2752" s="185" t="str">
        <f t="array" ref="B2752">IF(F2752="VL","",IF(F2752="Free","Free",XLOOKUP(D2752,Roster!T:T,Roster!S:S,"",0)))</f>
        <v/>
      </c>
      <c r="C2752" s="313">
        <v>46135.0</v>
      </c>
      <c r="D2752" s="314" t="s">
        <v>166</v>
      </c>
      <c r="E2752" s="307" t="str">
        <f t="array" ref="E2752">(XLOOKUP(D2752,Roster!F:F,Roster!B:B,"",0))</f>
        <v>Mateo Agudelo</v>
      </c>
      <c r="F2752" s="315" t="str">
        <f t="array" ref="F2752">IF(B2752=100,"Free",TEXT(XLOOKUP($D2752,OperationVoice!$A:$A,OperationVoice!AC:AC,XLOOKUP($D2752,OperationTickets!$A:$A,OperationTickets!AC:AC,"",0)),"hh:mm"))</f>
        <v>08:00</v>
      </c>
      <c r="G2752" s="309">
        <f t="shared" si="3"/>
        <v>0.7083333333</v>
      </c>
      <c r="H2752" s="316">
        <f t="array" ref="H2752">XLOOKUP(B2752,Roster!L:L,Roster!N:N,XLOOKUP(D2752,TicketsBreak!A:A,TicketsBreak!E:E,"",0),0)</f>
        <v>0.4166666667</v>
      </c>
      <c r="I2752" s="316">
        <f t="array" ref="I2752">XLOOKUP(B2752,Roster!L:L,Roster!O:O,XLOOKUP(D2752,TicketsBreak!A:A,TicketsBreak!F:F,"",0),0)</f>
        <v>0.5</v>
      </c>
      <c r="J2752" s="316">
        <f t="array" ref="J2752">XLOOKUP(B2752,Roster!L:L,Roster!P:P,XLOOKUP(D2752,TicketsBreak!A:A,TicketsBreak!G:G,"",0),0)</f>
        <v>0.65625</v>
      </c>
      <c r="K2752" s="310">
        <f t="shared" si="4"/>
        <v>46135</v>
      </c>
      <c r="L2752" s="317">
        <f t="array" ref="L2752">(XLOOKUP(D2752,Roster!F:F,Roster!D:D,"",0))</f>
        <v>8</v>
      </c>
      <c r="M2752" s="317" t="str">
        <f t="array" ref="M2752">XLOOKUP(D2752,Roster!F:F,Roster!E:E)</f>
        <v>Tickets</v>
      </c>
      <c r="N2752" s="317" t="str">
        <f t="shared" ref="N2752:P2752" si="2790">LEFT(H2752,5)</f>
        <v>10:00</v>
      </c>
      <c r="O2752" s="317" t="str">
        <f t="shared" si="2790"/>
        <v>12:00</v>
      </c>
      <c r="P2752" s="317" t="str">
        <f t="shared" si="2790"/>
        <v>15:45</v>
      </c>
      <c r="Q2752" s="318">
        <f t="shared" si="2791"/>
        <v>46135.41667</v>
      </c>
      <c r="R2752" s="318">
        <f t="shared" si="2792"/>
        <v>46135.5</v>
      </c>
      <c r="S2752" s="318">
        <f t="shared" si="8"/>
        <v>46135.65625</v>
      </c>
    </row>
    <row r="2753">
      <c r="A2753" s="14" t="str">
        <f t="shared" si="1"/>
        <v>C142946135</v>
      </c>
      <c r="B2753" s="185">
        <f t="array" ref="B2753">IF(F2753="VL","",IF(F2753="Free","Free",XLOOKUP(D2753,Roster!T:T,Roster!S:S,"",0)))</f>
        <v>121</v>
      </c>
      <c r="C2753" s="313">
        <v>46135.0</v>
      </c>
      <c r="D2753" s="314" t="s">
        <v>178</v>
      </c>
      <c r="E2753" s="307" t="str">
        <f t="array" ref="E2753">(XLOOKUP(D2753,Roster!F:F,Roster!B:B,"",0))</f>
        <v>Mateo Vanegas</v>
      </c>
      <c r="F2753" s="315" t="str">
        <f t="array" ref="F2753">IF(B2753=100,"Free",TEXT(XLOOKUP($D2753,OperationVoice!$A:$A,OperationVoice!AC:AC,XLOOKUP($D2753,OperationTickets!$A:$A,OperationTickets!AC:AC,"",0)),"hh:mm"))</f>
        <v>08:00</v>
      </c>
      <c r="G2753" s="309">
        <f t="shared" si="3"/>
        <v>0.7083333333</v>
      </c>
      <c r="H2753" s="316" t="str">
        <f t="array" ref="H2753">XLOOKUP(B2753,Roster!L:L,Roster!N:N,XLOOKUP(D2753,TicketsBreak!A:A,TicketsBreak!E:E,"",0),0)</f>
        <v>09:15 - 09:30</v>
      </c>
      <c r="I2753" s="316" t="str">
        <f t="array" ref="I2753">XLOOKUP(B2753,Roster!L:L,Roster!O:O,XLOOKUP(D2753,TicketsBreak!A:A,TicketsBreak!F:F,"",0),0)</f>
        <v>11:30 - 12:00</v>
      </c>
      <c r="J2753" s="316" t="str">
        <f t="array" ref="J2753">XLOOKUP(B2753,Roster!L:L,Roster!P:P,XLOOKUP(D2753,TicketsBreak!A:A,TicketsBreak!G:G,"",0),0)</f>
        <v>14:30 - 14:45</v>
      </c>
      <c r="K2753" s="310">
        <f t="shared" si="4"/>
        <v>46135</v>
      </c>
      <c r="L2753" s="317">
        <f t="array" ref="L2753">(XLOOKUP(D2753,Roster!F:F,Roster!D:D,"",0))</f>
        <v>32</v>
      </c>
      <c r="M2753" s="317" t="str">
        <f t="array" ref="M2753">XLOOKUP(D2753,Roster!F:F,Roster!E:E)</f>
        <v>Tickets</v>
      </c>
      <c r="N2753" s="317" t="str">
        <f t="shared" ref="N2753:P2753" si="2793">LEFT(H2753,5)</f>
        <v>09:15</v>
      </c>
      <c r="O2753" s="317" t="str">
        <f t="shared" si="2793"/>
        <v>11:30</v>
      </c>
      <c r="P2753" s="317" t="str">
        <f t="shared" si="2793"/>
        <v>14:30</v>
      </c>
      <c r="Q2753" s="318">
        <f t="shared" si="2791"/>
        <v>46135.38542</v>
      </c>
      <c r="R2753" s="318">
        <f t="shared" si="2792"/>
        <v>46135.47917</v>
      </c>
      <c r="S2753" s="318">
        <f t="shared" si="8"/>
        <v>46135.60417</v>
      </c>
    </row>
    <row r="2754">
      <c r="A2754" s="14" t="str">
        <f t="shared" si="1"/>
        <v>C146846135</v>
      </c>
      <c r="B2754" s="185">
        <f t="array" ref="B2754">IF(F2754="VL","",IF(F2754="Free","Free",XLOOKUP(D2754,Roster!T:T,Roster!S:S,"",0)))</f>
        <v>122</v>
      </c>
      <c r="C2754" s="313">
        <v>46135.0</v>
      </c>
      <c r="D2754" s="314" t="s">
        <v>64</v>
      </c>
      <c r="E2754" s="307" t="str">
        <f t="array" ref="E2754">(XLOOKUP(D2754,Roster!F:F,Roster!B:B,"",0))</f>
        <v>Miguel Betancur</v>
      </c>
      <c r="F2754" s="315" t="str">
        <f t="array" ref="F2754">IF(B2754=100,"Free",TEXT(XLOOKUP($D2754,OperationVoice!$A:$A,OperationVoice!AC:AC,XLOOKUP($D2754,OperationTickets!$A:$A,OperationTickets!AC:AC,"",0)),"hh:mm"))</f>
        <v>08:00</v>
      </c>
      <c r="G2754" s="309">
        <f t="shared" si="3"/>
        <v>0.7083333333</v>
      </c>
      <c r="H2754" s="316" t="str">
        <f t="array" ref="H2754">XLOOKUP(B2754,Roster!L:L,Roster!N:N,XLOOKUP(D2754,TicketsBreak!A:A,TicketsBreak!E:E,"",0),0)</f>
        <v>09:30 - 09:45</v>
      </c>
      <c r="I2754" s="316" t="str">
        <f t="array" ref="I2754">XLOOKUP(B2754,Roster!L:L,Roster!O:O,XLOOKUP(D2754,TicketsBreak!A:A,TicketsBreak!F:F,"",0),0)</f>
        <v>12:00 - 12:30</v>
      </c>
      <c r="J2754" s="316" t="str">
        <f t="array" ref="J2754">XLOOKUP(B2754,Roster!L:L,Roster!P:P,XLOOKUP(D2754,TicketsBreak!A:A,TicketsBreak!G:G,"",0),0)</f>
        <v>14:45 - 15:00</v>
      </c>
      <c r="K2754" s="310">
        <f t="shared" si="4"/>
        <v>46135</v>
      </c>
      <c r="L2754" s="317">
        <f t="array" ref="L2754">(XLOOKUP(D2754,Roster!F:F,Roster!D:D,"",0))</f>
        <v>33</v>
      </c>
      <c r="M2754" s="317" t="str">
        <f t="array" ref="M2754">XLOOKUP(D2754,Roster!F:F,Roster!E:E)</f>
        <v>Voice</v>
      </c>
      <c r="N2754" s="317" t="str">
        <f t="shared" ref="N2754:P2754" si="2794">LEFT(H2754,5)</f>
        <v>09:30</v>
      </c>
      <c r="O2754" s="317" t="str">
        <f t="shared" si="2794"/>
        <v>12:00</v>
      </c>
      <c r="P2754" s="317" t="str">
        <f t="shared" si="2794"/>
        <v>14:45</v>
      </c>
      <c r="Q2754" s="318">
        <f t="shared" si="2791"/>
        <v>46135.39583</v>
      </c>
      <c r="R2754" s="318">
        <f t="shared" si="2792"/>
        <v>46135.5</v>
      </c>
      <c r="S2754" s="318">
        <f t="shared" si="8"/>
        <v>46135.61458</v>
      </c>
    </row>
    <row r="2755">
      <c r="A2755" s="14" t="str">
        <f t="shared" si="1"/>
        <v>C106546135</v>
      </c>
      <c r="B2755" s="185" t="str">
        <f t="array" ref="B2755">IF(F2755="VL","",IF(F2755="Free","Free",XLOOKUP(D2755,Roster!T:T,Roster!S:S,"",0)))</f>
        <v>Free</v>
      </c>
      <c r="C2755" s="313">
        <v>46135.0</v>
      </c>
      <c r="D2755" s="314" t="s">
        <v>148</v>
      </c>
      <c r="E2755" s="307" t="str">
        <f t="array" ref="E2755">(XLOOKUP(D2755,Roster!F:F,Roster!B:B,"",0))</f>
        <v>Miguel Hoyos</v>
      </c>
      <c r="F2755" s="315" t="str">
        <f t="array" ref="F2755">IF(B2755=100,"Free",TEXT(XLOOKUP($D2755,OperationVoice!$A:$A,OperationVoice!AC:AC,XLOOKUP($D2755,OperationTickets!$A:$A,OperationTickets!AC:AC,"",0)),"hh:mm"))</f>
        <v>Free</v>
      </c>
      <c r="G2755" s="309" t="str">
        <f t="shared" si="3"/>
        <v>Free</v>
      </c>
      <c r="H2755" s="316">
        <f t="array" ref="H2755">XLOOKUP(B2755,Roster!L:L,Roster!N:N,XLOOKUP(D2755,TicketsBreak!A:A,TicketsBreak!E:E,"",0),0)</f>
        <v>0.4583333333</v>
      </c>
      <c r="I2755" s="316">
        <f t="array" ref="I2755">XLOOKUP(B2755,Roster!L:L,Roster!O:O,XLOOKUP(D2755,TicketsBreak!A:A,TicketsBreak!F:F,"",0),0)</f>
        <v>0.5625</v>
      </c>
      <c r="J2755" s="316">
        <f t="array" ref="J2755">XLOOKUP(B2755,Roster!L:L,Roster!P:P,XLOOKUP(D2755,TicketsBreak!A:A,TicketsBreak!G:G,"",0),0)</f>
        <v>0.65625</v>
      </c>
      <c r="K2755" s="310">
        <f t="shared" si="4"/>
        <v>46135</v>
      </c>
      <c r="L2755" s="317">
        <f t="array" ref="L2755">(XLOOKUP(D2755,Roster!F:F,Roster!D:D,"",0))</f>
        <v>17</v>
      </c>
      <c r="M2755" s="317" t="str">
        <f t="array" ref="M2755">XLOOKUP(D2755,Roster!F:F,Roster!E:E)</f>
        <v>Tickets</v>
      </c>
      <c r="N2755" s="317" t="str">
        <f t="shared" ref="N2755:P2755" si="2795">LEFT(H2755,5)</f>
        <v>11:00</v>
      </c>
      <c r="O2755" s="317" t="str">
        <f t="shared" si="2795"/>
        <v>13:30</v>
      </c>
      <c r="P2755" s="317" t="str">
        <f t="shared" si="2795"/>
        <v>15:45</v>
      </c>
      <c r="Q2755" s="318">
        <f t="shared" si="2791"/>
        <v>46135.45833</v>
      </c>
      <c r="R2755" s="318">
        <f t="shared" si="2792"/>
        <v>46135.5625</v>
      </c>
      <c r="S2755" s="318">
        <f t="shared" si="8"/>
        <v>46135.65625</v>
      </c>
    </row>
    <row r="2756">
      <c r="A2756" s="14" t="str">
        <f t="shared" si="1"/>
        <v>C111446135</v>
      </c>
      <c r="B2756" s="185">
        <f t="array" ref="B2756">IF(F2756="VL","",IF(F2756="Free","Free",XLOOKUP(D2756,Roster!T:T,Roster!S:S,"",0)))</f>
        <v>113</v>
      </c>
      <c r="C2756" s="313">
        <v>46135.0</v>
      </c>
      <c r="D2756" s="314" t="s">
        <v>65</v>
      </c>
      <c r="E2756" s="307" t="str">
        <f t="array" ref="E2756">(XLOOKUP(D2756,Roster!F:F,Roster!B:B,"",0))</f>
        <v>Mikel Bowie</v>
      </c>
      <c r="F2756" s="315" t="str">
        <f t="array" ref="F2756">IF(B2756=100,"Free",TEXT(XLOOKUP($D2756,OperationVoice!$A:$A,OperationVoice!AC:AC,XLOOKUP($D2756,OperationTickets!$A:$A,OperationTickets!AC:AC,"",0)),"hh:mm"))</f>
        <v>08:00</v>
      </c>
      <c r="G2756" s="309">
        <f t="shared" si="3"/>
        <v>0.7083333333</v>
      </c>
      <c r="H2756" s="316" t="str">
        <f t="array" ref="H2756">XLOOKUP(B2756,Roster!L:L,Roster!N:N,XLOOKUP(D2756,TicketsBreak!A:A,TicketsBreak!E:E,"",0),0)</f>
        <v>09:45 - 10:00</v>
      </c>
      <c r="I2756" s="316" t="str">
        <f t="array" ref="I2756">XLOOKUP(B2756,Roster!L:L,Roster!O:O,XLOOKUP(D2756,TicketsBreak!A:A,TicketsBreak!F:F,"",0),0)</f>
        <v>12:30 - 13:00</v>
      </c>
      <c r="J2756" s="316" t="str">
        <f t="array" ref="J2756">XLOOKUP(B2756,Roster!L:L,Roster!P:P,XLOOKUP(D2756,TicketsBreak!A:A,TicketsBreak!G:G,"",0),0)</f>
        <v>14:45 - 15:00</v>
      </c>
      <c r="K2756" s="310">
        <f t="shared" si="4"/>
        <v>46135</v>
      </c>
      <c r="L2756" s="317">
        <f t="array" ref="L2756">(XLOOKUP(D2756,Roster!F:F,Roster!D:D,"",0))</f>
        <v>20</v>
      </c>
      <c r="M2756" s="317" t="str">
        <f t="array" ref="M2756">XLOOKUP(D2756,Roster!F:F,Roster!E:E)</f>
        <v>Voice</v>
      </c>
      <c r="N2756" s="317" t="str">
        <f t="shared" ref="N2756:P2756" si="2796">LEFT(H2756,5)</f>
        <v>09:45</v>
      </c>
      <c r="O2756" s="317" t="str">
        <f t="shared" si="2796"/>
        <v>12:30</v>
      </c>
      <c r="P2756" s="317" t="str">
        <f t="shared" si="2796"/>
        <v>14:45</v>
      </c>
      <c r="Q2756" s="318">
        <f t="shared" si="2791"/>
        <v>46135.40625</v>
      </c>
      <c r="R2756" s="318">
        <f t="shared" si="2792"/>
        <v>46135.52083</v>
      </c>
      <c r="S2756" s="318">
        <f t="shared" si="8"/>
        <v>46135.61458</v>
      </c>
    </row>
    <row r="2757">
      <c r="A2757" s="14" t="str">
        <f t="shared" si="1"/>
        <v>C116346135</v>
      </c>
      <c r="B2757" s="185">
        <f t="array" ref="B2757">IF(F2757="VL","",IF(F2757="Free","Free",XLOOKUP(D2757,Roster!T:T,Roster!S:S,"",0)))</f>
        <v>123</v>
      </c>
      <c r="C2757" s="313">
        <v>46135.0</v>
      </c>
      <c r="D2757" s="314" t="s">
        <v>66</v>
      </c>
      <c r="E2757" s="307" t="str">
        <f t="array" ref="E2757">(XLOOKUP(D2757,Roster!F:F,Roster!B:B,"",0))</f>
        <v>Natalia Cardona</v>
      </c>
      <c r="F2757" s="315" t="str">
        <f t="array" ref="F2757">IF(B2757=100,"Free",TEXT(XLOOKUP($D2757,OperationVoice!$A:$A,OperationVoice!AC:AC,XLOOKUP($D2757,OperationTickets!$A:$A,OperationTickets!AC:AC,"",0)),"hh:mm"))</f>
        <v>08:00</v>
      </c>
      <c r="G2757" s="309">
        <f t="shared" si="3"/>
        <v>0.7083333333</v>
      </c>
      <c r="H2757" s="316" t="str">
        <f t="array" ref="H2757">XLOOKUP(B2757,Roster!L:L,Roster!N:N,XLOOKUP(D2757,TicketsBreak!A:A,TicketsBreak!E:E,"",0),0)</f>
        <v>09:45 - 10:00 </v>
      </c>
      <c r="I2757" s="316" t="str">
        <f t="array" ref="I2757">XLOOKUP(B2757,Roster!L:L,Roster!O:O,XLOOKUP(D2757,TicketsBreak!A:A,TicketsBreak!F:F,"",0),0)</f>
        <v>12:30 - 13:00</v>
      </c>
      <c r="J2757" s="316" t="str">
        <f t="array" ref="J2757">XLOOKUP(B2757,Roster!L:L,Roster!P:P,XLOOKUP(D2757,TicketsBreak!A:A,TicketsBreak!G:G,"",0),0)</f>
        <v>15:00 - 15:15</v>
      </c>
      <c r="K2757" s="310">
        <f t="shared" si="4"/>
        <v>46135</v>
      </c>
      <c r="L2757" s="317">
        <f t="array" ref="L2757">(XLOOKUP(D2757,Roster!F:F,Roster!D:D,"",0))</f>
        <v>24</v>
      </c>
      <c r="M2757" s="317" t="str">
        <f t="array" ref="M2757">XLOOKUP(D2757,Roster!F:F,Roster!E:E)</f>
        <v>Voice</v>
      </c>
      <c r="N2757" s="317" t="str">
        <f t="shared" ref="N2757:P2757" si="2797">LEFT(H2757,5)</f>
        <v>09:45</v>
      </c>
      <c r="O2757" s="317" t="str">
        <f t="shared" si="2797"/>
        <v>12:30</v>
      </c>
      <c r="P2757" s="317" t="str">
        <f t="shared" si="2797"/>
        <v>15:00</v>
      </c>
      <c r="Q2757" s="318">
        <f t="shared" si="2791"/>
        <v>46135.40625</v>
      </c>
      <c r="R2757" s="318">
        <f t="shared" si="2792"/>
        <v>46135.52083</v>
      </c>
      <c r="S2757" s="318">
        <f t="shared" si="8"/>
        <v>46135.625</v>
      </c>
    </row>
    <row r="2758">
      <c r="A2758" s="14" t="str">
        <f t="shared" si="1"/>
        <v>C55646135</v>
      </c>
      <c r="B2758" s="185" t="str">
        <f t="array" ref="B2758">IF(F2758="VL","",IF(F2758="Free","Free",XLOOKUP(D2758,Roster!T:T,Roster!S:S,"",0)))</f>
        <v/>
      </c>
      <c r="C2758" s="313">
        <v>46135.0</v>
      </c>
      <c r="D2758" s="314" t="s">
        <v>167</v>
      </c>
      <c r="E2758" s="307" t="str">
        <f t="array" ref="E2758">(XLOOKUP(D2758,Roster!F:F,Roster!B:B,"",0))</f>
        <v>Nelson Londono</v>
      </c>
      <c r="F2758" s="315" t="str">
        <f t="array" ref="F2758">IF(B2758=100,"Free",TEXT(XLOOKUP($D2758,OperationVoice!$A:$A,OperationVoice!AC:AC,XLOOKUP($D2758,OperationTickets!$A:$A,OperationTickets!AC:AC,"",0)),"hh:mm"))</f>
        <v>07:00</v>
      </c>
      <c r="G2758" s="309">
        <f t="shared" si="3"/>
        <v>0.6666666667</v>
      </c>
      <c r="H2758" s="316">
        <f t="array" ref="H2758">XLOOKUP(B2758,Roster!L:L,Roster!N:N,XLOOKUP(D2758,TicketsBreak!A:A,TicketsBreak!E:E,"",0),0)</f>
        <v>0.3854166667</v>
      </c>
      <c r="I2758" s="316">
        <f t="array" ref="I2758">XLOOKUP(B2758,Roster!L:L,Roster!O:O,XLOOKUP(D2758,TicketsBreak!A:A,TicketsBreak!F:F,"",0),0)</f>
        <v>0.5833333333</v>
      </c>
      <c r="J2758" s="316">
        <f t="array" ref="J2758">XLOOKUP(B2758,Roster!L:L,Roster!P:P,XLOOKUP(D2758,TicketsBreak!A:A,TicketsBreak!G:G,"",0),0)</f>
        <v>0.6458333333</v>
      </c>
      <c r="K2758" s="310">
        <f t="shared" si="4"/>
        <v>46135</v>
      </c>
      <c r="L2758" s="317">
        <f t="array" ref="L2758">(XLOOKUP(D2758,Roster!F:F,Roster!D:D,"",0))</f>
        <v>2</v>
      </c>
      <c r="M2758" s="317" t="str">
        <f t="array" ref="M2758">XLOOKUP(D2758,Roster!F:F,Roster!E:E)</f>
        <v>Tickets</v>
      </c>
      <c r="N2758" s="317" t="str">
        <f t="shared" ref="N2758:P2758" si="2798">LEFT(H2758,5)</f>
        <v>09:15</v>
      </c>
      <c r="O2758" s="317" t="str">
        <f t="shared" si="2798"/>
        <v>14:00</v>
      </c>
      <c r="P2758" s="317" t="str">
        <f t="shared" si="2798"/>
        <v>15:30</v>
      </c>
      <c r="Q2758" s="318">
        <f t="shared" si="2791"/>
        <v>46135.38542</v>
      </c>
      <c r="R2758" s="318">
        <f t="shared" si="2792"/>
        <v>46135.58333</v>
      </c>
      <c r="S2758" s="318">
        <f t="shared" si="8"/>
        <v>46135.64583</v>
      </c>
    </row>
    <row r="2759">
      <c r="A2759" s="14" t="str">
        <f t="shared" si="1"/>
        <v>C150746135</v>
      </c>
      <c r="B2759" s="185">
        <f t="array" ref="B2759">IF(F2759="VL","",IF(F2759="Free","Free",XLOOKUP(D2759,Roster!T:T,Roster!S:S,"",0)))</f>
        <v>125</v>
      </c>
      <c r="C2759" s="313">
        <v>46135.0</v>
      </c>
      <c r="D2759" s="314" t="s">
        <v>67</v>
      </c>
      <c r="E2759" s="307" t="str">
        <f t="array" ref="E2759">(XLOOKUP(D2759,Roster!F:F,Roster!B:B,"",0))</f>
        <v>Nicols Quinones</v>
      </c>
      <c r="F2759" s="315" t="str">
        <f t="array" ref="F2759">IF(B2759=100,"Free",TEXT(XLOOKUP($D2759,OperationVoice!$A:$A,OperationVoice!AC:AC,XLOOKUP($D2759,OperationTickets!$A:$A,OperationTickets!AC:AC,"",0)),"hh:mm"))</f>
        <v>08:00</v>
      </c>
      <c r="G2759" s="309">
        <f t="shared" si="3"/>
        <v>0.7083333333</v>
      </c>
      <c r="H2759" s="316" t="str">
        <f t="array" ref="H2759">XLOOKUP(B2759,Roster!L:L,Roster!N:N,XLOOKUP(D2759,TicketsBreak!A:A,TicketsBreak!E:E,"",0),0)</f>
        <v>10:30 - 10:45</v>
      </c>
      <c r="I2759" s="316" t="str">
        <f t="array" ref="I2759">XLOOKUP(B2759,Roster!L:L,Roster!O:O,XLOOKUP(D2759,TicketsBreak!A:A,TicketsBreak!F:F,"",0),0)</f>
        <v>13:30 - 14:00</v>
      </c>
      <c r="J2759" s="316" t="str">
        <f t="array" ref="J2759">XLOOKUP(B2759,Roster!L:L,Roster!P:P,XLOOKUP(D2759,TicketsBreak!A:A,TicketsBreak!G:G,"",0),0)</f>
        <v>15:45 - 16:00</v>
      </c>
      <c r="K2759" s="310">
        <f t="shared" si="4"/>
        <v>46135</v>
      </c>
      <c r="L2759" s="317">
        <f t="array" ref="L2759">(XLOOKUP(D2759,Roster!F:F,Roster!D:D,"",0))</f>
        <v>35</v>
      </c>
      <c r="M2759" s="317" t="str">
        <f t="array" ref="M2759">XLOOKUP(D2759,Roster!F:F,Roster!E:E)</f>
        <v>Voice</v>
      </c>
      <c r="N2759" s="317" t="str">
        <f t="shared" ref="N2759:P2759" si="2799">LEFT(H2759,5)</f>
        <v>10:30</v>
      </c>
      <c r="O2759" s="317" t="str">
        <f t="shared" si="2799"/>
        <v>13:30</v>
      </c>
      <c r="P2759" s="317" t="str">
        <f t="shared" si="2799"/>
        <v>15:45</v>
      </c>
      <c r="Q2759" s="318">
        <f t="shared" si="2791"/>
        <v>46135.4375</v>
      </c>
      <c r="R2759" s="318">
        <f t="shared" si="2792"/>
        <v>46135.5625</v>
      </c>
      <c r="S2759" s="318">
        <f t="shared" si="8"/>
        <v>46135.65625</v>
      </c>
    </row>
    <row r="2760">
      <c r="A2760" s="14" t="str">
        <f t="shared" si="1"/>
        <v>C71446135</v>
      </c>
      <c r="B2760" s="185" t="str">
        <f t="array" ref="B2760">IF(F2760="VL","",IF(F2760="Free","Free",XLOOKUP(D2760,Roster!T:T,Roster!S:S,"",0)))</f>
        <v/>
      </c>
      <c r="C2760" s="313">
        <v>46135.0</v>
      </c>
      <c r="D2760" s="314" t="s">
        <v>149</v>
      </c>
      <c r="E2760" s="307" t="str">
        <f t="array" ref="E2760">(XLOOKUP(D2760,Roster!F:F,Roster!B:B,"",0))</f>
        <v>Onel Olivera</v>
      </c>
      <c r="F2760" s="315" t="str">
        <f t="array" ref="F2760">IF(B2760=100,"Free",TEXT(XLOOKUP($D2760,OperationVoice!$A:$A,OperationVoice!AC:AC,XLOOKUP($D2760,OperationTickets!$A:$A,OperationTickets!AC:AC,"",0)),"hh:mm"))</f>
        <v>08:00</v>
      </c>
      <c r="G2760" s="309">
        <f t="shared" si="3"/>
        <v>0.7083333333</v>
      </c>
      <c r="H2760" s="316">
        <f t="array" ref="H2760">XLOOKUP(B2760,Roster!L:L,Roster!N:N,XLOOKUP(D2760,TicketsBreak!A:A,TicketsBreak!E:E,"",0),0)</f>
        <v>0.4166666667</v>
      </c>
      <c r="I2760" s="316">
        <f t="array" ref="I2760">XLOOKUP(B2760,Roster!L:L,Roster!O:O,XLOOKUP(D2760,TicketsBreak!A:A,TicketsBreak!F:F,"",0),0)</f>
        <v>0.5</v>
      </c>
      <c r="J2760" s="316">
        <f t="array" ref="J2760">XLOOKUP(B2760,Roster!L:L,Roster!P:P,XLOOKUP(D2760,TicketsBreak!A:A,TicketsBreak!G:G,"",0),0)</f>
        <v>0.625</v>
      </c>
      <c r="K2760" s="310">
        <f t="shared" si="4"/>
        <v>46135</v>
      </c>
      <c r="L2760" s="317">
        <f t="array" ref="L2760">(XLOOKUP(D2760,Roster!F:F,Roster!D:D,"",0))</f>
        <v>1</v>
      </c>
      <c r="M2760" s="317" t="str">
        <f t="array" ref="M2760">XLOOKUP(D2760,Roster!F:F,Roster!E:E)</f>
        <v>Tickets</v>
      </c>
      <c r="N2760" s="317" t="str">
        <f t="shared" ref="N2760:P2760" si="2800">LEFT(H2760,5)</f>
        <v>10:00</v>
      </c>
      <c r="O2760" s="317" t="str">
        <f t="shared" si="2800"/>
        <v>12:00</v>
      </c>
      <c r="P2760" s="317" t="str">
        <f t="shared" si="2800"/>
        <v>15:00</v>
      </c>
      <c r="Q2760" s="318">
        <f t="shared" si="2791"/>
        <v>46135.41667</v>
      </c>
      <c r="R2760" s="318">
        <f t="shared" si="2792"/>
        <v>46135.5</v>
      </c>
      <c r="S2760" s="318">
        <f t="shared" si="8"/>
        <v>46135.625</v>
      </c>
    </row>
    <row r="2761">
      <c r="A2761" s="14" t="str">
        <f t="shared" si="1"/>
        <v>C116446135</v>
      </c>
      <c r="B2761" s="185" t="str">
        <f t="array" ref="B2761">IF(F2761="VL","",IF(F2761="Free","Free",XLOOKUP(D2761,Roster!T:T,Roster!S:S,"",0)))</f>
        <v/>
      </c>
      <c r="C2761" s="313">
        <v>46135.0</v>
      </c>
      <c r="D2761" s="314" t="s">
        <v>179</v>
      </c>
      <c r="E2761" s="307" t="str">
        <f t="array" ref="E2761">(XLOOKUP(D2761,Roster!F:F,Roster!B:B,"",0))</f>
        <v>Oscar Florez</v>
      </c>
      <c r="F2761" s="315" t="str">
        <f t="array" ref="F2761">IF(B2761=100,"Free",TEXT(XLOOKUP($D2761,OperationVoice!$A:$A,OperationVoice!AC:AC,XLOOKUP($D2761,OperationTickets!$A:$A,OperationTickets!AC:AC,"",0)),"hh:mm"))</f>
        <v>08:00</v>
      </c>
      <c r="G2761" s="309">
        <f t="shared" si="3"/>
        <v>0.7083333333</v>
      </c>
      <c r="H2761" s="316" t="str">
        <f t="array" ref="H2761">XLOOKUP(B2761,Roster!L:L,Roster!N:N,XLOOKUP(D2761,TicketsBreak!A:A,TicketsBreak!E:E,"",0),0)</f>
        <v/>
      </c>
      <c r="I2761" s="316" t="str">
        <f t="array" ref="I2761">XLOOKUP(B2761,Roster!L:L,Roster!O:O,XLOOKUP(D2761,TicketsBreak!A:A,TicketsBreak!F:F,"",0),0)</f>
        <v/>
      </c>
      <c r="J2761" s="316" t="str">
        <f t="array" ref="J2761">XLOOKUP(B2761,Roster!L:L,Roster!P:P,XLOOKUP(D2761,TicketsBreak!A:A,TicketsBreak!G:G,"",0),0)</f>
        <v/>
      </c>
      <c r="K2761" s="310">
        <f t="shared" si="4"/>
        <v>46135</v>
      </c>
      <c r="L2761" s="317">
        <f t="array" ref="L2761">(XLOOKUP(D2761,Roster!F:F,Roster!D:D,"",0))</f>
        <v>24</v>
      </c>
      <c r="M2761" s="317" t="str">
        <f t="array" ref="M2761">XLOOKUP(D2761,Roster!F:F,Roster!E:E)</f>
        <v>Tickets</v>
      </c>
      <c r="N2761" s="317" t="str">
        <f t="shared" ref="N2761:P2761" si="2801">LEFT(H2761,5)</f>
        <v/>
      </c>
      <c r="O2761" s="317" t="str">
        <f t="shared" si="2801"/>
        <v/>
      </c>
      <c r="P2761" s="317" t="str">
        <f t="shared" si="2801"/>
        <v/>
      </c>
      <c r="Q2761" s="318" t="str">
        <f t="shared" si="2791"/>
        <v/>
      </c>
      <c r="R2761" s="318" t="str">
        <f t="shared" si="2792"/>
        <v/>
      </c>
      <c r="S2761" s="318" t="str">
        <f t="shared" si="8"/>
        <v/>
      </c>
    </row>
    <row r="2762">
      <c r="A2762" s="14" t="str">
        <f t="shared" si="1"/>
        <v>C153846135</v>
      </c>
      <c r="B2762" s="185">
        <f t="array" ref="B2762">IF(F2762="VL","",IF(F2762="Free","Free",XLOOKUP(D2762,Roster!T:T,Roster!S:S,"",0)))</f>
        <v>151</v>
      </c>
      <c r="C2762" s="313">
        <v>46135.0</v>
      </c>
      <c r="D2762" s="314" t="s">
        <v>68</v>
      </c>
      <c r="E2762" s="307" t="str">
        <f t="array" ref="E2762">(XLOOKUP(D2762,Roster!F:F,Roster!B:B,"",0))</f>
        <v>Oscar Roldan</v>
      </c>
      <c r="F2762" s="315" t="str">
        <f t="array" ref="F2762">IF(B2762=100,"Free",TEXT(XLOOKUP($D2762,OperationVoice!$A:$A,OperationVoice!AC:AC,XLOOKUP($D2762,OperationTickets!$A:$A,OperationTickets!AC:AC,"",0)),"hh:mm"))</f>
        <v>11:00</v>
      </c>
      <c r="G2762" s="309">
        <f t="shared" si="3"/>
        <v>0.8333333333</v>
      </c>
      <c r="H2762" s="316" t="str">
        <f t="array" ref="H2762">XLOOKUP(B2762,Roster!L:L,Roster!N:N,XLOOKUP(D2762,TicketsBreak!A:A,TicketsBreak!E:E,"",0),0)</f>
        <v>12:15 - 12:30</v>
      </c>
      <c r="I2762" s="316" t="str">
        <f t="array" ref="I2762">XLOOKUP(B2762,Roster!L:L,Roster!O:O,XLOOKUP(D2762,TicketsBreak!A:A,TicketsBreak!F:F,"",0),0)</f>
        <v>14:00 - 14:30</v>
      </c>
      <c r="J2762" s="316" t="str">
        <f t="array" ref="J2762">XLOOKUP(B2762,Roster!L:L,Roster!P:P,XLOOKUP(D2762,TicketsBreak!A:A,TicketsBreak!G:G,"",0),0)</f>
        <v>17:15 - 17:30</v>
      </c>
      <c r="K2762" s="310">
        <f t="shared" si="4"/>
        <v>46135</v>
      </c>
      <c r="L2762" s="317">
        <f t="array" ref="L2762">(XLOOKUP(D2762,Roster!F:F,Roster!D:D,"",0))</f>
        <v>36</v>
      </c>
      <c r="M2762" s="317" t="str">
        <f t="array" ref="M2762">XLOOKUP(D2762,Roster!F:F,Roster!E:E)</f>
        <v>Voice</v>
      </c>
      <c r="N2762" s="317" t="str">
        <f t="shared" ref="N2762:P2762" si="2802">LEFT(H2762,5)</f>
        <v>12:15</v>
      </c>
      <c r="O2762" s="317" t="str">
        <f t="shared" si="2802"/>
        <v>14:00</v>
      </c>
      <c r="P2762" s="317" t="str">
        <f t="shared" si="2802"/>
        <v>17:15</v>
      </c>
      <c r="Q2762" s="318">
        <f t="shared" si="2791"/>
        <v>46135.51042</v>
      </c>
      <c r="R2762" s="318">
        <f t="shared" si="2792"/>
        <v>46135.58333</v>
      </c>
      <c r="S2762" s="318">
        <f t="shared" si="8"/>
        <v>46135.71875</v>
      </c>
    </row>
    <row r="2763">
      <c r="A2763" s="14" t="str">
        <f t="shared" si="1"/>
        <v>C151146135</v>
      </c>
      <c r="B2763" s="185">
        <f t="array" ref="B2763">IF(F2763="VL","",IF(F2763="Free","Free",XLOOKUP(D2763,Roster!T:T,Roster!S:S,"",0)))</f>
        <v>131</v>
      </c>
      <c r="C2763" s="313">
        <v>46135.0</v>
      </c>
      <c r="D2763" s="314" t="s">
        <v>69</v>
      </c>
      <c r="E2763" s="307" t="str">
        <f t="array" ref="E2763">(XLOOKUP(D2763,Roster!F:F,Roster!B:B,"",0))</f>
        <v>Salma Giraldo</v>
      </c>
      <c r="F2763" s="315" t="str">
        <f t="array" ref="F2763">IF(B2763=100,"Free",TEXT(XLOOKUP($D2763,OperationVoice!$A:$A,OperationVoice!AC:AC,XLOOKUP($D2763,OperationTickets!$A:$A,OperationTickets!AC:AC,"",0)),"hh:mm"))</f>
        <v>08:00</v>
      </c>
      <c r="G2763" s="309">
        <f t="shared" si="3"/>
        <v>0.7083333333</v>
      </c>
      <c r="H2763" s="316" t="str">
        <f t="array" ref="H2763">XLOOKUP(B2763,Roster!L:L,Roster!N:N,XLOOKUP(D2763,TicketsBreak!A:A,TicketsBreak!E:E,"",0),0)</f>
        <v>10:15 - 10:30</v>
      </c>
      <c r="I2763" s="316" t="str">
        <f t="array" ref="I2763">XLOOKUP(B2763,Roster!L:L,Roster!O:O,XLOOKUP(D2763,TicketsBreak!A:A,TicketsBreak!F:F,"",0),0)</f>
        <v>12:30 - 13:00</v>
      </c>
      <c r="J2763" s="316" t="str">
        <f t="array" ref="J2763">XLOOKUP(B2763,Roster!L:L,Roster!P:P,XLOOKUP(D2763,TicketsBreak!A:A,TicketsBreak!G:G,"",0),0)</f>
        <v>15:15 - 15:30</v>
      </c>
      <c r="K2763" s="310">
        <f t="shared" si="4"/>
        <v>46135</v>
      </c>
      <c r="L2763" s="317">
        <f t="array" ref="L2763">(XLOOKUP(D2763,Roster!F:F,Roster!D:D,"",0))</f>
        <v>35</v>
      </c>
      <c r="M2763" s="317" t="str">
        <f t="array" ref="M2763">XLOOKUP(D2763,Roster!F:F,Roster!E:E)</f>
        <v>Voice</v>
      </c>
      <c r="N2763" s="317" t="str">
        <f t="shared" ref="N2763:P2763" si="2803">LEFT(H2763,5)</f>
        <v>10:15</v>
      </c>
      <c r="O2763" s="317" t="str">
        <f t="shared" si="2803"/>
        <v>12:30</v>
      </c>
      <c r="P2763" s="317" t="str">
        <f t="shared" si="2803"/>
        <v>15:15</v>
      </c>
      <c r="Q2763" s="318">
        <f t="shared" si="2791"/>
        <v>46135.42708</v>
      </c>
      <c r="R2763" s="318">
        <f t="shared" si="2792"/>
        <v>46135.52083</v>
      </c>
      <c r="S2763" s="318">
        <f t="shared" si="8"/>
        <v>46135.63542</v>
      </c>
    </row>
    <row r="2764">
      <c r="A2764" s="14" t="str">
        <f t="shared" si="1"/>
        <v>C93346135</v>
      </c>
      <c r="B2764" s="185">
        <f t="array" ref="B2764">IF(F2764="VL","",IF(F2764="Free","Free",XLOOKUP(D2764,Roster!T:T,Roster!S:S,"",0)))</f>
        <v>124</v>
      </c>
      <c r="C2764" s="313">
        <v>46135.0</v>
      </c>
      <c r="D2764" s="314" t="s">
        <v>70</v>
      </c>
      <c r="E2764" s="307" t="str">
        <f t="array" ref="E2764">(XLOOKUP(D2764,Roster!F:F,Roster!B:B,"",0))</f>
        <v>Salome Arias</v>
      </c>
      <c r="F2764" s="315" t="str">
        <f t="array" ref="F2764">IF(B2764=100,"Free",TEXT(XLOOKUP($D2764,OperationVoice!$A:$A,OperationVoice!AC:AC,XLOOKUP($D2764,OperationTickets!$A:$A,OperationTickets!AC:AC,"",0)),"hh:mm"))</f>
        <v>08:00</v>
      </c>
      <c r="G2764" s="309">
        <f t="shared" si="3"/>
        <v>0.7083333333</v>
      </c>
      <c r="H2764" s="316" t="str">
        <f t="array" ref="H2764">XLOOKUP(B2764,Roster!L:L,Roster!N:N,XLOOKUP(D2764,TicketsBreak!A:A,TicketsBreak!E:E,"",0),0)</f>
        <v>10:00 - 10:15</v>
      </c>
      <c r="I2764" s="316" t="str">
        <f t="array" ref="I2764">XLOOKUP(B2764,Roster!L:L,Roster!O:O,XLOOKUP(D2764,TicketsBreak!A:A,TicketsBreak!F:F,"",0),0)</f>
        <v>13:00 - 13:30</v>
      </c>
      <c r="J2764" s="316" t="str">
        <f t="array" ref="J2764">XLOOKUP(B2764,Roster!L:L,Roster!P:P,XLOOKUP(D2764,TicketsBreak!A:A,TicketsBreak!G:G,"",0),0)</f>
        <v>15:30 - 15:45</v>
      </c>
      <c r="K2764" s="310">
        <f t="shared" si="4"/>
        <v>46135</v>
      </c>
      <c r="L2764" s="317">
        <f t="array" ref="L2764">(XLOOKUP(D2764,Roster!F:F,Roster!D:D,"",0))</f>
        <v>12</v>
      </c>
      <c r="M2764" s="317" t="str">
        <f t="array" ref="M2764">XLOOKUP(D2764,Roster!F:F,Roster!E:E)</f>
        <v>Voice</v>
      </c>
      <c r="N2764" s="317" t="str">
        <f t="shared" ref="N2764:P2764" si="2804">LEFT(H2764,5)</f>
        <v>10:00</v>
      </c>
      <c r="O2764" s="317" t="str">
        <f t="shared" si="2804"/>
        <v>13:00</v>
      </c>
      <c r="P2764" s="317" t="str">
        <f t="shared" si="2804"/>
        <v>15:30</v>
      </c>
      <c r="Q2764" s="318">
        <f t="shared" si="2791"/>
        <v>46135.41667</v>
      </c>
      <c r="R2764" s="318">
        <f t="shared" si="2792"/>
        <v>46135.54167</v>
      </c>
      <c r="S2764" s="318">
        <f t="shared" si="8"/>
        <v>46135.64583</v>
      </c>
    </row>
    <row r="2765">
      <c r="A2765" s="14" t="str">
        <f t="shared" si="1"/>
        <v>C128246135</v>
      </c>
      <c r="B2765" s="185" t="str">
        <f t="array" ref="B2765">IF(F2765="VL","",IF(F2765="Free","Free",XLOOKUP(D2765,Roster!T:T,Roster!S:S,"",0)))</f>
        <v/>
      </c>
      <c r="C2765" s="313">
        <v>46135.0</v>
      </c>
      <c r="D2765" s="314" t="s">
        <v>168</v>
      </c>
      <c r="E2765" s="307" t="str">
        <f t="array" ref="E2765">(XLOOKUP(D2765,Roster!F:F,Roster!B:B,"",0))</f>
        <v>Samuel Acevedo</v>
      </c>
      <c r="F2765" s="315" t="str">
        <f t="array" ref="F2765">IF(B2765=100,"Free",TEXT(XLOOKUP($D2765,OperationVoice!$A:$A,OperationVoice!AC:AC,XLOOKUP($D2765,OperationTickets!$A:$A,OperationTickets!AC:AC,"",0)),"hh:mm"))</f>
        <v>08:00</v>
      </c>
      <c r="G2765" s="309">
        <f t="shared" si="3"/>
        <v>0.7083333333</v>
      </c>
      <c r="H2765" s="316" t="str">
        <f t="array" ref="H2765">XLOOKUP(B2765,Roster!L:L,Roster!N:N,XLOOKUP(D2765,TicketsBreak!A:A,TicketsBreak!E:E,"",0),0)</f>
        <v/>
      </c>
      <c r="I2765" s="316" t="str">
        <f t="array" ref="I2765">XLOOKUP(B2765,Roster!L:L,Roster!O:O,XLOOKUP(D2765,TicketsBreak!A:A,TicketsBreak!F:F,"",0),0)</f>
        <v/>
      </c>
      <c r="J2765" s="316" t="str">
        <f t="array" ref="J2765">XLOOKUP(B2765,Roster!L:L,Roster!P:P,XLOOKUP(D2765,TicketsBreak!A:A,TicketsBreak!G:G,"",0),0)</f>
        <v/>
      </c>
      <c r="K2765" s="310">
        <f t="shared" si="4"/>
        <v>46135</v>
      </c>
      <c r="L2765" s="317">
        <f t="array" ref="L2765">(XLOOKUP(D2765,Roster!F:F,Roster!D:D,"",0))</f>
        <v>27</v>
      </c>
      <c r="M2765" s="317" t="str">
        <f t="array" ref="M2765">XLOOKUP(D2765,Roster!F:F,Roster!E:E)</f>
        <v>Tickets</v>
      </c>
      <c r="N2765" s="317" t="str">
        <f t="shared" ref="N2765:P2765" si="2805">LEFT(H2765,5)</f>
        <v/>
      </c>
      <c r="O2765" s="317" t="str">
        <f t="shared" si="2805"/>
        <v/>
      </c>
      <c r="P2765" s="317" t="str">
        <f t="shared" si="2805"/>
        <v/>
      </c>
      <c r="Q2765" s="318" t="str">
        <f t="shared" si="2791"/>
        <v/>
      </c>
      <c r="R2765" s="318" t="str">
        <f t="shared" si="2792"/>
        <v/>
      </c>
      <c r="S2765" s="318" t="str">
        <f t="shared" si="8"/>
        <v/>
      </c>
    </row>
    <row r="2766">
      <c r="A2766" s="14" t="str">
        <f t="shared" si="1"/>
        <v>C156446135</v>
      </c>
      <c r="B2766" s="185" t="str">
        <f t="array" ref="B2766">IF(F2766="VL","",IF(F2766="Free","Free",XLOOKUP(D2766,Roster!T:T,Roster!S:S,"",0)))</f>
        <v>Free</v>
      </c>
      <c r="C2766" s="313">
        <v>46135.0</v>
      </c>
      <c r="D2766" s="314" t="s">
        <v>71</v>
      </c>
      <c r="E2766" s="307" t="str">
        <f t="array" ref="E2766">(XLOOKUP(D2766,Roster!F:F,Roster!B:B,"",0))</f>
        <v>Samuel Acevedo Cadavid</v>
      </c>
      <c r="F2766" s="315" t="str">
        <f t="array" ref="F2766">IF(B2766=100,"Free",TEXT(XLOOKUP($D2766,OperationVoice!$A:$A,OperationVoice!AC:AC,XLOOKUP($D2766,OperationTickets!$A:$A,OperationTickets!AC:AC,"",0)),"hh:mm"))</f>
        <v>Free</v>
      </c>
      <c r="G2766" s="309" t="str">
        <f t="shared" si="3"/>
        <v>Free</v>
      </c>
      <c r="H2766" s="316" t="str">
        <f t="array" ref="H2766">XLOOKUP(B2766,Roster!L:L,Roster!N:N,XLOOKUP(D2766,TicketsBreak!A:A,TicketsBreak!E:E,"",0),0)</f>
        <v/>
      </c>
      <c r="I2766" s="316" t="str">
        <f t="array" ref="I2766">XLOOKUP(B2766,Roster!L:L,Roster!O:O,XLOOKUP(D2766,TicketsBreak!A:A,TicketsBreak!F:F,"",0),0)</f>
        <v/>
      </c>
      <c r="J2766" s="316" t="str">
        <f t="array" ref="J2766">XLOOKUP(B2766,Roster!L:L,Roster!P:P,XLOOKUP(D2766,TicketsBreak!A:A,TicketsBreak!G:G,"",0),0)</f>
        <v/>
      </c>
      <c r="K2766" s="310">
        <f t="shared" si="4"/>
        <v>46135</v>
      </c>
      <c r="L2766" s="317">
        <f t="array" ref="L2766">(XLOOKUP(D2766,Roster!F:F,Roster!D:D,"",0))</f>
        <v>38</v>
      </c>
      <c r="M2766" s="317" t="str">
        <f t="array" ref="M2766">XLOOKUP(D2766,Roster!F:F,Roster!E:E)</f>
        <v>Voice</v>
      </c>
      <c r="N2766" s="317" t="str">
        <f t="shared" ref="N2766:P2766" si="2806">LEFT(H2766,5)</f>
        <v/>
      </c>
      <c r="O2766" s="317" t="str">
        <f t="shared" si="2806"/>
        <v/>
      </c>
      <c r="P2766" s="317" t="str">
        <f t="shared" si="2806"/>
        <v/>
      </c>
      <c r="Q2766" s="318" t="str">
        <f t="shared" si="2791"/>
        <v/>
      </c>
      <c r="R2766" s="318" t="str">
        <f t="shared" si="2792"/>
        <v/>
      </c>
      <c r="S2766" s="318" t="str">
        <f t="shared" si="8"/>
        <v/>
      </c>
    </row>
    <row r="2767">
      <c r="A2767" s="14" t="str">
        <f t="shared" si="1"/>
        <v>C116846135</v>
      </c>
      <c r="B2767" s="185">
        <f t="array" ref="B2767">IF(F2767="VL","",IF(F2767="Free","Free",XLOOKUP(D2767,Roster!T:T,Roster!S:S,"",0)))</f>
        <v>125</v>
      </c>
      <c r="C2767" s="313">
        <v>46135.0</v>
      </c>
      <c r="D2767" s="314" t="s">
        <v>180</v>
      </c>
      <c r="E2767" s="307" t="str">
        <f t="array" ref="E2767">(XLOOKUP(D2767,Roster!F:F,Roster!B:B,"",0))</f>
        <v>Santiago Gaviria</v>
      </c>
      <c r="F2767" s="315" t="str">
        <f t="array" ref="F2767">IF(B2767=100,"Free",TEXT(XLOOKUP($D2767,OperationVoice!$A:$A,OperationVoice!AC:AC,XLOOKUP($D2767,OperationTickets!$A:$A,OperationTickets!AC:AC,"",0)),"hh:mm"))</f>
        <v>08:00</v>
      </c>
      <c r="G2767" s="309">
        <f t="shared" si="3"/>
        <v>0.7083333333</v>
      </c>
      <c r="H2767" s="316" t="str">
        <f t="array" ref="H2767">XLOOKUP(B2767,Roster!L:L,Roster!N:N,XLOOKUP(D2767,TicketsBreak!A:A,TicketsBreak!E:E,"",0),0)</f>
        <v>10:30 - 10:45</v>
      </c>
      <c r="I2767" s="316" t="str">
        <f t="array" ref="I2767">XLOOKUP(B2767,Roster!L:L,Roster!O:O,XLOOKUP(D2767,TicketsBreak!A:A,TicketsBreak!F:F,"",0),0)</f>
        <v>13:30 - 14:00</v>
      </c>
      <c r="J2767" s="316" t="str">
        <f t="array" ref="J2767">XLOOKUP(B2767,Roster!L:L,Roster!P:P,XLOOKUP(D2767,TicketsBreak!A:A,TicketsBreak!G:G,"",0),0)</f>
        <v>15:45 - 16:00</v>
      </c>
      <c r="K2767" s="310">
        <f t="shared" si="4"/>
        <v>46135</v>
      </c>
      <c r="L2767" s="317">
        <f t="array" ref="L2767">(XLOOKUP(D2767,Roster!F:F,Roster!D:D,"",0))</f>
        <v>24</v>
      </c>
      <c r="M2767" s="317" t="str">
        <f t="array" ref="M2767">XLOOKUP(D2767,Roster!F:F,Roster!E:E)</f>
        <v>Tickets</v>
      </c>
      <c r="N2767" s="317" t="str">
        <f t="shared" ref="N2767:P2767" si="2807">LEFT(H2767,5)</f>
        <v>10:30</v>
      </c>
      <c r="O2767" s="317" t="str">
        <f t="shared" si="2807"/>
        <v>13:30</v>
      </c>
      <c r="P2767" s="317" t="str">
        <f t="shared" si="2807"/>
        <v>15:45</v>
      </c>
      <c r="Q2767" s="318">
        <f t="shared" si="2791"/>
        <v>46135.4375</v>
      </c>
      <c r="R2767" s="318">
        <f t="shared" si="2792"/>
        <v>46135.5625</v>
      </c>
      <c r="S2767" s="318">
        <f t="shared" si="8"/>
        <v>46135.65625</v>
      </c>
    </row>
    <row r="2768">
      <c r="A2768" s="14" t="str">
        <f t="shared" si="1"/>
        <v>C122046135</v>
      </c>
      <c r="B2768" s="185" t="str">
        <f t="array" ref="B2768">IF(F2768="VL","",IF(F2768="Free","Free",XLOOKUP(D2768,Roster!T:T,Roster!S:S,"",0)))</f>
        <v/>
      </c>
      <c r="C2768" s="313">
        <v>46135.0</v>
      </c>
      <c r="D2768" s="314" t="s">
        <v>181</v>
      </c>
      <c r="E2768" s="307" t="str">
        <f t="array" ref="E2768">(XLOOKUP(D2768,Roster!F:F,Roster!B:B,"",0))</f>
        <v>Santiago Gonzalez</v>
      </c>
      <c r="F2768" s="315" t="str">
        <f t="array" ref="F2768">IF(B2768=100,"Free",TEXT(XLOOKUP($D2768,OperationVoice!$A:$A,OperationVoice!AC:AC,XLOOKUP($D2768,OperationTickets!$A:$A,OperationTickets!AC:AC,"",0)),"hh:mm"))</f>
        <v>08:00</v>
      </c>
      <c r="G2768" s="309">
        <f t="shared" si="3"/>
        <v>0.7083333333</v>
      </c>
      <c r="H2768" s="316" t="str">
        <f t="array" ref="H2768">XLOOKUP(B2768,Roster!L:L,Roster!N:N,XLOOKUP(D2768,TicketsBreak!A:A,TicketsBreak!E:E,"",0),0)</f>
        <v/>
      </c>
      <c r="I2768" s="316" t="str">
        <f t="array" ref="I2768">XLOOKUP(B2768,Roster!L:L,Roster!O:O,XLOOKUP(D2768,TicketsBreak!A:A,TicketsBreak!F:F,"",0),0)</f>
        <v/>
      </c>
      <c r="J2768" s="316" t="str">
        <f t="array" ref="J2768">XLOOKUP(B2768,Roster!L:L,Roster!P:P,XLOOKUP(D2768,TicketsBreak!A:A,TicketsBreak!G:G,"",0),0)</f>
        <v/>
      </c>
      <c r="K2768" s="310">
        <f t="shared" si="4"/>
        <v>46135</v>
      </c>
      <c r="L2768" s="317">
        <f t="array" ref="L2768">(XLOOKUP(D2768,Roster!F:F,Roster!D:D,"",0))</f>
        <v>26</v>
      </c>
      <c r="M2768" s="317" t="str">
        <f t="array" ref="M2768">XLOOKUP(D2768,Roster!F:F,Roster!E:E)</f>
        <v>Tickets</v>
      </c>
      <c r="N2768" s="317" t="str">
        <f t="shared" ref="N2768:P2768" si="2808">LEFT(H2768,5)</f>
        <v/>
      </c>
      <c r="O2768" s="317" t="str">
        <f t="shared" si="2808"/>
        <v/>
      </c>
      <c r="P2768" s="317" t="str">
        <f t="shared" si="2808"/>
        <v/>
      </c>
      <c r="Q2768" s="318" t="str">
        <f t="shared" si="2791"/>
        <v/>
      </c>
      <c r="R2768" s="318" t="str">
        <f t="shared" si="2792"/>
        <v/>
      </c>
      <c r="S2768" s="318" t="str">
        <f t="shared" si="8"/>
        <v/>
      </c>
    </row>
    <row r="2769">
      <c r="A2769" s="14" t="str">
        <f t="shared" si="1"/>
        <v>C140646135</v>
      </c>
      <c r="B2769" s="185">
        <f t="array" ref="B2769">IF(F2769="VL","",IF(F2769="Free","Free",XLOOKUP(D2769,Roster!T:T,Roster!S:S,"",0)))</f>
        <v>152</v>
      </c>
      <c r="C2769" s="313">
        <v>46135.0</v>
      </c>
      <c r="D2769" s="314" t="s">
        <v>72</v>
      </c>
      <c r="E2769" s="307" t="str">
        <f t="array" ref="E2769">(XLOOKUP(D2769,Roster!F:F,Roster!B:B,"",0))</f>
        <v>Santiago Mora</v>
      </c>
      <c r="F2769" s="315" t="str">
        <f t="array" ref="F2769">IF(B2769=100,"Free",TEXT(XLOOKUP($D2769,OperationVoice!$A:$A,OperationVoice!AC:AC,XLOOKUP($D2769,OperationTickets!$A:$A,OperationTickets!AC:AC,"",0)),"hh:mm"))</f>
        <v>11:00</v>
      </c>
      <c r="G2769" s="309">
        <f t="shared" si="3"/>
        <v>0.8333333333</v>
      </c>
      <c r="H2769" s="316" t="str">
        <f t="array" ref="H2769">XLOOKUP(B2769,Roster!L:L,Roster!N:N,XLOOKUP(D2769,TicketsBreak!A:A,TicketsBreak!E:E,"",0),0)</f>
        <v>12:30 - 12:45</v>
      </c>
      <c r="I2769" s="316" t="str">
        <f t="array" ref="I2769">XLOOKUP(B2769,Roster!L:L,Roster!O:O,XLOOKUP(D2769,TicketsBreak!A:A,TicketsBreak!F:F,"",0),0)</f>
        <v>14:30 - 15:00</v>
      </c>
      <c r="J2769" s="316" t="str">
        <f t="array" ref="J2769">XLOOKUP(B2769,Roster!L:L,Roster!P:P,XLOOKUP(D2769,TicketsBreak!A:A,TicketsBreak!G:G,"",0),0)</f>
        <v>17:30 - 17:45</v>
      </c>
      <c r="K2769" s="310">
        <f t="shared" si="4"/>
        <v>46135</v>
      </c>
      <c r="L2769" s="317">
        <f t="array" ref="L2769">(XLOOKUP(D2769,Roster!F:F,Roster!D:D,"",0))</f>
        <v>35</v>
      </c>
      <c r="M2769" s="317" t="str">
        <f t="array" ref="M2769">XLOOKUP(D2769,Roster!F:F,Roster!E:E)</f>
        <v>Voice</v>
      </c>
      <c r="N2769" s="317" t="str">
        <f t="shared" ref="N2769:P2769" si="2809">LEFT(H2769,5)</f>
        <v>12:30</v>
      </c>
      <c r="O2769" s="317" t="str">
        <f t="shared" si="2809"/>
        <v>14:30</v>
      </c>
      <c r="P2769" s="317" t="str">
        <f t="shared" si="2809"/>
        <v>17:30</v>
      </c>
      <c r="Q2769" s="318">
        <f t="shared" si="2791"/>
        <v>46135.52083</v>
      </c>
      <c r="R2769" s="318">
        <f t="shared" si="2792"/>
        <v>46135.60417</v>
      </c>
      <c r="S2769" s="318">
        <f t="shared" si="8"/>
        <v>46135.72917</v>
      </c>
    </row>
    <row r="2770">
      <c r="A2770" s="14" t="str">
        <f t="shared" si="1"/>
        <v>C119946135</v>
      </c>
      <c r="B2770" s="185" t="str">
        <f t="array" ref="B2770">IF(F2770="VL","",IF(F2770="Free","Free",XLOOKUP(D2770,Roster!T:T,Roster!S:S,"",0)))</f>
        <v/>
      </c>
      <c r="C2770" s="313">
        <v>46135.0</v>
      </c>
      <c r="D2770" s="314" t="s">
        <v>182</v>
      </c>
      <c r="E2770" s="307" t="str">
        <f t="array" ref="E2770">(XLOOKUP(D2770,Roster!F:F,Roster!B:B,"",0))</f>
        <v>Santiago Velasquez</v>
      </c>
      <c r="F2770" s="315" t="str">
        <f t="array" ref="F2770">IF(B2770=100,"Free",TEXT(XLOOKUP($D2770,OperationVoice!$A:$A,OperationVoice!AC:AC,XLOOKUP($D2770,OperationTickets!$A:$A,OperationTickets!AC:AC,"",0)),"hh:mm"))</f>
        <v>08:00</v>
      </c>
      <c r="G2770" s="309">
        <f t="shared" si="3"/>
        <v>0.7083333333</v>
      </c>
      <c r="H2770" s="316" t="str">
        <f t="array" ref="H2770">XLOOKUP(B2770,Roster!L:L,Roster!N:N,XLOOKUP(D2770,TicketsBreak!A:A,TicketsBreak!E:E,"",0),0)</f>
        <v/>
      </c>
      <c r="I2770" s="316" t="str">
        <f t="array" ref="I2770">XLOOKUP(B2770,Roster!L:L,Roster!O:O,XLOOKUP(D2770,TicketsBreak!A:A,TicketsBreak!F:F,"",0),0)</f>
        <v/>
      </c>
      <c r="J2770" s="316" t="str">
        <f t="array" ref="J2770">XLOOKUP(B2770,Roster!L:L,Roster!P:P,XLOOKUP(D2770,TicketsBreak!A:A,TicketsBreak!G:G,"",0),0)</f>
        <v/>
      </c>
      <c r="K2770" s="310">
        <f t="shared" si="4"/>
        <v>46135</v>
      </c>
      <c r="L2770" s="317">
        <f t="array" ref="L2770">(XLOOKUP(D2770,Roster!F:F,Roster!D:D,"",0))</f>
        <v>25</v>
      </c>
      <c r="M2770" s="317" t="str">
        <f t="array" ref="M2770">XLOOKUP(D2770,Roster!F:F,Roster!E:E)</f>
        <v>Tickets</v>
      </c>
      <c r="N2770" s="317" t="str">
        <f t="shared" ref="N2770:P2770" si="2810">LEFT(H2770,5)</f>
        <v/>
      </c>
      <c r="O2770" s="317" t="str">
        <f t="shared" si="2810"/>
        <v/>
      </c>
      <c r="P2770" s="317" t="str">
        <f t="shared" si="2810"/>
        <v/>
      </c>
      <c r="Q2770" s="318" t="str">
        <f t="shared" si="2791"/>
        <v/>
      </c>
      <c r="R2770" s="318" t="str">
        <f t="shared" si="2792"/>
        <v/>
      </c>
      <c r="S2770" s="318" t="str">
        <f t="shared" si="8"/>
        <v/>
      </c>
    </row>
    <row r="2771">
      <c r="A2771" s="14" t="str">
        <f t="shared" si="1"/>
        <v>C90246135</v>
      </c>
      <c r="B2771" s="185" t="str">
        <f t="array" ref="B2771">IF(F2771="VL","",IF(F2771="Free","Free",XLOOKUP(D2771,Roster!T:T,Roster!S:S,"",0)))</f>
        <v/>
      </c>
      <c r="C2771" s="313">
        <v>46135.0</v>
      </c>
      <c r="D2771" s="314" t="s">
        <v>150</v>
      </c>
      <c r="E2771" s="307" t="str">
        <f t="array" ref="E2771">(XLOOKUP(D2771,Roster!F:F,Roster!B:B,"",0))</f>
        <v>Sebastiam Vallejo</v>
      </c>
      <c r="F2771" s="315" t="str">
        <f t="array" ref="F2771">IF(B2771=100,"Free",TEXT(XLOOKUP($D2771,OperationVoice!$A:$A,OperationVoice!AC:AC,XLOOKUP($D2771,OperationTickets!$A:$A,OperationTickets!AC:AC,"",0)),"hh:mm"))</f>
        <v>08:00</v>
      </c>
      <c r="G2771" s="309">
        <f t="shared" si="3"/>
        <v>0.7083333333</v>
      </c>
      <c r="H2771" s="316">
        <f t="array" ref="H2771">XLOOKUP(B2771,Roster!L:L,Roster!N:N,XLOOKUP(D2771,TicketsBreak!A:A,TicketsBreak!E:E,"",0),0)</f>
        <v>0.4375</v>
      </c>
      <c r="I2771" s="316">
        <f t="array" ref="I2771">XLOOKUP(B2771,Roster!L:L,Roster!O:O,XLOOKUP(D2771,TicketsBreak!A:A,TicketsBreak!F:F,"",0),0)</f>
        <v>0.6041666667</v>
      </c>
      <c r="J2771" s="316">
        <f t="array" ref="J2771">XLOOKUP(B2771,Roster!L:L,Roster!P:P,XLOOKUP(D2771,TicketsBreak!A:A,TicketsBreak!G:G,"",0),0)</f>
        <v>0.65625</v>
      </c>
      <c r="K2771" s="310">
        <f t="shared" si="4"/>
        <v>46135</v>
      </c>
      <c r="L2771" s="317">
        <f t="array" ref="L2771">(XLOOKUP(D2771,Roster!F:F,Roster!D:D,"",0))</f>
        <v>11</v>
      </c>
      <c r="M2771" s="317" t="str">
        <f t="array" ref="M2771">XLOOKUP(D2771,Roster!F:F,Roster!E:E)</f>
        <v>Tickets</v>
      </c>
      <c r="N2771" s="317" t="str">
        <f t="shared" ref="N2771:P2771" si="2811">LEFT(H2771,5)</f>
        <v>10:30</v>
      </c>
      <c r="O2771" s="317" t="str">
        <f t="shared" si="2811"/>
        <v>14:30</v>
      </c>
      <c r="P2771" s="317" t="str">
        <f t="shared" si="2811"/>
        <v>15:45</v>
      </c>
      <c r="Q2771" s="318">
        <f t="shared" si="2791"/>
        <v>46135.4375</v>
      </c>
      <c r="R2771" s="318">
        <f t="shared" si="2792"/>
        <v>46135.60417</v>
      </c>
      <c r="S2771" s="318">
        <f t="shared" si="8"/>
        <v>46135.65625</v>
      </c>
    </row>
    <row r="2772">
      <c r="A2772" s="14" t="str">
        <f t="shared" si="1"/>
        <v>C150646135</v>
      </c>
      <c r="B2772" s="185">
        <f t="array" ref="B2772">IF(F2772="VL","",IF(F2772="Free","Free",XLOOKUP(D2772,Roster!T:T,Roster!S:S,"",0)))</f>
        <v>153</v>
      </c>
      <c r="C2772" s="313">
        <v>46135.0</v>
      </c>
      <c r="D2772" s="314" t="s">
        <v>73</v>
      </c>
      <c r="E2772" s="307" t="str">
        <f t="array" ref="E2772">(XLOOKUP(D2772,Roster!F:F,Roster!B:B,"",0))</f>
        <v>Sebastian Agudelo Londono</v>
      </c>
      <c r="F2772" s="315" t="str">
        <f t="array" ref="F2772">IF(B2772=100,"Free",TEXT(XLOOKUP($D2772,OperationVoice!$A:$A,OperationVoice!AC:AC,XLOOKUP($D2772,OperationTickets!$A:$A,OperationTickets!AC:AC,"",0)),"hh:mm"))</f>
        <v>11:00</v>
      </c>
      <c r="G2772" s="309">
        <f t="shared" si="3"/>
        <v>0.8333333333</v>
      </c>
      <c r="H2772" s="316" t="str">
        <f t="array" ref="H2772">XLOOKUP(B2772,Roster!L:L,Roster!N:N,XLOOKUP(D2772,TicketsBreak!A:A,TicketsBreak!E:E,"",0),0)</f>
        <v>12:45 - 13:00</v>
      </c>
      <c r="I2772" s="316" t="str">
        <f t="array" ref="I2772">XLOOKUP(B2772,Roster!L:L,Roster!O:O,XLOOKUP(D2772,TicketsBreak!A:A,TicketsBreak!F:F,"",0),0)</f>
        <v>15:00 - 15:30</v>
      </c>
      <c r="J2772" s="316" t="str">
        <f t="array" ref="J2772">XLOOKUP(B2772,Roster!L:L,Roster!P:P,XLOOKUP(D2772,TicketsBreak!A:A,TicketsBreak!G:G,"",0),0)</f>
        <v>17:45 - 18:00</v>
      </c>
      <c r="K2772" s="310">
        <f t="shared" si="4"/>
        <v>46135</v>
      </c>
      <c r="L2772" s="317">
        <f t="array" ref="L2772">(XLOOKUP(D2772,Roster!F:F,Roster!D:D,"",0))</f>
        <v>35</v>
      </c>
      <c r="M2772" s="317" t="str">
        <f t="array" ref="M2772">XLOOKUP(D2772,Roster!F:F,Roster!E:E)</f>
        <v>Voice</v>
      </c>
      <c r="N2772" s="317" t="str">
        <f t="shared" ref="N2772:P2772" si="2812">LEFT(H2772,5)</f>
        <v>12:45</v>
      </c>
      <c r="O2772" s="317" t="str">
        <f t="shared" si="2812"/>
        <v>15:00</v>
      </c>
      <c r="P2772" s="317" t="str">
        <f t="shared" si="2812"/>
        <v>17:45</v>
      </c>
      <c r="Q2772" s="318">
        <f t="shared" si="2791"/>
        <v>46135.53125</v>
      </c>
      <c r="R2772" s="318">
        <f t="shared" si="2792"/>
        <v>46135.625</v>
      </c>
      <c r="S2772" s="318">
        <f t="shared" si="8"/>
        <v>46135.73958</v>
      </c>
    </row>
    <row r="2773">
      <c r="A2773" s="14" t="str">
        <f t="shared" si="1"/>
        <v>C119046135</v>
      </c>
      <c r="B2773" s="185" t="str">
        <f t="array" ref="B2773">IF(F2773="VL","",IF(F2773="Free","Free",XLOOKUP(D2773,Roster!T:T,Roster!S:S,"",0)))</f>
        <v/>
      </c>
      <c r="C2773" s="313">
        <v>46135.0</v>
      </c>
      <c r="D2773" s="314" t="s">
        <v>183</v>
      </c>
      <c r="E2773" s="307" t="str">
        <f t="array" ref="E2773">(XLOOKUP(D2773,Roster!F:F,Roster!B:B,"",0))</f>
        <v>Sebastian Herrera</v>
      </c>
      <c r="F2773" s="315" t="str">
        <f t="array" ref="F2773">IF(B2773=100,"Free",TEXT(XLOOKUP($D2773,OperationVoice!$A:$A,OperationVoice!AC:AC,XLOOKUP($D2773,OperationTickets!$A:$A,OperationTickets!AC:AC,"",0)),"hh:mm"))</f>
        <v>07:00</v>
      </c>
      <c r="G2773" s="309">
        <f t="shared" si="3"/>
        <v>0.6666666667</v>
      </c>
      <c r="H2773" s="316">
        <f t="array" ref="H2773">XLOOKUP(B2773,Roster!L:L,Roster!N:N,XLOOKUP(D2773,TicketsBreak!A:A,TicketsBreak!E:E,"",0),0)</f>
        <v>0.40625</v>
      </c>
      <c r="I2773" s="316">
        <f t="array" ref="I2773">XLOOKUP(B2773,Roster!L:L,Roster!O:O,XLOOKUP(D2773,TicketsBreak!A:A,TicketsBreak!F:F,"",0),0)</f>
        <v>0.5416666667</v>
      </c>
      <c r="J2773" s="316">
        <f t="array" ref="J2773">XLOOKUP(B2773,Roster!L:L,Roster!P:P,XLOOKUP(D2773,TicketsBreak!A:A,TicketsBreak!G:G,"",0),0)</f>
        <v>0.625</v>
      </c>
      <c r="K2773" s="310">
        <f t="shared" si="4"/>
        <v>46135</v>
      </c>
      <c r="L2773" s="317">
        <f t="array" ref="L2773">(XLOOKUP(D2773,Roster!F:F,Roster!D:D,"",0))</f>
        <v>25</v>
      </c>
      <c r="M2773" s="317" t="str">
        <f t="array" ref="M2773">XLOOKUP(D2773,Roster!F:F,Roster!E:E)</f>
        <v>Tickets</v>
      </c>
      <c r="N2773" s="317" t="str">
        <f t="shared" ref="N2773:P2773" si="2813">LEFT(H2773,5)</f>
        <v>09:45</v>
      </c>
      <c r="O2773" s="317" t="str">
        <f t="shared" si="2813"/>
        <v>13:00</v>
      </c>
      <c r="P2773" s="317" t="str">
        <f t="shared" si="2813"/>
        <v>15:00</v>
      </c>
      <c r="Q2773" s="318">
        <f t="shared" si="2791"/>
        <v>46135.40625</v>
      </c>
      <c r="R2773" s="318">
        <f t="shared" si="2792"/>
        <v>46135.54167</v>
      </c>
      <c r="S2773" s="318">
        <f t="shared" si="8"/>
        <v>46135.625</v>
      </c>
    </row>
    <row r="2774">
      <c r="A2774" s="14" t="str">
        <f t="shared" si="1"/>
        <v>C71046135</v>
      </c>
      <c r="B2774" s="185" t="str">
        <f t="array" ref="B2774">IF(F2774="VL","",IF(F2774="Free","Free",XLOOKUP(D2774,Roster!T:T,Roster!S:S,"",0)))</f>
        <v/>
      </c>
      <c r="C2774" s="313">
        <v>46135.0</v>
      </c>
      <c r="D2774" s="314" t="s">
        <v>184</v>
      </c>
      <c r="E2774" s="307" t="str">
        <f t="array" ref="E2774">(XLOOKUP(D2774,Roster!F:F,Roster!B:B,"",0))</f>
        <v>Sebastian Martinez</v>
      </c>
      <c r="F2774" s="315" t="str">
        <f t="array" ref="F2774">IF(B2774=100,"Free",TEXT(XLOOKUP($D2774,OperationVoice!$A:$A,OperationVoice!AC:AC,XLOOKUP($D2774,OperationTickets!$A:$A,OperationTickets!AC:AC,"",0)),"hh:mm"))</f>
        <v>08:00</v>
      </c>
      <c r="G2774" s="309">
        <f t="shared" si="3"/>
        <v>0.7083333333</v>
      </c>
      <c r="H2774" s="316">
        <f t="array" ref="H2774">XLOOKUP(B2774,Roster!L:L,Roster!N:N,XLOOKUP(D2774,TicketsBreak!A:A,TicketsBreak!E:E,"",0),0)</f>
        <v>0.40625</v>
      </c>
      <c r="I2774" s="316">
        <f t="array" ref="I2774">XLOOKUP(B2774,Roster!L:L,Roster!O:O,XLOOKUP(D2774,TicketsBreak!A:A,TicketsBreak!F:F,"",0),0)</f>
        <v>0.5625</v>
      </c>
      <c r="J2774" s="316">
        <f t="array" ref="J2774">XLOOKUP(B2774,Roster!L:L,Roster!P:P,XLOOKUP(D2774,TicketsBreak!A:A,TicketsBreak!G:G,"",0),0)</f>
        <v>0.65625</v>
      </c>
      <c r="K2774" s="310">
        <f t="shared" si="4"/>
        <v>46135</v>
      </c>
      <c r="L2774" s="317">
        <f t="array" ref="L2774">(XLOOKUP(D2774,Roster!F:F,Roster!D:D,"",0))</f>
        <v>6</v>
      </c>
      <c r="M2774" s="317" t="str">
        <f t="array" ref="M2774">XLOOKUP(D2774,Roster!F:F,Roster!E:E)</f>
        <v>Tickets</v>
      </c>
      <c r="N2774" s="317" t="str">
        <f t="shared" ref="N2774:P2774" si="2814">LEFT(H2774,5)</f>
        <v>09:45</v>
      </c>
      <c r="O2774" s="317" t="str">
        <f t="shared" si="2814"/>
        <v>13:30</v>
      </c>
      <c r="P2774" s="317" t="str">
        <f t="shared" si="2814"/>
        <v>15:45</v>
      </c>
      <c r="Q2774" s="318">
        <f t="shared" si="2791"/>
        <v>46135.40625</v>
      </c>
      <c r="R2774" s="318">
        <f t="shared" si="2792"/>
        <v>46135.5625</v>
      </c>
      <c r="S2774" s="318">
        <f t="shared" si="8"/>
        <v>46135.65625</v>
      </c>
    </row>
    <row r="2775">
      <c r="A2775" s="14" t="str">
        <f t="shared" si="1"/>
        <v>C72346135</v>
      </c>
      <c r="B2775" s="185" t="str">
        <f t="array" ref="B2775">IF(F2775="VL","",IF(F2775="Free","Free",XLOOKUP(D2775,Roster!T:T,Roster!S:S,"",0)))</f>
        <v/>
      </c>
      <c r="C2775" s="313">
        <v>46135.0</v>
      </c>
      <c r="D2775" s="314" t="s">
        <v>169</v>
      </c>
      <c r="E2775" s="307" t="str">
        <f t="array" ref="E2775">(XLOOKUP(D2775,Roster!F:F,Roster!B:B,"",0))</f>
        <v>Sebastian Parra</v>
      </c>
      <c r="F2775" s="315" t="str">
        <f t="array" ref="F2775">IF(B2775=100,"Free",TEXT(XLOOKUP($D2775,OperationVoice!$A:$A,OperationVoice!AC:AC,XLOOKUP($D2775,OperationTickets!$A:$A,OperationTickets!AC:AC,"",0)),"hh:mm"))</f>
        <v>08:00</v>
      </c>
      <c r="G2775" s="309">
        <f t="shared" si="3"/>
        <v>0.7083333333</v>
      </c>
      <c r="H2775" s="316">
        <f t="array" ref="H2775">XLOOKUP(B2775,Roster!L:L,Roster!N:N,XLOOKUP(D2775,TicketsBreak!A:A,TicketsBreak!E:E,"",0),0)</f>
        <v>0.4166666667</v>
      </c>
      <c r="I2775" s="316">
        <f t="array" ref="I2775">XLOOKUP(B2775,Roster!L:L,Roster!O:O,XLOOKUP(D2775,TicketsBreak!A:A,TicketsBreak!F:F,"",0),0)</f>
        <v>0.5347222222</v>
      </c>
      <c r="J2775" s="316">
        <f t="array" ref="J2775">XLOOKUP(B2775,Roster!L:L,Roster!P:P,XLOOKUP(D2775,TicketsBreak!A:A,TicketsBreak!G:G,"",0),0)</f>
        <v>0.65625</v>
      </c>
      <c r="K2775" s="310">
        <f t="shared" si="4"/>
        <v>46135</v>
      </c>
      <c r="L2775" s="317">
        <f t="array" ref="L2775">(XLOOKUP(D2775,Roster!F:F,Roster!D:D,"",0))</f>
        <v>7</v>
      </c>
      <c r="M2775" s="317" t="str">
        <f t="array" ref="M2775">XLOOKUP(D2775,Roster!F:F,Roster!E:E)</f>
        <v>Tickets</v>
      </c>
      <c r="N2775" s="317" t="str">
        <f t="shared" ref="N2775:P2775" si="2815">LEFT(H2775,5)</f>
        <v>10:00</v>
      </c>
      <c r="O2775" s="317" t="str">
        <f t="shared" si="2815"/>
        <v>12:50</v>
      </c>
      <c r="P2775" s="317" t="str">
        <f t="shared" si="2815"/>
        <v>15:45</v>
      </c>
      <c r="Q2775" s="318">
        <f t="shared" si="2791"/>
        <v>46135.41667</v>
      </c>
      <c r="R2775" s="318">
        <f t="shared" si="2792"/>
        <v>46135.53472</v>
      </c>
      <c r="S2775" s="318">
        <f t="shared" si="8"/>
        <v>46135.65625</v>
      </c>
    </row>
    <row r="2776">
      <c r="A2776" s="14" t="str">
        <f t="shared" si="1"/>
        <v>C137646135</v>
      </c>
      <c r="B2776" s="185" t="str">
        <f t="array" ref="B2776">IF(F2776="VL","",IF(F2776="Free","Free",XLOOKUP(D2776,Roster!T:T,Roster!S:S,"",0)))</f>
        <v>Free</v>
      </c>
      <c r="C2776" s="313">
        <v>46135.0</v>
      </c>
      <c r="D2776" s="314" t="s">
        <v>151</v>
      </c>
      <c r="E2776" s="307" t="str">
        <f t="array" ref="E2776">(XLOOKUP(D2776,Roster!F:F,Roster!B:B,"",0))</f>
        <v>Sebastian Quiroz</v>
      </c>
      <c r="F2776" s="315" t="str">
        <f t="array" ref="F2776">IF(B2776=100,"Free",TEXT(XLOOKUP($D2776,OperationVoice!$A:$A,OperationVoice!AC:AC,XLOOKUP($D2776,OperationTickets!$A:$A,OperationTickets!AC:AC,"",0)),"hh:mm"))</f>
        <v>Free</v>
      </c>
      <c r="G2776" s="309" t="str">
        <f t="shared" si="3"/>
        <v>Free</v>
      </c>
      <c r="H2776" s="316" t="str">
        <f t="array" ref="H2776">XLOOKUP(B2776,Roster!L:L,Roster!N:N,XLOOKUP(D2776,TicketsBreak!A:A,TicketsBreak!E:E,"",0),0)</f>
        <v/>
      </c>
      <c r="I2776" s="316" t="str">
        <f t="array" ref="I2776">XLOOKUP(B2776,Roster!L:L,Roster!O:O,XLOOKUP(D2776,TicketsBreak!A:A,TicketsBreak!F:F,"",0),0)</f>
        <v/>
      </c>
      <c r="J2776" s="316" t="str">
        <f t="array" ref="J2776">XLOOKUP(B2776,Roster!L:L,Roster!P:P,XLOOKUP(D2776,TicketsBreak!A:A,TicketsBreak!G:G,"",0),0)</f>
        <v/>
      </c>
      <c r="K2776" s="310">
        <f t="shared" si="4"/>
        <v>46135</v>
      </c>
      <c r="L2776" s="317">
        <f t="array" ref="L2776">(XLOOKUP(D2776,Roster!F:F,Roster!D:D,"",0))</f>
        <v>31</v>
      </c>
      <c r="M2776" s="317" t="str">
        <f t="array" ref="M2776">XLOOKUP(D2776,Roster!F:F,Roster!E:E)</f>
        <v>Tickets</v>
      </c>
      <c r="N2776" s="317" t="str">
        <f t="shared" ref="N2776:P2776" si="2816">LEFT(H2776,5)</f>
        <v/>
      </c>
      <c r="O2776" s="317" t="str">
        <f t="shared" si="2816"/>
        <v/>
      </c>
      <c r="P2776" s="317" t="str">
        <f t="shared" si="2816"/>
        <v/>
      </c>
      <c r="Q2776" s="318" t="str">
        <f t="shared" si="2791"/>
        <v/>
      </c>
      <c r="R2776" s="318" t="str">
        <f t="shared" si="2792"/>
        <v/>
      </c>
      <c r="S2776" s="318" t="str">
        <f t="shared" si="8"/>
        <v/>
      </c>
    </row>
    <row r="2777">
      <c r="A2777" s="14" t="str">
        <f t="shared" si="1"/>
        <v>C72646135</v>
      </c>
      <c r="B2777" s="185" t="str">
        <f t="array" ref="B2777">IF(F2777="VL","",IF(F2777="Free","Free",XLOOKUP(D2777,Roster!T:T,Roster!S:S,"",0)))</f>
        <v/>
      </c>
      <c r="C2777" s="313">
        <v>46135.0</v>
      </c>
      <c r="D2777" s="314" t="s">
        <v>185</v>
      </c>
      <c r="E2777" s="307" t="str">
        <f t="array" ref="E2777">(XLOOKUP(D2777,Roster!F:F,Roster!B:B,"",0))</f>
        <v>Sebastian Rodriguez</v>
      </c>
      <c r="F2777" s="315" t="str">
        <f t="array" ref="F2777">IF(B2777=100,"Free",TEXT(XLOOKUP($D2777,OperationVoice!$A:$A,OperationVoice!AC:AC,XLOOKUP($D2777,OperationTickets!$A:$A,OperationTickets!AC:AC,"",0)),"hh:mm"))</f>
        <v>08:00</v>
      </c>
      <c r="G2777" s="309">
        <f t="shared" si="3"/>
        <v>0.7083333333</v>
      </c>
      <c r="H2777" s="316">
        <f t="array" ref="H2777">XLOOKUP(B2777,Roster!L:L,Roster!N:N,XLOOKUP(D2777,TicketsBreak!A:A,TicketsBreak!E:E,"",0),0)</f>
        <v>0.4166666667</v>
      </c>
      <c r="I2777" s="316">
        <f t="array" ref="I2777">XLOOKUP(B2777,Roster!L:L,Roster!O:O,XLOOKUP(D2777,TicketsBreak!A:A,TicketsBreak!F:F,"",0),0)</f>
        <v>0.5625</v>
      </c>
      <c r="J2777" s="316">
        <f t="array" ref="J2777">XLOOKUP(B2777,Roster!L:L,Roster!P:P,XLOOKUP(D2777,TicketsBreak!A:A,TicketsBreak!G:G,"",0),0)</f>
        <v>0.6458333333</v>
      </c>
      <c r="K2777" s="310">
        <f t="shared" si="4"/>
        <v>46135</v>
      </c>
      <c r="L2777" s="317">
        <f t="array" ref="L2777">(XLOOKUP(D2777,Roster!F:F,Roster!D:D,"",0))</f>
        <v>7</v>
      </c>
      <c r="M2777" s="317" t="str">
        <f t="array" ref="M2777">XLOOKUP(D2777,Roster!F:F,Roster!E:E)</f>
        <v>Tickets</v>
      </c>
      <c r="N2777" s="317" t="str">
        <f t="shared" ref="N2777:P2777" si="2817">LEFT(H2777,5)</f>
        <v>10:00</v>
      </c>
      <c r="O2777" s="317" t="str">
        <f t="shared" si="2817"/>
        <v>13:30</v>
      </c>
      <c r="P2777" s="317" t="str">
        <f t="shared" si="2817"/>
        <v>15:30</v>
      </c>
      <c r="Q2777" s="318">
        <f t="shared" si="2791"/>
        <v>46135.41667</v>
      </c>
      <c r="R2777" s="318">
        <f t="shared" si="2792"/>
        <v>46135.5625</v>
      </c>
      <c r="S2777" s="318">
        <f t="shared" si="8"/>
        <v>46135.64583</v>
      </c>
    </row>
    <row r="2778">
      <c r="A2778" s="14" t="str">
        <f t="shared" si="1"/>
        <v>C60246135</v>
      </c>
      <c r="B2778" s="185" t="str">
        <f t="array" ref="B2778">IF(F2778="VL","",IF(F2778="Free","Free",XLOOKUP(D2778,Roster!T:T,Roster!S:S,"",0)))</f>
        <v>Free</v>
      </c>
      <c r="C2778" s="313">
        <v>46135.0</v>
      </c>
      <c r="D2778" s="314" t="s">
        <v>170</v>
      </c>
      <c r="E2778" s="307" t="str">
        <f t="array" ref="E2778">(XLOOKUP(D2778,Roster!F:F,Roster!B:B,"",0))</f>
        <v>Sebastian Torres</v>
      </c>
      <c r="F2778" s="315" t="str">
        <f t="array" ref="F2778">IF(B2778=100,"Free",TEXT(XLOOKUP($D2778,OperationVoice!$A:$A,OperationVoice!AC:AC,XLOOKUP($D2778,OperationTickets!$A:$A,OperationTickets!AC:AC,"",0)),"hh:mm"))</f>
        <v>Free</v>
      </c>
      <c r="G2778" s="309" t="str">
        <f t="shared" si="3"/>
        <v>Free</v>
      </c>
      <c r="H2778" s="316">
        <f t="array" ref="H2778">XLOOKUP(B2778,Roster!L:L,Roster!N:N,XLOOKUP(D2778,TicketsBreak!A:A,TicketsBreak!E:E,"",0),0)</f>
        <v>0.4583333333</v>
      </c>
      <c r="I2778" s="316">
        <f t="array" ref="I2778">XLOOKUP(B2778,Roster!L:L,Roster!O:O,XLOOKUP(D2778,TicketsBreak!A:A,TicketsBreak!F:F,"",0),0)</f>
        <v>0.5833333333</v>
      </c>
      <c r="J2778" s="316">
        <f t="array" ref="J2778">XLOOKUP(B2778,Roster!L:L,Roster!P:P,XLOOKUP(D2778,TicketsBreak!A:A,TicketsBreak!G:G,"",0),0)</f>
        <v>0.65625</v>
      </c>
      <c r="K2778" s="310">
        <f t="shared" si="4"/>
        <v>46135</v>
      </c>
      <c r="L2778" s="317">
        <f t="array" ref="L2778">(XLOOKUP(D2778,Roster!F:F,Roster!D:D,"",0))</f>
        <v>8</v>
      </c>
      <c r="M2778" s="317" t="str">
        <f t="array" ref="M2778">XLOOKUP(D2778,Roster!F:F,Roster!E:E)</f>
        <v>Tickets</v>
      </c>
      <c r="N2778" s="317" t="str">
        <f t="shared" ref="N2778:P2778" si="2818">LEFT(H2778,5)</f>
        <v>11:00</v>
      </c>
      <c r="O2778" s="317" t="str">
        <f t="shared" si="2818"/>
        <v>14:00</v>
      </c>
      <c r="P2778" s="317" t="str">
        <f t="shared" si="2818"/>
        <v>15:45</v>
      </c>
      <c r="Q2778" s="318">
        <f t="shared" si="2791"/>
        <v>46135.45833</v>
      </c>
      <c r="R2778" s="318">
        <f t="shared" si="2792"/>
        <v>46135.58333</v>
      </c>
      <c r="S2778" s="318">
        <f t="shared" si="8"/>
        <v>46135.65625</v>
      </c>
    </row>
    <row r="2779">
      <c r="A2779" s="14" t="str">
        <f t="shared" si="1"/>
        <v>C143146135</v>
      </c>
      <c r="B2779" s="185">
        <f t="array" ref="B2779">IF(F2779="VL","",IF(F2779="Free","Free",XLOOKUP(D2779,Roster!T:T,Roster!S:S,"",0)))</f>
        <v>151</v>
      </c>
      <c r="C2779" s="313">
        <v>46135.0</v>
      </c>
      <c r="D2779" s="314" t="s">
        <v>74</v>
      </c>
      <c r="E2779" s="307" t="str">
        <f t="array" ref="E2779">(XLOOKUP(D2779,Roster!F:F,Roster!B:B,"",0))</f>
        <v>Sebastian Torres Gomez</v>
      </c>
      <c r="F2779" s="315" t="str">
        <f t="array" ref="F2779">IF(B2779=100,"Free",TEXT(XLOOKUP($D2779,OperationVoice!$A:$A,OperationVoice!AC:AC,XLOOKUP($D2779,OperationTickets!$A:$A,OperationTickets!AC:AC,"",0)),"hh:mm"))</f>
        <v>11:00</v>
      </c>
      <c r="G2779" s="309">
        <f t="shared" si="3"/>
        <v>0.8333333333</v>
      </c>
      <c r="H2779" s="316" t="str">
        <f t="array" ref="H2779">XLOOKUP(B2779,Roster!L:L,Roster!N:N,XLOOKUP(D2779,TicketsBreak!A:A,TicketsBreak!E:E,"",0),0)</f>
        <v>12:15 - 12:30</v>
      </c>
      <c r="I2779" s="316" t="str">
        <f t="array" ref="I2779">XLOOKUP(B2779,Roster!L:L,Roster!O:O,XLOOKUP(D2779,TicketsBreak!A:A,TicketsBreak!F:F,"",0),0)</f>
        <v>14:00 - 14:30</v>
      </c>
      <c r="J2779" s="316" t="str">
        <f t="array" ref="J2779">XLOOKUP(B2779,Roster!L:L,Roster!P:P,XLOOKUP(D2779,TicketsBreak!A:A,TicketsBreak!G:G,"",0),0)</f>
        <v>17:15 - 17:30</v>
      </c>
      <c r="K2779" s="310">
        <f t="shared" si="4"/>
        <v>46135</v>
      </c>
      <c r="L2779" s="317">
        <f t="array" ref="L2779">(XLOOKUP(D2779,Roster!F:F,Roster!D:D,"",0))</f>
        <v>32</v>
      </c>
      <c r="M2779" s="317" t="str">
        <f t="array" ref="M2779">XLOOKUP(D2779,Roster!F:F,Roster!E:E)</f>
        <v>Voice</v>
      </c>
      <c r="N2779" s="317" t="str">
        <f t="shared" ref="N2779:P2779" si="2819">LEFT(H2779,5)</f>
        <v>12:15</v>
      </c>
      <c r="O2779" s="317" t="str">
        <f t="shared" si="2819"/>
        <v>14:00</v>
      </c>
      <c r="P2779" s="317" t="str">
        <f t="shared" si="2819"/>
        <v>17:15</v>
      </c>
      <c r="Q2779" s="318">
        <f t="shared" si="2791"/>
        <v>46135.51042</v>
      </c>
      <c r="R2779" s="318">
        <f t="shared" si="2792"/>
        <v>46135.58333</v>
      </c>
      <c r="S2779" s="318">
        <f t="shared" si="8"/>
        <v>46135.71875</v>
      </c>
    </row>
    <row r="2780">
      <c r="A2780" s="14" t="str">
        <f t="shared" si="1"/>
        <v>C149146135</v>
      </c>
      <c r="B2780" s="185" t="str">
        <f t="array" ref="B2780">IF(F2780="VL","",IF(F2780="Free","Free",XLOOKUP(D2780,Roster!T:T,Roster!S:S,"",0)))</f>
        <v/>
      </c>
      <c r="C2780" s="313">
        <v>46135.0</v>
      </c>
      <c r="D2780" s="314" t="s">
        <v>315</v>
      </c>
      <c r="E2780" s="307" t="str">
        <f t="array" ref="E2780">(XLOOKUP(D2780,Roster!F:F,Roster!B:B,"",0))</f>
        <v>Sebastian Vanegas</v>
      </c>
      <c r="F2780" s="315" t="str">
        <f t="array" ref="F2780">IF(B2780=100,"Free",TEXT(XLOOKUP($D2780,OperationVoice!$A:$A,OperationVoice!AC:AC,XLOOKUP($D2780,OperationTickets!$A:$A,OperationTickets!AC:AC,"",0)),"hh:mm"))</f>
        <v/>
      </c>
      <c r="G2780" s="309" t="str">
        <f t="shared" si="3"/>
        <v/>
      </c>
      <c r="H2780" s="316" t="str">
        <f t="array" ref="H2780">XLOOKUP(B2780,Roster!L:L,Roster!N:N,XLOOKUP(D2780,TicketsBreak!A:A,TicketsBreak!E:E,"",0),0)</f>
        <v/>
      </c>
      <c r="I2780" s="316" t="str">
        <f t="array" ref="I2780">XLOOKUP(B2780,Roster!L:L,Roster!O:O,XLOOKUP(D2780,TicketsBreak!A:A,TicketsBreak!F:F,"",0),0)</f>
        <v/>
      </c>
      <c r="J2780" s="316" t="str">
        <f t="array" ref="J2780">XLOOKUP(B2780,Roster!L:L,Roster!P:P,XLOOKUP(D2780,TicketsBreak!A:A,TicketsBreak!G:G,"",0),0)</f>
        <v/>
      </c>
      <c r="K2780" s="310">
        <f t="shared" si="4"/>
        <v>46135</v>
      </c>
      <c r="L2780" s="317">
        <f t="array" ref="L2780">(XLOOKUP(D2780,Roster!F:F,Roster!D:D,"",0))</f>
        <v>34</v>
      </c>
      <c r="M2780" s="317" t="str">
        <f t="array" ref="M2780">XLOOKUP(D2780,Roster!F:F,Roster!E:E)</f>
        <v>Voice</v>
      </c>
      <c r="N2780" s="317" t="str">
        <f t="shared" ref="N2780:P2780" si="2820">LEFT(H2780,5)</f>
        <v/>
      </c>
      <c r="O2780" s="317" t="str">
        <f t="shared" si="2820"/>
        <v/>
      </c>
      <c r="P2780" s="317" t="str">
        <f t="shared" si="2820"/>
        <v/>
      </c>
      <c r="Q2780" s="318" t="str">
        <f t="shared" si="2791"/>
        <v/>
      </c>
      <c r="R2780" s="318" t="str">
        <f t="shared" si="2792"/>
        <v/>
      </c>
      <c r="S2780" s="318" t="str">
        <f t="shared" si="8"/>
        <v/>
      </c>
    </row>
    <row r="2781">
      <c r="A2781" s="14" t="str">
        <f t="shared" si="1"/>
        <v>C93746135</v>
      </c>
      <c r="B2781" s="185">
        <f t="array" ref="B2781">IF(F2781="VL","",IF(F2781="Free","Free",XLOOKUP(D2781,Roster!T:T,Roster!S:S,"",0)))</f>
        <v>126</v>
      </c>
      <c r="C2781" s="313">
        <v>46135.0</v>
      </c>
      <c r="D2781" s="314" t="s">
        <v>75</v>
      </c>
      <c r="E2781" s="307" t="str">
        <f t="array" ref="E2781">(XLOOKUP(D2781,Roster!F:F,Roster!B:B,"",0))</f>
        <v>Sebastian Zapata</v>
      </c>
      <c r="F2781" s="315" t="str">
        <f t="array" ref="F2781">IF(B2781=100,"Free",TEXT(XLOOKUP($D2781,OperationVoice!$A:$A,OperationVoice!AC:AC,XLOOKUP($D2781,OperationTickets!$A:$A,OperationTickets!AC:AC,"",0)),"hh:mm"))</f>
        <v>08:00</v>
      </c>
      <c r="G2781" s="309">
        <f t="shared" si="3"/>
        <v>0.7083333333</v>
      </c>
      <c r="H2781" s="316" t="str">
        <f t="array" ref="H2781">XLOOKUP(B2781,Roster!L:L,Roster!N:N,XLOOKUP(D2781,TicketsBreak!A:A,TicketsBreak!E:E,"",0),0)</f>
        <v>10:45 - 11:00</v>
      </c>
      <c r="I2781" s="316" t="str">
        <f t="array" ref="I2781">XLOOKUP(B2781,Roster!L:L,Roster!O:O,XLOOKUP(D2781,TicketsBreak!A:A,TicketsBreak!F:F,"",0),0)</f>
        <v>14:00 - 14:30</v>
      </c>
      <c r="J2781" s="316" t="str">
        <f t="array" ref="J2781">XLOOKUP(B2781,Roster!L:L,Roster!P:P,XLOOKUP(D2781,TicketsBreak!A:A,TicketsBreak!G:G,"",0),0)</f>
        <v>15:45 - 16:00</v>
      </c>
      <c r="K2781" s="310">
        <f t="shared" si="4"/>
        <v>46135</v>
      </c>
      <c r="L2781" s="317">
        <f t="array" ref="L2781">(XLOOKUP(D2781,Roster!F:F,Roster!D:D,"",0))</f>
        <v>12</v>
      </c>
      <c r="M2781" s="317" t="str">
        <f t="array" ref="M2781">XLOOKUP(D2781,Roster!F:F,Roster!E:E)</f>
        <v>Voice</v>
      </c>
      <c r="N2781" s="317" t="str">
        <f t="shared" ref="N2781:P2781" si="2821">LEFT(H2781,5)</f>
        <v>10:45</v>
      </c>
      <c r="O2781" s="317" t="str">
        <f t="shared" si="2821"/>
        <v>14:00</v>
      </c>
      <c r="P2781" s="317" t="str">
        <f t="shared" si="2821"/>
        <v>15:45</v>
      </c>
      <c r="Q2781" s="318">
        <f t="shared" si="2791"/>
        <v>46135.44792</v>
      </c>
      <c r="R2781" s="318">
        <f t="shared" si="2792"/>
        <v>46135.58333</v>
      </c>
      <c r="S2781" s="318">
        <f t="shared" si="8"/>
        <v>46135.65625</v>
      </c>
    </row>
    <row r="2782">
      <c r="A2782" s="14" t="str">
        <f t="shared" si="1"/>
        <v>C156546135</v>
      </c>
      <c r="B2782" s="185" t="str">
        <f t="array" ref="B2782">IF(F2782="VL","",IF(F2782="Free","Free",XLOOKUP(D2782,Roster!T:T,Roster!S:S,"",0)))</f>
        <v>Free</v>
      </c>
      <c r="C2782" s="313">
        <v>46135.0</v>
      </c>
      <c r="D2782" s="314" t="s">
        <v>76</v>
      </c>
      <c r="E2782" s="307" t="str">
        <f t="array" ref="E2782">(XLOOKUP(D2782,Roster!F:F,Roster!B:B,"",0))</f>
        <v>Sergio Rojas</v>
      </c>
      <c r="F2782" s="315" t="str">
        <f t="array" ref="F2782">IF(B2782=100,"Free",TEXT(XLOOKUP($D2782,OperationVoice!$A:$A,OperationVoice!AC:AC,XLOOKUP($D2782,OperationTickets!$A:$A,OperationTickets!AC:AC,"",0)),"hh:mm"))</f>
        <v>Free</v>
      </c>
      <c r="G2782" s="309" t="str">
        <f t="shared" si="3"/>
        <v>Free</v>
      </c>
      <c r="H2782" s="316" t="str">
        <f t="array" ref="H2782">XLOOKUP(B2782,Roster!L:L,Roster!N:N,XLOOKUP(D2782,TicketsBreak!A:A,TicketsBreak!E:E,"",0),0)</f>
        <v/>
      </c>
      <c r="I2782" s="316" t="str">
        <f t="array" ref="I2782">XLOOKUP(B2782,Roster!L:L,Roster!O:O,XLOOKUP(D2782,TicketsBreak!A:A,TicketsBreak!F:F,"",0),0)</f>
        <v/>
      </c>
      <c r="J2782" s="316" t="str">
        <f t="array" ref="J2782">XLOOKUP(B2782,Roster!L:L,Roster!P:P,XLOOKUP(D2782,TicketsBreak!A:A,TicketsBreak!G:G,"",0),0)</f>
        <v/>
      </c>
      <c r="K2782" s="310">
        <f t="shared" si="4"/>
        <v>46135</v>
      </c>
      <c r="L2782" s="317">
        <f t="array" ref="L2782">(XLOOKUP(D2782,Roster!F:F,Roster!D:D,"",0))</f>
        <v>38</v>
      </c>
      <c r="M2782" s="317" t="str">
        <f t="array" ref="M2782">XLOOKUP(D2782,Roster!F:F,Roster!E:E)</f>
        <v>Voice</v>
      </c>
      <c r="N2782" s="317" t="str">
        <f t="shared" ref="N2782:P2782" si="2822">LEFT(H2782,5)</f>
        <v/>
      </c>
      <c r="O2782" s="317" t="str">
        <f t="shared" si="2822"/>
        <v/>
      </c>
      <c r="P2782" s="317" t="str">
        <f t="shared" si="2822"/>
        <v/>
      </c>
      <c r="Q2782" s="318" t="str">
        <f t="shared" si="2791"/>
        <v/>
      </c>
      <c r="R2782" s="318" t="str">
        <f t="shared" si="2792"/>
        <v/>
      </c>
      <c r="S2782" s="318" t="str">
        <f t="shared" si="8"/>
        <v/>
      </c>
    </row>
    <row r="2783">
      <c r="A2783" s="14" t="str">
        <f t="shared" si="1"/>
        <v>C147846135</v>
      </c>
      <c r="B2783" s="185" t="str">
        <f t="array" ref="B2783">IF(F2783="VL","",IF(F2783="Free","Free",XLOOKUP(D2783,Roster!T:T,Roster!S:S,"",0)))</f>
        <v/>
      </c>
      <c r="C2783" s="313">
        <v>46135.0</v>
      </c>
      <c r="D2783" s="314" t="s">
        <v>186</v>
      </c>
      <c r="E2783" s="307" t="str">
        <f t="array" ref="E2783">(XLOOKUP(D2783,Roster!F:F,Roster!B:B,"",0))</f>
        <v>Simon Atehortua</v>
      </c>
      <c r="F2783" s="315" t="str">
        <f t="array" ref="F2783">IF(B2783=100,"Free",TEXT(XLOOKUP($D2783,OperationVoice!$A:$A,OperationVoice!AC:AC,XLOOKUP($D2783,OperationTickets!$A:$A,OperationTickets!AC:AC,"",0)),"hh:mm"))</f>
        <v>07:00</v>
      </c>
      <c r="G2783" s="309">
        <f t="shared" si="3"/>
        <v>0.6666666667</v>
      </c>
      <c r="H2783" s="316" t="str">
        <f t="array" ref="H2783">XLOOKUP(B2783,Roster!L:L,Roster!N:N,XLOOKUP(D2783,TicketsBreak!A:A,TicketsBreak!E:E,"",0),0)</f>
        <v/>
      </c>
      <c r="I2783" s="316" t="str">
        <f t="array" ref="I2783">XLOOKUP(B2783,Roster!L:L,Roster!O:O,XLOOKUP(D2783,TicketsBreak!A:A,TicketsBreak!F:F,"",0),0)</f>
        <v/>
      </c>
      <c r="J2783" s="316" t="str">
        <f t="array" ref="J2783">XLOOKUP(B2783,Roster!L:L,Roster!P:P,XLOOKUP(D2783,TicketsBreak!A:A,TicketsBreak!G:G,"",0),0)</f>
        <v/>
      </c>
      <c r="K2783" s="310">
        <f t="shared" si="4"/>
        <v>46135</v>
      </c>
      <c r="L2783" s="317">
        <f t="array" ref="L2783">(XLOOKUP(D2783,Roster!F:F,Roster!D:D,"",0))</f>
        <v>32</v>
      </c>
      <c r="M2783" s="317" t="str">
        <f t="array" ref="M2783">XLOOKUP(D2783,Roster!F:F,Roster!E:E)</f>
        <v>Tickets</v>
      </c>
      <c r="N2783" s="317" t="str">
        <f t="shared" ref="N2783:P2783" si="2823">LEFT(H2783,5)</f>
        <v/>
      </c>
      <c r="O2783" s="317" t="str">
        <f t="shared" si="2823"/>
        <v/>
      </c>
      <c r="P2783" s="317" t="str">
        <f t="shared" si="2823"/>
        <v/>
      </c>
      <c r="Q2783" s="318" t="str">
        <f t="shared" si="2791"/>
        <v/>
      </c>
      <c r="R2783" s="318" t="str">
        <f t="shared" si="2792"/>
        <v/>
      </c>
      <c r="S2783" s="318" t="str">
        <f t="shared" si="8"/>
        <v/>
      </c>
    </row>
    <row r="2784">
      <c r="A2784" s="14" t="str">
        <f t="shared" si="1"/>
        <v>C148346135</v>
      </c>
      <c r="B2784" s="185">
        <f t="array" ref="B2784">IF(F2784="VL","",IF(F2784="Free","Free",XLOOKUP(D2784,Roster!T:T,Roster!S:S,"",0)))</f>
        <v>152</v>
      </c>
      <c r="C2784" s="313">
        <v>46135.0</v>
      </c>
      <c r="D2784" s="314" t="s">
        <v>77</v>
      </c>
      <c r="E2784" s="307" t="str">
        <f t="array" ref="E2784">(XLOOKUP(D2784,Roster!F:F,Roster!B:B,"",0))</f>
        <v>Simon Zuluaica</v>
      </c>
      <c r="F2784" s="315" t="str">
        <f t="array" ref="F2784">IF(B2784=100,"Free",TEXT(XLOOKUP($D2784,OperationVoice!$A:$A,OperationVoice!AC:AC,XLOOKUP($D2784,OperationTickets!$A:$A,OperationTickets!AC:AC,"",0)),"hh:mm"))</f>
        <v>11:00</v>
      </c>
      <c r="G2784" s="309">
        <f t="shared" si="3"/>
        <v>0.8333333333</v>
      </c>
      <c r="H2784" s="316" t="str">
        <f t="array" ref="H2784">XLOOKUP(B2784,Roster!L:L,Roster!N:N,XLOOKUP(D2784,TicketsBreak!A:A,TicketsBreak!E:E,"",0),0)</f>
        <v>12:30 - 12:45</v>
      </c>
      <c r="I2784" s="316" t="str">
        <f t="array" ref="I2784">XLOOKUP(B2784,Roster!L:L,Roster!O:O,XLOOKUP(D2784,TicketsBreak!A:A,TicketsBreak!F:F,"",0),0)</f>
        <v>14:30 - 15:00</v>
      </c>
      <c r="J2784" s="316" t="str">
        <f t="array" ref="J2784">XLOOKUP(B2784,Roster!L:L,Roster!P:P,XLOOKUP(D2784,TicketsBreak!A:A,TicketsBreak!G:G,"",0),0)</f>
        <v>17:30 - 17:45</v>
      </c>
      <c r="K2784" s="310">
        <f t="shared" si="4"/>
        <v>46135</v>
      </c>
      <c r="L2784" s="317">
        <f t="array" ref="L2784">(XLOOKUP(D2784,Roster!F:F,Roster!D:D,"",0))</f>
        <v>34</v>
      </c>
      <c r="M2784" s="317" t="str">
        <f t="array" ref="M2784">XLOOKUP(D2784,Roster!F:F,Roster!E:E)</f>
        <v>Voice</v>
      </c>
      <c r="N2784" s="317" t="str">
        <f t="shared" ref="N2784:P2784" si="2824">LEFT(H2784,5)</f>
        <v>12:30</v>
      </c>
      <c r="O2784" s="317" t="str">
        <f t="shared" si="2824"/>
        <v>14:30</v>
      </c>
      <c r="P2784" s="317" t="str">
        <f t="shared" si="2824"/>
        <v>17:30</v>
      </c>
      <c r="Q2784" s="318">
        <f t="shared" si="2791"/>
        <v>46135.52083</v>
      </c>
      <c r="R2784" s="318">
        <f t="shared" si="2792"/>
        <v>46135.60417</v>
      </c>
      <c r="S2784" s="318">
        <f t="shared" si="8"/>
        <v>46135.72917</v>
      </c>
    </row>
    <row r="2785">
      <c r="A2785" s="14" t="str">
        <f t="shared" si="1"/>
        <v>C154046135</v>
      </c>
      <c r="B2785" s="185">
        <f t="array" ref="B2785">IF(F2785="VL","",IF(F2785="Free","Free",XLOOKUP(D2785,Roster!T:T,Roster!S:S,"",0)))</f>
        <v>122</v>
      </c>
      <c r="C2785" s="313">
        <v>46135.0</v>
      </c>
      <c r="D2785" s="314" t="s">
        <v>78</v>
      </c>
      <c r="E2785" s="307" t="str">
        <f t="array" ref="E2785">(XLOOKUP(D2785,Roster!F:F,Roster!B:B,"",0))</f>
        <v>Tomas Perez</v>
      </c>
      <c r="F2785" s="315" t="str">
        <f t="array" ref="F2785">IF(B2785=100,"Free",TEXT(XLOOKUP($D2785,OperationVoice!$A:$A,OperationVoice!AC:AC,XLOOKUP($D2785,OperationTickets!$A:$A,OperationTickets!AC:AC,"",0)),"hh:mm"))</f>
        <v>08:00</v>
      </c>
      <c r="G2785" s="309">
        <f t="shared" si="3"/>
        <v>0.7083333333</v>
      </c>
      <c r="H2785" s="316" t="str">
        <f t="array" ref="H2785">XLOOKUP(B2785,Roster!L:L,Roster!N:N,XLOOKUP(D2785,TicketsBreak!A:A,TicketsBreak!E:E,"",0),0)</f>
        <v>09:30 - 09:45</v>
      </c>
      <c r="I2785" s="316" t="str">
        <f t="array" ref="I2785">XLOOKUP(B2785,Roster!L:L,Roster!O:O,XLOOKUP(D2785,TicketsBreak!A:A,TicketsBreak!F:F,"",0),0)</f>
        <v>12:00 - 12:30</v>
      </c>
      <c r="J2785" s="316" t="str">
        <f t="array" ref="J2785">XLOOKUP(B2785,Roster!L:L,Roster!P:P,XLOOKUP(D2785,TicketsBreak!A:A,TicketsBreak!G:G,"",0),0)</f>
        <v>14:45 - 15:00</v>
      </c>
      <c r="K2785" s="310">
        <f t="shared" si="4"/>
        <v>46135</v>
      </c>
      <c r="L2785" s="317">
        <f t="array" ref="L2785">(XLOOKUP(D2785,Roster!F:F,Roster!D:D,"",0))</f>
        <v>36</v>
      </c>
      <c r="M2785" s="317" t="str">
        <f t="array" ref="M2785">XLOOKUP(D2785,Roster!F:F,Roster!E:E)</f>
        <v>Voice</v>
      </c>
      <c r="N2785" s="317" t="str">
        <f t="shared" ref="N2785:P2785" si="2825">LEFT(H2785,5)</f>
        <v>09:30</v>
      </c>
      <c r="O2785" s="317" t="str">
        <f t="shared" si="2825"/>
        <v>12:00</v>
      </c>
      <c r="P2785" s="317" t="str">
        <f t="shared" si="2825"/>
        <v>14:45</v>
      </c>
      <c r="Q2785" s="318">
        <f t="shared" si="2791"/>
        <v>46135.39583</v>
      </c>
      <c r="R2785" s="318">
        <f t="shared" si="2792"/>
        <v>46135.5</v>
      </c>
      <c r="S2785" s="318">
        <f t="shared" si="8"/>
        <v>46135.61458</v>
      </c>
    </row>
    <row r="2786">
      <c r="A2786" s="14" t="str">
        <f t="shared" si="1"/>
        <v>C154746135</v>
      </c>
      <c r="B2786" s="185">
        <f t="array" ref="B2786">IF(F2786="VL","",IF(F2786="Free","Free",XLOOKUP(D2786,Roster!T:T,Roster!S:S,"",0)))</f>
        <v>121</v>
      </c>
      <c r="C2786" s="313">
        <v>46135.0</v>
      </c>
      <c r="D2786" s="314" t="s">
        <v>79</v>
      </c>
      <c r="E2786" s="307" t="str">
        <f t="array" ref="E2786">(XLOOKUP(D2786,Roster!F:F,Roster!B:B,"",0))</f>
        <v>Valentina Barreto</v>
      </c>
      <c r="F2786" s="315" t="str">
        <f t="array" ref="F2786">IF(B2786=100,"Free",TEXT(XLOOKUP($D2786,OperationVoice!$A:$A,OperationVoice!AC:AC,XLOOKUP($D2786,OperationTickets!$A:$A,OperationTickets!AC:AC,"",0)),"hh:mm"))</f>
        <v>08:00</v>
      </c>
      <c r="G2786" s="309">
        <f t="shared" si="3"/>
        <v>0.7083333333</v>
      </c>
      <c r="H2786" s="316" t="str">
        <f t="array" ref="H2786">XLOOKUP(B2786,Roster!L:L,Roster!N:N,XLOOKUP(D2786,TicketsBreak!A:A,TicketsBreak!E:E,"",0),0)</f>
        <v>09:15 - 09:30</v>
      </c>
      <c r="I2786" s="316" t="str">
        <f t="array" ref="I2786">XLOOKUP(B2786,Roster!L:L,Roster!O:O,XLOOKUP(D2786,TicketsBreak!A:A,TicketsBreak!F:F,"",0),0)</f>
        <v>11:30 - 12:00</v>
      </c>
      <c r="J2786" s="316" t="str">
        <f t="array" ref="J2786">XLOOKUP(B2786,Roster!L:L,Roster!P:P,XLOOKUP(D2786,TicketsBreak!A:A,TicketsBreak!G:G,"",0),0)</f>
        <v>14:30 - 14:45</v>
      </c>
      <c r="K2786" s="310">
        <f t="shared" si="4"/>
        <v>46135</v>
      </c>
      <c r="L2786" s="317">
        <f t="array" ref="L2786">(XLOOKUP(D2786,Roster!F:F,Roster!D:D,"",0))</f>
        <v>37</v>
      </c>
      <c r="M2786" s="317" t="str">
        <f t="array" ref="M2786">XLOOKUP(D2786,Roster!F:F,Roster!E:E)</f>
        <v>Voice</v>
      </c>
      <c r="N2786" s="317" t="str">
        <f t="shared" ref="N2786:P2786" si="2826">LEFT(H2786,5)</f>
        <v>09:15</v>
      </c>
      <c r="O2786" s="317" t="str">
        <f t="shared" si="2826"/>
        <v>11:30</v>
      </c>
      <c r="P2786" s="317" t="str">
        <f t="shared" si="2826"/>
        <v>14:30</v>
      </c>
      <c r="Q2786" s="318">
        <f t="shared" si="2791"/>
        <v>46135.38542</v>
      </c>
      <c r="R2786" s="318">
        <f t="shared" si="2792"/>
        <v>46135.47917</v>
      </c>
      <c r="S2786" s="318">
        <f t="shared" si="8"/>
        <v>46135.60417</v>
      </c>
    </row>
    <row r="2787">
      <c r="A2787" s="14" t="str">
        <f t="shared" si="1"/>
        <v>C155346135</v>
      </c>
      <c r="B2787" s="185">
        <f t="array" ref="B2787">IF(F2787="VL","",IF(F2787="Free","Free",XLOOKUP(D2787,Roster!T:T,Roster!S:S,"",0)))</f>
        <v>122</v>
      </c>
      <c r="C2787" s="313">
        <v>46135.0</v>
      </c>
      <c r="D2787" s="314" t="s">
        <v>80</v>
      </c>
      <c r="E2787" s="307" t="str">
        <f t="array" ref="E2787">(XLOOKUP(D2787,Roster!F:F,Roster!B:B,"",0))</f>
        <v>Valentina Castro</v>
      </c>
      <c r="F2787" s="315" t="str">
        <f t="array" ref="F2787">IF(B2787=100,"Free",TEXT(XLOOKUP($D2787,OperationVoice!$A:$A,OperationVoice!AC:AC,XLOOKUP($D2787,OperationTickets!$A:$A,OperationTickets!AC:AC,"",0)),"hh:mm"))</f>
        <v>08:00</v>
      </c>
      <c r="G2787" s="309">
        <f t="shared" si="3"/>
        <v>0.7083333333</v>
      </c>
      <c r="H2787" s="316" t="str">
        <f t="array" ref="H2787">XLOOKUP(B2787,Roster!L:L,Roster!N:N,XLOOKUP(D2787,TicketsBreak!A:A,TicketsBreak!E:E,"",0),0)</f>
        <v>09:30 - 09:45</v>
      </c>
      <c r="I2787" s="316" t="str">
        <f t="array" ref="I2787">XLOOKUP(B2787,Roster!L:L,Roster!O:O,XLOOKUP(D2787,TicketsBreak!A:A,TicketsBreak!F:F,"",0),0)</f>
        <v>12:00 - 12:30</v>
      </c>
      <c r="J2787" s="316" t="str">
        <f t="array" ref="J2787">XLOOKUP(B2787,Roster!L:L,Roster!P:P,XLOOKUP(D2787,TicketsBreak!A:A,TicketsBreak!G:G,"",0),0)</f>
        <v>14:45 - 15:00</v>
      </c>
      <c r="K2787" s="310">
        <f t="shared" si="4"/>
        <v>46135</v>
      </c>
      <c r="L2787" s="317">
        <f t="array" ref="L2787">(XLOOKUP(D2787,Roster!F:F,Roster!D:D,"",0))</f>
        <v>37</v>
      </c>
      <c r="M2787" s="317" t="str">
        <f t="array" ref="M2787">XLOOKUP(D2787,Roster!F:F,Roster!E:E)</f>
        <v>Voice</v>
      </c>
      <c r="N2787" s="317" t="str">
        <f t="shared" ref="N2787:P2787" si="2827">LEFT(H2787,5)</f>
        <v>09:30</v>
      </c>
      <c r="O2787" s="317" t="str">
        <f t="shared" si="2827"/>
        <v>12:00</v>
      </c>
      <c r="P2787" s="317" t="str">
        <f t="shared" si="2827"/>
        <v>14:45</v>
      </c>
      <c r="Q2787" s="318">
        <f t="shared" si="2791"/>
        <v>46135.39583</v>
      </c>
      <c r="R2787" s="318">
        <f t="shared" si="2792"/>
        <v>46135.5</v>
      </c>
      <c r="S2787" s="318">
        <f t="shared" si="8"/>
        <v>46135.61458</v>
      </c>
    </row>
    <row r="2788">
      <c r="A2788" s="14" t="str">
        <f t="shared" si="1"/>
        <v>C150246135</v>
      </c>
      <c r="B2788" s="185" t="str">
        <f t="array" ref="B2788">IF(F2788="VL","",IF(F2788="Free","Free",XLOOKUP(D2788,Roster!T:T,Roster!S:S,"",0)))</f>
        <v/>
      </c>
      <c r="C2788" s="313">
        <v>46135.0</v>
      </c>
      <c r="D2788" s="314" t="s">
        <v>316</v>
      </c>
      <c r="E2788" s="307" t="str">
        <f t="array" ref="E2788">(XLOOKUP(D2788,Roster!F:F,Roster!B:B,"",0))</f>
        <v>Valentina Gallego</v>
      </c>
      <c r="F2788" s="315" t="str">
        <f t="array" ref="F2788">IF(B2788=100,"Free",TEXT(XLOOKUP($D2788,OperationVoice!$A:$A,OperationVoice!AC:AC,XLOOKUP($D2788,OperationTickets!$A:$A,OperationTickets!AC:AC,"",0)),"hh:mm"))</f>
        <v/>
      </c>
      <c r="G2788" s="309" t="str">
        <f t="shared" si="3"/>
        <v/>
      </c>
      <c r="H2788" s="316" t="str">
        <f t="array" ref="H2788">XLOOKUP(B2788,Roster!L:L,Roster!N:N,XLOOKUP(D2788,TicketsBreak!A:A,TicketsBreak!E:E,"",0),0)</f>
        <v/>
      </c>
      <c r="I2788" s="316" t="str">
        <f t="array" ref="I2788">XLOOKUP(B2788,Roster!L:L,Roster!O:O,XLOOKUP(D2788,TicketsBreak!A:A,TicketsBreak!F:F,"",0),0)</f>
        <v/>
      </c>
      <c r="J2788" s="316" t="str">
        <f t="array" ref="J2788">XLOOKUP(B2788,Roster!L:L,Roster!P:P,XLOOKUP(D2788,TicketsBreak!A:A,TicketsBreak!G:G,"",0),0)</f>
        <v/>
      </c>
      <c r="K2788" s="310">
        <f t="shared" si="4"/>
        <v>46135</v>
      </c>
      <c r="L2788" s="317">
        <f t="array" ref="L2788">(XLOOKUP(D2788,Roster!F:F,Roster!D:D,"",0))</f>
        <v>35</v>
      </c>
      <c r="M2788" s="317" t="str">
        <f t="array" ref="M2788">XLOOKUP(D2788,Roster!F:F,Roster!E:E)</f>
        <v>Voice</v>
      </c>
      <c r="N2788" s="317" t="str">
        <f t="shared" ref="N2788:P2788" si="2828">LEFT(H2788,5)</f>
        <v/>
      </c>
      <c r="O2788" s="317" t="str">
        <f t="shared" si="2828"/>
        <v/>
      </c>
      <c r="P2788" s="317" t="str">
        <f t="shared" si="2828"/>
        <v/>
      </c>
      <c r="Q2788" s="318" t="str">
        <f t="shared" si="2791"/>
        <v/>
      </c>
      <c r="R2788" s="318" t="str">
        <f t="shared" si="2792"/>
        <v/>
      </c>
      <c r="S2788" s="318" t="str">
        <f t="shared" si="8"/>
        <v/>
      </c>
    </row>
    <row r="2789">
      <c r="A2789" s="14" t="str">
        <f t="shared" si="1"/>
        <v>C112646135</v>
      </c>
      <c r="B2789" s="185" t="str">
        <f t="array" ref="B2789">IF(F2789="VL","",IF(F2789="Free","Free",XLOOKUP(D2789,Roster!T:T,Roster!S:S,"",0)))</f>
        <v>Free</v>
      </c>
      <c r="C2789" s="313">
        <v>46135.0</v>
      </c>
      <c r="D2789" s="314" t="s">
        <v>152</v>
      </c>
      <c r="E2789" s="307" t="str">
        <f t="array" ref="E2789">(XLOOKUP(D2789,Roster!F:F,Roster!B:B,"",0))</f>
        <v>Valery Escobar</v>
      </c>
      <c r="F2789" s="315" t="str">
        <f t="array" ref="F2789">IF(B2789=100,"Free",TEXT(XLOOKUP($D2789,OperationVoice!$A:$A,OperationVoice!AC:AC,XLOOKUP($D2789,OperationTickets!$A:$A,OperationTickets!AC:AC,"",0)),"hh:mm"))</f>
        <v>Free</v>
      </c>
      <c r="G2789" s="309" t="str">
        <f t="shared" si="3"/>
        <v>Free</v>
      </c>
      <c r="H2789" s="316">
        <f t="array" ref="H2789">XLOOKUP(B2789,Roster!L:L,Roster!N:N,XLOOKUP(D2789,TicketsBreak!A:A,TicketsBreak!E:E,"",0),0)</f>
        <v>0.3854166667</v>
      </c>
      <c r="I2789" s="316">
        <f t="array" ref="I2789">XLOOKUP(B2789,Roster!L:L,Roster!O:O,XLOOKUP(D2789,TicketsBreak!A:A,TicketsBreak!F:F,"",0),0)</f>
        <v>0.5</v>
      </c>
      <c r="J2789" s="316">
        <f t="array" ref="J2789">XLOOKUP(B2789,Roster!L:L,Roster!P:P,XLOOKUP(D2789,TicketsBreak!A:A,TicketsBreak!G:G,"",0),0)</f>
        <v>0.6041666667</v>
      </c>
      <c r="K2789" s="310">
        <f t="shared" si="4"/>
        <v>46135</v>
      </c>
      <c r="L2789" s="317">
        <f t="array" ref="L2789">(XLOOKUP(D2789,Roster!F:F,Roster!D:D,"",0))</f>
        <v>21</v>
      </c>
      <c r="M2789" s="317" t="str">
        <f t="array" ref="M2789">XLOOKUP(D2789,Roster!F:F,Roster!E:E)</f>
        <v>Tickets</v>
      </c>
      <c r="N2789" s="317" t="str">
        <f t="shared" ref="N2789:P2789" si="2829">LEFT(H2789,5)</f>
        <v>09:15</v>
      </c>
      <c r="O2789" s="317" t="str">
        <f t="shared" si="2829"/>
        <v>12:00</v>
      </c>
      <c r="P2789" s="317" t="str">
        <f t="shared" si="2829"/>
        <v>14:30</v>
      </c>
      <c r="Q2789" s="318">
        <f t="shared" si="2791"/>
        <v>46135.38542</v>
      </c>
      <c r="R2789" s="318">
        <f t="shared" si="2792"/>
        <v>46135.5</v>
      </c>
      <c r="S2789" s="318">
        <f t="shared" si="8"/>
        <v>46135.60417</v>
      </c>
    </row>
    <row r="2790">
      <c r="A2790" s="14" t="str">
        <f t="shared" si="1"/>
        <v>C155246135</v>
      </c>
      <c r="B2790" s="185">
        <f t="array" ref="B2790">IF(F2790="VL","",IF(F2790="Free","Free",XLOOKUP(D2790,Roster!T:T,Roster!S:S,"",0)))</f>
        <v>125</v>
      </c>
      <c r="C2790" s="313">
        <v>46135.0</v>
      </c>
      <c r="D2790" s="314" t="s">
        <v>81</v>
      </c>
      <c r="E2790" s="307" t="str">
        <f t="array" ref="E2790">(XLOOKUP(D2790,Roster!F:F,Roster!B:B,"",0))</f>
        <v>Wendy Machado</v>
      </c>
      <c r="F2790" s="315" t="str">
        <f t="array" ref="F2790">IF(B2790=100,"Free",TEXT(XLOOKUP($D2790,OperationVoice!$A:$A,OperationVoice!AC:AC,XLOOKUP($D2790,OperationTickets!$A:$A,OperationTickets!AC:AC,"",0)),"hh:mm"))</f>
        <v>08:00</v>
      </c>
      <c r="G2790" s="309">
        <f t="shared" si="3"/>
        <v>0.7083333333</v>
      </c>
      <c r="H2790" s="316" t="str">
        <f t="array" ref="H2790">XLOOKUP(B2790,Roster!L:L,Roster!N:N,XLOOKUP(D2790,TicketsBreak!A:A,TicketsBreak!E:E,"",0),0)</f>
        <v>10:30 - 10:45</v>
      </c>
      <c r="I2790" s="316" t="str">
        <f t="array" ref="I2790">XLOOKUP(B2790,Roster!L:L,Roster!O:O,XLOOKUP(D2790,TicketsBreak!A:A,TicketsBreak!F:F,"",0),0)</f>
        <v>13:30 - 14:00</v>
      </c>
      <c r="J2790" s="316" t="str">
        <f t="array" ref="J2790">XLOOKUP(B2790,Roster!L:L,Roster!P:P,XLOOKUP(D2790,TicketsBreak!A:A,TicketsBreak!G:G,"",0),0)</f>
        <v>15:45 - 16:00</v>
      </c>
      <c r="K2790" s="310">
        <f t="shared" si="4"/>
        <v>46135</v>
      </c>
      <c r="L2790" s="317">
        <f t="array" ref="L2790">(XLOOKUP(D2790,Roster!F:F,Roster!D:D,"",0))</f>
        <v>37</v>
      </c>
      <c r="M2790" s="317" t="str">
        <f t="array" ref="M2790">XLOOKUP(D2790,Roster!F:F,Roster!E:E)</f>
        <v>Voice</v>
      </c>
      <c r="N2790" s="317" t="str">
        <f t="shared" ref="N2790:P2790" si="2830">LEFT(H2790,5)</f>
        <v>10:30</v>
      </c>
      <c r="O2790" s="317" t="str">
        <f t="shared" si="2830"/>
        <v>13:30</v>
      </c>
      <c r="P2790" s="317" t="str">
        <f t="shared" si="2830"/>
        <v>15:45</v>
      </c>
      <c r="Q2790" s="318">
        <f t="shared" si="2791"/>
        <v>46135.4375</v>
      </c>
      <c r="R2790" s="318">
        <f t="shared" si="2792"/>
        <v>46135.5625</v>
      </c>
      <c r="S2790" s="318">
        <f t="shared" si="8"/>
        <v>46135.65625</v>
      </c>
    </row>
    <row r="2791">
      <c r="A2791" s="14" t="str">
        <f t="shared" si="1"/>
        <v>C78646135</v>
      </c>
      <c r="B2791" s="185" t="str">
        <f t="array" ref="B2791">IF(F2791="VL","",IF(F2791="Free","Free",XLOOKUP(D2791,Roster!T:T,Roster!S:S,"",0)))</f>
        <v/>
      </c>
      <c r="C2791" s="313">
        <v>46135.0</v>
      </c>
      <c r="D2791" s="314" t="s">
        <v>136</v>
      </c>
      <c r="E2791" s="307" t="str">
        <f t="array" ref="E2791">(XLOOKUP(D2791,Roster!F:F,Roster!B:B,"",0))</f>
        <v>Wendy Navarro</v>
      </c>
      <c r="F2791" s="315" t="str">
        <f t="array" ref="F2791">IF(B2791=100,"Free",TEXT(XLOOKUP($D2791,OperationVoice!$A:$A,OperationVoice!AC:AC,XLOOKUP($D2791,OperationTickets!$A:$A,OperationTickets!AC:AC,"",0)),"hh:mm"))</f>
        <v>08:00</v>
      </c>
      <c r="G2791" s="309">
        <f t="shared" si="3"/>
        <v>0.7083333333</v>
      </c>
      <c r="H2791" s="316">
        <f t="array" ref="H2791">XLOOKUP(B2791,Roster!L:L,Roster!N:N,XLOOKUP(D2791,TicketsBreak!A:A,TicketsBreak!E:E,"",0),0)</f>
        <v>0.4166666667</v>
      </c>
      <c r="I2791" s="316">
        <f t="array" ref="I2791">XLOOKUP(B2791,Roster!L:L,Roster!O:O,XLOOKUP(D2791,TicketsBreak!A:A,TicketsBreak!F:F,"",0),0)</f>
        <v>0.5416666667</v>
      </c>
      <c r="J2791" s="316">
        <f t="array" ref="J2791">XLOOKUP(B2791,Roster!L:L,Roster!P:P,XLOOKUP(D2791,TicketsBreak!A:A,TicketsBreak!G:G,"",0),0)</f>
        <v>0.6458333333</v>
      </c>
      <c r="K2791" s="310">
        <f t="shared" si="4"/>
        <v>46135</v>
      </c>
      <c r="L2791" s="317">
        <f t="array" ref="L2791">(XLOOKUP(D2791,Roster!F:F,Roster!D:D,"",0))</f>
        <v>16</v>
      </c>
      <c r="M2791" s="317" t="str">
        <f t="array" ref="M2791">XLOOKUP(D2791,Roster!F:F,Roster!E:E)</f>
        <v>Tickets</v>
      </c>
      <c r="N2791" s="317" t="str">
        <f t="shared" ref="N2791:P2791" si="2831">LEFT(H2791,5)</f>
        <v>10:00</v>
      </c>
      <c r="O2791" s="317" t="str">
        <f t="shared" si="2831"/>
        <v>13:00</v>
      </c>
      <c r="P2791" s="317" t="str">
        <f t="shared" si="2831"/>
        <v>15:30</v>
      </c>
      <c r="Q2791" s="318">
        <f t="shared" si="2791"/>
        <v>46135.41667</v>
      </c>
      <c r="R2791" s="318">
        <f t="shared" si="2792"/>
        <v>46135.54167</v>
      </c>
      <c r="S2791" s="318">
        <f t="shared" si="8"/>
        <v>46135.64583</v>
      </c>
    </row>
    <row r="2792">
      <c r="A2792" s="14" t="str">
        <f t="shared" si="1"/>
        <v>C153746135</v>
      </c>
      <c r="B2792" s="185">
        <f t="array" ref="B2792">IF(F2792="VL","",IF(F2792="Free","Free",XLOOKUP(D2792,Roster!T:T,Roster!S:S,"",0)))</f>
        <v>135</v>
      </c>
      <c r="C2792" s="313">
        <v>46135.0</v>
      </c>
      <c r="D2792" s="314" t="s">
        <v>82</v>
      </c>
      <c r="E2792" s="307" t="str">
        <f t="array" ref="E2792">(XLOOKUP(D2792,Roster!F:F,Roster!B:B,"",0))</f>
        <v>William Florez</v>
      </c>
      <c r="F2792" s="315" t="str">
        <f t="array" ref="F2792">IF(B2792=100,"Free",TEXT(XLOOKUP($D2792,OperationVoice!$A:$A,OperationVoice!AC:AC,XLOOKUP($D2792,OperationTickets!$A:$A,OperationTickets!AC:AC,"",0)),"hh:mm"))</f>
        <v>09:00</v>
      </c>
      <c r="G2792" s="309">
        <f t="shared" si="3"/>
        <v>0.75</v>
      </c>
      <c r="H2792" s="316" t="str">
        <f t="array" ref="H2792">XLOOKUP(B2792,Roster!L:L,Roster!N:N,XLOOKUP(D2792,TicketsBreak!A:A,TicketsBreak!E:E,"",0),0)</f>
        <v>11:15 - 11:30</v>
      </c>
      <c r="I2792" s="316" t="str">
        <f t="array" ref="I2792">XLOOKUP(B2792,Roster!L:L,Roster!O:O,XLOOKUP(D2792,TicketsBreak!A:A,TicketsBreak!F:F,"",0),0)</f>
        <v>14:15 - 14:45</v>
      </c>
      <c r="J2792" s="316" t="str">
        <f t="array" ref="J2792">XLOOKUP(B2792,Roster!L:L,Roster!P:P,XLOOKUP(D2792,TicketsBreak!A:A,TicketsBreak!G:G,"",0),0)</f>
        <v>16:15 - 16:30</v>
      </c>
      <c r="K2792" s="310">
        <f t="shared" si="4"/>
        <v>46135</v>
      </c>
      <c r="L2792" s="317">
        <f t="array" ref="L2792">(XLOOKUP(D2792,Roster!F:F,Roster!D:D,"",0))</f>
        <v>36</v>
      </c>
      <c r="M2792" s="317" t="str">
        <f t="array" ref="M2792">XLOOKUP(D2792,Roster!F:F,Roster!E:E)</f>
        <v>Voice</v>
      </c>
      <c r="N2792" s="317" t="str">
        <f t="shared" ref="N2792:P2792" si="2832">LEFT(H2792,5)</f>
        <v>11:15</v>
      </c>
      <c r="O2792" s="317" t="str">
        <f t="shared" si="2832"/>
        <v>14:15</v>
      </c>
      <c r="P2792" s="317" t="str">
        <f t="shared" si="2832"/>
        <v>16:15</v>
      </c>
      <c r="Q2792" s="318">
        <f t="shared" si="2791"/>
        <v>46135.46875</v>
      </c>
      <c r="R2792" s="318">
        <f t="shared" si="2792"/>
        <v>46135.59375</v>
      </c>
      <c r="S2792" s="318">
        <f t="shared" si="8"/>
        <v>46135.67708</v>
      </c>
    </row>
    <row r="2793">
      <c r="A2793" s="14" t="str">
        <f t="shared" si="1"/>
        <v>C135346135</v>
      </c>
      <c r="B2793" s="185">
        <f t="array" ref="B2793">IF(F2793="VL","",IF(F2793="Free","Free",XLOOKUP(D2793,Roster!T:T,Roster!S:S,"",0)))</f>
        <v>121</v>
      </c>
      <c r="C2793" s="313">
        <v>46135.0</v>
      </c>
      <c r="D2793" s="314" t="s">
        <v>83</v>
      </c>
      <c r="E2793" s="307" t="str">
        <f t="array" ref="E2793">(XLOOKUP(D2793,Roster!F:F,Roster!B:B,"",0))</f>
        <v>Wilson Martinez</v>
      </c>
      <c r="F2793" s="315" t="str">
        <f t="array" ref="F2793">IF(B2793=100,"Free",TEXT(XLOOKUP($D2793,OperationVoice!$A:$A,OperationVoice!AC:AC,XLOOKUP($D2793,OperationTickets!$A:$A,OperationTickets!AC:AC,"",0)),"hh:mm"))</f>
        <v>08:00</v>
      </c>
      <c r="G2793" s="309">
        <f t="shared" si="3"/>
        <v>0.7083333333</v>
      </c>
      <c r="H2793" s="316" t="str">
        <f t="array" ref="H2793">XLOOKUP(B2793,Roster!L:L,Roster!N:N,XLOOKUP(D2793,TicketsBreak!A:A,TicketsBreak!E:E,"",0),0)</f>
        <v>09:15 - 09:30</v>
      </c>
      <c r="I2793" s="316" t="str">
        <f t="array" ref="I2793">XLOOKUP(B2793,Roster!L:L,Roster!O:O,XLOOKUP(D2793,TicketsBreak!A:A,TicketsBreak!F:F,"",0),0)</f>
        <v>11:30 - 12:00</v>
      </c>
      <c r="J2793" s="316" t="str">
        <f t="array" ref="J2793">XLOOKUP(B2793,Roster!L:L,Roster!P:P,XLOOKUP(D2793,TicketsBreak!A:A,TicketsBreak!G:G,"",0),0)</f>
        <v>14:30 - 14:45</v>
      </c>
      <c r="K2793" s="310">
        <f t="shared" si="4"/>
        <v>46135</v>
      </c>
      <c r="L2793" s="317">
        <f t="array" ref="L2793">(XLOOKUP(D2793,Roster!F:F,Roster!D:D,"",0))</f>
        <v>30</v>
      </c>
      <c r="M2793" s="317" t="str">
        <f t="array" ref="M2793">XLOOKUP(D2793,Roster!F:F,Roster!E:E)</f>
        <v>Voice</v>
      </c>
      <c r="N2793" s="317" t="str">
        <f t="shared" ref="N2793:P2793" si="2833">LEFT(H2793,5)</f>
        <v>09:15</v>
      </c>
      <c r="O2793" s="317" t="str">
        <f t="shared" si="2833"/>
        <v>11:30</v>
      </c>
      <c r="P2793" s="317" t="str">
        <f t="shared" si="2833"/>
        <v>14:30</v>
      </c>
      <c r="Q2793" s="318">
        <f t="shared" si="2791"/>
        <v>46135.38542</v>
      </c>
      <c r="R2793" s="318">
        <f t="shared" si="2792"/>
        <v>46135.47917</v>
      </c>
      <c r="S2793" s="318">
        <f t="shared" si="8"/>
        <v>46135.60417</v>
      </c>
    </row>
    <row r="2794">
      <c r="A2794" s="14" t="str">
        <f t="shared" si="1"/>
        <v>C117346135</v>
      </c>
      <c r="B2794" s="185">
        <f t="array" ref="B2794">IF(F2794="VL","",IF(F2794="Free","Free",XLOOKUP(D2794,Roster!T:T,Roster!S:S,"",0)))</f>
        <v>122</v>
      </c>
      <c r="C2794" s="313">
        <v>46135.0</v>
      </c>
      <c r="D2794" s="314" t="s">
        <v>84</v>
      </c>
      <c r="E2794" s="307" t="str">
        <f t="array" ref="E2794">(XLOOKUP(D2794,Roster!F:F,Roster!B:B,"",0))</f>
        <v>Yaidy Mosquera</v>
      </c>
      <c r="F2794" s="315" t="str">
        <f t="array" ref="F2794">IF(B2794=100,"Free",TEXT(XLOOKUP($D2794,OperationVoice!$A:$A,OperationVoice!AC:AC,XLOOKUP($D2794,OperationTickets!$A:$A,OperationTickets!AC:AC,"",0)),"hh:mm"))</f>
        <v>08:00</v>
      </c>
      <c r="G2794" s="309">
        <f t="shared" si="3"/>
        <v>0.7083333333</v>
      </c>
      <c r="H2794" s="316" t="str">
        <f t="array" ref="H2794">XLOOKUP(B2794,Roster!L:L,Roster!N:N,XLOOKUP(D2794,TicketsBreak!A:A,TicketsBreak!E:E,"",0),0)</f>
        <v>09:30 - 09:45</v>
      </c>
      <c r="I2794" s="316" t="str">
        <f t="array" ref="I2794">XLOOKUP(B2794,Roster!L:L,Roster!O:O,XLOOKUP(D2794,TicketsBreak!A:A,TicketsBreak!F:F,"",0),0)</f>
        <v>12:00 - 12:30</v>
      </c>
      <c r="J2794" s="316" t="str">
        <f t="array" ref="J2794">XLOOKUP(B2794,Roster!L:L,Roster!P:P,XLOOKUP(D2794,TicketsBreak!A:A,TicketsBreak!G:G,"",0),0)</f>
        <v>14:45 - 15:00</v>
      </c>
      <c r="K2794" s="310">
        <f t="shared" si="4"/>
        <v>46135</v>
      </c>
      <c r="L2794" s="317">
        <f t="array" ref="L2794">(XLOOKUP(D2794,Roster!F:F,Roster!D:D,"",0))</f>
        <v>24</v>
      </c>
      <c r="M2794" s="317" t="str">
        <f t="array" ref="M2794">XLOOKUP(D2794,Roster!F:F,Roster!E:E)</f>
        <v>Voice</v>
      </c>
      <c r="N2794" s="317" t="str">
        <f t="shared" ref="N2794:P2794" si="2834">LEFT(H2794,5)</f>
        <v>09:30</v>
      </c>
      <c r="O2794" s="317" t="str">
        <f t="shared" si="2834"/>
        <v>12:00</v>
      </c>
      <c r="P2794" s="317" t="str">
        <f t="shared" si="2834"/>
        <v>14:45</v>
      </c>
      <c r="Q2794" s="318">
        <f t="shared" si="2791"/>
        <v>46135.39583</v>
      </c>
      <c r="R2794" s="318">
        <f t="shared" si="2792"/>
        <v>46135.5</v>
      </c>
      <c r="S2794" s="318">
        <f t="shared" si="8"/>
        <v>46135.61458</v>
      </c>
    </row>
    <row r="2795">
      <c r="A2795" s="14" t="str">
        <f t="shared" si="1"/>
        <v>C110846135</v>
      </c>
      <c r="B2795" s="185" t="str">
        <f t="array" ref="B2795">IF(F2795="VL","",IF(F2795="Free","Free",XLOOKUP(D2795,Roster!T:T,Roster!S:S,"",0)))</f>
        <v/>
      </c>
      <c r="C2795" s="313">
        <v>46135.0</v>
      </c>
      <c r="D2795" s="314" t="s">
        <v>187</v>
      </c>
      <c r="E2795" s="307" t="str">
        <f t="array" ref="E2795">(XLOOKUP(D2795,Roster!F:F,Roster!B:B,"",0))</f>
        <v>Yeiner Tapias</v>
      </c>
      <c r="F2795" s="315" t="str">
        <f t="array" ref="F2795">IF(B2795=100,"Free",TEXT(XLOOKUP($D2795,OperationVoice!$A:$A,OperationVoice!AC:AC,XLOOKUP($D2795,OperationTickets!$A:$A,OperationTickets!AC:AC,"",0)),"hh:mm"))</f>
        <v>08:00</v>
      </c>
      <c r="G2795" s="309">
        <f t="shared" si="3"/>
        <v>0.7083333333</v>
      </c>
      <c r="H2795" s="316">
        <f t="array" ref="H2795">XLOOKUP(B2795,Roster!L:L,Roster!N:N,XLOOKUP(D2795,TicketsBreak!A:A,TicketsBreak!E:E,"",0),0)</f>
        <v>0.3958333333</v>
      </c>
      <c r="I2795" s="316">
        <f t="array" ref="I2795">XLOOKUP(B2795,Roster!L:L,Roster!O:O,XLOOKUP(D2795,TicketsBreak!A:A,TicketsBreak!F:F,"",0),0)</f>
        <v>0.5208333333</v>
      </c>
      <c r="J2795" s="316">
        <f t="array" ref="J2795">XLOOKUP(B2795,Roster!L:L,Roster!P:P,XLOOKUP(D2795,TicketsBreak!A:A,TicketsBreak!G:G,"",0),0)</f>
        <v>0.6145833333</v>
      </c>
      <c r="K2795" s="310">
        <f t="shared" si="4"/>
        <v>46135</v>
      </c>
      <c r="L2795" s="317">
        <f t="array" ref="L2795">(XLOOKUP(D2795,Roster!F:F,Roster!D:D,"",0))</f>
        <v>20</v>
      </c>
      <c r="M2795" s="317" t="str">
        <f t="array" ref="M2795">XLOOKUP(D2795,Roster!F:F,Roster!E:E)</f>
        <v>Tickets</v>
      </c>
      <c r="N2795" s="317" t="str">
        <f t="shared" ref="N2795:P2795" si="2835">LEFT(H2795,5)</f>
        <v>09:30</v>
      </c>
      <c r="O2795" s="317" t="str">
        <f t="shared" si="2835"/>
        <v>12:30</v>
      </c>
      <c r="P2795" s="317" t="str">
        <f t="shared" si="2835"/>
        <v>14:45</v>
      </c>
      <c r="Q2795" s="318">
        <f t="shared" si="2791"/>
        <v>46135.39583</v>
      </c>
      <c r="R2795" s="318">
        <f t="shared" si="2792"/>
        <v>46135.52083</v>
      </c>
      <c r="S2795" s="318">
        <f t="shared" si="8"/>
        <v>46135.61458</v>
      </c>
    </row>
    <row r="2796">
      <c r="A2796" s="14" t="str">
        <f t="shared" si="1"/>
        <v>C153946135</v>
      </c>
      <c r="B2796" s="185">
        <f t="array" ref="B2796">IF(F2796="VL","",IF(F2796="Free","Free",XLOOKUP(D2796,Roster!T:T,Roster!S:S,"",0)))</f>
        <v>123</v>
      </c>
      <c r="C2796" s="313">
        <v>46135.0</v>
      </c>
      <c r="D2796" s="314" t="s">
        <v>85</v>
      </c>
      <c r="E2796" s="307" t="str">
        <f t="array" ref="E2796">(XLOOKUP(D2796,Roster!F:F,Roster!B:B,"",0))</f>
        <v>Yovanny Ceballos</v>
      </c>
      <c r="F2796" s="315" t="str">
        <f t="array" ref="F2796">IF(B2796=100,"Free",TEXT(XLOOKUP($D2796,OperationVoice!$A:$A,OperationVoice!AC:AC,XLOOKUP($D2796,OperationTickets!$A:$A,OperationTickets!AC:AC,"",0)),"hh:mm"))</f>
        <v/>
      </c>
      <c r="G2796" s="309" t="str">
        <f t="shared" si="3"/>
        <v/>
      </c>
      <c r="H2796" s="316" t="str">
        <f t="array" ref="H2796">XLOOKUP(B2796,Roster!L:L,Roster!N:N,XLOOKUP(D2796,TicketsBreak!A:A,TicketsBreak!E:E,"",0),0)</f>
        <v>09:45 - 10:00 </v>
      </c>
      <c r="I2796" s="316" t="str">
        <f t="array" ref="I2796">XLOOKUP(B2796,Roster!L:L,Roster!O:O,XLOOKUP(D2796,TicketsBreak!A:A,TicketsBreak!F:F,"",0),0)</f>
        <v>12:30 - 13:00</v>
      </c>
      <c r="J2796" s="316" t="str">
        <f t="array" ref="J2796">XLOOKUP(B2796,Roster!L:L,Roster!P:P,XLOOKUP(D2796,TicketsBreak!A:A,TicketsBreak!G:G,"",0),0)</f>
        <v>15:00 - 15:15</v>
      </c>
      <c r="K2796" s="310">
        <f t="shared" si="4"/>
        <v>46135</v>
      </c>
      <c r="L2796" s="317">
        <f t="array" ref="L2796">(XLOOKUP(D2796,Roster!F:F,Roster!D:D,"",0))</f>
        <v>36</v>
      </c>
      <c r="M2796" s="317" t="str">
        <f t="array" ref="M2796">XLOOKUP(D2796,Roster!F:F,Roster!E:E)</f>
        <v>Voice</v>
      </c>
      <c r="N2796" s="317" t="str">
        <f t="shared" ref="N2796:P2796" si="2836">LEFT(H2796,5)</f>
        <v>09:45</v>
      </c>
      <c r="O2796" s="317" t="str">
        <f t="shared" si="2836"/>
        <v>12:30</v>
      </c>
      <c r="P2796" s="317" t="str">
        <f t="shared" si="2836"/>
        <v>15:00</v>
      </c>
      <c r="Q2796" s="318">
        <f t="shared" si="2791"/>
        <v>46135.40625</v>
      </c>
      <c r="R2796" s="318">
        <f t="shared" si="2792"/>
        <v>46135.52083</v>
      </c>
      <c r="S2796" s="318">
        <f t="shared" si="8"/>
        <v>46135.625</v>
      </c>
    </row>
    <row r="2797">
      <c r="A2797" s="14" t="str">
        <f t="shared" si="1"/>
        <v>46135</v>
      </c>
      <c r="B2797" s="185" t="str">
        <f t="array" ref="B2797">IF(F2797="VL","",IF(F2797="Free","Free",XLOOKUP(D2797,Roster!T:T,Roster!S:S,"",0)))</f>
        <v/>
      </c>
      <c r="C2797" s="313">
        <v>46135.0</v>
      </c>
      <c r="D2797" s="314"/>
      <c r="E2797" s="307" t="str">
        <f t="array" ref="E2797">(XLOOKUP(D2797,Roster!F:F,Roster!B:B,"",0))</f>
        <v/>
      </c>
      <c r="F2797" s="315" t="str">
        <f t="array" ref="F2797">IF(B2797=100,"Free",TEXT(XLOOKUP($D2797,OperationVoice!$A:$A,OperationVoice!AC:AC,XLOOKUP($D2797,OperationTickets!$A:$A,OperationTickets!AC:AC,"",0)),"hh:mm"))</f>
        <v/>
      </c>
      <c r="G2797" s="309" t="str">
        <f t="shared" si="3"/>
        <v/>
      </c>
      <c r="H2797" s="316" t="str">
        <f t="array" ref="H2797">XLOOKUP(B2797,Roster!L:L,Roster!N:N,XLOOKUP(D2797,TicketsBreak!A:A,TicketsBreak!E:E,"",0),0)</f>
        <v/>
      </c>
      <c r="I2797" s="316" t="str">
        <f t="array" ref="I2797">XLOOKUP(B2797,Roster!L:L,Roster!O:O,XLOOKUP(D2797,TicketsBreak!A:A,TicketsBreak!F:F,"",0),0)</f>
        <v/>
      </c>
      <c r="J2797" s="316" t="str">
        <f t="array" ref="J2797">XLOOKUP(B2797,Roster!L:L,Roster!P:P,XLOOKUP(D2797,TicketsBreak!A:A,TicketsBreak!G:G,"",0),0)</f>
        <v/>
      </c>
      <c r="K2797" s="310">
        <f t="shared" si="4"/>
        <v>46135</v>
      </c>
      <c r="L2797" s="317" t="str">
        <f t="array" ref="L2797">(XLOOKUP(D2797,Roster!F:F,Roster!D:D,"",0))</f>
        <v/>
      </c>
      <c r="M2797" s="317" t="str">
        <f t="array" ref="M2797">XLOOKUP(D2797,Roster!F:F,Roster!E:E)</f>
        <v>#N/A</v>
      </c>
      <c r="N2797" s="317" t="str">
        <f t="shared" ref="N2797:P2797" si="2837">LEFT(H2797,5)</f>
        <v/>
      </c>
      <c r="O2797" s="317" t="str">
        <f t="shared" si="2837"/>
        <v/>
      </c>
      <c r="P2797" s="317" t="str">
        <f t="shared" si="2837"/>
        <v/>
      </c>
      <c r="Q2797" s="318" t="str">
        <f t="shared" si="2791"/>
        <v/>
      </c>
      <c r="R2797" s="318" t="str">
        <f t="shared" si="2792"/>
        <v/>
      </c>
      <c r="S2797" s="318" t="str">
        <f t="shared" si="8"/>
        <v/>
      </c>
    </row>
    <row r="2798">
      <c r="A2798" s="14" t="str">
        <f t="shared" si="1"/>
        <v>46135</v>
      </c>
      <c r="B2798" s="185" t="str">
        <f t="array" ref="B2798">IF(F2798="VL","",IF(F2798="Free","Free",XLOOKUP(D2798,Roster!T:T,Roster!S:S,"",0)))</f>
        <v/>
      </c>
      <c r="C2798" s="313">
        <v>46135.0</v>
      </c>
      <c r="D2798" s="314"/>
      <c r="E2798" s="307" t="str">
        <f t="array" ref="E2798">(XLOOKUP(D2798,Roster!F:F,Roster!B:B,"",0))</f>
        <v/>
      </c>
      <c r="F2798" s="315" t="str">
        <f t="array" ref="F2798">IF(B2798=100,"Free",TEXT(XLOOKUP($D2798,OperationVoice!$A:$A,OperationVoice!AC:AC,XLOOKUP($D2798,OperationTickets!$A:$A,OperationTickets!AC:AC,"",0)),"hh:mm"))</f>
        <v/>
      </c>
      <c r="G2798" s="309" t="str">
        <f t="shared" si="3"/>
        <v/>
      </c>
      <c r="H2798" s="316" t="str">
        <f t="array" ref="H2798">XLOOKUP(B2798,Roster!L:L,Roster!N:N,XLOOKUP(D2798,TicketsBreak!A:A,TicketsBreak!E:E,"",0),0)</f>
        <v/>
      </c>
      <c r="I2798" s="316" t="str">
        <f t="array" ref="I2798">XLOOKUP(B2798,Roster!L:L,Roster!O:O,XLOOKUP(D2798,TicketsBreak!A:A,TicketsBreak!F:F,"",0),0)</f>
        <v/>
      </c>
      <c r="J2798" s="316" t="str">
        <f t="array" ref="J2798">XLOOKUP(B2798,Roster!L:L,Roster!P:P,XLOOKUP(D2798,TicketsBreak!A:A,TicketsBreak!G:G,"",0),0)</f>
        <v/>
      </c>
      <c r="K2798" s="310">
        <f t="shared" si="4"/>
        <v>46135</v>
      </c>
      <c r="L2798" s="317" t="str">
        <f t="array" ref="L2798">(XLOOKUP(D2798,Roster!F:F,Roster!D:D,"",0))</f>
        <v/>
      </c>
      <c r="M2798" s="317" t="str">
        <f t="array" ref="M2798">XLOOKUP(D2798,Roster!F:F,Roster!E:E)</f>
        <v>#N/A</v>
      </c>
      <c r="N2798" s="317" t="str">
        <f t="shared" ref="N2798:P2798" si="2838">LEFT(H2798,5)</f>
        <v/>
      </c>
      <c r="O2798" s="317" t="str">
        <f t="shared" si="2838"/>
        <v/>
      </c>
      <c r="P2798" s="317" t="str">
        <f t="shared" si="2838"/>
        <v/>
      </c>
      <c r="Q2798" s="318" t="str">
        <f t="shared" si="2791"/>
        <v/>
      </c>
      <c r="R2798" s="318" t="str">
        <f t="shared" si="2792"/>
        <v/>
      </c>
      <c r="S2798" s="318" t="str">
        <f t="shared" si="8"/>
        <v/>
      </c>
    </row>
    <row r="2799">
      <c r="A2799" s="14" t="str">
        <f t="shared" si="1"/>
        <v>46135</v>
      </c>
      <c r="B2799" s="185" t="str">
        <f t="array" ref="B2799">IF(F2799="VL","",IF(F2799="Free","Free",XLOOKUP(D2799,Roster!T:T,Roster!S:S,"",0)))</f>
        <v/>
      </c>
      <c r="C2799" s="313">
        <v>46135.0</v>
      </c>
      <c r="D2799" s="314"/>
      <c r="E2799" s="307" t="str">
        <f t="array" ref="E2799">(XLOOKUP(D2799,Roster!F:F,Roster!B:B,"",0))</f>
        <v/>
      </c>
      <c r="F2799" s="315" t="str">
        <f t="array" ref="F2799">IF(B2799=100,"Free",TEXT(XLOOKUP($D2799,OperationVoice!$A:$A,OperationVoice!AC:AC,XLOOKUP($D2799,OperationTickets!$A:$A,OperationTickets!AC:AC,"",0)),"hh:mm"))</f>
        <v/>
      </c>
      <c r="G2799" s="309" t="str">
        <f t="shared" si="3"/>
        <v/>
      </c>
      <c r="H2799" s="316" t="str">
        <f t="array" ref="H2799">XLOOKUP(B2799,Roster!L:L,Roster!N:N,XLOOKUP(D2799,TicketsBreak!A:A,TicketsBreak!E:E,"",0),0)</f>
        <v/>
      </c>
      <c r="I2799" s="316" t="str">
        <f t="array" ref="I2799">XLOOKUP(B2799,Roster!L:L,Roster!O:O,XLOOKUP(D2799,TicketsBreak!A:A,TicketsBreak!F:F,"",0),0)</f>
        <v/>
      </c>
      <c r="J2799" s="316" t="str">
        <f t="array" ref="J2799">XLOOKUP(B2799,Roster!L:L,Roster!P:P,XLOOKUP(D2799,TicketsBreak!A:A,TicketsBreak!G:G,"",0),0)</f>
        <v/>
      </c>
      <c r="K2799" s="310">
        <f t="shared" si="4"/>
        <v>46135</v>
      </c>
      <c r="L2799" s="317" t="str">
        <f t="array" ref="L2799">(XLOOKUP(D2799,Roster!F:F,Roster!D:D,"",0))</f>
        <v/>
      </c>
      <c r="M2799" s="317" t="str">
        <f t="array" ref="M2799">XLOOKUP(D2799,Roster!F:F,Roster!E:E)</f>
        <v>#N/A</v>
      </c>
      <c r="N2799" s="317" t="str">
        <f t="shared" ref="N2799:P2799" si="2839">LEFT(H2799,5)</f>
        <v/>
      </c>
      <c r="O2799" s="317" t="str">
        <f t="shared" si="2839"/>
        <v/>
      </c>
      <c r="P2799" s="317" t="str">
        <f t="shared" si="2839"/>
        <v/>
      </c>
      <c r="Q2799" s="318" t="str">
        <f t="shared" si="2791"/>
        <v/>
      </c>
      <c r="R2799" s="318" t="str">
        <f t="shared" si="2792"/>
        <v/>
      </c>
      <c r="S2799" s="318" t="str">
        <f t="shared" si="8"/>
        <v/>
      </c>
    </row>
    <row r="2800">
      <c r="A2800" s="14" t="str">
        <f t="shared" si="1"/>
        <v>46135</v>
      </c>
      <c r="B2800" s="185" t="str">
        <f t="array" ref="B2800">IF(F2800="VL","",IF(F2800="Free","Free",XLOOKUP(D2800,Roster!T:T,Roster!S:S,"",0)))</f>
        <v/>
      </c>
      <c r="C2800" s="313">
        <v>46135.0</v>
      </c>
      <c r="D2800" s="314"/>
      <c r="E2800" s="307" t="str">
        <f t="array" ref="E2800">(XLOOKUP(D2800,Roster!F:F,Roster!B:B,"",0))</f>
        <v/>
      </c>
      <c r="F2800" s="315" t="str">
        <f t="array" ref="F2800">IF(B2800=100,"Free",TEXT(XLOOKUP($D2800,OperationVoice!$A:$A,OperationVoice!AC:AC,XLOOKUP($D2800,OperationTickets!$A:$A,OperationTickets!AC:AC,"",0)),"hh:mm"))</f>
        <v/>
      </c>
      <c r="G2800" s="309" t="str">
        <f t="shared" si="3"/>
        <v/>
      </c>
      <c r="H2800" s="316" t="str">
        <f t="array" ref="H2800">XLOOKUP(B2800,Roster!L:L,Roster!N:N,XLOOKUP(D2800,TicketsBreak!A:A,TicketsBreak!E:E,"",0),0)</f>
        <v/>
      </c>
      <c r="I2800" s="316" t="str">
        <f t="array" ref="I2800">XLOOKUP(B2800,Roster!L:L,Roster!O:O,XLOOKUP(D2800,TicketsBreak!A:A,TicketsBreak!F:F,"",0),0)</f>
        <v/>
      </c>
      <c r="J2800" s="316" t="str">
        <f t="array" ref="J2800">XLOOKUP(B2800,Roster!L:L,Roster!P:P,XLOOKUP(D2800,TicketsBreak!A:A,TicketsBreak!G:G,"",0),0)</f>
        <v/>
      </c>
      <c r="K2800" s="310">
        <f t="shared" si="4"/>
        <v>46135</v>
      </c>
      <c r="L2800" s="317" t="str">
        <f t="array" ref="L2800">(XLOOKUP(D2800,Roster!F:F,Roster!D:D,"",0))</f>
        <v/>
      </c>
      <c r="M2800" s="317" t="str">
        <f t="array" ref="M2800">XLOOKUP(D2800,Roster!F:F,Roster!E:E)</f>
        <v>#N/A</v>
      </c>
      <c r="N2800" s="317" t="str">
        <f t="shared" ref="N2800:P2800" si="2840">LEFT(H2800,5)</f>
        <v/>
      </c>
      <c r="O2800" s="317" t="str">
        <f t="shared" si="2840"/>
        <v/>
      </c>
      <c r="P2800" s="317" t="str">
        <f t="shared" si="2840"/>
        <v/>
      </c>
      <c r="Q2800" s="318" t="str">
        <f t="shared" si="2791"/>
        <v/>
      </c>
      <c r="R2800" s="318" t="str">
        <f t="shared" si="2792"/>
        <v/>
      </c>
      <c r="S2800" s="318" t="str">
        <f t="shared" si="8"/>
        <v/>
      </c>
    </row>
    <row r="2801">
      <c r="A2801" s="14" t="str">
        <f t="shared" si="1"/>
        <v>46135</v>
      </c>
      <c r="B2801" s="185" t="str">
        <f t="array" ref="B2801">IF(F2801="VL","",IF(F2801="Free","Free",XLOOKUP(D2801,Roster!T:T,Roster!S:S,"",0)))</f>
        <v/>
      </c>
      <c r="C2801" s="313">
        <v>46135.0</v>
      </c>
      <c r="D2801" s="314"/>
      <c r="E2801" s="307" t="str">
        <f t="array" ref="E2801">(XLOOKUP(D2801,Roster!F:F,Roster!B:B,"",0))</f>
        <v/>
      </c>
      <c r="F2801" s="315" t="str">
        <f t="array" ref="F2801">IF(B2801=100,"Free",TEXT(XLOOKUP($D2801,OperationVoice!$A:$A,OperationVoice!AC:AC,XLOOKUP($D2801,OperationTickets!$A:$A,OperationTickets!AC:AC,"",0)),"hh:mm"))</f>
        <v/>
      </c>
      <c r="G2801" s="309" t="str">
        <f t="shared" si="3"/>
        <v/>
      </c>
      <c r="H2801" s="316" t="str">
        <f t="array" ref="H2801">XLOOKUP(B2801,Roster!L:L,Roster!N:N,XLOOKUP(D2801,TicketsBreak!A:A,TicketsBreak!E:E,"",0),0)</f>
        <v/>
      </c>
      <c r="I2801" s="316" t="str">
        <f t="array" ref="I2801">XLOOKUP(B2801,Roster!L:L,Roster!O:O,XLOOKUP(D2801,TicketsBreak!A:A,TicketsBreak!F:F,"",0),0)</f>
        <v/>
      </c>
      <c r="J2801" s="316" t="str">
        <f t="array" ref="J2801">XLOOKUP(B2801,Roster!L:L,Roster!P:P,XLOOKUP(D2801,TicketsBreak!A:A,TicketsBreak!G:G,"",0),0)</f>
        <v/>
      </c>
      <c r="K2801" s="310">
        <f t="shared" si="4"/>
        <v>46135</v>
      </c>
      <c r="L2801" s="317" t="str">
        <f t="array" ref="L2801">(XLOOKUP(D2801,Roster!F:F,Roster!D:D,"",0))</f>
        <v/>
      </c>
      <c r="M2801" s="317" t="str">
        <f t="array" ref="M2801">XLOOKUP(D2801,Roster!F:F,Roster!E:E)</f>
        <v>#N/A</v>
      </c>
      <c r="N2801" s="317" t="str">
        <f t="shared" ref="N2801:P2801" si="2841">LEFT(H2801,5)</f>
        <v/>
      </c>
      <c r="O2801" s="317" t="str">
        <f t="shared" si="2841"/>
        <v/>
      </c>
      <c r="P2801" s="317" t="str">
        <f t="shared" si="2841"/>
        <v/>
      </c>
      <c r="Q2801" s="318" t="str">
        <f t="shared" si="2791"/>
        <v/>
      </c>
      <c r="R2801" s="318" t="str">
        <f t="shared" si="2792"/>
        <v/>
      </c>
      <c r="S2801" s="318" t="str">
        <f t="shared" si="8"/>
        <v/>
      </c>
    </row>
    <row r="2802">
      <c r="A2802" s="14" t="str">
        <f t="shared" si="1"/>
        <v>C81846136</v>
      </c>
      <c r="B2802" s="185">
        <f t="array" ref="B2802">IF(F2802="VL","",IF(F2802="Free","Free",XLOOKUP(D2802,Roster!T:T,Roster!S:S,"",0)))</f>
        <v>123</v>
      </c>
      <c r="C2802" s="313">
        <v>46136.0</v>
      </c>
      <c r="D2802" s="314" t="s">
        <v>9</v>
      </c>
      <c r="E2802" s="307" t="str">
        <f t="array" ref="E2802">(XLOOKUP(D2802,Roster!F:F,Roster!B:B,"",0))</f>
        <v>Adriana Moncaleano</v>
      </c>
      <c r="F2802" s="315" t="str">
        <f t="array" ref="F2802">IF(B2802=100,"Free",TEXT(XLOOKUP($D2802,OperationVoice!$A:$A,OperationVoice!AD:AD,XLOOKUP($D2802,OperationTickets!$A:$A,OperationTickets!AD:AD,"",0)),"hh:mm"))</f>
        <v>08:00</v>
      </c>
      <c r="G2802" s="309">
        <f t="shared" si="3"/>
        <v>0.7083333333</v>
      </c>
      <c r="H2802" s="316" t="str">
        <f t="array" ref="H2802">XLOOKUP(B2802,Roster!L:L,Roster!N:N,XLOOKUP(D2802,TicketsBreak!A:A,TicketsBreak!E:E,"",0),0)</f>
        <v>09:45 - 10:00 </v>
      </c>
      <c r="I2802" s="316" t="str">
        <f t="array" ref="I2802">XLOOKUP(B2802,Roster!L:L,Roster!O:O,XLOOKUP(D2802,TicketsBreak!A:A,TicketsBreak!F:F,"",0),0)</f>
        <v>12:30 - 13:00</v>
      </c>
      <c r="J2802" s="316" t="str">
        <f t="array" ref="J2802">XLOOKUP(B2802,Roster!L:L,Roster!P:P,XLOOKUP(D2802,TicketsBreak!A:A,TicketsBreak!G:G,"",0),0)</f>
        <v>15:00 - 15:15</v>
      </c>
      <c r="K2802" s="310">
        <f t="shared" si="4"/>
        <v>46136</v>
      </c>
      <c r="L2802" s="317">
        <f t="array" ref="L2802">(XLOOKUP(D2802,Roster!F:F,Roster!D:D,"",0))</f>
        <v>23</v>
      </c>
      <c r="M2802" s="317" t="str">
        <f t="array" ref="M2802">XLOOKUP(D2802,Roster!F:F,Roster!E:E)</f>
        <v>Voice</v>
      </c>
      <c r="N2802" s="317" t="str">
        <f t="shared" ref="N2802:P2802" si="2842">LEFT(H2802,5)</f>
        <v>09:45</v>
      </c>
      <c r="O2802" s="317" t="str">
        <f t="shared" si="2842"/>
        <v>12:30</v>
      </c>
      <c r="P2802" s="317" t="str">
        <f t="shared" si="2842"/>
        <v>15:00</v>
      </c>
      <c r="Q2802" s="318">
        <f t="shared" si="2791"/>
        <v>46136.40625</v>
      </c>
      <c r="R2802" s="318">
        <f t="shared" si="2792"/>
        <v>46136.52083</v>
      </c>
      <c r="S2802" s="318">
        <f t="shared" si="8"/>
        <v>46136.625</v>
      </c>
    </row>
    <row r="2803">
      <c r="A2803" s="14" t="str">
        <f t="shared" si="1"/>
        <v>C110746136</v>
      </c>
      <c r="B2803" s="185">
        <f t="array" ref="B2803">IF(F2803="VL","",IF(F2803="Free","Free",XLOOKUP(D2803,Roster!T:T,Roster!S:S,"",0)))</f>
        <v>153</v>
      </c>
      <c r="C2803" s="313">
        <v>46136.0</v>
      </c>
      <c r="D2803" s="314" t="s">
        <v>10</v>
      </c>
      <c r="E2803" s="307" t="str">
        <f t="array" ref="E2803">(XLOOKUP(D2803,Roster!F:F,Roster!B:B,"",0))</f>
        <v>Alejandro Malave</v>
      </c>
      <c r="F2803" s="315" t="str">
        <f t="array" ref="F2803">IF(B2803=100,"Free",TEXT(XLOOKUP($D2803,OperationVoice!$A:$A,OperationVoice!AD:AD,XLOOKUP($D2803,OperationTickets!$A:$A,OperationTickets!AD:AD,"",0)),"hh:mm"))</f>
        <v>11:00</v>
      </c>
      <c r="G2803" s="309">
        <f t="shared" si="3"/>
        <v>0.8333333333</v>
      </c>
      <c r="H2803" s="316" t="str">
        <f t="array" ref="H2803">XLOOKUP(B2803,Roster!L:L,Roster!N:N,XLOOKUP(D2803,TicketsBreak!A:A,TicketsBreak!E:E,"",0),0)</f>
        <v>12:45 - 13:00</v>
      </c>
      <c r="I2803" s="316" t="str">
        <f t="array" ref="I2803">XLOOKUP(B2803,Roster!L:L,Roster!O:O,XLOOKUP(D2803,TicketsBreak!A:A,TicketsBreak!F:F,"",0),0)</f>
        <v>15:00 - 15:30</v>
      </c>
      <c r="J2803" s="316" t="str">
        <f t="array" ref="J2803">XLOOKUP(B2803,Roster!L:L,Roster!P:P,XLOOKUP(D2803,TicketsBreak!A:A,TicketsBreak!G:G,"",0),0)</f>
        <v>17:45 - 18:00</v>
      </c>
      <c r="K2803" s="310">
        <f t="shared" si="4"/>
        <v>46136</v>
      </c>
      <c r="L2803" s="317">
        <f t="array" ref="L2803">(XLOOKUP(D2803,Roster!F:F,Roster!D:D,"",0))</f>
        <v>36</v>
      </c>
      <c r="M2803" s="317" t="str">
        <f t="array" ref="M2803">XLOOKUP(D2803,Roster!F:F,Roster!E:E)</f>
        <v>Voice</v>
      </c>
      <c r="N2803" s="317" t="str">
        <f t="shared" ref="N2803:P2803" si="2843">LEFT(H2803,5)</f>
        <v>12:45</v>
      </c>
      <c r="O2803" s="317" t="str">
        <f t="shared" si="2843"/>
        <v>15:00</v>
      </c>
      <c r="P2803" s="317" t="str">
        <f t="shared" si="2843"/>
        <v>17:45</v>
      </c>
      <c r="Q2803" s="318">
        <f t="shared" si="2791"/>
        <v>46136.53125</v>
      </c>
      <c r="R2803" s="318">
        <f t="shared" si="2792"/>
        <v>46136.625</v>
      </c>
      <c r="S2803" s="318">
        <f t="shared" si="8"/>
        <v>46136.73958</v>
      </c>
    </row>
    <row r="2804">
      <c r="A2804" s="14" t="str">
        <f t="shared" si="1"/>
        <v>C69946136</v>
      </c>
      <c r="B2804" s="185" t="str">
        <f t="array" ref="B2804">IF(F2804="VL","",IF(F2804="Free","Free",XLOOKUP(D2804,Roster!T:T,Roster!S:S,"",0)))</f>
        <v/>
      </c>
      <c r="C2804" s="313">
        <v>46136.0</v>
      </c>
      <c r="D2804" s="314" t="s">
        <v>137</v>
      </c>
      <c r="E2804" s="307" t="str">
        <f t="array" ref="E2804">(XLOOKUP(D2804,Roster!F:F,Roster!B:B,"",0))</f>
        <v>Alexa Arenas</v>
      </c>
      <c r="F2804" s="315" t="str">
        <f t="array" ref="F2804">IF(B2804=100,"Free",TEXT(XLOOKUP($D2804,OperationVoice!$A:$A,OperationVoice!AD:AD,XLOOKUP($D2804,OperationTickets!$A:$A,OperationTickets!AD:AD,"",0)),"hh:mm"))</f>
        <v>08:00</v>
      </c>
      <c r="G2804" s="309">
        <f t="shared" si="3"/>
        <v>0.7083333333</v>
      </c>
      <c r="H2804" s="316">
        <f t="array" ref="H2804">XLOOKUP(B2804,Roster!L:L,Roster!N:N,XLOOKUP(D2804,TicketsBreak!A:A,TicketsBreak!E:E,"",0),0)</f>
        <v>0.40625</v>
      </c>
      <c r="I2804" s="316">
        <f t="array" ref="I2804">XLOOKUP(B2804,Roster!L:L,Roster!O:O,XLOOKUP(D2804,TicketsBreak!A:A,TicketsBreak!F:F,"",0),0)</f>
        <v>0.5</v>
      </c>
      <c r="J2804" s="316">
        <f t="array" ref="J2804">XLOOKUP(B2804,Roster!L:L,Roster!P:P,XLOOKUP(D2804,TicketsBreak!A:A,TicketsBreak!G:G,"",0),0)</f>
        <v>0.65625</v>
      </c>
      <c r="K2804" s="310">
        <f t="shared" si="4"/>
        <v>46136</v>
      </c>
      <c r="L2804" s="317">
        <f t="array" ref="L2804">(XLOOKUP(D2804,Roster!F:F,Roster!D:D,"",0))</f>
        <v>5</v>
      </c>
      <c r="M2804" s="317" t="str">
        <f t="array" ref="M2804">XLOOKUP(D2804,Roster!F:F,Roster!E:E)</f>
        <v>Tickets</v>
      </c>
      <c r="N2804" s="317" t="str">
        <f t="shared" ref="N2804:P2804" si="2844">LEFT(H2804,5)</f>
        <v>09:45</v>
      </c>
      <c r="O2804" s="317" t="str">
        <f t="shared" si="2844"/>
        <v>12:00</v>
      </c>
      <c r="P2804" s="317" t="str">
        <f t="shared" si="2844"/>
        <v>15:45</v>
      </c>
      <c r="Q2804" s="318">
        <f t="shared" si="2791"/>
        <v>46136.40625</v>
      </c>
      <c r="R2804" s="318">
        <f t="shared" si="2792"/>
        <v>46136.5</v>
      </c>
      <c r="S2804" s="318">
        <f t="shared" si="8"/>
        <v>46136.65625</v>
      </c>
    </row>
    <row r="2805">
      <c r="A2805" s="14" t="str">
        <f t="shared" si="1"/>
        <v>C157046136</v>
      </c>
      <c r="B2805" s="185">
        <f t="array" ref="B2805">IF(F2805="VL","",IF(F2805="Free","Free",XLOOKUP(D2805,Roster!T:T,Roster!S:S,"",0)))</f>
        <v>123</v>
      </c>
      <c r="C2805" s="313">
        <v>46136.0</v>
      </c>
      <c r="D2805" s="314" t="s">
        <v>11</v>
      </c>
      <c r="E2805" s="307" t="str">
        <f t="array" ref="E2805">(XLOOKUP(D2805,Roster!F:F,Roster!B:B,"",0))</f>
        <v>Alexander Bartoli</v>
      </c>
      <c r="F2805" s="315" t="str">
        <f t="array" ref="F2805">IF(B2805=100,"Free",TEXT(XLOOKUP($D2805,OperationVoice!$A:$A,OperationVoice!AD:AD,XLOOKUP($D2805,OperationTickets!$A:$A,OperationTickets!AD:AD,"",0)),"hh:mm"))</f>
        <v>08:00</v>
      </c>
      <c r="G2805" s="309">
        <f t="shared" si="3"/>
        <v>0.7083333333</v>
      </c>
      <c r="H2805" s="316" t="str">
        <f t="array" ref="H2805">XLOOKUP(B2805,Roster!L:L,Roster!N:N,XLOOKUP(D2805,TicketsBreak!A:A,TicketsBreak!E:E,"",0),0)</f>
        <v>09:45 - 10:00 </v>
      </c>
      <c r="I2805" s="316" t="str">
        <f t="array" ref="I2805">XLOOKUP(B2805,Roster!L:L,Roster!O:O,XLOOKUP(D2805,TicketsBreak!A:A,TicketsBreak!F:F,"",0),0)</f>
        <v>12:30 - 13:00</v>
      </c>
      <c r="J2805" s="316" t="str">
        <f t="array" ref="J2805">XLOOKUP(B2805,Roster!L:L,Roster!P:P,XLOOKUP(D2805,TicketsBreak!A:A,TicketsBreak!G:G,"",0),0)</f>
        <v>15:00 - 15:15</v>
      </c>
      <c r="K2805" s="310">
        <f t="shared" si="4"/>
        <v>46136</v>
      </c>
      <c r="L2805" s="317">
        <f t="array" ref="L2805">(XLOOKUP(D2805,Roster!F:F,Roster!D:D,"",0))</f>
        <v>38</v>
      </c>
      <c r="M2805" s="317" t="str">
        <f t="array" ref="M2805">XLOOKUP(D2805,Roster!F:F,Roster!E:E)</f>
        <v>Voice</v>
      </c>
      <c r="N2805" s="317" t="str">
        <f t="shared" ref="N2805:P2805" si="2845">LEFT(H2805,5)</f>
        <v>09:45</v>
      </c>
      <c r="O2805" s="317" t="str">
        <f t="shared" si="2845"/>
        <v>12:30</v>
      </c>
      <c r="P2805" s="317" t="str">
        <f t="shared" si="2845"/>
        <v>15:00</v>
      </c>
      <c r="Q2805" s="318">
        <f t="shared" si="2791"/>
        <v>46136.40625</v>
      </c>
      <c r="R2805" s="318">
        <f t="shared" si="2792"/>
        <v>46136.52083</v>
      </c>
      <c r="S2805" s="318">
        <f t="shared" si="8"/>
        <v>46136.625</v>
      </c>
    </row>
    <row r="2806">
      <c r="A2806" s="14" t="str">
        <f t="shared" si="1"/>
        <v>C93546136</v>
      </c>
      <c r="B2806" s="185" t="str">
        <f t="array" ref="B2806">IF(F2806="VL","",IF(F2806="Free","Free",XLOOKUP(D2806,Roster!T:T,Roster!S:S,"",0)))</f>
        <v/>
      </c>
      <c r="C2806" s="313">
        <v>46136.0</v>
      </c>
      <c r="D2806" s="314" t="s">
        <v>153</v>
      </c>
      <c r="E2806" s="307" t="str">
        <f t="array" ref="E2806">(XLOOKUP(D2806,Roster!F:F,Roster!B:B,"",0))</f>
        <v>Alexis Arias</v>
      </c>
      <c r="F2806" s="315" t="str">
        <f t="array" ref="F2806">IF(B2806=100,"Free",TEXT(XLOOKUP($D2806,OperationVoice!$A:$A,OperationVoice!AD:AD,XLOOKUP($D2806,OperationTickets!$A:$A,OperationTickets!AD:AD,"",0)),"hh:mm"))</f>
        <v>07:30</v>
      </c>
      <c r="G2806" s="309">
        <f t="shared" si="3"/>
        <v>0.6875</v>
      </c>
      <c r="H2806" s="316">
        <f t="array" ref="H2806">XLOOKUP(B2806,Roster!L:L,Roster!N:N,XLOOKUP(D2806,TicketsBreak!A:A,TicketsBreak!E:E,"",0),0)</f>
        <v>0.4270833333</v>
      </c>
      <c r="I2806" s="316">
        <f t="array" ref="I2806">XLOOKUP(B2806,Roster!L:L,Roster!O:O,XLOOKUP(D2806,TicketsBreak!A:A,TicketsBreak!F:F,"",0),0)</f>
        <v>0.53125</v>
      </c>
      <c r="J2806" s="316">
        <f t="array" ref="J2806">XLOOKUP(B2806,Roster!L:L,Roster!P:P,XLOOKUP(D2806,TicketsBreak!A:A,TicketsBreak!G:G,"",0),0)</f>
        <v>0.6458333333</v>
      </c>
      <c r="K2806" s="310">
        <f t="shared" si="4"/>
        <v>46136</v>
      </c>
      <c r="L2806" s="317">
        <f t="array" ref="L2806">(XLOOKUP(D2806,Roster!F:F,Roster!D:D,"",0))</f>
        <v>12</v>
      </c>
      <c r="M2806" s="317" t="str">
        <f t="array" ref="M2806">XLOOKUP(D2806,Roster!F:F,Roster!E:E)</f>
        <v>Tickets</v>
      </c>
      <c r="N2806" s="317" t="str">
        <f t="shared" ref="N2806:P2806" si="2846">LEFT(H2806,5)</f>
        <v>10:15</v>
      </c>
      <c r="O2806" s="317" t="str">
        <f t="shared" si="2846"/>
        <v>12:45</v>
      </c>
      <c r="P2806" s="317" t="str">
        <f t="shared" si="2846"/>
        <v>15:30</v>
      </c>
      <c r="Q2806" s="318">
        <f t="shared" si="2791"/>
        <v>46136.42708</v>
      </c>
      <c r="R2806" s="318">
        <f t="shared" si="2792"/>
        <v>46136.53125</v>
      </c>
      <c r="S2806" s="318">
        <f t="shared" si="8"/>
        <v>46136.64583</v>
      </c>
    </row>
    <row r="2807">
      <c r="A2807" s="14" t="str">
        <f t="shared" si="1"/>
        <v>C72746136</v>
      </c>
      <c r="B2807" s="185" t="str">
        <f t="array" ref="B2807">IF(F2807="VL","",IF(F2807="Free","Free",XLOOKUP(D2807,Roster!T:T,Roster!S:S,"",0)))</f>
        <v/>
      </c>
      <c r="C2807" s="313">
        <v>46136.0</v>
      </c>
      <c r="D2807" s="314" t="s">
        <v>154</v>
      </c>
      <c r="E2807" s="307" t="str">
        <f t="array" ref="E2807">(XLOOKUP(D2807,Roster!F:F,Roster!B:B,"",0))</f>
        <v>Ana Moreno</v>
      </c>
      <c r="F2807" s="315" t="str">
        <f t="array" ref="F2807">IF(B2807=100,"Free",TEXT(XLOOKUP($D2807,OperationVoice!$A:$A,OperationVoice!AD:AD,XLOOKUP($D2807,OperationTickets!$A:$A,OperationTickets!AD:AD,"",0)),"hh:mm"))</f>
        <v>08:00</v>
      </c>
      <c r="G2807" s="309">
        <f t="shared" si="3"/>
        <v>0.7083333333</v>
      </c>
      <c r="H2807" s="316">
        <f t="array" ref="H2807">XLOOKUP(B2807,Roster!L:L,Roster!N:N,XLOOKUP(D2807,TicketsBreak!A:A,TicketsBreak!E:E,"",0),0)</f>
        <v>0.4166666667</v>
      </c>
      <c r="I2807" s="316">
        <f t="array" ref="I2807">XLOOKUP(B2807,Roster!L:L,Roster!O:O,XLOOKUP(D2807,TicketsBreak!A:A,TicketsBreak!F:F,"",0),0)</f>
        <v>0.5208333333</v>
      </c>
      <c r="J2807" s="316">
        <f t="array" ref="J2807">XLOOKUP(B2807,Roster!L:L,Roster!P:P,XLOOKUP(D2807,TicketsBreak!A:A,TicketsBreak!G:G,"",0),0)</f>
        <v>0.65625</v>
      </c>
      <c r="K2807" s="310">
        <f t="shared" si="4"/>
        <v>46136</v>
      </c>
      <c r="L2807" s="317">
        <f t="array" ref="L2807">(XLOOKUP(D2807,Roster!F:F,Roster!D:D,"",0))</f>
        <v>7</v>
      </c>
      <c r="M2807" s="317" t="str">
        <f t="array" ref="M2807">XLOOKUP(D2807,Roster!F:F,Roster!E:E)</f>
        <v>Tickets</v>
      </c>
      <c r="N2807" s="317" t="str">
        <f t="shared" ref="N2807:P2807" si="2847">LEFT(H2807,5)</f>
        <v>10:00</v>
      </c>
      <c r="O2807" s="317" t="str">
        <f t="shared" si="2847"/>
        <v>12:30</v>
      </c>
      <c r="P2807" s="317" t="str">
        <f t="shared" si="2847"/>
        <v>15:45</v>
      </c>
      <c r="Q2807" s="318">
        <f t="shared" si="2791"/>
        <v>46136.41667</v>
      </c>
      <c r="R2807" s="318">
        <f t="shared" si="2792"/>
        <v>46136.52083</v>
      </c>
      <c r="S2807" s="318">
        <f t="shared" si="8"/>
        <v>46136.65625</v>
      </c>
    </row>
    <row r="2808">
      <c r="A2808" s="14" t="str">
        <f t="shared" si="1"/>
        <v>C157446136</v>
      </c>
      <c r="B2808" s="185">
        <f t="array" ref="B2808">IF(F2808="VL","",IF(F2808="Free","Free",XLOOKUP(D2808,Roster!T:T,Roster!S:S,"",0)))</f>
        <v>124</v>
      </c>
      <c r="C2808" s="313">
        <v>46136.0</v>
      </c>
      <c r="D2808" s="314" t="s">
        <v>12</v>
      </c>
      <c r="E2808" s="307" t="str">
        <f t="array" ref="E2808">(XLOOKUP(D2808,Roster!F:F,Roster!B:B,"",0))</f>
        <v>Ana Quintero</v>
      </c>
      <c r="F2808" s="315" t="str">
        <f t="array" ref="F2808">IF(B2808=100,"Free",TEXT(XLOOKUP($D2808,OperationVoice!$A:$A,OperationVoice!AD:AD,XLOOKUP($D2808,OperationTickets!$A:$A,OperationTickets!AD:AD,"",0)),"hh:mm"))</f>
        <v>08:00</v>
      </c>
      <c r="G2808" s="309">
        <f t="shared" si="3"/>
        <v>0.7083333333</v>
      </c>
      <c r="H2808" s="316" t="str">
        <f t="array" ref="H2808">XLOOKUP(B2808,Roster!L:L,Roster!N:N,XLOOKUP(D2808,TicketsBreak!A:A,TicketsBreak!E:E,"",0),0)</f>
        <v>10:00 - 10:15</v>
      </c>
      <c r="I2808" s="316" t="str">
        <f t="array" ref="I2808">XLOOKUP(B2808,Roster!L:L,Roster!O:O,XLOOKUP(D2808,TicketsBreak!A:A,TicketsBreak!F:F,"",0),0)</f>
        <v>13:00 - 13:30</v>
      </c>
      <c r="J2808" s="316" t="str">
        <f t="array" ref="J2808">XLOOKUP(B2808,Roster!L:L,Roster!P:P,XLOOKUP(D2808,TicketsBreak!A:A,TicketsBreak!G:G,"",0),0)</f>
        <v>15:30 - 15:45</v>
      </c>
      <c r="K2808" s="310">
        <f t="shared" si="4"/>
        <v>46136</v>
      </c>
      <c r="L2808" s="317">
        <f t="array" ref="L2808">(XLOOKUP(D2808,Roster!F:F,Roster!D:D,"",0))</f>
        <v>38</v>
      </c>
      <c r="M2808" s="317" t="str">
        <f t="array" ref="M2808">XLOOKUP(D2808,Roster!F:F,Roster!E:E)</f>
        <v>Voice</v>
      </c>
      <c r="N2808" s="317" t="str">
        <f t="shared" ref="N2808:P2808" si="2848">LEFT(H2808,5)</f>
        <v>10:00</v>
      </c>
      <c r="O2808" s="317" t="str">
        <f t="shared" si="2848"/>
        <v>13:00</v>
      </c>
      <c r="P2808" s="317" t="str">
        <f t="shared" si="2848"/>
        <v>15:30</v>
      </c>
      <c r="Q2808" s="318">
        <f t="shared" si="2791"/>
        <v>46136.41667</v>
      </c>
      <c r="R2808" s="318">
        <f t="shared" si="2792"/>
        <v>46136.54167</v>
      </c>
      <c r="S2808" s="318">
        <f t="shared" si="8"/>
        <v>46136.64583</v>
      </c>
    </row>
    <row r="2809">
      <c r="A2809" s="14" t="str">
        <f t="shared" si="1"/>
        <v>C46946136</v>
      </c>
      <c r="B2809" s="185" t="str">
        <f t="array" ref="B2809">IF(F2809="VL","",IF(F2809="Free","Free",XLOOKUP(D2809,Roster!T:T,Roster!S:S,"",0)))</f>
        <v/>
      </c>
      <c r="C2809" s="313">
        <v>46136.0</v>
      </c>
      <c r="D2809" s="314" t="s">
        <v>171</v>
      </c>
      <c r="E2809" s="307" t="str">
        <f t="array" ref="E2809">(XLOOKUP(D2809,Roster!F:F,Roster!B:B,"",0))</f>
        <v>Ana Ruiz</v>
      </c>
      <c r="F2809" s="315" t="str">
        <f t="array" ref="F2809">IF(B2809=100,"Free",TEXT(XLOOKUP($D2809,OperationVoice!$A:$A,OperationVoice!AD:AD,XLOOKUP($D2809,OperationTickets!$A:$A,OperationTickets!AD:AD,"",0)),"hh:mm"))</f>
        <v>08:00</v>
      </c>
      <c r="G2809" s="309">
        <f t="shared" si="3"/>
        <v>0.7083333333</v>
      </c>
      <c r="H2809" s="316">
        <f t="array" ref="H2809">XLOOKUP(B2809,Roster!L:L,Roster!N:N,XLOOKUP(D2809,TicketsBreak!A:A,TicketsBreak!E:E,"",0),0)</f>
        <v>0.3854166667</v>
      </c>
      <c r="I2809" s="316">
        <f t="array" ref="I2809">XLOOKUP(B2809,Roster!L:L,Roster!O:O,XLOOKUP(D2809,TicketsBreak!A:A,TicketsBreak!F:F,"",0),0)</f>
        <v>0.5</v>
      </c>
      <c r="J2809" s="316">
        <f t="array" ref="J2809">XLOOKUP(B2809,Roster!L:L,Roster!P:P,XLOOKUP(D2809,TicketsBreak!A:A,TicketsBreak!G:G,"",0),0)</f>
        <v>0.6041666667</v>
      </c>
      <c r="K2809" s="310">
        <f t="shared" si="4"/>
        <v>46136</v>
      </c>
      <c r="L2809" s="317">
        <f t="array" ref="L2809">(XLOOKUP(D2809,Roster!F:F,Roster!D:D,"",0))</f>
        <v>3</v>
      </c>
      <c r="M2809" s="317" t="str">
        <f t="array" ref="M2809">XLOOKUP(D2809,Roster!F:F,Roster!E:E)</f>
        <v>Tickets</v>
      </c>
      <c r="N2809" s="317" t="str">
        <f t="shared" ref="N2809:P2809" si="2849">LEFT(H2809,5)</f>
        <v>09:15</v>
      </c>
      <c r="O2809" s="317" t="str">
        <f t="shared" si="2849"/>
        <v>12:00</v>
      </c>
      <c r="P2809" s="317" t="str">
        <f t="shared" si="2849"/>
        <v>14:30</v>
      </c>
      <c r="Q2809" s="318">
        <f t="shared" si="2791"/>
        <v>46136.38542</v>
      </c>
      <c r="R2809" s="318">
        <f t="shared" si="2792"/>
        <v>46136.5</v>
      </c>
      <c r="S2809" s="318">
        <f t="shared" si="8"/>
        <v>46136.60417</v>
      </c>
    </row>
    <row r="2810">
      <c r="A2810" s="14" t="str">
        <f t="shared" si="1"/>
        <v>C155446136</v>
      </c>
      <c r="B2810" s="185">
        <f t="array" ref="B2810">IF(F2810="VL","",IF(F2810="Free","Free",XLOOKUP(D2810,Roster!T:T,Roster!S:S,"",0)))</f>
        <v>131</v>
      </c>
      <c r="C2810" s="313">
        <v>46136.0</v>
      </c>
      <c r="D2810" s="314" t="s">
        <v>13</v>
      </c>
      <c r="E2810" s="307" t="str">
        <f t="array" ref="E2810">(XLOOKUP(D2810,Roster!F:F,Roster!B:B,"",0))</f>
        <v>Andres Lopez</v>
      </c>
      <c r="F2810" s="315" t="str">
        <f t="array" ref="F2810">IF(B2810=100,"Free",TEXT(XLOOKUP($D2810,OperationVoice!$A:$A,OperationVoice!AD:AD,XLOOKUP($D2810,OperationTickets!$A:$A,OperationTickets!AD:AD,"",0)),"hh:mm"))</f>
        <v>09:00</v>
      </c>
      <c r="G2810" s="309">
        <f t="shared" si="3"/>
        <v>0.75</v>
      </c>
      <c r="H2810" s="316" t="str">
        <f t="array" ref="H2810">XLOOKUP(B2810,Roster!L:L,Roster!N:N,XLOOKUP(D2810,TicketsBreak!A:A,TicketsBreak!E:E,"",0),0)</f>
        <v>10:15 - 10:30</v>
      </c>
      <c r="I2810" s="316" t="str">
        <f t="array" ref="I2810">XLOOKUP(B2810,Roster!L:L,Roster!O:O,XLOOKUP(D2810,TicketsBreak!A:A,TicketsBreak!F:F,"",0),0)</f>
        <v>12:30 - 13:00</v>
      </c>
      <c r="J2810" s="316" t="str">
        <f t="array" ref="J2810">XLOOKUP(B2810,Roster!L:L,Roster!P:P,XLOOKUP(D2810,TicketsBreak!A:A,TicketsBreak!G:G,"",0),0)</f>
        <v>15:15 - 15:30</v>
      </c>
      <c r="K2810" s="310">
        <f t="shared" si="4"/>
        <v>46136</v>
      </c>
      <c r="L2810" s="317">
        <f t="array" ref="L2810">(XLOOKUP(D2810,Roster!F:F,Roster!D:D,"",0))</f>
        <v>37</v>
      </c>
      <c r="M2810" s="317" t="str">
        <f t="array" ref="M2810">XLOOKUP(D2810,Roster!F:F,Roster!E:E)</f>
        <v>Voice</v>
      </c>
      <c r="N2810" s="317" t="str">
        <f t="shared" ref="N2810:P2810" si="2850">LEFT(H2810,5)</f>
        <v>10:15</v>
      </c>
      <c r="O2810" s="317" t="str">
        <f t="shared" si="2850"/>
        <v>12:30</v>
      </c>
      <c r="P2810" s="317" t="str">
        <f t="shared" si="2850"/>
        <v>15:15</v>
      </c>
      <c r="Q2810" s="318">
        <f t="shared" si="2791"/>
        <v>46136.42708</v>
      </c>
      <c r="R2810" s="318">
        <f t="shared" si="2792"/>
        <v>46136.52083</v>
      </c>
      <c r="S2810" s="318">
        <f t="shared" si="8"/>
        <v>46136.63542</v>
      </c>
    </row>
    <row r="2811">
      <c r="A2811" s="14" t="str">
        <f t="shared" si="1"/>
        <v>C156746136</v>
      </c>
      <c r="B2811" s="185" t="str">
        <f t="array" ref="B2811">IF(F2811="VL","",IF(F2811="Free","Free",XLOOKUP(D2811,Roster!T:T,Roster!S:S,"",0)))</f>
        <v>Free</v>
      </c>
      <c r="C2811" s="313">
        <v>46136.0</v>
      </c>
      <c r="D2811" s="314" t="s">
        <v>14</v>
      </c>
      <c r="E2811" s="307" t="str">
        <f t="array" ref="E2811">(XLOOKUP(D2811,Roster!F:F,Roster!B:B,"",0))</f>
        <v>Andres Salazar</v>
      </c>
      <c r="F2811" s="315" t="str">
        <f t="array" ref="F2811">IF(B2811=100,"Free",TEXT(XLOOKUP($D2811,OperationVoice!$A:$A,OperationVoice!AD:AD,XLOOKUP($D2811,OperationTickets!$A:$A,OperationTickets!AD:AD,"",0)),"hh:mm"))</f>
        <v>Free</v>
      </c>
      <c r="G2811" s="309" t="str">
        <f t="shared" si="3"/>
        <v>Free</v>
      </c>
      <c r="H2811" s="316" t="str">
        <f t="array" ref="H2811">XLOOKUP(B2811,Roster!L:L,Roster!N:N,XLOOKUP(D2811,TicketsBreak!A:A,TicketsBreak!E:E,"",0),0)</f>
        <v/>
      </c>
      <c r="I2811" s="316" t="str">
        <f t="array" ref="I2811">XLOOKUP(B2811,Roster!L:L,Roster!O:O,XLOOKUP(D2811,TicketsBreak!A:A,TicketsBreak!F:F,"",0),0)</f>
        <v/>
      </c>
      <c r="J2811" s="316" t="str">
        <f t="array" ref="J2811">XLOOKUP(B2811,Roster!L:L,Roster!P:P,XLOOKUP(D2811,TicketsBreak!A:A,TicketsBreak!G:G,"",0),0)</f>
        <v/>
      </c>
      <c r="K2811" s="310">
        <f t="shared" si="4"/>
        <v>46136</v>
      </c>
      <c r="L2811" s="317">
        <f t="array" ref="L2811">(XLOOKUP(D2811,Roster!F:F,Roster!D:D,"",0))</f>
        <v>38</v>
      </c>
      <c r="M2811" s="317" t="str">
        <f t="array" ref="M2811">XLOOKUP(D2811,Roster!F:F,Roster!E:E)</f>
        <v>Voice</v>
      </c>
      <c r="N2811" s="317" t="str">
        <f t="shared" ref="N2811:P2811" si="2851">LEFT(H2811,5)</f>
        <v/>
      </c>
      <c r="O2811" s="317" t="str">
        <f t="shared" si="2851"/>
        <v/>
      </c>
      <c r="P2811" s="317" t="str">
        <f t="shared" si="2851"/>
        <v/>
      </c>
      <c r="Q2811" s="318" t="str">
        <f t="shared" si="2791"/>
        <v/>
      </c>
      <c r="R2811" s="318" t="str">
        <f t="shared" si="2792"/>
        <v/>
      </c>
      <c r="S2811" s="318" t="str">
        <f t="shared" si="8"/>
        <v/>
      </c>
    </row>
    <row r="2812">
      <c r="A2812" s="14" t="str">
        <f t="shared" si="1"/>
        <v>C134846136</v>
      </c>
      <c r="B2812" s="185">
        <f t="array" ref="B2812">IF(F2812="VL","",IF(F2812="Free","Free",XLOOKUP(D2812,Roster!T:T,Roster!S:S,"",0)))</f>
        <v>124</v>
      </c>
      <c r="C2812" s="313">
        <v>46136.0</v>
      </c>
      <c r="D2812" s="314" t="s">
        <v>15</v>
      </c>
      <c r="E2812" s="307" t="str">
        <f t="array" ref="E2812">(XLOOKUP(D2812,Roster!F:F,Roster!B:B,"",0))</f>
        <v>Angelo Zapata</v>
      </c>
      <c r="F2812" s="315" t="str">
        <f t="array" ref="F2812">IF(B2812=100,"Free",TEXT(XLOOKUP($D2812,OperationVoice!$A:$A,OperationVoice!AD:AD,XLOOKUP($D2812,OperationTickets!$A:$A,OperationTickets!AD:AD,"",0)),"hh:mm"))</f>
        <v>08:00</v>
      </c>
      <c r="G2812" s="309">
        <f t="shared" si="3"/>
        <v>0.7083333333</v>
      </c>
      <c r="H2812" s="316" t="str">
        <f t="array" ref="H2812">XLOOKUP(B2812,Roster!L:L,Roster!N:N,XLOOKUP(D2812,TicketsBreak!A:A,TicketsBreak!E:E,"",0),0)</f>
        <v>10:00 - 10:15</v>
      </c>
      <c r="I2812" s="316" t="str">
        <f t="array" ref="I2812">XLOOKUP(B2812,Roster!L:L,Roster!O:O,XLOOKUP(D2812,TicketsBreak!A:A,TicketsBreak!F:F,"",0),0)</f>
        <v>13:00 - 13:30</v>
      </c>
      <c r="J2812" s="316" t="str">
        <f t="array" ref="J2812">XLOOKUP(B2812,Roster!L:L,Roster!P:P,XLOOKUP(D2812,TicketsBreak!A:A,TicketsBreak!G:G,"",0),0)</f>
        <v>15:30 - 15:45</v>
      </c>
      <c r="K2812" s="310">
        <f t="shared" si="4"/>
        <v>46136</v>
      </c>
      <c r="L2812" s="317">
        <f t="array" ref="L2812">(XLOOKUP(D2812,Roster!F:F,Roster!D:D,"",0))</f>
        <v>30</v>
      </c>
      <c r="M2812" s="317" t="str">
        <f t="array" ref="M2812">XLOOKUP(D2812,Roster!F:F,Roster!E:E)</f>
        <v>Voice</v>
      </c>
      <c r="N2812" s="317" t="str">
        <f t="shared" ref="N2812:P2812" si="2852">LEFT(H2812,5)</f>
        <v>10:00</v>
      </c>
      <c r="O2812" s="317" t="str">
        <f t="shared" si="2852"/>
        <v>13:00</v>
      </c>
      <c r="P2812" s="317" t="str">
        <f t="shared" si="2852"/>
        <v>15:30</v>
      </c>
      <c r="Q2812" s="318">
        <f t="shared" si="2791"/>
        <v>46136.41667</v>
      </c>
      <c r="R2812" s="318">
        <f t="shared" si="2792"/>
        <v>46136.54167</v>
      </c>
      <c r="S2812" s="318">
        <f t="shared" si="8"/>
        <v>46136.64583</v>
      </c>
    </row>
    <row r="2813">
      <c r="A2813" s="14" t="str">
        <f t="shared" si="1"/>
        <v>C116746136</v>
      </c>
      <c r="B2813" s="185" t="str">
        <f t="array" ref="B2813">IF(F2813="VL","",IF(F2813="Free","Free",XLOOKUP(D2813,Roster!T:T,Roster!S:S,"",0)))</f>
        <v/>
      </c>
      <c r="C2813" s="313">
        <v>46136.0</v>
      </c>
      <c r="D2813" s="314" t="s">
        <v>172</v>
      </c>
      <c r="E2813" s="307" t="str">
        <f t="array" ref="E2813">(XLOOKUP(D2813,Roster!F:F,Roster!B:B,"",0))</f>
        <v>Angie Rua</v>
      </c>
      <c r="F2813" s="315" t="str">
        <f t="array" ref="F2813">IF(B2813=100,"Free",TEXT(XLOOKUP($D2813,OperationVoice!$A:$A,OperationVoice!AD:AD,XLOOKUP($D2813,OperationTickets!$A:$A,OperationTickets!AD:AD,"",0)),"hh:mm"))</f>
        <v>07:00</v>
      </c>
      <c r="G2813" s="309">
        <f t="shared" si="3"/>
        <v>0.6666666667</v>
      </c>
      <c r="H2813" s="316" t="str">
        <f t="array" ref="H2813">XLOOKUP(B2813,Roster!L:L,Roster!N:N,XLOOKUP(D2813,TicketsBreak!A:A,TicketsBreak!E:E,"",0),0)</f>
        <v/>
      </c>
      <c r="I2813" s="316" t="str">
        <f t="array" ref="I2813">XLOOKUP(B2813,Roster!L:L,Roster!O:O,XLOOKUP(D2813,TicketsBreak!A:A,TicketsBreak!F:F,"",0),0)</f>
        <v/>
      </c>
      <c r="J2813" s="316" t="str">
        <f t="array" ref="J2813">XLOOKUP(B2813,Roster!L:L,Roster!P:P,XLOOKUP(D2813,TicketsBreak!A:A,TicketsBreak!G:G,"",0),0)</f>
        <v/>
      </c>
      <c r="K2813" s="310">
        <f t="shared" si="4"/>
        <v>46136</v>
      </c>
      <c r="L2813" s="317">
        <f t="array" ref="L2813">(XLOOKUP(D2813,Roster!F:F,Roster!D:D,"",0))</f>
        <v>24</v>
      </c>
      <c r="M2813" s="317" t="str">
        <f t="array" ref="M2813">XLOOKUP(D2813,Roster!F:F,Roster!E:E)</f>
        <v>Tickets</v>
      </c>
      <c r="N2813" s="317" t="str">
        <f t="shared" ref="N2813:P2813" si="2853">LEFT(H2813,5)</f>
        <v/>
      </c>
      <c r="O2813" s="317" t="str">
        <f t="shared" si="2853"/>
        <v/>
      </c>
      <c r="P2813" s="317" t="str">
        <f t="shared" si="2853"/>
        <v/>
      </c>
      <c r="Q2813" s="318" t="str">
        <f t="shared" si="2791"/>
        <v/>
      </c>
      <c r="R2813" s="318" t="str">
        <f t="shared" si="2792"/>
        <v/>
      </c>
      <c r="S2813" s="318" t="str">
        <f t="shared" si="8"/>
        <v/>
      </c>
    </row>
    <row r="2814">
      <c r="A2814" s="14" t="str">
        <f t="shared" si="1"/>
        <v>C157946136</v>
      </c>
      <c r="B2814" s="185">
        <f t="array" ref="B2814">IF(F2814="VL","",IF(F2814="Free","Free",XLOOKUP(D2814,Roster!T:T,Roster!S:S,"",0)))</f>
        <v>126</v>
      </c>
      <c r="C2814" s="313">
        <v>46136.0</v>
      </c>
      <c r="D2814" s="314" t="s">
        <v>16</v>
      </c>
      <c r="E2814" s="307" t="str">
        <f t="array" ref="E2814">(XLOOKUP(D2814,Roster!F:F,Roster!B:B,"",0))</f>
        <v>Anibal Munoz</v>
      </c>
      <c r="F2814" s="315" t="str">
        <f t="array" ref="F2814">IF(B2814=100,"Free",TEXT(XLOOKUP($D2814,OperationVoice!$A:$A,OperationVoice!AD:AD,XLOOKUP($D2814,OperationTickets!$A:$A,OperationTickets!AD:AD,"",0)),"hh:mm"))</f>
        <v>08:00</v>
      </c>
      <c r="G2814" s="309">
        <f t="shared" si="3"/>
        <v>0.7083333333</v>
      </c>
      <c r="H2814" s="316" t="str">
        <f t="array" ref="H2814">XLOOKUP(B2814,Roster!L:L,Roster!N:N,XLOOKUP(D2814,TicketsBreak!A:A,TicketsBreak!E:E,"",0),0)</f>
        <v>10:45 - 11:00</v>
      </c>
      <c r="I2814" s="316" t="str">
        <f t="array" ref="I2814">XLOOKUP(B2814,Roster!L:L,Roster!O:O,XLOOKUP(D2814,TicketsBreak!A:A,TicketsBreak!F:F,"",0),0)</f>
        <v>14:00 - 14:30</v>
      </c>
      <c r="J2814" s="316" t="str">
        <f t="array" ref="J2814">XLOOKUP(B2814,Roster!L:L,Roster!P:P,XLOOKUP(D2814,TicketsBreak!A:A,TicketsBreak!G:G,"",0),0)</f>
        <v>15:45 - 16:00</v>
      </c>
      <c r="K2814" s="310">
        <f t="shared" si="4"/>
        <v>46136</v>
      </c>
      <c r="L2814" s="317">
        <f t="array" ref="L2814">(XLOOKUP(D2814,Roster!F:F,Roster!D:D,"",0))</f>
        <v>38</v>
      </c>
      <c r="M2814" s="317" t="str">
        <f t="array" ref="M2814">XLOOKUP(D2814,Roster!F:F,Roster!E:E)</f>
        <v>Voice</v>
      </c>
      <c r="N2814" s="317" t="str">
        <f t="shared" ref="N2814:P2814" si="2854">LEFT(H2814,5)</f>
        <v>10:45</v>
      </c>
      <c r="O2814" s="317" t="str">
        <f t="shared" si="2854"/>
        <v>14:00</v>
      </c>
      <c r="P2814" s="317" t="str">
        <f t="shared" si="2854"/>
        <v>15:45</v>
      </c>
      <c r="Q2814" s="318">
        <f t="shared" si="2791"/>
        <v>46136.44792</v>
      </c>
      <c r="R2814" s="318">
        <f t="shared" si="2792"/>
        <v>46136.58333</v>
      </c>
      <c r="S2814" s="318">
        <f t="shared" si="8"/>
        <v>46136.65625</v>
      </c>
    </row>
    <row r="2815">
      <c r="A2815" s="14" t="str">
        <f t="shared" si="1"/>
        <v>C08046136</v>
      </c>
      <c r="B2815" s="185" t="str">
        <f t="array" ref="B2815">IF(F2815="VL","",IF(F2815="Free","Free",XLOOKUP(D2815,Roster!T:T,Roster!S:S,"",0)))</f>
        <v/>
      </c>
      <c r="C2815" s="313">
        <v>46136.0</v>
      </c>
      <c r="D2815" s="314" t="s">
        <v>138</v>
      </c>
      <c r="E2815" s="307" t="str">
        <f t="array" ref="E2815">(XLOOKUP(D2815,Roster!F:F,Roster!B:B,"",0))</f>
        <v>Arturo Padilla</v>
      </c>
      <c r="F2815" s="315" t="str">
        <f t="array" ref="F2815">IF(B2815=100,"Free",TEXT(XLOOKUP($D2815,OperationVoice!$A:$A,OperationVoice!AD:AD,XLOOKUP($D2815,OperationTickets!$A:$A,OperationTickets!AD:AD,"",0)),"hh:mm"))</f>
        <v>08:00</v>
      </c>
      <c r="G2815" s="309">
        <f t="shared" si="3"/>
        <v>0.7083333333</v>
      </c>
      <c r="H2815" s="316">
        <f t="array" ref="H2815">XLOOKUP(B2815,Roster!L:L,Roster!N:N,XLOOKUP(D2815,TicketsBreak!A:A,TicketsBreak!E:E,"",0),0)</f>
        <v>0.375</v>
      </c>
      <c r="I2815" s="316">
        <f t="array" ref="I2815">XLOOKUP(B2815,Roster!L:L,Roster!O:O,XLOOKUP(D2815,TicketsBreak!A:A,TicketsBreak!F:F,"",0),0)</f>
        <v>0.5</v>
      </c>
      <c r="J2815" s="316">
        <f t="array" ref="J2815">XLOOKUP(B2815,Roster!L:L,Roster!P:P,XLOOKUP(D2815,TicketsBreak!A:A,TicketsBreak!G:G,"",0),0)</f>
        <v>0.6458333333</v>
      </c>
      <c r="K2815" s="310">
        <f t="shared" si="4"/>
        <v>46136</v>
      </c>
      <c r="L2815" s="317">
        <f t="array" ref="L2815">(XLOOKUP(D2815,Roster!F:F,Roster!D:D,"",0))</f>
        <v>1</v>
      </c>
      <c r="M2815" s="317" t="str">
        <f t="array" ref="M2815">XLOOKUP(D2815,Roster!F:F,Roster!E:E)</f>
        <v>Tickets</v>
      </c>
      <c r="N2815" s="317" t="str">
        <f t="shared" ref="N2815:P2815" si="2855">LEFT(H2815,5)</f>
        <v>09:00</v>
      </c>
      <c r="O2815" s="317" t="str">
        <f t="shared" si="2855"/>
        <v>12:00</v>
      </c>
      <c r="P2815" s="317" t="str">
        <f t="shared" si="2855"/>
        <v>15:30</v>
      </c>
      <c r="Q2815" s="318">
        <f t="shared" si="2791"/>
        <v>46136.375</v>
      </c>
      <c r="R2815" s="318">
        <f t="shared" si="2792"/>
        <v>46136.5</v>
      </c>
      <c r="S2815" s="318">
        <f t="shared" si="8"/>
        <v>46136.64583</v>
      </c>
    </row>
    <row r="2816">
      <c r="A2816" s="14" t="str">
        <f t="shared" si="1"/>
        <v>C150446136</v>
      </c>
      <c r="B2816" s="185">
        <f t="array" ref="B2816">IF(F2816="VL","",IF(F2816="Free","Free",XLOOKUP(D2816,Roster!T:T,Roster!S:S,"",0)))</f>
        <v>123</v>
      </c>
      <c r="C2816" s="313">
        <v>46136.0</v>
      </c>
      <c r="D2816" s="314" t="s">
        <v>155</v>
      </c>
      <c r="E2816" s="307" t="str">
        <f t="array" ref="E2816">(XLOOKUP(D2816,Roster!F:F,Roster!B:B,"",0))</f>
        <v>Beatriz Montanez</v>
      </c>
      <c r="F2816" s="315" t="str">
        <f t="array" ref="F2816">IF(B2816=100,"Free",TEXT(XLOOKUP($D2816,OperationVoice!$A:$A,OperationVoice!AD:AD,XLOOKUP($D2816,OperationTickets!$A:$A,OperationTickets!AD:AD,"",0)),"hh:mm"))</f>
        <v>08:00</v>
      </c>
      <c r="G2816" s="309">
        <f t="shared" si="3"/>
        <v>0.7083333333</v>
      </c>
      <c r="H2816" s="316" t="str">
        <f t="array" ref="H2816">XLOOKUP(B2816,Roster!L:L,Roster!N:N,XLOOKUP(D2816,TicketsBreak!A:A,TicketsBreak!E:E,"",0),0)</f>
        <v>09:45 - 10:00 </v>
      </c>
      <c r="I2816" s="316" t="str">
        <f t="array" ref="I2816">XLOOKUP(B2816,Roster!L:L,Roster!O:O,XLOOKUP(D2816,TicketsBreak!A:A,TicketsBreak!F:F,"",0),0)</f>
        <v>12:30 - 13:00</v>
      </c>
      <c r="J2816" s="316" t="str">
        <f t="array" ref="J2816">XLOOKUP(B2816,Roster!L:L,Roster!P:P,XLOOKUP(D2816,TicketsBreak!A:A,TicketsBreak!G:G,"",0),0)</f>
        <v>15:00 - 15:15</v>
      </c>
      <c r="K2816" s="310">
        <f t="shared" si="4"/>
        <v>46136</v>
      </c>
      <c r="L2816" s="317">
        <f t="array" ref="L2816">(XLOOKUP(D2816,Roster!F:F,Roster!D:D,"",0))</f>
        <v>35</v>
      </c>
      <c r="M2816" s="317" t="str">
        <f t="array" ref="M2816">XLOOKUP(D2816,Roster!F:F,Roster!E:E)</f>
        <v>Tickets</v>
      </c>
      <c r="N2816" s="317" t="str">
        <f t="shared" ref="N2816:P2816" si="2856">LEFT(H2816,5)</f>
        <v>09:45</v>
      </c>
      <c r="O2816" s="317" t="str">
        <f t="shared" si="2856"/>
        <v>12:30</v>
      </c>
      <c r="P2816" s="317" t="str">
        <f t="shared" si="2856"/>
        <v>15:00</v>
      </c>
      <c r="Q2816" s="318">
        <f t="shared" si="2791"/>
        <v>46136.40625</v>
      </c>
      <c r="R2816" s="318">
        <f t="shared" si="2792"/>
        <v>46136.52083</v>
      </c>
      <c r="S2816" s="318">
        <f t="shared" si="8"/>
        <v>46136.625</v>
      </c>
    </row>
    <row r="2817">
      <c r="A2817" s="14" t="str">
        <f t="shared" si="1"/>
        <v>C107746136</v>
      </c>
      <c r="B2817" s="185">
        <f t="array" ref="B2817">IF(F2817="VL","",IF(F2817="Free","Free",XLOOKUP(D2817,Roster!T:T,Roster!S:S,"",0)))</f>
        <v>125</v>
      </c>
      <c r="C2817" s="313">
        <v>46136.0</v>
      </c>
      <c r="D2817" s="314" t="s">
        <v>17</v>
      </c>
      <c r="E2817" s="307" t="str">
        <f t="array" ref="E2817">(XLOOKUP(D2817,Roster!F:F,Roster!B:B,"",0))</f>
        <v>Brahian Prado</v>
      </c>
      <c r="F2817" s="315" t="str">
        <f t="array" ref="F2817">IF(B2817=100,"Free",TEXT(XLOOKUP($D2817,OperationVoice!$A:$A,OperationVoice!AD:AD,XLOOKUP($D2817,OperationTickets!$A:$A,OperationTickets!AD:AD,"",0)),"hh:mm"))</f>
        <v>08:00</v>
      </c>
      <c r="G2817" s="309">
        <f t="shared" si="3"/>
        <v>0.7083333333</v>
      </c>
      <c r="H2817" s="316" t="str">
        <f t="array" ref="H2817">XLOOKUP(B2817,Roster!L:L,Roster!N:N,XLOOKUP(D2817,TicketsBreak!A:A,TicketsBreak!E:E,"",0),0)</f>
        <v>10:30 - 10:45</v>
      </c>
      <c r="I2817" s="316" t="str">
        <f t="array" ref="I2817">XLOOKUP(B2817,Roster!L:L,Roster!O:O,XLOOKUP(D2817,TicketsBreak!A:A,TicketsBreak!F:F,"",0),0)</f>
        <v>13:30 - 14:00</v>
      </c>
      <c r="J2817" s="316" t="str">
        <f t="array" ref="J2817">XLOOKUP(B2817,Roster!L:L,Roster!P:P,XLOOKUP(D2817,TicketsBreak!A:A,TicketsBreak!G:G,"",0),0)</f>
        <v>15:45 - 16:00</v>
      </c>
      <c r="K2817" s="310">
        <f t="shared" si="4"/>
        <v>46136</v>
      </c>
      <c r="L2817" s="317">
        <f t="array" ref="L2817">(XLOOKUP(D2817,Roster!F:F,Roster!D:D,"",0))</f>
        <v>18</v>
      </c>
      <c r="M2817" s="317" t="str">
        <f t="array" ref="M2817">XLOOKUP(D2817,Roster!F:F,Roster!E:E)</f>
        <v>Voice</v>
      </c>
      <c r="N2817" s="317" t="str">
        <f t="shared" ref="N2817:P2817" si="2857">LEFT(H2817,5)</f>
        <v>10:30</v>
      </c>
      <c r="O2817" s="317" t="str">
        <f t="shared" si="2857"/>
        <v>13:30</v>
      </c>
      <c r="P2817" s="317" t="str">
        <f t="shared" si="2857"/>
        <v>15:45</v>
      </c>
      <c r="Q2817" s="318">
        <f t="shared" si="2791"/>
        <v>46136.4375</v>
      </c>
      <c r="R2817" s="318">
        <f t="shared" si="2792"/>
        <v>46136.5625</v>
      </c>
      <c r="S2817" s="318">
        <f t="shared" si="8"/>
        <v>46136.65625</v>
      </c>
    </row>
    <row r="2818">
      <c r="A2818" s="14" t="str">
        <f t="shared" si="1"/>
        <v>C116546136</v>
      </c>
      <c r="B2818" s="185" t="str">
        <f t="array" ref="B2818">IF(F2818="VL","",IF(F2818="Free","Free",XLOOKUP(D2818,Roster!T:T,Roster!S:S,"",0)))</f>
        <v/>
      </c>
      <c r="C2818" s="313">
        <v>46136.0</v>
      </c>
      <c r="D2818" s="314" t="s">
        <v>139</v>
      </c>
      <c r="E2818" s="307" t="str">
        <f t="array" ref="E2818">(XLOOKUP(D2818,Roster!F:F,Roster!B:B,"",0))</f>
        <v>Braian Restrepo</v>
      </c>
      <c r="F2818" s="315" t="str">
        <f t="array" ref="F2818">IF(B2818=100,"Free",TEXT(XLOOKUP($D2818,OperationVoice!$A:$A,OperationVoice!AD:AD,XLOOKUP($D2818,OperationTickets!$A:$A,OperationTickets!AD:AD,"",0)),"hh:mm"))</f>
        <v>08:00</v>
      </c>
      <c r="G2818" s="309">
        <f t="shared" si="3"/>
        <v>0.7083333333</v>
      </c>
      <c r="H2818" s="316" t="str">
        <f t="array" ref="H2818">XLOOKUP(B2818,Roster!L:L,Roster!N:N,XLOOKUP(D2818,TicketsBreak!A:A,TicketsBreak!E:E,"",0),0)</f>
        <v/>
      </c>
      <c r="I2818" s="316" t="str">
        <f t="array" ref="I2818">XLOOKUP(B2818,Roster!L:L,Roster!O:O,XLOOKUP(D2818,TicketsBreak!A:A,TicketsBreak!F:F,"",0),0)</f>
        <v/>
      </c>
      <c r="J2818" s="316" t="str">
        <f t="array" ref="J2818">XLOOKUP(B2818,Roster!L:L,Roster!P:P,XLOOKUP(D2818,TicketsBreak!A:A,TicketsBreak!G:G,"",0),0)</f>
        <v/>
      </c>
      <c r="K2818" s="310">
        <f t="shared" si="4"/>
        <v>46136</v>
      </c>
      <c r="L2818" s="317">
        <f t="array" ref="L2818">(XLOOKUP(D2818,Roster!F:F,Roster!D:D,"",0))</f>
        <v>24</v>
      </c>
      <c r="M2818" s="317" t="str">
        <f t="array" ref="M2818">XLOOKUP(D2818,Roster!F:F,Roster!E:E)</f>
        <v>Tickets</v>
      </c>
      <c r="N2818" s="317" t="str">
        <f t="shared" ref="N2818:P2818" si="2858">LEFT(H2818,5)</f>
        <v/>
      </c>
      <c r="O2818" s="317" t="str">
        <f t="shared" si="2858"/>
        <v/>
      </c>
      <c r="P2818" s="317" t="str">
        <f t="shared" si="2858"/>
        <v/>
      </c>
      <c r="Q2818" s="318" t="str">
        <f t="shared" si="2791"/>
        <v/>
      </c>
      <c r="R2818" s="318" t="str">
        <f t="shared" si="2792"/>
        <v/>
      </c>
      <c r="S2818" s="318" t="str">
        <f t="shared" si="8"/>
        <v/>
      </c>
    </row>
    <row r="2819">
      <c r="A2819" s="14" t="str">
        <f t="shared" si="1"/>
        <v>C127446136</v>
      </c>
      <c r="B2819" s="185">
        <f t="array" ref="B2819">IF(F2819="VL","",IF(F2819="Free","Free",XLOOKUP(D2819,Roster!T:T,Roster!S:S,"",0)))</f>
        <v>126</v>
      </c>
      <c r="C2819" s="313">
        <v>46136.0</v>
      </c>
      <c r="D2819" s="314" t="s">
        <v>250</v>
      </c>
      <c r="E2819" s="307" t="str">
        <f t="array" ref="E2819">(XLOOKUP(D2819,Roster!F:F,Roster!B:B,"",0))</f>
        <v>Brayan Franco</v>
      </c>
      <c r="F2819" s="315" t="str">
        <f t="array" ref="F2819">IF(B2819=100,"Free",TEXT(XLOOKUP($D2819,OperationVoice!$A:$A,OperationVoice!AD:AD,XLOOKUP($D2819,OperationTickets!$A:$A,OperationTickets!AD:AD,"",0)),"hh:mm"))</f>
        <v/>
      </c>
      <c r="G2819" s="309" t="str">
        <f t="shared" si="3"/>
        <v/>
      </c>
      <c r="H2819" s="316" t="str">
        <f t="array" ref="H2819">XLOOKUP(B2819,Roster!L:L,Roster!N:N,XLOOKUP(D2819,TicketsBreak!A:A,TicketsBreak!E:E,"",0),0)</f>
        <v>10:45 - 11:00</v>
      </c>
      <c r="I2819" s="316" t="str">
        <f t="array" ref="I2819">XLOOKUP(B2819,Roster!L:L,Roster!O:O,XLOOKUP(D2819,TicketsBreak!A:A,TicketsBreak!F:F,"",0),0)</f>
        <v>14:00 - 14:30</v>
      </c>
      <c r="J2819" s="316" t="str">
        <f t="array" ref="J2819">XLOOKUP(B2819,Roster!L:L,Roster!P:P,XLOOKUP(D2819,TicketsBreak!A:A,TicketsBreak!G:G,"",0),0)</f>
        <v>15:45 - 16:00</v>
      </c>
      <c r="K2819" s="310">
        <f t="shared" si="4"/>
        <v>46136</v>
      </c>
      <c r="L2819" s="317">
        <f t="array" ref="L2819">(XLOOKUP(D2819,Roster!F:F,Roster!D:D,"",0))</f>
        <v>27</v>
      </c>
      <c r="M2819" s="317" t="str">
        <f t="array" ref="M2819">XLOOKUP(D2819,Roster!F:F,Roster!E:E)</f>
        <v>Voice</v>
      </c>
      <c r="N2819" s="317" t="str">
        <f t="shared" ref="N2819:P2819" si="2859">LEFT(H2819,5)</f>
        <v>10:45</v>
      </c>
      <c r="O2819" s="317" t="str">
        <f t="shared" si="2859"/>
        <v>14:00</v>
      </c>
      <c r="P2819" s="317" t="str">
        <f t="shared" si="2859"/>
        <v>15:45</v>
      </c>
      <c r="Q2819" s="318">
        <f t="shared" si="2791"/>
        <v>46136.44792</v>
      </c>
      <c r="R2819" s="318">
        <f t="shared" si="2792"/>
        <v>46136.58333</v>
      </c>
      <c r="S2819" s="318">
        <f t="shared" si="8"/>
        <v>46136.65625</v>
      </c>
    </row>
    <row r="2820">
      <c r="A2820" s="14" t="str">
        <f t="shared" si="1"/>
        <v>C119146136</v>
      </c>
      <c r="B2820" s="185">
        <f t="array" ref="B2820">IF(F2820="VL","",IF(F2820="Free","Free",XLOOKUP(D2820,Roster!T:T,Roster!S:S,"",0)))</f>
        <v>111</v>
      </c>
      <c r="C2820" s="313">
        <v>46136.0</v>
      </c>
      <c r="D2820" s="314" t="s">
        <v>18</v>
      </c>
      <c r="E2820" s="307" t="str">
        <f t="array" ref="E2820">(XLOOKUP(D2820,Roster!F:F,Roster!B:B,"",0))</f>
        <v>Brayan Montoya</v>
      </c>
      <c r="F2820" s="315" t="str">
        <f t="array" ref="F2820">IF(B2820=100,"Free",TEXT(XLOOKUP($D2820,OperationVoice!$A:$A,OperationVoice!AD:AD,XLOOKUP($D2820,OperationTickets!$A:$A,OperationTickets!AD:AD,"",0)),"hh:mm"))</f>
        <v>07:00</v>
      </c>
      <c r="G2820" s="309">
        <f t="shared" si="3"/>
        <v>0.6666666667</v>
      </c>
      <c r="H2820" s="316" t="str">
        <f t="array" ref="H2820">XLOOKUP(B2820,Roster!L:L,Roster!N:N,XLOOKUP(D2820,TicketsBreak!A:A,TicketsBreak!E:E,"",0),0)</f>
        <v>09:00 - 09:15</v>
      </c>
      <c r="I2820" s="316" t="str">
        <f t="array" ref="I2820">XLOOKUP(B2820,Roster!L:L,Roster!O:O,XLOOKUP(D2820,TicketsBreak!A:A,TicketsBreak!F:F,"",0),0)</f>
        <v>11:45 - 12:15</v>
      </c>
      <c r="J2820" s="316" t="str">
        <f t="array" ref="J2820">XLOOKUP(B2820,Roster!L:L,Roster!P:P,XLOOKUP(D2820,TicketsBreak!A:A,TicketsBreak!G:G,"",0),0)</f>
        <v>14:30 - 14:45</v>
      </c>
      <c r="K2820" s="310">
        <f t="shared" si="4"/>
        <v>46136</v>
      </c>
      <c r="L2820" s="317">
        <f t="array" ref="L2820">(XLOOKUP(D2820,Roster!F:F,Roster!D:D,"",0))</f>
        <v>25</v>
      </c>
      <c r="M2820" s="317" t="str">
        <f t="array" ref="M2820">XLOOKUP(D2820,Roster!F:F,Roster!E:E)</f>
        <v>Voice</v>
      </c>
      <c r="N2820" s="317" t="str">
        <f t="shared" ref="N2820:P2820" si="2860">LEFT(H2820,5)</f>
        <v>09:00</v>
      </c>
      <c r="O2820" s="317" t="str">
        <f t="shared" si="2860"/>
        <v>11:45</v>
      </c>
      <c r="P2820" s="317" t="str">
        <f t="shared" si="2860"/>
        <v>14:30</v>
      </c>
      <c r="Q2820" s="318">
        <f t="shared" si="2791"/>
        <v>46136.375</v>
      </c>
      <c r="R2820" s="318">
        <f t="shared" si="2792"/>
        <v>46136.48958</v>
      </c>
      <c r="S2820" s="318">
        <f t="shared" si="8"/>
        <v>46136.60417</v>
      </c>
    </row>
    <row r="2821">
      <c r="A2821" s="14" t="str">
        <f t="shared" si="1"/>
        <v>C152646136</v>
      </c>
      <c r="B2821" s="185">
        <f t="array" ref="B2821">IF(F2821="VL","",IF(F2821="Free","Free",XLOOKUP(D2821,Roster!T:T,Roster!S:S,"",0)))</f>
        <v>121</v>
      </c>
      <c r="C2821" s="313">
        <v>46136.0</v>
      </c>
      <c r="D2821" s="314" t="s">
        <v>19</v>
      </c>
      <c r="E2821" s="307" t="str">
        <f t="array" ref="E2821">(XLOOKUP(D2821,Roster!F:F,Roster!B:B,"",0))</f>
        <v>Breitner Benitez</v>
      </c>
      <c r="F2821" s="315" t="str">
        <f t="array" ref="F2821">IF(B2821=100,"Free",TEXT(XLOOKUP($D2821,OperationVoice!$A:$A,OperationVoice!AD:AD,XLOOKUP($D2821,OperationTickets!$A:$A,OperationTickets!AD:AD,"",0)),"hh:mm"))</f>
        <v>08:00</v>
      </c>
      <c r="G2821" s="309">
        <f t="shared" si="3"/>
        <v>0.7083333333</v>
      </c>
      <c r="H2821" s="316" t="str">
        <f t="array" ref="H2821">XLOOKUP(B2821,Roster!L:L,Roster!N:N,XLOOKUP(D2821,TicketsBreak!A:A,TicketsBreak!E:E,"",0),0)</f>
        <v>09:15 - 09:30</v>
      </c>
      <c r="I2821" s="316" t="str">
        <f t="array" ref="I2821">XLOOKUP(B2821,Roster!L:L,Roster!O:O,XLOOKUP(D2821,TicketsBreak!A:A,TicketsBreak!F:F,"",0),0)</f>
        <v>11:30 - 12:00</v>
      </c>
      <c r="J2821" s="316" t="str">
        <f t="array" ref="J2821">XLOOKUP(B2821,Roster!L:L,Roster!P:P,XLOOKUP(D2821,TicketsBreak!A:A,TicketsBreak!G:G,"",0),0)</f>
        <v>14:30 - 14:45</v>
      </c>
      <c r="K2821" s="310">
        <f t="shared" si="4"/>
        <v>46136</v>
      </c>
      <c r="L2821" s="317">
        <f t="array" ref="L2821">(XLOOKUP(D2821,Roster!F:F,Roster!D:D,"",0))</f>
        <v>13</v>
      </c>
      <c r="M2821" s="317" t="str">
        <f t="array" ref="M2821">XLOOKUP(D2821,Roster!F:F,Roster!E:E)</f>
        <v>Voice</v>
      </c>
      <c r="N2821" s="317" t="str">
        <f t="shared" ref="N2821:P2821" si="2861">LEFT(H2821,5)</f>
        <v>09:15</v>
      </c>
      <c r="O2821" s="317" t="str">
        <f t="shared" si="2861"/>
        <v>11:30</v>
      </c>
      <c r="P2821" s="317" t="str">
        <f t="shared" si="2861"/>
        <v>14:30</v>
      </c>
      <c r="Q2821" s="318">
        <f t="shared" si="2791"/>
        <v>46136.38542</v>
      </c>
      <c r="R2821" s="318">
        <f t="shared" si="2792"/>
        <v>46136.47917</v>
      </c>
      <c r="S2821" s="318">
        <f t="shared" si="8"/>
        <v>46136.60417</v>
      </c>
    </row>
    <row r="2822">
      <c r="A2822" s="14" t="str">
        <f t="shared" si="1"/>
        <v>C153546136</v>
      </c>
      <c r="B2822" s="185">
        <f t="array" ref="B2822">IF(F2822="VL","",IF(F2822="Free","Free",XLOOKUP(D2822,Roster!T:T,Roster!S:S,"",0)))</f>
        <v>154</v>
      </c>
      <c r="C2822" s="313">
        <v>46136.0</v>
      </c>
      <c r="D2822" s="314" t="s">
        <v>20</v>
      </c>
      <c r="E2822" s="307" t="str">
        <f t="array" ref="E2822">(XLOOKUP(D2822,Roster!F:F,Roster!B:B,"",0))</f>
        <v>Carlos Alzate</v>
      </c>
      <c r="F2822" s="315" t="str">
        <f t="array" ref="F2822">IF(B2822=100,"Free",TEXT(XLOOKUP($D2822,OperationVoice!$A:$A,OperationVoice!AD:AD,XLOOKUP($D2822,OperationTickets!$A:$A,OperationTickets!AD:AD,"",0)),"hh:mm"))</f>
        <v>11:00</v>
      </c>
      <c r="G2822" s="309">
        <f t="shared" si="3"/>
        <v>0.8333333333</v>
      </c>
      <c r="H2822" s="316" t="str">
        <f t="array" ref="H2822">XLOOKUP(B2822,Roster!L:L,Roster!N:N,XLOOKUP(D2822,TicketsBreak!A:A,TicketsBreak!E:E,"",0),0)</f>
        <v>13:00 - 13:15</v>
      </c>
      <c r="I2822" s="316" t="str">
        <f t="array" ref="I2822">XLOOKUP(B2822,Roster!L:L,Roster!O:O,XLOOKUP(D2822,TicketsBreak!A:A,TicketsBreak!F:F,"",0),0)</f>
        <v>15:15 - 15:45</v>
      </c>
      <c r="J2822" s="316" t="str">
        <f t="array" ref="J2822">XLOOKUP(B2822,Roster!L:L,Roster!P:P,XLOOKUP(D2822,TicketsBreak!A:A,TicketsBreak!G:G,"",0),0)</f>
        <v>18:00 - 18:15</v>
      </c>
      <c r="K2822" s="310">
        <f t="shared" si="4"/>
        <v>46136</v>
      </c>
      <c r="L2822" s="317">
        <f t="array" ref="L2822">(XLOOKUP(D2822,Roster!F:F,Roster!D:D,"",0))</f>
        <v>36</v>
      </c>
      <c r="M2822" s="317" t="str">
        <f t="array" ref="M2822">XLOOKUP(D2822,Roster!F:F,Roster!E:E)</f>
        <v>Voice</v>
      </c>
      <c r="N2822" s="317" t="str">
        <f t="shared" ref="N2822:P2822" si="2862">LEFT(H2822,5)</f>
        <v>13:00</v>
      </c>
      <c r="O2822" s="317" t="str">
        <f t="shared" si="2862"/>
        <v>15:15</v>
      </c>
      <c r="P2822" s="317" t="str">
        <f t="shared" si="2862"/>
        <v>18:00</v>
      </c>
      <c r="Q2822" s="318">
        <f t="shared" si="2791"/>
        <v>46136.54167</v>
      </c>
      <c r="R2822" s="318">
        <f t="shared" si="2792"/>
        <v>46136.63542</v>
      </c>
      <c r="S2822" s="318">
        <f t="shared" si="8"/>
        <v>46136.75</v>
      </c>
    </row>
    <row r="2823">
      <c r="A2823" s="14" t="str">
        <f t="shared" si="1"/>
        <v>C153146136</v>
      </c>
      <c r="B2823" s="185">
        <f t="array" ref="B2823">IF(F2823="VL","",IF(F2823="Free","Free",XLOOKUP(D2823,Roster!T:T,Roster!S:S,"",0)))</f>
        <v>123</v>
      </c>
      <c r="C2823" s="313">
        <v>46136.0</v>
      </c>
      <c r="D2823" s="314" t="s">
        <v>21</v>
      </c>
      <c r="E2823" s="307" t="str">
        <f t="array" ref="E2823">(XLOOKUP(D2823,Roster!F:F,Roster!B:B,"",0))</f>
        <v>Carlos Palma</v>
      </c>
      <c r="F2823" s="315" t="str">
        <f t="array" ref="F2823">IF(B2823=100,"Free",TEXT(XLOOKUP($D2823,OperationVoice!$A:$A,OperationVoice!AD:AD,XLOOKUP($D2823,OperationTickets!$A:$A,OperationTickets!AD:AD,"",0)),"hh:mm"))</f>
        <v>08:00</v>
      </c>
      <c r="G2823" s="309">
        <f t="shared" si="3"/>
        <v>0.7083333333</v>
      </c>
      <c r="H2823" s="316" t="str">
        <f t="array" ref="H2823">XLOOKUP(B2823,Roster!L:L,Roster!N:N,XLOOKUP(D2823,TicketsBreak!A:A,TicketsBreak!E:E,"",0),0)</f>
        <v>09:45 - 10:00 </v>
      </c>
      <c r="I2823" s="316" t="str">
        <f t="array" ref="I2823">XLOOKUP(B2823,Roster!L:L,Roster!O:O,XLOOKUP(D2823,TicketsBreak!A:A,TicketsBreak!F:F,"",0),0)</f>
        <v>12:30 - 13:00</v>
      </c>
      <c r="J2823" s="316" t="str">
        <f t="array" ref="J2823">XLOOKUP(B2823,Roster!L:L,Roster!P:P,XLOOKUP(D2823,TicketsBreak!A:A,TicketsBreak!G:G,"",0),0)</f>
        <v>15:00 - 15:15</v>
      </c>
      <c r="K2823" s="310">
        <f t="shared" si="4"/>
        <v>46136</v>
      </c>
      <c r="L2823" s="317">
        <f t="array" ref="L2823">(XLOOKUP(D2823,Roster!F:F,Roster!D:D,"",0))</f>
        <v>36</v>
      </c>
      <c r="M2823" s="317" t="str">
        <f t="array" ref="M2823">XLOOKUP(D2823,Roster!F:F,Roster!E:E)</f>
        <v>Voice</v>
      </c>
      <c r="N2823" s="317" t="str">
        <f t="shared" ref="N2823:P2823" si="2863">LEFT(H2823,5)</f>
        <v>09:45</v>
      </c>
      <c r="O2823" s="317" t="str">
        <f t="shared" si="2863"/>
        <v>12:30</v>
      </c>
      <c r="P2823" s="317" t="str">
        <f t="shared" si="2863"/>
        <v>15:00</v>
      </c>
      <c r="Q2823" s="318">
        <f t="shared" si="2791"/>
        <v>46136.40625</v>
      </c>
      <c r="R2823" s="318">
        <f t="shared" si="2792"/>
        <v>46136.52083</v>
      </c>
      <c r="S2823" s="318">
        <f t="shared" si="8"/>
        <v>46136.625</v>
      </c>
    </row>
    <row r="2824">
      <c r="A2824" s="14" t="str">
        <f t="shared" si="1"/>
        <v>C157646136</v>
      </c>
      <c r="B2824" s="185" t="str">
        <f t="array" ref="B2824">IF(F2824="VL","",IF(F2824="Free","Free",XLOOKUP(D2824,Roster!T:T,Roster!S:S,"",0)))</f>
        <v/>
      </c>
      <c r="C2824" s="313">
        <v>46136.0</v>
      </c>
      <c r="D2824" s="314" t="s">
        <v>313</v>
      </c>
      <c r="E2824" s="307" t="str">
        <f t="array" ref="E2824">(XLOOKUP(D2824,Roster!F:F,Roster!B:B,"",0))</f>
        <v>Carlos Ruiz</v>
      </c>
      <c r="F2824" s="315" t="str">
        <f t="array" ref="F2824">IF(B2824=100,"Free",TEXT(XLOOKUP($D2824,OperationVoice!$A:$A,OperationVoice!AD:AD,XLOOKUP($D2824,OperationTickets!$A:$A,OperationTickets!AD:AD,"",0)),"hh:mm"))</f>
        <v/>
      </c>
      <c r="G2824" s="309" t="str">
        <f t="shared" si="3"/>
        <v/>
      </c>
      <c r="H2824" s="316" t="str">
        <f t="array" ref="H2824">XLOOKUP(B2824,Roster!L:L,Roster!N:N,XLOOKUP(D2824,TicketsBreak!A:A,TicketsBreak!E:E,"",0),0)</f>
        <v/>
      </c>
      <c r="I2824" s="316" t="str">
        <f t="array" ref="I2824">XLOOKUP(B2824,Roster!L:L,Roster!O:O,XLOOKUP(D2824,TicketsBreak!A:A,TicketsBreak!F:F,"",0),0)</f>
        <v/>
      </c>
      <c r="J2824" s="316" t="str">
        <f t="array" ref="J2824">XLOOKUP(B2824,Roster!L:L,Roster!P:P,XLOOKUP(D2824,TicketsBreak!A:A,TicketsBreak!G:G,"",0),0)</f>
        <v/>
      </c>
      <c r="K2824" s="310">
        <f t="shared" si="4"/>
        <v>46136</v>
      </c>
      <c r="L2824" s="317">
        <f t="array" ref="L2824">(XLOOKUP(D2824,Roster!F:F,Roster!D:D,"",0))</f>
        <v>38</v>
      </c>
      <c r="M2824" s="317" t="str">
        <f t="array" ref="M2824">XLOOKUP(D2824,Roster!F:F,Roster!E:E)</f>
        <v>Nesting</v>
      </c>
      <c r="N2824" s="317" t="str">
        <f t="shared" ref="N2824:P2824" si="2864">LEFT(H2824,5)</f>
        <v/>
      </c>
      <c r="O2824" s="317" t="str">
        <f t="shared" si="2864"/>
        <v/>
      </c>
      <c r="P2824" s="317" t="str">
        <f t="shared" si="2864"/>
        <v/>
      </c>
      <c r="Q2824" s="318" t="str">
        <f t="shared" si="2791"/>
        <v/>
      </c>
      <c r="R2824" s="318" t="str">
        <f t="shared" si="2792"/>
        <v/>
      </c>
      <c r="S2824" s="318" t="str">
        <f t="shared" si="8"/>
        <v/>
      </c>
    </row>
    <row r="2825">
      <c r="A2825" s="14" t="str">
        <f t="shared" si="1"/>
        <v>C47946136</v>
      </c>
      <c r="B2825" s="185" t="str">
        <f t="array" ref="B2825">IF(F2825="VL","",IF(F2825="Free","Free",XLOOKUP(D2825,Roster!T:T,Roster!S:S,"",0)))</f>
        <v/>
      </c>
      <c r="C2825" s="313">
        <v>46136.0</v>
      </c>
      <c r="D2825" s="314" t="s">
        <v>173</v>
      </c>
      <c r="E2825" s="307" t="str">
        <f t="array" ref="E2825">(XLOOKUP(D2825,Roster!F:F,Roster!B:B,"",0))</f>
        <v>Carmen Grajales</v>
      </c>
      <c r="F2825" s="315" t="str">
        <f t="array" ref="F2825">IF(B2825=100,"Free",TEXT(XLOOKUP($D2825,OperationVoice!$A:$A,OperationVoice!AD:AD,XLOOKUP($D2825,OperationTickets!$A:$A,OperationTickets!AD:AD,"",0)),"hh:mm"))</f>
        <v>08:00</v>
      </c>
      <c r="G2825" s="309">
        <f t="shared" si="3"/>
        <v>0.7083333333</v>
      </c>
      <c r="H2825" s="316">
        <f t="array" ref="H2825">XLOOKUP(B2825,Roster!L:L,Roster!N:N,XLOOKUP(D2825,TicketsBreak!A:A,TicketsBreak!E:E,"",0),0)</f>
        <v>0.4270833333</v>
      </c>
      <c r="I2825" s="316">
        <f t="array" ref="I2825">XLOOKUP(B2825,Roster!L:L,Roster!O:O,XLOOKUP(D2825,TicketsBreak!A:A,TicketsBreak!F:F,"",0),0)</f>
        <v>0.53125</v>
      </c>
      <c r="J2825" s="316">
        <f t="array" ref="J2825">XLOOKUP(B2825,Roster!L:L,Roster!P:P,XLOOKUP(D2825,TicketsBreak!A:A,TicketsBreak!G:G,"",0),0)</f>
        <v>0.65625</v>
      </c>
      <c r="K2825" s="310">
        <f t="shared" si="4"/>
        <v>46136</v>
      </c>
      <c r="L2825" s="317">
        <f t="array" ref="L2825">(XLOOKUP(D2825,Roster!F:F,Roster!D:D,"",0))</f>
        <v>2</v>
      </c>
      <c r="M2825" s="317" t="str">
        <f t="array" ref="M2825">XLOOKUP(D2825,Roster!F:F,Roster!E:E)</f>
        <v>Tickets</v>
      </c>
      <c r="N2825" s="317" t="str">
        <f t="shared" ref="N2825:P2825" si="2865">LEFT(H2825,5)</f>
        <v>10:15</v>
      </c>
      <c r="O2825" s="317" t="str">
        <f t="shared" si="2865"/>
        <v>12:45</v>
      </c>
      <c r="P2825" s="317" t="str">
        <f t="shared" si="2865"/>
        <v>15:45</v>
      </c>
      <c r="Q2825" s="318">
        <f t="shared" si="2791"/>
        <v>46136.42708</v>
      </c>
      <c r="R2825" s="318">
        <f t="shared" si="2792"/>
        <v>46136.53125</v>
      </c>
      <c r="S2825" s="318">
        <f t="shared" si="8"/>
        <v>46136.65625</v>
      </c>
    </row>
    <row r="2826">
      <c r="A2826" s="14" t="str">
        <f t="shared" si="1"/>
        <v>C68746136</v>
      </c>
      <c r="B2826" s="185">
        <f t="array" ref="B2826">IF(F2826="VL","",IF(F2826="Free","Free",XLOOKUP(D2826,Roster!T:T,Roster!S:S,"",0)))</f>
        <v>122</v>
      </c>
      <c r="C2826" s="313">
        <v>46136.0</v>
      </c>
      <c r="D2826" s="314" t="s">
        <v>22</v>
      </c>
      <c r="E2826" s="307" t="str">
        <f t="array" ref="E2826">(XLOOKUP(D2826,Roster!F:F,Roster!B:B,"",0))</f>
        <v>Carolina Rios</v>
      </c>
      <c r="F2826" s="315" t="str">
        <f t="array" ref="F2826">IF(B2826=100,"Free",TEXT(XLOOKUP($D2826,OperationVoice!$A:$A,OperationVoice!AD:AD,XLOOKUP($D2826,OperationTickets!$A:$A,OperationTickets!AD:AD,"",0)),"hh:mm"))</f>
        <v>08:00</v>
      </c>
      <c r="G2826" s="309">
        <f t="shared" si="3"/>
        <v>0.7083333333</v>
      </c>
      <c r="H2826" s="316" t="str">
        <f t="array" ref="H2826">XLOOKUP(B2826,Roster!L:L,Roster!N:N,XLOOKUP(D2826,TicketsBreak!A:A,TicketsBreak!E:E,"",0),0)</f>
        <v>09:30 - 09:45</v>
      </c>
      <c r="I2826" s="316" t="str">
        <f t="array" ref="I2826">XLOOKUP(B2826,Roster!L:L,Roster!O:O,XLOOKUP(D2826,TicketsBreak!A:A,TicketsBreak!F:F,"",0),0)</f>
        <v>12:00 - 12:30</v>
      </c>
      <c r="J2826" s="316" t="str">
        <f t="array" ref="J2826">XLOOKUP(B2826,Roster!L:L,Roster!P:P,XLOOKUP(D2826,TicketsBreak!A:A,TicketsBreak!G:G,"",0),0)</f>
        <v>14:45 - 15:00</v>
      </c>
      <c r="K2826" s="310">
        <f t="shared" si="4"/>
        <v>46136</v>
      </c>
      <c r="L2826" s="317">
        <f t="array" ref="L2826">(XLOOKUP(D2826,Roster!F:F,Roster!D:D,"",0))</f>
        <v>5</v>
      </c>
      <c r="M2826" s="317" t="str">
        <f t="array" ref="M2826">XLOOKUP(D2826,Roster!F:F,Roster!E:E)</f>
        <v>Voice</v>
      </c>
      <c r="N2826" s="317" t="str">
        <f t="shared" ref="N2826:P2826" si="2866">LEFT(H2826,5)</f>
        <v>09:30</v>
      </c>
      <c r="O2826" s="317" t="str">
        <f t="shared" si="2866"/>
        <v>12:00</v>
      </c>
      <c r="P2826" s="317" t="str">
        <f t="shared" si="2866"/>
        <v>14:45</v>
      </c>
      <c r="Q2826" s="318">
        <f t="shared" si="2791"/>
        <v>46136.39583</v>
      </c>
      <c r="R2826" s="318">
        <f t="shared" si="2792"/>
        <v>46136.5</v>
      </c>
      <c r="S2826" s="318">
        <f t="shared" si="8"/>
        <v>46136.61458</v>
      </c>
    </row>
    <row r="2827">
      <c r="A2827" s="14" t="str">
        <f t="shared" si="1"/>
        <v>C152846136</v>
      </c>
      <c r="B2827" s="185">
        <f t="array" ref="B2827">IF(F2827="VL","",IF(F2827="Free","Free",XLOOKUP(D2827,Roster!T:T,Roster!S:S,"",0)))</f>
        <v>132</v>
      </c>
      <c r="C2827" s="313">
        <v>46136.0</v>
      </c>
      <c r="D2827" s="314" t="s">
        <v>23</v>
      </c>
      <c r="E2827" s="307" t="str">
        <f t="array" ref="E2827">(XLOOKUP(D2827,Roster!F:F,Roster!B:B,"",0))</f>
        <v>Christian Ramirez</v>
      </c>
      <c r="F2827" s="315" t="str">
        <f t="array" ref="F2827">IF(B2827=100,"Free",TEXT(XLOOKUP($D2827,OperationVoice!$A:$A,OperationVoice!AD:AD,XLOOKUP($D2827,OperationTickets!$A:$A,OperationTickets!AD:AD,"",0)),"hh:mm"))</f>
        <v>08:00</v>
      </c>
      <c r="G2827" s="309">
        <f t="shared" si="3"/>
        <v>0.7083333333</v>
      </c>
      <c r="H2827" s="316" t="str">
        <f t="array" ref="H2827">XLOOKUP(B2827,Roster!L:L,Roster!N:N,XLOOKUP(D2827,TicketsBreak!A:A,TicketsBreak!E:E,"",0),0)</f>
        <v>10:30 - 10:45</v>
      </c>
      <c r="I2827" s="316" t="str">
        <f t="array" ref="I2827">XLOOKUP(B2827,Roster!L:L,Roster!O:O,XLOOKUP(D2827,TicketsBreak!A:A,TicketsBreak!F:F,"",0),0)</f>
        <v>13:00 - 13:30</v>
      </c>
      <c r="J2827" s="316" t="str">
        <f t="array" ref="J2827">XLOOKUP(B2827,Roster!L:L,Roster!P:P,XLOOKUP(D2827,TicketsBreak!A:A,TicketsBreak!G:G,"",0),0)</f>
        <v>15:30 - 15:45</v>
      </c>
      <c r="K2827" s="310">
        <f t="shared" si="4"/>
        <v>46136</v>
      </c>
      <c r="L2827" s="317">
        <f t="array" ref="L2827">(XLOOKUP(D2827,Roster!F:F,Roster!D:D,"",0))</f>
        <v>36</v>
      </c>
      <c r="M2827" s="317" t="str">
        <f t="array" ref="M2827">XLOOKUP(D2827,Roster!F:F,Roster!E:E)</f>
        <v>Voice</v>
      </c>
      <c r="N2827" s="317" t="str">
        <f t="shared" ref="N2827:P2827" si="2867">LEFT(H2827,5)</f>
        <v>10:30</v>
      </c>
      <c r="O2827" s="317" t="str">
        <f t="shared" si="2867"/>
        <v>13:00</v>
      </c>
      <c r="P2827" s="317" t="str">
        <f t="shared" si="2867"/>
        <v>15:30</v>
      </c>
      <c r="Q2827" s="318">
        <f t="shared" si="2791"/>
        <v>46136.4375</v>
      </c>
      <c r="R2827" s="318">
        <f t="shared" si="2792"/>
        <v>46136.54167</v>
      </c>
      <c r="S2827" s="318">
        <f t="shared" si="8"/>
        <v>46136.64583</v>
      </c>
    </row>
    <row r="2828">
      <c r="A2828" s="14" t="str">
        <f t="shared" si="1"/>
        <v>C132546136</v>
      </c>
      <c r="B2828" s="185">
        <f t="array" ref="B2828">IF(F2828="VL","",IF(F2828="Free","Free",XLOOKUP(D2828,Roster!T:T,Roster!S:S,"",0)))</f>
        <v>123</v>
      </c>
      <c r="C2828" s="313">
        <v>46136.0</v>
      </c>
      <c r="D2828" s="314" t="s">
        <v>174</v>
      </c>
      <c r="E2828" s="307" t="str">
        <f t="array" ref="E2828">(XLOOKUP(D2828,Roster!F:F,Roster!B:B,"",0))</f>
        <v>Cristian Ferreira</v>
      </c>
      <c r="F2828" s="315" t="str">
        <f t="array" ref="F2828">IF(B2828=100,"Free",TEXT(XLOOKUP($D2828,OperationVoice!$A:$A,OperationVoice!AD:AD,XLOOKUP($D2828,OperationTickets!$A:$A,OperationTickets!AD:AD,"",0)),"hh:mm"))</f>
        <v>08:00</v>
      </c>
      <c r="G2828" s="309">
        <f t="shared" si="3"/>
        <v>0.7083333333</v>
      </c>
      <c r="H2828" s="316" t="str">
        <f t="array" ref="H2828">XLOOKUP(B2828,Roster!L:L,Roster!N:N,XLOOKUP(D2828,TicketsBreak!A:A,TicketsBreak!E:E,"",0),0)</f>
        <v>09:45 - 10:00 </v>
      </c>
      <c r="I2828" s="316" t="str">
        <f t="array" ref="I2828">XLOOKUP(B2828,Roster!L:L,Roster!O:O,XLOOKUP(D2828,TicketsBreak!A:A,TicketsBreak!F:F,"",0),0)</f>
        <v>12:30 - 13:00</v>
      </c>
      <c r="J2828" s="316" t="str">
        <f t="array" ref="J2828">XLOOKUP(B2828,Roster!L:L,Roster!P:P,XLOOKUP(D2828,TicketsBreak!A:A,TicketsBreak!G:G,"",0),0)</f>
        <v>15:00 - 15:15</v>
      </c>
      <c r="K2828" s="310">
        <f t="shared" si="4"/>
        <v>46136</v>
      </c>
      <c r="L2828" s="317">
        <f t="array" ref="L2828">(XLOOKUP(D2828,Roster!F:F,Roster!D:D,"",0))</f>
        <v>29</v>
      </c>
      <c r="M2828" s="317" t="str">
        <f t="array" ref="M2828">XLOOKUP(D2828,Roster!F:F,Roster!E:E)</f>
        <v>Tickets</v>
      </c>
      <c r="N2828" s="317" t="str">
        <f t="shared" ref="N2828:P2828" si="2868">LEFT(H2828,5)</f>
        <v>09:45</v>
      </c>
      <c r="O2828" s="317" t="str">
        <f t="shared" si="2868"/>
        <v>12:30</v>
      </c>
      <c r="P2828" s="317" t="str">
        <f t="shared" si="2868"/>
        <v>15:00</v>
      </c>
      <c r="Q2828" s="318">
        <f t="shared" si="2791"/>
        <v>46136.40625</v>
      </c>
      <c r="R2828" s="318">
        <f t="shared" si="2792"/>
        <v>46136.52083</v>
      </c>
      <c r="S2828" s="318">
        <f t="shared" si="8"/>
        <v>46136.625</v>
      </c>
    </row>
    <row r="2829">
      <c r="A2829" s="14" t="str">
        <f t="shared" si="1"/>
        <v>C151046136</v>
      </c>
      <c r="B2829" s="185">
        <f t="array" ref="B2829">IF(F2829="VL","",IF(F2829="Free","Free",XLOOKUP(D2829,Roster!T:T,Roster!S:S,"",0)))</f>
        <v>121</v>
      </c>
      <c r="C2829" s="313">
        <v>46136.0</v>
      </c>
      <c r="D2829" s="314" t="s">
        <v>24</v>
      </c>
      <c r="E2829" s="307" t="str">
        <f t="array" ref="E2829">(XLOOKUP(D2829,Roster!F:F,Roster!B:B,"",0))</f>
        <v>Cristian Gomez</v>
      </c>
      <c r="F2829" s="315" t="str">
        <f t="array" ref="F2829">IF(B2829=100,"Free",TEXT(XLOOKUP($D2829,OperationVoice!$A:$A,OperationVoice!AD:AD,XLOOKUP($D2829,OperationTickets!$A:$A,OperationTickets!AD:AD,"",0)),"hh:mm"))</f>
        <v>08:00</v>
      </c>
      <c r="G2829" s="309">
        <f t="shared" si="3"/>
        <v>0.7083333333</v>
      </c>
      <c r="H2829" s="316" t="str">
        <f t="array" ref="H2829">XLOOKUP(B2829,Roster!L:L,Roster!N:N,XLOOKUP(D2829,TicketsBreak!A:A,TicketsBreak!E:E,"",0),0)</f>
        <v>09:15 - 09:30</v>
      </c>
      <c r="I2829" s="316" t="str">
        <f t="array" ref="I2829">XLOOKUP(B2829,Roster!L:L,Roster!O:O,XLOOKUP(D2829,TicketsBreak!A:A,TicketsBreak!F:F,"",0),0)</f>
        <v>11:30 - 12:00</v>
      </c>
      <c r="J2829" s="316" t="str">
        <f t="array" ref="J2829">XLOOKUP(B2829,Roster!L:L,Roster!P:P,XLOOKUP(D2829,TicketsBreak!A:A,TicketsBreak!G:G,"",0),0)</f>
        <v>14:30 - 14:45</v>
      </c>
      <c r="K2829" s="310">
        <f t="shared" si="4"/>
        <v>46136</v>
      </c>
      <c r="L2829" s="317">
        <f t="array" ref="L2829">(XLOOKUP(D2829,Roster!F:F,Roster!D:D,"",0))</f>
        <v>35</v>
      </c>
      <c r="M2829" s="317" t="str">
        <f t="array" ref="M2829">XLOOKUP(D2829,Roster!F:F,Roster!E:E)</f>
        <v>Voice</v>
      </c>
      <c r="N2829" s="317" t="str">
        <f t="shared" ref="N2829:P2829" si="2869">LEFT(H2829,5)</f>
        <v>09:15</v>
      </c>
      <c r="O2829" s="317" t="str">
        <f t="shared" si="2869"/>
        <v>11:30</v>
      </c>
      <c r="P2829" s="317" t="str">
        <f t="shared" si="2869"/>
        <v>14:30</v>
      </c>
      <c r="Q2829" s="318">
        <f t="shared" si="2791"/>
        <v>46136.38542</v>
      </c>
      <c r="R2829" s="318">
        <f t="shared" si="2792"/>
        <v>46136.47917</v>
      </c>
      <c r="S2829" s="318">
        <f t="shared" si="8"/>
        <v>46136.60417</v>
      </c>
    </row>
    <row r="2830">
      <c r="A2830" s="14" t="str">
        <f t="shared" si="1"/>
        <v>C67346136</v>
      </c>
      <c r="B2830" s="185" t="str">
        <f t="array" ref="B2830">IF(F2830="VL","",IF(F2830="Free","Free",XLOOKUP(D2830,Roster!T:T,Roster!S:S,"",0)))</f>
        <v/>
      </c>
      <c r="C2830" s="313">
        <v>46136.0</v>
      </c>
      <c r="D2830" s="314" t="s">
        <v>156</v>
      </c>
      <c r="E2830" s="307" t="str">
        <f t="array" ref="E2830">(XLOOKUP(D2830,Roster!F:F,Roster!B:B,"",0))</f>
        <v>Dahiana Cano</v>
      </c>
      <c r="F2830" s="315" t="str">
        <f t="array" ref="F2830">IF(B2830=100,"Free",TEXT(XLOOKUP($D2830,OperationVoice!$A:$A,OperationVoice!AD:AD,XLOOKUP($D2830,OperationTickets!$A:$A,OperationTickets!AD:AD,"",0)),"hh:mm"))</f>
        <v>08:00</v>
      </c>
      <c r="G2830" s="309">
        <f t="shared" si="3"/>
        <v>0.7083333333</v>
      </c>
      <c r="H2830" s="316">
        <f t="array" ref="H2830">XLOOKUP(B2830,Roster!L:L,Roster!N:N,XLOOKUP(D2830,TicketsBreak!A:A,TicketsBreak!E:E,"",0),0)</f>
        <v>0.4583333333</v>
      </c>
      <c r="I2830" s="316">
        <f t="array" ref="I2830">XLOOKUP(B2830,Roster!L:L,Roster!O:O,XLOOKUP(D2830,TicketsBreak!A:A,TicketsBreak!F:F,"",0),0)</f>
        <v>0.5833333333</v>
      </c>
      <c r="J2830" s="316">
        <f t="array" ref="J2830">XLOOKUP(B2830,Roster!L:L,Roster!P:P,XLOOKUP(D2830,TicketsBreak!A:A,TicketsBreak!G:G,"",0),0)</f>
        <v>0.65625</v>
      </c>
      <c r="K2830" s="310">
        <f t="shared" si="4"/>
        <v>46136</v>
      </c>
      <c r="L2830" s="317">
        <f t="array" ref="L2830">(XLOOKUP(D2830,Roster!F:F,Roster!D:D,"",0))</f>
        <v>4</v>
      </c>
      <c r="M2830" s="317" t="str">
        <f t="array" ref="M2830">XLOOKUP(D2830,Roster!F:F,Roster!E:E)</f>
        <v>Tickets</v>
      </c>
      <c r="N2830" s="317" t="str">
        <f t="shared" ref="N2830:P2830" si="2870">LEFT(H2830,5)</f>
        <v>11:00</v>
      </c>
      <c r="O2830" s="317" t="str">
        <f t="shared" si="2870"/>
        <v>14:00</v>
      </c>
      <c r="P2830" s="317" t="str">
        <f t="shared" si="2870"/>
        <v>15:45</v>
      </c>
      <c r="Q2830" s="318">
        <f t="shared" si="2791"/>
        <v>46136.45833</v>
      </c>
      <c r="R2830" s="318">
        <f t="shared" si="2792"/>
        <v>46136.58333</v>
      </c>
      <c r="S2830" s="318">
        <f t="shared" si="8"/>
        <v>46136.65625</v>
      </c>
    </row>
    <row r="2831">
      <c r="A2831" s="14" t="str">
        <f t="shared" si="1"/>
        <v>C152946136</v>
      </c>
      <c r="B2831" s="185">
        <f t="array" ref="B2831">IF(F2831="VL","",IF(F2831="Free","Free",XLOOKUP(D2831,Roster!T:T,Roster!S:S,"",0)))</f>
        <v>133</v>
      </c>
      <c r="C2831" s="313">
        <v>46136.0</v>
      </c>
      <c r="D2831" s="314" t="s">
        <v>25</v>
      </c>
      <c r="E2831" s="307" t="str">
        <f t="array" ref="E2831">(XLOOKUP(D2831,Roster!F:F,Roster!B:B,"",0))</f>
        <v>Daniel Barrientos</v>
      </c>
      <c r="F2831" s="315" t="str">
        <f t="array" ref="F2831">IF(B2831=100,"Free",TEXT(XLOOKUP($D2831,OperationVoice!$A:$A,OperationVoice!AD:AD,XLOOKUP($D2831,OperationTickets!$A:$A,OperationTickets!AD:AD,"",0)),"hh:mm"))</f>
        <v>09:00</v>
      </c>
      <c r="G2831" s="309">
        <f t="shared" si="3"/>
        <v>0.75</v>
      </c>
      <c r="H2831" s="316" t="str">
        <f t="array" ref="H2831">XLOOKUP(B2831,Roster!L:L,Roster!N:N,XLOOKUP(D2831,TicketsBreak!A:A,TicketsBreak!E:E,"",0),0)</f>
        <v>10:45 - 11:00 </v>
      </c>
      <c r="I2831" s="316" t="str">
        <f t="array" ref="I2831">XLOOKUP(B2831,Roster!L:L,Roster!O:O,XLOOKUP(D2831,TicketsBreak!A:A,TicketsBreak!F:F,"",0),0)</f>
        <v>13:30 - 14:00</v>
      </c>
      <c r="J2831" s="316" t="str">
        <f t="array" ref="J2831">XLOOKUP(B2831,Roster!L:L,Roster!P:P,XLOOKUP(D2831,TicketsBreak!A:A,TicketsBreak!G:G,"",0),0)</f>
        <v>15:45 - 16:00</v>
      </c>
      <c r="K2831" s="310">
        <f t="shared" si="4"/>
        <v>46136</v>
      </c>
      <c r="L2831" s="317">
        <f t="array" ref="L2831">(XLOOKUP(D2831,Roster!F:F,Roster!D:D,"",0))</f>
        <v>36</v>
      </c>
      <c r="M2831" s="317" t="str">
        <f t="array" ref="M2831">XLOOKUP(D2831,Roster!F:F,Roster!E:E)</f>
        <v>Voice</v>
      </c>
      <c r="N2831" s="317" t="str">
        <f t="shared" ref="N2831:P2831" si="2871">LEFT(H2831,5)</f>
        <v>10:45</v>
      </c>
      <c r="O2831" s="317" t="str">
        <f t="shared" si="2871"/>
        <v>13:30</v>
      </c>
      <c r="P2831" s="317" t="str">
        <f t="shared" si="2871"/>
        <v>15:45</v>
      </c>
      <c r="Q2831" s="318">
        <f t="shared" si="2791"/>
        <v>46136.44792</v>
      </c>
      <c r="R2831" s="318">
        <f t="shared" si="2792"/>
        <v>46136.5625</v>
      </c>
      <c r="S2831" s="318">
        <f t="shared" si="8"/>
        <v>46136.65625</v>
      </c>
    </row>
    <row r="2832">
      <c r="A2832" s="14" t="str">
        <f t="shared" si="1"/>
        <v>C106446136</v>
      </c>
      <c r="B2832" s="185" t="str">
        <f t="array" ref="B2832">IF(F2832="VL","",IF(F2832="Free","Free",XLOOKUP(D2832,Roster!T:T,Roster!S:S,"",0)))</f>
        <v/>
      </c>
      <c r="C2832" s="313">
        <v>46136.0</v>
      </c>
      <c r="D2832" s="314" t="s">
        <v>175</v>
      </c>
      <c r="E2832" s="307" t="str">
        <f t="array" ref="E2832">(XLOOKUP(D2832,Roster!F:F,Roster!B:B,"",0))</f>
        <v>Daniel Urrego</v>
      </c>
      <c r="F2832" s="315" t="str">
        <f t="array" ref="F2832">IF(B2832=100,"Free",TEXT(XLOOKUP($D2832,OperationVoice!$A:$A,OperationVoice!AD:AD,XLOOKUP($D2832,OperationTickets!$A:$A,OperationTickets!AD:AD,"",0)),"hh:mm"))</f>
        <v>08:00</v>
      </c>
      <c r="G2832" s="309">
        <f t="shared" si="3"/>
        <v>0.7083333333</v>
      </c>
      <c r="H2832" s="316" t="str">
        <f t="array" ref="H2832">XLOOKUP(B2832,Roster!L:L,Roster!N:N,XLOOKUP(D2832,TicketsBreak!A:A,TicketsBreak!E:E,"",0),0)</f>
        <v/>
      </c>
      <c r="I2832" s="316" t="str">
        <f t="array" ref="I2832">XLOOKUP(B2832,Roster!L:L,Roster!O:O,XLOOKUP(D2832,TicketsBreak!A:A,TicketsBreak!F:F,"",0),0)</f>
        <v/>
      </c>
      <c r="J2832" s="316" t="str">
        <f t="array" ref="J2832">XLOOKUP(B2832,Roster!L:L,Roster!P:P,XLOOKUP(D2832,TicketsBreak!A:A,TicketsBreak!G:G,"",0),0)</f>
        <v/>
      </c>
      <c r="K2832" s="310">
        <f t="shared" si="4"/>
        <v>46136</v>
      </c>
      <c r="L2832" s="317">
        <f t="array" ref="L2832">(XLOOKUP(D2832,Roster!F:F,Roster!D:D,"",0))</f>
        <v>17</v>
      </c>
      <c r="M2832" s="317" t="str">
        <f t="array" ref="M2832">XLOOKUP(D2832,Roster!F:F,Roster!E:E)</f>
        <v>Tickets</v>
      </c>
      <c r="N2832" s="317" t="str">
        <f t="shared" ref="N2832:P2832" si="2872">LEFT(H2832,5)</f>
        <v/>
      </c>
      <c r="O2832" s="317" t="str">
        <f t="shared" si="2872"/>
        <v/>
      </c>
      <c r="P2832" s="317" t="str">
        <f t="shared" si="2872"/>
        <v/>
      </c>
      <c r="Q2832" s="318" t="str">
        <f t="shared" si="2791"/>
        <v/>
      </c>
      <c r="R2832" s="318" t="str">
        <f t="shared" si="2792"/>
        <v/>
      </c>
      <c r="S2832" s="318" t="str">
        <f t="shared" si="8"/>
        <v/>
      </c>
    </row>
    <row r="2833">
      <c r="A2833" s="14" t="str">
        <f t="shared" si="1"/>
        <v>C151346136</v>
      </c>
      <c r="B2833" s="185">
        <f t="array" ref="B2833">IF(F2833="VL","",IF(F2833="Free","Free",XLOOKUP(D2833,Roster!T:T,Roster!S:S,"",0)))</f>
        <v>126</v>
      </c>
      <c r="C2833" s="313">
        <v>46136.0</v>
      </c>
      <c r="D2833" s="314" t="s">
        <v>26</v>
      </c>
      <c r="E2833" s="307" t="str">
        <f t="array" ref="E2833">(XLOOKUP(D2833,Roster!F:F,Roster!B:B,"",0))</f>
        <v>David Patino</v>
      </c>
      <c r="F2833" s="315" t="str">
        <f t="array" ref="F2833">IF(B2833=100,"Free",TEXT(XLOOKUP($D2833,OperationVoice!$A:$A,OperationVoice!AD:AD,XLOOKUP($D2833,OperationTickets!$A:$A,OperationTickets!AD:AD,"",0)),"hh:mm"))</f>
        <v>08:00</v>
      </c>
      <c r="G2833" s="309">
        <f t="shared" si="3"/>
        <v>0.7083333333</v>
      </c>
      <c r="H2833" s="316" t="str">
        <f t="array" ref="H2833">XLOOKUP(B2833,Roster!L:L,Roster!N:N,XLOOKUP(D2833,TicketsBreak!A:A,TicketsBreak!E:E,"",0),0)</f>
        <v>10:45 - 11:00</v>
      </c>
      <c r="I2833" s="316" t="str">
        <f t="array" ref="I2833">XLOOKUP(B2833,Roster!L:L,Roster!O:O,XLOOKUP(D2833,TicketsBreak!A:A,TicketsBreak!F:F,"",0),0)</f>
        <v>14:00 - 14:30</v>
      </c>
      <c r="J2833" s="316" t="str">
        <f t="array" ref="J2833">XLOOKUP(B2833,Roster!L:L,Roster!P:P,XLOOKUP(D2833,TicketsBreak!A:A,TicketsBreak!G:G,"",0),0)</f>
        <v>15:45 - 16:00</v>
      </c>
      <c r="K2833" s="310">
        <f t="shared" si="4"/>
        <v>46136</v>
      </c>
      <c r="L2833" s="317">
        <f t="array" ref="L2833">(XLOOKUP(D2833,Roster!F:F,Roster!D:D,"",0))</f>
        <v>35</v>
      </c>
      <c r="M2833" s="317" t="str">
        <f t="array" ref="M2833">XLOOKUP(D2833,Roster!F:F,Roster!E:E)</f>
        <v>Voice</v>
      </c>
      <c r="N2833" s="317" t="str">
        <f t="shared" ref="N2833:P2833" si="2873">LEFT(H2833,5)</f>
        <v>10:45</v>
      </c>
      <c r="O2833" s="317" t="str">
        <f t="shared" si="2873"/>
        <v>14:00</v>
      </c>
      <c r="P2833" s="317" t="str">
        <f t="shared" si="2873"/>
        <v>15:45</v>
      </c>
      <c r="Q2833" s="318">
        <f t="shared" si="2791"/>
        <v>46136.44792</v>
      </c>
      <c r="R2833" s="318">
        <f t="shared" si="2792"/>
        <v>46136.58333</v>
      </c>
      <c r="S2833" s="318">
        <f t="shared" si="8"/>
        <v>46136.65625</v>
      </c>
    </row>
    <row r="2834">
      <c r="A2834" s="14" t="str">
        <f t="shared" si="1"/>
        <v>C127746136</v>
      </c>
      <c r="B2834" s="185">
        <f t="array" ref="B2834">IF(F2834="VL","",IF(F2834="Free","Free",XLOOKUP(D2834,Roster!T:T,Roster!S:S,"",0)))</f>
        <v>124</v>
      </c>
      <c r="C2834" s="313">
        <v>46136.0</v>
      </c>
      <c r="D2834" s="314" t="s">
        <v>27</v>
      </c>
      <c r="E2834" s="307" t="str">
        <f t="array" ref="E2834">(XLOOKUP(D2834,Roster!F:F,Roster!B:B,"",0))</f>
        <v>Edwuin Martinez</v>
      </c>
      <c r="F2834" s="315" t="str">
        <f t="array" ref="F2834">IF(B2834=100,"Free",TEXT(XLOOKUP($D2834,OperationVoice!$A:$A,OperationVoice!AD:AD,XLOOKUP($D2834,OperationTickets!$A:$A,OperationTickets!AD:AD,"",0)),"hh:mm"))</f>
        <v>08:00</v>
      </c>
      <c r="G2834" s="309">
        <f t="shared" si="3"/>
        <v>0.7083333333</v>
      </c>
      <c r="H2834" s="316" t="str">
        <f t="array" ref="H2834">XLOOKUP(B2834,Roster!L:L,Roster!N:N,XLOOKUP(D2834,TicketsBreak!A:A,TicketsBreak!E:E,"",0),0)</f>
        <v>10:00 - 10:15</v>
      </c>
      <c r="I2834" s="316" t="str">
        <f t="array" ref="I2834">XLOOKUP(B2834,Roster!L:L,Roster!O:O,XLOOKUP(D2834,TicketsBreak!A:A,TicketsBreak!F:F,"",0),0)</f>
        <v>13:00 - 13:30</v>
      </c>
      <c r="J2834" s="316" t="str">
        <f t="array" ref="J2834">XLOOKUP(B2834,Roster!L:L,Roster!P:P,XLOOKUP(D2834,TicketsBreak!A:A,TicketsBreak!G:G,"",0),0)</f>
        <v>15:30 - 15:45</v>
      </c>
      <c r="K2834" s="310">
        <f t="shared" si="4"/>
        <v>46136</v>
      </c>
      <c r="L2834" s="317">
        <f t="array" ref="L2834">(XLOOKUP(D2834,Roster!F:F,Roster!D:D,"",0))</f>
        <v>27</v>
      </c>
      <c r="M2834" s="317" t="str">
        <f t="array" ref="M2834">XLOOKUP(D2834,Roster!F:F,Roster!E:E)</f>
        <v>Voice</v>
      </c>
      <c r="N2834" s="317" t="str">
        <f t="shared" ref="N2834:P2834" si="2874">LEFT(H2834,5)</f>
        <v>10:00</v>
      </c>
      <c r="O2834" s="317" t="str">
        <f t="shared" si="2874"/>
        <v>13:00</v>
      </c>
      <c r="P2834" s="317" t="str">
        <f t="shared" si="2874"/>
        <v>15:30</v>
      </c>
      <c r="Q2834" s="318">
        <f t="shared" si="2791"/>
        <v>46136.41667</v>
      </c>
      <c r="R2834" s="318">
        <f t="shared" si="2792"/>
        <v>46136.54167</v>
      </c>
      <c r="S2834" s="318">
        <f t="shared" si="8"/>
        <v>46136.64583</v>
      </c>
    </row>
    <row r="2835">
      <c r="A2835" s="14" t="str">
        <f t="shared" si="1"/>
        <v>C121646136</v>
      </c>
      <c r="B2835" s="185" t="str">
        <f t="array" ref="B2835">IF(F2835="VL","",IF(F2835="Free","Free",XLOOKUP(D2835,Roster!T:T,Roster!S:S,"",0)))</f>
        <v/>
      </c>
      <c r="C2835" s="313">
        <v>46136.0</v>
      </c>
      <c r="D2835" s="314" t="s">
        <v>134</v>
      </c>
      <c r="E2835" s="307" t="str">
        <f t="array" ref="E2835">(XLOOKUP(D2835,Roster!F:F,Roster!B:B,"",0))</f>
        <v>Eliana Pena</v>
      </c>
      <c r="F2835" s="315" t="str">
        <f t="array" ref="F2835">IF(B2835=100,"Free",TEXT(XLOOKUP($D2835,OperationVoice!$A:$A,OperationVoice!AD:AD,XLOOKUP($D2835,OperationTickets!$A:$A,OperationTickets!AD:AD,"",0)),"hh:mm"))</f>
        <v>08:00</v>
      </c>
      <c r="G2835" s="309">
        <f t="shared" si="3"/>
        <v>0.7083333333</v>
      </c>
      <c r="H2835" s="316">
        <f t="array" ref="H2835">XLOOKUP(B2835,Roster!L:L,Roster!N:N,XLOOKUP(D2835,TicketsBreak!A:A,TicketsBreak!E:E,"",0),0)</f>
        <v>0.3958333333</v>
      </c>
      <c r="I2835" s="316">
        <f t="array" ref="I2835">XLOOKUP(B2835,Roster!L:L,Roster!O:O,XLOOKUP(D2835,TicketsBreak!A:A,TicketsBreak!F:F,"",0),0)</f>
        <v>0.5416666667</v>
      </c>
      <c r="J2835" s="316">
        <f t="array" ref="J2835">XLOOKUP(B2835,Roster!L:L,Roster!P:P,XLOOKUP(D2835,TicketsBreak!A:A,TicketsBreak!G:G,"",0),0)</f>
        <v>0.6354166667</v>
      </c>
      <c r="K2835" s="310">
        <f t="shared" si="4"/>
        <v>46136</v>
      </c>
      <c r="L2835" s="317">
        <f t="array" ref="L2835">(XLOOKUP(D2835,Roster!F:F,Roster!D:D,"",0))</f>
        <v>26</v>
      </c>
      <c r="M2835" s="317" t="str">
        <f t="array" ref="M2835">XLOOKUP(D2835,Roster!F:F,Roster!E:E)</f>
        <v>Tickets</v>
      </c>
      <c r="N2835" s="317" t="str">
        <f t="shared" ref="N2835:P2835" si="2875">LEFT(H2835,5)</f>
        <v>09:30</v>
      </c>
      <c r="O2835" s="317" t="str">
        <f t="shared" si="2875"/>
        <v>13:00</v>
      </c>
      <c r="P2835" s="317" t="str">
        <f t="shared" si="2875"/>
        <v>15:15</v>
      </c>
      <c r="Q2835" s="318">
        <f t="shared" si="2791"/>
        <v>46136.39583</v>
      </c>
      <c r="R2835" s="318">
        <f t="shared" si="2792"/>
        <v>46136.54167</v>
      </c>
      <c r="S2835" s="318">
        <f t="shared" si="8"/>
        <v>46136.63542</v>
      </c>
    </row>
    <row r="2836">
      <c r="A2836" s="14" t="str">
        <f t="shared" si="1"/>
        <v>C157346136</v>
      </c>
      <c r="B2836" s="185" t="str">
        <f t="array" ref="B2836">IF(F2836="VL","",IF(F2836="Free","Free",XLOOKUP(D2836,Roster!T:T,Roster!S:S,"",0)))</f>
        <v>Free</v>
      </c>
      <c r="C2836" s="313">
        <v>46136.0</v>
      </c>
      <c r="D2836" s="314" t="s">
        <v>28</v>
      </c>
      <c r="E2836" s="307" t="str">
        <f t="array" ref="E2836">(XLOOKUP(D2836,Roster!F:F,Roster!B:B,"",0))</f>
        <v>Esteban Correa</v>
      </c>
      <c r="F2836" s="315" t="str">
        <f t="array" ref="F2836">IF(B2836=100,"Free",TEXT(XLOOKUP($D2836,OperationVoice!$A:$A,OperationVoice!AD:AD,XLOOKUP($D2836,OperationTickets!$A:$A,OperationTickets!AD:AD,"",0)),"hh:mm"))</f>
        <v>Free</v>
      </c>
      <c r="G2836" s="309" t="str">
        <f t="shared" si="3"/>
        <v>Free</v>
      </c>
      <c r="H2836" s="316" t="str">
        <f t="array" ref="H2836">XLOOKUP(B2836,Roster!L:L,Roster!N:N,XLOOKUP(D2836,TicketsBreak!A:A,TicketsBreak!E:E,"",0),0)</f>
        <v/>
      </c>
      <c r="I2836" s="316" t="str">
        <f t="array" ref="I2836">XLOOKUP(B2836,Roster!L:L,Roster!O:O,XLOOKUP(D2836,TicketsBreak!A:A,TicketsBreak!F:F,"",0),0)</f>
        <v/>
      </c>
      <c r="J2836" s="316" t="str">
        <f t="array" ref="J2836">XLOOKUP(B2836,Roster!L:L,Roster!P:P,XLOOKUP(D2836,TicketsBreak!A:A,TicketsBreak!G:G,"",0),0)</f>
        <v/>
      </c>
      <c r="K2836" s="310">
        <f t="shared" si="4"/>
        <v>46136</v>
      </c>
      <c r="L2836" s="317">
        <f t="array" ref="L2836">(XLOOKUP(D2836,Roster!F:F,Roster!D:D,"",0))</f>
        <v>38</v>
      </c>
      <c r="M2836" s="317" t="str">
        <f t="array" ref="M2836">XLOOKUP(D2836,Roster!F:F,Roster!E:E)</f>
        <v>Voice</v>
      </c>
      <c r="N2836" s="317" t="str">
        <f t="shared" ref="N2836:P2836" si="2876">LEFT(H2836,5)</f>
        <v/>
      </c>
      <c r="O2836" s="317" t="str">
        <f t="shared" si="2876"/>
        <v/>
      </c>
      <c r="P2836" s="317" t="str">
        <f t="shared" si="2876"/>
        <v/>
      </c>
      <c r="Q2836" s="318" t="str">
        <f t="shared" si="2791"/>
        <v/>
      </c>
      <c r="R2836" s="318" t="str">
        <f t="shared" si="2792"/>
        <v/>
      </c>
      <c r="S2836" s="318" t="str">
        <f t="shared" si="8"/>
        <v/>
      </c>
    </row>
    <row r="2837">
      <c r="A2837" s="14" t="str">
        <f t="shared" si="1"/>
        <v>C71346136</v>
      </c>
      <c r="B2837" s="185">
        <f t="array" ref="B2837">IF(F2837="VL","",IF(F2837="Free","Free",XLOOKUP(D2837,Roster!T:T,Roster!S:S,"",0)))</f>
        <v>125</v>
      </c>
      <c r="C2837" s="313">
        <v>46136.0</v>
      </c>
      <c r="D2837" s="314" t="s">
        <v>29</v>
      </c>
      <c r="E2837" s="307" t="str">
        <f t="array" ref="E2837">(XLOOKUP(D2837,Roster!F:F,Roster!B:B,"",0))</f>
        <v>Frank Marin</v>
      </c>
      <c r="F2837" s="315" t="str">
        <f t="array" ref="F2837">IF(B2837=100,"Free",TEXT(XLOOKUP($D2837,OperationVoice!$A:$A,OperationVoice!AD:AD,XLOOKUP($D2837,OperationTickets!$A:$A,OperationTickets!AD:AD,"",0)),"hh:mm"))</f>
        <v>08:00</v>
      </c>
      <c r="G2837" s="309">
        <f t="shared" si="3"/>
        <v>0.7083333333</v>
      </c>
      <c r="H2837" s="316" t="str">
        <f t="array" ref="H2837">XLOOKUP(B2837,Roster!L:L,Roster!N:N,XLOOKUP(D2837,TicketsBreak!A:A,TicketsBreak!E:E,"",0),0)</f>
        <v>10:30 - 10:45</v>
      </c>
      <c r="I2837" s="316" t="str">
        <f t="array" ref="I2837">XLOOKUP(B2837,Roster!L:L,Roster!O:O,XLOOKUP(D2837,TicketsBreak!A:A,TicketsBreak!F:F,"",0),0)</f>
        <v>13:30 - 14:00</v>
      </c>
      <c r="J2837" s="316" t="str">
        <f t="array" ref="J2837">XLOOKUP(B2837,Roster!L:L,Roster!P:P,XLOOKUP(D2837,TicketsBreak!A:A,TicketsBreak!G:G,"",0),0)</f>
        <v>15:45 - 16:00</v>
      </c>
      <c r="K2837" s="310">
        <f t="shared" si="4"/>
        <v>46136</v>
      </c>
      <c r="L2837" s="317">
        <f t="array" ref="L2837">(XLOOKUP(D2837,Roster!F:F,Roster!D:D,"",0))</f>
        <v>6</v>
      </c>
      <c r="M2837" s="317" t="str">
        <f t="array" ref="M2837">XLOOKUP(D2837,Roster!F:F,Roster!E:E)</f>
        <v>Voice</v>
      </c>
      <c r="N2837" s="317" t="str">
        <f t="shared" ref="N2837:P2837" si="2877">LEFT(H2837,5)</f>
        <v>10:30</v>
      </c>
      <c r="O2837" s="317" t="str">
        <f t="shared" si="2877"/>
        <v>13:30</v>
      </c>
      <c r="P2837" s="317" t="str">
        <f t="shared" si="2877"/>
        <v>15:45</v>
      </c>
      <c r="Q2837" s="318">
        <f t="shared" si="2791"/>
        <v>46136.4375</v>
      </c>
      <c r="R2837" s="318">
        <f t="shared" si="2792"/>
        <v>46136.5625</v>
      </c>
      <c r="S2837" s="318">
        <f t="shared" si="8"/>
        <v>46136.65625</v>
      </c>
    </row>
    <row r="2838">
      <c r="A2838" s="14" t="str">
        <f t="shared" si="1"/>
        <v>C154846136</v>
      </c>
      <c r="B2838" s="185">
        <f t="array" ref="B2838">IF(F2838="VL","",IF(F2838="Free","Free",XLOOKUP(D2838,Roster!T:T,Roster!S:S,"",0)))</f>
        <v>152</v>
      </c>
      <c r="C2838" s="313">
        <v>46136.0</v>
      </c>
      <c r="D2838" s="314" t="s">
        <v>30</v>
      </c>
      <c r="E2838" s="307" t="str">
        <f t="array" ref="E2838">(XLOOKUP(D2838,Roster!F:F,Roster!B:B,"",0))</f>
        <v>Frey ortiz</v>
      </c>
      <c r="F2838" s="315" t="str">
        <f t="array" ref="F2838">IF(B2838=100,"Free",TEXT(XLOOKUP($D2838,OperationVoice!$A:$A,OperationVoice!AD:AD,XLOOKUP($D2838,OperationTickets!$A:$A,OperationTickets!AD:AD,"",0)),"hh:mm"))</f>
        <v>11:00</v>
      </c>
      <c r="G2838" s="309">
        <f t="shared" si="3"/>
        <v>0.8333333333</v>
      </c>
      <c r="H2838" s="316" t="str">
        <f t="array" ref="H2838">XLOOKUP(B2838,Roster!L:L,Roster!N:N,XLOOKUP(D2838,TicketsBreak!A:A,TicketsBreak!E:E,"",0),0)</f>
        <v>12:30 - 12:45</v>
      </c>
      <c r="I2838" s="316" t="str">
        <f t="array" ref="I2838">XLOOKUP(B2838,Roster!L:L,Roster!O:O,XLOOKUP(D2838,TicketsBreak!A:A,TicketsBreak!F:F,"",0),0)</f>
        <v>14:30 - 15:00</v>
      </c>
      <c r="J2838" s="316" t="str">
        <f t="array" ref="J2838">XLOOKUP(B2838,Roster!L:L,Roster!P:P,XLOOKUP(D2838,TicketsBreak!A:A,TicketsBreak!G:G,"",0),0)</f>
        <v>17:30 - 17:45</v>
      </c>
      <c r="K2838" s="310">
        <f t="shared" si="4"/>
        <v>46136</v>
      </c>
      <c r="L2838" s="317">
        <f t="array" ref="L2838">(XLOOKUP(D2838,Roster!F:F,Roster!D:D,"",0))</f>
        <v>37</v>
      </c>
      <c r="M2838" s="317" t="str">
        <f t="array" ref="M2838">XLOOKUP(D2838,Roster!F:F,Roster!E:E)</f>
        <v>Voice</v>
      </c>
      <c r="N2838" s="317" t="str">
        <f t="shared" ref="N2838:P2838" si="2878">LEFT(H2838,5)</f>
        <v>12:30</v>
      </c>
      <c r="O2838" s="317" t="str">
        <f t="shared" si="2878"/>
        <v>14:30</v>
      </c>
      <c r="P2838" s="317" t="str">
        <f t="shared" si="2878"/>
        <v>17:30</v>
      </c>
      <c r="Q2838" s="318">
        <f t="shared" si="2791"/>
        <v>46136.52083</v>
      </c>
      <c r="R2838" s="318">
        <f t="shared" si="2792"/>
        <v>46136.60417</v>
      </c>
      <c r="S2838" s="318">
        <f t="shared" si="8"/>
        <v>46136.72917</v>
      </c>
    </row>
    <row r="2839">
      <c r="A2839" s="14" t="str">
        <f t="shared" si="1"/>
        <v>C148646136</v>
      </c>
      <c r="B2839" s="185">
        <f t="array" ref="B2839">IF(F2839="VL","",IF(F2839="Free","Free",XLOOKUP(D2839,Roster!T:T,Roster!S:S,"",0)))</f>
        <v>154</v>
      </c>
      <c r="C2839" s="313">
        <v>46136.0</v>
      </c>
      <c r="D2839" s="314" t="s">
        <v>31</v>
      </c>
      <c r="E2839" s="307" t="str">
        <f t="array" ref="E2839">(XLOOKUP(D2839,Roster!F:F,Roster!B:B,"",0))</f>
        <v>Gabriel Gomez</v>
      </c>
      <c r="F2839" s="315" t="str">
        <f t="array" ref="F2839">IF(B2839=100,"Free",TEXT(XLOOKUP($D2839,OperationVoice!$A:$A,OperationVoice!AD:AD,XLOOKUP($D2839,OperationTickets!$A:$A,OperationTickets!AD:AD,"",0)),"hh:mm"))</f>
        <v>11:00</v>
      </c>
      <c r="G2839" s="309">
        <f t="shared" si="3"/>
        <v>0.8333333333</v>
      </c>
      <c r="H2839" s="316" t="str">
        <f t="array" ref="H2839">XLOOKUP(B2839,Roster!L:L,Roster!N:N,XLOOKUP(D2839,TicketsBreak!A:A,TicketsBreak!E:E,"",0),0)</f>
        <v>13:00 - 13:15</v>
      </c>
      <c r="I2839" s="316" t="str">
        <f t="array" ref="I2839">XLOOKUP(B2839,Roster!L:L,Roster!O:O,XLOOKUP(D2839,TicketsBreak!A:A,TicketsBreak!F:F,"",0),0)</f>
        <v>15:15 - 15:45</v>
      </c>
      <c r="J2839" s="316" t="str">
        <f t="array" ref="J2839">XLOOKUP(B2839,Roster!L:L,Roster!P:P,XLOOKUP(D2839,TicketsBreak!A:A,TicketsBreak!G:G,"",0),0)</f>
        <v>18:00 - 18:15</v>
      </c>
      <c r="K2839" s="310">
        <f t="shared" si="4"/>
        <v>46136</v>
      </c>
      <c r="L2839" s="317">
        <f t="array" ref="L2839">(XLOOKUP(D2839,Roster!F:F,Roster!D:D,"",0))</f>
        <v>34</v>
      </c>
      <c r="M2839" s="317" t="str">
        <f t="array" ref="M2839">XLOOKUP(D2839,Roster!F:F,Roster!E:E)</f>
        <v>Voice</v>
      </c>
      <c r="N2839" s="317" t="str">
        <f t="shared" ref="N2839:P2839" si="2879">LEFT(H2839,5)</f>
        <v>13:00</v>
      </c>
      <c r="O2839" s="317" t="str">
        <f t="shared" si="2879"/>
        <v>15:15</v>
      </c>
      <c r="P2839" s="317" t="str">
        <f t="shared" si="2879"/>
        <v>18:00</v>
      </c>
      <c r="Q2839" s="318">
        <f t="shared" si="2791"/>
        <v>46136.54167</v>
      </c>
      <c r="R2839" s="318">
        <f t="shared" si="2792"/>
        <v>46136.63542</v>
      </c>
      <c r="S2839" s="318">
        <f t="shared" si="8"/>
        <v>46136.75</v>
      </c>
    </row>
    <row r="2840">
      <c r="A2840" s="14" t="str">
        <f t="shared" si="1"/>
        <v>C136946136</v>
      </c>
      <c r="B2840" s="185">
        <f t="array" ref="B2840">IF(F2840="VL","",IF(F2840="Free","Free",XLOOKUP(D2840,Roster!T:T,Roster!S:S,"",0)))</f>
        <v>126</v>
      </c>
      <c r="C2840" s="313">
        <v>46136.0</v>
      </c>
      <c r="D2840" s="314" t="s">
        <v>157</v>
      </c>
      <c r="E2840" s="307" t="str">
        <f t="array" ref="E2840">(XLOOKUP(D2840,Roster!F:F,Roster!B:B,"",0))</f>
        <v>Gabriela Jimenez</v>
      </c>
      <c r="F2840" s="315" t="str">
        <f t="array" ref="F2840">IF(B2840=100,"Free",TEXT(XLOOKUP($D2840,OperationVoice!$A:$A,OperationVoice!AD:AD,XLOOKUP($D2840,OperationTickets!$A:$A,OperationTickets!AD:AD,"",0)),"hh:mm"))</f>
        <v>08:00</v>
      </c>
      <c r="G2840" s="309">
        <f t="shared" si="3"/>
        <v>0.7083333333</v>
      </c>
      <c r="H2840" s="316" t="str">
        <f t="array" ref="H2840">XLOOKUP(B2840,Roster!L:L,Roster!N:N,XLOOKUP(D2840,TicketsBreak!A:A,TicketsBreak!E:E,"",0),0)</f>
        <v>10:45 - 11:00</v>
      </c>
      <c r="I2840" s="316" t="str">
        <f t="array" ref="I2840">XLOOKUP(B2840,Roster!L:L,Roster!O:O,XLOOKUP(D2840,TicketsBreak!A:A,TicketsBreak!F:F,"",0),0)</f>
        <v>14:00 - 14:30</v>
      </c>
      <c r="J2840" s="316" t="str">
        <f t="array" ref="J2840">XLOOKUP(B2840,Roster!L:L,Roster!P:P,XLOOKUP(D2840,TicketsBreak!A:A,TicketsBreak!G:G,"",0),0)</f>
        <v>15:45 - 16:00</v>
      </c>
      <c r="K2840" s="310">
        <f t="shared" si="4"/>
        <v>46136</v>
      </c>
      <c r="L2840" s="317">
        <f t="array" ref="L2840">(XLOOKUP(D2840,Roster!F:F,Roster!D:D,"",0))</f>
        <v>31</v>
      </c>
      <c r="M2840" s="317" t="str">
        <f t="array" ref="M2840">XLOOKUP(D2840,Roster!F:F,Roster!E:E)</f>
        <v>Tickets</v>
      </c>
      <c r="N2840" s="317" t="str">
        <f t="shared" ref="N2840:P2840" si="2880">LEFT(H2840,5)</f>
        <v>10:45</v>
      </c>
      <c r="O2840" s="317" t="str">
        <f t="shared" si="2880"/>
        <v>14:00</v>
      </c>
      <c r="P2840" s="317" t="str">
        <f t="shared" si="2880"/>
        <v>15:45</v>
      </c>
      <c r="Q2840" s="318">
        <f t="shared" si="2791"/>
        <v>46136.44792</v>
      </c>
      <c r="R2840" s="318">
        <f t="shared" si="2792"/>
        <v>46136.58333</v>
      </c>
      <c r="S2840" s="318">
        <f t="shared" si="8"/>
        <v>46136.65625</v>
      </c>
    </row>
    <row r="2841">
      <c r="A2841" s="14" t="str">
        <f t="shared" si="1"/>
        <v>C101746136</v>
      </c>
      <c r="B2841" s="185">
        <f t="array" ref="B2841">IF(F2841="VL","",IF(F2841="Free","Free",XLOOKUP(D2841,Roster!T:T,Roster!S:S,"",0)))</f>
        <v>121</v>
      </c>
      <c r="C2841" s="313">
        <v>46136.0</v>
      </c>
      <c r="D2841" s="314" t="s">
        <v>32</v>
      </c>
      <c r="E2841" s="307" t="str">
        <f t="array" ref="E2841">(XLOOKUP(D2841,Roster!F:F,Roster!B:B,"",0))</f>
        <v>Geraldine Correa</v>
      </c>
      <c r="F2841" s="315" t="str">
        <f t="array" ref="F2841">IF(B2841=100,"Free",TEXT(XLOOKUP($D2841,OperationVoice!$A:$A,OperationVoice!AD:AD,XLOOKUP($D2841,OperationTickets!$A:$A,OperationTickets!AD:AD,"",0)),"hh:mm"))</f>
        <v>08:00</v>
      </c>
      <c r="G2841" s="309">
        <f t="shared" si="3"/>
        <v>0.7083333333</v>
      </c>
      <c r="H2841" s="316" t="str">
        <f t="array" ref="H2841">XLOOKUP(B2841,Roster!L:L,Roster!N:N,XLOOKUP(D2841,TicketsBreak!A:A,TicketsBreak!E:E,"",0),0)</f>
        <v>09:15 - 09:30</v>
      </c>
      <c r="I2841" s="316" t="str">
        <f t="array" ref="I2841">XLOOKUP(B2841,Roster!L:L,Roster!O:O,XLOOKUP(D2841,TicketsBreak!A:A,TicketsBreak!F:F,"",0),0)</f>
        <v>11:30 - 12:00</v>
      </c>
      <c r="J2841" s="316" t="str">
        <f t="array" ref="J2841">XLOOKUP(B2841,Roster!L:L,Roster!P:P,XLOOKUP(D2841,TicketsBreak!A:A,TicketsBreak!G:G,"",0),0)</f>
        <v>14:30 - 14:45</v>
      </c>
      <c r="K2841" s="310">
        <f t="shared" si="4"/>
        <v>46136</v>
      </c>
      <c r="L2841" s="317">
        <f t="array" ref="L2841">(XLOOKUP(D2841,Roster!F:F,Roster!D:D,"",0))</f>
        <v>23</v>
      </c>
      <c r="M2841" s="317" t="str">
        <f t="array" ref="M2841">XLOOKUP(D2841,Roster!F:F,Roster!E:E)</f>
        <v>Voice</v>
      </c>
      <c r="N2841" s="317" t="str">
        <f t="shared" ref="N2841:P2841" si="2881">LEFT(H2841,5)</f>
        <v>09:15</v>
      </c>
      <c r="O2841" s="317" t="str">
        <f t="shared" si="2881"/>
        <v>11:30</v>
      </c>
      <c r="P2841" s="317" t="str">
        <f t="shared" si="2881"/>
        <v>14:30</v>
      </c>
      <c r="Q2841" s="318">
        <f t="shared" si="2791"/>
        <v>46136.38542</v>
      </c>
      <c r="R2841" s="318">
        <f t="shared" si="2792"/>
        <v>46136.47917</v>
      </c>
      <c r="S2841" s="318">
        <f t="shared" si="8"/>
        <v>46136.60417</v>
      </c>
    </row>
    <row r="2842">
      <c r="A2842" s="14" t="str">
        <f t="shared" si="1"/>
        <v>C154146136</v>
      </c>
      <c r="B2842" s="185">
        <f t="array" ref="B2842">IF(F2842="VL","",IF(F2842="Free","Free",XLOOKUP(D2842,Roster!T:T,Roster!S:S,"",0)))</f>
        <v>155</v>
      </c>
      <c r="C2842" s="313">
        <v>46136.0</v>
      </c>
      <c r="D2842" s="314" t="s">
        <v>33</v>
      </c>
      <c r="E2842" s="307" t="str">
        <f t="array" ref="E2842">(XLOOKUP(D2842,Roster!F:F,Roster!B:B,"",0))</f>
        <v>Gisel Moya</v>
      </c>
      <c r="F2842" s="315" t="str">
        <f t="array" ref="F2842">IF(B2842=100,"Free",TEXT(XLOOKUP($D2842,OperationVoice!$A:$A,OperationVoice!AD:AD,XLOOKUP($D2842,OperationTickets!$A:$A,OperationTickets!AD:AD,"",0)),"hh:mm"))</f>
        <v>11:00</v>
      </c>
      <c r="G2842" s="309">
        <f t="shared" si="3"/>
        <v>0.8333333333</v>
      </c>
      <c r="H2842" s="316" t="str">
        <f t="array" ref="H2842">XLOOKUP(B2842,Roster!L:L,Roster!N:N,XLOOKUP(D2842,TicketsBreak!A:A,TicketsBreak!E:E,"",0),0)</f>
        <v>13:15 - 13:30</v>
      </c>
      <c r="I2842" s="316" t="str">
        <f t="array" ref="I2842">XLOOKUP(B2842,Roster!L:L,Roster!O:O,XLOOKUP(D2842,TicketsBreak!A:A,TicketsBreak!F:F,"",0),0)</f>
        <v>15:45 - 16:15</v>
      </c>
      <c r="J2842" s="316" t="str">
        <f t="array" ref="J2842">XLOOKUP(B2842,Roster!L:L,Roster!P:P,XLOOKUP(D2842,TicketsBreak!A:A,TicketsBreak!G:G,"",0),0)</f>
        <v>18:15 - 18:30</v>
      </c>
      <c r="K2842" s="310">
        <f t="shared" si="4"/>
        <v>46136</v>
      </c>
      <c r="L2842" s="317">
        <f t="array" ref="L2842">(XLOOKUP(D2842,Roster!F:F,Roster!D:D,"",0))</f>
        <v>36</v>
      </c>
      <c r="M2842" s="317" t="str">
        <f t="array" ref="M2842">XLOOKUP(D2842,Roster!F:F,Roster!E:E)</f>
        <v>Voice</v>
      </c>
      <c r="N2842" s="317" t="str">
        <f t="shared" ref="N2842:P2842" si="2882">LEFT(H2842,5)</f>
        <v>13:15</v>
      </c>
      <c r="O2842" s="317" t="str">
        <f t="shared" si="2882"/>
        <v>15:45</v>
      </c>
      <c r="P2842" s="317" t="str">
        <f t="shared" si="2882"/>
        <v>18:15</v>
      </c>
      <c r="Q2842" s="318">
        <f t="shared" si="2791"/>
        <v>46136.55208</v>
      </c>
      <c r="R2842" s="318">
        <f t="shared" si="2792"/>
        <v>46136.65625</v>
      </c>
      <c r="S2842" s="318">
        <f t="shared" si="8"/>
        <v>46136.76042</v>
      </c>
    </row>
    <row r="2843">
      <c r="A2843" s="14" t="str">
        <f t="shared" si="1"/>
        <v>C86046136</v>
      </c>
      <c r="B2843" s="185" t="str">
        <f t="array" ref="B2843">IF(F2843="VL","",IF(F2843="Free","Free",XLOOKUP(D2843,Roster!T:T,Roster!S:S,"",0)))</f>
        <v/>
      </c>
      <c r="C2843" s="313">
        <v>46136.0</v>
      </c>
      <c r="D2843" s="314" t="s">
        <v>158</v>
      </c>
      <c r="E2843" s="307" t="str">
        <f t="array" ref="E2843">(XLOOKUP(D2843,Roster!F:F,Roster!B:B,"",0))</f>
        <v>Ief Fabre</v>
      </c>
      <c r="F2843" s="315" t="str">
        <f t="array" ref="F2843">IF(B2843=100,"Free",TEXT(XLOOKUP($D2843,OperationVoice!$A:$A,OperationVoice!AD:AD,XLOOKUP($D2843,OperationTickets!$A:$A,OperationTickets!AD:AD,"",0)),"hh:mm"))</f>
        <v>08:00</v>
      </c>
      <c r="G2843" s="309">
        <f t="shared" si="3"/>
        <v>0.7083333333</v>
      </c>
      <c r="H2843" s="316">
        <f t="array" ref="H2843">XLOOKUP(B2843,Roster!L:L,Roster!N:N,XLOOKUP(D2843,TicketsBreak!A:A,TicketsBreak!E:E,"",0),0)</f>
        <v>0.4166666667</v>
      </c>
      <c r="I2843" s="316">
        <f t="array" ref="I2843">XLOOKUP(B2843,Roster!L:L,Roster!O:O,XLOOKUP(D2843,TicketsBreak!A:A,TicketsBreak!F:F,"",0),0)</f>
        <v>0.5</v>
      </c>
      <c r="J2843" s="316">
        <f t="array" ref="J2843">XLOOKUP(B2843,Roster!L:L,Roster!P:P,XLOOKUP(D2843,TicketsBreak!A:A,TicketsBreak!G:G,"",0),0)</f>
        <v>0.625</v>
      </c>
      <c r="K2843" s="310">
        <f t="shared" si="4"/>
        <v>46136</v>
      </c>
      <c r="L2843" s="317">
        <f t="array" ref="L2843">(XLOOKUP(D2843,Roster!F:F,Roster!D:D,"",0))</f>
        <v>10</v>
      </c>
      <c r="M2843" s="317" t="str">
        <f t="array" ref="M2843">XLOOKUP(D2843,Roster!F:F,Roster!E:E)</f>
        <v>Tickets</v>
      </c>
      <c r="N2843" s="317" t="str">
        <f t="shared" ref="N2843:P2843" si="2883">LEFT(H2843,5)</f>
        <v>10:00</v>
      </c>
      <c r="O2843" s="317" t="str">
        <f t="shared" si="2883"/>
        <v>12:00</v>
      </c>
      <c r="P2843" s="317" t="str">
        <f t="shared" si="2883"/>
        <v>15:00</v>
      </c>
      <c r="Q2843" s="318">
        <f t="shared" si="2791"/>
        <v>46136.41667</v>
      </c>
      <c r="R2843" s="318">
        <f t="shared" si="2792"/>
        <v>46136.5</v>
      </c>
      <c r="S2843" s="318">
        <f t="shared" si="8"/>
        <v>46136.625</v>
      </c>
    </row>
    <row r="2844">
      <c r="A2844" s="14" t="str">
        <f t="shared" si="1"/>
        <v>C148146136</v>
      </c>
      <c r="B2844" s="185" t="str">
        <f t="array" ref="B2844">IF(F2844="VL","",IF(F2844="Free","Free",XLOOKUP(D2844,Roster!T:T,Roster!S:S,"",0)))</f>
        <v>Free</v>
      </c>
      <c r="C2844" s="313">
        <v>46136.0</v>
      </c>
      <c r="D2844" s="314" t="s">
        <v>34</v>
      </c>
      <c r="E2844" s="307" t="str">
        <f t="array" ref="E2844">(XLOOKUP(D2844,Roster!F:F,Roster!B:B,"",0))</f>
        <v>Jasam Mejia</v>
      </c>
      <c r="F2844" s="315" t="str">
        <f t="array" ref="F2844">IF(B2844=100,"Free",TEXT(XLOOKUP($D2844,OperationVoice!$A:$A,OperationVoice!AD:AD,XLOOKUP($D2844,OperationTickets!$A:$A,OperationTickets!AD:AD,"",0)),"hh:mm"))</f>
        <v>Free</v>
      </c>
      <c r="G2844" s="309" t="str">
        <f t="shared" si="3"/>
        <v>Free</v>
      </c>
      <c r="H2844" s="316" t="str">
        <f t="array" ref="H2844">XLOOKUP(B2844,Roster!L:L,Roster!N:N,XLOOKUP(D2844,TicketsBreak!A:A,TicketsBreak!E:E,"",0),0)</f>
        <v/>
      </c>
      <c r="I2844" s="316" t="str">
        <f t="array" ref="I2844">XLOOKUP(B2844,Roster!L:L,Roster!O:O,XLOOKUP(D2844,TicketsBreak!A:A,TicketsBreak!F:F,"",0),0)</f>
        <v/>
      </c>
      <c r="J2844" s="316" t="str">
        <f t="array" ref="J2844">XLOOKUP(B2844,Roster!L:L,Roster!P:P,XLOOKUP(D2844,TicketsBreak!A:A,TicketsBreak!G:G,"",0),0)</f>
        <v/>
      </c>
      <c r="K2844" s="310">
        <f t="shared" si="4"/>
        <v>46136</v>
      </c>
      <c r="L2844" s="317">
        <f t="array" ref="L2844">(XLOOKUP(D2844,Roster!F:F,Roster!D:D,"",0))</f>
        <v>34</v>
      </c>
      <c r="M2844" s="317" t="str">
        <f t="array" ref="M2844">XLOOKUP(D2844,Roster!F:F,Roster!E:E)</f>
        <v>Voice</v>
      </c>
      <c r="N2844" s="317" t="str">
        <f t="shared" ref="N2844:P2844" si="2884">LEFT(H2844,5)</f>
        <v/>
      </c>
      <c r="O2844" s="317" t="str">
        <f t="shared" si="2884"/>
        <v/>
      </c>
      <c r="P2844" s="317" t="str">
        <f t="shared" si="2884"/>
        <v/>
      </c>
      <c r="Q2844" s="318" t="str">
        <f t="shared" si="2791"/>
        <v/>
      </c>
      <c r="R2844" s="318" t="str">
        <f t="shared" si="2792"/>
        <v/>
      </c>
      <c r="S2844" s="318" t="str">
        <f t="shared" si="8"/>
        <v/>
      </c>
    </row>
    <row r="2845">
      <c r="A2845" s="14" t="str">
        <f t="shared" si="1"/>
        <v>C131846136</v>
      </c>
      <c r="B2845" s="185" t="str">
        <f t="array" ref="B2845">IF(F2845="VL","",IF(F2845="Free","Free",XLOOKUP(D2845,Roster!T:T,Roster!S:S,"",0)))</f>
        <v/>
      </c>
      <c r="C2845" s="313">
        <v>46136.0</v>
      </c>
      <c r="D2845" s="314" t="s">
        <v>159</v>
      </c>
      <c r="E2845" s="307" t="str">
        <f t="array" ref="E2845">(XLOOKUP(D2845,Roster!F:F,Roster!B:B,"",0))</f>
        <v>Jeampierre Jaramillo</v>
      </c>
      <c r="F2845" s="315" t="str">
        <f t="array" ref="F2845">IF(B2845=100,"Free",TEXT(XLOOKUP($D2845,OperationVoice!$A:$A,OperationVoice!AD:AD,XLOOKUP($D2845,OperationTickets!$A:$A,OperationTickets!AD:AD,"",0)),"hh:mm"))</f>
        <v>07:00</v>
      </c>
      <c r="G2845" s="309">
        <f t="shared" si="3"/>
        <v>0.6666666667</v>
      </c>
      <c r="H2845" s="316" t="str">
        <f t="array" ref="H2845">XLOOKUP(B2845,Roster!L:L,Roster!N:N,XLOOKUP(D2845,TicketsBreak!A:A,TicketsBreak!E:E,"",0),0)</f>
        <v/>
      </c>
      <c r="I2845" s="316" t="str">
        <f t="array" ref="I2845">XLOOKUP(B2845,Roster!L:L,Roster!O:O,XLOOKUP(D2845,TicketsBreak!A:A,TicketsBreak!F:F,"",0),0)</f>
        <v/>
      </c>
      <c r="J2845" s="316" t="str">
        <f t="array" ref="J2845">XLOOKUP(B2845,Roster!L:L,Roster!P:P,XLOOKUP(D2845,TicketsBreak!A:A,TicketsBreak!G:G,"",0),0)</f>
        <v/>
      </c>
      <c r="K2845" s="310">
        <f t="shared" si="4"/>
        <v>46136</v>
      </c>
      <c r="L2845" s="317">
        <f t="array" ref="L2845">(XLOOKUP(D2845,Roster!F:F,Roster!D:D,"",0))</f>
        <v>29</v>
      </c>
      <c r="M2845" s="317" t="str">
        <f t="array" ref="M2845">XLOOKUP(D2845,Roster!F:F,Roster!E:E)</f>
        <v>Tickets</v>
      </c>
      <c r="N2845" s="317" t="str">
        <f t="shared" ref="N2845:P2845" si="2885">LEFT(H2845,5)</f>
        <v/>
      </c>
      <c r="O2845" s="317" t="str">
        <f t="shared" si="2885"/>
        <v/>
      </c>
      <c r="P2845" s="317" t="str">
        <f t="shared" si="2885"/>
        <v/>
      </c>
      <c r="Q2845" s="318" t="str">
        <f t="shared" si="2791"/>
        <v/>
      </c>
      <c r="R2845" s="318" t="str">
        <f t="shared" si="2792"/>
        <v/>
      </c>
      <c r="S2845" s="318" t="str">
        <f t="shared" si="8"/>
        <v/>
      </c>
    </row>
    <row r="2846">
      <c r="A2846" s="14" t="str">
        <f t="shared" si="1"/>
        <v>C155046136</v>
      </c>
      <c r="B2846" s="185">
        <f t="array" ref="B2846">IF(F2846="VL","",IF(F2846="Free","Free",XLOOKUP(D2846,Roster!T:T,Roster!S:S,"",0)))</f>
        <v>126</v>
      </c>
      <c r="C2846" s="313">
        <v>46136.0</v>
      </c>
      <c r="D2846" s="314" t="s">
        <v>35</v>
      </c>
      <c r="E2846" s="307" t="str">
        <f t="array" ref="E2846">(XLOOKUP(D2846,Roster!F:F,Roster!B:B,"",0))</f>
        <v>Jeidin Vargas</v>
      </c>
      <c r="F2846" s="315" t="str">
        <f t="array" ref="F2846">IF(B2846=100,"Free",TEXT(XLOOKUP($D2846,OperationVoice!$A:$A,OperationVoice!AD:AD,XLOOKUP($D2846,OperationTickets!$A:$A,OperationTickets!AD:AD,"",0)),"hh:mm"))</f>
        <v>08:00</v>
      </c>
      <c r="G2846" s="309">
        <f t="shared" si="3"/>
        <v>0.7083333333</v>
      </c>
      <c r="H2846" s="316" t="str">
        <f t="array" ref="H2846">XLOOKUP(B2846,Roster!L:L,Roster!N:N,XLOOKUP(D2846,TicketsBreak!A:A,TicketsBreak!E:E,"",0),0)</f>
        <v>10:45 - 11:00</v>
      </c>
      <c r="I2846" s="316" t="str">
        <f t="array" ref="I2846">XLOOKUP(B2846,Roster!L:L,Roster!O:O,XLOOKUP(D2846,TicketsBreak!A:A,TicketsBreak!F:F,"",0),0)</f>
        <v>14:00 - 14:30</v>
      </c>
      <c r="J2846" s="316" t="str">
        <f t="array" ref="J2846">XLOOKUP(B2846,Roster!L:L,Roster!P:P,XLOOKUP(D2846,TicketsBreak!A:A,TicketsBreak!G:G,"",0),0)</f>
        <v>15:45 - 16:00</v>
      </c>
      <c r="K2846" s="310">
        <f t="shared" si="4"/>
        <v>46136</v>
      </c>
      <c r="L2846" s="317">
        <f t="array" ref="L2846">(XLOOKUP(D2846,Roster!F:F,Roster!D:D,"",0))</f>
        <v>37</v>
      </c>
      <c r="M2846" s="317" t="str">
        <f t="array" ref="M2846">XLOOKUP(D2846,Roster!F:F,Roster!E:E)</f>
        <v>Voice</v>
      </c>
      <c r="N2846" s="317" t="str">
        <f t="shared" ref="N2846:P2846" si="2886">LEFT(H2846,5)</f>
        <v>10:45</v>
      </c>
      <c r="O2846" s="317" t="str">
        <f t="shared" si="2886"/>
        <v>14:00</v>
      </c>
      <c r="P2846" s="317" t="str">
        <f t="shared" si="2886"/>
        <v>15:45</v>
      </c>
      <c r="Q2846" s="318">
        <f t="shared" si="2791"/>
        <v>46136.44792</v>
      </c>
      <c r="R2846" s="318">
        <f t="shared" si="2792"/>
        <v>46136.58333</v>
      </c>
      <c r="S2846" s="318">
        <f t="shared" si="8"/>
        <v>46136.65625</v>
      </c>
    </row>
    <row r="2847">
      <c r="A2847" s="14" t="str">
        <f t="shared" si="1"/>
        <v>C51246136</v>
      </c>
      <c r="B2847" s="185">
        <f t="array" ref="B2847">IF(F2847="VL","",IF(F2847="Free","Free",XLOOKUP(D2847,Roster!T:T,Roster!S:S,"",0)))</f>
        <v>122</v>
      </c>
      <c r="C2847" s="313">
        <v>46136.0</v>
      </c>
      <c r="D2847" s="314" t="s">
        <v>36</v>
      </c>
      <c r="E2847" s="307" t="str">
        <f t="array" ref="E2847">(XLOOKUP(D2847,Roster!F:F,Roster!B:B,"",0))</f>
        <v>Jhoam Quiroz</v>
      </c>
      <c r="F2847" s="315" t="str">
        <f t="array" ref="F2847">IF(B2847=100,"Free",TEXT(XLOOKUP($D2847,OperationVoice!$A:$A,OperationVoice!AD:AD,XLOOKUP($D2847,OperationTickets!$A:$A,OperationTickets!AD:AD,"",0)),"hh:mm"))</f>
        <v>08:00</v>
      </c>
      <c r="G2847" s="309">
        <f t="shared" si="3"/>
        <v>0.7083333333</v>
      </c>
      <c r="H2847" s="316" t="str">
        <f t="array" ref="H2847">XLOOKUP(B2847,Roster!L:L,Roster!N:N,XLOOKUP(D2847,TicketsBreak!A:A,TicketsBreak!E:E,"",0),0)</f>
        <v>09:30 - 09:45</v>
      </c>
      <c r="I2847" s="316" t="str">
        <f t="array" ref="I2847">XLOOKUP(B2847,Roster!L:L,Roster!O:O,XLOOKUP(D2847,TicketsBreak!A:A,TicketsBreak!F:F,"",0),0)</f>
        <v>12:00 - 12:30</v>
      </c>
      <c r="J2847" s="316" t="str">
        <f t="array" ref="J2847">XLOOKUP(B2847,Roster!L:L,Roster!P:P,XLOOKUP(D2847,TicketsBreak!A:A,TicketsBreak!G:G,"",0),0)</f>
        <v>14:45 - 15:00</v>
      </c>
      <c r="K2847" s="310">
        <f t="shared" si="4"/>
        <v>46136</v>
      </c>
      <c r="L2847" s="317">
        <f t="array" ref="L2847">(XLOOKUP(D2847,Roster!F:F,Roster!D:D,"",0))</f>
        <v>1</v>
      </c>
      <c r="M2847" s="317" t="str">
        <f t="array" ref="M2847">XLOOKUP(D2847,Roster!F:F,Roster!E:E)</f>
        <v>Voice</v>
      </c>
      <c r="N2847" s="317" t="str">
        <f t="shared" ref="N2847:P2847" si="2887">LEFT(H2847,5)</f>
        <v>09:30</v>
      </c>
      <c r="O2847" s="317" t="str">
        <f t="shared" si="2887"/>
        <v>12:00</v>
      </c>
      <c r="P2847" s="317" t="str">
        <f t="shared" si="2887"/>
        <v>14:45</v>
      </c>
      <c r="Q2847" s="318">
        <f t="shared" si="2791"/>
        <v>46136.39583</v>
      </c>
      <c r="R2847" s="318">
        <f t="shared" si="2792"/>
        <v>46136.5</v>
      </c>
      <c r="S2847" s="318">
        <f t="shared" si="8"/>
        <v>46136.61458</v>
      </c>
    </row>
    <row r="2848">
      <c r="A2848" s="14" t="str">
        <f t="shared" si="1"/>
        <v>C150946136</v>
      </c>
      <c r="B2848" s="185">
        <f t="array" ref="B2848">IF(F2848="VL","",IF(F2848="Free","Free",XLOOKUP(D2848,Roster!T:T,Roster!S:S,"",0)))</f>
        <v>121</v>
      </c>
      <c r="C2848" s="313">
        <v>46136.0</v>
      </c>
      <c r="D2848" s="314" t="s">
        <v>37</v>
      </c>
      <c r="E2848" s="307" t="str">
        <f t="array" ref="E2848">(XLOOKUP(D2848,Roster!F:F,Roster!B:B,"",0))</f>
        <v>Jhonatan Gomez</v>
      </c>
      <c r="F2848" s="315" t="str">
        <f t="array" ref="F2848">IF(B2848=100,"Free",TEXT(XLOOKUP($D2848,OperationVoice!$A:$A,OperationVoice!AD:AD,XLOOKUP($D2848,OperationTickets!$A:$A,OperationTickets!AD:AD,"",0)),"hh:mm"))</f>
        <v>08:00</v>
      </c>
      <c r="G2848" s="309">
        <f t="shared" si="3"/>
        <v>0.7083333333</v>
      </c>
      <c r="H2848" s="316" t="str">
        <f t="array" ref="H2848">XLOOKUP(B2848,Roster!L:L,Roster!N:N,XLOOKUP(D2848,TicketsBreak!A:A,TicketsBreak!E:E,"",0),0)</f>
        <v>09:15 - 09:30</v>
      </c>
      <c r="I2848" s="316" t="str">
        <f t="array" ref="I2848">XLOOKUP(B2848,Roster!L:L,Roster!O:O,XLOOKUP(D2848,TicketsBreak!A:A,TicketsBreak!F:F,"",0),0)</f>
        <v>11:30 - 12:00</v>
      </c>
      <c r="J2848" s="316" t="str">
        <f t="array" ref="J2848">XLOOKUP(B2848,Roster!L:L,Roster!P:P,XLOOKUP(D2848,TicketsBreak!A:A,TicketsBreak!G:G,"",0),0)</f>
        <v>14:30 - 14:45</v>
      </c>
      <c r="K2848" s="310">
        <f t="shared" si="4"/>
        <v>46136</v>
      </c>
      <c r="L2848" s="317">
        <f t="array" ref="L2848">(XLOOKUP(D2848,Roster!F:F,Roster!D:D,"",0))</f>
        <v>35</v>
      </c>
      <c r="M2848" s="317" t="str">
        <f t="array" ref="M2848">XLOOKUP(D2848,Roster!F:F,Roster!E:E)</f>
        <v>Voice</v>
      </c>
      <c r="N2848" s="317" t="str">
        <f t="shared" ref="N2848:P2848" si="2888">LEFT(H2848,5)</f>
        <v>09:15</v>
      </c>
      <c r="O2848" s="317" t="str">
        <f t="shared" si="2888"/>
        <v>11:30</v>
      </c>
      <c r="P2848" s="317" t="str">
        <f t="shared" si="2888"/>
        <v>14:30</v>
      </c>
      <c r="Q2848" s="318">
        <f t="shared" si="2791"/>
        <v>46136.38542</v>
      </c>
      <c r="R2848" s="318">
        <f t="shared" si="2792"/>
        <v>46136.47917</v>
      </c>
      <c r="S2848" s="318">
        <f t="shared" si="8"/>
        <v>46136.60417</v>
      </c>
    </row>
    <row r="2849">
      <c r="A2849" s="14" t="str">
        <f t="shared" si="1"/>
        <v>C151546136</v>
      </c>
      <c r="B2849" s="185">
        <f t="array" ref="B2849">IF(F2849="VL","",IF(F2849="Free","Free",XLOOKUP(D2849,Roster!T:T,Roster!S:S,"",0)))</f>
        <v>151</v>
      </c>
      <c r="C2849" s="313">
        <v>46136.0</v>
      </c>
      <c r="D2849" s="314" t="s">
        <v>38</v>
      </c>
      <c r="E2849" s="307" t="str">
        <f t="array" ref="E2849">(XLOOKUP(D2849,Roster!F:F,Roster!B:B,"",0))</f>
        <v>Joan Perez</v>
      </c>
      <c r="F2849" s="315" t="str">
        <f t="array" ref="F2849">IF(B2849=100,"Free",TEXT(XLOOKUP($D2849,OperationVoice!$A:$A,OperationVoice!AD:AD,XLOOKUP($D2849,OperationTickets!$A:$A,OperationTickets!AD:AD,"",0)),"hh:mm"))</f>
        <v/>
      </c>
      <c r="G2849" s="309" t="str">
        <f t="shared" si="3"/>
        <v/>
      </c>
      <c r="H2849" s="316" t="str">
        <f t="array" ref="H2849">XLOOKUP(B2849,Roster!L:L,Roster!N:N,XLOOKUP(D2849,TicketsBreak!A:A,TicketsBreak!E:E,"",0),0)</f>
        <v>12:15 - 12:30</v>
      </c>
      <c r="I2849" s="316" t="str">
        <f t="array" ref="I2849">XLOOKUP(B2849,Roster!L:L,Roster!O:O,XLOOKUP(D2849,TicketsBreak!A:A,TicketsBreak!F:F,"",0),0)</f>
        <v>14:00 - 14:30</v>
      </c>
      <c r="J2849" s="316" t="str">
        <f t="array" ref="J2849">XLOOKUP(B2849,Roster!L:L,Roster!P:P,XLOOKUP(D2849,TicketsBreak!A:A,TicketsBreak!G:G,"",0),0)</f>
        <v>17:15 - 17:30</v>
      </c>
      <c r="K2849" s="310">
        <f t="shared" si="4"/>
        <v>46136</v>
      </c>
      <c r="L2849" s="317">
        <f t="array" ref="L2849">(XLOOKUP(D2849,Roster!F:F,Roster!D:D,"",0))</f>
        <v>35</v>
      </c>
      <c r="M2849" s="317" t="str">
        <f t="array" ref="M2849">XLOOKUP(D2849,Roster!F:F,Roster!E:E)</f>
        <v>Voice</v>
      </c>
      <c r="N2849" s="317" t="str">
        <f t="shared" ref="N2849:P2849" si="2889">LEFT(H2849,5)</f>
        <v>12:15</v>
      </c>
      <c r="O2849" s="317" t="str">
        <f t="shared" si="2889"/>
        <v>14:00</v>
      </c>
      <c r="P2849" s="317" t="str">
        <f t="shared" si="2889"/>
        <v>17:15</v>
      </c>
      <c r="Q2849" s="318">
        <f t="shared" si="2791"/>
        <v>46136.51042</v>
      </c>
      <c r="R2849" s="318">
        <f t="shared" si="2792"/>
        <v>46136.58333</v>
      </c>
      <c r="S2849" s="318">
        <f t="shared" si="8"/>
        <v>46136.71875</v>
      </c>
    </row>
    <row r="2850">
      <c r="A2850" s="14" t="str">
        <f t="shared" si="1"/>
        <v>C128946136</v>
      </c>
      <c r="B2850" s="185" t="str">
        <f t="array" ref="B2850">IF(F2850="VL","",IF(F2850="Free","Free",XLOOKUP(D2850,Roster!T:T,Roster!S:S,"",0)))</f>
        <v/>
      </c>
      <c r="C2850" s="313">
        <v>46136.0</v>
      </c>
      <c r="D2850" s="314" t="s">
        <v>140</v>
      </c>
      <c r="E2850" s="307" t="str">
        <f t="array" ref="E2850">(XLOOKUP(D2850,Roster!F:F,Roster!B:B,"",0))</f>
        <v>Johana Villarreal</v>
      </c>
      <c r="F2850" s="315" t="str">
        <f t="array" ref="F2850">IF(B2850=100,"Free",TEXT(XLOOKUP($D2850,OperationVoice!$A:$A,OperationVoice!AD:AD,XLOOKUP($D2850,OperationTickets!$A:$A,OperationTickets!AD:AD,"",0)),"hh:mm"))</f>
        <v>07:00</v>
      </c>
      <c r="G2850" s="309">
        <f t="shared" si="3"/>
        <v>0.6666666667</v>
      </c>
      <c r="H2850" s="316" t="str">
        <f t="array" ref="H2850">XLOOKUP(B2850,Roster!L:L,Roster!N:N,XLOOKUP(D2850,TicketsBreak!A:A,TicketsBreak!E:E,"",0),0)</f>
        <v/>
      </c>
      <c r="I2850" s="316" t="str">
        <f t="array" ref="I2850">XLOOKUP(B2850,Roster!L:L,Roster!O:O,XLOOKUP(D2850,TicketsBreak!A:A,TicketsBreak!F:F,"",0),0)</f>
        <v/>
      </c>
      <c r="J2850" s="316" t="str">
        <f t="array" ref="J2850">XLOOKUP(B2850,Roster!L:L,Roster!P:P,XLOOKUP(D2850,TicketsBreak!A:A,TicketsBreak!G:G,"",0),0)</f>
        <v/>
      </c>
      <c r="K2850" s="310">
        <f t="shared" si="4"/>
        <v>46136</v>
      </c>
      <c r="L2850" s="317">
        <f t="array" ref="L2850">(XLOOKUP(D2850,Roster!F:F,Roster!D:D,"",0))</f>
        <v>28</v>
      </c>
      <c r="M2850" s="317" t="str">
        <f t="array" ref="M2850">XLOOKUP(D2850,Roster!F:F,Roster!E:E)</f>
        <v>Tickets</v>
      </c>
      <c r="N2850" s="317" t="str">
        <f t="shared" ref="N2850:P2850" si="2890">LEFT(H2850,5)</f>
        <v/>
      </c>
      <c r="O2850" s="317" t="str">
        <f t="shared" si="2890"/>
        <v/>
      </c>
      <c r="P2850" s="317" t="str">
        <f t="shared" si="2890"/>
        <v/>
      </c>
      <c r="Q2850" s="318" t="str">
        <f t="shared" si="2791"/>
        <v/>
      </c>
      <c r="R2850" s="318" t="str">
        <f t="shared" si="2792"/>
        <v/>
      </c>
      <c r="S2850" s="318" t="str">
        <f t="shared" si="8"/>
        <v/>
      </c>
    </row>
    <row r="2851">
      <c r="A2851" s="14" t="str">
        <f t="shared" si="1"/>
        <v>C155146136</v>
      </c>
      <c r="B2851" s="185" t="str">
        <f t="array" ref="B2851">IF(F2851="VL","",IF(F2851="Free","Free",XLOOKUP(D2851,Roster!T:T,Roster!S:S,"",0)))</f>
        <v>Free</v>
      </c>
      <c r="C2851" s="313">
        <v>46136.0</v>
      </c>
      <c r="D2851" s="314" t="s">
        <v>39</v>
      </c>
      <c r="E2851" s="307" t="str">
        <f t="array" ref="E2851">(XLOOKUP(D2851,Roster!F:F,Roster!B:B,"",0))</f>
        <v>John Atilano</v>
      </c>
      <c r="F2851" s="315" t="str">
        <f t="array" ref="F2851">IF(B2851=100,"Free",TEXT(XLOOKUP($D2851,OperationVoice!$A:$A,OperationVoice!AD:AD,XLOOKUP($D2851,OperationTickets!$A:$A,OperationTickets!AD:AD,"",0)),"hh:mm"))</f>
        <v>Free</v>
      </c>
      <c r="G2851" s="309" t="str">
        <f t="shared" si="3"/>
        <v>Free</v>
      </c>
      <c r="H2851" s="316" t="str">
        <f t="array" ref="H2851">XLOOKUP(B2851,Roster!L:L,Roster!N:N,XLOOKUP(D2851,TicketsBreak!A:A,TicketsBreak!E:E,"",0),0)</f>
        <v/>
      </c>
      <c r="I2851" s="316" t="str">
        <f t="array" ref="I2851">XLOOKUP(B2851,Roster!L:L,Roster!O:O,XLOOKUP(D2851,TicketsBreak!A:A,TicketsBreak!F:F,"",0),0)</f>
        <v/>
      </c>
      <c r="J2851" s="316" t="str">
        <f t="array" ref="J2851">XLOOKUP(B2851,Roster!L:L,Roster!P:P,XLOOKUP(D2851,TicketsBreak!A:A,TicketsBreak!G:G,"",0),0)</f>
        <v/>
      </c>
      <c r="K2851" s="310">
        <f t="shared" si="4"/>
        <v>46136</v>
      </c>
      <c r="L2851" s="317">
        <f t="array" ref="L2851">(XLOOKUP(D2851,Roster!F:F,Roster!D:D,"",0))</f>
        <v>37</v>
      </c>
      <c r="M2851" s="317" t="str">
        <f t="array" ref="M2851">XLOOKUP(D2851,Roster!F:F,Roster!E:E)</f>
        <v>Voice</v>
      </c>
      <c r="N2851" s="317" t="str">
        <f t="shared" ref="N2851:P2851" si="2891">LEFT(H2851,5)</f>
        <v/>
      </c>
      <c r="O2851" s="317" t="str">
        <f t="shared" si="2891"/>
        <v/>
      </c>
      <c r="P2851" s="317" t="str">
        <f t="shared" si="2891"/>
        <v/>
      </c>
      <c r="Q2851" s="318" t="str">
        <f t="shared" si="2791"/>
        <v/>
      </c>
      <c r="R2851" s="318" t="str">
        <f t="shared" si="2792"/>
        <v/>
      </c>
      <c r="S2851" s="318" t="str">
        <f t="shared" si="8"/>
        <v/>
      </c>
    </row>
    <row r="2852">
      <c r="A2852" s="14" t="str">
        <f t="shared" si="1"/>
        <v>C154346136</v>
      </c>
      <c r="B2852" s="185">
        <f t="array" ref="B2852">IF(F2852="VL","",IF(F2852="Free","Free",XLOOKUP(D2852,Roster!T:T,Roster!S:S,"",0)))</f>
        <v>134</v>
      </c>
      <c r="C2852" s="313">
        <v>46136.0</v>
      </c>
      <c r="D2852" s="314" t="s">
        <v>40</v>
      </c>
      <c r="E2852" s="307" t="str">
        <f t="array" ref="E2852">(XLOOKUP(D2852,Roster!F:F,Roster!B:B,"",0))</f>
        <v>John Palacio</v>
      </c>
      <c r="F2852" s="315" t="str">
        <f t="array" ref="F2852">IF(B2852=100,"Free",TEXT(XLOOKUP($D2852,OperationVoice!$A:$A,OperationVoice!AD:AD,XLOOKUP($D2852,OperationTickets!$A:$A,OperationTickets!AD:AD,"",0)),"hh:mm"))</f>
        <v>09:00</v>
      </c>
      <c r="G2852" s="309">
        <f t="shared" si="3"/>
        <v>0.75</v>
      </c>
      <c r="H2852" s="316" t="str">
        <f t="array" ref="H2852">XLOOKUP(B2852,Roster!L:L,Roster!N:N,XLOOKUP(D2852,TicketsBreak!A:A,TicketsBreak!E:E,"",0),0)</f>
        <v>11:00 - 11:15</v>
      </c>
      <c r="I2852" s="316" t="str">
        <f t="array" ref="I2852">XLOOKUP(B2852,Roster!L:L,Roster!O:O,XLOOKUP(D2852,TicketsBreak!A:A,TicketsBreak!F:F,"",0),0)</f>
        <v>13:45 - 14:15</v>
      </c>
      <c r="J2852" s="316" t="str">
        <f t="array" ref="J2852">XLOOKUP(B2852,Roster!L:L,Roster!P:P,XLOOKUP(D2852,TicketsBreak!A:A,TicketsBreak!G:G,"",0),0)</f>
        <v>16:00 - 16:15</v>
      </c>
      <c r="K2852" s="310">
        <f t="shared" si="4"/>
        <v>46136</v>
      </c>
      <c r="L2852" s="317">
        <f t="array" ref="L2852">(XLOOKUP(D2852,Roster!F:F,Roster!D:D,"",0))</f>
        <v>36</v>
      </c>
      <c r="M2852" s="317" t="str">
        <f t="array" ref="M2852">XLOOKUP(D2852,Roster!F:F,Roster!E:E)</f>
        <v>Voice</v>
      </c>
      <c r="N2852" s="317" t="str">
        <f t="shared" ref="N2852:P2852" si="2892">LEFT(H2852,5)</f>
        <v>11:00</v>
      </c>
      <c r="O2852" s="317" t="str">
        <f t="shared" si="2892"/>
        <v>13:45</v>
      </c>
      <c r="P2852" s="317" t="str">
        <f t="shared" si="2892"/>
        <v>16:00</v>
      </c>
      <c r="Q2852" s="318">
        <f t="shared" si="2791"/>
        <v>46136.45833</v>
      </c>
      <c r="R2852" s="318">
        <f t="shared" si="2792"/>
        <v>46136.57292</v>
      </c>
      <c r="S2852" s="318">
        <f t="shared" si="8"/>
        <v>46136.66667</v>
      </c>
    </row>
    <row r="2853">
      <c r="A2853" s="14" t="str">
        <f t="shared" si="1"/>
        <v>C154246136</v>
      </c>
      <c r="B2853" s="185">
        <f t="array" ref="B2853">IF(F2853="VL","",IF(F2853="Free","Free",XLOOKUP(D2853,Roster!T:T,Roster!S:S,"",0)))</f>
        <v>124</v>
      </c>
      <c r="C2853" s="313">
        <v>46136.0</v>
      </c>
      <c r="D2853" s="314" t="s">
        <v>41</v>
      </c>
      <c r="E2853" s="307" t="str">
        <f t="array" ref="E2853">(XLOOKUP(D2853,Roster!F:F,Roster!B:B,"",0))</f>
        <v>Johny Garcia</v>
      </c>
      <c r="F2853" s="315" t="str">
        <f t="array" ref="F2853">IF(B2853=100,"Free",TEXT(XLOOKUP($D2853,OperationVoice!$A:$A,OperationVoice!AD:AD,XLOOKUP($D2853,OperationTickets!$A:$A,OperationTickets!AD:AD,"",0)),"hh:mm"))</f>
        <v>08:00</v>
      </c>
      <c r="G2853" s="309">
        <f t="shared" si="3"/>
        <v>0.7083333333</v>
      </c>
      <c r="H2853" s="316" t="str">
        <f t="array" ref="H2853">XLOOKUP(B2853,Roster!L:L,Roster!N:N,XLOOKUP(D2853,TicketsBreak!A:A,TicketsBreak!E:E,"",0),0)</f>
        <v>10:00 - 10:15</v>
      </c>
      <c r="I2853" s="316" t="str">
        <f t="array" ref="I2853">XLOOKUP(B2853,Roster!L:L,Roster!O:O,XLOOKUP(D2853,TicketsBreak!A:A,TicketsBreak!F:F,"",0),0)</f>
        <v>13:00 - 13:30</v>
      </c>
      <c r="J2853" s="316" t="str">
        <f t="array" ref="J2853">XLOOKUP(B2853,Roster!L:L,Roster!P:P,XLOOKUP(D2853,TicketsBreak!A:A,TicketsBreak!G:G,"",0),0)</f>
        <v>15:30 - 15:45</v>
      </c>
      <c r="K2853" s="310">
        <f t="shared" si="4"/>
        <v>46136</v>
      </c>
      <c r="L2853" s="317">
        <f t="array" ref="L2853">(XLOOKUP(D2853,Roster!F:F,Roster!D:D,"",0))</f>
        <v>36</v>
      </c>
      <c r="M2853" s="317" t="str">
        <f t="array" ref="M2853">XLOOKUP(D2853,Roster!F:F,Roster!E:E)</f>
        <v>Voice</v>
      </c>
      <c r="N2853" s="317" t="str">
        <f t="shared" ref="N2853:P2853" si="2893">LEFT(H2853,5)</f>
        <v>10:00</v>
      </c>
      <c r="O2853" s="317" t="str">
        <f t="shared" si="2893"/>
        <v>13:00</v>
      </c>
      <c r="P2853" s="317" t="str">
        <f t="shared" si="2893"/>
        <v>15:30</v>
      </c>
      <c r="Q2853" s="318">
        <f t="shared" si="2791"/>
        <v>46136.41667</v>
      </c>
      <c r="R2853" s="318">
        <f t="shared" si="2792"/>
        <v>46136.54167</v>
      </c>
      <c r="S2853" s="318">
        <f t="shared" si="8"/>
        <v>46136.64583</v>
      </c>
    </row>
    <row r="2854">
      <c r="A2854" s="14" t="str">
        <f t="shared" si="1"/>
        <v>C156946136</v>
      </c>
      <c r="B2854" s="185">
        <f t="array" ref="B2854">IF(F2854="VL","",IF(F2854="Free","Free",XLOOKUP(D2854,Roster!T:T,Roster!S:S,"",0)))</f>
        <v>121</v>
      </c>
      <c r="C2854" s="313">
        <v>46136.0</v>
      </c>
      <c r="D2854" s="314" t="s">
        <v>42</v>
      </c>
      <c r="E2854" s="307" t="str">
        <f t="array" ref="E2854">(XLOOKUP(D2854,Roster!F:F,Roster!B:B,"",0))</f>
        <v>Jorge Orozco</v>
      </c>
      <c r="F2854" s="315" t="str">
        <f t="array" ref="F2854">IF(B2854=100,"Free",TEXT(XLOOKUP($D2854,OperationVoice!$A:$A,OperationVoice!AD:AD,XLOOKUP($D2854,OperationTickets!$A:$A,OperationTickets!AD:AD,"",0)),"hh:mm"))</f>
        <v>08:00</v>
      </c>
      <c r="G2854" s="309">
        <f t="shared" si="3"/>
        <v>0.7083333333</v>
      </c>
      <c r="H2854" s="316" t="str">
        <f t="array" ref="H2854">XLOOKUP(B2854,Roster!L:L,Roster!N:N,XLOOKUP(D2854,TicketsBreak!A:A,TicketsBreak!E:E,"",0),0)</f>
        <v>09:15 - 09:30</v>
      </c>
      <c r="I2854" s="316" t="str">
        <f t="array" ref="I2854">XLOOKUP(B2854,Roster!L:L,Roster!O:O,XLOOKUP(D2854,TicketsBreak!A:A,TicketsBreak!F:F,"",0),0)</f>
        <v>11:30 - 12:00</v>
      </c>
      <c r="J2854" s="316" t="str">
        <f t="array" ref="J2854">XLOOKUP(B2854,Roster!L:L,Roster!P:P,XLOOKUP(D2854,TicketsBreak!A:A,TicketsBreak!G:G,"",0),0)</f>
        <v>14:30 - 14:45</v>
      </c>
      <c r="K2854" s="310">
        <f t="shared" si="4"/>
        <v>46136</v>
      </c>
      <c r="L2854" s="317">
        <f t="array" ref="L2854">(XLOOKUP(D2854,Roster!F:F,Roster!D:D,"",0))</f>
        <v>38</v>
      </c>
      <c r="M2854" s="317" t="str">
        <f t="array" ref="M2854">XLOOKUP(D2854,Roster!F:F,Roster!E:E)</f>
        <v>Voice</v>
      </c>
      <c r="N2854" s="317" t="str">
        <f t="shared" ref="N2854:P2854" si="2894">LEFT(H2854,5)</f>
        <v>09:15</v>
      </c>
      <c r="O2854" s="317" t="str">
        <f t="shared" si="2894"/>
        <v>11:30</v>
      </c>
      <c r="P2854" s="317" t="str">
        <f t="shared" si="2894"/>
        <v>14:30</v>
      </c>
      <c r="Q2854" s="318">
        <f t="shared" si="2791"/>
        <v>46136.38542</v>
      </c>
      <c r="R2854" s="318">
        <f t="shared" si="2792"/>
        <v>46136.47917</v>
      </c>
      <c r="S2854" s="318">
        <f t="shared" si="8"/>
        <v>46136.60417</v>
      </c>
    </row>
    <row r="2855">
      <c r="A2855" s="14" t="str">
        <f t="shared" si="1"/>
        <v>C102746136</v>
      </c>
      <c r="B2855" s="185" t="str">
        <f t="array" ref="B2855">IF(F2855="VL","",IF(F2855="Free","Free",XLOOKUP(D2855,Roster!T:T,Roster!S:S,"",0)))</f>
        <v/>
      </c>
      <c r="C2855" s="313">
        <v>46136.0</v>
      </c>
      <c r="D2855" s="314" t="s">
        <v>160</v>
      </c>
      <c r="E2855" s="307" t="str">
        <f t="array" ref="E2855">(XLOOKUP(D2855,Roster!F:F,Roster!B:B,"",0))</f>
        <v>Jose Perez</v>
      </c>
      <c r="F2855" s="315" t="str">
        <f t="array" ref="F2855">IF(B2855=100,"Free",TEXT(XLOOKUP($D2855,OperationVoice!$A:$A,OperationVoice!AD:AD,XLOOKUP($D2855,OperationTickets!$A:$A,OperationTickets!AD:AD,"",0)),"hh:mm"))</f>
        <v>06:00</v>
      </c>
      <c r="G2855" s="309">
        <f t="shared" si="3"/>
        <v>0.625</v>
      </c>
      <c r="H2855" s="316">
        <f t="array" ref="H2855">XLOOKUP(B2855,Roster!L:L,Roster!N:N,XLOOKUP(D2855,TicketsBreak!A:A,TicketsBreak!E:E,"",0),0)</f>
        <v>0.4166666667</v>
      </c>
      <c r="I2855" s="316">
        <f t="array" ref="I2855">XLOOKUP(B2855,Roster!L:L,Roster!O:O,XLOOKUP(D2855,TicketsBreak!A:A,TicketsBreak!F:F,"",0),0)</f>
        <v>0.5208333333</v>
      </c>
      <c r="J2855" s="316">
        <f t="array" ref="J2855">XLOOKUP(B2855,Roster!L:L,Roster!P:P,XLOOKUP(D2855,TicketsBreak!A:A,TicketsBreak!G:G,"",0),0)</f>
        <v>0.6354166667</v>
      </c>
      <c r="K2855" s="310">
        <f t="shared" si="4"/>
        <v>46136</v>
      </c>
      <c r="L2855" s="317">
        <f t="array" ref="L2855">(XLOOKUP(D2855,Roster!F:F,Roster!D:D,"",0))</f>
        <v>15</v>
      </c>
      <c r="M2855" s="317" t="str">
        <f t="array" ref="M2855">XLOOKUP(D2855,Roster!F:F,Roster!E:E)</f>
        <v>Tickets</v>
      </c>
      <c r="N2855" s="317" t="str">
        <f t="shared" ref="N2855:P2855" si="2895">LEFT(H2855,5)</f>
        <v>10:00</v>
      </c>
      <c r="O2855" s="317" t="str">
        <f t="shared" si="2895"/>
        <v>12:30</v>
      </c>
      <c r="P2855" s="317" t="str">
        <f t="shared" si="2895"/>
        <v>15:15</v>
      </c>
      <c r="Q2855" s="318">
        <f t="shared" si="2791"/>
        <v>46136.41667</v>
      </c>
      <c r="R2855" s="318">
        <f t="shared" si="2792"/>
        <v>46136.52083</v>
      </c>
      <c r="S2855" s="318">
        <f t="shared" si="8"/>
        <v>46136.63542</v>
      </c>
    </row>
    <row r="2856">
      <c r="A2856" s="14" t="str">
        <f t="shared" si="1"/>
        <v>C142646136</v>
      </c>
      <c r="B2856" s="185" t="str">
        <f t="array" ref="B2856">IF(F2856="VL","",IF(F2856="Free","Free",XLOOKUP(D2856,Roster!T:T,Roster!S:S,"",0)))</f>
        <v>Free</v>
      </c>
      <c r="C2856" s="313">
        <v>46136.0</v>
      </c>
      <c r="D2856" s="314" t="s">
        <v>161</v>
      </c>
      <c r="E2856" s="307" t="str">
        <f t="array" ref="E2856">(XLOOKUP(D2856,Roster!F:F,Roster!B:B,"",0))</f>
        <v>Jose Zapata</v>
      </c>
      <c r="F2856" s="315" t="str">
        <f t="array" ref="F2856">IF(B2856=100,"Free",TEXT(XLOOKUP($D2856,OperationVoice!$A:$A,OperationVoice!AD:AD,XLOOKUP($D2856,OperationTickets!$A:$A,OperationTickets!AD:AD,"",0)),"hh:mm"))</f>
        <v>Free</v>
      </c>
      <c r="G2856" s="309" t="str">
        <f t="shared" si="3"/>
        <v>Free</v>
      </c>
      <c r="H2856" s="316" t="str">
        <f t="array" ref="H2856">XLOOKUP(B2856,Roster!L:L,Roster!N:N,XLOOKUP(D2856,TicketsBreak!A:A,TicketsBreak!E:E,"",0),0)</f>
        <v/>
      </c>
      <c r="I2856" s="316" t="str">
        <f t="array" ref="I2856">XLOOKUP(B2856,Roster!L:L,Roster!O:O,XLOOKUP(D2856,TicketsBreak!A:A,TicketsBreak!F:F,"",0),0)</f>
        <v/>
      </c>
      <c r="J2856" s="316" t="str">
        <f t="array" ref="J2856">XLOOKUP(B2856,Roster!L:L,Roster!P:P,XLOOKUP(D2856,TicketsBreak!A:A,TicketsBreak!G:G,"",0),0)</f>
        <v/>
      </c>
      <c r="K2856" s="310">
        <f t="shared" si="4"/>
        <v>46136</v>
      </c>
      <c r="L2856" s="317">
        <f t="array" ref="L2856">(XLOOKUP(D2856,Roster!F:F,Roster!D:D,"",0))</f>
        <v>32</v>
      </c>
      <c r="M2856" s="317" t="str">
        <f t="array" ref="M2856">XLOOKUP(D2856,Roster!F:F,Roster!E:E)</f>
        <v>Tickets</v>
      </c>
      <c r="N2856" s="317" t="str">
        <f t="shared" ref="N2856:P2856" si="2896">LEFT(H2856,5)</f>
        <v/>
      </c>
      <c r="O2856" s="317" t="str">
        <f t="shared" si="2896"/>
        <v/>
      </c>
      <c r="P2856" s="317" t="str">
        <f t="shared" si="2896"/>
        <v/>
      </c>
      <c r="Q2856" s="318" t="str">
        <f t="shared" si="2791"/>
        <v/>
      </c>
      <c r="R2856" s="318" t="str">
        <f t="shared" si="2792"/>
        <v/>
      </c>
      <c r="S2856" s="318" t="str">
        <f t="shared" si="8"/>
        <v/>
      </c>
    </row>
    <row r="2857">
      <c r="A2857" s="14" t="str">
        <f t="shared" si="1"/>
        <v>C153346136</v>
      </c>
      <c r="B2857" s="185">
        <f t="array" ref="B2857">IF(F2857="VL","",IF(F2857="Free","Free",XLOOKUP(D2857,Roster!T:T,Roster!S:S,"",0)))</f>
        <v>125</v>
      </c>
      <c r="C2857" s="313">
        <v>46136.0</v>
      </c>
      <c r="D2857" s="314" t="s">
        <v>43</v>
      </c>
      <c r="E2857" s="307" t="str">
        <f t="array" ref="E2857">(XLOOKUP(D2857,Roster!F:F,Roster!B:B,"",0))</f>
        <v>Juan Barrera</v>
      </c>
      <c r="F2857" s="315" t="str">
        <f t="array" ref="F2857">IF(B2857=100,"Free",TEXT(XLOOKUP($D2857,OperationVoice!$A:$A,OperationVoice!AD:AD,XLOOKUP($D2857,OperationTickets!$A:$A,OperationTickets!AD:AD,"",0)),"hh:mm"))</f>
        <v>08:00</v>
      </c>
      <c r="G2857" s="309">
        <f t="shared" si="3"/>
        <v>0.7083333333</v>
      </c>
      <c r="H2857" s="316" t="str">
        <f t="array" ref="H2857">XLOOKUP(B2857,Roster!L:L,Roster!N:N,XLOOKUP(D2857,TicketsBreak!A:A,TicketsBreak!E:E,"",0),0)</f>
        <v>10:30 - 10:45</v>
      </c>
      <c r="I2857" s="316" t="str">
        <f t="array" ref="I2857">XLOOKUP(B2857,Roster!L:L,Roster!O:O,XLOOKUP(D2857,TicketsBreak!A:A,TicketsBreak!F:F,"",0),0)</f>
        <v>13:30 - 14:00</v>
      </c>
      <c r="J2857" s="316" t="str">
        <f t="array" ref="J2857">XLOOKUP(B2857,Roster!L:L,Roster!P:P,XLOOKUP(D2857,TicketsBreak!A:A,TicketsBreak!G:G,"",0),0)</f>
        <v>15:45 - 16:00</v>
      </c>
      <c r="K2857" s="310">
        <f t="shared" si="4"/>
        <v>46136</v>
      </c>
      <c r="L2857" s="317">
        <f t="array" ref="L2857">(XLOOKUP(D2857,Roster!F:F,Roster!D:D,"",0))</f>
        <v>36</v>
      </c>
      <c r="M2857" s="317" t="str">
        <f t="array" ref="M2857">XLOOKUP(D2857,Roster!F:F,Roster!E:E)</f>
        <v>Voice</v>
      </c>
      <c r="N2857" s="317" t="str">
        <f t="shared" ref="N2857:P2857" si="2897">LEFT(H2857,5)</f>
        <v>10:30</v>
      </c>
      <c r="O2857" s="317" t="str">
        <f t="shared" si="2897"/>
        <v>13:30</v>
      </c>
      <c r="P2857" s="317" t="str">
        <f t="shared" si="2897"/>
        <v>15:45</v>
      </c>
      <c r="Q2857" s="318">
        <f t="shared" si="2791"/>
        <v>46136.4375</v>
      </c>
      <c r="R2857" s="318">
        <f t="shared" si="2792"/>
        <v>46136.5625</v>
      </c>
      <c r="S2857" s="318">
        <f t="shared" si="8"/>
        <v>46136.65625</v>
      </c>
    </row>
    <row r="2858">
      <c r="A2858" s="14" t="str">
        <f t="shared" si="1"/>
        <v>C146546136</v>
      </c>
      <c r="B2858" s="185">
        <f t="array" ref="B2858">IF(F2858="VL","",IF(F2858="Free","Free",XLOOKUP(D2858,Roster!T:T,Roster!S:S,"",0)))</f>
        <v>500</v>
      </c>
      <c r="C2858" s="313">
        <v>46136.0</v>
      </c>
      <c r="D2858" s="314" t="s">
        <v>44</v>
      </c>
      <c r="E2858" s="307" t="str">
        <f t="array" ref="E2858">(XLOOKUP(D2858,Roster!F:F,Roster!B:B,"",0))</f>
        <v>Juan Castilla</v>
      </c>
      <c r="F2858" s="315" t="str">
        <f t="array" ref="F2858">IF(B2858=100,"Free",TEXT(XLOOKUP($D2858,OperationVoice!$A:$A,OperationVoice!AD:AD,XLOOKUP($D2858,OperationTickets!$A:$A,OperationTickets!AD:AD,"",0)),"hh:mm"))</f>
        <v>08:00</v>
      </c>
      <c r="G2858" s="309">
        <f t="shared" si="3"/>
        <v>0.7083333333</v>
      </c>
      <c r="H2858" s="316" t="str">
        <f t="array" ref="H2858">XLOOKUP(B2858,Roster!L:L,Roster!N:N,XLOOKUP(D2858,TicketsBreak!A:A,TicketsBreak!E:E,"",0),0)</f>
        <v>Team Leader</v>
      </c>
      <c r="I2858" s="316" t="str">
        <f t="array" ref="I2858">XLOOKUP(B2858,Roster!L:L,Roster!O:O,XLOOKUP(D2858,TicketsBreak!A:A,TicketsBreak!F:F,"",0),0)</f>
        <v>Team Leader</v>
      </c>
      <c r="J2858" s="316" t="str">
        <f t="array" ref="J2858">XLOOKUP(B2858,Roster!L:L,Roster!P:P,XLOOKUP(D2858,TicketsBreak!A:A,TicketsBreak!G:G,"",0),0)</f>
        <v/>
      </c>
      <c r="K2858" s="310">
        <f t="shared" si="4"/>
        <v>46136</v>
      </c>
      <c r="L2858" s="317">
        <f t="array" ref="L2858">(XLOOKUP(D2858,Roster!F:F,Roster!D:D,"",0))</f>
        <v>33</v>
      </c>
      <c r="M2858" s="317" t="str">
        <f t="array" ref="M2858">XLOOKUP(D2858,Roster!F:F,Roster!E:E)</f>
        <v>Voice</v>
      </c>
      <c r="N2858" s="317" t="str">
        <f t="shared" ref="N2858:P2858" si="2898">LEFT(H2858,5)</f>
        <v>Team </v>
      </c>
      <c r="O2858" s="317" t="str">
        <f t="shared" si="2898"/>
        <v>Team </v>
      </c>
      <c r="P2858" s="317" t="str">
        <f t="shared" si="2898"/>
        <v/>
      </c>
      <c r="Q2858" s="318" t="str">
        <f t="shared" si="2791"/>
        <v>#VALUE!</v>
      </c>
      <c r="R2858" s="318" t="str">
        <f t="shared" si="2792"/>
        <v>#VALUE!</v>
      </c>
      <c r="S2858" s="318" t="str">
        <f t="shared" si="8"/>
        <v/>
      </c>
    </row>
    <row r="2859">
      <c r="A2859" s="14" t="str">
        <f t="shared" si="1"/>
        <v>C72046136</v>
      </c>
      <c r="B2859" s="185" t="str">
        <f t="array" ref="B2859">IF(F2859="VL","",IF(F2859="Free","Free",XLOOKUP(D2859,Roster!T:T,Roster!S:S,"",0)))</f>
        <v/>
      </c>
      <c r="C2859" s="313">
        <v>46136.0</v>
      </c>
      <c r="D2859" s="314" t="s">
        <v>162</v>
      </c>
      <c r="E2859" s="307" t="str">
        <f t="array" ref="E2859">(XLOOKUP(D2859,Roster!F:F,Roster!B:B,"",0))</f>
        <v>Juan Durango</v>
      </c>
      <c r="F2859" s="315" t="str">
        <f t="array" ref="F2859">IF(B2859=100,"Free",TEXT(XLOOKUP($D2859,OperationVoice!$A:$A,OperationVoice!AD:AD,XLOOKUP($D2859,OperationTickets!$A:$A,OperationTickets!AD:AD,"",0)),"hh:mm"))</f>
        <v>08:00</v>
      </c>
      <c r="G2859" s="309">
        <f t="shared" si="3"/>
        <v>0.7083333333</v>
      </c>
      <c r="H2859" s="316">
        <f t="array" ref="H2859">XLOOKUP(B2859,Roster!L:L,Roster!N:N,XLOOKUP(D2859,TicketsBreak!A:A,TicketsBreak!E:E,"",0),0)</f>
        <v>0.40625</v>
      </c>
      <c r="I2859" s="316">
        <f t="array" ref="I2859">XLOOKUP(B2859,Roster!L:L,Roster!O:O,XLOOKUP(D2859,TicketsBreak!A:A,TicketsBreak!F:F,"",0),0)</f>
        <v>0.5729166667</v>
      </c>
      <c r="J2859" s="316">
        <f t="array" ref="J2859">XLOOKUP(B2859,Roster!L:L,Roster!P:P,XLOOKUP(D2859,TicketsBreak!A:A,TicketsBreak!G:G,"",0),0)</f>
        <v>0.65625</v>
      </c>
      <c r="K2859" s="310">
        <f t="shared" si="4"/>
        <v>46136</v>
      </c>
      <c r="L2859" s="317">
        <f t="array" ref="L2859">(XLOOKUP(D2859,Roster!F:F,Roster!D:D,"",0))</f>
        <v>7</v>
      </c>
      <c r="M2859" s="317" t="str">
        <f t="array" ref="M2859">XLOOKUP(D2859,Roster!F:F,Roster!E:E)</f>
        <v>Tickets</v>
      </c>
      <c r="N2859" s="317" t="str">
        <f t="shared" ref="N2859:P2859" si="2899">LEFT(H2859,5)</f>
        <v>09:45</v>
      </c>
      <c r="O2859" s="317" t="str">
        <f t="shared" si="2899"/>
        <v>13:45</v>
      </c>
      <c r="P2859" s="317" t="str">
        <f t="shared" si="2899"/>
        <v>15:45</v>
      </c>
      <c r="Q2859" s="318">
        <f t="shared" si="2791"/>
        <v>46136.40625</v>
      </c>
      <c r="R2859" s="318">
        <f t="shared" si="2792"/>
        <v>46136.57292</v>
      </c>
      <c r="S2859" s="318">
        <f t="shared" si="8"/>
        <v>46136.65625</v>
      </c>
    </row>
    <row r="2860">
      <c r="A2860" s="14" t="str">
        <f t="shared" si="1"/>
        <v>C59846136</v>
      </c>
      <c r="B2860" s="185" t="str">
        <f t="array" ref="B2860">IF(F2860="VL","",IF(F2860="Free","Free",XLOOKUP(D2860,Roster!T:T,Roster!S:S,"",0)))</f>
        <v/>
      </c>
      <c r="C2860" s="313">
        <v>46136.0</v>
      </c>
      <c r="D2860" s="314" t="s">
        <v>314</v>
      </c>
      <c r="E2860" s="307" t="str">
        <f t="array" ref="E2860">(XLOOKUP(D2860,Roster!F:F,Roster!B:B,"",0))</f>
        <v>Juan Fonnegra</v>
      </c>
      <c r="F2860" s="315" t="str">
        <f t="array" ref="F2860">IF(B2860=100,"Free",TEXT(XLOOKUP($D2860,OperationVoice!$A:$A,OperationVoice!AD:AD,XLOOKUP($D2860,OperationTickets!$A:$A,OperationTickets!AD:AD,"",0)),"hh:mm"))</f>
        <v/>
      </c>
      <c r="G2860" s="309" t="str">
        <f t="shared" si="3"/>
        <v/>
      </c>
      <c r="H2860" s="316">
        <f t="array" ref="H2860">XLOOKUP(B2860,Roster!L:L,Roster!N:N,XLOOKUP(D2860,TicketsBreak!A:A,TicketsBreak!E:E,"",0),0)</f>
        <v>0.4166666667</v>
      </c>
      <c r="I2860" s="316">
        <f t="array" ref="I2860">XLOOKUP(B2860,Roster!L:L,Roster!O:O,XLOOKUP(D2860,TicketsBreak!A:A,TicketsBreak!F:F,"",0),0)</f>
        <v>0.5208333333</v>
      </c>
      <c r="J2860" s="316">
        <f t="array" ref="J2860">XLOOKUP(B2860,Roster!L:L,Roster!P:P,XLOOKUP(D2860,TicketsBreak!A:A,TicketsBreak!G:G,"",0),0)</f>
        <v>0.65625</v>
      </c>
      <c r="K2860" s="310">
        <f t="shared" si="4"/>
        <v>46136</v>
      </c>
      <c r="L2860" s="317">
        <f t="array" ref="L2860">(XLOOKUP(D2860,Roster!F:F,Roster!D:D,"",0))</f>
        <v>1</v>
      </c>
      <c r="M2860" s="317" t="str">
        <f t="array" ref="M2860">XLOOKUP(D2860,Roster!F:F,Roster!E:E)</f>
        <v>Tickets</v>
      </c>
      <c r="N2860" s="317" t="str">
        <f t="shared" ref="N2860:P2860" si="2900">LEFT(H2860,5)</f>
        <v>10:00</v>
      </c>
      <c r="O2860" s="317" t="str">
        <f t="shared" si="2900"/>
        <v>12:30</v>
      </c>
      <c r="P2860" s="317" t="str">
        <f t="shared" si="2900"/>
        <v>15:45</v>
      </c>
      <c r="Q2860" s="318">
        <f t="shared" si="2791"/>
        <v>46136.41667</v>
      </c>
      <c r="R2860" s="318">
        <f t="shared" si="2792"/>
        <v>46136.52083</v>
      </c>
      <c r="S2860" s="318">
        <f t="shared" si="8"/>
        <v>46136.65625</v>
      </c>
    </row>
    <row r="2861">
      <c r="A2861" s="14" t="str">
        <f t="shared" si="1"/>
        <v>C113946136</v>
      </c>
      <c r="B2861" s="185">
        <f t="array" ref="B2861">IF(F2861="VL","",IF(F2861="Free","Free",XLOOKUP(D2861,Roster!T:T,Roster!S:S,"",0)))</f>
        <v>125</v>
      </c>
      <c r="C2861" s="313">
        <v>46136.0</v>
      </c>
      <c r="D2861" s="314" t="s">
        <v>45</v>
      </c>
      <c r="E2861" s="307" t="str">
        <f t="array" ref="E2861">(XLOOKUP(D2861,Roster!F:F,Roster!B:B,"",0))</f>
        <v>Juan Largacha</v>
      </c>
      <c r="F2861" s="315" t="str">
        <f t="array" ref="F2861">IF(B2861=100,"Free",TEXT(XLOOKUP($D2861,OperationVoice!$A:$A,OperationVoice!AD:AD,XLOOKUP($D2861,OperationTickets!$A:$A,OperationTickets!AD:AD,"",0)),"hh:mm"))</f>
        <v>08:00</v>
      </c>
      <c r="G2861" s="309">
        <f t="shared" si="3"/>
        <v>0.7083333333</v>
      </c>
      <c r="H2861" s="316" t="str">
        <f t="array" ref="H2861">XLOOKUP(B2861,Roster!L:L,Roster!N:N,XLOOKUP(D2861,TicketsBreak!A:A,TicketsBreak!E:E,"",0),0)</f>
        <v>10:30 - 10:45</v>
      </c>
      <c r="I2861" s="316" t="str">
        <f t="array" ref="I2861">XLOOKUP(B2861,Roster!L:L,Roster!O:O,XLOOKUP(D2861,TicketsBreak!A:A,TicketsBreak!F:F,"",0),0)</f>
        <v>13:30 - 14:00</v>
      </c>
      <c r="J2861" s="316" t="str">
        <f t="array" ref="J2861">XLOOKUP(B2861,Roster!L:L,Roster!P:P,XLOOKUP(D2861,TicketsBreak!A:A,TicketsBreak!G:G,"",0),0)</f>
        <v>15:45 - 16:00</v>
      </c>
      <c r="K2861" s="310">
        <f t="shared" si="4"/>
        <v>46136</v>
      </c>
      <c r="L2861" s="317">
        <f t="array" ref="L2861">(XLOOKUP(D2861,Roster!F:F,Roster!D:D,"",0))</f>
        <v>22</v>
      </c>
      <c r="M2861" s="317" t="str">
        <f t="array" ref="M2861">XLOOKUP(D2861,Roster!F:F,Roster!E:E)</f>
        <v>Voice</v>
      </c>
      <c r="N2861" s="317" t="str">
        <f t="shared" ref="N2861:P2861" si="2901">LEFT(H2861,5)</f>
        <v>10:30</v>
      </c>
      <c r="O2861" s="317" t="str">
        <f t="shared" si="2901"/>
        <v>13:30</v>
      </c>
      <c r="P2861" s="317" t="str">
        <f t="shared" si="2901"/>
        <v>15:45</v>
      </c>
      <c r="Q2861" s="318">
        <f t="shared" si="2791"/>
        <v>46136.4375</v>
      </c>
      <c r="R2861" s="318">
        <f t="shared" si="2792"/>
        <v>46136.5625</v>
      </c>
      <c r="S2861" s="318">
        <f t="shared" si="8"/>
        <v>46136.65625</v>
      </c>
    </row>
    <row r="2862">
      <c r="A2862" s="14" t="str">
        <f t="shared" si="1"/>
        <v>C156646136</v>
      </c>
      <c r="B2862" s="185">
        <f t="array" ref="B2862">IF(F2862="VL","",IF(F2862="Free","Free",XLOOKUP(D2862,Roster!T:T,Roster!S:S,"",0)))</f>
        <v>124</v>
      </c>
      <c r="C2862" s="313">
        <v>46136.0</v>
      </c>
      <c r="D2862" s="314" t="s">
        <v>46</v>
      </c>
      <c r="E2862" s="307" t="str">
        <f t="array" ref="E2862">(XLOOKUP(D2862,Roster!F:F,Roster!B:B,"",0))</f>
        <v>Juan Ocampo</v>
      </c>
      <c r="F2862" s="315" t="str">
        <f t="array" ref="F2862">IF(B2862=100,"Free",TEXT(XLOOKUP($D2862,OperationVoice!$A:$A,OperationVoice!AD:AD,XLOOKUP($D2862,OperationTickets!$A:$A,OperationTickets!AD:AD,"",0)),"hh:mm"))</f>
        <v>08:00</v>
      </c>
      <c r="G2862" s="309">
        <f t="shared" si="3"/>
        <v>0.7083333333</v>
      </c>
      <c r="H2862" s="316" t="str">
        <f t="array" ref="H2862">XLOOKUP(B2862,Roster!L:L,Roster!N:N,XLOOKUP(D2862,TicketsBreak!A:A,TicketsBreak!E:E,"",0),0)</f>
        <v>10:00 - 10:15</v>
      </c>
      <c r="I2862" s="316" t="str">
        <f t="array" ref="I2862">XLOOKUP(B2862,Roster!L:L,Roster!O:O,XLOOKUP(D2862,TicketsBreak!A:A,TicketsBreak!F:F,"",0),0)</f>
        <v>13:00 - 13:30</v>
      </c>
      <c r="J2862" s="316" t="str">
        <f t="array" ref="J2862">XLOOKUP(B2862,Roster!L:L,Roster!P:P,XLOOKUP(D2862,TicketsBreak!A:A,TicketsBreak!G:G,"",0),0)</f>
        <v>15:30 - 15:45</v>
      </c>
      <c r="K2862" s="310">
        <f t="shared" si="4"/>
        <v>46136</v>
      </c>
      <c r="L2862" s="317">
        <f t="array" ref="L2862">(XLOOKUP(D2862,Roster!F:F,Roster!D:D,"",0))</f>
        <v>38</v>
      </c>
      <c r="M2862" s="317" t="str">
        <f t="array" ref="M2862">XLOOKUP(D2862,Roster!F:F,Roster!E:E)</f>
        <v>Voice</v>
      </c>
      <c r="N2862" s="317" t="str">
        <f t="shared" ref="N2862:P2862" si="2902">LEFT(H2862,5)</f>
        <v>10:00</v>
      </c>
      <c r="O2862" s="317" t="str">
        <f t="shared" si="2902"/>
        <v>13:00</v>
      </c>
      <c r="P2862" s="317" t="str">
        <f t="shared" si="2902"/>
        <v>15:30</v>
      </c>
      <c r="Q2862" s="318">
        <f t="shared" si="2791"/>
        <v>46136.41667</v>
      </c>
      <c r="R2862" s="318">
        <f t="shared" si="2792"/>
        <v>46136.54167</v>
      </c>
      <c r="S2862" s="318">
        <f t="shared" si="8"/>
        <v>46136.64583</v>
      </c>
    </row>
    <row r="2863">
      <c r="A2863" s="14" t="str">
        <f t="shared" si="1"/>
        <v>C148446136</v>
      </c>
      <c r="B2863" s="185">
        <f t="array" ref="B2863">IF(F2863="VL","",IF(F2863="Free","Free",XLOOKUP(D2863,Roster!T:T,Roster!S:S,"",0)))</f>
        <v>126</v>
      </c>
      <c r="C2863" s="313">
        <v>46136.0</v>
      </c>
      <c r="D2863" s="314" t="s">
        <v>141</v>
      </c>
      <c r="E2863" s="307" t="str">
        <f t="array" ref="E2863">(XLOOKUP(D2863,Roster!F:F,Roster!B:B,"",0))</f>
        <v>Juan Ospina</v>
      </c>
      <c r="F2863" s="315" t="str">
        <f t="array" ref="F2863">IF(B2863=100,"Free",TEXT(XLOOKUP($D2863,OperationVoice!$A:$A,OperationVoice!AD:AD,XLOOKUP($D2863,OperationTickets!$A:$A,OperationTickets!AD:AD,"",0)),"hh:mm"))</f>
        <v>08:00</v>
      </c>
      <c r="G2863" s="309">
        <f t="shared" si="3"/>
        <v>0.7083333333</v>
      </c>
      <c r="H2863" s="316" t="str">
        <f t="array" ref="H2863">XLOOKUP(B2863,Roster!L:L,Roster!N:N,XLOOKUP(D2863,TicketsBreak!A:A,TicketsBreak!E:E,"",0),0)</f>
        <v>10:45 - 11:00</v>
      </c>
      <c r="I2863" s="316" t="str">
        <f t="array" ref="I2863">XLOOKUP(B2863,Roster!L:L,Roster!O:O,XLOOKUP(D2863,TicketsBreak!A:A,TicketsBreak!F:F,"",0),0)</f>
        <v>14:00 - 14:30</v>
      </c>
      <c r="J2863" s="316" t="str">
        <f t="array" ref="J2863">XLOOKUP(B2863,Roster!L:L,Roster!P:P,XLOOKUP(D2863,TicketsBreak!A:A,TicketsBreak!G:G,"",0),0)</f>
        <v>15:45 - 16:00</v>
      </c>
      <c r="K2863" s="310">
        <f t="shared" si="4"/>
        <v>46136</v>
      </c>
      <c r="L2863" s="317">
        <f t="array" ref="L2863">(XLOOKUP(D2863,Roster!F:F,Roster!D:D,"",0))</f>
        <v>34</v>
      </c>
      <c r="M2863" s="317" t="str">
        <f t="array" ref="M2863">XLOOKUP(D2863,Roster!F:F,Roster!E:E)</f>
        <v>Tickets</v>
      </c>
      <c r="N2863" s="317" t="str">
        <f t="shared" ref="N2863:P2863" si="2903">LEFT(H2863,5)</f>
        <v>10:45</v>
      </c>
      <c r="O2863" s="317" t="str">
        <f t="shared" si="2903"/>
        <v>14:00</v>
      </c>
      <c r="P2863" s="317" t="str">
        <f t="shared" si="2903"/>
        <v>15:45</v>
      </c>
      <c r="Q2863" s="318">
        <f t="shared" si="2791"/>
        <v>46136.44792</v>
      </c>
      <c r="R2863" s="318">
        <f t="shared" si="2792"/>
        <v>46136.58333</v>
      </c>
      <c r="S2863" s="318">
        <f t="shared" si="8"/>
        <v>46136.65625</v>
      </c>
    </row>
    <row r="2864">
      <c r="A2864" s="14" t="str">
        <f t="shared" si="1"/>
        <v>C141346136</v>
      </c>
      <c r="B2864" s="185">
        <f t="array" ref="B2864">IF(F2864="VL","",IF(F2864="Free","Free",XLOOKUP(D2864,Roster!T:T,Roster!S:S,"",0)))</f>
        <v>121</v>
      </c>
      <c r="C2864" s="313">
        <v>46136.0</v>
      </c>
      <c r="D2864" s="314" t="s">
        <v>47</v>
      </c>
      <c r="E2864" s="307" t="str">
        <f t="array" ref="E2864">(XLOOKUP(D2864,Roster!F:F,Roster!B:B,"",0))</f>
        <v>Juan Parra</v>
      </c>
      <c r="F2864" s="315" t="str">
        <f t="array" ref="F2864">IF(B2864=100,"Free",TEXT(XLOOKUP($D2864,OperationVoice!$A:$A,OperationVoice!AD:AD,XLOOKUP($D2864,OperationTickets!$A:$A,OperationTickets!AD:AD,"",0)),"hh:mm"))</f>
        <v>08:00</v>
      </c>
      <c r="G2864" s="309">
        <f t="shared" si="3"/>
        <v>0.7083333333</v>
      </c>
      <c r="H2864" s="316" t="str">
        <f t="array" ref="H2864">XLOOKUP(B2864,Roster!L:L,Roster!N:N,XLOOKUP(D2864,TicketsBreak!A:A,TicketsBreak!E:E,"",0),0)</f>
        <v>09:15 - 09:30</v>
      </c>
      <c r="I2864" s="316" t="str">
        <f t="array" ref="I2864">XLOOKUP(B2864,Roster!L:L,Roster!O:O,XLOOKUP(D2864,TicketsBreak!A:A,TicketsBreak!F:F,"",0),0)</f>
        <v>11:30 - 12:00</v>
      </c>
      <c r="J2864" s="316" t="str">
        <f t="array" ref="J2864">XLOOKUP(B2864,Roster!L:L,Roster!P:P,XLOOKUP(D2864,TicketsBreak!A:A,TicketsBreak!G:G,"",0),0)</f>
        <v>14:30 - 14:45</v>
      </c>
      <c r="K2864" s="310">
        <f t="shared" si="4"/>
        <v>46136</v>
      </c>
      <c r="L2864" s="317">
        <f t="array" ref="L2864">(XLOOKUP(D2864,Roster!F:F,Roster!D:D,"",0))</f>
        <v>32</v>
      </c>
      <c r="M2864" s="317" t="str">
        <f t="array" ref="M2864">XLOOKUP(D2864,Roster!F:F,Roster!E:E)</f>
        <v>Voice</v>
      </c>
      <c r="N2864" s="317" t="str">
        <f t="shared" ref="N2864:P2864" si="2904">LEFT(H2864,5)</f>
        <v>09:15</v>
      </c>
      <c r="O2864" s="317" t="str">
        <f t="shared" si="2904"/>
        <v>11:30</v>
      </c>
      <c r="P2864" s="317" t="str">
        <f t="shared" si="2904"/>
        <v>14:30</v>
      </c>
      <c r="Q2864" s="318">
        <f t="shared" si="2791"/>
        <v>46136.38542</v>
      </c>
      <c r="R2864" s="318">
        <f t="shared" si="2792"/>
        <v>46136.47917</v>
      </c>
      <c r="S2864" s="318">
        <f t="shared" si="8"/>
        <v>46136.60417</v>
      </c>
    </row>
    <row r="2865">
      <c r="A2865" s="14" t="str">
        <f t="shared" si="1"/>
        <v>C132746136</v>
      </c>
      <c r="B2865" s="185" t="str">
        <f t="array" ref="B2865">IF(F2865="VL","",IF(F2865="Free","Free",XLOOKUP(D2865,Roster!T:T,Roster!S:S,"",0)))</f>
        <v/>
      </c>
      <c r="C2865" s="313">
        <v>46136.0</v>
      </c>
      <c r="D2865" s="314" t="s">
        <v>163</v>
      </c>
      <c r="E2865" s="307" t="str">
        <f t="array" ref="E2865">(XLOOKUP(D2865,Roster!F:F,Roster!B:B,"",0))</f>
        <v>Juan Restrepo</v>
      </c>
      <c r="F2865" s="315" t="str">
        <f t="array" ref="F2865">IF(B2865=100,"Free",TEXT(XLOOKUP($D2865,OperationVoice!$A:$A,OperationVoice!AD:AD,XLOOKUP($D2865,OperationTickets!$A:$A,OperationTickets!AD:AD,"",0)),"hh:mm"))</f>
        <v>07:00</v>
      </c>
      <c r="G2865" s="309">
        <f t="shared" si="3"/>
        <v>0.6666666667</v>
      </c>
      <c r="H2865" s="316" t="str">
        <f t="array" ref="H2865">XLOOKUP(B2865,Roster!L:L,Roster!N:N,XLOOKUP(D2865,TicketsBreak!A:A,TicketsBreak!E:E,"",0),0)</f>
        <v/>
      </c>
      <c r="I2865" s="316" t="str">
        <f t="array" ref="I2865">XLOOKUP(B2865,Roster!L:L,Roster!O:O,XLOOKUP(D2865,TicketsBreak!A:A,TicketsBreak!F:F,"",0),0)</f>
        <v/>
      </c>
      <c r="J2865" s="316" t="str">
        <f t="array" ref="J2865">XLOOKUP(B2865,Roster!L:L,Roster!P:P,XLOOKUP(D2865,TicketsBreak!A:A,TicketsBreak!G:G,"",0),0)</f>
        <v/>
      </c>
      <c r="K2865" s="310">
        <f t="shared" si="4"/>
        <v>46136</v>
      </c>
      <c r="L2865" s="317">
        <f t="array" ref="L2865">(XLOOKUP(D2865,Roster!F:F,Roster!D:D,"",0))</f>
        <v>29</v>
      </c>
      <c r="M2865" s="317" t="str">
        <f t="array" ref="M2865">XLOOKUP(D2865,Roster!F:F,Roster!E:E)</f>
        <v>Tickets</v>
      </c>
      <c r="N2865" s="317" t="str">
        <f t="shared" ref="N2865:P2865" si="2905">LEFT(H2865,5)</f>
        <v/>
      </c>
      <c r="O2865" s="317" t="str">
        <f t="shared" si="2905"/>
        <v/>
      </c>
      <c r="P2865" s="317" t="str">
        <f t="shared" si="2905"/>
        <v/>
      </c>
      <c r="Q2865" s="318" t="str">
        <f t="shared" si="2791"/>
        <v/>
      </c>
      <c r="R2865" s="318" t="str">
        <f t="shared" si="2792"/>
        <v/>
      </c>
      <c r="S2865" s="318" t="str">
        <f t="shared" si="8"/>
        <v/>
      </c>
    </row>
    <row r="2866">
      <c r="A2866" s="14" t="str">
        <f t="shared" si="1"/>
        <v>C146946136</v>
      </c>
      <c r="B2866" s="185" t="str">
        <f t="array" ref="B2866">IF(F2866="VL","",IF(F2866="Free","Free",XLOOKUP(D2866,Roster!T:T,Roster!S:S,"",0)))</f>
        <v>Free</v>
      </c>
      <c r="C2866" s="313">
        <v>46136.0</v>
      </c>
      <c r="D2866" s="314" t="s">
        <v>48</v>
      </c>
      <c r="E2866" s="307" t="str">
        <f t="array" ref="E2866">(XLOOKUP(D2866,Roster!F:F,Roster!B:B,"",0))</f>
        <v>Juan Restrepo Restrepo</v>
      </c>
      <c r="F2866" s="315" t="str">
        <f t="array" ref="F2866">IF(B2866=100,"Free",TEXT(XLOOKUP($D2866,OperationVoice!$A:$A,OperationVoice!AD:AD,XLOOKUP($D2866,OperationTickets!$A:$A,OperationTickets!AD:AD,"",0)),"hh:mm"))</f>
        <v>Free</v>
      </c>
      <c r="G2866" s="309" t="str">
        <f t="shared" si="3"/>
        <v>Free</v>
      </c>
      <c r="H2866" s="316" t="str">
        <f t="array" ref="H2866">XLOOKUP(B2866,Roster!L:L,Roster!N:N,XLOOKUP(D2866,TicketsBreak!A:A,TicketsBreak!E:E,"",0),0)</f>
        <v/>
      </c>
      <c r="I2866" s="316" t="str">
        <f t="array" ref="I2866">XLOOKUP(B2866,Roster!L:L,Roster!O:O,XLOOKUP(D2866,TicketsBreak!A:A,TicketsBreak!F:F,"",0),0)</f>
        <v/>
      </c>
      <c r="J2866" s="316" t="str">
        <f t="array" ref="J2866">XLOOKUP(B2866,Roster!L:L,Roster!P:P,XLOOKUP(D2866,TicketsBreak!A:A,TicketsBreak!G:G,"",0),0)</f>
        <v/>
      </c>
      <c r="K2866" s="310">
        <f t="shared" si="4"/>
        <v>46136</v>
      </c>
      <c r="L2866" s="317">
        <f t="array" ref="L2866">(XLOOKUP(D2866,Roster!F:F,Roster!D:D,"",0))</f>
        <v>33</v>
      </c>
      <c r="M2866" s="317" t="str">
        <f t="array" ref="M2866">XLOOKUP(D2866,Roster!F:F,Roster!E:E)</f>
        <v>Voice</v>
      </c>
      <c r="N2866" s="317" t="str">
        <f t="shared" ref="N2866:P2866" si="2906">LEFT(H2866,5)</f>
        <v/>
      </c>
      <c r="O2866" s="317" t="str">
        <f t="shared" si="2906"/>
        <v/>
      </c>
      <c r="P2866" s="317" t="str">
        <f t="shared" si="2906"/>
        <v/>
      </c>
      <c r="Q2866" s="318" t="str">
        <f t="shared" si="2791"/>
        <v/>
      </c>
      <c r="R2866" s="318" t="str">
        <f t="shared" si="2792"/>
        <v/>
      </c>
      <c r="S2866" s="318" t="str">
        <f t="shared" si="8"/>
        <v/>
      </c>
    </row>
    <row r="2867">
      <c r="A2867" s="14" t="str">
        <f t="shared" si="1"/>
        <v>C117146136</v>
      </c>
      <c r="B2867" s="185" t="str">
        <f t="array" ref="B2867">IF(F2867="VL","",IF(F2867="Free","Free",XLOOKUP(D2867,Roster!T:T,Roster!S:S,"",0)))</f>
        <v/>
      </c>
      <c r="C2867" s="313">
        <v>46136.0</v>
      </c>
      <c r="D2867" s="314" t="s">
        <v>142</v>
      </c>
      <c r="E2867" s="307" t="str">
        <f t="array" ref="E2867">(XLOOKUP(D2867,Roster!F:F,Roster!B:B,"",0))</f>
        <v>Juan Sanchez</v>
      </c>
      <c r="F2867" s="315" t="str">
        <f t="array" ref="F2867">IF(B2867=100,"Free",TEXT(XLOOKUP($D2867,OperationVoice!$A:$A,OperationVoice!AD:AD,XLOOKUP($D2867,OperationTickets!$A:$A,OperationTickets!AD:AD,"",0)),"hh:mm"))</f>
        <v>08:00</v>
      </c>
      <c r="G2867" s="309">
        <f t="shared" si="3"/>
        <v>0.7083333333</v>
      </c>
      <c r="H2867" s="316" t="str">
        <f t="array" ref="H2867">XLOOKUP(B2867,Roster!L:L,Roster!N:N,XLOOKUP(D2867,TicketsBreak!A:A,TicketsBreak!E:E,"",0),0)</f>
        <v/>
      </c>
      <c r="I2867" s="316" t="str">
        <f t="array" ref="I2867">XLOOKUP(B2867,Roster!L:L,Roster!O:O,XLOOKUP(D2867,TicketsBreak!A:A,TicketsBreak!F:F,"",0),0)</f>
        <v/>
      </c>
      <c r="J2867" s="316" t="str">
        <f t="array" ref="J2867">XLOOKUP(B2867,Roster!L:L,Roster!P:P,XLOOKUP(D2867,TicketsBreak!A:A,TicketsBreak!G:G,"",0),0)</f>
        <v/>
      </c>
      <c r="K2867" s="310">
        <f t="shared" si="4"/>
        <v>46136</v>
      </c>
      <c r="L2867" s="317">
        <f t="array" ref="L2867">(XLOOKUP(D2867,Roster!F:F,Roster!D:D,"",0))</f>
        <v>24</v>
      </c>
      <c r="M2867" s="317" t="str">
        <f t="array" ref="M2867">XLOOKUP(D2867,Roster!F:F,Roster!E:E)</f>
        <v>Tickets</v>
      </c>
      <c r="N2867" s="317" t="str">
        <f t="shared" ref="N2867:P2867" si="2907">LEFT(H2867,5)</f>
        <v/>
      </c>
      <c r="O2867" s="317" t="str">
        <f t="shared" si="2907"/>
        <v/>
      </c>
      <c r="P2867" s="317" t="str">
        <f t="shared" si="2907"/>
        <v/>
      </c>
      <c r="Q2867" s="318" t="str">
        <f t="shared" si="2791"/>
        <v/>
      </c>
      <c r="R2867" s="318" t="str">
        <f t="shared" si="2792"/>
        <v/>
      </c>
      <c r="S2867" s="318" t="str">
        <f t="shared" si="8"/>
        <v/>
      </c>
    </row>
    <row r="2868">
      <c r="A2868" s="14" t="str">
        <f t="shared" si="1"/>
        <v>C74346136</v>
      </c>
      <c r="B2868" s="185" t="str">
        <f t="array" ref="B2868">IF(F2868="VL","",IF(F2868="Free","Free",XLOOKUP(D2868,Roster!T:T,Roster!S:S,"",0)))</f>
        <v/>
      </c>
      <c r="C2868" s="313">
        <v>46136.0</v>
      </c>
      <c r="D2868" s="314" t="s">
        <v>164</v>
      </c>
      <c r="E2868" s="307" t="str">
        <f t="array" ref="E2868">(XLOOKUP(D2868,Roster!F:F,Roster!B:B,"",0))</f>
        <v>Juan Suarez</v>
      </c>
      <c r="F2868" s="315" t="str">
        <f t="array" ref="F2868">IF(B2868=100,"Free",TEXT(XLOOKUP($D2868,OperationVoice!$A:$A,OperationVoice!AD:AD,XLOOKUP($D2868,OperationTickets!$A:$A,OperationTickets!AD:AD,"",0)),"hh:mm"))</f>
        <v>VL</v>
      </c>
      <c r="G2868" s="309" t="str">
        <f t="shared" si="3"/>
        <v>VL</v>
      </c>
      <c r="H2868" s="316">
        <f t="array" ref="H2868">XLOOKUP(B2868,Roster!L:L,Roster!N:N,XLOOKUP(D2868,TicketsBreak!A:A,TicketsBreak!E:E,"",0),0)</f>
        <v>0.3958333333</v>
      </c>
      <c r="I2868" s="316">
        <f t="array" ref="I2868">XLOOKUP(B2868,Roster!L:L,Roster!O:O,XLOOKUP(D2868,TicketsBreak!A:A,TicketsBreak!F:F,"",0),0)</f>
        <v>0.5208333333</v>
      </c>
      <c r="J2868" s="316">
        <f t="array" ref="J2868">XLOOKUP(B2868,Roster!L:L,Roster!P:P,XLOOKUP(D2868,TicketsBreak!A:A,TicketsBreak!G:G,"",0),0)</f>
        <v>0.6145833333</v>
      </c>
      <c r="K2868" s="310">
        <f t="shared" si="4"/>
        <v>46136</v>
      </c>
      <c r="L2868" s="317">
        <f t="array" ref="L2868">(XLOOKUP(D2868,Roster!F:F,Roster!D:D,"",0))</f>
        <v>8</v>
      </c>
      <c r="M2868" s="317" t="str">
        <f t="array" ref="M2868">XLOOKUP(D2868,Roster!F:F,Roster!E:E)</f>
        <v>Tickets</v>
      </c>
      <c r="N2868" s="317" t="str">
        <f t="shared" ref="N2868:P2868" si="2908">LEFT(H2868,5)</f>
        <v>09:30</v>
      </c>
      <c r="O2868" s="317" t="str">
        <f t="shared" si="2908"/>
        <v>12:30</v>
      </c>
      <c r="P2868" s="317" t="str">
        <f t="shared" si="2908"/>
        <v>14:45</v>
      </c>
      <c r="Q2868" s="318">
        <f t="shared" si="2791"/>
        <v>46136.39583</v>
      </c>
      <c r="R2868" s="318">
        <f t="shared" si="2792"/>
        <v>46136.52083</v>
      </c>
      <c r="S2868" s="318">
        <f t="shared" si="8"/>
        <v>46136.61458</v>
      </c>
    </row>
    <row r="2869">
      <c r="A2869" s="14" t="str">
        <f t="shared" si="1"/>
        <v>C156846136</v>
      </c>
      <c r="B2869" s="185">
        <f t="array" ref="B2869">IF(F2869="VL","",IF(F2869="Free","Free",XLOOKUP(D2869,Roster!T:T,Roster!S:S,"",0)))</f>
        <v>122</v>
      </c>
      <c r="C2869" s="313">
        <v>46136.0</v>
      </c>
      <c r="D2869" s="314" t="s">
        <v>49</v>
      </c>
      <c r="E2869" s="307" t="str">
        <f t="array" ref="E2869">(XLOOKUP(D2869,Roster!F:F,Roster!B:B,"",0))</f>
        <v>Juan Zapata</v>
      </c>
      <c r="F2869" s="315" t="str">
        <f t="array" ref="F2869">IF(B2869=100,"Free",TEXT(XLOOKUP($D2869,OperationVoice!$A:$A,OperationVoice!AD:AD,XLOOKUP($D2869,OperationTickets!$A:$A,OperationTickets!AD:AD,"",0)),"hh:mm"))</f>
        <v>08:00</v>
      </c>
      <c r="G2869" s="309">
        <f t="shared" si="3"/>
        <v>0.7083333333</v>
      </c>
      <c r="H2869" s="316" t="str">
        <f t="array" ref="H2869">XLOOKUP(B2869,Roster!L:L,Roster!N:N,XLOOKUP(D2869,TicketsBreak!A:A,TicketsBreak!E:E,"",0),0)</f>
        <v>09:30 - 09:45</v>
      </c>
      <c r="I2869" s="316" t="str">
        <f t="array" ref="I2869">XLOOKUP(B2869,Roster!L:L,Roster!O:O,XLOOKUP(D2869,TicketsBreak!A:A,TicketsBreak!F:F,"",0),0)</f>
        <v>12:00 - 12:30</v>
      </c>
      <c r="J2869" s="316" t="str">
        <f t="array" ref="J2869">XLOOKUP(B2869,Roster!L:L,Roster!P:P,XLOOKUP(D2869,TicketsBreak!A:A,TicketsBreak!G:G,"",0),0)</f>
        <v>14:45 - 15:00</v>
      </c>
      <c r="K2869" s="310">
        <f t="shared" si="4"/>
        <v>46136</v>
      </c>
      <c r="L2869" s="317">
        <f t="array" ref="L2869">(XLOOKUP(D2869,Roster!F:F,Roster!D:D,"",0))</f>
        <v>38</v>
      </c>
      <c r="M2869" s="317" t="str">
        <f t="array" ref="M2869">XLOOKUP(D2869,Roster!F:F,Roster!E:E)</f>
        <v>Voice</v>
      </c>
      <c r="N2869" s="317" t="str">
        <f t="shared" ref="N2869:P2869" si="2909">LEFT(H2869,5)</f>
        <v>09:30</v>
      </c>
      <c r="O2869" s="317" t="str">
        <f t="shared" si="2909"/>
        <v>12:00</v>
      </c>
      <c r="P2869" s="317" t="str">
        <f t="shared" si="2909"/>
        <v>14:45</v>
      </c>
      <c r="Q2869" s="318">
        <f t="shared" si="2791"/>
        <v>46136.39583</v>
      </c>
      <c r="R2869" s="318">
        <f t="shared" si="2792"/>
        <v>46136.5</v>
      </c>
      <c r="S2869" s="318">
        <f t="shared" si="8"/>
        <v>46136.61458</v>
      </c>
    </row>
    <row r="2870">
      <c r="A2870" s="14" t="str">
        <f t="shared" si="1"/>
        <v>C75546136</v>
      </c>
      <c r="B2870" s="185" t="str">
        <f t="array" ref="B2870">IF(F2870="VL","",IF(F2870="Free","Free",XLOOKUP(D2870,Roster!T:T,Roster!S:S,"",0)))</f>
        <v/>
      </c>
      <c r="C2870" s="313">
        <v>46136.0</v>
      </c>
      <c r="D2870" s="314" t="s">
        <v>143</v>
      </c>
      <c r="E2870" s="307" t="str">
        <f t="array" ref="E2870">(XLOOKUP(D2870,Roster!F:F,Roster!B:B,"",0))</f>
        <v>Julian Higuita</v>
      </c>
      <c r="F2870" s="315" t="str">
        <f t="array" ref="F2870">IF(B2870=100,"Free",TEXT(XLOOKUP($D2870,OperationVoice!$A:$A,OperationVoice!AD:AD,XLOOKUP($D2870,OperationTickets!$A:$A,OperationTickets!AD:AD,"",0)),"hh:mm"))</f>
        <v>VL</v>
      </c>
      <c r="G2870" s="309" t="str">
        <f t="shared" si="3"/>
        <v>VL</v>
      </c>
      <c r="H2870" s="316" t="str">
        <f t="array" ref="H2870">XLOOKUP(B2870,Roster!L:L,Roster!N:N,XLOOKUP(D2870,TicketsBreak!A:A,TicketsBreak!E:E,"",0),0)</f>
        <v/>
      </c>
      <c r="I2870" s="316" t="str">
        <f t="array" ref="I2870">XLOOKUP(B2870,Roster!L:L,Roster!O:O,XLOOKUP(D2870,TicketsBreak!A:A,TicketsBreak!F:F,"",0),0)</f>
        <v/>
      </c>
      <c r="J2870" s="316" t="str">
        <f t="array" ref="J2870">XLOOKUP(B2870,Roster!L:L,Roster!P:P,XLOOKUP(D2870,TicketsBreak!A:A,TicketsBreak!G:G,"",0),0)</f>
        <v/>
      </c>
      <c r="K2870" s="310">
        <f t="shared" si="4"/>
        <v>46136</v>
      </c>
      <c r="L2870" s="317">
        <f t="array" ref="L2870">(XLOOKUP(D2870,Roster!F:F,Roster!D:D,"",0))</f>
        <v>35</v>
      </c>
      <c r="M2870" s="317" t="str">
        <f t="array" ref="M2870">XLOOKUP(D2870,Roster!F:F,Roster!E:E)</f>
        <v>Tickets</v>
      </c>
      <c r="N2870" s="317" t="str">
        <f t="shared" ref="N2870:P2870" si="2910">LEFT(H2870,5)</f>
        <v/>
      </c>
      <c r="O2870" s="317" t="str">
        <f t="shared" si="2910"/>
        <v/>
      </c>
      <c r="P2870" s="317" t="str">
        <f t="shared" si="2910"/>
        <v/>
      </c>
      <c r="Q2870" s="318" t="str">
        <f t="shared" si="2791"/>
        <v/>
      </c>
      <c r="R2870" s="318" t="str">
        <f t="shared" si="2792"/>
        <v/>
      </c>
      <c r="S2870" s="318" t="str">
        <f t="shared" si="8"/>
        <v/>
      </c>
    </row>
    <row r="2871">
      <c r="A2871" s="14" t="str">
        <f t="shared" si="1"/>
        <v>C52546136</v>
      </c>
      <c r="B2871" s="185" t="str">
        <f t="array" ref="B2871">IF(F2871="VL","",IF(F2871="Free","Free",XLOOKUP(D2871,Roster!T:T,Roster!S:S,"",0)))</f>
        <v/>
      </c>
      <c r="C2871" s="313">
        <v>46136.0</v>
      </c>
      <c r="D2871" s="314" t="s">
        <v>176</v>
      </c>
      <c r="E2871" s="307" t="str">
        <f t="array" ref="E2871">(XLOOKUP(D2871,Roster!F:F,Roster!B:B,"",0))</f>
        <v>Julian Pineda</v>
      </c>
      <c r="F2871" s="315" t="str">
        <f t="array" ref="F2871">IF(B2871=100,"Free",TEXT(XLOOKUP($D2871,OperationVoice!$A:$A,OperationVoice!AD:AD,XLOOKUP($D2871,OperationTickets!$A:$A,OperationTickets!AD:AD,"",0)),"hh:mm"))</f>
        <v>08:00</v>
      </c>
      <c r="G2871" s="309">
        <f t="shared" si="3"/>
        <v>0.7083333333</v>
      </c>
      <c r="H2871" s="316" t="str">
        <f t="array" ref="H2871">XLOOKUP(B2871,Roster!L:L,Roster!N:N,XLOOKUP(D2871,TicketsBreak!A:A,TicketsBreak!E:E,"",0),0)</f>
        <v/>
      </c>
      <c r="I2871" s="316" t="str">
        <f t="array" ref="I2871">XLOOKUP(B2871,Roster!L:L,Roster!O:O,XLOOKUP(D2871,TicketsBreak!A:A,TicketsBreak!F:F,"",0),0)</f>
        <v/>
      </c>
      <c r="J2871" s="316" t="str">
        <f t="array" ref="J2871">XLOOKUP(B2871,Roster!L:L,Roster!P:P,XLOOKUP(D2871,TicketsBreak!A:A,TicketsBreak!G:G,"",0),0)</f>
        <v/>
      </c>
      <c r="K2871" s="310">
        <f t="shared" si="4"/>
        <v>46136</v>
      </c>
      <c r="L2871" s="317">
        <f t="array" ref="L2871">(XLOOKUP(D2871,Roster!F:F,Roster!D:D,"",0))</f>
        <v>35</v>
      </c>
      <c r="M2871" s="317" t="str">
        <f t="array" ref="M2871">XLOOKUP(D2871,Roster!F:F,Roster!E:E)</f>
        <v>Tickets</v>
      </c>
      <c r="N2871" s="317" t="str">
        <f t="shared" ref="N2871:P2871" si="2911">LEFT(H2871,5)</f>
        <v/>
      </c>
      <c r="O2871" s="317" t="str">
        <f t="shared" si="2911"/>
        <v/>
      </c>
      <c r="P2871" s="317" t="str">
        <f t="shared" si="2911"/>
        <v/>
      </c>
      <c r="Q2871" s="318" t="str">
        <f t="shared" si="2791"/>
        <v/>
      </c>
      <c r="R2871" s="318" t="str">
        <f t="shared" si="2792"/>
        <v/>
      </c>
      <c r="S2871" s="318" t="str">
        <f t="shared" si="8"/>
        <v/>
      </c>
    </row>
    <row r="2872">
      <c r="A2872" s="14" t="str">
        <f t="shared" si="1"/>
        <v>C142746136</v>
      </c>
      <c r="B2872" s="185">
        <f t="array" ref="B2872">IF(F2872="VL","",IF(F2872="Free","Free",XLOOKUP(D2872,Roster!T:T,Roster!S:S,"",0)))</f>
        <v>123</v>
      </c>
      <c r="C2872" s="313">
        <v>46136.0</v>
      </c>
      <c r="D2872" s="314" t="s">
        <v>50</v>
      </c>
      <c r="E2872" s="307" t="str">
        <f t="array" ref="E2872">(XLOOKUP(D2872,Roster!F:F,Roster!B:B,"",0))</f>
        <v>Karen Lorena Martinez</v>
      </c>
      <c r="F2872" s="315" t="str">
        <f t="array" ref="F2872">IF(B2872=100,"Free",TEXT(XLOOKUP($D2872,OperationVoice!$A:$A,OperationVoice!AD:AD,XLOOKUP($D2872,OperationTickets!$A:$A,OperationTickets!AD:AD,"",0)),"hh:mm"))</f>
        <v>08:00</v>
      </c>
      <c r="G2872" s="309">
        <f t="shared" si="3"/>
        <v>0.7083333333</v>
      </c>
      <c r="H2872" s="316" t="str">
        <f t="array" ref="H2872">XLOOKUP(B2872,Roster!L:L,Roster!N:N,XLOOKUP(D2872,TicketsBreak!A:A,TicketsBreak!E:E,"",0),0)</f>
        <v>09:45 - 10:00 </v>
      </c>
      <c r="I2872" s="316" t="str">
        <f t="array" ref="I2872">XLOOKUP(B2872,Roster!L:L,Roster!O:O,XLOOKUP(D2872,TicketsBreak!A:A,TicketsBreak!F:F,"",0),0)</f>
        <v>12:30 - 13:00</v>
      </c>
      <c r="J2872" s="316" t="str">
        <f t="array" ref="J2872">XLOOKUP(B2872,Roster!L:L,Roster!P:P,XLOOKUP(D2872,TicketsBreak!A:A,TicketsBreak!G:G,"",0),0)</f>
        <v>15:00 - 15:15</v>
      </c>
      <c r="K2872" s="310">
        <f t="shared" si="4"/>
        <v>46136</v>
      </c>
      <c r="L2872" s="317">
        <f t="array" ref="L2872">(XLOOKUP(D2872,Roster!F:F,Roster!D:D,"",0))</f>
        <v>32</v>
      </c>
      <c r="M2872" s="317" t="str">
        <f t="array" ref="M2872">XLOOKUP(D2872,Roster!F:F,Roster!E:E)</f>
        <v>Voice</v>
      </c>
      <c r="N2872" s="317" t="str">
        <f t="shared" ref="N2872:P2872" si="2912">LEFT(H2872,5)</f>
        <v>09:45</v>
      </c>
      <c r="O2872" s="317" t="str">
        <f t="shared" si="2912"/>
        <v>12:30</v>
      </c>
      <c r="P2872" s="317" t="str">
        <f t="shared" si="2912"/>
        <v>15:00</v>
      </c>
      <c r="Q2872" s="318">
        <f t="shared" si="2791"/>
        <v>46136.40625</v>
      </c>
      <c r="R2872" s="318">
        <f t="shared" si="2792"/>
        <v>46136.52083</v>
      </c>
      <c r="S2872" s="318">
        <f t="shared" si="8"/>
        <v>46136.625</v>
      </c>
    </row>
    <row r="2873">
      <c r="A2873" s="14" t="str">
        <f t="shared" si="1"/>
        <v>C57946136</v>
      </c>
      <c r="B2873" s="185" t="str">
        <f t="array" ref="B2873">IF(F2873="VL","",IF(F2873="Free","Free",XLOOKUP(D2873,Roster!T:T,Roster!S:S,"",0)))</f>
        <v/>
      </c>
      <c r="C2873" s="313">
        <v>46136.0</v>
      </c>
      <c r="D2873" s="314" t="s">
        <v>144</v>
      </c>
      <c r="E2873" s="307" t="str">
        <f t="array" ref="E2873">(XLOOKUP(D2873,Roster!F:F,Roster!B:B,"",0))</f>
        <v>Karen Martinez</v>
      </c>
      <c r="F2873" s="315" t="str">
        <f t="array" ref="F2873">IF(B2873=100,"Free",TEXT(XLOOKUP($D2873,OperationVoice!$A:$A,OperationVoice!AD:AD,XLOOKUP($D2873,OperationTickets!$A:$A,OperationTickets!AD:AD,"",0)),"hh:mm"))</f>
        <v>08:00</v>
      </c>
      <c r="G2873" s="309">
        <f t="shared" si="3"/>
        <v>0.7083333333</v>
      </c>
      <c r="H2873" s="316">
        <f t="array" ref="H2873">XLOOKUP(B2873,Roster!L:L,Roster!N:N,XLOOKUP(D2873,TicketsBreak!A:A,TicketsBreak!E:E,"",0),0)</f>
        <v>0.4166666667</v>
      </c>
      <c r="I2873" s="316">
        <f t="array" ref="I2873">XLOOKUP(B2873,Roster!L:L,Roster!O:O,XLOOKUP(D2873,TicketsBreak!A:A,TicketsBreak!F:F,"",0),0)</f>
        <v>0.5</v>
      </c>
      <c r="J2873" s="316">
        <f t="array" ref="J2873">XLOOKUP(B2873,Roster!L:L,Roster!P:P,XLOOKUP(D2873,TicketsBreak!A:A,TicketsBreak!G:G,"",0),0)</f>
        <v>0.625</v>
      </c>
      <c r="K2873" s="310">
        <f t="shared" si="4"/>
        <v>46136</v>
      </c>
      <c r="L2873" s="317">
        <f t="array" ref="L2873">(XLOOKUP(D2873,Roster!F:F,Roster!D:D,"",0))</f>
        <v>4</v>
      </c>
      <c r="M2873" s="317" t="str">
        <f t="array" ref="M2873">XLOOKUP(D2873,Roster!F:F,Roster!E:E)</f>
        <v>Tickets</v>
      </c>
      <c r="N2873" s="317" t="str">
        <f t="shared" ref="N2873:P2873" si="2913">LEFT(H2873,5)</f>
        <v>10:00</v>
      </c>
      <c r="O2873" s="317" t="str">
        <f t="shared" si="2913"/>
        <v>12:00</v>
      </c>
      <c r="P2873" s="317" t="str">
        <f t="shared" si="2913"/>
        <v>15:00</v>
      </c>
      <c r="Q2873" s="318">
        <f t="shared" si="2791"/>
        <v>46136.41667</v>
      </c>
      <c r="R2873" s="318">
        <f t="shared" si="2792"/>
        <v>46136.5</v>
      </c>
      <c r="S2873" s="318">
        <f t="shared" si="8"/>
        <v>46136.625</v>
      </c>
    </row>
    <row r="2874">
      <c r="A2874" s="14" t="str">
        <f t="shared" si="1"/>
        <v>C108646136</v>
      </c>
      <c r="B2874" s="185">
        <f t="array" ref="B2874">IF(F2874="VL","",IF(F2874="Free","Free",XLOOKUP(D2874,Roster!T:T,Roster!S:S,"",0)))</f>
        <v>124</v>
      </c>
      <c r="C2874" s="313">
        <v>46136.0</v>
      </c>
      <c r="D2874" s="314" t="s">
        <v>51</v>
      </c>
      <c r="E2874" s="307" t="str">
        <f t="array" ref="E2874">(XLOOKUP(D2874,Roster!F:F,Roster!B:B,"",0))</f>
        <v>Karen Panqueva</v>
      </c>
      <c r="F2874" s="315" t="str">
        <f t="array" ref="F2874">IF(B2874=100,"Free",TEXT(XLOOKUP($D2874,OperationVoice!$A:$A,OperationVoice!AD:AD,XLOOKUP($D2874,OperationTickets!$A:$A,OperationTickets!AD:AD,"",0)),"hh:mm"))</f>
        <v>08:00</v>
      </c>
      <c r="G2874" s="309">
        <f t="shared" si="3"/>
        <v>0.7083333333</v>
      </c>
      <c r="H2874" s="316" t="str">
        <f t="array" ref="H2874">XLOOKUP(B2874,Roster!L:L,Roster!N:N,XLOOKUP(D2874,TicketsBreak!A:A,TicketsBreak!E:E,"",0),0)</f>
        <v>10:00 - 10:15</v>
      </c>
      <c r="I2874" s="316" t="str">
        <f t="array" ref="I2874">XLOOKUP(B2874,Roster!L:L,Roster!O:O,XLOOKUP(D2874,TicketsBreak!A:A,TicketsBreak!F:F,"",0),0)</f>
        <v>13:00 - 13:30</v>
      </c>
      <c r="J2874" s="316" t="str">
        <f t="array" ref="J2874">XLOOKUP(B2874,Roster!L:L,Roster!P:P,XLOOKUP(D2874,TicketsBreak!A:A,TicketsBreak!G:G,"",0),0)</f>
        <v>15:30 - 15:45</v>
      </c>
      <c r="K2874" s="310">
        <f t="shared" si="4"/>
        <v>46136</v>
      </c>
      <c r="L2874" s="317">
        <f t="array" ref="L2874">(XLOOKUP(D2874,Roster!F:F,Roster!D:D,"",0))</f>
        <v>19</v>
      </c>
      <c r="M2874" s="317" t="str">
        <f t="array" ref="M2874">XLOOKUP(D2874,Roster!F:F,Roster!E:E)</f>
        <v>Voice</v>
      </c>
      <c r="N2874" s="317" t="str">
        <f t="shared" ref="N2874:P2874" si="2914">LEFT(H2874,5)</f>
        <v>10:00</v>
      </c>
      <c r="O2874" s="317" t="str">
        <f t="shared" si="2914"/>
        <v>13:00</v>
      </c>
      <c r="P2874" s="317" t="str">
        <f t="shared" si="2914"/>
        <v>15:30</v>
      </c>
      <c r="Q2874" s="318">
        <f t="shared" si="2791"/>
        <v>46136.41667</v>
      </c>
      <c r="R2874" s="318">
        <f t="shared" si="2792"/>
        <v>46136.54167</v>
      </c>
      <c r="S2874" s="318">
        <f t="shared" si="8"/>
        <v>46136.64583</v>
      </c>
    </row>
    <row r="2875">
      <c r="A2875" s="14" t="str">
        <f t="shared" si="1"/>
        <v>C149246136</v>
      </c>
      <c r="B2875" s="185">
        <f t="array" ref="B2875">IF(F2875="VL","",IF(F2875="Free","Free",XLOOKUP(D2875,Roster!T:T,Roster!S:S,"",0)))</f>
        <v>125</v>
      </c>
      <c r="C2875" s="313">
        <v>46136.0</v>
      </c>
      <c r="D2875" s="314" t="s">
        <v>52</v>
      </c>
      <c r="E2875" s="307" t="str">
        <f t="array" ref="E2875">(XLOOKUP(D2875,Roster!F:F,Roster!B:B,"",0))</f>
        <v>Karol Pineda</v>
      </c>
      <c r="F2875" s="315" t="str">
        <f t="array" ref="F2875">IF(B2875=100,"Free",TEXT(XLOOKUP($D2875,OperationVoice!$A:$A,OperationVoice!AD:AD,XLOOKUP($D2875,OperationTickets!$A:$A,OperationTickets!AD:AD,"",0)),"hh:mm"))</f>
        <v>08:00</v>
      </c>
      <c r="G2875" s="309">
        <f t="shared" si="3"/>
        <v>0.7083333333</v>
      </c>
      <c r="H2875" s="316" t="str">
        <f t="array" ref="H2875">XLOOKUP(B2875,Roster!L:L,Roster!N:N,XLOOKUP(D2875,TicketsBreak!A:A,TicketsBreak!E:E,"",0),0)</f>
        <v>10:30 - 10:45</v>
      </c>
      <c r="I2875" s="316" t="str">
        <f t="array" ref="I2875">XLOOKUP(B2875,Roster!L:L,Roster!O:O,XLOOKUP(D2875,TicketsBreak!A:A,TicketsBreak!F:F,"",0),0)</f>
        <v>13:30 - 14:00</v>
      </c>
      <c r="J2875" s="316" t="str">
        <f t="array" ref="J2875">XLOOKUP(B2875,Roster!L:L,Roster!P:P,XLOOKUP(D2875,TicketsBreak!A:A,TicketsBreak!G:G,"",0),0)</f>
        <v>15:45 - 16:00</v>
      </c>
      <c r="K2875" s="310">
        <f t="shared" si="4"/>
        <v>46136</v>
      </c>
      <c r="L2875" s="317">
        <f t="array" ref="L2875">(XLOOKUP(D2875,Roster!F:F,Roster!D:D,"",0))</f>
        <v>34</v>
      </c>
      <c r="M2875" s="317" t="str">
        <f t="array" ref="M2875">XLOOKUP(D2875,Roster!F:F,Roster!E:E)</f>
        <v>Voice</v>
      </c>
      <c r="N2875" s="317" t="str">
        <f t="shared" ref="N2875:P2875" si="2915">LEFT(H2875,5)</f>
        <v>10:30</v>
      </c>
      <c r="O2875" s="317" t="str">
        <f t="shared" si="2915"/>
        <v>13:30</v>
      </c>
      <c r="P2875" s="317" t="str">
        <f t="shared" si="2915"/>
        <v>15:45</v>
      </c>
      <c r="Q2875" s="318">
        <f t="shared" si="2791"/>
        <v>46136.4375</v>
      </c>
      <c r="R2875" s="318">
        <f t="shared" si="2792"/>
        <v>46136.5625</v>
      </c>
      <c r="S2875" s="318">
        <f t="shared" si="8"/>
        <v>46136.65625</v>
      </c>
    </row>
    <row r="2876">
      <c r="A2876" s="14" t="str">
        <f t="shared" si="1"/>
        <v>C65846136</v>
      </c>
      <c r="B2876" s="185">
        <f t="array" ref="B2876">IF(F2876="VL","",IF(F2876="Free","Free",XLOOKUP(D2876,Roster!T:T,Roster!S:S,"",0)))</f>
        <v>112</v>
      </c>
      <c r="C2876" s="313">
        <v>46136.0</v>
      </c>
      <c r="D2876" s="314" t="s">
        <v>53</v>
      </c>
      <c r="E2876" s="307" t="str">
        <f t="array" ref="E2876">(XLOOKUP(D2876,Roster!F:F,Roster!B:B,"",0))</f>
        <v>Kennedy Giraldo</v>
      </c>
      <c r="F2876" s="315" t="str">
        <f t="array" ref="F2876">IF(B2876=100,"Free",TEXT(XLOOKUP($D2876,OperationVoice!$A:$A,OperationVoice!AD:AD,XLOOKUP($D2876,OperationTickets!$A:$A,OperationTickets!AD:AD,"",0)),"hh:mm"))</f>
        <v>07:00</v>
      </c>
      <c r="G2876" s="309">
        <f t="shared" si="3"/>
        <v>0.6666666667</v>
      </c>
      <c r="H2876" s="316" t="str">
        <f t="array" ref="H2876">XLOOKUP(B2876,Roster!L:L,Roster!N:N,XLOOKUP(D2876,TicketsBreak!A:A,TicketsBreak!E:E,"",0),0)</f>
        <v>09:30 - 09:45</v>
      </c>
      <c r="I2876" s="316" t="str">
        <f t="array" ref="I2876">XLOOKUP(B2876,Roster!L:L,Roster!O:O,XLOOKUP(D2876,TicketsBreak!A:A,TicketsBreak!F:F,"",0),0)</f>
        <v>12:15 - 12:45</v>
      </c>
      <c r="J2876" s="316" t="str">
        <f t="array" ref="J2876">XLOOKUP(B2876,Roster!L:L,Roster!P:P,XLOOKUP(D2876,TicketsBreak!A:A,TicketsBreak!G:G,"",0),0)</f>
        <v>14:45 - 15:00</v>
      </c>
      <c r="K2876" s="310">
        <f t="shared" si="4"/>
        <v>46136</v>
      </c>
      <c r="L2876" s="317">
        <f t="array" ref="L2876">(XLOOKUP(D2876,Roster!F:F,Roster!D:D,"",0))</f>
        <v>2</v>
      </c>
      <c r="M2876" s="317" t="str">
        <f t="array" ref="M2876">XLOOKUP(D2876,Roster!F:F,Roster!E:E)</f>
        <v>Voice</v>
      </c>
      <c r="N2876" s="317" t="str">
        <f t="shared" ref="N2876:P2876" si="2916">LEFT(H2876,5)</f>
        <v>09:30</v>
      </c>
      <c r="O2876" s="317" t="str">
        <f t="shared" si="2916"/>
        <v>12:15</v>
      </c>
      <c r="P2876" s="317" t="str">
        <f t="shared" si="2916"/>
        <v>14:45</v>
      </c>
      <c r="Q2876" s="318">
        <f t="shared" si="2791"/>
        <v>46136.39583</v>
      </c>
      <c r="R2876" s="318">
        <f t="shared" si="2792"/>
        <v>46136.51042</v>
      </c>
      <c r="S2876" s="318">
        <f t="shared" si="8"/>
        <v>46136.61458</v>
      </c>
    </row>
    <row r="2877">
      <c r="A2877" s="14" t="str">
        <f t="shared" si="1"/>
        <v>C151446136</v>
      </c>
      <c r="B2877" s="185">
        <f t="array" ref="B2877">IF(F2877="VL","",IF(F2877="Free","Free",XLOOKUP(D2877,Roster!T:T,Roster!S:S,"",0)))</f>
        <v>122</v>
      </c>
      <c r="C2877" s="313">
        <v>46136.0</v>
      </c>
      <c r="D2877" s="314" t="s">
        <v>54</v>
      </c>
      <c r="E2877" s="307" t="str">
        <f t="array" ref="E2877">(XLOOKUP(D2877,Roster!F:F,Roster!B:B,"",0))</f>
        <v>Kevin Betancur</v>
      </c>
      <c r="F2877" s="315" t="str">
        <f t="array" ref="F2877">IF(B2877=100,"Free",TEXT(XLOOKUP($D2877,OperationVoice!$A:$A,OperationVoice!AD:AD,XLOOKUP($D2877,OperationTickets!$A:$A,OperationTickets!AD:AD,"",0)),"hh:mm"))</f>
        <v>08:00</v>
      </c>
      <c r="G2877" s="309">
        <f t="shared" si="3"/>
        <v>0.7083333333</v>
      </c>
      <c r="H2877" s="316" t="str">
        <f t="array" ref="H2877">XLOOKUP(B2877,Roster!L:L,Roster!N:N,XLOOKUP(D2877,TicketsBreak!A:A,TicketsBreak!E:E,"",0),0)</f>
        <v>09:30 - 09:45</v>
      </c>
      <c r="I2877" s="316" t="str">
        <f t="array" ref="I2877">XLOOKUP(B2877,Roster!L:L,Roster!O:O,XLOOKUP(D2877,TicketsBreak!A:A,TicketsBreak!F:F,"",0),0)</f>
        <v>12:00 - 12:30</v>
      </c>
      <c r="J2877" s="316" t="str">
        <f t="array" ref="J2877">XLOOKUP(B2877,Roster!L:L,Roster!P:P,XLOOKUP(D2877,TicketsBreak!A:A,TicketsBreak!G:G,"",0),0)</f>
        <v>14:45 - 15:00</v>
      </c>
      <c r="K2877" s="310">
        <f t="shared" si="4"/>
        <v>46136</v>
      </c>
      <c r="L2877" s="317">
        <f t="array" ref="L2877">(XLOOKUP(D2877,Roster!F:F,Roster!D:D,"",0))</f>
        <v>35</v>
      </c>
      <c r="M2877" s="317" t="str">
        <f t="array" ref="M2877">XLOOKUP(D2877,Roster!F:F,Roster!E:E)</f>
        <v>Voice</v>
      </c>
      <c r="N2877" s="317" t="str">
        <f t="shared" ref="N2877:P2877" si="2917">LEFT(H2877,5)</f>
        <v>09:30</v>
      </c>
      <c r="O2877" s="317" t="str">
        <f t="shared" si="2917"/>
        <v>12:00</v>
      </c>
      <c r="P2877" s="317" t="str">
        <f t="shared" si="2917"/>
        <v>14:45</v>
      </c>
      <c r="Q2877" s="318">
        <f t="shared" si="2791"/>
        <v>46136.39583</v>
      </c>
      <c r="R2877" s="318">
        <f t="shared" si="2792"/>
        <v>46136.5</v>
      </c>
      <c r="S2877" s="318">
        <f t="shared" si="8"/>
        <v>46136.61458</v>
      </c>
    </row>
    <row r="2878">
      <c r="A2878" s="14" t="str">
        <f t="shared" si="1"/>
        <v>C157146136</v>
      </c>
      <c r="B2878" s="185">
        <f t="array" ref="B2878">IF(F2878="VL","",IF(F2878="Free","Free",XLOOKUP(D2878,Roster!T:T,Roster!S:S,"",0)))</f>
        <v>123</v>
      </c>
      <c r="C2878" s="313">
        <v>46136.0</v>
      </c>
      <c r="D2878" s="314" t="s">
        <v>55</v>
      </c>
      <c r="E2878" s="307" t="str">
        <f t="array" ref="E2878">(XLOOKUP(D2878,Roster!F:F,Roster!B:B,"",0))</f>
        <v>Laura Chamorro</v>
      </c>
      <c r="F2878" s="315" t="str">
        <f t="array" ref="F2878">IF(B2878=100,"Free",TEXT(XLOOKUP($D2878,OperationVoice!$A:$A,OperationVoice!AD:AD,XLOOKUP($D2878,OperationTickets!$A:$A,OperationTickets!AD:AD,"",0)),"hh:mm"))</f>
        <v>08:00</v>
      </c>
      <c r="G2878" s="309">
        <f t="shared" si="3"/>
        <v>0.7083333333</v>
      </c>
      <c r="H2878" s="316" t="str">
        <f t="array" ref="H2878">XLOOKUP(B2878,Roster!L:L,Roster!N:N,XLOOKUP(D2878,TicketsBreak!A:A,TicketsBreak!E:E,"",0),0)</f>
        <v>09:45 - 10:00 </v>
      </c>
      <c r="I2878" s="316" t="str">
        <f t="array" ref="I2878">XLOOKUP(B2878,Roster!L:L,Roster!O:O,XLOOKUP(D2878,TicketsBreak!A:A,TicketsBreak!F:F,"",0),0)</f>
        <v>12:30 - 13:00</v>
      </c>
      <c r="J2878" s="316" t="str">
        <f t="array" ref="J2878">XLOOKUP(B2878,Roster!L:L,Roster!P:P,XLOOKUP(D2878,TicketsBreak!A:A,TicketsBreak!G:G,"",0),0)</f>
        <v>15:00 - 15:15</v>
      </c>
      <c r="K2878" s="310">
        <f t="shared" si="4"/>
        <v>46136</v>
      </c>
      <c r="L2878" s="317">
        <f t="array" ref="L2878">(XLOOKUP(D2878,Roster!F:F,Roster!D:D,"",0))</f>
        <v>38</v>
      </c>
      <c r="M2878" s="317" t="str">
        <f t="array" ref="M2878">XLOOKUP(D2878,Roster!F:F,Roster!E:E)</f>
        <v>Voice</v>
      </c>
      <c r="N2878" s="317" t="str">
        <f t="shared" ref="N2878:P2878" si="2918">LEFT(H2878,5)</f>
        <v>09:45</v>
      </c>
      <c r="O2878" s="317" t="str">
        <f t="shared" si="2918"/>
        <v>12:30</v>
      </c>
      <c r="P2878" s="317" t="str">
        <f t="shared" si="2918"/>
        <v>15:00</v>
      </c>
      <c r="Q2878" s="318">
        <f t="shared" si="2791"/>
        <v>46136.40625</v>
      </c>
      <c r="R2878" s="318">
        <f t="shared" si="2792"/>
        <v>46136.52083</v>
      </c>
      <c r="S2878" s="318">
        <f t="shared" si="8"/>
        <v>46136.625</v>
      </c>
    </row>
    <row r="2879">
      <c r="A2879" s="14" t="str">
        <f t="shared" si="1"/>
        <v>C53446136</v>
      </c>
      <c r="B2879" s="185" t="str">
        <f t="array" ref="B2879">IF(F2879="VL","",IF(F2879="Free","Free",XLOOKUP(D2879,Roster!T:T,Roster!S:S,"",0)))</f>
        <v/>
      </c>
      <c r="C2879" s="313">
        <v>46136.0</v>
      </c>
      <c r="D2879" s="314" t="s">
        <v>177</v>
      </c>
      <c r="E2879" s="307" t="str">
        <f t="array" ref="E2879">(XLOOKUP(D2879,Roster!F:F,Roster!B:B,"",0))</f>
        <v>Leandry La Rosa</v>
      </c>
      <c r="F2879" s="315" t="str">
        <f t="array" ref="F2879">IF(B2879=100,"Free",TEXT(XLOOKUP($D2879,OperationVoice!$A:$A,OperationVoice!AD:AD,XLOOKUP($D2879,OperationTickets!$A:$A,OperationTickets!AD:AD,"",0)),"hh:mm"))</f>
        <v>08:00</v>
      </c>
      <c r="G2879" s="309">
        <f t="shared" si="3"/>
        <v>0.7083333333</v>
      </c>
      <c r="H2879" s="316">
        <f t="array" ref="H2879">XLOOKUP(B2879,Roster!L:L,Roster!N:N,XLOOKUP(D2879,TicketsBreak!A:A,TicketsBreak!E:E,"",0),0)</f>
        <v>0.40625</v>
      </c>
      <c r="I2879" s="316">
        <f t="array" ref="I2879">XLOOKUP(B2879,Roster!L:L,Roster!O:O,XLOOKUP(D2879,TicketsBreak!A:A,TicketsBreak!F:F,"",0),0)</f>
        <v>0.5416666667</v>
      </c>
      <c r="J2879" s="316">
        <f t="array" ref="J2879">XLOOKUP(B2879,Roster!L:L,Roster!P:P,XLOOKUP(D2879,TicketsBreak!A:A,TicketsBreak!G:G,"",0),0)</f>
        <v>0.65625</v>
      </c>
      <c r="K2879" s="310">
        <f t="shared" si="4"/>
        <v>46136</v>
      </c>
      <c r="L2879" s="317">
        <f t="array" ref="L2879">(XLOOKUP(D2879,Roster!F:F,Roster!D:D,"",0))</f>
        <v>1</v>
      </c>
      <c r="M2879" s="317" t="str">
        <f t="array" ref="M2879">XLOOKUP(D2879,Roster!F:F,Roster!E:E)</f>
        <v>Tickets</v>
      </c>
      <c r="N2879" s="317" t="str">
        <f t="shared" ref="N2879:P2879" si="2919">LEFT(H2879,5)</f>
        <v>09:45</v>
      </c>
      <c r="O2879" s="317" t="str">
        <f t="shared" si="2919"/>
        <v>13:00</v>
      </c>
      <c r="P2879" s="317" t="str">
        <f t="shared" si="2919"/>
        <v>15:45</v>
      </c>
      <c r="Q2879" s="318">
        <f t="shared" si="2791"/>
        <v>46136.40625</v>
      </c>
      <c r="R2879" s="318">
        <f t="shared" si="2792"/>
        <v>46136.54167</v>
      </c>
      <c r="S2879" s="318">
        <f t="shared" si="8"/>
        <v>46136.65625</v>
      </c>
    </row>
    <row r="2880">
      <c r="A2880" s="14" t="str">
        <f t="shared" si="1"/>
        <v>C157846136</v>
      </c>
      <c r="B2880" s="185">
        <f t="array" ref="B2880">IF(F2880="VL","",IF(F2880="Free","Free",XLOOKUP(D2880,Roster!T:T,Roster!S:S,"",0)))</f>
        <v>125</v>
      </c>
      <c r="C2880" s="313">
        <v>46136.0</v>
      </c>
      <c r="D2880" s="314" t="s">
        <v>56</v>
      </c>
      <c r="E2880" s="307" t="str">
        <f t="array" ref="E2880">(XLOOKUP(D2880,Roster!F:F,Roster!B:B,"",0))</f>
        <v>Leonerrichi Caicedo</v>
      </c>
      <c r="F2880" s="315" t="str">
        <f t="array" ref="F2880">IF(B2880=100,"Free",TEXT(XLOOKUP($D2880,OperationVoice!$A:$A,OperationVoice!AD:AD,XLOOKUP($D2880,OperationTickets!$A:$A,OperationTickets!AD:AD,"",0)),"hh:mm"))</f>
        <v>08:00</v>
      </c>
      <c r="G2880" s="309">
        <f t="shared" si="3"/>
        <v>0.7083333333</v>
      </c>
      <c r="H2880" s="316" t="str">
        <f t="array" ref="H2880">XLOOKUP(B2880,Roster!L:L,Roster!N:N,XLOOKUP(D2880,TicketsBreak!A:A,TicketsBreak!E:E,"",0),0)</f>
        <v>10:30 - 10:45</v>
      </c>
      <c r="I2880" s="316" t="str">
        <f t="array" ref="I2880">XLOOKUP(B2880,Roster!L:L,Roster!O:O,XLOOKUP(D2880,TicketsBreak!A:A,TicketsBreak!F:F,"",0),0)</f>
        <v>13:30 - 14:00</v>
      </c>
      <c r="J2880" s="316" t="str">
        <f t="array" ref="J2880">XLOOKUP(B2880,Roster!L:L,Roster!P:P,XLOOKUP(D2880,TicketsBreak!A:A,TicketsBreak!G:G,"",0),0)</f>
        <v>15:45 - 16:00</v>
      </c>
      <c r="K2880" s="310">
        <f t="shared" si="4"/>
        <v>46136</v>
      </c>
      <c r="L2880" s="317">
        <f t="array" ref="L2880">(XLOOKUP(D2880,Roster!F:F,Roster!D:D,"",0))</f>
        <v>38</v>
      </c>
      <c r="M2880" s="317" t="str">
        <f t="array" ref="M2880">XLOOKUP(D2880,Roster!F:F,Roster!E:E)</f>
        <v>Voice</v>
      </c>
      <c r="N2880" s="317" t="str">
        <f t="shared" ref="N2880:P2880" si="2920">LEFT(H2880,5)</f>
        <v>10:30</v>
      </c>
      <c r="O2880" s="317" t="str">
        <f t="shared" si="2920"/>
        <v>13:30</v>
      </c>
      <c r="P2880" s="317" t="str">
        <f t="shared" si="2920"/>
        <v>15:45</v>
      </c>
      <c r="Q2880" s="318">
        <f t="shared" si="2791"/>
        <v>46136.4375</v>
      </c>
      <c r="R2880" s="318">
        <f t="shared" si="2792"/>
        <v>46136.5625</v>
      </c>
      <c r="S2880" s="318">
        <f t="shared" si="8"/>
        <v>46136.65625</v>
      </c>
    </row>
    <row r="2881">
      <c r="A2881" s="14" t="str">
        <f t="shared" si="1"/>
        <v>C53546136</v>
      </c>
      <c r="B2881" s="185" t="str">
        <f t="array" ref="B2881">IF(F2881="VL","",IF(F2881="Free","Free",XLOOKUP(D2881,Roster!T:T,Roster!S:S,"",0)))</f>
        <v/>
      </c>
      <c r="C2881" s="313">
        <v>46136.0</v>
      </c>
      <c r="D2881" s="314" t="s">
        <v>145</v>
      </c>
      <c r="E2881" s="307" t="str">
        <f t="array" ref="E2881">(XLOOKUP(D2881,Roster!F:F,Roster!B:B,"",0))</f>
        <v>Lina Cadena</v>
      </c>
      <c r="F2881" s="315" t="str">
        <f t="array" ref="F2881">IF(B2881=100,"Free",TEXT(XLOOKUP($D2881,OperationVoice!$A:$A,OperationVoice!AD:AD,XLOOKUP($D2881,OperationTickets!$A:$A,OperationTickets!AD:AD,"",0)),"hh:mm"))</f>
        <v>08:00</v>
      </c>
      <c r="G2881" s="309">
        <f t="shared" si="3"/>
        <v>0.7083333333</v>
      </c>
      <c r="H2881" s="316">
        <f t="array" ref="H2881">XLOOKUP(B2881,Roster!L:L,Roster!N:N,XLOOKUP(D2881,TicketsBreak!A:A,TicketsBreak!E:E,"",0),0)</f>
        <v>0.3854166667</v>
      </c>
      <c r="I2881" s="316">
        <f t="array" ref="I2881">XLOOKUP(B2881,Roster!L:L,Roster!O:O,XLOOKUP(D2881,TicketsBreak!A:A,TicketsBreak!F:F,"",0),0)</f>
        <v>0.5833333333</v>
      </c>
      <c r="J2881" s="316">
        <f t="array" ref="J2881">XLOOKUP(B2881,Roster!L:L,Roster!P:P,XLOOKUP(D2881,TicketsBreak!A:A,TicketsBreak!G:G,"",0),0)</f>
        <v>0.6458333333</v>
      </c>
      <c r="K2881" s="310">
        <f t="shared" si="4"/>
        <v>46136</v>
      </c>
      <c r="L2881" s="317">
        <f t="array" ref="L2881">(XLOOKUP(D2881,Roster!F:F,Roster!D:D,"",0))</f>
        <v>2</v>
      </c>
      <c r="M2881" s="317" t="str">
        <f t="array" ref="M2881">XLOOKUP(D2881,Roster!F:F,Roster!E:E)</f>
        <v>Tickets</v>
      </c>
      <c r="N2881" s="317" t="str">
        <f t="shared" ref="N2881:P2881" si="2921">LEFT(H2881,5)</f>
        <v>09:15</v>
      </c>
      <c r="O2881" s="317" t="str">
        <f t="shared" si="2921"/>
        <v>14:00</v>
      </c>
      <c r="P2881" s="317" t="str">
        <f t="shared" si="2921"/>
        <v>15:30</v>
      </c>
      <c r="Q2881" s="318">
        <f t="shared" si="2791"/>
        <v>46136.38542</v>
      </c>
      <c r="R2881" s="318">
        <f t="shared" si="2792"/>
        <v>46136.58333</v>
      </c>
      <c r="S2881" s="318">
        <f t="shared" si="8"/>
        <v>46136.64583</v>
      </c>
    </row>
    <row r="2882">
      <c r="A2882" s="14" t="str">
        <f t="shared" si="1"/>
        <v>C151746136</v>
      </c>
      <c r="B2882" s="185">
        <f t="array" ref="B2882">IF(F2882="VL","",IF(F2882="Free","Free",XLOOKUP(D2882,Roster!T:T,Roster!S:S,"",0)))</f>
        <v>124</v>
      </c>
      <c r="C2882" s="313">
        <v>46136.0</v>
      </c>
      <c r="D2882" s="314" t="s">
        <v>57</v>
      </c>
      <c r="E2882" s="307" t="str">
        <f t="array" ref="E2882">(XLOOKUP(D2882,Roster!F:F,Roster!B:B,"",0))</f>
        <v>Lisandro Alvarado</v>
      </c>
      <c r="F2882" s="315" t="str">
        <f t="array" ref="F2882">IF(B2882=100,"Free",TEXT(XLOOKUP($D2882,OperationVoice!$A:$A,OperationVoice!AD:AD,XLOOKUP($D2882,OperationTickets!$A:$A,OperationTickets!AD:AD,"",0)),"hh:mm"))</f>
        <v>08:00</v>
      </c>
      <c r="G2882" s="309">
        <f t="shared" si="3"/>
        <v>0.7083333333</v>
      </c>
      <c r="H2882" s="316" t="str">
        <f t="array" ref="H2882">XLOOKUP(B2882,Roster!L:L,Roster!N:N,XLOOKUP(D2882,TicketsBreak!A:A,TicketsBreak!E:E,"",0),0)</f>
        <v>10:00 - 10:15</v>
      </c>
      <c r="I2882" s="316" t="str">
        <f t="array" ref="I2882">XLOOKUP(B2882,Roster!L:L,Roster!O:O,XLOOKUP(D2882,TicketsBreak!A:A,TicketsBreak!F:F,"",0),0)</f>
        <v>13:00 - 13:30</v>
      </c>
      <c r="J2882" s="316" t="str">
        <f t="array" ref="J2882">XLOOKUP(B2882,Roster!L:L,Roster!P:P,XLOOKUP(D2882,TicketsBreak!A:A,TicketsBreak!G:G,"",0),0)</f>
        <v>15:30 - 15:45</v>
      </c>
      <c r="K2882" s="310">
        <f t="shared" si="4"/>
        <v>46136</v>
      </c>
      <c r="L2882" s="317">
        <f t="array" ref="L2882">(XLOOKUP(D2882,Roster!F:F,Roster!D:D,"",0))</f>
        <v>35</v>
      </c>
      <c r="M2882" s="317" t="str">
        <f t="array" ref="M2882">XLOOKUP(D2882,Roster!F:F,Roster!E:E)</f>
        <v>Voice</v>
      </c>
      <c r="N2882" s="317" t="str">
        <f t="shared" ref="N2882:P2882" si="2922">LEFT(H2882,5)</f>
        <v>10:00</v>
      </c>
      <c r="O2882" s="317" t="str">
        <f t="shared" si="2922"/>
        <v>13:00</v>
      </c>
      <c r="P2882" s="317" t="str">
        <f t="shared" si="2922"/>
        <v>15:30</v>
      </c>
      <c r="Q2882" s="318">
        <f t="shared" si="2791"/>
        <v>46136.41667</v>
      </c>
      <c r="R2882" s="318">
        <f t="shared" si="2792"/>
        <v>46136.54167</v>
      </c>
      <c r="S2882" s="318">
        <f t="shared" si="8"/>
        <v>46136.64583</v>
      </c>
    </row>
    <row r="2883">
      <c r="A2883" s="14" t="str">
        <f t="shared" si="1"/>
        <v>C143346136</v>
      </c>
      <c r="B2883" s="185">
        <f t="array" ref="B2883">IF(F2883="VL","",IF(F2883="Free","Free",XLOOKUP(D2883,Roster!T:T,Roster!S:S,"",0)))</f>
        <v>500</v>
      </c>
      <c r="C2883" s="313">
        <v>46136.0</v>
      </c>
      <c r="D2883" s="314" t="s">
        <v>58</v>
      </c>
      <c r="E2883" s="307" t="str">
        <f t="array" ref="E2883">(XLOOKUP(D2883,Roster!F:F,Roster!B:B,"",0))</f>
        <v>Luis Lopez</v>
      </c>
      <c r="F2883" s="315" t="str">
        <f t="array" ref="F2883">IF(B2883=100,"Free",TEXT(XLOOKUP($D2883,OperationVoice!$A:$A,OperationVoice!AD:AD,XLOOKUP($D2883,OperationTickets!$A:$A,OperationTickets!AD:AD,"",0)),"hh:mm"))</f>
        <v>11:00</v>
      </c>
      <c r="G2883" s="309">
        <f t="shared" si="3"/>
        <v>0.8333333333</v>
      </c>
      <c r="H2883" s="316" t="str">
        <f t="array" ref="H2883">XLOOKUP(B2883,Roster!L:L,Roster!N:N,XLOOKUP(D2883,TicketsBreak!A:A,TicketsBreak!E:E,"",0),0)</f>
        <v>Team Leader</v>
      </c>
      <c r="I2883" s="316" t="str">
        <f t="array" ref="I2883">XLOOKUP(B2883,Roster!L:L,Roster!O:O,XLOOKUP(D2883,TicketsBreak!A:A,TicketsBreak!F:F,"",0),0)</f>
        <v>Team Leader</v>
      </c>
      <c r="J2883" s="316" t="str">
        <f t="array" ref="J2883">XLOOKUP(B2883,Roster!L:L,Roster!P:P,XLOOKUP(D2883,TicketsBreak!A:A,TicketsBreak!G:G,"",0),0)</f>
        <v/>
      </c>
      <c r="K2883" s="310">
        <f t="shared" si="4"/>
        <v>46136</v>
      </c>
      <c r="L2883" s="317">
        <f t="array" ref="L2883">(XLOOKUP(D2883,Roster!F:F,Roster!D:D,"",0))</f>
        <v>32</v>
      </c>
      <c r="M2883" s="317" t="str">
        <f t="array" ref="M2883">XLOOKUP(D2883,Roster!F:F,Roster!E:E)</f>
        <v>Voice</v>
      </c>
      <c r="N2883" s="317" t="str">
        <f t="shared" ref="N2883:P2883" si="2923">LEFT(H2883,5)</f>
        <v>Team </v>
      </c>
      <c r="O2883" s="317" t="str">
        <f t="shared" si="2923"/>
        <v>Team </v>
      </c>
      <c r="P2883" s="317" t="str">
        <f t="shared" si="2923"/>
        <v/>
      </c>
      <c r="Q2883" s="318" t="str">
        <f t="shared" si="2791"/>
        <v>#VALUE!</v>
      </c>
      <c r="R2883" s="318" t="str">
        <f t="shared" si="2792"/>
        <v>#VALUE!</v>
      </c>
      <c r="S2883" s="318" t="str">
        <f t="shared" si="8"/>
        <v/>
      </c>
    </row>
    <row r="2884">
      <c r="A2884" s="14" t="str">
        <f t="shared" si="1"/>
        <v>C153446136</v>
      </c>
      <c r="B2884" s="185">
        <f t="array" ref="B2884">IF(F2884="VL","",IF(F2884="Free","Free",XLOOKUP(D2884,Roster!T:T,Roster!S:S,"",0)))</f>
        <v>126</v>
      </c>
      <c r="C2884" s="313">
        <v>46136.0</v>
      </c>
      <c r="D2884" s="314" t="s">
        <v>59</v>
      </c>
      <c r="E2884" s="307" t="str">
        <f t="array" ref="E2884">(XLOOKUP(D2884,Roster!F:F,Roster!B:B,"",0))</f>
        <v>Luis Munoz</v>
      </c>
      <c r="F2884" s="315" t="str">
        <f t="array" ref="F2884">IF(B2884=100,"Free",TEXT(XLOOKUP($D2884,OperationVoice!$A:$A,OperationVoice!AD:AD,XLOOKUP($D2884,OperationTickets!$A:$A,OperationTickets!AD:AD,"",0)),"hh:mm"))</f>
        <v>08:00</v>
      </c>
      <c r="G2884" s="309">
        <f t="shared" si="3"/>
        <v>0.7083333333</v>
      </c>
      <c r="H2884" s="316" t="str">
        <f t="array" ref="H2884">XLOOKUP(B2884,Roster!L:L,Roster!N:N,XLOOKUP(D2884,TicketsBreak!A:A,TicketsBreak!E:E,"",0),0)</f>
        <v>10:45 - 11:00</v>
      </c>
      <c r="I2884" s="316" t="str">
        <f t="array" ref="I2884">XLOOKUP(B2884,Roster!L:L,Roster!O:O,XLOOKUP(D2884,TicketsBreak!A:A,TicketsBreak!F:F,"",0),0)</f>
        <v>14:00 - 14:30</v>
      </c>
      <c r="J2884" s="316" t="str">
        <f t="array" ref="J2884">XLOOKUP(B2884,Roster!L:L,Roster!P:P,XLOOKUP(D2884,TicketsBreak!A:A,TicketsBreak!G:G,"",0),0)</f>
        <v>15:45 - 16:00</v>
      </c>
      <c r="K2884" s="310">
        <f t="shared" si="4"/>
        <v>46136</v>
      </c>
      <c r="L2884" s="317">
        <f t="array" ref="L2884">(XLOOKUP(D2884,Roster!F:F,Roster!D:D,"",0))</f>
        <v>36</v>
      </c>
      <c r="M2884" s="317" t="str">
        <f t="array" ref="M2884">XLOOKUP(D2884,Roster!F:F,Roster!E:E)</f>
        <v>Voice</v>
      </c>
      <c r="N2884" s="317" t="str">
        <f t="shared" ref="N2884:P2884" si="2924">LEFT(H2884,5)</f>
        <v>10:45</v>
      </c>
      <c r="O2884" s="317" t="str">
        <f t="shared" si="2924"/>
        <v>14:00</v>
      </c>
      <c r="P2884" s="317" t="str">
        <f t="shared" si="2924"/>
        <v>15:45</v>
      </c>
      <c r="Q2884" s="318">
        <f t="shared" si="2791"/>
        <v>46136.44792</v>
      </c>
      <c r="R2884" s="318">
        <f t="shared" si="2792"/>
        <v>46136.58333</v>
      </c>
      <c r="S2884" s="318">
        <f t="shared" si="8"/>
        <v>46136.65625</v>
      </c>
    </row>
    <row r="2885">
      <c r="A2885" s="14" t="str">
        <f t="shared" si="1"/>
        <v>C53846136</v>
      </c>
      <c r="B2885" s="185" t="str">
        <f t="array" ref="B2885">IF(F2885="VL","",IF(F2885="Free","Free",XLOOKUP(D2885,Roster!T:T,Roster!S:S,"",0)))</f>
        <v/>
      </c>
      <c r="C2885" s="313">
        <v>46136.0</v>
      </c>
      <c r="D2885" s="314" t="s">
        <v>165</v>
      </c>
      <c r="E2885" s="307" t="str">
        <f t="array" ref="E2885">(XLOOKUP(D2885,Roster!F:F,Roster!B:B,"",0))</f>
        <v>Luisa Arenas</v>
      </c>
      <c r="F2885" s="315" t="str">
        <f t="array" ref="F2885">IF(B2885=100,"Free",TEXT(XLOOKUP($D2885,OperationVoice!$A:$A,OperationVoice!AD:AD,XLOOKUP($D2885,OperationTickets!$A:$A,OperationTickets!AD:AD,"",0)),"hh:mm"))</f>
        <v>08:00</v>
      </c>
      <c r="G2885" s="309">
        <f t="shared" si="3"/>
        <v>0.7083333333</v>
      </c>
      <c r="H2885" s="316" t="str">
        <f t="array" ref="H2885">XLOOKUP(B2885,Roster!L:L,Roster!N:N,XLOOKUP(D2885,TicketsBreak!A:A,TicketsBreak!E:E,"",0),0)</f>
        <v/>
      </c>
      <c r="I2885" s="316" t="str">
        <f t="array" ref="I2885">XLOOKUP(B2885,Roster!L:L,Roster!O:O,XLOOKUP(D2885,TicketsBreak!A:A,TicketsBreak!F:F,"",0),0)</f>
        <v/>
      </c>
      <c r="J2885" s="316" t="str">
        <f t="array" ref="J2885">XLOOKUP(B2885,Roster!L:L,Roster!P:P,XLOOKUP(D2885,TicketsBreak!A:A,TicketsBreak!G:G,"",0),0)</f>
        <v/>
      </c>
      <c r="K2885" s="310">
        <f t="shared" si="4"/>
        <v>46136</v>
      </c>
      <c r="L2885" s="317">
        <f t="array" ref="L2885">(XLOOKUP(D2885,Roster!F:F,Roster!D:D,"",0))</f>
        <v>35</v>
      </c>
      <c r="M2885" s="317" t="str">
        <f t="array" ref="M2885">XLOOKUP(D2885,Roster!F:F,Roster!E:E)</f>
        <v>Tickets</v>
      </c>
      <c r="N2885" s="317" t="str">
        <f t="shared" ref="N2885:P2885" si="2925">LEFT(H2885,5)</f>
        <v/>
      </c>
      <c r="O2885" s="317" t="str">
        <f t="shared" si="2925"/>
        <v/>
      </c>
      <c r="P2885" s="317" t="str">
        <f t="shared" si="2925"/>
        <v/>
      </c>
      <c r="Q2885" s="318" t="str">
        <f t="shared" si="2791"/>
        <v/>
      </c>
      <c r="R2885" s="318" t="str">
        <f t="shared" si="2792"/>
        <v/>
      </c>
      <c r="S2885" s="318" t="str">
        <f t="shared" si="8"/>
        <v/>
      </c>
    </row>
    <row r="2886">
      <c r="A2886" s="14" t="str">
        <f t="shared" si="1"/>
        <v>C113646136</v>
      </c>
      <c r="B2886" s="185">
        <f t="array" ref="B2886">IF(F2886="VL","",IF(F2886="Free","Free",XLOOKUP(D2886,Roster!T:T,Roster!S:S,"",0)))</f>
        <v>126</v>
      </c>
      <c r="C2886" s="313">
        <v>46136.0</v>
      </c>
      <c r="D2886" s="314" t="s">
        <v>60</v>
      </c>
      <c r="E2886" s="307" t="str">
        <f t="array" ref="E2886">(XLOOKUP(D2886,Roster!F:F,Roster!B:B,"",0))</f>
        <v>Luisa Gonzalez</v>
      </c>
      <c r="F2886" s="315" t="str">
        <f t="array" ref="F2886">IF(B2886=100,"Free",TEXT(XLOOKUP($D2886,OperationVoice!$A:$A,OperationVoice!AD:AD,XLOOKUP($D2886,OperationTickets!$A:$A,OperationTickets!AD:AD,"",0)),"hh:mm"))</f>
        <v>08:00</v>
      </c>
      <c r="G2886" s="309">
        <f t="shared" si="3"/>
        <v>0.7083333333</v>
      </c>
      <c r="H2886" s="316" t="str">
        <f t="array" ref="H2886">XLOOKUP(B2886,Roster!L:L,Roster!N:N,XLOOKUP(D2886,TicketsBreak!A:A,TicketsBreak!E:E,"",0),0)</f>
        <v>10:45 - 11:00</v>
      </c>
      <c r="I2886" s="316" t="str">
        <f t="array" ref="I2886">XLOOKUP(B2886,Roster!L:L,Roster!O:O,XLOOKUP(D2886,TicketsBreak!A:A,TicketsBreak!F:F,"",0),0)</f>
        <v>14:00 - 14:30</v>
      </c>
      <c r="J2886" s="316" t="str">
        <f t="array" ref="J2886">XLOOKUP(B2886,Roster!L:L,Roster!P:P,XLOOKUP(D2886,TicketsBreak!A:A,TicketsBreak!G:G,"",0),0)</f>
        <v>15:45 - 16:00</v>
      </c>
      <c r="K2886" s="310">
        <f t="shared" si="4"/>
        <v>46136</v>
      </c>
      <c r="L2886" s="317">
        <f t="array" ref="L2886">(XLOOKUP(D2886,Roster!F:F,Roster!D:D,"",0))</f>
        <v>22</v>
      </c>
      <c r="M2886" s="317" t="str">
        <f t="array" ref="M2886">XLOOKUP(D2886,Roster!F:F,Roster!E:E)</f>
        <v>Voice</v>
      </c>
      <c r="N2886" s="317" t="str">
        <f t="shared" ref="N2886:P2886" si="2926">LEFT(H2886,5)</f>
        <v>10:45</v>
      </c>
      <c r="O2886" s="317" t="str">
        <f t="shared" si="2926"/>
        <v>14:00</v>
      </c>
      <c r="P2886" s="317" t="str">
        <f t="shared" si="2926"/>
        <v>15:45</v>
      </c>
      <c r="Q2886" s="318">
        <f t="shared" si="2791"/>
        <v>46136.44792</v>
      </c>
      <c r="R2886" s="318">
        <f t="shared" si="2792"/>
        <v>46136.58333</v>
      </c>
      <c r="S2886" s="318">
        <f t="shared" si="8"/>
        <v>46136.65625</v>
      </c>
    </row>
    <row r="2887">
      <c r="A2887" s="14" t="str">
        <f t="shared" si="1"/>
        <v>C157746136</v>
      </c>
      <c r="B2887" s="185">
        <f t="array" ref="B2887">IF(F2887="VL","",IF(F2887="Free","Free",XLOOKUP(D2887,Roster!T:T,Roster!S:S,"",0)))</f>
        <v>126</v>
      </c>
      <c r="C2887" s="313">
        <v>46136.0</v>
      </c>
      <c r="D2887" s="314" t="s">
        <v>61</v>
      </c>
      <c r="E2887" s="307" t="str">
        <f t="array" ref="E2887">(XLOOKUP(D2887,Roster!F:F,Roster!B:B,"",0))</f>
        <v>Luna Morales</v>
      </c>
      <c r="F2887" s="315" t="str">
        <f t="array" ref="F2887">IF(B2887=100,"Free",TEXT(XLOOKUP($D2887,OperationVoice!$A:$A,OperationVoice!AD:AD,XLOOKUP($D2887,OperationTickets!$A:$A,OperationTickets!AD:AD,"",0)),"hh:mm"))</f>
        <v>08:00</v>
      </c>
      <c r="G2887" s="309">
        <f t="shared" si="3"/>
        <v>0.7083333333</v>
      </c>
      <c r="H2887" s="316" t="str">
        <f t="array" ref="H2887">XLOOKUP(B2887,Roster!L:L,Roster!N:N,XLOOKUP(D2887,TicketsBreak!A:A,TicketsBreak!E:E,"",0),0)</f>
        <v>10:45 - 11:00</v>
      </c>
      <c r="I2887" s="316" t="str">
        <f t="array" ref="I2887">XLOOKUP(B2887,Roster!L:L,Roster!O:O,XLOOKUP(D2887,TicketsBreak!A:A,TicketsBreak!F:F,"",0),0)</f>
        <v>14:00 - 14:30</v>
      </c>
      <c r="J2887" s="316" t="str">
        <f t="array" ref="J2887">XLOOKUP(B2887,Roster!L:L,Roster!P:P,XLOOKUP(D2887,TicketsBreak!A:A,TicketsBreak!G:G,"",0),0)</f>
        <v>15:45 - 16:00</v>
      </c>
      <c r="K2887" s="310">
        <f t="shared" si="4"/>
        <v>46136</v>
      </c>
      <c r="L2887" s="317">
        <f t="array" ref="L2887">(XLOOKUP(D2887,Roster!F:F,Roster!D:D,"",0))</f>
        <v>38</v>
      </c>
      <c r="M2887" s="317" t="str">
        <f t="array" ref="M2887">XLOOKUP(D2887,Roster!F:F,Roster!E:E)</f>
        <v>Voice</v>
      </c>
      <c r="N2887" s="317" t="str">
        <f t="shared" ref="N2887:P2887" si="2927">LEFT(H2887,5)</f>
        <v>10:45</v>
      </c>
      <c r="O2887" s="317" t="str">
        <f t="shared" si="2927"/>
        <v>14:00</v>
      </c>
      <c r="P2887" s="317" t="str">
        <f t="shared" si="2927"/>
        <v>15:45</v>
      </c>
      <c r="Q2887" s="318">
        <f t="shared" si="2791"/>
        <v>46136.44792</v>
      </c>
      <c r="R2887" s="318">
        <f t="shared" si="2792"/>
        <v>46136.58333</v>
      </c>
      <c r="S2887" s="318">
        <f t="shared" si="8"/>
        <v>46136.65625</v>
      </c>
    </row>
    <row r="2888">
      <c r="A2888" s="14" t="str">
        <f t="shared" si="1"/>
        <v>C121946136</v>
      </c>
      <c r="B2888" s="185" t="str">
        <f t="array" ref="B2888">IF(F2888="VL","",IF(F2888="Free","Free",XLOOKUP(D2888,Roster!T:T,Roster!S:S,"",0)))</f>
        <v/>
      </c>
      <c r="C2888" s="313">
        <v>46136.0</v>
      </c>
      <c r="D2888" s="314" t="s">
        <v>146</v>
      </c>
      <c r="E2888" s="307" t="str">
        <f t="array" ref="E2888">(XLOOKUP(D2888,Roster!F:F,Roster!B:B,"",0))</f>
        <v>Madelyn Jaramillo</v>
      </c>
      <c r="F2888" s="315" t="str">
        <f t="array" ref="F2888">IF(B2888=100,"Free",TEXT(XLOOKUP($D2888,OperationVoice!$A:$A,OperationVoice!AD:AD,XLOOKUP($D2888,OperationTickets!$A:$A,OperationTickets!AD:AD,"",0)),"hh:mm"))</f>
        <v>08:00</v>
      </c>
      <c r="G2888" s="309">
        <f t="shared" si="3"/>
        <v>0.7083333333</v>
      </c>
      <c r="H2888" s="316" t="str">
        <f t="array" ref="H2888">XLOOKUP(B2888,Roster!L:L,Roster!N:N,XLOOKUP(D2888,TicketsBreak!A:A,TicketsBreak!E:E,"",0),0)</f>
        <v/>
      </c>
      <c r="I2888" s="316" t="str">
        <f t="array" ref="I2888">XLOOKUP(B2888,Roster!L:L,Roster!O:O,XLOOKUP(D2888,TicketsBreak!A:A,TicketsBreak!F:F,"",0),0)</f>
        <v/>
      </c>
      <c r="J2888" s="316" t="str">
        <f t="array" ref="J2888">XLOOKUP(B2888,Roster!L:L,Roster!P:P,XLOOKUP(D2888,TicketsBreak!A:A,TicketsBreak!G:G,"",0),0)</f>
        <v/>
      </c>
      <c r="K2888" s="310">
        <f t="shared" si="4"/>
        <v>46136</v>
      </c>
      <c r="L2888" s="317">
        <f t="array" ref="L2888">(XLOOKUP(D2888,Roster!F:F,Roster!D:D,"",0))</f>
        <v>26</v>
      </c>
      <c r="M2888" s="317" t="str">
        <f t="array" ref="M2888">XLOOKUP(D2888,Roster!F:F,Roster!E:E)</f>
        <v>Tickets</v>
      </c>
      <c r="N2888" s="317" t="str">
        <f t="shared" ref="N2888:P2888" si="2928">LEFT(H2888,5)</f>
        <v/>
      </c>
      <c r="O2888" s="317" t="str">
        <f t="shared" si="2928"/>
        <v/>
      </c>
      <c r="P2888" s="317" t="str">
        <f t="shared" si="2928"/>
        <v/>
      </c>
      <c r="Q2888" s="318" t="str">
        <f t="shared" si="2791"/>
        <v/>
      </c>
      <c r="R2888" s="318" t="str">
        <f t="shared" si="2792"/>
        <v/>
      </c>
      <c r="S2888" s="318" t="str">
        <f t="shared" si="8"/>
        <v/>
      </c>
    </row>
    <row r="2889">
      <c r="A2889" s="14" t="str">
        <f t="shared" si="1"/>
        <v>C151646136</v>
      </c>
      <c r="B2889" s="185">
        <f t="array" ref="B2889">IF(F2889="VL","",IF(F2889="Free","Free",XLOOKUP(D2889,Roster!T:T,Roster!S:S,"",0)))</f>
        <v>122</v>
      </c>
      <c r="C2889" s="313">
        <v>46136.0</v>
      </c>
      <c r="D2889" s="314" t="s">
        <v>62</v>
      </c>
      <c r="E2889" s="307" t="str">
        <f t="array" ref="E2889">(XLOOKUP(D2889,Roster!F:F,Roster!B:B,"",0))</f>
        <v>Magda Foronda</v>
      </c>
      <c r="F2889" s="315" t="str">
        <f t="array" ref="F2889">IF(B2889=100,"Free",TEXT(XLOOKUP($D2889,OperationVoice!$A:$A,OperationVoice!AD:AD,XLOOKUP($D2889,OperationTickets!$A:$A,OperationTickets!AD:AD,"",0)),"hh:mm"))</f>
        <v>08:00</v>
      </c>
      <c r="G2889" s="309">
        <f t="shared" si="3"/>
        <v>0.7083333333</v>
      </c>
      <c r="H2889" s="316" t="str">
        <f t="array" ref="H2889">XLOOKUP(B2889,Roster!L:L,Roster!N:N,XLOOKUP(D2889,TicketsBreak!A:A,TicketsBreak!E:E,"",0),0)</f>
        <v>09:30 - 09:45</v>
      </c>
      <c r="I2889" s="316" t="str">
        <f t="array" ref="I2889">XLOOKUP(B2889,Roster!L:L,Roster!O:O,XLOOKUP(D2889,TicketsBreak!A:A,TicketsBreak!F:F,"",0),0)</f>
        <v>12:00 - 12:30</v>
      </c>
      <c r="J2889" s="316" t="str">
        <f t="array" ref="J2889">XLOOKUP(B2889,Roster!L:L,Roster!P:P,XLOOKUP(D2889,TicketsBreak!A:A,TicketsBreak!G:G,"",0),0)</f>
        <v>14:45 - 15:00</v>
      </c>
      <c r="K2889" s="310">
        <f t="shared" si="4"/>
        <v>46136</v>
      </c>
      <c r="L2889" s="317">
        <f t="array" ref="L2889">(XLOOKUP(D2889,Roster!F:F,Roster!D:D,"",0))</f>
        <v>35</v>
      </c>
      <c r="M2889" s="317" t="str">
        <f t="array" ref="M2889">XLOOKUP(D2889,Roster!F:F,Roster!E:E)</f>
        <v>Voice</v>
      </c>
      <c r="N2889" s="317" t="str">
        <f t="shared" ref="N2889:P2889" si="2929">LEFT(H2889,5)</f>
        <v>09:30</v>
      </c>
      <c r="O2889" s="317" t="str">
        <f t="shared" si="2929"/>
        <v>12:00</v>
      </c>
      <c r="P2889" s="317" t="str">
        <f t="shared" si="2929"/>
        <v>14:45</v>
      </c>
      <c r="Q2889" s="318">
        <f t="shared" si="2791"/>
        <v>46136.39583</v>
      </c>
      <c r="R2889" s="318">
        <f t="shared" si="2792"/>
        <v>46136.5</v>
      </c>
      <c r="S2889" s="318">
        <f t="shared" si="8"/>
        <v>46136.61458</v>
      </c>
    </row>
    <row r="2890">
      <c r="A2890" s="14" t="str">
        <f t="shared" si="1"/>
        <v>C118046136</v>
      </c>
      <c r="B2890" s="185">
        <f t="array" ref="B2890">IF(F2890="VL","",IF(F2890="Free","Free",XLOOKUP(D2890,Roster!T:T,Roster!S:S,"",0)))</f>
        <v>500</v>
      </c>
      <c r="C2890" s="313">
        <v>46136.0</v>
      </c>
      <c r="D2890" s="314" t="s">
        <v>147</v>
      </c>
      <c r="E2890" s="307" t="str">
        <f t="array" ref="E2890">(XLOOKUP(D2890,Roster!F:F,Roster!B:B,"",0))</f>
        <v>Manuela Moreno</v>
      </c>
      <c r="F2890" s="315" t="str">
        <f t="array" ref="F2890">IF(B2890=100,"Free",TEXT(XLOOKUP($D2890,OperationVoice!$A:$A,OperationVoice!AD:AD,XLOOKUP($D2890,OperationTickets!$A:$A,OperationTickets!AD:AD,"",0)),"hh:mm"))</f>
        <v>09:00</v>
      </c>
      <c r="G2890" s="309">
        <f t="shared" si="3"/>
        <v>0.75</v>
      </c>
      <c r="H2890" s="316" t="str">
        <f t="array" ref="H2890">XLOOKUP(B2890,Roster!L:L,Roster!N:N,XLOOKUP(D2890,TicketsBreak!A:A,TicketsBreak!E:E,"",0),0)</f>
        <v>Team Leader</v>
      </c>
      <c r="I2890" s="316" t="str">
        <f t="array" ref="I2890">XLOOKUP(B2890,Roster!L:L,Roster!O:O,XLOOKUP(D2890,TicketsBreak!A:A,TicketsBreak!F:F,"",0),0)</f>
        <v>Team Leader</v>
      </c>
      <c r="J2890" s="316" t="str">
        <f t="array" ref="J2890">XLOOKUP(B2890,Roster!L:L,Roster!P:P,XLOOKUP(D2890,TicketsBreak!A:A,TicketsBreak!G:G,"",0),0)</f>
        <v/>
      </c>
      <c r="K2890" s="310">
        <f t="shared" si="4"/>
        <v>46136</v>
      </c>
      <c r="L2890" s="317">
        <f t="array" ref="L2890">(XLOOKUP(D2890,Roster!F:F,Roster!D:D,"",0))</f>
        <v>24</v>
      </c>
      <c r="M2890" s="317" t="str">
        <f t="array" ref="M2890">XLOOKUP(D2890,Roster!F:F,Roster!E:E)</f>
        <v>Tickets</v>
      </c>
      <c r="N2890" s="317" t="str">
        <f t="shared" ref="N2890:P2890" si="2930">LEFT(H2890,5)</f>
        <v>Team </v>
      </c>
      <c r="O2890" s="317" t="str">
        <f t="shared" si="2930"/>
        <v>Team </v>
      </c>
      <c r="P2890" s="317" t="str">
        <f t="shared" si="2930"/>
        <v/>
      </c>
      <c r="Q2890" s="318" t="str">
        <f>IF(P2890="","",$C2890+N2890)</f>
        <v/>
      </c>
      <c r="R2890" s="318" t="str">
        <f>if(P2890="","",$C2890+O2890)</f>
        <v/>
      </c>
      <c r="S2890" s="318" t="str">
        <f t="shared" si="8"/>
        <v/>
      </c>
    </row>
    <row r="2891">
      <c r="A2891" s="14" t="str">
        <f t="shared" si="1"/>
        <v>C153646136</v>
      </c>
      <c r="B2891" s="185">
        <f t="array" ref="B2891">IF(F2891="VL","",IF(F2891="Free","Free",XLOOKUP(D2891,Roster!T:T,Roster!S:S,"",0)))</f>
        <v>121</v>
      </c>
      <c r="C2891" s="313">
        <v>46136.0</v>
      </c>
      <c r="D2891" s="314" t="s">
        <v>63</v>
      </c>
      <c r="E2891" s="307" t="str">
        <f t="array" ref="E2891">(XLOOKUP(D2891,Roster!F:F,Roster!B:B,"",0))</f>
        <v>Maria Mesa</v>
      </c>
      <c r="F2891" s="315" t="str">
        <f t="array" ref="F2891">IF(B2891=100,"Free",TEXT(XLOOKUP($D2891,OperationVoice!$A:$A,OperationVoice!AD:AD,XLOOKUP($D2891,OperationTickets!$A:$A,OperationTickets!AD:AD,"",0)),"hh:mm"))</f>
        <v>08:00</v>
      </c>
      <c r="G2891" s="309">
        <f t="shared" si="3"/>
        <v>0.7083333333</v>
      </c>
      <c r="H2891" s="316" t="str">
        <f t="array" ref="H2891">XLOOKUP(B2891,Roster!L:L,Roster!N:N,XLOOKUP(D2891,TicketsBreak!A:A,TicketsBreak!E:E,"",0),0)</f>
        <v>09:15 - 09:30</v>
      </c>
      <c r="I2891" s="316" t="str">
        <f t="array" ref="I2891">XLOOKUP(B2891,Roster!L:L,Roster!O:O,XLOOKUP(D2891,TicketsBreak!A:A,TicketsBreak!F:F,"",0),0)</f>
        <v>11:30 - 12:00</v>
      </c>
      <c r="J2891" s="316" t="str">
        <f t="array" ref="J2891">XLOOKUP(B2891,Roster!L:L,Roster!P:P,XLOOKUP(D2891,TicketsBreak!A:A,TicketsBreak!G:G,"",0),0)</f>
        <v>14:30 - 14:45</v>
      </c>
      <c r="K2891" s="310">
        <f t="shared" si="4"/>
        <v>46136</v>
      </c>
      <c r="L2891" s="317">
        <f t="array" ref="L2891">(XLOOKUP(D2891,Roster!F:F,Roster!D:D,"",0))</f>
        <v>36</v>
      </c>
      <c r="M2891" s="317" t="str">
        <f t="array" ref="M2891">XLOOKUP(D2891,Roster!F:F,Roster!E:E)</f>
        <v>Voice</v>
      </c>
      <c r="N2891" s="317" t="str">
        <f t="shared" ref="N2891:P2891" si="2931">LEFT(H2891,5)</f>
        <v>09:15</v>
      </c>
      <c r="O2891" s="317" t="str">
        <f t="shared" si="2931"/>
        <v>11:30</v>
      </c>
      <c r="P2891" s="317" t="str">
        <f t="shared" si="2931"/>
        <v>14:30</v>
      </c>
      <c r="Q2891" s="318">
        <f t="shared" ref="Q2891:Q3029" si="2933">IF(N2891="","",$C2891+N2891)</f>
        <v>46136.38542</v>
      </c>
      <c r="R2891" s="318">
        <f t="shared" ref="R2891:R3169" si="2934">if(O2891="","",$C2891+O2891)</f>
        <v>46136.47917</v>
      </c>
      <c r="S2891" s="318">
        <f t="shared" si="8"/>
        <v>46136.60417</v>
      </c>
    </row>
    <row r="2892">
      <c r="A2892" s="14" t="str">
        <f t="shared" si="1"/>
        <v>C74046136</v>
      </c>
      <c r="B2892" s="185" t="str">
        <f t="array" ref="B2892">IF(F2892="VL","",IF(F2892="Free","Free",XLOOKUP(D2892,Roster!T:T,Roster!S:S,"",0)))</f>
        <v/>
      </c>
      <c r="C2892" s="313">
        <v>46136.0</v>
      </c>
      <c r="D2892" s="314" t="s">
        <v>166</v>
      </c>
      <c r="E2892" s="307" t="str">
        <f t="array" ref="E2892">(XLOOKUP(D2892,Roster!F:F,Roster!B:B,"",0))</f>
        <v>Mateo Agudelo</v>
      </c>
      <c r="F2892" s="315" t="str">
        <f t="array" ref="F2892">IF(B2892=100,"Free",TEXT(XLOOKUP($D2892,OperationVoice!$A:$A,OperationVoice!AD:AD,XLOOKUP($D2892,OperationTickets!$A:$A,OperationTickets!AD:AD,"",0)),"hh:mm"))</f>
        <v>08:00</v>
      </c>
      <c r="G2892" s="309">
        <f t="shared" si="3"/>
        <v>0.7083333333</v>
      </c>
      <c r="H2892" s="316">
        <f t="array" ref="H2892">XLOOKUP(B2892,Roster!L:L,Roster!N:N,XLOOKUP(D2892,TicketsBreak!A:A,TicketsBreak!E:E,"",0),0)</f>
        <v>0.4166666667</v>
      </c>
      <c r="I2892" s="316">
        <f t="array" ref="I2892">XLOOKUP(B2892,Roster!L:L,Roster!O:O,XLOOKUP(D2892,TicketsBreak!A:A,TicketsBreak!F:F,"",0),0)</f>
        <v>0.5</v>
      </c>
      <c r="J2892" s="316">
        <f t="array" ref="J2892">XLOOKUP(B2892,Roster!L:L,Roster!P:P,XLOOKUP(D2892,TicketsBreak!A:A,TicketsBreak!G:G,"",0),0)</f>
        <v>0.65625</v>
      </c>
      <c r="K2892" s="310">
        <f t="shared" si="4"/>
        <v>46136</v>
      </c>
      <c r="L2892" s="317">
        <f t="array" ref="L2892">(XLOOKUP(D2892,Roster!F:F,Roster!D:D,"",0))</f>
        <v>8</v>
      </c>
      <c r="M2892" s="317" t="str">
        <f t="array" ref="M2892">XLOOKUP(D2892,Roster!F:F,Roster!E:E)</f>
        <v>Tickets</v>
      </c>
      <c r="N2892" s="317" t="str">
        <f t="shared" ref="N2892:P2892" si="2932">LEFT(H2892,5)</f>
        <v>10:00</v>
      </c>
      <c r="O2892" s="317" t="str">
        <f t="shared" si="2932"/>
        <v>12:00</v>
      </c>
      <c r="P2892" s="317" t="str">
        <f t="shared" si="2932"/>
        <v>15:45</v>
      </c>
      <c r="Q2892" s="318">
        <f t="shared" si="2933"/>
        <v>46136.41667</v>
      </c>
      <c r="R2892" s="318">
        <f t="shared" si="2934"/>
        <v>46136.5</v>
      </c>
      <c r="S2892" s="318">
        <f t="shared" si="8"/>
        <v>46136.65625</v>
      </c>
    </row>
    <row r="2893">
      <c r="A2893" s="14" t="str">
        <f t="shared" si="1"/>
        <v>C142946136</v>
      </c>
      <c r="B2893" s="185">
        <f t="array" ref="B2893">IF(F2893="VL","",IF(F2893="Free","Free",XLOOKUP(D2893,Roster!T:T,Roster!S:S,"",0)))</f>
        <v>121</v>
      </c>
      <c r="C2893" s="313">
        <v>46136.0</v>
      </c>
      <c r="D2893" s="314" t="s">
        <v>178</v>
      </c>
      <c r="E2893" s="307" t="str">
        <f t="array" ref="E2893">(XLOOKUP(D2893,Roster!F:F,Roster!B:B,"",0))</f>
        <v>Mateo Vanegas</v>
      </c>
      <c r="F2893" s="315" t="str">
        <f t="array" ref="F2893">IF(B2893=100,"Free",TEXT(XLOOKUP($D2893,OperationVoice!$A:$A,OperationVoice!AD:AD,XLOOKUP($D2893,OperationTickets!$A:$A,OperationTickets!AD:AD,"",0)),"hh:mm"))</f>
        <v>08:00</v>
      </c>
      <c r="G2893" s="309">
        <f t="shared" si="3"/>
        <v>0.7083333333</v>
      </c>
      <c r="H2893" s="316" t="str">
        <f t="array" ref="H2893">XLOOKUP(B2893,Roster!L:L,Roster!N:N,XLOOKUP(D2893,TicketsBreak!A:A,TicketsBreak!E:E,"",0),0)</f>
        <v>09:15 - 09:30</v>
      </c>
      <c r="I2893" s="316" t="str">
        <f t="array" ref="I2893">XLOOKUP(B2893,Roster!L:L,Roster!O:O,XLOOKUP(D2893,TicketsBreak!A:A,TicketsBreak!F:F,"",0),0)</f>
        <v>11:30 - 12:00</v>
      </c>
      <c r="J2893" s="316" t="str">
        <f t="array" ref="J2893">XLOOKUP(B2893,Roster!L:L,Roster!P:P,XLOOKUP(D2893,TicketsBreak!A:A,TicketsBreak!G:G,"",0),0)</f>
        <v>14:30 - 14:45</v>
      </c>
      <c r="K2893" s="310">
        <f t="shared" si="4"/>
        <v>46136</v>
      </c>
      <c r="L2893" s="317">
        <f t="array" ref="L2893">(XLOOKUP(D2893,Roster!F:F,Roster!D:D,"",0))</f>
        <v>32</v>
      </c>
      <c r="M2893" s="317" t="str">
        <f t="array" ref="M2893">XLOOKUP(D2893,Roster!F:F,Roster!E:E)</f>
        <v>Tickets</v>
      </c>
      <c r="N2893" s="317" t="str">
        <f t="shared" ref="N2893:P2893" si="2935">LEFT(H2893,5)</f>
        <v>09:15</v>
      </c>
      <c r="O2893" s="317" t="str">
        <f t="shared" si="2935"/>
        <v>11:30</v>
      </c>
      <c r="P2893" s="317" t="str">
        <f t="shared" si="2935"/>
        <v>14:30</v>
      </c>
      <c r="Q2893" s="318">
        <f t="shared" si="2933"/>
        <v>46136.38542</v>
      </c>
      <c r="R2893" s="318">
        <f t="shared" si="2934"/>
        <v>46136.47917</v>
      </c>
      <c r="S2893" s="318">
        <f t="shared" si="8"/>
        <v>46136.60417</v>
      </c>
    </row>
    <row r="2894">
      <c r="A2894" s="14" t="str">
        <f t="shared" si="1"/>
        <v>C146846136</v>
      </c>
      <c r="B2894" s="185">
        <f t="array" ref="B2894">IF(F2894="VL","",IF(F2894="Free","Free",XLOOKUP(D2894,Roster!T:T,Roster!S:S,"",0)))</f>
        <v>122</v>
      </c>
      <c r="C2894" s="313">
        <v>46136.0</v>
      </c>
      <c r="D2894" s="314" t="s">
        <v>64</v>
      </c>
      <c r="E2894" s="307" t="str">
        <f t="array" ref="E2894">(XLOOKUP(D2894,Roster!F:F,Roster!B:B,"",0))</f>
        <v>Miguel Betancur</v>
      </c>
      <c r="F2894" s="315" t="str">
        <f t="array" ref="F2894">IF(B2894=100,"Free",TEXT(XLOOKUP($D2894,OperationVoice!$A:$A,OperationVoice!AD:AD,XLOOKUP($D2894,OperationTickets!$A:$A,OperationTickets!AD:AD,"",0)),"hh:mm"))</f>
        <v>08:00</v>
      </c>
      <c r="G2894" s="309">
        <f t="shared" si="3"/>
        <v>0.7083333333</v>
      </c>
      <c r="H2894" s="316" t="str">
        <f t="array" ref="H2894">XLOOKUP(B2894,Roster!L:L,Roster!N:N,XLOOKUP(D2894,TicketsBreak!A:A,TicketsBreak!E:E,"",0),0)</f>
        <v>09:30 - 09:45</v>
      </c>
      <c r="I2894" s="316" t="str">
        <f t="array" ref="I2894">XLOOKUP(B2894,Roster!L:L,Roster!O:O,XLOOKUP(D2894,TicketsBreak!A:A,TicketsBreak!F:F,"",0),0)</f>
        <v>12:00 - 12:30</v>
      </c>
      <c r="J2894" s="316" t="str">
        <f t="array" ref="J2894">XLOOKUP(B2894,Roster!L:L,Roster!P:P,XLOOKUP(D2894,TicketsBreak!A:A,TicketsBreak!G:G,"",0),0)</f>
        <v>14:45 - 15:00</v>
      </c>
      <c r="K2894" s="310">
        <f t="shared" si="4"/>
        <v>46136</v>
      </c>
      <c r="L2894" s="317">
        <f t="array" ref="L2894">(XLOOKUP(D2894,Roster!F:F,Roster!D:D,"",0))</f>
        <v>33</v>
      </c>
      <c r="M2894" s="317" t="str">
        <f t="array" ref="M2894">XLOOKUP(D2894,Roster!F:F,Roster!E:E)</f>
        <v>Voice</v>
      </c>
      <c r="N2894" s="317" t="str">
        <f t="shared" ref="N2894:P2894" si="2936">LEFT(H2894,5)</f>
        <v>09:30</v>
      </c>
      <c r="O2894" s="317" t="str">
        <f t="shared" si="2936"/>
        <v>12:00</v>
      </c>
      <c r="P2894" s="317" t="str">
        <f t="shared" si="2936"/>
        <v>14:45</v>
      </c>
      <c r="Q2894" s="318">
        <f t="shared" si="2933"/>
        <v>46136.39583</v>
      </c>
      <c r="R2894" s="318">
        <f t="shared" si="2934"/>
        <v>46136.5</v>
      </c>
      <c r="S2894" s="318">
        <f t="shared" si="8"/>
        <v>46136.61458</v>
      </c>
    </row>
    <row r="2895">
      <c r="A2895" s="14" t="str">
        <f t="shared" si="1"/>
        <v>C106546136</v>
      </c>
      <c r="B2895" s="185" t="str">
        <f t="array" ref="B2895">IF(F2895="VL","",IF(F2895="Free","Free",XLOOKUP(D2895,Roster!T:T,Roster!S:S,"",0)))</f>
        <v/>
      </c>
      <c r="C2895" s="313">
        <v>46136.0</v>
      </c>
      <c r="D2895" s="314" t="s">
        <v>148</v>
      </c>
      <c r="E2895" s="307" t="str">
        <f t="array" ref="E2895">(XLOOKUP(D2895,Roster!F:F,Roster!B:B,"",0))</f>
        <v>Miguel Hoyos</v>
      </c>
      <c r="F2895" s="315" t="str">
        <f t="array" ref="F2895">IF(B2895=100,"Free",TEXT(XLOOKUP($D2895,OperationVoice!$A:$A,OperationVoice!AD:AD,XLOOKUP($D2895,OperationTickets!$A:$A,OperationTickets!AD:AD,"",0)),"hh:mm"))</f>
        <v>07:00</v>
      </c>
      <c r="G2895" s="309">
        <f t="shared" si="3"/>
        <v>0.6666666667</v>
      </c>
      <c r="H2895" s="316">
        <f t="array" ref="H2895">XLOOKUP(B2895,Roster!L:L,Roster!N:N,XLOOKUP(D2895,TicketsBreak!A:A,TicketsBreak!E:E,"",0),0)</f>
        <v>0.4583333333</v>
      </c>
      <c r="I2895" s="316">
        <f t="array" ref="I2895">XLOOKUP(B2895,Roster!L:L,Roster!O:O,XLOOKUP(D2895,TicketsBreak!A:A,TicketsBreak!F:F,"",0),0)</f>
        <v>0.5625</v>
      </c>
      <c r="J2895" s="316">
        <f t="array" ref="J2895">XLOOKUP(B2895,Roster!L:L,Roster!P:P,XLOOKUP(D2895,TicketsBreak!A:A,TicketsBreak!G:G,"",0),0)</f>
        <v>0.65625</v>
      </c>
      <c r="K2895" s="310">
        <f t="shared" si="4"/>
        <v>46136</v>
      </c>
      <c r="L2895" s="317">
        <f t="array" ref="L2895">(XLOOKUP(D2895,Roster!F:F,Roster!D:D,"",0))</f>
        <v>17</v>
      </c>
      <c r="M2895" s="317" t="str">
        <f t="array" ref="M2895">XLOOKUP(D2895,Roster!F:F,Roster!E:E)</f>
        <v>Tickets</v>
      </c>
      <c r="N2895" s="317" t="str">
        <f t="shared" ref="N2895:P2895" si="2937">LEFT(H2895,5)</f>
        <v>11:00</v>
      </c>
      <c r="O2895" s="317" t="str">
        <f t="shared" si="2937"/>
        <v>13:30</v>
      </c>
      <c r="P2895" s="317" t="str">
        <f t="shared" si="2937"/>
        <v>15:45</v>
      </c>
      <c r="Q2895" s="318">
        <f t="shared" si="2933"/>
        <v>46136.45833</v>
      </c>
      <c r="R2895" s="318">
        <f t="shared" si="2934"/>
        <v>46136.5625</v>
      </c>
      <c r="S2895" s="318">
        <f t="shared" si="8"/>
        <v>46136.65625</v>
      </c>
    </row>
    <row r="2896">
      <c r="A2896" s="14" t="str">
        <f t="shared" si="1"/>
        <v>C111446136</v>
      </c>
      <c r="B2896" s="185">
        <f t="array" ref="B2896">IF(F2896="VL","",IF(F2896="Free","Free",XLOOKUP(D2896,Roster!T:T,Roster!S:S,"",0)))</f>
        <v>113</v>
      </c>
      <c r="C2896" s="313">
        <v>46136.0</v>
      </c>
      <c r="D2896" s="314" t="s">
        <v>65</v>
      </c>
      <c r="E2896" s="307" t="str">
        <f t="array" ref="E2896">(XLOOKUP(D2896,Roster!F:F,Roster!B:B,"",0))</f>
        <v>Mikel Bowie</v>
      </c>
      <c r="F2896" s="315" t="str">
        <f t="array" ref="F2896">IF(B2896=100,"Free",TEXT(XLOOKUP($D2896,OperationVoice!$A:$A,OperationVoice!AD:AD,XLOOKUP($D2896,OperationTickets!$A:$A,OperationTickets!AD:AD,"",0)),"hh:mm"))</f>
        <v>08:00</v>
      </c>
      <c r="G2896" s="309">
        <f t="shared" si="3"/>
        <v>0.7083333333</v>
      </c>
      <c r="H2896" s="316" t="str">
        <f t="array" ref="H2896">XLOOKUP(B2896,Roster!L:L,Roster!N:N,XLOOKUP(D2896,TicketsBreak!A:A,TicketsBreak!E:E,"",0),0)</f>
        <v>09:45 - 10:00</v>
      </c>
      <c r="I2896" s="316" t="str">
        <f t="array" ref="I2896">XLOOKUP(B2896,Roster!L:L,Roster!O:O,XLOOKUP(D2896,TicketsBreak!A:A,TicketsBreak!F:F,"",0),0)</f>
        <v>12:30 - 13:00</v>
      </c>
      <c r="J2896" s="316" t="str">
        <f t="array" ref="J2896">XLOOKUP(B2896,Roster!L:L,Roster!P:P,XLOOKUP(D2896,TicketsBreak!A:A,TicketsBreak!G:G,"",0),0)</f>
        <v>14:45 - 15:00</v>
      </c>
      <c r="K2896" s="310">
        <f t="shared" si="4"/>
        <v>46136</v>
      </c>
      <c r="L2896" s="317">
        <f t="array" ref="L2896">(XLOOKUP(D2896,Roster!F:F,Roster!D:D,"",0))</f>
        <v>20</v>
      </c>
      <c r="M2896" s="317" t="str">
        <f t="array" ref="M2896">XLOOKUP(D2896,Roster!F:F,Roster!E:E)</f>
        <v>Voice</v>
      </c>
      <c r="N2896" s="317" t="str">
        <f t="shared" ref="N2896:P2896" si="2938">LEFT(H2896,5)</f>
        <v>09:45</v>
      </c>
      <c r="O2896" s="317" t="str">
        <f t="shared" si="2938"/>
        <v>12:30</v>
      </c>
      <c r="P2896" s="317" t="str">
        <f t="shared" si="2938"/>
        <v>14:45</v>
      </c>
      <c r="Q2896" s="318">
        <f t="shared" si="2933"/>
        <v>46136.40625</v>
      </c>
      <c r="R2896" s="318">
        <f t="shared" si="2934"/>
        <v>46136.52083</v>
      </c>
      <c r="S2896" s="318">
        <f t="shared" si="8"/>
        <v>46136.61458</v>
      </c>
    </row>
    <row r="2897">
      <c r="A2897" s="14" t="str">
        <f t="shared" si="1"/>
        <v>C116346136</v>
      </c>
      <c r="B2897" s="185">
        <f t="array" ref="B2897">IF(F2897="VL","",IF(F2897="Free","Free",XLOOKUP(D2897,Roster!T:T,Roster!S:S,"",0)))</f>
        <v>123</v>
      </c>
      <c r="C2897" s="313">
        <v>46136.0</v>
      </c>
      <c r="D2897" s="314" t="s">
        <v>66</v>
      </c>
      <c r="E2897" s="307" t="str">
        <f t="array" ref="E2897">(XLOOKUP(D2897,Roster!F:F,Roster!B:B,"",0))</f>
        <v>Natalia Cardona</v>
      </c>
      <c r="F2897" s="315" t="str">
        <f t="array" ref="F2897">IF(B2897=100,"Free",TEXT(XLOOKUP($D2897,OperationVoice!$A:$A,OperationVoice!AD:AD,XLOOKUP($D2897,OperationTickets!$A:$A,OperationTickets!AD:AD,"",0)),"hh:mm"))</f>
        <v>08:00</v>
      </c>
      <c r="G2897" s="309">
        <f t="shared" si="3"/>
        <v>0.7083333333</v>
      </c>
      <c r="H2897" s="316" t="str">
        <f t="array" ref="H2897">XLOOKUP(B2897,Roster!L:L,Roster!N:N,XLOOKUP(D2897,TicketsBreak!A:A,TicketsBreak!E:E,"",0),0)</f>
        <v>09:45 - 10:00 </v>
      </c>
      <c r="I2897" s="316" t="str">
        <f t="array" ref="I2897">XLOOKUP(B2897,Roster!L:L,Roster!O:O,XLOOKUP(D2897,TicketsBreak!A:A,TicketsBreak!F:F,"",0),0)</f>
        <v>12:30 - 13:00</v>
      </c>
      <c r="J2897" s="316" t="str">
        <f t="array" ref="J2897">XLOOKUP(B2897,Roster!L:L,Roster!P:P,XLOOKUP(D2897,TicketsBreak!A:A,TicketsBreak!G:G,"",0),0)</f>
        <v>15:00 - 15:15</v>
      </c>
      <c r="K2897" s="310">
        <f t="shared" si="4"/>
        <v>46136</v>
      </c>
      <c r="L2897" s="317">
        <f t="array" ref="L2897">(XLOOKUP(D2897,Roster!F:F,Roster!D:D,"",0))</f>
        <v>24</v>
      </c>
      <c r="M2897" s="317" t="str">
        <f t="array" ref="M2897">XLOOKUP(D2897,Roster!F:F,Roster!E:E)</f>
        <v>Voice</v>
      </c>
      <c r="N2897" s="317" t="str">
        <f t="shared" ref="N2897:P2897" si="2939">LEFT(H2897,5)</f>
        <v>09:45</v>
      </c>
      <c r="O2897" s="317" t="str">
        <f t="shared" si="2939"/>
        <v>12:30</v>
      </c>
      <c r="P2897" s="317" t="str">
        <f t="shared" si="2939"/>
        <v>15:00</v>
      </c>
      <c r="Q2897" s="318">
        <f t="shared" si="2933"/>
        <v>46136.40625</v>
      </c>
      <c r="R2897" s="318">
        <f t="shared" si="2934"/>
        <v>46136.52083</v>
      </c>
      <c r="S2897" s="318">
        <f t="shared" si="8"/>
        <v>46136.625</v>
      </c>
    </row>
    <row r="2898">
      <c r="A2898" s="14" t="str">
        <f t="shared" si="1"/>
        <v>C55646136</v>
      </c>
      <c r="B2898" s="185" t="str">
        <f t="array" ref="B2898">IF(F2898="VL","",IF(F2898="Free","Free",XLOOKUP(D2898,Roster!T:T,Roster!S:S,"",0)))</f>
        <v/>
      </c>
      <c r="C2898" s="313">
        <v>46136.0</v>
      </c>
      <c r="D2898" s="314" t="s">
        <v>167</v>
      </c>
      <c r="E2898" s="307" t="str">
        <f t="array" ref="E2898">(XLOOKUP(D2898,Roster!F:F,Roster!B:B,"",0))</f>
        <v>Nelson Londono</v>
      </c>
      <c r="F2898" s="315" t="str">
        <f t="array" ref="F2898">IF(B2898=100,"Free",TEXT(XLOOKUP($D2898,OperationVoice!$A:$A,OperationVoice!AD:AD,XLOOKUP($D2898,OperationTickets!$A:$A,OperationTickets!AD:AD,"",0)),"hh:mm"))</f>
        <v>07:00</v>
      </c>
      <c r="G2898" s="309">
        <f t="shared" si="3"/>
        <v>0.6666666667</v>
      </c>
      <c r="H2898" s="316">
        <f t="array" ref="H2898">XLOOKUP(B2898,Roster!L:L,Roster!N:N,XLOOKUP(D2898,TicketsBreak!A:A,TicketsBreak!E:E,"",0),0)</f>
        <v>0.3854166667</v>
      </c>
      <c r="I2898" s="316">
        <f t="array" ref="I2898">XLOOKUP(B2898,Roster!L:L,Roster!O:O,XLOOKUP(D2898,TicketsBreak!A:A,TicketsBreak!F:F,"",0),0)</f>
        <v>0.5833333333</v>
      </c>
      <c r="J2898" s="316">
        <f t="array" ref="J2898">XLOOKUP(B2898,Roster!L:L,Roster!P:P,XLOOKUP(D2898,TicketsBreak!A:A,TicketsBreak!G:G,"",0),0)</f>
        <v>0.6458333333</v>
      </c>
      <c r="K2898" s="310">
        <f t="shared" si="4"/>
        <v>46136</v>
      </c>
      <c r="L2898" s="317">
        <f t="array" ref="L2898">(XLOOKUP(D2898,Roster!F:F,Roster!D:D,"",0))</f>
        <v>2</v>
      </c>
      <c r="M2898" s="317" t="str">
        <f t="array" ref="M2898">XLOOKUP(D2898,Roster!F:F,Roster!E:E)</f>
        <v>Tickets</v>
      </c>
      <c r="N2898" s="317" t="str">
        <f t="shared" ref="N2898:P2898" si="2940">LEFT(H2898,5)</f>
        <v>09:15</v>
      </c>
      <c r="O2898" s="317" t="str">
        <f t="shared" si="2940"/>
        <v>14:00</v>
      </c>
      <c r="P2898" s="317" t="str">
        <f t="shared" si="2940"/>
        <v>15:30</v>
      </c>
      <c r="Q2898" s="318">
        <f t="shared" si="2933"/>
        <v>46136.38542</v>
      </c>
      <c r="R2898" s="318">
        <f t="shared" si="2934"/>
        <v>46136.58333</v>
      </c>
      <c r="S2898" s="318">
        <f t="shared" si="8"/>
        <v>46136.64583</v>
      </c>
    </row>
    <row r="2899">
      <c r="A2899" s="14" t="str">
        <f t="shared" si="1"/>
        <v>C150746136</v>
      </c>
      <c r="B2899" s="185">
        <f t="array" ref="B2899">IF(F2899="VL","",IF(F2899="Free","Free",XLOOKUP(D2899,Roster!T:T,Roster!S:S,"",0)))</f>
        <v>125</v>
      </c>
      <c r="C2899" s="313">
        <v>46136.0</v>
      </c>
      <c r="D2899" s="314" t="s">
        <v>67</v>
      </c>
      <c r="E2899" s="307" t="str">
        <f t="array" ref="E2899">(XLOOKUP(D2899,Roster!F:F,Roster!B:B,"",0))</f>
        <v>Nicols Quinones</v>
      </c>
      <c r="F2899" s="315" t="str">
        <f t="array" ref="F2899">IF(B2899=100,"Free",TEXT(XLOOKUP($D2899,OperationVoice!$A:$A,OperationVoice!AD:AD,XLOOKUP($D2899,OperationTickets!$A:$A,OperationTickets!AD:AD,"",0)),"hh:mm"))</f>
        <v>08:00</v>
      </c>
      <c r="G2899" s="309">
        <f t="shared" si="3"/>
        <v>0.7083333333</v>
      </c>
      <c r="H2899" s="316" t="str">
        <f t="array" ref="H2899">XLOOKUP(B2899,Roster!L:L,Roster!N:N,XLOOKUP(D2899,TicketsBreak!A:A,TicketsBreak!E:E,"",0),0)</f>
        <v>10:30 - 10:45</v>
      </c>
      <c r="I2899" s="316" t="str">
        <f t="array" ref="I2899">XLOOKUP(B2899,Roster!L:L,Roster!O:O,XLOOKUP(D2899,TicketsBreak!A:A,TicketsBreak!F:F,"",0),0)</f>
        <v>13:30 - 14:00</v>
      </c>
      <c r="J2899" s="316" t="str">
        <f t="array" ref="J2899">XLOOKUP(B2899,Roster!L:L,Roster!P:P,XLOOKUP(D2899,TicketsBreak!A:A,TicketsBreak!G:G,"",0),0)</f>
        <v>15:45 - 16:00</v>
      </c>
      <c r="K2899" s="310">
        <f t="shared" si="4"/>
        <v>46136</v>
      </c>
      <c r="L2899" s="317">
        <f t="array" ref="L2899">(XLOOKUP(D2899,Roster!F:F,Roster!D:D,"",0))</f>
        <v>35</v>
      </c>
      <c r="M2899" s="317" t="str">
        <f t="array" ref="M2899">XLOOKUP(D2899,Roster!F:F,Roster!E:E)</f>
        <v>Voice</v>
      </c>
      <c r="N2899" s="317" t="str">
        <f t="shared" ref="N2899:P2899" si="2941">LEFT(H2899,5)</f>
        <v>10:30</v>
      </c>
      <c r="O2899" s="317" t="str">
        <f t="shared" si="2941"/>
        <v>13:30</v>
      </c>
      <c r="P2899" s="317" t="str">
        <f t="shared" si="2941"/>
        <v>15:45</v>
      </c>
      <c r="Q2899" s="318">
        <f t="shared" si="2933"/>
        <v>46136.4375</v>
      </c>
      <c r="R2899" s="318">
        <f t="shared" si="2934"/>
        <v>46136.5625</v>
      </c>
      <c r="S2899" s="318">
        <f t="shared" si="8"/>
        <v>46136.65625</v>
      </c>
    </row>
    <row r="2900">
      <c r="A2900" s="14" t="str">
        <f t="shared" si="1"/>
        <v>C71446136</v>
      </c>
      <c r="B2900" s="185" t="str">
        <f t="array" ref="B2900">IF(F2900="VL","",IF(F2900="Free","Free",XLOOKUP(D2900,Roster!T:T,Roster!S:S,"",0)))</f>
        <v/>
      </c>
      <c r="C2900" s="313">
        <v>46136.0</v>
      </c>
      <c r="D2900" s="314" t="s">
        <v>149</v>
      </c>
      <c r="E2900" s="307" t="str">
        <f t="array" ref="E2900">(XLOOKUP(D2900,Roster!F:F,Roster!B:B,"",0))</f>
        <v>Onel Olivera</v>
      </c>
      <c r="F2900" s="315" t="str">
        <f t="array" ref="F2900">IF(B2900=100,"Free",TEXT(XLOOKUP($D2900,OperationVoice!$A:$A,OperationVoice!AD:AD,XLOOKUP($D2900,OperationTickets!$A:$A,OperationTickets!AD:AD,"",0)),"hh:mm"))</f>
        <v>08:00</v>
      </c>
      <c r="G2900" s="309">
        <f t="shared" si="3"/>
        <v>0.7083333333</v>
      </c>
      <c r="H2900" s="316">
        <f t="array" ref="H2900">XLOOKUP(B2900,Roster!L:L,Roster!N:N,XLOOKUP(D2900,TicketsBreak!A:A,TicketsBreak!E:E,"",0),0)</f>
        <v>0.4166666667</v>
      </c>
      <c r="I2900" s="316">
        <f t="array" ref="I2900">XLOOKUP(B2900,Roster!L:L,Roster!O:O,XLOOKUP(D2900,TicketsBreak!A:A,TicketsBreak!F:F,"",0),0)</f>
        <v>0.5</v>
      </c>
      <c r="J2900" s="316">
        <f t="array" ref="J2900">XLOOKUP(B2900,Roster!L:L,Roster!P:P,XLOOKUP(D2900,TicketsBreak!A:A,TicketsBreak!G:G,"",0),0)</f>
        <v>0.625</v>
      </c>
      <c r="K2900" s="310">
        <f t="shared" si="4"/>
        <v>46136</v>
      </c>
      <c r="L2900" s="317">
        <f t="array" ref="L2900">(XLOOKUP(D2900,Roster!F:F,Roster!D:D,"",0))</f>
        <v>1</v>
      </c>
      <c r="M2900" s="317" t="str">
        <f t="array" ref="M2900">XLOOKUP(D2900,Roster!F:F,Roster!E:E)</f>
        <v>Tickets</v>
      </c>
      <c r="N2900" s="317" t="str">
        <f t="shared" ref="N2900:P2900" si="2942">LEFT(H2900,5)</f>
        <v>10:00</v>
      </c>
      <c r="O2900" s="317" t="str">
        <f t="shared" si="2942"/>
        <v>12:00</v>
      </c>
      <c r="P2900" s="317" t="str">
        <f t="shared" si="2942"/>
        <v>15:00</v>
      </c>
      <c r="Q2900" s="318">
        <f t="shared" si="2933"/>
        <v>46136.41667</v>
      </c>
      <c r="R2900" s="318">
        <f t="shared" si="2934"/>
        <v>46136.5</v>
      </c>
      <c r="S2900" s="318">
        <f t="shared" si="8"/>
        <v>46136.625</v>
      </c>
    </row>
    <row r="2901">
      <c r="A2901" s="14" t="str">
        <f t="shared" si="1"/>
        <v>C116446136</v>
      </c>
      <c r="B2901" s="185" t="str">
        <f t="array" ref="B2901">IF(F2901="VL","",IF(F2901="Free","Free",XLOOKUP(D2901,Roster!T:T,Roster!S:S,"",0)))</f>
        <v/>
      </c>
      <c r="C2901" s="313">
        <v>46136.0</v>
      </c>
      <c r="D2901" s="314" t="s">
        <v>179</v>
      </c>
      <c r="E2901" s="307" t="str">
        <f t="array" ref="E2901">(XLOOKUP(D2901,Roster!F:F,Roster!B:B,"",0))</f>
        <v>Oscar Florez</v>
      </c>
      <c r="F2901" s="315" t="str">
        <f t="array" ref="F2901">IF(B2901=100,"Free",TEXT(XLOOKUP($D2901,OperationVoice!$A:$A,OperationVoice!AD:AD,XLOOKUP($D2901,OperationTickets!$A:$A,OperationTickets!AD:AD,"",0)),"hh:mm"))</f>
        <v>08:00</v>
      </c>
      <c r="G2901" s="309">
        <f t="shared" si="3"/>
        <v>0.7083333333</v>
      </c>
      <c r="H2901" s="316" t="str">
        <f t="array" ref="H2901">XLOOKUP(B2901,Roster!L:L,Roster!N:N,XLOOKUP(D2901,TicketsBreak!A:A,TicketsBreak!E:E,"",0),0)</f>
        <v/>
      </c>
      <c r="I2901" s="316" t="str">
        <f t="array" ref="I2901">XLOOKUP(B2901,Roster!L:L,Roster!O:O,XLOOKUP(D2901,TicketsBreak!A:A,TicketsBreak!F:F,"",0),0)</f>
        <v/>
      </c>
      <c r="J2901" s="316" t="str">
        <f t="array" ref="J2901">XLOOKUP(B2901,Roster!L:L,Roster!P:P,XLOOKUP(D2901,TicketsBreak!A:A,TicketsBreak!G:G,"",0),0)</f>
        <v/>
      </c>
      <c r="K2901" s="310">
        <f t="shared" si="4"/>
        <v>46136</v>
      </c>
      <c r="L2901" s="317">
        <f t="array" ref="L2901">(XLOOKUP(D2901,Roster!F:F,Roster!D:D,"",0))</f>
        <v>24</v>
      </c>
      <c r="M2901" s="317" t="str">
        <f t="array" ref="M2901">XLOOKUP(D2901,Roster!F:F,Roster!E:E)</f>
        <v>Tickets</v>
      </c>
      <c r="N2901" s="317" t="str">
        <f t="shared" ref="N2901:P2901" si="2943">LEFT(H2901,5)</f>
        <v/>
      </c>
      <c r="O2901" s="317" t="str">
        <f t="shared" si="2943"/>
        <v/>
      </c>
      <c r="P2901" s="317" t="str">
        <f t="shared" si="2943"/>
        <v/>
      </c>
      <c r="Q2901" s="318" t="str">
        <f t="shared" si="2933"/>
        <v/>
      </c>
      <c r="R2901" s="318" t="str">
        <f t="shared" si="2934"/>
        <v/>
      </c>
      <c r="S2901" s="318" t="str">
        <f t="shared" si="8"/>
        <v/>
      </c>
    </row>
    <row r="2902">
      <c r="A2902" s="14" t="str">
        <f t="shared" si="1"/>
        <v>C153846136</v>
      </c>
      <c r="B2902" s="185" t="str">
        <f t="array" ref="B2902">IF(F2902="VL","",IF(F2902="Free","Free",XLOOKUP(D2902,Roster!T:T,Roster!S:S,"",0)))</f>
        <v>Free</v>
      </c>
      <c r="C2902" s="313">
        <v>46136.0</v>
      </c>
      <c r="D2902" s="314" t="s">
        <v>68</v>
      </c>
      <c r="E2902" s="307" t="str">
        <f t="array" ref="E2902">(XLOOKUP(D2902,Roster!F:F,Roster!B:B,"",0))</f>
        <v>Oscar Roldan</v>
      </c>
      <c r="F2902" s="315" t="str">
        <f t="array" ref="F2902">IF(B2902=100,"Free",TEXT(XLOOKUP($D2902,OperationVoice!$A:$A,OperationVoice!AD:AD,XLOOKUP($D2902,OperationTickets!$A:$A,OperationTickets!AD:AD,"",0)),"hh:mm"))</f>
        <v>Free</v>
      </c>
      <c r="G2902" s="309" t="str">
        <f t="shared" si="3"/>
        <v>Free</v>
      </c>
      <c r="H2902" s="316" t="str">
        <f t="array" ref="H2902">XLOOKUP(B2902,Roster!L:L,Roster!N:N,XLOOKUP(D2902,TicketsBreak!A:A,TicketsBreak!E:E,"",0),0)</f>
        <v/>
      </c>
      <c r="I2902" s="316" t="str">
        <f t="array" ref="I2902">XLOOKUP(B2902,Roster!L:L,Roster!O:O,XLOOKUP(D2902,TicketsBreak!A:A,TicketsBreak!F:F,"",0),0)</f>
        <v/>
      </c>
      <c r="J2902" s="316" t="str">
        <f t="array" ref="J2902">XLOOKUP(B2902,Roster!L:L,Roster!P:P,XLOOKUP(D2902,TicketsBreak!A:A,TicketsBreak!G:G,"",0),0)</f>
        <v/>
      </c>
      <c r="K2902" s="310">
        <f t="shared" si="4"/>
        <v>46136</v>
      </c>
      <c r="L2902" s="317">
        <f t="array" ref="L2902">(XLOOKUP(D2902,Roster!F:F,Roster!D:D,"",0))</f>
        <v>36</v>
      </c>
      <c r="M2902" s="317" t="str">
        <f t="array" ref="M2902">XLOOKUP(D2902,Roster!F:F,Roster!E:E)</f>
        <v>Voice</v>
      </c>
      <c r="N2902" s="317" t="str">
        <f t="shared" ref="N2902:P2902" si="2944">LEFT(H2902,5)</f>
        <v/>
      </c>
      <c r="O2902" s="317" t="str">
        <f t="shared" si="2944"/>
        <v/>
      </c>
      <c r="P2902" s="317" t="str">
        <f t="shared" si="2944"/>
        <v/>
      </c>
      <c r="Q2902" s="318" t="str">
        <f t="shared" si="2933"/>
        <v/>
      </c>
      <c r="R2902" s="318" t="str">
        <f t="shared" si="2934"/>
        <v/>
      </c>
      <c r="S2902" s="318" t="str">
        <f t="shared" si="8"/>
        <v/>
      </c>
    </row>
    <row r="2903">
      <c r="A2903" s="14" t="str">
        <f t="shared" si="1"/>
        <v>C151146136</v>
      </c>
      <c r="B2903" s="185">
        <f t="array" ref="B2903">IF(F2903="VL","",IF(F2903="Free","Free",XLOOKUP(D2903,Roster!T:T,Roster!S:S,"",0)))</f>
        <v>131</v>
      </c>
      <c r="C2903" s="313">
        <v>46136.0</v>
      </c>
      <c r="D2903" s="314" t="s">
        <v>69</v>
      </c>
      <c r="E2903" s="307" t="str">
        <f t="array" ref="E2903">(XLOOKUP(D2903,Roster!F:F,Roster!B:B,"",0))</f>
        <v>Salma Giraldo</v>
      </c>
      <c r="F2903" s="315" t="str">
        <f t="array" ref="F2903">IF(B2903=100,"Free",TEXT(XLOOKUP($D2903,OperationVoice!$A:$A,OperationVoice!AD:AD,XLOOKUP($D2903,OperationTickets!$A:$A,OperationTickets!AD:AD,"",0)),"hh:mm"))</f>
        <v>08:00</v>
      </c>
      <c r="G2903" s="309">
        <f t="shared" si="3"/>
        <v>0.7083333333</v>
      </c>
      <c r="H2903" s="316" t="str">
        <f t="array" ref="H2903">XLOOKUP(B2903,Roster!L:L,Roster!N:N,XLOOKUP(D2903,TicketsBreak!A:A,TicketsBreak!E:E,"",0),0)</f>
        <v>10:15 - 10:30</v>
      </c>
      <c r="I2903" s="316" t="str">
        <f t="array" ref="I2903">XLOOKUP(B2903,Roster!L:L,Roster!O:O,XLOOKUP(D2903,TicketsBreak!A:A,TicketsBreak!F:F,"",0),0)</f>
        <v>12:30 - 13:00</v>
      </c>
      <c r="J2903" s="316" t="str">
        <f t="array" ref="J2903">XLOOKUP(B2903,Roster!L:L,Roster!P:P,XLOOKUP(D2903,TicketsBreak!A:A,TicketsBreak!G:G,"",0),0)</f>
        <v>15:15 - 15:30</v>
      </c>
      <c r="K2903" s="310">
        <f t="shared" si="4"/>
        <v>46136</v>
      </c>
      <c r="L2903" s="317">
        <f t="array" ref="L2903">(XLOOKUP(D2903,Roster!F:F,Roster!D:D,"",0))</f>
        <v>35</v>
      </c>
      <c r="M2903" s="317" t="str">
        <f t="array" ref="M2903">XLOOKUP(D2903,Roster!F:F,Roster!E:E)</f>
        <v>Voice</v>
      </c>
      <c r="N2903" s="317" t="str">
        <f t="shared" ref="N2903:P2903" si="2945">LEFT(H2903,5)</f>
        <v>10:15</v>
      </c>
      <c r="O2903" s="317" t="str">
        <f t="shared" si="2945"/>
        <v>12:30</v>
      </c>
      <c r="P2903" s="317" t="str">
        <f t="shared" si="2945"/>
        <v>15:15</v>
      </c>
      <c r="Q2903" s="318">
        <f t="shared" si="2933"/>
        <v>46136.42708</v>
      </c>
      <c r="R2903" s="318">
        <f t="shared" si="2934"/>
        <v>46136.52083</v>
      </c>
      <c r="S2903" s="318">
        <f t="shared" si="8"/>
        <v>46136.63542</v>
      </c>
    </row>
    <row r="2904">
      <c r="A2904" s="14" t="str">
        <f t="shared" si="1"/>
        <v>C93346136</v>
      </c>
      <c r="B2904" s="185">
        <f t="array" ref="B2904">IF(F2904="VL","",IF(F2904="Free","Free",XLOOKUP(D2904,Roster!T:T,Roster!S:S,"",0)))</f>
        <v>124</v>
      </c>
      <c r="C2904" s="313">
        <v>46136.0</v>
      </c>
      <c r="D2904" s="314" t="s">
        <v>70</v>
      </c>
      <c r="E2904" s="307" t="str">
        <f t="array" ref="E2904">(XLOOKUP(D2904,Roster!F:F,Roster!B:B,"",0))</f>
        <v>Salome Arias</v>
      </c>
      <c r="F2904" s="315" t="str">
        <f t="array" ref="F2904">IF(B2904=100,"Free",TEXT(XLOOKUP($D2904,OperationVoice!$A:$A,OperationVoice!AD:AD,XLOOKUP($D2904,OperationTickets!$A:$A,OperationTickets!AD:AD,"",0)),"hh:mm"))</f>
        <v>08:00</v>
      </c>
      <c r="G2904" s="309">
        <f t="shared" si="3"/>
        <v>0.7083333333</v>
      </c>
      <c r="H2904" s="316" t="str">
        <f t="array" ref="H2904">XLOOKUP(B2904,Roster!L:L,Roster!N:N,XLOOKUP(D2904,TicketsBreak!A:A,TicketsBreak!E:E,"",0),0)</f>
        <v>10:00 - 10:15</v>
      </c>
      <c r="I2904" s="316" t="str">
        <f t="array" ref="I2904">XLOOKUP(B2904,Roster!L:L,Roster!O:O,XLOOKUP(D2904,TicketsBreak!A:A,TicketsBreak!F:F,"",0),0)</f>
        <v>13:00 - 13:30</v>
      </c>
      <c r="J2904" s="316" t="str">
        <f t="array" ref="J2904">XLOOKUP(B2904,Roster!L:L,Roster!P:P,XLOOKUP(D2904,TicketsBreak!A:A,TicketsBreak!G:G,"",0),0)</f>
        <v>15:30 - 15:45</v>
      </c>
      <c r="K2904" s="310">
        <f t="shared" si="4"/>
        <v>46136</v>
      </c>
      <c r="L2904" s="317">
        <f t="array" ref="L2904">(XLOOKUP(D2904,Roster!F:F,Roster!D:D,"",0))</f>
        <v>12</v>
      </c>
      <c r="M2904" s="317" t="str">
        <f t="array" ref="M2904">XLOOKUP(D2904,Roster!F:F,Roster!E:E)</f>
        <v>Voice</v>
      </c>
      <c r="N2904" s="317" t="str">
        <f t="shared" ref="N2904:P2904" si="2946">LEFT(H2904,5)</f>
        <v>10:00</v>
      </c>
      <c r="O2904" s="317" t="str">
        <f t="shared" si="2946"/>
        <v>13:00</v>
      </c>
      <c r="P2904" s="317" t="str">
        <f t="shared" si="2946"/>
        <v>15:30</v>
      </c>
      <c r="Q2904" s="318">
        <f t="shared" si="2933"/>
        <v>46136.41667</v>
      </c>
      <c r="R2904" s="318">
        <f t="shared" si="2934"/>
        <v>46136.54167</v>
      </c>
      <c r="S2904" s="318">
        <f t="shared" si="8"/>
        <v>46136.64583</v>
      </c>
    </row>
    <row r="2905">
      <c r="A2905" s="14" t="str">
        <f t="shared" si="1"/>
        <v>C128246136</v>
      </c>
      <c r="B2905" s="185" t="str">
        <f t="array" ref="B2905">IF(F2905="VL","",IF(F2905="Free","Free",XLOOKUP(D2905,Roster!T:T,Roster!S:S,"",0)))</f>
        <v/>
      </c>
      <c r="C2905" s="313">
        <v>46136.0</v>
      </c>
      <c r="D2905" s="314" t="s">
        <v>168</v>
      </c>
      <c r="E2905" s="307" t="str">
        <f t="array" ref="E2905">(XLOOKUP(D2905,Roster!F:F,Roster!B:B,"",0))</f>
        <v>Samuel Acevedo</v>
      </c>
      <c r="F2905" s="315" t="str">
        <f t="array" ref="F2905">IF(B2905=100,"Free",TEXT(XLOOKUP($D2905,OperationVoice!$A:$A,OperationVoice!AD:AD,XLOOKUP($D2905,OperationTickets!$A:$A,OperationTickets!AD:AD,"",0)),"hh:mm"))</f>
        <v>08:00</v>
      </c>
      <c r="G2905" s="309">
        <f t="shared" si="3"/>
        <v>0.7083333333</v>
      </c>
      <c r="H2905" s="316" t="str">
        <f t="array" ref="H2905">XLOOKUP(B2905,Roster!L:L,Roster!N:N,XLOOKUP(D2905,TicketsBreak!A:A,TicketsBreak!E:E,"",0),0)</f>
        <v/>
      </c>
      <c r="I2905" s="316" t="str">
        <f t="array" ref="I2905">XLOOKUP(B2905,Roster!L:L,Roster!O:O,XLOOKUP(D2905,TicketsBreak!A:A,TicketsBreak!F:F,"",0),0)</f>
        <v/>
      </c>
      <c r="J2905" s="316" t="str">
        <f t="array" ref="J2905">XLOOKUP(B2905,Roster!L:L,Roster!P:P,XLOOKUP(D2905,TicketsBreak!A:A,TicketsBreak!G:G,"",0),0)</f>
        <v/>
      </c>
      <c r="K2905" s="310">
        <f t="shared" si="4"/>
        <v>46136</v>
      </c>
      <c r="L2905" s="317">
        <f t="array" ref="L2905">(XLOOKUP(D2905,Roster!F:F,Roster!D:D,"",0))</f>
        <v>27</v>
      </c>
      <c r="M2905" s="317" t="str">
        <f t="array" ref="M2905">XLOOKUP(D2905,Roster!F:F,Roster!E:E)</f>
        <v>Tickets</v>
      </c>
      <c r="N2905" s="317" t="str">
        <f t="shared" ref="N2905:P2905" si="2947">LEFT(H2905,5)</f>
        <v/>
      </c>
      <c r="O2905" s="317" t="str">
        <f t="shared" si="2947"/>
        <v/>
      </c>
      <c r="P2905" s="317" t="str">
        <f t="shared" si="2947"/>
        <v/>
      </c>
      <c r="Q2905" s="318" t="str">
        <f t="shared" si="2933"/>
        <v/>
      </c>
      <c r="R2905" s="318" t="str">
        <f t="shared" si="2934"/>
        <v/>
      </c>
      <c r="S2905" s="318" t="str">
        <f t="shared" si="8"/>
        <v/>
      </c>
    </row>
    <row r="2906">
      <c r="A2906" s="14" t="str">
        <f t="shared" si="1"/>
        <v>C156446136</v>
      </c>
      <c r="B2906" s="185">
        <f t="array" ref="B2906">IF(F2906="VL","",IF(F2906="Free","Free",XLOOKUP(D2906,Roster!T:T,Roster!S:S,"",0)))</f>
        <v>121</v>
      </c>
      <c r="C2906" s="313">
        <v>46136.0</v>
      </c>
      <c r="D2906" s="314" t="s">
        <v>71</v>
      </c>
      <c r="E2906" s="307" t="str">
        <f t="array" ref="E2906">(XLOOKUP(D2906,Roster!F:F,Roster!B:B,"",0))</f>
        <v>Samuel Acevedo Cadavid</v>
      </c>
      <c r="F2906" s="315" t="str">
        <f t="array" ref="F2906">IF(B2906=100,"Free",TEXT(XLOOKUP($D2906,OperationVoice!$A:$A,OperationVoice!AD:AD,XLOOKUP($D2906,OperationTickets!$A:$A,OperationTickets!AD:AD,"",0)),"hh:mm"))</f>
        <v>11:00</v>
      </c>
      <c r="G2906" s="309">
        <f t="shared" si="3"/>
        <v>0.8333333333</v>
      </c>
      <c r="H2906" s="316" t="str">
        <f t="array" ref="H2906">XLOOKUP(B2906,Roster!L:L,Roster!N:N,XLOOKUP(D2906,TicketsBreak!A:A,TicketsBreak!E:E,"",0),0)</f>
        <v>09:15 - 09:30</v>
      </c>
      <c r="I2906" s="316" t="str">
        <f t="array" ref="I2906">XLOOKUP(B2906,Roster!L:L,Roster!O:O,XLOOKUP(D2906,TicketsBreak!A:A,TicketsBreak!F:F,"",0),0)</f>
        <v>11:30 - 12:00</v>
      </c>
      <c r="J2906" s="316" t="str">
        <f t="array" ref="J2906">XLOOKUP(B2906,Roster!L:L,Roster!P:P,XLOOKUP(D2906,TicketsBreak!A:A,TicketsBreak!G:G,"",0),0)</f>
        <v>14:30 - 14:45</v>
      </c>
      <c r="K2906" s="310">
        <f t="shared" si="4"/>
        <v>46136</v>
      </c>
      <c r="L2906" s="317">
        <f t="array" ref="L2906">(XLOOKUP(D2906,Roster!F:F,Roster!D:D,"",0))</f>
        <v>38</v>
      </c>
      <c r="M2906" s="317" t="str">
        <f t="array" ref="M2906">XLOOKUP(D2906,Roster!F:F,Roster!E:E)</f>
        <v>Voice</v>
      </c>
      <c r="N2906" s="317" t="str">
        <f t="shared" ref="N2906:P2906" si="2948">LEFT(H2906,5)</f>
        <v>09:15</v>
      </c>
      <c r="O2906" s="317" t="str">
        <f t="shared" si="2948"/>
        <v>11:30</v>
      </c>
      <c r="P2906" s="317" t="str">
        <f t="shared" si="2948"/>
        <v>14:30</v>
      </c>
      <c r="Q2906" s="318">
        <f t="shared" si="2933"/>
        <v>46136.38542</v>
      </c>
      <c r="R2906" s="318">
        <f t="shared" si="2934"/>
        <v>46136.47917</v>
      </c>
      <c r="S2906" s="318">
        <f t="shared" si="8"/>
        <v>46136.60417</v>
      </c>
    </row>
    <row r="2907">
      <c r="A2907" s="14" t="str">
        <f t="shared" si="1"/>
        <v>C116846136</v>
      </c>
      <c r="B2907" s="185">
        <f t="array" ref="B2907">IF(F2907="VL","",IF(F2907="Free","Free",XLOOKUP(D2907,Roster!T:T,Roster!S:S,"",0)))</f>
        <v>125</v>
      </c>
      <c r="C2907" s="313">
        <v>46136.0</v>
      </c>
      <c r="D2907" s="314" t="s">
        <v>180</v>
      </c>
      <c r="E2907" s="307" t="str">
        <f t="array" ref="E2907">(XLOOKUP(D2907,Roster!F:F,Roster!B:B,"",0))</f>
        <v>Santiago Gaviria</v>
      </c>
      <c r="F2907" s="315" t="str">
        <f t="array" ref="F2907">IF(B2907=100,"Free",TEXT(XLOOKUP($D2907,OperationVoice!$A:$A,OperationVoice!AD:AD,XLOOKUP($D2907,OperationTickets!$A:$A,OperationTickets!AD:AD,"",0)),"hh:mm"))</f>
        <v>08:00</v>
      </c>
      <c r="G2907" s="309">
        <f t="shared" si="3"/>
        <v>0.7083333333</v>
      </c>
      <c r="H2907" s="316" t="str">
        <f t="array" ref="H2907">XLOOKUP(B2907,Roster!L:L,Roster!N:N,XLOOKUP(D2907,TicketsBreak!A:A,TicketsBreak!E:E,"",0),0)</f>
        <v>10:30 - 10:45</v>
      </c>
      <c r="I2907" s="316" t="str">
        <f t="array" ref="I2907">XLOOKUP(B2907,Roster!L:L,Roster!O:O,XLOOKUP(D2907,TicketsBreak!A:A,TicketsBreak!F:F,"",0),0)</f>
        <v>13:30 - 14:00</v>
      </c>
      <c r="J2907" s="316" t="str">
        <f t="array" ref="J2907">XLOOKUP(B2907,Roster!L:L,Roster!P:P,XLOOKUP(D2907,TicketsBreak!A:A,TicketsBreak!G:G,"",0),0)</f>
        <v>15:45 - 16:00</v>
      </c>
      <c r="K2907" s="310">
        <f t="shared" si="4"/>
        <v>46136</v>
      </c>
      <c r="L2907" s="317">
        <f t="array" ref="L2907">(XLOOKUP(D2907,Roster!F:F,Roster!D:D,"",0))</f>
        <v>24</v>
      </c>
      <c r="M2907" s="317" t="str">
        <f t="array" ref="M2907">XLOOKUP(D2907,Roster!F:F,Roster!E:E)</f>
        <v>Tickets</v>
      </c>
      <c r="N2907" s="317" t="str">
        <f t="shared" ref="N2907:P2907" si="2949">LEFT(H2907,5)</f>
        <v>10:30</v>
      </c>
      <c r="O2907" s="317" t="str">
        <f t="shared" si="2949"/>
        <v>13:30</v>
      </c>
      <c r="P2907" s="317" t="str">
        <f t="shared" si="2949"/>
        <v>15:45</v>
      </c>
      <c r="Q2907" s="318">
        <f t="shared" si="2933"/>
        <v>46136.4375</v>
      </c>
      <c r="R2907" s="318">
        <f t="shared" si="2934"/>
        <v>46136.5625</v>
      </c>
      <c r="S2907" s="318">
        <f t="shared" si="8"/>
        <v>46136.65625</v>
      </c>
    </row>
    <row r="2908">
      <c r="A2908" s="14" t="str">
        <f t="shared" si="1"/>
        <v>C122046136</v>
      </c>
      <c r="B2908" s="185" t="str">
        <f t="array" ref="B2908">IF(F2908="VL","",IF(F2908="Free","Free",XLOOKUP(D2908,Roster!T:T,Roster!S:S,"",0)))</f>
        <v/>
      </c>
      <c r="C2908" s="313">
        <v>46136.0</v>
      </c>
      <c r="D2908" s="314" t="s">
        <v>181</v>
      </c>
      <c r="E2908" s="307" t="str">
        <f t="array" ref="E2908">(XLOOKUP(D2908,Roster!F:F,Roster!B:B,"",0))</f>
        <v>Santiago Gonzalez</v>
      </c>
      <c r="F2908" s="315" t="str">
        <f t="array" ref="F2908">IF(B2908=100,"Free",TEXT(XLOOKUP($D2908,OperationVoice!$A:$A,OperationVoice!AD:AD,XLOOKUP($D2908,OperationTickets!$A:$A,OperationTickets!AD:AD,"",0)),"hh:mm"))</f>
        <v>08:00</v>
      </c>
      <c r="G2908" s="309">
        <f t="shared" si="3"/>
        <v>0.7083333333</v>
      </c>
      <c r="H2908" s="316" t="str">
        <f t="array" ref="H2908">XLOOKUP(B2908,Roster!L:L,Roster!N:N,XLOOKUP(D2908,TicketsBreak!A:A,TicketsBreak!E:E,"",0),0)</f>
        <v/>
      </c>
      <c r="I2908" s="316" t="str">
        <f t="array" ref="I2908">XLOOKUP(B2908,Roster!L:L,Roster!O:O,XLOOKUP(D2908,TicketsBreak!A:A,TicketsBreak!F:F,"",0),0)</f>
        <v/>
      </c>
      <c r="J2908" s="316" t="str">
        <f t="array" ref="J2908">XLOOKUP(B2908,Roster!L:L,Roster!P:P,XLOOKUP(D2908,TicketsBreak!A:A,TicketsBreak!G:G,"",0),0)</f>
        <v/>
      </c>
      <c r="K2908" s="310">
        <f t="shared" si="4"/>
        <v>46136</v>
      </c>
      <c r="L2908" s="317">
        <f t="array" ref="L2908">(XLOOKUP(D2908,Roster!F:F,Roster!D:D,"",0))</f>
        <v>26</v>
      </c>
      <c r="M2908" s="317" t="str">
        <f t="array" ref="M2908">XLOOKUP(D2908,Roster!F:F,Roster!E:E)</f>
        <v>Tickets</v>
      </c>
      <c r="N2908" s="317" t="str">
        <f t="shared" ref="N2908:P2908" si="2950">LEFT(H2908,5)</f>
        <v/>
      </c>
      <c r="O2908" s="317" t="str">
        <f t="shared" si="2950"/>
        <v/>
      </c>
      <c r="P2908" s="317" t="str">
        <f t="shared" si="2950"/>
        <v/>
      </c>
      <c r="Q2908" s="318" t="str">
        <f t="shared" si="2933"/>
        <v/>
      </c>
      <c r="R2908" s="318" t="str">
        <f t="shared" si="2934"/>
        <v/>
      </c>
      <c r="S2908" s="318" t="str">
        <f t="shared" si="8"/>
        <v/>
      </c>
    </row>
    <row r="2909">
      <c r="A2909" s="14" t="str">
        <f t="shared" si="1"/>
        <v>C140646136</v>
      </c>
      <c r="B2909" s="185">
        <f t="array" ref="B2909">IF(F2909="VL","",IF(F2909="Free","Free",XLOOKUP(D2909,Roster!T:T,Roster!S:S,"",0)))</f>
        <v>152</v>
      </c>
      <c r="C2909" s="313">
        <v>46136.0</v>
      </c>
      <c r="D2909" s="314" t="s">
        <v>72</v>
      </c>
      <c r="E2909" s="307" t="str">
        <f t="array" ref="E2909">(XLOOKUP(D2909,Roster!F:F,Roster!B:B,"",0))</f>
        <v>Santiago Mora</v>
      </c>
      <c r="F2909" s="315" t="str">
        <f t="array" ref="F2909">IF(B2909=100,"Free",TEXT(XLOOKUP($D2909,OperationVoice!$A:$A,OperationVoice!AD:AD,XLOOKUP($D2909,OperationTickets!$A:$A,OperationTickets!AD:AD,"",0)),"hh:mm"))</f>
        <v>11:00</v>
      </c>
      <c r="G2909" s="309">
        <f t="shared" si="3"/>
        <v>0.8333333333</v>
      </c>
      <c r="H2909" s="316" t="str">
        <f t="array" ref="H2909">XLOOKUP(B2909,Roster!L:L,Roster!N:N,XLOOKUP(D2909,TicketsBreak!A:A,TicketsBreak!E:E,"",0),0)</f>
        <v>12:30 - 12:45</v>
      </c>
      <c r="I2909" s="316" t="str">
        <f t="array" ref="I2909">XLOOKUP(B2909,Roster!L:L,Roster!O:O,XLOOKUP(D2909,TicketsBreak!A:A,TicketsBreak!F:F,"",0),0)</f>
        <v>14:30 - 15:00</v>
      </c>
      <c r="J2909" s="316" t="str">
        <f t="array" ref="J2909">XLOOKUP(B2909,Roster!L:L,Roster!P:P,XLOOKUP(D2909,TicketsBreak!A:A,TicketsBreak!G:G,"",0),0)</f>
        <v>17:30 - 17:45</v>
      </c>
      <c r="K2909" s="310">
        <f t="shared" si="4"/>
        <v>46136</v>
      </c>
      <c r="L2909" s="317">
        <f t="array" ref="L2909">(XLOOKUP(D2909,Roster!F:F,Roster!D:D,"",0))</f>
        <v>35</v>
      </c>
      <c r="M2909" s="317" t="str">
        <f t="array" ref="M2909">XLOOKUP(D2909,Roster!F:F,Roster!E:E)</f>
        <v>Voice</v>
      </c>
      <c r="N2909" s="317" t="str">
        <f t="shared" ref="N2909:P2909" si="2951">LEFT(H2909,5)</f>
        <v>12:30</v>
      </c>
      <c r="O2909" s="317" t="str">
        <f t="shared" si="2951"/>
        <v>14:30</v>
      </c>
      <c r="P2909" s="317" t="str">
        <f t="shared" si="2951"/>
        <v>17:30</v>
      </c>
      <c r="Q2909" s="318">
        <f t="shared" si="2933"/>
        <v>46136.52083</v>
      </c>
      <c r="R2909" s="318">
        <f t="shared" si="2934"/>
        <v>46136.60417</v>
      </c>
      <c r="S2909" s="318">
        <f t="shared" si="8"/>
        <v>46136.72917</v>
      </c>
    </row>
    <row r="2910">
      <c r="A2910" s="14" t="str">
        <f t="shared" si="1"/>
        <v>C119946136</v>
      </c>
      <c r="B2910" s="185" t="str">
        <f t="array" ref="B2910">IF(F2910="VL","",IF(F2910="Free","Free",XLOOKUP(D2910,Roster!T:T,Roster!S:S,"",0)))</f>
        <v/>
      </c>
      <c r="C2910" s="313">
        <v>46136.0</v>
      </c>
      <c r="D2910" s="314" t="s">
        <v>182</v>
      </c>
      <c r="E2910" s="307" t="str">
        <f t="array" ref="E2910">(XLOOKUP(D2910,Roster!F:F,Roster!B:B,"",0))</f>
        <v>Santiago Velasquez</v>
      </c>
      <c r="F2910" s="315" t="str">
        <f t="array" ref="F2910">IF(B2910=100,"Free",TEXT(XLOOKUP($D2910,OperationVoice!$A:$A,OperationVoice!AD:AD,XLOOKUP($D2910,OperationTickets!$A:$A,OperationTickets!AD:AD,"",0)),"hh:mm"))</f>
        <v>08:00</v>
      </c>
      <c r="G2910" s="309">
        <f t="shared" si="3"/>
        <v>0.7083333333</v>
      </c>
      <c r="H2910" s="316" t="str">
        <f t="array" ref="H2910">XLOOKUP(B2910,Roster!L:L,Roster!N:N,XLOOKUP(D2910,TicketsBreak!A:A,TicketsBreak!E:E,"",0),0)</f>
        <v/>
      </c>
      <c r="I2910" s="316" t="str">
        <f t="array" ref="I2910">XLOOKUP(B2910,Roster!L:L,Roster!O:O,XLOOKUP(D2910,TicketsBreak!A:A,TicketsBreak!F:F,"",0),0)</f>
        <v/>
      </c>
      <c r="J2910" s="316" t="str">
        <f t="array" ref="J2910">XLOOKUP(B2910,Roster!L:L,Roster!P:P,XLOOKUP(D2910,TicketsBreak!A:A,TicketsBreak!G:G,"",0),0)</f>
        <v/>
      </c>
      <c r="K2910" s="310">
        <f t="shared" si="4"/>
        <v>46136</v>
      </c>
      <c r="L2910" s="317">
        <f t="array" ref="L2910">(XLOOKUP(D2910,Roster!F:F,Roster!D:D,"",0))</f>
        <v>25</v>
      </c>
      <c r="M2910" s="317" t="str">
        <f t="array" ref="M2910">XLOOKUP(D2910,Roster!F:F,Roster!E:E)</f>
        <v>Tickets</v>
      </c>
      <c r="N2910" s="317" t="str">
        <f t="shared" ref="N2910:P2910" si="2952">LEFT(H2910,5)</f>
        <v/>
      </c>
      <c r="O2910" s="317" t="str">
        <f t="shared" si="2952"/>
        <v/>
      </c>
      <c r="P2910" s="317" t="str">
        <f t="shared" si="2952"/>
        <v/>
      </c>
      <c r="Q2910" s="318" t="str">
        <f t="shared" si="2933"/>
        <v/>
      </c>
      <c r="R2910" s="318" t="str">
        <f t="shared" si="2934"/>
        <v/>
      </c>
      <c r="S2910" s="318" t="str">
        <f t="shared" si="8"/>
        <v/>
      </c>
    </row>
    <row r="2911">
      <c r="A2911" s="14" t="str">
        <f t="shared" si="1"/>
        <v>C90246136</v>
      </c>
      <c r="B2911" s="185" t="str">
        <f t="array" ref="B2911">IF(F2911="VL","",IF(F2911="Free","Free",XLOOKUP(D2911,Roster!T:T,Roster!S:S,"",0)))</f>
        <v/>
      </c>
      <c r="C2911" s="313">
        <v>46136.0</v>
      </c>
      <c r="D2911" s="314" t="s">
        <v>150</v>
      </c>
      <c r="E2911" s="307" t="str">
        <f t="array" ref="E2911">(XLOOKUP(D2911,Roster!F:F,Roster!B:B,"",0))</f>
        <v>Sebastiam Vallejo</v>
      </c>
      <c r="F2911" s="315" t="str">
        <f t="array" ref="F2911">IF(B2911=100,"Free",TEXT(XLOOKUP($D2911,OperationVoice!$A:$A,OperationVoice!AD:AD,XLOOKUP($D2911,OperationTickets!$A:$A,OperationTickets!AD:AD,"",0)),"hh:mm"))</f>
        <v>08:00</v>
      </c>
      <c r="G2911" s="309">
        <f t="shared" si="3"/>
        <v>0.7083333333</v>
      </c>
      <c r="H2911" s="316">
        <f t="array" ref="H2911">XLOOKUP(B2911,Roster!L:L,Roster!N:N,XLOOKUP(D2911,TicketsBreak!A:A,TicketsBreak!E:E,"",0),0)</f>
        <v>0.4375</v>
      </c>
      <c r="I2911" s="316">
        <f t="array" ref="I2911">XLOOKUP(B2911,Roster!L:L,Roster!O:O,XLOOKUP(D2911,TicketsBreak!A:A,TicketsBreak!F:F,"",0),0)</f>
        <v>0.6041666667</v>
      </c>
      <c r="J2911" s="316">
        <f t="array" ref="J2911">XLOOKUP(B2911,Roster!L:L,Roster!P:P,XLOOKUP(D2911,TicketsBreak!A:A,TicketsBreak!G:G,"",0),0)</f>
        <v>0.65625</v>
      </c>
      <c r="K2911" s="310">
        <f t="shared" si="4"/>
        <v>46136</v>
      </c>
      <c r="L2911" s="317">
        <f t="array" ref="L2911">(XLOOKUP(D2911,Roster!F:F,Roster!D:D,"",0))</f>
        <v>11</v>
      </c>
      <c r="M2911" s="317" t="str">
        <f t="array" ref="M2911">XLOOKUP(D2911,Roster!F:F,Roster!E:E)</f>
        <v>Tickets</v>
      </c>
      <c r="N2911" s="317" t="str">
        <f t="shared" ref="N2911:P2911" si="2953">LEFT(H2911,5)</f>
        <v>10:30</v>
      </c>
      <c r="O2911" s="317" t="str">
        <f t="shared" si="2953"/>
        <v>14:30</v>
      </c>
      <c r="P2911" s="317" t="str">
        <f t="shared" si="2953"/>
        <v>15:45</v>
      </c>
      <c r="Q2911" s="318">
        <f t="shared" si="2933"/>
        <v>46136.4375</v>
      </c>
      <c r="R2911" s="318">
        <f t="shared" si="2934"/>
        <v>46136.60417</v>
      </c>
      <c r="S2911" s="318">
        <f t="shared" si="8"/>
        <v>46136.65625</v>
      </c>
    </row>
    <row r="2912">
      <c r="A2912" s="14" t="str">
        <f t="shared" si="1"/>
        <v>C150646136</v>
      </c>
      <c r="B2912" s="185">
        <f t="array" ref="B2912">IF(F2912="VL","",IF(F2912="Free","Free",XLOOKUP(D2912,Roster!T:T,Roster!S:S,"",0)))</f>
        <v>153</v>
      </c>
      <c r="C2912" s="313">
        <v>46136.0</v>
      </c>
      <c r="D2912" s="314" t="s">
        <v>73</v>
      </c>
      <c r="E2912" s="307" t="str">
        <f t="array" ref="E2912">(XLOOKUP(D2912,Roster!F:F,Roster!B:B,"",0))</f>
        <v>Sebastian Agudelo Londono</v>
      </c>
      <c r="F2912" s="315" t="str">
        <f t="array" ref="F2912">IF(B2912=100,"Free",TEXT(XLOOKUP($D2912,OperationVoice!$A:$A,OperationVoice!AD:AD,XLOOKUP($D2912,OperationTickets!$A:$A,OperationTickets!AD:AD,"",0)),"hh:mm"))</f>
        <v>11:00</v>
      </c>
      <c r="G2912" s="309">
        <f t="shared" si="3"/>
        <v>0.8333333333</v>
      </c>
      <c r="H2912" s="316" t="str">
        <f t="array" ref="H2912">XLOOKUP(B2912,Roster!L:L,Roster!N:N,XLOOKUP(D2912,TicketsBreak!A:A,TicketsBreak!E:E,"",0),0)</f>
        <v>12:45 - 13:00</v>
      </c>
      <c r="I2912" s="316" t="str">
        <f t="array" ref="I2912">XLOOKUP(B2912,Roster!L:L,Roster!O:O,XLOOKUP(D2912,TicketsBreak!A:A,TicketsBreak!F:F,"",0),0)</f>
        <v>15:00 - 15:30</v>
      </c>
      <c r="J2912" s="316" t="str">
        <f t="array" ref="J2912">XLOOKUP(B2912,Roster!L:L,Roster!P:P,XLOOKUP(D2912,TicketsBreak!A:A,TicketsBreak!G:G,"",0),0)</f>
        <v>17:45 - 18:00</v>
      </c>
      <c r="K2912" s="310">
        <f t="shared" si="4"/>
        <v>46136</v>
      </c>
      <c r="L2912" s="317">
        <f t="array" ref="L2912">(XLOOKUP(D2912,Roster!F:F,Roster!D:D,"",0))</f>
        <v>35</v>
      </c>
      <c r="M2912" s="317" t="str">
        <f t="array" ref="M2912">XLOOKUP(D2912,Roster!F:F,Roster!E:E)</f>
        <v>Voice</v>
      </c>
      <c r="N2912" s="317" t="str">
        <f t="shared" ref="N2912:P2912" si="2954">LEFT(H2912,5)</f>
        <v>12:45</v>
      </c>
      <c r="O2912" s="317" t="str">
        <f t="shared" si="2954"/>
        <v>15:00</v>
      </c>
      <c r="P2912" s="317" t="str">
        <f t="shared" si="2954"/>
        <v>17:45</v>
      </c>
      <c r="Q2912" s="318">
        <f t="shared" si="2933"/>
        <v>46136.53125</v>
      </c>
      <c r="R2912" s="318">
        <f t="shared" si="2934"/>
        <v>46136.625</v>
      </c>
      <c r="S2912" s="318">
        <f t="shared" si="8"/>
        <v>46136.73958</v>
      </c>
    </row>
    <row r="2913">
      <c r="A2913" s="14" t="str">
        <f t="shared" si="1"/>
        <v>C119046136</v>
      </c>
      <c r="B2913" s="185" t="str">
        <f t="array" ref="B2913">IF(F2913="VL","",IF(F2913="Free","Free",XLOOKUP(D2913,Roster!T:T,Roster!S:S,"",0)))</f>
        <v/>
      </c>
      <c r="C2913" s="313">
        <v>46136.0</v>
      </c>
      <c r="D2913" s="314" t="s">
        <v>183</v>
      </c>
      <c r="E2913" s="307" t="str">
        <f t="array" ref="E2913">(XLOOKUP(D2913,Roster!F:F,Roster!B:B,"",0))</f>
        <v>Sebastian Herrera</v>
      </c>
      <c r="F2913" s="315" t="str">
        <f t="array" ref="F2913">IF(B2913=100,"Free",TEXT(XLOOKUP($D2913,OperationVoice!$A:$A,OperationVoice!AD:AD,XLOOKUP($D2913,OperationTickets!$A:$A,OperationTickets!AD:AD,"",0)),"hh:mm"))</f>
        <v>07:00</v>
      </c>
      <c r="G2913" s="309">
        <f t="shared" si="3"/>
        <v>0.6666666667</v>
      </c>
      <c r="H2913" s="316">
        <f t="array" ref="H2913">XLOOKUP(B2913,Roster!L:L,Roster!N:N,XLOOKUP(D2913,TicketsBreak!A:A,TicketsBreak!E:E,"",0),0)</f>
        <v>0.40625</v>
      </c>
      <c r="I2913" s="316">
        <f t="array" ref="I2913">XLOOKUP(B2913,Roster!L:L,Roster!O:O,XLOOKUP(D2913,TicketsBreak!A:A,TicketsBreak!F:F,"",0),0)</f>
        <v>0.5416666667</v>
      </c>
      <c r="J2913" s="316">
        <f t="array" ref="J2913">XLOOKUP(B2913,Roster!L:L,Roster!P:P,XLOOKUP(D2913,TicketsBreak!A:A,TicketsBreak!G:G,"",0),0)</f>
        <v>0.625</v>
      </c>
      <c r="K2913" s="310">
        <f t="shared" si="4"/>
        <v>46136</v>
      </c>
      <c r="L2913" s="317">
        <f t="array" ref="L2913">(XLOOKUP(D2913,Roster!F:F,Roster!D:D,"",0))</f>
        <v>25</v>
      </c>
      <c r="M2913" s="317" t="str">
        <f t="array" ref="M2913">XLOOKUP(D2913,Roster!F:F,Roster!E:E)</f>
        <v>Tickets</v>
      </c>
      <c r="N2913" s="317" t="str">
        <f t="shared" ref="N2913:P2913" si="2955">LEFT(H2913,5)</f>
        <v>09:45</v>
      </c>
      <c r="O2913" s="317" t="str">
        <f t="shared" si="2955"/>
        <v>13:00</v>
      </c>
      <c r="P2913" s="317" t="str">
        <f t="shared" si="2955"/>
        <v>15:00</v>
      </c>
      <c r="Q2913" s="318">
        <f t="shared" si="2933"/>
        <v>46136.40625</v>
      </c>
      <c r="R2913" s="318">
        <f t="shared" si="2934"/>
        <v>46136.54167</v>
      </c>
      <c r="S2913" s="318">
        <f t="shared" si="8"/>
        <v>46136.625</v>
      </c>
    </row>
    <row r="2914">
      <c r="A2914" s="14" t="str">
        <f t="shared" si="1"/>
        <v>C71046136</v>
      </c>
      <c r="B2914" s="185" t="str">
        <f t="array" ref="B2914">IF(F2914="VL","",IF(F2914="Free","Free",XLOOKUP(D2914,Roster!T:T,Roster!S:S,"",0)))</f>
        <v/>
      </c>
      <c r="C2914" s="313">
        <v>46136.0</v>
      </c>
      <c r="D2914" s="314" t="s">
        <v>184</v>
      </c>
      <c r="E2914" s="307" t="str">
        <f t="array" ref="E2914">(XLOOKUP(D2914,Roster!F:F,Roster!B:B,"",0))</f>
        <v>Sebastian Martinez</v>
      </c>
      <c r="F2914" s="315" t="str">
        <f t="array" ref="F2914">IF(B2914=100,"Free",TEXT(XLOOKUP($D2914,OperationVoice!$A:$A,OperationVoice!AD:AD,XLOOKUP($D2914,OperationTickets!$A:$A,OperationTickets!AD:AD,"",0)),"hh:mm"))</f>
        <v>08:00</v>
      </c>
      <c r="G2914" s="309">
        <f t="shared" si="3"/>
        <v>0.7083333333</v>
      </c>
      <c r="H2914" s="316">
        <f t="array" ref="H2914">XLOOKUP(B2914,Roster!L:L,Roster!N:N,XLOOKUP(D2914,TicketsBreak!A:A,TicketsBreak!E:E,"",0),0)</f>
        <v>0.40625</v>
      </c>
      <c r="I2914" s="316">
        <f t="array" ref="I2914">XLOOKUP(B2914,Roster!L:L,Roster!O:O,XLOOKUP(D2914,TicketsBreak!A:A,TicketsBreak!F:F,"",0),0)</f>
        <v>0.5625</v>
      </c>
      <c r="J2914" s="316">
        <f t="array" ref="J2914">XLOOKUP(B2914,Roster!L:L,Roster!P:P,XLOOKUP(D2914,TicketsBreak!A:A,TicketsBreak!G:G,"",0),0)</f>
        <v>0.65625</v>
      </c>
      <c r="K2914" s="310">
        <f t="shared" si="4"/>
        <v>46136</v>
      </c>
      <c r="L2914" s="317">
        <f t="array" ref="L2914">(XLOOKUP(D2914,Roster!F:F,Roster!D:D,"",0))</f>
        <v>6</v>
      </c>
      <c r="M2914" s="317" t="str">
        <f t="array" ref="M2914">XLOOKUP(D2914,Roster!F:F,Roster!E:E)</f>
        <v>Tickets</v>
      </c>
      <c r="N2914" s="317" t="str">
        <f t="shared" ref="N2914:P2914" si="2956">LEFT(H2914,5)</f>
        <v>09:45</v>
      </c>
      <c r="O2914" s="317" t="str">
        <f t="shared" si="2956"/>
        <v>13:30</v>
      </c>
      <c r="P2914" s="317" t="str">
        <f t="shared" si="2956"/>
        <v>15:45</v>
      </c>
      <c r="Q2914" s="318">
        <f t="shared" si="2933"/>
        <v>46136.40625</v>
      </c>
      <c r="R2914" s="318">
        <f t="shared" si="2934"/>
        <v>46136.5625</v>
      </c>
      <c r="S2914" s="318">
        <f t="shared" si="8"/>
        <v>46136.65625</v>
      </c>
    </row>
    <row r="2915">
      <c r="A2915" s="14" t="str">
        <f t="shared" si="1"/>
        <v>C72346136</v>
      </c>
      <c r="B2915" s="185" t="str">
        <f t="array" ref="B2915">IF(F2915="VL","",IF(F2915="Free","Free",XLOOKUP(D2915,Roster!T:T,Roster!S:S,"",0)))</f>
        <v/>
      </c>
      <c r="C2915" s="313">
        <v>46136.0</v>
      </c>
      <c r="D2915" s="314" t="s">
        <v>169</v>
      </c>
      <c r="E2915" s="307" t="str">
        <f t="array" ref="E2915">(XLOOKUP(D2915,Roster!F:F,Roster!B:B,"",0))</f>
        <v>Sebastian Parra</v>
      </c>
      <c r="F2915" s="315" t="str">
        <f t="array" ref="F2915">IF(B2915=100,"Free",TEXT(XLOOKUP($D2915,OperationVoice!$A:$A,OperationVoice!AD:AD,XLOOKUP($D2915,OperationTickets!$A:$A,OperationTickets!AD:AD,"",0)),"hh:mm"))</f>
        <v>08:00</v>
      </c>
      <c r="G2915" s="309">
        <f t="shared" si="3"/>
        <v>0.7083333333</v>
      </c>
      <c r="H2915" s="316">
        <f t="array" ref="H2915">XLOOKUP(B2915,Roster!L:L,Roster!N:N,XLOOKUP(D2915,TicketsBreak!A:A,TicketsBreak!E:E,"",0),0)</f>
        <v>0.4166666667</v>
      </c>
      <c r="I2915" s="316">
        <f t="array" ref="I2915">XLOOKUP(B2915,Roster!L:L,Roster!O:O,XLOOKUP(D2915,TicketsBreak!A:A,TicketsBreak!F:F,"",0),0)</f>
        <v>0.5347222222</v>
      </c>
      <c r="J2915" s="316">
        <f t="array" ref="J2915">XLOOKUP(B2915,Roster!L:L,Roster!P:P,XLOOKUP(D2915,TicketsBreak!A:A,TicketsBreak!G:G,"",0),0)</f>
        <v>0.65625</v>
      </c>
      <c r="K2915" s="310">
        <f t="shared" si="4"/>
        <v>46136</v>
      </c>
      <c r="L2915" s="317">
        <f t="array" ref="L2915">(XLOOKUP(D2915,Roster!F:F,Roster!D:D,"",0))</f>
        <v>7</v>
      </c>
      <c r="M2915" s="317" t="str">
        <f t="array" ref="M2915">XLOOKUP(D2915,Roster!F:F,Roster!E:E)</f>
        <v>Tickets</v>
      </c>
      <c r="N2915" s="317" t="str">
        <f t="shared" ref="N2915:P2915" si="2957">LEFT(H2915,5)</f>
        <v>10:00</v>
      </c>
      <c r="O2915" s="317" t="str">
        <f t="shared" si="2957"/>
        <v>12:50</v>
      </c>
      <c r="P2915" s="317" t="str">
        <f t="shared" si="2957"/>
        <v>15:45</v>
      </c>
      <c r="Q2915" s="318">
        <f t="shared" si="2933"/>
        <v>46136.41667</v>
      </c>
      <c r="R2915" s="318">
        <f t="shared" si="2934"/>
        <v>46136.53472</v>
      </c>
      <c r="S2915" s="318">
        <f t="shared" si="8"/>
        <v>46136.65625</v>
      </c>
    </row>
    <row r="2916">
      <c r="A2916" s="14" t="str">
        <f t="shared" si="1"/>
        <v>C137646136</v>
      </c>
      <c r="B2916" s="185" t="str">
        <f t="array" ref="B2916">IF(F2916="VL","",IF(F2916="Free","Free",XLOOKUP(D2916,Roster!T:T,Roster!S:S,"",0)))</f>
        <v/>
      </c>
      <c r="C2916" s="313">
        <v>46136.0</v>
      </c>
      <c r="D2916" s="314" t="s">
        <v>151</v>
      </c>
      <c r="E2916" s="307" t="str">
        <f t="array" ref="E2916">(XLOOKUP(D2916,Roster!F:F,Roster!B:B,"",0))</f>
        <v>Sebastian Quiroz</v>
      </c>
      <c r="F2916" s="315" t="str">
        <f t="array" ref="F2916">IF(B2916=100,"Free",TEXT(XLOOKUP($D2916,OperationVoice!$A:$A,OperationVoice!AD:AD,XLOOKUP($D2916,OperationTickets!$A:$A,OperationTickets!AD:AD,"",0)),"hh:mm"))</f>
        <v>08:00</v>
      </c>
      <c r="G2916" s="309">
        <f t="shared" si="3"/>
        <v>0.7083333333</v>
      </c>
      <c r="H2916" s="316" t="str">
        <f t="array" ref="H2916">XLOOKUP(B2916,Roster!L:L,Roster!N:N,XLOOKUP(D2916,TicketsBreak!A:A,TicketsBreak!E:E,"",0),0)</f>
        <v/>
      </c>
      <c r="I2916" s="316" t="str">
        <f t="array" ref="I2916">XLOOKUP(B2916,Roster!L:L,Roster!O:O,XLOOKUP(D2916,TicketsBreak!A:A,TicketsBreak!F:F,"",0),0)</f>
        <v/>
      </c>
      <c r="J2916" s="316" t="str">
        <f t="array" ref="J2916">XLOOKUP(B2916,Roster!L:L,Roster!P:P,XLOOKUP(D2916,TicketsBreak!A:A,TicketsBreak!G:G,"",0),0)</f>
        <v/>
      </c>
      <c r="K2916" s="310">
        <f t="shared" si="4"/>
        <v>46136</v>
      </c>
      <c r="L2916" s="317">
        <f t="array" ref="L2916">(XLOOKUP(D2916,Roster!F:F,Roster!D:D,"",0))</f>
        <v>31</v>
      </c>
      <c r="M2916" s="317" t="str">
        <f t="array" ref="M2916">XLOOKUP(D2916,Roster!F:F,Roster!E:E)</f>
        <v>Tickets</v>
      </c>
      <c r="N2916" s="317" t="str">
        <f t="shared" ref="N2916:P2916" si="2958">LEFT(H2916,5)</f>
        <v/>
      </c>
      <c r="O2916" s="317" t="str">
        <f t="shared" si="2958"/>
        <v/>
      </c>
      <c r="P2916" s="317" t="str">
        <f t="shared" si="2958"/>
        <v/>
      </c>
      <c r="Q2916" s="318" t="str">
        <f t="shared" si="2933"/>
        <v/>
      </c>
      <c r="R2916" s="318" t="str">
        <f t="shared" si="2934"/>
        <v/>
      </c>
      <c r="S2916" s="318" t="str">
        <f t="shared" si="8"/>
        <v/>
      </c>
    </row>
    <row r="2917">
      <c r="A2917" s="14" t="str">
        <f t="shared" si="1"/>
        <v>C72646136</v>
      </c>
      <c r="B2917" s="185" t="str">
        <f t="array" ref="B2917">IF(F2917="VL","",IF(F2917="Free","Free",XLOOKUP(D2917,Roster!T:T,Roster!S:S,"",0)))</f>
        <v/>
      </c>
      <c r="C2917" s="313">
        <v>46136.0</v>
      </c>
      <c r="D2917" s="314" t="s">
        <v>185</v>
      </c>
      <c r="E2917" s="307" t="str">
        <f t="array" ref="E2917">(XLOOKUP(D2917,Roster!F:F,Roster!B:B,"",0))</f>
        <v>Sebastian Rodriguez</v>
      </c>
      <c r="F2917" s="315" t="str">
        <f t="array" ref="F2917">IF(B2917=100,"Free",TEXT(XLOOKUP($D2917,OperationVoice!$A:$A,OperationVoice!AD:AD,XLOOKUP($D2917,OperationTickets!$A:$A,OperationTickets!AD:AD,"",0)),"hh:mm"))</f>
        <v>08:00</v>
      </c>
      <c r="G2917" s="309">
        <f t="shared" si="3"/>
        <v>0.7083333333</v>
      </c>
      <c r="H2917" s="316">
        <f t="array" ref="H2917">XLOOKUP(B2917,Roster!L:L,Roster!N:N,XLOOKUP(D2917,TicketsBreak!A:A,TicketsBreak!E:E,"",0),0)</f>
        <v>0.4166666667</v>
      </c>
      <c r="I2917" s="316">
        <f t="array" ref="I2917">XLOOKUP(B2917,Roster!L:L,Roster!O:O,XLOOKUP(D2917,TicketsBreak!A:A,TicketsBreak!F:F,"",0),0)</f>
        <v>0.5625</v>
      </c>
      <c r="J2917" s="316">
        <f t="array" ref="J2917">XLOOKUP(B2917,Roster!L:L,Roster!P:P,XLOOKUP(D2917,TicketsBreak!A:A,TicketsBreak!G:G,"",0),0)</f>
        <v>0.6458333333</v>
      </c>
      <c r="K2917" s="310">
        <f t="shared" si="4"/>
        <v>46136</v>
      </c>
      <c r="L2917" s="317">
        <f t="array" ref="L2917">(XLOOKUP(D2917,Roster!F:F,Roster!D:D,"",0))</f>
        <v>7</v>
      </c>
      <c r="M2917" s="317" t="str">
        <f t="array" ref="M2917">XLOOKUP(D2917,Roster!F:F,Roster!E:E)</f>
        <v>Tickets</v>
      </c>
      <c r="N2917" s="317" t="str">
        <f t="shared" ref="N2917:P2917" si="2959">LEFT(H2917,5)</f>
        <v>10:00</v>
      </c>
      <c r="O2917" s="317" t="str">
        <f t="shared" si="2959"/>
        <v>13:30</v>
      </c>
      <c r="P2917" s="317" t="str">
        <f t="shared" si="2959"/>
        <v>15:30</v>
      </c>
      <c r="Q2917" s="318">
        <f t="shared" si="2933"/>
        <v>46136.41667</v>
      </c>
      <c r="R2917" s="318">
        <f t="shared" si="2934"/>
        <v>46136.5625</v>
      </c>
      <c r="S2917" s="318">
        <f t="shared" si="8"/>
        <v>46136.64583</v>
      </c>
    </row>
    <row r="2918">
      <c r="A2918" s="14" t="str">
        <f t="shared" si="1"/>
        <v>C60246136</v>
      </c>
      <c r="B2918" s="185" t="str">
        <f t="array" ref="B2918">IF(F2918="VL","",IF(F2918="Free","Free",XLOOKUP(D2918,Roster!T:T,Roster!S:S,"",0)))</f>
        <v/>
      </c>
      <c r="C2918" s="313">
        <v>46136.0</v>
      </c>
      <c r="D2918" s="314" t="s">
        <v>170</v>
      </c>
      <c r="E2918" s="307" t="str">
        <f t="array" ref="E2918">(XLOOKUP(D2918,Roster!F:F,Roster!B:B,"",0))</f>
        <v>Sebastian Torres</v>
      </c>
      <c r="F2918" s="315" t="str">
        <f t="array" ref="F2918">IF(B2918=100,"Free",TEXT(XLOOKUP($D2918,OperationVoice!$A:$A,OperationVoice!AD:AD,XLOOKUP($D2918,OperationTickets!$A:$A,OperationTickets!AD:AD,"",0)),"hh:mm"))</f>
        <v>08:00</v>
      </c>
      <c r="G2918" s="309">
        <f t="shared" si="3"/>
        <v>0.7083333333</v>
      </c>
      <c r="H2918" s="316">
        <f t="array" ref="H2918">XLOOKUP(B2918,Roster!L:L,Roster!N:N,XLOOKUP(D2918,TicketsBreak!A:A,TicketsBreak!E:E,"",0),0)</f>
        <v>0.4583333333</v>
      </c>
      <c r="I2918" s="316">
        <f t="array" ref="I2918">XLOOKUP(B2918,Roster!L:L,Roster!O:O,XLOOKUP(D2918,TicketsBreak!A:A,TicketsBreak!F:F,"",0),0)</f>
        <v>0.5833333333</v>
      </c>
      <c r="J2918" s="316">
        <f t="array" ref="J2918">XLOOKUP(B2918,Roster!L:L,Roster!P:P,XLOOKUP(D2918,TicketsBreak!A:A,TicketsBreak!G:G,"",0),0)</f>
        <v>0.65625</v>
      </c>
      <c r="K2918" s="310">
        <f t="shared" si="4"/>
        <v>46136</v>
      </c>
      <c r="L2918" s="317">
        <f t="array" ref="L2918">(XLOOKUP(D2918,Roster!F:F,Roster!D:D,"",0))</f>
        <v>8</v>
      </c>
      <c r="M2918" s="317" t="str">
        <f t="array" ref="M2918">XLOOKUP(D2918,Roster!F:F,Roster!E:E)</f>
        <v>Tickets</v>
      </c>
      <c r="N2918" s="317" t="str">
        <f t="shared" ref="N2918:P2918" si="2960">LEFT(H2918,5)</f>
        <v>11:00</v>
      </c>
      <c r="O2918" s="317" t="str">
        <f t="shared" si="2960"/>
        <v>14:00</v>
      </c>
      <c r="P2918" s="317" t="str">
        <f t="shared" si="2960"/>
        <v>15:45</v>
      </c>
      <c r="Q2918" s="318">
        <f t="shared" si="2933"/>
        <v>46136.45833</v>
      </c>
      <c r="R2918" s="318">
        <f t="shared" si="2934"/>
        <v>46136.58333</v>
      </c>
      <c r="S2918" s="318">
        <f t="shared" si="8"/>
        <v>46136.65625</v>
      </c>
    </row>
    <row r="2919">
      <c r="A2919" s="14" t="str">
        <f t="shared" si="1"/>
        <v>C143146136</v>
      </c>
      <c r="B2919" s="185">
        <f t="array" ref="B2919">IF(F2919="VL","",IF(F2919="Free","Free",XLOOKUP(D2919,Roster!T:T,Roster!S:S,"",0)))</f>
        <v>151</v>
      </c>
      <c r="C2919" s="313">
        <v>46136.0</v>
      </c>
      <c r="D2919" s="314" t="s">
        <v>74</v>
      </c>
      <c r="E2919" s="307" t="str">
        <f t="array" ref="E2919">(XLOOKUP(D2919,Roster!F:F,Roster!B:B,"",0))</f>
        <v>Sebastian Torres Gomez</v>
      </c>
      <c r="F2919" s="315" t="str">
        <f t="array" ref="F2919">IF(B2919=100,"Free",TEXT(XLOOKUP($D2919,OperationVoice!$A:$A,OperationVoice!AD:AD,XLOOKUP($D2919,OperationTickets!$A:$A,OperationTickets!AD:AD,"",0)),"hh:mm"))</f>
        <v>11:00</v>
      </c>
      <c r="G2919" s="309">
        <f t="shared" si="3"/>
        <v>0.8333333333</v>
      </c>
      <c r="H2919" s="316" t="str">
        <f t="array" ref="H2919">XLOOKUP(B2919,Roster!L:L,Roster!N:N,XLOOKUP(D2919,TicketsBreak!A:A,TicketsBreak!E:E,"",0),0)</f>
        <v>12:15 - 12:30</v>
      </c>
      <c r="I2919" s="316" t="str">
        <f t="array" ref="I2919">XLOOKUP(B2919,Roster!L:L,Roster!O:O,XLOOKUP(D2919,TicketsBreak!A:A,TicketsBreak!F:F,"",0),0)</f>
        <v>14:00 - 14:30</v>
      </c>
      <c r="J2919" s="316" t="str">
        <f t="array" ref="J2919">XLOOKUP(B2919,Roster!L:L,Roster!P:P,XLOOKUP(D2919,TicketsBreak!A:A,TicketsBreak!G:G,"",0),0)</f>
        <v>17:15 - 17:30</v>
      </c>
      <c r="K2919" s="310">
        <f t="shared" si="4"/>
        <v>46136</v>
      </c>
      <c r="L2919" s="317">
        <f t="array" ref="L2919">(XLOOKUP(D2919,Roster!F:F,Roster!D:D,"",0))</f>
        <v>32</v>
      </c>
      <c r="M2919" s="317" t="str">
        <f t="array" ref="M2919">XLOOKUP(D2919,Roster!F:F,Roster!E:E)</f>
        <v>Voice</v>
      </c>
      <c r="N2919" s="317" t="str">
        <f t="shared" ref="N2919:P2919" si="2961">LEFT(H2919,5)</f>
        <v>12:15</v>
      </c>
      <c r="O2919" s="317" t="str">
        <f t="shared" si="2961"/>
        <v>14:00</v>
      </c>
      <c r="P2919" s="317" t="str">
        <f t="shared" si="2961"/>
        <v>17:15</v>
      </c>
      <c r="Q2919" s="318">
        <f t="shared" si="2933"/>
        <v>46136.51042</v>
      </c>
      <c r="R2919" s="318">
        <f t="shared" si="2934"/>
        <v>46136.58333</v>
      </c>
      <c r="S2919" s="318">
        <f t="shared" si="8"/>
        <v>46136.71875</v>
      </c>
    </row>
    <row r="2920">
      <c r="A2920" s="14" t="str">
        <f t="shared" si="1"/>
        <v>C149146136</v>
      </c>
      <c r="B2920" s="185" t="str">
        <f t="array" ref="B2920">IF(F2920="VL","",IF(F2920="Free","Free",XLOOKUP(D2920,Roster!T:T,Roster!S:S,"",0)))</f>
        <v/>
      </c>
      <c r="C2920" s="313">
        <v>46136.0</v>
      </c>
      <c r="D2920" s="314" t="s">
        <v>315</v>
      </c>
      <c r="E2920" s="307" t="str">
        <f t="array" ref="E2920">(XLOOKUP(D2920,Roster!F:F,Roster!B:B,"",0))</f>
        <v>Sebastian Vanegas</v>
      </c>
      <c r="F2920" s="315" t="str">
        <f t="array" ref="F2920">IF(B2920=100,"Free",TEXT(XLOOKUP($D2920,OperationVoice!$A:$A,OperationVoice!AD:AD,XLOOKUP($D2920,OperationTickets!$A:$A,OperationTickets!AD:AD,"",0)),"hh:mm"))</f>
        <v/>
      </c>
      <c r="G2920" s="309" t="str">
        <f t="shared" si="3"/>
        <v/>
      </c>
      <c r="H2920" s="316" t="str">
        <f t="array" ref="H2920">XLOOKUP(B2920,Roster!L:L,Roster!N:N,XLOOKUP(D2920,TicketsBreak!A:A,TicketsBreak!E:E,"",0),0)</f>
        <v/>
      </c>
      <c r="I2920" s="316" t="str">
        <f t="array" ref="I2920">XLOOKUP(B2920,Roster!L:L,Roster!O:O,XLOOKUP(D2920,TicketsBreak!A:A,TicketsBreak!F:F,"",0),0)</f>
        <v/>
      </c>
      <c r="J2920" s="316" t="str">
        <f t="array" ref="J2920">XLOOKUP(B2920,Roster!L:L,Roster!P:P,XLOOKUP(D2920,TicketsBreak!A:A,TicketsBreak!G:G,"",0),0)</f>
        <v/>
      </c>
      <c r="K2920" s="310">
        <f t="shared" si="4"/>
        <v>46136</v>
      </c>
      <c r="L2920" s="317">
        <f t="array" ref="L2920">(XLOOKUP(D2920,Roster!F:F,Roster!D:D,"",0))</f>
        <v>34</v>
      </c>
      <c r="M2920" s="317" t="str">
        <f t="array" ref="M2920">XLOOKUP(D2920,Roster!F:F,Roster!E:E)</f>
        <v>Voice</v>
      </c>
      <c r="N2920" s="317" t="str">
        <f t="shared" ref="N2920:P2920" si="2962">LEFT(H2920,5)</f>
        <v/>
      </c>
      <c r="O2920" s="317" t="str">
        <f t="shared" si="2962"/>
        <v/>
      </c>
      <c r="P2920" s="317" t="str">
        <f t="shared" si="2962"/>
        <v/>
      </c>
      <c r="Q2920" s="318" t="str">
        <f t="shared" si="2933"/>
        <v/>
      </c>
      <c r="R2920" s="318" t="str">
        <f t="shared" si="2934"/>
        <v/>
      </c>
      <c r="S2920" s="318" t="str">
        <f t="shared" si="8"/>
        <v/>
      </c>
    </row>
    <row r="2921">
      <c r="A2921" s="14" t="str">
        <f t="shared" si="1"/>
        <v>C93746136</v>
      </c>
      <c r="B2921" s="185">
        <f t="array" ref="B2921">IF(F2921="VL","",IF(F2921="Free","Free",XLOOKUP(D2921,Roster!T:T,Roster!S:S,"",0)))</f>
        <v>126</v>
      </c>
      <c r="C2921" s="313">
        <v>46136.0</v>
      </c>
      <c r="D2921" s="314" t="s">
        <v>75</v>
      </c>
      <c r="E2921" s="307" t="str">
        <f t="array" ref="E2921">(XLOOKUP(D2921,Roster!F:F,Roster!B:B,"",0))</f>
        <v>Sebastian Zapata</v>
      </c>
      <c r="F2921" s="315" t="str">
        <f t="array" ref="F2921">IF(B2921=100,"Free",TEXT(XLOOKUP($D2921,OperationVoice!$A:$A,OperationVoice!AD:AD,XLOOKUP($D2921,OperationTickets!$A:$A,OperationTickets!AD:AD,"",0)),"hh:mm"))</f>
        <v>08:00</v>
      </c>
      <c r="G2921" s="309">
        <f t="shared" si="3"/>
        <v>0.7083333333</v>
      </c>
      <c r="H2921" s="316" t="str">
        <f t="array" ref="H2921">XLOOKUP(B2921,Roster!L:L,Roster!N:N,XLOOKUP(D2921,TicketsBreak!A:A,TicketsBreak!E:E,"",0),0)</f>
        <v>10:45 - 11:00</v>
      </c>
      <c r="I2921" s="316" t="str">
        <f t="array" ref="I2921">XLOOKUP(B2921,Roster!L:L,Roster!O:O,XLOOKUP(D2921,TicketsBreak!A:A,TicketsBreak!F:F,"",0),0)</f>
        <v>14:00 - 14:30</v>
      </c>
      <c r="J2921" s="316" t="str">
        <f t="array" ref="J2921">XLOOKUP(B2921,Roster!L:L,Roster!P:P,XLOOKUP(D2921,TicketsBreak!A:A,TicketsBreak!G:G,"",0),0)</f>
        <v>15:45 - 16:00</v>
      </c>
      <c r="K2921" s="310">
        <f t="shared" si="4"/>
        <v>46136</v>
      </c>
      <c r="L2921" s="317">
        <f t="array" ref="L2921">(XLOOKUP(D2921,Roster!F:F,Roster!D:D,"",0))</f>
        <v>12</v>
      </c>
      <c r="M2921" s="317" t="str">
        <f t="array" ref="M2921">XLOOKUP(D2921,Roster!F:F,Roster!E:E)</f>
        <v>Voice</v>
      </c>
      <c r="N2921" s="317" t="str">
        <f t="shared" ref="N2921:P2921" si="2963">LEFT(H2921,5)</f>
        <v>10:45</v>
      </c>
      <c r="O2921" s="317" t="str">
        <f t="shared" si="2963"/>
        <v>14:00</v>
      </c>
      <c r="P2921" s="317" t="str">
        <f t="shared" si="2963"/>
        <v>15:45</v>
      </c>
      <c r="Q2921" s="318">
        <f t="shared" si="2933"/>
        <v>46136.44792</v>
      </c>
      <c r="R2921" s="318">
        <f t="shared" si="2934"/>
        <v>46136.58333</v>
      </c>
      <c r="S2921" s="318">
        <f t="shared" si="8"/>
        <v>46136.65625</v>
      </c>
    </row>
    <row r="2922">
      <c r="A2922" s="14" t="str">
        <f t="shared" si="1"/>
        <v>C156546136</v>
      </c>
      <c r="B2922" s="185">
        <f t="array" ref="B2922">IF(F2922="VL","",IF(F2922="Free","Free",XLOOKUP(D2922,Roster!T:T,Roster!S:S,"",0)))</f>
        <v>122</v>
      </c>
      <c r="C2922" s="313">
        <v>46136.0</v>
      </c>
      <c r="D2922" s="314" t="s">
        <v>76</v>
      </c>
      <c r="E2922" s="307" t="str">
        <f t="array" ref="E2922">(XLOOKUP(D2922,Roster!F:F,Roster!B:B,"",0))</f>
        <v>Sergio Rojas</v>
      </c>
      <c r="F2922" s="315" t="str">
        <f t="array" ref="F2922">IF(B2922=100,"Free",TEXT(XLOOKUP($D2922,OperationVoice!$A:$A,OperationVoice!AD:AD,XLOOKUP($D2922,OperationTickets!$A:$A,OperationTickets!AD:AD,"",0)),"hh:mm"))</f>
        <v>11:00</v>
      </c>
      <c r="G2922" s="309">
        <f t="shared" si="3"/>
        <v>0.8333333333</v>
      </c>
      <c r="H2922" s="316" t="str">
        <f t="array" ref="H2922">XLOOKUP(B2922,Roster!L:L,Roster!N:N,XLOOKUP(D2922,TicketsBreak!A:A,TicketsBreak!E:E,"",0),0)</f>
        <v>09:30 - 09:45</v>
      </c>
      <c r="I2922" s="316" t="str">
        <f t="array" ref="I2922">XLOOKUP(B2922,Roster!L:L,Roster!O:O,XLOOKUP(D2922,TicketsBreak!A:A,TicketsBreak!F:F,"",0),0)</f>
        <v>12:00 - 12:30</v>
      </c>
      <c r="J2922" s="316" t="str">
        <f t="array" ref="J2922">XLOOKUP(B2922,Roster!L:L,Roster!P:P,XLOOKUP(D2922,TicketsBreak!A:A,TicketsBreak!G:G,"",0),0)</f>
        <v>14:45 - 15:00</v>
      </c>
      <c r="K2922" s="310">
        <f t="shared" si="4"/>
        <v>46136</v>
      </c>
      <c r="L2922" s="317">
        <f t="array" ref="L2922">(XLOOKUP(D2922,Roster!F:F,Roster!D:D,"",0))</f>
        <v>38</v>
      </c>
      <c r="M2922" s="317" t="str">
        <f t="array" ref="M2922">XLOOKUP(D2922,Roster!F:F,Roster!E:E)</f>
        <v>Voice</v>
      </c>
      <c r="N2922" s="317" t="str">
        <f t="shared" ref="N2922:P2922" si="2964">LEFT(H2922,5)</f>
        <v>09:30</v>
      </c>
      <c r="O2922" s="317" t="str">
        <f t="shared" si="2964"/>
        <v>12:00</v>
      </c>
      <c r="P2922" s="317" t="str">
        <f t="shared" si="2964"/>
        <v>14:45</v>
      </c>
      <c r="Q2922" s="318">
        <f t="shared" si="2933"/>
        <v>46136.39583</v>
      </c>
      <c r="R2922" s="318">
        <f t="shared" si="2934"/>
        <v>46136.5</v>
      </c>
      <c r="S2922" s="318">
        <f t="shared" si="8"/>
        <v>46136.61458</v>
      </c>
    </row>
    <row r="2923">
      <c r="A2923" s="14" t="str">
        <f t="shared" si="1"/>
        <v>C147846136</v>
      </c>
      <c r="B2923" s="185" t="str">
        <f t="array" ref="B2923">IF(F2923="VL","",IF(F2923="Free","Free",XLOOKUP(D2923,Roster!T:T,Roster!S:S,"",0)))</f>
        <v/>
      </c>
      <c r="C2923" s="313">
        <v>46136.0</v>
      </c>
      <c r="D2923" s="314" t="s">
        <v>186</v>
      </c>
      <c r="E2923" s="307" t="str">
        <f t="array" ref="E2923">(XLOOKUP(D2923,Roster!F:F,Roster!B:B,"",0))</f>
        <v>Simon Atehortua</v>
      </c>
      <c r="F2923" s="315" t="str">
        <f t="array" ref="F2923">IF(B2923=100,"Free",TEXT(XLOOKUP($D2923,OperationVoice!$A:$A,OperationVoice!AD:AD,XLOOKUP($D2923,OperationTickets!$A:$A,OperationTickets!AD:AD,"",0)),"hh:mm"))</f>
        <v>07:00</v>
      </c>
      <c r="G2923" s="309">
        <f t="shared" si="3"/>
        <v>0.6666666667</v>
      </c>
      <c r="H2923" s="316" t="str">
        <f t="array" ref="H2923">XLOOKUP(B2923,Roster!L:L,Roster!N:N,XLOOKUP(D2923,TicketsBreak!A:A,TicketsBreak!E:E,"",0),0)</f>
        <v/>
      </c>
      <c r="I2923" s="316" t="str">
        <f t="array" ref="I2923">XLOOKUP(B2923,Roster!L:L,Roster!O:O,XLOOKUP(D2923,TicketsBreak!A:A,TicketsBreak!F:F,"",0),0)</f>
        <v/>
      </c>
      <c r="J2923" s="316" t="str">
        <f t="array" ref="J2923">XLOOKUP(B2923,Roster!L:L,Roster!P:P,XLOOKUP(D2923,TicketsBreak!A:A,TicketsBreak!G:G,"",0),0)</f>
        <v/>
      </c>
      <c r="K2923" s="310">
        <f t="shared" si="4"/>
        <v>46136</v>
      </c>
      <c r="L2923" s="317">
        <f t="array" ref="L2923">(XLOOKUP(D2923,Roster!F:F,Roster!D:D,"",0))</f>
        <v>32</v>
      </c>
      <c r="M2923" s="317" t="str">
        <f t="array" ref="M2923">XLOOKUP(D2923,Roster!F:F,Roster!E:E)</f>
        <v>Tickets</v>
      </c>
      <c r="N2923" s="317" t="str">
        <f t="shared" ref="N2923:P2923" si="2965">LEFT(H2923,5)</f>
        <v/>
      </c>
      <c r="O2923" s="317" t="str">
        <f t="shared" si="2965"/>
        <v/>
      </c>
      <c r="P2923" s="317" t="str">
        <f t="shared" si="2965"/>
        <v/>
      </c>
      <c r="Q2923" s="318" t="str">
        <f t="shared" si="2933"/>
        <v/>
      </c>
      <c r="R2923" s="318" t="str">
        <f t="shared" si="2934"/>
        <v/>
      </c>
      <c r="S2923" s="318" t="str">
        <f t="shared" si="8"/>
        <v/>
      </c>
    </row>
    <row r="2924">
      <c r="A2924" s="14" t="str">
        <f t="shared" si="1"/>
        <v>C148346136</v>
      </c>
      <c r="B2924" s="185">
        <f t="array" ref="B2924">IF(F2924="VL","",IF(F2924="Free","Free",XLOOKUP(D2924,Roster!T:T,Roster!S:S,"",0)))</f>
        <v>152</v>
      </c>
      <c r="C2924" s="313">
        <v>46136.0</v>
      </c>
      <c r="D2924" s="314" t="s">
        <v>77</v>
      </c>
      <c r="E2924" s="307" t="str">
        <f t="array" ref="E2924">(XLOOKUP(D2924,Roster!F:F,Roster!B:B,"",0))</f>
        <v>Simon Zuluaica</v>
      </c>
      <c r="F2924" s="315" t="str">
        <f t="array" ref="F2924">IF(B2924=100,"Free",TEXT(XLOOKUP($D2924,OperationVoice!$A:$A,OperationVoice!AD:AD,XLOOKUP($D2924,OperationTickets!$A:$A,OperationTickets!AD:AD,"",0)),"hh:mm"))</f>
        <v>11:00</v>
      </c>
      <c r="G2924" s="309">
        <f t="shared" si="3"/>
        <v>0.8333333333</v>
      </c>
      <c r="H2924" s="316" t="str">
        <f t="array" ref="H2924">XLOOKUP(B2924,Roster!L:L,Roster!N:N,XLOOKUP(D2924,TicketsBreak!A:A,TicketsBreak!E:E,"",0),0)</f>
        <v>12:30 - 12:45</v>
      </c>
      <c r="I2924" s="316" t="str">
        <f t="array" ref="I2924">XLOOKUP(B2924,Roster!L:L,Roster!O:O,XLOOKUP(D2924,TicketsBreak!A:A,TicketsBreak!F:F,"",0),0)</f>
        <v>14:30 - 15:00</v>
      </c>
      <c r="J2924" s="316" t="str">
        <f t="array" ref="J2924">XLOOKUP(B2924,Roster!L:L,Roster!P:P,XLOOKUP(D2924,TicketsBreak!A:A,TicketsBreak!G:G,"",0),0)</f>
        <v>17:30 - 17:45</v>
      </c>
      <c r="K2924" s="310">
        <f t="shared" si="4"/>
        <v>46136</v>
      </c>
      <c r="L2924" s="317">
        <f t="array" ref="L2924">(XLOOKUP(D2924,Roster!F:F,Roster!D:D,"",0))</f>
        <v>34</v>
      </c>
      <c r="M2924" s="317" t="str">
        <f t="array" ref="M2924">XLOOKUP(D2924,Roster!F:F,Roster!E:E)</f>
        <v>Voice</v>
      </c>
      <c r="N2924" s="317" t="str">
        <f t="shared" ref="N2924:P2924" si="2966">LEFT(H2924,5)</f>
        <v>12:30</v>
      </c>
      <c r="O2924" s="317" t="str">
        <f t="shared" si="2966"/>
        <v>14:30</v>
      </c>
      <c r="P2924" s="317" t="str">
        <f t="shared" si="2966"/>
        <v>17:30</v>
      </c>
      <c r="Q2924" s="318">
        <f t="shared" si="2933"/>
        <v>46136.52083</v>
      </c>
      <c r="R2924" s="318">
        <f t="shared" si="2934"/>
        <v>46136.60417</v>
      </c>
      <c r="S2924" s="318">
        <f t="shared" si="8"/>
        <v>46136.72917</v>
      </c>
    </row>
    <row r="2925">
      <c r="A2925" s="14" t="str">
        <f t="shared" si="1"/>
        <v>C154046136</v>
      </c>
      <c r="B2925" s="185">
        <f t="array" ref="B2925">IF(F2925="VL","",IF(F2925="Free","Free",XLOOKUP(D2925,Roster!T:T,Roster!S:S,"",0)))</f>
        <v>122</v>
      </c>
      <c r="C2925" s="313">
        <v>46136.0</v>
      </c>
      <c r="D2925" s="314" t="s">
        <v>78</v>
      </c>
      <c r="E2925" s="307" t="str">
        <f t="array" ref="E2925">(XLOOKUP(D2925,Roster!F:F,Roster!B:B,"",0))</f>
        <v>Tomas Perez</v>
      </c>
      <c r="F2925" s="315" t="str">
        <f t="array" ref="F2925">IF(B2925=100,"Free",TEXT(XLOOKUP($D2925,OperationVoice!$A:$A,OperationVoice!AD:AD,XLOOKUP($D2925,OperationTickets!$A:$A,OperationTickets!AD:AD,"",0)),"hh:mm"))</f>
        <v>08:00</v>
      </c>
      <c r="G2925" s="309">
        <f t="shared" si="3"/>
        <v>0.7083333333</v>
      </c>
      <c r="H2925" s="316" t="str">
        <f t="array" ref="H2925">XLOOKUP(B2925,Roster!L:L,Roster!N:N,XLOOKUP(D2925,TicketsBreak!A:A,TicketsBreak!E:E,"",0),0)</f>
        <v>09:30 - 09:45</v>
      </c>
      <c r="I2925" s="316" t="str">
        <f t="array" ref="I2925">XLOOKUP(B2925,Roster!L:L,Roster!O:O,XLOOKUP(D2925,TicketsBreak!A:A,TicketsBreak!F:F,"",0),0)</f>
        <v>12:00 - 12:30</v>
      </c>
      <c r="J2925" s="316" t="str">
        <f t="array" ref="J2925">XLOOKUP(B2925,Roster!L:L,Roster!P:P,XLOOKUP(D2925,TicketsBreak!A:A,TicketsBreak!G:G,"",0),0)</f>
        <v>14:45 - 15:00</v>
      </c>
      <c r="K2925" s="310">
        <f t="shared" si="4"/>
        <v>46136</v>
      </c>
      <c r="L2925" s="317">
        <f t="array" ref="L2925">(XLOOKUP(D2925,Roster!F:F,Roster!D:D,"",0))</f>
        <v>36</v>
      </c>
      <c r="M2925" s="317" t="str">
        <f t="array" ref="M2925">XLOOKUP(D2925,Roster!F:F,Roster!E:E)</f>
        <v>Voice</v>
      </c>
      <c r="N2925" s="317" t="str">
        <f t="shared" ref="N2925:P2925" si="2967">LEFT(H2925,5)</f>
        <v>09:30</v>
      </c>
      <c r="O2925" s="317" t="str">
        <f t="shared" si="2967"/>
        <v>12:00</v>
      </c>
      <c r="P2925" s="317" t="str">
        <f t="shared" si="2967"/>
        <v>14:45</v>
      </c>
      <c r="Q2925" s="318">
        <f t="shared" si="2933"/>
        <v>46136.39583</v>
      </c>
      <c r="R2925" s="318">
        <f t="shared" si="2934"/>
        <v>46136.5</v>
      </c>
      <c r="S2925" s="318">
        <f t="shared" si="8"/>
        <v>46136.61458</v>
      </c>
    </row>
    <row r="2926">
      <c r="A2926" s="14" t="str">
        <f t="shared" si="1"/>
        <v>C154746136</v>
      </c>
      <c r="B2926" s="185">
        <f t="array" ref="B2926">IF(F2926="VL","",IF(F2926="Free","Free",XLOOKUP(D2926,Roster!T:T,Roster!S:S,"",0)))</f>
        <v>121</v>
      </c>
      <c r="C2926" s="313">
        <v>46136.0</v>
      </c>
      <c r="D2926" s="314" t="s">
        <v>79</v>
      </c>
      <c r="E2926" s="307" t="str">
        <f t="array" ref="E2926">(XLOOKUP(D2926,Roster!F:F,Roster!B:B,"",0))</f>
        <v>Valentina Barreto</v>
      </c>
      <c r="F2926" s="315" t="str">
        <f t="array" ref="F2926">IF(B2926=100,"Free",TEXT(XLOOKUP($D2926,OperationVoice!$A:$A,OperationVoice!AD:AD,XLOOKUP($D2926,OperationTickets!$A:$A,OperationTickets!AD:AD,"",0)),"hh:mm"))</f>
        <v>08:00</v>
      </c>
      <c r="G2926" s="309">
        <f t="shared" si="3"/>
        <v>0.7083333333</v>
      </c>
      <c r="H2926" s="316" t="str">
        <f t="array" ref="H2926">XLOOKUP(B2926,Roster!L:L,Roster!N:N,XLOOKUP(D2926,TicketsBreak!A:A,TicketsBreak!E:E,"",0),0)</f>
        <v>09:15 - 09:30</v>
      </c>
      <c r="I2926" s="316" t="str">
        <f t="array" ref="I2926">XLOOKUP(B2926,Roster!L:L,Roster!O:O,XLOOKUP(D2926,TicketsBreak!A:A,TicketsBreak!F:F,"",0),0)</f>
        <v>11:30 - 12:00</v>
      </c>
      <c r="J2926" s="316" t="str">
        <f t="array" ref="J2926">XLOOKUP(B2926,Roster!L:L,Roster!P:P,XLOOKUP(D2926,TicketsBreak!A:A,TicketsBreak!G:G,"",0),0)</f>
        <v>14:30 - 14:45</v>
      </c>
      <c r="K2926" s="310">
        <f t="shared" si="4"/>
        <v>46136</v>
      </c>
      <c r="L2926" s="317">
        <f t="array" ref="L2926">(XLOOKUP(D2926,Roster!F:F,Roster!D:D,"",0))</f>
        <v>37</v>
      </c>
      <c r="M2926" s="317" t="str">
        <f t="array" ref="M2926">XLOOKUP(D2926,Roster!F:F,Roster!E:E)</f>
        <v>Voice</v>
      </c>
      <c r="N2926" s="317" t="str">
        <f t="shared" ref="N2926:P2926" si="2968">LEFT(H2926,5)</f>
        <v>09:15</v>
      </c>
      <c r="O2926" s="317" t="str">
        <f t="shared" si="2968"/>
        <v>11:30</v>
      </c>
      <c r="P2926" s="317" t="str">
        <f t="shared" si="2968"/>
        <v>14:30</v>
      </c>
      <c r="Q2926" s="318">
        <f t="shared" si="2933"/>
        <v>46136.38542</v>
      </c>
      <c r="R2926" s="318">
        <f t="shared" si="2934"/>
        <v>46136.47917</v>
      </c>
      <c r="S2926" s="318">
        <f t="shared" si="8"/>
        <v>46136.60417</v>
      </c>
    </row>
    <row r="2927">
      <c r="A2927" s="14" t="str">
        <f t="shared" si="1"/>
        <v>C155346136</v>
      </c>
      <c r="B2927" s="185">
        <f t="array" ref="B2927">IF(F2927="VL","",IF(F2927="Free","Free",XLOOKUP(D2927,Roster!T:T,Roster!S:S,"",0)))</f>
        <v>122</v>
      </c>
      <c r="C2927" s="313">
        <v>46136.0</v>
      </c>
      <c r="D2927" s="314" t="s">
        <v>80</v>
      </c>
      <c r="E2927" s="307" t="str">
        <f t="array" ref="E2927">(XLOOKUP(D2927,Roster!F:F,Roster!B:B,"",0))</f>
        <v>Valentina Castro</v>
      </c>
      <c r="F2927" s="315" t="str">
        <f t="array" ref="F2927">IF(B2927=100,"Free",TEXT(XLOOKUP($D2927,OperationVoice!$A:$A,OperationVoice!AD:AD,XLOOKUP($D2927,OperationTickets!$A:$A,OperationTickets!AD:AD,"",0)),"hh:mm"))</f>
        <v>08:00</v>
      </c>
      <c r="G2927" s="309">
        <f t="shared" si="3"/>
        <v>0.7083333333</v>
      </c>
      <c r="H2927" s="316" t="str">
        <f t="array" ref="H2927">XLOOKUP(B2927,Roster!L:L,Roster!N:N,XLOOKUP(D2927,TicketsBreak!A:A,TicketsBreak!E:E,"",0),0)</f>
        <v>09:30 - 09:45</v>
      </c>
      <c r="I2927" s="316" t="str">
        <f t="array" ref="I2927">XLOOKUP(B2927,Roster!L:L,Roster!O:O,XLOOKUP(D2927,TicketsBreak!A:A,TicketsBreak!F:F,"",0),0)</f>
        <v>12:00 - 12:30</v>
      </c>
      <c r="J2927" s="316" t="str">
        <f t="array" ref="J2927">XLOOKUP(B2927,Roster!L:L,Roster!P:P,XLOOKUP(D2927,TicketsBreak!A:A,TicketsBreak!G:G,"",0),0)</f>
        <v>14:45 - 15:00</v>
      </c>
      <c r="K2927" s="310">
        <f t="shared" si="4"/>
        <v>46136</v>
      </c>
      <c r="L2927" s="317">
        <f t="array" ref="L2927">(XLOOKUP(D2927,Roster!F:F,Roster!D:D,"",0))</f>
        <v>37</v>
      </c>
      <c r="M2927" s="317" t="str">
        <f t="array" ref="M2927">XLOOKUP(D2927,Roster!F:F,Roster!E:E)</f>
        <v>Voice</v>
      </c>
      <c r="N2927" s="317" t="str">
        <f t="shared" ref="N2927:P2927" si="2969">LEFT(H2927,5)</f>
        <v>09:30</v>
      </c>
      <c r="O2927" s="317" t="str">
        <f t="shared" si="2969"/>
        <v>12:00</v>
      </c>
      <c r="P2927" s="317" t="str">
        <f t="shared" si="2969"/>
        <v>14:45</v>
      </c>
      <c r="Q2927" s="318">
        <f t="shared" si="2933"/>
        <v>46136.39583</v>
      </c>
      <c r="R2927" s="318">
        <f t="shared" si="2934"/>
        <v>46136.5</v>
      </c>
      <c r="S2927" s="318">
        <f t="shared" si="8"/>
        <v>46136.61458</v>
      </c>
    </row>
    <row r="2928">
      <c r="A2928" s="14" t="str">
        <f t="shared" si="1"/>
        <v>C150246136</v>
      </c>
      <c r="B2928" s="185" t="str">
        <f t="array" ref="B2928">IF(F2928="VL","",IF(F2928="Free","Free",XLOOKUP(D2928,Roster!T:T,Roster!S:S,"",0)))</f>
        <v/>
      </c>
      <c r="C2928" s="313">
        <v>46136.0</v>
      </c>
      <c r="D2928" s="314" t="s">
        <v>316</v>
      </c>
      <c r="E2928" s="307" t="str">
        <f t="array" ref="E2928">(XLOOKUP(D2928,Roster!F:F,Roster!B:B,"",0))</f>
        <v>Valentina Gallego</v>
      </c>
      <c r="F2928" s="315" t="str">
        <f t="array" ref="F2928">IF(B2928=100,"Free",TEXT(XLOOKUP($D2928,OperationVoice!$A:$A,OperationVoice!AD:AD,XLOOKUP($D2928,OperationTickets!$A:$A,OperationTickets!AD:AD,"",0)),"hh:mm"))</f>
        <v/>
      </c>
      <c r="G2928" s="309" t="str">
        <f t="shared" si="3"/>
        <v/>
      </c>
      <c r="H2928" s="316" t="str">
        <f t="array" ref="H2928">XLOOKUP(B2928,Roster!L:L,Roster!N:N,XLOOKUP(D2928,TicketsBreak!A:A,TicketsBreak!E:E,"",0),0)</f>
        <v/>
      </c>
      <c r="I2928" s="316" t="str">
        <f t="array" ref="I2928">XLOOKUP(B2928,Roster!L:L,Roster!O:O,XLOOKUP(D2928,TicketsBreak!A:A,TicketsBreak!F:F,"",0),0)</f>
        <v/>
      </c>
      <c r="J2928" s="316" t="str">
        <f t="array" ref="J2928">XLOOKUP(B2928,Roster!L:L,Roster!P:P,XLOOKUP(D2928,TicketsBreak!A:A,TicketsBreak!G:G,"",0),0)</f>
        <v/>
      </c>
      <c r="K2928" s="310">
        <f t="shared" si="4"/>
        <v>46136</v>
      </c>
      <c r="L2928" s="317">
        <f t="array" ref="L2928">(XLOOKUP(D2928,Roster!F:F,Roster!D:D,"",0))</f>
        <v>35</v>
      </c>
      <c r="M2928" s="317" t="str">
        <f t="array" ref="M2928">XLOOKUP(D2928,Roster!F:F,Roster!E:E)</f>
        <v>Voice</v>
      </c>
      <c r="N2928" s="317" t="str">
        <f t="shared" ref="N2928:P2928" si="2970">LEFT(H2928,5)</f>
        <v/>
      </c>
      <c r="O2928" s="317" t="str">
        <f t="shared" si="2970"/>
        <v/>
      </c>
      <c r="P2928" s="317" t="str">
        <f t="shared" si="2970"/>
        <v/>
      </c>
      <c r="Q2928" s="318" t="str">
        <f t="shared" si="2933"/>
        <v/>
      </c>
      <c r="R2928" s="318" t="str">
        <f t="shared" si="2934"/>
        <v/>
      </c>
      <c r="S2928" s="318" t="str">
        <f t="shared" si="8"/>
        <v/>
      </c>
    </row>
    <row r="2929">
      <c r="A2929" s="14" t="str">
        <f t="shared" si="1"/>
        <v>C112646136</v>
      </c>
      <c r="B2929" s="185" t="str">
        <f t="array" ref="B2929">IF(F2929="VL","",IF(F2929="Free","Free",XLOOKUP(D2929,Roster!T:T,Roster!S:S,"",0)))</f>
        <v/>
      </c>
      <c r="C2929" s="313">
        <v>46136.0</v>
      </c>
      <c r="D2929" s="314" t="s">
        <v>152</v>
      </c>
      <c r="E2929" s="307" t="str">
        <f t="array" ref="E2929">(XLOOKUP(D2929,Roster!F:F,Roster!B:B,"",0))</f>
        <v>Valery Escobar</v>
      </c>
      <c r="F2929" s="315" t="str">
        <f t="array" ref="F2929">IF(B2929=100,"Free",TEXT(XLOOKUP($D2929,OperationVoice!$A:$A,OperationVoice!AD:AD,XLOOKUP($D2929,OperationTickets!$A:$A,OperationTickets!AD:AD,"",0)),"hh:mm"))</f>
        <v>08:00</v>
      </c>
      <c r="G2929" s="309">
        <f t="shared" si="3"/>
        <v>0.7083333333</v>
      </c>
      <c r="H2929" s="316">
        <f t="array" ref="H2929">XLOOKUP(B2929,Roster!L:L,Roster!N:N,XLOOKUP(D2929,TicketsBreak!A:A,TicketsBreak!E:E,"",0),0)</f>
        <v>0.3854166667</v>
      </c>
      <c r="I2929" s="316">
        <f t="array" ref="I2929">XLOOKUP(B2929,Roster!L:L,Roster!O:O,XLOOKUP(D2929,TicketsBreak!A:A,TicketsBreak!F:F,"",0),0)</f>
        <v>0.5</v>
      </c>
      <c r="J2929" s="316">
        <f t="array" ref="J2929">XLOOKUP(B2929,Roster!L:L,Roster!P:P,XLOOKUP(D2929,TicketsBreak!A:A,TicketsBreak!G:G,"",0),0)</f>
        <v>0.6041666667</v>
      </c>
      <c r="K2929" s="310">
        <f t="shared" si="4"/>
        <v>46136</v>
      </c>
      <c r="L2929" s="317">
        <f t="array" ref="L2929">(XLOOKUP(D2929,Roster!F:F,Roster!D:D,"",0))</f>
        <v>21</v>
      </c>
      <c r="M2929" s="317" t="str">
        <f t="array" ref="M2929">XLOOKUP(D2929,Roster!F:F,Roster!E:E)</f>
        <v>Tickets</v>
      </c>
      <c r="N2929" s="317" t="str">
        <f t="shared" ref="N2929:P2929" si="2971">LEFT(H2929,5)</f>
        <v>09:15</v>
      </c>
      <c r="O2929" s="317" t="str">
        <f t="shared" si="2971"/>
        <v>12:00</v>
      </c>
      <c r="P2929" s="317" t="str">
        <f t="shared" si="2971"/>
        <v>14:30</v>
      </c>
      <c r="Q2929" s="318">
        <f t="shared" si="2933"/>
        <v>46136.38542</v>
      </c>
      <c r="R2929" s="318">
        <f t="shared" si="2934"/>
        <v>46136.5</v>
      </c>
      <c r="S2929" s="318">
        <f t="shared" si="8"/>
        <v>46136.60417</v>
      </c>
    </row>
    <row r="2930">
      <c r="A2930" s="14" t="str">
        <f t="shared" si="1"/>
        <v>C155246136</v>
      </c>
      <c r="B2930" s="185" t="str">
        <f t="array" ref="B2930">IF(F2930="VL","",IF(F2930="Free","Free",XLOOKUP(D2930,Roster!T:T,Roster!S:S,"",0)))</f>
        <v>Free</v>
      </c>
      <c r="C2930" s="313">
        <v>46136.0</v>
      </c>
      <c r="D2930" s="314" t="s">
        <v>81</v>
      </c>
      <c r="E2930" s="307" t="str">
        <f t="array" ref="E2930">(XLOOKUP(D2930,Roster!F:F,Roster!B:B,"",0))</f>
        <v>Wendy Machado</v>
      </c>
      <c r="F2930" s="315" t="str">
        <f t="array" ref="F2930">IF(B2930=100,"Free",TEXT(XLOOKUP($D2930,OperationVoice!$A:$A,OperationVoice!AD:AD,XLOOKUP($D2930,OperationTickets!$A:$A,OperationTickets!AD:AD,"",0)),"hh:mm"))</f>
        <v>Free</v>
      </c>
      <c r="G2930" s="309" t="str">
        <f t="shared" si="3"/>
        <v>Free</v>
      </c>
      <c r="H2930" s="316" t="str">
        <f t="array" ref="H2930">XLOOKUP(B2930,Roster!L:L,Roster!N:N,XLOOKUP(D2930,TicketsBreak!A:A,TicketsBreak!E:E,"",0),0)</f>
        <v/>
      </c>
      <c r="I2930" s="316" t="str">
        <f t="array" ref="I2930">XLOOKUP(B2930,Roster!L:L,Roster!O:O,XLOOKUP(D2930,TicketsBreak!A:A,TicketsBreak!F:F,"",0),0)</f>
        <v/>
      </c>
      <c r="J2930" s="316" t="str">
        <f t="array" ref="J2930">XLOOKUP(B2930,Roster!L:L,Roster!P:P,XLOOKUP(D2930,TicketsBreak!A:A,TicketsBreak!G:G,"",0),0)</f>
        <v/>
      </c>
      <c r="K2930" s="310">
        <f t="shared" si="4"/>
        <v>46136</v>
      </c>
      <c r="L2930" s="317">
        <f t="array" ref="L2930">(XLOOKUP(D2930,Roster!F:F,Roster!D:D,"",0))</f>
        <v>37</v>
      </c>
      <c r="M2930" s="317" t="str">
        <f t="array" ref="M2930">XLOOKUP(D2930,Roster!F:F,Roster!E:E)</f>
        <v>Voice</v>
      </c>
      <c r="N2930" s="317" t="str">
        <f t="shared" ref="N2930:P2930" si="2972">LEFT(H2930,5)</f>
        <v/>
      </c>
      <c r="O2930" s="317" t="str">
        <f t="shared" si="2972"/>
        <v/>
      </c>
      <c r="P2930" s="317" t="str">
        <f t="shared" si="2972"/>
        <v/>
      </c>
      <c r="Q2930" s="318" t="str">
        <f t="shared" si="2933"/>
        <v/>
      </c>
      <c r="R2930" s="318" t="str">
        <f t="shared" si="2934"/>
        <v/>
      </c>
      <c r="S2930" s="318" t="str">
        <f t="shared" si="8"/>
        <v/>
      </c>
    </row>
    <row r="2931">
      <c r="A2931" s="14" t="str">
        <f t="shared" si="1"/>
        <v>C78646136</v>
      </c>
      <c r="B2931" s="185" t="str">
        <f t="array" ref="B2931">IF(F2931="VL","",IF(F2931="Free","Free",XLOOKUP(D2931,Roster!T:T,Roster!S:S,"",0)))</f>
        <v/>
      </c>
      <c r="C2931" s="313">
        <v>46136.0</v>
      </c>
      <c r="D2931" s="314" t="s">
        <v>136</v>
      </c>
      <c r="E2931" s="307" t="str">
        <f t="array" ref="E2931">(XLOOKUP(D2931,Roster!F:F,Roster!B:B,"",0))</f>
        <v>Wendy Navarro</v>
      </c>
      <c r="F2931" s="315" t="str">
        <f t="array" ref="F2931">IF(B2931=100,"Free",TEXT(XLOOKUP($D2931,OperationVoice!$A:$A,OperationVoice!AD:AD,XLOOKUP($D2931,OperationTickets!$A:$A,OperationTickets!AD:AD,"",0)),"hh:mm"))</f>
        <v>08:00</v>
      </c>
      <c r="G2931" s="309">
        <f t="shared" si="3"/>
        <v>0.7083333333</v>
      </c>
      <c r="H2931" s="316">
        <f t="array" ref="H2931">XLOOKUP(B2931,Roster!L:L,Roster!N:N,XLOOKUP(D2931,TicketsBreak!A:A,TicketsBreak!E:E,"",0),0)</f>
        <v>0.4166666667</v>
      </c>
      <c r="I2931" s="316">
        <f t="array" ref="I2931">XLOOKUP(B2931,Roster!L:L,Roster!O:O,XLOOKUP(D2931,TicketsBreak!A:A,TicketsBreak!F:F,"",0),0)</f>
        <v>0.5416666667</v>
      </c>
      <c r="J2931" s="316">
        <f t="array" ref="J2931">XLOOKUP(B2931,Roster!L:L,Roster!P:P,XLOOKUP(D2931,TicketsBreak!A:A,TicketsBreak!G:G,"",0),0)</f>
        <v>0.6458333333</v>
      </c>
      <c r="K2931" s="310">
        <f t="shared" si="4"/>
        <v>46136</v>
      </c>
      <c r="L2931" s="317">
        <f t="array" ref="L2931">(XLOOKUP(D2931,Roster!F:F,Roster!D:D,"",0))</f>
        <v>16</v>
      </c>
      <c r="M2931" s="317" t="str">
        <f t="array" ref="M2931">XLOOKUP(D2931,Roster!F:F,Roster!E:E)</f>
        <v>Tickets</v>
      </c>
      <c r="N2931" s="317" t="str">
        <f t="shared" ref="N2931:P2931" si="2973">LEFT(H2931,5)</f>
        <v>10:00</v>
      </c>
      <c r="O2931" s="317" t="str">
        <f t="shared" si="2973"/>
        <v>13:00</v>
      </c>
      <c r="P2931" s="317" t="str">
        <f t="shared" si="2973"/>
        <v>15:30</v>
      </c>
      <c r="Q2931" s="318">
        <f t="shared" si="2933"/>
        <v>46136.41667</v>
      </c>
      <c r="R2931" s="318">
        <f t="shared" si="2934"/>
        <v>46136.54167</v>
      </c>
      <c r="S2931" s="318">
        <f t="shared" si="8"/>
        <v>46136.64583</v>
      </c>
    </row>
    <row r="2932">
      <c r="A2932" s="14" t="str">
        <f t="shared" si="1"/>
        <v>C153746136</v>
      </c>
      <c r="B2932" s="185">
        <f t="array" ref="B2932">IF(F2932="VL","",IF(F2932="Free","Free",XLOOKUP(D2932,Roster!T:T,Roster!S:S,"",0)))</f>
        <v>135</v>
      </c>
      <c r="C2932" s="313">
        <v>46136.0</v>
      </c>
      <c r="D2932" s="314" t="s">
        <v>82</v>
      </c>
      <c r="E2932" s="307" t="str">
        <f t="array" ref="E2932">(XLOOKUP(D2932,Roster!F:F,Roster!B:B,"",0))</f>
        <v>William Florez</v>
      </c>
      <c r="F2932" s="315" t="str">
        <f t="array" ref="F2932">IF(B2932=100,"Free",TEXT(XLOOKUP($D2932,OperationVoice!$A:$A,OperationVoice!AD:AD,XLOOKUP($D2932,OperationTickets!$A:$A,OperationTickets!AD:AD,"",0)),"hh:mm"))</f>
        <v>09:00</v>
      </c>
      <c r="G2932" s="309">
        <f t="shared" si="3"/>
        <v>0.75</v>
      </c>
      <c r="H2932" s="316" t="str">
        <f t="array" ref="H2932">XLOOKUP(B2932,Roster!L:L,Roster!N:N,XLOOKUP(D2932,TicketsBreak!A:A,TicketsBreak!E:E,"",0),0)</f>
        <v>11:15 - 11:30</v>
      </c>
      <c r="I2932" s="316" t="str">
        <f t="array" ref="I2932">XLOOKUP(B2932,Roster!L:L,Roster!O:O,XLOOKUP(D2932,TicketsBreak!A:A,TicketsBreak!F:F,"",0),0)</f>
        <v>14:15 - 14:45</v>
      </c>
      <c r="J2932" s="316" t="str">
        <f t="array" ref="J2932">XLOOKUP(B2932,Roster!L:L,Roster!P:P,XLOOKUP(D2932,TicketsBreak!A:A,TicketsBreak!G:G,"",0),0)</f>
        <v>16:15 - 16:30</v>
      </c>
      <c r="K2932" s="310">
        <f t="shared" si="4"/>
        <v>46136</v>
      </c>
      <c r="L2932" s="317">
        <f t="array" ref="L2932">(XLOOKUP(D2932,Roster!F:F,Roster!D:D,"",0))</f>
        <v>36</v>
      </c>
      <c r="M2932" s="317" t="str">
        <f t="array" ref="M2932">XLOOKUP(D2932,Roster!F:F,Roster!E:E)</f>
        <v>Voice</v>
      </c>
      <c r="N2932" s="317" t="str">
        <f t="shared" ref="N2932:P2932" si="2974">LEFT(H2932,5)</f>
        <v>11:15</v>
      </c>
      <c r="O2932" s="317" t="str">
        <f t="shared" si="2974"/>
        <v>14:15</v>
      </c>
      <c r="P2932" s="317" t="str">
        <f t="shared" si="2974"/>
        <v>16:15</v>
      </c>
      <c r="Q2932" s="318">
        <f t="shared" si="2933"/>
        <v>46136.46875</v>
      </c>
      <c r="R2932" s="318">
        <f t="shared" si="2934"/>
        <v>46136.59375</v>
      </c>
      <c r="S2932" s="318">
        <f t="shared" si="8"/>
        <v>46136.67708</v>
      </c>
    </row>
    <row r="2933">
      <c r="A2933" s="14" t="str">
        <f t="shared" si="1"/>
        <v>C135346136</v>
      </c>
      <c r="B2933" s="185">
        <f t="array" ref="B2933">IF(F2933="VL","",IF(F2933="Free","Free",XLOOKUP(D2933,Roster!T:T,Roster!S:S,"",0)))</f>
        <v>121</v>
      </c>
      <c r="C2933" s="313">
        <v>46136.0</v>
      </c>
      <c r="D2933" s="314" t="s">
        <v>83</v>
      </c>
      <c r="E2933" s="307" t="str">
        <f t="array" ref="E2933">(XLOOKUP(D2933,Roster!F:F,Roster!B:B,"",0))</f>
        <v>Wilson Martinez</v>
      </c>
      <c r="F2933" s="315" t="str">
        <f t="array" ref="F2933">IF(B2933=100,"Free",TEXT(XLOOKUP($D2933,OperationVoice!$A:$A,OperationVoice!AD:AD,XLOOKUP($D2933,OperationTickets!$A:$A,OperationTickets!AD:AD,"",0)),"hh:mm"))</f>
        <v>08:00</v>
      </c>
      <c r="G2933" s="309">
        <f t="shared" si="3"/>
        <v>0.7083333333</v>
      </c>
      <c r="H2933" s="316" t="str">
        <f t="array" ref="H2933">XLOOKUP(B2933,Roster!L:L,Roster!N:N,XLOOKUP(D2933,TicketsBreak!A:A,TicketsBreak!E:E,"",0),0)</f>
        <v>09:15 - 09:30</v>
      </c>
      <c r="I2933" s="316" t="str">
        <f t="array" ref="I2933">XLOOKUP(B2933,Roster!L:L,Roster!O:O,XLOOKUP(D2933,TicketsBreak!A:A,TicketsBreak!F:F,"",0),0)</f>
        <v>11:30 - 12:00</v>
      </c>
      <c r="J2933" s="316" t="str">
        <f t="array" ref="J2933">XLOOKUP(B2933,Roster!L:L,Roster!P:P,XLOOKUP(D2933,TicketsBreak!A:A,TicketsBreak!G:G,"",0),0)</f>
        <v>14:30 - 14:45</v>
      </c>
      <c r="K2933" s="310">
        <f t="shared" si="4"/>
        <v>46136</v>
      </c>
      <c r="L2933" s="317">
        <f t="array" ref="L2933">(XLOOKUP(D2933,Roster!F:F,Roster!D:D,"",0))</f>
        <v>30</v>
      </c>
      <c r="M2933" s="317" t="str">
        <f t="array" ref="M2933">XLOOKUP(D2933,Roster!F:F,Roster!E:E)</f>
        <v>Voice</v>
      </c>
      <c r="N2933" s="317" t="str">
        <f t="shared" ref="N2933:P2933" si="2975">LEFT(H2933,5)</f>
        <v>09:15</v>
      </c>
      <c r="O2933" s="317" t="str">
        <f t="shared" si="2975"/>
        <v>11:30</v>
      </c>
      <c r="P2933" s="317" t="str">
        <f t="shared" si="2975"/>
        <v>14:30</v>
      </c>
      <c r="Q2933" s="318">
        <f t="shared" si="2933"/>
        <v>46136.38542</v>
      </c>
      <c r="R2933" s="318">
        <f t="shared" si="2934"/>
        <v>46136.47917</v>
      </c>
      <c r="S2933" s="318">
        <f t="shared" si="8"/>
        <v>46136.60417</v>
      </c>
    </row>
    <row r="2934">
      <c r="A2934" s="14" t="str">
        <f t="shared" si="1"/>
        <v>C117346136</v>
      </c>
      <c r="B2934" s="185">
        <f t="array" ref="B2934">IF(F2934="VL","",IF(F2934="Free","Free",XLOOKUP(D2934,Roster!T:T,Roster!S:S,"",0)))</f>
        <v>122</v>
      </c>
      <c r="C2934" s="313">
        <v>46136.0</v>
      </c>
      <c r="D2934" s="314" t="s">
        <v>84</v>
      </c>
      <c r="E2934" s="307" t="str">
        <f t="array" ref="E2934">(XLOOKUP(D2934,Roster!F:F,Roster!B:B,"",0))</f>
        <v>Yaidy Mosquera</v>
      </c>
      <c r="F2934" s="315" t="str">
        <f t="array" ref="F2934">IF(B2934=100,"Free",TEXT(XLOOKUP($D2934,OperationVoice!$A:$A,OperationVoice!AD:AD,XLOOKUP($D2934,OperationTickets!$A:$A,OperationTickets!AD:AD,"",0)),"hh:mm"))</f>
        <v>08:00</v>
      </c>
      <c r="G2934" s="309">
        <f t="shared" si="3"/>
        <v>0.7083333333</v>
      </c>
      <c r="H2934" s="316" t="str">
        <f t="array" ref="H2934">XLOOKUP(B2934,Roster!L:L,Roster!N:N,XLOOKUP(D2934,TicketsBreak!A:A,TicketsBreak!E:E,"",0),0)</f>
        <v>09:30 - 09:45</v>
      </c>
      <c r="I2934" s="316" t="str">
        <f t="array" ref="I2934">XLOOKUP(B2934,Roster!L:L,Roster!O:O,XLOOKUP(D2934,TicketsBreak!A:A,TicketsBreak!F:F,"",0),0)</f>
        <v>12:00 - 12:30</v>
      </c>
      <c r="J2934" s="316" t="str">
        <f t="array" ref="J2934">XLOOKUP(B2934,Roster!L:L,Roster!P:P,XLOOKUP(D2934,TicketsBreak!A:A,TicketsBreak!G:G,"",0),0)</f>
        <v>14:45 - 15:00</v>
      </c>
      <c r="K2934" s="310">
        <f t="shared" si="4"/>
        <v>46136</v>
      </c>
      <c r="L2934" s="317">
        <f t="array" ref="L2934">(XLOOKUP(D2934,Roster!F:F,Roster!D:D,"",0))</f>
        <v>24</v>
      </c>
      <c r="M2934" s="317" t="str">
        <f t="array" ref="M2934">XLOOKUP(D2934,Roster!F:F,Roster!E:E)</f>
        <v>Voice</v>
      </c>
      <c r="N2934" s="317" t="str">
        <f t="shared" ref="N2934:P2934" si="2976">LEFT(H2934,5)</f>
        <v>09:30</v>
      </c>
      <c r="O2934" s="317" t="str">
        <f t="shared" si="2976"/>
        <v>12:00</v>
      </c>
      <c r="P2934" s="317" t="str">
        <f t="shared" si="2976"/>
        <v>14:45</v>
      </c>
      <c r="Q2934" s="318">
        <f t="shared" si="2933"/>
        <v>46136.39583</v>
      </c>
      <c r="R2934" s="318">
        <f t="shared" si="2934"/>
        <v>46136.5</v>
      </c>
      <c r="S2934" s="318">
        <f t="shared" si="8"/>
        <v>46136.61458</v>
      </c>
    </row>
    <row r="2935">
      <c r="A2935" s="14" t="str">
        <f t="shared" si="1"/>
        <v>C110846136</v>
      </c>
      <c r="B2935" s="185" t="str">
        <f t="array" ref="B2935">IF(F2935="VL","",IF(F2935="Free","Free",XLOOKUP(D2935,Roster!T:T,Roster!S:S,"",0)))</f>
        <v/>
      </c>
      <c r="C2935" s="313">
        <v>46136.0</v>
      </c>
      <c r="D2935" s="314" t="s">
        <v>187</v>
      </c>
      <c r="E2935" s="307" t="str">
        <f t="array" ref="E2935">(XLOOKUP(D2935,Roster!F:F,Roster!B:B,"",0))</f>
        <v>Yeiner Tapias</v>
      </c>
      <c r="F2935" s="315" t="str">
        <f t="array" ref="F2935">IF(B2935=100,"Free",TEXT(XLOOKUP($D2935,OperationVoice!$A:$A,OperationVoice!AD:AD,XLOOKUP($D2935,OperationTickets!$A:$A,OperationTickets!AD:AD,"",0)),"hh:mm"))</f>
        <v>08:00</v>
      </c>
      <c r="G2935" s="309">
        <f t="shared" si="3"/>
        <v>0.7083333333</v>
      </c>
      <c r="H2935" s="316">
        <f t="array" ref="H2935">XLOOKUP(B2935,Roster!L:L,Roster!N:N,XLOOKUP(D2935,TicketsBreak!A:A,TicketsBreak!E:E,"",0),0)</f>
        <v>0.3958333333</v>
      </c>
      <c r="I2935" s="316">
        <f t="array" ref="I2935">XLOOKUP(B2935,Roster!L:L,Roster!O:O,XLOOKUP(D2935,TicketsBreak!A:A,TicketsBreak!F:F,"",0),0)</f>
        <v>0.5208333333</v>
      </c>
      <c r="J2935" s="316">
        <f t="array" ref="J2935">XLOOKUP(B2935,Roster!L:L,Roster!P:P,XLOOKUP(D2935,TicketsBreak!A:A,TicketsBreak!G:G,"",0),0)</f>
        <v>0.6145833333</v>
      </c>
      <c r="K2935" s="310">
        <f t="shared" si="4"/>
        <v>46136</v>
      </c>
      <c r="L2935" s="317">
        <f t="array" ref="L2935">(XLOOKUP(D2935,Roster!F:F,Roster!D:D,"",0))</f>
        <v>20</v>
      </c>
      <c r="M2935" s="317" t="str">
        <f t="array" ref="M2935">XLOOKUP(D2935,Roster!F:F,Roster!E:E)</f>
        <v>Tickets</v>
      </c>
      <c r="N2935" s="317" t="str">
        <f t="shared" ref="N2935:P2935" si="2977">LEFT(H2935,5)</f>
        <v>09:30</v>
      </c>
      <c r="O2935" s="317" t="str">
        <f t="shared" si="2977"/>
        <v>12:30</v>
      </c>
      <c r="P2935" s="317" t="str">
        <f t="shared" si="2977"/>
        <v>14:45</v>
      </c>
      <c r="Q2935" s="318">
        <f t="shared" si="2933"/>
        <v>46136.39583</v>
      </c>
      <c r="R2935" s="318">
        <f t="shared" si="2934"/>
        <v>46136.52083</v>
      </c>
      <c r="S2935" s="318">
        <f t="shared" si="8"/>
        <v>46136.61458</v>
      </c>
    </row>
    <row r="2936">
      <c r="A2936" s="14" t="str">
        <f t="shared" si="1"/>
        <v>C153946136</v>
      </c>
      <c r="B2936" s="185">
        <f t="array" ref="B2936">IF(F2936="VL","",IF(F2936="Free","Free",XLOOKUP(D2936,Roster!T:T,Roster!S:S,"",0)))</f>
        <v>123</v>
      </c>
      <c r="C2936" s="313">
        <v>46136.0</v>
      </c>
      <c r="D2936" s="314" t="s">
        <v>85</v>
      </c>
      <c r="E2936" s="307" t="str">
        <f t="array" ref="E2936">(XLOOKUP(D2936,Roster!F:F,Roster!B:B,"",0))</f>
        <v>Yovanny Ceballos</v>
      </c>
      <c r="F2936" s="315" t="str">
        <f t="array" ref="F2936">IF(B2936=100,"Free",TEXT(XLOOKUP($D2936,OperationVoice!$A:$A,OperationVoice!AD:AD,XLOOKUP($D2936,OperationTickets!$A:$A,OperationTickets!AD:AD,"",0)),"hh:mm"))</f>
        <v/>
      </c>
      <c r="G2936" s="309" t="str">
        <f t="shared" si="3"/>
        <v/>
      </c>
      <c r="H2936" s="316" t="str">
        <f t="array" ref="H2936">XLOOKUP(B2936,Roster!L:L,Roster!N:N,XLOOKUP(D2936,TicketsBreak!A:A,TicketsBreak!E:E,"",0),0)</f>
        <v>09:45 - 10:00 </v>
      </c>
      <c r="I2936" s="316" t="str">
        <f t="array" ref="I2936">XLOOKUP(B2936,Roster!L:L,Roster!O:O,XLOOKUP(D2936,TicketsBreak!A:A,TicketsBreak!F:F,"",0),0)</f>
        <v>12:30 - 13:00</v>
      </c>
      <c r="J2936" s="316" t="str">
        <f t="array" ref="J2936">XLOOKUP(B2936,Roster!L:L,Roster!P:P,XLOOKUP(D2936,TicketsBreak!A:A,TicketsBreak!G:G,"",0),0)</f>
        <v>15:00 - 15:15</v>
      </c>
      <c r="K2936" s="310">
        <f t="shared" si="4"/>
        <v>46136</v>
      </c>
      <c r="L2936" s="317">
        <f t="array" ref="L2936">(XLOOKUP(D2936,Roster!F:F,Roster!D:D,"",0))</f>
        <v>36</v>
      </c>
      <c r="M2936" s="317" t="str">
        <f t="array" ref="M2936">XLOOKUP(D2936,Roster!F:F,Roster!E:E)</f>
        <v>Voice</v>
      </c>
      <c r="N2936" s="317" t="str">
        <f t="shared" ref="N2936:P2936" si="2978">LEFT(H2936,5)</f>
        <v>09:45</v>
      </c>
      <c r="O2936" s="317" t="str">
        <f t="shared" si="2978"/>
        <v>12:30</v>
      </c>
      <c r="P2936" s="317" t="str">
        <f t="shared" si="2978"/>
        <v>15:00</v>
      </c>
      <c r="Q2936" s="318">
        <f t="shared" si="2933"/>
        <v>46136.40625</v>
      </c>
      <c r="R2936" s="318">
        <f t="shared" si="2934"/>
        <v>46136.52083</v>
      </c>
      <c r="S2936" s="318">
        <f t="shared" si="8"/>
        <v>46136.625</v>
      </c>
    </row>
    <row r="2937">
      <c r="A2937" s="14" t="str">
        <f t="shared" si="1"/>
        <v>46136</v>
      </c>
      <c r="B2937" s="185" t="str">
        <f t="array" ref="B2937">IF(F2937="VL","",IF(F2937="Free","Free",XLOOKUP(D2937,Roster!T:T,Roster!S:S,"",0)))</f>
        <v/>
      </c>
      <c r="C2937" s="313">
        <v>46136.0</v>
      </c>
      <c r="D2937" s="314"/>
      <c r="E2937" s="307" t="str">
        <f t="array" ref="E2937">(XLOOKUP(D2937,Roster!F:F,Roster!B:B,"",0))</f>
        <v/>
      </c>
      <c r="F2937" s="315" t="str">
        <f t="array" ref="F2937">IF(B2937=100,"Free",TEXT(XLOOKUP($D2937,OperationVoice!$A:$A,OperationVoice!AD:AD,XLOOKUP($D2937,OperationTickets!$A:$A,OperationTickets!AD:AD,"",0)),"hh:mm"))</f>
        <v/>
      </c>
      <c r="G2937" s="309" t="str">
        <f t="shared" si="3"/>
        <v/>
      </c>
      <c r="H2937" s="316" t="str">
        <f t="array" ref="H2937">XLOOKUP(B2937,Roster!L:L,Roster!N:N,XLOOKUP(D2937,TicketsBreak!A:A,TicketsBreak!E:E,"",0),0)</f>
        <v/>
      </c>
      <c r="I2937" s="316" t="str">
        <f t="array" ref="I2937">XLOOKUP(B2937,Roster!L:L,Roster!O:O,XLOOKUP(D2937,TicketsBreak!A:A,TicketsBreak!F:F,"",0),0)</f>
        <v/>
      </c>
      <c r="J2937" s="316" t="str">
        <f t="array" ref="J2937">XLOOKUP(B2937,Roster!L:L,Roster!P:P,XLOOKUP(D2937,TicketsBreak!A:A,TicketsBreak!G:G,"",0),0)</f>
        <v/>
      </c>
      <c r="K2937" s="310">
        <f t="shared" si="4"/>
        <v>46136</v>
      </c>
      <c r="L2937" s="317" t="str">
        <f t="array" ref="L2937">(XLOOKUP(D2937,Roster!F:F,Roster!D:D,"",0))</f>
        <v/>
      </c>
      <c r="M2937" s="317" t="str">
        <f t="array" ref="M2937">XLOOKUP(D2937,Roster!F:F,Roster!E:E)</f>
        <v>#N/A</v>
      </c>
      <c r="N2937" s="317" t="str">
        <f t="shared" ref="N2937:P2937" si="2979">LEFT(H2937,5)</f>
        <v/>
      </c>
      <c r="O2937" s="317" t="str">
        <f t="shared" si="2979"/>
        <v/>
      </c>
      <c r="P2937" s="317" t="str">
        <f t="shared" si="2979"/>
        <v/>
      </c>
      <c r="Q2937" s="318" t="str">
        <f t="shared" si="2933"/>
        <v/>
      </c>
      <c r="R2937" s="318" t="str">
        <f t="shared" si="2934"/>
        <v/>
      </c>
      <c r="S2937" s="318" t="str">
        <f t="shared" si="8"/>
        <v/>
      </c>
    </row>
    <row r="2938">
      <c r="A2938" s="14" t="str">
        <f t="shared" si="1"/>
        <v>46136</v>
      </c>
      <c r="B2938" s="185" t="str">
        <f t="array" ref="B2938">IF(F2938="VL","",IF(F2938="Free","Free",XLOOKUP(D2938,Roster!T:T,Roster!S:S,"",0)))</f>
        <v/>
      </c>
      <c r="C2938" s="313">
        <v>46136.0</v>
      </c>
      <c r="D2938" s="314"/>
      <c r="E2938" s="307" t="str">
        <f t="array" ref="E2938">(XLOOKUP(D2938,Roster!F:F,Roster!B:B,"",0))</f>
        <v/>
      </c>
      <c r="F2938" s="315" t="str">
        <f t="array" ref="F2938">IF(B2938=100,"Free",TEXT(XLOOKUP($D2938,OperationVoice!$A:$A,OperationVoice!AD:AD,XLOOKUP($D2938,OperationTickets!$A:$A,OperationTickets!AD:AD,"",0)),"hh:mm"))</f>
        <v/>
      </c>
      <c r="G2938" s="309" t="str">
        <f t="shared" si="3"/>
        <v/>
      </c>
      <c r="H2938" s="316" t="str">
        <f t="array" ref="H2938">XLOOKUP(B2938,Roster!L:L,Roster!N:N,XLOOKUP(D2938,TicketsBreak!A:A,TicketsBreak!E:E,"",0),0)</f>
        <v/>
      </c>
      <c r="I2938" s="316" t="str">
        <f t="array" ref="I2938">XLOOKUP(B2938,Roster!L:L,Roster!O:O,XLOOKUP(D2938,TicketsBreak!A:A,TicketsBreak!F:F,"",0),0)</f>
        <v/>
      </c>
      <c r="J2938" s="316" t="str">
        <f t="array" ref="J2938">XLOOKUP(B2938,Roster!L:L,Roster!P:P,XLOOKUP(D2938,TicketsBreak!A:A,TicketsBreak!G:G,"",0),0)</f>
        <v/>
      </c>
      <c r="K2938" s="310">
        <f t="shared" si="4"/>
        <v>46136</v>
      </c>
      <c r="L2938" s="317" t="str">
        <f t="array" ref="L2938">(XLOOKUP(D2938,Roster!F:F,Roster!D:D,"",0))</f>
        <v/>
      </c>
      <c r="M2938" s="317" t="str">
        <f t="array" ref="M2938">XLOOKUP(D2938,Roster!F:F,Roster!E:E)</f>
        <v>#N/A</v>
      </c>
      <c r="N2938" s="317" t="str">
        <f t="shared" ref="N2938:P2938" si="2980">LEFT(H2938,5)</f>
        <v/>
      </c>
      <c r="O2938" s="317" t="str">
        <f t="shared" si="2980"/>
        <v/>
      </c>
      <c r="P2938" s="317" t="str">
        <f t="shared" si="2980"/>
        <v/>
      </c>
      <c r="Q2938" s="318" t="str">
        <f t="shared" si="2933"/>
        <v/>
      </c>
      <c r="R2938" s="318" t="str">
        <f t="shared" si="2934"/>
        <v/>
      </c>
      <c r="S2938" s="318" t="str">
        <f t="shared" si="8"/>
        <v/>
      </c>
    </row>
    <row r="2939">
      <c r="A2939" s="14" t="str">
        <f t="shared" si="1"/>
        <v>46136</v>
      </c>
      <c r="B2939" s="185" t="str">
        <f t="array" ref="B2939">IF(F2939="VL","",IF(F2939="Free","Free",XLOOKUP(D2939,Roster!T:T,Roster!S:S,"",0)))</f>
        <v/>
      </c>
      <c r="C2939" s="313">
        <v>46136.0</v>
      </c>
      <c r="D2939" s="314"/>
      <c r="E2939" s="307" t="str">
        <f t="array" ref="E2939">(XLOOKUP(D2939,Roster!F:F,Roster!B:B,"",0))</f>
        <v/>
      </c>
      <c r="F2939" s="315" t="str">
        <f t="array" ref="F2939">IF(B2939=100,"Free",TEXT(XLOOKUP($D2939,OperationVoice!$A:$A,OperationVoice!AD:AD,XLOOKUP($D2939,OperationTickets!$A:$A,OperationTickets!AD:AD,"",0)),"hh:mm"))</f>
        <v/>
      </c>
      <c r="G2939" s="309" t="str">
        <f t="shared" si="3"/>
        <v/>
      </c>
      <c r="H2939" s="316" t="str">
        <f t="array" ref="H2939">XLOOKUP(B2939,Roster!L:L,Roster!N:N,XLOOKUP(D2939,TicketsBreak!A:A,TicketsBreak!E:E,"",0),0)</f>
        <v/>
      </c>
      <c r="I2939" s="316" t="str">
        <f t="array" ref="I2939">XLOOKUP(B2939,Roster!L:L,Roster!O:O,XLOOKUP(D2939,TicketsBreak!A:A,TicketsBreak!F:F,"",0),0)</f>
        <v/>
      </c>
      <c r="J2939" s="316" t="str">
        <f t="array" ref="J2939">XLOOKUP(B2939,Roster!L:L,Roster!P:P,XLOOKUP(D2939,TicketsBreak!A:A,TicketsBreak!G:G,"",0),0)</f>
        <v/>
      </c>
      <c r="K2939" s="310">
        <f t="shared" si="4"/>
        <v>46136</v>
      </c>
      <c r="L2939" s="317" t="str">
        <f t="array" ref="L2939">(XLOOKUP(D2939,Roster!F:F,Roster!D:D,"",0))</f>
        <v/>
      </c>
      <c r="M2939" s="317" t="str">
        <f t="array" ref="M2939">XLOOKUP(D2939,Roster!F:F,Roster!E:E)</f>
        <v>#N/A</v>
      </c>
      <c r="N2939" s="317" t="str">
        <f t="shared" ref="N2939:P2939" si="2981">LEFT(H2939,5)</f>
        <v/>
      </c>
      <c r="O2939" s="317" t="str">
        <f t="shared" si="2981"/>
        <v/>
      </c>
      <c r="P2939" s="317" t="str">
        <f t="shared" si="2981"/>
        <v/>
      </c>
      <c r="Q2939" s="318" t="str">
        <f t="shared" si="2933"/>
        <v/>
      </c>
      <c r="R2939" s="318" t="str">
        <f t="shared" si="2934"/>
        <v/>
      </c>
      <c r="S2939" s="318" t="str">
        <f t="shared" si="8"/>
        <v/>
      </c>
    </row>
    <row r="2940">
      <c r="A2940" s="14" t="str">
        <f t="shared" si="1"/>
        <v>46136</v>
      </c>
      <c r="B2940" s="185" t="str">
        <f t="array" ref="B2940">IF(F2940="VL","",IF(F2940="Free","Free",XLOOKUP(D2940,Roster!T:T,Roster!S:S,"",0)))</f>
        <v/>
      </c>
      <c r="C2940" s="313">
        <v>46136.0</v>
      </c>
      <c r="D2940" s="314"/>
      <c r="E2940" s="307" t="str">
        <f t="array" ref="E2940">(XLOOKUP(D2940,Roster!F:F,Roster!B:B,"",0))</f>
        <v/>
      </c>
      <c r="F2940" s="315" t="str">
        <f t="array" ref="F2940">IF(B2940=100,"Free",TEXT(XLOOKUP($D2940,OperationVoice!$A:$A,OperationVoice!AD:AD,XLOOKUP($D2940,OperationTickets!$A:$A,OperationTickets!AD:AD,"",0)),"hh:mm"))</f>
        <v/>
      </c>
      <c r="G2940" s="309" t="str">
        <f t="shared" si="3"/>
        <v/>
      </c>
      <c r="H2940" s="316" t="str">
        <f t="array" ref="H2940">XLOOKUP(B2940,Roster!L:L,Roster!N:N,XLOOKUP(D2940,TicketsBreak!A:A,TicketsBreak!E:E,"",0),0)</f>
        <v/>
      </c>
      <c r="I2940" s="316" t="str">
        <f t="array" ref="I2940">XLOOKUP(B2940,Roster!L:L,Roster!O:O,XLOOKUP(D2940,TicketsBreak!A:A,TicketsBreak!F:F,"",0),0)</f>
        <v/>
      </c>
      <c r="J2940" s="316" t="str">
        <f t="array" ref="J2940">XLOOKUP(B2940,Roster!L:L,Roster!P:P,XLOOKUP(D2940,TicketsBreak!A:A,TicketsBreak!G:G,"",0),0)</f>
        <v/>
      </c>
      <c r="K2940" s="310">
        <f t="shared" si="4"/>
        <v>46136</v>
      </c>
      <c r="L2940" s="317" t="str">
        <f t="array" ref="L2940">(XLOOKUP(D2940,Roster!F:F,Roster!D:D,"",0))</f>
        <v/>
      </c>
      <c r="M2940" s="317" t="str">
        <f t="array" ref="M2940">XLOOKUP(D2940,Roster!F:F,Roster!E:E)</f>
        <v>#N/A</v>
      </c>
      <c r="N2940" s="317" t="str">
        <f t="shared" ref="N2940:P2940" si="2982">LEFT(H2940,5)</f>
        <v/>
      </c>
      <c r="O2940" s="317" t="str">
        <f t="shared" si="2982"/>
        <v/>
      </c>
      <c r="P2940" s="317" t="str">
        <f t="shared" si="2982"/>
        <v/>
      </c>
      <c r="Q2940" s="318" t="str">
        <f t="shared" si="2933"/>
        <v/>
      </c>
      <c r="R2940" s="318" t="str">
        <f t="shared" si="2934"/>
        <v/>
      </c>
      <c r="S2940" s="318" t="str">
        <f t="shared" si="8"/>
        <v/>
      </c>
    </row>
    <row r="2941">
      <c r="A2941" s="14" t="str">
        <f t="shared" si="1"/>
        <v>46136</v>
      </c>
      <c r="B2941" s="185" t="str">
        <f t="array" ref="B2941">IF(F2941="VL","",IF(F2941="Free","Free",XLOOKUP(D2941,Roster!T:T,Roster!S:S,"",0)))</f>
        <v/>
      </c>
      <c r="C2941" s="313">
        <v>46136.0</v>
      </c>
      <c r="D2941" s="314"/>
      <c r="E2941" s="307" t="str">
        <f t="array" ref="E2941">(XLOOKUP(D2941,Roster!F:F,Roster!B:B,"",0))</f>
        <v/>
      </c>
      <c r="F2941" s="315" t="str">
        <f t="array" ref="F2941">IF(B2941=100,"Free",TEXT(XLOOKUP($D2941,OperationVoice!$A:$A,OperationVoice!AD:AD,XLOOKUP($D2941,OperationTickets!$A:$A,OperationTickets!AD:AD,"",0)),"hh:mm"))</f>
        <v/>
      </c>
      <c r="G2941" s="309" t="str">
        <f t="shared" si="3"/>
        <v/>
      </c>
      <c r="H2941" s="316" t="str">
        <f t="array" ref="H2941">XLOOKUP(B2941,Roster!L:L,Roster!N:N,XLOOKUP(D2941,TicketsBreak!A:A,TicketsBreak!E:E,"",0),0)</f>
        <v/>
      </c>
      <c r="I2941" s="316" t="str">
        <f t="array" ref="I2941">XLOOKUP(B2941,Roster!L:L,Roster!O:O,XLOOKUP(D2941,TicketsBreak!A:A,TicketsBreak!F:F,"",0),0)</f>
        <v/>
      </c>
      <c r="J2941" s="316" t="str">
        <f t="array" ref="J2941">XLOOKUP(B2941,Roster!L:L,Roster!P:P,XLOOKUP(D2941,TicketsBreak!A:A,TicketsBreak!G:G,"",0),0)</f>
        <v/>
      </c>
      <c r="K2941" s="310">
        <f t="shared" si="4"/>
        <v>46136</v>
      </c>
      <c r="L2941" s="317" t="str">
        <f t="array" ref="L2941">(XLOOKUP(D2941,Roster!F:F,Roster!D:D,"",0))</f>
        <v/>
      </c>
      <c r="M2941" s="317" t="str">
        <f t="array" ref="M2941">XLOOKUP(D2941,Roster!F:F,Roster!E:E)</f>
        <v>#N/A</v>
      </c>
      <c r="N2941" s="317" t="str">
        <f t="shared" ref="N2941:P2941" si="2983">LEFT(H2941,5)</f>
        <v/>
      </c>
      <c r="O2941" s="317" t="str">
        <f t="shared" si="2983"/>
        <v/>
      </c>
      <c r="P2941" s="317" t="str">
        <f t="shared" si="2983"/>
        <v/>
      </c>
      <c r="Q2941" s="318" t="str">
        <f t="shared" si="2933"/>
        <v/>
      </c>
      <c r="R2941" s="318" t="str">
        <f t="shared" si="2934"/>
        <v/>
      </c>
      <c r="S2941" s="318" t="str">
        <f t="shared" si="8"/>
        <v/>
      </c>
    </row>
    <row r="2942">
      <c r="A2942" s="14" t="str">
        <f t="shared" si="1"/>
        <v>C81846137</v>
      </c>
      <c r="B2942" s="185" t="str">
        <f t="array" ref="B2942">IF(F2942="VL","",IF(F2942="Free","Free",XLOOKUP(D2942,Roster!T:T,Roster!S:S,"",0)))</f>
        <v>Free</v>
      </c>
      <c r="C2942" s="313">
        <v>46137.0</v>
      </c>
      <c r="D2942" s="314" t="s">
        <v>9</v>
      </c>
      <c r="E2942" s="307" t="str">
        <f t="array" ref="E2942">(XLOOKUP(D2942,Roster!F:F,Roster!B:B,"",0))</f>
        <v>Adriana Moncaleano</v>
      </c>
      <c r="F2942" s="315" t="str">
        <f t="array" ref="F2942">IF(B2942=100,"Free",TEXT(XLOOKUP($D2942,OperationVoice!$A:$A,OperationVoice!AE:AE,XLOOKUP($D2942,OperationTickets!$A:$A,OperationTickets!AE:AE,"",0)),"hh:mm"))</f>
        <v>Free</v>
      </c>
      <c r="G2942" s="309" t="str">
        <f t="shared" si="3"/>
        <v>Free</v>
      </c>
      <c r="H2942" s="316" t="str">
        <f t="array" ref="H2942">XLOOKUP(B2942,Roster!L:L,Roster!N:N,XLOOKUP(D2942,TicketsBreak!A:A,TicketsBreak!E:E,"",0),0)</f>
        <v/>
      </c>
      <c r="I2942" s="316" t="str">
        <f t="array" ref="I2942">XLOOKUP(B2942,Roster!L:L,Roster!O:O,XLOOKUP(D2942,TicketsBreak!A:A,TicketsBreak!F:F,"",0),0)</f>
        <v/>
      </c>
      <c r="J2942" s="316" t="str">
        <f t="array" ref="J2942">XLOOKUP(B2942,Roster!L:L,Roster!P:P,XLOOKUP(D2942,TicketsBreak!A:A,TicketsBreak!G:G,"",0),0)</f>
        <v/>
      </c>
      <c r="K2942" s="310">
        <f t="shared" si="4"/>
        <v>46137</v>
      </c>
      <c r="L2942" s="317">
        <f t="array" ref="L2942">(XLOOKUP(D2942,Roster!F:F,Roster!D:D,"",0))</f>
        <v>23</v>
      </c>
      <c r="M2942" s="317" t="str">
        <f t="array" ref="M2942">XLOOKUP(D2942,Roster!F:F,Roster!E:E)</f>
        <v>Voice</v>
      </c>
      <c r="N2942" s="317" t="str">
        <f t="shared" ref="N2942:P2942" si="2984">LEFT(H2942,5)</f>
        <v/>
      </c>
      <c r="O2942" s="317" t="str">
        <f t="shared" si="2984"/>
        <v/>
      </c>
      <c r="P2942" s="317" t="str">
        <f t="shared" si="2984"/>
        <v/>
      </c>
      <c r="Q2942" s="318" t="str">
        <f t="shared" si="2933"/>
        <v/>
      </c>
      <c r="R2942" s="318" t="str">
        <f t="shared" si="2934"/>
        <v/>
      </c>
      <c r="S2942" s="318" t="str">
        <f t="shared" si="8"/>
        <v/>
      </c>
    </row>
    <row r="2943">
      <c r="A2943" s="14" t="str">
        <f t="shared" si="1"/>
        <v>C110746137</v>
      </c>
      <c r="B2943" s="185">
        <f t="array" ref="B2943">IF(F2943="VL","",IF(F2943="Free","Free",XLOOKUP(D2943,Roster!T:T,Roster!S:S,"",0)))</f>
        <v>153</v>
      </c>
      <c r="C2943" s="313">
        <v>46137.0</v>
      </c>
      <c r="D2943" s="314" t="s">
        <v>10</v>
      </c>
      <c r="E2943" s="307" t="str">
        <f t="array" ref="E2943">(XLOOKUP(D2943,Roster!F:F,Roster!B:B,"",0))</f>
        <v>Alejandro Malave</v>
      </c>
      <c r="F2943" s="315" t="str">
        <f t="array" ref="F2943">IF(B2943=100,"Free",TEXT(XLOOKUP($D2943,OperationVoice!$A:$A,OperationVoice!AE:AE,XLOOKUP($D2943,OperationTickets!$A:$A,OperationTickets!AE:AE,"",0)),"hh:mm"))</f>
        <v>11:00</v>
      </c>
      <c r="G2943" s="309">
        <f t="shared" si="3"/>
        <v>0.8333333333</v>
      </c>
      <c r="H2943" s="316" t="str">
        <f t="array" ref="H2943">XLOOKUP(B2943,Roster!L:L,Roster!N:N,XLOOKUP(D2943,TicketsBreak!A:A,TicketsBreak!E:E,"",0),0)</f>
        <v>12:45 - 13:00</v>
      </c>
      <c r="I2943" s="316" t="str">
        <f t="array" ref="I2943">XLOOKUP(B2943,Roster!L:L,Roster!O:O,XLOOKUP(D2943,TicketsBreak!A:A,TicketsBreak!F:F,"",0),0)</f>
        <v>15:00 - 15:30</v>
      </c>
      <c r="J2943" s="316" t="str">
        <f t="array" ref="J2943">XLOOKUP(B2943,Roster!L:L,Roster!P:P,XLOOKUP(D2943,TicketsBreak!A:A,TicketsBreak!G:G,"",0),0)</f>
        <v>17:45 - 18:00</v>
      </c>
      <c r="K2943" s="310">
        <f t="shared" si="4"/>
        <v>46137</v>
      </c>
      <c r="L2943" s="317">
        <f t="array" ref="L2943">(XLOOKUP(D2943,Roster!F:F,Roster!D:D,"",0))</f>
        <v>36</v>
      </c>
      <c r="M2943" s="317" t="str">
        <f t="array" ref="M2943">XLOOKUP(D2943,Roster!F:F,Roster!E:E)</f>
        <v>Voice</v>
      </c>
      <c r="N2943" s="317" t="str">
        <f t="shared" ref="N2943:P2943" si="2985">LEFT(H2943,5)</f>
        <v>12:45</v>
      </c>
      <c r="O2943" s="317" t="str">
        <f t="shared" si="2985"/>
        <v>15:00</v>
      </c>
      <c r="P2943" s="317" t="str">
        <f t="shared" si="2985"/>
        <v>17:45</v>
      </c>
      <c r="Q2943" s="318">
        <f t="shared" si="2933"/>
        <v>46137.53125</v>
      </c>
      <c r="R2943" s="318">
        <f t="shared" si="2934"/>
        <v>46137.625</v>
      </c>
      <c r="S2943" s="318">
        <f t="shared" si="8"/>
        <v>46137.73958</v>
      </c>
    </row>
    <row r="2944">
      <c r="A2944" s="14" t="str">
        <f t="shared" si="1"/>
        <v>C69946137</v>
      </c>
      <c r="B2944" s="185" t="str">
        <f t="array" ref="B2944">IF(F2944="VL","",IF(F2944="Free","Free",XLOOKUP(D2944,Roster!T:T,Roster!S:S,"",0)))</f>
        <v>Free</v>
      </c>
      <c r="C2944" s="313">
        <v>46137.0</v>
      </c>
      <c r="D2944" s="314" t="s">
        <v>137</v>
      </c>
      <c r="E2944" s="307" t="str">
        <f t="array" ref="E2944">(XLOOKUP(D2944,Roster!F:F,Roster!B:B,"",0))</f>
        <v>Alexa Arenas</v>
      </c>
      <c r="F2944" s="315" t="str">
        <f t="array" ref="F2944">IF(B2944=100,"Free",TEXT(XLOOKUP($D2944,OperationVoice!$A:$A,OperationVoice!AE:AE,XLOOKUP($D2944,OperationTickets!$A:$A,OperationTickets!AE:AE,"",0)),"hh:mm"))</f>
        <v>Free</v>
      </c>
      <c r="G2944" s="309" t="str">
        <f t="shared" si="3"/>
        <v>Free</v>
      </c>
      <c r="H2944" s="316">
        <f t="array" ref="H2944">XLOOKUP(B2944,Roster!L:L,Roster!N:N,XLOOKUP(D2944,TicketsBreak!A:A,TicketsBreak!E:E,"",0),0)</f>
        <v>0.40625</v>
      </c>
      <c r="I2944" s="316">
        <f t="array" ref="I2944">XLOOKUP(B2944,Roster!L:L,Roster!O:O,XLOOKUP(D2944,TicketsBreak!A:A,TicketsBreak!F:F,"",0),0)</f>
        <v>0.5</v>
      </c>
      <c r="J2944" s="316">
        <f t="array" ref="J2944">XLOOKUP(B2944,Roster!L:L,Roster!P:P,XLOOKUP(D2944,TicketsBreak!A:A,TicketsBreak!G:G,"",0),0)</f>
        <v>0.65625</v>
      </c>
      <c r="K2944" s="310">
        <f t="shared" si="4"/>
        <v>46137</v>
      </c>
      <c r="L2944" s="317">
        <f t="array" ref="L2944">(XLOOKUP(D2944,Roster!F:F,Roster!D:D,"",0))</f>
        <v>5</v>
      </c>
      <c r="M2944" s="317" t="str">
        <f t="array" ref="M2944">XLOOKUP(D2944,Roster!F:F,Roster!E:E)</f>
        <v>Tickets</v>
      </c>
      <c r="N2944" s="317" t="str">
        <f t="shared" ref="N2944:P2944" si="2986">LEFT(H2944,5)</f>
        <v>09:45</v>
      </c>
      <c r="O2944" s="317" t="str">
        <f t="shared" si="2986"/>
        <v>12:00</v>
      </c>
      <c r="P2944" s="317" t="str">
        <f t="shared" si="2986"/>
        <v>15:45</v>
      </c>
      <c r="Q2944" s="318">
        <f t="shared" si="2933"/>
        <v>46137.40625</v>
      </c>
      <c r="R2944" s="318">
        <f t="shared" si="2934"/>
        <v>46137.5</v>
      </c>
      <c r="S2944" s="318">
        <f t="shared" si="8"/>
        <v>46137.65625</v>
      </c>
    </row>
    <row r="2945">
      <c r="A2945" s="14" t="str">
        <f t="shared" si="1"/>
        <v>C157046137</v>
      </c>
      <c r="B2945" s="185">
        <f t="array" ref="B2945">IF(F2945="VL","",IF(F2945="Free","Free",XLOOKUP(D2945,Roster!T:T,Roster!S:S,"",0)))</f>
        <v>123</v>
      </c>
      <c r="C2945" s="313">
        <v>46137.0</v>
      </c>
      <c r="D2945" s="314" t="s">
        <v>11</v>
      </c>
      <c r="E2945" s="307" t="str">
        <f t="array" ref="E2945">(XLOOKUP(D2945,Roster!F:F,Roster!B:B,"",0))</f>
        <v>Alexander Bartoli</v>
      </c>
      <c r="F2945" s="315" t="str">
        <f t="array" ref="F2945">IF(B2945=100,"Free",TEXT(XLOOKUP($D2945,OperationVoice!$A:$A,OperationVoice!AE:AE,XLOOKUP($D2945,OperationTickets!$A:$A,OperationTickets!AE:AE,"",0)),"hh:mm"))</f>
        <v>08:00</v>
      </c>
      <c r="G2945" s="309">
        <f t="shared" si="3"/>
        <v>0.7083333333</v>
      </c>
      <c r="H2945" s="316" t="str">
        <f t="array" ref="H2945">XLOOKUP(B2945,Roster!L:L,Roster!N:N,XLOOKUP(D2945,TicketsBreak!A:A,TicketsBreak!E:E,"",0),0)</f>
        <v>09:45 - 10:00 </v>
      </c>
      <c r="I2945" s="316" t="str">
        <f t="array" ref="I2945">XLOOKUP(B2945,Roster!L:L,Roster!O:O,XLOOKUP(D2945,TicketsBreak!A:A,TicketsBreak!F:F,"",0),0)</f>
        <v>12:30 - 13:00</v>
      </c>
      <c r="J2945" s="316" t="str">
        <f t="array" ref="J2945">XLOOKUP(B2945,Roster!L:L,Roster!P:P,XLOOKUP(D2945,TicketsBreak!A:A,TicketsBreak!G:G,"",0),0)</f>
        <v>15:00 - 15:15</v>
      </c>
      <c r="K2945" s="310">
        <f t="shared" si="4"/>
        <v>46137</v>
      </c>
      <c r="L2945" s="317">
        <f t="array" ref="L2945">(XLOOKUP(D2945,Roster!F:F,Roster!D:D,"",0))</f>
        <v>38</v>
      </c>
      <c r="M2945" s="317" t="str">
        <f t="array" ref="M2945">XLOOKUP(D2945,Roster!F:F,Roster!E:E)</f>
        <v>Voice</v>
      </c>
      <c r="N2945" s="317" t="str">
        <f t="shared" ref="N2945:P2945" si="2987">LEFT(H2945,5)</f>
        <v>09:45</v>
      </c>
      <c r="O2945" s="317" t="str">
        <f t="shared" si="2987"/>
        <v>12:30</v>
      </c>
      <c r="P2945" s="317" t="str">
        <f t="shared" si="2987"/>
        <v>15:00</v>
      </c>
      <c r="Q2945" s="318">
        <f t="shared" si="2933"/>
        <v>46137.40625</v>
      </c>
      <c r="R2945" s="318">
        <f t="shared" si="2934"/>
        <v>46137.52083</v>
      </c>
      <c r="S2945" s="318">
        <f t="shared" si="8"/>
        <v>46137.625</v>
      </c>
    </row>
    <row r="2946">
      <c r="A2946" s="14" t="str">
        <f t="shared" si="1"/>
        <v>C93546137</v>
      </c>
      <c r="B2946" s="185" t="str">
        <f t="array" ref="B2946">IF(F2946="VL","",IF(F2946="Free","Free",XLOOKUP(D2946,Roster!T:T,Roster!S:S,"",0)))</f>
        <v/>
      </c>
      <c r="C2946" s="313">
        <v>46137.0</v>
      </c>
      <c r="D2946" s="314" t="s">
        <v>153</v>
      </c>
      <c r="E2946" s="307" t="str">
        <f t="array" ref="E2946">(XLOOKUP(D2946,Roster!F:F,Roster!B:B,"",0))</f>
        <v>Alexis Arias</v>
      </c>
      <c r="F2946" s="315" t="str">
        <f t="array" ref="F2946">IF(B2946=100,"Free",TEXT(XLOOKUP($D2946,OperationVoice!$A:$A,OperationVoice!AE:AE,XLOOKUP($D2946,OperationTickets!$A:$A,OperationTickets!AE:AE,"",0)),"hh:mm"))</f>
        <v>07:30</v>
      </c>
      <c r="G2946" s="309">
        <f t="shared" si="3"/>
        <v>0.6875</v>
      </c>
      <c r="H2946" s="316">
        <f t="array" ref="H2946">XLOOKUP(B2946,Roster!L:L,Roster!N:N,XLOOKUP(D2946,TicketsBreak!A:A,TicketsBreak!E:E,"",0),0)</f>
        <v>0.4270833333</v>
      </c>
      <c r="I2946" s="316">
        <f t="array" ref="I2946">XLOOKUP(B2946,Roster!L:L,Roster!O:O,XLOOKUP(D2946,TicketsBreak!A:A,TicketsBreak!F:F,"",0),0)</f>
        <v>0.53125</v>
      </c>
      <c r="J2946" s="316">
        <f t="array" ref="J2946">XLOOKUP(B2946,Roster!L:L,Roster!P:P,XLOOKUP(D2946,TicketsBreak!A:A,TicketsBreak!G:G,"",0),0)</f>
        <v>0.6458333333</v>
      </c>
      <c r="K2946" s="310">
        <f t="shared" si="4"/>
        <v>46137</v>
      </c>
      <c r="L2946" s="317">
        <f t="array" ref="L2946">(XLOOKUP(D2946,Roster!F:F,Roster!D:D,"",0))</f>
        <v>12</v>
      </c>
      <c r="M2946" s="317" t="str">
        <f t="array" ref="M2946">XLOOKUP(D2946,Roster!F:F,Roster!E:E)</f>
        <v>Tickets</v>
      </c>
      <c r="N2946" s="317" t="str">
        <f t="shared" ref="N2946:P2946" si="2988">LEFT(H2946,5)</f>
        <v>10:15</v>
      </c>
      <c r="O2946" s="317" t="str">
        <f t="shared" si="2988"/>
        <v>12:45</v>
      </c>
      <c r="P2946" s="317" t="str">
        <f t="shared" si="2988"/>
        <v>15:30</v>
      </c>
      <c r="Q2946" s="318">
        <f t="shared" si="2933"/>
        <v>46137.42708</v>
      </c>
      <c r="R2946" s="318">
        <f t="shared" si="2934"/>
        <v>46137.53125</v>
      </c>
      <c r="S2946" s="318">
        <f t="shared" si="8"/>
        <v>46137.64583</v>
      </c>
    </row>
    <row r="2947">
      <c r="A2947" s="14" t="str">
        <f t="shared" si="1"/>
        <v>C72746137</v>
      </c>
      <c r="B2947" s="185" t="str">
        <f t="array" ref="B2947">IF(F2947="VL","",IF(F2947="Free","Free",XLOOKUP(D2947,Roster!T:T,Roster!S:S,"",0)))</f>
        <v/>
      </c>
      <c r="C2947" s="313">
        <v>46137.0</v>
      </c>
      <c r="D2947" s="314" t="s">
        <v>154</v>
      </c>
      <c r="E2947" s="307" t="str">
        <f t="array" ref="E2947">(XLOOKUP(D2947,Roster!F:F,Roster!B:B,"",0))</f>
        <v>Ana Moreno</v>
      </c>
      <c r="F2947" s="315" t="str">
        <f t="array" ref="F2947">IF(B2947=100,"Free",TEXT(XLOOKUP($D2947,OperationVoice!$A:$A,OperationVoice!AE:AE,XLOOKUP($D2947,OperationTickets!$A:$A,OperationTickets!AE:AE,"",0)),"hh:mm"))</f>
        <v>08:00</v>
      </c>
      <c r="G2947" s="309">
        <f t="shared" si="3"/>
        <v>0.7083333333</v>
      </c>
      <c r="H2947" s="316">
        <f t="array" ref="H2947">XLOOKUP(B2947,Roster!L:L,Roster!N:N,XLOOKUP(D2947,TicketsBreak!A:A,TicketsBreak!E:E,"",0),0)</f>
        <v>0.4166666667</v>
      </c>
      <c r="I2947" s="316">
        <f t="array" ref="I2947">XLOOKUP(B2947,Roster!L:L,Roster!O:O,XLOOKUP(D2947,TicketsBreak!A:A,TicketsBreak!F:F,"",0),0)</f>
        <v>0.5208333333</v>
      </c>
      <c r="J2947" s="316">
        <f t="array" ref="J2947">XLOOKUP(B2947,Roster!L:L,Roster!P:P,XLOOKUP(D2947,TicketsBreak!A:A,TicketsBreak!G:G,"",0),0)</f>
        <v>0.65625</v>
      </c>
      <c r="K2947" s="310">
        <f t="shared" si="4"/>
        <v>46137</v>
      </c>
      <c r="L2947" s="317">
        <f t="array" ref="L2947">(XLOOKUP(D2947,Roster!F:F,Roster!D:D,"",0))</f>
        <v>7</v>
      </c>
      <c r="M2947" s="317" t="str">
        <f t="array" ref="M2947">XLOOKUP(D2947,Roster!F:F,Roster!E:E)</f>
        <v>Tickets</v>
      </c>
      <c r="N2947" s="317" t="str">
        <f t="shared" ref="N2947:P2947" si="2989">LEFT(H2947,5)</f>
        <v>10:00</v>
      </c>
      <c r="O2947" s="317" t="str">
        <f t="shared" si="2989"/>
        <v>12:30</v>
      </c>
      <c r="P2947" s="317" t="str">
        <f t="shared" si="2989"/>
        <v>15:45</v>
      </c>
      <c r="Q2947" s="318">
        <f t="shared" si="2933"/>
        <v>46137.41667</v>
      </c>
      <c r="R2947" s="318">
        <f t="shared" si="2934"/>
        <v>46137.52083</v>
      </c>
      <c r="S2947" s="318">
        <f t="shared" si="8"/>
        <v>46137.65625</v>
      </c>
    </row>
    <row r="2948">
      <c r="A2948" s="14" t="str">
        <f t="shared" si="1"/>
        <v>C157446137</v>
      </c>
      <c r="B2948" s="185">
        <f t="array" ref="B2948">IF(F2948="VL","",IF(F2948="Free","Free",XLOOKUP(D2948,Roster!T:T,Roster!S:S,"",0)))</f>
        <v>124</v>
      </c>
      <c r="C2948" s="313">
        <v>46137.0</v>
      </c>
      <c r="D2948" s="314" t="s">
        <v>12</v>
      </c>
      <c r="E2948" s="307" t="str">
        <f t="array" ref="E2948">(XLOOKUP(D2948,Roster!F:F,Roster!B:B,"",0))</f>
        <v>Ana Quintero</v>
      </c>
      <c r="F2948" s="315" t="str">
        <f t="array" ref="F2948">IF(B2948=100,"Free",TEXT(XLOOKUP($D2948,OperationVoice!$A:$A,OperationVoice!AE:AE,XLOOKUP($D2948,OperationTickets!$A:$A,OperationTickets!AE:AE,"",0)),"hh:mm"))</f>
        <v>08:00</v>
      </c>
      <c r="G2948" s="309">
        <f t="shared" si="3"/>
        <v>0.7083333333</v>
      </c>
      <c r="H2948" s="316" t="str">
        <f t="array" ref="H2948">XLOOKUP(B2948,Roster!L:L,Roster!N:N,XLOOKUP(D2948,TicketsBreak!A:A,TicketsBreak!E:E,"",0),0)</f>
        <v>10:00 - 10:15</v>
      </c>
      <c r="I2948" s="316" t="str">
        <f t="array" ref="I2948">XLOOKUP(B2948,Roster!L:L,Roster!O:O,XLOOKUP(D2948,TicketsBreak!A:A,TicketsBreak!F:F,"",0),0)</f>
        <v>13:00 - 13:30</v>
      </c>
      <c r="J2948" s="316" t="str">
        <f t="array" ref="J2948">XLOOKUP(B2948,Roster!L:L,Roster!P:P,XLOOKUP(D2948,TicketsBreak!A:A,TicketsBreak!G:G,"",0),0)</f>
        <v>15:30 - 15:45</v>
      </c>
      <c r="K2948" s="310">
        <f t="shared" si="4"/>
        <v>46137</v>
      </c>
      <c r="L2948" s="317">
        <f t="array" ref="L2948">(XLOOKUP(D2948,Roster!F:F,Roster!D:D,"",0))</f>
        <v>38</v>
      </c>
      <c r="M2948" s="317" t="str">
        <f t="array" ref="M2948">XLOOKUP(D2948,Roster!F:F,Roster!E:E)</f>
        <v>Voice</v>
      </c>
      <c r="N2948" s="317" t="str">
        <f t="shared" ref="N2948:P2948" si="2990">LEFT(H2948,5)</f>
        <v>10:00</v>
      </c>
      <c r="O2948" s="317" t="str">
        <f t="shared" si="2990"/>
        <v>13:00</v>
      </c>
      <c r="P2948" s="317" t="str">
        <f t="shared" si="2990"/>
        <v>15:30</v>
      </c>
      <c r="Q2948" s="318">
        <f t="shared" si="2933"/>
        <v>46137.41667</v>
      </c>
      <c r="R2948" s="318">
        <f t="shared" si="2934"/>
        <v>46137.54167</v>
      </c>
      <c r="S2948" s="318">
        <f t="shared" si="8"/>
        <v>46137.64583</v>
      </c>
    </row>
    <row r="2949">
      <c r="A2949" s="14" t="str">
        <f t="shared" si="1"/>
        <v>C46946137</v>
      </c>
      <c r="B2949" s="185" t="str">
        <f t="array" ref="B2949">IF(F2949="VL","",IF(F2949="Free","Free",XLOOKUP(D2949,Roster!T:T,Roster!S:S,"",0)))</f>
        <v/>
      </c>
      <c r="C2949" s="313">
        <v>46137.0</v>
      </c>
      <c r="D2949" s="314" t="s">
        <v>171</v>
      </c>
      <c r="E2949" s="307" t="str">
        <f t="array" ref="E2949">(XLOOKUP(D2949,Roster!F:F,Roster!B:B,"",0))</f>
        <v>Ana Ruiz</v>
      </c>
      <c r="F2949" s="315" t="str">
        <f t="array" ref="F2949">IF(B2949=100,"Free",TEXT(XLOOKUP($D2949,OperationVoice!$A:$A,OperationVoice!AE:AE,XLOOKUP($D2949,OperationTickets!$A:$A,OperationTickets!AE:AE,"",0)),"hh:mm"))</f>
        <v>08:00</v>
      </c>
      <c r="G2949" s="309">
        <f t="shared" si="3"/>
        <v>0.7083333333</v>
      </c>
      <c r="H2949" s="316">
        <f t="array" ref="H2949">XLOOKUP(B2949,Roster!L:L,Roster!N:N,XLOOKUP(D2949,TicketsBreak!A:A,TicketsBreak!E:E,"",0),0)</f>
        <v>0.3854166667</v>
      </c>
      <c r="I2949" s="316">
        <f t="array" ref="I2949">XLOOKUP(B2949,Roster!L:L,Roster!O:O,XLOOKUP(D2949,TicketsBreak!A:A,TicketsBreak!F:F,"",0),0)</f>
        <v>0.5</v>
      </c>
      <c r="J2949" s="316">
        <f t="array" ref="J2949">XLOOKUP(B2949,Roster!L:L,Roster!P:P,XLOOKUP(D2949,TicketsBreak!A:A,TicketsBreak!G:G,"",0),0)</f>
        <v>0.6041666667</v>
      </c>
      <c r="K2949" s="310">
        <f t="shared" si="4"/>
        <v>46137</v>
      </c>
      <c r="L2949" s="317">
        <f t="array" ref="L2949">(XLOOKUP(D2949,Roster!F:F,Roster!D:D,"",0))</f>
        <v>3</v>
      </c>
      <c r="M2949" s="317" t="str">
        <f t="array" ref="M2949">XLOOKUP(D2949,Roster!F:F,Roster!E:E)</f>
        <v>Tickets</v>
      </c>
      <c r="N2949" s="317" t="str">
        <f t="shared" ref="N2949:P2949" si="2991">LEFT(H2949,5)</f>
        <v>09:15</v>
      </c>
      <c r="O2949" s="317" t="str">
        <f t="shared" si="2991"/>
        <v>12:00</v>
      </c>
      <c r="P2949" s="317" t="str">
        <f t="shared" si="2991"/>
        <v>14:30</v>
      </c>
      <c r="Q2949" s="318">
        <f t="shared" si="2933"/>
        <v>46137.38542</v>
      </c>
      <c r="R2949" s="318">
        <f t="shared" si="2934"/>
        <v>46137.5</v>
      </c>
      <c r="S2949" s="318">
        <f t="shared" si="8"/>
        <v>46137.60417</v>
      </c>
    </row>
    <row r="2950">
      <c r="A2950" s="14" t="str">
        <f t="shared" si="1"/>
        <v>C155446137</v>
      </c>
      <c r="B2950" s="185">
        <f t="array" ref="B2950">IF(F2950="VL","",IF(F2950="Free","Free",XLOOKUP(D2950,Roster!T:T,Roster!S:S,"",0)))</f>
        <v>131</v>
      </c>
      <c r="C2950" s="313">
        <v>46137.0</v>
      </c>
      <c r="D2950" s="314" t="s">
        <v>13</v>
      </c>
      <c r="E2950" s="307" t="str">
        <f t="array" ref="E2950">(XLOOKUP(D2950,Roster!F:F,Roster!B:B,"",0))</f>
        <v>Andres Lopez</v>
      </c>
      <c r="F2950" s="315" t="str">
        <f t="array" ref="F2950">IF(B2950=100,"Free",TEXT(XLOOKUP($D2950,OperationVoice!$A:$A,OperationVoice!AE:AE,XLOOKUP($D2950,OperationTickets!$A:$A,OperationTickets!AE:AE,"",0)),"hh:mm"))</f>
        <v>09:00</v>
      </c>
      <c r="G2950" s="309">
        <f t="shared" si="3"/>
        <v>0.75</v>
      </c>
      <c r="H2950" s="316" t="str">
        <f t="array" ref="H2950">XLOOKUP(B2950,Roster!L:L,Roster!N:N,XLOOKUP(D2950,TicketsBreak!A:A,TicketsBreak!E:E,"",0),0)</f>
        <v>10:15 - 10:30</v>
      </c>
      <c r="I2950" s="316" t="str">
        <f t="array" ref="I2950">XLOOKUP(B2950,Roster!L:L,Roster!O:O,XLOOKUP(D2950,TicketsBreak!A:A,TicketsBreak!F:F,"",0),0)</f>
        <v>12:30 - 13:00</v>
      </c>
      <c r="J2950" s="316" t="str">
        <f t="array" ref="J2950">XLOOKUP(B2950,Roster!L:L,Roster!P:P,XLOOKUP(D2950,TicketsBreak!A:A,TicketsBreak!G:G,"",0),0)</f>
        <v>15:15 - 15:30</v>
      </c>
      <c r="K2950" s="310">
        <f t="shared" si="4"/>
        <v>46137</v>
      </c>
      <c r="L2950" s="317">
        <f t="array" ref="L2950">(XLOOKUP(D2950,Roster!F:F,Roster!D:D,"",0))</f>
        <v>37</v>
      </c>
      <c r="M2950" s="317" t="str">
        <f t="array" ref="M2950">XLOOKUP(D2950,Roster!F:F,Roster!E:E)</f>
        <v>Voice</v>
      </c>
      <c r="N2950" s="317" t="str">
        <f t="shared" ref="N2950:P2950" si="2992">LEFT(H2950,5)</f>
        <v>10:15</v>
      </c>
      <c r="O2950" s="317" t="str">
        <f t="shared" si="2992"/>
        <v>12:30</v>
      </c>
      <c r="P2950" s="317" t="str">
        <f t="shared" si="2992"/>
        <v>15:15</v>
      </c>
      <c r="Q2950" s="318">
        <f t="shared" si="2933"/>
        <v>46137.42708</v>
      </c>
      <c r="R2950" s="318">
        <f t="shared" si="2934"/>
        <v>46137.52083</v>
      </c>
      <c r="S2950" s="318">
        <f t="shared" si="8"/>
        <v>46137.63542</v>
      </c>
    </row>
    <row r="2951">
      <c r="A2951" s="14" t="str">
        <f t="shared" si="1"/>
        <v>C156746137</v>
      </c>
      <c r="B2951" s="185">
        <f t="array" ref="B2951">IF(F2951="VL","",IF(F2951="Free","Free",XLOOKUP(D2951,Roster!T:T,Roster!S:S,"",0)))</f>
        <v>125</v>
      </c>
      <c r="C2951" s="313">
        <v>46137.0</v>
      </c>
      <c r="D2951" s="314" t="s">
        <v>14</v>
      </c>
      <c r="E2951" s="307" t="str">
        <f t="array" ref="E2951">(XLOOKUP(D2951,Roster!F:F,Roster!B:B,"",0))</f>
        <v>Andres Salazar</v>
      </c>
      <c r="F2951" s="315" t="str">
        <f t="array" ref="F2951">IF(B2951=100,"Free",TEXT(XLOOKUP($D2951,OperationVoice!$A:$A,OperationVoice!AE:AE,XLOOKUP($D2951,OperationTickets!$A:$A,OperationTickets!AE:AE,"",0)),"hh:mm"))</f>
        <v>08:00</v>
      </c>
      <c r="G2951" s="309">
        <f t="shared" si="3"/>
        <v>0.7083333333</v>
      </c>
      <c r="H2951" s="316" t="str">
        <f t="array" ref="H2951">XLOOKUP(B2951,Roster!L:L,Roster!N:N,XLOOKUP(D2951,TicketsBreak!A:A,TicketsBreak!E:E,"",0),0)</f>
        <v>10:30 - 10:45</v>
      </c>
      <c r="I2951" s="316" t="str">
        <f t="array" ref="I2951">XLOOKUP(B2951,Roster!L:L,Roster!O:O,XLOOKUP(D2951,TicketsBreak!A:A,TicketsBreak!F:F,"",0),0)</f>
        <v>13:30 - 14:00</v>
      </c>
      <c r="J2951" s="316" t="str">
        <f t="array" ref="J2951">XLOOKUP(B2951,Roster!L:L,Roster!P:P,XLOOKUP(D2951,TicketsBreak!A:A,TicketsBreak!G:G,"",0),0)</f>
        <v>15:45 - 16:00</v>
      </c>
      <c r="K2951" s="310">
        <f t="shared" si="4"/>
        <v>46137</v>
      </c>
      <c r="L2951" s="317">
        <f t="array" ref="L2951">(XLOOKUP(D2951,Roster!F:F,Roster!D:D,"",0))</f>
        <v>38</v>
      </c>
      <c r="M2951" s="317" t="str">
        <f t="array" ref="M2951">XLOOKUP(D2951,Roster!F:F,Roster!E:E)</f>
        <v>Voice</v>
      </c>
      <c r="N2951" s="317" t="str">
        <f t="shared" ref="N2951:P2951" si="2993">LEFT(H2951,5)</f>
        <v>10:30</v>
      </c>
      <c r="O2951" s="317" t="str">
        <f t="shared" si="2993"/>
        <v>13:30</v>
      </c>
      <c r="P2951" s="317" t="str">
        <f t="shared" si="2993"/>
        <v>15:45</v>
      </c>
      <c r="Q2951" s="318">
        <f t="shared" si="2933"/>
        <v>46137.4375</v>
      </c>
      <c r="R2951" s="318">
        <f t="shared" si="2934"/>
        <v>46137.5625</v>
      </c>
      <c r="S2951" s="318">
        <f t="shared" si="8"/>
        <v>46137.65625</v>
      </c>
    </row>
    <row r="2952">
      <c r="A2952" s="14" t="str">
        <f t="shared" si="1"/>
        <v>C134846137</v>
      </c>
      <c r="B2952" s="185" t="str">
        <f t="array" ref="B2952">IF(F2952="VL","",IF(F2952="Free","Free",XLOOKUP(D2952,Roster!T:T,Roster!S:S,"",0)))</f>
        <v>Free</v>
      </c>
      <c r="C2952" s="313">
        <v>46137.0</v>
      </c>
      <c r="D2952" s="314" t="s">
        <v>15</v>
      </c>
      <c r="E2952" s="307" t="str">
        <f t="array" ref="E2952">(XLOOKUP(D2952,Roster!F:F,Roster!B:B,"",0))</f>
        <v>Angelo Zapata</v>
      </c>
      <c r="F2952" s="315" t="str">
        <f t="array" ref="F2952">IF(B2952=100,"Free",TEXT(XLOOKUP($D2952,OperationVoice!$A:$A,OperationVoice!AE:AE,XLOOKUP($D2952,OperationTickets!$A:$A,OperationTickets!AE:AE,"",0)),"hh:mm"))</f>
        <v>Free</v>
      </c>
      <c r="G2952" s="309" t="str">
        <f t="shared" si="3"/>
        <v>Free</v>
      </c>
      <c r="H2952" s="316" t="str">
        <f t="array" ref="H2952">XLOOKUP(B2952,Roster!L:L,Roster!N:N,XLOOKUP(D2952,TicketsBreak!A:A,TicketsBreak!E:E,"",0),0)</f>
        <v/>
      </c>
      <c r="I2952" s="316" t="str">
        <f t="array" ref="I2952">XLOOKUP(B2952,Roster!L:L,Roster!O:O,XLOOKUP(D2952,TicketsBreak!A:A,TicketsBreak!F:F,"",0),0)</f>
        <v/>
      </c>
      <c r="J2952" s="316" t="str">
        <f t="array" ref="J2952">XLOOKUP(B2952,Roster!L:L,Roster!P:P,XLOOKUP(D2952,TicketsBreak!A:A,TicketsBreak!G:G,"",0),0)</f>
        <v/>
      </c>
      <c r="K2952" s="310">
        <f t="shared" si="4"/>
        <v>46137</v>
      </c>
      <c r="L2952" s="317">
        <f t="array" ref="L2952">(XLOOKUP(D2952,Roster!F:F,Roster!D:D,"",0))</f>
        <v>30</v>
      </c>
      <c r="M2952" s="317" t="str">
        <f t="array" ref="M2952">XLOOKUP(D2952,Roster!F:F,Roster!E:E)</f>
        <v>Voice</v>
      </c>
      <c r="N2952" s="317" t="str">
        <f t="shared" ref="N2952:P2952" si="2994">LEFT(H2952,5)</f>
        <v/>
      </c>
      <c r="O2952" s="317" t="str">
        <f t="shared" si="2994"/>
        <v/>
      </c>
      <c r="P2952" s="317" t="str">
        <f t="shared" si="2994"/>
        <v/>
      </c>
      <c r="Q2952" s="318" t="str">
        <f t="shared" si="2933"/>
        <v/>
      </c>
      <c r="R2952" s="318" t="str">
        <f t="shared" si="2934"/>
        <v/>
      </c>
      <c r="S2952" s="318" t="str">
        <f t="shared" si="8"/>
        <v/>
      </c>
    </row>
    <row r="2953">
      <c r="A2953" s="14" t="str">
        <f t="shared" si="1"/>
        <v>C116746137</v>
      </c>
      <c r="B2953" s="185" t="str">
        <f t="array" ref="B2953">IF(F2953="VL","",IF(F2953="Free","Free",XLOOKUP(D2953,Roster!T:T,Roster!S:S,"",0)))</f>
        <v>Free</v>
      </c>
      <c r="C2953" s="313">
        <v>46137.0</v>
      </c>
      <c r="D2953" s="314" t="s">
        <v>172</v>
      </c>
      <c r="E2953" s="307" t="str">
        <f t="array" ref="E2953">(XLOOKUP(D2953,Roster!F:F,Roster!B:B,"",0))</f>
        <v>Angie Rua</v>
      </c>
      <c r="F2953" s="315" t="str">
        <f t="array" ref="F2953">IF(B2953=100,"Free",TEXT(XLOOKUP($D2953,OperationVoice!$A:$A,OperationVoice!AE:AE,XLOOKUP($D2953,OperationTickets!$A:$A,OperationTickets!AE:AE,"",0)),"hh:mm"))</f>
        <v>Free</v>
      </c>
      <c r="G2953" s="309" t="str">
        <f t="shared" si="3"/>
        <v>Free</v>
      </c>
      <c r="H2953" s="316" t="str">
        <f t="array" ref="H2953">XLOOKUP(B2953,Roster!L:L,Roster!N:N,XLOOKUP(D2953,TicketsBreak!A:A,TicketsBreak!E:E,"",0),0)</f>
        <v/>
      </c>
      <c r="I2953" s="316" t="str">
        <f t="array" ref="I2953">XLOOKUP(B2953,Roster!L:L,Roster!O:O,XLOOKUP(D2953,TicketsBreak!A:A,TicketsBreak!F:F,"",0),0)</f>
        <v/>
      </c>
      <c r="J2953" s="316" t="str">
        <f t="array" ref="J2953">XLOOKUP(B2953,Roster!L:L,Roster!P:P,XLOOKUP(D2953,TicketsBreak!A:A,TicketsBreak!G:G,"",0),0)</f>
        <v/>
      </c>
      <c r="K2953" s="310">
        <f t="shared" si="4"/>
        <v>46137</v>
      </c>
      <c r="L2953" s="317">
        <f t="array" ref="L2953">(XLOOKUP(D2953,Roster!F:F,Roster!D:D,"",0))</f>
        <v>24</v>
      </c>
      <c r="M2953" s="317" t="str">
        <f t="array" ref="M2953">XLOOKUP(D2953,Roster!F:F,Roster!E:E)</f>
        <v>Tickets</v>
      </c>
      <c r="N2953" s="317" t="str">
        <f t="shared" ref="N2953:P2953" si="2995">LEFT(H2953,5)</f>
        <v/>
      </c>
      <c r="O2953" s="317" t="str">
        <f t="shared" si="2995"/>
        <v/>
      </c>
      <c r="P2953" s="317" t="str">
        <f t="shared" si="2995"/>
        <v/>
      </c>
      <c r="Q2953" s="318" t="str">
        <f t="shared" si="2933"/>
        <v/>
      </c>
      <c r="R2953" s="318" t="str">
        <f t="shared" si="2934"/>
        <v/>
      </c>
      <c r="S2953" s="318" t="str">
        <f t="shared" si="8"/>
        <v/>
      </c>
    </row>
    <row r="2954">
      <c r="A2954" s="14" t="str">
        <f t="shared" si="1"/>
        <v>C157946137</v>
      </c>
      <c r="B2954" s="185" t="str">
        <f t="array" ref="B2954">IF(F2954="VL","",IF(F2954="Free","Free",XLOOKUP(D2954,Roster!T:T,Roster!S:S,"",0)))</f>
        <v>Free</v>
      </c>
      <c r="C2954" s="313">
        <v>46137.0</v>
      </c>
      <c r="D2954" s="314" t="s">
        <v>16</v>
      </c>
      <c r="E2954" s="307" t="str">
        <f t="array" ref="E2954">(XLOOKUP(D2954,Roster!F:F,Roster!B:B,"",0))</f>
        <v>Anibal Munoz</v>
      </c>
      <c r="F2954" s="315" t="str">
        <f t="array" ref="F2954">IF(B2954=100,"Free",TEXT(XLOOKUP($D2954,OperationVoice!$A:$A,OperationVoice!AE:AE,XLOOKUP($D2954,OperationTickets!$A:$A,OperationTickets!AE:AE,"",0)),"hh:mm"))</f>
        <v>Free</v>
      </c>
      <c r="G2954" s="309" t="str">
        <f t="shared" si="3"/>
        <v>Free</v>
      </c>
      <c r="H2954" s="316" t="str">
        <f t="array" ref="H2954">XLOOKUP(B2954,Roster!L:L,Roster!N:N,XLOOKUP(D2954,TicketsBreak!A:A,TicketsBreak!E:E,"",0),0)</f>
        <v/>
      </c>
      <c r="I2954" s="316" t="str">
        <f t="array" ref="I2954">XLOOKUP(B2954,Roster!L:L,Roster!O:O,XLOOKUP(D2954,TicketsBreak!A:A,TicketsBreak!F:F,"",0),0)</f>
        <v/>
      </c>
      <c r="J2954" s="316" t="str">
        <f t="array" ref="J2954">XLOOKUP(B2954,Roster!L:L,Roster!P:P,XLOOKUP(D2954,TicketsBreak!A:A,TicketsBreak!G:G,"",0),0)</f>
        <v/>
      </c>
      <c r="K2954" s="310">
        <f t="shared" si="4"/>
        <v>46137</v>
      </c>
      <c r="L2954" s="317">
        <f t="array" ref="L2954">(XLOOKUP(D2954,Roster!F:F,Roster!D:D,"",0))</f>
        <v>38</v>
      </c>
      <c r="M2954" s="317" t="str">
        <f t="array" ref="M2954">XLOOKUP(D2954,Roster!F:F,Roster!E:E)</f>
        <v>Voice</v>
      </c>
      <c r="N2954" s="317" t="str">
        <f t="shared" ref="N2954:P2954" si="2996">LEFT(H2954,5)</f>
        <v/>
      </c>
      <c r="O2954" s="317" t="str">
        <f t="shared" si="2996"/>
        <v/>
      </c>
      <c r="P2954" s="317" t="str">
        <f t="shared" si="2996"/>
        <v/>
      </c>
      <c r="Q2954" s="318" t="str">
        <f t="shared" si="2933"/>
        <v/>
      </c>
      <c r="R2954" s="318" t="str">
        <f t="shared" si="2934"/>
        <v/>
      </c>
      <c r="S2954" s="318" t="str">
        <f t="shared" si="8"/>
        <v/>
      </c>
    </row>
    <row r="2955">
      <c r="A2955" s="14" t="str">
        <f t="shared" si="1"/>
        <v>C08046137</v>
      </c>
      <c r="B2955" s="185" t="str">
        <f t="array" ref="B2955">IF(F2955="VL","",IF(F2955="Free","Free",XLOOKUP(D2955,Roster!T:T,Roster!S:S,"",0)))</f>
        <v>Free</v>
      </c>
      <c r="C2955" s="313">
        <v>46137.0</v>
      </c>
      <c r="D2955" s="314" t="s">
        <v>138</v>
      </c>
      <c r="E2955" s="307" t="str">
        <f t="array" ref="E2955">(XLOOKUP(D2955,Roster!F:F,Roster!B:B,"",0))</f>
        <v>Arturo Padilla</v>
      </c>
      <c r="F2955" s="315" t="str">
        <f t="array" ref="F2955">IF(B2955=100,"Free",TEXT(XLOOKUP($D2955,OperationVoice!$A:$A,OperationVoice!AE:AE,XLOOKUP($D2955,OperationTickets!$A:$A,OperationTickets!AE:AE,"",0)),"hh:mm"))</f>
        <v>Free</v>
      </c>
      <c r="G2955" s="309" t="str">
        <f t="shared" si="3"/>
        <v>Free</v>
      </c>
      <c r="H2955" s="316">
        <f t="array" ref="H2955">XLOOKUP(B2955,Roster!L:L,Roster!N:N,XLOOKUP(D2955,TicketsBreak!A:A,TicketsBreak!E:E,"",0),0)</f>
        <v>0.375</v>
      </c>
      <c r="I2955" s="316">
        <f t="array" ref="I2955">XLOOKUP(B2955,Roster!L:L,Roster!O:O,XLOOKUP(D2955,TicketsBreak!A:A,TicketsBreak!F:F,"",0),0)</f>
        <v>0.5</v>
      </c>
      <c r="J2955" s="316">
        <f t="array" ref="J2955">XLOOKUP(B2955,Roster!L:L,Roster!P:P,XLOOKUP(D2955,TicketsBreak!A:A,TicketsBreak!G:G,"",0),0)</f>
        <v>0.6458333333</v>
      </c>
      <c r="K2955" s="310">
        <f t="shared" si="4"/>
        <v>46137</v>
      </c>
      <c r="L2955" s="317">
        <f t="array" ref="L2955">(XLOOKUP(D2955,Roster!F:F,Roster!D:D,"",0))</f>
        <v>1</v>
      </c>
      <c r="M2955" s="317" t="str">
        <f t="array" ref="M2955">XLOOKUP(D2955,Roster!F:F,Roster!E:E)</f>
        <v>Tickets</v>
      </c>
      <c r="N2955" s="317" t="str">
        <f t="shared" ref="N2955:P2955" si="2997">LEFT(H2955,5)</f>
        <v>09:00</v>
      </c>
      <c r="O2955" s="317" t="str">
        <f t="shared" si="2997"/>
        <v>12:00</v>
      </c>
      <c r="P2955" s="317" t="str">
        <f t="shared" si="2997"/>
        <v>15:30</v>
      </c>
      <c r="Q2955" s="318">
        <f t="shared" si="2933"/>
        <v>46137.375</v>
      </c>
      <c r="R2955" s="318">
        <f t="shared" si="2934"/>
        <v>46137.5</v>
      </c>
      <c r="S2955" s="318">
        <f t="shared" si="8"/>
        <v>46137.64583</v>
      </c>
    </row>
    <row r="2956">
      <c r="A2956" s="14" t="str">
        <f t="shared" si="1"/>
        <v>C150446137</v>
      </c>
      <c r="B2956" s="185">
        <f t="array" ref="B2956">IF(F2956="VL","",IF(F2956="Free","Free",XLOOKUP(D2956,Roster!T:T,Roster!S:S,"",0)))</f>
        <v>123</v>
      </c>
      <c r="C2956" s="313">
        <v>46137.0</v>
      </c>
      <c r="D2956" s="314" t="s">
        <v>155</v>
      </c>
      <c r="E2956" s="307" t="str">
        <f t="array" ref="E2956">(XLOOKUP(D2956,Roster!F:F,Roster!B:B,"",0))</f>
        <v>Beatriz Montanez</v>
      </c>
      <c r="F2956" s="315" t="str">
        <f t="array" ref="F2956">IF(B2956=100,"Free",TEXT(XLOOKUP($D2956,OperationVoice!$A:$A,OperationVoice!AE:AE,XLOOKUP($D2956,OperationTickets!$A:$A,OperationTickets!AE:AE,"",0)),"hh:mm"))</f>
        <v>08:00</v>
      </c>
      <c r="G2956" s="309">
        <f t="shared" si="3"/>
        <v>0.7083333333</v>
      </c>
      <c r="H2956" s="316" t="str">
        <f t="array" ref="H2956">XLOOKUP(B2956,Roster!L:L,Roster!N:N,XLOOKUP(D2956,TicketsBreak!A:A,TicketsBreak!E:E,"",0),0)</f>
        <v>09:45 - 10:00 </v>
      </c>
      <c r="I2956" s="316" t="str">
        <f t="array" ref="I2956">XLOOKUP(B2956,Roster!L:L,Roster!O:O,XLOOKUP(D2956,TicketsBreak!A:A,TicketsBreak!F:F,"",0),0)</f>
        <v>12:30 - 13:00</v>
      </c>
      <c r="J2956" s="316" t="str">
        <f t="array" ref="J2956">XLOOKUP(B2956,Roster!L:L,Roster!P:P,XLOOKUP(D2956,TicketsBreak!A:A,TicketsBreak!G:G,"",0),0)</f>
        <v>15:00 - 15:15</v>
      </c>
      <c r="K2956" s="310">
        <f t="shared" si="4"/>
        <v>46137</v>
      </c>
      <c r="L2956" s="317">
        <f t="array" ref="L2956">(XLOOKUP(D2956,Roster!F:F,Roster!D:D,"",0))</f>
        <v>35</v>
      </c>
      <c r="M2956" s="317" t="str">
        <f t="array" ref="M2956">XLOOKUP(D2956,Roster!F:F,Roster!E:E)</f>
        <v>Tickets</v>
      </c>
      <c r="N2956" s="317" t="str">
        <f t="shared" ref="N2956:P2956" si="2998">LEFT(H2956,5)</f>
        <v>09:45</v>
      </c>
      <c r="O2956" s="317" t="str">
        <f t="shared" si="2998"/>
        <v>12:30</v>
      </c>
      <c r="P2956" s="317" t="str">
        <f t="shared" si="2998"/>
        <v>15:00</v>
      </c>
      <c r="Q2956" s="318">
        <f t="shared" si="2933"/>
        <v>46137.40625</v>
      </c>
      <c r="R2956" s="318">
        <f t="shared" si="2934"/>
        <v>46137.52083</v>
      </c>
      <c r="S2956" s="318">
        <f t="shared" si="8"/>
        <v>46137.625</v>
      </c>
    </row>
    <row r="2957">
      <c r="A2957" s="14" t="str">
        <f t="shared" si="1"/>
        <v>C107746137</v>
      </c>
      <c r="B2957" s="185" t="str">
        <f t="array" ref="B2957">IF(F2957="VL","",IF(F2957="Free","Free",XLOOKUP(D2957,Roster!T:T,Roster!S:S,"",0)))</f>
        <v>Free</v>
      </c>
      <c r="C2957" s="313">
        <v>46137.0</v>
      </c>
      <c r="D2957" s="314" t="s">
        <v>17</v>
      </c>
      <c r="E2957" s="307" t="str">
        <f t="array" ref="E2957">(XLOOKUP(D2957,Roster!F:F,Roster!B:B,"",0))</f>
        <v>Brahian Prado</v>
      </c>
      <c r="F2957" s="315" t="str">
        <f t="array" ref="F2957">IF(B2957=100,"Free",TEXT(XLOOKUP($D2957,OperationVoice!$A:$A,OperationVoice!AE:AE,XLOOKUP($D2957,OperationTickets!$A:$A,OperationTickets!AE:AE,"",0)),"hh:mm"))</f>
        <v>Free</v>
      </c>
      <c r="G2957" s="309" t="str">
        <f t="shared" si="3"/>
        <v>Free</v>
      </c>
      <c r="H2957" s="316" t="str">
        <f t="array" ref="H2957">XLOOKUP(B2957,Roster!L:L,Roster!N:N,XLOOKUP(D2957,TicketsBreak!A:A,TicketsBreak!E:E,"",0),0)</f>
        <v/>
      </c>
      <c r="I2957" s="316" t="str">
        <f t="array" ref="I2957">XLOOKUP(B2957,Roster!L:L,Roster!O:O,XLOOKUP(D2957,TicketsBreak!A:A,TicketsBreak!F:F,"",0),0)</f>
        <v/>
      </c>
      <c r="J2957" s="316" t="str">
        <f t="array" ref="J2957">XLOOKUP(B2957,Roster!L:L,Roster!P:P,XLOOKUP(D2957,TicketsBreak!A:A,TicketsBreak!G:G,"",0),0)</f>
        <v/>
      </c>
      <c r="K2957" s="310">
        <f t="shared" si="4"/>
        <v>46137</v>
      </c>
      <c r="L2957" s="317">
        <f t="array" ref="L2957">(XLOOKUP(D2957,Roster!F:F,Roster!D:D,"",0))</f>
        <v>18</v>
      </c>
      <c r="M2957" s="317" t="str">
        <f t="array" ref="M2957">XLOOKUP(D2957,Roster!F:F,Roster!E:E)</f>
        <v>Voice</v>
      </c>
      <c r="N2957" s="317" t="str">
        <f t="shared" ref="N2957:P2957" si="2999">LEFT(H2957,5)</f>
        <v/>
      </c>
      <c r="O2957" s="317" t="str">
        <f t="shared" si="2999"/>
        <v/>
      </c>
      <c r="P2957" s="317" t="str">
        <f t="shared" si="2999"/>
        <v/>
      </c>
      <c r="Q2957" s="318" t="str">
        <f t="shared" si="2933"/>
        <v/>
      </c>
      <c r="R2957" s="318" t="str">
        <f t="shared" si="2934"/>
        <v/>
      </c>
      <c r="S2957" s="318" t="str">
        <f t="shared" si="8"/>
        <v/>
      </c>
    </row>
    <row r="2958">
      <c r="A2958" s="14" t="str">
        <f t="shared" si="1"/>
        <v>C116546137</v>
      </c>
      <c r="B2958" s="185" t="str">
        <f t="array" ref="B2958">IF(F2958="VL","",IF(F2958="Free","Free",XLOOKUP(D2958,Roster!T:T,Roster!S:S,"",0)))</f>
        <v/>
      </c>
      <c r="C2958" s="313">
        <v>46137.0</v>
      </c>
      <c r="D2958" s="314" t="s">
        <v>139</v>
      </c>
      <c r="E2958" s="307" t="str">
        <f t="array" ref="E2958">(XLOOKUP(D2958,Roster!F:F,Roster!B:B,"",0))</f>
        <v>Braian Restrepo</v>
      </c>
      <c r="F2958" s="315" t="str">
        <f t="array" ref="F2958">IF(B2958=100,"Free",TEXT(XLOOKUP($D2958,OperationVoice!$A:$A,OperationVoice!AE:AE,XLOOKUP($D2958,OperationTickets!$A:$A,OperationTickets!AE:AE,"",0)),"hh:mm"))</f>
        <v>08:00</v>
      </c>
      <c r="G2958" s="309">
        <f t="shared" si="3"/>
        <v>0.7083333333</v>
      </c>
      <c r="H2958" s="316" t="str">
        <f t="array" ref="H2958">XLOOKUP(B2958,Roster!L:L,Roster!N:N,XLOOKUP(D2958,TicketsBreak!A:A,TicketsBreak!E:E,"",0),0)</f>
        <v/>
      </c>
      <c r="I2958" s="316" t="str">
        <f t="array" ref="I2958">XLOOKUP(B2958,Roster!L:L,Roster!O:O,XLOOKUP(D2958,TicketsBreak!A:A,TicketsBreak!F:F,"",0),0)</f>
        <v/>
      </c>
      <c r="J2958" s="316" t="str">
        <f t="array" ref="J2958">XLOOKUP(B2958,Roster!L:L,Roster!P:P,XLOOKUP(D2958,TicketsBreak!A:A,TicketsBreak!G:G,"",0),0)</f>
        <v/>
      </c>
      <c r="K2958" s="310">
        <f t="shared" si="4"/>
        <v>46137</v>
      </c>
      <c r="L2958" s="317">
        <f t="array" ref="L2958">(XLOOKUP(D2958,Roster!F:F,Roster!D:D,"",0))</f>
        <v>24</v>
      </c>
      <c r="M2958" s="317" t="str">
        <f t="array" ref="M2958">XLOOKUP(D2958,Roster!F:F,Roster!E:E)</f>
        <v>Tickets</v>
      </c>
      <c r="N2958" s="317" t="str">
        <f t="shared" ref="N2958:P2958" si="3000">LEFT(H2958,5)</f>
        <v/>
      </c>
      <c r="O2958" s="317" t="str">
        <f t="shared" si="3000"/>
        <v/>
      </c>
      <c r="P2958" s="317" t="str">
        <f t="shared" si="3000"/>
        <v/>
      </c>
      <c r="Q2958" s="318" t="str">
        <f t="shared" si="2933"/>
        <v/>
      </c>
      <c r="R2958" s="318" t="str">
        <f t="shared" si="2934"/>
        <v/>
      </c>
      <c r="S2958" s="318" t="str">
        <f t="shared" si="8"/>
        <v/>
      </c>
    </row>
    <row r="2959">
      <c r="A2959" s="14" t="str">
        <f t="shared" si="1"/>
        <v>C127446137</v>
      </c>
      <c r="B2959" s="185">
        <f t="array" ref="B2959">IF(F2959="VL","",IF(F2959="Free","Free",XLOOKUP(D2959,Roster!T:T,Roster!S:S,"",0)))</f>
        <v>126</v>
      </c>
      <c r="C2959" s="313">
        <v>46137.0</v>
      </c>
      <c r="D2959" s="314" t="s">
        <v>250</v>
      </c>
      <c r="E2959" s="307" t="str">
        <f t="array" ref="E2959">(XLOOKUP(D2959,Roster!F:F,Roster!B:B,"",0))</f>
        <v>Brayan Franco</v>
      </c>
      <c r="F2959" s="315" t="str">
        <f t="array" ref="F2959">IF(B2959=100,"Free",TEXT(XLOOKUP($D2959,OperationVoice!$A:$A,OperationVoice!AE:AE,XLOOKUP($D2959,OperationTickets!$A:$A,OperationTickets!AE:AE,"",0)),"hh:mm"))</f>
        <v/>
      </c>
      <c r="G2959" s="309" t="str">
        <f t="shared" si="3"/>
        <v/>
      </c>
      <c r="H2959" s="316" t="str">
        <f t="array" ref="H2959">XLOOKUP(B2959,Roster!L:L,Roster!N:N,XLOOKUP(D2959,TicketsBreak!A:A,TicketsBreak!E:E,"",0),0)</f>
        <v>10:45 - 11:00</v>
      </c>
      <c r="I2959" s="316" t="str">
        <f t="array" ref="I2959">XLOOKUP(B2959,Roster!L:L,Roster!O:O,XLOOKUP(D2959,TicketsBreak!A:A,TicketsBreak!F:F,"",0),0)</f>
        <v>14:00 - 14:30</v>
      </c>
      <c r="J2959" s="316" t="str">
        <f t="array" ref="J2959">XLOOKUP(B2959,Roster!L:L,Roster!P:P,XLOOKUP(D2959,TicketsBreak!A:A,TicketsBreak!G:G,"",0),0)</f>
        <v>15:45 - 16:00</v>
      </c>
      <c r="K2959" s="310">
        <f t="shared" si="4"/>
        <v>46137</v>
      </c>
      <c r="L2959" s="317">
        <f t="array" ref="L2959">(XLOOKUP(D2959,Roster!F:F,Roster!D:D,"",0))</f>
        <v>27</v>
      </c>
      <c r="M2959" s="317" t="str">
        <f t="array" ref="M2959">XLOOKUP(D2959,Roster!F:F,Roster!E:E)</f>
        <v>Voice</v>
      </c>
      <c r="N2959" s="317" t="str">
        <f t="shared" ref="N2959:P2959" si="3001">LEFT(H2959,5)</f>
        <v>10:45</v>
      </c>
      <c r="O2959" s="317" t="str">
        <f t="shared" si="3001"/>
        <v>14:00</v>
      </c>
      <c r="P2959" s="317" t="str">
        <f t="shared" si="3001"/>
        <v>15:45</v>
      </c>
      <c r="Q2959" s="318">
        <f t="shared" si="2933"/>
        <v>46137.44792</v>
      </c>
      <c r="R2959" s="318">
        <f t="shared" si="2934"/>
        <v>46137.58333</v>
      </c>
      <c r="S2959" s="318">
        <f t="shared" si="8"/>
        <v>46137.65625</v>
      </c>
    </row>
    <row r="2960">
      <c r="A2960" s="14" t="str">
        <f t="shared" si="1"/>
        <v>C119146137</v>
      </c>
      <c r="B2960" s="185" t="str">
        <f t="array" ref="B2960">IF(F2960="VL","",IF(F2960="Free","Free",XLOOKUP(D2960,Roster!T:T,Roster!S:S,"",0)))</f>
        <v>Free</v>
      </c>
      <c r="C2960" s="313">
        <v>46137.0</v>
      </c>
      <c r="D2960" s="314" t="s">
        <v>18</v>
      </c>
      <c r="E2960" s="307" t="str">
        <f t="array" ref="E2960">(XLOOKUP(D2960,Roster!F:F,Roster!B:B,"",0))</f>
        <v>Brayan Montoya</v>
      </c>
      <c r="F2960" s="315" t="str">
        <f t="array" ref="F2960">IF(B2960=100,"Free",TEXT(XLOOKUP($D2960,OperationVoice!$A:$A,OperationVoice!AE:AE,XLOOKUP($D2960,OperationTickets!$A:$A,OperationTickets!AE:AE,"",0)),"hh:mm"))</f>
        <v>Free</v>
      </c>
      <c r="G2960" s="309" t="str">
        <f t="shared" si="3"/>
        <v>Free</v>
      </c>
      <c r="H2960" s="316" t="str">
        <f t="array" ref="H2960">XLOOKUP(B2960,Roster!L:L,Roster!N:N,XLOOKUP(D2960,TicketsBreak!A:A,TicketsBreak!E:E,"",0),0)</f>
        <v/>
      </c>
      <c r="I2960" s="316" t="str">
        <f t="array" ref="I2960">XLOOKUP(B2960,Roster!L:L,Roster!O:O,XLOOKUP(D2960,TicketsBreak!A:A,TicketsBreak!F:F,"",0),0)</f>
        <v/>
      </c>
      <c r="J2960" s="316" t="str">
        <f t="array" ref="J2960">XLOOKUP(B2960,Roster!L:L,Roster!P:P,XLOOKUP(D2960,TicketsBreak!A:A,TicketsBreak!G:G,"",0),0)</f>
        <v/>
      </c>
      <c r="K2960" s="310">
        <f t="shared" si="4"/>
        <v>46137</v>
      </c>
      <c r="L2960" s="317">
        <f t="array" ref="L2960">(XLOOKUP(D2960,Roster!F:F,Roster!D:D,"",0))</f>
        <v>25</v>
      </c>
      <c r="M2960" s="317" t="str">
        <f t="array" ref="M2960">XLOOKUP(D2960,Roster!F:F,Roster!E:E)</f>
        <v>Voice</v>
      </c>
      <c r="N2960" s="317" t="str">
        <f t="shared" ref="N2960:P2960" si="3002">LEFT(H2960,5)</f>
        <v/>
      </c>
      <c r="O2960" s="317" t="str">
        <f t="shared" si="3002"/>
        <v/>
      </c>
      <c r="P2960" s="317" t="str">
        <f t="shared" si="3002"/>
        <v/>
      </c>
      <c r="Q2960" s="318" t="str">
        <f t="shared" si="2933"/>
        <v/>
      </c>
      <c r="R2960" s="318" t="str">
        <f t="shared" si="2934"/>
        <v/>
      </c>
      <c r="S2960" s="318" t="str">
        <f t="shared" si="8"/>
        <v/>
      </c>
    </row>
    <row r="2961">
      <c r="A2961" s="14" t="str">
        <f t="shared" si="1"/>
        <v>C152646137</v>
      </c>
      <c r="B2961" s="185">
        <f t="array" ref="B2961">IF(F2961="VL","",IF(F2961="Free","Free",XLOOKUP(D2961,Roster!T:T,Roster!S:S,"",0)))</f>
        <v>121</v>
      </c>
      <c r="C2961" s="313">
        <v>46137.0</v>
      </c>
      <c r="D2961" s="314" t="s">
        <v>19</v>
      </c>
      <c r="E2961" s="307" t="str">
        <f t="array" ref="E2961">(XLOOKUP(D2961,Roster!F:F,Roster!B:B,"",0))</f>
        <v>Breitner Benitez</v>
      </c>
      <c r="F2961" s="315" t="str">
        <f t="array" ref="F2961">IF(B2961=100,"Free",TEXT(XLOOKUP($D2961,OperationVoice!$A:$A,OperationVoice!AE:AE,XLOOKUP($D2961,OperationTickets!$A:$A,OperationTickets!AE:AE,"",0)),"hh:mm"))</f>
        <v>08:00</v>
      </c>
      <c r="G2961" s="309">
        <f t="shared" si="3"/>
        <v>0.7083333333</v>
      </c>
      <c r="H2961" s="316" t="str">
        <f t="array" ref="H2961">XLOOKUP(B2961,Roster!L:L,Roster!N:N,XLOOKUP(D2961,TicketsBreak!A:A,TicketsBreak!E:E,"",0),0)</f>
        <v>09:15 - 09:30</v>
      </c>
      <c r="I2961" s="316" t="str">
        <f t="array" ref="I2961">XLOOKUP(B2961,Roster!L:L,Roster!O:O,XLOOKUP(D2961,TicketsBreak!A:A,TicketsBreak!F:F,"",0),0)</f>
        <v>11:30 - 12:00</v>
      </c>
      <c r="J2961" s="316" t="str">
        <f t="array" ref="J2961">XLOOKUP(B2961,Roster!L:L,Roster!P:P,XLOOKUP(D2961,TicketsBreak!A:A,TicketsBreak!G:G,"",0),0)</f>
        <v>14:30 - 14:45</v>
      </c>
      <c r="K2961" s="310">
        <f t="shared" si="4"/>
        <v>46137</v>
      </c>
      <c r="L2961" s="317">
        <f t="array" ref="L2961">(XLOOKUP(D2961,Roster!F:F,Roster!D:D,"",0))</f>
        <v>13</v>
      </c>
      <c r="M2961" s="317" t="str">
        <f t="array" ref="M2961">XLOOKUP(D2961,Roster!F:F,Roster!E:E)</f>
        <v>Voice</v>
      </c>
      <c r="N2961" s="317" t="str">
        <f t="shared" ref="N2961:P2961" si="3003">LEFT(H2961,5)</f>
        <v>09:15</v>
      </c>
      <c r="O2961" s="317" t="str">
        <f t="shared" si="3003"/>
        <v>11:30</v>
      </c>
      <c r="P2961" s="317" t="str">
        <f t="shared" si="3003"/>
        <v>14:30</v>
      </c>
      <c r="Q2961" s="318">
        <f t="shared" si="2933"/>
        <v>46137.38542</v>
      </c>
      <c r="R2961" s="318">
        <f t="shared" si="2934"/>
        <v>46137.47917</v>
      </c>
      <c r="S2961" s="318">
        <f t="shared" si="8"/>
        <v>46137.60417</v>
      </c>
    </row>
    <row r="2962">
      <c r="A2962" s="14" t="str">
        <f t="shared" si="1"/>
        <v>C153546137</v>
      </c>
      <c r="B2962" s="185">
        <f t="array" ref="B2962">IF(F2962="VL","",IF(F2962="Free","Free",XLOOKUP(D2962,Roster!T:T,Roster!S:S,"",0)))</f>
        <v>154</v>
      </c>
      <c r="C2962" s="313">
        <v>46137.0</v>
      </c>
      <c r="D2962" s="314" t="s">
        <v>20</v>
      </c>
      <c r="E2962" s="307" t="str">
        <f t="array" ref="E2962">(XLOOKUP(D2962,Roster!F:F,Roster!B:B,"",0))</f>
        <v>Carlos Alzate</v>
      </c>
      <c r="F2962" s="315" t="str">
        <f t="array" ref="F2962">IF(B2962=100,"Free",TEXT(XLOOKUP($D2962,OperationVoice!$A:$A,OperationVoice!AE:AE,XLOOKUP($D2962,OperationTickets!$A:$A,OperationTickets!AE:AE,"",0)),"hh:mm"))</f>
        <v>11:00</v>
      </c>
      <c r="G2962" s="309">
        <f t="shared" si="3"/>
        <v>0.8333333333</v>
      </c>
      <c r="H2962" s="316" t="str">
        <f t="array" ref="H2962">XLOOKUP(B2962,Roster!L:L,Roster!N:N,XLOOKUP(D2962,TicketsBreak!A:A,TicketsBreak!E:E,"",0),0)</f>
        <v>13:00 - 13:15</v>
      </c>
      <c r="I2962" s="316" t="str">
        <f t="array" ref="I2962">XLOOKUP(B2962,Roster!L:L,Roster!O:O,XLOOKUP(D2962,TicketsBreak!A:A,TicketsBreak!F:F,"",0),0)</f>
        <v>15:15 - 15:45</v>
      </c>
      <c r="J2962" s="316" t="str">
        <f t="array" ref="J2962">XLOOKUP(B2962,Roster!L:L,Roster!P:P,XLOOKUP(D2962,TicketsBreak!A:A,TicketsBreak!G:G,"",0),0)</f>
        <v>18:00 - 18:15</v>
      </c>
      <c r="K2962" s="310">
        <f t="shared" si="4"/>
        <v>46137</v>
      </c>
      <c r="L2962" s="317">
        <f t="array" ref="L2962">(XLOOKUP(D2962,Roster!F:F,Roster!D:D,"",0))</f>
        <v>36</v>
      </c>
      <c r="M2962" s="317" t="str">
        <f t="array" ref="M2962">XLOOKUP(D2962,Roster!F:F,Roster!E:E)</f>
        <v>Voice</v>
      </c>
      <c r="N2962" s="317" t="str">
        <f t="shared" ref="N2962:P2962" si="3004">LEFT(H2962,5)</f>
        <v>13:00</v>
      </c>
      <c r="O2962" s="317" t="str">
        <f t="shared" si="3004"/>
        <v>15:15</v>
      </c>
      <c r="P2962" s="317" t="str">
        <f t="shared" si="3004"/>
        <v>18:00</v>
      </c>
      <c r="Q2962" s="318">
        <f t="shared" si="2933"/>
        <v>46137.54167</v>
      </c>
      <c r="R2962" s="318">
        <f t="shared" si="2934"/>
        <v>46137.63542</v>
      </c>
      <c r="S2962" s="318">
        <f t="shared" si="8"/>
        <v>46137.75</v>
      </c>
    </row>
    <row r="2963">
      <c r="A2963" s="14" t="str">
        <f t="shared" si="1"/>
        <v>C153146137</v>
      </c>
      <c r="B2963" s="185">
        <f t="array" ref="B2963">IF(F2963="VL","",IF(F2963="Free","Free",XLOOKUP(D2963,Roster!T:T,Roster!S:S,"",0)))</f>
        <v>123</v>
      </c>
      <c r="C2963" s="313">
        <v>46137.0</v>
      </c>
      <c r="D2963" s="314" t="s">
        <v>21</v>
      </c>
      <c r="E2963" s="307" t="str">
        <f t="array" ref="E2963">(XLOOKUP(D2963,Roster!F:F,Roster!B:B,"",0))</f>
        <v>Carlos Palma</v>
      </c>
      <c r="F2963" s="315" t="str">
        <f t="array" ref="F2963">IF(B2963=100,"Free",TEXT(XLOOKUP($D2963,OperationVoice!$A:$A,OperationVoice!AE:AE,XLOOKUP($D2963,OperationTickets!$A:$A,OperationTickets!AE:AE,"",0)),"hh:mm"))</f>
        <v>08:00</v>
      </c>
      <c r="G2963" s="309">
        <f t="shared" si="3"/>
        <v>0.7083333333</v>
      </c>
      <c r="H2963" s="316" t="str">
        <f t="array" ref="H2963">XLOOKUP(B2963,Roster!L:L,Roster!N:N,XLOOKUP(D2963,TicketsBreak!A:A,TicketsBreak!E:E,"",0),0)</f>
        <v>09:45 - 10:00 </v>
      </c>
      <c r="I2963" s="316" t="str">
        <f t="array" ref="I2963">XLOOKUP(B2963,Roster!L:L,Roster!O:O,XLOOKUP(D2963,TicketsBreak!A:A,TicketsBreak!F:F,"",0),0)</f>
        <v>12:30 - 13:00</v>
      </c>
      <c r="J2963" s="316" t="str">
        <f t="array" ref="J2963">XLOOKUP(B2963,Roster!L:L,Roster!P:P,XLOOKUP(D2963,TicketsBreak!A:A,TicketsBreak!G:G,"",0),0)</f>
        <v>15:00 - 15:15</v>
      </c>
      <c r="K2963" s="310">
        <f t="shared" si="4"/>
        <v>46137</v>
      </c>
      <c r="L2963" s="317">
        <f t="array" ref="L2963">(XLOOKUP(D2963,Roster!F:F,Roster!D:D,"",0))</f>
        <v>36</v>
      </c>
      <c r="M2963" s="317" t="str">
        <f t="array" ref="M2963">XLOOKUP(D2963,Roster!F:F,Roster!E:E)</f>
        <v>Voice</v>
      </c>
      <c r="N2963" s="317" t="str">
        <f t="shared" ref="N2963:P2963" si="3005">LEFT(H2963,5)</f>
        <v>09:45</v>
      </c>
      <c r="O2963" s="317" t="str">
        <f t="shared" si="3005"/>
        <v>12:30</v>
      </c>
      <c r="P2963" s="317" t="str">
        <f t="shared" si="3005"/>
        <v>15:00</v>
      </c>
      <c r="Q2963" s="318">
        <f t="shared" si="2933"/>
        <v>46137.40625</v>
      </c>
      <c r="R2963" s="318">
        <f t="shared" si="2934"/>
        <v>46137.52083</v>
      </c>
      <c r="S2963" s="318">
        <f t="shared" si="8"/>
        <v>46137.625</v>
      </c>
    </row>
    <row r="2964">
      <c r="A2964" s="14" t="str">
        <f t="shared" si="1"/>
        <v>C157646137</v>
      </c>
      <c r="B2964" s="185" t="str">
        <f t="array" ref="B2964">IF(F2964="VL","",IF(F2964="Free","Free",XLOOKUP(D2964,Roster!T:T,Roster!S:S,"",0)))</f>
        <v/>
      </c>
      <c r="C2964" s="313">
        <v>46137.0</v>
      </c>
      <c r="D2964" s="314" t="s">
        <v>313</v>
      </c>
      <c r="E2964" s="307" t="str">
        <f t="array" ref="E2964">(XLOOKUP(D2964,Roster!F:F,Roster!B:B,"",0))</f>
        <v>Carlos Ruiz</v>
      </c>
      <c r="F2964" s="315" t="str">
        <f t="array" ref="F2964">IF(B2964=100,"Free",TEXT(XLOOKUP($D2964,OperationVoice!$A:$A,OperationVoice!AE:AE,XLOOKUP($D2964,OperationTickets!$A:$A,OperationTickets!AE:AE,"",0)),"hh:mm"))</f>
        <v/>
      </c>
      <c r="G2964" s="309" t="str">
        <f t="shared" si="3"/>
        <v/>
      </c>
      <c r="H2964" s="316" t="str">
        <f t="array" ref="H2964">XLOOKUP(B2964,Roster!L:L,Roster!N:N,XLOOKUP(D2964,TicketsBreak!A:A,TicketsBreak!E:E,"",0),0)</f>
        <v/>
      </c>
      <c r="I2964" s="316" t="str">
        <f t="array" ref="I2964">XLOOKUP(B2964,Roster!L:L,Roster!O:O,XLOOKUP(D2964,TicketsBreak!A:A,TicketsBreak!F:F,"",0),0)</f>
        <v/>
      </c>
      <c r="J2964" s="316" t="str">
        <f t="array" ref="J2964">XLOOKUP(B2964,Roster!L:L,Roster!P:P,XLOOKUP(D2964,TicketsBreak!A:A,TicketsBreak!G:G,"",0),0)</f>
        <v/>
      </c>
      <c r="K2964" s="310">
        <f t="shared" si="4"/>
        <v>46137</v>
      </c>
      <c r="L2964" s="317">
        <f t="array" ref="L2964">(XLOOKUP(D2964,Roster!F:F,Roster!D:D,"",0))</f>
        <v>38</v>
      </c>
      <c r="M2964" s="317" t="str">
        <f t="array" ref="M2964">XLOOKUP(D2964,Roster!F:F,Roster!E:E)</f>
        <v>Nesting</v>
      </c>
      <c r="N2964" s="317" t="str">
        <f t="shared" ref="N2964:P2964" si="3006">LEFT(H2964,5)</f>
        <v/>
      </c>
      <c r="O2964" s="317" t="str">
        <f t="shared" si="3006"/>
        <v/>
      </c>
      <c r="P2964" s="317" t="str">
        <f t="shared" si="3006"/>
        <v/>
      </c>
      <c r="Q2964" s="318" t="str">
        <f t="shared" si="2933"/>
        <v/>
      </c>
      <c r="R2964" s="318" t="str">
        <f t="shared" si="2934"/>
        <v/>
      </c>
      <c r="S2964" s="318" t="str">
        <f t="shared" si="8"/>
        <v/>
      </c>
    </row>
    <row r="2965">
      <c r="A2965" s="14" t="str">
        <f t="shared" si="1"/>
        <v>C47946137</v>
      </c>
      <c r="B2965" s="185" t="str">
        <f t="array" ref="B2965">IF(F2965="VL","",IF(F2965="Free","Free",XLOOKUP(D2965,Roster!T:T,Roster!S:S,"",0)))</f>
        <v>Free</v>
      </c>
      <c r="C2965" s="313">
        <v>46137.0</v>
      </c>
      <c r="D2965" s="314" t="s">
        <v>173</v>
      </c>
      <c r="E2965" s="307" t="str">
        <f t="array" ref="E2965">(XLOOKUP(D2965,Roster!F:F,Roster!B:B,"",0))</f>
        <v>Carmen Grajales</v>
      </c>
      <c r="F2965" s="315" t="str">
        <f t="array" ref="F2965">IF(B2965=100,"Free",TEXT(XLOOKUP($D2965,OperationVoice!$A:$A,OperationVoice!AE:AE,XLOOKUP($D2965,OperationTickets!$A:$A,OperationTickets!AE:AE,"",0)),"hh:mm"))</f>
        <v>Free</v>
      </c>
      <c r="G2965" s="309" t="str">
        <f t="shared" si="3"/>
        <v>Free</v>
      </c>
      <c r="H2965" s="316">
        <f t="array" ref="H2965">XLOOKUP(B2965,Roster!L:L,Roster!N:N,XLOOKUP(D2965,TicketsBreak!A:A,TicketsBreak!E:E,"",0),0)</f>
        <v>0.4270833333</v>
      </c>
      <c r="I2965" s="316">
        <f t="array" ref="I2965">XLOOKUP(B2965,Roster!L:L,Roster!O:O,XLOOKUP(D2965,TicketsBreak!A:A,TicketsBreak!F:F,"",0),0)</f>
        <v>0.53125</v>
      </c>
      <c r="J2965" s="316">
        <f t="array" ref="J2965">XLOOKUP(B2965,Roster!L:L,Roster!P:P,XLOOKUP(D2965,TicketsBreak!A:A,TicketsBreak!G:G,"",0),0)</f>
        <v>0.65625</v>
      </c>
      <c r="K2965" s="310">
        <f t="shared" si="4"/>
        <v>46137</v>
      </c>
      <c r="L2965" s="317">
        <f t="array" ref="L2965">(XLOOKUP(D2965,Roster!F:F,Roster!D:D,"",0))</f>
        <v>2</v>
      </c>
      <c r="M2965" s="317" t="str">
        <f t="array" ref="M2965">XLOOKUP(D2965,Roster!F:F,Roster!E:E)</f>
        <v>Tickets</v>
      </c>
      <c r="N2965" s="317" t="str">
        <f t="shared" ref="N2965:P2965" si="3007">LEFT(H2965,5)</f>
        <v>10:15</v>
      </c>
      <c r="O2965" s="317" t="str">
        <f t="shared" si="3007"/>
        <v>12:45</v>
      </c>
      <c r="P2965" s="317" t="str">
        <f t="shared" si="3007"/>
        <v>15:45</v>
      </c>
      <c r="Q2965" s="318">
        <f t="shared" si="2933"/>
        <v>46137.42708</v>
      </c>
      <c r="R2965" s="318">
        <f t="shared" si="2934"/>
        <v>46137.53125</v>
      </c>
      <c r="S2965" s="318">
        <f t="shared" si="8"/>
        <v>46137.65625</v>
      </c>
    </row>
    <row r="2966">
      <c r="A2966" s="14" t="str">
        <f t="shared" si="1"/>
        <v>C68746137</v>
      </c>
      <c r="B2966" s="185" t="str">
        <f t="array" ref="B2966">IF(F2966="VL","",IF(F2966="Free","Free",XLOOKUP(D2966,Roster!T:T,Roster!S:S,"",0)))</f>
        <v>Free</v>
      </c>
      <c r="C2966" s="313">
        <v>46137.0</v>
      </c>
      <c r="D2966" s="314" t="s">
        <v>22</v>
      </c>
      <c r="E2966" s="307" t="str">
        <f t="array" ref="E2966">(XLOOKUP(D2966,Roster!F:F,Roster!B:B,"",0))</f>
        <v>Carolina Rios</v>
      </c>
      <c r="F2966" s="315" t="str">
        <f t="array" ref="F2966">IF(B2966=100,"Free",TEXT(XLOOKUP($D2966,OperationVoice!$A:$A,OperationVoice!AE:AE,XLOOKUP($D2966,OperationTickets!$A:$A,OperationTickets!AE:AE,"",0)),"hh:mm"))</f>
        <v>Free</v>
      </c>
      <c r="G2966" s="309" t="str">
        <f t="shared" si="3"/>
        <v>Free</v>
      </c>
      <c r="H2966" s="316" t="str">
        <f t="array" ref="H2966">XLOOKUP(B2966,Roster!L:L,Roster!N:N,XLOOKUP(D2966,TicketsBreak!A:A,TicketsBreak!E:E,"",0),0)</f>
        <v/>
      </c>
      <c r="I2966" s="316" t="str">
        <f t="array" ref="I2966">XLOOKUP(B2966,Roster!L:L,Roster!O:O,XLOOKUP(D2966,TicketsBreak!A:A,TicketsBreak!F:F,"",0),0)</f>
        <v/>
      </c>
      <c r="J2966" s="316" t="str">
        <f t="array" ref="J2966">XLOOKUP(B2966,Roster!L:L,Roster!P:P,XLOOKUP(D2966,TicketsBreak!A:A,TicketsBreak!G:G,"",0),0)</f>
        <v/>
      </c>
      <c r="K2966" s="310">
        <f t="shared" si="4"/>
        <v>46137</v>
      </c>
      <c r="L2966" s="317">
        <f t="array" ref="L2966">(XLOOKUP(D2966,Roster!F:F,Roster!D:D,"",0))</f>
        <v>5</v>
      </c>
      <c r="M2966" s="317" t="str">
        <f t="array" ref="M2966">XLOOKUP(D2966,Roster!F:F,Roster!E:E)</f>
        <v>Voice</v>
      </c>
      <c r="N2966" s="317" t="str">
        <f t="shared" ref="N2966:P2966" si="3008">LEFT(H2966,5)</f>
        <v/>
      </c>
      <c r="O2966" s="317" t="str">
        <f t="shared" si="3008"/>
        <v/>
      </c>
      <c r="P2966" s="317" t="str">
        <f t="shared" si="3008"/>
        <v/>
      </c>
      <c r="Q2966" s="318" t="str">
        <f t="shared" si="2933"/>
        <v/>
      </c>
      <c r="R2966" s="318" t="str">
        <f t="shared" si="2934"/>
        <v/>
      </c>
      <c r="S2966" s="318" t="str">
        <f t="shared" si="8"/>
        <v/>
      </c>
    </row>
    <row r="2967">
      <c r="A2967" s="14" t="str">
        <f t="shared" si="1"/>
        <v>C152846137</v>
      </c>
      <c r="B2967" s="185" t="str">
        <f t="array" ref="B2967">IF(F2967="VL","",IF(F2967="Free","Free",XLOOKUP(D2967,Roster!T:T,Roster!S:S,"",0)))</f>
        <v>Free</v>
      </c>
      <c r="C2967" s="313">
        <v>46137.0</v>
      </c>
      <c r="D2967" s="314" t="s">
        <v>23</v>
      </c>
      <c r="E2967" s="307" t="str">
        <f t="array" ref="E2967">(XLOOKUP(D2967,Roster!F:F,Roster!B:B,"",0))</f>
        <v>Christian Ramirez</v>
      </c>
      <c r="F2967" s="315" t="str">
        <f t="array" ref="F2967">IF(B2967=100,"Free",TEXT(XLOOKUP($D2967,OperationVoice!$A:$A,OperationVoice!AE:AE,XLOOKUP($D2967,OperationTickets!$A:$A,OperationTickets!AE:AE,"",0)),"hh:mm"))</f>
        <v>Free</v>
      </c>
      <c r="G2967" s="309" t="str">
        <f t="shared" si="3"/>
        <v>Free</v>
      </c>
      <c r="H2967" s="316" t="str">
        <f t="array" ref="H2967">XLOOKUP(B2967,Roster!L:L,Roster!N:N,XLOOKUP(D2967,TicketsBreak!A:A,TicketsBreak!E:E,"",0),0)</f>
        <v/>
      </c>
      <c r="I2967" s="316" t="str">
        <f t="array" ref="I2967">XLOOKUP(B2967,Roster!L:L,Roster!O:O,XLOOKUP(D2967,TicketsBreak!A:A,TicketsBreak!F:F,"",0),0)</f>
        <v/>
      </c>
      <c r="J2967" s="316" t="str">
        <f t="array" ref="J2967">XLOOKUP(B2967,Roster!L:L,Roster!P:P,XLOOKUP(D2967,TicketsBreak!A:A,TicketsBreak!G:G,"",0),0)</f>
        <v/>
      </c>
      <c r="K2967" s="310">
        <f t="shared" si="4"/>
        <v>46137</v>
      </c>
      <c r="L2967" s="317">
        <f t="array" ref="L2967">(XLOOKUP(D2967,Roster!F:F,Roster!D:D,"",0))</f>
        <v>36</v>
      </c>
      <c r="M2967" s="317" t="str">
        <f t="array" ref="M2967">XLOOKUP(D2967,Roster!F:F,Roster!E:E)</f>
        <v>Voice</v>
      </c>
      <c r="N2967" s="317" t="str">
        <f t="shared" ref="N2967:P2967" si="3009">LEFT(H2967,5)</f>
        <v/>
      </c>
      <c r="O2967" s="317" t="str">
        <f t="shared" si="3009"/>
        <v/>
      </c>
      <c r="P2967" s="317" t="str">
        <f t="shared" si="3009"/>
        <v/>
      </c>
      <c r="Q2967" s="318" t="str">
        <f t="shared" si="2933"/>
        <v/>
      </c>
      <c r="R2967" s="318" t="str">
        <f t="shared" si="2934"/>
        <v/>
      </c>
      <c r="S2967" s="318" t="str">
        <f t="shared" si="8"/>
        <v/>
      </c>
    </row>
    <row r="2968">
      <c r="A2968" s="14" t="str">
        <f t="shared" si="1"/>
        <v>C132546137</v>
      </c>
      <c r="B2968" s="185">
        <f t="array" ref="B2968">IF(F2968="VL","",IF(F2968="Free","Free",XLOOKUP(D2968,Roster!T:T,Roster!S:S,"",0)))</f>
        <v>123</v>
      </c>
      <c r="C2968" s="313">
        <v>46137.0</v>
      </c>
      <c r="D2968" s="314" t="s">
        <v>174</v>
      </c>
      <c r="E2968" s="307" t="str">
        <f t="array" ref="E2968">(XLOOKUP(D2968,Roster!F:F,Roster!B:B,"",0))</f>
        <v>Cristian Ferreira</v>
      </c>
      <c r="F2968" s="315" t="str">
        <f t="array" ref="F2968">IF(B2968=100,"Free",TEXT(XLOOKUP($D2968,OperationVoice!$A:$A,OperationVoice!AE:AE,XLOOKUP($D2968,OperationTickets!$A:$A,OperationTickets!AE:AE,"",0)),"hh:mm"))</f>
        <v>08:00</v>
      </c>
      <c r="G2968" s="309">
        <f t="shared" si="3"/>
        <v>0.7083333333</v>
      </c>
      <c r="H2968" s="316" t="str">
        <f t="array" ref="H2968">XLOOKUP(B2968,Roster!L:L,Roster!N:N,XLOOKUP(D2968,TicketsBreak!A:A,TicketsBreak!E:E,"",0),0)</f>
        <v>09:45 - 10:00 </v>
      </c>
      <c r="I2968" s="316" t="str">
        <f t="array" ref="I2968">XLOOKUP(B2968,Roster!L:L,Roster!O:O,XLOOKUP(D2968,TicketsBreak!A:A,TicketsBreak!F:F,"",0),0)</f>
        <v>12:30 - 13:00</v>
      </c>
      <c r="J2968" s="316" t="str">
        <f t="array" ref="J2968">XLOOKUP(B2968,Roster!L:L,Roster!P:P,XLOOKUP(D2968,TicketsBreak!A:A,TicketsBreak!G:G,"",0),0)</f>
        <v>15:00 - 15:15</v>
      </c>
      <c r="K2968" s="310">
        <f t="shared" si="4"/>
        <v>46137</v>
      </c>
      <c r="L2968" s="317">
        <f t="array" ref="L2968">(XLOOKUP(D2968,Roster!F:F,Roster!D:D,"",0))</f>
        <v>29</v>
      </c>
      <c r="M2968" s="317" t="str">
        <f t="array" ref="M2968">XLOOKUP(D2968,Roster!F:F,Roster!E:E)</f>
        <v>Tickets</v>
      </c>
      <c r="N2968" s="317" t="str">
        <f t="shared" ref="N2968:P2968" si="3010">LEFT(H2968,5)</f>
        <v>09:45</v>
      </c>
      <c r="O2968" s="317" t="str">
        <f t="shared" si="3010"/>
        <v>12:30</v>
      </c>
      <c r="P2968" s="317" t="str">
        <f t="shared" si="3010"/>
        <v>15:00</v>
      </c>
      <c r="Q2968" s="318">
        <f t="shared" si="2933"/>
        <v>46137.40625</v>
      </c>
      <c r="R2968" s="318">
        <f t="shared" si="2934"/>
        <v>46137.52083</v>
      </c>
      <c r="S2968" s="318">
        <f t="shared" si="8"/>
        <v>46137.625</v>
      </c>
    </row>
    <row r="2969">
      <c r="A2969" s="14" t="str">
        <f t="shared" si="1"/>
        <v>C151046137</v>
      </c>
      <c r="B2969" s="185">
        <f t="array" ref="B2969">IF(F2969="VL","",IF(F2969="Free","Free",XLOOKUP(D2969,Roster!T:T,Roster!S:S,"",0)))</f>
        <v>121</v>
      </c>
      <c r="C2969" s="313">
        <v>46137.0</v>
      </c>
      <c r="D2969" s="314" t="s">
        <v>24</v>
      </c>
      <c r="E2969" s="307" t="str">
        <f t="array" ref="E2969">(XLOOKUP(D2969,Roster!F:F,Roster!B:B,"",0))</f>
        <v>Cristian Gomez</v>
      </c>
      <c r="F2969" s="315" t="str">
        <f t="array" ref="F2969">IF(B2969=100,"Free",TEXT(XLOOKUP($D2969,OperationVoice!$A:$A,OperationVoice!AE:AE,XLOOKUP($D2969,OperationTickets!$A:$A,OperationTickets!AE:AE,"",0)),"hh:mm"))</f>
        <v>08:00</v>
      </c>
      <c r="G2969" s="309">
        <f t="shared" si="3"/>
        <v>0.7083333333</v>
      </c>
      <c r="H2969" s="316" t="str">
        <f t="array" ref="H2969">XLOOKUP(B2969,Roster!L:L,Roster!N:N,XLOOKUP(D2969,TicketsBreak!A:A,TicketsBreak!E:E,"",0),0)</f>
        <v>09:15 - 09:30</v>
      </c>
      <c r="I2969" s="316" t="str">
        <f t="array" ref="I2969">XLOOKUP(B2969,Roster!L:L,Roster!O:O,XLOOKUP(D2969,TicketsBreak!A:A,TicketsBreak!F:F,"",0),0)</f>
        <v>11:30 - 12:00</v>
      </c>
      <c r="J2969" s="316" t="str">
        <f t="array" ref="J2969">XLOOKUP(B2969,Roster!L:L,Roster!P:P,XLOOKUP(D2969,TicketsBreak!A:A,TicketsBreak!G:G,"",0),0)</f>
        <v>14:30 - 14:45</v>
      </c>
      <c r="K2969" s="310">
        <f t="shared" si="4"/>
        <v>46137</v>
      </c>
      <c r="L2969" s="317">
        <f t="array" ref="L2969">(XLOOKUP(D2969,Roster!F:F,Roster!D:D,"",0))</f>
        <v>35</v>
      </c>
      <c r="M2969" s="317" t="str">
        <f t="array" ref="M2969">XLOOKUP(D2969,Roster!F:F,Roster!E:E)</f>
        <v>Voice</v>
      </c>
      <c r="N2969" s="317" t="str">
        <f t="shared" ref="N2969:P2969" si="3011">LEFT(H2969,5)</f>
        <v>09:15</v>
      </c>
      <c r="O2969" s="317" t="str">
        <f t="shared" si="3011"/>
        <v>11:30</v>
      </c>
      <c r="P2969" s="317" t="str">
        <f t="shared" si="3011"/>
        <v>14:30</v>
      </c>
      <c r="Q2969" s="318">
        <f t="shared" si="2933"/>
        <v>46137.38542</v>
      </c>
      <c r="R2969" s="318">
        <f t="shared" si="2934"/>
        <v>46137.47917</v>
      </c>
      <c r="S2969" s="318">
        <f t="shared" si="8"/>
        <v>46137.60417</v>
      </c>
    </row>
    <row r="2970">
      <c r="A2970" s="14" t="str">
        <f t="shared" si="1"/>
        <v>C67346137</v>
      </c>
      <c r="B2970" s="185" t="str">
        <f t="array" ref="B2970">IF(F2970="VL","",IF(F2970="Free","Free",XLOOKUP(D2970,Roster!T:T,Roster!S:S,"",0)))</f>
        <v/>
      </c>
      <c r="C2970" s="313">
        <v>46137.0</v>
      </c>
      <c r="D2970" s="314" t="s">
        <v>156</v>
      </c>
      <c r="E2970" s="307" t="str">
        <f t="array" ref="E2970">(XLOOKUP(D2970,Roster!F:F,Roster!B:B,"",0))</f>
        <v>Dahiana Cano</v>
      </c>
      <c r="F2970" s="315" t="str">
        <f t="array" ref="F2970">IF(B2970=100,"Free",TEXT(XLOOKUP($D2970,OperationVoice!$A:$A,OperationVoice!AE:AE,XLOOKUP($D2970,OperationTickets!$A:$A,OperationTickets!AE:AE,"",0)),"hh:mm"))</f>
        <v>08:00</v>
      </c>
      <c r="G2970" s="309">
        <f t="shared" si="3"/>
        <v>0.7083333333</v>
      </c>
      <c r="H2970" s="316">
        <f t="array" ref="H2970">XLOOKUP(B2970,Roster!L:L,Roster!N:N,XLOOKUP(D2970,TicketsBreak!A:A,TicketsBreak!E:E,"",0),0)</f>
        <v>0.4583333333</v>
      </c>
      <c r="I2970" s="316">
        <f t="array" ref="I2970">XLOOKUP(B2970,Roster!L:L,Roster!O:O,XLOOKUP(D2970,TicketsBreak!A:A,TicketsBreak!F:F,"",0),0)</f>
        <v>0.5833333333</v>
      </c>
      <c r="J2970" s="316">
        <f t="array" ref="J2970">XLOOKUP(B2970,Roster!L:L,Roster!P:P,XLOOKUP(D2970,TicketsBreak!A:A,TicketsBreak!G:G,"",0),0)</f>
        <v>0.65625</v>
      </c>
      <c r="K2970" s="310">
        <f t="shared" si="4"/>
        <v>46137</v>
      </c>
      <c r="L2970" s="317">
        <f t="array" ref="L2970">(XLOOKUP(D2970,Roster!F:F,Roster!D:D,"",0))</f>
        <v>4</v>
      </c>
      <c r="M2970" s="317" t="str">
        <f t="array" ref="M2970">XLOOKUP(D2970,Roster!F:F,Roster!E:E)</f>
        <v>Tickets</v>
      </c>
      <c r="N2970" s="317" t="str">
        <f t="shared" ref="N2970:P2970" si="3012">LEFT(H2970,5)</f>
        <v>11:00</v>
      </c>
      <c r="O2970" s="317" t="str">
        <f t="shared" si="3012"/>
        <v>14:00</v>
      </c>
      <c r="P2970" s="317" t="str">
        <f t="shared" si="3012"/>
        <v>15:45</v>
      </c>
      <c r="Q2970" s="318">
        <f t="shared" si="2933"/>
        <v>46137.45833</v>
      </c>
      <c r="R2970" s="318">
        <f t="shared" si="2934"/>
        <v>46137.58333</v>
      </c>
      <c r="S2970" s="318">
        <f t="shared" si="8"/>
        <v>46137.65625</v>
      </c>
    </row>
    <row r="2971">
      <c r="A2971" s="14" t="str">
        <f t="shared" si="1"/>
        <v>C152946137</v>
      </c>
      <c r="B2971" s="185" t="str">
        <f t="array" ref="B2971">IF(F2971="VL","",IF(F2971="Free","Free",XLOOKUP(D2971,Roster!T:T,Roster!S:S,"",0)))</f>
        <v>Free</v>
      </c>
      <c r="C2971" s="313">
        <v>46137.0</v>
      </c>
      <c r="D2971" s="314" t="s">
        <v>25</v>
      </c>
      <c r="E2971" s="307" t="str">
        <f t="array" ref="E2971">(XLOOKUP(D2971,Roster!F:F,Roster!B:B,"",0))</f>
        <v>Daniel Barrientos</v>
      </c>
      <c r="F2971" s="315" t="str">
        <f t="array" ref="F2971">IF(B2971=100,"Free",TEXT(XLOOKUP($D2971,OperationVoice!$A:$A,OperationVoice!AE:AE,XLOOKUP($D2971,OperationTickets!$A:$A,OperationTickets!AE:AE,"",0)),"hh:mm"))</f>
        <v>Free</v>
      </c>
      <c r="G2971" s="309" t="str">
        <f t="shared" si="3"/>
        <v>Free</v>
      </c>
      <c r="H2971" s="316" t="str">
        <f t="array" ref="H2971">XLOOKUP(B2971,Roster!L:L,Roster!N:N,XLOOKUP(D2971,TicketsBreak!A:A,TicketsBreak!E:E,"",0),0)</f>
        <v/>
      </c>
      <c r="I2971" s="316" t="str">
        <f t="array" ref="I2971">XLOOKUP(B2971,Roster!L:L,Roster!O:O,XLOOKUP(D2971,TicketsBreak!A:A,TicketsBreak!F:F,"",0),0)</f>
        <v/>
      </c>
      <c r="J2971" s="316" t="str">
        <f t="array" ref="J2971">XLOOKUP(B2971,Roster!L:L,Roster!P:P,XLOOKUP(D2971,TicketsBreak!A:A,TicketsBreak!G:G,"",0),0)</f>
        <v/>
      </c>
      <c r="K2971" s="310">
        <f t="shared" si="4"/>
        <v>46137</v>
      </c>
      <c r="L2971" s="317">
        <f t="array" ref="L2971">(XLOOKUP(D2971,Roster!F:F,Roster!D:D,"",0))</f>
        <v>36</v>
      </c>
      <c r="M2971" s="317" t="str">
        <f t="array" ref="M2971">XLOOKUP(D2971,Roster!F:F,Roster!E:E)</f>
        <v>Voice</v>
      </c>
      <c r="N2971" s="317" t="str">
        <f t="shared" ref="N2971:P2971" si="3013">LEFT(H2971,5)</f>
        <v/>
      </c>
      <c r="O2971" s="317" t="str">
        <f t="shared" si="3013"/>
        <v/>
      </c>
      <c r="P2971" s="317" t="str">
        <f t="shared" si="3013"/>
        <v/>
      </c>
      <c r="Q2971" s="318" t="str">
        <f t="shared" si="2933"/>
        <v/>
      </c>
      <c r="R2971" s="318" t="str">
        <f t="shared" si="2934"/>
        <v/>
      </c>
      <c r="S2971" s="318" t="str">
        <f t="shared" si="8"/>
        <v/>
      </c>
    </row>
    <row r="2972">
      <c r="A2972" s="14" t="str">
        <f t="shared" si="1"/>
        <v>C106446137</v>
      </c>
      <c r="B2972" s="185" t="str">
        <f t="array" ref="B2972">IF(F2972="VL","",IF(F2972="Free","Free",XLOOKUP(D2972,Roster!T:T,Roster!S:S,"",0)))</f>
        <v/>
      </c>
      <c r="C2972" s="313">
        <v>46137.0</v>
      </c>
      <c r="D2972" s="314" t="s">
        <v>175</v>
      </c>
      <c r="E2972" s="307" t="str">
        <f t="array" ref="E2972">(XLOOKUP(D2972,Roster!F:F,Roster!B:B,"",0))</f>
        <v>Daniel Urrego</v>
      </c>
      <c r="F2972" s="315" t="str">
        <f t="array" ref="F2972">IF(B2972=100,"Free",TEXT(XLOOKUP($D2972,OperationVoice!$A:$A,OperationVoice!AE:AE,XLOOKUP($D2972,OperationTickets!$A:$A,OperationTickets!AE:AE,"",0)),"hh:mm"))</f>
        <v>08:00</v>
      </c>
      <c r="G2972" s="309">
        <f t="shared" si="3"/>
        <v>0.7083333333</v>
      </c>
      <c r="H2972" s="316" t="str">
        <f t="array" ref="H2972">XLOOKUP(B2972,Roster!L:L,Roster!N:N,XLOOKUP(D2972,TicketsBreak!A:A,TicketsBreak!E:E,"",0),0)</f>
        <v/>
      </c>
      <c r="I2972" s="316" t="str">
        <f t="array" ref="I2972">XLOOKUP(B2972,Roster!L:L,Roster!O:O,XLOOKUP(D2972,TicketsBreak!A:A,TicketsBreak!F:F,"",0),0)</f>
        <v/>
      </c>
      <c r="J2972" s="316" t="str">
        <f t="array" ref="J2972">XLOOKUP(B2972,Roster!L:L,Roster!P:P,XLOOKUP(D2972,TicketsBreak!A:A,TicketsBreak!G:G,"",0),0)</f>
        <v/>
      </c>
      <c r="K2972" s="310">
        <f t="shared" si="4"/>
        <v>46137</v>
      </c>
      <c r="L2972" s="317">
        <f t="array" ref="L2972">(XLOOKUP(D2972,Roster!F:F,Roster!D:D,"",0))</f>
        <v>17</v>
      </c>
      <c r="M2972" s="317" t="str">
        <f t="array" ref="M2972">XLOOKUP(D2972,Roster!F:F,Roster!E:E)</f>
        <v>Tickets</v>
      </c>
      <c r="N2972" s="317" t="str">
        <f t="shared" ref="N2972:P2972" si="3014">LEFT(H2972,5)</f>
        <v/>
      </c>
      <c r="O2972" s="317" t="str">
        <f t="shared" si="3014"/>
        <v/>
      </c>
      <c r="P2972" s="317" t="str">
        <f t="shared" si="3014"/>
        <v/>
      </c>
      <c r="Q2972" s="318" t="str">
        <f t="shared" si="2933"/>
        <v/>
      </c>
      <c r="R2972" s="318" t="str">
        <f t="shared" si="2934"/>
        <v/>
      </c>
      <c r="S2972" s="318" t="str">
        <f t="shared" si="8"/>
        <v/>
      </c>
    </row>
    <row r="2973">
      <c r="A2973" s="14" t="str">
        <f t="shared" si="1"/>
        <v>C151346137</v>
      </c>
      <c r="B2973" s="185">
        <f t="array" ref="B2973">IF(F2973="VL","",IF(F2973="Free","Free",XLOOKUP(D2973,Roster!T:T,Roster!S:S,"",0)))</f>
        <v>126</v>
      </c>
      <c r="C2973" s="313">
        <v>46137.0</v>
      </c>
      <c r="D2973" s="314" t="s">
        <v>26</v>
      </c>
      <c r="E2973" s="307" t="str">
        <f t="array" ref="E2973">(XLOOKUP(D2973,Roster!F:F,Roster!B:B,"",0))</f>
        <v>David Patino</v>
      </c>
      <c r="F2973" s="315" t="str">
        <f t="array" ref="F2973">IF(B2973=100,"Free",TEXT(XLOOKUP($D2973,OperationVoice!$A:$A,OperationVoice!AE:AE,XLOOKUP($D2973,OperationTickets!$A:$A,OperationTickets!AE:AE,"",0)),"hh:mm"))</f>
        <v>08:00</v>
      </c>
      <c r="G2973" s="309">
        <f t="shared" si="3"/>
        <v>0.7083333333</v>
      </c>
      <c r="H2973" s="316" t="str">
        <f t="array" ref="H2973">XLOOKUP(B2973,Roster!L:L,Roster!N:N,XLOOKUP(D2973,TicketsBreak!A:A,TicketsBreak!E:E,"",0),0)</f>
        <v>10:45 - 11:00</v>
      </c>
      <c r="I2973" s="316" t="str">
        <f t="array" ref="I2973">XLOOKUP(B2973,Roster!L:L,Roster!O:O,XLOOKUP(D2973,TicketsBreak!A:A,TicketsBreak!F:F,"",0),0)</f>
        <v>14:00 - 14:30</v>
      </c>
      <c r="J2973" s="316" t="str">
        <f t="array" ref="J2973">XLOOKUP(B2973,Roster!L:L,Roster!P:P,XLOOKUP(D2973,TicketsBreak!A:A,TicketsBreak!G:G,"",0),0)</f>
        <v>15:45 - 16:00</v>
      </c>
      <c r="K2973" s="310">
        <f t="shared" si="4"/>
        <v>46137</v>
      </c>
      <c r="L2973" s="317">
        <f t="array" ref="L2973">(XLOOKUP(D2973,Roster!F:F,Roster!D:D,"",0))</f>
        <v>35</v>
      </c>
      <c r="M2973" s="317" t="str">
        <f t="array" ref="M2973">XLOOKUP(D2973,Roster!F:F,Roster!E:E)</f>
        <v>Voice</v>
      </c>
      <c r="N2973" s="317" t="str">
        <f t="shared" ref="N2973:P2973" si="3015">LEFT(H2973,5)</f>
        <v>10:45</v>
      </c>
      <c r="O2973" s="317" t="str">
        <f t="shared" si="3015"/>
        <v>14:00</v>
      </c>
      <c r="P2973" s="317" t="str">
        <f t="shared" si="3015"/>
        <v>15:45</v>
      </c>
      <c r="Q2973" s="318">
        <f t="shared" si="2933"/>
        <v>46137.44792</v>
      </c>
      <c r="R2973" s="318">
        <f t="shared" si="2934"/>
        <v>46137.58333</v>
      </c>
      <c r="S2973" s="318">
        <f t="shared" si="8"/>
        <v>46137.65625</v>
      </c>
    </row>
    <row r="2974">
      <c r="A2974" s="14" t="str">
        <f t="shared" si="1"/>
        <v>C127746137</v>
      </c>
      <c r="B2974" s="185">
        <f t="array" ref="B2974">IF(F2974="VL","",IF(F2974="Free","Free",XLOOKUP(D2974,Roster!T:T,Roster!S:S,"",0)))</f>
        <v>124</v>
      </c>
      <c r="C2974" s="313">
        <v>46137.0</v>
      </c>
      <c r="D2974" s="314" t="s">
        <v>27</v>
      </c>
      <c r="E2974" s="307" t="str">
        <f t="array" ref="E2974">(XLOOKUP(D2974,Roster!F:F,Roster!B:B,"",0))</f>
        <v>Edwuin Martinez</v>
      </c>
      <c r="F2974" s="315" t="str">
        <f t="array" ref="F2974">IF(B2974=100,"Free",TEXT(XLOOKUP($D2974,OperationVoice!$A:$A,OperationVoice!AE:AE,XLOOKUP($D2974,OperationTickets!$A:$A,OperationTickets!AE:AE,"",0)),"hh:mm"))</f>
        <v>08:00</v>
      </c>
      <c r="G2974" s="309">
        <f t="shared" si="3"/>
        <v>0.7083333333</v>
      </c>
      <c r="H2974" s="316" t="str">
        <f t="array" ref="H2974">XLOOKUP(B2974,Roster!L:L,Roster!N:N,XLOOKUP(D2974,TicketsBreak!A:A,TicketsBreak!E:E,"",0),0)</f>
        <v>10:00 - 10:15</v>
      </c>
      <c r="I2974" s="316" t="str">
        <f t="array" ref="I2974">XLOOKUP(B2974,Roster!L:L,Roster!O:O,XLOOKUP(D2974,TicketsBreak!A:A,TicketsBreak!F:F,"",0),0)</f>
        <v>13:00 - 13:30</v>
      </c>
      <c r="J2974" s="316" t="str">
        <f t="array" ref="J2974">XLOOKUP(B2974,Roster!L:L,Roster!P:P,XLOOKUP(D2974,TicketsBreak!A:A,TicketsBreak!G:G,"",0),0)</f>
        <v>15:30 - 15:45</v>
      </c>
      <c r="K2974" s="310">
        <f t="shared" si="4"/>
        <v>46137</v>
      </c>
      <c r="L2974" s="317">
        <f t="array" ref="L2974">(XLOOKUP(D2974,Roster!F:F,Roster!D:D,"",0))</f>
        <v>27</v>
      </c>
      <c r="M2974" s="317" t="str">
        <f t="array" ref="M2974">XLOOKUP(D2974,Roster!F:F,Roster!E:E)</f>
        <v>Voice</v>
      </c>
      <c r="N2974" s="317" t="str">
        <f t="shared" ref="N2974:P2974" si="3016">LEFT(H2974,5)</f>
        <v>10:00</v>
      </c>
      <c r="O2974" s="317" t="str">
        <f t="shared" si="3016"/>
        <v>13:00</v>
      </c>
      <c r="P2974" s="317" t="str">
        <f t="shared" si="3016"/>
        <v>15:30</v>
      </c>
      <c r="Q2974" s="318">
        <f t="shared" si="2933"/>
        <v>46137.41667</v>
      </c>
      <c r="R2974" s="318">
        <f t="shared" si="2934"/>
        <v>46137.54167</v>
      </c>
      <c r="S2974" s="318">
        <f t="shared" si="8"/>
        <v>46137.64583</v>
      </c>
    </row>
    <row r="2975">
      <c r="A2975" s="14" t="str">
        <f t="shared" si="1"/>
        <v>C121646137</v>
      </c>
      <c r="B2975" s="185" t="str">
        <f t="array" ref="B2975">IF(F2975="VL","",IF(F2975="Free","Free",XLOOKUP(D2975,Roster!T:T,Roster!S:S,"",0)))</f>
        <v/>
      </c>
      <c r="C2975" s="313">
        <v>46137.0</v>
      </c>
      <c r="D2975" s="314" t="s">
        <v>134</v>
      </c>
      <c r="E2975" s="307" t="str">
        <f t="array" ref="E2975">(XLOOKUP(D2975,Roster!F:F,Roster!B:B,"",0))</f>
        <v>Eliana Pena</v>
      </c>
      <c r="F2975" s="315" t="str">
        <f t="array" ref="F2975">IF(B2975=100,"Free",TEXT(XLOOKUP($D2975,OperationVoice!$A:$A,OperationVoice!AE:AE,XLOOKUP($D2975,OperationTickets!$A:$A,OperationTickets!AE:AE,"",0)),"hh:mm"))</f>
        <v>08:00</v>
      </c>
      <c r="G2975" s="309">
        <f t="shared" si="3"/>
        <v>0.7083333333</v>
      </c>
      <c r="H2975" s="316">
        <f t="array" ref="H2975">XLOOKUP(B2975,Roster!L:L,Roster!N:N,XLOOKUP(D2975,TicketsBreak!A:A,TicketsBreak!E:E,"",0),0)</f>
        <v>0.3958333333</v>
      </c>
      <c r="I2975" s="316">
        <f t="array" ref="I2975">XLOOKUP(B2975,Roster!L:L,Roster!O:O,XLOOKUP(D2975,TicketsBreak!A:A,TicketsBreak!F:F,"",0),0)</f>
        <v>0.5416666667</v>
      </c>
      <c r="J2975" s="316">
        <f t="array" ref="J2975">XLOOKUP(B2975,Roster!L:L,Roster!P:P,XLOOKUP(D2975,TicketsBreak!A:A,TicketsBreak!G:G,"",0),0)</f>
        <v>0.6354166667</v>
      </c>
      <c r="K2975" s="310">
        <f t="shared" si="4"/>
        <v>46137</v>
      </c>
      <c r="L2975" s="317">
        <f t="array" ref="L2975">(XLOOKUP(D2975,Roster!F:F,Roster!D:D,"",0))</f>
        <v>26</v>
      </c>
      <c r="M2975" s="317" t="str">
        <f t="array" ref="M2975">XLOOKUP(D2975,Roster!F:F,Roster!E:E)</f>
        <v>Tickets</v>
      </c>
      <c r="N2975" s="317" t="str">
        <f t="shared" ref="N2975:P2975" si="3017">LEFT(H2975,5)</f>
        <v>09:30</v>
      </c>
      <c r="O2975" s="317" t="str">
        <f t="shared" si="3017"/>
        <v>13:00</v>
      </c>
      <c r="P2975" s="317" t="str">
        <f t="shared" si="3017"/>
        <v>15:15</v>
      </c>
      <c r="Q2975" s="318">
        <f t="shared" si="2933"/>
        <v>46137.39583</v>
      </c>
      <c r="R2975" s="318">
        <f t="shared" si="2934"/>
        <v>46137.54167</v>
      </c>
      <c r="S2975" s="318">
        <f t="shared" si="8"/>
        <v>46137.63542</v>
      </c>
    </row>
    <row r="2976">
      <c r="A2976" s="14" t="str">
        <f t="shared" si="1"/>
        <v>C157346137</v>
      </c>
      <c r="B2976" s="185">
        <f t="array" ref="B2976">IF(F2976="VL","",IF(F2976="Free","Free",XLOOKUP(D2976,Roster!T:T,Roster!S:S,"",0)))</f>
        <v>123</v>
      </c>
      <c r="C2976" s="313">
        <v>46137.0</v>
      </c>
      <c r="D2976" s="314" t="s">
        <v>28</v>
      </c>
      <c r="E2976" s="307" t="str">
        <f t="array" ref="E2976">(XLOOKUP(D2976,Roster!F:F,Roster!B:B,"",0))</f>
        <v>Esteban Correa</v>
      </c>
      <c r="F2976" s="315" t="str">
        <f t="array" ref="F2976">IF(B2976=100,"Free",TEXT(XLOOKUP($D2976,OperationVoice!$A:$A,OperationVoice!AE:AE,XLOOKUP($D2976,OperationTickets!$A:$A,OperationTickets!AE:AE,"",0)),"hh:mm"))</f>
        <v>08:00</v>
      </c>
      <c r="G2976" s="309">
        <f t="shared" si="3"/>
        <v>0.7083333333</v>
      </c>
      <c r="H2976" s="316" t="str">
        <f t="array" ref="H2976">XLOOKUP(B2976,Roster!L:L,Roster!N:N,XLOOKUP(D2976,TicketsBreak!A:A,TicketsBreak!E:E,"",0),0)</f>
        <v>09:45 - 10:00 </v>
      </c>
      <c r="I2976" s="316" t="str">
        <f t="array" ref="I2976">XLOOKUP(B2976,Roster!L:L,Roster!O:O,XLOOKUP(D2976,TicketsBreak!A:A,TicketsBreak!F:F,"",0),0)</f>
        <v>12:30 - 13:00</v>
      </c>
      <c r="J2976" s="316" t="str">
        <f t="array" ref="J2976">XLOOKUP(B2976,Roster!L:L,Roster!P:P,XLOOKUP(D2976,TicketsBreak!A:A,TicketsBreak!G:G,"",0),0)</f>
        <v>15:00 - 15:15</v>
      </c>
      <c r="K2976" s="310">
        <f t="shared" si="4"/>
        <v>46137</v>
      </c>
      <c r="L2976" s="317">
        <f t="array" ref="L2976">(XLOOKUP(D2976,Roster!F:F,Roster!D:D,"",0))</f>
        <v>38</v>
      </c>
      <c r="M2976" s="317" t="str">
        <f t="array" ref="M2976">XLOOKUP(D2976,Roster!F:F,Roster!E:E)</f>
        <v>Voice</v>
      </c>
      <c r="N2976" s="317" t="str">
        <f t="shared" ref="N2976:P2976" si="3018">LEFT(H2976,5)</f>
        <v>09:45</v>
      </c>
      <c r="O2976" s="317" t="str">
        <f t="shared" si="3018"/>
        <v>12:30</v>
      </c>
      <c r="P2976" s="317" t="str">
        <f t="shared" si="3018"/>
        <v>15:00</v>
      </c>
      <c r="Q2976" s="318">
        <f t="shared" si="2933"/>
        <v>46137.40625</v>
      </c>
      <c r="R2976" s="318">
        <f t="shared" si="2934"/>
        <v>46137.52083</v>
      </c>
      <c r="S2976" s="318">
        <f t="shared" si="8"/>
        <v>46137.625</v>
      </c>
    </row>
    <row r="2977">
      <c r="A2977" s="14" t="str">
        <f t="shared" si="1"/>
        <v>C71346137</v>
      </c>
      <c r="B2977" s="185" t="str">
        <f t="array" ref="B2977">IF(F2977="VL","",IF(F2977="Free","Free",XLOOKUP(D2977,Roster!T:T,Roster!S:S,"",0)))</f>
        <v>Free</v>
      </c>
      <c r="C2977" s="313">
        <v>46137.0</v>
      </c>
      <c r="D2977" s="314" t="s">
        <v>29</v>
      </c>
      <c r="E2977" s="307" t="str">
        <f t="array" ref="E2977">(XLOOKUP(D2977,Roster!F:F,Roster!B:B,"",0))</f>
        <v>Frank Marin</v>
      </c>
      <c r="F2977" s="315" t="str">
        <f t="array" ref="F2977">IF(B2977=100,"Free",TEXT(XLOOKUP($D2977,OperationVoice!$A:$A,OperationVoice!AE:AE,XLOOKUP($D2977,OperationTickets!$A:$A,OperationTickets!AE:AE,"",0)),"hh:mm"))</f>
        <v>Free</v>
      </c>
      <c r="G2977" s="309" t="str">
        <f t="shared" si="3"/>
        <v>Free</v>
      </c>
      <c r="H2977" s="316" t="str">
        <f t="array" ref="H2977">XLOOKUP(B2977,Roster!L:L,Roster!N:N,XLOOKUP(D2977,TicketsBreak!A:A,TicketsBreak!E:E,"",0),0)</f>
        <v/>
      </c>
      <c r="I2977" s="316" t="str">
        <f t="array" ref="I2977">XLOOKUP(B2977,Roster!L:L,Roster!O:O,XLOOKUP(D2977,TicketsBreak!A:A,TicketsBreak!F:F,"",0),0)</f>
        <v/>
      </c>
      <c r="J2977" s="316" t="str">
        <f t="array" ref="J2977">XLOOKUP(B2977,Roster!L:L,Roster!P:P,XLOOKUP(D2977,TicketsBreak!A:A,TicketsBreak!G:G,"",0),0)</f>
        <v/>
      </c>
      <c r="K2977" s="310">
        <f t="shared" si="4"/>
        <v>46137</v>
      </c>
      <c r="L2977" s="317">
        <f t="array" ref="L2977">(XLOOKUP(D2977,Roster!F:F,Roster!D:D,"",0))</f>
        <v>6</v>
      </c>
      <c r="M2977" s="317" t="str">
        <f t="array" ref="M2977">XLOOKUP(D2977,Roster!F:F,Roster!E:E)</f>
        <v>Voice</v>
      </c>
      <c r="N2977" s="317" t="str">
        <f t="shared" ref="N2977:P2977" si="3019">LEFT(H2977,5)</f>
        <v/>
      </c>
      <c r="O2977" s="317" t="str">
        <f t="shared" si="3019"/>
        <v/>
      </c>
      <c r="P2977" s="317" t="str">
        <f t="shared" si="3019"/>
        <v/>
      </c>
      <c r="Q2977" s="318" t="str">
        <f t="shared" si="2933"/>
        <v/>
      </c>
      <c r="R2977" s="318" t="str">
        <f t="shared" si="2934"/>
        <v/>
      </c>
      <c r="S2977" s="318" t="str">
        <f t="shared" si="8"/>
        <v/>
      </c>
    </row>
    <row r="2978">
      <c r="A2978" s="14" t="str">
        <f t="shared" si="1"/>
        <v>C154846137</v>
      </c>
      <c r="B2978" s="185">
        <f t="array" ref="B2978">IF(F2978="VL","",IF(F2978="Free","Free",XLOOKUP(D2978,Roster!T:T,Roster!S:S,"",0)))</f>
        <v>152</v>
      </c>
      <c r="C2978" s="313">
        <v>46137.0</v>
      </c>
      <c r="D2978" s="314" t="s">
        <v>30</v>
      </c>
      <c r="E2978" s="307" t="str">
        <f t="array" ref="E2978">(XLOOKUP(D2978,Roster!F:F,Roster!B:B,"",0))</f>
        <v>Frey ortiz</v>
      </c>
      <c r="F2978" s="315" t="str">
        <f t="array" ref="F2978">IF(B2978=100,"Free",TEXT(XLOOKUP($D2978,OperationVoice!$A:$A,OperationVoice!AE:AE,XLOOKUP($D2978,OperationTickets!$A:$A,OperationTickets!AE:AE,"",0)),"hh:mm"))</f>
        <v>11:00</v>
      </c>
      <c r="G2978" s="309">
        <f t="shared" si="3"/>
        <v>0.8333333333</v>
      </c>
      <c r="H2978" s="316" t="str">
        <f t="array" ref="H2978">XLOOKUP(B2978,Roster!L:L,Roster!N:N,XLOOKUP(D2978,TicketsBreak!A:A,TicketsBreak!E:E,"",0),0)</f>
        <v>12:30 - 12:45</v>
      </c>
      <c r="I2978" s="316" t="str">
        <f t="array" ref="I2978">XLOOKUP(B2978,Roster!L:L,Roster!O:O,XLOOKUP(D2978,TicketsBreak!A:A,TicketsBreak!F:F,"",0),0)</f>
        <v>14:30 - 15:00</v>
      </c>
      <c r="J2978" s="316" t="str">
        <f t="array" ref="J2978">XLOOKUP(B2978,Roster!L:L,Roster!P:P,XLOOKUP(D2978,TicketsBreak!A:A,TicketsBreak!G:G,"",0),0)</f>
        <v>17:30 - 17:45</v>
      </c>
      <c r="K2978" s="310">
        <f t="shared" si="4"/>
        <v>46137</v>
      </c>
      <c r="L2978" s="317">
        <f t="array" ref="L2978">(XLOOKUP(D2978,Roster!F:F,Roster!D:D,"",0))</f>
        <v>37</v>
      </c>
      <c r="M2978" s="317" t="str">
        <f t="array" ref="M2978">XLOOKUP(D2978,Roster!F:F,Roster!E:E)</f>
        <v>Voice</v>
      </c>
      <c r="N2978" s="317" t="str">
        <f t="shared" ref="N2978:P2978" si="3020">LEFT(H2978,5)</f>
        <v>12:30</v>
      </c>
      <c r="O2978" s="317" t="str">
        <f t="shared" si="3020"/>
        <v>14:30</v>
      </c>
      <c r="P2978" s="317" t="str">
        <f t="shared" si="3020"/>
        <v>17:30</v>
      </c>
      <c r="Q2978" s="318">
        <f t="shared" si="2933"/>
        <v>46137.52083</v>
      </c>
      <c r="R2978" s="318">
        <f t="shared" si="2934"/>
        <v>46137.60417</v>
      </c>
      <c r="S2978" s="318">
        <f t="shared" si="8"/>
        <v>46137.72917</v>
      </c>
    </row>
    <row r="2979">
      <c r="A2979" s="14" t="str">
        <f t="shared" si="1"/>
        <v>C148646137</v>
      </c>
      <c r="B2979" s="185">
        <f t="array" ref="B2979">IF(F2979="VL","",IF(F2979="Free","Free",XLOOKUP(D2979,Roster!T:T,Roster!S:S,"",0)))</f>
        <v>154</v>
      </c>
      <c r="C2979" s="313">
        <v>46137.0</v>
      </c>
      <c r="D2979" s="314" t="s">
        <v>31</v>
      </c>
      <c r="E2979" s="307" t="str">
        <f t="array" ref="E2979">(XLOOKUP(D2979,Roster!F:F,Roster!B:B,"",0))</f>
        <v>Gabriel Gomez</v>
      </c>
      <c r="F2979" s="315" t="str">
        <f t="array" ref="F2979">IF(B2979=100,"Free",TEXT(XLOOKUP($D2979,OperationVoice!$A:$A,OperationVoice!AE:AE,XLOOKUP($D2979,OperationTickets!$A:$A,OperationTickets!AE:AE,"",0)),"hh:mm"))</f>
        <v>11:00</v>
      </c>
      <c r="G2979" s="309">
        <f t="shared" si="3"/>
        <v>0.8333333333</v>
      </c>
      <c r="H2979" s="316" t="str">
        <f t="array" ref="H2979">XLOOKUP(B2979,Roster!L:L,Roster!N:N,XLOOKUP(D2979,TicketsBreak!A:A,TicketsBreak!E:E,"",0),0)</f>
        <v>13:00 - 13:15</v>
      </c>
      <c r="I2979" s="316" t="str">
        <f t="array" ref="I2979">XLOOKUP(B2979,Roster!L:L,Roster!O:O,XLOOKUP(D2979,TicketsBreak!A:A,TicketsBreak!F:F,"",0),0)</f>
        <v>15:15 - 15:45</v>
      </c>
      <c r="J2979" s="316" t="str">
        <f t="array" ref="J2979">XLOOKUP(B2979,Roster!L:L,Roster!P:P,XLOOKUP(D2979,TicketsBreak!A:A,TicketsBreak!G:G,"",0),0)</f>
        <v>18:00 - 18:15</v>
      </c>
      <c r="K2979" s="310">
        <f t="shared" si="4"/>
        <v>46137</v>
      </c>
      <c r="L2979" s="317">
        <f t="array" ref="L2979">(XLOOKUP(D2979,Roster!F:F,Roster!D:D,"",0))</f>
        <v>34</v>
      </c>
      <c r="M2979" s="317" t="str">
        <f t="array" ref="M2979">XLOOKUP(D2979,Roster!F:F,Roster!E:E)</f>
        <v>Voice</v>
      </c>
      <c r="N2979" s="317" t="str">
        <f t="shared" ref="N2979:P2979" si="3021">LEFT(H2979,5)</f>
        <v>13:00</v>
      </c>
      <c r="O2979" s="317" t="str">
        <f t="shared" si="3021"/>
        <v>15:15</v>
      </c>
      <c r="P2979" s="317" t="str">
        <f t="shared" si="3021"/>
        <v>18:00</v>
      </c>
      <c r="Q2979" s="318">
        <f t="shared" si="2933"/>
        <v>46137.54167</v>
      </c>
      <c r="R2979" s="318">
        <f t="shared" si="2934"/>
        <v>46137.63542</v>
      </c>
      <c r="S2979" s="318">
        <f t="shared" si="8"/>
        <v>46137.75</v>
      </c>
    </row>
    <row r="2980">
      <c r="A2980" s="14" t="str">
        <f t="shared" si="1"/>
        <v>C136946137</v>
      </c>
      <c r="B2980" s="185" t="str">
        <f t="array" ref="B2980">IF(F2980="VL","",IF(F2980="Free","Free",XLOOKUP(D2980,Roster!T:T,Roster!S:S,"",0)))</f>
        <v>Free</v>
      </c>
      <c r="C2980" s="313">
        <v>46137.0</v>
      </c>
      <c r="D2980" s="314" t="s">
        <v>157</v>
      </c>
      <c r="E2980" s="307" t="str">
        <f t="array" ref="E2980">(XLOOKUP(D2980,Roster!F:F,Roster!B:B,"",0))</f>
        <v>Gabriela Jimenez</v>
      </c>
      <c r="F2980" s="315" t="str">
        <f t="array" ref="F2980">IF(B2980=100,"Free",TEXT(XLOOKUP($D2980,OperationVoice!$A:$A,OperationVoice!AE:AE,XLOOKUP($D2980,OperationTickets!$A:$A,OperationTickets!AE:AE,"",0)),"hh:mm"))</f>
        <v>Free</v>
      </c>
      <c r="G2980" s="309" t="str">
        <f t="shared" si="3"/>
        <v>Free</v>
      </c>
      <c r="H2980" s="316" t="str">
        <f t="array" ref="H2980">XLOOKUP(B2980,Roster!L:L,Roster!N:N,XLOOKUP(D2980,TicketsBreak!A:A,TicketsBreak!E:E,"",0),0)</f>
        <v/>
      </c>
      <c r="I2980" s="316" t="str">
        <f t="array" ref="I2980">XLOOKUP(B2980,Roster!L:L,Roster!O:O,XLOOKUP(D2980,TicketsBreak!A:A,TicketsBreak!F:F,"",0),0)</f>
        <v/>
      </c>
      <c r="J2980" s="316" t="str">
        <f t="array" ref="J2980">XLOOKUP(B2980,Roster!L:L,Roster!P:P,XLOOKUP(D2980,TicketsBreak!A:A,TicketsBreak!G:G,"",0),0)</f>
        <v/>
      </c>
      <c r="K2980" s="310">
        <f t="shared" si="4"/>
        <v>46137</v>
      </c>
      <c r="L2980" s="317">
        <f t="array" ref="L2980">(XLOOKUP(D2980,Roster!F:F,Roster!D:D,"",0))</f>
        <v>31</v>
      </c>
      <c r="M2980" s="317" t="str">
        <f t="array" ref="M2980">XLOOKUP(D2980,Roster!F:F,Roster!E:E)</f>
        <v>Tickets</v>
      </c>
      <c r="N2980" s="317" t="str">
        <f t="shared" ref="N2980:P2980" si="3022">LEFT(H2980,5)</f>
        <v/>
      </c>
      <c r="O2980" s="317" t="str">
        <f t="shared" si="3022"/>
        <v/>
      </c>
      <c r="P2980" s="317" t="str">
        <f t="shared" si="3022"/>
        <v/>
      </c>
      <c r="Q2980" s="318" t="str">
        <f t="shared" si="2933"/>
        <v/>
      </c>
      <c r="R2980" s="318" t="str">
        <f t="shared" si="2934"/>
        <v/>
      </c>
      <c r="S2980" s="318" t="str">
        <f t="shared" si="8"/>
        <v/>
      </c>
    </row>
    <row r="2981">
      <c r="A2981" s="14" t="str">
        <f t="shared" si="1"/>
        <v>C101746137</v>
      </c>
      <c r="B2981" s="185" t="str">
        <f t="array" ref="B2981">IF(F2981="VL","",IF(F2981="Free","Free",XLOOKUP(D2981,Roster!T:T,Roster!S:S,"",0)))</f>
        <v>Free</v>
      </c>
      <c r="C2981" s="313">
        <v>46137.0</v>
      </c>
      <c r="D2981" s="314" t="s">
        <v>32</v>
      </c>
      <c r="E2981" s="307" t="str">
        <f t="array" ref="E2981">(XLOOKUP(D2981,Roster!F:F,Roster!B:B,"",0))</f>
        <v>Geraldine Correa</v>
      </c>
      <c r="F2981" s="315" t="str">
        <f t="array" ref="F2981">IF(B2981=100,"Free",TEXT(XLOOKUP($D2981,OperationVoice!$A:$A,OperationVoice!AE:AE,XLOOKUP($D2981,OperationTickets!$A:$A,OperationTickets!AE:AE,"",0)),"hh:mm"))</f>
        <v>Free</v>
      </c>
      <c r="G2981" s="309" t="str">
        <f t="shared" si="3"/>
        <v>Free</v>
      </c>
      <c r="H2981" s="316" t="str">
        <f t="array" ref="H2981">XLOOKUP(B2981,Roster!L:L,Roster!N:N,XLOOKUP(D2981,TicketsBreak!A:A,TicketsBreak!E:E,"",0),0)</f>
        <v/>
      </c>
      <c r="I2981" s="316" t="str">
        <f t="array" ref="I2981">XLOOKUP(B2981,Roster!L:L,Roster!O:O,XLOOKUP(D2981,TicketsBreak!A:A,TicketsBreak!F:F,"",0),0)</f>
        <v/>
      </c>
      <c r="J2981" s="316" t="str">
        <f t="array" ref="J2981">XLOOKUP(B2981,Roster!L:L,Roster!P:P,XLOOKUP(D2981,TicketsBreak!A:A,TicketsBreak!G:G,"",0),0)</f>
        <v/>
      </c>
      <c r="K2981" s="310">
        <f t="shared" si="4"/>
        <v>46137</v>
      </c>
      <c r="L2981" s="317">
        <f t="array" ref="L2981">(XLOOKUP(D2981,Roster!F:F,Roster!D:D,"",0))</f>
        <v>23</v>
      </c>
      <c r="M2981" s="317" t="str">
        <f t="array" ref="M2981">XLOOKUP(D2981,Roster!F:F,Roster!E:E)</f>
        <v>Voice</v>
      </c>
      <c r="N2981" s="317" t="str">
        <f t="shared" ref="N2981:P2981" si="3023">LEFT(H2981,5)</f>
        <v/>
      </c>
      <c r="O2981" s="317" t="str">
        <f t="shared" si="3023"/>
        <v/>
      </c>
      <c r="P2981" s="317" t="str">
        <f t="shared" si="3023"/>
        <v/>
      </c>
      <c r="Q2981" s="318" t="str">
        <f t="shared" si="2933"/>
        <v/>
      </c>
      <c r="R2981" s="318" t="str">
        <f t="shared" si="2934"/>
        <v/>
      </c>
      <c r="S2981" s="318" t="str">
        <f t="shared" si="8"/>
        <v/>
      </c>
    </row>
    <row r="2982">
      <c r="A2982" s="14" t="str">
        <f t="shared" si="1"/>
        <v>C154146137</v>
      </c>
      <c r="B2982" s="185">
        <f t="array" ref="B2982">IF(F2982="VL","",IF(F2982="Free","Free",XLOOKUP(D2982,Roster!T:T,Roster!S:S,"",0)))</f>
        <v>155</v>
      </c>
      <c r="C2982" s="313">
        <v>46137.0</v>
      </c>
      <c r="D2982" s="314" t="s">
        <v>33</v>
      </c>
      <c r="E2982" s="307" t="str">
        <f t="array" ref="E2982">(XLOOKUP(D2982,Roster!F:F,Roster!B:B,"",0))</f>
        <v>Gisel Moya</v>
      </c>
      <c r="F2982" s="315" t="str">
        <f t="array" ref="F2982">IF(B2982=100,"Free",TEXT(XLOOKUP($D2982,OperationVoice!$A:$A,OperationVoice!AE:AE,XLOOKUP($D2982,OperationTickets!$A:$A,OperationTickets!AE:AE,"",0)),"hh:mm"))</f>
        <v>11:00</v>
      </c>
      <c r="G2982" s="309">
        <f t="shared" si="3"/>
        <v>0.8333333333</v>
      </c>
      <c r="H2982" s="316" t="str">
        <f t="array" ref="H2982">XLOOKUP(B2982,Roster!L:L,Roster!N:N,XLOOKUP(D2982,TicketsBreak!A:A,TicketsBreak!E:E,"",0),0)</f>
        <v>13:15 - 13:30</v>
      </c>
      <c r="I2982" s="316" t="str">
        <f t="array" ref="I2982">XLOOKUP(B2982,Roster!L:L,Roster!O:O,XLOOKUP(D2982,TicketsBreak!A:A,TicketsBreak!F:F,"",0),0)</f>
        <v>15:45 - 16:15</v>
      </c>
      <c r="J2982" s="316" t="str">
        <f t="array" ref="J2982">XLOOKUP(B2982,Roster!L:L,Roster!P:P,XLOOKUP(D2982,TicketsBreak!A:A,TicketsBreak!G:G,"",0),0)</f>
        <v>18:15 - 18:30</v>
      </c>
      <c r="K2982" s="310">
        <f t="shared" si="4"/>
        <v>46137</v>
      </c>
      <c r="L2982" s="317">
        <f t="array" ref="L2982">(XLOOKUP(D2982,Roster!F:F,Roster!D:D,"",0))</f>
        <v>36</v>
      </c>
      <c r="M2982" s="317" t="str">
        <f t="array" ref="M2982">XLOOKUP(D2982,Roster!F:F,Roster!E:E)</f>
        <v>Voice</v>
      </c>
      <c r="N2982" s="317" t="str">
        <f t="shared" ref="N2982:P2982" si="3024">LEFT(H2982,5)</f>
        <v>13:15</v>
      </c>
      <c r="O2982" s="317" t="str">
        <f t="shared" si="3024"/>
        <v>15:45</v>
      </c>
      <c r="P2982" s="317" t="str">
        <f t="shared" si="3024"/>
        <v>18:15</v>
      </c>
      <c r="Q2982" s="318">
        <f t="shared" si="2933"/>
        <v>46137.55208</v>
      </c>
      <c r="R2982" s="318">
        <f t="shared" si="2934"/>
        <v>46137.65625</v>
      </c>
      <c r="S2982" s="318">
        <f t="shared" si="8"/>
        <v>46137.76042</v>
      </c>
    </row>
    <row r="2983">
      <c r="A2983" s="14" t="str">
        <f t="shared" si="1"/>
        <v>C86046137</v>
      </c>
      <c r="B2983" s="185" t="str">
        <f t="array" ref="B2983">IF(F2983="VL","",IF(F2983="Free","Free",XLOOKUP(D2983,Roster!T:T,Roster!S:S,"",0)))</f>
        <v/>
      </c>
      <c r="C2983" s="313">
        <v>46137.0</v>
      </c>
      <c r="D2983" s="314" t="s">
        <v>158</v>
      </c>
      <c r="E2983" s="307" t="str">
        <f t="array" ref="E2983">(XLOOKUP(D2983,Roster!F:F,Roster!B:B,"",0))</f>
        <v>Ief Fabre</v>
      </c>
      <c r="F2983" s="315" t="str">
        <f t="array" ref="F2983">IF(B2983=100,"Free",TEXT(XLOOKUP($D2983,OperationVoice!$A:$A,OperationVoice!AE:AE,XLOOKUP($D2983,OperationTickets!$A:$A,OperationTickets!AE:AE,"",0)),"hh:mm"))</f>
        <v>08:00</v>
      </c>
      <c r="G2983" s="309">
        <f t="shared" si="3"/>
        <v>0.7083333333</v>
      </c>
      <c r="H2983" s="316">
        <f t="array" ref="H2983">XLOOKUP(B2983,Roster!L:L,Roster!N:N,XLOOKUP(D2983,TicketsBreak!A:A,TicketsBreak!E:E,"",0),0)</f>
        <v>0.4166666667</v>
      </c>
      <c r="I2983" s="316">
        <f t="array" ref="I2983">XLOOKUP(B2983,Roster!L:L,Roster!O:O,XLOOKUP(D2983,TicketsBreak!A:A,TicketsBreak!F:F,"",0),0)</f>
        <v>0.5</v>
      </c>
      <c r="J2983" s="316">
        <f t="array" ref="J2983">XLOOKUP(B2983,Roster!L:L,Roster!P:P,XLOOKUP(D2983,TicketsBreak!A:A,TicketsBreak!G:G,"",0),0)</f>
        <v>0.625</v>
      </c>
      <c r="K2983" s="310">
        <f t="shared" si="4"/>
        <v>46137</v>
      </c>
      <c r="L2983" s="317">
        <f t="array" ref="L2983">(XLOOKUP(D2983,Roster!F:F,Roster!D:D,"",0))</f>
        <v>10</v>
      </c>
      <c r="M2983" s="317" t="str">
        <f t="array" ref="M2983">XLOOKUP(D2983,Roster!F:F,Roster!E:E)</f>
        <v>Tickets</v>
      </c>
      <c r="N2983" s="317" t="str">
        <f t="shared" ref="N2983:P2983" si="3025">LEFT(H2983,5)</f>
        <v>10:00</v>
      </c>
      <c r="O2983" s="317" t="str">
        <f t="shared" si="3025"/>
        <v>12:00</v>
      </c>
      <c r="P2983" s="317" t="str">
        <f t="shared" si="3025"/>
        <v>15:00</v>
      </c>
      <c r="Q2983" s="318">
        <f t="shared" si="2933"/>
        <v>46137.41667</v>
      </c>
      <c r="R2983" s="318">
        <f t="shared" si="2934"/>
        <v>46137.5</v>
      </c>
      <c r="S2983" s="318">
        <f t="shared" si="8"/>
        <v>46137.625</v>
      </c>
    </row>
    <row r="2984">
      <c r="A2984" s="14" t="str">
        <f t="shared" si="1"/>
        <v>C148146137</v>
      </c>
      <c r="B2984" s="185">
        <f t="array" ref="B2984">IF(F2984="VL","",IF(F2984="Free","Free",XLOOKUP(D2984,Roster!T:T,Roster!S:S,"",0)))</f>
        <v>155</v>
      </c>
      <c r="C2984" s="313">
        <v>46137.0</v>
      </c>
      <c r="D2984" s="314" t="s">
        <v>34</v>
      </c>
      <c r="E2984" s="307" t="str">
        <f t="array" ref="E2984">(XLOOKUP(D2984,Roster!F:F,Roster!B:B,"",0))</f>
        <v>Jasam Mejia</v>
      </c>
      <c r="F2984" s="315" t="str">
        <f t="array" ref="F2984">IF(B2984=100,"Free",TEXT(XLOOKUP($D2984,OperationVoice!$A:$A,OperationVoice!AE:AE,XLOOKUP($D2984,OperationTickets!$A:$A,OperationTickets!AE:AE,"",0)),"hh:mm"))</f>
        <v>10:00</v>
      </c>
      <c r="G2984" s="309">
        <f t="shared" si="3"/>
        <v>0.7916666667</v>
      </c>
      <c r="H2984" s="316" t="str">
        <f t="array" ref="H2984">XLOOKUP(B2984,Roster!L:L,Roster!N:N,XLOOKUP(D2984,TicketsBreak!A:A,TicketsBreak!E:E,"",0),0)</f>
        <v>13:15 - 13:30</v>
      </c>
      <c r="I2984" s="316" t="str">
        <f t="array" ref="I2984">XLOOKUP(B2984,Roster!L:L,Roster!O:O,XLOOKUP(D2984,TicketsBreak!A:A,TicketsBreak!F:F,"",0),0)</f>
        <v>15:45 - 16:15</v>
      </c>
      <c r="J2984" s="316" t="str">
        <f t="array" ref="J2984">XLOOKUP(B2984,Roster!L:L,Roster!P:P,XLOOKUP(D2984,TicketsBreak!A:A,TicketsBreak!G:G,"",0),0)</f>
        <v>18:15 - 18:30</v>
      </c>
      <c r="K2984" s="310">
        <f t="shared" si="4"/>
        <v>46137</v>
      </c>
      <c r="L2984" s="317">
        <f t="array" ref="L2984">(XLOOKUP(D2984,Roster!F:F,Roster!D:D,"",0))</f>
        <v>34</v>
      </c>
      <c r="M2984" s="317" t="str">
        <f t="array" ref="M2984">XLOOKUP(D2984,Roster!F:F,Roster!E:E)</f>
        <v>Voice</v>
      </c>
      <c r="N2984" s="317" t="str">
        <f t="shared" ref="N2984:P2984" si="3026">LEFT(H2984,5)</f>
        <v>13:15</v>
      </c>
      <c r="O2984" s="317" t="str">
        <f t="shared" si="3026"/>
        <v>15:45</v>
      </c>
      <c r="P2984" s="317" t="str">
        <f t="shared" si="3026"/>
        <v>18:15</v>
      </c>
      <c r="Q2984" s="318">
        <f t="shared" si="2933"/>
        <v>46137.55208</v>
      </c>
      <c r="R2984" s="318">
        <f t="shared" si="2934"/>
        <v>46137.65625</v>
      </c>
      <c r="S2984" s="318">
        <f t="shared" si="8"/>
        <v>46137.76042</v>
      </c>
    </row>
    <row r="2985">
      <c r="A2985" s="14" t="str">
        <f t="shared" si="1"/>
        <v>C131846137</v>
      </c>
      <c r="B2985" s="185" t="str">
        <f t="array" ref="B2985">IF(F2985="VL","",IF(F2985="Free","Free",XLOOKUP(D2985,Roster!T:T,Roster!S:S,"",0)))</f>
        <v/>
      </c>
      <c r="C2985" s="313">
        <v>46137.0</v>
      </c>
      <c r="D2985" s="314" t="s">
        <v>159</v>
      </c>
      <c r="E2985" s="307" t="str">
        <f t="array" ref="E2985">(XLOOKUP(D2985,Roster!F:F,Roster!B:B,"",0))</f>
        <v>Jeampierre Jaramillo</v>
      </c>
      <c r="F2985" s="315" t="str">
        <f t="array" ref="F2985">IF(B2985=100,"Free",TEXT(XLOOKUP($D2985,OperationVoice!$A:$A,OperationVoice!AE:AE,XLOOKUP($D2985,OperationTickets!$A:$A,OperationTickets!AE:AE,"",0)),"hh:mm"))</f>
        <v>07:00</v>
      </c>
      <c r="G2985" s="309">
        <f t="shared" si="3"/>
        <v>0.6666666667</v>
      </c>
      <c r="H2985" s="316" t="str">
        <f t="array" ref="H2985">XLOOKUP(B2985,Roster!L:L,Roster!N:N,XLOOKUP(D2985,TicketsBreak!A:A,TicketsBreak!E:E,"",0),0)</f>
        <v/>
      </c>
      <c r="I2985" s="316" t="str">
        <f t="array" ref="I2985">XLOOKUP(B2985,Roster!L:L,Roster!O:O,XLOOKUP(D2985,TicketsBreak!A:A,TicketsBreak!F:F,"",0),0)</f>
        <v/>
      </c>
      <c r="J2985" s="316" t="str">
        <f t="array" ref="J2985">XLOOKUP(B2985,Roster!L:L,Roster!P:P,XLOOKUP(D2985,TicketsBreak!A:A,TicketsBreak!G:G,"",0),0)</f>
        <v/>
      </c>
      <c r="K2985" s="310">
        <f t="shared" si="4"/>
        <v>46137</v>
      </c>
      <c r="L2985" s="317">
        <f t="array" ref="L2985">(XLOOKUP(D2985,Roster!F:F,Roster!D:D,"",0))</f>
        <v>29</v>
      </c>
      <c r="M2985" s="317" t="str">
        <f t="array" ref="M2985">XLOOKUP(D2985,Roster!F:F,Roster!E:E)</f>
        <v>Tickets</v>
      </c>
      <c r="N2985" s="317" t="str">
        <f t="shared" ref="N2985:P2985" si="3027">LEFT(H2985,5)</f>
        <v/>
      </c>
      <c r="O2985" s="317" t="str">
        <f t="shared" si="3027"/>
        <v/>
      </c>
      <c r="P2985" s="317" t="str">
        <f t="shared" si="3027"/>
        <v/>
      </c>
      <c r="Q2985" s="318" t="str">
        <f t="shared" si="2933"/>
        <v/>
      </c>
      <c r="R2985" s="318" t="str">
        <f t="shared" si="2934"/>
        <v/>
      </c>
      <c r="S2985" s="318" t="str">
        <f t="shared" si="8"/>
        <v/>
      </c>
    </row>
    <row r="2986">
      <c r="A2986" s="14" t="str">
        <f t="shared" si="1"/>
        <v>C155046137</v>
      </c>
      <c r="B2986" s="185" t="str">
        <f t="array" ref="B2986">IF(F2986="VL","",IF(F2986="Free","Free",XLOOKUP(D2986,Roster!T:T,Roster!S:S,"",0)))</f>
        <v>Free</v>
      </c>
      <c r="C2986" s="313">
        <v>46137.0</v>
      </c>
      <c r="D2986" s="314" t="s">
        <v>35</v>
      </c>
      <c r="E2986" s="307" t="str">
        <f t="array" ref="E2986">(XLOOKUP(D2986,Roster!F:F,Roster!B:B,"",0))</f>
        <v>Jeidin Vargas</v>
      </c>
      <c r="F2986" s="315" t="str">
        <f t="array" ref="F2986">IF(B2986=100,"Free",TEXT(XLOOKUP($D2986,OperationVoice!$A:$A,OperationVoice!AE:AE,XLOOKUP($D2986,OperationTickets!$A:$A,OperationTickets!AE:AE,"",0)),"hh:mm"))</f>
        <v>Free</v>
      </c>
      <c r="G2986" s="309" t="str">
        <f t="shared" si="3"/>
        <v>Free</v>
      </c>
      <c r="H2986" s="316" t="str">
        <f t="array" ref="H2986">XLOOKUP(B2986,Roster!L:L,Roster!N:N,XLOOKUP(D2986,TicketsBreak!A:A,TicketsBreak!E:E,"",0),0)</f>
        <v/>
      </c>
      <c r="I2986" s="316" t="str">
        <f t="array" ref="I2986">XLOOKUP(B2986,Roster!L:L,Roster!O:O,XLOOKUP(D2986,TicketsBreak!A:A,TicketsBreak!F:F,"",0),0)</f>
        <v/>
      </c>
      <c r="J2986" s="316" t="str">
        <f t="array" ref="J2986">XLOOKUP(B2986,Roster!L:L,Roster!P:P,XLOOKUP(D2986,TicketsBreak!A:A,TicketsBreak!G:G,"",0),0)</f>
        <v/>
      </c>
      <c r="K2986" s="310">
        <f t="shared" si="4"/>
        <v>46137</v>
      </c>
      <c r="L2986" s="317">
        <f t="array" ref="L2986">(XLOOKUP(D2986,Roster!F:F,Roster!D:D,"",0))</f>
        <v>37</v>
      </c>
      <c r="M2986" s="317" t="str">
        <f t="array" ref="M2986">XLOOKUP(D2986,Roster!F:F,Roster!E:E)</f>
        <v>Voice</v>
      </c>
      <c r="N2986" s="317" t="str">
        <f t="shared" ref="N2986:P2986" si="3028">LEFT(H2986,5)</f>
        <v/>
      </c>
      <c r="O2986" s="317" t="str">
        <f t="shared" si="3028"/>
        <v/>
      </c>
      <c r="P2986" s="317" t="str">
        <f t="shared" si="3028"/>
        <v/>
      </c>
      <c r="Q2986" s="318" t="str">
        <f t="shared" si="2933"/>
        <v/>
      </c>
      <c r="R2986" s="318" t="str">
        <f t="shared" si="2934"/>
        <v/>
      </c>
      <c r="S2986" s="318" t="str">
        <f t="shared" si="8"/>
        <v/>
      </c>
    </row>
    <row r="2987">
      <c r="A2987" s="14" t="str">
        <f t="shared" si="1"/>
        <v>C51246137</v>
      </c>
      <c r="B2987" s="185" t="str">
        <f t="array" ref="B2987">IF(F2987="VL","",IF(F2987="Free","Free",XLOOKUP(D2987,Roster!T:T,Roster!S:S,"",0)))</f>
        <v>Free</v>
      </c>
      <c r="C2987" s="313">
        <v>46137.0</v>
      </c>
      <c r="D2987" s="314" t="s">
        <v>36</v>
      </c>
      <c r="E2987" s="307" t="str">
        <f t="array" ref="E2987">(XLOOKUP(D2987,Roster!F:F,Roster!B:B,"",0))</f>
        <v>Jhoam Quiroz</v>
      </c>
      <c r="F2987" s="315" t="str">
        <f t="array" ref="F2987">IF(B2987=100,"Free",TEXT(XLOOKUP($D2987,OperationVoice!$A:$A,OperationVoice!AE:AE,XLOOKUP($D2987,OperationTickets!$A:$A,OperationTickets!AE:AE,"",0)),"hh:mm"))</f>
        <v>Free</v>
      </c>
      <c r="G2987" s="309" t="str">
        <f t="shared" si="3"/>
        <v>Free</v>
      </c>
      <c r="H2987" s="316" t="str">
        <f t="array" ref="H2987">XLOOKUP(B2987,Roster!L:L,Roster!N:N,XLOOKUP(D2987,TicketsBreak!A:A,TicketsBreak!E:E,"",0),0)</f>
        <v/>
      </c>
      <c r="I2987" s="316" t="str">
        <f t="array" ref="I2987">XLOOKUP(B2987,Roster!L:L,Roster!O:O,XLOOKUP(D2987,TicketsBreak!A:A,TicketsBreak!F:F,"",0),0)</f>
        <v/>
      </c>
      <c r="J2987" s="316" t="str">
        <f t="array" ref="J2987">XLOOKUP(B2987,Roster!L:L,Roster!P:P,XLOOKUP(D2987,TicketsBreak!A:A,TicketsBreak!G:G,"",0),0)</f>
        <v/>
      </c>
      <c r="K2987" s="310">
        <f t="shared" si="4"/>
        <v>46137</v>
      </c>
      <c r="L2987" s="317">
        <f t="array" ref="L2987">(XLOOKUP(D2987,Roster!F:F,Roster!D:D,"",0))</f>
        <v>1</v>
      </c>
      <c r="M2987" s="317" t="str">
        <f t="array" ref="M2987">XLOOKUP(D2987,Roster!F:F,Roster!E:E)</f>
        <v>Voice</v>
      </c>
      <c r="N2987" s="317" t="str">
        <f t="shared" ref="N2987:P2987" si="3029">LEFT(H2987,5)</f>
        <v/>
      </c>
      <c r="O2987" s="317" t="str">
        <f t="shared" si="3029"/>
        <v/>
      </c>
      <c r="P2987" s="317" t="str">
        <f t="shared" si="3029"/>
        <v/>
      </c>
      <c r="Q2987" s="318" t="str">
        <f t="shared" si="2933"/>
        <v/>
      </c>
      <c r="R2987" s="318" t="str">
        <f t="shared" si="2934"/>
        <v/>
      </c>
      <c r="S2987" s="318" t="str">
        <f t="shared" si="8"/>
        <v/>
      </c>
    </row>
    <row r="2988">
      <c r="A2988" s="14" t="str">
        <f t="shared" si="1"/>
        <v>C150946137</v>
      </c>
      <c r="B2988" s="185">
        <f t="array" ref="B2988">IF(F2988="VL","",IF(F2988="Free","Free",XLOOKUP(D2988,Roster!T:T,Roster!S:S,"",0)))</f>
        <v>121</v>
      </c>
      <c r="C2988" s="313">
        <v>46137.0</v>
      </c>
      <c r="D2988" s="314" t="s">
        <v>37</v>
      </c>
      <c r="E2988" s="307" t="str">
        <f t="array" ref="E2988">(XLOOKUP(D2988,Roster!F:F,Roster!B:B,"",0))</f>
        <v>Jhonatan Gomez</v>
      </c>
      <c r="F2988" s="315" t="str">
        <f t="array" ref="F2988">IF(B2988=100,"Free",TEXT(XLOOKUP($D2988,OperationVoice!$A:$A,OperationVoice!AE:AE,XLOOKUP($D2988,OperationTickets!$A:$A,OperationTickets!AE:AE,"",0)),"hh:mm"))</f>
        <v>08:00</v>
      </c>
      <c r="G2988" s="309">
        <f t="shared" si="3"/>
        <v>0.7083333333</v>
      </c>
      <c r="H2988" s="316" t="str">
        <f t="array" ref="H2988">XLOOKUP(B2988,Roster!L:L,Roster!N:N,XLOOKUP(D2988,TicketsBreak!A:A,TicketsBreak!E:E,"",0),0)</f>
        <v>09:15 - 09:30</v>
      </c>
      <c r="I2988" s="316" t="str">
        <f t="array" ref="I2988">XLOOKUP(B2988,Roster!L:L,Roster!O:O,XLOOKUP(D2988,TicketsBreak!A:A,TicketsBreak!F:F,"",0),0)</f>
        <v>11:30 - 12:00</v>
      </c>
      <c r="J2988" s="316" t="str">
        <f t="array" ref="J2988">XLOOKUP(B2988,Roster!L:L,Roster!P:P,XLOOKUP(D2988,TicketsBreak!A:A,TicketsBreak!G:G,"",0),0)</f>
        <v>14:30 - 14:45</v>
      </c>
      <c r="K2988" s="310">
        <f t="shared" si="4"/>
        <v>46137</v>
      </c>
      <c r="L2988" s="317">
        <f t="array" ref="L2988">(XLOOKUP(D2988,Roster!F:F,Roster!D:D,"",0))</f>
        <v>35</v>
      </c>
      <c r="M2988" s="317" t="str">
        <f t="array" ref="M2988">XLOOKUP(D2988,Roster!F:F,Roster!E:E)</f>
        <v>Voice</v>
      </c>
      <c r="N2988" s="317" t="str">
        <f t="shared" ref="N2988:P2988" si="3030">LEFT(H2988,5)</f>
        <v>09:15</v>
      </c>
      <c r="O2988" s="317" t="str">
        <f t="shared" si="3030"/>
        <v>11:30</v>
      </c>
      <c r="P2988" s="317" t="str">
        <f t="shared" si="3030"/>
        <v>14:30</v>
      </c>
      <c r="Q2988" s="318">
        <f t="shared" si="2933"/>
        <v>46137.38542</v>
      </c>
      <c r="R2988" s="318">
        <f t="shared" si="2934"/>
        <v>46137.47917</v>
      </c>
      <c r="S2988" s="318">
        <f t="shared" si="8"/>
        <v>46137.60417</v>
      </c>
    </row>
    <row r="2989">
      <c r="A2989" s="14" t="str">
        <f t="shared" si="1"/>
        <v>C151546137</v>
      </c>
      <c r="B2989" s="185">
        <f t="array" ref="B2989">IF(F2989="VL","",IF(F2989="Free","Free",XLOOKUP(D2989,Roster!T:T,Roster!S:S,"",0)))</f>
        <v>151</v>
      </c>
      <c r="C2989" s="313">
        <v>46137.0</v>
      </c>
      <c r="D2989" s="314" t="s">
        <v>38</v>
      </c>
      <c r="E2989" s="307" t="str">
        <f t="array" ref="E2989">(XLOOKUP(D2989,Roster!F:F,Roster!B:B,"",0))</f>
        <v>Joan Perez</v>
      </c>
      <c r="F2989" s="315" t="str">
        <f t="array" ref="F2989">IF(B2989=100,"Free",TEXT(XLOOKUP($D2989,OperationVoice!$A:$A,OperationVoice!AE:AE,XLOOKUP($D2989,OperationTickets!$A:$A,OperationTickets!AE:AE,"",0)),"hh:mm"))</f>
        <v/>
      </c>
      <c r="G2989" s="309" t="str">
        <f t="shared" si="3"/>
        <v/>
      </c>
      <c r="H2989" s="316" t="str">
        <f t="array" ref="H2989">XLOOKUP(B2989,Roster!L:L,Roster!N:N,XLOOKUP(D2989,TicketsBreak!A:A,TicketsBreak!E:E,"",0),0)</f>
        <v>12:15 - 12:30</v>
      </c>
      <c r="I2989" s="316" t="str">
        <f t="array" ref="I2989">XLOOKUP(B2989,Roster!L:L,Roster!O:O,XLOOKUP(D2989,TicketsBreak!A:A,TicketsBreak!F:F,"",0),0)</f>
        <v>14:00 - 14:30</v>
      </c>
      <c r="J2989" s="316" t="str">
        <f t="array" ref="J2989">XLOOKUP(B2989,Roster!L:L,Roster!P:P,XLOOKUP(D2989,TicketsBreak!A:A,TicketsBreak!G:G,"",0),0)</f>
        <v>17:15 - 17:30</v>
      </c>
      <c r="K2989" s="310">
        <f t="shared" si="4"/>
        <v>46137</v>
      </c>
      <c r="L2989" s="317">
        <f t="array" ref="L2989">(XLOOKUP(D2989,Roster!F:F,Roster!D:D,"",0))</f>
        <v>35</v>
      </c>
      <c r="M2989" s="317" t="str">
        <f t="array" ref="M2989">XLOOKUP(D2989,Roster!F:F,Roster!E:E)</f>
        <v>Voice</v>
      </c>
      <c r="N2989" s="317" t="str">
        <f t="shared" ref="N2989:P2989" si="3031">LEFT(H2989,5)</f>
        <v>12:15</v>
      </c>
      <c r="O2989" s="317" t="str">
        <f t="shared" si="3031"/>
        <v>14:00</v>
      </c>
      <c r="P2989" s="317" t="str">
        <f t="shared" si="3031"/>
        <v>17:15</v>
      </c>
      <c r="Q2989" s="318">
        <f t="shared" si="2933"/>
        <v>46137.51042</v>
      </c>
      <c r="R2989" s="318">
        <f t="shared" si="2934"/>
        <v>46137.58333</v>
      </c>
      <c r="S2989" s="318">
        <f t="shared" si="8"/>
        <v>46137.71875</v>
      </c>
    </row>
    <row r="2990">
      <c r="A2990" s="14" t="str">
        <f t="shared" si="1"/>
        <v>C128946137</v>
      </c>
      <c r="B2990" s="185" t="str">
        <f t="array" ref="B2990">IF(F2990="VL","",IF(F2990="Free","Free",XLOOKUP(D2990,Roster!T:T,Roster!S:S,"",0)))</f>
        <v/>
      </c>
      <c r="C2990" s="313">
        <v>46137.0</v>
      </c>
      <c r="D2990" s="314" t="s">
        <v>140</v>
      </c>
      <c r="E2990" s="307" t="str">
        <f t="array" ref="E2990">(XLOOKUP(D2990,Roster!F:F,Roster!B:B,"",0))</f>
        <v>Johana Villarreal</v>
      </c>
      <c r="F2990" s="315" t="str">
        <f t="array" ref="F2990">IF(B2990=100,"Free",TEXT(XLOOKUP($D2990,OperationVoice!$A:$A,OperationVoice!AE:AE,XLOOKUP($D2990,OperationTickets!$A:$A,OperationTickets!AE:AE,"",0)),"hh:mm"))</f>
        <v>07:00</v>
      </c>
      <c r="G2990" s="309">
        <f t="shared" si="3"/>
        <v>0.6666666667</v>
      </c>
      <c r="H2990" s="316" t="str">
        <f t="array" ref="H2990">XLOOKUP(B2990,Roster!L:L,Roster!N:N,XLOOKUP(D2990,TicketsBreak!A:A,TicketsBreak!E:E,"",0),0)</f>
        <v/>
      </c>
      <c r="I2990" s="316" t="str">
        <f t="array" ref="I2990">XLOOKUP(B2990,Roster!L:L,Roster!O:O,XLOOKUP(D2990,TicketsBreak!A:A,TicketsBreak!F:F,"",0),0)</f>
        <v/>
      </c>
      <c r="J2990" s="316" t="str">
        <f t="array" ref="J2990">XLOOKUP(B2990,Roster!L:L,Roster!P:P,XLOOKUP(D2990,TicketsBreak!A:A,TicketsBreak!G:G,"",0),0)</f>
        <v/>
      </c>
      <c r="K2990" s="310">
        <f t="shared" si="4"/>
        <v>46137</v>
      </c>
      <c r="L2990" s="317">
        <f t="array" ref="L2990">(XLOOKUP(D2990,Roster!F:F,Roster!D:D,"",0))</f>
        <v>28</v>
      </c>
      <c r="M2990" s="317" t="str">
        <f t="array" ref="M2990">XLOOKUP(D2990,Roster!F:F,Roster!E:E)</f>
        <v>Tickets</v>
      </c>
      <c r="N2990" s="317" t="str">
        <f t="shared" ref="N2990:P2990" si="3032">LEFT(H2990,5)</f>
        <v/>
      </c>
      <c r="O2990" s="317" t="str">
        <f t="shared" si="3032"/>
        <v/>
      </c>
      <c r="P2990" s="317" t="str">
        <f t="shared" si="3032"/>
        <v/>
      </c>
      <c r="Q2990" s="318" t="str">
        <f t="shared" si="2933"/>
        <v/>
      </c>
      <c r="R2990" s="318" t="str">
        <f t="shared" si="2934"/>
        <v/>
      </c>
      <c r="S2990" s="318" t="str">
        <f t="shared" si="8"/>
        <v/>
      </c>
    </row>
    <row r="2991">
      <c r="A2991" s="14" t="str">
        <f t="shared" si="1"/>
        <v>C155146137</v>
      </c>
      <c r="B2991" s="185">
        <f t="array" ref="B2991">IF(F2991="VL","",IF(F2991="Free","Free",XLOOKUP(D2991,Roster!T:T,Roster!S:S,"",0)))</f>
        <v>124</v>
      </c>
      <c r="C2991" s="313">
        <v>46137.0</v>
      </c>
      <c r="D2991" s="314" t="s">
        <v>39</v>
      </c>
      <c r="E2991" s="307" t="str">
        <f t="array" ref="E2991">(XLOOKUP(D2991,Roster!F:F,Roster!B:B,"",0))</f>
        <v>John Atilano</v>
      </c>
      <c r="F2991" s="315" t="str">
        <f t="array" ref="F2991">IF(B2991=100,"Free",TEXT(XLOOKUP($D2991,OperationVoice!$A:$A,OperationVoice!AE:AE,XLOOKUP($D2991,OperationTickets!$A:$A,OperationTickets!AE:AE,"",0)),"hh:mm"))</f>
        <v>08:00</v>
      </c>
      <c r="G2991" s="309">
        <f t="shared" si="3"/>
        <v>0.7083333333</v>
      </c>
      <c r="H2991" s="316" t="str">
        <f t="array" ref="H2991">XLOOKUP(B2991,Roster!L:L,Roster!N:N,XLOOKUP(D2991,TicketsBreak!A:A,TicketsBreak!E:E,"",0),0)</f>
        <v>10:00 - 10:15</v>
      </c>
      <c r="I2991" s="316" t="str">
        <f t="array" ref="I2991">XLOOKUP(B2991,Roster!L:L,Roster!O:O,XLOOKUP(D2991,TicketsBreak!A:A,TicketsBreak!F:F,"",0),0)</f>
        <v>13:00 - 13:30</v>
      </c>
      <c r="J2991" s="316" t="str">
        <f t="array" ref="J2991">XLOOKUP(B2991,Roster!L:L,Roster!P:P,XLOOKUP(D2991,TicketsBreak!A:A,TicketsBreak!G:G,"",0),0)</f>
        <v>15:30 - 15:45</v>
      </c>
      <c r="K2991" s="310">
        <f t="shared" si="4"/>
        <v>46137</v>
      </c>
      <c r="L2991" s="317">
        <f t="array" ref="L2991">(XLOOKUP(D2991,Roster!F:F,Roster!D:D,"",0))</f>
        <v>37</v>
      </c>
      <c r="M2991" s="317" t="str">
        <f t="array" ref="M2991">XLOOKUP(D2991,Roster!F:F,Roster!E:E)</f>
        <v>Voice</v>
      </c>
      <c r="N2991" s="317" t="str">
        <f t="shared" ref="N2991:P2991" si="3033">LEFT(H2991,5)</f>
        <v>10:00</v>
      </c>
      <c r="O2991" s="317" t="str">
        <f t="shared" si="3033"/>
        <v>13:00</v>
      </c>
      <c r="P2991" s="317" t="str">
        <f t="shared" si="3033"/>
        <v>15:30</v>
      </c>
      <c r="Q2991" s="318">
        <f t="shared" si="2933"/>
        <v>46137.41667</v>
      </c>
      <c r="R2991" s="318">
        <f t="shared" si="2934"/>
        <v>46137.54167</v>
      </c>
      <c r="S2991" s="318">
        <f t="shared" si="8"/>
        <v>46137.64583</v>
      </c>
    </row>
    <row r="2992">
      <c r="A2992" s="14" t="str">
        <f t="shared" si="1"/>
        <v>C154346137</v>
      </c>
      <c r="B2992" s="185" t="str">
        <f t="array" ref="B2992">IF(F2992="VL","",IF(F2992="Free","Free",XLOOKUP(D2992,Roster!T:T,Roster!S:S,"",0)))</f>
        <v>Free</v>
      </c>
      <c r="C2992" s="313">
        <v>46137.0</v>
      </c>
      <c r="D2992" s="314" t="s">
        <v>40</v>
      </c>
      <c r="E2992" s="307" t="str">
        <f t="array" ref="E2992">(XLOOKUP(D2992,Roster!F:F,Roster!B:B,"",0))</f>
        <v>John Palacio</v>
      </c>
      <c r="F2992" s="315" t="str">
        <f t="array" ref="F2992">IF(B2992=100,"Free",TEXT(XLOOKUP($D2992,OperationVoice!$A:$A,OperationVoice!AE:AE,XLOOKUP($D2992,OperationTickets!$A:$A,OperationTickets!AE:AE,"",0)),"hh:mm"))</f>
        <v>Free</v>
      </c>
      <c r="G2992" s="309" t="str">
        <f t="shared" si="3"/>
        <v>Free</v>
      </c>
      <c r="H2992" s="316" t="str">
        <f t="array" ref="H2992">XLOOKUP(B2992,Roster!L:L,Roster!N:N,XLOOKUP(D2992,TicketsBreak!A:A,TicketsBreak!E:E,"",0),0)</f>
        <v/>
      </c>
      <c r="I2992" s="316" t="str">
        <f t="array" ref="I2992">XLOOKUP(B2992,Roster!L:L,Roster!O:O,XLOOKUP(D2992,TicketsBreak!A:A,TicketsBreak!F:F,"",0),0)</f>
        <v/>
      </c>
      <c r="J2992" s="316" t="str">
        <f t="array" ref="J2992">XLOOKUP(B2992,Roster!L:L,Roster!P:P,XLOOKUP(D2992,TicketsBreak!A:A,TicketsBreak!G:G,"",0),0)</f>
        <v/>
      </c>
      <c r="K2992" s="310">
        <f t="shared" si="4"/>
        <v>46137</v>
      </c>
      <c r="L2992" s="317">
        <f t="array" ref="L2992">(XLOOKUP(D2992,Roster!F:F,Roster!D:D,"",0))</f>
        <v>36</v>
      </c>
      <c r="M2992" s="317" t="str">
        <f t="array" ref="M2992">XLOOKUP(D2992,Roster!F:F,Roster!E:E)</f>
        <v>Voice</v>
      </c>
      <c r="N2992" s="317" t="str">
        <f t="shared" ref="N2992:P2992" si="3034">LEFT(H2992,5)</f>
        <v/>
      </c>
      <c r="O2992" s="317" t="str">
        <f t="shared" si="3034"/>
        <v/>
      </c>
      <c r="P2992" s="317" t="str">
        <f t="shared" si="3034"/>
        <v/>
      </c>
      <c r="Q2992" s="318" t="str">
        <f t="shared" si="2933"/>
        <v/>
      </c>
      <c r="R2992" s="318" t="str">
        <f t="shared" si="2934"/>
        <v/>
      </c>
      <c r="S2992" s="318" t="str">
        <f t="shared" si="8"/>
        <v/>
      </c>
    </row>
    <row r="2993">
      <c r="A2993" s="14" t="str">
        <f t="shared" si="1"/>
        <v>C154246137</v>
      </c>
      <c r="B2993" s="185" t="str">
        <f t="array" ref="B2993">IF(F2993="VL","",IF(F2993="Free","Free",XLOOKUP(D2993,Roster!T:T,Roster!S:S,"",0)))</f>
        <v>Free</v>
      </c>
      <c r="C2993" s="313">
        <v>46137.0</v>
      </c>
      <c r="D2993" s="314" t="s">
        <v>41</v>
      </c>
      <c r="E2993" s="307" t="str">
        <f t="array" ref="E2993">(XLOOKUP(D2993,Roster!F:F,Roster!B:B,"",0))</f>
        <v>Johny Garcia</v>
      </c>
      <c r="F2993" s="315" t="str">
        <f t="array" ref="F2993">IF(B2993=100,"Free",TEXT(XLOOKUP($D2993,OperationVoice!$A:$A,OperationVoice!AE:AE,XLOOKUP($D2993,OperationTickets!$A:$A,OperationTickets!AE:AE,"",0)),"hh:mm"))</f>
        <v>Free</v>
      </c>
      <c r="G2993" s="309" t="str">
        <f t="shared" si="3"/>
        <v>Free</v>
      </c>
      <c r="H2993" s="316" t="str">
        <f t="array" ref="H2993">XLOOKUP(B2993,Roster!L:L,Roster!N:N,XLOOKUP(D2993,TicketsBreak!A:A,TicketsBreak!E:E,"",0),0)</f>
        <v/>
      </c>
      <c r="I2993" s="316" t="str">
        <f t="array" ref="I2993">XLOOKUP(B2993,Roster!L:L,Roster!O:O,XLOOKUP(D2993,TicketsBreak!A:A,TicketsBreak!F:F,"",0),0)</f>
        <v/>
      </c>
      <c r="J2993" s="316" t="str">
        <f t="array" ref="J2993">XLOOKUP(B2993,Roster!L:L,Roster!P:P,XLOOKUP(D2993,TicketsBreak!A:A,TicketsBreak!G:G,"",0),0)</f>
        <v/>
      </c>
      <c r="K2993" s="310">
        <f t="shared" si="4"/>
        <v>46137</v>
      </c>
      <c r="L2993" s="317">
        <f t="array" ref="L2993">(XLOOKUP(D2993,Roster!F:F,Roster!D:D,"",0))</f>
        <v>36</v>
      </c>
      <c r="M2993" s="317" t="str">
        <f t="array" ref="M2993">XLOOKUP(D2993,Roster!F:F,Roster!E:E)</f>
        <v>Voice</v>
      </c>
      <c r="N2993" s="317" t="str">
        <f t="shared" ref="N2993:P2993" si="3035">LEFT(H2993,5)</f>
        <v/>
      </c>
      <c r="O2993" s="317" t="str">
        <f t="shared" si="3035"/>
        <v/>
      </c>
      <c r="P2993" s="317" t="str">
        <f t="shared" si="3035"/>
        <v/>
      </c>
      <c r="Q2993" s="318" t="str">
        <f t="shared" si="2933"/>
        <v/>
      </c>
      <c r="R2993" s="318" t="str">
        <f t="shared" si="2934"/>
        <v/>
      </c>
      <c r="S2993" s="318" t="str">
        <f t="shared" si="8"/>
        <v/>
      </c>
    </row>
    <row r="2994">
      <c r="A2994" s="14" t="str">
        <f t="shared" si="1"/>
        <v>C156946137</v>
      </c>
      <c r="B2994" s="185">
        <f t="array" ref="B2994">IF(F2994="VL","",IF(F2994="Free","Free",XLOOKUP(D2994,Roster!T:T,Roster!S:S,"",0)))</f>
        <v>121</v>
      </c>
      <c r="C2994" s="313">
        <v>46137.0</v>
      </c>
      <c r="D2994" s="314" t="s">
        <v>42</v>
      </c>
      <c r="E2994" s="307" t="str">
        <f t="array" ref="E2994">(XLOOKUP(D2994,Roster!F:F,Roster!B:B,"",0))</f>
        <v>Jorge Orozco</v>
      </c>
      <c r="F2994" s="315" t="str">
        <f t="array" ref="F2994">IF(B2994=100,"Free",TEXT(XLOOKUP($D2994,OperationVoice!$A:$A,OperationVoice!AE:AE,XLOOKUP($D2994,OperationTickets!$A:$A,OperationTickets!AE:AE,"",0)),"hh:mm"))</f>
        <v>08:00</v>
      </c>
      <c r="G2994" s="309">
        <f t="shared" si="3"/>
        <v>0.7083333333</v>
      </c>
      <c r="H2994" s="316" t="str">
        <f t="array" ref="H2994">XLOOKUP(B2994,Roster!L:L,Roster!N:N,XLOOKUP(D2994,TicketsBreak!A:A,TicketsBreak!E:E,"",0),0)</f>
        <v>09:15 - 09:30</v>
      </c>
      <c r="I2994" s="316" t="str">
        <f t="array" ref="I2994">XLOOKUP(B2994,Roster!L:L,Roster!O:O,XLOOKUP(D2994,TicketsBreak!A:A,TicketsBreak!F:F,"",0),0)</f>
        <v>11:30 - 12:00</v>
      </c>
      <c r="J2994" s="316" t="str">
        <f t="array" ref="J2994">XLOOKUP(B2994,Roster!L:L,Roster!P:P,XLOOKUP(D2994,TicketsBreak!A:A,TicketsBreak!G:G,"",0),0)</f>
        <v>14:30 - 14:45</v>
      </c>
      <c r="K2994" s="310">
        <f t="shared" si="4"/>
        <v>46137</v>
      </c>
      <c r="L2994" s="317">
        <f t="array" ref="L2994">(XLOOKUP(D2994,Roster!F:F,Roster!D:D,"",0))</f>
        <v>38</v>
      </c>
      <c r="M2994" s="317" t="str">
        <f t="array" ref="M2994">XLOOKUP(D2994,Roster!F:F,Roster!E:E)</f>
        <v>Voice</v>
      </c>
      <c r="N2994" s="317" t="str">
        <f t="shared" ref="N2994:P2994" si="3036">LEFT(H2994,5)</f>
        <v>09:15</v>
      </c>
      <c r="O2994" s="317" t="str">
        <f t="shared" si="3036"/>
        <v>11:30</v>
      </c>
      <c r="P2994" s="317" t="str">
        <f t="shared" si="3036"/>
        <v>14:30</v>
      </c>
      <c r="Q2994" s="318">
        <f t="shared" si="2933"/>
        <v>46137.38542</v>
      </c>
      <c r="R2994" s="318">
        <f t="shared" si="2934"/>
        <v>46137.47917</v>
      </c>
      <c r="S2994" s="318">
        <f t="shared" si="8"/>
        <v>46137.60417</v>
      </c>
    </row>
    <row r="2995">
      <c r="A2995" s="14" t="str">
        <f t="shared" si="1"/>
        <v>C102746137</v>
      </c>
      <c r="B2995" s="185" t="str">
        <f t="array" ref="B2995">IF(F2995="VL","",IF(F2995="Free","Free",XLOOKUP(D2995,Roster!T:T,Roster!S:S,"",0)))</f>
        <v>Free</v>
      </c>
      <c r="C2995" s="313">
        <v>46137.0</v>
      </c>
      <c r="D2995" s="314" t="s">
        <v>160</v>
      </c>
      <c r="E2995" s="307" t="str">
        <f t="array" ref="E2995">(XLOOKUP(D2995,Roster!F:F,Roster!B:B,"",0))</f>
        <v>Jose Perez</v>
      </c>
      <c r="F2995" s="315" t="str">
        <f t="array" ref="F2995">IF(B2995=100,"Free",TEXT(XLOOKUP($D2995,OperationVoice!$A:$A,OperationVoice!AE:AE,XLOOKUP($D2995,OperationTickets!$A:$A,OperationTickets!AE:AE,"",0)),"hh:mm"))</f>
        <v>Free</v>
      </c>
      <c r="G2995" s="309" t="str">
        <f t="shared" si="3"/>
        <v>Free</v>
      </c>
      <c r="H2995" s="316">
        <f t="array" ref="H2995">XLOOKUP(B2995,Roster!L:L,Roster!N:N,XLOOKUP(D2995,TicketsBreak!A:A,TicketsBreak!E:E,"",0),0)</f>
        <v>0.4166666667</v>
      </c>
      <c r="I2995" s="316">
        <f t="array" ref="I2995">XLOOKUP(B2995,Roster!L:L,Roster!O:O,XLOOKUP(D2995,TicketsBreak!A:A,TicketsBreak!F:F,"",0),0)</f>
        <v>0.5208333333</v>
      </c>
      <c r="J2995" s="316">
        <f t="array" ref="J2995">XLOOKUP(B2995,Roster!L:L,Roster!P:P,XLOOKUP(D2995,TicketsBreak!A:A,TicketsBreak!G:G,"",0),0)</f>
        <v>0.6354166667</v>
      </c>
      <c r="K2995" s="310">
        <f t="shared" si="4"/>
        <v>46137</v>
      </c>
      <c r="L2995" s="317">
        <f t="array" ref="L2995">(XLOOKUP(D2995,Roster!F:F,Roster!D:D,"",0))</f>
        <v>15</v>
      </c>
      <c r="M2995" s="317" t="str">
        <f t="array" ref="M2995">XLOOKUP(D2995,Roster!F:F,Roster!E:E)</f>
        <v>Tickets</v>
      </c>
      <c r="N2995" s="317" t="str">
        <f t="shared" ref="N2995:P2995" si="3037">LEFT(H2995,5)</f>
        <v>10:00</v>
      </c>
      <c r="O2995" s="317" t="str">
        <f t="shared" si="3037"/>
        <v>12:30</v>
      </c>
      <c r="P2995" s="317" t="str">
        <f t="shared" si="3037"/>
        <v>15:15</v>
      </c>
      <c r="Q2995" s="318">
        <f t="shared" si="2933"/>
        <v>46137.41667</v>
      </c>
      <c r="R2995" s="318">
        <f t="shared" si="2934"/>
        <v>46137.52083</v>
      </c>
      <c r="S2995" s="318">
        <f t="shared" si="8"/>
        <v>46137.63542</v>
      </c>
    </row>
    <row r="2996">
      <c r="A2996" s="14" t="str">
        <f t="shared" si="1"/>
        <v>C142646137</v>
      </c>
      <c r="B2996" s="185">
        <f t="array" ref="B2996">IF(F2996="VL","",IF(F2996="Free","Free",XLOOKUP(D2996,Roster!T:T,Roster!S:S,"",0)))</f>
        <v>123</v>
      </c>
      <c r="C2996" s="313">
        <v>46137.0</v>
      </c>
      <c r="D2996" s="314" t="s">
        <v>161</v>
      </c>
      <c r="E2996" s="307" t="str">
        <f t="array" ref="E2996">(XLOOKUP(D2996,Roster!F:F,Roster!B:B,"",0))</f>
        <v>Jose Zapata</v>
      </c>
      <c r="F2996" s="315" t="str">
        <f t="array" ref="F2996">IF(B2996=100,"Free",TEXT(XLOOKUP($D2996,OperationVoice!$A:$A,OperationVoice!AE:AE,XLOOKUP($D2996,OperationTickets!$A:$A,OperationTickets!AE:AE,"",0)),"hh:mm"))</f>
        <v>08:00</v>
      </c>
      <c r="G2996" s="309">
        <f t="shared" si="3"/>
        <v>0.7083333333</v>
      </c>
      <c r="H2996" s="316" t="str">
        <f t="array" ref="H2996">XLOOKUP(B2996,Roster!L:L,Roster!N:N,XLOOKUP(D2996,TicketsBreak!A:A,TicketsBreak!E:E,"",0),0)</f>
        <v>09:45 - 10:00 </v>
      </c>
      <c r="I2996" s="316" t="str">
        <f t="array" ref="I2996">XLOOKUP(B2996,Roster!L:L,Roster!O:O,XLOOKUP(D2996,TicketsBreak!A:A,TicketsBreak!F:F,"",0),0)</f>
        <v>12:30 - 13:00</v>
      </c>
      <c r="J2996" s="316" t="str">
        <f t="array" ref="J2996">XLOOKUP(B2996,Roster!L:L,Roster!P:P,XLOOKUP(D2996,TicketsBreak!A:A,TicketsBreak!G:G,"",0),0)</f>
        <v>15:00 - 15:15</v>
      </c>
      <c r="K2996" s="310">
        <f t="shared" si="4"/>
        <v>46137</v>
      </c>
      <c r="L2996" s="317">
        <f t="array" ref="L2996">(XLOOKUP(D2996,Roster!F:F,Roster!D:D,"",0))</f>
        <v>32</v>
      </c>
      <c r="M2996" s="317" t="str">
        <f t="array" ref="M2996">XLOOKUP(D2996,Roster!F:F,Roster!E:E)</f>
        <v>Tickets</v>
      </c>
      <c r="N2996" s="317" t="str">
        <f t="shared" ref="N2996:P2996" si="3038">LEFT(H2996,5)</f>
        <v>09:45</v>
      </c>
      <c r="O2996" s="317" t="str">
        <f t="shared" si="3038"/>
        <v>12:30</v>
      </c>
      <c r="P2996" s="317" t="str">
        <f t="shared" si="3038"/>
        <v>15:00</v>
      </c>
      <c r="Q2996" s="318">
        <f t="shared" si="2933"/>
        <v>46137.40625</v>
      </c>
      <c r="R2996" s="318">
        <f t="shared" si="2934"/>
        <v>46137.52083</v>
      </c>
      <c r="S2996" s="318">
        <f t="shared" si="8"/>
        <v>46137.625</v>
      </c>
    </row>
    <row r="2997">
      <c r="A2997" s="14" t="str">
        <f t="shared" si="1"/>
        <v>C153346137</v>
      </c>
      <c r="B2997" s="185" t="str">
        <f t="array" ref="B2997">IF(F2997="VL","",IF(F2997="Free","Free",XLOOKUP(D2997,Roster!T:T,Roster!S:S,"",0)))</f>
        <v>Free</v>
      </c>
      <c r="C2997" s="313">
        <v>46137.0</v>
      </c>
      <c r="D2997" s="314" t="s">
        <v>43</v>
      </c>
      <c r="E2997" s="307" t="str">
        <f t="array" ref="E2997">(XLOOKUP(D2997,Roster!F:F,Roster!B:B,"",0))</f>
        <v>Juan Barrera</v>
      </c>
      <c r="F2997" s="315" t="str">
        <f t="array" ref="F2997">IF(B2997=100,"Free",TEXT(XLOOKUP($D2997,OperationVoice!$A:$A,OperationVoice!AE:AE,XLOOKUP($D2997,OperationTickets!$A:$A,OperationTickets!AE:AE,"",0)),"hh:mm"))</f>
        <v>Free</v>
      </c>
      <c r="G2997" s="309" t="str">
        <f t="shared" si="3"/>
        <v>Free</v>
      </c>
      <c r="H2997" s="316" t="str">
        <f t="array" ref="H2997">XLOOKUP(B2997,Roster!L:L,Roster!N:N,XLOOKUP(D2997,TicketsBreak!A:A,TicketsBreak!E:E,"",0),0)</f>
        <v/>
      </c>
      <c r="I2997" s="316" t="str">
        <f t="array" ref="I2997">XLOOKUP(B2997,Roster!L:L,Roster!O:O,XLOOKUP(D2997,TicketsBreak!A:A,TicketsBreak!F:F,"",0),0)</f>
        <v/>
      </c>
      <c r="J2997" s="316" t="str">
        <f t="array" ref="J2997">XLOOKUP(B2997,Roster!L:L,Roster!P:P,XLOOKUP(D2997,TicketsBreak!A:A,TicketsBreak!G:G,"",0),0)</f>
        <v/>
      </c>
      <c r="K2997" s="310">
        <f t="shared" si="4"/>
        <v>46137</v>
      </c>
      <c r="L2997" s="317">
        <f t="array" ref="L2997">(XLOOKUP(D2997,Roster!F:F,Roster!D:D,"",0))</f>
        <v>36</v>
      </c>
      <c r="M2997" s="317" t="str">
        <f t="array" ref="M2997">XLOOKUP(D2997,Roster!F:F,Roster!E:E)</f>
        <v>Voice</v>
      </c>
      <c r="N2997" s="317" t="str">
        <f t="shared" ref="N2997:P2997" si="3039">LEFT(H2997,5)</f>
        <v/>
      </c>
      <c r="O2997" s="317" t="str">
        <f t="shared" si="3039"/>
        <v/>
      </c>
      <c r="P2997" s="317" t="str">
        <f t="shared" si="3039"/>
        <v/>
      </c>
      <c r="Q2997" s="318" t="str">
        <f t="shared" si="2933"/>
        <v/>
      </c>
      <c r="R2997" s="318" t="str">
        <f t="shared" si="2934"/>
        <v/>
      </c>
      <c r="S2997" s="318" t="str">
        <f t="shared" si="8"/>
        <v/>
      </c>
    </row>
    <row r="2998">
      <c r="A2998" s="14" t="str">
        <f t="shared" si="1"/>
        <v>C146546137</v>
      </c>
      <c r="B2998" s="185" t="str">
        <f t="array" ref="B2998">IF(F2998="VL","",IF(F2998="Free","Free",XLOOKUP(D2998,Roster!T:T,Roster!S:S,"",0)))</f>
        <v>Free</v>
      </c>
      <c r="C2998" s="313">
        <v>46137.0</v>
      </c>
      <c r="D2998" s="314" t="s">
        <v>44</v>
      </c>
      <c r="E2998" s="307" t="str">
        <f t="array" ref="E2998">(XLOOKUP(D2998,Roster!F:F,Roster!B:B,"",0))</f>
        <v>Juan Castilla</v>
      </c>
      <c r="F2998" s="315" t="str">
        <f t="array" ref="F2998">IF(B2998=100,"Free",TEXT(XLOOKUP($D2998,OperationVoice!$A:$A,OperationVoice!AE:AE,XLOOKUP($D2998,OperationTickets!$A:$A,OperationTickets!AE:AE,"",0)),"hh:mm"))</f>
        <v>Free</v>
      </c>
      <c r="G2998" s="309" t="str">
        <f t="shared" si="3"/>
        <v>Free</v>
      </c>
      <c r="H2998" s="316" t="str">
        <f t="array" ref="H2998">XLOOKUP(B2998,Roster!L:L,Roster!N:N,XLOOKUP(D2998,TicketsBreak!A:A,TicketsBreak!E:E,"",0),0)</f>
        <v/>
      </c>
      <c r="I2998" s="316" t="str">
        <f t="array" ref="I2998">XLOOKUP(B2998,Roster!L:L,Roster!O:O,XLOOKUP(D2998,TicketsBreak!A:A,TicketsBreak!F:F,"",0),0)</f>
        <v/>
      </c>
      <c r="J2998" s="316" t="str">
        <f t="array" ref="J2998">XLOOKUP(B2998,Roster!L:L,Roster!P:P,XLOOKUP(D2998,TicketsBreak!A:A,TicketsBreak!G:G,"",0),0)</f>
        <v/>
      </c>
      <c r="K2998" s="310">
        <f t="shared" si="4"/>
        <v>46137</v>
      </c>
      <c r="L2998" s="317">
        <f t="array" ref="L2998">(XLOOKUP(D2998,Roster!F:F,Roster!D:D,"",0))</f>
        <v>33</v>
      </c>
      <c r="M2998" s="317" t="str">
        <f t="array" ref="M2998">XLOOKUP(D2998,Roster!F:F,Roster!E:E)</f>
        <v>Voice</v>
      </c>
      <c r="N2998" s="317" t="str">
        <f t="shared" ref="N2998:P2998" si="3040">LEFT(H2998,5)</f>
        <v/>
      </c>
      <c r="O2998" s="317" t="str">
        <f t="shared" si="3040"/>
        <v/>
      </c>
      <c r="P2998" s="317" t="str">
        <f t="shared" si="3040"/>
        <v/>
      </c>
      <c r="Q2998" s="318" t="str">
        <f t="shared" si="2933"/>
        <v/>
      </c>
      <c r="R2998" s="318" t="str">
        <f t="shared" si="2934"/>
        <v/>
      </c>
      <c r="S2998" s="318" t="str">
        <f t="shared" si="8"/>
        <v/>
      </c>
    </row>
    <row r="2999">
      <c r="A2999" s="14" t="str">
        <f t="shared" si="1"/>
        <v>C72046137</v>
      </c>
      <c r="B2999" s="185" t="str">
        <f t="array" ref="B2999">IF(F2999="VL","",IF(F2999="Free","Free",XLOOKUP(D2999,Roster!T:T,Roster!S:S,"",0)))</f>
        <v>Free</v>
      </c>
      <c r="C2999" s="313">
        <v>46137.0</v>
      </c>
      <c r="D2999" s="314" t="s">
        <v>162</v>
      </c>
      <c r="E2999" s="307" t="str">
        <f t="array" ref="E2999">(XLOOKUP(D2999,Roster!F:F,Roster!B:B,"",0))</f>
        <v>Juan Durango</v>
      </c>
      <c r="F2999" s="315" t="str">
        <f t="array" ref="F2999">IF(B2999=100,"Free",TEXT(XLOOKUP($D2999,OperationVoice!$A:$A,OperationVoice!AE:AE,XLOOKUP($D2999,OperationTickets!$A:$A,OperationTickets!AE:AE,"",0)),"hh:mm"))</f>
        <v>Free</v>
      </c>
      <c r="G2999" s="309" t="str">
        <f t="shared" si="3"/>
        <v>Free</v>
      </c>
      <c r="H2999" s="316">
        <f t="array" ref="H2999">XLOOKUP(B2999,Roster!L:L,Roster!N:N,XLOOKUP(D2999,TicketsBreak!A:A,TicketsBreak!E:E,"",0),0)</f>
        <v>0.40625</v>
      </c>
      <c r="I2999" s="316">
        <f t="array" ref="I2999">XLOOKUP(B2999,Roster!L:L,Roster!O:O,XLOOKUP(D2999,TicketsBreak!A:A,TicketsBreak!F:F,"",0),0)</f>
        <v>0.5729166667</v>
      </c>
      <c r="J2999" s="316">
        <f t="array" ref="J2999">XLOOKUP(B2999,Roster!L:L,Roster!P:P,XLOOKUP(D2999,TicketsBreak!A:A,TicketsBreak!G:G,"",0),0)</f>
        <v>0.65625</v>
      </c>
      <c r="K2999" s="310">
        <f t="shared" si="4"/>
        <v>46137</v>
      </c>
      <c r="L2999" s="317">
        <f t="array" ref="L2999">(XLOOKUP(D2999,Roster!F:F,Roster!D:D,"",0))</f>
        <v>7</v>
      </c>
      <c r="M2999" s="317" t="str">
        <f t="array" ref="M2999">XLOOKUP(D2999,Roster!F:F,Roster!E:E)</f>
        <v>Tickets</v>
      </c>
      <c r="N2999" s="317" t="str">
        <f t="shared" ref="N2999:P2999" si="3041">LEFT(H2999,5)</f>
        <v>09:45</v>
      </c>
      <c r="O2999" s="317" t="str">
        <f t="shared" si="3041"/>
        <v>13:45</v>
      </c>
      <c r="P2999" s="317" t="str">
        <f t="shared" si="3041"/>
        <v>15:45</v>
      </c>
      <c r="Q2999" s="318">
        <f t="shared" si="2933"/>
        <v>46137.40625</v>
      </c>
      <c r="R2999" s="318">
        <f t="shared" si="2934"/>
        <v>46137.57292</v>
      </c>
      <c r="S2999" s="318">
        <f t="shared" si="8"/>
        <v>46137.65625</v>
      </c>
    </row>
    <row r="3000">
      <c r="A3000" s="14" t="str">
        <f t="shared" si="1"/>
        <v>C59846137</v>
      </c>
      <c r="B3000" s="185" t="str">
        <f t="array" ref="B3000">IF(F3000="VL","",IF(F3000="Free","Free",XLOOKUP(D3000,Roster!T:T,Roster!S:S,"",0)))</f>
        <v/>
      </c>
      <c r="C3000" s="313">
        <v>46137.0</v>
      </c>
      <c r="D3000" s="314" t="s">
        <v>314</v>
      </c>
      <c r="E3000" s="307" t="str">
        <f t="array" ref="E3000">(XLOOKUP(D3000,Roster!F:F,Roster!B:B,"",0))</f>
        <v>Juan Fonnegra</v>
      </c>
      <c r="F3000" s="315" t="str">
        <f t="array" ref="F3000">IF(B3000=100,"Free",TEXT(XLOOKUP($D3000,OperationVoice!$A:$A,OperationVoice!AE:AE,XLOOKUP($D3000,OperationTickets!$A:$A,OperationTickets!AE:AE,"",0)),"hh:mm"))</f>
        <v/>
      </c>
      <c r="G3000" s="309" t="str">
        <f t="shared" si="3"/>
        <v/>
      </c>
      <c r="H3000" s="316">
        <f t="array" ref="H3000">XLOOKUP(B3000,Roster!L:L,Roster!N:N,XLOOKUP(D3000,TicketsBreak!A:A,TicketsBreak!E:E,"",0),0)</f>
        <v>0.4166666667</v>
      </c>
      <c r="I3000" s="316">
        <f t="array" ref="I3000">XLOOKUP(B3000,Roster!L:L,Roster!O:O,XLOOKUP(D3000,TicketsBreak!A:A,TicketsBreak!F:F,"",0),0)</f>
        <v>0.5208333333</v>
      </c>
      <c r="J3000" s="316">
        <f t="array" ref="J3000">XLOOKUP(B3000,Roster!L:L,Roster!P:P,XLOOKUP(D3000,TicketsBreak!A:A,TicketsBreak!G:G,"",0),0)</f>
        <v>0.65625</v>
      </c>
      <c r="K3000" s="310">
        <f t="shared" si="4"/>
        <v>46137</v>
      </c>
      <c r="L3000" s="317">
        <f t="array" ref="L3000">(XLOOKUP(D3000,Roster!F:F,Roster!D:D,"",0))</f>
        <v>1</v>
      </c>
      <c r="M3000" s="317" t="str">
        <f t="array" ref="M3000">XLOOKUP(D3000,Roster!F:F,Roster!E:E)</f>
        <v>Tickets</v>
      </c>
      <c r="N3000" s="317" t="str">
        <f t="shared" ref="N3000:P3000" si="3042">LEFT(H3000,5)</f>
        <v>10:00</v>
      </c>
      <c r="O3000" s="317" t="str">
        <f t="shared" si="3042"/>
        <v>12:30</v>
      </c>
      <c r="P3000" s="317" t="str">
        <f t="shared" si="3042"/>
        <v>15:45</v>
      </c>
      <c r="Q3000" s="318">
        <f t="shared" si="2933"/>
        <v>46137.41667</v>
      </c>
      <c r="R3000" s="318">
        <f t="shared" si="2934"/>
        <v>46137.52083</v>
      </c>
      <c r="S3000" s="318">
        <f t="shared" si="8"/>
        <v>46137.65625</v>
      </c>
    </row>
    <row r="3001">
      <c r="A3001" s="14" t="str">
        <f t="shared" si="1"/>
        <v>C113946137</v>
      </c>
      <c r="B3001" s="185" t="str">
        <f t="array" ref="B3001">IF(F3001="VL","",IF(F3001="Free","Free",XLOOKUP(D3001,Roster!T:T,Roster!S:S,"",0)))</f>
        <v>Free</v>
      </c>
      <c r="C3001" s="313">
        <v>46137.0</v>
      </c>
      <c r="D3001" s="314" t="s">
        <v>45</v>
      </c>
      <c r="E3001" s="307" t="str">
        <f t="array" ref="E3001">(XLOOKUP(D3001,Roster!F:F,Roster!B:B,"",0))</f>
        <v>Juan Largacha</v>
      </c>
      <c r="F3001" s="315" t="str">
        <f t="array" ref="F3001">IF(B3001=100,"Free",TEXT(XLOOKUP($D3001,OperationVoice!$A:$A,OperationVoice!AE:AE,XLOOKUP($D3001,OperationTickets!$A:$A,OperationTickets!AE:AE,"",0)),"hh:mm"))</f>
        <v>Free</v>
      </c>
      <c r="G3001" s="309" t="str">
        <f t="shared" si="3"/>
        <v>Free</v>
      </c>
      <c r="H3001" s="316" t="str">
        <f t="array" ref="H3001">XLOOKUP(B3001,Roster!L:L,Roster!N:N,XLOOKUP(D3001,TicketsBreak!A:A,TicketsBreak!E:E,"",0),0)</f>
        <v/>
      </c>
      <c r="I3001" s="316" t="str">
        <f t="array" ref="I3001">XLOOKUP(B3001,Roster!L:L,Roster!O:O,XLOOKUP(D3001,TicketsBreak!A:A,TicketsBreak!F:F,"",0),0)</f>
        <v/>
      </c>
      <c r="J3001" s="316" t="str">
        <f t="array" ref="J3001">XLOOKUP(B3001,Roster!L:L,Roster!P:P,XLOOKUP(D3001,TicketsBreak!A:A,TicketsBreak!G:G,"",0),0)</f>
        <v/>
      </c>
      <c r="K3001" s="310">
        <f t="shared" si="4"/>
        <v>46137</v>
      </c>
      <c r="L3001" s="317">
        <f t="array" ref="L3001">(XLOOKUP(D3001,Roster!F:F,Roster!D:D,"",0))</f>
        <v>22</v>
      </c>
      <c r="M3001" s="317" t="str">
        <f t="array" ref="M3001">XLOOKUP(D3001,Roster!F:F,Roster!E:E)</f>
        <v>Voice</v>
      </c>
      <c r="N3001" s="317" t="str">
        <f t="shared" ref="N3001:P3001" si="3043">LEFT(H3001,5)</f>
        <v/>
      </c>
      <c r="O3001" s="317" t="str">
        <f t="shared" si="3043"/>
        <v/>
      </c>
      <c r="P3001" s="317" t="str">
        <f t="shared" si="3043"/>
        <v/>
      </c>
      <c r="Q3001" s="318" t="str">
        <f t="shared" si="2933"/>
        <v/>
      </c>
      <c r="R3001" s="318" t="str">
        <f t="shared" si="2934"/>
        <v/>
      </c>
      <c r="S3001" s="318" t="str">
        <f t="shared" si="8"/>
        <v/>
      </c>
    </row>
    <row r="3002">
      <c r="A3002" s="14" t="str">
        <f t="shared" si="1"/>
        <v>C156646137</v>
      </c>
      <c r="B3002" s="185" t="str">
        <f t="array" ref="B3002">IF(F3002="VL","",IF(F3002="Free","Free",XLOOKUP(D3002,Roster!T:T,Roster!S:S,"",0)))</f>
        <v>Free</v>
      </c>
      <c r="C3002" s="313">
        <v>46137.0</v>
      </c>
      <c r="D3002" s="314" t="s">
        <v>46</v>
      </c>
      <c r="E3002" s="307" t="str">
        <f t="array" ref="E3002">(XLOOKUP(D3002,Roster!F:F,Roster!B:B,"",0))</f>
        <v>Juan Ocampo</v>
      </c>
      <c r="F3002" s="315" t="str">
        <f t="array" ref="F3002">IF(B3002=100,"Free",TEXT(XLOOKUP($D3002,OperationVoice!$A:$A,OperationVoice!AE:AE,XLOOKUP($D3002,OperationTickets!$A:$A,OperationTickets!AE:AE,"",0)),"hh:mm"))</f>
        <v>Free</v>
      </c>
      <c r="G3002" s="309" t="str">
        <f t="shared" si="3"/>
        <v>Free</v>
      </c>
      <c r="H3002" s="316" t="str">
        <f t="array" ref="H3002">XLOOKUP(B3002,Roster!L:L,Roster!N:N,XLOOKUP(D3002,TicketsBreak!A:A,TicketsBreak!E:E,"",0),0)</f>
        <v/>
      </c>
      <c r="I3002" s="316" t="str">
        <f t="array" ref="I3002">XLOOKUP(B3002,Roster!L:L,Roster!O:O,XLOOKUP(D3002,TicketsBreak!A:A,TicketsBreak!F:F,"",0),0)</f>
        <v/>
      </c>
      <c r="J3002" s="316" t="str">
        <f t="array" ref="J3002">XLOOKUP(B3002,Roster!L:L,Roster!P:P,XLOOKUP(D3002,TicketsBreak!A:A,TicketsBreak!G:G,"",0),0)</f>
        <v/>
      </c>
      <c r="K3002" s="310">
        <f t="shared" si="4"/>
        <v>46137</v>
      </c>
      <c r="L3002" s="317">
        <f t="array" ref="L3002">(XLOOKUP(D3002,Roster!F:F,Roster!D:D,"",0))</f>
        <v>38</v>
      </c>
      <c r="M3002" s="317" t="str">
        <f t="array" ref="M3002">XLOOKUP(D3002,Roster!F:F,Roster!E:E)</f>
        <v>Voice</v>
      </c>
      <c r="N3002" s="317" t="str">
        <f t="shared" ref="N3002:P3002" si="3044">LEFT(H3002,5)</f>
        <v/>
      </c>
      <c r="O3002" s="317" t="str">
        <f t="shared" si="3044"/>
        <v/>
      </c>
      <c r="P3002" s="317" t="str">
        <f t="shared" si="3044"/>
        <v/>
      </c>
      <c r="Q3002" s="318" t="str">
        <f t="shared" si="2933"/>
        <v/>
      </c>
      <c r="R3002" s="318" t="str">
        <f t="shared" si="2934"/>
        <v/>
      </c>
      <c r="S3002" s="318" t="str">
        <f t="shared" si="8"/>
        <v/>
      </c>
    </row>
    <row r="3003">
      <c r="A3003" s="14" t="str">
        <f t="shared" si="1"/>
        <v>C148446137</v>
      </c>
      <c r="B3003" s="185" t="str">
        <f t="array" ref="B3003">IF(F3003="VL","",IF(F3003="Free","Free",XLOOKUP(D3003,Roster!T:T,Roster!S:S,"",0)))</f>
        <v>Free</v>
      </c>
      <c r="C3003" s="313">
        <v>46137.0</v>
      </c>
      <c r="D3003" s="314" t="s">
        <v>141</v>
      </c>
      <c r="E3003" s="307" t="str">
        <f t="array" ref="E3003">(XLOOKUP(D3003,Roster!F:F,Roster!B:B,"",0))</f>
        <v>Juan Ospina</v>
      </c>
      <c r="F3003" s="315" t="str">
        <f t="array" ref="F3003">IF(B3003=100,"Free",TEXT(XLOOKUP($D3003,OperationVoice!$A:$A,OperationVoice!AE:AE,XLOOKUP($D3003,OperationTickets!$A:$A,OperationTickets!AE:AE,"",0)),"hh:mm"))</f>
        <v>Free</v>
      </c>
      <c r="G3003" s="309" t="str">
        <f t="shared" si="3"/>
        <v>Free</v>
      </c>
      <c r="H3003" s="316" t="str">
        <f t="array" ref="H3003">XLOOKUP(B3003,Roster!L:L,Roster!N:N,XLOOKUP(D3003,TicketsBreak!A:A,TicketsBreak!E:E,"",0),0)</f>
        <v/>
      </c>
      <c r="I3003" s="316" t="str">
        <f t="array" ref="I3003">XLOOKUP(B3003,Roster!L:L,Roster!O:O,XLOOKUP(D3003,TicketsBreak!A:A,TicketsBreak!F:F,"",0),0)</f>
        <v/>
      </c>
      <c r="J3003" s="316" t="str">
        <f t="array" ref="J3003">XLOOKUP(B3003,Roster!L:L,Roster!P:P,XLOOKUP(D3003,TicketsBreak!A:A,TicketsBreak!G:G,"",0),0)</f>
        <v/>
      </c>
      <c r="K3003" s="310">
        <f t="shared" si="4"/>
        <v>46137</v>
      </c>
      <c r="L3003" s="317">
        <f t="array" ref="L3003">(XLOOKUP(D3003,Roster!F:F,Roster!D:D,"",0))</f>
        <v>34</v>
      </c>
      <c r="M3003" s="317" t="str">
        <f t="array" ref="M3003">XLOOKUP(D3003,Roster!F:F,Roster!E:E)</f>
        <v>Tickets</v>
      </c>
      <c r="N3003" s="317" t="str">
        <f t="shared" ref="N3003:P3003" si="3045">LEFT(H3003,5)</f>
        <v/>
      </c>
      <c r="O3003" s="317" t="str">
        <f t="shared" si="3045"/>
        <v/>
      </c>
      <c r="P3003" s="317" t="str">
        <f t="shared" si="3045"/>
        <v/>
      </c>
      <c r="Q3003" s="318" t="str">
        <f t="shared" si="2933"/>
        <v/>
      </c>
      <c r="R3003" s="318" t="str">
        <f t="shared" si="2934"/>
        <v/>
      </c>
      <c r="S3003" s="318" t="str">
        <f t="shared" si="8"/>
        <v/>
      </c>
    </row>
    <row r="3004">
      <c r="A3004" s="14" t="str">
        <f t="shared" si="1"/>
        <v>C141346137</v>
      </c>
      <c r="B3004" s="185" t="str">
        <f t="array" ref="B3004">IF(F3004="VL","",IF(F3004="Free","Free",XLOOKUP(D3004,Roster!T:T,Roster!S:S,"",0)))</f>
        <v>Free</v>
      </c>
      <c r="C3004" s="313">
        <v>46137.0</v>
      </c>
      <c r="D3004" s="314" t="s">
        <v>47</v>
      </c>
      <c r="E3004" s="307" t="str">
        <f t="array" ref="E3004">(XLOOKUP(D3004,Roster!F:F,Roster!B:B,"",0))</f>
        <v>Juan Parra</v>
      </c>
      <c r="F3004" s="315" t="str">
        <f t="array" ref="F3004">IF(B3004=100,"Free",TEXT(XLOOKUP($D3004,OperationVoice!$A:$A,OperationVoice!AE:AE,XLOOKUP($D3004,OperationTickets!$A:$A,OperationTickets!AE:AE,"",0)),"hh:mm"))</f>
        <v>Free</v>
      </c>
      <c r="G3004" s="309" t="str">
        <f t="shared" si="3"/>
        <v>Free</v>
      </c>
      <c r="H3004" s="316" t="str">
        <f t="array" ref="H3004">XLOOKUP(B3004,Roster!L:L,Roster!N:N,XLOOKUP(D3004,TicketsBreak!A:A,TicketsBreak!E:E,"",0),0)</f>
        <v/>
      </c>
      <c r="I3004" s="316" t="str">
        <f t="array" ref="I3004">XLOOKUP(B3004,Roster!L:L,Roster!O:O,XLOOKUP(D3004,TicketsBreak!A:A,TicketsBreak!F:F,"",0),0)</f>
        <v/>
      </c>
      <c r="J3004" s="316" t="str">
        <f t="array" ref="J3004">XLOOKUP(B3004,Roster!L:L,Roster!P:P,XLOOKUP(D3004,TicketsBreak!A:A,TicketsBreak!G:G,"",0),0)</f>
        <v/>
      </c>
      <c r="K3004" s="310">
        <f t="shared" si="4"/>
        <v>46137</v>
      </c>
      <c r="L3004" s="317">
        <f t="array" ref="L3004">(XLOOKUP(D3004,Roster!F:F,Roster!D:D,"",0))</f>
        <v>32</v>
      </c>
      <c r="M3004" s="317" t="str">
        <f t="array" ref="M3004">XLOOKUP(D3004,Roster!F:F,Roster!E:E)</f>
        <v>Voice</v>
      </c>
      <c r="N3004" s="317" t="str">
        <f t="shared" ref="N3004:P3004" si="3046">LEFT(H3004,5)</f>
        <v/>
      </c>
      <c r="O3004" s="317" t="str">
        <f t="shared" si="3046"/>
        <v/>
      </c>
      <c r="P3004" s="317" t="str">
        <f t="shared" si="3046"/>
        <v/>
      </c>
      <c r="Q3004" s="318" t="str">
        <f t="shared" si="2933"/>
        <v/>
      </c>
      <c r="R3004" s="318" t="str">
        <f t="shared" si="2934"/>
        <v/>
      </c>
      <c r="S3004" s="318" t="str">
        <f t="shared" si="8"/>
        <v/>
      </c>
    </row>
    <row r="3005">
      <c r="A3005" s="14" t="str">
        <f t="shared" si="1"/>
        <v>C132746137</v>
      </c>
      <c r="B3005" s="185" t="str">
        <f t="array" ref="B3005">IF(F3005="VL","",IF(F3005="Free","Free",XLOOKUP(D3005,Roster!T:T,Roster!S:S,"",0)))</f>
        <v/>
      </c>
      <c r="C3005" s="313">
        <v>46137.0</v>
      </c>
      <c r="D3005" s="314" t="s">
        <v>163</v>
      </c>
      <c r="E3005" s="307" t="str">
        <f t="array" ref="E3005">(XLOOKUP(D3005,Roster!F:F,Roster!B:B,"",0))</f>
        <v>Juan Restrepo</v>
      </c>
      <c r="F3005" s="315" t="str">
        <f t="array" ref="F3005">IF(B3005=100,"Free",TEXT(XLOOKUP($D3005,OperationVoice!$A:$A,OperationVoice!AE:AE,XLOOKUP($D3005,OperationTickets!$A:$A,OperationTickets!AE:AE,"",0)),"hh:mm"))</f>
        <v>07:00</v>
      </c>
      <c r="G3005" s="309">
        <f t="shared" si="3"/>
        <v>0.6666666667</v>
      </c>
      <c r="H3005" s="316" t="str">
        <f t="array" ref="H3005">XLOOKUP(B3005,Roster!L:L,Roster!N:N,XLOOKUP(D3005,TicketsBreak!A:A,TicketsBreak!E:E,"",0),0)</f>
        <v/>
      </c>
      <c r="I3005" s="316" t="str">
        <f t="array" ref="I3005">XLOOKUP(B3005,Roster!L:L,Roster!O:O,XLOOKUP(D3005,TicketsBreak!A:A,TicketsBreak!F:F,"",0),0)</f>
        <v/>
      </c>
      <c r="J3005" s="316" t="str">
        <f t="array" ref="J3005">XLOOKUP(B3005,Roster!L:L,Roster!P:P,XLOOKUP(D3005,TicketsBreak!A:A,TicketsBreak!G:G,"",0),0)</f>
        <v/>
      </c>
      <c r="K3005" s="310">
        <f t="shared" si="4"/>
        <v>46137</v>
      </c>
      <c r="L3005" s="317">
        <f t="array" ref="L3005">(XLOOKUP(D3005,Roster!F:F,Roster!D:D,"",0))</f>
        <v>29</v>
      </c>
      <c r="M3005" s="317" t="str">
        <f t="array" ref="M3005">XLOOKUP(D3005,Roster!F:F,Roster!E:E)</f>
        <v>Tickets</v>
      </c>
      <c r="N3005" s="317" t="str">
        <f t="shared" ref="N3005:P3005" si="3047">LEFT(H3005,5)</f>
        <v/>
      </c>
      <c r="O3005" s="317" t="str">
        <f t="shared" si="3047"/>
        <v/>
      </c>
      <c r="P3005" s="317" t="str">
        <f t="shared" si="3047"/>
        <v/>
      </c>
      <c r="Q3005" s="318" t="str">
        <f t="shared" si="2933"/>
        <v/>
      </c>
      <c r="R3005" s="318" t="str">
        <f t="shared" si="2934"/>
        <v/>
      </c>
      <c r="S3005" s="318" t="str">
        <f t="shared" si="8"/>
        <v/>
      </c>
    </row>
    <row r="3006">
      <c r="A3006" s="14" t="str">
        <f t="shared" si="1"/>
        <v>C146946137</v>
      </c>
      <c r="B3006" s="185">
        <f t="array" ref="B3006">IF(F3006="VL","",IF(F3006="Free","Free",XLOOKUP(D3006,Roster!T:T,Roster!S:S,"",0)))</f>
        <v>122</v>
      </c>
      <c r="C3006" s="313">
        <v>46137.0</v>
      </c>
      <c r="D3006" s="314" t="s">
        <v>48</v>
      </c>
      <c r="E3006" s="307" t="str">
        <f t="array" ref="E3006">(XLOOKUP(D3006,Roster!F:F,Roster!B:B,"",0))</f>
        <v>Juan Restrepo Restrepo</v>
      </c>
      <c r="F3006" s="315" t="str">
        <f t="array" ref="F3006">IF(B3006=100,"Free",TEXT(XLOOKUP($D3006,OperationVoice!$A:$A,OperationVoice!AE:AE,XLOOKUP($D3006,OperationTickets!$A:$A,OperationTickets!AE:AE,"",0)),"hh:mm"))</f>
        <v>08:00</v>
      </c>
      <c r="G3006" s="309">
        <f t="shared" si="3"/>
        <v>0.7083333333</v>
      </c>
      <c r="H3006" s="316" t="str">
        <f t="array" ref="H3006">XLOOKUP(B3006,Roster!L:L,Roster!N:N,XLOOKUP(D3006,TicketsBreak!A:A,TicketsBreak!E:E,"",0),0)</f>
        <v>09:30 - 09:45</v>
      </c>
      <c r="I3006" s="316" t="str">
        <f t="array" ref="I3006">XLOOKUP(B3006,Roster!L:L,Roster!O:O,XLOOKUP(D3006,TicketsBreak!A:A,TicketsBreak!F:F,"",0),0)</f>
        <v>12:00 - 12:30</v>
      </c>
      <c r="J3006" s="316" t="str">
        <f t="array" ref="J3006">XLOOKUP(B3006,Roster!L:L,Roster!P:P,XLOOKUP(D3006,TicketsBreak!A:A,TicketsBreak!G:G,"",0),0)</f>
        <v>14:45 - 15:00</v>
      </c>
      <c r="K3006" s="310">
        <f t="shared" si="4"/>
        <v>46137</v>
      </c>
      <c r="L3006" s="317">
        <f t="array" ref="L3006">(XLOOKUP(D3006,Roster!F:F,Roster!D:D,"",0))</f>
        <v>33</v>
      </c>
      <c r="M3006" s="317" t="str">
        <f t="array" ref="M3006">XLOOKUP(D3006,Roster!F:F,Roster!E:E)</f>
        <v>Voice</v>
      </c>
      <c r="N3006" s="317" t="str">
        <f t="shared" ref="N3006:P3006" si="3048">LEFT(H3006,5)</f>
        <v>09:30</v>
      </c>
      <c r="O3006" s="317" t="str">
        <f t="shared" si="3048"/>
        <v>12:00</v>
      </c>
      <c r="P3006" s="317" t="str">
        <f t="shared" si="3048"/>
        <v>14:45</v>
      </c>
      <c r="Q3006" s="318">
        <f t="shared" si="2933"/>
        <v>46137.39583</v>
      </c>
      <c r="R3006" s="318">
        <f t="shared" si="2934"/>
        <v>46137.5</v>
      </c>
      <c r="S3006" s="318">
        <f t="shared" si="8"/>
        <v>46137.61458</v>
      </c>
    </row>
    <row r="3007">
      <c r="A3007" s="14" t="str">
        <f t="shared" si="1"/>
        <v>C117146137</v>
      </c>
      <c r="B3007" s="185" t="str">
        <f t="array" ref="B3007">IF(F3007="VL","",IF(F3007="Free","Free",XLOOKUP(D3007,Roster!T:T,Roster!S:S,"",0)))</f>
        <v/>
      </c>
      <c r="C3007" s="313">
        <v>46137.0</v>
      </c>
      <c r="D3007" s="314" t="s">
        <v>142</v>
      </c>
      <c r="E3007" s="307" t="str">
        <f t="array" ref="E3007">(XLOOKUP(D3007,Roster!F:F,Roster!B:B,"",0))</f>
        <v>Juan Sanchez</v>
      </c>
      <c r="F3007" s="315" t="str">
        <f t="array" ref="F3007">IF(B3007=100,"Free",TEXT(XLOOKUP($D3007,OperationVoice!$A:$A,OperationVoice!AE:AE,XLOOKUP($D3007,OperationTickets!$A:$A,OperationTickets!AE:AE,"",0)),"hh:mm"))</f>
        <v>08:00</v>
      </c>
      <c r="G3007" s="309">
        <f t="shared" si="3"/>
        <v>0.7083333333</v>
      </c>
      <c r="H3007" s="316" t="str">
        <f t="array" ref="H3007">XLOOKUP(B3007,Roster!L:L,Roster!N:N,XLOOKUP(D3007,TicketsBreak!A:A,TicketsBreak!E:E,"",0),0)</f>
        <v/>
      </c>
      <c r="I3007" s="316" t="str">
        <f t="array" ref="I3007">XLOOKUP(B3007,Roster!L:L,Roster!O:O,XLOOKUP(D3007,TicketsBreak!A:A,TicketsBreak!F:F,"",0),0)</f>
        <v/>
      </c>
      <c r="J3007" s="316" t="str">
        <f t="array" ref="J3007">XLOOKUP(B3007,Roster!L:L,Roster!P:P,XLOOKUP(D3007,TicketsBreak!A:A,TicketsBreak!G:G,"",0),0)</f>
        <v/>
      </c>
      <c r="K3007" s="310">
        <f t="shared" si="4"/>
        <v>46137</v>
      </c>
      <c r="L3007" s="317">
        <f t="array" ref="L3007">(XLOOKUP(D3007,Roster!F:F,Roster!D:D,"",0))</f>
        <v>24</v>
      </c>
      <c r="M3007" s="317" t="str">
        <f t="array" ref="M3007">XLOOKUP(D3007,Roster!F:F,Roster!E:E)</f>
        <v>Tickets</v>
      </c>
      <c r="N3007" s="317" t="str">
        <f t="shared" ref="N3007:P3007" si="3049">LEFT(H3007,5)</f>
        <v/>
      </c>
      <c r="O3007" s="317" t="str">
        <f t="shared" si="3049"/>
        <v/>
      </c>
      <c r="P3007" s="317" t="str">
        <f t="shared" si="3049"/>
        <v/>
      </c>
      <c r="Q3007" s="318" t="str">
        <f t="shared" si="2933"/>
        <v/>
      </c>
      <c r="R3007" s="318" t="str">
        <f t="shared" si="2934"/>
        <v/>
      </c>
      <c r="S3007" s="318" t="str">
        <f t="shared" si="8"/>
        <v/>
      </c>
    </row>
    <row r="3008">
      <c r="A3008" s="14" t="str">
        <f t="shared" si="1"/>
        <v>C74346137</v>
      </c>
      <c r="B3008" s="185" t="str">
        <f t="array" ref="B3008">IF(F3008="VL","",IF(F3008="Free","Free",XLOOKUP(D3008,Roster!T:T,Roster!S:S,"",0)))</f>
        <v/>
      </c>
      <c r="C3008" s="313">
        <v>46137.0</v>
      </c>
      <c r="D3008" s="314" t="s">
        <v>164</v>
      </c>
      <c r="E3008" s="307" t="str">
        <f t="array" ref="E3008">(XLOOKUP(D3008,Roster!F:F,Roster!B:B,"",0))</f>
        <v>Juan Suarez</v>
      </c>
      <c r="F3008" s="315" t="str">
        <f t="array" ref="F3008">IF(B3008=100,"Free",TEXT(XLOOKUP($D3008,OperationVoice!$A:$A,OperationVoice!AE:AE,XLOOKUP($D3008,OperationTickets!$A:$A,OperationTickets!AE:AE,"",0)),"hh:mm"))</f>
        <v>VL</v>
      </c>
      <c r="G3008" s="309" t="str">
        <f t="shared" si="3"/>
        <v>VL</v>
      </c>
      <c r="H3008" s="316">
        <f t="array" ref="H3008">XLOOKUP(B3008,Roster!L:L,Roster!N:N,XLOOKUP(D3008,TicketsBreak!A:A,TicketsBreak!E:E,"",0),0)</f>
        <v>0.3958333333</v>
      </c>
      <c r="I3008" s="316">
        <f t="array" ref="I3008">XLOOKUP(B3008,Roster!L:L,Roster!O:O,XLOOKUP(D3008,TicketsBreak!A:A,TicketsBreak!F:F,"",0),0)</f>
        <v>0.5208333333</v>
      </c>
      <c r="J3008" s="316">
        <f t="array" ref="J3008">XLOOKUP(B3008,Roster!L:L,Roster!P:P,XLOOKUP(D3008,TicketsBreak!A:A,TicketsBreak!G:G,"",0),0)</f>
        <v>0.6145833333</v>
      </c>
      <c r="K3008" s="310">
        <f t="shared" si="4"/>
        <v>46137</v>
      </c>
      <c r="L3008" s="317">
        <f t="array" ref="L3008">(XLOOKUP(D3008,Roster!F:F,Roster!D:D,"",0))</f>
        <v>8</v>
      </c>
      <c r="M3008" s="317" t="str">
        <f t="array" ref="M3008">XLOOKUP(D3008,Roster!F:F,Roster!E:E)</f>
        <v>Tickets</v>
      </c>
      <c r="N3008" s="317" t="str">
        <f t="shared" ref="N3008:P3008" si="3050">LEFT(H3008,5)</f>
        <v>09:30</v>
      </c>
      <c r="O3008" s="317" t="str">
        <f t="shared" si="3050"/>
        <v>12:30</v>
      </c>
      <c r="P3008" s="317" t="str">
        <f t="shared" si="3050"/>
        <v>14:45</v>
      </c>
      <c r="Q3008" s="318">
        <f t="shared" si="2933"/>
        <v>46137.39583</v>
      </c>
      <c r="R3008" s="318">
        <f t="shared" si="2934"/>
        <v>46137.52083</v>
      </c>
      <c r="S3008" s="318">
        <f t="shared" si="8"/>
        <v>46137.61458</v>
      </c>
    </row>
    <row r="3009">
      <c r="A3009" s="14" t="str">
        <f t="shared" si="1"/>
        <v>C156846137</v>
      </c>
      <c r="B3009" s="185">
        <f t="array" ref="B3009">IF(F3009="VL","",IF(F3009="Free","Free",XLOOKUP(D3009,Roster!T:T,Roster!S:S,"",0)))</f>
        <v>122</v>
      </c>
      <c r="C3009" s="313">
        <v>46137.0</v>
      </c>
      <c r="D3009" s="314" t="s">
        <v>49</v>
      </c>
      <c r="E3009" s="307" t="str">
        <f t="array" ref="E3009">(XLOOKUP(D3009,Roster!F:F,Roster!B:B,"",0))</f>
        <v>Juan Zapata</v>
      </c>
      <c r="F3009" s="315" t="str">
        <f t="array" ref="F3009">IF(B3009=100,"Free",TEXT(XLOOKUP($D3009,OperationVoice!$A:$A,OperationVoice!AE:AE,XLOOKUP($D3009,OperationTickets!$A:$A,OperationTickets!AE:AE,"",0)),"hh:mm"))</f>
        <v>08:00</v>
      </c>
      <c r="G3009" s="309">
        <f t="shared" si="3"/>
        <v>0.7083333333</v>
      </c>
      <c r="H3009" s="316" t="str">
        <f t="array" ref="H3009">XLOOKUP(B3009,Roster!L:L,Roster!N:N,XLOOKUP(D3009,TicketsBreak!A:A,TicketsBreak!E:E,"",0),0)</f>
        <v>09:30 - 09:45</v>
      </c>
      <c r="I3009" s="316" t="str">
        <f t="array" ref="I3009">XLOOKUP(B3009,Roster!L:L,Roster!O:O,XLOOKUP(D3009,TicketsBreak!A:A,TicketsBreak!F:F,"",0),0)</f>
        <v>12:00 - 12:30</v>
      </c>
      <c r="J3009" s="316" t="str">
        <f t="array" ref="J3009">XLOOKUP(B3009,Roster!L:L,Roster!P:P,XLOOKUP(D3009,TicketsBreak!A:A,TicketsBreak!G:G,"",0),0)</f>
        <v>14:45 - 15:00</v>
      </c>
      <c r="K3009" s="310">
        <f t="shared" si="4"/>
        <v>46137</v>
      </c>
      <c r="L3009" s="317">
        <f t="array" ref="L3009">(XLOOKUP(D3009,Roster!F:F,Roster!D:D,"",0))</f>
        <v>38</v>
      </c>
      <c r="M3009" s="317" t="str">
        <f t="array" ref="M3009">XLOOKUP(D3009,Roster!F:F,Roster!E:E)</f>
        <v>Voice</v>
      </c>
      <c r="N3009" s="317" t="str">
        <f t="shared" ref="N3009:P3009" si="3051">LEFT(H3009,5)</f>
        <v>09:30</v>
      </c>
      <c r="O3009" s="317" t="str">
        <f t="shared" si="3051"/>
        <v>12:00</v>
      </c>
      <c r="P3009" s="317" t="str">
        <f t="shared" si="3051"/>
        <v>14:45</v>
      </c>
      <c r="Q3009" s="318">
        <f t="shared" si="2933"/>
        <v>46137.39583</v>
      </c>
      <c r="R3009" s="318">
        <f t="shared" si="2934"/>
        <v>46137.5</v>
      </c>
      <c r="S3009" s="318">
        <f t="shared" si="8"/>
        <v>46137.61458</v>
      </c>
    </row>
    <row r="3010">
      <c r="A3010" s="14" t="str">
        <f t="shared" si="1"/>
        <v>C75546137</v>
      </c>
      <c r="B3010" s="185" t="str">
        <f t="array" ref="B3010">IF(F3010="VL","",IF(F3010="Free","Free",XLOOKUP(D3010,Roster!T:T,Roster!S:S,"",0)))</f>
        <v/>
      </c>
      <c r="C3010" s="313">
        <v>46137.0</v>
      </c>
      <c r="D3010" s="314" t="s">
        <v>143</v>
      </c>
      <c r="E3010" s="307" t="str">
        <f t="array" ref="E3010">(XLOOKUP(D3010,Roster!F:F,Roster!B:B,"",0))</f>
        <v>Julian Higuita</v>
      </c>
      <c r="F3010" s="315" t="str">
        <f t="array" ref="F3010">IF(B3010=100,"Free",TEXT(XLOOKUP($D3010,OperationVoice!$A:$A,OperationVoice!AE:AE,XLOOKUP($D3010,OperationTickets!$A:$A,OperationTickets!AE:AE,"",0)),"hh:mm"))</f>
        <v>VL</v>
      </c>
      <c r="G3010" s="309" t="str">
        <f t="shared" si="3"/>
        <v>VL</v>
      </c>
      <c r="H3010" s="316" t="str">
        <f t="array" ref="H3010">XLOOKUP(B3010,Roster!L:L,Roster!N:N,XLOOKUP(D3010,TicketsBreak!A:A,TicketsBreak!E:E,"",0),0)</f>
        <v/>
      </c>
      <c r="I3010" s="316" t="str">
        <f t="array" ref="I3010">XLOOKUP(B3010,Roster!L:L,Roster!O:O,XLOOKUP(D3010,TicketsBreak!A:A,TicketsBreak!F:F,"",0),0)</f>
        <v/>
      </c>
      <c r="J3010" s="316" t="str">
        <f t="array" ref="J3010">XLOOKUP(B3010,Roster!L:L,Roster!P:P,XLOOKUP(D3010,TicketsBreak!A:A,TicketsBreak!G:G,"",0),0)</f>
        <v/>
      </c>
      <c r="K3010" s="310">
        <f t="shared" si="4"/>
        <v>46137</v>
      </c>
      <c r="L3010" s="317">
        <f t="array" ref="L3010">(XLOOKUP(D3010,Roster!F:F,Roster!D:D,"",0))</f>
        <v>35</v>
      </c>
      <c r="M3010" s="317" t="str">
        <f t="array" ref="M3010">XLOOKUP(D3010,Roster!F:F,Roster!E:E)</f>
        <v>Tickets</v>
      </c>
      <c r="N3010" s="317" t="str">
        <f t="shared" ref="N3010:P3010" si="3052">LEFT(H3010,5)</f>
        <v/>
      </c>
      <c r="O3010" s="317" t="str">
        <f t="shared" si="3052"/>
        <v/>
      </c>
      <c r="P3010" s="317" t="str">
        <f t="shared" si="3052"/>
        <v/>
      </c>
      <c r="Q3010" s="318" t="str">
        <f t="shared" si="2933"/>
        <v/>
      </c>
      <c r="R3010" s="318" t="str">
        <f t="shared" si="2934"/>
        <v/>
      </c>
      <c r="S3010" s="318" t="str">
        <f t="shared" si="8"/>
        <v/>
      </c>
    </row>
    <row r="3011">
      <c r="A3011" s="14" t="str">
        <f t="shared" si="1"/>
        <v>C52546137</v>
      </c>
      <c r="B3011" s="185" t="str">
        <f t="array" ref="B3011">IF(F3011="VL","",IF(F3011="Free","Free",XLOOKUP(D3011,Roster!T:T,Roster!S:S,"",0)))</f>
        <v/>
      </c>
      <c r="C3011" s="313">
        <v>46137.0</v>
      </c>
      <c r="D3011" s="314" t="s">
        <v>176</v>
      </c>
      <c r="E3011" s="307" t="str">
        <f t="array" ref="E3011">(XLOOKUP(D3011,Roster!F:F,Roster!B:B,"",0))</f>
        <v>Julian Pineda</v>
      </c>
      <c r="F3011" s="315" t="str">
        <f t="array" ref="F3011">IF(B3011=100,"Free",TEXT(XLOOKUP($D3011,OperationVoice!$A:$A,OperationVoice!AE:AE,XLOOKUP($D3011,OperationTickets!$A:$A,OperationTickets!AE:AE,"",0)),"hh:mm"))</f>
        <v>08:00</v>
      </c>
      <c r="G3011" s="309">
        <f t="shared" si="3"/>
        <v>0.7083333333</v>
      </c>
      <c r="H3011" s="316" t="str">
        <f t="array" ref="H3011">XLOOKUP(B3011,Roster!L:L,Roster!N:N,XLOOKUP(D3011,TicketsBreak!A:A,TicketsBreak!E:E,"",0),0)</f>
        <v/>
      </c>
      <c r="I3011" s="316" t="str">
        <f t="array" ref="I3011">XLOOKUP(B3011,Roster!L:L,Roster!O:O,XLOOKUP(D3011,TicketsBreak!A:A,TicketsBreak!F:F,"",0),0)</f>
        <v/>
      </c>
      <c r="J3011" s="316" t="str">
        <f t="array" ref="J3011">XLOOKUP(B3011,Roster!L:L,Roster!P:P,XLOOKUP(D3011,TicketsBreak!A:A,TicketsBreak!G:G,"",0),0)</f>
        <v/>
      </c>
      <c r="K3011" s="310">
        <f t="shared" si="4"/>
        <v>46137</v>
      </c>
      <c r="L3011" s="317">
        <f t="array" ref="L3011">(XLOOKUP(D3011,Roster!F:F,Roster!D:D,"",0))</f>
        <v>35</v>
      </c>
      <c r="M3011" s="317" t="str">
        <f t="array" ref="M3011">XLOOKUP(D3011,Roster!F:F,Roster!E:E)</f>
        <v>Tickets</v>
      </c>
      <c r="N3011" s="317" t="str">
        <f t="shared" ref="N3011:P3011" si="3053">LEFT(H3011,5)</f>
        <v/>
      </c>
      <c r="O3011" s="317" t="str">
        <f t="shared" si="3053"/>
        <v/>
      </c>
      <c r="P3011" s="317" t="str">
        <f t="shared" si="3053"/>
        <v/>
      </c>
      <c r="Q3011" s="318" t="str">
        <f t="shared" si="2933"/>
        <v/>
      </c>
      <c r="R3011" s="318" t="str">
        <f t="shared" si="2934"/>
        <v/>
      </c>
      <c r="S3011" s="318" t="str">
        <f t="shared" si="8"/>
        <v/>
      </c>
    </row>
    <row r="3012">
      <c r="A3012" s="14" t="str">
        <f t="shared" si="1"/>
        <v>C142746137</v>
      </c>
      <c r="B3012" s="185" t="str">
        <f t="array" ref="B3012">IF(F3012="VL","",IF(F3012="Free","Free",XLOOKUP(D3012,Roster!T:T,Roster!S:S,"",0)))</f>
        <v>Free</v>
      </c>
      <c r="C3012" s="313">
        <v>46137.0</v>
      </c>
      <c r="D3012" s="314" t="s">
        <v>50</v>
      </c>
      <c r="E3012" s="307" t="str">
        <f t="array" ref="E3012">(XLOOKUP(D3012,Roster!F:F,Roster!B:B,"",0))</f>
        <v>Karen Lorena Martinez</v>
      </c>
      <c r="F3012" s="315" t="str">
        <f t="array" ref="F3012">IF(B3012=100,"Free",TEXT(XLOOKUP($D3012,OperationVoice!$A:$A,OperationVoice!AE:AE,XLOOKUP($D3012,OperationTickets!$A:$A,OperationTickets!AE:AE,"",0)),"hh:mm"))</f>
        <v>Free</v>
      </c>
      <c r="G3012" s="309" t="str">
        <f t="shared" si="3"/>
        <v>Free</v>
      </c>
      <c r="H3012" s="316" t="str">
        <f t="array" ref="H3012">XLOOKUP(B3012,Roster!L:L,Roster!N:N,XLOOKUP(D3012,TicketsBreak!A:A,TicketsBreak!E:E,"",0),0)</f>
        <v/>
      </c>
      <c r="I3012" s="316" t="str">
        <f t="array" ref="I3012">XLOOKUP(B3012,Roster!L:L,Roster!O:O,XLOOKUP(D3012,TicketsBreak!A:A,TicketsBreak!F:F,"",0),0)</f>
        <v/>
      </c>
      <c r="J3012" s="316" t="str">
        <f t="array" ref="J3012">XLOOKUP(B3012,Roster!L:L,Roster!P:P,XLOOKUP(D3012,TicketsBreak!A:A,TicketsBreak!G:G,"",0),0)</f>
        <v/>
      </c>
      <c r="K3012" s="310">
        <f t="shared" si="4"/>
        <v>46137</v>
      </c>
      <c r="L3012" s="317">
        <f t="array" ref="L3012">(XLOOKUP(D3012,Roster!F:F,Roster!D:D,"",0))</f>
        <v>32</v>
      </c>
      <c r="M3012" s="317" t="str">
        <f t="array" ref="M3012">XLOOKUP(D3012,Roster!F:F,Roster!E:E)</f>
        <v>Voice</v>
      </c>
      <c r="N3012" s="317" t="str">
        <f t="shared" ref="N3012:P3012" si="3054">LEFT(H3012,5)</f>
        <v/>
      </c>
      <c r="O3012" s="317" t="str">
        <f t="shared" si="3054"/>
        <v/>
      </c>
      <c r="P3012" s="317" t="str">
        <f t="shared" si="3054"/>
        <v/>
      </c>
      <c r="Q3012" s="318" t="str">
        <f t="shared" si="2933"/>
        <v/>
      </c>
      <c r="R3012" s="318" t="str">
        <f t="shared" si="2934"/>
        <v/>
      </c>
      <c r="S3012" s="318" t="str">
        <f t="shared" si="8"/>
        <v/>
      </c>
    </row>
    <row r="3013">
      <c r="A3013" s="14" t="str">
        <f t="shared" si="1"/>
        <v>C57946137</v>
      </c>
      <c r="B3013" s="185" t="str">
        <f t="array" ref="B3013">IF(F3013="VL","",IF(F3013="Free","Free",XLOOKUP(D3013,Roster!T:T,Roster!S:S,"",0)))</f>
        <v/>
      </c>
      <c r="C3013" s="313">
        <v>46137.0</v>
      </c>
      <c r="D3013" s="314" t="s">
        <v>144</v>
      </c>
      <c r="E3013" s="307" t="str">
        <f t="array" ref="E3013">(XLOOKUP(D3013,Roster!F:F,Roster!B:B,"",0))</f>
        <v>Karen Martinez</v>
      </c>
      <c r="F3013" s="315" t="str">
        <f t="array" ref="F3013">IF(B3013=100,"Free",TEXT(XLOOKUP($D3013,OperationVoice!$A:$A,OperationVoice!AE:AE,XLOOKUP($D3013,OperationTickets!$A:$A,OperationTickets!AE:AE,"",0)),"hh:mm"))</f>
        <v>08:00</v>
      </c>
      <c r="G3013" s="309">
        <f t="shared" si="3"/>
        <v>0.7083333333</v>
      </c>
      <c r="H3013" s="316">
        <f t="array" ref="H3013">XLOOKUP(B3013,Roster!L:L,Roster!N:N,XLOOKUP(D3013,TicketsBreak!A:A,TicketsBreak!E:E,"",0),0)</f>
        <v>0.4166666667</v>
      </c>
      <c r="I3013" s="316">
        <f t="array" ref="I3013">XLOOKUP(B3013,Roster!L:L,Roster!O:O,XLOOKUP(D3013,TicketsBreak!A:A,TicketsBreak!F:F,"",0),0)</f>
        <v>0.5</v>
      </c>
      <c r="J3013" s="316">
        <f t="array" ref="J3013">XLOOKUP(B3013,Roster!L:L,Roster!P:P,XLOOKUP(D3013,TicketsBreak!A:A,TicketsBreak!G:G,"",0),0)</f>
        <v>0.625</v>
      </c>
      <c r="K3013" s="310">
        <f t="shared" si="4"/>
        <v>46137</v>
      </c>
      <c r="L3013" s="317">
        <f t="array" ref="L3013">(XLOOKUP(D3013,Roster!F:F,Roster!D:D,"",0))</f>
        <v>4</v>
      </c>
      <c r="M3013" s="317" t="str">
        <f t="array" ref="M3013">XLOOKUP(D3013,Roster!F:F,Roster!E:E)</f>
        <v>Tickets</v>
      </c>
      <c r="N3013" s="317" t="str">
        <f t="shared" ref="N3013:P3013" si="3055">LEFT(H3013,5)</f>
        <v>10:00</v>
      </c>
      <c r="O3013" s="317" t="str">
        <f t="shared" si="3055"/>
        <v>12:00</v>
      </c>
      <c r="P3013" s="317" t="str">
        <f t="shared" si="3055"/>
        <v>15:00</v>
      </c>
      <c r="Q3013" s="318">
        <f t="shared" si="2933"/>
        <v>46137.41667</v>
      </c>
      <c r="R3013" s="318">
        <f t="shared" si="2934"/>
        <v>46137.5</v>
      </c>
      <c r="S3013" s="318">
        <f t="shared" si="8"/>
        <v>46137.625</v>
      </c>
    </row>
    <row r="3014">
      <c r="A3014" s="14" t="str">
        <f t="shared" si="1"/>
        <v>C108646137</v>
      </c>
      <c r="B3014" s="185">
        <f t="array" ref="B3014">IF(F3014="VL","",IF(F3014="Free","Free",XLOOKUP(D3014,Roster!T:T,Roster!S:S,"",0)))</f>
        <v>124</v>
      </c>
      <c r="C3014" s="313">
        <v>46137.0</v>
      </c>
      <c r="D3014" s="314" t="s">
        <v>51</v>
      </c>
      <c r="E3014" s="307" t="str">
        <f t="array" ref="E3014">(XLOOKUP(D3014,Roster!F:F,Roster!B:B,"",0))</f>
        <v>Karen Panqueva</v>
      </c>
      <c r="F3014" s="315" t="str">
        <f t="array" ref="F3014">IF(B3014=100,"Free",TEXT(XLOOKUP($D3014,OperationVoice!$A:$A,OperationVoice!AE:AE,XLOOKUP($D3014,OperationTickets!$A:$A,OperationTickets!AE:AE,"",0)),"hh:mm"))</f>
        <v>08:00</v>
      </c>
      <c r="G3014" s="309">
        <f t="shared" si="3"/>
        <v>0.7083333333</v>
      </c>
      <c r="H3014" s="316" t="str">
        <f t="array" ref="H3014">XLOOKUP(B3014,Roster!L:L,Roster!N:N,XLOOKUP(D3014,TicketsBreak!A:A,TicketsBreak!E:E,"",0),0)</f>
        <v>10:00 - 10:15</v>
      </c>
      <c r="I3014" s="316" t="str">
        <f t="array" ref="I3014">XLOOKUP(B3014,Roster!L:L,Roster!O:O,XLOOKUP(D3014,TicketsBreak!A:A,TicketsBreak!F:F,"",0),0)</f>
        <v>13:00 - 13:30</v>
      </c>
      <c r="J3014" s="316" t="str">
        <f t="array" ref="J3014">XLOOKUP(B3014,Roster!L:L,Roster!P:P,XLOOKUP(D3014,TicketsBreak!A:A,TicketsBreak!G:G,"",0),0)</f>
        <v>15:30 - 15:45</v>
      </c>
      <c r="K3014" s="310">
        <f t="shared" si="4"/>
        <v>46137</v>
      </c>
      <c r="L3014" s="317">
        <f t="array" ref="L3014">(XLOOKUP(D3014,Roster!F:F,Roster!D:D,"",0))</f>
        <v>19</v>
      </c>
      <c r="M3014" s="317" t="str">
        <f t="array" ref="M3014">XLOOKUP(D3014,Roster!F:F,Roster!E:E)</f>
        <v>Voice</v>
      </c>
      <c r="N3014" s="317" t="str">
        <f t="shared" ref="N3014:P3014" si="3056">LEFT(H3014,5)</f>
        <v>10:00</v>
      </c>
      <c r="O3014" s="317" t="str">
        <f t="shared" si="3056"/>
        <v>13:00</v>
      </c>
      <c r="P3014" s="317" t="str">
        <f t="shared" si="3056"/>
        <v>15:30</v>
      </c>
      <c r="Q3014" s="318">
        <f t="shared" si="2933"/>
        <v>46137.41667</v>
      </c>
      <c r="R3014" s="318">
        <f t="shared" si="2934"/>
        <v>46137.54167</v>
      </c>
      <c r="S3014" s="318">
        <f t="shared" si="8"/>
        <v>46137.64583</v>
      </c>
    </row>
    <row r="3015">
      <c r="A3015" s="14" t="str">
        <f t="shared" si="1"/>
        <v>C149246137</v>
      </c>
      <c r="B3015" s="185" t="str">
        <f t="array" ref="B3015">IF(F3015="VL","",IF(F3015="Free","Free",XLOOKUP(D3015,Roster!T:T,Roster!S:S,"",0)))</f>
        <v>Free</v>
      </c>
      <c r="C3015" s="313">
        <v>46137.0</v>
      </c>
      <c r="D3015" s="314" t="s">
        <v>52</v>
      </c>
      <c r="E3015" s="307" t="str">
        <f t="array" ref="E3015">(XLOOKUP(D3015,Roster!F:F,Roster!B:B,"",0))</f>
        <v>Karol Pineda</v>
      </c>
      <c r="F3015" s="315" t="str">
        <f t="array" ref="F3015">IF(B3015=100,"Free",TEXT(XLOOKUP($D3015,OperationVoice!$A:$A,OperationVoice!AE:AE,XLOOKUP($D3015,OperationTickets!$A:$A,OperationTickets!AE:AE,"",0)),"hh:mm"))</f>
        <v>Free</v>
      </c>
      <c r="G3015" s="309" t="str">
        <f t="shared" si="3"/>
        <v>Free</v>
      </c>
      <c r="H3015" s="316" t="str">
        <f t="array" ref="H3015">XLOOKUP(B3015,Roster!L:L,Roster!N:N,XLOOKUP(D3015,TicketsBreak!A:A,TicketsBreak!E:E,"",0),0)</f>
        <v/>
      </c>
      <c r="I3015" s="316" t="str">
        <f t="array" ref="I3015">XLOOKUP(B3015,Roster!L:L,Roster!O:O,XLOOKUP(D3015,TicketsBreak!A:A,TicketsBreak!F:F,"",0),0)</f>
        <v/>
      </c>
      <c r="J3015" s="316" t="str">
        <f t="array" ref="J3015">XLOOKUP(B3015,Roster!L:L,Roster!P:P,XLOOKUP(D3015,TicketsBreak!A:A,TicketsBreak!G:G,"",0),0)</f>
        <v/>
      </c>
      <c r="K3015" s="310">
        <f t="shared" si="4"/>
        <v>46137</v>
      </c>
      <c r="L3015" s="317">
        <f t="array" ref="L3015">(XLOOKUP(D3015,Roster!F:F,Roster!D:D,"",0))</f>
        <v>34</v>
      </c>
      <c r="M3015" s="317" t="str">
        <f t="array" ref="M3015">XLOOKUP(D3015,Roster!F:F,Roster!E:E)</f>
        <v>Voice</v>
      </c>
      <c r="N3015" s="317" t="str">
        <f t="shared" ref="N3015:P3015" si="3057">LEFT(H3015,5)</f>
        <v/>
      </c>
      <c r="O3015" s="317" t="str">
        <f t="shared" si="3057"/>
        <v/>
      </c>
      <c r="P3015" s="317" t="str">
        <f t="shared" si="3057"/>
        <v/>
      </c>
      <c r="Q3015" s="318" t="str">
        <f t="shared" si="2933"/>
        <v/>
      </c>
      <c r="R3015" s="318" t="str">
        <f t="shared" si="2934"/>
        <v/>
      </c>
      <c r="S3015" s="318" t="str">
        <f t="shared" si="8"/>
        <v/>
      </c>
    </row>
    <row r="3016">
      <c r="A3016" s="14" t="str">
        <f t="shared" si="1"/>
        <v>C65846137</v>
      </c>
      <c r="B3016" s="185" t="str">
        <f t="array" ref="B3016">IF(F3016="VL","",IF(F3016="Free","Free",XLOOKUP(D3016,Roster!T:T,Roster!S:S,"",0)))</f>
        <v>Free</v>
      </c>
      <c r="C3016" s="313">
        <v>46137.0</v>
      </c>
      <c r="D3016" s="314" t="s">
        <v>53</v>
      </c>
      <c r="E3016" s="307" t="str">
        <f t="array" ref="E3016">(XLOOKUP(D3016,Roster!F:F,Roster!B:B,"",0))</f>
        <v>Kennedy Giraldo</v>
      </c>
      <c r="F3016" s="315" t="str">
        <f t="array" ref="F3016">IF(B3016=100,"Free",TEXT(XLOOKUP($D3016,OperationVoice!$A:$A,OperationVoice!AE:AE,XLOOKUP($D3016,OperationTickets!$A:$A,OperationTickets!AE:AE,"",0)),"hh:mm"))</f>
        <v>Free</v>
      </c>
      <c r="G3016" s="309" t="str">
        <f t="shared" si="3"/>
        <v>Free</v>
      </c>
      <c r="H3016" s="316" t="str">
        <f t="array" ref="H3016">XLOOKUP(B3016,Roster!L:L,Roster!N:N,XLOOKUP(D3016,TicketsBreak!A:A,TicketsBreak!E:E,"",0),0)</f>
        <v/>
      </c>
      <c r="I3016" s="316" t="str">
        <f t="array" ref="I3016">XLOOKUP(B3016,Roster!L:L,Roster!O:O,XLOOKUP(D3016,TicketsBreak!A:A,TicketsBreak!F:F,"",0),0)</f>
        <v/>
      </c>
      <c r="J3016" s="316" t="str">
        <f t="array" ref="J3016">XLOOKUP(B3016,Roster!L:L,Roster!P:P,XLOOKUP(D3016,TicketsBreak!A:A,TicketsBreak!G:G,"",0),0)</f>
        <v/>
      </c>
      <c r="K3016" s="310">
        <f t="shared" si="4"/>
        <v>46137</v>
      </c>
      <c r="L3016" s="317">
        <f t="array" ref="L3016">(XLOOKUP(D3016,Roster!F:F,Roster!D:D,"",0))</f>
        <v>2</v>
      </c>
      <c r="M3016" s="317" t="str">
        <f t="array" ref="M3016">XLOOKUP(D3016,Roster!F:F,Roster!E:E)</f>
        <v>Voice</v>
      </c>
      <c r="N3016" s="317" t="str">
        <f t="shared" ref="N3016:P3016" si="3058">LEFT(H3016,5)</f>
        <v/>
      </c>
      <c r="O3016" s="317" t="str">
        <f t="shared" si="3058"/>
        <v/>
      </c>
      <c r="P3016" s="317" t="str">
        <f t="shared" si="3058"/>
        <v/>
      </c>
      <c r="Q3016" s="318" t="str">
        <f t="shared" si="2933"/>
        <v/>
      </c>
      <c r="R3016" s="318" t="str">
        <f t="shared" si="2934"/>
        <v/>
      </c>
      <c r="S3016" s="318" t="str">
        <f t="shared" si="8"/>
        <v/>
      </c>
    </row>
    <row r="3017">
      <c r="A3017" s="14" t="str">
        <f t="shared" si="1"/>
        <v>C151446137</v>
      </c>
      <c r="B3017" s="185" t="str">
        <f t="array" ref="B3017">IF(F3017="VL","",IF(F3017="Free","Free",XLOOKUP(D3017,Roster!T:T,Roster!S:S,"",0)))</f>
        <v>Free</v>
      </c>
      <c r="C3017" s="313">
        <v>46137.0</v>
      </c>
      <c r="D3017" s="314" t="s">
        <v>54</v>
      </c>
      <c r="E3017" s="307" t="str">
        <f t="array" ref="E3017">(XLOOKUP(D3017,Roster!F:F,Roster!B:B,"",0))</f>
        <v>Kevin Betancur</v>
      </c>
      <c r="F3017" s="315" t="str">
        <f t="array" ref="F3017">IF(B3017=100,"Free",TEXT(XLOOKUP($D3017,OperationVoice!$A:$A,OperationVoice!AE:AE,XLOOKUP($D3017,OperationTickets!$A:$A,OperationTickets!AE:AE,"",0)),"hh:mm"))</f>
        <v>Free</v>
      </c>
      <c r="G3017" s="309" t="str">
        <f t="shared" si="3"/>
        <v>Free</v>
      </c>
      <c r="H3017" s="316" t="str">
        <f t="array" ref="H3017">XLOOKUP(B3017,Roster!L:L,Roster!N:N,XLOOKUP(D3017,TicketsBreak!A:A,TicketsBreak!E:E,"",0),0)</f>
        <v/>
      </c>
      <c r="I3017" s="316" t="str">
        <f t="array" ref="I3017">XLOOKUP(B3017,Roster!L:L,Roster!O:O,XLOOKUP(D3017,TicketsBreak!A:A,TicketsBreak!F:F,"",0),0)</f>
        <v/>
      </c>
      <c r="J3017" s="316" t="str">
        <f t="array" ref="J3017">XLOOKUP(B3017,Roster!L:L,Roster!P:P,XLOOKUP(D3017,TicketsBreak!A:A,TicketsBreak!G:G,"",0),0)</f>
        <v/>
      </c>
      <c r="K3017" s="310">
        <f t="shared" si="4"/>
        <v>46137</v>
      </c>
      <c r="L3017" s="317">
        <f t="array" ref="L3017">(XLOOKUP(D3017,Roster!F:F,Roster!D:D,"",0))</f>
        <v>35</v>
      </c>
      <c r="M3017" s="317" t="str">
        <f t="array" ref="M3017">XLOOKUP(D3017,Roster!F:F,Roster!E:E)</f>
        <v>Voice</v>
      </c>
      <c r="N3017" s="317" t="str">
        <f t="shared" ref="N3017:P3017" si="3059">LEFT(H3017,5)</f>
        <v/>
      </c>
      <c r="O3017" s="317" t="str">
        <f t="shared" si="3059"/>
        <v/>
      </c>
      <c r="P3017" s="317" t="str">
        <f t="shared" si="3059"/>
        <v/>
      </c>
      <c r="Q3017" s="318" t="str">
        <f t="shared" si="2933"/>
        <v/>
      </c>
      <c r="R3017" s="318" t="str">
        <f t="shared" si="2934"/>
        <v/>
      </c>
      <c r="S3017" s="318" t="str">
        <f t="shared" si="8"/>
        <v/>
      </c>
    </row>
    <row r="3018">
      <c r="A3018" s="14" t="str">
        <f t="shared" si="1"/>
        <v>C157146137</v>
      </c>
      <c r="B3018" s="185" t="str">
        <f t="array" ref="B3018">IF(F3018="VL","",IF(F3018="Free","Free",XLOOKUP(D3018,Roster!T:T,Roster!S:S,"",0)))</f>
        <v>Free</v>
      </c>
      <c r="C3018" s="313">
        <v>46137.0</v>
      </c>
      <c r="D3018" s="314" t="s">
        <v>55</v>
      </c>
      <c r="E3018" s="307" t="str">
        <f t="array" ref="E3018">(XLOOKUP(D3018,Roster!F:F,Roster!B:B,"",0))</f>
        <v>Laura Chamorro</v>
      </c>
      <c r="F3018" s="315" t="str">
        <f t="array" ref="F3018">IF(B3018=100,"Free",TEXT(XLOOKUP($D3018,OperationVoice!$A:$A,OperationVoice!AE:AE,XLOOKUP($D3018,OperationTickets!$A:$A,OperationTickets!AE:AE,"",0)),"hh:mm"))</f>
        <v>Free</v>
      </c>
      <c r="G3018" s="309" t="str">
        <f t="shared" si="3"/>
        <v>Free</v>
      </c>
      <c r="H3018" s="316" t="str">
        <f t="array" ref="H3018">XLOOKUP(B3018,Roster!L:L,Roster!N:N,XLOOKUP(D3018,TicketsBreak!A:A,TicketsBreak!E:E,"",0),0)</f>
        <v/>
      </c>
      <c r="I3018" s="316" t="str">
        <f t="array" ref="I3018">XLOOKUP(B3018,Roster!L:L,Roster!O:O,XLOOKUP(D3018,TicketsBreak!A:A,TicketsBreak!F:F,"",0),0)</f>
        <v/>
      </c>
      <c r="J3018" s="316" t="str">
        <f t="array" ref="J3018">XLOOKUP(B3018,Roster!L:L,Roster!P:P,XLOOKUP(D3018,TicketsBreak!A:A,TicketsBreak!G:G,"",0),0)</f>
        <v/>
      </c>
      <c r="K3018" s="310">
        <f t="shared" si="4"/>
        <v>46137</v>
      </c>
      <c r="L3018" s="317">
        <f t="array" ref="L3018">(XLOOKUP(D3018,Roster!F:F,Roster!D:D,"",0))</f>
        <v>38</v>
      </c>
      <c r="M3018" s="317" t="str">
        <f t="array" ref="M3018">XLOOKUP(D3018,Roster!F:F,Roster!E:E)</f>
        <v>Voice</v>
      </c>
      <c r="N3018" s="317" t="str">
        <f t="shared" ref="N3018:P3018" si="3060">LEFT(H3018,5)</f>
        <v/>
      </c>
      <c r="O3018" s="317" t="str">
        <f t="shared" si="3060"/>
        <v/>
      </c>
      <c r="P3018" s="317" t="str">
        <f t="shared" si="3060"/>
        <v/>
      </c>
      <c r="Q3018" s="318" t="str">
        <f t="shared" si="2933"/>
        <v/>
      </c>
      <c r="R3018" s="318" t="str">
        <f t="shared" si="2934"/>
        <v/>
      </c>
      <c r="S3018" s="318" t="str">
        <f t="shared" si="8"/>
        <v/>
      </c>
    </row>
    <row r="3019">
      <c r="A3019" s="14" t="str">
        <f t="shared" si="1"/>
        <v>C53446137</v>
      </c>
      <c r="B3019" s="185" t="str">
        <f t="array" ref="B3019">IF(F3019="VL","",IF(F3019="Free","Free",XLOOKUP(D3019,Roster!T:T,Roster!S:S,"",0)))</f>
        <v>Free</v>
      </c>
      <c r="C3019" s="313">
        <v>46137.0</v>
      </c>
      <c r="D3019" s="314" t="s">
        <v>177</v>
      </c>
      <c r="E3019" s="307" t="str">
        <f t="array" ref="E3019">(XLOOKUP(D3019,Roster!F:F,Roster!B:B,"",0))</f>
        <v>Leandry La Rosa</v>
      </c>
      <c r="F3019" s="315" t="str">
        <f t="array" ref="F3019">IF(B3019=100,"Free",TEXT(XLOOKUP($D3019,OperationVoice!$A:$A,OperationVoice!AE:AE,XLOOKUP($D3019,OperationTickets!$A:$A,OperationTickets!AE:AE,"",0)),"hh:mm"))</f>
        <v>Free</v>
      </c>
      <c r="G3019" s="309" t="str">
        <f t="shared" si="3"/>
        <v>Free</v>
      </c>
      <c r="H3019" s="316">
        <f t="array" ref="H3019">XLOOKUP(B3019,Roster!L:L,Roster!N:N,XLOOKUP(D3019,TicketsBreak!A:A,TicketsBreak!E:E,"",0),0)</f>
        <v>0.40625</v>
      </c>
      <c r="I3019" s="316">
        <f t="array" ref="I3019">XLOOKUP(B3019,Roster!L:L,Roster!O:O,XLOOKUP(D3019,TicketsBreak!A:A,TicketsBreak!F:F,"",0),0)</f>
        <v>0.5416666667</v>
      </c>
      <c r="J3019" s="316">
        <f t="array" ref="J3019">XLOOKUP(B3019,Roster!L:L,Roster!P:P,XLOOKUP(D3019,TicketsBreak!A:A,TicketsBreak!G:G,"",0),0)</f>
        <v>0.65625</v>
      </c>
      <c r="K3019" s="310">
        <f t="shared" si="4"/>
        <v>46137</v>
      </c>
      <c r="L3019" s="317">
        <f t="array" ref="L3019">(XLOOKUP(D3019,Roster!F:F,Roster!D:D,"",0))</f>
        <v>1</v>
      </c>
      <c r="M3019" s="317" t="str">
        <f t="array" ref="M3019">XLOOKUP(D3019,Roster!F:F,Roster!E:E)</f>
        <v>Tickets</v>
      </c>
      <c r="N3019" s="317" t="str">
        <f t="shared" ref="N3019:P3019" si="3061">LEFT(H3019,5)</f>
        <v>09:45</v>
      </c>
      <c r="O3019" s="317" t="str">
        <f t="shared" si="3061"/>
        <v>13:00</v>
      </c>
      <c r="P3019" s="317" t="str">
        <f t="shared" si="3061"/>
        <v>15:45</v>
      </c>
      <c r="Q3019" s="318">
        <f t="shared" si="2933"/>
        <v>46137.40625</v>
      </c>
      <c r="R3019" s="318">
        <f t="shared" si="2934"/>
        <v>46137.54167</v>
      </c>
      <c r="S3019" s="318">
        <f t="shared" si="8"/>
        <v>46137.65625</v>
      </c>
    </row>
    <row r="3020">
      <c r="A3020" s="14" t="str">
        <f t="shared" si="1"/>
        <v>C157846137</v>
      </c>
      <c r="B3020" s="185">
        <f t="array" ref="B3020">IF(F3020="VL","",IF(F3020="Free","Free",XLOOKUP(D3020,Roster!T:T,Roster!S:S,"",0)))</f>
        <v>125</v>
      </c>
      <c r="C3020" s="313">
        <v>46137.0</v>
      </c>
      <c r="D3020" s="314" t="s">
        <v>56</v>
      </c>
      <c r="E3020" s="307" t="str">
        <f t="array" ref="E3020">(XLOOKUP(D3020,Roster!F:F,Roster!B:B,"",0))</f>
        <v>Leonerrichi Caicedo</v>
      </c>
      <c r="F3020" s="315" t="str">
        <f t="array" ref="F3020">IF(B3020=100,"Free",TEXT(XLOOKUP($D3020,OperationVoice!$A:$A,OperationVoice!AE:AE,XLOOKUP($D3020,OperationTickets!$A:$A,OperationTickets!AE:AE,"",0)),"hh:mm"))</f>
        <v>08:00</v>
      </c>
      <c r="G3020" s="309">
        <f t="shared" si="3"/>
        <v>0.7083333333</v>
      </c>
      <c r="H3020" s="316" t="str">
        <f t="array" ref="H3020">XLOOKUP(B3020,Roster!L:L,Roster!N:N,XLOOKUP(D3020,TicketsBreak!A:A,TicketsBreak!E:E,"",0),0)</f>
        <v>10:30 - 10:45</v>
      </c>
      <c r="I3020" s="316" t="str">
        <f t="array" ref="I3020">XLOOKUP(B3020,Roster!L:L,Roster!O:O,XLOOKUP(D3020,TicketsBreak!A:A,TicketsBreak!F:F,"",0),0)</f>
        <v>13:30 - 14:00</v>
      </c>
      <c r="J3020" s="316" t="str">
        <f t="array" ref="J3020">XLOOKUP(B3020,Roster!L:L,Roster!P:P,XLOOKUP(D3020,TicketsBreak!A:A,TicketsBreak!G:G,"",0),0)</f>
        <v>15:45 - 16:00</v>
      </c>
      <c r="K3020" s="310">
        <f t="shared" si="4"/>
        <v>46137</v>
      </c>
      <c r="L3020" s="317">
        <f t="array" ref="L3020">(XLOOKUP(D3020,Roster!F:F,Roster!D:D,"",0))</f>
        <v>38</v>
      </c>
      <c r="M3020" s="317" t="str">
        <f t="array" ref="M3020">XLOOKUP(D3020,Roster!F:F,Roster!E:E)</f>
        <v>Voice</v>
      </c>
      <c r="N3020" s="317" t="str">
        <f t="shared" ref="N3020:P3020" si="3062">LEFT(H3020,5)</f>
        <v>10:30</v>
      </c>
      <c r="O3020" s="317" t="str">
        <f t="shared" si="3062"/>
        <v>13:30</v>
      </c>
      <c r="P3020" s="317" t="str">
        <f t="shared" si="3062"/>
        <v>15:45</v>
      </c>
      <c r="Q3020" s="318">
        <f t="shared" si="2933"/>
        <v>46137.4375</v>
      </c>
      <c r="R3020" s="318">
        <f t="shared" si="2934"/>
        <v>46137.5625</v>
      </c>
      <c r="S3020" s="318">
        <f t="shared" si="8"/>
        <v>46137.65625</v>
      </c>
    </row>
    <row r="3021">
      <c r="A3021" s="14" t="str">
        <f t="shared" si="1"/>
        <v>C53546137</v>
      </c>
      <c r="B3021" s="185" t="str">
        <f t="array" ref="B3021">IF(F3021="VL","",IF(F3021="Free","Free",XLOOKUP(D3021,Roster!T:T,Roster!S:S,"",0)))</f>
        <v>Free</v>
      </c>
      <c r="C3021" s="313">
        <v>46137.0</v>
      </c>
      <c r="D3021" s="314" t="s">
        <v>145</v>
      </c>
      <c r="E3021" s="307" t="str">
        <f t="array" ref="E3021">(XLOOKUP(D3021,Roster!F:F,Roster!B:B,"",0))</f>
        <v>Lina Cadena</v>
      </c>
      <c r="F3021" s="315" t="str">
        <f t="array" ref="F3021">IF(B3021=100,"Free",TEXT(XLOOKUP($D3021,OperationVoice!$A:$A,OperationVoice!AE:AE,XLOOKUP($D3021,OperationTickets!$A:$A,OperationTickets!AE:AE,"",0)),"hh:mm"))</f>
        <v>Free</v>
      </c>
      <c r="G3021" s="309" t="str">
        <f t="shared" si="3"/>
        <v>Free</v>
      </c>
      <c r="H3021" s="316">
        <f t="array" ref="H3021">XLOOKUP(B3021,Roster!L:L,Roster!N:N,XLOOKUP(D3021,TicketsBreak!A:A,TicketsBreak!E:E,"",0),0)</f>
        <v>0.3854166667</v>
      </c>
      <c r="I3021" s="316">
        <f t="array" ref="I3021">XLOOKUP(B3021,Roster!L:L,Roster!O:O,XLOOKUP(D3021,TicketsBreak!A:A,TicketsBreak!F:F,"",0),0)</f>
        <v>0.5833333333</v>
      </c>
      <c r="J3021" s="316">
        <f t="array" ref="J3021">XLOOKUP(B3021,Roster!L:L,Roster!P:P,XLOOKUP(D3021,TicketsBreak!A:A,TicketsBreak!G:G,"",0),0)</f>
        <v>0.6458333333</v>
      </c>
      <c r="K3021" s="310">
        <f t="shared" si="4"/>
        <v>46137</v>
      </c>
      <c r="L3021" s="317">
        <f t="array" ref="L3021">(XLOOKUP(D3021,Roster!F:F,Roster!D:D,"",0))</f>
        <v>2</v>
      </c>
      <c r="M3021" s="317" t="str">
        <f t="array" ref="M3021">XLOOKUP(D3021,Roster!F:F,Roster!E:E)</f>
        <v>Tickets</v>
      </c>
      <c r="N3021" s="317" t="str">
        <f t="shared" ref="N3021:P3021" si="3063">LEFT(H3021,5)</f>
        <v>09:15</v>
      </c>
      <c r="O3021" s="317" t="str">
        <f t="shared" si="3063"/>
        <v>14:00</v>
      </c>
      <c r="P3021" s="317" t="str">
        <f t="shared" si="3063"/>
        <v>15:30</v>
      </c>
      <c r="Q3021" s="318">
        <f t="shared" si="2933"/>
        <v>46137.38542</v>
      </c>
      <c r="R3021" s="318">
        <f t="shared" si="2934"/>
        <v>46137.58333</v>
      </c>
      <c r="S3021" s="318">
        <f t="shared" si="8"/>
        <v>46137.64583</v>
      </c>
    </row>
    <row r="3022">
      <c r="A3022" s="14" t="str">
        <f t="shared" si="1"/>
        <v>C151746137</v>
      </c>
      <c r="B3022" s="185" t="str">
        <f t="array" ref="B3022">IF(F3022="VL","",IF(F3022="Free","Free",XLOOKUP(D3022,Roster!T:T,Roster!S:S,"",0)))</f>
        <v>Free</v>
      </c>
      <c r="C3022" s="313">
        <v>46137.0</v>
      </c>
      <c r="D3022" s="314" t="s">
        <v>57</v>
      </c>
      <c r="E3022" s="307" t="str">
        <f t="array" ref="E3022">(XLOOKUP(D3022,Roster!F:F,Roster!B:B,"",0))</f>
        <v>Lisandro Alvarado</v>
      </c>
      <c r="F3022" s="315" t="str">
        <f t="array" ref="F3022">IF(B3022=100,"Free",TEXT(XLOOKUP($D3022,OperationVoice!$A:$A,OperationVoice!AE:AE,XLOOKUP($D3022,OperationTickets!$A:$A,OperationTickets!AE:AE,"",0)),"hh:mm"))</f>
        <v>Free</v>
      </c>
      <c r="G3022" s="309" t="str">
        <f t="shared" si="3"/>
        <v>Free</v>
      </c>
      <c r="H3022" s="316" t="str">
        <f t="array" ref="H3022">XLOOKUP(B3022,Roster!L:L,Roster!N:N,XLOOKUP(D3022,TicketsBreak!A:A,TicketsBreak!E:E,"",0),0)</f>
        <v/>
      </c>
      <c r="I3022" s="316" t="str">
        <f t="array" ref="I3022">XLOOKUP(B3022,Roster!L:L,Roster!O:O,XLOOKUP(D3022,TicketsBreak!A:A,TicketsBreak!F:F,"",0),0)</f>
        <v/>
      </c>
      <c r="J3022" s="316" t="str">
        <f t="array" ref="J3022">XLOOKUP(B3022,Roster!L:L,Roster!P:P,XLOOKUP(D3022,TicketsBreak!A:A,TicketsBreak!G:G,"",0),0)</f>
        <v/>
      </c>
      <c r="K3022" s="310">
        <f t="shared" si="4"/>
        <v>46137</v>
      </c>
      <c r="L3022" s="317">
        <f t="array" ref="L3022">(XLOOKUP(D3022,Roster!F:F,Roster!D:D,"",0))</f>
        <v>35</v>
      </c>
      <c r="M3022" s="317" t="str">
        <f t="array" ref="M3022">XLOOKUP(D3022,Roster!F:F,Roster!E:E)</f>
        <v>Voice</v>
      </c>
      <c r="N3022" s="317" t="str">
        <f t="shared" ref="N3022:P3022" si="3064">LEFT(H3022,5)</f>
        <v/>
      </c>
      <c r="O3022" s="317" t="str">
        <f t="shared" si="3064"/>
        <v/>
      </c>
      <c r="P3022" s="317" t="str">
        <f t="shared" si="3064"/>
        <v/>
      </c>
      <c r="Q3022" s="318" t="str">
        <f t="shared" si="2933"/>
        <v/>
      </c>
      <c r="R3022" s="318" t="str">
        <f t="shared" si="2934"/>
        <v/>
      </c>
      <c r="S3022" s="318" t="str">
        <f t="shared" si="8"/>
        <v/>
      </c>
    </row>
    <row r="3023">
      <c r="A3023" s="14" t="str">
        <f t="shared" si="1"/>
        <v>C143346137</v>
      </c>
      <c r="B3023" s="185" t="str">
        <f t="array" ref="B3023">IF(F3023="VL","",IF(F3023="Free","Free",XLOOKUP(D3023,Roster!T:T,Roster!S:S,"",0)))</f>
        <v>Free</v>
      </c>
      <c r="C3023" s="313">
        <v>46137.0</v>
      </c>
      <c r="D3023" s="314" t="s">
        <v>58</v>
      </c>
      <c r="E3023" s="307" t="str">
        <f t="array" ref="E3023">(XLOOKUP(D3023,Roster!F:F,Roster!B:B,"",0))</f>
        <v>Luis Lopez</v>
      </c>
      <c r="F3023" s="315" t="str">
        <f t="array" ref="F3023">IF(B3023=100,"Free",TEXT(XLOOKUP($D3023,OperationVoice!$A:$A,OperationVoice!AE:AE,XLOOKUP($D3023,OperationTickets!$A:$A,OperationTickets!AE:AE,"",0)),"hh:mm"))</f>
        <v>Free</v>
      </c>
      <c r="G3023" s="309" t="str">
        <f t="shared" si="3"/>
        <v>Free</v>
      </c>
      <c r="H3023" s="316" t="str">
        <f t="array" ref="H3023">XLOOKUP(B3023,Roster!L:L,Roster!N:N,XLOOKUP(D3023,TicketsBreak!A:A,TicketsBreak!E:E,"",0),0)</f>
        <v/>
      </c>
      <c r="I3023" s="316" t="str">
        <f t="array" ref="I3023">XLOOKUP(B3023,Roster!L:L,Roster!O:O,XLOOKUP(D3023,TicketsBreak!A:A,TicketsBreak!F:F,"",0),0)</f>
        <v/>
      </c>
      <c r="J3023" s="316" t="str">
        <f t="array" ref="J3023">XLOOKUP(B3023,Roster!L:L,Roster!P:P,XLOOKUP(D3023,TicketsBreak!A:A,TicketsBreak!G:G,"",0),0)</f>
        <v/>
      </c>
      <c r="K3023" s="310">
        <f t="shared" si="4"/>
        <v>46137</v>
      </c>
      <c r="L3023" s="317">
        <f t="array" ref="L3023">(XLOOKUP(D3023,Roster!F:F,Roster!D:D,"",0))</f>
        <v>32</v>
      </c>
      <c r="M3023" s="317" t="str">
        <f t="array" ref="M3023">XLOOKUP(D3023,Roster!F:F,Roster!E:E)</f>
        <v>Voice</v>
      </c>
      <c r="N3023" s="317" t="str">
        <f t="shared" ref="N3023:P3023" si="3065">LEFT(H3023,5)</f>
        <v/>
      </c>
      <c r="O3023" s="317" t="str">
        <f t="shared" si="3065"/>
        <v/>
      </c>
      <c r="P3023" s="317" t="str">
        <f t="shared" si="3065"/>
        <v/>
      </c>
      <c r="Q3023" s="318" t="str">
        <f t="shared" si="2933"/>
        <v/>
      </c>
      <c r="R3023" s="318" t="str">
        <f t="shared" si="2934"/>
        <v/>
      </c>
      <c r="S3023" s="318" t="str">
        <f t="shared" si="8"/>
        <v/>
      </c>
    </row>
    <row r="3024">
      <c r="A3024" s="14" t="str">
        <f t="shared" si="1"/>
        <v>C153446137</v>
      </c>
      <c r="B3024" s="185" t="str">
        <f t="array" ref="B3024">IF(F3024="VL","",IF(F3024="Free","Free",XLOOKUP(D3024,Roster!T:T,Roster!S:S,"",0)))</f>
        <v>Free</v>
      </c>
      <c r="C3024" s="313">
        <v>46137.0</v>
      </c>
      <c r="D3024" s="314" t="s">
        <v>59</v>
      </c>
      <c r="E3024" s="307" t="str">
        <f t="array" ref="E3024">(XLOOKUP(D3024,Roster!F:F,Roster!B:B,"",0))</f>
        <v>Luis Munoz</v>
      </c>
      <c r="F3024" s="315" t="str">
        <f t="array" ref="F3024">IF(B3024=100,"Free",TEXT(XLOOKUP($D3024,OperationVoice!$A:$A,OperationVoice!AE:AE,XLOOKUP($D3024,OperationTickets!$A:$A,OperationTickets!AE:AE,"",0)),"hh:mm"))</f>
        <v>Free</v>
      </c>
      <c r="G3024" s="309" t="str">
        <f t="shared" si="3"/>
        <v>Free</v>
      </c>
      <c r="H3024" s="316" t="str">
        <f t="array" ref="H3024">XLOOKUP(B3024,Roster!L:L,Roster!N:N,XLOOKUP(D3024,TicketsBreak!A:A,TicketsBreak!E:E,"",0),0)</f>
        <v/>
      </c>
      <c r="I3024" s="316" t="str">
        <f t="array" ref="I3024">XLOOKUP(B3024,Roster!L:L,Roster!O:O,XLOOKUP(D3024,TicketsBreak!A:A,TicketsBreak!F:F,"",0),0)</f>
        <v/>
      </c>
      <c r="J3024" s="316" t="str">
        <f t="array" ref="J3024">XLOOKUP(B3024,Roster!L:L,Roster!P:P,XLOOKUP(D3024,TicketsBreak!A:A,TicketsBreak!G:G,"",0),0)</f>
        <v/>
      </c>
      <c r="K3024" s="310">
        <f t="shared" si="4"/>
        <v>46137</v>
      </c>
      <c r="L3024" s="317">
        <f t="array" ref="L3024">(XLOOKUP(D3024,Roster!F:F,Roster!D:D,"",0))</f>
        <v>36</v>
      </c>
      <c r="M3024" s="317" t="str">
        <f t="array" ref="M3024">XLOOKUP(D3024,Roster!F:F,Roster!E:E)</f>
        <v>Voice</v>
      </c>
      <c r="N3024" s="317" t="str">
        <f t="shared" ref="N3024:P3024" si="3066">LEFT(H3024,5)</f>
        <v/>
      </c>
      <c r="O3024" s="317" t="str">
        <f t="shared" si="3066"/>
        <v/>
      </c>
      <c r="P3024" s="317" t="str">
        <f t="shared" si="3066"/>
        <v/>
      </c>
      <c r="Q3024" s="318" t="str">
        <f t="shared" si="2933"/>
        <v/>
      </c>
      <c r="R3024" s="318" t="str">
        <f t="shared" si="2934"/>
        <v/>
      </c>
      <c r="S3024" s="318" t="str">
        <f t="shared" si="8"/>
        <v/>
      </c>
    </row>
    <row r="3025">
      <c r="A3025" s="14" t="str">
        <f t="shared" si="1"/>
        <v>C53846137</v>
      </c>
      <c r="B3025" s="185" t="str">
        <f t="array" ref="B3025">IF(F3025="VL","",IF(F3025="Free","Free",XLOOKUP(D3025,Roster!T:T,Roster!S:S,"",0)))</f>
        <v>Free</v>
      </c>
      <c r="C3025" s="313">
        <v>46137.0</v>
      </c>
      <c r="D3025" s="314" t="s">
        <v>165</v>
      </c>
      <c r="E3025" s="307" t="str">
        <f t="array" ref="E3025">(XLOOKUP(D3025,Roster!F:F,Roster!B:B,"",0))</f>
        <v>Luisa Arenas</v>
      </c>
      <c r="F3025" s="315" t="str">
        <f t="array" ref="F3025">IF(B3025=100,"Free",TEXT(XLOOKUP($D3025,OperationVoice!$A:$A,OperationVoice!AE:AE,XLOOKUP($D3025,OperationTickets!$A:$A,OperationTickets!AE:AE,"",0)),"hh:mm"))</f>
        <v>Free</v>
      </c>
      <c r="G3025" s="309" t="str">
        <f t="shared" si="3"/>
        <v>Free</v>
      </c>
      <c r="H3025" s="316" t="str">
        <f t="array" ref="H3025">XLOOKUP(B3025,Roster!L:L,Roster!N:N,XLOOKUP(D3025,TicketsBreak!A:A,TicketsBreak!E:E,"",0),0)</f>
        <v/>
      </c>
      <c r="I3025" s="316" t="str">
        <f t="array" ref="I3025">XLOOKUP(B3025,Roster!L:L,Roster!O:O,XLOOKUP(D3025,TicketsBreak!A:A,TicketsBreak!F:F,"",0),0)</f>
        <v/>
      </c>
      <c r="J3025" s="316" t="str">
        <f t="array" ref="J3025">XLOOKUP(B3025,Roster!L:L,Roster!P:P,XLOOKUP(D3025,TicketsBreak!A:A,TicketsBreak!G:G,"",0),0)</f>
        <v/>
      </c>
      <c r="K3025" s="310">
        <f t="shared" si="4"/>
        <v>46137</v>
      </c>
      <c r="L3025" s="317">
        <f t="array" ref="L3025">(XLOOKUP(D3025,Roster!F:F,Roster!D:D,"",0))</f>
        <v>35</v>
      </c>
      <c r="M3025" s="317" t="str">
        <f t="array" ref="M3025">XLOOKUP(D3025,Roster!F:F,Roster!E:E)</f>
        <v>Tickets</v>
      </c>
      <c r="N3025" s="317" t="str">
        <f t="shared" ref="N3025:P3025" si="3067">LEFT(H3025,5)</f>
        <v/>
      </c>
      <c r="O3025" s="317" t="str">
        <f t="shared" si="3067"/>
        <v/>
      </c>
      <c r="P3025" s="317" t="str">
        <f t="shared" si="3067"/>
        <v/>
      </c>
      <c r="Q3025" s="318" t="str">
        <f t="shared" si="2933"/>
        <v/>
      </c>
      <c r="R3025" s="318" t="str">
        <f t="shared" si="2934"/>
        <v/>
      </c>
      <c r="S3025" s="318" t="str">
        <f t="shared" si="8"/>
        <v/>
      </c>
    </row>
    <row r="3026">
      <c r="A3026" s="14" t="str">
        <f t="shared" si="1"/>
        <v>C113646137</v>
      </c>
      <c r="B3026" s="185" t="str">
        <f t="array" ref="B3026">IF(F3026="VL","",IF(F3026="Free","Free",XLOOKUP(D3026,Roster!T:T,Roster!S:S,"",0)))</f>
        <v>Free</v>
      </c>
      <c r="C3026" s="313">
        <v>46137.0</v>
      </c>
      <c r="D3026" s="314" t="s">
        <v>60</v>
      </c>
      <c r="E3026" s="307" t="str">
        <f t="array" ref="E3026">(XLOOKUP(D3026,Roster!F:F,Roster!B:B,"",0))</f>
        <v>Luisa Gonzalez</v>
      </c>
      <c r="F3026" s="315" t="str">
        <f t="array" ref="F3026">IF(B3026=100,"Free",TEXT(XLOOKUP($D3026,OperationVoice!$A:$A,OperationVoice!AE:AE,XLOOKUP($D3026,OperationTickets!$A:$A,OperationTickets!AE:AE,"",0)),"hh:mm"))</f>
        <v>Free</v>
      </c>
      <c r="G3026" s="309" t="str">
        <f t="shared" si="3"/>
        <v>Free</v>
      </c>
      <c r="H3026" s="316" t="str">
        <f t="array" ref="H3026">XLOOKUP(B3026,Roster!L:L,Roster!N:N,XLOOKUP(D3026,TicketsBreak!A:A,TicketsBreak!E:E,"",0),0)</f>
        <v/>
      </c>
      <c r="I3026" s="316" t="str">
        <f t="array" ref="I3026">XLOOKUP(B3026,Roster!L:L,Roster!O:O,XLOOKUP(D3026,TicketsBreak!A:A,TicketsBreak!F:F,"",0),0)</f>
        <v/>
      </c>
      <c r="J3026" s="316" t="str">
        <f t="array" ref="J3026">XLOOKUP(B3026,Roster!L:L,Roster!P:P,XLOOKUP(D3026,TicketsBreak!A:A,TicketsBreak!G:G,"",0),0)</f>
        <v/>
      </c>
      <c r="K3026" s="310">
        <f t="shared" si="4"/>
        <v>46137</v>
      </c>
      <c r="L3026" s="317">
        <f t="array" ref="L3026">(XLOOKUP(D3026,Roster!F:F,Roster!D:D,"",0))</f>
        <v>22</v>
      </c>
      <c r="M3026" s="317" t="str">
        <f t="array" ref="M3026">XLOOKUP(D3026,Roster!F:F,Roster!E:E)</f>
        <v>Voice</v>
      </c>
      <c r="N3026" s="317" t="str">
        <f t="shared" ref="N3026:P3026" si="3068">LEFT(H3026,5)</f>
        <v/>
      </c>
      <c r="O3026" s="317" t="str">
        <f t="shared" si="3068"/>
        <v/>
      </c>
      <c r="P3026" s="317" t="str">
        <f t="shared" si="3068"/>
        <v/>
      </c>
      <c r="Q3026" s="318" t="str">
        <f t="shared" si="2933"/>
        <v/>
      </c>
      <c r="R3026" s="318" t="str">
        <f t="shared" si="2934"/>
        <v/>
      </c>
      <c r="S3026" s="318" t="str">
        <f t="shared" si="8"/>
        <v/>
      </c>
    </row>
    <row r="3027">
      <c r="A3027" s="14" t="str">
        <f t="shared" si="1"/>
        <v>C157746137</v>
      </c>
      <c r="B3027" s="185" t="str">
        <f t="array" ref="B3027">IF(F3027="VL","",IF(F3027="Free","Free",XLOOKUP(D3027,Roster!T:T,Roster!S:S,"",0)))</f>
        <v>Free</v>
      </c>
      <c r="C3027" s="313">
        <v>46137.0</v>
      </c>
      <c r="D3027" s="314" t="s">
        <v>61</v>
      </c>
      <c r="E3027" s="307" t="str">
        <f t="array" ref="E3027">(XLOOKUP(D3027,Roster!F:F,Roster!B:B,"",0))</f>
        <v>Luna Morales</v>
      </c>
      <c r="F3027" s="315" t="str">
        <f t="array" ref="F3027">IF(B3027=100,"Free",TEXT(XLOOKUP($D3027,OperationVoice!$A:$A,OperationVoice!AE:AE,XLOOKUP($D3027,OperationTickets!$A:$A,OperationTickets!AE:AE,"",0)),"hh:mm"))</f>
        <v>Free</v>
      </c>
      <c r="G3027" s="309" t="str">
        <f t="shared" si="3"/>
        <v>Free</v>
      </c>
      <c r="H3027" s="316" t="str">
        <f t="array" ref="H3027">XLOOKUP(B3027,Roster!L:L,Roster!N:N,XLOOKUP(D3027,TicketsBreak!A:A,TicketsBreak!E:E,"",0),0)</f>
        <v/>
      </c>
      <c r="I3027" s="316" t="str">
        <f t="array" ref="I3027">XLOOKUP(B3027,Roster!L:L,Roster!O:O,XLOOKUP(D3027,TicketsBreak!A:A,TicketsBreak!F:F,"",0),0)</f>
        <v/>
      </c>
      <c r="J3027" s="316" t="str">
        <f t="array" ref="J3027">XLOOKUP(B3027,Roster!L:L,Roster!P:P,XLOOKUP(D3027,TicketsBreak!A:A,TicketsBreak!G:G,"",0),0)</f>
        <v/>
      </c>
      <c r="K3027" s="310">
        <f t="shared" si="4"/>
        <v>46137</v>
      </c>
      <c r="L3027" s="317">
        <f t="array" ref="L3027">(XLOOKUP(D3027,Roster!F:F,Roster!D:D,"",0))</f>
        <v>38</v>
      </c>
      <c r="M3027" s="317" t="str">
        <f t="array" ref="M3027">XLOOKUP(D3027,Roster!F:F,Roster!E:E)</f>
        <v>Voice</v>
      </c>
      <c r="N3027" s="317" t="str">
        <f t="shared" ref="N3027:P3027" si="3069">LEFT(H3027,5)</f>
        <v/>
      </c>
      <c r="O3027" s="317" t="str">
        <f t="shared" si="3069"/>
        <v/>
      </c>
      <c r="P3027" s="317" t="str">
        <f t="shared" si="3069"/>
        <v/>
      </c>
      <c r="Q3027" s="318" t="str">
        <f t="shared" si="2933"/>
        <v/>
      </c>
      <c r="R3027" s="318" t="str">
        <f t="shared" si="2934"/>
        <v/>
      </c>
      <c r="S3027" s="318" t="str">
        <f t="shared" si="8"/>
        <v/>
      </c>
    </row>
    <row r="3028">
      <c r="A3028" s="14" t="str">
        <f t="shared" si="1"/>
        <v>C121946137</v>
      </c>
      <c r="B3028" s="185" t="str">
        <f t="array" ref="B3028">IF(F3028="VL","",IF(F3028="Free","Free",XLOOKUP(D3028,Roster!T:T,Roster!S:S,"",0)))</f>
        <v/>
      </c>
      <c r="C3028" s="313">
        <v>46137.0</v>
      </c>
      <c r="D3028" s="314" t="s">
        <v>146</v>
      </c>
      <c r="E3028" s="307" t="str">
        <f t="array" ref="E3028">(XLOOKUP(D3028,Roster!F:F,Roster!B:B,"",0))</f>
        <v>Madelyn Jaramillo</v>
      </c>
      <c r="F3028" s="315" t="str">
        <f t="array" ref="F3028">IF(B3028=100,"Free",TEXT(XLOOKUP($D3028,OperationVoice!$A:$A,OperationVoice!AE:AE,XLOOKUP($D3028,OperationTickets!$A:$A,OperationTickets!AE:AE,"",0)),"hh:mm"))</f>
        <v>08:00</v>
      </c>
      <c r="G3028" s="309">
        <f t="shared" si="3"/>
        <v>0.7083333333</v>
      </c>
      <c r="H3028" s="316" t="str">
        <f t="array" ref="H3028">XLOOKUP(B3028,Roster!L:L,Roster!N:N,XLOOKUP(D3028,TicketsBreak!A:A,TicketsBreak!E:E,"",0),0)</f>
        <v/>
      </c>
      <c r="I3028" s="316" t="str">
        <f t="array" ref="I3028">XLOOKUP(B3028,Roster!L:L,Roster!O:O,XLOOKUP(D3028,TicketsBreak!A:A,TicketsBreak!F:F,"",0),0)</f>
        <v/>
      </c>
      <c r="J3028" s="316" t="str">
        <f t="array" ref="J3028">XLOOKUP(B3028,Roster!L:L,Roster!P:P,XLOOKUP(D3028,TicketsBreak!A:A,TicketsBreak!G:G,"",0),0)</f>
        <v/>
      </c>
      <c r="K3028" s="310">
        <f t="shared" si="4"/>
        <v>46137</v>
      </c>
      <c r="L3028" s="317">
        <f t="array" ref="L3028">(XLOOKUP(D3028,Roster!F:F,Roster!D:D,"",0))</f>
        <v>26</v>
      </c>
      <c r="M3028" s="317" t="str">
        <f t="array" ref="M3028">XLOOKUP(D3028,Roster!F:F,Roster!E:E)</f>
        <v>Tickets</v>
      </c>
      <c r="N3028" s="317" t="str">
        <f t="shared" ref="N3028:P3028" si="3070">LEFT(H3028,5)</f>
        <v/>
      </c>
      <c r="O3028" s="317" t="str">
        <f t="shared" si="3070"/>
        <v/>
      </c>
      <c r="P3028" s="317" t="str">
        <f t="shared" si="3070"/>
        <v/>
      </c>
      <c r="Q3028" s="318" t="str">
        <f t="shared" si="2933"/>
        <v/>
      </c>
      <c r="R3028" s="318" t="str">
        <f t="shared" si="2934"/>
        <v/>
      </c>
      <c r="S3028" s="318" t="str">
        <f t="shared" si="8"/>
        <v/>
      </c>
    </row>
    <row r="3029">
      <c r="A3029" s="14" t="str">
        <f t="shared" si="1"/>
        <v>C151646137</v>
      </c>
      <c r="B3029" s="185" t="str">
        <f t="array" ref="B3029">IF(F3029="VL","",IF(F3029="Free","Free",XLOOKUP(D3029,Roster!T:T,Roster!S:S,"",0)))</f>
        <v>Free</v>
      </c>
      <c r="C3029" s="313">
        <v>46137.0</v>
      </c>
      <c r="D3029" s="314" t="s">
        <v>62</v>
      </c>
      <c r="E3029" s="307" t="str">
        <f t="array" ref="E3029">(XLOOKUP(D3029,Roster!F:F,Roster!B:B,"",0))</f>
        <v>Magda Foronda</v>
      </c>
      <c r="F3029" s="315" t="str">
        <f t="array" ref="F3029">IF(B3029=100,"Free",TEXT(XLOOKUP($D3029,OperationVoice!$A:$A,OperationVoice!AE:AE,XLOOKUP($D3029,OperationTickets!$A:$A,OperationTickets!AE:AE,"",0)),"hh:mm"))</f>
        <v>Free</v>
      </c>
      <c r="G3029" s="309" t="str">
        <f t="shared" si="3"/>
        <v>Free</v>
      </c>
      <c r="H3029" s="316" t="str">
        <f t="array" ref="H3029">XLOOKUP(B3029,Roster!L:L,Roster!N:N,XLOOKUP(D3029,TicketsBreak!A:A,TicketsBreak!E:E,"",0),0)</f>
        <v/>
      </c>
      <c r="I3029" s="316" t="str">
        <f t="array" ref="I3029">XLOOKUP(B3029,Roster!L:L,Roster!O:O,XLOOKUP(D3029,TicketsBreak!A:A,TicketsBreak!F:F,"",0),0)</f>
        <v/>
      </c>
      <c r="J3029" s="316" t="str">
        <f t="array" ref="J3029">XLOOKUP(B3029,Roster!L:L,Roster!P:P,XLOOKUP(D3029,TicketsBreak!A:A,TicketsBreak!G:G,"",0),0)</f>
        <v/>
      </c>
      <c r="K3029" s="310">
        <f t="shared" si="4"/>
        <v>46137</v>
      </c>
      <c r="L3029" s="317">
        <f t="array" ref="L3029">(XLOOKUP(D3029,Roster!F:F,Roster!D:D,"",0))</f>
        <v>35</v>
      </c>
      <c r="M3029" s="317" t="str">
        <f t="array" ref="M3029">XLOOKUP(D3029,Roster!F:F,Roster!E:E)</f>
        <v>Voice</v>
      </c>
      <c r="N3029" s="317" t="str">
        <f t="shared" ref="N3029:P3029" si="3071">LEFT(H3029,5)</f>
        <v/>
      </c>
      <c r="O3029" s="317" t="str">
        <f t="shared" si="3071"/>
        <v/>
      </c>
      <c r="P3029" s="317" t="str">
        <f t="shared" si="3071"/>
        <v/>
      </c>
      <c r="Q3029" s="318" t="str">
        <f t="shared" si="2933"/>
        <v/>
      </c>
      <c r="R3029" s="318" t="str">
        <f t="shared" si="2934"/>
        <v/>
      </c>
      <c r="S3029" s="318" t="str">
        <f t="shared" si="8"/>
        <v/>
      </c>
    </row>
    <row r="3030">
      <c r="A3030" s="14" t="str">
        <f t="shared" si="1"/>
        <v>C118046137</v>
      </c>
      <c r="B3030" s="185" t="str">
        <f t="array" ref="B3030">IF(F3030="VL","",IF(F3030="Free","Free",XLOOKUP(D3030,Roster!T:T,Roster!S:S,"",0)))</f>
        <v>Free</v>
      </c>
      <c r="C3030" s="313">
        <v>46137.0</v>
      </c>
      <c r="D3030" s="314" t="s">
        <v>147</v>
      </c>
      <c r="E3030" s="307" t="str">
        <f t="array" ref="E3030">(XLOOKUP(D3030,Roster!F:F,Roster!B:B,"",0))</f>
        <v>Manuela Moreno</v>
      </c>
      <c r="F3030" s="315" t="str">
        <f t="array" ref="F3030">IF(B3030=100,"Free",TEXT(XLOOKUP($D3030,OperationVoice!$A:$A,OperationVoice!AE:AE,XLOOKUP($D3030,OperationTickets!$A:$A,OperationTickets!AE:AE,"",0)),"hh:mm"))</f>
        <v>Free</v>
      </c>
      <c r="G3030" s="309" t="str">
        <f t="shared" si="3"/>
        <v>Free</v>
      </c>
      <c r="H3030" s="316" t="str">
        <f t="array" ref="H3030">XLOOKUP(B3030,Roster!L:L,Roster!N:N,XLOOKUP(D3030,TicketsBreak!A:A,TicketsBreak!E:E,"",0),0)</f>
        <v/>
      </c>
      <c r="I3030" s="316" t="str">
        <f t="array" ref="I3030">XLOOKUP(B3030,Roster!L:L,Roster!O:O,XLOOKUP(D3030,TicketsBreak!A:A,TicketsBreak!F:F,"",0),0)</f>
        <v/>
      </c>
      <c r="J3030" s="316" t="str">
        <f t="array" ref="J3030">XLOOKUP(B3030,Roster!L:L,Roster!P:P,XLOOKUP(D3030,TicketsBreak!A:A,TicketsBreak!G:G,"",0),0)</f>
        <v/>
      </c>
      <c r="K3030" s="310">
        <f t="shared" si="4"/>
        <v>46137</v>
      </c>
      <c r="L3030" s="317">
        <f t="array" ref="L3030">(XLOOKUP(D3030,Roster!F:F,Roster!D:D,"",0))</f>
        <v>24</v>
      </c>
      <c r="M3030" s="317" t="str">
        <f t="array" ref="M3030">XLOOKUP(D3030,Roster!F:F,Roster!E:E)</f>
        <v>Tickets</v>
      </c>
      <c r="N3030" s="317" t="str">
        <f t="shared" ref="N3030:P3030" si="3072">LEFT(H3030,5)</f>
        <v/>
      </c>
      <c r="O3030" s="317" t="str">
        <f t="shared" si="3072"/>
        <v/>
      </c>
      <c r="P3030" s="317" t="str">
        <f t="shared" si="3072"/>
        <v/>
      </c>
      <c r="Q3030" s="318" t="str">
        <f>IF(P3030="","",$C3030+N3030)</f>
        <v/>
      </c>
      <c r="R3030" s="318" t="str">
        <f t="shared" si="2934"/>
        <v/>
      </c>
      <c r="S3030" s="318" t="str">
        <f t="shared" si="8"/>
        <v/>
      </c>
    </row>
    <row r="3031">
      <c r="A3031" s="14" t="str">
        <f t="shared" si="1"/>
        <v>C153646137</v>
      </c>
      <c r="B3031" s="185" t="str">
        <f t="array" ref="B3031">IF(F3031="VL","",IF(F3031="Free","Free",XLOOKUP(D3031,Roster!T:T,Roster!S:S,"",0)))</f>
        <v>Free</v>
      </c>
      <c r="C3031" s="313">
        <v>46137.0</v>
      </c>
      <c r="D3031" s="314" t="s">
        <v>63</v>
      </c>
      <c r="E3031" s="307" t="str">
        <f t="array" ref="E3031">(XLOOKUP(D3031,Roster!F:F,Roster!B:B,"",0))</f>
        <v>Maria Mesa</v>
      </c>
      <c r="F3031" s="315" t="str">
        <f t="array" ref="F3031">IF(B3031=100,"Free",TEXT(XLOOKUP($D3031,OperationVoice!$A:$A,OperationVoice!AE:AE,XLOOKUP($D3031,OperationTickets!$A:$A,OperationTickets!AE:AE,"",0)),"hh:mm"))</f>
        <v>Free</v>
      </c>
      <c r="G3031" s="309" t="str">
        <f t="shared" si="3"/>
        <v>Free</v>
      </c>
      <c r="H3031" s="316" t="str">
        <f t="array" ref="H3031">XLOOKUP(B3031,Roster!L:L,Roster!N:N,XLOOKUP(D3031,TicketsBreak!A:A,TicketsBreak!E:E,"",0),0)</f>
        <v/>
      </c>
      <c r="I3031" s="316" t="str">
        <f t="array" ref="I3031">XLOOKUP(B3031,Roster!L:L,Roster!O:O,XLOOKUP(D3031,TicketsBreak!A:A,TicketsBreak!F:F,"",0),0)</f>
        <v/>
      </c>
      <c r="J3031" s="316" t="str">
        <f t="array" ref="J3031">XLOOKUP(B3031,Roster!L:L,Roster!P:P,XLOOKUP(D3031,TicketsBreak!A:A,TicketsBreak!G:G,"",0),0)</f>
        <v/>
      </c>
      <c r="K3031" s="310">
        <f t="shared" si="4"/>
        <v>46137</v>
      </c>
      <c r="L3031" s="317">
        <f t="array" ref="L3031">(XLOOKUP(D3031,Roster!F:F,Roster!D:D,"",0))</f>
        <v>36</v>
      </c>
      <c r="M3031" s="317" t="str">
        <f t="array" ref="M3031">XLOOKUP(D3031,Roster!F:F,Roster!E:E)</f>
        <v>Voice</v>
      </c>
      <c r="N3031" s="317" t="str">
        <f t="shared" ref="N3031:P3031" si="3073">LEFT(H3031,5)</f>
        <v/>
      </c>
      <c r="O3031" s="317" t="str">
        <f t="shared" si="3073"/>
        <v/>
      </c>
      <c r="P3031" s="317" t="str">
        <f t="shared" si="3073"/>
        <v/>
      </c>
      <c r="Q3031" s="318" t="str">
        <f t="shared" ref="Q3031:Q3169" si="3075">IF(N3031="","",$C3031+N3031)</f>
        <v/>
      </c>
      <c r="R3031" s="318" t="str">
        <f t="shared" si="2934"/>
        <v/>
      </c>
      <c r="S3031" s="318" t="str">
        <f t="shared" si="8"/>
        <v/>
      </c>
    </row>
    <row r="3032">
      <c r="A3032" s="14" t="str">
        <f t="shared" si="1"/>
        <v>C74046137</v>
      </c>
      <c r="B3032" s="185" t="str">
        <f t="array" ref="B3032">IF(F3032="VL","",IF(F3032="Free","Free",XLOOKUP(D3032,Roster!T:T,Roster!S:S,"",0)))</f>
        <v/>
      </c>
      <c r="C3032" s="313">
        <v>46137.0</v>
      </c>
      <c r="D3032" s="314" t="s">
        <v>166</v>
      </c>
      <c r="E3032" s="307" t="str">
        <f t="array" ref="E3032">(XLOOKUP(D3032,Roster!F:F,Roster!B:B,"",0))</f>
        <v>Mateo Agudelo</v>
      </c>
      <c r="F3032" s="315" t="str">
        <f t="array" ref="F3032">IF(B3032=100,"Free",TEXT(XLOOKUP($D3032,OperationVoice!$A:$A,OperationVoice!AE:AE,XLOOKUP($D3032,OperationTickets!$A:$A,OperationTickets!AE:AE,"",0)),"hh:mm"))</f>
        <v>VL</v>
      </c>
      <c r="G3032" s="309" t="str">
        <f t="shared" si="3"/>
        <v>VL</v>
      </c>
      <c r="H3032" s="316">
        <f t="array" ref="H3032">XLOOKUP(B3032,Roster!L:L,Roster!N:N,XLOOKUP(D3032,TicketsBreak!A:A,TicketsBreak!E:E,"",0),0)</f>
        <v>0.4166666667</v>
      </c>
      <c r="I3032" s="316">
        <f t="array" ref="I3032">XLOOKUP(B3032,Roster!L:L,Roster!O:O,XLOOKUP(D3032,TicketsBreak!A:A,TicketsBreak!F:F,"",0),0)</f>
        <v>0.5</v>
      </c>
      <c r="J3032" s="316">
        <f t="array" ref="J3032">XLOOKUP(B3032,Roster!L:L,Roster!P:P,XLOOKUP(D3032,TicketsBreak!A:A,TicketsBreak!G:G,"",0),0)</f>
        <v>0.65625</v>
      </c>
      <c r="K3032" s="310">
        <f t="shared" si="4"/>
        <v>46137</v>
      </c>
      <c r="L3032" s="317">
        <f t="array" ref="L3032">(XLOOKUP(D3032,Roster!F:F,Roster!D:D,"",0))</f>
        <v>8</v>
      </c>
      <c r="M3032" s="317" t="str">
        <f t="array" ref="M3032">XLOOKUP(D3032,Roster!F:F,Roster!E:E)</f>
        <v>Tickets</v>
      </c>
      <c r="N3032" s="317" t="str">
        <f t="shared" ref="N3032:P3032" si="3074">LEFT(H3032,5)</f>
        <v>10:00</v>
      </c>
      <c r="O3032" s="317" t="str">
        <f t="shared" si="3074"/>
        <v>12:00</v>
      </c>
      <c r="P3032" s="317" t="str">
        <f t="shared" si="3074"/>
        <v>15:45</v>
      </c>
      <c r="Q3032" s="318">
        <f t="shared" si="3075"/>
        <v>46137.41667</v>
      </c>
      <c r="R3032" s="318">
        <f t="shared" si="2934"/>
        <v>46137.5</v>
      </c>
      <c r="S3032" s="318">
        <f t="shared" si="8"/>
        <v>46137.65625</v>
      </c>
    </row>
    <row r="3033">
      <c r="A3033" s="14" t="str">
        <f t="shared" si="1"/>
        <v>C142946137</v>
      </c>
      <c r="B3033" s="185">
        <f t="array" ref="B3033">IF(F3033="VL","",IF(F3033="Free","Free",XLOOKUP(D3033,Roster!T:T,Roster!S:S,"",0)))</f>
        <v>121</v>
      </c>
      <c r="C3033" s="313">
        <v>46137.0</v>
      </c>
      <c r="D3033" s="314" t="s">
        <v>178</v>
      </c>
      <c r="E3033" s="307" t="str">
        <f t="array" ref="E3033">(XLOOKUP(D3033,Roster!F:F,Roster!B:B,"",0))</f>
        <v>Mateo Vanegas</v>
      </c>
      <c r="F3033" s="315" t="str">
        <f t="array" ref="F3033">IF(B3033=100,"Free",TEXT(XLOOKUP($D3033,OperationVoice!$A:$A,OperationVoice!AE:AE,XLOOKUP($D3033,OperationTickets!$A:$A,OperationTickets!AE:AE,"",0)),"hh:mm"))</f>
        <v>08:00</v>
      </c>
      <c r="G3033" s="309">
        <f t="shared" si="3"/>
        <v>0.7083333333</v>
      </c>
      <c r="H3033" s="316" t="str">
        <f t="array" ref="H3033">XLOOKUP(B3033,Roster!L:L,Roster!N:N,XLOOKUP(D3033,TicketsBreak!A:A,TicketsBreak!E:E,"",0),0)</f>
        <v>09:15 - 09:30</v>
      </c>
      <c r="I3033" s="316" t="str">
        <f t="array" ref="I3033">XLOOKUP(B3033,Roster!L:L,Roster!O:O,XLOOKUP(D3033,TicketsBreak!A:A,TicketsBreak!F:F,"",0),0)</f>
        <v>11:30 - 12:00</v>
      </c>
      <c r="J3033" s="316" t="str">
        <f t="array" ref="J3033">XLOOKUP(B3033,Roster!L:L,Roster!P:P,XLOOKUP(D3033,TicketsBreak!A:A,TicketsBreak!G:G,"",0),0)</f>
        <v>14:30 - 14:45</v>
      </c>
      <c r="K3033" s="310">
        <f t="shared" si="4"/>
        <v>46137</v>
      </c>
      <c r="L3033" s="317">
        <f t="array" ref="L3033">(XLOOKUP(D3033,Roster!F:F,Roster!D:D,"",0))</f>
        <v>32</v>
      </c>
      <c r="M3033" s="317" t="str">
        <f t="array" ref="M3033">XLOOKUP(D3033,Roster!F:F,Roster!E:E)</f>
        <v>Tickets</v>
      </c>
      <c r="N3033" s="317" t="str">
        <f t="shared" ref="N3033:P3033" si="3076">LEFT(H3033,5)</f>
        <v>09:15</v>
      </c>
      <c r="O3033" s="317" t="str">
        <f t="shared" si="3076"/>
        <v>11:30</v>
      </c>
      <c r="P3033" s="317" t="str">
        <f t="shared" si="3076"/>
        <v>14:30</v>
      </c>
      <c r="Q3033" s="318">
        <f t="shared" si="3075"/>
        <v>46137.38542</v>
      </c>
      <c r="R3033" s="318">
        <f t="shared" si="2934"/>
        <v>46137.47917</v>
      </c>
      <c r="S3033" s="318">
        <f t="shared" si="8"/>
        <v>46137.60417</v>
      </c>
    </row>
    <row r="3034">
      <c r="A3034" s="14" t="str">
        <f t="shared" si="1"/>
        <v>C146846137</v>
      </c>
      <c r="B3034" s="185" t="str">
        <f t="array" ref="B3034">IF(F3034="VL","",IF(F3034="Free","Free",XLOOKUP(D3034,Roster!T:T,Roster!S:S,"",0)))</f>
        <v>Free</v>
      </c>
      <c r="C3034" s="313">
        <v>46137.0</v>
      </c>
      <c r="D3034" s="314" t="s">
        <v>64</v>
      </c>
      <c r="E3034" s="307" t="str">
        <f t="array" ref="E3034">(XLOOKUP(D3034,Roster!F:F,Roster!B:B,"",0))</f>
        <v>Miguel Betancur</v>
      </c>
      <c r="F3034" s="315" t="str">
        <f t="array" ref="F3034">IF(B3034=100,"Free",TEXT(XLOOKUP($D3034,OperationVoice!$A:$A,OperationVoice!AE:AE,XLOOKUP($D3034,OperationTickets!$A:$A,OperationTickets!AE:AE,"",0)),"hh:mm"))</f>
        <v>Free</v>
      </c>
      <c r="G3034" s="309" t="str">
        <f t="shared" si="3"/>
        <v>Free</v>
      </c>
      <c r="H3034" s="316" t="str">
        <f t="array" ref="H3034">XLOOKUP(B3034,Roster!L:L,Roster!N:N,XLOOKUP(D3034,TicketsBreak!A:A,TicketsBreak!E:E,"",0),0)</f>
        <v/>
      </c>
      <c r="I3034" s="316" t="str">
        <f t="array" ref="I3034">XLOOKUP(B3034,Roster!L:L,Roster!O:O,XLOOKUP(D3034,TicketsBreak!A:A,TicketsBreak!F:F,"",0),0)</f>
        <v/>
      </c>
      <c r="J3034" s="316" t="str">
        <f t="array" ref="J3034">XLOOKUP(B3034,Roster!L:L,Roster!P:P,XLOOKUP(D3034,TicketsBreak!A:A,TicketsBreak!G:G,"",0),0)</f>
        <v/>
      </c>
      <c r="K3034" s="310">
        <f t="shared" si="4"/>
        <v>46137</v>
      </c>
      <c r="L3034" s="317">
        <f t="array" ref="L3034">(XLOOKUP(D3034,Roster!F:F,Roster!D:D,"",0))</f>
        <v>33</v>
      </c>
      <c r="M3034" s="317" t="str">
        <f t="array" ref="M3034">XLOOKUP(D3034,Roster!F:F,Roster!E:E)</f>
        <v>Voice</v>
      </c>
      <c r="N3034" s="317" t="str">
        <f t="shared" ref="N3034:P3034" si="3077">LEFT(H3034,5)</f>
        <v/>
      </c>
      <c r="O3034" s="317" t="str">
        <f t="shared" si="3077"/>
        <v/>
      </c>
      <c r="P3034" s="317" t="str">
        <f t="shared" si="3077"/>
        <v/>
      </c>
      <c r="Q3034" s="318" t="str">
        <f t="shared" si="3075"/>
        <v/>
      </c>
      <c r="R3034" s="318" t="str">
        <f t="shared" si="2934"/>
        <v/>
      </c>
      <c r="S3034" s="318" t="str">
        <f t="shared" si="8"/>
        <v/>
      </c>
    </row>
    <row r="3035">
      <c r="A3035" s="14" t="str">
        <f t="shared" si="1"/>
        <v>C106546137</v>
      </c>
      <c r="B3035" s="185" t="str">
        <f t="array" ref="B3035">IF(F3035="VL","",IF(F3035="Free","Free",XLOOKUP(D3035,Roster!T:T,Roster!S:S,"",0)))</f>
        <v/>
      </c>
      <c r="C3035" s="313">
        <v>46137.0</v>
      </c>
      <c r="D3035" s="314" t="s">
        <v>148</v>
      </c>
      <c r="E3035" s="307" t="str">
        <f t="array" ref="E3035">(XLOOKUP(D3035,Roster!F:F,Roster!B:B,"",0))</f>
        <v>Miguel Hoyos</v>
      </c>
      <c r="F3035" s="315" t="str">
        <f t="array" ref="F3035">IF(B3035=100,"Free",TEXT(XLOOKUP($D3035,OperationVoice!$A:$A,OperationVoice!AE:AE,XLOOKUP($D3035,OperationTickets!$A:$A,OperationTickets!AE:AE,"",0)),"hh:mm"))</f>
        <v>07:00</v>
      </c>
      <c r="G3035" s="309">
        <f t="shared" si="3"/>
        <v>0.6666666667</v>
      </c>
      <c r="H3035" s="316">
        <f t="array" ref="H3035">XLOOKUP(B3035,Roster!L:L,Roster!N:N,XLOOKUP(D3035,TicketsBreak!A:A,TicketsBreak!E:E,"",0),0)</f>
        <v>0.4583333333</v>
      </c>
      <c r="I3035" s="316">
        <f t="array" ref="I3035">XLOOKUP(B3035,Roster!L:L,Roster!O:O,XLOOKUP(D3035,TicketsBreak!A:A,TicketsBreak!F:F,"",0),0)</f>
        <v>0.5625</v>
      </c>
      <c r="J3035" s="316">
        <f t="array" ref="J3035">XLOOKUP(B3035,Roster!L:L,Roster!P:P,XLOOKUP(D3035,TicketsBreak!A:A,TicketsBreak!G:G,"",0),0)</f>
        <v>0.65625</v>
      </c>
      <c r="K3035" s="310">
        <f t="shared" si="4"/>
        <v>46137</v>
      </c>
      <c r="L3035" s="317">
        <f t="array" ref="L3035">(XLOOKUP(D3035,Roster!F:F,Roster!D:D,"",0))</f>
        <v>17</v>
      </c>
      <c r="M3035" s="317" t="str">
        <f t="array" ref="M3035">XLOOKUP(D3035,Roster!F:F,Roster!E:E)</f>
        <v>Tickets</v>
      </c>
      <c r="N3035" s="317" t="str">
        <f t="shared" ref="N3035:P3035" si="3078">LEFT(H3035,5)</f>
        <v>11:00</v>
      </c>
      <c r="O3035" s="317" t="str">
        <f t="shared" si="3078"/>
        <v>13:30</v>
      </c>
      <c r="P3035" s="317" t="str">
        <f t="shared" si="3078"/>
        <v>15:45</v>
      </c>
      <c r="Q3035" s="318">
        <f t="shared" si="3075"/>
        <v>46137.45833</v>
      </c>
      <c r="R3035" s="318">
        <f t="shared" si="2934"/>
        <v>46137.5625</v>
      </c>
      <c r="S3035" s="318">
        <f t="shared" si="8"/>
        <v>46137.65625</v>
      </c>
    </row>
    <row r="3036">
      <c r="A3036" s="14" t="str">
        <f t="shared" si="1"/>
        <v>C111446137</v>
      </c>
      <c r="B3036" s="185" t="str">
        <f t="array" ref="B3036">IF(F3036="VL","",IF(F3036="Free","Free",XLOOKUP(D3036,Roster!T:T,Roster!S:S,"",0)))</f>
        <v>Free</v>
      </c>
      <c r="C3036" s="313">
        <v>46137.0</v>
      </c>
      <c r="D3036" s="314" t="s">
        <v>65</v>
      </c>
      <c r="E3036" s="307" t="str">
        <f t="array" ref="E3036">(XLOOKUP(D3036,Roster!F:F,Roster!B:B,"",0))</f>
        <v>Mikel Bowie</v>
      </c>
      <c r="F3036" s="315" t="str">
        <f t="array" ref="F3036">IF(B3036=100,"Free",TEXT(XLOOKUP($D3036,OperationVoice!$A:$A,OperationVoice!AE:AE,XLOOKUP($D3036,OperationTickets!$A:$A,OperationTickets!AE:AE,"",0)),"hh:mm"))</f>
        <v>Free</v>
      </c>
      <c r="G3036" s="309" t="str">
        <f t="shared" si="3"/>
        <v>Free</v>
      </c>
      <c r="H3036" s="316" t="str">
        <f t="array" ref="H3036">XLOOKUP(B3036,Roster!L:L,Roster!N:N,XLOOKUP(D3036,TicketsBreak!A:A,TicketsBreak!E:E,"",0),0)</f>
        <v/>
      </c>
      <c r="I3036" s="316" t="str">
        <f t="array" ref="I3036">XLOOKUP(B3036,Roster!L:L,Roster!O:O,XLOOKUP(D3036,TicketsBreak!A:A,TicketsBreak!F:F,"",0),0)</f>
        <v/>
      </c>
      <c r="J3036" s="316" t="str">
        <f t="array" ref="J3036">XLOOKUP(B3036,Roster!L:L,Roster!P:P,XLOOKUP(D3036,TicketsBreak!A:A,TicketsBreak!G:G,"",0),0)</f>
        <v/>
      </c>
      <c r="K3036" s="310">
        <f t="shared" si="4"/>
        <v>46137</v>
      </c>
      <c r="L3036" s="317">
        <f t="array" ref="L3036">(XLOOKUP(D3036,Roster!F:F,Roster!D:D,"",0))</f>
        <v>20</v>
      </c>
      <c r="M3036" s="317" t="str">
        <f t="array" ref="M3036">XLOOKUP(D3036,Roster!F:F,Roster!E:E)</f>
        <v>Voice</v>
      </c>
      <c r="N3036" s="317" t="str">
        <f t="shared" ref="N3036:P3036" si="3079">LEFT(H3036,5)</f>
        <v/>
      </c>
      <c r="O3036" s="317" t="str">
        <f t="shared" si="3079"/>
        <v/>
      </c>
      <c r="P3036" s="317" t="str">
        <f t="shared" si="3079"/>
        <v/>
      </c>
      <c r="Q3036" s="318" t="str">
        <f t="shared" si="3075"/>
        <v/>
      </c>
      <c r="R3036" s="318" t="str">
        <f t="shared" si="2934"/>
        <v/>
      </c>
      <c r="S3036" s="318" t="str">
        <f t="shared" si="8"/>
        <v/>
      </c>
    </row>
    <row r="3037">
      <c r="A3037" s="14" t="str">
        <f t="shared" si="1"/>
        <v>C116346137</v>
      </c>
      <c r="B3037" s="185" t="str">
        <f t="array" ref="B3037">IF(F3037="VL","",IF(F3037="Free","Free",XLOOKUP(D3037,Roster!T:T,Roster!S:S,"",0)))</f>
        <v>Free</v>
      </c>
      <c r="C3037" s="313">
        <v>46137.0</v>
      </c>
      <c r="D3037" s="314" t="s">
        <v>66</v>
      </c>
      <c r="E3037" s="307" t="str">
        <f t="array" ref="E3037">(XLOOKUP(D3037,Roster!F:F,Roster!B:B,"",0))</f>
        <v>Natalia Cardona</v>
      </c>
      <c r="F3037" s="315" t="str">
        <f t="array" ref="F3037">IF(B3037=100,"Free",TEXT(XLOOKUP($D3037,OperationVoice!$A:$A,OperationVoice!AE:AE,XLOOKUP($D3037,OperationTickets!$A:$A,OperationTickets!AE:AE,"",0)),"hh:mm"))</f>
        <v>Free</v>
      </c>
      <c r="G3037" s="309" t="str">
        <f t="shared" si="3"/>
        <v>Free</v>
      </c>
      <c r="H3037" s="316" t="str">
        <f t="array" ref="H3037">XLOOKUP(B3037,Roster!L:L,Roster!N:N,XLOOKUP(D3037,TicketsBreak!A:A,TicketsBreak!E:E,"",0),0)</f>
        <v/>
      </c>
      <c r="I3037" s="316" t="str">
        <f t="array" ref="I3037">XLOOKUP(B3037,Roster!L:L,Roster!O:O,XLOOKUP(D3037,TicketsBreak!A:A,TicketsBreak!F:F,"",0),0)</f>
        <v/>
      </c>
      <c r="J3037" s="316" t="str">
        <f t="array" ref="J3037">XLOOKUP(B3037,Roster!L:L,Roster!P:P,XLOOKUP(D3037,TicketsBreak!A:A,TicketsBreak!G:G,"",0),0)</f>
        <v/>
      </c>
      <c r="K3037" s="310">
        <f t="shared" si="4"/>
        <v>46137</v>
      </c>
      <c r="L3037" s="317">
        <f t="array" ref="L3037">(XLOOKUP(D3037,Roster!F:F,Roster!D:D,"",0))</f>
        <v>24</v>
      </c>
      <c r="M3037" s="317" t="str">
        <f t="array" ref="M3037">XLOOKUP(D3037,Roster!F:F,Roster!E:E)</f>
        <v>Voice</v>
      </c>
      <c r="N3037" s="317" t="str">
        <f t="shared" ref="N3037:P3037" si="3080">LEFT(H3037,5)</f>
        <v/>
      </c>
      <c r="O3037" s="317" t="str">
        <f t="shared" si="3080"/>
        <v/>
      </c>
      <c r="P3037" s="317" t="str">
        <f t="shared" si="3080"/>
        <v/>
      </c>
      <c r="Q3037" s="318" t="str">
        <f t="shared" si="3075"/>
        <v/>
      </c>
      <c r="R3037" s="318" t="str">
        <f t="shared" si="2934"/>
        <v/>
      </c>
      <c r="S3037" s="318" t="str">
        <f t="shared" si="8"/>
        <v/>
      </c>
    </row>
    <row r="3038">
      <c r="A3038" s="14" t="str">
        <f t="shared" si="1"/>
        <v>C55646137</v>
      </c>
      <c r="B3038" s="185" t="str">
        <f t="array" ref="B3038">IF(F3038="VL","",IF(F3038="Free","Free",XLOOKUP(D3038,Roster!T:T,Roster!S:S,"",0)))</f>
        <v>Free</v>
      </c>
      <c r="C3038" s="313">
        <v>46137.0</v>
      </c>
      <c r="D3038" s="314" t="s">
        <v>167</v>
      </c>
      <c r="E3038" s="307" t="str">
        <f t="array" ref="E3038">(XLOOKUP(D3038,Roster!F:F,Roster!B:B,"",0))</f>
        <v>Nelson Londono</v>
      </c>
      <c r="F3038" s="315" t="str">
        <f t="array" ref="F3038">IF(B3038=100,"Free",TEXT(XLOOKUP($D3038,OperationVoice!$A:$A,OperationVoice!AE:AE,XLOOKUP($D3038,OperationTickets!$A:$A,OperationTickets!AE:AE,"",0)),"hh:mm"))</f>
        <v>Free</v>
      </c>
      <c r="G3038" s="309" t="str">
        <f t="shared" si="3"/>
        <v>Free</v>
      </c>
      <c r="H3038" s="316">
        <f t="array" ref="H3038">XLOOKUP(B3038,Roster!L:L,Roster!N:N,XLOOKUP(D3038,TicketsBreak!A:A,TicketsBreak!E:E,"",0),0)</f>
        <v>0.3854166667</v>
      </c>
      <c r="I3038" s="316">
        <f t="array" ref="I3038">XLOOKUP(B3038,Roster!L:L,Roster!O:O,XLOOKUP(D3038,TicketsBreak!A:A,TicketsBreak!F:F,"",0),0)</f>
        <v>0.5833333333</v>
      </c>
      <c r="J3038" s="316">
        <f t="array" ref="J3038">XLOOKUP(B3038,Roster!L:L,Roster!P:P,XLOOKUP(D3038,TicketsBreak!A:A,TicketsBreak!G:G,"",0),0)</f>
        <v>0.6458333333</v>
      </c>
      <c r="K3038" s="310">
        <f t="shared" si="4"/>
        <v>46137</v>
      </c>
      <c r="L3038" s="317">
        <f t="array" ref="L3038">(XLOOKUP(D3038,Roster!F:F,Roster!D:D,"",0))</f>
        <v>2</v>
      </c>
      <c r="M3038" s="317" t="str">
        <f t="array" ref="M3038">XLOOKUP(D3038,Roster!F:F,Roster!E:E)</f>
        <v>Tickets</v>
      </c>
      <c r="N3038" s="317" t="str">
        <f t="shared" ref="N3038:P3038" si="3081">LEFT(H3038,5)</f>
        <v>09:15</v>
      </c>
      <c r="O3038" s="317" t="str">
        <f t="shared" si="3081"/>
        <v>14:00</v>
      </c>
      <c r="P3038" s="317" t="str">
        <f t="shared" si="3081"/>
        <v>15:30</v>
      </c>
      <c r="Q3038" s="318">
        <f t="shared" si="3075"/>
        <v>46137.38542</v>
      </c>
      <c r="R3038" s="318">
        <f t="shared" si="2934"/>
        <v>46137.58333</v>
      </c>
      <c r="S3038" s="318">
        <f t="shared" si="8"/>
        <v>46137.64583</v>
      </c>
    </row>
    <row r="3039">
      <c r="A3039" s="14" t="str">
        <f t="shared" si="1"/>
        <v>C150746137</v>
      </c>
      <c r="B3039" s="185" t="str">
        <f t="array" ref="B3039">IF(F3039="VL","",IF(F3039="Free","Free",XLOOKUP(D3039,Roster!T:T,Roster!S:S,"",0)))</f>
        <v>Free</v>
      </c>
      <c r="C3039" s="313">
        <v>46137.0</v>
      </c>
      <c r="D3039" s="314" t="s">
        <v>67</v>
      </c>
      <c r="E3039" s="307" t="str">
        <f t="array" ref="E3039">(XLOOKUP(D3039,Roster!F:F,Roster!B:B,"",0))</f>
        <v>Nicols Quinones</v>
      </c>
      <c r="F3039" s="315" t="str">
        <f t="array" ref="F3039">IF(B3039=100,"Free",TEXT(XLOOKUP($D3039,OperationVoice!$A:$A,OperationVoice!AE:AE,XLOOKUP($D3039,OperationTickets!$A:$A,OperationTickets!AE:AE,"",0)),"hh:mm"))</f>
        <v>Free</v>
      </c>
      <c r="G3039" s="309" t="str">
        <f t="shared" si="3"/>
        <v>Free</v>
      </c>
      <c r="H3039" s="316" t="str">
        <f t="array" ref="H3039">XLOOKUP(B3039,Roster!L:L,Roster!N:N,XLOOKUP(D3039,TicketsBreak!A:A,TicketsBreak!E:E,"",0),0)</f>
        <v/>
      </c>
      <c r="I3039" s="316" t="str">
        <f t="array" ref="I3039">XLOOKUP(B3039,Roster!L:L,Roster!O:O,XLOOKUP(D3039,TicketsBreak!A:A,TicketsBreak!F:F,"",0),0)</f>
        <v/>
      </c>
      <c r="J3039" s="316" t="str">
        <f t="array" ref="J3039">XLOOKUP(B3039,Roster!L:L,Roster!P:P,XLOOKUP(D3039,TicketsBreak!A:A,TicketsBreak!G:G,"",0),0)</f>
        <v/>
      </c>
      <c r="K3039" s="310">
        <f t="shared" si="4"/>
        <v>46137</v>
      </c>
      <c r="L3039" s="317">
        <f t="array" ref="L3039">(XLOOKUP(D3039,Roster!F:F,Roster!D:D,"",0))</f>
        <v>35</v>
      </c>
      <c r="M3039" s="317" t="str">
        <f t="array" ref="M3039">XLOOKUP(D3039,Roster!F:F,Roster!E:E)</f>
        <v>Voice</v>
      </c>
      <c r="N3039" s="317" t="str">
        <f t="shared" ref="N3039:P3039" si="3082">LEFT(H3039,5)</f>
        <v/>
      </c>
      <c r="O3039" s="317" t="str">
        <f t="shared" si="3082"/>
        <v/>
      </c>
      <c r="P3039" s="317" t="str">
        <f t="shared" si="3082"/>
        <v/>
      </c>
      <c r="Q3039" s="318" t="str">
        <f t="shared" si="3075"/>
        <v/>
      </c>
      <c r="R3039" s="318" t="str">
        <f t="shared" si="2934"/>
        <v/>
      </c>
      <c r="S3039" s="318" t="str">
        <f t="shared" si="8"/>
        <v/>
      </c>
    </row>
    <row r="3040">
      <c r="A3040" s="14" t="str">
        <f t="shared" si="1"/>
        <v>C71446137</v>
      </c>
      <c r="B3040" s="185" t="str">
        <f t="array" ref="B3040">IF(F3040="VL","",IF(F3040="Free","Free",XLOOKUP(D3040,Roster!T:T,Roster!S:S,"",0)))</f>
        <v>Free</v>
      </c>
      <c r="C3040" s="313">
        <v>46137.0</v>
      </c>
      <c r="D3040" s="314" t="s">
        <v>149</v>
      </c>
      <c r="E3040" s="307" t="str">
        <f t="array" ref="E3040">(XLOOKUP(D3040,Roster!F:F,Roster!B:B,"",0))</f>
        <v>Onel Olivera</v>
      </c>
      <c r="F3040" s="315" t="str">
        <f t="array" ref="F3040">IF(B3040=100,"Free",TEXT(XLOOKUP($D3040,OperationVoice!$A:$A,OperationVoice!AE:AE,XLOOKUP($D3040,OperationTickets!$A:$A,OperationTickets!AE:AE,"",0)),"hh:mm"))</f>
        <v>Free</v>
      </c>
      <c r="G3040" s="309" t="str">
        <f t="shared" si="3"/>
        <v>Free</v>
      </c>
      <c r="H3040" s="316">
        <f t="array" ref="H3040">XLOOKUP(B3040,Roster!L:L,Roster!N:N,XLOOKUP(D3040,TicketsBreak!A:A,TicketsBreak!E:E,"",0),0)</f>
        <v>0.4166666667</v>
      </c>
      <c r="I3040" s="316">
        <f t="array" ref="I3040">XLOOKUP(B3040,Roster!L:L,Roster!O:O,XLOOKUP(D3040,TicketsBreak!A:A,TicketsBreak!F:F,"",0),0)</f>
        <v>0.5</v>
      </c>
      <c r="J3040" s="316">
        <f t="array" ref="J3040">XLOOKUP(B3040,Roster!L:L,Roster!P:P,XLOOKUP(D3040,TicketsBreak!A:A,TicketsBreak!G:G,"",0),0)</f>
        <v>0.625</v>
      </c>
      <c r="K3040" s="310">
        <f t="shared" si="4"/>
        <v>46137</v>
      </c>
      <c r="L3040" s="317">
        <f t="array" ref="L3040">(XLOOKUP(D3040,Roster!F:F,Roster!D:D,"",0))</f>
        <v>1</v>
      </c>
      <c r="M3040" s="317" t="str">
        <f t="array" ref="M3040">XLOOKUP(D3040,Roster!F:F,Roster!E:E)</f>
        <v>Tickets</v>
      </c>
      <c r="N3040" s="317" t="str">
        <f t="shared" ref="N3040:P3040" si="3083">LEFT(H3040,5)</f>
        <v>10:00</v>
      </c>
      <c r="O3040" s="317" t="str">
        <f t="shared" si="3083"/>
        <v>12:00</v>
      </c>
      <c r="P3040" s="317" t="str">
        <f t="shared" si="3083"/>
        <v>15:00</v>
      </c>
      <c r="Q3040" s="318">
        <f t="shared" si="3075"/>
        <v>46137.41667</v>
      </c>
      <c r="R3040" s="318">
        <f t="shared" si="2934"/>
        <v>46137.5</v>
      </c>
      <c r="S3040" s="318">
        <f t="shared" si="8"/>
        <v>46137.625</v>
      </c>
    </row>
    <row r="3041">
      <c r="A3041" s="14" t="str">
        <f t="shared" si="1"/>
        <v>C116446137</v>
      </c>
      <c r="B3041" s="185" t="str">
        <f t="array" ref="B3041">IF(F3041="VL","",IF(F3041="Free","Free",XLOOKUP(D3041,Roster!T:T,Roster!S:S,"",0)))</f>
        <v>Free</v>
      </c>
      <c r="C3041" s="313">
        <v>46137.0</v>
      </c>
      <c r="D3041" s="314" t="s">
        <v>179</v>
      </c>
      <c r="E3041" s="307" t="str">
        <f t="array" ref="E3041">(XLOOKUP(D3041,Roster!F:F,Roster!B:B,"",0))</f>
        <v>Oscar Florez</v>
      </c>
      <c r="F3041" s="315" t="str">
        <f t="array" ref="F3041">IF(B3041=100,"Free",TEXT(XLOOKUP($D3041,OperationVoice!$A:$A,OperationVoice!AE:AE,XLOOKUP($D3041,OperationTickets!$A:$A,OperationTickets!AE:AE,"",0)),"hh:mm"))</f>
        <v>Free</v>
      </c>
      <c r="G3041" s="309" t="str">
        <f t="shared" si="3"/>
        <v>Free</v>
      </c>
      <c r="H3041" s="316" t="str">
        <f t="array" ref="H3041">XLOOKUP(B3041,Roster!L:L,Roster!N:N,XLOOKUP(D3041,TicketsBreak!A:A,TicketsBreak!E:E,"",0),0)</f>
        <v/>
      </c>
      <c r="I3041" s="316" t="str">
        <f t="array" ref="I3041">XLOOKUP(B3041,Roster!L:L,Roster!O:O,XLOOKUP(D3041,TicketsBreak!A:A,TicketsBreak!F:F,"",0),0)</f>
        <v/>
      </c>
      <c r="J3041" s="316" t="str">
        <f t="array" ref="J3041">XLOOKUP(B3041,Roster!L:L,Roster!P:P,XLOOKUP(D3041,TicketsBreak!A:A,TicketsBreak!G:G,"",0),0)</f>
        <v/>
      </c>
      <c r="K3041" s="310">
        <f t="shared" si="4"/>
        <v>46137</v>
      </c>
      <c r="L3041" s="317">
        <f t="array" ref="L3041">(XLOOKUP(D3041,Roster!F:F,Roster!D:D,"",0))</f>
        <v>24</v>
      </c>
      <c r="M3041" s="317" t="str">
        <f t="array" ref="M3041">XLOOKUP(D3041,Roster!F:F,Roster!E:E)</f>
        <v>Tickets</v>
      </c>
      <c r="N3041" s="317" t="str">
        <f t="shared" ref="N3041:P3041" si="3084">LEFT(H3041,5)</f>
        <v/>
      </c>
      <c r="O3041" s="317" t="str">
        <f t="shared" si="3084"/>
        <v/>
      </c>
      <c r="P3041" s="317" t="str">
        <f t="shared" si="3084"/>
        <v/>
      </c>
      <c r="Q3041" s="318" t="str">
        <f t="shared" si="3075"/>
        <v/>
      </c>
      <c r="R3041" s="318" t="str">
        <f t="shared" si="2934"/>
        <v/>
      </c>
      <c r="S3041" s="318" t="str">
        <f t="shared" si="8"/>
        <v/>
      </c>
    </row>
    <row r="3042">
      <c r="A3042" s="14" t="str">
        <f t="shared" si="1"/>
        <v>C153846137</v>
      </c>
      <c r="B3042" s="185">
        <f t="array" ref="B3042">IF(F3042="VL","",IF(F3042="Free","Free",XLOOKUP(D3042,Roster!T:T,Roster!S:S,"",0)))</f>
        <v>151</v>
      </c>
      <c r="C3042" s="313">
        <v>46137.0</v>
      </c>
      <c r="D3042" s="314" t="s">
        <v>68</v>
      </c>
      <c r="E3042" s="307" t="str">
        <f t="array" ref="E3042">(XLOOKUP(D3042,Roster!F:F,Roster!B:B,"",0))</f>
        <v>Oscar Roldan</v>
      </c>
      <c r="F3042" s="315" t="str">
        <f t="array" ref="F3042">IF(B3042=100,"Free",TEXT(XLOOKUP($D3042,OperationVoice!$A:$A,OperationVoice!AE:AE,XLOOKUP($D3042,OperationTickets!$A:$A,OperationTickets!AE:AE,"",0)),"hh:mm"))</f>
        <v>11:00</v>
      </c>
      <c r="G3042" s="309">
        <f t="shared" si="3"/>
        <v>0.8333333333</v>
      </c>
      <c r="H3042" s="316" t="str">
        <f t="array" ref="H3042">XLOOKUP(B3042,Roster!L:L,Roster!N:N,XLOOKUP(D3042,TicketsBreak!A:A,TicketsBreak!E:E,"",0),0)</f>
        <v>12:15 - 12:30</v>
      </c>
      <c r="I3042" s="316" t="str">
        <f t="array" ref="I3042">XLOOKUP(B3042,Roster!L:L,Roster!O:O,XLOOKUP(D3042,TicketsBreak!A:A,TicketsBreak!F:F,"",0),0)</f>
        <v>14:00 - 14:30</v>
      </c>
      <c r="J3042" s="316" t="str">
        <f t="array" ref="J3042">XLOOKUP(B3042,Roster!L:L,Roster!P:P,XLOOKUP(D3042,TicketsBreak!A:A,TicketsBreak!G:G,"",0),0)</f>
        <v>17:15 - 17:30</v>
      </c>
      <c r="K3042" s="310">
        <f t="shared" si="4"/>
        <v>46137</v>
      </c>
      <c r="L3042" s="317">
        <f t="array" ref="L3042">(XLOOKUP(D3042,Roster!F:F,Roster!D:D,"",0))</f>
        <v>36</v>
      </c>
      <c r="M3042" s="317" t="str">
        <f t="array" ref="M3042">XLOOKUP(D3042,Roster!F:F,Roster!E:E)</f>
        <v>Voice</v>
      </c>
      <c r="N3042" s="317" t="str">
        <f t="shared" ref="N3042:P3042" si="3085">LEFT(H3042,5)</f>
        <v>12:15</v>
      </c>
      <c r="O3042" s="317" t="str">
        <f t="shared" si="3085"/>
        <v>14:00</v>
      </c>
      <c r="P3042" s="317" t="str">
        <f t="shared" si="3085"/>
        <v>17:15</v>
      </c>
      <c r="Q3042" s="318">
        <f t="shared" si="3075"/>
        <v>46137.51042</v>
      </c>
      <c r="R3042" s="318">
        <f t="shared" si="2934"/>
        <v>46137.58333</v>
      </c>
      <c r="S3042" s="318">
        <f t="shared" si="8"/>
        <v>46137.71875</v>
      </c>
    </row>
    <row r="3043">
      <c r="A3043" s="14" t="str">
        <f t="shared" si="1"/>
        <v>C151146137</v>
      </c>
      <c r="B3043" s="185">
        <f t="array" ref="B3043">IF(F3043="VL","",IF(F3043="Free","Free",XLOOKUP(D3043,Roster!T:T,Roster!S:S,"",0)))</f>
        <v>131</v>
      </c>
      <c r="C3043" s="313">
        <v>46137.0</v>
      </c>
      <c r="D3043" s="314" t="s">
        <v>69</v>
      </c>
      <c r="E3043" s="307" t="str">
        <f t="array" ref="E3043">(XLOOKUP(D3043,Roster!F:F,Roster!B:B,"",0))</f>
        <v>Salma Giraldo</v>
      </c>
      <c r="F3043" s="315" t="str">
        <f t="array" ref="F3043">IF(B3043=100,"Free",TEXT(XLOOKUP($D3043,OperationVoice!$A:$A,OperationVoice!AE:AE,XLOOKUP($D3043,OperationTickets!$A:$A,OperationTickets!AE:AE,"",0)),"hh:mm"))</f>
        <v>08:00</v>
      </c>
      <c r="G3043" s="309">
        <f t="shared" si="3"/>
        <v>0.7083333333</v>
      </c>
      <c r="H3043" s="316" t="str">
        <f t="array" ref="H3043">XLOOKUP(B3043,Roster!L:L,Roster!N:N,XLOOKUP(D3043,TicketsBreak!A:A,TicketsBreak!E:E,"",0),0)</f>
        <v>10:15 - 10:30</v>
      </c>
      <c r="I3043" s="316" t="str">
        <f t="array" ref="I3043">XLOOKUP(B3043,Roster!L:L,Roster!O:O,XLOOKUP(D3043,TicketsBreak!A:A,TicketsBreak!F:F,"",0),0)</f>
        <v>12:30 - 13:00</v>
      </c>
      <c r="J3043" s="316" t="str">
        <f t="array" ref="J3043">XLOOKUP(B3043,Roster!L:L,Roster!P:P,XLOOKUP(D3043,TicketsBreak!A:A,TicketsBreak!G:G,"",0),0)</f>
        <v>15:15 - 15:30</v>
      </c>
      <c r="K3043" s="310">
        <f t="shared" si="4"/>
        <v>46137</v>
      </c>
      <c r="L3043" s="317">
        <f t="array" ref="L3043">(XLOOKUP(D3043,Roster!F:F,Roster!D:D,"",0))</f>
        <v>35</v>
      </c>
      <c r="M3043" s="317" t="str">
        <f t="array" ref="M3043">XLOOKUP(D3043,Roster!F:F,Roster!E:E)</f>
        <v>Voice</v>
      </c>
      <c r="N3043" s="317" t="str">
        <f t="shared" ref="N3043:P3043" si="3086">LEFT(H3043,5)</f>
        <v>10:15</v>
      </c>
      <c r="O3043" s="317" t="str">
        <f t="shared" si="3086"/>
        <v>12:30</v>
      </c>
      <c r="P3043" s="317" t="str">
        <f t="shared" si="3086"/>
        <v>15:15</v>
      </c>
      <c r="Q3043" s="318">
        <f t="shared" si="3075"/>
        <v>46137.42708</v>
      </c>
      <c r="R3043" s="318">
        <f t="shared" si="2934"/>
        <v>46137.52083</v>
      </c>
      <c r="S3043" s="318">
        <f t="shared" si="8"/>
        <v>46137.63542</v>
      </c>
    </row>
    <row r="3044">
      <c r="A3044" s="14" t="str">
        <f t="shared" si="1"/>
        <v>C93346137</v>
      </c>
      <c r="B3044" s="185" t="str">
        <f t="array" ref="B3044">IF(F3044="VL","",IF(F3044="Free","Free",XLOOKUP(D3044,Roster!T:T,Roster!S:S,"",0)))</f>
        <v>Free</v>
      </c>
      <c r="C3044" s="313">
        <v>46137.0</v>
      </c>
      <c r="D3044" s="314" t="s">
        <v>70</v>
      </c>
      <c r="E3044" s="307" t="str">
        <f t="array" ref="E3044">(XLOOKUP(D3044,Roster!F:F,Roster!B:B,"",0))</f>
        <v>Salome Arias</v>
      </c>
      <c r="F3044" s="315" t="str">
        <f t="array" ref="F3044">IF(B3044=100,"Free",TEXT(XLOOKUP($D3044,OperationVoice!$A:$A,OperationVoice!AE:AE,XLOOKUP($D3044,OperationTickets!$A:$A,OperationTickets!AE:AE,"",0)),"hh:mm"))</f>
        <v>Free</v>
      </c>
      <c r="G3044" s="309" t="str">
        <f t="shared" si="3"/>
        <v>Free</v>
      </c>
      <c r="H3044" s="316" t="str">
        <f t="array" ref="H3044">XLOOKUP(B3044,Roster!L:L,Roster!N:N,XLOOKUP(D3044,TicketsBreak!A:A,TicketsBreak!E:E,"",0),0)</f>
        <v/>
      </c>
      <c r="I3044" s="316" t="str">
        <f t="array" ref="I3044">XLOOKUP(B3044,Roster!L:L,Roster!O:O,XLOOKUP(D3044,TicketsBreak!A:A,TicketsBreak!F:F,"",0),0)</f>
        <v/>
      </c>
      <c r="J3044" s="316" t="str">
        <f t="array" ref="J3044">XLOOKUP(B3044,Roster!L:L,Roster!P:P,XLOOKUP(D3044,TicketsBreak!A:A,TicketsBreak!G:G,"",0),0)</f>
        <v/>
      </c>
      <c r="K3044" s="310">
        <f t="shared" si="4"/>
        <v>46137</v>
      </c>
      <c r="L3044" s="317">
        <f t="array" ref="L3044">(XLOOKUP(D3044,Roster!F:F,Roster!D:D,"",0))</f>
        <v>12</v>
      </c>
      <c r="M3044" s="317" t="str">
        <f t="array" ref="M3044">XLOOKUP(D3044,Roster!F:F,Roster!E:E)</f>
        <v>Voice</v>
      </c>
      <c r="N3044" s="317" t="str">
        <f t="shared" ref="N3044:P3044" si="3087">LEFT(H3044,5)</f>
        <v/>
      </c>
      <c r="O3044" s="317" t="str">
        <f t="shared" si="3087"/>
        <v/>
      </c>
      <c r="P3044" s="317" t="str">
        <f t="shared" si="3087"/>
        <v/>
      </c>
      <c r="Q3044" s="318" t="str">
        <f t="shared" si="3075"/>
        <v/>
      </c>
      <c r="R3044" s="318" t="str">
        <f t="shared" si="2934"/>
        <v/>
      </c>
      <c r="S3044" s="318" t="str">
        <f t="shared" si="8"/>
        <v/>
      </c>
    </row>
    <row r="3045">
      <c r="A3045" s="14" t="str">
        <f t="shared" si="1"/>
        <v>C128246137</v>
      </c>
      <c r="B3045" s="185" t="str">
        <f t="array" ref="B3045">IF(F3045="VL","",IF(F3045="Free","Free",XLOOKUP(D3045,Roster!T:T,Roster!S:S,"",0)))</f>
        <v/>
      </c>
      <c r="C3045" s="313">
        <v>46137.0</v>
      </c>
      <c r="D3045" s="314" t="s">
        <v>168</v>
      </c>
      <c r="E3045" s="307" t="str">
        <f t="array" ref="E3045">(XLOOKUP(D3045,Roster!F:F,Roster!B:B,"",0))</f>
        <v>Samuel Acevedo</v>
      </c>
      <c r="F3045" s="315" t="str">
        <f t="array" ref="F3045">IF(B3045=100,"Free",TEXT(XLOOKUP($D3045,OperationVoice!$A:$A,OperationVoice!AE:AE,XLOOKUP($D3045,OperationTickets!$A:$A,OperationTickets!AE:AE,"",0)),"hh:mm"))</f>
        <v>VL</v>
      </c>
      <c r="G3045" s="309" t="str">
        <f t="shared" si="3"/>
        <v>VL</v>
      </c>
      <c r="H3045" s="316" t="str">
        <f t="array" ref="H3045">XLOOKUP(B3045,Roster!L:L,Roster!N:N,XLOOKUP(D3045,TicketsBreak!A:A,TicketsBreak!E:E,"",0),0)</f>
        <v/>
      </c>
      <c r="I3045" s="316" t="str">
        <f t="array" ref="I3045">XLOOKUP(B3045,Roster!L:L,Roster!O:O,XLOOKUP(D3045,TicketsBreak!A:A,TicketsBreak!F:F,"",0),0)</f>
        <v/>
      </c>
      <c r="J3045" s="316" t="str">
        <f t="array" ref="J3045">XLOOKUP(B3045,Roster!L:L,Roster!P:P,XLOOKUP(D3045,TicketsBreak!A:A,TicketsBreak!G:G,"",0),0)</f>
        <v/>
      </c>
      <c r="K3045" s="310">
        <f t="shared" si="4"/>
        <v>46137</v>
      </c>
      <c r="L3045" s="317">
        <f t="array" ref="L3045">(XLOOKUP(D3045,Roster!F:F,Roster!D:D,"",0))</f>
        <v>27</v>
      </c>
      <c r="M3045" s="317" t="str">
        <f t="array" ref="M3045">XLOOKUP(D3045,Roster!F:F,Roster!E:E)</f>
        <v>Tickets</v>
      </c>
      <c r="N3045" s="317" t="str">
        <f t="shared" ref="N3045:P3045" si="3088">LEFT(H3045,5)</f>
        <v/>
      </c>
      <c r="O3045" s="317" t="str">
        <f t="shared" si="3088"/>
        <v/>
      </c>
      <c r="P3045" s="317" t="str">
        <f t="shared" si="3088"/>
        <v/>
      </c>
      <c r="Q3045" s="318" t="str">
        <f t="shared" si="3075"/>
        <v/>
      </c>
      <c r="R3045" s="318" t="str">
        <f t="shared" si="2934"/>
        <v/>
      </c>
      <c r="S3045" s="318" t="str">
        <f t="shared" si="8"/>
        <v/>
      </c>
    </row>
    <row r="3046">
      <c r="A3046" s="14" t="str">
        <f t="shared" si="1"/>
        <v>C156446137</v>
      </c>
      <c r="B3046" s="185">
        <f t="array" ref="B3046">IF(F3046="VL","",IF(F3046="Free","Free",XLOOKUP(D3046,Roster!T:T,Roster!S:S,"",0)))</f>
        <v>121</v>
      </c>
      <c r="C3046" s="313">
        <v>46137.0</v>
      </c>
      <c r="D3046" s="314" t="s">
        <v>71</v>
      </c>
      <c r="E3046" s="307" t="str">
        <f t="array" ref="E3046">(XLOOKUP(D3046,Roster!F:F,Roster!B:B,"",0))</f>
        <v>Samuel Acevedo Cadavid</v>
      </c>
      <c r="F3046" s="315" t="str">
        <f t="array" ref="F3046">IF(B3046=100,"Free",TEXT(XLOOKUP($D3046,OperationVoice!$A:$A,OperationVoice!AE:AE,XLOOKUP($D3046,OperationTickets!$A:$A,OperationTickets!AE:AE,"",0)),"hh:mm"))</f>
        <v>08:00</v>
      </c>
      <c r="G3046" s="309">
        <f t="shared" si="3"/>
        <v>0.7083333333</v>
      </c>
      <c r="H3046" s="316" t="str">
        <f t="array" ref="H3046">XLOOKUP(B3046,Roster!L:L,Roster!N:N,XLOOKUP(D3046,TicketsBreak!A:A,TicketsBreak!E:E,"",0),0)</f>
        <v>09:15 - 09:30</v>
      </c>
      <c r="I3046" s="316" t="str">
        <f t="array" ref="I3046">XLOOKUP(B3046,Roster!L:L,Roster!O:O,XLOOKUP(D3046,TicketsBreak!A:A,TicketsBreak!F:F,"",0),0)</f>
        <v>11:30 - 12:00</v>
      </c>
      <c r="J3046" s="316" t="str">
        <f t="array" ref="J3046">XLOOKUP(B3046,Roster!L:L,Roster!P:P,XLOOKUP(D3046,TicketsBreak!A:A,TicketsBreak!G:G,"",0),0)</f>
        <v>14:30 - 14:45</v>
      </c>
      <c r="K3046" s="310">
        <f t="shared" si="4"/>
        <v>46137</v>
      </c>
      <c r="L3046" s="317">
        <f t="array" ref="L3046">(XLOOKUP(D3046,Roster!F:F,Roster!D:D,"",0))</f>
        <v>38</v>
      </c>
      <c r="M3046" s="317" t="str">
        <f t="array" ref="M3046">XLOOKUP(D3046,Roster!F:F,Roster!E:E)</f>
        <v>Voice</v>
      </c>
      <c r="N3046" s="317" t="str">
        <f t="shared" ref="N3046:P3046" si="3089">LEFT(H3046,5)</f>
        <v>09:15</v>
      </c>
      <c r="O3046" s="317" t="str">
        <f t="shared" si="3089"/>
        <v>11:30</v>
      </c>
      <c r="P3046" s="317" t="str">
        <f t="shared" si="3089"/>
        <v>14:30</v>
      </c>
      <c r="Q3046" s="318">
        <f t="shared" si="3075"/>
        <v>46137.38542</v>
      </c>
      <c r="R3046" s="318">
        <f t="shared" si="2934"/>
        <v>46137.47917</v>
      </c>
      <c r="S3046" s="318">
        <f t="shared" si="8"/>
        <v>46137.60417</v>
      </c>
    </row>
    <row r="3047">
      <c r="A3047" s="14" t="str">
        <f t="shared" si="1"/>
        <v>C116846137</v>
      </c>
      <c r="B3047" s="185">
        <f t="array" ref="B3047">IF(F3047="VL","",IF(F3047="Free","Free",XLOOKUP(D3047,Roster!T:T,Roster!S:S,"",0)))</f>
        <v>125</v>
      </c>
      <c r="C3047" s="313">
        <v>46137.0</v>
      </c>
      <c r="D3047" s="314" t="s">
        <v>180</v>
      </c>
      <c r="E3047" s="307" t="str">
        <f t="array" ref="E3047">(XLOOKUP(D3047,Roster!F:F,Roster!B:B,"",0))</f>
        <v>Santiago Gaviria</v>
      </c>
      <c r="F3047" s="315" t="str">
        <f t="array" ref="F3047">IF(B3047=100,"Free",TEXT(XLOOKUP($D3047,OperationVoice!$A:$A,OperationVoice!AE:AE,XLOOKUP($D3047,OperationTickets!$A:$A,OperationTickets!AE:AE,"",0)),"hh:mm"))</f>
        <v>08:00</v>
      </c>
      <c r="G3047" s="309">
        <f t="shared" si="3"/>
        <v>0.7083333333</v>
      </c>
      <c r="H3047" s="316" t="str">
        <f t="array" ref="H3047">XLOOKUP(B3047,Roster!L:L,Roster!N:N,XLOOKUP(D3047,TicketsBreak!A:A,TicketsBreak!E:E,"",0),0)</f>
        <v>10:30 - 10:45</v>
      </c>
      <c r="I3047" s="316" t="str">
        <f t="array" ref="I3047">XLOOKUP(B3047,Roster!L:L,Roster!O:O,XLOOKUP(D3047,TicketsBreak!A:A,TicketsBreak!F:F,"",0),0)</f>
        <v>13:30 - 14:00</v>
      </c>
      <c r="J3047" s="316" t="str">
        <f t="array" ref="J3047">XLOOKUP(B3047,Roster!L:L,Roster!P:P,XLOOKUP(D3047,TicketsBreak!A:A,TicketsBreak!G:G,"",0),0)</f>
        <v>15:45 - 16:00</v>
      </c>
      <c r="K3047" s="310">
        <f t="shared" si="4"/>
        <v>46137</v>
      </c>
      <c r="L3047" s="317">
        <f t="array" ref="L3047">(XLOOKUP(D3047,Roster!F:F,Roster!D:D,"",0))</f>
        <v>24</v>
      </c>
      <c r="M3047" s="317" t="str">
        <f t="array" ref="M3047">XLOOKUP(D3047,Roster!F:F,Roster!E:E)</f>
        <v>Tickets</v>
      </c>
      <c r="N3047" s="317" t="str">
        <f t="shared" ref="N3047:P3047" si="3090">LEFT(H3047,5)</f>
        <v>10:30</v>
      </c>
      <c r="O3047" s="317" t="str">
        <f t="shared" si="3090"/>
        <v>13:30</v>
      </c>
      <c r="P3047" s="317" t="str">
        <f t="shared" si="3090"/>
        <v>15:45</v>
      </c>
      <c r="Q3047" s="318">
        <f t="shared" si="3075"/>
        <v>46137.4375</v>
      </c>
      <c r="R3047" s="318">
        <f t="shared" si="2934"/>
        <v>46137.5625</v>
      </c>
      <c r="S3047" s="318">
        <f t="shared" si="8"/>
        <v>46137.65625</v>
      </c>
    </row>
    <row r="3048">
      <c r="A3048" s="14" t="str">
        <f t="shared" si="1"/>
        <v>C122046137</v>
      </c>
      <c r="B3048" s="185" t="str">
        <f t="array" ref="B3048">IF(F3048="VL","",IF(F3048="Free","Free",XLOOKUP(D3048,Roster!T:T,Roster!S:S,"",0)))</f>
        <v/>
      </c>
      <c r="C3048" s="313">
        <v>46137.0</v>
      </c>
      <c r="D3048" s="314" t="s">
        <v>181</v>
      </c>
      <c r="E3048" s="307" t="str">
        <f t="array" ref="E3048">(XLOOKUP(D3048,Roster!F:F,Roster!B:B,"",0))</f>
        <v>Santiago Gonzalez</v>
      </c>
      <c r="F3048" s="315" t="str">
        <f t="array" ref="F3048">IF(B3048=100,"Free",TEXT(XLOOKUP($D3048,OperationVoice!$A:$A,OperationVoice!AE:AE,XLOOKUP($D3048,OperationTickets!$A:$A,OperationTickets!AE:AE,"",0)),"hh:mm"))</f>
        <v>08:00</v>
      </c>
      <c r="G3048" s="309">
        <f t="shared" si="3"/>
        <v>0.7083333333</v>
      </c>
      <c r="H3048" s="316" t="str">
        <f t="array" ref="H3048">XLOOKUP(B3048,Roster!L:L,Roster!N:N,XLOOKUP(D3048,TicketsBreak!A:A,TicketsBreak!E:E,"",0),0)</f>
        <v/>
      </c>
      <c r="I3048" s="316" t="str">
        <f t="array" ref="I3048">XLOOKUP(B3048,Roster!L:L,Roster!O:O,XLOOKUP(D3048,TicketsBreak!A:A,TicketsBreak!F:F,"",0),0)</f>
        <v/>
      </c>
      <c r="J3048" s="316" t="str">
        <f t="array" ref="J3048">XLOOKUP(B3048,Roster!L:L,Roster!P:P,XLOOKUP(D3048,TicketsBreak!A:A,TicketsBreak!G:G,"",0),0)</f>
        <v/>
      </c>
      <c r="K3048" s="310">
        <f t="shared" si="4"/>
        <v>46137</v>
      </c>
      <c r="L3048" s="317">
        <f t="array" ref="L3048">(XLOOKUP(D3048,Roster!F:F,Roster!D:D,"",0))</f>
        <v>26</v>
      </c>
      <c r="M3048" s="317" t="str">
        <f t="array" ref="M3048">XLOOKUP(D3048,Roster!F:F,Roster!E:E)</f>
        <v>Tickets</v>
      </c>
      <c r="N3048" s="317" t="str">
        <f t="shared" ref="N3048:P3048" si="3091">LEFT(H3048,5)</f>
        <v/>
      </c>
      <c r="O3048" s="317" t="str">
        <f t="shared" si="3091"/>
        <v/>
      </c>
      <c r="P3048" s="317" t="str">
        <f t="shared" si="3091"/>
        <v/>
      </c>
      <c r="Q3048" s="318" t="str">
        <f t="shared" si="3075"/>
        <v/>
      </c>
      <c r="R3048" s="318" t="str">
        <f t="shared" si="2934"/>
        <v/>
      </c>
      <c r="S3048" s="318" t="str">
        <f t="shared" si="8"/>
        <v/>
      </c>
    </row>
    <row r="3049">
      <c r="A3049" s="14" t="str">
        <f t="shared" si="1"/>
        <v>C140646137</v>
      </c>
      <c r="B3049" s="185" t="str">
        <f t="array" ref="B3049">IF(F3049="VL","",IF(F3049="Free","Free",XLOOKUP(D3049,Roster!T:T,Roster!S:S,"",0)))</f>
        <v>Free</v>
      </c>
      <c r="C3049" s="313">
        <v>46137.0</v>
      </c>
      <c r="D3049" s="314" t="s">
        <v>72</v>
      </c>
      <c r="E3049" s="307" t="str">
        <f t="array" ref="E3049">(XLOOKUP(D3049,Roster!F:F,Roster!B:B,"",0))</f>
        <v>Santiago Mora</v>
      </c>
      <c r="F3049" s="315" t="str">
        <f t="array" ref="F3049">IF(B3049=100,"Free",TEXT(XLOOKUP($D3049,OperationVoice!$A:$A,OperationVoice!AE:AE,XLOOKUP($D3049,OperationTickets!$A:$A,OperationTickets!AE:AE,"",0)),"hh:mm"))</f>
        <v>Free</v>
      </c>
      <c r="G3049" s="309" t="str">
        <f t="shared" si="3"/>
        <v>Free</v>
      </c>
      <c r="H3049" s="316" t="str">
        <f t="array" ref="H3049">XLOOKUP(B3049,Roster!L:L,Roster!N:N,XLOOKUP(D3049,TicketsBreak!A:A,TicketsBreak!E:E,"",0),0)</f>
        <v/>
      </c>
      <c r="I3049" s="316" t="str">
        <f t="array" ref="I3049">XLOOKUP(B3049,Roster!L:L,Roster!O:O,XLOOKUP(D3049,TicketsBreak!A:A,TicketsBreak!F:F,"",0),0)</f>
        <v/>
      </c>
      <c r="J3049" s="316" t="str">
        <f t="array" ref="J3049">XLOOKUP(B3049,Roster!L:L,Roster!P:P,XLOOKUP(D3049,TicketsBreak!A:A,TicketsBreak!G:G,"",0),0)</f>
        <v/>
      </c>
      <c r="K3049" s="310">
        <f t="shared" si="4"/>
        <v>46137</v>
      </c>
      <c r="L3049" s="317">
        <f t="array" ref="L3049">(XLOOKUP(D3049,Roster!F:F,Roster!D:D,"",0))</f>
        <v>35</v>
      </c>
      <c r="M3049" s="317" t="str">
        <f t="array" ref="M3049">XLOOKUP(D3049,Roster!F:F,Roster!E:E)</f>
        <v>Voice</v>
      </c>
      <c r="N3049" s="317" t="str">
        <f t="shared" ref="N3049:P3049" si="3092">LEFT(H3049,5)</f>
        <v/>
      </c>
      <c r="O3049" s="317" t="str">
        <f t="shared" si="3092"/>
        <v/>
      </c>
      <c r="P3049" s="317" t="str">
        <f t="shared" si="3092"/>
        <v/>
      </c>
      <c r="Q3049" s="318" t="str">
        <f t="shared" si="3075"/>
        <v/>
      </c>
      <c r="R3049" s="318" t="str">
        <f t="shared" si="2934"/>
        <v/>
      </c>
      <c r="S3049" s="318" t="str">
        <f t="shared" si="8"/>
        <v/>
      </c>
    </row>
    <row r="3050">
      <c r="A3050" s="14" t="str">
        <f t="shared" si="1"/>
        <v>C119946137</v>
      </c>
      <c r="B3050" s="185" t="str">
        <f t="array" ref="B3050">IF(F3050="VL","",IF(F3050="Free","Free",XLOOKUP(D3050,Roster!T:T,Roster!S:S,"",0)))</f>
        <v>Free</v>
      </c>
      <c r="C3050" s="313">
        <v>46137.0</v>
      </c>
      <c r="D3050" s="314" t="s">
        <v>182</v>
      </c>
      <c r="E3050" s="307" t="str">
        <f t="array" ref="E3050">(XLOOKUP(D3050,Roster!F:F,Roster!B:B,"",0))</f>
        <v>Santiago Velasquez</v>
      </c>
      <c r="F3050" s="315" t="str">
        <f t="array" ref="F3050">IF(B3050=100,"Free",TEXT(XLOOKUP($D3050,OperationVoice!$A:$A,OperationVoice!AE:AE,XLOOKUP($D3050,OperationTickets!$A:$A,OperationTickets!AE:AE,"",0)),"hh:mm"))</f>
        <v>Free</v>
      </c>
      <c r="G3050" s="309" t="str">
        <f t="shared" si="3"/>
        <v>Free</v>
      </c>
      <c r="H3050" s="316" t="str">
        <f t="array" ref="H3050">XLOOKUP(B3050,Roster!L:L,Roster!N:N,XLOOKUP(D3050,TicketsBreak!A:A,TicketsBreak!E:E,"",0),0)</f>
        <v/>
      </c>
      <c r="I3050" s="316" t="str">
        <f t="array" ref="I3050">XLOOKUP(B3050,Roster!L:L,Roster!O:O,XLOOKUP(D3050,TicketsBreak!A:A,TicketsBreak!F:F,"",0),0)</f>
        <v/>
      </c>
      <c r="J3050" s="316" t="str">
        <f t="array" ref="J3050">XLOOKUP(B3050,Roster!L:L,Roster!P:P,XLOOKUP(D3050,TicketsBreak!A:A,TicketsBreak!G:G,"",0),0)</f>
        <v/>
      </c>
      <c r="K3050" s="310">
        <f t="shared" si="4"/>
        <v>46137</v>
      </c>
      <c r="L3050" s="317">
        <f t="array" ref="L3050">(XLOOKUP(D3050,Roster!F:F,Roster!D:D,"",0))</f>
        <v>25</v>
      </c>
      <c r="M3050" s="317" t="str">
        <f t="array" ref="M3050">XLOOKUP(D3050,Roster!F:F,Roster!E:E)</f>
        <v>Tickets</v>
      </c>
      <c r="N3050" s="317" t="str">
        <f t="shared" ref="N3050:P3050" si="3093">LEFT(H3050,5)</f>
        <v/>
      </c>
      <c r="O3050" s="317" t="str">
        <f t="shared" si="3093"/>
        <v/>
      </c>
      <c r="P3050" s="317" t="str">
        <f t="shared" si="3093"/>
        <v/>
      </c>
      <c r="Q3050" s="318" t="str">
        <f t="shared" si="3075"/>
        <v/>
      </c>
      <c r="R3050" s="318" t="str">
        <f t="shared" si="2934"/>
        <v/>
      </c>
      <c r="S3050" s="318" t="str">
        <f t="shared" si="8"/>
        <v/>
      </c>
    </row>
    <row r="3051">
      <c r="A3051" s="14" t="str">
        <f t="shared" si="1"/>
        <v>C90246137</v>
      </c>
      <c r="B3051" s="185" t="str">
        <f t="array" ref="B3051">IF(F3051="VL","",IF(F3051="Free","Free",XLOOKUP(D3051,Roster!T:T,Roster!S:S,"",0)))</f>
        <v/>
      </c>
      <c r="C3051" s="313">
        <v>46137.0</v>
      </c>
      <c r="D3051" s="314" t="s">
        <v>150</v>
      </c>
      <c r="E3051" s="307" t="str">
        <f t="array" ref="E3051">(XLOOKUP(D3051,Roster!F:F,Roster!B:B,"",0))</f>
        <v>Sebastiam Vallejo</v>
      </c>
      <c r="F3051" s="315" t="str">
        <f t="array" ref="F3051">IF(B3051=100,"Free",TEXT(XLOOKUP($D3051,OperationVoice!$A:$A,OperationVoice!AE:AE,XLOOKUP($D3051,OperationTickets!$A:$A,OperationTickets!AE:AE,"",0)),"hh:mm"))</f>
        <v>08:00</v>
      </c>
      <c r="G3051" s="309">
        <f t="shared" si="3"/>
        <v>0.7083333333</v>
      </c>
      <c r="H3051" s="316">
        <f t="array" ref="H3051">XLOOKUP(B3051,Roster!L:L,Roster!N:N,XLOOKUP(D3051,TicketsBreak!A:A,TicketsBreak!E:E,"",0),0)</f>
        <v>0.4375</v>
      </c>
      <c r="I3051" s="316">
        <f t="array" ref="I3051">XLOOKUP(B3051,Roster!L:L,Roster!O:O,XLOOKUP(D3051,TicketsBreak!A:A,TicketsBreak!F:F,"",0),0)</f>
        <v>0.6041666667</v>
      </c>
      <c r="J3051" s="316">
        <f t="array" ref="J3051">XLOOKUP(B3051,Roster!L:L,Roster!P:P,XLOOKUP(D3051,TicketsBreak!A:A,TicketsBreak!G:G,"",0),0)</f>
        <v>0.65625</v>
      </c>
      <c r="K3051" s="310">
        <f t="shared" si="4"/>
        <v>46137</v>
      </c>
      <c r="L3051" s="317">
        <f t="array" ref="L3051">(XLOOKUP(D3051,Roster!F:F,Roster!D:D,"",0))</f>
        <v>11</v>
      </c>
      <c r="M3051" s="317" t="str">
        <f t="array" ref="M3051">XLOOKUP(D3051,Roster!F:F,Roster!E:E)</f>
        <v>Tickets</v>
      </c>
      <c r="N3051" s="317" t="str">
        <f t="shared" ref="N3051:P3051" si="3094">LEFT(H3051,5)</f>
        <v>10:30</v>
      </c>
      <c r="O3051" s="317" t="str">
        <f t="shared" si="3094"/>
        <v>14:30</v>
      </c>
      <c r="P3051" s="317" t="str">
        <f t="shared" si="3094"/>
        <v>15:45</v>
      </c>
      <c r="Q3051" s="318">
        <f t="shared" si="3075"/>
        <v>46137.4375</v>
      </c>
      <c r="R3051" s="318">
        <f t="shared" si="2934"/>
        <v>46137.60417</v>
      </c>
      <c r="S3051" s="318">
        <f t="shared" si="8"/>
        <v>46137.65625</v>
      </c>
    </row>
    <row r="3052">
      <c r="A3052" s="14" t="str">
        <f t="shared" si="1"/>
        <v>C150646137</v>
      </c>
      <c r="B3052" s="185">
        <f t="array" ref="B3052">IF(F3052="VL","",IF(F3052="Free","Free",XLOOKUP(D3052,Roster!T:T,Roster!S:S,"",0)))</f>
        <v>153</v>
      </c>
      <c r="C3052" s="313">
        <v>46137.0</v>
      </c>
      <c r="D3052" s="314" t="s">
        <v>73</v>
      </c>
      <c r="E3052" s="307" t="str">
        <f t="array" ref="E3052">(XLOOKUP(D3052,Roster!F:F,Roster!B:B,"",0))</f>
        <v>Sebastian Agudelo Londono</v>
      </c>
      <c r="F3052" s="315" t="str">
        <f t="array" ref="F3052">IF(B3052=100,"Free",TEXT(XLOOKUP($D3052,OperationVoice!$A:$A,OperationVoice!AE:AE,XLOOKUP($D3052,OperationTickets!$A:$A,OperationTickets!AE:AE,"",0)),"hh:mm"))</f>
        <v>11:00</v>
      </c>
      <c r="G3052" s="309">
        <f t="shared" si="3"/>
        <v>0.8333333333</v>
      </c>
      <c r="H3052" s="316" t="str">
        <f t="array" ref="H3052">XLOOKUP(B3052,Roster!L:L,Roster!N:N,XLOOKUP(D3052,TicketsBreak!A:A,TicketsBreak!E:E,"",0),0)</f>
        <v>12:45 - 13:00</v>
      </c>
      <c r="I3052" s="316" t="str">
        <f t="array" ref="I3052">XLOOKUP(B3052,Roster!L:L,Roster!O:O,XLOOKUP(D3052,TicketsBreak!A:A,TicketsBreak!F:F,"",0),0)</f>
        <v>15:00 - 15:30</v>
      </c>
      <c r="J3052" s="316" t="str">
        <f t="array" ref="J3052">XLOOKUP(B3052,Roster!L:L,Roster!P:P,XLOOKUP(D3052,TicketsBreak!A:A,TicketsBreak!G:G,"",0),0)</f>
        <v>17:45 - 18:00</v>
      </c>
      <c r="K3052" s="310">
        <f t="shared" si="4"/>
        <v>46137</v>
      </c>
      <c r="L3052" s="317">
        <f t="array" ref="L3052">(XLOOKUP(D3052,Roster!F:F,Roster!D:D,"",0))</f>
        <v>35</v>
      </c>
      <c r="M3052" s="317" t="str">
        <f t="array" ref="M3052">XLOOKUP(D3052,Roster!F:F,Roster!E:E)</f>
        <v>Voice</v>
      </c>
      <c r="N3052" s="317" t="str">
        <f t="shared" ref="N3052:P3052" si="3095">LEFT(H3052,5)</f>
        <v>12:45</v>
      </c>
      <c r="O3052" s="317" t="str">
        <f t="shared" si="3095"/>
        <v>15:00</v>
      </c>
      <c r="P3052" s="317" t="str">
        <f t="shared" si="3095"/>
        <v>17:45</v>
      </c>
      <c r="Q3052" s="318">
        <f t="shared" si="3075"/>
        <v>46137.53125</v>
      </c>
      <c r="R3052" s="318">
        <f t="shared" si="2934"/>
        <v>46137.625</v>
      </c>
      <c r="S3052" s="318">
        <f t="shared" si="8"/>
        <v>46137.73958</v>
      </c>
    </row>
    <row r="3053">
      <c r="A3053" s="14" t="str">
        <f t="shared" si="1"/>
        <v>C119046137</v>
      </c>
      <c r="B3053" s="185" t="str">
        <f t="array" ref="B3053">IF(F3053="VL","",IF(F3053="Free","Free",XLOOKUP(D3053,Roster!T:T,Roster!S:S,"",0)))</f>
        <v>Free</v>
      </c>
      <c r="C3053" s="313">
        <v>46137.0</v>
      </c>
      <c r="D3053" s="314" t="s">
        <v>183</v>
      </c>
      <c r="E3053" s="307" t="str">
        <f t="array" ref="E3053">(XLOOKUP(D3053,Roster!F:F,Roster!B:B,"",0))</f>
        <v>Sebastian Herrera</v>
      </c>
      <c r="F3053" s="315" t="str">
        <f t="array" ref="F3053">IF(B3053=100,"Free",TEXT(XLOOKUP($D3053,OperationVoice!$A:$A,OperationVoice!AE:AE,XLOOKUP($D3053,OperationTickets!$A:$A,OperationTickets!AE:AE,"",0)),"hh:mm"))</f>
        <v>Free</v>
      </c>
      <c r="G3053" s="309" t="str">
        <f t="shared" si="3"/>
        <v>Free</v>
      </c>
      <c r="H3053" s="316">
        <f t="array" ref="H3053">XLOOKUP(B3053,Roster!L:L,Roster!N:N,XLOOKUP(D3053,TicketsBreak!A:A,TicketsBreak!E:E,"",0),0)</f>
        <v>0.40625</v>
      </c>
      <c r="I3053" s="316">
        <f t="array" ref="I3053">XLOOKUP(B3053,Roster!L:L,Roster!O:O,XLOOKUP(D3053,TicketsBreak!A:A,TicketsBreak!F:F,"",0),0)</f>
        <v>0.5416666667</v>
      </c>
      <c r="J3053" s="316">
        <f t="array" ref="J3053">XLOOKUP(B3053,Roster!L:L,Roster!P:P,XLOOKUP(D3053,TicketsBreak!A:A,TicketsBreak!G:G,"",0),0)</f>
        <v>0.625</v>
      </c>
      <c r="K3053" s="310">
        <f t="shared" si="4"/>
        <v>46137</v>
      </c>
      <c r="L3053" s="317">
        <f t="array" ref="L3053">(XLOOKUP(D3053,Roster!F:F,Roster!D:D,"",0))</f>
        <v>25</v>
      </c>
      <c r="M3053" s="317" t="str">
        <f t="array" ref="M3053">XLOOKUP(D3053,Roster!F:F,Roster!E:E)</f>
        <v>Tickets</v>
      </c>
      <c r="N3053" s="317" t="str">
        <f t="shared" ref="N3053:P3053" si="3096">LEFT(H3053,5)</f>
        <v>09:45</v>
      </c>
      <c r="O3053" s="317" t="str">
        <f t="shared" si="3096"/>
        <v>13:00</v>
      </c>
      <c r="P3053" s="317" t="str">
        <f t="shared" si="3096"/>
        <v>15:00</v>
      </c>
      <c r="Q3053" s="318">
        <f t="shared" si="3075"/>
        <v>46137.40625</v>
      </c>
      <c r="R3053" s="318">
        <f t="shared" si="2934"/>
        <v>46137.54167</v>
      </c>
      <c r="S3053" s="318">
        <f t="shared" si="8"/>
        <v>46137.625</v>
      </c>
    </row>
    <row r="3054">
      <c r="A3054" s="14" t="str">
        <f t="shared" si="1"/>
        <v>C71046137</v>
      </c>
      <c r="B3054" s="185" t="str">
        <f t="array" ref="B3054">IF(F3054="VL","",IF(F3054="Free","Free",XLOOKUP(D3054,Roster!T:T,Roster!S:S,"",0)))</f>
        <v>Free</v>
      </c>
      <c r="C3054" s="313">
        <v>46137.0</v>
      </c>
      <c r="D3054" s="314" t="s">
        <v>184</v>
      </c>
      <c r="E3054" s="307" t="str">
        <f t="array" ref="E3054">(XLOOKUP(D3054,Roster!F:F,Roster!B:B,"",0))</f>
        <v>Sebastian Martinez</v>
      </c>
      <c r="F3054" s="315" t="str">
        <f t="array" ref="F3054">IF(B3054=100,"Free",TEXT(XLOOKUP($D3054,OperationVoice!$A:$A,OperationVoice!AE:AE,XLOOKUP($D3054,OperationTickets!$A:$A,OperationTickets!AE:AE,"",0)),"hh:mm"))</f>
        <v>Free</v>
      </c>
      <c r="G3054" s="309" t="str">
        <f t="shared" si="3"/>
        <v>Free</v>
      </c>
      <c r="H3054" s="316">
        <f t="array" ref="H3054">XLOOKUP(B3054,Roster!L:L,Roster!N:N,XLOOKUP(D3054,TicketsBreak!A:A,TicketsBreak!E:E,"",0),0)</f>
        <v>0.40625</v>
      </c>
      <c r="I3054" s="316">
        <f t="array" ref="I3054">XLOOKUP(B3054,Roster!L:L,Roster!O:O,XLOOKUP(D3054,TicketsBreak!A:A,TicketsBreak!F:F,"",0),0)</f>
        <v>0.5625</v>
      </c>
      <c r="J3054" s="316">
        <f t="array" ref="J3054">XLOOKUP(B3054,Roster!L:L,Roster!P:P,XLOOKUP(D3054,TicketsBreak!A:A,TicketsBreak!G:G,"",0),0)</f>
        <v>0.65625</v>
      </c>
      <c r="K3054" s="310">
        <f t="shared" si="4"/>
        <v>46137</v>
      </c>
      <c r="L3054" s="317">
        <f t="array" ref="L3054">(XLOOKUP(D3054,Roster!F:F,Roster!D:D,"",0))</f>
        <v>6</v>
      </c>
      <c r="M3054" s="317" t="str">
        <f t="array" ref="M3054">XLOOKUP(D3054,Roster!F:F,Roster!E:E)</f>
        <v>Tickets</v>
      </c>
      <c r="N3054" s="317" t="str">
        <f t="shared" ref="N3054:P3054" si="3097">LEFT(H3054,5)</f>
        <v>09:45</v>
      </c>
      <c r="O3054" s="317" t="str">
        <f t="shared" si="3097"/>
        <v>13:30</v>
      </c>
      <c r="P3054" s="317" t="str">
        <f t="shared" si="3097"/>
        <v>15:45</v>
      </c>
      <c r="Q3054" s="318">
        <f t="shared" si="3075"/>
        <v>46137.40625</v>
      </c>
      <c r="R3054" s="318">
        <f t="shared" si="2934"/>
        <v>46137.5625</v>
      </c>
      <c r="S3054" s="318">
        <f t="shared" si="8"/>
        <v>46137.65625</v>
      </c>
    </row>
    <row r="3055">
      <c r="A3055" s="14" t="str">
        <f t="shared" si="1"/>
        <v>C72346137</v>
      </c>
      <c r="B3055" s="185" t="str">
        <f t="array" ref="B3055">IF(F3055="VL","",IF(F3055="Free","Free",XLOOKUP(D3055,Roster!T:T,Roster!S:S,"",0)))</f>
        <v/>
      </c>
      <c r="C3055" s="313">
        <v>46137.0</v>
      </c>
      <c r="D3055" s="314" t="s">
        <v>169</v>
      </c>
      <c r="E3055" s="307" t="str">
        <f t="array" ref="E3055">(XLOOKUP(D3055,Roster!F:F,Roster!B:B,"",0))</f>
        <v>Sebastian Parra</v>
      </c>
      <c r="F3055" s="315" t="str">
        <f t="array" ref="F3055">IF(B3055=100,"Free",TEXT(XLOOKUP($D3055,OperationVoice!$A:$A,OperationVoice!AE:AE,XLOOKUP($D3055,OperationTickets!$A:$A,OperationTickets!AE:AE,"",0)),"hh:mm"))</f>
        <v>08:00</v>
      </c>
      <c r="G3055" s="309">
        <f t="shared" si="3"/>
        <v>0.7083333333</v>
      </c>
      <c r="H3055" s="316">
        <f t="array" ref="H3055">XLOOKUP(B3055,Roster!L:L,Roster!N:N,XLOOKUP(D3055,TicketsBreak!A:A,TicketsBreak!E:E,"",0),0)</f>
        <v>0.4166666667</v>
      </c>
      <c r="I3055" s="316">
        <f t="array" ref="I3055">XLOOKUP(B3055,Roster!L:L,Roster!O:O,XLOOKUP(D3055,TicketsBreak!A:A,TicketsBreak!F:F,"",0),0)</f>
        <v>0.5347222222</v>
      </c>
      <c r="J3055" s="316">
        <f t="array" ref="J3055">XLOOKUP(B3055,Roster!L:L,Roster!P:P,XLOOKUP(D3055,TicketsBreak!A:A,TicketsBreak!G:G,"",0),0)</f>
        <v>0.65625</v>
      </c>
      <c r="K3055" s="310">
        <f t="shared" si="4"/>
        <v>46137</v>
      </c>
      <c r="L3055" s="317">
        <f t="array" ref="L3055">(XLOOKUP(D3055,Roster!F:F,Roster!D:D,"",0))</f>
        <v>7</v>
      </c>
      <c r="M3055" s="317" t="str">
        <f t="array" ref="M3055">XLOOKUP(D3055,Roster!F:F,Roster!E:E)</f>
        <v>Tickets</v>
      </c>
      <c r="N3055" s="317" t="str">
        <f t="shared" ref="N3055:P3055" si="3098">LEFT(H3055,5)</f>
        <v>10:00</v>
      </c>
      <c r="O3055" s="317" t="str">
        <f t="shared" si="3098"/>
        <v>12:50</v>
      </c>
      <c r="P3055" s="317" t="str">
        <f t="shared" si="3098"/>
        <v>15:45</v>
      </c>
      <c r="Q3055" s="318">
        <f t="shared" si="3075"/>
        <v>46137.41667</v>
      </c>
      <c r="R3055" s="318">
        <f t="shared" si="2934"/>
        <v>46137.53472</v>
      </c>
      <c r="S3055" s="318">
        <f t="shared" si="8"/>
        <v>46137.65625</v>
      </c>
    </row>
    <row r="3056">
      <c r="A3056" s="14" t="str">
        <f t="shared" si="1"/>
        <v>C137646137</v>
      </c>
      <c r="B3056" s="185" t="str">
        <f t="array" ref="B3056">IF(F3056="VL","",IF(F3056="Free","Free",XLOOKUP(D3056,Roster!T:T,Roster!S:S,"",0)))</f>
        <v/>
      </c>
      <c r="C3056" s="313">
        <v>46137.0</v>
      </c>
      <c r="D3056" s="314" t="s">
        <v>151</v>
      </c>
      <c r="E3056" s="307" t="str">
        <f t="array" ref="E3056">(XLOOKUP(D3056,Roster!F:F,Roster!B:B,"",0))</f>
        <v>Sebastian Quiroz</v>
      </c>
      <c r="F3056" s="315" t="str">
        <f t="array" ref="F3056">IF(B3056=100,"Free",TEXT(XLOOKUP($D3056,OperationVoice!$A:$A,OperationVoice!AE:AE,XLOOKUP($D3056,OperationTickets!$A:$A,OperationTickets!AE:AE,"",0)),"hh:mm"))</f>
        <v>08:00</v>
      </c>
      <c r="G3056" s="309">
        <f t="shared" si="3"/>
        <v>0.7083333333</v>
      </c>
      <c r="H3056" s="316" t="str">
        <f t="array" ref="H3056">XLOOKUP(B3056,Roster!L:L,Roster!N:N,XLOOKUP(D3056,TicketsBreak!A:A,TicketsBreak!E:E,"",0),0)</f>
        <v/>
      </c>
      <c r="I3056" s="316" t="str">
        <f t="array" ref="I3056">XLOOKUP(B3056,Roster!L:L,Roster!O:O,XLOOKUP(D3056,TicketsBreak!A:A,TicketsBreak!F:F,"",0),0)</f>
        <v/>
      </c>
      <c r="J3056" s="316" t="str">
        <f t="array" ref="J3056">XLOOKUP(B3056,Roster!L:L,Roster!P:P,XLOOKUP(D3056,TicketsBreak!A:A,TicketsBreak!G:G,"",0),0)</f>
        <v/>
      </c>
      <c r="K3056" s="310">
        <f t="shared" si="4"/>
        <v>46137</v>
      </c>
      <c r="L3056" s="317">
        <f t="array" ref="L3056">(XLOOKUP(D3056,Roster!F:F,Roster!D:D,"",0))</f>
        <v>31</v>
      </c>
      <c r="M3056" s="317" t="str">
        <f t="array" ref="M3056">XLOOKUP(D3056,Roster!F:F,Roster!E:E)</f>
        <v>Tickets</v>
      </c>
      <c r="N3056" s="317" t="str">
        <f t="shared" ref="N3056:P3056" si="3099">LEFT(H3056,5)</f>
        <v/>
      </c>
      <c r="O3056" s="317" t="str">
        <f t="shared" si="3099"/>
        <v/>
      </c>
      <c r="P3056" s="317" t="str">
        <f t="shared" si="3099"/>
        <v/>
      </c>
      <c r="Q3056" s="318" t="str">
        <f t="shared" si="3075"/>
        <v/>
      </c>
      <c r="R3056" s="318" t="str">
        <f t="shared" si="2934"/>
        <v/>
      </c>
      <c r="S3056" s="318" t="str">
        <f t="shared" si="8"/>
        <v/>
      </c>
    </row>
    <row r="3057">
      <c r="A3057" s="14" t="str">
        <f t="shared" si="1"/>
        <v>C72646137</v>
      </c>
      <c r="B3057" s="185" t="str">
        <f t="array" ref="B3057">IF(F3057="VL","",IF(F3057="Free","Free",XLOOKUP(D3057,Roster!T:T,Roster!S:S,"",0)))</f>
        <v>Free</v>
      </c>
      <c r="C3057" s="313">
        <v>46137.0</v>
      </c>
      <c r="D3057" s="314" t="s">
        <v>185</v>
      </c>
      <c r="E3057" s="307" t="str">
        <f t="array" ref="E3057">(XLOOKUP(D3057,Roster!F:F,Roster!B:B,"",0))</f>
        <v>Sebastian Rodriguez</v>
      </c>
      <c r="F3057" s="315" t="str">
        <f t="array" ref="F3057">IF(B3057=100,"Free",TEXT(XLOOKUP($D3057,OperationVoice!$A:$A,OperationVoice!AE:AE,XLOOKUP($D3057,OperationTickets!$A:$A,OperationTickets!AE:AE,"",0)),"hh:mm"))</f>
        <v>Free</v>
      </c>
      <c r="G3057" s="309" t="str">
        <f t="shared" si="3"/>
        <v>Free</v>
      </c>
      <c r="H3057" s="316">
        <f t="array" ref="H3057">XLOOKUP(B3057,Roster!L:L,Roster!N:N,XLOOKUP(D3057,TicketsBreak!A:A,TicketsBreak!E:E,"",0),0)</f>
        <v>0.4166666667</v>
      </c>
      <c r="I3057" s="316">
        <f t="array" ref="I3057">XLOOKUP(B3057,Roster!L:L,Roster!O:O,XLOOKUP(D3057,TicketsBreak!A:A,TicketsBreak!F:F,"",0),0)</f>
        <v>0.5625</v>
      </c>
      <c r="J3057" s="316">
        <f t="array" ref="J3057">XLOOKUP(B3057,Roster!L:L,Roster!P:P,XLOOKUP(D3057,TicketsBreak!A:A,TicketsBreak!G:G,"",0),0)</f>
        <v>0.6458333333</v>
      </c>
      <c r="K3057" s="310">
        <f t="shared" si="4"/>
        <v>46137</v>
      </c>
      <c r="L3057" s="317">
        <f t="array" ref="L3057">(XLOOKUP(D3057,Roster!F:F,Roster!D:D,"",0))</f>
        <v>7</v>
      </c>
      <c r="M3057" s="317" t="str">
        <f t="array" ref="M3057">XLOOKUP(D3057,Roster!F:F,Roster!E:E)</f>
        <v>Tickets</v>
      </c>
      <c r="N3057" s="317" t="str">
        <f t="shared" ref="N3057:P3057" si="3100">LEFT(H3057,5)</f>
        <v>10:00</v>
      </c>
      <c r="O3057" s="317" t="str">
        <f t="shared" si="3100"/>
        <v>13:30</v>
      </c>
      <c r="P3057" s="317" t="str">
        <f t="shared" si="3100"/>
        <v>15:30</v>
      </c>
      <c r="Q3057" s="318">
        <f t="shared" si="3075"/>
        <v>46137.41667</v>
      </c>
      <c r="R3057" s="318">
        <f t="shared" si="2934"/>
        <v>46137.5625</v>
      </c>
      <c r="S3057" s="318">
        <f t="shared" si="8"/>
        <v>46137.64583</v>
      </c>
    </row>
    <row r="3058">
      <c r="A3058" s="14" t="str">
        <f t="shared" si="1"/>
        <v>C60246137</v>
      </c>
      <c r="B3058" s="185" t="str">
        <f t="array" ref="B3058">IF(F3058="VL","",IF(F3058="Free","Free",XLOOKUP(D3058,Roster!T:T,Roster!S:S,"",0)))</f>
        <v/>
      </c>
      <c r="C3058" s="313">
        <v>46137.0</v>
      </c>
      <c r="D3058" s="314" t="s">
        <v>170</v>
      </c>
      <c r="E3058" s="307" t="str">
        <f t="array" ref="E3058">(XLOOKUP(D3058,Roster!F:F,Roster!B:B,"",0))</f>
        <v>Sebastian Torres</v>
      </c>
      <c r="F3058" s="315" t="str">
        <f t="array" ref="F3058">IF(B3058=100,"Free",TEXT(XLOOKUP($D3058,OperationVoice!$A:$A,OperationVoice!AE:AE,XLOOKUP($D3058,OperationTickets!$A:$A,OperationTickets!AE:AE,"",0)),"hh:mm"))</f>
        <v>08:00</v>
      </c>
      <c r="G3058" s="309">
        <f t="shared" si="3"/>
        <v>0.7083333333</v>
      </c>
      <c r="H3058" s="316">
        <f t="array" ref="H3058">XLOOKUP(B3058,Roster!L:L,Roster!N:N,XLOOKUP(D3058,TicketsBreak!A:A,TicketsBreak!E:E,"",0),0)</f>
        <v>0.4583333333</v>
      </c>
      <c r="I3058" s="316">
        <f t="array" ref="I3058">XLOOKUP(B3058,Roster!L:L,Roster!O:O,XLOOKUP(D3058,TicketsBreak!A:A,TicketsBreak!F:F,"",0),0)</f>
        <v>0.5833333333</v>
      </c>
      <c r="J3058" s="316">
        <f t="array" ref="J3058">XLOOKUP(B3058,Roster!L:L,Roster!P:P,XLOOKUP(D3058,TicketsBreak!A:A,TicketsBreak!G:G,"",0),0)</f>
        <v>0.65625</v>
      </c>
      <c r="K3058" s="310">
        <f t="shared" si="4"/>
        <v>46137</v>
      </c>
      <c r="L3058" s="317">
        <f t="array" ref="L3058">(XLOOKUP(D3058,Roster!F:F,Roster!D:D,"",0))</f>
        <v>8</v>
      </c>
      <c r="M3058" s="317" t="str">
        <f t="array" ref="M3058">XLOOKUP(D3058,Roster!F:F,Roster!E:E)</f>
        <v>Tickets</v>
      </c>
      <c r="N3058" s="317" t="str">
        <f t="shared" ref="N3058:P3058" si="3101">LEFT(H3058,5)</f>
        <v>11:00</v>
      </c>
      <c r="O3058" s="317" t="str">
        <f t="shared" si="3101"/>
        <v>14:00</v>
      </c>
      <c r="P3058" s="317" t="str">
        <f t="shared" si="3101"/>
        <v>15:45</v>
      </c>
      <c r="Q3058" s="318">
        <f t="shared" si="3075"/>
        <v>46137.45833</v>
      </c>
      <c r="R3058" s="318">
        <f t="shared" si="2934"/>
        <v>46137.58333</v>
      </c>
      <c r="S3058" s="318">
        <f t="shared" si="8"/>
        <v>46137.65625</v>
      </c>
    </row>
    <row r="3059">
      <c r="A3059" s="14" t="str">
        <f t="shared" si="1"/>
        <v>C143146137</v>
      </c>
      <c r="B3059" s="185">
        <f t="array" ref="B3059">IF(F3059="VL","",IF(F3059="Free","Free",XLOOKUP(D3059,Roster!T:T,Roster!S:S,"",0)))</f>
        <v>151</v>
      </c>
      <c r="C3059" s="313">
        <v>46137.0</v>
      </c>
      <c r="D3059" s="314" t="s">
        <v>74</v>
      </c>
      <c r="E3059" s="307" t="str">
        <f t="array" ref="E3059">(XLOOKUP(D3059,Roster!F:F,Roster!B:B,"",0))</f>
        <v>Sebastian Torres Gomez</v>
      </c>
      <c r="F3059" s="315" t="str">
        <f t="array" ref="F3059">IF(B3059=100,"Free",TEXT(XLOOKUP($D3059,OperationVoice!$A:$A,OperationVoice!AE:AE,XLOOKUP($D3059,OperationTickets!$A:$A,OperationTickets!AE:AE,"",0)),"hh:mm"))</f>
        <v>11:00</v>
      </c>
      <c r="G3059" s="309">
        <f t="shared" si="3"/>
        <v>0.8333333333</v>
      </c>
      <c r="H3059" s="316" t="str">
        <f t="array" ref="H3059">XLOOKUP(B3059,Roster!L:L,Roster!N:N,XLOOKUP(D3059,TicketsBreak!A:A,TicketsBreak!E:E,"",0),0)</f>
        <v>12:15 - 12:30</v>
      </c>
      <c r="I3059" s="316" t="str">
        <f t="array" ref="I3059">XLOOKUP(B3059,Roster!L:L,Roster!O:O,XLOOKUP(D3059,TicketsBreak!A:A,TicketsBreak!F:F,"",0),0)</f>
        <v>14:00 - 14:30</v>
      </c>
      <c r="J3059" s="316" t="str">
        <f t="array" ref="J3059">XLOOKUP(B3059,Roster!L:L,Roster!P:P,XLOOKUP(D3059,TicketsBreak!A:A,TicketsBreak!G:G,"",0),0)</f>
        <v>17:15 - 17:30</v>
      </c>
      <c r="K3059" s="310">
        <f t="shared" si="4"/>
        <v>46137</v>
      </c>
      <c r="L3059" s="317">
        <f t="array" ref="L3059">(XLOOKUP(D3059,Roster!F:F,Roster!D:D,"",0))</f>
        <v>32</v>
      </c>
      <c r="M3059" s="317" t="str">
        <f t="array" ref="M3059">XLOOKUP(D3059,Roster!F:F,Roster!E:E)</f>
        <v>Voice</v>
      </c>
      <c r="N3059" s="317" t="str">
        <f t="shared" ref="N3059:P3059" si="3102">LEFT(H3059,5)</f>
        <v>12:15</v>
      </c>
      <c r="O3059" s="317" t="str">
        <f t="shared" si="3102"/>
        <v>14:00</v>
      </c>
      <c r="P3059" s="317" t="str">
        <f t="shared" si="3102"/>
        <v>17:15</v>
      </c>
      <c r="Q3059" s="318">
        <f t="shared" si="3075"/>
        <v>46137.51042</v>
      </c>
      <c r="R3059" s="318">
        <f t="shared" si="2934"/>
        <v>46137.58333</v>
      </c>
      <c r="S3059" s="318">
        <f t="shared" si="8"/>
        <v>46137.71875</v>
      </c>
    </row>
    <row r="3060">
      <c r="A3060" s="14" t="str">
        <f t="shared" si="1"/>
        <v>C149146137</v>
      </c>
      <c r="B3060" s="185" t="str">
        <f t="array" ref="B3060">IF(F3060="VL","",IF(F3060="Free","Free",XLOOKUP(D3060,Roster!T:T,Roster!S:S,"",0)))</f>
        <v/>
      </c>
      <c r="C3060" s="313">
        <v>46137.0</v>
      </c>
      <c r="D3060" s="314" t="s">
        <v>315</v>
      </c>
      <c r="E3060" s="307" t="str">
        <f t="array" ref="E3060">(XLOOKUP(D3060,Roster!F:F,Roster!B:B,"",0))</f>
        <v>Sebastian Vanegas</v>
      </c>
      <c r="F3060" s="315" t="str">
        <f t="array" ref="F3060">IF(B3060=100,"Free",TEXT(XLOOKUP($D3060,OperationVoice!$A:$A,OperationVoice!AE:AE,XLOOKUP($D3060,OperationTickets!$A:$A,OperationTickets!AE:AE,"",0)),"hh:mm"))</f>
        <v/>
      </c>
      <c r="G3060" s="309" t="str">
        <f t="shared" si="3"/>
        <v/>
      </c>
      <c r="H3060" s="316" t="str">
        <f t="array" ref="H3060">XLOOKUP(B3060,Roster!L:L,Roster!N:N,XLOOKUP(D3060,TicketsBreak!A:A,TicketsBreak!E:E,"",0),0)</f>
        <v/>
      </c>
      <c r="I3060" s="316" t="str">
        <f t="array" ref="I3060">XLOOKUP(B3060,Roster!L:L,Roster!O:O,XLOOKUP(D3060,TicketsBreak!A:A,TicketsBreak!F:F,"",0),0)</f>
        <v/>
      </c>
      <c r="J3060" s="316" t="str">
        <f t="array" ref="J3060">XLOOKUP(B3060,Roster!L:L,Roster!P:P,XLOOKUP(D3060,TicketsBreak!A:A,TicketsBreak!G:G,"",0),0)</f>
        <v/>
      </c>
      <c r="K3060" s="310">
        <f t="shared" si="4"/>
        <v>46137</v>
      </c>
      <c r="L3060" s="317">
        <f t="array" ref="L3060">(XLOOKUP(D3060,Roster!F:F,Roster!D:D,"",0))</f>
        <v>34</v>
      </c>
      <c r="M3060" s="317" t="str">
        <f t="array" ref="M3060">XLOOKUP(D3060,Roster!F:F,Roster!E:E)</f>
        <v>Voice</v>
      </c>
      <c r="N3060" s="317" t="str">
        <f t="shared" ref="N3060:P3060" si="3103">LEFT(H3060,5)</f>
        <v/>
      </c>
      <c r="O3060" s="317" t="str">
        <f t="shared" si="3103"/>
        <v/>
      </c>
      <c r="P3060" s="317" t="str">
        <f t="shared" si="3103"/>
        <v/>
      </c>
      <c r="Q3060" s="318" t="str">
        <f t="shared" si="3075"/>
        <v/>
      </c>
      <c r="R3060" s="318" t="str">
        <f t="shared" si="2934"/>
        <v/>
      </c>
      <c r="S3060" s="318" t="str">
        <f t="shared" si="8"/>
        <v/>
      </c>
    </row>
    <row r="3061">
      <c r="A3061" s="14" t="str">
        <f t="shared" si="1"/>
        <v>C93746137</v>
      </c>
      <c r="B3061" s="185" t="str">
        <f t="array" ref="B3061">IF(F3061="VL","",IF(F3061="Free","Free",XLOOKUP(D3061,Roster!T:T,Roster!S:S,"",0)))</f>
        <v>Free</v>
      </c>
      <c r="C3061" s="313">
        <v>46137.0</v>
      </c>
      <c r="D3061" s="314" t="s">
        <v>75</v>
      </c>
      <c r="E3061" s="307" t="str">
        <f t="array" ref="E3061">(XLOOKUP(D3061,Roster!F:F,Roster!B:B,"",0))</f>
        <v>Sebastian Zapata</v>
      </c>
      <c r="F3061" s="315" t="str">
        <f t="array" ref="F3061">IF(B3061=100,"Free",TEXT(XLOOKUP($D3061,OperationVoice!$A:$A,OperationVoice!AE:AE,XLOOKUP($D3061,OperationTickets!$A:$A,OperationTickets!AE:AE,"",0)),"hh:mm"))</f>
        <v>Free</v>
      </c>
      <c r="G3061" s="309" t="str">
        <f t="shared" si="3"/>
        <v>Free</v>
      </c>
      <c r="H3061" s="316" t="str">
        <f t="array" ref="H3061">XLOOKUP(B3061,Roster!L:L,Roster!N:N,XLOOKUP(D3061,TicketsBreak!A:A,TicketsBreak!E:E,"",0),0)</f>
        <v/>
      </c>
      <c r="I3061" s="316" t="str">
        <f t="array" ref="I3061">XLOOKUP(B3061,Roster!L:L,Roster!O:O,XLOOKUP(D3061,TicketsBreak!A:A,TicketsBreak!F:F,"",0),0)</f>
        <v/>
      </c>
      <c r="J3061" s="316" t="str">
        <f t="array" ref="J3061">XLOOKUP(B3061,Roster!L:L,Roster!P:P,XLOOKUP(D3061,TicketsBreak!A:A,TicketsBreak!G:G,"",0),0)</f>
        <v/>
      </c>
      <c r="K3061" s="310">
        <f t="shared" si="4"/>
        <v>46137</v>
      </c>
      <c r="L3061" s="317">
        <f t="array" ref="L3061">(XLOOKUP(D3061,Roster!F:F,Roster!D:D,"",0))</f>
        <v>12</v>
      </c>
      <c r="M3061" s="317" t="str">
        <f t="array" ref="M3061">XLOOKUP(D3061,Roster!F:F,Roster!E:E)</f>
        <v>Voice</v>
      </c>
      <c r="N3061" s="317" t="str">
        <f t="shared" ref="N3061:P3061" si="3104">LEFT(H3061,5)</f>
        <v/>
      </c>
      <c r="O3061" s="317" t="str">
        <f t="shared" si="3104"/>
        <v/>
      </c>
      <c r="P3061" s="317" t="str">
        <f t="shared" si="3104"/>
        <v/>
      </c>
      <c r="Q3061" s="318" t="str">
        <f t="shared" si="3075"/>
        <v/>
      </c>
      <c r="R3061" s="318" t="str">
        <f t="shared" si="2934"/>
        <v/>
      </c>
      <c r="S3061" s="318" t="str">
        <f t="shared" si="8"/>
        <v/>
      </c>
    </row>
    <row r="3062">
      <c r="A3062" s="14" t="str">
        <f t="shared" si="1"/>
        <v>C156546137</v>
      </c>
      <c r="B3062" s="185">
        <f t="array" ref="B3062">IF(F3062="VL","",IF(F3062="Free","Free",XLOOKUP(D3062,Roster!T:T,Roster!S:S,"",0)))</f>
        <v>122</v>
      </c>
      <c r="C3062" s="313">
        <v>46137.0</v>
      </c>
      <c r="D3062" s="314" t="s">
        <v>76</v>
      </c>
      <c r="E3062" s="307" t="str">
        <f t="array" ref="E3062">(XLOOKUP(D3062,Roster!F:F,Roster!B:B,"",0))</f>
        <v>Sergio Rojas</v>
      </c>
      <c r="F3062" s="315" t="str">
        <f t="array" ref="F3062">IF(B3062=100,"Free",TEXT(XLOOKUP($D3062,OperationVoice!$A:$A,OperationVoice!AE:AE,XLOOKUP($D3062,OperationTickets!$A:$A,OperationTickets!AE:AE,"",0)),"hh:mm"))</f>
        <v>11:00</v>
      </c>
      <c r="G3062" s="309">
        <f t="shared" si="3"/>
        <v>0.8333333333</v>
      </c>
      <c r="H3062" s="316" t="str">
        <f t="array" ref="H3062">XLOOKUP(B3062,Roster!L:L,Roster!N:N,XLOOKUP(D3062,TicketsBreak!A:A,TicketsBreak!E:E,"",0),0)</f>
        <v>09:30 - 09:45</v>
      </c>
      <c r="I3062" s="316" t="str">
        <f t="array" ref="I3062">XLOOKUP(B3062,Roster!L:L,Roster!O:O,XLOOKUP(D3062,TicketsBreak!A:A,TicketsBreak!F:F,"",0),0)</f>
        <v>12:00 - 12:30</v>
      </c>
      <c r="J3062" s="316" t="str">
        <f t="array" ref="J3062">XLOOKUP(B3062,Roster!L:L,Roster!P:P,XLOOKUP(D3062,TicketsBreak!A:A,TicketsBreak!G:G,"",0),0)</f>
        <v>14:45 - 15:00</v>
      </c>
      <c r="K3062" s="310">
        <f t="shared" si="4"/>
        <v>46137</v>
      </c>
      <c r="L3062" s="317">
        <f t="array" ref="L3062">(XLOOKUP(D3062,Roster!F:F,Roster!D:D,"",0))</f>
        <v>38</v>
      </c>
      <c r="M3062" s="317" t="str">
        <f t="array" ref="M3062">XLOOKUP(D3062,Roster!F:F,Roster!E:E)</f>
        <v>Voice</v>
      </c>
      <c r="N3062" s="317" t="str">
        <f t="shared" ref="N3062:P3062" si="3105">LEFT(H3062,5)</f>
        <v>09:30</v>
      </c>
      <c r="O3062" s="317" t="str">
        <f t="shared" si="3105"/>
        <v>12:00</v>
      </c>
      <c r="P3062" s="317" t="str">
        <f t="shared" si="3105"/>
        <v>14:45</v>
      </c>
      <c r="Q3062" s="318">
        <f t="shared" si="3075"/>
        <v>46137.39583</v>
      </c>
      <c r="R3062" s="318">
        <f t="shared" si="2934"/>
        <v>46137.5</v>
      </c>
      <c r="S3062" s="318">
        <f t="shared" si="8"/>
        <v>46137.61458</v>
      </c>
    </row>
    <row r="3063">
      <c r="A3063" s="14" t="str">
        <f t="shared" si="1"/>
        <v>C147846137</v>
      </c>
      <c r="B3063" s="185" t="str">
        <f t="array" ref="B3063">IF(F3063="VL","",IF(F3063="Free","Free",XLOOKUP(D3063,Roster!T:T,Roster!S:S,"",0)))</f>
        <v/>
      </c>
      <c r="C3063" s="313">
        <v>46137.0</v>
      </c>
      <c r="D3063" s="314" t="s">
        <v>186</v>
      </c>
      <c r="E3063" s="307" t="str">
        <f t="array" ref="E3063">(XLOOKUP(D3063,Roster!F:F,Roster!B:B,"",0))</f>
        <v>Simon Atehortua</v>
      </c>
      <c r="F3063" s="315" t="str">
        <f t="array" ref="F3063">IF(B3063=100,"Free",TEXT(XLOOKUP($D3063,OperationVoice!$A:$A,OperationVoice!AE:AE,XLOOKUP($D3063,OperationTickets!$A:$A,OperationTickets!AE:AE,"",0)),"hh:mm"))</f>
        <v>07:00</v>
      </c>
      <c r="G3063" s="309">
        <f t="shared" si="3"/>
        <v>0.6666666667</v>
      </c>
      <c r="H3063" s="316" t="str">
        <f t="array" ref="H3063">XLOOKUP(B3063,Roster!L:L,Roster!N:N,XLOOKUP(D3063,TicketsBreak!A:A,TicketsBreak!E:E,"",0),0)</f>
        <v/>
      </c>
      <c r="I3063" s="316" t="str">
        <f t="array" ref="I3063">XLOOKUP(B3063,Roster!L:L,Roster!O:O,XLOOKUP(D3063,TicketsBreak!A:A,TicketsBreak!F:F,"",0),0)</f>
        <v/>
      </c>
      <c r="J3063" s="316" t="str">
        <f t="array" ref="J3063">XLOOKUP(B3063,Roster!L:L,Roster!P:P,XLOOKUP(D3063,TicketsBreak!A:A,TicketsBreak!G:G,"",0),0)</f>
        <v/>
      </c>
      <c r="K3063" s="310">
        <f t="shared" si="4"/>
        <v>46137</v>
      </c>
      <c r="L3063" s="317">
        <f t="array" ref="L3063">(XLOOKUP(D3063,Roster!F:F,Roster!D:D,"",0))</f>
        <v>32</v>
      </c>
      <c r="M3063" s="317" t="str">
        <f t="array" ref="M3063">XLOOKUP(D3063,Roster!F:F,Roster!E:E)</f>
        <v>Tickets</v>
      </c>
      <c r="N3063" s="317" t="str">
        <f t="shared" ref="N3063:P3063" si="3106">LEFT(H3063,5)</f>
        <v/>
      </c>
      <c r="O3063" s="317" t="str">
        <f t="shared" si="3106"/>
        <v/>
      </c>
      <c r="P3063" s="317" t="str">
        <f t="shared" si="3106"/>
        <v/>
      </c>
      <c r="Q3063" s="318" t="str">
        <f t="shared" si="3075"/>
        <v/>
      </c>
      <c r="R3063" s="318" t="str">
        <f t="shared" si="2934"/>
        <v/>
      </c>
      <c r="S3063" s="318" t="str">
        <f t="shared" si="8"/>
        <v/>
      </c>
    </row>
    <row r="3064">
      <c r="A3064" s="14" t="str">
        <f t="shared" si="1"/>
        <v>C148346137</v>
      </c>
      <c r="B3064" s="185" t="str">
        <f t="array" ref="B3064">IF(F3064="VL","",IF(F3064="Free","Free",XLOOKUP(D3064,Roster!T:T,Roster!S:S,"",0)))</f>
        <v>Free</v>
      </c>
      <c r="C3064" s="313">
        <v>46137.0</v>
      </c>
      <c r="D3064" s="314" t="s">
        <v>77</v>
      </c>
      <c r="E3064" s="307" t="str">
        <f t="array" ref="E3064">(XLOOKUP(D3064,Roster!F:F,Roster!B:B,"",0))</f>
        <v>Simon Zuluaica</v>
      </c>
      <c r="F3064" s="315" t="str">
        <f t="array" ref="F3064">IF(B3064=100,"Free",TEXT(XLOOKUP($D3064,OperationVoice!$A:$A,OperationVoice!AE:AE,XLOOKUP($D3064,OperationTickets!$A:$A,OperationTickets!AE:AE,"",0)),"hh:mm"))</f>
        <v>Free</v>
      </c>
      <c r="G3064" s="309" t="str">
        <f t="shared" si="3"/>
        <v>Free</v>
      </c>
      <c r="H3064" s="316" t="str">
        <f t="array" ref="H3064">XLOOKUP(B3064,Roster!L:L,Roster!N:N,XLOOKUP(D3064,TicketsBreak!A:A,TicketsBreak!E:E,"",0),0)</f>
        <v/>
      </c>
      <c r="I3064" s="316" t="str">
        <f t="array" ref="I3064">XLOOKUP(B3064,Roster!L:L,Roster!O:O,XLOOKUP(D3064,TicketsBreak!A:A,TicketsBreak!F:F,"",0),0)</f>
        <v/>
      </c>
      <c r="J3064" s="316" t="str">
        <f t="array" ref="J3064">XLOOKUP(B3064,Roster!L:L,Roster!P:P,XLOOKUP(D3064,TicketsBreak!A:A,TicketsBreak!G:G,"",0),0)</f>
        <v/>
      </c>
      <c r="K3064" s="310">
        <f t="shared" si="4"/>
        <v>46137</v>
      </c>
      <c r="L3064" s="317">
        <f t="array" ref="L3064">(XLOOKUP(D3064,Roster!F:F,Roster!D:D,"",0))</f>
        <v>34</v>
      </c>
      <c r="M3064" s="317" t="str">
        <f t="array" ref="M3064">XLOOKUP(D3064,Roster!F:F,Roster!E:E)</f>
        <v>Voice</v>
      </c>
      <c r="N3064" s="317" t="str">
        <f t="shared" ref="N3064:P3064" si="3107">LEFT(H3064,5)</f>
        <v/>
      </c>
      <c r="O3064" s="317" t="str">
        <f t="shared" si="3107"/>
        <v/>
      </c>
      <c r="P3064" s="317" t="str">
        <f t="shared" si="3107"/>
        <v/>
      </c>
      <c r="Q3064" s="318" t="str">
        <f t="shared" si="3075"/>
        <v/>
      </c>
      <c r="R3064" s="318" t="str">
        <f t="shared" si="2934"/>
        <v/>
      </c>
      <c r="S3064" s="318" t="str">
        <f t="shared" si="8"/>
        <v/>
      </c>
    </row>
    <row r="3065">
      <c r="A3065" s="14" t="str">
        <f t="shared" si="1"/>
        <v>C154046137</v>
      </c>
      <c r="B3065" s="185" t="str">
        <f t="array" ref="B3065">IF(F3065="VL","",IF(F3065="Free","Free",XLOOKUP(D3065,Roster!T:T,Roster!S:S,"",0)))</f>
        <v>Free</v>
      </c>
      <c r="C3065" s="313">
        <v>46137.0</v>
      </c>
      <c r="D3065" s="314" t="s">
        <v>78</v>
      </c>
      <c r="E3065" s="307" t="str">
        <f t="array" ref="E3065">(XLOOKUP(D3065,Roster!F:F,Roster!B:B,"",0))</f>
        <v>Tomas Perez</v>
      </c>
      <c r="F3065" s="315" t="str">
        <f t="array" ref="F3065">IF(B3065=100,"Free",TEXT(XLOOKUP($D3065,OperationVoice!$A:$A,OperationVoice!AE:AE,XLOOKUP($D3065,OperationTickets!$A:$A,OperationTickets!AE:AE,"",0)),"hh:mm"))</f>
        <v>Free</v>
      </c>
      <c r="G3065" s="309" t="str">
        <f t="shared" si="3"/>
        <v>Free</v>
      </c>
      <c r="H3065" s="316" t="str">
        <f t="array" ref="H3065">XLOOKUP(B3065,Roster!L:L,Roster!N:N,XLOOKUP(D3065,TicketsBreak!A:A,TicketsBreak!E:E,"",0),0)</f>
        <v/>
      </c>
      <c r="I3065" s="316" t="str">
        <f t="array" ref="I3065">XLOOKUP(B3065,Roster!L:L,Roster!O:O,XLOOKUP(D3065,TicketsBreak!A:A,TicketsBreak!F:F,"",0),0)</f>
        <v/>
      </c>
      <c r="J3065" s="316" t="str">
        <f t="array" ref="J3065">XLOOKUP(B3065,Roster!L:L,Roster!P:P,XLOOKUP(D3065,TicketsBreak!A:A,TicketsBreak!G:G,"",0),0)</f>
        <v/>
      </c>
      <c r="K3065" s="310">
        <f t="shared" si="4"/>
        <v>46137</v>
      </c>
      <c r="L3065" s="317">
        <f t="array" ref="L3065">(XLOOKUP(D3065,Roster!F:F,Roster!D:D,"",0))</f>
        <v>36</v>
      </c>
      <c r="M3065" s="317" t="str">
        <f t="array" ref="M3065">XLOOKUP(D3065,Roster!F:F,Roster!E:E)</f>
        <v>Voice</v>
      </c>
      <c r="N3065" s="317" t="str">
        <f t="shared" ref="N3065:P3065" si="3108">LEFT(H3065,5)</f>
        <v/>
      </c>
      <c r="O3065" s="317" t="str">
        <f t="shared" si="3108"/>
        <v/>
      </c>
      <c r="P3065" s="317" t="str">
        <f t="shared" si="3108"/>
        <v/>
      </c>
      <c r="Q3065" s="318" t="str">
        <f t="shared" si="3075"/>
        <v/>
      </c>
      <c r="R3065" s="318" t="str">
        <f t="shared" si="2934"/>
        <v/>
      </c>
      <c r="S3065" s="318" t="str">
        <f t="shared" si="8"/>
        <v/>
      </c>
    </row>
    <row r="3066">
      <c r="A3066" s="14" t="str">
        <f t="shared" si="1"/>
        <v>C154746137</v>
      </c>
      <c r="B3066" s="185" t="str">
        <f t="array" ref="B3066">IF(F3066="VL","",IF(F3066="Free","Free",XLOOKUP(D3066,Roster!T:T,Roster!S:S,"",0)))</f>
        <v>Free</v>
      </c>
      <c r="C3066" s="313">
        <v>46137.0</v>
      </c>
      <c r="D3066" s="314" t="s">
        <v>79</v>
      </c>
      <c r="E3066" s="307" t="str">
        <f t="array" ref="E3066">(XLOOKUP(D3066,Roster!F:F,Roster!B:B,"",0))</f>
        <v>Valentina Barreto</v>
      </c>
      <c r="F3066" s="315" t="str">
        <f t="array" ref="F3066">IF(B3066=100,"Free",TEXT(XLOOKUP($D3066,OperationVoice!$A:$A,OperationVoice!AE:AE,XLOOKUP($D3066,OperationTickets!$A:$A,OperationTickets!AE:AE,"",0)),"hh:mm"))</f>
        <v>Free</v>
      </c>
      <c r="G3066" s="309" t="str">
        <f t="shared" si="3"/>
        <v>Free</v>
      </c>
      <c r="H3066" s="316" t="str">
        <f t="array" ref="H3066">XLOOKUP(B3066,Roster!L:L,Roster!N:N,XLOOKUP(D3066,TicketsBreak!A:A,TicketsBreak!E:E,"",0),0)</f>
        <v/>
      </c>
      <c r="I3066" s="316" t="str">
        <f t="array" ref="I3066">XLOOKUP(B3066,Roster!L:L,Roster!O:O,XLOOKUP(D3066,TicketsBreak!A:A,TicketsBreak!F:F,"",0),0)</f>
        <v/>
      </c>
      <c r="J3066" s="316" t="str">
        <f t="array" ref="J3066">XLOOKUP(B3066,Roster!L:L,Roster!P:P,XLOOKUP(D3066,TicketsBreak!A:A,TicketsBreak!G:G,"",0),0)</f>
        <v/>
      </c>
      <c r="K3066" s="310">
        <f t="shared" si="4"/>
        <v>46137</v>
      </c>
      <c r="L3066" s="317">
        <f t="array" ref="L3066">(XLOOKUP(D3066,Roster!F:F,Roster!D:D,"",0))</f>
        <v>37</v>
      </c>
      <c r="M3066" s="317" t="str">
        <f t="array" ref="M3066">XLOOKUP(D3066,Roster!F:F,Roster!E:E)</f>
        <v>Voice</v>
      </c>
      <c r="N3066" s="317" t="str">
        <f t="shared" ref="N3066:P3066" si="3109">LEFT(H3066,5)</f>
        <v/>
      </c>
      <c r="O3066" s="317" t="str">
        <f t="shared" si="3109"/>
        <v/>
      </c>
      <c r="P3066" s="317" t="str">
        <f t="shared" si="3109"/>
        <v/>
      </c>
      <c r="Q3066" s="318" t="str">
        <f t="shared" si="3075"/>
        <v/>
      </c>
      <c r="R3066" s="318" t="str">
        <f t="shared" si="2934"/>
        <v/>
      </c>
      <c r="S3066" s="318" t="str">
        <f t="shared" si="8"/>
        <v/>
      </c>
    </row>
    <row r="3067">
      <c r="A3067" s="14" t="str">
        <f t="shared" si="1"/>
        <v>C155346137</v>
      </c>
      <c r="B3067" s="185">
        <f t="array" ref="B3067">IF(F3067="VL","",IF(F3067="Free","Free",XLOOKUP(D3067,Roster!T:T,Roster!S:S,"",0)))</f>
        <v>122</v>
      </c>
      <c r="C3067" s="313">
        <v>46137.0</v>
      </c>
      <c r="D3067" s="314" t="s">
        <v>80</v>
      </c>
      <c r="E3067" s="307" t="str">
        <f t="array" ref="E3067">(XLOOKUP(D3067,Roster!F:F,Roster!B:B,"",0))</f>
        <v>Valentina Castro</v>
      </c>
      <c r="F3067" s="315" t="str">
        <f t="array" ref="F3067">IF(B3067=100,"Free",TEXT(XLOOKUP($D3067,OperationVoice!$A:$A,OperationVoice!AE:AE,XLOOKUP($D3067,OperationTickets!$A:$A,OperationTickets!AE:AE,"",0)),"hh:mm"))</f>
        <v>08:00</v>
      </c>
      <c r="G3067" s="309">
        <f t="shared" si="3"/>
        <v>0.7083333333</v>
      </c>
      <c r="H3067" s="316" t="str">
        <f t="array" ref="H3067">XLOOKUP(B3067,Roster!L:L,Roster!N:N,XLOOKUP(D3067,TicketsBreak!A:A,TicketsBreak!E:E,"",0),0)</f>
        <v>09:30 - 09:45</v>
      </c>
      <c r="I3067" s="316" t="str">
        <f t="array" ref="I3067">XLOOKUP(B3067,Roster!L:L,Roster!O:O,XLOOKUP(D3067,TicketsBreak!A:A,TicketsBreak!F:F,"",0),0)</f>
        <v>12:00 - 12:30</v>
      </c>
      <c r="J3067" s="316" t="str">
        <f t="array" ref="J3067">XLOOKUP(B3067,Roster!L:L,Roster!P:P,XLOOKUP(D3067,TicketsBreak!A:A,TicketsBreak!G:G,"",0),0)</f>
        <v>14:45 - 15:00</v>
      </c>
      <c r="K3067" s="310">
        <f t="shared" si="4"/>
        <v>46137</v>
      </c>
      <c r="L3067" s="317">
        <f t="array" ref="L3067">(XLOOKUP(D3067,Roster!F:F,Roster!D:D,"",0))</f>
        <v>37</v>
      </c>
      <c r="M3067" s="317" t="str">
        <f t="array" ref="M3067">XLOOKUP(D3067,Roster!F:F,Roster!E:E)</f>
        <v>Voice</v>
      </c>
      <c r="N3067" s="317" t="str">
        <f t="shared" ref="N3067:P3067" si="3110">LEFT(H3067,5)</f>
        <v>09:30</v>
      </c>
      <c r="O3067" s="317" t="str">
        <f t="shared" si="3110"/>
        <v>12:00</v>
      </c>
      <c r="P3067" s="317" t="str">
        <f t="shared" si="3110"/>
        <v>14:45</v>
      </c>
      <c r="Q3067" s="318">
        <f t="shared" si="3075"/>
        <v>46137.39583</v>
      </c>
      <c r="R3067" s="318">
        <f t="shared" si="2934"/>
        <v>46137.5</v>
      </c>
      <c r="S3067" s="318">
        <f t="shared" si="8"/>
        <v>46137.61458</v>
      </c>
    </row>
    <row r="3068">
      <c r="A3068" s="14" t="str">
        <f t="shared" si="1"/>
        <v>C150246137</v>
      </c>
      <c r="B3068" s="185" t="str">
        <f t="array" ref="B3068">IF(F3068="VL","",IF(F3068="Free","Free",XLOOKUP(D3068,Roster!T:T,Roster!S:S,"",0)))</f>
        <v/>
      </c>
      <c r="C3068" s="313">
        <v>46137.0</v>
      </c>
      <c r="D3068" s="314" t="s">
        <v>316</v>
      </c>
      <c r="E3068" s="307" t="str">
        <f t="array" ref="E3068">(XLOOKUP(D3068,Roster!F:F,Roster!B:B,"",0))</f>
        <v>Valentina Gallego</v>
      </c>
      <c r="F3068" s="315" t="str">
        <f t="array" ref="F3068">IF(B3068=100,"Free",TEXT(XLOOKUP($D3068,OperationVoice!$A:$A,OperationVoice!AE:AE,XLOOKUP($D3068,OperationTickets!$A:$A,OperationTickets!AE:AE,"",0)),"hh:mm"))</f>
        <v/>
      </c>
      <c r="G3068" s="309" t="str">
        <f t="shared" si="3"/>
        <v/>
      </c>
      <c r="H3068" s="316" t="str">
        <f t="array" ref="H3068">XLOOKUP(B3068,Roster!L:L,Roster!N:N,XLOOKUP(D3068,TicketsBreak!A:A,TicketsBreak!E:E,"",0),0)</f>
        <v/>
      </c>
      <c r="I3068" s="316" t="str">
        <f t="array" ref="I3068">XLOOKUP(B3068,Roster!L:L,Roster!O:O,XLOOKUP(D3068,TicketsBreak!A:A,TicketsBreak!F:F,"",0),0)</f>
        <v/>
      </c>
      <c r="J3068" s="316" t="str">
        <f t="array" ref="J3068">XLOOKUP(B3068,Roster!L:L,Roster!P:P,XLOOKUP(D3068,TicketsBreak!A:A,TicketsBreak!G:G,"",0),0)</f>
        <v/>
      </c>
      <c r="K3068" s="310">
        <f t="shared" si="4"/>
        <v>46137</v>
      </c>
      <c r="L3068" s="317">
        <f t="array" ref="L3068">(XLOOKUP(D3068,Roster!F:F,Roster!D:D,"",0))</f>
        <v>35</v>
      </c>
      <c r="M3068" s="317" t="str">
        <f t="array" ref="M3068">XLOOKUP(D3068,Roster!F:F,Roster!E:E)</f>
        <v>Voice</v>
      </c>
      <c r="N3068" s="317" t="str">
        <f t="shared" ref="N3068:P3068" si="3111">LEFT(H3068,5)</f>
        <v/>
      </c>
      <c r="O3068" s="317" t="str">
        <f t="shared" si="3111"/>
        <v/>
      </c>
      <c r="P3068" s="317" t="str">
        <f t="shared" si="3111"/>
        <v/>
      </c>
      <c r="Q3068" s="318" t="str">
        <f t="shared" si="3075"/>
        <v/>
      </c>
      <c r="R3068" s="318" t="str">
        <f t="shared" si="2934"/>
        <v/>
      </c>
      <c r="S3068" s="318" t="str">
        <f t="shared" si="8"/>
        <v/>
      </c>
    </row>
    <row r="3069">
      <c r="A3069" s="14" t="str">
        <f t="shared" si="1"/>
        <v>C112646137</v>
      </c>
      <c r="B3069" s="185" t="str">
        <f t="array" ref="B3069">IF(F3069="VL","",IF(F3069="Free","Free",XLOOKUP(D3069,Roster!T:T,Roster!S:S,"",0)))</f>
        <v/>
      </c>
      <c r="C3069" s="313">
        <v>46137.0</v>
      </c>
      <c r="D3069" s="314" t="s">
        <v>152</v>
      </c>
      <c r="E3069" s="307" t="str">
        <f t="array" ref="E3069">(XLOOKUP(D3069,Roster!F:F,Roster!B:B,"",0))</f>
        <v>Valery Escobar</v>
      </c>
      <c r="F3069" s="315" t="str">
        <f t="array" ref="F3069">IF(B3069=100,"Free",TEXT(XLOOKUP($D3069,OperationVoice!$A:$A,OperationVoice!AE:AE,XLOOKUP($D3069,OperationTickets!$A:$A,OperationTickets!AE:AE,"",0)),"hh:mm"))</f>
        <v>08:00</v>
      </c>
      <c r="G3069" s="309">
        <f t="shared" si="3"/>
        <v>0.7083333333</v>
      </c>
      <c r="H3069" s="316">
        <f t="array" ref="H3069">XLOOKUP(B3069,Roster!L:L,Roster!N:N,XLOOKUP(D3069,TicketsBreak!A:A,TicketsBreak!E:E,"",0),0)</f>
        <v>0.3854166667</v>
      </c>
      <c r="I3069" s="316">
        <f t="array" ref="I3069">XLOOKUP(B3069,Roster!L:L,Roster!O:O,XLOOKUP(D3069,TicketsBreak!A:A,TicketsBreak!F:F,"",0),0)</f>
        <v>0.5</v>
      </c>
      <c r="J3069" s="316">
        <f t="array" ref="J3069">XLOOKUP(B3069,Roster!L:L,Roster!P:P,XLOOKUP(D3069,TicketsBreak!A:A,TicketsBreak!G:G,"",0),0)</f>
        <v>0.6041666667</v>
      </c>
      <c r="K3069" s="310">
        <f t="shared" si="4"/>
        <v>46137</v>
      </c>
      <c r="L3069" s="317">
        <f t="array" ref="L3069">(XLOOKUP(D3069,Roster!F:F,Roster!D:D,"",0))</f>
        <v>21</v>
      </c>
      <c r="M3069" s="317" t="str">
        <f t="array" ref="M3069">XLOOKUP(D3069,Roster!F:F,Roster!E:E)</f>
        <v>Tickets</v>
      </c>
      <c r="N3069" s="317" t="str">
        <f t="shared" ref="N3069:P3069" si="3112">LEFT(H3069,5)</f>
        <v>09:15</v>
      </c>
      <c r="O3069" s="317" t="str">
        <f t="shared" si="3112"/>
        <v>12:00</v>
      </c>
      <c r="P3069" s="317" t="str">
        <f t="shared" si="3112"/>
        <v>14:30</v>
      </c>
      <c r="Q3069" s="318">
        <f t="shared" si="3075"/>
        <v>46137.38542</v>
      </c>
      <c r="R3069" s="318">
        <f t="shared" si="2934"/>
        <v>46137.5</v>
      </c>
      <c r="S3069" s="318">
        <f t="shared" si="8"/>
        <v>46137.60417</v>
      </c>
    </row>
    <row r="3070">
      <c r="A3070" s="14" t="str">
        <f t="shared" si="1"/>
        <v>C155246137</v>
      </c>
      <c r="B3070" s="185">
        <f t="array" ref="B3070">IF(F3070="VL","",IF(F3070="Free","Free",XLOOKUP(D3070,Roster!T:T,Roster!S:S,"",0)))</f>
        <v>125</v>
      </c>
      <c r="C3070" s="313">
        <v>46137.0</v>
      </c>
      <c r="D3070" s="314" t="s">
        <v>81</v>
      </c>
      <c r="E3070" s="307" t="str">
        <f t="array" ref="E3070">(XLOOKUP(D3070,Roster!F:F,Roster!B:B,"",0))</f>
        <v>Wendy Machado</v>
      </c>
      <c r="F3070" s="315" t="str">
        <f t="array" ref="F3070">IF(B3070=100,"Free",TEXT(XLOOKUP($D3070,OperationVoice!$A:$A,OperationVoice!AE:AE,XLOOKUP($D3070,OperationTickets!$A:$A,OperationTickets!AE:AE,"",0)),"hh:mm"))</f>
        <v>08:00</v>
      </c>
      <c r="G3070" s="309">
        <f t="shared" si="3"/>
        <v>0.7083333333</v>
      </c>
      <c r="H3070" s="316" t="str">
        <f t="array" ref="H3070">XLOOKUP(B3070,Roster!L:L,Roster!N:N,XLOOKUP(D3070,TicketsBreak!A:A,TicketsBreak!E:E,"",0),0)</f>
        <v>10:30 - 10:45</v>
      </c>
      <c r="I3070" s="316" t="str">
        <f t="array" ref="I3070">XLOOKUP(B3070,Roster!L:L,Roster!O:O,XLOOKUP(D3070,TicketsBreak!A:A,TicketsBreak!F:F,"",0),0)</f>
        <v>13:30 - 14:00</v>
      </c>
      <c r="J3070" s="316" t="str">
        <f t="array" ref="J3070">XLOOKUP(B3070,Roster!L:L,Roster!P:P,XLOOKUP(D3070,TicketsBreak!A:A,TicketsBreak!G:G,"",0),0)</f>
        <v>15:45 - 16:00</v>
      </c>
      <c r="K3070" s="310">
        <f t="shared" si="4"/>
        <v>46137</v>
      </c>
      <c r="L3070" s="317">
        <f t="array" ref="L3070">(XLOOKUP(D3070,Roster!F:F,Roster!D:D,"",0))</f>
        <v>37</v>
      </c>
      <c r="M3070" s="317" t="str">
        <f t="array" ref="M3070">XLOOKUP(D3070,Roster!F:F,Roster!E:E)</f>
        <v>Voice</v>
      </c>
      <c r="N3070" s="317" t="str">
        <f t="shared" ref="N3070:P3070" si="3113">LEFT(H3070,5)</f>
        <v>10:30</v>
      </c>
      <c r="O3070" s="317" t="str">
        <f t="shared" si="3113"/>
        <v>13:30</v>
      </c>
      <c r="P3070" s="317" t="str">
        <f t="shared" si="3113"/>
        <v>15:45</v>
      </c>
      <c r="Q3070" s="318">
        <f t="shared" si="3075"/>
        <v>46137.4375</v>
      </c>
      <c r="R3070" s="318">
        <f t="shared" si="2934"/>
        <v>46137.5625</v>
      </c>
      <c r="S3070" s="318">
        <f t="shared" si="8"/>
        <v>46137.65625</v>
      </c>
    </row>
    <row r="3071">
      <c r="A3071" s="14" t="str">
        <f t="shared" si="1"/>
        <v>C78646137</v>
      </c>
      <c r="B3071" s="185" t="str">
        <f t="array" ref="B3071">IF(F3071="VL","",IF(F3071="Free","Free",XLOOKUP(D3071,Roster!T:T,Roster!S:S,"",0)))</f>
        <v>Free</v>
      </c>
      <c r="C3071" s="313">
        <v>46137.0</v>
      </c>
      <c r="D3071" s="314" t="s">
        <v>136</v>
      </c>
      <c r="E3071" s="307" t="str">
        <f t="array" ref="E3071">(XLOOKUP(D3071,Roster!F:F,Roster!B:B,"",0))</f>
        <v>Wendy Navarro</v>
      </c>
      <c r="F3071" s="315" t="str">
        <f t="array" ref="F3071">IF(B3071=100,"Free",TEXT(XLOOKUP($D3071,OperationVoice!$A:$A,OperationVoice!AE:AE,XLOOKUP($D3071,OperationTickets!$A:$A,OperationTickets!AE:AE,"",0)),"hh:mm"))</f>
        <v>Free</v>
      </c>
      <c r="G3071" s="309" t="str">
        <f t="shared" si="3"/>
        <v>Free</v>
      </c>
      <c r="H3071" s="316">
        <f t="array" ref="H3071">XLOOKUP(B3071,Roster!L:L,Roster!N:N,XLOOKUP(D3071,TicketsBreak!A:A,TicketsBreak!E:E,"",0),0)</f>
        <v>0.4166666667</v>
      </c>
      <c r="I3071" s="316">
        <f t="array" ref="I3071">XLOOKUP(B3071,Roster!L:L,Roster!O:O,XLOOKUP(D3071,TicketsBreak!A:A,TicketsBreak!F:F,"",0),0)</f>
        <v>0.5416666667</v>
      </c>
      <c r="J3071" s="316">
        <f t="array" ref="J3071">XLOOKUP(B3071,Roster!L:L,Roster!P:P,XLOOKUP(D3071,TicketsBreak!A:A,TicketsBreak!G:G,"",0),0)</f>
        <v>0.6458333333</v>
      </c>
      <c r="K3071" s="310">
        <f t="shared" si="4"/>
        <v>46137</v>
      </c>
      <c r="L3071" s="317">
        <f t="array" ref="L3071">(XLOOKUP(D3071,Roster!F:F,Roster!D:D,"",0))</f>
        <v>16</v>
      </c>
      <c r="M3071" s="317" t="str">
        <f t="array" ref="M3071">XLOOKUP(D3071,Roster!F:F,Roster!E:E)</f>
        <v>Tickets</v>
      </c>
      <c r="N3071" s="317" t="str">
        <f t="shared" ref="N3071:P3071" si="3114">LEFT(H3071,5)</f>
        <v>10:00</v>
      </c>
      <c r="O3071" s="317" t="str">
        <f t="shared" si="3114"/>
        <v>13:00</v>
      </c>
      <c r="P3071" s="317" t="str">
        <f t="shared" si="3114"/>
        <v>15:30</v>
      </c>
      <c r="Q3071" s="318">
        <f t="shared" si="3075"/>
        <v>46137.41667</v>
      </c>
      <c r="R3071" s="318">
        <f t="shared" si="2934"/>
        <v>46137.54167</v>
      </c>
      <c r="S3071" s="318">
        <f t="shared" si="8"/>
        <v>46137.64583</v>
      </c>
    </row>
    <row r="3072">
      <c r="A3072" s="14" t="str">
        <f t="shared" si="1"/>
        <v>C153746137</v>
      </c>
      <c r="B3072" s="185" t="str">
        <f t="array" ref="B3072">IF(F3072="VL","",IF(F3072="Free","Free",XLOOKUP(D3072,Roster!T:T,Roster!S:S,"",0)))</f>
        <v>Free</v>
      </c>
      <c r="C3072" s="313">
        <v>46137.0</v>
      </c>
      <c r="D3072" s="314" t="s">
        <v>82</v>
      </c>
      <c r="E3072" s="307" t="str">
        <f t="array" ref="E3072">(XLOOKUP(D3072,Roster!F:F,Roster!B:B,"",0))</f>
        <v>William Florez</v>
      </c>
      <c r="F3072" s="315" t="str">
        <f t="array" ref="F3072">IF(B3072=100,"Free",TEXT(XLOOKUP($D3072,OperationVoice!$A:$A,OperationVoice!AE:AE,XLOOKUP($D3072,OperationTickets!$A:$A,OperationTickets!AE:AE,"",0)),"hh:mm"))</f>
        <v>Free</v>
      </c>
      <c r="G3072" s="309" t="str">
        <f t="shared" si="3"/>
        <v>Free</v>
      </c>
      <c r="H3072" s="316" t="str">
        <f t="array" ref="H3072">XLOOKUP(B3072,Roster!L:L,Roster!N:N,XLOOKUP(D3072,TicketsBreak!A:A,TicketsBreak!E:E,"",0),0)</f>
        <v/>
      </c>
      <c r="I3072" s="316" t="str">
        <f t="array" ref="I3072">XLOOKUP(B3072,Roster!L:L,Roster!O:O,XLOOKUP(D3072,TicketsBreak!A:A,TicketsBreak!F:F,"",0),0)</f>
        <v/>
      </c>
      <c r="J3072" s="316" t="str">
        <f t="array" ref="J3072">XLOOKUP(B3072,Roster!L:L,Roster!P:P,XLOOKUP(D3072,TicketsBreak!A:A,TicketsBreak!G:G,"",0),0)</f>
        <v/>
      </c>
      <c r="K3072" s="310">
        <f t="shared" si="4"/>
        <v>46137</v>
      </c>
      <c r="L3072" s="317">
        <f t="array" ref="L3072">(XLOOKUP(D3072,Roster!F:F,Roster!D:D,"",0))</f>
        <v>36</v>
      </c>
      <c r="M3072" s="317" t="str">
        <f t="array" ref="M3072">XLOOKUP(D3072,Roster!F:F,Roster!E:E)</f>
        <v>Voice</v>
      </c>
      <c r="N3072" s="317" t="str">
        <f t="shared" ref="N3072:P3072" si="3115">LEFT(H3072,5)</f>
        <v/>
      </c>
      <c r="O3072" s="317" t="str">
        <f t="shared" si="3115"/>
        <v/>
      </c>
      <c r="P3072" s="317" t="str">
        <f t="shared" si="3115"/>
        <v/>
      </c>
      <c r="Q3072" s="318" t="str">
        <f t="shared" si="3075"/>
        <v/>
      </c>
      <c r="R3072" s="318" t="str">
        <f t="shared" si="2934"/>
        <v/>
      </c>
      <c r="S3072" s="318" t="str">
        <f t="shared" si="8"/>
        <v/>
      </c>
    </row>
    <row r="3073">
      <c r="A3073" s="14" t="str">
        <f t="shared" si="1"/>
        <v>C135346137</v>
      </c>
      <c r="B3073" s="185" t="str">
        <f t="array" ref="B3073">IF(F3073="VL","",IF(F3073="Free","Free",XLOOKUP(D3073,Roster!T:T,Roster!S:S,"",0)))</f>
        <v>Free</v>
      </c>
      <c r="C3073" s="313">
        <v>46137.0</v>
      </c>
      <c r="D3073" s="314" t="s">
        <v>83</v>
      </c>
      <c r="E3073" s="307" t="str">
        <f t="array" ref="E3073">(XLOOKUP(D3073,Roster!F:F,Roster!B:B,"",0))</f>
        <v>Wilson Martinez</v>
      </c>
      <c r="F3073" s="315" t="str">
        <f t="array" ref="F3073">IF(B3073=100,"Free",TEXT(XLOOKUP($D3073,OperationVoice!$A:$A,OperationVoice!AE:AE,XLOOKUP($D3073,OperationTickets!$A:$A,OperationTickets!AE:AE,"",0)),"hh:mm"))</f>
        <v>Free</v>
      </c>
      <c r="G3073" s="309" t="str">
        <f t="shared" si="3"/>
        <v>Free</v>
      </c>
      <c r="H3073" s="316" t="str">
        <f t="array" ref="H3073">XLOOKUP(B3073,Roster!L:L,Roster!N:N,XLOOKUP(D3073,TicketsBreak!A:A,TicketsBreak!E:E,"",0),0)</f>
        <v/>
      </c>
      <c r="I3073" s="316" t="str">
        <f t="array" ref="I3073">XLOOKUP(B3073,Roster!L:L,Roster!O:O,XLOOKUP(D3073,TicketsBreak!A:A,TicketsBreak!F:F,"",0),0)</f>
        <v/>
      </c>
      <c r="J3073" s="316" t="str">
        <f t="array" ref="J3073">XLOOKUP(B3073,Roster!L:L,Roster!P:P,XLOOKUP(D3073,TicketsBreak!A:A,TicketsBreak!G:G,"",0),0)</f>
        <v/>
      </c>
      <c r="K3073" s="310">
        <f t="shared" si="4"/>
        <v>46137</v>
      </c>
      <c r="L3073" s="317">
        <f t="array" ref="L3073">(XLOOKUP(D3073,Roster!F:F,Roster!D:D,"",0))</f>
        <v>30</v>
      </c>
      <c r="M3073" s="317" t="str">
        <f t="array" ref="M3073">XLOOKUP(D3073,Roster!F:F,Roster!E:E)</f>
        <v>Voice</v>
      </c>
      <c r="N3073" s="317" t="str">
        <f t="shared" ref="N3073:P3073" si="3116">LEFT(H3073,5)</f>
        <v/>
      </c>
      <c r="O3073" s="317" t="str">
        <f t="shared" si="3116"/>
        <v/>
      </c>
      <c r="P3073" s="317" t="str">
        <f t="shared" si="3116"/>
        <v/>
      </c>
      <c r="Q3073" s="318" t="str">
        <f t="shared" si="3075"/>
        <v/>
      </c>
      <c r="R3073" s="318" t="str">
        <f t="shared" si="2934"/>
        <v/>
      </c>
      <c r="S3073" s="318" t="str">
        <f t="shared" si="8"/>
        <v/>
      </c>
    </row>
    <row r="3074">
      <c r="A3074" s="14" t="str">
        <f t="shared" si="1"/>
        <v>C117346137</v>
      </c>
      <c r="B3074" s="185" t="str">
        <f t="array" ref="B3074">IF(F3074="VL","",IF(F3074="Free","Free",XLOOKUP(D3074,Roster!T:T,Roster!S:S,"",0)))</f>
        <v>Free</v>
      </c>
      <c r="C3074" s="313">
        <v>46137.0</v>
      </c>
      <c r="D3074" s="314" t="s">
        <v>84</v>
      </c>
      <c r="E3074" s="307" t="str">
        <f t="array" ref="E3074">(XLOOKUP(D3074,Roster!F:F,Roster!B:B,"",0))</f>
        <v>Yaidy Mosquera</v>
      </c>
      <c r="F3074" s="315" t="str">
        <f t="array" ref="F3074">IF(B3074=100,"Free",TEXT(XLOOKUP($D3074,OperationVoice!$A:$A,OperationVoice!AE:AE,XLOOKUP($D3074,OperationTickets!$A:$A,OperationTickets!AE:AE,"",0)),"hh:mm"))</f>
        <v>Free</v>
      </c>
      <c r="G3074" s="309" t="str">
        <f t="shared" si="3"/>
        <v>Free</v>
      </c>
      <c r="H3074" s="316" t="str">
        <f t="array" ref="H3074">XLOOKUP(B3074,Roster!L:L,Roster!N:N,XLOOKUP(D3074,TicketsBreak!A:A,TicketsBreak!E:E,"",0),0)</f>
        <v/>
      </c>
      <c r="I3074" s="316" t="str">
        <f t="array" ref="I3074">XLOOKUP(B3074,Roster!L:L,Roster!O:O,XLOOKUP(D3074,TicketsBreak!A:A,TicketsBreak!F:F,"",0),0)</f>
        <v/>
      </c>
      <c r="J3074" s="316" t="str">
        <f t="array" ref="J3074">XLOOKUP(B3074,Roster!L:L,Roster!P:P,XLOOKUP(D3074,TicketsBreak!A:A,TicketsBreak!G:G,"",0),0)</f>
        <v/>
      </c>
      <c r="K3074" s="310">
        <f t="shared" si="4"/>
        <v>46137</v>
      </c>
      <c r="L3074" s="317">
        <f t="array" ref="L3074">(XLOOKUP(D3074,Roster!F:F,Roster!D:D,"",0))</f>
        <v>24</v>
      </c>
      <c r="M3074" s="317" t="str">
        <f t="array" ref="M3074">XLOOKUP(D3074,Roster!F:F,Roster!E:E)</f>
        <v>Voice</v>
      </c>
      <c r="N3074" s="317" t="str">
        <f t="shared" ref="N3074:P3074" si="3117">LEFT(H3074,5)</f>
        <v/>
      </c>
      <c r="O3074" s="317" t="str">
        <f t="shared" si="3117"/>
        <v/>
      </c>
      <c r="P3074" s="317" t="str">
        <f t="shared" si="3117"/>
        <v/>
      </c>
      <c r="Q3074" s="318" t="str">
        <f t="shared" si="3075"/>
        <v/>
      </c>
      <c r="R3074" s="318" t="str">
        <f t="shared" si="2934"/>
        <v/>
      </c>
      <c r="S3074" s="318" t="str">
        <f t="shared" si="8"/>
        <v/>
      </c>
    </row>
    <row r="3075">
      <c r="A3075" s="14" t="str">
        <f t="shared" si="1"/>
        <v>C110846137</v>
      </c>
      <c r="B3075" s="185" t="str">
        <f t="array" ref="B3075">IF(F3075="VL","",IF(F3075="Free","Free",XLOOKUP(D3075,Roster!T:T,Roster!S:S,"",0)))</f>
        <v/>
      </c>
      <c r="C3075" s="313">
        <v>46137.0</v>
      </c>
      <c r="D3075" s="314" t="s">
        <v>187</v>
      </c>
      <c r="E3075" s="307" t="str">
        <f t="array" ref="E3075">(XLOOKUP(D3075,Roster!F:F,Roster!B:B,"",0))</f>
        <v>Yeiner Tapias</v>
      </c>
      <c r="F3075" s="315" t="str">
        <f t="array" ref="F3075">IF(B3075=100,"Free",TEXT(XLOOKUP($D3075,OperationVoice!$A:$A,OperationVoice!AE:AE,XLOOKUP($D3075,OperationTickets!$A:$A,OperationTickets!AE:AE,"",0)),"hh:mm"))</f>
        <v>08:00</v>
      </c>
      <c r="G3075" s="309">
        <f t="shared" si="3"/>
        <v>0.7083333333</v>
      </c>
      <c r="H3075" s="316">
        <f t="array" ref="H3075">XLOOKUP(B3075,Roster!L:L,Roster!N:N,XLOOKUP(D3075,TicketsBreak!A:A,TicketsBreak!E:E,"",0),0)</f>
        <v>0.3958333333</v>
      </c>
      <c r="I3075" s="316">
        <f t="array" ref="I3075">XLOOKUP(B3075,Roster!L:L,Roster!O:O,XLOOKUP(D3075,TicketsBreak!A:A,TicketsBreak!F:F,"",0),0)</f>
        <v>0.5208333333</v>
      </c>
      <c r="J3075" s="316">
        <f t="array" ref="J3075">XLOOKUP(B3075,Roster!L:L,Roster!P:P,XLOOKUP(D3075,TicketsBreak!A:A,TicketsBreak!G:G,"",0),0)</f>
        <v>0.6145833333</v>
      </c>
      <c r="K3075" s="310">
        <f t="shared" si="4"/>
        <v>46137</v>
      </c>
      <c r="L3075" s="317">
        <f t="array" ref="L3075">(XLOOKUP(D3075,Roster!F:F,Roster!D:D,"",0))</f>
        <v>20</v>
      </c>
      <c r="M3075" s="317" t="str">
        <f t="array" ref="M3075">XLOOKUP(D3075,Roster!F:F,Roster!E:E)</f>
        <v>Tickets</v>
      </c>
      <c r="N3075" s="317" t="str">
        <f t="shared" ref="N3075:P3075" si="3118">LEFT(H3075,5)</f>
        <v>09:30</v>
      </c>
      <c r="O3075" s="317" t="str">
        <f t="shared" si="3118"/>
        <v>12:30</v>
      </c>
      <c r="P3075" s="317" t="str">
        <f t="shared" si="3118"/>
        <v>14:45</v>
      </c>
      <c r="Q3075" s="318">
        <f t="shared" si="3075"/>
        <v>46137.39583</v>
      </c>
      <c r="R3075" s="318">
        <f t="shared" si="2934"/>
        <v>46137.52083</v>
      </c>
      <c r="S3075" s="318">
        <f t="shared" si="8"/>
        <v>46137.61458</v>
      </c>
    </row>
    <row r="3076">
      <c r="A3076" s="14" t="str">
        <f t="shared" si="1"/>
        <v>C153946137</v>
      </c>
      <c r="B3076" s="185">
        <f t="array" ref="B3076">IF(F3076="VL","",IF(F3076="Free","Free",XLOOKUP(D3076,Roster!T:T,Roster!S:S,"",0)))</f>
        <v>123</v>
      </c>
      <c r="C3076" s="313">
        <v>46137.0</v>
      </c>
      <c r="D3076" s="314" t="s">
        <v>85</v>
      </c>
      <c r="E3076" s="307" t="str">
        <f t="array" ref="E3076">(XLOOKUP(D3076,Roster!F:F,Roster!B:B,"",0))</f>
        <v>Yovanny Ceballos</v>
      </c>
      <c r="F3076" s="315" t="str">
        <f t="array" ref="F3076">IF(B3076=100,"Free",TEXT(XLOOKUP($D3076,OperationVoice!$A:$A,OperationVoice!AE:AE,XLOOKUP($D3076,OperationTickets!$A:$A,OperationTickets!AE:AE,"",0)),"hh:mm"))</f>
        <v/>
      </c>
      <c r="G3076" s="309" t="str">
        <f t="shared" si="3"/>
        <v/>
      </c>
      <c r="H3076" s="316" t="str">
        <f t="array" ref="H3076">XLOOKUP(B3076,Roster!L:L,Roster!N:N,XLOOKUP(D3076,TicketsBreak!A:A,TicketsBreak!E:E,"",0),0)</f>
        <v>09:45 - 10:00 </v>
      </c>
      <c r="I3076" s="316" t="str">
        <f t="array" ref="I3076">XLOOKUP(B3076,Roster!L:L,Roster!O:O,XLOOKUP(D3076,TicketsBreak!A:A,TicketsBreak!F:F,"",0),0)</f>
        <v>12:30 - 13:00</v>
      </c>
      <c r="J3076" s="316" t="str">
        <f t="array" ref="J3076">XLOOKUP(B3076,Roster!L:L,Roster!P:P,XLOOKUP(D3076,TicketsBreak!A:A,TicketsBreak!G:G,"",0),0)</f>
        <v>15:00 - 15:15</v>
      </c>
      <c r="K3076" s="310">
        <f t="shared" si="4"/>
        <v>46137</v>
      </c>
      <c r="L3076" s="317">
        <f t="array" ref="L3076">(XLOOKUP(D3076,Roster!F:F,Roster!D:D,"",0))</f>
        <v>36</v>
      </c>
      <c r="M3076" s="317" t="str">
        <f t="array" ref="M3076">XLOOKUP(D3076,Roster!F:F,Roster!E:E)</f>
        <v>Voice</v>
      </c>
      <c r="N3076" s="317" t="str">
        <f t="shared" ref="N3076:P3076" si="3119">LEFT(H3076,5)</f>
        <v>09:45</v>
      </c>
      <c r="O3076" s="317" t="str">
        <f t="shared" si="3119"/>
        <v>12:30</v>
      </c>
      <c r="P3076" s="317" t="str">
        <f t="shared" si="3119"/>
        <v>15:00</v>
      </c>
      <c r="Q3076" s="318">
        <f t="shared" si="3075"/>
        <v>46137.40625</v>
      </c>
      <c r="R3076" s="318">
        <f t="shared" si="2934"/>
        <v>46137.52083</v>
      </c>
      <c r="S3076" s="318">
        <f t="shared" si="8"/>
        <v>46137.625</v>
      </c>
    </row>
    <row r="3077">
      <c r="A3077" s="14" t="str">
        <f t="shared" si="1"/>
        <v>46137</v>
      </c>
      <c r="B3077" s="185" t="str">
        <f t="array" ref="B3077">IF(F3077="VL","",IF(F3077="Free","Free",XLOOKUP(D3077,Roster!T:T,Roster!S:S,"",0)))</f>
        <v/>
      </c>
      <c r="C3077" s="313">
        <v>46137.0</v>
      </c>
      <c r="D3077" s="314"/>
      <c r="E3077" s="307" t="str">
        <f t="array" ref="E3077">(XLOOKUP(D3077,Roster!F:F,Roster!B:B,"",0))</f>
        <v/>
      </c>
      <c r="F3077" s="315" t="str">
        <f t="array" ref="F3077">IF(B3077=100,"Free",TEXT(XLOOKUP($D3077,OperationVoice!$A:$A,OperationVoice!AE:AE,XLOOKUP($D3077,OperationTickets!$A:$A,OperationTickets!AE:AE,"",0)),"hh:mm"))</f>
        <v/>
      </c>
      <c r="G3077" s="309" t="str">
        <f t="shared" si="3"/>
        <v/>
      </c>
      <c r="H3077" s="316" t="str">
        <f t="array" ref="H3077">XLOOKUP(B3077,Roster!L:L,Roster!N:N,XLOOKUP(D3077,TicketsBreak!A:A,TicketsBreak!E:E,"",0),0)</f>
        <v/>
      </c>
      <c r="I3077" s="316" t="str">
        <f t="array" ref="I3077">XLOOKUP(B3077,Roster!L:L,Roster!O:O,XLOOKUP(D3077,TicketsBreak!A:A,TicketsBreak!F:F,"",0),0)</f>
        <v/>
      </c>
      <c r="J3077" s="316" t="str">
        <f t="array" ref="J3077">XLOOKUP(B3077,Roster!L:L,Roster!P:P,XLOOKUP(D3077,TicketsBreak!A:A,TicketsBreak!G:G,"",0),0)</f>
        <v/>
      </c>
      <c r="K3077" s="310">
        <f t="shared" si="4"/>
        <v>46137</v>
      </c>
      <c r="L3077" s="317" t="str">
        <f t="array" ref="L3077">(XLOOKUP(D3077,Roster!F:F,Roster!D:D,"",0))</f>
        <v/>
      </c>
      <c r="M3077" s="317" t="str">
        <f t="array" ref="M3077">XLOOKUP(D3077,Roster!F:F,Roster!E:E)</f>
        <v>#N/A</v>
      </c>
      <c r="N3077" s="317" t="str">
        <f t="shared" ref="N3077:P3077" si="3120">LEFT(H3077,5)</f>
        <v/>
      </c>
      <c r="O3077" s="317" t="str">
        <f t="shared" si="3120"/>
        <v/>
      </c>
      <c r="P3077" s="317" t="str">
        <f t="shared" si="3120"/>
        <v/>
      </c>
      <c r="Q3077" s="318" t="str">
        <f t="shared" si="3075"/>
        <v/>
      </c>
      <c r="R3077" s="318" t="str">
        <f t="shared" si="2934"/>
        <v/>
      </c>
      <c r="S3077" s="318" t="str">
        <f t="shared" si="8"/>
        <v/>
      </c>
    </row>
    <row r="3078">
      <c r="A3078" s="14" t="str">
        <f t="shared" si="1"/>
        <v>46137</v>
      </c>
      <c r="B3078" s="185" t="str">
        <f t="array" ref="B3078">IF(F3078="VL","",IF(F3078="Free","Free",XLOOKUP(D3078,Roster!T:T,Roster!S:S,"",0)))</f>
        <v/>
      </c>
      <c r="C3078" s="313">
        <v>46137.0</v>
      </c>
      <c r="D3078" s="314"/>
      <c r="E3078" s="307" t="str">
        <f t="array" ref="E3078">(XLOOKUP(D3078,Roster!F:F,Roster!B:B,"",0))</f>
        <v/>
      </c>
      <c r="F3078" s="315" t="str">
        <f t="array" ref="F3078">IF(B3078=100,"Free",TEXT(XLOOKUP($D3078,OperationVoice!$A:$A,OperationVoice!AE:AE,XLOOKUP($D3078,OperationTickets!$A:$A,OperationTickets!AE:AE,"",0)),"hh:mm"))</f>
        <v/>
      </c>
      <c r="G3078" s="309" t="str">
        <f t="shared" si="3"/>
        <v/>
      </c>
      <c r="H3078" s="316" t="str">
        <f t="array" ref="H3078">XLOOKUP(B3078,Roster!L:L,Roster!N:N,XLOOKUP(D3078,TicketsBreak!A:A,TicketsBreak!E:E,"",0),0)</f>
        <v/>
      </c>
      <c r="I3078" s="316" t="str">
        <f t="array" ref="I3078">XLOOKUP(B3078,Roster!L:L,Roster!O:O,XLOOKUP(D3078,TicketsBreak!A:A,TicketsBreak!F:F,"",0),0)</f>
        <v/>
      </c>
      <c r="J3078" s="316" t="str">
        <f t="array" ref="J3078">XLOOKUP(B3078,Roster!L:L,Roster!P:P,XLOOKUP(D3078,TicketsBreak!A:A,TicketsBreak!G:G,"",0),0)</f>
        <v/>
      </c>
      <c r="K3078" s="310">
        <f t="shared" si="4"/>
        <v>46137</v>
      </c>
      <c r="L3078" s="317" t="str">
        <f t="array" ref="L3078">(XLOOKUP(D3078,Roster!F:F,Roster!D:D,"",0))</f>
        <v/>
      </c>
      <c r="M3078" s="317" t="str">
        <f t="array" ref="M3078">XLOOKUP(D3078,Roster!F:F,Roster!E:E)</f>
        <v>#N/A</v>
      </c>
      <c r="N3078" s="317" t="str">
        <f t="shared" ref="N3078:P3078" si="3121">LEFT(H3078,5)</f>
        <v/>
      </c>
      <c r="O3078" s="317" t="str">
        <f t="shared" si="3121"/>
        <v/>
      </c>
      <c r="P3078" s="317" t="str">
        <f t="shared" si="3121"/>
        <v/>
      </c>
      <c r="Q3078" s="318" t="str">
        <f t="shared" si="3075"/>
        <v/>
      </c>
      <c r="R3078" s="318" t="str">
        <f t="shared" si="2934"/>
        <v/>
      </c>
      <c r="S3078" s="318" t="str">
        <f t="shared" si="8"/>
        <v/>
      </c>
    </row>
    <row r="3079">
      <c r="A3079" s="14" t="str">
        <f t="shared" si="1"/>
        <v>46137</v>
      </c>
      <c r="B3079" s="185" t="str">
        <f t="array" ref="B3079">IF(F3079="VL","",IF(F3079="Free","Free",XLOOKUP(D3079,Roster!T:T,Roster!S:S,"",0)))</f>
        <v/>
      </c>
      <c r="C3079" s="313">
        <v>46137.0</v>
      </c>
      <c r="D3079" s="314"/>
      <c r="E3079" s="307" t="str">
        <f t="array" ref="E3079">(XLOOKUP(D3079,Roster!F:F,Roster!B:B,"",0))</f>
        <v/>
      </c>
      <c r="F3079" s="315" t="str">
        <f t="array" ref="F3079">IF(B3079=100,"Free",TEXT(XLOOKUP($D3079,OperationVoice!$A:$A,OperationVoice!AE:AE,XLOOKUP($D3079,OperationTickets!$A:$A,OperationTickets!AE:AE,"",0)),"hh:mm"))</f>
        <v/>
      </c>
      <c r="G3079" s="309" t="str">
        <f t="shared" si="3"/>
        <v/>
      </c>
      <c r="H3079" s="316" t="str">
        <f t="array" ref="H3079">XLOOKUP(B3079,Roster!L:L,Roster!N:N,XLOOKUP(D3079,TicketsBreak!A:A,TicketsBreak!E:E,"",0),0)</f>
        <v/>
      </c>
      <c r="I3079" s="316" t="str">
        <f t="array" ref="I3079">XLOOKUP(B3079,Roster!L:L,Roster!O:O,XLOOKUP(D3079,TicketsBreak!A:A,TicketsBreak!F:F,"",0),0)</f>
        <v/>
      </c>
      <c r="J3079" s="316" t="str">
        <f t="array" ref="J3079">XLOOKUP(B3079,Roster!L:L,Roster!P:P,XLOOKUP(D3079,TicketsBreak!A:A,TicketsBreak!G:G,"",0),0)</f>
        <v/>
      </c>
      <c r="K3079" s="310">
        <f t="shared" si="4"/>
        <v>46137</v>
      </c>
      <c r="L3079" s="317" t="str">
        <f t="array" ref="L3079">(XLOOKUP(D3079,Roster!F:F,Roster!D:D,"",0))</f>
        <v/>
      </c>
      <c r="M3079" s="317" t="str">
        <f t="array" ref="M3079">XLOOKUP(D3079,Roster!F:F,Roster!E:E)</f>
        <v>#N/A</v>
      </c>
      <c r="N3079" s="317" t="str">
        <f t="shared" ref="N3079:P3079" si="3122">LEFT(H3079,5)</f>
        <v/>
      </c>
      <c r="O3079" s="317" t="str">
        <f t="shared" si="3122"/>
        <v/>
      </c>
      <c r="P3079" s="317" t="str">
        <f t="shared" si="3122"/>
        <v/>
      </c>
      <c r="Q3079" s="318" t="str">
        <f t="shared" si="3075"/>
        <v/>
      </c>
      <c r="R3079" s="318" t="str">
        <f t="shared" si="2934"/>
        <v/>
      </c>
      <c r="S3079" s="318" t="str">
        <f t="shared" si="8"/>
        <v/>
      </c>
    </row>
    <row r="3080">
      <c r="A3080" s="14" t="str">
        <f t="shared" si="1"/>
        <v>46137</v>
      </c>
      <c r="B3080" s="185" t="str">
        <f t="array" ref="B3080">IF(F3080="VL","",IF(F3080="Free","Free",XLOOKUP(D3080,Roster!T:T,Roster!S:S,"",0)))</f>
        <v/>
      </c>
      <c r="C3080" s="313">
        <v>46137.0</v>
      </c>
      <c r="D3080" s="314"/>
      <c r="E3080" s="307" t="str">
        <f t="array" ref="E3080">(XLOOKUP(D3080,Roster!F:F,Roster!B:B,"",0))</f>
        <v/>
      </c>
      <c r="F3080" s="315" t="str">
        <f t="array" ref="F3080">IF(B3080=100,"Free",TEXT(XLOOKUP($D3080,OperationVoice!$A:$A,OperationVoice!AE:AE,XLOOKUP($D3080,OperationTickets!$A:$A,OperationTickets!AE:AE,"",0)),"hh:mm"))</f>
        <v/>
      </c>
      <c r="G3080" s="309" t="str">
        <f t="shared" si="3"/>
        <v/>
      </c>
      <c r="H3080" s="316" t="str">
        <f t="array" ref="H3080">XLOOKUP(B3080,Roster!L:L,Roster!N:N,XLOOKUP(D3080,TicketsBreak!A:A,TicketsBreak!E:E,"",0),0)</f>
        <v/>
      </c>
      <c r="I3080" s="316" t="str">
        <f t="array" ref="I3080">XLOOKUP(B3080,Roster!L:L,Roster!O:O,XLOOKUP(D3080,TicketsBreak!A:A,TicketsBreak!F:F,"",0),0)</f>
        <v/>
      </c>
      <c r="J3080" s="316" t="str">
        <f t="array" ref="J3080">XLOOKUP(B3080,Roster!L:L,Roster!P:P,XLOOKUP(D3080,TicketsBreak!A:A,TicketsBreak!G:G,"",0),0)</f>
        <v/>
      </c>
      <c r="K3080" s="310">
        <f t="shared" si="4"/>
        <v>46137</v>
      </c>
      <c r="L3080" s="317" t="str">
        <f t="array" ref="L3080">(XLOOKUP(D3080,Roster!F:F,Roster!D:D,"",0))</f>
        <v/>
      </c>
      <c r="M3080" s="317" t="str">
        <f t="array" ref="M3080">XLOOKUP(D3080,Roster!F:F,Roster!E:E)</f>
        <v>#N/A</v>
      </c>
      <c r="N3080" s="317" t="str">
        <f t="shared" ref="N3080:P3080" si="3123">LEFT(H3080,5)</f>
        <v/>
      </c>
      <c r="O3080" s="317" t="str">
        <f t="shared" si="3123"/>
        <v/>
      </c>
      <c r="P3080" s="317" t="str">
        <f t="shared" si="3123"/>
        <v/>
      </c>
      <c r="Q3080" s="318" t="str">
        <f t="shared" si="3075"/>
        <v/>
      </c>
      <c r="R3080" s="318" t="str">
        <f t="shared" si="2934"/>
        <v/>
      </c>
      <c r="S3080" s="318" t="str">
        <f t="shared" si="8"/>
        <v/>
      </c>
    </row>
    <row r="3081">
      <c r="A3081" s="14" t="str">
        <f t="shared" si="1"/>
        <v>46137</v>
      </c>
      <c r="B3081" s="185" t="str">
        <f t="array" ref="B3081">IF(F3081="VL","",IF(F3081="Free","Free",XLOOKUP(D3081,Roster!T:T,Roster!S:S,"",0)))</f>
        <v/>
      </c>
      <c r="C3081" s="313">
        <v>46137.0</v>
      </c>
      <c r="D3081" s="314"/>
      <c r="E3081" s="307" t="str">
        <f t="array" ref="E3081">(XLOOKUP(D3081,Roster!F:F,Roster!B:B,"",0))</f>
        <v/>
      </c>
      <c r="F3081" s="315" t="str">
        <f t="array" ref="F3081">IF(B3081=100,"Free",TEXT(XLOOKUP($D3081,OperationVoice!$A:$A,OperationVoice!AE:AE,XLOOKUP($D3081,OperationTickets!$A:$A,OperationTickets!AE:AE,"",0)),"hh:mm"))</f>
        <v/>
      </c>
      <c r="G3081" s="309" t="str">
        <f t="shared" si="3"/>
        <v/>
      </c>
      <c r="H3081" s="316" t="str">
        <f t="array" ref="H3081">XLOOKUP(B3081,Roster!L:L,Roster!N:N,XLOOKUP(D3081,TicketsBreak!A:A,TicketsBreak!E:E,"",0),0)</f>
        <v/>
      </c>
      <c r="I3081" s="316" t="str">
        <f t="array" ref="I3081">XLOOKUP(B3081,Roster!L:L,Roster!O:O,XLOOKUP(D3081,TicketsBreak!A:A,TicketsBreak!F:F,"",0),0)</f>
        <v/>
      </c>
      <c r="J3081" s="316" t="str">
        <f t="array" ref="J3081">XLOOKUP(B3081,Roster!L:L,Roster!P:P,XLOOKUP(D3081,TicketsBreak!A:A,TicketsBreak!G:G,"",0),0)</f>
        <v/>
      </c>
      <c r="K3081" s="310">
        <f t="shared" si="4"/>
        <v>46137</v>
      </c>
      <c r="L3081" s="317" t="str">
        <f t="array" ref="L3081">(XLOOKUP(D3081,Roster!F:F,Roster!D:D,"",0))</f>
        <v/>
      </c>
      <c r="M3081" s="317" t="str">
        <f t="array" ref="M3081">XLOOKUP(D3081,Roster!F:F,Roster!E:E)</f>
        <v>#N/A</v>
      </c>
      <c r="N3081" s="317" t="str">
        <f t="shared" ref="N3081:P3081" si="3124">LEFT(H3081,5)</f>
        <v/>
      </c>
      <c r="O3081" s="317" t="str">
        <f t="shared" si="3124"/>
        <v/>
      </c>
      <c r="P3081" s="317" t="str">
        <f t="shared" si="3124"/>
        <v/>
      </c>
      <c r="Q3081" s="318" t="str">
        <f t="shared" si="3075"/>
        <v/>
      </c>
      <c r="R3081" s="318" t="str">
        <f t="shared" si="2934"/>
        <v/>
      </c>
      <c r="S3081" s="318" t="str">
        <f t="shared" si="8"/>
        <v/>
      </c>
    </row>
    <row r="3082">
      <c r="A3082" s="14" t="str">
        <f t="shared" si="1"/>
        <v>C81846139</v>
      </c>
      <c r="B3082" s="185">
        <f t="array" ref="B3082">IF(F3082="VL","",IF(F3082="Free","Free",XLOOKUP(D3082,Roster!T:T,Roster!S:S,"",0)))</f>
        <v>123</v>
      </c>
      <c r="C3082" s="313">
        <v>46139.0</v>
      </c>
      <c r="D3082" s="314" t="s">
        <v>9</v>
      </c>
      <c r="E3082" s="307" t="str">
        <f t="array" ref="E3082">(XLOOKUP(D3082,Roster!F:F,Roster!B:B,"",0))</f>
        <v>Adriana Moncaleano</v>
      </c>
      <c r="F3082" s="315" t="str">
        <f t="array" ref="F3082">IF(B3082=100,"Free",TEXT(XLOOKUP($D3082,OperationVoice!$A:$A,OperationVoice!AG:AG,XLOOKUP($D3082,OperationTickets!$A:$A,OperationTickets!AG:AG,"",0)),"hh:mm"))</f>
        <v>08:00</v>
      </c>
      <c r="G3082" s="309">
        <f t="shared" si="3"/>
        <v>0.7083333333</v>
      </c>
      <c r="H3082" s="316" t="str">
        <f t="array" ref="H3082">XLOOKUP(B3082,Roster!L:L,Roster!N:N,XLOOKUP(D3082,TicketsBreak!A:A,TicketsBreak!E:E,"",0),0)</f>
        <v>09:45 - 10:00 </v>
      </c>
      <c r="I3082" s="316" t="str">
        <f t="array" ref="I3082">XLOOKUP(B3082,Roster!L:L,Roster!O:O,XLOOKUP(D3082,TicketsBreak!A:A,TicketsBreak!F:F,"",0),0)</f>
        <v>12:30 - 13:00</v>
      </c>
      <c r="J3082" s="316" t="str">
        <f t="array" ref="J3082">XLOOKUP(B3082,Roster!L:L,Roster!P:P,XLOOKUP(D3082,TicketsBreak!A:A,TicketsBreak!G:G,"",0),0)</f>
        <v>15:00 - 15:15</v>
      </c>
      <c r="K3082" s="310">
        <f t="shared" si="4"/>
        <v>46139</v>
      </c>
      <c r="L3082" s="317">
        <f t="array" ref="L3082">(XLOOKUP(D3082,Roster!F:F,Roster!D:D,"",0))</f>
        <v>23</v>
      </c>
      <c r="M3082" s="317" t="str">
        <f t="array" ref="M3082">XLOOKUP(D3082,Roster!F:F,Roster!E:E)</f>
        <v>Voice</v>
      </c>
      <c r="N3082" s="317" t="str">
        <f t="shared" ref="N3082:P3082" si="3125">LEFT(H3082,5)</f>
        <v>09:45</v>
      </c>
      <c r="O3082" s="317" t="str">
        <f t="shared" si="3125"/>
        <v>12:30</v>
      </c>
      <c r="P3082" s="317" t="str">
        <f t="shared" si="3125"/>
        <v>15:00</v>
      </c>
      <c r="Q3082" s="318">
        <f t="shared" si="3075"/>
        <v>46139.40625</v>
      </c>
      <c r="R3082" s="318">
        <f t="shared" si="2934"/>
        <v>46139.52083</v>
      </c>
      <c r="S3082" s="318">
        <f t="shared" si="8"/>
        <v>46139.625</v>
      </c>
    </row>
    <row r="3083">
      <c r="A3083" s="14" t="str">
        <f t="shared" si="1"/>
        <v>C110746139</v>
      </c>
      <c r="B3083" s="185">
        <f t="array" ref="B3083">IF(F3083="VL","",IF(F3083="Free","Free",XLOOKUP(D3083,Roster!T:T,Roster!S:S,"",0)))</f>
        <v>153</v>
      </c>
      <c r="C3083" s="313">
        <v>46139.0</v>
      </c>
      <c r="D3083" s="314" t="s">
        <v>10</v>
      </c>
      <c r="E3083" s="307" t="str">
        <f t="array" ref="E3083">(XLOOKUP(D3083,Roster!F:F,Roster!B:B,"",0))</f>
        <v>Alejandro Malave</v>
      </c>
      <c r="F3083" s="315" t="str">
        <f t="array" ref="F3083">IF(B3083=100,"Free",TEXT(XLOOKUP($D3083,OperationVoice!$A:$A,OperationVoice!AG:AG,XLOOKUP($D3083,OperationTickets!$A:$A,OperationTickets!AG:AG,"",0)),"hh:mm"))</f>
        <v>11:00</v>
      </c>
      <c r="G3083" s="309">
        <f t="shared" si="3"/>
        <v>0.8333333333</v>
      </c>
      <c r="H3083" s="316" t="str">
        <f t="array" ref="H3083">XLOOKUP(B3083,Roster!L:L,Roster!N:N,XLOOKUP(D3083,TicketsBreak!A:A,TicketsBreak!E:E,"",0),0)</f>
        <v>12:45 - 13:00</v>
      </c>
      <c r="I3083" s="316" t="str">
        <f t="array" ref="I3083">XLOOKUP(B3083,Roster!L:L,Roster!O:O,XLOOKUP(D3083,TicketsBreak!A:A,TicketsBreak!F:F,"",0),0)</f>
        <v>15:00 - 15:30</v>
      </c>
      <c r="J3083" s="316" t="str">
        <f t="array" ref="J3083">XLOOKUP(B3083,Roster!L:L,Roster!P:P,XLOOKUP(D3083,TicketsBreak!A:A,TicketsBreak!G:G,"",0),0)</f>
        <v>17:45 - 18:00</v>
      </c>
      <c r="K3083" s="310">
        <f t="shared" si="4"/>
        <v>46139</v>
      </c>
      <c r="L3083" s="317">
        <f t="array" ref="L3083">(XLOOKUP(D3083,Roster!F:F,Roster!D:D,"",0))</f>
        <v>36</v>
      </c>
      <c r="M3083" s="317" t="str">
        <f t="array" ref="M3083">XLOOKUP(D3083,Roster!F:F,Roster!E:E)</f>
        <v>Voice</v>
      </c>
      <c r="N3083" s="317" t="str">
        <f t="shared" ref="N3083:P3083" si="3126">LEFT(H3083,5)</f>
        <v>12:45</v>
      </c>
      <c r="O3083" s="317" t="str">
        <f t="shared" si="3126"/>
        <v>15:00</v>
      </c>
      <c r="P3083" s="317" t="str">
        <f t="shared" si="3126"/>
        <v>17:45</v>
      </c>
      <c r="Q3083" s="318">
        <f t="shared" si="3075"/>
        <v>46139.53125</v>
      </c>
      <c r="R3083" s="318">
        <f t="shared" si="2934"/>
        <v>46139.625</v>
      </c>
      <c r="S3083" s="318">
        <f t="shared" si="8"/>
        <v>46139.73958</v>
      </c>
    </row>
    <row r="3084">
      <c r="A3084" s="14" t="str">
        <f t="shared" si="1"/>
        <v>C69946139</v>
      </c>
      <c r="B3084" s="185" t="str">
        <f t="array" ref="B3084">IF(F3084="VL","",IF(F3084="Free","Free",XLOOKUP(D3084,Roster!T:T,Roster!S:S,"",0)))</f>
        <v/>
      </c>
      <c r="C3084" s="313">
        <v>46139.0</v>
      </c>
      <c r="D3084" s="314" t="s">
        <v>137</v>
      </c>
      <c r="E3084" s="307" t="str">
        <f t="array" ref="E3084">(XLOOKUP(D3084,Roster!F:F,Roster!B:B,"",0))</f>
        <v>Alexa Arenas</v>
      </c>
      <c r="F3084" s="315" t="str">
        <f t="array" ref="F3084">IF(B3084=100,"Free",TEXT(XLOOKUP($D3084,OperationVoice!$A:$A,OperationVoice!AG:AG,XLOOKUP($D3084,OperationTickets!$A:$A,OperationTickets!AG:AG,"",0)),"hh:mm"))</f>
        <v>08:00</v>
      </c>
      <c r="G3084" s="309">
        <f t="shared" si="3"/>
        <v>0.7083333333</v>
      </c>
      <c r="H3084" s="316">
        <f t="array" ref="H3084">XLOOKUP(B3084,Roster!L:L,Roster!N:N,XLOOKUP(D3084,TicketsBreak!A:A,TicketsBreak!E:E,"",0),0)</f>
        <v>0.40625</v>
      </c>
      <c r="I3084" s="316">
        <f t="array" ref="I3084">XLOOKUP(B3084,Roster!L:L,Roster!O:O,XLOOKUP(D3084,TicketsBreak!A:A,TicketsBreak!F:F,"",0),0)</f>
        <v>0.5</v>
      </c>
      <c r="J3084" s="316">
        <f t="array" ref="J3084">XLOOKUP(B3084,Roster!L:L,Roster!P:P,XLOOKUP(D3084,TicketsBreak!A:A,TicketsBreak!G:G,"",0),0)</f>
        <v>0.65625</v>
      </c>
      <c r="K3084" s="310">
        <f t="shared" si="4"/>
        <v>46139</v>
      </c>
      <c r="L3084" s="317">
        <f t="array" ref="L3084">(XLOOKUP(D3084,Roster!F:F,Roster!D:D,"",0))</f>
        <v>5</v>
      </c>
      <c r="M3084" s="317" t="str">
        <f t="array" ref="M3084">XLOOKUP(D3084,Roster!F:F,Roster!E:E)</f>
        <v>Tickets</v>
      </c>
      <c r="N3084" s="317" t="str">
        <f t="shared" ref="N3084:P3084" si="3127">LEFT(H3084,5)</f>
        <v>09:45</v>
      </c>
      <c r="O3084" s="317" t="str">
        <f t="shared" si="3127"/>
        <v>12:00</v>
      </c>
      <c r="P3084" s="317" t="str">
        <f t="shared" si="3127"/>
        <v>15:45</v>
      </c>
      <c r="Q3084" s="318">
        <f t="shared" si="3075"/>
        <v>46139.40625</v>
      </c>
      <c r="R3084" s="318">
        <f t="shared" si="2934"/>
        <v>46139.5</v>
      </c>
      <c r="S3084" s="318">
        <f t="shared" si="8"/>
        <v>46139.65625</v>
      </c>
    </row>
    <row r="3085">
      <c r="A3085" s="14" t="str">
        <f t="shared" si="1"/>
        <v>C157046139</v>
      </c>
      <c r="B3085" s="185">
        <f t="array" ref="B3085">IF(F3085="VL","",IF(F3085="Free","Free",XLOOKUP(D3085,Roster!T:T,Roster!S:S,"",0)))</f>
        <v>123</v>
      </c>
      <c r="C3085" s="313">
        <v>46139.0</v>
      </c>
      <c r="D3085" s="314" t="s">
        <v>11</v>
      </c>
      <c r="E3085" s="307" t="str">
        <f t="array" ref="E3085">(XLOOKUP(D3085,Roster!F:F,Roster!B:B,"",0))</f>
        <v>Alexander Bartoli</v>
      </c>
      <c r="F3085" s="315" t="str">
        <f t="array" ref="F3085">IF(B3085=100,"Free",TEXT(XLOOKUP($D3085,OperationVoice!$A:$A,OperationVoice!AG:AG,XLOOKUP($D3085,OperationTickets!$A:$A,OperationTickets!AG:AG,"",0)),"hh:mm"))</f>
        <v>08:00</v>
      </c>
      <c r="G3085" s="309">
        <f t="shared" si="3"/>
        <v>0.7083333333</v>
      </c>
      <c r="H3085" s="316" t="str">
        <f t="array" ref="H3085">XLOOKUP(B3085,Roster!L:L,Roster!N:N,XLOOKUP(D3085,TicketsBreak!A:A,TicketsBreak!E:E,"",0),0)</f>
        <v>09:45 - 10:00 </v>
      </c>
      <c r="I3085" s="316" t="str">
        <f t="array" ref="I3085">XLOOKUP(B3085,Roster!L:L,Roster!O:O,XLOOKUP(D3085,TicketsBreak!A:A,TicketsBreak!F:F,"",0),0)</f>
        <v>12:30 - 13:00</v>
      </c>
      <c r="J3085" s="316" t="str">
        <f t="array" ref="J3085">XLOOKUP(B3085,Roster!L:L,Roster!P:P,XLOOKUP(D3085,TicketsBreak!A:A,TicketsBreak!G:G,"",0),0)</f>
        <v>15:00 - 15:15</v>
      </c>
      <c r="K3085" s="310">
        <f t="shared" si="4"/>
        <v>46139</v>
      </c>
      <c r="L3085" s="317">
        <f t="array" ref="L3085">(XLOOKUP(D3085,Roster!F:F,Roster!D:D,"",0))</f>
        <v>38</v>
      </c>
      <c r="M3085" s="317" t="str">
        <f t="array" ref="M3085">XLOOKUP(D3085,Roster!F:F,Roster!E:E)</f>
        <v>Voice</v>
      </c>
      <c r="N3085" s="317" t="str">
        <f t="shared" ref="N3085:P3085" si="3128">LEFT(H3085,5)</f>
        <v>09:45</v>
      </c>
      <c r="O3085" s="317" t="str">
        <f t="shared" si="3128"/>
        <v>12:30</v>
      </c>
      <c r="P3085" s="317" t="str">
        <f t="shared" si="3128"/>
        <v>15:00</v>
      </c>
      <c r="Q3085" s="318">
        <f t="shared" si="3075"/>
        <v>46139.40625</v>
      </c>
      <c r="R3085" s="318">
        <f t="shared" si="2934"/>
        <v>46139.52083</v>
      </c>
      <c r="S3085" s="318">
        <f t="shared" si="8"/>
        <v>46139.625</v>
      </c>
    </row>
    <row r="3086">
      <c r="A3086" s="14" t="str">
        <f t="shared" si="1"/>
        <v>C93546139</v>
      </c>
      <c r="B3086" s="185" t="str">
        <f t="array" ref="B3086">IF(F3086="VL","",IF(F3086="Free","Free",XLOOKUP(D3086,Roster!T:T,Roster!S:S,"",0)))</f>
        <v/>
      </c>
      <c r="C3086" s="313">
        <v>46139.0</v>
      </c>
      <c r="D3086" s="314" t="s">
        <v>153</v>
      </c>
      <c r="E3086" s="307" t="str">
        <f t="array" ref="E3086">(XLOOKUP(D3086,Roster!F:F,Roster!B:B,"",0))</f>
        <v>Alexis Arias</v>
      </c>
      <c r="F3086" s="315" t="str">
        <f t="array" ref="F3086">IF(B3086=100,"Free",TEXT(XLOOKUP($D3086,OperationVoice!$A:$A,OperationVoice!AG:AG,XLOOKUP($D3086,OperationTickets!$A:$A,OperationTickets!AG:AG,"",0)),"hh:mm"))</f>
        <v>07:30</v>
      </c>
      <c r="G3086" s="309">
        <f t="shared" si="3"/>
        <v>0.6875</v>
      </c>
      <c r="H3086" s="316">
        <f t="array" ref="H3086">XLOOKUP(B3086,Roster!L:L,Roster!N:N,XLOOKUP(D3086,TicketsBreak!A:A,TicketsBreak!E:E,"",0),0)</f>
        <v>0.4270833333</v>
      </c>
      <c r="I3086" s="316">
        <f t="array" ref="I3086">XLOOKUP(B3086,Roster!L:L,Roster!O:O,XLOOKUP(D3086,TicketsBreak!A:A,TicketsBreak!F:F,"",0),0)</f>
        <v>0.53125</v>
      </c>
      <c r="J3086" s="316">
        <f t="array" ref="J3086">XLOOKUP(B3086,Roster!L:L,Roster!P:P,XLOOKUP(D3086,TicketsBreak!A:A,TicketsBreak!G:G,"",0),0)</f>
        <v>0.6458333333</v>
      </c>
      <c r="K3086" s="310">
        <f t="shared" si="4"/>
        <v>46139</v>
      </c>
      <c r="L3086" s="317">
        <f t="array" ref="L3086">(XLOOKUP(D3086,Roster!F:F,Roster!D:D,"",0))</f>
        <v>12</v>
      </c>
      <c r="M3086" s="317" t="str">
        <f t="array" ref="M3086">XLOOKUP(D3086,Roster!F:F,Roster!E:E)</f>
        <v>Tickets</v>
      </c>
      <c r="N3086" s="317" t="str">
        <f t="shared" ref="N3086:P3086" si="3129">LEFT(H3086,5)</f>
        <v>10:15</v>
      </c>
      <c r="O3086" s="317" t="str">
        <f t="shared" si="3129"/>
        <v>12:45</v>
      </c>
      <c r="P3086" s="317" t="str">
        <f t="shared" si="3129"/>
        <v>15:30</v>
      </c>
      <c r="Q3086" s="318">
        <f t="shared" si="3075"/>
        <v>46139.42708</v>
      </c>
      <c r="R3086" s="318">
        <f t="shared" si="2934"/>
        <v>46139.53125</v>
      </c>
      <c r="S3086" s="318">
        <f t="shared" si="8"/>
        <v>46139.64583</v>
      </c>
    </row>
    <row r="3087">
      <c r="A3087" s="14" t="str">
        <f t="shared" si="1"/>
        <v>C72746139</v>
      </c>
      <c r="B3087" s="185" t="str">
        <f t="array" ref="B3087">IF(F3087="VL","",IF(F3087="Free","Free",XLOOKUP(D3087,Roster!T:T,Roster!S:S,"",0)))</f>
        <v/>
      </c>
      <c r="C3087" s="313">
        <v>46139.0</v>
      </c>
      <c r="D3087" s="314" t="s">
        <v>154</v>
      </c>
      <c r="E3087" s="307" t="str">
        <f t="array" ref="E3087">(XLOOKUP(D3087,Roster!F:F,Roster!B:B,"",0))</f>
        <v>Ana Moreno</v>
      </c>
      <c r="F3087" s="315" t="str">
        <f t="array" ref="F3087">IF(B3087=100,"Free",TEXT(XLOOKUP($D3087,OperationVoice!$A:$A,OperationVoice!AG:AG,XLOOKUP($D3087,OperationTickets!$A:$A,OperationTickets!AG:AG,"",0)),"hh:mm"))</f>
        <v>08:00</v>
      </c>
      <c r="G3087" s="309">
        <f t="shared" si="3"/>
        <v>0.7083333333</v>
      </c>
      <c r="H3087" s="316">
        <f t="array" ref="H3087">XLOOKUP(B3087,Roster!L:L,Roster!N:N,XLOOKUP(D3087,TicketsBreak!A:A,TicketsBreak!E:E,"",0),0)</f>
        <v>0.4166666667</v>
      </c>
      <c r="I3087" s="316">
        <f t="array" ref="I3087">XLOOKUP(B3087,Roster!L:L,Roster!O:O,XLOOKUP(D3087,TicketsBreak!A:A,TicketsBreak!F:F,"",0),0)</f>
        <v>0.5208333333</v>
      </c>
      <c r="J3087" s="316">
        <f t="array" ref="J3087">XLOOKUP(B3087,Roster!L:L,Roster!P:P,XLOOKUP(D3087,TicketsBreak!A:A,TicketsBreak!G:G,"",0),0)</f>
        <v>0.65625</v>
      </c>
      <c r="K3087" s="310">
        <f t="shared" si="4"/>
        <v>46139</v>
      </c>
      <c r="L3087" s="317">
        <f t="array" ref="L3087">(XLOOKUP(D3087,Roster!F:F,Roster!D:D,"",0))</f>
        <v>7</v>
      </c>
      <c r="M3087" s="317" t="str">
        <f t="array" ref="M3087">XLOOKUP(D3087,Roster!F:F,Roster!E:E)</f>
        <v>Tickets</v>
      </c>
      <c r="N3087" s="317" t="str">
        <f t="shared" ref="N3087:P3087" si="3130">LEFT(H3087,5)</f>
        <v>10:00</v>
      </c>
      <c r="O3087" s="317" t="str">
        <f t="shared" si="3130"/>
        <v>12:30</v>
      </c>
      <c r="P3087" s="317" t="str">
        <f t="shared" si="3130"/>
        <v>15:45</v>
      </c>
      <c r="Q3087" s="318">
        <f t="shared" si="3075"/>
        <v>46139.41667</v>
      </c>
      <c r="R3087" s="318">
        <f t="shared" si="2934"/>
        <v>46139.52083</v>
      </c>
      <c r="S3087" s="318">
        <f t="shared" si="8"/>
        <v>46139.65625</v>
      </c>
    </row>
    <row r="3088">
      <c r="A3088" s="14" t="str">
        <f t="shared" si="1"/>
        <v>C157446139</v>
      </c>
      <c r="B3088" s="185">
        <f t="array" ref="B3088">IF(F3088="VL","",IF(F3088="Free","Free",XLOOKUP(D3088,Roster!T:T,Roster!S:S,"",0)))</f>
        <v>124</v>
      </c>
      <c r="C3088" s="313">
        <v>46139.0</v>
      </c>
      <c r="D3088" s="314" t="s">
        <v>12</v>
      </c>
      <c r="E3088" s="307" t="str">
        <f t="array" ref="E3088">(XLOOKUP(D3088,Roster!F:F,Roster!B:B,"",0))</f>
        <v>Ana Quintero</v>
      </c>
      <c r="F3088" s="315" t="str">
        <f t="array" ref="F3088">IF(B3088=100,"Free",TEXT(XLOOKUP($D3088,OperationVoice!$A:$A,OperationVoice!AG:AG,XLOOKUP($D3088,OperationTickets!$A:$A,OperationTickets!AG:AG,"",0)),"hh:mm"))</f>
        <v>08:00</v>
      </c>
      <c r="G3088" s="309">
        <f t="shared" si="3"/>
        <v>0.7083333333</v>
      </c>
      <c r="H3088" s="316" t="str">
        <f t="array" ref="H3088">XLOOKUP(B3088,Roster!L:L,Roster!N:N,XLOOKUP(D3088,TicketsBreak!A:A,TicketsBreak!E:E,"",0),0)</f>
        <v>10:00 - 10:15</v>
      </c>
      <c r="I3088" s="316" t="str">
        <f t="array" ref="I3088">XLOOKUP(B3088,Roster!L:L,Roster!O:O,XLOOKUP(D3088,TicketsBreak!A:A,TicketsBreak!F:F,"",0),0)</f>
        <v>13:00 - 13:30</v>
      </c>
      <c r="J3088" s="316" t="str">
        <f t="array" ref="J3088">XLOOKUP(B3088,Roster!L:L,Roster!P:P,XLOOKUP(D3088,TicketsBreak!A:A,TicketsBreak!G:G,"",0),0)</f>
        <v>15:30 - 15:45</v>
      </c>
      <c r="K3088" s="310">
        <f t="shared" si="4"/>
        <v>46139</v>
      </c>
      <c r="L3088" s="317">
        <f t="array" ref="L3088">(XLOOKUP(D3088,Roster!F:F,Roster!D:D,"",0))</f>
        <v>38</v>
      </c>
      <c r="M3088" s="317" t="str">
        <f t="array" ref="M3088">XLOOKUP(D3088,Roster!F:F,Roster!E:E)</f>
        <v>Voice</v>
      </c>
      <c r="N3088" s="317" t="str">
        <f t="shared" ref="N3088:P3088" si="3131">LEFT(H3088,5)</f>
        <v>10:00</v>
      </c>
      <c r="O3088" s="317" t="str">
        <f t="shared" si="3131"/>
        <v>13:00</v>
      </c>
      <c r="P3088" s="317" t="str">
        <f t="shared" si="3131"/>
        <v>15:30</v>
      </c>
      <c r="Q3088" s="318">
        <f t="shared" si="3075"/>
        <v>46139.41667</v>
      </c>
      <c r="R3088" s="318">
        <f t="shared" si="2934"/>
        <v>46139.54167</v>
      </c>
      <c r="S3088" s="318">
        <f t="shared" si="8"/>
        <v>46139.64583</v>
      </c>
    </row>
    <row r="3089">
      <c r="A3089" s="14" t="str">
        <f t="shared" si="1"/>
        <v>C46946139</v>
      </c>
      <c r="B3089" s="185" t="str">
        <f t="array" ref="B3089">IF(F3089="VL","",IF(F3089="Free","Free",XLOOKUP(D3089,Roster!T:T,Roster!S:S,"",0)))</f>
        <v/>
      </c>
      <c r="C3089" s="313">
        <v>46139.0</v>
      </c>
      <c r="D3089" s="314" t="s">
        <v>171</v>
      </c>
      <c r="E3089" s="307" t="str">
        <f t="array" ref="E3089">(XLOOKUP(D3089,Roster!F:F,Roster!B:B,"",0))</f>
        <v>Ana Ruiz</v>
      </c>
      <c r="F3089" s="315" t="str">
        <f t="array" ref="F3089">IF(B3089=100,"Free",TEXT(XLOOKUP($D3089,OperationVoice!$A:$A,OperationVoice!AG:AG,XLOOKUP($D3089,OperationTickets!$A:$A,OperationTickets!AG:AG,"",0)),"hh:mm"))</f>
        <v>08:00</v>
      </c>
      <c r="G3089" s="309">
        <f t="shared" si="3"/>
        <v>0.7083333333</v>
      </c>
      <c r="H3089" s="316">
        <f t="array" ref="H3089">XLOOKUP(B3089,Roster!L:L,Roster!N:N,XLOOKUP(D3089,TicketsBreak!A:A,TicketsBreak!E:E,"",0),0)</f>
        <v>0.3854166667</v>
      </c>
      <c r="I3089" s="316">
        <f t="array" ref="I3089">XLOOKUP(B3089,Roster!L:L,Roster!O:O,XLOOKUP(D3089,TicketsBreak!A:A,TicketsBreak!F:F,"",0),0)</f>
        <v>0.5</v>
      </c>
      <c r="J3089" s="316">
        <f t="array" ref="J3089">XLOOKUP(B3089,Roster!L:L,Roster!P:P,XLOOKUP(D3089,TicketsBreak!A:A,TicketsBreak!G:G,"",0),0)</f>
        <v>0.6041666667</v>
      </c>
      <c r="K3089" s="310">
        <f t="shared" si="4"/>
        <v>46139</v>
      </c>
      <c r="L3089" s="317">
        <f t="array" ref="L3089">(XLOOKUP(D3089,Roster!F:F,Roster!D:D,"",0))</f>
        <v>3</v>
      </c>
      <c r="M3089" s="317" t="str">
        <f t="array" ref="M3089">XLOOKUP(D3089,Roster!F:F,Roster!E:E)</f>
        <v>Tickets</v>
      </c>
      <c r="N3089" s="317" t="str">
        <f t="shared" ref="N3089:P3089" si="3132">LEFT(H3089,5)</f>
        <v>09:15</v>
      </c>
      <c r="O3089" s="317" t="str">
        <f t="shared" si="3132"/>
        <v>12:00</v>
      </c>
      <c r="P3089" s="317" t="str">
        <f t="shared" si="3132"/>
        <v>14:30</v>
      </c>
      <c r="Q3089" s="318">
        <f t="shared" si="3075"/>
        <v>46139.38542</v>
      </c>
      <c r="R3089" s="318">
        <f t="shared" si="2934"/>
        <v>46139.5</v>
      </c>
      <c r="S3089" s="318">
        <f t="shared" si="8"/>
        <v>46139.60417</v>
      </c>
    </row>
    <row r="3090">
      <c r="A3090" s="14" t="str">
        <f t="shared" si="1"/>
        <v>C155446139</v>
      </c>
      <c r="B3090" s="185">
        <f t="array" ref="B3090">IF(F3090="VL","",IF(F3090="Free","Free",XLOOKUP(D3090,Roster!T:T,Roster!S:S,"",0)))</f>
        <v>131</v>
      </c>
      <c r="C3090" s="313">
        <v>46139.0</v>
      </c>
      <c r="D3090" s="314" t="s">
        <v>13</v>
      </c>
      <c r="E3090" s="307" t="str">
        <f t="array" ref="E3090">(XLOOKUP(D3090,Roster!F:F,Roster!B:B,"",0))</f>
        <v>Andres Lopez</v>
      </c>
      <c r="F3090" s="315" t="str">
        <f t="array" ref="F3090">IF(B3090=100,"Free",TEXT(XLOOKUP($D3090,OperationVoice!$A:$A,OperationVoice!AG:AG,XLOOKUP($D3090,OperationTickets!$A:$A,OperationTickets!AG:AG,"",0)),"hh:mm"))</f>
        <v>09:00</v>
      </c>
      <c r="G3090" s="309">
        <f t="shared" si="3"/>
        <v>0.75</v>
      </c>
      <c r="H3090" s="316" t="str">
        <f t="array" ref="H3090">XLOOKUP(B3090,Roster!L:L,Roster!N:N,XLOOKUP(D3090,TicketsBreak!A:A,TicketsBreak!E:E,"",0),0)</f>
        <v>10:15 - 10:30</v>
      </c>
      <c r="I3090" s="316" t="str">
        <f t="array" ref="I3090">XLOOKUP(B3090,Roster!L:L,Roster!O:O,XLOOKUP(D3090,TicketsBreak!A:A,TicketsBreak!F:F,"",0),0)</f>
        <v>12:30 - 13:00</v>
      </c>
      <c r="J3090" s="316" t="str">
        <f t="array" ref="J3090">XLOOKUP(B3090,Roster!L:L,Roster!P:P,XLOOKUP(D3090,TicketsBreak!A:A,TicketsBreak!G:G,"",0),0)</f>
        <v>15:15 - 15:30</v>
      </c>
      <c r="K3090" s="310">
        <f t="shared" si="4"/>
        <v>46139</v>
      </c>
      <c r="L3090" s="317">
        <f t="array" ref="L3090">(XLOOKUP(D3090,Roster!F:F,Roster!D:D,"",0))</f>
        <v>37</v>
      </c>
      <c r="M3090" s="317" t="str">
        <f t="array" ref="M3090">XLOOKUP(D3090,Roster!F:F,Roster!E:E)</f>
        <v>Voice</v>
      </c>
      <c r="N3090" s="317" t="str">
        <f t="shared" ref="N3090:P3090" si="3133">LEFT(H3090,5)</f>
        <v>10:15</v>
      </c>
      <c r="O3090" s="317" t="str">
        <f t="shared" si="3133"/>
        <v>12:30</v>
      </c>
      <c r="P3090" s="317" t="str">
        <f t="shared" si="3133"/>
        <v>15:15</v>
      </c>
      <c r="Q3090" s="318">
        <f t="shared" si="3075"/>
        <v>46139.42708</v>
      </c>
      <c r="R3090" s="318">
        <f t="shared" si="2934"/>
        <v>46139.52083</v>
      </c>
      <c r="S3090" s="318">
        <f t="shared" si="8"/>
        <v>46139.63542</v>
      </c>
    </row>
    <row r="3091">
      <c r="A3091" s="14" t="str">
        <f t="shared" si="1"/>
        <v>C156746139</v>
      </c>
      <c r="B3091" s="185">
        <f t="array" ref="B3091">IF(F3091="VL","",IF(F3091="Free","Free",XLOOKUP(D3091,Roster!T:T,Roster!S:S,"",0)))</f>
        <v>125</v>
      </c>
      <c r="C3091" s="313">
        <v>46139.0</v>
      </c>
      <c r="D3091" s="314" t="s">
        <v>14</v>
      </c>
      <c r="E3091" s="307" t="str">
        <f t="array" ref="E3091">(XLOOKUP(D3091,Roster!F:F,Roster!B:B,"",0))</f>
        <v>Andres Salazar</v>
      </c>
      <c r="F3091" s="315" t="str">
        <f t="array" ref="F3091">IF(B3091=100,"Free",TEXT(XLOOKUP($D3091,OperationVoice!$A:$A,OperationVoice!AG:AG,XLOOKUP($D3091,OperationTickets!$A:$A,OperationTickets!AG:AG,"",0)),"hh:mm"))</f>
        <v>08:00</v>
      </c>
      <c r="G3091" s="309">
        <f t="shared" si="3"/>
        <v>0.7083333333</v>
      </c>
      <c r="H3091" s="316" t="str">
        <f t="array" ref="H3091">XLOOKUP(B3091,Roster!L:L,Roster!N:N,XLOOKUP(D3091,TicketsBreak!A:A,TicketsBreak!E:E,"",0),0)</f>
        <v>10:30 - 10:45</v>
      </c>
      <c r="I3091" s="316" t="str">
        <f t="array" ref="I3091">XLOOKUP(B3091,Roster!L:L,Roster!O:O,XLOOKUP(D3091,TicketsBreak!A:A,TicketsBreak!F:F,"",0),0)</f>
        <v>13:30 - 14:00</v>
      </c>
      <c r="J3091" s="316" t="str">
        <f t="array" ref="J3091">XLOOKUP(B3091,Roster!L:L,Roster!P:P,XLOOKUP(D3091,TicketsBreak!A:A,TicketsBreak!G:G,"",0),0)</f>
        <v>15:45 - 16:00</v>
      </c>
      <c r="K3091" s="310">
        <f t="shared" si="4"/>
        <v>46139</v>
      </c>
      <c r="L3091" s="317">
        <f t="array" ref="L3091">(XLOOKUP(D3091,Roster!F:F,Roster!D:D,"",0))</f>
        <v>38</v>
      </c>
      <c r="M3091" s="317" t="str">
        <f t="array" ref="M3091">XLOOKUP(D3091,Roster!F:F,Roster!E:E)</f>
        <v>Voice</v>
      </c>
      <c r="N3091" s="317" t="str">
        <f t="shared" ref="N3091:P3091" si="3134">LEFT(H3091,5)</f>
        <v>10:30</v>
      </c>
      <c r="O3091" s="317" t="str">
        <f t="shared" si="3134"/>
        <v>13:30</v>
      </c>
      <c r="P3091" s="317" t="str">
        <f t="shared" si="3134"/>
        <v>15:45</v>
      </c>
      <c r="Q3091" s="318">
        <f t="shared" si="3075"/>
        <v>46139.4375</v>
      </c>
      <c r="R3091" s="318">
        <f t="shared" si="2934"/>
        <v>46139.5625</v>
      </c>
      <c r="S3091" s="318">
        <f t="shared" si="8"/>
        <v>46139.65625</v>
      </c>
    </row>
    <row r="3092">
      <c r="A3092" s="14" t="str">
        <f t="shared" si="1"/>
        <v>C134846139</v>
      </c>
      <c r="B3092" s="185">
        <f t="array" ref="B3092">IF(F3092="VL","",IF(F3092="Free","Free",XLOOKUP(D3092,Roster!T:T,Roster!S:S,"",0)))</f>
        <v>124</v>
      </c>
      <c r="C3092" s="313">
        <v>46139.0</v>
      </c>
      <c r="D3092" s="314" t="s">
        <v>15</v>
      </c>
      <c r="E3092" s="307" t="str">
        <f t="array" ref="E3092">(XLOOKUP(D3092,Roster!F:F,Roster!B:B,"",0))</f>
        <v>Angelo Zapata</v>
      </c>
      <c r="F3092" s="315" t="str">
        <f t="array" ref="F3092">IF(B3092=100,"Free",TEXT(XLOOKUP($D3092,OperationVoice!$A:$A,OperationVoice!AG:AG,XLOOKUP($D3092,OperationTickets!$A:$A,OperationTickets!AG:AG,"",0)),"hh:mm"))</f>
        <v>08:00</v>
      </c>
      <c r="G3092" s="309">
        <f t="shared" si="3"/>
        <v>0.7083333333</v>
      </c>
      <c r="H3092" s="316" t="str">
        <f t="array" ref="H3092">XLOOKUP(B3092,Roster!L:L,Roster!N:N,XLOOKUP(D3092,TicketsBreak!A:A,TicketsBreak!E:E,"",0),0)</f>
        <v>10:00 - 10:15</v>
      </c>
      <c r="I3092" s="316" t="str">
        <f t="array" ref="I3092">XLOOKUP(B3092,Roster!L:L,Roster!O:O,XLOOKUP(D3092,TicketsBreak!A:A,TicketsBreak!F:F,"",0),0)</f>
        <v>13:00 - 13:30</v>
      </c>
      <c r="J3092" s="316" t="str">
        <f t="array" ref="J3092">XLOOKUP(B3092,Roster!L:L,Roster!P:P,XLOOKUP(D3092,TicketsBreak!A:A,TicketsBreak!G:G,"",0),0)</f>
        <v>15:30 - 15:45</v>
      </c>
      <c r="K3092" s="310">
        <f t="shared" si="4"/>
        <v>46139</v>
      </c>
      <c r="L3092" s="317">
        <f t="array" ref="L3092">(XLOOKUP(D3092,Roster!F:F,Roster!D:D,"",0))</f>
        <v>30</v>
      </c>
      <c r="M3092" s="317" t="str">
        <f t="array" ref="M3092">XLOOKUP(D3092,Roster!F:F,Roster!E:E)</f>
        <v>Voice</v>
      </c>
      <c r="N3092" s="317" t="str">
        <f t="shared" ref="N3092:P3092" si="3135">LEFT(H3092,5)</f>
        <v>10:00</v>
      </c>
      <c r="O3092" s="317" t="str">
        <f t="shared" si="3135"/>
        <v>13:00</v>
      </c>
      <c r="P3092" s="317" t="str">
        <f t="shared" si="3135"/>
        <v>15:30</v>
      </c>
      <c r="Q3092" s="318">
        <f t="shared" si="3075"/>
        <v>46139.41667</v>
      </c>
      <c r="R3092" s="318">
        <f t="shared" si="2934"/>
        <v>46139.54167</v>
      </c>
      <c r="S3092" s="318">
        <f t="shared" si="8"/>
        <v>46139.64583</v>
      </c>
    </row>
    <row r="3093">
      <c r="A3093" s="14" t="str">
        <f t="shared" si="1"/>
        <v>C116746139</v>
      </c>
      <c r="B3093" s="185" t="str">
        <f t="array" ref="B3093">IF(F3093="VL","",IF(F3093="Free","Free",XLOOKUP(D3093,Roster!T:T,Roster!S:S,"",0)))</f>
        <v/>
      </c>
      <c r="C3093" s="313">
        <v>46139.0</v>
      </c>
      <c r="D3093" s="314" t="s">
        <v>172</v>
      </c>
      <c r="E3093" s="307" t="str">
        <f t="array" ref="E3093">(XLOOKUP(D3093,Roster!F:F,Roster!B:B,"",0))</f>
        <v>Angie Rua</v>
      </c>
      <c r="F3093" s="315" t="str">
        <f t="array" ref="F3093">IF(B3093=100,"Free",TEXT(XLOOKUP($D3093,OperationVoice!$A:$A,OperationVoice!AG:AG,XLOOKUP($D3093,OperationTickets!$A:$A,OperationTickets!AG:AG,"",0)),"hh:mm"))</f>
        <v>12:00</v>
      </c>
      <c r="G3093" s="309">
        <f t="shared" si="3"/>
        <v>0.875</v>
      </c>
      <c r="H3093" s="316" t="str">
        <f t="array" ref="H3093">XLOOKUP(B3093,Roster!L:L,Roster!N:N,XLOOKUP(D3093,TicketsBreak!A:A,TicketsBreak!E:E,"",0),0)</f>
        <v/>
      </c>
      <c r="I3093" s="316" t="str">
        <f t="array" ref="I3093">XLOOKUP(B3093,Roster!L:L,Roster!O:O,XLOOKUP(D3093,TicketsBreak!A:A,TicketsBreak!F:F,"",0),0)</f>
        <v/>
      </c>
      <c r="J3093" s="316" t="str">
        <f t="array" ref="J3093">XLOOKUP(B3093,Roster!L:L,Roster!P:P,XLOOKUP(D3093,TicketsBreak!A:A,TicketsBreak!G:G,"",0),0)</f>
        <v/>
      </c>
      <c r="K3093" s="310">
        <f t="shared" si="4"/>
        <v>46139</v>
      </c>
      <c r="L3093" s="317">
        <f t="array" ref="L3093">(XLOOKUP(D3093,Roster!F:F,Roster!D:D,"",0))</f>
        <v>24</v>
      </c>
      <c r="M3093" s="317" t="str">
        <f t="array" ref="M3093">XLOOKUP(D3093,Roster!F:F,Roster!E:E)</f>
        <v>Tickets</v>
      </c>
      <c r="N3093" s="317" t="str">
        <f t="shared" ref="N3093:P3093" si="3136">LEFT(H3093,5)</f>
        <v/>
      </c>
      <c r="O3093" s="317" t="str">
        <f t="shared" si="3136"/>
        <v/>
      </c>
      <c r="P3093" s="317" t="str">
        <f t="shared" si="3136"/>
        <v/>
      </c>
      <c r="Q3093" s="318" t="str">
        <f t="shared" si="3075"/>
        <v/>
      </c>
      <c r="R3093" s="318" t="str">
        <f t="shared" si="2934"/>
        <v/>
      </c>
      <c r="S3093" s="318" t="str">
        <f t="shared" si="8"/>
        <v/>
      </c>
    </row>
    <row r="3094">
      <c r="A3094" s="14" t="str">
        <f t="shared" si="1"/>
        <v>C157946139</v>
      </c>
      <c r="B3094" s="185">
        <f t="array" ref="B3094">IF(F3094="VL","",IF(F3094="Free","Free",XLOOKUP(D3094,Roster!T:T,Roster!S:S,"",0)))</f>
        <v>126</v>
      </c>
      <c r="C3094" s="313">
        <v>46139.0</v>
      </c>
      <c r="D3094" s="314" t="s">
        <v>16</v>
      </c>
      <c r="E3094" s="307" t="str">
        <f t="array" ref="E3094">(XLOOKUP(D3094,Roster!F:F,Roster!B:B,"",0))</f>
        <v>Anibal Munoz</v>
      </c>
      <c r="F3094" s="315" t="str">
        <f t="array" ref="F3094">IF(B3094=100,"Free",TEXT(XLOOKUP($D3094,OperationVoice!$A:$A,OperationVoice!AG:AG,XLOOKUP($D3094,OperationTickets!$A:$A,OperationTickets!AG:AG,"",0)),"hh:mm"))</f>
        <v>08:00</v>
      </c>
      <c r="G3094" s="309">
        <f t="shared" si="3"/>
        <v>0.7083333333</v>
      </c>
      <c r="H3094" s="316" t="str">
        <f t="array" ref="H3094">XLOOKUP(B3094,Roster!L:L,Roster!N:N,XLOOKUP(D3094,TicketsBreak!A:A,TicketsBreak!E:E,"",0),0)</f>
        <v>10:45 - 11:00</v>
      </c>
      <c r="I3094" s="316" t="str">
        <f t="array" ref="I3094">XLOOKUP(B3094,Roster!L:L,Roster!O:O,XLOOKUP(D3094,TicketsBreak!A:A,TicketsBreak!F:F,"",0),0)</f>
        <v>14:00 - 14:30</v>
      </c>
      <c r="J3094" s="316" t="str">
        <f t="array" ref="J3094">XLOOKUP(B3094,Roster!L:L,Roster!P:P,XLOOKUP(D3094,TicketsBreak!A:A,TicketsBreak!G:G,"",0),0)</f>
        <v>15:45 - 16:00</v>
      </c>
      <c r="K3094" s="310">
        <f t="shared" si="4"/>
        <v>46139</v>
      </c>
      <c r="L3094" s="317">
        <f t="array" ref="L3094">(XLOOKUP(D3094,Roster!F:F,Roster!D:D,"",0))</f>
        <v>38</v>
      </c>
      <c r="M3094" s="317" t="str">
        <f t="array" ref="M3094">XLOOKUP(D3094,Roster!F:F,Roster!E:E)</f>
        <v>Voice</v>
      </c>
      <c r="N3094" s="317" t="str">
        <f t="shared" ref="N3094:P3094" si="3137">LEFT(H3094,5)</f>
        <v>10:45</v>
      </c>
      <c r="O3094" s="317" t="str">
        <f t="shared" si="3137"/>
        <v>14:00</v>
      </c>
      <c r="P3094" s="317" t="str">
        <f t="shared" si="3137"/>
        <v>15:45</v>
      </c>
      <c r="Q3094" s="318">
        <f t="shared" si="3075"/>
        <v>46139.44792</v>
      </c>
      <c r="R3094" s="318">
        <f t="shared" si="2934"/>
        <v>46139.58333</v>
      </c>
      <c r="S3094" s="318">
        <f t="shared" si="8"/>
        <v>46139.65625</v>
      </c>
    </row>
    <row r="3095">
      <c r="A3095" s="14" t="str">
        <f t="shared" si="1"/>
        <v>C08046139</v>
      </c>
      <c r="B3095" s="185" t="str">
        <f t="array" ref="B3095">IF(F3095="VL","",IF(F3095="Free","Free",XLOOKUP(D3095,Roster!T:T,Roster!S:S,"",0)))</f>
        <v/>
      </c>
      <c r="C3095" s="313">
        <v>46139.0</v>
      </c>
      <c r="D3095" s="314" t="s">
        <v>138</v>
      </c>
      <c r="E3095" s="307" t="str">
        <f t="array" ref="E3095">(XLOOKUP(D3095,Roster!F:F,Roster!B:B,"",0))</f>
        <v>Arturo Padilla</v>
      </c>
      <c r="F3095" s="315" t="str">
        <f t="array" ref="F3095">IF(B3095=100,"Free",TEXT(XLOOKUP($D3095,OperationVoice!$A:$A,OperationVoice!AG:AG,XLOOKUP($D3095,OperationTickets!$A:$A,OperationTickets!AG:AG,"",0)),"hh:mm"))</f>
        <v>08:00</v>
      </c>
      <c r="G3095" s="309">
        <f t="shared" si="3"/>
        <v>0.7083333333</v>
      </c>
      <c r="H3095" s="316">
        <f t="array" ref="H3095">XLOOKUP(B3095,Roster!L:L,Roster!N:N,XLOOKUP(D3095,TicketsBreak!A:A,TicketsBreak!E:E,"",0),0)</f>
        <v>0.375</v>
      </c>
      <c r="I3095" s="316">
        <f t="array" ref="I3095">XLOOKUP(B3095,Roster!L:L,Roster!O:O,XLOOKUP(D3095,TicketsBreak!A:A,TicketsBreak!F:F,"",0),0)</f>
        <v>0.5</v>
      </c>
      <c r="J3095" s="316">
        <f t="array" ref="J3095">XLOOKUP(B3095,Roster!L:L,Roster!P:P,XLOOKUP(D3095,TicketsBreak!A:A,TicketsBreak!G:G,"",0),0)</f>
        <v>0.6458333333</v>
      </c>
      <c r="K3095" s="310">
        <f t="shared" si="4"/>
        <v>46139</v>
      </c>
      <c r="L3095" s="317">
        <f t="array" ref="L3095">(XLOOKUP(D3095,Roster!F:F,Roster!D:D,"",0))</f>
        <v>1</v>
      </c>
      <c r="M3095" s="317" t="str">
        <f t="array" ref="M3095">XLOOKUP(D3095,Roster!F:F,Roster!E:E)</f>
        <v>Tickets</v>
      </c>
      <c r="N3095" s="317" t="str">
        <f t="shared" ref="N3095:P3095" si="3138">LEFT(H3095,5)</f>
        <v>09:00</v>
      </c>
      <c r="O3095" s="317" t="str">
        <f t="shared" si="3138"/>
        <v>12:00</v>
      </c>
      <c r="P3095" s="317" t="str">
        <f t="shared" si="3138"/>
        <v>15:30</v>
      </c>
      <c r="Q3095" s="318">
        <f t="shared" si="3075"/>
        <v>46139.375</v>
      </c>
      <c r="R3095" s="318">
        <f t="shared" si="2934"/>
        <v>46139.5</v>
      </c>
      <c r="S3095" s="318">
        <f t="shared" si="8"/>
        <v>46139.64583</v>
      </c>
    </row>
    <row r="3096">
      <c r="A3096" s="14" t="str">
        <f t="shared" si="1"/>
        <v>C150446139</v>
      </c>
      <c r="B3096" s="185">
        <f t="array" ref="B3096">IF(F3096="VL","",IF(F3096="Free","Free",XLOOKUP(D3096,Roster!T:T,Roster!S:S,"",0)))</f>
        <v>123</v>
      </c>
      <c r="C3096" s="313">
        <v>46139.0</v>
      </c>
      <c r="D3096" s="314" t="s">
        <v>155</v>
      </c>
      <c r="E3096" s="307" t="str">
        <f t="array" ref="E3096">(XLOOKUP(D3096,Roster!F:F,Roster!B:B,"",0))</f>
        <v>Beatriz Montanez</v>
      </c>
      <c r="F3096" s="315" t="str">
        <f t="array" ref="F3096">IF(B3096=100,"Free",TEXT(XLOOKUP($D3096,OperationVoice!$A:$A,OperationVoice!AG:AG,XLOOKUP($D3096,OperationTickets!$A:$A,OperationTickets!AG:AG,"",0)),"hh:mm"))</f>
        <v>08:00</v>
      </c>
      <c r="G3096" s="309">
        <f t="shared" si="3"/>
        <v>0.7083333333</v>
      </c>
      <c r="H3096" s="316" t="str">
        <f t="array" ref="H3096">XLOOKUP(B3096,Roster!L:L,Roster!N:N,XLOOKUP(D3096,TicketsBreak!A:A,TicketsBreak!E:E,"",0),0)</f>
        <v>09:45 - 10:00 </v>
      </c>
      <c r="I3096" s="316" t="str">
        <f t="array" ref="I3096">XLOOKUP(B3096,Roster!L:L,Roster!O:O,XLOOKUP(D3096,TicketsBreak!A:A,TicketsBreak!F:F,"",0),0)</f>
        <v>12:30 - 13:00</v>
      </c>
      <c r="J3096" s="316" t="str">
        <f t="array" ref="J3096">XLOOKUP(B3096,Roster!L:L,Roster!P:P,XLOOKUP(D3096,TicketsBreak!A:A,TicketsBreak!G:G,"",0),0)</f>
        <v>15:00 - 15:15</v>
      </c>
      <c r="K3096" s="310">
        <f t="shared" si="4"/>
        <v>46139</v>
      </c>
      <c r="L3096" s="317">
        <f t="array" ref="L3096">(XLOOKUP(D3096,Roster!F:F,Roster!D:D,"",0))</f>
        <v>35</v>
      </c>
      <c r="M3096" s="317" t="str">
        <f t="array" ref="M3096">XLOOKUP(D3096,Roster!F:F,Roster!E:E)</f>
        <v>Tickets</v>
      </c>
      <c r="N3096" s="317" t="str">
        <f t="shared" ref="N3096:P3096" si="3139">LEFT(H3096,5)</f>
        <v>09:45</v>
      </c>
      <c r="O3096" s="317" t="str">
        <f t="shared" si="3139"/>
        <v>12:30</v>
      </c>
      <c r="P3096" s="317" t="str">
        <f t="shared" si="3139"/>
        <v>15:00</v>
      </c>
      <c r="Q3096" s="318">
        <f t="shared" si="3075"/>
        <v>46139.40625</v>
      </c>
      <c r="R3096" s="318">
        <f t="shared" si="2934"/>
        <v>46139.52083</v>
      </c>
      <c r="S3096" s="318">
        <f t="shared" si="8"/>
        <v>46139.625</v>
      </c>
    </row>
    <row r="3097">
      <c r="A3097" s="14" t="str">
        <f t="shared" si="1"/>
        <v>C107746139</v>
      </c>
      <c r="B3097" s="185">
        <f t="array" ref="B3097">IF(F3097="VL","",IF(F3097="Free","Free",XLOOKUP(D3097,Roster!T:T,Roster!S:S,"",0)))</f>
        <v>125</v>
      </c>
      <c r="C3097" s="313">
        <v>46139.0</v>
      </c>
      <c r="D3097" s="314" t="s">
        <v>17</v>
      </c>
      <c r="E3097" s="307" t="str">
        <f t="array" ref="E3097">(XLOOKUP(D3097,Roster!F:F,Roster!B:B,"",0))</f>
        <v>Brahian Prado</v>
      </c>
      <c r="F3097" s="315" t="str">
        <f t="array" ref="F3097">IF(B3097=100,"Free",TEXT(XLOOKUP($D3097,OperationVoice!$A:$A,OperationVoice!AG:AG,XLOOKUP($D3097,OperationTickets!$A:$A,OperationTickets!AG:AG,"",0)),"hh:mm"))</f>
        <v>08:00</v>
      </c>
      <c r="G3097" s="309">
        <f t="shared" si="3"/>
        <v>0.7083333333</v>
      </c>
      <c r="H3097" s="316" t="str">
        <f t="array" ref="H3097">XLOOKUP(B3097,Roster!L:L,Roster!N:N,XLOOKUP(D3097,TicketsBreak!A:A,TicketsBreak!E:E,"",0),0)</f>
        <v>10:30 - 10:45</v>
      </c>
      <c r="I3097" s="316" t="str">
        <f t="array" ref="I3097">XLOOKUP(B3097,Roster!L:L,Roster!O:O,XLOOKUP(D3097,TicketsBreak!A:A,TicketsBreak!F:F,"",0),0)</f>
        <v>13:30 - 14:00</v>
      </c>
      <c r="J3097" s="316" t="str">
        <f t="array" ref="J3097">XLOOKUP(B3097,Roster!L:L,Roster!P:P,XLOOKUP(D3097,TicketsBreak!A:A,TicketsBreak!G:G,"",0),0)</f>
        <v>15:45 - 16:00</v>
      </c>
      <c r="K3097" s="310">
        <f t="shared" si="4"/>
        <v>46139</v>
      </c>
      <c r="L3097" s="317">
        <f t="array" ref="L3097">(XLOOKUP(D3097,Roster!F:F,Roster!D:D,"",0))</f>
        <v>18</v>
      </c>
      <c r="M3097" s="317" t="str">
        <f t="array" ref="M3097">XLOOKUP(D3097,Roster!F:F,Roster!E:E)</f>
        <v>Voice</v>
      </c>
      <c r="N3097" s="317" t="str">
        <f t="shared" ref="N3097:P3097" si="3140">LEFT(H3097,5)</f>
        <v>10:30</v>
      </c>
      <c r="O3097" s="317" t="str">
        <f t="shared" si="3140"/>
        <v>13:30</v>
      </c>
      <c r="P3097" s="317" t="str">
        <f t="shared" si="3140"/>
        <v>15:45</v>
      </c>
      <c r="Q3097" s="318">
        <f t="shared" si="3075"/>
        <v>46139.4375</v>
      </c>
      <c r="R3097" s="318">
        <f t="shared" si="2934"/>
        <v>46139.5625</v>
      </c>
      <c r="S3097" s="318">
        <f t="shared" si="8"/>
        <v>46139.65625</v>
      </c>
    </row>
    <row r="3098">
      <c r="A3098" s="14" t="str">
        <f t="shared" si="1"/>
        <v>C116546139</v>
      </c>
      <c r="B3098" s="185" t="str">
        <f t="array" ref="B3098">IF(F3098="VL","",IF(F3098="Free","Free",XLOOKUP(D3098,Roster!T:T,Roster!S:S,"",0)))</f>
        <v/>
      </c>
      <c r="C3098" s="313">
        <v>46139.0</v>
      </c>
      <c r="D3098" s="314" t="s">
        <v>139</v>
      </c>
      <c r="E3098" s="307" t="str">
        <f t="array" ref="E3098">(XLOOKUP(D3098,Roster!F:F,Roster!B:B,"",0))</f>
        <v>Braian Restrepo</v>
      </c>
      <c r="F3098" s="315" t="str">
        <f t="array" ref="F3098">IF(B3098=100,"Free",TEXT(XLOOKUP($D3098,OperationVoice!$A:$A,OperationVoice!AG:AG,XLOOKUP($D3098,OperationTickets!$A:$A,OperationTickets!AG:AG,"",0)),"hh:mm"))</f>
        <v>08:00</v>
      </c>
      <c r="G3098" s="309">
        <f t="shared" si="3"/>
        <v>0.7083333333</v>
      </c>
      <c r="H3098" s="316" t="str">
        <f t="array" ref="H3098">XLOOKUP(B3098,Roster!L:L,Roster!N:N,XLOOKUP(D3098,TicketsBreak!A:A,TicketsBreak!E:E,"",0),0)</f>
        <v/>
      </c>
      <c r="I3098" s="316" t="str">
        <f t="array" ref="I3098">XLOOKUP(B3098,Roster!L:L,Roster!O:O,XLOOKUP(D3098,TicketsBreak!A:A,TicketsBreak!F:F,"",0),0)</f>
        <v/>
      </c>
      <c r="J3098" s="316" t="str">
        <f t="array" ref="J3098">XLOOKUP(B3098,Roster!L:L,Roster!P:P,XLOOKUP(D3098,TicketsBreak!A:A,TicketsBreak!G:G,"",0),0)</f>
        <v/>
      </c>
      <c r="K3098" s="310">
        <f t="shared" si="4"/>
        <v>46139</v>
      </c>
      <c r="L3098" s="317">
        <f t="array" ref="L3098">(XLOOKUP(D3098,Roster!F:F,Roster!D:D,"",0))</f>
        <v>24</v>
      </c>
      <c r="M3098" s="317" t="str">
        <f t="array" ref="M3098">XLOOKUP(D3098,Roster!F:F,Roster!E:E)</f>
        <v>Tickets</v>
      </c>
      <c r="N3098" s="317" t="str">
        <f t="shared" ref="N3098:P3098" si="3141">LEFT(H3098,5)</f>
        <v/>
      </c>
      <c r="O3098" s="317" t="str">
        <f t="shared" si="3141"/>
        <v/>
      </c>
      <c r="P3098" s="317" t="str">
        <f t="shared" si="3141"/>
        <v/>
      </c>
      <c r="Q3098" s="318" t="str">
        <f t="shared" si="3075"/>
        <v/>
      </c>
      <c r="R3098" s="318" t="str">
        <f t="shared" si="2934"/>
        <v/>
      </c>
      <c r="S3098" s="318" t="str">
        <f t="shared" si="8"/>
        <v/>
      </c>
    </row>
    <row r="3099">
      <c r="A3099" s="14" t="str">
        <f t="shared" si="1"/>
        <v>C127446139</v>
      </c>
      <c r="B3099" s="185">
        <f t="array" ref="B3099">IF(F3099="VL","",IF(F3099="Free","Free",XLOOKUP(D3099,Roster!T:T,Roster!S:S,"",0)))</f>
        <v>126</v>
      </c>
      <c r="C3099" s="313">
        <v>46139.0</v>
      </c>
      <c r="D3099" s="314" t="s">
        <v>250</v>
      </c>
      <c r="E3099" s="307" t="str">
        <f t="array" ref="E3099">(XLOOKUP(D3099,Roster!F:F,Roster!B:B,"",0))</f>
        <v>Brayan Franco</v>
      </c>
      <c r="F3099" s="315" t="str">
        <f t="array" ref="F3099">IF(B3099=100,"Free",TEXT(XLOOKUP($D3099,OperationVoice!$A:$A,OperationVoice!AG:AG,XLOOKUP($D3099,OperationTickets!$A:$A,OperationTickets!AG:AG,"",0)),"hh:mm"))</f>
        <v/>
      </c>
      <c r="G3099" s="309" t="str">
        <f t="shared" si="3"/>
        <v/>
      </c>
      <c r="H3099" s="316" t="str">
        <f t="array" ref="H3099">XLOOKUP(B3099,Roster!L:L,Roster!N:N,XLOOKUP(D3099,TicketsBreak!A:A,TicketsBreak!E:E,"",0),0)</f>
        <v>10:45 - 11:00</v>
      </c>
      <c r="I3099" s="316" t="str">
        <f t="array" ref="I3099">XLOOKUP(B3099,Roster!L:L,Roster!O:O,XLOOKUP(D3099,TicketsBreak!A:A,TicketsBreak!F:F,"",0),0)</f>
        <v>14:00 - 14:30</v>
      </c>
      <c r="J3099" s="316" t="str">
        <f t="array" ref="J3099">XLOOKUP(B3099,Roster!L:L,Roster!P:P,XLOOKUP(D3099,TicketsBreak!A:A,TicketsBreak!G:G,"",0),0)</f>
        <v>15:45 - 16:00</v>
      </c>
      <c r="K3099" s="310">
        <f t="shared" si="4"/>
        <v>46139</v>
      </c>
      <c r="L3099" s="317">
        <f t="array" ref="L3099">(XLOOKUP(D3099,Roster!F:F,Roster!D:D,"",0))</f>
        <v>27</v>
      </c>
      <c r="M3099" s="317" t="str">
        <f t="array" ref="M3099">XLOOKUP(D3099,Roster!F:F,Roster!E:E)</f>
        <v>Voice</v>
      </c>
      <c r="N3099" s="317" t="str">
        <f t="shared" ref="N3099:P3099" si="3142">LEFT(H3099,5)</f>
        <v>10:45</v>
      </c>
      <c r="O3099" s="317" t="str">
        <f t="shared" si="3142"/>
        <v>14:00</v>
      </c>
      <c r="P3099" s="317" t="str">
        <f t="shared" si="3142"/>
        <v>15:45</v>
      </c>
      <c r="Q3099" s="318">
        <f t="shared" si="3075"/>
        <v>46139.44792</v>
      </c>
      <c r="R3099" s="318">
        <f t="shared" si="2934"/>
        <v>46139.58333</v>
      </c>
      <c r="S3099" s="318">
        <f t="shared" si="8"/>
        <v>46139.65625</v>
      </c>
    </row>
    <row r="3100">
      <c r="A3100" s="14" t="str">
        <f t="shared" si="1"/>
        <v>C119146139</v>
      </c>
      <c r="B3100" s="185">
        <f t="array" ref="B3100">IF(F3100="VL","",IF(F3100="Free","Free",XLOOKUP(D3100,Roster!T:T,Roster!S:S,"",0)))</f>
        <v>111</v>
      </c>
      <c r="C3100" s="313">
        <v>46139.0</v>
      </c>
      <c r="D3100" s="314" t="s">
        <v>18</v>
      </c>
      <c r="E3100" s="307" t="str">
        <f t="array" ref="E3100">(XLOOKUP(D3100,Roster!F:F,Roster!B:B,"",0))</f>
        <v>Brayan Montoya</v>
      </c>
      <c r="F3100" s="315" t="str">
        <f t="array" ref="F3100">IF(B3100=100,"Free",TEXT(XLOOKUP($D3100,OperationVoice!$A:$A,OperationVoice!AG:AG,XLOOKUP($D3100,OperationTickets!$A:$A,OperationTickets!AG:AG,"",0)),"hh:mm"))</f>
        <v>07:00</v>
      </c>
      <c r="G3100" s="309">
        <f t="shared" si="3"/>
        <v>0.6666666667</v>
      </c>
      <c r="H3100" s="316" t="str">
        <f t="array" ref="H3100">XLOOKUP(B3100,Roster!L:L,Roster!N:N,XLOOKUP(D3100,TicketsBreak!A:A,TicketsBreak!E:E,"",0),0)</f>
        <v>09:00 - 09:15</v>
      </c>
      <c r="I3100" s="316" t="str">
        <f t="array" ref="I3100">XLOOKUP(B3100,Roster!L:L,Roster!O:O,XLOOKUP(D3100,TicketsBreak!A:A,TicketsBreak!F:F,"",0),0)</f>
        <v>11:45 - 12:15</v>
      </c>
      <c r="J3100" s="316" t="str">
        <f t="array" ref="J3100">XLOOKUP(B3100,Roster!L:L,Roster!P:P,XLOOKUP(D3100,TicketsBreak!A:A,TicketsBreak!G:G,"",0),0)</f>
        <v>14:30 - 14:45</v>
      </c>
      <c r="K3100" s="310">
        <f t="shared" si="4"/>
        <v>46139</v>
      </c>
      <c r="L3100" s="317">
        <f t="array" ref="L3100">(XLOOKUP(D3100,Roster!F:F,Roster!D:D,"",0))</f>
        <v>25</v>
      </c>
      <c r="M3100" s="317" t="str">
        <f t="array" ref="M3100">XLOOKUP(D3100,Roster!F:F,Roster!E:E)</f>
        <v>Voice</v>
      </c>
      <c r="N3100" s="317" t="str">
        <f t="shared" ref="N3100:P3100" si="3143">LEFT(H3100,5)</f>
        <v>09:00</v>
      </c>
      <c r="O3100" s="317" t="str">
        <f t="shared" si="3143"/>
        <v>11:45</v>
      </c>
      <c r="P3100" s="317" t="str">
        <f t="shared" si="3143"/>
        <v>14:30</v>
      </c>
      <c r="Q3100" s="318">
        <f t="shared" si="3075"/>
        <v>46139.375</v>
      </c>
      <c r="R3100" s="318">
        <f t="shared" si="2934"/>
        <v>46139.48958</v>
      </c>
      <c r="S3100" s="318">
        <f t="shared" si="8"/>
        <v>46139.60417</v>
      </c>
    </row>
    <row r="3101">
      <c r="A3101" s="14" t="str">
        <f t="shared" si="1"/>
        <v>C152646139</v>
      </c>
      <c r="B3101" s="185">
        <f t="array" ref="B3101">IF(F3101="VL","",IF(F3101="Free","Free",XLOOKUP(D3101,Roster!T:T,Roster!S:S,"",0)))</f>
        <v>121</v>
      </c>
      <c r="C3101" s="313">
        <v>46139.0</v>
      </c>
      <c r="D3101" s="314" t="s">
        <v>19</v>
      </c>
      <c r="E3101" s="307" t="str">
        <f t="array" ref="E3101">(XLOOKUP(D3101,Roster!F:F,Roster!B:B,"",0))</f>
        <v>Breitner Benitez</v>
      </c>
      <c r="F3101" s="315" t="str">
        <f t="array" ref="F3101">IF(B3101=100,"Free",TEXT(XLOOKUP($D3101,OperationVoice!$A:$A,OperationVoice!AG:AG,XLOOKUP($D3101,OperationTickets!$A:$A,OperationTickets!AG:AG,"",0)),"hh:mm"))</f>
        <v>08:00</v>
      </c>
      <c r="G3101" s="309">
        <f t="shared" si="3"/>
        <v>0.7083333333</v>
      </c>
      <c r="H3101" s="316" t="str">
        <f t="array" ref="H3101">XLOOKUP(B3101,Roster!L:L,Roster!N:N,XLOOKUP(D3101,TicketsBreak!A:A,TicketsBreak!E:E,"",0),0)</f>
        <v>09:15 - 09:30</v>
      </c>
      <c r="I3101" s="316" t="str">
        <f t="array" ref="I3101">XLOOKUP(B3101,Roster!L:L,Roster!O:O,XLOOKUP(D3101,TicketsBreak!A:A,TicketsBreak!F:F,"",0),0)</f>
        <v>11:30 - 12:00</v>
      </c>
      <c r="J3101" s="316" t="str">
        <f t="array" ref="J3101">XLOOKUP(B3101,Roster!L:L,Roster!P:P,XLOOKUP(D3101,TicketsBreak!A:A,TicketsBreak!G:G,"",0),0)</f>
        <v>14:30 - 14:45</v>
      </c>
      <c r="K3101" s="310">
        <f t="shared" si="4"/>
        <v>46139</v>
      </c>
      <c r="L3101" s="317">
        <f t="array" ref="L3101">(XLOOKUP(D3101,Roster!F:F,Roster!D:D,"",0))</f>
        <v>13</v>
      </c>
      <c r="M3101" s="317" t="str">
        <f t="array" ref="M3101">XLOOKUP(D3101,Roster!F:F,Roster!E:E)</f>
        <v>Voice</v>
      </c>
      <c r="N3101" s="317" t="str">
        <f t="shared" ref="N3101:P3101" si="3144">LEFT(H3101,5)</f>
        <v>09:15</v>
      </c>
      <c r="O3101" s="317" t="str">
        <f t="shared" si="3144"/>
        <v>11:30</v>
      </c>
      <c r="P3101" s="317" t="str">
        <f t="shared" si="3144"/>
        <v>14:30</v>
      </c>
      <c r="Q3101" s="318">
        <f t="shared" si="3075"/>
        <v>46139.38542</v>
      </c>
      <c r="R3101" s="318">
        <f t="shared" si="2934"/>
        <v>46139.47917</v>
      </c>
      <c r="S3101" s="318">
        <f t="shared" si="8"/>
        <v>46139.60417</v>
      </c>
    </row>
    <row r="3102">
      <c r="A3102" s="14" t="str">
        <f t="shared" si="1"/>
        <v>C153546139</v>
      </c>
      <c r="B3102" s="185">
        <f t="array" ref="B3102">IF(F3102="VL","",IF(F3102="Free","Free",XLOOKUP(D3102,Roster!T:T,Roster!S:S,"",0)))</f>
        <v>154</v>
      </c>
      <c r="C3102" s="313">
        <v>46139.0</v>
      </c>
      <c r="D3102" s="314" t="s">
        <v>20</v>
      </c>
      <c r="E3102" s="307" t="str">
        <f t="array" ref="E3102">(XLOOKUP(D3102,Roster!F:F,Roster!B:B,"",0))</f>
        <v>Carlos Alzate</v>
      </c>
      <c r="F3102" s="315" t="str">
        <f t="array" ref="F3102">IF(B3102=100,"Free",TEXT(XLOOKUP($D3102,OperationVoice!$A:$A,OperationVoice!AG:AG,XLOOKUP($D3102,OperationTickets!$A:$A,OperationTickets!AG:AG,"",0)),"hh:mm"))</f>
        <v>11:00</v>
      </c>
      <c r="G3102" s="309">
        <f t="shared" si="3"/>
        <v>0.8333333333</v>
      </c>
      <c r="H3102" s="316" t="str">
        <f t="array" ref="H3102">XLOOKUP(B3102,Roster!L:L,Roster!N:N,XLOOKUP(D3102,TicketsBreak!A:A,TicketsBreak!E:E,"",0),0)</f>
        <v>13:00 - 13:15</v>
      </c>
      <c r="I3102" s="316" t="str">
        <f t="array" ref="I3102">XLOOKUP(B3102,Roster!L:L,Roster!O:O,XLOOKUP(D3102,TicketsBreak!A:A,TicketsBreak!F:F,"",0),0)</f>
        <v>15:15 - 15:45</v>
      </c>
      <c r="J3102" s="316" t="str">
        <f t="array" ref="J3102">XLOOKUP(B3102,Roster!L:L,Roster!P:P,XLOOKUP(D3102,TicketsBreak!A:A,TicketsBreak!G:G,"",0),0)</f>
        <v>18:00 - 18:15</v>
      </c>
      <c r="K3102" s="310">
        <f t="shared" si="4"/>
        <v>46139</v>
      </c>
      <c r="L3102" s="317">
        <f t="array" ref="L3102">(XLOOKUP(D3102,Roster!F:F,Roster!D:D,"",0))</f>
        <v>36</v>
      </c>
      <c r="M3102" s="317" t="str">
        <f t="array" ref="M3102">XLOOKUP(D3102,Roster!F:F,Roster!E:E)</f>
        <v>Voice</v>
      </c>
      <c r="N3102" s="317" t="str">
        <f t="shared" ref="N3102:P3102" si="3145">LEFT(H3102,5)</f>
        <v>13:00</v>
      </c>
      <c r="O3102" s="317" t="str">
        <f t="shared" si="3145"/>
        <v>15:15</v>
      </c>
      <c r="P3102" s="317" t="str">
        <f t="shared" si="3145"/>
        <v>18:00</v>
      </c>
      <c r="Q3102" s="318">
        <f t="shared" si="3075"/>
        <v>46139.54167</v>
      </c>
      <c r="R3102" s="318">
        <f t="shared" si="2934"/>
        <v>46139.63542</v>
      </c>
      <c r="S3102" s="318">
        <f t="shared" si="8"/>
        <v>46139.75</v>
      </c>
    </row>
    <row r="3103">
      <c r="A3103" s="14" t="str">
        <f t="shared" si="1"/>
        <v>C153146139</v>
      </c>
      <c r="B3103" s="185">
        <f t="array" ref="B3103">IF(F3103="VL","",IF(F3103="Free","Free",XLOOKUP(D3103,Roster!T:T,Roster!S:S,"",0)))</f>
        <v>123</v>
      </c>
      <c r="C3103" s="313">
        <v>46139.0</v>
      </c>
      <c r="D3103" s="314" t="s">
        <v>21</v>
      </c>
      <c r="E3103" s="307" t="str">
        <f t="array" ref="E3103">(XLOOKUP(D3103,Roster!F:F,Roster!B:B,"",0))</f>
        <v>Carlos Palma</v>
      </c>
      <c r="F3103" s="315" t="str">
        <f t="array" ref="F3103">IF(B3103=100,"Free",TEXT(XLOOKUP($D3103,OperationVoice!$A:$A,OperationVoice!AG:AG,XLOOKUP($D3103,OperationTickets!$A:$A,OperationTickets!AG:AG,"",0)),"hh:mm"))</f>
        <v>08:00</v>
      </c>
      <c r="G3103" s="309">
        <f t="shared" si="3"/>
        <v>0.7083333333</v>
      </c>
      <c r="H3103" s="316" t="str">
        <f t="array" ref="H3103">XLOOKUP(B3103,Roster!L:L,Roster!N:N,XLOOKUP(D3103,TicketsBreak!A:A,TicketsBreak!E:E,"",0),0)</f>
        <v>09:45 - 10:00 </v>
      </c>
      <c r="I3103" s="316" t="str">
        <f t="array" ref="I3103">XLOOKUP(B3103,Roster!L:L,Roster!O:O,XLOOKUP(D3103,TicketsBreak!A:A,TicketsBreak!F:F,"",0),0)</f>
        <v>12:30 - 13:00</v>
      </c>
      <c r="J3103" s="316" t="str">
        <f t="array" ref="J3103">XLOOKUP(B3103,Roster!L:L,Roster!P:P,XLOOKUP(D3103,TicketsBreak!A:A,TicketsBreak!G:G,"",0),0)</f>
        <v>15:00 - 15:15</v>
      </c>
      <c r="K3103" s="310">
        <f t="shared" si="4"/>
        <v>46139</v>
      </c>
      <c r="L3103" s="317">
        <f t="array" ref="L3103">(XLOOKUP(D3103,Roster!F:F,Roster!D:D,"",0))</f>
        <v>36</v>
      </c>
      <c r="M3103" s="317" t="str">
        <f t="array" ref="M3103">XLOOKUP(D3103,Roster!F:F,Roster!E:E)</f>
        <v>Voice</v>
      </c>
      <c r="N3103" s="317" t="str">
        <f t="shared" ref="N3103:P3103" si="3146">LEFT(H3103,5)</f>
        <v>09:45</v>
      </c>
      <c r="O3103" s="317" t="str">
        <f t="shared" si="3146"/>
        <v>12:30</v>
      </c>
      <c r="P3103" s="317" t="str">
        <f t="shared" si="3146"/>
        <v>15:00</v>
      </c>
      <c r="Q3103" s="318">
        <f t="shared" si="3075"/>
        <v>46139.40625</v>
      </c>
      <c r="R3103" s="318">
        <f t="shared" si="2934"/>
        <v>46139.52083</v>
      </c>
      <c r="S3103" s="318">
        <f t="shared" si="8"/>
        <v>46139.625</v>
      </c>
    </row>
    <row r="3104">
      <c r="A3104" s="14" t="str">
        <f t="shared" si="1"/>
        <v>C157646139</v>
      </c>
      <c r="B3104" s="185" t="str">
        <f t="array" ref="B3104">IF(F3104="VL","",IF(F3104="Free","Free",XLOOKUP(D3104,Roster!T:T,Roster!S:S,"",0)))</f>
        <v/>
      </c>
      <c r="C3104" s="313">
        <v>46139.0</v>
      </c>
      <c r="D3104" s="314" t="s">
        <v>313</v>
      </c>
      <c r="E3104" s="307" t="str">
        <f t="array" ref="E3104">(XLOOKUP(D3104,Roster!F:F,Roster!B:B,"",0))</f>
        <v>Carlos Ruiz</v>
      </c>
      <c r="F3104" s="315" t="str">
        <f t="array" ref="F3104">IF(B3104=100,"Free",TEXT(XLOOKUP($D3104,OperationVoice!$A:$A,OperationVoice!AG:AG,XLOOKUP($D3104,OperationTickets!$A:$A,OperationTickets!AG:AG,"",0)),"hh:mm"))</f>
        <v/>
      </c>
      <c r="G3104" s="309" t="str">
        <f t="shared" si="3"/>
        <v/>
      </c>
      <c r="H3104" s="316" t="str">
        <f t="array" ref="H3104">XLOOKUP(B3104,Roster!L:L,Roster!N:N,XLOOKUP(D3104,TicketsBreak!A:A,TicketsBreak!E:E,"",0),0)</f>
        <v/>
      </c>
      <c r="I3104" s="316" t="str">
        <f t="array" ref="I3104">XLOOKUP(B3104,Roster!L:L,Roster!O:O,XLOOKUP(D3104,TicketsBreak!A:A,TicketsBreak!F:F,"",0),0)</f>
        <v/>
      </c>
      <c r="J3104" s="316" t="str">
        <f t="array" ref="J3104">XLOOKUP(B3104,Roster!L:L,Roster!P:P,XLOOKUP(D3104,TicketsBreak!A:A,TicketsBreak!G:G,"",0),0)</f>
        <v/>
      </c>
      <c r="K3104" s="310">
        <f t="shared" si="4"/>
        <v>46139</v>
      </c>
      <c r="L3104" s="317">
        <f t="array" ref="L3104">(XLOOKUP(D3104,Roster!F:F,Roster!D:D,"",0))</f>
        <v>38</v>
      </c>
      <c r="M3104" s="317" t="str">
        <f t="array" ref="M3104">XLOOKUP(D3104,Roster!F:F,Roster!E:E)</f>
        <v>Nesting</v>
      </c>
      <c r="N3104" s="317" t="str">
        <f t="shared" ref="N3104:P3104" si="3147">LEFT(H3104,5)</f>
        <v/>
      </c>
      <c r="O3104" s="317" t="str">
        <f t="shared" si="3147"/>
        <v/>
      </c>
      <c r="P3104" s="317" t="str">
        <f t="shared" si="3147"/>
        <v/>
      </c>
      <c r="Q3104" s="318" t="str">
        <f t="shared" si="3075"/>
        <v/>
      </c>
      <c r="R3104" s="318" t="str">
        <f t="shared" si="2934"/>
        <v/>
      </c>
      <c r="S3104" s="318" t="str">
        <f t="shared" si="8"/>
        <v/>
      </c>
    </row>
    <row r="3105">
      <c r="A3105" s="14" t="str">
        <f t="shared" si="1"/>
        <v>C47946139</v>
      </c>
      <c r="B3105" s="185" t="str">
        <f t="array" ref="B3105">IF(F3105="VL","",IF(F3105="Free","Free",XLOOKUP(D3105,Roster!T:T,Roster!S:S,"",0)))</f>
        <v/>
      </c>
      <c r="C3105" s="313">
        <v>46139.0</v>
      </c>
      <c r="D3105" s="314" t="s">
        <v>173</v>
      </c>
      <c r="E3105" s="307" t="str">
        <f t="array" ref="E3105">(XLOOKUP(D3105,Roster!F:F,Roster!B:B,"",0))</f>
        <v>Carmen Grajales</v>
      </c>
      <c r="F3105" s="315" t="str">
        <f t="array" ref="F3105">IF(B3105=100,"Free",TEXT(XLOOKUP($D3105,OperationVoice!$A:$A,OperationVoice!AG:AG,XLOOKUP($D3105,OperationTickets!$A:$A,OperationTickets!AG:AG,"",0)),"hh:mm"))</f>
        <v>08:00</v>
      </c>
      <c r="G3105" s="309">
        <f t="shared" si="3"/>
        <v>0.7083333333</v>
      </c>
      <c r="H3105" s="316">
        <f t="array" ref="H3105">XLOOKUP(B3105,Roster!L:L,Roster!N:N,XLOOKUP(D3105,TicketsBreak!A:A,TicketsBreak!E:E,"",0),0)</f>
        <v>0.4270833333</v>
      </c>
      <c r="I3105" s="316">
        <f t="array" ref="I3105">XLOOKUP(B3105,Roster!L:L,Roster!O:O,XLOOKUP(D3105,TicketsBreak!A:A,TicketsBreak!F:F,"",0),0)</f>
        <v>0.53125</v>
      </c>
      <c r="J3105" s="316">
        <f t="array" ref="J3105">XLOOKUP(B3105,Roster!L:L,Roster!P:P,XLOOKUP(D3105,TicketsBreak!A:A,TicketsBreak!G:G,"",0),0)</f>
        <v>0.65625</v>
      </c>
      <c r="K3105" s="310">
        <f t="shared" si="4"/>
        <v>46139</v>
      </c>
      <c r="L3105" s="317">
        <f t="array" ref="L3105">(XLOOKUP(D3105,Roster!F:F,Roster!D:D,"",0))</f>
        <v>2</v>
      </c>
      <c r="M3105" s="317" t="str">
        <f t="array" ref="M3105">XLOOKUP(D3105,Roster!F:F,Roster!E:E)</f>
        <v>Tickets</v>
      </c>
      <c r="N3105" s="317" t="str">
        <f t="shared" ref="N3105:P3105" si="3148">LEFT(H3105,5)</f>
        <v>10:15</v>
      </c>
      <c r="O3105" s="317" t="str">
        <f t="shared" si="3148"/>
        <v>12:45</v>
      </c>
      <c r="P3105" s="317" t="str">
        <f t="shared" si="3148"/>
        <v>15:45</v>
      </c>
      <c r="Q3105" s="318">
        <f t="shared" si="3075"/>
        <v>46139.42708</v>
      </c>
      <c r="R3105" s="318">
        <f t="shared" si="2934"/>
        <v>46139.53125</v>
      </c>
      <c r="S3105" s="318">
        <f t="shared" si="8"/>
        <v>46139.65625</v>
      </c>
    </row>
    <row r="3106">
      <c r="A3106" s="14" t="str">
        <f t="shared" si="1"/>
        <v>C68746139</v>
      </c>
      <c r="B3106" s="185">
        <f t="array" ref="B3106">IF(F3106="VL","",IF(F3106="Free","Free",XLOOKUP(D3106,Roster!T:T,Roster!S:S,"",0)))</f>
        <v>122</v>
      </c>
      <c r="C3106" s="313">
        <v>46139.0</v>
      </c>
      <c r="D3106" s="314" t="s">
        <v>22</v>
      </c>
      <c r="E3106" s="307" t="str">
        <f t="array" ref="E3106">(XLOOKUP(D3106,Roster!F:F,Roster!B:B,"",0))</f>
        <v>Carolina Rios</v>
      </c>
      <c r="F3106" s="315" t="str">
        <f t="array" ref="F3106">IF(B3106=100,"Free",TEXT(XLOOKUP($D3106,OperationVoice!$A:$A,OperationVoice!AG:AG,XLOOKUP($D3106,OperationTickets!$A:$A,OperationTickets!AG:AG,"",0)),"hh:mm"))</f>
        <v>08:00</v>
      </c>
      <c r="G3106" s="309">
        <f t="shared" si="3"/>
        <v>0.7083333333</v>
      </c>
      <c r="H3106" s="316" t="str">
        <f t="array" ref="H3106">XLOOKUP(B3106,Roster!L:L,Roster!N:N,XLOOKUP(D3106,TicketsBreak!A:A,TicketsBreak!E:E,"",0),0)</f>
        <v>09:30 - 09:45</v>
      </c>
      <c r="I3106" s="316" t="str">
        <f t="array" ref="I3106">XLOOKUP(B3106,Roster!L:L,Roster!O:O,XLOOKUP(D3106,TicketsBreak!A:A,TicketsBreak!F:F,"",0),0)</f>
        <v>12:00 - 12:30</v>
      </c>
      <c r="J3106" s="316" t="str">
        <f t="array" ref="J3106">XLOOKUP(B3106,Roster!L:L,Roster!P:P,XLOOKUP(D3106,TicketsBreak!A:A,TicketsBreak!G:G,"",0),0)</f>
        <v>14:45 - 15:00</v>
      </c>
      <c r="K3106" s="310">
        <f t="shared" si="4"/>
        <v>46139</v>
      </c>
      <c r="L3106" s="317">
        <f t="array" ref="L3106">(XLOOKUP(D3106,Roster!F:F,Roster!D:D,"",0))</f>
        <v>5</v>
      </c>
      <c r="M3106" s="317" t="str">
        <f t="array" ref="M3106">XLOOKUP(D3106,Roster!F:F,Roster!E:E)</f>
        <v>Voice</v>
      </c>
      <c r="N3106" s="317" t="str">
        <f t="shared" ref="N3106:P3106" si="3149">LEFT(H3106,5)</f>
        <v>09:30</v>
      </c>
      <c r="O3106" s="317" t="str">
        <f t="shared" si="3149"/>
        <v>12:00</v>
      </c>
      <c r="P3106" s="317" t="str">
        <f t="shared" si="3149"/>
        <v>14:45</v>
      </c>
      <c r="Q3106" s="318">
        <f t="shared" si="3075"/>
        <v>46139.39583</v>
      </c>
      <c r="R3106" s="318">
        <f t="shared" si="2934"/>
        <v>46139.5</v>
      </c>
      <c r="S3106" s="318">
        <f t="shared" si="8"/>
        <v>46139.61458</v>
      </c>
    </row>
    <row r="3107">
      <c r="A3107" s="14" t="str">
        <f t="shared" si="1"/>
        <v>C152846139</v>
      </c>
      <c r="B3107" s="185">
        <f t="array" ref="B3107">IF(F3107="VL","",IF(F3107="Free","Free",XLOOKUP(D3107,Roster!T:T,Roster!S:S,"",0)))</f>
        <v>132</v>
      </c>
      <c r="C3107" s="313">
        <v>46139.0</v>
      </c>
      <c r="D3107" s="314" t="s">
        <v>23</v>
      </c>
      <c r="E3107" s="307" t="str">
        <f t="array" ref="E3107">(XLOOKUP(D3107,Roster!F:F,Roster!B:B,"",0))</f>
        <v>Christian Ramirez</v>
      </c>
      <c r="F3107" s="315" t="str">
        <f t="array" ref="F3107">IF(B3107=100,"Free",TEXT(XLOOKUP($D3107,OperationVoice!$A:$A,OperationVoice!AG:AG,XLOOKUP($D3107,OperationTickets!$A:$A,OperationTickets!AG:AG,"",0)),"hh:mm"))</f>
        <v>08:00</v>
      </c>
      <c r="G3107" s="309">
        <f t="shared" si="3"/>
        <v>0.7083333333</v>
      </c>
      <c r="H3107" s="316" t="str">
        <f t="array" ref="H3107">XLOOKUP(B3107,Roster!L:L,Roster!N:N,XLOOKUP(D3107,TicketsBreak!A:A,TicketsBreak!E:E,"",0),0)</f>
        <v>10:30 - 10:45</v>
      </c>
      <c r="I3107" s="316" t="str">
        <f t="array" ref="I3107">XLOOKUP(B3107,Roster!L:L,Roster!O:O,XLOOKUP(D3107,TicketsBreak!A:A,TicketsBreak!F:F,"",0),0)</f>
        <v>13:00 - 13:30</v>
      </c>
      <c r="J3107" s="316" t="str">
        <f t="array" ref="J3107">XLOOKUP(B3107,Roster!L:L,Roster!P:P,XLOOKUP(D3107,TicketsBreak!A:A,TicketsBreak!G:G,"",0),0)</f>
        <v>15:30 - 15:45</v>
      </c>
      <c r="K3107" s="310">
        <f t="shared" si="4"/>
        <v>46139</v>
      </c>
      <c r="L3107" s="317">
        <f t="array" ref="L3107">(XLOOKUP(D3107,Roster!F:F,Roster!D:D,"",0))</f>
        <v>36</v>
      </c>
      <c r="M3107" s="317" t="str">
        <f t="array" ref="M3107">XLOOKUP(D3107,Roster!F:F,Roster!E:E)</f>
        <v>Voice</v>
      </c>
      <c r="N3107" s="317" t="str">
        <f t="shared" ref="N3107:P3107" si="3150">LEFT(H3107,5)</f>
        <v>10:30</v>
      </c>
      <c r="O3107" s="317" t="str">
        <f t="shared" si="3150"/>
        <v>13:00</v>
      </c>
      <c r="P3107" s="317" t="str">
        <f t="shared" si="3150"/>
        <v>15:30</v>
      </c>
      <c r="Q3107" s="318">
        <f t="shared" si="3075"/>
        <v>46139.4375</v>
      </c>
      <c r="R3107" s="318">
        <f t="shared" si="2934"/>
        <v>46139.54167</v>
      </c>
      <c r="S3107" s="318">
        <f t="shared" si="8"/>
        <v>46139.64583</v>
      </c>
    </row>
    <row r="3108">
      <c r="A3108" s="14" t="str">
        <f t="shared" si="1"/>
        <v>C132546139</v>
      </c>
      <c r="B3108" s="185">
        <f t="array" ref="B3108">IF(F3108="VL","",IF(F3108="Free","Free",XLOOKUP(D3108,Roster!T:T,Roster!S:S,"",0)))</f>
        <v>123</v>
      </c>
      <c r="C3108" s="313">
        <v>46139.0</v>
      </c>
      <c r="D3108" s="314" t="s">
        <v>174</v>
      </c>
      <c r="E3108" s="307" t="str">
        <f t="array" ref="E3108">(XLOOKUP(D3108,Roster!F:F,Roster!B:B,"",0))</f>
        <v>Cristian Ferreira</v>
      </c>
      <c r="F3108" s="315" t="str">
        <f t="array" ref="F3108">IF(B3108=100,"Free",TEXT(XLOOKUP($D3108,OperationVoice!$A:$A,OperationVoice!AG:AG,XLOOKUP($D3108,OperationTickets!$A:$A,OperationTickets!AG:AG,"",0)),"hh:mm"))</f>
        <v>08:00</v>
      </c>
      <c r="G3108" s="309">
        <f t="shared" si="3"/>
        <v>0.7083333333</v>
      </c>
      <c r="H3108" s="316" t="str">
        <f t="array" ref="H3108">XLOOKUP(B3108,Roster!L:L,Roster!N:N,XLOOKUP(D3108,TicketsBreak!A:A,TicketsBreak!E:E,"",0),0)</f>
        <v>09:45 - 10:00 </v>
      </c>
      <c r="I3108" s="316" t="str">
        <f t="array" ref="I3108">XLOOKUP(B3108,Roster!L:L,Roster!O:O,XLOOKUP(D3108,TicketsBreak!A:A,TicketsBreak!F:F,"",0),0)</f>
        <v>12:30 - 13:00</v>
      </c>
      <c r="J3108" s="316" t="str">
        <f t="array" ref="J3108">XLOOKUP(B3108,Roster!L:L,Roster!P:P,XLOOKUP(D3108,TicketsBreak!A:A,TicketsBreak!G:G,"",0),0)</f>
        <v>15:00 - 15:15</v>
      </c>
      <c r="K3108" s="310">
        <f t="shared" si="4"/>
        <v>46139</v>
      </c>
      <c r="L3108" s="317">
        <f t="array" ref="L3108">(XLOOKUP(D3108,Roster!F:F,Roster!D:D,"",0))</f>
        <v>29</v>
      </c>
      <c r="M3108" s="317" t="str">
        <f t="array" ref="M3108">XLOOKUP(D3108,Roster!F:F,Roster!E:E)</f>
        <v>Tickets</v>
      </c>
      <c r="N3108" s="317" t="str">
        <f t="shared" ref="N3108:P3108" si="3151">LEFT(H3108,5)</f>
        <v>09:45</v>
      </c>
      <c r="O3108" s="317" t="str">
        <f t="shared" si="3151"/>
        <v>12:30</v>
      </c>
      <c r="P3108" s="317" t="str">
        <f t="shared" si="3151"/>
        <v>15:00</v>
      </c>
      <c r="Q3108" s="318">
        <f t="shared" si="3075"/>
        <v>46139.40625</v>
      </c>
      <c r="R3108" s="318">
        <f t="shared" si="2934"/>
        <v>46139.52083</v>
      </c>
      <c r="S3108" s="318">
        <f t="shared" si="8"/>
        <v>46139.625</v>
      </c>
    </row>
    <row r="3109">
      <c r="A3109" s="14" t="str">
        <f t="shared" si="1"/>
        <v>C151046139</v>
      </c>
      <c r="B3109" s="185">
        <f t="array" ref="B3109">IF(F3109="VL","",IF(F3109="Free","Free",XLOOKUP(D3109,Roster!T:T,Roster!S:S,"",0)))</f>
        <v>121</v>
      </c>
      <c r="C3109" s="313">
        <v>46139.0</v>
      </c>
      <c r="D3109" s="314" t="s">
        <v>24</v>
      </c>
      <c r="E3109" s="307" t="str">
        <f t="array" ref="E3109">(XLOOKUP(D3109,Roster!F:F,Roster!B:B,"",0))</f>
        <v>Cristian Gomez</v>
      </c>
      <c r="F3109" s="315" t="str">
        <f t="array" ref="F3109">IF(B3109=100,"Free",TEXT(XLOOKUP($D3109,OperationVoice!$A:$A,OperationVoice!AG:AG,XLOOKUP($D3109,OperationTickets!$A:$A,OperationTickets!AG:AG,"",0)),"hh:mm"))</f>
        <v>08:00</v>
      </c>
      <c r="G3109" s="309">
        <f t="shared" si="3"/>
        <v>0.7083333333</v>
      </c>
      <c r="H3109" s="316" t="str">
        <f t="array" ref="H3109">XLOOKUP(B3109,Roster!L:L,Roster!N:N,XLOOKUP(D3109,TicketsBreak!A:A,TicketsBreak!E:E,"",0),0)</f>
        <v>09:15 - 09:30</v>
      </c>
      <c r="I3109" s="316" t="str">
        <f t="array" ref="I3109">XLOOKUP(B3109,Roster!L:L,Roster!O:O,XLOOKUP(D3109,TicketsBreak!A:A,TicketsBreak!F:F,"",0),0)</f>
        <v>11:30 - 12:00</v>
      </c>
      <c r="J3109" s="316" t="str">
        <f t="array" ref="J3109">XLOOKUP(B3109,Roster!L:L,Roster!P:P,XLOOKUP(D3109,TicketsBreak!A:A,TicketsBreak!G:G,"",0),0)</f>
        <v>14:30 - 14:45</v>
      </c>
      <c r="K3109" s="310">
        <f t="shared" si="4"/>
        <v>46139</v>
      </c>
      <c r="L3109" s="317">
        <f t="array" ref="L3109">(XLOOKUP(D3109,Roster!F:F,Roster!D:D,"",0))</f>
        <v>35</v>
      </c>
      <c r="M3109" s="317" t="str">
        <f t="array" ref="M3109">XLOOKUP(D3109,Roster!F:F,Roster!E:E)</f>
        <v>Voice</v>
      </c>
      <c r="N3109" s="317" t="str">
        <f t="shared" ref="N3109:P3109" si="3152">LEFT(H3109,5)</f>
        <v>09:15</v>
      </c>
      <c r="O3109" s="317" t="str">
        <f t="shared" si="3152"/>
        <v>11:30</v>
      </c>
      <c r="P3109" s="317" t="str">
        <f t="shared" si="3152"/>
        <v>14:30</v>
      </c>
      <c r="Q3109" s="318">
        <f t="shared" si="3075"/>
        <v>46139.38542</v>
      </c>
      <c r="R3109" s="318">
        <f t="shared" si="2934"/>
        <v>46139.47917</v>
      </c>
      <c r="S3109" s="318">
        <f t="shared" si="8"/>
        <v>46139.60417</v>
      </c>
    </row>
    <row r="3110">
      <c r="A3110" s="14" t="str">
        <f t="shared" si="1"/>
        <v>C67346139</v>
      </c>
      <c r="B3110" s="185" t="str">
        <f t="array" ref="B3110">IF(F3110="VL","",IF(F3110="Free","Free",XLOOKUP(D3110,Roster!T:T,Roster!S:S,"",0)))</f>
        <v/>
      </c>
      <c r="C3110" s="313">
        <v>46139.0</v>
      </c>
      <c r="D3110" s="314" t="s">
        <v>156</v>
      </c>
      <c r="E3110" s="307" t="str">
        <f t="array" ref="E3110">(XLOOKUP(D3110,Roster!F:F,Roster!B:B,"",0))</f>
        <v>Dahiana Cano</v>
      </c>
      <c r="F3110" s="315" t="str">
        <f t="array" ref="F3110">IF(B3110=100,"Free",TEXT(XLOOKUP($D3110,OperationVoice!$A:$A,OperationVoice!AG:AG,XLOOKUP($D3110,OperationTickets!$A:$A,OperationTickets!AG:AG,"",0)),"hh:mm"))</f>
        <v>08:00</v>
      </c>
      <c r="G3110" s="309">
        <f t="shared" si="3"/>
        <v>0.7083333333</v>
      </c>
      <c r="H3110" s="316">
        <f t="array" ref="H3110">XLOOKUP(B3110,Roster!L:L,Roster!N:N,XLOOKUP(D3110,TicketsBreak!A:A,TicketsBreak!E:E,"",0),0)</f>
        <v>0.4583333333</v>
      </c>
      <c r="I3110" s="316">
        <f t="array" ref="I3110">XLOOKUP(B3110,Roster!L:L,Roster!O:O,XLOOKUP(D3110,TicketsBreak!A:A,TicketsBreak!F:F,"",0),0)</f>
        <v>0.5833333333</v>
      </c>
      <c r="J3110" s="316">
        <f t="array" ref="J3110">XLOOKUP(B3110,Roster!L:L,Roster!P:P,XLOOKUP(D3110,TicketsBreak!A:A,TicketsBreak!G:G,"",0),0)</f>
        <v>0.65625</v>
      </c>
      <c r="K3110" s="310">
        <f t="shared" si="4"/>
        <v>46139</v>
      </c>
      <c r="L3110" s="317">
        <f t="array" ref="L3110">(XLOOKUP(D3110,Roster!F:F,Roster!D:D,"",0))</f>
        <v>4</v>
      </c>
      <c r="M3110" s="317" t="str">
        <f t="array" ref="M3110">XLOOKUP(D3110,Roster!F:F,Roster!E:E)</f>
        <v>Tickets</v>
      </c>
      <c r="N3110" s="317" t="str">
        <f t="shared" ref="N3110:P3110" si="3153">LEFT(H3110,5)</f>
        <v>11:00</v>
      </c>
      <c r="O3110" s="317" t="str">
        <f t="shared" si="3153"/>
        <v>14:00</v>
      </c>
      <c r="P3110" s="317" t="str">
        <f t="shared" si="3153"/>
        <v>15:45</v>
      </c>
      <c r="Q3110" s="318">
        <f t="shared" si="3075"/>
        <v>46139.45833</v>
      </c>
      <c r="R3110" s="318">
        <f t="shared" si="2934"/>
        <v>46139.58333</v>
      </c>
      <c r="S3110" s="318">
        <f t="shared" si="8"/>
        <v>46139.65625</v>
      </c>
    </row>
    <row r="3111">
      <c r="A3111" s="14" t="str">
        <f t="shared" si="1"/>
        <v>C152946139</v>
      </c>
      <c r="B3111" s="185">
        <f t="array" ref="B3111">IF(F3111="VL","",IF(F3111="Free","Free",XLOOKUP(D3111,Roster!T:T,Roster!S:S,"",0)))</f>
        <v>133</v>
      </c>
      <c r="C3111" s="313">
        <v>46139.0</v>
      </c>
      <c r="D3111" s="314" t="s">
        <v>25</v>
      </c>
      <c r="E3111" s="307" t="str">
        <f t="array" ref="E3111">(XLOOKUP(D3111,Roster!F:F,Roster!B:B,"",0))</f>
        <v>Daniel Barrientos</v>
      </c>
      <c r="F3111" s="315" t="str">
        <f t="array" ref="F3111">IF(B3111=100,"Free",TEXT(XLOOKUP($D3111,OperationVoice!$A:$A,OperationVoice!AG:AG,XLOOKUP($D3111,OperationTickets!$A:$A,OperationTickets!AG:AG,"",0)),"hh:mm"))</f>
        <v>09:00</v>
      </c>
      <c r="G3111" s="309">
        <f t="shared" si="3"/>
        <v>0.75</v>
      </c>
      <c r="H3111" s="316" t="str">
        <f t="array" ref="H3111">XLOOKUP(B3111,Roster!L:L,Roster!N:N,XLOOKUP(D3111,TicketsBreak!A:A,TicketsBreak!E:E,"",0),0)</f>
        <v>10:45 - 11:00 </v>
      </c>
      <c r="I3111" s="316" t="str">
        <f t="array" ref="I3111">XLOOKUP(B3111,Roster!L:L,Roster!O:O,XLOOKUP(D3111,TicketsBreak!A:A,TicketsBreak!F:F,"",0),0)</f>
        <v>13:30 - 14:00</v>
      </c>
      <c r="J3111" s="316" t="str">
        <f t="array" ref="J3111">XLOOKUP(B3111,Roster!L:L,Roster!P:P,XLOOKUP(D3111,TicketsBreak!A:A,TicketsBreak!G:G,"",0),0)</f>
        <v>15:45 - 16:00</v>
      </c>
      <c r="K3111" s="310">
        <f t="shared" si="4"/>
        <v>46139</v>
      </c>
      <c r="L3111" s="317">
        <f t="array" ref="L3111">(XLOOKUP(D3111,Roster!F:F,Roster!D:D,"",0))</f>
        <v>36</v>
      </c>
      <c r="M3111" s="317" t="str">
        <f t="array" ref="M3111">XLOOKUP(D3111,Roster!F:F,Roster!E:E)</f>
        <v>Voice</v>
      </c>
      <c r="N3111" s="317" t="str">
        <f t="shared" ref="N3111:P3111" si="3154">LEFT(H3111,5)</f>
        <v>10:45</v>
      </c>
      <c r="O3111" s="317" t="str">
        <f t="shared" si="3154"/>
        <v>13:30</v>
      </c>
      <c r="P3111" s="317" t="str">
        <f t="shared" si="3154"/>
        <v>15:45</v>
      </c>
      <c r="Q3111" s="318">
        <f t="shared" si="3075"/>
        <v>46139.44792</v>
      </c>
      <c r="R3111" s="318">
        <f t="shared" si="2934"/>
        <v>46139.5625</v>
      </c>
      <c r="S3111" s="318">
        <f t="shared" si="8"/>
        <v>46139.65625</v>
      </c>
    </row>
    <row r="3112">
      <c r="A3112" s="14" t="str">
        <f t="shared" si="1"/>
        <v>C106446139</v>
      </c>
      <c r="B3112" s="185" t="str">
        <f t="array" ref="B3112">IF(F3112="VL","",IF(F3112="Free","Free",XLOOKUP(D3112,Roster!T:T,Roster!S:S,"",0)))</f>
        <v/>
      </c>
      <c r="C3112" s="313">
        <v>46139.0</v>
      </c>
      <c r="D3112" s="314" t="s">
        <v>175</v>
      </c>
      <c r="E3112" s="307" t="str">
        <f t="array" ref="E3112">(XLOOKUP(D3112,Roster!F:F,Roster!B:B,"",0))</f>
        <v>Daniel Urrego</v>
      </c>
      <c r="F3112" s="315" t="str">
        <f t="array" ref="F3112">IF(B3112=100,"Free",TEXT(XLOOKUP($D3112,OperationVoice!$A:$A,OperationVoice!AG:AG,XLOOKUP($D3112,OperationTickets!$A:$A,OperationTickets!AG:AG,"",0)),"hh:mm"))</f>
        <v>08:00</v>
      </c>
      <c r="G3112" s="309">
        <f t="shared" si="3"/>
        <v>0.7083333333</v>
      </c>
      <c r="H3112" s="316" t="str">
        <f t="array" ref="H3112">XLOOKUP(B3112,Roster!L:L,Roster!N:N,XLOOKUP(D3112,TicketsBreak!A:A,TicketsBreak!E:E,"",0),0)</f>
        <v/>
      </c>
      <c r="I3112" s="316" t="str">
        <f t="array" ref="I3112">XLOOKUP(B3112,Roster!L:L,Roster!O:O,XLOOKUP(D3112,TicketsBreak!A:A,TicketsBreak!F:F,"",0),0)</f>
        <v/>
      </c>
      <c r="J3112" s="316" t="str">
        <f t="array" ref="J3112">XLOOKUP(B3112,Roster!L:L,Roster!P:P,XLOOKUP(D3112,TicketsBreak!A:A,TicketsBreak!G:G,"",0),0)</f>
        <v/>
      </c>
      <c r="K3112" s="310">
        <f t="shared" si="4"/>
        <v>46139</v>
      </c>
      <c r="L3112" s="317">
        <f t="array" ref="L3112">(XLOOKUP(D3112,Roster!F:F,Roster!D:D,"",0))</f>
        <v>17</v>
      </c>
      <c r="M3112" s="317" t="str">
        <f t="array" ref="M3112">XLOOKUP(D3112,Roster!F:F,Roster!E:E)</f>
        <v>Tickets</v>
      </c>
      <c r="N3112" s="317" t="str">
        <f t="shared" ref="N3112:P3112" si="3155">LEFT(H3112,5)</f>
        <v/>
      </c>
      <c r="O3112" s="317" t="str">
        <f t="shared" si="3155"/>
        <v/>
      </c>
      <c r="P3112" s="317" t="str">
        <f t="shared" si="3155"/>
        <v/>
      </c>
      <c r="Q3112" s="318" t="str">
        <f t="shared" si="3075"/>
        <v/>
      </c>
      <c r="R3112" s="318" t="str">
        <f t="shared" si="2934"/>
        <v/>
      </c>
      <c r="S3112" s="318" t="str">
        <f t="shared" si="8"/>
        <v/>
      </c>
    </row>
    <row r="3113">
      <c r="A3113" s="14" t="str">
        <f t="shared" si="1"/>
        <v>C151346139</v>
      </c>
      <c r="B3113" s="185">
        <f t="array" ref="B3113">IF(F3113="VL","",IF(F3113="Free","Free",XLOOKUP(D3113,Roster!T:T,Roster!S:S,"",0)))</f>
        <v>126</v>
      </c>
      <c r="C3113" s="313">
        <v>46139.0</v>
      </c>
      <c r="D3113" s="314" t="s">
        <v>26</v>
      </c>
      <c r="E3113" s="307" t="str">
        <f t="array" ref="E3113">(XLOOKUP(D3113,Roster!F:F,Roster!B:B,"",0))</f>
        <v>David Patino</v>
      </c>
      <c r="F3113" s="315" t="str">
        <f t="array" ref="F3113">IF(B3113=100,"Free",TEXT(XLOOKUP($D3113,OperationVoice!$A:$A,OperationVoice!AG:AG,XLOOKUP($D3113,OperationTickets!$A:$A,OperationTickets!AG:AG,"",0)),"hh:mm"))</f>
        <v>08:00</v>
      </c>
      <c r="G3113" s="309">
        <f t="shared" si="3"/>
        <v>0.7083333333</v>
      </c>
      <c r="H3113" s="316" t="str">
        <f t="array" ref="H3113">XLOOKUP(B3113,Roster!L:L,Roster!N:N,XLOOKUP(D3113,TicketsBreak!A:A,TicketsBreak!E:E,"",0),0)</f>
        <v>10:45 - 11:00</v>
      </c>
      <c r="I3113" s="316" t="str">
        <f t="array" ref="I3113">XLOOKUP(B3113,Roster!L:L,Roster!O:O,XLOOKUP(D3113,TicketsBreak!A:A,TicketsBreak!F:F,"",0),0)</f>
        <v>14:00 - 14:30</v>
      </c>
      <c r="J3113" s="316" t="str">
        <f t="array" ref="J3113">XLOOKUP(B3113,Roster!L:L,Roster!P:P,XLOOKUP(D3113,TicketsBreak!A:A,TicketsBreak!G:G,"",0),0)</f>
        <v>15:45 - 16:00</v>
      </c>
      <c r="K3113" s="310">
        <f t="shared" si="4"/>
        <v>46139</v>
      </c>
      <c r="L3113" s="317">
        <f t="array" ref="L3113">(XLOOKUP(D3113,Roster!F:F,Roster!D:D,"",0))</f>
        <v>35</v>
      </c>
      <c r="M3113" s="317" t="str">
        <f t="array" ref="M3113">XLOOKUP(D3113,Roster!F:F,Roster!E:E)</f>
        <v>Voice</v>
      </c>
      <c r="N3113" s="317" t="str">
        <f t="shared" ref="N3113:P3113" si="3156">LEFT(H3113,5)</f>
        <v>10:45</v>
      </c>
      <c r="O3113" s="317" t="str">
        <f t="shared" si="3156"/>
        <v>14:00</v>
      </c>
      <c r="P3113" s="317" t="str">
        <f t="shared" si="3156"/>
        <v>15:45</v>
      </c>
      <c r="Q3113" s="318">
        <f t="shared" si="3075"/>
        <v>46139.44792</v>
      </c>
      <c r="R3113" s="318">
        <f t="shared" si="2934"/>
        <v>46139.58333</v>
      </c>
      <c r="S3113" s="318">
        <f t="shared" si="8"/>
        <v>46139.65625</v>
      </c>
    </row>
    <row r="3114">
      <c r="A3114" s="14" t="str">
        <f t="shared" si="1"/>
        <v>C127746139</v>
      </c>
      <c r="B3114" s="185" t="str">
        <f t="array" ref="B3114">IF(F3114="VL","",IF(F3114="Free","Free",XLOOKUP(D3114,Roster!T:T,Roster!S:S,"",0)))</f>
        <v>Free</v>
      </c>
      <c r="C3114" s="313">
        <v>46139.0</v>
      </c>
      <c r="D3114" s="314" t="s">
        <v>27</v>
      </c>
      <c r="E3114" s="307" t="str">
        <f t="array" ref="E3114">(XLOOKUP(D3114,Roster!F:F,Roster!B:B,"",0))</f>
        <v>Edwuin Martinez</v>
      </c>
      <c r="F3114" s="315" t="str">
        <f t="array" ref="F3114">IF(B3114=100,"Free",TEXT(XLOOKUP($D3114,OperationVoice!$A:$A,OperationVoice!AG:AG,XLOOKUP($D3114,OperationTickets!$A:$A,OperationTickets!AG:AG,"",0)),"hh:mm"))</f>
        <v>Free</v>
      </c>
      <c r="G3114" s="309" t="str">
        <f t="shared" si="3"/>
        <v>Free</v>
      </c>
      <c r="H3114" s="316" t="str">
        <f t="array" ref="H3114">XLOOKUP(B3114,Roster!L:L,Roster!N:N,XLOOKUP(D3114,TicketsBreak!A:A,TicketsBreak!E:E,"",0),0)</f>
        <v/>
      </c>
      <c r="I3114" s="316" t="str">
        <f t="array" ref="I3114">XLOOKUP(B3114,Roster!L:L,Roster!O:O,XLOOKUP(D3114,TicketsBreak!A:A,TicketsBreak!F:F,"",0),0)</f>
        <v/>
      </c>
      <c r="J3114" s="316" t="str">
        <f t="array" ref="J3114">XLOOKUP(B3114,Roster!L:L,Roster!P:P,XLOOKUP(D3114,TicketsBreak!A:A,TicketsBreak!G:G,"",0),0)</f>
        <v/>
      </c>
      <c r="K3114" s="310">
        <f t="shared" si="4"/>
        <v>46139</v>
      </c>
      <c r="L3114" s="317">
        <f t="array" ref="L3114">(XLOOKUP(D3114,Roster!F:F,Roster!D:D,"",0))</f>
        <v>27</v>
      </c>
      <c r="M3114" s="317" t="str">
        <f t="array" ref="M3114">XLOOKUP(D3114,Roster!F:F,Roster!E:E)</f>
        <v>Voice</v>
      </c>
      <c r="N3114" s="317" t="str">
        <f t="shared" ref="N3114:P3114" si="3157">LEFT(H3114,5)</f>
        <v/>
      </c>
      <c r="O3114" s="317" t="str">
        <f t="shared" si="3157"/>
        <v/>
      </c>
      <c r="P3114" s="317" t="str">
        <f t="shared" si="3157"/>
        <v/>
      </c>
      <c r="Q3114" s="318" t="str">
        <f t="shared" si="3075"/>
        <v/>
      </c>
      <c r="R3114" s="318" t="str">
        <f t="shared" si="2934"/>
        <v/>
      </c>
      <c r="S3114" s="318" t="str">
        <f t="shared" si="8"/>
        <v/>
      </c>
    </row>
    <row r="3115">
      <c r="A3115" s="14" t="str">
        <f t="shared" si="1"/>
        <v>C121646139</v>
      </c>
      <c r="B3115" s="185" t="str">
        <f t="array" ref="B3115">IF(F3115="VL","",IF(F3115="Free","Free",XLOOKUP(D3115,Roster!T:T,Roster!S:S,"",0)))</f>
        <v/>
      </c>
      <c r="C3115" s="313">
        <v>46139.0</v>
      </c>
      <c r="D3115" s="314" t="s">
        <v>134</v>
      </c>
      <c r="E3115" s="307" t="str">
        <f t="array" ref="E3115">(XLOOKUP(D3115,Roster!F:F,Roster!B:B,"",0))</f>
        <v>Eliana Pena</v>
      </c>
      <c r="F3115" s="315" t="str">
        <f t="array" ref="F3115">IF(B3115=100,"Free",TEXT(XLOOKUP($D3115,OperationVoice!$A:$A,OperationVoice!AG:AG,XLOOKUP($D3115,OperationTickets!$A:$A,OperationTickets!AG:AG,"",0)),"hh:mm"))</f>
        <v>08:00</v>
      </c>
      <c r="G3115" s="309">
        <f t="shared" si="3"/>
        <v>0.7083333333</v>
      </c>
      <c r="H3115" s="316">
        <f t="array" ref="H3115">XLOOKUP(B3115,Roster!L:L,Roster!N:N,XLOOKUP(D3115,TicketsBreak!A:A,TicketsBreak!E:E,"",0),0)</f>
        <v>0.3958333333</v>
      </c>
      <c r="I3115" s="316">
        <f t="array" ref="I3115">XLOOKUP(B3115,Roster!L:L,Roster!O:O,XLOOKUP(D3115,TicketsBreak!A:A,TicketsBreak!F:F,"",0),0)</f>
        <v>0.5416666667</v>
      </c>
      <c r="J3115" s="316">
        <f t="array" ref="J3115">XLOOKUP(B3115,Roster!L:L,Roster!P:P,XLOOKUP(D3115,TicketsBreak!A:A,TicketsBreak!G:G,"",0),0)</f>
        <v>0.6354166667</v>
      </c>
      <c r="K3115" s="310">
        <f t="shared" si="4"/>
        <v>46139</v>
      </c>
      <c r="L3115" s="317">
        <f t="array" ref="L3115">(XLOOKUP(D3115,Roster!F:F,Roster!D:D,"",0))</f>
        <v>26</v>
      </c>
      <c r="M3115" s="317" t="str">
        <f t="array" ref="M3115">XLOOKUP(D3115,Roster!F:F,Roster!E:E)</f>
        <v>Tickets</v>
      </c>
      <c r="N3115" s="317" t="str">
        <f t="shared" ref="N3115:P3115" si="3158">LEFT(H3115,5)</f>
        <v>09:30</v>
      </c>
      <c r="O3115" s="317" t="str">
        <f t="shared" si="3158"/>
        <v>13:00</v>
      </c>
      <c r="P3115" s="317" t="str">
        <f t="shared" si="3158"/>
        <v>15:15</v>
      </c>
      <c r="Q3115" s="318">
        <f t="shared" si="3075"/>
        <v>46139.39583</v>
      </c>
      <c r="R3115" s="318">
        <f t="shared" si="2934"/>
        <v>46139.54167</v>
      </c>
      <c r="S3115" s="318">
        <f t="shared" si="8"/>
        <v>46139.63542</v>
      </c>
    </row>
    <row r="3116">
      <c r="A3116" s="14" t="str">
        <f t="shared" si="1"/>
        <v>C157346139</v>
      </c>
      <c r="B3116" s="185">
        <f t="array" ref="B3116">IF(F3116="VL","",IF(F3116="Free","Free",XLOOKUP(D3116,Roster!T:T,Roster!S:S,"",0)))</f>
        <v>123</v>
      </c>
      <c r="C3116" s="313">
        <v>46139.0</v>
      </c>
      <c r="D3116" s="314" t="s">
        <v>28</v>
      </c>
      <c r="E3116" s="307" t="str">
        <f t="array" ref="E3116">(XLOOKUP(D3116,Roster!F:F,Roster!B:B,"",0))</f>
        <v>Esteban Correa</v>
      </c>
      <c r="F3116" s="315" t="str">
        <f t="array" ref="F3116">IF(B3116=100,"Free",TEXT(XLOOKUP($D3116,OperationVoice!$A:$A,OperationVoice!AG:AG,XLOOKUP($D3116,OperationTickets!$A:$A,OperationTickets!AG:AG,"",0)),"hh:mm"))</f>
        <v>08:00</v>
      </c>
      <c r="G3116" s="309">
        <f t="shared" si="3"/>
        <v>0.7083333333</v>
      </c>
      <c r="H3116" s="316" t="str">
        <f t="array" ref="H3116">XLOOKUP(B3116,Roster!L:L,Roster!N:N,XLOOKUP(D3116,TicketsBreak!A:A,TicketsBreak!E:E,"",0),0)</f>
        <v>09:45 - 10:00 </v>
      </c>
      <c r="I3116" s="316" t="str">
        <f t="array" ref="I3116">XLOOKUP(B3116,Roster!L:L,Roster!O:O,XLOOKUP(D3116,TicketsBreak!A:A,TicketsBreak!F:F,"",0),0)</f>
        <v>12:30 - 13:00</v>
      </c>
      <c r="J3116" s="316" t="str">
        <f t="array" ref="J3116">XLOOKUP(B3116,Roster!L:L,Roster!P:P,XLOOKUP(D3116,TicketsBreak!A:A,TicketsBreak!G:G,"",0),0)</f>
        <v>15:00 - 15:15</v>
      </c>
      <c r="K3116" s="310">
        <f t="shared" si="4"/>
        <v>46139</v>
      </c>
      <c r="L3116" s="317">
        <f t="array" ref="L3116">(XLOOKUP(D3116,Roster!F:F,Roster!D:D,"",0))</f>
        <v>38</v>
      </c>
      <c r="M3116" s="317" t="str">
        <f t="array" ref="M3116">XLOOKUP(D3116,Roster!F:F,Roster!E:E)</f>
        <v>Voice</v>
      </c>
      <c r="N3116" s="317" t="str">
        <f t="shared" ref="N3116:P3116" si="3159">LEFT(H3116,5)</f>
        <v>09:45</v>
      </c>
      <c r="O3116" s="317" t="str">
        <f t="shared" si="3159"/>
        <v>12:30</v>
      </c>
      <c r="P3116" s="317" t="str">
        <f t="shared" si="3159"/>
        <v>15:00</v>
      </c>
      <c r="Q3116" s="318">
        <f t="shared" si="3075"/>
        <v>46139.40625</v>
      </c>
      <c r="R3116" s="318">
        <f t="shared" si="2934"/>
        <v>46139.52083</v>
      </c>
      <c r="S3116" s="318">
        <f t="shared" si="8"/>
        <v>46139.625</v>
      </c>
    </row>
    <row r="3117">
      <c r="A3117" s="14" t="str">
        <f t="shared" si="1"/>
        <v>C71346139</v>
      </c>
      <c r="B3117" s="185">
        <f t="array" ref="B3117">IF(F3117="VL","",IF(F3117="Free","Free",XLOOKUP(D3117,Roster!T:T,Roster!S:S,"",0)))</f>
        <v>125</v>
      </c>
      <c r="C3117" s="313">
        <v>46139.0</v>
      </c>
      <c r="D3117" s="314" t="s">
        <v>29</v>
      </c>
      <c r="E3117" s="307" t="str">
        <f t="array" ref="E3117">(XLOOKUP(D3117,Roster!F:F,Roster!B:B,"",0))</f>
        <v>Frank Marin</v>
      </c>
      <c r="F3117" s="315" t="str">
        <f t="array" ref="F3117">IF(B3117=100,"Free",TEXT(XLOOKUP($D3117,OperationVoice!$A:$A,OperationVoice!AG:AG,XLOOKUP($D3117,OperationTickets!$A:$A,OperationTickets!AG:AG,"",0)),"hh:mm"))</f>
        <v>08:00</v>
      </c>
      <c r="G3117" s="309">
        <f t="shared" si="3"/>
        <v>0.7083333333</v>
      </c>
      <c r="H3117" s="316" t="str">
        <f t="array" ref="H3117">XLOOKUP(B3117,Roster!L:L,Roster!N:N,XLOOKUP(D3117,TicketsBreak!A:A,TicketsBreak!E:E,"",0),0)</f>
        <v>10:30 - 10:45</v>
      </c>
      <c r="I3117" s="316" t="str">
        <f t="array" ref="I3117">XLOOKUP(B3117,Roster!L:L,Roster!O:O,XLOOKUP(D3117,TicketsBreak!A:A,TicketsBreak!F:F,"",0),0)</f>
        <v>13:30 - 14:00</v>
      </c>
      <c r="J3117" s="316" t="str">
        <f t="array" ref="J3117">XLOOKUP(B3117,Roster!L:L,Roster!P:P,XLOOKUP(D3117,TicketsBreak!A:A,TicketsBreak!G:G,"",0),0)</f>
        <v>15:45 - 16:00</v>
      </c>
      <c r="K3117" s="310">
        <f t="shared" si="4"/>
        <v>46139</v>
      </c>
      <c r="L3117" s="317">
        <f t="array" ref="L3117">(XLOOKUP(D3117,Roster!F:F,Roster!D:D,"",0))</f>
        <v>6</v>
      </c>
      <c r="M3117" s="317" t="str">
        <f t="array" ref="M3117">XLOOKUP(D3117,Roster!F:F,Roster!E:E)</f>
        <v>Voice</v>
      </c>
      <c r="N3117" s="317" t="str">
        <f t="shared" ref="N3117:P3117" si="3160">LEFT(H3117,5)</f>
        <v>10:30</v>
      </c>
      <c r="O3117" s="317" t="str">
        <f t="shared" si="3160"/>
        <v>13:30</v>
      </c>
      <c r="P3117" s="317" t="str">
        <f t="shared" si="3160"/>
        <v>15:45</v>
      </c>
      <c r="Q3117" s="318">
        <f t="shared" si="3075"/>
        <v>46139.4375</v>
      </c>
      <c r="R3117" s="318">
        <f t="shared" si="2934"/>
        <v>46139.5625</v>
      </c>
      <c r="S3117" s="318">
        <f t="shared" si="8"/>
        <v>46139.65625</v>
      </c>
    </row>
    <row r="3118">
      <c r="A3118" s="14" t="str">
        <f t="shared" si="1"/>
        <v>C154846139</v>
      </c>
      <c r="B3118" s="185">
        <f t="array" ref="B3118">IF(F3118="VL","",IF(F3118="Free","Free",XLOOKUP(D3118,Roster!T:T,Roster!S:S,"",0)))</f>
        <v>152</v>
      </c>
      <c r="C3118" s="313">
        <v>46139.0</v>
      </c>
      <c r="D3118" s="314" t="s">
        <v>30</v>
      </c>
      <c r="E3118" s="307" t="str">
        <f t="array" ref="E3118">(XLOOKUP(D3118,Roster!F:F,Roster!B:B,"",0))</f>
        <v>Frey ortiz</v>
      </c>
      <c r="F3118" s="315" t="str">
        <f t="array" ref="F3118">IF(B3118=100,"Free",TEXT(XLOOKUP($D3118,OperationVoice!$A:$A,OperationVoice!AG:AG,XLOOKUP($D3118,OperationTickets!$A:$A,OperationTickets!AG:AG,"",0)),"hh:mm"))</f>
        <v>11:00</v>
      </c>
      <c r="G3118" s="309">
        <f t="shared" si="3"/>
        <v>0.8333333333</v>
      </c>
      <c r="H3118" s="316" t="str">
        <f t="array" ref="H3118">XLOOKUP(B3118,Roster!L:L,Roster!N:N,XLOOKUP(D3118,TicketsBreak!A:A,TicketsBreak!E:E,"",0),0)</f>
        <v>12:30 - 12:45</v>
      </c>
      <c r="I3118" s="316" t="str">
        <f t="array" ref="I3118">XLOOKUP(B3118,Roster!L:L,Roster!O:O,XLOOKUP(D3118,TicketsBreak!A:A,TicketsBreak!F:F,"",0),0)</f>
        <v>14:30 - 15:00</v>
      </c>
      <c r="J3118" s="316" t="str">
        <f t="array" ref="J3118">XLOOKUP(B3118,Roster!L:L,Roster!P:P,XLOOKUP(D3118,TicketsBreak!A:A,TicketsBreak!G:G,"",0),0)</f>
        <v>17:30 - 17:45</v>
      </c>
      <c r="K3118" s="310">
        <f t="shared" si="4"/>
        <v>46139</v>
      </c>
      <c r="L3118" s="317">
        <f t="array" ref="L3118">(XLOOKUP(D3118,Roster!F:F,Roster!D:D,"",0))</f>
        <v>37</v>
      </c>
      <c r="M3118" s="317" t="str">
        <f t="array" ref="M3118">XLOOKUP(D3118,Roster!F:F,Roster!E:E)</f>
        <v>Voice</v>
      </c>
      <c r="N3118" s="317" t="str">
        <f t="shared" ref="N3118:P3118" si="3161">LEFT(H3118,5)</f>
        <v>12:30</v>
      </c>
      <c r="O3118" s="317" t="str">
        <f t="shared" si="3161"/>
        <v>14:30</v>
      </c>
      <c r="P3118" s="317" t="str">
        <f t="shared" si="3161"/>
        <v>17:30</v>
      </c>
      <c r="Q3118" s="318">
        <f t="shared" si="3075"/>
        <v>46139.52083</v>
      </c>
      <c r="R3118" s="318">
        <f t="shared" si="2934"/>
        <v>46139.60417</v>
      </c>
      <c r="S3118" s="318">
        <f t="shared" si="8"/>
        <v>46139.72917</v>
      </c>
    </row>
    <row r="3119">
      <c r="A3119" s="14" t="str">
        <f t="shared" si="1"/>
        <v>C148646139</v>
      </c>
      <c r="B3119" s="185">
        <f t="array" ref="B3119">IF(F3119="VL","",IF(F3119="Free","Free",XLOOKUP(D3119,Roster!T:T,Roster!S:S,"",0)))</f>
        <v>154</v>
      </c>
      <c r="C3119" s="313">
        <v>46139.0</v>
      </c>
      <c r="D3119" s="314" t="s">
        <v>31</v>
      </c>
      <c r="E3119" s="307" t="str">
        <f t="array" ref="E3119">(XLOOKUP(D3119,Roster!F:F,Roster!B:B,"",0))</f>
        <v>Gabriel Gomez</v>
      </c>
      <c r="F3119" s="315" t="str">
        <f t="array" ref="F3119">IF(B3119=100,"Free",TEXT(XLOOKUP($D3119,OperationVoice!$A:$A,OperationVoice!AG:AG,XLOOKUP($D3119,OperationTickets!$A:$A,OperationTickets!AG:AG,"",0)),"hh:mm"))</f>
        <v>11:00</v>
      </c>
      <c r="G3119" s="309">
        <f t="shared" si="3"/>
        <v>0.8333333333</v>
      </c>
      <c r="H3119" s="316" t="str">
        <f t="array" ref="H3119">XLOOKUP(B3119,Roster!L:L,Roster!N:N,XLOOKUP(D3119,TicketsBreak!A:A,TicketsBreak!E:E,"",0),0)</f>
        <v>13:00 - 13:15</v>
      </c>
      <c r="I3119" s="316" t="str">
        <f t="array" ref="I3119">XLOOKUP(B3119,Roster!L:L,Roster!O:O,XLOOKUP(D3119,TicketsBreak!A:A,TicketsBreak!F:F,"",0),0)</f>
        <v>15:15 - 15:45</v>
      </c>
      <c r="J3119" s="316" t="str">
        <f t="array" ref="J3119">XLOOKUP(B3119,Roster!L:L,Roster!P:P,XLOOKUP(D3119,TicketsBreak!A:A,TicketsBreak!G:G,"",0),0)</f>
        <v>18:00 - 18:15</v>
      </c>
      <c r="K3119" s="310">
        <f t="shared" si="4"/>
        <v>46139</v>
      </c>
      <c r="L3119" s="317">
        <f t="array" ref="L3119">(XLOOKUP(D3119,Roster!F:F,Roster!D:D,"",0))</f>
        <v>34</v>
      </c>
      <c r="M3119" s="317" t="str">
        <f t="array" ref="M3119">XLOOKUP(D3119,Roster!F:F,Roster!E:E)</f>
        <v>Voice</v>
      </c>
      <c r="N3119" s="317" t="str">
        <f t="shared" ref="N3119:P3119" si="3162">LEFT(H3119,5)</f>
        <v>13:00</v>
      </c>
      <c r="O3119" s="317" t="str">
        <f t="shared" si="3162"/>
        <v>15:15</v>
      </c>
      <c r="P3119" s="317" t="str">
        <f t="shared" si="3162"/>
        <v>18:00</v>
      </c>
      <c r="Q3119" s="318">
        <f t="shared" si="3075"/>
        <v>46139.54167</v>
      </c>
      <c r="R3119" s="318">
        <f t="shared" si="2934"/>
        <v>46139.63542</v>
      </c>
      <c r="S3119" s="318">
        <f t="shared" si="8"/>
        <v>46139.75</v>
      </c>
    </row>
    <row r="3120">
      <c r="A3120" s="14" t="str">
        <f t="shared" si="1"/>
        <v>C136946139</v>
      </c>
      <c r="B3120" s="185">
        <f t="array" ref="B3120">IF(F3120="VL","",IF(F3120="Free","Free",XLOOKUP(D3120,Roster!T:T,Roster!S:S,"",0)))</f>
        <v>126</v>
      </c>
      <c r="C3120" s="313">
        <v>46139.0</v>
      </c>
      <c r="D3120" s="314" t="s">
        <v>157</v>
      </c>
      <c r="E3120" s="307" t="str">
        <f t="array" ref="E3120">(XLOOKUP(D3120,Roster!F:F,Roster!B:B,"",0))</f>
        <v>Gabriela Jimenez</v>
      </c>
      <c r="F3120" s="315" t="str">
        <f t="array" ref="F3120">IF(B3120=100,"Free",TEXT(XLOOKUP($D3120,OperationVoice!$A:$A,OperationVoice!AG:AG,XLOOKUP($D3120,OperationTickets!$A:$A,OperationTickets!AG:AG,"",0)),"hh:mm"))</f>
        <v>08:00</v>
      </c>
      <c r="G3120" s="309">
        <f t="shared" si="3"/>
        <v>0.7083333333</v>
      </c>
      <c r="H3120" s="316" t="str">
        <f t="array" ref="H3120">XLOOKUP(B3120,Roster!L:L,Roster!N:N,XLOOKUP(D3120,TicketsBreak!A:A,TicketsBreak!E:E,"",0),0)</f>
        <v>10:45 - 11:00</v>
      </c>
      <c r="I3120" s="316" t="str">
        <f t="array" ref="I3120">XLOOKUP(B3120,Roster!L:L,Roster!O:O,XLOOKUP(D3120,TicketsBreak!A:A,TicketsBreak!F:F,"",0),0)</f>
        <v>14:00 - 14:30</v>
      </c>
      <c r="J3120" s="316" t="str">
        <f t="array" ref="J3120">XLOOKUP(B3120,Roster!L:L,Roster!P:P,XLOOKUP(D3120,TicketsBreak!A:A,TicketsBreak!G:G,"",0),0)</f>
        <v>15:45 - 16:00</v>
      </c>
      <c r="K3120" s="310">
        <f t="shared" si="4"/>
        <v>46139</v>
      </c>
      <c r="L3120" s="317">
        <f t="array" ref="L3120">(XLOOKUP(D3120,Roster!F:F,Roster!D:D,"",0))</f>
        <v>31</v>
      </c>
      <c r="M3120" s="317" t="str">
        <f t="array" ref="M3120">XLOOKUP(D3120,Roster!F:F,Roster!E:E)</f>
        <v>Tickets</v>
      </c>
      <c r="N3120" s="317" t="str">
        <f t="shared" ref="N3120:P3120" si="3163">LEFT(H3120,5)</f>
        <v>10:45</v>
      </c>
      <c r="O3120" s="317" t="str">
        <f t="shared" si="3163"/>
        <v>14:00</v>
      </c>
      <c r="P3120" s="317" t="str">
        <f t="shared" si="3163"/>
        <v>15:45</v>
      </c>
      <c r="Q3120" s="318">
        <f t="shared" si="3075"/>
        <v>46139.44792</v>
      </c>
      <c r="R3120" s="318">
        <f t="shared" si="2934"/>
        <v>46139.58333</v>
      </c>
      <c r="S3120" s="318">
        <f t="shared" si="8"/>
        <v>46139.65625</v>
      </c>
    </row>
    <row r="3121">
      <c r="A3121" s="14" t="str">
        <f t="shared" si="1"/>
        <v>C101746139</v>
      </c>
      <c r="B3121" s="185">
        <f t="array" ref="B3121">IF(F3121="VL","",IF(F3121="Free","Free",XLOOKUP(D3121,Roster!T:T,Roster!S:S,"",0)))</f>
        <v>121</v>
      </c>
      <c r="C3121" s="313">
        <v>46139.0</v>
      </c>
      <c r="D3121" s="314" t="s">
        <v>32</v>
      </c>
      <c r="E3121" s="307" t="str">
        <f t="array" ref="E3121">(XLOOKUP(D3121,Roster!F:F,Roster!B:B,"",0))</f>
        <v>Geraldine Correa</v>
      </c>
      <c r="F3121" s="315" t="str">
        <f t="array" ref="F3121">IF(B3121=100,"Free",TEXT(XLOOKUP($D3121,OperationVoice!$A:$A,OperationVoice!AG:AG,XLOOKUP($D3121,OperationTickets!$A:$A,OperationTickets!AG:AG,"",0)),"hh:mm"))</f>
        <v>08:00</v>
      </c>
      <c r="G3121" s="309">
        <f t="shared" si="3"/>
        <v>0.7083333333</v>
      </c>
      <c r="H3121" s="316" t="str">
        <f t="array" ref="H3121">XLOOKUP(B3121,Roster!L:L,Roster!N:N,XLOOKUP(D3121,TicketsBreak!A:A,TicketsBreak!E:E,"",0),0)</f>
        <v>09:15 - 09:30</v>
      </c>
      <c r="I3121" s="316" t="str">
        <f t="array" ref="I3121">XLOOKUP(B3121,Roster!L:L,Roster!O:O,XLOOKUP(D3121,TicketsBreak!A:A,TicketsBreak!F:F,"",0),0)</f>
        <v>11:30 - 12:00</v>
      </c>
      <c r="J3121" s="316" t="str">
        <f t="array" ref="J3121">XLOOKUP(B3121,Roster!L:L,Roster!P:P,XLOOKUP(D3121,TicketsBreak!A:A,TicketsBreak!G:G,"",0),0)</f>
        <v>14:30 - 14:45</v>
      </c>
      <c r="K3121" s="310">
        <f t="shared" si="4"/>
        <v>46139</v>
      </c>
      <c r="L3121" s="317">
        <f t="array" ref="L3121">(XLOOKUP(D3121,Roster!F:F,Roster!D:D,"",0))</f>
        <v>23</v>
      </c>
      <c r="M3121" s="317" t="str">
        <f t="array" ref="M3121">XLOOKUP(D3121,Roster!F:F,Roster!E:E)</f>
        <v>Voice</v>
      </c>
      <c r="N3121" s="317" t="str">
        <f t="shared" ref="N3121:P3121" si="3164">LEFT(H3121,5)</f>
        <v>09:15</v>
      </c>
      <c r="O3121" s="317" t="str">
        <f t="shared" si="3164"/>
        <v>11:30</v>
      </c>
      <c r="P3121" s="317" t="str">
        <f t="shared" si="3164"/>
        <v>14:30</v>
      </c>
      <c r="Q3121" s="318">
        <f t="shared" si="3075"/>
        <v>46139.38542</v>
      </c>
      <c r="R3121" s="318">
        <f t="shared" si="2934"/>
        <v>46139.47917</v>
      </c>
      <c r="S3121" s="318">
        <f t="shared" si="8"/>
        <v>46139.60417</v>
      </c>
    </row>
    <row r="3122">
      <c r="A3122" s="14" t="str">
        <f t="shared" si="1"/>
        <v>C154146139</v>
      </c>
      <c r="B3122" s="185">
        <f t="array" ref="B3122">IF(F3122="VL","",IF(F3122="Free","Free",XLOOKUP(D3122,Roster!T:T,Roster!S:S,"",0)))</f>
        <v>155</v>
      </c>
      <c r="C3122" s="313">
        <v>46139.0</v>
      </c>
      <c r="D3122" s="314" t="s">
        <v>33</v>
      </c>
      <c r="E3122" s="307" t="str">
        <f t="array" ref="E3122">(XLOOKUP(D3122,Roster!F:F,Roster!B:B,"",0))</f>
        <v>Gisel Moya</v>
      </c>
      <c r="F3122" s="315" t="str">
        <f t="array" ref="F3122">IF(B3122=100,"Free",TEXT(XLOOKUP($D3122,OperationVoice!$A:$A,OperationVoice!AG:AG,XLOOKUP($D3122,OperationTickets!$A:$A,OperationTickets!AG:AG,"",0)),"hh:mm"))</f>
        <v>11:00</v>
      </c>
      <c r="G3122" s="309">
        <f t="shared" si="3"/>
        <v>0.8333333333</v>
      </c>
      <c r="H3122" s="316" t="str">
        <f t="array" ref="H3122">XLOOKUP(B3122,Roster!L:L,Roster!N:N,XLOOKUP(D3122,TicketsBreak!A:A,TicketsBreak!E:E,"",0),0)</f>
        <v>13:15 - 13:30</v>
      </c>
      <c r="I3122" s="316" t="str">
        <f t="array" ref="I3122">XLOOKUP(B3122,Roster!L:L,Roster!O:O,XLOOKUP(D3122,TicketsBreak!A:A,TicketsBreak!F:F,"",0),0)</f>
        <v>15:45 - 16:15</v>
      </c>
      <c r="J3122" s="316" t="str">
        <f t="array" ref="J3122">XLOOKUP(B3122,Roster!L:L,Roster!P:P,XLOOKUP(D3122,TicketsBreak!A:A,TicketsBreak!G:G,"",0),0)</f>
        <v>18:15 - 18:30</v>
      </c>
      <c r="K3122" s="310">
        <f t="shared" si="4"/>
        <v>46139</v>
      </c>
      <c r="L3122" s="317">
        <f t="array" ref="L3122">(XLOOKUP(D3122,Roster!F:F,Roster!D:D,"",0))</f>
        <v>36</v>
      </c>
      <c r="M3122" s="317" t="str">
        <f t="array" ref="M3122">XLOOKUP(D3122,Roster!F:F,Roster!E:E)</f>
        <v>Voice</v>
      </c>
      <c r="N3122" s="317" t="str">
        <f t="shared" ref="N3122:P3122" si="3165">LEFT(H3122,5)</f>
        <v>13:15</v>
      </c>
      <c r="O3122" s="317" t="str">
        <f t="shared" si="3165"/>
        <v>15:45</v>
      </c>
      <c r="P3122" s="317" t="str">
        <f t="shared" si="3165"/>
        <v>18:15</v>
      </c>
      <c r="Q3122" s="318">
        <f t="shared" si="3075"/>
        <v>46139.55208</v>
      </c>
      <c r="R3122" s="318">
        <f t="shared" si="2934"/>
        <v>46139.65625</v>
      </c>
      <c r="S3122" s="318">
        <f t="shared" si="8"/>
        <v>46139.76042</v>
      </c>
    </row>
    <row r="3123">
      <c r="A3123" s="14" t="str">
        <f t="shared" si="1"/>
        <v>C86046139</v>
      </c>
      <c r="B3123" s="185" t="str">
        <f t="array" ref="B3123">IF(F3123="VL","",IF(F3123="Free","Free",XLOOKUP(D3123,Roster!T:T,Roster!S:S,"",0)))</f>
        <v/>
      </c>
      <c r="C3123" s="313">
        <v>46139.0</v>
      </c>
      <c r="D3123" s="314" t="s">
        <v>158</v>
      </c>
      <c r="E3123" s="307" t="str">
        <f t="array" ref="E3123">(XLOOKUP(D3123,Roster!F:F,Roster!B:B,"",0))</f>
        <v>Ief Fabre</v>
      </c>
      <c r="F3123" s="315" t="str">
        <f t="array" ref="F3123">IF(B3123=100,"Free",TEXT(XLOOKUP($D3123,OperationVoice!$A:$A,OperationVoice!AG:AG,XLOOKUP($D3123,OperationTickets!$A:$A,OperationTickets!AG:AG,"",0)),"hh:mm"))</f>
        <v>08:00</v>
      </c>
      <c r="G3123" s="309">
        <f t="shared" si="3"/>
        <v>0.7083333333</v>
      </c>
      <c r="H3123" s="316">
        <f t="array" ref="H3123">XLOOKUP(B3123,Roster!L:L,Roster!N:N,XLOOKUP(D3123,TicketsBreak!A:A,TicketsBreak!E:E,"",0),0)</f>
        <v>0.4166666667</v>
      </c>
      <c r="I3123" s="316">
        <f t="array" ref="I3123">XLOOKUP(B3123,Roster!L:L,Roster!O:O,XLOOKUP(D3123,TicketsBreak!A:A,TicketsBreak!F:F,"",0),0)</f>
        <v>0.5</v>
      </c>
      <c r="J3123" s="316">
        <f t="array" ref="J3123">XLOOKUP(B3123,Roster!L:L,Roster!P:P,XLOOKUP(D3123,TicketsBreak!A:A,TicketsBreak!G:G,"",0),0)</f>
        <v>0.625</v>
      </c>
      <c r="K3123" s="310">
        <f t="shared" si="4"/>
        <v>46139</v>
      </c>
      <c r="L3123" s="317">
        <f t="array" ref="L3123">(XLOOKUP(D3123,Roster!F:F,Roster!D:D,"",0))</f>
        <v>10</v>
      </c>
      <c r="M3123" s="317" t="str">
        <f t="array" ref="M3123">XLOOKUP(D3123,Roster!F:F,Roster!E:E)</f>
        <v>Tickets</v>
      </c>
      <c r="N3123" s="317" t="str">
        <f t="shared" ref="N3123:P3123" si="3166">LEFT(H3123,5)</f>
        <v>10:00</v>
      </c>
      <c r="O3123" s="317" t="str">
        <f t="shared" si="3166"/>
        <v>12:00</v>
      </c>
      <c r="P3123" s="317" t="str">
        <f t="shared" si="3166"/>
        <v>15:00</v>
      </c>
      <c r="Q3123" s="318">
        <f t="shared" si="3075"/>
        <v>46139.41667</v>
      </c>
      <c r="R3123" s="318">
        <f t="shared" si="2934"/>
        <v>46139.5</v>
      </c>
      <c r="S3123" s="318">
        <f t="shared" si="8"/>
        <v>46139.625</v>
      </c>
    </row>
    <row r="3124">
      <c r="A3124" s="14" t="str">
        <f t="shared" si="1"/>
        <v>C148146139</v>
      </c>
      <c r="B3124" s="185">
        <f t="array" ref="B3124">IF(F3124="VL","",IF(F3124="Free","Free",XLOOKUP(D3124,Roster!T:T,Roster!S:S,"",0)))</f>
        <v>155</v>
      </c>
      <c r="C3124" s="313">
        <v>46139.0</v>
      </c>
      <c r="D3124" s="314" t="s">
        <v>34</v>
      </c>
      <c r="E3124" s="307" t="str">
        <f t="array" ref="E3124">(XLOOKUP(D3124,Roster!F:F,Roster!B:B,"",0))</f>
        <v>Jasam Mejia</v>
      </c>
      <c r="F3124" s="315" t="str">
        <f t="array" ref="F3124">IF(B3124=100,"Free",TEXT(XLOOKUP($D3124,OperationVoice!$A:$A,OperationVoice!AG:AG,XLOOKUP($D3124,OperationTickets!$A:$A,OperationTickets!AG:AG,"",0)),"hh:mm"))</f>
        <v>11:00</v>
      </c>
      <c r="G3124" s="309">
        <f t="shared" si="3"/>
        <v>0.8333333333</v>
      </c>
      <c r="H3124" s="316" t="str">
        <f t="array" ref="H3124">XLOOKUP(B3124,Roster!L:L,Roster!N:N,XLOOKUP(D3124,TicketsBreak!A:A,TicketsBreak!E:E,"",0),0)</f>
        <v>13:15 - 13:30</v>
      </c>
      <c r="I3124" s="316" t="str">
        <f t="array" ref="I3124">XLOOKUP(B3124,Roster!L:L,Roster!O:O,XLOOKUP(D3124,TicketsBreak!A:A,TicketsBreak!F:F,"",0),0)</f>
        <v>15:45 - 16:15</v>
      </c>
      <c r="J3124" s="316" t="str">
        <f t="array" ref="J3124">XLOOKUP(B3124,Roster!L:L,Roster!P:P,XLOOKUP(D3124,TicketsBreak!A:A,TicketsBreak!G:G,"",0),0)</f>
        <v>18:15 - 18:30</v>
      </c>
      <c r="K3124" s="310">
        <f t="shared" si="4"/>
        <v>46139</v>
      </c>
      <c r="L3124" s="317">
        <f t="array" ref="L3124">(XLOOKUP(D3124,Roster!F:F,Roster!D:D,"",0))</f>
        <v>34</v>
      </c>
      <c r="M3124" s="317" t="str">
        <f t="array" ref="M3124">XLOOKUP(D3124,Roster!F:F,Roster!E:E)</f>
        <v>Voice</v>
      </c>
      <c r="N3124" s="317" t="str">
        <f t="shared" ref="N3124:P3124" si="3167">LEFT(H3124,5)</f>
        <v>13:15</v>
      </c>
      <c r="O3124" s="317" t="str">
        <f t="shared" si="3167"/>
        <v>15:45</v>
      </c>
      <c r="P3124" s="317" t="str">
        <f t="shared" si="3167"/>
        <v>18:15</v>
      </c>
      <c r="Q3124" s="318">
        <f t="shared" si="3075"/>
        <v>46139.55208</v>
      </c>
      <c r="R3124" s="318">
        <f t="shared" si="2934"/>
        <v>46139.65625</v>
      </c>
      <c r="S3124" s="318">
        <f t="shared" si="8"/>
        <v>46139.76042</v>
      </c>
    </row>
    <row r="3125">
      <c r="A3125" s="14" t="str">
        <f t="shared" si="1"/>
        <v>C131846139</v>
      </c>
      <c r="B3125" s="185" t="str">
        <f t="array" ref="B3125">IF(F3125="VL","",IF(F3125="Free","Free",XLOOKUP(D3125,Roster!T:T,Roster!S:S,"",0)))</f>
        <v/>
      </c>
      <c r="C3125" s="313">
        <v>46139.0</v>
      </c>
      <c r="D3125" s="314" t="s">
        <v>159</v>
      </c>
      <c r="E3125" s="307" t="str">
        <f t="array" ref="E3125">(XLOOKUP(D3125,Roster!F:F,Roster!B:B,"",0))</f>
        <v>Jeampierre Jaramillo</v>
      </c>
      <c r="F3125" s="315" t="str">
        <f t="array" ref="F3125">IF(B3125=100,"Free",TEXT(XLOOKUP($D3125,OperationVoice!$A:$A,OperationVoice!AG:AG,XLOOKUP($D3125,OperationTickets!$A:$A,OperationTickets!AG:AG,"",0)),"hh:mm"))</f>
        <v>07:00</v>
      </c>
      <c r="G3125" s="309">
        <f t="shared" si="3"/>
        <v>0.6666666667</v>
      </c>
      <c r="H3125" s="316" t="str">
        <f t="array" ref="H3125">XLOOKUP(B3125,Roster!L:L,Roster!N:N,XLOOKUP(D3125,TicketsBreak!A:A,TicketsBreak!E:E,"",0),0)</f>
        <v/>
      </c>
      <c r="I3125" s="316" t="str">
        <f t="array" ref="I3125">XLOOKUP(B3125,Roster!L:L,Roster!O:O,XLOOKUP(D3125,TicketsBreak!A:A,TicketsBreak!F:F,"",0),0)</f>
        <v/>
      </c>
      <c r="J3125" s="316" t="str">
        <f t="array" ref="J3125">XLOOKUP(B3125,Roster!L:L,Roster!P:P,XLOOKUP(D3125,TicketsBreak!A:A,TicketsBreak!G:G,"",0),0)</f>
        <v/>
      </c>
      <c r="K3125" s="310">
        <f t="shared" si="4"/>
        <v>46139</v>
      </c>
      <c r="L3125" s="317">
        <f t="array" ref="L3125">(XLOOKUP(D3125,Roster!F:F,Roster!D:D,"",0))</f>
        <v>29</v>
      </c>
      <c r="M3125" s="317" t="str">
        <f t="array" ref="M3125">XLOOKUP(D3125,Roster!F:F,Roster!E:E)</f>
        <v>Tickets</v>
      </c>
      <c r="N3125" s="317" t="str">
        <f t="shared" ref="N3125:P3125" si="3168">LEFT(H3125,5)</f>
        <v/>
      </c>
      <c r="O3125" s="317" t="str">
        <f t="shared" si="3168"/>
        <v/>
      </c>
      <c r="P3125" s="317" t="str">
        <f t="shared" si="3168"/>
        <v/>
      </c>
      <c r="Q3125" s="318" t="str">
        <f t="shared" si="3075"/>
        <v/>
      </c>
      <c r="R3125" s="318" t="str">
        <f t="shared" si="2934"/>
        <v/>
      </c>
      <c r="S3125" s="318" t="str">
        <f t="shared" si="8"/>
        <v/>
      </c>
    </row>
    <row r="3126">
      <c r="A3126" s="14" t="str">
        <f t="shared" si="1"/>
        <v>C155046139</v>
      </c>
      <c r="B3126" s="185">
        <f t="array" ref="B3126">IF(F3126="VL","",IF(F3126="Free","Free",XLOOKUP(D3126,Roster!T:T,Roster!S:S,"",0)))</f>
        <v>126</v>
      </c>
      <c r="C3126" s="313">
        <v>46139.0</v>
      </c>
      <c r="D3126" s="314" t="s">
        <v>35</v>
      </c>
      <c r="E3126" s="307" t="str">
        <f t="array" ref="E3126">(XLOOKUP(D3126,Roster!F:F,Roster!B:B,"",0))</f>
        <v>Jeidin Vargas</v>
      </c>
      <c r="F3126" s="315" t="str">
        <f t="array" ref="F3126">IF(B3126=100,"Free",TEXT(XLOOKUP($D3126,OperationVoice!$A:$A,OperationVoice!AG:AG,XLOOKUP($D3126,OperationTickets!$A:$A,OperationTickets!AG:AG,"",0)),"hh:mm"))</f>
        <v>08:00</v>
      </c>
      <c r="G3126" s="309">
        <f t="shared" si="3"/>
        <v>0.7083333333</v>
      </c>
      <c r="H3126" s="316" t="str">
        <f t="array" ref="H3126">XLOOKUP(B3126,Roster!L:L,Roster!N:N,XLOOKUP(D3126,TicketsBreak!A:A,TicketsBreak!E:E,"",0),0)</f>
        <v>10:45 - 11:00</v>
      </c>
      <c r="I3126" s="316" t="str">
        <f t="array" ref="I3126">XLOOKUP(B3126,Roster!L:L,Roster!O:O,XLOOKUP(D3126,TicketsBreak!A:A,TicketsBreak!F:F,"",0),0)</f>
        <v>14:00 - 14:30</v>
      </c>
      <c r="J3126" s="316" t="str">
        <f t="array" ref="J3126">XLOOKUP(B3126,Roster!L:L,Roster!P:P,XLOOKUP(D3126,TicketsBreak!A:A,TicketsBreak!G:G,"",0),0)</f>
        <v>15:45 - 16:00</v>
      </c>
      <c r="K3126" s="310">
        <f t="shared" si="4"/>
        <v>46139</v>
      </c>
      <c r="L3126" s="317">
        <f t="array" ref="L3126">(XLOOKUP(D3126,Roster!F:F,Roster!D:D,"",0))</f>
        <v>37</v>
      </c>
      <c r="M3126" s="317" t="str">
        <f t="array" ref="M3126">XLOOKUP(D3126,Roster!F:F,Roster!E:E)</f>
        <v>Voice</v>
      </c>
      <c r="N3126" s="317" t="str">
        <f t="shared" ref="N3126:P3126" si="3169">LEFT(H3126,5)</f>
        <v>10:45</v>
      </c>
      <c r="O3126" s="317" t="str">
        <f t="shared" si="3169"/>
        <v>14:00</v>
      </c>
      <c r="P3126" s="317" t="str">
        <f t="shared" si="3169"/>
        <v>15:45</v>
      </c>
      <c r="Q3126" s="318">
        <f t="shared" si="3075"/>
        <v>46139.44792</v>
      </c>
      <c r="R3126" s="318">
        <f t="shared" si="2934"/>
        <v>46139.58333</v>
      </c>
      <c r="S3126" s="318">
        <f t="shared" si="8"/>
        <v>46139.65625</v>
      </c>
    </row>
    <row r="3127">
      <c r="A3127" s="14" t="str">
        <f t="shared" si="1"/>
        <v>C51246139</v>
      </c>
      <c r="B3127" s="185">
        <f t="array" ref="B3127">IF(F3127="VL","",IF(F3127="Free","Free",XLOOKUP(D3127,Roster!T:T,Roster!S:S,"",0)))</f>
        <v>122</v>
      </c>
      <c r="C3127" s="313">
        <v>46139.0</v>
      </c>
      <c r="D3127" s="314" t="s">
        <v>36</v>
      </c>
      <c r="E3127" s="307" t="str">
        <f t="array" ref="E3127">(XLOOKUP(D3127,Roster!F:F,Roster!B:B,"",0))</f>
        <v>Jhoam Quiroz</v>
      </c>
      <c r="F3127" s="315" t="str">
        <f t="array" ref="F3127">IF(B3127=100,"Free",TEXT(XLOOKUP($D3127,OperationVoice!$A:$A,OperationVoice!AG:AG,XLOOKUP($D3127,OperationTickets!$A:$A,OperationTickets!AG:AG,"",0)),"hh:mm"))</f>
        <v>08:00</v>
      </c>
      <c r="G3127" s="309">
        <f t="shared" si="3"/>
        <v>0.7083333333</v>
      </c>
      <c r="H3127" s="316" t="str">
        <f t="array" ref="H3127">XLOOKUP(B3127,Roster!L:L,Roster!N:N,XLOOKUP(D3127,TicketsBreak!A:A,TicketsBreak!E:E,"",0),0)</f>
        <v>09:30 - 09:45</v>
      </c>
      <c r="I3127" s="316" t="str">
        <f t="array" ref="I3127">XLOOKUP(B3127,Roster!L:L,Roster!O:O,XLOOKUP(D3127,TicketsBreak!A:A,TicketsBreak!F:F,"",0),0)</f>
        <v>12:00 - 12:30</v>
      </c>
      <c r="J3127" s="316" t="str">
        <f t="array" ref="J3127">XLOOKUP(B3127,Roster!L:L,Roster!P:P,XLOOKUP(D3127,TicketsBreak!A:A,TicketsBreak!G:G,"",0),0)</f>
        <v>14:45 - 15:00</v>
      </c>
      <c r="K3127" s="310">
        <f t="shared" si="4"/>
        <v>46139</v>
      </c>
      <c r="L3127" s="317">
        <f t="array" ref="L3127">(XLOOKUP(D3127,Roster!F:F,Roster!D:D,"",0))</f>
        <v>1</v>
      </c>
      <c r="M3127" s="317" t="str">
        <f t="array" ref="M3127">XLOOKUP(D3127,Roster!F:F,Roster!E:E)</f>
        <v>Voice</v>
      </c>
      <c r="N3127" s="317" t="str">
        <f t="shared" ref="N3127:P3127" si="3170">LEFT(H3127,5)</f>
        <v>09:30</v>
      </c>
      <c r="O3127" s="317" t="str">
        <f t="shared" si="3170"/>
        <v>12:00</v>
      </c>
      <c r="P3127" s="317" t="str">
        <f t="shared" si="3170"/>
        <v>14:45</v>
      </c>
      <c r="Q3127" s="318">
        <f t="shared" si="3075"/>
        <v>46139.39583</v>
      </c>
      <c r="R3127" s="318">
        <f t="shared" si="2934"/>
        <v>46139.5</v>
      </c>
      <c r="S3127" s="318">
        <f t="shared" si="8"/>
        <v>46139.61458</v>
      </c>
    </row>
    <row r="3128">
      <c r="A3128" s="14" t="str">
        <f t="shared" si="1"/>
        <v>C150946139</v>
      </c>
      <c r="B3128" s="185">
        <f t="array" ref="B3128">IF(F3128="VL","",IF(F3128="Free","Free",XLOOKUP(D3128,Roster!T:T,Roster!S:S,"",0)))</f>
        <v>121</v>
      </c>
      <c r="C3128" s="313">
        <v>46139.0</v>
      </c>
      <c r="D3128" s="314" t="s">
        <v>37</v>
      </c>
      <c r="E3128" s="307" t="str">
        <f t="array" ref="E3128">(XLOOKUP(D3128,Roster!F:F,Roster!B:B,"",0))</f>
        <v>Jhonatan Gomez</v>
      </c>
      <c r="F3128" s="315" t="str">
        <f t="array" ref="F3128">IF(B3128=100,"Free",TEXT(XLOOKUP($D3128,OperationVoice!$A:$A,OperationVoice!AG:AG,XLOOKUP($D3128,OperationTickets!$A:$A,OperationTickets!AG:AG,"",0)),"hh:mm"))</f>
        <v>08:00</v>
      </c>
      <c r="G3128" s="309">
        <f t="shared" si="3"/>
        <v>0.7083333333</v>
      </c>
      <c r="H3128" s="316" t="str">
        <f t="array" ref="H3128">XLOOKUP(B3128,Roster!L:L,Roster!N:N,XLOOKUP(D3128,TicketsBreak!A:A,TicketsBreak!E:E,"",0),0)</f>
        <v>09:15 - 09:30</v>
      </c>
      <c r="I3128" s="316" t="str">
        <f t="array" ref="I3128">XLOOKUP(B3128,Roster!L:L,Roster!O:O,XLOOKUP(D3128,TicketsBreak!A:A,TicketsBreak!F:F,"",0),0)</f>
        <v>11:30 - 12:00</v>
      </c>
      <c r="J3128" s="316" t="str">
        <f t="array" ref="J3128">XLOOKUP(B3128,Roster!L:L,Roster!P:P,XLOOKUP(D3128,TicketsBreak!A:A,TicketsBreak!G:G,"",0),0)</f>
        <v>14:30 - 14:45</v>
      </c>
      <c r="K3128" s="310">
        <f t="shared" si="4"/>
        <v>46139</v>
      </c>
      <c r="L3128" s="317">
        <f t="array" ref="L3128">(XLOOKUP(D3128,Roster!F:F,Roster!D:D,"",0))</f>
        <v>35</v>
      </c>
      <c r="M3128" s="317" t="str">
        <f t="array" ref="M3128">XLOOKUP(D3128,Roster!F:F,Roster!E:E)</f>
        <v>Voice</v>
      </c>
      <c r="N3128" s="317" t="str">
        <f t="shared" ref="N3128:P3128" si="3171">LEFT(H3128,5)</f>
        <v>09:15</v>
      </c>
      <c r="O3128" s="317" t="str">
        <f t="shared" si="3171"/>
        <v>11:30</v>
      </c>
      <c r="P3128" s="317" t="str">
        <f t="shared" si="3171"/>
        <v>14:30</v>
      </c>
      <c r="Q3128" s="318">
        <f t="shared" si="3075"/>
        <v>46139.38542</v>
      </c>
      <c r="R3128" s="318">
        <f t="shared" si="2934"/>
        <v>46139.47917</v>
      </c>
      <c r="S3128" s="318">
        <f t="shared" si="8"/>
        <v>46139.60417</v>
      </c>
    </row>
    <row r="3129">
      <c r="A3129" s="14" t="str">
        <f t="shared" si="1"/>
        <v>C151546139</v>
      </c>
      <c r="B3129" s="185">
        <f t="array" ref="B3129">IF(F3129="VL","",IF(F3129="Free","Free",XLOOKUP(D3129,Roster!T:T,Roster!S:S,"",0)))</f>
        <v>151</v>
      </c>
      <c r="C3129" s="313">
        <v>46139.0</v>
      </c>
      <c r="D3129" s="314" t="s">
        <v>38</v>
      </c>
      <c r="E3129" s="307" t="str">
        <f t="array" ref="E3129">(XLOOKUP(D3129,Roster!F:F,Roster!B:B,"",0))</f>
        <v>Joan Perez</v>
      </c>
      <c r="F3129" s="315" t="str">
        <f t="array" ref="F3129">IF(B3129=100,"Free",TEXT(XLOOKUP($D3129,OperationVoice!$A:$A,OperationVoice!AG:AG,XLOOKUP($D3129,OperationTickets!$A:$A,OperationTickets!AG:AG,"",0)),"hh:mm"))</f>
        <v/>
      </c>
      <c r="G3129" s="309" t="str">
        <f t="shared" si="3"/>
        <v/>
      </c>
      <c r="H3129" s="316" t="str">
        <f t="array" ref="H3129">XLOOKUP(B3129,Roster!L:L,Roster!N:N,XLOOKUP(D3129,TicketsBreak!A:A,TicketsBreak!E:E,"",0),0)</f>
        <v>12:15 - 12:30</v>
      </c>
      <c r="I3129" s="316" t="str">
        <f t="array" ref="I3129">XLOOKUP(B3129,Roster!L:L,Roster!O:O,XLOOKUP(D3129,TicketsBreak!A:A,TicketsBreak!F:F,"",0),0)</f>
        <v>14:00 - 14:30</v>
      </c>
      <c r="J3129" s="316" t="str">
        <f t="array" ref="J3129">XLOOKUP(B3129,Roster!L:L,Roster!P:P,XLOOKUP(D3129,TicketsBreak!A:A,TicketsBreak!G:G,"",0),0)</f>
        <v>17:15 - 17:30</v>
      </c>
      <c r="K3129" s="310">
        <f t="shared" si="4"/>
        <v>46139</v>
      </c>
      <c r="L3129" s="317">
        <f t="array" ref="L3129">(XLOOKUP(D3129,Roster!F:F,Roster!D:D,"",0))</f>
        <v>35</v>
      </c>
      <c r="M3129" s="317" t="str">
        <f t="array" ref="M3129">XLOOKUP(D3129,Roster!F:F,Roster!E:E)</f>
        <v>Voice</v>
      </c>
      <c r="N3129" s="317" t="str">
        <f t="shared" ref="N3129:P3129" si="3172">LEFT(H3129,5)</f>
        <v>12:15</v>
      </c>
      <c r="O3129" s="317" t="str">
        <f t="shared" si="3172"/>
        <v>14:00</v>
      </c>
      <c r="P3129" s="317" t="str">
        <f t="shared" si="3172"/>
        <v>17:15</v>
      </c>
      <c r="Q3129" s="318">
        <f t="shared" si="3075"/>
        <v>46139.51042</v>
      </c>
      <c r="R3129" s="318">
        <f t="shared" si="2934"/>
        <v>46139.58333</v>
      </c>
      <c r="S3129" s="318">
        <f t="shared" si="8"/>
        <v>46139.71875</v>
      </c>
    </row>
    <row r="3130">
      <c r="A3130" s="14" t="str">
        <f t="shared" si="1"/>
        <v>C128946139</v>
      </c>
      <c r="B3130" s="185" t="str">
        <f t="array" ref="B3130">IF(F3130="VL","",IF(F3130="Free","Free",XLOOKUP(D3130,Roster!T:T,Roster!S:S,"",0)))</f>
        <v/>
      </c>
      <c r="C3130" s="313">
        <v>46139.0</v>
      </c>
      <c r="D3130" s="314" t="s">
        <v>140</v>
      </c>
      <c r="E3130" s="307" t="str">
        <f t="array" ref="E3130">(XLOOKUP(D3130,Roster!F:F,Roster!B:B,"",0))</f>
        <v>Johana Villarreal</v>
      </c>
      <c r="F3130" s="315" t="str">
        <f t="array" ref="F3130">IF(B3130=100,"Free",TEXT(XLOOKUP($D3130,OperationVoice!$A:$A,OperationVoice!AG:AG,XLOOKUP($D3130,OperationTickets!$A:$A,OperationTickets!AG:AG,"",0)),"hh:mm"))</f>
        <v>07:00</v>
      </c>
      <c r="G3130" s="309">
        <f t="shared" si="3"/>
        <v>0.6666666667</v>
      </c>
      <c r="H3130" s="316" t="str">
        <f t="array" ref="H3130">XLOOKUP(B3130,Roster!L:L,Roster!N:N,XLOOKUP(D3130,TicketsBreak!A:A,TicketsBreak!E:E,"",0),0)</f>
        <v/>
      </c>
      <c r="I3130" s="316" t="str">
        <f t="array" ref="I3130">XLOOKUP(B3130,Roster!L:L,Roster!O:O,XLOOKUP(D3130,TicketsBreak!A:A,TicketsBreak!F:F,"",0),0)</f>
        <v/>
      </c>
      <c r="J3130" s="316" t="str">
        <f t="array" ref="J3130">XLOOKUP(B3130,Roster!L:L,Roster!P:P,XLOOKUP(D3130,TicketsBreak!A:A,TicketsBreak!G:G,"",0),0)</f>
        <v/>
      </c>
      <c r="K3130" s="310">
        <f t="shared" si="4"/>
        <v>46139</v>
      </c>
      <c r="L3130" s="317">
        <f t="array" ref="L3130">(XLOOKUP(D3130,Roster!F:F,Roster!D:D,"",0))</f>
        <v>28</v>
      </c>
      <c r="M3130" s="317" t="str">
        <f t="array" ref="M3130">XLOOKUP(D3130,Roster!F:F,Roster!E:E)</f>
        <v>Tickets</v>
      </c>
      <c r="N3130" s="317" t="str">
        <f t="shared" ref="N3130:P3130" si="3173">LEFT(H3130,5)</f>
        <v/>
      </c>
      <c r="O3130" s="317" t="str">
        <f t="shared" si="3173"/>
        <v/>
      </c>
      <c r="P3130" s="317" t="str">
        <f t="shared" si="3173"/>
        <v/>
      </c>
      <c r="Q3130" s="318" t="str">
        <f t="shared" si="3075"/>
        <v/>
      </c>
      <c r="R3130" s="318" t="str">
        <f t="shared" si="2934"/>
        <v/>
      </c>
      <c r="S3130" s="318" t="str">
        <f t="shared" si="8"/>
        <v/>
      </c>
    </row>
    <row r="3131">
      <c r="A3131" s="14" t="str">
        <f t="shared" si="1"/>
        <v>C155146139</v>
      </c>
      <c r="B3131" s="185">
        <f t="array" ref="B3131">IF(F3131="VL","",IF(F3131="Free","Free",XLOOKUP(D3131,Roster!T:T,Roster!S:S,"",0)))</f>
        <v>124</v>
      </c>
      <c r="C3131" s="313">
        <v>46139.0</v>
      </c>
      <c r="D3131" s="314" t="s">
        <v>39</v>
      </c>
      <c r="E3131" s="307" t="str">
        <f t="array" ref="E3131">(XLOOKUP(D3131,Roster!F:F,Roster!B:B,"",0))</f>
        <v>John Atilano</v>
      </c>
      <c r="F3131" s="315" t="str">
        <f t="array" ref="F3131">IF(B3131=100,"Free",TEXT(XLOOKUP($D3131,OperationVoice!$A:$A,OperationVoice!AG:AG,XLOOKUP($D3131,OperationTickets!$A:$A,OperationTickets!AG:AG,"",0)),"hh:mm"))</f>
        <v>08:00</v>
      </c>
      <c r="G3131" s="309">
        <f t="shared" si="3"/>
        <v>0.7083333333</v>
      </c>
      <c r="H3131" s="316" t="str">
        <f t="array" ref="H3131">XLOOKUP(B3131,Roster!L:L,Roster!N:N,XLOOKUP(D3131,TicketsBreak!A:A,TicketsBreak!E:E,"",0),0)</f>
        <v>10:00 - 10:15</v>
      </c>
      <c r="I3131" s="316" t="str">
        <f t="array" ref="I3131">XLOOKUP(B3131,Roster!L:L,Roster!O:O,XLOOKUP(D3131,TicketsBreak!A:A,TicketsBreak!F:F,"",0),0)</f>
        <v>13:00 - 13:30</v>
      </c>
      <c r="J3131" s="316" t="str">
        <f t="array" ref="J3131">XLOOKUP(B3131,Roster!L:L,Roster!P:P,XLOOKUP(D3131,TicketsBreak!A:A,TicketsBreak!G:G,"",0),0)</f>
        <v>15:30 - 15:45</v>
      </c>
      <c r="K3131" s="310">
        <f t="shared" si="4"/>
        <v>46139</v>
      </c>
      <c r="L3131" s="317">
        <f t="array" ref="L3131">(XLOOKUP(D3131,Roster!F:F,Roster!D:D,"",0))</f>
        <v>37</v>
      </c>
      <c r="M3131" s="317" t="str">
        <f t="array" ref="M3131">XLOOKUP(D3131,Roster!F:F,Roster!E:E)</f>
        <v>Voice</v>
      </c>
      <c r="N3131" s="317" t="str">
        <f t="shared" ref="N3131:P3131" si="3174">LEFT(H3131,5)</f>
        <v>10:00</v>
      </c>
      <c r="O3131" s="317" t="str">
        <f t="shared" si="3174"/>
        <v>13:00</v>
      </c>
      <c r="P3131" s="317" t="str">
        <f t="shared" si="3174"/>
        <v>15:30</v>
      </c>
      <c r="Q3131" s="318">
        <f t="shared" si="3075"/>
        <v>46139.41667</v>
      </c>
      <c r="R3131" s="318">
        <f t="shared" si="2934"/>
        <v>46139.54167</v>
      </c>
      <c r="S3131" s="318">
        <f t="shared" si="8"/>
        <v>46139.64583</v>
      </c>
    </row>
    <row r="3132">
      <c r="A3132" s="14" t="str">
        <f t="shared" si="1"/>
        <v>C154346139</v>
      </c>
      <c r="B3132" s="185">
        <f t="array" ref="B3132">IF(F3132="VL","",IF(F3132="Free","Free",XLOOKUP(D3132,Roster!T:T,Roster!S:S,"",0)))</f>
        <v>134</v>
      </c>
      <c r="C3132" s="313">
        <v>46139.0</v>
      </c>
      <c r="D3132" s="314" t="s">
        <v>40</v>
      </c>
      <c r="E3132" s="307" t="str">
        <f t="array" ref="E3132">(XLOOKUP(D3132,Roster!F:F,Roster!B:B,"",0))</f>
        <v>John Palacio</v>
      </c>
      <c r="F3132" s="315" t="str">
        <f t="array" ref="F3132">IF(B3132=100,"Free",TEXT(XLOOKUP($D3132,OperationVoice!$A:$A,OperationVoice!AG:AG,XLOOKUP($D3132,OperationTickets!$A:$A,OperationTickets!AG:AG,"",0)),"hh:mm"))</f>
        <v>09:00</v>
      </c>
      <c r="G3132" s="309">
        <f t="shared" si="3"/>
        <v>0.75</v>
      </c>
      <c r="H3132" s="316" t="str">
        <f t="array" ref="H3132">XLOOKUP(B3132,Roster!L:L,Roster!N:N,XLOOKUP(D3132,TicketsBreak!A:A,TicketsBreak!E:E,"",0),0)</f>
        <v>11:00 - 11:15</v>
      </c>
      <c r="I3132" s="316" t="str">
        <f t="array" ref="I3132">XLOOKUP(B3132,Roster!L:L,Roster!O:O,XLOOKUP(D3132,TicketsBreak!A:A,TicketsBreak!F:F,"",0),0)</f>
        <v>13:45 - 14:15</v>
      </c>
      <c r="J3132" s="316" t="str">
        <f t="array" ref="J3132">XLOOKUP(B3132,Roster!L:L,Roster!P:P,XLOOKUP(D3132,TicketsBreak!A:A,TicketsBreak!G:G,"",0),0)</f>
        <v>16:00 - 16:15</v>
      </c>
      <c r="K3132" s="310">
        <f t="shared" si="4"/>
        <v>46139</v>
      </c>
      <c r="L3132" s="317">
        <f t="array" ref="L3132">(XLOOKUP(D3132,Roster!F:F,Roster!D:D,"",0))</f>
        <v>36</v>
      </c>
      <c r="M3132" s="317" t="str">
        <f t="array" ref="M3132">XLOOKUP(D3132,Roster!F:F,Roster!E:E)</f>
        <v>Voice</v>
      </c>
      <c r="N3132" s="317" t="str">
        <f t="shared" ref="N3132:P3132" si="3175">LEFT(H3132,5)</f>
        <v>11:00</v>
      </c>
      <c r="O3132" s="317" t="str">
        <f t="shared" si="3175"/>
        <v>13:45</v>
      </c>
      <c r="P3132" s="317" t="str">
        <f t="shared" si="3175"/>
        <v>16:00</v>
      </c>
      <c r="Q3132" s="318">
        <f t="shared" si="3075"/>
        <v>46139.45833</v>
      </c>
      <c r="R3132" s="318">
        <f t="shared" si="2934"/>
        <v>46139.57292</v>
      </c>
      <c r="S3132" s="318">
        <f t="shared" si="8"/>
        <v>46139.66667</v>
      </c>
    </row>
    <row r="3133">
      <c r="A3133" s="14" t="str">
        <f t="shared" si="1"/>
        <v>C154246139</v>
      </c>
      <c r="B3133" s="185">
        <f t="array" ref="B3133">IF(F3133="VL","",IF(F3133="Free","Free",XLOOKUP(D3133,Roster!T:T,Roster!S:S,"",0)))</f>
        <v>124</v>
      </c>
      <c r="C3133" s="313">
        <v>46139.0</v>
      </c>
      <c r="D3133" s="314" t="s">
        <v>41</v>
      </c>
      <c r="E3133" s="307" t="str">
        <f t="array" ref="E3133">(XLOOKUP(D3133,Roster!F:F,Roster!B:B,"",0))</f>
        <v>Johny Garcia</v>
      </c>
      <c r="F3133" s="315" t="str">
        <f t="array" ref="F3133">IF(B3133=100,"Free",TEXT(XLOOKUP($D3133,OperationVoice!$A:$A,OperationVoice!AG:AG,XLOOKUP($D3133,OperationTickets!$A:$A,OperationTickets!AG:AG,"",0)),"hh:mm"))</f>
        <v>08:00</v>
      </c>
      <c r="G3133" s="309">
        <f t="shared" si="3"/>
        <v>0.7083333333</v>
      </c>
      <c r="H3133" s="316" t="str">
        <f t="array" ref="H3133">XLOOKUP(B3133,Roster!L:L,Roster!N:N,XLOOKUP(D3133,TicketsBreak!A:A,TicketsBreak!E:E,"",0),0)</f>
        <v>10:00 - 10:15</v>
      </c>
      <c r="I3133" s="316" t="str">
        <f t="array" ref="I3133">XLOOKUP(B3133,Roster!L:L,Roster!O:O,XLOOKUP(D3133,TicketsBreak!A:A,TicketsBreak!F:F,"",0),0)</f>
        <v>13:00 - 13:30</v>
      </c>
      <c r="J3133" s="316" t="str">
        <f t="array" ref="J3133">XLOOKUP(B3133,Roster!L:L,Roster!P:P,XLOOKUP(D3133,TicketsBreak!A:A,TicketsBreak!G:G,"",0),0)</f>
        <v>15:30 - 15:45</v>
      </c>
      <c r="K3133" s="310">
        <f t="shared" si="4"/>
        <v>46139</v>
      </c>
      <c r="L3133" s="317">
        <f t="array" ref="L3133">(XLOOKUP(D3133,Roster!F:F,Roster!D:D,"",0))</f>
        <v>36</v>
      </c>
      <c r="M3133" s="317" t="str">
        <f t="array" ref="M3133">XLOOKUP(D3133,Roster!F:F,Roster!E:E)</f>
        <v>Voice</v>
      </c>
      <c r="N3133" s="317" t="str">
        <f t="shared" ref="N3133:P3133" si="3176">LEFT(H3133,5)</f>
        <v>10:00</v>
      </c>
      <c r="O3133" s="317" t="str">
        <f t="shared" si="3176"/>
        <v>13:00</v>
      </c>
      <c r="P3133" s="317" t="str">
        <f t="shared" si="3176"/>
        <v>15:30</v>
      </c>
      <c r="Q3133" s="318">
        <f t="shared" si="3075"/>
        <v>46139.41667</v>
      </c>
      <c r="R3133" s="318">
        <f t="shared" si="2934"/>
        <v>46139.54167</v>
      </c>
      <c r="S3133" s="318">
        <f t="shared" si="8"/>
        <v>46139.64583</v>
      </c>
    </row>
    <row r="3134">
      <c r="A3134" s="14" t="str">
        <f t="shared" si="1"/>
        <v>C156946139</v>
      </c>
      <c r="B3134" s="185">
        <f t="array" ref="B3134">IF(F3134="VL","",IF(F3134="Free","Free",XLOOKUP(D3134,Roster!T:T,Roster!S:S,"",0)))</f>
        <v>121</v>
      </c>
      <c r="C3134" s="313">
        <v>46139.0</v>
      </c>
      <c r="D3134" s="314" t="s">
        <v>42</v>
      </c>
      <c r="E3134" s="307" t="str">
        <f t="array" ref="E3134">(XLOOKUP(D3134,Roster!F:F,Roster!B:B,"",0))</f>
        <v>Jorge Orozco</v>
      </c>
      <c r="F3134" s="315" t="str">
        <f t="array" ref="F3134">IF(B3134=100,"Free",TEXT(XLOOKUP($D3134,OperationVoice!$A:$A,OperationVoice!AG:AG,XLOOKUP($D3134,OperationTickets!$A:$A,OperationTickets!AG:AG,"",0)),"hh:mm"))</f>
        <v>08:00</v>
      </c>
      <c r="G3134" s="309">
        <f t="shared" si="3"/>
        <v>0.7083333333</v>
      </c>
      <c r="H3134" s="316" t="str">
        <f t="array" ref="H3134">XLOOKUP(B3134,Roster!L:L,Roster!N:N,XLOOKUP(D3134,TicketsBreak!A:A,TicketsBreak!E:E,"",0),0)</f>
        <v>09:15 - 09:30</v>
      </c>
      <c r="I3134" s="316" t="str">
        <f t="array" ref="I3134">XLOOKUP(B3134,Roster!L:L,Roster!O:O,XLOOKUP(D3134,TicketsBreak!A:A,TicketsBreak!F:F,"",0),0)</f>
        <v>11:30 - 12:00</v>
      </c>
      <c r="J3134" s="316" t="str">
        <f t="array" ref="J3134">XLOOKUP(B3134,Roster!L:L,Roster!P:P,XLOOKUP(D3134,TicketsBreak!A:A,TicketsBreak!G:G,"",0),0)</f>
        <v>14:30 - 14:45</v>
      </c>
      <c r="K3134" s="310">
        <f t="shared" si="4"/>
        <v>46139</v>
      </c>
      <c r="L3134" s="317">
        <f t="array" ref="L3134">(XLOOKUP(D3134,Roster!F:F,Roster!D:D,"",0))</f>
        <v>38</v>
      </c>
      <c r="M3134" s="317" t="str">
        <f t="array" ref="M3134">XLOOKUP(D3134,Roster!F:F,Roster!E:E)</f>
        <v>Voice</v>
      </c>
      <c r="N3134" s="317" t="str">
        <f t="shared" ref="N3134:P3134" si="3177">LEFT(H3134,5)</f>
        <v>09:15</v>
      </c>
      <c r="O3134" s="317" t="str">
        <f t="shared" si="3177"/>
        <v>11:30</v>
      </c>
      <c r="P3134" s="317" t="str">
        <f t="shared" si="3177"/>
        <v>14:30</v>
      </c>
      <c r="Q3134" s="318">
        <f t="shared" si="3075"/>
        <v>46139.38542</v>
      </c>
      <c r="R3134" s="318">
        <f t="shared" si="2934"/>
        <v>46139.47917</v>
      </c>
      <c r="S3134" s="318">
        <f t="shared" si="8"/>
        <v>46139.60417</v>
      </c>
    </row>
    <row r="3135">
      <c r="A3135" s="14" t="str">
        <f t="shared" si="1"/>
        <v>C102746139</v>
      </c>
      <c r="B3135" s="185" t="str">
        <f t="array" ref="B3135">IF(F3135="VL","",IF(F3135="Free","Free",XLOOKUP(D3135,Roster!T:T,Roster!S:S,"",0)))</f>
        <v/>
      </c>
      <c r="C3135" s="313">
        <v>46139.0</v>
      </c>
      <c r="D3135" s="314" t="s">
        <v>160</v>
      </c>
      <c r="E3135" s="307" t="str">
        <f t="array" ref="E3135">(XLOOKUP(D3135,Roster!F:F,Roster!B:B,"",0))</f>
        <v>Jose Perez</v>
      </c>
      <c r="F3135" s="315" t="str">
        <f t="array" ref="F3135">IF(B3135=100,"Free",TEXT(XLOOKUP($D3135,OperationVoice!$A:$A,OperationVoice!AG:AG,XLOOKUP($D3135,OperationTickets!$A:$A,OperationTickets!AG:AG,"",0)),"hh:mm"))</f>
        <v>06:00</v>
      </c>
      <c r="G3135" s="309">
        <f t="shared" si="3"/>
        <v>0.625</v>
      </c>
      <c r="H3135" s="316">
        <f t="array" ref="H3135">XLOOKUP(B3135,Roster!L:L,Roster!N:N,XLOOKUP(D3135,TicketsBreak!A:A,TicketsBreak!E:E,"",0),0)</f>
        <v>0.4166666667</v>
      </c>
      <c r="I3135" s="316">
        <f t="array" ref="I3135">XLOOKUP(B3135,Roster!L:L,Roster!O:O,XLOOKUP(D3135,TicketsBreak!A:A,TicketsBreak!F:F,"",0),0)</f>
        <v>0.5208333333</v>
      </c>
      <c r="J3135" s="316">
        <f t="array" ref="J3135">XLOOKUP(B3135,Roster!L:L,Roster!P:P,XLOOKUP(D3135,TicketsBreak!A:A,TicketsBreak!G:G,"",0),0)</f>
        <v>0.6354166667</v>
      </c>
      <c r="K3135" s="310">
        <f t="shared" si="4"/>
        <v>46139</v>
      </c>
      <c r="L3135" s="317">
        <f t="array" ref="L3135">(XLOOKUP(D3135,Roster!F:F,Roster!D:D,"",0))</f>
        <v>15</v>
      </c>
      <c r="M3135" s="317" t="str">
        <f t="array" ref="M3135">XLOOKUP(D3135,Roster!F:F,Roster!E:E)</f>
        <v>Tickets</v>
      </c>
      <c r="N3135" s="317" t="str">
        <f t="shared" ref="N3135:P3135" si="3178">LEFT(H3135,5)</f>
        <v>10:00</v>
      </c>
      <c r="O3135" s="317" t="str">
        <f t="shared" si="3178"/>
        <v>12:30</v>
      </c>
      <c r="P3135" s="317" t="str">
        <f t="shared" si="3178"/>
        <v>15:15</v>
      </c>
      <c r="Q3135" s="318">
        <f t="shared" si="3075"/>
        <v>46139.41667</v>
      </c>
      <c r="R3135" s="318">
        <f t="shared" si="2934"/>
        <v>46139.52083</v>
      </c>
      <c r="S3135" s="318">
        <f t="shared" si="8"/>
        <v>46139.63542</v>
      </c>
    </row>
    <row r="3136">
      <c r="A3136" s="14" t="str">
        <f t="shared" si="1"/>
        <v>C142646139</v>
      </c>
      <c r="B3136" s="185">
        <f t="array" ref="B3136">IF(F3136="VL","",IF(F3136="Free","Free",XLOOKUP(D3136,Roster!T:T,Roster!S:S,"",0)))</f>
        <v>123</v>
      </c>
      <c r="C3136" s="313">
        <v>46139.0</v>
      </c>
      <c r="D3136" s="314" t="s">
        <v>161</v>
      </c>
      <c r="E3136" s="307" t="str">
        <f t="array" ref="E3136">(XLOOKUP(D3136,Roster!F:F,Roster!B:B,"",0))</f>
        <v>Jose Zapata</v>
      </c>
      <c r="F3136" s="315" t="str">
        <f t="array" ref="F3136">IF(B3136=100,"Free",TEXT(XLOOKUP($D3136,OperationVoice!$A:$A,OperationVoice!AG:AG,XLOOKUP($D3136,OperationTickets!$A:$A,OperationTickets!AG:AG,"",0)),"hh:mm"))</f>
        <v>08:00</v>
      </c>
      <c r="G3136" s="309">
        <f t="shared" si="3"/>
        <v>0.7083333333</v>
      </c>
      <c r="H3136" s="316" t="str">
        <f t="array" ref="H3136">XLOOKUP(B3136,Roster!L:L,Roster!N:N,XLOOKUP(D3136,TicketsBreak!A:A,TicketsBreak!E:E,"",0),0)</f>
        <v>09:45 - 10:00 </v>
      </c>
      <c r="I3136" s="316" t="str">
        <f t="array" ref="I3136">XLOOKUP(B3136,Roster!L:L,Roster!O:O,XLOOKUP(D3136,TicketsBreak!A:A,TicketsBreak!F:F,"",0),0)</f>
        <v>12:30 - 13:00</v>
      </c>
      <c r="J3136" s="316" t="str">
        <f t="array" ref="J3136">XLOOKUP(B3136,Roster!L:L,Roster!P:P,XLOOKUP(D3136,TicketsBreak!A:A,TicketsBreak!G:G,"",0),0)</f>
        <v>15:00 - 15:15</v>
      </c>
      <c r="K3136" s="310">
        <f t="shared" si="4"/>
        <v>46139</v>
      </c>
      <c r="L3136" s="317">
        <f t="array" ref="L3136">(XLOOKUP(D3136,Roster!F:F,Roster!D:D,"",0))</f>
        <v>32</v>
      </c>
      <c r="M3136" s="317" t="str">
        <f t="array" ref="M3136">XLOOKUP(D3136,Roster!F:F,Roster!E:E)</f>
        <v>Tickets</v>
      </c>
      <c r="N3136" s="317" t="str">
        <f t="shared" ref="N3136:P3136" si="3179">LEFT(H3136,5)</f>
        <v>09:45</v>
      </c>
      <c r="O3136" s="317" t="str">
        <f t="shared" si="3179"/>
        <v>12:30</v>
      </c>
      <c r="P3136" s="317" t="str">
        <f t="shared" si="3179"/>
        <v>15:00</v>
      </c>
      <c r="Q3136" s="318">
        <f t="shared" si="3075"/>
        <v>46139.40625</v>
      </c>
      <c r="R3136" s="318">
        <f t="shared" si="2934"/>
        <v>46139.52083</v>
      </c>
      <c r="S3136" s="318">
        <f t="shared" si="8"/>
        <v>46139.625</v>
      </c>
    </row>
    <row r="3137">
      <c r="A3137" s="14" t="str">
        <f t="shared" si="1"/>
        <v>C153346139</v>
      </c>
      <c r="B3137" s="185">
        <f t="array" ref="B3137">IF(F3137="VL","",IF(F3137="Free","Free",XLOOKUP(D3137,Roster!T:T,Roster!S:S,"",0)))</f>
        <v>125</v>
      </c>
      <c r="C3137" s="313">
        <v>46139.0</v>
      </c>
      <c r="D3137" s="314" t="s">
        <v>43</v>
      </c>
      <c r="E3137" s="307" t="str">
        <f t="array" ref="E3137">(XLOOKUP(D3137,Roster!F:F,Roster!B:B,"",0))</f>
        <v>Juan Barrera</v>
      </c>
      <c r="F3137" s="315" t="str">
        <f t="array" ref="F3137">IF(B3137=100,"Free",TEXT(XLOOKUP($D3137,OperationVoice!$A:$A,OperationVoice!AG:AG,XLOOKUP($D3137,OperationTickets!$A:$A,OperationTickets!AG:AG,"",0)),"hh:mm"))</f>
        <v>08:00</v>
      </c>
      <c r="G3137" s="309">
        <f t="shared" si="3"/>
        <v>0.7083333333</v>
      </c>
      <c r="H3137" s="316" t="str">
        <f t="array" ref="H3137">XLOOKUP(B3137,Roster!L:L,Roster!N:N,XLOOKUP(D3137,TicketsBreak!A:A,TicketsBreak!E:E,"",0),0)</f>
        <v>10:30 - 10:45</v>
      </c>
      <c r="I3137" s="316" t="str">
        <f t="array" ref="I3137">XLOOKUP(B3137,Roster!L:L,Roster!O:O,XLOOKUP(D3137,TicketsBreak!A:A,TicketsBreak!F:F,"",0),0)</f>
        <v>13:30 - 14:00</v>
      </c>
      <c r="J3137" s="316" t="str">
        <f t="array" ref="J3137">XLOOKUP(B3137,Roster!L:L,Roster!P:P,XLOOKUP(D3137,TicketsBreak!A:A,TicketsBreak!G:G,"",0),0)</f>
        <v>15:45 - 16:00</v>
      </c>
      <c r="K3137" s="310">
        <f t="shared" si="4"/>
        <v>46139</v>
      </c>
      <c r="L3137" s="317">
        <f t="array" ref="L3137">(XLOOKUP(D3137,Roster!F:F,Roster!D:D,"",0))</f>
        <v>36</v>
      </c>
      <c r="M3137" s="317" t="str">
        <f t="array" ref="M3137">XLOOKUP(D3137,Roster!F:F,Roster!E:E)</f>
        <v>Voice</v>
      </c>
      <c r="N3137" s="317" t="str">
        <f t="shared" ref="N3137:P3137" si="3180">LEFT(H3137,5)</f>
        <v>10:30</v>
      </c>
      <c r="O3137" s="317" t="str">
        <f t="shared" si="3180"/>
        <v>13:30</v>
      </c>
      <c r="P3137" s="317" t="str">
        <f t="shared" si="3180"/>
        <v>15:45</v>
      </c>
      <c r="Q3137" s="318">
        <f t="shared" si="3075"/>
        <v>46139.4375</v>
      </c>
      <c r="R3137" s="318">
        <f t="shared" si="2934"/>
        <v>46139.5625</v>
      </c>
      <c r="S3137" s="318">
        <f t="shared" si="8"/>
        <v>46139.65625</v>
      </c>
    </row>
    <row r="3138">
      <c r="A3138" s="14" t="str">
        <f t="shared" si="1"/>
        <v>C146546139</v>
      </c>
      <c r="B3138" s="185">
        <f t="array" ref="B3138">IF(F3138="VL","",IF(F3138="Free","Free",XLOOKUP(D3138,Roster!T:T,Roster!S:S,"",0)))</f>
        <v>500</v>
      </c>
      <c r="C3138" s="313">
        <v>46139.0</v>
      </c>
      <c r="D3138" s="314" t="s">
        <v>44</v>
      </c>
      <c r="E3138" s="307" t="str">
        <f t="array" ref="E3138">(XLOOKUP(D3138,Roster!F:F,Roster!B:B,"",0))</f>
        <v>Juan Castilla</v>
      </c>
      <c r="F3138" s="315" t="str">
        <f t="array" ref="F3138">IF(B3138=100,"Free",TEXT(XLOOKUP($D3138,OperationVoice!$A:$A,OperationVoice!AG:AG,XLOOKUP($D3138,OperationTickets!$A:$A,OperationTickets!AG:AG,"",0)),"hh:mm"))</f>
        <v>08:00</v>
      </c>
      <c r="G3138" s="309">
        <f t="shared" si="3"/>
        <v>0.7083333333</v>
      </c>
      <c r="H3138" s="316" t="str">
        <f t="array" ref="H3138">XLOOKUP(B3138,Roster!L:L,Roster!N:N,XLOOKUP(D3138,TicketsBreak!A:A,TicketsBreak!E:E,"",0),0)</f>
        <v>Team Leader</v>
      </c>
      <c r="I3138" s="316" t="str">
        <f t="array" ref="I3138">XLOOKUP(B3138,Roster!L:L,Roster!O:O,XLOOKUP(D3138,TicketsBreak!A:A,TicketsBreak!F:F,"",0),0)</f>
        <v>Team Leader</v>
      </c>
      <c r="J3138" s="316" t="str">
        <f t="array" ref="J3138">XLOOKUP(B3138,Roster!L:L,Roster!P:P,XLOOKUP(D3138,TicketsBreak!A:A,TicketsBreak!G:G,"",0),0)</f>
        <v/>
      </c>
      <c r="K3138" s="310">
        <f t="shared" si="4"/>
        <v>46139</v>
      </c>
      <c r="L3138" s="317">
        <f t="array" ref="L3138">(XLOOKUP(D3138,Roster!F:F,Roster!D:D,"",0))</f>
        <v>33</v>
      </c>
      <c r="M3138" s="317" t="str">
        <f t="array" ref="M3138">XLOOKUP(D3138,Roster!F:F,Roster!E:E)</f>
        <v>Voice</v>
      </c>
      <c r="N3138" s="317" t="str">
        <f t="shared" ref="N3138:P3138" si="3181">LEFT(H3138,5)</f>
        <v>Team </v>
      </c>
      <c r="O3138" s="317" t="str">
        <f t="shared" si="3181"/>
        <v>Team </v>
      </c>
      <c r="P3138" s="317" t="str">
        <f t="shared" si="3181"/>
        <v/>
      </c>
      <c r="Q3138" s="318" t="str">
        <f t="shared" si="3075"/>
        <v>#VALUE!</v>
      </c>
      <c r="R3138" s="318" t="str">
        <f t="shared" si="2934"/>
        <v>#VALUE!</v>
      </c>
      <c r="S3138" s="318" t="str">
        <f t="shared" si="8"/>
        <v/>
      </c>
    </row>
    <row r="3139">
      <c r="A3139" s="14" t="str">
        <f t="shared" si="1"/>
        <v>C72046139</v>
      </c>
      <c r="B3139" s="185" t="str">
        <f t="array" ref="B3139">IF(F3139="VL","",IF(F3139="Free","Free",XLOOKUP(D3139,Roster!T:T,Roster!S:S,"",0)))</f>
        <v/>
      </c>
      <c r="C3139" s="313">
        <v>46139.0</v>
      </c>
      <c r="D3139" s="314" t="s">
        <v>162</v>
      </c>
      <c r="E3139" s="307" t="str">
        <f t="array" ref="E3139">(XLOOKUP(D3139,Roster!F:F,Roster!B:B,"",0))</f>
        <v>Juan Durango</v>
      </c>
      <c r="F3139" s="315" t="str">
        <f t="array" ref="F3139">IF(B3139=100,"Free",TEXT(XLOOKUP($D3139,OperationVoice!$A:$A,OperationVoice!AG:AG,XLOOKUP($D3139,OperationTickets!$A:$A,OperationTickets!AG:AG,"",0)),"hh:mm"))</f>
        <v>08:00</v>
      </c>
      <c r="G3139" s="309">
        <f t="shared" si="3"/>
        <v>0.7083333333</v>
      </c>
      <c r="H3139" s="316">
        <f t="array" ref="H3139">XLOOKUP(B3139,Roster!L:L,Roster!N:N,XLOOKUP(D3139,TicketsBreak!A:A,TicketsBreak!E:E,"",0),0)</f>
        <v>0.40625</v>
      </c>
      <c r="I3139" s="316">
        <f t="array" ref="I3139">XLOOKUP(B3139,Roster!L:L,Roster!O:O,XLOOKUP(D3139,TicketsBreak!A:A,TicketsBreak!F:F,"",0),0)</f>
        <v>0.5729166667</v>
      </c>
      <c r="J3139" s="316">
        <f t="array" ref="J3139">XLOOKUP(B3139,Roster!L:L,Roster!P:P,XLOOKUP(D3139,TicketsBreak!A:A,TicketsBreak!G:G,"",0),0)</f>
        <v>0.65625</v>
      </c>
      <c r="K3139" s="310">
        <f t="shared" si="4"/>
        <v>46139</v>
      </c>
      <c r="L3139" s="317">
        <f t="array" ref="L3139">(XLOOKUP(D3139,Roster!F:F,Roster!D:D,"",0))</f>
        <v>7</v>
      </c>
      <c r="M3139" s="317" t="str">
        <f t="array" ref="M3139">XLOOKUP(D3139,Roster!F:F,Roster!E:E)</f>
        <v>Tickets</v>
      </c>
      <c r="N3139" s="317" t="str">
        <f t="shared" ref="N3139:P3139" si="3182">LEFT(H3139,5)</f>
        <v>09:45</v>
      </c>
      <c r="O3139" s="317" t="str">
        <f t="shared" si="3182"/>
        <v>13:45</v>
      </c>
      <c r="P3139" s="317" t="str">
        <f t="shared" si="3182"/>
        <v>15:45</v>
      </c>
      <c r="Q3139" s="318">
        <f t="shared" si="3075"/>
        <v>46139.40625</v>
      </c>
      <c r="R3139" s="318">
        <f t="shared" si="2934"/>
        <v>46139.57292</v>
      </c>
      <c r="S3139" s="318">
        <f t="shared" si="8"/>
        <v>46139.65625</v>
      </c>
    </row>
    <row r="3140">
      <c r="A3140" s="14" t="str">
        <f t="shared" si="1"/>
        <v>C59846139</v>
      </c>
      <c r="B3140" s="185" t="str">
        <f t="array" ref="B3140">IF(F3140="VL","",IF(F3140="Free","Free",XLOOKUP(D3140,Roster!T:T,Roster!S:S,"",0)))</f>
        <v/>
      </c>
      <c r="C3140" s="313">
        <v>46139.0</v>
      </c>
      <c r="D3140" s="314" t="s">
        <v>314</v>
      </c>
      <c r="E3140" s="307" t="str">
        <f t="array" ref="E3140">(XLOOKUP(D3140,Roster!F:F,Roster!B:B,"",0))</f>
        <v>Juan Fonnegra</v>
      </c>
      <c r="F3140" s="315" t="str">
        <f t="array" ref="F3140">IF(B3140=100,"Free",TEXT(XLOOKUP($D3140,OperationVoice!$A:$A,OperationVoice!AG:AG,XLOOKUP($D3140,OperationTickets!$A:$A,OperationTickets!AG:AG,"",0)),"hh:mm"))</f>
        <v/>
      </c>
      <c r="G3140" s="309" t="str">
        <f t="shared" si="3"/>
        <v/>
      </c>
      <c r="H3140" s="316">
        <f t="array" ref="H3140">XLOOKUP(B3140,Roster!L:L,Roster!N:N,XLOOKUP(D3140,TicketsBreak!A:A,TicketsBreak!E:E,"",0),0)</f>
        <v>0.4166666667</v>
      </c>
      <c r="I3140" s="316">
        <f t="array" ref="I3140">XLOOKUP(B3140,Roster!L:L,Roster!O:O,XLOOKUP(D3140,TicketsBreak!A:A,TicketsBreak!F:F,"",0),0)</f>
        <v>0.5208333333</v>
      </c>
      <c r="J3140" s="316">
        <f t="array" ref="J3140">XLOOKUP(B3140,Roster!L:L,Roster!P:P,XLOOKUP(D3140,TicketsBreak!A:A,TicketsBreak!G:G,"",0),0)</f>
        <v>0.65625</v>
      </c>
      <c r="K3140" s="310">
        <f t="shared" si="4"/>
        <v>46139</v>
      </c>
      <c r="L3140" s="317">
        <f t="array" ref="L3140">(XLOOKUP(D3140,Roster!F:F,Roster!D:D,"",0))</f>
        <v>1</v>
      </c>
      <c r="M3140" s="317" t="str">
        <f t="array" ref="M3140">XLOOKUP(D3140,Roster!F:F,Roster!E:E)</f>
        <v>Tickets</v>
      </c>
      <c r="N3140" s="317" t="str">
        <f t="shared" ref="N3140:P3140" si="3183">LEFT(H3140,5)</f>
        <v>10:00</v>
      </c>
      <c r="O3140" s="317" t="str">
        <f t="shared" si="3183"/>
        <v>12:30</v>
      </c>
      <c r="P3140" s="317" t="str">
        <f t="shared" si="3183"/>
        <v>15:45</v>
      </c>
      <c r="Q3140" s="318">
        <f t="shared" si="3075"/>
        <v>46139.41667</v>
      </c>
      <c r="R3140" s="318">
        <f t="shared" si="2934"/>
        <v>46139.52083</v>
      </c>
      <c r="S3140" s="318">
        <f t="shared" si="8"/>
        <v>46139.65625</v>
      </c>
    </row>
    <row r="3141">
      <c r="A3141" s="14" t="str">
        <f t="shared" si="1"/>
        <v>C113946139</v>
      </c>
      <c r="B3141" s="185">
        <f t="array" ref="B3141">IF(F3141="VL","",IF(F3141="Free","Free",XLOOKUP(D3141,Roster!T:T,Roster!S:S,"",0)))</f>
        <v>125</v>
      </c>
      <c r="C3141" s="313">
        <v>46139.0</v>
      </c>
      <c r="D3141" s="314" t="s">
        <v>45</v>
      </c>
      <c r="E3141" s="307" t="str">
        <f t="array" ref="E3141">(XLOOKUP(D3141,Roster!F:F,Roster!B:B,"",0))</f>
        <v>Juan Largacha</v>
      </c>
      <c r="F3141" s="315" t="str">
        <f t="array" ref="F3141">IF(B3141=100,"Free",TEXT(XLOOKUP($D3141,OperationVoice!$A:$A,OperationVoice!AG:AG,XLOOKUP($D3141,OperationTickets!$A:$A,OperationTickets!AG:AG,"",0)),"hh:mm"))</f>
        <v>08:00</v>
      </c>
      <c r="G3141" s="309">
        <f t="shared" si="3"/>
        <v>0.7083333333</v>
      </c>
      <c r="H3141" s="316" t="str">
        <f t="array" ref="H3141">XLOOKUP(B3141,Roster!L:L,Roster!N:N,XLOOKUP(D3141,TicketsBreak!A:A,TicketsBreak!E:E,"",0),0)</f>
        <v>10:30 - 10:45</v>
      </c>
      <c r="I3141" s="316" t="str">
        <f t="array" ref="I3141">XLOOKUP(B3141,Roster!L:L,Roster!O:O,XLOOKUP(D3141,TicketsBreak!A:A,TicketsBreak!F:F,"",0),0)</f>
        <v>13:30 - 14:00</v>
      </c>
      <c r="J3141" s="316" t="str">
        <f t="array" ref="J3141">XLOOKUP(B3141,Roster!L:L,Roster!P:P,XLOOKUP(D3141,TicketsBreak!A:A,TicketsBreak!G:G,"",0),0)</f>
        <v>15:45 - 16:00</v>
      </c>
      <c r="K3141" s="310">
        <f t="shared" si="4"/>
        <v>46139</v>
      </c>
      <c r="L3141" s="317">
        <f t="array" ref="L3141">(XLOOKUP(D3141,Roster!F:F,Roster!D:D,"",0))</f>
        <v>22</v>
      </c>
      <c r="M3141" s="317" t="str">
        <f t="array" ref="M3141">XLOOKUP(D3141,Roster!F:F,Roster!E:E)</f>
        <v>Voice</v>
      </c>
      <c r="N3141" s="317" t="str">
        <f t="shared" ref="N3141:P3141" si="3184">LEFT(H3141,5)</f>
        <v>10:30</v>
      </c>
      <c r="O3141" s="317" t="str">
        <f t="shared" si="3184"/>
        <v>13:30</v>
      </c>
      <c r="P3141" s="317" t="str">
        <f t="shared" si="3184"/>
        <v>15:45</v>
      </c>
      <c r="Q3141" s="318">
        <f t="shared" si="3075"/>
        <v>46139.4375</v>
      </c>
      <c r="R3141" s="318">
        <f t="shared" si="2934"/>
        <v>46139.5625</v>
      </c>
      <c r="S3141" s="318">
        <f t="shared" si="8"/>
        <v>46139.65625</v>
      </c>
    </row>
    <row r="3142">
      <c r="A3142" s="14" t="str">
        <f t="shared" si="1"/>
        <v>C156646139</v>
      </c>
      <c r="B3142" s="185">
        <f t="array" ref="B3142">IF(F3142="VL","",IF(F3142="Free","Free",XLOOKUP(D3142,Roster!T:T,Roster!S:S,"",0)))</f>
        <v>124</v>
      </c>
      <c r="C3142" s="313">
        <v>46139.0</v>
      </c>
      <c r="D3142" s="314" t="s">
        <v>46</v>
      </c>
      <c r="E3142" s="307" t="str">
        <f t="array" ref="E3142">(XLOOKUP(D3142,Roster!F:F,Roster!B:B,"",0))</f>
        <v>Juan Ocampo</v>
      </c>
      <c r="F3142" s="315" t="str">
        <f t="array" ref="F3142">IF(B3142=100,"Free",TEXT(XLOOKUP($D3142,OperationVoice!$A:$A,OperationVoice!AG:AG,XLOOKUP($D3142,OperationTickets!$A:$A,OperationTickets!AG:AG,"",0)),"hh:mm"))</f>
        <v>08:00</v>
      </c>
      <c r="G3142" s="309">
        <f t="shared" si="3"/>
        <v>0.7083333333</v>
      </c>
      <c r="H3142" s="316" t="str">
        <f t="array" ref="H3142">XLOOKUP(B3142,Roster!L:L,Roster!N:N,XLOOKUP(D3142,TicketsBreak!A:A,TicketsBreak!E:E,"",0),0)</f>
        <v>10:00 - 10:15</v>
      </c>
      <c r="I3142" s="316" t="str">
        <f t="array" ref="I3142">XLOOKUP(B3142,Roster!L:L,Roster!O:O,XLOOKUP(D3142,TicketsBreak!A:A,TicketsBreak!F:F,"",0),0)</f>
        <v>13:00 - 13:30</v>
      </c>
      <c r="J3142" s="316" t="str">
        <f t="array" ref="J3142">XLOOKUP(B3142,Roster!L:L,Roster!P:P,XLOOKUP(D3142,TicketsBreak!A:A,TicketsBreak!G:G,"",0),0)</f>
        <v>15:30 - 15:45</v>
      </c>
      <c r="K3142" s="310">
        <f t="shared" si="4"/>
        <v>46139</v>
      </c>
      <c r="L3142" s="317">
        <f t="array" ref="L3142">(XLOOKUP(D3142,Roster!F:F,Roster!D:D,"",0))</f>
        <v>38</v>
      </c>
      <c r="M3142" s="317" t="str">
        <f t="array" ref="M3142">XLOOKUP(D3142,Roster!F:F,Roster!E:E)</f>
        <v>Voice</v>
      </c>
      <c r="N3142" s="317" t="str">
        <f t="shared" ref="N3142:P3142" si="3185">LEFT(H3142,5)</f>
        <v>10:00</v>
      </c>
      <c r="O3142" s="317" t="str">
        <f t="shared" si="3185"/>
        <v>13:00</v>
      </c>
      <c r="P3142" s="317" t="str">
        <f t="shared" si="3185"/>
        <v>15:30</v>
      </c>
      <c r="Q3142" s="318">
        <f t="shared" si="3075"/>
        <v>46139.41667</v>
      </c>
      <c r="R3142" s="318">
        <f t="shared" si="2934"/>
        <v>46139.54167</v>
      </c>
      <c r="S3142" s="318">
        <f t="shared" si="8"/>
        <v>46139.64583</v>
      </c>
    </row>
    <row r="3143">
      <c r="A3143" s="14" t="str">
        <f t="shared" si="1"/>
        <v>C148446139</v>
      </c>
      <c r="B3143" s="185">
        <f t="array" ref="B3143">IF(F3143="VL","",IF(F3143="Free","Free",XLOOKUP(D3143,Roster!T:T,Roster!S:S,"",0)))</f>
        <v>126</v>
      </c>
      <c r="C3143" s="313">
        <v>46139.0</v>
      </c>
      <c r="D3143" s="314" t="s">
        <v>141</v>
      </c>
      <c r="E3143" s="307" t="str">
        <f t="array" ref="E3143">(XLOOKUP(D3143,Roster!F:F,Roster!B:B,"",0))</f>
        <v>Juan Ospina</v>
      </c>
      <c r="F3143" s="315" t="str">
        <f t="array" ref="F3143">IF(B3143=100,"Free",TEXT(XLOOKUP($D3143,OperationVoice!$A:$A,OperationVoice!AG:AG,XLOOKUP($D3143,OperationTickets!$A:$A,OperationTickets!AG:AG,"",0)),"hh:mm"))</f>
        <v>08:00</v>
      </c>
      <c r="G3143" s="309">
        <f t="shared" si="3"/>
        <v>0.7083333333</v>
      </c>
      <c r="H3143" s="316" t="str">
        <f t="array" ref="H3143">XLOOKUP(B3143,Roster!L:L,Roster!N:N,XLOOKUP(D3143,TicketsBreak!A:A,TicketsBreak!E:E,"",0),0)</f>
        <v>10:45 - 11:00</v>
      </c>
      <c r="I3143" s="316" t="str">
        <f t="array" ref="I3143">XLOOKUP(B3143,Roster!L:L,Roster!O:O,XLOOKUP(D3143,TicketsBreak!A:A,TicketsBreak!F:F,"",0),0)</f>
        <v>14:00 - 14:30</v>
      </c>
      <c r="J3143" s="316" t="str">
        <f t="array" ref="J3143">XLOOKUP(B3143,Roster!L:L,Roster!P:P,XLOOKUP(D3143,TicketsBreak!A:A,TicketsBreak!G:G,"",0),0)</f>
        <v>15:45 - 16:00</v>
      </c>
      <c r="K3143" s="310">
        <f t="shared" si="4"/>
        <v>46139</v>
      </c>
      <c r="L3143" s="317">
        <f t="array" ref="L3143">(XLOOKUP(D3143,Roster!F:F,Roster!D:D,"",0))</f>
        <v>34</v>
      </c>
      <c r="M3143" s="317" t="str">
        <f t="array" ref="M3143">XLOOKUP(D3143,Roster!F:F,Roster!E:E)</f>
        <v>Tickets</v>
      </c>
      <c r="N3143" s="317" t="str">
        <f t="shared" ref="N3143:P3143" si="3186">LEFT(H3143,5)</f>
        <v>10:45</v>
      </c>
      <c r="O3143" s="317" t="str">
        <f t="shared" si="3186"/>
        <v>14:00</v>
      </c>
      <c r="P3143" s="317" t="str">
        <f t="shared" si="3186"/>
        <v>15:45</v>
      </c>
      <c r="Q3143" s="318">
        <f t="shared" si="3075"/>
        <v>46139.44792</v>
      </c>
      <c r="R3143" s="318">
        <f t="shared" si="2934"/>
        <v>46139.58333</v>
      </c>
      <c r="S3143" s="318">
        <f t="shared" si="8"/>
        <v>46139.65625</v>
      </c>
    </row>
    <row r="3144">
      <c r="A3144" s="14" t="str">
        <f t="shared" si="1"/>
        <v>C141346139</v>
      </c>
      <c r="B3144" s="185">
        <f t="array" ref="B3144">IF(F3144="VL","",IF(F3144="Free","Free",XLOOKUP(D3144,Roster!T:T,Roster!S:S,"",0)))</f>
        <v>121</v>
      </c>
      <c r="C3144" s="313">
        <v>46139.0</v>
      </c>
      <c r="D3144" s="314" t="s">
        <v>47</v>
      </c>
      <c r="E3144" s="307" t="str">
        <f t="array" ref="E3144">(XLOOKUP(D3144,Roster!F:F,Roster!B:B,"",0))</f>
        <v>Juan Parra</v>
      </c>
      <c r="F3144" s="315" t="str">
        <f t="array" ref="F3144">IF(B3144=100,"Free",TEXT(XLOOKUP($D3144,OperationVoice!$A:$A,OperationVoice!AG:AG,XLOOKUP($D3144,OperationTickets!$A:$A,OperationTickets!AG:AG,"",0)),"hh:mm"))</f>
        <v>08:00</v>
      </c>
      <c r="G3144" s="309">
        <f t="shared" si="3"/>
        <v>0.7083333333</v>
      </c>
      <c r="H3144" s="316" t="str">
        <f t="array" ref="H3144">XLOOKUP(B3144,Roster!L:L,Roster!N:N,XLOOKUP(D3144,TicketsBreak!A:A,TicketsBreak!E:E,"",0),0)</f>
        <v>09:15 - 09:30</v>
      </c>
      <c r="I3144" s="316" t="str">
        <f t="array" ref="I3144">XLOOKUP(B3144,Roster!L:L,Roster!O:O,XLOOKUP(D3144,TicketsBreak!A:A,TicketsBreak!F:F,"",0),0)</f>
        <v>11:30 - 12:00</v>
      </c>
      <c r="J3144" s="316" t="str">
        <f t="array" ref="J3144">XLOOKUP(B3144,Roster!L:L,Roster!P:P,XLOOKUP(D3144,TicketsBreak!A:A,TicketsBreak!G:G,"",0),0)</f>
        <v>14:30 - 14:45</v>
      </c>
      <c r="K3144" s="310">
        <f t="shared" si="4"/>
        <v>46139</v>
      </c>
      <c r="L3144" s="317">
        <f t="array" ref="L3144">(XLOOKUP(D3144,Roster!F:F,Roster!D:D,"",0))</f>
        <v>32</v>
      </c>
      <c r="M3144" s="317" t="str">
        <f t="array" ref="M3144">XLOOKUP(D3144,Roster!F:F,Roster!E:E)</f>
        <v>Voice</v>
      </c>
      <c r="N3144" s="317" t="str">
        <f t="shared" ref="N3144:P3144" si="3187">LEFT(H3144,5)</f>
        <v>09:15</v>
      </c>
      <c r="O3144" s="317" t="str">
        <f t="shared" si="3187"/>
        <v>11:30</v>
      </c>
      <c r="P3144" s="317" t="str">
        <f t="shared" si="3187"/>
        <v>14:30</v>
      </c>
      <c r="Q3144" s="318">
        <f t="shared" si="3075"/>
        <v>46139.38542</v>
      </c>
      <c r="R3144" s="318">
        <f t="shared" si="2934"/>
        <v>46139.47917</v>
      </c>
      <c r="S3144" s="318">
        <f t="shared" si="8"/>
        <v>46139.60417</v>
      </c>
    </row>
    <row r="3145">
      <c r="A3145" s="14" t="str">
        <f t="shared" si="1"/>
        <v>C132746139</v>
      </c>
      <c r="B3145" s="185" t="str">
        <f t="array" ref="B3145">IF(F3145="VL","",IF(F3145="Free","Free",XLOOKUP(D3145,Roster!T:T,Roster!S:S,"",0)))</f>
        <v/>
      </c>
      <c r="C3145" s="313">
        <v>46139.0</v>
      </c>
      <c r="D3145" s="314" t="s">
        <v>163</v>
      </c>
      <c r="E3145" s="307" t="str">
        <f t="array" ref="E3145">(XLOOKUP(D3145,Roster!F:F,Roster!B:B,"",0))</f>
        <v>Juan Restrepo</v>
      </c>
      <c r="F3145" s="315" t="str">
        <f t="array" ref="F3145">IF(B3145=100,"Free",TEXT(XLOOKUP($D3145,OperationVoice!$A:$A,OperationVoice!AG:AG,XLOOKUP($D3145,OperationTickets!$A:$A,OperationTickets!AG:AG,"",0)),"hh:mm"))</f>
        <v>07:00</v>
      </c>
      <c r="G3145" s="309">
        <f t="shared" si="3"/>
        <v>0.6666666667</v>
      </c>
      <c r="H3145" s="316" t="str">
        <f t="array" ref="H3145">XLOOKUP(B3145,Roster!L:L,Roster!N:N,XLOOKUP(D3145,TicketsBreak!A:A,TicketsBreak!E:E,"",0),0)</f>
        <v/>
      </c>
      <c r="I3145" s="316" t="str">
        <f t="array" ref="I3145">XLOOKUP(B3145,Roster!L:L,Roster!O:O,XLOOKUP(D3145,TicketsBreak!A:A,TicketsBreak!F:F,"",0),0)</f>
        <v/>
      </c>
      <c r="J3145" s="316" t="str">
        <f t="array" ref="J3145">XLOOKUP(B3145,Roster!L:L,Roster!P:P,XLOOKUP(D3145,TicketsBreak!A:A,TicketsBreak!G:G,"",0),0)</f>
        <v/>
      </c>
      <c r="K3145" s="310">
        <f t="shared" si="4"/>
        <v>46139</v>
      </c>
      <c r="L3145" s="317">
        <f t="array" ref="L3145">(XLOOKUP(D3145,Roster!F:F,Roster!D:D,"",0))</f>
        <v>29</v>
      </c>
      <c r="M3145" s="317" t="str">
        <f t="array" ref="M3145">XLOOKUP(D3145,Roster!F:F,Roster!E:E)</f>
        <v>Tickets</v>
      </c>
      <c r="N3145" s="317" t="str">
        <f t="shared" ref="N3145:P3145" si="3188">LEFT(H3145,5)</f>
        <v/>
      </c>
      <c r="O3145" s="317" t="str">
        <f t="shared" si="3188"/>
        <v/>
      </c>
      <c r="P3145" s="317" t="str">
        <f t="shared" si="3188"/>
        <v/>
      </c>
      <c r="Q3145" s="318" t="str">
        <f t="shared" si="3075"/>
        <v/>
      </c>
      <c r="R3145" s="318" t="str">
        <f t="shared" si="2934"/>
        <v/>
      </c>
      <c r="S3145" s="318" t="str">
        <f t="shared" si="8"/>
        <v/>
      </c>
    </row>
    <row r="3146">
      <c r="A3146" s="14" t="str">
        <f t="shared" si="1"/>
        <v>C146946139</v>
      </c>
      <c r="B3146" s="185">
        <f t="array" ref="B3146">IF(F3146="VL","",IF(F3146="Free","Free",XLOOKUP(D3146,Roster!T:T,Roster!S:S,"",0)))</f>
        <v>122</v>
      </c>
      <c r="C3146" s="313">
        <v>46139.0</v>
      </c>
      <c r="D3146" s="314" t="s">
        <v>48</v>
      </c>
      <c r="E3146" s="307" t="str">
        <f t="array" ref="E3146">(XLOOKUP(D3146,Roster!F:F,Roster!B:B,"",0))</f>
        <v>Juan Restrepo Restrepo</v>
      </c>
      <c r="F3146" s="315" t="str">
        <f t="array" ref="F3146">IF(B3146=100,"Free",TEXT(XLOOKUP($D3146,OperationVoice!$A:$A,OperationVoice!AG:AG,XLOOKUP($D3146,OperationTickets!$A:$A,OperationTickets!AG:AG,"",0)),"hh:mm"))</f>
        <v>08:00</v>
      </c>
      <c r="G3146" s="309">
        <f t="shared" si="3"/>
        <v>0.7083333333</v>
      </c>
      <c r="H3146" s="316" t="str">
        <f t="array" ref="H3146">XLOOKUP(B3146,Roster!L:L,Roster!N:N,XLOOKUP(D3146,TicketsBreak!A:A,TicketsBreak!E:E,"",0),0)</f>
        <v>09:30 - 09:45</v>
      </c>
      <c r="I3146" s="316" t="str">
        <f t="array" ref="I3146">XLOOKUP(B3146,Roster!L:L,Roster!O:O,XLOOKUP(D3146,TicketsBreak!A:A,TicketsBreak!F:F,"",0),0)</f>
        <v>12:00 - 12:30</v>
      </c>
      <c r="J3146" s="316" t="str">
        <f t="array" ref="J3146">XLOOKUP(B3146,Roster!L:L,Roster!P:P,XLOOKUP(D3146,TicketsBreak!A:A,TicketsBreak!G:G,"",0),0)</f>
        <v>14:45 - 15:00</v>
      </c>
      <c r="K3146" s="310">
        <f t="shared" si="4"/>
        <v>46139</v>
      </c>
      <c r="L3146" s="317">
        <f t="array" ref="L3146">(XLOOKUP(D3146,Roster!F:F,Roster!D:D,"",0))</f>
        <v>33</v>
      </c>
      <c r="M3146" s="317" t="str">
        <f t="array" ref="M3146">XLOOKUP(D3146,Roster!F:F,Roster!E:E)</f>
        <v>Voice</v>
      </c>
      <c r="N3146" s="317" t="str">
        <f t="shared" ref="N3146:P3146" si="3189">LEFT(H3146,5)</f>
        <v>09:30</v>
      </c>
      <c r="O3146" s="317" t="str">
        <f t="shared" si="3189"/>
        <v>12:00</v>
      </c>
      <c r="P3146" s="317" t="str">
        <f t="shared" si="3189"/>
        <v>14:45</v>
      </c>
      <c r="Q3146" s="318">
        <f t="shared" si="3075"/>
        <v>46139.39583</v>
      </c>
      <c r="R3146" s="318">
        <f t="shared" si="2934"/>
        <v>46139.5</v>
      </c>
      <c r="S3146" s="318">
        <f t="shared" si="8"/>
        <v>46139.61458</v>
      </c>
    </row>
    <row r="3147">
      <c r="A3147" s="14" t="str">
        <f t="shared" si="1"/>
        <v>C117146139</v>
      </c>
      <c r="B3147" s="185" t="str">
        <f t="array" ref="B3147">IF(F3147="VL","",IF(F3147="Free","Free",XLOOKUP(D3147,Roster!T:T,Roster!S:S,"",0)))</f>
        <v/>
      </c>
      <c r="C3147" s="313">
        <v>46139.0</v>
      </c>
      <c r="D3147" s="314" t="s">
        <v>142</v>
      </c>
      <c r="E3147" s="307" t="str">
        <f t="array" ref="E3147">(XLOOKUP(D3147,Roster!F:F,Roster!B:B,"",0))</f>
        <v>Juan Sanchez</v>
      </c>
      <c r="F3147" s="315" t="str">
        <f t="array" ref="F3147">IF(B3147=100,"Free",TEXT(XLOOKUP($D3147,OperationVoice!$A:$A,OperationVoice!AG:AG,XLOOKUP($D3147,OperationTickets!$A:$A,OperationTickets!AG:AG,"",0)),"hh:mm"))</f>
        <v>08:00</v>
      </c>
      <c r="G3147" s="309">
        <f t="shared" si="3"/>
        <v>0.7083333333</v>
      </c>
      <c r="H3147" s="316" t="str">
        <f t="array" ref="H3147">XLOOKUP(B3147,Roster!L:L,Roster!N:N,XLOOKUP(D3147,TicketsBreak!A:A,TicketsBreak!E:E,"",0),0)</f>
        <v/>
      </c>
      <c r="I3147" s="316" t="str">
        <f t="array" ref="I3147">XLOOKUP(B3147,Roster!L:L,Roster!O:O,XLOOKUP(D3147,TicketsBreak!A:A,TicketsBreak!F:F,"",0),0)</f>
        <v/>
      </c>
      <c r="J3147" s="316" t="str">
        <f t="array" ref="J3147">XLOOKUP(B3147,Roster!L:L,Roster!P:P,XLOOKUP(D3147,TicketsBreak!A:A,TicketsBreak!G:G,"",0),0)</f>
        <v/>
      </c>
      <c r="K3147" s="310">
        <f t="shared" si="4"/>
        <v>46139</v>
      </c>
      <c r="L3147" s="317">
        <f t="array" ref="L3147">(XLOOKUP(D3147,Roster!F:F,Roster!D:D,"",0))</f>
        <v>24</v>
      </c>
      <c r="M3147" s="317" t="str">
        <f t="array" ref="M3147">XLOOKUP(D3147,Roster!F:F,Roster!E:E)</f>
        <v>Tickets</v>
      </c>
      <c r="N3147" s="317" t="str">
        <f t="shared" ref="N3147:P3147" si="3190">LEFT(H3147,5)</f>
        <v/>
      </c>
      <c r="O3147" s="317" t="str">
        <f t="shared" si="3190"/>
        <v/>
      </c>
      <c r="P3147" s="317" t="str">
        <f t="shared" si="3190"/>
        <v/>
      </c>
      <c r="Q3147" s="318" t="str">
        <f t="shared" si="3075"/>
        <v/>
      </c>
      <c r="R3147" s="318" t="str">
        <f t="shared" si="2934"/>
        <v/>
      </c>
      <c r="S3147" s="318" t="str">
        <f t="shared" si="8"/>
        <v/>
      </c>
    </row>
    <row r="3148">
      <c r="A3148" s="14" t="str">
        <f t="shared" si="1"/>
        <v>C74346139</v>
      </c>
      <c r="B3148" s="185" t="str">
        <f t="array" ref="B3148">IF(F3148="VL","",IF(F3148="Free","Free",XLOOKUP(D3148,Roster!T:T,Roster!S:S,"",0)))</f>
        <v/>
      </c>
      <c r="C3148" s="313">
        <v>46139.0</v>
      </c>
      <c r="D3148" s="314" t="s">
        <v>164</v>
      </c>
      <c r="E3148" s="307" t="str">
        <f t="array" ref="E3148">(XLOOKUP(D3148,Roster!F:F,Roster!B:B,"",0))</f>
        <v>Juan Suarez</v>
      </c>
      <c r="F3148" s="315" t="str">
        <f t="array" ref="F3148">IF(B3148=100,"Free",TEXT(XLOOKUP($D3148,OperationVoice!$A:$A,OperationVoice!AG:AG,XLOOKUP($D3148,OperationTickets!$A:$A,OperationTickets!AG:AG,"",0)),"hh:mm"))</f>
        <v>08:30</v>
      </c>
      <c r="G3148" s="309">
        <f t="shared" si="3"/>
        <v>0.7291666667</v>
      </c>
      <c r="H3148" s="316">
        <f t="array" ref="H3148">XLOOKUP(B3148,Roster!L:L,Roster!N:N,XLOOKUP(D3148,TicketsBreak!A:A,TicketsBreak!E:E,"",0),0)</f>
        <v>0.3958333333</v>
      </c>
      <c r="I3148" s="316">
        <f t="array" ref="I3148">XLOOKUP(B3148,Roster!L:L,Roster!O:O,XLOOKUP(D3148,TicketsBreak!A:A,TicketsBreak!F:F,"",0),0)</f>
        <v>0.5208333333</v>
      </c>
      <c r="J3148" s="316">
        <f t="array" ref="J3148">XLOOKUP(B3148,Roster!L:L,Roster!P:P,XLOOKUP(D3148,TicketsBreak!A:A,TicketsBreak!G:G,"",0),0)</f>
        <v>0.6145833333</v>
      </c>
      <c r="K3148" s="310">
        <f t="shared" si="4"/>
        <v>46139</v>
      </c>
      <c r="L3148" s="317">
        <f t="array" ref="L3148">(XLOOKUP(D3148,Roster!F:F,Roster!D:D,"",0))</f>
        <v>8</v>
      </c>
      <c r="M3148" s="317" t="str">
        <f t="array" ref="M3148">XLOOKUP(D3148,Roster!F:F,Roster!E:E)</f>
        <v>Tickets</v>
      </c>
      <c r="N3148" s="317" t="str">
        <f t="shared" ref="N3148:P3148" si="3191">LEFT(H3148,5)</f>
        <v>09:30</v>
      </c>
      <c r="O3148" s="317" t="str">
        <f t="shared" si="3191"/>
        <v>12:30</v>
      </c>
      <c r="P3148" s="317" t="str">
        <f t="shared" si="3191"/>
        <v>14:45</v>
      </c>
      <c r="Q3148" s="318">
        <f t="shared" si="3075"/>
        <v>46139.39583</v>
      </c>
      <c r="R3148" s="318">
        <f t="shared" si="2934"/>
        <v>46139.52083</v>
      </c>
      <c r="S3148" s="318">
        <f t="shared" si="8"/>
        <v>46139.61458</v>
      </c>
    </row>
    <row r="3149">
      <c r="A3149" s="14" t="str">
        <f t="shared" si="1"/>
        <v>C156846139</v>
      </c>
      <c r="B3149" s="185">
        <f t="array" ref="B3149">IF(F3149="VL","",IF(F3149="Free","Free",XLOOKUP(D3149,Roster!T:T,Roster!S:S,"",0)))</f>
        <v>122</v>
      </c>
      <c r="C3149" s="313">
        <v>46139.0</v>
      </c>
      <c r="D3149" s="314" t="s">
        <v>49</v>
      </c>
      <c r="E3149" s="307" t="str">
        <f t="array" ref="E3149">(XLOOKUP(D3149,Roster!F:F,Roster!B:B,"",0))</f>
        <v>Juan Zapata</v>
      </c>
      <c r="F3149" s="315" t="str">
        <f t="array" ref="F3149">IF(B3149=100,"Free",TEXT(XLOOKUP($D3149,OperationVoice!$A:$A,OperationVoice!AG:AG,XLOOKUP($D3149,OperationTickets!$A:$A,OperationTickets!AG:AG,"",0)),"hh:mm"))</f>
        <v>08:00</v>
      </c>
      <c r="G3149" s="309">
        <f t="shared" si="3"/>
        <v>0.7083333333</v>
      </c>
      <c r="H3149" s="316" t="str">
        <f t="array" ref="H3149">XLOOKUP(B3149,Roster!L:L,Roster!N:N,XLOOKUP(D3149,TicketsBreak!A:A,TicketsBreak!E:E,"",0),0)</f>
        <v>09:30 - 09:45</v>
      </c>
      <c r="I3149" s="316" t="str">
        <f t="array" ref="I3149">XLOOKUP(B3149,Roster!L:L,Roster!O:O,XLOOKUP(D3149,TicketsBreak!A:A,TicketsBreak!F:F,"",0),0)</f>
        <v>12:00 - 12:30</v>
      </c>
      <c r="J3149" s="316" t="str">
        <f t="array" ref="J3149">XLOOKUP(B3149,Roster!L:L,Roster!P:P,XLOOKUP(D3149,TicketsBreak!A:A,TicketsBreak!G:G,"",0),0)</f>
        <v>14:45 - 15:00</v>
      </c>
      <c r="K3149" s="310">
        <f t="shared" si="4"/>
        <v>46139</v>
      </c>
      <c r="L3149" s="317">
        <f t="array" ref="L3149">(XLOOKUP(D3149,Roster!F:F,Roster!D:D,"",0))</f>
        <v>38</v>
      </c>
      <c r="M3149" s="317" t="str">
        <f t="array" ref="M3149">XLOOKUP(D3149,Roster!F:F,Roster!E:E)</f>
        <v>Voice</v>
      </c>
      <c r="N3149" s="317" t="str">
        <f t="shared" ref="N3149:P3149" si="3192">LEFT(H3149,5)</f>
        <v>09:30</v>
      </c>
      <c r="O3149" s="317" t="str">
        <f t="shared" si="3192"/>
        <v>12:00</v>
      </c>
      <c r="P3149" s="317" t="str">
        <f t="shared" si="3192"/>
        <v>14:45</v>
      </c>
      <c r="Q3149" s="318">
        <f t="shared" si="3075"/>
        <v>46139.39583</v>
      </c>
      <c r="R3149" s="318">
        <f t="shared" si="2934"/>
        <v>46139.5</v>
      </c>
      <c r="S3149" s="318">
        <f t="shared" si="8"/>
        <v>46139.61458</v>
      </c>
    </row>
    <row r="3150">
      <c r="A3150" s="14" t="str">
        <f t="shared" si="1"/>
        <v>C75546139</v>
      </c>
      <c r="B3150" s="185" t="str">
        <f t="array" ref="B3150">IF(F3150="VL","",IF(F3150="Free","Free",XLOOKUP(D3150,Roster!T:T,Roster!S:S,"",0)))</f>
        <v/>
      </c>
      <c r="C3150" s="313">
        <v>46139.0</v>
      </c>
      <c r="D3150" s="314" t="s">
        <v>143</v>
      </c>
      <c r="E3150" s="307" t="str">
        <f t="array" ref="E3150">(XLOOKUP(D3150,Roster!F:F,Roster!B:B,"",0))</f>
        <v>Julian Higuita</v>
      </c>
      <c r="F3150" s="315" t="str">
        <f t="array" ref="F3150">IF(B3150=100,"Free",TEXT(XLOOKUP($D3150,OperationVoice!$A:$A,OperationVoice!AG:AG,XLOOKUP($D3150,OperationTickets!$A:$A,OperationTickets!AG:AG,"",0)),"hh:mm"))</f>
        <v>10:00</v>
      </c>
      <c r="G3150" s="309">
        <f t="shared" si="3"/>
        <v>0.7916666667</v>
      </c>
      <c r="H3150" s="316" t="str">
        <f t="array" ref="H3150">XLOOKUP(B3150,Roster!L:L,Roster!N:N,XLOOKUP(D3150,TicketsBreak!A:A,TicketsBreak!E:E,"",0),0)</f>
        <v/>
      </c>
      <c r="I3150" s="316" t="str">
        <f t="array" ref="I3150">XLOOKUP(B3150,Roster!L:L,Roster!O:O,XLOOKUP(D3150,TicketsBreak!A:A,TicketsBreak!F:F,"",0),0)</f>
        <v/>
      </c>
      <c r="J3150" s="316" t="str">
        <f t="array" ref="J3150">XLOOKUP(B3150,Roster!L:L,Roster!P:P,XLOOKUP(D3150,TicketsBreak!A:A,TicketsBreak!G:G,"",0),0)</f>
        <v/>
      </c>
      <c r="K3150" s="310">
        <f t="shared" si="4"/>
        <v>46139</v>
      </c>
      <c r="L3150" s="317">
        <f t="array" ref="L3150">(XLOOKUP(D3150,Roster!F:F,Roster!D:D,"",0))</f>
        <v>35</v>
      </c>
      <c r="M3150" s="317" t="str">
        <f t="array" ref="M3150">XLOOKUP(D3150,Roster!F:F,Roster!E:E)</f>
        <v>Tickets</v>
      </c>
      <c r="N3150" s="317" t="str">
        <f t="shared" ref="N3150:P3150" si="3193">LEFT(H3150,5)</f>
        <v/>
      </c>
      <c r="O3150" s="317" t="str">
        <f t="shared" si="3193"/>
        <v/>
      </c>
      <c r="P3150" s="317" t="str">
        <f t="shared" si="3193"/>
        <v/>
      </c>
      <c r="Q3150" s="318" t="str">
        <f t="shared" si="3075"/>
        <v/>
      </c>
      <c r="R3150" s="318" t="str">
        <f t="shared" si="2934"/>
        <v/>
      </c>
      <c r="S3150" s="318" t="str">
        <f t="shared" si="8"/>
        <v/>
      </c>
    </row>
    <row r="3151">
      <c r="A3151" s="14" t="str">
        <f t="shared" si="1"/>
        <v>C52546139</v>
      </c>
      <c r="B3151" s="185" t="str">
        <f t="array" ref="B3151">IF(F3151="VL","",IF(F3151="Free","Free",XLOOKUP(D3151,Roster!T:T,Roster!S:S,"",0)))</f>
        <v/>
      </c>
      <c r="C3151" s="313">
        <v>46139.0</v>
      </c>
      <c r="D3151" s="314" t="s">
        <v>176</v>
      </c>
      <c r="E3151" s="307" t="str">
        <f t="array" ref="E3151">(XLOOKUP(D3151,Roster!F:F,Roster!B:B,"",0))</f>
        <v>Julian Pineda</v>
      </c>
      <c r="F3151" s="315" t="str">
        <f t="array" ref="F3151">IF(B3151=100,"Free",TEXT(XLOOKUP($D3151,OperationVoice!$A:$A,OperationVoice!AG:AG,XLOOKUP($D3151,OperationTickets!$A:$A,OperationTickets!AG:AG,"",0)),"hh:mm"))</f>
        <v>08:00</v>
      </c>
      <c r="G3151" s="309">
        <f t="shared" si="3"/>
        <v>0.7083333333</v>
      </c>
      <c r="H3151" s="316" t="str">
        <f t="array" ref="H3151">XLOOKUP(B3151,Roster!L:L,Roster!N:N,XLOOKUP(D3151,TicketsBreak!A:A,TicketsBreak!E:E,"",0),0)</f>
        <v/>
      </c>
      <c r="I3151" s="316" t="str">
        <f t="array" ref="I3151">XLOOKUP(B3151,Roster!L:L,Roster!O:O,XLOOKUP(D3151,TicketsBreak!A:A,TicketsBreak!F:F,"",0),0)</f>
        <v/>
      </c>
      <c r="J3151" s="316" t="str">
        <f t="array" ref="J3151">XLOOKUP(B3151,Roster!L:L,Roster!P:P,XLOOKUP(D3151,TicketsBreak!A:A,TicketsBreak!G:G,"",0),0)</f>
        <v/>
      </c>
      <c r="K3151" s="310">
        <f t="shared" si="4"/>
        <v>46139</v>
      </c>
      <c r="L3151" s="317">
        <f t="array" ref="L3151">(XLOOKUP(D3151,Roster!F:F,Roster!D:D,"",0))</f>
        <v>35</v>
      </c>
      <c r="M3151" s="317" t="str">
        <f t="array" ref="M3151">XLOOKUP(D3151,Roster!F:F,Roster!E:E)</f>
        <v>Tickets</v>
      </c>
      <c r="N3151" s="317" t="str">
        <f t="shared" ref="N3151:P3151" si="3194">LEFT(H3151,5)</f>
        <v/>
      </c>
      <c r="O3151" s="317" t="str">
        <f t="shared" si="3194"/>
        <v/>
      </c>
      <c r="P3151" s="317" t="str">
        <f t="shared" si="3194"/>
        <v/>
      </c>
      <c r="Q3151" s="318" t="str">
        <f t="shared" si="3075"/>
        <v/>
      </c>
      <c r="R3151" s="318" t="str">
        <f t="shared" si="2934"/>
        <v/>
      </c>
      <c r="S3151" s="318" t="str">
        <f t="shared" si="8"/>
        <v/>
      </c>
    </row>
    <row r="3152">
      <c r="A3152" s="14" t="str">
        <f t="shared" si="1"/>
        <v>C142746139</v>
      </c>
      <c r="B3152" s="185">
        <f t="array" ref="B3152">IF(F3152="VL","",IF(F3152="Free","Free",XLOOKUP(D3152,Roster!T:T,Roster!S:S,"",0)))</f>
        <v>123</v>
      </c>
      <c r="C3152" s="313">
        <v>46139.0</v>
      </c>
      <c r="D3152" s="314" t="s">
        <v>50</v>
      </c>
      <c r="E3152" s="307" t="str">
        <f t="array" ref="E3152">(XLOOKUP(D3152,Roster!F:F,Roster!B:B,"",0))</f>
        <v>Karen Lorena Martinez</v>
      </c>
      <c r="F3152" s="315" t="str">
        <f t="array" ref="F3152">IF(B3152=100,"Free",TEXT(XLOOKUP($D3152,OperationVoice!$A:$A,OperationVoice!AG:AG,XLOOKUP($D3152,OperationTickets!$A:$A,OperationTickets!AG:AG,"",0)),"hh:mm"))</f>
        <v>08:00</v>
      </c>
      <c r="G3152" s="309">
        <f t="shared" si="3"/>
        <v>0.7083333333</v>
      </c>
      <c r="H3152" s="316" t="str">
        <f t="array" ref="H3152">XLOOKUP(B3152,Roster!L:L,Roster!N:N,XLOOKUP(D3152,TicketsBreak!A:A,TicketsBreak!E:E,"",0),0)</f>
        <v>09:45 - 10:00 </v>
      </c>
      <c r="I3152" s="316" t="str">
        <f t="array" ref="I3152">XLOOKUP(B3152,Roster!L:L,Roster!O:O,XLOOKUP(D3152,TicketsBreak!A:A,TicketsBreak!F:F,"",0),0)</f>
        <v>12:30 - 13:00</v>
      </c>
      <c r="J3152" s="316" t="str">
        <f t="array" ref="J3152">XLOOKUP(B3152,Roster!L:L,Roster!P:P,XLOOKUP(D3152,TicketsBreak!A:A,TicketsBreak!G:G,"",0),0)</f>
        <v>15:00 - 15:15</v>
      </c>
      <c r="K3152" s="310">
        <f t="shared" si="4"/>
        <v>46139</v>
      </c>
      <c r="L3152" s="317">
        <f t="array" ref="L3152">(XLOOKUP(D3152,Roster!F:F,Roster!D:D,"",0))</f>
        <v>32</v>
      </c>
      <c r="M3152" s="317" t="str">
        <f t="array" ref="M3152">XLOOKUP(D3152,Roster!F:F,Roster!E:E)</f>
        <v>Voice</v>
      </c>
      <c r="N3152" s="317" t="str">
        <f t="shared" ref="N3152:P3152" si="3195">LEFT(H3152,5)</f>
        <v>09:45</v>
      </c>
      <c r="O3152" s="317" t="str">
        <f t="shared" si="3195"/>
        <v>12:30</v>
      </c>
      <c r="P3152" s="317" t="str">
        <f t="shared" si="3195"/>
        <v>15:00</v>
      </c>
      <c r="Q3152" s="318">
        <f t="shared" si="3075"/>
        <v>46139.40625</v>
      </c>
      <c r="R3152" s="318">
        <f t="shared" si="2934"/>
        <v>46139.52083</v>
      </c>
      <c r="S3152" s="318">
        <f t="shared" si="8"/>
        <v>46139.625</v>
      </c>
    </row>
    <row r="3153">
      <c r="A3153" s="14" t="str">
        <f t="shared" si="1"/>
        <v>C57946139</v>
      </c>
      <c r="B3153" s="185" t="str">
        <f t="array" ref="B3153">IF(F3153="VL","",IF(F3153="Free","Free",XLOOKUP(D3153,Roster!T:T,Roster!S:S,"",0)))</f>
        <v/>
      </c>
      <c r="C3153" s="313">
        <v>46139.0</v>
      </c>
      <c r="D3153" s="314" t="s">
        <v>144</v>
      </c>
      <c r="E3153" s="307" t="str">
        <f t="array" ref="E3153">(XLOOKUP(D3153,Roster!F:F,Roster!B:B,"",0))</f>
        <v>Karen Martinez</v>
      </c>
      <c r="F3153" s="315" t="str">
        <f t="array" ref="F3153">IF(B3153=100,"Free",TEXT(XLOOKUP($D3153,OperationVoice!$A:$A,OperationVoice!AG:AG,XLOOKUP($D3153,OperationTickets!$A:$A,OperationTickets!AG:AG,"",0)),"hh:mm"))</f>
        <v>08:00</v>
      </c>
      <c r="G3153" s="309">
        <f t="shared" si="3"/>
        <v>0.7083333333</v>
      </c>
      <c r="H3153" s="316">
        <f t="array" ref="H3153">XLOOKUP(B3153,Roster!L:L,Roster!N:N,XLOOKUP(D3153,TicketsBreak!A:A,TicketsBreak!E:E,"",0),0)</f>
        <v>0.4166666667</v>
      </c>
      <c r="I3153" s="316">
        <f t="array" ref="I3153">XLOOKUP(B3153,Roster!L:L,Roster!O:O,XLOOKUP(D3153,TicketsBreak!A:A,TicketsBreak!F:F,"",0),0)</f>
        <v>0.5</v>
      </c>
      <c r="J3153" s="316">
        <f t="array" ref="J3153">XLOOKUP(B3153,Roster!L:L,Roster!P:P,XLOOKUP(D3153,TicketsBreak!A:A,TicketsBreak!G:G,"",0),0)</f>
        <v>0.625</v>
      </c>
      <c r="K3153" s="310">
        <f t="shared" si="4"/>
        <v>46139</v>
      </c>
      <c r="L3153" s="317">
        <f t="array" ref="L3153">(XLOOKUP(D3153,Roster!F:F,Roster!D:D,"",0))</f>
        <v>4</v>
      </c>
      <c r="M3153" s="317" t="str">
        <f t="array" ref="M3153">XLOOKUP(D3153,Roster!F:F,Roster!E:E)</f>
        <v>Tickets</v>
      </c>
      <c r="N3153" s="317" t="str">
        <f t="shared" ref="N3153:P3153" si="3196">LEFT(H3153,5)</f>
        <v>10:00</v>
      </c>
      <c r="O3153" s="317" t="str">
        <f t="shared" si="3196"/>
        <v>12:00</v>
      </c>
      <c r="P3153" s="317" t="str">
        <f t="shared" si="3196"/>
        <v>15:00</v>
      </c>
      <c r="Q3153" s="318">
        <f t="shared" si="3075"/>
        <v>46139.41667</v>
      </c>
      <c r="R3153" s="318">
        <f t="shared" si="2934"/>
        <v>46139.5</v>
      </c>
      <c r="S3153" s="318">
        <f t="shared" si="8"/>
        <v>46139.625</v>
      </c>
    </row>
    <row r="3154">
      <c r="A3154" s="14" t="str">
        <f t="shared" si="1"/>
        <v>C108646139</v>
      </c>
      <c r="B3154" s="185">
        <f t="array" ref="B3154">IF(F3154="VL","",IF(F3154="Free","Free",XLOOKUP(D3154,Roster!T:T,Roster!S:S,"",0)))</f>
        <v>124</v>
      </c>
      <c r="C3154" s="313">
        <v>46139.0</v>
      </c>
      <c r="D3154" s="314" t="s">
        <v>51</v>
      </c>
      <c r="E3154" s="307" t="str">
        <f t="array" ref="E3154">(XLOOKUP(D3154,Roster!F:F,Roster!B:B,"",0))</f>
        <v>Karen Panqueva</v>
      </c>
      <c r="F3154" s="315" t="str">
        <f t="array" ref="F3154">IF(B3154=100,"Free",TEXT(XLOOKUP($D3154,OperationVoice!$A:$A,OperationVoice!AG:AG,XLOOKUP($D3154,OperationTickets!$A:$A,OperationTickets!AG:AG,"",0)),"hh:mm"))</f>
        <v>08:00</v>
      </c>
      <c r="G3154" s="309">
        <f t="shared" si="3"/>
        <v>0.7083333333</v>
      </c>
      <c r="H3154" s="316" t="str">
        <f t="array" ref="H3154">XLOOKUP(B3154,Roster!L:L,Roster!N:N,XLOOKUP(D3154,TicketsBreak!A:A,TicketsBreak!E:E,"",0),0)</f>
        <v>10:00 - 10:15</v>
      </c>
      <c r="I3154" s="316" t="str">
        <f t="array" ref="I3154">XLOOKUP(B3154,Roster!L:L,Roster!O:O,XLOOKUP(D3154,TicketsBreak!A:A,TicketsBreak!F:F,"",0),0)</f>
        <v>13:00 - 13:30</v>
      </c>
      <c r="J3154" s="316" t="str">
        <f t="array" ref="J3154">XLOOKUP(B3154,Roster!L:L,Roster!P:P,XLOOKUP(D3154,TicketsBreak!A:A,TicketsBreak!G:G,"",0),0)</f>
        <v>15:30 - 15:45</v>
      </c>
      <c r="K3154" s="310">
        <f t="shared" si="4"/>
        <v>46139</v>
      </c>
      <c r="L3154" s="317">
        <f t="array" ref="L3154">(XLOOKUP(D3154,Roster!F:F,Roster!D:D,"",0))</f>
        <v>19</v>
      </c>
      <c r="M3154" s="317" t="str">
        <f t="array" ref="M3154">XLOOKUP(D3154,Roster!F:F,Roster!E:E)</f>
        <v>Voice</v>
      </c>
      <c r="N3154" s="317" t="str">
        <f t="shared" ref="N3154:P3154" si="3197">LEFT(H3154,5)</f>
        <v>10:00</v>
      </c>
      <c r="O3154" s="317" t="str">
        <f t="shared" si="3197"/>
        <v>13:00</v>
      </c>
      <c r="P3154" s="317" t="str">
        <f t="shared" si="3197"/>
        <v>15:30</v>
      </c>
      <c r="Q3154" s="318">
        <f t="shared" si="3075"/>
        <v>46139.41667</v>
      </c>
      <c r="R3154" s="318">
        <f t="shared" si="2934"/>
        <v>46139.54167</v>
      </c>
      <c r="S3154" s="318">
        <f t="shared" si="8"/>
        <v>46139.64583</v>
      </c>
    </row>
    <row r="3155">
      <c r="A3155" s="14" t="str">
        <f t="shared" si="1"/>
        <v>C149246139</v>
      </c>
      <c r="B3155" s="185">
        <f t="array" ref="B3155">IF(F3155="VL","",IF(F3155="Free","Free",XLOOKUP(D3155,Roster!T:T,Roster!S:S,"",0)))</f>
        <v>125</v>
      </c>
      <c r="C3155" s="313">
        <v>46139.0</v>
      </c>
      <c r="D3155" s="314" t="s">
        <v>52</v>
      </c>
      <c r="E3155" s="307" t="str">
        <f t="array" ref="E3155">(XLOOKUP(D3155,Roster!F:F,Roster!B:B,"",0))</f>
        <v>Karol Pineda</v>
      </c>
      <c r="F3155" s="315" t="str">
        <f t="array" ref="F3155">IF(B3155=100,"Free",TEXT(XLOOKUP($D3155,OperationVoice!$A:$A,OperationVoice!AG:AG,XLOOKUP($D3155,OperationTickets!$A:$A,OperationTickets!AG:AG,"",0)),"hh:mm"))</f>
        <v>08:00</v>
      </c>
      <c r="G3155" s="309">
        <f t="shared" si="3"/>
        <v>0.7083333333</v>
      </c>
      <c r="H3155" s="316" t="str">
        <f t="array" ref="H3155">XLOOKUP(B3155,Roster!L:L,Roster!N:N,XLOOKUP(D3155,TicketsBreak!A:A,TicketsBreak!E:E,"",0),0)</f>
        <v>10:30 - 10:45</v>
      </c>
      <c r="I3155" s="316" t="str">
        <f t="array" ref="I3155">XLOOKUP(B3155,Roster!L:L,Roster!O:O,XLOOKUP(D3155,TicketsBreak!A:A,TicketsBreak!F:F,"",0),0)</f>
        <v>13:30 - 14:00</v>
      </c>
      <c r="J3155" s="316" t="str">
        <f t="array" ref="J3155">XLOOKUP(B3155,Roster!L:L,Roster!P:P,XLOOKUP(D3155,TicketsBreak!A:A,TicketsBreak!G:G,"",0),0)</f>
        <v>15:45 - 16:00</v>
      </c>
      <c r="K3155" s="310">
        <f t="shared" si="4"/>
        <v>46139</v>
      </c>
      <c r="L3155" s="317">
        <f t="array" ref="L3155">(XLOOKUP(D3155,Roster!F:F,Roster!D:D,"",0))</f>
        <v>34</v>
      </c>
      <c r="M3155" s="317" t="str">
        <f t="array" ref="M3155">XLOOKUP(D3155,Roster!F:F,Roster!E:E)</f>
        <v>Voice</v>
      </c>
      <c r="N3155" s="317" t="str">
        <f t="shared" ref="N3155:P3155" si="3198">LEFT(H3155,5)</f>
        <v>10:30</v>
      </c>
      <c r="O3155" s="317" t="str">
        <f t="shared" si="3198"/>
        <v>13:30</v>
      </c>
      <c r="P3155" s="317" t="str">
        <f t="shared" si="3198"/>
        <v>15:45</v>
      </c>
      <c r="Q3155" s="318">
        <f t="shared" si="3075"/>
        <v>46139.4375</v>
      </c>
      <c r="R3155" s="318">
        <f t="shared" si="2934"/>
        <v>46139.5625</v>
      </c>
      <c r="S3155" s="318">
        <f t="shared" si="8"/>
        <v>46139.65625</v>
      </c>
    </row>
    <row r="3156">
      <c r="A3156" s="14" t="str">
        <f t="shared" si="1"/>
        <v>C65846139</v>
      </c>
      <c r="B3156" s="185">
        <f t="array" ref="B3156">IF(F3156="VL","",IF(F3156="Free","Free",XLOOKUP(D3156,Roster!T:T,Roster!S:S,"",0)))</f>
        <v>112</v>
      </c>
      <c r="C3156" s="313">
        <v>46139.0</v>
      </c>
      <c r="D3156" s="314" t="s">
        <v>53</v>
      </c>
      <c r="E3156" s="307" t="str">
        <f t="array" ref="E3156">(XLOOKUP(D3156,Roster!F:F,Roster!B:B,"",0))</f>
        <v>Kennedy Giraldo</v>
      </c>
      <c r="F3156" s="315" t="str">
        <f t="array" ref="F3156">IF(B3156=100,"Free",TEXT(XLOOKUP($D3156,OperationVoice!$A:$A,OperationVoice!AG:AG,XLOOKUP($D3156,OperationTickets!$A:$A,OperationTickets!AG:AG,"",0)),"hh:mm"))</f>
        <v>07:00</v>
      </c>
      <c r="G3156" s="309">
        <f t="shared" si="3"/>
        <v>0.6666666667</v>
      </c>
      <c r="H3156" s="316" t="str">
        <f t="array" ref="H3156">XLOOKUP(B3156,Roster!L:L,Roster!N:N,XLOOKUP(D3156,TicketsBreak!A:A,TicketsBreak!E:E,"",0),0)</f>
        <v>09:30 - 09:45</v>
      </c>
      <c r="I3156" s="316" t="str">
        <f t="array" ref="I3156">XLOOKUP(B3156,Roster!L:L,Roster!O:O,XLOOKUP(D3156,TicketsBreak!A:A,TicketsBreak!F:F,"",0),0)</f>
        <v>12:15 - 12:45</v>
      </c>
      <c r="J3156" s="316" t="str">
        <f t="array" ref="J3156">XLOOKUP(B3156,Roster!L:L,Roster!P:P,XLOOKUP(D3156,TicketsBreak!A:A,TicketsBreak!G:G,"",0),0)</f>
        <v>14:45 - 15:00</v>
      </c>
      <c r="K3156" s="310">
        <f t="shared" si="4"/>
        <v>46139</v>
      </c>
      <c r="L3156" s="317">
        <f t="array" ref="L3156">(XLOOKUP(D3156,Roster!F:F,Roster!D:D,"",0))</f>
        <v>2</v>
      </c>
      <c r="M3156" s="317" t="str">
        <f t="array" ref="M3156">XLOOKUP(D3156,Roster!F:F,Roster!E:E)</f>
        <v>Voice</v>
      </c>
      <c r="N3156" s="317" t="str">
        <f t="shared" ref="N3156:P3156" si="3199">LEFT(H3156,5)</f>
        <v>09:30</v>
      </c>
      <c r="O3156" s="317" t="str">
        <f t="shared" si="3199"/>
        <v>12:15</v>
      </c>
      <c r="P3156" s="317" t="str">
        <f t="shared" si="3199"/>
        <v>14:45</v>
      </c>
      <c r="Q3156" s="318">
        <f t="shared" si="3075"/>
        <v>46139.39583</v>
      </c>
      <c r="R3156" s="318">
        <f t="shared" si="2934"/>
        <v>46139.51042</v>
      </c>
      <c r="S3156" s="318">
        <f t="shared" si="8"/>
        <v>46139.61458</v>
      </c>
    </row>
    <row r="3157">
      <c r="A3157" s="14" t="str">
        <f t="shared" si="1"/>
        <v>C151446139</v>
      </c>
      <c r="B3157" s="185">
        <f t="array" ref="B3157">IF(F3157="VL","",IF(F3157="Free","Free",XLOOKUP(D3157,Roster!T:T,Roster!S:S,"",0)))</f>
        <v>122</v>
      </c>
      <c r="C3157" s="313">
        <v>46139.0</v>
      </c>
      <c r="D3157" s="314" t="s">
        <v>54</v>
      </c>
      <c r="E3157" s="307" t="str">
        <f t="array" ref="E3157">(XLOOKUP(D3157,Roster!F:F,Roster!B:B,"",0))</f>
        <v>Kevin Betancur</v>
      </c>
      <c r="F3157" s="315" t="str">
        <f t="array" ref="F3157">IF(B3157=100,"Free",TEXT(XLOOKUP($D3157,OperationVoice!$A:$A,OperationVoice!AG:AG,XLOOKUP($D3157,OperationTickets!$A:$A,OperationTickets!AG:AG,"",0)),"hh:mm"))</f>
        <v>08:00</v>
      </c>
      <c r="G3157" s="309">
        <f t="shared" si="3"/>
        <v>0.7083333333</v>
      </c>
      <c r="H3157" s="316" t="str">
        <f t="array" ref="H3157">XLOOKUP(B3157,Roster!L:L,Roster!N:N,XLOOKUP(D3157,TicketsBreak!A:A,TicketsBreak!E:E,"",0),0)</f>
        <v>09:30 - 09:45</v>
      </c>
      <c r="I3157" s="316" t="str">
        <f t="array" ref="I3157">XLOOKUP(B3157,Roster!L:L,Roster!O:O,XLOOKUP(D3157,TicketsBreak!A:A,TicketsBreak!F:F,"",0),0)</f>
        <v>12:00 - 12:30</v>
      </c>
      <c r="J3157" s="316" t="str">
        <f t="array" ref="J3157">XLOOKUP(B3157,Roster!L:L,Roster!P:P,XLOOKUP(D3157,TicketsBreak!A:A,TicketsBreak!G:G,"",0),0)</f>
        <v>14:45 - 15:00</v>
      </c>
      <c r="K3157" s="310">
        <f t="shared" si="4"/>
        <v>46139</v>
      </c>
      <c r="L3157" s="317">
        <f t="array" ref="L3157">(XLOOKUP(D3157,Roster!F:F,Roster!D:D,"",0))</f>
        <v>35</v>
      </c>
      <c r="M3157" s="317" t="str">
        <f t="array" ref="M3157">XLOOKUP(D3157,Roster!F:F,Roster!E:E)</f>
        <v>Voice</v>
      </c>
      <c r="N3157" s="317" t="str">
        <f t="shared" ref="N3157:P3157" si="3200">LEFT(H3157,5)</f>
        <v>09:30</v>
      </c>
      <c r="O3157" s="317" t="str">
        <f t="shared" si="3200"/>
        <v>12:00</v>
      </c>
      <c r="P3157" s="317" t="str">
        <f t="shared" si="3200"/>
        <v>14:45</v>
      </c>
      <c r="Q3157" s="318">
        <f t="shared" si="3075"/>
        <v>46139.39583</v>
      </c>
      <c r="R3157" s="318">
        <f t="shared" si="2934"/>
        <v>46139.5</v>
      </c>
      <c r="S3157" s="318">
        <f t="shared" si="8"/>
        <v>46139.61458</v>
      </c>
    </row>
    <row r="3158">
      <c r="A3158" s="14" t="str">
        <f t="shared" si="1"/>
        <v>C157146139</v>
      </c>
      <c r="B3158" s="185">
        <f t="array" ref="B3158">IF(F3158="VL","",IF(F3158="Free","Free",XLOOKUP(D3158,Roster!T:T,Roster!S:S,"",0)))</f>
        <v>123</v>
      </c>
      <c r="C3158" s="313">
        <v>46139.0</v>
      </c>
      <c r="D3158" s="314" t="s">
        <v>55</v>
      </c>
      <c r="E3158" s="307" t="str">
        <f t="array" ref="E3158">(XLOOKUP(D3158,Roster!F:F,Roster!B:B,"",0))</f>
        <v>Laura Chamorro</v>
      </c>
      <c r="F3158" s="315" t="str">
        <f t="array" ref="F3158">IF(B3158=100,"Free",TEXT(XLOOKUP($D3158,OperationVoice!$A:$A,OperationVoice!AG:AG,XLOOKUP($D3158,OperationTickets!$A:$A,OperationTickets!AG:AG,"",0)),"hh:mm"))</f>
        <v>08:00</v>
      </c>
      <c r="G3158" s="309">
        <f t="shared" si="3"/>
        <v>0.7083333333</v>
      </c>
      <c r="H3158" s="316" t="str">
        <f t="array" ref="H3158">XLOOKUP(B3158,Roster!L:L,Roster!N:N,XLOOKUP(D3158,TicketsBreak!A:A,TicketsBreak!E:E,"",0),0)</f>
        <v>09:45 - 10:00 </v>
      </c>
      <c r="I3158" s="316" t="str">
        <f t="array" ref="I3158">XLOOKUP(B3158,Roster!L:L,Roster!O:O,XLOOKUP(D3158,TicketsBreak!A:A,TicketsBreak!F:F,"",0),0)</f>
        <v>12:30 - 13:00</v>
      </c>
      <c r="J3158" s="316" t="str">
        <f t="array" ref="J3158">XLOOKUP(B3158,Roster!L:L,Roster!P:P,XLOOKUP(D3158,TicketsBreak!A:A,TicketsBreak!G:G,"",0),0)</f>
        <v>15:00 - 15:15</v>
      </c>
      <c r="K3158" s="310">
        <f t="shared" si="4"/>
        <v>46139</v>
      </c>
      <c r="L3158" s="317">
        <f t="array" ref="L3158">(XLOOKUP(D3158,Roster!F:F,Roster!D:D,"",0))</f>
        <v>38</v>
      </c>
      <c r="M3158" s="317" t="str">
        <f t="array" ref="M3158">XLOOKUP(D3158,Roster!F:F,Roster!E:E)</f>
        <v>Voice</v>
      </c>
      <c r="N3158" s="317" t="str">
        <f t="shared" ref="N3158:P3158" si="3201">LEFT(H3158,5)</f>
        <v>09:45</v>
      </c>
      <c r="O3158" s="317" t="str">
        <f t="shared" si="3201"/>
        <v>12:30</v>
      </c>
      <c r="P3158" s="317" t="str">
        <f t="shared" si="3201"/>
        <v>15:00</v>
      </c>
      <c r="Q3158" s="318">
        <f t="shared" si="3075"/>
        <v>46139.40625</v>
      </c>
      <c r="R3158" s="318">
        <f t="shared" si="2934"/>
        <v>46139.52083</v>
      </c>
      <c r="S3158" s="318">
        <f t="shared" si="8"/>
        <v>46139.625</v>
      </c>
    </row>
    <row r="3159">
      <c r="A3159" s="14" t="str">
        <f t="shared" si="1"/>
        <v>C53446139</v>
      </c>
      <c r="B3159" s="185" t="str">
        <f t="array" ref="B3159">IF(F3159="VL","",IF(F3159="Free","Free",XLOOKUP(D3159,Roster!T:T,Roster!S:S,"",0)))</f>
        <v/>
      </c>
      <c r="C3159" s="313">
        <v>46139.0</v>
      </c>
      <c r="D3159" s="314" t="s">
        <v>177</v>
      </c>
      <c r="E3159" s="307" t="str">
        <f t="array" ref="E3159">(XLOOKUP(D3159,Roster!F:F,Roster!B:B,"",0))</f>
        <v>Leandry La Rosa</v>
      </c>
      <c r="F3159" s="315" t="str">
        <f t="array" ref="F3159">IF(B3159=100,"Free",TEXT(XLOOKUP($D3159,OperationVoice!$A:$A,OperationVoice!AG:AG,XLOOKUP($D3159,OperationTickets!$A:$A,OperationTickets!AG:AG,"",0)),"hh:mm"))</f>
        <v>08:00</v>
      </c>
      <c r="G3159" s="309">
        <f t="shared" si="3"/>
        <v>0.7083333333</v>
      </c>
      <c r="H3159" s="316">
        <f t="array" ref="H3159">XLOOKUP(B3159,Roster!L:L,Roster!N:N,XLOOKUP(D3159,TicketsBreak!A:A,TicketsBreak!E:E,"",0),0)</f>
        <v>0.40625</v>
      </c>
      <c r="I3159" s="316">
        <f t="array" ref="I3159">XLOOKUP(B3159,Roster!L:L,Roster!O:O,XLOOKUP(D3159,TicketsBreak!A:A,TicketsBreak!F:F,"",0),0)</f>
        <v>0.5416666667</v>
      </c>
      <c r="J3159" s="316">
        <f t="array" ref="J3159">XLOOKUP(B3159,Roster!L:L,Roster!P:P,XLOOKUP(D3159,TicketsBreak!A:A,TicketsBreak!G:G,"",0),0)</f>
        <v>0.65625</v>
      </c>
      <c r="K3159" s="310">
        <f t="shared" si="4"/>
        <v>46139</v>
      </c>
      <c r="L3159" s="317">
        <f t="array" ref="L3159">(XLOOKUP(D3159,Roster!F:F,Roster!D:D,"",0))</f>
        <v>1</v>
      </c>
      <c r="M3159" s="317" t="str">
        <f t="array" ref="M3159">XLOOKUP(D3159,Roster!F:F,Roster!E:E)</f>
        <v>Tickets</v>
      </c>
      <c r="N3159" s="317" t="str">
        <f t="shared" ref="N3159:P3159" si="3202">LEFT(H3159,5)</f>
        <v>09:45</v>
      </c>
      <c r="O3159" s="317" t="str">
        <f t="shared" si="3202"/>
        <v>13:00</v>
      </c>
      <c r="P3159" s="317" t="str">
        <f t="shared" si="3202"/>
        <v>15:45</v>
      </c>
      <c r="Q3159" s="318">
        <f t="shared" si="3075"/>
        <v>46139.40625</v>
      </c>
      <c r="R3159" s="318">
        <f t="shared" si="2934"/>
        <v>46139.54167</v>
      </c>
      <c r="S3159" s="318">
        <f t="shared" si="8"/>
        <v>46139.65625</v>
      </c>
    </row>
    <row r="3160">
      <c r="A3160" s="14" t="str">
        <f t="shared" si="1"/>
        <v>C157846139</v>
      </c>
      <c r="B3160" s="185">
        <f t="array" ref="B3160">IF(F3160="VL","",IF(F3160="Free","Free",XLOOKUP(D3160,Roster!T:T,Roster!S:S,"",0)))</f>
        <v>125</v>
      </c>
      <c r="C3160" s="313">
        <v>46139.0</v>
      </c>
      <c r="D3160" s="314" t="s">
        <v>56</v>
      </c>
      <c r="E3160" s="307" t="str">
        <f t="array" ref="E3160">(XLOOKUP(D3160,Roster!F:F,Roster!B:B,"",0))</f>
        <v>Leonerrichi Caicedo</v>
      </c>
      <c r="F3160" s="315" t="str">
        <f t="array" ref="F3160">IF(B3160=100,"Free",TEXT(XLOOKUP($D3160,OperationVoice!$A:$A,OperationVoice!AG:AG,XLOOKUP($D3160,OperationTickets!$A:$A,OperationTickets!AG:AG,"",0)),"hh:mm"))</f>
        <v>08:00</v>
      </c>
      <c r="G3160" s="309">
        <f t="shared" si="3"/>
        <v>0.7083333333</v>
      </c>
      <c r="H3160" s="316" t="str">
        <f t="array" ref="H3160">XLOOKUP(B3160,Roster!L:L,Roster!N:N,XLOOKUP(D3160,TicketsBreak!A:A,TicketsBreak!E:E,"",0),0)</f>
        <v>10:30 - 10:45</v>
      </c>
      <c r="I3160" s="316" t="str">
        <f t="array" ref="I3160">XLOOKUP(B3160,Roster!L:L,Roster!O:O,XLOOKUP(D3160,TicketsBreak!A:A,TicketsBreak!F:F,"",0),0)</f>
        <v>13:30 - 14:00</v>
      </c>
      <c r="J3160" s="316" t="str">
        <f t="array" ref="J3160">XLOOKUP(B3160,Roster!L:L,Roster!P:P,XLOOKUP(D3160,TicketsBreak!A:A,TicketsBreak!G:G,"",0),0)</f>
        <v>15:45 - 16:00</v>
      </c>
      <c r="K3160" s="310">
        <f t="shared" si="4"/>
        <v>46139</v>
      </c>
      <c r="L3160" s="317">
        <f t="array" ref="L3160">(XLOOKUP(D3160,Roster!F:F,Roster!D:D,"",0))</f>
        <v>38</v>
      </c>
      <c r="M3160" s="317" t="str">
        <f t="array" ref="M3160">XLOOKUP(D3160,Roster!F:F,Roster!E:E)</f>
        <v>Voice</v>
      </c>
      <c r="N3160" s="317" t="str">
        <f t="shared" ref="N3160:P3160" si="3203">LEFT(H3160,5)</f>
        <v>10:30</v>
      </c>
      <c r="O3160" s="317" t="str">
        <f t="shared" si="3203"/>
        <v>13:30</v>
      </c>
      <c r="P3160" s="317" t="str">
        <f t="shared" si="3203"/>
        <v>15:45</v>
      </c>
      <c r="Q3160" s="318">
        <f t="shared" si="3075"/>
        <v>46139.4375</v>
      </c>
      <c r="R3160" s="318">
        <f t="shared" si="2934"/>
        <v>46139.5625</v>
      </c>
      <c r="S3160" s="318">
        <f t="shared" si="8"/>
        <v>46139.65625</v>
      </c>
    </row>
    <row r="3161">
      <c r="A3161" s="14" t="str">
        <f t="shared" si="1"/>
        <v>C53546139</v>
      </c>
      <c r="B3161" s="185" t="str">
        <f t="array" ref="B3161">IF(F3161="VL","",IF(F3161="Free","Free",XLOOKUP(D3161,Roster!T:T,Roster!S:S,"",0)))</f>
        <v/>
      </c>
      <c r="C3161" s="313">
        <v>46139.0</v>
      </c>
      <c r="D3161" s="314" t="s">
        <v>145</v>
      </c>
      <c r="E3161" s="307" t="str">
        <f t="array" ref="E3161">(XLOOKUP(D3161,Roster!F:F,Roster!B:B,"",0))</f>
        <v>Lina Cadena</v>
      </c>
      <c r="F3161" s="315" t="str">
        <f t="array" ref="F3161">IF(B3161=100,"Free",TEXT(XLOOKUP($D3161,OperationVoice!$A:$A,OperationVoice!AG:AG,XLOOKUP($D3161,OperationTickets!$A:$A,OperationTickets!AG:AG,"",0)),"hh:mm"))</f>
        <v>08:00</v>
      </c>
      <c r="G3161" s="309">
        <f t="shared" si="3"/>
        <v>0.7083333333</v>
      </c>
      <c r="H3161" s="316">
        <f t="array" ref="H3161">XLOOKUP(B3161,Roster!L:L,Roster!N:N,XLOOKUP(D3161,TicketsBreak!A:A,TicketsBreak!E:E,"",0),0)</f>
        <v>0.3854166667</v>
      </c>
      <c r="I3161" s="316">
        <f t="array" ref="I3161">XLOOKUP(B3161,Roster!L:L,Roster!O:O,XLOOKUP(D3161,TicketsBreak!A:A,TicketsBreak!F:F,"",0),0)</f>
        <v>0.5833333333</v>
      </c>
      <c r="J3161" s="316">
        <f t="array" ref="J3161">XLOOKUP(B3161,Roster!L:L,Roster!P:P,XLOOKUP(D3161,TicketsBreak!A:A,TicketsBreak!G:G,"",0),0)</f>
        <v>0.6458333333</v>
      </c>
      <c r="K3161" s="310">
        <f t="shared" si="4"/>
        <v>46139</v>
      </c>
      <c r="L3161" s="317">
        <f t="array" ref="L3161">(XLOOKUP(D3161,Roster!F:F,Roster!D:D,"",0))</f>
        <v>2</v>
      </c>
      <c r="M3161" s="317" t="str">
        <f t="array" ref="M3161">XLOOKUP(D3161,Roster!F:F,Roster!E:E)</f>
        <v>Tickets</v>
      </c>
      <c r="N3161" s="317" t="str">
        <f t="shared" ref="N3161:P3161" si="3204">LEFT(H3161,5)</f>
        <v>09:15</v>
      </c>
      <c r="O3161" s="317" t="str">
        <f t="shared" si="3204"/>
        <v>14:00</v>
      </c>
      <c r="P3161" s="317" t="str">
        <f t="shared" si="3204"/>
        <v>15:30</v>
      </c>
      <c r="Q3161" s="318">
        <f t="shared" si="3075"/>
        <v>46139.38542</v>
      </c>
      <c r="R3161" s="318">
        <f t="shared" si="2934"/>
        <v>46139.58333</v>
      </c>
      <c r="S3161" s="318">
        <f t="shared" si="8"/>
        <v>46139.64583</v>
      </c>
    </row>
    <row r="3162">
      <c r="A3162" s="14" t="str">
        <f t="shared" si="1"/>
        <v>C151746139</v>
      </c>
      <c r="B3162" s="185">
        <f t="array" ref="B3162">IF(F3162="VL","",IF(F3162="Free","Free",XLOOKUP(D3162,Roster!T:T,Roster!S:S,"",0)))</f>
        <v>124</v>
      </c>
      <c r="C3162" s="313">
        <v>46139.0</v>
      </c>
      <c r="D3162" s="314" t="s">
        <v>57</v>
      </c>
      <c r="E3162" s="307" t="str">
        <f t="array" ref="E3162">(XLOOKUP(D3162,Roster!F:F,Roster!B:B,"",0))</f>
        <v>Lisandro Alvarado</v>
      </c>
      <c r="F3162" s="315" t="str">
        <f t="array" ref="F3162">IF(B3162=100,"Free",TEXT(XLOOKUP($D3162,OperationVoice!$A:$A,OperationVoice!AG:AG,XLOOKUP($D3162,OperationTickets!$A:$A,OperationTickets!AG:AG,"",0)),"hh:mm"))</f>
        <v>08:00</v>
      </c>
      <c r="G3162" s="309">
        <f t="shared" si="3"/>
        <v>0.7083333333</v>
      </c>
      <c r="H3162" s="316" t="str">
        <f t="array" ref="H3162">XLOOKUP(B3162,Roster!L:L,Roster!N:N,XLOOKUP(D3162,TicketsBreak!A:A,TicketsBreak!E:E,"",0),0)</f>
        <v>10:00 - 10:15</v>
      </c>
      <c r="I3162" s="316" t="str">
        <f t="array" ref="I3162">XLOOKUP(B3162,Roster!L:L,Roster!O:O,XLOOKUP(D3162,TicketsBreak!A:A,TicketsBreak!F:F,"",0),0)</f>
        <v>13:00 - 13:30</v>
      </c>
      <c r="J3162" s="316" t="str">
        <f t="array" ref="J3162">XLOOKUP(B3162,Roster!L:L,Roster!P:P,XLOOKUP(D3162,TicketsBreak!A:A,TicketsBreak!G:G,"",0),0)</f>
        <v>15:30 - 15:45</v>
      </c>
      <c r="K3162" s="310">
        <f t="shared" si="4"/>
        <v>46139</v>
      </c>
      <c r="L3162" s="317">
        <f t="array" ref="L3162">(XLOOKUP(D3162,Roster!F:F,Roster!D:D,"",0))</f>
        <v>35</v>
      </c>
      <c r="M3162" s="317" t="str">
        <f t="array" ref="M3162">XLOOKUP(D3162,Roster!F:F,Roster!E:E)</f>
        <v>Voice</v>
      </c>
      <c r="N3162" s="317" t="str">
        <f t="shared" ref="N3162:P3162" si="3205">LEFT(H3162,5)</f>
        <v>10:00</v>
      </c>
      <c r="O3162" s="317" t="str">
        <f t="shared" si="3205"/>
        <v>13:00</v>
      </c>
      <c r="P3162" s="317" t="str">
        <f t="shared" si="3205"/>
        <v>15:30</v>
      </c>
      <c r="Q3162" s="318">
        <f t="shared" si="3075"/>
        <v>46139.41667</v>
      </c>
      <c r="R3162" s="318">
        <f t="shared" si="2934"/>
        <v>46139.54167</v>
      </c>
      <c r="S3162" s="318">
        <f t="shared" si="8"/>
        <v>46139.64583</v>
      </c>
    </row>
    <row r="3163">
      <c r="A3163" s="14" t="str">
        <f t="shared" si="1"/>
        <v>C143346139</v>
      </c>
      <c r="B3163" s="185">
        <f t="array" ref="B3163">IF(F3163="VL","",IF(F3163="Free","Free",XLOOKUP(D3163,Roster!T:T,Roster!S:S,"",0)))</f>
        <v>500</v>
      </c>
      <c r="C3163" s="313">
        <v>46139.0</v>
      </c>
      <c r="D3163" s="314" t="s">
        <v>58</v>
      </c>
      <c r="E3163" s="307" t="str">
        <f t="array" ref="E3163">(XLOOKUP(D3163,Roster!F:F,Roster!B:B,"",0))</f>
        <v>Luis Lopez</v>
      </c>
      <c r="F3163" s="315" t="str">
        <f t="array" ref="F3163">IF(B3163=100,"Free",TEXT(XLOOKUP($D3163,OperationVoice!$A:$A,OperationVoice!AG:AG,XLOOKUP($D3163,OperationTickets!$A:$A,OperationTickets!AG:AG,"",0)),"hh:mm"))</f>
        <v>07:00</v>
      </c>
      <c r="G3163" s="309">
        <f t="shared" si="3"/>
        <v>0.6666666667</v>
      </c>
      <c r="H3163" s="316" t="str">
        <f t="array" ref="H3163">XLOOKUP(B3163,Roster!L:L,Roster!N:N,XLOOKUP(D3163,TicketsBreak!A:A,TicketsBreak!E:E,"",0),0)</f>
        <v>Team Leader</v>
      </c>
      <c r="I3163" s="316" t="str">
        <f t="array" ref="I3163">XLOOKUP(B3163,Roster!L:L,Roster!O:O,XLOOKUP(D3163,TicketsBreak!A:A,TicketsBreak!F:F,"",0),0)</f>
        <v>Team Leader</v>
      </c>
      <c r="J3163" s="316" t="str">
        <f t="array" ref="J3163">XLOOKUP(B3163,Roster!L:L,Roster!P:P,XLOOKUP(D3163,TicketsBreak!A:A,TicketsBreak!G:G,"",0),0)</f>
        <v/>
      </c>
      <c r="K3163" s="310">
        <f t="shared" si="4"/>
        <v>46139</v>
      </c>
      <c r="L3163" s="317">
        <f t="array" ref="L3163">(XLOOKUP(D3163,Roster!F:F,Roster!D:D,"",0))</f>
        <v>32</v>
      </c>
      <c r="M3163" s="317" t="str">
        <f t="array" ref="M3163">XLOOKUP(D3163,Roster!F:F,Roster!E:E)</f>
        <v>Voice</v>
      </c>
      <c r="N3163" s="317" t="str">
        <f t="shared" ref="N3163:P3163" si="3206">LEFT(H3163,5)</f>
        <v>Team </v>
      </c>
      <c r="O3163" s="317" t="str">
        <f t="shared" si="3206"/>
        <v>Team </v>
      </c>
      <c r="P3163" s="317" t="str">
        <f t="shared" si="3206"/>
        <v/>
      </c>
      <c r="Q3163" s="318" t="str">
        <f t="shared" si="3075"/>
        <v>#VALUE!</v>
      </c>
      <c r="R3163" s="318" t="str">
        <f t="shared" si="2934"/>
        <v>#VALUE!</v>
      </c>
      <c r="S3163" s="318" t="str">
        <f t="shared" si="8"/>
        <v/>
      </c>
    </row>
    <row r="3164">
      <c r="A3164" s="14" t="str">
        <f t="shared" si="1"/>
        <v>C153446139</v>
      </c>
      <c r="B3164" s="185">
        <f t="array" ref="B3164">IF(F3164="VL","",IF(F3164="Free","Free",XLOOKUP(D3164,Roster!T:T,Roster!S:S,"",0)))</f>
        <v>126</v>
      </c>
      <c r="C3164" s="313">
        <v>46139.0</v>
      </c>
      <c r="D3164" s="314" t="s">
        <v>59</v>
      </c>
      <c r="E3164" s="307" t="str">
        <f t="array" ref="E3164">(XLOOKUP(D3164,Roster!F:F,Roster!B:B,"",0))</f>
        <v>Luis Munoz</v>
      </c>
      <c r="F3164" s="315" t="str">
        <f t="array" ref="F3164">IF(B3164=100,"Free",TEXT(XLOOKUP($D3164,OperationVoice!$A:$A,OperationVoice!AG:AG,XLOOKUP($D3164,OperationTickets!$A:$A,OperationTickets!AG:AG,"",0)),"hh:mm"))</f>
        <v>08:00</v>
      </c>
      <c r="G3164" s="309">
        <f t="shared" si="3"/>
        <v>0.7083333333</v>
      </c>
      <c r="H3164" s="316" t="str">
        <f t="array" ref="H3164">XLOOKUP(B3164,Roster!L:L,Roster!N:N,XLOOKUP(D3164,TicketsBreak!A:A,TicketsBreak!E:E,"",0),0)</f>
        <v>10:45 - 11:00</v>
      </c>
      <c r="I3164" s="316" t="str">
        <f t="array" ref="I3164">XLOOKUP(B3164,Roster!L:L,Roster!O:O,XLOOKUP(D3164,TicketsBreak!A:A,TicketsBreak!F:F,"",0),0)</f>
        <v>14:00 - 14:30</v>
      </c>
      <c r="J3164" s="316" t="str">
        <f t="array" ref="J3164">XLOOKUP(B3164,Roster!L:L,Roster!P:P,XLOOKUP(D3164,TicketsBreak!A:A,TicketsBreak!G:G,"",0),0)</f>
        <v>15:45 - 16:00</v>
      </c>
      <c r="K3164" s="310">
        <f t="shared" si="4"/>
        <v>46139</v>
      </c>
      <c r="L3164" s="317">
        <f t="array" ref="L3164">(XLOOKUP(D3164,Roster!F:F,Roster!D:D,"",0))</f>
        <v>36</v>
      </c>
      <c r="M3164" s="317" t="str">
        <f t="array" ref="M3164">XLOOKUP(D3164,Roster!F:F,Roster!E:E)</f>
        <v>Voice</v>
      </c>
      <c r="N3164" s="317" t="str">
        <f t="shared" ref="N3164:P3164" si="3207">LEFT(H3164,5)</f>
        <v>10:45</v>
      </c>
      <c r="O3164" s="317" t="str">
        <f t="shared" si="3207"/>
        <v>14:00</v>
      </c>
      <c r="P3164" s="317" t="str">
        <f t="shared" si="3207"/>
        <v>15:45</v>
      </c>
      <c r="Q3164" s="318">
        <f t="shared" si="3075"/>
        <v>46139.44792</v>
      </c>
      <c r="R3164" s="318">
        <f t="shared" si="2934"/>
        <v>46139.58333</v>
      </c>
      <c r="S3164" s="318">
        <f t="shared" si="8"/>
        <v>46139.65625</v>
      </c>
    </row>
    <row r="3165">
      <c r="A3165" s="14" t="str">
        <f t="shared" si="1"/>
        <v>C53846139</v>
      </c>
      <c r="B3165" s="185" t="str">
        <f t="array" ref="B3165">IF(F3165="VL","",IF(F3165="Free","Free",XLOOKUP(D3165,Roster!T:T,Roster!S:S,"",0)))</f>
        <v/>
      </c>
      <c r="C3165" s="313">
        <v>46139.0</v>
      </c>
      <c r="D3165" s="314" t="s">
        <v>165</v>
      </c>
      <c r="E3165" s="307" t="str">
        <f t="array" ref="E3165">(XLOOKUP(D3165,Roster!F:F,Roster!B:B,"",0))</f>
        <v>Luisa Arenas</v>
      </c>
      <c r="F3165" s="315" t="str">
        <f t="array" ref="F3165">IF(B3165=100,"Free",TEXT(XLOOKUP($D3165,OperationVoice!$A:$A,OperationVoice!AG:AG,XLOOKUP($D3165,OperationTickets!$A:$A,OperationTickets!AG:AG,"",0)),"hh:mm"))</f>
        <v>08:00</v>
      </c>
      <c r="G3165" s="309">
        <f t="shared" si="3"/>
        <v>0.7083333333</v>
      </c>
      <c r="H3165" s="316" t="str">
        <f t="array" ref="H3165">XLOOKUP(B3165,Roster!L:L,Roster!N:N,XLOOKUP(D3165,TicketsBreak!A:A,TicketsBreak!E:E,"",0),0)</f>
        <v/>
      </c>
      <c r="I3165" s="316" t="str">
        <f t="array" ref="I3165">XLOOKUP(B3165,Roster!L:L,Roster!O:O,XLOOKUP(D3165,TicketsBreak!A:A,TicketsBreak!F:F,"",0),0)</f>
        <v/>
      </c>
      <c r="J3165" s="316" t="str">
        <f t="array" ref="J3165">XLOOKUP(B3165,Roster!L:L,Roster!P:P,XLOOKUP(D3165,TicketsBreak!A:A,TicketsBreak!G:G,"",0),0)</f>
        <v/>
      </c>
      <c r="K3165" s="310">
        <f t="shared" si="4"/>
        <v>46139</v>
      </c>
      <c r="L3165" s="317">
        <f t="array" ref="L3165">(XLOOKUP(D3165,Roster!F:F,Roster!D:D,"",0))</f>
        <v>35</v>
      </c>
      <c r="M3165" s="317" t="str">
        <f t="array" ref="M3165">XLOOKUP(D3165,Roster!F:F,Roster!E:E)</f>
        <v>Tickets</v>
      </c>
      <c r="N3165" s="317" t="str">
        <f t="shared" ref="N3165:P3165" si="3208">LEFT(H3165,5)</f>
        <v/>
      </c>
      <c r="O3165" s="317" t="str">
        <f t="shared" si="3208"/>
        <v/>
      </c>
      <c r="P3165" s="317" t="str">
        <f t="shared" si="3208"/>
        <v/>
      </c>
      <c r="Q3165" s="318" t="str">
        <f t="shared" si="3075"/>
        <v/>
      </c>
      <c r="R3165" s="318" t="str">
        <f t="shared" si="2934"/>
        <v/>
      </c>
      <c r="S3165" s="318" t="str">
        <f t="shared" si="8"/>
        <v/>
      </c>
    </row>
    <row r="3166">
      <c r="A3166" s="14" t="str">
        <f t="shared" si="1"/>
        <v>C113646139</v>
      </c>
      <c r="B3166" s="185">
        <f t="array" ref="B3166">IF(F3166="VL","",IF(F3166="Free","Free",XLOOKUP(D3166,Roster!T:T,Roster!S:S,"",0)))</f>
        <v>126</v>
      </c>
      <c r="C3166" s="313">
        <v>46139.0</v>
      </c>
      <c r="D3166" s="314" t="s">
        <v>60</v>
      </c>
      <c r="E3166" s="307" t="str">
        <f t="array" ref="E3166">(XLOOKUP(D3166,Roster!F:F,Roster!B:B,"",0))</f>
        <v>Luisa Gonzalez</v>
      </c>
      <c r="F3166" s="315" t="str">
        <f t="array" ref="F3166">IF(B3166=100,"Free",TEXT(XLOOKUP($D3166,OperationVoice!$A:$A,OperationVoice!AG:AG,XLOOKUP($D3166,OperationTickets!$A:$A,OperationTickets!AG:AG,"",0)),"hh:mm"))</f>
        <v>08:00</v>
      </c>
      <c r="G3166" s="309">
        <f t="shared" si="3"/>
        <v>0.7083333333</v>
      </c>
      <c r="H3166" s="316" t="str">
        <f t="array" ref="H3166">XLOOKUP(B3166,Roster!L:L,Roster!N:N,XLOOKUP(D3166,TicketsBreak!A:A,TicketsBreak!E:E,"",0),0)</f>
        <v>10:45 - 11:00</v>
      </c>
      <c r="I3166" s="316" t="str">
        <f t="array" ref="I3166">XLOOKUP(B3166,Roster!L:L,Roster!O:O,XLOOKUP(D3166,TicketsBreak!A:A,TicketsBreak!F:F,"",0),0)</f>
        <v>14:00 - 14:30</v>
      </c>
      <c r="J3166" s="316" t="str">
        <f t="array" ref="J3166">XLOOKUP(B3166,Roster!L:L,Roster!P:P,XLOOKUP(D3166,TicketsBreak!A:A,TicketsBreak!G:G,"",0),0)</f>
        <v>15:45 - 16:00</v>
      </c>
      <c r="K3166" s="310">
        <f t="shared" si="4"/>
        <v>46139</v>
      </c>
      <c r="L3166" s="317">
        <f t="array" ref="L3166">(XLOOKUP(D3166,Roster!F:F,Roster!D:D,"",0))</f>
        <v>22</v>
      </c>
      <c r="M3166" s="317" t="str">
        <f t="array" ref="M3166">XLOOKUP(D3166,Roster!F:F,Roster!E:E)</f>
        <v>Voice</v>
      </c>
      <c r="N3166" s="317" t="str">
        <f t="shared" ref="N3166:P3166" si="3209">LEFT(H3166,5)</f>
        <v>10:45</v>
      </c>
      <c r="O3166" s="317" t="str">
        <f t="shared" si="3209"/>
        <v>14:00</v>
      </c>
      <c r="P3166" s="317" t="str">
        <f t="shared" si="3209"/>
        <v>15:45</v>
      </c>
      <c r="Q3166" s="318">
        <f t="shared" si="3075"/>
        <v>46139.44792</v>
      </c>
      <c r="R3166" s="318">
        <f t="shared" si="2934"/>
        <v>46139.58333</v>
      </c>
      <c r="S3166" s="318">
        <f t="shared" si="8"/>
        <v>46139.65625</v>
      </c>
    </row>
    <row r="3167">
      <c r="A3167" s="14" t="str">
        <f t="shared" si="1"/>
        <v>C157746139</v>
      </c>
      <c r="B3167" s="185">
        <f t="array" ref="B3167">IF(F3167="VL","",IF(F3167="Free","Free",XLOOKUP(D3167,Roster!T:T,Roster!S:S,"",0)))</f>
        <v>126</v>
      </c>
      <c r="C3167" s="313">
        <v>46139.0</v>
      </c>
      <c r="D3167" s="314" t="s">
        <v>61</v>
      </c>
      <c r="E3167" s="307" t="str">
        <f t="array" ref="E3167">(XLOOKUP(D3167,Roster!F:F,Roster!B:B,"",0))</f>
        <v>Luna Morales</v>
      </c>
      <c r="F3167" s="315" t="str">
        <f t="array" ref="F3167">IF(B3167=100,"Free",TEXT(XLOOKUP($D3167,OperationVoice!$A:$A,OperationVoice!AG:AG,XLOOKUP($D3167,OperationTickets!$A:$A,OperationTickets!AG:AG,"",0)),"hh:mm"))</f>
        <v>08:00</v>
      </c>
      <c r="G3167" s="309">
        <f t="shared" si="3"/>
        <v>0.7083333333</v>
      </c>
      <c r="H3167" s="316" t="str">
        <f t="array" ref="H3167">XLOOKUP(B3167,Roster!L:L,Roster!N:N,XLOOKUP(D3167,TicketsBreak!A:A,TicketsBreak!E:E,"",0),0)</f>
        <v>10:45 - 11:00</v>
      </c>
      <c r="I3167" s="316" t="str">
        <f t="array" ref="I3167">XLOOKUP(B3167,Roster!L:L,Roster!O:O,XLOOKUP(D3167,TicketsBreak!A:A,TicketsBreak!F:F,"",0),0)</f>
        <v>14:00 - 14:30</v>
      </c>
      <c r="J3167" s="316" t="str">
        <f t="array" ref="J3167">XLOOKUP(B3167,Roster!L:L,Roster!P:P,XLOOKUP(D3167,TicketsBreak!A:A,TicketsBreak!G:G,"",0),0)</f>
        <v>15:45 - 16:00</v>
      </c>
      <c r="K3167" s="310">
        <f t="shared" si="4"/>
        <v>46139</v>
      </c>
      <c r="L3167" s="317">
        <f t="array" ref="L3167">(XLOOKUP(D3167,Roster!F:F,Roster!D:D,"",0))</f>
        <v>38</v>
      </c>
      <c r="M3167" s="317" t="str">
        <f t="array" ref="M3167">XLOOKUP(D3167,Roster!F:F,Roster!E:E)</f>
        <v>Voice</v>
      </c>
      <c r="N3167" s="317" t="str">
        <f t="shared" ref="N3167:P3167" si="3210">LEFT(H3167,5)</f>
        <v>10:45</v>
      </c>
      <c r="O3167" s="317" t="str">
        <f t="shared" si="3210"/>
        <v>14:00</v>
      </c>
      <c r="P3167" s="317" t="str">
        <f t="shared" si="3210"/>
        <v>15:45</v>
      </c>
      <c r="Q3167" s="318">
        <f t="shared" si="3075"/>
        <v>46139.44792</v>
      </c>
      <c r="R3167" s="318">
        <f t="shared" si="2934"/>
        <v>46139.58333</v>
      </c>
      <c r="S3167" s="318">
        <f t="shared" si="8"/>
        <v>46139.65625</v>
      </c>
    </row>
    <row r="3168">
      <c r="A3168" s="14" t="str">
        <f t="shared" si="1"/>
        <v>C121946139</v>
      </c>
      <c r="B3168" s="185" t="str">
        <f t="array" ref="B3168">IF(F3168="VL","",IF(F3168="Free","Free",XLOOKUP(D3168,Roster!T:T,Roster!S:S,"",0)))</f>
        <v/>
      </c>
      <c r="C3168" s="313">
        <v>46139.0</v>
      </c>
      <c r="D3168" s="314" t="s">
        <v>146</v>
      </c>
      <c r="E3168" s="307" t="str">
        <f t="array" ref="E3168">(XLOOKUP(D3168,Roster!F:F,Roster!B:B,"",0))</f>
        <v>Madelyn Jaramillo</v>
      </c>
      <c r="F3168" s="315" t="str">
        <f t="array" ref="F3168">IF(B3168=100,"Free",TEXT(XLOOKUP($D3168,OperationVoice!$A:$A,OperationVoice!AG:AG,XLOOKUP($D3168,OperationTickets!$A:$A,OperationTickets!AG:AG,"",0)),"hh:mm"))</f>
        <v>08:00</v>
      </c>
      <c r="G3168" s="309">
        <f t="shared" si="3"/>
        <v>0.7083333333</v>
      </c>
      <c r="H3168" s="316" t="str">
        <f t="array" ref="H3168">XLOOKUP(B3168,Roster!L:L,Roster!N:N,XLOOKUP(D3168,TicketsBreak!A:A,TicketsBreak!E:E,"",0),0)</f>
        <v/>
      </c>
      <c r="I3168" s="316" t="str">
        <f t="array" ref="I3168">XLOOKUP(B3168,Roster!L:L,Roster!O:O,XLOOKUP(D3168,TicketsBreak!A:A,TicketsBreak!F:F,"",0),0)</f>
        <v/>
      </c>
      <c r="J3168" s="316" t="str">
        <f t="array" ref="J3168">XLOOKUP(B3168,Roster!L:L,Roster!P:P,XLOOKUP(D3168,TicketsBreak!A:A,TicketsBreak!G:G,"",0),0)</f>
        <v/>
      </c>
      <c r="K3168" s="310">
        <f t="shared" si="4"/>
        <v>46139</v>
      </c>
      <c r="L3168" s="317">
        <f t="array" ref="L3168">(XLOOKUP(D3168,Roster!F:F,Roster!D:D,"",0))</f>
        <v>26</v>
      </c>
      <c r="M3168" s="317" t="str">
        <f t="array" ref="M3168">XLOOKUP(D3168,Roster!F:F,Roster!E:E)</f>
        <v>Tickets</v>
      </c>
      <c r="N3168" s="317" t="str">
        <f t="shared" ref="N3168:P3168" si="3211">LEFT(H3168,5)</f>
        <v/>
      </c>
      <c r="O3168" s="317" t="str">
        <f t="shared" si="3211"/>
        <v/>
      </c>
      <c r="P3168" s="317" t="str">
        <f t="shared" si="3211"/>
        <v/>
      </c>
      <c r="Q3168" s="318" t="str">
        <f t="shared" si="3075"/>
        <v/>
      </c>
      <c r="R3168" s="318" t="str">
        <f t="shared" si="2934"/>
        <v/>
      </c>
      <c r="S3168" s="318" t="str">
        <f t="shared" si="8"/>
        <v/>
      </c>
    </row>
    <row r="3169">
      <c r="A3169" s="14" t="str">
        <f t="shared" si="1"/>
        <v>C151646139</v>
      </c>
      <c r="B3169" s="185">
        <f t="array" ref="B3169">IF(F3169="VL","",IF(F3169="Free","Free",XLOOKUP(D3169,Roster!T:T,Roster!S:S,"",0)))</f>
        <v>122</v>
      </c>
      <c r="C3169" s="313">
        <v>46139.0</v>
      </c>
      <c r="D3169" s="314" t="s">
        <v>62</v>
      </c>
      <c r="E3169" s="307" t="str">
        <f t="array" ref="E3169">(XLOOKUP(D3169,Roster!F:F,Roster!B:B,"",0))</f>
        <v>Magda Foronda</v>
      </c>
      <c r="F3169" s="315" t="str">
        <f t="array" ref="F3169">IF(B3169=100,"Free",TEXT(XLOOKUP($D3169,OperationVoice!$A:$A,OperationVoice!AG:AG,XLOOKUP($D3169,OperationTickets!$A:$A,OperationTickets!AG:AG,"",0)),"hh:mm"))</f>
        <v>08:00</v>
      </c>
      <c r="G3169" s="309">
        <f t="shared" si="3"/>
        <v>0.7083333333</v>
      </c>
      <c r="H3169" s="316" t="str">
        <f t="array" ref="H3169">XLOOKUP(B3169,Roster!L:L,Roster!N:N,XLOOKUP(D3169,TicketsBreak!A:A,TicketsBreak!E:E,"",0),0)</f>
        <v>09:30 - 09:45</v>
      </c>
      <c r="I3169" s="316" t="str">
        <f t="array" ref="I3169">XLOOKUP(B3169,Roster!L:L,Roster!O:O,XLOOKUP(D3169,TicketsBreak!A:A,TicketsBreak!F:F,"",0),0)</f>
        <v>12:00 - 12:30</v>
      </c>
      <c r="J3169" s="316" t="str">
        <f t="array" ref="J3169">XLOOKUP(B3169,Roster!L:L,Roster!P:P,XLOOKUP(D3169,TicketsBreak!A:A,TicketsBreak!G:G,"",0),0)</f>
        <v>14:45 - 15:00</v>
      </c>
      <c r="K3169" s="310">
        <f t="shared" si="4"/>
        <v>46139</v>
      </c>
      <c r="L3169" s="317">
        <f t="array" ref="L3169">(XLOOKUP(D3169,Roster!F:F,Roster!D:D,"",0))</f>
        <v>35</v>
      </c>
      <c r="M3169" s="317" t="str">
        <f t="array" ref="M3169">XLOOKUP(D3169,Roster!F:F,Roster!E:E)</f>
        <v>Voice</v>
      </c>
      <c r="N3169" s="317" t="str">
        <f t="shared" ref="N3169:P3169" si="3212">LEFT(H3169,5)</f>
        <v>09:30</v>
      </c>
      <c r="O3169" s="317" t="str">
        <f t="shared" si="3212"/>
        <v>12:00</v>
      </c>
      <c r="P3169" s="317" t="str">
        <f t="shared" si="3212"/>
        <v>14:45</v>
      </c>
      <c r="Q3169" s="318">
        <f t="shared" si="3075"/>
        <v>46139.39583</v>
      </c>
      <c r="R3169" s="318">
        <f t="shared" si="2934"/>
        <v>46139.5</v>
      </c>
      <c r="S3169" s="318">
        <f t="shared" si="8"/>
        <v>46139.61458</v>
      </c>
    </row>
    <row r="3170">
      <c r="A3170" s="14" t="str">
        <f t="shared" si="1"/>
        <v>C118046139</v>
      </c>
      <c r="B3170" s="185">
        <f t="array" ref="B3170">IF(F3170="VL","",IF(F3170="Free","Free",XLOOKUP(D3170,Roster!T:T,Roster!S:S,"",0)))</f>
        <v>500</v>
      </c>
      <c r="C3170" s="313">
        <v>46139.0</v>
      </c>
      <c r="D3170" s="314" t="s">
        <v>147</v>
      </c>
      <c r="E3170" s="307" t="str">
        <f t="array" ref="E3170">(XLOOKUP(D3170,Roster!F:F,Roster!B:B,"",0))</f>
        <v>Manuela Moreno</v>
      </c>
      <c r="F3170" s="315" t="str">
        <f t="array" ref="F3170">IF(B3170=100,"Free",TEXT(XLOOKUP($D3170,OperationVoice!$A:$A,OperationVoice!AG:AG,XLOOKUP($D3170,OperationTickets!$A:$A,OperationTickets!AG:AG,"",0)),"hh:mm"))</f>
        <v>09:00</v>
      </c>
      <c r="G3170" s="309">
        <f t="shared" si="3"/>
        <v>0.75</v>
      </c>
      <c r="H3170" s="316" t="str">
        <f t="array" ref="H3170">XLOOKUP(B3170,Roster!L:L,Roster!N:N,XLOOKUP(D3170,TicketsBreak!A:A,TicketsBreak!E:E,"",0),0)</f>
        <v>Team Leader</v>
      </c>
      <c r="I3170" s="316" t="str">
        <f t="array" ref="I3170">XLOOKUP(B3170,Roster!L:L,Roster!O:O,XLOOKUP(D3170,TicketsBreak!A:A,TicketsBreak!F:F,"",0),0)</f>
        <v>Team Leader</v>
      </c>
      <c r="J3170" s="316" t="str">
        <f t="array" ref="J3170">XLOOKUP(B3170,Roster!L:L,Roster!P:P,XLOOKUP(D3170,TicketsBreak!A:A,TicketsBreak!G:G,"",0),0)</f>
        <v/>
      </c>
      <c r="K3170" s="310">
        <f t="shared" si="4"/>
        <v>46139</v>
      </c>
      <c r="L3170" s="317">
        <f t="array" ref="L3170">(XLOOKUP(D3170,Roster!F:F,Roster!D:D,"",0))</f>
        <v>24</v>
      </c>
      <c r="M3170" s="317" t="str">
        <f t="array" ref="M3170">XLOOKUP(D3170,Roster!F:F,Roster!E:E)</f>
        <v>Tickets</v>
      </c>
      <c r="N3170" s="317" t="str">
        <f t="shared" ref="N3170:P3170" si="3213">LEFT(H3170,5)</f>
        <v>Team </v>
      </c>
      <c r="O3170" s="317" t="str">
        <f t="shared" si="3213"/>
        <v>Team </v>
      </c>
      <c r="P3170" s="317" t="str">
        <f t="shared" si="3213"/>
        <v/>
      </c>
      <c r="Q3170" s="318" t="str">
        <f>IF(P3170="","",$C3170+N3170)</f>
        <v/>
      </c>
      <c r="R3170" s="318" t="str">
        <f>if(P3170="","",$C3170+O3170)</f>
        <v/>
      </c>
      <c r="S3170" s="318" t="str">
        <f t="shared" si="8"/>
        <v/>
      </c>
    </row>
    <row r="3171">
      <c r="A3171" s="14" t="str">
        <f t="shared" si="1"/>
        <v>C153646139</v>
      </c>
      <c r="B3171" s="185">
        <f t="array" ref="B3171">IF(F3171="VL","",IF(F3171="Free","Free",XLOOKUP(D3171,Roster!T:T,Roster!S:S,"",0)))</f>
        <v>121</v>
      </c>
      <c r="C3171" s="313">
        <v>46139.0</v>
      </c>
      <c r="D3171" s="314" t="s">
        <v>63</v>
      </c>
      <c r="E3171" s="307" t="str">
        <f t="array" ref="E3171">(XLOOKUP(D3171,Roster!F:F,Roster!B:B,"",0))</f>
        <v>Maria Mesa</v>
      </c>
      <c r="F3171" s="315" t="str">
        <f t="array" ref="F3171">IF(B3171=100,"Free",TEXT(XLOOKUP($D3171,OperationVoice!$A:$A,OperationVoice!AG:AG,XLOOKUP($D3171,OperationTickets!$A:$A,OperationTickets!AG:AG,"",0)),"hh:mm"))</f>
        <v>08:00</v>
      </c>
      <c r="G3171" s="309">
        <f t="shared" si="3"/>
        <v>0.7083333333</v>
      </c>
      <c r="H3171" s="316" t="str">
        <f t="array" ref="H3171">XLOOKUP(B3171,Roster!L:L,Roster!N:N,XLOOKUP(D3171,TicketsBreak!A:A,TicketsBreak!E:E,"",0),0)</f>
        <v>09:15 - 09:30</v>
      </c>
      <c r="I3171" s="316" t="str">
        <f t="array" ref="I3171">XLOOKUP(B3171,Roster!L:L,Roster!O:O,XLOOKUP(D3171,TicketsBreak!A:A,TicketsBreak!F:F,"",0),0)</f>
        <v>11:30 - 12:00</v>
      </c>
      <c r="J3171" s="316" t="str">
        <f t="array" ref="J3171">XLOOKUP(B3171,Roster!L:L,Roster!P:P,XLOOKUP(D3171,TicketsBreak!A:A,TicketsBreak!G:G,"",0),0)</f>
        <v>14:30 - 14:45</v>
      </c>
      <c r="K3171" s="310">
        <f t="shared" si="4"/>
        <v>46139</v>
      </c>
      <c r="L3171" s="317">
        <f t="array" ref="L3171">(XLOOKUP(D3171,Roster!F:F,Roster!D:D,"",0))</f>
        <v>36</v>
      </c>
      <c r="M3171" s="317" t="str">
        <f t="array" ref="M3171">XLOOKUP(D3171,Roster!F:F,Roster!E:E)</f>
        <v>Voice</v>
      </c>
      <c r="N3171" s="317" t="str">
        <f t="shared" ref="N3171:P3171" si="3214">LEFT(H3171,5)</f>
        <v>09:15</v>
      </c>
      <c r="O3171" s="317" t="str">
        <f t="shared" si="3214"/>
        <v>11:30</v>
      </c>
      <c r="P3171" s="317" t="str">
        <f t="shared" si="3214"/>
        <v>14:30</v>
      </c>
      <c r="Q3171" s="318">
        <f t="shared" ref="Q3171:Q3309" si="3216">IF(N3171="","",$C3171+N3171)</f>
        <v>46139.38542</v>
      </c>
      <c r="R3171" s="318">
        <f t="shared" ref="R3171:R3309" si="3217">if(O3171="","",$C3171+O3171)</f>
        <v>46139.47917</v>
      </c>
      <c r="S3171" s="318">
        <f t="shared" si="8"/>
        <v>46139.60417</v>
      </c>
    </row>
    <row r="3172">
      <c r="A3172" s="14" t="str">
        <f t="shared" si="1"/>
        <v>C74046139</v>
      </c>
      <c r="B3172" s="185" t="str">
        <f t="array" ref="B3172">IF(F3172="VL","",IF(F3172="Free","Free",XLOOKUP(D3172,Roster!T:T,Roster!S:S,"",0)))</f>
        <v/>
      </c>
      <c r="C3172" s="313">
        <v>46139.0</v>
      </c>
      <c r="D3172" s="314" t="s">
        <v>166</v>
      </c>
      <c r="E3172" s="307" t="str">
        <f t="array" ref="E3172">(XLOOKUP(D3172,Roster!F:F,Roster!B:B,"",0))</f>
        <v>Mateo Agudelo</v>
      </c>
      <c r="F3172" s="315" t="str">
        <f t="array" ref="F3172">IF(B3172=100,"Free",TEXT(XLOOKUP($D3172,OperationVoice!$A:$A,OperationVoice!AG:AG,XLOOKUP($D3172,OperationTickets!$A:$A,OperationTickets!AG:AG,"",0)),"hh:mm"))</f>
        <v>VL</v>
      </c>
      <c r="G3172" s="309" t="str">
        <f t="shared" si="3"/>
        <v>VL</v>
      </c>
      <c r="H3172" s="316">
        <f t="array" ref="H3172">XLOOKUP(B3172,Roster!L:L,Roster!N:N,XLOOKUP(D3172,TicketsBreak!A:A,TicketsBreak!E:E,"",0),0)</f>
        <v>0.4166666667</v>
      </c>
      <c r="I3172" s="316">
        <f t="array" ref="I3172">XLOOKUP(B3172,Roster!L:L,Roster!O:O,XLOOKUP(D3172,TicketsBreak!A:A,TicketsBreak!F:F,"",0),0)</f>
        <v>0.5</v>
      </c>
      <c r="J3172" s="316">
        <f t="array" ref="J3172">XLOOKUP(B3172,Roster!L:L,Roster!P:P,XLOOKUP(D3172,TicketsBreak!A:A,TicketsBreak!G:G,"",0),0)</f>
        <v>0.65625</v>
      </c>
      <c r="K3172" s="310">
        <f t="shared" si="4"/>
        <v>46139</v>
      </c>
      <c r="L3172" s="317">
        <f t="array" ref="L3172">(XLOOKUP(D3172,Roster!F:F,Roster!D:D,"",0))</f>
        <v>8</v>
      </c>
      <c r="M3172" s="317" t="str">
        <f t="array" ref="M3172">XLOOKUP(D3172,Roster!F:F,Roster!E:E)</f>
        <v>Tickets</v>
      </c>
      <c r="N3172" s="317" t="str">
        <f t="shared" ref="N3172:P3172" si="3215">LEFT(H3172,5)</f>
        <v>10:00</v>
      </c>
      <c r="O3172" s="317" t="str">
        <f t="shared" si="3215"/>
        <v>12:00</v>
      </c>
      <c r="P3172" s="317" t="str">
        <f t="shared" si="3215"/>
        <v>15:45</v>
      </c>
      <c r="Q3172" s="318">
        <f t="shared" si="3216"/>
        <v>46139.41667</v>
      </c>
      <c r="R3172" s="318">
        <f t="shared" si="3217"/>
        <v>46139.5</v>
      </c>
      <c r="S3172" s="318">
        <f t="shared" si="8"/>
        <v>46139.65625</v>
      </c>
    </row>
    <row r="3173">
      <c r="A3173" s="14" t="str">
        <f t="shared" si="1"/>
        <v>C142946139</v>
      </c>
      <c r="B3173" s="185">
        <f t="array" ref="B3173">IF(F3173="VL","",IF(F3173="Free","Free",XLOOKUP(D3173,Roster!T:T,Roster!S:S,"",0)))</f>
        <v>121</v>
      </c>
      <c r="C3173" s="313">
        <v>46139.0</v>
      </c>
      <c r="D3173" s="314" t="s">
        <v>178</v>
      </c>
      <c r="E3173" s="307" t="str">
        <f t="array" ref="E3173">(XLOOKUP(D3173,Roster!F:F,Roster!B:B,"",0))</f>
        <v>Mateo Vanegas</v>
      </c>
      <c r="F3173" s="315" t="str">
        <f t="array" ref="F3173">IF(B3173=100,"Free",TEXT(XLOOKUP($D3173,OperationVoice!$A:$A,OperationVoice!AG:AG,XLOOKUP($D3173,OperationTickets!$A:$A,OperationTickets!AG:AG,"",0)),"hh:mm"))</f>
        <v>08:00</v>
      </c>
      <c r="G3173" s="309">
        <f t="shared" si="3"/>
        <v>0.7083333333</v>
      </c>
      <c r="H3173" s="316" t="str">
        <f t="array" ref="H3173">XLOOKUP(B3173,Roster!L:L,Roster!N:N,XLOOKUP(D3173,TicketsBreak!A:A,TicketsBreak!E:E,"",0),0)</f>
        <v>09:15 - 09:30</v>
      </c>
      <c r="I3173" s="316" t="str">
        <f t="array" ref="I3173">XLOOKUP(B3173,Roster!L:L,Roster!O:O,XLOOKUP(D3173,TicketsBreak!A:A,TicketsBreak!F:F,"",0),0)</f>
        <v>11:30 - 12:00</v>
      </c>
      <c r="J3173" s="316" t="str">
        <f t="array" ref="J3173">XLOOKUP(B3173,Roster!L:L,Roster!P:P,XLOOKUP(D3173,TicketsBreak!A:A,TicketsBreak!G:G,"",0),0)</f>
        <v>14:30 - 14:45</v>
      </c>
      <c r="K3173" s="310">
        <f t="shared" si="4"/>
        <v>46139</v>
      </c>
      <c r="L3173" s="317">
        <f t="array" ref="L3173">(XLOOKUP(D3173,Roster!F:F,Roster!D:D,"",0))</f>
        <v>32</v>
      </c>
      <c r="M3173" s="317" t="str">
        <f t="array" ref="M3173">XLOOKUP(D3173,Roster!F:F,Roster!E:E)</f>
        <v>Tickets</v>
      </c>
      <c r="N3173" s="317" t="str">
        <f t="shared" ref="N3173:P3173" si="3218">LEFT(H3173,5)</f>
        <v>09:15</v>
      </c>
      <c r="O3173" s="317" t="str">
        <f t="shared" si="3218"/>
        <v>11:30</v>
      </c>
      <c r="P3173" s="317" t="str">
        <f t="shared" si="3218"/>
        <v>14:30</v>
      </c>
      <c r="Q3173" s="318">
        <f t="shared" si="3216"/>
        <v>46139.38542</v>
      </c>
      <c r="R3173" s="318">
        <f t="shared" si="3217"/>
        <v>46139.47917</v>
      </c>
      <c r="S3173" s="318">
        <f t="shared" si="8"/>
        <v>46139.60417</v>
      </c>
    </row>
    <row r="3174">
      <c r="A3174" s="14" t="str">
        <f t="shared" si="1"/>
        <v>C146846139</v>
      </c>
      <c r="B3174" s="185">
        <f t="array" ref="B3174">IF(F3174="VL","",IF(F3174="Free","Free",XLOOKUP(D3174,Roster!T:T,Roster!S:S,"",0)))</f>
        <v>122</v>
      </c>
      <c r="C3174" s="313">
        <v>46139.0</v>
      </c>
      <c r="D3174" s="314" t="s">
        <v>64</v>
      </c>
      <c r="E3174" s="307" t="str">
        <f t="array" ref="E3174">(XLOOKUP(D3174,Roster!F:F,Roster!B:B,"",0))</f>
        <v>Miguel Betancur</v>
      </c>
      <c r="F3174" s="315" t="str">
        <f t="array" ref="F3174">IF(B3174=100,"Free",TEXT(XLOOKUP($D3174,OperationVoice!$A:$A,OperationVoice!AG:AG,XLOOKUP($D3174,OperationTickets!$A:$A,OperationTickets!AG:AG,"",0)),"hh:mm"))</f>
        <v>08:00</v>
      </c>
      <c r="G3174" s="309">
        <f t="shared" si="3"/>
        <v>0.7083333333</v>
      </c>
      <c r="H3174" s="316" t="str">
        <f t="array" ref="H3174">XLOOKUP(B3174,Roster!L:L,Roster!N:N,XLOOKUP(D3174,TicketsBreak!A:A,TicketsBreak!E:E,"",0),0)</f>
        <v>09:30 - 09:45</v>
      </c>
      <c r="I3174" s="316" t="str">
        <f t="array" ref="I3174">XLOOKUP(B3174,Roster!L:L,Roster!O:O,XLOOKUP(D3174,TicketsBreak!A:A,TicketsBreak!F:F,"",0),0)</f>
        <v>12:00 - 12:30</v>
      </c>
      <c r="J3174" s="316" t="str">
        <f t="array" ref="J3174">XLOOKUP(B3174,Roster!L:L,Roster!P:P,XLOOKUP(D3174,TicketsBreak!A:A,TicketsBreak!G:G,"",0),0)</f>
        <v>14:45 - 15:00</v>
      </c>
      <c r="K3174" s="310">
        <f t="shared" si="4"/>
        <v>46139</v>
      </c>
      <c r="L3174" s="317">
        <f t="array" ref="L3174">(XLOOKUP(D3174,Roster!F:F,Roster!D:D,"",0))</f>
        <v>33</v>
      </c>
      <c r="M3174" s="317" t="str">
        <f t="array" ref="M3174">XLOOKUP(D3174,Roster!F:F,Roster!E:E)</f>
        <v>Voice</v>
      </c>
      <c r="N3174" s="317" t="str">
        <f t="shared" ref="N3174:P3174" si="3219">LEFT(H3174,5)</f>
        <v>09:30</v>
      </c>
      <c r="O3174" s="317" t="str">
        <f t="shared" si="3219"/>
        <v>12:00</v>
      </c>
      <c r="P3174" s="317" t="str">
        <f t="shared" si="3219"/>
        <v>14:45</v>
      </c>
      <c r="Q3174" s="318">
        <f t="shared" si="3216"/>
        <v>46139.39583</v>
      </c>
      <c r="R3174" s="318">
        <f t="shared" si="3217"/>
        <v>46139.5</v>
      </c>
      <c r="S3174" s="318">
        <f t="shared" si="8"/>
        <v>46139.61458</v>
      </c>
    </row>
    <row r="3175">
      <c r="A3175" s="14" t="str">
        <f t="shared" si="1"/>
        <v>C106546139</v>
      </c>
      <c r="B3175" s="185" t="str">
        <f t="array" ref="B3175">IF(F3175="VL","",IF(F3175="Free","Free",XLOOKUP(D3175,Roster!T:T,Roster!S:S,"",0)))</f>
        <v/>
      </c>
      <c r="C3175" s="313">
        <v>46139.0</v>
      </c>
      <c r="D3175" s="314" t="s">
        <v>148</v>
      </c>
      <c r="E3175" s="307" t="str">
        <f t="array" ref="E3175">(XLOOKUP(D3175,Roster!F:F,Roster!B:B,"",0))</f>
        <v>Miguel Hoyos</v>
      </c>
      <c r="F3175" s="315" t="str">
        <f t="array" ref="F3175">IF(B3175=100,"Free",TEXT(XLOOKUP($D3175,OperationVoice!$A:$A,OperationVoice!AG:AG,XLOOKUP($D3175,OperationTickets!$A:$A,OperationTickets!AG:AG,"",0)),"hh:mm"))</f>
        <v>07:00</v>
      </c>
      <c r="G3175" s="309">
        <f t="shared" si="3"/>
        <v>0.6666666667</v>
      </c>
      <c r="H3175" s="316">
        <f t="array" ref="H3175">XLOOKUP(B3175,Roster!L:L,Roster!N:N,XLOOKUP(D3175,TicketsBreak!A:A,TicketsBreak!E:E,"",0),0)</f>
        <v>0.4583333333</v>
      </c>
      <c r="I3175" s="316">
        <f t="array" ref="I3175">XLOOKUP(B3175,Roster!L:L,Roster!O:O,XLOOKUP(D3175,TicketsBreak!A:A,TicketsBreak!F:F,"",0),0)</f>
        <v>0.5625</v>
      </c>
      <c r="J3175" s="316">
        <f t="array" ref="J3175">XLOOKUP(B3175,Roster!L:L,Roster!P:P,XLOOKUP(D3175,TicketsBreak!A:A,TicketsBreak!G:G,"",0),0)</f>
        <v>0.65625</v>
      </c>
      <c r="K3175" s="310">
        <f t="shared" si="4"/>
        <v>46139</v>
      </c>
      <c r="L3175" s="317">
        <f t="array" ref="L3175">(XLOOKUP(D3175,Roster!F:F,Roster!D:D,"",0))</f>
        <v>17</v>
      </c>
      <c r="M3175" s="317" t="str">
        <f t="array" ref="M3175">XLOOKUP(D3175,Roster!F:F,Roster!E:E)</f>
        <v>Tickets</v>
      </c>
      <c r="N3175" s="317" t="str">
        <f t="shared" ref="N3175:P3175" si="3220">LEFT(H3175,5)</f>
        <v>11:00</v>
      </c>
      <c r="O3175" s="317" t="str">
        <f t="shared" si="3220"/>
        <v>13:30</v>
      </c>
      <c r="P3175" s="317" t="str">
        <f t="shared" si="3220"/>
        <v>15:45</v>
      </c>
      <c r="Q3175" s="318">
        <f t="shared" si="3216"/>
        <v>46139.45833</v>
      </c>
      <c r="R3175" s="318">
        <f t="shared" si="3217"/>
        <v>46139.5625</v>
      </c>
      <c r="S3175" s="318">
        <f t="shared" si="8"/>
        <v>46139.65625</v>
      </c>
    </row>
    <row r="3176">
      <c r="A3176" s="14" t="str">
        <f t="shared" si="1"/>
        <v>C111446139</v>
      </c>
      <c r="B3176" s="185">
        <f t="array" ref="B3176">IF(F3176="VL","",IF(F3176="Free","Free",XLOOKUP(D3176,Roster!T:T,Roster!S:S,"",0)))</f>
        <v>113</v>
      </c>
      <c r="C3176" s="313">
        <v>46139.0</v>
      </c>
      <c r="D3176" s="314" t="s">
        <v>65</v>
      </c>
      <c r="E3176" s="307" t="str">
        <f t="array" ref="E3176">(XLOOKUP(D3176,Roster!F:F,Roster!B:B,"",0))</f>
        <v>Mikel Bowie</v>
      </c>
      <c r="F3176" s="315" t="str">
        <f t="array" ref="F3176">IF(B3176=100,"Free",TEXT(XLOOKUP($D3176,OperationVoice!$A:$A,OperationVoice!AG:AG,XLOOKUP($D3176,OperationTickets!$A:$A,OperationTickets!AG:AG,"",0)),"hh:mm"))</f>
        <v>08:00</v>
      </c>
      <c r="G3176" s="309">
        <f t="shared" si="3"/>
        <v>0.7083333333</v>
      </c>
      <c r="H3176" s="316" t="str">
        <f t="array" ref="H3176">XLOOKUP(B3176,Roster!L:L,Roster!N:N,XLOOKUP(D3176,TicketsBreak!A:A,TicketsBreak!E:E,"",0),0)</f>
        <v>09:45 - 10:00</v>
      </c>
      <c r="I3176" s="316" t="str">
        <f t="array" ref="I3176">XLOOKUP(B3176,Roster!L:L,Roster!O:O,XLOOKUP(D3176,TicketsBreak!A:A,TicketsBreak!F:F,"",0),0)</f>
        <v>12:30 - 13:00</v>
      </c>
      <c r="J3176" s="316" t="str">
        <f t="array" ref="J3176">XLOOKUP(B3176,Roster!L:L,Roster!P:P,XLOOKUP(D3176,TicketsBreak!A:A,TicketsBreak!G:G,"",0),0)</f>
        <v>14:45 - 15:00</v>
      </c>
      <c r="K3176" s="310">
        <f t="shared" si="4"/>
        <v>46139</v>
      </c>
      <c r="L3176" s="317">
        <f t="array" ref="L3176">(XLOOKUP(D3176,Roster!F:F,Roster!D:D,"",0))</f>
        <v>20</v>
      </c>
      <c r="M3176" s="317" t="str">
        <f t="array" ref="M3176">XLOOKUP(D3176,Roster!F:F,Roster!E:E)</f>
        <v>Voice</v>
      </c>
      <c r="N3176" s="317" t="str">
        <f t="shared" ref="N3176:P3176" si="3221">LEFT(H3176,5)</f>
        <v>09:45</v>
      </c>
      <c r="O3176" s="317" t="str">
        <f t="shared" si="3221"/>
        <v>12:30</v>
      </c>
      <c r="P3176" s="317" t="str">
        <f t="shared" si="3221"/>
        <v>14:45</v>
      </c>
      <c r="Q3176" s="318">
        <f t="shared" si="3216"/>
        <v>46139.40625</v>
      </c>
      <c r="R3176" s="318">
        <f t="shared" si="3217"/>
        <v>46139.52083</v>
      </c>
      <c r="S3176" s="318">
        <f t="shared" si="8"/>
        <v>46139.61458</v>
      </c>
    </row>
    <row r="3177">
      <c r="A3177" s="14" t="str">
        <f t="shared" si="1"/>
        <v>C116346139</v>
      </c>
      <c r="B3177" s="185">
        <f t="array" ref="B3177">IF(F3177="VL","",IF(F3177="Free","Free",XLOOKUP(D3177,Roster!T:T,Roster!S:S,"",0)))</f>
        <v>123</v>
      </c>
      <c r="C3177" s="313">
        <v>46139.0</v>
      </c>
      <c r="D3177" s="314" t="s">
        <v>66</v>
      </c>
      <c r="E3177" s="307" t="str">
        <f t="array" ref="E3177">(XLOOKUP(D3177,Roster!F:F,Roster!B:B,"",0))</f>
        <v>Natalia Cardona</v>
      </c>
      <c r="F3177" s="315" t="str">
        <f t="array" ref="F3177">IF(B3177=100,"Free",TEXT(XLOOKUP($D3177,OperationVoice!$A:$A,OperationVoice!AG:AG,XLOOKUP($D3177,OperationTickets!$A:$A,OperationTickets!AG:AG,"",0)),"hh:mm"))</f>
        <v>08:00</v>
      </c>
      <c r="G3177" s="309">
        <f t="shared" si="3"/>
        <v>0.7083333333</v>
      </c>
      <c r="H3177" s="316" t="str">
        <f t="array" ref="H3177">XLOOKUP(B3177,Roster!L:L,Roster!N:N,XLOOKUP(D3177,TicketsBreak!A:A,TicketsBreak!E:E,"",0),0)</f>
        <v>09:45 - 10:00 </v>
      </c>
      <c r="I3177" s="316" t="str">
        <f t="array" ref="I3177">XLOOKUP(B3177,Roster!L:L,Roster!O:O,XLOOKUP(D3177,TicketsBreak!A:A,TicketsBreak!F:F,"",0),0)</f>
        <v>12:30 - 13:00</v>
      </c>
      <c r="J3177" s="316" t="str">
        <f t="array" ref="J3177">XLOOKUP(B3177,Roster!L:L,Roster!P:P,XLOOKUP(D3177,TicketsBreak!A:A,TicketsBreak!G:G,"",0),0)</f>
        <v>15:00 - 15:15</v>
      </c>
      <c r="K3177" s="310">
        <f t="shared" si="4"/>
        <v>46139</v>
      </c>
      <c r="L3177" s="317">
        <f t="array" ref="L3177">(XLOOKUP(D3177,Roster!F:F,Roster!D:D,"",0))</f>
        <v>24</v>
      </c>
      <c r="M3177" s="317" t="str">
        <f t="array" ref="M3177">XLOOKUP(D3177,Roster!F:F,Roster!E:E)</f>
        <v>Voice</v>
      </c>
      <c r="N3177" s="317" t="str">
        <f t="shared" ref="N3177:P3177" si="3222">LEFT(H3177,5)</f>
        <v>09:45</v>
      </c>
      <c r="O3177" s="317" t="str">
        <f t="shared" si="3222"/>
        <v>12:30</v>
      </c>
      <c r="P3177" s="317" t="str">
        <f t="shared" si="3222"/>
        <v>15:00</v>
      </c>
      <c r="Q3177" s="318">
        <f t="shared" si="3216"/>
        <v>46139.40625</v>
      </c>
      <c r="R3177" s="318">
        <f t="shared" si="3217"/>
        <v>46139.52083</v>
      </c>
      <c r="S3177" s="318">
        <f t="shared" si="8"/>
        <v>46139.625</v>
      </c>
    </row>
    <row r="3178">
      <c r="A3178" s="14" t="str">
        <f t="shared" si="1"/>
        <v>C55646139</v>
      </c>
      <c r="B3178" s="185" t="str">
        <f t="array" ref="B3178">IF(F3178="VL","",IF(F3178="Free","Free",XLOOKUP(D3178,Roster!T:T,Roster!S:S,"",0)))</f>
        <v/>
      </c>
      <c r="C3178" s="313">
        <v>46139.0</v>
      </c>
      <c r="D3178" s="314" t="s">
        <v>167</v>
      </c>
      <c r="E3178" s="307" t="str">
        <f t="array" ref="E3178">(XLOOKUP(D3178,Roster!F:F,Roster!B:B,"",0))</f>
        <v>Nelson Londono</v>
      </c>
      <c r="F3178" s="315" t="str">
        <f t="array" ref="F3178">IF(B3178=100,"Free",TEXT(XLOOKUP($D3178,OperationVoice!$A:$A,OperationVoice!AG:AG,XLOOKUP($D3178,OperationTickets!$A:$A,OperationTickets!AG:AG,"",0)),"hh:mm"))</f>
        <v>07:00</v>
      </c>
      <c r="G3178" s="309">
        <f t="shared" si="3"/>
        <v>0.6666666667</v>
      </c>
      <c r="H3178" s="316">
        <f t="array" ref="H3178">XLOOKUP(B3178,Roster!L:L,Roster!N:N,XLOOKUP(D3178,TicketsBreak!A:A,TicketsBreak!E:E,"",0),0)</f>
        <v>0.3854166667</v>
      </c>
      <c r="I3178" s="316">
        <f t="array" ref="I3178">XLOOKUP(B3178,Roster!L:L,Roster!O:O,XLOOKUP(D3178,TicketsBreak!A:A,TicketsBreak!F:F,"",0),0)</f>
        <v>0.5833333333</v>
      </c>
      <c r="J3178" s="316">
        <f t="array" ref="J3178">XLOOKUP(B3178,Roster!L:L,Roster!P:P,XLOOKUP(D3178,TicketsBreak!A:A,TicketsBreak!G:G,"",0),0)</f>
        <v>0.6458333333</v>
      </c>
      <c r="K3178" s="310">
        <f t="shared" si="4"/>
        <v>46139</v>
      </c>
      <c r="L3178" s="317">
        <f t="array" ref="L3178">(XLOOKUP(D3178,Roster!F:F,Roster!D:D,"",0))</f>
        <v>2</v>
      </c>
      <c r="M3178" s="317" t="str">
        <f t="array" ref="M3178">XLOOKUP(D3178,Roster!F:F,Roster!E:E)</f>
        <v>Tickets</v>
      </c>
      <c r="N3178" s="317" t="str">
        <f t="shared" ref="N3178:P3178" si="3223">LEFT(H3178,5)</f>
        <v>09:15</v>
      </c>
      <c r="O3178" s="317" t="str">
        <f t="shared" si="3223"/>
        <v>14:00</v>
      </c>
      <c r="P3178" s="317" t="str">
        <f t="shared" si="3223"/>
        <v>15:30</v>
      </c>
      <c r="Q3178" s="318">
        <f t="shared" si="3216"/>
        <v>46139.38542</v>
      </c>
      <c r="R3178" s="318">
        <f t="shared" si="3217"/>
        <v>46139.58333</v>
      </c>
      <c r="S3178" s="318">
        <f t="shared" si="8"/>
        <v>46139.64583</v>
      </c>
    </row>
    <row r="3179">
      <c r="A3179" s="14" t="str">
        <f t="shared" si="1"/>
        <v>C150746139</v>
      </c>
      <c r="B3179" s="185">
        <f t="array" ref="B3179">IF(F3179="VL","",IF(F3179="Free","Free",XLOOKUP(D3179,Roster!T:T,Roster!S:S,"",0)))</f>
        <v>125</v>
      </c>
      <c r="C3179" s="313">
        <v>46139.0</v>
      </c>
      <c r="D3179" s="314" t="s">
        <v>67</v>
      </c>
      <c r="E3179" s="307" t="str">
        <f t="array" ref="E3179">(XLOOKUP(D3179,Roster!F:F,Roster!B:B,"",0))</f>
        <v>Nicols Quinones</v>
      </c>
      <c r="F3179" s="315" t="str">
        <f t="array" ref="F3179">IF(B3179=100,"Free",TEXT(XLOOKUP($D3179,OperationVoice!$A:$A,OperationVoice!AG:AG,XLOOKUP($D3179,OperationTickets!$A:$A,OperationTickets!AG:AG,"",0)),"hh:mm"))</f>
        <v>08:00</v>
      </c>
      <c r="G3179" s="309">
        <f t="shared" si="3"/>
        <v>0.7083333333</v>
      </c>
      <c r="H3179" s="316" t="str">
        <f t="array" ref="H3179">XLOOKUP(B3179,Roster!L:L,Roster!N:N,XLOOKUP(D3179,TicketsBreak!A:A,TicketsBreak!E:E,"",0),0)</f>
        <v>10:30 - 10:45</v>
      </c>
      <c r="I3179" s="316" t="str">
        <f t="array" ref="I3179">XLOOKUP(B3179,Roster!L:L,Roster!O:O,XLOOKUP(D3179,TicketsBreak!A:A,TicketsBreak!F:F,"",0),0)</f>
        <v>13:30 - 14:00</v>
      </c>
      <c r="J3179" s="316" t="str">
        <f t="array" ref="J3179">XLOOKUP(B3179,Roster!L:L,Roster!P:P,XLOOKUP(D3179,TicketsBreak!A:A,TicketsBreak!G:G,"",0),0)</f>
        <v>15:45 - 16:00</v>
      </c>
      <c r="K3179" s="310">
        <f t="shared" si="4"/>
        <v>46139</v>
      </c>
      <c r="L3179" s="317">
        <f t="array" ref="L3179">(XLOOKUP(D3179,Roster!F:F,Roster!D:D,"",0))</f>
        <v>35</v>
      </c>
      <c r="M3179" s="317" t="str">
        <f t="array" ref="M3179">XLOOKUP(D3179,Roster!F:F,Roster!E:E)</f>
        <v>Voice</v>
      </c>
      <c r="N3179" s="317" t="str">
        <f t="shared" ref="N3179:P3179" si="3224">LEFT(H3179,5)</f>
        <v>10:30</v>
      </c>
      <c r="O3179" s="317" t="str">
        <f t="shared" si="3224"/>
        <v>13:30</v>
      </c>
      <c r="P3179" s="317" t="str">
        <f t="shared" si="3224"/>
        <v>15:45</v>
      </c>
      <c r="Q3179" s="318">
        <f t="shared" si="3216"/>
        <v>46139.4375</v>
      </c>
      <c r="R3179" s="318">
        <f t="shared" si="3217"/>
        <v>46139.5625</v>
      </c>
      <c r="S3179" s="318">
        <f t="shared" si="8"/>
        <v>46139.65625</v>
      </c>
    </row>
    <row r="3180">
      <c r="A3180" s="14" t="str">
        <f t="shared" si="1"/>
        <v>C71446139</v>
      </c>
      <c r="B3180" s="185" t="str">
        <f t="array" ref="B3180">IF(F3180="VL","",IF(F3180="Free","Free",XLOOKUP(D3180,Roster!T:T,Roster!S:S,"",0)))</f>
        <v/>
      </c>
      <c r="C3180" s="313">
        <v>46139.0</v>
      </c>
      <c r="D3180" s="314" t="s">
        <v>149</v>
      </c>
      <c r="E3180" s="307" t="str">
        <f t="array" ref="E3180">(XLOOKUP(D3180,Roster!F:F,Roster!B:B,"",0))</f>
        <v>Onel Olivera</v>
      </c>
      <c r="F3180" s="315" t="str">
        <f t="array" ref="F3180">IF(B3180=100,"Free",TEXT(XLOOKUP($D3180,OperationVoice!$A:$A,OperationVoice!AG:AG,XLOOKUP($D3180,OperationTickets!$A:$A,OperationTickets!AG:AG,"",0)),"hh:mm"))</f>
        <v>08:00</v>
      </c>
      <c r="G3180" s="309">
        <f t="shared" si="3"/>
        <v>0.7083333333</v>
      </c>
      <c r="H3180" s="316">
        <f t="array" ref="H3180">XLOOKUP(B3180,Roster!L:L,Roster!N:N,XLOOKUP(D3180,TicketsBreak!A:A,TicketsBreak!E:E,"",0),0)</f>
        <v>0.4166666667</v>
      </c>
      <c r="I3180" s="316">
        <f t="array" ref="I3180">XLOOKUP(B3180,Roster!L:L,Roster!O:O,XLOOKUP(D3180,TicketsBreak!A:A,TicketsBreak!F:F,"",0),0)</f>
        <v>0.5</v>
      </c>
      <c r="J3180" s="316">
        <f t="array" ref="J3180">XLOOKUP(B3180,Roster!L:L,Roster!P:P,XLOOKUP(D3180,TicketsBreak!A:A,TicketsBreak!G:G,"",0),0)</f>
        <v>0.625</v>
      </c>
      <c r="K3180" s="310">
        <f t="shared" si="4"/>
        <v>46139</v>
      </c>
      <c r="L3180" s="317">
        <f t="array" ref="L3180">(XLOOKUP(D3180,Roster!F:F,Roster!D:D,"",0))</f>
        <v>1</v>
      </c>
      <c r="M3180" s="317" t="str">
        <f t="array" ref="M3180">XLOOKUP(D3180,Roster!F:F,Roster!E:E)</f>
        <v>Tickets</v>
      </c>
      <c r="N3180" s="317" t="str">
        <f t="shared" ref="N3180:P3180" si="3225">LEFT(H3180,5)</f>
        <v>10:00</v>
      </c>
      <c r="O3180" s="317" t="str">
        <f t="shared" si="3225"/>
        <v>12:00</v>
      </c>
      <c r="P3180" s="317" t="str">
        <f t="shared" si="3225"/>
        <v>15:00</v>
      </c>
      <c r="Q3180" s="318">
        <f t="shared" si="3216"/>
        <v>46139.41667</v>
      </c>
      <c r="R3180" s="318">
        <f t="shared" si="3217"/>
        <v>46139.5</v>
      </c>
      <c r="S3180" s="318">
        <f t="shared" si="8"/>
        <v>46139.625</v>
      </c>
    </row>
    <row r="3181">
      <c r="A3181" s="14" t="str">
        <f t="shared" si="1"/>
        <v>C116446139</v>
      </c>
      <c r="B3181" s="185" t="str">
        <f t="array" ref="B3181">IF(F3181="VL","",IF(F3181="Free","Free",XLOOKUP(D3181,Roster!T:T,Roster!S:S,"",0)))</f>
        <v/>
      </c>
      <c r="C3181" s="313">
        <v>46139.0</v>
      </c>
      <c r="D3181" s="314" t="s">
        <v>179</v>
      </c>
      <c r="E3181" s="307" t="str">
        <f t="array" ref="E3181">(XLOOKUP(D3181,Roster!F:F,Roster!B:B,"",0))</f>
        <v>Oscar Florez</v>
      </c>
      <c r="F3181" s="315" t="str">
        <f t="array" ref="F3181">IF(B3181=100,"Free",TEXT(XLOOKUP($D3181,OperationVoice!$A:$A,OperationVoice!AG:AG,XLOOKUP($D3181,OperationTickets!$A:$A,OperationTickets!AG:AG,"",0)),"hh:mm"))</f>
        <v>08:00</v>
      </c>
      <c r="G3181" s="309">
        <f t="shared" si="3"/>
        <v>0.7083333333</v>
      </c>
      <c r="H3181" s="316" t="str">
        <f t="array" ref="H3181">XLOOKUP(B3181,Roster!L:L,Roster!N:N,XLOOKUP(D3181,TicketsBreak!A:A,TicketsBreak!E:E,"",0),0)</f>
        <v/>
      </c>
      <c r="I3181" s="316" t="str">
        <f t="array" ref="I3181">XLOOKUP(B3181,Roster!L:L,Roster!O:O,XLOOKUP(D3181,TicketsBreak!A:A,TicketsBreak!F:F,"",0),0)</f>
        <v/>
      </c>
      <c r="J3181" s="316" t="str">
        <f t="array" ref="J3181">XLOOKUP(B3181,Roster!L:L,Roster!P:P,XLOOKUP(D3181,TicketsBreak!A:A,TicketsBreak!G:G,"",0),0)</f>
        <v/>
      </c>
      <c r="K3181" s="310">
        <f t="shared" si="4"/>
        <v>46139</v>
      </c>
      <c r="L3181" s="317">
        <f t="array" ref="L3181">(XLOOKUP(D3181,Roster!F:F,Roster!D:D,"",0))</f>
        <v>24</v>
      </c>
      <c r="M3181" s="317" t="str">
        <f t="array" ref="M3181">XLOOKUP(D3181,Roster!F:F,Roster!E:E)</f>
        <v>Tickets</v>
      </c>
      <c r="N3181" s="317" t="str">
        <f t="shared" ref="N3181:P3181" si="3226">LEFT(H3181,5)</f>
        <v/>
      </c>
      <c r="O3181" s="317" t="str">
        <f t="shared" si="3226"/>
        <v/>
      </c>
      <c r="P3181" s="317" t="str">
        <f t="shared" si="3226"/>
        <v/>
      </c>
      <c r="Q3181" s="318" t="str">
        <f t="shared" si="3216"/>
        <v/>
      </c>
      <c r="R3181" s="318" t="str">
        <f t="shared" si="3217"/>
        <v/>
      </c>
      <c r="S3181" s="318" t="str">
        <f t="shared" si="8"/>
        <v/>
      </c>
    </row>
    <row r="3182">
      <c r="A3182" s="14" t="str">
        <f t="shared" si="1"/>
        <v>C153846139</v>
      </c>
      <c r="B3182" s="185">
        <f t="array" ref="B3182">IF(F3182="VL","",IF(F3182="Free","Free",XLOOKUP(D3182,Roster!T:T,Roster!S:S,"",0)))</f>
        <v>151</v>
      </c>
      <c r="C3182" s="313">
        <v>46139.0</v>
      </c>
      <c r="D3182" s="314" t="s">
        <v>68</v>
      </c>
      <c r="E3182" s="307" t="str">
        <f t="array" ref="E3182">(XLOOKUP(D3182,Roster!F:F,Roster!B:B,"",0))</f>
        <v>Oscar Roldan</v>
      </c>
      <c r="F3182" s="315" t="str">
        <f t="array" ref="F3182">IF(B3182=100,"Free",TEXT(XLOOKUP($D3182,OperationVoice!$A:$A,OperationVoice!AG:AG,XLOOKUP($D3182,OperationTickets!$A:$A,OperationTickets!AG:AG,"",0)),"hh:mm"))</f>
        <v>11:00</v>
      </c>
      <c r="G3182" s="309">
        <f t="shared" si="3"/>
        <v>0.8333333333</v>
      </c>
      <c r="H3182" s="316" t="str">
        <f t="array" ref="H3182">XLOOKUP(B3182,Roster!L:L,Roster!N:N,XLOOKUP(D3182,TicketsBreak!A:A,TicketsBreak!E:E,"",0),0)</f>
        <v>12:15 - 12:30</v>
      </c>
      <c r="I3182" s="316" t="str">
        <f t="array" ref="I3182">XLOOKUP(B3182,Roster!L:L,Roster!O:O,XLOOKUP(D3182,TicketsBreak!A:A,TicketsBreak!F:F,"",0),0)</f>
        <v>14:00 - 14:30</v>
      </c>
      <c r="J3182" s="316" t="str">
        <f t="array" ref="J3182">XLOOKUP(B3182,Roster!L:L,Roster!P:P,XLOOKUP(D3182,TicketsBreak!A:A,TicketsBreak!G:G,"",0),0)</f>
        <v>17:15 - 17:30</v>
      </c>
      <c r="K3182" s="310">
        <f t="shared" si="4"/>
        <v>46139</v>
      </c>
      <c r="L3182" s="317">
        <f t="array" ref="L3182">(XLOOKUP(D3182,Roster!F:F,Roster!D:D,"",0))</f>
        <v>36</v>
      </c>
      <c r="M3182" s="317" t="str">
        <f t="array" ref="M3182">XLOOKUP(D3182,Roster!F:F,Roster!E:E)</f>
        <v>Voice</v>
      </c>
      <c r="N3182" s="317" t="str">
        <f t="shared" ref="N3182:P3182" si="3227">LEFT(H3182,5)</f>
        <v>12:15</v>
      </c>
      <c r="O3182" s="317" t="str">
        <f t="shared" si="3227"/>
        <v>14:00</v>
      </c>
      <c r="P3182" s="317" t="str">
        <f t="shared" si="3227"/>
        <v>17:15</v>
      </c>
      <c r="Q3182" s="318">
        <f t="shared" si="3216"/>
        <v>46139.51042</v>
      </c>
      <c r="R3182" s="318">
        <f t="shared" si="3217"/>
        <v>46139.58333</v>
      </c>
      <c r="S3182" s="318">
        <f t="shared" si="8"/>
        <v>46139.71875</v>
      </c>
    </row>
    <row r="3183">
      <c r="A3183" s="14" t="str">
        <f t="shared" si="1"/>
        <v>C151146139</v>
      </c>
      <c r="B3183" s="185">
        <f t="array" ref="B3183">IF(F3183="VL","",IF(F3183="Free","Free",XLOOKUP(D3183,Roster!T:T,Roster!S:S,"",0)))</f>
        <v>131</v>
      </c>
      <c r="C3183" s="313">
        <v>46139.0</v>
      </c>
      <c r="D3183" s="314" t="s">
        <v>69</v>
      </c>
      <c r="E3183" s="307" t="str">
        <f t="array" ref="E3183">(XLOOKUP(D3183,Roster!F:F,Roster!B:B,"",0))</f>
        <v>Salma Giraldo</v>
      </c>
      <c r="F3183" s="315" t="str">
        <f t="array" ref="F3183">IF(B3183=100,"Free",TEXT(XLOOKUP($D3183,OperationVoice!$A:$A,OperationVoice!AG:AG,XLOOKUP($D3183,OperationTickets!$A:$A,OperationTickets!AG:AG,"",0)),"hh:mm"))</f>
        <v>08:00</v>
      </c>
      <c r="G3183" s="309">
        <f t="shared" si="3"/>
        <v>0.7083333333</v>
      </c>
      <c r="H3183" s="316" t="str">
        <f t="array" ref="H3183">XLOOKUP(B3183,Roster!L:L,Roster!N:N,XLOOKUP(D3183,TicketsBreak!A:A,TicketsBreak!E:E,"",0),0)</f>
        <v>10:15 - 10:30</v>
      </c>
      <c r="I3183" s="316" t="str">
        <f t="array" ref="I3183">XLOOKUP(B3183,Roster!L:L,Roster!O:O,XLOOKUP(D3183,TicketsBreak!A:A,TicketsBreak!F:F,"",0),0)</f>
        <v>12:30 - 13:00</v>
      </c>
      <c r="J3183" s="316" t="str">
        <f t="array" ref="J3183">XLOOKUP(B3183,Roster!L:L,Roster!P:P,XLOOKUP(D3183,TicketsBreak!A:A,TicketsBreak!G:G,"",0),0)</f>
        <v>15:15 - 15:30</v>
      </c>
      <c r="K3183" s="310">
        <f t="shared" si="4"/>
        <v>46139</v>
      </c>
      <c r="L3183" s="317">
        <f t="array" ref="L3183">(XLOOKUP(D3183,Roster!F:F,Roster!D:D,"",0))</f>
        <v>35</v>
      </c>
      <c r="M3183" s="317" t="str">
        <f t="array" ref="M3183">XLOOKUP(D3183,Roster!F:F,Roster!E:E)</f>
        <v>Voice</v>
      </c>
      <c r="N3183" s="317" t="str">
        <f t="shared" ref="N3183:P3183" si="3228">LEFT(H3183,5)</f>
        <v>10:15</v>
      </c>
      <c r="O3183" s="317" t="str">
        <f t="shared" si="3228"/>
        <v>12:30</v>
      </c>
      <c r="P3183" s="317" t="str">
        <f t="shared" si="3228"/>
        <v>15:15</v>
      </c>
      <c r="Q3183" s="318">
        <f t="shared" si="3216"/>
        <v>46139.42708</v>
      </c>
      <c r="R3183" s="318">
        <f t="shared" si="3217"/>
        <v>46139.52083</v>
      </c>
      <c r="S3183" s="318">
        <f t="shared" si="8"/>
        <v>46139.63542</v>
      </c>
    </row>
    <row r="3184">
      <c r="A3184" s="14" t="str">
        <f t="shared" si="1"/>
        <v>C93346139</v>
      </c>
      <c r="B3184" s="185">
        <f t="array" ref="B3184">IF(F3184="VL","",IF(F3184="Free","Free",XLOOKUP(D3184,Roster!T:T,Roster!S:S,"",0)))</f>
        <v>124</v>
      </c>
      <c r="C3184" s="313">
        <v>46139.0</v>
      </c>
      <c r="D3184" s="314" t="s">
        <v>70</v>
      </c>
      <c r="E3184" s="307" t="str">
        <f t="array" ref="E3184">(XLOOKUP(D3184,Roster!F:F,Roster!B:B,"",0))</f>
        <v>Salome Arias</v>
      </c>
      <c r="F3184" s="315" t="str">
        <f t="array" ref="F3184">IF(B3184=100,"Free",TEXT(XLOOKUP($D3184,OperationVoice!$A:$A,OperationVoice!AG:AG,XLOOKUP($D3184,OperationTickets!$A:$A,OperationTickets!AG:AG,"",0)),"hh:mm"))</f>
        <v>08:00</v>
      </c>
      <c r="G3184" s="309">
        <f t="shared" si="3"/>
        <v>0.7083333333</v>
      </c>
      <c r="H3184" s="316" t="str">
        <f t="array" ref="H3184">XLOOKUP(B3184,Roster!L:L,Roster!N:N,XLOOKUP(D3184,TicketsBreak!A:A,TicketsBreak!E:E,"",0),0)</f>
        <v>10:00 - 10:15</v>
      </c>
      <c r="I3184" s="316" t="str">
        <f t="array" ref="I3184">XLOOKUP(B3184,Roster!L:L,Roster!O:O,XLOOKUP(D3184,TicketsBreak!A:A,TicketsBreak!F:F,"",0),0)</f>
        <v>13:00 - 13:30</v>
      </c>
      <c r="J3184" s="316" t="str">
        <f t="array" ref="J3184">XLOOKUP(B3184,Roster!L:L,Roster!P:P,XLOOKUP(D3184,TicketsBreak!A:A,TicketsBreak!G:G,"",0),0)</f>
        <v>15:30 - 15:45</v>
      </c>
      <c r="K3184" s="310">
        <f t="shared" si="4"/>
        <v>46139</v>
      </c>
      <c r="L3184" s="317">
        <f t="array" ref="L3184">(XLOOKUP(D3184,Roster!F:F,Roster!D:D,"",0))</f>
        <v>12</v>
      </c>
      <c r="M3184" s="317" t="str">
        <f t="array" ref="M3184">XLOOKUP(D3184,Roster!F:F,Roster!E:E)</f>
        <v>Voice</v>
      </c>
      <c r="N3184" s="317" t="str">
        <f t="shared" ref="N3184:P3184" si="3229">LEFT(H3184,5)</f>
        <v>10:00</v>
      </c>
      <c r="O3184" s="317" t="str">
        <f t="shared" si="3229"/>
        <v>13:00</v>
      </c>
      <c r="P3184" s="317" t="str">
        <f t="shared" si="3229"/>
        <v>15:30</v>
      </c>
      <c r="Q3184" s="318">
        <f t="shared" si="3216"/>
        <v>46139.41667</v>
      </c>
      <c r="R3184" s="318">
        <f t="shared" si="3217"/>
        <v>46139.54167</v>
      </c>
      <c r="S3184" s="318">
        <f t="shared" si="8"/>
        <v>46139.64583</v>
      </c>
    </row>
    <row r="3185">
      <c r="A3185" s="14" t="str">
        <f t="shared" si="1"/>
        <v>C128246139</v>
      </c>
      <c r="B3185" s="185" t="str">
        <f t="array" ref="B3185">IF(F3185="VL","",IF(F3185="Free","Free",XLOOKUP(D3185,Roster!T:T,Roster!S:S,"",0)))</f>
        <v/>
      </c>
      <c r="C3185" s="313">
        <v>46139.0</v>
      </c>
      <c r="D3185" s="314" t="s">
        <v>168</v>
      </c>
      <c r="E3185" s="307" t="str">
        <f t="array" ref="E3185">(XLOOKUP(D3185,Roster!F:F,Roster!B:B,"",0))</f>
        <v>Samuel Acevedo</v>
      </c>
      <c r="F3185" s="315" t="str">
        <f t="array" ref="F3185">IF(B3185=100,"Free",TEXT(XLOOKUP($D3185,OperationVoice!$A:$A,OperationVoice!AG:AG,XLOOKUP($D3185,OperationTickets!$A:$A,OperationTickets!AG:AG,"",0)),"hh:mm"))</f>
        <v>VL</v>
      </c>
      <c r="G3185" s="309" t="str">
        <f t="shared" si="3"/>
        <v>VL</v>
      </c>
      <c r="H3185" s="316" t="str">
        <f t="array" ref="H3185">XLOOKUP(B3185,Roster!L:L,Roster!N:N,XLOOKUP(D3185,TicketsBreak!A:A,TicketsBreak!E:E,"",0),0)</f>
        <v/>
      </c>
      <c r="I3185" s="316" t="str">
        <f t="array" ref="I3185">XLOOKUP(B3185,Roster!L:L,Roster!O:O,XLOOKUP(D3185,TicketsBreak!A:A,TicketsBreak!F:F,"",0),0)</f>
        <v/>
      </c>
      <c r="J3185" s="316" t="str">
        <f t="array" ref="J3185">XLOOKUP(B3185,Roster!L:L,Roster!P:P,XLOOKUP(D3185,TicketsBreak!A:A,TicketsBreak!G:G,"",0),0)</f>
        <v/>
      </c>
      <c r="K3185" s="310">
        <f t="shared" si="4"/>
        <v>46139</v>
      </c>
      <c r="L3185" s="317">
        <f t="array" ref="L3185">(XLOOKUP(D3185,Roster!F:F,Roster!D:D,"",0))</f>
        <v>27</v>
      </c>
      <c r="M3185" s="317" t="str">
        <f t="array" ref="M3185">XLOOKUP(D3185,Roster!F:F,Roster!E:E)</f>
        <v>Tickets</v>
      </c>
      <c r="N3185" s="317" t="str">
        <f t="shared" ref="N3185:P3185" si="3230">LEFT(H3185,5)</f>
        <v/>
      </c>
      <c r="O3185" s="317" t="str">
        <f t="shared" si="3230"/>
        <v/>
      </c>
      <c r="P3185" s="317" t="str">
        <f t="shared" si="3230"/>
        <v/>
      </c>
      <c r="Q3185" s="318" t="str">
        <f t="shared" si="3216"/>
        <v/>
      </c>
      <c r="R3185" s="318" t="str">
        <f t="shared" si="3217"/>
        <v/>
      </c>
      <c r="S3185" s="318" t="str">
        <f t="shared" si="8"/>
        <v/>
      </c>
    </row>
    <row r="3186">
      <c r="A3186" s="14" t="str">
        <f t="shared" si="1"/>
        <v>C156446139</v>
      </c>
      <c r="B3186" s="185">
        <f t="array" ref="B3186">IF(F3186="VL","",IF(F3186="Free","Free",XLOOKUP(D3186,Roster!T:T,Roster!S:S,"",0)))</f>
        <v>121</v>
      </c>
      <c r="C3186" s="313">
        <v>46139.0</v>
      </c>
      <c r="D3186" s="314" t="s">
        <v>71</v>
      </c>
      <c r="E3186" s="307" t="str">
        <f t="array" ref="E3186">(XLOOKUP(D3186,Roster!F:F,Roster!B:B,"",0))</f>
        <v>Samuel Acevedo Cadavid</v>
      </c>
      <c r="F3186" s="315" t="str">
        <f t="array" ref="F3186">IF(B3186=100,"Free",TEXT(XLOOKUP($D3186,OperationVoice!$A:$A,OperationVoice!AG:AG,XLOOKUP($D3186,OperationTickets!$A:$A,OperationTickets!AG:AG,"",0)),"hh:mm"))</f>
        <v>11:00</v>
      </c>
      <c r="G3186" s="309">
        <f t="shared" si="3"/>
        <v>0.8333333333</v>
      </c>
      <c r="H3186" s="316" t="str">
        <f t="array" ref="H3186">XLOOKUP(B3186,Roster!L:L,Roster!N:N,XLOOKUP(D3186,TicketsBreak!A:A,TicketsBreak!E:E,"",0),0)</f>
        <v>09:15 - 09:30</v>
      </c>
      <c r="I3186" s="316" t="str">
        <f t="array" ref="I3186">XLOOKUP(B3186,Roster!L:L,Roster!O:O,XLOOKUP(D3186,TicketsBreak!A:A,TicketsBreak!F:F,"",0),0)</f>
        <v>11:30 - 12:00</v>
      </c>
      <c r="J3186" s="316" t="str">
        <f t="array" ref="J3186">XLOOKUP(B3186,Roster!L:L,Roster!P:P,XLOOKUP(D3186,TicketsBreak!A:A,TicketsBreak!G:G,"",0),0)</f>
        <v>14:30 - 14:45</v>
      </c>
      <c r="K3186" s="310">
        <f t="shared" si="4"/>
        <v>46139</v>
      </c>
      <c r="L3186" s="317">
        <f t="array" ref="L3186">(XLOOKUP(D3186,Roster!F:F,Roster!D:D,"",0))</f>
        <v>38</v>
      </c>
      <c r="M3186" s="317" t="str">
        <f t="array" ref="M3186">XLOOKUP(D3186,Roster!F:F,Roster!E:E)</f>
        <v>Voice</v>
      </c>
      <c r="N3186" s="317" t="str">
        <f t="shared" ref="N3186:P3186" si="3231">LEFT(H3186,5)</f>
        <v>09:15</v>
      </c>
      <c r="O3186" s="317" t="str">
        <f t="shared" si="3231"/>
        <v>11:30</v>
      </c>
      <c r="P3186" s="317" t="str">
        <f t="shared" si="3231"/>
        <v>14:30</v>
      </c>
      <c r="Q3186" s="318">
        <f t="shared" si="3216"/>
        <v>46139.38542</v>
      </c>
      <c r="R3186" s="318">
        <f t="shared" si="3217"/>
        <v>46139.47917</v>
      </c>
      <c r="S3186" s="318">
        <f t="shared" si="8"/>
        <v>46139.60417</v>
      </c>
    </row>
    <row r="3187">
      <c r="A3187" s="14" t="str">
        <f t="shared" si="1"/>
        <v>C116846139</v>
      </c>
      <c r="B3187" s="185">
        <f t="array" ref="B3187">IF(F3187="VL","",IF(F3187="Free","Free",XLOOKUP(D3187,Roster!T:T,Roster!S:S,"",0)))</f>
        <v>125</v>
      </c>
      <c r="C3187" s="313">
        <v>46139.0</v>
      </c>
      <c r="D3187" s="314" t="s">
        <v>180</v>
      </c>
      <c r="E3187" s="307" t="str">
        <f t="array" ref="E3187">(XLOOKUP(D3187,Roster!F:F,Roster!B:B,"",0))</f>
        <v>Santiago Gaviria</v>
      </c>
      <c r="F3187" s="315" t="str">
        <f t="array" ref="F3187">IF(B3187=100,"Free",TEXT(XLOOKUP($D3187,OperationVoice!$A:$A,OperationVoice!AG:AG,XLOOKUP($D3187,OperationTickets!$A:$A,OperationTickets!AG:AG,"",0)),"hh:mm"))</f>
        <v>08:00</v>
      </c>
      <c r="G3187" s="309">
        <f t="shared" si="3"/>
        <v>0.7083333333</v>
      </c>
      <c r="H3187" s="316" t="str">
        <f t="array" ref="H3187">XLOOKUP(B3187,Roster!L:L,Roster!N:N,XLOOKUP(D3187,TicketsBreak!A:A,TicketsBreak!E:E,"",0),0)</f>
        <v>10:30 - 10:45</v>
      </c>
      <c r="I3187" s="316" t="str">
        <f t="array" ref="I3187">XLOOKUP(B3187,Roster!L:L,Roster!O:O,XLOOKUP(D3187,TicketsBreak!A:A,TicketsBreak!F:F,"",0),0)</f>
        <v>13:30 - 14:00</v>
      </c>
      <c r="J3187" s="316" t="str">
        <f t="array" ref="J3187">XLOOKUP(B3187,Roster!L:L,Roster!P:P,XLOOKUP(D3187,TicketsBreak!A:A,TicketsBreak!G:G,"",0),0)</f>
        <v>15:45 - 16:00</v>
      </c>
      <c r="K3187" s="310">
        <f t="shared" si="4"/>
        <v>46139</v>
      </c>
      <c r="L3187" s="317">
        <f t="array" ref="L3187">(XLOOKUP(D3187,Roster!F:F,Roster!D:D,"",0))</f>
        <v>24</v>
      </c>
      <c r="M3187" s="317" t="str">
        <f t="array" ref="M3187">XLOOKUP(D3187,Roster!F:F,Roster!E:E)</f>
        <v>Tickets</v>
      </c>
      <c r="N3187" s="317" t="str">
        <f t="shared" ref="N3187:P3187" si="3232">LEFT(H3187,5)</f>
        <v>10:30</v>
      </c>
      <c r="O3187" s="317" t="str">
        <f t="shared" si="3232"/>
        <v>13:30</v>
      </c>
      <c r="P3187" s="317" t="str">
        <f t="shared" si="3232"/>
        <v>15:45</v>
      </c>
      <c r="Q3187" s="318">
        <f t="shared" si="3216"/>
        <v>46139.4375</v>
      </c>
      <c r="R3187" s="318">
        <f t="shared" si="3217"/>
        <v>46139.5625</v>
      </c>
      <c r="S3187" s="318">
        <f t="shared" si="8"/>
        <v>46139.65625</v>
      </c>
    </row>
    <row r="3188">
      <c r="A3188" s="14" t="str">
        <f t="shared" si="1"/>
        <v>C122046139</v>
      </c>
      <c r="B3188" s="185" t="str">
        <f t="array" ref="B3188">IF(F3188="VL","",IF(F3188="Free","Free",XLOOKUP(D3188,Roster!T:T,Roster!S:S,"",0)))</f>
        <v/>
      </c>
      <c r="C3188" s="313">
        <v>46139.0</v>
      </c>
      <c r="D3188" s="314" t="s">
        <v>181</v>
      </c>
      <c r="E3188" s="307" t="str">
        <f t="array" ref="E3188">(XLOOKUP(D3188,Roster!F:F,Roster!B:B,"",0))</f>
        <v>Santiago Gonzalez</v>
      </c>
      <c r="F3188" s="315" t="str">
        <f t="array" ref="F3188">IF(B3188=100,"Free",TEXT(XLOOKUP($D3188,OperationVoice!$A:$A,OperationVoice!AG:AG,XLOOKUP($D3188,OperationTickets!$A:$A,OperationTickets!AG:AG,"",0)),"hh:mm"))</f>
        <v>08:00</v>
      </c>
      <c r="G3188" s="309">
        <f t="shared" si="3"/>
        <v>0.7083333333</v>
      </c>
      <c r="H3188" s="316" t="str">
        <f t="array" ref="H3188">XLOOKUP(B3188,Roster!L:L,Roster!N:N,XLOOKUP(D3188,TicketsBreak!A:A,TicketsBreak!E:E,"",0),0)</f>
        <v/>
      </c>
      <c r="I3188" s="316" t="str">
        <f t="array" ref="I3188">XLOOKUP(B3188,Roster!L:L,Roster!O:O,XLOOKUP(D3188,TicketsBreak!A:A,TicketsBreak!F:F,"",0),0)</f>
        <v/>
      </c>
      <c r="J3188" s="316" t="str">
        <f t="array" ref="J3188">XLOOKUP(B3188,Roster!L:L,Roster!P:P,XLOOKUP(D3188,TicketsBreak!A:A,TicketsBreak!G:G,"",0),0)</f>
        <v/>
      </c>
      <c r="K3188" s="310">
        <f t="shared" si="4"/>
        <v>46139</v>
      </c>
      <c r="L3188" s="317">
        <f t="array" ref="L3188">(XLOOKUP(D3188,Roster!F:F,Roster!D:D,"",0))</f>
        <v>26</v>
      </c>
      <c r="M3188" s="317" t="str">
        <f t="array" ref="M3188">XLOOKUP(D3188,Roster!F:F,Roster!E:E)</f>
        <v>Tickets</v>
      </c>
      <c r="N3188" s="317" t="str">
        <f t="shared" ref="N3188:P3188" si="3233">LEFT(H3188,5)</f>
        <v/>
      </c>
      <c r="O3188" s="317" t="str">
        <f t="shared" si="3233"/>
        <v/>
      </c>
      <c r="P3188" s="317" t="str">
        <f t="shared" si="3233"/>
        <v/>
      </c>
      <c r="Q3188" s="318" t="str">
        <f t="shared" si="3216"/>
        <v/>
      </c>
      <c r="R3188" s="318" t="str">
        <f t="shared" si="3217"/>
        <v/>
      </c>
      <c r="S3188" s="318" t="str">
        <f t="shared" si="8"/>
        <v/>
      </c>
    </row>
    <row r="3189">
      <c r="A3189" s="14" t="str">
        <f t="shared" si="1"/>
        <v>C140646139</v>
      </c>
      <c r="B3189" s="185">
        <f t="array" ref="B3189">IF(F3189="VL","",IF(F3189="Free","Free",XLOOKUP(D3189,Roster!T:T,Roster!S:S,"",0)))</f>
        <v>152</v>
      </c>
      <c r="C3189" s="313">
        <v>46139.0</v>
      </c>
      <c r="D3189" s="314" t="s">
        <v>72</v>
      </c>
      <c r="E3189" s="307" t="str">
        <f t="array" ref="E3189">(XLOOKUP(D3189,Roster!F:F,Roster!B:B,"",0))</f>
        <v>Santiago Mora</v>
      </c>
      <c r="F3189" s="315" t="str">
        <f t="array" ref="F3189">IF(B3189=100,"Free",TEXT(XLOOKUP($D3189,OperationVoice!$A:$A,OperationVoice!AG:AG,XLOOKUP($D3189,OperationTickets!$A:$A,OperationTickets!AG:AG,"",0)),"hh:mm"))</f>
        <v>11:00</v>
      </c>
      <c r="G3189" s="309">
        <f t="shared" si="3"/>
        <v>0.8333333333</v>
      </c>
      <c r="H3189" s="316" t="str">
        <f t="array" ref="H3189">XLOOKUP(B3189,Roster!L:L,Roster!N:N,XLOOKUP(D3189,TicketsBreak!A:A,TicketsBreak!E:E,"",0),0)</f>
        <v>12:30 - 12:45</v>
      </c>
      <c r="I3189" s="316" t="str">
        <f t="array" ref="I3189">XLOOKUP(B3189,Roster!L:L,Roster!O:O,XLOOKUP(D3189,TicketsBreak!A:A,TicketsBreak!F:F,"",0),0)</f>
        <v>14:30 - 15:00</v>
      </c>
      <c r="J3189" s="316" t="str">
        <f t="array" ref="J3189">XLOOKUP(B3189,Roster!L:L,Roster!P:P,XLOOKUP(D3189,TicketsBreak!A:A,TicketsBreak!G:G,"",0),0)</f>
        <v>17:30 - 17:45</v>
      </c>
      <c r="K3189" s="310">
        <f t="shared" si="4"/>
        <v>46139</v>
      </c>
      <c r="L3189" s="317">
        <f t="array" ref="L3189">(XLOOKUP(D3189,Roster!F:F,Roster!D:D,"",0))</f>
        <v>35</v>
      </c>
      <c r="M3189" s="317" t="str">
        <f t="array" ref="M3189">XLOOKUP(D3189,Roster!F:F,Roster!E:E)</f>
        <v>Voice</v>
      </c>
      <c r="N3189" s="317" t="str">
        <f t="shared" ref="N3189:P3189" si="3234">LEFT(H3189,5)</f>
        <v>12:30</v>
      </c>
      <c r="O3189" s="317" t="str">
        <f t="shared" si="3234"/>
        <v>14:30</v>
      </c>
      <c r="P3189" s="317" t="str">
        <f t="shared" si="3234"/>
        <v>17:30</v>
      </c>
      <c r="Q3189" s="318">
        <f t="shared" si="3216"/>
        <v>46139.52083</v>
      </c>
      <c r="R3189" s="318">
        <f t="shared" si="3217"/>
        <v>46139.60417</v>
      </c>
      <c r="S3189" s="318">
        <f t="shared" si="8"/>
        <v>46139.72917</v>
      </c>
    </row>
    <row r="3190">
      <c r="A3190" s="14" t="str">
        <f t="shared" si="1"/>
        <v>C119946139</v>
      </c>
      <c r="B3190" s="185" t="str">
        <f t="array" ref="B3190">IF(F3190="VL","",IF(F3190="Free","Free",XLOOKUP(D3190,Roster!T:T,Roster!S:S,"",0)))</f>
        <v/>
      </c>
      <c r="C3190" s="313">
        <v>46139.0</v>
      </c>
      <c r="D3190" s="314" t="s">
        <v>182</v>
      </c>
      <c r="E3190" s="307" t="str">
        <f t="array" ref="E3190">(XLOOKUP(D3190,Roster!F:F,Roster!B:B,"",0))</f>
        <v>Santiago Velasquez</v>
      </c>
      <c r="F3190" s="315" t="str">
        <f t="array" ref="F3190">IF(B3190=100,"Free",TEXT(XLOOKUP($D3190,OperationVoice!$A:$A,OperationVoice!AG:AG,XLOOKUP($D3190,OperationTickets!$A:$A,OperationTickets!AG:AG,"",0)),"hh:mm"))</f>
        <v>08:00</v>
      </c>
      <c r="G3190" s="309">
        <f t="shared" si="3"/>
        <v>0.7083333333</v>
      </c>
      <c r="H3190" s="316" t="str">
        <f t="array" ref="H3190">XLOOKUP(B3190,Roster!L:L,Roster!N:N,XLOOKUP(D3190,TicketsBreak!A:A,TicketsBreak!E:E,"",0),0)</f>
        <v/>
      </c>
      <c r="I3190" s="316" t="str">
        <f t="array" ref="I3190">XLOOKUP(B3190,Roster!L:L,Roster!O:O,XLOOKUP(D3190,TicketsBreak!A:A,TicketsBreak!F:F,"",0),0)</f>
        <v/>
      </c>
      <c r="J3190" s="316" t="str">
        <f t="array" ref="J3190">XLOOKUP(B3190,Roster!L:L,Roster!P:P,XLOOKUP(D3190,TicketsBreak!A:A,TicketsBreak!G:G,"",0),0)</f>
        <v/>
      </c>
      <c r="K3190" s="310">
        <f t="shared" si="4"/>
        <v>46139</v>
      </c>
      <c r="L3190" s="317">
        <f t="array" ref="L3190">(XLOOKUP(D3190,Roster!F:F,Roster!D:D,"",0))</f>
        <v>25</v>
      </c>
      <c r="M3190" s="317" t="str">
        <f t="array" ref="M3190">XLOOKUP(D3190,Roster!F:F,Roster!E:E)</f>
        <v>Tickets</v>
      </c>
      <c r="N3190" s="317" t="str">
        <f t="shared" ref="N3190:P3190" si="3235">LEFT(H3190,5)</f>
        <v/>
      </c>
      <c r="O3190" s="317" t="str">
        <f t="shared" si="3235"/>
        <v/>
      </c>
      <c r="P3190" s="317" t="str">
        <f t="shared" si="3235"/>
        <v/>
      </c>
      <c r="Q3190" s="318" t="str">
        <f t="shared" si="3216"/>
        <v/>
      </c>
      <c r="R3190" s="318" t="str">
        <f t="shared" si="3217"/>
        <v/>
      </c>
      <c r="S3190" s="318" t="str">
        <f t="shared" si="8"/>
        <v/>
      </c>
    </row>
    <row r="3191">
      <c r="A3191" s="14" t="str">
        <f t="shared" si="1"/>
        <v>C90246139</v>
      </c>
      <c r="B3191" s="185" t="str">
        <f t="array" ref="B3191">IF(F3191="VL","",IF(F3191="Free","Free",XLOOKUP(D3191,Roster!T:T,Roster!S:S,"",0)))</f>
        <v/>
      </c>
      <c r="C3191" s="313">
        <v>46139.0</v>
      </c>
      <c r="D3191" s="314" t="s">
        <v>150</v>
      </c>
      <c r="E3191" s="307" t="str">
        <f t="array" ref="E3191">(XLOOKUP(D3191,Roster!F:F,Roster!B:B,"",0))</f>
        <v>Sebastiam Vallejo</v>
      </c>
      <c r="F3191" s="315" t="str">
        <f t="array" ref="F3191">IF(B3191=100,"Free",TEXT(XLOOKUP($D3191,OperationVoice!$A:$A,OperationVoice!AG:AG,XLOOKUP($D3191,OperationTickets!$A:$A,OperationTickets!AG:AG,"",0)),"hh:mm"))</f>
        <v>08:00</v>
      </c>
      <c r="G3191" s="309">
        <f t="shared" si="3"/>
        <v>0.7083333333</v>
      </c>
      <c r="H3191" s="316">
        <f t="array" ref="H3191">XLOOKUP(B3191,Roster!L:L,Roster!N:N,XLOOKUP(D3191,TicketsBreak!A:A,TicketsBreak!E:E,"",0),0)</f>
        <v>0.4375</v>
      </c>
      <c r="I3191" s="316">
        <f t="array" ref="I3191">XLOOKUP(B3191,Roster!L:L,Roster!O:O,XLOOKUP(D3191,TicketsBreak!A:A,TicketsBreak!F:F,"",0),0)</f>
        <v>0.6041666667</v>
      </c>
      <c r="J3191" s="316">
        <f t="array" ref="J3191">XLOOKUP(B3191,Roster!L:L,Roster!P:P,XLOOKUP(D3191,TicketsBreak!A:A,TicketsBreak!G:G,"",0),0)</f>
        <v>0.65625</v>
      </c>
      <c r="K3191" s="310">
        <f t="shared" si="4"/>
        <v>46139</v>
      </c>
      <c r="L3191" s="317">
        <f t="array" ref="L3191">(XLOOKUP(D3191,Roster!F:F,Roster!D:D,"",0))</f>
        <v>11</v>
      </c>
      <c r="M3191" s="317" t="str">
        <f t="array" ref="M3191">XLOOKUP(D3191,Roster!F:F,Roster!E:E)</f>
        <v>Tickets</v>
      </c>
      <c r="N3191" s="317" t="str">
        <f t="shared" ref="N3191:P3191" si="3236">LEFT(H3191,5)</f>
        <v>10:30</v>
      </c>
      <c r="O3191" s="317" t="str">
        <f t="shared" si="3236"/>
        <v>14:30</v>
      </c>
      <c r="P3191" s="317" t="str">
        <f t="shared" si="3236"/>
        <v>15:45</v>
      </c>
      <c r="Q3191" s="318">
        <f t="shared" si="3216"/>
        <v>46139.4375</v>
      </c>
      <c r="R3191" s="318">
        <f t="shared" si="3217"/>
        <v>46139.60417</v>
      </c>
      <c r="S3191" s="318">
        <f t="shared" si="8"/>
        <v>46139.65625</v>
      </c>
    </row>
    <row r="3192">
      <c r="A3192" s="14" t="str">
        <f t="shared" si="1"/>
        <v>C150646139</v>
      </c>
      <c r="B3192" s="185">
        <f t="array" ref="B3192">IF(F3192="VL","",IF(F3192="Free","Free",XLOOKUP(D3192,Roster!T:T,Roster!S:S,"",0)))</f>
        <v>153</v>
      </c>
      <c r="C3192" s="313">
        <v>46139.0</v>
      </c>
      <c r="D3192" s="314" t="s">
        <v>73</v>
      </c>
      <c r="E3192" s="307" t="str">
        <f t="array" ref="E3192">(XLOOKUP(D3192,Roster!F:F,Roster!B:B,"",0))</f>
        <v>Sebastian Agudelo Londono</v>
      </c>
      <c r="F3192" s="315" t="str">
        <f t="array" ref="F3192">IF(B3192=100,"Free",TEXT(XLOOKUP($D3192,OperationVoice!$A:$A,OperationVoice!AG:AG,XLOOKUP($D3192,OperationTickets!$A:$A,OperationTickets!AG:AG,"",0)),"hh:mm"))</f>
        <v>11:00</v>
      </c>
      <c r="G3192" s="309">
        <f t="shared" si="3"/>
        <v>0.8333333333</v>
      </c>
      <c r="H3192" s="316" t="str">
        <f t="array" ref="H3192">XLOOKUP(B3192,Roster!L:L,Roster!N:N,XLOOKUP(D3192,TicketsBreak!A:A,TicketsBreak!E:E,"",0),0)</f>
        <v>12:45 - 13:00</v>
      </c>
      <c r="I3192" s="316" t="str">
        <f t="array" ref="I3192">XLOOKUP(B3192,Roster!L:L,Roster!O:O,XLOOKUP(D3192,TicketsBreak!A:A,TicketsBreak!F:F,"",0),0)</f>
        <v>15:00 - 15:30</v>
      </c>
      <c r="J3192" s="316" t="str">
        <f t="array" ref="J3192">XLOOKUP(B3192,Roster!L:L,Roster!P:P,XLOOKUP(D3192,TicketsBreak!A:A,TicketsBreak!G:G,"",0),0)</f>
        <v>17:45 - 18:00</v>
      </c>
      <c r="K3192" s="310">
        <f t="shared" si="4"/>
        <v>46139</v>
      </c>
      <c r="L3192" s="317">
        <f t="array" ref="L3192">(XLOOKUP(D3192,Roster!F:F,Roster!D:D,"",0))</f>
        <v>35</v>
      </c>
      <c r="M3192" s="317" t="str">
        <f t="array" ref="M3192">XLOOKUP(D3192,Roster!F:F,Roster!E:E)</f>
        <v>Voice</v>
      </c>
      <c r="N3192" s="317" t="str">
        <f t="shared" ref="N3192:P3192" si="3237">LEFT(H3192,5)</f>
        <v>12:45</v>
      </c>
      <c r="O3192" s="317" t="str">
        <f t="shared" si="3237"/>
        <v>15:00</v>
      </c>
      <c r="P3192" s="317" t="str">
        <f t="shared" si="3237"/>
        <v>17:45</v>
      </c>
      <c r="Q3192" s="318">
        <f t="shared" si="3216"/>
        <v>46139.53125</v>
      </c>
      <c r="R3192" s="318">
        <f t="shared" si="3217"/>
        <v>46139.625</v>
      </c>
      <c r="S3192" s="318">
        <f t="shared" si="8"/>
        <v>46139.73958</v>
      </c>
    </row>
    <row r="3193">
      <c r="A3193" s="14" t="str">
        <f t="shared" si="1"/>
        <v>C119046139</v>
      </c>
      <c r="B3193" s="185" t="str">
        <f t="array" ref="B3193">IF(F3193="VL","",IF(F3193="Free","Free",XLOOKUP(D3193,Roster!T:T,Roster!S:S,"",0)))</f>
        <v/>
      </c>
      <c r="C3193" s="313">
        <v>46139.0</v>
      </c>
      <c r="D3193" s="314" t="s">
        <v>183</v>
      </c>
      <c r="E3193" s="307" t="str">
        <f t="array" ref="E3193">(XLOOKUP(D3193,Roster!F:F,Roster!B:B,"",0))</f>
        <v>Sebastian Herrera</v>
      </c>
      <c r="F3193" s="315" t="str">
        <f t="array" ref="F3193">IF(B3193=100,"Free",TEXT(XLOOKUP($D3193,OperationVoice!$A:$A,OperationVoice!AG:AG,XLOOKUP($D3193,OperationTickets!$A:$A,OperationTickets!AG:AG,"",0)),"hh:mm"))</f>
        <v>07:00</v>
      </c>
      <c r="G3193" s="309">
        <f t="shared" si="3"/>
        <v>0.6666666667</v>
      </c>
      <c r="H3193" s="316">
        <f t="array" ref="H3193">XLOOKUP(B3193,Roster!L:L,Roster!N:N,XLOOKUP(D3193,TicketsBreak!A:A,TicketsBreak!E:E,"",0),0)</f>
        <v>0.40625</v>
      </c>
      <c r="I3193" s="316">
        <f t="array" ref="I3193">XLOOKUP(B3193,Roster!L:L,Roster!O:O,XLOOKUP(D3193,TicketsBreak!A:A,TicketsBreak!F:F,"",0),0)</f>
        <v>0.5416666667</v>
      </c>
      <c r="J3193" s="316">
        <f t="array" ref="J3193">XLOOKUP(B3193,Roster!L:L,Roster!P:P,XLOOKUP(D3193,TicketsBreak!A:A,TicketsBreak!G:G,"",0),0)</f>
        <v>0.625</v>
      </c>
      <c r="K3193" s="310">
        <f t="shared" si="4"/>
        <v>46139</v>
      </c>
      <c r="L3193" s="317">
        <f t="array" ref="L3193">(XLOOKUP(D3193,Roster!F:F,Roster!D:D,"",0))</f>
        <v>25</v>
      </c>
      <c r="M3193" s="317" t="str">
        <f t="array" ref="M3193">XLOOKUP(D3193,Roster!F:F,Roster!E:E)</f>
        <v>Tickets</v>
      </c>
      <c r="N3193" s="317" t="str">
        <f t="shared" ref="N3193:P3193" si="3238">LEFT(H3193,5)</f>
        <v>09:45</v>
      </c>
      <c r="O3193" s="317" t="str">
        <f t="shared" si="3238"/>
        <v>13:00</v>
      </c>
      <c r="P3193" s="317" t="str">
        <f t="shared" si="3238"/>
        <v>15:00</v>
      </c>
      <c r="Q3193" s="318">
        <f t="shared" si="3216"/>
        <v>46139.40625</v>
      </c>
      <c r="R3193" s="318">
        <f t="shared" si="3217"/>
        <v>46139.54167</v>
      </c>
      <c r="S3193" s="318">
        <f t="shared" si="8"/>
        <v>46139.625</v>
      </c>
    </row>
    <row r="3194">
      <c r="A3194" s="14" t="str">
        <f t="shared" si="1"/>
        <v>C71046139</v>
      </c>
      <c r="B3194" s="185" t="str">
        <f t="array" ref="B3194">IF(F3194="VL","",IF(F3194="Free","Free",XLOOKUP(D3194,Roster!T:T,Roster!S:S,"",0)))</f>
        <v/>
      </c>
      <c r="C3194" s="313">
        <v>46139.0</v>
      </c>
      <c r="D3194" s="314" t="s">
        <v>184</v>
      </c>
      <c r="E3194" s="307" t="str">
        <f t="array" ref="E3194">(XLOOKUP(D3194,Roster!F:F,Roster!B:B,"",0))</f>
        <v>Sebastian Martinez</v>
      </c>
      <c r="F3194" s="315" t="str">
        <f t="array" ref="F3194">IF(B3194=100,"Free",TEXT(XLOOKUP($D3194,OperationVoice!$A:$A,OperationVoice!AG:AG,XLOOKUP($D3194,OperationTickets!$A:$A,OperationTickets!AG:AG,"",0)),"hh:mm"))</f>
        <v>08:00</v>
      </c>
      <c r="G3194" s="309">
        <f t="shared" si="3"/>
        <v>0.7083333333</v>
      </c>
      <c r="H3194" s="316">
        <f t="array" ref="H3194">XLOOKUP(B3194,Roster!L:L,Roster!N:N,XLOOKUP(D3194,TicketsBreak!A:A,TicketsBreak!E:E,"",0),0)</f>
        <v>0.40625</v>
      </c>
      <c r="I3194" s="316">
        <f t="array" ref="I3194">XLOOKUP(B3194,Roster!L:L,Roster!O:O,XLOOKUP(D3194,TicketsBreak!A:A,TicketsBreak!F:F,"",0),0)</f>
        <v>0.5625</v>
      </c>
      <c r="J3194" s="316">
        <f t="array" ref="J3194">XLOOKUP(B3194,Roster!L:L,Roster!P:P,XLOOKUP(D3194,TicketsBreak!A:A,TicketsBreak!G:G,"",0),0)</f>
        <v>0.65625</v>
      </c>
      <c r="K3194" s="310">
        <f t="shared" si="4"/>
        <v>46139</v>
      </c>
      <c r="L3194" s="317">
        <f t="array" ref="L3194">(XLOOKUP(D3194,Roster!F:F,Roster!D:D,"",0))</f>
        <v>6</v>
      </c>
      <c r="M3194" s="317" t="str">
        <f t="array" ref="M3194">XLOOKUP(D3194,Roster!F:F,Roster!E:E)</f>
        <v>Tickets</v>
      </c>
      <c r="N3194" s="317" t="str">
        <f t="shared" ref="N3194:P3194" si="3239">LEFT(H3194,5)</f>
        <v>09:45</v>
      </c>
      <c r="O3194" s="317" t="str">
        <f t="shared" si="3239"/>
        <v>13:30</v>
      </c>
      <c r="P3194" s="317" t="str">
        <f t="shared" si="3239"/>
        <v>15:45</v>
      </c>
      <c r="Q3194" s="318">
        <f t="shared" si="3216"/>
        <v>46139.40625</v>
      </c>
      <c r="R3194" s="318">
        <f t="shared" si="3217"/>
        <v>46139.5625</v>
      </c>
      <c r="S3194" s="318">
        <f t="shared" si="8"/>
        <v>46139.65625</v>
      </c>
    </row>
    <row r="3195">
      <c r="A3195" s="14" t="str">
        <f t="shared" si="1"/>
        <v>C72346139</v>
      </c>
      <c r="B3195" s="185" t="str">
        <f t="array" ref="B3195">IF(F3195="VL","",IF(F3195="Free","Free",XLOOKUP(D3195,Roster!T:T,Roster!S:S,"",0)))</f>
        <v/>
      </c>
      <c r="C3195" s="313">
        <v>46139.0</v>
      </c>
      <c r="D3195" s="314" t="s">
        <v>169</v>
      </c>
      <c r="E3195" s="307" t="str">
        <f t="array" ref="E3195">(XLOOKUP(D3195,Roster!F:F,Roster!B:B,"",0))</f>
        <v>Sebastian Parra</v>
      </c>
      <c r="F3195" s="315" t="str">
        <f t="array" ref="F3195">IF(B3195=100,"Free",TEXT(XLOOKUP($D3195,OperationVoice!$A:$A,OperationVoice!AG:AG,XLOOKUP($D3195,OperationTickets!$A:$A,OperationTickets!AG:AG,"",0)),"hh:mm"))</f>
        <v>08:00</v>
      </c>
      <c r="G3195" s="309">
        <f t="shared" si="3"/>
        <v>0.7083333333</v>
      </c>
      <c r="H3195" s="316">
        <f t="array" ref="H3195">XLOOKUP(B3195,Roster!L:L,Roster!N:N,XLOOKUP(D3195,TicketsBreak!A:A,TicketsBreak!E:E,"",0),0)</f>
        <v>0.4166666667</v>
      </c>
      <c r="I3195" s="316">
        <f t="array" ref="I3195">XLOOKUP(B3195,Roster!L:L,Roster!O:O,XLOOKUP(D3195,TicketsBreak!A:A,TicketsBreak!F:F,"",0),0)</f>
        <v>0.5347222222</v>
      </c>
      <c r="J3195" s="316">
        <f t="array" ref="J3195">XLOOKUP(B3195,Roster!L:L,Roster!P:P,XLOOKUP(D3195,TicketsBreak!A:A,TicketsBreak!G:G,"",0),0)</f>
        <v>0.65625</v>
      </c>
      <c r="K3195" s="310">
        <f t="shared" si="4"/>
        <v>46139</v>
      </c>
      <c r="L3195" s="317">
        <f t="array" ref="L3195">(XLOOKUP(D3195,Roster!F:F,Roster!D:D,"",0))</f>
        <v>7</v>
      </c>
      <c r="M3195" s="317" t="str">
        <f t="array" ref="M3195">XLOOKUP(D3195,Roster!F:F,Roster!E:E)</f>
        <v>Tickets</v>
      </c>
      <c r="N3195" s="317" t="str">
        <f t="shared" ref="N3195:P3195" si="3240">LEFT(H3195,5)</f>
        <v>10:00</v>
      </c>
      <c r="O3195" s="317" t="str">
        <f t="shared" si="3240"/>
        <v>12:50</v>
      </c>
      <c r="P3195" s="317" t="str">
        <f t="shared" si="3240"/>
        <v>15:45</v>
      </c>
      <c r="Q3195" s="318">
        <f t="shared" si="3216"/>
        <v>46139.41667</v>
      </c>
      <c r="R3195" s="318">
        <f t="shared" si="3217"/>
        <v>46139.53472</v>
      </c>
      <c r="S3195" s="318">
        <f t="shared" si="8"/>
        <v>46139.65625</v>
      </c>
    </row>
    <row r="3196">
      <c r="A3196" s="14" t="str">
        <f t="shared" si="1"/>
        <v>C137646139</v>
      </c>
      <c r="B3196" s="185" t="str">
        <f t="array" ref="B3196">IF(F3196="VL","",IF(F3196="Free","Free",XLOOKUP(D3196,Roster!T:T,Roster!S:S,"",0)))</f>
        <v/>
      </c>
      <c r="C3196" s="313">
        <v>46139.0</v>
      </c>
      <c r="D3196" s="314" t="s">
        <v>151</v>
      </c>
      <c r="E3196" s="307" t="str">
        <f t="array" ref="E3196">(XLOOKUP(D3196,Roster!F:F,Roster!B:B,"",0))</f>
        <v>Sebastian Quiroz</v>
      </c>
      <c r="F3196" s="315" t="str">
        <f t="array" ref="F3196">IF(B3196=100,"Free",TEXT(XLOOKUP($D3196,OperationVoice!$A:$A,OperationVoice!AG:AG,XLOOKUP($D3196,OperationTickets!$A:$A,OperationTickets!AG:AG,"",0)),"hh:mm"))</f>
        <v>08:00</v>
      </c>
      <c r="G3196" s="309">
        <f t="shared" si="3"/>
        <v>0.7083333333</v>
      </c>
      <c r="H3196" s="316" t="str">
        <f t="array" ref="H3196">XLOOKUP(B3196,Roster!L:L,Roster!N:N,XLOOKUP(D3196,TicketsBreak!A:A,TicketsBreak!E:E,"",0),0)</f>
        <v/>
      </c>
      <c r="I3196" s="316" t="str">
        <f t="array" ref="I3196">XLOOKUP(B3196,Roster!L:L,Roster!O:O,XLOOKUP(D3196,TicketsBreak!A:A,TicketsBreak!F:F,"",0),0)</f>
        <v/>
      </c>
      <c r="J3196" s="316" t="str">
        <f t="array" ref="J3196">XLOOKUP(B3196,Roster!L:L,Roster!P:P,XLOOKUP(D3196,TicketsBreak!A:A,TicketsBreak!G:G,"",0),0)</f>
        <v/>
      </c>
      <c r="K3196" s="310">
        <f t="shared" si="4"/>
        <v>46139</v>
      </c>
      <c r="L3196" s="317">
        <f t="array" ref="L3196">(XLOOKUP(D3196,Roster!F:F,Roster!D:D,"",0))</f>
        <v>31</v>
      </c>
      <c r="M3196" s="317" t="str">
        <f t="array" ref="M3196">XLOOKUP(D3196,Roster!F:F,Roster!E:E)</f>
        <v>Tickets</v>
      </c>
      <c r="N3196" s="317" t="str">
        <f t="shared" ref="N3196:P3196" si="3241">LEFT(H3196,5)</f>
        <v/>
      </c>
      <c r="O3196" s="317" t="str">
        <f t="shared" si="3241"/>
        <v/>
      </c>
      <c r="P3196" s="317" t="str">
        <f t="shared" si="3241"/>
        <v/>
      </c>
      <c r="Q3196" s="318" t="str">
        <f t="shared" si="3216"/>
        <v/>
      </c>
      <c r="R3196" s="318" t="str">
        <f t="shared" si="3217"/>
        <v/>
      </c>
      <c r="S3196" s="318" t="str">
        <f t="shared" si="8"/>
        <v/>
      </c>
    </row>
    <row r="3197">
      <c r="A3197" s="14" t="str">
        <f t="shared" si="1"/>
        <v>C72646139</v>
      </c>
      <c r="B3197" s="185" t="str">
        <f t="array" ref="B3197">IF(F3197="VL","",IF(F3197="Free","Free",XLOOKUP(D3197,Roster!T:T,Roster!S:S,"",0)))</f>
        <v/>
      </c>
      <c r="C3197" s="313">
        <v>46139.0</v>
      </c>
      <c r="D3197" s="314" t="s">
        <v>185</v>
      </c>
      <c r="E3197" s="307" t="str">
        <f t="array" ref="E3197">(XLOOKUP(D3197,Roster!F:F,Roster!B:B,"",0))</f>
        <v>Sebastian Rodriguez</v>
      </c>
      <c r="F3197" s="315" t="str">
        <f t="array" ref="F3197">IF(B3197=100,"Free",TEXT(XLOOKUP($D3197,OperationVoice!$A:$A,OperationVoice!AG:AG,XLOOKUP($D3197,OperationTickets!$A:$A,OperationTickets!AG:AG,"",0)),"hh:mm"))</f>
        <v>08:00</v>
      </c>
      <c r="G3197" s="309">
        <f t="shared" si="3"/>
        <v>0.7083333333</v>
      </c>
      <c r="H3197" s="316">
        <f t="array" ref="H3197">XLOOKUP(B3197,Roster!L:L,Roster!N:N,XLOOKUP(D3197,TicketsBreak!A:A,TicketsBreak!E:E,"",0),0)</f>
        <v>0.4166666667</v>
      </c>
      <c r="I3197" s="316">
        <f t="array" ref="I3197">XLOOKUP(B3197,Roster!L:L,Roster!O:O,XLOOKUP(D3197,TicketsBreak!A:A,TicketsBreak!F:F,"",0),0)</f>
        <v>0.5625</v>
      </c>
      <c r="J3197" s="316">
        <f t="array" ref="J3197">XLOOKUP(B3197,Roster!L:L,Roster!P:P,XLOOKUP(D3197,TicketsBreak!A:A,TicketsBreak!G:G,"",0),0)</f>
        <v>0.6458333333</v>
      </c>
      <c r="K3197" s="310">
        <f t="shared" si="4"/>
        <v>46139</v>
      </c>
      <c r="L3197" s="317">
        <f t="array" ref="L3197">(XLOOKUP(D3197,Roster!F:F,Roster!D:D,"",0))</f>
        <v>7</v>
      </c>
      <c r="M3197" s="317" t="str">
        <f t="array" ref="M3197">XLOOKUP(D3197,Roster!F:F,Roster!E:E)</f>
        <v>Tickets</v>
      </c>
      <c r="N3197" s="317" t="str">
        <f t="shared" ref="N3197:P3197" si="3242">LEFT(H3197,5)</f>
        <v>10:00</v>
      </c>
      <c r="O3197" s="317" t="str">
        <f t="shared" si="3242"/>
        <v>13:30</v>
      </c>
      <c r="P3197" s="317" t="str">
        <f t="shared" si="3242"/>
        <v>15:30</v>
      </c>
      <c r="Q3197" s="318">
        <f t="shared" si="3216"/>
        <v>46139.41667</v>
      </c>
      <c r="R3197" s="318">
        <f t="shared" si="3217"/>
        <v>46139.5625</v>
      </c>
      <c r="S3197" s="318">
        <f t="shared" si="8"/>
        <v>46139.64583</v>
      </c>
    </row>
    <row r="3198">
      <c r="A3198" s="14" t="str">
        <f t="shared" si="1"/>
        <v>C60246139</v>
      </c>
      <c r="B3198" s="185" t="str">
        <f t="array" ref="B3198">IF(F3198="VL","",IF(F3198="Free","Free",XLOOKUP(D3198,Roster!T:T,Roster!S:S,"",0)))</f>
        <v/>
      </c>
      <c r="C3198" s="313">
        <v>46139.0</v>
      </c>
      <c r="D3198" s="314" t="s">
        <v>170</v>
      </c>
      <c r="E3198" s="307" t="str">
        <f t="array" ref="E3198">(XLOOKUP(D3198,Roster!F:F,Roster!B:B,"",0))</f>
        <v>Sebastian Torres</v>
      </c>
      <c r="F3198" s="315" t="str">
        <f t="array" ref="F3198">IF(B3198=100,"Free",TEXT(XLOOKUP($D3198,OperationVoice!$A:$A,OperationVoice!AG:AG,XLOOKUP($D3198,OperationTickets!$A:$A,OperationTickets!AG:AG,"",0)),"hh:mm"))</f>
        <v>08:00</v>
      </c>
      <c r="G3198" s="309">
        <f t="shared" si="3"/>
        <v>0.7083333333</v>
      </c>
      <c r="H3198" s="316">
        <f t="array" ref="H3198">XLOOKUP(B3198,Roster!L:L,Roster!N:N,XLOOKUP(D3198,TicketsBreak!A:A,TicketsBreak!E:E,"",0),0)</f>
        <v>0.4583333333</v>
      </c>
      <c r="I3198" s="316">
        <f t="array" ref="I3198">XLOOKUP(B3198,Roster!L:L,Roster!O:O,XLOOKUP(D3198,TicketsBreak!A:A,TicketsBreak!F:F,"",0),0)</f>
        <v>0.5833333333</v>
      </c>
      <c r="J3198" s="316">
        <f t="array" ref="J3198">XLOOKUP(B3198,Roster!L:L,Roster!P:P,XLOOKUP(D3198,TicketsBreak!A:A,TicketsBreak!G:G,"",0),0)</f>
        <v>0.65625</v>
      </c>
      <c r="K3198" s="310">
        <f t="shared" si="4"/>
        <v>46139</v>
      </c>
      <c r="L3198" s="317">
        <f t="array" ref="L3198">(XLOOKUP(D3198,Roster!F:F,Roster!D:D,"",0))</f>
        <v>8</v>
      </c>
      <c r="M3198" s="317" t="str">
        <f t="array" ref="M3198">XLOOKUP(D3198,Roster!F:F,Roster!E:E)</f>
        <v>Tickets</v>
      </c>
      <c r="N3198" s="317" t="str">
        <f t="shared" ref="N3198:P3198" si="3243">LEFT(H3198,5)</f>
        <v>11:00</v>
      </c>
      <c r="O3198" s="317" t="str">
        <f t="shared" si="3243"/>
        <v>14:00</v>
      </c>
      <c r="P3198" s="317" t="str">
        <f t="shared" si="3243"/>
        <v>15:45</v>
      </c>
      <c r="Q3198" s="318">
        <f t="shared" si="3216"/>
        <v>46139.45833</v>
      </c>
      <c r="R3198" s="318">
        <f t="shared" si="3217"/>
        <v>46139.58333</v>
      </c>
      <c r="S3198" s="318">
        <f t="shared" si="8"/>
        <v>46139.65625</v>
      </c>
    </row>
    <row r="3199">
      <c r="A3199" s="14" t="str">
        <f t="shared" si="1"/>
        <v>C143146139</v>
      </c>
      <c r="B3199" s="185">
        <f t="array" ref="B3199">IF(F3199="VL","",IF(F3199="Free","Free",XLOOKUP(D3199,Roster!T:T,Roster!S:S,"",0)))</f>
        <v>151</v>
      </c>
      <c r="C3199" s="313">
        <v>46139.0</v>
      </c>
      <c r="D3199" s="314" t="s">
        <v>74</v>
      </c>
      <c r="E3199" s="307" t="str">
        <f t="array" ref="E3199">(XLOOKUP(D3199,Roster!F:F,Roster!B:B,"",0))</f>
        <v>Sebastian Torres Gomez</v>
      </c>
      <c r="F3199" s="315" t="str">
        <f t="array" ref="F3199">IF(B3199=100,"Free",TEXT(XLOOKUP($D3199,OperationVoice!$A:$A,OperationVoice!AG:AG,XLOOKUP($D3199,OperationTickets!$A:$A,OperationTickets!AG:AG,"",0)),"hh:mm"))</f>
        <v>11:00</v>
      </c>
      <c r="G3199" s="309">
        <f t="shared" si="3"/>
        <v>0.8333333333</v>
      </c>
      <c r="H3199" s="316" t="str">
        <f t="array" ref="H3199">XLOOKUP(B3199,Roster!L:L,Roster!N:N,XLOOKUP(D3199,TicketsBreak!A:A,TicketsBreak!E:E,"",0),0)</f>
        <v>12:15 - 12:30</v>
      </c>
      <c r="I3199" s="316" t="str">
        <f t="array" ref="I3199">XLOOKUP(B3199,Roster!L:L,Roster!O:O,XLOOKUP(D3199,TicketsBreak!A:A,TicketsBreak!F:F,"",0),0)</f>
        <v>14:00 - 14:30</v>
      </c>
      <c r="J3199" s="316" t="str">
        <f t="array" ref="J3199">XLOOKUP(B3199,Roster!L:L,Roster!P:P,XLOOKUP(D3199,TicketsBreak!A:A,TicketsBreak!G:G,"",0),0)</f>
        <v>17:15 - 17:30</v>
      </c>
      <c r="K3199" s="310">
        <f t="shared" si="4"/>
        <v>46139</v>
      </c>
      <c r="L3199" s="317">
        <f t="array" ref="L3199">(XLOOKUP(D3199,Roster!F:F,Roster!D:D,"",0))</f>
        <v>32</v>
      </c>
      <c r="M3199" s="317" t="str">
        <f t="array" ref="M3199">XLOOKUP(D3199,Roster!F:F,Roster!E:E)</f>
        <v>Voice</v>
      </c>
      <c r="N3199" s="317" t="str">
        <f t="shared" ref="N3199:P3199" si="3244">LEFT(H3199,5)</f>
        <v>12:15</v>
      </c>
      <c r="O3199" s="317" t="str">
        <f t="shared" si="3244"/>
        <v>14:00</v>
      </c>
      <c r="P3199" s="317" t="str">
        <f t="shared" si="3244"/>
        <v>17:15</v>
      </c>
      <c r="Q3199" s="318">
        <f t="shared" si="3216"/>
        <v>46139.51042</v>
      </c>
      <c r="R3199" s="318">
        <f t="shared" si="3217"/>
        <v>46139.58333</v>
      </c>
      <c r="S3199" s="318">
        <f t="shared" si="8"/>
        <v>46139.71875</v>
      </c>
    </row>
    <row r="3200">
      <c r="A3200" s="14" t="str">
        <f t="shared" si="1"/>
        <v>C149146139</v>
      </c>
      <c r="B3200" s="185" t="str">
        <f t="array" ref="B3200">IF(F3200="VL","",IF(F3200="Free","Free",XLOOKUP(D3200,Roster!T:T,Roster!S:S,"",0)))</f>
        <v/>
      </c>
      <c r="C3200" s="313">
        <v>46139.0</v>
      </c>
      <c r="D3200" s="314" t="s">
        <v>315</v>
      </c>
      <c r="E3200" s="307" t="str">
        <f t="array" ref="E3200">(XLOOKUP(D3200,Roster!F:F,Roster!B:B,"",0))</f>
        <v>Sebastian Vanegas</v>
      </c>
      <c r="F3200" s="315" t="str">
        <f t="array" ref="F3200">IF(B3200=100,"Free",TEXT(XLOOKUP($D3200,OperationVoice!$A:$A,OperationVoice!AG:AG,XLOOKUP($D3200,OperationTickets!$A:$A,OperationTickets!AG:AG,"",0)),"hh:mm"))</f>
        <v/>
      </c>
      <c r="G3200" s="309" t="str">
        <f t="shared" si="3"/>
        <v/>
      </c>
      <c r="H3200" s="316" t="str">
        <f t="array" ref="H3200">XLOOKUP(B3200,Roster!L:L,Roster!N:N,XLOOKUP(D3200,TicketsBreak!A:A,TicketsBreak!E:E,"",0),0)</f>
        <v/>
      </c>
      <c r="I3200" s="316" t="str">
        <f t="array" ref="I3200">XLOOKUP(B3200,Roster!L:L,Roster!O:O,XLOOKUP(D3200,TicketsBreak!A:A,TicketsBreak!F:F,"",0),0)</f>
        <v/>
      </c>
      <c r="J3200" s="316" t="str">
        <f t="array" ref="J3200">XLOOKUP(B3200,Roster!L:L,Roster!P:P,XLOOKUP(D3200,TicketsBreak!A:A,TicketsBreak!G:G,"",0),0)</f>
        <v/>
      </c>
      <c r="K3200" s="310">
        <f t="shared" si="4"/>
        <v>46139</v>
      </c>
      <c r="L3200" s="317">
        <f t="array" ref="L3200">(XLOOKUP(D3200,Roster!F:F,Roster!D:D,"",0))</f>
        <v>34</v>
      </c>
      <c r="M3200" s="317" t="str">
        <f t="array" ref="M3200">XLOOKUP(D3200,Roster!F:F,Roster!E:E)</f>
        <v>Voice</v>
      </c>
      <c r="N3200" s="317" t="str">
        <f t="shared" ref="N3200:P3200" si="3245">LEFT(H3200,5)</f>
        <v/>
      </c>
      <c r="O3200" s="317" t="str">
        <f t="shared" si="3245"/>
        <v/>
      </c>
      <c r="P3200" s="317" t="str">
        <f t="shared" si="3245"/>
        <v/>
      </c>
      <c r="Q3200" s="318" t="str">
        <f t="shared" si="3216"/>
        <v/>
      </c>
      <c r="R3200" s="318" t="str">
        <f t="shared" si="3217"/>
        <v/>
      </c>
      <c r="S3200" s="318" t="str">
        <f t="shared" si="8"/>
        <v/>
      </c>
    </row>
    <row r="3201">
      <c r="A3201" s="14" t="str">
        <f t="shared" si="1"/>
        <v>C93746139</v>
      </c>
      <c r="B3201" s="185">
        <f t="array" ref="B3201">IF(F3201="VL","",IF(F3201="Free","Free",XLOOKUP(D3201,Roster!T:T,Roster!S:S,"",0)))</f>
        <v>126</v>
      </c>
      <c r="C3201" s="313">
        <v>46139.0</v>
      </c>
      <c r="D3201" s="314" t="s">
        <v>75</v>
      </c>
      <c r="E3201" s="307" t="str">
        <f t="array" ref="E3201">(XLOOKUP(D3201,Roster!F:F,Roster!B:B,"",0))</f>
        <v>Sebastian Zapata</v>
      </c>
      <c r="F3201" s="315" t="str">
        <f t="array" ref="F3201">IF(B3201=100,"Free",TEXT(XLOOKUP($D3201,OperationVoice!$A:$A,OperationVoice!AG:AG,XLOOKUP($D3201,OperationTickets!$A:$A,OperationTickets!AG:AG,"",0)),"hh:mm"))</f>
        <v>08:00</v>
      </c>
      <c r="G3201" s="309">
        <f t="shared" si="3"/>
        <v>0.7083333333</v>
      </c>
      <c r="H3201" s="316" t="str">
        <f t="array" ref="H3201">XLOOKUP(B3201,Roster!L:L,Roster!N:N,XLOOKUP(D3201,TicketsBreak!A:A,TicketsBreak!E:E,"",0),0)</f>
        <v>10:45 - 11:00</v>
      </c>
      <c r="I3201" s="316" t="str">
        <f t="array" ref="I3201">XLOOKUP(B3201,Roster!L:L,Roster!O:O,XLOOKUP(D3201,TicketsBreak!A:A,TicketsBreak!F:F,"",0),0)</f>
        <v>14:00 - 14:30</v>
      </c>
      <c r="J3201" s="316" t="str">
        <f t="array" ref="J3201">XLOOKUP(B3201,Roster!L:L,Roster!P:P,XLOOKUP(D3201,TicketsBreak!A:A,TicketsBreak!G:G,"",0),0)</f>
        <v>15:45 - 16:00</v>
      </c>
      <c r="K3201" s="310">
        <f t="shared" si="4"/>
        <v>46139</v>
      </c>
      <c r="L3201" s="317">
        <f t="array" ref="L3201">(XLOOKUP(D3201,Roster!F:F,Roster!D:D,"",0))</f>
        <v>12</v>
      </c>
      <c r="M3201" s="317" t="str">
        <f t="array" ref="M3201">XLOOKUP(D3201,Roster!F:F,Roster!E:E)</f>
        <v>Voice</v>
      </c>
      <c r="N3201" s="317" t="str">
        <f t="shared" ref="N3201:P3201" si="3246">LEFT(H3201,5)</f>
        <v>10:45</v>
      </c>
      <c r="O3201" s="317" t="str">
        <f t="shared" si="3246"/>
        <v>14:00</v>
      </c>
      <c r="P3201" s="317" t="str">
        <f t="shared" si="3246"/>
        <v>15:45</v>
      </c>
      <c r="Q3201" s="318">
        <f t="shared" si="3216"/>
        <v>46139.44792</v>
      </c>
      <c r="R3201" s="318">
        <f t="shared" si="3217"/>
        <v>46139.58333</v>
      </c>
      <c r="S3201" s="318">
        <f t="shared" si="8"/>
        <v>46139.65625</v>
      </c>
    </row>
    <row r="3202">
      <c r="A3202" s="14" t="str">
        <f t="shared" si="1"/>
        <v>C156546139</v>
      </c>
      <c r="B3202" s="185">
        <f t="array" ref="B3202">IF(F3202="VL","",IF(F3202="Free","Free",XLOOKUP(D3202,Roster!T:T,Roster!S:S,"",0)))</f>
        <v>122</v>
      </c>
      <c r="C3202" s="313">
        <v>46139.0</v>
      </c>
      <c r="D3202" s="314" t="s">
        <v>76</v>
      </c>
      <c r="E3202" s="307" t="str">
        <f t="array" ref="E3202">(XLOOKUP(D3202,Roster!F:F,Roster!B:B,"",0))</f>
        <v>Sergio Rojas</v>
      </c>
      <c r="F3202" s="315" t="str">
        <f t="array" ref="F3202">IF(B3202=100,"Free",TEXT(XLOOKUP($D3202,OperationVoice!$A:$A,OperationVoice!AG:AG,XLOOKUP($D3202,OperationTickets!$A:$A,OperationTickets!AG:AG,"",0)),"hh:mm"))</f>
        <v>11:00</v>
      </c>
      <c r="G3202" s="309">
        <f t="shared" si="3"/>
        <v>0.8333333333</v>
      </c>
      <c r="H3202" s="316" t="str">
        <f t="array" ref="H3202">XLOOKUP(B3202,Roster!L:L,Roster!N:N,XLOOKUP(D3202,TicketsBreak!A:A,TicketsBreak!E:E,"",0),0)</f>
        <v>09:30 - 09:45</v>
      </c>
      <c r="I3202" s="316" t="str">
        <f t="array" ref="I3202">XLOOKUP(B3202,Roster!L:L,Roster!O:O,XLOOKUP(D3202,TicketsBreak!A:A,TicketsBreak!F:F,"",0),0)</f>
        <v>12:00 - 12:30</v>
      </c>
      <c r="J3202" s="316" t="str">
        <f t="array" ref="J3202">XLOOKUP(B3202,Roster!L:L,Roster!P:P,XLOOKUP(D3202,TicketsBreak!A:A,TicketsBreak!G:G,"",0),0)</f>
        <v>14:45 - 15:00</v>
      </c>
      <c r="K3202" s="310">
        <f t="shared" si="4"/>
        <v>46139</v>
      </c>
      <c r="L3202" s="317">
        <f t="array" ref="L3202">(XLOOKUP(D3202,Roster!F:F,Roster!D:D,"",0))</f>
        <v>38</v>
      </c>
      <c r="M3202" s="317" t="str">
        <f t="array" ref="M3202">XLOOKUP(D3202,Roster!F:F,Roster!E:E)</f>
        <v>Voice</v>
      </c>
      <c r="N3202" s="317" t="str">
        <f t="shared" ref="N3202:P3202" si="3247">LEFT(H3202,5)</f>
        <v>09:30</v>
      </c>
      <c r="O3202" s="317" t="str">
        <f t="shared" si="3247"/>
        <v>12:00</v>
      </c>
      <c r="P3202" s="317" t="str">
        <f t="shared" si="3247"/>
        <v>14:45</v>
      </c>
      <c r="Q3202" s="318">
        <f t="shared" si="3216"/>
        <v>46139.39583</v>
      </c>
      <c r="R3202" s="318">
        <f t="shared" si="3217"/>
        <v>46139.5</v>
      </c>
      <c r="S3202" s="318">
        <f t="shared" si="8"/>
        <v>46139.61458</v>
      </c>
    </row>
    <row r="3203">
      <c r="A3203" s="14" t="str">
        <f t="shared" si="1"/>
        <v>C147846139</v>
      </c>
      <c r="B3203" s="185" t="str">
        <f t="array" ref="B3203">IF(F3203="VL","",IF(F3203="Free","Free",XLOOKUP(D3203,Roster!T:T,Roster!S:S,"",0)))</f>
        <v/>
      </c>
      <c r="C3203" s="313">
        <v>46139.0</v>
      </c>
      <c r="D3203" s="314" t="s">
        <v>186</v>
      </c>
      <c r="E3203" s="307" t="str">
        <f t="array" ref="E3203">(XLOOKUP(D3203,Roster!F:F,Roster!B:B,"",0))</f>
        <v>Simon Atehortua</v>
      </c>
      <c r="F3203" s="315" t="str">
        <f t="array" ref="F3203">IF(B3203=100,"Free",TEXT(XLOOKUP($D3203,OperationVoice!$A:$A,OperationVoice!AG:AG,XLOOKUP($D3203,OperationTickets!$A:$A,OperationTickets!AG:AG,"",0)),"hh:mm"))</f>
        <v>07:00</v>
      </c>
      <c r="G3203" s="309">
        <f t="shared" si="3"/>
        <v>0.6666666667</v>
      </c>
      <c r="H3203" s="316" t="str">
        <f t="array" ref="H3203">XLOOKUP(B3203,Roster!L:L,Roster!N:N,XLOOKUP(D3203,TicketsBreak!A:A,TicketsBreak!E:E,"",0),0)</f>
        <v/>
      </c>
      <c r="I3203" s="316" t="str">
        <f t="array" ref="I3203">XLOOKUP(B3203,Roster!L:L,Roster!O:O,XLOOKUP(D3203,TicketsBreak!A:A,TicketsBreak!F:F,"",0),0)</f>
        <v/>
      </c>
      <c r="J3203" s="316" t="str">
        <f t="array" ref="J3203">XLOOKUP(B3203,Roster!L:L,Roster!P:P,XLOOKUP(D3203,TicketsBreak!A:A,TicketsBreak!G:G,"",0),0)</f>
        <v/>
      </c>
      <c r="K3203" s="310">
        <f t="shared" si="4"/>
        <v>46139</v>
      </c>
      <c r="L3203" s="317">
        <f t="array" ref="L3203">(XLOOKUP(D3203,Roster!F:F,Roster!D:D,"",0))</f>
        <v>32</v>
      </c>
      <c r="M3203" s="317" t="str">
        <f t="array" ref="M3203">XLOOKUP(D3203,Roster!F:F,Roster!E:E)</f>
        <v>Tickets</v>
      </c>
      <c r="N3203" s="317" t="str">
        <f t="shared" ref="N3203:P3203" si="3248">LEFT(H3203,5)</f>
        <v/>
      </c>
      <c r="O3203" s="317" t="str">
        <f t="shared" si="3248"/>
        <v/>
      </c>
      <c r="P3203" s="317" t="str">
        <f t="shared" si="3248"/>
        <v/>
      </c>
      <c r="Q3203" s="318" t="str">
        <f t="shared" si="3216"/>
        <v/>
      </c>
      <c r="R3203" s="318" t="str">
        <f t="shared" si="3217"/>
        <v/>
      </c>
      <c r="S3203" s="318" t="str">
        <f t="shared" si="8"/>
        <v/>
      </c>
    </row>
    <row r="3204">
      <c r="A3204" s="14" t="str">
        <f t="shared" si="1"/>
        <v>C148346139</v>
      </c>
      <c r="B3204" s="185">
        <f t="array" ref="B3204">IF(F3204="VL","",IF(F3204="Free","Free",XLOOKUP(D3204,Roster!T:T,Roster!S:S,"",0)))</f>
        <v>152</v>
      </c>
      <c r="C3204" s="313">
        <v>46139.0</v>
      </c>
      <c r="D3204" s="314" t="s">
        <v>77</v>
      </c>
      <c r="E3204" s="307" t="str">
        <f t="array" ref="E3204">(XLOOKUP(D3204,Roster!F:F,Roster!B:B,"",0))</f>
        <v>Simon Zuluaica</v>
      </c>
      <c r="F3204" s="315" t="str">
        <f t="array" ref="F3204">IF(B3204=100,"Free",TEXT(XLOOKUP($D3204,OperationVoice!$A:$A,OperationVoice!AG:AG,XLOOKUP($D3204,OperationTickets!$A:$A,OperationTickets!AG:AG,"",0)),"hh:mm"))</f>
        <v>11:00</v>
      </c>
      <c r="G3204" s="309">
        <f t="shared" si="3"/>
        <v>0.8333333333</v>
      </c>
      <c r="H3204" s="316" t="str">
        <f t="array" ref="H3204">XLOOKUP(B3204,Roster!L:L,Roster!N:N,XLOOKUP(D3204,TicketsBreak!A:A,TicketsBreak!E:E,"",0),0)</f>
        <v>12:30 - 12:45</v>
      </c>
      <c r="I3204" s="316" t="str">
        <f t="array" ref="I3204">XLOOKUP(B3204,Roster!L:L,Roster!O:O,XLOOKUP(D3204,TicketsBreak!A:A,TicketsBreak!F:F,"",0),0)</f>
        <v>14:30 - 15:00</v>
      </c>
      <c r="J3204" s="316" t="str">
        <f t="array" ref="J3204">XLOOKUP(B3204,Roster!L:L,Roster!P:P,XLOOKUP(D3204,TicketsBreak!A:A,TicketsBreak!G:G,"",0),0)</f>
        <v>17:30 - 17:45</v>
      </c>
      <c r="K3204" s="310">
        <f t="shared" si="4"/>
        <v>46139</v>
      </c>
      <c r="L3204" s="317">
        <f t="array" ref="L3204">(XLOOKUP(D3204,Roster!F:F,Roster!D:D,"",0))</f>
        <v>34</v>
      </c>
      <c r="M3204" s="317" t="str">
        <f t="array" ref="M3204">XLOOKUP(D3204,Roster!F:F,Roster!E:E)</f>
        <v>Voice</v>
      </c>
      <c r="N3204" s="317" t="str">
        <f t="shared" ref="N3204:P3204" si="3249">LEFT(H3204,5)</f>
        <v>12:30</v>
      </c>
      <c r="O3204" s="317" t="str">
        <f t="shared" si="3249"/>
        <v>14:30</v>
      </c>
      <c r="P3204" s="317" t="str">
        <f t="shared" si="3249"/>
        <v>17:30</v>
      </c>
      <c r="Q3204" s="318">
        <f t="shared" si="3216"/>
        <v>46139.52083</v>
      </c>
      <c r="R3204" s="318">
        <f t="shared" si="3217"/>
        <v>46139.60417</v>
      </c>
      <c r="S3204" s="318">
        <f t="shared" si="8"/>
        <v>46139.72917</v>
      </c>
    </row>
    <row r="3205">
      <c r="A3205" s="14" t="str">
        <f t="shared" si="1"/>
        <v>C154046139</v>
      </c>
      <c r="B3205" s="185">
        <f t="array" ref="B3205">IF(F3205="VL","",IF(F3205="Free","Free",XLOOKUP(D3205,Roster!T:T,Roster!S:S,"",0)))</f>
        <v>122</v>
      </c>
      <c r="C3205" s="313">
        <v>46139.0</v>
      </c>
      <c r="D3205" s="314" t="s">
        <v>78</v>
      </c>
      <c r="E3205" s="307" t="str">
        <f t="array" ref="E3205">(XLOOKUP(D3205,Roster!F:F,Roster!B:B,"",0))</f>
        <v>Tomas Perez</v>
      </c>
      <c r="F3205" s="315" t="str">
        <f t="array" ref="F3205">IF(B3205=100,"Free",TEXT(XLOOKUP($D3205,OperationVoice!$A:$A,OperationVoice!AG:AG,XLOOKUP($D3205,OperationTickets!$A:$A,OperationTickets!AG:AG,"",0)),"hh:mm"))</f>
        <v>08:00</v>
      </c>
      <c r="G3205" s="309">
        <f t="shared" si="3"/>
        <v>0.7083333333</v>
      </c>
      <c r="H3205" s="316" t="str">
        <f t="array" ref="H3205">XLOOKUP(B3205,Roster!L:L,Roster!N:N,XLOOKUP(D3205,TicketsBreak!A:A,TicketsBreak!E:E,"",0),0)</f>
        <v>09:30 - 09:45</v>
      </c>
      <c r="I3205" s="316" t="str">
        <f t="array" ref="I3205">XLOOKUP(B3205,Roster!L:L,Roster!O:O,XLOOKUP(D3205,TicketsBreak!A:A,TicketsBreak!F:F,"",0),0)</f>
        <v>12:00 - 12:30</v>
      </c>
      <c r="J3205" s="316" t="str">
        <f t="array" ref="J3205">XLOOKUP(B3205,Roster!L:L,Roster!P:P,XLOOKUP(D3205,TicketsBreak!A:A,TicketsBreak!G:G,"",0),0)</f>
        <v>14:45 - 15:00</v>
      </c>
      <c r="K3205" s="310">
        <f t="shared" si="4"/>
        <v>46139</v>
      </c>
      <c r="L3205" s="317">
        <f t="array" ref="L3205">(XLOOKUP(D3205,Roster!F:F,Roster!D:D,"",0))</f>
        <v>36</v>
      </c>
      <c r="M3205" s="317" t="str">
        <f t="array" ref="M3205">XLOOKUP(D3205,Roster!F:F,Roster!E:E)</f>
        <v>Voice</v>
      </c>
      <c r="N3205" s="317" t="str">
        <f t="shared" ref="N3205:P3205" si="3250">LEFT(H3205,5)</f>
        <v>09:30</v>
      </c>
      <c r="O3205" s="317" t="str">
        <f t="shared" si="3250"/>
        <v>12:00</v>
      </c>
      <c r="P3205" s="317" t="str">
        <f t="shared" si="3250"/>
        <v>14:45</v>
      </c>
      <c r="Q3205" s="318">
        <f t="shared" si="3216"/>
        <v>46139.39583</v>
      </c>
      <c r="R3205" s="318">
        <f t="shared" si="3217"/>
        <v>46139.5</v>
      </c>
      <c r="S3205" s="318">
        <f t="shared" si="8"/>
        <v>46139.61458</v>
      </c>
    </row>
    <row r="3206">
      <c r="A3206" s="14" t="str">
        <f t="shared" si="1"/>
        <v>C154746139</v>
      </c>
      <c r="B3206" s="185">
        <f t="array" ref="B3206">IF(F3206="VL","",IF(F3206="Free","Free",XLOOKUP(D3206,Roster!T:T,Roster!S:S,"",0)))</f>
        <v>121</v>
      </c>
      <c r="C3206" s="313">
        <v>46139.0</v>
      </c>
      <c r="D3206" s="314" t="s">
        <v>79</v>
      </c>
      <c r="E3206" s="307" t="str">
        <f t="array" ref="E3206">(XLOOKUP(D3206,Roster!F:F,Roster!B:B,"",0))</f>
        <v>Valentina Barreto</v>
      </c>
      <c r="F3206" s="315" t="str">
        <f t="array" ref="F3206">IF(B3206=100,"Free",TEXT(XLOOKUP($D3206,OperationVoice!$A:$A,OperationVoice!AG:AG,XLOOKUP($D3206,OperationTickets!$A:$A,OperationTickets!AG:AG,"",0)),"hh:mm"))</f>
        <v>08:00</v>
      </c>
      <c r="G3206" s="309">
        <f t="shared" si="3"/>
        <v>0.7083333333</v>
      </c>
      <c r="H3206" s="316" t="str">
        <f t="array" ref="H3206">XLOOKUP(B3206,Roster!L:L,Roster!N:N,XLOOKUP(D3206,TicketsBreak!A:A,TicketsBreak!E:E,"",0),0)</f>
        <v>09:15 - 09:30</v>
      </c>
      <c r="I3206" s="316" t="str">
        <f t="array" ref="I3206">XLOOKUP(B3206,Roster!L:L,Roster!O:O,XLOOKUP(D3206,TicketsBreak!A:A,TicketsBreak!F:F,"",0),0)</f>
        <v>11:30 - 12:00</v>
      </c>
      <c r="J3206" s="316" t="str">
        <f t="array" ref="J3206">XLOOKUP(B3206,Roster!L:L,Roster!P:P,XLOOKUP(D3206,TicketsBreak!A:A,TicketsBreak!G:G,"",0),0)</f>
        <v>14:30 - 14:45</v>
      </c>
      <c r="K3206" s="310">
        <f t="shared" si="4"/>
        <v>46139</v>
      </c>
      <c r="L3206" s="317">
        <f t="array" ref="L3206">(XLOOKUP(D3206,Roster!F:F,Roster!D:D,"",0))</f>
        <v>37</v>
      </c>
      <c r="M3206" s="317" t="str">
        <f t="array" ref="M3206">XLOOKUP(D3206,Roster!F:F,Roster!E:E)</f>
        <v>Voice</v>
      </c>
      <c r="N3206" s="317" t="str">
        <f t="shared" ref="N3206:P3206" si="3251">LEFT(H3206,5)</f>
        <v>09:15</v>
      </c>
      <c r="O3206" s="317" t="str">
        <f t="shared" si="3251"/>
        <v>11:30</v>
      </c>
      <c r="P3206" s="317" t="str">
        <f t="shared" si="3251"/>
        <v>14:30</v>
      </c>
      <c r="Q3206" s="318">
        <f t="shared" si="3216"/>
        <v>46139.38542</v>
      </c>
      <c r="R3206" s="318">
        <f t="shared" si="3217"/>
        <v>46139.47917</v>
      </c>
      <c r="S3206" s="318">
        <f t="shared" si="8"/>
        <v>46139.60417</v>
      </c>
    </row>
    <row r="3207">
      <c r="A3207" s="14" t="str">
        <f t="shared" si="1"/>
        <v>C155346139</v>
      </c>
      <c r="B3207" s="185">
        <f t="array" ref="B3207">IF(F3207="VL","",IF(F3207="Free","Free",XLOOKUP(D3207,Roster!T:T,Roster!S:S,"",0)))</f>
        <v>122</v>
      </c>
      <c r="C3207" s="313">
        <v>46139.0</v>
      </c>
      <c r="D3207" s="314" t="s">
        <v>80</v>
      </c>
      <c r="E3207" s="307" t="str">
        <f t="array" ref="E3207">(XLOOKUP(D3207,Roster!F:F,Roster!B:B,"",0))</f>
        <v>Valentina Castro</v>
      </c>
      <c r="F3207" s="315" t="str">
        <f t="array" ref="F3207">IF(B3207=100,"Free",TEXT(XLOOKUP($D3207,OperationVoice!$A:$A,OperationVoice!AG:AG,XLOOKUP($D3207,OperationTickets!$A:$A,OperationTickets!AG:AG,"",0)),"hh:mm"))</f>
        <v>08:00</v>
      </c>
      <c r="G3207" s="309">
        <f t="shared" si="3"/>
        <v>0.7083333333</v>
      </c>
      <c r="H3207" s="316" t="str">
        <f t="array" ref="H3207">XLOOKUP(B3207,Roster!L:L,Roster!N:N,XLOOKUP(D3207,TicketsBreak!A:A,TicketsBreak!E:E,"",0),0)</f>
        <v>09:30 - 09:45</v>
      </c>
      <c r="I3207" s="316" t="str">
        <f t="array" ref="I3207">XLOOKUP(B3207,Roster!L:L,Roster!O:O,XLOOKUP(D3207,TicketsBreak!A:A,TicketsBreak!F:F,"",0),0)</f>
        <v>12:00 - 12:30</v>
      </c>
      <c r="J3207" s="316" t="str">
        <f t="array" ref="J3207">XLOOKUP(B3207,Roster!L:L,Roster!P:P,XLOOKUP(D3207,TicketsBreak!A:A,TicketsBreak!G:G,"",0),0)</f>
        <v>14:45 - 15:00</v>
      </c>
      <c r="K3207" s="310">
        <f t="shared" si="4"/>
        <v>46139</v>
      </c>
      <c r="L3207" s="317">
        <f t="array" ref="L3207">(XLOOKUP(D3207,Roster!F:F,Roster!D:D,"",0))</f>
        <v>37</v>
      </c>
      <c r="M3207" s="317" t="str">
        <f t="array" ref="M3207">XLOOKUP(D3207,Roster!F:F,Roster!E:E)</f>
        <v>Voice</v>
      </c>
      <c r="N3207" s="317" t="str">
        <f t="shared" ref="N3207:P3207" si="3252">LEFT(H3207,5)</f>
        <v>09:30</v>
      </c>
      <c r="O3207" s="317" t="str">
        <f t="shared" si="3252"/>
        <v>12:00</v>
      </c>
      <c r="P3207" s="317" t="str">
        <f t="shared" si="3252"/>
        <v>14:45</v>
      </c>
      <c r="Q3207" s="318">
        <f t="shared" si="3216"/>
        <v>46139.39583</v>
      </c>
      <c r="R3207" s="318">
        <f t="shared" si="3217"/>
        <v>46139.5</v>
      </c>
      <c r="S3207" s="318">
        <f t="shared" si="8"/>
        <v>46139.61458</v>
      </c>
    </row>
    <row r="3208">
      <c r="A3208" s="14" t="str">
        <f t="shared" si="1"/>
        <v>C150246139</v>
      </c>
      <c r="B3208" s="185" t="str">
        <f t="array" ref="B3208">IF(F3208="VL","",IF(F3208="Free","Free",XLOOKUP(D3208,Roster!T:T,Roster!S:S,"",0)))</f>
        <v/>
      </c>
      <c r="C3208" s="313">
        <v>46139.0</v>
      </c>
      <c r="D3208" s="314" t="s">
        <v>316</v>
      </c>
      <c r="E3208" s="307" t="str">
        <f t="array" ref="E3208">(XLOOKUP(D3208,Roster!F:F,Roster!B:B,"",0))</f>
        <v>Valentina Gallego</v>
      </c>
      <c r="F3208" s="315" t="str">
        <f t="array" ref="F3208">IF(B3208=100,"Free",TEXT(XLOOKUP($D3208,OperationVoice!$A:$A,OperationVoice!AG:AG,XLOOKUP($D3208,OperationTickets!$A:$A,OperationTickets!AG:AG,"",0)),"hh:mm"))</f>
        <v/>
      </c>
      <c r="G3208" s="309" t="str">
        <f t="shared" si="3"/>
        <v/>
      </c>
      <c r="H3208" s="316" t="str">
        <f t="array" ref="H3208">XLOOKUP(B3208,Roster!L:L,Roster!N:N,XLOOKUP(D3208,TicketsBreak!A:A,TicketsBreak!E:E,"",0),0)</f>
        <v/>
      </c>
      <c r="I3208" s="316" t="str">
        <f t="array" ref="I3208">XLOOKUP(B3208,Roster!L:L,Roster!O:O,XLOOKUP(D3208,TicketsBreak!A:A,TicketsBreak!F:F,"",0),0)</f>
        <v/>
      </c>
      <c r="J3208" s="316" t="str">
        <f t="array" ref="J3208">XLOOKUP(B3208,Roster!L:L,Roster!P:P,XLOOKUP(D3208,TicketsBreak!A:A,TicketsBreak!G:G,"",0),0)</f>
        <v/>
      </c>
      <c r="K3208" s="310">
        <f t="shared" si="4"/>
        <v>46139</v>
      </c>
      <c r="L3208" s="317">
        <f t="array" ref="L3208">(XLOOKUP(D3208,Roster!F:F,Roster!D:D,"",0))</f>
        <v>35</v>
      </c>
      <c r="M3208" s="317" t="str">
        <f t="array" ref="M3208">XLOOKUP(D3208,Roster!F:F,Roster!E:E)</f>
        <v>Voice</v>
      </c>
      <c r="N3208" s="317" t="str">
        <f t="shared" ref="N3208:P3208" si="3253">LEFT(H3208,5)</f>
        <v/>
      </c>
      <c r="O3208" s="317" t="str">
        <f t="shared" si="3253"/>
        <v/>
      </c>
      <c r="P3208" s="317" t="str">
        <f t="shared" si="3253"/>
        <v/>
      </c>
      <c r="Q3208" s="318" t="str">
        <f t="shared" si="3216"/>
        <v/>
      </c>
      <c r="R3208" s="318" t="str">
        <f t="shared" si="3217"/>
        <v/>
      </c>
      <c r="S3208" s="318" t="str">
        <f t="shared" si="8"/>
        <v/>
      </c>
    </row>
    <row r="3209">
      <c r="A3209" s="14" t="str">
        <f t="shared" si="1"/>
        <v>C112646139</v>
      </c>
      <c r="B3209" s="185" t="str">
        <f t="array" ref="B3209">IF(F3209="VL","",IF(F3209="Free","Free",XLOOKUP(D3209,Roster!T:T,Roster!S:S,"",0)))</f>
        <v/>
      </c>
      <c r="C3209" s="313">
        <v>46139.0</v>
      </c>
      <c r="D3209" s="314" t="s">
        <v>152</v>
      </c>
      <c r="E3209" s="307" t="str">
        <f t="array" ref="E3209">(XLOOKUP(D3209,Roster!F:F,Roster!B:B,"",0))</f>
        <v>Valery Escobar</v>
      </c>
      <c r="F3209" s="315" t="str">
        <f t="array" ref="F3209">IF(B3209=100,"Free",TEXT(XLOOKUP($D3209,OperationVoice!$A:$A,OperationVoice!AG:AG,XLOOKUP($D3209,OperationTickets!$A:$A,OperationTickets!AG:AG,"",0)),"hh:mm"))</f>
        <v>08:00</v>
      </c>
      <c r="G3209" s="309">
        <f t="shared" si="3"/>
        <v>0.7083333333</v>
      </c>
      <c r="H3209" s="316">
        <f t="array" ref="H3209">XLOOKUP(B3209,Roster!L:L,Roster!N:N,XLOOKUP(D3209,TicketsBreak!A:A,TicketsBreak!E:E,"",0),0)</f>
        <v>0.3854166667</v>
      </c>
      <c r="I3209" s="316">
        <f t="array" ref="I3209">XLOOKUP(B3209,Roster!L:L,Roster!O:O,XLOOKUP(D3209,TicketsBreak!A:A,TicketsBreak!F:F,"",0),0)</f>
        <v>0.5</v>
      </c>
      <c r="J3209" s="316">
        <f t="array" ref="J3209">XLOOKUP(B3209,Roster!L:L,Roster!P:P,XLOOKUP(D3209,TicketsBreak!A:A,TicketsBreak!G:G,"",0),0)</f>
        <v>0.6041666667</v>
      </c>
      <c r="K3209" s="310">
        <f t="shared" si="4"/>
        <v>46139</v>
      </c>
      <c r="L3209" s="317">
        <f t="array" ref="L3209">(XLOOKUP(D3209,Roster!F:F,Roster!D:D,"",0))</f>
        <v>21</v>
      </c>
      <c r="M3209" s="317" t="str">
        <f t="array" ref="M3209">XLOOKUP(D3209,Roster!F:F,Roster!E:E)</f>
        <v>Tickets</v>
      </c>
      <c r="N3209" s="317" t="str">
        <f t="shared" ref="N3209:P3209" si="3254">LEFT(H3209,5)</f>
        <v>09:15</v>
      </c>
      <c r="O3209" s="317" t="str">
        <f t="shared" si="3254"/>
        <v>12:00</v>
      </c>
      <c r="P3209" s="317" t="str">
        <f t="shared" si="3254"/>
        <v>14:30</v>
      </c>
      <c r="Q3209" s="318">
        <f t="shared" si="3216"/>
        <v>46139.38542</v>
      </c>
      <c r="R3209" s="318">
        <f t="shared" si="3217"/>
        <v>46139.5</v>
      </c>
      <c r="S3209" s="318">
        <f t="shared" si="8"/>
        <v>46139.60417</v>
      </c>
    </row>
    <row r="3210">
      <c r="A3210" s="14" t="str">
        <f t="shared" si="1"/>
        <v>C155246139</v>
      </c>
      <c r="B3210" s="185">
        <f t="array" ref="B3210">IF(F3210="VL","",IF(F3210="Free","Free",XLOOKUP(D3210,Roster!T:T,Roster!S:S,"",0)))</f>
        <v>125</v>
      </c>
      <c r="C3210" s="313">
        <v>46139.0</v>
      </c>
      <c r="D3210" s="314" t="s">
        <v>81</v>
      </c>
      <c r="E3210" s="307" t="str">
        <f t="array" ref="E3210">(XLOOKUP(D3210,Roster!F:F,Roster!B:B,"",0))</f>
        <v>Wendy Machado</v>
      </c>
      <c r="F3210" s="315" t="str">
        <f t="array" ref="F3210">IF(B3210=100,"Free",TEXT(XLOOKUP($D3210,OperationVoice!$A:$A,OperationVoice!AG:AG,XLOOKUP($D3210,OperationTickets!$A:$A,OperationTickets!AG:AG,"",0)),"hh:mm"))</f>
        <v>08:00</v>
      </c>
      <c r="G3210" s="309">
        <f t="shared" si="3"/>
        <v>0.7083333333</v>
      </c>
      <c r="H3210" s="316" t="str">
        <f t="array" ref="H3210">XLOOKUP(B3210,Roster!L:L,Roster!N:N,XLOOKUP(D3210,TicketsBreak!A:A,TicketsBreak!E:E,"",0),0)</f>
        <v>10:30 - 10:45</v>
      </c>
      <c r="I3210" s="316" t="str">
        <f t="array" ref="I3210">XLOOKUP(B3210,Roster!L:L,Roster!O:O,XLOOKUP(D3210,TicketsBreak!A:A,TicketsBreak!F:F,"",0),0)</f>
        <v>13:30 - 14:00</v>
      </c>
      <c r="J3210" s="316" t="str">
        <f t="array" ref="J3210">XLOOKUP(B3210,Roster!L:L,Roster!P:P,XLOOKUP(D3210,TicketsBreak!A:A,TicketsBreak!G:G,"",0),0)</f>
        <v>15:45 - 16:00</v>
      </c>
      <c r="K3210" s="310">
        <f t="shared" si="4"/>
        <v>46139</v>
      </c>
      <c r="L3210" s="317">
        <f t="array" ref="L3210">(XLOOKUP(D3210,Roster!F:F,Roster!D:D,"",0))</f>
        <v>37</v>
      </c>
      <c r="M3210" s="317" t="str">
        <f t="array" ref="M3210">XLOOKUP(D3210,Roster!F:F,Roster!E:E)</f>
        <v>Voice</v>
      </c>
      <c r="N3210" s="317" t="str">
        <f t="shared" ref="N3210:P3210" si="3255">LEFT(H3210,5)</f>
        <v>10:30</v>
      </c>
      <c r="O3210" s="317" t="str">
        <f t="shared" si="3255"/>
        <v>13:30</v>
      </c>
      <c r="P3210" s="317" t="str">
        <f t="shared" si="3255"/>
        <v>15:45</v>
      </c>
      <c r="Q3210" s="318">
        <f t="shared" si="3216"/>
        <v>46139.4375</v>
      </c>
      <c r="R3210" s="318">
        <f t="shared" si="3217"/>
        <v>46139.5625</v>
      </c>
      <c r="S3210" s="318">
        <f t="shared" si="8"/>
        <v>46139.65625</v>
      </c>
    </row>
    <row r="3211">
      <c r="A3211" s="14" t="str">
        <f t="shared" si="1"/>
        <v>C78646139</v>
      </c>
      <c r="B3211" s="185" t="str">
        <f t="array" ref="B3211">IF(F3211="VL","",IF(F3211="Free","Free",XLOOKUP(D3211,Roster!T:T,Roster!S:S,"",0)))</f>
        <v/>
      </c>
      <c r="C3211" s="313">
        <v>46139.0</v>
      </c>
      <c r="D3211" s="314" t="s">
        <v>136</v>
      </c>
      <c r="E3211" s="307" t="str">
        <f t="array" ref="E3211">(XLOOKUP(D3211,Roster!F:F,Roster!B:B,"",0))</f>
        <v>Wendy Navarro</v>
      </c>
      <c r="F3211" s="315" t="str">
        <f t="array" ref="F3211">IF(B3211=100,"Free",TEXT(XLOOKUP($D3211,OperationVoice!$A:$A,OperationVoice!AG:AG,XLOOKUP($D3211,OperationTickets!$A:$A,OperationTickets!AG:AG,"",0)),"hh:mm"))</f>
        <v>08:00</v>
      </c>
      <c r="G3211" s="309">
        <f t="shared" si="3"/>
        <v>0.7083333333</v>
      </c>
      <c r="H3211" s="316">
        <f t="array" ref="H3211">XLOOKUP(B3211,Roster!L:L,Roster!N:N,XLOOKUP(D3211,TicketsBreak!A:A,TicketsBreak!E:E,"",0),0)</f>
        <v>0.4166666667</v>
      </c>
      <c r="I3211" s="316">
        <f t="array" ref="I3211">XLOOKUP(B3211,Roster!L:L,Roster!O:O,XLOOKUP(D3211,TicketsBreak!A:A,TicketsBreak!F:F,"",0),0)</f>
        <v>0.5416666667</v>
      </c>
      <c r="J3211" s="316">
        <f t="array" ref="J3211">XLOOKUP(B3211,Roster!L:L,Roster!P:P,XLOOKUP(D3211,TicketsBreak!A:A,TicketsBreak!G:G,"",0),0)</f>
        <v>0.6458333333</v>
      </c>
      <c r="K3211" s="310">
        <f t="shared" si="4"/>
        <v>46139</v>
      </c>
      <c r="L3211" s="317">
        <f t="array" ref="L3211">(XLOOKUP(D3211,Roster!F:F,Roster!D:D,"",0))</f>
        <v>16</v>
      </c>
      <c r="M3211" s="317" t="str">
        <f t="array" ref="M3211">XLOOKUP(D3211,Roster!F:F,Roster!E:E)</f>
        <v>Tickets</v>
      </c>
      <c r="N3211" s="317" t="str">
        <f t="shared" ref="N3211:P3211" si="3256">LEFT(H3211,5)</f>
        <v>10:00</v>
      </c>
      <c r="O3211" s="317" t="str">
        <f t="shared" si="3256"/>
        <v>13:00</v>
      </c>
      <c r="P3211" s="317" t="str">
        <f t="shared" si="3256"/>
        <v>15:30</v>
      </c>
      <c r="Q3211" s="318">
        <f t="shared" si="3216"/>
        <v>46139.41667</v>
      </c>
      <c r="R3211" s="318">
        <f t="shared" si="3217"/>
        <v>46139.54167</v>
      </c>
      <c r="S3211" s="318">
        <f t="shared" si="8"/>
        <v>46139.64583</v>
      </c>
    </row>
    <row r="3212">
      <c r="A3212" s="14" t="str">
        <f t="shared" si="1"/>
        <v>C153746139</v>
      </c>
      <c r="B3212" s="185">
        <f t="array" ref="B3212">IF(F3212="VL","",IF(F3212="Free","Free",XLOOKUP(D3212,Roster!T:T,Roster!S:S,"",0)))</f>
        <v>135</v>
      </c>
      <c r="C3212" s="313">
        <v>46139.0</v>
      </c>
      <c r="D3212" s="314" t="s">
        <v>82</v>
      </c>
      <c r="E3212" s="307" t="str">
        <f t="array" ref="E3212">(XLOOKUP(D3212,Roster!F:F,Roster!B:B,"",0))</f>
        <v>William Florez</v>
      </c>
      <c r="F3212" s="315" t="str">
        <f t="array" ref="F3212">IF(B3212=100,"Free",TEXT(XLOOKUP($D3212,OperationVoice!$A:$A,OperationVoice!AG:AG,XLOOKUP($D3212,OperationTickets!$A:$A,OperationTickets!AG:AG,"",0)),"hh:mm"))</f>
        <v>09:00</v>
      </c>
      <c r="G3212" s="309">
        <f t="shared" si="3"/>
        <v>0.75</v>
      </c>
      <c r="H3212" s="316" t="str">
        <f t="array" ref="H3212">XLOOKUP(B3212,Roster!L:L,Roster!N:N,XLOOKUP(D3212,TicketsBreak!A:A,TicketsBreak!E:E,"",0),0)</f>
        <v>11:15 - 11:30</v>
      </c>
      <c r="I3212" s="316" t="str">
        <f t="array" ref="I3212">XLOOKUP(B3212,Roster!L:L,Roster!O:O,XLOOKUP(D3212,TicketsBreak!A:A,TicketsBreak!F:F,"",0),0)</f>
        <v>14:15 - 14:45</v>
      </c>
      <c r="J3212" s="316" t="str">
        <f t="array" ref="J3212">XLOOKUP(B3212,Roster!L:L,Roster!P:P,XLOOKUP(D3212,TicketsBreak!A:A,TicketsBreak!G:G,"",0),0)</f>
        <v>16:15 - 16:30</v>
      </c>
      <c r="K3212" s="310">
        <f t="shared" si="4"/>
        <v>46139</v>
      </c>
      <c r="L3212" s="317">
        <f t="array" ref="L3212">(XLOOKUP(D3212,Roster!F:F,Roster!D:D,"",0))</f>
        <v>36</v>
      </c>
      <c r="M3212" s="317" t="str">
        <f t="array" ref="M3212">XLOOKUP(D3212,Roster!F:F,Roster!E:E)</f>
        <v>Voice</v>
      </c>
      <c r="N3212" s="317" t="str">
        <f t="shared" ref="N3212:P3212" si="3257">LEFT(H3212,5)</f>
        <v>11:15</v>
      </c>
      <c r="O3212" s="317" t="str">
        <f t="shared" si="3257"/>
        <v>14:15</v>
      </c>
      <c r="P3212" s="317" t="str">
        <f t="shared" si="3257"/>
        <v>16:15</v>
      </c>
      <c r="Q3212" s="318">
        <f t="shared" si="3216"/>
        <v>46139.46875</v>
      </c>
      <c r="R3212" s="318">
        <f t="shared" si="3217"/>
        <v>46139.59375</v>
      </c>
      <c r="S3212" s="318">
        <f t="shared" si="8"/>
        <v>46139.67708</v>
      </c>
    </row>
    <row r="3213">
      <c r="A3213" s="14" t="str">
        <f t="shared" si="1"/>
        <v>C135346139</v>
      </c>
      <c r="B3213" s="185">
        <f t="array" ref="B3213">IF(F3213="VL","",IF(F3213="Free","Free",XLOOKUP(D3213,Roster!T:T,Roster!S:S,"",0)))</f>
        <v>121</v>
      </c>
      <c r="C3213" s="313">
        <v>46139.0</v>
      </c>
      <c r="D3213" s="314" t="s">
        <v>83</v>
      </c>
      <c r="E3213" s="307" t="str">
        <f t="array" ref="E3213">(XLOOKUP(D3213,Roster!F:F,Roster!B:B,"",0))</f>
        <v>Wilson Martinez</v>
      </c>
      <c r="F3213" s="315" t="str">
        <f t="array" ref="F3213">IF(B3213=100,"Free",TEXT(XLOOKUP($D3213,OperationVoice!$A:$A,OperationVoice!AG:AG,XLOOKUP($D3213,OperationTickets!$A:$A,OperationTickets!AG:AG,"",0)),"hh:mm"))</f>
        <v>08:00</v>
      </c>
      <c r="G3213" s="309">
        <f t="shared" si="3"/>
        <v>0.7083333333</v>
      </c>
      <c r="H3213" s="316" t="str">
        <f t="array" ref="H3213">XLOOKUP(B3213,Roster!L:L,Roster!N:N,XLOOKUP(D3213,TicketsBreak!A:A,TicketsBreak!E:E,"",0),0)</f>
        <v>09:15 - 09:30</v>
      </c>
      <c r="I3213" s="316" t="str">
        <f t="array" ref="I3213">XLOOKUP(B3213,Roster!L:L,Roster!O:O,XLOOKUP(D3213,TicketsBreak!A:A,TicketsBreak!F:F,"",0),0)</f>
        <v>11:30 - 12:00</v>
      </c>
      <c r="J3213" s="316" t="str">
        <f t="array" ref="J3213">XLOOKUP(B3213,Roster!L:L,Roster!P:P,XLOOKUP(D3213,TicketsBreak!A:A,TicketsBreak!G:G,"",0),0)</f>
        <v>14:30 - 14:45</v>
      </c>
      <c r="K3213" s="310">
        <f t="shared" si="4"/>
        <v>46139</v>
      </c>
      <c r="L3213" s="317">
        <f t="array" ref="L3213">(XLOOKUP(D3213,Roster!F:F,Roster!D:D,"",0))</f>
        <v>30</v>
      </c>
      <c r="M3213" s="317" t="str">
        <f t="array" ref="M3213">XLOOKUP(D3213,Roster!F:F,Roster!E:E)</f>
        <v>Voice</v>
      </c>
      <c r="N3213" s="317" t="str">
        <f t="shared" ref="N3213:P3213" si="3258">LEFT(H3213,5)</f>
        <v>09:15</v>
      </c>
      <c r="O3213" s="317" t="str">
        <f t="shared" si="3258"/>
        <v>11:30</v>
      </c>
      <c r="P3213" s="317" t="str">
        <f t="shared" si="3258"/>
        <v>14:30</v>
      </c>
      <c r="Q3213" s="318">
        <f t="shared" si="3216"/>
        <v>46139.38542</v>
      </c>
      <c r="R3213" s="318">
        <f t="shared" si="3217"/>
        <v>46139.47917</v>
      </c>
      <c r="S3213" s="318">
        <f t="shared" si="8"/>
        <v>46139.60417</v>
      </c>
    </row>
    <row r="3214">
      <c r="A3214" s="14" t="str">
        <f t="shared" si="1"/>
        <v>C117346139</v>
      </c>
      <c r="B3214" s="185">
        <f t="array" ref="B3214">IF(F3214="VL","",IF(F3214="Free","Free",XLOOKUP(D3214,Roster!T:T,Roster!S:S,"",0)))</f>
        <v>122</v>
      </c>
      <c r="C3214" s="313">
        <v>46139.0</v>
      </c>
      <c r="D3214" s="314" t="s">
        <v>84</v>
      </c>
      <c r="E3214" s="307" t="str">
        <f t="array" ref="E3214">(XLOOKUP(D3214,Roster!F:F,Roster!B:B,"",0))</f>
        <v>Yaidy Mosquera</v>
      </c>
      <c r="F3214" s="315" t="str">
        <f t="array" ref="F3214">IF(B3214=100,"Free",TEXT(XLOOKUP($D3214,OperationVoice!$A:$A,OperationVoice!AG:AG,XLOOKUP($D3214,OperationTickets!$A:$A,OperationTickets!AG:AG,"",0)),"hh:mm"))</f>
        <v>08:00</v>
      </c>
      <c r="G3214" s="309">
        <f t="shared" si="3"/>
        <v>0.7083333333</v>
      </c>
      <c r="H3214" s="316" t="str">
        <f t="array" ref="H3214">XLOOKUP(B3214,Roster!L:L,Roster!N:N,XLOOKUP(D3214,TicketsBreak!A:A,TicketsBreak!E:E,"",0),0)</f>
        <v>09:30 - 09:45</v>
      </c>
      <c r="I3214" s="316" t="str">
        <f t="array" ref="I3214">XLOOKUP(B3214,Roster!L:L,Roster!O:O,XLOOKUP(D3214,TicketsBreak!A:A,TicketsBreak!F:F,"",0),0)</f>
        <v>12:00 - 12:30</v>
      </c>
      <c r="J3214" s="316" t="str">
        <f t="array" ref="J3214">XLOOKUP(B3214,Roster!L:L,Roster!P:P,XLOOKUP(D3214,TicketsBreak!A:A,TicketsBreak!G:G,"",0),0)</f>
        <v>14:45 - 15:00</v>
      </c>
      <c r="K3214" s="310">
        <f t="shared" si="4"/>
        <v>46139</v>
      </c>
      <c r="L3214" s="317">
        <f t="array" ref="L3214">(XLOOKUP(D3214,Roster!F:F,Roster!D:D,"",0))</f>
        <v>24</v>
      </c>
      <c r="M3214" s="317" t="str">
        <f t="array" ref="M3214">XLOOKUP(D3214,Roster!F:F,Roster!E:E)</f>
        <v>Voice</v>
      </c>
      <c r="N3214" s="317" t="str">
        <f t="shared" ref="N3214:P3214" si="3259">LEFT(H3214,5)</f>
        <v>09:30</v>
      </c>
      <c r="O3214" s="317" t="str">
        <f t="shared" si="3259"/>
        <v>12:00</v>
      </c>
      <c r="P3214" s="317" t="str">
        <f t="shared" si="3259"/>
        <v>14:45</v>
      </c>
      <c r="Q3214" s="318">
        <f t="shared" si="3216"/>
        <v>46139.39583</v>
      </c>
      <c r="R3214" s="318">
        <f t="shared" si="3217"/>
        <v>46139.5</v>
      </c>
      <c r="S3214" s="318">
        <f t="shared" si="8"/>
        <v>46139.61458</v>
      </c>
    </row>
    <row r="3215">
      <c r="A3215" s="14" t="str">
        <f t="shared" si="1"/>
        <v>C110846139</v>
      </c>
      <c r="B3215" s="185" t="str">
        <f t="array" ref="B3215">IF(F3215="VL","",IF(F3215="Free","Free",XLOOKUP(D3215,Roster!T:T,Roster!S:S,"",0)))</f>
        <v/>
      </c>
      <c r="C3215" s="313">
        <v>46139.0</v>
      </c>
      <c r="D3215" s="314" t="s">
        <v>187</v>
      </c>
      <c r="E3215" s="307" t="str">
        <f t="array" ref="E3215">(XLOOKUP(D3215,Roster!F:F,Roster!B:B,"",0))</f>
        <v>Yeiner Tapias</v>
      </c>
      <c r="F3215" s="315" t="str">
        <f t="array" ref="F3215">IF(B3215=100,"Free",TEXT(XLOOKUP($D3215,OperationVoice!$A:$A,OperationVoice!AG:AG,XLOOKUP($D3215,OperationTickets!$A:$A,OperationTickets!AG:AG,"",0)),"hh:mm"))</f>
        <v>08:00</v>
      </c>
      <c r="G3215" s="309">
        <f t="shared" si="3"/>
        <v>0.7083333333</v>
      </c>
      <c r="H3215" s="316">
        <f t="array" ref="H3215">XLOOKUP(B3215,Roster!L:L,Roster!N:N,XLOOKUP(D3215,TicketsBreak!A:A,TicketsBreak!E:E,"",0),0)</f>
        <v>0.3958333333</v>
      </c>
      <c r="I3215" s="316">
        <f t="array" ref="I3215">XLOOKUP(B3215,Roster!L:L,Roster!O:O,XLOOKUP(D3215,TicketsBreak!A:A,TicketsBreak!F:F,"",0),0)</f>
        <v>0.5208333333</v>
      </c>
      <c r="J3215" s="316">
        <f t="array" ref="J3215">XLOOKUP(B3215,Roster!L:L,Roster!P:P,XLOOKUP(D3215,TicketsBreak!A:A,TicketsBreak!G:G,"",0),0)</f>
        <v>0.6145833333</v>
      </c>
      <c r="K3215" s="310">
        <f t="shared" si="4"/>
        <v>46139</v>
      </c>
      <c r="L3215" s="317">
        <f t="array" ref="L3215">(XLOOKUP(D3215,Roster!F:F,Roster!D:D,"",0))</f>
        <v>20</v>
      </c>
      <c r="M3215" s="317" t="str">
        <f t="array" ref="M3215">XLOOKUP(D3215,Roster!F:F,Roster!E:E)</f>
        <v>Tickets</v>
      </c>
      <c r="N3215" s="317" t="str">
        <f t="shared" ref="N3215:P3215" si="3260">LEFT(H3215,5)</f>
        <v>09:30</v>
      </c>
      <c r="O3215" s="317" t="str">
        <f t="shared" si="3260"/>
        <v>12:30</v>
      </c>
      <c r="P3215" s="317" t="str">
        <f t="shared" si="3260"/>
        <v>14:45</v>
      </c>
      <c r="Q3215" s="318">
        <f t="shared" si="3216"/>
        <v>46139.39583</v>
      </c>
      <c r="R3215" s="318">
        <f t="shared" si="3217"/>
        <v>46139.52083</v>
      </c>
      <c r="S3215" s="318">
        <f t="shared" si="8"/>
        <v>46139.61458</v>
      </c>
    </row>
    <row r="3216">
      <c r="A3216" s="14" t="str">
        <f t="shared" si="1"/>
        <v>C153946139</v>
      </c>
      <c r="B3216" s="185">
        <f t="array" ref="B3216">IF(F3216="VL","",IF(F3216="Free","Free",XLOOKUP(D3216,Roster!T:T,Roster!S:S,"",0)))</f>
        <v>123</v>
      </c>
      <c r="C3216" s="313">
        <v>46139.0</v>
      </c>
      <c r="D3216" s="314" t="s">
        <v>85</v>
      </c>
      <c r="E3216" s="307" t="str">
        <f t="array" ref="E3216">(XLOOKUP(D3216,Roster!F:F,Roster!B:B,"",0))</f>
        <v>Yovanny Ceballos</v>
      </c>
      <c r="F3216" s="315" t="str">
        <f t="array" ref="F3216">IF(B3216=100,"Free",TEXT(XLOOKUP($D3216,OperationVoice!$A:$A,OperationVoice!AG:AG,XLOOKUP($D3216,OperationTickets!$A:$A,OperationTickets!AG:AG,"",0)),"hh:mm"))</f>
        <v/>
      </c>
      <c r="G3216" s="309" t="str">
        <f t="shared" si="3"/>
        <v/>
      </c>
      <c r="H3216" s="316" t="str">
        <f t="array" ref="H3216">XLOOKUP(B3216,Roster!L:L,Roster!N:N,XLOOKUP(D3216,TicketsBreak!A:A,TicketsBreak!E:E,"",0),0)</f>
        <v>09:45 - 10:00 </v>
      </c>
      <c r="I3216" s="316" t="str">
        <f t="array" ref="I3216">XLOOKUP(B3216,Roster!L:L,Roster!O:O,XLOOKUP(D3216,TicketsBreak!A:A,TicketsBreak!F:F,"",0),0)</f>
        <v>12:30 - 13:00</v>
      </c>
      <c r="J3216" s="316" t="str">
        <f t="array" ref="J3216">XLOOKUP(B3216,Roster!L:L,Roster!P:P,XLOOKUP(D3216,TicketsBreak!A:A,TicketsBreak!G:G,"",0),0)</f>
        <v>15:00 - 15:15</v>
      </c>
      <c r="K3216" s="310">
        <f t="shared" si="4"/>
        <v>46139</v>
      </c>
      <c r="L3216" s="317">
        <f t="array" ref="L3216">(XLOOKUP(D3216,Roster!F:F,Roster!D:D,"",0))</f>
        <v>36</v>
      </c>
      <c r="M3216" s="317" t="str">
        <f t="array" ref="M3216">XLOOKUP(D3216,Roster!F:F,Roster!E:E)</f>
        <v>Voice</v>
      </c>
      <c r="N3216" s="317" t="str">
        <f t="shared" ref="N3216:P3216" si="3261">LEFT(H3216,5)</f>
        <v>09:45</v>
      </c>
      <c r="O3216" s="317" t="str">
        <f t="shared" si="3261"/>
        <v>12:30</v>
      </c>
      <c r="P3216" s="317" t="str">
        <f t="shared" si="3261"/>
        <v>15:00</v>
      </c>
      <c r="Q3216" s="318">
        <f t="shared" si="3216"/>
        <v>46139.40625</v>
      </c>
      <c r="R3216" s="318">
        <f t="shared" si="3217"/>
        <v>46139.52083</v>
      </c>
      <c r="S3216" s="318">
        <f t="shared" si="8"/>
        <v>46139.625</v>
      </c>
    </row>
    <row r="3217">
      <c r="A3217" s="14" t="str">
        <f t="shared" si="1"/>
        <v>46139</v>
      </c>
      <c r="B3217" s="185" t="str">
        <f t="array" ref="B3217">IF(F3217="VL","",IF(F3217="Free","Free",XLOOKUP(D3217,Roster!T:T,Roster!S:S,"",0)))</f>
        <v/>
      </c>
      <c r="C3217" s="313">
        <v>46139.0</v>
      </c>
      <c r="D3217" s="314"/>
      <c r="E3217" s="307" t="str">
        <f t="array" ref="E3217">(XLOOKUP(D3217,Roster!F:F,Roster!B:B,"",0))</f>
        <v/>
      </c>
      <c r="F3217" s="315" t="str">
        <f t="array" ref="F3217">IF(B3217=100,"Free",TEXT(XLOOKUP($D3217,OperationVoice!$A:$A,OperationVoice!AG:AG,XLOOKUP($D3217,OperationTickets!$A:$A,OperationTickets!AG:AG,"",0)),"hh:mm"))</f>
        <v/>
      </c>
      <c r="G3217" s="309" t="str">
        <f t="shared" si="3"/>
        <v/>
      </c>
      <c r="H3217" s="316" t="str">
        <f t="array" ref="H3217">XLOOKUP(B3217,Roster!L:L,Roster!N:N,XLOOKUP(D3217,TicketsBreak!A:A,TicketsBreak!E:E,"",0),0)</f>
        <v/>
      </c>
      <c r="I3217" s="316" t="str">
        <f t="array" ref="I3217">XLOOKUP(B3217,Roster!L:L,Roster!O:O,XLOOKUP(D3217,TicketsBreak!A:A,TicketsBreak!F:F,"",0),0)</f>
        <v/>
      </c>
      <c r="J3217" s="316" t="str">
        <f t="array" ref="J3217">XLOOKUP(B3217,Roster!L:L,Roster!P:P,XLOOKUP(D3217,TicketsBreak!A:A,TicketsBreak!G:G,"",0),0)</f>
        <v/>
      </c>
      <c r="K3217" s="310">
        <f t="shared" si="4"/>
        <v>46139</v>
      </c>
      <c r="L3217" s="317" t="str">
        <f t="array" ref="L3217">(XLOOKUP(D3217,Roster!F:F,Roster!D:D,"",0))</f>
        <v/>
      </c>
      <c r="M3217" s="317" t="str">
        <f t="array" ref="M3217">XLOOKUP(D3217,Roster!F:F,Roster!E:E)</f>
        <v>#N/A</v>
      </c>
      <c r="N3217" s="317" t="str">
        <f t="shared" ref="N3217:P3217" si="3262">LEFT(H3217,5)</f>
        <v/>
      </c>
      <c r="O3217" s="317" t="str">
        <f t="shared" si="3262"/>
        <v/>
      </c>
      <c r="P3217" s="317" t="str">
        <f t="shared" si="3262"/>
        <v/>
      </c>
      <c r="Q3217" s="318" t="str">
        <f t="shared" si="3216"/>
        <v/>
      </c>
      <c r="R3217" s="318" t="str">
        <f t="shared" si="3217"/>
        <v/>
      </c>
      <c r="S3217" s="318" t="str">
        <f t="shared" si="8"/>
        <v/>
      </c>
    </row>
    <row r="3218">
      <c r="A3218" s="14" t="str">
        <f t="shared" si="1"/>
        <v>46139</v>
      </c>
      <c r="B3218" s="185" t="str">
        <f t="array" ref="B3218">IF(F3218="VL","",IF(F3218="Free","Free",XLOOKUP(D3218,Roster!T:T,Roster!S:S,"",0)))</f>
        <v/>
      </c>
      <c r="C3218" s="313">
        <v>46139.0</v>
      </c>
      <c r="D3218" s="314"/>
      <c r="E3218" s="307" t="str">
        <f t="array" ref="E3218">(XLOOKUP(D3218,Roster!F:F,Roster!B:B,"",0))</f>
        <v/>
      </c>
      <c r="F3218" s="315" t="str">
        <f t="array" ref="F3218">IF(B3218=100,"Free",TEXT(XLOOKUP($D3218,OperationVoice!$A:$A,OperationVoice!AG:AG,XLOOKUP($D3218,OperationTickets!$A:$A,OperationTickets!AG:AG,"",0)),"hh:mm"))</f>
        <v/>
      </c>
      <c r="G3218" s="309" t="str">
        <f t="shared" si="3"/>
        <v/>
      </c>
      <c r="H3218" s="316" t="str">
        <f t="array" ref="H3218">XLOOKUP(B3218,Roster!L:L,Roster!N:N,XLOOKUP(D3218,TicketsBreak!A:A,TicketsBreak!E:E,"",0),0)</f>
        <v/>
      </c>
      <c r="I3218" s="316" t="str">
        <f t="array" ref="I3218">XLOOKUP(B3218,Roster!L:L,Roster!O:O,XLOOKUP(D3218,TicketsBreak!A:A,TicketsBreak!F:F,"",0),0)</f>
        <v/>
      </c>
      <c r="J3218" s="316" t="str">
        <f t="array" ref="J3218">XLOOKUP(B3218,Roster!L:L,Roster!P:P,XLOOKUP(D3218,TicketsBreak!A:A,TicketsBreak!G:G,"",0),0)</f>
        <v/>
      </c>
      <c r="K3218" s="310">
        <f t="shared" si="4"/>
        <v>46139</v>
      </c>
      <c r="L3218" s="317" t="str">
        <f t="array" ref="L3218">(XLOOKUP(D3218,Roster!F:F,Roster!D:D,"",0))</f>
        <v/>
      </c>
      <c r="M3218" s="317" t="str">
        <f t="array" ref="M3218">XLOOKUP(D3218,Roster!F:F,Roster!E:E)</f>
        <v>#N/A</v>
      </c>
      <c r="N3218" s="317" t="str">
        <f t="shared" ref="N3218:P3218" si="3263">LEFT(H3218,5)</f>
        <v/>
      </c>
      <c r="O3218" s="317" t="str">
        <f t="shared" si="3263"/>
        <v/>
      </c>
      <c r="P3218" s="317" t="str">
        <f t="shared" si="3263"/>
        <v/>
      </c>
      <c r="Q3218" s="318" t="str">
        <f t="shared" si="3216"/>
        <v/>
      </c>
      <c r="R3218" s="318" t="str">
        <f t="shared" si="3217"/>
        <v/>
      </c>
      <c r="S3218" s="318" t="str">
        <f t="shared" si="8"/>
        <v/>
      </c>
    </row>
    <row r="3219">
      <c r="A3219" s="14" t="str">
        <f t="shared" si="1"/>
        <v>46139</v>
      </c>
      <c r="B3219" s="185" t="str">
        <f t="array" ref="B3219">IF(F3219="VL","",IF(F3219="Free","Free",XLOOKUP(D3219,Roster!T:T,Roster!S:S,"",0)))</f>
        <v/>
      </c>
      <c r="C3219" s="313">
        <v>46139.0</v>
      </c>
      <c r="D3219" s="314"/>
      <c r="E3219" s="307" t="str">
        <f t="array" ref="E3219">(XLOOKUP(D3219,Roster!F:F,Roster!B:B,"",0))</f>
        <v/>
      </c>
      <c r="F3219" s="315" t="str">
        <f t="array" ref="F3219">IF(B3219=100,"Free",TEXT(XLOOKUP($D3219,OperationVoice!$A:$A,OperationVoice!AG:AG,XLOOKUP($D3219,OperationTickets!$A:$A,OperationTickets!AG:AG,"",0)),"hh:mm"))</f>
        <v/>
      </c>
      <c r="G3219" s="309" t="str">
        <f t="shared" si="3"/>
        <v/>
      </c>
      <c r="H3219" s="316" t="str">
        <f t="array" ref="H3219">XLOOKUP(B3219,Roster!L:L,Roster!N:N,XLOOKUP(D3219,TicketsBreak!A:A,TicketsBreak!E:E,"",0),0)</f>
        <v/>
      </c>
      <c r="I3219" s="316" t="str">
        <f t="array" ref="I3219">XLOOKUP(B3219,Roster!L:L,Roster!O:O,XLOOKUP(D3219,TicketsBreak!A:A,TicketsBreak!F:F,"",0),0)</f>
        <v/>
      </c>
      <c r="J3219" s="316" t="str">
        <f t="array" ref="J3219">XLOOKUP(B3219,Roster!L:L,Roster!P:P,XLOOKUP(D3219,TicketsBreak!A:A,TicketsBreak!G:G,"",0),0)</f>
        <v/>
      </c>
      <c r="K3219" s="310">
        <f t="shared" si="4"/>
        <v>46139</v>
      </c>
      <c r="L3219" s="317" t="str">
        <f t="array" ref="L3219">(XLOOKUP(D3219,Roster!F:F,Roster!D:D,"",0))</f>
        <v/>
      </c>
      <c r="M3219" s="317" t="str">
        <f t="array" ref="M3219">XLOOKUP(D3219,Roster!F:F,Roster!E:E)</f>
        <v>#N/A</v>
      </c>
      <c r="N3219" s="317" t="str">
        <f t="shared" ref="N3219:P3219" si="3264">LEFT(H3219,5)</f>
        <v/>
      </c>
      <c r="O3219" s="317" t="str">
        <f t="shared" si="3264"/>
        <v/>
      </c>
      <c r="P3219" s="317" t="str">
        <f t="shared" si="3264"/>
        <v/>
      </c>
      <c r="Q3219" s="318" t="str">
        <f t="shared" si="3216"/>
        <v/>
      </c>
      <c r="R3219" s="318" t="str">
        <f t="shared" si="3217"/>
        <v/>
      </c>
      <c r="S3219" s="318" t="str">
        <f t="shared" si="8"/>
        <v/>
      </c>
    </row>
    <row r="3220">
      <c r="A3220" s="14" t="str">
        <f t="shared" si="1"/>
        <v>46139</v>
      </c>
      <c r="B3220" s="185" t="str">
        <f t="array" ref="B3220">IF(F3220="VL","",IF(F3220="Free","Free",XLOOKUP(D3220,Roster!T:T,Roster!S:S,"",0)))</f>
        <v/>
      </c>
      <c r="C3220" s="313">
        <v>46139.0</v>
      </c>
      <c r="D3220" s="314"/>
      <c r="E3220" s="307" t="str">
        <f t="array" ref="E3220">(XLOOKUP(D3220,Roster!F:F,Roster!B:B,"",0))</f>
        <v/>
      </c>
      <c r="F3220" s="315" t="str">
        <f t="array" ref="F3220">IF(B3220=100,"Free",TEXT(XLOOKUP($D3220,OperationVoice!$A:$A,OperationVoice!AG:AG,XLOOKUP($D3220,OperationTickets!$A:$A,OperationTickets!AG:AG,"",0)),"hh:mm"))</f>
        <v/>
      </c>
      <c r="G3220" s="309" t="str">
        <f t="shared" si="3"/>
        <v/>
      </c>
      <c r="H3220" s="316" t="str">
        <f t="array" ref="H3220">XLOOKUP(B3220,Roster!L:L,Roster!N:N,XLOOKUP(D3220,TicketsBreak!A:A,TicketsBreak!E:E,"",0),0)</f>
        <v/>
      </c>
      <c r="I3220" s="316" t="str">
        <f t="array" ref="I3220">XLOOKUP(B3220,Roster!L:L,Roster!O:O,XLOOKUP(D3220,TicketsBreak!A:A,TicketsBreak!F:F,"",0),0)</f>
        <v/>
      </c>
      <c r="J3220" s="316" t="str">
        <f t="array" ref="J3220">XLOOKUP(B3220,Roster!L:L,Roster!P:P,XLOOKUP(D3220,TicketsBreak!A:A,TicketsBreak!G:G,"",0),0)</f>
        <v/>
      </c>
      <c r="K3220" s="310">
        <f t="shared" si="4"/>
        <v>46139</v>
      </c>
      <c r="L3220" s="317" t="str">
        <f t="array" ref="L3220">(XLOOKUP(D3220,Roster!F:F,Roster!D:D,"",0))</f>
        <v/>
      </c>
      <c r="M3220" s="317" t="str">
        <f t="array" ref="M3220">XLOOKUP(D3220,Roster!F:F,Roster!E:E)</f>
        <v>#N/A</v>
      </c>
      <c r="N3220" s="317" t="str">
        <f t="shared" ref="N3220:P3220" si="3265">LEFT(H3220,5)</f>
        <v/>
      </c>
      <c r="O3220" s="317" t="str">
        <f t="shared" si="3265"/>
        <v/>
      </c>
      <c r="P3220" s="317" t="str">
        <f t="shared" si="3265"/>
        <v/>
      </c>
      <c r="Q3220" s="318" t="str">
        <f t="shared" si="3216"/>
        <v/>
      </c>
      <c r="R3220" s="318" t="str">
        <f t="shared" si="3217"/>
        <v/>
      </c>
      <c r="S3220" s="318" t="str">
        <f t="shared" si="8"/>
        <v/>
      </c>
    </row>
    <row r="3221">
      <c r="A3221" s="14" t="str">
        <f t="shared" si="1"/>
        <v>46139</v>
      </c>
      <c r="B3221" s="185" t="str">
        <f t="array" ref="B3221">IF(F3221="VL","",IF(F3221="Free","Free",XLOOKUP(D3221,Roster!T:T,Roster!S:S,"",0)))</f>
        <v/>
      </c>
      <c r="C3221" s="313">
        <v>46139.0</v>
      </c>
      <c r="D3221" s="314"/>
      <c r="E3221" s="307" t="str">
        <f t="array" ref="E3221">(XLOOKUP(D3221,Roster!F:F,Roster!B:B,"",0))</f>
        <v/>
      </c>
      <c r="F3221" s="315" t="str">
        <f t="array" ref="F3221">IF(B3221=100,"Free",TEXT(XLOOKUP($D3221,OperationVoice!$A:$A,OperationVoice!AG:AG,XLOOKUP($D3221,OperationTickets!$A:$A,OperationTickets!AG:AG,"",0)),"hh:mm"))</f>
        <v/>
      </c>
      <c r="G3221" s="309" t="str">
        <f t="shared" si="3"/>
        <v/>
      </c>
      <c r="H3221" s="316" t="str">
        <f t="array" ref="H3221">XLOOKUP(B3221,Roster!L:L,Roster!N:N,XLOOKUP(D3221,TicketsBreak!A:A,TicketsBreak!E:E,"",0),0)</f>
        <v/>
      </c>
      <c r="I3221" s="316" t="str">
        <f t="array" ref="I3221">XLOOKUP(B3221,Roster!L:L,Roster!O:O,XLOOKUP(D3221,TicketsBreak!A:A,TicketsBreak!F:F,"",0),0)</f>
        <v/>
      </c>
      <c r="J3221" s="316" t="str">
        <f t="array" ref="J3221">XLOOKUP(B3221,Roster!L:L,Roster!P:P,XLOOKUP(D3221,TicketsBreak!A:A,TicketsBreak!G:G,"",0),0)</f>
        <v/>
      </c>
      <c r="K3221" s="310">
        <f t="shared" si="4"/>
        <v>46139</v>
      </c>
      <c r="L3221" s="317" t="str">
        <f t="array" ref="L3221">(XLOOKUP(D3221,Roster!F:F,Roster!D:D,"",0))</f>
        <v/>
      </c>
      <c r="M3221" s="317" t="str">
        <f t="array" ref="M3221">XLOOKUP(D3221,Roster!F:F,Roster!E:E)</f>
        <v>#N/A</v>
      </c>
      <c r="N3221" s="317" t="str">
        <f t="shared" ref="N3221:P3221" si="3266">LEFT(H3221,5)</f>
        <v/>
      </c>
      <c r="O3221" s="317" t="str">
        <f t="shared" si="3266"/>
        <v/>
      </c>
      <c r="P3221" s="317" t="str">
        <f t="shared" si="3266"/>
        <v/>
      </c>
      <c r="Q3221" s="318" t="str">
        <f t="shared" si="3216"/>
        <v/>
      </c>
      <c r="R3221" s="318" t="str">
        <f t="shared" si="3217"/>
        <v/>
      </c>
      <c r="S3221" s="318" t="str">
        <f t="shared" si="8"/>
        <v/>
      </c>
    </row>
    <row r="3222">
      <c r="A3222" s="14" t="str">
        <f t="shared" si="1"/>
        <v>C81846140</v>
      </c>
      <c r="B3222" s="185">
        <f t="array" ref="B3222">IF(F3222="VL","",IF(F3222="Free","Free",XLOOKUP(D3222,Roster!T:T,Roster!S:S,"",0)))</f>
        <v>123</v>
      </c>
      <c r="C3222" s="313">
        <v>46140.0</v>
      </c>
      <c r="D3222" s="314" t="s">
        <v>9</v>
      </c>
      <c r="E3222" s="307" t="str">
        <f t="array" ref="E3222">(XLOOKUP(D3222,Roster!F:F,Roster!B:B,"",0))</f>
        <v>Adriana Moncaleano</v>
      </c>
      <c r="F3222" s="315" t="str">
        <f t="array" ref="F3222">IF(B3222=100,"Free",TEXT(XLOOKUP($D3222,OperationVoice!$A:$A,OperationVoice!AH:AH,XLOOKUP($D3222,OperationTickets!$A:$A,OperationTickets!AH:AH,"",0)),"hh:mm"))</f>
        <v>08:00</v>
      </c>
      <c r="G3222" s="309">
        <f t="shared" si="3"/>
        <v>0.7083333333</v>
      </c>
      <c r="H3222" s="316" t="str">
        <f t="array" ref="H3222">XLOOKUP(B3222,Roster!L:L,Roster!N:N,XLOOKUP(D3222,TicketsBreak!A:A,TicketsBreak!E:E,"",0),0)</f>
        <v>09:45 - 10:00 </v>
      </c>
      <c r="I3222" s="316" t="str">
        <f t="array" ref="I3222">XLOOKUP(B3222,Roster!L:L,Roster!O:O,XLOOKUP(D3222,TicketsBreak!A:A,TicketsBreak!F:F,"",0),0)</f>
        <v>12:30 - 13:00</v>
      </c>
      <c r="J3222" s="316" t="str">
        <f t="array" ref="J3222">XLOOKUP(B3222,Roster!L:L,Roster!P:P,XLOOKUP(D3222,TicketsBreak!A:A,TicketsBreak!G:G,"",0),0)</f>
        <v>15:00 - 15:15</v>
      </c>
      <c r="K3222" s="310">
        <f t="shared" si="4"/>
        <v>46140</v>
      </c>
      <c r="L3222" s="317">
        <f t="array" ref="L3222">(XLOOKUP(D3222,Roster!F:F,Roster!D:D,"",0))</f>
        <v>23</v>
      </c>
      <c r="M3222" s="317" t="str">
        <f t="array" ref="M3222">XLOOKUP(D3222,Roster!F:F,Roster!E:E)</f>
        <v>Voice</v>
      </c>
      <c r="N3222" s="317" t="str">
        <f t="shared" ref="N3222:P3222" si="3267">LEFT(H3222,5)</f>
        <v>09:45</v>
      </c>
      <c r="O3222" s="317" t="str">
        <f t="shared" si="3267"/>
        <v>12:30</v>
      </c>
      <c r="P3222" s="317" t="str">
        <f t="shared" si="3267"/>
        <v>15:00</v>
      </c>
      <c r="Q3222" s="318">
        <f t="shared" si="3216"/>
        <v>46140.40625</v>
      </c>
      <c r="R3222" s="318">
        <f t="shared" si="3217"/>
        <v>46140.52083</v>
      </c>
      <c r="S3222" s="318">
        <f t="shared" si="8"/>
        <v>46140.625</v>
      </c>
    </row>
    <row r="3223">
      <c r="A3223" s="14" t="str">
        <f t="shared" si="1"/>
        <v>C110746140</v>
      </c>
      <c r="B3223" s="185">
        <f t="array" ref="B3223">IF(F3223="VL","",IF(F3223="Free","Free",XLOOKUP(D3223,Roster!T:T,Roster!S:S,"",0)))</f>
        <v>153</v>
      </c>
      <c r="C3223" s="313">
        <v>46140.0</v>
      </c>
      <c r="D3223" s="314" t="s">
        <v>10</v>
      </c>
      <c r="E3223" s="307" t="str">
        <f t="array" ref="E3223">(XLOOKUP(D3223,Roster!F:F,Roster!B:B,"",0))</f>
        <v>Alejandro Malave</v>
      </c>
      <c r="F3223" s="315" t="str">
        <f t="array" ref="F3223">IF(B3223=100,"Free",TEXT(XLOOKUP($D3223,OperationVoice!$A:$A,OperationVoice!AH:AH,XLOOKUP($D3223,OperationTickets!$A:$A,OperationTickets!AH:AH,"",0)),"hh:mm"))</f>
        <v>11:00</v>
      </c>
      <c r="G3223" s="309">
        <f t="shared" si="3"/>
        <v>0.8333333333</v>
      </c>
      <c r="H3223" s="316" t="str">
        <f t="array" ref="H3223">XLOOKUP(B3223,Roster!L:L,Roster!N:N,XLOOKUP(D3223,TicketsBreak!A:A,TicketsBreak!E:E,"",0),0)</f>
        <v>12:45 - 13:00</v>
      </c>
      <c r="I3223" s="316" t="str">
        <f t="array" ref="I3223">XLOOKUP(B3223,Roster!L:L,Roster!O:O,XLOOKUP(D3223,TicketsBreak!A:A,TicketsBreak!F:F,"",0),0)</f>
        <v>15:00 - 15:30</v>
      </c>
      <c r="J3223" s="316" t="str">
        <f t="array" ref="J3223">XLOOKUP(B3223,Roster!L:L,Roster!P:P,XLOOKUP(D3223,TicketsBreak!A:A,TicketsBreak!G:G,"",0),0)</f>
        <v>17:45 - 18:00</v>
      </c>
      <c r="K3223" s="310">
        <f t="shared" si="4"/>
        <v>46140</v>
      </c>
      <c r="L3223" s="317">
        <f t="array" ref="L3223">(XLOOKUP(D3223,Roster!F:F,Roster!D:D,"",0))</f>
        <v>36</v>
      </c>
      <c r="M3223" s="317" t="str">
        <f t="array" ref="M3223">XLOOKUP(D3223,Roster!F:F,Roster!E:E)</f>
        <v>Voice</v>
      </c>
      <c r="N3223" s="317" t="str">
        <f t="shared" ref="N3223:P3223" si="3268">LEFT(H3223,5)</f>
        <v>12:45</v>
      </c>
      <c r="O3223" s="317" t="str">
        <f t="shared" si="3268"/>
        <v>15:00</v>
      </c>
      <c r="P3223" s="317" t="str">
        <f t="shared" si="3268"/>
        <v>17:45</v>
      </c>
      <c r="Q3223" s="318">
        <f t="shared" si="3216"/>
        <v>46140.53125</v>
      </c>
      <c r="R3223" s="318">
        <f t="shared" si="3217"/>
        <v>46140.625</v>
      </c>
      <c r="S3223" s="318">
        <f t="shared" si="8"/>
        <v>46140.73958</v>
      </c>
    </row>
    <row r="3224">
      <c r="A3224" s="14" t="str">
        <f t="shared" si="1"/>
        <v>C69946140</v>
      </c>
      <c r="B3224" s="185" t="str">
        <f t="array" ref="B3224">IF(F3224="VL","",IF(F3224="Free","Free",XLOOKUP(D3224,Roster!T:T,Roster!S:S,"",0)))</f>
        <v/>
      </c>
      <c r="C3224" s="313">
        <v>46140.0</v>
      </c>
      <c r="D3224" s="314" t="s">
        <v>137</v>
      </c>
      <c r="E3224" s="307" t="str">
        <f t="array" ref="E3224">(XLOOKUP(D3224,Roster!F:F,Roster!B:B,"",0))</f>
        <v>Alexa Arenas</v>
      </c>
      <c r="F3224" s="315" t="str">
        <f t="array" ref="F3224">IF(B3224=100,"Free",TEXT(XLOOKUP($D3224,OperationVoice!$A:$A,OperationVoice!AH:AH,XLOOKUP($D3224,OperationTickets!$A:$A,OperationTickets!AH:AH,"",0)),"hh:mm"))</f>
        <v>08:00</v>
      </c>
      <c r="G3224" s="309">
        <f t="shared" si="3"/>
        <v>0.7083333333</v>
      </c>
      <c r="H3224" s="316">
        <f t="array" ref="H3224">XLOOKUP(B3224,Roster!L:L,Roster!N:N,XLOOKUP(D3224,TicketsBreak!A:A,TicketsBreak!E:E,"",0),0)</f>
        <v>0.40625</v>
      </c>
      <c r="I3224" s="316">
        <f t="array" ref="I3224">XLOOKUP(B3224,Roster!L:L,Roster!O:O,XLOOKUP(D3224,TicketsBreak!A:A,TicketsBreak!F:F,"",0),0)</f>
        <v>0.5</v>
      </c>
      <c r="J3224" s="316">
        <f t="array" ref="J3224">XLOOKUP(B3224,Roster!L:L,Roster!P:P,XLOOKUP(D3224,TicketsBreak!A:A,TicketsBreak!G:G,"",0),0)</f>
        <v>0.65625</v>
      </c>
      <c r="K3224" s="310">
        <f t="shared" si="4"/>
        <v>46140</v>
      </c>
      <c r="L3224" s="317">
        <f t="array" ref="L3224">(XLOOKUP(D3224,Roster!F:F,Roster!D:D,"",0))</f>
        <v>5</v>
      </c>
      <c r="M3224" s="317" t="str">
        <f t="array" ref="M3224">XLOOKUP(D3224,Roster!F:F,Roster!E:E)</f>
        <v>Tickets</v>
      </c>
      <c r="N3224" s="317" t="str">
        <f t="shared" ref="N3224:P3224" si="3269">LEFT(H3224,5)</f>
        <v>09:45</v>
      </c>
      <c r="O3224" s="317" t="str">
        <f t="shared" si="3269"/>
        <v>12:00</v>
      </c>
      <c r="P3224" s="317" t="str">
        <f t="shared" si="3269"/>
        <v>15:45</v>
      </c>
      <c r="Q3224" s="318">
        <f t="shared" si="3216"/>
        <v>46140.40625</v>
      </c>
      <c r="R3224" s="318">
        <f t="shared" si="3217"/>
        <v>46140.5</v>
      </c>
      <c r="S3224" s="318">
        <f t="shared" si="8"/>
        <v>46140.65625</v>
      </c>
    </row>
    <row r="3225">
      <c r="A3225" s="14" t="str">
        <f t="shared" si="1"/>
        <v>C157046140</v>
      </c>
      <c r="B3225" s="185">
        <f t="array" ref="B3225">IF(F3225="VL","",IF(F3225="Free","Free",XLOOKUP(D3225,Roster!T:T,Roster!S:S,"",0)))</f>
        <v>123</v>
      </c>
      <c r="C3225" s="313">
        <v>46140.0</v>
      </c>
      <c r="D3225" s="314" t="s">
        <v>11</v>
      </c>
      <c r="E3225" s="307" t="str">
        <f t="array" ref="E3225">(XLOOKUP(D3225,Roster!F:F,Roster!B:B,"",0))</f>
        <v>Alexander Bartoli</v>
      </c>
      <c r="F3225" s="315" t="str">
        <f t="array" ref="F3225">IF(B3225=100,"Free",TEXT(XLOOKUP($D3225,OperationVoice!$A:$A,OperationVoice!AH:AH,XLOOKUP($D3225,OperationTickets!$A:$A,OperationTickets!AH:AH,"",0)),"hh:mm"))</f>
        <v>08:00</v>
      </c>
      <c r="G3225" s="309">
        <f t="shared" si="3"/>
        <v>0.7083333333</v>
      </c>
      <c r="H3225" s="316" t="str">
        <f t="array" ref="H3225">XLOOKUP(B3225,Roster!L:L,Roster!N:N,XLOOKUP(D3225,TicketsBreak!A:A,TicketsBreak!E:E,"",0),0)</f>
        <v>09:45 - 10:00 </v>
      </c>
      <c r="I3225" s="316" t="str">
        <f t="array" ref="I3225">XLOOKUP(B3225,Roster!L:L,Roster!O:O,XLOOKUP(D3225,TicketsBreak!A:A,TicketsBreak!F:F,"",0),0)</f>
        <v>12:30 - 13:00</v>
      </c>
      <c r="J3225" s="316" t="str">
        <f t="array" ref="J3225">XLOOKUP(B3225,Roster!L:L,Roster!P:P,XLOOKUP(D3225,TicketsBreak!A:A,TicketsBreak!G:G,"",0),0)</f>
        <v>15:00 - 15:15</v>
      </c>
      <c r="K3225" s="310">
        <f t="shared" si="4"/>
        <v>46140</v>
      </c>
      <c r="L3225" s="317">
        <f t="array" ref="L3225">(XLOOKUP(D3225,Roster!F:F,Roster!D:D,"",0))</f>
        <v>38</v>
      </c>
      <c r="M3225" s="317" t="str">
        <f t="array" ref="M3225">XLOOKUP(D3225,Roster!F:F,Roster!E:E)</f>
        <v>Voice</v>
      </c>
      <c r="N3225" s="317" t="str">
        <f t="shared" ref="N3225:P3225" si="3270">LEFT(H3225,5)</f>
        <v>09:45</v>
      </c>
      <c r="O3225" s="317" t="str">
        <f t="shared" si="3270"/>
        <v>12:30</v>
      </c>
      <c r="P3225" s="317" t="str">
        <f t="shared" si="3270"/>
        <v>15:00</v>
      </c>
      <c r="Q3225" s="318">
        <f t="shared" si="3216"/>
        <v>46140.40625</v>
      </c>
      <c r="R3225" s="318">
        <f t="shared" si="3217"/>
        <v>46140.52083</v>
      </c>
      <c r="S3225" s="318">
        <f t="shared" si="8"/>
        <v>46140.625</v>
      </c>
    </row>
    <row r="3226">
      <c r="A3226" s="14" t="str">
        <f t="shared" si="1"/>
        <v>C93546140</v>
      </c>
      <c r="B3226" s="185" t="str">
        <f t="array" ref="B3226">IF(F3226="VL","",IF(F3226="Free","Free",XLOOKUP(D3226,Roster!T:T,Roster!S:S,"",0)))</f>
        <v/>
      </c>
      <c r="C3226" s="313">
        <v>46140.0</v>
      </c>
      <c r="D3226" s="314" t="s">
        <v>153</v>
      </c>
      <c r="E3226" s="307" t="str">
        <f t="array" ref="E3226">(XLOOKUP(D3226,Roster!F:F,Roster!B:B,"",0))</f>
        <v>Alexis Arias</v>
      </c>
      <c r="F3226" s="315" t="str">
        <f t="array" ref="F3226">IF(B3226=100,"Free",TEXT(XLOOKUP($D3226,OperationVoice!$A:$A,OperationVoice!AH:AH,XLOOKUP($D3226,OperationTickets!$A:$A,OperationTickets!AH:AH,"",0)),"hh:mm"))</f>
        <v>07:30</v>
      </c>
      <c r="G3226" s="309">
        <f t="shared" si="3"/>
        <v>0.6875</v>
      </c>
      <c r="H3226" s="316">
        <f t="array" ref="H3226">XLOOKUP(B3226,Roster!L:L,Roster!N:N,XLOOKUP(D3226,TicketsBreak!A:A,TicketsBreak!E:E,"",0),0)</f>
        <v>0.4270833333</v>
      </c>
      <c r="I3226" s="316">
        <f t="array" ref="I3226">XLOOKUP(B3226,Roster!L:L,Roster!O:O,XLOOKUP(D3226,TicketsBreak!A:A,TicketsBreak!F:F,"",0),0)</f>
        <v>0.53125</v>
      </c>
      <c r="J3226" s="316">
        <f t="array" ref="J3226">XLOOKUP(B3226,Roster!L:L,Roster!P:P,XLOOKUP(D3226,TicketsBreak!A:A,TicketsBreak!G:G,"",0),0)</f>
        <v>0.6458333333</v>
      </c>
      <c r="K3226" s="310">
        <f t="shared" si="4"/>
        <v>46140</v>
      </c>
      <c r="L3226" s="317">
        <f t="array" ref="L3226">(XLOOKUP(D3226,Roster!F:F,Roster!D:D,"",0))</f>
        <v>12</v>
      </c>
      <c r="M3226" s="317" t="str">
        <f t="array" ref="M3226">XLOOKUP(D3226,Roster!F:F,Roster!E:E)</f>
        <v>Tickets</v>
      </c>
      <c r="N3226" s="317" t="str">
        <f t="shared" ref="N3226:P3226" si="3271">LEFT(H3226,5)</f>
        <v>10:15</v>
      </c>
      <c r="O3226" s="317" t="str">
        <f t="shared" si="3271"/>
        <v>12:45</v>
      </c>
      <c r="P3226" s="317" t="str">
        <f t="shared" si="3271"/>
        <v>15:30</v>
      </c>
      <c r="Q3226" s="318">
        <f t="shared" si="3216"/>
        <v>46140.42708</v>
      </c>
      <c r="R3226" s="318">
        <f t="shared" si="3217"/>
        <v>46140.53125</v>
      </c>
      <c r="S3226" s="318">
        <f t="shared" si="8"/>
        <v>46140.64583</v>
      </c>
    </row>
    <row r="3227">
      <c r="A3227" s="14" t="str">
        <f t="shared" si="1"/>
        <v>C72746140</v>
      </c>
      <c r="B3227" s="185" t="str">
        <f t="array" ref="B3227">IF(F3227="VL","",IF(F3227="Free","Free",XLOOKUP(D3227,Roster!T:T,Roster!S:S,"",0)))</f>
        <v/>
      </c>
      <c r="C3227" s="313">
        <v>46140.0</v>
      </c>
      <c r="D3227" s="314" t="s">
        <v>154</v>
      </c>
      <c r="E3227" s="307" t="str">
        <f t="array" ref="E3227">(XLOOKUP(D3227,Roster!F:F,Roster!B:B,"",0))</f>
        <v>Ana Moreno</v>
      </c>
      <c r="F3227" s="315" t="str">
        <f t="array" ref="F3227">IF(B3227=100,"Free",TEXT(XLOOKUP($D3227,OperationVoice!$A:$A,OperationVoice!AH:AH,XLOOKUP($D3227,OperationTickets!$A:$A,OperationTickets!AH:AH,"",0)),"hh:mm"))</f>
        <v>08:00</v>
      </c>
      <c r="G3227" s="309">
        <f t="shared" si="3"/>
        <v>0.7083333333</v>
      </c>
      <c r="H3227" s="316">
        <f t="array" ref="H3227">XLOOKUP(B3227,Roster!L:L,Roster!N:N,XLOOKUP(D3227,TicketsBreak!A:A,TicketsBreak!E:E,"",0),0)</f>
        <v>0.4166666667</v>
      </c>
      <c r="I3227" s="316">
        <f t="array" ref="I3227">XLOOKUP(B3227,Roster!L:L,Roster!O:O,XLOOKUP(D3227,TicketsBreak!A:A,TicketsBreak!F:F,"",0),0)</f>
        <v>0.5208333333</v>
      </c>
      <c r="J3227" s="316">
        <f t="array" ref="J3227">XLOOKUP(B3227,Roster!L:L,Roster!P:P,XLOOKUP(D3227,TicketsBreak!A:A,TicketsBreak!G:G,"",0),0)</f>
        <v>0.65625</v>
      </c>
      <c r="K3227" s="310">
        <f t="shared" si="4"/>
        <v>46140</v>
      </c>
      <c r="L3227" s="317">
        <f t="array" ref="L3227">(XLOOKUP(D3227,Roster!F:F,Roster!D:D,"",0))</f>
        <v>7</v>
      </c>
      <c r="M3227" s="317" t="str">
        <f t="array" ref="M3227">XLOOKUP(D3227,Roster!F:F,Roster!E:E)</f>
        <v>Tickets</v>
      </c>
      <c r="N3227" s="317" t="str">
        <f t="shared" ref="N3227:P3227" si="3272">LEFT(H3227,5)</f>
        <v>10:00</v>
      </c>
      <c r="O3227" s="317" t="str">
        <f t="shared" si="3272"/>
        <v>12:30</v>
      </c>
      <c r="P3227" s="317" t="str">
        <f t="shared" si="3272"/>
        <v>15:45</v>
      </c>
      <c r="Q3227" s="318">
        <f t="shared" si="3216"/>
        <v>46140.41667</v>
      </c>
      <c r="R3227" s="318">
        <f t="shared" si="3217"/>
        <v>46140.52083</v>
      </c>
      <c r="S3227" s="318">
        <f t="shared" si="8"/>
        <v>46140.65625</v>
      </c>
    </row>
    <row r="3228">
      <c r="A3228" s="14" t="str">
        <f t="shared" si="1"/>
        <v>C157446140</v>
      </c>
      <c r="B3228" s="185">
        <f t="array" ref="B3228">IF(F3228="VL","",IF(F3228="Free","Free",XLOOKUP(D3228,Roster!T:T,Roster!S:S,"",0)))</f>
        <v>124</v>
      </c>
      <c r="C3228" s="313">
        <v>46140.0</v>
      </c>
      <c r="D3228" s="314" t="s">
        <v>12</v>
      </c>
      <c r="E3228" s="307" t="str">
        <f t="array" ref="E3228">(XLOOKUP(D3228,Roster!F:F,Roster!B:B,"",0))</f>
        <v>Ana Quintero</v>
      </c>
      <c r="F3228" s="315" t="str">
        <f t="array" ref="F3228">IF(B3228=100,"Free",TEXT(XLOOKUP($D3228,OperationVoice!$A:$A,OperationVoice!AH:AH,XLOOKUP($D3228,OperationTickets!$A:$A,OperationTickets!AH:AH,"",0)),"hh:mm"))</f>
        <v>08:00</v>
      </c>
      <c r="G3228" s="309">
        <f t="shared" si="3"/>
        <v>0.7083333333</v>
      </c>
      <c r="H3228" s="316" t="str">
        <f t="array" ref="H3228">XLOOKUP(B3228,Roster!L:L,Roster!N:N,XLOOKUP(D3228,TicketsBreak!A:A,TicketsBreak!E:E,"",0),0)</f>
        <v>10:00 - 10:15</v>
      </c>
      <c r="I3228" s="316" t="str">
        <f t="array" ref="I3228">XLOOKUP(B3228,Roster!L:L,Roster!O:O,XLOOKUP(D3228,TicketsBreak!A:A,TicketsBreak!F:F,"",0),0)</f>
        <v>13:00 - 13:30</v>
      </c>
      <c r="J3228" s="316" t="str">
        <f t="array" ref="J3228">XLOOKUP(B3228,Roster!L:L,Roster!P:P,XLOOKUP(D3228,TicketsBreak!A:A,TicketsBreak!G:G,"",0),0)</f>
        <v>15:30 - 15:45</v>
      </c>
      <c r="K3228" s="310">
        <f t="shared" si="4"/>
        <v>46140</v>
      </c>
      <c r="L3228" s="317">
        <f t="array" ref="L3228">(XLOOKUP(D3228,Roster!F:F,Roster!D:D,"",0))</f>
        <v>38</v>
      </c>
      <c r="M3228" s="317" t="str">
        <f t="array" ref="M3228">XLOOKUP(D3228,Roster!F:F,Roster!E:E)</f>
        <v>Voice</v>
      </c>
      <c r="N3228" s="317" t="str">
        <f t="shared" ref="N3228:P3228" si="3273">LEFT(H3228,5)</f>
        <v>10:00</v>
      </c>
      <c r="O3228" s="317" t="str">
        <f t="shared" si="3273"/>
        <v>13:00</v>
      </c>
      <c r="P3228" s="317" t="str">
        <f t="shared" si="3273"/>
        <v>15:30</v>
      </c>
      <c r="Q3228" s="318">
        <f t="shared" si="3216"/>
        <v>46140.41667</v>
      </c>
      <c r="R3228" s="318">
        <f t="shared" si="3217"/>
        <v>46140.54167</v>
      </c>
      <c r="S3228" s="318">
        <f t="shared" si="8"/>
        <v>46140.64583</v>
      </c>
    </row>
    <row r="3229">
      <c r="A3229" s="14" t="str">
        <f t="shared" si="1"/>
        <v>C46946140</v>
      </c>
      <c r="B3229" s="185" t="str">
        <f t="array" ref="B3229">IF(F3229="VL","",IF(F3229="Free","Free",XLOOKUP(D3229,Roster!T:T,Roster!S:S,"",0)))</f>
        <v/>
      </c>
      <c r="C3229" s="313">
        <v>46140.0</v>
      </c>
      <c r="D3229" s="314" t="s">
        <v>171</v>
      </c>
      <c r="E3229" s="307" t="str">
        <f t="array" ref="E3229">(XLOOKUP(D3229,Roster!F:F,Roster!B:B,"",0))</f>
        <v>Ana Ruiz</v>
      </c>
      <c r="F3229" s="315" t="str">
        <f t="array" ref="F3229">IF(B3229=100,"Free",TEXT(XLOOKUP($D3229,OperationVoice!$A:$A,OperationVoice!AH:AH,XLOOKUP($D3229,OperationTickets!$A:$A,OperationTickets!AH:AH,"",0)),"hh:mm"))</f>
        <v>08:00</v>
      </c>
      <c r="G3229" s="309">
        <f t="shared" si="3"/>
        <v>0.7083333333</v>
      </c>
      <c r="H3229" s="316">
        <f t="array" ref="H3229">XLOOKUP(B3229,Roster!L:L,Roster!N:N,XLOOKUP(D3229,TicketsBreak!A:A,TicketsBreak!E:E,"",0),0)</f>
        <v>0.3854166667</v>
      </c>
      <c r="I3229" s="316">
        <f t="array" ref="I3229">XLOOKUP(B3229,Roster!L:L,Roster!O:O,XLOOKUP(D3229,TicketsBreak!A:A,TicketsBreak!F:F,"",0),0)</f>
        <v>0.5</v>
      </c>
      <c r="J3229" s="316">
        <f t="array" ref="J3229">XLOOKUP(B3229,Roster!L:L,Roster!P:P,XLOOKUP(D3229,TicketsBreak!A:A,TicketsBreak!G:G,"",0),0)</f>
        <v>0.6041666667</v>
      </c>
      <c r="K3229" s="310">
        <f t="shared" si="4"/>
        <v>46140</v>
      </c>
      <c r="L3229" s="317">
        <f t="array" ref="L3229">(XLOOKUP(D3229,Roster!F:F,Roster!D:D,"",0))</f>
        <v>3</v>
      </c>
      <c r="M3229" s="317" t="str">
        <f t="array" ref="M3229">XLOOKUP(D3229,Roster!F:F,Roster!E:E)</f>
        <v>Tickets</v>
      </c>
      <c r="N3229" s="317" t="str">
        <f t="shared" ref="N3229:P3229" si="3274">LEFT(H3229,5)</f>
        <v>09:15</v>
      </c>
      <c r="O3229" s="317" t="str">
        <f t="shared" si="3274"/>
        <v>12:00</v>
      </c>
      <c r="P3229" s="317" t="str">
        <f t="shared" si="3274"/>
        <v>14:30</v>
      </c>
      <c r="Q3229" s="318">
        <f t="shared" si="3216"/>
        <v>46140.38542</v>
      </c>
      <c r="R3229" s="318">
        <f t="shared" si="3217"/>
        <v>46140.5</v>
      </c>
      <c r="S3229" s="318">
        <f t="shared" si="8"/>
        <v>46140.60417</v>
      </c>
    </row>
    <row r="3230">
      <c r="A3230" s="14" t="str">
        <f t="shared" si="1"/>
        <v>C155446140</v>
      </c>
      <c r="B3230" s="185">
        <f t="array" ref="B3230">IF(F3230="VL","",IF(F3230="Free","Free",XLOOKUP(D3230,Roster!T:T,Roster!S:S,"",0)))</f>
        <v>131</v>
      </c>
      <c r="C3230" s="313">
        <v>46140.0</v>
      </c>
      <c r="D3230" s="314" t="s">
        <v>13</v>
      </c>
      <c r="E3230" s="307" t="str">
        <f t="array" ref="E3230">(XLOOKUP(D3230,Roster!F:F,Roster!B:B,"",0))</f>
        <v>Andres Lopez</v>
      </c>
      <c r="F3230" s="315" t="str">
        <f t="array" ref="F3230">IF(B3230=100,"Free",TEXT(XLOOKUP($D3230,OperationVoice!$A:$A,OperationVoice!AH:AH,XLOOKUP($D3230,OperationTickets!$A:$A,OperationTickets!AH:AH,"",0)),"hh:mm"))</f>
        <v>09:00</v>
      </c>
      <c r="G3230" s="309">
        <f t="shared" si="3"/>
        <v>0.75</v>
      </c>
      <c r="H3230" s="316" t="str">
        <f t="array" ref="H3230">XLOOKUP(B3230,Roster!L:L,Roster!N:N,XLOOKUP(D3230,TicketsBreak!A:A,TicketsBreak!E:E,"",0),0)</f>
        <v>10:15 - 10:30</v>
      </c>
      <c r="I3230" s="316" t="str">
        <f t="array" ref="I3230">XLOOKUP(B3230,Roster!L:L,Roster!O:O,XLOOKUP(D3230,TicketsBreak!A:A,TicketsBreak!F:F,"",0),0)</f>
        <v>12:30 - 13:00</v>
      </c>
      <c r="J3230" s="316" t="str">
        <f t="array" ref="J3230">XLOOKUP(B3230,Roster!L:L,Roster!P:P,XLOOKUP(D3230,TicketsBreak!A:A,TicketsBreak!G:G,"",0),0)</f>
        <v>15:15 - 15:30</v>
      </c>
      <c r="K3230" s="310">
        <f t="shared" si="4"/>
        <v>46140</v>
      </c>
      <c r="L3230" s="317">
        <f t="array" ref="L3230">(XLOOKUP(D3230,Roster!F:F,Roster!D:D,"",0))</f>
        <v>37</v>
      </c>
      <c r="M3230" s="317" t="str">
        <f t="array" ref="M3230">XLOOKUP(D3230,Roster!F:F,Roster!E:E)</f>
        <v>Voice</v>
      </c>
      <c r="N3230" s="317" t="str">
        <f t="shared" ref="N3230:P3230" si="3275">LEFT(H3230,5)</f>
        <v>10:15</v>
      </c>
      <c r="O3230" s="317" t="str">
        <f t="shared" si="3275"/>
        <v>12:30</v>
      </c>
      <c r="P3230" s="317" t="str">
        <f t="shared" si="3275"/>
        <v>15:15</v>
      </c>
      <c r="Q3230" s="318">
        <f t="shared" si="3216"/>
        <v>46140.42708</v>
      </c>
      <c r="R3230" s="318">
        <f t="shared" si="3217"/>
        <v>46140.52083</v>
      </c>
      <c r="S3230" s="318">
        <f t="shared" si="8"/>
        <v>46140.63542</v>
      </c>
    </row>
    <row r="3231">
      <c r="A3231" s="14" t="str">
        <f t="shared" si="1"/>
        <v>C156746140</v>
      </c>
      <c r="B3231" s="185">
        <f t="array" ref="B3231">IF(F3231="VL","",IF(F3231="Free","Free",XLOOKUP(D3231,Roster!T:T,Roster!S:S,"",0)))</f>
        <v>125</v>
      </c>
      <c r="C3231" s="313">
        <v>46140.0</v>
      </c>
      <c r="D3231" s="314" t="s">
        <v>14</v>
      </c>
      <c r="E3231" s="307" t="str">
        <f t="array" ref="E3231">(XLOOKUP(D3231,Roster!F:F,Roster!B:B,"",0))</f>
        <v>Andres Salazar</v>
      </c>
      <c r="F3231" s="315" t="str">
        <f t="array" ref="F3231">IF(B3231=100,"Free",TEXT(XLOOKUP($D3231,OperationVoice!$A:$A,OperationVoice!AH:AH,XLOOKUP($D3231,OperationTickets!$A:$A,OperationTickets!AH:AH,"",0)),"hh:mm"))</f>
        <v>08:00</v>
      </c>
      <c r="G3231" s="309">
        <f t="shared" si="3"/>
        <v>0.7083333333</v>
      </c>
      <c r="H3231" s="316" t="str">
        <f t="array" ref="H3231">XLOOKUP(B3231,Roster!L:L,Roster!N:N,XLOOKUP(D3231,TicketsBreak!A:A,TicketsBreak!E:E,"",0),0)</f>
        <v>10:30 - 10:45</v>
      </c>
      <c r="I3231" s="316" t="str">
        <f t="array" ref="I3231">XLOOKUP(B3231,Roster!L:L,Roster!O:O,XLOOKUP(D3231,TicketsBreak!A:A,TicketsBreak!F:F,"",0),0)</f>
        <v>13:30 - 14:00</v>
      </c>
      <c r="J3231" s="316" t="str">
        <f t="array" ref="J3231">XLOOKUP(B3231,Roster!L:L,Roster!P:P,XLOOKUP(D3231,TicketsBreak!A:A,TicketsBreak!G:G,"",0),0)</f>
        <v>15:45 - 16:00</v>
      </c>
      <c r="K3231" s="310">
        <f t="shared" si="4"/>
        <v>46140</v>
      </c>
      <c r="L3231" s="317">
        <f t="array" ref="L3231">(XLOOKUP(D3231,Roster!F:F,Roster!D:D,"",0))</f>
        <v>38</v>
      </c>
      <c r="M3231" s="317" t="str">
        <f t="array" ref="M3231">XLOOKUP(D3231,Roster!F:F,Roster!E:E)</f>
        <v>Voice</v>
      </c>
      <c r="N3231" s="317" t="str">
        <f t="shared" ref="N3231:P3231" si="3276">LEFT(H3231,5)</f>
        <v>10:30</v>
      </c>
      <c r="O3231" s="317" t="str">
        <f t="shared" si="3276"/>
        <v>13:30</v>
      </c>
      <c r="P3231" s="317" t="str">
        <f t="shared" si="3276"/>
        <v>15:45</v>
      </c>
      <c r="Q3231" s="318">
        <f t="shared" si="3216"/>
        <v>46140.4375</v>
      </c>
      <c r="R3231" s="318">
        <f t="shared" si="3217"/>
        <v>46140.5625</v>
      </c>
      <c r="S3231" s="318">
        <f t="shared" si="8"/>
        <v>46140.65625</v>
      </c>
    </row>
    <row r="3232">
      <c r="A3232" s="14" t="str">
        <f t="shared" si="1"/>
        <v>C134846140</v>
      </c>
      <c r="B3232" s="185">
        <f t="array" ref="B3232">IF(F3232="VL","",IF(F3232="Free","Free",XLOOKUP(D3232,Roster!T:T,Roster!S:S,"",0)))</f>
        <v>124</v>
      </c>
      <c r="C3232" s="313">
        <v>46140.0</v>
      </c>
      <c r="D3232" s="314" t="s">
        <v>15</v>
      </c>
      <c r="E3232" s="307" t="str">
        <f t="array" ref="E3232">(XLOOKUP(D3232,Roster!F:F,Roster!B:B,"",0))</f>
        <v>Angelo Zapata</v>
      </c>
      <c r="F3232" s="315" t="str">
        <f t="array" ref="F3232">IF(B3232=100,"Free",TEXT(XLOOKUP($D3232,OperationVoice!$A:$A,OperationVoice!AH:AH,XLOOKUP($D3232,OperationTickets!$A:$A,OperationTickets!AH:AH,"",0)),"hh:mm"))</f>
        <v>08:00</v>
      </c>
      <c r="G3232" s="309">
        <f t="shared" si="3"/>
        <v>0.7083333333</v>
      </c>
      <c r="H3232" s="316" t="str">
        <f t="array" ref="H3232">XLOOKUP(B3232,Roster!L:L,Roster!N:N,XLOOKUP(D3232,TicketsBreak!A:A,TicketsBreak!E:E,"",0),0)</f>
        <v>10:00 - 10:15</v>
      </c>
      <c r="I3232" s="316" t="str">
        <f t="array" ref="I3232">XLOOKUP(B3232,Roster!L:L,Roster!O:O,XLOOKUP(D3232,TicketsBreak!A:A,TicketsBreak!F:F,"",0),0)</f>
        <v>13:00 - 13:30</v>
      </c>
      <c r="J3232" s="316" t="str">
        <f t="array" ref="J3232">XLOOKUP(B3232,Roster!L:L,Roster!P:P,XLOOKUP(D3232,TicketsBreak!A:A,TicketsBreak!G:G,"",0),0)</f>
        <v>15:30 - 15:45</v>
      </c>
      <c r="K3232" s="310">
        <f t="shared" si="4"/>
        <v>46140</v>
      </c>
      <c r="L3232" s="317">
        <f t="array" ref="L3232">(XLOOKUP(D3232,Roster!F:F,Roster!D:D,"",0))</f>
        <v>30</v>
      </c>
      <c r="M3232" s="317" t="str">
        <f t="array" ref="M3232">XLOOKUP(D3232,Roster!F:F,Roster!E:E)</f>
        <v>Voice</v>
      </c>
      <c r="N3232" s="317" t="str">
        <f t="shared" ref="N3232:P3232" si="3277">LEFT(H3232,5)</f>
        <v>10:00</v>
      </c>
      <c r="O3232" s="317" t="str">
        <f t="shared" si="3277"/>
        <v>13:00</v>
      </c>
      <c r="P3232" s="317" t="str">
        <f t="shared" si="3277"/>
        <v>15:30</v>
      </c>
      <c r="Q3232" s="318">
        <f t="shared" si="3216"/>
        <v>46140.41667</v>
      </c>
      <c r="R3232" s="318">
        <f t="shared" si="3217"/>
        <v>46140.54167</v>
      </c>
      <c r="S3232" s="318">
        <f t="shared" si="8"/>
        <v>46140.64583</v>
      </c>
    </row>
    <row r="3233">
      <c r="A3233" s="14" t="str">
        <f t="shared" si="1"/>
        <v>C116746140</v>
      </c>
      <c r="B3233" s="185" t="str">
        <f t="array" ref="B3233">IF(F3233="VL","",IF(F3233="Free","Free",XLOOKUP(D3233,Roster!T:T,Roster!S:S,"",0)))</f>
        <v/>
      </c>
      <c r="C3233" s="313">
        <v>46140.0</v>
      </c>
      <c r="D3233" s="314" t="s">
        <v>172</v>
      </c>
      <c r="E3233" s="307" t="str">
        <f t="array" ref="E3233">(XLOOKUP(D3233,Roster!F:F,Roster!B:B,"",0))</f>
        <v>Angie Rua</v>
      </c>
      <c r="F3233" s="315" t="str">
        <f t="array" ref="F3233">IF(B3233=100,"Free",TEXT(XLOOKUP($D3233,OperationVoice!$A:$A,OperationVoice!AH:AH,XLOOKUP($D3233,OperationTickets!$A:$A,OperationTickets!AH:AH,"",0)),"hh:mm"))</f>
        <v>07:00</v>
      </c>
      <c r="G3233" s="309">
        <f t="shared" si="3"/>
        <v>0.6666666667</v>
      </c>
      <c r="H3233" s="316" t="str">
        <f t="array" ref="H3233">XLOOKUP(B3233,Roster!L:L,Roster!N:N,XLOOKUP(D3233,TicketsBreak!A:A,TicketsBreak!E:E,"",0),0)</f>
        <v/>
      </c>
      <c r="I3233" s="316" t="str">
        <f t="array" ref="I3233">XLOOKUP(B3233,Roster!L:L,Roster!O:O,XLOOKUP(D3233,TicketsBreak!A:A,TicketsBreak!F:F,"",0),0)</f>
        <v/>
      </c>
      <c r="J3233" s="316" t="str">
        <f t="array" ref="J3233">XLOOKUP(B3233,Roster!L:L,Roster!P:P,XLOOKUP(D3233,TicketsBreak!A:A,TicketsBreak!G:G,"",0),0)</f>
        <v/>
      </c>
      <c r="K3233" s="310">
        <f t="shared" si="4"/>
        <v>46140</v>
      </c>
      <c r="L3233" s="317">
        <f t="array" ref="L3233">(XLOOKUP(D3233,Roster!F:F,Roster!D:D,"",0))</f>
        <v>24</v>
      </c>
      <c r="M3233" s="317" t="str">
        <f t="array" ref="M3233">XLOOKUP(D3233,Roster!F:F,Roster!E:E)</f>
        <v>Tickets</v>
      </c>
      <c r="N3233" s="317" t="str">
        <f t="shared" ref="N3233:P3233" si="3278">LEFT(H3233,5)</f>
        <v/>
      </c>
      <c r="O3233" s="317" t="str">
        <f t="shared" si="3278"/>
        <v/>
      </c>
      <c r="P3233" s="317" t="str">
        <f t="shared" si="3278"/>
        <v/>
      </c>
      <c r="Q3233" s="318" t="str">
        <f t="shared" si="3216"/>
        <v/>
      </c>
      <c r="R3233" s="318" t="str">
        <f t="shared" si="3217"/>
        <v/>
      </c>
      <c r="S3233" s="318" t="str">
        <f t="shared" si="8"/>
        <v/>
      </c>
    </row>
    <row r="3234">
      <c r="A3234" s="14" t="str">
        <f t="shared" si="1"/>
        <v>C157946140</v>
      </c>
      <c r="B3234" s="185">
        <f t="array" ref="B3234">IF(F3234="VL","",IF(F3234="Free","Free",XLOOKUP(D3234,Roster!T:T,Roster!S:S,"",0)))</f>
        <v>126</v>
      </c>
      <c r="C3234" s="313">
        <v>46140.0</v>
      </c>
      <c r="D3234" s="314" t="s">
        <v>16</v>
      </c>
      <c r="E3234" s="307" t="str">
        <f t="array" ref="E3234">(XLOOKUP(D3234,Roster!F:F,Roster!B:B,"",0))</f>
        <v>Anibal Munoz</v>
      </c>
      <c r="F3234" s="315" t="str">
        <f t="array" ref="F3234">IF(B3234=100,"Free",TEXT(XLOOKUP($D3234,OperationVoice!$A:$A,OperationVoice!AH:AH,XLOOKUP($D3234,OperationTickets!$A:$A,OperationTickets!AH:AH,"",0)),"hh:mm"))</f>
        <v>08:00</v>
      </c>
      <c r="G3234" s="309">
        <f t="shared" si="3"/>
        <v>0.7083333333</v>
      </c>
      <c r="H3234" s="316" t="str">
        <f t="array" ref="H3234">XLOOKUP(B3234,Roster!L:L,Roster!N:N,XLOOKUP(D3234,TicketsBreak!A:A,TicketsBreak!E:E,"",0),0)</f>
        <v>10:45 - 11:00</v>
      </c>
      <c r="I3234" s="316" t="str">
        <f t="array" ref="I3234">XLOOKUP(B3234,Roster!L:L,Roster!O:O,XLOOKUP(D3234,TicketsBreak!A:A,TicketsBreak!F:F,"",0),0)</f>
        <v>14:00 - 14:30</v>
      </c>
      <c r="J3234" s="316" t="str">
        <f t="array" ref="J3234">XLOOKUP(B3234,Roster!L:L,Roster!P:P,XLOOKUP(D3234,TicketsBreak!A:A,TicketsBreak!G:G,"",0),0)</f>
        <v>15:45 - 16:00</v>
      </c>
      <c r="K3234" s="310">
        <f t="shared" si="4"/>
        <v>46140</v>
      </c>
      <c r="L3234" s="317">
        <f t="array" ref="L3234">(XLOOKUP(D3234,Roster!F:F,Roster!D:D,"",0))</f>
        <v>38</v>
      </c>
      <c r="M3234" s="317" t="str">
        <f t="array" ref="M3234">XLOOKUP(D3234,Roster!F:F,Roster!E:E)</f>
        <v>Voice</v>
      </c>
      <c r="N3234" s="317" t="str">
        <f t="shared" ref="N3234:P3234" si="3279">LEFT(H3234,5)</f>
        <v>10:45</v>
      </c>
      <c r="O3234" s="317" t="str">
        <f t="shared" si="3279"/>
        <v>14:00</v>
      </c>
      <c r="P3234" s="317" t="str">
        <f t="shared" si="3279"/>
        <v>15:45</v>
      </c>
      <c r="Q3234" s="318">
        <f t="shared" si="3216"/>
        <v>46140.44792</v>
      </c>
      <c r="R3234" s="318">
        <f t="shared" si="3217"/>
        <v>46140.58333</v>
      </c>
      <c r="S3234" s="318">
        <f t="shared" si="8"/>
        <v>46140.65625</v>
      </c>
    </row>
    <row r="3235">
      <c r="A3235" s="14" t="str">
        <f t="shared" si="1"/>
        <v>C08046140</v>
      </c>
      <c r="B3235" s="185" t="str">
        <f t="array" ref="B3235">IF(F3235="VL","",IF(F3235="Free","Free",XLOOKUP(D3235,Roster!T:T,Roster!S:S,"",0)))</f>
        <v/>
      </c>
      <c r="C3235" s="313">
        <v>46140.0</v>
      </c>
      <c r="D3235" s="314" t="s">
        <v>138</v>
      </c>
      <c r="E3235" s="307" t="str">
        <f t="array" ref="E3235">(XLOOKUP(D3235,Roster!F:F,Roster!B:B,"",0))</f>
        <v>Arturo Padilla</v>
      </c>
      <c r="F3235" s="315" t="str">
        <f t="array" ref="F3235">IF(B3235=100,"Free",TEXT(XLOOKUP($D3235,OperationVoice!$A:$A,OperationVoice!AH:AH,XLOOKUP($D3235,OperationTickets!$A:$A,OperationTickets!AH:AH,"",0)),"hh:mm"))</f>
        <v>08:00</v>
      </c>
      <c r="G3235" s="309">
        <f t="shared" si="3"/>
        <v>0.7083333333</v>
      </c>
      <c r="H3235" s="316">
        <f t="array" ref="H3235">XLOOKUP(B3235,Roster!L:L,Roster!N:N,XLOOKUP(D3235,TicketsBreak!A:A,TicketsBreak!E:E,"",0),0)</f>
        <v>0.375</v>
      </c>
      <c r="I3235" s="316">
        <f t="array" ref="I3235">XLOOKUP(B3235,Roster!L:L,Roster!O:O,XLOOKUP(D3235,TicketsBreak!A:A,TicketsBreak!F:F,"",0),0)</f>
        <v>0.5</v>
      </c>
      <c r="J3235" s="316">
        <f t="array" ref="J3235">XLOOKUP(B3235,Roster!L:L,Roster!P:P,XLOOKUP(D3235,TicketsBreak!A:A,TicketsBreak!G:G,"",0),0)</f>
        <v>0.6458333333</v>
      </c>
      <c r="K3235" s="310">
        <f t="shared" si="4"/>
        <v>46140</v>
      </c>
      <c r="L3235" s="317">
        <f t="array" ref="L3235">(XLOOKUP(D3235,Roster!F:F,Roster!D:D,"",0))</f>
        <v>1</v>
      </c>
      <c r="M3235" s="317" t="str">
        <f t="array" ref="M3235">XLOOKUP(D3235,Roster!F:F,Roster!E:E)</f>
        <v>Tickets</v>
      </c>
      <c r="N3235" s="317" t="str">
        <f t="shared" ref="N3235:P3235" si="3280">LEFT(H3235,5)</f>
        <v>09:00</v>
      </c>
      <c r="O3235" s="317" t="str">
        <f t="shared" si="3280"/>
        <v>12:00</v>
      </c>
      <c r="P3235" s="317" t="str">
        <f t="shared" si="3280"/>
        <v>15:30</v>
      </c>
      <c r="Q3235" s="318">
        <f t="shared" si="3216"/>
        <v>46140.375</v>
      </c>
      <c r="R3235" s="318">
        <f t="shared" si="3217"/>
        <v>46140.5</v>
      </c>
      <c r="S3235" s="318">
        <f t="shared" si="8"/>
        <v>46140.64583</v>
      </c>
    </row>
    <row r="3236">
      <c r="A3236" s="14" t="str">
        <f t="shared" si="1"/>
        <v>C150446140</v>
      </c>
      <c r="B3236" s="185">
        <f t="array" ref="B3236">IF(F3236="VL","",IF(F3236="Free","Free",XLOOKUP(D3236,Roster!T:T,Roster!S:S,"",0)))</f>
        <v>123</v>
      </c>
      <c r="C3236" s="313">
        <v>46140.0</v>
      </c>
      <c r="D3236" s="314" t="s">
        <v>155</v>
      </c>
      <c r="E3236" s="307" t="str">
        <f t="array" ref="E3236">(XLOOKUP(D3236,Roster!F:F,Roster!B:B,"",0))</f>
        <v>Beatriz Montanez</v>
      </c>
      <c r="F3236" s="315" t="str">
        <f t="array" ref="F3236">IF(B3236=100,"Free",TEXT(XLOOKUP($D3236,OperationVoice!$A:$A,OperationVoice!AH:AH,XLOOKUP($D3236,OperationTickets!$A:$A,OperationTickets!AH:AH,"",0)),"hh:mm"))</f>
        <v>08:00</v>
      </c>
      <c r="G3236" s="309">
        <f t="shared" si="3"/>
        <v>0.7083333333</v>
      </c>
      <c r="H3236" s="316" t="str">
        <f t="array" ref="H3236">XLOOKUP(B3236,Roster!L:L,Roster!N:N,XLOOKUP(D3236,TicketsBreak!A:A,TicketsBreak!E:E,"",0),0)</f>
        <v>09:45 - 10:00 </v>
      </c>
      <c r="I3236" s="316" t="str">
        <f t="array" ref="I3236">XLOOKUP(B3236,Roster!L:L,Roster!O:O,XLOOKUP(D3236,TicketsBreak!A:A,TicketsBreak!F:F,"",0),0)</f>
        <v>12:30 - 13:00</v>
      </c>
      <c r="J3236" s="316" t="str">
        <f t="array" ref="J3236">XLOOKUP(B3236,Roster!L:L,Roster!P:P,XLOOKUP(D3236,TicketsBreak!A:A,TicketsBreak!G:G,"",0),0)</f>
        <v>15:00 - 15:15</v>
      </c>
      <c r="K3236" s="310">
        <f t="shared" si="4"/>
        <v>46140</v>
      </c>
      <c r="L3236" s="317">
        <f t="array" ref="L3236">(XLOOKUP(D3236,Roster!F:F,Roster!D:D,"",0))</f>
        <v>35</v>
      </c>
      <c r="M3236" s="317" t="str">
        <f t="array" ref="M3236">XLOOKUP(D3236,Roster!F:F,Roster!E:E)</f>
        <v>Tickets</v>
      </c>
      <c r="N3236" s="317" t="str">
        <f t="shared" ref="N3236:P3236" si="3281">LEFT(H3236,5)</f>
        <v>09:45</v>
      </c>
      <c r="O3236" s="317" t="str">
        <f t="shared" si="3281"/>
        <v>12:30</v>
      </c>
      <c r="P3236" s="317" t="str">
        <f t="shared" si="3281"/>
        <v>15:00</v>
      </c>
      <c r="Q3236" s="318">
        <f t="shared" si="3216"/>
        <v>46140.40625</v>
      </c>
      <c r="R3236" s="318">
        <f t="shared" si="3217"/>
        <v>46140.52083</v>
      </c>
      <c r="S3236" s="318">
        <f t="shared" si="8"/>
        <v>46140.625</v>
      </c>
    </row>
    <row r="3237">
      <c r="A3237" s="14" t="str">
        <f t="shared" si="1"/>
        <v>C107746140</v>
      </c>
      <c r="B3237" s="185">
        <f t="array" ref="B3237">IF(F3237="VL","",IF(F3237="Free","Free",XLOOKUP(D3237,Roster!T:T,Roster!S:S,"",0)))</f>
        <v>125</v>
      </c>
      <c r="C3237" s="313">
        <v>46140.0</v>
      </c>
      <c r="D3237" s="314" t="s">
        <v>17</v>
      </c>
      <c r="E3237" s="307" t="str">
        <f t="array" ref="E3237">(XLOOKUP(D3237,Roster!F:F,Roster!B:B,"",0))</f>
        <v>Brahian Prado</v>
      </c>
      <c r="F3237" s="315" t="str">
        <f t="array" ref="F3237">IF(B3237=100,"Free",TEXT(XLOOKUP($D3237,OperationVoice!$A:$A,OperationVoice!AH:AH,XLOOKUP($D3237,OperationTickets!$A:$A,OperationTickets!AH:AH,"",0)),"hh:mm"))</f>
        <v>08:00</v>
      </c>
      <c r="G3237" s="309">
        <f t="shared" si="3"/>
        <v>0.7083333333</v>
      </c>
      <c r="H3237" s="316" t="str">
        <f t="array" ref="H3237">XLOOKUP(B3237,Roster!L:L,Roster!N:N,XLOOKUP(D3237,TicketsBreak!A:A,TicketsBreak!E:E,"",0),0)</f>
        <v>10:30 - 10:45</v>
      </c>
      <c r="I3237" s="316" t="str">
        <f t="array" ref="I3237">XLOOKUP(B3237,Roster!L:L,Roster!O:O,XLOOKUP(D3237,TicketsBreak!A:A,TicketsBreak!F:F,"",0),0)</f>
        <v>13:30 - 14:00</v>
      </c>
      <c r="J3237" s="316" t="str">
        <f t="array" ref="J3237">XLOOKUP(B3237,Roster!L:L,Roster!P:P,XLOOKUP(D3237,TicketsBreak!A:A,TicketsBreak!G:G,"",0),0)</f>
        <v>15:45 - 16:00</v>
      </c>
      <c r="K3237" s="310">
        <f t="shared" si="4"/>
        <v>46140</v>
      </c>
      <c r="L3237" s="317">
        <f t="array" ref="L3237">(XLOOKUP(D3237,Roster!F:F,Roster!D:D,"",0))</f>
        <v>18</v>
      </c>
      <c r="M3237" s="317" t="str">
        <f t="array" ref="M3237">XLOOKUP(D3237,Roster!F:F,Roster!E:E)</f>
        <v>Voice</v>
      </c>
      <c r="N3237" s="317" t="str">
        <f t="shared" ref="N3237:P3237" si="3282">LEFT(H3237,5)</f>
        <v>10:30</v>
      </c>
      <c r="O3237" s="317" t="str">
        <f t="shared" si="3282"/>
        <v>13:30</v>
      </c>
      <c r="P3237" s="317" t="str">
        <f t="shared" si="3282"/>
        <v>15:45</v>
      </c>
      <c r="Q3237" s="318">
        <f t="shared" si="3216"/>
        <v>46140.4375</v>
      </c>
      <c r="R3237" s="318">
        <f t="shared" si="3217"/>
        <v>46140.5625</v>
      </c>
      <c r="S3237" s="318">
        <f t="shared" si="8"/>
        <v>46140.65625</v>
      </c>
    </row>
    <row r="3238">
      <c r="A3238" s="14" t="str">
        <f t="shared" si="1"/>
        <v>C116546140</v>
      </c>
      <c r="B3238" s="185" t="str">
        <f t="array" ref="B3238">IF(F3238="VL","",IF(F3238="Free","Free",XLOOKUP(D3238,Roster!T:T,Roster!S:S,"",0)))</f>
        <v/>
      </c>
      <c r="C3238" s="313">
        <v>46140.0</v>
      </c>
      <c r="D3238" s="314" t="s">
        <v>139</v>
      </c>
      <c r="E3238" s="307" t="str">
        <f t="array" ref="E3238">(XLOOKUP(D3238,Roster!F:F,Roster!B:B,"",0))</f>
        <v>Braian Restrepo</v>
      </c>
      <c r="F3238" s="315" t="str">
        <f t="array" ref="F3238">IF(B3238=100,"Free",TEXT(XLOOKUP($D3238,OperationVoice!$A:$A,OperationVoice!AH:AH,XLOOKUP($D3238,OperationTickets!$A:$A,OperationTickets!AH:AH,"",0)),"hh:mm"))</f>
        <v>08:00</v>
      </c>
      <c r="G3238" s="309">
        <f t="shared" si="3"/>
        <v>0.7083333333</v>
      </c>
      <c r="H3238" s="316" t="str">
        <f t="array" ref="H3238">XLOOKUP(B3238,Roster!L:L,Roster!N:N,XLOOKUP(D3238,TicketsBreak!A:A,TicketsBreak!E:E,"",0),0)</f>
        <v/>
      </c>
      <c r="I3238" s="316" t="str">
        <f t="array" ref="I3238">XLOOKUP(B3238,Roster!L:L,Roster!O:O,XLOOKUP(D3238,TicketsBreak!A:A,TicketsBreak!F:F,"",0),0)</f>
        <v/>
      </c>
      <c r="J3238" s="316" t="str">
        <f t="array" ref="J3238">XLOOKUP(B3238,Roster!L:L,Roster!P:P,XLOOKUP(D3238,TicketsBreak!A:A,TicketsBreak!G:G,"",0),0)</f>
        <v/>
      </c>
      <c r="K3238" s="310">
        <f t="shared" si="4"/>
        <v>46140</v>
      </c>
      <c r="L3238" s="317">
        <f t="array" ref="L3238">(XLOOKUP(D3238,Roster!F:F,Roster!D:D,"",0))</f>
        <v>24</v>
      </c>
      <c r="M3238" s="317" t="str">
        <f t="array" ref="M3238">XLOOKUP(D3238,Roster!F:F,Roster!E:E)</f>
        <v>Tickets</v>
      </c>
      <c r="N3238" s="317" t="str">
        <f t="shared" ref="N3238:P3238" si="3283">LEFT(H3238,5)</f>
        <v/>
      </c>
      <c r="O3238" s="317" t="str">
        <f t="shared" si="3283"/>
        <v/>
      </c>
      <c r="P3238" s="317" t="str">
        <f t="shared" si="3283"/>
        <v/>
      </c>
      <c r="Q3238" s="318" t="str">
        <f t="shared" si="3216"/>
        <v/>
      </c>
      <c r="R3238" s="318" t="str">
        <f t="shared" si="3217"/>
        <v/>
      </c>
      <c r="S3238" s="318" t="str">
        <f t="shared" si="8"/>
        <v/>
      </c>
    </row>
    <row r="3239">
      <c r="A3239" s="14" t="str">
        <f t="shared" si="1"/>
        <v>C127446140</v>
      </c>
      <c r="B3239" s="185">
        <f t="array" ref="B3239">IF(F3239="VL","",IF(F3239="Free","Free",XLOOKUP(D3239,Roster!T:T,Roster!S:S,"",0)))</f>
        <v>126</v>
      </c>
      <c r="C3239" s="313">
        <v>46140.0</v>
      </c>
      <c r="D3239" s="314" t="s">
        <v>250</v>
      </c>
      <c r="E3239" s="307" t="str">
        <f t="array" ref="E3239">(XLOOKUP(D3239,Roster!F:F,Roster!B:B,"",0))</f>
        <v>Brayan Franco</v>
      </c>
      <c r="F3239" s="315" t="str">
        <f t="array" ref="F3239">IF(B3239=100,"Free",TEXT(XLOOKUP($D3239,OperationVoice!$A:$A,OperationVoice!AH:AH,XLOOKUP($D3239,OperationTickets!$A:$A,OperationTickets!AH:AH,"",0)),"hh:mm"))</f>
        <v/>
      </c>
      <c r="G3239" s="309" t="str">
        <f t="shared" si="3"/>
        <v/>
      </c>
      <c r="H3239" s="316" t="str">
        <f t="array" ref="H3239">XLOOKUP(B3239,Roster!L:L,Roster!N:N,XLOOKUP(D3239,TicketsBreak!A:A,TicketsBreak!E:E,"",0),0)</f>
        <v>10:45 - 11:00</v>
      </c>
      <c r="I3239" s="316" t="str">
        <f t="array" ref="I3239">XLOOKUP(B3239,Roster!L:L,Roster!O:O,XLOOKUP(D3239,TicketsBreak!A:A,TicketsBreak!F:F,"",0),0)</f>
        <v>14:00 - 14:30</v>
      </c>
      <c r="J3239" s="316" t="str">
        <f t="array" ref="J3239">XLOOKUP(B3239,Roster!L:L,Roster!P:P,XLOOKUP(D3239,TicketsBreak!A:A,TicketsBreak!G:G,"",0),0)</f>
        <v>15:45 - 16:00</v>
      </c>
      <c r="K3239" s="310">
        <f t="shared" si="4"/>
        <v>46140</v>
      </c>
      <c r="L3239" s="317">
        <f t="array" ref="L3239">(XLOOKUP(D3239,Roster!F:F,Roster!D:D,"",0))</f>
        <v>27</v>
      </c>
      <c r="M3239" s="317" t="str">
        <f t="array" ref="M3239">XLOOKUP(D3239,Roster!F:F,Roster!E:E)</f>
        <v>Voice</v>
      </c>
      <c r="N3239" s="317" t="str">
        <f t="shared" ref="N3239:P3239" si="3284">LEFT(H3239,5)</f>
        <v>10:45</v>
      </c>
      <c r="O3239" s="317" t="str">
        <f t="shared" si="3284"/>
        <v>14:00</v>
      </c>
      <c r="P3239" s="317" t="str">
        <f t="shared" si="3284"/>
        <v>15:45</v>
      </c>
      <c r="Q3239" s="318">
        <f t="shared" si="3216"/>
        <v>46140.44792</v>
      </c>
      <c r="R3239" s="318">
        <f t="shared" si="3217"/>
        <v>46140.58333</v>
      </c>
      <c r="S3239" s="318">
        <f t="shared" si="8"/>
        <v>46140.65625</v>
      </c>
    </row>
    <row r="3240">
      <c r="A3240" s="14" t="str">
        <f t="shared" si="1"/>
        <v>C119146140</v>
      </c>
      <c r="B3240" s="185">
        <f t="array" ref="B3240">IF(F3240="VL","",IF(F3240="Free","Free",XLOOKUP(D3240,Roster!T:T,Roster!S:S,"",0)))</f>
        <v>111</v>
      </c>
      <c r="C3240" s="313">
        <v>46140.0</v>
      </c>
      <c r="D3240" s="314" t="s">
        <v>18</v>
      </c>
      <c r="E3240" s="307" t="str">
        <f t="array" ref="E3240">(XLOOKUP(D3240,Roster!F:F,Roster!B:B,"",0))</f>
        <v>Brayan Montoya</v>
      </c>
      <c r="F3240" s="315" t="str">
        <f t="array" ref="F3240">IF(B3240=100,"Free",TEXT(XLOOKUP($D3240,OperationVoice!$A:$A,OperationVoice!AH:AH,XLOOKUP($D3240,OperationTickets!$A:$A,OperationTickets!AH:AH,"",0)),"hh:mm"))</f>
        <v>07:00</v>
      </c>
      <c r="G3240" s="309">
        <f t="shared" si="3"/>
        <v>0.6666666667</v>
      </c>
      <c r="H3240" s="316" t="str">
        <f t="array" ref="H3240">XLOOKUP(B3240,Roster!L:L,Roster!N:N,XLOOKUP(D3240,TicketsBreak!A:A,TicketsBreak!E:E,"",0),0)</f>
        <v>09:00 - 09:15</v>
      </c>
      <c r="I3240" s="316" t="str">
        <f t="array" ref="I3240">XLOOKUP(B3240,Roster!L:L,Roster!O:O,XLOOKUP(D3240,TicketsBreak!A:A,TicketsBreak!F:F,"",0),0)</f>
        <v>11:45 - 12:15</v>
      </c>
      <c r="J3240" s="316" t="str">
        <f t="array" ref="J3240">XLOOKUP(B3240,Roster!L:L,Roster!P:P,XLOOKUP(D3240,TicketsBreak!A:A,TicketsBreak!G:G,"",0),0)</f>
        <v>14:30 - 14:45</v>
      </c>
      <c r="K3240" s="310">
        <f t="shared" si="4"/>
        <v>46140</v>
      </c>
      <c r="L3240" s="317">
        <f t="array" ref="L3240">(XLOOKUP(D3240,Roster!F:F,Roster!D:D,"",0))</f>
        <v>25</v>
      </c>
      <c r="M3240" s="317" t="str">
        <f t="array" ref="M3240">XLOOKUP(D3240,Roster!F:F,Roster!E:E)</f>
        <v>Voice</v>
      </c>
      <c r="N3240" s="317" t="str">
        <f t="shared" ref="N3240:P3240" si="3285">LEFT(H3240,5)</f>
        <v>09:00</v>
      </c>
      <c r="O3240" s="317" t="str">
        <f t="shared" si="3285"/>
        <v>11:45</v>
      </c>
      <c r="P3240" s="317" t="str">
        <f t="shared" si="3285"/>
        <v>14:30</v>
      </c>
      <c r="Q3240" s="318">
        <f t="shared" si="3216"/>
        <v>46140.375</v>
      </c>
      <c r="R3240" s="318">
        <f t="shared" si="3217"/>
        <v>46140.48958</v>
      </c>
      <c r="S3240" s="318">
        <f t="shared" si="8"/>
        <v>46140.60417</v>
      </c>
    </row>
    <row r="3241">
      <c r="A3241" s="14" t="str">
        <f t="shared" si="1"/>
        <v>C152646140</v>
      </c>
      <c r="B3241" s="185">
        <f t="array" ref="B3241">IF(F3241="VL","",IF(F3241="Free","Free",XLOOKUP(D3241,Roster!T:T,Roster!S:S,"",0)))</f>
        <v>121</v>
      </c>
      <c r="C3241" s="313">
        <v>46140.0</v>
      </c>
      <c r="D3241" s="314" t="s">
        <v>19</v>
      </c>
      <c r="E3241" s="307" t="str">
        <f t="array" ref="E3241">(XLOOKUP(D3241,Roster!F:F,Roster!B:B,"",0))</f>
        <v>Breitner Benitez</v>
      </c>
      <c r="F3241" s="315" t="str">
        <f t="array" ref="F3241">IF(B3241=100,"Free",TEXT(XLOOKUP($D3241,OperationVoice!$A:$A,OperationVoice!AH:AH,XLOOKUP($D3241,OperationTickets!$A:$A,OperationTickets!AH:AH,"",0)),"hh:mm"))</f>
        <v>08:00</v>
      </c>
      <c r="G3241" s="309">
        <f t="shared" si="3"/>
        <v>0.7083333333</v>
      </c>
      <c r="H3241" s="316" t="str">
        <f t="array" ref="H3241">XLOOKUP(B3241,Roster!L:L,Roster!N:N,XLOOKUP(D3241,TicketsBreak!A:A,TicketsBreak!E:E,"",0),0)</f>
        <v>09:15 - 09:30</v>
      </c>
      <c r="I3241" s="316" t="str">
        <f t="array" ref="I3241">XLOOKUP(B3241,Roster!L:L,Roster!O:O,XLOOKUP(D3241,TicketsBreak!A:A,TicketsBreak!F:F,"",0),0)</f>
        <v>11:30 - 12:00</v>
      </c>
      <c r="J3241" s="316" t="str">
        <f t="array" ref="J3241">XLOOKUP(B3241,Roster!L:L,Roster!P:P,XLOOKUP(D3241,TicketsBreak!A:A,TicketsBreak!G:G,"",0),0)</f>
        <v>14:30 - 14:45</v>
      </c>
      <c r="K3241" s="310">
        <f t="shared" si="4"/>
        <v>46140</v>
      </c>
      <c r="L3241" s="317">
        <f t="array" ref="L3241">(XLOOKUP(D3241,Roster!F:F,Roster!D:D,"",0))</f>
        <v>13</v>
      </c>
      <c r="M3241" s="317" t="str">
        <f t="array" ref="M3241">XLOOKUP(D3241,Roster!F:F,Roster!E:E)</f>
        <v>Voice</v>
      </c>
      <c r="N3241" s="317" t="str">
        <f t="shared" ref="N3241:P3241" si="3286">LEFT(H3241,5)</f>
        <v>09:15</v>
      </c>
      <c r="O3241" s="317" t="str">
        <f t="shared" si="3286"/>
        <v>11:30</v>
      </c>
      <c r="P3241" s="317" t="str">
        <f t="shared" si="3286"/>
        <v>14:30</v>
      </c>
      <c r="Q3241" s="318">
        <f t="shared" si="3216"/>
        <v>46140.38542</v>
      </c>
      <c r="R3241" s="318">
        <f t="shared" si="3217"/>
        <v>46140.47917</v>
      </c>
      <c r="S3241" s="318">
        <f t="shared" si="8"/>
        <v>46140.60417</v>
      </c>
    </row>
    <row r="3242">
      <c r="A3242" s="14" t="str">
        <f t="shared" si="1"/>
        <v>C153546140</v>
      </c>
      <c r="B3242" s="185">
        <f t="array" ref="B3242">IF(F3242="VL","",IF(F3242="Free","Free",XLOOKUP(D3242,Roster!T:T,Roster!S:S,"",0)))</f>
        <v>154</v>
      </c>
      <c r="C3242" s="313">
        <v>46140.0</v>
      </c>
      <c r="D3242" s="314" t="s">
        <v>20</v>
      </c>
      <c r="E3242" s="307" t="str">
        <f t="array" ref="E3242">(XLOOKUP(D3242,Roster!F:F,Roster!B:B,"",0))</f>
        <v>Carlos Alzate</v>
      </c>
      <c r="F3242" s="315" t="str">
        <f t="array" ref="F3242">IF(B3242=100,"Free",TEXT(XLOOKUP($D3242,OperationVoice!$A:$A,OperationVoice!AH:AH,XLOOKUP($D3242,OperationTickets!$A:$A,OperationTickets!AH:AH,"",0)),"hh:mm"))</f>
        <v>11:00</v>
      </c>
      <c r="G3242" s="309">
        <f t="shared" si="3"/>
        <v>0.8333333333</v>
      </c>
      <c r="H3242" s="316" t="str">
        <f t="array" ref="H3242">XLOOKUP(B3242,Roster!L:L,Roster!N:N,XLOOKUP(D3242,TicketsBreak!A:A,TicketsBreak!E:E,"",0),0)</f>
        <v>13:00 - 13:15</v>
      </c>
      <c r="I3242" s="316" t="str">
        <f t="array" ref="I3242">XLOOKUP(B3242,Roster!L:L,Roster!O:O,XLOOKUP(D3242,TicketsBreak!A:A,TicketsBreak!F:F,"",0),0)</f>
        <v>15:15 - 15:45</v>
      </c>
      <c r="J3242" s="316" t="str">
        <f t="array" ref="J3242">XLOOKUP(B3242,Roster!L:L,Roster!P:P,XLOOKUP(D3242,TicketsBreak!A:A,TicketsBreak!G:G,"",0),0)</f>
        <v>18:00 - 18:15</v>
      </c>
      <c r="K3242" s="310">
        <f t="shared" si="4"/>
        <v>46140</v>
      </c>
      <c r="L3242" s="317">
        <f t="array" ref="L3242">(XLOOKUP(D3242,Roster!F:F,Roster!D:D,"",0))</f>
        <v>36</v>
      </c>
      <c r="M3242" s="317" t="str">
        <f t="array" ref="M3242">XLOOKUP(D3242,Roster!F:F,Roster!E:E)</f>
        <v>Voice</v>
      </c>
      <c r="N3242" s="317" t="str">
        <f t="shared" ref="N3242:P3242" si="3287">LEFT(H3242,5)</f>
        <v>13:00</v>
      </c>
      <c r="O3242" s="317" t="str">
        <f t="shared" si="3287"/>
        <v>15:15</v>
      </c>
      <c r="P3242" s="317" t="str">
        <f t="shared" si="3287"/>
        <v>18:00</v>
      </c>
      <c r="Q3242" s="318">
        <f t="shared" si="3216"/>
        <v>46140.54167</v>
      </c>
      <c r="R3242" s="318">
        <f t="shared" si="3217"/>
        <v>46140.63542</v>
      </c>
      <c r="S3242" s="318">
        <f t="shared" si="8"/>
        <v>46140.75</v>
      </c>
    </row>
    <row r="3243">
      <c r="A3243" s="14" t="str">
        <f t="shared" si="1"/>
        <v>C153146140</v>
      </c>
      <c r="B3243" s="185">
        <f t="array" ref="B3243">IF(F3243="VL","",IF(F3243="Free","Free",XLOOKUP(D3243,Roster!T:T,Roster!S:S,"",0)))</f>
        <v>123</v>
      </c>
      <c r="C3243" s="313">
        <v>46140.0</v>
      </c>
      <c r="D3243" s="314" t="s">
        <v>21</v>
      </c>
      <c r="E3243" s="307" t="str">
        <f t="array" ref="E3243">(XLOOKUP(D3243,Roster!F:F,Roster!B:B,"",0))</f>
        <v>Carlos Palma</v>
      </c>
      <c r="F3243" s="315" t="str">
        <f t="array" ref="F3243">IF(B3243=100,"Free",TEXT(XLOOKUP($D3243,OperationVoice!$A:$A,OperationVoice!AH:AH,XLOOKUP($D3243,OperationTickets!$A:$A,OperationTickets!AH:AH,"",0)),"hh:mm"))</f>
        <v>08:00</v>
      </c>
      <c r="G3243" s="309">
        <f t="shared" si="3"/>
        <v>0.7083333333</v>
      </c>
      <c r="H3243" s="316" t="str">
        <f t="array" ref="H3243">XLOOKUP(B3243,Roster!L:L,Roster!N:N,XLOOKUP(D3243,TicketsBreak!A:A,TicketsBreak!E:E,"",0),0)</f>
        <v>09:45 - 10:00 </v>
      </c>
      <c r="I3243" s="316" t="str">
        <f t="array" ref="I3243">XLOOKUP(B3243,Roster!L:L,Roster!O:O,XLOOKUP(D3243,TicketsBreak!A:A,TicketsBreak!F:F,"",0),0)</f>
        <v>12:30 - 13:00</v>
      </c>
      <c r="J3243" s="316" t="str">
        <f t="array" ref="J3243">XLOOKUP(B3243,Roster!L:L,Roster!P:P,XLOOKUP(D3243,TicketsBreak!A:A,TicketsBreak!G:G,"",0),0)</f>
        <v>15:00 - 15:15</v>
      </c>
      <c r="K3243" s="310">
        <f t="shared" si="4"/>
        <v>46140</v>
      </c>
      <c r="L3243" s="317">
        <f t="array" ref="L3243">(XLOOKUP(D3243,Roster!F:F,Roster!D:D,"",0))</f>
        <v>36</v>
      </c>
      <c r="M3243" s="317" t="str">
        <f t="array" ref="M3243">XLOOKUP(D3243,Roster!F:F,Roster!E:E)</f>
        <v>Voice</v>
      </c>
      <c r="N3243" s="317" t="str">
        <f t="shared" ref="N3243:P3243" si="3288">LEFT(H3243,5)</f>
        <v>09:45</v>
      </c>
      <c r="O3243" s="317" t="str">
        <f t="shared" si="3288"/>
        <v>12:30</v>
      </c>
      <c r="P3243" s="317" t="str">
        <f t="shared" si="3288"/>
        <v>15:00</v>
      </c>
      <c r="Q3243" s="318">
        <f t="shared" si="3216"/>
        <v>46140.40625</v>
      </c>
      <c r="R3243" s="318">
        <f t="shared" si="3217"/>
        <v>46140.52083</v>
      </c>
      <c r="S3243" s="318">
        <f t="shared" si="8"/>
        <v>46140.625</v>
      </c>
    </row>
    <row r="3244">
      <c r="A3244" s="14" t="str">
        <f t="shared" si="1"/>
        <v>C157646140</v>
      </c>
      <c r="B3244" s="185" t="str">
        <f t="array" ref="B3244">IF(F3244="VL","",IF(F3244="Free","Free",XLOOKUP(D3244,Roster!T:T,Roster!S:S,"",0)))</f>
        <v/>
      </c>
      <c r="C3244" s="313">
        <v>46140.0</v>
      </c>
      <c r="D3244" s="314" t="s">
        <v>313</v>
      </c>
      <c r="E3244" s="307" t="str">
        <f t="array" ref="E3244">(XLOOKUP(D3244,Roster!F:F,Roster!B:B,"",0))</f>
        <v>Carlos Ruiz</v>
      </c>
      <c r="F3244" s="315" t="str">
        <f t="array" ref="F3244">IF(B3244=100,"Free",TEXT(XLOOKUP($D3244,OperationVoice!$A:$A,OperationVoice!AH:AH,XLOOKUP($D3244,OperationTickets!$A:$A,OperationTickets!AH:AH,"",0)),"hh:mm"))</f>
        <v/>
      </c>
      <c r="G3244" s="309" t="str">
        <f t="shared" si="3"/>
        <v/>
      </c>
      <c r="H3244" s="316" t="str">
        <f t="array" ref="H3244">XLOOKUP(B3244,Roster!L:L,Roster!N:N,XLOOKUP(D3244,TicketsBreak!A:A,TicketsBreak!E:E,"",0),0)</f>
        <v/>
      </c>
      <c r="I3244" s="316" t="str">
        <f t="array" ref="I3244">XLOOKUP(B3244,Roster!L:L,Roster!O:O,XLOOKUP(D3244,TicketsBreak!A:A,TicketsBreak!F:F,"",0),0)</f>
        <v/>
      </c>
      <c r="J3244" s="316" t="str">
        <f t="array" ref="J3244">XLOOKUP(B3244,Roster!L:L,Roster!P:P,XLOOKUP(D3244,TicketsBreak!A:A,TicketsBreak!G:G,"",0),0)</f>
        <v/>
      </c>
      <c r="K3244" s="310">
        <f t="shared" si="4"/>
        <v>46140</v>
      </c>
      <c r="L3244" s="317">
        <f t="array" ref="L3244">(XLOOKUP(D3244,Roster!F:F,Roster!D:D,"",0))</f>
        <v>38</v>
      </c>
      <c r="M3244" s="317" t="str">
        <f t="array" ref="M3244">XLOOKUP(D3244,Roster!F:F,Roster!E:E)</f>
        <v>Nesting</v>
      </c>
      <c r="N3244" s="317" t="str">
        <f t="shared" ref="N3244:P3244" si="3289">LEFT(H3244,5)</f>
        <v/>
      </c>
      <c r="O3244" s="317" t="str">
        <f t="shared" si="3289"/>
        <v/>
      </c>
      <c r="P3244" s="317" t="str">
        <f t="shared" si="3289"/>
        <v/>
      </c>
      <c r="Q3244" s="318" t="str">
        <f t="shared" si="3216"/>
        <v/>
      </c>
      <c r="R3244" s="318" t="str">
        <f t="shared" si="3217"/>
        <v/>
      </c>
      <c r="S3244" s="318" t="str">
        <f t="shared" si="8"/>
        <v/>
      </c>
    </row>
    <row r="3245">
      <c r="A3245" s="14" t="str">
        <f t="shared" si="1"/>
        <v>C47946140</v>
      </c>
      <c r="B3245" s="185" t="str">
        <f t="array" ref="B3245">IF(F3245="VL","",IF(F3245="Free","Free",XLOOKUP(D3245,Roster!T:T,Roster!S:S,"",0)))</f>
        <v/>
      </c>
      <c r="C3245" s="313">
        <v>46140.0</v>
      </c>
      <c r="D3245" s="314" t="s">
        <v>173</v>
      </c>
      <c r="E3245" s="307" t="str">
        <f t="array" ref="E3245">(XLOOKUP(D3245,Roster!F:F,Roster!B:B,"",0))</f>
        <v>Carmen Grajales</v>
      </c>
      <c r="F3245" s="315" t="str">
        <f t="array" ref="F3245">IF(B3245=100,"Free",TEXT(XLOOKUP($D3245,OperationVoice!$A:$A,OperationVoice!AH:AH,XLOOKUP($D3245,OperationTickets!$A:$A,OperationTickets!AH:AH,"",0)),"hh:mm"))</f>
        <v>08:00</v>
      </c>
      <c r="G3245" s="309">
        <f t="shared" si="3"/>
        <v>0.7083333333</v>
      </c>
      <c r="H3245" s="316">
        <f t="array" ref="H3245">XLOOKUP(B3245,Roster!L:L,Roster!N:N,XLOOKUP(D3245,TicketsBreak!A:A,TicketsBreak!E:E,"",0),0)</f>
        <v>0.4270833333</v>
      </c>
      <c r="I3245" s="316">
        <f t="array" ref="I3245">XLOOKUP(B3245,Roster!L:L,Roster!O:O,XLOOKUP(D3245,TicketsBreak!A:A,TicketsBreak!F:F,"",0),0)</f>
        <v>0.53125</v>
      </c>
      <c r="J3245" s="316">
        <f t="array" ref="J3245">XLOOKUP(B3245,Roster!L:L,Roster!P:P,XLOOKUP(D3245,TicketsBreak!A:A,TicketsBreak!G:G,"",0),0)</f>
        <v>0.65625</v>
      </c>
      <c r="K3245" s="310">
        <f t="shared" si="4"/>
        <v>46140</v>
      </c>
      <c r="L3245" s="317">
        <f t="array" ref="L3245">(XLOOKUP(D3245,Roster!F:F,Roster!D:D,"",0))</f>
        <v>2</v>
      </c>
      <c r="M3245" s="317" t="str">
        <f t="array" ref="M3245">XLOOKUP(D3245,Roster!F:F,Roster!E:E)</f>
        <v>Tickets</v>
      </c>
      <c r="N3245" s="317" t="str">
        <f t="shared" ref="N3245:P3245" si="3290">LEFT(H3245,5)</f>
        <v>10:15</v>
      </c>
      <c r="O3245" s="317" t="str">
        <f t="shared" si="3290"/>
        <v>12:45</v>
      </c>
      <c r="P3245" s="317" t="str">
        <f t="shared" si="3290"/>
        <v>15:45</v>
      </c>
      <c r="Q3245" s="318">
        <f t="shared" si="3216"/>
        <v>46140.42708</v>
      </c>
      <c r="R3245" s="318">
        <f t="shared" si="3217"/>
        <v>46140.53125</v>
      </c>
      <c r="S3245" s="318">
        <f t="shared" si="8"/>
        <v>46140.65625</v>
      </c>
    </row>
    <row r="3246">
      <c r="A3246" s="14" t="str">
        <f t="shared" si="1"/>
        <v>C68746140</v>
      </c>
      <c r="B3246" s="185">
        <f t="array" ref="B3246">IF(F3246="VL","",IF(F3246="Free","Free",XLOOKUP(D3246,Roster!T:T,Roster!S:S,"",0)))</f>
        <v>122</v>
      </c>
      <c r="C3246" s="313">
        <v>46140.0</v>
      </c>
      <c r="D3246" s="314" t="s">
        <v>22</v>
      </c>
      <c r="E3246" s="307" t="str">
        <f t="array" ref="E3246">(XLOOKUP(D3246,Roster!F:F,Roster!B:B,"",0))</f>
        <v>Carolina Rios</v>
      </c>
      <c r="F3246" s="315" t="str">
        <f t="array" ref="F3246">IF(B3246=100,"Free",TEXT(XLOOKUP($D3246,OperationVoice!$A:$A,OperationVoice!AH:AH,XLOOKUP($D3246,OperationTickets!$A:$A,OperationTickets!AH:AH,"",0)),"hh:mm"))</f>
        <v>08:00</v>
      </c>
      <c r="G3246" s="309">
        <f t="shared" si="3"/>
        <v>0.7083333333</v>
      </c>
      <c r="H3246" s="316" t="str">
        <f t="array" ref="H3246">XLOOKUP(B3246,Roster!L:L,Roster!N:N,XLOOKUP(D3246,TicketsBreak!A:A,TicketsBreak!E:E,"",0),0)</f>
        <v>09:30 - 09:45</v>
      </c>
      <c r="I3246" s="316" t="str">
        <f t="array" ref="I3246">XLOOKUP(B3246,Roster!L:L,Roster!O:O,XLOOKUP(D3246,TicketsBreak!A:A,TicketsBreak!F:F,"",0),0)</f>
        <v>12:00 - 12:30</v>
      </c>
      <c r="J3246" s="316" t="str">
        <f t="array" ref="J3246">XLOOKUP(B3246,Roster!L:L,Roster!P:P,XLOOKUP(D3246,TicketsBreak!A:A,TicketsBreak!G:G,"",0),0)</f>
        <v>14:45 - 15:00</v>
      </c>
      <c r="K3246" s="310">
        <f t="shared" si="4"/>
        <v>46140</v>
      </c>
      <c r="L3246" s="317">
        <f t="array" ref="L3246">(XLOOKUP(D3246,Roster!F:F,Roster!D:D,"",0))</f>
        <v>5</v>
      </c>
      <c r="M3246" s="317" t="str">
        <f t="array" ref="M3246">XLOOKUP(D3246,Roster!F:F,Roster!E:E)</f>
        <v>Voice</v>
      </c>
      <c r="N3246" s="317" t="str">
        <f t="shared" ref="N3246:P3246" si="3291">LEFT(H3246,5)</f>
        <v>09:30</v>
      </c>
      <c r="O3246" s="317" t="str">
        <f t="shared" si="3291"/>
        <v>12:00</v>
      </c>
      <c r="P3246" s="317" t="str">
        <f t="shared" si="3291"/>
        <v>14:45</v>
      </c>
      <c r="Q3246" s="318">
        <f t="shared" si="3216"/>
        <v>46140.39583</v>
      </c>
      <c r="R3246" s="318">
        <f t="shared" si="3217"/>
        <v>46140.5</v>
      </c>
      <c r="S3246" s="318">
        <f t="shared" si="8"/>
        <v>46140.61458</v>
      </c>
    </row>
    <row r="3247">
      <c r="A3247" s="14" t="str">
        <f t="shared" si="1"/>
        <v>C152846140</v>
      </c>
      <c r="B3247" s="185">
        <f t="array" ref="B3247">IF(F3247="VL","",IF(F3247="Free","Free",XLOOKUP(D3247,Roster!T:T,Roster!S:S,"",0)))</f>
        <v>132</v>
      </c>
      <c r="C3247" s="313">
        <v>46140.0</v>
      </c>
      <c r="D3247" s="314" t="s">
        <v>23</v>
      </c>
      <c r="E3247" s="307" t="str">
        <f t="array" ref="E3247">(XLOOKUP(D3247,Roster!F:F,Roster!B:B,"",0))</f>
        <v>Christian Ramirez</v>
      </c>
      <c r="F3247" s="315" t="str">
        <f t="array" ref="F3247">IF(B3247=100,"Free",TEXT(XLOOKUP($D3247,OperationVoice!$A:$A,OperationVoice!AH:AH,XLOOKUP($D3247,OperationTickets!$A:$A,OperationTickets!AH:AH,"",0)),"hh:mm"))</f>
        <v>08:00</v>
      </c>
      <c r="G3247" s="309">
        <f t="shared" si="3"/>
        <v>0.7083333333</v>
      </c>
      <c r="H3247" s="316" t="str">
        <f t="array" ref="H3247">XLOOKUP(B3247,Roster!L:L,Roster!N:N,XLOOKUP(D3247,TicketsBreak!A:A,TicketsBreak!E:E,"",0),0)</f>
        <v>10:30 - 10:45</v>
      </c>
      <c r="I3247" s="316" t="str">
        <f t="array" ref="I3247">XLOOKUP(B3247,Roster!L:L,Roster!O:O,XLOOKUP(D3247,TicketsBreak!A:A,TicketsBreak!F:F,"",0),0)</f>
        <v>13:00 - 13:30</v>
      </c>
      <c r="J3247" s="316" t="str">
        <f t="array" ref="J3247">XLOOKUP(B3247,Roster!L:L,Roster!P:P,XLOOKUP(D3247,TicketsBreak!A:A,TicketsBreak!G:G,"",0),0)</f>
        <v>15:30 - 15:45</v>
      </c>
      <c r="K3247" s="310">
        <f t="shared" si="4"/>
        <v>46140</v>
      </c>
      <c r="L3247" s="317">
        <f t="array" ref="L3247">(XLOOKUP(D3247,Roster!F:F,Roster!D:D,"",0))</f>
        <v>36</v>
      </c>
      <c r="M3247" s="317" t="str">
        <f t="array" ref="M3247">XLOOKUP(D3247,Roster!F:F,Roster!E:E)</f>
        <v>Voice</v>
      </c>
      <c r="N3247" s="317" t="str">
        <f t="shared" ref="N3247:P3247" si="3292">LEFT(H3247,5)</f>
        <v>10:30</v>
      </c>
      <c r="O3247" s="317" t="str">
        <f t="shared" si="3292"/>
        <v>13:00</v>
      </c>
      <c r="P3247" s="317" t="str">
        <f t="shared" si="3292"/>
        <v>15:30</v>
      </c>
      <c r="Q3247" s="318">
        <f t="shared" si="3216"/>
        <v>46140.4375</v>
      </c>
      <c r="R3247" s="318">
        <f t="shared" si="3217"/>
        <v>46140.54167</v>
      </c>
      <c r="S3247" s="318">
        <f t="shared" si="8"/>
        <v>46140.64583</v>
      </c>
    </row>
    <row r="3248">
      <c r="A3248" s="14" t="str">
        <f t="shared" si="1"/>
        <v>C132546140</v>
      </c>
      <c r="B3248" s="185">
        <f t="array" ref="B3248">IF(F3248="VL","",IF(F3248="Free","Free",XLOOKUP(D3248,Roster!T:T,Roster!S:S,"",0)))</f>
        <v>123</v>
      </c>
      <c r="C3248" s="313">
        <v>46140.0</v>
      </c>
      <c r="D3248" s="314" t="s">
        <v>174</v>
      </c>
      <c r="E3248" s="307" t="str">
        <f t="array" ref="E3248">(XLOOKUP(D3248,Roster!F:F,Roster!B:B,"",0))</f>
        <v>Cristian Ferreira</v>
      </c>
      <c r="F3248" s="315" t="str">
        <f t="array" ref="F3248">IF(B3248=100,"Free",TEXT(XLOOKUP($D3248,OperationVoice!$A:$A,OperationVoice!AH:AH,XLOOKUP($D3248,OperationTickets!$A:$A,OperationTickets!AH:AH,"",0)),"hh:mm"))</f>
        <v>08:00</v>
      </c>
      <c r="G3248" s="309">
        <f t="shared" si="3"/>
        <v>0.7083333333</v>
      </c>
      <c r="H3248" s="316" t="str">
        <f t="array" ref="H3248">XLOOKUP(B3248,Roster!L:L,Roster!N:N,XLOOKUP(D3248,TicketsBreak!A:A,TicketsBreak!E:E,"",0),0)</f>
        <v>09:45 - 10:00 </v>
      </c>
      <c r="I3248" s="316" t="str">
        <f t="array" ref="I3248">XLOOKUP(B3248,Roster!L:L,Roster!O:O,XLOOKUP(D3248,TicketsBreak!A:A,TicketsBreak!F:F,"",0),0)</f>
        <v>12:30 - 13:00</v>
      </c>
      <c r="J3248" s="316" t="str">
        <f t="array" ref="J3248">XLOOKUP(B3248,Roster!L:L,Roster!P:P,XLOOKUP(D3248,TicketsBreak!A:A,TicketsBreak!G:G,"",0),0)</f>
        <v>15:00 - 15:15</v>
      </c>
      <c r="K3248" s="310">
        <f t="shared" si="4"/>
        <v>46140</v>
      </c>
      <c r="L3248" s="317">
        <f t="array" ref="L3248">(XLOOKUP(D3248,Roster!F:F,Roster!D:D,"",0))</f>
        <v>29</v>
      </c>
      <c r="M3248" s="317" t="str">
        <f t="array" ref="M3248">XLOOKUP(D3248,Roster!F:F,Roster!E:E)</f>
        <v>Tickets</v>
      </c>
      <c r="N3248" s="317" t="str">
        <f t="shared" ref="N3248:P3248" si="3293">LEFT(H3248,5)</f>
        <v>09:45</v>
      </c>
      <c r="O3248" s="317" t="str">
        <f t="shared" si="3293"/>
        <v>12:30</v>
      </c>
      <c r="P3248" s="317" t="str">
        <f t="shared" si="3293"/>
        <v>15:00</v>
      </c>
      <c r="Q3248" s="318">
        <f t="shared" si="3216"/>
        <v>46140.40625</v>
      </c>
      <c r="R3248" s="318">
        <f t="shared" si="3217"/>
        <v>46140.52083</v>
      </c>
      <c r="S3248" s="318">
        <f t="shared" si="8"/>
        <v>46140.625</v>
      </c>
    </row>
    <row r="3249">
      <c r="A3249" s="14" t="str">
        <f t="shared" si="1"/>
        <v>C151046140</v>
      </c>
      <c r="B3249" s="185">
        <f t="array" ref="B3249">IF(F3249="VL","",IF(F3249="Free","Free",XLOOKUP(D3249,Roster!T:T,Roster!S:S,"",0)))</f>
        <v>121</v>
      </c>
      <c r="C3249" s="313">
        <v>46140.0</v>
      </c>
      <c r="D3249" s="314" t="s">
        <v>24</v>
      </c>
      <c r="E3249" s="307" t="str">
        <f t="array" ref="E3249">(XLOOKUP(D3249,Roster!F:F,Roster!B:B,"",0))</f>
        <v>Cristian Gomez</v>
      </c>
      <c r="F3249" s="315" t="str">
        <f t="array" ref="F3249">IF(B3249=100,"Free",TEXT(XLOOKUP($D3249,OperationVoice!$A:$A,OperationVoice!AH:AH,XLOOKUP($D3249,OperationTickets!$A:$A,OperationTickets!AH:AH,"",0)),"hh:mm"))</f>
        <v>08:00</v>
      </c>
      <c r="G3249" s="309">
        <f t="shared" si="3"/>
        <v>0.7083333333</v>
      </c>
      <c r="H3249" s="316" t="str">
        <f t="array" ref="H3249">XLOOKUP(B3249,Roster!L:L,Roster!N:N,XLOOKUP(D3249,TicketsBreak!A:A,TicketsBreak!E:E,"",0),0)</f>
        <v>09:15 - 09:30</v>
      </c>
      <c r="I3249" s="316" t="str">
        <f t="array" ref="I3249">XLOOKUP(B3249,Roster!L:L,Roster!O:O,XLOOKUP(D3249,TicketsBreak!A:A,TicketsBreak!F:F,"",0),0)</f>
        <v>11:30 - 12:00</v>
      </c>
      <c r="J3249" s="316" t="str">
        <f t="array" ref="J3249">XLOOKUP(B3249,Roster!L:L,Roster!P:P,XLOOKUP(D3249,TicketsBreak!A:A,TicketsBreak!G:G,"",0),0)</f>
        <v>14:30 - 14:45</v>
      </c>
      <c r="K3249" s="310">
        <f t="shared" si="4"/>
        <v>46140</v>
      </c>
      <c r="L3249" s="317">
        <f t="array" ref="L3249">(XLOOKUP(D3249,Roster!F:F,Roster!D:D,"",0))</f>
        <v>35</v>
      </c>
      <c r="M3249" s="317" t="str">
        <f t="array" ref="M3249">XLOOKUP(D3249,Roster!F:F,Roster!E:E)</f>
        <v>Voice</v>
      </c>
      <c r="N3249" s="317" t="str">
        <f t="shared" ref="N3249:P3249" si="3294">LEFT(H3249,5)</f>
        <v>09:15</v>
      </c>
      <c r="O3249" s="317" t="str">
        <f t="shared" si="3294"/>
        <v>11:30</v>
      </c>
      <c r="P3249" s="317" t="str">
        <f t="shared" si="3294"/>
        <v>14:30</v>
      </c>
      <c r="Q3249" s="318">
        <f t="shared" si="3216"/>
        <v>46140.38542</v>
      </c>
      <c r="R3249" s="318">
        <f t="shared" si="3217"/>
        <v>46140.47917</v>
      </c>
      <c r="S3249" s="318">
        <f t="shared" si="8"/>
        <v>46140.60417</v>
      </c>
    </row>
    <row r="3250">
      <c r="A3250" s="14" t="str">
        <f t="shared" si="1"/>
        <v>C67346140</v>
      </c>
      <c r="B3250" s="185" t="str">
        <f t="array" ref="B3250">IF(F3250="VL","",IF(F3250="Free","Free",XLOOKUP(D3250,Roster!T:T,Roster!S:S,"",0)))</f>
        <v/>
      </c>
      <c r="C3250" s="313">
        <v>46140.0</v>
      </c>
      <c r="D3250" s="314" t="s">
        <v>156</v>
      </c>
      <c r="E3250" s="307" t="str">
        <f t="array" ref="E3250">(XLOOKUP(D3250,Roster!F:F,Roster!B:B,"",0))</f>
        <v>Dahiana Cano</v>
      </c>
      <c r="F3250" s="315" t="str">
        <f t="array" ref="F3250">IF(B3250=100,"Free",TEXT(XLOOKUP($D3250,OperationVoice!$A:$A,OperationVoice!AH:AH,XLOOKUP($D3250,OperationTickets!$A:$A,OperationTickets!AH:AH,"",0)),"hh:mm"))</f>
        <v>08:00</v>
      </c>
      <c r="G3250" s="309">
        <f t="shared" si="3"/>
        <v>0.7083333333</v>
      </c>
      <c r="H3250" s="316">
        <f t="array" ref="H3250">XLOOKUP(B3250,Roster!L:L,Roster!N:N,XLOOKUP(D3250,TicketsBreak!A:A,TicketsBreak!E:E,"",0),0)</f>
        <v>0.4583333333</v>
      </c>
      <c r="I3250" s="316">
        <f t="array" ref="I3250">XLOOKUP(B3250,Roster!L:L,Roster!O:O,XLOOKUP(D3250,TicketsBreak!A:A,TicketsBreak!F:F,"",0),0)</f>
        <v>0.5833333333</v>
      </c>
      <c r="J3250" s="316">
        <f t="array" ref="J3250">XLOOKUP(B3250,Roster!L:L,Roster!P:P,XLOOKUP(D3250,TicketsBreak!A:A,TicketsBreak!G:G,"",0),0)</f>
        <v>0.65625</v>
      </c>
      <c r="K3250" s="310">
        <f t="shared" si="4"/>
        <v>46140</v>
      </c>
      <c r="L3250" s="317">
        <f t="array" ref="L3250">(XLOOKUP(D3250,Roster!F:F,Roster!D:D,"",0))</f>
        <v>4</v>
      </c>
      <c r="M3250" s="317" t="str">
        <f t="array" ref="M3250">XLOOKUP(D3250,Roster!F:F,Roster!E:E)</f>
        <v>Tickets</v>
      </c>
      <c r="N3250" s="317" t="str">
        <f t="shared" ref="N3250:P3250" si="3295">LEFT(H3250,5)</f>
        <v>11:00</v>
      </c>
      <c r="O3250" s="317" t="str">
        <f t="shared" si="3295"/>
        <v>14:00</v>
      </c>
      <c r="P3250" s="317" t="str">
        <f t="shared" si="3295"/>
        <v>15:45</v>
      </c>
      <c r="Q3250" s="318">
        <f t="shared" si="3216"/>
        <v>46140.45833</v>
      </c>
      <c r="R3250" s="318">
        <f t="shared" si="3217"/>
        <v>46140.58333</v>
      </c>
      <c r="S3250" s="318">
        <f t="shared" si="8"/>
        <v>46140.65625</v>
      </c>
    </row>
    <row r="3251">
      <c r="A3251" s="14" t="str">
        <f t="shared" si="1"/>
        <v>C152946140</v>
      </c>
      <c r="B3251" s="185">
        <f t="array" ref="B3251">IF(F3251="VL","",IF(F3251="Free","Free",XLOOKUP(D3251,Roster!T:T,Roster!S:S,"",0)))</f>
        <v>133</v>
      </c>
      <c r="C3251" s="313">
        <v>46140.0</v>
      </c>
      <c r="D3251" s="314" t="s">
        <v>25</v>
      </c>
      <c r="E3251" s="307" t="str">
        <f t="array" ref="E3251">(XLOOKUP(D3251,Roster!F:F,Roster!B:B,"",0))</f>
        <v>Daniel Barrientos</v>
      </c>
      <c r="F3251" s="315" t="str">
        <f t="array" ref="F3251">IF(B3251=100,"Free",TEXT(XLOOKUP($D3251,OperationVoice!$A:$A,OperationVoice!AH:AH,XLOOKUP($D3251,OperationTickets!$A:$A,OperationTickets!AH:AH,"",0)),"hh:mm"))</f>
        <v>09:00</v>
      </c>
      <c r="G3251" s="309">
        <f t="shared" si="3"/>
        <v>0.75</v>
      </c>
      <c r="H3251" s="316" t="str">
        <f t="array" ref="H3251">XLOOKUP(B3251,Roster!L:L,Roster!N:N,XLOOKUP(D3251,TicketsBreak!A:A,TicketsBreak!E:E,"",0),0)</f>
        <v>10:45 - 11:00 </v>
      </c>
      <c r="I3251" s="316" t="str">
        <f t="array" ref="I3251">XLOOKUP(B3251,Roster!L:L,Roster!O:O,XLOOKUP(D3251,TicketsBreak!A:A,TicketsBreak!F:F,"",0),0)</f>
        <v>13:30 - 14:00</v>
      </c>
      <c r="J3251" s="316" t="str">
        <f t="array" ref="J3251">XLOOKUP(B3251,Roster!L:L,Roster!P:P,XLOOKUP(D3251,TicketsBreak!A:A,TicketsBreak!G:G,"",0),0)</f>
        <v>15:45 - 16:00</v>
      </c>
      <c r="K3251" s="310">
        <f t="shared" si="4"/>
        <v>46140</v>
      </c>
      <c r="L3251" s="317">
        <f t="array" ref="L3251">(XLOOKUP(D3251,Roster!F:F,Roster!D:D,"",0))</f>
        <v>36</v>
      </c>
      <c r="M3251" s="317" t="str">
        <f t="array" ref="M3251">XLOOKUP(D3251,Roster!F:F,Roster!E:E)</f>
        <v>Voice</v>
      </c>
      <c r="N3251" s="317" t="str">
        <f t="shared" ref="N3251:P3251" si="3296">LEFT(H3251,5)</f>
        <v>10:45</v>
      </c>
      <c r="O3251" s="317" t="str">
        <f t="shared" si="3296"/>
        <v>13:30</v>
      </c>
      <c r="P3251" s="317" t="str">
        <f t="shared" si="3296"/>
        <v>15:45</v>
      </c>
      <c r="Q3251" s="318">
        <f t="shared" si="3216"/>
        <v>46140.44792</v>
      </c>
      <c r="R3251" s="318">
        <f t="shared" si="3217"/>
        <v>46140.5625</v>
      </c>
      <c r="S3251" s="318">
        <f t="shared" si="8"/>
        <v>46140.65625</v>
      </c>
    </row>
    <row r="3252">
      <c r="A3252" s="14" t="str">
        <f t="shared" si="1"/>
        <v>C106446140</v>
      </c>
      <c r="B3252" s="185" t="str">
        <f t="array" ref="B3252">IF(F3252="VL","",IF(F3252="Free","Free",XLOOKUP(D3252,Roster!T:T,Roster!S:S,"",0)))</f>
        <v/>
      </c>
      <c r="C3252" s="313">
        <v>46140.0</v>
      </c>
      <c r="D3252" s="314" t="s">
        <v>175</v>
      </c>
      <c r="E3252" s="307" t="str">
        <f t="array" ref="E3252">(XLOOKUP(D3252,Roster!F:F,Roster!B:B,"",0))</f>
        <v>Daniel Urrego</v>
      </c>
      <c r="F3252" s="315" t="str">
        <f t="array" ref="F3252">IF(B3252=100,"Free",TEXT(XLOOKUP($D3252,OperationVoice!$A:$A,OperationVoice!AH:AH,XLOOKUP($D3252,OperationTickets!$A:$A,OperationTickets!AH:AH,"",0)),"hh:mm"))</f>
        <v>08:00</v>
      </c>
      <c r="G3252" s="309">
        <f t="shared" si="3"/>
        <v>0.7083333333</v>
      </c>
      <c r="H3252" s="316" t="str">
        <f t="array" ref="H3252">XLOOKUP(B3252,Roster!L:L,Roster!N:N,XLOOKUP(D3252,TicketsBreak!A:A,TicketsBreak!E:E,"",0),0)</f>
        <v/>
      </c>
      <c r="I3252" s="316" t="str">
        <f t="array" ref="I3252">XLOOKUP(B3252,Roster!L:L,Roster!O:O,XLOOKUP(D3252,TicketsBreak!A:A,TicketsBreak!F:F,"",0),0)</f>
        <v/>
      </c>
      <c r="J3252" s="316" t="str">
        <f t="array" ref="J3252">XLOOKUP(B3252,Roster!L:L,Roster!P:P,XLOOKUP(D3252,TicketsBreak!A:A,TicketsBreak!G:G,"",0),0)</f>
        <v/>
      </c>
      <c r="K3252" s="310">
        <f t="shared" si="4"/>
        <v>46140</v>
      </c>
      <c r="L3252" s="317">
        <f t="array" ref="L3252">(XLOOKUP(D3252,Roster!F:F,Roster!D:D,"",0))</f>
        <v>17</v>
      </c>
      <c r="M3252" s="317" t="str">
        <f t="array" ref="M3252">XLOOKUP(D3252,Roster!F:F,Roster!E:E)</f>
        <v>Tickets</v>
      </c>
      <c r="N3252" s="317" t="str">
        <f t="shared" ref="N3252:P3252" si="3297">LEFT(H3252,5)</f>
        <v/>
      </c>
      <c r="O3252" s="317" t="str">
        <f t="shared" si="3297"/>
        <v/>
      </c>
      <c r="P3252" s="317" t="str">
        <f t="shared" si="3297"/>
        <v/>
      </c>
      <c r="Q3252" s="318" t="str">
        <f t="shared" si="3216"/>
        <v/>
      </c>
      <c r="R3252" s="318" t="str">
        <f t="shared" si="3217"/>
        <v/>
      </c>
      <c r="S3252" s="318" t="str">
        <f t="shared" si="8"/>
        <v/>
      </c>
    </row>
    <row r="3253">
      <c r="A3253" s="14" t="str">
        <f t="shared" si="1"/>
        <v>C151346140</v>
      </c>
      <c r="B3253" s="185" t="str">
        <f t="array" ref="B3253">IF(F3253="VL","",IF(F3253="Free","Free",XLOOKUP(D3253,Roster!T:T,Roster!S:S,"",0)))</f>
        <v>Free</v>
      </c>
      <c r="C3253" s="313">
        <v>46140.0</v>
      </c>
      <c r="D3253" s="314" t="s">
        <v>26</v>
      </c>
      <c r="E3253" s="307" t="str">
        <f t="array" ref="E3253">(XLOOKUP(D3253,Roster!F:F,Roster!B:B,"",0))</f>
        <v>David Patino</v>
      </c>
      <c r="F3253" s="315" t="str">
        <f t="array" ref="F3253">IF(B3253=100,"Free",TEXT(XLOOKUP($D3253,OperationVoice!$A:$A,OperationVoice!AH:AH,XLOOKUP($D3253,OperationTickets!$A:$A,OperationTickets!AH:AH,"",0)),"hh:mm"))</f>
        <v>Free</v>
      </c>
      <c r="G3253" s="309" t="str">
        <f t="shared" si="3"/>
        <v>Free</v>
      </c>
      <c r="H3253" s="316" t="str">
        <f t="array" ref="H3253">XLOOKUP(B3253,Roster!L:L,Roster!N:N,XLOOKUP(D3253,TicketsBreak!A:A,TicketsBreak!E:E,"",0),0)</f>
        <v/>
      </c>
      <c r="I3253" s="316" t="str">
        <f t="array" ref="I3253">XLOOKUP(B3253,Roster!L:L,Roster!O:O,XLOOKUP(D3253,TicketsBreak!A:A,TicketsBreak!F:F,"",0),0)</f>
        <v/>
      </c>
      <c r="J3253" s="316" t="str">
        <f t="array" ref="J3253">XLOOKUP(B3253,Roster!L:L,Roster!P:P,XLOOKUP(D3253,TicketsBreak!A:A,TicketsBreak!G:G,"",0),0)</f>
        <v/>
      </c>
      <c r="K3253" s="310">
        <f t="shared" si="4"/>
        <v>46140</v>
      </c>
      <c r="L3253" s="317">
        <f t="array" ref="L3253">(XLOOKUP(D3253,Roster!F:F,Roster!D:D,"",0))</f>
        <v>35</v>
      </c>
      <c r="M3253" s="317" t="str">
        <f t="array" ref="M3253">XLOOKUP(D3253,Roster!F:F,Roster!E:E)</f>
        <v>Voice</v>
      </c>
      <c r="N3253" s="317" t="str">
        <f t="shared" ref="N3253:P3253" si="3298">LEFT(H3253,5)</f>
        <v/>
      </c>
      <c r="O3253" s="317" t="str">
        <f t="shared" si="3298"/>
        <v/>
      </c>
      <c r="P3253" s="317" t="str">
        <f t="shared" si="3298"/>
        <v/>
      </c>
      <c r="Q3253" s="318" t="str">
        <f t="shared" si="3216"/>
        <v/>
      </c>
      <c r="R3253" s="318" t="str">
        <f t="shared" si="3217"/>
        <v/>
      </c>
      <c r="S3253" s="318" t="str">
        <f t="shared" si="8"/>
        <v/>
      </c>
    </row>
    <row r="3254">
      <c r="A3254" s="14" t="str">
        <f t="shared" si="1"/>
        <v>C127746140</v>
      </c>
      <c r="B3254" s="185">
        <f t="array" ref="B3254">IF(F3254="VL","",IF(F3254="Free","Free",XLOOKUP(D3254,Roster!T:T,Roster!S:S,"",0)))</f>
        <v>124</v>
      </c>
      <c r="C3254" s="313">
        <v>46140.0</v>
      </c>
      <c r="D3254" s="314" t="s">
        <v>27</v>
      </c>
      <c r="E3254" s="307" t="str">
        <f t="array" ref="E3254">(XLOOKUP(D3254,Roster!F:F,Roster!B:B,"",0))</f>
        <v>Edwuin Martinez</v>
      </c>
      <c r="F3254" s="315" t="str">
        <f t="array" ref="F3254">IF(B3254=100,"Free",TEXT(XLOOKUP($D3254,OperationVoice!$A:$A,OperationVoice!AH:AH,XLOOKUP($D3254,OperationTickets!$A:$A,OperationTickets!AH:AH,"",0)),"hh:mm"))</f>
        <v>08:00</v>
      </c>
      <c r="G3254" s="309">
        <f t="shared" si="3"/>
        <v>0.7083333333</v>
      </c>
      <c r="H3254" s="316" t="str">
        <f t="array" ref="H3254">XLOOKUP(B3254,Roster!L:L,Roster!N:N,XLOOKUP(D3254,TicketsBreak!A:A,TicketsBreak!E:E,"",0),0)</f>
        <v>10:00 - 10:15</v>
      </c>
      <c r="I3254" s="316" t="str">
        <f t="array" ref="I3254">XLOOKUP(B3254,Roster!L:L,Roster!O:O,XLOOKUP(D3254,TicketsBreak!A:A,TicketsBreak!F:F,"",0),0)</f>
        <v>13:00 - 13:30</v>
      </c>
      <c r="J3254" s="316" t="str">
        <f t="array" ref="J3254">XLOOKUP(B3254,Roster!L:L,Roster!P:P,XLOOKUP(D3254,TicketsBreak!A:A,TicketsBreak!G:G,"",0),0)</f>
        <v>15:30 - 15:45</v>
      </c>
      <c r="K3254" s="310">
        <f t="shared" si="4"/>
        <v>46140</v>
      </c>
      <c r="L3254" s="317">
        <f t="array" ref="L3254">(XLOOKUP(D3254,Roster!F:F,Roster!D:D,"",0))</f>
        <v>27</v>
      </c>
      <c r="M3254" s="317" t="str">
        <f t="array" ref="M3254">XLOOKUP(D3254,Roster!F:F,Roster!E:E)</f>
        <v>Voice</v>
      </c>
      <c r="N3254" s="317" t="str">
        <f t="shared" ref="N3254:P3254" si="3299">LEFT(H3254,5)</f>
        <v>10:00</v>
      </c>
      <c r="O3254" s="317" t="str">
        <f t="shared" si="3299"/>
        <v>13:00</v>
      </c>
      <c r="P3254" s="317" t="str">
        <f t="shared" si="3299"/>
        <v>15:30</v>
      </c>
      <c r="Q3254" s="318">
        <f t="shared" si="3216"/>
        <v>46140.41667</v>
      </c>
      <c r="R3254" s="318">
        <f t="shared" si="3217"/>
        <v>46140.54167</v>
      </c>
      <c r="S3254" s="318">
        <f t="shared" si="8"/>
        <v>46140.64583</v>
      </c>
    </row>
    <row r="3255">
      <c r="A3255" s="14" t="str">
        <f t="shared" si="1"/>
        <v>C121646140</v>
      </c>
      <c r="B3255" s="185" t="str">
        <f t="array" ref="B3255">IF(F3255="VL","",IF(F3255="Free","Free",XLOOKUP(D3255,Roster!T:T,Roster!S:S,"",0)))</f>
        <v/>
      </c>
      <c r="C3255" s="313">
        <v>46140.0</v>
      </c>
      <c r="D3255" s="314" t="s">
        <v>134</v>
      </c>
      <c r="E3255" s="307" t="str">
        <f t="array" ref="E3255">(XLOOKUP(D3255,Roster!F:F,Roster!B:B,"",0))</f>
        <v>Eliana Pena</v>
      </c>
      <c r="F3255" s="315" t="str">
        <f t="array" ref="F3255">IF(B3255=100,"Free",TEXT(XLOOKUP($D3255,OperationVoice!$A:$A,OperationVoice!AH:AH,XLOOKUP($D3255,OperationTickets!$A:$A,OperationTickets!AH:AH,"",0)),"hh:mm"))</f>
        <v>08:00</v>
      </c>
      <c r="G3255" s="309">
        <f t="shared" si="3"/>
        <v>0.7083333333</v>
      </c>
      <c r="H3255" s="316">
        <f t="array" ref="H3255">XLOOKUP(B3255,Roster!L:L,Roster!N:N,XLOOKUP(D3255,TicketsBreak!A:A,TicketsBreak!E:E,"",0),0)</f>
        <v>0.3958333333</v>
      </c>
      <c r="I3255" s="316">
        <f t="array" ref="I3255">XLOOKUP(B3255,Roster!L:L,Roster!O:O,XLOOKUP(D3255,TicketsBreak!A:A,TicketsBreak!F:F,"",0),0)</f>
        <v>0.5416666667</v>
      </c>
      <c r="J3255" s="316">
        <f t="array" ref="J3255">XLOOKUP(B3255,Roster!L:L,Roster!P:P,XLOOKUP(D3255,TicketsBreak!A:A,TicketsBreak!G:G,"",0),0)</f>
        <v>0.6354166667</v>
      </c>
      <c r="K3255" s="310">
        <f t="shared" si="4"/>
        <v>46140</v>
      </c>
      <c r="L3255" s="317">
        <f t="array" ref="L3255">(XLOOKUP(D3255,Roster!F:F,Roster!D:D,"",0))</f>
        <v>26</v>
      </c>
      <c r="M3255" s="317" t="str">
        <f t="array" ref="M3255">XLOOKUP(D3255,Roster!F:F,Roster!E:E)</f>
        <v>Tickets</v>
      </c>
      <c r="N3255" s="317" t="str">
        <f t="shared" ref="N3255:P3255" si="3300">LEFT(H3255,5)</f>
        <v>09:30</v>
      </c>
      <c r="O3255" s="317" t="str">
        <f t="shared" si="3300"/>
        <v>13:00</v>
      </c>
      <c r="P3255" s="317" t="str">
        <f t="shared" si="3300"/>
        <v>15:15</v>
      </c>
      <c r="Q3255" s="318">
        <f t="shared" si="3216"/>
        <v>46140.39583</v>
      </c>
      <c r="R3255" s="318">
        <f t="shared" si="3217"/>
        <v>46140.54167</v>
      </c>
      <c r="S3255" s="318">
        <f t="shared" si="8"/>
        <v>46140.63542</v>
      </c>
    </row>
    <row r="3256">
      <c r="A3256" s="14" t="str">
        <f t="shared" si="1"/>
        <v>C157346140</v>
      </c>
      <c r="B3256" s="185">
        <f t="array" ref="B3256">IF(F3256="VL","",IF(F3256="Free","Free",XLOOKUP(D3256,Roster!T:T,Roster!S:S,"",0)))</f>
        <v>123</v>
      </c>
      <c r="C3256" s="313">
        <v>46140.0</v>
      </c>
      <c r="D3256" s="314" t="s">
        <v>28</v>
      </c>
      <c r="E3256" s="307" t="str">
        <f t="array" ref="E3256">(XLOOKUP(D3256,Roster!F:F,Roster!B:B,"",0))</f>
        <v>Esteban Correa</v>
      </c>
      <c r="F3256" s="315" t="str">
        <f t="array" ref="F3256">IF(B3256=100,"Free",TEXT(XLOOKUP($D3256,OperationVoice!$A:$A,OperationVoice!AH:AH,XLOOKUP($D3256,OperationTickets!$A:$A,OperationTickets!AH:AH,"",0)),"hh:mm"))</f>
        <v>08:00</v>
      </c>
      <c r="G3256" s="309">
        <f t="shared" si="3"/>
        <v>0.7083333333</v>
      </c>
      <c r="H3256" s="316" t="str">
        <f t="array" ref="H3256">XLOOKUP(B3256,Roster!L:L,Roster!N:N,XLOOKUP(D3256,TicketsBreak!A:A,TicketsBreak!E:E,"",0),0)</f>
        <v>09:45 - 10:00 </v>
      </c>
      <c r="I3256" s="316" t="str">
        <f t="array" ref="I3256">XLOOKUP(B3256,Roster!L:L,Roster!O:O,XLOOKUP(D3256,TicketsBreak!A:A,TicketsBreak!F:F,"",0),0)</f>
        <v>12:30 - 13:00</v>
      </c>
      <c r="J3256" s="316" t="str">
        <f t="array" ref="J3256">XLOOKUP(B3256,Roster!L:L,Roster!P:P,XLOOKUP(D3256,TicketsBreak!A:A,TicketsBreak!G:G,"",0),0)</f>
        <v>15:00 - 15:15</v>
      </c>
      <c r="K3256" s="310">
        <f t="shared" si="4"/>
        <v>46140</v>
      </c>
      <c r="L3256" s="317">
        <f t="array" ref="L3256">(XLOOKUP(D3256,Roster!F:F,Roster!D:D,"",0))</f>
        <v>38</v>
      </c>
      <c r="M3256" s="317" t="str">
        <f t="array" ref="M3256">XLOOKUP(D3256,Roster!F:F,Roster!E:E)</f>
        <v>Voice</v>
      </c>
      <c r="N3256" s="317" t="str">
        <f t="shared" ref="N3256:P3256" si="3301">LEFT(H3256,5)</f>
        <v>09:45</v>
      </c>
      <c r="O3256" s="317" t="str">
        <f t="shared" si="3301"/>
        <v>12:30</v>
      </c>
      <c r="P3256" s="317" t="str">
        <f t="shared" si="3301"/>
        <v>15:00</v>
      </c>
      <c r="Q3256" s="318">
        <f t="shared" si="3216"/>
        <v>46140.40625</v>
      </c>
      <c r="R3256" s="318">
        <f t="shared" si="3217"/>
        <v>46140.52083</v>
      </c>
      <c r="S3256" s="318">
        <f t="shared" si="8"/>
        <v>46140.625</v>
      </c>
    </row>
    <row r="3257">
      <c r="A3257" s="14" t="str">
        <f t="shared" si="1"/>
        <v>C71346140</v>
      </c>
      <c r="B3257" s="185">
        <f t="array" ref="B3257">IF(F3257="VL","",IF(F3257="Free","Free",XLOOKUP(D3257,Roster!T:T,Roster!S:S,"",0)))</f>
        <v>125</v>
      </c>
      <c r="C3257" s="313">
        <v>46140.0</v>
      </c>
      <c r="D3257" s="314" t="s">
        <v>29</v>
      </c>
      <c r="E3257" s="307" t="str">
        <f t="array" ref="E3257">(XLOOKUP(D3257,Roster!F:F,Roster!B:B,"",0))</f>
        <v>Frank Marin</v>
      </c>
      <c r="F3257" s="315" t="str">
        <f t="array" ref="F3257">IF(B3257=100,"Free",TEXT(XLOOKUP($D3257,OperationVoice!$A:$A,OperationVoice!AH:AH,XLOOKUP($D3257,OperationTickets!$A:$A,OperationTickets!AH:AH,"",0)),"hh:mm"))</f>
        <v>08:00</v>
      </c>
      <c r="G3257" s="309">
        <f t="shared" si="3"/>
        <v>0.7083333333</v>
      </c>
      <c r="H3257" s="316" t="str">
        <f t="array" ref="H3257">XLOOKUP(B3257,Roster!L:L,Roster!N:N,XLOOKUP(D3257,TicketsBreak!A:A,TicketsBreak!E:E,"",0),0)</f>
        <v>10:30 - 10:45</v>
      </c>
      <c r="I3257" s="316" t="str">
        <f t="array" ref="I3257">XLOOKUP(B3257,Roster!L:L,Roster!O:O,XLOOKUP(D3257,TicketsBreak!A:A,TicketsBreak!F:F,"",0),0)</f>
        <v>13:30 - 14:00</v>
      </c>
      <c r="J3257" s="316" t="str">
        <f t="array" ref="J3257">XLOOKUP(B3257,Roster!L:L,Roster!P:P,XLOOKUP(D3257,TicketsBreak!A:A,TicketsBreak!G:G,"",0),0)</f>
        <v>15:45 - 16:00</v>
      </c>
      <c r="K3257" s="310">
        <f t="shared" si="4"/>
        <v>46140</v>
      </c>
      <c r="L3257" s="317">
        <f t="array" ref="L3257">(XLOOKUP(D3257,Roster!F:F,Roster!D:D,"",0))</f>
        <v>6</v>
      </c>
      <c r="M3257" s="317" t="str">
        <f t="array" ref="M3257">XLOOKUP(D3257,Roster!F:F,Roster!E:E)</f>
        <v>Voice</v>
      </c>
      <c r="N3257" s="317" t="str">
        <f t="shared" ref="N3257:P3257" si="3302">LEFT(H3257,5)</f>
        <v>10:30</v>
      </c>
      <c r="O3257" s="317" t="str">
        <f t="shared" si="3302"/>
        <v>13:30</v>
      </c>
      <c r="P3257" s="317" t="str">
        <f t="shared" si="3302"/>
        <v>15:45</v>
      </c>
      <c r="Q3257" s="318">
        <f t="shared" si="3216"/>
        <v>46140.4375</v>
      </c>
      <c r="R3257" s="318">
        <f t="shared" si="3217"/>
        <v>46140.5625</v>
      </c>
      <c r="S3257" s="318">
        <f t="shared" si="8"/>
        <v>46140.65625</v>
      </c>
    </row>
    <row r="3258">
      <c r="A3258" s="14" t="str">
        <f t="shared" si="1"/>
        <v>C154846140</v>
      </c>
      <c r="B3258" s="185">
        <f t="array" ref="B3258">IF(F3258="VL","",IF(F3258="Free","Free",XLOOKUP(D3258,Roster!T:T,Roster!S:S,"",0)))</f>
        <v>152</v>
      </c>
      <c r="C3258" s="313">
        <v>46140.0</v>
      </c>
      <c r="D3258" s="314" t="s">
        <v>30</v>
      </c>
      <c r="E3258" s="307" t="str">
        <f t="array" ref="E3258">(XLOOKUP(D3258,Roster!F:F,Roster!B:B,"",0))</f>
        <v>Frey ortiz</v>
      </c>
      <c r="F3258" s="315" t="str">
        <f t="array" ref="F3258">IF(B3258=100,"Free",TEXT(XLOOKUP($D3258,OperationVoice!$A:$A,OperationVoice!AH:AH,XLOOKUP($D3258,OperationTickets!$A:$A,OperationTickets!AH:AH,"",0)),"hh:mm"))</f>
        <v>11:00</v>
      </c>
      <c r="G3258" s="309">
        <f t="shared" si="3"/>
        <v>0.8333333333</v>
      </c>
      <c r="H3258" s="316" t="str">
        <f t="array" ref="H3258">XLOOKUP(B3258,Roster!L:L,Roster!N:N,XLOOKUP(D3258,TicketsBreak!A:A,TicketsBreak!E:E,"",0),0)</f>
        <v>12:30 - 12:45</v>
      </c>
      <c r="I3258" s="316" t="str">
        <f t="array" ref="I3258">XLOOKUP(B3258,Roster!L:L,Roster!O:O,XLOOKUP(D3258,TicketsBreak!A:A,TicketsBreak!F:F,"",0),0)</f>
        <v>14:30 - 15:00</v>
      </c>
      <c r="J3258" s="316" t="str">
        <f t="array" ref="J3258">XLOOKUP(B3258,Roster!L:L,Roster!P:P,XLOOKUP(D3258,TicketsBreak!A:A,TicketsBreak!G:G,"",0),0)</f>
        <v>17:30 - 17:45</v>
      </c>
      <c r="K3258" s="310">
        <f t="shared" si="4"/>
        <v>46140</v>
      </c>
      <c r="L3258" s="317">
        <f t="array" ref="L3258">(XLOOKUP(D3258,Roster!F:F,Roster!D:D,"",0))</f>
        <v>37</v>
      </c>
      <c r="M3258" s="317" t="str">
        <f t="array" ref="M3258">XLOOKUP(D3258,Roster!F:F,Roster!E:E)</f>
        <v>Voice</v>
      </c>
      <c r="N3258" s="317" t="str">
        <f t="shared" ref="N3258:P3258" si="3303">LEFT(H3258,5)</f>
        <v>12:30</v>
      </c>
      <c r="O3258" s="317" t="str">
        <f t="shared" si="3303"/>
        <v>14:30</v>
      </c>
      <c r="P3258" s="317" t="str">
        <f t="shared" si="3303"/>
        <v>17:30</v>
      </c>
      <c r="Q3258" s="318">
        <f t="shared" si="3216"/>
        <v>46140.52083</v>
      </c>
      <c r="R3258" s="318">
        <f t="shared" si="3217"/>
        <v>46140.60417</v>
      </c>
      <c r="S3258" s="318">
        <f t="shared" si="8"/>
        <v>46140.72917</v>
      </c>
    </row>
    <row r="3259">
      <c r="A3259" s="14" t="str">
        <f t="shared" si="1"/>
        <v>C148646140</v>
      </c>
      <c r="B3259" s="185">
        <f t="array" ref="B3259">IF(F3259="VL","",IF(F3259="Free","Free",XLOOKUP(D3259,Roster!T:T,Roster!S:S,"",0)))</f>
        <v>154</v>
      </c>
      <c r="C3259" s="313">
        <v>46140.0</v>
      </c>
      <c r="D3259" s="314" t="s">
        <v>31</v>
      </c>
      <c r="E3259" s="307" t="str">
        <f t="array" ref="E3259">(XLOOKUP(D3259,Roster!F:F,Roster!B:B,"",0))</f>
        <v>Gabriel Gomez</v>
      </c>
      <c r="F3259" s="315" t="str">
        <f t="array" ref="F3259">IF(B3259=100,"Free",TEXT(XLOOKUP($D3259,OperationVoice!$A:$A,OperationVoice!AH:AH,XLOOKUP($D3259,OperationTickets!$A:$A,OperationTickets!AH:AH,"",0)),"hh:mm"))</f>
        <v>11:00</v>
      </c>
      <c r="G3259" s="309">
        <f t="shared" si="3"/>
        <v>0.8333333333</v>
      </c>
      <c r="H3259" s="316" t="str">
        <f t="array" ref="H3259">XLOOKUP(B3259,Roster!L:L,Roster!N:N,XLOOKUP(D3259,TicketsBreak!A:A,TicketsBreak!E:E,"",0),0)</f>
        <v>13:00 - 13:15</v>
      </c>
      <c r="I3259" s="316" t="str">
        <f t="array" ref="I3259">XLOOKUP(B3259,Roster!L:L,Roster!O:O,XLOOKUP(D3259,TicketsBreak!A:A,TicketsBreak!F:F,"",0),0)</f>
        <v>15:15 - 15:45</v>
      </c>
      <c r="J3259" s="316" t="str">
        <f t="array" ref="J3259">XLOOKUP(B3259,Roster!L:L,Roster!P:P,XLOOKUP(D3259,TicketsBreak!A:A,TicketsBreak!G:G,"",0),0)</f>
        <v>18:00 - 18:15</v>
      </c>
      <c r="K3259" s="310">
        <f t="shared" si="4"/>
        <v>46140</v>
      </c>
      <c r="L3259" s="317">
        <f t="array" ref="L3259">(XLOOKUP(D3259,Roster!F:F,Roster!D:D,"",0))</f>
        <v>34</v>
      </c>
      <c r="M3259" s="317" t="str">
        <f t="array" ref="M3259">XLOOKUP(D3259,Roster!F:F,Roster!E:E)</f>
        <v>Voice</v>
      </c>
      <c r="N3259" s="317" t="str">
        <f t="shared" ref="N3259:P3259" si="3304">LEFT(H3259,5)</f>
        <v>13:00</v>
      </c>
      <c r="O3259" s="317" t="str">
        <f t="shared" si="3304"/>
        <v>15:15</v>
      </c>
      <c r="P3259" s="317" t="str">
        <f t="shared" si="3304"/>
        <v>18:00</v>
      </c>
      <c r="Q3259" s="318">
        <f t="shared" si="3216"/>
        <v>46140.54167</v>
      </c>
      <c r="R3259" s="318">
        <f t="shared" si="3217"/>
        <v>46140.63542</v>
      </c>
      <c r="S3259" s="318">
        <f t="shared" si="8"/>
        <v>46140.75</v>
      </c>
    </row>
    <row r="3260">
      <c r="A3260" s="14" t="str">
        <f t="shared" si="1"/>
        <v>C136946140</v>
      </c>
      <c r="B3260" s="185">
        <f t="array" ref="B3260">IF(F3260="VL","",IF(F3260="Free","Free",XLOOKUP(D3260,Roster!T:T,Roster!S:S,"",0)))</f>
        <v>126</v>
      </c>
      <c r="C3260" s="313">
        <v>46140.0</v>
      </c>
      <c r="D3260" s="314" t="s">
        <v>157</v>
      </c>
      <c r="E3260" s="307" t="str">
        <f t="array" ref="E3260">(XLOOKUP(D3260,Roster!F:F,Roster!B:B,"",0))</f>
        <v>Gabriela Jimenez</v>
      </c>
      <c r="F3260" s="315" t="str">
        <f t="array" ref="F3260">IF(B3260=100,"Free",TEXT(XLOOKUP($D3260,OperationVoice!$A:$A,OperationVoice!AH:AH,XLOOKUP($D3260,OperationTickets!$A:$A,OperationTickets!AH:AH,"",0)),"hh:mm"))</f>
        <v>08:00</v>
      </c>
      <c r="G3260" s="309">
        <f t="shared" si="3"/>
        <v>0.7083333333</v>
      </c>
      <c r="H3260" s="316" t="str">
        <f t="array" ref="H3260">XLOOKUP(B3260,Roster!L:L,Roster!N:N,XLOOKUP(D3260,TicketsBreak!A:A,TicketsBreak!E:E,"",0),0)</f>
        <v>10:45 - 11:00</v>
      </c>
      <c r="I3260" s="316" t="str">
        <f t="array" ref="I3260">XLOOKUP(B3260,Roster!L:L,Roster!O:O,XLOOKUP(D3260,TicketsBreak!A:A,TicketsBreak!F:F,"",0),0)</f>
        <v>14:00 - 14:30</v>
      </c>
      <c r="J3260" s="316" t="str">
        <f t="array" ref="J3260">XLOOKUP(B3260,Roster!L:L,Roster!P:P,XLOOKUP(D3260,TicketsBreak!A:A,TicketsBreak!G:G,"",0),0)</f>
        <v>15:45 - 16:00</v>
      </c>
      <c r="K3260" s="310">
        <f t="shared" si="4"/>
        <v>46140</v>
      </c>
      <c r="L3260" s="317">
        <f t="array" ref="L3260">(XLOOKUP(D3260,Roster!F:F,Roster!D:D,"",0))</f>
        <v>31</v>
      </c>
      <c r="M3260" s="317" t="str">
        <f t="array" ref="M3260">XLOOKUP(D3260,Roster!F:F,Roster!E:E)</f>
        <v>Tickets</v>
      </c>
      <c r="N3260" s="317" t="str">
        <f t="shared" ref="N3260:P3260" si="3305">LEFT(H3260,5)</f>
        <v>10:45</v>
      </c>
      <c r="O3260" s="317" t="str">
        <f t="shared" si="3305"/>
        <v>14:00</v>
      </c>
      <c r="P3260" s="317" t="str">
        <f t="shared" si="3305"/>
        <v>15:45</v>
      </c>
      <c r="Q3260" s="318">
        <f t="shared" si="3216"/>
        <v>46140.44792</v>
      </c>
      <c r="R3260" s="318">
        <f t="shared" si="3217"/>
        <v>46140.58333</v>
      </c>
      <c r="S3260" s="318">
        <f t="shared" si="8"/>
        <v>46140.65625</v>
      </c>
    </row>
    <row r="3261">
      <c r="A3261" s="14" t="str">
        <f t="shared" si="1"/>
        <v>C101746140</v>
      </c>
      <c r="B3261" s="185">
        <f t="array" ref="B3261">IF(F3261="VL","",IF(F3261="Free","Free",XLOOKUP(D3261,Roster!T:T,Roster!S:S,"",0)))</f>
        <v>121</v>
      </c>
      <c r="C3261" s="313">
        <v>46140.0</v>
      </c>
      <c r="D3261" s="314" t="s">
        <v>32</v>
      </c>
      <c r="E3261" s="307" t="str">
        <f t="array" ref="E3261">(XLOOKUP(D3261,Roster!F:F,Roster!B:B,"",0))</f>
        <v>Geraldine Correa</v>
      </c>
      <c r="F3261" s="315" t="str">
        <f t="array" ref="F3261">IF(B3261=100,"Free",TEXT(XLOOKUP($D3261,OperationVoice!$A:$A,OperationVoice!AH:AH,XLOOKUP($D3261,OperationTickets!$A:$A,OperationTickets!AH:AH,"",0)),"hh:mm"))</f>
        <v>08:00</v>
      </c>
      <c r="G3261" s="309">
        <f t="shared" si="3"/>
        <v>0.7083333333</v>
      </c>
      <c r="H3261" s="316" t="str">
        <f t="array" ref="H3261">XLOOKUP(B3261,Roster!L:L,Roster!N:N,XLOOKUP(D3261,TicketsBreak!A:A,TicketsBreak!E:E,"",0),0)</f>
        <v>09:15 - 09:30</v>
      </c>
      <c r="I3261" s="316" t="str">
        <f t="array" ref="I3261">XLOOKUP(B3261,Roster!L:L,Roster!O:O,XLOOKUP(D3261,TicketsBreak!A:A,TicketsBreak!F:F,"",0),0)</f>
        <v>11:30 - 12:00</v>
      </c>
      <c r="J3261" s="316" t="str">
        <f t="array" ref="J3261">XLOOKUP(B3261,Roster!L:L,Roster!P:P,XLOOKUP(D3261,TicketsBreak!A:A,TicketsBreak!G:G,"",0),0)</f>
        <v>14:30 - 14:45</v>
      </c>
      <c r="K3261" s="310">
        <f t="shared" si="4"/>
        <v>46140</v>
      </c>
      <c r="L3261" s="317">
        <f t="array" ref="L3261">(XLOOKUP(D3261,Roster!F:F,Roster!D:D,"",0))</f>
        <v>23</v>
      </c>
      <c r="M3261" s="317" t="str">
        <f t="array" ref="M3261">XLOOKUP(D3261,Roster!F:F,Roster!E:E)</f>
        <v>Voice</v>
      </c>
      <c r="N3261" s="317" t="str">
        <f t="shared" ref="N3261:P3261" si="3306">LEFT(H3261,5)</f>
        <v>09:15</v>
      </c>
      <c r="O3261" s="317" t="str">
        <f t="shared" si="3306"/>
        <v>11:30</v>
      </c>
      <c r="P3261" s="317" t="str">
        <f t="shared" si="3306"/>
        <v>14:30</v>
      </c>
      <c r="Q3261" s="318">
        <f t="shared" si="3216"/>
        <v>46140.38542</v>
      </c>
      <c r="R3261" s="318">
        <f t="shared" si="3217"/>
        <v>46140.47917</v>
      </c>
      <c r="S3261" s="318">
        <f t="shared" si="8"/>
        <v>46140.60417</v>
      </c>
    </row>
    <row r="3262">
      <c r="A3262" s="14" t="str">
        <f t="shared" si="1"/>
        <v>C154146140</v>
      </c>
      <c r="B3262" s="185">
        <f t="array" ref="B3262">IF(F3262="VL","",IF(F3262="Free","Free",XLOOKUP(D3262,Roster!T:T,Roster!S:S,"",0)))</f>
        <v>155</v>
      </c>
      <c r="C3262" s="313">
        <v>46140.0</v>
      </c>
      <c r="D3262" s="314" t="s">
        <v>33</v>
      </c>
      <c r="E3262" s="307" t="str">
        <f t="array" ref="E3262">(XLOOKUP(D3262,Roster!F:F,Roster!B:B,"",0))</f>
        <v>Gisel Moya</v>
      </c>
      <c r="F3262" s="315" t="str">
        <f t="array" ref="F3262">IF(B3262=100,"Free",TEXT(XLOOKUP($D3262,OperationVoice!$A:$A,OperationVoice!AH:AH,XLOOKUP($D3262,OperationTickets!$A:$A,OperationTickets!AH:AH,"",0)),"hh:mm"))</f>
        <v>11:00</v>
      </c>
      <c r="G3262" s="309">
        <f t="shared" si="3"/>
        <v>0.8333333333</v>
      </c>
      <c r="H3262" s="316" t="str">
        <f t="array" ref="H3262">XLOOKUP(B3262,Roster!L:L,Roster!N:N,XLOOKUP(D3262,TicketsBreak!A:A,TicketsBreak!E:E,"",0),0)</f>
        <v>13:15 - 13:30</v>
      </c>
      <c r="I3262" s="316" t="str">
        <f t="array" ref="I3262">XLOOKUP(B3262,Roster!L:L,Roster!O:O,XLOOKUP(D3262,TicketsBreak!A:A,TicketsBreak!F:F,"",0),0)</f>
        <v>15:45 - 16:15</v>
      </c>
      <c r="J3262" s="316" t="str">
        <f t="array" ref="J3262">XLOOKUP(B3262,Roster!L:L,Roster!P:P,XLOOKUP(D3262,TicketsBreak!A:A,TicketsBreak!G:G,"",0),0)</f>
        <v>18:15 - 18:30</v>
      </c>
      <c r="K3262" s="310">
        <f t="shared" si="4"/>
        <v>46140</v>
      </c>
      <c r="L3262" s="317">
        <f t="array" ref="L3262">(XLOOKUP(D3262,Roster!F:F,Roster!D:D,"",0))</f>
        <v>36</v>
      </c>
      <c r="M3262" s="317" t="str">
        <f t="array" ref="M3262">XLOOKUP(D3262,Roster!F:F,Roster!E:E)</f>
        <v>Voice</v>
      </c>
      <c r="N3262" s="317" t="str">
        <f t="shared" ref="N3262:P3262" si="3307">LEFT(H3262,5)</f>
        <v>13:15</v>
      </c>
      <c r="O3262" s="317" t="str">
        <f t="shared" si="3307"/>
        <v>15:45</v>
      </c>
      <c r="P3262" s="317" t="str">
        <f t="shared" si="3307"/>
        <v>18:15</v>
      </c>
      <c r="Q3262" s="318">
        <f t="shared" si="3216"/>
        <v>46140.55208</v>
      </c>
      <c r="R3262" s="318">
        <f t="shared" si="3217"/>
        <v>46140.65625</v>
      </c>
      <c r="S3262" s="318">
        <f t="shared" si="8"/>
        <v>46140.76042</v>
      </c>
    </row>
    <row r="3263">
      <c r="A3263" s="14" t="str">
        <f t="shared" si="1"/>
        <v>C86046140</v>
      </c>
      <c r="B3263" s="185" t="str">
        <f t="array" ref="B3263">IF(F3263="VL","",IF(F3263="Free","Free",XLOOKUP(D3263,Roster!T:T,Roster!S:S,"",0)))</f>
        <v/>
      </c>
      <c r="C3263" s="313">
        <v>46140.0</v>
      </c>
      <c r="D3263" s="314" t="s">
        <v>158</v>
      </c>
      <c r="E3263" s="307" t="str">
        <f t="array" ref="E3263">(XLOOKUP(D3263,Roster!F:F,Roster!B:B,"",0))</f>
        <v>Ief Fabre</v>
      </c>
      <c r="F3263" s="315" t="str">
        <f t="array" ref="F3263">IF(B3263=100,"Free",TEXT(XLOOKUP($D3263,OperationVoice!$A:$A,OperationVoice!AH:AH,XLOOKUP($D3263,OperationTickets!$A:$A,OperationTickets!AH:AH,"",0)),"hh:mm"))</f>
        <v>08:00</v>
      </c>
      <c r="G3263" s="309">
        <f t="shared" si="3"/>
        <v>0.7083333333</v>
      </c>
      <c r="H3263" s="316">
        <f t="array" ref="H3263">XLOOKUP(B3263,Roster!L:L,Roster!N:N,XLOOKUP(D3263,TicketsBreak!A:A,TicketsBreak!E:E,"",0),0)</f>
        <v>0.4166666667</v>
      </c>
      <c r="I3263" s="316">
        <f t="array" ref="I3263">XLOOKUP(B3263,Roster!L:L,Roster!O:O,XLOOKUP(D3263,TicketsBreak!A:A,TicketsBreak!F:F,"",0),0)</f>
        <v>0.5</v>
      </c>
      <c r="J3263" s="316">
        <f t="array" ref="J3263">XLOOKUP(B3263,Roster!L:L,Roster!P:P,XLOOKUP(D3263,TicketsBreak!A:A,TicketsBreak!G:G,"",0),0)</f>
        <v>0.625</v>
      </c>
      <c r="K3263" s="310">
        <f t="shared" si="4"/>
        <v>46140</v>
      </c>
      <c r="L3263" s="317">
        <f t="array" ref="L3263">(XLOOKUP(D3263,Roster!F:F,Roster!D:D,"",0))</f>
        <v>10</v>
      </c>
      <c r="M3263" s="317" t="str">
        <f t="array" ref="M3263">XLOOKUP(D3263,Roster!F:F,Roster!E:E)</f>
        <v>Tickets</v>
      </c>
      <c r="N3263" s="317" t="str">
        <f t="shared" ref="N3263:P3263" si="3308">LEFT(H3263,5)</f>
        <v>10:00</v>
      </c>
      <c r="O3263" s="317" t="str">
        <f t="shared" si="3308"/>
        <v>12:00</v>
      </c>
      <c r="P3263" s="317" t="str">
        <f t="shared" si="3308"/>
        <v>15:00</v>
      </c>
      <c r="Q3263" s="318">
        <f t="shared" si="3216"/>
        <v>46140.41667</v>
      </c>
      <c r="R3263" s="318">
        <f t="shared" si="3217"/>
        <v>46140.5</v>
      </c>
      <c r="S3263" s="318">
        <f t="shared" si="8"/>
        <v>46140.625</v>
      </c>
    </row>
    <row r="3264">
      <c r="A3264" s="14" t="str">
        <f t="shared" si="1"/>
        <v>C148146140</v>
      </c>
      <c r="B3264" s="185">
        <f t="array" ref="B3264">IF(F3264="VL","",IF(F3264="Free","Free",XLOOKUP(D3264,Roster!T:T,Roster!S:S,"",0)))</f>
        <v>155</v>
      </c>
      <c r="C3264" s="313">
        <v>46140.0</v>
      </c>
      <c r="D3264" s="314" t="s">
        <v>34</v>
      </c>
      <c r="E3264" s="307" t="str">
        <f t="array" ref="E3264">(XLOOKUP(D3264,Roster!F:F,Roster!B:B,"",0))</f>
        <v>Jasam Mejia</v>
      </c>
      <c r="F3264" s="315" t="str">
        <f t="array" ref="F3264">IF(B3264=100,"Free",TEXT(XLOOKUP($D3264,OperationVoice!$A:$A,OperationVoice!AH:AH,XLOOKUP($D3264,OperationTickets!$A:$A,OperationTickets!AH:AH,"",0)),"hh:mm"))</f>
        <v>12:00</v>
      </c>
      <c r="G3264" s="309">
        <f t="shared" si="3"/>
        <v>0.875</v>
      </c>
      <c r="H3264" s="316" t="str">
        <f t="array" ref="H3264">XLOOKUP(B3264,Roster!L:L,Roster!N:N,XLOOKUP(D3264,TicketsBreak!A:A,TicketsBreak!E:E,"",0),0)</f>
        <v>13:15 - 13:30</v>
      </c>
      <c r="I3264" s="316" t="str">
        <f t="array" ref="I3264">XLOOKUP(B3264,Roster!L:L,Roster!O:O,XLOOKUP(D3264,TicketsBreak!A:A,TicketsBreak!F:F,"",0),0)</f>
        <v>15:45 - 16:15</v>
      </c>
      <c r="J3264" s="316" t="str">
        <f t="array" ref="J3264">XLOOKUP(B3264,Roster!L:L,Roster!P:P,XLOOKUP(D3264,TicketsBreak!A:A,TicketsBreak!G:G,"",0),0)</f>
        <v>18:15 - 18:30</v>
      </c>
      <c r="K3264" s="310">
        <f t="shared" si="4"/>
        <v>46140</v>
      </c>
      <c r="L3264" s="317">
        <f t="array" ref="L3264">(XLOOKUP(D3264,Roster!F:F,Roster!D:D,"",0))</f>
        <v>34</v>
      </c>
      <c r="M3264" s="317" t="str">
        <f t="array" ref="M3264">XLOOKUP(D3264,Roster!F:F,Roster!E:E)</f>
        <v>Voice</v>
      </c>
      <c r="N3264" s="317" t="str">
        <f t="shared" ref="N3264:P3264" si="3309">LEFT(H3264,5)</f>
        <v>13:15</v>
      </c>
      <c r="O3264" s="317" t="str">
        <f t="shared" si="3309"/>
        <v>15:45</v>
      </c>
      <c r="P3264" s="317" t="str">
        <f t="shared" si="3309"/>
        <v>18:15</v>
      </c>
      <c r="Q3264" s="318">
        <f t="shared" si="3216"/>
        <v>46140.55208</v>
      </c>
      <c r="R3264" s="318">
        <f t="shared" si="3217"/>
        <v>46140.65625</v>
      </c>
      <c r="S3264" s="318">
        <f t="shared" si="8"/>
        <v>46140.76042</v>
      </c>
    </row>
    <row r="3265">
      <c r="A3265" s="14" t="str">
        <f t="shared" si="1"/>
        <v>C131846140</v>
      </c>
      <c r="B3265" s="185" t="str">
        <f t="array" ref="B3265">IF(F3265="VL","",IF(F3265="Free","Free",XLOOKUP(D3265,Roster!T:T,Roster!S:S,"",0)))</f>
        <v/>
      </c>
      <c r="C3265" s="313">
        <v>46140.0</v>
      </c>
      <c r="D3265" s="314" t="s">
        <v>159</v>
      </c>
      <c r="E3265" s="307" t="str">
        <f t="array" ref="E3265">(XLOOKUP(D3265,Roster!F:F,Roster!B:B,"",0))</f>
        <v>Jeampierre Jaramillo</v>
      </c>
      <c r="F3265" s="315" t="str">
        <f t="array" ref="F3265">IF(B3265=100,"Free",TEXT(XLOOKUP($D3265,OperationVoice!$A:$A,OperationVoice!AH:AH,XLOOKUP($D3265,OperationTickets!$A:$A,OperationTickets!AH:AH,"",0)),"hh:mm"))</f>
        <v>07:00</v>
      </c>
      <c r="G3265" s="309">
        <f t="shared" si="3"/>
        <v>0.6666666667</v>
      </c>
      <c r="H3265" s="316" t="str">
        <f t="array" ref="H3265">XLOOKUP(B3265,Roster!L:L,Roster!N:N,XLOOKUP(D3265,TicketsBreak!A:A,TicketsBreak!E:E,"",0),0)</f>
        <v/>
      </c>
      <c r="I3265" s="316" t="str">
        <f t="array" ref="I3265">XLOOKUP(B3265,Roster!L:L,Roster!O:O,XLOOKUP(D3265,TicketsBreak!A:A,TicketsBreak!F:F,"",0),0)</f>
        <v/>
      </c>
      <c r="J3265" s="316" t="str">
        <f t="array" ref="J3265">XLOOKUP(B3265,Roster!L:L,Roster!P:P,XLOOKUP(D3265,TicketsBreak!A:A,TicketsBreak!G:G,"",0),0)</f>
        <v/>
      </c>
      <c r="K3265" s="310">
        <f t="shared" si="4"/>
        <v>46140</v>
      </c>
      <c r="L3265" s="317">
        <f t="array" ref="L3265">(XLOOKUP(D3265,Roster!F:F,Roster!D:D,"",0))</f>
        <v>29</v>
      </c>
      <c r="M3265" s="317" t="str">
        <f t="array" ref="M3265">XLOOKUP(D3265,Roster!F:F,Roster!E:E)</f>
        <v>Tickets</v>
      </c>
      <c r="N3265" s="317" t="str">
        <f t="shared" ref="N3265:P3265" si="3310">LEFT(H3265,5)</f>
        <v/>
      </c>
      <c r="O3265" s="317" t="str">
        <f t="shared" si="3310"/>
        <v/>
      </c>
      <c r="P3265" s="317" t="str">
        <f t="shared" si="3310"/>
        <v/>
      </c>
      <c r="Q3265" s="318" t="str">
        <f t="shared" si="3216"/>
        <v/>
      </c>
      <c r="R3265" s="318" t="str">
        <f t="shared" si="3217"/>
        <v/>
      </c>
      <c r="S3265" s="318" t="str">
        <f t="shared" si="8"/>
        <v/>
      </c>
    </row>
    <row r="3266">
      <c r="A3266" s="14" t="str">
        <f t="shared" si="1"/>
        <v>C155046140</v>
      </c>
      <c r="B3266" s="185">
        <f t="array" ref="B3266">IF(F3266="VL","",IF(F3266="Free","Free",XLOOKUP(D3266,Roster!T:T,Roster!S:S,"",0)))</f>
        <v>126</v>
      </c>
      <c r="C3266" s="313">
        <v>46140.0</v>
      </c>
      <c r="D3266" s="314" t="s">
        <v>35</v>
      </c>
      <c r="E3266" s="307" t="str">
        <f t="array" ref="E3266">(XLOOKUP(D3266,Roster!F:F,Roster!B:B,"",0))</f>
        <v>Jeidin Vargas</v>
      </c>
      <c r="F3266" s="315" t="str">
        <f t="array" ref="F3266">IF(B3266=100,"Free",TEXT(XLOOKUP($D3266,OperationVoice!$A:$A,OperationVoice!AH:AH,XLOOKUP($D3266,OperationTickets!$A:$A,OperationTickets!AH:AH,"",0)),"hh:mm"))</f>
        <v>08:00</v>
      </c>
      <c r="G3266" s="309">
        <f t="shared" si="3"/>
        <v>0.7083333333</v>
      </c>
      <c r="H3266" s="316" t="str">
        <f t="array" ref="H3266">XLOOKUP(B3266,Roster!L:L,Roster!N:N,XLOOKUP(D3266,TicketsBreak!A:A,TicketsBreak!E:E,"",0),0)</f>
        <v>10:45 - 11:00</v>
      </c>
      <c r="I3266" s="316" t="str">
        <f t="array" ref="I3266">XLOOKUP(B3266,Roster!L:L,Roster!O:O,XLOOKUP(D3266,TicketsBreak!A:A,TicketsBreak!F:F,"",0),0)</f>
        <v>14:00 - 14:30</v>
      </c>
      <c r="J3266" s="316" t="str">
        <f t="array" ref="J3266">XLOOKUP(B3266,Roster!L:L,Roster!P:P,XLOOKUP(D3266,TicketsBreak!A:A,TicketsBreak!G:G,"",0),0)</f>
        <v>15:45 - 16:00</v>
      </c>
      <c r="K3266" s="310">
        <f t="shared" si="4"/>
        <v>46140</v>
      </c>
      <c r="L3266" s="317">
        <f t="array" ref="L3266">(XLOOKUP(D3266,Roster!F:F,Roster!D:D,"",0))</f>
        <v>37</v>
      </c>
      <c r="M3266" s="317" t="str">
        <f t="array" ref="M3266">XLOOKUP(D3266,Roster!F:F,Roster!E:E)</f>
        <v>Voice</v>
      </c>
      <c r="N3266" s="317" t="str">
        <f t="shared" ref="N3266:P3266" si="3311">LEFT(H3266,5)</f>
        <v>10:45</v>
      </c>
      <c r="O3266" s="317" t="str">
        <f t="shared" si="3311"/>
        <v>14:00</v>
      </c>
      <c r="P3266" s="317" t="str">
        <f t="shared" si="3311"/>
        <v>15:45</v>
      </c>
      <c r="Q3266" s="318">
        <f t="shared" si="3216"/>
        <v>46140.44792</v>
      </c>
      <c r="R3266" s="318">
        <f t="shared" si="3217"/>
        <v>46140.58333</v>
      </c>
      <c r="S3266" s="318">
        <f t="shared" si="8"/>
        <v>46140.65625</v>
      </c>
    </row>
    <row r="3267">
      <c r="A3267" s="14" t="str">
        <f t="shared" si="1"/>
        <v>C51246140</v>
      </c>
      <c r="B3267" s="185">
        <f t="array" ref="B3267">IF(F3267="VL","",IF(F3267="Free","Free",XLOOKUP(D3267,Roster!T:T,Roster!S:S,"",0)))</f>
        <v>122</v>
      </c>
      <c r="C3267" s="313">
        <v>46140.0</v>
      </c>
      <c r="D3267" s="314" t="s">
        <v>36</v>
      </c>
      <c r="E3267" s="307" t="str">
        <f t="array" ref="E3267">(XLOOKUP(D3267,Roster!F:F,Roster!B:B,"",0))</f>
        <v>Jhoam Quiroz</v>
      </c>
      <c r="F3267" s="315" t="str">
        <f t="array" ref="F3267">IF(B3267=100,"Free",TEXT(XLOOKUP($D3267,OperationVoice!$A:$A,OperationVoice!AH:AH,XLOOKUP($D3267,OperationTickets!$A:$A,OperationTickets!AH:AH,"",0)),"hh:mm"))</f>
        <v>08:00</v>
      </c>
      <c r="G3267" s="309">
        <f t="shared" si="3"/>
        <v>0.7083333333</v>
      </c>
      <c r="H3267" s="316" t="str">
        <f t="array" ref="H3267">XLOOKUP(B3267,Roster!L:L,Roster!N:N,XLOOKUP(D3267,TicketsBreak!A:A,TicketsBreak!E:E,"",0),0)</f>
        <v>09:30 - 09:45</v>
      </c>
      <c r="I3267" s="316" t="str">
        <f t="array" ref="I3267">XLOOKUP(B3267,Roster!L:L,Roster!O:O,XLOOKUP(D3267,TicketsBreak!A:A,TicketsBreak!F:F,"",0),0)</f>
        <v>12:00 - 12:30</v>
      </c>
      <c r="J3267" s="316" t="str">
        <f t="array" ref="J3267">XLOOKUP(B3267,Roster!L:L,Roster!P:P,XLOOKUP(D3267,TicketsBreak!A:A,TicketsBreak!G:G,"",0),0)</f>
        <v>14:45 - 15:00</v>
      </c>
      <c r="K3267" s="310">
        <f t="shared" si="4"/>
        <v>46140</v>
      </c>
      <c r="L3267" s="317">
        <f t="array" ref="L3267">(XLOOKUP(D3267,Roster!F:F,Roster!D:D,"",0))</f>
        <v>1</v>
      </c>
      <c r="M3267" s="317" t="str">
        <f t="array" ref="M3267">XLOOKUP(D3267,Roster!F:F,Roster!E:E)</f>
        <v>Voice</v>
      </c>
      <c r="N3267" s="317" t="str">
        <f t="shared" ref="N3267:P3267" si="3312">LEFT(H3267,5)</f>
        <v>09:30</v>
      </c>
      <c r="O3267" s="317" t="str">
        <f t="shared" si="3312"/>
        <v>12:00</v>
      </c>
      <c r="P3267" s="317" t="str">
        <f t="shared" si="3312"/>
        <v>14:45</v>
      </c>
      <c r="Q3267" s="318">
        <f t="shared" si="3216"/>
        <v>46140.39583</v>
      </c>
      <c r="R3267" s="318">
        <f t="shared" si="3217"/>
        <v>46140.5</v>
      </c>
      <c r="S3267" s="318">
        <f t="shared" si="8"/>
        <v>46140.61458</v>
      </c>
    </row>
    <row r="3268">
      <c r="A3268" s="14" t="str">
        <f t="shared" si="1"/>
        <v>C150946140</v>
      </c>
      <c r="B3268" s="185">
        <f t="array" ref="B3268">IF(F3268="VL","",IF(F3268="Free","Free",XLOOKUP(D3268,Roster!T:T,Roster!S:S,"",0)))</f>
        <v>121</v>
      </c>
      <c r="C3268" s="313">
        <v>46140.0</v>
      </c>
      <c r="D3268" s="314" t="s">
        <v>37</v>
      </c>
      <c r="E3268" s="307" t="str">
        <f t="array" ref="E3268">(XLOOKUP(D3268,Roster!F:F,Roster!B:B,"",0))</f>
        <v>Jhonatan Gomez</v>
      </c>
      <c r="F3268" s="315" t="str">
        <f t="array" ref="F3268">IF(B3268=100,"Free",TEXT(XLOOKUP($D3268,OperationVoice!$A:$A,OperationVoice!AH:AH,XLOOKUP($D3268,OperationTickets!$A:$A,OperationTickets!AH:AH,"",0)),"hh:mm"))</f>
        <v>08:00</v>
      </c>
      <c r="G3268" s="309">
        <f t="shared" si="3"/>
        <v>0.7083333333</v>
      </c>
      <c r="H3268" s="316" t="str">
        <f t="array" ref="H3268">XLOOKUP(B3268,Roster!L:L,Roster!N:N,XLOOKUP(D3268,TicketsBreak!A:A,TicketsBreak!E:E,"",0),0)</f>
        <v>09:15 - 09:30</v>
      </c>
      <c r="I3268" s="316" t="str">
        <f t="array" ref="I3268">XLOOKUP(B3268,Roster!L:L,Roster!O:O,XLOOKUP(D3268,TicketsBreak!A:A,TicketsBreak!F:F,"",0),0)</f>
        <v>11:30 - 12:00</v>
      </c>
      <c r="J3268" s="316" t="str">
        <f t="array" ref="J3268">XLOOKUP(B3268,Roster!L:L,Roster!P:P,XLOOKUP(D3268,TicketsBreak!A:A,TicketsBreak!G:G,"",0),0)</f>
        <v>14:30 - 14:45</v>
      </c>
      <c r="K3268" s="310">
        <f t="shared" si="4"/>
        <v>46140</v>
      </c>
      <c r="L3268" s="317">
        <f t="array" ref="L3268">(XLOOKUP(D3268,Roster!F:F,Roster!D:D,"",0))</f>
        <v>35</v>
      </c>
      <c r="M3268" s="317" t="str">
        <f t="array" ref="M3268">XLOOKUP(D3268,Roster!F:F,Roster!E:E)</f>
        <v>Voice</v>
      </c>
      <c r="N3268" s="317" t="str">
        <f t="shared" ref="N3268:P3268" si="3313">LEFT(H3268,5)</f>
        <v>09:15</v>
      </c>
      <c r="O3268" s="317" t="str">
        <f t="shared" si="3313"/>
        <v>11:30</v>
      </c>
      <c r="P3268" s="317" t="str">
        <f t="shared" si="3313"/>
        <v>14:30</v>
      </c>
      <c r="Q3268" s="318">
        <f t="shared" si="3216"/>
        <v>46140.38542</v>
      </c>
      <c r="R3268" s="318">
        <f t="shared" si="3217"/>
        <v>46140.47917</v>
      </c>
      <c r="S3268" s="318">
        <f t="shared" si="8"/>
        <v>46140.60417</v>
      </c>
    </row>
    <row r="3269">
      <c r="A3269" s="14" t="str">
        <f t="shared" si="1"/>
        <v>C151546140</v>
      </c>
      <c r="B3269" s="185">
        <f t="array" ref="B3269">IF(F3269="VL","",IF(F3269="Free","Free",XLOOKUP(D3269,Roster!T:T,Roster!S:S,"",0)))</f>
        <v>151</v>
      </c>
      <c r="C3269" s="313">
        <v>46140.0</v>
      </c>
      <c r="D3269" s="314" t="s">
        <v>38</v>
      </c>
      <c r="E3269" s="307" t="str">
        <f t="array" ref="E3269">(XLOOKUP(D3269,Roster!F:F,Roster!B:B,"",0))</f>
        <v>Joan Perez</v>
      </c>
      <c r="F3269" s="315" t="str">
        <f t="array" ref="F3269">IF(B3269=100,"Free",TEXT(XLOOKUP($D3269,OperationVoice!$A:$A,OperationVoice!AH:AH,XLOOKUP($D3269,OperationTickets!$A:$A,OperationTickets!AH:AH,"",0)),"hh:mm"))</f>
        <v/>
      </c>
      <c r="G3269" s="309" t="str">
        <f t="shared" si="3"/>
        <v/>
      </c>
      <c r="H3269" s="316" t="str">
        <f t="array" ref="H3269">XLOOKUP(B3269,Roster!L:L,Roster!N:N,XLOOKUP(D3269,TicketsBreak!A:A,TicketsBreak!E:E,"",0),0)</f>
        <v>12:15 - 12:30</v>
      </c>
      <c r="I3269" s="316" t="str">
        <f t="array" ref="I3269">XLOOKUP(B3269,Roster!L:L,Roster!O:O,XLOOKUP(D3269,TicketsBreak!A:A,TicketsBreak!F:F,"",0),0)</f>
        <v>14:00 - 14:30</v>
      </c>
      <c r="J3269" s="316" t="str">
        <f t="array" ref="J3269">XLOOKUP(B3269,Roster!L:L,Roster!P:P,XLOOKUP(D3269,TicketsBreak!A:A,TicketsBreak!G:G,"",0),0)</f>
        <v>17:15 - 17:30</v>
      </c>
      <c r="K3269" s="310">
        <f t="shared" si="4"/>
        <v>46140</v>
      </c>
      <c r="L3269" s="317">
        <f t="array" ref="L3269">(XLOOKUP(D3269,Roster!F:F,Roster!D:D,"",0))</f>
        <v>35</v>
      </c>
      <c r="M3269" s="317" t="str">
        <f t="array" ref="M3269">XLOOKUP(D3269,Roster!F:F,Roster!E:E)</f>
        <v>Voice</v>
      </c>
      <c r="N3269" s="317" t="str">
        <f t="shared" ref="N3269:P3269" si="3314">LEFT(H3269,5)</f>
        <v>12:15</v>
      </c>
      <c r="O3269" s="317" t="str">
        <f t="shared" si="3314"/>
        <v>14:00</v>
      </c>
      <c r="P3269" s="317" t="str">
        <f t="shared" si="3314"/>
        <v>17:15</v>
      </c>
      <c r="Q3269" s="318">
        <f t="shared" si="3216"/>
        <v>46140.51042</v>
      </c>
      <c r="R3269" s="318">
        <f t="shared" si="3217"/>
        <v>46140.58333</v>
      </c>
      <c r="S3269" s="318">
        <f t="shared" si="8"/>
        <v>46140.71875</v>
      </c>
    </row>
    <row r="3270">
      <c r="A3270" s="14" t="str">
        <f t="shared" si="1"/>
        <v>C128946140</v>
      </c>
      <c r="B3270" s="185" t="str">
        <f t="array" ref="B3270">IF(F3270="VL","",IF(F3270="Free","Free",XLOOKUP(D3270,Roster!T:T,Roster!S:S,"",0)))</f>
        <v/>
      </c>
      <c r="C3270" s="313">
        <v>46140.0</v>
      </c>
      <c r="D3270" s="314" t="s">
        <v>140</v>
      </c>
      <c r="E3270" s="307" t="str">
        <f t="array" ref="E3270">(XLOOKUP(D3270,Roster!F:F,Roster!B:B,"",0))</f>
        <v>Johana Villarreal</v>
      </c>
      <c r="F3270" s="315" t="str">
        <f t="array" ref="F3270">IF(B3270=100,"Free",TEXT(XLOOKUP($D3270,OperationVoice!$A:$A,OperationVoice!AH:AH,XLOOKUP($D3270,OperationTickets!$A:$A,OperationTickets!AH:AH,"",0)),"hh:mm"))</f>
        <v>07:00</v>
      </c>
      <c r="G3270" s="309">
        <f t="shared" si="3"/>
        <v>0.6666666667</v>
      </c>
      <c r="H3270" s="316" t="str">
        <f t="array" ref="H3270">XLOOKUP(B3270,Roster!L:L,Roster!N:N,XLOOKUP(D3270,TicketsBreak!A:A,TicketsBreak!E:E,"",0),0)</f>
        <v/>
      </c>
      <c r="I3270" s="316" t="str">
        <f t="array" ref="I3270">XLOOKUP(B3270,Roster!L:L,Roster!O:O,XLOOKUP(D3270,TicketsBreak!A:A,TicketsBreak!F:F,"",0),0)</f>
        <v/>
      </c>
      <c r="J3270" s="316" t="str">
        <f t="array" ref="J3270">XLOOKUP(B3270,Roster!L:L,Roster!P:P,XLOOKUP(D3270,TicketsBreak!A:A,TicketsBreak!G:G,"",0),0)</f>
        <v/>
      </c>
      <c r="K3270" s="310">
        <f t="shared" si="4"/>
        <v>46140</v>
      </c>
      <c r="L3270" s="317">
        <f t="array" ref="L3270">(XLOOKUP(D3270,Roster!F:F,Roster!D:D,"",0))</f>
        <v>28</v>
      </c>
      <c r="M3270" s="317" t="str">
        <f t="array" ref="M3270">XLOOKUP(D3270,Roster!F:F,Roster!E:E)</f>
        <v>Tickets</v>
      </c>
      <c r="N3270" s="317" t="str">
        <f t="shared" ref="N3270:P3270" si="3315">LEFT(H3270,5)</f>
        <v/>
      </c>
      <c r="O3270" s="317" t="str">
        <f t="shared" si="3315"/>
        <v/>
      </c>
      <c r="P3270" s="317" t="str">
        <f t="shared" si="3315"/>
        <v/>
      </c>
      <c r="Q3270" s="318" t="str">
        <f t="shared" si="3216"/>
        <v/>
      </c>
      <c r="R3270" s="318" t="str">
        <f t="shared" si="3217"/>
        <v/>
      </c>
      <c r="S3270" s="318" t="str">
        <f t="shared" si="8"/>
        <v/>
      </c>
    </row>
    <row r="3271">
      <c r="A3271" s="14" t="str">
        <f t="shared" si="1"/>
        <v>C155146140</v>
      </c>
      <c r="B3271" s="185">
        <f t="array" ref="B3271">IF(F3271="VL","",IF(F3271="Free","Free",XLOOKUP(D3271,Roster!T:T,Roster!S:S,"",0)))</f>
        <v>124</v>
      </c>
      <c r="C3271" s="313">
        <v>46140.0</v>
      </c>
      <c r="D3271" s="314" t="s">
        <v>39</v>
      </c>
      <c r="E3271" s="307" t="str">
        <f t="array" ref="E3271">(XLOOKUP(D3271,Roster!F:F,Roster!B:B,"",0))</f>
        <v>John Atilano</v>
      </c>
      <c r="F3271" s="315" t="str">
        <f t="array" ref="F3271">IF(B3271=100,"Free",TEXT(XLOOKUP($D3271,OperationVoice!$A:$A,OperationVoice!AH:AH,XLOOKUP($D3271,OperationTickets!$A:$A,OperationTickets!AH:AH,"",0)),"hh:mm"))</f>
        <v>08:00</v>
      </c>
      <c r="G3271" s="309">
        <f t="shared" si="3"/>
        <v>0.7083333333</v>
      </c>
      <c r="H3271" s="316" t="str">
        <f t="array" ref="H3271">XLOOKUP(B3271,Roster!L:L,Roster!N:N,XLOOKUP(D3271,TicketsBreak!A:A,TicketsBreak!E:E,"",0),0)</f>
        <v>10:00 - 10:15</v>
      </c>
      <c r="I3271" s="316" t="str">
        <f t="array" ref="I3271">XLOOKUP(B3271,Roster!L:L,Roster!O:O,XLOOKUP(D3271,TicketsBreak!A:A,TicketsBreak!F:F,"",0),0)</f>
        <v>13:00 - 13:30</v>
      </c>
      <c r="J3271" s="316" t="str">
        <f t="array" ref="J3271">XLOOKUP(B3271,Roster!L:L,Roster!P:P,XLOOKUP(D3271,TicketsBreak!A:A,TicketsBreak!G:G,"",0),0)</f>
        <v>15:30 - 15:45</v>
      </c>
      <c r="K3271" s="310">
        <f t="shared" si="4"/>
        <v>46140</v>
      </c>
      <c r="L3271" s="317">
        <f t="array" ref="L3271">(XLOOKUP(D3271,Roster!F:F,Roster!D:D,"",0))</f>
        <v>37</v>
      </c>
      <c r="M3271" s="317" t="str">
        <f t="array" ref="M3271">XLOOKUP(D3271,Roster!F:F,Roster!E:E)</f>
        <v>Voice</v>
      </c>
      <c r="N3271" s="317" t="str">
        <f t="shared" ref="N3271:P3271" si="3316">LEFT(H3271,5)</f>
        <v>10:00</v>
      </c>
      <c r="O3271" s="317" t="str">
        <f t="shared" si="3316"/>
        <v>13:00</v>
      </c>
      <c r="P3271" s="317" t="str">
        <f t="shared" si="3316"/>
        <v>15:30</v>
      </c>
      <c r="Q3271" s="318">
        <f t="shared" si="3216"/>
        <v>46140.41667</v>
      </c>
      <c r="R3271" s="318">
        <f t="shared" si="3217"/>
        <v>46140.54167</v>
      </c>
      <c r="S3271" s="318">
        <f t="shared" si="8"/>
        <v>46140.64583</v>
      </c>
    </row>
    <row r="3272">
      <c r="A3272" s="14" t="str">
        <f t="shared" si="1"/>
        <v>C154346140</v>
      </c>
      <c r="B3272" s="185">
        <f t="array" ref="B3272">IF(F3272="VL","",IF(F3272="Free","Free",XLOOKUP(D3272,Roster!T:T,Roster!S:S,"",0)))</f>
        <v>134</v>
      </c>
      <c r="C3272" s="313">
        <v>46140.0</v>
      </c>
      <c r="D3272" s="314" t="s">
        <v>40</v>
      </c>
      <c r="E3272" s="307" t="str">
        <f t="array" ref="E3272">(XLOOKUP(D3272,Roster!F:F,Roster!B:B,"",0))</f>
        <v>John Palacio</v>
      </c>
      <c r="F3272" s="315" t="str">
        <f t="array" ref="F3272">IF(B3272=100,"Free",TEXT(XLOOKUP($D3272,OperationVoice!$A:$A,OperationVoice!AH:AH,XLOOKUP($D3272,OperationTickets!$A:$A,OperationTickets!AH:AH,"",0)),"hh:mm"))</f>
        <v>09:00</v>
      </c>
      <c r="G3272" s="309">
        <f t="shared" si="3"/>
        <v>0.75</v>
      </c>
      <c r="H3272" s="316" t="str">
        <f t="array" ref="H3272">XLOOKUP(B3272,Roster!L:L,Roster!N:N,XLOOKUP(D3272,TicketsBreak!A:A,TicketsBreak!E:E,"",0),0)</f>
        <v>11:00 - 11:15</v>
      </c>
      <c r="I3272" s="316" t="str">
        <f t="array" ref="I3272">XLOOKUP(B3272,Roster!L:L,Roster!O:O,XLOOKUP(D3272,TicketsBreak!A:A,TicketsBreak!F:F,"",0),0)</f>
        <v>13:45 - 14:15</v>
      </c>
      <c r="J3272" s="316" t="str">
        <f t="array" ref="J3272">XLOOKUP(B3272,Roster!L:L,Roster!P:P,XLOOKUP(D3272,TicketsBreak!A:A,TicketsBreak!G:G,"",0),0)</f>
        <v>16:00 - 16:15</v>
      </c>
      <c r="K3272" s="310">
        <f t="shared" si="4"/>
        <v>46140</v>
      </c>
      <c r="L3272" s="317">
        <f t="array" ref="L3272">(XLOOKUP(D3272,Roster!F:F,Roster!D:D,"",0))</f>
        <v>36</v>
      </c>
      <c r="M3272" s="317" t="str">
        <f t="array" ref="M3272">XLOOKUP(D3272,Roster!F:F,Roster!E:E)</f>
        <v>Voice</v>
      </c>
      <c r="N3272" s="317" t="str">
        <f t="shared" ref="N3272:P3272" si="3317">LEFT(H3272,5)</f>
        <v>11:00</v>
      </c>
      <c r="O3272" s="317" t="str">
        <f t="shared" si="3317"/>
        <v>13:45</v>
      </c>
      <c r="P3272" s="317" t="str">
        <f t="shared" si="3317"/>
        <v>16:00</v>
      </c>
      <c r="Q3272" s="318">
        <f t="shared" si="3216"/>
        <v>46140.45833</v>
      </c>
      <c r="R3272" s="318">
        <f t="shared" si="3217"/>
        <v>46140.57292</v>
      </c>
      <c r="S3272" s="318">
        <f t="shared" si="8"/>
        <v>46140.66667</v>
      </c>
    </row>
    <row r="3273">
      <c r="A3273" s="14" t="str">
        <f t="shared" si="1"/>
        <v>C154246140</v>
      </c>
      <c r="B3273" s="185">
        <f t="array" ref="B3273">IF(F3273="VL","",IF(F3273="Free","Free",XLOOKUP(D3273,Roster!T:T,Roster!S:S,"",0)))</f>
        <v>124</v>
      </c>
      <c r="C3273" s="313">
        <v>46140.0</v>
      </c>
      <c r="D3273" s="314" t="s">
        <v>41</v>
      </c>
      <c r="E3273" s="307" t="str">
        <f t="array" ref="E3273">(XLOOKUP(D3273,Roster!F:F,Roster!B:B,"",0))</f>
        <v>Johny Garcia</v>
      </c>
      <c r="F3273" s="315" t="str">
        <f t="array" ref="F3273">IF(B3273=100,"Free",TEXT(XLOOKUP($D3273,OperationVoice!$A:$A,OperationVoice!AH:AH,XLOOKUP($D3273,OperationTickets!$A:$A,OperationTickets!AH:AH,"",0)),"hh:mm"))</f>
        <v>08:00</v>
      </c>
      <c r="G3273" s="309">
        <f t="shared" si="3"/>
        <v>0.7083333333</v>
      </c>
      <c r="H3273" s="316" t="str">
        <f t="array" ref="H3273">XLOOKUP(B3273,Roster!L:L,Roster!N:N,XLOOKUP(D3273,TicketsBreak!A:A,TicketsBreak!E:E,"",0),0)</f>
        <v>10:00 - 10:15</v>
      </c>
      <c r="I3273" s="316" t="str">
        <f t="array" ref="I3273">XLOOKUP(B3273,Roster!L:L,Roster!O:O,XLOOKUP(D3273,TicketsBreak!A:A,TicketsBreak!F:F,"",0),0)</f>
        <v>13:00 - 13:30</v>
      </c>
      <c r="J3273" s="316" t="str">
        <f t="array" ref="J3273">XLOOKUP(B3273,Roster!L:L,Roster!P:P,XLOOKUP(D3273,TicketsBreak!A:A,TicketsBreak!G:G,"",0),0)</f>
        <v>15:30 - 15:45</v>
      </c>
      <c r="K3273" s="310">
        <f t="shared" si="4"/>
        <v>46140</v>
      </c>
      <c r="L3273" s="317">
        <f t="array" ref="L3273">(XLOOKUP(D3273,Roster!F:F,Roster!D:D,"",0))</f>
        <v>36</v>
      </c>
      <c r="M3273" s="317" t="str">
        <f t="array" ref="M3273">XLOOKUP(D3273,Roster!F:F,Roster!E:E)</f>
        <v>Voice</v>
      </c>
      <c r="N3273" s="317" t="str">
        <f t="shared" ref="N3273:P3273" si="3318">LEFT(H3273,5)</f>
        <v>10:00</v>
      </c>
      <c r="O3273" s="317" t="str">
        <f t="shared" si="3318"/>
        <v>13:00</v>
      </c>
      <c r="P3273" s="317" t="str">
        <f t="shared" si="3318"/>
        <v>15:30</v>
      </c>
      <c r="Q3273" s="318">
        <f t="shared" si="3216"/>
        <v>46140.41667</v>
      </c>
      <c r="R3273" s="318">
        <f t="shared" si="3217"/>
        <v>46140.54167</v>
      </c>
      <c r="S3273" s="318">
        <f t="shared" si="8"/>
        <v>46140.64583</v>
      </c>
    </row>
    <row r="3274">
      <c r="A3274" s="14" t="str">
        <f t="shared" si="1"/>
        <v>C156946140</v>
      </c>
      <c r="B3274" s="185">
        <f t="array" ref="B3274">IF(F3274="VL","",IF(F3274="Free","Free",XLOOKUP(D3274,Roster!T:T,Roster!S:S,"",0)))</f>
        <v>121</v>
      </c>
      <c r="C3274" s="313">
        <v>46140.0</v>
      </c>
      <c r="D3274" s="314" t="s">
        <v>42</v>
      </c>
      <c r="E3274" s="307" t="str">
        <f t="array" ref="E3274">(XLOOKUP(D3274,Roster!F:F,Roster!B:B,"",0))</f>
        <v>Jorge Orozco</v>
      </c>
      <c r="F3274" s="315" t="str">
        <f t="array" ref="F3274">IF(B3274=100,"Free",TEXT(XLOOKUP($D3274,OperationVoice!$A:$A,OperationVoice!AH:AH,XLOOKUP($D3274,OperationTickets!$A:$A,OperationTickets!AH:AH,"",0)),"hh:mm"))</f>
        <v>08:00</v>
      </c>
      <c r="G3274" s="309">
        <f t="shared" si="3"/>
        <v>0.7083333333</v>
      </c>
      <c r="H3274" s="316" t="str">
        <f t="array" ref="H3274">XLOOKUP(B3274,Roster!L:L,Roster!N:N,XLOOKUP(D3274,TicketsBreak!A:A,TicketsBreak!E:E,"",0),0)</f>
        <v>09:15 - 09:30</v>
      </c>
      <c r="I3274" s="316" t="str">
        <f t="array" ref="I3274">XLOOKUP(B3274,Roster!L:L,Roster!O:O,XLOOKUP(D3274,TicketsBreak!A:A,TicketsBreak!F:F,"",0),0)</f>
        <v>11:30 - 12:00</v>
      </c>
      <c r="J3274" s="316" t="str">
        <f t="array" ref="J3274">XLOOKUP(B3274,Roster!L:L,Roster!P:P,XLOOKUP(D3274,TicketsBreak!A:A,TicketsBreak!G:G,"",0),0)</f>
        <v>14:30 - 14:45</v>
      </c>
      <c r="K3274" s="310">
        <f t="shared" si="4"/>
        <v>46140</v>
      </c>
      <c r="L3274" s="317">
        <f t="array" ref="L3274">(XLOOKUP(D3274,Roster!F:F,Roster!D:D,"",0))</f>
        <v>38</v>
      </c>
      <c r="M3274" s="317" t="str">
        <f t="array" ref="M3274">XLOOKUP(D3274,Roster!F:F,Roster!E:E)</f>
        <v>Voice</v>
      </c>
      <c r="N3274" s="317" t="str">
        <f t="shared" ref="N3274:P3274" si="3319">LEFT(H3274,5)</f>
        <v>09:15</v>
      </c>
      <c r="O3274" s="317" t="str">
        <f t="shared" si="3319"/>
        <v>11:30</v>
      </c>
      <c r="P3274" s="317" t="str">
        <f t="shared" si="3319"/>
        <v>14:30</v>
      </c>
      <c r="Q3274" s="318">
        <f t="shared" si="3216"/>
        <v>46140.38542</v>
      </c>
      <c r="R3274" s="318">
        <f t="shared" si="3217"/>
        <v>46140.47917</v>
      </c>
      <c r="S3274" s="318">
        <f t="shared" si="8"/>
        <v>46140.60417</v>
      </c>
    </row>
    <row r="3275">
      <c r="A3275" s="14" t="str">
        <f t="shared" si="1"/>
        <v>C102746140</v>
      </c>
      <c r="B3275" s="185" t="str">
        <f t="array" ref="B3275">IF(F3275="VL","",IF(F3275="Free","Free",XLOOKUP(D3275,Roster!T:T,Roster!S:S,"",0)))</f>
        <v/>
      </c>
      <c r="C3275" s="313">
        <v>46140.0</v>
      </c>
      <c r="D3275" s="314" t="s">
        <v>160</v>
      </c>
      <c r="E3275" s="307" t="str">
        <f t="array" ref="E3275">(XLOOKUP(D3275,Roster!F:F,Roster!B:B,"",0))</f>
        <v>Jose Perez</v>
      </c>
      <c r="F3275" s="315" t="str">
        <f t="array" ref="F3275">IF(B3275=100,"Free",TEXT(XLOOKUP($D3275,OperationVoice!$A:$A,OperationVoice!AH:AH,XLOOKUP($D3275,OperationTickets!$A:$A,OperationTickets!AH:AH,"",0)),"hh:mm"))</f>
        <v>06:00</v>
      </c>
      <c r="G3275" s="309">
        <f t="shared" si="3"/>
        <v>0.625</v>
      </c>
      <c r="H3275" s="316">
        <f t="array" ref="H3275">XLOOKUP(B3275,Roster!L:L,Roster!N:N,XLOOKUP(D3275,TicketsBreak!A:A,TicketsBreak!E:E,"",0),0)</f>
        <v>0.4166666667</v>
      </c>
      <c r="I3275" s="316">
        <f t="array" ref="I3275">XLOOKUP(B3275,Roster!L:L,Roster!O:O,XLOOKUP(D3275,TicketsBreak!A:A,TicketsBreak!F:F,"",0),0)</f>
        <v>0.5208333333</v>
      </c>
      <c r="J3275" s="316">
        <f t="array" ref="J3275">XLOOKUP(B3275,Roster!L:L,Roster!P:P,XLOOKUP(D3275,TicketsBreak!A:A,TicketsBreak!G:G,"",0),0)</f>
        <v>0.6354166667</v>
      </c>
      <c r="K3275" s="310">
        <f t="shared" si="4"/>
        <v>46140</v>
      </c>
      <c r="L3275" s="317">
        <f t="array" ref="L3275">(XLOOKUP(D3275,Roster!F:F,Roster!D:D,"",0))</f>
        <v>15</v>
      </c>
      <c r="M3275" s="317" t="str">
        <f t="array" ref="M3275">XLOOKUP(D3275,Roster!F:F,Roster!E:E)</f>
        <v>Tickets</v>
      </c>
      <c r="N3275" s="317" t="str">
        <f t="shared" ref="N3275:P3275" si="3320">LEFT(H3275,5)</f>
        <v>10:00</v>
      </c>
      <c r="O3275" s="317" t="str">
        <f t="shared" si="3320"/>
        <v>12:30</v>
      </c>
      <c r="P3275" s="317" t="str">
        <f t="shared" si="3320"/>
        <v>15:15</v>
      </c>
      <c r="Q3275" s="318">
        <f t="shared" si="3216"/>
        <v>46140.41667</v>
      </c>
      <c r="R3275" s="318">
        <f t="shared" si="3217"/>
        <v>46140.52083</v>
      </c>
      <c r="S3275" s="318">
        <f t="shared" si="8"/>
        <v>46140.63542</v>
      </c>
    </row>
    <row r="3276">
      <c r="A3276" s="14" t="str">
        <f t="shared" si="1"/>
        <v>C142646140</v>
      </c>
      <c r="B3276" s="185">
        <f t="array" ref="B3276">IF(F3276="VL","",IF(F3276="Free","Free",XLOOKUP(D3276,Roster!T:T,Roster!S:S,"",0)))</f>
        <v>123</v>
      </c>
      <c r="C3276" s="313">
        <v>46140.0</v>
      </c>
      <c r="D3276" s="314" t="s">
        <v>161</v>
      </c>
      <c r="E3276" s="307" t="str">
        <f t="array" ref="E3276">(XLOOKUP(D3276,Roster!F:F,Roster!B:B,"",0))</f>
        <v>Jose Zapata</v>
      </c>
      <c r="F3276" s="315" t="str">
        <f t="array" ref="F3276">IF(B3276=100,"Free",TEXT(XLOOKUP($D3276,OperationVoice!$A:$A,OperationVoice!AH:AH,XLOOKUP($D3276,OperationTickets!$A:$A,OperationTickets!AH:AH,"",0)),"hh:mm"))</f>
        <v>08:00</v>
      </c>
      <c r="G3276" s="309">
        <f t="shared" si="3"/>
        <v>0.7083333333</v>
      </c>
      <c r="H3276" s="316" t="str">
        <f t="array" ref="H3276">XLOOKUP(B3276,Roster!L:L,Roster!N:N,XLOOKUP(D3276,TicketsBreak!A:A,TicketsBreak!E:E,"",0),0)</f>
        <v>09:45 - 10:00 </v>
      </c>
      <c r="I3276" s="316" t="str">
        <f t="array" ref="I3276">XLOOKUP(B3276,Roster!L:L,Roster!O:O,XLOOKUP(D3276,TicketsBreak!A:A,TicketsBreak!F:F,"",0),0)</f>
        <v>12:30 - 13:00</v>
      </c>
      <c r="J3276" s="316" t="str">
        <f t="array" ref="J3276">XLOOKUP(B3276,Roster!L:L,Roster!P:P,XLOOKUP(D3276,TicketsBreak!A:A,TicketsBreak!G:G,"",0),0)</f>
        <v>15:00 - 15:15</v>
      </c>
      <c r="K3276" s="310">
        <f t="shared" si="4"/>
        <v>46140</v>
      </c>
      <c r="L3276" s="317">
        <f t="array" ref="L3276">(XLOOKUP(D3276,Roster!F:F,Roster!D:D,"",0))</f>
        <v>32</v>
      </c>
      <c r="M3276" s="317" t="str">
        <f t="array" ref="M3276">XLOOKUP(D3276,Roster!F:F,Roster!E:E)</f>
        <v>Tickets</v>
      </c>
      <c r="N3276" s="317" t="str">
        <f t="shared" ref="N3276:P3276" si="3321">LEFT(H3276,5)</f>
        <v>09:45</v>
      </c>
      <c r="O3276" s="317" t="str">
        <f t="shared" si="3321"/>
        <v>12:30</v>
      </c>
      <c r="P3276" s="317" t="str">
        <f t="shared" si="3321"/>
        <v>15:00</v>
      </c>
      <c r="Q3276" s="318">
        <f t="shared" si="3216"/>
        <v>46140.40625</v>
      </c>
      <c r="R3276" s="318">
        <f t="shared" si="3217"/>
        <v>46140.52083</v>
      </c>
      <c r="S3276" s="318">
        <f t="shared" si="8"/>
        <v>46140.625</v>
      </c>
    </row>
    <row r="3277">
      <c r="A3277" s="14" t="str">
        <f t="shared" si="1"/>
        <v>C153346140</v>
      </c>
      <c r="B3277" s="185">
        <f t="array" ref="B3277">IF(F3277="VL","",IF(F3277="Free","Free",XLOOKUP(D3277,Roster!T:T,Roster!S:S,"",0)))</f>
        <v>125</v>
      </c>
      <c r="C3277" s="313">
        <v>46140.0</v>
      </c>
      <c r="D3277" s="314" t="s">
        <v>43</v>
      </c>
      <c r="E3277" s="307" t="str">
        <f t="array" ref="E3277">(XLOOKUP(D3277,Roster!F:F,Roster!B:B,"",0))</f>
        <v>Juan Barrera</v>
      </c>
      <c r="F3277" s="315" t="str">
        <f t="array" ref="F3277">IF(B3277=100,"Free",TEXT(XLOOKUP($D3277,OperationVoice!$A:$A,OperationVoice!AH:AH,XLOOKUP($D3277,OperationTickets!$A:$A,OperationTickets!AH:AH,"",0)),"hh:mm"))</f>
        <v>08:00</v>
      </c>
      <c r="G3277" s="309">
        <f t="shared" si="3"/>
        <v>0.7083333333</v>
      </c>
      <c r="H3277" s="316" t="str">
        <f t="array" ref="H3277">XLOOKUP(B3277,Roster!L:L,Roster!N:N,XLOOKUP(D3277,TicketsBreak!A:A,TicketsBreak!E:E,"",0),0)</f>
        <v>10:30 - 10:45</v>
      </c>
      <c r="I3277" s="316" t="str">
        <f t="array" ref="I3277">XLOOKUP(B3277,Roster!L:L,Roster!O:O,XLOOKUP(D3277,TicketsBreak!A:A,TicketsBreak!F:F,"",0),0)</f>
        <v>13:30 - 14:00</v>
      </c>
      <c r="J3277" s="316" t="str">
        <f t="array" ref="J3277">XLOOKUP(B3277,Roster!L:L,Roster!P:P,XLOOKUP(D3277,TicketsBreak!A:A,TicketsBreak!G:G,"",0),0)</f>
        <v>15:45 - 16:00</v>
      </c>
      <c r="K3277" s="310">
        <f t="shared" si="4"/>
        <v>46140</v>
      </c>
      <c r="L3277" s="317">
        <f t="array" ref="L3277">(XLOOKUP(D3277,Roster!F:F,Roster!D:D,"",0))</f>
        <v>36</v>
      </c>
      <c r="M3277" s="317" t="str">
        <f t="array" ref="M3277">XLOOKUP(D3277,Roster!F:F,Roster!E:E)</f>
        <v>Voice</v>
      </c>
      <c r="N3277" s="317" t="str">
        <f t="shared" ref="N3277:P3277" si="3322">LEFT(H3277,5)</f>
        <v>10:30</v>
      </c>
      <c r="O3277" s="317" t="str">
        <f t="shared" si="3322"/>
        <v>13:30</v>
      </c>
      <c r="P3277" s="317" t="str">
        <f t="shared" si="3322"/>
        <v>15:45</v>
      </c>
      <c r="Q3277" s="318">
        <f t="shared" si="3216"/>
        <v>46140.4375</v>
      </c>
      <c r="R3277" s="318">
        <f t="shared" si="3217"/>
        <v>46140.5625</v>
      </c>
      <c r="S3277" s="318">
        <f t="shared" si="8"/>
        <v>46140.65625</v>
      </c>
    </row>
    <row r="3278">
      <c r="A3278" s="14" t="str">
        <f t="shared" si="1"/>
        <v>C146546140</v>
      </c>
      <c r="B3278" s="185">
        <f t="array" ref="B3278">IF(F3278="VL","",IF(F3278="Free","Free",XLOOKUP(D3278,Roster!T:T,Roster!S:S,"",0)))</f>
        <v>500</v>
      </c>
      <c r="C3278" s="313">
        <v>46140.0</v>
      </c>
      <c r="D3278" s="314" t="s">
        <v>44</v>
      </c>
      <c r="E3278" s="307" t="str">
        <f t="array" ref="E3278">(XLOOKUP(D3278,Roster!F:F,Roster!B:B,"",0))</f>
        <v>Juan Castilla</v>
      </c>
      <c r="F3278" s="315" t="str">
        <f t="array" ref="F3278">IF(B3278=100,"Free",TEXT(XLOOKUP($D3278,OperationVoice!$A:$A,OperationVoice!AH:AH,XLOOKUP($D3278,OperationTickets!$A:$A,OperationTickets!AH:AH,"",0)),"hh:mm"))</f>
        <v>08:00</v>
      </c>
      <c r="G3278" s="309">
        <f t="shared" si="3"/>
        <v>0.7083333333</v>
      </c>
      <c r="H3278" s="316" t="str">
        <f t="array" ref="H3278">XLOOKUP(B3278,Roster!L:L,Roster!N:N,XLOOKUP(D3278,TicketsBreak!A:A,TicketsBreak!E:E,"",0),0)</f>
        <v>Team Leader</v>
      </c>
      <c r="I3278" s="316" t="str">
        <f t="array" ref="I3278">XLOOKUP(B3278,Roster!L:L,Roster!O:O,XLOOKUP(D3278,TicketsBreak!A:A,TicketsBreak!F:F,"",0),0)</f>
        <v>Team Leader</v>
      </c>
      <c r="J3278" s="316" t="str">
        <f t="array" ref="J3278">XLOOKUP(B3278,Roster!L:L,Roster!P:P,XLOOKUP(D3278,TicketsBreak!A:A,TicketsBreak!G:G,"",0),0)</f>
        <v/>
      </c>
      <c r="K3278" s="310">
        <f t="shared" si="4"/>
        <v>46140</v>
      </c>
      <c r="L3278" s="317">
        <f t="array" ref="L3278">(XLOOKUP(D3278,Roster!F:F,Roster!D:D,"",0))</f>
        <v>33</v>
      </c>
      <c r="M3278" s="317" t="str">
        <f t="array" ref="M3278">XLOOKUP(D3278,Roster!F:F,Roster!E:E)</f>
        <v>Voice</v>
      </c>
      <c r="N3278" s="317" t="str">
        <f t="shared" ref="N3278:P3278" si="3323">LEFT(H3278,5)</f>
        <v>Team </v>
      </c>
      <c r="O3278" s="317" t="str">
        <f t="shared" si="3323"/>
        <v>Team </v>
      </c>
      <c r="P3278" s="317" t="str">
        <f t="shared" si="3323"/>
        <v/>
      </c>
      <c r="Q3278" s="318" t="str">
        <f t="shared" si="3216"/>
        <v>#VALUE!</v>
      </c>
      <c r="R3278" s="318" t="str">
        <f t="shared" si="3217"/>
        <v>#VALUE!</v>
      </c>
      <c r="S3278" s="318" t="str">
        <f t="shared" si="8"/>
        <v/>
      </c>
    </row>
    <row r="3279">
      <c r="A3279" s="14" t="str">
        <f t="shared" si="1"/>
        <v>C72046140</v>
      </c>
      <c r="B3279" s="185" t="str">
        <f t="array" ref="B3279">IF(F3279="VL","",IF(F3279="Free","Free",XLOOKUP(D3279,Roster!T:T,Roster!S:S,"",0)))</f>
        <v/>
      </c>
      <c r="C3279" s="313">
        <v>46140.0</v>
      </c>
      <c r="D3279" s="314" t="s">
        <v>162</v>
      </c>
      <c r="E3279" s="307" t="str">
        <f t="array" ref="E3279">(XLOOKUP(D3279,Roster!F:F,Roster!B:B,"",0))</f>
        <v>Juan Durango</v>
      </c>
      <c r="F3279" s="315" t="str">
        <f t="array" ref="F3279">IF(B3279=100,"Free",TEXT(XLOOKUP($D3279,OperationVoice!$A:$A,OperationVoice!AH:AH,XLOOKUP($D3279,OperationTickets!$A:$A,OperationTickets!AH:AH,"",0)),"hh:mm"))</f>
        <v>08:00</v>
      </c>
      <c r="G3279" s="309">
        <f t="shared" si="3"/>
        <v>0.7083333333</v>
      </c>
      <c r="H3279" s="316">
        <f t="array" ref="H3279">XLOOKUP(B3279,Roster!L:L,Roster!N:N,XLOOKUP(D3279,TicketsBreak!A:A,TicketsBreak!E:E,"",0),0)</f>
        <v>0.40625</v>
      </c>
      <c r="I3279" s="316">
        <f t="array" ref="I3279">XLOOKUP(B3279,Roster!L:L,Roster!O:O,XLOOKUP(D3279,TicketsBreak!A:A,TicketsBreak!F:F,"",0),0)</f>
        <v>0.5729166667</v>
      </c>
      <c r="J3279" s="316">
        <f t="array" ref="J3279">XLOOKUP(B3279,Roster!L:L,Roster!P:P,XLOOKUP(D3279,TicketsBreak!A:A,TicketsBreak!G:G,"",0),0)</f>
        <v>0.65625</v>
      </c>
      <c r="K3279" s="310">
        <f t="shared" si="4"/>
        <v>46140</v>
      </c>
      <c r="L3279" s="317">
        <f t="array" ref="L3279">(XLOOKUP(D3279,Roster!F:F,Roster!D:D,"",0))</f>
        <v>7</v>
      </c>
      <c r="M3279" s="317" t="str">
        <f t="array" ref="M3279">XLOOKUP(D3279,Roster!F:F,Roster!E:E)</f>
        <v>Tickets</v>
      </c>
      <c r="N3279" s="317" t="str">
        <f t="shared" ref="N3279:P3279" si="3324">LEFT(H3279,5)</f>
        <v>09:45</v>
      </c>
      <c r="O3279" s="317" t="str">
        <f t="shared" si="3324"/>
        <v>13:45</v>
      </c>
      <c r="P3279" s="317" t="str">
        <f t="shared" si="3324"/>
        <v>15:45</v>
      </c>
      <c r="Q3279" s="318">
        <f t="shared" si="3216"/>
        <v>46140.40625</v>
      </c>
      <c r="R3279" s="318">
        <f t="shared" si="3217"/>
        <v>46140.57292</v>
      </c>
      <c r="S3279" s="318">
        <f t="shared" si="8"/>
        <v>46140.65625</v>
      </c>
    </row>
    <row r="3280">
      <c r="A3280" s="14" t="str">
        <f t="shared" si="1"/>
        <v>C59846140</v>
      </c>
      <c r="B3280" s="185" t="str">
        <f t="array" ref="B3280">IF(F3280="VL","",IF(F3280="Free","Free",XLOOKUP(D3280,Roster!T:T,Roster!S:S,"",0)))</f>
        <v/>
      </c>
      <c r="C3280" s="313">
        <v>46140.0</v>
      </c>
      <c r="D3280" s="314" t="s">
        <v>314</v>
      </c>
      <c r="E3280" s="307" t="str">
        <f t="array" ref="E3280">(XLOOKUP(D3280,Roster!F:F,Roster!B:B,"",0))</f>
        <v>Juan Fonnegra</v>
      </c>
      <c r="F3280" s="315" t="str">
        <f t="array" ref="F3280">IF(B3280=100,"Free",TEXT(XLOOKUP($D3280,OperationVoice!$A:$A,OperationVoice!AH:AH,XLOOKUP($D3280,OperationTickets!$A:$A,OperationTickets!AH:AH,"",0)),"hh:mm"))</f>
        <v/>
      </c>
      <c r="G3280" s="309" t="str">
        <f t="shared" si="3"/>
        <v/>
      </c>
      <c r="H3280" s="316">
        <f t="array" ref="H3280">XLOOKUP(B3280,Roster!L:L,Roster!N:N,XLOOKUP(D3280,TicketsBreak!A:A,TicketsBreak!E:E,"",0),0)</f>
        <v>0.4166666667</v>
      </c>
      <c r="I3280" s="316">
        <f t="array" ref="I3280">XLOOKUP(B3280,Roster!L:L,Roster!O:O,XLOOKUP(D3280,TicketsBreak!A:A,TicketsBreak!F:F,"",0),0)</f>
        <v>0.5208333333</v>
      </c>
      <c r="J3280" s="316">
        <f t="array" ref="J3280">XLOOKUP(B3280,Roster!L:L,Roster!P:P,XLOOKUP(D3280,TicketsBreak!A:A,TicketsBreak!G:G,"",0),0)</f>
        <v>0.65625</v>
      </c>
      <c r="K3280" s="310">
        <f t="shared" si="4"/>
        <v>46140</v>
      </c>
      <c r="L3280" s="317">
        <f t="array" ref="L3280">(XLOOKUP(D3280,Roster!F:F,Roster!D:D,"",0))</f>
        <v>1</v>
      </c>
      <c r="M3280" s="317" t="str">
        <f t="array" ref="M3280">XLOOKUP(D3280,Roster!F:F,Roster!E:E)</f>
        <v>Tickets</v>
      </c>
      <c r="N3280" s="317" t="str">
        <f t="shared" ref="N3280:P3280" si="3325">LEFT(H3280,5)</f>
        <v>10:00</v>
      </c>
      <c r="O3280" s="317" t="str">
        <f t="shared" si="3325"/>
        <v>12:30</v>
      </c>
      <c r="P3280" s="317" t="str">
        <f t="shared" si="3325"/>
        <v>15:45</v>
      </c>
      <c r="Q3280" s="318">
        <f t="shared" si="3216"/>
        <v>46140.41667</v>
      </c>
      <c r="R3280" s="318">
        <f t="shared" si="3217"/>
        <v>46140.52083</v>
      </c>
      <c r="S3280" s="318">
        <f t="shared" si="8"/>
        <v>46140.65625</v>
      </c>
    </row>
    <row r="3281">
      <c r="A3281" s="14" t="str">
        <f t="shared" si="1"/>
        <v>C113946140</v>
      </c>
      <c r="B3281" s="185">
        <f t="array" ref="B3281">IF(F3281="VL","",IF(F3281="Free","Free",XLOOKUP(D3281,Roster!T:T,Roster!S:S,"",0)))</f>
        <v>125</v>
      </c>
      <c r="C3281" s="313">
        <v>46140.0</v>
      </c>
      <c r="D3281" s="314" t="s">
        <v>45</v>
      </c>
      <c r="E3281" s="307" t="str">
        <f t="array" ref="E3281">(XLOOKUP(D3281,Roster!F:F,Roster!B:B,"",0))</f>
        <v>Juan Largacha</v>
      </c>
      <c r="F3281" s="315" t="str">
        <f t="array" ref="F3281">IF(B3281=100,"Free",TEXT(XLOOKUP($D3281,OperationVoice!$A:$A,OperationVoice!AH:AH,XLOOKUP($D3281,OperationTickets!$A:$A,OperationTickets!AH:AH,"",0)),"hh:mm"))</f>
        <v>08:00</v>
      </c>
      <c r="G3281" s="309">
        <f t="shared" si="3"/>
        <v>0.7083333333</v>
      </c>
      <c r="H3281" s="316" t="str">
        <f t="array" ref="H3281">XLOOKUP(B3281,Roster!L:L,Roster!N:N,XLOOKUP(D3281,TicketsBreak!A:A,TicketsBreak!E:E,"",0),0)</f>
        <v>10:30 - 10:45</v>
      </c>
      <c r="I3281" s="316" t="str">
        <f t="array" ref="I3281">XLOOKUP(B3281,Roster!L:L,Roster!O:O,XLOOKUP(D3281,TicketsBreak!A:A,TicketsBreak!F:F,"",0),0)</f>
        <v>13:30 - 14:00</v>
      </c>
      <c r="J3281" s="316" t="str">
        <f t="array" ref="J3281">XLOOKUP(B3281,Roster!L:L,Roster!P:P,XLOOKUP(D3281,TicketsBreak!A:A,TicketsBreak!G:G,"",0),0)</f>
        <v>15:45 - 16:00</v>
      </c>
      <c r="K3281" s="310">
        <f t="shared" si="4"/>
        <v>46140</v>
      </c>
      <c r="L3281" s="317">
        <f t="array" ref="L3281">(XLOOKUP(D3281,Roster!F:F,Roster!D:D,"",0))</f>
        <v>22</v>
      </c>
      <c r="M3281" s="317" t="str">
        <f t="array" ref="M3281">XLOOKUP(D3281,Roster!F:F,Roster!E:E)</f>
        <v>Voice</v>
      </c>
      <c r="N3281" s="317" t="str">
        <f t="shared" ref="N3281:P3281" si="3326">LEFT(H3281,5)</f>
        <v>10:30</v>
      </c>
      <c r="O3281" s="317" t="str">
        <f t="shared" si="3326"/>
        <v>13:30</v>
      </c>
      <c r="P3281" s="317" t="str">
        <f t="shared" si="3326"/>
        <v>15:45</v>
      </c>
      <c r="Q3281" s="318">
        <f t="shared" si="3216"/>
        <v>46140.4375</v>
      </c>
      <c r="R3281" s="318">
        <f t="shared" si="3217"/>
        <v>46140.5625</v>
      </c>
      <c r="S3281" s="318">
        <f t="shared" si="8"/>
        <v>46140.65625</v>
      </c>
    </row>
    <row r="3282">
      <c r="A3282" s="14" t="str">
        <f t="shared" si="1"/>
        <v>C156646140</v>
      </c>
      <c r="B3282" s="185">
        <f t="array" ref="B3282">IF(F3282="VL","",IF(F3282="Free","Free",XLOOKUP(D3282,Roster!T:T,Roster!S:S,"",0)))</f>
        <v>124</v>
      </c>
      <c r="C3282" s="313">
        <v>46140.0</v>
      </c>
      <c r="D3282" s="314" t="s">
        <v>46</v>
      </c>
      <c r="E3282" s="307" t="str">
        <f t="array" ref="E3282">(XLOOKUP(D3282,Roster!F:F,Roster!B:B,"",0))</f>
        <v>Juan Ocampo</v>
      </c>
      <c r="F3282" s="315" t="str">
        <f t="array" ref="F3282">IF(B3282=100,"Free",TEXT(XLOOKUP($D3282,OperationVoice!$A:$A,OperationVoice!AH:AH,XLOOKUP($D3282,OperationTickets!$A:$A,OperationTickets!AH:AH,"",0)),"hh:mm"))</f>
        <v>08:00</v>
      </c>
      <c r="G3282" s="309">
        <f t="shared" si="3"/>
        <v>0.7083333333</v>
      </c>
      <c r="H3282" s="316" t="str">
        <f t="array" ref="H3282">XLOOKUP(B3282,Roster!L:L,Roster!N:N,XLOOKUP(D3282,TicketsBreak!A:A,TicketsBreak!E:E,"",0),0)</f>
        <v>10:00 - 10:15</v>
      </c>
      <c r="I3282" s="316" t="str">
        <f t="array" ref="I3282">XLOOKUP(B3282,Roster!L:L,Roster!O:O,XLOOKUP(D3282,TicketsBreak!A:A,TicketsBreak!F:F,"",0),0)</f>
        <v>13:00 - 13:30</v>
      </c>
      <c r="J3282" s="316" t="str">
        <f t="array" ref="J3282">XLOOKUP(B3282,Roster!L:L,Roster!P:P,XLOOKUP(D3282,TicketsBreak!A:A,TicketsBreak!G:G,"",0),0)</f>
        <v>15:30 - 15:45</v>
      </c>
      <c r="K3282" s="310">
        <f t="shared" si="4"/>
        <v>46140</v>
      </c>
      <c r="L3282" s="317">
        <f t="array" ref="L3282">(XLOOKUP(D3282,Roster!F:F,Roster!D:D,"",0))</f>
        <v>38</v>
      </c>
      <c r="M3282" s="317" t="str">
        <f t="array" ref="M3282">XLOOKUP(D3282,Roster!F:F,Roster!E:E)</f>
        <v>Voice</v>
      </c>
      <c r="N3282" s="317" t="str">
        <f t="shared" ref="N3282:P3282" si="3327">LEFT(H3282,5)</f>
        <v>10:00</v>
      </c>
      <c r="O3282" s="317" t="str">
        <f t="shared" si="3327"/>
        <v>13:00</v>
      </c>
      <c r="P3282" s="317" t="str">
        <f t="shared" si="3327"/>
        <v>15:30</v>
      </c>
      <c r="Q3282" s="318">
        <f t="shared" si="3216"/>
        <v>46140.41667</v>
      </c>
      <c r="R3282" s="318">
        <f t="shared" si="3217"/>
        <v>46140.54167</v>
      </c>
      <c r="S3282" s="318">
        <f t="shared" si="8"/>
        <v>46140.64583</v>
      </c>
    </row>
    <row r="3283">
      <c r="A3283" s="14" t="str">
        <f t="shared" si="1"/>
        <v>C148446140</v>
      </c>
      <c r="B3283" s="185">
        <f t="array" ref="B3283">IF(F3283="VL","",IF(F3283="Free","Free",XLOOKUP(D3283,Roster!T:T,Roster!S:S,"",0)))</f>
        <v>126</v>
      </c>
      <c r="C3283" s="313">
        <v>46140.0</v>
      </c>
      <c r="D3283" s="314" t="s">
        <v>141</v>
      </c>
      <c r="E3283" s="307" t="str">
        <f t="array" ref="E3283">(XLOOKUP(D3283,Roster!F:F,Roster!B:B,"",0))</f>
        <v>Juan Ospina</v>
      </c>
      <c r="F3283" s="315" t="str">
        <f t="array" ref="F3283">IF(B3283=100,"Free",TEXT(XLOOKUP($D3283,OperationVoice!$A:$A,OperationVoice!AH:AH,XLOOKUP($D3283,OperationTickets!$A:$A,OperationTickets!AH:AH,"",0)),"hh:mm"))</f>
        <v>08:00</v>
      </c>
      <c r="G3283" s="309">
        <f t="shared" si="3"/>
        <v>0.7083333333</v>
      </c>
      <c r="H3283" s="316" t="str">
        <f t="array" ref="H3283">XLOOKUP(B3283,Roster!L:L,Roster!N:N,XLOOKUP(D3283,TicketsBreak!A:A,TicketsBreak!E:E,"",0),0)</f>
        <v>10:45 - 11:00</v>
      </c>
      <c r="I3283" s="316" t="str">
        <f t="array" ref="I3283">XLOOKUP(B3283,Roster!L:L,Roster!O:O,XLOOKUP(D3283,TicketsBreak!A:A,TicketsBreak!F:F,"",0),0)</f>
        <v>14:00 - 14:30</v>
      </c>
      <c r="J3283" s="316" t="str">
        <f t="array" ref="J3283">XLOOKUP(B3283,Roster!L:L,Roster!P:P,XLOOKUP(D3283,TicketsBreak!A:A,TicketsBreak!G:G,"",0),0)</f>
        <v>15:45 - 16:00</v>
      </c>
      <c r="K3283" s="310">
        <f t="shared" si="4"/>
        <v>46140</v>
      </c>
      <c r="L3283" s="317">
        <f t="array" ref="L3283">(XLOOKUP(D3283,Roster!F:F,Roster!D:D,"",0))</f>
        <v>34</v>
      </c>
      <c r="M3283" s="317" t="str">
        <f t="array" ref="M3283">XLOOKUP(D3283,Roster!F:F,Roster!E:E)</f>
        <v>Tickets</v>
      </c>
      <c r="N3283" s="317" t="str">
        <f t="shared" ref="N3283:P3283" si="3328">LEFT(H3283,5)</f>
        <v>10:45</v>
      </c>
      <c r="O3283" s="317" t="str">
        <f t="shared" si="3328"/>
        <v>14:00</v>
      </c>
      <c r="P3283" s="317" t="str">
        <f t="shared" si="3328"/>
        <v>15:45</v>
      </c>
      <c r="Q3283" s="318">
        <f t="shared" si="3216"/>
        <v>46140.44792</v>
      </c>
      <c r="R3283" s="318">
        <f t="shared" si="3217"/>
        <v>46140.58333</v>
      </c>
      <c r="S3283" s="318">
        <f t="shared" si="8"/>
        <v>46140.65625</v>
      </c>
    </row>
    <row r="3284">
      <c r="A3284" s="14" t="str">
        <f t="shared" si="1"/>
        <v>C141346140</v>
      </c>
      <c r="B3284" s="185">
        <f t="array" ref="B3284">IF(F3284="VL","",IF(F3284="Free","Free",XLOOKUP(D3284,Roster!T:T,Roster!S:S,"",0)))</f>
        <v>121</v>
      </c>
      <c r="C3284" s="313">
        <v>46140.0</v>
      </c>
      <c r="D3284" s="314" t="s">
        <v>47</v>
      </c>
      <c r="E3284" s="307" t="str">
        <f t="array" ref="E3284">(XLOOKUP(D3284,Roster!F:F,Roster!B:B,"",0))</f>
        <v>Juan Parra</v>
      </c>
      <c r="F3284" s="315" t="str">
        <f t="array" ref="F3284">IF(B3284=100,"Free",TEXT(XLOOKUP($D3284,OperationVoice!$A:$A,OperationVoice!AH:AH,XLOOKUP($D3284,OperationTickets!$A:$A,OperationTickets!AH:AH,"",0)),"hh:mm"))</f>
        <v>08:00</v>
      </c>
      <c r="G3284" s="309">
        <f t="shared" si="3"/>
        <v>0.7083333333</v>
      </c>
      <c r="H3284" s="316" t="str">
        <f t="array" ref="H3284">XLOOKUP(B3284,Roster!L:L,Roster!N:N,XLOOKUP(D3284,TicketsBreak!A:A,TicketsBreak!E:E,"",0),0)</f>
        <v>09:15 - 09:30</v>
      </c>
      <c r="I3284" s="316" t="str">
        <f t="array" ref="I3284">XLOOKUP(B3284,Roster!L:L,Roster!O:O,XLOOKUP(D3284,TicketsBreak!A:A,TicketsBreak!F:F,"",0),0)</f>
        <v>11:30 - 12:00</v>
      </c>
      <c r="J3284" s="316" t="str">
        <f t="array" ref="J3284">XLOOKUP(B3284,Roster!L:L,Roster!P:P,XLOOKUP(D3284,TicketsBreak!A:A,TicketsBreak!G:G,"",0),0)</f>
        <v>14:30 - 14:45</v>
      </c>
      <c r="K3284" s="310">
        <f t="shared" si="4"/>
        <v>46140</v>
      </c>
      <c r="L3284" s="317">
        <f t="array" ref="L3284">(XLOOKUP(D3284,Roster!F:F,Roster!D:D,"",0))</f>
        <v>32</v>
      </c>
      <c r="M3284" s="317" t="str">
        <f t="array" ref="M3284">XLOOKUP(D3284,Roster!F:F,Roster!E:E)</f>
        <v>Voice</v>
      </c>
      <c r="N3284" s="317" t="str">
        <f t="shared" ref="N3284:P3284" si="3329">LEFT(H3284,5)</f>
        <v>09:15</v>
      </c>
      <c r="O3284" s="317" t="str">
        <f t="shared" si="3329"/>
        <v>11:30</v>
      </c>
      <c r="P3284" s="317" t="str">
        <f t="shared" si="3329"/>
        <v>14:30</v>
      </c>
      <c r="Q3284" s="318">
        <f t="shared" si="3216"/>
        <v>46140.38542</v>
      </c>
      <c r="R3284" s="318">
        <f t="shared" si="3217"/>
        <v>46140.47917</v>
      </c>
      <c r="S3284" s="318">
        <f t="shared" si="8"/>
        <v>46140.60417</v>
      </c>
    </row>
    <row r="3285">
      <c r="A3285" s="14" t="str">
        <f t="shared" si="1"/>
        <v>C132746140</v>
      </c>
      <c r="B3285" s="185" t="str">
        <f t="array" ref="B3285">IF(F3285="VL","",IF(F3285="Free","Free",XLOOKUP(D3285,Roster!T:T,Roster!S:S,"",0)))</f>
        <v>Free</v>
      </c>
      <c r="C3285" s="313">
        <v>46140.0</v>
      </c>
      <c r="D3285" s="314" t="s">
        <v>163</v>
      </c>
      <c r="E3285" s="307" t="str">
        <f t="array" ref="E3285">(XLOOKUP(D3285,Roster!F:F,Roster!B:B,"",0))</f>
        <v>Juan Restrepo</v>
      </c>
      <c r="F3285" s="315" t="str">
        <f t="array" ref="F3285">IF(B3285=100,"Free",TEXT(XLOOKUP($D3285,OperationVoice!$A:$A,OperationVoice!AH:AH,XLOOKUP($D3285,OperationTickets!$A:$A,OperationTickets!AH:AH,"",0)),"hh:mm"))</f>
        <v>Free</v>
      </c>
      <c r="G3285" s="309" t="str">
        <f t="shared" si="3"/>
        <v>Free</v>
      </c>
      <c r="H3285" s="316" t="str">
        <f t="array" ref="H3285">XLOOKUP(B3285,Roster!L:L,Roster!N:N,XLOOKUP(D3285,TicketsBreak!A:A,TicketsBreak!E:E,"",0),0)</f>
        <v/>
      </c>
      <c r="I3285" s="316" t="str">
        <f t="array" ref="I3285">XLOOKUP(B3285,Roster!L:L,Roster!O:O,XLOOKUP(D3285,TicketsBreak!A:A,TicketsBreak!F:F,"",0),0)</f>
        <v/>
      </c>
      <c r="J3285" s="316" t="str">
        <f t="array" ref="J3285">XLOOKUP(B3285,Roster!L:L,Roster!P:P,XLOOKUP(D3285,TicketsBreak!A:A,TicketsBreak!G:G,"",0),0)</f>
        <v/>
      </c>
      <c r="K3285" s="310">
        <f t="shared" si="4"/>
        <v>46140</v>
      </c>
      <c r="L3285" s="317">
        <f t="array" ref="L3285">(XLOOKUP(D3285,Roster!F:F,Roster!D:D,"",0))</f>
        <v>29</v>
      </c>
      <c r="M3285" s="317" t="str">
        <f t="array" ref="M3285">XLOOKUP(D3285,Roster!F:F,Roster!E:E)</f>
        <v>Tickets</v>
      </c>
      <c r="N3285" s="317" t="str">
        <f t="shared" ref="N3285:P3285" si="3330">LEFT(H3285,5)</f>
        <v/>
      </c>
      <c r="O3285" s="317" t="str">
        <f t="shared" si="3330"/>
        <v/>
      </c>
      <c r="P3285" s="317" t="str">
        <f t="shared" si="3330"/>
        <v/>
      </c>
      <c r="Q3285" s="318" t="str">
        <f t="shared" si="3216"/>
        <v/>
      </c>
      <c r="R3285" s="318" t="str">
        <f t="shared" si="3217"/>
        <v/>
      </c>
      <c r="S3285" s="318" t="str">
        <f t="shared" si="8"/>
        <v/>
      </c>
    </row>
    <row r="3286">
      <c r="A3286" s="14" t="str">
        <f t="shared" si="1"/>
        <v>C146946140</v>
      </c>
      <c r="B3286" s="185">
        <f t="array" ref="B3286">IF(F3286="VL","",IF(F3286="Free","Free",XLOOKUP(D3286,Roster!T:T,Roster!S:S,"",0)))</f>
        <v>122</v>
      </c>
      <c r="C3286" s="313">
        <v>46140.0</v>
      </c>
      <c r="D3286" s="314" t="s">
        <v>48</v>
      </c>
      <c r="E3286" s="307" t="str">
        <f t="array" ref="E3286">(XLOOKUP(D3286,Roster!F:F,Roster!B:B,"",0))</f>
        <v>Juan Restrepo Restrepo</v>
      </c>
      <c r="F3286" s="315" t="str">
        <f t="array" ref="F3286">IF(B3286=100,"Free",TEXT(XLOOKUP($D3286,OperationVoice!$A:$A,OperationVoice!AH:AH,XLOOKUP($D3286,OperationTickets!$A:$A,OperationTickets!AH:AH,"",0)),"hh:mm"))</f>
        <v>08:00</v>
      </c>
      <c r="G3286" s="309">
        <f t="shared" si="3"/>
        <v>0.7083333333</v>
      </c>
      <c r="H3286" s="316" t="str">
        <f t="array" ref="H3286">XLOOKUP(B3286,Roster!L:L,Roster!N:N,XLOOKUP(D3286,TicketsBreak!A:A,TicketsBreak!E:E,"",0),0)</f>
        <v>09:30 - 09:45</v>
      </c>
      <c r="I3286" s="316" t="str">
        <f t="array" ref="I3286">XLOOKUP(B3286,Roster!L:L,Roster!O:O,XLOOKUP(D3286,TicketsBreak!A:A,TicketsBreak!F:F,"",0),0)</f>
        <v>12:00 - 12:30</v>
      </c>
      <c r="J3286" s="316" t="str">
        <f t="array" ref="J3286">XLOOKUP(B3286,Roster!L:L,Roster!P:P,XLOOKUP(D3286,TicketsBreak!A:A,TicketsBreak!G:G,"",0),0)</f>
        <v>14:45 - 15:00</v>
      </c>
      <c r="K3286" s="310">
        <f t="shared" si="4"/>
        <v>46140</v>
      </c>
      <c r="L3286" s="317">
        <f t="array" ref="L3286">(XLOOKUP(D3286,Roster!F:F,Roster!D:D,"",0))</f>
        <v>33</v>
      </c>
      <c r="M3286" s="317" t="str">
        <f t="array" ref="M3286">XLOOKUP(D3286,Roster!F:F,Roster!E:E)</f>
        <v>Voice</v>
      </c>
      <c r="N3286" s="317" t="str">
        <f t="shared" ref="N3286:P3286" si="3331">LEFT(H3286,5)</f>
        <v>09:30</v>
      </c>
      <c r="O3286" s="317" t="str">
        <f t="shared" si="3331"/>
        <v>12:00</v>
      </c>
      <c r="P3286" s="317" t="str">
        <f t="shared" si="3331"/>
        <v>14:45</v>
      </c>
      <c r="Q3286" s="318">
        <f t="shared" si="3216"/>
        <v>46140.39583</v>
      </c>
      <c r="R3286" s="318">
        <f t="shared" si="3217"/>
        <v>46140.5</v>
      </c>
      <c r="S3286" s="318">
        <f t="shared" si="8"/>
        <v>46140.61458</v>
      </c>
    </row>
    <row r="3287">
      <c r="A3287" s="14" t="str">
        <f t="shared" si="1"/>
        <v>C117146140</v>
      </c>
      <c r="B3287" s="185" t="str">
        <f t="array" ref="B3287">IF(F3287="VL","",IF(F3287="Free","Free",XLOOKUP(D3287,Roster!T:T,Roster!S:S,"",0)))</f>
        <v/>
      </c>
      <c r="C3287" s="313">
        <v>46140.0</v>
      </c>
      <c r="D3287" s="314" t="s">
        <v>142</v>
      </c>
      <c r="E3287" s="307" t="str">
        <f t="array" ref="E3287">(XLOOKUP(D3287,Roster!F:F,Roster!B:B,"",0))</f>
        <v>Juan Sanchez</v>
      </c>
      <c r="F3287" s="315" t="str">
        <f t="array" ref="F3287">IF(B3287=100,"Free",TEXT(XLOOKUP($D3287,OperationVoice!$A:$A,OperationVoice!AH:AH,XLOOKUP($D3287,OperationTickets!$A:$A,OperationTickets!AH:AH,"",0)),"hh:mm"))</f>
        <v>08:00</v>
      </c>
      <c r="G3287" s="309">
        <f t="shared" si="3"/>
        <v>0.7083333333</v>
      </c>
      <c r="H3287" s="316" t="str">
        <f t="array" ref="H3287">XLOOKUP(B3287,Roster!L:L,Roster!N:N,XLOOKUP(D3287,TicketsBreak!A:A,TicketsBreak!E:E,"",0),0)</f>
        <v/>
      </c>
      <c r="I3287" s="316" t="str">
        <f t="array" ref="I3287">XLOOKUP(B3287,Roster!L:L,Roster!O:O,XLOOKUP(D3287,TicketsBreak!A:A,TicketsBreak!F:F,"",0),0)</f>
        <v/>
      </c>
      <c r="J3287" s="316" t="str">
        <f t="array" ref="J3287">XLOOKUP(B3287,Roster!L:L,Roster!P:P,XLOOKUP(D3287,TicketsBreak!A:A,TicketsBreak!G:G,"",0),0)</f>
        <v/>
      </c>
      <c r="K3287" s="310">
        <f t="shared" si="4"/>
        <v>46140</v>
      </c>
      <c r="L3287" s="317">
        <f t="array" ref="L3287">(XLOOKUP(D3287,Roster!F:F,Roster!D:D,"",0))</f>
        <v>24</v>
      </c>
      <c r="M3287" s="317" t="str">
        <f t="array" ref="M3287">XLOOKUP(D3287,Roster!F:F,Roster!E:E)</f>
        <v>Tickets</v>
      </c>
      <c r="N3287" s="317" t="str">
        <f t="shared" ref="N3287:P3287" si="3332">LEFT(H3287,5)</f>
        <v/>
      </c>
      <c r="O3287" s="317" t="str">
        <f t="shared" si="3332"/>
        <v/>
      </c>
      <c r="P3287" s="317" t="str">
        <f t="shared" si="3332"/>
        <v/>
      </c>
      <c r="Q3287" s="318" t="str">
        <f t="shared" si="3216"/>
        <v/>
      </c>
      <c r="R3287" s="318" t="str">
        <f t="shared" si="3217"/>
        <v/>
      </c>
      <c r="S3287" s="318" t="str">
        <f t="shared" si="8"/>
        <v/>
      </c>
    </row>
    <row r="3288">
      <c r="A3288" s="14" t="str">
        <f t="shared" si="1"/>
        <v>C74346140</v>
      </c>
      <c r="B3288" s="185" t="str">
        <f t="array" ref="B3288">IF(F3288="VL","",IF(F3288="Free","Free",XLOOKUP(D3288,Roster!T:T,Roster!S:S,"",0)))</f>
        <v>Free</v>
      </c>
      <c r="C3288" s="313">
        <v>46140.0</v>
      </c>
      <c r="D3288" s="314" t="s">
        <v>164</v>
      </c>
      <c r="E3288" s="307" t="str">
        <f t="array" ref="E3288">(XLOOKUP(D3288,Roster!F:F,Roster!B:B,"",0))</f>
        <v>Juan Suarez</v>
      </c>
      <c r="F3288" s="315" t="str">
        <f t="array" ref="F3288">IF(B3288=100,"Free",TEXT(XLOOKUP($D3288,OperationVoice!$A:$A,OperationVoice!AH:AH,XLOOKUP($D3288,OperationTickets!$A:$A,OperationTickets!AH:AH,"",0)),"hh:mm"))</f>
        <v>Free</v>
      </c>
      <c r="G3288" s="309" t="str">
        <f t="shared" si="3"/>
        <v>Free</v>
      </c>
      <c r="H3288" s="316">
        <f t="array" ref="H3288">XLOOKUP(B3288,Roster!L:L,Roster!N:N,XLOOKUP(D3288,TicketsBreak!A:A,TicketsBreak!E:E,"",0),0)</f>
        <v>0.3958333333</v>
      </c>
      <c r="I3288" s="316">
        <f t="array" ref="I3288">XLOOKUP(B3288,Roster!L:L,Roster!O:O,XLOOKUP(D3288,TicketsBreak!A:A,TicketsBreak!F:F,"",0),0)</f>
        <v>0.5208333333</v>
      </c>
      <c r="J3288" s="316">
        <f t="array" ref="J3288">XLOOKUP(B3288,Roster!L:L,Roster!P:P,XLOOKUP(D3288,TicketsBreak!A:A,TicketsBreak!G:G,"",0),0)</f>
        <v>0.6145833333</v>
      </c>
      <c r="K3288" s="310">
        <f t="shared" si="4"/>
        <v>46140</v>
      </c>
      <c r="L3288" s="317">
        <f t="array" ref="L3288">(XLOOKUP(D3288,Roster!F:F,Roster!D:D,"",0))</f>
        <v>8</v>
      </c>
      <c r="M3288" s="317" t="str">
        <f t="array" ref="M3288">XLOOKUP(D3288,Roster!F:F,Roster!E:E)</f>
        <v>Tickets</v>
      </c>
      <c r="N3288" s="317" t="str">
        <f t="shared" ref="N3288:P3288" si="3333">LEFT(H3288,5)</f>
        <v>09:30</v>
      </c>
      <c r="O3288" s="317" t="str">
        <f t="shared" si="3333"/>
        <v>12:30</v>
      </c>
      <c r="P3288" s="317" t="str">
        <f t="shared" si="3333"/>
        <v>14:45</v>
      </c>
      <c r="Q3288" s="318">
        <f t="shared" si="3216"/>
        <v>46140.39583</v>
      </c>
      <c r="R3288" s="318">
        <f t="shared" si="3217"/>
        <v>46140.52083</v>
      </c>
      <c r="S3288" s="318">
        <f t="shared" si="8"/>
        <v>46140.61458</v>
      </c>
    </row>
    <row r="3289">
      <c r="A3289" s="14" t="str">
        <f t="shared" si="1"/>
        <v>C156846140</v>
      </c>
      <c r="B3289" s="185" t="str">
        <f t="array" ref="B3289">IF(F3289="VL","",IF(F3289="Free","Free",XLOOKUP(D3289,Roster!T:T,Roster!S:S,"",0)))</f>
        <v>Free</v>
      </c>
      <c r="C3289" s="313">
        <v>46140.0</v>
      </c>
      <c r="D3289" s="314" t="s">
        <v>49</v>
      </c>
      <c r="E3289" s="307" t="str">
        <f t="array" ref="E3289">(XLOOKUP(D3289,Roster!F:F,Roster!B:B,"",0))</f>
        <v>Juan Zapata</v>
      </c>
      <c r="F3289" s="315" t="str">
        <f t="array" ref="F3289">IF(B3289=100,"Free",TEXT(XLOOKUP($D3289,OperationVoice!$A:$A,OperationVoice!AH:AH,XLOOKUP($D3289,OperationTickets!$A:$A,OperationTickets!AH:AH,"",0)),"hh:mm"))</f>
        <v>Free</v>
      </c>
      <c r="G3289" s="309" t="str">
        <f t="shared" si="3"/>
        <v>Free</v>
      </c>
      <c r="H3289" s="316" t="str">
        <f t="array" ref="H3289">XLOOKUP(B3289,Roster!L:L,Roster!N:N,XLOOKUP(D3289,TicketsBreak!A:A,TicketsBreak!E:E,"",0),0)</f>
        <v/>
      </c>
      <c r="I3289" s="316" t="str">
        <f t="array" ref="I3289">XLOOKUP(B3289,Roster!L:L,Roster!O:O,XLOOKUP(D3289,TicketsBreak!A:A,TicketsBreak!F:F,"",0),0)</f>
        <v/>
      </c>
      <c r="J3289" s="316" t="str">
        <f t="array" ref="J3289">XLOOKUP(B3289,Roster!L:L,Roster!P:P,XLOOKUP(D3289,TicketsBreak!A:A,TicketsBreak!G:G,"",0),0)</f>
        <v/>
      </c>
      <c r="K3289" s="310">
        <f t="shared" si="4"/>
        <v>46140</v>
      </c>
      <c r="L3289" s="317">
        <f t="array" ref="L3289">(XLOOKUP(D3289,Roster!F:F,Roster!D:D,"",0))</f>
        <v>38</v>
      </c>
      <c r="M3289" s="317" t="str">
        <f t="array" ref="M3289">XLOOKUP(D3289,Roster!F:F,Roster!E:E)</f>
        <v>Voice</v>
      </c>
      <c r="N3289" s="317" t="str">
        <f t="shared" ref="N3289:P3289" si="3334">LEFT(H3289,5)</f>
        <v/>
      </c>
      <c r="O3289" s="317" t="str">
        <f t="shared" si="3334"/>
        <v/>
      </c>
      <c r="P3289" s="317" t="str">
        <f t="shared" si="3334"/>
        <v/>
      </c>
      <c r="Q3289" s="318" t="str">
        <f t="shared" si="3216"/>
        <v/>
      </c>
      <c r="R3289" s="318" t="str">
        <f t="shared" si="3217"/>
        <v/>
      </c>
      <c r="S3289" s="318" t="str">
        <f t="shared" si="8"/>
        <v/>
      </c>
    </row>
    <row r="3290">
      <c r="A3290" s="14" t="str">
        <f t="shared" si="1"/>
        <v>C75546140</v>
      </c>
      <c r="B3290" s="185" t="str">
        <f t="array" ref="B3290">IF(F3290="VL","",IF(F3290="Free","Free",XLOOKUP(D3290,Roster!T:T,Roster!S:S,"",0)))</f>
        <v>Free</v>
      </c>
      <c r="C3290" s="313">
        <v>46140.0</v>
      </c>
      <c r="D3290" s="314" t="s">
        <v>143</v>
      </c>
      <c r="E3290" s="307" t="str">
        <f t="array" ref="E3290">(XLOOKUP(D3290,Roster!F:F,Roster!B:B,"",0))</f>
        <v>Julian Higuita</v>
      </c>
      <c r="F3290" s="315" t="str">
        <f t="array" ref="F3290">IF(B3290=100,"Free",TEXT(XLOOKUP($D3290,OperationVoice!$A:$A,OperationVoice!AH:AH,XLOOKUP($D3290,OperationTickets!$A:$A,OperationTickets!AH:AH,"",0)),"hh:mm"))</f>
        <v>Free</v>
      </c>
      <c r="G3290" s="309" t="str">
        <f t="shared" si="3"/>
        <v>Free</v>
      </c>
      <c r="H3290" s="316" t="str">
        <f t="array" ref="H3290">XLOOKUP(B3290,Roster!L:L,Roster!N:N,XLOOKUP(D3290,TicketsBreak!A:A,TicketsBreak!E:E,"",0),0)</f>
        <v/>
      </c>
      <c r="I3290" s="316" t="str">
        <f t="array" ref="I3290">XLOOKUP(B3290,Roster!L:L,Roster!O:O,XLOOKUP(D3290,TicketsBreak!A:A,TicketsBreak!F:F,"",0),0)</f>
        <v/>
      </c>
      <c r="J3290" s="316" t="str">
        <f t="array" ref="J3290">XLOOKUP(B3290,Roster!L:L,Roster!P:P,XLOOKUP(D3290,TicketsBreak!A:A,TicketsBreak!G:G,"",0),0)</f>
        <v/>
      </c>
      <c r="K3290" s="310">
        <f t="shared" si="4"/>
        <v>46140</v>
      </c>
      <c r="L3290" s="317">
        <f t="array" ref="L3290">(XLOOKUP(D3290,Roster!F:F,Roster!D:D,"",0))</f>
        <v>35</v>
      </c>
      <c r="M3290" s="317" t="str">
        <f t="array" ref="M3290">XLOOKUP(D3290,Roster!F:F,Roster!E:E)</f>
        <v>Tickets</v>
      </c>
      <c r="N3290" s="317" t="str">
        <f t="shared" ref="N3290:P3290" si="3335">LEFT(H3290,5)</f>
        <v/>
      </c>
      <c r="O3290" s="317" t="str">
        <f t="shared" si="3335"/>
        <v/>
      </c>
      <c r="P3290" s="317" t="str">
        <f t="shared" si="3335"/>
        <v/>
      </c>
      <c r="Q3290" s="318" t="str">
        <f t="shared" si="3216"/>
        <v/>
      </c>
      <c r="R3290" s="318" t="str">
        <f t="shared" si="3217"/>
        <v/>
      </c>
      <c r="S3290" s="318" t="str">
        <f t="shared" si="8"/>
        <v/>
      </c>
    </row>
    <row r="3291">
      <c r="A3291" s="14" t="str">
        <f t="shared" si="1"/>
        <v>C52546140</v>
      </c>
      <c r="B3291" s="185" t="str">
        <f t="array" ref="B3291">IF(F3291="VL","",IF(F3291="Free","Free",XLOOKUP(D3291,Roster!T:T,Roster!S:S,"",0)))</f>
        <v/>
      </c>
      <c r="C3291" s="313">
        <v>46140.0</v>
      </c>
      <c r="D3291" s="314" t="s">
        <v>176</v>
      </c>
      <c r="E3291" s="307" t="str">
        <f t="array" ref="E3291">(XLOOKUP(D3291,Roster!F:F,Roster!B:B,"",0))</f>
        <v>Julian Pineda</v>
      </c>
      <c r="F3291" s="315" t="str">
        <f t="array" ref="F3291">IF(B3291=100,"Free",TEXT(XLOOKUP($D3291,OperationVoice!$A:$A,OperationVoice!AH:AH,XLOOKUP($D3291,OperationTickets!$A:$A,OperationTickets!AH:AH,"",0)),"hh:mm"))</f>
        <v>08:00</v>
      </c>
      <c r="G3291" s="309">
        <f t="shared" si="3"/>
        <v>0.7083333333</v>
      </c>
      <c r="H3291" s="316" t="str">
        <f t="array" ref="H3291">XLOOKUP(B3291,Roster!L:L,Roster!N:N,XLOOKUP(D3291,TicketsBreak!A:A,TicketsBreak!E:E,"",0),0)</f>
        <v/>
      </c>
      <c r="I3291" s="316" t="str">
        <f t="array" ref="I3291">XLOOKUP(B3291,Roster!L:L,Roster!O:O,XLOOKUP(D3291,TicketsBreak!A:A,TicketsBreak!F:F,"",0),0)</f>
        <v/>
      </c>
      <c r="J3291" s="316" t="str">
        <f t="array" ref="J3291">XLOOKUP(B3291,Roster!L:L,Roster!P:P,XLOOKUP(D3291,TicketsBreak!A:A,TicketsBreak!G:G,"",0),0)</f>
        <v/>
      </c>
      <c r="K3291" s="310">
        <f t="shared" si="4"/>
        <v>46140</v>
      </c>
      <c r="L3291" s="317">
        <f t="array" ref="L3291">(XLOOKUP(D3291,Roster!F:F,Roster!D:D,"",0))</f>
        <v>35</v>
      </c>
      <c r="M3291" s="317" t="str">
        <f t="array" ref="M3291">XLOOKUP(D3291,Roster!F:F,Roster!E:E)</f>
        <v>Tickets</v>
      </c>
      <c r="N3291" s="317" t="str">
        <f t="shared" ref="N3291:P3291" si="3336">LEFT(H3291,5)</f>
        <v/>
      </c>
      <c r="O3291" s="317" t="str">
        <f t="shared" si="3336"/>
        <v/>
      </c>
      <c r="P3291" s="317" t="str">
        <f t="shared" si="3336"/>
        <v/>
      </c>
      <c r="Q3291" s="318" t="str">
        <f t="shared" si="3216"/>
        <v/>
      </c>
      <c r="R3291" s="318" t="str">
        <f t="shared" si="3217"/>
        <v/>
      </c>
      <c r="S3291" s="318" t="str">
        <f t="shared" si="8"/>
        <v/>
      </c>
    </row>
    <row r="3292">
      <c r="A3292" s="14" t="str">
        <f t="shared" si="1"/>
        <v>C142746140</v>
      </c>
      <c r="B3292" s="185">
        <f t="array" ref="B3292">IF(F3292="VL","",IF(F3292="Free","Free",XLOOKUP(D3292,Roster!T:T,Roster!S:S,"",0)))</f>
        <v>123</v>
      </c>
      <c r="C3292" s="313">
        <v>46140.0</v>
      </c>
      <c r="D3292" s="314" t="s">
        <v>50</v>
      </c>
      <c r="E3292" s="307" t="str">
        <f t="array" ref="E3292">(XLOOKUP(D3292,Roster!F:F,Roster!B:B,"",0))</f>
        <v>Karen Lorena Martinez</v>
      </c>
      <c r="F3292" s="315" t="str">
        <f t="array" ref="F3292">IF(B3292=100,"Free",TEXT(XLOOKUP($D3292,OperationVoice!$A:$A,OperationVoice!AH:AH,XLOOKUP($D3292,OperationTickets!$A:$A,OperationTickets!AH:AH,"",0)),"hh:mm"))</f>
        <v>08:00</v>
      </c>
      <c r="G3292" s="309">
        <f t="shared" si="3"/>
        <v>0.7083333333</v>
      </c>
      <c r="H3292" s="316" t="str">
        <f t="array" ref="H3292">XLOOKUP(B3292,Roster!L:L,Roster!N:N,XLOOKUP(D3292,TicketsBreak!A:A,TicketsBreak!E:E,"",0),0)</f>
        <v>09:45 - 10:00 </v>
      </c>
      <c r="I3292" s="316" t="str">
        <f t="array" ref="I3292">XLOOKUP(B3292,Roster!L:L,Roster!O:O,XLOOKUP(D3292,TicketsBreak!A:A,TicketsBreak!F:F,"",0),0)</f>
        <v>12:30 - 13:00</v>
      </c>
      <c r="J3292" s="316" t="str">
        <f t="array" ref="J3292">XLOOKUP(B3292,Roster!L:L,Roster!P:P,XLOOKUP(D3292,TicketsBreak!A:A,TicketsBreak!G:G,"",0),0)</f>
        <v>15:00 - 15:15</v>
      </c>
      <c r="K3292" s="310">
        <f t="shared" si="4"/>
        <v>46140</v>
      </c>
      <c r="L3292" s="317">
        <f t="array" ref="L3292">(XLOOKUP(D3292,Roster!F:F,Roster!D:D,"",0))</f>
        <v>32</v>
      </c>
      <c r="M3292" s="317" t="str">
        <f t="array" ref="M3292">XLOOKUP(D3292,Roster!F:F,Roster!E:E)</f>
        <v>Voice</v>
      </c>
      <c r="N3292" s="317" t="str">
        <f t="shared" ref="N3292:P3292" si="3337">LEFT(H3292,5)</f>
        <v>09:45</v>
      </c>
      <c r="O3292" s="317" t="str">
        <f t="shared" si="3337"/>
        <v>12:30</v>
      </c>
      <c r="P3292" s="317" t="str">
        <f t="shared" si="3337"/>
        <v>15:00</v>
      </c>
      <c r="Q3292" s="318">
        <f t="shared" si="3216"/>
        <v>46140.40625</v>
      </c>
      <c r="R3292" s="318">
        <f t="shared" si="3217"/>
        <v>46140.52083</v>
      </c>
      <c r="S3292" s="318">
        <f t="shared" si="8"/>
        <v>46140.625</v>
      </c>
    </row>
    <row r="3293">
      <c r="A3293" s="14" t="str">
        <f t="shared" si="1"/>
        <v>C57946140</v>
      </c>
      <c r="B3293" s="185" t="str">
        <f t="array" ref="B3293">IF(F3293="VL","",IF(F3293="Free","Free",XLOOKUP(D3293,Roster!T:T,Roster!S:S,"",0)))</f>
        <v/>
      </c>
      <c r="C3293" s="313">
        <v>46140.0</v>
      </c>
      <c r="D3293" s="314" t="s">
        <v>144</v>
      </c>
      <c r="E3293" s="307" t="str">
        <f t="array" ref="E3293">(XLOOKUP(D3293,Roster!F:F,Roster!B:B,"",0))</f>
        <v>Karen Martinez</v>
      </c>
      <c r="F3293" s="315" t="str">
        <f t="array" ref="F3293">IF(B3293=100,"Free",TEXT(XLOOKUP($D3293,OperationVoice!$A:$A,OperationVoice!AH:AH,XLOOKUP($D3293,OperationTickets!$A:$A,OperationTickets!AH:AH,"",0)),"hh:mm"))</f>
        <v>08:00</v>
      </c>
      <c r="G3293" s="309">
        <f t="shared" si="3"/>
        <v>0.7083333333</v>
      </c>
      <c r="H3293" s="316">
        <f t="array" ref="H3293">XLOOKUP(B3293,Roster!L:L,Roster!N:N,XLOOKUP(D3293,TicketsBreak!A:A,TicketsBreak!E:E,"",0),0)</f>
        <v>0.4166666667</v>
      </c>
      <c r="I3293" s="316">
        <f t="array" ref="I3293">XLOOKUP(B3293,Roster!L:L,Roster!O:O,XLOOKUP(D3293,TicketsBreak!A:A,TicketsBreak!F:F,"",0),0)</f>
        <v>0.5</v>
      </c>
      <c r="J3293" s="316">
        <f t="array" ref="J3293">XLOOKUP(B3293,Roster!L:L,Roster!P:P,XLOOKUP(D3293,TicketsBreak!A:A,TicketsBreak!G:G,"",0),0)</f>
        <v>0.625</v>
      </c>
      <c r="K3293" s="310">
        <f t="shared" si="4"/>
        <v>46140</v>
      </c>
      <c r="L3293" s="317">
        <f t="array" ref="L3293">(XLOOKUP(D3293,Roster!F:F,Roster!D:D,"",0))</f>
        <v>4</v>
      </c>
      <c r="M3293" s="317" t="str">
        <f t="array" ref="M3293">XLOOKUP(D3293,Roster!F:F,Roster!E:E)</f>
        <v>Tickets</v>
      </c>
      <c r="N3293" s="317" t="str">
        <f t="shared" ref="N3293:P3293" si="3338">LEFT(H3293,5)</f>
        <v>10:00</v>
      </c>
      <c r="O3293" s="317" t="str">
        <f t="shared" si="3338"/>
        <v>12:00</v>
      </c>
      <c r="P3293" s="317" t="str">
        <f t="shared" si="3338"/>
        <v>15:00</v>
      </c>
      <c r="Q3293" s="318">
        <f t="shared" si="3216"/>
        <v>46140.41667</v>
      </c>
      <c r="R3293" s="318">
        <f t="shared" si="3217"/>
        <v>46140.5</v>
      </c>
      <c r="S3293" s="318">
        <f t="shared" si="8"/>
        <v>46140.625</v>
      </c>
    </row>
    <row r="3294">
      <c r="A3294" s="14" t="str">
        <f t="shared" si="1"/>
        <v>C108646140</v>
      </c>
      <c r="B3294" s="185">
        <f t="array" ref="B3294">IF(F3294="VL","",IF(F3294="Free","Free",XLOOKUP(D3294,Roster!T:T,Roster!S:S,"",0)))</f>
        <v>124</v>
      </c>
      <c r="C3294" s="313">
        <v>46140.0</v>
      </c>
      <c r="D3294" s="314" t="s">
        <v>51</v>
      </c>
      <c r="E3294" s="307" t="str">
        <f t="array" ref="E3294">(XLOOKUP(D3294,Roster!F:F,Roster!B:B,"",0))</f>
        <v>Karen Panqueva</v>
      </c>
      <c r="F3294" s="315" t="str">
        <f t="array" ref="F3294">IF(B3294=100,"Free",TEXT(XLOOKUP($D3294,OperationVoice!$A:$A,OperationVoice!AH:AH,XLOOKUP($D3294,OperationTickets!$A:$A,OperationTickets!AH:AH,"",0)),"hh:mm"))</f>
        <v>08:00</v>
      </c>
      <c r="G3294" s="309">
        <f t="shared" si="3"/>
        <v>0.7083333333</v>
      </c>
      <c r="H3294" s="316" t="str">
        <f t="array" ref="H3294">XLOOKUP(B3294,Roster!L:L,Roster!N:N,XLOOKUP(D3294,TicketsBreak!A:A,TicketsBreak!E:E,"",0),0)</f>
        <v>10:00 - 10:15</v>
      </c>
      <c r="I3294" s="316" t="str">
        <f t="array" ref="I3294">XLOOKUP(B3294,Roster!L:L,Roster!O:O,XLOOKUP(D3294,TicketsBreak!A:A,TicketsBreak!F:F,"",0),0)</f>
        <v>13:00 - 13:30</v>
      </c>
      <c r="J3294" s="316" t="str">
        <f t="array" ref="J3294">XLOOKUP(B3294,Roster!L:L,Roster!P:P,XLOOKUP(D3294,TicketsBreak!A:A,TicketsBreak!G:G,"",0),0)</f>
        <v>15:30 - 15:45</v>
      </c>
      <c r="K3294" s="310">
        <f t="shared" si="4"/>
        <v>46140</v>
      </c>
      <c r="L3294" s="317">
        <f t="array" ref="L3294">(XLOOKUP(D3294,Roster!F:F,Roster!D:D,"",0))</f>
        <v>19</v>
      </c>
      <c r="M3294" s="317" t="str">
        <f t="array" ref="M3294">XLOOKUP(D3294,Roster!F:F,Roster!E:E)</f>
        <v>Voice</v>
      </c>
      <c r="N3294" s="317" t="str">
        <f t="shared" ref="N3294:P3294" si="3339">LEFT(H3294,5)</f>
        <v>10:00</v>
      </c>
      <c r="O3294" s="317" t="str">
        <f t="shared" si="3339"/>
        <v>13:00</v>
      </c>
      <c r="P3294" s="317" t="str">
        <f t="shared" si="3339"/>
        <v>15:30</v>
      </c>
      <c r="Q3294" s="318">
        <f t="shared" si="3216"/>
        <v>46140.41667</v>
      </c>
      <c r="R3294" s="318">
        <f t="shared" si="3217"/>
        <v>46140.54167</v>
      </c>
      <c r="S3294" s="318">
        <f t="shared" si="8"/>
        <v>46140.64583</v>
      </c>
    </row>
    <row r="3295">
      <c r="A3295" s="14" t="str">
        <f t="shared" si="1"/>
        <v>C149246140</v>
      </c>
      <c r="B3295" s="185">
        <f t="array" ref="B3295">IF(F3295="VL","",IF(F3295="Free","Free",XLOOKUP(D3295,Roster!T:T,Roster!S:S,"",0)))</f>
        <v>125</v>
      </c>
      <c r="C3295" s="313">
        <v>46140.0</v>
      </c>
      <c r="D3295" s="314" t="s">
        <v>52</v>
      </c>
      <c r="E3295" s="307" t="str">
        <f t="array" ref="E3295">(XLOOKUP(D3295,Roster!F:F,Roster!B:B,"",0))</f>
        <v>Karol Pineda</v>
      </c>
      <c r="F3295" s="315" t="str">
        <f t="array" ref="F3295">IF(B3295=100,"Free",TEXT(XLOOKUP($D3295,OperationVoice!$A:$A,OperationVoice!AH:AH,XLOOKUP($D3295,OperationTickets!$A:$A,OperationTickets!AH:AH,"",0)),"hh:mm"))</f>
        <v>08:00</v>
      </c>
      <c r="G3295" s="309">
        <f t="shared" si="3"/>
        <v>0.7083333333</v>
      </c>
      <c r="H3295" s="316" t="str">
        <f t="array" ref="H3295">XLOOKUP(B3295,Roster!L:L,Roster!N:N,XLOOKUP(D3295,TicketsBreak!A:A,TicketsBreak!E:E,"",0),0)</f>
        <v>10:30 - 10:45</v>
      </c>
      <c r="I3295" s="316" t="str">
        <f t="array" ref="I3295">XLOOKUP(B3295,Roster!L:L,Roster!O:O,XLOOKUP(D3295,TicketsBreak!A:A,TicketsBreak!F:F,"",0),0)</f>
        <v>13:30 - 14:00</v>
      </c>
      <c r="J3295" s="316" t="str">
        <f t="array" ref="J3295">XLOOKUP(B3295,Roster!L:L,Roster!P:P,XLOOKUP(D3295,TicketsBreak!A:A,TicketsBreak!G:G,"",0),0)</f>
        <v>15:45 - 16:00</v>
      </c>
      <c r="K3295" s="310">
        <f t="shared" si="4"/>
        <v>46140</v>
      </c>
      <c r="L3295" s="317">
        <f t="array" ref="L3295">(XLOOKUP(D3295,Roster!F:F,Roster!D:D,"",0))</f>
        <v>34</v>
      </c>
      <c r="M3295" s="317" t="str">
        <f t="array" ref="M3295">XLOOKUP(D3295,Roster!F:F,Roster!E:E)</f>
        <v>Voice</v>
      </c>
      <c r="N3295" s="317" t="str">
        <f t="shared" ref="N3295:P3295" si="3340">LEFT(H3295,5)</f>
        <v>10:30</v>
      </c>
      <c r="O3295" s="317" t="str">
        <f t="shared" si="3340"/>
        <v>13:30</v>
      </c>
      <c r="P3295" s="317" t="str">
        <f t="shared" si="3340"/>
        <v>15:45</v>
      </c>
      <c r="Q3295" s="318">
        <f t="shared" si="3216"/>
        <v>46140.4375</v>
      </c>
      <c r="R3295" s="318">
        <f t="shared" si="3217"/>
        <v>46140.5625</v>
      </c>
      <c r="S3295" s="318">
        <f t="shared" si="8"/>
        <v>46140.65625</v>
      </c>
    </row>
    <row r="3296">
      <c r="A3296" s="14" t="str">
        <f t="shared" si="1"/>
        <v>C65846140</v>
      </c>
      <c r="B3296" s="185">
        <f t="array" ref="B3296">IF(F3296="VL","",IF(F3296="Free","Free",XLOOKUP(D3296,Roster!T:T,Roster!S:S,"",0)))</f>
        <v>112</v>
      </c>
      <c r="C3296" s="313">
        <v>46140.0</v>
      </c>
      <c r="D3296" s="314" t="s">
        <v>53</v>
      </c>
      <c r="E3296" s="307" t="str">
        <f t="array" ref="E3296">(XLOOKUP(D3296,Roster!F:F,Roster!B:B,"",0))</f>
        <v>Kennedy Giraldo</v>
      </c>
      <c r="F3296" s="315" t="str">
        <f t="array" ref="F3296">IF(B3296=100,"Free",TEXT(XLOOKUP($D3296,OperationVoice!$A:$A,OperationVoice!AH:AH,XLOOKUP($D3296,OperationTickets!$A:$A,OperationTickets!AH:AH,"",0)),"hh:mm"))</f>
        <v>07:00</v>
      </c>
      <c r="G3296" s="309">
        <f t="shared" si="3"/>
        <v>0.6666666667</v>
      </c>
      <c r="H3296" s="316" t="str">
        <f t="array" ref="H3296">XLOOKUP(B3296,Roster!L:L,Roster!N:N,XLOOKUP(D3296,TicketsBreak!A:A,TicketsBreak!E:E,"",0),0)</f>
        <v>09:30 - 09:45</v>
      </c>
      <c r="I3296" s="316" t="str">
        <f t="array" ref="I3296">XLOOKUP(B3296,Roster!L:L,Roster!O:O,XLOOKUP(D3296,TicketsBreak!A:A,TicketsBreak!F:F,"",0),0)</f>
        <v>12:15 - 12:45</v>
      </c>
      <c r="J3296" s="316" t="str">
        <f t="array" ref="J3296">XLOOKUP(B3296,Roster!L:L,Roster!P:P,XLOOKUP(D3296,TicketsBreak!A:A,TicketsBreak!G:G,"",0),0)</f>
        <v>14:45 - 15:00</v>
      </c>
      <c r="K3296" s="310">
        <f t="shared" si="4"/>
        <v>46140</v>
      </c>
      <c r="L3296" s="317">
        <f t="array" ref="L3296">(XLOOKUP(D3296,Roster!F:F,Roster!D:D,"",0))</f>
        <v>2</v>
      </c>
      <c r="M3296" s="317" t="str">
        <f t="array" ref="M3296">XLOOKUP(D3296,Roster!F:F,Roster!E:E)</f>
        <v>Voice</v>
      </c>
      <c r="N3296" s="317" t="str">
        <f t="shared" ref="N3296:P3296" si="3341">LEFT(H3296,5)</f>
        <v>09:30</v>
      </c>
      <c r="O3296" s="317" t="str">
        <f t="shared" si="3341"/>
        <v>12:15</v>
      </c>
      <c r="P3296" s="317" t="str">
        <f t="shared" si="3341"/>
        <v>14:45</v>
      </c>
      <c r="Q3296" s="318">
        <f t="shared" si="3216"/>
        <v>46140.39583</v>
      </c>
      <c r="R3296" s="318">
        <f t="shared" si="3217"/>
        <v>46140.51042</v>
      </c>
      <c r="S3296" s="318">
        <f t="shared" si="8"/>
        <v>46140.61458</v>
      </c>
    </row>
    <row r="3297">
      <c r="A3297" s="14" t="str">
        <f t="shared" si="1"/>
        <v>C151446140</v>
      </c>
      <c r="B3297" s="185">
        <f t="array" ref="B3297">IF(F3297="VL","",IF(F3297="Free","Free",XLOOKUP(D3297,Roster!T:T,Roster!S:S,"",0)))</f>
        <v>122</v>
      </c>
      <c r="C3297" s="313">
        <v>46140.0</v>
      </c>
      <c r="D3297" s="314" t="s">
        <v>54</v>
      </c>
      <c r="E3297" s="307" t="str">
        <f t="array" ref="E3297">(XLOOKUP(D3297,Roster!F:F,Roster!B:B,"",0))</f>
        <v>Kevin Betancur</v>
      </c>
      <c r="F3297" s="315" t="str">
        <f t="array" ref="F3297">IF(B3297=100,"Free",TEXT(XLOOKUP($D3297,OperationVoice!$A:$A,OperationVoice!AH:AH,XLOOKUP($D3297,OperationTickets!$A:$A,OperationTickets!AH:AH,"",0)),"hh:mm"))</f>
        <v>08:00</v>
      </c>
      <c r="G3297" s="309">
        <f t="shared" si="3"/>
        <v>0.7083333333</v>
      </c>
      <c r="H3297" s="316" t="str">
        <f t="array" ref="H3297">XLOOKUP(B3297,Roster!L:L,Roster!N:N,XLOOKUP(D3297,TicketsBreak!A:A,TicketsBreak!E:E,"",0),0)</f>
        <v>09:30 - 09:45</v>
      </c>
      <c r="I3297" s="316" t="str">
        <f t="array" ref="I3297">XLOOKUP(B3297,Roster!L:L,Roster!O:O,XLOOKUP(D3297,TicketsBreak!A:A,TicketsBreak!F:F,"",0),0)</f>
        <v>12:00 - 12:30</v>
      </c>
      <c r="J3297" s="316" t="str">
        <f t="array" ref="J3297">XLOOKUP(B3297,Roster!L:L,Roster!P:P,XLOOKUP(D3297,TicketsBreak!A:A,TicketsBreak!G:G,"",0),0)</f>
        <v>14:45 - 15:00</v>
      </c>
      <c r="K3297" s="310">
        <f t="shared" si="4"/>
        <v>46140</v>
      </c>
      <c r="L3297" s="317">
        <f t="array" ref="L3297">(XLOOKUP(D3297,Roster!F:F,Roster!D:D,"",0))</f>
        <v>35</v>
      </c>
      <c r="M3297" s="317" t="str">
        <f t="array" ref="M3297">XLOOKUP(D3297,Roster!F:F,Roster!E:E)</f>
        <v>Voice</v>
      </c>
      <c r="N3297" s="317" t="str">
        <f t="shared" ref="N3297:P3297" si="3342">LEFT(H3297,5)</f>
        <v>09:30</v>
      </c>
      <c r="O3297" s="317" t="str">
        <f t="shared" si="3342"/>
        <v>12:00</v>
      </c>
      <c r="P3297" s="317" t="str">
        <f t="shared" si="3342"/>
        <v>14:45</v>
      </c>
      <c r="Q3297" s="318">
        <f t="shared" si="3216"/>
        <v>46140.39583</v>
      </c>
      <c r="R3297" s="318">
        <f t="shared" si="3217"/>
        <v>46140.5</v>
      </c>
      <c r="S3297" s="318">
        <f t="shared" si="8"/>
        <v>46140.61458</v>
      </c>
    </row>
    <row r="3298">
      <c r="A3298" s="14" t="str">
        <f t="shared" si="1"/>
        <v>C157146140</v>
      </c>
      <c r="B3298" s="185">
        <f t="array" ref="B3298">IF(F3298="VL","",IF(F3298="Free","Free",XLOOKUP(D3298,Roster!T:T,Roster!S:S,"",0)))</f>
        <v>123</v>
      </c>
      <c r="C3298" s="313">
        <v>46140.0</v>
      </c>
      <c r="D3298" s="314" t="s">
        <v>55</v>
      </c>
      <c r="E3298" s="307" t="str">
        <f t="array" ref="E3298">(XLOOKUP(D3298,Roster!F:F,Roster!B:B,"",0))</f>
        <v>Laura Chamorro</v>
      </c>
      <c r="F3298" s="315" t="str">
        <f t="array" ref="F3298">IF(B3298=100,"Free",TEXT(XLOOKUP($D3298,OperationVoice!$A:$A,OperationVoice!AH:AH,XLOOKUP($D3298,OperationTickets!$A:$A,OperationTickets!AH:AH,"",0)),"hh:mm"))</f>
        <v>08:00</v>
      </c>
      <c r="G3298" s="309">
        <f t="shared" si="3"/>
        <v>0.7083333333</v>
      </c>
      <c r="H3298" s="316" t="str">
        <f t="array" ref="H3298">XLOOKUP(B3298,Roster!L:L,Roster!N:N,XLOOKUP(D3298,TicketsBreak!A:A,TicketsBreak!E:E,"",0),0)</f>
        <v>09:45 - 10:00 </v>
      </c>
      <c r="I3298" s="316" t="str">
        <f t="array" ref="I3298">XLOOKUP(B3298,Roster!L:L,Roster!O:O,XLOOKUP(D3298,TicketsBreak!A:A,TicketsBreak!F:F,"",0),0)</f>
        <v>12:30 - 13:00</v>
      </c>
      <c r="J3298" s="316" t="str">
        <f t="array" ref="J3298">XLOOKUP(B3298,Roster!L:L,Roster!P:P,XLOOKUP(D3298,TicketsBreak!A:A,TicketsBreak!G:G,"",0),0)</f>
        <v>15:00 - 15:15</v>
      </c>
      <c r="K3298" s="310">
        <f t="shared" si="4"/>
        <v>46140</v>
      </c>
      <c r="L3298" s="317">
        <f t="array" ref="L3298">(XLOOKUP(D3298,Roster!F:F,Roster!D:D,"",0))</f>
        <v>38</v>
      </c>
      <c r="M3298" s="317" t="str">
        <f t="array" ref="M3298">XLOOKUP(D3298,Roster!F:F,Roster!E:E)</f>
        <v>Voice</v>
      </c>
      <c r="N3298" s="317" t="str">
        <f t="shared" ref="N3298:P3298" si="3343">LEFT(H3298,5)</f>
        <v>09:45</v>
      </c>
      <c r="O3298" s="317" t="str">
        <f t="shared" si="3343"/>
        <v>12:30</v>
      </c>
      <c r="P3298" s="317" t="str">
        <f t="shared" si="3343"/>
        <v>15:00</v>
      </c>
      <c r="Q3298" s="318">
        <f t="shared" si="3216"/>
        <v>46140.40625</v>
      </c>
      <c r="R3298" s="318">
        <f t="shared" si="3217"/>
        <v>46140.52083</v>
      </c>
      <c r="S3298" s="318">
        <f t="shared" si="8"/>
        <v>46140.625</v>
      </c>
    </row>
    <row r="3299">
      <c r="A3299" s="14" t="str">
        <f t="shared" si="1"/>
        <v>C53446140</v>
      </c>
      <c r="B3299" s="185" t="str">
        <f t="array" ref="B3299">IF(F3299="VL","",IF(F3299="Free","Free",XLOOKUP(D3299,Roster!T:T,Roster!S:S,"",0)))</f>
        <v/>
      </c>
      <c r="C3299" s="313">
        <v>46140.0</v>
      </c>
      <c r="D3299" s="314" t="s">
        <v>177</v>
      </c>
      <c r="E3299" s="307" t="str">
        <f t="array" ref="E3299">(XLOOKUP(D3299,Roster!F:F,Roster!B:B,"",0))</f>
        <v>Leandry La Rosa</v>
      </c>
      <c r="F3299" s="315" t="str">
        <f t="array" ref="F3299">IF(B3299=100,"Free",TEXT(XLOOKUP($D3299,OperationVoice!$A:$A,OperationVoice!AH:AH,XLOOKUP($D3299,OperationTickets!$A:$A,OperationTickets!AH:AH,"",0)),"hh:mm"))</f>
        <v>08:00</v>
      </c>
      <c r="G3299" s="309">
        <f t="shared" si="3"/>
        <v>0.7083333333</v>
      </c>
      <c r="H3299" s="316">
        <f t="array" ref="H3299">XLOOKUP(B3299,Roster!L:L,Roster!N:N,XLOOKUP(D3299,TicketsBreak!A:A,TicketsBreak!E:E,"",0),0)</f>
        <v>0.40625</v>
      </c>
      <c r="I3299" s="316">
        <f t="array" ref="I3299">XLOOKUP(B3299,Roster!L:L,Roster!O:O,XLOOKUP(D3299,TicketsBreak!A:A,TicketsBreak!F:F,"",0),0)</f>
        <v>0.5416666667</v>
      </c>
      <c r="J3299" s="316">
        <f t="array" ref="J3299">XLOOKUP(B3299,Roster!L:L,Roster!P:P,XLOOKUP(D3299,TicketsBreak!A:A,TicketsBreak!G:G,"",0),0)</f>
        <v>0.65625</v>
      </c>
      <c r="K3299" s="310">
        <f t="shared" si="4"/>
        <v>46140</v>
      </c>
      <c r="L3299" s="317">
        <f t="array" ref="L3299">(XLOOKUP(D3299,Roster!F:F,Roster!D:D,"",0))</f>
        <v>1</v>
      </c>
      <c r="M3299" s="317" t="str">
        <f t="array" ref="M3299">XLOOKUP(D3299,Roster!F:F,Roster!E:E)</f>
        <v>Tickets</v>
      </c>
      <c r="N3299" s="317" t="str">
        <f t="shared" ref="N3299:P3299" si="3344">LEFT(H3299,5)</f>
        <v>09:45</v>
      </c>
      <c r="O3299" s="317" t="str">
        <f t="shared" si="3344"/>
        <v>13:00</v>
      </c>
      <c r="P3299" s="317" t="str">
        <f t="shared" si="3344"/>
        <v>15:45</v>
      </c>
      <c r="Q3299" s="318">
        <f t="shared" si="3216"/>
        <v>46140.40625</v>
      </c>
      <c r="R3299" s="318">
        <f t="shared" si="3217"/>
        <v>46140.54167</v>
      </c>
      <c r="S3299" s="318">
        <f t="shared" si="8"/>
        <v>46140.65625</v>
      </c>
    </row>
    <row r="3300">
      <c r="A3300" s="14" t="str">
        <f t="shared" si="1"/>
        <v>C157846140</v>
      </c>
      <c r="B3300" s="185">
        <f t="array" ref="B3300">IF(F3300="VL","",IF(F3300="Free","Free",XLOOKUP(D3300,Roster!T:T,Roster!S:S,"",0)))</f>
        <v>125</v>
      </c>
      <c r="C3300" s="313">
        <v>46140.0</v>
      </c>
      <c r="D3300" s="314" t="s">
        <v>56</v>
      </c>
      <c r="E3300" s="307" t="str">
        <f t="array" ref="E3300">(XLOOKUP(D3300,Roster!F:F,Roster!B:B,"",0))</f>
        <v>Leonerrichi Caicedo</v>
      </c>
      <c r="F3300" s="315" t="str">
        <f t="array" ref="F3300">IF(B3300=100,"Free",TEXT(XLOOKUP($D3300,OperationVoice!$A:$A,OperationVoice!AH:AH,XLOOKUP($D3300,OperationTickets!$A:$A,OperationTickets!AH:AH,"",0)),"hh:mm"))</f>
        <v>08:00</v>
      </c>
      <c r="G3300" s="309">
        <f t="shared" si="3"/>
        <v>0.7083333333</v>
      </c>
      <c r="H3300" s="316" t="str">
        <f t="array" ref="H3300">XLOOKUP(B3300,Roster!L:L,Roster!N:N,XLOOKUP(D3300,TicketsBreak!A:A,TicketsBreak!E:E,"",0),0)</f>
        <v>10:30 - 10:45</v>
      </c>
      <c r="I3300" s="316" t="str">
        <f t="array" ref="I3300">XLOOKUP(B3300,Roster!L:L,Roster!O:O,XLOOKUP(D3300,TicketsBreak!A:A,TicketsBreak!F:F,"",0),0)</f>
        <v>13:30 - 14:00</v>
      </c>
      <c r="J3300" s="316" t="str">
        <f t="array" ref="J3300">XLOOKUP(B3300,Roster!L:L,Roster!P:P,XLOOKUP(D3300,TicketsBreak!A:A,TicketsBreak!G:G,"",0),0)</f>
        <v>15:45 - 16:00</v>
      </c>
      <c r="K3300" s="310">
        <f t="shared" si="4"/>
        <v>46140</v>
      </c>
      <c r="L3300" s="317">
        <f t="array" ref="L3300">(XLOOKUP(D3300,Roster!F:F,Roster!D:D,"",0))</f>
        <v>38</v>
      </c>
      <c r="M3300" s="317" t="str">
        <f t="array" ref="M3300">XLOOKUP(D3300,Roster!F:F,Roster!E:E)</f>
        <v>Voice</v>
      </c>
      <c r="N3300" s="317" t="str">
        <f t="shared" ref="N3300:P3300" si="3345">LEFT(H3300,5)</f>
        <v>10:30</v>
      </c>
      <c r="O3300" s="317" t="str">
        <f t="shared" si="3345"/>
        <v>13:30</v>
      </c>
      <c r="P3300" s="317" t="str">
        <f t="shared" si="3345"/>
        <v>15:45</v>
      </c>
      <c r="Q3300" s="318">
        <f t="shared" si="3216"/>
        <v>46140.4375</v>
      </c>
      <c r="R3300" s="318">
        <f t="shared" si="3217"/>
        <v>46140.5625</v>
      </c>
      <c r="S3300" s="318">
        <f t="shared" si="8"/>
        <v>46140.65625</v>
      </c>
    </row>
    <row r="3301">
      <c r="A3301" s="14" t="str">
        <f t="shared" si="1"/>
        <v>C53546140</v>
      </c>
      <c r="B3301" s="185" t="str">
        <f t="array" ref="B3301">IF(F3301="VL","",IF(F3301="Free","Free",XLOOKUP(D3301,Roster!T:T,Roster!S:S,"",0)))</f>
        <v/>
      </c>
      <c r="C3301" s="313">
        <v>46140.0</v>
      </c>
      <c r="D3301" s="314" t="s">
        <v>145</v>
      </c>
      <c r="E3301" s="307" t="str">
        <f t="array" ref="E3301">(XLOOKUP(D3301,Roster!F:F,Roster!B:B,"",0))</f>
        <v>Lina Cadena</v>
      </c>
      <c r="F3301" s="315" t="str">
        <f t="array" ref="F3301">IF(B3301=100,"Free",TEXT(XLOOKUP($D3301,OperationVoice!$A:$A,OperationVoice!AH:AH,XLOOKUP($D3301,OperationTickets!$A:$A,OperationTickets!AH:AH,"",0)),"hh:mm"))</f>
        <v>08:00</v>
      </c>
      <c r="G3301" s="309">
        <f t="shared" si="3"/>
        <v>0.7083333333</v>
      </c>
      <c r="H3301" s="316">
        <f t="array" ref="H3301">XLOOKUP(B3301,Roster!L:L,Roster!N:N,XLOOKUP(D3301,TicketsBreak!A:A,TicketsBreak!E:E,"",0),0)</f>
        <v>0.3854166667</v>
      </c>
      <c r="I3301" s="316">
        <f t="array" ref="I3301">XLOOKUP(B3301,Roster!L:L,Roster!O:O,XLOOKUP(D3301,TicketsBreak!A:A,TicketsBreak!F:F,"",0),0)</f>
        <v>0.5833333333</v>
      </c>
      <c r="J3301" s="316">
        <f t="array" ref="J3301">XLOOKUP(B3301,Roster!L:L,Roster!P:P,XLOOKUP(D3301,TicketsBreak!A:A,TicketsBreak!G:G,"",0),0)</f>
        <v>0.6458333333</v>
      </c>
      <c r="K3301" s="310">
        <f t="shared" si="4"/>
        <v>46140</v>
      </c>
      <c r="L3301" s="317">
        <f t="array" ref="L3301">(XLOOKUP(D3301,Roster!F:F,Roster!D:D,"",0))</f>
        <v>2</v>
      </c>
      <c r="M3301" s="317" t="str">
        <f t="array" ref="M3301">XLOOKUP(D3301,Roster!F:F,Roster!E:E)</f>
        <v>Tickets</v>
      </c>
      <c r="N3301" s="317" t="str">
        <f t="shared" ref="N3301:P3301" si="3346">LEFT(H3301,5)</f>
        <v>09:15</v>
      </c>
      <c r="O3301" s="317" t="str">
        <f t="shared" si="3346"/>
        <v>14:00</v>
      </c>
      <c r="P3301" s="317" t="str">
        <f t="shared" si="3346"/>
        <v>15:30</v>
      </c>
      <c r="Q3301" s="318">
        <f t="shared" si="3216"/>
        <v>46140.38542</v>
      </c>
      <c r="R3301" s="318">
        <f t="shared" si="3217"/>
        <v>46140.58333</v>
      </c>
      <c r="S3301" s="318">
        <f t="shared" si="8"/>
        <v>46140.64583</v>
      </c>
    </row>
    <row r="3302">
      <c r="A3302" s="14" t="str">
        <f t="shared" si="1"/>
        <v>C151746140</v>
      </c>
      <c r="B3302" s="185">
        <f t="array" ref="B3302">IF(F3302="VL","",IF(F3302="Free","Free",XLOOKUP(D3302,Roster!T:T,Roster!S:S,"",0)))</f>
        <v>124</v>
      </c>
      <c r="C3302" s="313">
        <v>46140.0</v>
      </c>
      <c r="D3302" s="314" t="s">
        <v>57</v>
      </c>
      <c r="E3302" s="307" t="str">
        <f t="array" ref="E3302">(XLOOKUP(D3302,Roster!F:F,Roster!B:B,"",0))</f>
        <v>Lisandro Alvarado</v>
      </c>
      <c r="F3302" s="315" t="str">
        <f t="array" ref="F3302">IF(B3302=100,"Free",TEXT(XLOOKUP($D3302,OperationVoice!$A:$A,OperationVoice!AH:AH,XLOOKUP($D3302,OperationTickets!$A:$A,OperationTickets!AH:AH,"",0)),"hh:mm"))</f>
        <v>08:00</v>
      </c>
      <c r="G3302" s="309">
        <f t="shared" si="3"/>
        <v>0.7083333333</v>
      </c>
      <c r="H3302" s="316" t="str">
        <f t="array" ref="H3302">XLOOKUP(B3302,Roster!L:L,Roster!N:N,XLOOKUP(D3302,TicketsBreak!A:A,TicketsBreak!E:E,"",0),0)</f>
        <v>10:00 - 10:15</v>
      </c>
      <c r="I3302" s="316" t="str">
        <f t="array" ref="I3302">XLOOKUP(B3302,Roster!L:L,Roster!O:O,XLOOKUP(D3302,TicketsBreak!A:A,TicketsBreak!F:F,"",0),0)</f>
        <v>13:00 - 13:30</v>
      </c>
      <c r="J3302" s="316" t="str">
        <f t="array" ref="J3302">XLOOKUP(B3302,Roster!L:L,Roster!P:P,XLOOKUP(D3302,TicketsBreak!A:A,TicketsBreak!G:G,"",0),0)</f>
        <v>15:30 - 15:45</v>
      </c>
      <c r="K3302" s="310">
        <f t="shared" si="4"/>
        <v>46140</v>
      </c>
      <c r="L3302" s="317">
        <f t="array" ref="L3302">(XLOOKUP(D3302,Roster!F:F,Roster!D:D,"",0))</f>
        <v>35</v>
      </c>
      <c r="M3302" s="317" t="str">
        <f t="array" ref="M3302">XLOOKUP(D3302,Roster!F:F,Roster!E:E)</f>
        <v>Voice</v>
      </c>
      <c r="N3302" s="317" t="str">
        <f t="shared" ref="N3302:P3302" si="3347">LEFT(H3302,5)</f>
        <v>10:00</v>
      </c>
      <c r="O3302" s="317" t="str">
        <f t="shared" si="3347"/>
        <v>13:00</v>
      </c>
      <c r="P3302" s="317" t="str">
        <f t="shared" si="3347"/>
        <v>15:30</v>
      </c>
      <c r="Q3302" s="318">
        <f t="shared" si="3216"/>
        <v>46140.41667</v>
      </c>
      <c r="R3302" s="318">
        <f t="shared" si="3217"/>
        <v>46140.54167</v>
      </c>
      <c r="S3302" s="318">
        <f t="shared" si="8"/>
        <v>46140.64583</v>
      </c>
    </row>
    <row r="3303">
      <c r="A3303" s="14" t="str">
        <f t="shared" si="1"/>
        <v>C143346140</v>
      </c>
      <c r="B3303" s="185">
        <f t="array" ref="B3303">IF(F3303="VL","",IF(F3303="Free","Free",XLOOKUP(D3303,Roster!T:T,Roster!S:S,"",0)))</f>
        <v>500</v>
      </c>
      <c r="C3303" s="313">
        <v>46140.0</v>
      </c>
      <c r="D3303" s="314" t="s">
        <v>58</v>
      </c>
      <c r="E3303" s="307" t="str">
        <f t="array" ref="E3303">(XLOOKUP(D3303,Roster!F:F,Roster!B:B,"",0))</f>
        <v>Luis Lopez</v>
      </c>
      <c r="F3303" s="315" t="str">
        <f t="array" ref="F3303">IF(B3303=100,"Free",TEXT(XLOOKUP($D3303,OperationVoice!$A:$A,OperationVoice!AH:AH,XLOOKUP($D3303,OperationTickets!$A:$A,OperationTickets!AH:AH,"",0)),"hh:mm"))</f>
        <v>15:00</v>
      </c>
      <c r="G3303" s="309">
        <f t="shared" si="3"/>
        <v>1</v>
      </c>
      <c r="H3303" s="316" t="str">
        <f t="array" ref="H3303">XLOOKUP(B3303,Roster!L:L,Roster!N:N,XLOOKUP(D3303,TicketsBreak!A:A,TicketsBreak!E:E,"",0),0)</f>
        <v>Team Leader</v>
      </c>
      <c r="I3303" s="316" t="str">
        <f t="array" ref="I3303">XLOOKUP(B3303,Roster!L:L,Roster!O:O,XLOOKUP(D3303,TicketsBreak!A:A,TicketsBreak!F:F,"",0),0)</f>
        <v>Team Leader</v>
      </c>
      <c r="J3303" s="316" t="str">
        <f t="array" ref="J3303">XLOOKUP(B3303,Roster!L:L,Roster!P:P,XLOOKUP(D3303,TicketsBreak!A:A,TicketsBreak!G:G,"",0),0)</f>
        <v/>
      </c>
      <c r="K3303" s="310">
        <f t="shared" si="4"/>
        <v>46140</v>
      </c>
      <c r="L3303" s="317">
        <f t="array" ref="L3303">(XLOOKUP(D3303,Roster!F:F,Roster!D:D,"",0))</f>
        <v>32</v>
      </c>
      <c r="M3303" s="317" t="str">
        <f t="array" ref="M3303">XLOOKUP(D3303,Roster!F:F,Roster!E:E)</f>
        <v>Voice</v>
      </c>
      <c r="N3303" s="317" t="str">
        <f t="shared" ref="N3303:P3303" si="3348">LEFT(H3303,5)</f>
        <v>Team </v>
      </c>
      <c r="O3303" s="317" t="str">
        <f t="shared" si="3348"/>
        <v>Team </v>
      </c>
      <c r="P3303" s="317" t="str">
        <f t="shared" si="3348"/>
        <v/>
      </c>
      <c r="Q3303" s="318" t="str">
        <f t="shared" si="3216"/>
        <v>#VALUE!</v>
      </c>
      <c r="R3303" s="318" t="str">
        <f t="shared" si="3217"/>
        <v>#VALUE!</v>
      </c>
      <c r="S3303" s="318" t="str">
        <f t="shared" si="8"/>
        <v/>
      </c>
    </row>
    <row r="3304">
      <c r="A3304" s="14" t="str">
        <f t="shared" si="1"/>
        <v>C153446140</v>
      </c>
      <c r="B3304" s="185">
        <f t="array" ref="B3304">IF(F3304="VL","",IF(F3304="Free","Free",XLOOKUP(D3304,Roster!T:T,Roster!S:S,"",0)))</f>
        <v>126</v>
      </c>
      <c r="C3304" s="313">
        <v>46140.0</v>
      </c>
      <c r="D3304" s="314" t="s">
        <v>59</v>
      </c>
      <c r="E3304" s="307" t="str">
        <f t="array" ref="E3304">(XLOOKUP(D3304,Roster!F:F,Roster!B:B,"",0))</f>
        <v>Luis Munoz</v>
      </c>
      <c r="F3304" s="315" t="str">
        <f t="array" ref="F3304">IF(B3304=100,"Free",TEXT(XLOOKUP($D3304,OperationVoice!$A:$A,OperationVoice!AH:AH,XLOOKUP($D3304,OperationTickets!$A:$A,OperationTickets!AH:AH,"",0)),"hh:mm"))</f>
        <v>08:00</v>
      </c>
      <c r="G3304" s="309">
        <f t="shared" si="3"/>
        <v>0.7083333333</v>
      </c>
      <c r="H3304" s="316" t="str">
        <f t="array" ref="H3304">XLOOKUP(B3304,Roster!L:L,Roster!N:N,XLOOKUP(D3304,TicketsBreak!A:A,TicketsBreak!E:E,"",0),0)</f>
        <v>10:45 - 11:00</v>
      </c>
      <c r="I3304" s="316" t="str">
        <f t="array" ref="I3304">XLOOKUP(B3304,Roster!L:L,Roster!O:O,XLOOKUP(D3304,TicketsBreak!A:A,TicketsBreak!F:F,"",0),0)</f>
        <v>14:00 - 14:30</v>
      </c>
      <c r="J3304" s="316" t="str">
        <f t="array" ref="J3304">XLOOKUP(B3304,Roster!L:L,Roster!P:P,XLOOKUP(D3304,TicketsBreak!A:A,TicketsBreak!G:G,"",0),0)</f>
        <v>15:45 - 16:00</v>
      </c>
      <c r="K3304" s="310">
        <f t="shared" si="4"/>
        <v>46140</v>
      </c>
      <c r="L3304" s="317">
        <f t="array" ref="L3304">(XLOOKUP(D3304,Roster!F:F,Roster!D:D,"",0))</f>
        <v>36</v>
      </c>
      <c r="M3304" s="317" t="str">
        <f t="array" ref="M3304">XLOOKUP(D3304,Roster!F:F,Roster!E:E)</f>
        <v>Voice</v>
      </c>
      <c r="N3304" s="317" t="str">
        <f t="shared" ref="N3304:P3304" si="3349">LEFT(H3304,5)</f>
        <v>10:45</v>
      </c>
      <c r="O3304" s="317" t="str">
        <f t="shared" si="3349"/>
        <v>14:00</v>
      </c>
      <c r="P3304" s="317" t="str">
        <f t="shared" si="3349"/>
        <v>15:45</v>
      </c>
      <c r="Q3304" s="318">
        <f t="shared" si="3216"/>
        <v>46140.44792</v>
      </c>
      <c r="R3304" s="318">
        <f t="shared" si="3217"/>
        <v>46140.58333</v>
      </c>
      <c r="S3304" s="318">
        <f t="shared" si="8"/>
        <v>46140.65625</v>
      </c>
    </row>
    <row r="3305">
      <c r="A3305" s="14" t="str">
        <f t="shared" si="1"/>
        <v>C53846140</v>
      </c>
      <c r="B3305" s="185" t="str">
        <f t="array" ref="B3305">IF(F3305="VL","",IF(F3305="Free","Free",XLOOKUP(D3305,Roster!T:T,Roster!S:S,"",0)))</f>
        <v/>
      </c>
      <c r="C3305" s="313">
        <v>46140.0</v>
      </c>
      <c r="D3305" s="314" t="s">
        <v>165</v>
      </c>
      <c r="E3305" s="307" t="str">
        <f t="array" ref="E3305">(XLOOKUP(D3305,Roster!F:F,Roster!B:B,"",0))</f>
        <v>Luisa Arenas</v>
      </c>
      <c r="F3305" s="315" t="str">
        <f t="array" ref="F3305">IF(B3305=100,"Free",TEXT(XLOOKUP($D3305,OperationVoice!$A:$A,OperationVoice!AH:AH,XLOOKUP($D3305,OperationTickets!$A:$A,OperationTickets!AH:AH,"",0)),"hh:mm"))</f>
        <v>08:00</v>
      </c>
      <c r="G3305" s="309">
        <f t="shared" si="3"/>
        <v>0.7083333333</v>
      </c>
      <c r="H3305" s="316" t="str">
        <f t="array" ref="H3305">XLOOKUP(B3305,Roster!L:L,Roster!N:N,XLOOKUP(D3305,TicketsBreak!A:A,TicketsBreak!E:E,"",0),0)</f>
        <v/>
      </c>
      <c r="I3305" s="316" t="str">
        <f t="array" ref="I3305">XLOOKUP(B3305,Roster!L:L,Roster!O:O,XLOOKUP(D3305,TicketsBreak!A:A,TicketsBreak!F:F,"",0),0)</f>
        <v/>
      </c>
      <c r="J3305" s="316" t="str">
        <f t="array" ref="J3305">XLOOKUP(B3305,Roster!L:L,Roster!P:P,XLOOKUP(D3305,TicketsBreak!A:A,TicketsBreak!G:G,"",0),0)</f>
        <v/>
      </c>
      <c r="K3305" s="310">
        <f t="shared" si="4"/>
        <v>46140</v>
      </c>
      <c r="L3305" s="317">
        <f t="array" ref="L3305">(XLOOKUP(D3305,Roster!F:F,Roster!D:D,"",0))</f>
        <v>35</v>
      </c>
      <c r="M3305" s="317" t="str">
        <f t="array" ref="M3305">XLOOKUP(D3305,Roster!F:F,Roster!E:E)</f>
        <v>Tickets</v>
      </c>
      <c r="N3305" s="317" t="str">
        <f t="shared" ref="N3305:P3305" si="3350">LEFT(H3305,5)</f>
        <v/>
      </c>
      <c r="O3305" s="317" t="str">
        <f t="shared" si="3350"/>
        <v/>
      </c>
      <c r="P3305" s="317" t="str">
        <f t="shared" si="3350"/>
        <v/>
      </c>
      <c r="Q3305" s="318" t="str">
        <f t="shared" si="3216"/>
        <v/>
      </c>
      <c r="R3305" s="318" t="str">
        <f t="shared" si="3217"/>
        <v/>
      </c>
      <c r="S3305" s="318" t="str">
        <f t="shared" si="8"/>
        <v/>
      </c>
    </row>
    <row r="3306">
      <c r="A3306" s="14" t="str">
        <f t="shared" si="1"/>
        <v>C113646140</v>
      </c>
      <c r="B3306" s="185">
        <f t="array" ref="B3306">IF(F3306="VL","",IF(F3306="Free","Free",XLOOKUP(D3306,Roster!T:T,Roster!S:S,"",0)))</f>
        <v>126</v>
      </c>
      <c r="C3306" s="313">
        <v>46140.0</v>
      </c>
      <c r="D3306" s="314" t="s">
        <v>60</v>
      </c>
      <c r="E3306" s="307" t="str">
        <f t="array" ref="E3306">(XLOOKUP(D3306,Roster!F:F,Roster!B:B,"",0))</f>
        <v>Luisa Gonzalez</v>
      </c>
      <c r="F3306" s="315" t="str">
        <f t="array" ref="F3306">IF(B3306=100,"Free",TEXT(XLOOKUP($D3306,OperationVoice!$A:$A,OperationVoice!AH:AH,XLOOKUP($D3306,OperationTickets!$A:$A,OperationTickets!AH:AH,"",0)),"hh:mm"))</f>
        <v>08:00</v>
      </c>
      <c r="G3306" s="309">
        <f t="shared" si="3"/>
        <v>0.7083333333</v>
      </c>
      <c r="H3306" s="316" t="str">
        <f t="array" ref="H3306">XLOOKUP(B3306,Roster!L:L,Roster!N:N,XLOOKUP(D3306,TicketsBreak!A:A,TicketsBreak!E:E,"",0),0)</f>
        <v>10:45 - 11:00</v>
      </c>
      <c r="I3306" s="316" t="str">
        <f t="array" ref="I3306">XLOOKUP(B3306,Roster!L:L,Roster!O:O,XLOOKUP(D3306,TicketsBreak!A:A,TicketsBreak!F:F,"",0),0)</f>
        <v>14:00 - 14:30</v>
      </c>
      <c r="J3306" s="316" t="str">
        <f t="array" ref="J3306">XLOOKUP(B3306,Roster!L:L,Roster!P:P,XLOOKUP(D3306,TicketsBreak!A:A,TicketsBreak!G:G,"",0),0)</f>
        <v>15:45 - 16:00</v>
      </c>
      <c r="K3306" s="310">
        <f t="shared" si="4"/>
        <v>46140</v>
      </c>
      <c r="L3306" s="317">
        <f t="array" ref="L3306">(XLOOKUP(D3306,Roster!F:F,Roster!D:D,"",0))</f>
        <v>22</v>
      </c>
      <c r="M3306" s="317" t="str">
        <f t="array" ref="M3306">XLOOKUP(D3306,Roster!F:F,Roster!E:E)</f>
        <v>Voice</v>
      </c>
      <c r="N3306" s="317" t="str">
        <f t="shared" ref="N3306:P3306" si="3351">LEFT(H3306,5)</f>
        <v>10:45</v>
      </c>
      <c r="O3306" s="317" t="str">
        <f t="shared" si="3351"/>
        <v>14:00</v>
      </c>
      <c r="P3306" s="317" t="str">
        <f t="shared" si="3351"/>
        <v>15:45</v>
      </c>
      <c r="Q3306" s="318">
        <f t="shared" si="3216"/>
        <v>46140.44792</v>
      </c>
      <c r="R3306" s="318">
        <f t="shared" si="3217"/>
        <v>46140.58333</v>
      </c>
      <c r="S3306" s="318">
        <f t="shared" si="8"/>
        <v>46140.65625</v>
      </c>
    </row>
    <row r="3307">
      <c r="A3307" s="14" t="str">
        <f t="shared" si="1"/>
        <v>C157746140</v>
      </c>
      <c r="B3307" s="185">
        <f t="array" ref="B3307">IF(F3307="VL","",IF(F3307="Free","Free",XLOOKUP(D3307,Roster!T:T,Roster!S:S,"",0)))</f>
        <v>126</v>
      </c>
      <c r="C3307" s="313">
        <v>46140.0</v>
      </c>
      <c r="D3307" s="314" t="s">
        <v>61</v>
      </c>
      <c r="E3307" s="307" t="str">
        <f t="array" ref="E3307">(XLOOKUP(D3307,Roster!F:F,Roster!B:B,"",0))</f>
        <v>Luna Morales</v>
      </c>
      <c r="F3307" s="315" t="str">
        <f t="array" ref="F3307">IF(B3307=100,"Free",TEXT(XLOOKUP($D3307,OperationVoice!$A:$A,OperationVoice!AH:AH,XLOOKUP($D3307,OperationTickets!$A:$A,OperationTickets!AH:AH,"",0)),"hh:mm"))</f>
        <v>08:00</v>
      </c>
      <c r="G3307" s="309">
        <f t="shared" si="3"/>
        <v>0.7083333333</v>
      </c>
      <c r="H3307" s="316" t="str">
        <f t="array" ref="H3307">XLOOKUP(B3307,Roster!L:L,Roster!N:N,XLOOKUP(D3307,TicketsBreak!A:A,TicketsBreak!E:E,"",0),0)</f>
        <v>10:45 - 11:00</v>
      </c>
      <c r="I3307" s="316" t="str">
        <f t="array" ref="I3307">XLOOKUP(B3307,Roster!L:L,Roster!O:O,XLOOKUP(D3307,TicketsBreak!A:A,TicketsBreak!F:F,"",0),0)</f>
        <v>14:00 - 14:30</v>
      </c>
      <c r="J3307" s="316" t="str">
        <f t="array" ref="J3307">XLOOKUP(B3307,Roster!L:L,Roster!P:P,XLOOKUP(D3307,TicketsBreak!A:A,TicketsBreak!G:G,"",0),0)</f>
        <v>15:45 - 16:00</v>
      </c>
      <c r="K3307" s="310">
        <f t="shared" si="4"/>
        <v>46140</v>
      </c>
      <c r="L3307" s="317">
        <f t="array" ref="L3307">(XLOOKUP(D3307,Roster!F:F,Roster!D:D,"",0))</f>
        <v>38</v>
      </c>
      <c r="M3307" s="317" t="str">
        <f t="array" ref="M3307">XLOOKUP(D3307,Roster!F:F,Roster!E:E)</f>
        <v>Voice</v>
      </c>
      <c r="N3307" s="317" t="str">
        <f t="shared" ref="N3307:P3307" si="3352">LEFT(H3307,5)</f>
        <v>10:45</v>
      </c>
      <c r="O3307" s="317" t="str">
        <f t="shared" si="3352"/>
        <v>14:00</v>
      </c>
      <c r="P3307" s="317" t="str">
        <f t="shared" si="3352"/>
        <v>15:45</v>
      </c>
      <c r="Q3307" s="318">
        <f t="shared" si="3216"/>
        <v>46140.44792</v>
      </c>
      <c r="R3307" s="318">
        <f t="shared" si="3217"/>
        <v>46140.58333</v>
      </c>
      <c r="S3307" s="318">
        <f t="shared" si="8"/>
        <v>46140.65625</v>
      </c>
    </row>
    <row r="3308">
      <c r="A3308" s="14" t="str">
        <f t="shared" si="1"/>
        <v>C121946140</v>
      </c>
      <c r="B3308" s="185" t="str">
        <f t="array" ref="B3308">IF(F3308="VL","",IF(F3308="Free","Free",XLOOKUP(D3308,Roster!T:T,Roster!S:S,"",0)))</f>
        <v/>
      </c>
      <c r="C3308" s="313">
        <v>46140.0</v>
      </c>
      <c r="D3308" s="314" t="s">
        <v>146</v>
      </c>
      <c r="E3308" s="307" t="str">
        <f t="array" ref="E3308">(XLOOKUP(D3308,Roster!F:F,Roster!B:B,"",0))</f>
        <v>Madelyn Jaramillo</v>
      </c>
      <c r="F3308" s="315" t="str">
        <f t="array" ref="F3308">IF(B3308=100,"Free",TEXT(XLOOKUP($D3308,OperationVoice!$A:$A,OperationVoice!AH:AH,XLOOKUP($D3308,OperationTickets!$A:$A,OperationTickets!AH:AH,"",0)),"hh:mm"))</f>
        <v>08:00</v>
      </c>
      <c r="G3308" s="309">
        <f t="shared" si="3"/>
        <v>0.7083333333</v>
      </c>
      <c r="H3308" s="316" t="str">
        <f t="array" ref="H3308">XLOOKUP(B3308,Roster!L:L,Roster!N:N,XLOOKUP(D3308,TicketsBreak!A:A,TicketsBreak!E:E,"",0),0)</f>
        <v/>
      </c>
      <c r="I3308" s="316" t="str">
        <f t="array" ref="I3308">XLOOKUP(B3308,Roster!L:L,Roster!O:O,XLOOKUP(D3308,TicketsBreak!A:A,TicketsBreak!F:F,"",0),0)</f>
        <v/>
      </c>
      <c r="J3308" s="316" t="str">
        <f t="array" ref="J3308">XLOOKUP(B3308,Roster!L:L,Roster!P:P,XLOOKUP(D3308,TicketsBreak!A:A,TicketsBreak!G:G,"",0),0)</f>
        <v/>
      </c>
      <c r="K3308" s="310">
        <f t="shared" si="4"/>
        <v>46140</v>
      </c>
      <c r="L3308" s="317">
        <f t="array" ref="L3308">(XLOOKUP(D3308,Roster!F:F,Roster!D:D,"",0))</f>
        <v>26</v>
      </c>
      <c r="M3308" s="317" t="str">
        <f t="array" ref="M3308">XLOOKUP(D3308,Roster!F:F,Roster!E:E)</f>
        <v>Tickets</v>
      </c>
      <c r="N3308" s="317" t="str">
        <f t="shared" ref="N3308:P3308" si="3353">LEFT(H3308,5)</f>
        <v/>
      </c>
      <c r="O3308" s="317" t="str">
        <f t="shared" si="3353"/>
        <v/>
      </c>
      <c r="P3308" s="317" t="str">
        <f t="shared" si="3353"/>
        <v/>
      </c>
      <c r="Q3308" s="318" t="str">
        <f t="shared" si="3216"/>
        <v/>
      </c>
      <c r="R3308" s="318" t="str">
        <f t="shared" si="3217"/>
        <v/>
      </c>
      <c r="S3308" s="318" t="str">
        <f t="shared" si="8"/>
        <v/>
      </c>
    </row>
    <row r="3309">
      <c r="A3309" s="14" t="str">
        <f t="shared" si="1"/>
        <v>C151646140</v>
      </c>
      <c r="B3309" s="185">
        <f t="array" ref="B3309">IF(F3309="VL","",IF(F3309="Free","Free",XLOOKUP(D3309,Roster!T:T,Roster!S:S,"",0)))</f>
        <v>122</v>
      </c>
      <c r="C3309" s="313">
        <v>46140.0</v>
      </c>
      <c r="D3309" s="314" t="s">
        <v>62</v>
      </c>
      <c r="E3309" s="307" t="str">
        <f t="array" ref="E3309">(XLOOKUP(D3309,Roster!F:F,Roster!B:B,"",0))</f>
        <v>Magda Foronda</v>
      </c>
      <c r="F3309" s="315" t="str">
        <f t="array" ref="F3309">IF(B3309=100,"Free",TEXT(XLOOKUP($D3309,OperationVoice!$A:$A,OperationVoice!AH:AH,XLOOKUP($D3309,OperationTickets!$A:$A,OperationTickets!AH:AH,"",0)),"hh:mm"))</f>
        <v>08:00</v>
      </c>
      <c r="G3309" s="309">
        <f t="shared" si="3"/>
        <v>0.7083333333</v>
      </c>
      <c r="H3309" s="316" t="str">
        <f t="array" ref="H3309">XLOOKUP(B3309,Roster!L:L,Roster!N:N,XLOOKUP(D3309,TicketsBreak!A:A,TicketsBreak!E:E,"",0),0)</f>
        <v>09:30 - 09:45</v>
      </c>
      <c r="I3309" s="316" t="str">
        <f t="array" ref="I3309">XLOOKUP(B3309,Roster!L:L,Roster!O:O,XLOOKUP(D3309,TicketsBreak!A:A,TicketsBreak!F:F,"",0),0)</f>
        <v>12:00 - 12:30</v>
      </c>
      <c r="J3309" s="316" t="str">
        <f t="array" ref="J3309">XLOOKUP(B3309,Roster!L:L,Roster!P:P,XLOOKUP(D3309,TicketsBreak!A:A,TicketsBreak!G:G,"",0),0)</f>
        <v>14:45 - 15:00</v>
      </c>
      <c r="K3309" s="310">
        <f t="shared" si="4"/>
        <v>46140</v>
      </c>
      <c r="L3309" s="317">
        <f t="array" ref="L3309">(XLOOKUP(D3309,Roster!F:F,Roster!D:D,"",0))</f>
        <v>35</v>
      </c>
      <c r="M3309" s="317" t="str">
        <f t="array" ref="M3309">XLOOKUP(D3309,Roster!F:F,Roster!E:E)</f>
        <v>Voice</v>
      </c>
      <c r="N3309" s="317" t="str">
        <f t="shared" ref="N3309:P3309" si="3354">LEFT(H3309,5)</f>
        <v>09:30</v>
      </c>
      <c r="O3309" s="317" t="str">
        <f t="shared" si="3354"/>
        <v>12:00</v>
      </c>
      <c r="P3309" s="317" t="str">
        <f t="shared" si="3354"/>
        <v>14:45</v>
      </c>
      <c r="Q3309" s="318">
        <f t="shared" si="3216"/>
        <v>46140.39583</v>
      </c>
      <c r="R3309" s="318">
        <f t="shared" si="3217"/>
        <v>46140.5</v>
      </c>
      <c r="S3309" s="318">
        <f t="shared" si="8"/>
        <v>46140.61458</v>
      </c>
    </row>
    <row r="3310">
      <c r="A3310" s="14" t="str">
        <f t="shared" si="1"/>
        <v>C118046140</v>
      </c>
      <c r="B3310" s="185">
        <f t="array" ref="B3310">IF(F3310="VL","",IF(F3310="Free","Free",XLOOKUP(D3310,Roster!T:T,Roster!S:S,"",0)))</f>
        <v>500</v>
      </c>
      <c r="C3310" s="313">
        <v>46140.0</v>
      </c>
      <c r="D3310" s="314" t="s">
        <v>147</v>
      </c>
      <c r="E3310" s="307" t="str">
        <f t="array" ref="E3310">(XLOOKUP(D3310,Roster!F:F,Roster!B:B,"",0))</f>
        <v>Manuela Moreno</v>
      </c>
      <c r="F3310" s="315" t="str">
        <f t="array" ref="F3310">IF(B3310=100,"Free",TEXT(XLOOKUP($D3310,OperationVoice!$A:$A,OperationVoice!AH:AH,XLOOKUP($D3310,OperationTickets!$A:$A,OperationTickets!AH:AH,"",0)),"hh:mm"))</f>
        <v>09:00</v>
      </c>
      <c r="G3310" s="309">
        <f t="shared" si="3"/>
        <v>0.75</v>
      </c>
      <c r="H3310" s="316" t="str">
        <f t="array" ref="H3310">XLOOKUP(B3310,Roster!L:L,Roster!N:N,XLOOKUP(D3310,TicketsBreak!A:A,TicketsBreak!E:E,"",0),0)</f>
        <v>Team Leader</v>
      </c>
      <c r="I3310" s="316" t="str">
        <f t="array" ref="I3310">XLOOKUP(B3310,Roster!L:L,Roster!O:O,XLOOKUP(D3310,TicketsBreak!A:A,TicketsBreak!F:F,"",0),0)</f>
        <v>Team Leader</v>
      </c>
      <c r="J3310" s="316" t="str">
        <f t="array" ref="J3310">XLOOKUP(B3310,Roster!L:L,Roster!P:P,XLOOKUP(D3310,TicketsBreak!A:A,TicketsBreak!G:G,"",0),0)</f>
        <v/>
      </c>
      <c r="K3310" s="310">
        <f t="shared" si="4"/>
        <v>46140</v>
      </c>
      <c r="L3310" s="317">
        <f t="array" ref="L3310">(XLOOKUP(D3310,Roster!F:F,Roster!D:D,"",0))</f>
        <v>24</v>
      </c>
      <c r="M3310" s="317" t="str">
        <f t="array" ref="M3310">XLOOKUP(D3310,Roster!F:F,Roster!E:E)</f>
        <v>Tickets</v>
      </c>
      <c r="N3310" s="317" t="str">
        <f t="shared" ref="N3310:P3310" si="3355">LEFT(H3310,5)</f>
        <v>Team </v>
      </c>
      <c r="O3310" s="317" t="str">
        <f t="shared" si="3355"/>
        <v>Team </v>
      </c>
      <c r="P3310" s="317" t="str">
        <f t="shared" si="3355"/>
        <v/>
      </c>
      <c r="Q3310" s="318" t="str">
        <f>IF(P3310="","",$C3310+N3310)</f>
        <v/>
      </c>
      <c r="R3310" s="318" t="str">
        <f>if(P3310="","",$C3310+O3310)</f>
        <v/>
      </c>
      <c r="S3310" s="318" t="str">
        <f t="shared" si="8"/>
        <v/>
      </c>
    </row>
    <row r="3311">
      <c r="A3311" s="14" t="str">
        <f t="shared" si="1"/>
        <v>C153646140</v>
      </c>
      <c r="B3311" s="185">
        <f t="array" ref="B3311">IF(F3311="VL","",IF(F3311="Free","Free",XLOOKUP(D3311,Roster!T:T,Roster!S:S,"",0)))</f>
        <v>121</v>
      </c>
      <c r="C3311" s="313">
        <v>46140.0</v>
      </c>
      <c r="D3311" s="314" t="s">
        <v>63</v>
      </c>
      <c r="E3311" s="307" t="str">
        <f t="array" ref="E3311">(XLOOKUP(D3311,Roster!F:F,Roster!B:B,"",0))</f>
        <v>Maria Mesa</v>
      </c>
      <c r="F3311" s="315" t="str">
        <f t="array" ref="F3311">IF(B3311=100,"Free",TEXT(XLOOKUP($D3311,OperationVoice!$A:$A,OperationVoice!AH:AH,XLOOKUP($D3311,OperationTickets!$A:$A,OperationTickets!AH:AH,"",0)),"hh:mm"))</f>
        <v>08:00</v>
      </c>
      <c r="G3311" s="309">
        <f t="shared" si="3"/>
        <v>0.7083333333</v>
      </c>
      <c r="H3311" s="316" t="str">
        <f t="array" ref="H3311">XLOOKUP(B3311,Roster!L:L,Roster!N:N,XLOOKUP(D3311,TicketsBreak!A:A,TicketsBreak!E:E,"",0),0)</f>
        <v>09:15 - 09:30</v>
      </c>
      <c r="I3311" s="316" t="str">
        <f t="array" ref="I3311">XLOOKUP(B3311,Roster!L:L,Roster!O:O,XLOOKUP(D3311,TicketsBreak!A:A,TicketsBreak!F:F,"",0),0)</f>
        <v>11:30 - 12:00</v>
      </c>
      <c r="J3311" s="316" t="str">
        <f t="array" ref="J3311">XLOOKUP(B3311,Roster!L:L,Roster!P:P,XLOOKUP(D3311,TicketsBreak!A:A,TicketsBreak!G:G,"",0),0)</f>
        <v>14:30 - 14:45</v>
      </c>
      <c r="K3311" s="310">
        <f t="shared" si="4"/>
        <v>46140</v>
      </c>
      <c r="L3311" s="317">
        <f t="array" ref="L3311">(XLOOKUP(D3311,Roster!F:F,Roster!D:D,"",0))</f>
        <v>36</v>
      </c>
      <c r="M3311" s="317" t="str">
        <f t="array" ref="M3311">XLOOKUP(D3311,Roster!F:F,Roster!E:E)</f>
        <v>Voice</v>
      </c>
      <c r="N3311" s="317" t="str">
        <f t="shared" ref="N3311:P3311" si="3356">LEFT(H3311,5)</f>
        <v>09:15</v>
      </c>
      <c r="O3311" s="317" t="str">
        <f t="shared" si="3356"/>
        <v>11:30</v>
      </c>
      <c r="P3311" s="317" t="str">
        <f t="shared" si="3356"/>
        <v>14:30</v>
      </c>
      <c r="Q3311" s="318">
        <f t="shared" ref="Q3311:Q3449" si="3358">IF(N3311="","",$C3311+N3311)</f>
        <v>46140.38542</v>
      </c>
      <c r="R3311" s="318">
        <f t="shared" ref="R3311:R3449" si="3359">if(O3311="","",$C3311+O3311)</f>
        <v>46140.47917</v>
      </c>
      <c r="S3311" s="318">
        <f t="shared" si="8"/>
        <v>46140.60417</v>
      </c>
    </row>
    <row r="3312">
      <c r="A3312" s="14" t="str">
        <f t="shared" si="1"/>
        <v>C74046140</v>
      </c>
      <c r="B3312" s="185" t="str">
        <f t="array" ref="B3312">IF(F3312="VL","",IF(F3312="Free","Free",XLOOKUP(D3312,Roster!T:T,Roster!S:S,"",0)))</f>
        <v/>
      </c>
      <c r="C3312" s="313">
        <v>46140.0</v>
      </c>
      <c r="D3312" s="314" t="s">
        <v>166</v>
      </c>
      <c r="E3312" s="307" t="str">
        <f t="array" ref="E3312">(XLOOKUP(D3312,Roster!F:F,Roster!B:B,"",0))</f>
        <v>Mateo Agudelo</v>
      </c>
      <c r="F3312" s="315" t="str">
        <f t="array" ref="F3312">IF(B3312=100,"Free",TEXT(XLOOKUP($D3312,OperationVoice!$A:$A,OperationVoice!AH:AH,XLOOKUP($D3312,OperationTickets!$A:$A,OperationTickets!AH:AH,"",0)),"hh:mm"))</f>
        <v>VL</v>
      </c>
      <c r="G3312" s="309" t="str">
        <f t="shared" si="3"/>
        <v>VL</v>
      </c>
      <c r="H3312" s="316">
        <f t="array" ref="H3312">XLOOKUP(B3312,Roster!L:L,Roster!N:N,XLOOKUP(D3312,TicketsBreak!A:A,TicketsBreak!E:E,"",0),0)</f>
        <v>0.4166666667</v>
      </c>
      <c r="I3312" s="316">
        <f t="array" ref="I3312">XLOOKUP(B3312,Roster!L:L,Roster!O:O,XLOOKUP(D3312,TicketsBreak!A:A,TicketsBreak!F:F,"",0),0)</f>
        <v>0.5</v>
      </c>
      <c r="J3312" s="316">
        <f t="array" ref="J3312">XLOOKUP(B3312,Roster!L:L,Roster!P:P,XLOOKUP(D3312,TicketsBreak!A:A,TicketsBreak!G:G,"",0),0)</f>
        <v>0.65625</v>
      </c>
      <c r="K3312" s="310">
        <f t="shared" si="4"/>
        <v>46140</v>
      </c>
      <c r="L3312" s="317">
        <f t="array" ref="L3312">(XLOOKUP(D3312,Roster!F:F,Roster!D:D,"",0))</f>
        <v>8</v>
      </c>
      <c r="M3312" s="317" t="str">
        <f t="array" ref="M3312">XLOOKUP(D3312,Roster!F:F,Roster!E:E)</f>
        <v>Tickets</v>
      </c>
      <c r="N3312" s="317" t="str">
        <f t="shared" ref="N3312:P3312" si="3357">LEFT(H3312,5)</f>
        <v>10:00</v>
      </c>
      <c r="O3312" s="317" t="str">
        <f t="shared" si="3357"/>
        <v>12:00</v>
      </c>
      <c r="P3312" s="317" t="str">
        <f t="shared" si="3357"/>
        <v>15:45</v>
      </c>
      <c r="Q3312" s="318">
        <f t="shared" si="3358"/>
        <v>46140.41667</v>
      </c>
      <c r="R3312" s="318">
        <f t="shared" si="3359"/>
        <v>46140.5</v>
      </c>
      <c r="S3312" s="318">
        <f t="shared" si="8"/>
        <v>46140.65625</v>
      </c>
    </row>
    <row r="3313">
      <c r="A3313" s="14" t="str">
        <f t="shared" si="1"/>
        <v>C142946140</v>
      </c>
      <c r="B3313" s="185">
        <f t="array" ref="B3313">IF(F3313="VL","",IF(F3313="Free","Free",XLOOKUP(D3313,Roster!T:T,Roster!S:S,"",0)))</f>
        <v>121</v>
      </c>
      <c r="C3313" s="313">
        <v>46140.0</v>
      </c>
      <c r="D3313" s="314" t="s">
        <v>178</v>
      </c>
      <c r="E3313" s="307" t="str">
        <f t="array" ref="E3313">(XLOOKUP(D3313,Roster!F:F,Roster!B:B,"",0))</f>
        <v>Mateo Vanegas</v>
      </c>
      <c r="F3313" s="315" t="str">
        <f t="array" ref="F3313">IF(B3313=100,"Free",TEXT(XLOOKUP($D3313,OperationVoice!$A:$A,OperationVoice!AH:AH,XLOOKUP($D3313,OperationTickets!$A:$A,OperationTickets!AH:AH,"",0)),"hh:mm"))</f>
        <v>08:00</v>
      </c>
      <c r="G3313" s="309">
        <f t="shared" si="3"/>
        <v>0.7083333333</v>
      </c>
      <c r="H3313" s="316" t="str">
        <f t="array" ref="H3313">XLOOKUP(B3313,Roster!L:L,Roster!N:N,XLOOKUP(D3313,TicketsBreak!A:A,TicketsBreak!E:E,"",0),0)</f>
        <v>09:15 - 09:30</v>
      </c>
      <c r="I3313" s="316" t="str">
        <f t="array" ref="I3313">XLOOKUP(B3313,Roster!L:L,Roster!O:O,XLOOKUP(D3313,TicketsBreak!A:A,TicketsBreak!F:F,"",0),0)</f>
        <v>11:30 - 12:00</v>
      </c>
      <c r="J3313" s="316" t="str">
        <f t="array" ref="J3313">XLOOKUP(B3313,Roster!L:L,Roster!P:P,XLOOKUP(D3313,TicketsBreak!A:A,TicketsBreak!G:G,"",0),0)</f>
        <v>14:30 - 14:45</v>
      </c>
      <c r="K3313" s="310">
        <f t="shared" si="4"/>
        <v>46140</v>
      </c>
      <c r="L3313" s="317">
        <f t="array" ref="L3313">(XLOOKUP(D3313,Roster!F:F,Roster!D:D,"",0))</f>
        <v>32</v>
      </c>
      <c r="M3313" s="317" t="str">
        <f t="array" ref="M3313">XLOOKUP(D3313,Roster!F:F,Roster!E:E)</f>
        <v>Tickets</v>
      </c>
      <c r="N3313" s="317" t="str">
        <f t="shared" ref="N3313:P3313" si="3360">LEFT(H3313,5)</f>
        <v>09:15</v>
      </c>
      <c r="O3313" s="317" t="str">
        <f t="shared" si="3360"/>
        <v>11:30</v>
      </c>
      <c r="P3313" s="317" t="str">
        <f t="shared" si="3360"/>
        <v>14:30</v>
      </c>
      <c r="Q3313" s="318">
        <f t="shared" si="3358"/>
        <v>46140.38542</v>
      </c>
      <c r="R3313" s="318">
        <f t="shared" si="3359"/>
        <v>46140.47917</v>
      </c>
      <c r="S3313" s="318">
        <f t="shared" si="8"/>
        <v>46140.60417</v>
      </c>
    </row>
    <row r="3314">
      <c r="A3314" s="14" t="str">
        <f t="shared" si="1"/>
        <v>C146846140</v>
      </c>
      <c r="B3314" s="185">
        <f t="array" ref="B3314">IF(F3314="VL","",IF(F3314="Free","Free",XLOOKUP(D3314,Roster!T:T,Roster!S:S,"",0)))</f>
        <v>122</v>
      </c>
      <c r="C3314" s="313">
        <v>46140.0</v>
      </c>
      <c r="D3314" s="314" t="s">
        <v>64</v>
      </c>
      <c r="E3314" s="307" t="str">
        <f t="array" ref="E3314">(XLOOKUP(D3314,Roster!F:F,Roster!B:B,"",0))</f>
        <v>Miguel Betancur</v>
      </c>
      <c r="F3314" s="315" t="str">
        <f t="array" ref="F3314">IF(B3314=100,"Free",TEXT(XLOOKUP($D3314,OperationVoice!$A:$A,OperationVoice!AH:AH,XLOOKUP($D3314,OperationTickets!$A:$A,OperationTickets!AH:AH,"",0)),"hh:mm"))</f>
        <v>08:00</v>
      </c>
      <c r="G3314" s="309">
        <f t="shared" si="3"/>
        <v>0.7083333333</v>
      </c>
      <c r="H3314" s="316" t="str">
        <f t="array" ref="H3314">XLOOKUP(B3314,Roster!L:L,Roster!N:N,XLOOKUP(D3314,TicketsBreak!A:A,TicketsBreak!E:E,"",0),0)</f>
        <v>09:30 - 09:45</v>
      </c>
      <c r="I3314" s="316" t="str">
        <f t="array" ref="I3314">XLOOKUP(B3314,Roster!L:L,Roster!O:O,XLOOKUP(D3314,TicketsBreak!A:A,TicketsBreak!F:F,"",0),0)</f>
        <v>12:00 - 12:30</v>
      </c>
      <c r="J3314" s="316" t="str">
        <f t="array" ref="J3314">XLOOKUP(B3314,Roster!L:L,Roster!P:P,XLOOKUP(D3314,TicketsBreak!A:A,TicketsBreak!G:G,"",0),0)</f>
        <v>14:45 - 15:00</v>
      </c>
      <c r="K3314" s="310">
        <f t="shared" si="4"/>
        <v>46140</v>
      </c>
      <c r="L3314" s="317">
        <f t="array" ref="L3314">(XLOOKUP(D3314,Roster!F:F,Roster!D:D,"",0))</f>
        <v>33</v>
      </c>
      <c r="M3314" s="317" t="str">
        <f t="array" ref="M3314">XLOOKUP(D3314,Roster!F:F,Roster!E:E)</f>
        <v>Voice</v>
      </c>
      <c r="N3314" s="317" t="str">
        <f t="shared" ref="N3314:P3314" si="3361">LEFT(H3314,5)</f>
        <v>09:30</v>
      </c>
      <c r="O3314" s="317" t="str">
        <f t="shared" si="3361"/>
        <v>12:00</v>
      </c>
      <c r="P3314" s="317" t="str">
        <f t="shared" si="3361"/>
        <v>14:45</v>
      </c>
      <c r="Q3314" s="318">
        <f t="shared" si="3358"/>
        <v>46140.39583</v>
      </c>
      <c r="R3314" s="318">
        <f t="shared" si="3359"/>
        <v>46140.5</v>
      </c>
      <c r="S3314" s="318">
        <f t="shared" si="8"/>
        <v>46140.61458</v>
      </c>
    </row>
    <row r="3315">
      <c r="A3315" s="14" t="str">
        <f t="shared" si="1"/>
        <v>C106546140</v>
      </c>
      <c r="B3315" s="185" t="str">
        <f t="array" ref="B3315">IF(F3315="VL","",IF(F3315="Free","Free",XLOOKUP(D3315,Roster!T:T,Roster!S:S,"",0)))</f>
        <v/>
      </c>
      <c r="C3315" s="313">
        <v>46140.0</v>
      </c>
      <c r="D3315" s="314" t="s">
        <v>148</v>
      </c>
      <c r="E3315" s="307" t="str">
        <f t="array" ref="E3315">(XLOOKUP(D3315,Roster!F:F,Roster!B:B,"",0))</f>
        <v>Miguel Hoyos</v>
      </c>
      <c r="F3315" s="315" t="str">
        <f t="array" ref="F3315">IF(B3315=100,"Free",TEXT(XLOOKUP($D3315,OperationVoice!$A:$A,OperationVoice!AH:AH,XLOOKUP($D3315,OperationTickets!$A:$A,OperationTickets!AH:AH,"",0)),"hh:mm"))</f>
        <v>07:00</v>
      </c>
      <c r="G3315" s="309">
        <f t="shared" si="3"/>
        <v>0.6666666667</v>
      </c>
      <c r="H3315" s="316">
        <f t="array" ref="H3315">XLOOKUP(B3315,Roster!L:L,Roster!N:N,XLOOKUP(D3315,TicketsBreak!A:A,TicketsBreak!E:E,"",0),0)</f>
        <v>0.4583333333</v>
      </c>
      <c r="I3315" s="316">
        <f t="array" ref="I3315">XLOOKUP(B3315,Roster!L:L,Roster!O:O,XLOOKUP(D3315,TicketsBreak!A:A,TicketsBreak!F:F,"",0),0)</f>
        <v>0.5625</v>
      </c>
      <c r="J3315" s="316">
        <f t="array" ref="J3315">XLOOKUP(B3315,Roster!L:L,Roster!P:P,XLOOKUP(D3315,TicketsBreak!A:A,TicketsBreak!G:G,"",0),0)</f>
        <v>0.65625</v>
      </c>
      <c r="K3315" s="310">
        <f t="shared" si="4"/>
        <v>46140</v>
      </c>
      <c r="L3315" s="317">
        <f t="array" ref="L3315">(XLOOKUP(D3315,Roster!F:F,Roster!D:D,"",0))</f>
        <v>17</v>
      </c>
      <c r="M3315" s="317" t="str">
        <f t="array" ref="M3315">XLOOKUP(D3315,Roster!F:F,Roster!E:E)</f>
        <v>Tickets</v>
      </c>
      <c r="N3315" s="317" t="str">
        <f t="shared" ref="N3315:P3315" si="3362">LEFT(H3315,5)</f>
        <v>11:00</v>
      </c>
      <c r="O3315" s="317" t="str">
        <f t="shared" si="3362"/>
        <v>13:30</v>
      </c>
      <c r="P3315" s="317" t="str">
        <f t="shared" si="3362"/>
        <v>15:45</v>
      </c>
      <c r="Q3315" s="318">
        <f t="shared" si="3358"/>
        <v>46140.45833</v>
      </c>
      <c r="R3315" s="318">
        <f t="shared" si="3359"/>
        <v>46140.5625</v>
      </c>
      <c r="S3315" s="318">
        <f t="shared" si="8"/>
        <v>46140.65625</v>
      </c>
    </row>
    <row r="3316">
      <c r="A3316" s="14" t="str">
        <f t="shared" si="1"/>
        <v>C111446140</v>
      </c>
      <c r="B3316" s="185">
        <f t="array" ref="B3316">IF(F3316="VL","",IF(F3316="Free","Free",XLOOKUP(D3316,Roster!T:T,Roster!S:S,"",0)))</f>
        <v>113</v>
      </c>
      <c r="C3316" s="313">
        <v>46140.0</v>
      </c>
      <c r="D3316" s="314" t="s">
        <v>65</v>
      </c>
      <c r="E3316" s="307" t="str">
        <f t="array" ref="E3316">(XLOOKUP(D3316,Roster!F:F,Roster!B:B,"",0))</f>
        <v>Mikel Bowie</v>
      </c>
      <c r="F3316" s="315" t="str">
        <f t="array" ref="F3316">IF(B3316=100,"Free",TEXT(XLOOKUP($D3316,OperationVoice!$A:$A,OperationVoice!AH:AH,XLOOKUP($D3316,OperationTickets!$A:$A,OperationTickets!AH:AH,"",0)),"hh:mm"))</f>
        <v>08:00</v>
      </c>
      <c r="G3316" s="309">
        <f t="shared" si="3"/>
        <v>0.7083333333</v>
      </c>
      <c r="H3316" s="316" t="str">
        <f t="array" ref="H3316">XLOOKUP(B3316,Roster!L:L,Roster!N:N,XLOOKUP(D3316,TicketsBreak!A:A,TicketsBreak!E:E,"",0),0)</f>
        <v>09:45 - 10:00</v>
      </c>
      <c r="I3316" s="316" t="str">
        <f t="array" ref="I3316">XLOOKUP(B3316,Roster!L:L,Roster!O:O,XLOOKUP(D3316,TicketsBreak!A:A,TicketsBreak!F:F,"",0),0)</f>
        <v>12:30 - 13:00</v>
      </c>
      <c r="J3316" s="316" t="str">
        <f t="array" ref="J3316">XLOOKUP(B3316,Roster!L:L,Roster!P:P,XLOOKUP(D3316,TicketsBreak!A:A,TicketsBreak!G:G,"",0),0)</f>
        <v>14:45 - 15:00</v>
      </c>
      <c r="K3316" s="310">
        <f t="shared" si="4"/>
        <v>46140</v>
      </c>
      <c r="L3316" s="317">
        <f t="array" ref="L3316">(XLOOKUP(D3316,Roster!F:F,Roster!D:D,"",0))</f>
        <v>20</v>
      </c>
      <c r="M3316" s="317" t="str">
        <f t="array" ref="M3316">XLOOKUP(D3316,Roster!F:F,Roster!E:E)</f>
        <v>Voice</v>
      </c>
      <c r="N3316" s="317" t="str">
        <f t="shared" ref="N3316:P3316" si="3363">LEFT(H3316,5)</f>
        <v>09:45</v>
      </c>
      <c r="O3316" s="317" t="str">
        <f t="shared" si="3363"/>
        <v>12:30</v>
      </c>
      <c r="P3316" s="317" t="str">
        <f t="shared" si="3363"/>
        <v>14:45</v>
      </c>
      <c r="Q3316" s="318">
        <f t="shared" si="3358"/>
        <v>46140.40625</v>
      </c>
      <c r="R3316" s="318">
        <f t="shared" si="3359"/>
        <v>46140.52083</v>
      </c>
      <c r="S3316" s="318">
        <f t="shared" si="8"/>
        <v>46140.61458</v>
      </c>
    </row>
    <row r="3317">
      <c r="A3317" s="14" t="str">
        <f t="shared" si="1"/>
        <v>C116346140</v>
      </c>
      <c r="B3317" s="185">
        <f t="array" ref="B3317">IF(F3317="VL","",IF(F3317="Free","Free",XLOOKUP(D3317,Roster!T:T,Roster!S:S,"",0)))</f>
        <v>123</v>
      </c>
      <c r="C3317" s="313">
        <v>46140.0</v>
      </c>
      <c r="D3317" s="314" t="s">
        <v>66</v>
      </c>
      <c r="E3317" s="307" t="str">
        <f t="array" ref="E3317">(XLOOKUP(D3317,Roster!F:F,Roster!B:B,"",0))</f>
        <v>Natalia Cardona</v>
      </c>
      <c r="F3317" s="315" t="str">
        <f t="array" ref="F3317">IF(B3317=100,"Free",TEXT(XLOOKUP($D3317,OperationVoice!$A:$A,OperationVoice!AH:AH,XLOOKUP($D3317,OperationTickets!$A:$A,OperationTickets!AH:AH,"",0)),"hh:mm"))</f>
        <v>08:00</v>
      </c>
      <c r="G3317" s="309">
        <f t="shared" si="3"/>
        <v>0.7083333333</v>
      </c>
      <c r="H3317" s="316" t="str">
        <f t="array" ref="H3317">XLOOKUP(B3317,Roster!L:L,Roster!N:N,XLOOKUP(D3317,TicketsBreak!A:A,TicketsBreak!E:E,"",0),0)</f>
        <v>09:45 - 10:00 </v>
      </c>
      <c r="I3317" s="316" t="str">
        <f t="array" ref="I3317">XLOOKUP(B3317,Roster!L:L,Roster!O:O,XLOOKUP(D3317,TicketsBreak!A:A,TicketsBreak!F:F,"",0),0)</f>
        <v>12:30 - 13:00</v>
      </c>
      <c r="J3317" s="316" t="str">
        <f t="array" ref="J3317">XLOOKUP(B3317,Roster!L:L,Roster!P:P,XLOOKUP(D3317,TicketsBreak!A:A,TicketsBreak!G:G,"",0),0)</f>
        <v>15:00 - 15:15</v>
      </c>
      <c r="K3317" s="310">
        <f t="shared" si="4"/>
        <v>46140</v>
      </c>
      <c r="L3317" s="317">
        <f t="array" ref="L3317">(XLOOKUP(D3317,Roster!F:F,Roster!D:D,"",0))</f>
        <v>24</v>
      </c>
      <c r="M3317" s="317" t="str">
        <f t="array" ref="M3317">XLOOKUP(D3317,Roster!F:F,Roster!E:E)</f>
        <v>Voice</v>
      </c>
      <c r="N3317" s="317" t="str">
        <f t="shared" ref="N3317:P3317" si="3364">LEFT(H3317,5)</f>
        <v>09:45</v>
      </c>
      <c r="O3317" s="317" t="str">
        <f t="shared" si="3364"/>
        <v>12:30</v>
      </c>
      <c r="P3317" s="317" t="str">
        <f t="shared" si="3364"/>
        <v>15:00</v>
      </c>
      <c r="Q3317" s="318">
        <f t="shared" si="3358"/>
        <v>46140.40625</v>
      </c>
      <c r="R3317" s="318">
        <f t="shared" si="3359"/>
        <v>46140.52083</v>
      </c>
      <c r="S3317" s="318">
        <f t="shared" si="8"/>
        <v>46140.625</v>
      </c>
    </row>
    <row r="3318">
      <c r="A3318" s="14" t="str">
        <f t="shared" si="1"/>
        <v>C55646140</v>
      </c>
      <c r="B3318" s="185" t="str">
        <f t="array" ref="B3318">IF(F3318="VL","",IF(F3318="Free","Free",XLOOKUP(D3318,Roster!T:T,Roster!S:S,"",0)))</f>
        <v/>
      </c>
      <c r="C3318" s="313">
        <v>46140.0</v>
      </c>
      <c r="D3318" s="314" t="s">
        <v>167</v>
      </c>
      <c r="E3318" s="307" t="str">
        <f t="array" ref="E3318">(XLOOKUP(D3318,Roster!F:F,Roster!B:B,"",0))</f>
        <v>Nelson Londono</v>
      </c>
      <c r="F3318" s="315" t="str">
        <f t="array" ref="F3318">IF(B3318=100,"Free",TEXT(XLOOKUP($D3318,OperationVoice!$A:$A,OperationVoice!AH:AH,XLOOKUP($D3318,OperationTickets!$A:$A,OperationTickets!AH:AH,"",0)),"hh:mm"))</f>
        <v>07:00</v>
      </c>
      <c r="G3318" s="309">
        <f t="shared" si="3"/>
        <v>0.6666666667</v>
      </c>
      <c r="H3318" s="316">
        <f t="array" ref="H3318">XLOOKUP(B3318,Roster!L:L,Roster!N:N,XLOOKUP(D3318,TicketsBreak!A:A,TicketsBreak!E:E,"",0),0)</f>
        <v>0.3854166667</v>
      </c>
      <c r="I3318" s="316">
        <f t="array" ref="I3318">XLOOKUP(B3318,Roster!L:L,Roster!O:O,XLOOKUP(D3318,TicketsBreak!A:A,TicketsBreak!F:F,"",0),0)</f>
        <v>0.5833333333</v>
      </c>
      <c r="J3318" s="316">
        <f t="array" ref="J3318">XLOOKUP(B3318,Roster!L:L,Roster!P:P,XLOOKUP(D3318,TicketsBreak!A:A,TicketsBreak!G:G,"",0),0)</f>
        <v>0.6458333333</v>
      </c>
      <c r="K3318" s="310">
        <f t="shared" si="4"/>
        <v>46140</v>
      </c>
      <c r="L3318" s="317">
        <f t="array" ref="L3318">(XLOOKUP(D3318,Roster!F:F,Roster!D:D,"",0))</f>
        <v>2</v>
      </c>
      <c r="M3318" s="317" t="str">
        <f t="array" ref="M3318">XLOOKUP(D3318,Roster!F:F,Roster!E:E)</f>
        <v>Tickets</v>
      </c>
      <c r="N3318" s="317" t="str">
        <f t="shared" ref="N3318:P3318" si="3365">LEFT(H3318,5)</f>
        <v>09:15</v>
      </c>
      <c r="O3318" s="317" t="str">
        <f t="shared" si="3365"/>
        <v>14:00</v>
      </c>
      <c r="P3318" s="317" t="str">
        <f t="shared" si="3365"/>
        <v>15:30</v>
      </c>
      <c r="Q3318" s="318">
        <f t="shared" si="3358"/>
        <v>46140.38542</v>
      </c>
      <c r="R3318" s="318">
        <f t="shared" si="3359"/>
        <v>46140.58333</v>
      </c>
      <c r="S3318" s="318">
        <f t="shared" si="8"/>
        <v>46140.64583</v>
      </c>
    </row>
    <row r="3319">
      <c r="A3319" s="14" t="str">
        <f t="shared" si="1"/>
        <v>C150746140</v>
      </c>
      <c r="B3319" s="185">
        <f t="array" ref="B3319">IF(F3319="VL","",IF(F3319="Free","Free",XLOOKUP(D3319,Roster!T:T,Roster!S:S,"",0)))</f>
        <v>125</v>
      </c>
      <c r="C3319" s="313">
        <v>46140.0</v>
      </c>
      <c r="D3319" s="314" t="s">
        <v>67</v>
      </c>
      <c r="E3319" s="307" t="str">
        <f t="array" ref="E3319">(XLOOKUP(D3319,Roster!F:F,Roster!B:B,"",0))</f>
        <v>Nicols Quinones</v>
      </c>
      <c r="F3319" s="315" t="str">
        <f t="array" ref="F3319">IF(B3319=100,"Free",TEXT(XLOOKUP($D3319,OperationVoice!$A:$A,OperationVoice!AH:AH,XLOOKUP($D3319,OperationTickets!$A:$A,OperationTickets!AH:AH,"",0)),"hh:mm"))</f>
        <v>08:00</v>
      </c>
      <c r="G3319" s="309">
        <f t="shared" si="3"/>
        <v>0.7083333333</v>
      </c>
      <c r="H3319" s="316" t="str">
        <f t="array" ref="H3319">XLOOKUP(B3319,Roster!L:L,Roster!N:N,XLOOKUP(D3319,TicketsBreak!A:A,TicketsBreak!E:E,"",0),0)</f>
        <v>10:30 - 10:45</v>
      </c>
      <c r="I3319" s="316" t="str">
        <f t="array" ref="I3319">XLOOKUP(B3319,Roster!L:L,Roster!O:O,XLOOKUP(D3319,TicketsBreak!A:A,TicketsBreak!F:F,"",0),0)</f>
        <v>13:30 - 14:00</v>
      </c>
      <c r="J3319" s="316" t="str">
        <f t="array" ref="J3319">XLOOKUP(B3319,Roster!L:L,Roster!P:P,XLOOKUP(D3319,TicketsBreak!A:A,TicketsBreak!G:G,"",0),0)</f>
        <v>15:45 - 16:00</v>
      </c>
      <c r="K3319" s="310">
        <f t="shared" si="4"/>
        <v>46140</v>
      </c>
      <c r="L3319" s="317">
        <f t="array" ref="L3319">(XLOOKUP(D3319,Roster!F:F,Roster!D:D,"",0))</f>
        <v>35</v>
      </c>
      <c r="M3319" s="317" t="str">
        <f t="array" ref="M3319">XLOOKUP(D3319,Roster!F:F,Roster!E:E)</f>
        <v>Voice</v>
      </c>
      <c r="N3319" s="317" t="str">
        <f t="shared" ref="N3319:P3319" si="3366">LEFT(H3319,5)</f>
        <v>10:30</v>
      </c>
      <c r="O3319" s="317" t="str">
        <f t="shared" si="3366"/>
        <v>13:30</v>
      </c>
      <c r="P3319" s="317" t="str">
        <f t="shared" si="3366"/>
        <v>15:45</v>
      </c>
      <c r="Q3319" s="318">
        <f t="shared" si="3358"/>
        <v>46140.4375</v>
      </c>
      <c r="R3319" s="318">
        <f t="shared" si="3359"/>
        <v>46140.5625</v>
      </c>
      <c r="S3319" s="318">
        <f t="shared" si="8"/>
        <v>46140.65625</v>
      </c>
    </row>
    <row r="3320">
      <c r="A3320" s="14" t="str">
        <f t="shared" si="1"/>
        <v>C71446140</v>
      </c>
      <c r="B3320" s="185" t="str">
        <f t="array" ref="B3320">IF(F3320="VL","",IF(F3320="Free","Free",XLOOKUP(D3320,Roster!T:T,Roster!S:S,"",0)))</f>
        <v/>
      </c>
      <c r="C3320" s="313">
        <v>46140.0</v>
      </c>
      <c r="D3320" s="314" t="s">
        <v>149</v>
      </c>
      <c r="E3320" s="307" t="str">
        <f t="array" ref="E3320">(XLOOKUP(D3320,Roster!F:F,Roster!B:B,"",0))</f>
        <v>Onel Olivera</v>
      </c>
      <c r="F3320" s="315" t="str">
        <f t="array" ref="F3320">IF(B3320=100,"Free",TEXT(XLOOKUP($D3320,OperationVoice!$A:$A,OperationVoice!AH:AH,XLOOKUP($D3320,OperationTickets!$A:$A,OperationTickets!AH:AH,"",0)),"hh:mm"))</f>
        <v>08:00</v>
      </c>
      <c r="G3320" s="309">
        <f t="shared" si="3"/>
        <v>0.7083333333</v>
      </c>
      <c r="H3320" s="316">
        <f t="array" ref="H3320">XLOOKUP(B3320,Roster!L:L,Roster!N:N,XLOOKUP(D3320,TicketsBreak!A:A,TicketsBreak!E:E,"",0),0)</f>
        <v>0.4166666667</v>
      </c>
      <c r="I3320" s="316">
        <f t="array" ref="I3320">XLOOKUP(B3320,Roster!L:L,Roster!O:O,XLOOKUP(D3320,TicketsBreak!A:A,TicketsBreak!F:F,"",0),0)</f>
        <v>0.5</v>
      </c>
      <c r="J3320" s="316">
        <f t="array" ref="J3320">XLOOKUP(B3320,Roster!L:L,Roster!P:P,XLOOKUP(D3320,TicketsBreak!A:A,TicketsBreak!G:G,"",0),0)</f>
        <v>0.625</v>
      </c>
      <c r="K3320" s="310">
        <f t="shared" si="4"/>
        <v>46140</v>
      </c>
      <c r="L3320" s="317">
        <f t="array" ref="L3320">(XLOOKUP(D3320,Roster!F:F,Roster!D:D,"",0))</f>
        <v>1</v>
      </c>
      <c r="M3320" s="317" t="str">
        <f t="array" ref="M3320">XLOOKUP(D3320,Roster!F:F,Roster!E:E)</f>
        <v>Tickets</v>
      </c>
      <c r="N3320" s="317" t="str">
        <f t="shared" ref="N3320:P3320" si="3367">LEFT(H3320,5)</f>
        <v>10:00</v>
      </c>
      <c r="O3320" s="317" t="str">
        <f t="shared" si="3367"/>
        <v>12:00</v>
      </c>
      <c r="P3320" s="317" t="str">
        <f t="shared" si="3367"/>
        <v>15:00</v>
      </c>
      <c r="Q3320" s="318">
        <f t="shared" si="3358"/>
        <v>46140.41667</v>
      </c>
      <c r="R3320" s="318">
        <f t="shared" si="3359"/>
        <v>46140.5</v>
      </c>
      <c r="S3320" s="318">
        <f t="shared" si="8"/>
        <v>46140.625</v>
      </c>
    </row>
    <row r="3321">
      <c r="A3321" s="14" t="str">
        <f t="shared" si="1"/>
        <v>C116446140</v>
      </c>
      <c r="B3321" s="185" t="str">
        <f t="array" ref="B3321">IF(F3321="VL","",IF(F3321="Free","Free",XLOOKUP(D3321,Roster!T:T,Roster!S:S,"",0)))</f>
        <v/>
      </c>
      <c r="C3321" s="313">
        <v>46140.0</v>
      </c>
      <c r="D3321" s="314" t="s">
        <v>179</v>
      </c>
      <c r="E3321" s="307" t="str">
        <f t="array" ref="E3321">(XLOOKUP(D3321,Roster!F:F,Roster!B:B,"",0))</f>
        <v>Oscar Florez</v>
      </c>
      <c r="F3321" s="315" t="str">
        <f t="array" ref="F3321">IF(B3321=100,"Free",TEXT(XLOOKUP($D3321,OperationVoice!$A:$A,OperationVoice!AH:AH,XLOOKUP($D3321,OperationTickets!$A:$A,OperationTickets!AH:AH,"",0)),"hh:mm"))</f>
        <v>08:00</v>
      </c>
      <c r="G3321" s="309">
        <f t="shared" si="3"/>
        <v>0.7083333333</v>
      </c>
      <c r="H3321" s="316" t="str">
        <f t="array" ref="H3321">XLOOKUP(B3321,Roster!L:L,Roster!N:N,XLOOKUP(D3321,TicketsBreak!A:A,TicketsBreak!E:E,"",0),0)</f>
        <v/>
      </c>
      <c r="I3321" s="316" t="str">
        <f t="array" ref="I3321">XLOOKUP(B3321,Roster!L:L,Roster!O:O,XLOOKUP(D3321,TicketsBreak!A:A,TicketsBreak!F:F,"",0),0)</f>
        <v/>
      </c>
      <c r="J3321" s="316" t="str">
        <f t="array" ref="J3321">XLOOKUP(B3321,Roster!L:L,Roster!P:P,XLOOKUP(D3321,TicketsBreak!A:A,TicketsBreak!G:G,"",0),0)</f>
        <v/>
      </c>
      <c r="K3321" s="310">
        <f t="shared" si="4"/>
        <v>46140</v>
      </c>
      <c r="L3321" s="317">
        <f t="array" ref="L3321">(XLOOKUP(D3321,Roster!F:F,Roster!D:D,"",0))</f>
        <v>24</v>
      </c>
      <c r="M3321" s="317" t="str">
        <f t="array" ref="M3321">XLOOKUP(D3321,Roster!F:F,Roster!E:E)</f>
        <v>Tickets</v>
      </c>
      <c r="N3321" s="317" t="str">
        <f t="shared" ref="N3321:P3321" si="3368">LEFT(H3321,5)</f>
        <v/>
      </c>
      <c r="O3321" s="317" t="str">
        <f t="shared" si="3368"/>
        <v/>
      </c>
      <c r="P3321" s="317" t="str">
        <f t="shared" si="3368"/>
        <v/>
      </c>
      <c r="Q3321" s="318" t="str">
        <f t="shared" si="3358"/>
        <v/>
      </c>
      <c r="R3321" s="318" t="str">
        <f t="shared" si="3359"/>
        <v/>
      </c>
      <c r="S3321" s="318" t="str">
        <f t="shared" si="8"/>
        <v/>
      </c>
    </row>
    <row r="3322">
      <c r="A3322" s="14" t="str">
        <f t="shared" si="1"/>
        <v>C153846140</v>
      </c>
      <c r="B3322" s="185">
        <f t="array" ref="B3322">IF(F3322="VL","",IF(F3322="Free","Free",XLOOKUP(D3322,Roster!T:T,Roster!S:S,"",0)))</f>
        <v>151</v>
      </c>
      <c r="C3322" s="313">
        <v>46140.0</v>
      </c>
      <c r="D3322" s="314" t="s">
        <v>68</v>
      </c>
      <c r="E3322" s="307" t="str">
        <f t="array" ref="E3322">(XLOOKUP(D3322,Roster!F:F,Roster!B:B,"",0))</f>
        <v>Oscar Roldan</v>
      </c>
      <c r="F3322" s="315" t="str">
        <f t="array" ref="F3322">IF(B3322=100,"Free",TEXT(XLOOKUP($D3322,OperationVoice!$A:$A,OperationVoice!AH:AH,XLOOKUP($D3322,OperationTickets!$A:$A,OperationTickets!AH:AH,"",0)),"hh:mm"))</f>
        <v>11:00</v>
      </c>
      <c r="G3322" s="309">
        <f t="shared" si="3"/>
        <v>0.8333333333</v>
      </c>
      <c r="H3322" s="316" t="str">
        <f t="array" ref="H3322">XLOOKUP(B3322,Roster!L:L,Roster!N:N,XLOOKUP(D3322,TicketsBreak!A:A,TicketsBreak!E:E,"",0),0)</f>
        <v>12:15 - 12:30</v>
      </c>
      <c r="I3322" s="316" t="str">
        <f t="array" ref="I3322">XLOOKUP(B3322,Roster!L:L,Roster!O:O,XLOOKUP(D3322,TicketsBreak!A:A,TicketsBreak!F:F,"",0),0)</f>
        <v>14:00 - 14:30</v>
      </c>
      <c r="J3322" s="316" t="str">
        <f t="array" ref="J3322">XLOOKUP(B3322,Roster!L:L,Roster!P:P,XLOOKUP(D3322,TicketsBreak!A:A,TicketsBreak!G:G,"",0),0)</f>
        <v>17:15 - 17:30</v>
      </c>
      <c r="K3322" s="310">
        <f t="shared" si="4"/>
        <v>46140</v>
      </c>
      <c r="L3322" s="317">
        <f t="array" ref="L3322">(XLOOKUP(D3322,Roster!F:F,Roster!D:D,"",0))</f>
        <v>36</v>
      </c>
      <c r="M3322" s="317" t="str">
        <f t="array" ref="M3322">XLOOKUP(D3322,Roster!F:F,Roster!E:E)</f>
        <v>Voice</v>
      </c>
      <c r="N3322" s="317" t="str">
        <f t="shared" ref="N3322:P3322" si="3369">LEFT(H3322,5)</f>
        <v>12:15</v>
      </c>
      <c r="O3322" s="317" t="str">
        <f t="shared" si="3369"/>
        <v>14:00</v>
      </c>
      <c r="P3322" s="317" t="str">
        <f t="shared" si="3369"/>
        <v>17:15</v>
      </c>
      <c r="Q3322" s="318">
        <f t="shared" si="3358"/>
        <v>46140.51042</v>
      </c>
      <c r="R3322" s="318">
        <f t="shared" si="3359"/>
        <v>46140.58333</v>
      </c>
      <c r="S3322" s="318">
        <f t="shared" si="8"/>
        <v>46140.71875</v>
      </c>
    </row>
    <row r="3323">
      <c r="A3323" s="14" t="str">
        <f t="shared" si="1"/>
        <v>C151146140</v>
      </c>
      <c r="B3323" s="185">
        <f t="array" ref="B3323">IF(F3323="VL","",IF(F3323="Free","Free",XLOOKUP(D3323,Roster!T:T,Roster!S:S,"",0)))</f>
        <v>131</v>
      </c>
      <c r="C3323" s="313">
        <v>46140.0</v>
      </c>
      <c r="D3323" s="314" t="s">
        <v>69</v>
      </c>
      <c r="E3323" s="307" t="str">
        <f t="array" ref="E3323">(XLOOKUP(D3323,Roster!F:F,Roster!B:B,"",0))</f>
        <v>Salma Giraldo</v>
      </c>
      <c r="F3323" s="315" t="str">
        <f t="array" ref="F3323">IF(B3323=100,"Free",TEXT(XLOOKUP($D3323,OperationVoice!$A:$A,OperationVoice!AH:AH,XLOOKUP($D3323,OperationTickets!$A:$A,OperationTickets!AH:AH,"",0)),"hh:mm"))</f>
        <v>08:00</v>
      </c>
      <c r="G3323" s="309">
        <f t="shared" si="3"/>
        <v>0.7083333333</v>
      </c>
      <c r="H3323" s="316" t="str">
        <f t="array" ref="H3323">XLOOKUP(B3323,Roster!L:L,Roster!N:N,XLOOKUP(D3323,TicketsBreak!A:A,TicketsBreak!E:E,"",0),0)</f>
        <v>10:15 - 10:30</v>
      </c>
      <c r="I3323" s="316" t="str">
        <f t="array" ref="I3323">XLOOKUP(B3323,Roster!L:L,Roster!O:O,XLOOKUP(D3323,TicketsBreak!A:A,TicketsBreak!F:F,"",0),0)</f>
        <v>12:30 - 13:00</v>
      </c>
      <c r="J3323" s="316" t="str">
        <f t="array" ref="J3323">XLOOKUP(B3323,Roster!L:L,Roster!P:P,XLOOKUP(D3323,TicketsBreak!A:A,TicketsBreak!G:G,"",0),0)</f>
        <v>15:15 - 15:30</v>
      </c>
      <c r="K3323" s="310">
        <f t="shared" si="4"/>
        <v>46140</v>
      </c>
      <c r="L3323" s="317">
        <f t="array" ref="L3323">(XLOOKUP(D3323,Roster!F:F,Roster!D:D,"",0))</f>
        <v>35</v>
      </c>
      <c r="M3323" s="317" t="str">
        <f t="array" ref="M3323">XLOOKUP(D3323,Roster!F:F,Roster!E:E)</f>
        <v>Voice</v>
      </c>
      <c r="N3323" s="317" t="str">
        <f t="shared" ref="N3323:P3323" si="3370">LEFT(H3323,5)</f>
        <v>10:15</v>
      </c>
      <c r="O3323" s="317" t="str">
        <f t="shared" si="3370"/>
        <v>12:30</v>
      </c>
      <c r="P3323" s="317" t="str">
        <f t="shared" si="3370"/>
        <v>15:15</v>
      </c>
      <c r="Q3323" s="318">
        <f t="shared" si="3358"/>
        <v>46140.42708</v>
      </c>
      <c r="R3323" s="318">
        <f t="shared" si="3359"/>
        <v>46140.52083</v>
      </c>
      <c r="S3323" s="318">
        <f t="shared" si="8"/>
        <v>46140.63542</v>
      </c>
    </row>
    <row r="3324">
      <c r="A3324" s="14" t="str">
        <f t="shared" si="1"/>
        <v>C93346140</v>
      </c>
      <c r="B3324" s="185">
        <f t="array" ref="B3324">IF(F3324="VL","",IF(F3324="Free","Free",XLOOKUP(D3324,Roster!T:T,Roster!S:S,"",0)))</f>
        <v>124</v>
      </c>
      <c r="C3324" s="313">
        <v>46140.0</v>
      </c>
      <c r="D3324" s="314" t="s">
        <v>70</v>
      </c>
      <c r="E3324" s="307" t="str">
        <f t="array" ref="E3324">(XLOOKUP(D3324,Roster!F:F,Roster!B:B,"",0))</f>
        <v>Salome Arias</v>
      </c>
      <c r="F3324" s="315" t="str">
        <f t="array" ref="F3324">IF(B3324=100,"Free",TEXT(XLOOKUP($D3324,OperationVoice!$A:$A,OperationVoice!AH:AH,XLOOKUP($D3324,OperationTickets!$A:$A,OperationTickets!AH:AH,"",0)),"hh:mm"))</f>
        <v>08:00</v>
      </c>
      <c r="G3324" s="309">
        <f t="shared" si="3"/>
        <v>0.7083333333</v>
      </c>
      <c r="H3324" s="316" t="str">
        <f t="array" ref="H3324">XLOOKUP(B3324,Roster!L:L,Roster!N:N,XLOOKUP(D3324,TicketsBreak!A:A,TicketsBreak!E:E,"",0),0)</f>
        <v>10:00 - 10:15</v>
      </c>
      <c r="I3324" s="316" t="str">
        <f t="array" ref="I3324">XLOOKUP(B3324,Roster!L:L,Roster!O:O,XLOOKUP(D3324,TicketsBreak!A:A,TicketsBreak!F:F,"",0),0)</f>
        <v>13:00 - 13:30</v>
      </c>
      <c r="J3324" s="316" t="str">
        <f t="array" ref="J3324">XLOOKUP(B3324,Roster!L:L,Roster!P:P,XLOOKUP(D3324,TicketsBreak!A:A,TicketsBreak!G:G,"",0),0)</f>
        <v>15:30 - 15:45</v>
      </c>
      <c r="K3324" s="310">
        <f t="shared" si="4"/>
        <v>46140</v>
      </c>
      <c r="L3324" s="317">
        <f t="array" ref="L3324">(XLOOKUP(D3324,Roster!F:F,Roster!D:D,"",0))</f>
        <v>12</v>
      </c>
      <c r="M3324" s="317" t="str">
        <f t="array" ref="M3324">XLOOKUP(D3324,Roster!F:F,Roster!E:E)</f>
        <v>Voice</v>
      </c>
      <c r="N3324" s="317" t="str">
        <f t="shared" ref="N3324:P3324" si="3371">LEFT(H3324,5)</f>
        <v>10:00</v>
      </c>
      <c r="O3324" s="317" t="str">
        <f t="shared" si="3371"/>
        <v>13:00</v>
      </c>
      <c r="P3324" s="317" t="str">
        <f t="shared" si="3371"/>
        <v>15:30</v>
      </c>
      <c r="Q3324" s="318">
        <f t="shared" si="3358"/>
        <v>46140.41667</v>
      </c>
      <c r="R3324" s="318">
        <f t="shared" si="3359"/>
        <v>46140.54167</v>
      </c>
      <c r="S3324" s="318">
        <f t="shared" si="8"/>
        <v>46140.64583</v>
      </c>
    </row>
    <row r="3325">
      <c r="A3325" s="14" t="str">
        <f t="shared" si="1"/>
        <v>C128246140</v>
      </c>
      <c r="B3325" s="185" t="str">
        <f t="array" ref="B3325">IF(F3325="VL","",IF(F3325="Free","Free",XLOOKUP(D3325,Roster!T:T,Roster!S:S,"",0)))</f>
        <v/>
      </c>
      <c r="C3325" s="313">
        <v>46140.0</v>
      </c>
      <c r="D3325" s="314" t="s">
        <v>168</v>
      </c>
      <c r="E3325" s="307" t="str">
        <f t="array" ref="E3325">(XLOOKUP(D3325,Roster!F:F,Roster!B:B,"",0))</f>
        <v>Samuel Acevedo</v>
      </c>
      <c r="F3325" s="315" t="str">
        <f t="array" ref="F3325">IF(B3325=100,"Free",TEXT(XLOOKUP($D3325,OperationVoice!$A:$A,OperationVoice!AH:AH,XLOOKUP($D3325,OperationTickets!$A:$A,OperationTickets!AH:AH,"",0)),"hh:mm"))</f>
        <v>VL</v>
      </c>
      <c r="G3325" s="309" t="str">
        <f t="shared" si="3"/>
        <v>VL</v>
      </c>
      <c r="H3325" s="316" t="str">
        <f t="array" ref="H3325">XLOOKUP(B3325,Roster!L:L,Roster!N:N,XLOOKUP(D3325,TicketsBreak!A:A,TicketsBreak!E:E,"",0),0)</f>
        <v/>
      </c>
      <c r="I3325" s="316" t="str">
        <f t="array" ref="I3325">XLOOKUP(B3325,Roster!L:L,Roster!O:O,XLOOKUP(D3325,TicketsBreak!A:A,TicketsBreak!F:F,"",0),0)</f>
        <v/>
      </c>
      <c r="J3325" s="316" t="str">
        <f t="array" ref="J3325">XLOOKUP(B3325,Roster!L:L,Roster!P:P,XLOOKUP(D3325,TicketsBreak!A:A,TicketsBreak!G:G,"",0),0)</f>
        <v/>
      </c>
      <c r="K3325" s="310">
        <f t="shared" si="4"/>
        <v>46140</v>
      </c>
      <c r="L3325" s="317">
        <f t="array" ref="L3325">(XLOOKUP(D3325,Roster!F:F,Roster!D:D,"",0))</f>
        <v>27</v>
      </c>
      <c r="M3325" s="317" t="str">
        <f t="array" ref="M3325">XLOOKUP(D3325,Roster!F:F,Roster!E:E)</f>
        <v>Tickets</v>
      </c>
      <c r="N3325" s="317" t="str">
        <f t="shared" ref="N3325:P3325" si="3372">LEFT(H3325,5)</f>
        <v/>
      </c>
      <c r="O3325" s="317" t="str">
        <f t="shared" si="3372"/>
        <v/>
      </c>
      <c r="P3325" s="317" t="str">
        <f t="shared" si="3372"/>
        <v/>
      </c>
      <c r="Q3325" s="318" t="str">
        <f t="shared" si="3358"/>
        <v/>
      </c>
      <c r="R3325" s="318" t="str">
        <f t="shared" si="3359"/>
        <v/>
      </c>
      <c r="S3325" s="318" t="str">
        <f t="shared" si="8"/>
        <v/>
      </c>
    </row>
    <row r="3326">
      <c r="A3326" s="14" t="str">
        <f t="shared" si="1"/>
        <v>C156446140</v>
      </c>
      <c r="B3326" s="185">
        <f t="array" ref="B3326">IF(F3326="VL","",IF(F3326="Free","Free",XLOOKUP(D3326,Roster!T:T,Roster!S:S,"",0)))</f>
        <v>121</v>
      </c>
      <c r="C3326" s="313">
        <v>46140.0</v>
      </c>
      <c r="D3326" s="314" t="s">
        <v>71</v>
      </c>
      <c r="E3326" s="307" t="str">
        <f t="array" ref="E3326">(XLOOKUP(D3326,Roster!F:F,Roster!B:B,"",0))</f>
        <v>Samuel Acevedo Cadavid</v>
      </c>
      <c r="F3326" s="315" t="str">
        <f t="array" ref="F3326">IF(B3326=100,"Free",TEXT(XLOOKUP($D3326,OperationVoice!$A:$A,OperationVoice!AH:AH,XLOOKUP($D3326,OperationTickets!$A:$A,OperationTickets!AH:AH,"",0)),"hh:mm"))</f>
        <v>11:00</v>
      </c>
      <c r="G3326" s="309">
        <f t="shared" si="3"/>
        <v>0.8333333333</v>
      </c>
      <c r="H3326" s="316" t="str">
        <f t="array" ref="H3326">XLOOKUP(B3326,Roster!L:L,Roster!N:N,XLOOKUP(D3326,TicketsBreak!A:A,TicketsBreak!E:E,"",0),0)</f>
        <v>09:15 - 09:30</v>
      </c>
      <c r="I3326" s="316" t="str">
        <f t="array" ref="I3326">XLOOKUP(B3326,Roster!L:L,Roster!O:O,XLOOKUP(D3326,TicketsBreak!A:A,TicketsBreak!F:F,"",0),0)</f>
        <v>11:30 - 12:00</v>
      </c>
      <c r="J3326" s="316" t="str">
        <f t="array" ref="J3326">XLOOKUP(B3326,Roster!L:L,Roster!P:P,XLOOKUP(D3326,TicketsBreak!A:A,TicketsBreak!G:G,"",0),0)</f>
        <v>14:30 - 14:45</v>
      </c>
      <c r="K3326" s="310">
        <f t="shared" si="4"/>
        <v>46140</v>
      </c>
      <c r="L3326" s="317">
        <f t="array" ref="L3326">(XLOOKUP(D3326,Roster!F:F,Roster!D:D,"",0))</f>
        <v>38</v>
      </c>
      <c r="M3326" s="317" t="str">
        <f t="array" ref="M3326">XLOOKUP(D3326,Roster!F:F,Roster!E:E)</f>
        <v>Voice</v>
      </c>
      <c r="N3326" s="317" t="str">
        <f t="shared" ref="N3326:P3326" si="3373">LEFT(H3326,5)</f>
        <v>09:15</v>
      </c>
      <c r="O3326" s="317" t="str">
        <f t="shared" si="3373"/>
        <v>11:30</v>
      </c>
      <c r="P3326" s="317" t="str">
        <f t="shared" si="3373"/>
        <v>14:30</v>
      </c>
      <c r="Q3326" s="318">
        <f t="shared" si="3358"/>
        <v>46140.38542</v>
      </c>
      <c r="R3326" s="318">
        <f t="shared" si="3359"/>
        <v>46140.47917</v>
      </c>
      <c r="S3326" s="318">
        <f t="shared" si="8"/>
        <v>46140.60417</v>
      </c>
    </row>
    <row r="3327">
      <c r="A3327" s="14" t="str">
        <f t="shared" si="1"/>
        <v>C116846140</v>
      </c>
      <c r="B3327" s="185" t="str">
        <f t="array" ref="B3327">IF(F3327="VL","",IF(F3327="Free","Free",XLOOKUP(D3327,Roster!T:T,Roster!S:S,"",0)))</f>
        <v>Free</v>
      </c>
      <c r="C3327" s="313">
        <v>46140.0</v>
      </c>
      <c r="D3327" s="314" t="s">
        <v>180</v>
      </c>
      <c r="E3327" s="307" t="str">
        <f t="array" ref="E3327">(XLOOKUP(D3327,Roster!F:F,Roster!B:B,"",0))</f>
        <v>Santiago Gaviria</v>
      </c>
      <c r="F3327" s="315" t="str">
        <f t="array" ref="F3327">IF(B3327=100,"Free",TEXT(XLOOKUP($D3327,OperationVoice!$A:$A,OperationVoice!AH:AH,XLOOKUP($D3327,OperationTickets!$A:$A,OperationTickets!AH:AH,"",0)),"hh:mm"))</f>
        <v>Free</v>
      </c>
      <c r="G3327" s="309" t="str">
        <f t="shared" si="3"/>
        <v>Free</v>
      </c>
      <c r="H3327" s="316" t="str">
        <f t="array" ref="H3327">XLOOKUP(B3327,Roster!L:L,Roster!N:N,XLOOKUP(D3327,TicketsBreak!A:A,TicketsBreak!E:E,"",0),0)</f>
        <v/>
      </c>
      <c r="I3327" s="316" t="str">
        <f t="array" ref="I3327">XLOOKUP(B3327,Roster!L:L,Roster!O:O,XLOOKUP(D3327,TicketsBreak!A:A,TicketsBreak!F:F,"",0),0)</f>
        <v/>
      </c>
      <c r="J3327" s="316" t="str">
        <f t="array" ref="J3327">XLOOKUP(B3327,Roster!L:L,Roster!P:P,XLOOKUP(D3327,TicketsBreak!A:A,TicketsBreak!G:G,"",0),0)</f>
        <v/>
      </c>
      <c r="K3327" s="310">
        <f t="shared" si="4"/>
        <v>46140</v>
      </c>
      <c r="L3327" s="317">
        <f t="array" ref="L3327">(XLOOKUP(D3327,Roster!F:F,Roster!D:D,"",0))</f>
        <v>24</v>
      </c>
      <c r="M3327" s="317" t="str">
        <f t="array" ref="M3327">XLOOKUP(D3327,Roster!F:F,Roster!E:E)</f>
        <v>Tickets</v>
      </c>
      <c r="N3327" s="317" t="str">
        <f t="shared" ref="N3327:P3327" si="3374">LEFT(H3327,5)</f>
        <v/>
      </c>
      <c r="O3327" s="317" t="str">
        <f t="shared" si="3374"/>
        <v/>
      </c>
      <c r="P3327" s="317" t="str">
        <f t="shared" si="3374"/>
        <v/>
      </c>
      <c r="Q3327" s="318" t="str">
        <f t="shared" si="3358"/>
        <v/>
      </c>
      <c r="R3327" s="318" t="str">
        <f t="shared" si="3359"/>
        <v/>
      </c>
      <c r="S3327" s="318" t="str">
        <f t="shared" si="8"/>
        <v/>
      </c>
    </row>
    <row r="3328">
      <c r="A3328" s="14" t="str">
        <f t="shared" si="1"/>
        <v>C122046140</v>
      </c>
      <c r="B3328" s="185" t="str">
        <f t="array" ref="B3328">IF(F3328="VL","",IF(F3328="Free","Free",XLOOKUP(D3328,Roster!T:T,Roster!S:S,"",0)))</f>
        <v/>
      </c>
      <c r="C3328" s="313">
        <v>46140.0</v>
      </c>
      <c r="D3328" s="314" t="s">
        <v>181</v>
      </c>
      <c r="E3328" s="307" t="str">
        <f t="array" ref="E3328">(XLOOKUP(D3328,Roster!F:F,Roster!B:B,"",0))</f>
        <v>Santiago Gonzalez</v>
      </c>
      <c r="F3328" s="315" t="str">
        <f t="array" ref="F3328">IF(B3328=100,"Free",TEXT(XLOOKUP($D3328,OperationVoice!$A:$A,OperationVoice!AH:AH,XLOOKUP($D3328,OperationTickets!$A:$A,OperationTickets!AH:AH,"",0)),"hh:mm"))</f>
        <v>08:00</v>
      </c>
      <c r="G3328" s="309">
        <f t="shared" si="3"/>
        <v>0.7083333333</v>
      </c>
      <c r="H3328" s="316" t="str">
        <f t="array" ref="H3328">XLOOKUP(B3328,Roster!L:L,Roster!N:N,XLOOKUP(D3328,TicketsBreak!A:A,TicketsBreak!E:E,"",0),0)</f>
        <v/>
      </c>
      <c r="I3328" s="316" t="str">
        <f t="array" ref="I3328">XLOOKUP(B3328,Roster!L:L,Roster!O:O,XLOOKUP(D3328,TicketsBreak!A:A,TicketsBreak!F:F,"",0),0)</f>
        <v/>
      </c>
      <c r="J3328" s="316" t="str">
        <f t="array" ref="J3328">XLOOKUP(B3328,Roster!L:L,Roster!P:P,XLOOKUP(D3328,TicketsBreak!A:A,TicketsBreak!G:G,"",0),0)</f>
        <v/>
      </c>
      <c r="K3328" s="310">
        <f t="shared" si="4"/>
        <v>46140</v>
      </c>
      <c r="L3328" s="317">
        <f t="array" ref="L3328">(XLOOKUP(D3328,Roster!F:F,Roster!D:D,"",0))</f>
        <v>26</v>
      </c>
      <c r="M3328" s="317" t="str">
        <f t="array" ref="M3328">XLOOKUP(D3328,Roster!F:F,Roster!E:E)</f>
        <v>Tickets</v>
      </c>
      <c r="N3328" s="317" t="str">
        <f t="shared" ref="N3328:P3328" si="3375">LEFT(H3328,5)</f>
        <v/>
      </c>
      <c r="O3328" s="317" t="str">
        <f t="shared" si="3375"/>
        <v/>
      </c>
      <c r="P3328" s="317" t="str">
        <f t="shared" si="3375"/>
        <v/>
      </c>
      <c r="Q3328" s="318" t="str">
        <f t="shared" si="3358"/>
        <v/>
      </c>
      <c r="R3328" s="318" t="str">
        <f t="shared" si="3359"/>
        <v/>
      </c>
      <c r="S3328" s="318" t="str">
        <f t="shared" si="8"/>
        <v/>
      </c>
    </row>
    <row r="3329">
      <c r="A3329" s="14" t="str">
        <f t="shared" si="1"/>
        <v>C140646140</v>
      </c>
      <c r="B3329" s="185">
        <f t="array" ref="B3329">IF(F3329="VL","",IF(F3329="Free","Free",XLOOKUP(D3329,Roster!T:T,Roster!S:S,"",0)))</f>
        <v>152</v>
      </c>
      <c r="C3329" s="313">
        <v>46140.0</v>
      </c>
      <c r="D3329" s="314" t="s">
        <v>72</v>
      </c>
      <c r="E3329" s="307" t="str">
        <f t="array" ref="E3329">(XLOOKUP(D3329,Roster!F:F,Roster!B:B,"",0))</f>
        <v>Santiago Mora</v>
      </c>
      <c r="F3329" s="315" t="str">
        <f t="array" ref="F3329">IF(B3329=100,"Free",TEXT(XLOOKUP($D3329,OperationVoice!$A:$A,OperationVoice!AH:AH,XLOOKUP($D3329,OperationTickets!$A:$A,OperationTickets!AH:AH,"",0)),"hh:mm"))</f>
        <v>11:00</v>
      </c>
      <c r="G3329" s="309">
        <f t="shared" si="3"/>
        <v>0.8333333333</v>
      </c>
      <c r="H3329" s="316" t="str">
        <f t="array" ref="H3329">XLOOKUP(B3329,Roster!L:L,Roster!N:N,XLOOKUP(D3329,TicketsBreak!A:A,TicketsBreak!E:E,"",0),0)</f>
        <v>12:30 - 12:45</v>
      </c>
      <c r="I3329" s="316" t="str">
        <f t="array" ref="I3329">XLOOKUP(B3329,Roster!L:L,Roster!O:O,XLOOKUP(D3329,TicketsBreak!A:A,TicketsBreak!F:F,"",0),0)</f>
        <v>14:30 - 15:00</v>
      </c>
      <c r="J3329" s="316" t="str">
        <f t="array" ref="J3329">XLOOKUP(B3329,Roster!L:L,Roster!P:P,XLOOKUP(D3329,TicketsBreak!A:A,TicketsBreak!G:G,"",0),0)</f>
        <v>17:30 - 17:45</v>
      </c>
      <c r="K3329" s="310">
        <f t="shared" si="4"/>
        <v>46140</v>
      </c>
      <c r="L3329" s="317">
        <f t="array" ref="L3329">(XLOOKUP(D3329,Roster!F:F,Roster!D:D,"",0))</f>
        <v>35</v>
      </c>
      <c r="M3329" s="317" t="str">
        <f t="array" ref="M3329">XLOOKUP(D3329,Roster!F:F,Roster!E:E)</f>
        <v>Voice</v>
      </c>
      <c r="N3329" s="317" t="str">
        <f t="shared" ref="N3329:P3329" si="3376">LEFT(H3329,5)</f>
        <v>12:30</v>
      </c>
      <c r="O3329" s="317" t="str">
        <f t="shared" si="3376"/>
        <v>14:30</v>
      </c>
      <c r="P3329" s="317" t="str">
        <f t="shared" si="3376"/>
        <v>17:30</v>
      </c>
      <c r="Q3329" s="318">
        <f t="shared" si="3358"/>
        <v>46140.52083</v>
      </c>
      <c r="R3329" s="318">
        <f t="shared" si="3359"/>
        <v>46140.60417</v>
      </c>
      <c r="S3329" s="318">
        <f t="shared" si="8"/>
        <v>46140.72917</v>
      </c>
    </row>
    <row r="3330">
      <c r="A3330" s="14" t="str">
        <f t="shared" si="1"/>
        <v>C119946140</v>
      </c>
      <c r="B3330" s="185" t="str">
        <f t="array" ref="B3330">IF(F3330="VL","",IF(F3330="Free","Free",XLOOKUP(D3330,Roster!T:T,Roster!S:S,"",0)))</f>
        <v/>
      </c>
      <c r="C3330" s="313">
        <v>46140.0</v>
      </c>
      <c r="D3330" s="314" t="s">
        <v>182</v>
      </c>
      <c r="E3330" s="307" t="str">
        <f t="array" ref="E3330">(XLOOKUP(D3330,Roster!F:F,Roster!B:B,"",0))</f>
        <v>Santiago Velasquez</v>
      </c>
      <c r="F3330" s="315" t="str">
        <f t="array" ref="F3330">IF(B3330=100,"Free",TEXT(XLOOKUP($D3330,OperationVoice!$A:$A,OperationVoice!AH:AH,XLOOKUP($D3330,OperationTickets!$A:$A,OperationTickets!AH:AH,"",0)),"hh:mm"))</f>
        <v>08:00</v>
      </c>
      <c r="G3330" s="309">
        <f t="shared" si="3"/>
        <v>0.7083333333</v>
      </c>
      <c r="H3330" s="316" t="str">
        <f t="array" ref="H3330">XLOOKUP(B3330,Roster!L:L,Roster!N:N,XLOOKUP(D3330,TicketsBreak!A:A,TicketsBreak!E:E,"",0),0)</f>
        <v/>
      </c>
      <c r="I3330" s="316" t="str">
        <f t="array" ref="I3330">XLOOKUP(B3330,Roster!L:L,Roster!O:O,XLOOKUP(D3330,TicketsBreak!A:A,TicketsBreak!F:F,"",0),0)</f>
        <v/>
      </c>
      <c r="J3330" s="316" t="str">
        <f t="array" ref="J3330">XLOOKUP(B3330,Roster!L:L,Roster!P:P,XLOOKUP(D3330,TicketsBreak!A:A,TicketsBreak!G:G,"",0),0)</f>
        <v/>
      </c>
      <c r="K3330" s="310">
        <f t="shared" si="4"/>
        <v>46140</v>
      </c>
      <c r="L3330" s="317">
        <f t="array" ref="L3330">(XLOOKUP(D3330,Roster!F:F,Roster!D:D,"",0))</f>
        <v>25</v>
      </c>
      <c r="M3330" s="317" t="str">
        <f t="array" ref="M3330">XLOOKUP(D3330,Roster!F:F,Roster!E:E)</f>
        <v>Tickets</v>
      </c>
      <c r="N3330" s="317" t="str">
        <f t="shared" ref="N3330:P3330" si="3377">LEFT(H3330,5)</f>
        <v/>
      </c>
      <c r="O3330" s="317" t="str">
        <f t="shared" si="3377"/>
        <v/>
      </c>
      <c r="P3330" s="317" t="str">
        <f t="shared" si="3377"/>
        <v/>
      </c>
      <c r="Q3330" s="318" t="str">
        <f t="shared" si="3358"/>
        <v/>
      </c>
      <c r="R3330" s="318" t="str">
        <f t="shared" si="3359"/>
        <v/>
      </c>
      <c r="S3330" s="318" t="str">
        <f t="shared" si="8"/>
        <v/>
      </c>
    </row>
    <row r="3331">
      <c r="A3331" s="14" t="str">
        <f t="shared" si="1"/>
        <v>C90246140</v>
      </c>
      <c r="B3331" s="185" t="str">
        <f t="array" ref="B3331">IF(F3331="VL","",IF(F3331="Free","Free",XLOOKUP(D3331,Roster!T:T,Roster!S:S,"",0)))</f>
        <v/>
      </c>
      <c r="C3331" s="313">
        <v>46140.0</v>
      </c>
      <c r="D3331" s="314" t="s">
        <v>150</v>
      </c>
      <c r="E3331" s="307" t="str">
        <f t="array" ref="E3331">(XLOOKUP(D3331,Roster!F:F,Roster!B:B,"",0))</f>
        <v>Sebastiam Vallejo</v>
      </c>
      <c r="F3331" s="315" t="str">
        <f t="array" ref="F3331">IF(B3331=100,"Free",TEXT(XLOOKUP($D3331,OperationVoice!$A:$A,OperationVoice!AH:AH,XLOOKUP($D3331,OperationTickets!$A:$A,OperationTickets!AH:AH,"",0)),"hh:mm"))</f>
        <v>08:00</v>
      </c>
      <c r="G3331" s="309">
        <f t="shared" si="3"/>
        <v>0.7083333333</v>
      </c>
      <c r="H3331" s="316">
        <f t="array" ref="H3331">XLOOKUP(B3331,Roster!L:L,Roster!N:N,XLOOKUP(D3331,TicketsBreak!A:A,TicketsBreak!E:E,"",0),0)</f>
        <v>0.4375</v>
      </c>
      <c r="I3331" s="316">
        <f t="array" ref="I3331">XLOOKUP(B3331,Roster!L:L,Roster!O:O,XLOOKUP(D3331,TicketsBreak!A:A,TicketsBreak!F:F,"",0),0)</f>
        <v>0.6041666667</v>
      </c>
      <c r="J3331" s="316">
        <f t="array" ref="J3331">XLOOKUP(B3331,Roster!L:L,Roster!P:P,XLOOKUP(D3331,TicketsBreak!A:A,TicketsBreak!G:G,"",0),0)</f>
        <v>0.65625</v>
      </c>
      <c r="K3331" s="310">
        <f t="shared" si="4"/>
        <v>46140</v>
      </c>
      <c r="L3331" s="317">
        <f t="array" ref="L3331">(XLOOKUP(D3331,Roster!F:F,Roster!D:D,"",0))</f>
        <v>11</v>
      </c>
      <c r="M3331" s="317" t="str">
        <f t="array" ref="M3331">XLOOKUP(D3331,Roster!F:F,Roster!E:E)</f>
        <v>Tickets</v>
      </c>
      <c r="N3331" s="317" t="str">
        <f t="shared" ref="N3331:P3331" si="3378">LEFT(H3331,5)</f>
        <v>10:30</v>
      </c>
      <c r="O3331" s="317" t="str">
        <f t="shared" si="3378"/>
        <v>14:30</v>
      </c>
      <c r="P3331" s="317" t="str">
        <f t="shared" si="3378"/>
        <v>15:45</v>
      </c>
      <c r="Q3331" s="318">
        <f t="shared" si="3358"/>
        <v>46140.4375</v>
      </c>
      <c r="R3331" s="318">
        <f t="shared" si="3359"/>
        <v>46140.60417</v>
      </c>
      <c r="S3331" s="318">
        <f t="shared" si="8"/>
        <v>46140.65625</v>
      </c>
    </row>
    <row r="3332">
      <c r="A3332" s="14" t="str">
        <f t="shared" si="1"/>
        <v>C150646140</v>
      </c>
      <c r="B3332" s="185" t="str">
        <f t="array" ref="B3332">IF(F3332="VL","",IF(F3332="Free","Free",XLOOKUP(D3332,Roster!T:T,Roster!S:S,"",0)))</f>
        <v>Free</v>
      </c>
      <c r="C3332" s="313">
        <v>46140.0</v>
      </c>
      <c r="D3332" s="314" t="s">
        <v>73</v>
      </c>
      <c r="E3332" s="307" t="str">
        <f t="array" ref="E3332">(XLOOKUP(D3332,Roster!F:F,Roster!B:B,"",0))</f>
        <v>Sebastian Agudelo Londono</v>
      </c>
      <c r="F3332" s="315" t="str">
        <f t="array" ref="F3332">IF(B3332=100,"Free",TEXT(XLOOKUP($D3332,OperationVoice!$A:$A,OperationVoice!AH:AH,XLOOKUP($D3332,OperationTickets!$A:$A,OperationTickets!AH:AH,"",0)),"hh:mm"))</f>
        <v>Free</v>
      </c>
      <c r="G3332" s="309" t="str">
        <f t="shared" si="3"/>
        <v>Free</v>
      </c>
      <c r="H3332" s="316" t="str">
        <f t="array" ref="H3332">XLOOKUP(B3332,Roster!L:L,Roster!N:N,XLOOKUP(D3332,TicketsBreak!A:A,TicketsBreak!E:E,"",0),0)</f>
        <v/>
      </c>
      <c r="I3332" s="316" t="str">
        <f t="array" ref="I3332">XLOOKUP(B3332,Roster!L:L,Roster!O:O,XLOOKUP(D3332,TicketsBreak!A:A,TicketsBreak!F:F,"",0),0)</f>
        <v/>
      </c>
      <c r="J3332" s="316" t="str">
        <f t="array" ref="J3332">XLOOKUP(B3332,Roster!L:L,Roster!P:P,XLOOKUP(D3332,TicketsBreak!A:A,TicketsBreak!G:G,"",0),0)</f>
        <v/>
      </c>
      <c r="K3332" s="310">
        <f t="shared" si="4"/>
        <v>46140</v>
      </c>
      <c r="L3332" s="317">
        <f t="array" ref="L3332">(XLOOKUP(D3332,Roster!F:F,Roster!D:D,"",0))</f>
        <v>35</v>
      </c>
      <c r="M3332" s="317" t="str">
        <f t="array" ref="M3332">XLOOKUP(D3332,Roster!F:F,Roster!E:E)</f>
        <v>Voice</v>
      </c>
      <c r="N3332" s="317" t="str">
        <f t="shared" ref="N3332:P3332" si="3379">LEFT(H3332,5)</f>
        <v/>
      </c>
      <c r="O3332" s="317" t="str">
        <f t="shared" si="3379"/>
        <v/>
      </c>
      <c r="P3332" s="317" t="str">
        <f t="shared" si="3379"/>
        <v/>
      </c>
      <c r="Q3332" s="318" t="str">
        <f t="shared" si="3358"/>
        <v/>
      </c>
      <c r="R3332" s="318" t="str">
        <f t="shared" si="3359"/>
        <v/>
      </c>
      <c r="S3332" s="318" t="str">
        <f t="shared" si="8"/>
        <v/>
      </c>
    </row>
    <row r="3333">
      <c r="A3333" s="14" t="str">
        <f t="shared" si="1"/>
        <v>C119046140</v>
      </c>
      <c r="B3333" s="185" t="str">
        <f t="array" ref="B3333">IF(F3333="VL","",IF(F3333="Free","Free",XLOOKUP(D3333,Roster!T:T,Roster!S:S,"",0)))</f>
        <v/>
      </c>
      <c r="C3333" s="313">
        <v>46140.0</v>
      </c>
      <c r="D3333" s="314" t="s">
        <v>183</v>
      </c>
      <c r="E3333" s="307" t="str">
        <f t="array" ref="E3333">(XLOOKUP(D3333,Roster!F:F,Roster!B:B,"",0))</f>
        <v>Sebastian Herrera</v>
      </c>
      <c r="F3333" s="315" t="str">
        <f t="array" ref="F3333">IF(B3333=100,"Free",TEXT(XLOOKUP($D3333,OperationVoice!$A:$A,OperationVoice!AH:AH,XLOOKUP($D3333,OperationTickets!$A:$A,OperationTickets!AH:AH,"",0)),"hh:mm"))</f>
        <v>07:00</v>
      </c>
      <c r="G3333" s="309">
        <f t="shared" si="3"/>
        <v>0.6666666667</v>
      </c>
      <c r="H3333" s="316">
        <f t="array" ref="H3333">XLOOKUP(B3333,Roster!L:L,Roster!N:N,XLOOKUP(D3333,TicketsBreak!A:A,TicketsBreak!E:E,"",0),0)</f>
        <v>0.40625</v>
      </c>
      <c r="I3333" s="316">
        <f t="array" ref="I3333">XLOOKUP(B3333,Roster!L:L,Roster!O:O,XLOOKUP(D3333,TicketsBreak!A:A,TicketsBreak!F:F,"",0),0)</f>
        <v>0.5416666667</v>
      </c>
      <c r="J3333" s="316">
        <f t="array" ref="J3333">XLOOKUP(B3333,Roster!L:L,Roster!P:P,XLOOKUP(D3333,TicketsBreak!A:A,TicketsBreak!G:G,"",0),0)</f>
        <v>0.625</v>
      </c>
      <c r="K3333" s="310">
        <f t="shared" si="4"/>
        <v>46140</v>
      </c>
      <c r="L3333" s="317">
        <f t="array" ref="L3333">(XLOOKUP(D3333,Roster!F:F,Roster!D:D,"",0))</f>
        <v>25</v>
      </c>
      <c r="M3333" s="317" t="str">
        <f t="array" ref="M3333">XLOOKUP(D3333,Roster!F:F,Roster!E:E)</f>
        <v>Tickets</v>
      </c>
      <c r="N3333" s="317" t="str">
        <f t="shared" ref="N3333:P3333" si="3380">LEFT(H3333,5)</f>
        <v>09:45</v>
      </c>
      <c r="O3333" s="317" t="str">
        <f t="shared" si="3380"/>
        <v>13:00</v>
      </c>
      <c r="P3333" s="317" t="str">
        <f t="shared" si="3380"/>
        <v>15:00</v>
      </c>
      <c r="Q3333" s="318">
        <f t="shared" si="3358"/>
        <v>46140.40625</v>
      </c>
      <c r="R3333" s="318">
        <f t="shared" si="3359"/>
        <v>46140.54167</v>
      </c>
      <c r="S3333" s="318">
        <f t="shared" si="8"/>
        <v>46140.625</v>
      </c>
    </row>
    <row r="3334">
      <c r="A3334" s="14" t="str">
        <f t="shared" si="1"/>
        <v>C71046140</v>
      </c>
      <c r="B3334" s="185" t="str">
        <f t="array" ref="B3334">IF(F3334="VL","",IF(F3334="Free","Free",XLOOKUP(D3334,Roster!T:T,Roster!S:S,"",0)))</f>
        <v/>
      </c>
      <c r="C3334" s="313">
        <v>46140.0</v>
      </c>
      <c r="D3334" s="314" t="s">
        <v>184</v>
      </c>
      <c r="E3334" s="307" t="str">
        <f t="array" ref="E3334">(XLOOKUP(D3334,Roster!F:F,Roster!B:B,"",0))</f>
        <v>Sebastian Martinez</v>
      </c>
      <c r="F3334" s="315" t="str">
        <f t="array" ref="F3334">IF(B3334=100,"Free",TEXT(XLOOKUP($D3334,OperationVoice!$A:$A,OperationVoice!AH:AH,XLOOKUP($D3334,OperationTickets!$A:$A,OperationTickets!AH:AH,"",0)),"hh:mm"))</f>
        <v>08:00</v>
      </c>
      <c r="G3334" s="309">
        <f t="shared" si="3"/>
        <v>0.7083333333</v>
      </c>
      <c r="H3334" s="316">
        <f t="array" ref="H3334">XLOOKUP(B3334,Roster!L:L,Roster!N:N,XLOOKUP(D3334,TicketsBreak!A:A,TicketsBreak!E:E,"",0),0)</f>
        <v>0.40625</v>
      </c>
      <c r="I3334" s="316">
        <f t="array" ref="I3334">XLOOKUP(B3334,Roster!L:L,Roster!O:O,XLOOKUP(D3334,TicketsBreak!A:A,TicketsBreak!F:F,"",0),0)</f>
        <v>0.5625</v>
      </c>
      <c r="J3334" s="316">
        <f t="array" ref="J3334">XLOOKUP(B3334,Roster!L:L,Roster!P:P,XLOOKUP(D3334,TicketsBreak!A:A,TicketsBreak!G:G,"",0),0)</f>
        <v>0.65625</v>
      </c>
      <c r="K3334" s="310">
        <f t="shared" si="4"/>
        <v>46140</v>
      </c>
      <c r="L3334" s="317">
        <f t="array" ref="L3334">(XLOOKUP(D3334,Roster!F:F,Roster!D:D,"",0))</f>
        <v>6</v>
      </c>
      <c r="M3334" s="317" t="str">
        <f t="array" ref="M3334">XLOOKUP(D3334,Roster!F:F,Roster!E:E)</f>
        <v>Tickets</v>
      </c>
      <c r="N3334" s="317" t="str">
        <f t="shared" ref="N3334:P3334" si="3381">LEFT(H3334,5)</f>
        <v>09:45</v>
      </c>
      <c r="O3334" s="317" t="str">
        <f t="shared" si="3381"/>
        <v>13:30</v>
      </c>
      <c r="P3334" s="317" t="str">
        <f t="shared" si="3381"/>
        <v>15:45</v>
      </c>
      <c r="Q3334" s="318">
        <f t="shared" si="3358"/>
        <v>46140.40625</v>
      </c>
      <c r="R3334" s="318">
        <f t="shared" si="3359"/>
        <v>46140.5625</v>
      </c>
      <c r="S3334" s="318">
        <f t="shared" si="8"/>
        <v>46140.65625</v>
      </c>
    </row>
    <row r="3335">
      <c r="A3335" s="14" t="str">
        <f t="shared" si="1"/>
        <v>C72346140</v>
      </c>
      <c r="B3335" s="185" t="str">
        <f t="array" ref="B3335">IF(F3335="VL","",IF(F3335="Free","Free",XLOOKUP(D3335,Roster!T:T,Roster!S:S,"",0)))</f>
        <v>Free</v>
      </c>
      <c r="C3335" s="313">
        <v>46140.0</v>
      </c>
      <c r="D3335" s="314" t="s">
        <v>169</v>
      </c>
      <c r="E3335" s="307" t="str">
        <f t="array" ref="E3335">(XLOOKUP(D3335,Roster!F:F,Roster!B:B,"",0))</f>
        <v>Sebastian Parra</v>
      </c>
      <c r="F3335" s="315" t="str">
        <f t="array" ref="F3335">IF(B3335=100,"Free",TEXT(XLOOKUP($D3335,OperationVoice!$A:$A,OperationVoice!AH:AH,XLOOKUP($D3335,OperationTickets!$A:$A,OperationTickets!AH:AH,"",0)),"hh:mm"))</f>
        <v>Free</v>
      </c>
      <c r="G3335" s="309" t="str">
        <f t="shared" si="3"/>
        <v>Free</v>
      </c>
      <c r="H3335" s="316">
        <f t="array" ref="H3335">XLOOKUP(B3335,Roster!L:L,Roster!N:N,XLOOKUP(D3335,TicketsBreak!A:A,TicketsBreak!E:E,"",0),0)</f>
        <v>0.4166666667</v>
      </c>
      <c r="I3335" s="316">
        <f t="array" ref="I3335">XLOOKUP(B3335,Roster!L:L,Roster!O:O,XLOOKUP(D3335,TicketsBreak!A:A,TicketsBreak!F:F,"",0),0)</f>
        <v>0.5347222222</v>
      </c>
      <c r="J3335" s="316">
        <f t="array" ref="J3335">XLOOKUP(B3335,Roster!L:L,Roster!P:P,XLOOKUP(D3335,TicketsBreak!A:A,TicketsBreak!G:G,"",0),0)</f>
        <v>0.65625</v>
      </c>
      <c r="K3335" s="310">
        <f t="shared" si="4"/>
        <v>46140</v>
      </c>
      <c r="L3335" s="317">
        <f t="array" ref="L3335">(XLOOKUP(D3335,Roster!F:F,Roster!D:D,"",0))</f>
        <v>7</v>
      </c>
      <c r="M3335" s="317" t="str">
        <f t="array" ref="M3335">XLOOKUP(D3335,Roster!F:F,Roster!E:E)</f>
        <v>Tickets</v>
      </c>
      <c r="N3335" s="317" t="str">
        <f t="shared" ref="N3335:P3335" si="3382">LEFT(H3335,5)</f>
        <v>10:00</v>
      </c>
      <c r="O3335" s="317" t="str">
        <f t="shared" si="3382"/>
        <v>12:50</v>
      </c>
      <c r="P3335" s="317" t="str">
        <f t="shared" si="3382"/>
        <v>15:45</v>
      </c>
      <c r="Q3335" s="318">
        <f t="shared" si="3358"/>
        <v>46140.41667</v>
      </c>
      <c r="R3335" s="318">
        <f t="shared" si="3359"/>
        <v>46140.53472</v>
      </c>
      <c r="S3335" s="318">
        <f t="shared" si="8"/>
        <v>46140.65625</v>
      </c>
    </row>
    <row r="3336">
      <c r="A3336" s="14" t="str">
        <f t="shared" si="1"/>
        <v>C137646140</v>
      </c>
      <c r="B3336" s="185" t="str">
        <f t="array" ref="B3336">IF(F3336="VL","",IF(F3336="Free","Free",XLOOKUP(D3336,Roster!T:T,Roster!S:S,"",0)))</f>
        <v/>
      </c>
      <c r="C3336" s="313">
        <v>46140.0</v>
      </c>
      <c r="D3336" s="314" t="s">
        <v>151</v>
      </c>
      <c r="E3336" s="307" t="str">
        <f t="array" ref="E3336">(XLOOKUP(D3336,Roster!F:F,Roster!B:B,"",0))</f>
        <v>Sebastian Quiroz</v>
      </c>
      <c r="F3336" s="315" t="str">
        <f t="array" ref="F3336">IF(B3336=100,"Free",TEXT(XLOOKUP($D3336,OperationVoice!$A:$A,OperationVoice!AH:AH,XLOOKUP($D3336,OperationTickets!$A:$A,OperationTickets!AH:AH,"",0)),"hh:mm"))</f>
        <v>08:00</v>
      </c>
      <c r="G3336" s="309">
        <f t="shared" si="3"/>
        <v>0.7083333333</v>
      </c>
      <c r="H3336" s="316" t="str">
        <f t="array" ref="H3336">XLOOKUP(B3336,Roster!L:L,Roster!N:N,XLOOKUP(D3336,TicketsBreak!A:A,TicketsBreak!E:E,"",0),0)</f>
        <v/>
      </c>
      <c r="I3336" s="316" t="str">
        <f t="array" ref="I3336">XLOOKUP(B3336,Roster!L:L,Roster!O:O,XLOOKUP(D3336,TicketsBreak!A:A,TicketsBreak!F:F,"",0),0)</f>
        <v/>
      </c>
      <c r="J3336" s="316" t="str">
        <f t="array" ref="J3336">XLOOKUP(B3336,Roster!L:L,Roster!P:P,XLOOKUP(D3336,TicketsBreak!A:A,TicketsBreak!G:G,"",0),0)</f>
        <v/>
      </c>
      <c r="K3336" s="310">
        <f t="shared" si="4"/>
        <v>46140</v>
      </c>
      <c r="L3336" s="317">
        <f t="array" ref="L3336">(XLOOKUP(D3336,Roster!F:F,Roster!D:D,"",0))</f>
        <v>31</v>
      </c>
      <c r="M3336" s="317" t="str">
        <f t="array" ref="M3336">XLOOKUP(D3336,Roster!F:F,Roster!E:E)</f>
        <v>Tickets</v>
      </c>
      <c r="N3336" s="317" t="str">
        <f t="shared" ref="N3336:P3336" si="3383">LEFT(H3336,5)</f>
        <v/>
      </c>
      <c r="O3336" s="317" t="str">
        <f t="shared" si="3383"/>
        <v/>
      </c>
      <c r="P3336" s="317" t="str">
        <f t="shared" si="3383"/>
        <v/>
      </c>
      <c r="Q3336" s="318" t="str">
        <f t="shared" si="3358"/>
        <v/>
      </c>
      <c r="R3336" s="318" t="str">
        <f t="shared" si="3359"/>
        <v/>
      </c>
      <c r="S3336" s="318" t="str">
        <f t="shared" si="8"/>
        <v/>
      </c>
    </row>
    <row r="3337">
      <c r="A3337" s="14" t="str">
        <f t="shared" si="1"/>
        <v>C72646140</v>
      </c>
      <c r="B3337" s="185" t="str">
        <f t="array" ref="B3337">IF(F3337="VL","",IF(F3337="Free","Free",XLOOKUP(D3337,Roster!T:T,Roster!S:S,"",0)))</f>
        <v/>
      </c>
      <c r="C3337" s="313">
        <v>46140.0</v>
      </c>
      <c r="D3337" s="314" t="s">
        <v>185</v>
      </c>
      <c r="E3337" s="307" t="str">
        <f t="array" ref="E3337">(XLOOKUP(D3337,Roster!F:F,Roster!B:B,"",0))</f>
        <v>Sebastian Rodriguez</v>
      </c>
      <c r="F3337" s="315" t="str">
        <f t="array" ref="F3337">IF(B3337=100,"Free",TEXT(XLOOKUP($D3337,OperationVoice!$A:$A,OperationVoice!AH:AH,XLOOKUP($D3337,OperationTickets!$A:$A,OperationTickets!AH:AH,"",0)),"hh:mm"))</f>
        <v>08:00</v>
      </c>
      <c r="G3337" s="309">
        <f t="shared" si="3"/>
        <v>0.7083333333</v>
      </c>
      <c r="H3337" s="316">
        <f t="array" ref="H3337">XLOOKUP(B3337,Roster!L:L,Roster!N:N,XLOOKUP(D3337,TicketsBreak!A:A,TicketsBreak!E:E,"",0),0)</f>
        <v>0.4166666667</v>
      </c>
      <c r="I3337" s="316">
        <f t="array" ref="I3337">XLOOKUP(B3337,Roster!L:L,Roster!O:O,XLOOKUP(D3337,TicketsBreak!A:A,TicketsBreak!F:F,"",0),0)</f>
        <v>0.5625</v>
      </c>
      <c r="J3337" s="316">
        <f t="array" ref="J3337">XLOOKUP(B3337,Roster!L:L,Roster!P:P,XLOOKUP(D3337,TicketsBreak!A:A,TicketsBreak!G:G,"",0),0)</f>
        <v>0.6458333333</v>
      </c>
      <c r="K3337" s="310">
        <f t="shared" si="4"/>
        <v>46140</v>
      </c>
      <c r="L3337" s="317">
        <f t="array" ref="L3337">(XLOOKUP(D3337,Roster!F:F,Roster!D:D,"",0))</f>
        <v>7</v>
      </c>
      <c r="M3337" s="317" t="str">
        <f t="array" ref="M3337">XLOOKUP(D3337,Roster!F:F,Roster!E:E)</f>
        <v>Tickets</v>
      </c>
      <c r="N3337" s="317" t="str">
        <f t="shared" ref="N3337:P3337" si="3384">LEFT(H3337,5)</f>
        <v>10:00</v>
      </c>
      <c r="O3337" s="317" t="str">
        <f t="shared" si="3384"/>
        <v>13:30</v>
      </c>
      <c r="P3337" s="317" t="str">
        <f t="shared" si="3384"/>
        <v>15:30</v>
      </c>
      <c r="Q3337" s="318">
        <f t="shared" si="3358"/>
        <v>46140.41667</v>
      </c>
      <c r="R3337" s="318">
        <f t="shared" si="3359"/>
        <v>46140.5625</v>
      </c>
      <c r="S3337" s="318">
        <f t="shared" si="8"/>
        <v>46140.64583</v>
      </c>
    </row>
    <row r="3338">
      <c r="A3338" s="14" t="str">
        <f t="shared" si="1"/>
        <v>C60246140</v>
      </c>
      <c r="B3338" s="185" t="str">
        <f t="array" ref="B3338">IF(F3338="VL","",IF(F3338="Free","Free",XLOOKUP(D3338,Roster!T:T,Roster!S:S,"",0)))</f>
        <v/>
      </c>
      <c r="C3338" s="313">
        <v>46140.0</v>
      </c>
      <c r="D3338" s="314" t="s">
        <v>170</v>
      </c>
      <c r="E3338" s="307" t="str">
        <f t="array" ref="E3338">(XLOOKUP(D3338,Roster!F:F,Roster!B:B,"",0))</f>
        <v>Sebastian Torres</v>
      </c>
      <c r="F3338" s="315" t="str">
        <f t="array" ref="F3338">IF(B3338=100,"Free",TEXT(XLOOKUP($D3338,OperationVoice!$A:$A,OperationVoice!AH:AH,XLOOKUP($D3338,OperationTickets!$A:$A,OperationTickets!AH:AH,"",0)),"hh:mm"))</f>
        <v>08:00</v>
      </c>
      <c r="G3338" s="309">
        <f t="shared" si="3"/>
        <v>0.7083333333</v>
      </c>
      <c r="H3338" s="316">
        <f t="array" ref="H3338">XLOOKUP(B3338,Roster!L:L,Roster!N:N,XLOOKUP(D3338,TicketsBreak!A:A,TicketsBreak!E:E,"",0),0)</f>
        <v>0.4583333333</v>
      </c>
      <c r="I3338" s="316">
        <f t="array" ref="I3338">XLOOKUP(B3338,Roster!L:L,Roster!O:O,XLOOKUP(D3338,TicketsBreak!A:A,TicketsBreak!F:F,"",0),0)</f>
        <v>0.5833333333</v>
      </c>
      <c r="J3338" s="316">
        <f t="array" ref="J3338">XLOOKUP(B3338,Roster!L:L,Roster!P:P,XLOOKUP(D3338,TicketsBreak!A:A,TicketsBreak!G:G,"",0),0)</f>
        <v>0.65625</v>
      </c>
      <c r="K3338" s="310">
        <f t="shared" si="4"/>
        <v>46140</v>
      </c>
      <c r="L3338" s="317">
        <f t="array" ref="L3338">(XLOOKUP(D3338,Roster!F:F,Roster!D:D,"",0))</f>
        <v>8</v>
      </c>
      <c r="M3338" s="317" t="str">
        <f t="array" ref="M3338">XLOOKUP(D3338,Roster!F:F,Roster!E:E)</f>
        <v>Tickets</v>
      </c>
      <c r="N3338" s="317" t="str">
        <f t="shared" ref="N3338:P3338" si="3385">LEFT(H3338,5)</f>
        <v>11:00</v>
      </c>
      <c r="O3338" s="317" t="str">
        <f t="shared" si="3385"/>
        <v>14:00</v>
      </c>
      <c r="P3338" s="317" t="str">
        <f t="shared" si="3385"/>
        <v>15:45</v>
      </c>
      <c r="Q3338" s="318">
        <f t="shared" si="3358"/>
        <v>46140.45833</v>
      </c>
      <c r="R3338" s="318">
        <f t="shared" si="3359"/>
        <v>46140.58333</v>
      </c>
      <c r="S3338" s="318">
        <f t="shared" si="8"/>
        <v>46140.65625</v>
      </c>
    </row>
    <row r="3339">
      <c r="A3339" s="14" t="str">
        <f t="shared" si="1"/>
        <v>C143146140</v>
      </c>
      <c r="B3339" s="185" t="str">
        <f t="array" ref="B3339">IF(F3339="VL","",IF(F3339="Free","Free",XLOOKUP(D3339,Roster!T:T,Roster!S:S,"",0)))</f>
        <v>Free</v>
      </c>
      <c r="C3339" s="313">
        <v>46140.0</v>
      </c>
      <c r="D3339" s="314" t="s">
        <v>74</v>
      </c>
      <c r="E3339" s="307" t="str">
        <f t="array" ref="E3339">(XLOOKUP(D3339,Roster!F:F,Roster!B:B,"",0))</f>
        <v>Sebastian Torres Gomez</v>
      </c>
      <c r="F3339" s="315" t="str">
        <f t="array" ref="F3339">IF(B3339=100,"Free",TEXT(XLOOKUP($D3339,OperationVoice!$A:$A,OperationVoice!AH:AH,XLOOKUP($D3339,OperationTickets!$A:$A,OperationTickets!AH:AH,"",0)),"hh:mm"))</f>
        <v>Free</v>
      </c>
      <c r="G3339" s="309" t="str">
        <f t="shared" si="3"/>
        <v>Free</v>
      </c>
      <c r="H3339" s="316" t="str">
        <f t="array" ref="H3339">XLOOKUP(B3339,Roster!L:L,Roster!N:N,XLOOKUP(D3339,TicketsBreak!A:A,TicketsBreak!E:E,"",0),0)</f>
        <v/>
      </c>
      <c r="I3339" s="316" t="str">
        <f t="array" ref="I3339">XLOOKUP(B3339,Roster!L:L,Roster!O:O,XLOOKUP(D3339,TicketsBreak!A:A,TicketsBreak!F:F,"",0),0)</f>
        <v/>
      </c>
      <c r="J3339" s="316" t="str">
        <f t="array" ref="J3339">XLOOKUP(B3339,Roster!L:L,Roster!P:P,XLOOKUP(D3339,TicketsBreak!A:A,TicketsBreak!G:G,"",0),0)</f>
        <v/>
      </c>
      <c r="K3339" s="310">
        <f t="shared" si="4"/>
        <v>46140</v>
      </c>
      <c r="L3339" s="317">
        <f t="array" ref="L3339">(XLOOKUP(D3339,Roster!F:F,Roster!D:D,"",0))</f>
        <v>32</v>
      </c>
      <c r="M3339" s="317" t="str">
        <f t="array" ref="M3339">XLOOKUP(D3339,Roster!F:F,Roster!E:E)</f>
        <v>Voice</v>
      </c>
      <c r="N3339" s="317" t="str">
        <f t="shared" ref="N3339:P3339" si="3386">LEFT(H3339,5)</f>
        <v/>
      </c>
      <c r="O3339" s="317" t="str">
        <f t="shared" si="3386"/>
        <v/>
      </c>
      <c r="P3339" s="317" t="str">
        <f t="shared" si="3386"/>
        <v/>
      </c>
      <c r="Q3339" s="318" t="str">
        <f t="shared" si="3358"/>
        <v/>
      </c>
      <c r="R3339" s="318" t="str">
        <f t="shared" si="3359"/>
        <v/>
      </c>
      <c r="S3339" s="318" t="str">
        <f t="shared" si="8"/>
        <v/>
      </c>
    </row>
    <row r="3340">
      <c r="A3340" s="14" t="str">
        <f t="shared" si="1"/>
        <v>C149146140</v>
      </c>
      <c r="B3340" s="185" t="str">
        <f t="array" ref="B3340">IF(F3340="VL","",IF(F3340="Free","Free",XLOOKUP(D3340,Roster!T:T,Roster!S:S,"",0)))</f>
        <v/>
      </c>
      <c r="C3340" s="313">
        <v>46140.0</v>
      </c>
      <c r="D3340" s="314" t="s">
        <v>315</v>
      </c>
      <c r="E3340" s="307" t="str">
        <f t="array" ref="E3340">(XLOOKUP(D3340,Roster!F:F,Roster!B:B,"",0))</f>
        <v>Sebastian Vanegas</v>
      </c>
      <c r="F3340" s="315" t="str">
        <f t="array" ref="F3340">IF(B3340=100,"Free",TEXT(XLOOKUP($D3340,OperationVoice!$A:$A,OperationVoice!AH:AH,XLOOKUP($D3340,OperationTickets!$A:$A,OperationTickets!AH:AH,"",0)),"hh:mm"))</f>
        <v/>
      </c>
      <c r="G3340" s="309" t="str">
        <f t="shared" si="3"/>
        <v/>
      </c>
      <c r="H3340" s="316" t="str">
        <f t="array" ref="H3340">XLOOKUP(B3340,Roster!L:L,Roster!N:N,XLOOKUP(D3340,TicketsBreak!A:A,TicketsBreak!E:E,"",0),0)</f>
        <v/>
      </c>
      <c r="I3340" s="316" t="str">
        <f t="array" ref="I3340">XLOOKUP(B3340,Roster!L:L,Roster!O:O,XLOOKUP(D3340,TicketsBreak!A:A,TicketsBreak!F:F,"",0),0)</f>
        <v/>
      </c>
      <c r="J3340" s="316" t="str">
        <f t="array" ref="J3340">XLOOKUP(B3340,Roster!L:L,Roster!P:P,XLOOKUP(D3340,TicketsBreak!A:A,TicketsBreak!G:G,"",0),0)</f>
        <v/>
      </c>
      <c r="K3340" s="310">
        <f t="shared" si="4"/>
        <v>46140</v>
      </c>
      <c r="L3340" s="317">
        <f t="array" ref="L3340">(XLOOKUP(D3340,Roster!F:F,Roster!D:D,"",0))</f>
        <v>34</v>
      </c>
      <c r="M3340" s="317" t="str">
        <f t="array" ref="M3340">XLOOKUP(D3340,Roster!F:F,Roster!E:E)</f>
        <v>Voice</v>
      </c>
      <c r="N3340" s="317" t="str">
        <f t="shared" ref="N3340:P3340" si="3387">LEFT(H3340,5)</f>
        <v/>
      </c>
      <c r="O3340" s="317" t="str">
        <f t="shared" si="3387"/>
        <v/>
      </c>
      <c r="P3340" s="317" t="str">
        <f t="shared" si="3387"/>
        <v/>
      </c>
      <c r="Q3340" s="318" t="str">
        <f t="shared" si="3358"/>
        <v/>
      </c>
      <c r="R3340" s="318" t="str">
        <f t="shared" si="3359"/>
        <v/>
      </c>
      <c r="S3340" s="318" t="str">
        <f t="shared" si="8"/>
        <v/>
      </c>
    </row>
    <row r="3341">
      <c r="A3341" s="14" t="str">
        <f t="shared" si="1"/>
        <v>C93746140</v>
      </c>
      <c r="B3341" s="185">
        <f t="array" ref="B3341">IF(F3341="VL","",IF(F3341="Free","Free",XLOOKUP(D3341,Roster!T:T,Roster!S:S,"",0)))</f>
        <v>126</v>
      </c>
      <c r="C3341" s="313">
        <v>46140.0</v>
      </c>
      <c r="D3341" s="314" t="s">
        <v>75</v>
      </c>
      <c r="E3341" s="307" t="str">
        <f t="array" ref="E3341">(XLOOKUP(D3341,Roster!F:F,Roster!B:B,"",0))</f>
        <v>Sebastian Zapata</v>
      </c>
      <c r="F3341" s="315" t="str">
        <f t="array" ref="F3341">IF(B3341=100,"Free",TEXT(XLOOKUP($D3341,OperationVoice!$A:$A,OperationVoice!AH:AH,XLOOKUP($D3341,OperationTickets!$A:$A,OperationTickets!AH:AH,"",0)),"hh:mm"))</f>
        <v>08:00</v>
      </c>
      <c r="G3341" s="309">
        <f t="shared" si="3"/>
        <v>0.7083333333</v>
      </c>
      <c r="H3341" s="316" t="str">
        <f t="array" ref="H3341">XLOOKUP(B3341,Roster!L:L,Roster!N:N,XLOOKUP(D3341,TicketsBreak!A:A,TicketsBreak!E:E,"",0),0)</f>
        <v>10:45 - 11:00</v>
      </c>
      <c r="I3341" s="316" t="str">
        <f t="array" ref="I3341">XLOOKUP(B3341,Roster!L:L,Roster!O:O,XLOOKUP(D3341,TicketsBreak!A:A,TicketsBreak!F:F,"",0),0)</f>
        <v>14:00 - 14:30</v>
      </c>
      <c r="J3341" s="316" t="str">
        <f t="array" ref="J3341">XLOOKUP(B3341,Roster!L:L,Roster!P:P,XLOOKUP(D3341,TicketsBreak!A:A,TicketsBreak!G:G,"",0),0)</f>
        <v>15:45 - 16:00</v>
      </c>
      <c r="K3341" s="310">
        <f t="shared" si="4"/>
        <v>46140</v>
      </c>
      <c r="L3341" s="317">
        <f t="array" ref="L3341">(XLOOKUP(D3341,Roster!F:F,Roster!D:D,"",0))</f>
        <v>12</v>
      </c>
      <c r="M3341" s="317" t="str">
        <f t="array" ref="M3341">XLOOKUP(D3341,Roster!F:F,Roster!E:E)</f>
        <v>Voice</v>
      </c>
      <c r="N3341" s="317" t="str">
        <f t="shared" ref="N3341:P3341" si="3388">LEFT(H3341,5)</f>
        <v>10:45</v>
      </c>
      <c r="O3341" s="317" t="str">
        <f t="shared" si="3388"/>
        <v>14:00</v>
      </c>
      <c r="P3341" s="317" t="str">
        <f t="shared" si="3388"/>
        <v>15:45</v>
      </c>
      <c r="Q3341" s="318">
        <f t="shared" si="3358"/>
        <v>46140.44792</v>
      </c>
      <c r="R3341" s="318">
        <f t="shared" si="3359"/>
        <v>46140.58333</v>
      </c>
      <c r="S3341" s="318">
        <f t="shared" si="8"/>
        <v>46140.65625</v>
      </c>
    </row>
    <row r="3342">
      <c r="A3342" s="14" t="str">
        <f t="shared" si="1"/>
        <v>C156546140</v>
      </c>
      <c r="B3342" s="185">
        <f t="array" ref="B3342">IF(F3342="VL","",IF(F3342="Free","Free",XLOOKUP(D3342,Roster!T:T,Roster!S:S,"",0)))</f>
        <v>122</v>
      </c>
      <c r="C3342" s="313">
        <v>46140.0</v>
      </c>
      <c r="D3342" s="314" t="s">
        <v>76</v>
      </c>
      <c r="E3342" s="307" t="str">
        <f t="array" ref="E3342">(XLOOKUP(D3342,Roster!F:F,Roster!B:B,"",0))</f>
        <v>Sergio Rojas</v>
      </c>
      <c r="F3342" s="315" t="str">
        <f t="array" ref="F3342">IF(B3342=100,"Free",TEXT(XLOOKUP($D3342,OperationVoice!$A:$A,OperationVoice!AH:AH,XLOOKUP($D3342,OperationTickets!$A:$A,OperationTickets!AH:AH,"",0)),"hh:mm"))</f>
        <v>11:00</v>
      </c>
      <c r="G3342" s="309">
        <f t="shared" si="3"/>
        <v>0.8333333333</v>
      </c>
      <c r="H3342" s="316" t="str">
        <f t="array" ref="H3342">XLOOKUP(B3342,Roster!L:L,Roster!N:N,XLOOKUP(D3342,TicketsBreak!A:A,TicketsBreak!E:E,"",0),0)</f>
        <v>09:30 - 09:45</v>
      </c>
      <c r="I3342" s="316" t="str">
        <f t="array" ref="I3342">XLOOKUP(B3342,Roster!L:L,Roster!O:O,XLOOKUP(D3342,TicketsBreak!A:A,TicketsBreak!F:F,"",0),0)</f>
        <v>12:00 - 12:30</v>
      </c>
      <c r="J3342" s="316" t="str">
        <f t="array" ref="J3342">XLOOKUP(B3342,Roster!L:L,Roster!P:P,XLOOKUP(D3342,TicketsBreak!A:A,TicketsBreak!G:G,"",0),0)</f>
        <v>14:45 - 15:00</v>
      </c>
      <c r="K3342" s="310">
        <f t="shared" si="4"/>
        <v>46140</v>
      </c>
      <c r="L3342" s="317">
        <f t="array" ref="L3342">(XLOOKUP(D3342,Roster!F:F,Roster!D:D,"",0))</f>
        <v>38</v>
      </c>
      <c r="M3342" s="317" t="str">
        <f t="array" ref="M3342">XLOOKUP(D3342,Roster!F:F,Roster!E:E)</f>
        <v>Voice</v>
      </c>
      <c r="N3342" s="317" t="str">
        <f t="shared" ref="N3342:P3342" si="3389">LEFT(H3342,5)</f>
        <v>09:30</v>
      </c>
      <c r="O3342" s="317" t="str">
        <f t="shared" si="3389"/>
        <v>12:00</v>
      </c>
      <c r="P3342" s="317" t="str">
        <f t="shared" si="3389"/>
        <v>14:45</v>
      </c>
      <c r="Q3342" s="318">
        <f t="shared" si="3358"/>
        <v>46140.39583</v>
      </c>
      <c r="R3342" s="318">
        <f t="shared" si="3359"/>
        <v>46140.5</v>
      </c>
      <c r="S3342" s="318">
        <f t="shared" si="8"/>
        <v>46140.61458</v>
      </c>
    </row>
    <row r="3343">
      <c r="A3343" s="14" t="str">
        <f t="shared" si="1"/>
        <v>C147846140</v>
      </c>
      <c r="B3343" s="185" t="str">
        <f t="array" ref="B3343">IF(F3343="VL","",IF(F3343="Free","Free",XLOOKUP(D3343,Roster!T:T,Roster!S:S,"",0)))</f>
        <v/>
      </c>
      <c r="C3343" s="313">
        <v>46140.0</v>
      </c>
      <c r="D3343" s="314" t="s">
        <v>186</v>
      </c>
      <c r="E3343" s="307" t="str">
        <f t="array" ref="E3343">(XLOOKUP(D3343,Roster!F:F,Roster!B:B,"",0))</f>
        <v>Simon Atehortua</v>
      </c>
      <c r="F3343" s="315" t="str">
        <f t="array" ref="F3343">IF(B3343=100,"Free",TEXT(XLOOKUP($D3343,OperationVoice!$A:$A,OperationVoice!AH:AH,XLOOKUP($D3343,OperationTickets!$A:$A,OperationTickets!AH:AH,"",0)),"hh:mm"))</f>
        <v>07:00</v>
      </c>
      <c r="G3343" s="309">
        <f t="shared" si="3"/>
        <v>0.6666666667</v>
      </c>
      <c r="H3343" s="316" t="str">
        <f t="array" ref="H3343">XLOOKUP(B3343,Roster!L:L,Roster!N:N,XLOOKUP(D3343,TicketsBreak!A:A,TicketsBreak!E:E,"",0),0)</f>
        <v/>
      </c>
      <c r="I3343" s="316" t="str">
        <f t="array" ref="I3343">XLOOKUP(B3343,Roster!L:L,Roster!O:O,XLOOKUP(D3343,TicketsBreak!A:A,TicketsBreak!F:F,"",0),0)</f>
        <v/>
      </c>
      <c r="J3343" s="316" t="str">
        <f t="array" ref="J3343">XLOOKUP(B3343,Roster!L:L,Roster!P:P,XLOOKUP(D3343,TicketsBreak!A:A,TicketsBreak!G:G,"",0),0)</f>
        <v/>
      </c>
      <c r="K3343" s="310">
        <f t="shared" si="4"/>
        <v>46140</v>
      </c>
      <c r="L3343" s="317">
        <f t="array" ref="L3343">(XLOOKUP(D3343,Roster!F:F,Roster!D:D,"",0))</f>
        <v>32</v>
      </c>
      <c r="M3343" s="317" t="str">
        <f t="array" ref="M3343">XLOOKUP(D3343,Roster!F:F,Roster!E:E)</f>
        <v>Tickets</v>
      </c>
      <c r="N3343" s="317" t="str">
        <f t="shared" ref="N3343:P3343" si="3390">LEFT(H3343,5)</f>
        <v/>
      </c>
      <c r="O3343" s="317" t="str">
        <f t="shared" si="3390"/>
        <v/>
      </c>
      <c r="P3343" s="317" t="str">
        <f t="shared" si="3390"/>
        <v/>
      </c>
      <c r="Q3343" s="318" t="str">
        <f t="shared" si="3358"/>
        <v/>
      </c>
      <c r="R3343" s="318" t="str">
        <f t="shared" si="3359"/>
        <v/>
      </c>
      <c r="S3343" s="318" t="str">
        <f t="shared" si="8"/>
        <v/>
      </c>
    </row>
    <row r="3344">
      <c r="A3344" s="14" t="str">
        <f t="shared" si="1"/>
        <v>C148346140</v>
      </c>
      <c r="B3344" s="185">
        <f t="array" ref="B3344">IF(F3344="VL","",IF(F3344="Free","Free",XLOOKUP(D3344,Roster!T:T,Roster!S:S,"",0)))</f>
        <v>152</v>
      </c>
      <c r="C3344" s="313">
        <v>46140.0</v>
      </c>
      <c r="D3344" s="314" t="s">
        <v>77</v>
      </c>
      <c r="E3344" s="307" t="str">
        <f t="array" ref="E3344">(XLOOKUP(D3344,Roster!F:F,Roster!B:B,"",0))</f>
        <v>Simon Zuluaica</v>
      </c>
      <c r="F3344" s="315" t="str">
        <f t="array" ref="F3344">IF(B3344=100,"Free",TEXT(XLOOKUP($D3344,OperationVoice!$A:$A,OperationVoice!AH:AH,XLOOKUP($D3344,OperationTickets!$A:$A,OperationTickets!AH:AH,"",0)),"hh:mm"))</f>
        <v>11:00</v>
      </c>
      <c r="G3344" s="309">
        <f t="shared" si="3"/>
        <v>0.8333333333</v>
      </c>
      <c r="H3344" s="316" t="str">
        <f t="array" ref="H3344">XLOOKUP(B3344,Roster!L:L,Roster!N:N,XLOOKUP(D3344,TicketsBreak!A:A,TicketsBreak!E:E,"",0),0)</f>
        <v>12:30 - 12:45</v>
      </c>
      <c r="I3344" s="316" t="str">
        <f t="array" ref="I3344">XLOOKUP(B3344,Roster!L:L,Roster!O:O,XLOOKUP(D3344,TicketsBreak!A:A,TicketsBreak!F:F,"",0),0)</f>
        <v>14:30 - 15:00</v>
      </c>
      <c r="J3344" s="316" t="str">
        <f t="array" ref="J3344">XLOOKUP(B3344,Roster!L:L,Roster!P:P,XLOOKUP(D3344,TicketsBreak!A:A,TicketsBreak!G:G,"",0),0)</f>
        <v>17:30 - 17:45</v>
      </c>
      <c r="K3344" s="310">
        <f t="shared" si="4"/>
        <v>46140</v>
      </c>
      <c r="L3344" s="317">
        <f t="array" ref="L3344">(XLOOKUP(D3344,Roster!F:F,Roster!D:D,"",0))</f>
        <v>34</v>
      </c>
      <c r="M3344" s="317" t="str">
        <f t="array" ref="M3344">XLOOKUP(D3344,Roster!F:F,Roster!E:E)</f>
        <v>Voice</v>
      </c>
      <c r="N3344" s="317" t="str">
        <f t="shared" ref="N3344:P3344" si="3391">LEFT(H3344,5)</f>
        <v>12:30</v>
      </c>
      <c r="O3344" s="317" t="str">
        <f t="shared" si="3391"/>
        <v>14:30</v>
      </c>
      <c r="P3344" s="317" t="str">
        <f t="shared" si="3391"/>
        <v>17:30</v>
      </c>
      <c r="Q3344" s="318">
        <f t="shared" si="3358"/>
        <v>46140.52083</v>
      </c>
      <c r="R3344" s="318">
        <f t="shared" si="3359"/>
        <v>46140.60417</v>
      </c>
      <c r="S3344" s="318">
        <f t="shared" si="8"/>
        <v>46140.72917</v>
      </c>
    </row>
    <row r="3345">
      <c r="A3345" s="14" t="str">
        <f t="shared" si="1"/>
        <v>C154046140</v>
      </c>
      <c r="B3345" s="185">
        <f t="array" ref="B3345">IF(F3345="VL","",IF(F3345="Free","Free",XLOOKUP(D3345,Roster!T:T,Roster!S:S,"",0)))</f>
        <v>122</v>
      </c>
      <c r="C3345" s="313">
        <v>46140.0</v>
      </c>
      <c r="D3345" s="314" t="s">
        <v>78</v>
      </c>
      <c r="E3345" s="307" t="str">
        <f t="array" ref="E3345">(XLOOKUP(D3345,Roster!F:F,Roster!B:B,"",0))</f>
        <v>Tomas Perez</v>
      </c>
      <c r="F3345" s="315" t="str">
        <f t="array" ref="F3345">IF(B3345=100,"Free",TEXT(XLOOKUP($D3345,OperationVoice!$A:$A,OperationVoice!AH:AH,XLOOKUP($D3345,OperationTickets!$A:$A,OperationTickets!AH:AH,"",0)),"hh:mm"))</f>
        <v>08:00</v>
      </c>
      <c r="G3345" s="309">
        <f t="shared" si="3"/>
        <v>0.7083333333</v>
      </c>
      <c r="H3345" s="316" t="str">
        <f t="array" ref="H3345">XLOOKUP(B3345,Roster!L:L,Roster!N:N,XLOOKUP(D3345,TicketsBreak!A:A,TicketsBreak!E:E,"",0),0)</f>
        <v>09:30 - 09:45</v>
      </c>
      <c r="I3345" s="316" t="str">
        <f t="array" ref="I3345">XLOOKUP(B3345,Roster!L:L,Roster!O:O,XLOOKUP(D3345,TicketsBreak!A:A,TicketsBreak!F:F,"",0),0)</f>
        <v>12:00 - 12:30</v>
      </c>
      <c r="J3345" s="316" t="str">
        <f t="array" ref="J3345">XLOOKUP(B3345,Roster!L:L,Roster!P:P,XLOOKUP(D3345,TicketsBreak!A:A,TicketsBreak!G:G,"",0),0)</f>
        <v>14:45 - 15:00</v>
      </c>
      <c r="K3345" s="310">
        <f t="shared" si="4"/>
        <v>46140</v>
      </c>
      <c r="L3345" s="317">
        <f t="array" ref="L3345">(XLOOKUP(D3345,Roster!F:F,Roster!D:D,"",0))</f>
        <v>36</v>
      </c>
      <c r="M3345" s="317" t="str">
        <f t="array" ref="M3345">XLOOKUP(D3345,Roster!F:F,Roster!E:E)</f>
        <v>Voice</v>
      </c>
      <c r="N3345" s="317" t="str">
        <f t="shared" ref="N3345:P3345" si="3392">LEFT(H3345,5)</f>
        <v>09:30</v>
      </c>
      <c r="O3345" s="317" t="str">
        <f t="shared" si="3392"/>
        <v>12:00</v>
      </c>
      <c r="P3345" s="317" t="str">
        <f t="shared" si="3392"/>
        <v>14:45</v>
      </c>
      <c r="Q3345" s="318">
        <f t="shared" si="3358"/>
        <v>46140.39583</v>
      </c>
      <c r="R3345" s="318">
        <f t="shared" si="3359"/>
        <v>46140.5</v>
      </c>
      <c r="S3345" s="318">
        <f t="shared" si="8"/>
        <v>46140.61458</v>
      </c>
    </row>
    <row r="3346">
      <c r="A3346" s="14" t="str">
        <f t="shared" si="1"/>
        <v>C154746140</v>
      </c>
      <c r="B3346" s="185">
        <f t="array" ref="B3346">IF(F3346="VL","",IF(F3346="Free","Free",XLOOKUP(D3346,Roster!T:T,Roster!S:S,"",0)))</f>
        <v>121</v>
      </c>
      <c r="C3346" s="313">
        <v>46140.0</v>
      </c>
      <c r="D3346" s="314" t="s">
        <v>79</v>
      </c>
      <c r="E3346" s="307" t="str">
        <f t="array" ref="E3346">(XLOOKUP(D3346,Roster!F:F,Roster!B:B,"",0))</f>
        <v>Valentina Barreto</v>
      </c>
      <c r="F3346" s="315" t="str">
        <f t="array" ref="F3346">IF(B3346=100,"Free",TEXT(XLOOKUP($D3346,OperationVoice!$A:$A,OperationVoice!AH:AH,XLOOKUP($D3346,OperationTickets!$A:$A,OperationTickets!AH:AH,"",0)),"hh:mm"))</f>
        <v>08:00</v>
      </c>
      <c r="G3346" s="309">
        <f t="shared" si="3"/>
        <v>0.7083333333</v>
      </c>
      <c r="H3346" s="316" t="str">
        <f t="array" ref="H3346">XLOOKUP(B3346,Roster!L:L,Roster!N:N,XLOOKUP(D3346,TicketsBreak!A:A,TicketsBreak!E:E,"",0),0)</f>
        <v>09:15 - 09:30</v>
      </c>
      <c r="I3346" s="316" t="str">
        <f t="array" ref="I3346">XLOOKUP(B3346,Roster!L:L,Roster!O:O,XLOOKUP(D3346,TicketsBreak!A:A,TicketsBreak!F:F,"",0),0)</f>
        <v>11:30 - 12:00</v>
      </c>
      <c r="J3346" s="316" t="str">
        <f t="array" ref="J3346">XLOOKUP(B3346,Roster!L:L,Roster!P:P,XLOOKUP(D3346,TicketsBreak!A:A,TicketsBreak!G:G,"",0),0)</f>
        <v>14:30 - 14:45</v>
      </c>
      <c r="K3346" s="310">
        <f t="shared" si="4"/>
        <v>46140</v>
      </c>
      <c r="L3346" s="317">
        <f t="array" ref="L3346">(XLOOKUP(D3346,Roster!F:F,Roster!D:D,"",0))</f>
        <v>37</v>
      </c>
      <c r="M3346" s="317" t="str">
        <f t="array" ref="M3346">XLOOKUP(D3346,Roster!F:F,Roster!E:E)</f>
        <v>Voice</v>
      </c>
      <c r="N3346" s="317" t="str">
        <f t="shared" ref="N3346:P3346" si="3393">LEFT(H3346,5)</f>
        <v>09:15</v>
      </c>
      <c r="O3346" s="317" t="str">
        <f t="shared" si="3393"/>
        <v>11:30</v>
      </c>
      <c r="P3346" s="317" t="str">
        <f t="shared" si="3393"/>
        <v>14:30</v>
      </c>
      <c r="Q3346" s="318">
        <f t="shared" si="3358"/>
        <v>46140.38542</v>
      </c>
      <c r="R3346" s="318">
        <f t="shared" si="3359"/>
        <v>46140.47917</v>
      </c>
      <c r="S3346" s="318">
        <f t="shared" si="8"/>
        <v>46140.60417</v>
      </c>
    </row>
    <row r="3347">
      <c r="A3347" s="14" t="str">
        <f t="shared" si="1"/>
        <v>C155346140</v>
      </c>
      <c r="B3347" s="185">
        <f t="array" ref="B3347">IF(F3347="VL","",IF(F3347="Free","Free",XLOOKUP(D3347,Roster!T:T,Roster!S:S,"",0)))</f>
        <v>122</v>
      </c>
      <c r="C3347" s="313">
        <v>46140.0</v>
      </c>
      <c r="D3347" s="314" t="s">
        <v>80</v>
      </c>
      <c r="E3347" s="307" t="str">
        <f t="array" ref="E3347">(XLOOKUP(D3347,Roster!F:F,Roster!B:B,"",0))</f>
        <v>Valentina Castro</v>
      </c>
      <c r="F3347" s="315" t="str">
        <f t="array" ref="F3347">IF(B3347=100,"Free",TEXT(XLOOKUP($D3347,OperationVoice!$A:$A,OperationVoice!AH:AH,XLOOKUP($D3347,OperationTickets!$A:$A,OperationTickets!AH:AH,"",0)),"hh:mm"))</f>
        <v>08:00</v>
      </c>
      <c r="G3347" s="309">
        <f t="shared" si="3"/>
        <v>0.7083333333</v>
      </c>
      <c r="H3347" s="316" t="str">
        <f t="array" ref="H3347">XLOOKUP(B3347,Roster!L:L,Roster!N:N,XLOOKUP(D3347,TicketsBreak!A:A,TicketsBreak!E:E,"",0),0)</f>
        <v>09:30 - 09:45</v>
      </c>
      <c r="I3347" s="316" t="str">
        <f t="array" ref="I3347">XLOOKUP(B3347,Roster!L:L,Roster!O:O,XLOOKUP(D3347,TicketsBreak!A:A,TicketsBreak!F:F,"",0),0)</f>
        <v>12:00 - 12:30</v>
      </c>
      <c r="J3347" s="316" t="str">
        <f t="array" ref="J3347">XLOOKUP(B3347,Roster!L:L,Roster!P:P,XLOOKUP(D3347,TicketsBreak!A:A,TicketsBreak!G:G,"",0),0)</f>
        <v>14:45 - 15:00</v>
      </c>
      <c r="K3347" s="310">
        <f t="shared" si="4"/>
        <v>46140</v>
      </c>
      <c r="L3347" s="317">
        <f t="array" ref="L3347">(XLOOKUP(D3347,Roster!F:F,Roster!D:D,"",0))</f>
        <v>37</v>
      </c>
      <c r="M3347" s="317" t="str">
        <f t="array" ref="M3347">XLOOKUP(D3347,Roster!F:F,Roster!E:E)</f>
        <v>Voice</v>
      </c>
      <c r="N3347" s="317" t="str">
        <f t="shared" ref="N3347:P3347" si="3394">LEFT(H3347,5)</f>
        <v>09:30</v>
      </c>
      <c r="O3347" s="317" t="str">
        <f t="shared" si="3394"/>
        <v>12:00</v>
      </c>
      <c r="P3347" s="317" t="str">
        <f t="shared" si="3394"/>
        <v>14:45</v>
      </c>
      <c r="Q3347" s="318">
        <f t="shared" si="3358"/>
        <v>46140.39583</v>
      </c>
      <c r="R3347" s="318">
        <f t="shared" si="3359"/>
        <v>46140.5</v>
      </c>
      <c r="S3347" s="318">
        <f t="shared" si="8"/>
        <v>46140.61458</v>
      </c>
    </row>
    <row r="3348">
      <c r="A3348" s="14" t="str">
        <f t="shared" si="1"/>
        <v>C150246140</v>
      </c>
      <c r="B3348" s="185" t="str">
        <f t="array" ref="B3348">IF(F3348="VL","",IF(F3348="Free","Free",XLOOKUP(D3348,Roster!T:T,Roster!S:S,"",0)))</f>
        <v/>
      </c>
      <c r="C3348" s="313">
        <v>46140.0</v>
      </c>
      <c r="D3348" s="314" t="s">
        <v>316</v>
      </c>
      <c r="E3348" s="307" t="str">
        <f t="array" ref="E3348">(XLOOKUP(D3348,Roster!F:F,Roster!B:B,"",0))</f>
        <v>Valentina Gallego</v>
      </c>
      <c r="F3348" s="315" t="str">
        <f t="array" ref="F3348">IF(B3348=100,"Free",TEXT(XLOOKUP($D3348,OperationVoice!$A:$A,OperationVoice!AH:AH,XLOOKUP($D3348,OperationTickets!$A:$A,OperationTickets!AH:AH,"",0)),"hh:mm"))</f>
        <v/>
      </c>
      <c r="G3348" s="309" t="str">
        <f t="shared" si="3"/>
        <v/>
      </c>
      <c r="H3348" s="316" t="str">
        <f t="array" ref="H3348">XLOOKUP(B3348,Roster!L:L,Roster!N:N,XLOOKUP(D3348,TicketsBreak!A:A,TicketsBreak!E:E,"",0),0)</f>
        <v/>
      </c>
      <c r="I3348" s="316" t="str">
        <f t="array" ref="I3348">XLOOKUP(B3348,Roster!L:L,Roster!O:O,XLOOKUP(D3348,TicketsBreak!A:A,TicketsBreak!F:F,"",0),0)</f>
        <v/>
      </c>
      <c r="J3348" s="316" t="str">
        <f t="array" ref="J3348">XLOOKUP(B3348,Roster!L:L,Roster!P:P,XLOOKUP(D3348,TicketsBreak!A:A,TicketsBreak!G:G,"",0),0)</f>
        <v/>
      </c>
      <c r="K3348" s="310">
        <f t="shared" si="4"/>
        <v>46140</v>
      </c>
      <c r="L3348" s="317">
        <f t="array" ref="L3348">(XLOOKUP(D3348,Roster!F:F,Roster!D:D,"",0))</f>
        <v>35</v>
      </c>
      <c r="M3348" s="317" t="str">
        <f t="array" ref="M3348">XLOOKUP(D3348,Roster!F:F,Roster!E:E)</f>
        <v>Voice</v>
      </c>
      <c r="N3348" s="317" t="str">
        <f t="shared" ref="N3348:P3348" si="3395">LEFT(H3348,5)</f>
        <v/>
      </c>
      <c r="O3348" s="317" t="str">
        <f t="shared" si="3395"/>
        <v/>
      </c>
      <c r="P3348" s="317" t="str">
        <f t="shared" si="3395"/>
        <v/>
      </c>
      <c r="Q3348" s="318" t="str">
        <f t="shared" si="3358"/>
        <v/>
      </c>
      <c r="R3348" s="318" t="str">
        <f t="shared" si="3359"/>
        <v/>
      </c>
      <c r="S3348" s="318" t="str">
        <f t="shared" si="8"/>
        <v/>
      </c>
    </row>
    <row r="3349">
      <c r="A3349" s="14" t="str">
        <f t="shared" si="1"/>
        <v>C112646140</v>
      </c>
      <c r="B3349" s="185" t="str">
        <f t="array" ref="B3349">IF(F3349="VL","",IF(F3349="Free","Free",XLOOKUP(D3349,Roster!T:T,Roster!S:S,"",0)))</f>
        <v/>
      </c>
      <c r="C3349" s="313">
        <v>46140.0</v>
      </c>
      <c r="D3349" s="314" t="s">
        <v>152</v>
      </c>
      <c r="E3349" s="307" t="str">
        <f t="array" ref="E3349">(XLOOKUP(D3349,Roster!F:F,Roster!B:B,"",0))</f>
        <v>Valery Escobar</v>
      </c>
      <c r="F3349" s="315" t="str">
        <f t="array" ref="F3349">IF(B3349=100,"Free",TEXT(XLOOKUP($D3349,OperationVoice!$A:$A,OperationVoice!AH:AH,XLOOKUP($D3349,OperationTickets!$A:$A,OperationTickets!AH:AH,"",0)),"hh:mm"))</f>
        <v>08:00</v>
      </c>
      <c r="G3349" s="309">
        <f t="shared" si="3"/>
        <v>0.7083333333</v>
      </c>
      <c r="H3349" s="316">
        <f t="array" ref="H3349">XLOOKUP(B3349,Roster!L:L,Roster!N:N,XLOOKUP(D3349,TicketsBreak!A:A,TicketsBreak!E:E,"",0),0)</f>
        <v>0.3854166667</v>
      </c>
      <c r="I3349" s="316">
        <f t="array" ref="I3349">XLOOKUP(B3349,Roster!L:L,Roster!O:O,XLOOKUP(D3349,TicketsBreak!A:A,TicketsBreak!F:F,"",0),0)</f>
        <v>0.5</v>
      </c>
      <c r="J3349" s="316">
        <f t="array" ref="J3349">XLOOKUP(B3349,Roster!L:L,Roster!P:P,XLOOKUP(D3349,TicketsBreak!A:A,TicketsBreak!G:G,"",0),0)</f>
        <v>0.6041666667</v>
      </c>
      <c r="K3349" s="310">
        <f t="shared" si="4"/>
        <v>46140</v>
      </c>
      <c r="L3349" s="317">
        <f t="array" ref="L3349">(XLOOKUP(D3349,Roster!F:F,Roster!D:D,"",0))</f>
        <v>21</v>
      </c>
      <c r="M3349" s="317" t="str">
        <f t="array" ref="M3349">XLOOKUP(D3349,Roster!F:F,Roster!E:E)</f>
        <v>Tickets</v>
      </c>
      <c r="N3349" s="317" t="str">
        <f t="shared" ref="N3349:P3349" si="3396">LEFT(H3349,5)</f>
        <v>09:15</v>
      </c>
      <c r="O3349" s="317" t="str">
        <f t="shared" si="3396"/>
        <v>12:00</v>
      </c>
      <c r="P3349" s="317" t="str">
        <f t="shared" si="3396"/>
        <v>14:30</v>
      </c>
      <c r="Q3349" s="318">
        <f t="shared" si="3358"/>
        <v>46140.38542</v>
      </c>
      <c r="R3349" s="318">
        <f t="shared" si="3359"/>
        <v>46140.5</v>
      </c>
      <c r="S3349" s="318">
        <f t="shared" si="8"/>
        <v>46140.60417</v>
      </c>
    </row>
    <row r="3350">
      <c r="A3350" s="14" t="str">
        <f t="shared" si="1"/>
        <v>C155246140</v>
      </c>
      <c r="B3350" s="185">
        <f t="array" ref="B3350">IF(F3350="VL","",IF(F3350="Free","Free",XLOOKUP(D3350,Roster!T:T,Roster!S:S,"",0)))</f>
        <v>125</v>
      </c>
      <c r="C3350" s="313">
        <v>46140.0</v>
      </c>
      <c r="D3350" s="314" t="s">
        <v>81</v>
      </c>
      <c r="E3350" s="307" t="str">
        <f t="array" ref="E3350">(XLOOKUP(D3350,Roster!F:F,Roster!B:B,"",0))</f>
        <v>Wendy Machado</v>
      </c>
      <c r="F3350" s="315" t="str">
        <f t="array" ref="F3350">IF(B3350=100,"Free",TEXT(XLOOKUP($D3350,OperationVoice!$A:$A,OperationVoice!AH:AH,XLOOKUP($D3350,OperationTickets!$A:$A,OperationTickets!AH:AH,"",0)),"hh:mm"))</f>
        <v>08:00</v>
      </c>
      <c r="G3350" s="309">
        <f t="shared" si="3"/>
        <v>0.7083333333</v>
      </c>
      <c r="H3350" s="316" t="str">
        <f t="array" ref="H3350">XLOOKUP(B3350,Roster!L:L,Roster!N:N,XLOOKUP(D3350,TicketsBreak!A:A,TicketsBreak!E:E,"",0),0)</f>
        <v>10:30 - 10:45</v>
      </c>
      <c r="I3350" s="316" t="str">
        <f t="array" ref="I3350">XLOOKUP(B3350,Roster!L:L,Roster!O:O,XLOOKUP(D3350,TicketsBreak!A:A,TicketsBreak!F:F,"",0),0)</f>
        <v>13:30 - 14:00</v>
      </c>
      <c r="J3350" s="316" t="str">
        <f t="array" ref="J3350">XLOOKUP(B3350,Roster!L:L,Roster!P:P,XLOOKUP(D3350,TicketsBreak!A:A,TicketsBreak!G:G,"",0),0)</f>
        <v>15:45 - 16:00</v>
      </c>
      <c r="K3350" s="310">
        <f t="shared" si="4"/>
        <v>46140</v>
      </c>
      <c r="L3350" s="317">
        <f t="array" ref="L3350">(XLOOKUP(D3350,Roster!F:F,Roster!D:D,"",0))</f>
        <v>37</v>
      </c>
      <c r="M3350" s="317" t="str">
        <f t="array" ref="M3350">XLOOKUP(D3350,Roster!F:F,Roster!E:E)</f>
        <v>Voice</v>
      </c>
      <c r="N3350" s="317" t="str">
        <f t="shared" ref="N3350:P3350" si="3397">LEFT(H3350,5)</f>
        <v>10:30</v>
      </c>
      <c r="O3350" s="317" t="str">
        <f t="shared" si="3397"/>
        <v>13:30</v>
      </c>
      <c r="P3350" s="317" t="str">
        <f t="shared" si="3397"/>
        <v>15:45</v>
      </c>
      <c r="Q3350" s="318">
        <f t="shared" si="3358"/>
        <v>46140.4375</v>
      </c>
      <c r="R3350" s="318">
        <f t="shared" si="3359"/>
        <v>46140.5625</v>
      </c>
      <c r="S3350" s="318">
        <f t="shared" si="8"/>
        <v>46140.65625</v>
      </c>
    </row>
    <row r="3351">
      <c r="A3351" s="14" t="str">
        <f t="shared" si="1"/>
        <v>C78646140</v>
      </c>
      <c r="B3351" s="185" t="str">
        <f t="array" ref="B3351">IF(F3351="VL","",IF(F3351="Free","Free",XLOOKUP(D3351,Roster!T:T,Roster!S:S,"",0)))</f>
        <v/>
      </c>
      <c r="C3351" s="313">
        <v>46140.0</v>
      </c>
      <c r="D3351" s="314" t="s">
        <v>136</v>
      </c>
      <c r="E3351" s="307" t="str">
        <f t="array" ref="E3351">(XLOOKUP(D3351,Roster!F:F,Roster!B:B,"",0))</f>
        <v>Wendy Navarro</v>
      </c>
      <c r="F3351" s="315" t="str">
        <f t="array" ref="F3351">IF(B3351=100,"Free",TEXT(XLOOKUP($D3351,OperationVoice!$A:$A,OperationVoice!AH:AH,XLOOKUP($D3351,OperationTickets!$A:$A,OperationTickets!AH:AH,"",0)),"hh:mm"))</f>
        <v>08:00</v>
      </c>
      <c r="G3351" s="309">
        <f t="shared" si="3"/>
        <v>0.7083333333</v>
      </c>
      <c r="H3351" s="316">
        <f t="array" ref="H3351">XLOOKUP(B3351,Roster!L:L,Roster!N:N,XLOOKUP(D3351,TicketsBreak!A:A,TicketsBreak!E:E,"",0),0)</f>
        <v>0.4166666667</v>
      </c>
      <c r="I3351" s="316">
        <f t="array" ref="I3351">XLOOKUP(B3351,Roster!L:L,Roster!O:O,XLOOKUP(D3351,TicketsBreak!A:A,TicketsBreak!F:F,"",0),0)</f>
        <v>0.5416666667</v>
      </c>
      <c r="J3351" s="316">
        <f t="array" ref="J3351">XLOOKUP(B3351,Roster!L:L,Roster!P:P,XLOOKUP(D3351,TicketsBreak!A:A,TicketsBreak!G:G,"",0),0)</f>
        <v>0.6458333333</v>
      </c>
      <c r="K3351" s="310">
        <f t="shared" si="4"/>
        <v>46140</v>
      </c>
      <c r="L3351" s="317">
        <f t="array" ref="L3351">(XLOOKUP(D3351,Roster!F:F,Roster!D:D,"",0))</f>
        <v>16</v>
      </c>
      <c r="M3351" s="317" t="str">
        <f t="array" ref="M3351">XLOOKUP(D3351,Roster!F:F,Roster!E:E)</f>
        <v>Tickets</v>
      </c>
      <c r="N3351" s="317" t="str">
        <f t="shared" ref="N3351:P3351" si="3398">LEFT(H3351,5)</f>
        <v>10:00</v>
      </c>
      <c r="O3351" s="317" t="str">
        <f t="shared" si="3398"/>
        <v>13:00</v>
      </c>
      <c r="P3351" s="317" t="str">
        <f t="shared" si="3398"/>
        <v>15:30</v>
      </c>
      <c r="Q3351" s="318">
        <f t="shared" si="3358"/>
        <v>46140.41667</v>
      </c>
      <c r="R3351" s="318">
        <f t="shared" si="3359"/>
        <v>46140.54167</v>
      </c>
      <c r="S3351" s="318">
        <f t="shared" si="8"/>
        <v>46140.64583</v>
      </c>
    </row>
    <row r="3352">
      <c r="A3352" s="14" t="str">
        <f t="shared" si="1"/>
        <v>C153746140</v>
      </c>
      <c r="B3352" s="185">
        <f t="array" ref="B3352">IF(F3352="VL","",IF(F3352="Free","Free",XLOOKUP(D3352,Roster!T:T,Roster!S:S,"",0)))</f>
        <v>135</v>
      </c>
      <c r="C3352" s="313">
        <v>46140.0</v>
      </c>
      <c r="D3352" s="314" t="s">
        <v>82</v>
      </c>
      <c r="E3352" s="307" t="str">
        <f t="array" ref="E3352">(XLOOKUP(D3352,Roster!F:F,Roster!B:B,"",0))</f>
        <v>William Florez</v>
      </c>
      <c r="F3352" s="315" t="str">
        <f t="array" ref="F3352">IF(B3352=100,"Free",TEXT(XLOOKUP($D3352,OperationVoice!$A:$A,OperationVoice!AH:AH,XLOOKUP($D3352,OperationTickets!$A:$A,OperationTickets!AH:AH,"",0)),"hh:mm"))</f>
        <v>09:00</v>
      </c>
      <c r="G3352" s="309">
        <f t="shared" si="3"/>
        <v>0.75</v>
      </c>
      <c r="H3352" s="316" t="str">
        <f t="array" ref="H3352">XLOOKUP(B3352,Roster!L:L,Roster!N:N,XLOOKUP(D3352,TicketsBreak!A:A,TicketsBreak!E:E,"",0),0)</f>
        <v>11:15 - 11:30</v>
      </c>
      <c r="I3352" s="316" t="str">
        <f t="array" ref="I3352">XLOOKUP(B3352,Roster!L:L,Roster!O:O,XLOOKUP(D3352,TicketsBreak!A:A,TicketsBreak!F:F,"",0),0)</f>
        <v>14:15 - 14:45</v>
      </c>
      <c r="J3352" s="316" t="str">
        <f t="array" ref="J3352">XLOOKUP(B3352,Roster!L:L,Roster!P:P,XLOOKUP(D3352,TicketsBreak!A:A,TicketsBreak!G:G,"",0),0)</f>
        <v>16:15 - 16:30</v>
      </c>
      <c r="K3352" s="310">
        <f t="shared" si="4"/>
        <v>46140</v>
      </c>
      <c r="L3352" s="317">
        <f t="array" ref="L3352">(XLOOKUP(D3352,Roster!F:F,Roster!D:D,"",0))</f>
        <v>36</v>
      </c>
      <c r="M3352" s="317" t="str">
        <f t="array" ref="M3352">XLOOKUP(D3352,Roster!F:F,Roster!E:E)</f>
        <v>Voice</v>
      </c>
      <c r="N3352" s="317" t="str">
        <f t="shared" ref="N3352:P3352" si="3399">LEFT(H3352,5)</f>
        <v>11:15</v>
      </c>
      <c r="O3352" s="317" t="str">
        <f t="shared" si="3399"/>
        <v>14:15</v>
      </c>
      <c r="P3352" s="317" t="str">
        <f t="shared" si="3399"/>
        <v>16:15</v>
      </c>
      <c r="Q3352" s="318">
        <f t="shared" si="3358"/>
        <v>46140.46875</v>
      </c>
      <c r="R3352" s="318">
        <f t="shared" si="3359"/>
        <v>46140.59375</v>
      </c>
      <c r="S3352" s="318">
        <f t="shared" si="8"/>
        <v>46140.67708</v>
      </c>
    </row>
    <row r="3353">
      <c r="A3353" s="14" t="str">
        <f t="shared" si="1"/>
        <v>C135346140</v>
      </c>
      <c r="B3353" s="185">
        <f t="array" ref="B3353">IF(F3353="VL","",IF(F3353="Free","Free",XLOOKUP(D3353,Roster!T:T,Roster!S:S,"",0)))</f>
        <v>121</v>
      </c>
      <c r="C3353" s="313">
        <v>46140.0</v>
      </c>
      <c r="D3353" s="314" t="s">
        <v>83</v>
      </c>
      <c r="E3353" s="307" t="str">
        <f t="array" ref="E3353">(XLOOKUP(D3353,Roster!F:F,Roster!B:B,"",0))</f>
        <v>Wilson Martinez</v>
      </c>
      <c r="F3353" s="315" t="str">
        <f t="array" ref="F3353">IF(B3353=100,"Free",TEXT(XLOOKUP($D3353,OperationVoice!$A:$A,OperationVoice!AH:AH,XLOOKUP($D3353,OperationTickets!$A:$A,OperationTickets!AH:AH,"",0)),"hh:mm"))</f>
        <v>08:00</v>
      </c>
      <c r="G3353" s="309">
        <f t="shared" si="3"/>
        <v>0.7083333333</v>
      </c>
      <c r="H3353" s="316" t="str">
        <f t="array" ref="H3353">XLOOKUP(B3353,Roster!L:L,Roster!N:N,XLOOKUP(D3353,TicketsBreak!A:A,TicketsBreak!E:E,"",0),0)</f>
        <v>09:15 - 09:30</v>
      </c>
      <c r="I3353" s="316" t="str">
        <f t="array" ref="I3353">XLOOKUP(B3353,Roster!L:L,Roster!O:O,XLOOKUP(D3353,TicketsBreak!A:A,TicketsBreak!F:F,"",0),0)</f>
        <v>11:30 - 12:00</v>
      </c>
      <c r="J3353" s="316" t="str">
        <f t="array" ref="J3353">XLOOKUP(B3353,Roster!L:L,Roster!P:P,XLOOKUP(D3353,TicketsBreak!A:A,TicketsBreak!G:G,"",0),0)</f>
        <v>14:30 - 14:45</v>
      </c>
      <c r="K3353" s="310">
        <f t="shared" si="4"/>
        <v>46140</v>
      </c>
      <c r="L3353" s="317">
        <f t="array" ref="L3353">(XLOOKUP(D3353,Roster!F:F,Roster!D:D,"",0))</f>
        <v>30</v>
      </c>
      <c r="M3353" s="317" t="str">
        <f t="array" ref="M3353">XLOOKUP(D3353,Roster!F:F,Roster!E:E)</f>
        <v>Voice</v>
      </c>
      <c r="N3353" s="317" t="str">
        <f t="shared" ref="N3353:P3353" si="3400">LEFT(H3353,5)</f>
        <v>09:15</v>
      </c>
      <c r="O3353" s="317" t="str">
        <f t="shared" si="3400"/>
        <v>11:30</v>
      </c>
      <c r="P3353" s="317" t="str">
        <f t="shared" si="3400"/>
        <v>14:30</v>
      </c>
      <c r="Q3353" s="318">
        <f t="shared" si="3358"/>
        <v>46140.38542</v>
      </c>
      <c r="R3353" s="318">
        <f t="shared" si="3359"/>
        <v>46140.47917</v>
      </c>
      <c r="S3353" s="318">
        <f t="shared" si="8"/>
        <v>46140.60417</v>
      </c>
    </row>
    <row r="3354">
      <c r="A3354" s="14" t="str">
        <f t="shared" si="1"/>
        <v>C117346140</v>
      </c>
      <c r="B3354" s="185">
        <f t="array" ref="B3354">IF(F3354="VL","",IF(F3354="Free","Free",XLOOKUP(D3354,Roster!T:T,Roster!S:S,"",0)))</f>
        <v>122</v>
      </c>
      <c r="C3354" s="313">
        <v>46140.0</v>
      </c>
      <c r="D3354" s="314" t="s">
        <v>84</v>
      </c>
      <c r="E3354" s="307" t="str">
        <f t="array" ref="E3354">(XLOOKUP(D3354,Roster!F:F,Roster!B:B,"",0))</f>
        <v>Yaidy Mosquera</v>
      </c>
      <c r="F3354" s="315" t="str">
        <f t="array" ref="F3354">IF(B3354=100,"Free",TEXT(XLOOKUP($D3354,OperationVoice!$A:$A,OperationVoice!AH:AH,XLOOKUP($D3354,OperationTickets!$A:$A,OperationTickets!AH:AH,"",0)),"hh:mm"))</f>
        <v>08:00</v>
      </c>
      <c r="G3354" s="309">
        <f t="shared" si="3"/>
        <v>0.7083333333</v>
      </c>
      <c r="H3354" s="316" t="str">
        <f t="array" ref="H3354">XLOOKUP(B3354,Roster!L:L,Roster!N:N,XLOOKUP(D3354,TicketsBreak!A:A,TicketsBreak!E:E,"",0),0)</f>
        <v>09:30 - 09:45</v>
      </c>
      <c r="I3354" s="316" t="str">
        <f t="array" ref="I3354">XLOOKUP(B3354,Roster!L:L,Roster!O:O,XLOOKUP(D3354,TicketsBreak!A:A,TicketsBreak!F:F,"",0),0)</f>
        <v>12:00 - 12:30</v>
      </c>
      <c r="J3354" s="316" t="str">
        <f t="array" ref="J3354">XLOOKUP(B3354,Roster!L:L,Roster!P:P,XLOOKUP(D3354,TicketsBreak!A:A,TicketsBreak!G:G,"",0),0)</f>
        <v>14:45 - 15:00</v>
      </c>
      <c r="K3354" s="310">
        <f t="shared" si="4"/>
        <v>46140</v>
      </c>
      <c r="L3354" s="317">
        <f t="array" ref="L3354">(XLOOKUP(D3354,Roster!F:F,Roster!D:D,"",0))</f>
        <v>24</v>
      </c>
      <c r="M3354" s="317" t="str">
        <f t="array" ref="M3354">XLOOKUP(D3354,Roster!F:F,Roster!E:E)</f>
        <v>Voice</v>
      </c>
      <c r="N3354" s="317" t="str">
        <f t="shared" ref="N3354:P3354" si="3401">LEFT(H3354,5)</f>
        <v>09:30</v>
      </c>
      <c r="O3354" s="317" t="str">
        <f t="shared" si="3401"/>
        <v>12:00</v>
      </c>
      <c r="P3354" s="317" t="str">
        <f t="shared" si="3401"/>
        <v>14:45</v>
      </c>
      <c r="Q3354" s="318">
        <f t="shared" si="3358"/>
        <v>46140.39583</v>
      </c>
      <c r="R3354" s="318">
        <f t="shared" si="3359"/>
        <v>46140.5</v>
      </c>
      <c r="S3354" s="318">
        <f t="shared" si="8"/>
        <v>46140.61458</v>
      </c>
    </row>
    <row r="3355">
      <c r="A3355" s="14" t="str">
        <f t="shared" si="1"/>
        <v>C110846140</v>
      </c>
      <c r="B3355" s="185" t="str">
        <f t="array" ref="B3355">IF(F3355="VL","",IF(F3355="Free","Free",XLOOKUP(D3355,Roster!T:T,Roster!S:S,"",0)))</f>
        <v/>
      </c>
      <c r="C3355" s="313">
        <v>46140.0</v>
      </c>
      <c r="D3355" s="314" t="s">
        <v>187</v>
      </c>
      <c r="E3355" s="307" t="str">
        <f t="array" ref="E3355">(XLOOKUP(D3355,Roster!F:F,Roster!B:B,"",0))</f>
        <v>Yeiner Tapias</v>
      </c>
      <c r="F3355" s="315" t="str">
        <f t="array" ref="F3355">IF(B3355=100,"Free",TEXT(XLOOKUP($D3355,OperationVoice!$A:$A,OperationVoice!AH:AH,XLOOKUP($D3355,OperationTickets!$A:$A,OperationTickets!AH:AH,"",0)),"hh:mm"))</f>
        <v>08:00</v>
      </c>
      <c r="G3355" s="309">
        <f t="shared" si="3"/>
        <v>0.7083333333</v>
      </c>
      <c r="H3355" s="316">
        <f t="array" ref="H3355">XLOOKUP(B3355,Roster!L:L,Roster!N:N,XLOOKUP(D3355,TicketsBreak!A:A,TicketsBreak!E:E,"",0),0)</f>
        <v>0.3958333333</v>
      </c>
      <c r="I3355" s="316">
        <f t="array" ref="I3355">XLOOKUP(B3355,Roster!L:L,Roster!O:O,XLOOKUP(D3355,TicketsBreak!A:A,TicketsBreak!F:F,"",0),0)</f>
        <v>0.5208333333</v>
      </c>
      <c r="J3355" s="316">
        <f t="array" ref="J3355">XLOOKUP(B3355,Roster!L:L,Roster!P:P,XLOOKUP(D3355,TicketsBreak!A:A,TicketsBreak!G:G,"",0),0)</f>
        <v>0.6145833333</v>
      </c>
      <c r="K3355" s="310">
        <f t="shared" si="4"/>
        <v>46140</v>
      </c>
      <c r="L3355" s="317">
        <f t="array" ref="L3355">(XLOOKUP(D3355,Roster!F:F,Roster!D:D,"",0))</f>
        <v>20</v>
      </c>
      <c r="M3355" s="317" t="str">
        <f t="array" ref="M3355">XLOOKUP(D3355,Roster!F:F,Roster!E:E)</f>
        <v>Tickets</v>
      </c>
      <c r="N3355" s="317" t="str">
        <f t="shared" ref="N3355:P3355" si="3402">LEFT(H3355,5)</f>
        <v>09:30</v>
      </c>
      <c r="O3355" s="317" t="str">
        <f t="shared" si="3402"/>
        <v>12:30</v>
      </c>
      <c r="P3355" s="317" t="str">
        <f t="shared" si="3402"/>
        <v>14:45</v>
      </c>
      <c r="Q3355" s="318">
        <f t="shared" si="3358"/>
        <v>46140.39583</v>
      </c>
      <c r="R3355" s="318">
        <f t="shared" si="3359"/>
        <v>46140.52083</v>
      </c>
      <c r="S3355" s="318">
        <f t="shared" si="8"/>
        <v>46140.61458</v>
      </c>
    </row>
    <row r="3356">
      <c r="A3356" s="14" t="str">
        <f t="shared" si="1"/>
        <v>C153946140</v>
      </c>
      <c r="B3356" s="185">
        <f t="array" ref="B3356">IF(F3356="VL","",IF(F3356="Free","Free",XLOOKUP(D3356,Roster!T:T,Roster!S:S,"",0)))</f>
        <v>123</v>
      </c>
      <c r="C3356" s="313">
        <v>46140.0</v>
      </c>
      <c r="D3356" s="314" t="s">
        <v>85</v>
      </c>
      <c r="E3356" s="307" t="str">
        <f t="array" ref="E3356">(XLOOKUP(D3356,Roster!F:F,Roster!B:B,"",0))</f>
        <v>Yovanny Ceballos</v>
      </c>
      <c r="F3356" s="315" t="str">
        <f t="array" ref="F3356">IF(B3356=100,"Free",TEXT(XLOOKUP($D3356,OperationVoice!$A:$A,OperationVoice!AH:AH,XLOOKUP($D3356,OperationTickets!$A:$A,OperationTickets!AH:AH,"",0)),"hh:mm"))</f>
        <v/>
      </c>
      <c r="G3356" s="309" t="str">
        <f t="shared" si="3"/>
        <v/>
      </c>
      <c r="H3356" s="316" t="str">
        <f t="array" ref="H3356">XLOOKUP(B3356,Roster!L:L,Roster!N:N,XLOOKUP(D3356,TicketsBreak!A:A,TicketsBreak!E:E,"",0),0)</f>
        <v>09:45 - 10:00 </v>
      </c>
      <c r="I3356" s="316" t="str">
        <f t="array" ref="I3356">XLOOKUP(B3356,Roster!L:L,Roster!O:O,XLOOKUP(D3356,TicketsBreak!A:A,TicketsBreak!F:F,"",0),0)</f>
        <v>12:30 - 13:00</v>
      </c>
      <c r="J3356" s="316" t="str">
        <f t="array" ref="J3356">XLOOKUP(B3356,Roster!L:L,Roster!P:P,XLOOKUP(D3356,TicketsBreak!A:A,TicketsBreak!G:G,"",0),0)</f>
        <v>15:00 - 15:15</v>
      </c>
      <c r="K3356" s="310">
        <f t="shared" si="4"/>
        <v>46140</v>
      </c>
      <c r="L3356" s="317">
        <f t="array" ref="L3356">(XLOOKUP(D3356,Roster!F:F,Roster!D:D,"",0))</f>
        <v>36</v>
      </c>
      <c r="M3356" s="317" t="str">
        <f t="array" ref="M3356">XLOOKUP(D3356,Roster!F:F,Roster!E:E)</f>
        <v>Voice</v>
      </c>
      <c r="N3356" s="317" t="str">
        <f t="shared" ref="N3356:P3356" si="3403">LEFT(H3356,5)</f>
        <v>09:45</v>
      </c>
      <c r="O3356" s="317" t="str">
        <f t="shared" si="3403"/>
        <v>12:30</v>
      </c>
      <c r="P3356" s="317" t="str">
        <f t="shared" si="3403"/>
        <v>15:00</v>
      </c>
      <c r="Q3356" s="318">
        <f t="shared" si="3358"/>
        <v>46140.40625</v>
      </c>
      <c r="R3356" s="318">
        <f t="shared" si="3359"/>
        <v>46140.52083</v>
      </c>
      <c r="S3356" s="318">
        <f t="shared" si="8"/>
        <v>46140.625</v>
      </c>
    </row>
    <row r="3357">
      <c r="A3357" s="14" t="str">
        <f t="shared" si="1"/>
        <v>46140</v>
      </c>
      <c r="B3357" s="185" t="str">
        <f t="array" ref="B3357">IF(F3357="VL","",IF(F3357="Free","Free",XLOOKUP(D3357,Roster!T:T,Roster!S:S,"",0)))</f>
        <v/>
      </c>
      <c r="C3357" s="313">
        <v>46140.0</v>
      </c>
      <c r="D3357" s="314"/>
      <c r="E3357" s="307" t="str">
        <f t="array" ref="E3357">(XLOOKUP(D3357,Roster!F:F,Roster!B:B,"",0))</f>
        <v/>
      </c>
      <c r="F3357" s="315" t="str">
        <f t="array" ref="F3357">IF(B3357=100,"Free",TEXT(XLOOKUP($D3357,OperationVoice!$A:$A,OperationVoice!AH:AH,XLOOKUP($D3357,OperationTickets!$A:$A,OperationTickets!AH:AH,"",0)),"hh:mm"))</f>
        <v/>
      </c>
      <c r="G3357" s="309" t="str">
        <f t="shared" si="3"/>
        <v/>
      </c>
      <c r="H3357" s="316" t="str">
        <f t="array" ref="H3357">XLOOKUP(B3357,Roster!L:L,Roster!N:N,XLOOKUP(D3357,TicketsBreak!A:A,TicketsBreak!E:E,"",0),0)</f>
        <v/>
      </c>
      <c r="I3357" s="316" t="str">
        <f t="array" ref="I3357">XLOOKUP(B3357,Roster!L:L,Roster!O:O,XLOOKUP(D3357,TicketsBreak!A:A,TicketsBreak!F:F,"",0),0)</f>
        <v/>
      </c>
      <c r="J3357" s="316" t="str">
        <f t="array" ref="J3357">XLOOKUP(B3357,Roster!L:L,Roster!P:P,XLOOKUP(D3357,TicketsBreak!A:A,TicketsBreak!G:G,"",0),0)</f>
        <v/>
      </c>
      <c r="K3357" s="310">
        <f t="shared" si="4"/>
        <v>46140</v>
      </c>
      <c r="L3357" s="317" t="str">
        <f t="array" ref="L3357">(XLOOKUP(D3357,Roster!F:F,Roster!D:D,"",0))</f>
        <v/>
      </c>
      <c r="M3357" s="317" t="str">
        <f t="array" ref="M3357">XLOOKUP(D3357,Roster!F:F,Roster!E:E)</f>
        <v>#N/A</v>
      </c>
      <c r="N3357" s="317" t="str">
        <f t="shared" ref="N3357:P3357" si="3404">LEFT(H3357,5)</f>
        <v/>
      </c>
      <c r="O3357" s="317" t="str">
        <f t="shared" si="3404"/>
        <v/>
      </c>
      <c r="P3357" s="317" t="str">
        <f t="shared" si="3404"/>
        <v/>
      </c>
      <c r="Q3357" s="318" t="str">
        <f t="shared" si="3358"/>
        <v/>
      </c>
      <c r="R3357" s="318" t="str">
        <f t="shared" si="3359"/>
        <v/>
      </c>
      <c r="S3357" s="318" t="str">
        <f t="shared" si="8"/>
        <v/>
      </c>
    </row>
    <row r="3358">
      <c r="A3358" s="14" t="str">
        <f t="shared" si="1"/>
        <v>46140</v>
      </c>
      <c r="B3358" s="185" t="str">
        <f t="array" ref="B3358">IF(F3358="VL","",IF(F3358="Free","Free",XLOOKUP(D3358,Roster!T:T,Roster!S:S,"",0)))</f>
        <v/>
      </c>
      <c r="C3358" s="313">
        <v>46140.0</v>
      </c>
      <c r="D3358" s="314"/>
      <c r="E3358" s="307" t="str">
        <f t="array" ref="E3358">(XLOOKUP(D3358,Roster!F:F,Roster!B:B,"",0))</f>
        <v/>
      </c>
      <c r="F3358" s="315" t="str">
        <f t="array" ref="F3358">IF(B3358=100,"Free",TEXT(XLOOKUP($D3358,OperationVoice!$A:$A,OperationVoice!AH:AH,XLOOKUP($D3358,OperationTickets!$A:$A,OperationTickets!AH:AH,"",0)),"hh:mm"))</f>
        <v/>
      </c>
      <c r="G3358" s="309" t="str">
        <f t="shared" si="3"/>
        <v/>
      </c>
      <c r="H3358" s="316" t="str">
        <f t="array" ref="H3358">XLOOKUP(B3358,Roster!L:L,Roster!N:N,XLOOKUP(D3358,TicketsBreak!A:A,TicketsBreak!E:E,"",0),0)</f>
        <v/>
      </c>
      <c r="I3358" s="316" t="str">
        <f t="array" ref="I3358">XLOOKUP(B3358,Roster!L:L,Roster!O:O,XLOOKUP(D3358,TicketsBreak!A:A,TicketsBreak!F:F,"",0),0)</f>
        <v/>
      </c>
      <c r="J3358" s="316" t="str">
        <f t="array" ref="J3358">XLOOKUP(B3358,Roster!L:L,Roster!P:P,XLOOKUP(D3358,TicketsBreak!A:A,TicketsBreak!G:G,"",0),0)</f>
        <v/>
      </c>
      <c r="K3358" s="310">
        <f t="shared" si="4"/>
        <v>46140</v>
      </c>
      <c r="L3358" s="317" t="str">
        <f t="array" ref="L3358">(XLOOKUP(D3358,Roster!F:F,Roster!D:D,"",0))</f>
        <v/>
      </c>
      <c r="M3358" s="317" t="str">
        <f t="array" ref="M3358">XLOOKUP(D3358,Roster!F:F,Roster!E:E)</f>
        <v>#N/A</v>
      </c>
      <c r="N3358" s="317" t="str">
        <f t="shared" ref="N3358:P3358" si="3405">LEFT(H3358,5)</f>
        <v/>
      </c>
      <c r="O3358" s="317" t="str">
        <f t="shared" si="3405"/>
        <v/>
      </c>
      <c r="P3358" s="317" t="str">
        <f t="shared" si="3405"/>
        <v/>
      </c>
      <c r="Q3358" s="318" t="str">
        <f t="shared" si="3358"/>
        <v/>
      </c>
      <c r="R3358" s="318" t="str">
        <f t="shared" si="3359"/>
        <v/>
      </c>
      <c r="S3358" s="318" t="str">
        <f t="shared" si="8"/>
        <v/>
      </c>
    </row>
    <row r="3359">
      <c r="A3359" s="14" t="str">
        <f t="shared" si="1"/>
        <v>46140</v>
      </c>
      <c r="B3359" s="185" t="str">
        <f t="array" ref="B3359">IF(F3359="VL","",IF(F3359="Free","Free",XLOOKUP(D3359,Roster!T:T,Roster!S:S,"",0)))</f>
        <v/>
      </c>
      <c r="C3359" s="313">
        <v>46140.0</v>
      </c>
      <c r="D3359" s="314"/>
      <c r="E3359" s="307" t="str">
        <f t="array" ref="E3359">(XLOOKUP(D3359,Roster!F:F,Roster!B:B,"",0))</f>
        <v/>
      </c>
      <c r="F3359" s="315" t="str">
        <f t="array" ref="F3359">IF(B3359=100,"Free",TEXT(XLOOKUP($D3359,OperationVoice!$A:$A,OperationVoice!AH:AH,XLOOKUP($D3359,OperationTickets!$A:$A,OperationTickets!AH:AH,"",0)),"hh:mm"))</f>
        <v/>
      </c>
      <c r="G3359" s="309" t="str">
        <f t="shared" si="3"/>
        <v/>
      </c>
      <c r="H3359" s="316" t="str">
        <f t="array" ref="H3359">XLOOKUP(B3359,Roster!L:L,Roster!N:N,XLOOKUP(D3359,TicketsBreak!A:A,TicketsBreak!E:E,"",0),0)</f>
        <v/>
      </c>
      <c r="I3359" s="316" t="str">
        <f t="array" ref="I3359">XLOOKUP(B3359,Roster!L:L,Roster!O:O,XLOOKUP(D3359,TicketsBreak!A:A,TicketsBreak!F:F,"",0),0)</f>
        <v/>
      </c>
      <c r="J3359" s="316" t="str">
        <f t="array" ref="J3359">XLOOKUP(B3359,Roster!L:L,Roster!P:P,XLOOKUP(D3359,TicketsBreak!A:A,TicketsBreak!G:G,"",0),0)</f>
        <v/>
      </c>
      <c r="K3359" s="310">
        <f t="shared" si="4"/>
        <v>46140</v>
      </c>
      <c r="L3359" s="317" t="str">
        <f t="array" ref="L3359">(XLOOKUP(D3359,Roster!F:F,Roster!D:D,"",0))</f>
        <v/>
      </c>
      <c r="M3359" s="317" t="str">
        <f t="array" ref="M3359">XLOOKUP(D3359,Roster!F:F,Roster!E:E)</f>
        <v>#N/A</v>
      </c>
      <c r="N3359" s="317" t="str">
        <f t="shared" ref="N3359:P3359" si="3406">LEFT(H3359,5)</f>
        <v/>
      </c>
      <c r="O3359" s="317" t="str">
        <f t="shared" si="3406"/>
        <v/>
      </c>
      <c r="P3359" s="317" t="str">
        <f t="shared" si="3406"/>
        <v/>
      </c>
      <c r="Q3359" s="318" t="str">
        <f t="shared" si="3358"/>
        <v/>
      </c>
      <c r="R3359" s="318" t="str">
        <f t="shared" si="3359"/>
        <v/>
      </c>
      <c r="S3359" s="318" t="str">
        <f t="shared" si="8"/>
        <v/>
      </c>
    </row>
    <row r="3360">
      <c r="A3360" s="14" t="str">
        <f t="shared" si="1"/>
        <v>46140</v>
      </c>
      <c r="B3360" s="185" t="str">
        <f t="array" ref="B3360">IF(F3360="VL","",IF(F3360="Free","Free",XLOOKUP(D3360,Roster!T:T,Roster!S:S,"",0)))</f>
        <v/>
      </c>
      <c r="C3360" s="313">
        <v>46140.0</v>
      </c>
      <c r="D3360" s="314"/>
      <c r="E3360" s="307" t="str">
        <f t="array" ref="E3360">(XLOOKUP(D3360,Roster!F:F,Roster!B:B,"",0))</f>
        <v/>
      </c>
      <c r="F3360" s="315" t="str">
        <f t="array" ref="F3360">IF(B3360=100,"Free",TEXT(XLOOKUP($D3360,OperationVoice!$A:$A,OperationVoice!AH:AH,XLOOKUP($D3360,OperationTickets!$A:$A,OperationTickets!AH:AH,"",0)),"hh:mm"))</f>
        <v/>
      </c>
      <c r="G3360" s="309" t="str">
        <f t="shared" si="3"/>
        <v/>
      </c>
      <c r="H3360" s="316" t="str">
        <f t="array" ref="H3360">XLOOKUP(B3360,Roster!L:L,Roster!N:N,XLOOKUP(D3360,TicketsBreak!A:A,TicketsBreak!E:E,"",0),0)</f>
        <v/>
      </c>
      <c r="I3360" s="316" t="str">
        <f t="array" ref="I3360">XLOOKUP(B3360,Roster!L:L,Roster!O:O,XLOOKUP(D3360,TicketsBreak!A:A,TicketsBreak!F:F,"",0),0)</f>
        <v/>
      </c>
      <c r="J3360" s="316" t="str">
        <f t="array" ref="J3360">XLOOKUP(B3360,Roster!L:L,Roster!P:P,XLOOKUP(D3360,TicketsBreak!A:A,TicketsBreak!G:G,"",0),0)</f>
        <v/>
      </c>
      <c r="K3360" s="310">
        <f t="shared" si="4"/>
        <v>46140</v>
      </c>
      <c r="L3360" s="317" t="str">
        <f t="array" ref="L3360">(XLOOKUP(D3360,Roster!F:F,Roster!D:D,"",0))</f>
        <v/>
      </c>
      <c r="M3360" s="317" t="str">
        <f t="array" ref="M3360">XLOOKUP(D3360,Roster!F:F,Roster!E:E)</f>
        <v>#N/A</v>
      </c>
      <c r="N3360" s="317" t="str">
        <f t="shared" ref="N3360:P3360" si="3407">LEFT(H3360,5)</f>
        <v/>
      </c>
      <c r="O3360" s="317" t="str">
        <f t="shared" si="3407"/>
        <v/>
      </c>
      <c r="P3360" s="317" t="str">
        <f t="shared" si="3407"/>
        <v/>
      </c>
      <c r="Q3360" s="318" t="str">
        <f t="shared" si="3358"/>
        <v/>
      </c>
      <c r="R3360" s="318" t="str">
        <f t="shared" si="3359"/>
        <v/>
      </c>
      <c r="S3360" s="318" t="str">
        <f t="shared" si="8"/>
        <v/>
      </c>
    </row>
    <row r="3361">
      <c r="A3361" s="14" t="str">
        <f t="shared" si="1"/>
        <v>46140</v>
      </c>
      <c r="B3361" s="185" t="str">
        <f t="array" ref="B3361">IF(F3361="VL","",IF(F3361="Free","Free",XLOOKUP(D3361,Roster!T:T,Roster!S:S,"",0)))</f>
        <v/>
      </c>
      <c r="C3361" s="313">
        <v>46140.0</v>
      </c>
      <c r="D3361" s="314"/>
      <c r="E3361" s="307" t="str">
        <f t="array" ref="E3361">(XLOOKUP(D3361,Roster!F:F,Roster!B:B,"",0))</f>
        <v/>
      </c>
      <c r="F3361" s="315" t="str">
        <f t="array" ref="F3361">IF(B3361=100,"Free",TEXT(XLOOKUP($D3361,OperationVoice!$A:$A,OperationVoice!AH:AH,XLOOKUP($D3361,OperationTickets!$A:$A,OperationTickets!AH:AH,"",0)),"hh:mm"))</f>
        <v/>
      </c>
      <c r="G3361" s="309" t="str">
        <f t="shared" si="3"/>
        <v/>
      </c>
      <c r="H3361" s="316" t="str">
        <f t="array" ref="H3361">XLOOKUP(B3361,Roster!L:L,Roster!N:N,XLOOKUP(D3361,TicketsBreak!A:A,TicketsBreak!E:E,"",0),0)</f>
        <v/>
      </c>
      <c r="I3361" s="316" t="str">
        <f t="array" ref="I3361">XLOOKUP(B3361,Roster!L:L,Roster!O:O,XLOOKUP(D3361,TicketsBreak!A:A,TicketsBreak!F:F,"",0),0)</f>
        <v/>
      </c>
      <c r="J3361" s="316" t="str">
        <f t="array" ref="J3361">XLOOKUP(B3361,Roster!L:L,Roster!P:P,XLOOKUP(D3361,TicketsBreak!A:A,TicketsBreak!G:G,"",0),0)</f>
        <v/>
      </c>
      <c r="K3361" s="310">
        <f t="shared" si="4"/>
        <v>46140</v>
      </c>
      <c r="L3361" s="317" t="str">
        <f t="array" ref="L3361">(XLOOKUP(D3361,Roster!F:F,Roster!D:D,"",0))</f>
        <v/>
      </c>
      <c r="M3361" s="317" t="str">
        <f t="array" ref="M3361">XLOOKUP(D3361,Roster!F:F,Roster!E:E)</f>
        <v>#N/A</v>
      </c>
      <c r="N3361" s="317" t="str">
        <f t="shared" ref="N3361:P3361" si="3408">LEFT(H3361,5)</f>
        <v/>
      </c>
      <c r="O3361" s="317" t="str">
        <f t="shared" si="3408"/>
        <v/>
      </c>
      <c r="P3361" s="317" t="str">
        <f t="shared" si="3408"/>
        <v/>
      </c>
      <c r="Q3361" s="318" t="str">
        <f t="shared" si="3358"/>
        <v/>
      </c>
      <c r="R3361" s="318" t="str">
        <f t="shared" si="3359"/>
        <v/>
      </c>
      <c r="S3361" s="318" t="str">
        <f t="shared" si="8"/>
        <v/>
      </c>
    </row>
    <row r="3362">
      <c r="A3362" s="14" t="str">
        <f t="shared" si="1"/>
        <v>C81846141</v>
      </c>
      <c r="B3362" s="185">
        <f t="array" ref="B3362">IF(F3362="VL","",IF(F3362="Free","Free",XLOOKUP(D3362,Roster!T:T,Roster!S:S,"",0)))</f>
        <v>123</v>
      </c>
      <c r="C3362" s="313">
        <v>46141.0</v>
      </c>
      <c r="D3362" s="314" t="s">
        <v>9</v>
      </c>
      <c r="E3362" s="307" t="str">
        <f t="array" ref="E3362">(XLOOKUP(D3362,Roster!F:F,Roster!B:B,"",0))</f>
        <v>Adriana Moncaleano</v>
      </c>
      <c r="F3362" s="315" t="str">
        <f t="array" ref="F3362">IF(B3362=100,"Free",TEXT(XLOOKUP($D3362,OperationVoice!$A:$A,OperationVoice!AI:AI,XLOOKUP($D3362,OperationTickets!$A:$A,OperationTickets!AI:AI,"",0)),"hh:mm"))</f>
        <v>08:00</v>
      </c>
      <c r="G3362" s="309">
        <f t="shared" si="3"/>
        <v>0.7083333333</v>
      </c>
      <c r="H3362" s="316" t="str">
        <f t="array" ref="H3362">XLOOKUP(B3362,Roster!L:L,Roster!N:N,XLOOKUP(D3362,TicketsBreak!A:A,TicketsBreak!E:E,"",0),0)</f>
        <v>09:45 - 10:00 </v>
      </c>
      <c r="I3362" s="316" t="str">
        <f t="array" ref="I3362">XLOOKUP(B3362,Roster!L:L,Roster!O:O,XLOOKUP(D3362,TicketsBreak!A:A,TicketsBreak!F:F,"",0),0)</f>
        <v>12:30 - 13:00</v>
      </c>
      <c r="J3362" s="316" t="str">
        <f t="array" ref="J3362">XLOOKUP(B3362,Roster!L:L,Roster!P:P,XLOOKUP(D3362,TicketsBreak!A:A,TicketsBreak!G:G,"",0),0)</f>
        <v>15:00 - 15:15</v>
      </c>
      <c r="K3362" s="310">
        <f t="shared" si="4"/>
        <v>46141</v>
      </c>
      <c r="L3362" s="317">
        <f t="array" ref="L3362">(XLOOKUP(D3362,Roster!F:F,Roster!D:D,"",0))</f>
        <v>23</v>
      </c>
      <c r="M3362" s="317" t="str">
        <f t="array" ref="M3362">XLOOKUP(D3362,Roster!F:F,Roster!E:E)</f>
        <v>Voice</v>
      </c>
      <c r="N3362" s="317" t="str">
        <f t="shared" ref="N3362:P3362" si="3409">LEFT(H3362,5)</f>
        <v>09:45</v>
      </c>
      <c r="O3362" s="317" t="str">
        <f t="shared" si="3409"/>
        <v>12:30</v>
      </c>
      <c r="P3362" s="317" t="str">
        <f t="shared" si="3409"/>
        <v>15:00</v>
      </c>
      <c r="Q3362" s="318">
        <f t="shared" si="3358"/>
        <v>46141.40625</v>
      </c>
      <c r="R3362" s="318">
        <f t="shared" si="3359"/>
        <v>46141.52083</v>
      </c>
      <c r="S3362" s="318">
        <f t="shared" si="8"/>
        <v>46141.625</v>
      </c>
    </row>
    <row r="3363">
      <c r="A3363" s="14" t="str">
        <f t="shared" si="1"/>
        <v>C110746141</v>
      </c>
      <c r="B3363" s="185" t="str">
        <f t="array" ref="B3363">IF(F3363="VL","",IF(F3363="Free","Free",XLOOKUP(D3363,Roster!T:T,Roster!S:S,"",0)))</f>
        <v>Free</v>
      </c>
      <c r="C3363" s="313">
        <v>46141.0</v>
      </c>
      <c r="D3363" s="314" t="s">
        <v>10</v>
      </c>
      <c r="E3363" s="307" t="str">
        <f t="array" ref="E3363">(XLOOKUP(D3363,Roster!F:F,Roster!B:B,"",0))</f>
        <v>Alejandro Malave</v>
      </c>
      <c r="F3363" s="315" t="str">
        <f t="array" ref="F3363">IF(B3363=100,"Free",TEXT(XLOOKUP($D3363,OperationVoice!$A:$A,OperationVoice!AI:AI,XLOOKUP($D3363,OperationTickets!$A:$A,OperationTickets!AI:AI,"",0)),"hh:mm"))</f>
        <v>Free</v>
      </c>
      <c r="G3363" s="309" t="str">
        <f t="shared" si="3"/>
        <v>Free</v>
      </c>
      <c r="H3363" s="316" t="str">
        <f t="array" ref="H3363">XLOOKUP(B3363,Roster!L:L,Roster!N:N,XLOOKUP(D3363,TicketsBreak!A:A,TicketsBreak!E:E,"",0),0)</f>
        <v/>
      </c>
      <c r="I3363" s="316" t="str">
        <f t="array" ref="I3363">XLOOKUP(B3363,Roster!L:L,Roster!O:O,XLOOKUP(D3363,TicketsBreak!A:A,TicketsBreak!F:F,"",0),0)</f>
        <v/>
      </c>
      <c r="J3363" s="316" t="str">
        <f t="array" ref="J3363">XLOOKUP(B3363,Roster!L:L,Roster!P:P,XLOOKUP(D3363,TicketsBreak!A:A,TicketsBreak!G:G,"",0),0)</f>
        <v/>
      </c>
      <c r="K3363" s="310">
        <f t="shared" si="4"/>
        <v>46141</v>
      </c>
      <c r="L3363" s="317">
        <f t="array" ref="L3363">(XLOOKUP(D3363,Roster!F:F,Roster!D:D,"",0))</f>
        <v>36</v>
      </c>
      <c r="M3363" s="317" t="str">
        <f t="array" ref="M3363">XLOOKUP(D3363,Roster!F:F,Roster!E:E)</f>
        <v>Voice</v>
      </c>
      <c r="N3363" s="317" t="str">
        <f t="shared" ref="N3363:P3363" si="3410">LEFT(H3363,5)</f>
        <v/>
      </c>
      <c r="O3363" s="317" t="str">
        <f t="shared" si="3410"/>
        <v/>
      </c>
      <c r="P3363" s="317" t="str">
        <f t="shared" si="3410"/>
        <v/>
      </c>
      <c r="Q3363" s="318" t="str">
        <f t="shared" si="3358"/>
        <v/>
      </c>
      <c r="R3363" s="318" t="str">
        <f t="shared" si="3359"/>
        <v/>
      </c>
      <c r="S3363" s="318" t="str">
        <f t="shared" si="8"/>
        <v/>
      </c>
    </row>
    <row r="3364">
      <c r="A3364" s="14" t="str">
        <f t="shared" si="1"/>
        <v>C69946141</v>
      </c>
      <c r="B3364" s="185" t="str">
        <f t="array" ref="B3364">IF(F3364="VL","",IF(F3364="Free","Free",XLOOKUP(D3364,Roster!T:T,Roster!S:S,"",0)))</f>
        <v/>
      </c>
      <c r="C3364" s="313">
        <v>46141.0</v>
      </c>
      <c r="D3364" s="314" t="s">
        <v>137</v>
      </c>
      <c r="E3364" s="307" t="str">
        <f t="array" ref="E3364">(XLOOKUP(D3364,Roster!F:F,Roster!B:B,"",0))</f>
        <v>Alexa Arenas</v>
      </c>
      <c r="F3364" s="315" t="str">
        <f t="array" ref="F3364">IF(B3364=100,"Free",TEXT(XLOOKUP($D3364,OperationVoice!$A:$A,OperationVoice!AI:AI,XLOOKUP($D3364,OperationTickets!$A:$A,OperationTickets!AI:AI,"",0)),"hh:mm"))</f>
        <v>08:00</v>
      </c>
      <c r="G3364" s="309">
        <f t="shared" si="3"/>
        <v>0.7083333333</v>
      </c>
      <c r="H3364" s="316">
        <f t="array" ref="H3364">XLOOKUP(B3364,Roster!L:L,Roster!N:N,XLOOKUP(D3364,TicketsBreak!A:A,TicketsBreak!E:E,"",0),0)</f>
        <v>0.40625</v>
      </c>
      <c r="I3364" s="316">
        <f t="array" ref="I3364">XLOOKUP(B3364,Roster!L:L,Roster!O:O,XLOOKUP(D3364,TicketsBreak!A:A,TicketsBreak!F:F,"",0),0)</f>
        <v>0.5</v>
      </c>
      <c r="J3364" s="316">
        <f t="array" ref="J3364">XLOOKUP(B3364,Roster!L:L,Roster!P:P,XLOOKUP(D3364,TicketsBreak!A:A,TicketsBreak!G:G,"",0),0)</f>
        <v>0.65625</v>
      </c>
      <c r="K3364" s="310">
        <f t="shared" si="4"/>
        <v>46141</v>
      </c>
      <c r="L3364" s="317">
        <f t="array" ref="L3364">(XLOOKUP(D3364,Roster!F:F,Roster!D:D,"",0))</f>
        <v>5</v>
      </c>
      <c r="M3364" s="317" t="str">
        <f t="array" ref="M3364">XLOOKUP(D3364,Roster!F:F,Roster!E:E)</f>
        <v>Tickets</v>
      </c>
      <c r="N3364" s="317" t="str">
        <f t="shared" ref="N3364:P3364" si="3411">LEFT(H3364,5)</f>
        <v>09:45</v>
      </c>
      <c r="O3364" s="317" t="str">
        <f t="shared" si="3411"/>
        <v>12:00</v>
      </c>
      <c r="P3364" s="317" t="str">
        <f t="shared" si="3411"/>
        <v>15:45</v>
      </c>
      <c r="Q3364" s="318">
        <f t="shared" si="3358"/>
        <v>46141.40625</v>
      </c>
      <c r="R3364" s="318">
        <f t="shared" si="3359"/>
        <v>46141.5</v>
      </c>
      <c r="S3364" s="318">
        <f t="shared" si="8"/>
        <v>46141.65625</v>
      </c>
    </row>
    <row r="3365">
      <c r="A3365" s="14" t="str">
        <f t="shared" si="1"/>
        <v>C157046141</v>
      </c>
      <c r="B3365" s="185" t="str">
        <f t="array" ref="B3365">IF(F3365="VL","",IF(F3365="Free","Free",XLOOKUP(D3365,Roster!T:T,Roster!S:S,"",0)))</f>
        <v>Free</v>
      </c>
      <c r="C3365" s="313">
        <v>46141.0</v>
      </c>
      <c r="D3365" s="314" t="s">
        <v>11</v>
      </c>
      <c r="E3365" s="307" t="str">
        <f t="array" ref="E3365">(XLOOKUP(D3365,Roster!F:F,Roster!B:B,"",0))</f>
        <v>Alexander Bartoli</v>
      </c>
      <c r="F3365" s="315" t="str">
        <f t="array" ref="F3365">IF(B3365=100,"Free",TEXT(XLOOKUP($D3365,OperationVoice!$A:$A,OperationVoice!AI:AI,XLOOKUP($D3365,OperationTickets!$A:$A,OperationTickets!AI:AI,"",0)),"hh:mm"))</f>
        <v>Free</v>
      </c>
      <c r="G3365" s="309" t="str">
        <f t="shared" si="3"/>
        <v>Free</v>
      </c>
      <c r="H3365" s="316" t="str">
        <f t="array" ref="H3365">XLOOKUP(B3365,Roster!L:L,Roster!N:N,XLOOKUP(D3365,TicketsBreak!A:A,TicketsBreak!E:E,"",0),0)</f>
        <v/>
      </c>
      <c r="I3365" s="316" t="str">
        <f t="array" ref="I3365">XLOOKUP(B3365,Roster!L:L,Roster!O:O,XLOOKUP(D3365,TicketsBreak!A:A,TicketsBreak!F:F,"",0),0)</f>
        <v/>
      </c>
      <c r="J3365" s="316" t="str">
        <f t="array" ref="J3365">XLOOKUP(B3365,Roster!L:L,Roster!P:P,XLOOKUP(D3365,TicketsBreak!A:A,TicketsBreak!G:G,"",0),0)</f>
        <v/>
      </c>
      <c r="K3365" s="310">
        <f t="shared" si="4"/>
        <v>46141</v>
      </c>
      <c r="L3365" s="317">
        <f t="array" ref="L3365">(XLOOKUP(D3365,Roster!F:F,Roster!D:D,"",0))</f>
        <v>38</v>
      </c>
      <c r="M3365" s="317" t="str">
        <f t="array" ref="M3365">XLOOKUP(D3365,Roster!F:F,Roster!E:E)</f>
        <v>Voice</v>
      </c>
      <c r="N3365" s="317" t="str">
        <f t="shared" ref="N3365:P3365" si="3412">LEFT(H3365,5)</f>
        <v/>
      </c>
      <c r="O3365" s="317" t="str">
        <f t="shared" si="3412"/>
        <v/>
      </c>
      <c r="P3365" s="317" t="str">
        <f t="shared" si="3412"/>
        <v/>
      </c>
      <c r="Q3365" s="318" t="str">
        <f t="shared" si="3358"/>
        <v/>
      </c>
      <c r="R3365" s="318" t="str">
        <f t="shared" si="3359"/>
        <v/>
      </c>
      <c r="S3365" s="318" t="str">
        <f t="shared" si="8"/>
        <v/>
      </c>
    </row>
    <row r="3366">
      <c r="A3366" s="14" t="str">
        <f t="shared" si="1"/>
        <v>C93546141</v>
      </c>
      <c r="B3366" s="185" t="str">
        <f t="array" ref="B3366">IF(F3366="VL","",IF(F3366="Free","Free",XLOOKUP(D3366,Roster!T:T,Roster!S:S,"",0)))</f>
        <v>Free</v>
      </c>
      <c r="C3366" s="313">
        <v>46141.0</v>
      </c>
      <c r="D3366" s="314" t="s">
        <v>153</v>
      </c>
      <c r="E3366" s="307" t="str">
        <f t="array" ref="E3366">(XLOOKUP(D3366,Roster!F:F,Roster!B:B,"",0))</f>
        <v>Alexis Arias</v>
      </c>
      <c r="F3366" s="315" t="str">
        <f t="array" ref="F3366">IF(B3366=100,"Free",TEXT(XLOOKUP($D3366,OperationVoice!$A:$A,OperationVoice!AI:AI,XLOOKUP($D3366,OperationTickets!$A:$A,OperationTickets!AI:AI,"",0)),"hh:mm"))</f>
        <v>Free</v>
      </c>
      <c r="G3366" s="309" t="str">
        <f t="shared" si="3"/>
        <v>Free</v>
      </c>
      <c r="H3366" s="316">
        <f t="array" ref="H3366">XLOOKUP(B3366,Roster!L:L,Roster!N:N,XLOOKUP(D3366,TicketsBreak!A:A,TicketsBreak!E:E,"",0),0)</f>
        <v>0.4270833333</v>
      </c>
      <c r="I3366" s="316">
        <f t="array" ref="I3366">XLOOKUP(B3366,Roster!L:L,Roster!O:O,XLOOKUP(D3366,TicketsBreak!A:A,TicketsBreak!F:F,"",0),0)</f>
        <v>0.53125</v>
      </c>
      <c r="J3366" s="316">
        <f t="array" ref="J3366">XLOOKUP(B3366,Roster!L:L,Roster!P:P,XLOOKUP(D3366,TicketsBreak!A:A,TicketsBreak!G:G,"",0),0)</f>
        <v>0.6458333333</v>
      </c>
      <c r="K3366" s="310">
        <f t="shared" si="4"/>
        <v>46141</v>
      </c>
      <c r="L3366" s="317">
        <f t="array" ref="L3366">(XLOOKUP(D3366,Roster!F:F,Roster!D:D,"",0))</f>
        <v>12</v>
      </c>
      <c r="M3366" s="317" t="str">
        <f t="array" ref="M3366">XLOOKUP(D3366,Roster!F:F,Roster!E:E)</f>
        <v>Tickets</v>
      </c>
      <c r="N3366" s="317" t="str">
        <f t="shared" ref="N3366:P3366" si="3413">LEFT(H3366,5)</f>
        <v>10:15</v>
      </c>
      <c r="O3366" s="317" t="str">
        <f t="shared" si="3413"/>
        <v>12:45</v>
      </c>
      <c r="P3366" s="317" t="str">
        <f t="shared" si="3413"/>
        <v>15:30</v>
      </c>
      <c r="Q3366" s="318">
        <f t="shared" si="3358"/>
        <v>46141.42708</v>
      </c>
      <c r="R3366" s="318">
        <f t="shared" si="3359"/>
        <v>46141.53125</v>
      </c>
      <c r="S3366" s="318">
        <f t="shared" si="8"/>
        <v>46141.64583</v>
      </c>
    </row>
    <row r="3367">
      <c r="A3367" s="14" t="str">
        <f t="shared" si="1"/>
        <v>C72746141</v>
      </c>
      <c r="B3367" s="185" t="str">
        <f t="array" ref="B3367">IF(F3367="VL","",IF(F3367="Free","Free",XLOOKUP(D3367,Roster!T:T,Roster!S:S,"",0)))</f>
        <v/>
      </c>
      <c r="C3367" s="313">
        <v>46141.0</v>
      </c>
      <c r="D3367" s="314" t="s">
        <v>154</v>
      </c>
      <c r="E3367" s="307" t="str">
        <f t="array" ref="E3367">(XLOOKUP(D3367,Roster!F:F,Roster!B:B,"",0))</f>
        <v>Ana Moreno</v>
      </c>
      <c r="F3367" s="315" t="str">
        <f t="array" ref="F3367">IF(B3367=100,"Free",TEXT(XLOOKUP($D3367,OperationVoice!$A:$A,OperationVoice!AI:AI,XLOOKUP($D3367,OperationTickets!$A:$A,OperationTickets!AI:AI,"",0)),"hh:mm"))</f>
        <v>08:00</v>
      </c>
      <c r="G3367" s="309">
        <f t="shared" si="3"/>
        <v>0.7083333333</v>
      </c>
      <c r="H3367" s="316">
        <f t="array" ref="H3367">XLOOKUP(B3367,Roster!L:L,Roster!N:N,XLOOKUP(D3367,TicketsBreak!A:A,TicketsBreak!E:E,"",0),0)</f>
        <v>0.4166666667</v>
      </c>
      <c r="I3367" s="316">
        <f t="array" ref="I3367">XLOOKUP(B3367,Roster!L:L,Roster!O:O,XLOOKUP(D3367,TicketsBreak!A:A,TicketsBreak!F:F,"",0),0)</f>
        <v>0.5208333333</v>
      </c>
      <c r="J3367" s="316">
        <f t="array" ref="J3367">XLOOKUP(B3367,Roster!L:L,Roster!P:P,XLOOKUP(D3367,TicketsBreak!A:A,TicketsBreak!G:G,"",0),0)</f>
        <v>0.65625</v>
      </c>
      <c r="K3367" s="310">
        <f t="shared" si="4"/>
        <v>46141</v>
      </c>
      <c r="L3367" s="317">
        <f t="array" ref="L3367">(XLOOKUP(D3367,Roster!F:F,Roster!D:D,"",0))</f>
        <v>7</v>
      </c>
      <c r="M3367" s="317" t="str">
        <f t="array" ref="M3367">XLOOKUP(D3367,Roster!F:F,Roster!E:E)</f>
        <v>Tickets</v>
      </c>
      <c r="N3367" s="317" t="str">
        <f t="shared" ref="N3367:P3367" si="3414">LEFT(H3367,5)</f>
        <v>10:00</v>
      </c>
      <c r="O3367" s="317" t="str">
        <f t="shared" si="3414"/>
        <v>12:30</v>
      </c>
      <c r="P3367" s="317" t="str">
        <f t="shared" si="3414"/>
        <v>15:45</v>
      </c>
      <c r="Q3367" s="318">
        <f t="shared" si="3358"/>
        <v>46141.41667</v>
      </c>
      <c r="R3367" s="318">
        <f t="shared" si="3359"/>
        <v>46141.52083</v>
      </c>
      <c r="S3367" s="318">
        <f t="shared" si="8"/>
        <v>46141.65625</v>
      </c>
    </row>
    <row r="3368">
      <c r="A3368" s="14" t="str">
        <f t="shared" si="1"/>
        <v>C157446141</v>
      </c>
      <c r="B3368" s="185" t="str">
        <f t="array" ref="B3368">IF(F3368="VL","",IF(F3368="Free","Free",XLOOKUP(D3368,Roster!T:T,Roster!S:S,"",0)))</f>
        <v>Free</v>
      </c>
      <c r="C3368" s="313">
        <v>46141.0</v>
      </c>
      <c r="D3368" s="314" t="s">
        <v>12</v>
      </c>
      <c r="E3368" s="307" t="str">
        <f t="array" ref="E3368">(XLOOKUP(D3368,Roster!F:F,Roster!B:B,"",0))</f>
        <v>Ana Quintero</v>
      </c>
      <c r="F3368" s="315" t="str">
        <f t="array" ref="F3368">IF(B3368=100,"Free",TEXT(XLOOKUP($D3368,OperationVoice!$A:$A,OperationVoice!AI:AI,XLOOKUP($D3368,OperationTickets!$A:$A,OperationTickets!AI:AI,"",0)),"hh:mm"))</f>
        <v>Free</v>
      </c>
      <c r="G3368" s="309" t="str">
        <f t="shared" si="3"/>
        <v>Free</v>
      </c>
      <c r="H3368" s="316" t="str">
        <f t="array" ref="H3368">XLOOKUP(B3368,Roster!L:L,Roster!N:N,XLOOKUP(D3368,TicketsBreak!A:A,TicketsBreak!E:E,"",0),0)</f>
        <v/>
      </c>
      <c r="I3368" s="316" t="str">
        <f t="array" ref="I3368">XLOOKUP(B3368,Roster!L:L,Roster!O:O,XLOOKUP(D3368,TicketsBreak!A:A,TicketsBreak!F:F,"",0),0)</f>
        <v/>
      </c>
      <c r="J3368" s="316" t="str">
        <f t="array" ref="J3368">XLOOKUP(B3368,Roster!L:L,Roster!P:P,XLOOKUP(D3368,TicketsBreak!A:A,TicketsBreak!G:G,"",0),0)</f>
        <v/>
      </c>
      <c r="K3368" s="310">
        <f t="shared" si="4"/>
        <v>46141</v>
      </c>
      <c r="L3368" s="317">
        <f t="array" ref="L3368">(XLOOKUP(D3368,Roster!F:F,Roster!D:D,"",0))</f>
        <v>38</v>
      </c>
      <c r="M3368" s="317" t="str">
        <f t="array" ref="M3368">XLOOKUP(D3368,Roster!F:F,Roster!E:E)</f>
        <v>Voice</v>
      </c>
      <c r="N3368" s="317" t="str">
        <f t="shared" ref="N3368:P3368" si="3415">LEFT(H3368,5)</f>
        <v/>
      </c>
      <c r="O3368" s="317" t="str">
        <f t="shared" si="3415"/>
        <v/>
      </c>
      <c r="P3368" s="317" t="str">
        <f t="shared" si="3415"/>
        <v/>
      </c>
      <c r="Q3368" s="318" t="str">
        <f t="shared" si="3358"/>
        <v/>
      </c>
      <c r="R3368" s="318" t="str">
        <f t="shared" si="3359"/>
        <v/>
      </c>
      <c r="S3368" s="318" t="str">
        <f t="shared" si="8"/>
        <v/>
      </c>
    </row>
    <row r="3369">
      <c r="A3369" s="14" t="str">
        <f t="shared" si="1"/>
        <v>C46946141</v>
      </c>
      <c r="B3369" s="185" t="str">
        <f t="array" ref="B3369">IF(F3369="VL","",IF(F3369="Free","Free",XLOOKUP(D3369,Roster!T:T,Roster!S:S,"",0)))</f>
        <v>Free</v>
      </c>
      <c r="C3369" s="313">
        <v>46141.0</v>
      </c>
      <c r="D3369" s="314" t="s">
        <v>171</v>
      </c>
      <c r="E3369" s="307" t="str">
        <f t="array" ref="E3369">(XLOOKUP(D3369,Roster!F:F,Roster!B:B,"",0))</f>
        <v>Ana Ruiz</v>
      </c>
      <c r="F3369" s="315" t="str">
        <f t="array" ref="F3369">IF(B3369=100,"Free",TEXT(XLOOKUP($D3369,OperationVoice!$A:$A,OperationVoice!AI:AI,XLOOKUP($D3369,OperationTickets!$A:$A,OperationTickets!AI:AI,"",0)),"hh:mm"))</f>
        <v>Free</v>
      </c>
      <c r="G3369" s="309" t="str">
        <f t="shared" si="3"/>
        <v>Free</v>
      </c>
      <c r="H3369" s="316">
        <f t="array" ref="H3369">XLOOKUP(B3369,Roster!L:L,Roster!N:N,XLOOKUP(D3369,TicketsBreak!A:A,TicketsBreak!E:E,"",0),0)</f>
        <v>0.3854166667</v>
      </c>
      <c r="I3369" s="316">
        <f t="array" ref="I3369">XLOOKUP(B3369,Roster!L:L,Roster!O:O,XLOOKUP(D3369,TicketsBreak!A:A,TicketsBreak!F:F,"",0),0)</f>
        <v>0.5</v>
      </c>
      <c r="J3369" s="316">
        <f t="array" ref="J3369">XLOOKUP(B3369,Roster!L:L,Roster!P:P,XLOOKUP(D3369,TicketsBreak!A:A,TicketsBreak!G:G,"",0),0)</f>
        <v>0.6041666667</v>
      </c>
      <c r="K3369" s="310">
        <f t="shared" si="4"/>
        <v>46141</v>
      </c>
      <c r="L3369" s="317">
        <f t="array" ref="L3369">(XLOOKUP(D3369,Roster!F:F,Roster!D:D,"",0))</f>
        <v>3</v>
      </c>
      <c r="M3369" s="317" t="str">
        <f t="array" ref="M3369">XLOOKUP(D3369,Roster!F:F,Roster!E:E)</f>
        <v>Tickets</v>
      </c>
      <c r="N3369" s="317" t="str">
        <f t="shared" ref="N3369:P3369" si="3416">LEFT(H3369,5)</f>
        <v>09:15</v>
      </c>
      <c r="O3369" s="317" t="str">
        <f t="shared" si="3416"/>
        <v>12:00</v>
      </c>
      <c r="P3369" s="317" t="str">
        <f t="shared" si="3416"/>
        <v>14:30</v>
      </c>
      <c r="Q3369" s="318">
        <f t="shared" si="3358"/>
        <v>46141.38542</v>
      </c>
      <c r="R3369" s="318">
        <f t="shared" si="3359"/>
        <v>46141.5</v>
      </c>
      <c r="S3369" s="318">
        <f t="shared" si="8"/>
        <v>46141.60417</v>
      </c>
    </row>
    <row r="3370">
      <c r="A3370" s="14" t="str">
        <f t="shared" si="1"/>
        <v>C155446141</v>
      </c>
      <c r="B3370" s="185" t="str">
        <f t="array" ref="B3370">IF(F3370="VL","",IF(F3370="Free","Free",XLOOKUP(D3370,Roster!T:T,Roster!S:S,"",0)))</f>
        <v>Free</v>
      </c>
      <c r="C3370" s="313">
        <v>46141.0</v>
      </c>
      <c r="D3370" s="314" t="s">
        <v>13</v>
      </c>
      <c r="E3370" s="307" t="str">
        <f t="array" ref="E3370">(XLOOKUP(D3370,Roster!F:F,Roster!B:B,"",0))</f>
        <v>Andres Lopez</v>
      </c>
      <c r="F3370" s="315" t="str">
        <f t="array" ref="F3370">IF(B3370=100,"Free",TEXT(XLOOKUP($D3370,OperationVoice!$A:$A,OperationVoice!AI:AI,XLOOKUP($D3370,OperationTickets!$A:$A,OperationTickets!AI:AI,"",0)),"hh:mm"))</f>
        <v>Free</v>
      </c>
      <c r="G3370" s="309" t="str">
        <f t="shared" si="3"/>
        <v>Free</v>
      </c>
      <c r="H3370" s="316" t="str">
        <f t="array" ref="H3370">XLOOKUP(B3370,Roster!L:L,Roster!N:N,XLOOKUP(D3370,TicketsBreak!A:A,TicketsBreak!E:E,"",0),0)</f>
        <v/>
      </c>
      <c r="I3370" s="316" t="str">
        <f t="array" ref="I3370">XLOOKUP(B3370,Roster!L:L,Roster!O:O,XLOOKUP(D3370,TicketsBreak!A:A,TicketsBreak!F:F,"",0),0)</f>
        <v/>
      </c>
      <c r="J3370" s="316" t="str">
        <f t="array" ref="J3370">XLOOKUP(B3370,Roster!L:L,Roster!P:P,XLOOKUP(D3370,TicketsBreak!A:A,TicketsBreak!G:G,"",0),0)</f>
        <v/>
      </c>
      <c r="K3370" s="310">
        <f t="shared" si="4"/>
        <v>46141</v>
      </c>
      <c r="L3370" s="317">
        <f t="array" ref="L3370">(XLOOKUP(D3370,Roster!F:F,Roster!D:D,"",0))</f>
        <v>37</v>
      </c>
      <c r="M3370" s="317" t="str">
        <f t="array" ref="M3370">XLOOKUP(D3370,Roster!F:F,Roster!E:E)</f>
        <v>Voice</v>
      </c>
      <c r="N3370" s="317" t="str">
        <f t="shared" ref="N3370:P3370" si="3417">LEFT(H3370,5)</f>
        <v/>
      </c>
      <c r="O3370" s="317" t="str">
        <f t="shared" si="3417"/>
        <v/>
      </c>
      <c r="P3370" s="317" t="str">
        <f t="shared" si="3417"/>
        <v/>
      </c>
      <c r="Q3370" s="318" t="str">
        <f t="shared" si="3358"/>
        <v/>
      </c>
      <c r="R3370" s="318" t="str">
        <f t="shared" si="3359"/>
        <v/>
      </c>
      <c r="S3370" s="318" t="str">
        <f t="shared" si="8"/>
        <v/>
      </c>
    </row>
    <row r="3371">
      <c r="A3371" s="14" t="str">
        <f t="shared" si="1"/>
        <v>C156746141</v>
      </c>
      <c r="B3371" s="185">
        <f t="array" ref="B3371">IF(F3371="VL","",IF(F3371="Free","Free",XLOOKUP(D3371,Roster!T:T,Roster!S:S,"",0)))</f>
        <v>125</v>
      </c>
      <c r="C3371" s="313">
        <v>46141.0</v>
      </c>
      <c r="D3371" s="314" t="s">
        <v>14</v>
      </c>
      <c r="E3371" s="307" t="str">
        <f t="array" ref="E3371">(XLOOKUP(D3371,Roster!F:F,Roster!B:B,"",0))</f>
        <v>Andres Salazar</v>
      </c>
      <c r="F3371" s="315" t="str">
        <f t="array" ref="F3371">IF(B3371=100,"Free",TEXT(XLOOKUP($D3371,OperationVoice!$A:$A,OperationVoice!AI:AI,XLOOKUP($D3371,OperationTickets!$A:$A,OperationTickets!AI:AI,"",0)),"hh:mm"))</f>
        <v>08:00</v>
      </c>
      <c r="G3371" s="309">
        <f t="shared" si="3"/>
        <v>0.7083333333</v>
      </c>
      <c r="H3371" s="316" t="str">
        <f t="array" ref="H3371">XLOOKUP(B3371,Roster!L:L,Roster!N:N,XLOOKUP(D3371,TicketsBreak!A:A,TicketsBreak!E:E,"",0),0)</f>
        <v>10:30 - 10:45</v>
      </c>
      <c r="I3371" s="316" t="str">
        <f t="array" ref="I3371">XLOOKUP(B3371,Roster!L:L,Roster!O:O,XLOOKUP(D3371,TicketsBreak!A:A,TicketsBreak!F:F,"",0),0)</f>
        <v>13:30 - 14:00</v>
      </c>
      <c r="J3371" s="316" t="str">
        <f t="array" ref="J3371">XLOOKUP(B3371,Roster!L:L,Roster!P:P,XLOOKUP(D3371,TicketsBreak!A:A,TicketsBreak!G:G,"",0),0)</f>
        <v>15:45 - 16:00</v>
      </c>
      <c r="K3371" s="310">
        <f t="shared" si="4"/>
        <v>46141</v>
      </c>
      <c r="L3371" s="317">
        <f t="array" ref="L3371">(XLOOKUP(D3371,Roster!F:F,Roster!D:D,"",0))</f>
        <v>38</v>
      </c>
      <c r="M3371" s="317" t="str">
        <f t="array" ref="M3371">XLOOKUP(D3371,Roster!F:F,Roster!E:E)</f>
        <v>Voice</v>
      </c>
      <c r="N3371" s="317" t="str">
        <f t="shared" ref="N3371:P3371" si="3418">LEFT(H3371,5)</f>
        <v>10:30</v>
      </c>
      <c r="O3371" s="317" t="str">
        <f t="shared" si="3418"/>
        <v>13:30</v>
      </c>
      <c r="P3371" s="317" t="str">
        <f t="shared" si="3418"/>
        <v>15:45</v>
      </c>
      <c r="Q3371" s="318">
        <f t="shared" si="3358"/>
        <v>46141.4375</v>
      </c>
      <c r="R3371" s="318">
        <f t="shared" si="3359"/>
        <v>46141.5625</v>
      </c>
      <c r="S3371" s="318">
        <f t="shared" si="8"/>
        <v>46141.65625</v>
      </c>
    </row>
    <row r="3372">
      <c r="A3372" s="14" t="str">
        <f t="shared" si="1"/>
        <v>C134846141</v>
      </c>
      <c r="B3372" s="185">
        <f t="array" ref="B3372">IF(F3372="VL","",IF(F3372="Free","Free",XLOOKUP(D3372,Roster!T:T,Roster!S:S,"",0)))</f>
        <v>124</v>
      </c>
      <c r="C3372" s="313">
        <v>46141.0</v>
      </c>
      <c r="D3372" s="314" t="s">
        <v>15</v>
      </c>
      <c r="E3372" s="307" t="str">
        <f t="array" ref="E3372">(XLOOKUP(D3372,Roster!F:F,Roster!B:B,"",0))</f>
        <v>Angelo Zapata</v>
      </c>
      <c r="F3372" s="315" t="str">
        <f t="array" ref="F3372">IF(B3372=100,"Free",TEXT(XLOOKUP($D3372,OperationVoice!$A:$A,OperationVoice!AI:AI,XLOOKUP($D3372,OperationTickets!$A:$A,OperationTickets!AI:AI,"",0)),"hh:mm"))</f>
        <v>08:00</v>
      </c>
      <c r="G3372" s="309">
        <f t="shared" si="3"/>
        <v>0.7083333333</v>
      </c>
      <c r="H3372" s="316" t="str">
        <f t="array" ref="H3372">XLOOKUP(B3372,Roster!L:L,Roster!N:N,XLOOKUP(D3372,TicketsBreak!A:A,TicketsBreak!E:E,"",0),0)</f>
        <v>10:00 - 10:15</v>
      </c>
      <c r="I3372" s="316" t="str">
        <f t="array" ref="I3372">XLOOKUP(B3372,Roster!L:L,Roster!O:O,XLOOKUP(D3372,TicketsBreak!A:A,TicketsBreak!F:F,"",0),0)</f>
        <v>13:00 - 13:30</v>
      </c>
      <c r="J3372" s="316" t="str">
        <f t="array" ref="J3372">XLOOKUP(B3372,Roster!L:L,Roster!P:P,XLOOKUP(D3372,TicketsBreak!A:A,TicketsBreak!G:G,"",0),0)</f>
        <v>15:30 - 15:45</v>
      </c>
      <c r="K3372" s="310">
        <f t="shared" si="4"/>
        <v>46141</v>
      </c>
      <c r="L3372" s="317">
        <f t="array" ref="L3372">(XLOOKUP(D3372,Roster!F:F,Roster!D:D,"",0))</f>
        <v>30</v>
      </c>
      <c r="M3372" s="317" t="str">
        <f t="array" ref="M3372">XLOOKUP(D3372,Roster!F:F,Roster!E:E)</f>
        <v>Voice</v>
      </c>
      <c r="N3372" s="317" t="str">
        <f t="shared" ref="N3372:P3372" si="3419">LEFT(H3372,5)</f>
        <v>10:00</v>
      </c>
      <c r="O3372" s="317" t="str">
        <f t="shared" si="3419"/>
        <v>13:00</v>
      </c>
      <c r="P3372" s="317" t="str">
        <f t="shared" si="3419"/>
        <v>15:30</v>
      </c>
      <c r="Q3372" s="318">
        <f t="shared" si="3358"/>
        <v>46141.41667</v>
      </c>
      <c r="R3372" s="318">
        <f t="shared" si="3359"/>
        <v>46141.54167</v>
      </c>
      <c r="S3372" s="318">
        <f t="shared" si="8"/>
        <v>46141.64583</v>
      </c>
    </row>
    <row r="3373">
      <c r="A3373" s="14" t="str">
        <f t="shared" si="1"/>
        <v>C116746141</v>
      </c>
      <c r="B3373" s="185" t="str">
        <f t="array" ref="B3373">IF(F3373="VL","",IF(F3373="Free","Free",XLOOKUP(D3373,Roster!T:T,Roster!S:S,"",0)))</f>
        <v/>
      </c>
      <c r="C3373" s="313">
        <v>46141.0</v>
      </c>
      <c r="D3373" s="314" t="s">
        <v>172</v>
      </c>
      <c r="E3373" s="307" t="str">
        <f t="array" ref="E3373">(XLOOKUP(D3373,Roster!F:F,Roster!B:B,"",0))</f>
        <v>Angie Rua</v>
      </c>
      <c r="F3373" s="315" t="str">
        <f t="array" ref="F3373">IF(B3373=100,"Free",TEXT(XLOOKUP($D3373,OperationVoice!$A:$A,OperationVoice!AI:AI,XLOOKUP($D3373,OperationTickets!$A:$A,OperationTickets!AI:AI,"",0)),"hh:mm"))</f>
        <v>07:00</v>
      </c>
      <c r="G3373" s="309">
        <f t="shared" si="3"/>
        <v>0.6666666667</v>
      </c>
      <c r="H3373" s="316" t="str">
        <f t="array" ref="H3373">XLOOKUP(B3373,Roster!L:L,Roster!N:N,XLOOKUP(D3373,TicketsBreak!A:A,TicketsBreak!E:E,"",0),0)</f>
        <v/>
      </c>
      <c r="I3373" s="316" t="str">
        <f t="array" ref="I3373">XLOOKUP(B3373,Roster!L:L,Roster!O:O,XLOOKUP(D3373,TicketsBreak!A:A,TicketsBreak!F:F,"",0),0)</f>
        <v/>
      </c>
      <c r="J3373" s="316" t="str">
        <f t="array" ref="J3373">XLOOKUP(B3373,Roster!L:L,Roster!P:P,XLOOKUP(D3373,TicketsBreak!A:A,TicketsBreak!G:G,"",0),0)</f>
        <v/>
      </c>
      <c r="K3373" s="310">
        <f t="shared" si="4"/>
        <v>46141</v>
      </c>
      <c r="L3373" s="317">
        <f t="array" ref="L3373">(XLOOKUP(D3373,Roster!F:F,Roster!D:D,"",0))</f>
        <v>24</v>
      </c>
      <c r="M3373" s="317" t="str">
        <f t="array" ref="M3373">XLOOKUP(D3373,Roster!F:F,Roster!E:E)</f>
        <v>Tickets</v>
      </c>
      <c r="N3373" s="317" t="str">
        <f t="shared" ref="N3373:P3373" si="3420">LEFT(H3373,5)</f>
        <v/>
      </c>
      <c r="O3373" s="317" t="str">
        <f t="shared" si="3420"/>
        <v/>
      </c>
      <c r="P3373" s="317" t="str">
        <f t="shared" si="3420"/>
        <v/>
      </c>
      <c r="Q3373" s="318" t="str">
        <f t="shared" si="3358"/>
        <v/>
      </c>
      <c r="R3373" s="318" t="str">
        <f t="shared" si="3359"/>
        <v/>
      </c>
      <c r="S3373" s="318" t="str">
        <f t="shared" si="8"/>
        <v/>
      </c>
    </row>
    <row r="3374">
      <c r="A3374" s="14" t="str">
        <f t="shared" si="1"/>
        <v>C157946141</v>
      </c>
      <c r="B3374" s="185">
        <f t="array" ref="B3374">IF(F3374="VL","",IF(F3374="Free","Free",XLOOKUP(D3374,Roster!T:T,Roster!S:S,"",0)))</f>
        <v>126</v>
      </c>
      <c r="C3374" s="313">
        <v>46141.0</v>
      </c>
      <c r="D3374" s="314" t="s">
        <v>16</v>
      </c>
      <c r="E3374" s="307" t="str">
        <f t="array" ref="E3374">(XLOOKUP(D3374,Roster!F:F,Roster!B:B,"",0))</f>
        <v>Anibal Munoz</v>
      </c>
      <c r="F3374" s="315" t="str">
        <f t="array" ref="F3374">IF(B3374=100,"Free",TEXT(XLOOKUP($D3374,OperationVoice!$A:$A,OperationVoice!AI:AI,XLOOKUP($D3374,OperationTickets!$A:$A,OperationTickets!AI:AI,"",0)),"hh:mm"))</f>
        <v>08:00</v>
      </c>
      <c r="G3374" s="309">
        <f t="shared" si="3"/>
        <v>0.7083333333</v>
      </c>
      <c r="H3374" s="316" t="str">
        <f t="array" ref="H3374">XLOOKUP(B3374,Roster!L:L,Roster!N:N,XLOOKUP(D3374,TicketsBreak!A:A,TicketsBreak!E:E,"",0),0)</f>
        <v>10:45 - 11:00</v>
      </c>
      <c r="I3374" s="316" t="str">
        <f t="array" ref="I3374">XLOOKUP(B3374,Roster!L:L,Roster!O:O,XLOOKUP(D3374,TicketsBreak!A:A,TicketsBreak!F:F,"",0),0)</f>
        <v>14:00 - 14:30</v>
      </c>
      <c r="J3374" s="316" t="str">
        <f t="array" ref="J3374">XLOOKUP(B3374,Roster!L:L,Roster!P:P,XLOOKUP(D3374,TicketsBreak!A:A,TicketsBreak!G:G,"",0),0)</f>
        <v>15:45 - 16:00</v>
      </c>
      <c r="K3374" s="310">
        <f t="shared" si="4"/>
        <v>46141</v>
      </c>
      <c r="L3374" s="317">
        <f t="array" ref="L3374">(XLOOKUP(D3374,Roster!F:F,Roster!D:D,"",0))</f>
        <v>38</v>
      </c>
      <c r="M3374" s="317" t="str">
        <f t="array" ref="M3374">XLOOKUP(D3374,Roster!F:F,Roster!E:E)</f>
        <v>Voice</v>
      </c>
      <c r="N3374" s="317" t="str">
        <f t="shared" ref="N3374:P3374" si="3421">LEFT(H3374,5)</f>
        <v>10:45</v>
      </c>
      <c r="O3374" s="317" t="str">
        <f t="shared" si="3421"/>
        <v>14:00</v>
      </c>
      <c r="P3374" s="317" t="str">
        <f t="shared" si="3421"/>
        <v>15:45</v>
      </c>
      <c r="Q3374" s="318">
        <f t="shared" si="3358"/>
        <v>46141.44792</v>
      </c>
      <c r="R3374" s="318">
        <f t="shared" si="3359"/>
        <v>46141.58333</v>
      </c>
      <c r="S3374" s="318">
        <f t="shared" si="8"/>
        <v>46141.65625</v>
      </c>
    </row>
    <row r="3375">
      <c r="A3375" s="14" t="str">
        <f t="shared" si="1"/>
        <v>C08046141</v>
      </c>
      <c r="B3375" s="185" t="str">
        <f t="array" ref="B3375">IF(F3375="VL","",IF(F3375="Free","Free",XLOOKUP(D3375,Roster!T:T,Roster!S:S,"",0)))</f>
        <v/>
      </c>
      <c r="C3375" s="313">
        <v>46141.0</v>
      </c>
      <c r="D3375" s="314" t="s">
        <v>138</v>
      </c>
      <c r="E3375" s="307" t="str">
        <f t="array" ref="E3375">(XLOOKUP(D3375,Roster!F:F,Roster!B:B,"",0))</f>
        <v>Arturo Padilla</v>
      </c>
      <c r="F3375" s="315" t="str">
        <f t="array" ref="F3375">IF(B3375=100,"Free",TEXT(XLOOKUP($D3375,OperationVoice!$A:$A,OperationVoice!AI:AI,XLOOKUP($D3375,OperationTickets!$A:$A,OperationTickets!AI:AI,"",0)),"hh:mm"))</f>
        <v>08:00</v>
      </c>
      <c r="G3375" s="309">
        <f t="shared" si="3"/>
        <v>0.7083333333</v>
      </c>
      <c r="H3375" s="316">
        <f t="array" ref="H3375">XLOOKUP(B3375,Roster!L:L,Roster!N:N,XLOOKUP(D3375,TicketsBreak!A:A,TicketsBreak!E:E,"",0),0)</f>
        <v>0.375</v>
      </c>
      <c r="I3375" s="316">
        <f t="array" ref="I3375">XLOOKUP(B3375,Roster!L:L,Roster!O:O,XLOOKUP(D3375,TicketsBreak!A:A,TicketsBreak!F:F,"",0),0)</f>
        <v>0.5</v>
      </c>
      <c r="J3375" s="316">
        <f t="array" ref="J3375">XLOOKUP(B3375,Roster!L:L,Roster!P:P,XLOOKUP(D3375,TicketsBreak!A:A,TicketsBreak!G:G,"",0),0)</f>
        <v>0.6458333333</v>
      </c>
      <c r="K3375" s="310">
        <f t="shared" si="4"/>
        <v>46141</v>
      </c>
      <c r="L3375" s="317">
        <f t="array" ref="L3375">(XLOOKUP(D3375,Roster!F:F,Roster!D:D,"",0))</f>
        <v>1</v>
      </c>
      <c r="M3375" s="317" t="str">
        <f t="array" ref="M3375">XLOOKUP(D3375,Roster!F:F,Roster!E:E)</f>
        <v>Tickets</v>
      </c>
      <c r="N3375" s="317" t="str">
        <f t="shared" ref="N3375:P3375" si="3422">LEFT(H3375,5)</f>
        <v>09:00</v>
      </c>
      <c r="O3375" s="317" t="str">
        <f t="shared" si="3422"/>
        <v>12:00</v>
      </c>
      <c r="P3375" s="317" t="str">
        <f t="shared" si="3422"/>
        <v>15:30</v>
      </c>
      <c r="Q3375" s="318">
        <f t="shared" si="3358"/>
        <v>46141.375</v>
      </c>
      <c r="R3375" s="318">
        <f t="shared" si="3359"/>
        <v>46141.5</v>
      </c>
      <c r="S3375" s="318">
        <f t="shared" si="8"/>
        <v>46141.64583</v>
      </c>
    </row>
    <row r="3376">
      <c r="A3376" s="14" t="str">
        <f t="shared" si="1"/>
        <v>C150446141</v>
      </c>
      <c r="B3376" s="185">
        <f t="array" ref="B3376">IF(F3376="VL","",IF(F3376="Free","Free",XLOOKUP(D3376,Roster!T:T,Roster!S:S,"",0)))</f>
        <v>123</v>
      </c>
      <c r="C3376" s="313">
        <v>46141.0</v>
      </c>
      <c r="D3376" s="314" t="s">
        <v>155</v>
      </c>
      <c r="E3376" s="307" t="str">
        <f t="array" ref="E3376">(XLOOKUP(D3376,Roster!F:F,Roster!B:B,"",0))</f>
        <v>Beatriz Montanez</v>
      </c>
      <c r="F3376" s="315" t="str">
        <f t="array" ref="F3376">IF(B3376=100,"Free",TEXT(XLOOKUP($D3376,OperationVoice!$A:$A,OperationVoice!AI:AI,XLOOKUP($D3376,OperationTickets!$A:$A,OperationTickets!AI:AI,"",0)),"hh:mm"))</f>
        <v>08:00</v>
      </c>
      <c r="G3376" s="309">
        <f t="shared" si="3"/>
        <v>0.7083333333</v>
      </c>
      <c r="H3376" s="316" t="str">
        <f t="array" ref="H3376">XLOOKUP(B3376,Roster!L:L,Roster!N:N,XLOOKUP(D3376,TicketsBreak!A:A,TicketsBreak!E:E,"",0),0)</f>
        <v>09:45 - 10:00 </v>
      </c>
      <c r="I3376" s="316" t="str">
        <f t="array" ref="I3376">XLOOKUP(B3376,Roster!L:L,Roster!O:O,XLOOKUP(D3376,TicketsBreak!A:A,TicketsBreak!F:F,"",0),0)</f>
        <v>12:30 - 13:00</v>
      </c>
      <c r="J3376" s="316" t="str">
        <f t="array" ref="J3376">XLOOKUP(B3376,Roster!L:L,Roster!P:P,XLOOKUP(D3376,TicketsBreak!A:A,TicketsBreak!G:G,"",0),0)</f>
        <v>15:00 - 15:15</v>
      </c>
      <c r="K3376" s="310">
        <f t="shared" si="4"/>
        <v>46141</v>
      </c>
      <c r="L3376" s="317">
        <f t="array" ref="L3376">(XLOOKUP(D3376,Roster!F:F,Roster!D:D,"",0))</f>
        <v>35</v>
      </c>
      <c r="M3376" s="317" t="str">
        <f t="array" ref="M3376">XLOOKUP(D3376,Roster!F:F,Roster!E:E)</f>
        <v>Tickets</v>
      </c>
      <c r="N3376" s="317" t="str">
        <f t="shared" ref="N3376:P3376" si="3423">LEFT(H3376,5)</f>
        <v>09:45</v>
      </c>
      <c r="O3376" s="317" t="str">
        <f t="shared" si="3423"/>
        <v>12:30</v>
      </c>
      <c r="P3376" s="317" t="str">
        <f t="shared" si="3423"/>
        <v>15:00</v>
      </c>
      <c r="Q3376" s="318">
        <f t="shared" si="3358"/>
        <v>46141.40625</v>
      </c>
      <c r="R3376" s="318">
        <f t="shared" si="3359"/>
        <v>46141.52083</v>
      </c>
      <c r="S3376" s="318">
        <f t="shared" si="8"/>
        <v>46141.625</v>
      </c>
    </row>
    <row r="3377">
      <c r="A3377" s="14" t="str">
        <f t="shared" si="1"/>
        <v>C107746141</v>
      </c>
      <c r="B3377" s="185">
        <f t="array" ref="B3377">IF(F3377="VL","",IF(F3377="Free","Free",XLOOKUP(D3377,Roster!T:T,Roster!S:S,"",0)))</f>
        <v>125</v>
      </c>
      <c r="C3377" s="313">
        <v>46141.0</v>
      </c>
      <c r="D3377" s="314" t="s">
        <v>17</v>
      </c>
      <c r="E3377" s="307" t="str">
        <f t="array" ref="E3377">(XLOOKUP(D3377,Roster!F:F,Roster!B:B,"",0))</f>
        <v>Brahian Prado</v>
      </c>
      <c r="F3377" s="315" t="str">
        <f t="array" ref="F3377">IF(B3377=100,"Free",TEXT(XLOOKUP($D3377,OperationVoice!$A:$A,OperationVoice!AI:AI,XLOOKUP($D3377,OperationTickets!$A:$A,OperationTickets!AI:AI,"",0)),"hh:mm"))</f>
        <v>08:00</v>
      </c>
      <c r="G3377" s="309">
        <f t="shared" si="3"/>
        <v>0.7083333333</v>
      </c>
      <c r="H3377" s="316" t="str">
        <f t="array" ref="H3377">XLOOKUP(B3377,Roster!L:L,Roster!N:N,XLOOKUP(D3377,TicketsBreak!A:A,TicketsBreak!E:E,"",0),0)</f>
        <v>10:30 - 10:45</v>
      </c>
      <c r="I3377" s="316" t="str">
        <f t="array" ref="I3377">XLOOKUP(B3377,Roster!L:L,Roster!O:O,XLOOKUP(D3377,TicketsBreak!A:A,TicketsBreak!F:F,"",0),0)</f>
        <v>13:30 - 14:00</v>
      </c>
      <c r="J3377" s="316" t="str">
        <f t="array" ref="J3377">XLOOKUP(B3377,Roster!L:L,Roster!P:P,XLOOKUP(D3377,TicketsBreak!A:A,TicketsBreak!G:G,"",0),0)</f>
        <v>15:45 - 16:00</v>
      </c>
      <c r="K3377" s="310">
        <f t="shared" si="4"/>
        <v>46141</v>
      </c>
      <c r="L3377" s="317">
        <f t="array" ref="L3377">(XLOOKUP(D3377,Roster!F:F,Roster!D:D,"",0))</f>
        <v>18</v>
      </c>
      <c r="M3377" s="317" t="str">
        <f t="array" ref="M3377">XLOOKUP(D3377,Roster!F:F,Roster!E:E)</f>
        <v>Voice</v>
      </c>
      <c r="N3377" s="317" t="str">
        <f t="shared" ref="N3377:P3377" si="3424">LEFT(H3377,5)</f>
        <v>10:30</v>
      </c>
      <c r="O3377" s="317" t="str">
        <f t="shared" si="3424"/>
        <v>13:30</v>
      </c>
      <c r="P3377" s="317" t="str">
        <f t="shared" si="3424"/>
        <v>15:45</v>
      </c>
      <c r="Q3377" s="318">
        <f t="shared" si="3358"/>
        <v>46141.4375</v>
      </c>
      <c r="R3377" s="318">
        <f t="shared" si="3359"/>
        <v>46141.5625</v>
      </c>
      <c r="S3377" s="318">
        <f t="shared" si="8"/>
        <v>46141.65625</v>
      </c>
    </row>
    <row r="3378">
      <c r="A3378" s="14" t="str">
        <f t="shared" si="1"/>
        <v>C116546141</v>
      </c>
      <c r="B3378" s="185" t="str">
        <f t="array" ref="B3378">IF(F3378="VL","",IF(F3378="Free","Free",XLOOKUP(D3378,Roster!T:T,Roster!S:S,"",0)))</f>
        <v/>
      </c>
      <c r="C3378" s="313">
        <v>46141.0</v>
      </c>
      <c r="D3378" s="314" t="s">
        <v>139</v>
      </c>
      <c r="E3378" s="307" t="str">
        <f t="array" ref="E3378">(XLOOKUP(D3378,Roster!F:F,Roster!B:B,"",0))</f>
        <v>Braian Restrepo</v>
      </c>
      <c r="F3378" s="315" t="str">
        <f t="array" ref="F3378">IF(B3378=100,"Free",TEXT(XLOOKUP($D3378,OperationVoice!$A:$A,OperationVoice!AI:AI,XLOOKUP($D3378,OperationTickets!$A:$A,OperationTickets!AI:AI,"",0)),"hh:mm"))</f>
        <v>08:00</v>
      </c>
      <c r="G3378" s="309">
        <f t="shared" si="3"/>
        <v>0.7083333333</v>
      </c>
      <c r="H3378" s="316" t="str">
        <f t="array" ref="H3378">XLOOKUP(B3378,Roster!L:L,Roster!N:N,XLOOKUP(D3378,TicketsBreak!A:A,TicketsBreak!E:E,"",0),0)</f>
        <v/>
      </c>
      <c r="I3378" s="316" t="str">
        <f t="array" ref="I3378">XLOOKUP(B3378,Roster!L:L,Roster!O:O,XLOOKUP(D3378,TicketsBreak!A:A,TicketsBreak!F:F,"",0),0)</f>
        <v/>
      </c>
      <c r="J3378" s="316" t="str">
        <f t="array" ref="J3378">XLOOKUP(B3378,Roster!L:L,Roster!P:P,XLOOKUP(D3378,TicketsBreak!A:A,TicketsBreak!G:G,"",0),0)</f>
        <v/>
      </c>
      <c r="K3378" s="310">
        <f t="shared" si="4"/>
        <v>46141</v>
      </c>
      <c r="L3378" s="317">
        <f t="array" ref="L3378">(XLOOKUP(D3378,Roster!F:F,Roster!D:D,"",0))</f>
        <v>24</v>
      </c>
      <c r="M3378" s="317" t="str">
        <f t="array" ref="M3378">XLOOKUP(D3378,Roster!F:F,Roster!E:E)</f>
        <v>Tickets</v>
      </c>
      <c r="N3378" s="317" t="str">
        <f t="shared" ref="N3378:P3378" si="3425">LEFT(H3378,5)</f>
        <v/>
      </c>
      <c r="O3378" s="317" t="str">
        <f t="shared" si="3425"/>
        <v/>
      </c>
      <c r="P3378" s="317" t="str">
        <f t="shared" si="3425"/>
        <v/>
      </c>
      <c r="Q3378" s="318" t="str">
        <f t="shared" si="3358"/>
        <v/>
      </c>
      <c r="R3378" s="318" t="str">
        <f t="shared" si="3359"/>
        <v/>
      </c>
      <c r="S3378" s="318" t="str">
        <f t="shared" si="8"/>
        <v/>
      </c>
    </row>
    <row r="3379">
      <c r="A3379" s="14" t="str">
        <f t="shared" si="1"/>
        <v>C127446141</v>
      </c>
      <c r="B3379" s="185">
        <f t="array" ref="B3379">IF(F3379="VL","",IF(F3379="Free","Free",XLOOKUP(D3379,Roster!T:T,Roster!S:S,"",0)))</f>
        <v>126</v>
      </c>
      <c r="C3379" s="313">
        <v>46141.0</v>
      </c>
      <c r="D3379" s="314" t="s">
        <v>250</v>
      </c>
      <c r="E3379" s="307" t="str">
        <f t="array" ref="E3379">(XLOOKUP(D3379,Roster!F:F,Roster!B:B,"",0))</f>
        <v>Brayan Franco</v>
      </c>
      <c r="F3379" s="315" t="str">
        <f t="array" ref="F3379">IF(B3379=100,"Free",TEXT(XLOOKUP($D3379,OperationVoice!$A:$A,OperationVoice!AI:AI,XLOOKUP($D3379,OperationTickets!$A:$A,OperationTickets!AI:AI,"",0)),"hh:mm"))</f>
        <v/>
      </c>
      <c r="G3379" s="309" t="str">
        <f t="shared" si="3"/>
        <v/>
      </c>
      <c r="H3379" s="316" t="str">
        <f t="array" ref="H3379">XLOOKUP(B3379,Roster!L:L,Roster!N:N,XLOOKUP(D3379,TicketsBreak!A:A,TicketsBreak!E:E,"",0),0)</f>
        <v>10:45 - 11:00</v>
      </c>
      <c r="I3379" s="316" t="str">
        <f t="array" ref="I3379">XLOOKUP(B3379,Roster!L:L,Roster!O:O,XLOOKUP(D3379,TicketsBreak!A:A,TicketsBreak!F:F,"",0),0)</f>
        <v>14:00 - 14:30</v>
      </c>
      <c r="J3379" s="316" t="str">
        <f t="array" ref="J3379">XLOOKUP(B3379,Roster!L:L,Roster!P:P,XLOOKUP(D3379,TicketsBreak!A:A,TicketsBreak!G:G,"",0),0)</f>
        <v>15:45 - 16:00</v>
      </c>
      <c r="K3379" s="310">
        <f t="shared" si="4"/>
        <v>46141</v>
      </c>
      <c r="L3379" s="317">
        <f t="array" ref="L3379">(XLOOKUP(D3379,Roster!F:F,Roster!D:D,"",0))</f>
        <v>27</v>
      </c>
      <c r="M3379" s="317" t="str">
        <f t="array" ref="M3379">XLOOKUP(D3379,Roster!F:F,Roster!E:E)</f>
        <v>Voice</v>
      </c>
      <c r="N3379" s="317" t="str">
        <f t="shared" ref="N3379:P3379" si="3426">LEFT(H3379,5)</f>
        <v>10:45</v>
      </c>
      <c r="O3379" s="317" t="str">
        <f t="shared" si="3426"/>
        <v>14:00</v>
      </c>
      <c r="P3379" s="317" t="str">
        <f t="shared" si="3426"/>
        <v>15:45</v>
      </c>
      <c r="Q3379" s="318">
        <f t="shared" si="3358"/>
        <v>46141.44792</v>
      </c>
      <c r="R3379" s="318">
        <f t="shared" si="3359"/>
        <v>46141.58333</v>
      </c>
      <c r="S3379" s="318">
        <f t="shared" si="8"/>
        <v>46141.65625</v>
      </c>
    </row>
    <row r="3380">
      <c r="A3380" s="14" t="str">
        <f t="shared" si="1"/>
        <v>C119146141</v>
      </c>
      <c r="B3380" s="185">
        <f t="array" ref="B3380">IF(F3380="VL","",IF(F3380="Free","Free",XLOOKUP(D3380,Roster!T:T,Roster!S:S,"",0)))</f>
        <v>111</v>
      </c>
      <c r="C3380" s="313">
        <v>46141.0</v>
      </c>
      <c r="D3380" s="314" t="s">
        <v>18</v>
      </c>
      <c r="E3380" s="307" t="str">
        <f t="array" ref="E3380">(XLOOKUP(D3380,Roster!F:F,Roster!B:B,"",0))</f>
        <v>Brayan Montoya</v>
      </c>
      <c r="F3380" s="315" t="str">
        <f t="array" ref="F3380">IF(B3380=100,"Free",TEXT(XLOOKUP($D3380,OperationVoice!$A:$A,OperationVoice!AI:AI,XLOOKUP($D3380,OperationTickets!$A:$A,OperationTickets!AI:AI,"",0)),"hh:mm"))</f>
        <v>07:00</v>
      </c>
      <c r="G3380" s="309">
        <f t="shared" si="3"/>
        <v>0.6666666667</v>
      </c>
      <c r="H3380" s="316" t="str">
        <f t="array" ref="H3380">XLOOKUP(B3380,Roster!L:L,Roster!N:N,XLOOKUP(D3380,TicketsBreak!A:A,TicketsBreak!E:E,"",0),0)</f>
        <v>09:00 - 09:15</v>
      </c>
      <c r="I3380" s="316" t="str">
        <f t="array" ref="I3380">XLOOKUP(B3380,Roster!L:L,Roster!O:O,XLOOKUP(D3380,TicketsBreak!A:A,TicketsBreak!F:F,"",0),0)</f>
        <v>11:45 - 12:15</v>
      </c>
      <c r="J3380" s="316" t="str">
        <f t="array" ref="J3380">XLOOKUP(B3380,Roster!L:L,Roster!P:P,XLOOKUP(D3380,TicketsBreak!A:A,TicketsBreak!G:G,"",0),0)</f>
        <v>14:30 - 14:45</v>
      </c>
      <c r="K3380" s="310">
        <f t="shared" si="4"/>
        <v>46141</v>
      </c>
      <c r="L3380" s="317">
        <f t="array" ref="L3380">(XLOOKUP(D3380,Roster!F:F,Roster!D:D,"",0))</f>
        <v>25</v>
      </c>
      <c r="M3380" s="317" t="str">
        <f t="array" ref="M3380">XLOOKUP(D3380,Roster!F:F,Roster!E:E)</f>
        <v>Voice</v>
      </c>
      <c r="N3380" s="317" t="str">
        <f t="shared" ref="N3380:P3380" si="3427">LEFT(H3380,5)</f>
        <v>09:00</v>
      </c>
      <c r="O3380" s="317" t="str">
        <f t="shared" si="3427"/>
        <v>11:45</v>
      </c>
      <c r="P3380" s="317" t="str">
        <f t="shared" si="3427"/>
        <v>14:30</v>
      </c>
      <c r="Q3380" s="318">
        <f t="shared" si="3358"/>
        <v>46141.375</v>
      </c>
      <c r="R3380" s="318">
        <f t="shared" si="3359"/>
        <v>46141.48958</v>
      </c>
      <c r="S3380" s="318">
        <f t="shared" si="8"/>
        <v>46141.60417</v>
      </c>
    </row>
    <row r="3381">
      <c r="A3381" s="14" t="str">
        <f t="shared" si="1"/>
        <v>C152646141</v>
      </c>
      <c r="B3381" s="185" t="str">
        <f t="array" ref="B3381">IF(F3381="VL","",IF(F3381="Free","Free",XLOOKUP(D3381,Roster!T:T,Roster!S:S,"",0)))</f>
        <v>Free</v>
      </c>
      <c r="C3381" s="313">
        <v>46141.0</v>
      </c>
      <c r="D3381" s="314" t="s">
        <v>19</v>
      </c>
      <c r="E3381" s="307" t="str">
        <f t="array" ref="E3381">(XLOOKUP(D3381,Roster!F:F,Roster!B:B,"",0))</f>
        <v>Breitner Benitez</v>
      </c>
      <c r="F3381" s="315" t="str">
        <f t="array" ref="F3381">IF(B3381=100,"Free",TEXT(XLOOKUP($D3381,OperationVoice!$A:$A,OperationVoice!AI:AI,XLOOKUP($D3381,OperationTickets!$A:$A,OperationTickets!AI:AI,"",0)),"hh:mm"))</f>
        <v>Free</v>
      </c>
      <c r="G3381" s="309" t="str">
        <f t="shared" si="3"/>
        <v>Free</v>
      </c>
      <c r="H3381" s="316" t="str">
        <f t="array" ref="H3381">XLOOKUP(B3381,Roster!L:L,Roster!N:N,XLOOKUP(D3381,TicketsBreak!A:A,TicketsBreak!E:E,"",0),0)</f>
        <v/>
      </c>
      <c r="I3381" s="316" t="str">
        <f t="array" ref="I3381">XLOOKUP(B3381,Roster!L:L,Roster!O:O,XLOOKUP(D3381,TicketsBreak!A:A,TicketsBreak!F:F,"",0),0)</f>
        <v/>
      </c>
      <c r="J3381" s="316" t="str">
        <f t="array" ref="J3381">XLOOKUP(B3381,Roster!L:L,Roster!P:P,XLOOKUP(D3381,TicketsBreak!A:A,TicketsBreak!G:G,"",0),0)</f>
        <v/>
      </c>
      <c r="K3381" s="310">
        <f t="shared" si="4"/>
        <v>46141</v>
      </c>
      <c r="L3381" s="317">
        <f t="array" ref="L3381">(XLOOKUP(D3381,Roster!F:F,Roster!D:D,"",0))</f>
        <v>13</v>
      </c>
      <c r="M3381" s="317" t="str">
        <f t="array" ref="M3381">XLOOKUP(D3381,Roster!F:F,Roster!E:E)</f>
        <v>Voice</v>
      </c>
      <c r="N3381" s="317" t="str">
        <f t="shared" ref="N3381:P3381" si="3428">LEFT(H3381,5)</f>
        <v/>
      </c>
      <c r="O3381" s="317" t="str">
        <f t="shared" si="3428"/>
        <v/>
      </c>
      <c r="P3381" s="317" t="str">
        <f t="shared" si="3428"/>
        <v/>
      </c>
      <c r="Q3381" s="318" t="str">
        <f t="shared" si="3358"/>
        <v/>
      </c>
      <c r="R3381" s="318" t="str">
        <f t="shared" si="3359"/>
        <v/>
      </c>
      <c r="S3381" s="318" t="str">
        <f t="shared" si="8"/>
        <v/>
      </c>
    </row>
    <row r="3382">
      <c r="A3382" s="14" t="str">
        <f t="shared" si="1"/>
        <v>C153546141</v>
      </c>
      <c r="B3382" s="185">
        <f t="array" ref="B3382">IF(F3382="VL","",IF(F3382="Free","Free",XLOOKUP(D3382,Roster!T:T,Roster!S:S,"",0)))</f>
        <v>154</v>
      </c>
      <c r="C3382" s="313">
        <v>46141.0</v>
      </c>
      <c r="D3382" s="314" t="s">
        <v>20</v>
      </c>
      <c r="E3382" s="307" t="str">
        <f t="array" ref="E3382">(XLOOKUP(D3382,Roster!F:F,Roster!B:B,"",0))</f>
        <v>Carlos Alzate</v>
      </c>
      <c r="F3382" s="315" t="str">
        <f t="array" ref="F3382">IF(B3382=100,"Free",TEXT(XLOOKUP($D3382,OperationVoice!$A:$A,OperationVoice!AI:AI,XLOOKUP($D3382,OperationTickets!$A:$A,OperationTickets!AI:AI,"",0)),"hh:mm"))</f>
        <v>11:00</v>
      </c>
      <c r="G3382" s="309">
        <f t="shared" si="3"/>
        <v>0.8333333333</v>
      </c>
      <c r="H3382" s="316" t="str">
        <f t="array" ref="H3382">XLOOKUP(B3382,Roster!L:L,Roster!N:N,XLOOKUP(D3382,TicketsBreak!A:A,TicketsBreak!E:E,"",0),0)</f>
        <v>13:00 - 13:15</v>
      </c>
      <c r="I3382" s="316" t="str">
        <f t="array" ref="I3382">XLOOKUP(B3382,Roster!L:L,Roster!O:O,XLOOKUP(D3382,TicketsBreak!A:A,TicketsBreak!F:F,"",0),0)</f>
        <v>15:15 - 15:45</v>
      </c>
      <c r="J3382" s="316" t="str">
        <f t="array" ref="J3382">XLOOKUP(B3382,Roster!L:L,Roster!P:P,XLOOKUP(D3382,TicketsBreak!A:A,TicketsBreak!G:G,"",0),0)</f>
        <v>18:00 - 18:15</v>
      </c>
      <c r="K3382" s="310">
        <f t="shared" si="4"/>
        <v>46141</v>
      </c>
      <c r="L3382" s="317">
        <f t="array" ref="L3382">(XLOOKUP(D3382,Roster!F:F,Roster!D:D,"",0))</f>
        <v>36</v>
      </c>
      <c r="M3382" s="317" t="str">
        <f t="array" ref="M3382">XLOOKUP(D3382,Roster!F:F,Roster!E:E)</f>
        <v>Voice</v>
      </c>
      <c r="N3382" s="317" t="str">
        <f t="shared" ref="N3382:P3382" si="3429">LEFT(H3382,5)</f>
        <v>13:00</v>
      </c>
      <c r="O3382" s="317" t="str">
        <f t="shared" si="3429"/>
        <v>15:15</v>
      </c>
      <c r="P3382" s="317" t="str">
        <f t="shared" si="3429"/>
        <v>18:00</v>
      </c>
      <c r="Q3382" s="318">
        <f t="shared" si="3358"/>
        <v>46141.54167</v>
      </c>
      <c r="R3382" s="318">
        <f t="shared" si="3359"/>
        <v>46141.63542</v>
      </c>
      <c r="S3382" s="318">
        <f t="shared" si="8"/>
        <v>46141.75</v>
      </c>
    </row>
    <row r="3383">
      <c r="A3383" s="14" t="str">
        <f t="shared" si="1"/>
        <v>C153146141</v>
      </c>
      <c r="B3383" s="185" t="str">
        <f t="array" ref="B3383">IF(F3383="VL","",IF(F3383="Free","Free",XLOOKUP(D3383,Roster!T:T,Roster!S:S,"",0)))</f>
        <v>Free</v>
      </c>
      <c r="C3383" s="313">
        <v>46141.0</v>
      </c>
      <c r="D3383" s="314" t="s">
        <v>21</v>
      </c>
      <c r="E3383" s="307" t="str">
        <f t="array" ref="E3383">(XLOOKUP(D3383,Roster!F:F,Roster!B:B,"",0))</f>
        <v>Carlos Palma</v>
      </c>
      <c r="F3383" s="315" t="str">
        <f t="array" ref="F3383">IF(B3383=100,"Free",TEXT(XLOOKUP($D3383,OperationVoice!$A:$A,OperationVoice!AI:AI,XLOOKUP($D3383,OperationTickets!$A:$A,OperationTickets!AI:AI,"",0)),"hh:mm"))</f>
        <v>Free</v>
      </c>
      <c r="G3383" s="309" t="str">
        <f t="shared" si="3"/>
        <v>Free</v>
      </c>
      <c r="H3383" s="316" t="str">
        <f t="array" ref="H3383">XLOOKUP(B3383,Roster!L:L,Roster!N:N,XLOOKUP(D3383,TicketsBreak!A:A,TicketsBreak!E:E,"",0),0)</f>
        <v/>
      </c>
      <c r="I3383" s="316" t="str">
        <f t="array" ref="I3383">XLOOKUP(B3383,Roster!L:L,Roster!O:O,XLOOKUP(D3383,TicketsBreak!A:A,TicketsBreak!F:F,"",0),0)</f>
        <v/>
      </c>
      <c r="J3383" s="316" t="str">
        <f t="array" ref="J3383">XLOOKUP(B3383,Roster!L:L,Roster!P:P,XLOOKUP(D3383,TicketsBreak!A:A,TicketsBreak!G:G,"",0),0)</f>
        <v/>
      </c>
      <c r="K3383" s="310">
        <f t="shared" si="4"/>
        <v>46141</v>
      </c>
      <c r="L3383" s="317">
        <f t="array" ref="L3383">(XLOOKUP(D3383,Roster!F:F,Roster!D:D,"",0))</f>
        <v>36</v>
      </c>
      <c r="M3383" s="317" t="str">
        <f t="array" ref="M3383">XLOOKUP(D3383,Roster!F:F,Roster!E:E)</f>
        <v>Voice</v>
      </c>
      <c r="N3383" s="317" t="str">
        <f t="shared" ref="N3383:P3383" si="3430">LEFT(H3383,5)</f>
        <v/>
      </c>
      <c r="O3383" s="317" t="str">
        <f t="shared" si="3430"/>
        <v/>
      </c>
      <c r="P3383" s="317" t="str">
        <f t="shared" si="3430"/>
        <v/>
      </c>
      <c r="Q3383" s="318" t="str">
        <f t="shared" si="3358"/>
        <v/>
      </c>
      <c r="R3383" s="318" t="str">
        <f t="shared" si="3359"/>
        <v/>
      </c>
      <c r="S3383" s="318" t="str">
        <f t="shared" si="8"/>
        <v/>
      </c>
    </row>
    <row r="3384">
      <c r="A3384" s="14" t="str">
        <f t="shared" si="1"/>
        <v>C157646141</v>
      </c>
      <c r="B3384" s="185" t="str">
        <f t="array" ref="B3384">IF(F3384="VL","",IF(F3384="Free","Free",XLOOKUP(D3384,Roster!T:T,Roster!S:S,"",0)))</f>
        <v/>
      </c>
      <c r="C3384" s="313">
        <v>46141.0</v>
      </c>
      <c r="D3384" s="314" t="s">
        <v>313</v>
      </c>
      <c r="E3384" s="307" t="str">
        <f t="array" ref="E3384">(XLOOKUP(D3384,Roster!F:F,Roster!B:B,"",0))</f>
        <v>Carlos Ruiz</v>
      </c>
      <c r="F3384" s="315" t="str">
        <f t="array" ref="F3384">IF(B3384=100,"Free",TEXT(XLOOKUP($D3384,OperationVoice!$A:$A,OperationVoice!AI:AI,XLOOKUP($D3384,OperationTickets!$A:$A,OperationTickets!AI:AI,"",0)),"hh:mm"))</f>
        <v/>
      </c>
      <c r="G3384" s="309" t="str">
        <f t="shared" si="3"/>
        <v/>
      </c>
      <c r="H3384" s="316" t="str">
        <f t="array" ref="H3384">XLOOKUP(B3384,Roster!L:L,Roster!N:N,XLOOKUP(D3384,TicketsBreak!A:A,TicketsBreak!E:E,"",0),0)</f>
        <v/>
      </c>
      <c r="I3384" s="316" t="str">
        <f t="array" ref="I3384">XLOOKUP(B3384,Roster!L:L,Roster!O:O,XLOOKUP(D3384,TicketsBreak!A:A,TicketsBreak!F:F,"",0),0)</f>
        <v/>
      </c>
      <c r="J3384" s="316" t="str">
        <f t="array" ref="J3384">XLOOKUP(B3384,Roster!L:L,Roster!P:P,XLOOKUP(D3384,TicketsBreak!A:A,TicketsBreak!G:G,"",0),0)</f>
        <v/>
      </c>
      <c r="K3384" s="310">
        <f t="shared" si="4"/>
        <v>46141</v>
      </c>
      <c r="L3384" s="317">
        <f t="array" ref="L3384">(XLOOKUP(D3384,Roster!F:F,Roster!D:D,"",0))</f>
        <v>38</v>
      </c>
      <c r="M3384" s="317" t="str">
        <f t="array" ref="M3384">XLOOKUP(D3384,Roster!F:F,Roster!E:E)</f>
        <v>Nesting</v>
      </c>
      <c r="N3384" s="317" t="str">
        <f t="shared" ref="N3384:P3384" si="3431">LEFT(H3384,5)</f>
        <v/>
      </c>
      <c r="O3384" s="317" t="str">
        <f t="shared" si="3431"/>
        <v/>
      </c>
      <c r="P3384" s="317" t="str">
        <f t="shared" si="3431"/>
        <v/>
      </c>
      <c r="Q3384" s="318" t="str">
        <f t="shared" si="3358"/>
        <v/>
      </c>
      <c r="R3384" s="318" t="str">
        <f t="shared" si="3359"/>
        <v/>
      </c>
      <c r="S3384" s="318" t="str">
        <f t="shared" si="8"/>
        <v/>
      </c>
    </row>
    <row r="3385">
      <c r="A3385" s="14" t="str">
        <f t="shared" si="1"/>
        <v>C47946141</v>
      </c>
      <c r="B3385" s="185" t="str">
        <f t="array" ref="B3385">IF(F3385="VL","",IF(F3385="Free","Free",XLOOKUP(D3385,Roster!T:T,Roster!S:S,"",0)))</f>
        <v/>
      </c>
      <c r="C3385" s="313">
        <v>46141.0</v>
      </c>
      <c r="D3385" s="314" t="s">
        <v>173</v>
      </c>
      <c r="E3385" s="307" t="str">
        <f t="array" ref="E3385">(XLOOKUP(D3385,Roster!F:F,Roster!B:B,"",0))</f>
        <v>Carmen Grajales</v>
      </c>
      <c r="F3385" s="315" t="str">
        <f t="array" ref="F3385">IF(B3385=100,"Free",TEXT(XLOOKUP($D3385,OperationVoice!$A:$A,OperationVoice!AI:AI,XLOOKUP($D3385,OperationTickets!$A:$A,OperationTickets!AI:AI,"",0)),"hh:mm"))</f>
        <v>08:00</v>
      </c>
      <c r="G3385" s="309">
        <f t="shared" si="3"/>
        <v>0.7083333333</v>
      </c>
      <c r="H3385" s="316">
        <f t="array" ref="H3385">XLOOKUP(B3385,Roster!L:L,Roster!N:N,XLOOKUP(D3385,TicketsBreak!A:A,TicketsBreak!E:E,"",0),0)</f>
        <v>0.4270833333</v>
      </c>
      <c r="I3385" s="316">
        <f t="array" ref="I3385">XLOOKUP(B3385,Roster!L:L,Roster!O:O,XLOOKUP(D3385,TicketsBreak!A:A,TicketsBreak!F:F,"",0),0)</f>
        <v>0.53125</v>
      </c>
      <c r="J3385" s="316">
        <f t="array" ref="J3385">XLOOKUP(B3385,Roster!L:L,Roster!P:P,XLOOKUP(D3385,TicketsBreak!A:A,TicketsBreak!G:G,"",0),0)</f>
        <v>0.65625</v>
      </c>
      <c r="K3385" s="310">
        <f t="shared" si="4"/>
        <v>46141</v>
      </c>
      <c r="L3385" s="317">
        <f t="array" ref="L3385">(XLOOKUP(D3385,Roster!F:F,Roster!D:D,"",0))</f>
        <v>2</v>
      </c>
      <c r="M3385" s="317" t="str">
        <f t="array" ref="M3385">XLOOKUP(D3385,Roster!F:F,Roster!E:E)</f>
        <v>Tickets</v>
      </c>
      <c r="N3385" s="317" t="str">
        <f t="shared" ref="N3385:P3385" si="3432">LEFT(H3385,5)</f>
        <v>10:15</v>
      </c>
      <c r="O3385" s="317" t="str">
        <f t="shared" si="3432"/>
        <v>12:45</v>
      </c>
      <c r="P3385" s="317" t="str">
        <f t="shared" si="3432"/>
        <v>15:45</v>
      </c>
      <c r="Q3385" s="318">
        <f t="shared" si="3358"/>
        <v>46141.42708</v>
      </c>
      <c r="R3385" s="318">
        <f t="shared" si="3359"/>
        <v>46141.53125</v>
      </c>
      <c r="S3385" s="318">
        <f t="shared" si="8"/>
        <v>46141.65625</v>
      </c>
    </row>
    <row r="3386">
      <c r="A3386" s="14" t="str">
        <f t="shared" si="1"/>
        <v>C68746141</v>
      </c>
      <c r="B3386" s="185">
        <f t="array" ref="B3386">IF(F3386="VL","",IF(F3386="Free","Free",XLOOKUP(D3386,Roster!T:T,Roster!S:S,"",0)))</f>
        <v>122</v>
      </c>
      <c r="C3386" s="313">
        <v>46141.0</v>
      </c>
      <c r="D3386" s="314" t="s">
        <v>22</v>
      </c>
      <c r="E3386" s="307" t="str">
        <f t="array" ref="E3386">(XLOOKUP(D3386,Roster!F:F,Roster!B:B,"",0))</f>
        <v>Carolina Rios</v>
      </c>
      <c r="F3386" s="315" t="str">
        <f t="array" ref="F3386">IF(B3386=100,"Free",TEXT(XLOOKUP($D3386,OperationVoice!$A:$A,OperationVoice!AI:AI,XLOOKUP($D3386,OperationTickets!$A:$A,OperationTickets!AI:AI,"",0)),"hh:mm"))</f>
        <v>08:00</v>
      </c>
      <c r="G3386" s="309">
        <f t="shared" si="3"/>
        <v>0.7083333333</v>
      </c>
      <c r="H3386" s="316" t="str">
        <f t="array" ref="H3386">XLOOKUP(B3386,Roster!L:L,Roster!N:N,XLOOKUP(D3386,TicketsBreak!A:A,TicketsBreak!E:E,"",0),0)</f>
        <v>09:30 - 09:45</v>
      </c>
      <c r="I3386" s="316" t="str">
        <f t="array" ref="I3386">XLOOKUP(B3386,Roster!L:L,Roster!O:O,XLOOKUP(D3386,TicketsBreak!A:A,TicketsBreak!F:F,"",0),0)</f>
        <v>12:00 - 12:30</v>
      </c>
      <c r="J3386" s="316" t="str">
        <f t="array" ref="J3386">XLOOKUP(B3386,Roster!L:L,Roster!P:P,XLOOKUP(D3386,TicketsBreak!A:A,TicketsBreak!G:G,"",0),0)</f>
        <v>14:45 - 15:00</v>
      </c>
      <c r="K3386" s="310">
        <f t="shared" si="4"/>
        <v>46141</v>
      </c>
      <c r="L3386" s="317">
        <f t="array" ref="L3386">(XLOOKUP(D3386,Roster!F:F,Roster!D:D,"",0))</f>
        <v>5</v>
      </c>
      <c r="M3386" s="317" t="str">
        <f t="array" ref="M3386">XLOOKUP(D3386,Roster!F:F,Roster!E:E)</f>
        <v>Voice</v>
      </c>
      <c r="N3386" s="317" t="str">
        <f t="shared" ref="N3386:P3386" si="3433">LEFT(H3386,5)</f>
        <v>09:30</v>
      </c>
      <c r="O3386" s="317" t="str">
        <f t="shared" si="3433"/>
        <v>12:00</v>
      </c>
      <c r="P3386" s="317" t="str">
        <f t="shared" si="3433"/>
        <v>14:45</v>
      </c>
      <c r="Q3386" s="318">
        <f t="shared" si="3358"/>
        <v>46141.39583</v>
      </c>
      <c r="R3386" s="318">
        <f t="shared" si="3359"/>
        <v>46141.5</v>
      </c>
      <c r="S3386" s="318">
        <f t="shared" si="8"/>
        <v>46141.61458</v>
      </c>
    </row>
    <row r="3387">
      <c r="A3387" s="14" t="str">
        <f t="shared" si="1"/>
        <v>C152846141</v>
      </c>
      <c r="B3387" s="185">
        <f t="array" ref="B3387">IF(F3387="VL","",IF(F3387="Free","Free",XLOOKUP(D3387,Roster!T:T,Roster!S:S,"",0)))</f>
        <v>132</v>
      </c>
      <c r="C3387" s="313">
        <v>46141.0</v>
      </c>
      <c r="D3387" s="314" t="s">
        <v>23</v>
      </c>
      <c r="E3387" s="307" t="str">
        <f t="array" ref="E3387">(XLOOKUP(D3387,Roster!F:F,Roster!B:B,"",0))</f>
        <v>Christian Ramirez</v>
      </c>
      <c r="F3387" s="315" t="str">
        <f t="array" ref="F3387">IF(B3387=100,"Free",TEXT(XLOOKUP($D3387,OperationVoice!$A:$A,OperationVoice!AI:AI,XLOOKUP($D3387,OperationTickets!$A:$A,OperationTickets!AI:AI,"",0)),"hh:mm"))</f>
        <v>08:00</v>
      </c>
      <c r="G3387" s="309">
        <f t="shared" si="3"/>
        <v>0.7083333333</v>
      </c>
      <c r="H3387" s="316" t="str">
        <f t="array" ref="H3387">XLOOKUP(B3387,Roster!L:L,Roster!N:N,XLOOKUP(D3387,TicketsBreak!A:A,TicketsBreak!E:E,"",0),0)</f>
        <v>10:30 - 10:45</v>
      </c>
      <c r="I3387" s="316" t="str">
        <f t="array" ref="I3387">XLOOKUP(B3387,Roster!L:L,Roster!O:O,XLOOKUP(D3387,TicketsBreak!A:A,TicketsBreak!F:F,"",0),0)</f>
        <v>13:00 - 13:30</v>
      </c>
      <c r="J3387" s="316" t="str">
        <f t="array" ref="J3387">XLOOKUP(B3387,Roster!L:L,Roster!P:P,XLOOKUP(D3387,TicketsBreak!A:A,TicketsBreak!G:G,"",0),0)</f>
        <v>15:30 - 15:45</v>
      </c>
      <c r="K3387" s="310">
        <f t="shared" si="4"/>
        <v>46141</v>
      </c>
      <c r="L3387" s="317">
        <f t="array" ref="L3387">(XLOOKUP(D3387,Roster!F:F,Roster!D:D,"",0))</f>
        <v>36</v>
      </c>
      <c r="M3387" s="317" t="str">
        <f t="array" ref="M3387">XLOOKUP(D3387,Roster!F:F,Roster!E:E)</f>
        <v>Voice</v>
      </c>
      <c r="N3387" s="317" t="str">
        <f t="shared" ref="N3387:P3387" si="3434">LEFT(H3387,5)</f>
        <v>10:30</v>
      </c>
      <c r="O3387" s="317" t="str">
        <f t="shared" si="3434"/>
        <v>13:00</v>
      </c>
      <c r="P3387" s="317" t="str">
        <f t="shared" si="3434"/>
        <v>15:30</v>
      </c>
      <c r="Q3387" s="318">
        <f t="shared" si="3358"/>
        <v>46141.4375</v>
      </c>
      <c r="R3387" s="318">
        <f t="shared" si="3359"/>
        <v>46141.54167</v>
      </c>
      <c r="S3387" s="318">
        <f t="shared" si="8"/>
        <v>46141.64583</v>
      </c>
    </row>
    <row r="3388">
      <c r="A3388" s="14" t="str">
        <f t="shared" si="1"/>
        <v>C132546141</v>
      </c>
      <c r="B3388" s="185">
        <f t="array" ref="B3388">IF(F3388="VL","",IF(F3388="Free","Free",XLOOKUP(D3388,Roster!T:T,Roster!S:S,"",0)))</f>
        <v>123</v>
      </c>
      <c r="C3388" s="313">
        <v>46141.0</v>
      </c>
      <c r="D3388" s="314" t="s">
        <v>174</v>
      </c>
      <c r="E3388" s="307" t="str">
        <f t="array" ref="E3388">(XLOOKUP(D3388,Roster!F:F,Roster!B:B,"",0))</f>
        <v>Cristian Ferreira</v>
      </c>
      <c r="F3388" s="315" t="str">
        <f t="array" ref="F3388">IF(B3388=100,"Free",TEXT(XLOOKUP($D3388,OperationVoice!$A:$A,OperationVoice!AI:AI,XLOOKUP($D3388,OperationTickets!$A:$A,OperationTickets!AI:AI,"",0)),"hh:mm"))</f>
        <v>08:00</v>
      </c>
      <c r="G3388" s="309">
        <f t="shared" si="3"/>
        <v>0.7083333333</v>
      </c>
      <c r="H3388" s="316" t="str">
        <f t="array" ref="H3388">XLOOKUP(B3388,Roster!L:L,Roster!N:N,XLOOKUP(D3388,TicketsBreak!A:A,TicketsBreak!E:E,"",0),0)</f>
        <v>09:45 - 10:00 </v>
      </c>
      <c r="I3388" s="316" t="str">
        <f t="array" ref="I3388">XLOOKUP(B3388,Roster!L:L,Roster!O:O,XLOOKUP(D3388,TicketsBreak!A:A,TicketsBreak!F:F,"",0),0)</f>
        <v>12:30 - 13:00</v>
      </c>
      <c r="J3388" s="316" t="str">
        <f t="array" ref="J3388">XLOOKUP(B3388,Roster!L:L,Roster!P:P,XLOOKUP(D3388,TicketsBreak!A:A,TicketsBreak!G:G,"",0),0)</f>
        <v>15:00 - 15:15</v>
      </c>
      <c r="K3388" s="310">
        <f t="shared" si="4"/>
        <v>46141</v>
      </c>
      <c r="L3388" s="317">
        <f t="array" ref="L3388">(XLOOKUP(D3388,Roster!F:F,Roster!D:D,"",0))</f>
        <v>29</v>
      </c>
      <c r="M3388" s="317" t="str">
        <f t="array" ref="M3388">XLOOKUP(D3388,Roster!F:F,Roster!E:E)</f>
        <v>Tickets</v>
      </c>
      <c r="N3388" s="317" t="str">
        <f t="shared" ref="N3388:P3388" si="3435">LEFT(H3388,5)</f>
        <v>09:45</v>
      </c>
      <c r="O3388" s="317" t="str">
        <f t="shared" si="3435"/>
        <v>12:30</v>
      </c>
      <c r="P3388" s="317" t="str">
        <f t="shared" si="3435"/>
        <v>15:00</v>
      </c>
      <c r="Q3388" s="318">
        <f t="shared" si="3358"/>
        <v>46141.40625</v>
      </c>
      <c r="R3388" s="318">
        <f t="shared" si="3359"/>
        <v>46141.52083</v>
      </c>
      <c r="S3388" s="318">
        <f t="shared" si="8"/>
        <v>46141.625</v>
      </c>
    </row>
    <row r="3389">
      <c r="A3389" s="14" t="str">
        <f t="shared" si="1"/>
        <v>C151046141</v>
      </c>
      <c r="B3389" s="185" t="str">
        <f t="array" ref="B3389">IF(F3389="VL","",IF(F3389="Free","Free",XLOOKUP(D3389,Roster!T:T,Roster!S:S,"",0)))</f>
        <v>Free</v>
      </c>
      <c r="C3389" s="313">
        <v>46141.0</v>
      </c>
      <c r="D3389" s="314" t="s">
        <v>24</v>
      </c>
      <c r="E3389" s="307" t="str">
        <f t="array" ref="E3389">(XLOOKUP(D3389,Roster!F:F,Roster!B:B,"",0))</f>
        <v>Cristian Gomez</v>
      </c>
      <c r="F3389" s="315" t="str">
        <f t="array" ref="F3389">IF(B3389=100,"Free",TEXT(XLOOKUP($D3389,OperationVoice!$A:$A,OperationVoice!AI:AI,XLOOKUP($D3389,OperationTickets!$A:$A,OperationTickets!AI:AI,"",0)),"hh:mm"))</f>
        <v>Free</v>
      </c>
      <c r="G3389" s="309" t="str">
        <f t="shared" si="3"/>
        <v>Free</v>
      </c>
      <c r="H3389" s="316" t="str">
        <f t="array" ref="H3389">XLOOKUP(B3389,Roster!L:L,Roster!N:N,XLOOKUP(D3389,TicketsBreak!A:A,TicketsBreak!E:E,"",0),0)</f>
        <v/>
      </c>
      <c r="I3389" s="316" t="str">
        <f t="array" ref="I3389">XLOOKUP(B3389,Roster!L:L,Roster!O:O,XLOOKUP(D3389,TicketsBreak!A:A,TicketsBreak!F:F,"",0),0)</f>
        <v/>
      </c>
      <c r="J3389" s="316" t="str">
        <f t="array" ref="J3389">XLOOKUP(B3389,Roster!L:L,Roster!P:P,XLOOKUP(D3389,TicketsBreak!A:A,TicketsBreak!G:G,"",0),0)</f>
        <v/>
      </c>
      <c r="K3389" s="310">
        <f t="shared" si="4"/>
        <v>46141</v>
      </c>
      <c r="L3389" s="317">
        <f t="array" ref="L3389">(XLOOKUP(D3389,Roster!F:F,Roster!D:D,"",0))</f>
        <v>35</v>
      </c>
      <c r="M3389" s="317" t="str">
        <f t="array" ref="M3389">XLOOKUP(D3389,Roster!F:F,Roster!E:E)</f>
        <v>Voice</v>
      </c>
      <c r="N3389" s="317" t="str">
        <f t="shared" ref="N3389:P3389" si="3436">LEFT(H3389,5)</f>
        <v/>
      </c>
      <c r="O3389" s="317" t="str">
        <f t="shared" si="3436"/>
        <v/>
      </c>
      <c r="P3389" s="317" t="str">
        <f t="shared" si="3436"/>
        <v/>
      </c>
      <c r="Q3389" s="318" t="str">
        <f t="shared" si="3358"/>
        <v/>
      </c>
      <c r="R3389" s="318" t="str">
        <f t="shared" si="3359"/>
        <v/>
      </c>
      <c r="S3389" s="318" t="str">
        <f t="shared" si="8"/>
        <v/>
      </c>
    </row>
    <row r="3390">
      <c r="A3390" s="14" t="str">
        <f t="shared" si="1"/>
        <v>C67346141</v>
      </c>
      <c r="B3390" s="185" t="str">
        <f t="array" ref="B3390">IF(F3390="VL","",IF(F3390="Free","Free",XLOOKUP(D3390,Roster!T:T,Roster!S:S,"",0)))</f>
        <v>Free</v>
      </c>
      <c r="C3390" s="313">
        <v>46141.0</v>
      </c>
      <c r="D3390" s="314" t="s">
        <v>156</v>
      </c>
      <c r="E3390" s="307" t="str">
        <f t="array" ref="E3390">(XLOOKUP(D3390,Roster!F:F,Roster!B:B,"",0))</f>
        <v>Dahiana Cano</v>
      </c>
      <c r="F3390" s="315" t="str">
        <f t="array" ref="F3390">IF(B3390=100,"Free",TEXT(XLOOKUP($D3390,OperationVoice!$A:$A,OperationVoice!AI:AI,XLOOKUP($D3390,OperationTickets!$A:$A,OperationTickets!AI:AI,"",0)),"hh:mm"))</f>
        <v>Free</v>
      </c>
      <c r="G3390" s="309" t="str">
        <f t="shared" si="3"/>
        <v>Free</v>
      </c>
      <c r="H3390" s="316">
        <f t="array" ref="H3390">XLOOKUP(B3390,Roster!L:L,Roster!N:N,XLOOKUP(D3390,TicketsBreak!A:A,TicketsBreak!E:E,"",0),0)</f>
        <v>0.4583333333</v>
      </c>
      <c r="I3390" s="316">
        <f t="array" ref="I3390">XLOOKUP(B3390,Roster!L:L,Roster!O:O,XLOOKUP(D3390,TicketsBreak!A:A,TicketsBreak!F:F,"",0),0)</f>
        <v>0.5833333333</v>
      </c>
      <c r="J3390" s="316">
        <f t="array" ref="J3390">XLOOKUP(B3390,Roster!L:L,Roster!P:P,XLOOKUP(D3390,TicketsBreak!A:A,TicketsBreak!G:G,"",0),0)</f>
        <v>0.65625</v>
      </c>
      <c r="K3390" s="310">
        <f t="shared" si="4"/>
        <v>46141</v>
      </c>
      <c r="L3390" s="317">
        <f t="array" ref="L3390">(XLOOKUP(D3390,Roster!F:F,Roster!D:D,"",0))</f>
        <v>4</v>
      </c>
      <c r="M3390" s="317" t="str">
        <f t="array" ref="M3390">XLOOKUP(D3390,Roster!F:F,Roster!E:E)</f>
        <v>Tickets</v>
      </c>
      <c r="N3390" s="317" t="str">
        <f t="shared" ref="N3390:P3390" si="3437">LEFT(H3390,5)</f>
        <v>11:00</v>
      </c>
      <c r="O3390" s="317" t="str">
        <f t="shared" si="3437"/>
        <v>14:00</v>
      </c>
      <c r="P3390" s="317" t="str">
        <f t="shared" si="3437"/>
        <v>15:45</v>
      </c>
      <c r="Q3390" s="318">
        <f t="shared" si="3358"/>
        <v>46141.45833</v>
      </c>
      <c r="R3390" s="318">
        <f t="shared" si="3359"/>
        <v>46141.58333</v>
      </c>
      <c r="S3390" s="318">
        <f t="shared" si="8"/>
        <v>46141.65625</v>
      </c>
    </row>
    <row r="3391">
      <c r="A3391" s="14" t="str">
        <f t="shared" si="1"/>
        <v>C152946141</v>
      </c>
      <c r="B3391" s="185">
        <f t="array" ref="B3391">IF(F3391="VL","",IF(F3391="Free","Free",XLOOKUP(D3391,Roster!T:T,Roster!S:S,"",0)))</f>
        <v>133</v>
      </c>
      <c r="C3391" s="313">
        <v>46141.0</v>
      </c>
      <c r="D3391" s="314" t="s">
        <v>25</v>
      </c>
      <c r="E3391" s="307" t="str">
        <f t="array" ref="E3391">(XLOOKUP(D3391,Roster!F:F,Roster!B:B,"",0))</f>
        <v>Daniel Barrientos</v>
      </c>
      <c r="F3391" s="315" t="str">
        <f t="array" ref="F3391">IF(B3391=100,"Free",TEXT(XLOOKUP($D3391,OperationVoice!$A:$A,OperationVoice!AI:AI,XLOOKUP($D3391,OperationTickets!$A:$A,OperationTickets!AI:AI,"",0)),"hh:mm"))</f>
        <v>09:00</v>
      </c>
      <c r="G3391" s="309">
        <f t="shared" si="3"/>
        <v>0.75</v>
      </c>
      <c r="H3391" s="316" t="str">
        <f t="array" ref="H3391">XLOOKUP(B3391,Roster!L:L,Roster!N:N,XLOOKUP(D3391,TicketsBreak!A:A,TicketsBreak!E:E,"",0),0)</f>
        <v>10:45 - 11:00 </v>
      </c>
      <c r="I3391" s="316" t="str">
        <f t="array" ref="I3391">XLOOKUP(B3391,Roster!L:L,Roster!O:O,XLOOKUP(D3391,TicketsBreak!A:A,TicketsBreak!F:F,"",0),0)</f>
        <v>13:30 - 14:00</v>
      </c>
      <c r="J3391" s="316" t="str">
        <f t="array" ref="J3391">XLOOKUP(B3391,Roster!L:L,Roster!P:P,XLOOKUP(D3391,TicketsBreak!A:A,TicketsBreak!G:G,"",0),0)</f>
        <v>15:45 - 16:00</v>
      </c>
      <c r="K3391" s="310">
        <f t="shared" si="4"/>
        <v>46141</v>
      </c>
      <c r="L3391" s="317">
        <f t="array" ref="L3391">(XLOOKUP(D3391,Roster!F:F,Roster!D:D,"",0))</f>
        <v>36</v>
      </c>
      <c r="M3391" s="317" t="str">
        <f t="array" ref="M3391">XLOOKUP(D3391,Roster!F:F,Roster!E:E)</f>
        <v>Voice</v>
      </c>
      <c r="N3391" s="317" t="str">
        <f t="shared" ref="N3391:P3391" si="3438">LEFT(H3391,5)</f>
        <v>10:45</v>
      </c>
      <c r="O3391" s="317" t="str">
        <f t="shared" si="3438"/>
        <v>13:30</v>
      </c>
      <c r="P3391" s="317" t="str">
        <f t="shared" si="3438"/>
        <v>15:45</v>
      </c>
      <c r="Q3391" s="318">
        <f t="shared" si="3358"/>
        <v>46141.44792</v>
      </c>
      <c r="R3391" s="318">
        <f t="shared" si="3359"/>
        <v>46141.5625</v>
      </c>
      <c r="S3391" s="318">
        <f t="shared" si="8"/>
        <v>46141.65625</v>
      </c>
    </row>
    <row r="3392">
      <c r="A3392" s="14" t="str">
        <f t="shared" si="1"/>
        <v>C106446141</v>
      </c>
      <c r="B3392" s="185" t="str">
        <f t="array" ref="B3392">IF(F3392="VL","",IF(F3392="Free","Free",XLOOKUP(D3392,Roster!T:T,Roster!S:S,"",0)))</f>
        <v>Free</v>
      </c>
      <c r="C3392" s="313">
        <v>46141.0</v>
      </c>
      <c r="D3392" s="314" t="s">
        <v>175</v>
      </c>
      <c r="E3392" s="307" t="str">
        <f t="array" ref="E3392">(XLOOKUP(D3392,Roster!F:F,Roster!B:B,"",0))</f>
        <v>Daniel Urrego</v>
      </c>
      <c r="F3392" s="315" t="str">
        <f t="array" ref="F3392">IF(B3392=100,"Free",TEXT(XLOOKUP($D3392,OperationVoice!$A:$A,OperationVoice!AI:AI,XLOOKUP($D3392,OperationTickets!$A:$A,OperationTickets!AI:AI,"",0)),"hh:mm"))</f>
        <v>Free</v>
      </c>
      <c r="G3392" s="309" t="str">
        <f t="shared" si="3"/>
        <v>Free</v>
      </c>
      <c r="H3392" s="316" t="str">
        <f t="array" ref="H3392">XLOOKUP(B3392,Roster!L:L,Roster!N:N,XLOOKUP(D3392,TicketsBreak!A:A,TicketsBreak!E:E,"",0),0)</f>
        <v/>
      </c>
      <c r="I3392" s="316" t="str">
        <f t="array" ref="I3392">XLOOKUP(B3392,Roster!L:L,Roster!O:O,XLOOKUP(D3392,TicketsBreak!A:A,TicketsBreak!F:F,"",0),0)</f>
        <v/>
      </c>
      <c r="J3392" s="316" t="str">
        <f t="array" ref="J3392">XLOOKUP(B3392,Roster!L:L,Roster!P:P,XLOOKUP(D3392,TicketsBreak!A:A,TicketsBreak!G:G,"",0),0)</f>
        <v/>
      </c>
      <c r="K3392" s="310">
        <f t="shared" si="4"/>
        <v>46141</v>
      </c>
      <c r="L3392" s="317">
        <f t="array" ref="L3392">(XLOOKUP(D3392,Roster!F:F,Roster!D:D,"",0))</f>
        <v>17</v>
      </c>
      <c r="M3392" s="317" t="str">
        <f t="array" ref="M3392">XLOOKUP(D3392,Roster!F:F,Roster!E:E)</f>
        <v>Tickets</v>
      </c>
      <c r="N3392" s="317" t="str">
        <f t="shared" ref="N3392:P3392" si="3439">LEFT(H3392,5)</f>
        <v/>
      </c>
      <c r="O3392" s="317" t="str">
        <f t="shared" si="3439"/>
        <v/>
      </c>
      <c r="P3392" s="317" t="str">
        <f t="shared" si="3439"/>
        <v/>
      </c>
      <c r="Q3392" s="318" t="str">
        <f t="shared" si="3358"/>
        <v/>
      </c>
      <c r="R3392" s="318" t="str">
        <f t="shared" si="3359"/>
        <v/>
      </c>
      <c r="S3392" s="318" t="str">
        <f t="shared" si="8"/>
        <v/>
      </c>
    </row>
    <row r="3393">
      <c r="A3393" s="14" t="str">
        <f t="shared" si="1"/>
        <v>C151346141</v>
      </c>
      <c r="B3393" s="185">
        <f t="array" ref="B3393">IF(F3393="VL","",IF(F3393="Free","Free",XLOOKUP(D3393,Roster!T:T,Roster!S:S,"",0)))</f>
        <v>126</v>
      </c>
      <c r="C3393" s="313">
        <v>46141.0</v>
      </c>
      <c r="D3393" s="314" t="s">
        <v>26</v>
      </c>
      <c r="E3393" s="307" t="str">
        <f t="array" ref="E3393">(XLOOKUP(D3393,Roster!F:F,Roster!B:B,"",0))</f>
        <v>David Patino</v>
      </c>
      <c r="F3393" s="315" t="str">
        <f t="array" ref="F3393">IF(B3393=100,"Free",TEXT(XLOOKUP($D3393,OperationVoice!$A:$A,OperationVoice!AI:AI,XLOOKUP($D3393,OperationTickets!$A:$A,OperationTickets!AI:AI,"",0)),"hh:mm"))</f>
        <v>08:00</v>
      </c>
      <c r="G3393" s="309">
        <f t="shared" si="3"/>
        <v>0.7083333333</v>
      </c>
      <c r="H3393" s="316" t="str">
        <f t="array" ref="H3393">XLOOKUP(B3393,Roster!L:L,Roster!N:N,XLOOKUP(D3393,TicketsBreak!A:A,TicketsBreak!E:E,"",0),0)</f>
        <v>10:45 - 11:00</v>
      </c>
      <c r="I3393" s="316" t="str">
        <f t="array" ref="I3393">XLOOKUP(B3393,Roster!L:L,Roster!O:O,XLOOKUP(D3393,TicketsBreak!A:A,TicketsBreak!F:F,"",0),0)</f>
        <v>14:00 - 14:30</v>
      </c>
      <c r="J3393" s="316" t="str">
        <f t="array" ref="J3393">XLOOKUP(B3393,Roster!L:L,Roster!P:P,XLOOKUP(D3393,TicketsBreak!A:A,TicketsBreak!G:G,"",0),0)</f>
        <v>15:45 - 16:00</v>
      </c>
      <c r="K3393" s="310">
        <f t="shared" si="4"/>
        <v>46141</v>
      </c>
      <c r="L3393" s="317">
        <f t="array" ref="L3393">(XLOOKUP(D3393,Roster!F:F,Roster!D:D,"",0))</f>
        <v>35</v>
      </c>
      <c r="M3393" s="317" t="str">
        <f t="array" ref="M3393">XLOOKUP(D3393,Roster!F:F,Roster!E:E)</f>
        <v>Voice</v>
      </c>
      <c r="N3393" s="317" t="str">
        <f t="shared" ref="N3393:P3393" si="3440">LEFT(H3393,5)</f>
        <v>10:45</v>
      </c>
      <c r="O3393" s="317" t="str">
        <f t="shared" si="3440"/>
        <v>14:00</v>
      </c>
      <c r="P3393" s="317" t="str">
        <f t="shared" si="3440"/>
        <v>15:45</v>
      </c>
      <c r="Q3393" s="318">
        <f t="shared" si="3358"/>
        <v>46141.44792</v>
      </c>
      <c r="R3393" s="318">
        <f t="shared" si="3359"/>
        <v>46141.58333</v>
      </c>
      <c r="S3393" s="318">
        <f t="shared" si="8"/>
        <v>46141.65625</v>
      </c>
    </row>
    <row r="3394">
      <c r="A3394" s="14" t="str">
        <f t="shared" si="1"/>
        <v>C127746141</v>
      </c>
      <c r="B3394" s="185">
        <f t="array" ref="B3394">IF(F3394="VL","",IF(F3394="Free","Free",XLOOKUP(D3394,Roster!T:T,Roster!S:S,"",0)))</f>
        <v>124</v>
      </c>
      <c r="C3394" s="313">
        <v>46141.0</v>
      </c>
      <c r="D3394" s="314" t="s">
        <v>27</v>
      </c>
      <c r="E3394" s="307" t="str">
        <f t="array" ref="E3394">(XLOOKUP(D3394,Roster!F:F,Roster!B:B,"",0))</f>
        <v>Edwuin Martinez</v>
      </c>
      <c r="F3394" s="315" t="str">
        <f t="array" ref="F3394">IF(B3394=100,"Free",TEXT(XLOOKUP($D3394,OperationVoice!$A:$A,OperationVoice!AI:AI,XLOOKUP($D3394,OperationTickets!$A:$A,OperationTickets!AI:AI,"",0)),"hh:mm"))</f>
        <v>08:00</v>
      </c>
      <c r="G3394" s="309">
        <f t="shared" si="3"/>
        <v>0.7083333333</v>
      </c>
      <c r="H3394" s="316" t="str">
        <f t="array" ref="H3394">XLOOKUP(B3394,Roster!L:L,Roster!N:N,XLOOKUP(D3394,TicketsBreak!A:A,TicketsBreak!E:E,"",0),0)</f>
        <v>10:00 - 10:15</v>
      </c>
      <c r="I3394" s="316" t="str">
        <f t="array" ref="I3394">XLOOKUP(B3394,Roster!L:L,Roster!O:O,XLOOKUP(D3394,TicketsBreak!A:A,TicketsBreak!F:F,"",0),0)</f>
        <v>13:00 - 13:30</v>
      </c>
      <c r="J3394" s="316" t="str">
        <f t="array" ref="J3394">XLOOKUP(B3394,Roster!L:L,Roster!P:P,XLOOKUP(D3394,TicketsBreak!A:A,TicketsBreak!G:G,"",0),0)</f>
        <v>15:30 - 15:45</v>
      </c>
      <c r="K3394" s="310">
        <f t="shared" si="4"/>
        <v>46141</v>
      </c>
      <c r="L3394" s="317">
        <f t="array" ref="L3394">(XLOOKUP(D3394,Roster!F:F,Roster!D:D,"",0))</f>
        <v>27</v>
      </c>
      <c r="M3394" s="317" t="str">
        <f t="array" ref="M3394">XLOOKUP(D3394,Roster!F:F,Roster!E:E)</f>
        <v>Voice</v>
      </c>
      <c r="N3394" s="317" t="str">
        <f t="shared" ref="N3394:P3394" si="3441">LEFT(H3394,5)</f>
        <v>10:00</v>
      </c>
      <c r="O3394" s="317" t="str">
        <f t="shared" si="3441"/>
        <v>13:00</v>
      </c>
      <c r="P3394" s="317" t="str">
        <f t="shared" si="3441"/>
        <v>15:30</v>
      </c>
      <c r="Q3394" s="318">
        <f t="shared" si="3358"/>
        <v>46141.41667</v>
      </c>
      <c r="R3394" s="318">
        <f t="shared" si="3359"/>
        <v>46141.54167</v>
      </c>
      <c r="S3394" s="318">
        <f t="shared" si="8"/>
        <v>46141.64583</v>
      </c>
    </row>
    <row r="3395">
      <c r="A3395" s="14" t="str">
        <f t="shared" si="1"/>
        <v>C121646141</v>
      </c>
      <c r="B3395" s="185" t="str">
        <f t="array" ref="B3395">IF(F3395="VL","",IF(F3395="Free","Free",XLOOKUP(D3395,Roster!T:T,Roster!S:S,"",0)))</f>
        <v/>
      </c>
      <c r="C3395" s="313">
        <v>46141.0</v>
      </c>
      <c r="D3395" s="314" t="s">
        <v>134</v>
      </c>
      <c r="E3395" s="307" t="str">
        <f t="array" ref="E3395">(XLOOKUP(D3395,Roster!F:F,Roster!B:B,"",0))</f>
        <v>Eliana Pena</v>
      </c>
      <c r="F3395" s="315" t="str">
        <f t="array" ref="F3395">IF(B3395=100,"Free",TEXT(XLOOKUP($D3395,OperationVoice!$A:$A,OperationVoice!AI:AI,XLOOKUP($D3395,OperationTickets!$A:$A,OperationTickets!AI:AI,"",0)),"hh:mm"))</f>
        <v>08:00</v>
      </c>
      <c r="G3395" s="309">
        <f t="shared" si="3"/>
        <v>0.7083333333</v>
      </c>
      <c r="H3395" s="316">
        <f t="array" ref="H3395">XLOOKUP(B3395,Roster!L:L,Roster!N:N,XLOOKUP(D3395,TicketsBreak!A:A,TicketsBreak!E:E,"",0),0)</f>
        <v>0.3958333333</v>
      </c>
      <c r="I3395" s="316">
        <f t="array" ref="I3395">XLOOKUP(B3395,Roster!L:L,Roster!O:O,XLOOKUP(D3395,TicketsBreak!A:A,TicketsBreak!F:F,"",0),0)</f>
        <v>0.5416666667</v>
      </c>
      <c r="J3395" s="316">
        <f t="array" ref="J3395">XLOOKUP(B3395,Roster!L:L,Roster!P:P,XLOOKUP(D3395,TicketsBreak!A:A,TicketsBreak!G:G,"",0),0)</f>
        <v>0.6354166667</v>
      </c>
      <c r="K3395" s="310">
        <f t="shared" si="4"/>
        <v>46141</v>
      </c>
      <c r="L3395" s="317">
        <f t="array" ref="L3395">(XLOOKUP(D3395,Roster!F:F,Roster!D:D,"",0))</f>
        <v>26</v>
      </c>
      <c r="M3395" s="317" t="str">
        <f t="array" ref="M3395">XLOOKUP(D3395,Roster!F:F,Roster!E:E)</f>
        <v>Tickets</v>
      </c>
      <c r="N3395" s="317" t="str">
        <f t="shared" ref="N3395:P3395" si="3442">LEFT(H3395,5)</f>
        <v>09:30</v>
      </c>
      <c r="O3395" s="317" t="str">
        <f t="shared" si="3442"/>
        <v>13:00</v>
      </c>
      <c r="P3395" s="317" t="str">
        <f t="shared" si="3442"/>
        <v>15:15</v>
      </c>
      <c r="Q3395" s="318">
        <f t="shared" si="3358"/>
        <v>46141.39583</v>
      </c>
      <c r="R3395" s="318">
        <f t="shared" si="3359"/>
        <v>46141.54167</v>
      </c>
      <c r="S3395" s="318">
        <f t="shared" si="8"/>
        <v>46141.63542</v>
      </c>
    </row>
    <row r="3396">
      <c r="A3396" s="14" t="str">
        <f t="shared" si="1"/>
        <v>C157346141</v>
      </c>
      <c r="B3396" s="185">
        <f t="array" ref="B3396">IF(F3396="VL","",IF(F3396="Free","Free",XLOOKUP(D3396,Roster!T:T,Roster!S:S,"",0)))</f>
        <v>123</v>
      </c>
      <c r="C3396" s="313">
        <v>46141.0</v>
      </c>
      <c r="D3396" s="314" t="s">
        <v>28</v>
      </c>
      <c r="E3396" s="307" t="str">
        <f t="array" ref="E3396">(XLOOKUP(D3396,Roster!F:F,Roster!B:B,"",0))</f>
        <v>Esteban Correa</v>
      </c>
      <c r="F3396" s="315" t="str">
        <f t="array" ref="F3396">IF(B3396=100,"Free",TEXT(XLOOKUP($D3396,OperationVoice!$A:$A,OperationVoice!AI:AI,XLOOKUP($D3396,OperationTickets!$A:$A,OperationTickets!AI:AI,"",0)),"hh:mm"))</f>
        <v>08:00</v>
      </c>
      <c r="G3396" s="309">
        <f t="shared" si="3"/>
        <v>0.7083333333</v>
      </c>
      <c r="H3396" s="316" t="str">
        <f t="array" ref="H3396">XLOOKUP(B3396,Roster!L:L,Roster!N:N,XLOOKUP(D3396,TicketsBreak!A:A,TicketsBreak!E:E,"",0),0)</f>
        <v>09:45 - 10:00 </v>
      </c>
      <c r="I3396" s="316" t="str">
        <f t="array" ref="I3396">XLOOKUP(B3396,Roster!L:L,Roster!O:O,XLOOKUP(D3396,TicketsBreak!A:A,TicketsBreak!F:F,"",0),0)</f>
        <v>12:30 - 13:00</v>
      </c>
      <c r="J3396" s="316" t="str">
        <f t="array" ref="J3396">XLOOKUP(B3396,Roster!L:L,Roster!P:P,XLOOKUP(D3396,TicketsBreak!A:A,TicketsBreak!G:G,"",0),0)</f>
        <v>15:00 - 15:15</v>
      </c>
      <c r="K3396" s="310">
        <f t="shared" si="4"/>
        <v>46141</v>
      </c>
      <c r="L3396" s="317">
        <f t="array" ref="L3396">(XLOOKUP(D3396,Roster!F:F,Roster!D:D,"",0))</f>
        <v>38</v>
      </c>
      <c r="M3396" s="317" t="str">
        <f t="array" ref="M3396">XLOOKUP(D3396,Roster!F:F,Roster!E:E)</f>
        <v>Voice</v>
      </c>
      <c r="N3396" s="317" t="str">
        <f t="shared" ref="N3396:P3396" si="3443">LEFT(H3396,5)</f>
        <v>09:45</v>
      </c>
      <c r="O3396" s="317" t="str">
        <f t="shared" si="3443"/>
        <v>12:30</v>
      </c>
      <c r="P3396" s="317" t="str">
        <f t="shared" si="3443"/>
        <v>15:00</v>
      </c>
      <c r="Q3396" s="318">
        <f t="shared" si="3358"/>
        <v>46141.40625</v>
      </c>
      <c r="R3396" s="318">
        <f t="shared" si="3359"/>
        <v>46141.52083</v>
      </c>
      <c r="S3396" s="318">
        <f t="shared" si="8"/>
        <v>46141.625</v>
      </c>
    </row>
    <row r="3397">
      <c r="A3397" s="14" t="str">
        <f t="shared" si="1"/>
        <v>C71346141</v>
      </c>
      <c r="B3397" s="185">
        <f t="array" ref="B3397">IF(F3397="VL","",IF(F3397="Free","Free",XLOOKUP(D3397,Roster!T:T,Roster!S:S,"",0)))</f>
        <v>125</v>
      </c>
      <c r="C3397" s="313">
        <v>46141.0</v>
      </c>
      <c r="D3397" s="314" t="s">
        <v>29</v>
      </c>
      <c r="E3397" s="307" t="str">
        <f t="array" ref="E3397">(XLOOKUP(D3397,Roster!F:F,Roster!B:B,"",0))</f>
        <v>Frank Marin</v>
      </c>
      <c r="F3397" s="315" t="str">
        <f t="array" ref="F3397">IF(B3397=100,"Free",TEXT(XLOOKUP($D3397,OperationVoice!$A:$A,OperationVoice!AI:AI,XLOOKUP($D3397,OperationTickets!$A:$A,OperationTickets!AI:AI,"",0)),"hh:mm"))</f>
        <v>08:00</v>
      </c>
      <c r="G3397" s="309">
        <f t="shared" si="3"/>
        <v>0.7083333333</v>
      </c>
      <c r="H3397" s="316" t="str">
        <f t="array" ref="H3397">XLOOKUP(B3397,Roster!L:L,Roster!N:N,XLOOKUP(D3397,TicketsBreak!A:A,TicketsBreak!E:E,"",0),0)</f>
        <v>10:30 - 10:45</v>
      </c>
      <c r="I3397" s="316" t="str">
        <f t="array" ref="I3397">XLOOKUP(B3397,Roster!L:L,Roster!O:O,XLOOKUP(D3397,TicketsBreak!A:A,TicketsBreak!F:F,"",0),0)</f>
        <v>13:30 - 14:00</v>
      </c>
      <c r="J3397" s="316" t="str">
        <f t="array" ref="J3397">XLOOKUP(B3397,Roster!L:L,Roster!P:P,XLOOKUP(D3397,TicketsBreak!A:A,TicketsBreak!G:G,"",0),0)</f>
        <v>15:45 - 16:00</v>
      </c>
      <c r="K3397" s="310">
        <f t="shared" si="4"/>
        <v>46141</v>
      </c>
      <c r="L3397" s="317">
        <f t="array" ref="L3397">(XLOOKUP(D3397,Roster!F:F,Roster!D:D,"",0))</f>
        <v>6</v>
      </c>
      <c r="M3397" s="317" t="str">
        <f t="array" ref="M3397">XLOOKUP(D3397,Roster!F:F,Roster!E:E)</f>
        <v>Voice</v>
      </c>
      <c r="N3397" s="317" t="str">
        <f t="shared" ref="N3397:P3397" si="3444">LEFT(H3397,5)</f>
        <v>10:30</v>
      </c>
      <c r="O3397" s="317" t="str">
        <f t="shared" si="3444"/>
        <v>13:30</v>
      </c>
      <c r="P3397" s="317" t="str">
        <f t="shared" si="3444"/>
        <v>15:45</v>
      </c>
      <c r="Q3397" s="318">
        <f t="shared" si="3358"/>
        <v>46141.4375</v>
      </c>
      <c r="R3397" s="318">
        <f t="shared" si="3359"/>
        <v>46141.5625</v>
      </c>
      <c r="S3397" s="318">
        <f t="shared" si="8"/>
        <v>46141.65625</v>
      </c>
    </row>
    <row r="3398">
      <c r="A3398" s="14" t="str">
        <f t="shared" si="1"/>
        <v>C154846141</v>
      </c>
      <c r="B3398" s="185">
        <f t="array" ref="B3398">IF(F3398="VL","",IF(F3398="Free","Free",XLOOKUP(D3398,Roster!T:T,Roster!S:S,"",0)))</f>
        <v>152</v>
      </c>
      <c r="C3398" s="313">
        <v>46141.0</v>
      </c>
      <c r="D3398" s="314" t="s">
        <v>30</v>
      </c>
      <c r="E3398" s="307" t="str">
        <f t="array" ref="E3398">(XLOOKUP(D3398,Roster!F:F,Roster!B:B,"",0))</f>
        <v>Frey ortiz</v>
      </c>
      <c r="F3398" s="315" t="str">
        <f t="array" ref="F3398">IF(B3398=100,"Free",TEXT(XLOOKUP($D3398,OperationVoice!$A:$A,OperationVoice!AI:AI,XLOOKUP($D3398,OperationTickets!$A:$A,OperationTickets!AI:AI,"",0)),"hh:mm"))</f>
        <v>11:00</v>
      </c>
      <c r="G3398" s="309">
        <f t="shared" si="3"/>
        <v>0.8333333333</v>
      </c>
      <c r="H3398" s="316" t="str">
        <f t="array" ref="H3398">XLOOKUP(B3398,Roster!L:L,Roster!N:N,XLOOKUP(D3398,TicketsBreak!A:A,TicketsBreak!E:E,"",0),0)</f>
        <v>12:30 - 12:45</v>
      </c>
      <c r="I3398" s="316" t="str">
        <f t="array" ref="I3398">XLOOKUP(B3398,Roster!L:L,Roster!O:O,XLOOKUP(D3398,TicketsBreak!A:A,TicketsBreak!F:F,"",0),0)</f>
        <v>14:30 - 15:00</v>
      </c>
      <c r="J3398" s="316" t="str">
        <f t="array" ref="J3398">XLOOKUP(B3398,Roster!L:L,Roster!P:P,XLOOKUP(D3398,TicketsBreak!A:A,TicketsBreak!G:G,"",0),0)</f>
        <v>17:30 - 17:45</v>
      </c>
      <c r="K3398" s="310">
        <f t="shared" si="4"/>
        <v>46141</v>
      </c>
      <c r="L3398" s="317">
        <f t="array" ref="L3398">(XLOOKUP(D3398,Roster!F:F,Roster!D:D,"",0))</f>
        <v>37</v>
      </c>
      <c r="M3398" s="317" t="str">
        <f t="array" ref="M3398">XLOOKUP(D3398,Roster!F:F,Roster!E:E)</f>
        <v>Voice</v>
      </c>
      <c r="N3398" s="317" t="str">
        <f t="shared" ref="N3398:P3398" si="3445">LEFT(H3398,5)</f>
        <v>12:30</v>
      </c>
      <c r="O3398" s="317" t="str">
        <f t="shared" si="3445"/>
        <v>14:30</v>
      </c>
      <c r="P3398" s="317" t="str">
        <f t="shared" si="3445"/>
        <v>17:30</v>
      </c>
      <c r="Q3398" s="318">
        <f t="shared" si="3358"/>
        <v>46141.52083</v>
      </c>
      <c r="R3398" s="318">
        <f t="shared" si="3359"/>
        <v>46141.60417</v>
      </c>
      <c r="S3398" s="318">
        <f t="shared" si="8"/>
        <v>46141.72917</v>
      </c>
    </row>
    <row r="3399">
      <c r="A3399" s="14" t="str">
        <f t="shared" si="1"/>
        <v>C148646141</v>
      </c>
      <c r="B3399" s="185">
        <f t="array" ref="B3399">IF(F3399="VL","",IF(F3399="Free","Free",XLOOKUP(D3399,Roster!T:T,Roster!S:S,"",0)))</f>
        <v>154</v>
      </c>
      <c r="C3399" s="313">
        <v>46141.0</v>
      </c>
      <c r="D3399" s="314" t="s">
        <v>31</v>
      </c>
      <c r="E3399" s="307" t="str">
        <f t="array" ref="E3399">(XLOOKUP(D3399,Roster!F:F,Roster!B:B,"",0))</f>
        <v>Gabriel Gomez</v>
      </c>
      <c r="F3399" s="315" t="str">
        <f t="array" ref="F3399">IF(B3399=100,"Free",TEXT(XLOOKUP($D3399,OperationVoice!$A:$A,OperationVoice!AI:AI,XLOOKUP($D3399,OperationTickets!$A:$A,OperationTickets!AI:AI,"",0)),"hh:mm"))</f>
        <v>11:00</v>
      </c>
      <c r="G3399" s="309">
        <f t="shared" si="3"/>
        <v>0.8333333333</v>
      </c>
      <c r="H3399" s="316" t="str">
        <f t="array" ref="H3399">XLOOKUP(B3399,Roster!L:L,Roster!N:N,XLOOKUP(D3399,TicketsBreak!A:A,TicketsBreak!E:E,"",0),0)</f>
        <v>13:00 - 13:15</v>
      </c>
      <c r="I3399" s="316" t="str">
        <f t="array" ref="I3399">XLOOKUP(B3399,Roster!L:L,Roster!O:O,XLOOKUP(D3399,TicketsBreak!A:A,TicketsBreak!F:F,"",0),0)</f>
        <v>15:15 - 15:45</v>
      </c>
      <c r="J3399" s="316" t="str">
        <f t="array" ref="J3399">XLOOKUP(B3399,Roster!L:L,Roster!P:P,XLOOKUP(D3399,TicketsBreak!A:A,TicketsBreak!G:G,"",0),0)</f>
        <v>18:00 - 18:15</v>
      </c>
      <c r="K3399" s="310">
        <f t="shared" si="4"/>
        <v>46141</v>
      </c>
      <c r="L3399" s="317">
        <f t="array" ref="L3399">(XLOOKUP(D3399,Roster!F:F,Roster!D:D,"",0))</f>
        <v>34</v>
      </c>
      <c r="M3399" s="317" t="str">
        <f t="array" ref="M3399">XLOOKUP(D3399,Roster!F:F,Roster!E:E)</f>
        <v>Voice</v>
      </c>
      <c r="N3399" s="317" t="str">
        <f t="shared" ref="N3399:P3399" si="3446">LEFT(H3399,5)</f>
        <v>13:00</v>
      </c>
      <c r="O3399" s="317" t="str">
        <f t="shared" si="3446"/>
        <v>15:15</v>
      </c>
      <c r="P3399" s="317" t="str">
        <f t="shared" si="3446"/>
        <v>18:00</v>
      </c>
      <c r="Q3399" s="318">
        <f t="shared" si="3358"/>
        <v>46141.54167</v>
      </c>
      <c r="R3399" s="318">
        <f t="shared" si="3359"/>
        <v>46141.63542</v>
      </c>
      <c r="S3399" s="318">
        <f t="shared" si="8"/>
        <v>46141.75</v>
      </c>
    </row>
    <row r="3400">
      <c r="A3400" s="14" t="str">
        <f t="shared" si="1"/>
        <v>C136946141</v>
      </c>
      <c r="B3400" s="185">
        <f t="array" ref="B3400">IF(F3400="VL","",IF(F3400="Free","Free",XLOOKUP(D3400,Roster!T:T,Roster!S:S,"",0)))</f>
        <v>126</v>
      </c>
      <c r="C3400" s="313">
        <v>46141.0</v>
      </c>
      <c r="D3400" s="314" t="s">
        <v>157</v>
      </c>
      <c r="E3400" s="307" t="str">
        <f t="array" ref="E3400">(XLOOKUP(D3400,Roster!F:F,Roster!B:B,"",0))</f>
        <v>Gabriela Jimenez</v>
      </c>
      <c r="F3400" s="315" t="str">
        <f t="array" ref="F3400">IF(B3400=100,"Free",TEXT(XLOOKUP($D3400,OperationVoice!$A:$A,OperationVoice!AI:AI,XLOOKUP($D3400,OperationTickets!$A:$A,OperationTickets!AI:AI,"",0)),"hh:mm"))</f>
        <v>08:00</v>
      </c>
      <c r="G3400" s="309">
        <f t="shared" si="3"/>
        <v>0.7083333333</v>
      </c>
      <c r="H3400" s="316" t="str">
        <f t="array" ref="H3400">XLOOKUP(B3400,Roster!L:L,Roster!N:N,XLOOKUP(D3400,TicketsBreak!A:A,TicketsBreak!E:E,"",0),0)</f>
        <v>10:45 - 11:00</v>
      </c>
      <c r="I3400" s="316" t="str">
        <f t="array" ref="I3400">XLOOKUP(B3400,Roster!L:L,Roster!O:O,XLOOKUP(D3400,TicketsBreak!A:A,TicketsBreak!F:F,"",0),0)</f>
        <v>14:00 - 14:30</v>
      </c>
      <c r="J3400" s="316" t="str">
        <f t="array" ref="J3400">XLOOKUP(B3400,Roster!L:L,Roster!P:P,XLOOKUP(D3400,TicketsBreak!A:A,TicketsBreak!G:G,"",0),0)</f>
        <v>15:45 - 16:00</v>
      </c>
      <c r="K3400" s="310">
        <f t="shared" si="4"/>
        <v>46141</v>
      </c>
      <c r="L3400" s="317">
        <f t="array" ref="L3400">(XLOOKUP(D3400,Roster!F:F,Roster!D:D,"",0))</f>
        <v>31</v>
      </c>
      <c r="M3400" s="317" t="str">
        <f t="array" ref="M3400">XLOOKUP(D3400,Roster!F:F,Roster!E:E)</f>
        <v>Tickets</v>
      </c>
      <c r="N3400" s="317" t="str">
        <f t="shared" ref="N3400:P3400" si="3447">LEFT(H3400,5)</f>
        <v>10:45</v>
      </c>
      <c r="O3400" s="317" t="str">
        <f t="shared" si="3447"/>
        <v>14:00</v>
      </c>
      <c r="P3400" s="317" t="str">
        <f t="shared" si="3447"/>
        <v>15:45</v>
      </c>
      <c r="Q3400" s="318">
        <f t="shared" si="3358"/>
        <v>46141.44792</v>
      </c>
      <c r="R3400" s="318">
        <f t="shared" si="3359"/>
        <v>46141.58333</v>
      </c>
      <c r="S3400" s="318">
        <f t="shared" si="8"/>
        <v>46141.65625</v>
      </c>
    </row>
    <row r="3401">
      <c r="A3401" s="14" t="str">
        <f t="shared" si="1"/>
        <v>C101746141</v>
      </c>
      <c r="B3401" s="185">
        <f t="array" ref="B3401">IF(F3401="VL","",IF(F3401="Free","Free",XLOOKUP(D3401,Roster!T:T,Roster!S:S,"",0)))</f>
        <v>121</v>
      </c>
      <c r="C3401" s="313">
        <v>46141.0</v>
      </c>
      <c r="D3401" s="314" t="s">
        <v>32</v>
      </c>
      <c r="E3401" s="307" t="str">
        <f t="array" ref="E3401">(XLOOKUP(D3401,Roster!F:F,Roster!B:B,"",0))</f>
        <v>Geraldine Correa</v>
      </c>
      <c r="F3401" s="315" t="str">
        <f t="array" ref="F3401">IF(B3401=100,"Free",TEXT(XLOOKUP($D3401,OperationVoice!$A:$A,OperationVoice!AI:AI,XLOOKUP($D3401,OperationTickets!$A:$A,OperationTickets!AI:AI,"",0)),"hh:mm"))</f>
        <v>08:00</v>
      </c>
      <c r="G3401" s="309">
        <f t="shared" si="3"/>
        <v>0.7083333333</v>
      </c>
      <c r="H3401" s="316" t="str">
        <f t="array" ref="H3401">XLOOKUP(B3401,Roster!L:L,Roster!N:N,XLOOKUP(D3401,TicketsBreak!A:A,TicketsBreak!E:E,"",0),0)</f>
        <v>09:15 - 09:30</v>
      </c>
      <c r="I3401" s="316" t="str">
        <f t="array" ref="I3401">XLOOKUP(B3401,Roster!L:L,Roster!O:O,XLOOKUP(D3401,TicketsBreak!A:A,TicketsBreak!F:F,"",0),0)</f>
        <v>11:30 - 12:00</v>
      </c>
      <c r="J3401" s="316" t="str">
        <f t="array" ref="J3401">XLOOKUP(B3401,Roster!L:L,Roster!P:P,XLOOKUP(D3401,TicketsBreak!A:A,TicketsBreak!G:G,"",0),0)</f>
        <v>14:30 - 14:45</v>
      </c>
      <c r="K3401" s="310">
        <f t="shared" si="4"/>
        <v>46141</v>
      </c>
      <c r="L3401" s="317">
        <f t="array" ref="L3401">(XLOOKUP(D3401,Roster!F:F,Roster!D:D,"",0))</f>
        <v>23</v>
      </c>
      <c r="M3401" s="317" t="str">
        <f t="array" ref="M3401">XLOOKUP(D3401,Roster!F:F,Roster!E:E)</f>
        <v>Voice</v>
      </c>
      <c r="N3401" s="317" t="str">
        <f t="shared" ref="N3401:P3401" si="3448">LEFT(H3401,5)</f>
        <v>09:15</v>
      </c>
      <c r="O3401" s="317" t="str">
        <f t="shared" si="3448"/>
        <v>11:30</v>
      </c>
      <c r="P3401" s="317" t="str">
        <f t="shared" si="3448"/>
        <v>14:30</v>
      </c>
      <c r="Q3401" s="318">
        <f t="shared" si="3358"/>
        <v>46141.38542</v>
      </c>
      <c r="R3401" s="318">
        <f t="shared" si="3359"/>
        <v>46141.47917</v>
      </c>
      <c r="S3401" s="318">
        <f t="shared" si="8"/>
        <v>46141.60417</v>
      </c>
    </row>
    <row r="3402">
      <c r="A3402" s="14" t="str">
        <f t="shared" si="1"/>
        <v>C154146141</v>
      </c>
      <c r="B3402" s="185" t="str">
        <f t="array" ref="B3402">IF(F3402="VL","",IF(F3402="Free","Free",XLOOKUP(D3402,Roster!T:T,Roster!S:S,"",0)))</f>
        <v>Free</v>
      </c>
      <c r="C3402" s="313">
        <v>46141.0</v>
      </c>
      <c r="D3402" s="314" t="s">
        <v>33</v>
      </c>
      <c r="E3402" s="307" t="str">
        <f t="array" ref="E3402">(XLOOKUP(D3402,Roster!F:F,Roster!B:B,"",0))</f>
        <v>Gisel Moya</v>
      </c>
      <c r="F3402" s="315" t="str">
        <f t="array" ref="F3402">IF(B3402=100,"Free",TEXT(XLOOKUP($D3402,OperationVoice!$A:$A,OperationVoice!AI:AI,XLOOKUP($D3402,OperationTickets!$A:$A,OperationTickets!AI:AI,"",0)),"hh:mm"))</f>
        <v>Free</v>
      </c>
      <c r="G3402" s="309" t="str">
        <f t="shared" si="3"/>
        <v>Free</v>
      </c>
      <c r="H3402" s="316" t="str">
        <f t="array" ref="H3402">XLOOKUP(B3402,Roster!L:L,Roster!N:N,XLOOKUP(D3402,TicketsBreak!A:A,TicketsBreak!E:E,"",0),0)</f>
        <v/>
      </c>
      <c r="I3402" s="316" t="str">
        <f t="array" ref="I3402">XLOOKUP(B3402,Roster!L:L,Roster!O:O,XLOOKUP(D3402,TicketsBreak!A:A,TicketsBreak!F:F,"",0),0)</f>
        <v/>
      </c>
      <c r="J3402" s="316" t="str">
        <f t="array" ref="J3402">XLOOKUP(B3402,Roster!L:L,Roster!P:P,XLOOKUP(D3402,TicketsBreak!A:A,TicketsBreak!G:G,"",0),0)</f>
        <v/>
      </c>
      <c r="K3402" s="310">
        <f t="shared" si="4"/>
        <v>46141</v>
      </c>
      <c r="L3402" s="317">
        <f t="array" ref="L3402">(XLOOKUP(D3402,Roster!F:F,Roster!D:D,"",0))</f>
        <v>36</v>
      </c>
      <c r="M3402" s="317" t="str">
        <f t="array" ref="M3402">XLOOKUP(D3402,Roster!F:F,Roster!E:E)</f>
        <v>Voice</v>
      </c>
      <c r="N3402" s="317" t="str">
        <f t="shared" ref="N3402:P3402" si="3449">LEFT(H3402,5)</f>
        <v/>
      </c>
      <c r="O3402" s="317" t="str">
        <f t="shared" si="3449"/>
        <v/>
      </c>
      <c r="P3402" s="317" t="str">
        <f t="shared" si="3449"/>
        <v/>
      </c>
      <c r="Q3402" s="318" t="str">
        <f t="shared" si="3358"/>
        <v/>
      </c>
      <c r="R3402" s="318" t="str">
        <f t="shared" si="3359"/>
        <v/>
      </c>
      <c r="S3402" s="318" t="str">
        <f t="shared" si="8"/>
        <v/>
      </c>
    </row>
    <row r="3403">
      <c r="A3403" s="14" t="str">
        <f t="shared" si="1"/>
        <v>C86046141</v>
      </c>
      <c r="B3403" s="185" t="str">
        <f t="array" ref="B3403">IF(F3403="VL","",IF(F3403="Free","Free",XLOOKUP(D3403,Roster!T:T,Roster!S:S,"",0)))</f>
        <v/>
      </c>
      <c r="C3403" s="313">
        <v>46141.0</v>
      </c>
      <c r="D3403" s="314" t="s">
        <v>158</v>
      </c>
      <c r="E3403" s="307" t="str">
        <f t="array" ref="E3403">(XLOOKUP(D3403,Roster!F:F,Roster!B:B,"",0))</f>
        <v>Ief Fabre</v>
      </c>
      <c r="F3403" s="315" t="str">
        <f t="array" ref="F3403">IF(B3403=100,"Free",TEXT(XLOOKUP($D3403,OperationVoice!$A:$A,OperationVoice!AI:AI,XLOOKUP($D3403,OperationTickets!$A:$A,OperationTickets!AI:AI,"",0)),"hh:mm"))</f>
        <v>08:00</v>
      </c>
      <c r="G3403" s="309">
        <f t="shared" si="3"/>
        <v>0.7083333333</v>
      </c>
      <c r="H3403" s="316">
        <f t="array" ref="H3403">XLOOKUP(B3403,Roster!L:L,Roster!N:N,XLOOKUP(D3403,TicketsBreak!A:A,TicketsBreak!E:E,"",0),0)</f>
        <v>0.4166666667</v>
      </c>
      <c r="I3403" s="316">
        <f t="array" ref="I3403">XLOOKUP(B3403,Roster!L:L,Roster!O:O,XLOOKUP(D3403,TicketsBreak!A:A,TicketsBreak!F:F,"",0),0)</f>
        <v>0.5</v>
      </c>
      <c r="J3403" s="316">
        <f t="array" ref="J3403">XLOOKUP(B3403,Roster!L:L,Roster!P:P,XLOOKUP(D3403,TicketsBreak!A:A,TicketsBreak!G:G,"",0),0)</f>
        <v>0.625</v>
      </c>
      <c r="K3403" s="310">
        <f t="shared" si="4"/>
        <v>46141</v>
      </c>
      <c r="L3403" s="317">
        <f t="array" ref="L3403">(XLOOKUP(D3403,Roster!F:F,Roster!D:D,"",0))</f>
        <v>10</v>
      </c>
      <c r="M3403" s="317" t="str">
        <f t="array" ref="M3403">XLOOKUP(D3403,Roster!F:F,Roster!E:E)</f>
        <v>Tickets</v>
      </c>
      <c r="N3403" s="317" t="str">
        <f t="shared" ref="N3403:P3403" si="3450">LEFT(H3403,5)</f>
        <v>10:00</v>
      </c>
      <c r="O3403" s="317" t="str">
        <f t="shared" si="3450"/>
        <v>12:00</v>
      </c>
      <c r="P3403" s="317" t="str">
        <f t="shared" si="3450"/>
        <v>15:00</v>
      </c>
      <c r="Q3403" s="318">
        <f t="shared" si="3358"/>
        <v>46141.41667</v>
      </c>
      <c r="R3403" s="318">
        <f t="shared" si="3359"/>
        <v>46141.5</v>
      </c>
      <c r="S3403" s="318">
        <f t="shared" si="8"/>
        <v>46141.625</v>
      </c>
    </row>
    <row r="3404">
      <c r="A3404" s="14" t="str">
        <f t="shared" si="1"/>
        <v>C148146141</v>
      </c>
      <c r="B3404" s="185">
        <f t="array" ref="B3404">IF(F3404="VL","",IF(F3404="Free","Free",XLOOKUP(D3404,Roster!T:T,Roster!S:S,"",0)))</f>
        <v>155</v>
      </c>
      <c r="C3404" s="313">
        <v>46141.0</v>
      </c>
      <c r="D3404" s="314" t="s">
        <v>34</v>
      </c>
      <c r="E3404" s="307" t="str">
        <f t="array" ref="E3404">(XLOOKUP(D3404,Roster!F:F,Roster!B:B,"",0))</f>
        <v>Jasam Mejia</v>
      </c>
      <c r="F3404" s="315" t="str">
        <f t="array" ref="F3404">IF(B3404=100,"Free",TEXT(XLOOKUP($D3404,OperationVoice!$A:$A,OperationVoice!AI:AI,XLOOKUP($D3404,OperationTickets!$A:$A,OperationTickets!AI:AI,"",0)),"hh:mm"))</f>
        <v>11:00</v>
      </c>
      <c r="G3404" s="309">
        <f t="shared" si="3"/>
        <v>0.8333333333</v>
      </c>
      <c r="H3404" s="316" t="str">
        <f t="array" ref="H3404">XLOOKUP(B3404,Roster!L:L,Roster!N:N,XLOOKUP(D3404,TicketsBreak!A:A,TicketsBreak!E:E,"",0),0)</f>
        <v>13:15 - 13:30</v>
      </c>
      <c r="I3404" s="316" t="str">
        <f t="array" ref="I3404">XLOOKUP(B3404,Roster!L:L,Roster!O:O,XLOOKUP(D3404,TicketsBreak!A:A,TicketsBreak!F:F,"",0),0)</f>
        <v>15:45 - 16:15</v>
      </c>
      <c r="J3404" s="316" t="str">
        <f t="array" ref="J3404">XLOOKUP(B3404,Roster!L:L,Roster!P:P,XLOOKUP(D3404,TicketsBreak!A:A,TicketsBreak!G:G,"",0),0)</f>
        <v>18:15 - 18:30</v>
      </c>
      <c r="K3404" s="310">
        <f t="shared" si="4"/>
        <v>46141</v>
      </c>
      <c r="L3404" s="317">
        <f t="array" ref="L3404">(XLOOKUP(D3404,Roster!F:F,Roster!D:D,"",0))</f>
        <v>34</v>
      </c>
      <c r="M3404" s="317" t="str">
        <f t="array" ref="M3404">XLOOKUP(D3404,Roster!F:F,Roster!E:E)</f>
        <v>Voice</v>
      </c>
      <c r="N3404" s="317" t="str">
        <f t="shared" ref="N3404:P3404" si="3451">LEFT(H3404,5)</f>
        <v>13:15</v>
      </c>
      <c r="O3404" s="317" t="str">
        <f t="shared" si="3451"/>
        <v>15:45</v>
      </c>
      <c r="P3404" s="317" t="str">
        <f t="shared" si="3451"/>
        <v>18:15</v>
      </c>
      <c r="Q3404" s="318">
        <f t="shared" si="3358"/>
        <v>46141.55208</v>
      </c>
      <c r="R3404" s="318">
        <f t="shared" si="3359"/>
        <v>46141.65625</v>
      </c>
      <c r="S3404" s="318">
        <f t="shared" si="8"/>
        <v>46141.76042</v>
      </c>
    </row>
    <row r="3405">
      <c r="A3405" s="14" t="str">
        <f t="shared" si="1"/>
        <v>C131846141</v>
      </c>
      <c r="B3405" s="185" t="str">
        <f t="array" ref="B3405">IF(F3405="VL","",IF(F3405="Free","Free",XLOOKUP(D3405,Roster!T:T,Roster!S:S,"",0)))</f>
        <v/>
      </c>
      <c r="C3405" s="313">
        <v>46141.0</v>
      </c>
      <c r="D3405" s="314" t="s">
        <v>159</v>
      </c>
      <c r="E3405" s="307" t="str">
        <f t="array" ref="E3405">(XLOOKUP(D3405,Roster!F:F,Roster!B:B,"",0))</f>
        <v>Jeampierre Jaramillo</v>
      </c>
      <c r="F3405" s="315" t="str">
        <f t="array" ref="F3405">IF(B3405=100,"Free",TEXT(XLOOKUP($D3405,OperationVoice!$A:$A,OperationVoice!AI:AI,XLOOKUP($D3405,OperationTickets!$A:$A,OperationTickets!AI:AI,"",0)),"hh:mm"))</f>
        <v>07:00</v>
      </c>
      <c r="G3405" s="309">
        <f t="shared" si="3"/>
        <v>0.6666666667</v>
      </c>
      <c r="H3405" s="316" t="str">
        <f t="array" ref="H3405">XLOOKUP(B3405,Roster!L:L,Roster!N:N,XLOOKUP(D3405,TicketsBreak!A:A,TicketsBreak!E:E,"",0),0)</f>
        <v/>
      </c>
      <c r="I3405" s="316" t="str">
        <f t="array" ref="I3405">XLOOKUP(B3405,Roster!L:L,Roster!O:O,XLOOKUP(D3405,TicketsBreak!A:A,TicketsBreak!F:F,"",0),0)</f>
        <v/>
      </c>
      <c r="J3405" s="316" t="str">
        <f t="array" ref="J3405">XLOOKUP(B3405,Roster!L:L,Roster!P:P,XLOOKUP(D3405,TicketsBreak!A:A,TicketsBreak!G:G,"",0),0)</f>
        <v/>
      </c>
      <c r="K3405" s="310">
        <f t="shared" si="4"/>
        <v>46141</v>
      </c>
      <c r="L3405" s="317">
        <f t="array" ref="L3405">(XLOOKUP(D3405,Roster!F:F,Roster!D:D,"",0))</f>
        <v>29</v>
      </c>
      <c r="M3405" s="317" t="str">
        <f t="array" ref="M3405">XLOOKUP(D3405,Roster!F:F,Roster!E:E)</f>
        <v>Tickets</v>
      </c>
      <c r="N3405" s="317" t="str">
        <f t="shared" ref="N3405:P3405" si="3452">LEFT(H3405,5)</f>
        <v/>
      </c>
      <c r="O3405" s="317" t="str">
        <f t="shared" si="3452"/>
        <v/>
      </c>
      <c r="P3405" s="317" t="str">
        <f t="shared" si="3452"/>
        <v/>
      </c>
      <c r="Q3405" s="318" t="str">
        <f t="shared" si="3358"/>
        <v/>
      </c>
      <c r="R3405" s="318" t="str">
        <f t="shared" si="3359"/>
        <v/>
      </c>
      <c r="S3405" s="318" t="str">
        <f t="shared" si="8"/>
        <v/>
      </c>
    </row>
    <row r="3406">
      <c r="A3406" s="14" t="str">
        <f t="shared" si="1"/>
        <v>C155046141</v>
      </c>
      <c r="B3406" s="185">
        <f t="array" ref="B3406">IF(F3406="VL","",IF(F3406="Free","Free",XLOOKUP(D3406,Roster!T:T,Roster!S:S,"",0)))</f>
        <v>126</v>
      </c>
      <c r="C3406" s="313">
        <v>46141.0</v>
      </c>
      <c r="D3406" s="314" t="s">
        <v>35</v>
      </c>
      <c r="E3406" s="307" t="str">
        <f t="array" ref="E3406">(XLOOKUP(D3406,Roster!F:F,Roster!B:B,"",0))</f>
        <v>Jeidin Vargas</v>
      </c>
      <c r="F3406" s="315" t="str">
        <f t="array" ref="F3406">IF(B3406=100,"Free",TEXT(XLOOKUP($D3406,OperationVoice!$A:$A,OperationVoice!AI:AI,XLOOKUP($D3406,OperationTickets!$A:$A,OperationTickets!AI:AI,"",0)),"hh:mm"))</f>
        <v>08:00</v>
      </c>
      <c r="G3406" s="309">
        <f t="shared" si="3"/>
        <v>0.7083333333</v>
      </c>
      <c r="H3406" s="316" t="str">
        <f t="array" ref="H3406">XLOOKUP(B3406,Roster!L:L,Roster!N:N,XLOOKUP(D3406,TicketsBreak!A:A,TicketsBreak!E:E,"",0),0)</f>
        <v>10:45 - 11:00</v>
      </c>
      <c r="I3406" s="316" t="str">
        <f t="array" ref="I3406">XLOOKUP(B3406,Roster!L:L,Roster!O:O,XLOOKUP(D3406,TicketsBreak!A:A,TicketsBreak!F:F,"",0),0)</f>
        <v>14:00 - 14:30</v>
      </c>
      <c r="J3406" s="316" t="str">
        <f t="array" ref="J3406">XLOOKUP(B3406,Roster!L:L,Roster!P:P,XLOOKUP(D3406,TicketsBreak!A:A,TicketsBreak!G:G,"",0),0)</f>
        <v>15:45 - 16:00</v>
      </c>
      <c r="K3406" s="310">
        <f t="shared" si="4"/>
        <v>46141</v>
      </c>
      <c r="L3406" s="317">
        <f t="array" ref="L3406">(XLOOKUP(D3406,Roster!F:F,Roster!D:D,"",0))</f>
        <v>37</v>
      </c>
      <c r="M3406" s="317" t="str">
        <f t="array" ref="M3406">XLOOKUP(D3406,Roster!F:F,Roster!E:E)</f>
        <v>Voice</v>
      </c>
      <c r="N3406" s="317" t="str">
        <f t="shared" ref="N3406:P3406" si="3453">LEFT(H3406,5)</f>
        <v>10:45</v>
      </c>
      <c r="O3406" s="317" t="str">
        <f t="shared" si="3453"/>
        <v>14:00</v>
      </c>
      <c r="P3406" s="317" t="str">
        <f t="shared" si="3453"/>
        <v>15:45</v>
      </c>
      <c r="Q3406" s="318">
        <f t="shared" si="3358"/>
        <v>46141.44792</v>
      </c>
      <c r="R3406" s="318">
        <f t="shared" si="3359"/>
        <v>46141.58333</v>
      </c>
      <c r="S3406" s="318">
        <f t="shared" si="8"/>
        <v>46141.65625</v>
      </c>
    </row>
    <row r="3407">
      <c r="A3407" s="14" t="str">
        <f t="shared" si="1"/>
        <v>C51246141</v>
      </c>
      <c r="B3407" s="185">
        <f t="array" ref="B3407">IF(F3407="VL","",IF(F3407="Free","Free",XLOOKUP(D3407,Roster!T:T,Roster!S:S,"",0)))</f>
        <v>122</v>
      </c>
      <c r="C3407" s="313">
        <v>46141.0</v>
      </c>
      <c r="D3407" s="314" t="s">
        <v>36</v>
      </c>
      <c r="E3407" s="307" t="str">
        <f t="array" ref="E3407">(XLOOKUP(D3407,Roster!F:F,Roster!B:B,"",0))</f>
        <v>Jhoam Quiroz</v>
      </c>
      <c r="F3407" s="315" t="str">
        <f t="array" ref="F3407">IF(B3407=100,"Free",TEXT(XLOOKUP($D3407,OperationVoice!$A:$A,OperationVoice!AI:AI,XLOOKUP($D3407,OperationTickets!$A:$A,OperationTickets!AI:AI,"",0)),"hh:mm"))</f>
        <v>08:00</v>
      </c>
      <c r="G3407" s="309">
        <f t="shared" si="3"/>
        <v>0.7083333333</v>
      </c>
      <c r="H3407" s="316" t="str">
        <f t="array" ref="H3407">XLOOKUP(B3407,Roster!L:L,Roster!N:N,XLOOKUP(D3407,TicketsBreak!A:A,TicketsBreak!E:E,"",0),0)</f>
        <v>09:30 - 09:45</v>
      </c>
      <c r="I3407" s="316" t="str">
        <f t="array" ref="I3407">XLOOKUP(B3407,Roster!L:L,Roster!O:O,XLOOKUP(D3407,TicketsBreak!A:A,TicketsBreak!F:F,"",0),0)</f>
        <v>12:00 - 12:30</v>
      </c>
      <c r="J3407" s="316" t="str">
        <f t="array" ref="J3407">XLOOKUP(B3407,Roster!L:L,Roster!P:P,XLOOKUP(D3407,TicketsBreak!A:A,TicketsBreak!G:G,"",0),0)</f>
        <v>14:45 - 15:00</v>
      </c>
      <c r="K3407" s="310">
        <f t="shared" si="4"/>
        <v>46141</v>
      </c>
      <c r="L3407" s="317">
        <f t="array" ref="L3407">(XLOOKUP(D3407,Roster!F:F,Roster!D:D,"",0))</f>
        <v>1</v>
      </c>
      <c r="M3407" s="317" t="str">
        <f t="array" ref="M3407">XLOOKUP(D3407,Roster!F:F,Roster!E:E)</f>
        <v>Voice</v>
      </c>
      <c r="N3407" s="317" t="str">
        <f t="shared" ref="N3407:P3407" si="3454">LEFT(H3407,5)</f>
        <v>09:30</v>
      </c>
      <c r="O3407" s="317" t="str">
        <f t="shared" si="3454"/>
        <v>12:00</v>
      </c>
      <c r="P3407" s="317" t="str">
        <f t="shared" si="3454"/>
        <v>14:45</v>
      </c>
      <c r="Q3407" s="318">
        <f t="shared" si="3358"/>
        <v>46141.39583</v>
      </c>
      <c r="R3407" s="318">
        <f t="shared" si="3359"/>
        <v>46141.5</v>
      </c>
      <c r="S3407" s="318">
        <f t="shared" si="8"/>
        <v>46141.61458</v>
      </c>
    </row>
    <row r="3408">
      <c r="A3408" s="14" t="str">
        <f t="shared" si="1"/>
        <v>C150946141</v>
      </c>
      <c r="B3408" s="185">
        <f t="array" ref="B3408">IF(F3408="VL","",IF(F3408="Free","Free",XLOOKUP(D3408,Roster!T:T,Roster!S:S,"",0)))</f>
        <v>121</v>
      </c>
      <c r="C3408" s="313">
        <v>46141.0</v>
      </c>
      <c r="D3408" s="314" t="s">
        <v>37</v>
      </c>
      <c r="E3408" s="307" t="str">
        <f t="array" ref="E3408">(XLOOKUP(D3408,Roster!F:F,Roster!B:B,"",0))</f>
        <v>Jhonatan Gomez</v>
      </c>
      <c r="F3408" s="315" t="str">
        <f t="array" ref="F3408">IF(B3408=100,"Free",TEXT(XLOOKUP($D3408,OperationVoice!$A:$A,OperationVoice!AI:AI,XLOOKUP($D3408,OperationTickets!$A:$A,OperationTickets!AI:AI,"",0)),"hh:mm"))</f>
        <v>08:00</v>
      </c>
      <c r="G3408" s="309">
        <f t="shared" si="3"/>
        <v>0.7083333333</v>
      </c>
      <c r="H3408" s="316" t="str">
        <f t="array" ref="H3408">XLOOKUP(B3408,Roster!L:L,Roster!N:N,XLOOKUP(D3408,TicketsBreak!A:A,TicketsBreak!E:E,"",0),0)</f>
        <v>09:15 - 09:30</v>
      </c>
      <c r="I3408" s="316" t="str">
        <f t="array" ref="I3408">XLOOKUP(B3408,Roster!L:L,Roster!O:O,XLOOKUP(D3408,TicketsBreak!A:A,TicketsBreak!F:F,"",0),0)</f>
        <v>11:30 - 12:00</v>
      </c>
      <c r="J3408" s="316" t="str">
        <f t="array" ref="J3408">XLOOKUP(B3408,Roster!L:L,Roster!P:P,XLOOKUP(D3408,TicketsBreak!A:A,TicketsBreak!G:G,"",0),0)</f>
        <v>14:30 - 14:45</v>
      </c>
      <c r="K3408" s="310">
        <f t="shared" si="4"/>
        <v>46141</v>
      </c>
      <c r="L3408" s="317">
        <f t="array" ref="L3408">(XLOOKUP(D3408,Roster!F:F,Roster!D:D,"",0))</f>
        <v>35</v>
      </c>
      <c r="M3408" s="317" t="str">
        <f t="array" ref="M3408">XLOOKUP(D3408,Roster!F:F,Roster!E:E)</f>
        <v>Voice</v>
      </c>
      <c r="N3408" s="317" t="str">
        <f t="shared" ref="N3408:P3408" si="3455">LEFT(H3408,5)</f>
        <v>09:15</v>
      </c>
      <c r="O3408" s="317" t="str">
        <f t="shared" si="3455"/>
        <v>11:30</v>
      </c>
      <c r="P3408" s="317" t="str">
        <f t="shared" si="3455"/>
        <v>14:30</v>
      </c>
      <c r="Q3408" s="318">
        <f t="shared" si="3358"/>
        <v>46141.38542</v>
      </c>
      <c r="R3408" s="318">
        <f t="shared" si="3359"/>
        <v>46141.47917</v>
      </c>
      <c r="S3408" s="318">
        <f t="shared" si="8"/>
        <v>46141.60417</v>
      </c>
    </row>
    <row r="3409">
      <c r="A3409" s="14" t="str">
        <f t="shared" si="1"/>
        <v>C151546141</v>
      </c>
      <c r="B3409" s="185">
        <f t="array" ref="B3409">IF(F3409="VL","",IF(F3409="Free","Free",XLOOKUP(D3409,Roster!T:T,Roster!S:S,"",0)))</f>
        <v>151</v>
      </c>
      <c r="C3409" s="313">
        <v>46141.0</v>
      </c>
      <c r="D3409" s="314" t="s">
        <v>38</v>
      </c>
      <c r="E3409" s="307" t="str">
        <f t="array" ref="E3409">(XLOOKUP(D3409,Roster!F:F,Roster!B:B,"",0))</f>
        <v>Joan Perez</v>
      </c>
      <c r="F3409" s="315" t="str">
        <f t="array" ref="F3409">IF(B3409=100,"Free",TEXT(XLOOKUP($D3409,OperationVoice!$A:$A,OperationVoice!AI:AI,XLOOKUP($D3409,OperationTickets!$A:$A,OperationTickets!AI:AI,"",0)),"hh:mm"))</f>
        <v/>
      </c>
      <c r="G3409" s="309" t="str">
        <f t="shared" si="3"/>
        <v/>
      </c>
      <c r="H3409" s="316" t="str">
        <f t="array" ref="H3409">XLOOKUP(B3409,Roster!L:L,Roster!N:N,XLOOKUP(D3409,TicketsBreak!A:A,TicketsBreak!E:E,"",0),0)</f>
        <v>12:15 - 12:30</v>
      </c>
      <c r="I3409" s="316" t="str">
        <f t="array" ref="I3409">XLOOKUP(B3409,Roster!L:L,Roster!O:O,XLOOKUP(D3409,TicketsBreak!A:A,TicketsBreak!F:F,"",0),0)</f>
        <v>14:00 - 14:30</v>
      </c>
      <c r="J3409" s="316" t="str">
        <f t="array" ref="J3409">XLOOKUP(B3409,Roster!L:L,Roster!P:P,XLOOKUP(D3409,TicketsBreak!A:A,TicketsBreak!G:G,"",0),0)</f>
        <v>17:15 - 17:30</v>
      </c>
      <c r="K3409" s="310">
        <f t="shared" si="4"/>
        <v>46141</v>
      </c>
      <c r="L3409" s="317">
        <f t="array" ref="L3409">(XLOOKUP(D3409,Roster!F:F,Roster!D:D,"",0))</f>
        <v>35</v>
      </c>
      <c r="M3409" s="317" t="str">
        <f t="array" ref="M3409">XLOOKUP(D3409,Roster!F:F,Roster!E:E)</f>
        <v>Voice</v>
      </c>
      <c r="N3409" s="317" t="str">
        <f t="shared" ref="N3409:P3409" si="3456">LEFT(H3409,5)</f>
        <v>12:15</v>
      </c>
      <c r="O3409" s="317" t="str">
        <f t="shared" si="3456"/>
        <v>14:00</v>
      </c>
      <c r="P3409" s="317" t="str">
        <f t="shared" si="3456"/>
        <v>17:15</v>
      </c>
      <c r="Q3409" s="318">
        <f t="shared" si="3358"/>
        <v>46141.51042</v>
      </c>
      <c r="R3409" s="318">
        <f t="shared" si="3359"/>
        <v>46141.58333</v>
      </c>
      <c r="S3409" s="318">
        <f t="shared" si="8"/>
        <v>46141.71875</v>
      </c>
    </row>
    <row r="3410">
      <c r="A3410" s="14" t="str">
        <f t="shared" si="1"/>
        <v>C128946141</v>
      </c>
      <c r="B3410" s="185" t="str">
        <f t="array" ref="B3410">IF(F3410="VL","",IF(F3410="Free","Free",XLOOKUP(D3410,Roster!T:T,Roster!S:S,"",0)))</f>
        <v/>
      </c>
      <c r="C3410" s="313">
        <v>46141.0</v>
      </c>
      <c r="D3410" s="314" t="s">
        <v>140</v>
      </c>
      <c r="E3410" s="307" t="str">
        <f t="array" ref="E3410">(XLOOKUP(D3410,Roster!F:F,Roster!B:B,"",0))</f>
        <v>Johana Villarreal</v>
      </c>
      <c r="F3410" s="315" t="str">
        <f t="array" ref="F3410">IF(B3410=100,"Free",TEXT(XLOOKUP($D3410,OperationVoice!$A:$A,OperationVoice!AI:AI,XLOOKUP($D3410,OperationTickets!$A:$A,OperationTickets!AI:AI,"",0)),"hh:mm"))</f>
        <v>07:00</v>
      </c>
      <c r="G3410" s="309">
        <f t="shared" si="3"/>
        <v>0.6666666667</v>
      </c>
      <c r="H3410" s="316" t="str">
        <f t="array" ref="H3410">XLOOKUP(B3410,Roster!L:L,Roster!N:N,XLOOKUP(D3410,TicketsBreak!A:A,TicketsBreak!E:E,"",0),0)</f>
        <v/>
      </c>
      <c r="I3410" s="316" t="str">
        <f t="array" ref="I3410">XLOOKUP(B3410,Roster!L:L,Roster!O:O,XLOOKUP(D3410,TicketsBreak!A:A,TicketsBreak!F:F,"",0),0)</f>
        <v/>
      </c>
      <c r="J3410" s="316" t="str">
        <f t="array" ref="J3410">XLOOKUP(B3410,Roster!L:L,Roster!P:P,XLOOKUP(D3410,TicketsBreak!A:A,TicketsBreak!G:G,"",0),0)</f>
        <v/>
      </c>
      <c r="K3410" s="310">
        <f t="shared" si="4"/>
        <v>46141</v>
      </c>
      <c r="L3410" s="317">
        <f t="array" ref="L3410">(XLOOKUP(D3410,Roster!F:F,Roster!D:D,"",0))</f>
        <v>28</v>
      </c>
      <c r="M3410" s="317" t="str">
        <f t="array" ref="M3410">XLOOKUP(D3410,Roster!F:F,Roster!E:E)</f>
        <v>Tickets</v>
      </c>
      <c r="N3410" s="317" t="str">
        <f t="shared" ref="N3410:P3410" si="3457">LEFT(H3410,5)</f>
        <v/>
      </c>
      <c r="O3410" s="317" t="str">
        <f t="shared" si="3457"/>
        <v/>
      </c>
      <c r="P3410" s="317" t="str">
        <f t="shared" si="3457"/>
        <v/>
      </c>
      <c r="Q3410" s="318" t="str">
        <f t="shared" si="3358"/>
        <v/>
      </c>
      <c r="R3410" s="318" t="str">
        <f t="shared" si="3359"/>
        <v/>
      </c>
      <c r="S3410" s="318" t="str">
        <f t="shared" si="8"/>
        <v/>
      </c>
    </row>
    <row r="3411">
      <c r="A3411" s="14" t="str">
        <f t="shared" si="1"/>
        <v>C155146141</v>
      </c>
      <c r="B3411" s="185">
        <f t="array" ref="B3411">IF(F3411="VL","",IF(F3411="Free","Free",XLOOKUP(D3411,Roster!T:T,Roster!S:S,"",0)))</f>
        <v>124</v>
      </c>
      <c r="C3411" s="313">
        <v>46141.0</v>
      </c>
      <c r="D3411" s="314" t="s">
        <v>39</v>
      </c>
      <c r="E3411" s="307" t="str">
        <f t="array" ref="E3411">(XLOOKUP(D3411,Roster!F:F,Roster!B:B,"",0))</f>
        <v>John Atilano</v>
      </c>
      <c r="F3411" s="315" t="str">
        <f t="array" ref="F3411">IF(B3411=100,"Free",TEXT(XLOOKUP($D3411,OperationVoice!$A:$A,OperationVoice!AI:AI,XLOOKUP($D3411,OperationTickets!$A:$A,OperationTickets!AI:AI,"",0)),"hh:mm"))</f>
        <v>08:00</v>
      </c>
      <c r="G3411" s="309">
        <f t="shared" si="3"/>
        <v>0.7083333333</v>
      </c>
      <c r="H3411" s="316" t="str">
        <f t="array" ref="H3411">XLOOKUP(B3411,Roster!L:L,Roster!N:N,XLOOKUP(D3411,TicketsBreak!A:A,TicketsBreak!E:E,"",0),0)</f>
        <v>10:00 - 10:15</v>
      </c>
      <c r="I3411" s="316" t="str">
        <f t="array" ref="I3411">XLOOKUP(B3411,Roster!L:L,Roster!O:O,XLOOKUP(D3411,TicketsBreak!A:A,TicketsBreak!F:F,"",0),0)</f>
        <v>13:00 - 13:30</v>
      </c>
      <c r="J3411" s="316" t="str">
        <f t="array" ref="J3411">XLOOKUP(B3411,Roster!L:L,Roster!P:P,XLOOKUP(D3411,TicketsBreak!A:A,TicketsBreak!G:G,"",0),0)</f>
        <v>15:30 - 15:45</v>
      </c>
      <c r="K3411" s="310">
        <f t="shared" si="4"/>
        <v>46141</v>
      </c>
      <c r="L3411" s="317">
        <f t="array" ref="L3411">(XLOOKUP(D3411,Roster!F:F,Roster!D:D,"",0))</f>
        <v>37</v>
      </c>
      <c r="M3411" s="317" t="str">
        <f t="array" ref="M3411">XLOOKUP(D3411,Roster!F:F,Roster!E:E)</f>
        <v>Voice</v>
      </c>
      <c r="N3411" s="317" t="str">
        <f t="shared" ref="N3411:P3411" si="3458">LEFT(H3411,5)</f>
        <v>10:00</v>
      </c>
      <c r="O3411" s="317" t="str">
        <f t="shared" si="3458"/>
        <v>13:00</v>
      </c>
      <c r="P3411" s="317" t="str">
        <f t="shared" si="3458"/>
        <v>15:30</v>
      </c>
      <c r="Q3411" s="318">
        <f t="shared" si="3358"/>
        <v>46141.41667</v>
      </c>
      <c r="R3411" s="318">
        <f t="shared" si="3359"/>
        <v>46141.54167</v>
      </c>
      <c r="S3411" s="318">
        <f t="shared" si="8"/>
        <v>46141.64583</v>
      </c>
    </row>
    <row r="3412">
      <c r="A3412" s="14" t="str">
        <f t="shared" si="1"/>
        <v>C154346141</v>
      </c>
      <c r="B3412" s="185">
        <f t="array" ref="B3412">IF(F3412="VL","",IF(F3412="Free","Free",XLOOKUP(D3412,Roster!T:T,Roster!S:S,"",0)))</f>
        <v>134</v>
      </c>
      <c r="C3412" s="313">
        <v>46141.0</v>
      </c>
      <c r="D3412" s="314" t="s">
        <v>40</v>
      </c>
      <c r="E3412" s="307" t="str">
        <f t="array" ref="E3412">(XLOOKUP(D3412,Roster!F:F,Roster!B:B,"",0))</f>
        <v>John Palacio</v>
      </c>
      <c r="F3412" s="315" t="str">
        <f t="array" ref="F3412">IF(B3412=100,"Free",TEXT(XLOOKUP($D3412,OperationVoice!$A:$A,OperationVoice!AI:AI,XLOOKUP($D3412,OperationTickets!$A:$A,OperationTickets!AI:AI,"",0)),"hh:mm"))</f>
        <v>09:00</v>
      </c>
      <c r="G3412" s="309">
        <f t="shared" si="3"/>
        <v>0.75</v>
      </c>
      <c r="H3412" s="316" t="str">
        <f t="array" ref="H3412">XLOOKUP(B3412,Roster!L:L,Roster!N:N,XLOOKUP(D3412,TicketsBreak!A:A,TicketsBreak!E:E,"",0),0)</f>
        <v>11:00 - 11:15</v>
      </c>
      <c r="I3412" s="316" t="str">
        <f t="array" ref="I3412">XLOOKUP(B3412,Roster!L:L,Roster!O:O,XLOOKUP(D3412,TicketsBreak!A:A,TicketsBreak!F:F,"",0),0)</f>
        <v>13:45 - 14:15</v>
      </c>
      <c r="J3412" s="316" t="str">
        <f t="array" ref="J3412">XLOOKUP(B3412,Roster!L:L,Roster!P:P,XLOOKUP(D3412,TicketsBreak!A:A,TicketsBreak!G:G,"",0),0)</f>
        <v>16:00 - 16:15</v>
      </c>
      <c r="K3412" s="310">
        <f t="shared" si="4"/>
        <v>46141</v>
      </c>
      <c r="L3412" s="317">
        <f t="array" ref="L3412">(XLOOKUP(D3412,Roster!F:F,Roster!D:D,"",0))</f>
        <v>36</v>
      </c>
      <c r="M3412" s="317" t="str">
        <f t="array" ref="M3412">XLOOKUP(D3412,Roster!F:F,Roster!E:E)</f>
        <v>Voice</v>
      </c>
      <c r="N3412" s="317" t="str">
        <f t="shared" ref="N3412:P3412" si="3459">LEFT(H3412,5)</f>
        <v>11:00</v>
      </c>
      <c r="O3412" s="317" t="str">
        <f t="shared" si="3459"/>
        <v>13:45</v>
      </c>
      <c r="P3412" s="317" t="str">
        <f t="shared" si="3459"/>
        <v>16:00</v>
      </c>
      <c r="Q3412" s="318">
        <f t="shared" si="3358"/>
        <v>46141.45833</v>
      </c>
      <c r="R3412" s="318">
        <f t="shared" si="3359"/>
        <v>46141.57292</v>
      </c>
      <c r="S3412" s="318">
        <f t="shared" si="8"/>
        <v>46141.66667</v>
      </c>
    </row>
    <row r="3413">
      <c r="A3413" s="14" t="str">
        <f t="shared" si="1"/>
        <v>C154246141</v>
      </c>
      <c r="B3413" s="185">
        <f t="array" ref="B3413">IF(F3413="VL","",IF(F3413="Free","Free",XLOOKUP(D3413,Roster!T:T,Roster!S:S,"",0)))</f>
        <v>124</v>
      </c>
      <c r="C3413" s="313">
        <v>46141.0</v>
      </c>
      <c r="D3413" s="314" t="s">
        <v>41</v>
      </c>
      <c r="E3413" s="307" t="str">
        <f t="array" ref="E3413">(XLOOKUP(D3413,Roster!F:F,Roster!B:B,"",0))</f>
        <v>Johny Garcia</v>
      </c>
      <c r="F3413" s="315" t="str">
        <f t="array" ref="F3413">IF(B3413=100,"Free",TEXT(XLOOKUP($D3413,OperationVoice!$A:$A,OperationVoice!AI:AI,XLOOKUP($D3413,OperationTickets!$A:$A,OperationTickets!AI:AI,"",0)),"hh:mm"))</f>
        <v>08:00</v>
      </c>
      <c r="G3413" s="309">
        <f t="shared" si="3"/>
        <v>0.7083333333</v>
      </c>
      <c r="H3413" s="316" t="str">
        <f t="array" ref="H3413">XLOOKUP(B3413,Roster!L:L,Roster!N:N,XLOOKUP(D3413,TicketsBreak!A:A,TicketsBreak!E:E,"",0),0)</f>
        <v>10:00 - 10:15</v>
      </c>
      <c r="I3413" s="316" t="str">
        <f t="array" ref="I3413">XLOOKUP(B3413,Roster!L:L,Roster!O:O,XLOOKUP(D3413,TicketsBreak!A:A,TicketsBreak!F:F,"",0),0)</f>
        <v>13:00 - 13:30</v>
      </c>
      <c r="J3413" s="316" t="str">
        <f t="array" ref="J3413">XLOOKUP(B3413,Roster!L:L,Roster!P:P,XLOOKUP(D3413,TicketsBreak!A:A,TicketsBreak!G:G,"",0),0)</f>
        <v>15:30 - 15:45</v>
      </c>
      <c r="K3413" s="310">
        <f t="shared" si="4"/>
        <v>46141</v>
      </c>
      <c r="L3413" s="317">
        <f t="array" ref="L3413">(XLOOKUP(D3413,Roster!F:F,Roster!D:D,"",0))</f>
        <v>36</v>
      </c>
      <c r="M3413" s="317" t="str">
        <f t="array" ref="M3413">XLOOKUP(D3413,Roster!F:F,Roster!E:E)</f>
        <v>Voice</v>
      </c>
      <c r="N3413" s="317" t="str">
        <f t="shared" ref="N3413:P3413" si="3460">LEFT(H3413,5)</f>
        <v>10:00</v>
      </c>
      <c r="O3413" s="317" t="str">
        <f t="shared" si="3460"/>
        <v>13:00</v>
      </c>
      <c r="P3413" s="317" t="str">
        <f t="shared" si="3460"/>
        <v>15:30</v>
      </c>
      <c r="Q3413" s="318">
        <f t="shared" si="3358"/>
        <v>46141.41667</v>
      </c>
      <c r="R3413" s="318">
        <f t="shared" si="3359"/>
        <v>46141.54167</v>
      </c>
      <c r="S3413" s="318">
        <f t="shared" si="8"/>
        <v>46141.64583</v>
      </c>
    </row>
    <row r="3414">
      <c r="A3414" s="14" t="str">
        <f t="shared" si="1"/>
        <v>C156946141</v>
      </c>
      <c r="B3414" s="185">
        <f t="array" ref="B3414">IF(F3414="VL","",IF(F3414="Free","Free",XLOOKUP(D3414,Roster!T:T,Roster!S:S,"",0)))</f>
        <v>121</v>
      </c>
      <c r="C3414" s="313">
        <v>46141.0</v>
      </c>
      <c r="D3414" s="314" t="s">
        <v>42</v>
      </c>
      <c r="E3414" s="307" t="str">
        <f t="array" ref="E3414">(XLOOKUP(D3414,Roster!F:F,Roster!B:B,"",0))</f>
        <v>Jorge Orozco</v>
      </c>
      <c r="F3414" s="315" t="str">
        <f t="array" ref="F3414">IF(B3414=100,"Free",TEXT(XLOOKUP($D3414,OperationVoice!$A:$A,OperationVoice!AI:AI,XLOOKUP($D3414,OperationTickets!$A:$A,OperationTickets!AI:AI,"",0)),"hh:mm"))</f>
        <v>08:00</v>
      </c>
      <c r="G3414" s="309">
        <f t="shared" si="3"/>
        <v>0.7083333333</v>
      </c>
      <c r="H3414" s="316" t="str">
        <f t="array" ref="H3414">XLOOKUP(B3414,Roster!L:L,Roster!N:N,XLOOKUP(D3414,TicketsBreak!A:A,TicketsBreak!E:E,"",0),0)</f>
        <v>09:15 - 09:30</v>
      </c>
      <c r="I3414" s="316" t="str">
        <f t="array" ref="I3414">XLOOKUP(B3414,Roster!L:L,Roster!O:O,XLOOKUP(D3414,TicketsBreak!A:A,TicketsBreak!F:F,"",0),0)</f>
        <v>11:30 - 12:00</v>
      </c>
      <c r="J3414" s="316" t="str">
        <f t="array" ref="J3414">XLOOKUP(B3414,Roster!L:L,Roster!P:P,XLOOKUP(D3414,TicketsBreak!A:A,TicketsBreak!G:G,"",0),0)</f>
        <v>14:30 - 14:45</v>
      </c>
      <c r="K3414" s="310">
        <f t="shared" si="4"/>
        <v>46141</v>
      </c>
      <c r="L3414" s="317">
        <f t="array" ref="L3414">(XLOOKUP(D3414,Roster!F:F,Roster!D:D,"",0))</f>
        <v>38</v>
      </c>
      <c r="M3414" s="317" t="str">
        <f t="array" ref="M3414">XLOOKUP(D3414,Roster!F:F,Roster!E:E)</f>
        <v>Voice</v>
      </c>
      <c r="N3414" s="317" t="str">
        <f t="shared" ref="N3414:P3414" si="3461">LEFT(H3414,5)</f>
        <v>09:15</v>
      </c>
      <c r="O3414" s="317" t="str">
        <f t="shared" si="3461"/>
        <v>11:30</v>
      </c>
      <c r="P3414" s="317" t="str">
        <f t="shared" si="3461"/>
        <v>14:30</v>
      </c>
      <c r="Q3414" s="318">
        <f t="shared" si="3358"/>
        <v>46141.38542</v>
      </c>
      <c r="R3414" s="318">
        <f t="shared" si="3359"/>
        <v>46141.47917</v>
      </c>
      <c r="S3414" s="318">
        <f t="shared" si="8"/>
        <v>46141.60417</v>
      </c>
    </row>
    <row r="3415">
      <c r="A3415" s="14" t="str">
        <f t="shared" si="1"/>
        <v>C102746141</v>
      </c>
      <c r="B3415" s="185" t="str">
        <f t="array" ref="B3415">IF(F3415="VL","",IF(F3415="Free","Free",XLOOKUP(D3415,Roster!T:T,Roster!S:S,"",0)))</f>
        <v/>
      </c>
      <c r="C3415" s="313">
        <v>46141.0</v>
      </c>
      <c r="D3415" s="314" t="s">
        <v>160</v>
      </c>
      <c r="E3415" s="307" t="str">
        <f t="array" ref="E3415">(XLOOKUP(D3415,Roster!F:F,Roster!B:B,"",0))</f>
        <v>Jose Perez</v>
      </c>
      <c r="F3415" s="315" t="str">
        <f t="array" ref="F3415">IF(B3415=100,"Free",TEXT(XLOOKUP($D3415,OperationVoice!$A:$A,OperationVoice!AI:AI,XLOOKUP($D3415,OperationTickets!$A:$A,OperationTickets!AI:AI,"",0)),"hh:mm"))</f>
        <v>06:00</v>
      </c>
      <c r="G3415" s="309">
        <f t="shared" si="3"/>
        <v>0.625</v>
      </c>
      <c r="H3415" s="316">
        <f t="array" ref="H3415">XLOOKUP(B3415,Roster!L:L,Roster!N:N,XLOOKUP(D3415,TicketsBreak!A:A,TicketsBreak!E:E,"",0),0)</f>
        <v>0.4166666667</v>
      </c>
      <c r="I3415" s="316">
        <f t="array" ref="I3415">XLOOKUP(B3415,Roster!L:L,Roster!O:O,XLOOKUP(D3415,TicketsBreak!A:A,TicketsBreak!F:F,"",0),0)</f>
        <v>0.5208333333</v>
      </c>
      <c r="J3415" s="316">
        <f t="array" ref="J3415">XLOOKUP(B3415,Roster!L:L,Roster!P:P,XLOOKUP(D3415,TicketsBreak!A:A,TicketsBreak!G:G,"",0),0)</f>
        <v>0.6354166667</v>
      </c>
      <c r="K3415" s="310">
        <f t="shared" si="4"/>
        <v>46141</v>
      </c>
      <c r="L3415" s="317">
        <f t="array" ref="L3415">(XLOOKUP(D3415,Roster!F:F,Roster!D:D,"",0))</f>
        <v>15</v>
      </c>
      <c r="M3415" s="317" t="str">
        <f t="array" ref="M3415">XLOOKUP(D3415,Roster!F:F,Roster!E:E)</f>
        <v>Tickets</v>
      </c>
      <c r="N3415" s="317" t="str">
        <f t="shared" ref="N3415:P3415" si="3462">LEFT(H3415,5)</f>
        <v>10:00</v>
      </c>
      <c r="O3415" s="317" t="str">
        <f t="shared" si="3462"/>
        <v>12:30</v>
      </c>
      <c r="P3415" s="317" t="str">
        <f t="shared" si="3462"/>
        <v>15:15</v>
      </c>
      <c r="Q3415" s="318">
        <f t="shared" si="3358"/>
        <v>46141.41667</v>
      </c>
      <c r="R3415" s="318">
        <f t="shared" si="3359"/>
        <v>46141.52083</v>
      </c>
      <c r="S3415" s="318">
        <f t="shared" si="8"/>
        <v>46141.63542</v>
      </c>
    </row>
    <row r="3416">
      <c r="A3416" s="14" t="str">
        <f t="shared" si="1"/>
        <v>C142646141</v>
      </c>
      <c r="B3416" s="185">
        <f t="array" ref="B3416">IF(F3416="VL","",IF(F3416="Free","Free",XLOOKUP(D3416,Roster!T:T,Roster!S:S,"",0)))</f>
        <v>123</v>
      </c>
      <c r="C3416" s="313">
        <v>46141.0</v>
      </c>
      <c r="D3416" s="314" t="s">
        <v>161</v>
      </c>
      <c r="E3416" s="307" t="str">
        <f t="array" ref="E3416">(XLOOKUP(D3416,Roster!F:F,Roster!B:B,"",0))</f>
        <v>Jose Zapata</v>
      </c>
      <c r="F3416" s="315" t="str">
        <f t="array" ref="F3416">IF(B3416=100,"Free",TEXT(XLOOKUP($D3416,OperationVoice!$A:$A,OperationVoice!AI:AI,XLOOKUP($D3416,OperationTickets!$A:$A,OperationTickets!AI:AI,"",0)),"hh:mm"))</f>
        <v>08:00</v>
      </c>
      <c r="G3416" s="309">
        <f t="shared" si="3"/>
        <v>0.7083333333</v>
      </c>
      <c r="H3416" s="316" t="str">
        <f t="array" ref="H3416">XLOOKUP(B3416,Roster!L:L,Roster!N:N,XLOOKUP(D3416,TicketsBreak!A:A,TicketsBreak!E:E,"",0),0)</f>
        <v>09:45 - 10:00 </v>
      </c>
      <c r="I3416" s="316" t="str">
        <f t="array" ref="I3416">XLOOKUP(B3416,Roster!L:L,Roster!O:O,XLOOKUP(D3416,TicketsBreak!A:A,TicketsBreak!F:F,"",0),0)</f>
        <v>12:30 - 13:00</v>
      </c>
      <c r="J3416" s="316" t="str">
        <f t="array" ref="J3416">XLOOKUP(B3416,Roster!L:L,Roster!P:P,XLOOKUP(D3416,TicketsBreak!A:A,TicketsBreak!G:G,"",0),0)</f>
        <v>15:00 - 15:15</v>
      </c>
      <c r="K3416" s="310">
        <f t="shared" si="4"/>
        <v>46141</v>
      </c>
      <c r="L3416" s="317">
        <f t="array" ref="L3416">(XLOOKUP(D3416,Roster!F:F,Roster!D:D,"",0))</f>
        <v>32</v>
      </c>
      <c r="M3416" s="317" t="str">
        <f t="array" ref="M3416">XLOOKUP(D3416,Roster!F:F,Roster!E:E)</f>
        <v>Tickets</v>
      </c>
      <c r="N3416" s="317" t="str">
        <f t="shared" ref="N3416:P3416" si="3463">LEFT(H3416,5)</f>
        <v>09:45</v>
      </c>
      <c r="O3416" s="317" t="str">
        <f t="shared" si="3463"/>
        <v>12:30</v>
      </c>
      <c r="P3416" s="317" t="str">
        <f t="shared" si="3463"/>
        <v>15:00</v>
      </c>
      <c r="Q3416" s="318">
        <f t="shared" si="3358"/>
        <v>46141.40625</v>
      </c>
      <c r="R3416" s="318">
        <f t="shared" si="3359"/>
        <v>46141.52083</v>
      </c>
      <c r="S3416" s="318">
        <f t="shared" si="8"/>
        <v>46141.625</v>
      </c>
    </row>
    <row r="3417">
      <c r="A3417" s="14" t="str">
        <f t="shared" si="1"/>
        <v>C153346141</v>
      </c>
      <c r="B3417" s="185">
        <f t="array" ref="B3417">IF(F3417="VL","",IF(F3417="Free","Free",XLOOKUP(D3417,Roster!T:T,Roster!S:S,"",0)))</f>
        <v>125</v>
      </c>
      <c r="C3417" s="313">
        <v>46141.0</v>
      </c>
      <c r="D3417" s="314" t="s">
        <v>43</v>
      </c>
      <c r="E3417" s="307" t="str">
        <f t="array" ref="E3417">(XLOOKUP(D3417,Roster!F:F,Roster!B:B,"",0))</f>
        <v>Juan Barrera</v>
      </c>
      <c r="F3417" s="315" t="str">
        <f t="array" ref="F3417">IF(B3417=100,"Free",TEXT(XLOOKUP($D3417,OperationVoice!$A:$A,OperationVoice!AI:AI,XLOOKUP($D3417,OperationTickets!$A:$A,OperationTickets!AI:AI,"",0)),"hh:mm"))</f>
        <v>08:00</v>
      </c>
      <c r="G3417" s="309">
        <f t="shared" si="3"/>
        <v>0.7083333333</v>
      </c>
      <c r="H3417" s="316" t="str">
        <f t="array" ref="H3417">XLOOKUP(B3417,Roster!L:L,Roster!N:N,XLOOKUP(D3417,TicketsBreak!A:A,TicketsBreak!E:E,"",0),0)</f>
        <v>10:30 - 10:45</v>
      </c>
      <c r="I3417" s="316" t="str">
        <f t="array" ref="I3417">XLOOKUP(B3417,Roster!L:L,Roster!O:O,XLOOKUP(D3417,TicketsBreak!A:A,TicketsBreak!F:F,"",0),0)</f>
        <v>13:30 - 14:00</v>
      </c>
      <c r="J3417" s="316" t="str">
        <f t="array" ref="J3417">XLOOKUP(B3417,Roster!L:L,Roster!P:P,XLOOKUP(D3417,TicketsBreak!A:A,TicketsBreak!G:G,"",0),0)</f>
        <v>15:45 - 16:00</v>
      </c>
      <c r="K3417" s="310">
        <f t="shared" si="4"/>
        <v>46141</v>
      </c>
      <c r="L3417" s="317">
        <f t="array" ref="L3417">(XLOOKUP(D3417,Roster!F:F,Roster!D:D,"",0))</f>
        <v>36</v>
      </c>
      <c r="M3417" s="317" t="str">
        <f t="array" ref="M3417">XLOOKUP(D3417,Roster!F:F,Roster!E:E)</f>
        <v>Voice</v>
      </c>
      <c r="N3417" s="317" t="str">
        <f t="shared" ref="N3417:P3417" si="3464">LEFT(H3417,5)</f>
        <v>10:30</v>
      </c>
      <c r="O3417" s="317" t="str">
        <f t="shared" si="3464"/>
        <v>13:30</v>
      </c>
      <c r="P3417" s="317" t="str">
        <f t="shared" si="3464"/>
        <v>15:45</v>
      </c>
      <c r="Q3417" s="318">
        <f t="shared" si="3358"/>
        <v>46141.4375</v>
      </c>
      <c r="R3417" s="318">
        <f t="shared" si="3359"/>
        <v>46141.5625</v>
      </c>
      <c r="S3417" s="318">
        <f t="shared" si="8"/>
        <v>46141.65625</v>
      </c>
    </row>
    <row r="3418">
      <c r="A3418" s="14" t="str">
        <f t="shared" si="1"/>
        <v>C146546141</v>
      </c>
      <c r="B3418" s="185">
        <f t="array" ref="B3418">IF(F3418="VL","",IF(F3418="Free","Free",XLOOKUP(D3418,Roster!T:T,Roster!S:S,"",0)))</f>
        <v>500</v>
      </c>
      <c r="C3418" s="313">
        <v>46141.0</v>
      </c>
      <c r="D3418" s="314" t="s">
        <v>44</v>
      </c>
      <c r="E3418" s="307" t="str">
        <f t="array" ref="E3418">(XLOOKUP(D3418,Roster!F:F,Roster!B:B,"",0))</f>
        <v>Juan Castilla</v>
      </c>
      <c r="F3418" s="315" t="str">
        <f t="array" ref="F3418">IF(B3418=100,"Free",TEXT(XLOOKUP($D3418,OperationVoice!$A:$A,OperationVoice!AI:AI,XLOOKUP($D3418,OperationTickets!$A:$A,OperationTickets!AI:AI,"",0)),"hh:mm"))</f>
        <v>08:00</v>
      </c>
      <c r="G3418" s="309">
        <f t="shared" si="3"/>
        <v>0.7083333333</v>
      </c>
      <c r="H3418" s="316" t="str">
        <f t="array" ref="H3418">XLOOKUP(B3418,Roster!L:L,Roster!N:N,XLOOKUP(D3418,TicketsBreak!A:A,TicketsBreak!E:E,"",0),0)</f>
        <v>Team Leader</v>
      </c>
      <c r="I3418" s="316" t="str">
        <f t="array" ref="I3418">XLOOKUP(B3418,Roster!L:L,Roster!O:O,XLOOKUP(D3418,TicketsBreak!A:A,TicketsBreak!F:F,"",0),0)</f>
        <v>Team Leader</v>
      </c>
      <c r="J3418" s="316" t="str">
        <f t="array" ref="J3418">XLOOKUP(B3418,Roster!L:L,Roster!P:P,XLOOKUP(D3418,TicketsBreak!A:A,TicketsBreak!G:G,"",0),0)</f>
        <v/>
      </c>
      <c r="K3418" s="310">
        <f t="shared" si="4"/>
        <v>46141</v>
      </c>
      <c r="L3418" s="317">
        <f t="array" ref="L3418">(XLOOKUP(D3418,Roster!F:F,Roster!D:D,"",0))</f>
        <v>33</v>
      </c>
      <c r="M3418" s="317" t="str">
        <f t="array" ref="M3418">XLOOKUP(D3418,Roster!F:F,Roster!E:E)</f>
        <v>Voice</v>
      </c>
      <c r="N3418" s="317" t="str">
        <f t="shared" ref="N3418:P3418" si="3465">LEFT(H3418,5)</f>
        <v>Team </v>
      </c>
      <c r="O3418" s="317" t="str">
        <f t="shared" si="3465"/>
        <v>Team </v>
      </c>
      <c r="P3418" s="317" t="str">
        <f t="shared" si="3465"/>
        <v/>
      </c>
      <c r="Q3418" s="318" t="str">
        <f t="shared" si="3358"/>
        <v>#VALUE!</v>
      </c>
      <c r="R3418" s="318" t="str">
        <f t="shared" si="3359"/>
        <v>#VALUE!</v>
      </c>
      <c r="S3418" s="318" t="str">
        <f t="shared" si="8"/>
        <v/>
      </c>
    </row>
    <row r="3419">
      <c r="A3419" s="14" t="str">
        <f t="shared" si="1"/>
        <v>C72046141</v>
      </c>
      <c r="B3419" s="185" t="str">
        <f t="array" ref="B3419">IF(F3419="VL","",IF(F3419="Free","Free",XLOOKUP(D3419,Roster!T:T,Roster!S:S,"",0)))</f>
        <v/>
      </c>
      <c r="C3419" s="313">
        <v>46141.0</v>
      </c>
      <c r="D3419" s="314" t="s">
        <v>162</v>
      </c>
      <c r="E3419" s="307" t="str">
        <f t="array" ref="E3419">(XLOOKUP(D3419,Roster!F:F,Roster!B:B,"",0))</f>
        <v>Juan Durango</v>
      </c>
      <c r="F3419" s="315" t="str">
        <f t="array" ref="F3419">IF(B3419=100,"Free",TEXT(XLOOKUP($D3419,OperationVoice!$A:$A,OperationVoice!AI:AI,XLOOKUP($D3419,OperationTickets!$A:$A,OperationTickets!AI:AI,"",0)),"hh:mm"))</f>
        <v>08:00</v>
      </c>
      <c r="G3419" s="309">
        <f t="shared" si="3"/>
        <v>0.7083333333</v>
      </c>
      <c r="H3419" s="316">
        <f t="array" ref="H3419">XLOOKUP(B3419,Roster!L:L,Roster!N:N,XLOOKUP(D3419,TicketsBreak!A:A,TicketsBreak!E:E,"",0),0)</f>
        <v>0.40625</v>
      </c>
      <c r="I3419" s="316">
        <f t="array" ref="I3419">XLOOKUP(B3419,Roster!L:L,Roster!O:O,XLOOKUP(D3419,TicketsBreak!A:A,TicketsBreak!F:F,"",0),0)</f>
        <v>0.5729166667</v>
      </c>
      <c r="J3419" s="316">
        <f t="array" ref="J3419">XLOOKUP(B3419,Roster!L:L,Roster!P:P,XLOOKUP(D3419,TicketsBreak!A:A,TicketsBreak!G:G,"",0),0)</f>
        <v>0.65625</v>
      </c>
      <c r="K3419" s="310">
        <f t="shared" si="4"/>
        <v>46141</v>
      </c>
      <c r="L3419" s="317">
        <f t="array" ref="L3419">(XLOOKUP(D3419,Roster!F:F,Roster!D:D,"",0))</f>
        <v>7</v>
      </c>
      <c r="M3419" s="317" t="str">
        <f t="array" ref="M3419">XLOOKUP(D3419,Roster!F:F,Roster!E:E)</f>
        <v>Tickets</v>
      </c>
      <c r="N3419" s="317" t="str">
        <f t="shared" ref="N3419:P3419" si="3466">LEFT(H3419,5)</f>
        <v>09:45</v>
      </c>
      <c r="O3419" s="317" t="str">
        <f t="shared" si="3466"/>
        <v>13:45</v>
      </c>
      <c r="P3419" s="317" t="str">
        <f t="shared" si="3466"/>
        <v>15:45</v>
      </c>
      <c r="Q3419" s="318">
        <f t="shared" si="3358"/>
        <v>46141.40625</v>
      </c>
      <c r="R3419" s="318">
        <f t="shared" si="3359"/>
        <v>46141.57292</v>
      </c>
      <c r="S3419" s="318">
        <f t="shared" si="8"/>
        <v>46141.65625</v>
      </c>
    </row>
    <row r="3420">
      <c r="A3420" s="14" t="str">
        <f t="shared" si="1"/>
        <v>C59846141</v>
      </c>
      <c r="B3420" s="185" t="str">
        <f t="array" ref="B3420">IF(F3420="VL","",IF(F3420="Free","Free",XLOOKUP(D3420,Roster!T:T,Roster!S:S,"",0)))</f>
        <v/>
      </c>
      <c r="C3420" s="313">
        <v>46141.0</v>
      </c>
      <c r="D3420" s="314" t="s">
        <v>314</v>
      </c>
      <c r="E3420" s="307" t="str">
        <f t="array" ref="E3420">(XLOOKUP(D3420,Roster!F:F,Roster!B:B,"",0))</f>
        <v>Juan Fonnegra</v>
      </c>
      <c r="F3420" s="315" t="str">
        <f t="array" ref="F3420">IF(B3420=100,"Free",TEXT(XLOOKUP($D3420,OperationVoice!$A:$A,OperationVoice!AI:AI,XLOOKUP($D3420,OperationTickets!$A:$A,OperationTickets!AI:AI,"",0)),"hh:mm"))</f>
        <v/>
      </c>
      <c r="G3420" s="309" t="str">
        <f t="shared" si="3"/>
        <v/>
      </c>
      <c r="H3420" s="316">
        <f t="array" ref="H3420">XLOOKUP(B3420,Roster!L:L,Roster!N:N,XLOOKUP(D3420,TicketsBreak!A:A,TicketsBreak!E:E,"",0),0)</f>
        <v>0.4166666667</v>
      </c>
      <c r="I3420" s="316">
        <f t="array" ref="I3420">XLOOKUP(B3420,Roster!L:L,Roster!O:O,XLOOKUP(D3420,TicketsBreak!A:A,TicketsBreak!F:F,"",0),0)</f>
        <v>0.5208333333</v>
      </c>
      <c r="J3420" s="316">
        <f t="array" ref="J3420">XLOOKUP(B3420,Roster!L:L,Roster!P:P,XLOOKUP(D3420,TicketsBreak!A:A,TicketsBreak!G:G,"",0),0)</f>
        <v>0.65625</v>
      </c>
      <c r="K3420" s="310">
        <f t="shared" si="4"/>
        <v>46141</v>
      </c>
      <c r="L3420" s="317">
        <f t="array" ref="L3420">(XLOOKUP(D3420,Roster!F:F,Roster!D:D,"",0))</f>
        <v>1</v>
      </c>
      <c r="M3420" s="317" t="str">
        <f t="array" ref="M3420">XLOOKUP(D3420,Roster!F:F,Roster!E:E)</f>
        <v>Tickets</v>
      </c>
      <c r="N3420" s="317" t="str">
        <f t="shared" ref="N3420:P3420" si="3467">LEFT(H3420,5)</f>
        <v>10:00</v>
      </c>
      <c r="O3420" s="317" t="str">
        <f t="shared" si="3467"/>
        <v>12:30</v>
      </c>
      <c r="P3420" s="317" t="str">
        <f t="shared" si="3467"/>
        <v>15:45</v>
      </c>
      <c r="Q3420" s="318">
        <f t="shared" si="3358"/>
        <v>46141.41667</v>
      </c>
      <c r="R3420" s="318">
        <f t="shared" si="3359"/>
        <v>46141.52083</v>
      </c>
      <c r="S3420" s="318">
        <f t="shared" si="8"/>
        <v>46141.65625</v>
      </c>
    </row>
    <row r="3421">
      <c r="A3421" s="14" t="str">
        <f t="shared" si="1"/>
        <v>C113946141</v>
      </c>
      <c r="B3421" s="185">
        <f t="array" ref="B3421">IF(F3421="VL","",IF(F3421="Free","Free",XLOOKUP(D3421,Roster!T:T,Roster!S:S,"",0)))</f>
        <v>125</v>
      </c>
      <c r="C3421" s="313">
        <v>46141.0</v>
      </c>
      <c r="D3421" s="314" t="s">
        <v>45</v>
      </c>
      <c r="E3421" s="307" t="str">
        <f t="array" ref="E3421">(XLOOKUP(D3421,Roster!F:F,Roster!B:B,"",0))</f>
        <v>Juan Largacha</v>
      </c>
      <c r="F3421" s="315" t="str">
        <f t="array" ref="F3421">IF(B3421=100,"Free",TEXT(XLOOKUP($D3421,OperationVoice!$A:$A,OperationVoice!AI:AI,XLOOKUP($D3421,OperationTickets!$A:$A,OperationTickets!AI:AI,"",0)),"hh:mm"))</f>
        <v>08:00</v>
      </c>
      <c r="G3421" s="309">
        <f t="shared" si="3"/>
        <v>0.7083333333</v>
      </c>
      <c r="H3421" s="316" t="str">
        <f t="array" ref="H3421">XLOOKUP(B3421,Roster!L:L,Roster!N:N,XLOOKUP(D3421,TicketsBreak!A:A,TicketsBreak!E:E,"",0),0)</f>
        <v>10:30 - 10:45</v>
      </c>
      <c r="I3421" s="316" t="str">
        <f t="array" ref="I3421">XLOOKUP(B3421,Roster!L:L,Roster!O:O,XLOOKUP(D3421,TicketsBreak!A:A,TicketsBreak!F:F,"",0),0)</f>
        <v>13:30 - 14:00</v>
      </c>
      <c r="J3421" s="316" t="str">
        <f t="array" ref="J3421">XLOOKUP(B3421,Roster!L:L,Roster!P:P,XLOOKUP(D3421,TicketsBreak!A:A,TicketsBreak!G:G,"",0),0)</f>
        <v>15:45 - 16:00</v>
      </c>
      <c r="K3421" s="310">
        <f t="shared" si="4"/>
        <v>46141</v>
      </c>
      <c r="L3421" s="317">
        <f t="array" ref="L3421">(XLOOKUP(D3421,Roster!F:F,Roster!D:D,"",0))</f>
        <v>22</v>
      </c>
      <c r="M3421" s="317" t="str">
        <f t="array" ref="M3421">XLOOKUP(D3421,Roster!F:F,Roster!E:E)</f>
        <v>Voice</v>
      </c>
      <c r="N3421" s="317" t="str">
        <f t="shared" ref="N3421:P3421" si="3468">LEFT(H3421,5)</f>
        <v>10:30</v>
      </c>
      <c r="O3421" s="317" t="str">
        <f t="shared" si="3468"/>
        <v>13:30</v>
      </c>
      <c r="P3421" s="317" t="str">
        <f t="shared" si="3468"/>
        <v>15:45</v>
      </c>
      <c r="Q3421" s="318">
        <f t="shared" si="3358"/>
        <v>46141.4375</v>
      </c>
      <c r="R3421" s="318">
        <f t="shared" si="3359"/>
        <v>46141.5625</v>
      </c>
      <c r="S3421" s="318">
        <f t="shared" si="8"/>
        <v>46141.65625</v>
      </c>
    </row>
    <row r="3422">
      <c r="A3422" s="14" t="str">
        <f t="shared" si="1"/>
        <v>C156646141</v>
      </c>
      <c r="B3422" s="185">
        <f t="array" ref="B3422">IF(F3422="VL","",IF(F3422="Free","Free",XLOOKUP(D3422,Roster!T:T,Roster!S:S,"",0)))</f>
        <v>124</v>
      </c>
      <c r="C3422" s="313">
        <v>46141.0</v>
      </c>
      <c r="D3422" s="314" t="s">
        <v>46</v>
      </c>
      <c r="E3422" s="307" t="str">
        <f t="array" ref="E3422">(XLOOKUP(D3422,Roster!F:F,Roster!B:B,"",0))</f>
        <v>Juan Ocampo</v>
      </c>
      <c r="F3422" s="315" t="str">
        <f t="array" ref="F3422">IF(B3422=100,"Free",TEXT(XLOOKUP($D3422,OperationVoice!$A:$A,OperationVoice!AI:AI,XLOOKUP($D3422,OperationTickets!$A:$A,OperationTickets!AI:AI,"",0)),"hh:mm"))</f>
        <v>08:00</v>
      </c>
      <c r="G3422" s="309">
        <f t="shared" si="3"/>
        <v>0.7083333333</v>
      </c>
      <c r="H3422" s="316" t="str">
        <f t="array" ref="H3422">XLOOKUP(B3422,Roster!L:L,Roster!N:N,XLOOKUP(D3422,TicketsBreak!A:A,TicketsBreak!E:E,"",0),0)</f>
        <v>10:00 - 10:15</v>
      </c>
      <c r="I3422" s="316" t="str">
        <f t="array" ref="I3422">XLOOKUP(B3422,Roster!L:L,Roster!O:O,XLOOKUP(D3422,TicketsBreak!A:A,TicketsBreak!F:F,"",0),0)</f>
        <v>13:00 - 13:30</v>
      </c>
      <c r="J3422" s="316" t="str">
        <f t="array" ref="J3422">XLOOKUP(B3422,Roster!L:L,Roster!P:P,XLOOKUP(D3422,TicketsBreak!A:A,TicketsBreak!G:G,"",0),0)</f>
        <v>15:30 - 15:45</v>
      </c>
      <c r="K3422" s="310">
        <f t="shared" si="4"/>
        <v>46141</v>
      </c>
      <c r="L3422" s="317">
        <f t="array" ref="L3422">(XLOOKUP(D3422,Roster!F:F,Roster!D:D,"",0))</f>
        <v>38</v>
      </c>
      <c r="M3422" s="317" t="str">
        <f t="array" ref="M3422">XLOOKUP(D3422,Roster!F:F,Roster!E:E)</f>
        <v>Voice</v>
      </c>
      <c r="N3422" s="317" t="str">
        <f t="shared" ref="N3422:P3422" si="3469">LEFT(H3422,5)</f>
        <v>10:00</v>
      </c>
      <c r="O3422" s="317" t="str">
        <f t="shared" si="3469"/>
        <v>13:00</v>
      </c>
      <c r="P3422" s="317" t="str">
        <f t="shared" si="3469"/>
        <v>15:30</v>
      </c>
      <c r="Q3422" s="318">
        <f t="shared" si="3358"/>
        <v>46141.41667</v>
      </c>
      <c r="R3422" s="318">
        <f t="shared" si="3359"/>
        <v>46141.54167</v>
      </c>
      <c r="S3422" s="318">
        <f t="shared" si="8"/>
        <v>46141.64583</v>
      </c>
    </row>
    <row r="3423">
      <c r="A3423" s="14" t="str">
        <f t="shared" si="1"/>
        <v>C148446141</v>
      </c>
      <c r="B3423" s="185">
        <f t="array" ref="B3423">IF(F3423="VL","",IF(F3423="Free","Free",XLOOKUP(D3423,Roster!T:T,Roster!S:S,"",0)))</f>
        <v>126</v>
      </c>
      <c r="C3423" s="313">
        <v>46141.0</v>
      </c>
      <c r="D3423" s="314" t="s">
        <v>141</v>
      </c>
      <c r="E3423" s="307" t="str">
        <f t="array" ref="E3423">(XLOOKUP(D3423,Roster!F:F,Roster!B:B,"",0))</f>
        <v>Juan Ospina</v>
      </c>
      <c r="F3423" s="315" t="str">
        <f t="array" ref="F3423">IF(B3423=100,"Free",TEXT(XLOOKUP($D3423,OperationVoice!$A:$A,OperationVoice!AI:AI,XLOOKUP($D3423,OperationTickets!$A:$A,OperationTickets!AI:AI,"",0)),"hh:mm"))</f>
        <v>08:00</v>
      </c>
      <c r="G3423" s="309">
        <f t="shared" si="3"/>
        <v>0.7083333333</v>
      </c>
      <c r="H3423" s="316" t="str">
        <f t="array" ref="H3423">XLOOKUP(B3423,Roster!L:L,Roster!N:N,XLOOKUP(D3423,TicketsBreak!A:A,TicketsBreak!E:E,"",0),0)</f>
        <v>10:45 - 11:00</v>
      </c>
      <c r="I3423" s="316" t="str">
        <f t="array" ref="I3423">XLOOKUP(B3423,Roster!L:L,Roster!O:O,XLOOKUP(D3423,TicketsBreak!A:A,TicketsBreak!F:F,"",0),0)</f>
        <v>14:00 - 14:30</v>
      </c>
      <c r="J3423" s="316" t="str">
        <f t="array" ref="J3423">XLOOKUP(B3423,Roster!L:L,Roster!P:P,XLOOKUP(D3423,TicketsBreak!A:A,TicketsBreak!G:G,"",0),0)</f>
        <v>15:45 - 16:00</v>
      </c>
      <c r="K3423" s="310">
        <f t="shared" si="4"/>
        <v>46141</v>
      </c>
      <c r="L3423" s="317">
        <f t="array" ref="L3423">(XLOOKUP(D3423,Roster!F:F,Roster!D:D,"",0))</f>
        <v>34</v>
      </c>
      <c r="M3423" s="317" t="str">
        <f t="array" ref="M3423">XLOOKUP(D3423,Roster!F:F,Roster!E:E)</f>
        <v>Tickets</v>
      </c>
      <c r="N3423" s="317" t="str">
        <f t="shared" ref="N3423:P3423" si="3470">LEFT(H3423,5)</f>
        <v>10:45</v>
      </c>
      <c r="O3423" s="317" t="str">
        <f t="shared" si="3470"/>
        <v>14:00</v>
      </c>
      <c r="P3423" s="317" t="str">
        <f t="shared" si="3470"/>
        <v>15:45</v>
      </c>
      <c r="Q3423" s="318">
        <f t="shared" si="3358"/>
        <v>46141.44792</v>
      </c>
      <c r="R3423" s="318">
        <f t="shared" si="3359"/>
        <v>46141.58333</v>
      </c>
      <c r="S3423" s="318">
        <f t="shared" si="8"/>
        <v>46141.65625</v>
      </c>
    </row>
    <row r="3424">
      <c r="A3424" s="14" t="str">
        <f t="shared" si="1"/>
        <v>C141346141</v>
      </c>
      <c r="B3424" s="185">
        <f t="array" ref="B3424">IF(F3424="VL","",IF(F3424="Free","Free",XLOOKUP(D3424,Roster!T:T,Roster!S:S,"",0)))</f>
        <v>121</v>
      </c>
      <c r="C3424" s="313">
        <v>46141.0</v>
      </c>
      <c r="D3424" s="314" t="s">
        <v>47</v>
      </c>
      <c r="E3424" s="307" t="str">
        <f t="array" ref="E3424">(XLOOKUP(D3424,Roster!F:F,Roster!B:B,"",0))</f>
        <v>Juan Parra</v>
      </c>
      <c r="F3424" s="315" t="str">
        <f t="array" ref="F3424">IF(B3424=100,"Free",TEXT(XLOOKUP($D3424,OperationVoice!$A:$A,OperationVoice!AI:AI,XLOOKUP($D3424,OperationTickets!$A:$A,OperationTickets!AI:AI,"",0)),"hh:mm"))</f>
        <v>08:00</v>
      </c>
      <c r="G3424" s="309">
        <f t="shared" si="3"/>
        <v>0.7083333333</v>
      </c>
      <c r="H3424" s="316" t="str">
        <f t="array" ref="H3424">XLOOKUP(B3424,Roster!L:L,Roster!N:N,XLOOKUP(D3424,TicketsBreak!A:A,TicketsBreak!E:E,"",0),0)</f>
        <v>09:15 - 09:30</v>
      </c>
      <c r="I3424" s="316" t="str">
        <f t="array" ref="I3424">XLOOKUP(B3424,Roster!L:L,Roster!O:O,XLOOKUP(D3424,TicketsBreak!A:A,TicketsBreak!F:F,"",0),0)</f>
        <v>11:30 - 12:00</v>
      </c>
      <c r="J3424" s="316" t="str">
        <f t="array" ref="J3424">XLOOKUP(B3424,Roster!L:L,Roster!P:P,XLOOKUP(D3424,TicketsBreak!A:A,TicketsBreak!G:G,"",0),0)</f>
        <v>14:30 - 14:45</v>
      </c>
      <c r="K3424" s="310">
        <f t="shared" si="4"/>
        <v>46141</v>
      </c>
      <c r="L3424" s="317">
        <f t="array" ref="L3424">(XLOOKUP(D3424,Roster!F:F,Roster!D:D,"",0))</f>
        <v>32</v>
      </c>
      <c r="M3424" s="317" t="str">
        <f t="array" ref="M3424">XLOOKUP(D3424,Roster!F:F,Roster!E:E)</f>
        <v>Voice</v>
      </c>
      <c r="N3424" s="317" t="str">
        <f t="shared" ref="N3424:P3424" si="3471">LEFT(H3424,5)</f>
        <v>09:15</v>
      </c>
      <c r="O3424" s="317" t="str">
        <f t="shared" si="3471"/>
        <v>11:30</v>
      </c>
      <c r="P3424" s="317" t="str">
        <f t="shared" si="3471"/>
        <v>14:30</v>
      </c>
      <c r="Q3424" s="318">
        <f t="shared" si="3358"/>
        <v>46141.38542</v>
      </c>
      <c r="R3424" s="318">
        <f t="shared" si="3359"/>
        <v>46141.47917</v>
      </c>
      <c r="S3424" s="318">
        <f t="shared" si="8"/>
        <v>46141.60417</v>
      </c>
    </row>
    <row r="3425">
      <c r="A3425" s="14" t="str">
        <f t="shared" si="1"/>
        <v>C132746141</v>
      </c>
      <c r="B3425" s="185" t="str">
        <f t="array" ref="B3425">IF(F3425="VL","",IF(F3425="Free","Free",XLOOKUP(D3425,Roster!T:T,Roster!S:S,"",0)))</f>
        <v/>
      </c>
      <c r="C3425" s="313">
        <v>46141.0</v>
      </c>
      <c r="D3425" s="314" t="s">
        <v>163</v>
      </c>
      <c r="E3425" s="307" t="str">
        <f t="array" ref="E3425">(XLOOKUP(D3425,Roster!F:F,Roster!B:B,"",0))</f>
        <v>Juan Restrepo</v>
      </c>
      <c r="F3425" s="315" t="str">
        <f t="array" ref="F3425">IF(B3425=100,"Free",TEXT(XLOOKUP($D3425,OperationVoice!$A:$A,OperationVoice!AI:AI,XLOOKUP($D3425,OperationTickets!$A:$A,OperationTickets!AI:AI,"",0)),"hh:mm"))</f>
        <v>07:00</v>
      </c>
      <c r="G3425" s="309">
        <f t="shared" si="3"/>
        <v>0.6666666667</v>
      </c>
      <c r="H3425" s="316" t="str">
        <f t="array" ref="H3425">XLOOKUP(B3425,Roster!L:L,Roster!N:N,XLOOKUP(D3425,TicketsBreak!A:A,TicketsBreak!E:E,"",0),0)</f>
        <v/>
      </c>
      <c r="I3425" s="316" t="str">
        <f t="array" ref="I3425">XLOOKUP(B3425,Roster!L:L,Roster!O:O,XLOOKUP(D3425,TicketsBreak!A:A,TicketsBreak!F:F,"",0),0)</f>
        <v/>
      </c>
      <c r="J3425" s="316" t="str">
        <f t="array" ref="J3425">XLOOKUP(B3425,Roster!L:L,Roster!P:P,XLOOKUP(D3425,TicketsBreak!A:A,TicketsBreak!G:G,"",0),0)</f>
        <v/>
      </c>
      <c r="K3425" s="310">
        <f t="shared" si="4"/>
        <v>46141</v>
      </c>
      <c r="L3425" s="317">
        <f t="array" ref="L3425">(XLOOKUP(D3425,Roster!F:F,Roster!D:D,"",0))</f>
        <v>29</v>
      </c>
      <c r="M3425" s="317" t="str">
        <f t="array" ref="M3425">XLOOKUP(D3425,Roster!F:F,Roster!E:E)</f>
        <v>Tickets</v>
      </c>
      <c r="N3425" s="317" t="str">
        <f t="shared" ref="N3425:P3425" si="3472">LEFT(H3425,5)</f>
        <v/>
      </c>
      <c r="O3425" s="317" t="str">
        <f t="shared" si="3472"/>
        <v/>
      </c>
      <c r="P3425" s="317" t="str">
        <f t="shared" si="3472"/>
        <v/>
      </c>
      <c r="Q3425" s="318" t="str">
        <f t="shared" si="3358"/>
        <v/>
      </c>
      <c r="R3425" s="318" t="str">
        <f t="shared" si="3359"/>
        <v/>
      </c>
      <c r="S3425" s="318" t="str">
        <f t="shared" si="8"/>
        <v/>
      </c>
    </row>
    <row r="3426">
      <c r="A3426" s="14" t="str">
        <f t="shared" si="1"/>
        <v>C146946141</v>
      </c>
      <c r="B3426" s="185">
        <f t="array" ref="B3426">IF(F3426="VL","",IF(F3426="Free","Free",XLOOKUP(D3426,Roster!T:T,Roster!S:S,"",0)))</f>
        <v>122</v>
      </c>
      <c r="C3426" s="313">
        <v>46141.0</v>
      </c>
      <c r="D3426" s="314" t="s">
        <v>48</v>
      </c>
      <c r="E3426" s="307" t="str">
        <f t="array" ref="E3426">(XLOOKUP(D3426,Roster!F:F,Roster!B:B,"",0))</f>
        <v>Juan Restrepo Restrepo</v>
      </c>
      <c r="F3426" s="315" t="str">
        <f t="array" ref="F3426">IF(B3426=100,"Free",TEXT(XLOOKUP($D3426,OperationVoice!$A:$A,OperationVoice!AI:AI,XLOOKUP($D3426,OperationTickets!$A:$A,OperationTickets!AI:AI,"",0)),"hh:mm"))</f>
        <v>08:00</v>
      </c>
      <c r="G3426" s="309">
        <f t="shared" si="3"/>
        <v>0.7083333333</v>
      </c>
      <c r="H3426" s="316" t="str">
        <f t="array" ref="H3426">XLOOKUP(B3426,Roster!L:L,Roster!N:N,XLOOKUP(D3426,TicketsBreak!A:A,TicketsBreak!E:E,"",0),0)</f>
        <v>09:30 - 09:45</v>
      </c>
      <c r="I3426" s="316" t="str">
        <f t="array" ref="I3426">XLOOKUP(B3426,Roster!L:L,Roster!O:O,XLOOKUP(D3426,TicketsBreak!A:A,TicketsBreak!F:F,"",0),0)</f>
        <v>12:00 - 12:30</v>
      </c>
      <c r="J3426" s="316" t="str">
        <f t="array" ref="J3426">XLOOKUP(B3426,Roster!L:L,Roster!P:P,XLOOKUP(D3426,TicketsBreak!A:A,TicketsBreak!G:G,"",0),0)</f>
        <v>14:45 - 15:00</v>
      </c>
      <c r="K3426" s="310">
        <f t="shared" si="4"/>
        <v>46141</v>
      </c>
      <c r="L3426" s="317">
        <f t="array" ref="L3426">(XLOOKUP(D3426,Roster!F:F,Roster!D:D,"",0))</f>
        <v>33</v>
      </c>
      <c r="M3426" s="317" t="str">
        <f t="array" ref="M3426">XLOOKUP(D3426,Roster!F:F,Roster!E:E)</f>
        <v>Voice</v>
      </c>
      <c r="N3426" s="317" t="str">
        <f t="shared" ref="N3426:P3426" si="3473">LEFT(H3426,5)</f>
        <v>09:30</v>
      </c>
      <c r="O3426" s="317" t="str">
        <f t="shared" si="3473"/>
        <v>12:00</v>
      </c>
      <c r="P3426" s="317" t="str">
        <f t="shared" si="3473"/>
        <v>14:45</v>
      </c>
      <c r="Q3426" s="318">
        <f t="shared" si="3358"/>
        <v>46141.39583</v>
      </c>
      <c r="R3426" s="318">
        <f t="shared" si="3359"/>
        <v>46141.5</v>
      </c>
      <c r="S3426" s="318">
        <f t="shared" si="8"/>
        <v>46141.61458</v>
      </c>
    </row>
    <row r="3427">
      <c r="A3427" s="14" t="str">
        <f t="shared" si="1"/>
        <v>C117146141</v>
      </c>
      <c r="B3427" s="185" t="str">
        <f t="array" ref="B3427">IF(F3427="VL","",IF(F3427="Free","Free",XLOOKUP(D3427,Roster!T:T,Roster!S:S,"",0)))</f>
        <v/>
      </c>
      <c r="C3427" s="313">
        <v>46141.0</v>
      </c>
      <c r="D3427" s="314" t="s">
        <v>142</v>
      </c>
      <c r="E3427" s="307" t="str">
        <f t="array" ref="E3427">(XLOOKUP(D3427,Roster!F:F,Roster!B:B,"",0))</f>
        <v>Juan Sanchez</v>
      </c>
      <c r="F3427" s="315" t="str">
        <f t="array" ref="F3427">IF(B3427=100,"Free",TEXT(XLOOKUP($D3427,OperationVoice!$A:$A,OperationVoice!AI:AI,XLOOKUP($D3427,OperationTickets!$A:$A,OperationTickets!AI:AI,"",0)),"hh:mm"))</f>
        <v>08:00</v>
      </c>
      <c r="G3427" s="309">
        <f t="shared" si="3"/>
        <v>0.7083333333</v>
      </c>
      <c r="H3427" s="316" t="str">
        <f t="array" ref="H3427">XLOOKUP(B3427,Roster!L:L,Roster!N:N,XLOOKUP(D3427,TicketsBreak!A:A,TicketsBreak!E:E,"",0),0)</f>
        <v/>
      </c>
      <c r="I3427" s="316" t="str">
        <f t="array" ref="I3427">XLOOKUP(B3427,Roster!L:L,Roster!O:O,XLOOKUP(D3427,TicketsBreak!A:A,TicketsBreak!F:F,"",0),0)</f>
        <v/>
      </c>
      <c r="J3427" s="316" t="str">
        <f t="array" ref="J3427">XLOOKUP(B3427,Roster!L:L,Roster!P:P,XLOOKUP(D3427,TicketsBreak!A:A,TicketsBreak!G:G,"",0),0)</f>
        <v/>
      </c>
      <c r="K3427" s="310">
        <f t="shared" si="4"/>
        <v>46141</v>
      </c>
      <c r="L3427" s="317">
        <f t="array" ref="L3427">(XLOOKUP(D3427,Roster!F:F,Roster!D:D,"",0))</f>
        <v>24</v>
      </c>
      <c r="M3427" s="317" t="str">
        <f t="array" ref="M3427">XLOOKUP(D3427,Roster!F:F,Roster!E:E)</f>
        <v>Tickets</v>
      </c>
      <c r="N3427" s="317" t="str">
        <f t="shared" ref="N3427:P3427" si="3474">LEFT(H3427,5)</f>
        <v/>
      </c>
      <c r="O3427" s="317" t="str">
        <f t="shared" si="3474"/>
        <v/>
      </c>
      <c r="P3427" s="317" t="str">
        <f t="shared" si="3474"/>
        <v/>
      </c>
      <c r="Q3427" s="318" t="str">
        <f t="shared" si="3358"/>
        <v/>
      </c>
      <c r="R3427" s="318" t="str">
        <f t="shared" si="3359"/>
        <v/>
      </c>
      <c r="S3427" s="318" t="str">
        <f t="shared" si="8"/>
        <v/>
      </c>
    </row>
    <row r="3428">
      <c r="A3428" s="14" t="str">
        <f t="shared" si="1"/>
        <v>C74346141</v>
      </c>
      <c r="B3428" s="185" t="str">
        <f t="array" ref="B3428">IF(F3428="VL","",IF(F3428="Free","Free",XLOOKUP(D3428,Roster!T:T,Roster!S:S,"",0)))</f>
        <v/>
      </c>
      <c r="C3428" s="313">
        <v>46141.0</v>
      </c>
      <c r="D3428" s="314" t="s">
        <v>164</v>
      </c>
      <c r="E3428" s="307" t="str">
        <f t="array" ref="E3428">(XLOOKUP(D3428,Roster!F:F,Roster!B:B,"",0))</f>
        <v>Juan Suarez</v>
      </c>
      <c r="F3428" s="315" t="str">
        <f t="array" ref="F3428">IF(B3428=100,"Free",TEXT(XLOOKUP($D3428,OperationVoice!$A:$A,OperationVoice!AI:AI,XLOOKUP($D3428,OperationTickets!$A:$A,OperationTickets!AI:AI,"",0)),"hh:mm"))</f>
        <v>08:30</v>
      </c>
      <c r="G3428" s="309">
        <f t="shared" si="3"/>
        <v>0.7291666667</v>
      </c>
      <c r="H3428" s="316">
        <f t="array" ref="H3428">XLOOKUP(B3428,Roster!L:L,Roster!N:N,XLOOKUP(D3428,TicketsBreak!A:A,TicketsBreak!E:E,"",0),0)</f>
        <v>0.3958333333</v>
      </c>
      <c r="I3428" s="316">
        <f t="array" ref="I3428">XLOOKUP(B3428,Roster!L:L,Roster!O:O,XLOOKUP(D3428,TicketsBreak!A:A,TicketsBreak!F:F,"",0),0)</f>
        <v>0.5208333333</v>
      </c>
      <c r="J3428" s="316">
        <f t="array" ref="J3428">XLOOKUP(B3428,Roster!L:L,Roster!P:P,XLOOKUP(D3428,TicketsBreak!A:A,TicketsBreak!G:G,"",0),0)</f>
        <v>0.6145833333</v>
      </c>
      <c r="K3428" s="310">
        <f t="shared" si="4"/>
        <v>46141</v>
      </c>
      <c r="L3428" s="317">
        <f t="array" ref="L3428">(XLOOKUP(D3428,Roster!F:F,Roster!D:D,"",0))</f>
        <v>8</v>
      </c>
      <c r="M3428" s="317" t="str">
        <f t="array" ref="M3428">XLOOKUP(D3428,Roster!F:F,Roster!E:E)</f>
        <v>Tickets</v>
      </c>
      <c r="N3428" s="317" t="str">
        <f t="shared" ref="N3428:P3428" si="3475">LEFT(H3428,5)</f>
        <v>09:30</v>
      </c>
      <c r="O3428" s="317" t="str">
        <f t="shared" si="3475"/>
        <v>12:30</v>
      </c>
      <c r="P3428" s="317" t="str">
        <f t="shared" si="3475"/>
        <v>14:45</v>
      </c>
      <c r="Q3428" s="318">
        <f t="shared" si="3358"/>
        <v>46141.39583</v>
      </c>
      <c r="R3428" s="318">
        <f t="shared" si="3359"/>
        <v>46141.52083</v>
      </c>
      <c r="S3428" s="318">
        <f t="shared" si="8"/>
        <v>46141.61458</v>
      </c>
    </row>
    <row r="3429">
      <c r="A3429" s="14" t="str">
        <f t="shared" si="1"/>
        <v>C156846141</v>
      </c>
      <c r="B3429" s="185">
        <f t="array" ref="B3429">IF(F3429="VL","",IF(F3429="Free","Free",XLOOKUP(D3429,Roster!T:T,Roster!S:S,"",0)))</f>
        <v>122</v>
      </c>
      <c r="C3429" s="313">
        <v>46141.0</v>
      </c>
      <c r="D3429" s="314" t="s">
        <v>49</v>
      </c>
      <c r="E3429" s="307" t="str">
        <f t="array" ref="E3429">(XLOOKUP(D3429,Roster!F:F,Roster!B:B,"",0))</f>
        <v>Juan Zapata</v>
      </c>
      <c r="F3429" s="315" t="str">
        <f t="array" ref="F3429">IF(B3429=100,"Free",TEXT(XLOOKUP($D3429,OperationVoice!$A:$A,OperationVoice!AI:AI,XLOOKUP($D3429,OperationTickets!$A:$A,OperationTickets!AI:AI,"",0)),"hh:mm"))</f>
        <v>08:00</v>
      </c>
      <c r="G3429" s="309">
        <f t="shared" si="3"/>
        <v>0.7083333333</v>
      </c>
      <c r="H3429" s="316" t="str">
        <f t="array" ref="H3429">XLOOKUP(B3429,Roster!L:L,Roster!N:N,XLOOKUP(D3429,TicketsBreak!A:A,TicketsBreak!E:E,"",0),0)</f>
        <v>09:30 - 09:45</v>
      </c>
      <c r="I3429" s="316" t="str">
        <f t="array" ref="I3429">XLOOKUP(B3429,Roster!L:L,Roster!O:O,XLOOKUP(D3429,TicketsBreak!A:A,TicketsBreak!F:F,"",0),0)</f>
        <v>12:00 - 12:30</v>
      </c>
      <c r="J3429" s="316" t="str">
        <f t="array" ref="J3429">XLOOKUP(B3429,Roster!L:L,Roster!P:P,XLOOKUP(D3429,TicketsBreak!A:A,TicketsBreak!G:G,"",0),0)</f>
        <v>14:45 - 15:00</v>
      </c>
      <c r="K3429" s="310">
        <f t="shared" si="4"/>
        <v>46141</v>
      </c>
      <c r="L3429" s="317">
        <f t="array" ref="L3429">(XLOOKUP(D3429,Roster!F:F,Roster!D:D,"",0))</f>
        <v>38</v>
      </c>
      <c r="M3429" s="317" t="str">
        <f t="array" ref="M3429">XLOOKUP(D3429,Roster!F:F,Roster!E:E)</f>
        <v>Voice</v>
      </c>
      <c r="N3429" s="317" t="str">
        <f t="shared" ref="N3429:P3429" si="3476">LEFT(H3429,5)</f>
        <v>09:30</v>
      </c>
      <c r="O3429" s="317" t="str">
        <f t="shared" si="3476"/>
        <v>12:00</v>
      </c>
      <c r="P3429" s="317" t="str">
        <f t="shared" si="3476"/>
        <v>14:45</v>
      </c>
      <c r="Q3429" s="318">
        <f t="shared" si="3358"/>
        <v>46141.39583</v>
      </c>
      <c r="R3429" s="318">
        <f t="shared" si="3359"/>
        <v>46141.5</v>
      </c>
      <c r="S3429" s="318">
        <f t="shared" si="8"/>
        <v>46141.61458</v>
      </c>
    </row>
    <row r="3430">
      <c r="A3430" s="14" t="str">
        <f t="shared" si="1"/>
        <v>C75546141</v>
      </c>
      <c r="B3430" s="185" t="str">
        <f t="array" ref="B3430">IF(F3430="VL","",IF(F3430="Free","Free",XLOOKUP(D3430,Roster!T:T,Roster!S:S,"",0)))</f>
        <v/>
      </c>
      <c r="C3430" s="313">
        <v>46141.0</v>
      </c>
      <c r="D3430" s="314" t="s">
        <v>143</v>
      </c>
      <c r="E3430" s="307" t="str">
        <f t="array" ref="E3430">(XLOOKUP(D3430,Roster!F:F,Roster!B:B,"",0))</f>
        <v>Julian Higuita</v>
      </c>
      <c r="F3430" s="315" t="str">
        <f t="array" ref="F3430">IF(B3430=100,"Free",TEXT(XLOOKUP($D3430,OperationVoice!$A:$A,OperationVoice!AI:AI,XLOOKUP($D3430,OperationTickets!$A:$A,OperationTickets!AI:AI,"",0)),"hh:mm"))</f>
        <v>08:00</v>
      </c>
      <c r="G3430" s="309">
        <f t="shared" si="3"/>
        <v>0.7083333333</v>
      </c>
      <c r="H3430" s="316" t="str">
        <f t="array" ref="H3430">XLOOKUP(B3430,Roster!L:L,Roster!N:N,XLOOKUP(D3430,TicketsBreak!A:A,TicketsBreak!E:E,"",0),0)</f>
        <v/>
      </c>
      <c r="I3430" s="316" t="str">
        <f t="array" ref="I3430">XLOOKUP(B3430,Roster!L:L,Roster!O:O,XLOOKUP(D3430,TicketsBreak!A:A,TicketsBreak!F:F,"",0),0)</f>
        <v/>
      </c>
      <c r="J3430" s="316" t="str">
        <f t="array" ref="J3430">XLOOKUP(B3430,Roster!L:L,Roster!P:P,XLOOKUP(D3430,TicketsBreak!A:A,TicketsBreak!G:G,"",0),0)</f>
        <v/>
      </c>
      <c r="K3430" s="310">
        <f t="shared" si="4"/>
        <v>46141</v>
      </c>
      <c r="L3430" s="317">
        <f t="array" ref="L3430">(XLOOKUP(D3430,Roster!F:F,Roster!D:D,"",0))</f>
        <v>35</v>
      </c>
      <c r="M3430" s="317" t="str">
        <f t="array" ref="M3430">XLOOKUP(D3430,Roster!F:F,Roster!E:E)</f>
        <v>Tickets</v>
      </c>
      <c r="N3430" s="317" t="str">
        <f t="shared" ref="N3430:P3430" si="3477">LEFT(H3430,5)</f>
        <v/>
      </c>
      <c r="O3430" s="317" t="str">
        <f t="shared" si="3477"/>
        <v/>
      </c>
      <c r="P3430" s="317" t="str">
        <f t="shared" si="3477"/>
        <v/>
      </c>
      <c r="Q3430" s="318" t="str">
        <f t="shared" si="3358"/>
        <v/>
      </c>
      <c r="R3430" s="318" t="str">
        <f t="shared" si="3359"/>
        <v/>
      </c>
      <c r="S3430" s="318" t="str">
        <f t="shared" si="8"/>
        <v/>
      </c>
    </row>
    <row r="3431">
      <c r="A3431" s="14" t="str">
        <f t="shared" si="1"/>
        <v>C52546141</v>
      </c>
      <c r="B3431" s="185" t="str">
        <f t="array" ref="B3431">IF(F3431="VL","",IF(F3431="Free","Free",XLOOKUP(D3431,Roster!T:T,Roster!S:S,"",0)))</f>
        <v>Free</v>
      </c>
      <c r="C3431" s="313">
        <v>46141.0</v>
      </c>
      <c r="D3431" s="314" t="s">
        <v>176</v>
      </c>
      <c r="E3431" s="307" t="str">
        <f t="array" ref="E3431">(XLOOKUP(D3431,Roster!F:F,Roster!B:B,"",0))</f>
        <v>Julian Pineda</v>
      </c>
      <c r="F3431" s="315" t="str">
        <f t="array" ref="F3431">IF(B3431=100,"Free",TEXT(XLOOKUP($D3431,OperationVoice!$A:$A,OperationVoice!AI:AI,XLOOKUP($D3431,OperationTickets!$A:$A,OperationTickets!AI:AI,"",0)),"hh:mm"))</f>
        <v>Free</v>
      </c>
      <c r="G3431" s="309" t="str">
        <f t="shared" si="3"/>
        <v>Free</v>
      </c>
      <c r="H3431" s="316" t="str">
        <f t="array" ref="H3431">XLOOKUP(B3431,Roster!L:L,Roster!N:N,XLOOKUP(D3431,TicketsBreak!A:A,TicketsBreak!E:E,"",0),0)</f>
        <v/>
      </c>
      <c r="I3431" s="316" t="str">
        <f t="array" ref="I3431">XLOOKUP(B3431,Roster!L:L,Roster!O:O,XLOOKUP(D3431,TicketsBreak!A:A,TicketsBreak!F:F,"",0),0)</f>
        <v/>
      </c>
      <c r="J3431" s="316" t="str">
        <f t="array" ref="J3431">XLOOKUP(B3431,Roster!L:L,Roster!P:P,XLOOKUP(D3431,TicketsBreak!A:A,TicketsBreak!G:G,"",0),0)</f>
        <v/>
      </c>
      <c r="K3431" s="310">
        <f t="shared" si="4"/>
        <v>46141</v>
      </c>
      <c r="L3431" s="317">
        <f t="array" ref="L3431">(XLOOKUP(D3431,Roster!F:F,Roster!D:D,"",0))</f>
        <v>35</v>
      </c>
      <c r="M3431" s="317" t="str">
        <f t="array" ref="M3431">XLOOKUP(D3431,Roster!F:F,Roster!E:E)</f>
        <v>Tickets</v>
      </c>
      <c r="N3431" s="317" t="str">
        <f t="shared" ref="N3431:P3431" si="3478">LEFT(H3431,5)</f>
        <v/>
      </c>
      <c r="O3431" s="317" t="str">
        <f t="shared" si="3478"/>
        <v/>
      </c>
      <c r="P3431" s="317" t="str">
        <f t="shared" si="3478"/>
        <v/>
      </c>
      <c r="Q3431" s="318" t="str">
        <f t="shared" si="3358"/>
        <v/>
      </c>
      <c r="R3431" s="318" t="str">
        <f t="shared" si="3359"/>
        <v/>
      </c>
      <c r="S3431" s="318" t="str">
        <f t="shared" si="8"/>
        <v/>
      </c>
    </row>
    <row r="3432">
      <c r="A3432" s="14" t="str">
        <f t="shared" si="1"/>
        <v>C142746141</v>
      </c>
      <c r="B3432" s="185">
        <f t="array" ref="B3432">IF(F3432="VL","",IF(F3432="Free","Free",XLOOKUP(D3432,Roster!T:T,Roster!S:S,"",0)))</f>
        <v>123</v>
      </c>
      <c r="C3432" s="313">
        <v>46141.0</v>
      </c>
      <c r="D3432" s="314" t="s">
        <v>50</v>
      </c>
      <c r="E3432" s="307" t="str">
        <f t="array" ref="E3432">(XLOOKUP(D3432,Roster!F:F,Roster!B:B,"",0))</f>
        <v>Karen Lorena Martinez</v>
      </c>
      <c r="F3432" s="315" t="str">
        <f t="array" ref="F3432">IF(B3432=100,"Free",TEXT(XLOOKUP($D3432,OperationVoice!$A:$A,OperationVoice!AI:AI,XLOOKUP($D3432,OperationTickets!$A:$A,OperationTickets!AI:AI,"",0)),"hh:mm"))</f>
        <v>08:00</v>
      </c>
      <c r="G3432" s="309">
        <f t="shared" si="3"/>
        <v>0.7083333333</v>
      </c>
      <c r="H3432" s="316" t="str">
        <f t="array" ref="H3432">XLOOKUP(B3432,Roster!L:L,Roster!N:N,XLOOKUP(D3432,TicketsBreak!A:A,TicketsBreak!E:E,"",0),0)</f>
        <v>09:45 - 10:00 </v>
      </c>
      <c r="I3432" s="316" t="str">
        <f t="array" ref="I3432">XLOOKUP(B3432,Roster!L:L,Roster!O:O,XLOOKUP(D3432,TicketsBreak!A:A,TicketsBreak!F:F,"",0),0)</f>
        <v>12:30 - 13:00</v>
      </c>
      <c r="J3432" s="316" t="str">
        <f t="array" ref="J3432">XLOOKUP(B3432,Roster!L:L,Roster!P:P,XLOOKUP(D3432,TicketsBreak!A:A,TicketsBreak!G:G,"",0),0)</f>
        <v>15:00 - 15:15</v>
      </c>
      <c r="K3432" s="310">
        <f t="shared" si="4"/>
        <v>46141</v>
      </c>
      <c r="L3432" s="317">
        <f t="array" ref="L3432">(XLOOKUP(D3432,Roster!F:F,Roster!D:D,"",0))</f>
        <v>32</v>
      </c>
      <c r="M3432" s="317" t="str">
        <f t="array" ref="M3432">XLOOKUP(D3432,Roster!F:F,Roster!E:E)</f>
        <v>Voice</v>
      </c>
      <c r="N3432" s="317" t="str">
        <f t="shared" ref="N3432:P3432" si="3479">LEFT(H3432,5)</f>
        <v>09:45</v>
      </c>
      <c r="O3432" s="317" t="str">
        <f t="shared" si="3479"/>
        <v>12:30</v>
      </c>
      <c r="P3432" s="317" t="str">
        <f t="shared" si="3479"/>
        <v>15:00</v>
      </c>
      <c r="Q3432" s="318">
        <f t="shared" si="3358"/>
        <v>46141.40625</v>
      </c>
      <c r="R3432" s="318">
        <f t="shared" si="3359"/>
        <v>46141.52083</v>
      </c>
      <c r="S3432" s="318">
        <f t="shared" si="8"/>
        <v>46141.625</v>
      </c>
    </row>
    <row r="3433">
      <c r="A3433" s="14" t="str">
        <f t="shared" si="1"/>
        <v>C57946141</v>
      </c>
      <c r="B3433" s="185" t="str">
        <f t="array" ref="B3433">IF(F3433="VL","",IF(F3433="Free","Free",XLOOKUP(D3433,Roster!T:T,Roster!S:S,"",0)))</f>
        <v/>
      </c>
      <c r="C3433" s="313">
        <v>46141.0</v>
      </c>
      <c r="D3433" s="314" t="s">
        <v>144</v>
      </c>
      <c r="E3433" s="307" t="str">
        <f t="array" ref="E3433">(XLOOKUP(D3433,Roster!F:F,Roster!B:B,"",0))</f>
        <v>Karen Martinez</v>
      </c>
      <c r="F3433" s="315" t="str">
        <f t="array" ref="F3433">IF(B3433=100,"Free",TEXT(XLOOKUP($D3433,OperationVoice!$A:$A,OperationVoice!AI:AI,XLOOKUP($D3433,OperationTickets!$A:$A,OperationTickets!AI:AI,"",0)),"hh:mm"))</f>
        <v>08:00</v>
      </c>
      <c r="G3433" s="309">
        <f t="shared" si="3"/>
        <v>0.7083333333</v>
      </c>
      <c r="H3433" s="316">
        <f t="array" ref="H3433">XLOOKUP(B3433,Roster!L:L,Roster!N:N,XLOOKUP(D3433,TicketsBreak!A:A,TicketsBreak!E:E,"",0),0)</f>
        <v>0.4166666667</v>
      </c>
      <c r="I3433" s="316">
        <f t="array" ref="I3433">XLOOKUP(B3433,Roster!L:L,Roster!O:O,XLOOKUP(D3433,TicketsBreak!A:A,TicketsBreak!F:F,"",0),0)</f>
        <v>0.5</v>
      </c>
      <c r="J3433" s="316">
        <f t="array" ref="J3433">XLOOKUP(B3433,Roster!L:L,Roster!P:P,XLOOKUP(D3433,TicketsBreak!A:A,TicketsBreak!G:G,"",0),0)</f>
        <v>0.625</v>
      </c>
      <c r="K3433" s="310">
        <f t="shared" si="4"/>
        <v>46141</v>
      </c>
      <c r="L3433" s="317">
        <f t="array" ref="L3433">(XLOOKUP(D3433,Roster!F:F,Roster!D:D,"",0))</f>
        <v>4</v>
      </c>
      <c r="M3433" s="317" t="str">
        <f t="array" ref="M3433">XLOOKUP(D3433,Roster!F:F,Roster!E:E)</f>
        <v>Tickets</v>
      </c>
      <c r="N3433" s="317" t="str">
        <f t="shared" ref="N3433:P3433" si="3480">LEFT(H3433,5)</f>
        <v>10:00</v>
      </c>
      <c r="O3433" s="317" t="str">
        <f t="shared" si="3480"/>
        <v>12:00</v>
      </c>
      <c r="P3433" s="317" t="str">
        <f t="shared" si="3480"/>
        <v>15:00</v>
      </c>
      <c r="Q3433" s="318">
        <f t="shared" si="3358"/>
        <v>46141.41667</v>
      </c>
      <c r="R3433" s="318">
        <f t="shared" si="3359"/>
        <v>46141.5</v>
      </c>
      <c r="S3433" s="318">
        <f t="shared" si="8"/>
        <v>46141.625</v>
      </c>
    </row>
    <row r="3434">
      <c r="A3434" s="14" t="str">
        <f t="shared" si="1"/>
        <v>C108646141</v>
      </c>
      <c r="B3434" s="185">
        <f t="array" ref="B3434">IF(F3434="VL","",IF(F3434="Free","Free",XLOOKUP(D3434,Roster!T:T,Roster!S:S,"",0)))</f>
        <v>124</v>
      </c>
      <c r="C3434" s="313">
        <v>46141.0</v>
      </c>
      <c r="D3434" s="314" t="s">
        <v>51</v>
      </c>
      <c r="E3434" s="307" t="str">
        <f t="array" ref="E3434">(XLOOKUP(D3434,Roster!F:F,Roster!B:B,"",0))</f>
        <v>Karen Panqueva</v>
      </c>
      <c r="F3434" s="315" t="str">
        <f t="array" ref="F3434">IF(B3434=100,"Free",TEXT(XLOOKUP($D3434,OperationVoice!$A:$A,OperationVoice!AI:AI,XLOOKUP($D3434,OperationTickets!$A:$A,OperationTickets!AI:AI,"",0)),"hh:mm"))</f>
        <v>08:00</v>
      </c>
      <c r="G3434" s="309">
        <f t="shared" si="3"/>
        <v>0.7083333333</v>
      </c>
      <c r="H3434" s="316" t="str">
        <f t="array" ref="H3434">XLOOKUP(B3434,Roster!L:L,Roster!N:N,XLOOKUP(D3434,TicketsBreak!A:A,TicketsBreak!E:E,"",0),0)</f>
        <v>10:00 - 10:15</v>
      </c>
      <c r="I3434" s="316" t="str">
        <f t="array" ref="I3434">XLOOKUP(B3434,Roster!L:L,Roster!O:O,XLOOKUP(D3434,TicketsBreak!A:A,TicketsBreak!F:F,"",0),0)</f>
        <v>13:00 - 13:30</v>
      </c>
      <c r="J3434" s="316" t="str">
        <f t="array" ref="J3434">XLOOKUP(B3434,Roster!L:L,Roster!P:P,XLOOKUP(D3434,TicketsBreak!A:A,TicketsBreak!G:G,"",0),0)</f>
        <v>15:30 - 15:45</v>
      </c>
      <c r="K3434" s="310">
        <f t="shared" si="4"/>
        <v>46141</v>
      </c>
      <c r="L3434" s="317">
        <f t="array" ref="L3434">(XLOOKUP(D3434,Roster!F:F,Roster!D:D,"",0))</f>
        <v>19</v>
      </c>
      <c r="M3434" s="317" t="str">
        <f t="array" ref="M3434">XLOOKUP(D3434,Roster!F:F,Roster!E:E)</f>
        <v>Voice</v>
      </c>
      <c r="N3434" s="317" t="str">
        <f t="shared" ref="N3434:P3434" si="3481">LEFT(H3434,5)</f>
        <v>10:00</v>
      </c>
      <c r="O3434" s="317" t="str">
        <f t="shared" si="3481"/>
        <v>13:00</v>
      </c>
      <c r="P3434" s="317" t="str">
        <f t="shared" si="3481"/>
        <v>15:30</v>
      </c>
      <c r="Q3434" s="318">
        <f t="shared" si="3358"/>
        <v>46141.41667</v>
      </c>
      <c r="R3434" s="318">
        <f t="shared" si="3359"/>
        <v>46141.54167</v>
      </c>
      <c r="S3434" s="318">
        <f t="shared" si="8"/>
        <v>46141.64583</v>
      </c>
    </row>
    <row r="3435">
      <c r="A3435" s="14" t="str">
        <f t="shared" si="1"/>
        <v>C149246141</v>
      </c>
      <c r="B3435" s="185">
        <f t="array" ref="B3435">IF(F3435="VL","",IF(F3435="Free","Free",XLOOKUP(D3435,Roster!T:T,Roster!S:S,"",0)))</f>
        <v>125</v>
      </c>
      <c r="C3435" s="313">
        <v>46141.0</v>
      </c>
      <c r="D3435" s="314" t="s">
        <v>52</v>
      </c>
      <c r="E3435" s="307" t="str">
        <f t="array" ref="E3435">(XLOOKUP(D3435,Roster!F:F,Roster!B:B,"",0))</f>
        <v>Karol Pineda</v>
      </c>
      <c r="F3435" s="315" t="str">
        <f t="array" ref="F3435">IF(B3435=100,"Free",TEXT(XLOOKUP($D3435,OperationVoice!$A:$A,OperationVoice!AI:AI,XLOOKUP($D3435,OperationTickets!$A:$A,OperationTickets!AI:AI,"",0)),"hh:mm"))</f>
        <v>08:00</v>
      </c>
      <c r="G3435" s="309">
        <f t="shared" si="3"/>
        <v>0.7083333333</v>
      </c>
      <c r="H3435" s="316" t="str">
        <f t="array" ref="H3435">XLOOKUP(B3435,Roster!L:L,Roster!N:N,XLOOKUP(D3435,TicketsBreak!A:A,TicketsBreak!E:E,"",0),0)</f>
        <v>10:30 - 10:45</v>
      </c>
      <c r="I3435" s="316" t="str">
        <f t="array" ref="I3435">XLOOKUP(B3435,Roster!L:L,Roster!O:O,XLOOKUP(D3435,TicketsBreak!A:A,TicketsBreak!F:F,"",0),0)</f>
        <v>13:30 - 14:00</v>
      </c>
      <c r="J3435" s="316" t="str">
        <f t="array" ref="J3435">XLOOKUP(B3435,Roster!L:L,Roster!P:P,XLOOKUP(D3435,TicketsBreak!A:A,TicketsBreak!G:G,"",0),0)</f>
        <v>15:45 - 16:00</v>
      </c>
      <c r="K3435" s="310">
        <f t="shared" si="4"/>
        <v>46141</v>
      </c>
      <c r="L3435" s="317">
        <f t="array" ref="L3435">(XLOOKUP(D3435,Roster!F:F,Roster!D:D,"",0))</f>
        <v>34</v>
      </c>
      <c r="M3435" s="317" t="str">
        <f t="array" ref="M3435">XLOOKUP(D3435,Roster!F:F,Roster!E:E)</f>
        <v>Voice</v>
      </c>
      <c r="N3435" s="317" t="str">
        <f t="shared" ref="N3435:P3435" si="3482">LEFT(H3435,5)</f>
        <v>10:30</v>
      </c>
      <c r="O3435" s="317" t="str">
        <f t="shared" si="3482"/>
        <v>13:30</v>
      </c>
      <c r="P3435" s="317" t="str">
        <f t="shared" si="3482"/>
        <v>15:45</v>
      </c>
      <c r="Q3435" s="318">
        <f t="shared" si="3358"/>
        <v>46141.4375</v>
      </c>
      <c r="R3435" s="318">
        <f t="shared" si="3359"/>
        <v>46141.5625</v>
      </c>
      <c r="S3435" s="318">
        <f t="shared" si="8"/>
        <v>46141.65625</v>
      </c>
    </row>
    <row r="3436">
      <c r="A3436" s="14" t="str">
        <f t="shared" si="1"/>
        <v>C65846141</v>
      </c>
      <c r="B3436" s="185">
        <f t="array" ref="B3436">IF(F3436="VL","",IF(F3436="Free","Free",XLOOKUP(D3436,Roster!T:T,Roster!S:S,"",0)))</f>
        <v>112</v>
      </c>
      <c r="C3436" s="313">
        <v>46141.0</v>
      </c>
      <c r="D3436" s="314" t="s">
        <v>53</v>
      </c>
      <c r="E3436" s="307" t="str">
        <f t="array" ref="E3436">(XLOOKUP(D3436,Roster!F:F,Roster!B:B,"",0))</f>
        <v>Kennedy Giraldo</v>
      </c>
      <c r="F3436" s="315" t="str">
        <f t="array" ref="F3436">IF(B3436=100,"Free",TEXT(XLOOKUP($D3436,OperationVoice!$A:$A,OperationVoice!AI:AI,XLOOKUP($D3436,OperationTickets!$A:$A,OperationTickets!AI:AI,"",0)),"hh:mm"))</f>
        <v>07:00</v>
      </c>
      <c r="G3436" s="309">
        <f t="shared" si="3"/>
        <v>0.6666666667</v>
      </c>
      <c r="H3436" s="316" t="str">
        <f t="array" ref="H3436">XLOOKUP(B3436,Roster!L:L,Roster!N:N,XLOOKUP(D3436,TicketsBreak!A:A,TicketsBreak!E:E,"",0),0)</f>
        <v>09:30 - 09:45</v>
      </c>
      <c r="I3436" s="316" t="str">
        <f t="array" ref="I3436">XLOOKUP(B3436,Roster!L:L,Roster!O:O,XLOOKUP(D3436,TicketsBreak!A:A,TicketsBreak!F:F,"",0),0)</f>
        <v>12:15 - 12:45</v>
      </c>
      <c r="J3436" s="316" t="str">
        <f t="array" ref="J3436">XLOOKUP(B3436,Roster!L:L,Roster!P:P,XLOOKUP(D3436,TicketsBreak!A:A,TicketsBreak!G:G,"",0),0)</f>
        <v>14:45 - 15:00</v>
      </c>
      <c r="K3436" s="310">
        <f t="shared" si="4"/>
        <v>46141</v>
      </c>
      <c r="L3436" s="317">
        <f t="array" ref="L3436">(XLOOKUP(D3436,Roster!F:F,Roster!D:D,"",0))</f>
        <v>2</v>
      </c>
      <c r="M3436" s="317" t="str">
        <f t="array" ref="M3436">XLOOKUP(D3436,Roster!F:F,Roster!E:E)</f>
        <v>Voice</v>
      </c>
      <c r="N3436" s="317" t="str">
        <f t="shared" ref="N3436:P3436" si="3483">LEFT(H3436,5)</f>
        <v>09:30</v>
      </c>
      <c r="O3436" s="317" t="str">
        <f t="shared" si="3483"/>
        <v>12:15</v>
      </c>
      <c r="P3436" s="317" t="str">
        <f t="shared" si="3483"/>
        <v>14:45</v>
      </c>
      <c r="Q3436" s="318">
        <f t="shared" si="3358"/>
        <v>46141.39583</v>
      </c>
      <c r="R3436" s="318">
        <f t="shared" si="3359"/>
        <v>46141.51042</v>
      </c>
      <c r="S3436" s="318">
        <f t="shared" si="8"/>
        <v>46141.61458</v>
      </c>
    </row>
    <row r="3437">
      <c r="A3437" s="14" t="str">
        <f t="shared" si="1"/>
        <v>C151446141</v>
      </c>
      <c r="B3437" s="185">
        <f t="array" ref="B3437">IF(F3437="VL","",IF(F3437="Free","Free",XLOOKUP(D3437,Roster!T:T,Roster!S:S,"",0)))</f>
        <v>122</v>
      </c>
      <c r="C3437" s="313">
        <v>46141.0</v>
      </c>
      <c r="D3437" s="314" t="s">
        <v>54</v>
      </c>
      <c r="E3437" s="307" t="str">
        <f t="array" ref="E3437">(XLOOKUP(D3437,Roster!F:F,Roster!B:B,"",0))</f>
        <v>Kevin Betancur</v>
      </c>
      <c r="F3437" s="315" t="str">
        <f t="array" ref="F3437">IF(B3437=100,"Free",TEXT(XLOOKUP($D3437,OperationVoice!$A:$A,OperationVoice!AI:AI,XLOOKUP($D3437,OperationTickets!$A:$A,OperationTickets!AI:AI,"",0)),"hh:mm"))</f>
        <v>08:00</v>
      </c>
      <c r="G3437" s="309">
        <f t="shared" si="3"/>
        <v>0.7083333333</v>
      </c>
      <c r="H3437" s="316" t="str">
        <f t="array" ref="H3437">XLOOKUP(B3437,Roster!L:L,Roster!N:N,XLOOKUP(D3437,TicketsBreak!A:A,TicketsBreak!E:E,"",0),0)</f>
        <v>09:30 - 09:45</v>
      </c>
      <c r="I3437" s="316" t="str">
        <f t="array" ref="I3437">XLOOKUP(B3437,Roster!L:L,Roster!O:O,XLOOKUP(D3437,TicketsBreak!A:A,TicketsBreak!F:F,"",0),0)</f>
        <v>12:00 - 12:30</v>
      </c>
      <c r="J3437" s="316" t="str">
        <f t="array" ref="J3437">XLOOKUP(B3437,Roster!L:L,Roster!P:P,XLOOKUP(D3437,TicketsBreak!A:A,TicketsBreak!G:G,"",0),0)</f>
        <v>14:45 - 15:00</v>
      </c>
      <c r="K3437" s="310">
        <f t="shared" si="4"/>
        <v>46141</v>
      </c>
      <c r="L3437" s="317">
        <f t="array" ref="L3437">(XLOOKUP(D3437,Roster!F:F,Roster!D:D,"",0))</f>
        <v>35</v>
      </c>
      <c r="M3437" s="317" t="str">
        <f t="array" ref="M3437">XLOOKUP(D3437,Roster!F:F,Roster!E:E)</f>
        <v>Voice</v>
      </c>
      <c r="N3437" s="317" t="str">
        <f t="shared" ref="N3437:P3437" si="3484">LEFT(H3437,5)</f>
        <v>09:30</v>
      </c>
      <c r="O3437" s="317" t="str">
        <f t="shared" si="3484"/>
        <v>12:00</v>
      </c>
      <c r="P3437" s="317" t="str">
        <f t="shared" si="3484"/>
        <v>14:45</v>
      </c>
      <c r="Q3437" s="318">
        <f t="shared" si="3358"/>
        <v>46141.39583</v>
      </c>
      <c r="R3437" s="318">
        <f t="shared" si="3359"/>
        <v>46141.5</v>
      </c>
      <c r="S3437" s="318">
        <f t="shared" si="8"/>
        <v>46141.61458</v>
      </c>
    </row>
    <row r="3438">
      <c r="A3438" s="14" t="str">
        <f t="shared" si="1"/>
        <v>C157146141</v>
      </c>
      <c r="B3438" s="185">
        <f t="array" ref="B3438">IF(F3438="VL","",IF(F3438="Free","Free",XLOOKUP(D3438,Roster!T:T,Roster!S:S,"",0)))</f>
        <v>123</v>
      </c>
      <c r="C3438" s="313">
        <v>46141.0</v>
      </c>
      <c r="D3438" s="314" t="s">
        <v>55</v>
      </c>
      <c r="E3438" s="307" t="str">
        <f t="array" ref="E3438">(XLOOKUP(D3438,Roster!F:F,Roster!B:B,"",0))</f>
        <v>Laura Chamorro</v>
      </c>
      <c r="F3438" s="315" t="str">
        <f t="array" ref="F3438">IF(B3438=100,"Free",TEXT(XLOOKUP($D3438,OperationVoice!$A:$A,OperationVoice!AI:AI,XLOOKUP($D3438,OperationTickets!$A:$A,OperationTickets!AI:AI,"",0)),"hh:mm"))</f>
        <v>08:00</v>
      </c>
      <c r="G3438" s="309">
        <f t="shared" si="3"/>
        <v>0.7083333333</v>
      </c>
      <c r="H3438" s="316" t="str">
        <f t="array" ref="H3438">XLOOKUP(B3438,Roster!L:L,Roster!N:N,XLOOKUP(D3438,TicketsBreak!A:A,TicketsBreak!E:E,"",0),0)</f>
        <v>09:45 - 10:00 </v>
      </c>
      <c r="I3438" s="316" t="str">
        <f t="array" ref="I3438">XLOOKUP(B3438,Roster!L:L,Roster!O:O,XLOOKUP(D3438,TicketsBreak!A:A,TicketsBreak!F:F,"",0),0)</f>
        <v>12:30 - 13:00</v>
      </c>
      <c r="J3438" s="316" t="str">
        <f t="array" ref="J3438">XLOOKUP(B3438,Roster!L:L,Roster!P:P,XLOOKUP(D3438,TicketsBreak!A:A,TicketsBreak!G:G,"",0),0)</f>
        <v>15:00 - 15:15</v>
      </c>
      <c r="K3438" s="310">
        <f t="shared" si="4"/>
        <v>46141</v>
      </c>
      <c r="L3438" s="317">
        <f t="array" ref="L3438">(XLOOKUP(D3438,Roster!F:F,Roster!D:D,"",0))</f>
        <v>38</v>
      </c>
      <c r="M3438" s="317" t="str">
        <f t="array" ref="M3438">XLOOKUP(D3438,Roster!F:F,Roster!E:E)</f>
        <v>Voice</v>
      </c>
      <c r="N3438" s="317" t="str">
        <f t="shared" ref="N3438:P3438" si="3485">LEFT(H3438,5)</f>
        <v>09:45</v>
      </c>
      <c r="O3438" s="317" t="str">
        <f t="shared" si="3485"/>
        <v>12:30</v>
      </c>
      <c r="P3438" s="317" t="str">
        <f t="shared" si="3485"/>
        <v>15:00</v>
      </c>
      <c r="Q3438" s="318">
        <f t="shared" si="3358"/>
        <v>46141.40625</v>
      </c>
      <c r="R3438" s="318">
        <f t="shared" si="3359"/>
        <v>46141.52083</v>
      </c>
      <c r="S3438" s="318">
        <f t="shared" si="8"/>
        <v>46141.625</v>
      </c>
    </row>
    <row r="3439">
      <c r="A3439" s="14" t="str">
        <f t="shared" si="1"/>
        <v>C53446141</v>
      </c>
      <c r="B3439" s="185" t="str">
        <f t="array" ref="B3439">IF(F3439="VL","",IF(F3439="Free","Free",XLOOKUP(D3439,Roster!T:T,Roster!S:S,"",0)))</f>
        <v/>
      </c>
      <c r="C3439" s="313">
        <v>46141.0</v>
      </c>
      <c r="D3439" s="314" t="s">
        <v>177</v>
      </c>
      <c r="E3439" s="307" t="str">
        <f t="array" ref="E3439">(XLOOKUP(D3439,Roster!F:F,Roster!B:B,"",0))</f>
        <v>Leandry La Rosa</v>
      </c>
      <c r="F3439" s="315" t="str">
        <f t="array" ref="F3439">IF(B3439=100,"Free",TEXT(XLOOKUP($D3439,OperationVoice!$A:$A,OperationVoice!AI:AI,XLOOKUP($D3439,OperationTickets!$A:$A,OperationTickets!AI:AI,"",0)),"hh:mm"))</f>
        <v>08:00</v>
      </c>
      <c r="G3439" s="309">
        <f t="shared" si="3"/>
        <v>0.7083333333</v>
      </c>
      <c r="H3439" s="316">
        <f t="array" ref="H3439">XLOOKUP(B3439,Roster!L:L,Roster!N:N,XLOOKUP(D3439,TicketsBreak!A:A,TicketsBreak!E:E,"",0),0)</f>
        <v>0.40625</v>
      </c>
      <c r="I3439" s="316">
        <f t="array" ref="I3439">XLOOKUP(B3439,Roster!L:L,Roster!O:O,XLOOKUP(D3439,TicketsBreak!A:A,TicketsBreak!F:F,"",0),0)</f>
        <v>0.5416666667</v>
      </c>
      <c r="J3439" s="316">
        <f t="array" ref="J3439">XLOOKUP(B3439,Roster!L:L,Roster!P:P,XLOOKUP(D3439,TicketsBreak!A:A,TicketsBreak!G:G,"",0),0)</f>
        <v>0.65625</v>
      </c>
      <c r="K3439" s="310">
        <f t="shared" si="4"/>
        <v>46141</v>
      </c>
      <c r="L3439" s="317">
        <f t="array" ref="L3439">(XLOOKUP(D3439,Roster!F:F,Roster!D:D,"",0))</f>
        <v>1</v>
      </c>
      <c r="M3439" s="317" t="str">
        <f t="array" ref="M3439">XLOOKUP(D3439,Roster!F:F,Roster!E:E)</f>
        <v>Tickets</v>
      </c>
      <c r="N3439" s="317" t="str">
        <f t="shared" ref="N3439:P3439" si="3486">LEFT(H3439,5)</f>
        <v>09:45</v>
      </c>
      <c r="O3439" s="317" t="str">
        <f t="shared" si="3486"/>
        <v>13:00</v>
      </c>
      <c r="P3439" s="317" t="str">
        <f t="shared" si="3486"/>
        <v>15:45</v>
      </c>
      <c r="Q3439" s="318">
        <f t="shared" si="3358"/>
        <v>46141.40625</v>
      </c>
      <c r="R3439" s="318">
        <f t="shared" si="3359"/>
        <v>46141.54167</v>
      </c>
      <c r="S3439" s="318">
        <f t="shared" si="8"/>
        <v>46141.65625</v>
      </c>
    </row>
    <row r="3440">
      <c r="A3440" s="14" t="str">
        <f t="shared" si="1"/>
        <v>C157846141</v>
      </c>
      <c r="B3440" s="185">
        <f t="array" ref="B3440">IF(F3440="VL","",IF(F3440="Free","Free",XLOOKUP(D3440,Roster!T:T,Roster!S:S,"",0)))</f>
        <v>125</v>
      </c>
      <c r="C3440" s="313">
        <v>46141.0</v>
      </c>
      <c r="D3440" s="314" t="s">
        <v>56</v>
      </c>
      <c r="E3440" s="307" t="str">
        <f t="array" ref="E3440">(XLOOKUP(D3440,Roster!F:F,Roster!B:B,"",0))</f>
        <v>Leonerrichi Caicedo</v>
      </c>
      <c r="F3440" s="315" t="str">
        <f t="array" ref="F3440">IF(B3440=100,"Free",TEXT(XLOOKUP($D3440,OperationVoice!$A:$A,OperationVoice!AI:AI,XLOOKUP($D3440,OperationTickets!$A:$A,OperationTickets!AI:AI,"",0)),"hh:mm"))</f>
        <v>08:00</v>
      </c>
      <c r="G3440" s="309">
        <f t="shared" si="3"/>
        <v>0.7083333333</v>
      </c>
      <c r="H3440" s="316" t="str">
        <f t="array" ref="H3440">XLOOKUP(B3440,Roster!L:L,Roster!N:N,XLOOKUP(D3440,TicketsBreak!A:A,TicketsBreak!E:E,"",0),0)</f>
        <v>10:30 - 10:45</v>
      </c>
      <c r="I3440" s="316" t="str">
        <f t="array" ref="I3440">XLOOKUP(B3440,Roster!L:L,Roster!O:O,XLOOKUP(D3440,TicketsBreak!A:A,TicketsBreak!F:F,"",0),0)</f>
        <v>13:30 - 14:00</v>
      </c>
      <c r="J3440" s="316" t="str">
        <f t="array" ref="J3440">XLOOKUP(B3440,Roster!L:L,Roster!P:P,XLOOKUP(D3440,TicketsBreak!A:A,TicketsBreak!G:G,"",0),0)</f>
        <v>15:45 - 16:00</v>
      </c>
      <c r="K3440" s="310">
        <f t="shared" si="4"/>
        <v>46141</v>
      </c>
      <c r="L3440" s="317">
        <f t="array" ref="L3440">(XLOOKUP(D3440,Roster!F:F,Roster!D:D,"",0))</f>
        <v>38</v>
      </c>
      <c r="M3440" s="317" t="str">
        <f t="array" ref="M3440">XLOOKUP(D3440,Roster!F:F,Roster!E:E)</f>
        <v>Voice</v>
      </c>
      <c r="N3440" s="317" t="str">
        <f t="shared" ref="N3440:P3440" si="3487">LEFT(H3440,5)</f>
        <v>10:30</v>
      </c>
      <c r="O3440" s="317" t="str">
        <f t="shared" si="3487"/>
        <v>13:30</v>
      </c>
      <c r="P3440" s="317" t="str">
        <f t="shared" si="3487"/>
        <v>15:45</v>
      </c>
      <c r="Q3440" s="318">
        <f t="shared" si="3358"/>
        <v>46141.4375</v>
      </c>
      <c r="R3440" s="318">
        <f t="shared" si="3359"/>
        <v>46141.5625</v>
      </c>
      <c r="S3440" s="318">
        <f t="shared" si="8"/>
        <v>46141.65625</v>
      </c>
    </row>
    <row r="3441">
      <c r="A3441" s="14" t="str">
        <f t="shared" si="1"/>
        <v>C53546141</v>
      </c>
      <c r="B3441" s="185" t="str">
        <f t="array" ref="B3441">IF(F3441="VL","",IF(F3441="Free","Free",XLOOKUP(D3441,Roster!T:T,Roster!S:S,"",0)))</f>
        <v/>
      </c>
      <c r="C3441" s="313">
        <v>46141.0</v>
      </c>
      <c r="D3441" s="314" t="s">
        <v>145</v>
      </c>
      <c r="E3441" s="307" t="str">
        <f t="array" ref="E3441">(XLOOKUP(D3441,Roster!F:F,Roster!B:B,"",0))</f>
        <v>Lina Cadena</v>
      </c>
      <c r="F3441" s="315" t="str">
        <f t="array" ref="F3441">IF(B3441=100,"Free",TEXT(XLOOKUP($D3441,OperationVoice!$A:$A,OperationVoice!AI:AI,XLOOKUP($D3441,OperationTickets!$A:$A,OperationTickets!AI:AI,"",0)),"hh:mm"))</f>
        <v>08:00</v>
      </c>
      <c r="G3441" s="309">
        <f t="shared" si="3"/>
        <v>0.7083333333</v>
      </c>
      <c r="H3441" s="316">
        <f t="array" ref="H3441">XLOOKUP(B3441,Roster!L:L,Roster!N:N,XLOOKUP(D3441,TicketsBreak!A:A,TicketsBreak!E:E,"",0),0)</f>
        <v>0.3854166667</v>
      </c>
      <c r="I3441" s="316">
        <f t="array" ref="I3441">XLOOKUP(B3441,Roster!L:L,Roster!O:O,XLOOKUP(D3441,TicketsBreak!A:A,TicketsBreak!F:F,"",0),0)</f>
        <v>0.5833333333</v>
      </c>
      <c r="J3441" s="316">
        <f t="array" ref="J3441">XLOOKUP(B3441,Roster!L:L,Roster!P:P,XLOOKUP(D3441,TicketsBreak!A:A,TicketsBreak!G:G,"",0),0)</f>
        <v>0.6458333333</v>
      </c>
      <c r="K3441" s="310">
        <f t="shared" si="4"/>
        <v>46141</v>
      </c>
      <c r="L3441" s="317">
        <f t="array" ref="L3441">(XLOOKUP(D3441,Roster!F:F,Roster!D:D,"",0))</f>
        <v>2</v>
      </c>
      <c r="M3441" s="317" t="str">
        <f t="array" ref="M3441">XLOOKUP(D3441,Roster!F:F,Roster!E:E)</f>
        <v>Tickets</v>
      </c>
      <c r="N3441" s="317" t="str">
        <f t="shared" ref="N3441:P3441" si="3488">LEFT(H3441,5)</f>
        <v>09:15</v>
      </c>
      <c r="O3441" s="317" t="str">
        <f t="shared" si="3488"/>
        <v>14:00</v>
      </c>
      <c r="P3441" s="317" t="str">
        <f t="shared" si="3488"/>
        <v>15:30</v>
      </c>
      <c r="Q3441" s="318">
        <f t="shared" si="3358"/>
        <v>46141.38542</v>
      </c>
      <c r="R3441" s="318">
        <f t="shared" si="3359"/>
        <v>46141.58333</v>
      </c>
      <c r="S3441" s="318">
        <f t="shared" si="8"/>
        <v>46141.64583</v>
      </c>
    </row>
    <row r="3442">
      <c r="A3442" s="14" t="str">
        <f t="shared" si="1"/>
        <v>C151746141</v>
      </c>
      <c r="B3442" s="185">
        <f t="array" ref="B3442">IF(F3442="VL","",IF(F3442="Free","Free",XLOOKUP(D3442,Roster!T:T,Roster!S:S,"",0)))</f>
        <v>124</v>
      </c>
      <c r="C3442" s="313">
        <v>46141.0</v>
      </c>
      <c r="D3442" s="314" t="s">
        <v>57</v>
      </c>
      <c r="E3442" s="307" t="str">
        <f t="array" ref="E3442">(XLOOKUP(D3442,Roster!F:F,Roster!B:B,"",0))</f>
        <v>Lisandro Alvarado</v>
      </c>
      <c r="F3442" s="315" t="str">
        <f t="array" ref="F3442">IF(B3442=100,"Free",TEXT(XLOOKUP($D3442,OperationVoice!$A:$A,OperationVoice!AI:AI,XLOOKUP($D3442,OperationTickets!$A:$A,OperationTickets!AI:AI,"",0)),"hh:mm"))</f>
        <v>08:00</v>
      </c>
      <c r="G3442" s="309">
        <f t="shared" si="3"/>
        <v>0.7083333333</v>
      </c>
      <c r="H3442" s="316" t="str">
        <f t="array" ref="H3442">XLOOKUP(B3442,Roster!L:L,Roster!N:N,XLOOKUP(D3442,TicketsBreak!A:A,TicketsBreak!E:E,"",0),0)</f>
        <v>10:00 - 10:15</v>
      </c>
      <c r="I3442" s="316" t="str">
        <f t="array" ref="I3442">XLOOKUP(B3442,Roster!L:L,Roster!O:O,XLOOKUP(D3442,TicketsBreak!A:A,TicketsBreak!F:F,"",0),0)</f>
        <v>13:00 - 13:30</v>
      </c>
      <c r="J3442" s="316" t="str">
        <f t="array" ref="J3442">XLOOKUP(B3442,Roster!L:L,Roster!P:P,XLOOKUP(D3442,TicketsBreak!A:A,TicketsBreak!G:G,"",0),0)</f>
        <v>15:30 - 15:45</v>
      </c>
      <c r="K3442" s="310">
        <f t="shared" si="4"/>
        <v>46141</v>
      </c>
      <c r="L3442" s="317">
        <f t="array" ref="L3442">(XLOOKUP(D3442,Roster!F:F,Roster!D:D,"",0))</f>
        <v>35</v>
      </c>
      <c r="M3442" s="317" t="str">
        <f t="array" ref="M3442">XLOOKUP(D3442,Roster!F:F,Roster!E:E)</f>
        <v>Voice</v>
      </c>
      <c r="N3442" s="317" t="str">
        <f t="shared" ref="N3442:P3442" si="3489">LEFT(H3442,5)</f>
        <v>10:00</v>
      </c>
      <c r="O3442" s="317" t="str">
        <f t="shared" si="3489"/>
        <v>13:00</v>
      </c>
      <c r="P3442" s="317" t="str">
        <f t="shared" si="3489"/>
        <v>15:30</v>
      </c>
      <c r="Q3442" s="318">
        <f t="shared" si="3358"/>
        <v>46141.41667</v>
      </c>
      <c r="R3442" s="318">
        <f t="shared" si="3359"/>
        <v>46141.54167</v>
      </c>
      <c r="S3442" s="318">
        <f t="shared" si="8"/>
        <v>46141.64583</v>
      </c>
    </row>
    <row r="3443">
      <c r="A3443" s="14" t="str">
        <f t="shared" si="1"/>
        <v>C143346141</v>
      </c>
      <c r="B3443" s="185">
        <f t="array" ref="B3443">IF(F3443="VL","",IF(F3443="Free","Free",XLOOKUP(D3443,Roster!T:T,Roster!S:S,"",0)))</f>
        <v>500</v>
      </c>
      <c r="C3443" s="313">
        <v>46141.0</v>
      </c>
      <c r="D3443" s="314" t="s">
        <v>58</v>
      </c>
      <c r="E3443" s="307" t="str">
        <f t="array" ref="E3443">(XLOOKUP(D3443,Roster!F:F,Roster!B:B,"",0))</f>
        <v>Luis Lopez</v>
      </c>
      <c r="F3443" s="315" t="str">
        <f t="array" ref="F3443">IF(B3443=100,"Free",TEXT(XLOOKUP($D3443,OperationVoice!$A:$A,OperationVoice!AI:AI,XLOOKUP($D3443,OperationTickets!$A:$A,OperationTickets!AI:AI,"",0)),"hh:mm"))</f>
        <v>10:00</v>
      </c>
      <c r="G3443" s="309">
        <f t="shared" si="3"/>
        <v>0.7916666667</v>
      </c>
      <c r="H3443" s="316" t="str">
        <f t="array" ref="H3443">XLOOKUP(B3443,Roster!L:L,Roster!N:N,XLOOKUP(D3443,TicketsBreak!A:A,TicketsBreak!E:E,"",0),0)</f>
        <v>Team Leader</v>
      </c>
      <c r="I3443" s="316" t="str">
        <f t="array" ref="I3443">XLOOKUP(B3443,Roster!L:L,Roster!O:O,XLOOKUP(D3443,TicketsBreak!A:A,TicketsBreak!F:F,"",0),0)</f>
        <v>Team Leader</v>
      </c>
      <c r="J3443" s="316" t="str">
        <f t="array" ref="J3443">XLOOKUP(B3443,Roster!L:L,Roster!P:P,XLOOKUP(D3443,TicketsBreak!A:A,TicketsBreak!G:G,"",0),0)</f>
        <v/>
      </c>
      <c r="K3443" s="310">
        <f t="shared" si="4"/>
        <v>46141</v>
      </c>
      <c r="L3443" s="317">
        <f t="array" ref="L3443">(XLOOKUP(D3443,Roster!F:F,Roster!D:D,"",0))</f>
        <v>32</v>
      </c>
      <c r="M3443" s="317" t="str">
        <f t="array" ref="M3443">XLOOKUP(D3443,Roster!F:F,Roster!E:E)</f>
        <v>Voice</v>
      </c>
      <c r="N3443" s="317" t="str">
        <f t="shared" ref="N3443:P3443" si="3490">LEFT(H3443,5)</f>
        <v>Team </v>
      </c>
      <c r="O3443" s="317" t="str">
        <f t="shared" si="3490"/>
        <v>Team </v>
      </c>
      <c r="P3443" s="317" t="str">
        <f t="shared" si="3490"/>
        <v/>
      </c>
      <c r="Q3443" s="318" t="str">
        <f t="shared" si="3358"/>
        <v>#VALUE!</v>
      </c>
      <c r="R3443" s="318" t="str">
        <f t="shared" si="3359"/>
        <v>#VALUE!</v>
      </c>
      <c r="S3443" s="318" t="str">
        <f t="shared" si="8"/>
        <v/>
      </c>
    </row>
    <row r="3444">
      <c r="A3444" s="14" t="str">
        <f t="shared" si="1"/>
        <v>C153446141</v>
      </c>
      <c r="B3444" s="185">
        <f t="array" ref="B3444">IF(F3444="VL","",IF(F3444="Free","Free",XLOOKUP(D3444,Roster!T:T,Roster!S:S,"",0)))</f>
        <v>126</v>
      </c>
      <c r="C3444" s="313">
        <v>46141.0</v>
      </c>
      <c r="D3444" s="314" t="s">
        <v>59</v>
      </c>
      <c r="E3444" s="307" t="str">
        <f t="array" ref="E3444">(XLOOKUP(D3444,Roster!F:F,Roster!B:B,"",0))</f>
        <v>Luis Munoz</v>
      </c>
      <c r="F3444" s="315" t="str">
        <f t="array" ref="F3444">IF(B3444=100,"Free",TEXT(XLOOKUP($D3444,OperationVoice!$A:$A,OperationVoice!AI:AI,XLOOKUP($D3444,OperationTickets!$A:$A,OperationTickets!AI:AI,"",0)),"hh:mm"))</f>
        <v>08:00</v>
      </c>
      <c r="G3444" s="309">
        <f t="shared" si="3"/>
        <v>0.7083333333</v>
      </c>
      <c r="H3444" s="316" t="str">
        <f t="array" ref="H3444">XLOOKUP(B3444,Roster!L:L,Roster!N:N,XLOOKUP(D3444,TicketsBreak!A:A,TicketsBreak!E:E,"",0),0)</f>
        <v>10:45 - 11:00</v>
      </c>
      <c r="I3444" s="316" t="str">
        <f t="array" ref="I3444">XLOOKUP(B3444,Roster!L:L,Roster!O:O,XLOOKUP(D3444,TicketsBreak!A:A,TicketsBreak!F:F,"",0),0)</f>
        <v>14:00 - 14:30</v>
      </c>
      <c r="J3444" s="316" t="str">
        <f t="array" ref="J3444">XLOOKUP(B3444,Roster!L:L,Roster!P:P,XLOOKUP(D3444,TicketsBreak!A:A,TicketsBreak!G:G,"",0),0)</f>
        <v>15:45 - 16:00</v>
      </c>
      <c r="K3444" s="310">
        <f t="shared" si="4"/>
        <v>46141</v>
      </c>
      <c r="L3444" s="317">
        <f t="array" ref="L3444">(XLOOKUP(D3444,Roster!F:F,Roster!D:D,"",0))</f>
        <v>36</v>
      </c>
      <c r="M3444" s="317" t="str">
        <f t="array" ref="M3444">XLOOKUP(D3444,Roster!F:F,Roster!E:E)</f>
        <v>Voice</v>
      </c>
      <c r="N3444" s="317" t="str">
        <f t="shared" ref="N3444:P3444" si="3491">LEFT(H3444,5)</f>
        <v>10:45</v>
      </c>
      <c r="O3444" s="317" t="str">
        <f t="shared" si="3491"/>
        <v>14:00</v>
      </c>
      <c r="P3444" s="317" t="str">
        <f t="shared" si="3491"/>
        <v>15:45</v>
      </c>
      <c r="Q3444" s="318">
        <f t="shared" si="3358"/>
        <v>46141.44792</v>
      </c>
      <c r="R3444" s="318">
        <f t="shared" si="3359"/>
        <v>46141.58333</v>
      </c>
      <c r="S3444" s="318">
        <f t="shared" si="8"/>
        <v>46141.65625</v>
      </c>
    </row>
    <row r="3445">
      <c r="A3445" s="14" t="str">
        <f t="shared" si="1"/>
        <v>C53846141</v>
      </c>
      <c r="B3445" s="185" t="str">
        <f t="array" ref="B3445">IF(F3445="VL","",IF(F3445="Free","Free",XLOOKUP(D3445,Roster!T:T,Roster!S:S,"",0)))</f>
        <v/>
      </c>
      <c r="C3445" s="313">
        <v>46141.0</v>
      </c>
      <c r="D3445" s="314" t="s">
        <v>165</v>
      </c>
      <c r="E3445" s="307" t="str">
        <f t="array" ref="E3445">(XLOOKUP(D3445,Roster!F:F,Roster!B:B,"",0))</f>
        <v>Luisa Arenas</v>
      </c>
      <c r="F3445" s="315" t="str">
        <f t="array" ref="F3445">IF(B3445=100,"Free",TEXT(XLOOKUP($D3445,OperationVoice!$A:$A,OperationVoice!AI:AI,XLOOKUP($D3445,OperationTickets!$A:$A,OperationTickets!AI:AI,"",0)),"hh:mm"))</f>
        <v>08:00</v>
      </c>
      <c r="G3445" s="309">
        <f t="shared" si="3"/>
        <v>0.7083333333</v>
      </c>
      <c r="H3445" s="316" t="str">
        <f t="array" ref="H3445">XLOOKUP(B3445,Roster!L:L,Roster!N:N,XLOOKUP(D3445,TicketsBreak!A:A,TicketsBreak!E:E,"",0),0)</f>
        <v/>
      </c>
      <c r="I3445" s="316" t="str">
        <f t="array" ref="I3445">XLOOKUP(B3445,Roster!L:L,Roster!O:O,XLOOKUP(D3445,TicketsBreak!A:A,TicketsBreak!F:F,"",0),0)</f>
        <v/>
      </c>
      <c r="J3445" s="316" t="str">
        <f t="array" ref="J3445">XLOOKUP(B3445,Roster!L:L,Roster!P:P,XLOOKUP(D3445,TicketsBreak!A:A,TicketsBreak!G:G,"",0),0)</f>
        <v/>
      </c>
      <c r="K3445" s="310">
        <f t="shared" si="4"/>
        <v>46141</v>
      </c>
      <c r="L3445" s="317">
        <f t="array" ref="L3445">(XLOOKUP(D3445,Roster!F:F,Roster!D:D,"",0))</f>
        <v>35</v>
      </c>
      <c r="M3445" s="317" t="str">
        <f t="array" ref="M3445">XLOOKUP(D3445,Roster!F:F,Roster!E:E)</f>
        <v>Tickets</v>
      </c>
      <c r="N3445" s="317" t="str">
        <f t="shared" ref="N3445:P3445" si="3492">LEFT(H3445,5)</f>
        <v/>
      </c>
      <c r="O3445" s="317" t="str">
        <f t="shared" si="3492"/>
        <v/>
      </c>
      <c r="P3445" s="317" t="str">
        <f t="shared" si="3492"/>
        <v/>
      </c>
      <c r="Q3445" s="318" t="str">
        <f t="shared" si="3358"/>
        <v/>
      </c>
      <c r="R3445" s="318" t="str">
        <f t="shared" si="3359"/>
        <v/>
      </c>
      <c r="S3445" s="318" t="str">
        <f t="shared" si="8"/>
        <v/>
      </c>
    </row>
    <row r="3446">
      <c r="A3446" s="14" t="str">
        <f t="shared" si="1"/>
        <v>C113646141</v>
      </c>
      <c r="B3446" s="185">
        <f t="array" ref="B3446">IF(F3446="VL","",IF(F3446="Free","Free",XLOOKUP(D3446,Roster!T:T,Roster!S:S,"",0)))</f>
        <v>126</v>
      </c>
      <c r="C3446" s="313">
        <v>46141.0</v>
      </c>
      <c r="D3446" s="314" t="s">
        <v>60</v>
      </c>
      <c r="E3446" s="307" t="str">
        <f t="array" ref="E3446">(XLOOKUP(D3446,Roster!F:F,Roster!B:B,"",0))</f>
        <v>Luisa Gonzalez</v>
      </c>
      <c r="F3446" s="315" t="str">
        <f t="array" ref="F3446">IF(B3446=100,"Free",TEXT(XLOOKUP($D3446,OperationVoice!$A:$A,OperationVoice!AI:AI,XLOOKUP($D3446,OperationTickets!$A:$A,OperationTickets!AI:AI,"",0)),"hh:mm"))</f>
        <v>08:00</v>
      </c>
      <c r="G3446" s="309">
        <f t="shared" si="3"/>
        <v>0.7083333333</v>
      </c>
      <c r="H3446" s="316" t="str">
        <f t="array" ref="H3446">XLOOKUP(B3446,Roster!L:L,Roster!N:N,XLOOKUP(D3446,TicketsBreak!A:A,TicketsBreak!E:E,"",0),0)</f>
        <v>10:45 - 11:00</v>
      </c>
      <c r="I3446" s="316" t="str">
        <f t="array" ref="I3446">XLOOKUP(B3446,Roster!L:L,Roster!O:O,XLOOKUP(D3446,TicketsBreak!A:A,TicketsBreak!F:F,"",0),0)</f>
        <v>14:00 - 14:30</v>
      </c>
      <c r="J3446" s="316" t="str">
        <f t="array" ref="J3446">XLOOKUP(B3446,Roster!L:L,Roster!P:P,XLOOKUP(D3446,TicketsBreak!A:A,TicketsBreak!G:G,"",0),0)</f>
        <v>15:45 - 16:00</v>
      </c>
      <c r="K3446" s="310">
        <f t="shared" si="4"/>
        <v>46141</v>
      </c>
      <c r="L3446" s="317">
        <f t="array" ref="L3446">(XLOOKUP(D3446,Roster!F:F,Roster!D:D,"",0))</f>
        <v>22</v>
      </c>
      <c r="M3446" s="317" t="str">
        <f t="array" ref="M3446">XLOOKUP(D3446,Roster!F:F,Roster!E:E)</f>
        <v>Voice</v>
      </c>
      <c r="N3446" s="317" t="str">
        <f t="shared" ref="N3446:P3446" si="3493">LEFT(H3446,5)</f>
        <v>10:45</v>
      </c>
      <c r="O3446" s="317" t="str">
        <f t="shared" si="3493"/>
        <v>14:00</v>
      </c>
      <c r="P3446" s="317" t="str">
        <f t="shared" si="3493"/>
        <v>15:45</v>
      </c>
      <c r="Q3446" s="318">
        <f t="shared" si="3358"/>
        <v>46141.44792</v>
      </c>
      <c r="R3446" s="318">
        <f t="shared" si="3359"/>
        <v>46141.58333</v>
      </c>
      <c r="S3446" s="318">
        <f t="shared" si="8"/>
        <v>46141.65625</v>
      </c>
    </row>
    <row r="3447">
      <c r="A3447" s="14" t="str">
        <f t="shared" si="1"/>
        <v>C157746141</v>
      </c>
      <c r="B3447" s="185">
        <f t="array" ref="B3447">IF(F3447="VL","",IF(F3447="Free","Free",XLOOKUP(D3447,Roster!T:T,Roster!S:S,"",0)))</f>
        <v>126</v>
      </c>
      <c r="C3447" s="313">
        <v>46141.0</v>
      </c>
      <c r="D3447" s="314" t="s">
        <v>61</v>
      </c>
      <c r="E3447" s="307" t="str">
        <f t="array" ref="E3447">(XLOOKUP(D3447,Roster!F:F,Roster!B:B,"",0))</f>
        <v>Luna Morales</v>
      </c>
      <c r="F3447" s="315" t="str">
        <f t="array" ref="F3447">IF(B3447=100,"Free",TEXT(XLOOKUP($D3447,OperationVoice!$A:$A,OperationVoice!AI:AI,XLOOKUP($D3447,OperationTickets!$A:$A,OperationTickets!AI:AI,"",0)),"hh:mm"))</f>
        <v>08:00</v>
      </c>
      <c r="G3447" s="309">
        <f t="shared" si="3"/>
        <v>0.7083333333</v>
      </c>
      <c r="H3447" s="316" t="str">
        <f t="array" ref="H3447">XLOOKUP(B3447,Roster!L:L,Roster!N:N,XLOOKUP(D3447,TicketsBreak!A:A,TicketsBreak!E:E,"",0),0)</f>
        <v>10:45 - 11:00</v>
      </c>
      <c r="I3447" s="316" t="str">
        <f t="array" ref="I3447">XLOOKUP(B3447,Roster!L:L,Roster!O:O,XLOOKUP(D3447,TicketsBreak!A:A,TicketsBreak!F:F,"",0),0)</f>
        <v>14:00 - 14:30</v>
      </c>
      <c r="J3447" s="316" t="str">
        <f t="array" ref="J3447">XLOOKUP(B3447,Roster!L:L,Roster!P:P,XLOOKUP(D3447,TicketsBreak!A:A,TicketsBreak!G:G,"",0),0)</f>
        <v>15:45 - 16:00</v>
      </c>
      <c r="K3447" s="310">
        <f t="shared" si="4"/>
        <v>46141</v>
      </c>
      <c r="L3447" s="317">
        <f t="array" ref="L3447">(XLOOKUP(D3447,Roster!F:F,Roster!D:D,"",0))</f>
        <v>38</v>
      </c>
      <c r="M3447" s="317" t="str">
        <f t="array" ref="M3447">XLOOKUP(D3447,Roster!F:F,Roster!E:E)</f>
        <v>Voice</v>
      </c>
      <c r="N3447" s="317" t="str">
        <f t="shared" ref="N3447:P3447" si="3494">LEFT(H3447,5)</f>
        <v>10:45</v>
      </c>
      <c r="O3447" s="317" t="str">
        <f t="shared" si="3494"/>
        <v>14:00</v>
      </c>
      <c r="P3447" s="317" t="str">
        <f t="shared" si="3494"/>
        <v>15:45</v>
      </c>
      <c r="Q3447" s="318">
        <f t="shared" si="3358"/>
        <v>46141.44792</v>
      </c>
      <c r="R3447" s="318">
        <f t="shared" si="3359"/>
        <v>46141.58333</v>
      </c>
      <c r="S3447" s="318">
        <f t="shared" si="8"/>
        <v>46141.65625</v>
      </c>
    </row>
    <row r="3448">
      <c r="A3448" s="14" t="str">
        <f t="shared" si="1"/>
        <v>C121946141</v>
      </c>
      <c r="B3448" s="185" t="str">
        <f t="array" ref="B3448">IF(F3448="VL","",IF(F3448="Free","Free",XLOOKUP(D3448,Roster!T:T,Roster!S:S,"",0)))</f>
        <v>Free</v>
      </c>
      <c r="C3448" s="313">
        <v>46141.0</v>
      </c>
      <c r="D3448" s="314" t="s">
        <v>146</v>
      </c>
      <c r="E3448" s="307" t="str">
        <f t="array" ref="E3448">(XLOOKUP(D3448,Roster!F:F,Roster!B:B,"",0))</f>
        <v>Madelyn Jaramillo</v>
      </c>
      <c r="F3448" s="315" t="str">
        <f t="array" ref="F3448">IF(B3448=100,"Free",TEXT(XLOOKUP($D3448,OperationVoice!$A:$A,OperationVoice!AI:AI,XLOOKUP($D3448,OperationTickets!$A:$A,OperationTickets!AI:AI,"",0)),"hh:mm"))</f>
        <v>Free</v>
      </c>
      <c r="G3448" s="309" t="str">
        <f t="shared" si="3"/>
        <v>Free</v>
      </c>
      <c r="H3448" s="316" t="str">
        <f t="array" ref="H3448">XLOOKUP(B3448,Roster!L:L,Roster!N:N,XLOOKUP(D3448,TicketsBreak!A:A,TicketsBreak!E:E,"",0),0)</f>
        <v/>
      </c>
      <c r="I3448" s="316" t="str">
        <f t="array" ref="I3448">XLOOKUP(B3448,Roster!L:L,Roster!O:O,XLOOKUP(D3448,TicketsBreak!A:A,TicketsBreak!F:F,"",0),0)</f>
        <v/>
      </c>
      <c r="J3448" s="316" t="str">
        <f t="array" ref="J3448">XLOOKUP(B3448,Roster!L:L,Roster!P:P,XLOOKUP(D3448,TicketsBreak!A:A,TicketsBreak!G:G,"",0),0)</f>
        <v/>
      </c>
      <c r="K3448" s="310">
        <f t="shared" si="4"/>
        <v>46141</v>
      </c>
      <c r="L3448" s="317">
        <f t="array" ref="L3448">(XLOOKUP(D3448,Roster!F:F,Roster!D:D,"",0))</f>
        <v>26</v>
      </c>
      <c r="M3448" s="317" t="str">
        <f t="array" ref="M3448">XLOOKUP(D3448,Roster!F:F,Roster!E:E)</f>
        <v>Tickets</v>
      </c>
      <c r="N3448" s="317" t="str">
        <f t="shared" ref="N3448:P3448" si="3495">LEFT(H3448,5)</f>
        <v/>
      </c>
      <c r="O3448" s="317" t="str">
        <f t="shared" si="3495"/>
        <v/>
      </c>
      <c r="P3448" s="317" t="str">
        <f t="shared" si="3495"/>
        <v/>
      </c>
      <c r="Q3448" s="318" t="str">
        <f t="shared" si="3358"/>
        <v/>
      </c>
      <c r="R3448" s="318" t="str">
        <f t="shared" si="3359"/>
        <v/>
      </c>
      <c r="S3448" s="318" t="str">
        <f t="shared" si="8"/>
        <v/>
      </c>
    </row>
    <row r="3449">
      <c r="A3449" s="14" t="str">
        <f t="shared" si="1"/>
        <v>C151646141</v>
      </c>
      <c r="B3449" s="185">
        <f t="array" ref="B3449">IF(F3449="VL","",IF(F3449="Free","Free",XLOOKUP(D3449,Roster!T:T,Roster!S:S,"",0)))</f>
        <v>122</v>
      </c>
      <c r="C3449" s="313">
        <v>46141.0</v>
      </c>
      <c r="D3449" s="314" t="s">
        <v>62</v>
      </c>
      <c r="E3449" s="307" t="str">
        <f t="array" ref="E3449">(XLOOKUP(D3449,Roster!F:F,Roster!B:B,"",0))</f>
        <v>Magda Foronda</v>
      </c>
      <c r="F3449" s="315" t="str">
        <f t="array" ref="F3449">IF(B3449=100,"Free",TEXT(XLOOKUP($D3449,OperationVoice!$A:$A,OperationVoice!AI:AI,XLOOKUP($D3449,OperationTickets!$A:$A,OperationTickets!AI:AI,"",0)),"hh:mm"))</f>
        <v>08:00</v>
      </c>
      <c r="G3449" s="309">
        <f t="shared" si="3"/>
        <v>0.7083333333</v>
      </c>
      <c r="H3449" s="316" t="str">
        <f t="array" ref="H3449">XLOOKUP(B3449,Roster!L:L,Roster!N:N,XLOOKUP(D3449,TicketsBreak!A:A,TicketsBreak!E:E,"",0),0)</f>
        <v>09:30 - 09:45</v>
      </c>
      <c r="I3449" s="316" t="str">
        <f t="array" ref="I3449">XLOOKUP(B3449,Roster!L:L,Roster!O:O,XLOOKUP(D3449,TicketsBreak!A:A,TicketsBreak!F:F,"",0),0)</f>
        <v>12:00 - 12:30</v>
      </c>
      <c r="J3449" s="316" t="str">
        <f t="array" ref="J3449">XLOOKUP(B3449,Roster!L:L,Roster!P:P,XLOOKUP(D3449,TicketsBreak!A:A,TicketsBreak!G:G,"",0),0)</f>
        <v>14:45 - 15:00</v>
      </c>
      <c r="K3449" s="310">
        <f t="shared" si="4"/>
        <v>46141</v>
      </c>
      <c r="L3449" s="317">
        <f t="array" ref="L3449">(XLOOKUP(D3449,Roster!F:F,Roster!D:D,"",0))</f>
        <v>35</v>
      </c>
      <c r="M3449" s="317" t="str">
        <f t="array" ref="M3449">XLOOKUP(D3449,Roster!F:F,Roster!E:E)</f>
        <v>Voice</v>
      </c>
      <c r="N3449" s="317" t="str">
        <f t="shared" ref="N3449:P3449" si="3496">LEFT(H3449,5)</f>
        <v>09:30</v>
      </c>
      <c r="O3449" s="317" t="str">
        <f t="shared" si="3496"/>
        <v>12:00</v>
      </c>
      <c r="P3449" s="317" t="str">
        <f t="shared" si="3496"/>
        <v>14:45</v>
      </c>
      <c r="Q3449" s="318">
        <f t="shared" si="3358"/>
        <v>46141.39583</v>
      </c>
      <c r="R3449" s="318">
        <f t="shared" si="3359"/>
        <v>46141.5</v>
      </c>
      <c r="S3449" s="318">
        <f t="shared" si="8"/>
        <v>46141.61458</v>
      </c>
    </row>
    <row r="3450">
      <c r="A3450" s="14" t="str">
        <f t="shared" si="1"/>
        <v>C118046141</v>
      </c>
      <c r="B3450" s="185">
        <f t="array" ref="B3450">IF(F3450="VL","",IF(F3450="Free","Free",XLOOKUP(D3450,Roster!T:T,Roster!S:S,"",0)))</f>
        <v>500</v>
      </c>
      <c r="C3450" s="313">
        <v>46141.0</v>
      </c>
      <c r="D3450" s="314" t="s">
        <v>147</v>
      </c>
      <c r="E3450" s="307" t="str">
        <f t="array" ref="E3450">(XLOOKUP(D3450,Roster!F:F,Roster!B:B,"",0))</f>
        <v>Manuela Moreno</v>
      </c>
      <c r="F3450" s="315" t="str">
        <f t="array" ref="F3450">IF(B3450=100,"Free",TEXT(XLOOKUP($D3450,OperationVoice!$A:$A,OperationVoice!AI:AI,XLOOKUP($D3450,OperationTickets!$A:$A,OperationTickets!AI:AI,"",0)),"hh:mm"))</f>
        <v>09:00</v>
      </c>
      <c r="G3450" s="309">
        <f t="shared" si="3"/>
        <v>0.75</v>
      </c>
      <c r="H3450" s="316" t="str">
        <f t="array" ref="H3450">XLOOKUP(B3450,Roster!L:L,Roster!N:N,XLOOKUP(D3450,TicketsBreak!A:A,TicketsBreak!E:E,"",0),0)</f>
        <v>Team Leader</v>
      </c>
      <c r="I3450" s="316" t="str">
        <f t="array" ref="I3450">XLOOKUP(B3450,Roster!L:L,Roster!O:O,XLOOKUP(D3450,TicketsBreak!A:A,TicketsBreak!F:F,"",0),0)</f>
        <v>Team Leader</v>
      </c>
      <c r="J3450" s="316" t="str">
        <f t="array" ref="J3450">XLOOKUP(B3450,Roster!L:L,Roster!P:P,XLOOKUP(D3450,TicketsBreak!A:A,TicketsBreak!G:G,"",0),0)</f>
        <v/>
      </c>
      <c r="K3450" s="310">
        <f t="shared" si="4"/>
        <v>46141</v>
      </c>
      <c r="L3450" s="317">
        <f t="array" ref="L3450">(XLOOKUP(D3450,Roster!F:F,Roster!D:D,"",0))</f>
        <v>24</v>
      </c>
      <c r="M3450" s="317" t="str">
        <f t="array" ref="M3450">XLOOKUP(D3450,Roster!F:F,Roster!E:E)</f>
        <v>Tickets</v>
      </c>
      <c r="N3450" s="317" t="str">
        <f t="shared" ref="N3450:P3450" si="3497">LEFT(H3450,5)</f>
        <v>Team </v>
      </c>
      <c r="O3450" s="317" t="str">
        <f t="shared" si="3497"/>
        <v>Team </v>
      </c>
      <c r="P3450" s="317" t="str">
        <f t="shared" si="3497"/>
        <v/>
      </c>
      <c r="Q3450" s="318" t="str">
        <f>IF(P3450="","",$C3450+N3450)</f>
        <v/>
      </c>
      <c r="R3450" s="318" t="str">
        <f>if(P3450="","",$C3450+O3450)</f>
        <v/>
      </c>
      <c r="S3450" s="318" t="str">
        <f t="shared" si="8"/>
        <v/>
      </c>
    </row>
    <row r="3451">
      <c r="A3451" s="14" t="str">
        <f t="shared" si="1"/>
        <v>C153646141</v>
      </c>
      <c r="B3451" s="185">
        <f t="array" ref="B3451">IF(F3451="VL","",IF(F3451="Free","Free",XLOOKUP(D3451,Roster!T:T,Roster!S:S,"",0)))</f>
        <v>121</v>
      </c>
      <c r="C3451" s="313">
        <v>46141.0</v>
      </c>
      <c r="D3451" s="314" t="s">
        <v>63</v>
      </c>
      <c r="E3451" s="307" t="str">
        <f t="array" ref="E3451">(XLOOKUP(D3451,Roster!F:F,Roster!B:B,"",0))</f>
        <v>Maria Mesa</v>
      </c>
      <c r="F3451" s="315" t="str">
        <f t="array" ref="F3451">IF(B3451=100,"Free",TEXT(XLOOKUP($D3451,OperationVoice!$A:$A,OperationVoice!AI:AI,XLOOKUP($D3451,OperationTickets!$A:$A,OperationTickets!AI:AI,"",0)),"hh:mm"))</f>
        <v>08:00</v>
      </c>
      <c r="G3451" s="309">
        <f t="shared" si="3"/>
        <v>0.7083333333</v>
      </c>
      <c r="H3451" s="316" t="str">
        <f t="array" ref="H3451">XLOOKUP(B3451,Roster!L:L,Roster!N:N,XLOOKUP(D3451,TicketsBreak!A:A,TicketsBreak!E:E,"",0),0)</f>
        <v>09:15 - 09:30</v>
      </c>
      <c r="I3451" s="316" t="str">
        <f t="array" ref="I3451">XLOOKUP(B3451,Roster!L:L,Roster!O:O,XLOOKUP(D3451,TicketsBreak!A:A,TicketsBreak!F:F,"",0),0)</f>
        <v>11:30 - 12:00</v>
      </c>
      <c r="J3451" s="316" t="str">
        <f t="array" ref="J3451">XLOOKUP(B3451,Roster!L:L,Roster!P:P,XLOOKUP(D3451,TicketsBreak!A:A,TicketsBreak!G:G,"",0),0)</f>
        <v>14:30 - 14:45</v>
      </c>
      <c r="K3451" s="310">
        <f t="shared" si="4"/>
        <v>46141</v>
      </c>
      <c r="L3451" s="317">
        <f t="array" ref="L3451">(XLOOKUP(D3451,Roster!F:F,Roster!D:D,"",0))</f>
        <v>36</v>
      </c>
      <c r="M3451" s="317" t="str">
        <f t="array" ref="M3451">XLOOKUP(D3451,Roster!F:F,Roster!E:E)</f>
        <v>Voice</v>
      </c>
      <c r="N3451" s="317" t="str">
        <f t="shared" ref="N3451:P3451" si="3498">LEFT(H3451,5)</f>
        <v>09:15</v>
      </c>
      <c r="O3451" s="317" t="str">
        <f t="shared" si="3498"/>
        <v>11:30</v>
      </c>
      <c r="P3451" s="317" t="str">
        <f t="shared" si="3498"/>
        <v>14:30</v>
      </c>
      <c r="Q3451" s="318">
        <f t="shared" ref="Q3451:Q3597" si="3500">IF(N3451="","",$C3451+N3451)</f>
        <v>46141.38542</v>
      </c>
      <c r="R3451" s="318">
        <f t="shared" ref="R3451:R3597" si="3501">if(O3451="","",$C3451+O3451)</f>
        <v>46141.47917</v>
      </c>
      <c r="S3451" s="318">
        <f t="shared" si="8"/>
        <v>46141.60417</v>
      </c>
    </row>
    <row r="3452">
      <c r="A3452" s="14" t="str">
        <f t="shared" si="1"/>
        <v>C74046141</v>
      </c>
      <c r="B3452" s="185" t="str">
        <f t="array" ref="B3452">IF(F3452="VL","",IF(F3452="Free","Free",XLOOKUP(D3452,Roster!T:T,Roster!S:S,"",0)))</f>
        <v/>
      </c>
      <c r="C3452" s="313">
        <v>46141.0</v>
      </c>
      <c r="D3452" s="314" t="s">
        <v>166</v>
      </c>
      <c r="E3452" s="307" t="str">
        <f t="array" ref="E3452">(XLOOKUP(D3452,Roster!F:F,Roster!B:B,"",0))</f>
        <v>Mateo Agudelo</v>
      </c>
      <c r="F3452" s="315" t="str">
        <f t="array" ref="F3452">IF(B3452=100,"Free",TEXT(XLOOKUP($D3452,OperationVoice!$A:$A,OperationVoice!AI:AI,XLOOKUP($D3452,OperationTickets!$A:$A,OperationTickets!AI:AI,"",0)),"hh:mm"))</f>
        <v>VL</v>
      </c>
      <c r="G3452" s="309" t="str">
        <f t="shared" si="3"/>
        <v>VL</v>
      </c>
      <c r="H3452" s="316">
        <f t="array" ref="H3452">XLOOKUP(B3452,Roster!L:L,Roster!N:N,XLOOKUP(D3452,TicketsBreak!A:A,TicketsBreak!E:E,"",0),0)</f>
        <v>0.4166666667</v>
      </c>
      <c r="I3452" s="316">
        <f t="array" ref="I3452">XLOOKUP(B3452,Roster!L:L,Roster!O:O,XLOOKUP(D3452,TicketsBreak!A:A,TicketsBreak!F:F,"",0),0)</f>
        <v>0.5</v>
      </c>
      <c r="J3452" s="316">
        <f t="array" ref="J3452">XLOOKUP(B3452,Roster!L:L,Roster!P:P,XLOOKUP(D3452,TicketsBreak!A:A,TicketsBreak!G:G,"",0),0)</f>
        <v>0.65625</v>
      </c>
      <c r="K3452" s="310">
        <f t="shared" si="4"/>
        <v>46141</v>
      </c>
      <c r="L3452" s="317">
        <f t="array" ref="L3452">(XLOOKUP(D3452,Roster!F:F,Roster!D:D,"",0))</f>
        <v>8</v>
      </c>
      <c r="M3452" s="317" t="str">
        <f t="array" ref="M3452">XLOOKUP(D3452,Roster!F:F,Roster!E:E)</f>
        <v>Tickets</v>
      </c>
      <c r="N3452" s="317" t="str">
        <f t="shared" ref="N3452:P3452" si="3499">LEFT(H3452,5)</f>
        <v>10:00</v>
      </c>
      <c r="O3452" s="317" t="str">
        <f t="shared" si="3499"/>
        <v>12:00</v>
      </c>
      <c r="P3452" s="317" t="str">
        <f t="shared" si="3499"/>
        <v>15:45</v>
      </c>
      <c r="Q3452" s="318">
        <f t="shared" si="3500"/>
        <v>46141.41667</v>
      </c>
      <c r="R3452" s="318">
        <f t="shared" si="3501"/>
        <v>46141.5</v>
      </c>
      <c r="S3452" s="318">
        <f t="shared" si="8"/>
        <v>46141.65625</v>
      </c>
    </row>
    <row r="3453">
      <c r="A3453" s="14" t="str">
        <f t="shared" si="1"/>
        <v>C142946141</v>
      </c>
      <c r="B3453" s="185" t="str">
        <f t="array" ref="B3453">IF(F3453="VL","",IF(F3453="Free","Free",XLOOKUP(D3453,Roster!T:T,Roster!S:S,"",0)))</f>
        <v>Free</v>
      </c>
      <c r="C3453" s="313">
        <v>46141.0</v>
      </c>
      <c r="D3453" s="314" t="s">
        <v>178</v>
      </c>
      <c r="E3453" s="307" t="str">
        <f t="array" ref="E3453">(XLOOKUP(D3453,Roster!F:F,Roster!B:B,"",0))</f>
        <v>Mateo Vanegas</v>
      </c>
      <c r="F3453" s="315" t="str">
        <f t="array" ref="F3453">IF(B3453=100,"Free",TEXT(XLOOKUP($D3453,OperationVoice!$A:$A,OperationVoice!AI:AI,XLOOKUP($D3453,OperationTickets!$A:$A,OperationTickets!AI:AI,"",0)),"hh:mm"))</f>
        <v>Free</v>
      </c>
      <c r="G3453" s="309" t="str">
        <f t="shared" si="3"/>
        <v>Free</v>
      </c>
      <c r="H3453" s="316" t="str">
        <f t="array" ref="H3453">XLOOKUP(B3453,Roster!L:L,Roster!N:N,XLOOKUP(D3453,TicketsBreak!A:A,TicketsBreak!E:E,"",0),0)</f>
        <v/>
      </c>
      <c r="I3453" s="316" t="str">
        <f t="array" ref="I3453">XLOOKUP(B3453,Roster!L:L,Roster!O:O,XLOOKUP(D3453,TicketsBreak!A:A,TicketsBreak!F:F,"",0),0)</f>
        <v/>
      </c>
      <c r="J3453" s="316" t="str">
        <f t="array" ref="J3453">XLOOKUP(B3453,Roster!L:L,Roster!P:P,XLOOKUP(D3453,TicketsBreak!A:A,TicketsBreak!G:G,"",0),0)</f>
        <v/>
      </c>
      <c r="K3453" s="310">
        <f t="shared" si="4"/>
        <v>46141</v>
      </c>
      <c r="L3453" s="317">
        <f t="array" ref="L3453">(XLOOKUP(D3453,Roster!F:F,Roster!D:D,"",0))</f>
        <v>32</v>
      </c>
      <c r="M3453" s="317" t="str">
        <f t="array" ref="M3453">XLOOKUP(D3453,Roster!F:F,Roster!E:E)</f>
        <v>Tickets</v>
      </c>
      <c r="N3453" s="317" t="str">
        <f t="shared" ref="N3453:P3453" si="3502">LEFT(H3453,5)</f>
        <v/>
      </c>
      <c r="O3453" s="317" t="str">
        <f t="shared" si="3502"/>
        <v/>
      </c>
      <c r="P3453" s="317" t="str">
        <f t="shared" si="3502"/>
        <v/>
      </c>
      <c r="Q3453" s="318" t="str">
        <f t="shared" si="3500"/>
        <v/>
      </c>
      <c r="R3453" s="318" t="str">
        <f t="shared" si="3501"/>
        <v/>
      </c>
      <c r="S3453" s="318" t="str">
        <f t="shared" si="8"/>
        <v/>
      </c>
    </row>
    <row r="3454">
      <c r="A3454" s="14" t="str">
        <f t="shared" si="1"/>
        <v>C146846141</v>
      </c>
      <c r="B3454" s="185">
        <f t="array" ref="B3454">IF(F3454="VL","",IF(F3454="Free","Free",XLOOKUP(D3454,Roster!T:T,Roster!S:S,"",0)))</f>
        <v>122</v>
      </c>
      <c r="C3454" s="313">
        <v>46141.0</v>
      </c>
      <c r="D3454" s="314" t="s">
        <v>64</v>
      </c>
      <c r="E3454" s="307" t="str">
        <f t="array" ref="E3454">(XLOOKUP(D3454,Roster!F:F,Roster!B:B,"",0))</f>
        <v>Miguel Betancur</v>
      </c>
      <c r="F3454" s="315" t="str">
        <f t="array" ref="F3454">IF(B3454=100,"Free",TEXT(XLOOKUP($D3454,OperationVoice!$A:$A,OperationVoice!AI:AI,XLOOKUP($D3454,OperationTickets!$A:$A,OperationTickets!AI:AI,"",0)),"hh:mm"))</f>
        <v>08:00</v>
      </c>
      <c r="G3454" s="309">
        <f t="shared" si="3"/>
        <v>0.7083333333</v>
      </c>
      <c r="H3454" s="316" t="str">
        <f t="array" ref="H3454">XLOOKUP(B3454,Roster!L:L,Roster!N:N,XLOOKUP(D3454,TicketsBreak!A:A,TicketsBreak!E:E,"",0),0)</f>
        <v>09:30 - 09:45</v>
      </c>
      <c r="I3454" s="316" t="str">
        <f t="array" ref="I3454">XLOOKUP(B3454,Roster!L:L,Roster!O:O,XLOOKUP(D3454,TicketsBreak!A:A,TicketsBreak!F:F,"",0),0)</f>
        <v>12:00 - 12:30</v>
      </c>
      <c r="J3454" s="316" t="str">
        <f t="array" ref="J3454">XLOOKUP(B3454,Roster!L:L,Roster!P:P,XLOOKUP(D3454,TicketsBreak!A:A,TicketsBreak!G:G,"",0),0)</f>
        <v>14:45 - 15:00</v>
      </c>
      <c r="K3454" s="310">
        <f t="shared" si="4"/>
        <v>46141</v>
      </c>
      <c r="L3454" s="317">
        <f t="array" ref="L3454">(XLOOKUP(D3454,Roster!F:F,Roster!D:D,"",0))</f>
        <v>33</v>
      </c>
      <c r="M3454" s="317" t="str">
        <f t="array" ref="M3454">XLOOKUP(D3454,Roster!F:F,Roster!E:E)</f>
        <v>Voice</v>
      </c>
      <c r="N3454" s="317" t="str">
        <f t="shared" ref="N3454:P3454" si="3503">LEFT(H3454,5)</f>
        <v>09:30</v>
      </c>
      <c r="O3454" s="317" t="str">
        <f t="shared" si="3503"/>
        <v>12:00</v>
      </c>
      <c r="P3454" s="317" t="str">
        <f t="shared" si="3503"/>
        <v>14:45</v>
      </c>
      <c r="Q3454" s="318">
        <f t="shared" si="3500"/>
        <v>46141.39583</v>
      </c>
      <c r="R3454" s="318">
        <f t="shared" si="3501"/>
        <v>46141.5</v>
      </c>
      <c r="S3454" s="318">
        <f t="shared" si="8"/>
        <v>46141.61458</v>
      </c>
    </row>
    <row r="3455">
      <c r="A3455" s="14" t="str">
        <f t="shared" si="1"/>
        <v>C106546141</v>
      </c>
      <c r="B3455" s="185" t="str">
        <f t="array" ref="B3455">IF(F3455="VL","",IF(F3455="Free","Free",XLOOKUP(D3455,Roster!T:T,Roster!S:S,"",0)))</f>
        <v/>
      </c>
      <c r="C3455" s="313">
        <v>46141.0</v>
      </c>
      <c r="D3455" s="314" t="s">
        <v>148</v>
      </c>
      <c r="E3455" s="307" t="str">
        <f t="array" ref="E3455">(XLOOKUP(D3455,Roster!F:F,Roster!B:B,"",0))</f>
        <v>Miguel Hoyos</v>
      </c>
      <c r="F3455" s="315" t="str">
        <f t="array" ref="F3455">IF(B3455=100,"Free",TEXT(XLOOKUP($D3455,OperationVoice!$A:$A,OperationVoice!AI:AI,XLOOKUP($D3455,OperationTickets!$A:$A,OperationTickets!AI:AI,"",0)),"hh:mm"))</f>
        <v>07:00</v>
      </c>
      <c r="G3455" s="309">
        <f t="shared" si="3"/>
        <v>0.6666666667</v>
      </c>
      <c r="H3455" s="316">
        <f t="array" ref="H3455">XLOOKUP(B3455,Roster!L:L,Roster!N:N,XLOOKUP(D3455,TicketsBreak!A:A,TicketsBreak!E:E,"",0),0)</f>
        <v>0.4583333333</v>
      </c>
      <c r="I3455" s="316">
        <f t="array" ref="I3455">XLOOKUP(B3455,Roster!L:L,Roster!O:O,XLOOKUP(D3455,TicketsBreak!A:A,TicketsBreak!F:F,"",0),0)</f>
        <v>0.5625</v>
      </c>
      <c r="J3455" s="316">
        <f t="array" ref="J3455">XLOOKUP(B3455,Roster!L:L,Roster!P:P,XLOOKUP(D3455,TicketsBreak!A:A,TicketsBreak!G:G,"",0),0)</f>
        <v>0.65625</v>
      </c>
      <c r="K3455" s="310">
        <f t="shared" si="4"/>
        <v>46141</v>
      </c>
      <c r="L3455" s="317">
        <f t="array" ref="L3455">(XLOOKUP(D3455,Roster!F:F,Roster!D:D,"",0))</f>
        <v>17</v>
      </c>
      <c r="M3455" s="317" t="str">
        <f t="array" ref="M3455">XLOOKUP(D3455,Roster!F:F,Roster!E:E)</f>
        <v>Tickets</v>
      </c>
      <c r="N3455" s="317" t="str">
        <f t="shared" ref="N3455:P3455" si="3504">LEFT(H3455,5)</f>
        <v>11:00</v>
      </c>
      <c r="O3455" s="317" t="str">
        <f t="shared" si="3504"/>
        <v>13:30</v>
      </c>
      <c r="P3455" s="317" t="str">
        <f t="shared" si="3504"/>
        <v>15:45</v>
      </c>
      <c r="Q3455" s="318">
        <f t="shared" si="3500"/>
        <v>46141.45833</v>
      </c>
      <c r="R3455" s="318">
        <f t="shared" si="3501"/>
        <v>46141.5625</v>
      </c>
      <c r="S3455" s="318">
        <f t="shared" si="8"/>
        <v>46141.65625</v>
      </c>
    </row>
    <row r="3456">
      <c r="A3456" s="14" t="str">
        <f t="shared" si="1"/>
        <v>C111446141</v>
      </c>
      <c r="B3456" s="185">
        <f t="array" ref="B3456">IF(F3456="VL","",IF(F3456="Free","Free",XLOOKUP(D3456,Roster!T:T,Roster!S:S,"",0)))</f>
        <v>113</v>
      </c>
      <c r="C3456" s="313">
        <v>46141.0</v>
      </c>
      <c r="D3456" s="314" t="s">
        <v>65</v>
      </c>
      <c r="E3456" s="307" t="str">
        <f t="array" ref="E3456">(XLOOKUP(D3456,Roster!F:F,Roster!B:B,"",0))</f>
        <v>Mikel Bowie</v>
      </c>
      <c r="F3456" s="315" t="str">
        <f t="array" ref="F3456">IF(B3456=100,"Free",TEXT(XLOOKUP($D3456,OperationVoice!$A:$A,OperationVoice!AI:AI,XLOOKUP($D3456,OperationTickets!$A:$A,OperationTickets!AI:AI,"",0)),"hh:mm"))</f>
        <v>08:00</v>
      </c>
      <c r="G3456" s="309">
        <f t="shared" si="3"/>
        <v>0.7083333333</v>
      </c>
      <c r="H3456" s="316" t="str">
        <f t="array" ref="H3456">XLOOKUP(B3456,Roster!L:L,Roster!N:N,XLOOKUP(D3456,TicketsBreak!A:A,TicketsBreak!E:E,"",0),0)</f>
        <v>09:45 - 10:00</v>
      </c>
      <c r="I3456" s="316" t="str">
        <f t="array" ref="I3456">XLOOKUP(B3456,Roster!L:L,Roster!O:O,XLOOKUP(D3456,TicketsBreak!A:A,TicketsBreak!F:F,"",0),0)</f>
        <v>12:30 - 13:00</v>
      </c>
      <c r="J3456" s="316" t="str">
        <f t="array" ref="J3456">XLOOKUP(B3456,Roster!L:L,Roster!P:P,XLOOKUP(D3456,TicketsBreak!A:A,TicketsBreak!G:G,"",0),0)</f>
        <v>14:45 - 15:00</v>
      </c>
      <c r="K3456" s="310">
        <f t="shared" si="4"/>
        <v>46141</v>
      </c>
      <c r="L3456" s="317">
        <f t="array" ref="L3456">(XLOOKUP(D3456,Roster!F:F,Roster!D:D,"",0))</f>
        <v>20</v>
      </c>
      <c r="M3456" s="317" t="str">
        <f t="array" ref="M3456">XLOOKUP(D3456,Roster!F:F,Roster!E:E)</f>
        <v>Voice</v>
      </c>
      <c r="N3456" s="317" t="str">
        <f t="shared" ref="N3456:P3456" si="3505">LEFT(H3456,5)</f>
        <v>09:45</v>
      </c>
      <c r="O3456" s="317" t="str">
        <f t="shared" si="3505"/>
        <v>12:30</v>
      </c>
      <c r="P3456" s="317" t="str">
        <f t="shared" si="3505"/>
        <v>14:45</v>
      </c>
      <c r="Q3456" s="318">
        <f t="shared" si="3500"/>
        <v>46141.40625</v>
      </c>
      <c r="R3456" s="318">
        <f t="shared" si="3501"/>
        <v>46141.52083</v>
      </c>
      <c r="S3456" s="318">
        <f t="shared" si="8"/>
        <v>46141.61458</v>
      </c>
    </row>
    <row r="3457">
      <c r="A3457" s="14" t="str">
        <f t="shared" si="1"/>
        <v>C116346141</v>
      </c>
      <c r="B3457" s="185">
        <f t="array" ref="B3457">IF(F3457="VL","",IF(F3457="Free","Free",XLOOKUP(D3457,Roster!T:T,Roster!S:S,"",0)))</f>
        <v>123</v>
      </c>
      <c r="C3457" s="313">
        <v>46141.0</v>
      </c>
      <c r="D3457" s="314" t="s">
        <v>66</v>
      </c>
      <c r="E3457" s="307" t="str">
        <f t="array" ref="E3457">(XLOOKUP(D3457,Roster!F:F,Roster!B:B,"",0))</f>
        <v>Natalia Cardona</v>
      </c>
      <c r="F3457" s="315" t="str">
        <f t="array" ref="F3457">IF(B3457=100,"Free",TEXT(XLOOKUP($D3457,OperationVoice!$A:$A,OperationVoice!AI:AI,XLOOKUP($D3457,OperationTickets!$A:$A,OperationTickets!AI:AI,"",0)),"hh:mm"))</f>
        <v>08:00</v>
      </c>
      <c r="G3457" s="309">
        <f t="shared" si="3"/>
        <v>0.7083333333</v>
      </c>
      <c r="H3457" s="316" t="str">
        <f t="array" ref="H3457">XLOOKUP(B3457,Roster!L:L,Roster!N:N,XLOOKUP(D3457,TicketsBreak!A:A,TicketsBreak!E:E,"",0),0)</f>
        <v>09:45 - 10:00 </v>
      </c>
      <c r="I3457" s="316" t="str">
        <f t="array" ref="I3457">XLOOKUP(B3457,Roster!L:L,Roster!O:O,XLOOKUP(D3457,TicketsBreak!A:A,TicketsBreak!F:F,"",0),0)</f>
        <v>12:30 - 13:00</v>
      </c>
      <c r="J3457" s="316" t="str">
        <f t="array" ref="J3457">XLOOKUP(B3457,Roster!L:L,Roster!P:P,XLOOKUP(D3457,TicketsBreak!A:A,TicketsBreak!G:G,"",0),0)</f>
        <v>15:00 - 15:15</v>
      </c>
      <c r="K3457" s="310">
        <f t="shared" si="4"/>
        <v>46141</v>
      </c>
      <c r="L3457" s="317">
        <f t="array" ref="L3457">(XLOOKUP(D3457,Roster!F:F,Roster!D:D,"",0))</f>
        <v>24</v>
      </c>
      <c r="M3457" s="317" t="str">
        <f t="array" ref="M3457">XLOOKUP(D3457,Roster!F:F,Roster!E:E)</f>
        <v>Voice</v>
      </c>
      <c r="N3457" s="317" t="str">
        <f t="shared" ref="N3457:P3457" si="3506">LEFT(H3457,5)</f>
        <v>09:45</v>
      </c>
      <c r="O3457" s="317" t="str">
        <f t="shared" si="3506"/>
        <v>12:30</v>
      </c>
      <c r="P3457" s="317" t="str">
        <f t="shared" si="3506"/>
        <v>15:00</v>
      </c>
      <c r="Q3457" s="318">
        <f t="shared" si="3500"/>
        <v>46141.40625</v>
      </c>
      <c r="R3457" s="318">
        <f t="shared" si="3501"/>
        <v>46141.52083</v>
      </c>
      <c r="S3457" s="318">
        <f t="shared" si="8"/>
        <v>46141.625</v>
      </c>
    </row>
    <row r="3458">
      <c r="A3458" s="14" t="str">
        <f t="shared" si="1"/>
        <v>C55646141</v>
      </c>
      <c r="B3458" s="185" t="str">
        <f t="array" ref="B3458">IF(F3458="VL","",IF(F3458="Free","Free",XLOOKUP(D3458,Roster!T:T,Roster!S:S,"",0)))</f>
        <v/>
      </c>
      <c r="C3458" s="313">
        <v>46141.0</v>
      </c>
      <c r="D3458" s="314" t="s">
        <v>167</v>
      </c>
      <c r="E3458" s="307" t="str">
        <f t="array" ref="E3458">(XLOOKUP(D3458,Roster!F:F,Roster!B:B,"",0))</f>
        <v>Nelson Londono</v>
      </c>
      <c r="F3458" s="315" t="str">
        <f t="array" ref="F3458">IF(B3458=100,"Free",TEXT(XLOOKUP($D3458,OperationVoice!$A:$A,OperationVoice!AI:AI,XLOOKUP($D3458,OperationTickets!$A:$A,OperationTickets!AI:AI,"",0)),"hh:mm"))</f>
        <v>07:00</v>
      </c>
      <c r="G3458" s="309">
        <f t="shared" si="3"/>
        <v>0.6666666667</v>
      </c>
      <c r="H3458" s="316">
        <f t="array" ref="H3458">XLOOKUP(B3458,Roster!L:L,Roster!N:N,XLOOKUP(D3458,TicketsBreak!A:A,TicketsBreak!E:E,"",0),0)</f>
        <v>0.3854166667</v>
      </c>
      <c r="I3458" s="316">
        <f t="array" ref="I3458">XLOOKUP(B3458,Roster!L:L,Roster!O:O,XLOOKUP(D3458,TicketsBreak!A:A,TicketsBreak!F:F,"",0),0)</f>
        <v>0.5833333333</v>
      </c>
      <c r="J3458" s="316">
        <f t="array" ref="J3458">XLOOKUP(B3458,Roster!L:L,Roster!P:P,XLOOKUP(D3458,TicketsBreak!A:A,TicketsBreak!G:G,"",0),0)</f>
        <v>0.6458333333</v>
      </c>
      <c r="K3458" s="310">
        <f t="shared" si="4"/>
        <v>46141</v>
      </c>
      <c r="L3458" s="317">
        <f t="array" ref="L3458">(XLOOKUP(D3458,Roster!F:F,Roster!D:D,"",0))</f>
        <v>2</v>
      </c>
      <c r="M3458" s="317" t="str">
        <f t="array" ref="M3458">XLOOKUP(D3458,Roster!F:F,Roster!E:E)</f>
        <v>Tickets</v>
      </c>
      <c r="N3458" s="317" t="str">
        <f t="shared" ref="N3458:P3458" si="3507">LEFT(H3458,5)</f>
        <v>09:15</v>
      </c>
      <c r="O3458" s="317" t="str">
        <f t="shared" si="3507"/>
        <v>14:00</v>
      </c>
      <c r="P3458" s="317" t="str">
        <f t="shared" si="3507"/>
        <v>15:30</v>
      </c>
      <c r="Q3458" s="318">
        <f t="shared" si="3500"/>
        <v>46141.38542</v>
      </c>
      <c r="R3458" s="318">
        <f t="shared" si="3501"/>
        <v>46141.58333</v>
      </c>
      <c r="S3458" s="318">
        <f t="shared" si="8"/>
        <v>46141.64583</v>
      </c>
    </row>
    <row r="3459">
      <c r="A3459" s="14" t="str">
        <f t="shared" si="1"/>
        <v>C150746141</v>
      </c>
      <c r="B3459" s="185">
        <f t="array" ref="B3459">IF(F3459="VL","",IF(F3459="Free","Free",XLOOKUP(D3459,Roster!T:T,Roster!S:S,"",0)))</f>
        <v>125</v>
      </c>
      <c r="C3459" s="313">
        <v>46141.0</v>
      </c>
      <c r="D3459" s="314" t="s">
        <v>67</v>
      </c>
      <c r="E3459" s="307" t="str">
        <f t="array" ref="E3459">(XLOOKUP(D3459,Roster!F:F,Roster!B:B,"",0))</f>
        <v>Nicols Quinones</v>
      </c>
      <c r="F3459" s="315" t="str">
        <f t="array" ref="F3459">IF(B3459=100,"Free",TEXT(XLOOKUP($D3459,OperationVoice!$A:$A,OperationVoice!AI:AI,XLOOKUP($D3459,OperationTickets!$A:$A,OperationTickets!AI:AI,"",0)),"hh:mm"))</f>
        <v>08:00</v>
      </c>
      <c r="G3459" s="309">
        <f t="shared" si="3"/>
        <v>0.7083333333</v>
      </c>
      <c r="H3459" s="316" t="str">
        <f t="array" ref="H3459">XLOOKUP(B3459,Roster!L:L,Roster!N:N,XLOOKUP(D3459,TicketsBreak!A:A,TicketsBreak!E:E,"",0),0)</f>
        <v>10:30 - 10:45</v>
      </c>
      <c r="I3459" s="316" t="str">
        <f t="array" ref="I3459">XLOOKUP(B3459,Roster!L:L,Roster!O:O,XLOOKUP(D3459,TicketsBreak!A:A,TicketsBreak!F:F,"",0),0)</f>
        <v>13:30 - 14:00</v>
      </c>
      <c r="J3459" s="316" t="str">
        <f t="array" ref="J3459">XLOOKUP(B3459,Roster!L:L,Roster!P:P,XLOOKUP(D3459,TicketsBreak!A:A,TicketsBreak!G:G,"",0),0)</f>
        <v>15:45 - 16:00</v>
      </c>
      <c r="K3459" s="310">
        <f t="shared" si="4"/>
        <v>46141</v>
      </c>
      <c r="L3459" s="317">
        <f t="array" ref="L3459">(XLOOKUP(D3459,Roster!F:F,Roster!D:D,"",0))</f>
        <v>35</v>
      </c>
      <c r="M3459" s="317" t="str">
        <f t="array" ref="M3459">XLOOKUP(D3459,Roster!F:F,Roster!E:E)</f>
        <v>Voice</v>
      </c>
      <c r="N3459" s="317" t="str">
        <f t="shared" ref="N3459:P3459" si="3508">LEFT(H3459,5)</f>
        <v>10:30</v>
      </c>
      <c r="O3459" s="317" t="str">
        <f t="shared" si="3508"/>
        <v>13:30</v>
      </c>
      <c r="P3459" s="317" t="str">
        <f t="shared" si="3508"/>
        <v>15:45</v>
      </c>
      <c r="Q3459" s="318">
        <f t="shared" si="3500"/>
        <v>46141.4375</v>
      </c>
      <c r="R3459" s="318">
        <f t="shared" si="3501"/>
        <v>46141.5625</v>
      </c>
      <c r="S3459" s="318">
        <f t="shared" si="8"/>
        <v>46141.65625</v>
      </c>
    </row>
    <row r="3460">
      <c r="A3460" s="14" t="str">
        <f t="shared" si="1"/>
        <v>C71446141</v>
      </c>
      <c r="B3460" s="185" t="str">
        <f t="array" ref="B3460">IF(F3460="VL","",IF(F3460="Free","Free",XLOOKUP(D3460,Roster!T:T,Roster!S:S,"",0)))</f>
        <v/>
      </c>
      <c r="C3460" s="313">
        <v>46141.0</v>
      </c>
      <c r="D3460" s="314" t="s">
        <v>149</v>
      </c>
      <c r="E3460" s="307" t="str">
        <f t="array" ref="E3460">(XLOOKUP(D3460,Roster!F:F,Roster!B:B,"",0))</f>
        <v>Onel Olivera</v>
      </c>
      <c r="F3460" s="315" t="str">
        <f t="array" ref="F3460">IF(B3460=100,"Free",TEXT(XLOOKUP($D3460,OperationVoice!$A:$A,OperationVoice!AI:AI,XLOOKUP($D3460,OperationTickets!$A:$A,OperationTickets!AI:AI,"",0)),"hh:mm"))</f>
        <v>08:00</v>
      </c>
      <c r="G3460" s="309">
        <f t="shared" si="3"/>
        <v>0.7083333333</v>
      </c>
      <c r="H3460" s="316">
        <f t="array" ref="H3460">XLOOKUP(B3460,Roster!L:L,Roster!N:N,XLOOKUP(D3460,TicketsBreak!A:A,TicketsBreak!E:E,"",0),0)</f>
        <v>0.4166666667</v>
      </c>
      <c r="I3460" s="316">
        <f t="array" ref="I3460">XLOOKUP(B3460,Roster!L:L,Roster!O:O,XLOOKUP(D3460,TicketsBreak!A:A,TicketsBreak!F:F,"",0),0)</f>
        <v>0.5</v>
      </c>
      <c r="J3460" s="316">
        <f t="array" ref="J3460">XLOOKUP(B3460,Roster!L:L,Roster!P:P,XLOOKUP(D3460,TicketsBreak!A:A,TicketsBreak!G:G,"",0),0)</f>
        <v>0.625</v>
      </c>
      <c r="K3460" s="310">
        <f t="shared" si="4"/>
        <v>46141</v>
      </c>
      <c r="L3460" s="317">
        <f t="array" ref="L3460">(XLOOKUP(D3460,Roster!F:F,Roster!D:D,"",0))</f>
        <v>1</v>
      </c>
      <c r="M3460" s="317" t="str">
        <f t="array" ref="M3460">XLOOKUP(D3460,Roster!F:F,Roster!E:E)</f>
        <v>Tickets</v>
      </c>
      <c r="N3460" s="317" t="str">
        <f t="shared" ref="N3460:P3460" si="3509">LEFT(H3460,5)</f>
        <v>10:00</v>
      </c>
      <c r="O3460" s="317" t="str">
        <f t="shared" si="3509"/>
        <v>12:00</v>
      </c>
      <c r="P3460" s="317" t="str">
        <f t="shared" si="3509"/>
        <v>15:00</v>
      </c>
      <c r="Q3460" s="318">
        <f t="shared" si="3500"/>
        <v>46141.41667</v>
      </c>
      <c r="R3460" s="318">
        <f t="shared" si="3501"/>
        <v>46141.5</v>
      </c>
      <c r="S3460" s="318">
        <f t="shared" si="8"/>
        <v>46141.625</v>
      </c>
    </row>
    <row r="3461">
      <c r="A3461" s="14" t="str">
        <f t="shared" si="1"/>
        <v>C116446141</v>
      </c>
      <c r="B3461" s="185" t="str">
        <f t="array" ref="B3461">IF(F3461="VL","",IF(F3461="Free","Free",XLOOKUP(D3461,Roster!T:T,Roster!S:S,"",0)))</f>
        <v/>
      </c>
      <c r="C3461" s="313">
        <v>46141.0</v>
      </c>
      <c r="D3461" s="314" t="s">
        <v>179</v>
      </c>
      <c r="E3461" s="307" t="str">
        <f t="array" ref="E3461">(XLOOKUP(D3461,Roster!F:F,Roster!B:B,"",0))</f>
        <v>Oscar Florez</v>
      </c>
      <c r="F3461" s="315" t="str">
        <f t="array" ref="F3461">IF(B3461=100,"Free",TEXT(XLOOKUP($D3461,OperationVoice!$A:$A,OperationVoice!AI:AI,XLOOKUP($D3461,OperationTickets!$A:$A,OperationTickets!AI:AI,"",0)),"hh:mm"))</f>
        <v>08:00</v>
      </c>
      <c r="G3461" s="309">
        <f t="shared" si="3"/>
        <v>0.7083333333</v>
      </c>
      <c r="H3461" s="316" t="str">
        <f t="array" ref="H3461">XLOOKUP(B3461,Roster!L:L,Roster!N:N,XLOOKUP(D3461,TicketsBreak!A:A,TicketsBreak!E:E,"",0),0)</f>
        <v/>
      </c>
      <c r="I3461" s="316" t="str">
        <f t="array" ref="I3461">XLOOKUP(B3461,Roster!L:L,Roster!O:O,XLOOKUP(D3461,TicketsBreak!A:A,TicketsBreak!F:F,"",0),0)</f>
        <v/>
      </c>
      <c r="J3461" s="316" t="str">
        <f t="array" ref="J3461">XLOOKUP(B3461,Roster!L:L,Roster!P:P,XLOOKUP(D3461,TicketsBreak!A:A,TicketsBreak!G:G,"",0),0)</f>
        <v/>
      </c>
      <c r="K3461" s="310">
        <f t="shared" si="4"/>
        <v>46141</v>
      </c>
      <c r="L3461" s="317">
        <f t="array" ref="L3461">(XLOOKUP(D3461,Roster!F:F,Roster!D:D,"",0))</f>
        <v>24</v>
      </c>
      <c r="M3461" s="317" t="str">
        <f t="array" ref="M3461">XLOOKUP(D3461,Roster!F:F,Roster!E:E)</f>
        <v>Tickets</v>
      </c>
      <c r="N3461" s="317" t="str">
        <f t="shared" ref="N3461:P3461" si="3510">LEFT(H3461,5)</f>
        <v/>
      </c>
      <c r="O3461" s="317" t="str">
        <f t="shared" si="3510"/>
        <v/>
      </c>
      <c r="P3461" s="317" t="str">
        <f t="shared" si="3510"/>
        <v/>
      </c>
      <c r="Q3461" s="318" t="str">
        <f t="shared" si="3500"/>
        <v/>
      </c>
      <c r="R3461" s="318" t="str">
        <f t="shared" si="3501"/>
        <v/>
      </c>
      <c r="S3461" s="318" t="str">
        <f t="shared" si="8"/>
        <v/>
      </c>
    </row>
    <row r="3462">
      <c r="A3462" s="14" t="str">
        <f t="shared" si="1"/>
        <v>C153846141</v>
      </c>
      <c r="B3462" s="185">
        <f t="array" ref="B3462">IF(F3462="VL","",IF(F3462="Free","Free",XLOOKUP(D3462,Roster!T:T,Roster!S:S,"",0)))</f>
        <v>151</v>
      </c>
      <c r="C3462" s="313">
        <v>46141.0</v>
      </c>
      <c r="D3462" s="314" t="s">
        <v>68</v>
      </c>
      <c r="E3462" s="307" t="str">
        <f t="array" ref="E3462">(XLOOKUP(D3462,Roster!F:F,Roster!B:B,"",0))</f>
        <v>Oscar Roldan</v>
      </c>
      <c r="F3462" s="315" t="str">
        <f t="array" ref="F3462">IF(B3462=100,"Free",TEXT(XLOOKUP($D3462,OperationVoice!$A:$A,OperationVoice!AI:AI,XLOOKUP($D3462,OperationTickets!$A:$A,OperationTickets!AI:AI,"",0)),"hh:mm"))</f>
        <v>11:00</v>
      </c>
      <c r="G3462" s="309">
        <f t="shared" si="3"/>
        <v>0.8333333333</v>
      </c>
      <c r="H3462" s="316" t="str">
        <f t="array" ref="H3462">XLOOKUP(B3462,Roster!L:L,Roster!N:N,XLOOKUP(D3462,TicketsBreak!A:A,TicketsBreak!E:E,"",0),0)</f>
        <v>12:15 - 12:30</v>
      </c>
      <c r="I3462" s="316" t="str">
        <f t="array" ref="I3462">XLOOKUP(B3462,Roster!L:L,Roster!O:O,XLOOKUP(D3462,TicketsBreak!A:A,TicketsBreak!F:F,"",0),0)</f>
        <v>14:00 - 14:30</v>
      </c>
      <c r="J3462" s="316" t="str">
        <f t="array" ref="J3462">XLOOKUP(B3462,Roster!L:L,Roster!P:P,XLOOKUP(D3462,TicketsBreak!A:A,TicketsBreak!G:G,"",0),0)</f>
        <v>17:15 - 17:30</v>
      </c>
      <c r="K3462" s="310">
        <f t="shared" si="4"/>
        <v>46141</v>
      </c>
      <c r="L3462" s="317">
        <f t="array" ref="L3462">(XLOOKUP(D3462,Roster!F:F,Roster!D:D,"",0))</f>
        <v>36</v>
      </c>
      <c r="M3462" s="317" t="str">
        <f t="array" ref="M3462">XLOOKUP(D3462,Roster!F:F,Roster!E:E)</f>
        <v>Voice</v>
      </c>
      <c r="N3462" s="317" t="str">
        <f t="shared" ref="N3462:P3462" si="3511">LEFT(H3462,5)</f>
        <v>12:15</v>
      </c>
      <c r="O3462" s="317" t="str">
        <f t="shared" si="3511"/>
        <v>14:00</v>
      </c>
      <c r="P3462" s="317" t="str">
        <f t="shared" si="3511"/>
        <v>17:15</v>
      </c>
      <c r="Q3462" s="318">
        <f t="shared" si="3500"/>
        <v>46141.51042</v>
      </c>
      <c r="R3462" s="318">
        <f t="shared" si="3501"/>
        <v>46141.58333</v>
      </c>
      <c r="S3462" s="318">
        <f t="shared" si="8"/>
        <v>46141.71875</v>
      </c>
    </row>
    <row r="3463">
      <c r="A3463" s="14" t="str">
        <f t="shared" si="1"/>
        <v>C151146141</v>
      </c>
      <c r="B3463" s="185" t="str">
        <f t="array" ref="B3463">IF(F3463="VL","",IF(F3463="Free","Free",XLOOKUP(D3463,Roster!T:T,Roster!S:S,"",0)))</f>
        <v>Free</v>
      </c>
      <c r="C3463" s="313">
        <v>46141.0</v>
      </c>
      <c r="D3463" s="314" t="s">
        <v>69</v>
      </c>
      <c r="E3463" s="307" t="str">
        <f t="array" ref="E3463">(XLOOKUP(D3463,Roster!F:F,Roster!B:B,"",0))</f>
        <v>Salma Giraldo</v>
      </c>
      <c r="F3463" s="315" t="str">
        <f t="array" ref="F3463">IF(B3463=100,"Free",TEXT(XLOOKUP($D3463,OperationVoice!$A:$A,OperationVoice!AI:AI,XLOOKUP($D3463,OperationTickets!$A:$A,OperationTickets!AI:AI,"",0)),"hh:mm"))</f>
        <v>Free</v>
      </c>
      <c r="G3463" s="309" t="str">
        <f t="shared" si="3"/>
        <v>Free</v>
      </c>
      <c r="H3463" s="316" t="str">
        <f t="array" ref="H3463">XLOOKUP(B3463,Roster!L:L,Roster!N:N,XLOOKUP(D3463,TicketsBreak!A:A,TicketsBreak!E:E,"",0),0)</f>
        <v/>
      </c>
      <c r="I3463" s="316" t="str">
        <f t="array" ref="I3463">XLOOKUP(B3463,Roster!L:L,Roster!O:O,XLOOKUP(D3463,TicketsBreak!A:A,TicketsBreak!F:F,"",0),0)</f>
        <v/>
      </c>
      <c r="J3463" s="316" t="str">
        <f t="array" ref="J3463">XLOOKUP(B3463,Roster!L:L,Roster!P:P,XLOOKUP(D3463,TicketsBreak!A:A,TicketsBreak!G:G,"",0),0)</f>
        <v/>
      </c>
      <c r="K3463" s="310">
        <f t="shared" si="4"/>
        <v>46141</v>
      </c>
      <c r="L3463" s="317">
        <f t="array" ref="L3463">(XLOOKUP(D3463,Roster!F:F,Roster!D:D,"",0))</f>
        <v>35</v>
      </c>
      <c r="M3463" s="317" t="str">
        <f t="array" ref="M3463">XLOOKUP(D3463,Roster!F:F,Roster!E:E)</f>
        <v>Voice</v>
      </c>
      <c r="N3463" s="317" t="str">
        <f t="shared" ref="N3463:P3463" si="3512">LEFT(H3463,5)</f>
        <v/>
      </c>
      <c r="O3463" s="317" t="str">
        <f t="shared" si="3512"/>
        <v/>
      </c>
      <c r="P3463" s="317" t="str">
        <f t="shared" si="3512"/>
        <v/>
      </c>
      <c r="Q3463" s="318" t="str">
        <f t="shared" si="3500"/>
        <v/>
      </c>
      <c r="R3463" s="318" t="str">
        <f t="shared" si="3501"/>
        <v/>
      </c>
      <c r="S3463" s="318" t="str">
        <f t="shared" si="8"/>
        <v/>
      </c>
    </row>
    <row r="3464">
      <c r="A3464" s="14" t="str">
        <f t="shared" si="1"/>
        <v>C93346141</v>
      </c>
      <c r="B3464" s="185">
        <f t="array" ref="B3464">IF(F3464="VL","",IF(F3464="Free","Free",XLOOKUP(D3464,Roster!T:T,Roster!S:S,"",0)))</f>
        <v>124</v>
      </c>
      <c r="C3464" s="313">
        <v>46141.0</v>
      </c>
      <c r="D3464" s="314" t="s">
        <v>70</v>
      </c>
      <c r="E3464" s="307" t="str">
        <f t="array" ref="E3464">(XLOOKUP(D3464,Roster!F:F,Roster!B:B,"",0))</f>
        <v>Salome Arias</v>
      </c>
      <c r="F3464" s="315" t="str">
        <f t="array" ref="F3464">IF(B3464=100,"Free",TEXT(XLOOKUP($D3464,OperationVoice!$A:$A,OperationVoice!AI:AI,XLOOKUP($D3464,OperationTickets!$A:$A,OperationTickets!AI:AI,"",0)),"hh:mm"))</f>
        <v>08:00</v>
      </c>
      <c r="G3464" s="309">
        <f t="shared" si="3"/>
        <v>0.7083333333</v>
      </c>
      <c r="H3464" s="316" t="str">
        <f t="array" ref="H3464">XLOOKUP(B3464,Roster!L:L,Roster!N:N,XLOOKUP(D3464,TicketsBreak!A:A,TicketsBreak!E:E,"",0),0)</f>
        <v>10:00 - 10:15</v>
      </c>
      <c r="I3464" s="316" t="str">
        <f t="array" ref="I3464">XLOOKUP(B3464,Roster!L:L,Roster!O:O,XLOOKUP(D3464,TicketsBreak!A:A,TicketsBreak!F:F,"",0),0)</f>
        <v>13:00 - 13:30</v>
      </c>
      <c r="J3464" s="316" t="str">
        <f t="array" ref="J3464">XLOOKUP(B3464,Roster!L:L,Roster!P:P,XLOOKUP(D3464,TicketsBreak!A:A,TicketsBreak!G:G,"",0),0)</f>
        <v>15:30 - 15:45</v>
      </c>
      <c r="K3464" s="310">
        <f t="shared" si="4"/>
        <v>46141</v>
      </c>
      <c r="L3464" s="317">
        <f t="array" ref="L3464">(XLOOKUP(D3464,Roster!F:F,Roster!D:D,"",0))</f>
        <v>12</v>
      </c>
      <c r="M3464" s="317" t="str">
        <f t="array" ref="M3464">XLOOKUP(D3464,Roster!F:F,Roster!E:E)</f>
        <v>Voice</v>
      </c>
      <c r="N3464" s="317" t="str">
        <f t="shared" ref="N3464:P3464" si="3513">LEFT(H3464,5)</f>
        <v>10:00</v>
      </c>
      <c r="O3464" s="317" t="str">
        <f t="shared" si="3513"/>
        <v>13:00</v>
      </c>
      <c r="P3464" s="317" t="str">
        <f t="shared" si="3513"/>
        <v>15:30</v>
      </c>
      <c r="Q3464" s="318">
        <f t="shared" si="3500"/>
        <v>46141.41667</v>
      </c>
      <c r="R3464" s="318">
        <f t="shared" si="3501"/>
        <v>46141.54167</v>
      </c>
      <c r="S3464" s="318">
        <f t="shared" si="8"/>
        <v>46141.64583</v>
      </c>
    </row>
    <row r="3465">
      <c r="A3465" s="14" t="str">
        <f t="shared" si="1"/>
        <v>C128246141</v>
      </c>
      <c r="B3465" s="185" t="str">
        <f t="array" ref="B3465">IF(F3465="VL","",IF(F3465="Free","Free",XLOOKUP(D3465,Roster!T:T,Roster!S:S,"",0)))</f>
        <v/>
      </c>
      <c r="C3465" s="313">
        <v>46141.0</v>
      </c>
      <c r="D3465" s="314" t="s">
        <v>168</v>
      </c>
      <c r="E3465" s="307" t="str">
        <f t="array" ref="E3465">(XLOOKUP(D3465,Roster!F:F,Roster!B:B,"",0))</f>
        <v>Samuel Acevedo</v>
      </c>
      <c r="F3465" s="315" t="str">
        <f t="array" ref="F3465">IF(B3465=100,"Free",TEXT(XLOOKUP($D3465,OperationVoice!$A:$A,OperationVoice!AI:AI,XLOOKUP($D3465,OperationTickets!$A:$A,OperationTickets!AI:AI,"",0)),"hh:mm"))</f>
        <v>VL</v>
      </c>
      <c r="G3465" s="309" t="str">
        <f t="shared" si="3"/>
        <v>VL</v>
      </c>
      <c r="H3465" s="316" t="str">
        <f t="array" ref="H3465">XLOOKUP(B3465,Roster!L:L,Roster!N:N,XLOOKUP(D3465,TicketsBreak!A:A,TicketsBreak!E:E,"",0),0)</f>
        <v/>
      </c>
      <c r="I3465" s="316" t="str">
        <f t="array" ref="I3465">XLOOKUP(B3465,Roster!L:L,Roster!O:O,XLOOKUP(D3465,TicketsBreak!A:A,TicketsBreak!F:F,"",0),0)</f>
        <v/>
      </c>
      <c r="J3465" s="316" t="str">
        <f t="array" ref="J3465">XLOOKUP(B3465,Roster!L:L,Roster!P:P,XLOOKUP(D3465,TicketsBreak!A:A,TicketsBreak!G:G,"",0),0)</f>
        <v/>
      </c>
      <c r="K3465" s="310">
        <f t="shared" si="4"/>
        <v>46141</v>
      </c>
      <c r="L3465" s="317">
        <f t="array" ref="L3465">(XLOOKUP(D3465,Roster!F:F,Roster!D:D,"",0))</f>
        <v>27</v>
      </c>
      <c r="M3465" s="317" t="str">
        <f t="array" ref="M3465">XLOOKUP(D3465,Roster!F:F,Roster!E:E)</f>
        <v>Tickets</v>
      </c>
      <c r="N3465" s="317" t="str">
        <f t="shared" ref="N3465:P3465" si="3514">LEFT(H3465,5)</f>
        <v/>
      </c>
      <c r="O3465" s="317" t="str">
        <f t="shared" si="3514"/>
        <v/>
      </c>
      <c r="P3465" s="317" t="str">
        <f t="shared" si="3514"/>
        <v/>
      </c>
      <c r="Q3465" s="318" t="str">
        <f t="shared" si="3500"/>
        <v/>
      </c>
      <c r="R3465" s="318" t="str">
        <f t="shared" si="3501"/>
        <v/>
      </c>
      <c r="S3465" s="318" t="str">
        <f t="shared" si="8"/>
        <v/>
      </c>
    </row>
    <row r="3466">
      <c r="A3466" s="14" t="str">
        <f t="shared" si="1"/>
        <v>C156446141</v>
      </c>
      <c r="B3466" s="185">
        <f t="array" ref="B3466">IF(F3466="VL","",IF(F3466="Free","Free",XLOOKUP(D3466,Roster!T:T,Roster!S:S,"",0)))</f>
        <v>121</v>
      </c>
      <c r="C3466" s="313">
        <v>46141.0</v>
      </c>
      <c r="D3466" s="314" t="s">
        <v>71</v>
      </c>
      <c r="E3466" s="307" t="str">
        <f t="array" ref="E3466">(XLOOKUP(D3466,Roster!F:F,Roster!B:B,"",0))</f>
        <v>Samuel Acevedo Cadavid</v>
      </c>
      <c r="F3466" s="315" t="str">
        <f t="array" ref="F3466">IF(B3466=100,"Free",TEXT(XLOOKUP($D3466,OperationVoice!$A:$A,OperationVoice!AI:AI,XLOOKUP($D3466,OperationTickets!$A:$A,OperationTickets!AI:AI,"",0)),"hh:mm"))</f>
        <v>11:00</v>
      </c>
      <c r="G3466" s="309">
        <f t="shared" si="3"/>
        <v>0.8333333333</v>
      </c>
      <c r="H3466" s="316" t="str">
        <f t="array" ref="H3466">XLOOKUP(B3466,Roster!L:L,Roster!N:N,XLOOKUP(D3466,TicketsBreak!A:A,TicketsBreak!E:E,"",0),0)</f>
        <v>09:15 - 09:30</v>
      </c>
      <c r="I3466" s="316" t="str">
        <f t="array" ref="I3466">XLOOKUP(B3466,Roster!L:L,Roster!O:O,XLOOKUP(D3466,TicketsBreak!A:A,TicketsBreak!F:F,"",0),0)</f>
        <v>11:30 - 12:00</v>
      </c>
      <c r="J3466" s="316" t="str">
        <f t="array" ref="J3466">XLOOKUP(B3466,Roster!L:L,Roster!P:P,XLOOKUP(D3466,TicketsBreak!A:A,TicketsBreak!G:G,"",0),0)</f>
        <v>14:30 - 14:45</v>
      </c>
      <c r="K3466" s="310">
        <f t="shared" si="4"/>
        <v>46141</v>
      </c>
      <c r="L3466" s="317">
        <f t="array" ref="L3466">(XLOOKUP(D3466,Roster!F:F,Roster!D:D,"",0))</f>
        <v>38</v>
      </c>
      <c r="M3466" s="317" t="str">
        <f t="array" ref="M3466">XLOOKUP(D3466,Roster!F:F,Roster!E:E)</f>
        <v>Voice</v>
      </c>
      <c r="N3466" s="317" t="str">
        <f t="shared" ref="N3466:P3466" si="3515">LEFT(H3466,5)</f>
        <v>09:15</v>
      </c>
      <c r="O3466" s="317" t="str">
        <f t="shared" si="3515"/>
        <v>11:30</v>
      </c>
      <c r="P3466" s="317" t="str">
        <f t="shared" si="3515"/>
        <v>14:30</v>
      </c>
      <c r="Q3466" s="318">
        <f t="shared" si="3500"/>
        <v>46141.38542</v>
      </c>
      <c r="R3466" s="318">
        <f t="shared" si="3501"/>
        <v>46141.47917</v>
      </c>
      <c r="S3466" s="318">
        <f t="shared" si="8"/>
        <v>46141.60417</v>
      </c>
    </row>
    <row r="3467">
      <c r="A3467" s="14" t="str">
        <f t="shared" si="1"/>
        <v>C116846141</v>
      </c>
      <c r="B3467" s="185">
        <f t="array" ref="B3467">IF(F3467="VL","",IF(F3467="Free","Free",XLOOKUP(D3467,Roster!T:T,Roster!S:S,"",0)))</f>
        <v>125</v>
      </c>
      <c r="C3467" s="313">
        <v>46141.0</v>
      </c>
      <c r="D3467" s="314" t="s">
        <v>180</v>
      </c>
      <c r="E3467" s="307" t="str">
        <f t="array" ref="E3467">(XLOOKUP(D3467,Roster!F:F,Roster!B:B,"",0))</f>
        <v>Santiago Gaviria</v>
      </c>
      <c r="F3467" s="315" t="str">
        <f t="array" ref="F3467">IF(B3467=100,"Free",TEXT(XLOOKUP($D3467,OperationVoice!$A:$A,OperationVoice!AI:AI,XLOOKUP($D3467,OperationTickets!$A:$A,OperationTickets!AI:AI,"",0)),"hh:mm"))</f>
        <v>08:00</v>
      </c>
      <c r="G3467" s="309">
        <f t="shared" si="3"/>
        <v>0.7083333333</v>
      </c>
      <c r="H3467" s="316" t="str">
        <f t="array" ref="H3467">XLOOKUP(B3467,Roster!L:L,Roster!N:N,XLOOKUP(D3467,TicketsBreak!A:A,TicketsBreak!E:E,"",0),0)</f>
        <v>10:30 - 10:45</v>
      </c>
      <c r="I3467" s="316" t="str">
        <f t="array" ref="I3467">XLOOKUP(B3467,Roster!L:L,Roster!O:O,XLOOKUP(D3467,TicketsBreak!A:A,TicketsBreak!F:F,"",0),0)</f>
        <v>13:30 - 14:00</v>
      </c>
      <c r="J3467" s="316" t="str">
        <f t="array" ref="J3467">XLOOKUP(B3467,Roster!L:L,Roster!P:P,XLOOKUP(D3467,TicketsBreak!A:A,TicketsBreak!G:G,"",0),0)</f>
        <v>15:45 - 16:00</v>
      </c>
      <c r="K3467" s="310">
        <f t="shared" si="4"/>
        <v>46141</v>
      </c>
      <c r="L3467" s="317">
        <f t="array" ref="L3467">(XLOOKUP(D3467,Roster!F:F,Roster!D:D,"",0))</f>
        <v>24</v>
      </c>
      <c r="M3467" s="317" t="str">
        <f t="array" ref="M3467">XLOOKUP(D3467,Roster!F:F,Roster!E:E)</f>
        <v>Tickets</v>
      </c>
      <c r="N3467" s="317" t="str">
        <f t="shared" ref="N3467:P3467" si="3516">LEFT(H3467,5)</f>
        <v>10:30</v>
      </c>
      <c r="O3467" s="317" t="str">
        <f t="shared" si="3516"/>
        <v>13:30</v>
      </c>
      <c r="P3467" s="317" t="str">
        <f t="shared" si="3516"/>
        <v>15:45</v>
      </c>
      <c r="Q3467" s="318">
        <f t="shared" si="3500"/>
        <v>46141.4375</v>
      </c>
      <c r="R3467" s="318">
        <f t="shared" si="3501"/>
        <v>46141.5625</v>
      </c>
      <c r="S3467" s="318">
        <f t="shared" si="8"/>
        <v>46141.65625</v>
      </c>
    </row>
    <row r="3468">
      <c r="A3468" s="14" t="str">
        <f t="shared" si="1"/>
        <v>C122046141</v>
      </c>
      <c r="B3468" s="185" t="str">
        <f t="array" ref="B3468">IF(F3468="VL","",IF(F3468="Free","Free",XLOOKUP(D3468,Roster!T:T,Roster!S:S,"",0)))</f>
        <v>Free</v>
      </c>
      <c r="C3468" s="313">
        <v>46141.0</v>
      </c>
      <c r="D3468" s="314" t="s">
        <v>181</v>
      </c>
      <c r="E3468" s="307" t="str">
        <f t="array" ref="E3468">(XLOOKUP(D3468,Roster!F:F,Roster!B:B,"",0))</f>
        <v>Santiago Gonzalez</v>
      </c>
      <c r="F3468" s="315" t="str">
        <f t="array" ref="F3468">IF(B3468=100,"Free",TEXT(XLOOKUP($D3468,OperationVoice!$A:$A,OperationVoice!AI:AI,XLOOKUP($D3468,OperationTickets!$A:$A,OperationTickets!AI:AI,"",0)),"hh:mm"))</f>
        <v>Free</v>
      </c>
      <c r="G3468" s="309" t="str">
        <f t="shared" si="3"/>
        <v>Free</v>
      </c>
      <c r="H3468" s="316" t="str">
        <f t="array" ref="H3468">XLOOKUP(B3468,Roster!L:L,Roster!N:N,XLOOKUP(D3468,TicketsBreak!A:A,TicketsBreak!E:E,"",0),0)</f>
        <v/>
      </c>
      <c r="I3468" s="316" t="str">
        <f t="array" ref="I3468">XLOOKUP(B3468,Roster!L:L,Roster!O:O,XLOOKUP(D3468,TicketsBreak!A:A,TicketsBreak!F:F,"",0),0)</f>
        <v/>
      </c>
      <c r="J3468" s="316" t="str">
        <f t="array" ref="J3468">XLOOKUP(B3468,Roster!L:L,Roster!P:P,XLOOKUP(D3468,TicketsBreak!A:A,TicketsBreak!G:G,"",0),0)</f>
        <v/>
      </c>
      <c r="K3468" s="310">
        <f t="shared" si="4"/>
        <v>46141</v>
      </c>
      <c r="L3468" s="317">
        <f t="array" ref="L3468">(XLOOKUP(D3468,Roster!F:F,Roster!D:D,"",0))</f>
        <v>26</v>
      </c>
      <c r="M3468" s="317" t="str">
        <f t="array" ref="M3468">XLOOKUP(D3468,Roster!F:F,Roster!E:E)</f>
        <v>Tickets</v>
      </c>
      <c r="N3468" s="317" t="str">
        <f t="shared" ref="N3468:P3468" si="3517">LEFT(H3468,5)</f>
        <v/>
      </c>
      <c r="O3468" s="317" t="str">
        <f t="shared" si="3517"/>
        <v/>
      </c>
      <c r="P3468" s="317" t="str">
        <f t="shared" si="3517"/>
        <v/>
      </c>
      <c r="Q3468" s="318" t="str">
        <f t="shared" si="3500"/>
        <v/>
      </c>
      <c r="R3468" s="318" t="str">
        <f t="shared" si="3501"/>
        <v/>
      </c>
      <c r="S3468" s="318" t="str">
        <f t="shared" si="8"/>
        <v/>
      </c>
    </row>
    <row r="3469">
      <c r="A3469" s="14" t="str">
        <f t="shared" si="1"/>
        <v>C140646141</v>
      </c>
      <c r="B3469" s="185">
        <f t="array" ref="B3469">IF(F3469="VL","",IF(F3469="Free","Free",XLOOKUP(D3469,Roster!T:T,Roster!S:S,"",0)))</f>
        <v>152</v>
      </c>
      <c r="C3469" s="313">
        <v>46141.0</v>
      </c>
      <c r="D3469" s="314" t="s">
        <v>72</v>
      </c>
      <c r="E3469" s="307" t="str">
        <f t="array" ref="E3469">(XLOOKUP(D3469,Roster!F:F,Roster!B:B,"",0))</f>
        <v>Santiago Mora</v>
      </c>
      <c r="F3469" s="315" t="str">
        <f t="array" ref="F3469">IF(B3469=100,"Free",TEXT(XLOOKUP($D3469,OperationVoice!$A:$A,OperationVoice!AI:AI,XLOOKUP($D3469,OperationTickets!$A:$A,OperationTickets!AI:AI,"",0)),"hh:mm"))</f>
        <v>11:00</v>
      </c>
      <c r="G3469" s="309">
        <f t="shared" si="3"/>
        <v>0.8333333333</v>
      </c>
      <c r="H3469" s="316" t="str">
        <f t="array" ref="H3469">XLOOKUP(B3469,Roster!L:L,Roster!N:N,XLOOKUP(D3469,TicketsBreak!A:A,TicketsBreak!E:E,"",0),0)</f>
        <v>12:30 - 12:45</v>
      </c>
      <c r="I3469" s="316" t="str">
        <f t="array" ref="I3469">XLOOKUP(B3469,Roster!L:L,Roster!O:O,XLOOKUP(D3469,TicketsBreak!A:A,TicketsBreak!F:F,"",0),0)</f>
        <v>14:30 - 15:00</v>
      </c>
      <c r="J3469" s="316" t="str">
        <f t="array" ref="J3469">XLOOKUP(B3469,Roster!L:L,Roster!P:P,XLOOKUP(D3469,TicketsBreak!A:A,TicketsBreak!G:G,"",0),0)</f>
        <v>17:30 - 17:45</v>
      </c>
      <c r="K3469" s="310">
        <f t="shared" si="4"/>
        <v>46141</v>
      </c>
      <c r="L3469" s="317">
        <f t="array" ref="L3469">(XLOOKUP(D3469,Roster!F:F,Roster!D:D,"",0))</f>
        <v>35</v>
      </c>
      <c r="M3469" s="317" t="str">
        <f t="array" ref="M3469">XLOOKUP(D3469,Roster!F:F,Roster!E:E)</f>
        <v>Voice</v>
      </c>
      <c r="N3469" s="317" t="str">
        <f t="shared" ref="N3469:P3469" si="3518">LEFT(H3469,5)</f>
        <v>12:30</v>
      </c>
      <c r="O3469" s="317" t="str">
        <f t="shared" si="3518"/>
        <v>14:30</v>
      </c>
      <c r="P3469" s="317" t="str">
        <f t="shared" si="3518"/>
        <v>17:30</v>
      </c>
      <c r="Q3469" s="318">
        <f t="shared" si="3500"/>
        <v>46141.52083</v>
      </c>
      <c r="R3469" s="318">
        <f t="shared" si="3501"/>
        <v>46141.60417</v>
      </c>
      <c r="S3469" s="318">
        <f t="shared" si="8"/>
        <v>46141.72917</v>
      </c>
    </row>
    <row r="3470">
      <c r="A3470" s="14" t="str">
        <f t="shared" si="1"/>
        <v>C119946141</v>
      </c>
      <c r="B3470" s="185" t="str">
        <f t="array" ref="B3470">IF(F3470="VL","",IF(F3470="Free","Free",XLOOKUP(D3470,Roster!T:T,Roster!S:S,"",0)))</f>
        <v/>
      </c>
      <c r="C3470" s="313">
        <v>46141.0</v>
      </c>
      <c r="D3470" s="314" t="s">
        <v>182</v>
      </c>
      <c r="E3470" s="307" t="str">
        <f t="array" ref="E3470">(XLOOKUP(D3470,Roster!F:F,Roster!B:B,"",0))</f>
        <v>Santiago Velasquez</v>
      </c>
      <c r="F3470" s="315" t="str">
        <f t="array" ref="F3470">IF(B3470=100,"Free",TEXT(XLOOKUP($D3470,OperationVoice!$A:$A,OperationVoice!AI:AI,XLOOKUP($D3470,OperationTickets!$A:$A,OperationTickets!AI:AI,"",0)),"hh:mm"))</f>
        <v>08:00</v>
      </c>
      <c r="G3470" s="309">
        <f t="shared" si="3"/>
        <v>0.7083333333</v>
      </c>
      <c r="H3470" s="316" t="str">
        <f t="array" ref="H3470">XLOOKUP(B3470,Roster!L:L,Roster!N:N,XLOOKUP(D3470,TicketsBreak!A:A,TicketsBreak!E:E,"",0),0)</f>
        <v/>
      </c>
      <c r="I3470" s="316" t="str">
        <f t="array" ref="I3470">XLOOKUP(B3470,Roster!L:L,Roster!O:O,XLOOKUP(D3470,TicketsBreak!A:A,TicketsBreak!F:F,"",0),0)</f>
        <v/>
      </c>
      <c r="J3470" s="316" t="str">
        <f t="array" ref="J3470">XLOOKUP(B3470,Roster!L:L,Roster!P:P,XLOOKUP(D3470,TicketsBreak!A:A,TicketsBreak!G:G,"",0),0)</f>
        <v/>
      </c>
      <c r="K3470" s="310">
        <f t="shared" si="4"/>
        <v>46141</v>
      </c>
      <c r="L3470" s="317">
        <f t="array" ref="L3470">(XLOOKUP(D3470,Roster!F:F,Roster!D:D,"",0))</f>
        <v>25</v>
      </c>
      <c r="M3470" s="317" t="str">
        <f t="array" ref="M3470">XLOOKUP(D3470,Roster!F:F,Roster!E:E)</f>
        <v>Tickets</v>
      </c>
      <c r="N3470" s="317" t="str">
        <f t="shared" ref="N3470:P3470" si="3519">LEFT(H3470,5)</f>
        <v/>
      </c>
      <c r="O3470" s="317" t="str">
        <f t="shared" si="3519"/>
        <v/>
      </c>
      <c r="P3470" s="317" t="str">
        <f t="shared" si="3519"/>
        <v/>
      </c>
      <c r="Q3470" s="318" t="str">
        <f t="shared" si="3500"/>
        <v/>
      </c>
      <c r="R3470" s="318" t="str">
        <f t="shared" si="3501"/>
        <v/>
      </c>
      <c r="S3470" s="318" t="str">
        <f t="shared" si="8"/>
        <v/>
      </c>
    </row>
    <row r="3471">
      <c r="A3471" s="14" t="str">
        <f t="shared" si="1"/>
        <v>C90246141</v>
      </c>
      <c r="B3471" s="185" t="str">
        <f t="array" ref="B3471">IF(F3471="VL","",IF(F3471="Free","Free",XLOOKUP(D3471,Roster!T:T,Roster!S:S,"",0)))</f>
        <v>Free</v>
      </c>
      <c r="C3471" s="313">
        <v>46141.0</v>
      </c>
      <c r="D3471" s="314" t="s">
        <v>150</v>
      </c>
      <c r="E3471" s="307" t="str">
        <f t="array" ref="E3471">(XLOOKUP(D3471,Roster!F:F,Roster!B:B,"",0))</f>
        <v>Sebastiam Vallejo</v>
      </c>
      <c r="F3471" s="315" t="str">
        <f t="array" ref="F3471">IF(B3471=100,"Free",TEXT(XLOOKUP($D3471,OperationVoice!$A:$A,OperationVoice!AI:AI,XLOOKUP($D3471,OperationTickets!$A:$A,OperationTickets!AI:AI,"",0)),"hh:mm"))</f>
        <v>Free</v>
      </c>
      <c r="G3471" s="309" t="str">
        <f t="shared" si="3"/>
        <v>Free</v>
      </c>
      <c r="H3471" s="316">
        <f t="array" ref="H3471">XLOOKUP(B3471,Roster!L:L,Roster!N:N,XLOOKUP(D3471,TicketsBreak!A:A,TicketsBreak!E:E,"",0),0)</f>
        <v>0.4375</v>
      </c>
      <c r="I3471" s="316">
        <f t="array" ref="I3471">XLOOKUP(B3471,Roster!L:L,Roster!O:O,XLOOKUP(D3471,TicketsBreak!A:A,TicketsBreak!F:F,"",0),0)</f>
        <v>0.6041666667</v>
      </c>
      <c r="J3471" s="316">
        <f t="array" ref="J3471">XLOOKUP(B3471,Roster!L:L,Roster!P:P,XLOOKUP(D3471,TicketsBreak!A:A,TicketsBreak!G:G,"",0),0)</f>
        <v>0.65625</v>
      </c>
      <c r="K3471" s="310">
        <f t="shared" si="4"/>
        <v>46141</v>
      </c>
      <c r="L3471" s="317">
        <f t="array" ref="L3471">(XLOOKUP(D3471,Roster!F:F,Roster!D:D,"",0))</f>
        <v>11</v>
      </c>
      <c r="M3471" s="317" t="str">
        <f t="array" ref="M3471">XLOOKUP(D3471,Roster!F:F,Roster!E:E)</f>
        <v>Tickets</v>
      </c>
      <c r="N3471" s="317" t="str">
        <f t="shared" ref="N3471:P3471" si="3520">LEFT(H3471,5)</f>
        <v>10:30</v>
      </c>
      <c r="O3471" s="317" t="str">
        <f t="shared" si="3520"/>
        <v>14:30</v>
      </c>
      <c r="P3471" s="317" t="str">
        <f t="shared" si="3520"/>
        <v>15:45</v>
      </c>
      <c r="Q3471" s="318">
        <f t="shared" si="3500"/>
        <v>46141.4375</v>
      </c>
      <c r="R3471" s="318">
        <f t="shared" si="3501"/>
        <v>46141.60417</v>
      </c>
      <c r="S3471" s="318">
        <f t="shared" si="8"/>
        <v>46141.65625</v>
      </c>
    </row>
    <row r="3472">
      <c r="A3472" s="14" t="str">
        <f t="shared" si="1"/>
        <v>C150646141</v>
      </c>
      <c r="B3472" s="185">
        <f t="array" ref="B3472">IF(F3472="VL","",IF(F3472="Free","Free",XLOOKUP(D3472,Roster!T:T,Roster!S:S,"",0)))</f>
        <v>153</v>
      </c>
      <c r="C3472" s="313">
        <v>46141.0</v>
      </c>
      <c r="D3472" s="314" t="s">
        <v>73</v>
      </c>
      <c r="E3472" s="307" t="str">
        <f t="array" ref="E3472">(XLOOKUP(D3472,Roster!F:F,Roster!B:B,"",0))</f>
        <v>Sebastian Agudelo Londono</v>
      </c>
      <c r="F3472" s="315" t="str">
        <f t="array" ref="F3472">IF(B3472=100,"Free",TEXT(XLOOKUP($D3472,OperationVoice!$A:$A,OperationVoice!AI:AI,XLOOKUP($D3472,OperationTickets!$A:$A,OperationTickets!AI:AI,"",0)),"hh:mm"))</f>
        <v>11:00</v>
      </c>
      <c r="G3472" s="309">
        <f t="shared" si="3"/>
        <v>0.8333333333</v>
      </c>
      <c r="H3472" s="316" t="str">
        <f t="array" ref="H3472">XLOOKUP(B3472,Roster!L:L,Roster!N:N,XLOOKUP(D3472,TicketsBreak!A:A,TicketsBreak!E:E,"",0),0)</f>
        <v>12:45 - 13:00</v>
      </c>
      <c r="I3472" s="316" t="str">
        <f t="array" ref="I3472">XLOOKUP(B3472,Roster!L:L,Roster!O:O,XLOOKUP(D3472,TicketsBreak!A:A,TicketsBreak!F:F,"",0),0)</f>
        <v>15:00 - 15:30</v>
      </c>
      <c r="J3472" s="316" t="str">
        <f t="array" ref="J3472">XLOOKUP(B3472,Roster!L:L,Roster!P:P,XLOOKUP(D3472,TicketsBreak!A:A,TicketsBreak!G:G,"",0),0)</f>
        <v>17:45 - 18:00</v>
      </c>
      <c r="K3472" s="310">
        <f t="shared" si="4"/>
        <v>46141</v>
      </c>
      <c r="L3472" s="317">
        <f t="array" ref="L3472">(XLOOKUP(D3472,Roster!F:F,Roster!D:D,"",0))</f>
        <v>35</v>
      </c>
      <c r="M3472" s="317" t="str">
        <f t="array" ref="M3472">XLOOKUP(D3472,Roster!F:F,Roster!E:E)</f>
        <v>Voice</v>
      </c>
      <c r="N3472" s="317" t="str">
        <f t="shared" ref="N3472:P3472" si="3521">LEFT(H3472,5)</f>
        <v>12:45</v>
      </c>
      <c r="O3472" s="317" t="str">
        <f t="shared" si="3521"/>
        <v>15:00</v>
      </c>
      <c r="P3472" s="317" t="str">
        <f t="shared" si="3521"/>
        <v>17:45</v>
      </c>
      <c r="Q3472" s="318">
        <f t="shared" si="3500"/>
        <v>46141.53125</v>
      </c>
      <c r="R3472" s="318">
        <f t="shared" si="3501"/>
        <v>46141.625</v>
      </c>
      <c r="S3472" s="318">
        <f t="shared" si="8"/>
        <v>46141.73958</v>
      </c>
    </row>
    <row r="3473">
      <c r="A3473" s="14" t="str">
        <f t="shared" si="1"/>
        <v>C119046141</v>
      </c>
      <c r="B3473" s="185" t="str">
        <f t="array" ref="B3473">IF(F3473="VL","",IF(F3473="Free","Free",XLOOKUP(D3473,Roster!T:T,Roster!S:S,"",0)))</f>
        <v/>
      </c>
      <c r="C3473" s="313">
        <v>46141.0</v>
      </c>
      <c r="D3473" s="314" t="s">
        <v>183</v>
      </c>
      <c r="E3473" s="307" t="str">
        <f t="array" ref="E3473">(XLOOKUP(D3473,Roster!F:F,Roster!B:B,"",0))</f>
        <v>Sebastian Herrera</v>
      </c>
      <c r="F3473" s="315" t="str">
        <f t="array" ref="F3473">IF(B3473=100,"Free",TEXT(XLOOKUP($D3473,OperationVoice!$A:$A,OperationVoice!AI:AI,XLOOKUP($D3473,OperationTickets!$A:$A,OperationTickets!AI:AI,"",0)),"hh:mm"))</f>
        <v>07:00</v>
      </c>
      <c r="G3473" s="309">
        <f t="shared" si="3"/>
        <v>0.6666666667</v>
      </c>
      <c r="H3473" s="316">
        <f t="array" ref="H3473">XLOOKUP(B3473,Roster!L:L,Roster!N:N,XLOOKUP(D3473,TicketsBreak!A:A,TicketsBreak!E:E,"",0),0)</f>
        <v>0.40625</v>
      </c>
      <c r="I3473" s="316">
        <f t="array" ref="I3473">XLOOKUP(B3473,Roster!L:L,Roster!O:O,XLOOKUP(D3473,TicketsBreak!A:A,TicketsBreak!F:F,"",0),0)</f>
        <v>0.5416666667</v>
      </c>
      <c r="J3473" s="316">
        <f t="array" ref="J3473">XLOOKUP(B3473,Roster!L:L,Roster!P:P,XLOOKUP(D3473,TicketsBreak!A:A,TicketsBreak!G:G,"",0),0)</f>
        <v>0.625</v>
      </c>
      <c r="K3473" s="310">
        <f t="shared" si="4"/>
        <v>46141</v>
      </c>
      <c r="L3473" s="317">
        <f t="array" ref="L3473">(XLOOKUP(D3473,Roster!F:F,Roster!D:D,"",0))</f>
        <v>25</v>
      </c>
      <c r="M3473" s="317" t="str">
        <f t="array" ref="M3473">XLOOKUP(D3473,Roster!F:F,Roster!E:E)</f>
        <v>Tickets</v>
      </c>
      <c r="N3473" s="317" t="str">
        <f t="shared" ref="N3473:P3473" si="3522">LEFT(H3473,5)</f>
        <v>09:45</v>
      </c>
      <c r="O3473" s="317" t="str">
        <f t="shared" si="3522"/>
        <v>13:00</v>
      </c>
      <c r="P3473" s="317" t="str">
        <f t="shared" si="3522"/>
        <v>15:00</v>
      </c>
      <c r="Q3473" s="318">
        <f t="shared" si="3500"/>
        <v>46141.40625</v>
      </c>
      <c r="R3473" s="318">
        <f t="shared" si="3501"/>
        <v>46141.54167</v>
      </c>
      <c r="S3473" s="318">
        <f t="shared" si="8"/>
        <v>46141.625</v>
      </c>
    </row>
    <row r="3474">
      <c r="A3474" s="14" t="str">
        <f t="shared" si="1"/>
        <v>C71046141</v>
      </c>
      <c r="B3474" s="185" t="str">
        <f t="array" ref="B3474">IF(F3474="VL","",IF(F3474="Free","Free",XLOOKUP(D3474,Roster!T:T,Roster!S:S,"",0)))</f>
        <v/>
      </c>
      <c r="C3474" s="313">
        <v>46141.0</v>
      </c>
      <c r="D3474" s="314" t="s">
        <v>184</v>
      </c>
      <c r="E3474" s="307" t="str">
        <f t="array" ref="E3474">(XLOOKUP(D3474,Roster!F:F,Roster!B:B,"",0))</f>
        <v>Sebastian Martinez</v>
      </c>
      <c r="F3474" s="315" t="str">
        <f t="array" ref="F3474">IF(B3474=100,"Free",TEXT(XLOOKUP($D3474,OperationVoice!$A:$A,OperationVoice!AI:AI,XLOOKUP($D3474,OperationTickets!$A:$A,OperationTickets!AI:AI,"",0)),"hh:mm"))</f>
        <v>08:00</v>
      </c>
      <c r="G3474" s="309">
        <f t="shared" si="3"/>
        <v>0.7083333333</v>
      </c>
      <c r="H3474" s="316">
        <f t="array" ref="H3474">XLOOKUP(B3474,Roster!L:L,Roster!N:N,XLOOKUP(D3474,TicketsBreak!A:A,TicketsBreak!E:E,"",0),0)</f>
        <v>0.40625</v>
      </c>
      <c r="I3474" s="316">
        <f t="array" ref="I3474">XLOOKUP(B3474,Roster!L:L,Roster!O:O,XLOOKUP(D3474,TicketsBreak!A:A,TicketsBreak!F:F,"",0),0)</f>
        <v>0.5625</v>
      </c>
      <c r="J3474" s="316">
        <f t="array" ref="J3474">XLOOKUP(B3474,Roster!L:L,Roster!P:P,XLOOKUP(D3474,TicketsBreak!A:A,TicketsBreak!G:G,"",0),0)</f>
        <v>0.65625</v>
      </c>
      <c r="K3474" s="310">
        <f t="shared" si="4"/>
        <v>46141</v>
      </c>
      <c r="L3474" s="317">
        <f t="array" ref="L3474">(XLOOKUP(D3474,Roster!F:F,Roster!D:D,"",0))</f>
        <v>6</v>
      </c>
      <c r="M3474" s="317" t="str">
        <f t="array" ref="M3474">XLOOKUP(D3474,Roster!F:F,Roster!E:E)</f>
        <v>Tickets</v>
      </c>
      <c r="N3474" s="317" t="str">
        <f t="shared" ref="N3474:P3474" si="3523">LEFT(H3474,5)</f>
        <v>09:45</v>
      </c>
      <c r="O3474" s="317" t="str">
        <f t="shared" si="3523"/>
        <v>13:30</v>
      </c>
      <c r="P3474" s="317" t="str">
        <f t="shared" si="3523"/>
        <v>15:45</v>
      </c>
      <c r="Q3474" s="318">
        <f t="shared" si="3500"/>
        <v>46141.40625</v>
      </c>
      <c r="R3474" s="318">
        <f t="shared" si="3501"/>
        <v>46141.5625</v>
      </c>
      <c r="S3474" s="318">
        <f t="shared" si="8"/>
        <v>46141.65625</v>
      </c>
    </row>
    <row r="3475">
      <c r="A3475" s="14" t="str">
        <f t="shared" si="1"/>
        <v>C72346141</v>
      </c>
      <c r="B3475" s="185" t="str">
        <f t="array" ref="B3475">IF(F3475="VL","",IF(F3475="Free","Free",XLOOKUP(D3475,Roster!T:T,Roster!S:S,"",0)))</f>
        <v/>
      </c>
      <c r="C3475" s="313">
        <v>46141.0</v>
      </c>
      <c r="D3475" s="314" t="s">
        <v>169</v>
      </c>
      <c r="E3475" s="307" t="str">
        <f t="array" ref="E3475">(XLOOKUP(D3475,Roster!F:F,Roster!B:B,"",0))</f>
        <v>Sebastian Parra</v>
      </c>
      <c r="F3475" s="315" t="str">
        <f t="array" ref="F3475">IF(B3475=100,"Free",TEXT(XLOOKUP($D3475,OperationVoice!$A:$A,OperationVoice!AI:AI,XLOOKUP($D3475,OperationTickets!$A:$A,OperationTickets!AI:AI,"",0)),"hh:mm"))</f>
        <v>08:00</v>
      </c>
      <c r="G3475" s="309">
        <f t="shared" si="3"/>
        <v>0.7083333333</v>
      </c>
      <c r="H3475" s="316">
        <f t="array" ref="H3475">XLOOKUP(B3475,Roster!L:L,Roster!N:N,XLOOKUP(D3475,TicketsBreak!A:A,TicketsBreak!E:E,"",0),0)</f>
        <v>0.4166666667</v>
      </c>
      <c r="I3475" s="316">
        <f t="array" ref="I3475">XLOOKUP(B3475,Roster!L:L,Roster!O:O,XLOOKUP(D3475,TicketsBreak!A:A,TicketsBreak!F:F,"",0),0)</f>
        <v>0.5347222222</v>
      </c>
      <c r="J3475" s="316">
        <f t="array" ref="J3475">XLOOKUP(B3475,Roster!L:L,Roster!P:P,XLOOKUP(D3475,TicketsBreak!A:A,TicketsBreak!G:G,"",0),0)</f>
        <v>0.65625</v>
      </c>
      <c r="K3475" s="310">
        <f t="shared" si="4"/>
        <v>46141</v>
      </c>
      <c r="L3475" s="317">
        <f t="array" ref="L3475">(XLOOKUP(D3475,Roster!F:F,Roster!D:D,"",0))</f>
        <v>7</v>
      </c>
      <c r="M3475" s="317" t="str">
        <f t="array" ref="M3475">XLOOKUP(D3475,Roster!F:F,Roster!E:E)</f>
        <v>Tickets</v>
      </c>
      <c r="N3475" s="317" t="str">
        <f t="shared" ref="N3475:P3475" si="3524">LEFT(H3475,5)</f>
        <v>10:00</v>
      </c>
      <c r="O3475" s="317" t="str">
        <f t="shared" si="3524"/>
        <v>12:50</v>
      </c>
      <c r="P3475" s="317" t="str">
        <f t="shared" si="3524"/>
        <v>15:45</v>
      </c>
      <c r="Q3475" s="318">
        <f t="shared" si="3500"/>
        <v>46141.41667</v>
      </c>
      <c r="R3475" s="318">
        <f t="shared" si="3501"/>
        <v>46141.53472</v>
      </c>
      <c r="S3475" s="318">
        <f t="shared" si="8"/>
        <v>46141.65625</v>
      </c>
    </row>
    <row r="3476">
      <c r="A3476" s="14" t="str">
        <f t="shared" si="1"/>
        <v>C137646141</v>
      </c>
      <c r="B3476" s="185" t="str">
        <f t="array" ref="B3476">IF(F3476="VL","",IF(F3476="Free","Free",XLOOKUP(D3476,Roster!T:T,Roster!S:S,"",0)))</f>
        <v/>
      </c>
      <c r="C3476" s="313">
        <v>46141.0</v>
      </c>
      <c r="D3476" s="314" t="s">
        <v>151</v>
      </c>
      <c r="E3476" s="307" t="str">
        <f t="array" ref="E3476">(XLOOKUP(D3476,Roster!F:F,Roster!B:B,"",0))</f>
        <v>Sebastian Quiroz</v>
      </c>
      <c r="F3476" s="315" t="str">
        <f t="array" ref="F3476">IF(B3476=100,"Free",TEXT(XLOOKUP($D3476,OperationVoice!$A:$A,OperationVoice!AI:AI,XLOOKUP($D3476,OperationTickets!$A:$A,OperationTickets!AI:AI,"",0)),"hh:mm"))</f>
        <v>08:00</v>
      </c>
      <c r="G3476" s="309">
        <f t="shared" si="3"/>
        <v>0.7083333333</v>
      </c>
      <c r="H3476" s="316" t="str">
        <f t="array" ref="H3476">XLOOKUP(B3476,Roster!L:L,Roster!N:N,XLOOKUP(D3476,TicketsBreak!A:A,TicketsBreak!E:E,"",0),0)</f>
        <v/>
      </c>
      <c r="I3476" s="316" t="str">
        <f t="array" ref="I3476">XLOOKUP(B3476,Roster!L:L,Roster!O:O,XLOOKUP(D3476,TicketsBreak!A:A,TicketsBreak!F:F,"",0),0)</f>
        <v/>
      </c>
      <c r="J3476" s="316" t="str">
        <f t="array" ref="J3476">XLOOKUP(B3476,Roster!L:L,Roster!P:P,XLOOKUP(D3476,TicketsBreak!A:A,TicketsBreak!G:G,"",0),0)</f>
        <v/>
      </c>
      <c r="K3476" s="310">
        <f t="shared" si="4"/>
        <v>46141</v>
      </c>
      <c r="L3476" s="317">
        <f t="array" ref="L3476">(XLOOKUP(D3476,Roster!F:F,Roster!D:D,"",0))</f>
        <v>31</v>
      </c>
      <c r="M3476" s="317" t="str">
        <f t="array" ref="M3476">XLOOKUP(D3476,Roster!F:F,Roster!E:E)</f>
        <v>Tickets</v>
      </c>
      <c r="N3476" s="317" t="str">
        <f t="shared" ref="N3476:P3476" si="3525">LEFT(H3476,5)</f>
        <v/>
      </c>
      <c r="O3476" s="317" t="str">
        <f t="shared" si="3525"/>
        <v/>
      </c>
      <c r="P3476" s="317" t="str">
        <f t="shared" si="3525"/>
        <v/>
      </c>
      <c r="Q3476" s="318" t="str">
        <f t="shared" si="3500"/>
        <v/>
      </c>
      <c r="R3476" s="318" t="str">
        <f t="shared" si="3501"/>
        <v/>
      </c>
      <c r="S3476" s="318" t="str">
        <f t="shared" si="8"/>
        <v/>
      </c>
    </row>
    <row r="3477">
      <c r="A3477" s="14" t="str">
        <f t="shared" si="1"/>
        <v>C72646141</v>
      </c>
      <c r="B3477" s="185" t="str">
        <f t="array" ref="B3477">IF(F3477="VL","",IF(F3477="Free","Free",XLOOKUP(D3477,Roster!T:T,Roster!S:S,"",0)))</f>
        <v/>
      </c>
      <c r="C3477" s="313">
        <v>46141.0</v>
      </c>
      <c r="D3477" s="314" t="s">
        <v>185</v>
      </c>
      <c r="E3477" s="307" t="str">
        <f t="array" ref="E3477">(XLOOKUP(D3477,Roster!F:F,Roster!B:B,"",0))</f>
        <v>Sebastian Rodriguez</v>
      </c>
      <c r="F3477" s="315" t="str">
        <f t="array" ref="F3477">IF(B3477=100,"Free",TEXT(XLOOKUP($D3477,OperationVoice!$A:$A,OperationVoice!AI:AI,XLOOKUP($D3477,OperationTickets!$A:$A,OperationTickets!AI:AI,"",0)),"hh:mm"))</f>
        <v>08:00</v>
      </c>
      <c r="G3477" s="309">
        <f t="shared" si="3"/>
        <v>0.7083333333</v>
      </c>
      <c r="H3477" s="316">
        <f t="array" ref="H3477">XLOOKUP(B3477,Roster!L:L,Roster!N:N,XLOOKUP(D3477,TicketsBreak!A:A,TicketsBreak!E:E,"",0),0)</f>
        <v>0.4166666667</v>
      </c>
      <c r="I3477" s="316">
        <f t="array" ref="I3477">XLOOKUP(B3477,Roster!L:L,Roster!O:O,XLOOKUP(D3477,TicketsBreak!A:A,TicketsBreak!F:F,"",0),0)</f>
        <v>0.5625</v>
      </c>
      <c r="J3477" s="316">
        <f t="array" ref="J3477">XLOOKUP(B3477,Roster!L:L,Roster!P:P,XLOOKUP(D3477,TicketsBreak!A:A,TicketsBreak!G:G,"",0),0)</f>
        <v>0.6458333333</v>
      </c>
      <c r="K3477" s="310">
        <f t="shared" si="4"/>
        <v>46141</v>
      </c>
      <c r="L3477" s="317">
        <f t="array" ref="L3477">(XLOOKUP(D3477,Roster!F:F,Roster!D:D,"",0))</f>
        <v>7</v>
      </c>
      <c r="M3477" s="317" t="str">
        <f t="array" ref="M3477">XLOOKUP(D3477,Roster!F:F,Roster!E:E)</f>
        <v>Tickets</v>
      </c>
      <c r="N3477" s="317" t="str">
        <f t="shared" ref="N3477:P3477" si="3526">LEFT(H3477,5)</f>
        <v>10:00</v>
      </c>
      <c r="O3477" s="317" t="str">
        <f t="shared" si="3526"/>
        <v>13:30</v>
      </c>
      <c r="P3477" s="317" t="str">
        <f t="shared" si="3526"/>
        <v>15:30</v>
      </c>
      <c r="Q3477" s="318">
        <f t="shared" si="3500"/>
        <v>46141.41667</v>
      </c>
      <c r="R3477" s="318">
        <f t="shared" si="3501"/>
        <v>46141.5625</v>
      </c>
      <c r="S3477" s="318">
        <f t="shared" si="8"/>
        <v>46141.64583</v>
      </c>
    </row>
    <row r="3478">
      <c r="A3478" s="14" t="str">
        <f t="shared" si="1"/>
        <v>C60246141</v>
      </c>
      <c r="B3478" s="185" t="str">
        <f t="array" ref="B3478">IF(F3478="VL","",IF(F3478="Free","Free",XLOOKUP(D3478,Roster!T:T,Roster!S:S,"",0)))</f>
        <v/>
      </c>
      <c r="C3478" s="313">
        <v>46141.0</v>
      </c>
      <c r="D3478" s="314" t="s">
        <v>170</v>
      </c>
      <c r="E3478" s="307" t="str">
        <f t="array" ref="E3478">(XLOOKUP(D3478,Roster!F:F,Roster!B:B,"",0))</f>
        <v>Sebastian Torres</v>
      </c>
      <c r="F3478" s="315" t="str">
        <f t="array" ref="F3478">IF(B3478=100,"Free",TEXT(XLOOKUP($D3478,OperationVoice!$A:$A,OperationVoice!AI:AI,XLOOKUP($D3478,OperationTickets!$A:$A,OperationTickets!AI:AI,"",0)),"hh:mm"))</f>
        <v>08:00</v>
      </c>
      <c r="G3478" s="309">
        <f t="shared" si="3"/>
        <v>0.7083333333</v>
      </c>
      <c r="H3478" s="316">
        <f t="array" ref="H3478">XLOOKUP(B3478,Roster!L:L,Roster!N:N,XLOOKUP(D3478,TicketsBreak!A:A,TicketsBreak!E:E,"",0),0)</f>
        <v>0.4583333333</v>
      </c>
      <c r="I3478" s="316">
        <f t="array" ref="I3478">XLOOKUP(B3478,Roster!L:L,Roster!O:O,XLOOKUP(D3478,TicketsBreak!A:A,TicketsBreak!F:F,"",0),0)</f>
        <v>0.5833333333</v>
      </c>
      <c r="J3478" s="316">
        <f t="array" ref="J3478">XLOOKUP(B3478,Roster!L:L,Roster!P:P,XLOOKUP(D3478,TicketsBreak!A:A,TicketsBreak!G:G,"",0),0)</f>
        <v>0.65625</v>
      </c>
      <c r="K3478" s="310">
        <f t="shared" si="4"/>
        <v>46141</v>
      </c>
      <c r="L3478" s="317">
        <f t="array" ref="L3478">(XLOOKUP(D3478,Roster!F:F,Roster!D:D,"",0))</f>
        <v>8</v>
      </c>
      <c r="M3478" s="317" t="str">
        <f t="array" ref="M3478">XLOOKUP(D3478,Roster!F:F,Roster!E:E)</f>
        <v>Tickets</v>
      </c>
      <c r="N3478" s="317" t="str">
        <f t="shared" ref="N3478:P3478" si="3527">LEFT(H3478,5)</f>
        <v>11:00</v>
      </c>
      <c r="O3478" s="317" t="str">
        <f t="shared" si="3527"/>
        <v>14:00</v>
      </c>
      <c r="P3478" s="317" t="str">
        <f t="shared" si="3527"/>
        <v>15:45</v>
      </c>
      <c r="Q3478" s="318">
        <f t="shared" si="3500"/>
        <v>46141.45833</v>
      </c>
      <c r="R3478" s="318">
        <f t="shared" si="3501"/>
        <v>46141.58333</v>
      </c>
      <c r="S3478" s="318">
        <f t="shared" si="8"/>
        <v>46141.65625</v>
      </c>
    </row>
    <row r="3479">
      <c r="A3479" s="14" t="str">
        <f t="shared" si="1"/>
        <v>C143146141</v>
      </c>
      <c r="B3479" s="185">
        <f t="array" ref="B3479">IF(F3479="VL","",IF(F3479="Free","Free",XLOOKUP(D3479,Roster!T:T,Roster!S:S,"",0)))</f>
        <v>151</v>
      </c>
      <c r="C3479" s="313">
        <v>46141.0</v>
      </c>
      <c r="D3479" s="314" t="s">
        <v>74</v>
      </c>
      <c r="E3479" s="307" t="str">
        <f t="array" ref="E3479">(XLOOKUP(D3479,Roster!F:F,Roster!B:B,"",0))</f>
        <v>Sebastian Torres Gomez</v>
      </c>
      <c r="F3479" s="315" t="str">
        <f t="array" ref="F3479">IF(B3479=100,"Free",TEXT(XLOOKUP($D3479,OperationVoice!$A:$A,OperationVoice!AI:AI,XLOOKUP($D3479,OperationTickets!$A:$A,OperationTickets!AI:AI,"",0)),"hh:mm"))</f>
        <v>11:00</v>
      </c>
      <c r="G3479" s="309">
        <f t="shared" si="3"/>
        <v>0.8333333333</v>
      </c>
      <c r="H3479" s="316" t="str">
        <f t="array" ref="H3479">XLOOKUP(B3479,Roster!L:L,Roster!N:N,XLOOKUP(D3479,TicketsBreak!A:A,TicketsBreak!E:E,"",0),0)</f>
        <v>12:15 - 12:30</v>
      </c>
      <c r="I3479" s="316" t="str">
        <f t="array" ref="I3479">XLOOKUP(B3479,Roster!L:L,Roster!O:O,XLOOKUP(D3479,TicketsBreak!A:A,TicketsBreak!F:F,"",0),0)</f>
        <v>14:00 - 14:30</v>
      </c>
      <c r="J3479" s="316" t="str">
        <f t="array" ref="J3479">XLOOKUP(B3479,Roster!L:L,Roster!P:P,XLOOKUP(D3479,TicketsBreak!A:A,TicketsBreak!G:G,"",0),0)</f>
        <v>17:15 - 17:30</v>
      </c>
      <c r="K3479" s="310">
        <f t="shared" si="4"/>
        <v>46141</v>
      </c>
      <c r="L3479" s="317">
        <f t="array" ref="L3479">(XLOOKUP(D3479,Roster!F:F,Roster!D:D,"",0))</f>
        <v>32</v>
      </c>
      <c r="M3479" s="317" t="str">
        <f t="array" ref="M3479">XLOOKUP(D3479,Roster!F:F,Roster!E:E)</f>
        <v>Voice</v>
      </c>
      <c r="N3479" s="317" t="str">
        <f t="shared" ref="N3479:P3479" si="3528">LEFT(H3479,5)</f>
        <v>12:15</v>
      </c>
      <c r="O3479" s="317" t="str">
        <f t="shared" si="3528"/>
        <v>14:00</v>
      </c>
      <c r="P3479" s="317" t="str">
        <f t="shared" si="3528"/>
        <v>17:15</v>
      </c>
      <c r="Q3479" s="318">
        <f t="shared" si="3500"/>
        <v>46141.51042</v>
      </c>
      <c r="R3479" s="318">
        <f t="shared" si="3501"/>
        <v>46141.58333</v>
      </c>
      <c r="S3479" s="318">
        <f t="shared" si="8"/>
        <v>46141.71875</v>
      </c>
    </row>
    <row r="3480">
      <c r="A3480" s="14" t="str">
        <f t="shared" si="1"/>
        <v>C149146141</v>
      </c>
      <c r="B3480" s="185" t="str">
        <f t="array" ref="B3480">IF(F3480="VL","",IF(F3480="Free","Free",XLOOKUP(D3480,Roster!T:T,Roster!S:S,"",0)))</f>
        <v/>
      </c>
      <c r="C3480" s="313">
        <v>46141.0</v>
      </c>
      <c r="D3480" s="314" t="s">
        <v>315</v>
      </c>
      <c r="E3480" s="307" t="str">
        <f t="array" ref="E3480">(XLOOKUP(D3480,Roster!F:F,Roster!B:B,"",0))</f>
        <v>Sebastian Vanegas</v>
      </c>
      <c r="F3480" s="315" t="str">
        <f t="array" ref="F3480">IF(B3480=100,"Free",TEXT(XLOOKUP($D3480,OperationVoice!$A:$A,OperationVoice!AI:AI,XLOOKUP($D3480,OperationTickets!$A:$A,OperationTickets!AI:AI,"",0)),"hh:mm"))</f>
        <v/>
      </c>
      <c r="G3480" s="309" t="str">
        <f t="shared" si="3"/>
        <v/>
      </c>
      <c r="H3480" s="316" t="str">
        <f t="array" ref="H3480">XLOOKUP(B3480,Roster!L:L,Roster!N:N,XLOOKUP(D3480,TicketsBreak!A:A,TicketsBreak!E:E,"",0),0)</f>
        <v/>
      </c>
      <c r="I3480" s="316" t="str">
        <f t="array" ref="I3480">XLOOKUP(B3480,Roster!L:L,Roster!O:O,XLOOKUP(D3480,TicketsBreak!A:A,TicketsBreak!F:F,"",0),0)</f>
        <v/>
      </c>
      <c r="J3480" s="316" t="str">
        <f t="array" ref="J3480">XLOOKUP(B3480,Roster!L:L,Roster!P:P,XLOOKUP(D3480,TicketsBreak!A:A,TicketsBreak!G:G,"",0),0)</f>
        <v/>
      </c>
      <c r="K3480" s="310">
        <f t="shared" si="4"/>
        <v>46141</v>
      </c>
      <c r="L3480" s="317">
        <f t="array" ref="L3480">(XLOOKUP(D3480,Roster!F:F,Roster!D:D,"",0))</f>
        <v>34</v>
      </c>
      <c r="M3480" s="317" t="str">
        <f t="array" ref="M3480">XLOOKUP(D3480,Roster!F:F,Roster!E:E)</f>
        <v>Voice</v>
      </c>
      <c r="N3480" s="317" t="str">
        <f t="shared" ref="N3480:P3480" si="3529">LEFT(H3480,5)</f>
        <v/>
      </c>
      <c r="O3480" s="317" t="str">
        <f t="shared" si="3529"/>
        <v/>
      </c>
      <c r="P3480" s="317" t="str">
        <f t="shared" si="3529"/>
        <v/>
      </c>
      <c r="Q3480" s="318" t="str">
        <f t="shared" si="3500"/>
        <v/>
      </c>
      <c r="R3480" s="318" t="str">
        <f t="shared" si="3501"/>
        <v/>
      </c>
      <c r="S3480" s="318" t="str">
        <f t="shared" si="8"/>
        <v/>
      </c>
    </row>
    <row r="3481">
      <c r="A3481" s="14" t="str">
        <f t="shared" si="1"/>
        <v>C93746141</v>
      </c>
      <c r="B3481" s="185">
        <f t="array" ref="B3481">IF(F3481="VL","",IF(F3481="Free","Free",XLOOKUP(D3481,Roster!T:T,Roster!S:S,"",0)))</f>
        <v>126</v>
      </c>
      <c r="C3481" s="313">
        <v>46141.0</v>
      </c>
      <c r="D3481" s="314" t="s">
        <v>75</v>
      </c>
      <c r="E3481" s="307" t="str">
        <f t="array" ref="E3481">(XLOOKUP(D3481,Roster!F:F,Roster!B:B,"",0))</f>
        <v>Sebastian Zapata</v>
      </c>
      <c r="F3481" s="315" t="str">
        <f t="array" ref="F3481">IF(B3481=100,"Free",TEXT(XLOOKUP($D3481,OperationVoice!$A:$A,OperationVoice!AI:AI,XLOOKUP($D3481,OperationTickets!$A:$A,OperationTickets!AI:AI,"",0)),"hh:mm"))</f>
        <v>08:00</v>
      </c>
      <c r="G3481" s="309">
        <f t="shared" si="3"/>
        <v>0.7083333333</v>
      </c>
      <c r="H3481" s="316" t="str">
        <f t="array" ref="H3481">XLOOKUP(B3481,Roster!L:L,Roster!N:N,XLOOKUP(D3481,TicketsBreak!A:A,TicketsBreak!E:E,"",0),0)</f>
        <v>10:45 - 11:00</v>
      </c>
      <c r="I3481" s="316" t="str">
        <f t="array" ref="I3481">XLOOKUP(B3481,Roster!L:L,Roster!O:O,XLOOKUP(D3481,TicketsBreak!A:A,TicketsBreak!F:F,"",0),0)</f>
        <v>14:00 - 14:30</v>
      </c>
      <c r="J3481" s="316" t="str">
        <f t="array" ref="J3481">XLOOKUP(B3481,Roster!L:L,Roster!P:P,XLOOKUP(D3481,TicketsBreak!A:A,TicketsBreak!G:G,"",0),0)</f>
        <v>15:45 - 16:00</v>
      </c>
      <c r="K3481" s="310">
        <f t="shared" si="4"/>
        <v>46141</v>
      </c>
      <c r="L3481" s="317">
        <f t="array" ref="L3481">(XLOOKUP(D3481,Roster!F:F,Roster!D:D,"",0))</f>
        <v>12</v>
      </c>
      <c r="M3481" s="317" t="str">
        <f t="array" ref="M3481">XLOOKUP(D3481,Roster!F:F,Roster!E:E)</f>
        <v>Voice</v>
      </c>
      <c r="N3481" s="317" t="str">
        <f t="shared" ref="N3481:P3481" si="3530">LEFT(H3481,5)</f>
        <v>10:45</v>
      </c>
      <c r="O3481" s="317" t="str">
        <f t="shared" si="3530"/>
        <v>14:00</v>
      </c>
      <c r="P3481" s="317" t="str">
        <f t="shared" si="3530"/>
        <v>15:45</v>
      </c>
      <c r="Q3481" s="318">
        <f t="shared" si="3500"/>
        <v>46141.44792</v>
      </c>
      <c r="R3481" s="318">
        <f t="shared" si="3501"/>
        <v>46141.58333</v>
      </c>
      <c r="S3481" s="318">
        <f t="shared" si="8"/>
        <v>46141.65625</v>
      </c>
    </row>
    <row r="3482">
      <c r="A3482" s="14" t="str">
        <f t="shared" si="1"/>
        <v>C156546141</v>
      </c>
      <c r="B3482" s="185">
        <f t="array" ref="B3482">IF(F3482="VL","",IF(F3482="Free","Free",XLOOKUP(D3482,Roster!T:T,Roster!S:S,"",0)))</f>
        <v>122</v>
      </c>
      <c r="C3482" s="313">
        <v>46141.0</v>
      </c>
      <c r="D3482" s="314" t="s">
        <v>76</v>
      </c>
      <c r="E3482" s="307" t="str">
        <f t="array" ref="E3482">(XLOOKUP(D3482,Roster!F:F,Roster!B:B,"",0))</f>
        <v>Sergio Rojas</v>
      </c>
      <c r="F3482" s="315" t="str">
        <f t="array" ref="F3482">IF(B3482=100,"Free",TEXT(XLOOKUP($D3482,OperationVoice!$A:$A,OperationVoice!AI:AI,XLOOKUP($D3482,OperationTickets!$A:$A,OperationTickets!AI:AI,"",0)),"hh:mm"))</f>
        <v>11:00</v>
      </c>
      <c r="G3482" s="309">
        <f t="shared" si="3"/>
        <v>0.8333333333</v>
      </c>
      <c r="H3482" s="316" t="str">
        <f t="array" ref="H3482">XLOOKUP(B3482,Roster!L:L,Roster!N:N,XLOOKUP(D3482,TicketsBreak!A:A,TicketsBreak!E:E,"",0),0)</f>
        <v>09:30 - 09:45</v>
      </c>
      <c r="I3482" s="316" t="str">
        <f t="array" ref="I3482">XLOOKUP(B3482,Roster!L:L,Roster!O:O,XLOOKUP(D3482,TicketsBreak!A:A,TicketsBreak!F:F,"",0),0)</f>
        <v>12:00 - 12:30</v>
      </c>
      <c r="J3482" s="316" t="str">
        <f t="array" ref="J3482">XLOOKUP(B3482,Roster!L:L,Roster!P:P,XLOOKUP(D3482,TicketsBreak!A:A,TicketsBreak!G:G,"",0),0)</f>
        <v>14:45 - 15:00</v>
      </c>
      <c r="K3482" s="310">
        <f t="shared" si="4"/>
        <v>46141</v>
      </c>
      <c r="L3482" s="317">
        <f t="array" ref="L3482">(XLOOKUP(D3482,Roster!F:F,Roster!D:D,"",0))</f>
        <v>38</v>
      </c>
      <c r="M3482" s="317" t="str">
        <f t="array" ref="M3482">XLOOKUP(D3482,Roster!F:F,Roster!E:E)</f>
        <v>Voice</v>
      </c>
      <c r="N3482" s="317" t="str">
        <f t="shared" ref="N3482:P3482" si="3531">LEFT(H3482,5)</f>
        <v>09:30</v>
      </c>
      <c r="O3482" s="317" t="str">
        <f t="shared" si="3531"/>
        <v>12:00</v>
      </c>
      <c r="P3482" s="317" t="str">
        <f t="shared" si="3531"/>
        <v>14:45</v>
      </c>
      <c r="Q3482" s="318">
        <f t="shared" si="3500"/>
        <v>46141.39583</v>
      </c>
      <c r="R3482" s="318">
        <f t="shared" si="3501"/>
        <v>46141.5</v>
      </c>
      <c r="S3482" s="318">
        <f t="shared" si="8"/>
        <v>46141.61458</v>
      </c>
    </row>
    <row r="3483">
      <c r="A3483" s="14" t="str">
        <f t="shared" si="1"/>
        <v>C147846141</v>
      </c>
      <c r="B3483" s="185" t="str">
        <f t="array" ref="B3483">IF(F3483="VL","",IF(F3483="Free","Free",XLOOKUP(D3483,Roster!T:T,Roster!S:S,"",0)))</f>
        <v>Free</v>
      </c>
      <c r="C3483" s="313">
        <v>46141.0</v>
      </c>
      <c r="D3483" s="314" t="s">
        <v>186</v>
      </c>
      <c r="E3483" s="307" t="str">
        <f t="array" ref="E3483">(XLOOKUP(D3483,Roster!F:F,Roster!B:B,"",0))</f>
        <v>Simon Atehortua</v>
      </c>
      <c r="F3483" s="315" t="str">
        <f t="array" ref="F3483">IF(B3483=100,"Free",TEXT(XLOOKUP($D3483,OperationVoice!$A:$A,OperationVoice!AI:AI,XLOOKUP($D3483,OperationTickets!$A:$A,OperationTickets!AI:AI,"",0)),"hh:mm"))</f>
        <v>Free</v>
      </c>
      <c r="G3483" s="309" t="str">
        <f t="shared" si="3"/>
        <v>Free</v>
      </c>
      <c r="H3483" s="316" t="str">
        <f t="array" ref="H3483">XLOOKUP(B3483,Roster!L:L,Roster!N:N,XLOOKUP(D3483,TicketsBreak!A:A,TicketsBreak!E:E,"",0),0)</f>
        <v/>
      </c>
      <c r="I3483" s="316" t="str">
        <f t="array" ref="I3483">XLOOKUP(B3483,Roster!L:L,Roster!O:O,XLOOKUP(D3483,TicketsBreak!A:A,TicketsBreak!F:F,"",0),0)</f>
        <v/>
      </c>
      <c r="J3483" s="316" t="str">
        <f t="array" ref="J3483">XLOOKUP(B3483,Roster!L:L,Roster!P:P,XLOOKUP(D3483,TicketsBreak!A:A,TicketsBreak!G:G,"",0),0)</f>
        <v/>
      </c>
      <c r="K3483" s="310">
        <f t="shared" si="4"/>
        <v>46141</v>
      </c>
      <c r="L3483" s="317">
        <f t="array" ref="L3483">(XLOOKUP(D3483,Roster!F:F,Roster!D:D,"",0))</f>
        <v>32</v>
      </c>
      <c r="M3483" s="317" t="str">
        <f t="array" ref="M3483">XLOOKUP(D3483,Roster!F:F,Roster!E:E)</f>
        <v>Tickets</v>
      </c>
      <c r="N3483" s="317" t="str">
        <f t="shared" ref="N3483:P3483" si="3532">LEFT(H3483,5)</f>
        <v/>
      </c>
      <c r="O3483" s="317" t="str">
        <f t="shared" si="3532"/>
        <v/>
      </c>
      <c r="P3483" s="317" t="str">
        <f t="shared" si="3532"/>
        <v/>
      </c>
      <c r="Q3483" s="318" t="str">
        <f t="shared" si="3500"/>
        <v/>
      </c>
      <c r="R3483" s="318" t="str">
        <f t="shared" si="3501"/>
        <v/>
      </c>
      <c r="S3483" s="318" t="str">
        <f t="shared" si="8"/>
        <v/>
      </c>
    </row>
    <row r="3484">
      <c r="A3484" s="14" t="str">
        <f t="shared" si="1"/>
        <v>C148346141</v>
      </c>
      <c r="B3484" s="185">
        <f t="array" ref="B3484">IF(F3484="VL","",IF(F3484="Free","Free",XLOOKUP(D3484,Roster!T:T,Roster!S:S,"",0)))</f>
        <v>152</v>
      </c>
      <c r="C3484" s="313">
        <v>46141.0</v>
      </c>
      <c r="D3484" s="314" t="s">
        <v>77</v>
      </c>
      <c r="E3484" s="307" t="str">
        <f t="array" ref="E3484">(XLOOKUP(D3484,Roster!F:F,Roster!B:B,"",0))</f>
        <v>Simon Zuluaica</v>
      </c>
      <c r="F3484" s="315" t="str">
        <f t="array" ref="F3484">IF(B3484=100,"Free",TEXT(XLOOKUP($D3484,OperationVoice!$A:$A,OperationVoice!AI:AI,XLOOKUP($D3484,OperationTickets!$A:$A,OperationTickets!AI:AI,"",0)),"hh:mm"))</f>
        <v>11:00</v>
      </c>
      <c r="G3484" s="309">
        <f t="shared" si="3"/>
        <v>0.8333333333</v>
      </c>
      <c r="H3484" s="316" t="str">
        <f t="array" ref="H3484">XLOOKUP(B3484,Roster!L:L,Roster!N:N,XLOOKUP(D3484,TicketsBreak!A:A,TicketsBreak!E:E,"",0),0)</f>
        <v>12:30 - 12:45</v>
      </c>
      <c r="I3484" s="316" t="str">
        <f t="array" ref="I3484">XLOOKUP(B3484,Roster!L:L,Roster!O:O,XLOOKUP(D3484,TicketsBreak!A:A,TicketsBreak!F:F,"",0),0)</f>
        <v>14:30 - 15:00</v>
      </c>
      <c r="J3484" s="316" t="str">
        <f t="array" ref="J3484">XLOOKUP(B3484,Roster!L:L,Roster!P:P,XLOOKUP(D3484,TicketsBreak!A:A,TicketsBreak!G:G,"",0),0)</f>
        <v>17:30 - 17:45</v>
      </c>
      <c r="K3484" s="310">
        <f t="shared" si="4"/>
        <v>46141</v>
      </c>
      <c r="L3484" s="317">
        <f t="array" ref="L3484">(XLOOKUP(D3484,Roster!F:F,Roster!D:D,"",0))</f>
        <v>34</v>
      </c>
      <c r="M3484" s="317" t="str">
        <f t="array" ref="M3484">XLOOKUP(D3484,Roster!F:F,Roster!E:E)</f>
        <v>Voice</v>
      </c>
      <c r="N3484" s="317" t="str">
        <f t="shared" ref="N3484:P3484" si="3533">LEFT(H3484,5)</f>
        <v>12:30</v>
      </c>
      <c r="O3484" s="317" t="str">
        <f t="shared" si="3533"/>
        <v>14:30</v>
      </c>
      <c r="P3484" s="317" t="str">
        <f t="shared" si="3533"/>
        <v>17:30</v>
      </c>
      <c r="Q3484" s="318">
        <f t="shared" si="3500"/>
        <v>46141.52083</v>
      </c>
      <c r="R3484" s="318">
        <f t="shared" si="3501"/>
        <v>46141.60417</v>
      </c>
      <c r="S3484" s="318">
        <f t="shared" si="8"/>
        <v>46141.72917</v>
      </c>
    </row>
    <row r="3485">
      <c r="A3485" s="14" t="str">
        <f t="shared" si="1"/>
        <v>C154046141</v>
      </c>
      <c r="B3485" s="185">
        <f t="array" ref="B3485">IF(F3485="VL","",IF(F3485="Free","Free",XLOOKUP(D3485,Roster!T:T,Roster!S:S,"",0)))</f>
        <v>122</v>
      </c>
      <c r="C3485" s="313">
        <v>46141.0</v>
      </c>
      <c r="D3485" s="314" t="s">
        <v>78</v>
      </c>
      <c r="E3485" s="307" t="str">
        <f t="array" ref="E3485">(XLOOKUP(D3485,Roster!F:F,Roster!B:B,"",0))</f>
        <v>Tomas Perez</v>
      </c>
      <c r="F3485" s="315" t="str">
        <f t="array" ref="F3485">IF(B3485=100,"Free",TEXT(XLOOKUP($D3485,OperationVoice!$A:$A,OperationVoice!AI:AI,XLOOKUP($D3485,OperationTickets!$A:$A,OperationTickets!AI:AI,"",0)),"hh:mm"))</f>
        <v>08:00</v>
      </c>
      <c r="G3485" s="309">
        <f t="shared" si="3"/>
        <v>0.7083333333</v>
      </c>
      <c r="H3485" s="316" t="str">
        <f t="array" ref="H3485">XLOOKUP(B3485,Roster!L:L,Roster!N:N,XLOOKUP(D3485,TicketsBreak!A:A,TicketsBreak!E:E,"",0),0)</f>
        <v>09:30 - 09:45</v>
      </c>
      <c r="I3485" s="316" t="str">
        <f t="array" ref="I3485">XLOOKUP(B3485,Roster!L:L,Roster!O:O,XLOOKUP(D3485,TicketsBreak!A:A,TicketsBreak!F:F,"",0),0)</f>
        <v>12:00 - 12:30</v>
      </c>
      <c r="J3485" s="316" t="str">
        <f t="array" ref="J3485">XLOOKUP(B3485,Roster!L:L,Roster!P:P,XLOOKUP(D3485,TicketsBreak!A:A,TicketsBreak!G:G,"",0),0)</f>
        <v>14:45 - 15:00</v>
      </c>
      <c r="K3485" s="310">
        <f t="shared" si="4"/>
        <v>46141</v>
      </c>
      <c r="L3485" s="317">
        <f t="array" ref="L3485">(XLOOKUP(D3485,Roster!F:F,Roster!D:D,"",0))</f>
        <v>36</v>
      </c>
      <c r="M3485" s="317" t="str">
        <f t="array" ref="M3485">XLOOKUP(D3485,Roster!F:F,Roster!E:E)</f>
        <v>Voice</v>
      </c>
      <c r="N3485" s="317" t="str">
        <f t="shared" ref="N3485:P3485" si="3534">LEFT(H3485,5)</f>
        <v>09:30</v>
      </c>
      <c r="O3485" s="317" t="str">
        <f t="shared" si="3534"/>
        <v>12:00</v>
      </c>
      <c r="P3485" s="317" t="str">
        <f t="shared" si="3534"/>
        <v>14:45</v>
      </c>
      <c r="Q3485" s="318">
        <f t="shared" si="3500"/>
        <v>46141.39583</v>
      </c>
      <c r="R3485" s="318">
        <f t="shared" si="3501"/>
        <v>46141.5</v>
      </c>
      <c r="S3485" s="318">
        <f t="shared" si="8"/>
        <v>46141.61458</v>
      </c>
    </row>
    <row r="3486">
      <c r="A3486" s="14" t="str">
        <f t="shared" si="1"/>
        <v>C154746141</v>
      </c>
      <c r="B3486" s="185">
        <f t="array" ref="B3486">IF(F3486="VL","",IF(F3486="Free","Free",XLOOKUP(D3486,Roster!T:T,Roster!S:S,"",0)))</f>
        <v>121</v>
      </c>
      <c r="C3486" s="313">
        <v>46141.0</v>
      </c>
      <c r="D3486" s="314" t="s">
        <v>79</v>
      </c>
      <c r="E3486" s="307" t="str">
        <f t="array" ref="E3486">(XLOOKUP(D3486,Roster!F:F,Roster!B:B,"",0))</f>
        <v>Valentina Barreto</v>
      </c>
      <c r="F3486" s="315" t="str">
        <f t="array" ref="F3486">IF(B3486=100,"Free",TEXT(XLOOKUP($D3486,OperationVoice!$A:$A,OperationVoice!AI:AI,XLOOKUP($D3486,OperationTickets!$A:$A,OperationTickets!AI:AI,"",0)),"hh:mm"))</f>
        <v>08:00</v>
      </c>
      <c r="G3486" s="309">
        <f t="shared" si="3"/>
        <v>0.7083333333</v>
      </c>
      <c r="H3486" s="316" t="str">
        <f t="array" ref="H3486">XLOOKUP(B3486,Roster!L:L,Roster!N:N,XLOOKUP(D3486,TicketsBreak!A:A,TicketsBreak!E:E,"",0),0)</f>
        <v>09:15 - 09:30</v>
      </c>
      <c r="I3486" s="316" t="str">
        <f t="array" ref="I3486">XLOOKUP(B3486,Roster!L:L,Roster!O:O,XLOOKUP(D3486,TicketsBreak!A:A,TicketsBreak!F:F,"",0),0)</f>
        <v>11:30 - 12:00</v>
      </c>
      <c r="J3486" s="316" t="str">
        <f t="array" ref="J3486">XLOOKUP(B3486,Roster!L:L,Roster!P:P,XLOOKUP(D3486,TicketsBreak!A:A,TicketsBreak!G:G,"",0),0)</f>
        <v>14:30 - 14:45</v>
      </c>
      <c r="K3486" s="310">
        <f t="shared" si="4"/>
        <v>46141</v>
      </c>
      <c r="L3486" s="317">
        <f t="array" ref="L3486">(XLOOKUP(D3486,Roster!F:F,Roster!D:D,"",0))</f>
        <v>37</v>
      </c>
      <c r="M3486" s="317" t="str">
        <f t="array" ref="M3486">XLOOKUP(D3486,Roster!F:F,Roster!E:E)</f>
        <v>Voice</v>
      </c>
      <c r="N3486" s="317" t="str">
        <f t="shared" ref="N3486:P3486" si="3535">LEFT(H3486,5)</f>
        <v>09:15</v>
      </c>
      <c r="O3486" s="317" t="str">
        <f t="shared" si="3535"/>
        <v>11:30</v>
      </c>
      <c r="P3486" s="317" t="str">
        <f t="shared" si="3535"/>
        <v>14:30</v>
      </c>
      <c r="Q3486" s="318">
        <f t="shared" si="3500"/>
        <v>46141.38542</v>
      </c>
      <c r="R3486" s="318">
        <f t="shared" si="3501"/>
        <v>46141.47917</v>
      </c>
      <c r="S3486" s="318">
        <f t="shared" si="8"/>
        <v>46141.60417</v>
      </c>
    </row>
    <row r="3487">
      <c r="A3487" s="14" t="str">
        <f t="shared" si="1"/>
        <v>C155346141</v>
      </c>
      <c r="B3487" s="185" t="str">
        <f t="array" ref="B3487">IF(F3487="VL","",IF(F3487="Free","Free",XLOOKUP(D3487,Roster!T:T,Roster!S:S,"",0)))</f>
        <v>Free</v>
      </c>
      <c r="C3487" s="313">
        <v>46141.0</v>
      </c>
      <c r="D3487" s="314" t="s">
        <v>80</v>
      </c>
      <c r="E3487" s="307" t="str">
        <f t="array" ref="E3487">(XLOOKUP(D3487,Roster!F:F,Roster!B:B,"",0))</f>
        <v>Valentina Castro</v>
      </c>
      <c r="F3487" s="315" t="str">
        <f t="array" ref="F3487">IF(B3487=100,"Free",TEXT(XLOOKUP($D3487,OperationVoice!$A:$A,OperationVoice!AI:AI,XLOOKUP($D3487,OperationTickets!$A:$A,OperationTickets!AI:AI,"",0)),"hh:mm"))</f>
        <v>Free</v>
      </c>
      <c r="G3487" s="309" t="str">
        <f t="shared" si="3"/>
        <v>Free</v>
      </c>
      <c r="H3487" s="316" t="str">
        <f t="array" ref="H3487">XLOOKUP(B3487,Roster!L:L,Roster!N:N,XLOOKUP(D3487,TicketsBreak!A:A,TicketsBreak!E:E,"",0),0)</f>
        <v/>
      </c>
      <c r="I3487" s="316" t="str">
        <f t="array" ref="I3487">XLOOKUP(B3487,Roster!L:L,Roster!O:O,XLOOKUP(D3487,TicketsBreak!A:A,TicketsBreak!F:F,"",0),0)</f>
        <v/>
      </c>
      <c r="J3487" s="316" t="str">
        <f t="array" ref="J3487">XLOOKUP(B3487,Roster!L:L,Roster!P:P,XLOOKUP(D3487,TicketsBreak!A:A,TicketsBreak!G:G,"",0),0)</f>
        <v/>
      </c>
      <c r="K3487" s="310">
        <f t="shared" si="4"/>
        <v>46141</v>
      </c>
      <c r="L3487" s="317">
        <f t="array" ref="L3487">(XLOOKUP(D3487,Roster!F:F,Roster!D:D,"",0))</f>
        <v>37</v>
      </c>
      <c r="M3487" s="317" t="str">
        <f t="array" ref="M3487">XLOOKUP(D3487,Roster!F:F,Roster!E:E)</f>
        <v>Voice</v>
      </c>
      <c r="N3487" s="317" t="str">
        <f t="shared" ref="N3487:P3487" si="3536">LEFT(H3487,5)</f>
        <v/>
      </c>
      <c r="O3487" s="317" t="str">
        <f t="shared" si="3536"/>
        <v/>
      </c>
      <c r="P3487" s="317" t="str">
        <f t="shared" si="3536"/>
        <v/>
      </c>
      <c r="Q3487" s="318" t="str">
        <f t="shared" si="3500"/>
        <v/>
      </c>
      <c r="R3487" s="318" t="str">
        <f t="shared" si="3501"/>
        <v/>
      </c>
      <c r="S3487" s="318" t="str">
        <f t="shared" si="8"/>
        <v/>
      </c>
    </row>
    <row r="3488">
      <c r="A3488" s="14" t="str">
        <f t="shared" si="1"/>
        <v>C150246141</v>
      </c>
      <c r="B3488" s="185" t="str">
        <f t="array" ref="B3488">IF(F3488="VL","",IF(F3488="Free","Free",XLOOKUP(D3488,Roster!T:T,Roster!S:S,"",0)))</f>
        <v/>
      </c>
      <c r="C3488" s="313">
        <v>46141.0</v>
      </c>
      <c r="D3488" s="314" t="s">
        <v>316</v>
      </c>
      <c r="E3488" s="307" t="str">
        <f t="array" ref="E3488">(XLOOKUP(D3488,Roster!F:F,Roster!B:B,"",0))</f>
        <v>Valentina Gallego</v>
      </c>
      <c r="F3488" s="315" t="str">
        <f t="array" ref="F3488">IF(B3488=100,"Free",TEXT(XLOOKUP($D3488,OperationVoice!$A:$A,OperationVoice!AI:AI,XLOOKUP($D3488,OperationTickets!$A:$A,OperationTickets!AI:AI,"",0)),"hh:mm"))</f>
        <v/>
      </c>
      <c r="G3488" s="309" t="str">
        <f t="shared" si="3"/>
        <v/>
      </c>
      <c r="H3488" s="316" t="str">
        <f t="array" ref="H3488">XLOOKUP(B3488,Roster!L:L,Roster!N:N,XLOOKUP(D3488,TicketsBreak!A:A,TicketsBreak!E:E,"",0),0)</f>
        <v/>
      </c>
      <c r="I3488" s="316" t="str">
        <f t="array" ref="I3488">XLOOKUP(B3488,Roster!L:L,Roster!O:O,XLOOKUP(D3488,TicketsBreak!A:A,TicketsBreak!F:F,"",0),0)</f>
        <v/>
      </c>
      <c r="J3488" s="316" t="str">
        <f t="array" ref="J3488">XLOOKUP(B3488,Roster!L:L,Roster!P:P,XLOOKUP(D3488,TicketsBreak!A:A,TicketsBreak!G:G,"",0),0)</f>
        <v/>
      </c>
      <c r="K3488" s="310">
        <f t="shared" si="4"/>
        <v>46141</v>
      </c>
      <c r="L3488" s="317">
        <f t="array" ref="L3488">(XLOOKUP(D3488,Roster!F:F,Roster!D:D,"",0))</f>
        <v>35</v>
      </c>
      <c r="M3488" s="317" t="str">
        <f t="array" ref="M3488">XLOOKUP(D3488,Roster!F:F,Roster!E:E)</f>
        <v>Voice</v>
      </c>
      <c r="N3488" s="317" t="str">
        <f t="shared" ref="N3488:P3488" si="3537">LEFT(H3488,5)</f>
        <v/>
      </c>
      <c r="O3488" s="317" t="str">
        <f t="shared" si="3537"/>
        <v/>
      </c>
      <c r="P3488" s="317" t="str">
        <f t="shared" si="3537"/>
        <v/>
      </c>
      <c r="Q3488" s="318" t="str">
        <f t="shared" si="3500"/>
        <v/>
      </c>
      <c r="R3488" s="318" t="str">
        <f t="shared" si="3501"/>
        <v/>
      </c>
      <c r="S3488" s="318" t="str">
        <f t="shared" si="8"/>
        <v/>
      </c>
    </row>
    <row r="3489">
      <c r="A3489" s="14" t="str">
        <f t="shared" si="1"/>
        <v>C112646141</v>
      </c>
      <c r="B3489" s="185" t="str">
        <f t="array" ref="B3489">IF(F3489="VL","",IF(F3489="Free","Free",XLOOKUP(D3489,Roster!T:T,Roster!S:S,"",0)))</f>
        <v/>
      </c>
      <c r="C3489" s="313">
        <v>46141.0</v>
      </c>
      <c r="D3489" s="314" t="s">
        <v>152</v>
      </c>
      <c r="E3489" s="307" t="str">
        <f t="array" ref="E3489">(XLOOKUP(D3489,Roster!F:F,Roster!B:B,"",0))</f>
        <v>Valery Escobar</v>
      </c>
      <c r="F3489" s="315" t="str">
        <f t="array" ref="F3489">IF(B3489=100,"Free",TEXT(XLOOKUP($D3489,OperationVoice!$A:$A,OperationVoice!AI:AI,XLOOKUP($D3489,OperationTickets!$A:$A,OperationTickets!AI:AI,"",0)),"hh:mm"))</f>
        <v>08:00</v>
      </c>
      <c r="G3489" s="309">
        <f t="shared" si="3"/>
        <v>0.7083333333</v>
      </c>
      <c r="H3489" s="316">
        <f t="array" ref="H3489">XLOOKUP(B3489,Roster!L:L,Roster!N:N,XLOOKUP(D3489,TicketsBreak!A:A,TicketsBreak!E:E,"",0),0)</f>
        <v>0.3854166667</v>
      </c>
      <c r="I3489" s="316">
        <f t="array" ref="I3489">XLOOKUP(B3489,Roster!L:L,Roster!O:O,XLOOKUP(D3489,TicketsBreak!A:A,TicketsBreak!F:F,"",0),0)</f>
        <v>0.5</v>
      </c>
      <c r="J3489" s="316">
        <f t="array" ref="J3489">XLOOKUP(B3489,Roster!L:L,Roster!P:P,XLOOKUP(D3489,TicketsBreak!A:A,TicketsBreak!G:G,"",0),0)</f>
        <v>0.6041666667</v>
      </c>
      <c r="K3489" s="310">
        <f t="shared" si="4"/>
        <v>46141</v>
      </c>
      <c r="L3489" s="317">
        <f t="array" ref="L3489">(XLOOKUP(D3489,Roster!F:F,Roster!D:D,"",0))</f>
        <v>21</v>
      </c>
      <c r="M3489" s="317" t="str">
        <f t="array" ref="M3489">XLOOKUP(D3489,Roster!F:F,Roster!E:E)</f>
        <v>Tickets</v>
      </c>
      <c r="N3489" s="317" t="str">
        <f t="shared" ref="N3489:P3489" si="3538">LEFT(H3489,5)</f>
        <v>09:15</v>
      </c>
      <c r="O3489" s="317" t="str">
        <f t="shared" si="3538"/>
        <v>12:00</v>
      </c>
      <c r="P3489" s="317" t="str">
        <f t="shared" si="3538"/>
        <v>14:30</v>
      </c>
      <c r="Q3489" s="318">
        <f t="shared" si="3500"/>
        <v>46141.38542</v>
      </c>
      <c r="R3489" s="318">
        <f t="shared" si="3501"/>
        <v>46141.5</v>
      </c>
      <c r="S3489" s="318">
        <f t="shared" si="8"/>
        <v>46141.60417</v>
      </c>
    </row>
    <row r="3490">
      <c r="A3490" s="14" t="str">
        <f t="shared" si="1"/>
        <v>C155246141</v>
      </c>
      <c r="B3490" s="185">
        <f t="array" ref="B3490">IF(F3490="VL","",IF(F3490="Free","Free",XLOOKUP(D3490,Roster!T:T,Roster!S:S,"",0)))</f>
        <v>125</v>
      </c>
      <c r="C3490" s="313">
        <v>46141.0</v>
      </c>
      <c r="D3490" s="314" t="s">
        <v>81</v>
      </c>
      <c r="E3490" s="307" t="str">
        <f t="array" ref="E3490">(XLOOKUP(D3490,Roster!F:F,Roster!B:B,"",0))</f>
        <v>Wendy Machado</v>
      </c>
      <c r="F3490" s="315" t="str">
        <f t="array" ref="F3490">IF(B3490=100,"Free",TEXT(XLOOKUP($D3490,OperationVoice!$A:$A,OperationVoice!AI:AI,XLOOKUP($D3490,OperationTickets!$A:$A,OperationTickets!AI:AI,"",0)),"hh:mm"))</f>
        <v>08:00</v>
      </c>
      <c r="G3490" s="309">
        <f t="shared" si="3"/>
        <v>0.7083333333</v>
      </c>
      <c r="H3490" s="316" t="str">
        <f t="array" ref="H3490">XLOOKUP(B3490,Roster!L:L,Roster!N:N,XLOOKUP(D3490,TicketsBreak!A:A,TicketsBreak!E:E,"",0),0)</f>
        <v>10:30 - 10:45</v>
      </c>
      <c r="I3490" s="316" t="str">
        <f t="array" ref="I3490">XLOOKUP(B3490,Roster!L:L,Roster!O:O,XLOOKUP(D3490,TicketsBreak!A:A,TicketsBreak!F:F,"",0),0)</f>
        <v>13:30 - 14:00</v>
      </c>
      <c r="J3490" s="316" t="str">
        <f t="array" ref="J3490">XLOOKUP(B3490,Roster!L:L,Roster!P:P,XLOOKUP(D3490,TicketsBreak!A:A,TicketsBreak!G:G,"",0),0)</f>
        <v>15:45 - 16:00</v>
      </c>
      <c r="K3490" s="310">
        <f t="shared" si="4"/>
        <v>46141</v>
      </c>
      <c r="L3490" s="317">
        <f t="array" ref="L3490">(XLOOKUP(D3490,Roster!F:F,Roster!D:D,"",0))</f>
        <v>37</v>
      </c>
      <c r="M3490" s="317" t="str">
        <f t="array" ref="M3490">XLOOKUP(D3490,Roster!F:F,Roster!E:E)</f>
        <v>Voice</v>
      </c>
      <c r="N3490" s="317" t="str">
        <f t="shared" ref="N3490:P3490" si="3539">LEFT(H3490,5)</f>
        <v>10:30</v>
      </c>
      <c r="O3490" s="317" t="str">
        <f t="shared" si="3539"/>
        <v>13:30</v>
      </c>
      <c r="P3490" s="317" t="str">
        <f t="shared" si="3539"/>
        <v>15:45</v>
      </c>
      <c r="Q3490" s="318">
        <f t="shared" si="3500"/>
        <v>46141.4375</v>
      </c>
      <c r="R3490" s="318">
        <f t="shared" si="3501"/>
        <v>46141.5625</v>
      </c>
      <c r="S3490" s="318">
        <f t="shared" si="8"/>
        <v>46141.65625</v>
      </c>
    </row>
    <row r="3491">
      <c r="A3491" s="14" t="str">
        <f t="shared" si="1"/>
        <v>C78646141</v>
      </c>
      <c r="B3491" s="185" t="str">
        <f t="array" ref="B3491">IF(F3491="VL","",IF(F3491="Free","Free",XLOOKUP(D3491,Roster!T:T,Roster!S:S,"",0)))</f>
        <v/>
      </c>
      <c r="C3491" s="313">
        <v>46141.0</v>
      </c>
      <c r="D3491" s="314" t="s">
        <v>136</v>
      </c>
      <c r="E3491" s="307" t="str">
        <f t="array" ref="E3491">(XLOOKUP(D3491,Roster!F:F,Roster!B:B,"",0))</f>
        <v>Wendy Navarro</v>
      </c>
      <c r="F3491" s="315" t="str">
        <f t="array" ref="F3491">IF(B3491=100,"Free",TEXT(XLOOKUP($D3491,OperationVoice!$A:$A,OperationVoice!AI:AI,XLOOKUP($D3491,OperationTickets!$A:$A,OperationTickets!AI:AI,"",0)),"hh:mm"))</f>
        <v>08:00</v>
      </c>
      <c r="G3491" s="309">
        <f t="shared" si="3"/>
        <v>0.7083333333</v>
      </c>
      <c r="H3491" s="316">
        <f t="array" ref="H3491">XLOOKUP(B3491,Roster!L:L,Roster!N:N,XLOOKUP(D3491,TicketsBreak!A:A,TicketsBreak!E:E,"",0),0)</f>
        <v>0.4166666667</v>
      </c>
      <c r="I3491" s="316">
        <f t="array" ref="I3491">XLOOKUP(B3491,Roster!L:L,Roster!O:O,XLOOKUP(D3491,TicketsBreak!A:A,TicketsBreak!F:F,"",0),0)</f>
        <v>0.5416666667</v>
      </c>
      <c r="J3491" s="316">
        <f t="array" ref="J3491">XLOOKUP(B3491,Roster!L:L,Roster!P:P,XLOOKUP(D3491,TicketsBreak!A:A,TicketsBreak!G:G,"",0),0)</f>
        <v>0.6458333333</v>
      </c>
      <c r="K3491" s="310">
        <f t="shared" si="4"/>
        <v>46141</v>
      </c>
      <c r="L3491" s="317">
        <f t="array" ref="L3491">(XLOOKUP(D3491,Roster!F:F,Roster!D:D,"",0))</f>
        <v>16</v>
      </c>
      <c r="M3491" s="317" t="str">
        <f t="array" ref="M3491">XLOOKUP(D3491,Roster!F:F,Roster!E:E)</f>
        <v>Tickets</v>
      </c>
      <c r="N3491" s="317" t="str">
        <f t="shared" ref="N3491:P3491" si="3540">LEFT(H3491,5)</f>
        <v>10:00</v>
      </c>
      <c r="O3491" s="317" t="str">
        <f t="shared" si="3540"/>
        <v>13:00</v>
      </c>
      <c r="P3491" s="317" t="str">
        <f t="shared" si="3540"/>
        <v>15:30</v>
      </c>
      <c r="Q3491" s="318">
        <f t="shared" si="3500"/>
        <v>46141.41667</v>
      </c>
      <c r="R3491" s="318">
        <f t="shared" si="3501"/>
        <v>46141.54167</v>
      </c>
      <c r="S3491" s="318">
        <f t="shared" si="8"/>
        <v>46141.64583</v>
      </c>
    </row>
    <row r="3492">
      <c r="A3492" s="14" t="str">
        <f t="shared" si="1"/>
        <v>C153746141</v>
      </c>
      <c r="B3492" s="185">
        <f t="array" ref="B3492">IF(F3492="VL","",IF(F3492="Free","Free",XLOOKUP(D3492,Roster!T:T,Roster!S:S,"",0)))</f>
        <v>135</v>
      </c>
      <c r="C3492" s="313">
        <v>46141.0</v>
      </c>
      <c r="D3492" s="314" t="s">
        <v>82</v>
      </c>
      <c r="E3492" s="307" t="str">
        <f t="array" ref="E3492">(XLOOKUP(D3492,Roster!F:F,Roster!B:B,"",0))</f>
        <v>William Florez</v>
      </c>
      <c r="F3492" s="315" t="str">
        <f t="array" ref="F3492">IF(B3492=100,"Free",TEXT(XLOOKUP($D3492,OperationVoice!$A:$A,OperationVoice!AI:AI,XLOOKUP($D3492,OperationTickets!$A:$A,OperationTickets!AI:AI,"",0)),"hh:mm"))</f>
        <v>09:00</v>
      </c>
      <c r="G3492" s="309">
        <f t="shared" si="3"/>
        <v>0.75</v>
      </c>
      <c r="H3492" s="316" t="str">
        <f t="array" ref="H3492">XLOOKUP(B3492,Roster!L:L,Roster!N:N,XLOOKUP(D3492,TicketsBreak!A:A,TicketsBreak!E:E,"",0),0)</f>
        <v>11:15 - 11:30</v>
      </c>
      <c r="I3492" s="316" t="str">
        <f t="array" ref="I3492">XLOOKUP(B3492,Roster!L:L,Roster!O:O,XLOOKUP(D3492,TicketsBreak!A:A,TicketsBreak!F:F,"",0),0)</f>
        <v>14:15 - 14:45</v>
      </c>
      <c r="J3492" s="316" t="str">
        <f t="array" ref="J3492">XLOOKUP(B3492,Roster!L:L,Roster!P:P,XLOOKUP(D3492,TicketsBreak!A:A,TicketsBreak!G:G,"",0),0)</f>
        <v>16:15 - 16:30</v>
      </c>
      <c r="K3492" s="310">
        <f t="shared" si="4"/>
        <v>46141</v>
      </c>
      <c r="L3492" s="317">
        <f t="array" ref="L3492">(XLOOKUP(D3492,Roster!F:F,Roster!D:D,"",0))</f>
        <v>36</v>
      </c>
      <c r="M3492" s="317" t="str">
        <f t="array" ref="M3492">XLOOKUP(D3492,Roster!F:F,Roster!E:E)</f>
        <v>Voice</v>
      </c>
      <c r="N3492" s="317" t="str">
        <f t="shared" ref="N3492:P3492" si="3541">LEFT(H3492,5)</f>
        <v>11:15</v>
      </c>
      <c r="O3492" s="317" t="str">
        <f t="shared" si="3541"/>
        <v>14:15</v>
      </c>
      <c r="P3492" s="317" t="str">
        <f t="shared" si="3541"/>
        <v>16:15</v>
      </c>
      <c r="Q3492" s="318">
        <f t="shared" si="3500"/>
        <v>46141.46875</v>
      </c>
      <c r="R3492" s="318">
        <f t="shared" si="3501"/>
        <v>46141.59375</v>
      </c>
      <c r="S3492" s="318">
        <f t="shared" si="8"/>
        <v>46141.67708</v>
      </c>
    </row>
    <row r="3493">
      <c r="A3493" s="14" t="str">
        <f t="shared" si="1"/>
        <v>C135346141</v>
      </c>
      <c r="B3493" s="185">
        <f t="array" ref="B3493">IF(F3493="VL","",IF(F3493="Free","Free",XLOOKUP(D3493,Roster!T:T,Roster!S:S,"",0)))</f>
        <v>121</v>
      </c>
      <c r="C3493" s="313">
        <v>46141.0</v>
      </c>
      <c r="D3493" s="314" t="s">
        <v>83</v>
      </c>
      <c r="E3493" s="307" t="str">
        <f t="array" ref="E3493">(XLOOKUP(D3493,Roster!F:F,Roster!B:B,"",0))</f>
        <v>Wilson Martinez</v>
      </c>
      <c r="F3493" s="315" t="str">
        <f t="array" ref="F3493">IF(B3493=100,"Free",TEXT(XLOOKUP($D3493,OperationVoice!$A:$A,OperationVoice!AI:AI,XLOOKUP($D3493,OperationTickets!$A:$A,OperationTickets!AI:AI,"",0)),"hh:mm"))</f>
        <v>08:00</v>
      </c>
      <c r="G3493" s="309">
        <f t="shared" si="3"/>
        <v>0.7083333333</v>
      </c>
      <c r="H3493" s="316" t="str">
        <f t="array" ref="H3493">XLOOKUP(B3493,Roster!L:L,Roster!N:N,XLOOKUP(D3493,TicketsBreak!A:A,TicketsBreak!E:E,"",0),0)</f>
        <v>09:15 - 09:30</v>
      </c>
      <c r="I3493" s="316" t="str">
        <f t="array" ref="I3493">XLOOKUP(B3493,Roster!L:L,Roster!O:O,XLOOKUP(D3493,TicketsBreak!A:A,TicketsBreak!F:F,"",0),0)</f>
        <v>11:30 - 12:00</v>
      </c>
      <c r="J3493" s="316" t="str">
        <f t="array" ref="J3493">XLOOKUP(B3493,Roster!L:L,Roster!P:P,XLOOKUP(D3493,TicketsBreak!A:A,TicketsBreak!G:G,"",0),0)</f>
        <v>14:30 - 14:45</v>
      </c>
      <c r="K3493" s="310">
        <f t="shared" si="4"/>
        <v>46141</v>
      </c>
      <c r="L3493" s="317">
        <f t="array" ref="L3493">(XLOOKUP(D3493,Roster!F:F,Roster!D:D,"",0))</f>
        <v>30</v>
      </c>
      <c r="M3493" s="317" t="str">
        <f t="array" ref="M3493">XLOOKUP(D3493,Roster!F:F,Roster!E:E)</f>
        <v>Voice</v>
      </c>
      <c r="N3493" s="317" t="str">
        <f t="shared" ref="N3493:P3493" si="3542">LEFT(H3493,5)</f>
        <v>09:15</v>
      </c>
      <c r="O3493" s="317" t="str">
        <f t="shared" si="3542"/>
        <v>11:30</v>
      </c>
      <c r="P3493" s="317" t="str">
        <f t="shared" si="3542"/>
        <v>14:30</v>
      </c>
      <c r="Q3493" s="318">
        <f t="shared" si="3500"/>
        <v>46141.38542</v>
      </c>
      <c r="R3493" s="318">
        <f t="shared" si="3501"/>
        <v>46141.47917</v>
      </c>
      <c r="S3493" s="318">
        <f t="shared" si="8"/>
        <v>46141.60417</v>
      </c>
    </row>
    <row r="3494">
      <c r="A3494" s="14" t="str">
        <f t="shared" si="1"/>
        <v>C117346141</v>
      </c>
      <c r="B3494" s="185">
        <f t="array" ref="B3494">IF(F3494="VL","",IF(F3494="Free","Free",XLOOKUP(D3494,Roster!T:T,Roster!S:S,"",0)))</f>
        <v>122</v>
      </c>
      <c r="C3494" s="313">
        <v>46141.0</v>
      </c>
      <c r="D3494" s="314" t="s">
        <v>84</v>
      </c>
      <c r="E3494" s="307" t="str">
        <f t="array" ref="E3494">(XLOOKUP(D3494,Roster!F:F,Roster!B:B,"",0))</f>
        <v>Yaidy Mosquera</v>
      </c>
      <c r="F3494" s="315" t="str">
        <f t="array" ref="F3494">IF(B3494=100,"Free",TEXT(XLOOKUP($D3494,OperationVoice!$A:$A,OperationVoice!AI:AI,XLOOKUP($D3494,OperationTickets!$A:$A,OperationTickets!AI:AI,"",0)),"hh:mm"))</f>
        <v>08:00</v>
      </c>
      <c r="G3494" s="309">
        <f t="shared" si="3"/>
        <v>0.7083333333</v>
      </c>
      <c r="H3494" s="316" t="str">
        <f t="array" ref="H3494">XLOOKUP(B3494,Roster!L:L,Roster!N:N,XLOOKUP(D3494,TicketsBreak!A:A,TicketsBreak!E:E,"",0),0)</f>
        <v>09:30 - 09:45</v>
      </c>
      <c r="I3494" s="316" t="str">
        <f t="array" ref="I3494">XLOOKUP(B3494,Roster!L:L,Roster!O:O,XLOOKUP(D3494,TicketsBreak!A:A,TicketsBreak!F:F,"",0),0)</f>
        <v>12:00 - 12:30</v>
      </c>
      <c r="J3494" s="316" t="str">
        <f t="array" ref="J3494">XLOOKUP(B3494,Roster!L:L,Roster!P:P,XLOOKUP(D3494,TicketsBreak!A:A,TicketsBreak!G:G,"",0),0)</f>
        <v>14:45 - 15:00</v>
      </c>
      <c r="K3494" s="310">
        <f t="shared" si="4"/>
        <v>46141</v>
      </c>
      <c r="L3494" s="317">
        <f t="array" ref="L3494">(XLOOKUP(D3494,Roster!F:F,Roster!D:D,"",0))</f>
        <v>24</v>
      </c>
      <c r="M3494" s="317" t="str">
        <f t="array" ref="M3494">XLOOKUP(D3494,Roster!F:F,Roster!E:E)</f>
        <v>Voice</v>
      </c>
      <c r="N3494" s="317" t="str">
        <f t="shared" ref="N3494:P3494" si="3543">LEFT(H3494,5)</f>
        <v>09:30</v>
      </c>
      <c r="O3494" s="317" t="str">
        <f t="shared" si="3543"/>
        <v>12:00</v>
      </c>
      <c r="P3494" s="317" t="str">
        <f t="shared" si="3543"/>
        <v>14:45</v>
      </c>
      <c r="Q3494" s="318">
        <f t="shared" si="3500"/>
        <v>46141.39583</v>
      </c>
      <c r="R3494" s="318">
        <f t="shared" si="3501"/>
        <v>46141.5</v>
      </c>
      <c r="S3494" s="318">
        <f t="shared" si="8"/>
        <v>46141.61458</v>
      </c>
    </row>
    <row r="3495">
      <c r="A3495" s="14" t="str">
        <f t="shared" si="1"/>
        <v>C110846141</v>
      </c>
      <c r="B3495" s="185" t="str">
        <f t="array" ref="B3495">IF(F3495="VL","",IF(F3495="Free","Free",XLOOKUP(D3495,Roster!T:T,Roster!S:S,"",0)))</f>
        <v>Free</v>
      </c>
      <c r="C3495" s="313">
        <v>46141.0</v>
      </c>
      <c r="D3495" s="314" t="s">
        <v>187</v>
      </c>
      <c r="E3495" s="307" t="str">
        <f t="array" ref="E3495">(XLOOKUP(D3495,Roster!F:F,Roster!B:B,"",0))</f>
        <v>Yeiner Tapias</v>
      </c>
      <c r="F3495" s="315" t="str">
        <f t="array" ref="F3495">IF(B3495=100,"Free",TEXT(XLOOKUP($D3495,OperationVoice!$A:$A,OperationVoice!AI:AI,XLOOKUP($D3495,OperationTickets!$A:$A,OperationTickets!AI:AI,"",0)),"hh:mm"))</f>
        <v>Free</v>
      </c>
      <c r="G3495" s="309" t="str">
        <f t="shared" si="3"/>
        <v>Free</v>
      </c>
      <c r="H3495" s="316">
        <f t="array" ref="H3495">XLOOKUP(B3495,Roster!L:L,Roster!N:N,XLOOKUP(D3495,TicketsBreak!A:A,TicketsBreak!E:E,"",0),0)</f>
        <v>0.3958333333</v>
      </c>
      <c r="I3495" s="316">
        <f t="array" ref="I3495">XLOOKUP(B3495,Roster!L:L,Roster!O:O,XLOOKUP(D3495,TicketsBreak!A:A,TicketsBreak!F:F,"",0),0)</f>
        <v>0.5208333333</v>
      </c>
      <c r="J3495" s="316">
        <f t="array" ref="J3495">XLOOKUP(B3495,Roster!L:L,Roster!P:P,XLOOKUP(D3495,TicketsBreak!A:A,TicketsBreak!G:G,"",0),0)</f>
        <v>0.6145833333</v>
      </c>
      <c r="K3495" s="310">
        <f t="shared" si="4"/>
        <v>46141</v>
      </c>
      <c r="L3495" s="317">
        <f t="array" ref="L3495">(XLOOKUP(D3495,Roster!F:F,Roster!D:D,"",0))</f>
        <v>20</v>
      </c>
      <c r="M3495" s="317" t="str">
        <f t="array" ref="M3495">XLOOKUP(D3495,Roster!F:F,Roster!E:E)</f>
        <v>Tickets</v>
      </c>
      <c r="N3495" s="317" t="str">
        <f t="shared" ref="N3495:P3495" si="3544">LEFT(H3495,5)</f>
        <v>09:30</v>
      </c>
      <c r="O3495" s="317" t="str">
        <f t="shared" si="3544"/>
        <v>12:30</v>
      </c>
      <c r="P3495" s="317" t="str">
        <f t="shared" si="3544"/>
        <v>14:45</v>
      </c>
      <c r="Q3495" s="318">
        <f t="shared" si="3500"/>
        <v>46141.39583</v>
      </c>
      <c r="R3495" s="318">
        <f t="shared" si="3501"/>
        <v>46141.52083</v>
      </c>
      <c r="S3495" s="318">
        <f t="shared" si="8"/>
        <v>46141.61458</v>
      </c>
    </row>
    <row r="3496">
      <c r="A3496" s="14" t="str">
        <f t="shared" si="1"/>
        <v>C153946141</v>
      </c>
      <c r="B3496" s="185">
        <f t="array" ref="B3496">IF(F3496="VL","",IF(F3496="Free","Free",XLOOKUP(D3496,Roster!T:T,Roster!S:S,"",0)))</f>
        <v>123</v>
      </c>
      <c r="C3496" s="313">
        <v>46141.0</v>
      </c>
      <c r="D3496" s="314" t="s">
        <v>85</v>
      </c>
      <c r="E3496" s="307" t="str">
        <f t="array" ref="E3496">(XLOOKUP(D3496,Roster!F:F,Roster!B:B,"",0))</f>
        <v>Yovanny Ceballos</v>
      </c>
      <c r="F3496" s="315" t="str">
        <f t="array" ref="F3496">IF(B3496=100,"Free",TEXT(XLOOKUP($D3496,OperationVoice!$A:$A,OperationVoice!AI:AI,XLOOKUP($D3496,OperationTickets!$A:$A,OperationTickets!AI:AI,"",0)),"hh:mm"))</f>
        <v/>
      </c>
      <c r="G3496" s="309" t="str">
        <f t="shared" si="3"/>
        <v/>
      </c>
      <c r="H3496" s="316" t="str">
        <f t="array" ref="H3496">XLOOKUP(B3496,Roster!L:L,Roster!N:N,XLOOKUP(D3496,TicketsBreak!A:A,TicketsBreak!E:E,"",0),0)</f>
        <v>09:45 - 10:00 </v>
      </c>
      <c r="I3496" s="316" t="str">
        <f t="array" ref="I3496">XLOOKUP(B3496,Roster!L:L,Roster!O:O,XLOOKUP(D3496,TicketsBreak!A:A,TicketsBreak!F:F,"",0),0)</f>
        <v>12:30 - 13:00</v>
      </c>
      <c r="J3496" s="316" t="str">
        <f t="array" ref="J3496">XLOOKUP(B3496,Roster!L:L,Roster!P:P,XLOOKUP(D3496,TicketsBreak!A:A,TicketsBreak!G:G,"",0),0)</f>
        <v>15:00 - 15:15</v>
      </c>
      <c r="K3496" s="310">
        <f t="shared" si="4"/>
        <v>46141</v>
      </c>
      <c r="L3496" s="317">
        <f t="array" ref="L3496">(XLOOKUP(D3496,Roster!F:F,Roster!D:D,"",0))</f>
        <v>36</v>
      </c>
      <c r="M3496" s="317" t="str">
        <f t="array" ref="M3496">XLOOKUP(D3496,Roster!F:F,Roster!E:E)</f>
        <v>Voice</v>
      </c>
      <c r="N3496" s="317" t="str">
        <f t="shared" ref="N3496:P3496" si="3545">LEFT(H3496,5)</f>
        <v>09:45</v>
      </c>
      <c r="O3496" s="317" t="str">
        <f t="shared" si="3545"/>
        <v>12:30</v>
      </c>
      <c r="P3496" s="317" t="str">
        <f t="shared" si="3545"/>
        <v>15:00</v>
      </c>
      <c r="Q3496" s="318">
        <f t="shared" si="3500"/>
        <v>46141.40625</v>
      </c>
      <c r="R3496" s="318">
        <f t="shared" si="3501"/>
        <v>46141.52083</v>
      </c>
      <c r="S3496" s="318">
        <f t="shared" si="8"/>
        <v>46141.625</v>
      </c>
    </row>
    <row r="3497">
      <c r="A3497" s="14" t="str">
        <f t="shared" si="1"/>
        <v>C159746141</v>
      </c>
      <c r="B3497" s="185" t="str">
        <f t="array" ref="B3497">IF(F3497="VL","",IF(F3497="Free","Free",XLOOKUP(D3497,Roster!T:T,Roster!S:S,"",0)))</f>
        <v/>
      </c>
      <c r="C3497" s="313">
        <v>46141.0</v>
      </c>
      <c r="D3497" s="314" t="s">
        <v>192</v>
      </c>
      <c r="E3497" s="307" t="str">
        <f t="array" ref="E3497">(XLOOKUP(D3497,Roster!F:F,Roster!B:B,"",0))</f>
        <v>Huberney Durango</v>
      </c>
      <c r="F3497" s="315" t="str">
        <f t="array" ref="F3497">IF(B3497=100,"Free",TEXT(XLOOKUP($D3497,OperationVoice!$A:$A,OperationVoice!AI:AI,XLOOKUP($D3497,OperationTickets!$A:$A,OperationTickets!AI:AI,"",0)),"hh:mm"))</f>
        <v>00:00</v>
      </c>
      <c r="G3497" s="309">
        <f t="shared" si="3"/>
        <v>0.375</v>
      </c>
      <c r="H3497" s="316" t="str">
        <f t="array" ref="H3497">XLOOKUP(B3497,Roster!L:L,Roster!N:N,XLOOKUP(D3497,TicketsBreak!A:A,TicketsBreak!E:E,"",0),0)</f>
        <v/>
      </c>
      <c r="I3497" s="316" t="str">
        <f t="array" ref="I3497">XLOOKUP(B3497,Roster!L:L,Roster!O:O,XLOOKUP(D3497,TicketsBreak!A:A,TicketsBreak!F:F,"",0),0)</f>
        <v/>
      </c>
      <c r="J3497" s="316" t="str">
        <f t="array" ref="J3497">XLOOKUP(B3497,Roster!L:L,Roster!P:P,XLOOKUP(D3497,TicketsBreak!A:A,TicketsBreak!G:G,"",0),0)</f>
        <v/>
      </c>
      <c r="K3497" s="310">
        <f t="shared" si="4"/>
        <v>46141</v>
      </c>
      <c r="L3497" s="317">
        <f t="array" ref="L3497">(XLOOKUP(D3497,Roster!F:F,Roster!D:D,"",0))</f>
        <v>39</v>
      </c>
      <c r="M3497" s="317" t="str">
        <f t="array" ref="M3497">XLOOKUP(D3497,Roster!F:F,Roster!E:E)</f>
        <v>Voice</v>
      </c>
      <c r="N3497" s="317" t="str">
        <f t="shared" ref="N3497:P3497" si="3546">LEFT(H3497,5)</f>
        <v/>
      </c>
      <c r="O3497" s="317" t="str">
        <f t="shared" si="3546"/>
        <v/>
      </c>
      <c r="P3497" s="317" t="str">
        <f t="shared" si="3546"/>
        <v/>
      </c>
      <c r="Q3497" s="318" t="str">
        <f t="shared" si="3500"/>
        <v/>
      </c>
      <c r="R3497" s="318" t="str">
        <f t="shared" si="3501"/>
        <v/>
      </c>
      <c r="S3497" s="318" t="str">
        <f t="shared" si="8"/>
        <v/>
      </c>
    </row>
    <row r="3498">
      <c r="A3498" s="14" t="str">
        <f t="shared" si="1"/>
        <v>C159546141</v>
      </c>
      <c r="B3498" s="185" t="str">
        <f t="array" ref="B3498">IF(F3498="VL","",IF(F3498="Free","Free",XLOOKUP(D3498,Roster!T:T,Roster!S:S,"",0)))</f>
        <v/>
      </c>
      <c r="C3498" s="313">
        <v>46141.0</v>
      </c>
      <c r="D3498" s="314" t="s">
        <v>193</v>
      </c>
      <c r="E3498" s="307" t="str">
        <f t="array" ref="E3498">(XLOOKUP(D3498,Roster!F:F,Roster!B:B,"",0))</f>
        <v>Juan Gaitan</v>
      </c>
      <c r="F3498" s="315" t="str">
        <f t="array" ref="F3498">IF(B3498=100,"Free",TEXT(XLOOKUP($D3498,OperationVoice!$A:$A,OperationVoice!AI:AI,XLOOKUP($D3498,OperationTickets!$A:$A,OperationTickets!AI:AI,"",0)),"hh:mm"))</f>
        <v>00:00</v>
      </c>
      <c r="G3498" s="309">
        <f t="shared" si="3"/>
        <v>0.375</v>
      </c>
      <c r="H3498" s="316" t="str">
        <f t="array" ref="H3498">XLOOKUP(B3498,Roster!L:L,Roster!N:N,XLOOKUP(D3498,TicketsBreak!A:A,TicketsBreak!E:E,"",0),0)</f>
        <v/>
      </c>
      <c r="I3498" s="316" t="str">
        <f t="array" ref="I3498">XLOOKUP(B3498,Roster!L:L,Roster!O:O,XLOOKUP(D3498,TicketsBreak!A:A,TicketsBreak!F:F,"",0),0)</f>
        <v/>
      </c>
      <c r="J3498" s="316" t="str">
        <f t="array" ref="J3498">XLOOKUP(B3498,Roster!L:L,Roster!P:P,XLOOKUP(D3498,TicketsBreak!A:A,TicketsBreak!G:G,"",0),0)</f>
        <v/>
      </c>
      <c r="K3498" s="310">
        <f t="shared" si="4"/>
        <v>46141</v>
      </c>
      <c r="L3498" s="317">
        <f t="array" ref="L3498">(XLOOKUP(D3498,Roster!F:F,Roster!D:D,"",0))</f>
        <v>39</v>
      </c>
      <c r="M3498" s="317" t="str">
        <f t="array" ref="M3498">XLOOKUP(D3498,Roster!F:F,Roster!E:E)</f>
        <v>Voice</v>
      </c>
      <c r="N3498" s="317" t="str">
        <f t="shared" ref="N3498:P3498" si="3547">LEFT(H3498,5)</f>
        <v/>
      </c>
      <c r="O3498" s="317" t="str">
        <f t="shared" si="3547"/>
        <v/>
      </c>
      <c r="P3498" s="317" t="str">
        <f t="shared" si="3547"/>
        <v/>
      </c>
      <c r="Q3498" s="318" t="str">
        <f t="shared" si="3500"/>
        <v/>
      </c>
      <c r="R3498" s="318" t="str">
        <f t="shared" si="3501"/>
        <v/>
      </c>
      <c r="S3498" s="318" t="str">
        <f t="shared" si="8"/>
        <v/>
      </c>
    </row>
    <row r="3499">
      <c r="A3499" s="14" t="str">
        <f t="shared" si="1"/>
        <v>C159446141</v>
      </c>
      <c r="B3499" s="185" t="str">
        <f t="array" ref="B3499">IF(F3499="VL","",IF(F3499="Free","Free",XLOOKUP(D3499,Roster!T:T,Roster!S:S,"",0)))</f>
        <v/>
      </c>
      <c r="C3499" s="313">
        <v>46141.0</v>
      </c>
      <c r="D3499" s="314" t="s">
        <v>194</v>
      </c>
      <c r="E3499" s="307" t="str">
        <f t="array" ref="E3499">(XLOOKUP(D3499,Roster!F:F,Roster!B:B,"",0))</f>
        <v>Juan Jimenez</v>
      </c>
      <c r="F3499" s="315" t="str">
        <f t="array" ref="F3499">IF(B3499=100,"Free",TEXT(XLOOKUP($D3499,OperationVoice!$A:$A,OperationVoice!AI:AI,XLOOKUP($D3499,OperationTickets!$A:$A,OperationTickets!AI:AI,"",0)),"hh:mm"))</f>
        <v>00:00</v>
      </c>
      <c r="G3499" s="309">
        <f t="shared" si="3"/>
        <v>0.375</v>
      </c>
      <c r="H3499" s="316" t="str">
        <f t="array" ref="H3499">XLOOKUP(B3499,Roster!L:L,Roster!N:N,XLOOKUP(D3499,TicketsBreak!A:A,TicketsBreak!E:E,"",0),0)</f>
        <v/>
      </c>
      <c r="I3499" s="316" t="str">
        <f t="array" ref="I3499">XLOOKUP(B3499,Roster!L:L,Roster!O:O,XLOOKUP(D3499,TicketsBreak!A:A,TicketsBreak!F:F,"",0),0)</f>
        <v/>
      </c>
      <c r="J3499" s="316" t="str">
        <f t="array" ref="J3499">XLOOKUP(B3499,Roster!L:L,Roster!P:P,XLOOKUP(D3499,TicketsBreak!A:A,TicketsBreak!G:G,"",0),0)</f>
        <v/>
      </c>
      <c r="K3499" s="310">
        <f t="shared" si="4"/>
        <v>46141</v>
      </c>
      <c r="L3499" s="317">
        <f t="array" ref="L3499">(XLOOKUP(D3499,Roster!F:F,Roster!D:D,"",0))</f>
        <v>39</v>
      </c>
      <c r="M3499" s="317" t="str">
        <f t="array" ref="M3499">XLOOKUP(D3499,Roster!F:F,Roster!E:E)</f>
        <v>Voice</v>
      </c>
      <c r="N3499" s="317" t="str">
        <f t="shared" ref="N3499:P3499" si="3548">LEFT(H3499,5)</f>
        <v/>
      </c>
      <c r="O3499" s="317" t="str">
        <f t="shared" si="3548"/>
        <v/>
      </c>
      <c r="P3499" s="317" t="str">
        <f t="shared" si="3548"/>
        <v/>
      </c>
      <c r="Q3499" s="318" t="str">
        <f t="shared" si="3500"/>
        <v/>
      </c>
      <c r="R3499" s="318" t="str">
        <f t="shared" si="3501"/>
        <v/>
      </c>
      <c r="S3499" s="318" t="str">
        <f t="shared" si="8"/>
        <v/>
      </c>
    </row>
    <row r="3500">
      <c r="A3500" s="14" t="str">
        <f t="shared" si="1"/>
        <v>C159146141</v>
      </c>
      <c r="B3500" s="185" t="str">
        <f t="array" ref="B3500">IF(F3500="VL","",IF(F3500="Free","Free",XLOOKUP(D3500,Roster!T:T,Roster!S:S,"",0)))</f>
        <v/>
      </c>
      <c r="C3500" s="313">
        <v>46141.0</v>
      </c>
      <c r="D3500" s="314" t="s">
        <v>195</v>
      </c>
      <c r="E3500" s="307" t="str">
        <f t="array" ref="E3500">(XLOOKUP(D3500,Roster!F:F,Roster!B:B,"",0))</f>
        <v>Julian Ocampo</v>
      </c>
      <c r="F3500" s="315" t="str">
        <f t="array" ref="F3500">IF(B3500=100,"Free",TEXT(XLOOKUP($D3500,OperationVoice!$A:$A,OperationVoice!AI:AI,XLOOKUP($D3500,OperationTickets!$A:$A,OperationTickets!AI:AI,"",0)),"hh:mm"))</f>
        <v>00:00</v>
      </c>
      <c r="G3500" s="309">
        <f t="shared" si="3"/>
        <v>0.375</v>
      </c>
      <c r="H3500" s="316" t="str">
        <f t="array" ref="H3500">XLOOKUP(B3500,Roster!L:L,Roster!N:N,XLOOKUP(D3500,TicketsBreak!A:A,TicketsBreak!E:E,"",0),0)</f>
        <v/>
      </c>
      <c r="I3500" s="316" t="str">
        <f t="array" ref="I3500">XLOOKUP(B3500,Roster!L:L,Roster!O:O,XLOOKUP(D3500,TicketsBreak!A:A,TicketsBreak!F:F,"",0),0)</f>
        <v/>
      </c>
      <c r="J3500" s="316" t="str">
        <f t="array" ref="J3500">XLOOKUP(B3500,Roster!L:L,Roster!P:P,XLOOKUP(D3500,TicketsBreak!A:A,TicketsBreak!G:G,"",0),0)</f>
        <v/>
      </c>
      <c r="K3500" s="310">
        <f t="shared" si="4"/>
        <v>46141</v>
      </c>
      <c r="L3500" s="317">
        <f t="array" ref="L3500">(XLOOKUP(D3500,Roster!F:F,Roster!D:D,"",0))</f>
        <v>39</v>
      </c>
      <c r="M3500" s="317" t="str">
        <f t="array" ref="M3500">XLOOKUP(D3500,Roster!F:F,Roster!E:E)</f>
        <v>Voice</v>
      </c>
      <c r="N3500" s="317" t="str">
        <f t="shared" ref="N3500:P3500" si="3549">LEFT(H3500,5)</f>
        <v/>
      </c>
      <c r="O3500" s="317" t="str">
        <f t="shared" si="3549"/>
        <v/>
      </c>
      <c r="P3500" s="317" t="str">
        <f t="shared" si="3549"/>
        <v/>
      </c>
      <c r="Q3500" s="318" t="str">
        <f t="shared" si="3500"/>
        <v/>
      </c>
      <c r="R3500" s="318" t="str">
        <f t="shared" si="3501"/>
        <v/>
      </c>
      <c r="S3500" s="318" t="str">
        <f t="shared" si="8"/>
        <v/>
      </c>
    </row>
    <row r="3501">
      <c r="A3501" s="14" t="str">
        <f t="shared" si="1"/>
        <v>C159346141</v>
      </c>
      <c r="B3501" s="185" t="str">
        <f t="array" ref="B3501">IF(F3501="VL","",IF(F3501="Free","Free",XLOOKUP(D3501,Roster!T:T,Roster!S:S,"",0)))</f>
        <v/>
      </c>
      <c r="C3501" s="313">
        <v>46141.0</v>
      </c>
      <c r="D3501" s="314" t="s">
        <v>196</v>
      </c>
      <c r="E3501" s="307" t="str">
        <f t="array" ref="E3501">(XLOOKUP(D3501,Roster!F:F,Roster!B:B,"",0))</f>
        <v>Luis Espinosa</v>
      </c>
      <c r="F3501" s="315" t="str">
        <f t="array" ref="F3501">IF(B3501=100,"Free",TEXT(XLOOKUP($D3501,OperationVoice!$A:$A,OperationVoice!AI:AI,XLOOKUP($D3501,OperationTickets!$A:$A,OperationTickets!AI:AI,"",0)),"hh:mm"))</f>
        <v>00:00</v>
      </c>
      <c r="G3501" s="309">
        <f t="shared" si="3"/>
        <v>0.375</v>
      </c>
      <c r="H3501" s="316" t="str">
        <f t="array" ref="H3501">XLOOKUP(B3501,Roster!L:L,Roster!N:N,XLOOKUP(D3501,TicketsBreak!A:A,TicketsBreak!E:E,"",0),0)</f>
        <v/>
      </c>
      <c r="I3501" s="316" t="str">
        <f t="array" ref="I3501">XLOOKUP(B3501,Roster!L:L,Roster!O:O,XLOOKUP(D3501,TicketsBreak!A:A,TicketsBreak!F:F,"",0),0)</f>
        <v/>
      </c>
      <c r="J3501" s="316" t="str">
        <f t="array" ref="J3501">XLOOKUP(B3501,Roster!L:L,Roster!P:P,XLOOKUP(D3501,TicketsBreak!A:A,TicketsBreak!G:G,"",0),0)</f>
        <v/>
      </c>
      <c r="K3501" s="310">
        <f t="shared" si="4"/>
        <v>46141</v>
      </c>
      <c r="L3501" s="317">
        <f t="array" ref="L3501">(XLOOKUP(D3501,Roster!F:F,Roster!D:D,"",0))</f>
        <v>39</v>
      </c>
      <c r="M3501" s="317" t="str">
        <f t="array" ref="M3501">XLOOKUP(D3501,Roster!F:F,Roster!E:E)</f>
        <v>Voice</v>
      </c>
      <c r="N3501" s="317" t="str">
        <f t="shared" ref="N3501:P3501" si="3550">LEFT(H3501,5)</f>
        <v/>
      </c>
      <c r="O3501" s="317" t="str">
        <f t="shared" si="3550"/>
        <v/>
      </c>
      <c r="P3501" s="317" t="str">
        <f t="shared" si="3550"/>
        <v/>
      </c>
      <c r="Q3501" s="318" t="str">
        <f t="shared" si="3500"/>
        <v/>
      </c>
      <c r="R3501" s="318" t="str">
        <f t="shared" si="3501"/>
        <v/>
      </c>
      <c r="S3501" s="318" t="str">
        <f t="shared" si="8"/>
        <v/>
      </c>
    </row>
    <row r="3502">
      <c r="A3502" s="14" t="str">
        <f t="shared" si="1"/>
        <v>C159846141</v>
      </c>
      <c r="B3502" s="185" t="str">
        <f t="array" ref="B3502">IF(F3502="VL","",IF(F3502="Free","Free",XLOOKUP(D3502,Roster!T:T,Roster!S:S,"",0)))</f>
        <v/>
      </c>
      <c r="C3502" s="313">
        <v>46141.0</v>
      </c>
      <c r="D3502" s="314" t="s">
        <v>197</v>
      </c>
      <c r="E3502" s="307" t="str">
        <f t="array" ref="E3502">(XLOOKUP(D3502,Roster!F:F,Roster!B:B,"",0))</f>
        <v>Miguel Ruiz</v>
      </c>
      <c r="F3502" s="315" t="str">
        <f t="array" ref="F3502">IF(B3502=100,"Free",TEXT(XLOOKUP($D3502,OperationVoice!$A:$A,OperationVoice!AI:AI,XLOOKUP($D3502,OperationTickets!$A:$A,OperationTickets!AI:AI,"",0)),"hh:mm"))</f>
        <v>00:00</v>
      </c>
      <c r="G3502" s="309">
        <f t="shared" si="3"/>
        <v>0.375</v>
      </c>
      <c r="H3502" s="316" t="str">
        <f t="array" ref="H3502">XLOOKUP(B3502,Roster!L:L,Roster!N:N,XLOOKUP(D3502,TicketsBreak!A:A,TicketsBreak!E:E,"",0),0)</f>
        <v/>
      </c>
      <c r="I3502" s="316" t="str">
        <f t="array" ref="I3502">XLOOKUP(B3502,Roster!L:L,Roster!O:O,XLOOKUP(D3502,TicketsBreak!A:A,TicketsBreak!F:F,"",0),0)</f>
        <v/>
      </c>
      <c r="J3502" s="316" t="str">
        <f t="array" ref="J3502">XLOOKUP(B3502,Roster!L:L,Roster!P:P,XLOOKUP(D3502,TicketsBreak!A:A,TicketsBreak!G:G,"",0),0)</f>
        <v/>
      </c>
      <c r="K3502" s="310">
        <f t="shared" si="4"/>
        <v>46141</v>
      </c>
      <c r="L3502" s="317">
        <f t="array" ref="L3502">(XLOOKUP(D3502,Roster!F:F,Roster!D:D,"",0))</f>
        <v>39</v>
      </c>
      <c r="M3502" s="317" t="str">
        <f t="array" ref="M3502">XLOOKUP(D3502,Roster!F:F,Roster!E:E)</f>
        <v>Voice</v>
      </c>
      <c r="N3502" s="317" t="str">
        <f t="shared" ref="N3502:P3502" si="3551">LEFT(H3502,5)</f>
        <v/>
      </c>
      <c r="O3502" s="317" t="str">
        <f t="shared" si="3551"/>
        <v/>
      </c>
      <c r="P3502" s="317" t="str">
        <f t="shared" si="3551"/>
        <v/>
      </c>
      <c r="Q3502" s="318" t="str">
        <f t="shared" si="3500"/>
        <v/>
      </c>
      <c r="R3502" s="318" t="str">
        <f t="shared" si="3501"/>
        <v/>
      </c>
      <c r="S3502" s="318" t="str">
        <f t="shared" si="8"/>
        <v/>
      </c>
    </row>
    <row r="3503">
      <c r="A3503" s="14" t="str">
        <f t="shared" si="1"/>
        <v>C159046141</v>
      </c>
      <c r="B3503" s="185" t="str">
        <f t="array" ref="B3503">IF(F3503="VL","",IF(F3503="Free","Free",XLOOKUP(D3503,Roster!T:T,Roster!S:S,"",0)))</f>
        <v/>
      </c>
      <c r="C3503" s="313">
        <v>46141.0</v>
      </c>
      <c r="D3503" s="314" t="s">
        <v>198</v>
      </c>
      <c r="E3503" s="307" t="str">
        <f t="array" ref="E3503">(XLOOKUP(D3503,Roster!F:F,Roster!B:B,"",0))</f>
        <v>Miguel Tabares</v>
      </c>
      <c r="F3503" s="315" t="str">
        <f t="array" ref="F3503">IF(B3503=100,"Free",TEXT(XLOOKUP($D3503,OperationVoice!$A:$A,OperationVoice!AI:AI,XLOOKUP($D3503,OperationTickets!$A:$A,OperationTickets!AI:AI,"",0)),"hh:mm"))</f>
        <v>00:00</v>
      </c>
      <c r="G3503" s="309">
        <f t="shared" si="3"/>
        <v>0.375</v>
      </c>
      <c r="H3503" s="316" t="str">
        <f t="array" ref="H3503">XLOOKUP(B3503,Roster!L:L,Roster!N:N,XLOOKUP(D3503,TicketsBreak!A:A,TicketsBreak!E:E,"",0),0)</f>
        <v/>
      </c>
      <c r="I3503" s="316" t="str">
        <f t="array" ref="I3503">XLOOKUP(B3503,Roster!L:L,Roster!O:O,XLOOKUP(D3503,TicketsBreak!A:A,TicketsBreak!F:F,"",0),0)</f>
        <v/>
      </c>
      <c r="J3503" s="316" t="str">
        <f t="array" ref="J3503">XLOOKUP(B3503,Roster!L:L,Roster!P:P,XLOOKUP(D3503,TicketsBreak!A:A,TicketsBreak!G:G,"",0),0)</f>
        <v/>
      </c>
      <c r="K3503" s="310">
        <f t="shared" si="4"/>
        <v>46141</v>
      </c>
      <c r="L3503" s="317">
        <f t="array" ref="L3503">(XLOOKUP(D3503,Roster!F:F,Roster!D:D,"",0))</f>
        <v>39</v>
      </c>
      <c r="M3503" s="317" t="str">
        <f t="array" ref="M3503">XLOOKUP(D3503,Roster!F:F,Roster!E:E)</f>
        <v>Voice</v>
      </c>
      <c r="N3503" s="317" t="str">
        <f t="shared" ref="N3503:P3503" si="3552">LEFT(H3503,5)</f>
        <v/>
      </c>
      <c r="O3503" s="317" t="str">
        <f t="shared" si="3552"/>
        <v/>
      </c>
      <c r="P3503" s="317" t="str">
        <f t="shared" si="3552"/>
        <v/>
      </c>
      <c r="Q3503" s="318" t="str">
        <f t="shared" si="3500"/>
        <v/>
      </c>
      <c r="R3503" s="318" t="str">
        <f t="shared" si="3501"/>
        <v/>
      </c>
      <c r="S3503" s="318" t="str">
        <f t="shared" si="8"/>
        <v/>
      </c>
    </row>
    <row r="3504">
      <c r="A3504" s="14" t="str">
        <f t="shared" si="1"/>
        <v>C159246141</v>
      </c>
      <c r="B3504" s="185" t="str">
        <f t="array" ref="B3504">IF(F3504="VL","",IF(F3504="Free","Free",XLOOKUP(D3504,Roster!T:T,Roster!S:S,"",0)))</f>
        <v/>
      </c>
      <c r="C3504" s="313">
        <v>46141.0</v>
      </c>
      <c r="D3504" s="314" t="s">
        <v>199</v>
      </c>
      <c r="E3504" s="307" t="str">
        <f t="array" ref="E3504">(XLOOKUP(D3504,Roster!F:F,Roster!B:B,"",0))</f>
        <v>Shierlys Santamaria</v>
      </c>
      <c r="F3504" s="315" t="str">
        <f t="array" ref="F3504">IF(B3504=100,"Free",TEXT(XLOOKUP($D3504,OperationVoice!$A:$A,OperationVoice!AI:AI,XLOOKUP($D3504,OperationTickets!$A:$A,OperationTickets!AI:AI,"",0)),"hh:mm"))</f>
        <v>00:00</v>
      </c>
      <c r="G3504" s="309">
        <f t="shared" si="3"/>
        <v>0.375</v>
      </c>
      <c r="H3504" s="316" t="str">
        <f t="array" ref="H3504">XLOOKUP(B3504,Roster!L:L,Roster!N:N,XLOOKUP(D3504,TicketsBreak!A:A,TicketsBreak!E:E,"",0),0)</f>
        <v/>
      </c>
      <c r="I3504" s="316" t="str">
        <f t="array" ref="I3504">XLOOKUP(B3504,Roster!L:L,Roster!O:O,XLOOKUP(D3504,TicketsBreak!A:A,TicketsBreak!F:F,"",0),0)</f>
        <v/>
      </c>
      <c r="J3504" s="316" t="str">
        <f t="array" ref="J3504">XLOOKUP(B3504,Roster!L:L,Roster!P:P,XLOOKUP(D3504,TicketsBreak!A:A,TicketsBreak!G:G,"",0),0)</f>
        <v/>
      </c>
      <c r="K3504" s="310">
        <f t="shared" si="4"/>
        <v>46141</v>
      </c>
      <c r="L3504" s="317">
        <f t="array" ref="L3504">(XLOOKUP(D3504,Roster!F:F,Roster!D:D,"",0))</f>
        <v>39</v>
      </c>
      <c r="M3504" s="317" t="str">
        <f t="array" ref="M3504">XLOOKUP(D3504,Roster!F:F,Roster!E:E)</f>
        <v>Voice</v>
      </c>
      <c r="N3504" s="317" t="str">
        <f t="shared" ref="N3504:P3504" si="3553">LEFT(H3504,5)</f>
        <v/>
      </c>
      <c r="O3504" s="317" t="str">
        <f t="shared" si="3553"/>
        <v/>
      </c>
      <c r="P3504" s="317" t="str">
        <f t="shared" si="3553"/>
        <v/>
      </c>
      <c r="Q3504" s="318" t="str">
        <f t="shared" si="3500"/>
        <v/>
      </c>
      <c r="R3504" s="318" t="str">
        <f t="shared" si="3501"/>
        <v/>
      </c>
      <c r="S3504" s="318" t="str">
        <f t="shared" si="8"/>
        <v/>
      </c>
    </row>
    <row r="3505">
      <c r="A3505" s="14" t="str">
        <f t="shared" si="1"/>
        <v>46141</v>
      </c>
      <c r="B3505" s="185" t="str">
        <f t="array" ref="B3505">IF(F3505="VL","",IF(F3505="Free","Free",XLOOKUP(D3505,Roster!T:T,Roster!S:S,"",0)))</f>
        <v/>
      </c>
      <c r="C3505" s="313">
        <v>46141.0</v>
      </c>
      <c r="D3505" s="314"/>
      <c r="E3505" s="307" t="str">
        <f t="array" ref="E3505">(XLOOKUP(D3505,Roster!F:F,Roster!B:B,"",0))</f>
        <v/>
      </c>
      <c r="F3505" s="315" t="str">
        <f t="array" ref="F3505">IF(B3505=100,"Free",TEXT(XLOOKUP($D3505,OperationVoice!$A:$A,OperationVoice!AI:AI,XLOOKUP($D3505,OperationTickets!$A:$A,OperationTickets!AI:AI,"",0)),"hh:mm"))</f>
        <v/>
      </c>
      <c r="G3505" s="309" t="str">
        <f t="shared" si="3"/>
        <v/>
      </c>
      <c r="H3505" s="316" t="str">
        <f t="array" ref="H3505">XLOOKUP(B3505,Roster!L:L,Roster!N:N,XLOOKUP(D3505,TicketsBreak!A:A,TicketsBreak!E:E,"",0),0)</f>
        <v/>
      </c>
      <c r="I3505" s="316" t="str">
        <f t="array" ref="I3505">XLOOKUP(B3505,Roster!L:L,Roster!O:O,XLOOKUP(D3505,TicketsBreak!A:A,TicketsBreak!F:F,"",0),0)</f>
        <v/>
      </c>
      <c r="J3505" s="316" t="str">
        <f t="array" ref="J3505">XLOOKUP(B3505,Roster!L:L,Roster!P:P,XLOOKUP(D3505,TicketsBreak!A:A,TicketsBreak!G:G,"",0),0)</f>
        <v/>
      </c>
      <c r="K3505" s="310">
        <f t="shared" si="4"/>
        <v>46141</v>
      </c>
      <c r="L3505" s="317" t="str">
        <f t="array" ref="L3505">(XLOOKUP(D3505,Roster!F:F,Roster!D:D,"",0))</f>
        <v/>
      </c>
      <c r="M3505" s="317" t="str">
        <f t="array" ref="M3505">XLOOKUP(D3505,Roster!F:F,Roster!E:E)</f>
        <v>#N/A</v>
      </c>
      <c r="N3505" s="317" t="str">
        <f t="shared" ref="N3505:P3505" si="3554">LEFT(H3505,5)</f>
        <v/>
      </c>
      <c r="O3505" s="317" t="str">
        <f t="shared" si="3554"/>
        <v/>
      </c>
      <c r="P3505" s="317" t="str">
        <f t="shared" si="3554"/>
        <v/>
      </c>
      <c r="Q3505" s="318" t="str">
        <f t="shared" si="3500"/>
        <v/>
      </c>
      <c r="R3505" s="318" t="str">
        <f t="shared" si="3501"/>
        <v/>
      </c>
      <c r="S3505" s="318" t="str">
        <f t="shared" si="8"/>
        <v/>
      </c>
    </row>
    <row r="3506">
      <c r="A3506" s="14" t="str">
        <f t="shared" si="1"/>
        <v>46141</v>
      </c>
      <c r="B3506" s="185" t="str">
        <f t="array" ref="B3506">IF(F3506="VL","",IF(F3506="Free","Free",XLOOKUP(D3506,Roster!T:T,Roster!S:S,"",0)))</f>
        <v/>
      </c>
      <c r="C3506" s="313">
        <v>46141.0</v>
      </c>
      <c r="D3506" s="314"/>
      <c r="E3506" s="307" t="str">
        <f t="array" ref="E3506">(XLOOKUP(D3506,Roster!F:F,Roster!B:B,"",0))</f>
        <v/>
      </c>
      <c r="F3506" s="315" t="str">
        <f t="array" ref="F3506">IF(B3506=100,"Free",TEXT(XLOOKUP($D3506,OperationVoice!$A:$A,OperationVoice!AI:AI,XLOOKUP($D3506,OperationTickets!$A:$A,OperationTickets!AI:AI,"",0)),"hh:mm"))</f>
        <v/>
      </c>
      <c r="G3506" s="309" t="str">
        <f t="shared" si="3"/>
        <v/>
      </c>
      <c r="H3506" s="316" t="str">
        <f t="array" ref="H3506">XLOOKUP(B3506,Roster!L:L,Roster!N:N,XLOOKUP(D3506,TicketsBreak!A:A,TicketsBreak!E:E,"",0),0)</f>
        <v/>
      </c>
      <c r="I3506" s="316" t="str">
        <f t="array" ref="I3506">XLOOKUP(B3506,Roster!L:L,Roster!O:O,XLOOKUP(D3506,TicketsBreak!A:A,TicketsBreak!F:F,"",0),0)</f>
        <v/>
      </c>
      <c r="J3506" s="316" t="str">
        <f t="array" ref="J3506">XLOOKUP(B3506,Roster!L:L,Roster!P:P,XLOOKUP(D3506,TicketsBreak!A:A,TicketsBreak!G:G,"",0),0)</f>
        <v/>
      </c>
      <c r="K3506" s="310">
        <f t="shared" si="4"/>
        <v>46141</v>
      </c>
      <c r="L3506" s="317" t="str">
        <f t="array" ref="L3506">(XLOOKUP(D3506,Roster!F:F,Roster!D:D,"",0))</f>
        <v/>
      </c>
      <c r="M3506" s="317" t="str">
        <f t="array" ref="M3506">XLOOKUP(D3506,Roster!F:F,Roster!E:E)</f>
        <v>#N/A</v>
      </c>
      <c r="N3506" s="317" t="str">
        <f t="shared" ref="N3506:P3506" si="3555">LEFT(H3506,5)</f>
        <v/>
      </c>
      <c r="O3506" s="317" t="str">
        <f t="shared" si="3555"/>
        <v/>
      </c>
      <c r="P3506" s="317" t="str">
        <f t="shared" si="3555"/>
        <v/>
      </c>
      <c r="Q3506" s="318" t="str">
        <f t="shared" si="3500"/>
        <v/>
      </c>
      <c r="R3506" s="318" t="str">
        <f t="shared" si="3501"/>
        <v/>
      </c>
      <c r="S3506" s="318" t="str">
        <f t="shared" si="8"/>
        <v/>
      </c>
    </row>
    <row r="3507">
      <c r="A3507" s="14" t="str">
        <f t="shared" si="1"/>
        <v>46141</v>
      </c>
      <c r="B3507" s="185" t="str">
        <f t="array" ref="B3507">IF(F3507="VL","",IF(F3507="Free","Free",XLOOKUP(D3507,Roster!T:T,Roster!S:S,"",0)))</f>
        <v/>
      </c>
      <c r="C3507" s="313">
        <v>46141.0</v>
      </c>
      <c r="D3507" s="314"/>
      <c r="E3507" s="307" t="str">
        <f t="array" ref="E3507">(XLOOKUP(D3507,Roster!F:F,Roster!B:B,"",0))</f>
        <v/>
      </c>
      <c r="F3507" s="315" t="str">
        <f t="array" ref="F3507">IF(B3507=100,"Free",TEXT(XLOOKUP($D3507,OperationVoice!$A:$A,OperationVoice!AI:AI,XLOOKUP($D3507,OperationTickets!$A:$A,OperationTickets!AI:AI,"",0)),"hh:mm"))</f>
        <v/>
      </c>
      <c r="G3507" s="309" t="str">
        <f t="shared" si="3"/>
        <v/>
      </c>
      <c r="H3507" s="316" t="str">
        <f t="array" ref="H3507">XLOOKUP(B3507,Roster!L:L,Roster!N:N,XLOOKUP(D3507,TicketsBreak!A:A,TicketsBreak!E:E,"",0),0)</f>
        <v/>
      </c>
      <c r="I3507" s="316" t="str">
        <f t="array" ref="I3507">XLOOKUP(B3507,Roster!L:L,Roster!O:O,XLOOKUP(D3507,TicketsBreak!A:A,TicketsBreak!F:F,"",0),0)</f>
        <v/>
      </c>
      <c r="J3507" s="316" t="str">
        <f t="array" ref="J3507">XLOOKUP(B3507,Roster!L:L,Roster!P:P,XLOOKUP(D3507,TicketsBreak!A:A,TicketsBreak!G:G,"",0),0)</f>
        <v/>
      </c>
      <c r="K3507" s="310">
        <f t="shared" si="4"/>
        <v>46141</v>
      </c>
      <c r="L3507" s="317" t="str">
        <f t="array" ref="L3507">(XLOOKUP(D3507,Roster!F:F,Roster!D:D,"",0))</f>
        <v/>
      </c>
      <c r="M3507" s="317" t="str">
        <f t="array" ref="M3507">XLOOKUP(D3507,Roster!F:F,Roster!E:E)</f>
        <v>#N/A</v>
      </c>
      <c r="N3507" s="317" t="str">
        <f t="shared" ref="N3507:P3507" si="3556">LEFT(H3507,5)</f>
        <v/>
      </c>
      <c r="O3507" s="317" t="str">
        <f t="shared" si="3556"/>
        <v/>
      </c>
      <c r="P3507" s="317" t="str">
        <f t="shared" si="3556"/>
        <v/>
      </c>
      <c r="Q3507" s="318" t="str">
        <f t="shared" si="3500"/>
        <v/>
      </c>
      <c r="R3507" s="318" t="str">
        <f t="shared" si="3501"/>
        <v/>
      </c>
      <c r="S3507" s="318" t="str">
        <f t="shared" si="8"/>
        <v/>
      </c>
    </row>
    <row r="3508">
      <c r="A3508" s="14" t="str">
        <f t="shared" si="1"/>
        <v>46141</v>
      </c>
      <c r="B3508" s="185" t="str">
        <f t="array" ref="B3508">IF(F3508="VL","",IF(F3508="Free","Free",XLOOKUP(D3508,Roster!T:T,Roster!S:S,"",0)))</f>
        <v/>
      </c>
      <c r="C3508" s="313">
        <v>46141.0</v>
      </c>
      <c r="D3508" s="314"/>
      <c r="E3508" s="307" t="str">
        <f t="array" ref="E3508">(XLOOKUP(D3508,Roster!F:F,Roster!B:B,"",0))</f>
        <v/>
      </c>
      <c r="F3508" s="315" t="str">
        <f t="array" ref="F3508">IF(B3508=100,"Free",TEXT(XLOOKUP($D3508,OperationVoice!$A:$A,OperationVoice!AI:AI,XLOOKUP($D3508,OperationTickets!$A:$A,OperationTickets!AI:AI,"",0)),"hh:mm"))</f>
        <v/>
      </c>
      <c r="G3508" s="309" t="str">
        <f t="shared" si="3"/>
        <v/>
      </c>
      <c r="H3508" s="316" t="str">
        <f t="array" ref="H3508">XLOOKUP(B3508,Roster!L:L,Roster!N:N,XLOOKUP(D3508,TicketsBreak!A:A,TicketsBreak!E:E,"",0),0)</f>
        <v/>
      </c>
      <c r="I3508" s="316" t="str">
        <f t="array" ref="I3508">XLOOKUP(B3508,Roster!L:L,Roster!O:O,XLOOKUP(D3508,TicketsBreak!A:A,TicketsBreak!F:F,"",0),0)</f>
        <v/>
      </c>
      <c r="J3508" s="316" t="str">
        <f t="array" ref="J3508">XLOOKUP(B3508,Roster!L:L,Roster!P:P,XLOOKUP(D3508,TicketsBreak!A:A,TicketsBreak!G:G,"",0),0)</f>
        <v/>
      </c>
      <c r="K3508" s="310">
        <f t="shared" si="4"/>
        <v>46141</v>
      </c>
      <c r="L3508" s="317" t="str">
        <f t="array" ref="L3508">(XLOOKUP(D3508,Roster!F:F,Roster!D:D,"",0))</f>
        <v/>
      </c>
      <c r="M3508" s="317" t="str">
        <f t="array" ref="M3508">XLOOKUP(D3508,Roster!F:F,Roster!E:E)</f>
        <v>#N/A</v>
      </c>
      <c r="N3508" s="317" t="str">
        <f t="shared" ref="N3508:P3508" si="3557">LEFT(H3508,5)</f>
        <v/>
      </c>
      <c r="O3508" s="317" t="str">
        <f t="shared" si="3557"/>
        <v/>
      </c>
      <c r="P3508" s="317" t="str">
        <f t="shared" si="3557"/>
        <v/>
      </c>
      <c r="Q3508" s="318" t="str">
        <f t="shared" si="3500"/>
        <v/>
      </c>
      <c r="R3508" s="318" t="str">
        <f t="shared" si="3501"/>
        <v/>
      </c>
      <c r="S3508" s="318" t="str">
        <f t="shared" si="8"/>
        <v/>
      </c>
    </row>
    <row r="3509">
      <c r="A3509" s="14" t="str">
        <f t="shared" si="1"/>
        <v>46141</v>
      </c>
      <c r="B3509" s="185" t="str">
        <f t="array" ref="B3509">IF(F3509="VL","",IF(F3509="Free","Free",XLOOKUP(D3509,Roster!T:T,Roster!S:S,"",0)))</f>
        <v/>
      </c>
      <c r="C3509" s="313">
        <v>46141.0</v>
      </c>
      <c r="D3509" s="314"/>
      <c r="E3509" s="307" t="str">
        <f t="array" ref="E3509">(XLOOKUP(D3509,Roster!F:F,Roster!B:B,"",0))</f>
        <v/>
      </c>
      <c r="F3509" s="315" t="str">
        <f t="array" ref="F3509">IF(B3509=100,"Free",TEXT(XLOOKUP($D3509,OperationVoice!$A:$A,OperationVoice!AI:AI,XLOOKUP($D3509,OperationTickets!$A:$A,OperationTickets!AI:AI,"",0)),"hh:mm"))</f>
        <v/>
      </c>
      <c r="G3509" s="309" t="str">
        <f t="shared" si="3"/>
        <v/>
      </c>
      <c r="H3509" s="316" t="str">
        <f t="array" ref="H3509">XLOOKUP(B3509,Roster!L:L,Roster!N:N,XLOOKUP(D3509,TicketsBreak!A:A,TicketsBreak!E:E,"",0),0)</f>
        <v/>
      </c>
      <c r="I3509" s="316" t="str">
        <f t="array" ref="I3509">XLOOKUP(B3509,Roster!L:L,Roster!O:O,XLOOKUP(D3509,TicketsBreak!A:A,TicketsBreak!F:F,"",0),0)</f>
        <v/>
      </c>
      <c r="J3509" s="316" t="str">
        <f t="array" ref="J3509">XLOOKUP(B3509,Roster!L:L,Roster!P:P,XLOOKUP(D3509,TicketsBreak!A:A,TicketsBreak!G:G,"",0),0)</f>
        <v/>
      </c>
      <c r="K3509" s="310">
        <f t="shared" si="4"/>
        <v>46141</v>
      </c>
      <c r="L3509" s="317" t="str">
        <f t="array" ref="L3509">(XLOOKUP(D3509,Roster!F:F,Roster!D:D,"",0))</f>
        <v/>
      </c>
      <c r="M3509" s="317" t="str">
        <f t="array" ref="M3509">XLOOKUP(D3509,Roster!F:F,Roster!E:E)</f>
        <v>#N/A</v>
      </c>
      <c r="N3509" s="317" t="str">
        <f t="shared" ref="N3509:P3509" si="3558">LEFT(H3509,5)</f>
        <v/>
      </c>
      <c r="O3509" s="317" t="str">
        <f t="shared" si="3558"/>
        <v/>
      </c>
      <c r="P3509" s="317" t="str">
        <f t="shared" si="3558"/>
        <v/>
      </c>
      <c r="Q3509" s="318" t="str">
        <f t="shared" si="3500"/>
        <v/>
      </c>
      <c r="R3509" s="318" t="str">
        <f t="shared" si="3501"/>
        <v/>
      </c>
      <c r="S3509" s="318" t="str">
        <f t="shared" si="8"/>
        <v/>
      </c>
    </row>
    <row r="3510">
      <c r="A3510" s="14" t="str">
        <f t="shared" si="1"/>
        <v>C81846142</v>
      </c>
      <c r="B3510" s="185">
        <f t="array" ref="B3510">IF(F3510="VL","",IF(F3510="Free","Free",XLOOKUP(D3510,Roster!T:T,Roster!S:S,"",0)))</f>
        <v>123</v>
      </c>
      <c r="C3510" s="313">
        <v>46142.0</v>
      </c>
      <c r="D3510" s="314" t="s">
        <v>9</v>
      </c>
      <c r="E3510" s="307" t="str">
        <f t="array" ref="E3510">(XLOOKUP(D3510,Roster!F:F,Roster!B:B,"",0))</f>
        <v>Adriana Moncaleano</v>
      </c>
      <c r="F3510" s="315" t="str">
        <f t="array" ref="F3510">IF(B3510=100,"Free",TEXT(XLOOKUP($D3510,OperationVoice!$A:$A,OperationVoice!AJ:AJ,XLOOKUP($D3510,OperationTickets!$A:$A,OperationTickets!AJ:AJ,"",0)),"hh:mm"))</f>
        <v>08:00</v>
      </c>
      <c r="G3510" s="309">
        <f t="shared" si="3"/>
        <v>0.7083333333</v>
      </c>
      <c r="H3510" s="316" t="str">
        <f t="array" ref="H3510">XLOOKUP(B3510,Roster!L:L,Roster!N:N,XLOOKUP(D3510,TicketsBreak!A:A,TicketsBreak!E:E,"",0),0)</f>
        <v>09:45 - 10:00 </v>
      </c>
      <c r="I3510" s="316" t="str">
        <f t="array" ref="I3510">XLOOKUP(B3510,Roster!L:L,Roster!O:O,XLOOKUP(D3510,TicketsBreak!A:A,TicketsBreak!F:F,"",0),0)</f>
        <v>12:30 - 13:00</v>
      </c>
      <c r="J3510" s="316" t="str">
        <f t="array" ref="J3510">XLOOKUP(B3510,Roster!L:L,Roster!P:P,XLOOKUP(D3510,TicketsBreak!A:A,TicketsBreak!G:G,"",0),0)</f>
        <v>15:00 - 15:15</v>
      </c>
      <c r="K3510" s="310">
        <f t="shared" si="4"/>
        <v>46142</v>
      </c>
      <c r="L3510" s="317">
        <f t="array" ref="L3510">(XLOOKUP(D3510,Roster!F:F,Roster!D:D,"",0))</f>
        <v>23</v>
      </c>
      <c r="M3510" s="317" t="str">
        <f t="array" ref="M3510">XLOOKUP(D3510,Roster!F:F,Roster!E:E)</f>
        <v>Voice</v>
      </c>
      <c r="N3510" s="317" t="str">
        <f t="shared" ref="N3510:P3510" si="3559">LEFT(H3510,5)</f>
        <v>09:45</v>
      </c>
      <c r="O3510" s="317" t="str">
        <f t="shared" si="3559"/>
        <v>12:30</v>
      </c>
      <c r="P3510" s="317" t="str">
        <f t="shared" si="3559"/>
        <v>15:00</v>
      </c>
      <c r="Q3510" s="318">
        <f t="shared" si="3500"/>
        <v>46142.40625</v>
      </c>
      <c r="R3510" s="318">
        <f t="shared" si="3501"/>
        <v>46142.52083</v>
      </c>
      <c r="S3510" s="318">
        <f t="shared" si="8"/>
        <v>46142.625</v>
      </c>
    </row>
    <row r="3511">
      <c r="A3511" s="14" t="str">
        <f t="shared" si="1"/>
        <v>C110746142</v>
      </c>
      <c r="B3511" s="185">
        <f t="array" ref="B3511">IF(F3511="VL","",IF(F3511="Free","Free",XLOOKUP(D3511,Roster!T:T,Roster!S:S,"",0)))</f>
        <v>153</v>
      </c>
      <c r="C3511" s="313">
        <v>46142.0</v>
      </c>
      <c r="D3511" s="314" t="s">
        <v>10</v>
      </c>
      <c r="E3511" s="307" t="str">
        <f t="array" ref="E3511">(XLOOKUP(D3511,Roster!F:F,Roster!B:B,"",0))</f>
        <v>Alejandro Malave</v>
      </c>
      <c r="F3511" s="315" t="str">
        <f t="array" ref="F3511">IF(B3511=100,"Free",TEXT(XLOOKUP($D3511,OperationVoice!$A:$A,OperationVoice!AJ:AJ,XLOOKUP($D3511,OperationTickets!$A:$A,OperationTickets!AJ:AJ,"",0)),"hh:mm"))</f>
        <v>11:00</v>
      </c>
      <c r="G3511" s="309">
        <f t="shared" si="3"/>
        <v>0.8333333333</v>
      </c>
      <c r="H3511" s="316" t="str">
        <f t="array" ref="H3511">XLOOKUP(B3511,Roster!L:L,Roster!N:N,XLOOKUP(D3511,TicketsBreak!A:A,TicketsBreak!E:E,"",0),0)</f>
        <v>12:45 - 13:00</v>
      </c>
      <c r="I3511" s="316" t="str">
        <f t="array" ref="I3511">XLOOKUP(B3511,Roster!L:L,Roster!O:O,XLOOKUP(D3511,TicketsBreak!A:A,TicketsBreak!F:F,"",0),0)</f>
        <v>15:00 - 15:30</v>
      </c>
      <c r="J3511" s="316" t="str">
        <f t="array" ref="J3511">XLOOKUP(B3511,Roster!L:L,Roster!P:P,XLOOKUP(D3511,TicketsBreak!A:A,TicketsBreak!G:G,"",0),0)</f>
        <v>17:45 - 18:00</v>
      </c>
      <c r="K3511" s="310">
        <f t="shared" si="4"/>
        <v>46142</v>
      </c>
      <c r="L3511" s="317">
        <f t="array" ref="L3511">(XLOOKUP(D3511,Roster!F:F,Roster!D:D,"",0))</f>
        <v>36</v>
      </c>
      <c r="M3511" s="317" t="str">
        <f t="array" ref="M3511">XLOOKUP(D3511,Roster!F:F,Roster!E:E)</f>
        <v>Voice</v>
      </c>
      <c r="N3511" s="317" t="str">
        <f t="shared" ref="N3511:P3511" si="3560">LEFT(H3511,5)</f>
        <v>12:45</v>
      </c>
      <c r="O3511" s="317" t="str">
        <f t="shared" si="3560"/>
        <v>15:00</v>
      </c>
      <c r="P3511" s="317" t="str">
        <f t="shared" si="3560"/>
        <v>17:45</v>
      </c>
      <c r="Q3511" s="318">
        <f t="shared" si="3500"/>
        <v>46142.53125</v>
      </c>
      <c r="R3511" s="318">
        <f t="shared" si="3501"/>
        <v>46142.625</v>
      </c>
      <c r="S3511" s="318">
        <f t="shared" si="8"/>
        <v>46142.73958</v>
      </c>
    </row>
    <row r="3512">
      <c r="A3512" s="14" t="str">
        <f t="shared" si="1"/>
        <v>C69946142</v>
      </c>
      <c r="B3512" s="185" t="str">
        <f t="array" ref="B3512">IF(F3512="VL","",IF(F3512="Free","Free",XLOOKUP(D3512,Roster!T:T,Roster!S:S,"",0)))</f>
        <v/>
      </c>
      <c r="C3512" s="313">
        <v>46142.0</v>
      </c>
      <c r="D3512" s="314" t="s">
        <v>137</v>
      </c>
      <c r="E3512" s="307" t="str">
        <f t="array" ref="E3512">(XLOOKUP(D3512,Roster!F:F,Roster!B:B,"",0))</f>
        <v>Alexa Arenas</v>
      </c>
      <c r="F3512" s="315" t="str">
        <f t="array" ref="F3512">IF(B3512=100,"Free",TEXT(XLOOKUP($D3512,OperationVoice!$A:$A,OperationVoice!AJ:AJ,XLOOKUP($D3512,OperationTickets!$A:$A,OperationTickets!AJ:AJ,"",0)),"hh:mm"))</f>
        <v>08:00</v>
      </c>
      <c r="G3512" s="309">
        <f t="shared" si="3"/>
        <v>0.7083333333</v>
      </c>
      <c r="H3512" s="316">
        <f t="array" ref="H3512">XLOOKUP(B3512,Roster!L:L,Roster!N:N,XLOOKUP(D3512,TicketsBreak!A:A,TicketsBreak!E:E,"",0),0)</f>
        <v>0.40625</v>
      </c>
      <c r="I3512" s="316">
        <f t="array" ref="I3512">XLOOKUP(B3512,Roster!L:L,Roster!O:O,XLOOKUP(D3512,TicketsBreak!A:A,TicketsBreak!F:F,"",0),0)</f>
        <v>0.5</v>
      </c>
      <c r="J3512" s="316">
        <f t="array" ref="J3512">XLOOKUP(B3512,Roster!L:L,Roster!P:P,XLOOKUP(D3512,TicketsBreak!A:A,TicketsBreak!G:G,"",0),0)</f>
        <v>0.65625</v>
      </c>
      <c r="K3512" s="310">
        <f t="shared" si="4"/>
        <v>46142</v>
      </c>
      <c r="L3512" s="317">
        <f t="array" ref="L3512">(XLOOKUP(D3512,Roster!F:F,Roster!D:D,"",0))</f>
        <v>5</v>
      </c>
      <c r="M3512" s="317" t="str">
        <f t="array" ref="M3512">XLOOKUP(D3512,Roster!F:F,Roster!E:E)</f>
        <v>Tickets</v>
      </c>
      <c r="N3512" s="317" t="str">
        <f t="shared" ref="N3512:P3512" si="3561">LEFT(H3512,5)</f>
        <v>09:45</v>
      </c>
      <c r="O3512" s="317" t="str">
        <f t="shared" si="3561"/>
        <v>12:00</v>
      </c>
      <c r="P3512" s="317" t="str">
        <f t="shared" si="3561"/>
        <v>15:45</v>
      </c>
      <c r="Q3512" s="318">
        <f t="shared" si="3500"/>
        <v>46142.40625</v>
      </c>
      <c r="R3512" s="318">
        <f t="shared" si="3501"/>
        <v>46142.5</v>
      </c>
      <c r="S3512" s="318">
        <f t="shared" si="8"/>
        <v>46142.65625</v>
      </c>
    </row>
    <row r="3513">
      <c r="A3513" s="14" t="str">
        <f t="shared" si="1"/>
        <v>C157046142</v>
      </c>
      <c r="B3513" s="185">
        <f t="array" ref="B3513">IF(F3513="VL","",IF(F3513="Free","Free",XLOOKUP(D3513,Roster!T:T,Roster!S:S,"",0)))</f>
        <v>123</v>
      </c>
      <c r="C3513" s="313">
        <v>46142.0</v>
      </c>
      <c r="D3513" s="314" t="s">
        <v>11</v>
      </c>
      <c r="E3513" s="307" t="str">
        <f t="array" ref="E3513">(XLOOKUP(D3513,Roster!F:F,Roster!B:B,"",0))</f>
        <v>Alexander Bartoli</v>
      </c>
      <c r="F3513" s="315" t="str">
        <f t="array" ref="F3513">IF(B3513=100,"Free",TEXT(XLOOKUP($D3513,OperationVoice!$A:$A,OperationVoice!AJ:AJ,XLOOKUP($D3513,OperationTickets!$A:$A,OperationTickets!AJ:AJ,"",0)),"hh:mm"))</f>
        <v>08:00</v>
      </c>
      <c r="G3513" s="309">
        <f t="shared" si="3"/>
        <v>0.7083333333</v>
      </c>
      <c r="H3513" s="316" t="str">
        <f t="array" ref="H3513">XLOOKUP(B3513,Roster!L:L,Roster!N:N,XLOOKUP(D3513,TicketsBreak!A:A,TicketsBreak!E:E,"",0),0)</f>
        <v>09:45 - 10:00 </v>
      </c>
      <c r="I3513" s="316" t="str">
        <f t="array" ref="I3513">XLOOKUP(B3513,Roster!L:L,Roster!O:O,XLOOKUP(D3513,TicketsBreak!A:A,TicketsBreak!F:F,"",0),0)</f>
        <v>12:30 - 13:00</v>
      </c>
      <c r="J3513" s="316" t="str">
        <f t="array" ref="J3513">XLOOKUP(B3513,Roster!L:L,Roster!P:P,XLOOKUP(D3513,TicketsBreak!A:A,TicketsBreak!G:G,"",0),0)</f>
        <v>15:00 - 15:15</v>
      </c>
      <c r="K3513" s="310">
        <f t="shared" si="4"/>
        <v>46142</v>
      </c>
      <c r="L3513" s="317">
        <f t="array" ref="L3513">(XLOOKUP(D3513,Roster!F:F,Roster!D:D,"",0))</f>
        <v>38</v>
      </c>
      <c r="M3513" s="317" t="str">
        <f t="array" ref="M3513">XLOOKUP(D3513,Roster!F:F,Roster!E:E)</f>
        <v>Voice</v>
      </c>
      <c r="N3513" s="317" t="str">
        <f t="shared" ref="N3513:P3513" si="3562">LEFT(H3513,5)</f>
        <v>09:45</v>
      </c>
      <c r="O3513" s="317" t="str">
        <f t="shared" si="3562"/>
        <v>12:30</v>
      </c>
      <c r="P3513" s="317" t="str">
        <f t="shared" si="3562"/>
        <v>15:00</v>
      </c>
      <c r="Q3513" s="318">
        <f t="shared" si="3500"/>
        <v>46142.40625</v>
      </c>
      <c r="R3513" s="318">
        <f t="shared" si="3501"/>
        <v>46142.52083</v>
      </c>
      <c r="S3513" s="318">
        <f t="shared" si="8"/>
        <v>46142.625</v>
      </c>
    </row>
    <row r="3514">
      <c r="A3514" s="14" t="str">
        <f t="shared" si="1"/>
        <v>C93546142</v>
      </c>
      <c r="B3514" s="185" t="str">
        <f t="array" ref="B3514">IF(F3514="VL","",IF(F3514="Free","Free",XLOOKUP(D3514,Roster!T:T,Roster!S:S,"",0)))</f>
        <v/>
      </c>
      <c r="C3514" s="313">
        <v>46142.0</v>
      </c>
      <c r="D3514" s="314" t="s">
        <v>153</v>
      </c>
      <c r="E3514" s="307" t="str">
        <f t="array" ref="E3514">(XLOOKUP(D3514,Roster!F:F,Roster!B:B,"",0))</f>
        <v>Alexis Arias</v>
      </c>
      <c r="F3514" s="315" t="str">
        <f t="array" ref="F3514">IF(B3514=100,"Free",TEXT(XLOOKUP($D3514,OperationVoice!$A:$A,OperationVoice!AJ:AJ,XLOOKUP($D3514,OperationTickets!$A:$A,OperationTickets!AJ:AJ,"",0)),"hh:mm"))</f>
        <v>07:30</v>
      </c>
      <c r="G3514" s="309">
        <f t="shared" si="3"/>
        <v>0.6875</v>
      </c>
      <c r="H3514" s="316">
        <f t="array" ref="H3514">XLOOKUP(B3514,Roster!L:L,Roster!N:N,XLOOKUP(D3514,TicketsBreak!A:A,TicketsBreak!E:E,"",0),0)</f>
        <v>0.4270833333</v>
      </c>
      <c r="I3514" s="316">
        <f t="array" ref="I3514">XLOOKUP(B3514,Roster!L:L,Roster!O:O,XLOOKUP(D3514,TicketsBreak!A:A,TicketsBreak!F:F,"",0),0)</f>
        <v>0.53125</v>
      </c>
      <c r="J3514" s="316">
        <f t="array" ref="J3514">XLOOKUP(B3514,Roster!L:L,Roster!P:P,XLOOKUP(D3514,TicketsBreak!A:A,TicketsBreak!G:G,"",0),0)</f>
        <v>0.6458333333</v>
      </c>
      <c r="K3514" s="310">
        <f t="shared" si="4"/>
        <v>46142</v>
      </c>
      <c r="L3514" s="317">
        <f t="array" ref="L3514">(XLOOKUP(D3514,Roster!F:F,Roster!D:D,"",0))</f>
        <v>12</v>
      </c>
      <c r="M3514" s="317" t="str">
        <f t="array" ref="M3514">XLOOKUP(D3514,Roster!F:F,Roster!E:E)</f>
        <v>Tickets</v>
      </c>
      <c r="N3514" s="317" t="str">
        <f t="shared" ref="N3514:P3514" si="3563">LEFT(H3514,5)</f>
        <v>10:15</v>
      </c>
      <c r="O3514" s="317" t="str">
        <f t="shared" si="3563"/>
        <v>12:45</v>
      </c>
      <c r="P3514" s="317" t="str">
        <f t="shared" si="3563"/>
        <v>15:30</v>
      </c>
      <c r="Q3514" s="318">
        <f t="shared" si="3500"/>
        <v>46142.42708</v>
      </c>
      <c r="R3514" s="318">
        <f t="shared" si="3501"/>
        <v>46142.53125</v>
      </c>
      <c r="S3514" s="318">
        <f t="shared" si="8"/>
        <v>46142.64583</v>
      </c>
    </row>
    <row r="3515">
      <c r="A3515" s="14" t="str">
        <f t="shared" si="1"/>
        <v>C72746142</v>
      </c>
      <c r="B3515" s="185" t="str">
        <f t="array" ref="B3515">IF(F3515="VL","",IF(F3515="Free","Free",XLOOKUP(D3515,Roster!T:T,Roster!S:S,"",0)))</f>
        <v>Free</v>
      </c>
      <c r="C3515" s="313">
        <v>46142.0</v>
      </c>
      <c r="D3515" s="314" t="s">
        <v>154</v>
      </c>
      <c r="E3515" s="307" t="str">
        <f t="array" ref="E3515">(XLOOKUP(D3515,Roster!F:F,Roster!B:B,"",0))</f>
        <v>Ana Moreno</v>
      </c>
      <c r="F3515" s="315" t="str">
        <f t="array" ref="F3515">IF(B3515=100,"Free",TEXT(XLOOKUP($D3515,OperationVoice!$A:$A,OperationVoice!AJ:AJ,XLOOKUP($D3515,OperationTickets!$A:$A,OperationTickets!AJ:AJ,"",0)),"hh:mm"))</f>
        <v>Free</v>
      </c>
      <c r="G3515" s="309" t="str">
        <f t="shared" si="3"/>
        <v>Free</v>
      </c>
      <c r="H3515" s="316">
        <f t="array" ref="H3515">XLOOKUP(B3515,Roster!L:L,Roster!N:N,XLOOKUP(D3515,TicketsBreak!A:A,TicketsBreak!E:E,"",0),0)</f>
        <v>0.4166666667</v>
      </c>
      <c r="I3515" s="316">
        <f t="array" ref="I3515">XLOOKUP(B3515,Roster!L:L,Roster!O:O,XLOOKUP(D3515,TicketsBreak!A:A,TicketsBreak!F:F,"",0),0)</f>
        <v>0.5208333333</v>
      </c>
      <c r="J3515" s="316">
        <f t="array" ref="J3515">XLOOKUP(B3515,Roster!L:L,Roster!P:P,XLOOKUP(D3515,TicketsBreak!A:A,TicketsBreak!G:G,"",0),0)</f>
        <v>0.65625</v>
      </c>
      <c r="K3515" s="310">
        <f t="shared" si="4"/>
        <v>46142</v>
      </c>
      <c r="L3515" s="317">
        <f t="array" ref="L3515">(XLOOKUP(D3515,Roster!F:F,Roster!D:D,"",0))</f>
        <v>7</v>
      </c>
      <c r="M3515" s="317" t="str">
        <f t="array" ref="M3515">XLOOKUP(D3515,Roster!F:F,Roster!E:E)</f>
        <v>Tickets</v>
      </c>
      <c r="N3515" s="317" t="str">
        <f t="shared" ref="N3515:P3515" si="3564">LEFT(H3515,5)</f>
        <v>10:00</v>
      </c>
      <c r="O3515" s="317" t="str">
        <f t="shared" si="3564"/>
        <v>12:30</v>
      </c>
      <c r="P3515" s="317" t="str">
        <f t="shared" si="3564"/>
        <v>15:45</v>
      </c>
      <c r="Q3515" s="318">
        <f t="shared" si="3500"/>
        <v>46142.41667</v>
      </c>
      <c r="R3515" s="318">
        <f t="shared" si="3501"/>
        <v>46142.52083</v>
      </c>
      <c r="S3515" s="318">
        <f t="shared" si="8"/>
        <v>46142.65625</v>
      </c>
    </row>
    <row r="3516">
      <c r="A3516" s="14" t="str">
        <f t="shared" si="1"/>
        <v>C157446142</v>
      </c>
      <c r="B3516" s="185">
        <f t="array" ref="B3516">IF(F3516="VL","",IF(F3516="Free","Free",XLOOKUP(D3516,Roster!T:T,Roster!S:S,"",0)))</f>
        <v>124</v>
      </c>
      <c r="C3516" s="313">
        <v>46142.0</v>
      </c>
      <c r="D3516" s="314" t="s">
        <v>12</v>
      </c>
      <c r="E3516" s="307" t="str">
        <f t="array" ref="E3516">(XLOOKUP(D3516,Roster!F:F,Roster!B:B,"",0))</f>
        <v>Ana Quintero</v>
      </c>
      <c r="F3516" s="315" t="str">
        <f t="array" ref="F3516">IF(B3516=100,"Free",TEXT(XLOOKUP($D3516,OperationVoice!$A:$A,OperationVoice!AJ:AJ,XLOOKUP($D3516,OperationTickets!$A:$A,OperationTickets!AJ:AJ,"",0)),"hh:mm"))</f>
        <v>08:00</v>
      </c>
      <c r="G3516" s="309">
        <f t="shared" si="3"/>
        <v>0.7083333333</v>
      </c>
      <c r="H3516" s="316" t="str">
        <f t="array" ref="H3516">XLOOKUP(B3516,Roster!L:L,Roster!N:N,XLOOKUP(D3516,TicketsBreak!A:A,TicketsBreak!E:E,"",0),0)</f>
        <v>10:00 - 10:15</v>
      </c>
      <c r="I3516" s="316" t="str">
        <f t="array" ref="I3516">XLOOKUP(B3516,Roster!L:L,Roster!O:O,XLOOKUP(D3516,TicketsBreak!A:A,TicketsBreak!F:F,"",0),0)</f>
        <v>13:00 - 13:30</v>
      </c>
      <c r="J3516" s="316" t="str">
        <f t="array" ref="J3516">XLOOKUP(B3516,Roster!L:L,Roster!P:P,XLOOKUP(D3516,TicketsBreak!A:A,TicketsBreak!G:G,"",0),0)</f>
        <v>15:30 - 15:45</v>
      </c>
      <c r="K3516" s="310">
        <f t="shared" si="4"/>
        <v>46142</v>
      </c>
      <c r="L3516" s="317">
        <f t="array" ref="L3516">(XLOOKUP(D3516,Roster!F:F,Roster!D:D,"",0))</f>
        <v>38</v>
      </c>
      <c r="M3516" s="317" t="str">
        <f t="array" ref="M3516">XLOOKUP(D3516,Roster!F:F,Roster!E:E)</f>
        <v>Voice</v>
      </c>
      <c r="N3516" s="317" t="str">
        <f t="shared" ref="N3516:P3516" si="3565">LEFT(H3516,5)</f>
        <v>10:00</v>
      </c>
      <c r="O3516" s="317" t="str">
        <f t="shared" si="3565"/>
        <v>13:00</v>
      </c>
      <c r="P3516" s="317" t="str">
        <f t="shared" si="3565"/>
        <v>15:30</v>
      </c>
      <c r="Q3516" s="318">
        <f t="shared" si="3500"/>
        <v>46142.41667</v>
      </c>
      <c r="R3516" s="318">
        <f t="shared" si="3501"/>
        <v>46142.54167</v>
      </c>
      <c r="S3516" s="318">
        <f t="shared" si="8"/>
        <v>46142.64583</v>
      </c>
    </row>
    <row r="3517">
      <c r="A3517" s="14" t="str">
        <f t="shared" si="1"/>
        <v>C46946142</v>
      </c>
      <c r="B3517" s="185" t="str">
        <f t="array" ref="B3517">IF(F3517="VL","",IF(F3517="Free","Free",XLOOKUP(D3517,Roster!T:T,Roster!S:S,"",0)))</f>
        <v/>
      </c>
      <c r="C3517" s="313">
        <v>46142.0</v>
      </c>
      <c r="D3517" s="314" t="s">
        <v>171</v>
      </c>
      <c r="E3517" s="307" t="str">
        <f t="array" ref="E3517">(XLOOKUP(D3517,Roster!F:F,Roster!B:B,"",0))</f>
        <v>Ana Ruiz</v>
      </c>
      <c r="F3517" s="315" t="str">
        <f t="array" ref="F3517">IF(B3517=100,"Free",TEXT(XLOOKUP($D3517,OperationVoice!$A:$A,OperationVoice!AJ:AJ,XLOOKUP($D3517,OperationTickets!$A:$A,OperationTickets!AJ:AJ,"",0)),"hh:mm"))</f>
        <v>08:00</v>
      </c>
      <c r="G3517" s="309">
        <f t="shared" si="3"/>
        <v>0.7083333333</v>
      </c>
      <c r="H3517" s="316">
        <f t="array" ref="H3517">XLOOKUP(B3517,Roster!L:L,Roster!N:N,XLOOKUP(D3517,TicketsBreak!A:A,TicketsBreak!E:E,"",0),0)</f>
        <v>0.3854166667</v>
      </c>
      <c r="I3517" s="316">
        <f t="array" ref="I3517">XLOOKUP(B3517,Roster!L:L,Roster!O:O,XLOOKUP(D3517,TicketsBreak!A:A,TicketsBreak!F:F,"",0),0)</f>
        <v>0.5</v>
      </c>
      <c r="J3517" s="316">
        <f t="array" ref="J3517">XLOOKUP(B3517,Roster!L:L,Roster!P:P,XLOOKUP(D3517,TicketsBreak!A:A,TicketsBreak!G:G,"",0),0)</f>
        <v>0.6041666667</v>
      </c>
      <c r="K3517" s="310">
        <f t="shared" si="4"/>
        <v>46142</v>
      </c>
      <c r="L3517" s="317">
        <f t="array" ref="L3517">(XLOOKUP(D3517,Roster!F:F,Roster!D:D,"",0))</f>
        <v>3</v>
      </c>
      <c r="M3517" s="317" t="str">
        <f t="array" ref="M3517">XLOOKUP(D3517,Roster!F:F,Roster!E:E)</f>
        <v>Tickets</v>
      </c>
      <c r="N3517" s="317" t="str">
        <f t="shared" ref="N3517:P3517" si="3566">LEFT(H3517,5)</f>
        <v>09:15</v>
      </c>
      <c r="O3517" s="317" t="str">
        <f t="shared" si="3566"/>
        <v>12:00</v>
      </c>
      <c r="P3517" s="317" t="str">
        <f t="shared" si="3566"/>
        <v>14:30</v>
      </c>
      <c r="Q3517" s="318">
        <f t="shared" si="3500"/>
        <v>46142.38542</v>
      </c>
      <c r="R3517" s="318">
        <f t="shared" si="3501"/>
        <v>46142.5</v>
      </c>
      <c r="S3517" s="318">
        <f t="shared" si="8"/>
        <v>46142.60417</v>
      </c>
    </row>
    <row r="3518">
      <c r="A3518" s="14" t="str">
        <f t="shared" si="1"/>
        <v>C155446142</v>
      </c>
      <c r="B3518" s="185">
        <f t="array" ref="B3518">IF(F3518="VL","",IF(F3518="Free","Free",XLOOKUP(D3518,Roster!T:T,Roster!S:S,"",0)))</f>
        <v>131</v>
      </c>
      <c r="C3518" s="313">
        <v>46142.0</v>
      </c>
      <c r="D3518" s="314" t="s">
        <v>13</v>
      </c>
      <c r="E3518" s="307" t="str">
        <f t="array" ref="E3518">(XLOOKUP(D3518,Roster!F:F,Roster!B:B,"",0))</f>
        <v>Andres Lopez</v>
      </c>
      <c r="F3518" s="315" t="str">
        <f t="array" ref="F3518">IF(B3518=100,"Free",TEXT(XLOOKUP($D3518,OperationVoice!$A:$A,OperationVoice!AJ:AJ,XLOOKUP($D3518,OperationTickets!$A:$A,OperationTickets!AJ:AJ,"",0)),"hh:mm"))</f>
        <v>09:00</v>
      </c>
      <c r="G3518" s="309">
        <f t="shared" si="3"/>
        <v>0.75</v>
      </c>
      <c r="H3518" s="316" t="str">
        <f t="array" ref="H3518">XLOOKUP(B3518,Roster!L:L,Roster!N:N,XLOOKUP(D3518,TicketsBreak!A:A,TicketsBreak!E:E,"",0),0)</f>
        <v>10:15 - 10:30</v>
      </c>
      <c r="I3518" s="316" t="str">
        <f t="array" ref="I3518">XLOOKUP(B3518,Roster!L:L,Roster!O:O,XLOOKUP(D3518,TicketsBreak!A:A,TicketsBreak!F:F,"",0),0)</f>
        <v>12:30 - 13:00</v>
      </c>
      <c r="J3518" s="316" t="str">
        <f t="array" ref="J3518">XLOOKUP(B3518,Roster!L:L,Roster!P:P,XLOOKUP(D3518,TicketsBreak!A:A,TicketsBreak!G:G,"",0),0)</f>
        <v>15:15 - 15:30</v>
      </c>
      <c r="K3518" s="310">
        <f t="shared" si="4"/>
        <v>46142</v>
      </c>
      <c r="L3518" s="317">
        <f t="array" ref="L3518">(XLOOKUP(D3518,Roster!F:F,Roster!D:D,"",0))</f>
        <v>37</v>
      </c>
      <c r="M3518" s="317" t="str">
        <f t="array" ref="M3518">XLOOKUP(D3518,Roster!F:F,Roster!E:E)</f>
        <v>Voice</v>
      </c>
      <c r="N3518" s="317" t="str">
        <f t="shared" ref="N3518:P3518" si="3567">LEFT(H3518,5)</f>
        <v>10:15</v>
      </c>
      <c r="O3518" s="317" t="str">
        <f t="shared" si="3567"/>
        <v>12:30</v>
      </c>
      <c r="P3518" s="317" t="str">
        <f t="shared" si="3567"/>
        <v>15:15</v>
      </c>
      <c r="Q3518" s="318">
        <f t="shared" si="3500"/>
        <v>46142.42708</v>
      </c>
      <c r="R3518" s="318">
        <f t="shared" si="3501"/>
        <v>46142.52083</v>
      </c>
      <c r="S3518" s="318">
        <f t="shared" si="8"/>
        <v>46142.63542</v>
      </c>
    </row>
    <row r="3519">
      <c r="A3519" s="14" t="str">
        <f t="shared" si="1"/>
        <v>C156746142</v>
      </c>
      <c r="B3519" s="185">
        <f t="array" ref="B3519">IF(F3519="VL","",IF(F3519="Free","Free",XLOOKUP(D3519,Roster!T:T,Roster!S:S,"",0)))</f>
        <v>125</v>
      </c>
      <c r="C3519" s="313">
        <v>46142.0</v>
      </c>
      <c r="D3519" s="314" t="s">
        <v>14</v>
      </c>
      <c r="E3519" s="307" t="str">
        <f t="array" ref="E3519">(XLOOKUP(D3519,Roster!F:F,Roster!B:B,"",0))</f>
        <v>Andres Salazar</v>
      </c>
      <c r="F3519" s="315" t="str">
        <f t="array" ref="F3519">IF(B3519=100,"Free",TEXT(XLOOKUP($D3519,OperationVoice!$A:$A,OperationVoice!AJ:AJ,XLOOKUP($D3519,OperationTickets!$A:$A,OperationTickets!AJ:AJ,"",0)),"hh:mm"))</f>
        <v>08:00</v>
      </c>
      <c r="G3519" s="309">
        <f t="shared" si="3"/>
        <v>0.7083333333</v>
      </c>
      <c r="H3519" s="316" t="str">
        <f t="array" ref="H3519">XLOOKUP(B3519,Roster!L:L,Roster!N:N,XLOOKUP(D3519,TicketsBreak!A:A,TicketsBreak!E:E,"",0),0)</f>
        <v>10:30 - 10:45</v>
      </c>
      <c r="I3519" s="316" t="str">
        <f t="array" ref="I3519">XLOOKUP(B3519,Roster!L:L,Roster!O:O,XLOOKUP(D3519,TicketsBreak!A:A,TicketsBreak!F:F,"",0),0)</f>
        <v>13:30 - 14:00</v>
      </c>
      <c r="J3519" s="316" t="str">
        <f t="array" ref="J3519">XLOOKUP(B3519,Roster!L:L,Roster!P:P,XLOOKUP(D3519,TicketsBreak!A:A,TicketsBreak!G:G,"",0),0)</f>
        <v>15:45 - 16:00</v>
      </c>
      <c r="K3519" s="310">
        <f t="shared" si="4"/>
        <v>46142</v>
      </c>
      <c r="L3519" s="317">
        <f t="array" ref="L3519">(XLOOKUP(D3519,Roster!F:F,Roster!D:D,"",0))</f>
        <v>38</v>
      </c>
      <c r="M3519" s="317" t="str">
        <f t="array" ref="M3519">XLOOKUP(D3519,Roster!F:F,Roster!E:E)</f>
        <v>Voice</v>
      </c>
      <c r="N3519" s="317" t="str">
        <f t="shared" ref="N3519:P3519" si="3568">LEFT(H3519,5)</f>
        <v>10:30</v>
      </c>
      <c r="O3519" s="317" t="str">
        <f t="shared" si="3568"/>
        <v>13:30</v>
      </c>
      <c r="P3519" s="317" t="str">
        <f t="shared" si="3568"/>
        <v>15:45</v>
      </c>
      <c r="Q3519" s="318">
        <f t="shared" si="3500"/>
        <v>46142.4375</v>
      </c>
      <c r="R3519" s="318">
        <f t="shared" si="3501"/>
        <v>46142.5625</v>
      </c>
      <c r="S3519" s="318">
        <f t="shared" si="8"/>
        <v>46142.65625</v>
      </c>
    </row>
    <row r="3520">
      <c r="A3520" s="14" t="str">
        <f t="shared" si="1"/>
        <v>C134846142</v>
      </c>
      <c r="B3520" s="185">
        <f t="array" ref="B3520">IF(F3520="VL","",IF(F3520="Free","Free",XLOOKUP(D3520,Roster!T:T,Roster!S:S,"",0)))</f>
        <v>124</v>
      </c>
      <c r="C3520" s="313">
        <v>46142.0</v>
      </c>
      <c r="D3520" s="314" t="s">
        <v>15</v>
      </c>
      <c r="E3520" s="307" t="str">
        <f t="array" ref="E3520">(XLOOKUP(D3520,Roster!F:F,Roster!B:B,"",0))</f>
        <v>Angelo Zapata</v>
      </c>
      <c r="F3520" s="315" t="str">
        <f t="array" ref="F3520">IF(B3520=100,"Free",TEXT(XLOOKUP($D3520,OperationVoice!$A:$A,OperationVoice!AJ:AJ,XLOOKUP($D3520,OperationTickets!$A:$A,OperationTickets!AJ:AJ,"",0)),"hh:mm"))</f>
        <v>08:00</v>
      </c>
      <c r="G3520" s="309">
        <f t="shared" si="3"/>
        <v>0.7083333333</v>
      </c>
      <c r="H3520" s="316" t="str">
        <f t="array" ref="H3520">XLOOKUP(B3520,Roster!L:L,Roster!N:N,XLOOKUP(D3520,TicketsBreak!A:A,TicketsBreak!E:E,"",0),0)</f>
        <v>10:00 - 10:15</v>
      </c>
      <c r="I3520" s="316" t="str">
        <f t="array" ref="I3520">XLOOKUP(B3520,Roster!L:L,Roster!O:O,XLOOKUP(D3520,TicketsBreak!A:A,TicketsBreak!F:F,"",0),0)</f>
        <v>13:00 - 13:30</v>
      </c>
      <c r="J3520" s="316" t="str">
        <f t="array" ref="J3520">XLOOKUP(B3520,Roster!L:L,Roster!P:P,XLOOKUP(D3520,TicketsBreak!A:A,TicketsBreak!G:G,"",0),0)</f>
        <v>15:30 - 15:45</v>
      </c>
      <c r="K3520" s="310">
        <f t="shared" si="4"/>
        <v>46142</v>
      </c>
      <c r="L3520" s="317">
        <f t="array" ref="L3520">(XLOOKUP(D3520,Roster!F:F,Roster!D:D,"",0))</f>
        <v>30</v>
      </c>
      <c r="M3520" s="317" t="str">
        <f t="array" ref="M3520">XLOOKUP(D3520,Roster!F:F,Roster!E:E)</f>
        <v>Voice</v>
      </c>
      <c r="N3520" s="317" t="str">
        <f t="shared" ref="N3520:P3520" si="3569">LEFT(H3520,5)</f>
        <v>10:00</v>
      </c>
      <c r="O3520" s="317" t="str">
        <f t="shared" si="3569"/>
        <v>13:00</v>
      </c>
      <c r="P3520" s="317" t="str">
        <f t="shared" si="3569"/>
        <v>15:30</v>
      </c>
      <c r="Q3520" s="318">
        <f t="shared" si="3500"/>
        <v>46142.41667</v>
      </c>
      <c r="R3520" s="318">
        <f t="shared" si="3501"/>
        <v>46142.54167</v>
      </c>
      <c r="S3520" s="318">
        <f t="shared" si="8"/>
        <v>46142.64583</v>
      </c>
    </row>
    <row r="3521">
      <c r="A3521" s="14" t="str">
        <f t="shared" si="1"/>
        <v>C116746142</v>
      </c>
      <c r="B3521" s="185" t="str">
        <f t="array" ref="B3521">IF(F3521="VL","",IF(F3521="Free","Free",XLOOKUP(D3521,Roster!T:T,Roster!S:S,"",0)))</f>
        <v/>
      </c>
      <c r="C3521" s="313">
        <v>46142.0</v>
      </c>
      <c r="D3521" s="314" t="s">
        <v>172</v>
      </c>
      <c r="E3521" s="307" t="str">
        <f t="array" ref="E3521">(XLOOKUP(D3521,Roster!F:F,Roster!B:B,"",0))</f>
        <v>Angie Rua</v>
      </c>
      <c r="F3521" s="315" t="str">
        <f t="array" ref="F3521">IF(B3521=100,"Free",TEXT(XLOOKUP($D3521,OperationVoice!$A:$A,OperationVoice!AJ:AJ,XLOOKUP($D3521,OperationTickets!$A:$A,OperationTickets!AJ:AJ,"",0)),"hh:mm"))</f>
        <v>07:00</v>
      </c>
      <c r="G3521" s="309">
        <f t="shared" si="3"/>
        <v>0.6666666667</v>
      </c>
      <c r="H3521" s="316" t="str">
        <f t="array" ref="H3521">XLOOKUP(B3521,Roster!L:L,Roster!N:N,XLOOKUP(D3521,TicketsBreak!A:A,TicketsBreak!E:E,"",0),0)</f>
        <v/>
      </c>
      <c r="I3521" s="316" t="str">
        <f t="array" ref="I3521">XLOOKUP(B3521,Roster!L:L,Roster!O:O,XLOOKUP(D3521,TicketsBreak!A:A,TicketsBreak!F:F,"",0),0)</f>
        <v/>
      </c>
      <c r="J3521" s="316" t="str">
        <f t="array" ref="J3521">XLOOKUP(B3521,Roster!L:L,Roster!P:P,XLOOKUP(D3521,TicketsBreak!A:A,TicketsBreak!G:G,"",0),0)</f>
        <v/>
      </c>
      <c r="K3521" s="310">
        <f t="shared" si="4"/>
        <v>46142</v>
      </c>
      <c r="L3521" s="317">
        <f t="array" ref="L3521">(XLOOKUP(D3521,Roster!F:F,Roster!D:D,"",0))</f>
        <v>24</v>
      </c>
      <c r="M3521" s="317" t="str">
        <f t="array" ref="M3521">XLOOKUP(D3521,Roster!F:F,Roster!E:E)</f>
        <v>Tickets</v>
      </c>
      <c r="N3521" s="317" t="str">
        <f t="shared" ref="N3521:P3521" si="3570">LEFT(H3521,5)</f>
        <v/>
      </c>
      <c r="O3521" s="317" t="str">
        <f t="shared" si="3570"/>
        <v/>
      </c>
      <c r="P3521" s="317" t="str">
        <f t="shared" si="3570"/>
        <v/>
      </c>
      <c r="Q3521" s="318" t="str">
        <f t="shared" si="3500"/>
        <v/>
      </c>
      <c r="R3521" s="318" t="str">
        <f t="shared" si="3501"/>
        <v/>
      </c>
      <c r="S3521" s="318" t="str">
        <f t="shared" si="8"/>
        <v/>
      </c>
    </row>
    <row r="3522">
      <c r="A3522" s="14" t="str">
        <f t="shared" si="1"/>
        <v>C157946142</v>
      </c>
      <c r="B3522" s="185">
        <f t="array" ref="B3522">IF(F3522="VL","",IF(F3522="Free","Free",XLOOKUP(D3522,Roster!T:T,Roster!S:S,"",0)))</f>
        <v>126</v>
      </c>
      <c r="C3522" s="313">
        <v>46142.0</v>
      </c>
      <c r="D3522" s="314" t="s">
        <v>16</v>
      </c>
      <c r="E3522" s="307" t="str">
        <f t="array" ref="E3522">(XLOOKUP(D3522,Roster!F:F,Roster!B:B,"",0))</f>
        <v>Anibal Munoz</v>
      </c>
      <c r="F3522" s="315" t="str">
        <f t="array" ref="F3522">IF(B3522=100,"Free",TEXT(XLOOKUP($D3522,OperationVoice!$A:$A,OperationVoice!AJ:AJ,XLOOKUP($D3522,OperationTickets!$A:$A,OperationTickets!AJ:AJ,"",0)),"hh:mm"))</f>
        <v>08:00</v>
      </c>
      <c r="G3522" s="309">
        <f t="shared" si="3"/>
        <v>0.7083333333</v>
      </c>
      <c r="H3522" s="316" t="str">
        <f t="array" ref="H3522">XLOOKUP(B3522,Roster!L:L,Roster!N:N,XLOOKUP(D3522,TicketsBreak!A:A,TicketsBreak!E:E,"",0),0)</f>
        <v>10:45 - 11:00</v>
      </c>
      <c r="I3522" s="316" t="str">
        <f t="array" ref="I3522">XLOOKUP(B3522,Roster!L:L,Roster!O:O,XLOOKUP(D3522,TicketsBreak!A:A,TicketsBreak!F:F,"",0),0)</f>
        <v>14:00 - 14:30</v>
      </c>
      <c r="J3522" s="316" t="str">
        <f t="array" ref="J3522">XLOOKUP(B3522,Roster!L:L,Roster!P:P,XLOOKUP(D3522,TicketsBreak!A:A,TicketsBreak!G:G,"",0),0)</f>
        <v>15:45 - 16:00</v>
      </c>
      <c r="K3522" s="310">
        <f t="shared" si="4"/>
        <v>46142</v>
      </c>
      <c r="L3522" s="317">
        <f t="array" ref="L3522">(XLOOKUP(D3522,Roster!F:F,Roster!D:D,"",0))</f>
        <v>38</v>
      </c>
      <c r="M3522" s="317" t="str">
        <f t="array" ref="M3522">XLOOKUP(D3522,Roster!F:F,Roster!E:E)</f>
        <v>Voice</v>
      </c>
      <c r="N3522" s="317" t="str">
        <f t="shared" ref="N3522:P3522" si="3571">LEFT(H3522,5)</f>
        <v>10:45</v>
      </c>
      <c r="O3522" s="317" t="str">
        <f t="shared" si="3571"/>
        <v>14:00</v>
      </c>
      <c r="P3522" s="317" t="str">
        <f t="shared" si="3571"/>
        <v>15:45</v>
      </c>
      <c r="Q3522" s="318">
        <f t="shared" si="3500"/>
        <v>46142.44792</v>
      </c>
      <c r="R3522" s="318">
        <f t="shared" si="3501"/>
        <v>46142.58333</v>
      </c>
      <c r="S3522" s="318">
        <f t="shared" si="8"/>
        <v>46142.65625</v>
      </c>
    </row>
    <row r="3523">
      <c r="A3523" s="14" t="str">
        <f t="shared" si="1"/>
        <v>C08046142</v>
      </c>
      <c r="B3523" s="185" t="str">
        <f t="array" ref="B3523">IF(F3523="VL","",IF(F3523="Free","Free",XLOOKUP(D3523,Roster!T:T,Roster!S:S,"",0)))</f>
        <v/>
      </c>
      <c r="C3523" s="313">
        <v>46142.0</v>
      </c>
      <c r="D3523" s="314" t="s">
        <v>138</v>
      </c>
      <c r="E3523" s="307" t="str">
        <f t="array" ref="E3523">(XLOOKUP(D3523,Roster!F:F,Roster!B:B,"",0))</f>
        <v>Arturo Padilla</v>
      </c>
      <c r="F3523" s="315" t="str">
        <f t="array" ref="F3523">IF(B3523=100,"Free",TEXT(XLOOKUP($D3523,OperationVoice!$A:$A,OperationVoice!AJ:AJ,XLOOKUP($D3523,OperationTickets!$A:$A,OperationTickets!AJ:AJ,"",0)),"hh:mm"))</f>
        <v>08:00</v>
      </c>
      <c r="G3523" s="309">
        <f t="shared" si="3"/>
        <v>0.7083333333</v>
      </c>
      <c r="H3523" s="316">
        <f t="array" ref="H3523">XLOOKUP(B3523,Roster!L:L,Roster!N:N,XLOOKUP(D3523,TicketsBreak!A:A,TicketsBreak!E:E,"",0),0)</f>
        <v>0.375</v>
      </c>
      <c r="I3523" s="316">
        <f t="array" ref="I3523">XLOOKUP(B3523,Roster!L:L,Roster!O:O,XLOOKUP(D3523,TicketsBreak!A:A,TicketsBreak!F:F,"",0),0)</f>
        <v>0.5</v>
      </c>
      <c r="J3523" s="316">
        <f t="array" ref="J3523">XLOOKUP(B3523,Roster!L:L,Roster!P:P,XLOOKUP(D3523,TicketsBreak!A:A,TicketsBreak!G:G,"",0),0)</f>
        <v>0.6458333333</v>
      </c>
      <c r="K3523" s="310">
        <f t="shared" si="4"/>
        <v>46142</v>
      </c>
      <c r="L3523" s="317">
        <f t="array" ref="L3523">(XLOOKUP(D3523,Roster!F:F,Roster!D:D,"",0))</f>
        <v>1</v>
      </c>
      <c r="M3523" s="317" t="str">
        <f t="array" ref="M3523">XLOOKUP(D3523,Roster!F:F,Roster!E:E)</f>
        <v>Tickets</v>
      </c>
      <c r="N3523" s="317" t="str">
        <f t="shared" ref="N3523:P3523" si="3572">LEFT(H3523,5)</f>
        <v>09:00</v>
      </c>
      <c r="O3523" s="317" t="str">
        <f t="shared" si="3572"/>
        <v>12:00</v>
      </c>
      <c r="P3523" s="317" t="str">
        <f t="shared" si="3572"/>
        <v>15:30</v>
      </c>
      <c r="Q3523" s="318">
        <f t="shared" si="3500"/>
        <v>46142.375</v>
      </c>
      <c r="R3523" s="318">
        <f t="shared" si="3501"/>
        <v>46142.5</v>
      </c>
      <c r="S3523" s="318">
        <f t="shared" si="8"/>
        <v>46142.64583</v>
      </c>
    </row>
    <row r="3524">
      <c r="A3524" s="14" t="str">
        <f t="shared" si="1"/>
        <v>C150446142</v>
      </c>
      <c r="B3524" s="185" t="str">
        <f t="array" ref="B3524">IF(F3524="VL","",IF(F3524="Free","Free",XLOOKUP(D3524,Roster!T:T,Roster!S:S,"",0)))</f>
        <v>Free</v>
      </c>
      <c r="C3524" s="313">
        <v>46142.0</v>
      </c>
      <c r="D3524" s="314" t="s">
        <v>155</v>
      </c>
      <c r="E3524" s="307" t="str">
        <f t="array" ref="E3524">(XLOOKUP(D3524,Roster!F:F,Roster!B:B,"",0))</f>
        <v>Beatriz Montanez</v>
      </c>
      <c r="F3524" s="315" t="str">
        <f t="array" ref="F3524">IF(B3524=100,"Free",TEXT(XLOOKUP($D3524,OperationVoice!$A:$A,OperationVoice!AJ:AJ,XLOOKUP($D3524,OperationTickets!$A:$A,OperationTickets!AJ:AJ,"",0)),"hh:mm"))</f>
        <v>Free</v>
      </c>
      <c r="G3524" s="309" t="str">
        <f t="shared" si="3"/>
        <v>Free</v>
      </c>
      <c r="H3524" s="316" t="str">
        <f t="array" ref="H3524">XLOOKUP(B3524,Roster!L:L,Roster!N:N,XLOOKUP(D3524,TicketsBreak!A:A,TicketsBreak!E:E,"",0),0)</f>
        <v/>
      </c>
      <c r="I3524" s="316" t="str">
        <f t="array" ref="I3524">XLOOKUP(B3524,Roster!L:L,Roster!O:O,XLOOKUP(D3524,TicketsBreak!A:A,TicketsBreak!F:F,"",0),0)</f>
        <v/>
      </c>
      <c r="J3524" s="316" t="str">
        <f t="array" ref="J3524">XLOOKUP(B3524,Roster!L:L,Roster!P:P,XLOOKUP(D3524,TicketsBreak!A:A,TicketsBreak!G:G,"",0),0)</f>
        <v/>
      </c>
      <c r="K3524" s="310">
        <f t="shared" si="4"/>
        <v>46142</v>
      </c>
      <c r="L3524" s="317">
        <f t="array" ref="L3524">(XLOOKUP(D3524,Roster!F:F,Roster!D:D,"",0))</f>
        <v>35</v>
      </c>
      <c r="M3524" s="317" t="str">
        <f t="array" ref="M3524">XLOOKUP(D3524,Roster!F:F,Roster!E:E)</f>
        <v>Tickets</v>
      </c>
      <c r="N3524" s="317" t="str">
        <f t="shared" ref="N3524:P3524" si="3573">LEFT(H3524,5)</f>
        <v/>
      </c>
      <c r="O3524" s="317" t="str">
        <f t="shared" si="3573"/>
        <v/>
      </c>
      <c r="P3524" s="317" t="str">
        <f t="shared" si="3573"/>
        <v/>
      </c>
      <c r="Q3524" s="318" t="str">
        <f t="shared" si="3500"/>
        <v/>
      </c>
      <c r="R3524" s="318" t="str">
        <f t="shared" si="3501"/>
        <v/>
      </c>
      <c r="S3524" s="318" t="str">
        <f t="shared" si="8"/>
        <v/>
      </c>
    </row>
    <row r="3525">
      <c r="A3525" s="14" t="str">
        <f t="shared" si="1"/>
        <v>C107746142</v>
      </c>
      <c r="B3525" s="185">
        <f t="array" ref="B3525">IF(F3525="VL","",IF(F3525="Free","Free",XLOOKUP(D3525,Roster!T:T,Roster!S:S,"",0)))</f>
        <v>125</v>
      </c>
      <c r="C3525" s="313">
        <v>46142.0</v>
      </c>
      <c r="D3525" s="314" t="s">
        <v>17</v>
      </c>
      <c r="E3525" s="307" t="str">
        <f t="array" ref="E3525">(XLOOKUP(D3525,Roster!F:F,Roster!B:B,"",0))</f>
        <v>Brahian Prado</v>
      </c>
      <c r="F3525" s="315" t="str">
        <f t="array" ref="F3525">IF(B3525=100,"Free",TEXT(XLOOKUP($D3525,OperationVoice!$A:$A,OperationVoice!AJ:AJ,XLOOKUP($D3525,OperationTickets!$A:$A,OperationTickets!AJ:AJ,"",0)),"hh:mm"))</f>
        <v>08:00</v>
      </c>
      <c r="G3525" s="309">
        <f t="shared" si="3"/>
        <v>0.7083333333</v>
      </c>
      <c r="H3525" s="316" t="str">
        <f t="array" ref="H3525">XLOOKUP(B3525,Roster!L:L,Roster!N:N,XLOOKUP(D3525,TicketsBreak!A:A,TicketsBreak!E:E,"",0),0)</f>
        <v>10:30 - 10:45</v>
      </c>
      <c r="I3525" s="316" t="str">
        <f t="array" ref="I3525">XLOOKUP(B3525,Roster!L:L,Roster!O:O,XLOOKUP(D3525,TicketsBreak!A:A,TicketsBreak!F:F,"",0),0)</f>
        <v>13:30 - 14:00</v>
      </c>
      <c r="J3525" s="316" t="str">
        <f t="array" ref="J3525">XLOOKUP(B3525,Roster!L:L,Roster!P:P,XLOOKUP(D3525,TicketsBreak!A:A,TicketsBreak!G:G,"",0),0)</f>
        <v>15:45 - 16:00</v>
      </c>
      <c r="K3525" s="310">
        <f t="shared" si="4"/>
        <v>46142</v>
      </c>
      <c r="L3525" s="317">
        <f t="array" ref="L3525">(XLOOKUP(D3525,Roster!F:F,Roster!D:D,"",0))</f>
        <v>18</v>
      </c>
      <c r="M3525" s="317" t="str">
        <f t="array" ref="M3525">XLOOKUP(D3525,Roster!F:F,Roster!E:E)</f>
        <v>Voice</v>
      </c>
      <c r="N3525" s="317" t="str">
        <f t="shared" ref="N3525:P3525" si="3574">LEFT(H3525,5)</f>
        <v>10:30</v>
      </c>
      <c r="O3525" s="317" t="str">
        <f t="shared" si="3574"/>
        <v>13:30</v>
      </c>
      <c r="P3525" s="317" t="str">
        <f t="shared" si="3574"/>
        <v>15:45</v>
      </c>
      <c r="Q3525" s="318">
        <f t="shared" si="3500"/>
        <v>46142.4375</v>
      </c>
      <c r="R3525" s="318">
        <f t="shared" si="3501"/>
        <v>46142.5625</v>
      </c>
      <c r="S3525" s="318">
        <f t="shared" si="8"/>
        <v>46142.65625</v>
      </c>
    </row>
    <row r="3526">
      <c r="A3526" s="14" t="str">
        <f t="shared" si="1"/>
        <v>C116546142</v>
      </c>
      <c r="B3526" s="185" t="str">
        <f t="array" ref="B3526">IF(F3526="VL","",IF(F3526="Free","Free",XLOOKUP(D3526,Roster!T:T,Roster!S:S,"",0)))</f>
        <v>Free</v>
      </c>
      <c r="C3526" s="313">
        <v>46142.0</v>
      </c>
      <c r="D3526" s="314" t="s">
        <v>139</v>
      </c>
      <c r="E3526" s="307" t="str">
        <f t="array" ref="E3526">(XLOOKUP(D3526,Roster!F:F,Roster!B:B,"",0))</f>
        <v>Braian Restrepo</v>
      </c>
      <c r="F3526" s="315" t="str">
        <f t="array" ref="F3526">IF(B3526=100,"Free",TEXT(XLOOKUP($D3526,OperationVoice!$A:$A,OperationVoice!AJ:AJ,XLOOKUP($D3526,OperationTickets!$A:$A,OperationTickets!AJ:AJ,"",0)),"hh:mm"))</f>
        <v>Free</v>
      </c>
      <c r="G3526" s="309" t="str">
        <f t="shared" si="3"/>
        <v>Free</v>
      </c>
      <c r="H3526" s="316" t="str">
        <f t="array" ref="H3526">XLOOKUP(B3526,Roster!L:L,Roster!N:N,XLOOKUP(D3526,TicketsBreak!A:A,TicketsBreak!E:E,"",0),0)</f>
        <v/>
      </c>
      <c r="I3526" s="316" t="str">
        <f t="array" ref="I3526">XLOOKUP(B3526,Roster!L:L,Roster!O:O,XLOOKUP(D3526,TicketsBreak!A:A,TicketsBreak!F:F,"",0),0)</f>
        <v/>
      </c>
      <c r="J3526" s="316" t="str">
        <f t="array" ref="J3526">XLOOKUP(B3526,Roster!L:L,Roster!P:P,XLOOKUP(D3526,TicketsBreak!A:A,TicketsBreak!G:G,"",0),0)</f>
        <v/>
      </c>
      <c r="K3526" s="310">
        <f t="shared" si="4"/>
        <v>46142</v>
      </c>
      <c r="L3526" s="317">
        <f t="array" ref="L3526">(XLOOKUP(D3526,Roster!F:F,Roster!D:D,"",0))</f>
        <v>24</v>
      </c>
      <c r="M3526" s="317" t="str">
        <f t="array" ref="M3526">XLOOKUP(D3526,Roster!F:F,Roster!E:E)</f>
        <v>Tickets</v>
      </c>
      <c r="N3526" s="317" t="str">
        <f t="shared" ref="N3526:P3526" si="3575">LEFT(H3526,5)</f>
        <v/>
      </c>
      <c r="O3526" s="317" t="str">
        <f t="shared" si="3575"/>
        <v/>
      </c>
      <c r="P3526" s="317" t="str">
        <f t="shared" si="3575"/>
        <v/>
      </c>
      <c r="Q3526" s="318" t="str">
        <f t="shared" si="3500"/>
        <v/>
      </c>
      <c r="R3526" s="318" t="str">
        <f t="shared" si="3501"/>
        <v/>
      </c>
      <c r="S3526" s="318" t="str">
        <f t="shared" si="8"/>
        <v/>
      </c>
    </row>
    <row r="3527">
      <c r="A3527" s="14" t="str">
        <f t="shared" si="1"/>
        <v>C127446142</v>
      </c>
      <c r="B3527" s="185">
        <f t="array" ref="B3527">IF(F3527="VL","",IF(F3527="Free","Free",XLOOKUP(D3527,Roster!T:T,Roster!S:S,"",0)))</f>
        <v>126</v>
      </c>
      <c r="C3527" s="313">
        <v>46142.0</v>
      </c>
      <c r="D3527" s="314" t="s">
        <v>250</v>
      </c>
      <c r="E3527" s="307" t="str">
        <f t="array" ref="E3527">(XLOOKUP(D3527,Roster!F:F,Roster!B:B,"",0))</f>
        <v>Brayan Franco</v>
      </c>
      <c r="F3527" s="315" t="str">
        <f t="array" ref="F3527">IF(B3527=100,"Free",TEXT(XLOOKUP($D3527,OperationVoice!$A:$A,OperationVoice!AJ:AJ,XLOOKUP($D3527,OperationTickets!$A:$A,OperationTickets!AJ:AJ,"",0)),"hh:mm"))</f>
        <v/>
      </c>
      <c r="G3527" s="309" t="str">
        <f t="shared" si="3"/>
        <v/>
      </c>
      <c r="H3527" s="316" t="str">
        <f t="array" ref="H3527">XLOOKUP(B3527,Roster!L:L,Roster!N:N,XLOOKUP(D3527,TicketsBreak!A:A,TicketsBreak!E:E,"",0),0)</f>
        <v>10:45 - 11:00</v>
      </c>
      <c r="I3527" s="316" t="str">
        <f t="array" ref="I3527">XLOOKUP(B3527,Roster!L:L,Roster!O:O,XLOOKUP(D3527,TicketsBreak!A:A,TicketsBreak!F:F,"",0),0)</f>
        <v>14:00 - 14:30</v>
      </c>
      <c r="J3527" s="316" t="str">
        <f t="array" ref="J3527">XLOOKUP(B3527,Roster!L:L,Roster!P:P,XLOOKUP(D3527,TicketsBreak!A:A,TicketsBreak!G:G,"",0),0)</f>
        <v>15:45 - 16:00</v>
      </c>
      <c r="K3527" s="310">
        <f t="shared" si="4"/>
        <v>46142</v>
      </c>
      <c r="L3527" s="317">
        <f t="array" ref="L3527">(XLOOKUP(D3527,Roster!F:F,Roster!D:D,"",0))</f>
        <v>27</v>
      </c>
      <c r="M3527" s="317" t="str">
        <f t="array" ref="M3527">XLOOKUP(D3527,Roster!F:F,Roster!E:E)</f>
        <v>Voice</v>
      </c>
      <c r="N3527" s="317" t="str">
        <f t="shared" ref="N3527:P3527" si="3576">LEFT(H3527,5)</f>
        <v>10:45</v>
      </c>
      <c r="O3527" s="317" t="str">
        <f t="shared" si="3576"/>
        <v>14:00</v>
      </c>
      <c r="P3527" s="317" t="str">
        <f t="shared" si="3576"/>
        <v>15:45</v>
      </c>
      <c r="Q3527" s="318">
        <f t="shared" si="3500"/>
        <v>46142.44792</v>
      </c>
      <c r="R3527" s="318">
        <f t="shared" si="3501"/>
        <v>46142.58333</v>
      </c>
      <c r="S3527" s="318">
        <f t="shared" si="8"/>
        <v>46142.65625</v>
      </c>
    </row>
    <row r="3528">
      <c r="A3528" s="14" t="str">
        <f t="shared" si="1"/>
        <v>C119146142</v>
      </c>
      <c r="B3528" s="185">
        <f t="array" ref="B3528">IF(F3528="VL","",IF(F3528="Free","Free",XLOOKUP(D3528,Roster!T:T,Roster!S:S,"",0)))</f>
        <v>111</v>
      </c>
      <c r="C3528" s="313">
        <v>46142.0</v>
      </c>
      <c r="D3528" s="314" t="s">
        <v>18</v>
      </c>
      <c r="E3528" s="307" t="str">
        <f t="array" ref="E3528">(XLOOKUP(D3528,Roster!F:F,Roster!B:B,"",0))</f>
        <v>Brayan Montoya</v>
      </c>
      <c r="F3528" s="315" t="str">
        <f t="array" ref="F3528">IF(B3528=100,"Free",TEXT(XLOOKUP($D3528,OperationVoice!$A:$A,OperationVoice!AJ:AJ,XLOOKUP($D3528,OperationTickets!$A:$A,OperationTickets!AJ:AJ,"",0)),"hh:mm"))</f>
        <v>07:00</v>
      </c>
      <c r="G3528" s="309">
        <f t="shared" si="3"/>
        <v>0.6666666667</v>
      </c>
      <c r="H3528" s="316" t="str">
        <f t="array" ref="H3528">XLOOKUP(B3528,Roster!L:L,Roster!N:N,XLOOKUP(D3528,TicketsBreak!A:A,TicketsBreak!E:E,"",0),0)</f>
        <v>09:00 - 09:15</v>
      </c>
      <c r="I3528" s="316" t="str">
        <f t="array" ref="I3528">XLOOKUP(B3528,Roster!L:L,Roster!O:O,XLOOKUP(D3528,TicketsBreak!A:A,TicketsBreak!F:F,"",0),0)</f>
        <v>11:45 - 12:15</v>
      </c>
      <c r="J3528" s="316" t="str">
        <f t="array" ref="J3528">XLOOKUP(B3528,Roster!L:L,Roster!P:P,XLOOKUP(D3528,TicketsBreak!A:A,TicketsBreak!G:G,"",0),0)</f>
        <v>14:30 - 14:45</v>
      </c>
      <c r="K3528" s="310">
        <f t="shared" si="4"/>
        <v>46142</v>
      </c>
      <c r="L3528" s="317">
        <f t="array" ref="L3528">(XLOOKUP(D3528,Roster!F:F,Roster!D:D,"",0))</f>
        <v>25</v>
      </c>
      <c r="M3528" s="317" t="str">
        <f t="array" ref="M3528">XLOOKUP(D3528,Roster!F:F,Roster!E:E)</f>
        <v>Voice</v>
      </c>
      <c r="N3528" s="317" t="str">
        <f t="shared" ref="N3528:P3528" si="3577">LEFT(H3528,5)</f>
        <v>09:00</v>
      </c>
      <c r="O3528" s="317" t="str">
        <f t="shared" si="3577"/>
        <v>11:45</v>
      </c>
      <c r="P3528" s="317" t="str">
        <f t="shared" si="3577"/>
        <v>14:30</v>
      </c>
      <c r="Q3528" s="318">
        <f t="shared" si="3500"/>
        <v>46142.375</v>
      </c>
      <c r="R3528" s="318">
        <f t="shared" si="3501"/>
        <v>46142.48958</v>
      </c>
      <c r="S3528" s="318">
        <f t="shared" si="8"/>
        <v>46142.60417</v>
      </c>
    </row>
    <row r="3529">
      <c r="A3529" s="14" t="str">
        <f t="shared" si="1"/>
        <v>C152646142</v>
      </c>
      <c r="B3529" s="185">
        <f t="array" ref="B3529">IF(F3529="VL","",IF(F3529="Free","Free",XLOOKUP(D3529,Roster!T:T,Roster!S:S,"",0)))</f>
        <v>121</v>
      </c>
      <c r="C3529" s="313">
        <v>46142.0</v>
      </c>
      <c r="D3529" s="314" t="s">
        <v>19</v>
      </c>
      <c r="E3529" s="307" t="str">
        <f t="array" ref="E3529">(XLOOKUP(D3529,Roster!F:F,Roster!B:B,"",0))</f>
        <v>Breitner Benitez</v>
      </c>
      <c r="F3529" s="315" t="str">
        <f t="array" ref="F3529">IF(B3529=100,"Free",TEXT(XLOOKUP($D3529,OperationVoice!$A:$A,OperationVoice!AJ:AJ,XLOOKUP($D3529,OperationTickets!$A:$A,OperationTickets!AJ:AJ,"",0)),"hh:mm"))</f>
        <v>08:00</v>
      </c>
      <c r="G3529" s="309">
        <f t="shared" si="3"/>
        <v>0.7083333333</v>
      </c>
      <c r="H3529" s="316" t="str">
        <f t="array" ref="H3529">XLOOKUP(B3529,Roster!L:L,Roster!N:N,XLOOKUP(D3529,TicketsBreak!A:A,TicketsBreak!E:E,"",0),0)</f>
        <v>09:15 - 09:30</v>
      </c>
      <c r="I3529" s="316" t="str">
        <f t="array" ref="I3529">XLOOKUP(B3529,Roster!L:L,Roster!O:O,XLOOKUP(D3529,TicketsBreak!A:A,TicketsBreak!F:F,"",0),0)</f>
        <v>11:30 - 12:00</v>
      </c>
      <c r="J3529" s="316" t="str">
        <f t="array" ref="J3529">XLOOKUP(B3529,Roster!L:L,Roster!P:P,XLOOKUP(D3529,TicketsBreak!A:A,TicketsBreak!G:G,"",0),0)</f>
        <v>14:30 - 14:45</v>
      </c>
      <c r="K3529" s="310">
        <f t="shared" si="4"/>
        <v>46142</v>
      </c>
      <c r="L3529" s="317">
        <f t="array" ref="L3529">(XLOOKUP(D3529,Roster!F:F,Roster!D:D,"",0))</f>
        <v>13</v>
      </c>
      <c r="M3529" s="317" t="str">
        <f t="array" ref="M3529">XLOOKUP(D3529,Roster!F:F,Roster!E:E)</f>
        <v>Voice</v>
      </c>
      <c r="N3529" s="317" t="str">
        <f t="shared" ref="N3529:P3529" si="3578">LEFT(H3529,5)</f>
        <v>09:15</v>
      </c>
      <c r="O3529" s="317" t="str">
        <f t="shared" si="3578"/>
        <v>11:30</v>
      </c>
      <c r="P3529" s="317" t="str">
        <f t="shared" si="3578"/>
        <v>14:30</v>
      </c>
      <c r="Q3529" s="318">
        <f t="shared" si="3500"/>
        <v>46142.38542</v>
      </c>
      <c r="R3529" s="318">
        <f t="shared" si="3501"/>
        <v>46142.47917</v>
      </c>
      <c r="S3529" s="318">
        <f t="shared" si="8"/>
        <v>46142.60417</v>
      </c>
    </row>
    <row r="3530">
      <c r="A3530" s="14" t="str">
        <f t="shared" si="1"/>
        <v>C153546142</v>
      </c>
      <c r="B3530" s="185" t="str">
        <f t="array" ref="B3530">IF(F3530="VL","",IF(F3530="Free","Free",XLOOKUP(D3530,Roster!T:T,Roster!S:S,"",0)))</f>
        <v>Free</v>
      </c>
      <c r="C3530" s="313">
        <v>46142.0</v>
      </c>
      <c r="D3530" s="314" t="s">
        <v>20</v>
      </c>
      <c r="E3530" s="307" t="str">
        <f t="array" ref="E3530">(XLOOKUP(D3530,Roster!F:F,Roster!B:B,"",0))</f>
        <v>Carlos Alzate</v>
      </c>
      <c r="F3530" s="315" t="str">
        <f t="array" ref="F3530">IF(B3530=100,"Free",TEXT(XLOOKUP($D3530,OperationVoice!$A:$A,OperationVoice!AJ:AJ,XLOOKUP($D3530,OperationTickets!$A:$A,OperationTickets!AJ:AJ,"",0)),"hh:mm"))</f>
        <v>Free</v>
      </c>
      <c r="G3530" s="309" t="str">
        <f t="shared" si="3"/>
        <v>Free</v>
      </c>
      <c r="H3530" s="316" t="str">
        <f t="array" ref="H3530">XLOOKUP(B3530,Roster!L:L,Roster!N:N,XLOOKUP(D3530,TicketsBreak!A:A,TicketsBreak!E:E,"",0),0)</f>
        <v/>
      </c>
      <c r="I3530" s="316" t="str">
        <f t="array" ref="I3530">XLOOKUP(B3530,Roster!L:L,Roster!O:O,XLOOKUP(D3530,TicketsBreak!A:A,TicketsBreak!F:F,"",0),0)</f>
        <v/>
      </c>
      <c r="J3530" s="316" t="str">
        <f t="array" ref="J3530">XLOOKUP(B3530,Roster!L:L,Roster!P:P,XLOOKUP(D3530,TicketsBreak!A:A,TicketsBreak!G:G,"",0),0)</f>
        <v/>
      </c>
      <c r="K3530" s="310">
        <f t="shared" si="4"/>
        <v>46142</v>
      </c>
      <c r="L3530" s="317">
        <f t="array" ref="L3530">(XLOOKUP(D3530,Roster!F:F,Roster!D:D,"",0))</f>
        <v>36</v>
      </c>
      <c r="M3530" s="317" t="str">
        <f t="array" ref="M3530">XLOOKUP(D3530,Roster!F:F,Roster!E:E)</f>
        <v>Voice</v>
      </c>
      <c r="N3530" s="317" t="str">
        <f t="shared" ref="N3530:P3530" si="3579">LEFT(H3530,5)</f>
        <v/>
      </c>
      <c r="O3530" s="317" t="str">
        <f t="shared" si="3579"/>
        <v/>
      </c>
      <c r="P3530" s="317" t="str">
        <f t="shared" si="3579"/>
        <v/>
      </c>
      <c r="Q3530" s="318" t="str">
        <f t="shared" si="3500"/>
        <v/>
      </c>
      <c r="R3530" s="318" t="str">
        <f t="shared" si="3501"/>
        <v/>
      </c>
      <c r="S3530" s="318" t="str">
        <f t="shared" si="8"/>
        <v/>
      </c>
    </row>
    <row r="3531">
      <c r="A3531" s="14" t="str">
        <f t="shared" si="1"/>
        <v>C153146142</v>
      </c>
      <c r="B3531" s="185">
        <f t="array" ref="B3531">IF(F3531="VL","",IF(F3531="Free","Free",XLOOKUP(D3531,Roster!T:T,Roster!S:S,"",0)))</f>
        <v>123</v>
      </c>
      <c r="C3531" s="313">
        <v>46142.0</v>
      </c>
      <c r="D3531" s="314" t="s">
        <v>21</v>
      </c>
      <c r="E3531" s="307" t="str">
        <f t="array" ref="E3531">(XLOOKUP(D3531,Roster!F:F,Roster!B:B,"",0))</f>
        <v>Carlos Palma</v>
      </c>
      <c r="F3531" s="315" t="str">
        <f t="array" ref="F3531">IF(B3531=100,"Free",TEXT(XLOOKUP($D3531,OperationVoice!$A:$A,OperationVoice!AJ:AJ,XLOOKUP($D3531,OperationTickets!$A:$A,OperationTickets!AJ:AJ,"",0)),"hh:mm"))</f>
        <v>08:00</v>
      </c>
      <c r="G3531" s="309">
        <f t="shared" si="3"/>
        <v>0.7083333333</v>
      </c>
      <c r="H3531" s="316" t="str">
        <f t="array" ref="H3531">XLOOKUP(B3531,Roster!L:L,Roster!N:N,XLOOKUP(D3531,TicketsBreak!A:A,TicketsBreak!E:E,"",0),0)</f>
        <v>09:45 - 10:00 </v>
      </c>
      <c r="I3531" s="316" t="str">
        <f t="array" ref="I3531">XLOOKUP(B3531,Roster!L:L,Roster!O:O,XLOOKUP(D3531,TicketsBreak!A:A,TicketsBreak!F:F,"",0),0)</f>
        <v>12:30 - 13:00</v>
      </c>
      <c r="J3531" s="316" t="str">
        <f t="array" ref="J3531">XLOOKUP(B3531,Roster!L:L,Roster!P:P,XLOOKUP(D3531,TicketsBreak!A:A,TicketsBreak!G:G,"",0),0)</f>
        <v>15:00 - 15:15</v>
      </c>
      <c r="K3531" s="310">
        <f t="shared" si="4"/>
        <v>46142</v>
      </c>
      <c r="L3531" s="317">
        <f t="array" ref="L3531">(XLOOKUP(D3531,Roster!F:F,Roster!D:D,"",0))</f>
        <v>36</v>
      </c>
      <c r="M3531" s="317" t="str">
        <f t="array" ref="M3531">XLOOKUP(D3531,Roster!F:F,Roster!E:E)</f>
        <v>Voice</v>
      </c>
      <c r="N3531" s="317" t="str">
        <f t="shared" ref="N3531:P3531" si="3580">LEFT(H3531,5)</f>
        <v>09:45</v>
      </c>
      <c r="O3531" s="317" t="str">
        <f t="shared" si="3580"/>
        <v>12:30</v>
      </c>
      <c r="P3531" s="317" t="str">
        <f t="shared" si="3580"/>
        <v>15:00</v>
      </c>
      <c r="Q3531" s="318">
        <f t="shared" si="3500"/>
        <v>46142.40625</v>
      </c>
      <c r="R3531" s="318">
        <f t="shared" si="3501"/>
        <v>46142.52083</v>
      </c>
      <c r="S3531" s="318">
        <f t="shared" si="8"/>
        <v>46142.625</v>
      </c>
    </row>
    <row r="3532">
      <c r="A3532" s="14" t="str">
        <f t="shared" si="1"/>
        <v>C157646142</v>
      </c>
      <c r="B3532" s="185" t="str">
        <f t="array" ref="B3532">IF(F3532="VL","",IF(F3532="Free","Free",XLOOKUP(D3532,Roster!T:T,Roster!S:S,"",0)))</f>
        <v/>
      </c>
      <c r="C3532" s="313">
        <v>46142.0</v>
      </c>
      <c r="D3532" s="314" t="s">
        <v>313</v>
      </c>
      <c r="E3532" s="307" t="str">
        <f t="array" ref="E3532">(XLOOKUP(D3532,Roster!F:F,Roster!B:B,"",0))</f>
        <v>Carlos Ruiz</v>
      </c>
      <c r="F3532" s="315" t="str">
        <f t="array" ref="F3532">IF(B3532=100,"Free",TEXT(XLOOKUP($D3532,OperationVoice!$A:$A,OperationVoice!AJ:AJ,XLOOKUP($D3532,OperationTickets!$A:$A,OperationTickets!AJ:AJ,"",0)),"hh:mm"))</f>
        <v/>
      </c>
      <c r="G3532" s="309" t="str">
        <f t="shared" si="3"/>
        <v/>
      </c>
      <c r="H3532" s="316" t="str">
        <f t="array" ref="H3532">XLOOKUP(B3532,Roster!L:L,Roster!N:N,XLOOKUP(D3532,TicketsBreak!A:A,TicketsBreak!E:E,"",0),0)</f>
        <v/>
      </c>
      <c r="I3532" s="316" t="str">
        <f t="array" ref="I3532">XLOOKUP(B3532,Roster!L:L,Roster!O:O,XLOOKUP(D3532,TicketsBreak!A:A,TicketsBreak!F:F,"",0),0)</f>
        <v/>
      </c>
      <c r="J3532" s="316" t="str">
        <f t="array" ref="J3532">XLOOKUP(B3532,Roster!L:L,Roster!P:P,XLOOKUP(D3532,TicketsBreak!A:A,TicketsBreak!G:G,"",0),0)</f>
        <v/>
      </c>
      <c r="K3532" s="310">
        <f t="shared" si="4"/>
        <v>46142</v>
      </c>
      <c r="L3532" s="317">
        <f t="array" ref="L3532">(XLOOKUP(D3532,Roster!F:F,Roster!D:D,"",0))</f>
        <v>38</v>
      </c>
      <c r="M3532" s="317" t="str">
        <f t="array" ref="M3532">XLOOKUP(D3532,Roster!F:F,Roster!E:E)</f>
        <v>Nesting</v>
      </c>
      <c r="N3532" s="317" t="str">
        <f t="shared" ref="N3532:P3532" si="3581">LEFT(H3532,5)</f>
        <v/>
      </c>
      <c r="O3532" s="317" t="str">
        <f t="shared" si="3581"/>
        <v/>
      </c>
      <c r="P3532" s="317" t="str">
        <f t="shared" si="3581"/>
        <v/>
      </c>
      <c r="Q3532" s="318" t="str">
        <f t="shared" si="3500"/>
        <v/>
      </c>
      <c r="R3532" s="318" t="str">
        <f t="shared" si="3501"/>
        <v/>
      </c>
      <c r="S3532" s="318" t="str">
        <f t="shared" si="8"/>
        <v/>
      </c>
    </row>
    <row r="3533">
      <c r="A3533" s="14" t="str">
        <f t="shared" si="1"/>
        <v>C47946142</v>
      </c>
      <c r="B3533" s="185" t="str">
        <f t="array" ref="B3533">IF(F3533="VL","",IF(F3533="Free","Free",XLOOKUP(D3533,Roster!T:T,Roster!S:S,"",0)))</f>
        <v/>
      </c>
      <c r="C3533" s="313">
        <v>46142.0</v>
      </c>
      <c r="D3533" s="314" t="s">
        <v>173</v>
      </c>
      <c r="E3533" s="307" t="str">
        <f t="array" ref="E3533">(XLOOKUP(D3533,Roster!F:F,Roster!B:B,"",0))</f>
        <v>Carmen Grajales</v>
      </c>
      <c r="F3533" s="315" t="str">
        <f t="array" ref="F3533">IF(B3533=100,"Free",TEXT(XLOOKUP($D3533,OperationVoice!$A:$A,OperationVoice!AJ:AJ,XLOOKUP($D3533,OperationTickets!$A:$A,OperationTickets!AJ:AJ,"",0)),"hh:mm"))</f>
        <v>08:00</v>
      </c>
      <c r="G3533" s="309">
        <f t="shared" si="3"/>
        <v>0.7083333333</v>
      </c>
      <c r="H3533" s="316">
        <f t="array" ref="H3533">XLOOKUP(B3533,Roster!L:L,Roster!N:N,XLOOKUP(D3533,TicketsBreak!A:A,TicketsBreak!E:E,"",0),0)</f>
        <v>0.4270833333</v>
      </c>
      <c r="I3533" s="316">
        <f t="array" ref="I3533">XLOOKUP(B3533,Roster!L:L,Roster!O:O,XLOOKUP(D3533,TicketsBreak!A:A,TicketsBreak!F:F,"",0),0)</f>
        <v>0.53125</v>
      </c>
      <c r="J3533" s="316">
        <f t="array" ref="J3533">XLOOKUP(B3533,Roster!L:L,Roster!P:P,XLOOKUP(D3533,TicketsBreak!A:A,TicketsBreak!G:G,"",0),0)</f>
        <v>0.65625</v>
      </c>
      <c r="K3533" s="310">
        <f t="shared" si="4"/>
        <v>46142</v>
      </c>
      <c r="L3533" s="317">
        <f t="array" ref="L3533">(XLOOKUP(D3533,Roster!F:F,Roster!D:D,"",0))</f>
        <v>2</v>
      </c>
      <c r="M3533" s="317" t="str">
        <f t="array" ref="M3533">XLOOKUP(D3533,Roster!F:F,Roster!E:E)</f>
        <v>Tickets</v>
      </c>
      <c r="N3533" s="317" t="str">
        <f t="shared" ref="N3533:P3533" si="3582">LEFT(H3533,5)</f>
        <v>10:15</v>
      </c>
      <c r="O3533" s="317" t="str">
        <f t="shared" si="3582"/>
        <v>12:45</v>
      </c>
      <c r="P3533" s="317" t="str">
        <f t="shared" si="3582"/>
        <v>15:45</v>
      </c>
      <c r="Q3533" s="318">
        <f t="shared" si="3500"/>
        <v>46142.42708</v>
      </c>
      <c r="R3533" s="318">
        <f t="shared" si="3501"/>
        <v>46142.53125</v>
      </c>
      <c r="S3533" s="318">
        <f t="shared" si="8"/>
        <v>46142.65625</v>
      </c>
    </row>
    <row r="3534">
      <c r="A3534" s="14" t="str">
        <f t="shared" si="1"/>
        <v>C68746142</v>
      </c>
      <c r="B3534" s="185">
        <f t="array" ref="B3534">IF(F3534="VL","",IF(F3534="Free","Free",XLOOKUP(D3534,Roster!T:T,Roster!S:S,"",0)))</f>
        <v>122</v>
      </c>
      <c r="C3534" s="313">
        <v>46142.0</v>
      </c>
      <c r="D3534" s="314" t="s">
        <v>22</v>
      </c>
      <c r="E3534" s="307" t="str">
        <f t="array" ref="E3534">(XLOOKUP(D3534,Roster!F:F,Roster!B:B,"",0))</f>
        <v>Carolina Rios</v>
      </c>
      <c r="F3534" s="315" t="str">
        <f t="array" ref="F3534">IF(B3534=100,"Free",TEXT(XLOOKUP($D3534,OperationVoice!$A:$A,OperationVoice!AJ:AJ,XLOOKUP($D3534,OperationTickets!$A:$A,OperationTickets!AJ:AJ,"",0)),"hh:mm"))</f>
        <v>08:00</v>
      </c>
      <c r="G3534" s="309">
        <f t="shared" si="3"/>
        <v>0.7083333333</v>
      </c>
      <c r="H3534" s="316" t="str">
        <f t="array" ref="H3534">XLOOKUP(B3534,Roster!L:L,Roster!N:N,XLOOKUP(D3534,TicketsBreak!A:A,TicketsBreak!E:E,"",0),0)</f>
        <v>09:30 - 09:45</v>
      </c>
      <c r="I3534" s="316" t="str">
        <f t="array" ref="I3534">XLOOKUP(B3534,Roster!L:L,Roster!O:O,XLOOKUP(D3534,TicketsBreak!A:A,TicketsBreak!F:F,"",0),0)</f>
        <v>12:00 - 12:30</v>
      </c>
      <c r="J3534" s="316" t="str">
        <f t="array" ref="J3534">XLOOKUP(B3534,Roster!L:L,Roster!P:P,XLOOKUP(D3534,TicketsBreak!A:A,TicketsBreak!G:G,"",0),0)</f>
        <v>14:45 - 15:00</v>
      </c>
      <c r="K3534" s="310">
        <f t="shared" si="4"/>
        <v>46142</v>
      </c>
      <c r="L3534" s="317">
        <f t="array" ref="L3534">(XLOOKUP(D3534,Roster!F:F,Roster!D:D,"",0))</f>
        <v>5</v>
      </c>
      <c r="M3534" s="317" t="str">
        <f t="array" ref="M3534">XLOOKUP(D3534,Roster!F:F,Roster!E:E)</f>
        <v>Voice</v>
      </c>
      <c r="N3534" s="317" t="str">
        <f t="shared" ref="N3534:P3534" si="3583">LEFT(H3534,5)</f>
        <v>09:30</v>
      </c>
      <c r="O3534" s="317" t="str">
        <f t="shared" si="3583"/>
        <v>12:00</v>
      </c>
      <c r="P3534" s="317" t="str">
        <f t="shared" si="3583"/>
        <v>14:45</v>
      </c>
      <c r="Q3534" s="318">
        <f t="shared" si="3500"/>
        <v>46142.39583</v>
      </c>
      <c r="R3534" s="318">
        <f t="shared" si="3501"/>
        <v>46142.5</v>
      </c>
      <c r="S3534" s="318">
        <f t="shared" si="8"/>
        <v>46142.61458</v>
      </c>
    </row>
    <row r="3535">
      <c r="A3535" s="14" t="str">
        <f t="shared" si="1"/>
        <v>C152846142</v>
      </c>
      <c r="B3535" s="185">
        <f t="array" ref="B3535">IF(F3535="VL","",IF(F3535="Free","Free",XLOOKUP(D3535,Roster!T:T,Roster!S:S,"",0)))</f>
        <v>132</v>
      </c>
      <c r="C3535" s="313">
        <v>46142.0</v>
      </c>
      <c r="D3535" s="314" t="s">
        <v>23</v>
      </c>
      <c r="E3535" s="307" t="str">
        <f t="array" ref="E3535">(XLOOKUP(D3535,Roster!F:F,Roster!B:B,"",0))</f>
        <v>Christian Ramirez</v>
      </c>
      <c r="F3535" s="315" t="str">
        <f t="array" ref="F3535">IF(B3535=100,"Free",TEXT(XLOOKUP($D3535,OperationVoice!$A:$A,OperationVoice!AJ:AJ,XLOOKUP($D3535,OperationTickets!$A:$A,OperationTickets!AJ:AJ,"",0)),"hh:mm"))</f>
        <v>08:00</v>
      </c>
      <c r="G3535" s="309">
        <f t="shared" si="3"/>
        <v>0.7083333333</v>
      </c>
      <c r="H3535" s="316" t="str">
        <f t="array" ref="H3535">XLOOKUP(B3535,Roster!L:L,Roster!N:N,XLOOKUP(D3535,TicketsBreak!A:A,TicketsBreak!E:E,"",0),0)</f>
        <v>10:30 - 10:45</v>
      </c>
      <c r="I3535" s="316" t="str">
        <f t="array" ref="I3535">XLOOKUP(B3535,Roster!L:L,Roster!O:O,XLOOKUP(D3535,TicketsBreak!A:A,TicketsBreak!F:F,"",0),0)</f>
        <v>13:00 - 13:30</v>
      </c>
      <c r="J3535" s="316" t="str">
        <f t="array" ref="J3535">XLOOKUP(B3535,Roster!L:L,Roster!P:P,XLOOKUP(D3535,TicketsBreak!A:A,TicketsBreak!G:G,"",0),0)</f>
        <v>15:30 - 15:45</v>
      </c>
      <c r="K3535" s="310">
        <f t="shared" si="4"/>
        <v>46142</v>
      </c>
      <c r="L3535" s="317">
        <f t="array" ref="L3535">(XLOOKUP(D3535,Roster!F:F,Roster!D:D,"",0))</f>
        <v>36</v>
      </c>
      <c r="M3535" s="317" t="str">
        <f t="array" ref="M3535">XLOOKUP(D3535,Roster!F:F,Roster!E:E)</f>
        <v>Voice</v>
      </c>
      <c r="N3535" s="317" t="str">
        <f t="shared" ref="N3535:P3535" si="3584">LEFT(H3535,5)</f>
        <v>10:30</v>
      </c>
      <c r="O3535" s="317" t="str">
        <f t="shared" si="3584"/>
        <v>13:00</v>
      </c>
      <c r="P3535" s="317" t="str">
        <f t="shared" si="3584"/>
        <v>15:30</v>
      </c>
      <c r="Q3535" s="318">
        <f t="shared" si="3500"/>
        <v>46142.4375</v>
      </c>
      <c r="R3535" s="318">
        <f t="shared" si="3501"/>
        <v>46142.54167</v>
      </c>
      <c r="S3535" s="318">
        <f t="shared" si="8"/>
        <v>46142.64583</v>
      </c>
    </row>
    <row r="3536">
      <c r="A3536" s="14" t="str">
        <f t="shared" si="1"/>
        <v>C132546142</v>
      </c>
      <c r="B3536" s="185" t="str">
        <f t="array" ref="B3536">IF(F3536="VL","",IF(F3536="Free","Free",XLOOKUP(D3536,Roster!T:T,Roster!S:S,"",0)))</f>
        <v>Free</v>
      </c>
      <c r="C3536" s="313">
        <v>46142.0</v>
      </c>
      <c r="D3536" s="314" t="s">
        <v>174</v>
      </c>
      <c r="E3536" s="307" t="str">
        <f t="array" ref="E3536">(XLOOKUP(D3536,Roster!F:F,Roster!B:B,"",0))</f>
        <v>Cristian Ferreira</v>
      </c>
      <c r="F3536" s="315" t="str">
        <f t="array" ref="F3536">IF(B3536=100,"Free",TEXT(XLOOKUP($D3536,OperationVoice!$A:$A,OperationVoice!AJ:AJ,XLOOKUP($D3536,OperationTickets!$A:$A,OperationTickets!AJ:AJ,"",0)),"hh:mm"))</f>
        <v>Free</v>
      </c>
      <c r="G3536" s="309" t="str">
        <f t="shared" si="3"/>
        <v>Free</v>
      </c>
      <c r="H3536" s="316" t="str">
        <f t="array" ref="H3536">XLOOKUP(B3536,Roster!L:L,Roster!N:N,XLOOKUP(D3536,TicketsBreak!A:A,TicketsBreak!E:E,"",0),0)</f>
        <v/>
      </c>
      <c r="I3536" s="316" t="str">
        <f t="array" ref="I3536">XLOOKUP(B3536,Roster!L:L,Roster!O:O,XLOOKUP(D3536,TicketsBreak!A:A,TicketsBreak!F:F,"",0),0)</f>
        <v/>
      </c>
      <c r="J3536" s="316" t="str">
        <f t="array" ref="J3536">XLOOKUP(B3536,Roster!L:L,Roster!P:P,XLOOKUP(D3536,TicketsBreak!A:A,TicketsBreak!G:G,"",0),0)</f>
        <v/>
      </c>
      <c r="K3536" s="310">
        <f t="shared" si="4"/>
        <v>46142</v>
      </c>
      <c r="L3536" s="317">
        <f t="array" ref="L3536">(XLOOKUP(D3536,Roster!F:F,Roster!D:D,"",0))</f>
        <v>29</v>
      </c>
      <c r="M3536" s="317" t="str">
        <f t="array" ref="M3536">XLOOKUP(D3536,Roster!F:F,Roster!E:E)</f>
        <v>Tickets</v>
      </c>
      <c r="N3536" s="317" t="str">
        <f t="shared" ref="N3536:P3536" si="3585">LEFT(H3536,5)</f>
        <v/>
      </c>
      <c r="O3536" s="317" t="str">
        <f t="shared" si="3585"/>
        <v/>
      </c>
      <c r="P3536" s="317" t="str">
        <f t="shared" si="3585"/>
        <v/>
      </c>
      <c r="Q3536" s="318" t="str">
        <f t="shared" si="3500"/>
        <v/>
      </c>
      <c r="R3536" s="318" t="str">
        <f t="shared" si="3501"/>
        <v/>
      </c>
      <c r="S3536" s="318" t="str">
        <f t="shared" si="8"/>
        <v/>
      </c>
    </row>
    <row r="3537">
      <c r="A3537" s="14" t="str">
        <f t="shared" si="1"/>
        <v>C151046142</v>
      </c>
      <c r="B3537" s="185">
        <f t="array" ref="B3537">IF(F3537="VL","",IF(F3537="Free","Free",XLOOKUP(D3537,Roster!T:T,Roster!S:S,"",0)))</f>
        <v>121</v>
      </c>
      <c r="C3537" s="313">
        <v>46142.0</v>
      </c>
      <c r="D3537" s="314" t="s">
        <v>24</v>
      </c>
      <c r="E3537" s="307" t="str">
        <f t="array" ref="E3537">(XLOOKUP(D3537,Roster!F:F,Roster!B:B,"",0))</f>
        <v>Cristian Gomez</v>
      </c>
      <c r="F3537" s="315" t="str">
        <f t="array" ref="F3537">IF(B3537=100,"Free",TEXT(XLOOKUP($D3537,OperationVoice!$A:$A,OperationVoice!AJ:AJ,XLOOKUP($D3537,OperationTickets!$A:$A,OperationTickets!AJ:AJ,"",0)),"hh:mm"))</f>
        <v>08:00</v>
      </c>
      <c r="G3537" s="309">
        <f t="shared" si="3"/>
        <v>0.7083333333</v>
      </c>
      <c r="H3537" s="316" t="str">
        <f t="array" ref="H3537">XLOOKUP(B3537,Roster!L:L,Roster!N:N,XLOOKUP(D3537,TicketsBreak!A:A,TicketsBreak!E:E,"",0),0)</f>
        <v>09:15 - 09:30</v>
      </c>
      <c r="I3537" s="316" t="str">
        <f t="array" ref="I3537">XLOOKUP(B3537,Roster!L:L,Roster!O:O,XLOOKUP(D3537,TicketsBreak!A:A,TicketsBreak!F:F,"",0),0)</f>
        <v>11:30 - 12:00</v>
      </c>
      <c r="J3537" s="316" t="str">
        <f t="array" ref="J3537">XLOOKUP(B3537,Roster!L:L,Roster!P:P,XLOOKUP(D3537,TicketsBreak!A:A,TicketsBreak!G:G,"",0),0)</f>
        <v>14:30 - 14:45</v>
      </c>
      <c r="K3537" s="310">
        <f t="shared" si="4"/>
        <v>46142</v>
      </c>
      <c r="L3537" s="317">
        <f t="array" ref="L3537">(XLOOKUP(D3537,Roster!F:F,Roster!D:D,"",0))</f>
        <v>35</v>
      </c>
      <c r="M3537" s="317" t="str">
        <f t="array" ref="M3537">XLOOKUP(D3537,Roster!F:F,Roster!E:E)</f>
        <v>Voice</v>
      </c>
      <c r="N3537" s="317" t="str">
        <f t="shared" ref="N3537:P3537" si="3586">LEFT(H3537,5)</f>
        <v>09:15</v>
      </c>
      <c r="O3537" s="317" t="str">
        <f t="shared" si="3586"/>
        <v>11:30</v>
      </c>
      <c r="P3537" s="317" t="str">
        <f t="shared" si="3586"/>
        <v>14:30</v>
      </c>
      <c r="Q3537" s="318">
        <f t="shared" si="3500"/>
        <v>46142.38542</v>
      </c>
      <c r="R3537" s="318">
        <f t="shared" si="3501"/>
        <v>46142.47917</v>
      </c>
      <c r="S3537" s="318">
        <f t="shared" si="8"/>
        <v>46142.60417</v>
      </c>
    </row>
    <row r="3538">
      <c r="A3538" s="14" t="str">
        <f t="shared" si="1"/>
        <v>C67346142</v>
      </c>
      <c r="B3538" s="185" t="str">
        <f t="array" ref="B3538">IF(F3538="VL","",IF(F3538="Free","Free",XLOOKUP(D3538,Roster!T:T,Roster!S:S,"",0)))</f>
        <v/>
      </c>
      <c r="C3538" s="313">
        <v>46142.0</v>
      </c>
      <c r="D3538" s="314" t="s">
        <v>156</v>
      </c>
      <c r="E3538" s="307" t="str">
        <f t="array" ref="E3538">(XLOOKUP(D3538,Roster!F:F,Roster!B:B,"",0))</f>
        <v>Dahiana Cano</v>
      </c>
      <c r="F3538" s="315" t="str">
        <f t="array" ref="F3538">IF(B3538=100,"Free",TEXT(XLOOKUP($D3538,OperationVoice!$A:$A,OperationVoice!AJ:AJ,XLOOKUP($D3538,OperationTickets!$A:$A,OperationTickets!AJ:AJ,"",0)),"hh:mm"))</f>
        <v>08:00</v>
      </c>
      <c r="G3538" s="309">
        <f t="shared" si="3"/>
        <v>0.7083333333</v>
      </c>
      <c r="H3538" s="316">
        <f t="array" ref="H3538">XLOOKUP(B3538,Roster!L:L,Roster!N:N,XLOOKUP(D3538,TicketsBreak!A:A,TicketsBreak!E:E,"",0),0)</f>
        <v>0.4583333333</v>
      </c>
      <c r="I3538" s="316">
        <f t="array" ref="I3538">XLOOKUP(B3538,Roster!L:L,Roster!O:O,XLOOKUP(D3538,TicketsBreak!A:A,TicketsBreak!F:F,"",0),0)</f>
        <v>0.5833333333</v>
      </c>
      <c r="J3538" s="316">
        <f t="array" ref="J3538">XLOOKUP(B3538,Roster!L:L,Roster!P:P,XLOOKUP(D3538,TicketsBreak!A:A,TicketsBreak!G:G,"",0),0)</f>
        <v>0.65625</v>
      </c>
      <c r="K3538" s="310">
        <f t="shared" si="4"/>
        <v>46142</v>
      </c>
      <c r="L3538" s="317">
        <f t="array" ref="L3538">(XLOOKUP(D3538,Roster!F:F,Roster!D:D,"",0))</f>
        <v>4</v>
      </c>
      <c r="M3538" s="317" t="str">
        <f t="array" ref="M3538">XLOOKUP(D3538,Roster!F:F,Roster!E:E)</f>
        <v>Tickets</v>
      </c>
      <c r="N3538" s="317" t="str">
        <f t="shared" ref="N3538:P3538" si="3587">LEFT(H3538,5)</f>
        <v>11:00</v>
      </c>
      <c r="O3538" s="317" t="str">
        <f t="shared" si="3587"/>
        <v>14:00</v>
      </c>
      <c r="P3538" s="317" t="str">
        <f t="shared" si="3587"/>
        <v>15:45</v>
      </c>
      <c r="Q3538" s="318">
        <f t="shared" si="3500"/>
        <v>46142.45833</v>
      </c>
      <c r="R3538" s="318">
        <f t="shared" si="3501"/>
        <v>46142.58333</v>
      </c>
      <c r="S3538" s="318">
        <f t="shared" si="8"/>
        <v>46142.65625</v>
      </c>
    </row>
    <row r="3539">
      <c r="A3539" s="14" t="str">
        <f t="shared" si="1"/>
        <v>C152946142</v>
      </c>
      <c r="B3539" s="185">
        <f t="array" ref="B3539">IF(F3539="VL","",IF(F3539="Free","Free",XLOOKUP(D3539,Roster!T:T,Roster!S:S,"",0)))</f>
        <v>133</v>
      </c>
      <c r="C3539" s="313">
        <v>46142.0</v>
      </c>
      <c r="D3539" s="314" t="s">
        <v>25</v>
      </c>
      <c r="E3539" s="307" t="str">
        <f t="array" ref="E3539">(XLOOKUP(D3539,Roster!F:F,Roster!B:B,"",0))</f>
        <v>Daniel Barrientos</v>
      </c>
      <c r="F3539" s="315" t="str">
        <f t="array" ref="F3539">IF(B3539=100,"Free",TEXT(XLOOKUP($D3539,OperationVoice!$A:$A,OperationVoice!AJ:AJ,XLOOKUP($D3539,OperationTickets!$A:$A,OperationTickets!AJ:AJ,"",0)),"hh:mm"))</f>
        <v>09:00</v>
      </c>
      <c r="G3539" s="309">
        <f t="shared" si="3"/>
        <v>0.75</v>
      </c>
      <c r="H3539" s="316" t="str">
        <f t="array" ref="H3539">XLOOKUP(B3539,Roster!L:L,Roster!N:N,XLOOKUP(D3539,TicketsBreak!A:A,TicketsBreak!E:E,"",0),0)</f>
        <v>10:45 - 11:00 </v>
      </c>
      <c r="I3539" s="316" t="str">
        <f t="array" ref="I3539">XLOOKUP(B3539,Roster!L:L,Roster!O:O,XLOOKUP(D3539,TicketsBreak!A:A,TicketsBreak!F:F,"",0),0)</f>
        <v>13:30 - 14:00</v>
      </c>
      <c r="J3539" s="316" t="str">
        <f t="array" ref="J3539">XLOOKUP(B3539,Roster!L:L,Roster!P:P,XLOOKUP(D3539,TicketsBreak!A:A,TicketsBreak!G:G,"",0),0)</f>
        <v>15:45 - 16:00</v>
      </c>
      <c r="K3539" s="310">
        <f t="shared" si="4"/>
        <v>46142</v>
      </c>
      <c r="L3539" s="317">
        <f t="array" ref="L3539">(XLOOKUP(D3539,Roster!F:F,Roster!D:D,"",0))</f>
        <v>36</v>
      </c>
      <c r="M3539" s="317" t="str">
        <f t="array" ref="M3539">XLOOKUP(D3539,Roster!F:F,Roster!E:E)</f>
        <v>Voice</v>
      </c>
      <c r="N3539" s="317" t="str">
        <f t="shared" ref="N3539:P3539" si="3588">LEFT(H3539,5)</f>
        <v>10:45</v>
      </c>
      <c r="O3539" s="317" t="str">
        <f t="shared" si="3588"/>
        <v>13:30</v>
      </c>
      <c r="P3539" s="317" t="str">
        <f t="shared" si="3588"/>
        <v>15:45</v>
      </c>
      <c r="Q3539" s="318">
        <f t="shared" si="3500"/>
        <v>46142.44792</v>
      </c>
      <c r="R3539" s="318">
        <f t="shared" si="3501"/>
        <v>46142.5625</v>
      </c>
      <c r="S3539" s="318">
        <f t="shared" si="8"/>
        <v>46142.65625</v>
      </c>
    </row>
    <row r="3540">
      <c r="A3540" s="14" t="str">
        <f t="shared" si="1"/>
        <v>C106446142</v>
      </c>
      <c r="B3540" s="185" t="str">
        <f t="array" ref="B3540">IF(F3540="VL","",IF(F3540="Free","Free",XLOOKUP(D3540,Roster!T:T,Roster!S:S,"",0)))</f>
        <v/>
      </c>
      <c r="C3540" s="313">
        <v>46142.0</v>
      </c>
      <c r="D3540" s="314" t="s">
        <v>175</v>
      </c>
      <c r="E3540" s="307" t="str">
        <f t="array" ref="E3540">(XLOOKUP(D3540,Roster!F:F,Roster!B:B,"",0))</f>
        <v>Daniel Urrego</v>
      </c>
      <c r="F3540" s="315" t="str">
        <f t="array" ref="F3540">IF(B3540=100,"Free",TEXT(XLOOKUP($D3540,OperationVoice!$A:$A,OperationVoice!AJ:AJ,XLOOKUP($D3540,OperationTickets!$A:$A,OperationTickets!AJ:AJ,"",0)),"hh:mm"))</f>
        <v>08:00</v>
      </c>
      <c r="G3540" s="309">
        <f t="shared" si="3"/>
        <v>0.7083333333</v>
      </c>
      <c r="H3540" s="316" t="str">
        <f t="array" ref="H3540">XLOOKUP(B3540,Roster!L:L,Roster!N:N,XLOOKUP(D3540,TicketsBreak!A:A,TicketsBreak!E:E,"",0),0)</f>
        <v/>
      </c>
      <c r="I3540" s="316" t="str">
        <f t="array" ref="I3540">XLOOKUP(B3540,Roster!L:L,Roster!O:O,XLOOKUP(D3540,TicketsBreak!A:A,TicketsBreak!F:F,"",0),0)</f>
        <v/>
      </c>
      <c r="J3540" s="316" t="str">
        <f t="array" ref="J3540">XLOOKUP(B3540,Roster!L:L,Roster!P:P,XLOOKUP(D3540,TicketsBreak!A:A,TicketsBreak!G:G,"",0),0)</f>
        <v/>
      </c>
      <c r="K3540" s="310">
        <f t="shared" si="4"/>
        <v>46142</v>
      </c>
      <c r="L3540" s="317">
        <f t="array" ref="L3540">(XLOOKUP(D3540,Roster!F:F,Roster!D:D,"",0))</f>
        <v>17</v>
      </c>
      <c r="M3540" s="317" t="str">
        <f t="array" ref="M3540">XLOOKUP(D3540,Roster!F:F,Roster!E:E)</f>
        <v>Tickets</v>
      </c>
      <c r="N3540" s="317" t="str">
        <f t="shared" ref="N3540:P3540" si="3589">LEFT(H3540,5)</f>
        <v/>
      </c>
      <c r="O3540" s="317" t="str">
        <f t="shared" si="3589"/>
        <v/>
      </c>
      <c r="P3540" s="317" t="str">
        <f t="shared" si="3589"/>
        <v/>
      </c>
      <c r="Q3540" s="318" t="str">
        <f t="shared" si="3500"/>
        <v/>
      </c>
      <c r="R3540" s="318" t="str">
        <f t="shared" si="3501"/>
        <v/>
      </c>
      <c r="S3540" s="318" t="str">
        <f t="shared" si="8"/>
        <v/>
      </c>
    </row>
    <row r="3541">
      <c r="A3541" s="14" t="str">
        <f t="shared" si="1"/>
        <v>C151346142</v>
      </c>
      <c r="B3541" s="185">
        <f t="array" ref="B3541">IF(F3541="VL","",IF(F3541="Free","Free",XLOOKUP(D3541,Roster!T:T,Roster!S:S,"",0)))</f>
        <v>126</v>
      </c>
      <c r="C3541" s="313">
        <v>46142.0</v>
      </c>
      <c r="D3541" s="314" t="s">
        <v>26</v>
      </c>
      <c r="E3541" s="307" t="str">
        <f t="array" ref="E3541">(XLOOKUP(D3541,Roster!F:F,Roster!B:B,"",0))</f>
        <v>David Patino</v>
      </c>
      <c r="F3541" s="315" t="str">
        <f t="array" ref="F3541">IF(B3541=100,"Free",TEXT(XLOOKUP($D3541,OperationVoice!$A:$A,OperationVoice!AJ:AJ,XLOOKUP($D3541,OperationTickets!$A:$A,OperationTickets!AJ:AJ,"",0)),"hh:mm"))</f>
        <v>08:00</v>
      </c>
      <c r="G3541" s="309">
        <f t="shared" si="3"/>
        <v>0.7083333333</v>
      </c>
      <c r="H3541" s="316" t="str">
        <f t="array" ref="H3541">XLOOKUP(B3541,Roster!L:L,Roster!N:N,XLOOKUP(D3541,TicketsBreak!A:A,TicketsBreak!E:E,"",0),0)</f>
        <v>10:45 - 11:00</v>
      </c>
      <c r="I3541" s="316" t="str">
        <f t="array" ref="I3541">XLOOKUP(B3541,Roster!L:L,Roster!O:O,XLOOKUP(D3541,TicketsBreak!A:A,TicketsBreak!F:F,"",0),0)</f>
        <v>14:00 - 14:30</v>
      </c>
      <c r="J3541" s="316" t="str">
        <f t="array" ref="J3541">XLOOKUP(B3541,Roster!L:L,Roster!P:P,XLOOKUP(D3541,TicketsBreak!A:A,TicketsBreak!G:G,"",0),0)</f>
        <v>15:45 - 16:00</v>
      </c>
      <c r="K3541" s="310">
        <f t="shared" si="4"/>
        <v>46142</v>
      </c>
      <c r="L3541" s="317">
        <f t="array" ref="L3541">(XLOOKUP(D3541,Roster!F:F,Roster!D:D,"",0))</f>
        <v>35</v>
      </c>
      <c r="M3541" s="317" t="str">
        <f t="array" ref="M3541">XLOOKUP(D3541,Roster!F:F,Roster!E:E)</f>
        <v>Voice</v>
      </c>
      <c r="N3541" s="317" t="str">
        <f t="shared" ref="N3541:P3541" si="3590">LEFT(H3541,5)</f>
        <v>10:45</v>
      </c>
      <c r="O3541" s="317" t="str">
        <f t="shared" si="3590"/>
        <v>14:00</v>
      </c>
      <c r="P3541" s="317" t="str">
        <f t="shared" si="3590"/>
        <v>15:45</v>
      </c>
      <c r="Q3541" s="318">
        <f t="shared" si="3500"/>
        <v>46142.44792</v>
      </c>
      <c r="R3541" s="318">
        <f t="shared" si="3501"/>
        <v>46142.58333</v>
      </c>
      <c r="S3541" s="318">
        <f t="shared" si="8"/>
        <v>46142.65625</v>
      </c>
    </row>
    <row r="3542">
      <c r="A3542" s="14" t="str">
        <f t="shared" si="1"/>
        <v>C127746142</v>
      </c>
      <c r="B3542" s="185">
        <f t="array" ref="B3542">IF(F3542="VL","",IF(F3542="Free","Free",XLOOKUP(D3542,Roster!T:T,Roster!S:S,"",0)))</f>
        <v>124</v>
      </c>
      <c r="C3542" s="313">
        <v>46142.0</v>
      </c>
      <c r="D3542" s="314" t="s">
        <v>27</v>
      </c>
      <c r="E3542" s="307" t="str">
        <f t="array" ref="E3542">(XLOOKUP(D3542,Roster!F:F,Roster!B:B,"",0))</f>
        <v>Edwuin Martinez</v>
      </c>
      <c r="F3542" s="315" t="str">
        <f t="array" ref="F3542">IF(B3542=100,"Free",TEXT(XLOOKUP($D3542,OperationVoice!$A:$A,OperationVoice!AJ:AJ,XLOOKUP($D3542,OperationTickets!$A:$A,OperationTickets!AJ:AJ,"",0)),"hh:mm"))</f>
        <v>08:00</v>
      </c>
      <c r="G3542" s="309">
        <f t="shared" si="3"/>
        <v>0.7083333333</v>
      </c>
      <c r="H3542" s="316" t="str">
        <f t="array" ref="H3542">XLOOKUP(B3542,Roster!L:L,Roster!N:N,XLOOKUP(D3542,TicketsBreak!A:A,TicketsBreak!E:E,"",0),0)</f>
        <v>10:00 - 10:15</v>
      </c>
      <c r="I3542" s="316" t="str">
        <f t="array" ref="I3542">XLOOKUP(B3542,Roster!L:L,Roster!O:O,XLOOKUP(D3542,TicketsBreak!A:A,TicketsBreak!F:F,"",0),0)</f>
        <v>13:00 - 13:30</v>
      </c>
      <c r="J3542" s="316" t="str">
        <f t="array" ref="J3542">XLOOKUP(B3542,Roster!L:L,Roster!P:P,XLOOKUP(D3542,TicketsBreak!A:A,TicketsBreak!G:G,"",0),0)</f>
        <v>15:30 - 15:45</v>
      </c>
      <c r="K3542" s="310">
        <f t="shared" si="4"/>
        <v>46142</v>
      </c>
      <c r="L3542" s="317">
        <f t="array" ref="L3542">(XLOOKUP(D3542,Roster!F:F,Roster!D:D,"",0))</f>
        <v>27</v>
      </c>
      <c r="M3542" s="317" t="str">
        <f t="array" ref="M3542">XLOOKUP(D3542,Roster!F:F,Roster!E:E)</f>
        <v>Voice</v>
      </c>
      <c r="N3542" s="317" t="str">
        <f t="shared" ref="N3542:P3542" si="3591">LEFT(H3542,5)</f>
        <v>10:00</v>
      </c>
      <c r="O3542" s="317" t="str">
        <f t="shared" si="3591"/>
        <v>13:00</v>
      </c>
      <c r="P3542" s="317" t="str">
        <f t="shared" si="3591"/>
        <v>15:30</v>
      </c>
      <c r="Q3542" s="318">
        <f t="shared" si="3500"/>
        <v>46142.41667</v>
      </c>
      <c r="R3542" s="318">
        <f t="shared" si="3501"/>
        <v>46142.54167</v>
      </c>
      <c r="S3542" s="318">
        <f t="shared" si="8"/>
        <v>46142.64583</v>
      </c>
    </row>
    <row r="3543">
      <c r="A3543" s="14" t="str">
        <f t="shared" si="1"/>
        <v>C121646142</v>
      </c>
      <c r="B3543" s="185" t="str">
        <f t="array" ref="B3543">IF(F3543="VL","",IF(F3543="Free","Free",XLOOKUP(D3543,Roster!T:T,Roster!S:S,"",0)))</f>
        <v>Free</v>
      </c>
      <c r="C3543" s="313">
        <v>46142.0</v>
      </c>
      <c r="D3543" s="314" t="s">
        <v>134</v>
      </c>
      <c r="E3543" s="307" t="str">
        <f t="array" ref="E3543">(XLOOKUP(D3543,Roster!F:F,Roster!B:B,"",0))</f>
        <v>Eliana Pena</v>
      </c>
      <c r="F3543" s="315" t="str">
        <f t="array" ref="F3543">IF(B3543=100,"Free",TEXT(XLOOKUP($D3543,OperationVoice!$A:$A,OperationVoice!AJ:AJ,XLOOKUP($D3543,OperationTickets!$A:$A,OperationTickets!AJ:AJ,"",0)),"hh:mm"))</f>
        <v>Free</v>
      </c>
      <c r="G3543" s="309" t="str">
        <f t="shared" si="3"/>
        <v>Free</v>
      </c>
      <c r="H3543" s="316">
        <f t="array" ref="H3543">XLOOKUP(B3543,Roster!L:L,Roster!N:N,XLOOKUP(D3543,TicketsBreak!A:A,TicketsBreak!E:E,"",0),0)</f>
        <v>0.3958333333</v>
      </c>
      <c r="I3543" s="316">
        <f t="array" ref="I3543">XLOOKUP(B3543,Roster!L:L,Roster!O:O,XLOOKUP(D3543,TicketsBreak!A:A,TicketsBreak!F:F,"",0),0)</f>
        <v>0.5416666667</v>
      </c>
      <c r="J3543" s="316">
        <f t="array" ref="J3543">XLOOKUP(B3543,Roster!L:L,Roster!P:P,XLOOKUP(D3543,TicketsBreak!A:A,TicketsBreak!G:G,"",0),0)</f>
        <v>0.6354166667</v>
      </c>
      <c r="K3543" s="310">
        <f t="shared" si="4"/>
        <v>46142</v>
      </c>
      <c r="L3543" s="317">
        <f t="array" ref="L3543">(XLOOKUP(D3543,Roster!F:F,Roster!D:D,"",0))</f>
        <v>26</v>
      </c>
      <c r="M3543" s="317" t="str">
        <f t="array" ref="M3543">XLOOKUP(D3543,Roster!F:F,Roster!E:E)</f>
        <v>Tickets</v>
      </c>
      <c r="N3543" s="317" t="str">
        <f t="shared" ref="N3543:P3543" si="3592">LEFT(H3543,5)</f>
        <v>09:30</v>
      </c>
      <c r="O3543" s="317" t="str">
        <f t="shared" si="3592"/>
        <v>13:00</v>
      </c>
      <c r="P3543" s="317" t="str">
        <f t="shared" si="3592"/>
        <v>15:15</v>
      </c>
      <c r="Q3543" s="318">
        <f t="shared" si="3500"/>
        <v>46142.39583</v>
      </c>
      <c r="R3543" s="318">
        <f t="shared" si="3501"/>
        <v>46142.54167</v>
      </c>
      <c r="S3543" s="318">
        <f t="shared" si="8"/>
        <v>46142.63542</v>
      </c>
    </row>
    <row r="3544">
      <c r="A3544" s="14" t="str">
        <f t="shared" si="1"/>
        <v>C157346142</v>
      </c>
      <c r="B3544" s="185">
        <f t="array" ref="B3544">IF(F3544="VL","",IF(F3544="Free","Free",XLOOKUP(D3544,Roster!T:T,Roster!S:S,"",0)))</f>
        <v>123</v>
      </c>
      <c r="C3544" s="313">
        <v>46142.0</v>
      </c>
      <c r="D3544" s="314" t="s">
        <v>28</v>
      </c>
      <c r="E3544" s="307" t="str">
        <f t="array" ref="E3544">(XLOOKUP(D3544,Roster!F:F,Roster!B:B,"",0))</f>
        <v>Esteban Correa</v>
      </c>
      <c r="F3544" s="315" t="str">
        <f t="array" ref="F3544">IF(B3544=100,"Free",TEXT(XLOOKUP($D3544,OperationVoice!$A:$A,OperationVoice!AJ:AJ,XLOOKUP($D3544,OperationTickets!$A:$A,OperationTickets!AJ:AJ,"",0)),"hh:mm"))</f>
        <v>08:00</v>
      </c>
      <c r="G3544" s="309">
        <f t="shared" si="3"/>
        <v>0.7083333333</v>
      </c>
      <c r="H3544" s="316" t="str">
        <f t="array" ref="H3544">XLOOKUP(B3544,Roster!L:L,Roster!N:N,XLOOKUP(D3544,TicketsBreak!A:A,TicketsBreak!E:E,"",0),0)</f>
        <v>09:45 - 10:00 </v>
      </c>
      <c r="I3544" s="316" t="str">
        <f t="array" ref="I3544">XLOOKUP(B3544,Roster!L:L,Roster!O:O,XLOOKUP(D3544,TicketsBreak!A:A,TicketsBreak!F:F,"",0),0)</f>
        <v>12:30 - 13:00</v>
      </c>
      <c r="J3544" s="316" t="str">
        <f t="array" ref="J3544">XLOOKUP(B3544,Roster!L:L,Roster!P:P,XLOOKUP(D3544,TicketsBreak!A:A,TicketsBreak!G:G,"",0),0)</f>
        <v>15:00 - 15:15</v>
      </c>
      <c r="K3544" s="310">
        <f t="shared" si="4"/>
        <v>46142</v>
      </c>
      <c r="L3544" s="317">
        <f t="array" ref="L3544">(XLOOKUP(D3544,Roster!F:F,Roster!D:D,"",0))</f>
        <v>38</v>
      </c>
      <c r="M3544" s="317" t="str">
        <f t="array" ref="M3544">XLOOKUP(D3544,Roster!F:F,Roster!E:E)</f>
        <v>Voice</v>
      </c>
      <c r="N3544" s="317" t="str">
        <f t="shared" ref="N3544:P3544" si="3593">LEFT(H3544,5)</f>
        <v>09:45</v>
      </c>
      <c r="O3544" s="317" t="str">
        <f t="shared" si="3593"/>
        <v>12:30</v>
      </c>
      <c r="P3544" s="317" t="str">
        <f t="shared" si="3593"/>
        <v>15:00</v>
      </c>
      <c r="Q3544" s="318">
        <f t="shared" si="3500"/>
        <v>46142.40625</v>
      </c>
      <c r="R3544" s="318">
        <f t="shared" si="3501"/>
        <v>46142.52083</v>
      </c>
      <c r="S3544" s="318">
        <f t="shared" si="8"/>
        <v>46142.625</v>
      </c>
    </row>
    <row r="3545">
      <c r="A3545" s="14" t="str">
        <f t="shared" si="1"/>
        <v>C71346142</v>
      </c>
      <c r="B3545" s="185">
        <f t="array" ref="B3545">IF(F3545="VL","",IF(F3545="Free","Free",XLOOKUP(D3545,Roster!T:T,Roster!S:S,"",0)))</f>
        <v>125</v>
      </c>
      <c r="C3545" s="313">
        <v>46142.0</v>
      </c>
      <c r="D3545" s="314" t="s">
        <v>29</v>
      </c>
      <c r="E3545" s="307" t="str">
        <f t="array" ref="E3545">(XLOOKUP(D3545,Roster!F:F,Roster!B:B,"",0))</f>
        <v>Frank Marin</v>
      </c>
      <c r="F3545" s="315" t="str">
        <f t="array" ref="F3545">IF(B3545=100,"Free",TEXT(XLOOKUP($D3545,OperationVoice!$A:$A,OperationVoice!AJ:AJ,XLOOKUP($D3545,OperationTickets!$A:$A,OperationTickets!AJ:AJ,"",0)),"hh:mm"))</f>
        <v>08:00</v>
      </c>
      <c r="G3545" s="309">
        <f t="shared" si="3"/>
        <v>0.7083333333</v>
      </c>
      <c r="H3545" s="316" t="str">
        <f t="array" ref="H3545">XLOOKUP(B3545,Roster!L:L,Roster!N:N,XLOOKUP(D3545,TicketsBreak!A:A,TicketsBreak!E:E,"",0),0)</f>
        <v>10:30 - 10:45</v>
      </c>
      <c r="I3545" s="316" t="str">
        <f t="array" ref="I3545">XLOOKUP(B3545,Roster!L:L,Roster!O:O,XLOOKUP(D3545,TicketsBreak!A:A,TicketsBreak!F:F,"",0),0)</f>
        <v>13:30 - 14:00</v>
      </c>
      <c r="J3545" s="316" t="str">
        <f t="array" ref="J3545">XLOOKUP(B3545,Roster!L:L,Roster!P:P,XLOOKUP(D3545,TicketsBreak!A:A,TicketsBreak!G:G,"",0),0)</f>
        <v>15:45 - 16:00</v>
      </c>
      <c r="K3545" s="310">
        <f t="shared" si="4"/>
        <v>46142</v>
      </c>
      <c r="L3545" s="317">
        <f t="array" ref="L3545">(XLOOKUP(D3545,Roster!F:F,Roster!D:D,"",0))</f>
        <v>6</v>
      </c>
      <c r="M3545" s="317" t="str">
        <f t="array" ref="M3545">XLOOKUP(D3545,Roster!F:F,Roster!E:E)</f>
        <v>Voice</v>
      </c>
      <c r="N3545" s="317" t="str">
        <f t="shared" ref="N3545:P3545" si="3594">LEFT(H3545,5)</f>
        <v>10:30</v>
      </c>
      <c r="O3545" s="317" t="str">
        <f t="shared" si="3594"/>
        <v>13:30</v>
      </c>
      <c r="P3545" s="317" t="str">
        <f t="shared" si="3594"/>
        <v>15:45</v>
      </c>
      <c r="Q3545" s="318">
        <f t="shared" si="3500"/>
        <v>46142.4375</v>
      </c>
      <c r="R3545" s="318">
        <f t="shared" si="3501"/>
        <v>46142.5625</v>
      </c>
      <c r="S3545" s="318">
        <f t="shared" si="8"/>
        <v>46142.65625</v>
      </c>
    </row>
    <row r="3546">
      <c r="A3546" s="14" t="str">
        <f t="shared" si="1"/>
        <v>C154846142</v>
      </c>
      <c r="B3546" s="185" t="str">
        <f t="array" ref="B3546">IF(F3546="VL","",IF(F3546="Free","Free",XLOOKUP(D3546,Roster!T:T,Roster!S:S,"",0)))</f>
        <v>Free</v>
      </c>
      <c r="C3546" s="313">
        <v>46142.0</v>
      </c>
      <c r="D3546" s="314" t="s">
        <v>30</v>
      </c>
      <c r="E3546" s="307" t="str">
        <f t="array" ref="E3546">(XLOOKUP(D3546,Roster!F:F,Roster!B:B,"",0))</f>
        <v>Frey ortiz</v>
      </c>
      <c r="F3546" s="315" t="str">
        <f t="array" ref="F3546">IF(B3546=100,"Free",TEXT(XLOOKUP($D3546,OperationVoice!$A:$A,OperationVoice!AJ:AJ,XLOOKUP($D3546,OperationTickets!$A:$A,OperationTickets!AJ:AJ,"",0)),"hh:mm"))</f>
        <v>Free</v>
      </c>
      <c r="G3546" s="309" t="str">
        <f t="shared" si="3"/>
        <v>Free</v>
      </c>
      <c r="H3546" s="316" t="str">
        <f t="array" ref="H3546">XLOOKUP(B3546,Roster!L:L,Roster!N:N,XLOOKUP(D3546,TicketsBreak!A:A,TicketsBreak!E:E,"",0),0)</f>
        <v/>
      </c>
      <c r="I3546" s="316" t="str">
        <f t="array" ref="I3546">XLOOKUP(B3546,Roster!L:L,Roster!O:O,XLOOKUP(D3546,TicketsBreak!A:A,TicketsBreak!F:F,"",0),0)</f>
        <v/>
      </c>
      <c r="J3546" s="316" t="str">
        <f t="array" ref="J3546">XLOOKUP(B3546,Roster!L:L,Roster!P:P,XLOOKUP(D3546,TicketsBreak!A:A,TicketsBreak!G:G,"",0),0)</f>
        <v/>
      </c>
      <c r="K3546" s="310">
        <f t="shared" si="4"/>
        <v>46142</v>
      </c>
      <c r="L3546" s="317">
        <f t="array" ref="L3546">(XLOOKUP(D3546,Roster!F:F,Roster!D:D,"",0))</f>
        <v>37</v>
      </c>
      <c r="M3546" s="317" t="str">
        <f t="array" ref="M3546">XLOOKUP(D3546,Roster!F:F,Roster!E:E)</f>
        <v>Voice</v>
      </c>
      <c r="N3546" s="317" t="str">
        <f t="shared" ref="N3546:P3546" si="3595">LEFT(H3546,5)</f>
        <v/>
      </c>
      <c r="O3546" s="317" t="str">
        <f t="shared" si="3595"/>
        <v/>
      </c>
      <c r="P3546" s="317" t="str">
        <f t="shared" si="3595"/>
        <v/>
      </c>
      <c r="Q3546" s="318" t="str">
        <f t="shared" si="3500"/>
        <v/>
      </c>
      <c r="R3546" s="318" t="str">
        <f t="shared" si="3501"/>
        <v/>
      </c>
      <c r="S3546" s="318" t="str">
        <f t="shared" si="8"/>
        <v/>
      </c>
    </row>
    <row r="3547">
      <c r="A3547" s="14" t="str">
        <f t="shared" si="1"/>
        <v>C148646142</v>
      </c>
      <c r="B3547" s="185" t="str">
        <f t="array" ref="B3547">IF(F3547="VL","",IF(F3547="Free","Free",XLOOKUP(D3547,Roster!T:T,Roster!S:S,"",0)))</f>
        <v>Free</v>
      </c>
      <c r="C3547" s="313">
        <v>46142.0</v>
      </c>
      <c r="D3547" s="314" t="s">
        <v>31</v>
      </c>
      <c r="E3547" s="307" t="str">
        <f t="array" ref="E3547">(XLOOKUP(D3547,Roster!F:F,Roster!B:B,"",0))</f>
        <v>Gabriel Gomez</v>
      </c>
      <c r="F3547" s="315" t="str">
        <f t="array" ref="F3547">IF(B3547=100,"Free",TEXT(XLOOKUP($D3547,OperationVoice!$A:$A,OperationVoice!AJ:AJ,XLOOKUP($D3547,OperationTickets!$A:$A,OperationTickets!AJ:AJ,"",0)),"hh:mm"))</f>
        <v>Free</v>
      </c>
      <c r="G3547" s="309" t="str">
        <f t="shared" si="3"/>
        <v>Free</v>
      </c>
      <c r="H3547" s="316" t="str">
        <f t="array" ref="H3547">XLOOKUP(B3547,Roster!L:L,Roster!N:N,XLOOKUP(D3547,TicketsBreak!A:A,TicketsBreak!E:E,"",0),0)</f>
        <v/>
      </c>
      <c r="I3547" s="316" t="str">
        <f t="array" ref="I3547">XLOOKUP(B3547,Roster!L:L,Roster!O:O,XLOOKUP(D3547,TicketsBreak!A:A,TicketsBreak!F:F,"",0),0)</f>
        <v/>
      </c>
      <c r="J3547" s="316" t="str">
        <f t="array" ref="J3547">XLOOKUP(B3547,Roster!L:L,Roster!P:P,XLOOKUP(D3547,TicketsBreak!A:A,TicketsBreak!G:G,"",0),0)</f>
        <v/>
      </c>
      <c r="K3547" s="310">
        <f t="shared" si="4"/>
        <v>46142</v>
      </c>
      <c r="L3547" s="317">
        <f t="array" ref="L3547">(XLOOKUP(D3547,Roster!F:F,Roster!D:D,"",0))</f>
        <v>34</v>
      </c>
      <c r="M3547" s="317" t="str">
        <f t="array" ref="M3547">XLOOKUP(D3547,Roster!F:F,Roster!E:E)</f>
        <v>Voice</v>
      </c>
      <c r="N3547" s="317" t="str">
        <f t="shared" ref="N3547:P3547" si="3596">LEFT(H3547,5)</f>
        <v/>
      </c>
      <c r="O3547" s="317" t="str">
        <f t="shared" si="3596"/>
        <v/>
      </c>
      <c r="P3547" s="317" t="str">
        <f t="shared" si="3596"/>
        <v/>
      </c>
      <c r="Q3547" s="318" t="str">
        <f t="shared" si="3500"/>
        <v/>
      </c>
      <c r="R3547" s="318" t="str">
        <f t="shared" si="3501"/>
        <v/>
      </c>
      <c r="S3547" s="318" t="str">
        <f t="shared" si="8"/>
        <v/>
      </c>
    </row>
    <row r="3548">
      <c r="A3548" s="14" t="str">
        <f t="shared" si="1"/>
        <v>C136946142</v>
      </c>
      <c r="B3548" s="185">
        <f t="array" ref="B3548">IF(F3548="VL","",IF(F3548="Free","Free",XLOOKUP(D3548,Roster!T:T,Roster!S:S,"",0)))</f>
        <v>126</v>
      </c>
      <c r="C3548" s="313">
        <v>46142.0</v>
      </c>
      <c r="D3548" s="314" t="s">
        <v>157</v>
      </c>
      <c r="E3548" s="307" t="str">
        <f t="array" ref="E3548">(XLOOKUP(D3548,Roster!F:F,Roster!B:B,"",0))</f>
        <v>Gabriela Jimenez</v>
      </c>
      <c r="F3548" s="315" t="str">
        <f t="array" ref="F3548">IF(B3548=100,"Free",TEXT(XLOOKUP($D3548,OperationVoice!$A:$A,OperationVoice!AJ:AJ,XLOOKUP($D3548,OperationTickets!$A:$A,OperationTickets!AJ:AJ,"",0)),"hh:mm"))</f>
        <v>08:00</v>
      </c>
      <c r="G3548" s="309">
        <f t="shared" si="3"/>
        <v>0.7083333333</v>
      </c>
      <c r="H3548" s="316" t="str">
        <f t="array" ref="H3548">XLOOKUP(B3548,Roster!L:L,Roster!N:N,XLOOKUP(D3548,TicketsBreak!A:A,TicketsBreak!E:E,"",0),0)</f>
        <v>10:45 - 11:00</v>
      </c>
      <c r="I3548" s="316" t="str">
        <f t="array" ref="I3548">XLOOKUP(B3548,Roster!L:L,Roster!O:O,XLOOKUP(D3548,TicketsBreak!A:A,TicketsBreak!F:F,"",0),0)</f>
        <v>14:00 - 14:30</v>
      </c>
      <c r="J3548" s="316" t="str">
        <f t="array" ref="J3548">XLOOKUP(B3548,Roster!L:L,Roster!P:P,XLOOKUP(D3548,TicketsBreak!A:A,TicketsBreak!G:G,"",0),0)</f>
        <v>15:45 - 16:00</v>
      </c>
      <c r="K3548" s="310">
        <f t="shared" si="4"/>
        <v>46142</v>
      </c>
      <c r="L3548" s="317">
        <f t="array" ref="L3548">(XLOOKUP(D3548,Roster!F:F,Roster!D:D,"",0))</f>
        <v>31</v>
      </c>
      <c r="M3548" s="317" t="str">
        <f t="array" ref="M3548">XLOOKUP(D3548,Roster!F:F,Roster!E:E)</f>
        <v>Tickets</v>
      </c>
      <c r="N3548" s="317" t="str">
        <f t="shared" ref="N3548:P3548" si="3597">LEFT(H3548,5)</f>
        <v>10:45</v>
      </c>
      <c r="O3548" s="317" t="str">
        <f t="shared" si="3597"/>
        <v>14:00</v>
      </c>
      <c r="P3548" s="317" t="str">
        <f t="shared" si="3597"/>
        <v>15:45</v>
      </c>
      <c r="Q3548" s="318">
        <f t="shared" si="3500"/>
        <v>46142.44792</v>
      </c>
      <c r="R3548" s="318">
        <f t="shared" si="3501"/>
        <v>46142.58333</v>
      </c>
      <c r="S3548" s="318">
        <f t="shared" si="8"/>
        <v>46142.65625</v>
      </c>
    </row>
    <row r="3549">
      <c r="A3549" s="14" t="str">
        <f t="shared" si="1"/>
        <v>C101746142</v>
      </c>
      <c r="B3549" s="185">
        <f t="array" ref="B3549">IF(F3549="VL","",IF(F3549="Free","Free",XLOOKUP(D3549,Roster!T:T,Roster!S:S,"",0)))</f>
        <v>121</v>
      </c>
      <c r="C3549" s="313">
        <v>46142.0</v>
      </c>
      <c r="D3549" s="314" t="s">
        <v>32</v>
      </c>
      <c r="E3549" s="307" t="str">
        <f t="array" ref="E3549">(XLOOKUP(D3549,Roster!F:F,Roster!B:B,"",0))</f>
        <v>Geraldine Correa</v>
      </c>
      <c r="F3549" s="315" t="str">
        <f t="array" ref="F3549">IF(B3549=100,"Free",TEXT(XLOOKUP($D3549,OperationVoice!$A:$A,OperationVoice!AJ:AJ,XLOOKUP($D3549,OperationTickets!$A:$A,OperationTickets!AJ:AJ,"",0)),"hh:mm"))</f>
        <v>08:00</v>
      </c>
      <c r="G3549" s="309">
        <f t="shared" si="3"/>
        <v>0.7083333333</v>
      </c>
      <c r="H3549" s="316" t="str">
        <f t="array" ref="H3549">XLOOKUP(B3549,Roster!L:L,Roster!N:N,XLOOKUP(D3549,TicketsBreak!A:A,TicketsBreak!E:E,"",0),0)</f>
        <v>09:15 - 09:30</v>
      </c>
      <c r="I3549" s="316" t="str">
        <f t="array" ref="I3549">XLOOKUP(B3549,Roster!L:L,Roster!O:O,XLOOKUP(D3549,TicketsBreak!A:A,TicketsBreak!F:F,"",0),0)</f>
        <v>11:30 - 12:00</v>
      </c>
      <c r="J3549" s="316" t="str">
        <f t="array" ref="J3549">XLOOKUP(B3549,Roster!L:L,Roster!P:P,XLOOKUP(D3549,TicketsBreak!A:A,TicketsBreak!G:G,"",0),0)</f>
        <v>14:30 - 14:45</v>
      </c>
      <c r="K3549" s="310">
        <f t="shared" si="4"/>
        <v>46142</v>
      </c>
      <c r="L3549" s="317">
        <f t="array" ref="L3549">(XLOOKUP(D3549,Roster!F:F,Roster!D:D,"",0))</f>
        <v>23</v>
      </c>
      <c r="M3549" s="317" t="str">
        <f t="array" ref="M3549">XLOOKUP(D3549,Roster!F:F,Roster!E:E)</f>
        <v>Voice</v>
      </c>
      <c r="N3549" s="317" t="str">
        <f t="shared" ref="N3549:P3549" si="3598">LEFT(H3549,5)</f>
        <v>09:15</v>
      </c>
      <c r="O3549" s="317" t="str">
        <f t="shared" si="3598"/>
        <v>11:30</v>
      </c>
      <c r="P3549" s="317" t="str">
        <f t="shared" si="3598"/>
        <v>14:30</v>
      </c>
      <c r="Q3549" s="318">
        <f t="shared" si="3500"/>
        <v>46142.38542</v>
      </c>
      <c r="R3549" s="318">
        <f t="shared" si="3501"/>
        <v>46142.47917</v>
      </c>
      <c r="S3549" s="318">
        <f t="shared" si="8"/>
        <v>46142.60417</v>
      </c>
    </row>
    <row r="3550">
      <c r="A3550" s="14" t="str">
        <f t="shared" si="1"/>
        <v>C154146142</v>
      </c>
      <c r="B3550" s="185">
        <f t="array" ref="B3550">IF(F3550="VL","",IF(F3550="Free","Free",XLOOKUP(D3550,Roster!T:T,Roster!S:S,"",0)))</f>
        <v>155</v>
      </c>
      <c r="C3550" s="313">
        <v>46142.0</v>
      </c>
      <c r="D3550" s="314" t="s">
        <v>33</v>
      </c>
      <c r="E3550" s="307" t="str">
        <f t="array" ref="E3550">(XLOOKUP(D3550,Roster!F:F,Roster!B:B,"",0))</f>
        <v>Gisel Moya</v>
      </c>
      <c r="F3550" s="315" t="str">
        <f t="array" ref="F3550">IF(B3550=100,"Free",TEXT(XLOOKUP($D3550,OperationVoice!$A:$A,OperationVoice!AJ:AJ,XLOOKUP($D3550,OperationTickets!$A:$A,OperationTickets!AJ:AJ,"",0)),"hh:mm"))</f>
        <v>11:00</v>
      </c>
      <c r="G3550" s="309">
        <f t="shared" si="3"/>
        <v>0.8333333333</v>
      </c>
      <c r="H3550" s="316" t="str">
        <f t="array" ref="H3550">XLOOKUP(B3550,Roster!L:L,Roster!N:N,XLOOKUP(D3550,TicketsBreak!A:A,TicketsBreak!E:E,"",0),0)</f>
        <v>13:15 - 13:30</v>
      </c>
      <c r="I3550" s="316" t="str">
        <f t="array" ref="I3550">XLOOKUP(B3550,Roster!L:L,Roster!O:O,XLOOKUP(D3550,TicketsBreak!A:A,TicketsBreak!F:F,"",0),0)</f>
        <v>15:45 - 16:15</v>
      </c>
      <c r="J3550" s="316" t="str">
        <f t="array" ref="J3550">XLOOKUP(B3550,Roster!L:L,Roster!P:P,XLOOKUP(D3550,TicketsBreak!A:A,TicketsBreak!G:G,"",0),0)</f>
        <v>18:15 - 18:30</v>
      </c>
      <c r="K3550" s="310">
        <f t="shared" si="4"/>
        <v>46142</v>
      </c>
      <c r="L3550" s="317">
        <f t="array" ref="L3550">(XLOOKUP(D3550,Roster!F:F,Roster!D:D,"",0))</f>
        <v>36</v>
      </c>
      <c r="M3550" s="317" t="str">
        <f t="array" ref="M3550">XLOOKUP(D3550,Roster!F:F,Roster!E:E)</f>
        <v>Voice</v>
      </c>
      <c r="N3550" s="317" t="str">
        <f t="shared" ref="N3550:P3550" si="3599">LEFT(H3550,5)</f>
        <v>13:15</v>
      </c>
      <c r="O3550" s="317" t="str">
        <f t="shared" si="3599"/>
        <v>15:45</v>
      </c>
      <c r="P3550" s="317" t="str">
        <f t="shared" si="3599"/>
        <v>18:15</v>
      </c>
      <c r="Q3550" s="318">
        <f t="shared" si="3500"/>
        <v>46142.55208</v>
      </c>
      <c r="R3550" s="318">
        <f t="shared" si="3501"/>
        <v>46142.65625</v>
      </c>
      <c r="S3550" s="318">
        <f t="shared" si="8"/>
        <v>46142.76042</v>
      </c>
    </row>
    <row r="3551">
      <c r="A3551" s="14" t="str">
        <f t="shared" si="1"/>
        <v>C86046142</v>
      </c>
      <c r="B3551" s="185" t="str">
        <f t="array" ref="B3551">IF(F3551="VL","",IF(F3551="Free","Free",XLOOKUP(D3551,Roster!T:T,Roster!S:S,"",0)))</f>
        <v>Free</v>
      </c>
      <c r="C3551" s="313">
        <v>46142.0</v>
      </c>
      <c r="D3551" s="314" t="s">
        <v>158</v>
      </c>
      <c r="E3551" s="307" t="str">
        <f t="array" ref="E3551">(XLOOKUP(D3551,Roster!F:F,Roster!B:B,"",0))</f>
        <v>Ief Fabre</v>
      </c>
      <c r="F3551" s="315" t="str">
        <f t="array" ref="F3551">IF(B3551=100,"Free",TEXT(XLOOKUP($D3551,OperationVoice!$A:$A,OperationVoice!AJ:AJ,XLOOKUP($D3551,OperationTickets!$A:$A,OperationTickets!AJ:AJ,"",0)),"hh:mm"))</f>
        <v>Free</v>
      </c>
      <c r="G3551" s="309" t="str">
        <f t="shared" si="3"/>
        <v>Free</v>
      </c>
      <c r="H3551" s="316">
        <f t="array" ref="H3551">XLOOKUP(B3551,Roster!L:L,Roster!N:N,XLOOKUP(D3551,TicketsBreak!A:A,TicketsBreak!E:E,"",0),0)</f>
        <v>0.4166666667</v>
      </c>
      <c r="I3551" s="316">
        <f t="array" ref="I3551">XLOOKUP(B3551,Roster!L:L,Roster!O:O,XLOOKUP(D3551,TicketsBreak!A:A,TicketsBreak!F:F,"",0),0)</f>
        <v>0.5</v>
      </c>
      <c r="J3551" s="316">
        <f t="array" ref="J3551">XLOOKUP(B3551,Roster!L:L,Roster!P:P,XLOOKUP(D3551,TicketsBreak!A:A,TicketsBreak!G:G,"",0),0)</f>
        <v>0.625</v>
      </c>
      <c r="K3551" s="310">
        <f t="shared" si="4"/>
        <v>46142</v>
      </c>
      <c r="L3551" s="317">
        <f t="array" ref="L3551">(XLOOKUP(D3551,Roster!F:F,Roster!D:D,"",0))</f>
        <v>10</v>
      </c>
      <c r="M3551" s="317" t="str">
        <f t="array" ref="M3551">XLOOKUP(D3551,Roster!F:F,Roster!E:E)</f>
        <v>Tickets</v>
      </c>
      <c r="N3551" s="317" t="str">
        <f t="shared" ref="N3551:P3551" si="3600">LEFT(H3551,5)</f>
        <v>10:00</v>
      </c>
      <c r="O3551" s="317" t="str">
        <f t="shared" si="3600"/>
        <v>12:00</v>
      </c>
      <c r="P3551" s="317" t="str">
        <f t="shared" si="3600"/>
        <v>15:00</v>
      </c>
      <c r="Q3551" s="318">
        <f t="shared" si="3500"/>
        <v>46142.41667</v>
      </c>
      <c r="R3551" s="318">
        <f t="shared" si="3501"/>
        <v>46142.5</v>
      </c>
      <c r="S3551" s="318">
        <f t="shared" si="8"/>
        <v>46142.625</v>
      </c>
    </row>
    <row r="3552">
      <c r="A3552" s="14" t="str">
        <f t="shared" si="1"/>
        <v>C148146142</v>
      </c>
      <c r="B3552" s="185">
        <f t="array" ref="B3552">IF(F3552="VL","",IF(F3552="Free","Free",XLOOKUP(D3552,Roster!T:T,Roster!S:S,"",0)))</f>
        <v>155</v>
      </c>
      <c r="C3552" s="313">
        <v>46142.0</v>
      </c>
      <c r="D3552" s="314" t="s">
        <v>34</v>
      </c>
      <c r="E3552" s="307" t="str">
        <f t="array" ref="E3552">(XLOOKUP(D3552,Roster!F:F,Roster!B:B,"",0))</f>
        <v>Jasam Mejia</v>
      </c>
      <c r="F3552" s="315" t="str">
        <f t="array" ref="F3552">IF(B3552=100,"Free",TEXT(XLOOKUP($D3552,OperationVoice!$A:$A,OperationVoice!AJ:AJ,XLOOKUP($D3552,OperationTickets!$A:$A,OperationTickets!AJ:AJ,"",0)),"hh:mm"))</f>
        <v>11:00</v>
      </c>
      <c r="G3552" s="309">
        <f t="shared" si="3"/>
        <v>0.8333333333</v>
      </c>
      <c r="H3552" s="316" t="str">
        <f t="array" ref="H3552">XLOOKUP(B3552,Roster!L:L,Roster!N:N,XLOOKUP(D3552,TicketsBreak!A:A,TicketsBreak!E:E,"",0),0)</f>
        <v>13:15 - 13:30</v>
      </c>
      <c r="I3552" s="316" t="str">
        <f t="array" ref="I3552">XLOOKUP(B3552,Roster!L:L,Roster!O:O,XLOOKUP(D3552,TicketsBreak!A:A,TicketsBreak!F:F,"",0),0)</f>
        <v>15:45 - 16:15</v>
      </c>
      <c r="J3552" s="316" t="str">
        <f t="array" ref="J3552">XLOOKUP(B3552,Roster!L:L,Roster!P:P,XLOOKUP(D3552,TicketsBreak!A:A,TicketsBreak!G:G,"",0),0)</f>
        <v>18:15 - 18:30</v>
      </c>
      <c r="K3552" s="310">
        <f t="shared" si="4"/>
        <v>46142</v>
      </c>
      <c r="L3552" s="317">
        <f t="array" ref="L3552">(XLOOKUP(D3552,Roster!F:F,Roster!D:D,"",0))</f>
        <v>34</v>
      </c>
      <c r="M3552" s="317" t="str">
        <f t="array" ref="M3552">XLOOKUP(D3552,Roster!F:F,Roster!E:E)</f>
        <v>Voice</v>
      </c>
      <c r="N3552" s="317" t="str">
        <f t="shared" ref="N3552:P3552" si="3601">LEFT(H3552,5)</f>
        <v>13:15</v>
      </c>
      <c r="O3552" s="317" t="str">
        <f t="shared" si="3601"/>
        <v>15:45</v>
      </c>
      <c r="P3552" s="317" t="str">
        <f t="shared" si="3601"/>
        <v>18:15</v>
      </c>
      <c r="Q3552" s="318">
        <f t="shared" si="3500"/>
        <v>46142.55208</v>
      </c>
      <c r="R3552" s="318">
        <f t="shared" si="3501"/>
        <v>46142.65625</v>
      </c>
      <c r="S3552" s="318">
        <f t="shared" si="8"/>
        <v>46142.76042</v>
      </c>
    </row>
    <row r="3553">
      <c r="A3553" s="14" t="str">
        <f t="shared" si="1"/>
        <v>C131846142</v>
      </c>
      <c r="B3553" s="185" t="str">
        <f t="array" ref="B3553">IF(F3553="VL","",IF(F3553="Free","Free",XLOOKUP(D3553,Roster!T:T,Roster!S:S,"",0)))</f>
        <v>Free</v>
      </c>
      <c r="C3553" s="313">
        <v>46142.0</v>
      </c>
      <c r="D3553" s="314" t="s">
        <v>159</v>
      </c>
      <c r="E3553" s="307" t="str">
        <f t="array" ref="E3553">(XLOOKUP(D3553,Roster!F:F,Roster!B:B,"",0))</f>
        <v>Jeampierre Jaramillo</v>
      </c>
      <c r="F3553" s="315" t="str">
        <f t="array" ref="F3553">IF(B3553=100,"Free",TEXT(XLOOKUP($D3553,OperationVoice!$A:$A,OperationVoice!AJ:AJ,XLOOKUP($D3553,OperationTickets!$A:$A,OperationTickets!AJ:AJ,"",0)),"hh:mm"))</f>
        <v>Free</v>
      </c>
      <c r="G3553" s="309" t="str">
        <f t="shared" si="3"/>
        <v>Free</v>
      </c>
      <c r="H3553" s="316" t="str">
        <f t="array" ref="H3553">XLOOKUP(B3553,Roster!L:L,Roster!N:N,XLOOKUP(D3553,TicketsBreak!A:A,TicketsBreak!E:E,"",0),0)</f>
        <v/>
      </c>
      <c r="I3553" s="316" t="str">
        <f t="array" ref="I3553">XLOOKUP(B3553,Roster!L:L,Roster!O:O,XLOOKUP(D3553,TicketsBreak!A:A,TicketsBreak!F:F,"",0),0)</f>
        <v/>
      </c>
      <c r="J3553" s="316" t="str">
        <f t="array" ref="J3553">XLOOKUP(B3553,Roster!L:L,Roster!P:P,XLOOKUP(D3553,TicketsBreak!A:A,TicketsBreak!G:G,"",0),0)</f>
        <v/>
      </c>
      <c r="K3553" s="310">
        <f t="shared" si="4"/>
        <v>46142</v>
      </c>
      <c r="L3553" s="317">
        <f t="array" ref="L3553">(XLOOKUP(D3553,Roster!F:F,Roster!D:D,"",0))</f>
        <v>29</v>
      </c>
      <c r="M3553" s="317" t="str">
        <f t="array" ref="M3553">XLOOKUP(D3553,Roster!F:F,Roster!E:E)</f>
        <v>Tickets</v>
      </c>
      <c r="N3553" s="317" t="str">
        <f t="shared" ref="N3553:P3553" si="3602">LEFT(H3553,5)</f>
        <v/>
      </c>
      <c r="O3553" s="317" t="str">
        <f t="shared" si="3602"/>
        <v/>
      </c>
      <c r="P3553" s="317" t="str">
        <f t="shared" si="3602"/>
        <v/>
      </c>
      <c r="Q3553" s="318" t="str">
        <f t="shared" si="3500"/>
        <v/>
      </c>
      <c r="R3553" s="318" t="str">
        <f t="shared" si="3501"/>
        <v/>
      </c>
      <c r="S3553" s="318" t="str">
        <f t="shared" si="8"/>
        <v/>
      </c>
    </row>
    <row r="3554">
      <c r="A3554" s="14" t="str">
        <f t="shared" si="1"/>
        <v>C155046142</v>
      </c>
      <c r="B3554" s="185">
        <f t="array" ref="B3554">IF(F3554="VL","",IF(F3554="Free","Free",XLOOKUP(D3554,Roster!T:T,Roster!S:S,"",0)))</f>
        <v>126</v>
      </c>
      <c r="C3554" s="313">
        <v>46142.0</v>
      </c>
      <c r="D3554" s="314" t="s">
        <v>35</v>
      </c>
      <c r="E3554" s="307" t="str">
        <f t="array" ref="E3554">(XLOOKUP(D3554,Roster!F:F,Roster!B:B,"",0))</f>
        <v>Jeidin Vargas</v>
      </c>
      <c r="F3554" s="315" t="str">
        <f t="array" ref="F3554">IF(B3554=100,"Free",TEXT(XLOOKUP($D3554,OperationVoice!$A:$A,OperationVoice!AJ:AJ,XLOOKUP($D3554,OperationTickets!$A:$A,OperationTickets!AJ:AJ,"",0)),"hh:mm"))</f>
        <v>08:00</v>
      </c>
      <c r="G3554" s="309">
        <f t="shared" si="3"/>
        <v>0.7083333333</v>
      </c>
      <c r="H3554" s="316" t="str">
        <f t="array" ref="H3554">XLOOKUP(B3554,Roster!L:L,Roster!N:N,XLOOKUP(D3554,TicketsBreak!A:A,TicketsBreak!E:E,"",0),0)</f>
        <v>10:45 - 11:00</v>
      </c>
      <c r="I3554" s="316" t="str">
        <f t="array" ref="I3554">XLOOKUP(B3554,Roster!L:L,Roster!O:O,XLOOKUP(D3554,TicketsBreak!A:A,TicketsBreak!F:F,"",0),0)</f>
        <v>14:00 - 14:30</v>
      </c>
      <c r="J3554" s="316" t="str">
        <f t="array" ref="J3554">XLOOKUP(B3554,Roster!L:L,Roster!P:P,XLOOKUP(D3554,TicketsBreak!A:A,TicketsBreak!G:G,"",0),0)</f>
        <v>15:45 - 16:00</v>
      </c>
      <c r="K3554" s="310">
        <f t="shared" si="4"/>
        <v>46142</v>
      </c>
      <c r="L3554" s="317">
        <f t="array" ref="L3554">(XLOOKUP(D3554,Roster!F:F,Roster!D:D,"",0))</f>
        <v>37</v>
      </c>
      <c r="M3554" s="317" t="str">
        <f t="array" ref="M3554">XLOOKUP(D3554,Roster!F:F,Roster!E:E)</f>
        <v>Voice</v>
      </c>
      <c r="N3554" s="317" t="str">
        <f t="shared" ref="N3554:P3554" si="3603">LEFT(H3554,5)</f>
        <v>10:45</v>
      </c>
      <c r="O3554" s="317" t="str">
        <f t="shared" si="3603"/>
        <v>14:00</v>
      </c>
      <c r="P3554" s="317" t="str">
        <f t="shared" si="3603"/>
        <v>15:45</v>
      </c>
      <c r="Q3554" s="318">
        <f t="shared" si="3500"/>
        <v>46142.44792</v>
      </c>
      <c r="R3554" s="318">
        <f t="shared" si="3501"/>
        <v>46142.58333</v>
      </c>
      <c r="S3554" s="318">
        <f t="shared" si="8"/>
        <v>46142.65625</v>
      </c>
    </row>
    <row r="3555">
      <c r="A3555" s="14" t="str">
        <f t="shared" si="1"/>
        <v>C51246142</v>
      </c>
      <c r="B3555" s="185">
        <f t="array" ref="B3555">IF(F3555="VL","",IF(F3555="Free","Free",XLOOKUP(D3555,Roster!T:T,Roster!S:S,"",0)))</f>
        <v>122</v>
      </c>
      <c r="C3555" s="313">
        <v>46142.0</v>
      </c>
      <c r="D3555" s="314" t="s">
        <v>36</v>
      </c>
      <c r="E3555" s="307" t="str">
        <f t="array" ref="E3555">(XLOOKUP(D3555,Roster!F:F,Roster!B:B,"",0))</f>
        <v>Jhoam Quiroz</v>
      </c>
      <c r="F3555" s="315" t="str">
        <f t="array" ref="F3555">IF(B3555=100,"Free",TEXT(XLOOKUP($D3555,OperationVoice!$A:$A,OperationVoice!AJ:AJ,XLOOKUP($D3555,OperationTickets!$A:$A,OperationTickets!AJ:AJ,"",0)),"hh:mm"))</f>
        <v>08:00</v>
      </c>
      <c r="G3555" s="309">
        <f t="shared" si="3"/>
        <v>0.7083333333</v>
      </c>
      <c r="H3555" s="316" t="str">
        <f t="array" ref="H3555">XLOOKUP(B3555,Roster!L:L,Roster!N:N,XLOOKUP(D3555,TicketsBreak!A:A,TicketsBreak!E:E,"",0),0)</f>
        <v>09:30 - 09:45</v>
      </c>
      <c r="I3555" s="316" t="str">
        <f t="array" ref="I3555">XLOOKUP(B3555,Roster!L:L,Roster!O:O,XLOOKUP(D3555,TicketsBreak!A:A,TicketsBreak!F:F,"",0),0)</f>
        <v>12:00 - 12:30</v>
      </c>
      <c r="J3555" s="316" t="str">
        <f t="array" ref="J3555">XLOOKUP(B3555,Roster!L:L,Roster!P:P,XLOOKUP(D3555,TicketsBreak!A:A,TicketsBreak!G:G,"",0),0)</f>
        <v>14:45 - 15:00</v>
      </c>
      <c r="K3555" s="310">
        <f t="shared" si="4"/>
        <v>46142</v>
      </c>
      <c r="L3555" s="317">
        <f t="array" ref="L3555">(XLOOKUP(D3555,Roster!F:F,Roster!D:D,"",0))</f>
        <v>1</v>
      </c>
      <c r="M3555" s="317" t="str">
        <f t="array" ref="M3555">XLOOKUP(D3555,Roster!F:F,Roster!E:E)</f>
        <v>Voice</v>
      </c>
      <c r="N3555" s="317" t="str">
        <f t="shared" ref="N3555:P3555" si="3604">LEFT(H3555,5)</f>
        <v>09:30</v>
      </c>
      <c r="O3555" s="317" t="str">
        <f t="shared" si="3604"/>
        <v>12:00</v>
      </c>
      <c r="P3555" s="317" t="str">
        <f t="shared" si="3604"/>
        <v>14:45</v>
      </c>
      <c r="Q3555" s="318">
        <f t="shared" si="3500"/>
        <v>46142.39583</v>
      </c>
      <c r="R3555" s="318">
        <f t="shared" si="3501"/>
        <v>46142.5</v>
      </c>
      <c r="S3555" s="318">
        <f t="shared" si="8"/>
        <v>46142.61458</v>
      </c>
    </row>
    <row r="3556">
      <c r="A3556" s="14" t="str">
        <f t="shared" si="1"/>
        <v>C150946142</v>
      </c>
      <c r="B3556" s="185" t="str">
        <f t="array" ref="B3556">IF(F3556="VL","",IF(F3556="Free","Free",XLOOKUP(D3556,Roster!T:T,Roster!S:S,"",0)))</f>
        <v>Free</v>
      </c>
      <c r="C3556" s="313">
        <v>46142.0</v>
      </c>
      <c r="D3556" s="314" t="s">
        <v>37</v>
      </c>
      <c r="E3556" s="307" t="str">
        <f t="array" ref="E3556">(XLOOKUP(D3556,Roster!F:F,Roster!B:B,"",0))</f>
        <v>Jhonatan Gomez</v>
      </c>
      <c r="F3556" s="315" t="str">
        <f t="array" ref="F3556">IF(B3556=100,"Free",TEXT(XLOOKUP($D3556,OperationVoice!$A:$A,OperationVoice!AJ:AJ,XLOOKUP($D3556,OperationTickets!$A:$A,OperationTickets!AJ:AJ,"",0)),"hh:mm"))</f>
        <v>Free</v>
      </c>
      <c r="G3556" s="309" t="str">
        <f t="shared" si="3"/>
        <v>Free</v>
      </c>
      <c r="H3556" s="316" t="str">
        <f t="array" ref="H3556">XLOOKUP(B3556,Roster!L:L,Roster!N:N,XLOOKUP(D3556,TicketsBreak!A:A,TicketsBreak!E:E,"",0),0)</f>
        <v/>
      </c>
      <c r="I3556" s="316" t="str">
        <f t="array" ref="I3556">XLOOKUP(B3556,Roster!L:L,Roster!O:O,XLOOKUP(D3556,TicketsBreak!A:A,TicketsBreak!F:F,"",0),0)</f>
        <v/>
      </c>
      <c r="J3556" s="316" t="str">
        <f t="array" ref="J3556">XLOOKUP(B3556,Roster!L:L,Roster!P:P,XLOOKUP(D3556,TicketsBreak!A:A,TicketsBreak!G:G,"",0),0)</f>
        <v/>
      </c>
      <c r="K3556" s="310">
        <f t="shared" si="4"/>
        <v>46142</v>
      </c>
      <c r="L3556" s="317">
        <f t="array" ref="L3556">(XLOOKUP(D3556,Roster!F:F,Roster!D:D,"",0))</f>
        <v>35</v>
      </c>
      <c r="M3556" s="317" t="str">
        <f t="array" ref="M3556">XLOOKUP(D3556,Roster!F:F,Roster!E:E)</f>
        <v>Voice</v>
      </c>
      <c r="N3556" s="317" t="str">
        <f t="shared" ref="N3556:P3556" si="3605">LEFT(H3556,5)</f>
        <v/>
      </c>
      <c r="O3556" s="317" t="str">
        <f t="shared" si="3605"/>
        <v/>
      </c>
      <c r="P3556" s="317" t="str">
        <f t="shared" si="3605"/>
        <v/>
      </c>
      <c r="Q3556" s="318" t="str">
        <f t="shared" si="3500"/>
        <v/>
      </c>
      <c r="R3556" s="318" t="str">
        <f t="shared" si="3501"/>
        <v/>
      </c>
      <c r="S3556" s="318" t="str">
        <f t="shared" si="8"/>
        <v/>
      </c>
    </row>
    <row r="3557">
      <c r="A3557" s="14" t="str">
        <f t="shared" si="1"/>
        <v>C151546142</v>
      </c>
      <c r="B3557" s="185">
        <f t="array" ref="B3557">IF(F3557="VL","",IF(F3557="Free","Free",XLOOKUP(D3557,Roster!T:T,Roster!S:S,"",0)))</f>
        <v>151</v>
      </c>
      <c r="C3557" s="313">
        <v>46142.0</v>
      </c>
      <c r="D3557" s="314" t="s">
        <v>38</v>
      </c>
      <c r="E3557" s="307" t="str">
        <f t="array" ref="E3557">(XLOOKUP(D3557,Roster!F:F,Roster!B:B,"",0))</f>
        <v>Joan Perez</v>
      </c>
      <c r="F3557" s="315" t="str">
        <f t="array" ref="F3557">IF(B3557=100,"Free",TEXT(XLOOKUP($D3557,OperationVoice!$A:$A,OperationVoice!AJ:AJ,XLOOKUP($D3557,OperationTickets!$A:$A,OperationTickets!AJ:AJ,"",0)),"hh:mm"))</f>
        <v/>
      </c>
      <c r="G3557" s="309" t="str">
        <f t="shared" si="3"/>
        <v/>
      </c>
      <c r="H3557" s="316" t="str">
        <f t="array" ref="H3557">XLOOKUP(B3557,Roster!L:L,Roster!N:N,XLOOKUP(D3557,TicketsBreak!A:A,TicketsBreak!E:E,"",0),0)</f>
        <v>12:15 - 12:30</v>
      </c>
      <c r="I3557" s="316" t="str">
        <f t="array" ref="I3557">XLOOKUP(B3557,Roster!L:L,Roster!O:O,XLOOKUP(D3557,TicketsBreak!A:A,TicketsBreak!F:F,"",0),0)</f>
        <v>14:00 - 14:30</v>
      </c>
      <c r="J3557" s="316" t="str">
        <f t="array" ref="J3557">XLOOKUP(B3557,Roster!L:L,Roster!P:P,XLOOKUP(D3557,TicketsBreak!A:A,TicketsBreak!G:G,"",0),0)</f>
        <v>17:15 - 17:30</v>
      </c>
      <c r="K3557" s="310">
        <f t="shared" si="4"/>
        <v>46142</v>
      </c>
      <c r="L3557" s="317">
        <f t="array" ref="L3557">(XLOOKUP(D3557,Roster!F:F,Roster!D:D,"",0))</f>
        <v>35</v>
      </c>
      <c r="M3557" s="317" t="str">
        <f t="array" ref="M3557">XLOOKUP(D3557,Roster!F:F,Roster!E:E)</f>
        <v>Voice</v>
      </c>
      <c r="N3557" s="317" t="str">
        <f t="shared" ref="N3557:P3557" si="3606">LEFT(H3557,5)</f>
        <v>12:15</v>
      </c>
      <c r="O3557" s="317" t="str">
        <f t="shared" si="3606"/>
        <v>14:00</v>
      </c>
      <c r="P3557" s="317" t="str">
        <f t="shared" si="3606"/>
        <v>17:15</v>
      </c>
      <c r="Q3557" s="318">
        <f t="shared" si="3500"/>
        <v>46142.51042</v>
      </c>
      <c r="R3557" s="318">
        <f t="shared" si="3501"/>
        <v>46142.58333</v>
      </c>
      <c r="S3557" s="318">
        <f t="shared" si="8"/>
        <v>46142.71875</v>
      </c>
    </row>
    <row r="3558">
      <c r="A3558" s="14" t="str">
        <f t="shared" si="1"/>
        <v>C128946142</v>
      </c>
      <c r="B3558" s="185" t="str">
        <f t="array" ref="B3558">IF(F3558="VL","",IF(F3558="Free","Free",XLOOKUP(D3558,Roster!T:T,Roster!S:S,"",0)))</f>
        <v/>
      </c>
      <c r="C3558" s="313">
        <v>46142.0</v>
      </c>
      <c r="D3558" s="314" t="s">
        <v>140</v>
      </c>
      <c r="E3558" s="307" t="str">
        <f t="array" ref="E3558">(XLOOKUP(D3558,Roster!F:F,Roster!B:B,"",0))</f>
        <v>Johana Villarreal</v>
      </c>
      <c r="F3558" s="315" t="str">
        <f t="array" ref="F3558">IF(B3558=100,"Free",TEXT(XLOOKUP($D3558,OperationVoice!$A:$A,OperationVoice!AJ:AJ,XLOOKUP($D3558,OperationTickets!$A:$A,OperationTickets!AJ:AJ,"",0)),"hh:mm"))</f>
        <v>07:00</v>
      </c>
      <c r="G3558" s="309">
        <f t="shared" si="3"/>
        <v>0.6666666667</v>
      </c>
      <c r="H3558" s="316" t="str">
        <f t="array" ref="H3558">XLOOKUP(B3558,Roster!L:L,Roster!N:N,XLOOKUP(D3558,TicketsBreak!A:A,TicketsBreak!E:E,"",0),0)</f>
        <v/>
      </c>
      <c r="I3558" s="316" t="str">
        <f t="array" ref="I3558">XLOOKUP(B3558,Roster!L:L,Roster!O:O,XLOOKUP(D3558,TicketsBreak!A:A,TicketsBreak!F:F,"",0),0)</f>
        <v/>
      </c>
      <c r="J3558" s="316" t="str">
        <f t="array" ref="J3558">XLOOKUP(B3558,Roster!L:L,Roster!P:P,XLOOKUP(D3558,TicketsBreak!A:A,TicketsBreak!G:G,"",0),0)</f>
        <v/>
      </c>
      <c r="K3558" s="310">
        <f t="shared" si="4"/>
        <v>46142</v>
      </c>
      <c r="L3558" s="317">
        <f t="array" ref="L3558">(XLOOKUP(D3558,Roster!F:F,Roster!D:D,"",0))</f>
        <v>28</v>
      </c>
      <c r="M3558" s="317" t="str">
        <f t="array" ref="M3558">XLOOKUP(D3558,Roster!F:F,Roster!E:E)</f>
        <v>Tickets</v>
      </c>
      <c r="N3558" s="317" t="str">
        <f t="shared" ref="N3558:P3558" si="3607">LEFT(H3558,5)</f>
        <v/>
      </c>
      <c r="O3558" s="317" t="str">
        <f t="shared" si="3607"/>
        <v/>
      </c>
      <c r="P3558" s="317" t="str">
        <f t="shared" si="3607"/>
        <v/>
      </c>
      <c r="Q3558" s="318" t="str">
        <f t="shared" si="3500"/>
        <v/>
      </c>
      <c r="R3558" s="318" t="str">
        <f t="shared" si="3501"/>
        <v/>
      </c>
      <c r="S3558" s="318" t="str">
        <f t="shared" si="8"/>
        <v/>
      </c>
    </row>
    <row r="3559">
      <c r="A3559" s="14" t="str">
        <f t="shared" si="1"/>
        <v>C155146142</v>
      </c>
      <c r="B3559" s="185">
        <f t="array" ref="B3559">IF(F3559="VL","",IF(F3559="Free","Free",XLOOKUP(D3559,Roster!T:T,Roster!S:S,"",0)))</f>
        <v>124</v>
      </c>
      <c r="C3559" s="313">
        <v>46142.0</v>
      </c>
      <c r="D3559" s="314" t="s">
        <v>39</v>
      </c>
      <c r="E3559" s="307" t="str">
        <f t="array" ref="E3559">(XLOOKUP(D3559,Roster!F:F,Roster!B:B,"",0))</f>
        <v>John Atilano</v>
      </c>
      <c r="F3559" s="315" t="str">
        <f t="array" ref="F3559">IF(B3559=100,"Free",TEXT(XLOOKUP($D3559,OperationVoice!$A:$A,OperationVoice!AJ:AJ,XLOOKUP($D3559,OperationTickets!$A:$A,OperationTickets!AJ:AJ,"",0)),"hh:mm"))</f>
        <v>08:00</v>
      </c>
      <c r="G3559" s="309">
        <f t="shared" si="3"/>
        <v>0.7083333333</v>
      </c>
      <c r="H3559" s="316" t="str">
        <f t="array" ref="H3559">XLOOKUP(B3559,Roster!L:L,Roster!N:N,XLOOKUP(D3559,TicketsBreak!A:A,TicketsBreak!E:E,"",0),0)</f>
        <v>10:00 - 10:15</v>
      </c>
      <c r="I3559" s="316" t="str">
        <f t="array" ref="I3559">XLOOKUP(B3559,Roster!L:L,Roster!O:O,XLOOKUP(D3559,TicketsBreak!A:A,TicketsBreak!F:F,"",0),0)</f>
        <v>13:00 - 13:30</v>
      </c>
      <c r="J3559" s="316" t="str">
        <f t="array" ref="J3559">XLOOKUP(B3559,Roster!L:L,Roster!P:P,XLOOKUP(D3559,TicketsBreak!A:A,TicketsBreak!G:G,"",0),0)</f>
        <v>15:30 - 15:45</v>
      </c>
      <c r="K3559" s="310">
        <f t="shared" si="4"/>
        <v>46142</v>
      </c>
      <c r="L3559" s="317">
        <f t="array" ref="L3559">(XLOOKUP(D3559,Roster!F:F,Roster!D:D,"",0))</f>
        <v>37</v>
      </c>
      <c r="M3559" s="317" t="str">
        <f t="array" ref="M3559">XLOOKUP(D3559,Roster!F:F,Roster!E:E)</f>
        <v>Voice</v>
      </c>
      <c r="N3559" s="317" t="str">
        <f t="shared" ref="N3559:P3559" si="3608">LEFT(H3559,5)</f>
        <v>10:00</v>
      </c>
      <c r="O3559" s="317" t="str">
        <f t="shared" si="3608"/>
        <v>13:00</v>
      </c>
      <c r="P3559" s="317" t="str">
        <f t="shared" si="3608"/>
        <v>15:30</v>
      </c>
      <c r="Q3559" s="318">
        <f t="shared" si="3500"/>
        <v>46142.41667</v>
      </c>
      <c r="R3559" s="318">
        <f t="shared" si="3501"/>
        <v>46142.54167</v>
      </c>
      <c r="S3559" s="318">
        <f t="shared" si="8"/>
        <v>46142.64583</v>
      </c>
    </row>
    <row r="3560">
      <c r="A3560" s="14" t="str">
        <f t="shared" si="1"/>
        <v>C154346142</v>
      </c>
      <c r="B3560" s="185">
        <f t="array" ref="B3560">IF(F3560="VL","",IF(F3560="Free","Free",XLOOKUP(D3560,Roster!T:T,Roster!S:S,"",0)))</f>
        <v>134</v>
      </c>
      <c r="C3560" s="313">
        <v>46142.0</v>
      </c>
      <c r="D3560" s="314" t="s">
        <v>40</v>
      </c>
      <c r="E3560" s="307" t="str">
        <f t="array" ref="E3560">(XLOOKUP(D3560,Roster!F:F,Roster!B:B,"",0))</f>
        <v>John Palacio</v>
      </c>
      <c r="F3560" s="315" t="str">
        <f t="array" ref="F3560">IF(B3560=100,"Free",TEXT(XLOOKUP($D3560,OperationVoice!$A:$A,OperationVoice!AJ:AJ,XLOOKUP($D3560,OperationTickets!$A:$A,OperationTickets!AJ:AJ,"",0)),"hh:mm"))</f>
        <v>09:00</v>
      </c>
      <c r="G3560" s="309">
        <f t="shared" si="3"/>
        <v>0.75</v>
      </c>
      <c r="H3560" s="316" t="str">
        <f t="array" ref="H3560">XLOOKUP(B3560,Roster!L:L,Roster!N:N,XLOOKUP(D3560,TicketsBreak!A:A,TicketsBreak!E:E,"",0),0)</f>
        <v>11:00 - 11:15</v>
      </c>
      <c r="I3560" s="316" t="str">
        <f t="array" ref="I3560">XLOOKUP(B3560,Roster!L:L,Roster!O:O,XLOOKUP(D3560,TicketsBreak!A:A,TicketsBreak!F:F,"",0),0)</f>
        <v>13:45 - 14:15</v>
      </c>
      <c r="J3560" s="316" t="str">
        <f t="array" ref="J3560">XLOOKUP(B3560,Roster!L:L,Roster!P:P,XLOOKUP(D3560,TicketsBreak!A:A,TicketsBreak!G:G,"",0),0)</f>
        <v>16:00 - 16:15</v>
      </c>
      <c r="K3560" s="310">
        <f t="shared" si="4"/>
        <v>46142</v>
      </c>
      <c r="L3560" s="317">
        <f t="array" ref="L3560">(XLOOKUP(D3560,Roster!F:F,Roster!D:D,"",0))</f>
        <v>36</v>
      </c>
      <c r="M3560" s="317" t="str">
        <f t="array" ref="M3560">XLOOKUP(D3560,Roster!F:F,Roster!E:E)</f>
        <v>Voice</v>
      </c>
      <c r="N3560" s="317" t="str">
        <f t="shared" ref="N3560:P3560" si="3609">LEFT(H3560,5)</f>
        <v>11:00</v>
      </c>
      <c r="O3560" s="317" t="str">
        <f t="shared" si="3609"/>
        <v>13:45</v>
      </c>
      <c r="P3560" s="317" t="str">
        <f t="shared" si="3609"/>
        <v>16:00</v>
      </c>
      <c r="Q3560" s="318">
        <f t="shared" si="3500"/>
        <v>46142.45833</v>
      </c>
      <c r="R3560" s="318">
        <f t="shared" si="3501"/>
        <v>46142.57292</v>
      </c>
      <c r="S3560" s="318">
        <f t="shared" si="8"/>
        <v>46142.66667</v>
      </c>
    </row>
    <row r="3561">
      <c r="A3561" s="14" t="str">
        <f t="shared" si="1"/>
        <v>C154246142</v>
      </c>
      <c r="B3561" s="185">
        <f t="array" ref="B3561">IF(F3561="VL","",IF(F3561="Free","Free",XLOOKUP(D3561,Roster!T:T,Roster!S:S,"",0)))</f>
        <v>124</v>
      </c>
      <c r="C3561" s="313">
        <v>46142.0</v>
      </c>
      <c r="D3561" s="314" t="s">
        <v>41</v>
      </c>
      <c r="E3561" s="307" t="str">
        <f t="array" ref="E3561">(XLOOKUP(D3561,Roster!F:F,Roster!B:B,"",0))</f>
        <v>Johny Garcia</v>
      </c>
      <c r="F3561" s="315" t="str">
        <f t="array" ref="F3561">IF(B3561=100,"Free",TEXT(XLOOKUP($D3561,OperationVoice!$A:$A,OperationVoice!AJ:AJ,XLOOKUP($D3561,OperationTickets!$A:$A,OperationTickets!AJ:AJ,"",0)),"hh:mm"))</f>
        <v>08:00</v>
      </c>
      <c r="G3561" s="309">
        <f t="shared" si="3"/>
        <v>0.7083333333</v>
      </c>
      <c r="H3561" s="316" t="str">
        <f t="array" ref="H3561">XLOOKUP(B3561,Roster!L:L,Roster!N:N,XLOOKUP(D3561,TicketsBreak!A:A,TicketsBreak!E:E,"",0),0)</f>
        <v>10:00 - 10:15</v>
      </c>
      <c r="I3561" s="316" t="str">
        <f t="array" ref="I3561">XLOOKUP(B3561,Roster!L:L,Roster!O:O,XLOOKUP(D3561,TicketsBreak!A:A,TicketsBreak!F:F,"",0),0)</f>
        <v>13:00 - 13:30</v>
      </c>
      <c r="J3561" s="316" t="str">
        <f t="array" ref="J3561">XLOOKUP(B3561,Roster!L:L,Roster!P:P,XLOOKUP(D3561,TicketsBreak!A:A,TicketsBreak!G:G,"",0),0)</f>
        <v>15:30 - 15:45</v>
      </c>
      <c r="K3561" s="310">
        <f t="shared" si="4"/>
        <v>46142</v>
      </c>
      <c r="L3561" s="317">
        <f t="array" ref="L3561">(XLOOKUP(D3561,Roster!F:F,Roster!D:D,"",0))</f>
        <v>36</v>
      </c>
      <c r="M3561" s="317" t="str">
        <f t="array" ref="M3561">XLOOKUP(D3561,Roster!F:F,Roster!E:E)</f>
        <v>Voice</v>
      </c>
      <c r="N3561" s="317" t="str">
        <f t="shared" ref="N3561:P3561" si="3610">LEFT(H3561,5)</f>
        <v>10:00</v>
      </c>
      <c r="O3561" s="317" t="str">
        <f t="shared" si="3610"/>
        <v>13:00</v>
      </c>
      <c r="P3561" s="317" t="str">
        <f t="shared" si="3610"/>
        <v>15:30</v>
      </c>
      <c r="Q3561" s="318">
        <f t="shared" si="3500"/>
        <v>46142.41667</v>
      </c>
      <c r="R3561" s="318">
        <f t="shared" si="3501"/>
        <v>46142.54167</v>
      </c>
      <c r="S3561" s="318">
        <f t="shared" si="8"/>
        <v>46142.64583</v>
      </c>
    </row>
    <row r="3562">
      <c r="A3562" s="14" t="str">
        <f t="shared" si="1"/>
        <v>C156946142</v>
      </c>
      <c r="B3562" s="185" t="str">
        <f t="array" ref="B3562">IF(F3562="VL","",IF(F3562="Free","Free",XLOOKUP(D3562,Roster!T:T,Roster!S:S,"",0)))</f>
        <v>Free</v>
      </c>
      <c r="C3562" s="313">
        <v>46142.0</v>
      </c>
      <c r="D3562" s="314" t="s">
        <v>42</v>
      </c>
      <c r="E3562" s="307" t="str">
        <f t="array" ref="E3562">(XLOOKUP(D3562,Roster!F:F,Roster!B:B,"",0))</f>
        <v>Jorge Orozco</v>
      </c>
      <c r="F3562" s="315" t="str">
        <f t="array" ref="F3562">IF(B3562=100,"Free",TEXT(XLOOKUP($D3562,OperationVoice!$A:$A,OperationVoice!AJ:AJ,XLOOKUP($D3562,OperationTickets!$A:$A,OperationTickets!AJ:AJ,"",0)),"hh:mm"))</f>
        <v>Free</v>
      </c>
      <c r="G3562" s="309" t="str">
        <f t="shared" si="3"/>
        <v>Free</v>
      </c>
      <c r="H3562" s="316" t="str">
        <f t="array" ref="H3562">XLOOKUP(B3562,Roster!L:L,Roster!N:N,XLOOKUP(D3562,TicketsBreak!A:A,TicketsBreak!E:E,"",0),0)</f>
        <v/>
      </c>
      <c r="I3562" s="316" t="str">
        <f t="array" ref="I3562">XLOOKUP(B3562,Roster!L:L,Roster!O:O,XLOOKUP(D3562,TicketsBreak!A:A,TicketsBreak!F:F,"",0),0)</f>
        <v/>
      </c>
      <c r="J3562" s="316" t="str">
        <f t="array" ref="J3562">XLOOKUP(B3562,Roster!L:L,Roster!P:P,XLOOKUP(D3562,TicketsBreak!A:A,TicketsBreak!G:G,"",0),0)</f>
        <v/>
      </c>
      <c r="K3562" s="310">
        <f t="shared" si="4"/>
        <v>46142</v>
      </c>
      <c r="L3562" s="317">
        <f t="array" ref="L3562">(XLOOKUP(D3562,Roster!F:F,Roster!D:D,"",0))</f>
        <v>38</v>
      </c>
      <c r="M3562" s="317" t="str">
        <f t="array" ref="M3562">XLOOKUP(D3562,Roster!F:F,Roster!E:E)</f>
        <v>Voice</v>
      </c>
      <c r="N3562" s="317" t="str">
        <f t="shared" ref="N3562:P3562" si="3611">LEFT(H3562,5)</f>
        <v/>
      </c>
      <c r="O3562" s="317" t="str">
        <f t="shared" si="3611"/>
        <v/>
      </c>
      <c r="P3562" s="317" t="str">
        <f t="shared" si="3611"/>
        <v/>
      </c>
      <c r="Q3562" s="318" t="str">
        <f t="shared" si="3500"/>
        <v/>
      </c>
      <c r="R3562" s="318" t="str">
        <f t="shared" si="3501"/>
        <v/>
      </c>
      <c r="S3562" s="318" t="str">
        <f t="shared" si="8"/>
        <v/>
      </c>
    </row>
    <row r="3563">
      <c r="A3563" s="14" t="str">
        <f t="shared" si="1"/>
        <v>C102746142</v>
      </c>
      <c r="B3563" s="185" t="str">
        <f t="array" ref="B3563">IF(F3563="VL","",IF(F3563="Free","Free",XLOOKUP(D3563,Roster!T:T,Roster!S:S,"",0)))</f>
        <v/>
      </c>
      <c r="C3563" s="313">
        <v>46142.0</v>
      </c>
      <c r="D3563" s="314" t="s">
        <v>160</v>
      </c>
      <c r="E3563" s="307" t="str">
        <f t="array" ref="E3563">(XLOOKUP(D3563,Roster!F:F,Roster!B:B,"",0))</f>
        <v>Jose Perez</v>
      </c>
      <c r="F3563" s="315" t="str">
        <f t="array" ref="F3563">IF(B3563=100,"Free",TEXT(XLOOKUP($D3563,OperationVoice!$A:$A,OperationVoice!AJ:AJ,XLOOKUP($D3563,OperationTickets!$A:$A,OperationTickets!AJ:AJ,"",0)),"hh:mm"))</f>
        <v>06:00</v>
      </c>
      <c r="G3563" s="309">
        <f t="shared" si="3"/>
        <v>0.625</v>
      </c>
      <c r="H3563" s="316">
        <f t="array" ref="H3563">XLOOKUP(B3563,Roster!L:L,Roster!N:N,XLOOKUP(D3563,TicketsBreak!A:A,TicketsBreak!E:E,"",0),0)</f>
        <v>0.4166666667</v>
      </c>
      <c r="I3563" s="316">
        <f t="array" ref="I3563">XLOOKUP(B3563,Roster!L:L,Roster!O:O,XLOOKUP(D3563,TicketsBreak!A:A,TicketsBreak!F:F,"",0),0)</f>
        <v>0.5208333333</v>
      </c>
      <c r="J3563" s="316">
        <f t="array" ref="J3563">XLOOKUP(B3563,Roster!L:L,Roster!P:P,XLOOKUP(D3563,TicketsBreak!A:A,TicketsBreak!G:G,"",0),0)</f>
        <v>0.6354166667</v>
      </c>
      <c r="K3563" s="310">
        <f t="shared" si="4"/>
        <v>46142</v>
      </c>
      <c r="L3563" s="317">
        <f t="array" ref="L3563">(XLOOKUP(D3563,Roster!F:F,Roster!D:D,"",0))</f>
        <v>15</v>
      </c>
      <c r="M3563" s="317" t="str">
        <f t="array" ref="M3563">XLOOKUP(D3563,Roster!F:F,Roster!E:E)</f>
        <v>Tickets</v>
      </c>
      <c r="N3563" s="317" t="str">
        <f t="shared" ref="N3563:P3563" si="3612">LEFT(H3563,5)</f>
        <v>10:00</v>
      </c>
      <c r="O3563" s="317" t="str">
        <f t="shared" si="3612"/>
        <v>12:30</v>
      </c>
      <c r="P3563" s="317" t="str">
        <f t="shared" si="3612"/>
        <v>15:15</v>
      </c>
      <c r="Q3563" s="318">
        <f t="shared" si="3500"/>
        <v>46142.41667</v>
      </c>
      <c r="R3563" s="318">
        <f t="shared" si="3501"/>
        <v>46142.52083</v>
      </c>
      <c r="S3563" s="318">
        <f t="shared" si="8"/>
        <v>46142.63542</v>
      </c>
    </row>
    <row r="3564">
      <c r="A3564" s="14" t="str">
        <f t="shared" si="1"/>
        <v>C142646142</v>
      </c>
      <c r="B3564" s="185">
        <f t="array" ref="B3564">IF(F3564="VL","",IF(F3564="Free","Free",XLOOKUP(D3564,Roster!T:T,Roster!S:S,"",0)))</f>
        <v>123</v>
      </c>
      <c r="C3564" s="313">
        <v>46142.0</v>
      </c>
      <c r="D3564" s="314" t="s">
        <v>161</v>
      </c>
      <c r="E3564" s="307" t="str">
        <f t="array" ref="E3564">(XLOOKUP(D3564,Roster!F:F,Roster!B:B,"",0))</f>
        <v>Jose Zapata</v>
      </c>
      <c r="F3564" s="315" t="str">
        <f t="array" ref="F3564">IF(B3564=100,"Free",TEXT(XLOOKUP($D3564,OperationVoice!$A:$A,OperationVoice!AJ:AJ,XLOOKUP($D3564,OperationTickets!$A:$A,OperationTickets!AJ:AJ,"",0)),"hh:mm"))</f>
        <v>08:00</v>
      </c>
      <c r="G3564" s="309">
        <f t="shared" si="3"/>
        <v>0.7083333333</v>
      </c>
      <c r="H3564" s="316" t="str">
        <f t="array" ref="H3564">XLOOKUP(B3564,Roster!L:L,Roster!N:N,XLOOKUP(D3564,TicketsBreak!A:A,TicketsBreak!E:E,"",0),0)</f>
        <v>09:45 - 10:00 </v>
      </c>
      <c r="I3564" s="316" t="str">
        <f t="array" ref="I3564">XLOOKUP(B3564,Roster!L:L,Roster!O:O,XLOOKUP(D3564,TicketsBreak!A:A,TicketsBreak!F:F,"",0),0)</f>
        <v>12:30 - 13:00</v>
      </c>
      <c r="J3564" s="316" t="str">
        <f t="array" ref="J3564">XLOOKUP(B3564,Roster!L:L,Roster!P:P,XLOOKUP(D3564,TicketsBreak!A:A,TicketsBreak!G:G,"",0),0)</f>
        <v>15:00 - 15:15</v>
      </c>
      <c r="K3564" s="310">
        <f t="shared" si="4"/>
        <v>46142</v>
      </c>
      <c r="L3564" s="317">
        <f t="array" ref="L3564">(XLOOKUP(D3564,Roster!F:F,Roster!D:D,"",0))</f>
        <v>32</v>
      </c>
      <c r="M3564" s="317" t="str">
        <f t="array" ref="M3564">XLOOKUP(D3564,Roster!F:F,Roster!E:E)</f>
        <v>Tickets</v>
      </c>
      <c r="N3564" s="317" t="str">
        <f t="shared" ref="N3564:P3564" si="3613">LEFT(H3564,5)</f>
        <v>09:45</v>
      </c>
      <c r="O3564" s="317" t="str">
        <f t="shared" si="3613"/>
        <v>12:30</v>
      </c>
      <c r="P3564" s="317" t="str">
        <f t="shared" si="3613"/>
        <v>15:00</v>
      </c>
      <c r="Q3564" s="318">
        <f t="shared" si="3500"/>
        <v>46142.40625</v>
      </c>
      <c r="R3564" s="318">
        <f t="shared" si="3501"/>
        <v>46142.52083</v>
      </c>
      <c r="S3564" s="318">
        <f t="shared" si="8"/>
        <v>46142.625</v>
      </c>
    </row>
    <row r="3565">
      <c r="A3565" s="14" t="str">
        <f t="shared" si="1"/>
        <v>C153346142</v>
      </c>
      <c r="B3565" s="185">
        <f t="array" ref="B3565">IF(F3565="VL","",IF(F3565="Free","Free",XLOOKUP(D3565,Roster!T:T,Roster!S:S,"",0)))</f>
        <v>125</v>
      </c>
      <c r="C3565" s="313">
        <v>46142.0</v>
      </c>
      <c r="D3565" s="314" t="s">
        <v>43</v>
      </c>
      <c r="E3565" s="307" t="str">
        <f t="array" ref="E3565">(XLOOKUP(D3565,Roster!F:F,Roster!B:B,"",0))</f>
        <v>Juan Barrera</v>
      </c>
      <c r="F3565" s="315" t="str">
        <f t="array" ref="F3565">IF(B3565=100,"Free",TEXT(XLOOKUP($D3565,OperationVoice!$A:$A,OperationVoice!AJ:AJ,XLOOKUP($D3565,OperationTickets!$A:$A,OperationTickets!AJ:AJ,"",0)),"hh:mm"))</f>
        <v>08:00</v>
      </c>
      <c r="G3565" s="309">
        <f t="shared" si="3"/>
        <v>0.7083333333</v>
      </c>
      <c r="H3565" s="316" t="str">
        <f t="array" ref="H3565">XLOOKUP(B3565,Roster!L:L,Roster!N:N,XLOOKUP(D3565,TicketsBreak!A:A,TicketsBreak!E:E,"",0),0)</f>
        <v>10:30 - 10:45</v>
      </c>
      <c r="I3565" s="316" t="str">
        <f t="array" ref="I3565">XLOOKUP(B3565,Roster!L:L,Roster!O:O,XLOOKUP(D3565,TicketsBreak!A:A,TicketsBreak!F:F,"",0),0)</f>
        <v>13:30 - 14:00</v>
      </c>
      <c r="J3565" s="316" t="str">
        <f t="array" ref="J3565">XLOOKUP(B3565,Roster!L:L,Roster!P:P,XLOOKUP(D3565,TicketsBreak!A:A,TicketsBreak!G:G,"",0),0)</f>
        <v>15:45 - 16:00</v>
      </c>
      <c r="K3565" s="310">
        <f t="shared" si="4"/>
        <v>46142</v>
      </c>
      <c r="L3565" s="317">
        <f t="array" ref="L3565">(XLOOKUP(D3565,Roster!F:F,Roster!D:D,"",0))</f>
        <v>36</v>
      </c>
      <c r="M3565" s="317" t="str">
        <f t="array" ref="M3565">XLOOKUP(D3565,Roster!F:F,Roster!E:E)</f>
        <v>Voice</v>
      </c>
      <c r="N3565" s="317" t="str">
        <f t="shared" ref="N3565:P3565" si="3614">LEFT(H3565,5)</f>
        <v>10:30</v>
      </c>
      <c r="O3565" s="317" t="str">
        <f t="shared" si="3614"/>
        <v>13:30</v>
      </c>
      <c r="P3565" s="317" t="str">
        <f t="shared" si="3614"/>
        <v>15:45</v>
      </c>
      <c r="Q3565" s="318">
        <f t="shared" si="3500"/>
        <v>46142.4375</v>
      </c>
      <c r="R3565" s="318">
        <f t="shared" si="3501"/>
        <v>46142.5625</v>
      </c>
      <c r="S3565" s="318">
        <f t="shared" si="8"/>
        <v>46142.65625</v>
      </c>
    </row>
    <row r="3566">
      <c r="A3566" s="14" t="str">
        <f t="shared" si="1"/>
        <v>C146546142</v>
      </c>
      <c r="B3566" s="185">
        <f t="array" ref="B3566">IF(F3566="VL","",IF(F3566="Free","Free",XLOOKUP(D3566,Roster!T:T,Roster!S:S,"",0)))</f>
        <v>500</v>
      </c>
      <c r="C3566" s="313">
        <v>46142.0</v>
      </c>
      <c r="D3566" s="314" t="s">
        <v>44</v>
      </c>
      <c r="E3566" s="307" t="str">
        <f t="array" ref="E3566">(XLOOKUP(D3566,Roster!F:F,Roster!B:B,"",0))</f>
        <v>Juan Castilla</v>
      </c>
      <c r="F3566" s="315" t="str">
        <f t="array" ref="F3566">IF(B3566=100,"Free",TEXT(XLOOKUP($D3566,OperationVoice!$A:$A,OperationVoice!AJ:AJ,XLOOKUP($D3566,OperationTickets!$A:$A,OperationTickets!AJ:AJ,"",0)),"hh:mm"))</f>
        <v>08:00</v>
      </c>
      <c r="G3566" s="309">
        <f t="shared" si="3"/>
        <v>0.7083333333</v>
      </c>
      <c r="H3566" s="316" t="str">
        <f t="array" ref="H3566">XLOOKUP(B3566,Roster!L:L,Roster!N:N,XLOOKUP(D3566,TicketsBreak!A:A,TicketsBreak!E:E,"",0),0)</f>
        <v>Team Leader</v>
      </c>
      <c r="I3566" s="316" t="str">
        <f t="array" ref="I3566">XLOOKUP(B3566,Roster!L:L,Roster!O:O,XLOOKUP(D3566,TicketsBreak!A:A,TicketsBreak!F:F,"",0),0)</f>
        <v>Team Leader</v>
      </c>
      <c r="J3566" s="316" t="str">
        <f t="array" ref="J3566">XLOOKUP(B3566,Roster!L:L,Roster!P:P,XLOOKUP(D3566,TicketsBreak!A:A,TicketsBreak!G:G,"",0),0)</f>
        <v/>
      </c>
      <c r="K3566" s="310">
        <f t="shared" si="4"/>
        <v>46142</v>
      </c>
      <c r="L3566" s="317">
        <f t="array" ref="L3566">(XLOOKUP(D3566,Roster!F:F,Roster!D:D,"",0))</f>
        <v>33</v>
      </c>
      <c r="M3566" s="317" t="str">
        <f t="array" ref="M3566">XLOOKUP(D3566,Roster!F:F,Roster!E:E)</f>
        <v>Voice</v>
      </c>
      <c r="N3566" s="317" t="str">
        <f t="shared" ref="N3566:P3566" si="3615">LEFT(H3566,5)</f>
        <v>Team </v>
      </c>
      <c r="O3566" s="317" t="str">
        <f t="shared" si="3615"/>
        <v>Team </v>
      </c>
      <c r="P3566" s="317" t="str">
        <f t="shared" si="3615"/>
        <v/>
      </c>
      <c r="Q3566" s="318" t="str">
        <f t="shared" si="3500"/>
        <v>#VALUE!</v>
      </c>
      <c r="R3566" s="318" t="str">
        <f t="shared" si="3501"/>
        <v>#VALUE!</v>
      </c>
      <c r="S3566" s="318" t="str">
        <f t="shared" si="8"/>
        <v/>
      </c>
    </row>
    <row r="3567">
      <c r="A3567" s="14" t="str">
        <f t="shared" si="1"/>
        <v>C72046142</v>
      </c>
      <c r="B3567" s="185" t="str">
        <f t="array" ref="B3567">IF(F3567="VL","",IF(F3567="Free","Free",XLOOKUP(D3567,Roster!T:T,Roster!S:S,"",0)))</f>
        <v/>
      </c>
      <c r="C3567" s="313">
        <v>46142.0</v>
      </c>
      <c r="D3567" s="314" t="s">
        <v>162</v>
      </c>
      <c r="E3567" s="307" t="str">
        <f t="array" ref="E3567">(XLOOKUP(D3567,Roster!F:F,Roster!B:B,"",0))</f>
        <v>Juan Durango</v>
      </c>
      <c r="F3567" s="315" t="str">
        <f t="array" ref="F3567">IF(B3567=100,"Free",TEXT(XLOOKUP($D3567,OperationVoice!$A:$A,OperationVoice!AJ:AJ,XLOOKUP($D3567,OperationTickets!$A:$A,OperationTickets!AJ:AJ,"",0)),"hh:mm"))</f>
        <v>08:00</v>
      </c>
      <c r="G3567" s="309">
        <f t="shared" si="3"/>
        <v>0.7083333333</v>
      </c>
      <c r="H3567" s="316">
        <f t="array" ref="H3567">XLOOKUP(B3567,Roster!L:L,Roster!N:N,XLOOKUP(D3567,TicketsBreak!A:A,TicketsBreak!E:E,"",0),0)</f>
        <v>0.40625</v>
      </c>
      <c r="I3567" s="316">
        <f t="array" ref="I3567">XLOOKUP(B3567,Roster!L:L,Roster!O:O,XLOOKUP(D3567,TicketsBreak!A:A,TicketsBreak!F:F,"",0),0)</f>
        <v>0.5729166667</v>
      </c>
      <c r="J3567" s="316">
        <f t="array" ref="J3567">XLOOKUP(B3567,Roster!L:L,Roster!P:P,XLOOKUP(D3567,TicketsBreak!A:A,TicketsBreak!G:G,"",0),0)</f>
        <v>0.65625</v>
      </c>
      <c r="K3567" s="310">
        <f t="shared" si="4"/>
        <v>46142</v>
      </c>
      <c r="L3567" s="317">
        <f t="array" ref="L3567">(XLOOKUP(D3567,Roster!F:F,Roster!D:D,"",0))</f>
        <v>7</v>
      </c>
      <c r="M3567" s="317" t="str">
        <f t="array" ref="M3567">XLOOKUP(D3567,Roster!F:F,Roster!E:E)</f>
        <v>Tickets</v>
      </c>
      <c r="N3567" s="317" t="str">
        <f t="shared" ref="N3567:P3567" si="3616">LEFT(H3567,5)</f>
        <v>09:45</v>
      </c>
      <c r="O3567" s="317" t="str">
        <f t="shared" si="3616"/>
        <v>13:45</v>
      </c>
      <c r="P3567" s="317" t="str">
        <f t="shared" si="3616"/>
        <v>15:45</v>
      </c>
      <c r="Q3567" s="318">
        <f t="shared" si="3500"/>
        <v>46142.40625</v>
      </c>
      <c r="R3567" s="318">
        <f t="shared" si="3501"/>
        <v>46142.57292</v>
      </c>
      <c r="S3567" s="318">
        <f t="shared" si="8"/>
        <v>46142.65625</v>
      </c>
    </row>
    <row r="3568">
      <c r="A3568" s="14" t="str">
        <f t="shared" si="1"/>
        <v>C59846142</v>
      </c>
      <c r="B3568" s="185" t="str">
        <f t="array" ref="B3568">IF(F3568="VL","",IF(F3568="Free","Free",XLOOKUP(D3568,Roster!T:T,Roster!S:S,"",0)))</f>
        <v/>
      </c>
      <c r="C3568" s="313">
        <v>46142.0</v>
      </c>
      <c r="D3568" s="314" t="s">
        <v>314</v>
      </c>
      <c r="E3568" s="307" t="str">
        <f t="array" ref="E3568">(XLOOKUP(D3568,Roster!F:F,Roster!B:B,"",0))</f>
        <v>Juan Fonnegra</v>
      </c>
      <c r="F3568" s="315" t="str">
        <f t="array" ref="F3568">IF(B3568=100,"Free",TEXT(XLOOKUP($D3568,OperationVoice!$A:$A,OperationVoice!AJ:AJ,XLOOKUP($D3568,OperationTickets!$A:$A,OperationTickets!AJ:AJ,"",0)),"hh:mm"))</f>
        <v/>
      </c>
      <c r="G3568" s="309" t="str">
        <f t="shared" si="3"/>
        <v/>
      </c>
      <c r="H3568" s="316">
        <f t="array" ref="H3568">XLOOKUP(B3568,Roster!L:L,Roster!N:N,XLOOKUP(D3568,TicketsBreak!A:A,TicketsBreak!E:E,"",0),0)</f>
        <v>0.4166666667</v>
      </c>
      <c r="I3568" s="316">
        <f t="array" ref="I3568">XLOOKUP(B3568,Roster!L:L,Roster!O:O,XLOOKUP(D3568,TicketsBreak!A:A,TicketsBreak!F:F,"",0),0)</f>
        <v>0.5208333333</v>
      </c>
      <c r="J3568" s="316">
        <f t="array" ref="J3568">XLOOKUP(B3568,Roster!L:L,Roster!P:P,XLOOKUP(D3568,TicketsBreak!A:A,TicketsBreak!G:G,"",0),0)</f>
        <v>0.65625</v>
      </c>
      <c r="K3568" s="310">
        <f t="shared" si="4"/>
        <v>46142</v>
      </c>
      <c r="L3568" s="317">
        <f t="array" ref="L3568">(XLOOKUP(D3568,Roster!F:F,Roster!D:D,"",0))</f>
        <v>1</v>
      </c>
      <c r="M3568" s="317" t="str">
        <f t="array" ref="M3568">XLOOKUP(D3568,Roster!F:F,Roster!E:E)</f>
        <v>Tickets</v>
      </c>
      <c r="N3568" s="317" t="str">
        <f t="shared" ref="N3568:P3568" si="3617">LEFT(H3568,5)</f>
        <v>10:00</v>
      </c>
      <c r="O3568" s="317" t="str">
        <f t="shared" si="3617"/>
        <v>12:30</v>
      </c>
      <c r="P3568" s="317" t="str">
        <f t="shared" si="3617"/>
        <v>15:45</v>
      </c>
      <c r="Q3568" s="318">
        <f t="shared" si="3500"/>
        <v>46142.41667</v>
      </c>
      <c r="R3568" s="318">
        <f t="shared" si="3501"/>
        <v>46142.52083</v>
      </c>
      <c r="S3568" s="318">
        <f t="shared" si="8"/>
        <v>46142.65625</v>
      </c>
    </row>
    <row r="3569">
      <c r="A3569" s="14" t="str">
        <f t="shared" si="1"/>
        <v>C113946142</v>
      </c>
      <c r="B3569" s="185">
        <f t="array" ref="B3569">IF(F3569="VL","",IF(F3569="Free","Free",XLOOKUP(D3569,Roster!T:T,Roster!S:S,"",0)))</f>
        <v>125</v>
      </c>
      <c r="C3569" s="313">
        <v>46142.0</v>
      </c>
      <c r="D3569" s="314" t="s">
        <v>45</v>
      </c>
      <c r="E3569" s="307" t="str">
        <f t="array" ref="E3569">(XLOOKUP(D3569,Roster!F:F,Roster!B:B,"",0))</f>
        <v>Juan Largacha</v>
      </c>
      <c r="F3569" s="315" t="str">
        <f t="array" ref="F3569">IF(B3569=100,"Free",TEXT(XLOOKUP($D3569,OperationVoice!$A:$A,OperationVoice!AJ:AJ,XLOOKUP($D3569,OperationTickets!$A:$A,OperationTickets!AJ:AJ,"",0)),"hh:mm"))</f>
        <v>08:00</v>
      </c>
      <c r="G3569" s="309">
        <f t="shared" si="3"/>
        <v>0.7083333333</v>
      </c>
      <c r="H3569" s="316" t="str">
        <f t="array" ref="H3569">XLOOKUP(B3569,Roster!L:L,Roster!N:N,XLOOKUP(D3569,TicketsBreak!A:A,TicketsBreak!E:E,"",0),0)</f>
        <v>10:30 - 10:45</v>
      </c>
      <c r="I3569" s="316" t="str">
        <f t="array" ref="I3569">XLOOKUP(B3569,Roster!L:L,Roster!O:O,XLOOKUP(D3569,TicketsBreak!A:A,TicketsBreak!F:F,"",0),0)</f>
        <v>13:30 - 14:00</v>
      </c>
      <c r="J3569" s="316" t="str">
        <f t="array" ref="J3569">XLOOKUP(B3569,Roster!L:L,Roster!P:P,XLOOKUP(D3569,TicketsBreak!A:A,TicketsBreak!G:G,"",0),0)</f>
        <v>15:45 - 16:00</v>
      </c>
      <c r="K3569" s="310">
        <f t="shared" si="4"/>
        <v>46142</v>
      </c>
      <c r="L3569" s="317">
        <f t="array" ref="L3569">(XLOOKUP(D3569,Roster!F:F,Roster!D:D,"",0))</f>
        <v>22</v>
      </c>
      <c r="M3569" s="317" t="str">
        <f t="array" ref="M3569">XLOOKUP(D3569,Roster!F:F,Roster!E:E)</f>
        <v>Voice</v>
      </c>
      <c r="N3569" s="317" t="str">
        <f t="shared" ref="N3569:P3569" si="3618">LEFT(H3569,5)</f>
        <v>10:30</v>
      </c>
      <c r="O3569" s="317" t="str">
        <f t="shared" si="3618"/>
        <v>13:30</v>
      </c>
      <c r="P3569" s="317" t="str">
        <f t="shared" si="3618"/>
        <v>15:45</v>
      </c>
      <c r="Q3569" s="318">
        <f t="shared" si="3500"/>
        <v>46142.4375</v>
      </c>
      <c r="R3569" s="318">
        <f t="shared" si="3501"/>
        <v>46142.5625</v>
      </c>
      <c r="S3569" s="318">
        <f t="shared" si="8"/>
        <v>46142.65625</v>
      </c>
    </row>
    <row r="3570">
      <c r="A3570" s="14" t="str">
        <f t="shared" si="1"/>
        <v>C156646142</v>
      </c>
      <c r="B3570" s="185">
        <f t="array" ref="B3570">IF(F3570="VL","",IF(F3570="Free","Free",XLOOKUP(D3570,Roster!T:T,Roster!S:S,"",0)))</f>
        <v>124</v>
      </c>
      <c r="C3570" s="313">
        <v>46142.0</v>
      </c>
      <c r="D3570" s="314" t="s">
        <v>46</v>
      </c>
      <c r="E3570" s="307" t="str">
        <f t="array" ref="E3570">(XLOOKUP(D3570,Roster!F:F,Roster!B:B,"",0))</f>
        <v>Juan Ocampo</v>
      </c>
      <c r="F3570" s="315" t="str">
        <f t="array" ref="F3570">IF(B3570=100,"Free",TEXT(XLOOKUP($D3570,OperationVoice!$A:$A,OperationVoice!AJ:AJ,XLOOKUP($D3570,OperationTickets!$A:$A,OperationTickets!AJ:AJ,"",0)),"hh:mm"))</f>
        <v>08:00</v>
      </c>
      <c r="G3570" s="309">
        <f t="shared" si="3"/>
        <v>0.7083333333</v>
      </c>
      <c r="H3570" s="316" t="str">
        <f t="array" ref="H3570">XLOOKUP(B3570,Roster!L:L,Roster!N:N,XLOOKUP(D3570,TicketsBreak!A:A,TicketsBreak!E:E,"",0),0)</f>
        <v>10:00 - 10:15</v>
      </c>
      <c r="I3570" s="316" t="str">
        <f t="array" ref="I3570">XLOOKUP(B3570,Roster!L:L,Roster!O:O,XLOOKUP(D3570,TicketsBreak!A:A,TicketsBreak!F:F,"",0),0)</f>
        <v>13:00 - 13:30</v>
      </c>
      <c r="J3570" s="316" t="str">
        <f t="array" ref="J3570">XLOOKUP(B3570,Roster!L:L,Roster!P:P,XLOOKUP(D3570,TicketsBreak!A:A,TicketsBreak!G:G,"",0),0)</f>
        <v>15:30 - 15:45</v>
      </c>
      <c r="K3570" s="310">
        <f t="shared" si="4"/>
        <v>46142</v>
      </c>
      <c r="L3570" s="317">
        <f t="array" ref="L3570">(XLOOKUP(D3570,Roster!F:F,Roster!D:D,"",0))</f>
        <v>38</v>
      </c>
      <c r="M3570" s="317" t="str">
        <f t="array" ref="M3570">XLOOKUP(D3570,Roster!F:F,Roster!E:E)</f>
        <v>Voice</v>
      </c>
      <c r="N3570" s="317" t="str">
        <f t="shared" ref="N3570:P3570" si="3619">LEFT(H3570,5)</f>
        <v>10:00</v>
      </c>
      <c r="O3570" s="317" t="str">
        <f t="shared" si="3619"/>
        <v>13:00</v>
      </c>
      <c r="P3570" s="317" t="str">
        <f t="shared" si="3619"/>
        <v>15:30</v>
      </c>
      <c r="Q3570" s="318">
        <f t="shared" si="3500"/>
        <v>46142.41667</v>
      </c>
      <c r="R3570" s="318">
        <f t="shared" si="3501"/>
        <v>46142.54167</v>
      </c>
      <c r="S3570" s="318">
        <f t="shared" si="8"/>
        <v>46142.64583</v>
      </c>
    </row>
    <row r="3571">
      <c r="A3571" s="14" t="str">
        <f t="shared" si="1"/>
        <v>C148446142</v>
      </c>
      <c r="B3571" s="185">
        <f t="array" ref="B3571">IF(F3571="VL","",IF(F3571="Free","Free",XLOOKUP(D3571,Roster!T:T,Roster!S:S,"",0)))</f>
        <v>126</v>
      </c>
      <c r="C3571" s="313">
        <v>46142.0</v>
      </c>
      <c r="D3571" s="314" t="s">
        <v>141</v>
      </c>
      <c r="E3571" s="307" t="str">
        <f t="array" ref="E3571">(XLOOKUP(D3571,Roster!F:F,Roster!B:B,"",0))</f>
        <v>Juan Ospina</v>
      </c>
      <c r="F3571" s="315" t="str">
        <f t="array" ref="F3571">IF(B3571=100,"Free",TEXT(XLOOKUP($D3571,OperationVoice!$A:$A,OperationVoice!AJ:AJ,XLOOKUP($D3571,OperationTickets!$A:$A,OperationTickets!AJ:AJ,"",0)),"hh:mm"))</f>
        <v>08:00</v>
      </c>
      <c r="G3571" s="309">
        <f t="shared" si="3"/>
        <v>0.7083333333</v>
      </c>
      <c r="H3571" s="316" t="str">
        <f t="array" ref="H3571">XLOOKUP(B3571,Roster!L:L,Roster!N:N,XLOOKUP(D3571,TicketsBreak!A:A,TicketsBreak!E:E,"",0),0)</f>
        <v>10:45 - 11:00</v>
      </c>
      <c r="I3571" s="316" t="str">
        <f t="array" ref="I3571">XLOOKUP(B3571,Roster!L:L,Roster!O:O,XLOOKUP(D3571,TicketsBreak!A:A,TicketsBreak!F:F,"",0),0)</f>
        <v>14:00 - 14:30</v>
      </c>
      <c r="J3571" s="316" t="str">
        <f t="array" ref="J3571">XLOOKUP(B3571,Roster!L:L,Roster!P:P,XLOOKUP(D3571,TicketsBreak!A:A,TicketsBreak!G:G,"",0),0)</f>
        <v>15:45 - 16:00</v>
      </c>
      <c r="K3571" s="310">
        <f t="shared" si="4"/>
        <v>46142</v>
      </c>
      <c r="L3571" s="317">
        <f t="array" ref="L3571">(XLOOKUP(D3571,Roster!F:F,Roster!D:D,"",0))</f>
        <v>34</v>
      </c>
      <c r="M3571" s="317" t="str">
        <f t="array" ref="M3571">XLOOKUP(D3571,Roster!F:F,Roster!E:E)</f>
        <v>Tickets</v>
      </c>
      <c r="N3571" s="317" t="str">
        <f t="shared" ref="N3571:P3571" si="3620">LEFT(H3571,5)</f>
        <v>10:45</v>
      </c>
      <c r="O3571" s="317" t="str">
        <f t="shared" si="3620"/>
        <v>14:00</v>
      </c>
      <c r="P3571" s="317" t="str">
        <f t="shared" si="3620"/>
        <v>15:45</v>
      </c>
      <c r="Q3571" s="318">
        <f t="shared" si="3500"/>
        <v>46142.44792</v>
      </c>
      <c r="R3571" s="318">
        <f t="shared" si="3501"/>
        <v>46142.58333</v>
      </c>
      <c r="S3571" s="318">
        <f t="shared" si="8"/>
        <v>46142.65625</v>
      </c>
    </row>
    <row r="3572">
      <c r="A3572" s="14" t="str">
        <f t="shared" si="1"/>
        <v>C141346142</v>
      </c>
      <c r="B3572" s="185">
        <f t="array" ref="B3572">IF(F3572="VL","",IF(F3572="Free","Free",XLOOKUP(D3572,Roster!T:T,Roster!S:S,"",0)))</f>
        <v>121</v>
      </c>
      <c r="C3572" s="313">
        <v>46142.0</v>
      </c>
      <c r="D3572" s="314" t="s">
        <v>47</v>
      </c>
      <c r="E3572" s="307" t="str">
        <f t="array" ref="E3572">(XLOOKUP(D3572,Roster!F:F,Roster!B:B,"",0))</f>
        <v>Juan Parra</v>
      </c>
      <c r="F3572" s="315" t="str">
        <f t="array" ref="F3572">IF(B3572=100,"Free",TEXT(XLOOKUP($D3572,OperationVoice!$A:$A,OperationVoice!AJ:AJ,XLOOKUP($D3572,OperationTickets!$A:$A,OperationTickets!AJ:AJ,"",0)),"hh:mm"))</f>
        <v>08:00</v>
      </c>
      <c r="G3572" s="309">
        <f t="shared" si="3"/>
        <v>0.7083333333</v>
      </c>
      <c r="H3572" s="316" t="str">
        <f t="array" ref="H3572">XLOOKUP(B3572,Roster!L:L,Roster!N:N,XLOOKUP(D3572,TicketsBreak!A:A,TicketsBreak!E:E,"",0),0)</f>
        <v>09:15 - 09:30</v>
      </c>
      <c r="I3572" s="316" t="str">
        <f t="array" ref="I3572">XLOOKUP(B3572,Roster!L:L,Roster!O:O,XLOOKUP(D3572,TicketsBreak!A:A,TicketsBreak!F:F,"",0),0)</f>
        <v>11:30 - 12:00</v>
      </c>
      <c r="J3572" s="316" t="str">
        <f t="array" ref="J3572">XLOOKUP(B3572,Roster!L:L,Roster!P:P,XLOOKUP(D3572,TicketsBreak!A:A,TicketsBreak!G:G,"",0),0)</f>
        <v>14:30 - 14:45</v>
      </c>
      <c r="K3572" s="310">
        <f t="shared" si="4"/>
        <v>46142</v>
      </c>
      <c r="L3572" s="317">
        <f t="array" ref="L3572">(XLOOKUP(D3572,Roster!F:F,Roster!D:D,"",0))</f>
        <v>32</v>
      </c>
      <c r="M3572" s="317" t="str">
        <f t="array" ref="M3572">XLOOKUP(D3572,Roster!F:F,Roster!E:E)</f>
        <v>Voice</v>
      </c>
      <c r="N3572" s="317" t="str">
        <f t="shared" ref="N3572:P3572" si="3621">LEFT(H3572,5)</f>
        <v>09:15</v>
      </c>
      <c r="O3572" s="317" t="str">
        <f t="shared" si="3621"/>
        <v>11:30</v>
      </c>
      <c r="P3572" s="317" t="str">
        <f t="shared" si="3621"/>
        <v>14:30</v>
      </c>
      <c r="Q3572" s="318">
        <f t="shared" si="3500"/>
        <v>46142.38542</v>
      </c>
      <c r="R3572" s="318">
        <f t="shared" si="3501"/>
        <v>46142.47917</v>
      </c>
      <c r="S3572" s="318">
        <f t="shared" si="8"/>
        <v>46142.60417</v>
      </c>
    </row>
    <row r="3573">
      <c r="A3573" s="14" t="str">
        <f t="shared" si="1"/>
        <v>C132746142</v>
      </c>
      <c r="B3573" s="185" t="str">
        <f t="array" ref="B3573">IF(F3573="VL","",IF(F3573="Free","Free",XLOOKUP(D3573,Roster!T:T,Roster!S:S,"",0)))</f>
        <v/>
      </c>
      <c r="C3573" s="313">
        <v>46142.0</v>
      </c>
      <c r="D3573" s="314" t="s">
        <v>163</v>
      </c>
      <c r="E3573" s="307" t="str">
        <f t="array" ref="E3573">(XLOOKUP(D3573,Roster!F:F,Roster!B:B,"",0))</f>
        <v>Juan Restrepo</v>
      </c>
      <c r="F3573" s="315" t="str">
        <f t="array" ref="F3573">IF(B3573=100,"Free",TEXT(XLOOKUP($D3573,OperationVoice!$A:$A,OperationVoice!AJ:AJ,XLOOKUP($D3573,OperationTickets!$A:$A,OperationTickets!AJ:AJ,"",0)),"hh:mm"))</f>
        <v>07:00</v>
      </c>
      <c r="G3573" s="309">
        <f t="shared" si="3"/>
        <v>0.6666666667</v>
      </c>
      <c r="H3573" s="316" t="str">
        <f t="array" ref="H3573">XLOOKUP(B3573,Roster!L:L,Roster!N:N,XLOOKUP(D3573,TicketsBreak!A:A,TicketsBreak!E:E,"",0),0)</f>
        <v/>
      </c>
      <c r="I3573" s="316" t="str">
        <f t="array" ref="I3573">XLOOKUP(B3573,Roster!L:L,Roster!O:O,XLOOKUP(D3573,TicketsBreak!A:A,TicketsBreak!F:F,"",0),0)</f>
        <v/>
      </c>
      <c r="J3573" s="316" t="str">
        <f t="array" ref="J3573">XLOOKUP(B3573,Roster!L:L,Roster!P:P,XLOOKUP(D3573,TicketsBreak!A:A,TicketsBreak!G:G,"",0),0)</f>
        <v/>
      </c>
      <c r="K3573" s="310">
        <f t="shared" si="4"/>
        <v>46142</v>
      </c>
      <c r="L3573" s="317">
        <f t="array" ref="L3573">(XLOOKUP(D3573,Roster!F:F,Roster!D:D,"",0))</f>
        <v>29</v>
      </c>
      <c r="M3573" s="317" t="str">
        <f t="array" ref="M3573">XLOOKUP(D3573,Roster!F:F,Roster!E:E)</f>
        <v>Tickets</v>
      </c>
      <c r="N3573" s="317" t="str">
        <f t="shared" ref="N3573:P3573" si="3622">LEFT(H3573,5)</f>
        <v/>
      </c>
      <c r="O3573" s="317" t="str">
        <f t="shared" si="3622"/>
        <v/>
      </c>
      <c r="P3573" s="317" t="str">
        <f t="shared" si="3622"/>
        <v/>
      </c>
      <c r="Q3573" s="318" t="str">
        <f t="shared" si="3500"/>
        <v/>
      </c>
      <c r="R3573" s="318" t="str">
        <f t="shared" si="3501"/>
        <v/>
      </c>
      <c r="S3573" s="318" t="str">
        <f t="shared" si="8"/>
        <v/>
      </c>
    </row>
    <row r="3574">
      <c r="A3574" s="14" t="str">
        <f t="shared" si="1"/>
        <v>C146946142</v>
      </c>
      <c r="B3574" s="185">
        <f t="array" ref="B3574">IF(F3574="VL","",IF(F3574="Free","Free",XLOOKUP(D3574,Roster!T:T,Roster!S:S,"",0)))</f>
        <v>122</v>
      </c>
      <c r="C3574" s="313">
        <v>46142.0</v>
      </c>
      <c r="D3574" s="314" t="s">
        <v>48</v>
      </c>
      <c r="E3574" s="307" t="str">
        <f t="array" ref="E3574">(XLOOKUP(D3574,Roster!F:F,Roster!B:B,"",0))</f>
        <v>Juan Restrepo Restrepo</v>
      </c>
      <c r="F3574" s="315" t="str">
        <f t="array" ref="F3574">IF(B3574=100,"Free",TEXT(XLOOKUP($D3574,OperationVoice!$A:$A,OperationVoice!AJ:AJ,XLOOKUP($D3574,OperationTickets!$A:$A,OperationTickets!AJ:AJ,"",0)),"hh:mm"))</f>
        <v>08:00</v>
      </c>
      <c r="G3574" s="309">
        <f t="shared" si="3"/>
        <v>0.7083333333</v>
      </c>
      <c r="H3574" s="316" t="str">
        <f t="array" ref="H3574">XLOOKUP(B3574,Roster!L:L,Roster!N:N,XLOOKUP(D3574,TicketsBreak!A:A,TicketsBreak!E:E,"",0),0)</f>
        <v>09:30 - 09:45</v>
      </c>
      <c r="I3574" s="316" t="str">
        <f t="array" ref="I3574">XLOOKUP(B3574,Roster!L:L,Roster!O:O,XLOOKUP(D3574,TicketsBreak!A:A,TicketsBreak!F:F,"",0),0)</f>
        <v>12:00 - 12:30</v>
      </c>
      <c r="J3574" s="316" t="str">
        <f t="array" ref="J3574">XLOOKUP(B3574,Roster!L:L,Roster!P:P,XLOOKUP(D3574,TicketsBreak!A:A,TicketsBreak!G:G,"",0),0)</f>
        <v>14:45 - 15:00</v>
      </c>
      <c r="K3574" s="310">
        <f t="shared" si="4"/>
        <v>46142</v>
      </c>
      <c r="L3574" s="317">
        <f t="array" ref="L3574">(XLOOKUP(D3574,Roster!F:F,Roster!D:D,"",0))</f>
        <v>33</v>
      </c>
      <c r="M3574" s="317" t="str">
        <f t="array" ref="M3574">XLOOKUP(D3574,Roster!F:F,Roster!E:E)</f>
        <v>Voice</v>
      </c>
      <c r="N3574" s="317" t="str">
        <f t="shared" ref="N3574:P3574" si="3623">LEFT(H3574,5)</f>
        <v>09:30</v>
      </c>
      <c r="O3574" s="317" t="str">
        <f t="shared" si="3623"/>
        <v>12:00</v>
      </c>
      <c r="P3574" s="317" t="str">
        <f t="shared" si="3623"/>
        <v>14:45</v>
      </c>
      <c r="Q3574" s="318">
        <f t="shared" si="3500"/>
        <v>46142.39583</v>
      </c>
      <c r="R3574" s="318">
        <f t="shared" si="3501"/>
        <v>46142.5</v>
      </c>
      <c r="S3574" s="318">
        <f t="shared" si="8"/>
        <v>46142.61458</v>
      </c>
    </row>
    <row r="3575">
      <c r="A3575" s="14" t="str">
        <f t="shared" si="1"/>
        <v>C117146142</v>
      </c>
      <c r="B3575" s="185" t="str">
        <f t="array" ref="B3575">IF(F3575="VL","",IF(F3575="Free","Free",XLOOKUP(D3575,Roster!T:T,Roster!S:S,"",0)))</f>
        <v>Free</v>
      </c>
      <c r="C3575" s="313">
        <v>46142.0</v>
      </c>
      <c r="D3575" s="314" t="s">
        <v>142</v>
      </c>
      <c r="E3575" s="307" t="str">
        <f t="array" ref="E3575">(XLOOKUP(D3575,Roster!F:F,Roster!B:B,"",0))</f>
        <v>Juan Sanchez</v>
      </c>
      <c r="F3575" s="315" t="str">
        <f t="array" ref="F3575">IF(B3575=100,"Free",TEXT(XLOOKUP($D3575,OperationVoice!$A:$A,OperationVoice!AJ:AJ,XLOOKUP($D3575,OperationTickets!$A:$A,OperationTickets!AJ:AJ,"",0)),"hh:mm"))</f>
        <v>Free</v>
      </c>
      <c r="G3575" s="309" t="str">
        <f t="shared" si="3"/>
        <v>Free</v>
      </c>
      <c r="H3575" s="316" t="str">
        <f t="array" ref="H3575">XLOOKUP(B3575,Roster!L:L,Roster!N:N,XLOOKUP(D3575,TicketsBreak!A:A,TicketsBreak!E:E,"",0),0)</f>
        <v/>
      </c>
      <c r="I3575" s="316" t="str">
        <f t="array" ref="I3575">XLOOKUP(B3575,Roster!L:L,Roster!O:O,XLOOKUP(D3575,TicketsBreak!A:A,TicketsBreak!F:F,"",0),0)</f>
        <v/>
      </c>
      <c r="J3575" s="316" t="str">
        <f t="array" ref="J3575">XLOOKUP(B3575,Roster!L:L,Roster!P:P,XLOOKUP(D3575,TicketsBreak!A:A,TicketsBreak!G:G,"",0),0)</f>
        <v/>
      </c>
      <c r="K3575" s="310">
        <f t="shared" si="4"/>
        <v>46142</v>
      </c>
      <c r="L3575" s="317">
        <f t="array" ref="L3575">(XLOOKUP(D3575,Roster!F:F,Roster!D:D,"",0))</f>
        <v>24</v>
      </c>
      <c r="M3575" s="317" t="str">
        <f t="array" ref="M3575">XLOOKUP(D3575,Roster!F:F,Roster!E:E)</f>
        <v>Tickets</v>
      </c>
      <c r="N3575" s="317" t="str">
        <f t="shared" ref="N3575:P3575" si="3624">LEFT(H3575,5)</f>
        <v/>
      </c>
      <c r="O3575" s="317" t="str">
        <f t="shared" si="3624"/>
        <v/>
      </c>
      <c r="P3575" s="317" t="str">
        <f t="shared" si="3624"/>
        <v/>
      </c>
      <c r="Q3575" s="318" t="str">
        <f t="shared" si="3500"/>
        <v/>
      </c>
      <c r="R3575" s="318" t="str">
        <f t="shared" si="3501"/>
        <v/>
      </c>
      <c r="S3575" s="318" t="str">
        <f t="shared" si="8"/>
        <v/>
      </c>
    </row>
    <row r="3576">
      <c r="A3576" s="14" t="str">
        <f t="shared" si="1"/>
        <v>C74346142</v>
      </c>
      <c r="B3576" s="185" t="str">
        <f t="array" ref="B3576">IF(F3576="VL","",IF(F3576="Free","Free",XLOOKUP(D3576,Roster!T:T,Roster!S:S,"",0)))</f>
        <v/>
      </c>
      <c r="C3576" s="313">
        <v>46142.0</v>
      </c>
      <c r="D3576" s="314" t="s">
        <v>164</v>
      </c>
      <c r="E3576" s="307" t="str">
        <f t="array" ref="E3576">(XLOOKUP(D3576,Roster!F:F,Roster!B:B,"",0))</f>
        <v>Juan Suarez</v>
      </c>
      <c r="F3576" s="315" t="str">
        <f t="array" ref="F3576">IF(B3576=100,"Free",TEXT(XLOOKUP($D3576,OperationVoice!$A:$A,OperationVoice!AJ:AJ,XLOOKUP($D3576,OperationTickets!$A:$A,OperationTickets!AJ:AJ,"",0)),"hh:mm"))</f>
        <v>08:30</v>
      </c>
      <c r="G3576" s="309">
        <f t="shared" si="3"/>
        <v>0.7291666667</v>
      </c>
      <c r="H3576" s="316">
        <f t="array" ref="H3576">XLOOKUP(B3576,Roster!L:L,Roster!N:N,XLOOKUP(D3576,TicketsBreak!A:A,TicketsBreak!E:E,"",0),0)</f>
        <v>0.3958333333</v>
      </c>
      <c r="I3576" s="316">
        <f t="array" ref="I3576">XLOOKUP(B3576,Roster!L:L,Roster!O:O,XLOOKUP(D3576,TicketsBreak!A:A,TicketsBreak!F:F,"",0),0)</f>
        <v>0.5208333333</v>
      </c>
      <c r="J3576" s="316">
        <f t="array" ref="J3576">XLOOKUP(B3576,Roster!L:L,Roster!P:P,XLOOKUP(D3576,TicketsBreak!A:A,TicketsBreak!G:G,"",0),0)</f>
        <v>0.6145833333</v>
      </c>
      <c r="K3576" s="310">
        <f t="shared" si="4"/>
        <v>46142</v>
      </c>
      <c r="L3576" s="317">
        <f t="array" ref="L3576">(XLOOKUP(D3576,Roster!F:F,Roster!D:D,"",0))</f>
        <v>8</v>
      </c>
      <c r="M3576" s="317" t="str">
        <f t="array" ref="M3576">XLOOKUP(D3576,Roster!F:F,Roster!E:E)</f>
        <v>Tickets</v>
      </c>
      <c r="N3576" s="317" t="str">
        <f t="shared" ref="N3576:P3576" si="3625">LEFT(H3576,5)</f>
        <v>09:30</v>
      </c>
      <c r="O3576" s="317" t="str">
        <f t="shared" si="3625"/>
        <v>12:30</v>
      </c>
      <c r="P3576" s="317" t="str">
        <f t="shared" si="3625"/>
        <v>14:45</v>
      </c>
      <c r="Q3576" s="318">
        <f t="shared" si="3500"/>
        <v>46142.39583</v>
      </c>
      <c r="R3576" s="318">
        <f t="shared" si="3501"/>
        <v>46142.52083</v>
      </c>
      <c r="S3576" s="318">
        <f t="shared" si="8"/>
        <v>46142.61458</v>
      </c>
    </row>
    <row r="3577">
      <c r="A3577" s="14" t="str">
        <f t="shared" si="1"/>
        <v>C156846142</v>
      </c>
      <c r="B3577" s="185">
        <f t="array" ref="B3577">IF(F3577="VL","",IF(F3577="Free","Free",XLOOKUP(D3577,Roster!T:T,Roster!S:S,"",0)))</f>
        <v>122</v>
      </c>
      <c r="C3577" s="313">
        <v>46142.0</v>
      </c>
      <c r="D3577" s="314" t="s">
        <v>49</v>
      </c>
      <c r="E3577" s="307" t="str">
        <f t="array" ref="E3577">(XLOOKUP(D3577,Roster!F:F,Roster!B:B,"",0))</f>
        <v>Juan Zapata</v>
      </c>
      <c r="F3577" s="315" t="str">
        <f t="array" ref="F3577">IF(B3577=100,"Free",TEXT(XLOOKUP($D3577,OperationVoice!$A:$A,OperationVoice!AJ:AJ,XLOOKUP($D3577,OperationTickets!$A:$A,OperationTickets!AJ:AJ,"",0)),"hh:mm"))</f>
        <v>08:00</v>
      </c>
      <c r="G3577" s="309">
        <f t="shared" si="3"/>
        <v>0.7083333333</v>
      </c>
      <c r="H3577" s="316" t="str">
        <f t="array" ref="H3577">XLOOKUP(B3577,Roster!L:L,Roster!N:N,XLOOKUP(D3577,TicketsBreak!A:A,TicketsBreak!E:E,"",0),0)</f>
        <v>09:30 - 09:45</v>
      </c>
      <c r="I3577" s="316" t="str">
        <f t="array" ref="I3577">XLOOKUP(B3577,Roster!L:L,Roster!O:O,XLOOKUP(D3577,TicketsBreak!A:A,TicketsBreak!F:F,"",0),0)</f>
        <v>12:00 - 12:30</v>
      </c>
      <c r="J3577" s="316" t="str">
        <f t="array" ref="J3577">XLOOKUP(B3577,Roster!L:L,Roster!P:P,XLOOKUP(D3577,TicketsBreak!A:A,TicketsBreak!G:G,"",0),0)</f>
        <v>14:45 - 15:00</v>
      </c>
      <c r="K3577" s="310">
        <f t="shared" si="4"/>
        <v>46142</v>
      </c>
      <c r="L3577" s="317">
        <f t="array" ref="L3577">(XLOOKUP(D3577,Roster!F:F,Roster!D:D,"",0))</f>
        <v>38</v>
      </c>
      <c r="M3577" s="317" t="str">
        <f t="array" ref="M3577">XLOOKUP(D3577,Roster!F:F,Roster!E:E)</f>
        <v>Voice</v>
      </c>
      <c r="N3577" s="317" t="str">
        <f t="shared" ref="N3577:P3577" si="3626">LEFT(H3577,5)</f>
        <v>09:30</v>
      </c>
      <c r="O3577" s="317" t="str">
        <f t="shared" si="3626"/>
        <v>12:00</v>
      </c>
      <c r="P3577" s="317" t="str">
        <f t="shared" si="3626"/>
        <v>14:45</v>
      </c>
      <c r="Q3577" s="318">
        <f t="shared" si="3500"/>
        <v>46142.39583</v>
      </c>
      <c r="R3577" s="318">
        <f t="shared" si="3501"/>
        <v>46142.5</v>
      </c>
      <c r="S3577" s="318">
        <f t="shared" si="8"/>
        <v>46142.61458</v>
      </c>
    </row>
    <row r="3578">
      <c r="A3578" s="14" t="str">
        <f t="shared" si="1"/>
        <v>C75546142</v>
      </c>
      <c r="B3578" s="185" t="str">
        <f t="array" ref="B3578">IF(F3578="VL","",IF(F3578="Free","Free",XLOOKUP(D3578,Roster!T:T,Roster!S:S,"",0)))</f>
        <v/>
      </c>
      <c r="C3578" s="313">
        <v>46142.0</v>
      </c>
      <c r="D3578" s="314" t="s">
        <v>143</v>
      </c>
      <c r="E3578" s="307" t="str">
        <f t="array" ref="E3578">(XLOOKUP(D3578,Roster!F:F,Roster!B:B,"",0))</f>
        <v>Julian Higuita</v>
      </c>
      <c r="F3578" s="315" t="str">
        <f t="array" ref="F3578">IF(B3578=100,"Free",TEXT(XLOOKUP($D3578,OperationVoice!$A:$A,OperationVoice!AJ:AJ,XLOOKUP($D3578,OperationTickets!$A:$A,OperationTickets!AJ:AJ,"",0)),"hh:mm"))</f>
        <v>10:00</v>
      </c>
      <c r="G3578" s="309">
        <f t="shared" si="3"/>
        <v>0.7916666667</v>
      </c>
      <c r="H3578" s="316" t="str">
        <f t="array" ref="H3578">XLOOKUP(B3578,Roster!L:L,Roster!N:N,XLOOKUP(D3578,TicketsBreak!A:A,TicketsBreak!E:E,"",0),0)</f>
        <v/>
      </c>
      <c r="I3578" s="316" t="str">
        <f t="array" ref="I3578">XLOOKUP(B3578,Roster!L:L,Roster!O:O,XLOOKUP(D3578,TicketsBreak!A:A,TicketsBreak!F:F,"",0),0)</f>
        <v/>
      </c>
      <c r="J3578" s="316" t="str">
        <f t="array" ref="J3578">XLOOKUP(B3578,Roster!L:L,Roster!P:P,XLOOKUP(D3578,TicketsBreak!A:A,TicketsBreak!G:G,"",0),0)</f>
        <v/>
      </c>
      <c r="K3578" s="310">
        <f t="shared" si="4"/>
        <v>46142</v>
      </c>
      <c r="L3578" s="317">
        <f t="array" ref="L3578">(XLOOKUP(D3578,Roster!F:F,Roster!D:D,"",0))</f>
        <v>35</v>
      </c>
      <c r="M3578" s="317" t="str">
        <f t="array" ref="M3578">XLOOKUP(D3578,Roster!F:F,Roster!E:E)</f>
        <v>Tickets</v>
      </c>
      <c r="N3578" s="317" t="str">
        <f t="shared" ref="N3578:P3578" si="3627">LEFT(H3578,5)</f>
        <v/>
      </c>
      <c r="O3578" s="317" t="str">
        <f t="shared" si="3627"/>
        <v/>
      </c>
      <c r="P3578" s="317" t="str">
        <f t="shared" si="3627"/>
        <v/>
      </c>
      <c r="Q3578" s="318" t="str">
        <f t="shared" si="3500"/>
        <v/>
      </c>
      <c r="R3578" s="318" t="str">
        <f t="shared" si="3501"/>
        <v/>
      </c>
      <c r="S3578" s="318" t="str">
        <f t="shared" si="8"/>
        <v/>
      </c>
    </row>
    <row r="3579">
      <c r="A3579" s="14" t="str">
        <f t="shared" si="1"/>
        <v>C52546142</v>
      </c>
      <c r="B3579" s="185" t="str">
        <f t="array" ref="B3579">IF(F3579="VL","",IF(F3579="Free","Free",XLOOKUP(D3579,Roster!T:T,Roster!S:S,"",0)))</f>
        <v/>
      </c>
      <c r="C3579" s="313">
        <v>46142.0</v>
      </c>
      <c r="D3579" s="314" t="s">
        <v>176</v>
      </c>
      <c r="E3579" s="307" t="str">
        <f t="array" ref="E3579">(XLOOKUP(D3579,Roster!F:F,Roster!B:B,"",0))</f>
        <v>Julian Pineda</v>
      </c>
      <c r="F3579" s="315" t="str">
        <f t="array" ref="F3579">IF(B3579=100,"Free",TEXT(XLOOKUP($D3579,OperationVoice!$A:$A,OperationVoice!AJ:AJ,XLOOKUP($D3579,OperationTickets!$A:$A,OperationTickets!AJ:AJ,"",0)),"hh:mm"))</f>
        <v>08:00</v>
      </c>
      <c r="G3579" s="309">
        <f t="shared" si="3"/>
        <v>0.7083333333</v>
      </c>
      <c r="H3579" s="316" t="str">
        <f t="array" ref="H3579">XLOOKUP(B3579,Roster!L:L,Roster!N:N,XLOOKUP(D3579,TicketsBreak!A:A,TicketsBreak!E:E,"",0),0)</f>
        <v/>
      </c>
      <c r="I3579" s="316" t="str">
        <f t="array" ref="I3579">XLOOKUP(B3579,Roster!L:L,Roster!O:O,XLOOKUP(D3579,TicketsBreak!A:A,TicketsBreak!F:F,"",0),0)</f>
        <v/>
      </c>
      <c r="J3579" s="316" t="str">
        <f t="array" ref="J3579">XLOOKUP(B3579,Roster!L:L,Roster!P:P,XLOOKUP(D3579,TicketsBreak!A:A,TicketsBreak!G:G,"",0),0)</f>
        <v/>
      </c>
      <c r="K3579" s="310">
        <f t="shared" si="4"/>
        <v>46142</v>
      </c>
      <c r="L3579" s="317">
        <f t="array" ref="L3579">(XLOOKUP(D3579,Roster!F:F,Roster!D:D,"",0))</f>
        <v>35</v>
      </c>
      <c r="M3579" s="317" t="str">
        <f t="array" ref="M3579">XLOOKUP(D3579,Roster!F:F,Roster!E:E)</f>
        <v>Tickets</v>
      </c>
      <c r="N3579" s="317" t="str">
        <f t="shared" ref="N3579:P3579" si="3628">LEFT(H3579,5)</f>
        <v/>
      </c>
      <c r="O3579" s="317" t="str">
        <f t="shared" si="3628"/>
        <v/>
      </c>
      <c r="P3579" s="317" t="str">
        <f t="shared" si="3628"/>
        <v/>
      </c>
      <c r="Q3579" s="318" t="str">
        <f t="shared" si="3500"/>
        <v/>
      </c>
      <c r="R3579" s="318" t="str">
        <f t="shared" si="3501"/>
        <v/>
      </c>
      <c r="S3579" s="318" t="str">
        <f t="shared" si="8"/>
        <v/>
      </c>
    </row>
    <row r="3580">
      <c r="A3580" s="14" t="str">
        <f t="shared" si="1"/>
        <v>C142746142</v>
      </c>
      <c r="B3580" s="185">
        <f t="array" ref="B3580">IF(F3580="VL","",IF(F3580="Free","Free",XLOOKUP(D3580,Roster!T:T,Roster!S:S,"",0)))</f>
        <v>123</v>
      </c>
      <c r="C3580" s="313">
        <v>46142.0</v>
      </c>
      <c r="D3580" s="314" t="s">
        <v>50</v>
      </c>
      <c r="E3580" s="307" t="str">
        <f t="array" ref="E3580">(XLOOKUP(D3580,Roster!F:F,Roster!B:B,"",0))</f>
        <v>Karen Lorena Martinez</v>
      </c>
      <c r="F3580" s="315" t="str">
        <f t="array" ref="F3580">IF(B3580=100,"Free",TEXT(XLOOKUP($D3580,OperationVoice!$A:$A,OperationVoice!AJ:AJ,XLOOKUP($D3580,OperationTickets!$A:$A,OperationTickets!AJ:AJ,"",0)),"hh:mm"))</f>
        <v>08:00</v>
      </c>
      <c r="G3580" s="309">
        <f t="shared" si="3"/>
        <v>0.7083333333</v>
      </c>
      <c r="H3580" s="316" t="str">
        <f t="array" ref="H3580">XLOOKUP(B3580,Roster!L:L,Roster!N:N,XLOOKUP(D3580,TicketsBreak!A:A,TicketsBreak!E:E,"",0),0)</f>
        <v>09:45 - 10:00 </v>
      </c>
      <c r="I3580" s="316" t="str">
        <f t="array" ref="I3580">XLOOKUP(B3580,Roster!L:L,Roster!O:O,XLOOKUP(D3580,TicketsBreak!A:A,TicketsBreak!F:F,"",0),0)</f>
        <v>12:30 - 13:00</v>
      </c>
      <c r="J3580" s="316" t="str">
        <f t="array" ref="J3580">XLOOKUP(B3580,Roster!L:L,Roster!P:P,XLOOKUP(D3580,TicketsBreak!A:A,TicketsBreak!G:G,"",0),0)</f>
        <v>15:00 - 15:15</v>
      </c>
      <c r="K3580" s="310">
        <f t="shared" si="4"/>
        <v>46142</v>
      </c>
      <c r="L3580" s="317">
        <f t="array" ref="L3580">(XLOOKUP(D3580,Roster!F:F,Roster!D:D,"",0))</f>
        <v>32</v>
      </c>
      <c r="M3580" s="317" t="str">
        <f t="array" ref="M3580">XLOOKUP(D3580,Roster!F:F,Roster!E:E)</f>
        <v>Voice</v>
      </c>
      <c r="N3580" s="317" t="str">
        <f t="shared" ref="N3580:P3580" si="3629">LEFT(H3580,5)</f>
        <v>09:45</v>
      </c>
      <c r="O3580" s="317" t="str">
        <f t="shared" si="3629"/>
        <v>12:30</v>
      </c>
      <c r="P3580" s="317" t="str">
        <f t="shared" si="3629"/>
        <v>15:00</v>
      </c>
      <c r="Q3580" s="318">
        <f t="shared" si="3500"/>
        <v>46142.40625</v>
      </c>
      <c r="R3580" s="318">
        <f t="shared" si="3501"/>
        <v>46142.52083</v>
      </c>
      <c r="S3580" s="318">
        <f t="shared" si="8"/>
        <v>46142.625</v>
      </c>
    </row>
    <row r="3581">
      <c r="A3581" s="14" t="str">
        <f t="shared" si="1"/>
        <v>C57946142</v>
      </c>
      <c r="B3581" s="185" t="str">
        <f t="array" ref="B3581">IF(F3581="VL","",IF(F3581="Free","Free",XLOOKUP(D3581,Roster!T:T,Roster!S:S,"",0)))</f>
        <v>Free</v>
      </c>
      <c r="C3581" s="313">
        <v>46142.0</v>
      </c>
      <c r="D3581" s="314" t="s">
        <v>144</v>
      </c>
      <c r="E3581" s="307" t="str">
        <f t="array" ref="E3581">(XLOOKUP(D3581,Roster!F:F,Roster!B:B,"",0))</f>
        <v>Karen Martinez</v>
      </c>
      <c r="F3581" s="315" t="str">
        <f t="array" ref="F3581">IF(B3581=100,"Free",TEXT(XLOOKUP($D3581,OperationVoice!$A:$A,OperationVoice!AJ:AJ,XLOOKUP($D3581,OperationTickets!$A:$A,OperationTickets!AJ:AJ,"",0)),"hh:mm"))</f>
        <v>Free</v>
      </c>
      <c r="G3581" s="309" t="str">
        <f t="shared" si="3"/>
        <v>Free</v>
      </c>
      <c r="H3581" s="316">
        <f t="array" ref="H3581">XLOOKUP(B3581,Roster!L:L,Roster!N:N,XLOOKUP(D3581,TicketsBreak!A:A,TicketsBreak!E:E,"",0),0)</f>
        <v>0.4166666667</v>
      </c>
      <c r="I3581" s="316">
        <f t="array" ref="I3581">XLOOKUP(B3581,Roster!L:L,Roster!O:O,XLOOKUP(D3581,TicketsBreak!A:A,TicketsBreak!F:F,"",0),0)</f>
        <v>0.5</v>
      </c>
      <c r="J3581" s="316">
        <f t="array" ref="J3581">XLOOKUP(B3581,Roster!L:L,Roster!P:P,XLOOKUP(D3581,TicketsBreak!A:A,TicketsBreak!G:G,"",0),0)</f>
        <v>0.625</v>
      </c>
      <c r="K3581" s="310">
        <f t="shared" si="4"/>
        <v>46142</v>
      </c>
      <c r="L3581" s="317">
        <f t="array" ref="L3581">(XLOOKUP(D3581,Roster!F:F,Roster!D:D,"",0))</f>
        <v>4</v>
      </c>
      <c r="M3581" s="317" t="str">
        <f t="array" ref="M3581">XLOOKUP(D3581,Roster!F:F,Roster!E:E)</f>
        <v>Tickets</v>
      </c>
      <c r="N3581" s="317" t="str">
        <f t="shared" ref="N3581:P3581" si="3630">LEFT(H3581,5)</f>
        <v>10:00</v>
      </c>
      <c r="O3581" s="317" t="str">
        <f t="shared" si="3630"/>
        <v>12:00</v>
      </c>
      <c r="P3581" s="317" t="str">
        <f t="shared" si="3630"/>
        <v>15:00</v>
      </c>
      <c r="Q3581" s="318">
        <f t="shared" si="3500"/>
        <v>46142.41667</v>
      </c>
      <c r="R3581" s="318">
        <f t="shared" si="3501"/>
        <v>46142.5</v>
      </c>
      <c r="S3581" s="318">
        <f t="shared" si="8"/>
        <v>46142.625</v>
      </c>
    </row>
    <row r="3582">
      <c r="A3582" s="14" t="str">
        <f t="shared" si="1"/>
        <v>C108646142</v>
      </c>
      <c r="B3582" s="185">
        <f t="array" ref="B3582">IF(F3582="VL","",IF(F3582="Free","Free",XLOOKUP(D3582,Roster!T:T,Roster!S:S,"",0)))</f>
        <v>124</v>
      </c>
      <c r="C3582" s="313">
        <v>46142.0</v>
      </c>
      <c r="D3582" s="314" t="s">
        <v>51</v>
      </c>
      <c r="E3582" s="307" t="str">
        <f t="array" ref="E3582">(XLOOKUP(D3582,Roster!F:F,Roster!B:B,"",0))</f>
        <v>Karen Panqueva</v>
      </c>
      <c r="F3582" s="315" t="str">
        <f t="array" ref="F3582">IF(B3582=100,"Free",TEXT(XLOOKUP($D3582,OperationVoice!$A:$A,OperationVoice!AJ:AJ,XLOOKUP($D3582,OperationTickets!$A:$A,OperationTickets!AJ:AJ,"",0)),"hh:mm"))</f>
        <v>08:00</v>
      </c>
      <c r="G3582" s="309">
        <f t="shared" si="3"/>
        <v>0.7083333333</v>
      </c>
      <c r="H3582" s="316" t="str">
        <f t="array" ref="H3582">XLOOKUP(B3582,Roster!L:L,Roster!N:N,XLOOKUP(D3582,TicketsBreak!A:A,TicketsBreak!E:E,"",0),0)</f>
        <v>10:00 - 10:15</v>
      </c>
      <c r="I3582" s="316" t="str">
        <f t="array" ref="I3582">XLOOKUP(B3582,Roster!L:L,Roster!O:O,XLOOKUP(D3582,TicketsBreak!A:A,TicketsBreak!F:F,"",0),0)</f>
        <v>13:00 - 13:30</v>
      </c>
      <c r="J3582" s="316" t="str">
        <f t="array" ref="J3582">XLOOKUP(B3582,Roster!L:L,Roster!P:P,XLOOKUP(D3582,TicketsBreak!A:A,TicketsBreak!G:G,"",0),0)</f>
        <v>15:30 - 15:45</v>
      </c>
      <c r="K3582" s="310">
        <f t="shared" si="4"/>
        <v>46142</v>
      </c>
      <c r="L3582" s="317">
        <f t="array" ref="L3582">(XLOOKUP(D3582,Roster!F:F,Roster!D:D,"",0))</f>
        <v>19</v>
      </c>
      <c r="M3582" s="317" t="str">
        <f t="array" ref="M3582">XLOOKUP(D3582,Roster!F:F,Roster!E:E)</f>
        <v>Voice</v>
      </c>
      <c r="N3582" s="317" t="str">
        <f t="shared" ref="N3582:P3582" si="3631">LEFT(H3582,5)</f>
        <v>10:00</v>
      </c>
      <c r="O3582" s="317" t="str">
        <f t="shared" si="3631"/>
        <v>13:00</v>
      </c>
      <c r="P3582" s="317" t="str">
        <f t="shared" si="3631"/>
        <v>15:30</v>
      </c>
      <c r="Q3582" s="318">
        <f t="shared" si="3500"/>
        <v>46142.41667</v>
      </c>
      <c r="R3582" s="318">
        <f t="shared" si="3501"/>
        <v>46142.54167</v>
      </c>
      <c r="S3582" s="318">
        <f t="shared" si="8"/>
        <v>46142.64583</v>
      </c>
    </row>
    <row r="3583">
      <c r="A3583" s="14" t="str">
        <f t="shared" si="1"/>
        <v>C149246142</v>
      </c>
      <c r="B3583" s="185">
        <f t="array" ref="B3583">IF(F3583="VL","",IF(F3583="Free","Free",XLOOKUP(D3583,Roster!T:T,Roster!S:S,"",0)))</f>
        <v>125</v>
      </c>
      <c r="C3583" s="313">
        <v>46142.0</v>
      </c>
      <c r="D3583" s="314" t="s">
        <v>52</v>
      </c>
      <c r="E3583" s="307" t="str">
        <f t="array" ref="E3583">(XLOOKUP(D3583,Roster!F:F,Roster!B:B,"",0))</f>
        <v>Karol Pineda</v>
      </c>
      <c r="F3583" s="315" t="str">
        <f t="array" ref="F3583">IF(B3583=100,"Free",TEXT(XLOOKUP($D3583,OperationVoice!$A:$A,OperationVoice!AJ:AJ,XLOOKUP($D3583,OperationTickets!$A:$A,OperationTickets!AJ:AJ,"",0)),"hh:mm"))</f>
        <v>08:00</v>
      </c>
      <c r="G3583" s="309">
        <f t="shared" si="3"/>
        <v>0.7083333333</v>
      </c>
      <c r="H3583" s="316" t="str">
        <f t="array" ref="H3583">XLOOKUP(B3583,Roster!L:L,Roster!N:N,XLOOKUP(D3583,TicketsBreak!A:A,TicketsBreak!E:E,"",0),0)</f>
        <v>10:30 - 10:45</v>
      </c>
      <c r="I3583" s="316" t="str">
        <f t="array" ref="I3583">XLOOKUP(B3583,Roster!L:L,Roster!O:O,XLOOKUP(D3583,TicketsBreak!A:A,TicketsBreak!F:F,"",0),0)</f>
        <v>13:30 - 14:00</v>
      </c>
      <c r="J3583" s="316" t="str">
        <f t="array" ref="J3583">XLOOKUP(B3583,Roster!L:L,Roster!P:P,XLOOKUP(D3583,TicketsBreak!A:A,TicketsBreak!G:G,"",0),0)</f>
        <v>15:45 - 16:00</v>
      </c>
      <c r="K3583" s="310">
        <f t="shared" si="4"/>
        <v>46142</v>
      </c>
      <c r="L3583" s="317">
        <f t="array" ref="L3583">(XLOOKUP(D3583,Roster!F:F,Roster!D:D,"",0))</f>
        <v>34</v>
      </c>
      <c r="M3583" s="317" t="str">
        <f t="array" ref="M3583">XLOOKUP(D3583,Roster!F:F,Roster!E:E)</f>
        <v>Voice</v>
      </c>
      <c r="N3583" s="317" t="str">
        <f t="shared" ref="N3583:P3583" si="3632">LEFT(H3583,5)</f>
        <v>10:30</v>
      </c>
      <c r="O3583" s="317" t="str">
        <f t="shared" si="3632"/>
        <v>13:30</v>
      </c>
      <c r="P3583" s="317" t="str">
        <f t="shared" si="3632"/>
        <v>15:45</v>
      </c>
      <c r="Q3583" s="318">
        <f t="shared" si="3500"/>
        <v>46142.4375</v>
      </c>
      <c r="R3583" s="318">
        <f t="shared" si="3501"/>
        <v>46142.5625</v>
      </c>
      <c r="S3583" s="318">
        <f t="shared" si="8"/>
        <v>46142.65625</v>
      </c>
    </row>
    <row r="3584">
      <c r="A3584" s="14" t="str">
        <f t="shared" si="1"/>
        <v>C65846142</v>
      </c>
      <c r="B3584" s="185">
        <f t="array" ref="B3584">IF(F3584="VL","",IF(F3584="Free","Free",XLOOKUP(D3584,Roster!T:T,Roster!S:S,"",0)))</f>
        <v>112</v>
      </c>
      <c r="C3584" s="313">
        <v>46142.0</v>
      </c>
      <c r="D3584" s="314" t="s">
        <v>53</v>
      </c>
      <c r="E3584" s="307" t="str">
        <f t="array" ref="E3584">(XLOOKUP(D3584,Roster!F:F,Roster!B:B,"",0))</f>
        <v>Kennedy Giraldo</v>
      </c>
      <c r="F3584" s="315" t="str">
        <f t="array" ref="F3584">IF(B3584=100,"Free",TEXT(XLOOKUP($D3584,OperationVoice!$A:$A,OperationVoice!AJ:AJ,XLOOKUP($D3584,OperationTickets!$A:$A,OperationTickets!AJ:AJ,"",0)),"hh:mm"))</f>
        <v>07:00</v>
      </c>
      <c r="G3584" s="309">
        <f t="shared" si="3"/>
        <v>0.6666666667</v>
      </c>
      <c r="H3584" s="316" t="str">
        <f t="array" ref="H3584">XLOOKUP(B3584,Roster!L:L,Roster!N:N,XLOOKUP(D3584,TicketsBreak!A:A,TicketsBreak!E:E,"",0),0)</f>
        <v>09:30 - 09:45</v>
      </c>
      <c r="I3584" s="316" t="str">
        <f t="array" ref="I3584">XLOOKUP(B3584,Roster!L:L,Roster!O:O,XLOOKUP(D3584,TicketsBreak!A:A,TicketsBreak!F:F,"",0),0)</f>
        <v>12:15 - 12:45</v>
      </c>
      <c r="J3584" s="316" t="str">
        <f t="array" ref="J3584">XLOOKUP(B3584,Roster!L:L,Roster!P:P,XLOOKUP(D3584,TicketsBreak!A:A,TicketsBreak!G:G,"",0),0)</f>
        <v>14:45 - 15:00</v>
      </c>
      <c r="K3584" s="310">
        <f t="shared" si="4"/>
        <v>46142</v>
      </c>
      <c r="L3584" s="317">
        <f t="array" ref="L3584">(XLOOKUP(D3584,Roster!F:F,Roster!D:D,"",0))</f>
        <v>2</v>
      </c>
      <c r="M3584" s="317" t="str">
        <f t="array" ref="M3584">XLOOKUP(D3584,Roster!F:F,Roster!E:E)</f>
        <v>Voice</v>
      </c>
      <c r="N3584" s="317" t="str">
        <f t="shared" ref="N3584:P3584" si="3633">LEFT(H3584,5)</f>
        <v>09:30</v>
      </c>
      <c r="O3584" s="317" t="str">
        <f t="shared" si="3633"/>
        <v>12:15</v>
      </c>
      <c r="P3584" s="317" t="str">
        <f t="shared" si="3633"/>
        <v>14:45</v>
      </c>
      <c r="Q3584" s="318">
        <f t="shared" si="3500"/>
        <v>46142.39583</v>
      </c>
      <c r="R3584" s="318">
        <f t="shared" si="3501"/>
        <v>46142.51042</v>
      </c>
      <c r="S3584" s="318">
        <f t="shared" si="8"/>
        <v>46142.61458</v>
      </c>
    </row>
    <row r="3585">
      <c r="A3585" s="14" t="str">
        <f t="shared" si="1"/>
        <v>C151446142</v>
      </c>
      <c r="B3585" s="185">
        <f t="array" ref="B3585">IF(F3585="VL","",IF(F3585="Free","Free",XLOOKUP(D3585,Roster!T:T,Roster!S:S,"",0)))</f>
        <v>122</v>
      </c>
      <c r="C3585" s="313">
        <v>46142.0</v>
      </c>
      <c r="D3585" s="314" t="s">
        <v>54</v>
      </c>
      <c r="E3585" s="307" t="str">
        <f t="array" ref="E3585">(XLOOKUP(D3585,Roster!F:F,Roster!B:B,"",0))</f>
        <v>Kevin Betancur</v>
      </c>
      <c r="F3585" s="315" t="str">
        <f t="array" ref="F3585">IF(B3585=100,"Free",TEXT(XLOOKUP($D3585,OperationVoice!$A:$A,OperationVoice!AJ:AJ,XLOOKUP($D3585,OperationTickets!$A:$A,OperationTickets!AJ:AJ,"",0)),"hh:mm"))</f>
        <v>08:00</v>
      </c>
      <c r="G3585" s="309">
        <f t="shared" si="3"/>
        <v>0.7083333333</v>
      </c>
      <c r="H3585" s="316" t="str">
        <f t="array" ref="H3585">XLOOKUP(B3585,Roster!L:L,Roster!N:N,XLOOKUP(D3585,TicketsBreak!A:A,TicketsBreak!E:E,"",0),0)</f>
        <v>09:30 - 09:45</v>
      </c>
      <c r="I3585" s="316" t="str">
        <f t="array" ref="I3585">XLOOKUP(B3585,Roster!L:L,Roster!O:O,XLOOKUP(D3585,TicketsBreak!A:A,TicketsBreak!F:F,"",0),0)</f>
        <v>12:00 - 12:30</v>
      </c>
      <c r="J3585" s="316" t="str">
        <f t="array" ref="J3585">XLOOKUP(B3585,Roster!L:L,Roster!P:P,XLOOKUP(D3585,TicketsBreak!A:A,TicketsBreak!G:G,"",0),0)</f>
        <v>14:45 - 15:00</v>
      </c>
      <c r="K3585" s="310">
        <f t="shared" si="4"/>
        <v>46142</v>
      </c>
      <c r="L3585" s="317">
        <f t="array" ref="L3585">(XLOOKUP(D3585,Roster!F:F,Roster!D:D,"",0))</f>
        <v>35</v>
      </c>
      <c r="M3585" s="317" t="str">
        <f t="array" ref="M3585">XLOOKUP(D3585,Roster!F:F,Roster!E:E)</f>
        <v>Voice</v>
      </c>
      <c r="N3585" s="317" t="str">
        <f t="shared" ref="N3585:P3585" si="3634">LEFT(H3585,5)</f>
        <v>09:30</v>
      </c>
      <c r="O3585" s="317" t="str">
        <f t="shared" si="3634"/>
        <v>12:00</v>
      </c>
      <c r="P3585" s="317" t="str">
        <f t="shared" si="3634"/>
        <v>14:45</v>
      </c>
      <c r="Q3585" s="318">
        <f t="shared" si="3500"/>
        <v>46142.39583</v>
      </c>
      <c r="R3585" s="318">
        <f t="shared" si="3501"/>
        <v>46142.5</v>
      </c>
      <c r="S3585" s="318">
        <f t="shared" si="8"/>
        <v>46142.61458</v>
      </c>
    </row>
    <row r="3586">
      <c r="A3586" s="14" t="str">
        <f t="shared" si="1"/>
        <v>C157146142</v>
      </c>
      <c r="B3586" s="185">
        <f t="array" ref="B3586">IF(F3586="VL","",IF(F3586="Free","Free",XLOOKUP(D3586,Roster!T:T,Roster!S:S,"",0)))</f>
        <v>123</v>
      </c>
      <c r="C3586" s="313">
        <v>46142.0</v>
      </c>
      <c r="D3586" s="314" t="s">
        <v>55</v>
      </c>
      <c r="E3586" s="307" t="str">
        <f t="array" ref="E3586">(XLOOKUP(D3586,Roster!F:F,Roster!B:B,"",0))</f>
        <v>Laura Chamorro</v>
      </c>
      <c r="F3586" s="315" t="str">
        <f t="array" ref="F3586">IF(B3586=100,"Free",TEXT(XLOOKUP($D3586,OperationVoice!$A:$A,OperationVoice!AJ:AJ,XLOOKUP($D3586,OperationTickets!$A:$A,OperationTickets!AJ:AJ,"",0)),"hh:mm"))</f>
        <v>08:00</v>
      </c>
      <c r="G3586" s="309">
        <f t="shared" si="3"/>
        <v>0.7083333333</v>
      </c>
      <c r="H3586" s="316" t="str">
        <f t="array" ref="H3586">XLOOKUP(B3586,Roster!L:L,Roster!N:N,XLOOKUP(D3586,TicketsBreak!A:A,TicketsBreak!E:E,"",0),0)</f>
        <v>09:45 - 10:00 </v>
      </c>
      <c r="I3586" s="316" t="str">
        <f t="array" ref="I3586">XLOOKUP(B3586,Roster!L:L,Roster!O:O,XLOOKUP(D3586,TicketsBreak!A:A,TicketsBreak!F:F,"",0),0)</f>
        <v>12:30 - 13:00</v>
      </c>
      <c r="J3586" s="316" t="str">
        <f t="array" ref="J3586">XLOOKUP(B3586,Roster!L:L,Roster!P:P,XLOOKUP(D3586,TicketsBreak!A:A,TicketsBreak!G:G,"",0),0)</f>
        <v>15:00 - 15:15</v>
      </c>
      <c r="K3586" s="310">
        <f t="shared" si="4"/>
        <v>46142</v>
      </c>
      <c r="L3586" s="317">
        <f t="array" ref="L3586">(XLOOKUP(D3586,Roster!F:F,Roster!D:D,"",0))</f>
        <v>38</v>
      </c>
      <c r="M3586" s="317" t="str">
        <f t="array" ref="M3586">XLOOKUP(D3586,Roster!F:F,Roster!E:E)</f>
        <v>Voice</v>
      </c>
      <c r="N3586" s="317" t="str">
        <f t="shared" ref="N3586:P3586" si="3635">LEFT(H3586,5)</f>
        <v>09:45</v>
      </c>
      <c r="O3586" s="317" t="str">
        <f t="shared" si="3635"/>
        <v>12:30</v>
      </c>
      <c r="P3586" s="317" t="str">
        <f t="shared" si="3635"/>
        <v>15:00</v>
      </c>
      <c r="Q3586" s="318">
        <f t="shared" si="3500"/>
        <v>46142.40625</v>
      </c>
      <c r="R3586" s="318">
        <f t="shared" si="3501"/>
        <v>46142.52083</v>
      </c>
      <c r="S3586" s="318">
        <f t="shared" si="8"/>
        <v>46142.625</v>
      </c>
    </row>
    <row r="3587">
      <c r="A3587" s="14" t="str">
        <f t="shared" si="1"/>
        <v>C53446142</v>
      </c>
      <c r="B3587" s="185" t="str">
        <f t="array" ref="B3587">IF(F3587="VL","",IF(F3587="Free","Free",XLOOKUP(D3587,Roster!T:T,Roster!S:S,"",0)))</f>
        <v/>
      </c>
      <c r="C3587" s="313">
        <v>46142.0</v>
      </c>
      <c r="D3587" s="314" t="s">
        <v>177</v>
      </c>
      <c r="E3587" s="307" t="str">
        <f t="array" ref="E3587">(XLOOKUP(D3587,Roster!F:F,Roster!B:B,"",0))</f>
        <v>Leandry La Rosa</v>
      </c>
      <c r="F3587" s="315" t="str">
        <f t="array" ref="F3587">IF(B3587=100,"Free",TEXT(XLOOKUP($D3587,OperationVoice!$A:$A,OperationVoice!AJ:AJ,XLOOKUP($D3587,OperationTickets!$A:$A,OperationTickets!AJ:AJ,"",0)),"hh:mm"))</f>
        <v>08:00</v>
      </c>
      <c r="G3587" s="309">
        <f t="shared" si="3"/>
        <v>0.7083333333</v>
      </c>
      <c r="H3587" s="316">
        <f t="array" ref="H3587">XLOOKUP(B3587,Roster!L:L,Roster!N:N,XLOOKUP(D3587,TicketsBreak!A:A,TicketsBreak!E:E,"",0),0)</f>
        <v>0.40625</v>
      </c>
      <c r="I3587" s="316">
        <f t="array" ref="I3587">XLOOKUP(B3587,Roster!L:L,Roster!O:O,XLOOKUP(D3587,TicketsBreak!A:A,TicketsBreak!F:F,"",0),0)</f>
        <v>0.5416666667</v>
      </c>
      <c r="J3587" s="316">
        <f t="array" ref="J3587">XLOOKUP(B3587,Roster!L:L,Roster!P:P,XLOOKUP(D3587,TicketsBreak!A:A,TicketsBreak!G:G,"",0),0)</f>
        <v>0.65625</v>
      </c>
      <c r="K3587" s="310">
        <f t="shared" si="4"/>
        <v>46142</v>
      </c>
      <c r="L3587" s="317">
        <f t="array" ref="L3587">(XLOOKUP(D3587,Roster!F:F,Roster!D:D,"",0))</f>
        <v>1</v>
      </c>
      <c r="M3587" s="317" t="str">
        <f t="array" ref="M3587">XLOOKUP(D3587,Roster!F:F,Roster!E:E)</f>
        <v>Tickets</v>
      </c>
      <c r="N3587" s="317" t="str">
        <f t="shared" ref="N3587:P3587" si="3636">LEFT(H3587,5)</f>
        <v>09:45</v>
      </c>
      <c r="O3587" s="317" t="str">
        <f t="shared" si="3636"/>
        <v>13:00</v>
      </c>
      <c r="P3587" s="317" t="str">
        <f t="shared" si="3636"/>
        <v>15:45</v>
      </c>
      <c r="Q3587" s="318">
        <f t="shared" si="3500"/>
        <v>46142.40625</v>
      </c>
      <c r="R3587" s="318">
        <f t="shared" si="3501"/>
        <v>46142.54167</v>
      </c>
      <c r="S3587" s="318">
        <f t="shared" si="8"/>
        <v>46142.65625</v>
      </c>
    </row>
    <row r="3588">
      <c r="A3588" s="14" t="str">
        <f t="shared" si="1"/>
        <v>C157846142</v>
      </c>
      <c r="B3588" s="185" t="str">
        <f t="array" ref="B3588">IF(F3588="VL","",IF(F3588="Free","Free",XLOOKUP(D3588,Roster!T:T,Roster!S:S,"",0)))</f>
        <v>Free</v>
      </c>
      <c r="C3588" s="313">
        <v>46142.0</v>
      </c>
      <c r="D3588" s="314" t="s">
        <v>56</v>
      </c>
      <c r="E3588" s="307" t="str">
        <f t="array" ref="E3588">(XLOOKUP(D3588,Roster!F:F,Roster!B:B,"",0))</f>
        <v>Leonerrichi Caicedo</v>
      </c>
      <c r="F3588" s="315" t="str">
        <f t="array" ref="F3588">IF(B3588=100,"Free",TEXT(XLOOKUP($D3588,OperationVoice!$A:$A,OperationVoice!AJ:AJ,XLOOKUP($D3588,OperationTickets!$A:$A,OperationTickets!AJ:AJ,"",0)),"hh:mm"))</f>
        <v>Free</v>
      </c>
      <c r="G3588" s="309" t="str">
        <f t="shared" si="3"/>
        <v>Free</v>
      </c>
      <c r="H3588" s="316" t="str">
        <f t="array" ref="H3588">XLOOKUP(B3588,Roster!L:L,Roster!N:N,XLOOKUP(D3588,TicketsBreak!A:A,TicketsBreak!E:E,"",0),0)</f>
        <v/>
      </c>
      <c r="I3588" s="316" t="str">
        <f t="array" ref="I3588">XLOOKUP(B3588,Roster!L:L,Roster!O:O,XLOOKUP(D3588,TicketsBreak!A:A,TicketsBreak!F:F,"",0),0)</f>
        <v/>
      </c>
      <c r="J3588" s="316" t="str">
        <f t="array" ref="J3588">XLOOKUP(B3588,Roster!L:L,Roster!P:P,XLOOKUP(D3588,TicketsBreak!A:A,TicketsBreak!G:G,"",0),0)</f>
        <v/>
      </c>
      <c r="K3588" s="310">
        <f t="shared" si="4"/>
        <v>46142</v>
      </c>
      <c r="L3588" s="317">
        <f t="array" ref="L3588">(XLOOKUP(D3588,Roster!F:F,Roster!D:D,"",0))</f>
        <v>38</v>
      </c>
      <c r="M3588" s="317" t="str">
        <f t="array" ref="M3588">XLOOKUP(D3588,Roster!F:F,Roster!E:E)</f>
        <v>Voice</v>
      </c>
      <c r="N3588" s="317" t="str">
        <f t="shared" ref="N3588:P3588" si="3637">LEFT(H3588,5)</f>
        <v/>
      </c>
      <c r="O3588" s="317" t="str">
        <f t="shared" si="3637"/>
        <v/>
      </c>
      <c r="P3588" s="317" t="str">
        <f t="shared" si="3637"/>
        <v/>
      </c>
      <c r="Q3588" s="318" t="str">
        <f t="shared" si="3500"/>
        <v/>
      </c>
      <c r="R3588" s="318" t="str">
        <f t="shared" si="3501"/>
        <v/>
      </c>
      <c r="S3588" s="318" t="str">
        <f t="shared" si="8"/>
        <v/>
      </c>
    </row>
    <row r="3589">
      <c r="A3589" s="14" t="str">
        <f t="shared" si="1"/>
        <v>C53546142</v>
      </c>
      <c r="B3589" s="185" t="str">
        <f t="array" ref="B3589">IF(F3589="VL","",IF(F3589="Free","Free",XLOOKUP(D3589,Roster!T:T,Roster!S:S,"",0)))</f>
        <v/>
      </c>
      <c r="C3589" s="313">
        <v>46142.0</v>
      </c>
      <c r="D3589" s="314" t="s">
        <v>145</v>
      </c>
      <c r="E3589" s="307" t="str">
        <f t="array" ref="E3589">(XLOOKUP(D3589,Roster!F:F,Roster!B:B,"",0))</f>
        <v>Lina Cadena</v>
      </c>
      <c r="F3589" s="315" t="str">
        <f t="array" ref="F3589">IF(B3589=100,"Free",TEXT(XLOOKUP($D3589,OperationVoice!$A:$A,OperationVoice!AJ:AJ,XLOOKUP($D3589,OperationTickets!$A:$A,OperationTickets!AJ:AJ,"",0)),"hh:mm"))</f>
        <v>08:00</v>
      </c>
      <c r="G3589" s="309">
        <f t="shared" si="3"/>
        <v>0.7083333333</v>
      </c>
      <c r="H3589" s="316">
        <f t="array" ref="H3589">XLOOKUP(B3589,Roster!L:L,Roster!N:N,XLOOKUP(D3589,TicketsBreak!A:A,TicketsBreak!E:E,"",0),0)</f>
        <v>0.3854166667</v>
      </c>
      <c r="I3589" s="316">
        <f t="array" ref="I3589">XLOOKUP(B3589,Roster!L:L,Roster!O:O,XLOOKUP(D3589,TicketsBreak!A:A,TicketsBreak!F:F,"",0),0)</f>
        <v>0.5833333333</v>
      </c>
      <c r="J3589" s="316">
        <f t="array" ref="J3589">XLOOKUP(B3589,Roster!L:L,Roster!P:P,XLOOKUP(D3589,TicketsBreak!A:A,TicketsBreak!G:G,"",0),0)</f>
        <v>0.6458333333</v>
      </c>
      <c r="K3589" s="310">
        <f t="shared" si="4"/>
        <v>46142</v>
      </c>
      <c r="L3589" s="317">
        <f t="array" ref="L3589">(XLOOKUP(D3589,Roster!F:F,Roster!D:D,"",0))</f>
        <v>2</v>
      </c>
      <c r="M3589" s="317" t="str">
        <f t="array" ref="M3589">XLOOKUP(D3589,Roster!F:F,Roster!E:E)</f>
        <v>Tickets</v>
      </c>
      <c r="N3589" s="317" t="str">
        <f t="shared" ref="N3589:P3589" si="3638">LEFT(H3589,5)</f>
        <v>09:15</v>
      </c>
      <c r="O3589" s="317" t="str">
        <f t="shared" si="3638"/>
        <v>14:00</v>
      </c>
      <c r="P3589" s="317" t="str">
        <f t="shared" si="3638"/>
        <v>15:30</v>
      </c>
      <c r="Q3589" s="318">
        <f t="shared" si="3500"/>
        <v>46142.38542</v>
      </c>
      <c r="R3589" s="318">
        <f t="shared" si="3501"/>
        <v>46142.58333</v>
      </c>
      <c r="S3589" s="318">
        <f t="shared" si="8"/>
        <v>46142.64583</v>
      </c>
    </row>
    <row r="3590">
      <c r="A3590" s="14" t="str">
        <f t="shared" si="1"/>
        <v>C151746142</v>
      </c>
      <c r="B3590" s="185">
        <f t="array" ref="B3590">IF(F3590="VL","",IF(F3590="Free","Free",XLOOKUP(D3590,Roster!T:T,Roster!S:S,"",0)))</f>
        <v>124</v>
      </c>
      <c r="C3590" s="313">
        <v>46142.0</v>
      </c>
      <c r="D3590" s="314" t="s">
        <v>57</v>
      </c>
      <c r="E3590" s="307" t="str">
        <f t="array" ref="E3590">(XLOOKUP(D3590,Roster!F:F,Roster!B:B,"",0))</f>
        <v>Lisandro Alvarado</v>
      </c>
      <c r="F3590" s="315" t="str">
        <f t="array" ref="F3590">IF(B3590=100,"Free",TEXT(XLOOKUP($D3590,OperationVoice!$A:$A,OperationVoice!AJ:AJ,XLOOKUP($D3590,OperationTickets!$A:$A,OperationTickets!AJ:AJ,"",0)),"hh:mm"))</f>
        <v>08:00</v>
      </c>
      <c r="G3590" s="309">
        <f t="shared" si="3"/>
        <v>0.7083333333</v>
      </c>
      <c r="H3590" s="316" t="str">
        <f t="array" ref="H3590">XLOOKUP(B3590,Roster!L:L,Roster!N:N,XLOOKUP(D3590,TicketsBreak!A:A,TicketsBreak!E:E,"",0),0)</f>
        <v>10:00 - 10:15</v>
      </c>
      <c r="I3590" s="316" t="str">
        <f t="array" ref="I3590">XLOOKUP(B3590,Roster!L:L,Roster!O:O,XLOOKUP(D3590,TicketsBreak!A:A,TicketsBreak!F:F,"",0),0)</f>
        <v>13:00 - 13:30</v>
      </c>
      <c r="J3590" s="316" t="str">
        <f t="array" ref="J3590">XLOOKUP(B3590,Roster!L:L,Roster!P:P,XLOOKUP(D3590,TicketsBreak!A:A,TicketsBreak!G:G,"",0),0)</f>
        <v>15:30 - 15:45</v>
      </c>
      <c r="K3590" s="310">
        <f t="shared" si="4"/>
        <v>46142</v>
      </c>
      <c r="L3590" s="317">
        <f t="array" ref="L3590">(XLOOKUP(D3590,Roster!F:F,Roster!D:D,"",0))</f>
        <v>35</v>
      </c>
      <c r="M3590" s="317" t="str">
        <f t="array" ref="M3590">XLOOKUP(D3590,Roster!F:F,Roster!E:E)</f>
        <v>Voice</v>
      </c>
      <c r="N3590" s="317" t="str">
        <f t="shared" ref="N3590:P3590" si="3639">LEFT(H3590,5)</f>
        <v>10:00</v>
      </c>
      <c r="O3590" s="317" t="str">
        <f t="shared" si="3639"/>
        <v>13:00</v>
      </c>
      <c r="P3590" s="317" t="str">
        <f t="shared" si="3639"/>
        <v>15:30</v>
      </c>
      <c r="Q3590" s="318">
        <f t="shared" si="3500"/>
        <v>46142.41667</v>
      </c>
      <c r="R3590" s="318">
        <f t="shared" si="3501"/>
        <v>46142.54167</v>
      </c>
      <c r="S3590" s="318">
        <f t="shared" si="8"/>
        <v>46142.64583</v>
      </c>
    </row>
    <row r="3591">
      <c r="A3591" s="14" t="str">
        <f t="shared" si="1"/>
        <v>C143346142</v>
      </c>
      <c r="B3591" s="185">
        <f t="array" ref="B3591">IF(F3591="VL","",IF(F3591="Free","Free",XLOOKUP(D3591,Roster!T:T,Roster!S:S,"",0)))</f>
        <v>500</v>
      </c>
      <c r="C3591" s="313">
        <v>46142.0</v>
      </c>
      <c r="D3591" s="314" t="s">
        <v>58</v>
      </c>
      <c r="E3591" s="307" t="str">
        <f t="array" ref="E3591">(XLOOKUP(D3591,Roster!F:F,Roster!B:B,"",0))</f>
        <v>Luis Lopez</v>
      </c>
      <c r="F3591" s="315" t="str">
        <f t="array" ref="F3591">IF(B3591=100,"Free",TEXT(XLOOKUP($D3591,OperationVoice!$A:$A,OperationVoice!AJ:AJ,XLOOKUP($D3591,OperationTickets!$A:$A,OperationTickets!AJ:AJ,"",0)),"hh:mm"))</f>
        <v>13:00</v>
      </c>
      <c r="G3591" s="309">
        <f t="shared" si="3"/>
        <v>0.9166666667</v>
      </c>
      <c r="H3591" s="316" t="str">
        <f t="array" ref="H3591">XLOOKUP(B3591,Roster!L:L,Roster!N:N,XLOOKUP(D3591,TicketsBreak!A:A,TicketsBreak!E:E,"",0),0)</f>
        <v>Team Leader</v>
      </c>
      <c r="I3591" s="316" t="str">
        <f t="array" ref="I3591">XLOOKUP(B3591,Roster!L:L,Roster!O:O,XLOOKUP(D3591,TicketsBreak!A:A,TicketsBreak!F:F,"",0),0)</f>
        <v>Team Leader</v>
      </c>
      <c r="J3591" s="316" t="str">
        <f t="array" ref="J3591">XLOOKUP(B3591,Roster!L:L,Roster!P:P,XLOOKUP(D3591,TicketsBreak!A:A,TicketsBreak!G:G,"",0),0)</f>
        <v/>
      </c>
      <c r="K3591" s="310">
        <f t="shared" si="4"/>
        <v>46142</v>
      </c>
      <c r="L3591" s="317">
        <f t="array" ref="L3591">(XLOOKUP(D3591,Roster!F:F,Roster!D:D,"",0))</f>
        <v>32</v>
      </c>
      <c r="M3591" s="317" t="str">
        <f t="array" ref="M3591">XLOOKUP(D3591,Roster!F:F,Roster!E:E)</f>
        <v>Voice</v>
      </c>
      <c r="N3591" s="317" t="str">
        <f t="shared" ref="N3591:P3591" si="3640">LEFT(H3591,5)</f>
        <v>Team </v>
      </c>
      <c r="O3591" s="317" t="str">
        <f t="shared" si="3640"/>
        <v>Team </v>
      </c>
      <c r="P3591" s="317" t="str">
        <f t="shared" si="3640"/>
        <v/>
      </c>
      <c r="Q3591" s="318" t="str">
        <f t="shared" si="3500"/>
        <v>#VALUE!</v>
      </c>
      <c r="R3591" s="318" t="str">
        <f t="shared" si="3501"/>
        <v>#VALUE!</v>
      </c>
      <c r="S3591" s="318" t="str">
        <f t="shared" si="8"/>
        <v/>
      </c>
    </row>
    <row r="3592">
      <c r="A3592" s="14" t="str">
        <f t="shared" si="1"/>
        <v>C153446142</v>
      </c>
      <c r="B3592" s="185">
        <f t="array" ref="B3592">IF(F3592="VL","",IF(F3592="Free","Free",XLOOKUP(D3592,Roster!T:T,Roster!S:S,"",0)))</f>
        <v>126</v>
      </c>
      <c r="C3592" s="313">
        <v>46142.0</v>
      </c>
      <c r="D3592" s="314" t="s">
        <v>59</v>
      </c>
      <c r="E3592" s="307" t="str">
        <f t="array" ref="E3592">(XLOOKUP(D3592,Roster!F:F,Roster!B:B,"",0))</f>
        <v>Luis Munoz</v>
      </c>
      <c r="F3592" s="315" t="str">
        <f t="array" ref="F3592">IF(B3592=100,"Free",TEXT(XLOOKUP($D3592,OperationVoice!$A:$A,OperationVoice!AJ:AJ,XLOOKUP($D3592,OperationTickets!$A:$A,OperationTickets!AJ:AJ,"",0)),"hh:mm"))</f>
        <v>08:00</v>
      </c>
      <c r="G3592" s="309">
        <f t="shared" si="3"/>
        <v>0.7083333333</v>
      </c>
      <c r="H3592" s="316" t="str">
        <f t="array" ref="H3592">XLOOKUP(B3592,Roster!L:L,Roster!N:N,XLOOKUP(D3592,TicketsBreak!A:A,TicketsBreak!E:E,"",0),0)</f>
        <v>10:45 - 11:00</v>
      </c>
      <c r="I3592" s="316" t="str">
        <f t="array" ref="I3592">XLOOKUP(B3592,Roster!L:L,Roster!O:O,XLOOKUP(D3592,TicketsBreak!A:A,TicketsBreak!F:F,"",0),0)</f>
        <v>14:00 - 14:30</v>
      </c>
      <c r="J3592" s="316" t="str">
        <f t="array" ref="J3592">XLOOKUP(B3592,Roster!L:L,Roster!P:P,XLOOKUP(D3592,TicketsBreak!A:A,TicketsBreak!G:G,"",0),0)</f>
        <v>15:45 - 16:00</v>
      </c>
      <c r="K3592" s="310">
        <f t="shared" si="4"/>
        <v>46142</v>
      </c>
      <c r="L3592" s="317">
        <f t="array" ref="L3592">(XLOOKUP(D3592,Roster!F:F,Roster!D:D,"",0))</f>
        <v>36</v>
      </c>
      <c r="M3592" s="317" t="str">
        <f t="array" ref="M3592">XLOOKUP(D3592,Roster!F:F,Roster!E:E)</f>
        <v>Voice</v>
      </c>
      <c r="N3592" s="317" t="str">
        <f t="shared" ref="N3592:P3592" si="3641">LEFT(H3592,5)</f>
        <v>10:45</v>
      </c>
      <c r="O3592" s="317" t="str">
        <f t="shared" si="3641"/>
        <v>14:00</v>
      </c>
      <c r="P3592" s="317" t="str">
        <f t="shared" si="3641"/>
        <v>15:45</v>
      </c>
      <c r="Q3592" s="318">
        <f t="shared" si="3500"/>
        <v>46142.44792</v>
      </c>
      <c r="R3592" s="318">
        <f t="shared" si="3501"/>
        <v>46142.58333</v>
      </c>
      <c r="S3592" s="318">
        <f t="shared" si="8"/>
        <v>46142.65625</v>
      </c>
    </row>
    <row r="3593">
      <c r="A3593" s="14" t="str">
        <f t="shared" si="1"/>
        <v>C53846142</v>
      </c>
      <c r="B3593" s="185" t="str">
        <f t="array" ref="B3593">IF(F3593="VL","",IF(F3593="Free","Free",XLOOKUP(D3593,Roster!T:T,Roster!S:S,"",0)))</f>
        <v/>
      </c>
      <c r="C3593" s="313">
        <v>46142.0</v>
      </c>
      <c r="D3593" s="314" t="s">
        <v>165</v>
      </c>
      <c r="E3593" s="307" t="str">
        <f t="array" ref="E3593">(XLOOKUP(D3593,Roster!F:F,Roster!B:B,"",0))</f>
        <v>Luisa Arenas</v>
      </c>
      <c r="F3593" s="315" t="str">
        <f t="array" ref="F3593">IF(B3593=100,"Free",TEXT(XLOOKUP($D3593,OperationVoice!$A:$A,OperationVoice!AJ:AJ,XLOOKUP($D3593,OperationTickets!$A:$A,OperationTickets!AJ:AJ,"",0)),"hh:mm"))</f>
        <v>08:00</v>
      </c>
      <c r="G3593" s="309">
        <f t="shared" si="3"/>
        <v>0.7083333333</v>
      </c>
      <c r="H3593" s="316" t="str">
        <f t="array" ref="H3593">XLOOKUP(B3593,Roster!L:L,Roster!N:N,XLOOKUP(D3593,TicketsBreak!A:A,TicketsBreak!E:E,"",0),0)</f>
        <v/>
      </c>
      <c r="I3593" s="316" t="str">
        <f t="array" ref="I3593">XLOOKUP(B3593,Roster!L:L,Roster!O:O,XLOOKUP(D3593,TicketsBreak!A:A,TicketsBreak!F:F,"",0),0)</f>
        <v/>
      </c>
      <c r="J3593" s="316" t="str">
        <f t="array" ref="J3593">XLOOKUP(B3593,Roster!L:L,Roster!P:P,XLOOKUP(D3593,TicketsBreak!A:A,TicketsBreak!G:G,"",0),0)</f>
        <v/>
      </c>
      <c r="K3593" s="310">
        <f t="shared" si="4"/>
        <v>46142</v>
      </c>
      <c r="L3593" s="317">
        <f t="array" ref="L3593">(XLOOKUP(D3593,Roster!F:F,Roster!D:D,"",0))</f>
        <v>35</v>
      </c>
      <c r="M3593" s="317" t="str">
        <f t="array" ref="M3593">XLOOKUP(D3593,Roster!F:F,Roster!E:E)</f>
        <v>Tickets</v>
      </c>
      <c r="N3593" s="317" t="str">
        <f t="shared" ref="N3593:P3593" si="3642">LEFT(H3593,5)</f>
        <v/>
      </c>
      <c r="O3593" s="317" t="str">
        <f t="shared" si="3642"/>
        <v/>
      </c>
      <c r="P3593" s="317" t="str">
        <f t="shared" si="3642"/>
        <v/>
      </c>
      <c r="Q3593" s="318" t="str">
        <f t="shared" si="3500"/>
        <v/>
      </c>
      <c r="R3593" s="318" t="str">
        <f t="shared" si="3501"/>
        <v/>
      </c>
      <c r="S3593" s="318" t="str">
        <f t="shared" si="8"/>
        <v/>
      </c>
    </row>
    <row r="3594">
      <c r="A3594" s="14" t="str">
        <f t="shared" si="1"/>
        <v>C113646142</v>
      </c>
      <c r="B3594" s="185">
        <f t="array" ref="B3594">IF(F3594="VL","",IF(F3594="Free","Free",XLOOKUP(D3594,Roster!T:T,Roster!S:S,"",0)))</f>
        <v>126</v>
      </c>
      <c r="C3594" s="313">
        <v>46142.0</v>
      </c>
      <c r="D3594" s="314" t="s">
        <v>60</v>
      </c>
      <c r="E3594" s="307" t="str">
        <f t="array" ref="E3594">(XLOOKUP(D3594,Roster!F:F,Roster!B:B,"",0))</f>
        <v>Luisa Gonzalez</v>
      </c>
      <c r="F3594" s="315" t="str">
        <f t="array" ref="F3594">IF(B3594=100,"Free",TEXT(XLOOKUP($D3594,OperationVoice!$A:$A,OperationVoice!AJ:AJ,XLOOKUP($D3594,OperationTickets!$A:$A,OperationTickets!AJ:AJ,"",0)),"hh:mm"))</f>
        <v>08:00</v>
      </c>
      <c r="G3594" s="309">
        <f t="shared" si="3"/>
        <v>0.7083333333</v>
      </c>
      <c r="H3594" s="316" t="str">
        <f t="array" ref="H3594">XLOOKUP(B3594,Roster!L:L,Roster!N:N,XLOOKUP(D3594,TicketsBreak!A:A,TicketsBreak!E:E,"",0),0)</f>
        <v>10:45 - 11:00</v>
      </c>
      <c r="I3594" s="316" t="str">
        <f t="array" ref="I3594">XLOOKUP(B3594,Roster!L:L,Roster!O:O,XLOOKUP(D3594,TicketsBreak!A:A,TicketsBreak!F:F,"",0),0)</f>
        <v>14:00 - 14:30</v>
      </c>
      <c r="J3594" s="316" t="str">
        <f t="array" ref="J3594">XLOOKUP(B3594,Roster!L:L,Roster!P:P,XLOOKUP(D3594,TicketsBreak!A:A,TicketsBreak!G:G,"",0),0)</f>
        <v>15:45 - 16:00</v>
      </c>
      <c r="K3594" s="310">
        <f t="shared" si="4"/>
        <v>46142</v>
      </c>
      <c r="L3594" s="317">
        <f t="array" ref="L3594">(XLOOKUP(D3594,Roster!F:F,Roster!D:D,"",0))</f>
        <v>22</v>
      </c>
      <c r="M3594" s="317" t="str">
        <f t="array" ref="M3594">XLOOKUP(D3594,Roster!F:F,Roster!E:E)</f>
        <v>Voice</v>
      </c>
      <c r="N3594" s="317" t="str">
        <f t="shared" ref="N3594:P3594" si="3643">LEFT(H3594,5)</f>
        <v>10:45</v>
      </c>
      <c r="O3594" s="317" t="str">
        <f t="shared" si="3643"/>
        <v>14:00</v>
      </c>
      <c r="P3594" s="317" t="str">
        <f t="shared" si="3643"/>
        <v>15:45</v>
      </c>
      <c r="Q3594" s="318">
        <f t="shared" si="3500"/>
        <v>46142.44792</v>
      </c>
      <c r="R3594" s="318">
        <f t="shared" si="3501"/>
        <v>46142.58333</v>
      </c>
      <c r="S3594" s="318">
        <f t="shared" si="8"/>
        <v>46142.65625</v>
      </c>
    </row>
    <row r="3595">
      <c r="A3595" s="14" t="str">
        <f t="shared" si="1"/>
        <v>C157746142</v>
      </c>
      <c r="B3595" s="185">
        <f t="array" ref="B3595">IF(F3595="VL","",IF(F3595="Free","Free",XLOOKUP(D3595,Roster!T:T,Roster!S:S,"",0)))</f>
        <v>126</v>
      </c>
      <c r="C3595" s="313">
        <v>46142.0</v>
      </c>
      <c r="D3595" s="314" t="s">
        <v>61</v>
      </c>
      <c r="E3595" s="307" t="str">
        <f t="array" ref="E3595">(XLOOKUP(D3595,Roster!F:F,Roster!B:B,"",0))</f>
        <v>Luna Morales</v>
      </c>
      <c r="F3595" s="315" t="str">
        <f t="array" ref="F3595">IF(B3595=100,"Free",TEXT(XLOOKUP($D3595,OperationVoice!$A:$A,OperationVoice!AJ:AJ,XLOOKUP($D3595,OperationTickets!$A:$A,OperationTickets!AJ:AJ,"",0)),"hh:mm"))</f>
        <v>11:00</v>
      </c>
      <c r="G3595" s="309">
        <f t="shared" si="3"/>
        <v>0.8333333333</v>
      </c>
      <c r="H3595" s="316" t="str">
        <f t="array" ref="H3595">XLOOKUP(B3595,Roster!L:L,Roster!N:N,XLOOKUP(D3595,TicketsBreak!A:A,TicketsBreak!E:E,"",0),0)</f>
        <v>10:45 - 11:00</v>
      </c>
      <c r="I3595" s="316" t="str">
        <f t="array" ref="I3595">XLOOKUP(B3595,Roster!L:L,Roster!O:O,XLOOKUP(D3595,TicketsBreak!A:A,TicketsBreak!F:F,"",0),0)</f>
        <v>14:00 - 14:30</v>
      </c>
      <c r="J3595" s="316" t="str">
        <f t="array" ref="J3595">XLOOKUP(B3595,Roster!L:L,Roster!P:P,XLOOKUP(D3595,TicketsBreak!A:A,TicketsBreak!G:G,"",0),0)</f>
        <v>15:45 - 16:00</v>
      </c>
      <c r="K3595" s="310">
        <f t="shared" si="4"/>
        <v>46142</v>
      </c>
      <c r="L3595" s="317">
        <f t="array" ref="L3595">(XLOOKUP(D3595,Roster!F:F,Roster!D:D,"",0))</f>
        <v>38</v>
      </c>
      <c r="M3595" s="317" t="str">
        <f t="array" ref="M3595">XLOOKUP(D3595,Roster!F:F,Roster!E:E)</f>
        <v>Voice</v>
      </c>
      <c r="N3595" s="317" t="str">
        <f t="shared" ref="N3595:P3595" si="3644">LEFT(H3595,5)</f>
        <v>10:45</v>
      </c>
      <c r="O3595" s="317" t="str">
        <f t="shared" si="3644"/>
        <v>14:00</v>
      </c>
      <c r="P3595" s="317" t="str">
        <f t="shared" si="3644"/>
        <v>15:45</v>
      </c>
      <c r="Q3595" s="318">
        <f t="shared" si="3500"/>
        <v>46142.44792</v>
      </c>
      <c r="R3595" s="318">
        <f t="shared" si="3501"/>
        <v>46142.58333</v>
      </c>
      <c r="S3595" s="318">
        <f t="shared" si="8"/>
        <v>46142.65625</v>
      </c>
    </row>
    <row r="3596">
      <c r="A3596" s="14" t="str">
        <f t="shared" si="1"/>
        <v>C121946142</v>
      </c>
      <c r="B3596" s="185" t="str">
        <f t="array" ref="B3596">IF(F3596="VL","",IF(F3596="Free","Free",XLOOKUP(D3596,Roster!T:T,Roster!S:S,"",0)))</f>
        <v/>
      </c>
      <c r="C3596" s="313">
        <v>46142.0</v>
      </c>
      <c r="D3596" s="314" t="s">
        <v>146</v>
      </c>
      <c r="E3596" s="307" t="str">
        <f t="array" ref="E3596">(XLOOKUP(D3596,Roster!F:F,Roster!B:B,"",0))</f>
        <v>Madelyn Jaramillo</v>
      </c>
      <c r="F3596" s="315" t="str">
        <f t="array" ref="F3596">IF(B3596=100,"Free",TEXT(XLOOKUP($D3596,OperationVoice!$A:$A,OperationVoice!AJ:AJ,XLOOKUP($D3596,OperationTickets!$A:$A,OperationTickets!AJ:AJ,"",0)),"hh:mm"))</f>
        <v>08:00</v>
      </c>
      <c r="G3596" s="309">
        <f t="shared" si="3"/>
        <v>0.7083333333</v>
      </c>
      <c r="H3596" s="316" t="str">
        <f t="array" ref="H3596">XLOOKUP(B3596,Roster!L:L,Roster!N:N,XLOOKUP(D3596,TicketsBreak!A:A,TicketsBreak!E:E,"",0),0)</f>
        <v/>
      </c>
      <c r="I3596" s="316" t="str">
        <f t="array" ref="I3596">XLOOKUP(B3596,Roster!L:L,Roster!O:O,XLOOKUP(D3596,TicketsBreak!A:A,TicketsBreak!F:F,"",0),0)</f>
        <v/>
      </c>
      <c r="J3596" s="316" t="str">
        <f t="array" ref="J3596">XLOOKUP(B3596,Roster!L:L,Roster!P:P,XLOOKUP(D3596,TicketsBreak!A:A,TicketsBreak!G:G,"",0),0)</f>
        <v/>
      </c>
      <c r="K3596" s="310">
        <f t="shared" si="4"/>
        <v>46142</v>
      </c>
      <c r="L3596" s="317">
        <f t="array" ref="L3596">(XLOOKUP(D3596,Roster!F:F,Roster!D:D,"",0))</f>
        <v>26</v>
      </c>
      <c r="M3596" s="317" t="str">
        <f t="array" ref="M3596">XLOOKUP(D3596,Roster!F:F,Roster!E:E)</f>
        <v>Tickets</v>
      </c>
      <c r="N3596" s="317" t="str">
        <f t="shared" ref="N3596:P3596" si="3645">LEFT(H3596,5)</f>
        <v/>
      </c>
      <c r="O3596" s="317" t="str">
        <f t="shared" si="3645"/>
        <v/>
      </c>
      <c r="P3596" s="317" t="str">
        <f t="shared" si="3645"/>
        <v/>
      </c>
      <c r="Q3596" s="318" t="str">
        <f t="shared" si="3500"/>
        <v/>
      </c>
      <c r="R3596" s="318" t="str">
        <f t="shared" si="3501"/>
        <v/>
      </c>
      <c r="S3596" s="318" t="str">
        <f t="shared" si="8"/>
        <v/>
      </c>
    </row>
    <row r="3597">
      <c r="A3597" s="14" t="str">
        <f t="shared" si="1"/>
        <v>C151646142</v>
      </c>
      <c r="B3597" s="185">
        <f t="array" ref="B3597">IF(F3597="VL","",IF(F3597="Free","Free",XLOOKUP(D3597,Roster!T:T,Roster!S:S,"",0)))</f>
        <v>122</v>
      </c>
      <c r="C3597" s="313">
        <v>46142.0</v>
      </c>
      <c r="D3597" s="314" t="s">
        <v>62</v>
      </c>
      <c r="E3597" s="307" t="str">
        <f t="array" ref="E3597">(XLOOKUP(D3597,Roster!F:F,Roster!B:B,"",0))</f>
        <v>Magda Foronda</v>
      </c>
      <c r="F3597" s="315" t="str">
        <f t="array" ref="F3597">IF(B3597=100,"Free",TEXT(XLOOKUP($D3597,OperationVoice!$A:$A,OperationVoice!AJ:AJ,XLOOKUP($D3597,OperationTickets!$A:$A,OperationTickets!AJ:AJ,"",0)),"hh:mm"))</f>
        <v>08:00</v>
      </c>
      <c r="G3597" s="309">
        <f t="shared" si="3"/>
        <v>0.7083333333</v>
      </c>
      <c r="H3597" s="316" t="str">
        <f t="array" ref="H3597">XLOOKUP(B3597,Roster!L:L,Roster!N:N,XLOOKUP(D3597,TicketsBreak!A:A,TicketsBreak!E:E,"",0),0)</f>
        <v>09:30 - 09:45</v>
      </c>
      <c r="I3597" s="316" t="str">
        <f t="array" ref="I3597">XLOOKUP(B3597,Roster!L:L,Roster!O:O,XLOOKUP(D3597,TicketsBreak!A:A,TicketsBreak!F:F,"",0),0)</f>
        <v>12:00 - 12:30</v>
      </c>
      <c r="J3597" s="316" t="str">
        <f t="array" ref="J3597">XLOOKUP(B3597,Roster!L:L,Roster!P:P,XLOOKUP(D3597,TicketsBreak!A:A,TicketsBreak!G:G,"",0),0)</f>
        <v>14:45 - 15:00</v>
      </c>
      <c r="K3597" s="310">
        <f t="shared" si="4"/>
        <v>46142</v>
      </c>
      <c r="L3597" s="317">
        <f t="array" ref="L3597">(XLOOKUP(D3597,Roster!F:F,Roster!D:D,"",0))</f>
        <v>35</v>
      </c>
      <c r="M3597" s="317" t="str">
        <f t="array" ref="M3597">XLOOKUP(D3597,Roster!F:F,Roster!E:E)</f>
        <v>Voice</v>
      </c>
      <c r="N3597" s="317" t="str">
        <f t="shared" ref="N3597:P3597" si="3646">LEFT(H3597,5)</f>
        <v>09:30</v>
      </c>
      <c r="O3597" s="317" t="str">
        <f t="shared" si="3646"/>
        <v>12:00</v>
      </c>
      <c r="P3597" s="317" t="str">
        <f t="shared" si="3646"/>
        <v>14:45</v>
      </c>
      <c r="Q3597" s="318">
        <f t="shared" si="3500"/>
        <v>46142.39583</v>
      </c>
      <c r="R3597" s="318">
        <f t="shared" si="3501"/>
        <v>46142.5</v>
      </c>
      <c r="S3597" s="318">
        <f t="shared" si="8"/>
        <v>46142.61458</v>
      </c>
    </row>
    <row r="3598">
      <c r="A3598" s="14" t="str">
        <f t="shared" si="1"/>
        <v>C118046142</v>
      </c>
      <c r="B3598" s="185">
        <f t="array" ref="B3598">IF(F3598="VL","",IF(F3598="Free","Free",XLOOKUP(D3598,Roster!T:T,Roster!S:S,"",0)))</f>
        <v>500</v>
      </c>
      <c r="C3598" s="313">
        <v>46142.0</v>
      </c>
      <c r="D3598" s="314" t="s">
        <v>147</v>
      </c>
      <c r="E3598" s="307" t="str">
        <f t="array" ref="E3598">(XLOOKUP(D3598,Roster!F:F,Roster!B:B,"",0))</f>
        <v>Manuela Moreno</v>
      </c>
      <c r="F3598" s="315" t="str">
        <f t="array" ref="F3598">IF(B3598=100,"Free",TEXT(XLOOKUP($D3598,OperationVoice!$A:$A,OperationVoice!AJ:AJ,XLOOKUP($D3598,OperationTickets!$A:$A,OperationTickets!AJ:AJ,"",0)),"hh:mm"))</f>
        <v>09:00</v>
      </c>
      <c r="G3598" s="309">
        <f t="shared" si="3"/>
        <v>0.75</v>
      </c>
      <c r="H3598" s="316" t="str">
        <f t="array" ref="H3598">XLOOKUP(B3598,Roster!L:L,Roster!N:N,XLOOKUP(D3598,TicketsBreak!A:A,TicketsBreak!E:E,"",0),0)</f>
        <v>Team Leader</v>
      </c>
      <c r="I3598" s="316" t="str">
        <f t="array" ref="I3598">XLOOKUP(B3598,Roster!L:L,Roster!O:O,XLOOKUP(D3598,TicketsBreak!A:A,TicketsBreak!F:F,"",0),0)</f>
        <v>Team Leader</v>
      </c>
      <c r="J3598" s="316" t="str">
        <f t="array" ref="J3598">XLOOKUP(B3598,Roster!L:L,Roster!P:P,XLOOKUP(D3598,TicketsBreak!A:A,TicketsBreak!G:G,"",0),0)</f>
        <v/>
      </c>
      <c r="K3598" s="310">
        <f t="shared" si="4"/>
        <v>46142</v>
      </c>
      <c r="L3598" s="317">
        <f t="array" ref="L3598">(XLOOKUP(D3598,Roster!F:F,Roster!D:D,"",0))</f>
        <v>24</v>
      </c>
      <c r="M3598" s="317" t="str">
        <f t="array" ref="M3598">XLOOKUP(D3598,Roster!F:F,Roster!E:E)</f>
        <v>Tickets</v>
      </c>
      <c r="N3598" s="317" t="str">
        <f t="shared" ref="N3598:P3598" si="3647">LEFT(H3598,5)</f>
        <v>Team </v>
      </c>
      <c r="O3598" s="317" t="str">
        <f t="shared" si="3647"/>
        <v>Team </v>
      </c>
      <c r="P3598" s="317" t="str">
        <f t="shared" si="3647"/>
        <v/>
      </c>
      <c r="Q3598" s="318" t="str">
        <f>IF(P3598="","",$C3598+N3598)</f>
        <v/>
      </c>
      <c r="R3598" s="318" t="str">
        <f>if(P3598="","",$C3598+O3598)</f>
        <v/>
      </c>
      <c r="S3598" s="318" t="str">
        <f t="shared" si="8"/>
        <v/>
      </c>
    </row>
    <row r="3599">
      <c r="A3599" s="14" t="str">
        <f t="shared" si="1"/>
        <v>C153646142</v>
      </c>
      <c r="B3599" s="185">
        <f t="array" ref="B3599">IF(F3599="VL","",IF(F3599="Free","Free",XLOOKUP(D3599,Roster!T:T,Roster!S:S,"",0)))</f>
        <v>121</v>
      </c>
      <c r="C3599" s="313">
        <v>46142.0</v>
      </c>
      <c r="D3599" s="314" t="s">
        <v>63</v>
      </c>
      <c r="E3599" s="307" t="str">
        <f t="array" ref="E3599">(XLOOKUP(D3599,Roster!F:F,Roster!B:B,"",0))</f>
        <v>Maria Mesa</v>
      </c>
      <c r="F3599" s="315" t="str">
        <f t="array" ref="F3599">IF(B3599=100,"Free",TEXT(XLOOKUP($D3599,OperationVoice!$A:$A,OperationVoice!AJ:AJ,XLOOKUP($D3599,OperationTickets!$A:$A,OperationTickets!AJ:AJ,"",0)),"hh:mm"))</f>
        <v>08:00</v>
      </c>
      <c r="G3599" s="309">
        <f t="shared" si="3"/>
        <v>0.7083333333</v>
      </c>
      <c r="H3599" s="316" t="str">
        <f t="array" ref="H3599">XLOOKUP(B3599,Roster!L:L,Roster!N:N,XLOOKUP(D3599,TicketsBreak!A:A,TicketsBreak!E:E,"",0),0)</f>
        <v>09:15 - 09:30</v>
      </c>
      <c r="I3599" s="316" t="str">
        <f t="array" ref="I3599">XLOOKUP(B3599,Roster!L:L,Roster!O:O,XLOOKUP(D3599,TicketsBreak!A:A,TicketsBreak!F:F,"",0),0)</f>
        <v>11:30 - 12:00</v>
      </c>
      <c r="J3599" s="316" t="str">
        <f t="array" ref="J3599">XLOOKUP(B3599,Roster!L:L,Roster!P:P,XLOOKUP(D3599,TicketsBreak!A:A,TicketsBreak!G:G,"",0),0)</f>
        <v>14:30 - 14:45</v>
      </c>
      <c r="K3599" s="310">
        <f t="shared" si="4"/>
        <v>46142</v>
      </c>
      <c r="L3599" s="317">
        <f t="array" ref="L3599">(XLOOKUP(D3599,Roster!F:F,Roster!D:D,"",0))</f>
        <v>36</v>
      </c>
      <c r="M3599" s="317" t="str">
        <f t="array" ref="M3599">XLOOKUP(D3599,Roster!F:F,Roster!E:E)</f>
        <v>Voice</v>
      </c>
      <c r="N3599" s="317" t="str">
        <f t="shared" ref="N3599:P3599" si="3648">LEFT(H3599,5)</f>
        <v>09:15</v>
      </c>
      <c r="O3599" s="317" t="str">
        <f t="shared" si="3648"/>
        <v>11:30</v>
      </c>
      <c r="P3599" s="317" t="str">
        <f t="shared" si="3648"/>
        <v>14:30</v>
      </c>
      <c r="Q3599" s="318">
        <f t="shared" ref="Q3599:Q3644" si="3650">IF(N3599="","",$C3599+N3599)</f>
        <v>46142.38542</v>
      </c>
      <c r="R3599" s="318">
        <f t="shared" ref="R3599:R3644" si="3651">if(O3599="","",$C3599+O3599)</f>
        <v>46142.47917</v>
      </c>
      <c r="S3599" s="318">
        <f t="shared" si="8"/>
        <v>46142.60417</v>
      </c>
    </row>
    <row r="3600">
      <c r="A3600" s="14" t="str">
        <f t="shared" si="1"/>
        <v>C74046142</v>
      </c>
      <c r="B3600" s="185" t="str">
        <f t="array" ref="B3600">IF(F3600="VL","",IF(F3600="Free","Free",XLOOKUP(D3600,Roster!T:T,Roster!S:S,"",0)))</f>
        <v/>
      </c>
      <c r="C3600" s="313">
        <v>46142.0</v>
      </c>
      <c r="D3600" s="314" t="s">
        <v>166</v>
      </c>
      <c r="E3600" s="307" t="str">
        <f t="array" ref="E3600">(XLOOKUP(D3600,Roster!F:F,Roster!B:B,"",0))</f>
        <v>Mateo Agudelo</v>
      </c>
      <c r="F3600" s="315" t="str">
        <f t="array" ref="F3600">IF(B3600=100,"Free",TEXT(XLOOKUP($D3600,OperationVoice!$A:$A,OperationVoice!AJ:AJ,XLOOKUP($D3600,OperationTickets!$A:$A,OperationTickets!AJ:AJ,"",0)),"hh:mm"))</f>
        <v>VL</v>
      </c>
      <c r="G3600" s="309" t="str">
        <f t="shared" si="3"/>
        <v>VL</v>
      </c>
      <c r="H3600" s="316">
        <f t="array" ref="H3600">XLOOKUP(B3600,Roster!L:L,Roster!N:N,XLOOKUP(D3600,TicketsBreak!A:A,TicketsBreak!E:E,"",0),0)</f>
        <v>0.4166666667</v>
      </c>
      <c r="I3600" s="316">
        <f t="array" ref="I3600">XLOOKUP(B3600,Roster!L:L,Roster!O:O,XLOOKUP(D3600,TicketsBreak!A:A,TicketsBreak!F:F,"",0),0)</f>
        <v>0.5</v>
      </c>
      <c r="J3600" s="316">
        <f t="array" ref="J3600">XLOOKUP(B3600,Roster!L:L,Roster!P:P,XLOOKUP(D3600,TicketsBreak!A:A,TicketsBreak!G:G,"",0),0)</f>
        <v>0.65625</v>
      </c>
      <c r="K3600" s="310">
        <f t="shared" si="4"/>
        <v>46142</v>
      </c>
      <c r="L3600" s="317">
        <f t="array" ref="L3600">(XLOOKUP(D3600,Roster!F:F,Roster!D:D,"",0))</f>
        <v>8</v>
      </c>
      <c r="M3600" s="317" t="str">
        <f t="array" ref="M3600">XLOOKUP(D3600,Roster!F:F,Roster!E:E)</f>
        <v>Tickets</v>
      </c>
      <c r="N3600" s="317" t="str">
        <f t="shared" ref="N3600:P3600" si="3649">LEFT(H3600,5)</f>
        <v>10:00</v>
      </c>
      <c r="O3600" s="317" t="str">
        <f t="shared" si="3649"/>
        <v>12:00</v>
      </c>
      <c r="P3600" s="317" t="str">
        <f t="shared" si="3649"/>
        <v>15:45</v>
      </c>
      <c r="Q3600" s="318">
        <f t="shared" si="3650"/>
        <v>46142.41667</v>
      </c>
      <c r="R3600" s="318">
        <f t="shared" si="3651"/>
        <v>46142.5</v>
      </c>
      <c r="S3600" s="318">
        <f t="shared" si="8"/>
        <v>46142.65625</v>
      </c>
    </row>
    <row r="3601">
      <c r="A3601" s="14" t="str">
        <f t="shared" si="1"/>
        <v>C142946142</v>
      </c>
      <c r="B3601" s="185">
        <f t="array" ref="B3601">IF(F3601="VL","",IF(F3601="Free","Free",XLOOKUP(D3601,Roster!T:T,Roster!S:S,"",0)))</f>
        <v>121</v>
      </c>
      <c r="C3601" s="313">
        <v>46142.0</v>
      </c>
      <c r="D3601" s="314" t="s">
        <v>178</v>
      </c>
      <c r="E3601" s="307" t="str">
        <f t="array" ref="E3601">(XLOOKUP(D3601,Roster!F:F,Roster!B:B,"",0))</f>
        <v>Mateo Vanegas</v>
      </c>
      <c r="F3601" s="315" t="str">
        <f t="array" ref="F3601">IF(B3601=100,"Free",TEXT(XLOOKUP($D3601,OperationVoice!$A:$A,OperationVoice!AJ:AJ,XLOOKUP($D3601,OperationTickets!$A:$A,OperationTickets!AJ:AJ,"",0)),"hh:mm"))</f>
        <v>08:00</v>
      </c>
      <c r="G3601" s="309">
        <f t="shared" si="3"/>
        <v>0.7083333333</v>
      </c>
      <c r="H3601" s="316" t="str">
        <f t="array" ref="H3601">XLOOKUP(B3601,Roster!L:L,Roster!N:N,XLOOKUP(D3601,TicketsBreak!A:A,TicketsBreak!E:E,"",0),0)</f>
        <v>09:15 - 09:30</v>
      </c>
      <c r="I3601" s="316" t="str">
        <f t="array" ref="I3601">XLOOKUP(B3601,Roster!L:L,Roster!O:O,XLOOKUP(D3601,TicketsBreak!A:A,TicketsBreak!F:F,"",0),0)</f>
        <v>11:30 - 12:00</v>
      </c>
      <c r="J3601" s="316" t="str">
        <f t="array" ref="J3601">XLOOKUP(B3601,Roster!L:L,Roster!P:P,XLOOKUP(D3601,TicketsBreak!A:A,TicketsBreak!G:G,"",0),0)</f>
        <v>14:30 - 14:45</v>
      </c>
      <c r="K3601" s="310">
        <f t="shared" si="4"/>
        <v>46142</v>
      </c>
      <c r="L3601" s="317">
        <f t="array" ref="L3601">(XLOOKUP(D3601,Roster!F:F,Roster!D:D,"",0))</f>
        <v>32</v>
      </c>
      <c r="M3601" s="317" t="str">
        <f t="array" ref="M3601">XLOOKUP(D3601,Roster!F:F,Roster!E:E)</f>
        <v>Tickets</v>
      </c>
      <c r="N3601" s="317" t="str">
        <f t="shared" ref="N3601:P3601" si="3652">LEFT(H3601,5)</f>
        <v>09:15</v>
      </c>
      <c r="O3601" s="317" t="str">
        <f t="shared" si="3652"/>
        <v>11:30</v>
      </c>
      <c r="P3601" s="317" t="str">
        <f t="shared" si="3652"/>
        <v>14:30</v>
      </c>
      <c r="Q3601" s="318">
        <f t="shared" si="3650"/>
        <v>46142.38542</v>
      </c>
      <c r="R3601" s="318">
        <f t="shared" si="3651"/>
        <v>46142.47917</v>
      </c>
      <c r="S3601" s="318">
        <f t="shared" si="8"/>
        <v>46142.60417</v>
      </c>
    </row>
    <row r="3602">
      <c r="A3602" s="14" t="str">
        <f t="shared" si="1"/>
        <v>C146846142</v>
      </c>
      <c r="B3602" s="185">
        <f t="array" ref="B3602">IF(F3602="VL","",IF(F3602="Free","Free",XLOOKUP(D3602,Roster!T:T,Roster!S:S,"",0)))</f>
        <v>122</v>
      </c>
      <c r="C3602" s="313">
        <v>46142.0</v>
      </c>
      <c r="D3602" s="314" t="s">
        <v>64</v>
      </c>
      <c r="E3602" s="307" t="str">
        <f t="array" ref="E3602">(XLOOKUP(D3602,Roster!F:F,Roster!B:B,"",0))</f>
        <v>Miguel Betancur</v>
      </c>
      <c r="F3602" s="315" t="str">
        <f t="array" ref="F3602">IF(B3602=100,"Free",TEXT(XLOOKUP($D3602,OperationVoice!$A:$A,OperationVoice!AJ:AJ,XLOOKUP($D3602,OperationTickets!$A:$A,OperationTickets!AJ:AJ,"",0)),"hh:mm"))</f>
        <v>08:00</v>
      </c>
      <c r="G3602" s="309">
        <f t="shared" si="3"/>
        <v>0.7083333333</v>
      </c>
      <c r="H3602" s="316" t="str">
        <f t="array" ref="H3602">XLOOKUP(B3602,Roster!L:L,Roster!N:N,XLOOKUP(D3602,TicketsBreak!A:A,TicketsBreak!E:E,"",0),0)</f>
        <v>09:30 - 09:45</v>
      </c>
      <c r="I3602" s="316" t="str">
        <f t="array" ref="I3602">XLOOKUP(B3602,Roster!L:L,Roster!O:O,XLOOKUP(D3602,TicketsBreak!A:A,TicketsBreak!F:F,"",0),0)</f>
        <v>12:00 - 12:30</v>
      </c>
      <c r="J3602" s="316" t="str">
        <f t="array" ref="J3602">XLOOKUP(B3602,Roster!L:L,Roster!P:P,XLOOKUP(D3602,TicketsBreak!A:A,TicketsBreak!G:G,"",0),0)</f>
        <v>14:45 - 15:00</v>
      </c>
      <c r="K3602" s="310">
        <f t="shared" si="4"/>
        <v>46142</v>
      </c>
      <c r="L3602" s="317">
        <f t="array" ref="L3602">(XLOOKUP(D3602,Roster!F:F,Roster!D:D,"",0))</f>
        <v>33</v>
      </c>
      <c r="M3602" s="317" t="str">
        <f t="array" ref="M3602">XLOOKUP(D3602,Roster!F:F,Roster!E:E)</f>
        <v>Voice</v>
      </c>
      <c r="N3602" s="317" t="str">
        <f t="shared" ref="N3602:P3602" si="3653">LEFT(H3602,5)</f>
        <v>09:30</v>
      </c>
      <c r="O3602" s="317" t="str">
        <f t="shared" si="3653"/>
        <v>12:00</v>
      </c>
      <c r="P3602" s="317" t="str">
        <f t="shared" si="3653"/>
        <v>14:45</v>
      </c>
      <c r="Q3602" s="318">
        <f t="shared" si="3650"/>
        <v>46142.39583</v>
      </c>
      <c r="R3602" s="318">
        <f t="shared" si="3651"/>
        <v>46142.5</v>
      </c>
      <c r="S3602" s="318">
        <f t="shared" si="8"/>
        <v>46142.61458</v>
      </c>
    </row>
    <row r="3603">
      <c r="A3603" s="14" t="str">
        <f t="shared" si="1"/>
        <v>C106546142</v>
      </c>
      <c r="B3603" s="185" t="str">
        <f t="array" ref="B3603">IF(F3603="VL","",IF(F3603="Free","Free",XLOOKUP(D3603,Roster!T:T,Roster!S:S,"",0)))</f>
        <v>Free</v>
      </c>
      <c r="C3603" s="313">
        <v>46142.0</v>
      </c>
      <c r="D3603" s="314" t="s">
        <v>148</v>
      </c>
      <c r="E3603" s="307" t="str">
        <f t="array" ref="E3603">(XLOOKUP(D3603,Roster!F:F,Roster!B:B,"",0))</f>
        <v>Miguel Hoyos</v>
      </c>
      <c r="F3603" s="315" t="str">
        <f t="array" ref="F3603">IF(B3603=100,"Free",TEXT(XLOOKUP($D3603,OperationVoice!$A:$A,OperationVoice!AJ:AJ,XLOOKUP($D3603,OperationTickets!$A:$A,OperationTickets!AJ:AJ,"",0)),"hh:mm"))</f>
        <v>Free</v>
      </c>
      <c r="G3603" s="309" t="str">
        <f t="shared" si="3"/>
        <v>Free</v>
      </c>
      <c r="H3603" s="316">
        <f t="array" ref="H3603">XLOOKUP(B3603,Roster!L:L,Roster!N:N,XLOOKUP(D3603,TicketsBreak!A:A,TicketsBreak!E:E,"",0),0)</f>
        <v>0.4583333333</v>
      </c>
      <c r="I3603" s="316">
        <f t="array" ref="I3603">XLOOKUP(B3603,Roster!L:L,Roster!O:O,XLOOKUP(D3603,TicketsBreak!A:A,TicketsBreak!F:F,"",0),0)</f>
        <v>0.5625</v>
      </c>
      <c r="J3603" s="316">
        <f t="array" ref="J3603">XLOOKUP(B3603,Roster!L:L,Roster!P:P,XLOOKUP(D3603,TicketsBreak!A:A,TicketsBreak!G:G,"",0),0)</f>
        <v>0.65625</v>
      </c>
      <c r="K3603" s="310">
        <f t="shared" si="4"/>
        <v>46142</v>
      </c>
      <c r="L3603" s="317">
        <f t="array" ref="L3603">(XLOOKUP(D3603,Roster!F:F,Roster!D:D,"",0))</f>
        <v>17</v>
      </c>
      <c r="M3603" s="317" t="str">
        <f t="array" ref="M3603">XLOOKUP(D3603,Roster!F:F,Roster!E:E)</f>
        <v>Tickets</v>
      </c>
      <c r="N3603" s="317" t="str">
        <f t="shared" ref="N3603:P3603" si="3654">LEFT(H3603,5)</f>
        <v>11:00</v>
      </c>
      <c r="O3603" s="317" t="str">
        <f t="shared" si="3654"/>
        <v>13:30</v>
      </c>
      <c r="P3603" s="317" t="str">
        <f t="shared" si="3654"/>
        <v>15:45</v>
      </c>
      <c r="Q3603" s="318">
        <f t="shared" si="3650"/>
        <v>46142.45833</v>
      </c>
      <c r="R3603" s="318">
        <f t="shared" si="3651"/>
        <v>46142.5625</v>
      </c>
      <c r="S3603" s="318">
        <f t="shared" si="8"/>
        <v>46142.65625</v>
      </c>
    </row>
    <row r="3604">
      <c r="A3604" s="14" t="str">
        <f t="shared" si="1"/>
        <v>C111446142</v>
      </c>
      <c r="B3604" s="185">
        <f t="array" ref="B3604">IF(F3604="VL","",IF(F3604="Free","Free",XLOOKUP(D3604,Roster!T:T,Roster!S:S,"",0)))</f>
        <v>113</v>
      </c>
      <c r="C3604" s="313">
        <v>46142.0</v>
      </c>
      <c r="D3604" s="314" t="s">
        <v>65</v>
      </c>
      <c r="E3604" s="307" t="str">
        <f t="array" ref="E3604">(XLOOKUP(D3604,Roster!F:F,Roster!B:B,"",0))</f>
        <v>Mikel Bowie</v>
      </c>
      <c r="F3604" s="315" t="str">
        <f t="array" ref="F3604">IF(B3604=100,"Free",TEXT(XLOOKUP($D3604,OperationVoice!$A:$A,OperationVoice!AJ:AJ,XLOOKUP($D3604,OperationTickets!$A:$A,OperationTickets!AJ:AJ,"",0)),"hh:mm"))</f>
        <v>08:00</v>
      </c>
      <c r="G3604" s="309">
        <f t="shared" si="3"/>
        <v>0.7083333333</v>
      </c>
      <c r="H3604" s="316" t="str">
        <f t="array" ref="H3604">XLOOKUP(B3604,Roster!L:L,Roster!N:N,XLOOKUP(D3604,TicketsBreak!A:A,TicketsBreak!E:E,"",0),0)</f>
        <v>09:45 - 10:00</v>
      </c>
      <c r="I3604" s="316" t="str">
        <f t="array" ref="I3604">XLOOKUP(B3604,Roster!L:L,Roster!O:O,XLOOKUP(D3604,TicketsBreak!A:A,TicketsBreak!F:F,"",0),0)</f>
        <v>12:30 - 13:00</v>
      </c>
      <c r="J3604" s="316" t="str">
        <f t="array" ref="J3604">XLOOKUP(B3604,Roster!L:L,Roster!P:P,XLOOKUP(D3604,TicketsBreak!A:A,TicketsBreak!G:G,"",0),0)</f>
        <v>14:45 - 15:00</v>
      </c>
      <c r="K3604" s="310">
        <f t="shared" si="4"/>
        <v>46142</v>
      </c>
      <c r="L3604" s="317">
        <f t="array" ref="L3604">(XLOOKUP(D3604,Roster!F:F,Roster!D:D,"",0))</f>
        <v>20</v>
      </c>
      <c r="M3604" s="317" t="str">
        <f t="array" ref="M3604">XLOOKUP(D3604,Roster!F:F,Roster!E:E)</f>
        <v>Voice</v>
      </c>
      <c r="N3604" s="317" t="str">
        <f t="shared" ref="N3604:P3604" si="3655">LEFT(H3604,5)</f>
        <v>09:45</v>
      </c>
      <c r="O3604" s="317" t="str">
        <f t="shared" si="3655"/>
        <v>12:30</v>
      </c>
      <c r="P3604" s="317" t="str">
        <f t="shared" si="3655"/>
        <v>14:45</v>
      </c>
      <c r="Q3604" s="318">
        <f t="shared" si="3650"/>
        <v>46142.40625</v>
      </c>
      <c r="R3604" s="318">
        <f t="shared" si="3651"/>
        <v>46142.52083</v>
      </c>
      <c r="S3604" s="318">
        <f t="shared" si="8"/>
        <v>46142.61458</v>
      </c>
    </row>
    <row r="3605">
      <c r="A3605" s="14" t="str">
        <f t="shared" si="1"/>
        <v>C116346142</v>
      </c>
      <c r="B3605" s="185">
        <f t="array" ref="B3605">IF(F3605="VL","",IF(F3605="Free","Free",XLOOKUP(D3605,Roster!T:T,Roster!S:S,"",0)))</f>
        <v>123</v>
      </c>
      <c r="C3605" s="313">
        <v>46142.0</v>
      </c>
      <c r="D3605" s="314" t="s">
        <v>66</v>
      </c>
      <c r="E3605" s="307" t="str">
        <f t="array" ref="E3605">(XLOOKUP(D3605,Roster!F:F,Roster!B:B,"",0))</f>
        <v>Natalia Cardona</v>
      </c>
      <c r="F3605" s="315" t="str">
        <f t="array" ref="F3605">IF(B3605=100,"Free",TEXT(XLOOKUP($D3605,OperationVoice!$A:$A,OperationVoice!AJ:AJ,XLOOKUP($D3605,OperationTickets!$A:$A,OperationTickets!AJ:AJ,"",0)),"hh:mm"))</f>
        <v>08:00</v>
      </c>
      <c r="G3605" s="309">
        <f t="shared" si="3"/>
        <v>0.7083333333</v>
      </c>
      <c r="H3605" s="316" t="str">
        <f t="array" ref="H3605">XLOOKUP(B3605,Roster!L:L,Roster!N:N,XLOOKUP(D3605,TicketsBreak!A:A,TicketsBreak!E:E,"",0),0)</f>
        <v>09:45 - 10:00 </v>
      </c>
      <c r="I3605" s="316" t="str">
        <f t="array" ref="I3605">XLOOKUP(B3605,Roster!L:L,Roster!O:O,XLOOKUP(D3605,TicketsBreak!A:A,TicketsBreak!F:F,"",0),0)</f>
        <v>12:30 - 13:00</v>
      </c>
      <c r="J3605" s="316" t="str">
        <f t="array" ref="J3605">XLOOKUP(B3605,Roster!L:L,Roster!P:P,XLOOKUP(D3605,TicketsBreak!A:A,TicketsBreak!G:G,"",0),0)</f>
        <v>15:00 - 15:15</v>
      </c>
      <c r="K3605" s="310">
        <f t="shared" si="4"/>
        <v>46142</v>
      </c>
      <c r="L3605" s="317">
        <f t="array" ref="L3605">(XLOOKUP(D3605,Roster!F:F,Roster!D:D,"",0))</f>
        <v>24</v>
      </c>
      <c r="M3605" s="317" t="str">
        <f t="array" ref="M3605">XLOOKUP(D3605,Roster!F:F,Roster!E:E)</f>
        <v>Voice</v>
      </c>
      <c r="N3605" s="317" t="str">
        <f t="shared" ref="N3605:P3605" si="3656">LEFT(H3605,5)</f>
        <v>09:45</v>
      </c>
      <c r="O3605" s="317" t="str">
        <f t="shared" si="3656"/>
        <v>12:30</v>
      </c>
      <c r="P3605" s="317" t="str">
        <f t="shared" si="3656"/>
        <v>15:00</v>
      </c>
      <c r="Q3605" s="318">
        <f t="shared" si="3650"/>
        <v>46142.40625</v>
      </c>
      <c r="R3605" s="318">
        <f t="shared" si="3651"/>
        <v>46142.52083</v>
      </c>
      <c r="S3605" s="318">
        <f t="shared" si="8"/>
        <v>46142.625</v>
      </c>
    </row>
    <row r="3606">
      <c r="A3606" s="14" t="str">
        <f t="shared" si="1"/>
        <v>C55646142</v>
      </c>
      <c r="B3606" s="185" t="str">
        <f t="array" ref="B3606">IF(F3606="VL","",IF(F3606="Free","Free",XLOOKUP(D3606,Roster!T:T,Roster!S:S,"",0)))</f>
        <v/>
      </c>
      <c r="C3606" s="313">
        <v>46142.0</v>
      </c>
      <c r="D3606" s="314" t="s">
        <v>167</v>
      </c>
      <c r="E3606" s="307" t="str">
        <f t="array" ref="E3606">(XLOOKUP(D3606,Roster!F:F,Roster!B:B,"",0))</f>
        <v>Nelson Londono</v>
      </c>
      <c r="F3606" s="315" t="str">
        <f t="array" ref="F3606">IF(B3606=100,"Free",TEXT(XLOOKUP($D3606,OperationVoice!$A:$A,OperationVoice!AJ:AJ,XLOOKUP($D3606,OperationTickets!$A:$A,OperationTickets!AJ:AJ,"",0)),"hh:mm"))</f>
        <v>07:00</v>
      </c>
      <c r="G3606" s="309">
        <f t="shared" si="3"/>
        <v>0.6666666667</v>
      </c>
      <c r="H3606" s="316">
        <f t="array" ref="H3606">XLOOKUP(B3606,Roster!L:L,Roster!N:N,XLOOKUP(D3606,TicketsBreak!A:A,TicketsBreak!E:E,"",0),0)</f>
        <v>0.3854166667</v>
      </c>
      <c r="I3606" s="316">
        <f t="array" ref="I3606">XLOOKUP(B3606,Roster!L:L,Roster!O:O,XLOOKUP(D3606,TicketsBreak!A:A,TicketsBreak!F:F,"",0),0)</f>
        <v>0.5833333333</v>
      </c>
      <c r="J3606" s="316">
        <f t="array" ref="J3606">XLOOKUP(B3606,Roster!L:L,Roster!P:P,XLOOKUP(D3606,TicketsBreak!A:A,TicketsBreak!G:G,"",0),0)</f>
        <v>0.6458333333</v>
      </c>
      <c r="K3606" s="310">
        <f t="shared" si="4"/>
        <v>46142</v>
      </c>
      <c r="L3606" s="317">
        <f t="array" ref="L3606">(XLOOKUP(D3606,Roster!F:F,Roster!D:D,"",0))</f>
        <v>2</v>
      </c>
      <c r="M3606" s="317" t="str">
        <f t="array" ref="M3606">XLOOKUP(D3606,Roster!F:F,Roster!E:E)</f>
        <v>Tickets</v>
      </c>
      <c r="N3606" s="317" t="str">
        <f t="shared" ref="N3606:P3606" si="3657">LEFT(H3606,5)</f>
        <v>09:15</v>
      </c>
      <c r="O3606" s="317" t="str">
        <f t="shared" si="3657"/>
        <v>14:00</v>
      </c>
      <c r="P3606" s="317" t="str">
        <f t="shared" si="3657"/>
        <v>15:30</v>
      </c>
      <c r="Q3606" s="318">
        <f t="shared" si="3650"/>
        <v>46142.38542</v>
      </c>
      <c r="R3606" s="318">
        <f t="shared" si="3651"/>
        <v>46142.58333</v>
      </c>
      <c r="S3606" s="318">
        <f t="shared" si="8"/>
        <v>46142.64583</v>
      </c>
    </row>
    <row r="3607">
      <c r="A3607" s="14" t="str">
        <f t="shared" si="1"/>
        <v>C150746142</v>
      </c>
      <c r="B3607" s="185">
        <f t="array" ref="B3607">IF(F3607="VL","",IF(F3607="Free","Free",XLOOKUP(D3607,Roster!T:T,Roster!S:S,"",0)))</f>
        <v>125</v>
      </c>
      <c r="C3607" s="313">
        <v>46142.0</v>
      </c>
      <c r="D3607" s="314" t="s">
        <v>67</v>
      </c>
      <c r="E3607" s="307" t="str">
        <f t="array" ref="E3607">(XLOOKUP(D3607,Roster!F:F,Roster!B:B,"",0))</f>
        <v>Nicols Quinones</v>
      </c>
      <c r="F3607" s="315" t="str">
        <f t="array" ref="F3607">IF(B3607=100,"Free",TEXT(XLOOKUP($D3607,OperationVoice!$A:$A,OperationVoice!AJ:AJ,XLOOKUP($D3607,OperationTickets!$A:$A,OperationTickets!AJ:AJ,"",0)),"hh:mm"))</f>
        <v>08:00</v>
      </c>
      <c r="G3607" s="309">
        <f t="shared" si="3"/>
        <v>0.7083333333</v>
      </c>
      <c r="H3607" s="316" t="str">
        <f t="array" ref="H3607">XLOOKUP(B3607,Roster!L:L,Roster!N:N,XLOOKUP(D3607,TicketsBreak!A:A,TicketsBreak!E:E,"",0),0)</f>
        <v>10:30 - 10:45</v>
      </c>
      <c r="I3607" s="316" t="str">
        <f t="array" ref="I3607">XLOOKUP(B3607,Roster!L:L,Roster!O:O,XLOOKUP(D3607,TicketsBreak!A:A,TicketsBreak!F:F,"",0),0)</f>
        <v>13:30 - 14:00</v>
      </c>
      <c r="J3607" s="316" t="str">
        <f t="array" ref="J3607">XLOOKUP(B3607,Roster!L:L,Roster!P:P,XLOOKUP(D3607,TicketsBreak!A:A,TicketsBreak!G:G,"",0),0)</f>
        <v>15:45 - 16:00</v>
      </c>
      <c r="K3607" s="310">
        <f t="shared" si="4"/>
        <v>46142</v>
      </c>
      <c r="L3607" s="317">
        <f t="array" ref="L3607">(XLOOKUP(D3607,Roster!F:F,Roster!D:D,"",0))</f>
        <v>35</v>
      </c>
      <c r="M3607" s="317" t="str">
        <f t="array" ref="M3607">XLOOKUP(D3607,Roster!F:F,Roster!E:E)</f>
        <v>Voice</v>
      </c>
      <c r="N3607" s="317" t="str">
        <f t="shared" ref="N3607:P3607" si="3658">LEFT(H3607,5)</f>
        <v>10:30</v>
      </c>
      <c r="O3607" s="317" t="str">
        <f t="shared" si="3658"/>
        <v>13:30</v>
      </c>
      <c r="P3607" s="317" t="str">
        <f t="shared" si="3658"/>
        <v>15:45</v>
      </c>
      <c r="Q3607" s="318">
        <f t="shared" si="3650"/>
        <v>46142.4375</v>
      </c>
      <c r="R3607" s="318">
        <f t="shared" si="3651"/>
        <v>46142.5625</v>
      </c>
      <c r="S3607" s="318">
        <f t="shared" si="8"/>
        <v>46142.65625</v>
      </c>
    </row>
    <row r="3608">
      <c r="A3608" s="14" t="str">
        <f t="shared" si="1"/>
        <v>C71446142</v>
      </c>
      <c r="B3608" s="185" t="str">
        <f t="array" ref="B3608">IF(F3608="VL","",IF(F3608="Free","Free",XLOOKUP(D3608,Roster!T:T,Roster!S:S,"",0)))</f>
        <v/>
      </c>
      <c r="C3608" s="313">
        <v>46142.0</v>
      </c>
      <c r="D3608" s="314" t="s">
        <v>149</v>
      </c>
      <c r="E3608" s="307" t="str">
        <f t="array" ref="E3608">(XLOOKUP(D3608,Roster!F:F,Roster!B:B,"",0))</f>
        <v>Onel Olivera</v>
      </c>
      <c r="F3608" s="315" t="str">
        <f t="array" ref="F3608">IF(B3608=100,"Free",TEXT(XLOOKUP($D3608,OperationVoice!$A:$A,OperationVoice!AJ:AJ,XLOOKUP($D3608,OperationTickets!$A:$A,OperationTickets!AJ:AJ,"",0)),"hh:mm"))</f>
        <v>08:00</v>
      </c>
      <c r="G3608" s="309">
        <f t="shared" si="3"/>
        <v>0.7083333333</v>
      </c>
      <c r="H3608" s="316">
        <f t="array" ref="H3608">XLOOKUP(B3608,Roster!L:L,Roster!N:N,XLOOKUP(D3608,TicketsBreak!A:A,TicketsBreak!E:E,"",0),0)</f>
        <v>0.4166666667</v>
      </c>
      <c r="I3608" s="316">
        <f t="array" ref="I3608">XLOOKUP(B3608,Roster!L:L,Roster!O:O,XLOOKUP(D3608,TicketsBreak!A:A,TicketsBreak!F:F,"",0),0)</f>
        <v>0.5</v>
      </c>
      <c r="J3608" s="316">
        <f t="array" ref="J3608">XLOOKUP(B3608,Roster!L:L,Roster!P:P,XLOOKUP(D3608,TicketsBreak!A:A,TicketsBreak!G:G,"",0),0)</f>
        <v>0.625</v>
      </c>
      <c r="K3608" s="310">
        <f t="shared" si="4"/>
        <v>46142</v>
      </c>
      <c r="L3608" s="317">
        <f t="array" ref="L3608">(XLOOKUP(D3608,Roster!F:F,Roster!D:D,"",0))</f>
        <v>1</v>
      </c>
      <c r="M3608" s="317" t="str">
        <f t="array" ref="M3608">XLOOKUP(D3608,Roster!F:F,Roster!E:E)</f>
        <v>Tickets</v>
      </c>
      <c r="N3608" s="317" t="str">
        <f t="shared" ref="N3608:P3608" si="3659">LEFT(H3608,5)</f>
        <v>10:00</v>
      </c>
      <c r="O3608" s="317" t="str">
        <f t="shared" si="3659"/>
        <v>12:00</v>
      </c>
      <c r="P3608" s="317" t="str">
        <f t="shared" si="3659"/>
        <v>15:00</v>
      </c>
      <c r="Q3608" s="318">
        <f t="shared" si="3650"/>
        <v>46142.41667</v>
      </c>
      <c r="R3608" s="318">
        <f t="shared" si="3651"/>
        <v>46142.5</v>
      </c>
      <c r="S3608" s="318">
        <f t="shared" si="8"/>
        <v>46142.625</v>
      </c>
    </row>
    <row r="3609">
      <c r="A3609" s="14" t="str">
        <f t="shared" si="1"/>
        <v>C116446142</v>
      </c>
      <c r="B3609" s="185" t="str">
        <f t="array" ref="B3609">IF(F3609="VL","",IF(F3609="Free","Free",XLOOKUP(D3609,Roster!T:T,Roster!S:S,"",0)))</f>
        <v/>
      </c>
      <c r="C3609" s="313">
        <v>46142.0</v>
      </c>
      <c r="D3609" s="314" t="s">
        <v>179</v>
      </c>
      <c r="E3609" s="307" t="str">
        <f t="array" ref="E3609">(XLOOKUP(D3609,Roster!F:F,Roster!B:B,"",0))</f>
        <v>Oscar Florez</v>
      </c>
      <c r="F3609" s="315" t="str">
        <f t="array" ref="F3609">IF(B3609=100,"Free",TEXT(XLOOKUP($D3609,OperationVoice!$A:$A,OperationVoice!AJ:AJ,XLOOKUP($D3609,OperationTickets!$A:$A,OperationTickets!AJ:AJ,"",0)),"hh:mm"))</f>
        <v>08:00</v>
      </c>
      <c r="G3609" s="309">
        <f t="shared" si="3"/>
        <v>0.7083333333</v>
      </c>
      <c r="H3609" s="316" t="str">
        <f t="array" ref="H3609">XLOOKUP(B3609,Roster!L:L,Roster!N:N,XLOOKUP(D3609,TicketsBreak!A:A,TicketsBreak!E:E,"",0),0)</f>
        <v/>
      </c>
      <c r="I3609" s="316" t="str">
        <f t="array" ref="I3609">XLOOKUP(B3609,Roster!L:L,Roster!O:O,XLOOKUP(D3609,TicketsBreak!A:A,TicketsBreak!F:F,"",0),0)</f>
        <v/>
      </c>
      <c r="J3609" s="316" t="str">
        <f t="array" ref="J3609">XLOOKUP(B3609,Roster!L:L,Roster!P:P,XLOOKUP(D3609,TicketsBreak!A:A,TicketsBreak!G:G,"",0),0)</f>
        <v/>
      </c>
      <c r="K3609" s="310">
        <f t="shared" si="4"/>
        <v>46142</v>
      </c>
      <c r="L3609" s="317">
        <f t="array" ref="L3609">(XLOOKUP(D3609,Roster!F:F,Roster!D:D,"",0))</f>
        <v>24</v>
      </c>
      <c r="M3609" s="317" t="str">
        <f t="array" ref="M3609">XLOOKUP(D3609,Roster!F:F,Roster!E:E)</f>
        <v>Tickets</v>
      </c>
      <c r="N3609" s="317" t="str">
        <f t="shared" ref="N3609:P3609" si="3660">LEFT(H3609,5)</f>
        <v/>
      </c>
      <c r="O3609" s="317" t="str">
        <f t="shared" si="3660"/>
        <v/>
      </c>
      <c r="P3609" s="317" t="str">
        <f t="shared" si="3660"/>
        <v/>
      </c>
      <c r="Q3609" s="318" t="str">
        <f t="shared" si="3650"/>
        <v/>
      </c>
      <c r="R3609" s="318" t="str">
        <f t="shared" si="3651"/>
        <v/>
      </c>
      <c r="S3609" s="318" t="str">
        <f t="shared" si="8"/>
        <v/>
      </c>
    </row>
    <row r="3610">
      <c r="A3610" s="14" t="str">
        <f t="shared" si="1"/>
        <v>C153846142</v>
      </c>
      <c r="B3610" s="185">
        <f t="array" ref="B3610">IF(F3610="VL","",IF(F3610="Free","Free",XLOOKUP(D3610,Roster!T:T,Roster!S:S,"",0)))</f>
        <v>151</v>
      </c>
      <c r="C3610" s="313">
        <v>46142.0</v>
      </c>
      <c r="D3610" s="314" t="s">
        <v>68</v>
      </c>
      <c r="E3610" s="307" t="str">
        <f t="array" ref="E3610">(XLOOKUP(D3610,Roster!F:F,Roster!B:B,"",0))</f>
        <v>Oscar Roldan</v>
      </c>
      <c r="F3610" s="315" t="str">
        <f t="array" ref="F3610">IF(B3610=100,"Free",TEXT(XLOOKUP($D3610,OperationVoice!$A:$A,OperationVoice!AJ:AJ,XLOOKUP($D3610,OperationTickets!$A:$A,OperationTickets!AJ:AJ,"",0)),"hh:mm"))</f>
        <v>11:00</v>
      </c>
      <c r="G3610" s="309">
        <f t="shared" si="3"/>
        <v>0.8333333333</v>
      </c>
      <c r="H3610" s="316" t="str">
        <f t="array" ref="H3610">XLOOKUP(B3610,Roster!L:L,Roster!N:N,XLOOKUP(D3610,TicketsBreak!A:A,TicketsBreak!E:E,"",0),0)</f>
        <v>12:15 - 12:30</v>
      </c>
      <c r="I3610" s="316" t="str">
        <f t="array" ref="I3610">XLOOKUP(B3610,Roster!L:L,Roster!O:O,XLOOKUP(D3610,TicketsBreak!A:A,TicketsBreak!F:F,"",0),0)</f>
        <v>14:00 - 14:30</v>
      </c>
      <c r="J3610" s="316" t="str">
        <f t="array" ref="J3610">XLOOKUP(B3610,Roster!L:L,Roster!P:P,XLOOKUP(D3610,TicketsBreak!A:A,TicketsBreak!G:G,"",0),0)</f>
        <v>17:15 - 17:30</v>
      </c>
      <c r="K3610" s="310">
        <f t="shared" si="4"/>
        <v>46142</v>
      </c>
      <c r="L3610" s="317">
        <f t="array" ref="L3610">(XLOOKUP(D3610,Roster!F:F,Roster!D:D,"",0))</f>
        <v>36</v>
      </c>
      <c r="M3610" s="317" t="str">
        <f t="array" ref="M3610">XLOOKUP(D3610,Roster!F:F,Roster!E:E)</f>
        <v>Voice</v>
      </c>
      <c r="N3610" s="317" t="str">
        <f t="shared" ref="N3610:P3610" si="3661">LEFT(H3610,5)</f>
        <v>12:15</v>
      </c>
      <c r="O3610" s="317" t="str">
        <f t="shared" si="3661"/>
        <v>14:00</v>
      </c>
      <c r="P3610" s="317" t="str">
        <f t="shared" si="3661"/>
        <v>17:15</v>
      </c>
      <c r="Q3610" s="318">
        <f t="shared" si="3650"/>
        <v>46142.51042</v>
      </c>
      <c r="R3610" s="318">
        <f t="shared" si="3651"/>
        <v>46142.58333</v>
      </c>
      <c r="S3610" s="318">
        <f t="shared" si="8"/>
        <v>46142.71875</v>
      </c>
    </row>
    <row r="3611">
      <c r="A3611" s="14" t="str">
        <f t="shared" si="1"/>
        <v>C151146142</v>
      </c>
      <c r="B3611" s="185">
        <f t="array" ref="B3611">IF(F3611="VL","",IF(F3611="Free","Free",XLOOKUP(D3611,Roster!T:T,Roster!S:S,"",0)))</f>
        <v>131</v>
      </c>
      <c r="C3611" s="313">
        <v>46142.0</v>
      </c>
      <c r="D3611" s="314" t="s">
        <v>69</v>
      </c>
      <c r="E3611" s="307" t="str">
        <f t="array" ref="E3611">(XLOOKUP(D3611,Roster!F:F,Roster!B:B,"",0))</f>
        <v>Salma Giraldo</v>
      </c>
      <c r="F3611" s="315" t="str">
        <f t="array" ref="F3611">IF(B3611=100,"Free",TEXT(XLOOKUP($D3611,OperationVoice!$A:$A,OperationVoice!AJ:AJ,XLOOKUP($D3611,OperationTickets!$A:$A,OperationTickets!AJ:AJ,"",0)),"hh:mm"))</f>
        <v>08:00</v>
      </c>
      <c r="G3611" s="309">
        <f t="shared" si="3"/>
        <v>0.7083333333</v>
      </c>
      <c r="H3611" s="316" t="str">
        <f t="array" ref="H3611">XLOOKUP(B3611,Roster!L:L,Roster!N:N,XLOOKUP(D3611,TicketsBreak!A:A,TicketsBreak!E:E,"",0),0)</f>
        <v>10:15 - 10:30</v>
      </c>
      <c r="I3611" s="316" t="str">
        <f t="array" ref="I3611">XLOOKUP(B3611,Roster!L:L,Roster!O:O,XLOOKUP(D3611,TicketsBreak!A:A,TicketsBreak!F:F,"",0),0)</f>
        <v>12:30 - 13:00</v>
      </c>
      <c r="J3611" s="316" t="str">
        <f t="array" ref="J3611">XLOOKUP(B3611,Roster!L:L,Roster!P:P,XLOOKUP(D3611,TicketsBreak!A:A,TicketsBreak!G:G,"",0),0)</f>
        <v>15:15 - 15:30</v>
      </c>
      <c r="K3611" s="310">
        <f t="shared" si="4"/>
        <v>46142</v>
      </c>
      <c r="L3611" s="317">
        <f t="array" ref="L3611">(XLOOKUP(D3611,Roster!F:F,Roster!D:D,"",0))</f>
        <v>35</v>
      </c>
      <c r="M3611" s="317" t="str">
        <f t="array" ref="M3611">XLOOKUP(D3611,Roster!F:F,Roster!E:E)</f>
        <v>Voice</v>
      </c>
      <c r="N3611" s="317" t="str">
        <f t="shared" ref="N3611:P3611" si="3662">LEFT(H3611,5)</f>
        <v>10:15</v>
      </c>
      <c r="O3611" s="317" t="str">
        <f t="shared" si="3662"/>
        <v>12:30</v>
      </c>
      <c r="P3611" s="317" t="str">
        <f t="shared" si="3662"/>
        <v>15:15</v>
      </c>
      <c r="Q3611" s="318">
        <f t="shared" si="3650"/>
        <v>46142.42708</v>
      </c>
      <c r="R3611" s="318">
        <f t="shared" si="3651"/>
        <v>46142.52083</v>
      </c>
      <c r="S3611" s="318">
        <f t="shared" si="8"/>
        <v>46142.63542</v>
      </c>
    </row>
    <row r="3612">
      <c r="A3612" s="14" t="str">
        <f t="shared" si="1"/>
        <v>C93346142</v>
      </c>
      <c r="B3612" s="185">
        <f t="array" ref="B3612">IF(F3612="VL","",IF(F3612="Free","Free",XLOOKUP(D3612,Roster!T:T,Roster!S:S,"",0)))</f>
        <v>124</v>
      </c>
      <c r="C3612" s="313">
        <v>46142.0</v>
      </c>
      <c r="D3612" s="314" t="s">
        <v>70</v>
      </c>
      <c r="E3612" s="307" t="str">
        <f t="array" ref="E3612">(XLOOKUP(D3612,Roster!F:F,Roster!B:B,"",0))</f>
        <v>Salome Arias</v>
      </c>
      <c r="F3612" s="315" t="str">
        <f t="array" ref="F3612">IF(B3612=100,"Free",TEXT(XLOOKUP($D3612,OperationVoice!$A:$A,OperationVoice!AJ:AJ,XLOOKUP($D3612,OperationTickets!$A:$A,OperationTickets!AJ:AJ,"",0)),"hh:mm"))</f>
        <v>08:00</v>
      </c>
      <c r="G3612" s="309">
        <f t="shared" si="3"/>
        <v>0.7083333333</v>
      </c>
      <c r="H3612" s="316" t="str">
        <f t="array" ref="H3612">XLOOKUP(B3612,Roster!L:L,Roster!N:N,XLOOKUP(D3612,TicketsBreak!A:A,TicketsBreak!E:E,"",0),0)</f>
        <v>10:00 - 10:15</v>
      </c>
      <c r="I3612" s="316" t="str">
        <f t="array" ref="I3612">XLOOKUP(B3612,Roster!L:L,Roster!O:O,XLOOKUP(D3612,TicketsBreak!A:A,TicketsBreak!F:F,"",0),0)</f>
        <v>13:00 - 13:30</v>
      </c>
      <c r="J3612" s="316" t="str">
        <f t="array" ref="J3612">XLOOKUP(B3612,Roster!L:L,Roster!P:P,XLOOKUP(D3612,TicketsBreak!A:A,TicketsBreak!G:G,"",0),0)</f>
        <v>15:30 - 15:45</v>
      </c>
      <c r="K3612" s="310">
        <f t="shared" si="4"/>
        <v>46142</v>
      </c>
      <c r="L3612" s="317">
        <f t="array" ref="L3612">(XLOOKUP(D3612,Roster!F:F,Roster!D:D,"",0))</f>
        <v>12</v>
      </c>
      <c r="M3612" s="317" t="str">
        <f t="array" ref="M3612">XLOOKUP(D3612,Roster!F:F,Roster!E:E)</f>
        <v>Voice</v>
      </c>
      <c r="N3612" s="317" t="str">
        <f t="shared" ref="N3612:P3612" si="3663">LEFT(H3612,5)</f>
        <v>10:00</v>
      </c>
      <c r="O3612" s="317" t="str">
        <f t="shared" si="3663"/>
        <v>13:00</v>
      </c>
      <c r="P3612" s="317" t="str">
        <f t="shared" si="3663"/>
        <v>15:30</v>
      </c>
      <c r="Q3612" s="318">
        <f t="shared" si="3650"/>
        <v>46142.41667</v>
      </c>
      <c r="R3612" s="318">
        <f t="shared" si="3651"/>
        <v>46142.54167</v>
      </c>
      <c r="S3612" s="318">
        <f t="shared" si="8"/>
        <v>46142.64583</v>
      </c>
    </row>
    <row r="3613">
      <c r="A3613" s="14" t="str">
        <f t="shared" si="1"/>
        <v>C128246142</v>
      </c>
      <c r="B3613" s="185" t="str">
        <f t="array" ref="B3613">IF(F3613="VL","",IF(F3613="Free","Free",XLOOKUP(D3613,Roster!T:T,Roster!S:S,"",0)))</f>
        <v/>
      </c>
      <c r="C3613" s="313">
        <v>46142.0</v>
      </c>
      <c r="D3613" s="314" t="s">
        <v>168</v>
      </c>
      <c r="E3613" s="307" t="str">
        <f t="array" ref="E3613">(XLOOKUP(D3613,Roster!F:F,Roster!B:B,"",0))</f>
        <v>Samuel Acevedo</v>
      </c>
      <c r="F3613" s="315" t="str">
        <f t="array" ref="F3613">IF(B3613=100,"Free",TEXT(XLOOKUP($D3613,OperationVoice!$A:$A,OperationVoice!AJ:AJ,XLOOKUP($D3613,OperationTickets!$A:$A,OperationTickets!AJ:AJ,"",0)),"hh:mm"))</f>
        <v>VL</v>
      </c>
      <c r="G3613" s="309" t="str">
        <f t="shared" si="3"/>
        <v>VL</v>
      </c>
      <c r="H3613" s="316" t="str">
        <f t="array" ref="H3613">XLOOKUP(B3613,Roster!L:L,Roster!N:N,XLOOKUP(D3613,TicketsBreak!A:A,TicketsBreak!E:E,"",0),0)</f>
        <v/>
      </c>
      <c r="I3613" s="316" t="str">
        <f t="array" ref="I3613">XLOOKUP(B3613,Roster!L:L,Roster!O:O,XLOOKUP(D3613,TicketsBreak!A:A,TicketsBreak!F:F,"",0),0)</f>
        <v/>
      </c>
      <c r="J3613" s="316" t="str">
        <f t="array" ref="J3613">XLOOKUP(B3613,Roster!L:L,Roster!P:P,XLOOKUP(D3613,TicketsBreak!A:A,TicketsBreak!G:G,"",0),0)</f>
        <v/>
      </c>
      <c r="K3613" s="310">
        <f t="shared" si="4"/>
        <v>46142</v>
      </c>
      <c r="L3613" s="317">
        <f t="array" ref="L3613">(XLOOKUP(D3613,Roster!F:F,Roster!D:D,"",0))</f>
        <v>27</v>
      </c>
      <c r="M3613" s="317" t="str">
        <f t="array" ref="M3613">XLOOKUP(D3613,Roster!F:F,Roster!E:E)</f>
        <v>Tickets</v>
      </c>
      <c r="N3613" s="317" t="str">
        <f t="shared" ref="N3613:P3613" si="3664">LEFT(H3613,5)</f>
        <v/>
      </c>
      <c r="O3613" s="317" t="str">
        <f t="shared" si="3664"/>
        <v/>
      </c>
      <c r="P3613" s="317" t="str">
        <f t="shared" si="3664"/>
        <v/>
      </c>
      <c r="Q3613" s="318" t="str">
        <f t="shared" si="3650"/>
        <v/>
      </c>
      <c r="R3613" s="318" t="str">
        <f t="shared" si="3651"/>
        <v/>
      </c>
      <c r="S3613" s="318" t="str">
        <f t="shared" si="8"/>
        <v/>
      </c>
    </row>
    <row r="3614">
      <c r="A3614" s="14" t="str">
        <f t="shared" si="1"/>
        <v>C156446142</v>
      </c>
      <c r="B3614" s="185" t="str">
        <f t="array" ref="B3614">IF(F3614="VL","",IF(F3614="Free","Free",XLOOKUP(D3614,Roster!T:T,Roster!S:S,"",0)))</f>
        <v>Free</v>
      </c>
      <c r="C3614" s="313">
        <v>46142.0</v>
      </c>
      <c r="D3614" s="314" t="s">
        <v>71</v>
      </c>
      <c r="E3614" s="307" t="str">
        <f t="array" ref="E3614">(XLOOKUP(D3614,Roster!F:F,Roster!B:B,"",0))</f>
        <v>Samuel Acevedo Cadavid</v>
      </c>
      <c r="F3614" s="315" t="str">
        <f t="array" ref="F3614">IF(B3614=100,"Free",TEXT(XLOOKUP($D3614,OperationVoice!$A:$A,OperationVoice!AJ:AJ,XLOOKUP($D3614,OperationTickets!$A:$A,OperationTickets!AJ:AJ,"",0)),"hh:mm"))</f>
        <v>Free</v>
      </c>
      <c r="G3614" s="309" t="str">
        <f t="shared" si="3"/>
        <v>Free</v>
      </c>
      <c r="H3614" s="316" t="str">
        <f t="array" ref="H3614">XLOOKUP(B3614,Roster!L:L,Roster!N:N,XLOOKUP(D3614,TicketsBreak!A:A,TicketsBreak!E:E,"",0),0)</f>
        <v/>
      </c>
      <c r="I3614" s="316" t="str">
        <f t="array" ref="I3614">XLOOKUP(B3614,Roster!L:L,Roster!O:O,XLOOKUP(D3614,TicketsBreak!A:A,TicketsBreak!F:F,"",0),0)</f>
        <v/>
      </c>
      <c r="J3614" s="316" t="str">
        <f t="array" ref="J3614">XLOOKUP(B3614,Roster!L:L,Roster!P:P,XLOOKUP(D3614,TicketsBreak!A:A,TicketsBreak!G:G,"",0),0)</f>
        <v/>
      </c>
      <c r="K3614" s="310">
        <f t="shared" si="4"/>
        <v>46142</v>
      </c>
      <c r="L3614" s="317">
        <f t="array" ref="L3614">(XLOOKUP(D3614,Roster!F:F,Roster!D:D,"",0))</f>
        <v>38</v>
      </c>
      <c r="M3614" s="317" t="str">
        <f t="array" ref="M3614">XLOOKUP(D3614,Roster!F:F,Roster!E:E)</f>
        <v>Voice</v>
      </c>
      <c r="N3614" s="317" t="str">
        <f t="shared" ref="N3614:P3614" si="3665">LEFT(H3614,5)</f>
        <v/>
      </c>
      <c r="O3614" s="317" t="str">
        <f t="shared" si="3665"/>
        <v/>
      </c>
      <c r="P3614" s="317" t="str">
        <f t="shared" si="3665"/>
        <v/>
      </c>
      <c r="Q3614" s="318" t="str">
        <f t="shared" si="3650"/>
        <v/>
      </c>
      <c r="R3614" s="318" t="str">
        <f t="shared" si="3651"/>
        <v/>
      </c>
      <c r="S3614" s="318" t="str">
        <f t="shared" si="8"/>
        <v/>
      </c>
    </row>
    <row r="3615">
      <c r="A3615" s="14" t="str">
        <f t="shared" si="1"/>
        <v>C116846142</v>
      </c>
      <c r="B3615" s="185">
        <f t="array" ref="B3615">IF(F3615="VL","",IF(F3615="Free","Free",XLOOKUP(D3615,Roster!T:T,Roster!S:S,"",0)))</f>
        <v>125</v>
      </c>
      <c r="C3615" s="313">
        <v>46142.0</v>
      </c>
      <c r="D3615" s="314" t="s">
        <v>180</v>
      </c>
      <c r="E3615" s="307" t="str">
        <f t="array" ref="E3615">(XLOOKUP(D3615,Roster!F:F,Roster!B:B,"",0))</f>
        <v>Santiago Gaviria</v>
      </c>
      <c r="F3615" s="315" t="str">
        <f t="array" ref="F3615">IF(B3615=100,"Free",TEXT(XLOOKUP($D3615,OperationVoice!$A:$A,OperationVoice!AJ:AJ,XLOOKUP($D3615,OperationTickets!$A:$A,OperationTickets!AJ:AJ,"",0)),"hh:mm"))</f>
        <v>08:00</v>
      </c>
      <c r="G3615" s="309">
        <f t="shared" si="3"/>
        <v>0.7083333333</v>
      </c>
      <c r="H3615" s="316" t="str">
        <f t="array" ref="H3615">XLOOKUP(B3615,Roster!L:L,Roster!N:N,XLOOKUP(D3615,TicketsBreak!A:A,TicketsBreak!E:E,"",0),0)</f>
        <v>10:30 - 10:45</v>
      </c>
      <c r="I3615" s="316" t="str">
        <f t="array" ref="I3615">XLOOKUP(B3615,Roster!L:L,Roster!O:O,XLOOKUP(D3615,TicketsBreak!A:A,TicketsBreak!F:F,"",0),0)</f>
        <v>13:30 - 14:00</v>
      </c>
      <c r="J3615" s="316" t="str">
        <f t="array" ref="J3615">XLOOKUP(B3615,Roster!L:L,Roster!P:P,XLOOKUP(D3615,TicketsBreak!A:A,TicketsBreak!G:G,"",0),0)</f>
        <v>15:45 - 16:00</v>
      </c>
      <c r="K3615" s="310">
        <f t="shared" si="4"/>
        <v>46142</v>
      </c>
      <c r="L3615" s="317">
        <f t="array" ref="L3615">(XLOOKUP(D3615,Roster!F:F,Roster!D:D,"",0))</f>
        <v>24</v>
      </c>
      <c r="M3615" s="317" t="str">
        <f t="array" ref="M3615">XLOOKUP(D3615,Roster!F:F,Roster!E:E)</f>
        <v>Tickets</v>
      </c>
      <c r="N3615" s="317" t="str">
        <f t="shared" ref="N3615:P3615" si="3666">LEFT(H3615,5)</f>
        <v>10:30</v>
      </c>
      <c r="O3615" s="317" t="str">
        <f t="shared" si="3666"/>
        <v>13:30</v>
      </c>
      <c r="P3615" s="317" t="str">
        <f t="shared" si="3666"/>
        <v>15:45</v>
      </c>
      <c r="Q3615" s="318">
        <f t="shared" si="3650"/>
        <v>46142.4375</v>
      </c>
      <c r="R3615" s="318">
        <f t="shared" si="3651"/>
        <v>46142.5625</v>
      </c>
      <c r="S3615" s="318">
        <f t="shared" si="8"/>
        <v>46142.65625</v>
      </c>
    </row>
    <row r="3616">
      <c r="A3616" s="14" t="str">
        <f t="shared" si="1"/>
        <v>C122046142</v>
      </c>
      <c r="B3616" s="185" t="str">
        <f t="array" ref="B3616">IF(F3616="VL","",IF(F3616="Free","Free",XLOOKUP(D3616,Roster!T:T,Roster!S:S,"",0)))</f>
        <v/>
      </c>
      <c r="C3616" s="313">
        <v>46142.0</v>
      </c>
      <c r="D3616" s="314" t="s">
        <v>181</v>
      </c>
      <c r="E3616" s="307" t="str">
        <f t="array" ref="E3616">(XLOOKUP(D3616,Roster!F:F,Roster!B:B,"",0))</f>
        <v>Santiago Gonzalez</v>
      </c>
      <c r="F3616" s="315" t="str">
        <f t="array" ref="F3616">IF(B3616=100,"Free",TEXT(XLOOKUP($D3616,OperationVoice!$A:$A,OperationVoice!AJ:AJ,XLOOKUP($D3616,OperationTickets!$A:$A,OperationTickets!AJ:AJ,"",0)),"hh:mm"))</f>
        <v>08:00</v>
      </c>
      <c r="G3616" s="309">
        <f t="shared" si="3"/>
        <v>0.7083333333</v>
      </c>
      <c r="H3616" s="316" t="str">
        <f t="array" ref="H3616">XLOOKUP(B3616,Roster!L:L,Roster!N:N,XLOOKUP(D3616,TicketsBreak!A:A,TicketsBreak!E:E,"",0),0)</f>
        <v/>
      </c>
      <c r="I3616" s="316" t="str">
        <f t="array" ref="I3616">XLOOKUP(B3616,Roster!L:L,Roster!O:O,XLOOKUP(D3616,TicketsBreak!A:A,TicketsBreak!F:F,"",0),0)</f>
        <v/>
      </c>
      <c r="J3616" s="316" t="str">
        <f t="array" ref="J3616">XLOOKUP(B3616,Roster!L:L,Roster!P:P,XLOOKUP(D3616,TicketsBreak!A:A,TicketsBreak!G:G,"",0),0)</f>
        <v/>
      </c>
      <c r="K3616" s="310">
        <f t="shared" si="4"/>
        <v>46142</v>
      </c>
      <c r="L3616" s="317">
        <f t="array" ref="L3616">(XLOOKUP(D3616,Roster!F:F,Roster!D:D,"",0))</f>
        <v>26</v>
      </c>
      <c r="M3616" s="317" t="str">
        <f t="array" ref="M3616">XLOOKUP(D3616,Roster!F:F,Roster!E:E)</f>
        <v>Tickets</v>
      </c>
      <c r="N3616" s="317" t="str">
        <f t="shared" ref="N3616:P3616" si="3667">LEFT(H3616,5)</f>
        <v/>
      </c>
      <c r="O3616" s="317" t="str">
        <f t="shared" si="3667"/>
        <v/>
      </c>
      <c r="P3616" s="317" t="str">
        <f t="shared" si="3667"/>
        <v/>
      </c>
      <c r="Q3616" s="318" t="str">
        <f t="shared" si="3650"/>
        <v/>
      </c>
      <c r="R3616" s="318" t="str">
        <f t="shared" si="3651"/>
        <v/>
      </c>
      <c r="S3616" s="318" t="str">
        <f t="shared" si="8"/>
        <v/>
      </c>
    </row>
    <row r="3617">
      <c r="A3617" s="14" t="str">
        <f t="shared" si="1"/>
        <v>C140646142</v>
      </c>
      <c r="B3617" s="185">
        <f t="array" ref="B3617">IF(F3617="VL","",IF(F3617="Free","Free",XLOOKUP(D3617,Roster!T:T,Roster!S:S,"",0)))</f>
        <v>152</v>
      </c>
      <c r="C3617" s="313">
        <v>46142.0</v>
      </c>
      <c r="D3617" s="314" t="s">
        <v>72</v>
      </c>
      <c r="E3617" s="307" t="str">
        <f t="array" ref="E3617">(XLOOKUP(D3617,Roster!F:F,Roster!B:B,"",0))</f>
        <v>Santiago Mora</v>
      </c>
      <c r="F3617" s="315" t="str">
        <f t="array" ref="F3617">IF(B3617=100,"Free",TEXT(XLOOKUP($D3617,OperationVoice!$A:$A,OperationVoice!AJ:AJ,XLOOKUP($D3617,OperationTickets!$A:$A,OperationTickets!AJ:AJ,"",0)),"hh:mm"))</f>
        <v>11:00</v>
      </c>
      <c r="G3617" s="309">
        <f t="shared" si="3"/>
        <v>0.8333333333</v>
      </c>
      <c r="H3617" s="316" t="str">
        <f t="array" ref="H3617">XLOOKUP(B3617,Roster!L:L,Roster!N:N,XLOOKUP(D3617,TicketsBreak!A:A,TicketsBreak!E:E,"",0),0)</f>
        <v>12:30 - 12:45</v>
      </c>
      <c r="I3617" s="316" t="str">
        <f t="array" ref="I3617">XLOOKUP(B3617,Roster!L:L,Roster!O:O,XLOOKUP(D3617,TicketsBreak!A:A,TicketsBreak!F:F,"",0),0)</f>
        <v>14:30 - 15:00</v>
      </c>
      <c r="J3617" s="316" t="str">
        <f t="array" ref="J3617">XLOOKUP(B3617,Roster!L:L,Roster!P:P,XLOOKUP(D3617,TicketsBreak!A:A,TicketsBreak!G:G,"",0),0)</f>
        <v>17:30 - 17:45</v>
      </c>
      <c r="K3617" s="310">
        <f t="shared" si="4"/>
        <v>46142</v>
      </c>
      <c r="L3617" s="317">
        <f t="array" ref="L3617">(XLOOKUP(D3617,Roster!F:F,Roster!D:D,"",0))</f>
        <v>35</v>
      </c>
      <c r="M3617" s="317" t="str">
        <f t="array" ref="M3617">XLOOKUP(D3617,Roster!F:F,Roster!E:E)</f>
        <v>Voice</v>
      </c>
      <c r="N3617" s="317" t="str">
        <f t="shared" ref="N3617:P3617" si="3668">LEFT(H3617,5)</f>
        <v>12:30</v>
      </c>
      <c r="O3617" s="317" t="str">
        <f t="shared" si="3668"/>
        <v>14:30</v>
      </c>
      <c r="P3617" s="317" t="str">
        <f t="shared" si="3668"/>
        <v>17:30</v>
      </c>
      <c r="Q3617" s="318">
        <f t="shared" si="3650"/>
        <v>46142.52083</v>
      </c>
      <c r="R3617" s="318">
        <f t="shared" si="3651"/>
        <v>46142.60417</v>
      </c>
      <c r="S3617" s="318">
        <f t="shared" si="8"/>
        <v>46142.72917</v>
      </c>
    </row>
    <row r="3618">
      <c r="A3618" s="14" t="str">
        <f t="shared" si="1"/>
        <v>C119946142</v>
      </c>
      <c r="B3618" s="185" t="str">
        <f t="array" ref="B3618">IF(F3618="VL","",IF(F3618="Free","Free",XLOOKUP(D3618,Roster!T:T,Roster!S:S,"",0)))</f>
        <v/>
      </c>
      <c r="C3618" s="313">
        <v>46142.0</v>
      </c>
      <c r="D3618" s="314" t="s">
        <v>182</v>
      </c>
      <c r="E3618" s="307" t="str">
        <f t="array" ref="E3618">(XLOOKUP(D3618,Roster!F:F,Roster!B:B,"",0))</f>
        <v>Santiago Velasquez</v>
      </c>
      <c r="F3618" s="315" t="str">
        <f t="array" ref="F3618">IF(B3618=100,"Free",TEXT(XLOOKUP($D3618,OperationVoice!$A:$A,OperationVoice!AJ:AJ,XLOOKUP($D3618,OperationTickets!$A:$A,OperationTickets!AJ:AJ,"",0)),"hh:mm"))</f>
        <v>08:00</v>
      </c>
      <c r="G3618" s="309">
        <f t="shared" si="3"/>
        <v>0.7083333333</v>
      </c>
      <c r="H3618" s="316" t="str">
        <f t="array" ref="H3618">XLOOKUP(B3618,Roster!L:L,Roster!N:N,XLOOKUP(D3618,TicketsBreak!A:A,TicketsBreak!E:E,"",0),0)</f>
        <v/>
      </c>
      <c r="I3618" s="316" t="str">
        <f t="array" ref="I3618">XLOOKUP(B3618,Roster!L:L,Roster!O:O,XLOOKUP(D3618,TicketsBreak!A:A,TicketsBreak!F:F,"",0),0)</f>
        <v/>
      </c>
      <c r="J3618" s="316" t="str">
        <f t="array" ref="J3618">XLOOKUP(B3618,Roster!L:L,Roster!P:P,XLOOKUP(D3618,TicketsBreak!A:A,TicketsBreak!G:G,"",0),0)</f>
        <v/>
      </c>
      <c r="K3618" s="310">
        <f t="shared" si="4"/>
        <v>46142</v>
      </c>
      <c r="L3618" s="317">
        <f t="array" ref="L3618">(XLOOKUP(D3618,Roster!F:F,Roster!D:D,"",0))</f>
        <v>25</v>
      </c>
      <c r="M3618" s="317" t="str">
        <f t="array" ref="M3618">XLOOKUP(D3618,Roster!F:F,Roster!E:E)</f>
        <v>Tickets</v>
      </c>
      <c r="N3618" s="317" t="str">
        <f t="shared" ref="N3618:P3618" si="3669">LEFT(H3618,5)</f>
        <v/>
      </c>
      <c r="O3618" s="317" t="str">
        <f t="shared" si="3669"/>
        <v/>
      </c>
      <c r="P3618" s="317" t="str">
        <f t="shared" si="3669"/>
        <v/>
      </c>
      <c r="Q3618" s="318" t="str">
        <f t="shared" si="3650"/>
        <v/>
      </c>
      <c r="R3618" s="318" t="str">
        <f t="shared" si="3651"/>
        <v/>
      </c>
      <c r="S3618" s="318" t="str">
        <f t="shared" si="8"/>
        <v/>
      </c>
    </row>
    <row r="3619">
      <c r="A3619" s="14" t="str">
        <f t="shared" si="1"/>
        <v>C90246142</v>
      </c>
      <c r="B3619" s="185" t="str">
        <f t="array" ref="B3619">IF(F3619="VL","",IF(F3619="Free","Free",XLOOKUP(D3619,Roster!T:T,Roster!S:S,"",0)))</f>
        <v/>
      </c>
      <c r="C3619" s="313">
        <v>46142.0</v>
      </c>
      <c r="D3619" s="314" t="s">
        <v>150</v>
      </c>
      <c r="E3619" s="307" t="str">
        <f t="array" ref="E3619">(XLOOKUP(D3619,Roster!F:F,Roster!B:B,"",0))</f>
        <v>Sebastiam Vallejo</v>
      </c>
      <c r="F3619" s="315" t="str">
        <f t="array" ref="F3619">IF(B3619=100,"Free",TEXT(XLOOKUP($D3619,OperationVoice!$A:$A,OperationVoice!AJ:AJ,XLOOKUP($D3619,OperationTickets!$A:$A,OperationTickets!AJ:AJ,"",0)),"hh:mm"))</f>
        <v>08:00</v>
      </c>
      <c r="G3619" s="309">
        <f t="shared" si="3"/>
        <v>0.7083333333</v>
      </c>
      <c r="H3619" s="316">
        <f t="array" ref="H3619">XLOOKUP(B3619,Roster!L:L,Roster!N:N,XLOOKUP(D3619,TicketsBreak!A:A,TicketsBreak!E:E,"",0),0)</f>
        <v>0.4375</v>
      </c>
      <c r="I3619" s="316">
        <f t="array" ref="I3619">XLOOKUP(B3619,Roster!L:L,Roster!O:O,XLOOKUP(D3619,TicketsBreak!A:A,TicketsBreak!F:F,"",0),0)</f>
        <v>0.6041666667</v>
      </c>
      <c r="J3619" s="316">
        <f t="array" ref="J3619">XLOOKUP(B3619,Roster!L:L,Roster!P:P,XLOOKUP(D3619,TicketsBreak!A:A,TicketsBreak!G:G,"",0),0)</f>
        <v>0.65625</v>
      </c>
      <c r="K3619" s="310">
        <f t="shared" si="4"/>
        <v>46142</v>
      </c>
      <c r="L3619" s="317">
        <f t="array" ref="L3619">(XLOOKUP(D3619,Roster!F:F,Roster!D:D,"",0))</f>
        <v>11</v>
      </c>
      <c r="M3619" s="317" t="str">
        <f t="array" ref="M3619">XLOOKUP(D3619,Roster!F:F,Roster!E:E)</f>
        <v>Tickets</v>
      </c>
      <c r="N3619" s="317" t="str">
        <f t="shared" ref="N3619:P3619" si="3670">LEFT(H3619,5)</f>
        <v>10:30</v>
      </c>
      <c r="O3619" s="317" t="str">
        <f t="shared" si="3670"/>
        <v>14:30</v>
      </c>
      <c r="P3619" s="317" t="str">
        <f t="shared" si="3670"/>
        <v>15:45</v>
      </c>
      <c r="Q3619" s="318">
        <f t="shared" si="3650"/>
        <v>46142.4375</v>
      </c>
      <c r="R3619" s="318">
        <f t="shared" si="3651"/>
        <v>46142.60417</v>
      </c>
      <c r="S3619" s="318">
        <f t="shared" si="8"/>
        <v>46142.65625</v>
      </c>
    </row>
    <row r="3620">
      <c r="A3620" s="14" t="str">
        <f t="shared" si="1"/>
        <v>C150646142</v>
      </c>
      <c r="B3620" s="185">
        <f t="array" ref="B3620">IF(F3620="VL","",IF(F3620="Free","Free",XLOOKUP(D3620,Roster!T:T,Roster!S:S,"",0)))</f>
        <v>153</v>
      </c>
      <c r="C3620" s="313">
        <v>46142.0</v>
      </c>
      <c r="D3620" s="314" t="s">
        <v>73</v>
      </c>
      <c r="E3620" s="307" t="str">
        <f t="array" ref="E3620">(XLOOKUP(D3620,Roster!F:F,Roster!B:B,"",0))</f>
        <v>Sebastian Agudelo Londono</v>
      </c>
      <c r="F3620" s="315" t="str">
        <f t="array" ref="F3620">IF(B3620=100,"Free",TEXT(XLOOKUP($D3620,OperationVoice!$A:$A,OperationVoice!AJ:AJ,XLOOKUP($D3620,OperationTickets!$A:$A,OperationTickets!AJ:AJ,"",0)),"hh:mm"))</f>
        <v>11:00</v>
      </c>
      <c r="G3620" s="309">
        <f t="shared" si="3"/>
        <v>0.8333333333</v>
      </c>
      <c r="H3620" s="316" t="str">
        <f t="array" ref="H3620">XLOOKUP(B3620,Roster!L:L,Roster!N:N,XLOOKUP(D3620,TicketsBreak!A:A,TicketsBreak!E:E,"",0),0)</f>
        <v>12:45 - 13:00</v>
      </c>
      <c r="I3620" s="316" t="str">
        <f t="array" ref="I3620">XLOOKUP(B3620,Roster!L:L,Roster!O:O,XLOOKUP(D3620,TicketsBreak!A:A,TicketsBreak!F:F,"",0),0)</f>
        <v>15:00 - 15:30</v>
      </c>
      <c r="J3620" s="316" t="str">
        <f t="array" ref="J3620">XLOOKUP(B3620,Roster!L:L,Roster!P:P,XLOOKUP(D3620,TicketsBreak!A:A,TicketsBreak!G:G,"",0),0)</f>
        <v>17:45 - 18:00</v>
      </c>
      <c r="K3620" s="310">
        <f t="shared" si="4"/>
        <v>46142</v>
      </c>
      <c r="L3620" s="317">
        <f t="array" ref="L3620">(XLOOKUP(D3620,Roster!F:F,Roster!D:D,"",0))</f>
        <v>35</v>
      </c>
      <c r="M3620" s="317" t="str">
        <f t="array" ref="M3620">XLOOKUP(D3620,Roster!F:F,Roster!E:E)</f>
        <v>Voice</v>
      </c>
      <c r="N3620" s="317" t="str">
        <f t="shared" ref="N3620:P3620" si="3671">LEFT(H3620,5)</f>
        <v>12:45</v>
      </c>
      <c r="O3620" s="317" t="str">
        <f t="shared" si="3671"/>
        <v>15:00</v>
      </c>
      <c r="P3620" s="317" t="str">
        <f t="shared" si="3671"/>
        <v>17:45</v>
      </c>
      <c r="Q3620" s="318">
        <f t="shared" si="3650"/>
        <v>46142.53125</v>
      </c>
      <c r="R3620" s="318">
        <f t="shared" si="3651"/>
        <v>46142.625</v>
      </c>
      <c r="S3620" s="318">
        <f t="shared" si="8"/>
        <v>46142.73958</v>
      </c>
    </row>
    <row r="3621">
      <c r="A3621" s="14" t="str">
        <f t="shared" si="1"/>
        <v>C119046142</v>
      </c>
      <c r="B3621" s="185" t="str">
        <f t="array" ref="B3621">IF(F3621="VL","",IF(F3621="Free","Free",XLOOKUP(D3621,Roster!T:T,Roster!S:S,"",0)))</f>
        <v/>
      </c>
      <c r="C3621" s="313">
        <v>46142.0</v>
      </c>
      <c r="D3621" s="314" t="s">
        <v>183</v>
      </c>
      <c r="E3621" s="307" t="str">
        <f t="array" ref="E3621">(XLOOKUP(D3621,Roster!F:F,Roster!B:B,"",0))</f>
        <v>Sebastian Herrera</v>
      </c>
      <c r="F3621" s="315" t="str">
        <f t="array" ref="F3621">IF(B3621=100,"Free",TEXT(XLOOKUP($D3621,OperationVoice!$A:$A,OperationVoice!AJ:AJ,XLOOKUP($D3621,OperationTickets!$A:$A,OperationTickets!AJ:AJ,"",0)),"hh:mm"))</f>
        <v>07:00</v>
      </c>
      <c r="G3621" s="309">
        <f t="shared" si="3"/>
        <v>0.6666666667</v>
      </c>
      <c r="H3621" s="316">
        <f t="array" ref="H3621">XLOOKUP(B3621,Roster!L:L,Roster!N:N,XLOOKUP(D3621,TicketsBreak!A:A,TicketsBreak!E:E,"",0),0)</f>
        <v>0.40625</v>
      </c>
      <c r="I3621" s="316">
        <f t="array" ref="I3621">XLOOKUP(B3621,Roster!L:L,Roster!O:O,XLOOKUP(D3621,TicketsBreak!A:A,TicketsBreak!F:F,"",0),0)</f>
        <v>0.5416666667</v>
      </c>
      <c r="J3621" s="316">
        <f t="array" ref="J3621">XLOOKUP(B3621,Roster!L:L,Roster!P:P,XLOOKUP(D3621,TicketsBreak!A:A,TicketsBreak!G:G,"",0),0)</f>
        <v>0.625</v>
      </c>
      <c r="K3621" s="310">
        <f t="shared" si="4"/>
        <v>46142</v>
      </c>
      <c r="L3621" s="317">
        <f t="array" ref="L3621">(XLOOKUP(D3621,Roster!F:F,Roster!D:D,"",0))</f>
        <v>25</v>
      </c>
      <c r="M3621" s="317" t="str">
        <f t="array" ref="M3621">XLOOKUP(D3621,Roster!F:F,Roster!E:E)</f>
        <v>Tickets</v>
      </c>
      <c r="N3621" s="317" t="str">
        <f t="shared" ref="N3621:P3621" si="3672">LEFT(H3621,5)</f>
        <v>09:45</v>
      </c>
      <c r="O3621" s="317" t="str">
        <f t="shared" si="3672"/>
        <v>13:00</v>
      </c>
      <c r="P3621" s="317" t="str">
        <f t="shared" si="3672"/>
        <v>15:00</v>
      </c>
      <c r="Q3621" s="318">
        <f t="shared" si="3650"/>
        <v>46142.40625</v>
      </c>
      <c r="R3621" s="318">
        <f t="shared" si="3651"/>
        <v>46142.54167</v>
      </c>
      <c r="S3621" s="318">
        <f t="shared" si="8"/>
        <v>46142.625</v>
      </c>
    </row>
    <row r="3622">
      <c r="A3622" s="14" t="str">
        <f t="shared" si="1"/>
        <v>C71046142</v>
      </c>
      <c r="B3622" s="185" t="str">
        <f t="array" ref="B3622">IF(F3622="VL","",IF(F3622="Free","Free",XLOOKUP(D3622,Roster!T:T,Roster!S:S,"",0)))</f>
        <v>Free</v>
      </c>
      <c r="C3622" s="313">
        <v>46142.0</v>
      </c>
      <c r="D3622" s="314" t="s">
        <v>184</v>
      </c>
      <c r="E3622" s="307" t="str">
        <f t="array" ref="E3622">(XLOOKUP(D3622,Roster!F:F,Roster!B:B,"",0))</f>
        <v>Sebastian Martinez</v>
      </c>
      <c r="F3622" s="315" t="str">
        <f t="array" ref="F3622">IF(B3622=100,"Free",TEXT(XLOOKUP($D3622,OperationVoice!$A:$A,OperationVoice!AJ:AJ,XLOOKUP($D3622,OperationTickets!$A:$A,OperationTickets!AJ:AJ,"",0)),"hh:mm"))</f>
        <v>Free</v>
      </c>
      <c r="G3622" s="309" t="str">
        <f t="shared" si="3"/>
        <v>Free</v>
      </c>
      <c r="H3622" s="316">
        <f t="array" ref="H3622">XLOOKUP(B3622,Roster!L:L,Roster!N:N,XLOOKUP(D3622,TicketsBreak!A:A,TicketsBreak!E:E,"",0),0)</f>
        <v>0.40625</v>
      </c>
      <c r="I3622" s="316">
        <f t="array" ref="I3622">XLOOKUP(B3622,Roster!L:L,Roster!O:O,XLOOKUP(D3622,TicketsBreak!A:A,TicketsBreak!F:F,"",0),0)</f>
        <v>0.5625</v>
      </c>
      <c r="J3622" s="316">
        <f t="array" ref="J3622">XLOOKUP(B3622,Roster!L:L,Roster!P:P,XLOOKUP(D3622,TicketsBreak!A:A,TicketsBreak!G:G,"",0),0)</f>
        <v>0.65625</v>
      </c>
      <c r="K3622" s="310">
        <f t="shared" si="4"/>
        <v>46142</v>
      </c>
      <c r="L3622" s="317">
        <f t="array" ref="L3622">(XLOOKUP(D3622,Roster!F:F,Roster!D:D,"",0))</f>
        <v>6</v>
      </c>
      <c r="M3622" s="317" t="str">
        <f t="array" ref="M3622">XLOOKUP(D3622,Roster!F:F,Roster!E:E)</f>
        <v>Tickets</v>
      </c>
      <c r="N3622" s="317" t="str">
        <f t="shared" ref="N3622:P3622" si="3673">LEFT(H3622,5)</f>
        <v>09:45</v>
      </c>
      <c r="O3622" s="317" t="str">
        <f t="shared" si="3673"/>
        <v>13:30</v>
      </c>
      <c r="P3622" s="317" t="str">
        <f t="shared" si="3673"/>
        <v>15:45</v>
      </c>
      <c r="Q3622" s="318">
        <f t="shared" si="3650"/>
        <v>46142.40625</v>
      </c>
      <c r="R3622" s="318">
        <f t="shared" si="3651"/>
        <v>46142.5625</v>
      </c>
      <c r="S3622" s="318">
        <f t="shared" si="8"/>
        <v>46142.65625</v>
      </c>
    </row>
    <row r="3623">
      <c r="A3623" s="14" t="str">
        <f t="shared" si="1"/>
        <v>C72346142</v>
      </c>
      <c r="B3623" s="185" t="str">
        <f t="array" ref="B3623">IF(F3623="VL","",IF(F3623="Free","Free",XLOOKUP(D3623,Roster!T:T,Roster!S:S,"",0)))</f>
        <v/>
      </c>
      <c r="C3623" s="313">
        <v>46142.0</v>
      </c>
      <c r="D3623" s="314" t="s">
        <v>169</v>
      </c>
      <c r="E3623" s="307" t="str">
        <f t="array" ref="E3623">(XLOOKUP(D3623,Roster!F:F,Roster!B:B,"",0))</f>
        <v>Sebastian Parra</v>
      </c>
      <c r="F3623" s="315" t="str">
        <f t="array" ref="F3623">IF(B3623=100,"Free",TEXT(XLOOKUP($D3623,OperationVoice!$A:$A,OperationVoice!AJ:AJ,XLOOKUP($D3623,OperationTickets!$A:$A,OperationTickets!AJ:AJ,"",0)),"hh:mm"))</f>
        <v>08:00</v>
      </c>
      <c r="G3623" s="309">
        <f t="shared" si="3"/>
        <v>0.7083333333</v>
      </c>
      <c r="H3623" s="316">
        <f t="array" ref="H3623">XLOOKUP(B3623,Roster!L:L,Roster!N:N,XLOOKUP(D3623,TicketsBreak!A:A,TicketsBreak!E:E,"",0),0)</f>
        <v>0.4166666667</v>
      </c>
      <c r="I3623" s="316">
        <f t="array" ref="I3623">XLOOKUP(B3623,Roster!L:L,Roster!O:O,XLOOKUP(D3623,TicketsBreak!A:A,TicketsBreak!F:F,"",0),0)</f>
        <v>0.5347222222</v>
      </c>
      <c r="J3623" s="316">
        <f t="array" ref="J3623">XLOOKUP(B3623,Roster!L:L,Roster!P:P,XLOOKUP(D3623,TicketsBreak!A:A,TicketsBreak!G:G,"",0),0)</f>
        <v>0.65625</v>
      </c>
      <c r="K3623" s="310">
        <f t="shared" si="4"/>
        <v>46142</v>
      </c>
      <c r="L3623" s="317">
        <f t="array" ref="L3623">(XLOOKUP(D3623,Roster!F:F,Roster!D:D,"",0))</f>
        <v>7</v>
      </c>
      <c r="M3623" s="317" t="str">
        <f t="array" ref="M3623">XLOOKUP(D3623,Roster!F:F,Roster!E:E)</f>
        <v>Tickets</v>
      </c>
      <c r="N3623" s="317" t="str">
        <f t="shared" ref="N3623:P3623" si="3674">LEFT(H3623,5)</f>
        <v>10:00</v>
      </c>
      <c r="O3623" s="317" t="str">
        <f t="shared" si="3674"/>
        <v>12:50</v>
      </c>
      <c r="P3623" s="317" t="str">
        <f t="shared" si="3674"/>
        <v>15:45</v>
      </c>
      <c r="Q3623" s="318">
        <f t="shared" si="3650"/>
        <v>46142.41667</v>
      </c>
      <c r="R3623" s="318">
        <f t="shared" si="3651"/>
        <v>46142.53472</v>
      </c>
      <c r="S3623" s="318">
        <f t="shared" si="8"/>
        <v>46142.65625</v>
      </c>
    </row>
    <row r="3624">
      <c r="A3624" s="14" t="str">
        <f t="shared" si="1"/>
        <v>C137646142</v>
      </c>
      <c r="B3624" s="185" t="str">
        <f t="array" ref="B3624">IF(F3624="VL","",IF(F3624="Free","Free",XLOOKUP(D3624,Roster!T:T,Roster!S:S,"",0)))</f>
        <v>Free</v>
      </c>
      <c r="C3624" s="313">
        <v>46142.0</v>
      </c>
      <c r="D3624" s="314" t="s">
        <v>151</v>
      </c>
      <c r="E3624" s="307" t="str">
        <f t="array" ref="E3624">(XLOOKUP(D3624,Roster!F:F,Roster!B:B,"",0))</f>
        <v>Sebastian Quiroz</v>
      </c>
      <c r="F3624" s="315" t="str">
        <f t="array" ref="F3624">IF(B3624=100,"Free",TEXT(XLOOKUP($D3624,OperationVoice!$A:$A,OperationVoice!AJ:AJ,XLOOKUP($D3624,OperationTickets!$A:$A,OperationTickets!AJ:AJ,"",0)),"hh:mm"))</f>
        <v>Free</v>
      </c>
      <c r="G3624" s="309" t="str">
        <f t="shared" si="3"/>
        <v>Free</v>
      </c>
      <c r="H3624" s="316" t="str">
        <f t="array" ref="H3624">XLOOKUP(B3624,Roster!L:L,Roster!N:N,XLOOKUP(D3624,TicketsBreak!A:A,TicketsBreak!E:E,"",0),0)</f>
        <v/>
      </c>
      <c r="I3624" s="316" t="str">
        <f t="array" ref="I3624">XLOOKUP(B3624,Roster!L:L,Roster!O:O,XLOOKUP(D3624,TicketsBreak!A:A,TicketsBreak!F:F,"",0),0)</f>
        <v/>
      </c>
      <c r="J3624" s="316" t="str">
        <f t="array" ref="J3624">XLOOKUP(B3624,Roster!L:L,Roster!P:P,XLOOKUP(D3624,TicketsBreak!A:A,TicketsBreak!G:G,"",0),0)</f>
        <v/>
      </c>
      <c r="K3624" s="310">
        <f t="shared" si="4"/>
        <v>46142</v>
      </c>
      <c r="L3624" s="317">
        <f t="array" ref="L3624">(XLOOKUP(D3624,Roster!F:F,Roster!D:D,"",0))</f>
        <v>31</v>
      </c>
      <c r="M3624" s="317" t="str">
        <f t="array" ref="M3624">XLOOKUP(D3624,Roster!F:F,Roster!E:E)</f>
        <v>Tickets</v>
      </c>
      <c r="N3624" s="317" t="str">
        <f t="shared" ref="N3624:P3624" si="3675">LEFT(H3624,5)</f>
        <v/>
      </c>
      <c r="O3624" s="317" t="str">
        <f t="shared" si="3675"/>
        <v/>
      </c>
      <c r="P3624" s="317" t="str">
        <f t="shared" si="3675"/>
        <v/>
      </c>
      <c r="Q3624" s="318" t="str">
        <f t="shared" si="3650"/>
        <v/>
      </c>
      <c r="R3624" s="318" t="str">
        <f t="shared" si="3651"/>
        <v/>
      </c>
      <c r="S3624" s="318" t="str">
        <f t="shared" si="8"/>
        <v/>
      </c>
    </row>
    <row r="3625">
      <c r="A3625" s="14" t="str">
        <f t="shared" si="1"/>
        <v>C72646142</v>
      </c>
      <c r="B3625" s="185" t="str">
        <f t="array" ref="B3625">IF(F3625="VL","",IF(F3625="Free","Free",XLOOKUP(D3625,Roster!T:T,Roster!S:S,"",0)))</f>
        <v/>
      </c>
      <c r="C3625" s="313">
        <v>46142.0</v>
      </c>
      <c r="D3625" s="314" t="s">
        <v>185</v>
      </c>
      <c r="E3625" s="307" t="str">
        <f t="array" ref="E3625">(XLOOKUP(D3625,Roster!F:F,Roster!B:B,"",0))</f>
        <v>Sebastian Rodriguez</v>
      </c>
      <c r="F3625" s="315" t="str">
        <f t="array" ref="F3625">IF(B3625=100,"Free",TEXT(XLOOKUP($D3625,OperationVoice!$A:$A,OperationVoice!AJ:AJ,XLOOKUP($D3625,OperationTickets!$A:$A,OperationTickets!AJ:AJ,"",0)),"hh:mm"))</f>
        <v>08:00</v>
      </c>
      <c r="G3625" s="309">
        <f t="shared" si="3"/>
        <v>0.7083333333</v>
      </c>
      <c r="H3625" s="316">
        <f t="array" ref="H3625">XLOOKUP(B3625,Roster!L:L,Roster!N:N,XLOOKUP(D3625,TicketsBreak!A:A,TicketsBreak!E:E,"",0),0)</f>
        <v>0.4166666667</v>
      </c>
      <c r="I3625" s="316">
        <f t="array" ref="I3625">XLOOKUP(B3625,Roster!L:L,Roster!O:O,XLOOKUP(D3625,TicketsBreak!A:A,TicketsBreak!F:F,"",0),0)</f>
        <v>0.5625</v>
      </c>
      <c r="J3625" s="316">
        <f t="array" ref="J3625">XLOOKUP(B3625,Roster!L:L,Roster!P:P,XLOOKUP(D3625,TicketsBreak!A:A,TicketsBreak!G:G,"",0),0)</f>
        <v>0.6458333333</v>
      </c>
      <c r="K3625" s="310">
        <f t="shared" si="4"/>
        <v>46142</v>
      </c>
      <c r="L3625" s="317">
        <f t="array" ref="L3625">(XLOOKUP(D3625,Roster!F:F,Roster!D:D,"",0))</f>
        <v>7</v>
      </c>
      <c r="M3625" s="317" t="str">
        <f t="array" ref="M3625">XLOOKUP(D3625,Roster!F:F,Roster!E:E)</f>
        <v>Tickets</v>
      </c>
      <c r="N3625" s="317" t="str">
        <f t="shared" ref="N3625:P3625" si="3676">LEFT(H3625,5)</f>
        <v>10:00</v>
      </c>
      <c r="O3625" s="317" t="str">
        <f t="shared" si="3676"/>
        <v>13:30</v>
      </c>
      <c r="P3625" s="317" t="str">
        <f t="shared" si="3676"/>
        <v>15:30</v>
      </c>
      <c r="Q3625" s="318">
        <f t="shared" si="3650"/>
        <v>46142.41667</v>
      </c>
      <c r="R3625" s="318">
        <f t="shared" si="3651"/>
        <v>46142.5625</v>
      </c>
      <c r="S3625" s="318">
        <f t="shared" si="8"/>
        <v>46142.64583</v>
      </c>
    </row>
    <row r="3626">
      <c r="A3626" s="14" t="str">
        <f t="shared" si="1"/>
        <v>C60246142</v>
      </c>
      <c r="B3626" s="185" t="str">
        <f t="array" ref="B3626">IF(F3626="VL","",IF(F3626="Free","Free",XLOOKUP(D3626,Roster!T:T,Roster!S:S,"",0)))</f>
        <v>Free</v>
      </c>
      <c r="C3626" s="313">
        <v>46142.0</v>
      </c>
      <c r="D3626" s="314" t="s">
        <v>170</v>
      </c>
      <c r="E3626" s="307" t="str">
        <f t="array" ref="E3626">(XLOOKUP(D3626,Roster!F:F,Roster!B:B,"",0))</f>
        <v>Sebastian Torres</v>
      </c>
      <c r="F3626" s="315" t="str">
        <f t="array" ref="F3626">IF(B3626=100,"Free",TEXT(XLOOKUP($D3626,OperationVoice!$A:$A,OperationVoice!AJ:AJ,XLOOKUP($D3626,OperationTickets!$A:$A,OperationTickets!AJ:AJ,"",0)),"hh:mm"))</f>
        <v>Free</v>
      </c>
      <c r="G3626" s="309" t="str">
        <f t="shared" si="3"/>
        <v>Free</v>
      </c>
      <c r="H3626" s="316">
        <f t="array" ref="H3626">XLOOKUP(B3626,Roster!L:L,Roster!N:N,XLOOKUP(D3626,TicketsBreak!A:A,TicketsBreak!E:E,"",0),0)</f>
        <v>0.4583333333</v>
      </c>
      <c r="I3626" s="316">
        <f t="array" ref="I3626">XLOOKUP(B3626,Roster!L:L,Roster!O:O,XLOOKUP(D3626,TicketsBreak!A:A,TicketsBreak!F:F,"",0),0)</f>
        <v>0.5833333333</v>
      </c>
      <c r="J3626" s="316">
        <f t="array" ref="J3626">XLOOKUP(B3626,Roster!L:L,Roster!P:P,XLOOKUP(D3626,TicketsBreak!A:A,TicketsBreak!G:G,"",0),0)</f>
        <v>0.65625</v>
      </c>
      <c r="K3626" s="310">
        <f t="shared" si="4"/>
        <v>46142</v>
      </c>
      <c r="L3626" s="317">
        <f t="array" ref="L3626">(XLOOKUP(D3626,Roster!F:F,Roster!D:D,"",0))</f>
        <v>8</v>
      </c>
      <c r="M3626" s="317" t="str">
        <f t="array" ref="M3626">XLOOKUP(D3626,Roster!F:F,Roster!E:E)</f>
        <v>Tickets</v>
      </c>
      <c r="N3626" s="317" t="str">
        <f t="shared" ref="N3626:P3626" si="3677">LEFT(H3626,5)</f>
        <v>11:00</v>
      </c>
      <c r="O3626" s="317" t="str">
        <f t="shared" si="3677"/>
        <v>14:00</v>
      </c>
      <c r="P3626" s="317" t="str">
        <f t="shared" si="3677"/>
        <v>15:45</v>
      </c>
      <c r="Q3626" s="318">
        <f t="shared" si="3650"/>
        <v>46142.45833</v>
      </c>
      <c r="R3626" s="318">
        <f t="shared" si="3651"/>
        <v>46142.58333</v>
      </c>
      <c r="S3626" s="318">
        <f t="shared" si="8"/>
        <v>46142.65625</v>
      </c>
    </row>
    <row r="3627">
      <c r="A3627" s="14" t="str">
        <f t="shared" si="1"/>
        <v>C143146142</v>
      </c>
      <c r="B3627" s="185">
        <f t="array" ref="B3627">IF(F3627="VL","",IF(F3627="Free","Free",XLOOKUP(D3627,Roster!T:T,Roster!S:S,"",0)))</f>
        <v>151</v>
      </c>
      <c r="C3627" s="313">
        <v>46142.0</v>
      </c>
      <c r="D3627" s="314" t="s">
        <v>74</v>
      </c>
      <c r="E3627" s="307" t="str">
        <f t="array" ref="E3627">(XLOOKUP(D3627,Roster!F:F,Roster!B:B,"",0))</f>
        <v>Sebastian Torres Gomez</v>
      </c>
      <c r="F3627" s="315" t="str">
        <f t="array" ref="F3627">IF(B3627=100,"Free",TEXT(XLOOKUP($D3627,OperationVoice!$A:$A,OperationVoice!AJ:AJ,XLOOKUP($D3627,OperationTickets!$A:$A,OperationTickets!AJ:AJ,"",0)),"hh:mm"))</f>
        <v>11:00</v>
      </c>
      <c r="G3627" s="309">
        <f t="shared" si="3"/>
        <v>0.8333333333</v>
      </c>
      <c r="H3627" s="316" t="str">
        <f t="array" ref="H3627">XLOOKUP(B3627,Roster!L:L,Roster!N:N,XLOOKUP(D3627,TicketsBreak!A:A,TicketsBreak!E:E,"",0),0)</f>
        <v>12:15 - 12:30</v>
      </c>
      <c r="I3627" s="316" t="str">
        <f t="array" ref="I3627">XLOOKUP(B3627,Roster!L:L,Roster!O:O,XLOOKUP(D3627,TicketsBreak!A:A,TicketsBreak!F:F,"",0),0)</f>
        <v>14:00 - 14:30</v>
      </c>
      <c r="J3627" s="316" t="str">
        <f t="array" ref="J3627">XLOOKUP(B3627,Roster!L:L,Roster!P:P,XLOOKUP(D3627,TicketsBreak!A:A,TicketsBreak!G:G,"",0),0)</f>
        <v>17:15 - 17:30</v>
      </c>
      <c r="K3627" s="310">
        <f t="shared" si="4"/>
        <v>46142</v>
      </c>
      <c r="L3627" s="317">
        <f t="array" ref="L3627">(XLOOKUP(D3627,Roster!F:F,Roster!D:D,"",0))</f>
        <v>32</v>
      </c>
      <c r="M3627" s="317" t="str">
        <f t="array" ref="M3627">XLOOKUP(D3627,Roster!F:F,Roster!E:E)</f>
        <v>Voice</v>
      </c>
      <c r="N3627" s="317" t="str">
        <f t="shared" ref="N3627:P3627" si="3678">LEFT(H3627,5)</f>
        <v>12:15</v>
      </c>
      <c r="O3627" s="317" t="str">
        <f t="shared" si="3678"/>
        <v>14:00</v>
      </c>
      <c r="P3627" s="317" t="str">
        <f t="shared" si="3678"/>
        <v>17:15</v>
      </c>
      <c r="Q3627" s="318">
        <f t="shared" si="3650"/>
        <v>46142.51042</v>
      </c>
      <c r="R3627" s="318">
        <f t="shared" si="3651"/>
        <v>46142.58333</v>
      </c>
      <c r="S3627" s="318">
        <f t="shared" si="8"/>
        <v>46142.71875</v>
      </c>
    </row>
    <row r="3628">
      <c r="A3628" s="14" t="str">
        <f t="shared" si="1"/>
        <v>C149146142</v>
      </c>
      <c r="B3628" s="185" t="str">
        <f t="array" ref="B3628">IF(F3628="VL","",IF(F3628="Free","Free",XLOOKUP(D3628,Roster!T:T,Roster!S:S,"",0)))</f>
        <v/>
      </c>
      <c r="C3628" s="313">
        <v>46142.0</v>
      </c>
      <c r="D3628" s="314" t="s">
        <v>315</v>
      </c>
      <c r="E3628" s="307" t="str">
        <f t="array" ref="E3628">(XLOOKUP(D3628,Roster!F:F,Roster!B:B,"",0))</f>
        <v>Sebastian Vanegas</v>
      </c>
      <c r="F3628" s="315" t="str">
        <f t="array" ref="F3628">IF(B3628=100,"Free",TEXT(XLOOKUP($D3628,OperationVoice!$A:$A,OperationVoice!AJ:AJ,XLOOKUP($D3628,OperationTickets!$A:$A,OperationTickets!AJ:AJ,"",0)),"hh:mm"))</f>
        <v/>
      </c>
      <c r="G3628" s="309" t="str">
        <f t="shared" si="3"/>
        <v/>
      </c>
      <c r="H3628" s="316" t="str">
        <f t="array" ref="H3628">XLOOKUP(B3628,Roster!L:L,Roster!N:N,XLOOKUP(D3628,TicketsBreak!A:A,TicketsBreak!E:E,"",0),0)</f>
        <v/>
      </c>
      <c r="I3628" s="316" t="str">
        <f t="array" ref="I3628">XLOOKUP(B3628,Roster!L:L,Roster!O:O,XLOOKUP(D3628,TicketsBreak!A:A,TicketsBreak!F:F,"",0),0)</f>
        <v/>
      </c>
      <c r="J3628" s="316" t="str">
        <f t="array" ref="J3628">XLOOKUP(B3628,Roster!L:L,Roster!P:P,XLOOKUP(D3628,TicketsBreak!A:A,TicketsBreak!G:G,"",0),0)</f>
        <v/>
      </c>
      <c r="K3628" s="310">
        <f t="shared" si="4"/>
        <v>46142</v>
      </c>
      <c r="L3628" s="317">
        <f t="array" ref="L3628">(XLOOKUP(D3628,Roster!F:F,Roster!D:D,"",0))</f>
        <v>34</v>
      </c>
      <c r="M3628" s="317" t="str">
        <f t="array" ref="M3628">XLOOKUP(D3628,Roster!F:F,Roster!E:E)</f>
        <v>Voice</v>
      </c>
      <c r="N3628" s="317" t="str">
        <f t="shared" ref="N3628:P3628" si="3679">LEFT(H3628,5)</f>
        <v/>
      </c>
      <c r="O3628" s="317" t="str">
        <f t="shared" si="3679"/>
        <v/>
      </c>
      <c r="P3628" s="317" t="str">
        <f t="shared" si="3679"/>
        <v/>
      </c>
      <c r="Q3628" s="318" t="str">
        <f t="shared" si="3650"/>
        <v/>
      </c>
      <c r="R3628" s="318" t="str">
        <f t="shared" si="3651"/>
        <v/>
      </c>
      <c r="S3628" s="318" t="str">
        <f t="shared" si="8"/>
        <v/>
      </c>
    </row>
    <row r="3629">
      <c r="A3629" s="14" t="str">
        <f t="shared" si="1"/>
        <v>C93746142</v>
      </c>
      <c r="B3629" s="185">
        <f t="array" ref="B3629">IF(F3629="VL","",IF(F3629="Free","Free",XLOOKUP(D3629,Roster!T:T,Roster!S:S,"",0)))</f>
        <v>126</v>
      </c>
      <c r="C3629" s="313">
        <v>46142.0</v>
      </c>
      <c r="D3629" s="314" t="s">
        <v>75</v>
      </c>
      <c r="E3629" s="307" t="str">
        <f t="array" ref="E3629">(XLOOKUP(D3629,Roster!F:F,Roster!B:B,"",0))</f>
        <v>Sebastian Zapata</v>
      </c>
      <c r="F3629" s="315" t="str">
        <f t="array" ref="F3629">IF(B3629=100,"Free",TEXT(XLOOKUP($D3629,OperationVoice!$A:$A,OperationVoice!AJ:AJ,XLOOKUP($D3629,OperationTickets!$A:$A,OperationTickets!AJ:AJ,"",0)),"hh:mm"))</f>
        <v>08:00</v>
      </c>
      <c r="G3629" s="309">
        <f t="shared" si="3"/>
        <v>0.7083333333</v>
      </c>
      <c r="H3629" s="316" t="str">
        <f t="array" ref="H3629">XLOOKUP(B3629,Roster!L:L,Roster!N:N,XLOOKUP(D3629,TicketsBreak!A:A,TicketsBreak!E:E,"",0),0)</f>
        <v>10:45 - 11:00</v>
      </c>
      <c r="I3629" s="316" t="str">
        <f t="array" ref="I3629">XLOOKUP(B3629,Roster!L:L,Roster!O:O,XLOOKUP(D3629,TicketsBreak!A:A,TicketsBreak!F:F,"",0),0)</f>
        <v>14:00 - 14:30</v>
      </c>
      <c r="J3629" s="316" t="str">
        <f t="array" ref="J3629">XLOOKUP(B3629,Roster!L:L,Roster!P:P,XLOOKUP(D3629,TicketsBreak!A:A,TicketsBreak!G:G,"",0),0)</f>
        <v>15:45 - 16:00</v>
      </c>
      <c r="K3629" s="310">
        <f t="shared" si="4"/>
        <v>46142</v>
      </c>
      <c r="L3629" s="317">
        <f t="array" ref="L3629">(XLOOKUP(D3629,Roster!F:F,Roster!D:D,"",0))</f>
        <v>12</v>
      </c>
      <c r="M3629" s="317" t="str">
        <f t="array" ref="M3629">XLOOKUP(D3629,Roster!F:F,Roster!E:E)</f>
        <v>Voice</v>
      </c>
      <c r="N3629" s="317" t="str">
        <f t="shared" ref="N3629:P3629" si="3680">LEFT(H3629,5)</f>
        <v>10:45</v>
      </c>
      <c r="O3629" s="317" t="str">
        <f t="shared" si="3680"/>
        <v>14:00</v>
      </c>
      <c r="P3629" s="317" t="str">
        <f t="shared" si="3680"/>
        <v>15:45</v>
      </c>
      <c r="Q3629" s="318">
        <f t="shared" si="3650"/>
        <v>46142.44792</v>
      </c>
      <c r="R3629" s="318">
        <f t="shared" si="3651"/>
        <v>46142.58333</v>
      </c>
      <c r="S3629" s="318">
        <f t="shared" si="8"/>
        <v>46142.65625</v>
      </c>
    </row>
    <row r="3630">
      <c r="A3630" s="14" t="str">
        <f t="shared" si="1"/>
        <v>C156546142</v>
      </c>
      <c r="B3630" s="185" t="str">
        <f t="array" ref="B3630">IF(F3630="VL","",IF(F3630="Free","Free",XLOOKUP(D3630,Roster!T:T,Roster!S:S,"",0)))</f>
        <v>Free</v>
      </c>
      <c r="C3630" s="313">
        <v>46142.0</v>
      </c>
      <c r="D3630" s="314" t="s">
        <v>76</v>
      </c>
      <c r="E3630" s="307" t="str">
        <f t="array" ref="E3630">(XLOOKUP(D3630,Roster!F:F,Roster!B:B,"",0))</f>
        <v>Sergio Rojas</v>
      </c>
      <c r="F3630" s="315" t="str">
        <f t="array" ref="F3630">IF(B3630=100,"Free",TEXT(XLOOKUP($D3630,OperationVoice!$A:$A,OperationVoice!AJ:AJ,XLOOKUP($D3630,OperationTickets!$A:$A,OperationTickets!AJ:AJ,"",0)),"hh:mm"))</f>
        <v>Free</v>
      </c>
      <c r="G3630" s="309" t="str">
        <f t="shared" si="3"/>
        <v>Free</v>
      </c>
      <c r="H3630" s="316" t="str">
        <f t="array" ref="H3630">XLOOKUP(B3630,Roster!L:L,Roster!N:N,XLOOKUP(D3630,TicketsBreak!A:A,TicketsBreak!E:E,"",0),0)</f>
        <v/>
      </c>
      <c r="I3630" s="316" t="str">
        <f t="array" ref="I3630">XLOOKUP(B3630,Roster!L:L,Roster!O:O,XLOOKUP(D3630,TicketsBreak!A:A,TicketsBreak!F:F,"",0),0)</f>
        <v/>
      </c>
      <c r="J3630" s="316" t="str">
        <f t="array" ref="J3630">XLOOKUP(B3630,Roster!L:L,Roster!P:P,XLOOKUP(D3630,TicketsBreak!A:A,TicketsBreak!G:G,"",0),0)</f>
        <v/>
      </c>
      <c r="K3630" s="310">
        <f t="shared" si="4"/>
        <v>46142</v>
      </c>
      <c r="L3630" s="317">
        <f t="array" ref="L3630">(XLOOKUP(D3630,Roster!F:F,Roster!D:D,"",0))</f>
        <v>38</v>
      </c>
      <c r="M3630" s="317" t="str">
        <f t="array" ref="M3630">XLOOKUP(D3630,Roster!F:F,Roster!E:E)</f>
        <v>Voice</v>
      </c>
      <c r="N3630" s="317" t="str">
        <f t="shared" ref="N3630:P3630" si="3681">LEFT(H3630,5)</f>
        <v/>
      </c>
      <c r="O3630" s="317" t="str">
        <f t="shared" si="3681"/>
        <v/>
      </c>
      <c r="P3630" s="317" t="str">
        <f t="shared" si="3681"/>
        <v/>
      </c>
      <c r="Q3630" s="318" t="str">
        <f t="shared" si="3650"/>
        <v/>
      </c>
      <c r="R3630" s="318" t="str">
        <f t="shared" si="3651"/>
        <v/>
      </c>
      <c r="S3630" s="318" t="str">
        <f t="shared" si="8"/>
        <v/>
      </c>
    </row>
    <row r="3631">
      <c r="A3631" s="14" t="str">
        <f t="shared" si="1"/>
        <v>C147846142</v>
      </c>
      <c r="B3631" s="185" t="str">
        <f t="array" ref="B3631">IF(F3631="VL","",IF(F3631="Free","Free",XLOOKUP(D3631,Roster!T:T,Roster!S:S,"",0)))</f>
        <v/>
      </c>
      <c r="C3631" s="313">
        <v>46142.0</v>
      </c>
      <c r="D3631" s="314" t="s">
        <v>186</v>
      </c>
      <c r="E3631" s="307" t="str">
        <f t="array" ref="E3631">(XLOOKUP(D3631,Roster!F:F,Roster!B:B,"",0))</f>
        <v>Simon Atehortua</v>
      </c>
      <c r="F3631" s="315" t="str">
        <f t="array" ref="F3631">IF(B3631=100,"Free",TEXT(XLOOKUP($D3631,OperationVoice!$A:$A,OperationVoice!AJ:AJ,XLOOKUP($D3631,OperationTickets!$A:$A,OperationTickets!AJ:AJ,"",0)),"hh:mm"))</f>
        <v>07:00</v>
      </c>
      <c r="G3631" s="309">
        <f t="shared" si="3"/>
        <v>0.6666666667</v>
      </c>
      <c r="H3631" s="316" t="str">
        <f t="array" ref="H3631">XLOOKUP(B3631,Roster!L:L,Roster!N:N,XLOOKUP(D3631,TicketsBreak!A:A,TicketsBreak!E:E,"",0),0)</f>
        <v/>
      </c>
      <c r="I3631" s="316" t="str">
        <f t="array" ref="I3631">XLOOKUP(B3631,Roster!L:L,Roster!O:O,XLOOKUP(D3631,TicketsBreak!A:A,TicketsBreak!F:F,"",0),0)</f>
        <v/>
      </c>
      <c r="J3631" s="316" t="str">
        <f t="array" ref="J3631">XLOOKUP(B3631,Roster!L:L,Roster!P:P,XLOOKUP(D3631,TicketsBreak!A:A,TicketsBreak!G:G,"",0),0)</f>
        <v/>
      </c>
      <c r="K3631" s="310">
        <f t="shared" si="4"/>
        <v>46142</v>
      </c>
      <c r="L3631" s="317">
        <f t="array" ref="L3631">(XLOOKUP(D3631,Roster!F:F,Roster!D:D,"",0))</f>
        <v>32</v>
      </c>
      <c r="M3631" s="317" t="str">
        <f t="array" ref="M3631">XLOOKUP(D3631,Roster!F:F,Roster!E:E)</f>
        <v>Tickets</v>
      </c>
      <c r="N3631" s="317" t="str">
        <f t="shared" ref="N3631:P3631" si="3682">LEFT(H3631,5)</f>
        <v/>
      </c>
      <c r="O3631" s="317" t="str">
        <f t="shared" si="3682"/>
        <v/>
      </c>
      <c r="P3631" s="317" t="str">
        <f t="shared" si="3682"/>
        <v/>
      </c>
      <c r="Q3631" s="318" t="str">
        <f t="shared" si="3650"/>
        <v/>
      </c>
      <c r="R3631" s="318" t="str">
        <f t="shared" si="3651"/>
        <v/>
      </c>
      <c r="S3631" s="318" t="str">
        <f t="shared" si="8"/>
        <v/>
      </c>
    </row>
    <row r="3632">
      <c r="A3632" s="14" t="str">
        <f t="shared" si="1"/>
        <v>C148346142</v>
      </c>
      <c r="B3632" s="185">
        <f t="array" ref="B3632">IF(F3632="VL","",IF(F3632="Free","Free",XLOOKUP(D3632,Roster!T:T,Roster!S:S,"",0)))</f>
        <v>152</v>
      </c>
      <c r="C3632" s="313">
        <v>46142.0</v>
      </c>
      <c r="D3632" s="314" t="s">
        <v>77</v>
      </c>
      <c r="E3632" s="307" t="str">
        <f t="array" ref="E3632">(XLOOKUP(D3632,Roster!F:F,Roster!B:B,"",0))</f>
        <v>Simon Zuluaica</v>
      </c>
      <c r="F3632" s="315" t="str">
        <f t="array" ref="F3632">IF(B3632=100,"Free",TEXT(XLOOKUP($D3632,OperationVoice!$A:$A,OperationVoice!AJ:AJ,XLOOKUP($D3632,OperationTickets!$A:$A,OperationTickets!AJ:AJ,"",0)),"hh:mm"))</f>
        <v>11:00</v>
      </c>
      <c r="G3632" s="309">
        <f t="shared" si="3"/>
        <v>0.8333333333</v>
      </c>
      <c r="H3632" s="316" t="str">
        <f t="array" ref="H3632">XLOOKUP(B3632,Roster!L:L,Roster!N:N,XLOOKUP(D3632,TicketsBreak!A:A,TicketsBreak!E:E,"",0),0)</f>
        <v>12:30 - 12:45</v>
      </c>
      <c r="I3632" s="316" t="str">
        <f t="array" ref="I3632">XLOOKUP(B3632,Roster!L:L,Roster!O:O,XLOOKUP(D3632,TicketsBreak!A:A,TicketsBreak!F:F,"",0),0)</f>
        <v>14:30 - 15:00</v>
      </c>
      <c r="J3632" s="316" t="str">
        <f t="array" ref="J3632">XLOOKUP(B3632,Roster!L:L,Roster!P:P,XLOOKUP(D3632,TicketsBreak!A:A,TicketsBreak!G:G,"",0),0)</f>
        <v>17:30 - 17:45</v>
      </c>
      <c r="K3632" s="310">
        <f t="shared" si="4"/>
        <v>46142</v>
      </c>
      <c r="L3632" s="317">
        <f t="array" ref="L3632">(XLOOKUP(D3632,Roster!F:F,Roster!D:D,"",0))</f>
        <v>34</v>
      </c>
      <c r="M3632" s="317" t="str">
        <f t="array" ref="M3632">XLOOKUP(D3632,Roster!F:F,Roster!E:E)</f>
        <v>Voice</v>
      </c>
      <c r="N3632" s="317" t="str">
        <f t="shared" ref="N3632:P3632" si="3683">LEFT(H3632,5)</f>
        <v>12:30</v>
      </c>
      <c r="O3632" s="317" t="str">
        <f t="shared" si="3683"/>
        <v>14:30</v>
      </c>
      <c r="P3632" s="317" t="str">
        <f t="shared" si="3683"/>
        <v>17:30</v>
      </c>
      <c r="Q3632" s="318">
        <f t="shared" si="3650"/>
        <v>46142.52083</v>
      </c>
      <c r="R3632" s="318">
        <f t="shared" si="3651"/>
        <v>46142.60417</v>
      </c>
      <c r="S3632" s="318">
        <f t="shared" si="8"/>
        <v>46142.72917</v>
      </c>
    </row>
    <row r="3633">
      <c r="A3633" s="14" t="str">
        <f t="shared" si="1"/>
        <v>C154046142</v>
      </c>
      <c r="B3633" s="185">
        <f t="array" ref="B3633">IF(F3633="VL","",IF(F3633="Free","Free",XLOOKUP(D3633,Roster!T:T,Roster!S:S,"",0)))</f>
        <v>122</v>
      </c>
      <c r="C3633" s="313">
        <v>46142.0</v>
      </c>
      <c r="D3633" s="314" t="s">
        <v>78</v>
      </c>
      <c r="E3633" s="307" t="str">
        <f t="array" ref="E3633">(XLOOKUP(D3633,Roster!F:F,Roster!B:B,"",0))</f>
        <v>Tomas Perez</v>
      </c>
      <c r="F3633" s="315" t="str">
        <f t="array" ref="F3633">IF(B3633=100,"Free",TEXT(XLOOKUP($D3633,OperationVoice!$A:$A,OperationVoice!AJ:AJ,XLOOKUP($D3633,OperationTickets!$A:$A,OperationTickets!AJ:AJ,"",0)),"hh:mm"))</f>
        <v>08:00</v>
      </c>
      <c r="G3633" s="309">
        <f t="shared" si="3"/>
        <v>0.7083333333</v>
      </c>
      <c r="H3633" s="316" t="str">
        <f t="array" ref="H3633">XLOOKUP(B3633,Roster!L:L,Roster!N:N,XLOOKUP(D3633,TicketsBreak!A:A,TicketsBreak!E:E,"",0),0)</f>
        <v>09:30 - 09:45</v>
      </c>
      <c r="I3633" s="316" t="str">
        <f t="array" ref="I3633">XLOOKUP(B3633,Roster!L:L,Roster!O:O,XLOOKUP(D3633,TicketsBreak!A:A,TicketsBreak!F:F,"",0),0)</f>
        <v>12:00 - 12:30</v>
      </c>
      <c r="J3633" s="316" t="str">
        <f t="array" ref="J3633">XLOOKUP(B3633,Roster!L:L,Roster!P:P,XLOOKUP(D3633,TicketsBreak!A:A,TicketsBreak!G:G,"",0),0)</f>
        <v>14:45 - 15:00</v>
      </c>
      <c r="K3633" s="310">
        <f t="shared" si="4"/>
        <v>46142</v>
      </c>
      <c r="L3633" s="317">
        <f t="array" ref="L3633">(XLOOKUP(D3633,Roster!F:F,Roster!D:D,"",0))</f>
        <v>36</v>
      </c>
      <c r="M3633" s="317" t="str">
        <f t="array" ref="M3633">XLOOKUP(D3633,Roster!F:F,Roster!E:E)</f>
        <v>Voice</v>
      </c>
      <c r="N3633" s="317" t="str">
        <f t="shared" ref="N3633:P3633" si="3684">LEFT(H3633,5)</f>
        <v>09:30</v>
      </c>
      <c r="O3633" s="317" t="str">
        <f t="shared" si="3684"/>
        <v>12:00</v>
      </c>
      <c r="P3633" s="317" t="str">
        <f t="shared" si="3684"/>
        <v>14:45</v>
      </c>
      <c r="Q3633" s="318">
        <f t="shared" si="3650"/>
        <v>46142.39583</v>
      </c>
      <c r="R3633" s="318">
        <f t="shared" si="3651"/>
        <v>46142.5</v>
      </c>
      <c r="S3633" s="318">
        <f t="shared" si="8"/>
        <v>46142.61458</v>
      </c>
    </row>
    <row r="3634">
      <c r="A3634" s="14" t="str">
        <f t="shared" si="1"/>
        <v>C154746142</v>
      </c>
      <c r="B3634" s="185">
        <f t="array" ref="B3634">IF(F3634="VL","",IF(F3634="Free","Free",XLOOKUP(D3634,Roster!T:T,Roster!S:S,"",0)))</f>
        <v>121</v>
      </c>
      <c r="C3634" s="313">
        <v>46142.0</v>
      </c>
      <c r="D3634" s="314" t="s">
        <v>79</v>
      </c>
      <c r="E3634" s="307" t="str">
        <f t="array" ref="E3634">(XLOOKUP(D3634,Roster!F:F,Roster!B:B,"",0))</f>
        <v>Valentina Barreto</v>
      </c>
      <c r="F3634" s="315" t="str">
        <f t="array" ref="F3634">IF(B3634=100,"Free",TEXT(XLOOKUP($D3634,OperationVoice!$A:$A,OperationVoice!AJ:AJ,XLOOKUP($D3634,OperationTickets!$A:$A,OperationTickets!AJ:AJ,"",0)),"hh:mm"))</f>
        <v>08:00</v>
      </c>
      <c r="G3634" s="309">
        <f t="shared" si="3"/>
        <v>0.7083333333</v>
      </c>
      <c r="H3634" s="316" t="str">
        <f t="array" ref="H3634">XLOOKUP(B3634,Roster!L:L,Roster!N:N,XLOOKUP(D3634,TicketsBreak!A:A,TicketsBreak!E:E,"",0),0)</f>
        <v>09:15 - 09:30</v>
      </c>
      <c r="I3634" s="316" t="str">
        <f t="array" ref="I3634">XLOOKUP(B3634,Roster!L:L,Roster!O:O,XLOOKUP(D3634,TicketsBreak!A:A,TicketsBreak!F:F,"",0),0)</f>
        <v>11:30 - 12:00</v>
      </c>
      <c r="J3634" s="316" t="str">
        <f t="array" ref="J3634">XLOOKUP(B3634,Roster!L:L,Roster!P:P,XLOOKUP(D3634,TicketsBreak!A:A,TicketsBreak!G:G,"",0),0)</f>
        <v>14:30 - 14:45</v>
      </c>
      <c r="K3634" s="310">
        <f t="shared" si="4"/>
        <v>46142</v>
      </c>
      <c r="L3634" s="317">
        <f t="array" ref="L3634">(XLOOKUP(D3634,Roster!F:F,Roster!D:D,"",0))</f>
        <v>37</v>
      </c>
      <c r="M3634" s="317" t="str">
        <f t="array" ref="M3634">XLOOKUP(D3634,Roster!F:F,Roster!E:E)</f>
        <v>Voice</v>
      </c>
      <c r="N3634" s="317" t="str">
        <f t="shared" ref="N3634:P3634" si="3685">LEFT(H3634,5)</f>
        <v>09:15</v>
      </c>
      <c r="O3634" s="317" t="str">
        <f t="shared" si="3685"/>
        <v>11:30</v>
      </c>
      <c r="P3634" s="317" t="str">
        <f t="shared" si="3685"/>
        <v>14:30</v>
      </c>
      <c r="Q3634" s="318">
        <f t="shared" si="3650"/>
        <v>46142.38542</v>
      </c>
      <c r="R3634" s="318">
        <f t="shared" si="3651"/>
        <v>46142.47917</v>
      </c>
      <c r="S3634" s="318">
        <f t="shared" si="8"/>
        <v>46142.60417</v>
      </c>
    </row>
    <row r="3635">
      <c r="A3635" s="14" t="str">
        <f t="shared" si="1"/>
        <v>C155346142</v>
      </c>
      <c r="B3635" s="185">
        <f t="array" ref="B3635">IF(F3635="VL","",IF(F3635="Free","Free",XLOOKUP(D3635,Roster!T:T,Roster!S:S,"",0)))</f>
        <v>122</v>
      </c>
      <c r="C3635" s="313">
        <v>46142.0</v>
      </c>
      <c r="D3635" s="314" t="s">
        <v>80</v>
      </c>
      <c r="E3635" s="307" t="str">
        <f t="array" ref="E3635">(XLOOKUP(D3635,Roster!F:F,Roster!B:B,"",0))</f>
        <v>Valentina Castro</v>
      </c>
      <c r="F3635" s="315" t="str">
        <f t="array" ref="F3635">IF(B3635=100,"Free",TEXT(XLOOKUP($D3635,OperationVoice!$A:$A,OperationVoice!AJ:AJ,XLOOKUP($D3635,OperationTickets!$A:$A,OperationTickets!AJ:AJ,"",0)),"hh:mm"))</f>
        <v>08:00</v>
      </c>
      <c r="G3635" s="309">
        <f t="shared" si="3"/>
        <v>0.7083333333</v>
      </c>
      <c r="H3635" s="316" t="str">
        <f t="array" ref="H3635">XLOOKUP(B3635,Roster!L:L,Roster!N:N,XLOOKUP(D3635,TicketsBreak!A:A,TicketsBreak!E:E,"",0),0)</f>
        <v>09:30 - 09:45</v>
      </c>
      <c r="I3635" s="316" t="str">
        <f t="array" ref="I3635">XLOOKUP(B3635,Roster!L:L,Roster!O:O,XLOOKUP(D3635,TicketsBreak!A:A,TicketsBreak!F:F,"",0),0)</f>
        <v>12:00 - 12:30</v>
      </c>
      <c r="J3635" s="316" t="str">
        <f t="array" ref="J3635">XLOOKUP(B3635,Roster!L:L,Roster!P:P,XLOOKUP(D3635,TicketsBreak!A:A,TicketsBreak!G:G,"",0),0)</f>
        <v>14:45 - 15:00</v>
      </c>
      <c r="K3635" s="310">
        <f t="shared" si="4"/>
        <v>46142</v>
      </c>
      <c r="L3635" s="317">
        <f t="array" ref="L3635">(XLOOKUP(D3635,Roster!F:F,Roster!D:D,"",0))</f>
        <v>37</v>
      </c>
      <c r="M3635" s="317" t="str">
        <f t="array" ref="M3635">XLOOKUP(D3635,Roster!F:F,Roster!E:E)</f>
        <v>Voice</v>
      </c>
      <c r="N3635" s="317" t="str">
        <f t="shared" ref="N3635:P3635" si="3686">LEFT(H3635,5)</f>
        <v>09:30</v>
      </c>
      <c r="O3635" s="317" t="str">
        <f t="shared" si="3686"/>
        <v>12:00</v>
      </c>
      <c r="P3635" s="317" t="str">
        <f t="shared" si="3686"/>
        <v>14:45</v>
      </c>
      <c r="Q3635" s="318">
        <f t="shared" si="3650"/>
        <v>46142.39583</v>
      </c>
      <c r="R3635" s="318">
        <f t="shared" si="3651"/>
        <v>46142.5</v>
      </c>
      <c r="S3635" s="318">
        <f t="shared" si="8"/>
        <v>46142.61458</v>
      </c>
    </row>
    <row r="3636">
      <c r="A3636" s="14" t="str">
        <f t="shared" si="1"/>
        <v>C150246142</v>
      </c>
      <c r="B3636" s="185" t="str">
        <f t="array" ref="B3636">IF(F3636="VL","",IF(F3636="Free","Free",XLOOKUP(D3636,Roster!T:T,Roster!S:S,"",0)))</f>
        <v/>
      </c>
      <c r="C3636" s="313">
        <v>46142.0</v>
      </c>
      <c r="D3636" s="314" t="s">
        <v>316</v>
      </c>
      <c r="E3636" s="307" t="str">
        <f t="array" ref="E3636">(XLOOKUP(D3636,Roster!F:F,Roster!B:B,"",0))</f>
        <v>Valentina Gallego</v>
      </c>
      <c r="F3636" s="315" t="str">
        <f t="array" ref="F3636">IF(B3636=100,"Free",TEXT(XLOOKUP($D3636,OperationVoice!$A:$A,OperationVoice!AJ:AJ,XLOOKUP($D3636,OperationTickets!$A:$A,OperationTickets!AJ:AJ,"",0)),"hh:mm"))</f>
        <v/>
      </c>
      <c r="G3636" s="309" t="str">
        <f t="shared" si="3"/>
        <v/>
      </c>
      <c r="H3636" s="316" t="str">
        <f t="array" ref="H3636">XLOOKUP(B3636,Roster!L:L,Roster!N:N,XLOOKUP(D3636,TicketsBreak!A:A,TicketsBreak!E:E,"",0),0)</f>
        <v/>
      </c>
      <c r="I3636" s="316" t="str">
        <f t="array" ref="I3636">XLOOKUP(B3636,Roster!L:L,Roster!O:O,XLOOKUP(D3636,TicketsBreak!A:A,TicketsBreak!F:F,"",0),0)</f>
        <v/>
      </c>
      <c r="J3636" s="316" t="str">
        <f t="array" ref="J3636">XLOOKUP(B3636,Roster!L:L,Roster!P:P,XLOOKUP(D3636,TicketsBreak!A:A,TicketsBreak!G:G,"",0),0)</f>
        <v/>
      </c>
      <c r="K3636" s="310">
        <f t="shared" si="4"/>
        <v>46142</v>
      </c>
      <c r="L3636" s="317">
        <f t="array" ref="L3636">(XLOOKUP(D3636,Roster!F:F,Roster!D:D,"",0))</f>
        <v>35</v>
      </c>
      <c r="M3636" s="317" t="str">
        <f t="array" ref="M3636">XLOOKUP(D3636,Roster!F:F,Roster!E:E)</f>
        <v>Voice</v>
      </c>
      <c r="N3636" s="317" t="str">
        <f t="shared" ref="N3636:P3636" si="3687">LEFT(H3636,5)</f>
        <v/>
      </c>
      <c r="O3636" s="317" t="str">
        <f t="shared" si="3687"/>
        <v/>
      </c>
      <c r="P3636" s="317" t="str">
        <f t="shared" si="3687"/>
        <v/>
      </c>
      <c r="Q3636" s="318" t="str">
        <f t="shared" si="3650"/>
        <v/>
      </c>
      <c r="R3636" s="318" t="str">
        <f t="shared" si="3651"/>
        <v/>
      </c>
      <c r="S3636" s="318" t="str">
        <f t="shared" si="8"/>
        <v/>
      </c>
    </row>
    <row r="3637">
      <c r="A3637" s="14" t="str">
        <f t="shared" si="1"/>
        <v>C112646142</v>
      </c>
      <c r="B3637" s="185" t="str">
        <f t="array" ref="B3637">IF(F3637="VL","",IF(F3637="Free","Free",XLOOKUP(D3637,Roster!T:T,Roster!S:S,"",0)))</f>
        <v>Free</v>
      </c>
      <c r="C3637" s="313">
        <v>46142.0</v>
      </c>
      <c r="D3637" s="314" t="s">
        <v>152</v>
      </c>
      <c r="E3637" s="307" t="str">
        <f t="array" ref="E3637">(XLOOKUP(D3637,Roster!F:F,Roster!B:B,"",0))</f>
        <v>Valery Escobar</v>
      </c>
      <c r="F3637" s="315" t="str">
        <f t="array" ref="F3637">IF(B3637=100,"Free",TEXT(XLOOKUP($D3637,OperationVoice!$A:$A,OperationVoice!AJ:AJ,XLOOKUP($D3637,OperationTickets!$A:$A,OperationTickets!AJ:AJ,"",0)),"hh:mm"))</f>
        <v>Free</v>
      </c>
      <c r="G3637" s="309" t="str">
        <f t="shared" si="3"/>
        <v>Free</v>
      </c>
      <c r="H3637" s="316">
        <f t="array" ref="H3637">XLOOKUP(B3637,Roster!L:L,Roster!N:N,XLOOKUP(D3637,TicketsBreak!A:A,TicketsBreak!E:E,"",0),0)</f>
        <v>0.3854166667</v>
      </c>
      <c r="I3637" s="316">
        <f t="array" ref="I3637">XLOOKUP(B3637,Roster!L:L,Roster!O:O,XLOOKUP(D3637,TicketsBreak!A:A,TicketsBreak!F:F,"",0),0)</f>
        <v>0.5</v>
      </c>
      <c r="J3637" s="316">
        <f t="array" ref="J3637">XLOOKUP(B3637,Roster!L:L,Roster!P:P,XLOOKUP(D3637,TicketsBreak!A:A,TicketsBreak!G:G,"",0),0)</f>
        <v>0.6041666667</v>
      </c>
      <c r="K3637" s="310">
        <f t="shared" si="4"/>
        <v>46142</v>
      </c>
      <c r="L3637" s="317">
        <f t="array" ref="L3637">(XLOOKUP(D3637,Roster!F:F,Roster!D:D,"",0))</f>
        <v>21</v>
      </c>
      <c r="M3637" s="317" t="str">
        <f t="array" ref="M3637">XLOOKUP(D3637,Roster!F:F,Roster!E:E)</f>
        <v>Tickets</v>
      </c>
      <c r="N3637" s="317" t="str">
        <f t="shared" ref="N3637:P3637" si="3688">LEFT(H3637,5)</f>
        <v>09:15</v>
      </c>
      <c r="O3637" s="317" t="str">
        <f t="shared" si="3688"/>
        <v>12:00</v>
      </c>
      <c r="P3637" s="317" t="str">
        <f t="shared" si="3688"/>
        <v>14:30</v>
      </c>
      <c r="Q3637" s="318">
        <f t="shared" si="3650"/>
        <v>46142.38542</v>
      </c>
      <c r="R3637" s="318">
        <f t="shared" si="3651"/>
        <v>46142.5</v>
      </c>
      <c r="S3637" s="318">
        <f t="shared" si="8"/>
        <v>46142.60417</v>
      </c>
    </row>
    <row r="3638">
      <c r="A3638" s="14" t="str">
        <f t="shared" si="1"/>
        <v>C155246142</v>
      </c>
      <c r="B3638" s="185">
        <f t="array" ref="B3638">IF(F3638="VL","",IF(F3638="Free","Free",XLOOKUP(D3638,Roster!T:T,Roster!S:S,"",0)))</f>
        <v>125</v>
      </c>
      <c r="C3638" s="313">
        <v>46142.0</v>
      </c>
      <c r="D3638" s="314" t="s">
        <v>81</v>
      </c>
      <c r="E3638" s="307" t="str">
        <f t="array" ref="E3638">(XLOOKUP(D3638,Roster!F:F,Roster!B:B,"",0))</f>
        <v>Wendy Machado</v>
      </c>
      <c r="F3638" s="315" t="str">
        <f t="array" ref="F3638">IF(B3638=100,"Free",TEXT(XLOOKUP($D3638,OperationVoice!$A:$A,OperationVoice!AJ:AJ,XLOOKUP($D3638,OperationTickets!$A:$A,OperationTickets!AJ:AJ,"",0)),"hh:mm"))</f>
        <v>08:00</v>
      </c>
      <c r="G3638" s="309">
        <f t="shared" si="3"/>
        <v>0.7083333333</v>
      </c>
      <c r="H3638" s="316" t="str">
        <f t="array" ref="H3638">XLOOKUP(B3638,Roster!L:L,Roster!N:N,XLOOKUP(D3638,TicketsBreak!A:A,TicketsBreak!E:E,"",0),0)</f>
        <v>10:30 - 10:45</v>
      </c>
      <c r="I3638" s="316" t="str">
        <f t="array" ref="I3638">XLOOKUP(B3638,Roster!L:L,Roster!O:O,XLOOKUP(D3638,TicketsBreak!A:A,TicketsBreak!F:F,"",0),0)</f>
        <v>13:30 - 14:00</v>
      </c>
      <c r="J3638" s="316" t="str">
        <f t="array" ref="J3638">XLOOKUP(B3638,Roster!L:L,Roster!P:P,XLOOKUP(D3638,TicketsBreak!A:A,TicketsBreak!G:G,"",0),0)</f>
        <v>15:45 - 16:00</v>
      </c>
      <c r="K3638" s="310">
        <f t="shared" si="4"/>
        <v>46142</v>
      </c>
      <c r="L3638" s="317">
        <f t="array" ref="L3638">(XLOOKUP(D3638,Roster!F:F,Roster!D:D,"",0))</f>
        <v>37</v>
      </c>
      <c r="M3638" s="317" t="str">
        <f t="array" ref="M3638">XLOOKUP(D3638,Roster!F:F,Roster!E:E)</f>
        <v>Voice</v>
      </c>
      <c r="N3638" s="317" t="str">
        <f t="shared" ref="N3638:P3638" si="3689">LEFT(H3638,5)</f>
        <v>10:30</v>
      </c>
      <c r="O3638" s="317" t="str">
        <f t="shared" si="3689"/>
        <v>13:30</v>
      </c>
      <c r="P3638" s="317" t="str">
        <f t="shared" si="3689"/>
        <v>15:45</v>
      </c>
      <c r="Q3638" s="318">
        <f t="shared" si="3650"/>
        <v>46142.4375</v>
      </c>
      <c r="R3638" s="318">
        <f t="shared" si="3651"/>
        <v>46142.5625</v>
      </c>
      <c r="S3638" s="318">
        <f t="shared" si="8"/>
        <v>46142.65625</v>
      </c>
    </row>
    <row r="3639">
      <c r="A3639" s="14" t="str">
        <f t="shared" si="1"/>
        <v>C78646142</v>
      </c>
      <c r="B3639" s="185" t="str">
        <f t="array" ref="B3639">IF(F3639="VL","",IF(F3639="Free","Free",XLOOKUP(D3639,Roster!T:T,Roster!S:S,"",0)))</f>
        <v/>
      </c>
      <c r="C3639" s="313">
        <v>46142.0</v>
      </c>
      <c r="D3639" s="314" t="s">
        <v>136</v>
      </c>
      <c r="E3639" s="307" t="str">
        <f t="array" ref="E3639">(XLOOKUP(D3639,Roster!F:F,Roster!B:B,"",0))</f>
        <v>Wendy Navarro</v>
      </c>
      <c r="F3639" s="315" t="str">
        <f t="array" ref="F3639">IF(B3639=100,"Free",TEXT(XLOOKUP($D3639,OperationVoice!$A:$A,OperationVoice!AJ:AJ,XLOOKUP($D3639,OperationTickets!$A:$A,OperationTickets!AJ:AJ,"",0)),"hh:mm"))</f>
        <v>08:00</v>
      </c>
      <c r="G3639" s="309">
        <f t="shared" si="3"/>
        <v>0.7083333333</v>
      </c>
      <c r="H3639" s="316">
        <f t="array" ref="H3639">XLOOKUP(B3639,Roster!L:L,Roster!N:N,XLOOKUP(D3639,TicketsBreak!A:A,TicketsBreak!E:E,"",0),0)</f>
        <v>0.4166666667</v>
      </c>
      <c r="I3639" s="316">
        <f t="array" ref="I3639">XLOOKUP(B3639,Roster!L:L,Roster!O:O,XLOOKUP(D3639,TicketsBreak!A:A,TicketsBreak!F:F,"",0),0)</f>
        <v>0.5416666667</v>
      </c>
      <c r="J3639" s="316">
        <f t="array" ref="J3639">XLOOKUP(B3639,Roster!L:L,Roster!P:P,XLOOKUP(D3639,TicketsBreak!A:A,TicketsBreak!G:G,"",0),0)</f>
        <v>0.6458333333</v>
      </c>
      <c r="K3639" s="310">
        <f t="shared" si="4"/>
        <v>46142</v>
      </c>
      <c r="L3639" s="317">
        <f t="array" ref="L3639">(XLOOKUP(D3639,Roster!F:F,Roster!D:D,"",0))</f>
        <v>16</v>
      </c>
      <c r="M3639" s="317" t="str">
        <f t="array" ref="M3639">XLOOKUP(D3639,Roster!F:F,Roster!E:E)</f>
        <v>Tickets</v>
      </c>
      <c r="N3639" s="317" t="str">
        <f t="shared" ref="N3639:P3639" si="3690">LEFT(H3639,5)</f>
        <v>10:00</v>
      </c>
      <c r="O3639" s="317" t="str">
        <f t="shared" si="3690"/>
        <v>13:00</v>
      </c>
      <c r="P3639" s="317" t="str">
        <f t="shared" si="3690"/>
        <v>15:30</v>
      </c>
      <c r="Q3639" s="318">
        <f t="shared" si="3650"/>
        <v>46142.41667</v>
      </c>
      <c r="R3639" s="318">
        <f t="shared" si="3651"/>
        <v>46142.54167</v>
      </c>
      <c r="S3639" s="318">
        <f t="shared" si="8"/>
        <v>46142.64583</v>
      </c>
    </row>
    <row r="3640">
      <c r="A3640" s="14" t="str">
        <f t="shared" si="1"/>
        <v>C153746142</v>
      </c>
      <c r="B3640" s="185">
        <f t="array" ref="B3640">IF(F3640="VL","",IF(F3640="Free","Free",XLOOKUP(D3640,Roster!T:T,Roster!S:S,"",0)))</f>
        <v>135</v>
      </c>
      <c r="C3640" s="313">
        <v>46142.0</v>
      </c>
      <c r="D3640" s="314" t="s">
        <v>82</v>
      </c>
      <c r="E3640" s="307" t="str">
        <f t="array" ref="E3640">(XLOOKUP(D3640,Roster!F:F,Roster!B:B,"",0))</f>
        <v>William Florez</v>
      </c>
      <c r="F3640" s="315" t="str">
        <f t="array" ref="F3640">IF(B3640=100,"Free",TEXT(XLOOKUP($D3640,OperationVoice!$A:$A,OperationVoice!AJ:AJ,XLOOKUP($D3640,OperationTickets!$A:$A,OperationTickets!AJ:AJ,"",0)),"hh:mm"))</f>
        <v>09:00</v>
      </c>
      <c r="G3640" s="309">
        <f t="shared" si="3"/>
        <v>0.75</v>
      </c>
      <c r="H3640" s="316" t="str">
        <f t="array" ref="H3640">XLOOKUP(B3640,Roster!L:L,Roster!N:N,XLOOKUP(D3640,TicketsBreak!A:A,TicketsBreak!E:E,"",0),0)</f>
        <v>11:15 - 11:30</v>
      </c>
      <c r="I3640" s="316" t="str">
        <f t="array" ref="I3640">XLOOKUP(B3640,Roster!L:L,Roster!O:O,XLOOKUP(D3640,TicketsBreak!A:A,TicketsBreak!F:F,"",0),0)</f>
        <v>14:15 - 14:45</v>
      </c>
      <c r="J3640" s="316" t="str">
        <f t="array" ref="J3640">XLOOKUP(B3640,Roster!L:L,Roster!P:P,XLOOKUP(D3640,TicketsBreak!A:A,TicketsBreak!G:G,"",0),0)</f>
        <v>16:15 - 16:30</v>
      </c>
      <c r="K3640" s="310">
        <f t="shared" si="4"/>
        <v>46142</v>
      </c>
      <c r="L3640" s="317">
        <f t="array" ref="L3640">(XLOOKUP(D3640,Roster!F:F,Roster!D:D,"",0))</f>
        <v>36</v>
      </c>
      <c r="M3640" s="317" t="str">
        <f t="array" ref="M3640">XLOOKUP(D3640,Roster!F:F,Roster!E:E)</f>
        <v>Voice</v>
      </c>
      <c r="N3640" s="317" t="str">
        <f t="shared" ref="N3640:P3640" si="3691">LEFT(H3640,5)</f>
        <v>11:15</v>
      </c>
      <c r="O3640" s="317" t="str">
        <f t="shared" si="3691"/>
        <v>14:15</v>
      </c>
      <c r="P3640" s="317" t="str">
        <f t="shared" si="3691"/>
        <v>16:15</v>
      </c>
      <c r="Q3640" s="318">
        <f t="shared" si="3650"/>
        <v>46142.46875</v>
      </c>
      <c r="R3640" s="318">
        <f t="shared" si="3651"/>
        <v>46142.59375</v>
      </c>
      <c r="S3640" s="318">
        <f t="shared" si="8"/>
        <v>46142.67708</v>
      </c>
    </row>
    <row r="3641">
      <c r="A3641" s="14" t="str">
        <f t="shared" si="1"/>
        <v>C135346142</v>
      </c>
      <c r="B3641" s="185">
        <f t="array" ref="B3641">IF(F3641="VL","",IF(F3641="Free","Free",XLOOKUP(D3641,Roster!T:T,Roster!S:S,"",0)))</f>
        <v>121</v>
      </c>
      <c r="C3641" s="313">
        <v>46142.0</v>
      </c>
      <c r="D3641" s="314" t="s">
        <v>83</v>
      </c>
      <c r="E3641" s="307" t="str">
        <f t="array" ref="E3641">(XLOOKUP(D3641,Roster!F:F,Roster!B:B,"",0))</f>
        <v>Wilson Martinez</v>
      </c>
      <c r="F3641" s="315" t="str">
        <f t="array" ref="F3641">IF(B3641=100,"Free",TEXT(XLOOKUP($D3641,OperationVoice!$A:$A,OperationVoice!AJ:AJ,XLOOKUP($D3641,OperationTickets!$A:$A,OperationTickets!AJ:AJ,"",0)),"hh:mm"))</f>
        <v>08:00</v>
      </c>
      <c r="G3641" s="309">
        <f t="shared" si="3"/>
        <v>0.7083333333</v>
      </c>
      <c r="H3641" s="316" t="str">
        <f t="array" ref="H3641">XLOOKUP(B3641,Roster!L:L,Roster!N:N,XLOOKUP(D3641,TicketsBreak!A:A,TicketsBreak!E:E,"",0),0)</f>
        <v>09:15 - 09:30</v>
      </c>
      <c r="I3641" s="316" t="str">
        <f t="array" ref="I3641">XLOOKUP(B3641,Roster!L:L,Roster!O:O,XLOOKUP(D3641,TicketsBreak!A:A,TicketsBreak!F:F,"",0),0)</f>
        <v>11:30 - 12:00</v>
      </c>
      <c r="J3641" s="316" t="str">
        <f t="array" ref="J3641">XLOOKUP(B3641,Roster!L:L,Roster!P:P,XLOOKUP(D3641,TicketsBreak!A:A,TicketsBreak!G:G,"",0),0)</f>
        <v>14:30 - 14:45</v>
      </c>
      <c r="K3641" s="310">
        <f t="shared" si="4"/>
        <v>46142</v>
      </c>
      <c r="L3641" s="317">
        <f t="array" ref="L3641">(XLOOKUP(D3641,Roster!F:F,Roster!D:D,"",0))</f>
        <v>30</v>
      </c>
      <c r="M3641" s="317" t="str">
        <f t="array" ref="M3641">XLOOKUP(D3641,Roster!F:F,Roster!E:E)</f>
        <v>Voice</v>
      </c>
      <c r="N3641" s="317" t="str">
        <f t="shared" ref="N3641:P3641" si="3692">LEFT(H3641,5)</f>
        <v>09:15</v>
      </c>
      <c r="O3641" s="317" t="str">
        <f t="shared" si="3692"/>
        <v>11:30</v>
      </c>
      <c r="P3641" s="317" t="str">
        <f t="shared" si="3692"/>
        <v>14:30</v>
      </c>
      <c r="Q3641" s="318">
        <f t="shared" si="3650"/>
        <v>46142.38542</v>
      </c>
      <c r="R3641" s="318">
        <f t="shared" si="3651"/>
        <v>46142.47917</v>
      </c>
      <c r="S3641" s="318">
        <f t="shared" si="8"/>
        <v>46142.60417</v>
      </c>
    </row>
    <row r="3642">
      <c r="A3642" s="14" t="str">
        <f t="shared" si="1"/>
        <v>C117346142</v>
      </c>
      <c r="B3642" s="185">
        <f t="array" ref="B3642">IF(F3642="VL","",IF(F3642="Free","Free",XLOOKUP(D3642,Roster!T:T,Roster!S:S,"",0)))</f>
        <v>122</v>
      </c>
      <c r="C3642" s="313">
        <v>46142.0</v>
      </c>
      <c r="D3642" s="314" t="s">
        <v>84</v>
      </c>
      <c r="E3642" s="307" t="str">
        <f t="array" ref="E3642">(XLOOKUP(D3642,Roster!F:F,Roster!B:B,"",0))</f>
        <v>Yaidy Mosquera</v>
      </c>
      <c r="F3642" s="315" t="str">
        <f t="array" ref="F3642">IF(B3642=100,"Free",TEXT(XLOOKUP($D3642,OperationVoice!$A:$A,OperationVoice!AJ:AJ,XLOOKUP($D3642,OperationTickets!$A:$A,OperationTickets!AJ:AJ,"",0)),"hh:mm"))</f>
        <v>08:00</v>
      </c>
      <c r="G3642" s="309">
        <f t="shared" si="3"/>
        <v>0.7083333333</v>
      </c>
      <c r="H3642" s="316" t="str">
        <f t="array" ref="H3642">XLOOKUP(B3642,Roster!L:L,Roster!N:N,XLOOKUP(D3642,TicketsBreak!A:A,TicketsBreak!E:E,"",0),0)</f>
        <v>09:30 - 09:45</v>
      </c>
      <c r="I3642" s="316" t="str">
        <f t="array" ref="I3642">XLOOKUP(B3642,Roster!L:L,Roster!O:O,XLOOKUP(D3642,TicketsBreak!A:A,TicketsBreak!F:F,"",0),0)</f>
        <v>12:00 - 12:30</v>
      </c>
      <c r="J3642" s="316" t="str">
        <f t="array" ref="J3642">XLOOKUP(B3642,Roster!L:L,Roster!P:P,XLOOKUP(D3642,TicketsBreak!A:A,TicketsBreak!G:G,"",0),0)</f>
        <v>14:45 - 15:00</v>
      </c>
      <c r="K3642" s="310">
        <f t="shared" si="4"/>
        <v>46142</v>
      </c>
      <c r="L3642" s="317">
        <f t="array" ref="L3642">(XLOOKUP(D3642,Roster!F:F,Roster!D:D,"",0))</f>
        <v>24</v>
      </c>
      <c r="M3642" s="317" t="str">
        <f t="array" ref="M3642">XLOOKUP(D3642,Roster!F:F,Roster!E:E)</f>
        <v>Voice</v>
      </c>
      <c r="N3642" s="317" t="str">
        <f t="shared" ref="N3642:P3642" si="3693">LEFT(H3642,5)</f>
        <v>09:30</v>
      </c>
      <c r="O3642" s="317" t="str">
        <f t="shared" si="3693"/>
        <v>12:00</v>
      </c>
      <c r="P3642" s="317" t="str">
        <f t="shared" si="3693"/>
        <v>14:45</v>
      </c>
      <c r="Q3642" s="318">
        <f t="shared" si="3650"/>
        <v>46142.39583</v>
      </c>
      <c r="R3642" s="318">
        <f t="shared" si="3651"/>
        <v>46142.5</v>
      </c>
      <c r="S3642" s="318">
        <f t="shared" si="8"/>
        <v>46142.61458</v>
      </c>
    </row>
    <row r="3643">
      <c r="A3643" s="14" t="str">
        <f t="shared" si="1"/>
        <v>C110846142</v>
      </c>
      <c r="B3643" s="185" t="str">
        <f t="array" ref="B3643">IF(F3643="VL","",IF(F3643="Free","Free",XLOOKUP(D3643,Roster!T:T,Roster!S:S,"",0)))</f>
        <v/>
      </c>
      <c r="C3643" s="313">
        <v>46142.0</v>
      </c>
      <c r="D3643" s="314" t="s">
        <v>187</v>
      </c>
      <c r="E3643" s="307" t="str">
        <f t="array" ref="E3643">(XLOOKUP(D3643,Roster!F:F,Roster!B:B,"",0))</f>
        <v>Yeiner Tapias</v>
      </c>
      <c r="F3643" s="315" t="str">
        <f t="array" ref="F3643">IF(B3643=100,"Free",TEXT(XLOOKUP($D3643,OperationVoice!$A:$A,OperationVoice!AJ:AJ,XLOOKUP($D3643,OperationTickets!$A:$A,OperationTickets!AJ:AJ,"",0)),"hh:mm"))</f>
        <v>08:00</v>
      </c>
      <c r="G3643" s="309">
        <f t="shared" si="3"/>
        <v>0.7083333333</v>
      </c>
      <c r="H3643" s="316">
        <f t="array" ref="H3643">XLOOKUP(B3643,Roster!L:L,Roster!N:N,XLOOKUP(D3643,TicketsBreak!A:A,TicketsBreak!E:E,"",0),0)</f>
        <v>0.3958333333</v>
      </c>
      <c r="I3643" s="316">
        <f t="array" ref="I3643">XLOOKUP(B3643,Roster!L:L,Roster!O:O,XLOOKUP(D3643,TicketsBreak!A:A,TicketsBreak!F:F,"",0),0)</f>
        <v>0.5208333333</v>
      </c>
      <c r="J3643" s="316">
        <f t="array" ref="J3643">XLOOKUP(B3643,Roster!L:L,Roster!P:P,XLOOKUP(D3643,TicketsBreak!A:A,TicketsBreak!G:G,"",0),0)</f>
        <v>0.6145833333</v>
      </c>
      <c r="K3643" s="310">
        <f t="shared" si="4"/>
        <v>46142</v>
      </c>
      <c r="L3643" s="317">
        <f t="array" ref="L3643">(XLOOKUP(D3643,Roster!F:F,Roster!D:D,"",0))</f>
        <v>20</v>
      </c>
      <c r="M3643" s="317" t="str">
        <f t="array" ref="M3643">XLOOKUP(D3643,Roster!F:F,Roster!E:E)</f>
        <v>Tickets</v>
      </c>
      <c r="N3643" s="317" t="str">
        <f t="shared" ref="N3643:P3643" si="3694">LEFT(H3643,5)</f>
        <v>09:30</v>
      </c>
      <c r="O3643" s="317" t="str">
        <f t="shared" si="3694"/>
        <v>12:30</v>
      </c>
      <c r="P3643" s="317" t="str">
        <f t="shared" si="3694"/>
        <v>14:45</v>
      </c>
      <c r="Q3643" s="318">
        <f t="shared" si="3650"/>
        <v>46142.39583</v>
      </c>
      <c r="R3643" s="318">
        <f t="shared" si="3651"/>
        <v>46142.52083</v>
      </c>
      <c r="S3643" s="318">
        <f t="shared" si="8"/>
        <v>46142.61458</v>
      </c>
    </row>
    <row r="3644">
      <c r="A3644" s="14" t="str">
        <f t="shared" si="1"/>
        <v>C153946142</v>
      </c>
      <c r="B3644" s="185">
        <f t="array" ref="B3644">IF(F3644="VL","",IF(F3644="Free","Free",XLOOKUP(D3644,Roster!T:T,Roster!S:S,"",0)))</f>
        <v>123</v>
      </c>
      <c r="C3644" s="313">
        <v>46142.0</v>
      </c>
      <c r="D3644" s="314" t="s">
        <v>85</v>
      </c>
      <c r="E3644" s="307" t="str">
        <f t="array" ref="E3644">(XLOOKUP(D3644,Roster!F:F,Roster!B:B,"",0))</f>
        <v>Yovanny Ceballos</v>
      </c>
      <c r="F3644" s="315" t="str">
        <f t="array" ref="F3644">IF(B3644=100,"Free",TEXT(XLOOKUP($D3644,OperationVoice!$A:$A,OperationVoice!AJ:AJ,XLOOKUP($D3644,OperationTickets!$A:$A,OperationTickets!AJ:AJ,"",0)),"hh:mm"))</f>
        <v/>
      </c>
      <c r="G3644" s="309" t="str">
        <f t="shared" si="3"/>
        <v/>
      </c>
      <c r="H3644" s="316" t="str">
        <f t="array" ref="H3644">XLOOKUP(B3644,Roster!L:L,Roster!N:N,XLOOKUP(D3644,TicketsBreak!A:A,TicketsBreak!E:E,"",0),0)</f>
        <v>09:45 - 10:00 </v>
      </c>
      <c r="I3644" s="316" t="str">
        <f t="array" ref="I3644">XLOOKUP(B3644,Roster!L:L,Roster!O:O,XLOOKUP(D3644,TicketsBreak!A:A,TicketsBreak!F:F,"",0),0)</f>
        <v>12:30 - 13:00</v>
      </c>
      <c r="J3644" s="316" t="str">
        <f t="array" ref="J3644">XLOOKUP(B3644,Roster!L:L,Roster!P:P,XLOOKUP(D3644,TicketsBreak!A:A,TicketsBreak!G:G,"",0),0)</f>
        <v>15:00 - 15:15</v>
      </c>
      <c r="K3644" s="310">
        <f t="shared" si="4"/>
        <v>46142</v>
      </c>
      <c r="L3644" s="317">
        <f t="array" ref="L3644">(XLOOKUP(D3644,Roster!F:F,Roster!D:D,"",0))</f>
        <v>36</v>
      </c>
      <c r="M3644" s="317" t="str">
        <f t="array" ref="M3644">XLOOKUP(D3644,Roster!F:F,Roster!E:E)</f>
        <v>Voice</v>
      </c>
      <c r="N3644" s="317" t="str">
        <f t="shared" ref="N3644:P3644" si="3695">LEFT(H3644,5)</f>
        <v>09:45</v>
      </c>
      <c r="O3644" s="317" t="str">
        <f t="shared" si="3695"/>
        <v>12:30</v>
      </c>
      <c r="P3644" s="317" t="str">
        <f t="shared" si="3695"/>
        <v>15:00</v>
      </c>
      <c r="Q3644" s="318">
        <f t="shared" si="3650"/>
        <v>46142.40625</v>
      </c>
      <c r="R3644" s="318">
        <f t="shared" si="3651"/>
        <v>46142.52083</v>
      </c>
      <c r="S3644" s="318">
        <f t="shared" si="8"/>
        <v>46142.625</v>
      </c>
    </row>
    <row r="3645">
      <c r="A3645" s="14"/>
      <c r="B3645" s="185"/>
      <c r="C3645" s="313"/>
      <c r="D3645" s="314"/>
      <c r="E3645" s="307"/>
      <c r="F3645" s="315"/>
      <c r="G3645" s="309"/>
      <c r="H3645" s="316"/>
      <c r="I3645" s="316"/>
      <c r="J3645" s="316"/>
      <c r="K3645" s="310"/>
      <c r="L3645" s="317"/>
      <c r="M3645" s="317"/>
      <c r="N3645" s="317"/>
      <c r="O3645" s="317"/>
      <c r="P3645" s="317"/>
      <c r="Q3645" s="318"/>
      <c r="R3645" s="318"/>
      <c r="S3645" s="318"/>
    </row>
    <row r="3646">
      <c r="A3646" s="14"/>
      <c r="B3646" s="185"/>
      <c r="C3646" s="313"/>
      <c r="D3646" s="314"/>
      <c r="E3646" s="307"/>
      <c r="F3646" s="315"/>
      <c r="G3646" s="309"/>
      <c r="H3646" s="316"/>
      <c r="I3646" s="316"/>
      <c r="J3646" s="316"/>
      <c r="K3646" s="310"/>
      <c r="L3646" s="317"/>
      <c r="M3646" s="317"/>
      <c r="N3646" s="317"/>
      <c r="O3646" s="317"/>
      <c r="P3646" s="317"/>
      <c r="Q3646" s="318"/>
      <c r="R3646" s="318"/>
      <c r="S3646" s="318"/>
    </row>
    <row r="3647">
      <c r="A3647" s="14"/>
      <c r="B3647" s="185"/>
      <c r="C3647" s="313"/>
      <c r="D3647" s="314"/>
      <c r="E3647" s="307"/>
      <c r="F3647" s="315"/>
      <c r="G3647" s="309"/>
      <c r="H3647" s="316"/>
      <c r="I3647" s="316"/>
      <c r="J3647" s="316"/>
      <c r="K3647" s="310"/>
      <c r="L3647" s="317"/>
      <c r="M3647" s="317"/>
      <c r="N3647" s="317"/>
      <c r="O3647" s="317"/>
      <c r="P3647" s="317"/>
      <c r="Q3647" s="318"/>
      <c r="R3647" s="318"/>
      <c r="S3647" s="318"/>
    </row>
    <row r="3648">
      <c r="A3648" s="14"/>
      <c r="B3648" s="185"/>
      <c r="C3648" s="313"/>
      <c r="D3648" s="314"/>
      <c r="E3648" s="307"/>
      <c r="F3648" s="315"/>
      <c r="G3648" s="309"/>
      <c r="H3648" s="316"/>
      <c r="I3648" s="316"/>
      <c r="J3648" s="316"/>
      <c r="K3648" s="310"/>
      <c r="L3648" s="317"/>
      <c r="M3648" s="317"/>
      <c r="N3648" s="317"/>
      <c r="O3648" s="317"/>
      <c r="P3648" s="317"/>
      <c r="Q3648" s="318"/>
      <c r="R3648" s="318"/>
      <c r="S3648" s="318"/>
    </row>
    <row r="3649">
      <c r="A3649" s="14"/>
      <c r="B3649" s="185"/>
      <c r="C3649" s="313"/>
      <c r="D3649" s="314"/>
      <c r="E3649" s="307"/>
      <c r="F3649" s="315"/>
      <c r="G3649" s="309"/>
      <c r="H3649" s="316"/>
      <c r="I3649" s="316"/>
      <c r="J3649" s="316"/>
      <c r="K3649" s="310"/>
      <c r="L3649" s="317"/>
      <c r="M3649" s="317"/>
      <c r="N3649" s="317"/>
      <c r="O3649" s="317"/>
      <c r="P3649" s="317"/>
      <c r="Q3649" s="318"/>
      <c r="R3649" s="318"/>
      <c r="S3649" s="318"/>
    </row>
    <row r="3650">
      <c r="A3650" s="14"/>
      <c r="B3650" s="185"/>
      <c r="C3650" s="313"/>
      <c r="D3650" s="314"/>
      <c r="E3650" s="307"/>
      <c r="F3650" s="315"/>
      <c r="G3650" s="309"/>
      <c r="H3650" s="316"/>
      <c r="I3650" s="316"/>
      <c r="J3650" s="316"/>
      <c r="K3650" s="310"/>
      <c r="L3650" s="317"/>
      <c r="M3650" s="317"/>
      <c r="N3650" s="317"/>
      <c r="O3650" s="317"/>
      <c r="P3650" s="317"/>
      <c r="Q3650" s="318"/>
      <c r="R3650" s="318"/>
      <c r="S3650" s="318"/>
    </row>
    <row r="3651">
      <c r="A3651" s="14"/>
      <c r="B3651" s="185"/>
      <c r="C3651" s="313"/>
      <c r="D3651" s="314"/>
      <c r="E3651" s="307"/>
      <c r="F3651" s="315"/>
      <c r="G3651" s="309"/>
      <c r="H3651" s="316"/>
      <c r="I3651" s="316"/>
      <c r="J3651" s="316"/>
      <c r="K3651" s="310"/>
      <c r="L3651" s="317"/>
      <c r="M3651" s="317"/>
      <c r="N3651" s="317"/>
      <c r="O3651" s="317"/>
      <c r="P3651" s="317"/>
      <c r="Q3651" s="318"/>
      <c r="R3651" s="318"/>
      <c r="S3651" s="318"/>
    </row>
    <row r="3652">
      <c r="A3652" s="14"/>
      <c r="B3652" s="185"/>
      <c r="C3652" s="313"/>
      <c r="D3652" s="314"/>
      <c r="E3652" s="307"/>
      <c r="F3652" s="315"/>
      <c r="G3652" s="309"/>
      <c r="H3652" s="316"/>
      <c r="I3652" s="316"/>
      <c r="J3652" s="316"/>
      <c r="K3652" s="310"/>
      <c r="L3652" s="317"/>
      <c r="M3652" s="317"/>
      <c r="N3652" s="317"/>
      <c r="O3652" s="317"/>
      <c r="P3652" s="317"/>
      <c r="Q3652" s="318"/>
      <c r="R3652" s="318"/>
      <c r="S3652" s="318"/>
    </row>
    <row r="3653">
      <c r="A3653" s="14" t="str">
        <f t="shared" ref="A3653:A3657" si="3697">D3653&amp;C3653</f>
        <v>46142</v>
      </c>
      <c r="B3653" s="185" t="str">
        <f t="array" ref="B3653">IF(F3653="VL","",IF(F3653="Free","Free",XLOOKUP(D3653,Roster!T:T,Roster!S:S,"",0)))</f>
        <v/>
      </c>
      <c r="C3653" s="313">
        <v>46142.0</v>
      </c>
      <c r="D3653" s="314"/>
      <c r="E3653" s="307" t="str">
        <f t="array" ref="E3653">(XLOOKUP(D3653,Roster!F:F,Roster!B:B,"",0))</f>
        <v/>
      </c>
      <c r="F3653" s="315" t="str">
        <f t="array" ref="F3653">IF(B3653=100,"Free",TEXT(XLOOKUP($D3653,OperationVoice!$A:$A,OperationVoice!AJ:AJ,XLOOKUP($D3653,OperationTickets!$A:$A,OperationTickets!AJ:AJ,"",0)),"hh:mm"))</f>
        <v/>
      </c>
      <c r="G3653" s="309" t="str">
        <f t="shared" ref="G3653:G3657" si="3698">IF(F3653="Free","Free",IF(B3653=100,"Free",IF(F3653="","",IF(F3653="ATT","ATT",IF(F3653="VL","VL",F3653+"09:00")))))</f>
        <v/>
      </c>
      <c r="H3653" s="316" t="str">
        <f t="array" ref="H3653">XLOOKUP(B3653,Roster!L:L,Roster!N:N,XLOOKUP(D3653,TicketsBreak!A:A,TicketsBreak!E:E,"",0),0)</f>
        <v/>
      </c>
      <c r="I3653" s="316" t="str">
        <f t="array" ref="I3653">XLOOKUP(B3653,Roster!L:L,Roster!O:O,XLOOKUP(D3653,TicketsBreak!A:A,TicketsBreak!F:F,"",0),0)</f>
        <v/>
      </c>
      <c r="J3653" s="316" t="str">
        <f t="array" ref="J3653">XLOOKUP(B3653,Roster!L:L,Roster!P:P,XLOOKUP(D3653,TicketsBreak!A:A,TicketsBreak!G:G,"",0),0)</f>
        <v/>
      </c>
      <c r="K3653" s="310">
        <f t="shared" ref="K3653:K3657" si="3699">C3653</f>
        <v>46142</v>
      </c>
      <c r="L3653" s="317" t="str">
        <f t="array" ref="L3653">(XLOOKUP(D3653,Roster!F:F,Roster!D:D,"",0))</f>
        <v/>
      </c>
      <c r="M3653" s="317" t="str">
        <f t="array" ref="M3653">XLOOKUP(D3653,Roster!F:F,Roster!E:E)</f>
        <v>#N/A</v>
      </c>
      <c r="N3653" s="317" t="str">
        <f t="shared" ref="N3653:P3653" si="3696">LEFT(H3653,5)</f>
        <v/>
      </c>
      <c r="O3653" s="317" t="str">
        <f t="shared" si="3696"/>
        <v/>
      </c>
      <c r="P3653" s="317" t="str">
        <f t="shared" si="3696"/>
        <v/>
      </c>
      <c r="Q3653" s="318" t="str">
        <f t="shared" ref="Q3653:Q3657" si="3701">IF(N3653="","",$C3653+N3653)</f>
        <v/>
      </c>
      <c r="R3653" s="318" t="str">
        <f t="shared" ref="R3653:R3657" si="3702">if(O3653="","",$C3653+O3653)</f>
        <v/>
      </c>
      <c r="S3653" s="318" t="str">
        <f t="shared" ref="S3653:S3657" si="3703">IF(P3653="","",$C3653+P3653)</f>
        <v/>
      </c>
    </row>
    <row r="3654">
      <c r="A3654" s="14" t="str">
        <f t="shared" si="3697"/>
        <v>46142</v>
      </c>
      <c r="B3654" s="185" t="str">
        <f t="array" ref="B3654">IF(F3654="VL","",IF(F3654="Free","Free",XLOOKUP(D3654,Roster!T:T,Roster!S:S,"",0)))</f>
        <v/>
      </c>
      <c r="C3654" s="313">
        <v>46142.0</v>
      </c>
      <c r="D3654" s="314"/>
      <c r="E3654" s="307" t="str">
        <f t="array" ref="E3654">(XLOOKUP(D3654,Roster!F:F,Roster!B:B,"",0))</f>
        <v/>
      </c>
      <c r="F3654" s="315" t="str">
        <f t="array" ref="F3654">IF(B3654=100,"Free",TEXT(XLOOKUP($D3654,OperationVoice!$A:$A,OperationVoice!AJ:AJ,XLOOKUP($D3654,OperationTickets!$A:$A,OperationTickets!AJ:AJ,"",0)),"hh:mm"))</f>
        <v/>
      </c>
      <c r="G3654" s="309" t="str">
        <f t="shared" si="3698"/>
        <v/>
      </c>
      <c r="H3654" s="316" t="str">
        <f t="array" ref="H3654">XLOOKUP(B3654,Roster!L:L,Roster!N:N,XLOOKUP(D3654,TicketsBreak!A:A,TicketsBreak!E:E,"",0),0)</f>
        <v/>
      </c>
      <c r="I3654" s="316" t="str">
        <f t="array" ref="I3654">XLOOKUP(B3654,Roster!L:L,Roster!O:O,XLOOKUP(D3654,TicketsBreak!A:A,TicketsBreak!F:F,"",0),0)</f>
        <v/>
      </c>
      <c r="J3654" s="316" t="str">
        <f t="array" ref="J3654">XLOOKUP(B3654,Roster!L:L,Roster!P:P,XLOOKUP(D3654,TicketsBreak!A:A,TicketsBreak!G:G,"",0),0)</f>
        <v/>
      </c>
      <c r="K3654" s="310">
        <f t="shared" si="3699"/>
        <v>46142</v>
      </c>
      <c r="L3654" s="317" t="str">
        <f t="array" ref="L3654">(XLOOKUP(D3654,Roster!F:F,Roster!D:D,"",0))</f>
        <v/>
      </c>
      <c r="M3654" s="317" t="str">
        <f t="array" ref="M3654">XLOOKUP(D3654,Roster!F:F,Roster!E:E)</f>
        <v>#N/A</v>
      </c>
      <c r="N3654" s="317" t="str">
        <f t="shared" ref="N3654:P3654" si="3700">LEFT(H3654,5)</f>
        <v/>
      </c>
      <c r="O3654" s="317" t="str">
        <f t="shared" si="3700"/>
        <v/>
      </c>
      <c r="P3654" s="317" t="str">
        <f t="shared" si="3700"/>
        <v/>
      </c>
      <c r="Q3654" s="318" t="str">
        <f t="shared" si="3701"/>
        <v/>
      </c>
      <c r="R3654" s="318" t="str">
        <f t="shared" si="3702"/>
        <v/>
      </c>
      <c r="S3654" s="318" t="str">
        <f t="shared" si="3703"/>
        <v/>
      </c>
    </row>
    <row r="3655">
      <c r="A3655" s="14" t="str">
        <f t="shared" si="3697"/>
        <v>46142</v>
      </c>
      <c r="B3655" s="185" t="str">
        <f t="array" ref="B3655">IF(F3655="VL","",IF(F3655="Free","Free",XLOOKUP(D3655,Roster!T:T,Roster!S:S,"",0)))</f>
        <v/>
      </c>
      <c r="C3655" s="313">
        <v>46142.0</v>
      </c>
      <c r="D3655" s="314"/>
      <c r="E3655" s="307" t="str">
        <f t="array" ref="E3655">(XLOOKUP(D3655,Roster!F:F,Roster!B:B,"",0))</f>
        <v/>
      </c>
      <c r="F3655" s="315" t="str">
        <f t="array" ref="F3655">IF(B3655=100,"Free",TEXT(XLOOKUP($D3655,OperationVoice!$A:$A,OperationVoice!AJ:AJ,XLOOKUP($D3655,OperationTickets!$A:$A,OperationTickets!AJ:AJ,"",0)),"hh:mm"))</f>
        <v/>
      </c>
      <c r="G3655" s="309" t="str">
        <f t="shared" si="3698"/>
        <v/>
      </c>
      <c r="H3655" s="316" t="str">
        <f t="array" ref="H3655">XLOOKUP(B3655,Roster!L:L,Roster!N:N,XLOOKUP(D3655,TicketsBreak!A:A,TicketsBreak!E:E,"",0),0)</f>
        <v/>
      </c>
      <c r="I3655" s="316" t="str">
        <f t="array" ref="I3655">XLOOKUP(B3655,Roster!L:L,Roster!O:O,XLOOKUP(D3655,TicketsBreak!A:A,TicketsBreak!F:F,"",0),0)</f>
        <v/>
      </c>
      <c r="J3655" s="316" t="str">
        <f t="array" ref="J3655">XLOOKUP(B3655,Roster!L:L,Roster!P:P,XLOOKUP(D3655,TicketsBreak!A:A,TicketsBreak!G:G,"",0),0)</f>
        <v/>
      </c>
      <c r="K3655" s="310">
        <f t="shared" si="3699"/>
        <v>46142</v>
      </c>
      <c r="L3655" s="317" t="str">
        <f t="array" ref="L3655">(XLOOKUP(D3655,Roster!F:F,Roster!D:D,"",0))</f>
        <v/>
      </c>
      <c r="M3655" s="317" t="str">
        <f t="array" ref="M3655">XLOOKUP(D3655,Roster!F:F,Roster!E:E)</f>
        <v>#N/A</v>
      </c>
      <c r="N3655" s="317" t="str">
        <f t="shared" ref="N3655:P3655" si="3704">LEFT(H3655,5)</f>
        <v/>
      </c>
      <c r="O3655" s="317" t="str">
        <f t="shared" si="3704"/>
        <v/>
      </c>
      <c r="P3655" s="317" t="str">
        <f t="shared" si="3704"/>
        <v/>
      </c>
      <c r="Q3655" s="318" t="str">
        <f t="shared" si="3701"/>
        <v/>
      </c>
      <c r="R3655" s="318" t="str">
        <f t="shared" si="3702"/>
        <v/>
      </c>
      <c r="S3655" s="318" t="str">
        <f t="shared" si="3703"/>
        <v/>
      </c>
    </row>
    <row r="3656">
      <c r="A3656" s="14" t="str">
        <f t="shared" si="3697"/>
        <v>46142</v>
      </c>
      <c r="B3656" s="185" t="str">
        <f t="array" ref="B3656">IF(F3656="VL","",IF(F3656="Free","Free",XLOOKUP(D3656,Roster!T:T,Roster!S:S,"",0)))</f>
        <v/>
      </c>
      <c r="C3656" s="313">
        <v>46142.0</v>
      </c>
      <c r="D3656" s="314"/>
      <c r="E3656" s="307" t="str">
        <f t="array" ref="E3656">(XLOOKUP(D3656,Roster!F:F,Roster!B:B,"",0))</f>
        <v/>
      </c>
      <c r="F3656" s="315" t="str">
        <f t="array" ref="F3656">IF(B3656=100,"Free",TEXT(XLOOKUP($D3656,OperationVoice!$A:$A,OperationVoice!AJ:AJ,XLOOKUP($D3656,OperationTickets!$A:$A,OperationTickets!AJ:AJ,"",0)),"hh:mm"))</f>
        <v/>
      </c>
      <c r="G3656" s="309" t="str">
        <f t="shared" si="3698"/>
        <v/>
      </c>
      <c r="H3656" s="316" t="str">
        <f t="array" ref="H3656">XLOOKUP(B3656,Roster!L:L,Roster!N:N,XLOOKUP(D3656,TicketsBreak!A:A,TicketsBreak!E:E,"",0),0)</f>
        <v/>
      </c>
      <c r="I3656" s="316" t="str">
        <f t="array" ref="I3656">XLOOKUP(B3656,Roster!L:L,Roster!O:O,XLOOKUP(D3656,TicketsBreak!A:A,TicketsBreak!F:F,"",0),0)</f>
        <v/>
      </c>
      <c r="J3656" s="316" t="str">
        <f t="array" ref="J3656">XLOOKUP(B3656,Roster!L:L,Roster!P:P,XLOOKUP(D3656,TicketsBreak!A:A,TicketsBreak!G:G,"",0),0)</f>
        <v/>
      </c>
      <c r="K3656" s="310">
        <f t="shared" si="3699"/>
        <v>46142</v>
      </c>
      <c r="L3656" s="317" t="str">
        <f t="array" ref="L3656">(XLOOKUP(D3656,Roster!F:F,Roster!D:D,"",0))</f>
        <v/>
      </c>
      <c r="M3656" s="317" t="str">
        <f t="array" ref="M3656">XLOOKUP(D3656,Roster!F:F,Roster!E:E)</f>
        <v>#N/A</v>
      </c>
      <c r="N3656" s="317" t="str">
        <f t="shared" ref="N3656:P3656" si="3705">LEFT(H3656,5)</f>
        <v/>
      </c>
      <c r="O3656" s="317" t="str">
        <f t="shared" si="3705"/>
        <v/>
      </c>
      <c r="P3656" s="317" t="str">
        <f t="shared" si="3705"/>
        <v/>
      </c>
      <c r="Q3656" s="318" t="str">
        <f t="shared" si="3701"/>
        <v/>
      </c>
      <c r="R3656" s="318" t="str">
        <f t="shared" si="3702"/>
        <v/>
      </c>
      <c r="S3656" s="318" t="str">
        <f t="shared" si="3703"/>
        <v/>
      </c>
    </row>
    <row r="3657">
      <c r="A3657" s="14" t="str">
        <f t="shared" si="3697"/>
        <v>46142</v>
      </c>
      <c r="B3657" s="185" t="str">
        <f t="array" ref="B3657">IF(F3657="VL","",IF(F3657="Free","Free",XLOOKUP(D3657,Roster!T:T,Roster!S:S,"",0)))</f>
        <v/>
      </c>
      <c r="C3657" s="313">
        <v>46142.0</v>
      </c>
      <c r="D3657" s="314"/>
      <c r="E3657" s="307" t="str">
        <f t="array" ref="E3657">(XLOOKUP(D3657,Roster!F:F,Roster!B:B,"",0))</f>
        <v/>
      </c>
      <c r="F3657" s="315" t="str">
        <f t="array" ref="F3657">IF(B3657=100,"Free",TEXT(XLOOKUP($D3657,OperationVoice!$A:$A,OperationVoice!AJ:AJ,XLOOKUP($D3657,OperationTickets!$A:$A,OperationTickets!AJ:AJ,"",0)),"hh:mm"))</f>
        <v/>
      </c>
      <c r="G3657" s="309" t="str">
        <f t="shared" si="3698"/>
        <v/>
      </c>
      <c r="H3657" s="316" t="str">
        <f t="array" ref="H3657">XLOOKUP(B3657,Roster!L:L,Roster!N:N,XLOOKUP(D3657,TicketsBreak!A:A,TicketsBreak!E:E,"",0),0)</f>
        <v/>
      </c>
      <c r="I3657" s="316" t="str">
        <f t="array" ref="I3657">XLOOKUP(B3657,Roster!L:L,Roster!O:O,XLOOKUP(D3657,TicketsBreak!A:A,TicketsBreak!F:F,"",0),0)</f>
        <v/>
      </c>
      <c r="J3657" s="316" t="str">
        <f t="array" ref="J3657">XLOOKUP(B3657,Roster!L:L,Roster!P:P,XLOOKUP(D3657,TicketsBreak!A:A,TicketsBreak!G:G,"",0),0)</f>
        <v/>
      </c>
      <c r="K3657" s="310">
        <f t="shared" si="3699"/>
        <v>46142</v>
      </c>
      <c r="L3657" s="317" t="str">
        <f t="array" ref="L3657">(XLOOKUP(D3657,Roster!F:F,Roster!D:D,"",0))</f>
        <v/>
      </c>
      <c r="M3657" s="317" t="str">
        <f t="array" ref="M3657">XLOOKUP(D3657,Roster!F:F,Roster!E:E)</f>
        <v>#N/A</v>
      </c>
      <c r="N3657" s="317" t="str">
        <f t="shared" ref="N3657:P3657" si="3706">LEFT(H3657,5)</f>
        <v/>
      </c>
      <c r="O3657" s="317" t="str">
        <f t="shared" si="3706"/>
        <v/>
      </c>
      <c r="P3657" s="317" t="str">
        <f t="shared" si="3706"/>
        <v/>
      </c>
      <c r="Q3657" s="318" t="str">
        <f t="shared" si="3701"/>
        <v/>
      </c>
      <c r="R3657" s="318" t="str">
        <f t="shared" si="3702"/>
        <v/>
      </c>
      <c r="S3657" s="318" t="str">
        <f t="shared" si="3703"/>
        <v/>
      </c>
    </row>
  </sheetData>
  <autoFilter ref="$A$1:$S$3657"/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0" priority="1" operator="containsText" text="5:00">
      <formula>NOT(ISERROR(SEARCH(("5:00"),(D466))))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1" priority="2" operator="containsText" text="6:00">
      <formula>NOT(ISERROR(SEARCH(("6:00"),(D466))))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2" priority="3" operator="containsText" text="7:00">
      <formula>NOT(ISERROR(SEARCH(("7:00"),(D466))))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3" priority="4" operator="containsText" text="8:00">
      <formula>NOT(ISERROR(SEARCH(("8:00"),(D466))))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4" priority="5" operator="containsText" text="5:30">
      <formula>NOT(ISERROR(SEARCH(("5:30"),(D466))))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5" priority="6" operator="containsText" text="9:00">
      <formula>NOT(ISERROR(SEARCH(("9:00"),(D466))))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6" priority="7" operator="containsText" text="10:00">
      <formula>NOT(ISERROR(SEARCH(("10:00"),(D466))))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7" priority="8" operator="containsText" text="11:00">
      <formula>NOT(ISERROR(SEARCH(("11:00"),(D466))))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8" priority="9" operator="containsText" text="12:00">
      <formula>NOT(ISERROR(SEARCH(("12:00"),(D466))))</formula>
    </cfRule>
  </conditionalFormatting>
  <conditionalFormatting sqref="D466 D606:D607 D746:D747 D886:D887 D1026:D1027 D1166:D1167 D1306:D1307 D1446:D1447 D1586:D1587 D1726:D1727 D1866:D1867 D2006:D2007 D2146:D2147 D2286:D2287 D2426:D2427 D2566:D2567 D2706:D2707 D2846:D2847 D2986:D2987 D3126:D3127 D3266:D3267 D3406:D3407 D3554:D3555">
    <cfRule type="containsText" dxfId="9" priority="10" operator="containsText" text="Free">
      <formula>NOT(ISERROR(SEARCH(("Free"),(D466))))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ellIs" dxfId="23" priority="11" operator="equal">
      <formula>"Free"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20" priority="12" operator="containsText" text="7:00">
      <formula>NOT(ISERROR(SEARCH(("7:00"),(D493))))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9" priority="13" operator="containsText" text="6:30">
      <formula>NOT(ISERROR(SEARCH(("6:30"),(D493))))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21" priority="14" operator="containsText" text="8:00">
      <formula>NOT(ISERROR(SEARCH(("8:00"),(D493))))</formula>
    </cfRule>
  </conditionalFormatting>
  <conditionalFormatting sqref="D493:D561 D632:D701 D772:D841 D912:D981 D1051:D1121 D1190:D1261 D1330:D1401 D1470:D1541 D1610:D1681 D1750:D1821 D1890:D1961 D2030:D2101 D2170:D2241 D2310:D2381 D2450:D2521 D2590:D2661 D2730:D2801 D2870:D2941 D3010:D3657">
    <cfRule type="containsText" dxfId="22" priority="15" operator="containsText" text="9:00">
      <formula>NOT(ISERROR(SEARCH(("9:00"),(D493))))</formula>
    </cfRule>
  </conditionalFormatting>
  <conditionalFormatting sqref="B1 F1:P3657 Q1:S1 D514:D561 B562:B3657 D654:D701 D794:D841 D934:D981 D1074:D1121 D1214:D1261 D1354:D1401 D1494:D1541 D1634:D1681 D1774:D1821 D1914:D1961 D2054:D2101 D2194:D2241 D2334:D2381 D2474:D2521 D2614:D2661 D2754:D2801 D2894:D2941 D3034:D3657">
    <cfRule type="containsText" dxfId="37" priority="16" operator="containsText" text="Free">
      <formula>NOT(ISERROR(SEARCH(("Free"),(B1))))</formula>
    </cfRule>
  </conditionalFormatting>
  <conditionalFormatting sqref="B1 F1:P3657 Q1:S1 D514:D561 B562:B3657 D654:D701 D794:D841 D934:D981 D1074:D1121 D1214:D1261 D1354:D1401 D1494:D1541 D1634:D1681 D1774:D1821 D1914:D1961 D2054:D2101 D2194:D2241 D2334:D2381 D2474:D2521 D2614:D2661 D2754:D2801 D2894:D2941 D3034:D3657">
    <cfRule type="containsText" dxfId="38" priority="17" operator="containsText" text="VAC">
      <formula>NOT(ISERROR(SEARCH(("VAC"),(B1))))</formula>
    </cfRule>
  </conditionalFormatting>
  <conditionalFormatting sqref="A1:E3657">
    <cfRule type="expression" dxfId="39" priority="18">
      <formula>and($E1="Yovanny Ceballos")</formula>
    </cfRule>
  </conditionalFormatting>
  <conditionalFormatting sqref="B1 E1:P3657 Q1:S1 D514:D561 B562:B3657 D654:D701 D794:D841 D934:D981 D1074:D1121 D1214:D1261 D1354:D1401 D1494:D1541 D1634:D1681 D1774:D1821 D1914:D1961 D2054:D2101 D2194:D2241 D2334:D2381 D2474:D2521 D2614:D2661 D2754:D2801 D2894:D2941 D3034:D3657">
    <cfRule type="expression" dxfId="40" priority="19">
      <formula>and($E1="Adriana Moncaleano")</formula>
    </cfRule>
  </conditionalFormatting>
  <conditionalFormatting sqref="A1:E3657">
    <cfRule type="expression" dxfId="41" priority="20">
      <formula>and($D1="C1472")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38"/>
    <col customWidth="1" min="3" max="5" width="17.88"/>
    <col customWidth="1" min="6" max="6" width="52.88"/>
  </cols>
  <sheetData>
    <row r="1" ht="22.5" customHeight="1">
      <c r="A1" s="319" t="s">
        <v>317</v>
      </c>
      <c r="B1" s="319" t="s">
        <v>4</v>
      </c>
      <c r="C1" s="320" t="s">
        <v>318</v>
      </c>
      <c r="D1" s="320" t="s">
        <v>319</v>
      </c>
      <c r="E1" s="320" t="s">
        <v>320</v>
      </c>
      <c r="F1" s="320" t="s">
        <v>321</v>
      </c>
    </row>
    <row r="2" ht="22.5" customHeight="1">
      <c r="A2" s="321" t="s">
        <v>210</v>
      </c>
      <c r="B2" s="321" t="s">
        <v>322</v>
      </c>
      <c r="C2" s="322" t="s">
        <v>323</v>
      </c>
      <c r="D2" s="322" t="s">
        <v>324</v>
      </c>
      <c r="E2" s="322" t="s">
        <v>323</v>
      </c>
      <c r="F2" s="321"/>
    </row>
    <row r="3" ht="22.5" customHeight="1">
      <c r="A3" s="321" t="s">
        <v>210</v>
      </c>
      <c r="B3" s="321" t="s">
        <v>325</v>
      </c>
      <c r="C3" s="322" t="s">
        <v>324</v>
      </c>
      <c r="D3" s="322" t="s">
        <v>323</v>
      </c>
      <c r="E3" s="322" t="s">
        <v>324</v>
      </c>
      <c r="F3" s="321" t="s">
        <v>326</v>
      </c>
    </row>
    <row r="4" ht="22.5" customHeight="1">
      <c r="A4" s="321" t="s">
        <v>210</v>
      </c>
      <c r="B4" s="321" t="s">
        <v>327</v>
      </c>
      <c r="C4" s="322" t="s">
        <v>324</v>
      </c>
      <c r="D4" s="322" t="s">
        <v>323</v>
      </c>
      <c r="E4" s="322" t="s">
        <v>324</v>
      </c>
      <c r="F4" s="323"/>
    </row>
    <row r="5" ht="22.5" customHeight="1">
      <c r="A5" s="321" t="s">
        <v>210</v>
      </c>
      <c r="B5" s="321" t="s">
        <v>328</v>
      </c>
      <c r="C5" s="322" t="s">
        <v>324</v>
      </c>
      <c r="D5" s="322" t="s">
        <v>323</v>
      </c>
      <c r="E5" s="322" t="s">
        <v>324</v>
      </c>
      <c r="F5" s="323"/>
    </row>
    <row r="6" ht="22.5" customHeight="1">
      <c r="A6" s="321" t="s">
        <v>210</v>
      </c>
      <c r="B6" s="321" t="s">
        <v>329</v>
      </c>
      <c r="C6" s="322" t="s">
        <v>323</v>
      </c>
      <c r="D6" s="322" t="s">
        <v>324</v>
      </c>
      <c r="E6" s="322" t="s">
        <v>323</v>
      </c>
      <c r="F6" s="323"/>
    </row>
    <row r="7" ht="22.5" customHeight="1">
      <c r="A7" s="321" t="s">
        <v>210</v>
      </c>
      <c r="B7" s="321" t="s">
        <v>330</v>
      </c>
      <c r="C7" s="322" t="s">
        <v>323</v>
      </c>
      <c r="D7" s="322" t="s">
        <v>323</v>
      </c>
      <c r="E7" s="322" t="s">
        <v>324</v>
      </c>
      <c r="F7" s="323"/>
    </row>
    <row r="8" ht="22.5" customHeight="1">
      <c r="A8" s="321" t="s">
        <v>210</v>
      </c>
      <c r="B8" s="321" t="s">
        <v>331</v>
      </c>
      <c r="C8" s="322" t="s">
        <v>323</v>
      </c>
      <c r="D8" s="322" t="s">
        <v>323</v>
      </c>
      <c r="E8" s="322" t="s">
        <v>324</v>
      </c>
      <c r="F8" s="323"/>
    </row>
    <row r="9" ht="22.5" customHeight="1">
      <c r="A9" s="321" t="s">
        <v>210</v>
      </c>
      <c r="B9" s="321" t="s">
        <v>332</v>
      </c>
      <c r="C9" s="322" t="s">
        <v>324</v>
      </c>
      <c r="D9" s="322" t="s">
        <v>324</v>
      </c>
      <c r="E9" s="322" t="s">
        <v>323</v>
      </c>
      <c r="F9" s="323"/>
    </row>
    <row r="10" ht="22.5" customHeight="1">
      <c r="A10" s="321" t="s">
        <v>210</v>
      </c>
      <c r="B10" s="321" t="s">
        <v>333</v>
      </c>
      <c r="C10" s="322" t="s">
        <v>323</v>
      </c>
      <c r="D10" s="322" t="s">
        <v>324</v>
      </c>
      <c r="E10" s="322" t="s">
        <v>323</v>
      </c>
      <c r="F10" s="323"/>
    </row>
    <row r="11" ht="22.5" customHeight="1">
      <c r="A11" s="321" t="s">
        <v>210</v>
      </c>
      <c r="B11" s="321" t="s">
        <v>334</v>
      </c>
      <c r="C11" s="324"/>
      <c r="D11" s="324"/>
      <c r="E11" s="324"/>
      <c r="F11" s="323"/>
    </row>
    <row r="12" ht="22.5" customHeight="1">
      <c r="A12" s="321" t="s">
        <v>210</v>
      </c>
      <c r="B12" s="321" t="s">
        <v>335</v>
      </c>
      <c r="C12" s="322" t="s">
        <v>323</v>
      </c>
      <c r="D12" s="322" t="s">
        <v>323</v>
      </c>
      <c r="E12" s="322" t="s">
        <v>324</v>
      </c>
      <c r="F12" s="323"/>
    </row>
    <row r="13" ht="22.5" customHeight="1">
      <c r="A13" s="321" t="s">
        <v>210</v>
      </c>
      <c r="B13" s="321" t="s">
        <v>336</v>
      </c>
      <c r="C13" s="322" t="s">
        <v>324</v>
      </c>
      <c r="D13" s="322" t="s">
        <v>324</v>
      </c>
      <c r="E13" s="322" t="s">
        <v>323</v>
      </c>
      <c r="F13" s="323"/>
    </row>
    <row r="14" ht="22.5" customHeight="1">
      <c r="A14" s="321" t="s">
        <v>214</v>
      </c>
      <c r="B14" s="321" t="s">
        <v>337</v>
      </c>
      <c r="C14" s="322" t="s">
        <v>324</v>
      </c>
      <c r="D14" s="322" t="s">
        <v>324</v>
      </c>
      <c r="E14" s="322" t="s">
        <v>323</v>
      </c>
      <c r="F14" s="323"/>
    </row>
    <row r="15" ht="22.5" customHeight="1">
      <c r="A15" s="321" t="s">
        <v>214</v>
      </c>
      <c r="B15" s="321" t="s">
        <v>338</v>
      </c>
      <c r="C15" s="324"/>
      <c r="D15" s="324"/>
      <c r="E15" s="324"/>
      <c r="F15" s="321" t="s">
        <v>339</v>
      </c>
    </row>
    <row r="16" ht="22.5" customHeight="1">
      <c r="A16" s="321" t="s">
        <v>214</v>
      </c>
      <c r="B16" s="321" t="s">
        <v>340</v>
      </c>
      <c r="C16" s="322" t="s">
        <v>324</v>
      </c>
      <c r="D16" s="322" t="s">
        <v>323</v>
      </c>
      <c r="E16" s="322" t="s">
        <v>324</v>
      </c>
      <c r="F16" s="323"/>
    </row>
    <row r="17" ht="22.5" customHeight="1">
      <c r="A17" s="321" t="s">
        <v>214</v>
      </c>
      <c r="B17" s="321" t="s">
        <v>341</v>
      </c>
      <c r="C17" s="322" t="s">
        <v>324</v>
      </c>
      <c r="D17" s="322" t="s">
        <v>324</v>
      </c>
      <c r="E17" s="322" t="s">
        <v>323</v>
      </c>
      <c r="F17" s="323"/>
    </row>
    <row r="18" ht="22.5" customHeight="1">
      <c r="A18" s="321" t="s">
        <v>214</v>
      </c>
      <c r="B18" s="321" t="s">
        <v>342</v>
      </c>
      <c r="C18" s="322" t="s">
        <v>323</v>
      </c>
      <c r="D18" s="322" t="s">
        <v>324</v>
      </c>
      <c r="E18" s="322" t="s">
        <v>323</v>
      </c>
      <c r="F18" s="323"/>
    </row>
    <row r="19" ht="22.5" customHeight="1">
      <c r="A19" s="321" t="s">
        <v>214</v>
      </c>
      <c r="B19" s="321" t="s">
        <v>99</v>
      </c>
      <c r="C19" s="322" t="s">
        <v>324</v>
      </c>
      <c r="D19" s="322" t="s">
        <v>323</v>
      </c>
      <c r="E19" s="322" t="s">
        <v>324</v>
      </c>
      <c r="F19" s="323"/>
    </row>
    <row r="20" ht="22.5" customHeight="1">
      <c r="A20" s="321" t="s">
        <v>214</v>
      </c>
      <c r="B20" s="321" t="s">
        <v>343</v>
      </c>
      <c r="C20" s="322" t="s">
        <v>324</v>
      </c>
      <c r="D20" s="322" t="s">
        <v>324</v>
      </c>
      <c r="E20" s="322" t="s">
        <v>323</v>
      </c>
      <c r="F20" s="323"/>
    </row>
    <row r="21" ht="22.5" customHeight="1">
      <c r="A21" s="321" t="s">
        <v>214</v>
      </c>
      <c r="B21" s="321" t="s">
        <v>344</v>
      </c>
      <c r="C21" s="324"/>
      <c r="D21" s="324"/>
      <c r="E21" s="324"/>
      <c r="F21" s="321" t="s">
        <v>339</v>
      </c>
    </row>
    <row r="22" ht="22.5" customHeight="1">
      <c r="A22" s="321" t="s">
        <v>214</v>
      </c>
      <c r="B22" s="321" t="s">
        <v>345</v>
      </c>
      <c r="C22" s="322" t="s">
        <v>323</v>
      </c>
      <c r="D22" s="322" t="s">
        <v>323</v>
      </c>
      <c r="E22" s="322" t="s">
        <v>324</v>
      </c>
      <c r="F22" s="323"/>
    </row>
    <row r="23" ht="22.5" customHeight="1">
      <c r="A23" s="321" t="s">
        <v>214</v>
      </c>
      <c r="B23" s="321" t="s">
        <v>346</v>
      </c>
      <c r="C23" s="324"/>
      <c r="D23" s="324"/>
      <c r="E23" s="324"/>
      <c r="F23" s="321" t="s">
        <v>339</v>
      </c>
    </row>
    <row r="24" ht="22.5" customHeight="1">
      <c r="A24" s="321" t="s">
        <v>214</v>
      </c>
      <c r="B24" s="321" t="s">
        <v>347</v>
      </c>
      <c r="C24" s="322" t="s">
        <v>323</v>
      </c>
      <c r="D24" s="322" t="s">
        <v>323</v>
      </c>
      <c r="E24" s="322" t="s">
        <v>324</v>
      </c>
      <c r="F24" s="323"/>
    </row>
    <row r="25" ht="22.5" customHeight="1">
      <c r="A25" s="321" t="s">
        <v>214</v>
      </c>
      <c r="B25" s="321" t="s">
        <v>348</v>
      </c>
      <c r="C25" s="322" t="s">
        <v>324</v>
      </c>
      <c r="D25" s="322" t="s">
        <v>324</v>
      </c>
      <c r="E25" s="322" t="s">
        <v>323</v>
      </c>
      <c r="F25" s="323"/>
    </row>
    <row r="26" ht="22.5" customHeight="1">
      <c r="A26" s="321" t="s">
        <v>214</v>
      </c>
      <c r="B26" s="321" t="s">
        <v>349</v>
      </c>
      <c r="C26" s="322" t="s">
        <v>324</v>
      </c>
      <c r="D26" s="322" t="s">
        <v>323</v>
      </c>
      <c r="E26" s="322" t="s">
        <v>324</v>
      </c>
      <c r="F26" s="323"/>
    </row>
    <row r="27" ht="22.5" customHeight="1">
      <c r="A27" s="321" t="s">
        <v>214</v>
      </c>
      <c r="B27" s="321" t="s">
        <v>350</v>
      </c>
      <c r="C27" s="322" t="s">
        <v>323</v>
      </c>
      <c r="D27" s="322" t="s">
        <v>323</v>
      </c>
      <c r="E27" s="322" t="s">
        <v>324</v>
      </c>
      <c r="F27" s="323"/>
    </row>
    <row r="28" ht="22.5" customHeight="1">
      <c r="A28" s="321" t="s">
        <v>214</v>
      </c>
      <c r="B28" s="321" t="s">
        <v>351</v>
      </c>
      <c r="C28" s="322" t="s">
        <v>323</v>
      </c>
      <c r="D28" s="322" t="s">
        <v>324</v>
      </c>
      <c r="E28" s="322" t="s">
        <v>323</v>
      </c>
      <c r="F28" s="323"/>
    </row>
    <row r="29" ht="22.5" customHeight="1">
      <c r="A29" s="321" t="s">
        <v>214</v>
      </c>
      <c r="B29" s="321" t="s">
        <v>123</v>
      </c>
      <c r="C29" s="322" t="s">
        <v>323</v>
      </c>
      <c r="D29" s="322" t="s">
        <v>323</v>
      </c>
      <c r="E29" s="322" t="s">
        <v>324</v>
      </c>
      <c r="F29" s="323"/>
    </row>
    <row r="30" ht="22.5" customHeight="1">
      <c r="A30" s="321" t="s">
        <v>214</v>
      </c>
      <c r="B30" s="321" t="s">
        <v>352</v>
      </c>
      <c r="C30" s="322" t="s">
        <v>324</v>
      </c>
      <c r="D30" s="322" t="s">
        <v>324</v>
      </c>
      <c r="E30" s="322" t="s">
        <v>323</v>
      </c>
      <c r="F30" s="323"/>
    </row>
    <row r="31" ht="22.5" customHeight="1">
      <c r="A31" s="321" t="s">
        <v>214</v>
      </c>
      <c r="B31" s="321" t="s">
        <v>353</v>
      </c>
      <c r="C31" s="324"/>
      <c r="D31" s="324"/>
      <c r="E31" s="324"/>
      <c r="F31" s="321" t="s">
        <v>339</v>
      </c>
    </row>
    <row r="32" ht="22.5" customHeight="1">
      <c r="A32" s="321" t="s">
        <v>213</v>
      </c>
      <c r="B32" s="321" t="s">
        <v>354</v>
      </c>
      <c r="C32" s="322" t="s">
        <v>324</v>
      </c>
      <c r="D32" s="322" t="s">
        <v>324</v>
      </c>
      <c r="E32" s="322" t="s">
        <v>323</v>
      </c>
      <c r="F32" s="321" t="s">
        <v>355</v>
      </c>
    </row>
    <row r="33" ht="22.5" customHeight="1">
      <c r="A33" s="321" t="s">
        <v>213</v>
      </c>
      <c r="B33" s="321" t="s">
        <v>94</v>
      </c>
      <c r="C33" s="322" t="s">
        <v>324</v>
      </c>
      <c r="D33" s="322" t="s">
        <v>324</v>
      </c>
      <c r="E33" s="322" t="s">
        <v>323</v>
      </c>
      <c r="F33" s="323"/>
    </row>
    <row r="34" ht="22.5" customHeight="1">
      <c r="A34" s="321" t="s">
        <v>213</v>
      </c>
      <c r="B34" s="321" t="s">
        <v>356</v>
      </c>
      <c r="C34" s="322" t="s">
        <v>323</v>
      </c>
      <c r="D34" s="322" t="s">
        <v>324</v>
      </c>
      <c r="E34" s="322" t="s">
        <v>324</v>
      </c>
      <c r="F34" s="321" t="s">
        <v>357</v>
      </c>
    </row>
    <row r="35" ht="22.5" customHeight="1">
      <c r="A35" s="321" t="s">
        <v>213</v>
      </c>
      <c r="B35" s="321" t="s">
        <v>358</v>
      </c>
      <c r="C35" s="322" t="s">
        <v>324</v>
      </c>
      <c r="D35" s="322" t="s">
        <v>324</v>
      </c>
      <c r="E35" s="322" t="s">
        <v>323</v>
      </c>
      <c r="F35" s="323"/>
    </row>
    <row r="36" ht="22.5" customHeight="1">
      <c r="A36" s="321" t="s">
        <v>213</v>
      </c>
      <c r="B36" s="321" t="s">
        <v>359</v>
      </c>
      <c r="C36" s="322" t="s">
        <v>323</v>
      </c>
      <c r="D36" s="322" t="s">
        <v>324</v>
      </c>
      <c r="E36" s="322" t="s">
        <v>323</v>
      </c>
      <c r="F36" s="323"/>
    </row>
    <row r="37" ht="22.5" customHeight="1">
      <c r="A37" s="321" t="s">
        <v>213</v>
      </c>
      <c r="B37" s="321" t="s">
        <v>360</v>
      </c>
      <c r="C37" s="322" t="s">
        <v>323</v>
      </c>
      <c r="D37" s="322" t="s">
        <v>324</v>
      </c>
      <c r="E37" s="322" t="s">
        <v>323</v>
      </c>
      <c r="F37" s="323"/>
    </row>
    <row r="38" ht="22.5" customHeight="1">
      <c r="A38" s="321" t="s">
        <v>213</v>
      </c>
      <c r="B38" s="321" t="s">
        <v>361</v>
      </c>
      <c r="C38" s="322" t="s">
        <v>324</v>
      </c>
      <c r="D38" s="322" t="s">
        <v>324</v>
      </c>
      <c r="E38" s="322" t="s">
        <v>323</v>
      </c>
      <c r="F38" s="323"/>
    </row>
    <row r="39" ht="22.5" customHeight="1">
      <c r="A39" s="321" t="s">
        <v>213</v>
      </c>
      <c r="B39" s="321" t="s">
        <v>362</v>
      </c>
      <c r="C39" s="322" t="s">
        <v>323</v>
      </c>
      <c r="D39" s="322" t="s">
        <v>323</v>
      </c>
      <c r="E39" s="322" t="s">
        <v>324</v>
      </c>
      <c r="F39" s="323"/>
    </row>
    <row r="40" ht="22.5" customHeight="1">
      <c r="A40" s="321" t="s">
        <v>213</v>
      </c>
      <c r="B40" s="321" t="s">
        <v>363</v>
      </c>
      <c r="C40" s="322" t="s">
        <v>323</v>
      </c>
      <c r="D40" s="322" t="s">
        <v>323</v>
      </c>
      <c r="E40" s="322" t="s">
        <v>324</v>
      </c>
      <c r="F40" s="323"/>
    </row>
    <row r="41" ht="22.5" customHeight="1">
      <c r="A41" s="321" t="s">
        <v>213</v>
      </c>
      <c r="B41" s="321" t="s">
        <v>364</v>
      </c>
      <c r="C41" s="322" t="s">
        <v>323</v>
      </c>
      <c r="D41" s="322" t="s">
        <v>323</v>
      </c>
      <c r="E41" s="322" t="s">
        <v>324</v>
      </c>
      <c r="F41" s="323"/>
    </row>
    <row r="42" ht="22.5" customHeight="1">
      <c r="A42" s="321" t="s">
        <v>213</v>
      </c>
      <c r="B42" s="321" t="s">
        <v>365</v>
      </c>
      <c r="C42" s="322" t="s">
        <v>324</v>
      </c>
      <c r="D42" s="322" t="s">
        <v>323</v>
      </c>
      <c r="E42" s="322" t="s">
        <v>324</v>
      </c>
      <c r="F42" s="321" t="s">
        <v>355</v>
      </c>
    </row>
    <row r="43" ht="22.5" customHeight="1">
      <c r="A43" s="321" t="s">
        <v>213</v>
      </c>
      <c r="B43" s="321" t="s">
        <v>366</v>
      </c>
      <c r="C43" s="322" t="s">
        <v>323</v>
      </c>
      <c r="D43" s="322" t="s">
        <v>324</v>
      </c>
      <c r="E43" s="322" t="s">
        <v>323</v>
      </c>
      <c r="F43" s="323"/>
    </row>
    <row r="44" ht="22.5" customHeight="1">
      <c r="A44" s="321" t="s">
        <v>213</v>
      </c>
      <c r="B44" s="321" t="s">
        <v>367</v>
      </c>
      <c r="C44" s="322" t="s">
        <v>324</v>
      </c>
      <c r="D44" s="322" t="s">
        <v>323</v>
      </c>
      <c r="E44" s="322" t="s">
        <v>324</v>
      </c>
      <c r="F44" s="323"/>
    </row>
    <row r="45" ht="22.5" customHeight="1">
      <c r="A45" s="321" t="s">
        <v>211</v>
      </c>
      <c r="B45" s="321" t="s">
        <v>368</v>
      </c>
      <c r="C45" s="322" t="s">
        <v>323</v>
      </c>
      <c r="D45" s="322" t="s">
        <v>323</v>
      </c>
      <c r="E45" s="322" t="s">
        <v>324</v>
      </c>
      <c r="F45" s="325"/>
    </row>
    <row r="46" ht="22.5" customHeight="1">
      <c r="A46" s="321" t="s">
        <v>211</v>
      </c>
      <c r="B46" s="321" t="s">
        <v>369</v>
      </c>
      <c r="C46" s="322" t="s">
        <v>324</v>
      </c>
      <c r="D46" s="322" t="s">
        <v>323</v>
      </c>
      <c r="E46" s="322" t="s">
        <v>324</v>
      </c>
      <c r="F46" s="323"/>
    </row>
    <row r="47" ht="22.5" customHeight="1">
      <c r="A47" s="321" t="s">
        <v>211</v>
      </c>
      <c r="B47" s="321" t="s">
        <v>370</v>
      </c>
      <c r="C47" s="322" t="s">
        <v>324</v>
      </c>
      <c r="D47" s="322" t="s">
        <v>323</v>
      </c>
      <c r="E47" s="322" t="s">
        <v>324</v>
      </c>
      <c r="F47" s="323"/>
    </row>
    <row r="48" ht="22.5" customHeight="1">
      <c r="A48" s="321" t="s">
        <v>211</v>
      </c>
      <c r="B48" s="321" t="s">
        <v>371</v>
      </c>
      <c r="C48" s="322" t="s">
        <v>323</v>
      </c>
      <c r="D48" s="322" t="s">
        <v>323</v>
      </c>
      <c r="E48" s="322" t="s">
        <v>324</v>
      </c>
      <c r="F48" s="323"/>
    </row>
    <row r="49" ht="22.5" customHeight="1">
      <c r="A49" s="321" t="s">
        <v>211</v>
      </c>
      <c r="B49" s="321" t="s">
        <v>372</v>
      </c>
      <c r="C49" s="322" t="s">
        <v>323</v>
      </c>
      <c r="D49" s="322" t="s">
        <v>324</v>
      </c>
      <c r="E49" s="322" t="s">
        <v>323</v>
      </c>
      <c r="F49" s="323"/>
    </row>
    <row r="50" ht="22.5" customHeight="1">
      <c r="A50" s="321" t="s">
        <v>211</v>
      </c>
      <c r="B50" s="321" t="s">
        <v>373</v>
      </c>
      <c r="C50" s="322" t="s">
        <v>324</v>
      </c>
      <c r="D50" s="322" t="s">
        <v>323</v>
      </c>
      <c r="E50" s="322" t="s">
        <v>324</v>
      </c>
      <c r="F50" s="323"/>
    </row>
    <row r="51" ht="22.5" customHeight="1">
      <c r="A51" s="321" t="s">
        <v>211</v>
      </c>
      <c r="B51" s="321" t="s">
        <v>374</v>
      </c>
      <c r="C51" s="322" t="s">
        <v>324</v>
      </c>
      <c r="D51" s="322" t="s">
        <v>324</v>
      </c>
      <c r="E51" s="322" t="s">
        <v>323</v>
      </c>
      <c r="F51" s="323"/>
    </row>
    <row r="52" ht="22.5" customHeight="1">
      <c r="A52" s="321" t="s">
        <v>211</v>
      </c>
      <c r="B52" s="321" t="s">
        <v>375</v>
      </c>
      <c r="C52" s="322" t="s">
        <v>324</v>
      </c>
      <c r="D52" s="322" t="s">
        <v>323</v>
      </c>
      <c r="E52" s="322" t="s">
        <v>324</v>
      </c>
      <c r="F52" s="323"/>
    </row>
    <row r="53" ht="22.5" customHeight="1">
      <c r="A53" s="321" t="s">
        <v>211</v>
      </c>
      <c r="B53" s="321" t="s">
        <v>376</v>
      </c>
      <c r="C53" s="322" t="s">
        <v>323</v>
      </c>
      <c r="D53" s="322" t="s">
        <v>324</v>
      </c>
      <c r="E53" s="322" t="s">
        <v>323</v>
      </c>
      <c r="F53" s="323"/>
    </row>
    <row r="54" ht="22.5" customHeight="1">
      <c r="A54" s="321" t="s">
        <v>211</v>
      </c>
      <c r="B54" s="321" t="s">
        <v>377</v>
      </c>
      <c r="C54" s="322" t="s">
        <v>323</v>
      </c>
      <c r="D54" s="322" t="s">
        <v>324</v>
      </c>
      <c r="E54" s="322" t="s">
        <v>323</v>
      </c>
      <c r="F54" s="323"/>
    </row>
    <row r="55" ht="22.5" customHeight="1">
      <c r="A55" s="321" t="s">
        <v>211</v>
      </c>
      <c r="B55" s="321" t="s">
        <v>378</v>
      </c>
      <c r="C55" s="322" t="s">
        <v>324</v>
      </c>
      <c r="D55" s="322" t="s">
        <v>324</v>
      </c>
      <c r="E55" s="322" t="s">
        <v>323</v>
      </c>
      <c r="F55" s="323"/>
    </row>
    <row r="56" ht="22.5" customHeight="1">
      <c r="A56" s="321" t="s">
        <v>211</v>
      </c>
      <c r="B56" s="321" t="s">
        <v>379</v>
      </c>
      <c r="C56" s="322" t="s">
        <v>324</v>
      </c>
      <c r="D56" s="322" t="s">
        <v>323</v>
      </c>
      <c r="E56" s="322" t="s">
        <v>324</v>
      </c>
      <c r="F56" s="323"/>
    </row>
    <row r="57" ht="22.5" customHeight="1">
      <c r="A57" s="321" t="s">
        <v>211</v>
      </c>
      <c r="B57" s="321" t="s">
        <v>380</v>
      </c>
      <c r="C57" s="322" t="s">
        <v>323</v>
      </c>
      <c r="D57" s="322" t="s">
        <v>324</v>
      </c>
      <c r="E57" s="322" t="s">
        <v>323</v>
      </c>
      <c r="F57" s="325"/>
    </row>
    <row r="58" ht="22.5" customHeight="1">
      <c r="A58" s="321" t="s">
        <v>209</v>
      </c>
      <c r="B58" s="321" t="s">
        <v>87</v>
      </c>
      <c r="C58" s="322" t="s">
        <v>323</v>
      </c>
      <c r="D58" s="322" t="s">
        <v>324</v>
      </c>
      <c r="E58" s="322" t="s">
        <v>323</v>
      </c>
      <c r="F58" s="323"/>
    </row>
    <row r="59" ht="22.5" customHeight="1">
      <c r="A59" s="321" t="s">
        <v>209</v>
      </c>
      <c r="B59" s="321" t="s">
        <v>203</v>
      </c>
      <c r="C59" s="322" t="s">
        <v>324</v>
      </c>
      <c r="D59" s="322" t="s">
        <v>324</v>
      </c>
      <c r="E59" s="322" t="s">
        <v>323</v>
      </c>
      <c r="F59" s="321" t="s">
        <v>381</v>
      </c>
    </row>
    <row r="60" ht="22.5" customHeight="1">
      <c r="A60" s="321" t="s">
        <v>209</v>
      </c>
      <c r="B60" s="321" t="s">
        <v>93</v>
      </c>
      <c r="C60" s="322" t="s">
        <v>323</v>
      </c>
      <c r="D60" s="322" t="s">
        <v>324</v>
      </c>
      <c r="E60" s="322" t="s">
        <v>323</v>
      </c>
      <c r="F60" s="323"/>
    </row>
    <row r="61" ht="22.5" customHeight="1">
      <c r="A61" s="321" t="s">
        <v>209</v>
      </c>
      <c r="B61" s="321" t="s">
        <v>382</v>
      </c>
      <c r="C61" s="322" t="s">
        <v>323</v>
      </c>
      <c r="D61" s="322" t="s">
        <v>323</v>
      </c>
      <c r="E61" s="322" t="s">
        <v>324</v>
      </c>
      <c r="F61" s="323"/>
    </row>
    <row r="62" ht="22.5" customHeight="1">
      <c r="A62" s="321" t="s">
        <v>209</v>
      </c>
      <c r="B62" s="321" t="s">
        <v>383</v>
      </c>
      <c r="C62" s="322" t="s">
        <v>324</v>
      </c>
      <c r="D62" s="322" t="s">
        <v>323</v>
      </c>
      <c r="E62" s="322" t="s">
        <v>324</v>
      </c>
      <c r="F62" s="321" t="s">
        <v>384</v>
      </c>
    </row>
    <row r="63" ht="22.5" customHeight="1">
      <c r="A63" s="321" t="s">
        <v>209</v>
      </c>
      <c r="B63" s="321" t="s">
        <v>105</v>
      </c>
      <c r="C63" s="322" t="s">
        <v>323</v>
      </c>
      <c r="D63" s="322" t="s">
        <v>323</v>
      </c>
      <c r="E63" s="322" t="s">
        <v>324</v>
      </c>
      <c r="F63" s="323"/>
    </row>
    <row r="64" ht="22.5" customHeight="1">
      <c r="A64" s="321" t="s">
        <v>209</v>
      </c>
      <c r="B64" s="321" t="s">
        <v>106</v>
      </c>
      <c r="C64" s="322" t="s">
        <v>324</v>
      </c>
      <c r="D64" s="322" t="s">
        <v>323</v>
      </c>
      <c r="E64" s="322" t="s">
        <v>324</v>
      </c>
      <c r="F64" s="323"/>
    </row>
    <row r="65" ht="22.5" customHeight="1">
      <c r="A65" s="321" t="s">
        <v>209</v>
      </c>
      <c r="B65" s="321" t="s">
        <v>108</v>
      </c>
      <c r="C65" s="322" t="s">
        <v>324</v>
      </c>
      <c r="D65" s="322" t="s">
        <v>324</v>
      </c>
      <c r="E65" s="322" t="s">
        <v>323</v>
      </c>
      <c r="F65" s="321" t="s">
        <v>385</v>
      </c>
    </row>
    <row r="66" ht="22.5" customHeight="1">
      <c r="A66" s="321" t="s">
        <v>209</v>
      </c>
      <c r="B66" s="321" t="s">
        <v>111</v>
      </c>
      <c r="C66" s="322" t="s">
        <v>324</v>
      </c>
      <c r="D66" s="322" t="s">
        <v>323</v>
      </c>
      <c r="E66" s="322" t="s">
        <v>324</v>
      </c>
      <c r="F66" s="323"/>
    </row>
    <row r="67" ht="22.5" customHeight="1">
      <c r="A67" s="321" t="s">
        <v>209</v>
      </c>
      <c r="B67" s="321" t="s">
        <v>386</v>
      </c>
      <c r="C67" s="324"/>
      <c r="D67" s="324"/>
      <c r="E67" s="324"/>
      <c r="F67" s="321" t="s">
        <v>387</v>
      </c>
    </row>
    <row r="68" ht="22.5" customHeight="1">
      <c r="A68" s="321" t="s">
        <v>209</v>
      </c>
      <c r="B68" s="321" t="s">
        <v>115</v>
      </c>
      <c r="C68" s="322" t="s">
        <v>324</v>
      </c>
      <c r="D68" s="322" t="s">
        <v>323</v>
      </c>
      <c r="E68" s="322" t="s">
        <v>324</v>
      </c>
      <c r="F68" s="321" t="s">
        <v>381</v>
      </c>
    </row>
    <row r="69" ht="22.5" customHeight="1">
      <c r="A69" s="321" t="s">
        <v>209</v>
      </c>
      <c r="B69" s="321" t="s">
        <v>116</v>
      </c>
      <c r="C69" s="322" t="s">
        <v>323</v>
      </c>
      <c r="D69" s="322" t="s">
        <v>324</v>
      </c>
      <c r="E69" s="322" t="s">
        <v>323</v>
      </c>
      <c r="F69" s="323"/>
    </row>
    <row r="70" ht="22.5" customHeight="1">
      <c r="A70" s="321" t="s">
        <v>209</v>
      </c>
      <c r="B70" s="321" t="s">
        <v>128</v>
      </c>
      <c r="C70" s="322" t="s">
        <v>323</v>
      </c>
      <c r="D70" s="322" t="s">
        <v>324</v>
      </c>
      <c r="E70" s="322" t="s">
        <v>323</v>
      </c>
      <c r="F70" s="323"/>
    </row>
    <row r="71" ht="22.5" customHeight="1">
      <c r="A71" s="321" t="s">
        <v>212</v>
      </c>
      <c r="B71" s="321" t="s">
        <v>89</v>
      </c>
      <c r="C71" s="324"/>
      <c r="D71" s="324"/>
      <c r="E71" s="324"/>
      <c r="F71" s="323"/>
    </row>
    <row r="72" ht="22.5" customHeight="1">
      <c r="A72" s="321" t="s">
        <v>212</v>
      </c>
      <c r="B72" s="321" t="s">
        <v>91</v>
      </c>
      <c r="C72" s="324"/>
      <c r="D72" s="324"/>
      <c r="E72" s="324"/>
      <c r="F72" s="323"/>
    </row>
    <row r="73" ht="22.5" customHeight="1">
      <c r="A73" s="321" t="s">
        <v>212</v>
      </c>
      <c r="B73" s="321" t="s">
        <v>96</v>
      </c>
      <c r="C73" s="324"/>
      <c r="D73" s="324"/>
      <c r="E73" s="324"/>
      <c r="F73" s="323"/>
    </row>
    <row r="74" ht="22.5" customHeight="1">
      <c r="A74" s="321" t="s">
        <v>212</v>
      </c>
      <c r="B74" s="321" t="s">
        <v>98</v>
      </c>
      <c r="C74" s="324"/>
      <c r="D74" s="324"/>
      <c r="E74" s="324"/>
      <c r="F74" s="323"/>
    </row>
    <row r="75" ht="22.5" customHeight="1">
      <c r="A75" s="321" t="s">
        <v>212</v>
      </c>
      <c r="B75" s="321" t="s">
        <v>101</v>
      </c>
      <c r="C75" s="324"/>
      <c r="D75" s="324"/>
      <c r="E75" s="324"/>
      <c r="F75" s="323"/>
    </row>
    <row r="76" ht="22.5" customHeight="1">
      <c r="A76" s="321" t="s">
        <v>212</v>
      </c>
      <c r="B76" s="321" t="s">
        <v>102</v>
      </c>
      <c r="C76" s="324"/>
      <c r="D76" s="324"/>
      <c r="E76" s="324"/>
      <c r="F76" s="323"/>
    </row>
    <row r="77" ht="22.5" customHeight="1">
      <c r="A77" s="321" t="s">
        <v>212</v>
      </c>
      <c r="B77" s="321" t="s">
        <v>104</v>
      </c>
      <c r="C77" s="324"/>
      <c r="D77" s="324"/>
      <c r="E77" s="324"/>
      <c r="F77" s="323"/>
    </row>
    <row r="78" ht="22.5" customHeight="1">
      <c r="A78" s="321" t="s">
        <v>212</v>
      </c>
      <c r="B78" s="321" t="s">
        <v>107</v>
      </c>
      <c r="C78" s="324"/>
      <c r="D78" s="324"/>
      <c r="E78" s="324"/>
      <c r="F78" s="323"/>
    </row>
    <row r="79" ht="22.5" customHeight="1">
      <c r="A79" s="321" t="s">
        <v>212</v>
      </c>
      <c r="B79" s="321" t="s">
        <v>112</v>
      </c>
      <c r="C79" s="324"/>
      <c r="D79" s="324"/>
      <c r="E79" s="324"/>
      <c r="F79" s="323"/>
    </row>
    <row r="80" ht="22.5" customHeight="1">
      <c r="A80" s="321" t="s">
        <v>212</v>
      </c>
      <c r="B80" s="321" t="s">
        <v>114</v>
      </c>
      <c r="C80" s="324"/>
      <c r="D80" s="324"/>
      <c r="E80" s="324"/>
      <c r="F80" s="323"/>
    </row>
    <row r="81" ht="22.5" customHeight="1">
      <c r="A81" s="321" t="s">
        <v>212</v>
      </c>
      <c r="B81" s="321" t="s">
        <v>388</v>
      </c>
      <c r="C81" s="324"/>
      <c r="D81" s="324"/>
      <c r="E81" s="324"/>
      <c r="F81" s="323"/>
    </row>
    <row r="82" ht="22.5" customHeight="1">
      <c r="A82" s="321" t="s">
        <v>212</v>
      </c>
      <c r="B82" s="321" t="s">
        <v>119</v>
      </c>
      <c r="C82" s="324"/>
      <c r="D82" s="324"/>
      <c r="E82" s="324"/>
      <c r="F82" s="323"/>
    </row>
    <row r="83" ht="22.5" customHeight="1">
      <c r="A83" s="321" t="s">
        <v>212</v>
      </c>
      <c r="B83" s="321" t="s">
        <v>122</v>
      </c>
      <c r="C83" s="324"/>
      <c r="D83" s="324"/>
      <c r="E83" s="324"/>
      <c r="F83" s="323"/>
    </row>
    <row r="84" ht="22.5" customHeight="1">
      <c r="A84" s="321" t="s">
        <v>212</v>
      </c>
      <c r="B84" s="321" t="s">
        <v>125</v>
      </c>
      <c r="C84" s="324"/>
      <c r="D84" s="324"/>
      <c r="E84" s="324"/>
      <c r="F84" s="323"/>
    </row>
    <row r="85" ht="22.5" customHeight="1">
      <c r="A85" s="321" t="s">
        <v>212</v>
      </c>
      <c r="B85" s="321" t="s">
        <v>130</v>
      </c>
      <c r="C85" s="324"/>
      <c r="D85" s="324"/>
      <c r="E85" s="324"/>
      <c r="F85" s="323"/>
    </row>
    <row r="86" ht="22.5" customHeight="1">
      <c r="A86" s="321" t="s">
        <v>389</v>
      </c>
      <c r="B86" s="321" t="s">
        <v>92</v>
      </c>
      <c r="C86" s="322" t="s">
        <v>323</v>
      </c>
      <c r="D86" s="322" t="s">
        <v>323</v>
      </c>
      <c r="E86" s="322" t="s">
        <v>324</v>
      </c>
      <c r="F86" s="323"/>
    </row>
    <row r="87" ht="22.5" customHeight="1">
      <c r="A87" s="321" t="s">
        <v>389</v>
      </c>
      <c r="B87" s="321" t="s">
        <v>95</v>
      </c>
      <c r="C87" s="322" t="s">
        <v>324</v>
      </c>
      <c r="D87" s="322" t="s">
        <v>323</v>
      </c>
      <c r="E87" s="322" t="s">
        <v>324</v>
      </c>
      <c r="F87" s="323"/>
    </row>
    <row r="88" ht="22.5" customHeight="1">
      <c r="A88" s="321" t="s">
        <v>389</v>
      </c>
      <c r="B88" s="321" t="s">
        <v>97</v>
      </c>
      <c r="C88" s="322" t="s">
        <v>323</v>
      </c>
      <c r="D88" s="322" t="s">
        <v>324</v>
      </c>
      <c r="E88" s="322" t="s">
        <v>323</v>
      </c>
      <c r="F88" s="323"/>
    </row>
    <row r="89" ht="22.5" customHeight="1">
      <c r="A89" s="321" t="s">
        <v>389</v>
      </c>
      <c r="B89" s="321" t="s">
        <v>390</v>
      </c>
      <c r="C89" s="322" t="s">
        <v>324</v>
      </c>
      <c r="D89" s="322" t="s">
        <v>324</v>
      </c>
      <c r="E89" s="322" t="s">
        <v>323</v>
      </c>
      <c r="F89" s="323"/>
    </row>
    <row r="90" ht="22.5" customHeight="1">
      <c r="A90" s="321" t="s">
        <v>389</v>
      </c>
      <c r="B90" s="321" t="s">
        <v>109</v>
      </c>
      <c r="C90" s="322" t="s">
        <v>324</v>
      </c>
      <c r="D90" s="322" t="s">
        <v>324</v>
      </c>
      <c r="E90" s="322" t="s">
        <v>323</v>
      </c>
      <c r="F90" s="323"/>
    </row>
    <row r="91" ht="22.5" customHeight="1">
      <c r="A91" s="321" t="s">
        <v>389</v>
      </c>
      <c r="B91" s="321" t="s">
        <v>110</v>
      </c>
      <c r="C91" s="322" t="s">
        <v>324</v>
      </c>
      <c r="D91" s="322" t="s">
        <v>323</v>
      </c>
      <c r="E91" s="322" t="s">
        <v>324</v>
      </c>
      <c r="F91" s="323"/>
    </row>
    <row r="92" ht="22.5" customHeight="1">
      <c r="A92" s="321" t="s">
        <v>389</v>
      </c>
      <c r="B92" s="321" t="s">
        <v>113</v>
      </c>
      <c r="C92" s="322" t="s">
        <v>324</v>
      </c>
      <c r="D92" s="322" t="s">
        <v>324</v>
      </c>
      <c r="E92" s="322" t="s">
        <v>323</v>
      </c>
      <c r="F92" s="323"/>
    </row>
    <row r="93" ht="22.5" customHeight="1">
      <c r="A93" s="321" t="s">
        <v>389</v>
      </c>
      <c r="B93" s="321" t="s">
        <v>117</v>
      </c>
      <c r="C93" s="322" t="s">
        <v>323</v>
      </c>
      <c r="D93" s="322" t="s">
        <v>324</v>
      </c>
      <c r="E93" s="322" t="s">
        <v>323</v>
      </c>
      <c r="F93" s="323"/>
    </row>
    <row r="94" ht="22.5" customHeight="1">
      <c r="A94" s="321" t="s">
        <v>389</v>
      </c>
      <c r="B94" s="321" t="s">
        <v>118</v>
      </c>
      <c r="C94" s="322" t="s">
        <v>323</v>
      </c>
      <c r="D94" s="322" t="s">
        <v>324</v>
      </c>
      <c r="E94" s="322" t="s">
        <v>323</v>
      </c>
      <c r="F94" s="323"/>
    </row>
    <row r="95" ht="22.5" customHeight="1">
      <c r="A95" s="321" t="s">
        <v>389</v>
      </c>
      <c r="B95" s="321" t="s">
        <v>120</v>
      </c>
      <c r="C95" s="322" t="s">
        <v>323</v>
      </c>
      <c r="D95" s="322" t="s">
        <v>323</v>
      </c>
      <c r="E95" s="322" t="s">
        <v>324</v>
      </c>
      <c r="F95" s="323"/>
    </row>
    <row r="96" ht="22.5" customHeight="1">
      <c r="A96" s="321" t="s">
        <v>389</v>
      </c>
      <c r="B96" s="321" t="s">
        <v>121</v>
      </c>
      <c r="C96" s="322" t="s">
        <v>323</v>
      </c>
      <c r="D96" s="322" t="s">
        <v>323</v>
      </c>
      <c r="E96" s="322" t="s">
        <v>324</v>
      </c>
      <c r="F96" s="323"/>
    </row>
    <row r="97" ht="22.5" customHeight="1">
      <c r="A97" s="321" t="s">
        <v>389</v>
      </c>
      <c r="B97" s="321" t="s">
        <v>124</v>
      </c>
      <c r="C97" s="322" t="s">
        <v>323</v>
      </c>
      <c r="D97" s="322" t="s">
        <v>323</v>
      </c>
      <c r="E97" s="322" t="s">
        <v>324</v>
      </c>
      <c r="F97" s="323"/>
    </row>
    <row r="98" ht="22.5" customHeight="1">
      <c r="A98" s="321" t="s">
        <v>389</v>
      </c>
      <c r="B98" s="321" t="s">
        <v>391</v>
      </c>
      <c r="C98" s="322" t="s">
        <v>324</v>
      </c>
      <c r="D98" s="322" t="s">
        <v>324</v>
      </c>
      <c r="E98" s="322" t="s">
        <v>323</v>
      </c>
      <c r="F98" s="323"/>
    </row>
    <row r="99" ht="22.5" customHeight="1">
      <c r="A99" s="321" t="s">
        <v>389</v>
      </c>
      <c r="B99" s="321" t="s">
        <v>129</v>
      </c>
      <c r="C99" s="322" t="s">
        <v>324</v>
      </c>
      <c r="D99" s="322" t="s">
        <v>324</v>
      </c>
      <c r="E99" s="322" t="s">
        <v>323</v>
      </c>
      <c r="F99" s="323"/>
    </row>
    <row r="100" ht="22.5" customHeight="1">
      <c r="A100" s="321" t="s">
        <v>389</v>
      </c>
      <c r="B100" s="321" t="s">
        <v>131</v>
      </c>
      <c r="C100" s="322" t="s">
        <v>323</v>
      </c>
      <c r="D100" s="322" t="s">
        <v>323</v>
      </c>
      <c r="E100" s="322" t="s">
        <v>324</v>
      </c>
      <c r="F100" s="323"/>
    </row>
    <row r="101">
      <c r="A101" s="326"/>
      <c r="B101" s="326"/>
      <c r="C101" s="326"/>
      <c r="D101" s="326"/>
      <c r="E101" s="326"/>
      <c r="F101" s="326"/>
    </row>
    <row r="102">
      <c r="A102" s="326"/>
      <c r="B102" s="326"/>
      <c r="C102" s="326"/>
      <c r="D102" s="326"/>
      <c r="E102" s="326"/>
      <c r="F102" s="326"/>
    </row>
    <row r="103">
      <c r="A103" s="326"/>
      <c r="B103" s="326"/>
      <c r="C103" s="326"/>
      <c r="D103" s="326"/>
      <c r="E103" s="326"/>
      <c r="F103" s="326"/>
    </row>
    <row r="104">
      <c r="A104" s="326"/>
      <c r="B104" s="326"/>
      <c r="C104" s="326"/>
      <c r="D104" s="326"/>
      <c r="E104" s="326"/>
      <c r="F104" s="326"/>
    </row>
    <row r="105">
      <c r="A105" s="326"/>
      <c r="B105" s="326"/>
      <c r="C105" s="326"/>
      <c r="D105" s="326"/>
      <c r="E105" s="326"/>
      <c r="F105" s="326"/>
    </row>
    <row r="106">
      <c r="A106" s="326"/>
      <c r="B106" s="326"/>
      <c r="C106" s="326"/>
      <c r="D106" s="326"/>
      <c r="E106" s="326"/>
      <c r="F106" s="326"/>
    </row>
    <row r="107">
      <c r="A107" s="326"/>
      <c r="B107" s="326"/>
      <c r="C107" s="326"/>
      <c r="D107" s="326"/>
      <c r="E107" s="326"/>
      <c r="F107" s="326"/>
    </row>
    <row r="108">
      <c r="A108" s="326"/>
      <c r="B108" s="326"/>
      <c r="C108" s="326"/>
      <c r="D108" s="326"/>
      <c r="E108" s="326"/>
      <c r="F108" s="326"/>
    </row>
    <row r="109">
      <c r="A109" s="326"/>
      <c r="B109" s="326"/>
      <c r="C109" s="326"/>
      <c r="D109" s="326"/>
      <c r="E109" s="326"/>
      <c r="F109" s="326"/>
    </row>
    <row r="110">
      <c r="A110" s="326"/>
      <c r="B110" s="326"/>
      <c r="C110" s="326"/>
      <c r="D110" s="326"/>
      <c r="E110" s="326"/>
      <c r="F110" s="326"/>
    </row>
    <row r="111">
      <c r="A111" s="326"/>
      <c r="B111" s="326"/>
      <c r="C111" s="326"/>
      <c r="D111" s="326"/>
      <c r="E111" s="326"/>
      <c r="F111" s="326"/>
    </row>
    <row r="112">
      <c r="A112" s="326"/>
      <c r="B112" s="326"/>
      <c r="C112" s="326"/>
      <c r="D112" s="326"/>
      <c r="E112" s="326"/>
      <c r="F112" s="326"/>
    </row>
    <row r="113">
      <c r="A113" s="326"/>
      <c r="B113" s="326"/>
      <c r="C113" s="326"/>
      <c r="D113" s="326"/>
      <c r="E113" s="326"/>
      <c r="F113" s="326"/>
    </row>
    <row r="114">
      <c r="A114" s="326"/>
      <c r="B114" s="326"/>
      <c r="C114" s="326"/>
      <c r="D114" s="326"/>
      <c r="E114" s="326"/>
      <c r="F114" s="326"/>
    </row>
    <row r="115">
      <c r="A115" s="326"/>
      <c r="B115" s="326"/>
      <c r="C115" s="326"/>
      <c r="D115" s="326"/>
      <c r="E115" s="326"/>
      <c r="F115" s="326"/>
    </row>
    <row r="116">
      <c r="A116" s="326"/>
      <c r="B116" s="326"/>
      <c r="C116" s="326"/>
      <c r="D116" s="326"/>
      <c r="E116" s="326"/>
      <c r="F116" s="326"/>
    </row>
    <row r="117">
      <c r="A117" s="326"/>
      <c r="B117" s="326"/>
      <c r="C117" s="326"/>
      <c r="D117" s="326"/>
      <c r="E117" s="326"/>
      <c r="F117" s="326"/>
    </row>
    <row r="118">
      <c r="A118" s="326"/>
      <c r="B118" s="326"/>
      <c r="C118" s="326"/>
      <c r="D118" s="326"/>
      <c r="E118" s="326"/>
      <c r="F118" s="326"/>
    </row>
    <row r="119">
      <c r="A119" s="326"/>
      <c r="B119" s="326"/>
      <c r="C119" s="326"/>
      <c r="D119" s="326"/>
      <c r="E119" s="326"/>
      <c r="F119" s="326"/>
    </row>
    <row r="120">
      <c r="A120" s="326"/>
      <c r="B120" s="326"/>
      <c r="C120" s="326"/>
      <c r="D120" s="326"/>
      <c r="E120" s="326"/>
      <c r="F120" s="326"/>
    </row>
    <row r="121">
      <c r="A121" s="326"/>
      <c r="B121" s="326"/>
      <c r="C121" s="326"/>
      <c r="D121" s="326"/>
      <c r="E121" s="326"/>
      <c r="F121" s="326"/>
    </row>
    <row r="122">
      <c r="A122" s="326"/>
      <c r="B122" s="326"/>
      <c r="C122" s="326"/>
      <c r="D122" s="326"/>
      <c r="E122" s="326"/>
      <c r="F122" s="326"/>
    </row>
    <row r="123">
      <c r="A123" s="326"/>
      <c r="B123" s="326"/>
      <c r="C123" s="326"/>
      <c r="D123" s="326"/>
      <c r="E123" s="326"/>
      <c r="F123" s="326"/>
    </row>
    <row r="124">
      <c r="A124" s="326"/>
      <c r="B124" s="326"/>
      <c r="C124" s="326"/>
      <c r="D124" s="326"/>
      <c r="E124" s="326"/>
      <c r="F124" s="326"/>
    </row>
    <row r="125">
      <c r="A125" s="326"/>
      <c r="B125" s="326"/>
      <c r="C125" s="326"/>
      <c r="D125" s="326"/>
      <c r="E125" s="326"/>
      <c r="F125" s="326"/>
    </row>
    <row r="126">
      <c r="A126" s="326"/>
      <c r="B126" s="326"/>
      <c r="C126" s="326"/>
      <c r="D126" s="326"/>
      <c r="E126" s="326"/>
      <c r="F126" s="326"/>
    </row>
    <row r="127">
      <c r="A127" s="326"/>
      <c r="B127" s="326"/>
      <c r="C127" s="326"/>
      <c r="D127" s="326"/>
      <c r="E127" s="326"/>
      <c r="F127" s="326"/>
    </row>
    <row r="128">
      <c r="A128" s="326"/>
      <c r="B128" s="326"/>
      <c r="C128" s="326"/>
      <c r="D128" s="326"/>
      <c r="E128" s="326"/>
      <c r="F128" s="326"/>
    </row>
    <row r="129">
      <c r="A129" s="326"/>
      <c r="B129" s="326"/>
      <c r="C129" s="326"/>
      <c r="D129" s="326"/>
      <c r="E129" s="326"/>
      <c r="F129" s="326"/>
    </row>
    <row r="130">
      <c r="A130" s="326"/>
      <c r="B130" s="326"/>
      <c r="C130" s="326"/>
      <c r="D130" s="326"/>
      <c r="E130" s="326"/>
      <c r="F130" s="326"/>
    </row>
    <row r="131">
      <c r="A131" s="326"/>
      <c r="B131" s="326"/>
      <c r="C131" s="326"/>
      <c r="D131" s="326"/>
      <c r="E131" s="326"/>
      <c r="F131" s="326"/>
    </row>
    <row r="132">
      <c r="A132" s="326"/>
      <c r="B132" s="326"/>
      <c r="C132" s="326"/>
      <c r="D132" s="326"/>
      <c r="E132" s="326"/>
      <c r="F132" s="326"/>
    </row>
    <row r="133">
      <c r="A133" s="326"/>
      <c r="B133" s="326"/>
      <c r="C133" s="326"/>
      <c r="D133" s="326"/>
      <c r="E133" s="326"/>
      <c r="F133" s="326"/>
    </row>
    <row r="134">
      <c r="A134" s="326"/>
      <c r="B134" s="326"/>
      <c r="C134" s="326"/>
      <c r="D134" s="326"/>
      <c r="E134" s="326"/>
      <c r="F134" s="326"/>
    </row>
    <row r="135">
      <c r="A135" s="326"/>
      <c r="B135" s="326"/>
      <c r="C135" s="326"/>
      <c r="D135" s="326"/>
      <c r="E135" s="326"/>
      <c r="F135" s="326"/>
    </row>
    <row r="136">
      <c r="A136" s="326"/>
      <c r="B136" s="326"/>
      <c r="C136" s="326"/>
      <c r="D136" s="326"/>
      <c r="E136" s="326"/>
      <c r="F136" s="326"/>
    </row>
    <row r="137">
      <c r="A137" s="326"/>
      <c r="B137" s="326"/>
      <c r="C137" s="326"/>
      <c r="D137" s="326"/>
      <c r="E137" s="326"/>
      <c r="F137" s="326"/>
    </row>
    <row r="138">
      <c r="A138" s="326"/>
      <c r="B138" s="326"/>
      <c r="C138" s="326"/>
      <c r="D138" s="326"/>
      <c r="E138" s="326"/>
      <c r="F138" s="326"/>
    </row>
    <row r="139">
      <c r="A139" s="326"/>
      <c r="B139" s="326"/>
      <c r="C139" s="326"/>
      <c r="D139" s="326"/>
      <c r="E139" s="326"/>
      <c r="F139" s="326"/>
    </row>
    <row r="140">
      <c r="A140" s="326"/>
      <c r="B140" s="326"/>
      <c r="C140" s="326"/>
      <c r="D140" s="326"/>
      <c r="E140" s="326"/>
      <c r="F140" s="326"/>
    </row>
    <row r="141">
      <c r="A141" s="326"/>
      <c r="B141" s="326"/>
      <c r="C141" s="326"/>
      <c r="D141" s="326"/>
      <c r="E141" s="326"/>
      <c r="F141" s="326"/>
    </row>
    <row r="142">
      <c r="A142" s="326"/>
      <c r="B142" s="326"/>
      <c r="C142" s="326"/>
      <c r="D142" s="326"/>
      <c r="E142" s="326"/>
      <c r="F142" s="326"/>
    </row>
    <row r="143">
      <c r="A143" s="326"/>
      <c r="B143" s="326"/>
      <c r="C143" s="326"/>
      <c r="D143" s="326"/>
      <c r="E143" s="326"/>
      <c r="F143" s="326"/>
    </row>
    <row r="144">
      <c r="A144" s="326"/>
      <c r="B144" s="326"/>
      <c r="C144" s="326"/>
      <c r="D144" s="326"/>
      <c r="E144" s="326"/>
      <c r="F144" s="326"/>
    </row>
    <row r="145">
      <c r="A145" s="326"/>
      <c r="B145" s="326"/>
      <c r="C145" s="326"/>
      <c r="D145" s="326"/>
      <c r="E145" s="326"/>
      <c r="F145" s="326"/>
    </row>
    <row r="146">
      <c r="A146" s="326"/>
      <c r="B146" s="326"/>
      <c r="C146" s="326"/>
      <c r="D146" s="326"/>
      <c r="E146" s="326"/>
      <c r="F146" s="326"/>
    </row>
    <row r="147">
      <c r="A147" s="326"/>
      <c r="B147" s="326"/>
      <c r="C147" s="326"/>
      <c r="D147" s="326"/>
      <c r="E147" s="326"/>
      <c r="F147" s="326"/>
    </row>
    <row r="148">
      <c r="A148" s="326"/>
      <c r="B148" s="326"/>
      <c r="C148" s="326"/>
      <c r="D148" s="326"/>
      <c r="E148" s="326"/>
      <c r="F148" s="326"/>
    </row>
    <row r="149">
      <c r="A149" s="326"/>
      <c r="B149" s="326"/>
      <c r="C149" s="326"/>
      <c r="D149" s="326"/>
      <c r="E149" s="326"/>
      <c r="F149" s="326"/>
    </row>
    <row r="150">
      <c r="A150" s="326"/>
      <c r="B150" s="326"/>
      <c r="C150" s="326"/>
      <c r="D150" s="326"/>
      <c r="E150" s="326"/>
      <c r="F150" s="326"/>
    </row>
  </sheetData>
  <dataValidations>
    <dataValidation type="list" allowBlank="1" showErrorMessage="1" sqref="C2:E100">
      <formula1>"Asiste,No Asiste"</formula1>
    </dataValidation>
  </dataValidations>
  <drawing r:id="rId1"/>
  <tableParts count="1">
    <tablePart r:id="rId3"/>
  </tableParts>
</worksheet>
</file>